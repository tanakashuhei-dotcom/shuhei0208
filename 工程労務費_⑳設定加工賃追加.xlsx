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924" firstSheet="14" activeTab="20" autoFilterDateGrouping="1"/>
  </bookViews>
  <sheets>
    <sheet xmlns:r="http://schemas.openxmlformats.org/officeDocument/2006/relationships" name="①使い方・更新手順" sheetId="1" state="visible" r:id="rId1"/>
    <sheet xmlns:r="http://schemas.openxmlformats.org/officeDocument/2006/relationships" name="②釜工程入力" sheetId="2" state="visible" r:id="rId2"/>
    <sheet xmlns:r="http://schemas.openxmlformats.org/officeDocument/2006/relationships" name="③スチコン工程入力" sheetId="3" state="visible" r:id="rId3"/>
    <sheet xmlns:r="http://schemas.openxmlformats.org/officeDocument/2006/relationships" name="④前提設定" sheetId="4" state="visible" r:id="rId4"/>
    <sheet xmlns:r="http://schemas.openxmlformats.org/officeDocument/2006/relationships" name="⑤中間品別損益" sheetId="5" state="visible" r:id="rId5"/>
    <sheet xmlns:r="http://schemas.openxmlformats.org/officeDocument/2006/relationships" name="⑥機器別サマリー" sheetId="6" state="visible" r:id="rId6"/>
    <sheet xmlns:r="http://schemas.openxmlformats.org/officeDocument/2006/relationships" name="⑦釜タイムライン" sheetId="7" state="visible" r:id="rId7"/>
    <sheet xmlns:r="http://schemas.openxmlformats.org/officeDocument/2006/relationships" name="⑧原料費入力台帳" sheetId="8" state="visible" r:id="rId8"/>
    <sheet xmlns:r="http://schemas.openxmlformats.org/officeDocument/2006/relationships" name="⑨歩留まり乖離分析" sheetId="9" state="visible" r:id="rId9"/>
    <sheet xmlns:r="http://schemas.openxmlformats.org/officeDocument/2006/relationships" name="⑩盛付梱包工程入力" sheetId="10" state="visible" r:id="rId10"/>
    <sheet xmlns:r="http://schemas.openxmlformats.org/officeDocument/2006/relationships" name="⑪ZEN工程入力" sheetId="11" state="visible" r:id="rId11"/>
    <sheet xmlns:r="http://schemas.openxmlformats.org/officeDocument/2006/relationships" name="⑫ミキサー工程入力" sheetId="12" state="visible" r:id="rId12"/>
    <sheet xmlns:r="http://schemas.openxmlformats.org/officeDocument/2006/relationships" name="⑬計量工程入力" sheetId="13" state="visible" r:id="rId13"/>
    <sheet xmlns:r="http://schemas.openxmlformats.org/officeDocument/2006/relationships" name="⑭手動工程入力" sheetId="14" state="visible" r:id="rId14"/>
    <sheet xmlns:r="http://schemas.openxmlformats.org/officeDocument/2006/relationships" name="⑮日次記録" sheetId="15" state="visible" r:id="rId15"/>
    <sheet xmlns:r="http://schemas.openxmlformats.org/officeDocument/2006/relationships" name="⑯ダッシュボード" sheetId="16" state="visible" r:id="rId16"/>
    <sheet xmlns:r="http://schemas.openxmlformats.org/officeDocument/2006/relationships" name="拠点比較" sheetId="17" state="visible" r:id="rId17"/>
    <sheet xmlns:r="http://schemas.openxmlformats.org/officeDocument/2006/relationships" name="中間品リスト" sheetId="18" state="visible" r:id="rId18"/>
    <sheet xmlns:r="http://schemas.openxmlformats.org/officeDocument/2006/relationships" name="⑰工程労務費一覧" sheetId="19" state="visible" r:id="rId19"/>
    <sheet xmlns:r="http://schemas.openxmlformats.org/officeDocument/2006/relationships" name="⑱中間品単価" sheetId="20" state="visible" r:id="rId20"/>
    <sheet xmlns:r="http://schemas.openxmlformats.org/officeDocument/2006/relationships" name="⑲1食労務費明細" sheetId="21" state="visible" r:id="rId21"/>
    <sheet xmlns:r="http://schemas.openxmlformats.org/officeDocument/2006/relationships" name="⑳商品別1食労務費" sheetId="22" state="visible" r:id="rId22"/>
    <sheet xmlns:r="http://schemas.openxmlformats.org/officeDocument/2006/relationships" name="㉑前回の工程内訳" sheetId="23" state="visible" r:id="rId23"/>
    <sheet xmlns:r="http://schemas.openxmlformats.org/officeDocument/2006/relationships" name="ひもづけ候補" sheetId="24" state="visible" r:id="rId24"/>
    <sheet xmlns:r="http://schemas.openxmlformats.org/officeDocument/2006/relationships" name="中間品選択リスト" sheetId="25" state="visible" r:id="rId25"/>
    <sheet xmlns:r="http://schemas.openxmlformats.org/officeDocument/2006/relationships" name="商品原価" sheetId="26" state="visible" r:id="rId26"/>
    <sheet xmlns:r="http://schemas.openxmlformats.org/officeDocument/2006/relationships" name="KIT別作業時間" sheetId="27" state="visible" r:id="rId27"/>
    <sheet xmlns:r="http://schemas.openxmlformats.org/officeDocument/2006/relationships" name="㉒商品別乖離影響金額" sheetId="28" state="visible" r:id="rId28"/>
    <sheet xmlns:r="http://schemas.openxmlformats.org/officeDocument/2006/relationships" name="㉒乖離_注意事項" sheetId="29" state="visible" r:id="rId29"/>
  </sheets>
  <definedNames>
    <definedName name="_xlnm._FilterDatabase" localSheetId="1" hidden="1">'②釜工程入力'!$A$4:$S$140</definedName>
    <definedName name="_xlnm._FilterDatabase" localSheetId="9" hidden="1">'⑩盛付梱包工程入力'!$A$4:$Q$300</definedName>
    <definedName name="_xlnm._FilterDatabase" localSheetId="17" hidden="1">'中間品リスト'!$A$1:$K$1214</definedName>
    <definedName name="_xlnm._FilterDatabase" localSheetId="20" hidden="1">'⑲1食労務費明細'!$A$4:$I$1217</definedName>
    <definedName name="_xlnm._FilterDatabase" localSheetId="21" hidden="1">'⑳商品別1食労務費'!$A$4:$Q$231</definedName>
    <definedName name="_xlnm._FilterDatabase" localSheetId="22" hidden="1">'㉑前回の工程内訳'!$A$4:$H$57</definedName>
    <definedName name="_xlnm._FilterDatabase" localSheetId="23" hidden="1">'ひもづけ候補'!$A$4:$H$380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"/>
    <numFmt numFmtId="165" formatCode="0.0&quot;%&quot;"/>
    <numFmt numFmtId="166" formatCode="\+#,##0;\-#,##0;\-"/>
    <numFmt numFmtId="167" formatCode="\+0.0%;\-0.0%;\-"/>
    <numFmt numFmtId="168" formatCode="0&quot;%&quot;"/>
    <numFmt numFmtId="169" formatCode="0_);[Red]\(0\)"/>
    <numFmt numFmtId="170" formatCode="0_ "/>
    <numFmt numFmtId="171" formatCode="&quot;¥&quot;#,##0.00;[Red]&quot;¥&quot;\-#,##0.00"/>
    <numFmt numFmtId="172" formatCode="0.0000"/>
    <numFmt numFmtId="173" formatCode="0.0%"/>
  </numFmts>
  <fonts count="122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color rgb="FF000000"/>
      <sz val="10"/>
    </font>
    <font>
      <name val="Arial"/>
      <family val="2"/>
      <b val="1"/>
      <color rgb="FF1B5E20"/>
      <sz val="10"/>
    </font>
    <font>
      <name val="Arial"/>
      <family val="2"/>
      <color rgb="FF000000"/>
      <sz val="9"/>
    </font>
    <font>
      <name val="Arial"/>
      <family val="2"/>
      <b val="1"/>
      <color rgb="FF0000FF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color rgb="FFAAAAAA"/>
      <sz val="8"/>
    </font>
    <font>
      <name val="Arial"/>
      <family val="2"/>
      <b val="1"/>
      <color rgb="FF1565C0"/>
      <sz val="8"/>
    </font>
    <font>
      <name val="Arial"/>
      <family val="2"/>
      <b val="1"/>
      <color rgb="FF0000FF"/>
      <sz val="9"/>
    </font>
    <font>
      <name val="Arial"/>
      <family val="2"/>
      <color rgb="FF000000"/>
      <sz val="8"/>
    </font>
    <font>
      <name val="Arial"/>
      <family val="2"/>
      <b val="1"/>
      <color rgb="FF2E7D32"/>
      <sz val="8"/>
    </font>
    <font>
      <name val="Arial"/>
      <family val="2"/>
      <b val="1"/>
      <color rgb="FFE65100"/>
      <sz val="8"/>
    </font>
    <font>
      <name val="Arial"/>
      <family val="2"/>
      <b val="1"/>
      <color rgb="FF6A1B9A"/>
      <sz val="8"/>
    </font>
    <font>
      <name val="Arial"/>
      <family val="2"/>
      <b val="1"/>
      <color rgb="FFAD1457"/>
      <sz val="8"/>
    </font>
    <font>
      <name val="Arial"/>
      <family val="2"/>
      <b val="1"/>
      <color rgb="FFFFFFFF"/>
      <sz val="10"/>
    </font>
    <font>
      <name val="Arial"/>
      <family val="2"/>
      <b val="1"/>
      <color rgb="FF0277BD"/>
      <sz val="8"/>
    </font>
    <font>
      <name val="Arial"/>
      <family val="2"/>
      <b val="1"/>
      <color rgb="FF00695C"/>
      <sz val="8"/>
    </font>
    <font>
      <name val="Arial"/>
      <family val="2"/>
      <b val="1"/>
      <color rgb="FFC77800"/>
      <sz val="8"/>
    </font>
    <font>
      <name val="Arial"/>
      <family val="2"/>
      <b val="1"/>
      <color rgb="FF000000"/>
      <sz val="9"/>
    </font>
    <font>
      <name val="Arial"/>
      <family val="2"/>
      <color rgb="FF1565C0"/>
      <sz val="8"/>
    </font>
    <font>
      <name val="Arial"/>
      <family val="2"/>
      <color rgb="FF2E7D32"/>
      <sz val="8"/>
    </font>
    <font>
      <name val="Arial"/>
      <family val="2"/>
      <color rgb="FFE65100"/>
      <sz val="8"/>
    </font>
    <font>
      <name val="Arial"/>
      <family val="2"/>
      <color rgb="FF6A1B9A"/>
      <sz val="8"/>
    </font>
    <font>
      <name val="Arial"/>
      <family val="2"/>
      <color rgb="FFAD1457"/>
      <sz val="8"/>
    </font>
    <font>
      <name val="Arial"/>
      <family val="2"/>
      <color rgb="FF0277BD"/>
      <sz val="8"/>
    </font>
    <font>
      <name val="Arial"/>
      <family val="2"/>
      <color rgb="FF00695C"/>
      <sz val="8"/>
    </font>
    <font>
      <name val="Arial"/>
      <family val="2"/>
      <color rgb="FFC77800"/>
      <sz val="8"/>
    </font>
    <font>
      <name val="Arial"/>
      <family val="2"/>
      <b val="1"/>
      <color rgb="FF1565C0"/>
      <sz val="9"/>
    </font>
    <font>
      <name val="Arial"/>
      <family val="2"/>
      <b val="1"/>
      <color rgb="FF00695C"/>
      <sz val="9"/>
    </font>
    <font>
      <name val="Arial"/>
      <family val="2"/>
      <b val="1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8B6000"/>
      <sz val="9"/>
    </font>
    <font>
      <name val="Arial"/>
      <family val="2"/>
      <color rgb="FF8B6000"/>
      <sz val="9"/>
    </font>
    <font>
      <name val="ＭＳ Ｐゴシック"/>
      <charset val="128"/>
      <family val="3"/>
      <sz val="6"/>
      <scheme val="minor"/>
    </font>
    <font>
      <name val="ＭＳ ゴシック"/>
      <charset val="128"/>
      <family val="3"/>
      <b val="1"/>
      <color rgb="FF0277BD"/>
      <sz val="8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8"/>
    </font>
    <font>
      <name val="Arial"/>
      <family val="2"/>
      <color rgb="FFAAAAAA"/>
      <sz val="7"/>
    </font>
    <font>
      <name val="Arial"/>
      <family val="2"/>
      <color rgb="FF444444"/>
      <sz val="8"/>
    </font>
    <font>
      <name val="Arial"/>
      <family val="2"/>
      <b val="1"/>
      <color rgb="FF0000FF"/>
      <sz val="9"/>
    </font>
    <font>
      <name val="Arial"/>
      <family val="2"/>
      <color rgb="FF000000"/>
      <sz val="9"/>
    </font>
    <font>
      <name val="Arial"/>
      <family val="2"/>
      <color rgb="FF555555"/>
      <sz val="9"/>
    </font>
    <font>
      <name val="Arial"/>
      <family val="2"/>
      <b val="1"/>
      <color rgb="FFAD1457"/>
      <sz val="10"/>
    </font>
    <font>
      <name val="Arial"/>
      <family val="2"/>
      <b val="1"/>
      <sz val="9"/>
    </font>
    <font>
      <name val="Arial"/>
      <family val="2"/>
      <color rgb="FF000000"/>
      <sz val="8"/>
    </font>
    <font>
      <name val="Arial"/>
      <family val="2"/>
      <b val="1"/>
      <color rgb="FFAD1457"/>
      <sz val="9"/>
    </font>
    <font>
      <name val="Arial"/>
      <family val="2"/>
      <color rgb="FF333333"/>
      <sz val="9"/>
    </font>
    <font>
      <name val="Arial"/>
      <family val="2"/>
      <b val="1"/>
      <color rgb="FFE65100"/>
      <sz val="9"/>
    </font>
    <font>
      <name val="Arial"/>
      <family val="2"/>
      <b val="1"/>
      <color rgb="FF0277BD"/>
      <sz val="9"/>
    </font>
    <font>
      <name val="Arial"/>
      <family val="2"/>
      <b val="1"/>
      <color rgb="FF2E7D32"/>
      <sz val="9"/>
    </font>
    <font>
      <name val="Arial"/>
      <family val="2"/>
      <b val="1"/>
      <color rgb="FF6A1B9A"/>
      <sz val="9"/>
    </font>
    <font>
      <name val="Arial"/>
      <family val="2"/>
      <b val="1"/>
      <color rgb="FF1B5E2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7"/>
    </font>
    <font>
      <name val="Arial"/>
      <family val="2"/>
      <sz val="9"/>
    </font>
    <font>
      <name val="Arial"/>
      <family val="2"/>
      <b val="1"/>
      <color rgb="FF8B45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8"/>
    </font>
    <font>
      <name val="Arial"/>
      <family val="2"/>
      <b val="1"/>
      <color rgb="FFFFFFFF"/>
      <sz val="7"/>
    </font>
    <font>
      <name val="Arial"/>
      <family val="2"/>
      <b val="1"/>
      <color rgb="FF0000FF"/>
      <sz val="9"/>
    </font>
    <font>
      <name val="Arial"/>
      <family val="2"/>
      <color rgb="FFFFFFFF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b val="1"/>
      <color rgb="FF0000FF"/>
      <sz val="9"/>
    </font>
    <font>
      <name val="Arial"/>
      <family val="2"/>
      <color rgb="FF000000"/>
      <sz val="8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8"/>
    </font>
    <font>
      <name val="Arial"/>
      <family val="2"/>
      <b val="1"/>
      <color rgb="FF1F3864"/>
      <sz val="11"/>
    </font>
    <font>
      <name val="Arial"/>
      <family val="2"/>
      <b val="1"/>
      <color rgb="FF444444"/>
      <sz val="9"/>
    </font>
    <font>
      <name val="Arial"/>
      <family val="2"/>
      <b val="1"/>
      <color rgb="FF0000FF"/>
      <sz val="10"/>
    </font>
    <font>
      <name val="Arial"/>
      <family val="2"/>
      <color rgb="FF444444"/>
      <sz val="9"/>
    </font>
    <font>
      <name val="Arial"/>
      <family val="2"/>
      <b val="1"/>
      <color rgb="FF444444"/>
      <sz val="10"/>
    </font>
    <font>
      <name val="Arial"/>
      <family val="2"/>
      <b val="1"/>
      <color rgb="FF1565C0"/>
      <sz val="11"/>
    </font>
    <font>
      <name val="Arial"/>
      <family val="2"/>
      <b val="1"/>
      <color rgb="FF4A148C"/>
      <sz val="10"/>
    </font>
    <font>
      <name val="Arial"/>
      <family val="2"/>
      <color rgb="FF888888"/>
      <sz val="7"/>
    </font>
    <font>
      <name val="Arial"/>
      <family val="2"/>
      <b val="1"/>
      <color rgb="FF2E7D32"/>
      <sz val="11"/>
    </font>
    <font>
      <name val="Arial"/>
      <family val="2"/>
      <b val="1"/>
      <color rgb="FFAD1457"/>
      <sz val="11"/>
    </font>
    <font>
      <name val="Arial"/>
      <family val="2"/>
      <b val="1"/>
      <color rgb="FFE65100"/>
      <sz val="11"/>
    </font>
    <font>
      <name val="Arial"/>
      <family val="2"/>
      <b val="1"/>
      <color rgb="FF0277BD"/>
      <sz val="11"/>
    </font>
    <font>
      <name val="Arial"/>
      <family val="2"/>
      <b val="1"/>
      <color rgb="FF6A1B9A"/>
      <sz val="11"/>
    </font>
    <font>
      <name val="Arial"/>
      <family val="2"/>
      <b val="1"/>
      <color rgb="FF8B4500"/>
      <sz val="9"/>
    </font>
    <font>
      <name val="Arial"/>
      <family val="2"/>
      <b val="1"/>
      <color rgb="FFC62828"/>
      <sz val="10"/>
    </font>
    <font>
      <name val="Arial"/>
      <family val="2"/>
      <color rgb="FF444444"/>
      <sz val="8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family val="2"/>
      <color rgb="FF0000FF"/>
      <sz val="11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family val="2"/>
      <color theme="1"/>
      <sz val="11"/>
      <scheme val="minor"/>
    </font>
    <font>
      <name val="ＭＳ Ｐゴシック"/>
      <family val="2"/>
      <color theme="10"/>
      <sz val="11"/>
      <u val="single"/>
      <scheme val="minor"/>
    </font>
    <font>
      <name val="Yu Gothic"/>
      <charset val="128"/>
      <family val="3"/>
      <color theme="1"/>
      <sz val="11"/>
    </font>
    <font>
      <name val="Yu Gothic"/>
      <charset val="128"/>
      <family val="3"/>
      <color theme="1"/>
      <sz val="10"/>
    </font>
    <font>
      <name val="Yu Gothic"/>
      <charset val="128"/>
      <family val="3"/>
      <sz val="11"/>
    </font>
    <font>
      <name val="ＭＳ Ｐゴシック"/>
      <charset val="128"/>
      <family val="2"/>
      <sz val="11"/>
    </font>
    <font>
      <name val="Yu Gothic"/>
      <charset val="128"/>
      <family val="3"/>
      <color rgb="FF000000"/>
      <sz val="11"/>
    </font>
    <font>
      <name val="Meiryo"/>
      <charset val="128"/>
      <family val="3"/>
      <color theme="1"/>
      <sz val="10"/>
    </font>
    <font>
      <name val="Yu Gothic"/>
      <charset val="128"/>
      <family val="3"/>
      <sz val="10"/>
    </font>
    <font>
      <name val="ＭＳ Ｐゴシック"/>
      <charset val="128"/>
      <family val="3"/>
      <b val="1"/>
      <color rgb="FF305496"/>
      <sz val="12"/>
    </font>
    <font>
      <name val="ＭＳ Ｐゴシック"/>
      <charset val="128"/>
      <family val="3"/>
      <color rgb="FFC00000"/>
      <sz val="9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color rgb="FF555555"/>
      <sz val="10"/>
    </font>
    <font>
      <name val="ＭＳ Ｐゴシック"/>
      <charset val="128"/>
      <family val="3"/>
      <b val="1"/>
      <color rgb="FF0000CC"/>
      <sz val="10"/>
    </font>
    <font>
      <name val="ＭＳ Ｐゴシック"/>
      <charset val="128"/>
      <family val="3"/>
      <b val="1"/>
      <color rgb="FFC00000"/>
      <sz val="10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rgb="FF305496"/>
      <sz val="11"/>
    </font>
    <font>
      <name val="ＭＳ Ｐゴシック"/>
      <charset val="128"/>
      <family val="3"/>
      <color rgb="FFC00000"/>
      <sz val="9"/>
    </font>
    <font>
      <name val="ＭＳ Ｐゴシック"/>
      <charset val="128"/>
      <family val="3"/>
      <b val="1"/>
      <color rgb="FF305496"/>
      <sz val="12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FFFFFF"/>
      <sz val="11"/>
    </font>
    <font>
      <b val="1"/>
      <color rgb="00FFFFFF"/>
    </font>
    <font>
      <name val="Calibri"/>
      <family val="2"/>
      <color theme="1"/>
      <sz val="11"/>
      <scheme val="minor"/>
    </font>
    <font>
      <b val="1"/>
    </font>
  </fonts>
  <fills count="9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7474F"/>
      </patternFill>
    </fill>
    <fill>
      <patternFill patternType="solid">
        <fgColor rgb="FFC8E6C9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AFAFA"/>
      </patternFill>
    </fill>
    <fill>
      <patternFill patternType="solid">
        <fgColor rgb="FFEEEEE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00695C"/>
      </patternFill>
    </fill>
    <fill>
      <patternFill patternType="solid">
        <fgColor rgb="FFE1F5FE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F5F5F0"/>
      </patternFill>
    </fill>
    <fill>
      <patternFill patternType="solid">
        <fgColor rgb="FFFFFFFF"/>
      </patternFill>
    </fill>
    <fill>
      <patternFill patternType="solid">
        <fgColor rgb="FFF5F8FF"/>
      </patternFill>
    </fill>
    <fill>
      <patternFill patternType="solid">
        <fgColor rgb="FF2E75B6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AD1457"/>
      </patternFill>
    </fill>
    <fill>
      <patternFill patternType="solid">
        <fgColor rgb="FF0277BD"/>
      </patternFill>
    </fill>
    <fill>
      <patternFill patternType="solid">
        <fgColor rgb="FFC77800"/>
      </patternFill>
    </fill>
    <fill>
      <patternFill patternType="solid">
        <fgColor rgb="FFECEFF1"/>
      </patternFill>
    </fill>
    <fill>
      <patternFill patternType="solid">
        <fgColor rgb="FFEDE7F6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AD1457"/>
      </patternFill>
    </fill>
    <fill>
      <patternFill patternType="solid">
        <fgColor rgb="FF37474F"/>
      </patternFill>
    </fill>
    <fill>
      <patternFill patternType="solid">
        <fgColor rgb="FFFFE6F0"/>
      </patternFill>
    </fill>
    <fill>
      <patternFill patternType="solid">
        <fgColor rgb="FFFFFF0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0277BD"/>
      </patternFill>
    </fill>
    <fill>
      <patternFill patternType="solid">
        <fgColor rgb="FFE1F5FE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FAFAFA"/>
      </patternFill>
    </fill>
    <fill>
      <patternFill patternType="solid">
        <fgColor rgb="FFC8E6C9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565C0"/>
      </patternFill>
    </fill>
    <fill>
      <patternFill patternType="solid">
        <fgColor rgb="FFDDEEFF"/>
      </patternFill>
    </fill>
    <fill>
      <patternFill patternType="solid">
        <fgColor rgb="FFDDFFEE"/>
      </patternFill>
    </fill>
    <fill>
      <patternFill patternType="solid">
        <fgColor rgb="FFF8F8F8"/>
      </patternFill>
    </fill>
    <fill>
      <patternFill patternType="solid">
        <fgColor rgb="FFFFF9C4"/>
      </patternFill>
    </fill>
    <fill>
      <patternFill patternType="solid">
        <fgColor rgb="FF546E7A"/>
      </patternFill>
    </fill>
    <fill>
      <patternFill patternType="solid">
        <fgColor rgb="FFF0F0F0"/>
      </patternFill>
    </fill>
    <fill>
      <patternFill patternType="solid">
        <fgColor rgb="FFE65100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F6F00"/>
      </patternFill>
    </fill>
    <fill>
      <patternFill patternType="solid">
        <fgColor rgb="FF1B5E20"/>
      </patternFill>
    </fill>
    <fill>
      <patternFill patternType="solid">
        <fgColor rgb="FFFFFF00"/>
      </patternFill>
    </fill>
    <fill>
      <patternFill patternType="solid">
        <fgColor rgb="FF0277BD"/>
      </patternFill>
    </fill>
    <fill>
      <patternFill patternType="solid">
        <fgColor rgb="FF1565C0"/>
      </patternFill>
    </fill>
    <fill>
      <patternFill patternType="solid">
        <fgColor rgb="FF37474F"/>
      </patternFill>
    </fill>
    <fill>
      <patternFill patternType="solid">
        <fgColor rgb="FFE3F2FD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6E7A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2E7D32"/>
      </patternFill>
    </fill>
    <fill>
      <patternFill patternType="solid">
        <fgColor rgb="FFAD1457"/>
      </patternFill>
    </fill>
    <fill>
      <patternFill patternType="solid">
        <fgColor rgb="FFE65100"/>
      </patternFill>
    </fill>
    <fill>
      <patternFill patternType="solid">
        <fgColor rgb="FF0277BD"/>
      </patternFill>
    </fill>
    <fill>
      <patternFill patternType="solid">
        <fgColor rgb="FF6A1B9A"/>
      </patternFill>
    </fill>
    <fill>
      <patternFill patternType="solid">
        <fgColor rgb="FFC00000"/>
      </patternFill>
    </fill>
    <fill>
      <patternFill patternType="solid">
        <fgColor rgb="FFFFCDD2"/>
      </patternFill>
    </fill>
    <fill>
      <patternFill patternType="solid">
        <fgColor rgb="FFF5F5F0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00305496"/>
      </patternFill>
    </fill>
  </fills>
  <borders count="3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</borders>
  <cellStyleXfs count="4">
    <xf numFmtId="0" fontId="94" fillId="0" borderId="11"/>
    <xf numFmtId="0" fontId="95" fillId="0" borderId="11"/>
    <xf numFmtId="0" fontId="94" fillId="0" borderId="11"/>
    <xf numFmtId="0" fontId="95" fillId="0" borderId="11"/>
  </cellStyleXfs>
  <cellXfs count="613">
    <xf numFmtId="0" fontId="0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3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3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3" fontId="17" fillId="2" borderId="2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3" fontId="12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3" fontId="12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3" fontId="12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/>
    </xf>
    <xf numFmtId="0" fontId="21" fillId="20" borderId="1" applyAlignment="1" pivotButton="0" quotePrefix="0" xfId="0">
      <alignment horizontal="left" vertical="center"/>
    </xf>
    <xf numFmtId="0" fontId="22" fillId="2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left" vertical="center"/>
    </xf>
    <xf numFmtId="0" fontId="22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 wrapText="1"/>
    </xf>
    <xf numFmtId="0" fontId="23" fillId="21" borderId="1" applyAlignment="1" pivotButton="0" quotePrefix="0" xfId="0">
      <alignment horizontal="center" vertical="center"/>
    </xf>
    <xf numFmtId="0" fontId="23" fillId="20" borderId="1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26" fillId="21" borderId="1" applyAlignment="1" pivotButton="0" quotePrefix="0" xfId="0">
      <alignment horizontal="center" vertical="center"/>
    </xf>
    <xf numFmtId="0" fontId="26" fillId="20" borderId="1" applyAlignment="1" pivotButton="0" quotePrefix="0" xfId="0">
      <alignment horizontal="center" vertical="center"/>
    </xf>
    <xf numFmtId="0" fontId="27" fillId="20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0" fontId="28" fillId="20" borderId="1" applyAlignment="1" pivotButton="0" quotePrefix="0" xfId="0">
      <alignment horizontal="center" vertical="center"/>
    </xf>
    <xf numFmtId="0" fontId="28" fillId="21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8" fillId="23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3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8" fillId="25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164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wrapText="1"/>
    </xf>
    <xf numFmtId="0" fontId="8" fillId="27" borderId="1" applyAlignment="1" pivotButton="0" quotePrefix="0" xfId="0">
      <alignment horizontal="center" vertical="center"/>
    </xf>
    <xf numFmtId="0" fontId="31" fillId="16" borderId="1" applyAlignment="1" pivotButton="0" quotePrefix="0" xfId="0">
      <alignment horizontal="center" vertical="center"/>
    </xf>
    <xf numFmtId="3" fontId="5" fillId="16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31" fillId="17" borderId="1" applyAlignment="1" pivotButton="0" quotePrefix="0" xfId="0">
      <alignment horizontal="center" vertical="center"/>
    </xf>
    <xf numFmtId="3" fontId="5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left" vertical="center" wrapText="1"/>
    </xf>
    <xf numFmtId="0" fontId="8" fillId="28" borderId="1" applyAlignment="1" pivotButton="0" quotePrefix="0" xfId="0">
      <alignment horizontal="center" vertical="center"/>
    </xf>
    <xf numFmtId="0" fontId="31" fillId="18" borderId="1" applyAlignment="1" pivotButton="0" quotePrefix="0" xfId="0">
      <alignment horizontal="center" vertical="center"/>
    </xf>
    <xf numFmtId="3" fontId="5" fillId="18" borderId="1" applyAlignment="1" pivotButton="0" quotePrefix="0" xfId="0">
      <alignment horizontal="center" vertical="center"/>
    </xf>
    <xf numFmtId="164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 wrapText="1"/>
    </xf>
    <xf numFmtId="0" fontId="31" fillId="13" borderId="1" applyAlignment="1" pivotButton="0" quotePrefix="0" xfId="0">
      <alignment horizontal="center" vertical="center"/>
    </xf>
    <xf numFmtId="0" fontId="31" fillId="14" borderId="1" applyAlignment="1" pivotButton="0" quotePrefix="0" xfId="0">
      <alignment horizontal="center" vertical="center"/>
    </xf>
    <xf numFmtId="164" fontId="17" fillId="2" borderId="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23" borderId="0" applyAlignment="1" pivotButton="0" quotePrefix="0" xfId="0">
      <alignment horizontal="center" vertical="center"/>
    </xf>
    <xf numFmtId="0" fontId="8" fillId="24" borderId="0" applyAlignment="1" pivotButton="0" quotePrefix="0" xfId="0">
      <alignment horizontal="center" vertical="center"/>
    </xf>
    <xf numFmtId="0" fontId="8" fillId="25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12" fillId="2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32" fillId="30" borderId="1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 wrapText="1"/>
    </xf>
    <xf numFmtId="0" fontId="33" fillId="7" borderId="0" applyAlignment="1" pivotButton="0" quotePrefix="0" xfId="0">
      <alignment horizontal="center" vertical="center" wrapText="1"/>
    </xf>
    <xf numFmtId="0" fontId="33" fillId="23" borderId="0" applyAlignment="1" pivotButton="0" quotePrefix="0" xfId="0">
      <alignment horizontal="center" vertical="center" wrapText="1"/>
    </xf>
    <xf numFmtId="0" fontId="33" fillId="6" borderId="0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vertical="center"/>
    </xf>
    <xf numFmtId="164" fontId="11" fillId="31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166" fontId="5" fillId="32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5" fillId="21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16" fillId="21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3" fontId="17" fillId="3" borderId="2" applyAlignment="1" pivotButton="0" quotePrefix="0" xfId="0">
      <alignment horizontal="center" vertical="center"/>
    </xf>
    <xf numFmtId="166" fontId="17" fillId="3" borderId="2" applyAlignment="1" pivotButton="0" quotePrefix="0" xfId="0">
      <alignment horizontal="center" vertical="center"/>
    </xf>
    <xf numFmtId="165" fontId="5" fillId="20" borderId="1" applyAlignment="1" pivotButton="0" quotePrefix="0" xfId="0">
      <alignment horizontal="center" vertical="center"/>
    </xf>
    <xf numFmtId="167" fontId="5" fillId="20" borderId="1" applyAlignment="1" pivotButton="0" quotePrefix="0" xfId="0">
      <alignment horizontal="center" vertical="center"/>
    </xf>
    <xf numFmtId="3" fontId="5" fillId="20" borderId="1" applyAlignment="1" pivotButton="0" quotePrefix="0" xfId="0">
      <alignment horizontal="center" vertical="center"/>
    </xf>
    <xf numFmtId="166" fontId="5" fillId="20" borderId="1" applyAlignment="1" pivotButton="0" quotePrefix="0" xfId="0">
      <alignment horizontal="center" vertical="center"/>
    </xf>
    <xf numFmtId="165" fontId="5" fillId="21" borderId="1" applyAlignment="1" pivotButton="0" quotePrefix="0" xfId="0">
      <alignment horizontal="center" vertical="center"/>
    </xf>
    <xf numFmtId="167" fontId="5" fillId="21" borderId="1" applyAlignment="1" pivotButton="0" quotePrefix="0" xfId="0">
      <alignment horizontal="center" vertical="center"/>
    </xf>
    <xf numFmtId="3" fontId="5" fillId="21" borderId="1" applyAlignment="1" pivotButton="0" quotePrefix="0" xfId="0">
      <alignment horizontal="center" vertical="center"/>
    </xf>
    <xf numFmtId="166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37" fillId="16" borderId="1" applyAlignment="1" pivotButton="0" quotePrefix="0" xfId="0">
      <alignment horizontal="center" vertical="center"/>
    </xf>
    <xf numFmtId="0" fontId="40" fillId="34" borderId="0" applyAlignment="1" pivotButton="0" quotePrefix="0" xfId="0">
      <alignment horizontal="center" vertical="center" wrapText="1"/>
    </xf>
    <xf numFmtId="0" fontId="41" fillId="36" borderId="3" applyAlignment="1" pivotButton="0" quotePrefix="0" xfId="0">
      <alignment horizontal="center" vertical="center"/>
    </xf>
    <xf numFmtId="0" fontId="42" fillId="36" borderId="3" applyAlignment="1" pivotButton="0" quotePrefix="0" xfId="0">
      <alignment horizontal="center" vertical="center"/>
    </xf>
    <xf numFmtId="20" fontId="43" fillId="37" borderId="3" applyAlignment="1" pivotButton="0" quotePrefix="0" xfId="0">
      <alignment horizontal="center" vertical="center"/>
    </xf>
    <xf numFmtId="164" fontId="45" fillId="38" borderId="3" applyAlignment="1" pivotButton="0" quotePrefix="0" xfId="0">
      <alignment horizontal="center" vertical="center"/>
    </xf>
    <xf numFmtId="3" fontId="43" fillId="37" borderId="3" applyAlignment="1" pivotButton="0" quotePrefix="0" xfId="0">
      <alignment horizontal="center" vertical="center"/>
    </xf>
    <xf numFmtId="164" fontId="46" fillId="36" borderId="3" applyAlignment="1" pivotButton="0" quotePrefix="0" xfId="0">
      <alignment horizontal="center" vertical="center"/>
    </xf>
    <xf numFmtId="3" fontId="45" fillId="38" borderId="3" applyAlignment="1" pivotButton="0" quotePrefix="0" xfId="0">
      <alignment horizontal="center" vertical="center"/>
    </xf>
    <xf numFmtId="0" fontId="48" fillId="36" borderId="3" applyAlignment="1" pivotButton="0" quotePrefix="0" xfId="0">
      <alignment horizontal="center" vertical="center"/>
    </xf>
    <xf numFmtId="0" fontId="48" fillId="36" borderId="3" applyAlignment="1" pivotButton="0" quotePrefix="0" xfId="0">
      <alignment horizontal="left" vertical="center"/>
    </xf>
    <xf numFmtId="0" fontId="41" fillId="39" borderId="3" applyAlignment="1" pivotButton="0" quotePrefix="0" xfId="0">
      <alignment horizontal="center" vertical="center"/>
    </xf>
    <xf numFmtId="0" fontId="42" fillId="39" borderId="3" applyAlignment="1" pivotButton="0" quotePrefix="0" xfId="0">
      <alignment horizontal="center" vertical="center"/>
    </xf>
    <xf numFmtId="0" fontId="48" fillId="39" borderId="3" applyAlignment="1" pivotButton="0" quotePrefix="0" xfId="0">
      <alignment horizontal="center" vertical="center"/>
    </xf>
    <xf numFmtId="0" fontId="48" fillId="39" borderId="3" applyAlignment="1" pivotButton="0" quotePrefix="0" xfId="0">
      <alignment horizontal="left" vertical="center"/>
    </xf>
    <xf numFmtId="0" fontId="39" fillId="34" borderId="4" applyAlignment="1" pivotButton="0" quotePrefix="0" xfId="0">
      <alignment horizontal="center" vertical="center"/>
    </xf>
    <xf numFmtId="3" fontId="39" fillId="34" borderId="4" applyAlignment="1" pivotButton="0" quotePrefix="0" xfId="0">
      <alignment horizontal="center" vertical="center"/>
    </xf>
    <xf numFmtId="164" fontId="39" fillId="34" borderId="4" applyAlignment="1" pivotButton="0" quotePrefix="0" xfId="0">
      <alignment horizontal="center" vertical="center"/>
    </xf>
    <xf numFmtId="0" fontId="57" fillId="52" borderId="0" applyAlignment="1" pivotButton="0" quotePrefix="0" xfId="0">
      <alignment horizontal="center" vertical="center" wrapText="1"/>
    </xf>
    <xf numFmtId="0" fontId="57" fillId="44" borderId="0" applyAlignment="1" pivotButton="0" quotePrefix="0" xfId="0">
      <alignment horizontal="center" vertical="center" wrapText="1"/>
    </xf>
    <xf numFmtId="0" fontId="57" fillId="34" borderId="0" applyAlignment="1" pivotButton="0" quotePrefix="0" xfId="0">
      <alignment horizontal="center" vertical="center" wrapText="1"/>
    </xf>
    <xf numFmtId="0" fontId="57" fillId="40" borderId="0" applyAlignment="1" pivotButton="0" quotePrefix="0" xfId="0">
      <alignment horizontal="center" vertical="center" wrapText="1"/>
    </xf>
    <xf numFmtId="0" fontId="57" fillId="42" borderId="0" applyAlignment="1" pivotButton="0" quotePrefix="0" xfId="0">
      <alignment horizontal="center" vertical="center" wrapText="1"/>
    </xf>
    <xf numFmtId="0" fontId="57" fillId="46" borderId="0" applyAlignment="1" pivotButton="0" quotePrefix="0" xfId="0">
      <alignment horizontal="center" vertical="center" wrapText="1"/>
    </xf>
    <xf numFmtId="14" fontId="43" fillId="37" borderId="3" applyAlignment="1" pivotButton="0" quotePrefix="0" xfId="0">
      <alignment horizontal="center" vertical="center"/>
    </xf>
    <xf numFmtId="0" fontId="44" fillId="39" borderId="3" applyAlignment="1" pivotButton="0" quotePrefix="0" xfId="0">
      <alignment horizontal="center" vertical="center"/>
    </xf>
    <xf numFmtId="164" fontId="58" fillId="53" borderId="3" applyAlignment="1" pivotButton="0" quotePrefix="0" xfId="0">
      <alignment horizontal="center" vertical="center"/>
    </xf>
    <xf numFmtId="3" fontId="58" fillId="53" borderId="3" applyAlignment="1" pivotButton="0" quotePrefix="0" xfId="0">
      <alignment horizontal="center" vertical="center"/>
    </xf>
    <xf numFmtId="164" fontId="58" fillId="54" borderId="3" applyAlignment="1" pivotButton="0" quotePrefix="0" xfId="0">
      <alignment horizontal="center" vertical="center"/>
    </xf>
    <xf numFmtId="3" fontId="58" fillId="54" borderId="3" applyAlignment="1" pivotButton="0" quotePrefix="0" xfId="0">
      <alignment horizontal="center" vertical="center"/>
    </xf>
    <xf numFmtId="164" fontId="58" fillId="36" borderId="3" applyAlignment="1" pivotButton="0" quotePrefix="0" xfId="0">
      <alignment horizontal="center" vertical="center"/>
    </xf>
    <xf numFmtId="3" fontId="58" fillId="36" borderId="3" applyAlignment="1" pivotButton="0" quotePrefix="0" xfId="0">
      <alignment horizontal="center" vertical="center"/>
    </xf>
    <xf numFmtId="164" fontId="58" fillId="41" borderId="3" applyAlignment="1" pivotButton="0" quotePrefix="0" xfId="0">
      <alignment horizontal="center" vertical="center"/>
    </xf>
    <xf numFmtId="3" fontId="58" fillId="41" borderId="3" applyAlignment="1" pivotButton="0" quotePrefix="0" xfId="0">
      <alignment horizontal="center" vertical="center"/>
    </xf>
    <xf numFmtId="164" fontId="58" fillId="43" borderId="3" applyAlignment="1" pivotButton="0" quotePrefix="0" xfId="0">
      <alignment horizontal="center" vertical="center"/>
    </xf>
    <xf numFmtId="3" fontId="58" fillId="43" borderId="3" applyAlignment="1" pivotButton="0" quotePrefix="0" xfId="0">
      <alignment horizontal="center" vertical="center"/>
    </xf>
    <xf numFmtId="164" fontId="58" fillId="45" borderId="3" applyAlignment="1" pivotButton="0" quotePrefix="0" xfId="0">
      <alignment horizontal="center" vertical="center"/>
    </xf>
    <xf numFmtId="3" fontId="58" fillId="45" borderId="3" applyAlignment="1" pivotButton="0" quotePrefix="0" xfId="0">
      <alignment horizontal="center" vertical="center"/>
    </xf>
    <xf numFmtId="164" fontId="58" fillId="47" borderId="3" applyAlignment="1" pivotButton="0" quotePrefix="0" xfId="0">
      <alignment horizontal="center" vertical="center"/>
    </xf>
    <xf numFmtId="3" fontId="58" fillId="47" borderId="3" applyAlignment="1" pivotButton="0" quotePrefix="0" xfId="0">
      <alignment horizontal="center" vertical="center"/>
    </xf>
    <xf numFmtId="0" fontId="44" fillId="55" borderId="3" applyAlignment="1" pivotButton="0" quotePrefix="0" xfId="0">
      <alignment horizontal="center" vertical="center"/>
    </xf>
    <xf numFmtId="0" fontId="40" fillId="57" borderId="0" applyAlignment="1" pivotButton="0" quotePrefix="0" xfId="0">
      <alignment horizontal="center" vertical="center" wrapText="1"/>
    </xf>
    <xf numFmtId="164" fontId="45" fillId="58" borderId="3" applyAlignment="1" pivotButton="0" quotePrefix="0" xfId="0">
      <alignment horizontal="center" vertical="center"/>
    </xf>
    <xf numFmtId="0" fontId="43" fillId="37" borderId="3" applyAlignment="1" pivotButton="0" quotePrefix="0" xfId="0">
      <alignment horizontal="left" vertical="center"/>
    </xf>
    <xf numFmtId="0" fontId="39" fillId="50" borderId="7" applyAlignment="1" pivotButton="0" quotePrefix="0" xfId="0">
      <alignment horizontal="left" vertical="center"/>
    </xf>
    <xf numFmtId="0" fontId="39" fillId="50" borderId="7" applyAlignment="1" pivotButton="0" quotePrefix="0" xfId="0">
      <alignment horizontal="center" vertical="center"/>
    </xf>
    <xf numFmtId="164" fontId="39" fillId="50" borderId="7" applyAlignment="1" pivotButton="0" quotePrefix="0" xfId="0">
      <alignment horizontal="center" vertical="center"/>
    </xf>
    <xf numFmtId="3" fontId="39" fillId="50" borderId="7" applyAlignment="1" pivotButton="0" quotePrefix="0" xfId="0">
      <alignment horizontal="center" vertical="center"/>
    </xf>
    <xf numFmtId="0" fontId="63" fillId="60" borderId="8" applyAlignment="1" pivotButton="0" quotePrefix="0" xfId="0">
      <alignment horizontal="center" vertical="center" wrapText="1"/>
    </xf>
    <xf numFmtId="0" fontId="63" fillId="59" borderId="8" applyAlignment="1" pivotButton="0" quotePrefix="0" xfId="0">
      <alignment horizontal="center" vertical="center" wrapText="1"/>
    </xf>
    <xf numFmtId="20" fontId="63" fillId="61" borderId="8" applyAlignment="1" pivotButton="0" quotePrefix="0" xfId="0">
      <alignment horizontal="center" vertical="center" wrapText="1"/>
    </xf>
    <xf numFmtId="164" fontId="63" fillId="61" borderId="8" applyAlignment="1" pivotButton="0" quotePrefix="0" xfId="0">
      <alignment horizontal="center" vertical="center" wrapText="1"/>
    </xf>
    <xf numFmtId="3" fontId="63" fillId="61" borderId="8" applyAlignment="1" pivotButton="0" quotePrefix="0" xfId="0">
      <alignment horizontal="center" vertical="center" wrapText="1"/>
    </xf>
    <xf numFmtId="164" fontId="63" fillId="62" borderId="8" applyAlignment="1" pivotButton="0" quotePrefix="0" xfId="0">
      <alignment horizontal="center" vertical="center" wrapText="1"/>
    </xf>
    <xf numFmtId="3" fontId="63" fillId="59" borderId="8" applyAlignment="1" pivotButton="0" quotePrefix="0" xfId="0">
      <alignment horizontal="center" vertical="center" wrapText="1"/>
    </xf>
    <xf numFmtId="164" fontId="63" fillId="59" borderId="8" applyAlignment="1" pivotButton="0" quotePrefix="0" xfId="0">
      <alignment horizontal="center" vertical="center" wrapText="1"/>
    </xf>
    <xf numFmtId="0" fontId="63" fillId="63" borderId="8" applyAlignment="1" pivotButton="0" quotePrefix="0" xfId="0">
      <alignment horizontal="center" vertical="center" wrapText="1"/>
    </xf>
    <xf numFmtId="3" fontId="64" fillId="64" borderId="9" applyAlignment="1" pivotButton="0" quotePrefix="0" xfId="0">
      <alignment horizontal="center" vertical="center"/>
    </xf>
    <xf numFmtId="0" fontId="65" fillId="59" borderId="10" applyAlignment="1" pivotButton="0" quotePrefix="0" xfId="0">
      <alignment horizontal="center" vertical="center"/>
    </xf>
    <xf numFmtId="0" fontId="63" fillId="65" borderId="8" applyAlignment="1" pivotButton="0" quotePrefix="0" xfId="0">
      <alignment horizontal="center" vertical="center" wrapText="1"/>
    </xf>
    <xf numFmtId="3" fontId="63" fillId="65" borderId="8" applyAlignment="1" pivotButton="0" quotePrefix="0" xfId="0">
      <alignment horizontal="center" vertical="center" wrapText="1"/>
    </xf>
    <xf numFmtId="164" fontId="63" fillId="65" borderId="8" applyAlignment="1" pivotButton="0" quotePrefix="0" xfId="0">
      <alignment horizontal="center" vertical="center" wrapText="1"/>
    </xf>
    <xf numFmtId="0" fontId="65" fillId="65" borderId="10" applyAlignment="1" pivotButton="0" quotePrefix="0" xfId="0">
      <alignment horizontal="center" vertical="center"/>
    </xf>
    <xf numFmtId="0" fontId="67" fillId="67" borderId="0" applyAlignment="1" pivotButton="0" quotePrefix="0" xfId="0">
      <alignment horizontal="center" vertical="center"/>
    </xf>
    <xf numFmtId="0" fontId="68" fillId="68" borderId="12" applyAlignment="1" pivotButton="0" quotePrefix="0" xfId="0">
      <alignment horizontal="left" vertical="center"/>
    </xf>
    <xf numFmtId="3" fontId="69" fillId="69" borderId="12" applyAlignment="1" pivotButton="0" quotePrefix="0" xfId="0">
      <alignment horizontal="center" vertical="center"/>
    </xf>
    <xf numFmtId="0" fontId="70" fillId="68" borderId="12" applyAlignment="1" pivotButton="0" quotePrefix="0" xfId="0">
      <alignment horizontal="center" vertical="center"/>
    </xf>
    <xf numFmtId="0" fontId="68" fillId="70" borderId="12" applyAlignment="1" pivotButton="0" quotePrefix="0" xfId="0">
      <alignment horizontal="left" vertical="center"/>
    </xf>
    <xf numFmtId="0" fontId="70" fillId="70" borderId="12" applyAlignment="1" pivotButton="0" quotePrefix="0" xfId="0">
      <alignment horizontal="center" vertical="center"/>
    </xf>
    <xf numFmtId="0" fontId="73" fillId="73" borderId="0" applyAlignment="1" pivotButton="0" quotePrefix="0" xfId="0">
      <alignment horizontal="center" vertical="center"/>
    </xf>
    <xf numFmtId="3" fontId="74" fillId="68" borderId="12" applyAlignment="1" pivotButton="0" quotePrefix="0" xfId="0">
      <alignment horizontal="center" vertical="center"/>
    </xf>
    <xf numFmtId="168" fontId="74" fillId="68" borderId="12" applyAlignment="1" pivotButton="0" quotePrefix="0" xfId="0">
      <alignment horizontal="center" vertical="center"/>
    </xf>
    <xf numFmtId="0" fontId="73" fillId="67" borderId="0" applyAlignment="1" pivotButton="0" quotePrefix="0" xfId="0">
      <alignment horizontal="center" vertical="center" wrapText="1"/>
    </xf>
    <xf numFmtId="0" fontId="67" fillId="66" borderId="12" applyAlignment="1" pivotButton="0" quotePrefix="0" xfId="0">
      <alignment horizontal="center" vertical="center"/>
    </xf>
    <xf numFmtId="3" fontId="76" fillId="69" borderId="12" applyAlignment="1" pivotButton="0" quotePrefix="0" xfId="0">
      <alignment horizontal="center" vertical="center"/>
    </xf>
    <xf numFmtId="3" fontId="77" fillId="68" borderId="12" applyAlignment="1" pivotButton="0" quotePrefix="0" xfId="0">
      <alignment horizontal="center" vertical="center"/>
    </xf>
    <xf numFmtId="164" fontId="79" fillId="68" borderId="12" applyAlignment="1" pivotButton="0" quotePrefix="0" xfId="0">
      <alignment horizontal="center" vertical="center"/>
    </xf>
    <xf numFmtId="3" fontId="80" fillId="69" borderId="12" applyAlignment="1" pivotButton="0" quotePrefix="0" xfId="0">
      <alignment horizontal="center" vertical="center"/>
    </xf>
    <xf numFmtId="165" fontId="77" fillId="68" borderId="12" applyAlignment="1" pivotButton="0" quotePrefix="0" xfId="0">
      <alignment horizontal="center" vertical="center"/>
    </xf>
    <xf numFmtId="164" fontId="75" fillId="68" borderId="12" applyAlignment="1" pivotButton="0" quotePrefix="0" xfId="0">
      <alignment horizontal="center" vertical="center"/>
    </xf>
    <xf numFmtId="3" fontId="77" fillId="74" borderId="12" applyAlignment="1" pivotButton="0" quotePrefix="0" xfId="0">
      <alignment horizontal="center" vertical="center"/>
    </xf>
    <xf numFmtId="0" fontId="81" fillId="75" borderId="12" applyAlignment="1" pivotButton="0" quotePrefix="0" xfId="0">
      <alignment horizontal="center" vertical="center"/>
    </xf>
    <xf numFmtId="3" fontId="75" fillId="76" borderId="12" applyAlignment="1" pivotButton="0" quotePrefix="0" xfId="0">
      <alignment horizontal="center" vertical="center"/>
    </xf>
    <xf numFmtId="0" fontId="77" fillId="68" borderId="12" applyAlignment="1" pivotButton="0" quotePrefix="0" xfId="0">
      <alignment horizontal="center" vertical="center"/>
    </xf>
    <xf numFmtId="0" fontId="67" fillId="77" borderId="12" applyAlignment="1" pivotButton="0" quotePrefix="0" xfId="0">
      <alignment horizontal="center" vertical="center"/>
    </xf>
    <xf numFmtId="164" fontId="82" fillId="70" borderId="12" applyAlignment="1" pivotButton="0" quotePrefix="0" xfId="0">
      <alignment horizontal="center" vertical="center"/>
    </xf>
    <xf numFmtId="165" fontId="77" fillId="70" borderId="12" applyAlignment="1" pivotButton="0" quotePrefix="0" xfId="0">
      <alignment horizontal="center" vertical="center"/>
    </xf>
    <xf numFmtId="164" fontId="75" fillId="70" borderId="12" applyAlignment="1" pivotButton="0" quotePrefix="0" xfId="0">
      <alignment horizontal="center" vertical="center"/>
    </xf>
    <xf numFmtId="3" fontId="77" fillId="70" borderId="12" applyAlignment="1" pivotButton="0" quotePrefix="0" xfId="0">
      <alignment horizontal="center" vertical="center"/>
    </xf>
    <xf numFmtId="0" fontId="77" fillId="70" borderId="12" applyAlignment="1" pivotButton="0" quotePrefix="0" xfId="0">
      <alignment horizontal="center" vertical="center"/>
    </xf>
    <xf numFmtId="0" fontId="67" fillId="78" borderId="12" applyAlignment="1" pivotButton="0" quotePrefix="0" xfId="0">
      <alignment horizontal="center" vertical="center"/>
    </xf>
    <xf numFmtId="164" fontId="83" fillId="68" borderId="12" applyAlignment="1" pivotButton="0" quotePrefix="0" xfId="0">
      <alignment horizontal="center" vertical="center"/>
    </xf>
    <xf numFmtId="0" fontId="67" fillId="79" borderId="12" applyAlignment="1" pivotButton="0" quotePrefix="0" xfId="0">
      <alignment horizontal="center" vertical="center"/>
    </xf>
    <xf numFmtId="164" fontId="84" fillId="70" borderId="12" applyAlignment="1" pivotButton="0" quotePrefix="0" xfId="0">
      <alignment horizontal="center" vertical="center"/>
    </xf>
    <xf numFmtId="0" fontId="67" fillId="80" borderId="12" applyAlignment="1" pivotButton="0" quotePrefix="0" xfId="0">
      <alignment horizontal="center" vertical="center"/>
    </xf>
    <xf numFmtId="164" fontId="85" fillId="68" borderId="12" applyAlignment="1" pivotButton="0" quotePrefix="0" xfId="0">
      <alignment horizontal="center" vertical="center"/>
    </xf>
    <xf numFmtId="0" fontId="67" fillId="81" borderId="12" applyAlignment="1" pivotButton="0" quotePrefix="0" xfId="0">
      <alignment horizontal="center" vertical="center"/>
    </xf>
    <xf numFmtId="164" fontId="86" fillId="68" borderId="12" applyAlignment="1" pivotButton="0" quotePrefix="0" xfId="0">
      <alignment horizontal="center" vertical="center"/>
    </xf>
    <xf numFmtId="0" fontId="73" fillId="82" borderId="0" applyAlignment="1" pivotButton="0" quotePrefix="0" xfId="0">
      <alignment horizontal="center" vertical="center" wrapText="1"/>
    </xf>
    <xf numFmtId="164" fontId="80" fillId="69" borderId="12" applyAlignment="1" pivotButton="0" quotePrefix="0" xfId="0">
      <alignment horizontal="center" vertical="center"/>
    </xf>
    <xf numFmtId="164" fontId="78" fillId="76" borderId="12" applyAlignment="1" pivotButton="0" quotePrefix="0" xfId="0">
      <alignment horizontal="center" vertical="center"/>
    </xf>
    <xf numFmtId="3" fontId="77" fillId="76" borderId="12" applyAlignment="1" pivotButton="0" quotePrefix="0" xfId="0">
      <alignment horizontal="center" vertical="center"/>
    </xf>
    <xf numFmtId="4" fontId="88" fillId="83" borderId="12" applyAlignment="1" pivotButton="0" quotePrefix="0" xfId="0">
      <alignment horizontal="center" vertical="center"/>
    </xf>
    <xf numFmtId="164" fontId="78" fillId="70" borderId="12" applyAlignment="1" pivotButton="0" quotePrefix="0" xfId="0">
      <alignment horizontal="center" vertical="center"/>
    </xf>
    <xf numFmtId="0" fontId="67" fillId="71" borderId="13" applyAlignment="1" pivotButton="0" quotePrefix="0" xfId="0">
      <alignment horizontal="center" vertical="center"/>
    </xf>
    <xf numFmtId="3" fontId="72" fillId="82" borderId="13" applyAlignment="1" pivotButton="0" quotePrefix="0" xfId="0">
      <alignment horizontal="center" vertical="center"/>
    </xf>
    <xf numFmtId="0" fontId="0" fillId="0" borderId="11" pivotButton="0" quotePrefix="0" xfId="0"/>
    <xf numFmtId="0" fontId="33" fillId="77" borderId="11" applyAlignment="1" pivotButton="0" quotePrefix="0" xfId="0">
      <alignment horizontal="center" vertical="center"/>
    </xf>
    <xf numFmtId="0" fontId="57" fillId="67" borderId="11" applyAlignment="1" pivotButton="0" quotePrefix="0" xfId="0">
      <alignment horizontal="center" vertical="center" wrapText="1"/>
    </xf>
    <xf numFmtId="0" fontId="57" fillId="77" borderId="11" applyAlignment="1" pivotButton="0" quotePrefix="0" xfId="0">
      <alignment horizontal="center" vertical="center" wrapText="1"/>
    </xf>
    <xf numFmtId="20" fontId="57" fillId="73" borderId="11" applyAlignment="1" pivotButton="0" quotePrefix="0" xfId="0">
      <alignment horizontal="center" vertical="center" wrapText="1"/>
    </xf>
    <xf numFmtId="164" fontId="57" fillId="73" borderId="11" applyAlignment="1" pivotButton="0" quotePrefix="0" xfId="0">
      <alignment horizontal="center" vertical="center" wrapText="1"/>
    </xf>
    <xf numFmtId="3" fontId="57" fillId="73" borderId="11" applyAlignment="1" pivotButton="0" quotePrefix="0" xfId="0">
      <alignment horizontal="center" vertical="center" wrapText="1"/>
    </xf>
    <xf numFmtId="164" fontId="57" fillId="62" borderId="11" applyAlignment="1" pivotButton="0" quotePrefix="0" xfId="0">
      <alignment horizontal="center" vertical="center" wrapText="1"/>
    </xf>
    <xf numFmtId="3" fontId="57" fillId="77" borderId="11" applyAlignment="1" pivotButton="0" quotePrefix="0" xfId="0">
      <alignment horizontal="center" vertical="center" wrapText="1"/>
    </xf>
    <xf numFmtId="164" fontId="57" fillId="77" borderId="11" applyAlignment="1" pivotButton="0" quotePrefix="0" xfId="0">
      <alignment horizontal="center" vertical="center" wrapText="1"/>
    </xf>
    <xf numFmtId="0" fontId="57" fillId="63" borderId="11" applyAlignment="1" pivotButton="0" quotePrefix="0" xfId="0">
      <alignment horizontal="center" vertical="center" wrapText="1"/>
    </xf>
    <xf numFmtId="3" fontId="11" fillId="69" borderId="12" applyAlignment="1" pivotButton="0" quotePrefix="0" xfId="0">
      <alignment horizontal="center" vertical="center"/>
    </xf>
    <xf numFmtId="0" fontId="65" fillId="77" borderId="13" applyAlignment="1" pivotButton="0" quotePrefix="0" xfId="0">
      <alignment horizontal="center" vertical="center"/>
    </xf>
    <xf numFmtId="0" fontId="33" fillId="81" borderId="11" applyAlignment="1" pivotButton="0" quotePrefix="0" xfId="0">
      <alignment horizontal="center" vertical="center"/>
    </xf>
    <xf numFmtId="0" fontId="57" fillId="81" borderId="11" applyAlignment="1" pivotButton="0" quotePrefix="0" xfId="0">
      <alignment horizontal="center" vertical="center" wrapText="1"/>
    </xf>
    <xf numFmtId="3" fontId="57" fillId="62" borderId="11" applyAlignment="1" pivotButton="0" quotePrefix="0" xfId="0">
      <alignment horizontal="center" vertical="center" wrapText="1"/>
    </xf>
    <xf numFmtId="164" fontId="57" fillId="81" borderId="11" applyAlignment="1" pivotButton="0" quotePrefix="0" xfId="0">
      <alignment horizontal="center" vertical="center" wrapText="1"/>
    </xf>
    <xf numFmtId="3" fontId="57" fillId="81" borderId="11" applyAlignment="1" pivotButton="0" quotePrefix="0" xfId="0">
      <alignment horizontal="center" vertical="center" wrapText="1"/>
    </xf>
    <xf numFmtId="4" fontId="57" fillId="63" borderId="11" applyAlignment="1" pivotButton="0" quotePrefix="0" xfId="0">
      <alignment horizontal="center" vertical="center" wrapText="1"/>
    </xf>
    <xf numFmtId="0" fontId="65" fillId="81" borderId="13" applyAlignment="1" pivotButton="0" quotePrefix="0" xfId="0">
      <alignment horizontal="center" vertical="center"/>
    </xf>
    <xf numFmtId="0" fontId="90" fillId="0" borderId="0" pivotButton="0" quotePrefix="0" xfId="0"/>
    <xf numFmtId="0" fontId="93" fillId="0" borderId="0" pivotButton="0" quotePrefix="0" xfId="0"/>
    <xf numFmtId="0" fontId="91" fillId="0" borderId="0" pivotButton="0" quotePrefix="0" xfId="0"/>
    <xf numFmtId="0" fontId="90" fillId="85" borderId="16" pivotButton="0" quotePrefix="0" xfId="0"/>
    <xf numFmtId="0" fontId="0" fillId="0" borderId="16" pivotButton="0" quotePrefix="0" xfId="0"/>
    <xf numFmtId="3" fontId="0" fillId="0" borderId="16" pivotButton="0" quotePrefix="0" xfId="0"/>
    <xf numFmtId="0" fontId="92" fillId="0" borderId="16" pivotButton="0" quotePrefix="0" xfId="0"/>
    <xf numFmtId="3" fontId="92" fillId="86" borderId="16" pivotButton="0" quotePrefix="0" xfId="0"/>
    <xf numFmtId="0" fontId="92" fillId="86" borderId="16" pivotButton="0" quotePrefix="0" xfId="0"/>
    <xf numFmtId="0" fontId="8" fillId="7" borderId="11" applyAlignment="1" pivotButton="0" quotePrefix="0" xfId="0">
      <alignment horizontal="center" vertical="center" wrapText="1"/>
    </xf>
    <xf numFmtId="164" fontId="5" fillId="9" borderId="12" applyAlignment="1" pivotButton="0" quotePrefix="0" xfId="0">
      <alignment horizontal="center" vertical="center"/>
    </xf>
    <xf numFmtId="164" fontId="9" fillId="10" borderId="12" applyAlignment="1" pivotButton="0" quotePrefix="0" xfId="0">
      <alignment horizontal="center" vertical="center"/>
    </xf>
    <xf numFmtId="164" fontId="17" fillId="2" borderId="13" applyAlignment="1" pivotButton="0" quotePrefix="0" xfId="0">
      <alignment horizontal="center" vertical="center"/>
    </xf>
    <xf numFmtId="164" fontId="0" fillId="0" borderId="11" pivotButton="0" quotePrefix="0" xfId="0"/>
    <xf numFmtId="0" fontId="8" fillId="15" borderId="11" applyAlignment="1" pivotButton="0" quotePrefix="0" xfId="0">
      <alignment horizontal="center" vertical="center" wrapText="1"/>
    </xf>
    <xf numFmtId="0" fontId="40" fillId="34" borderId="11" applyAlignment="1" pivotButton="0" quotePrefix="0" xfId="0">
      <alignment horizontal="center" vertical="center" wrapText="1"/>
    </xf>
    <xf numFmtId="0" fontId="40" fillId="57" borderId="11" applyAlignment="1" pivotButton="0" quotePrefix="0" xfId="0">
      <alignment horizontal="center" vertical="center" wrapText="1"/>
    </xf>
    <xf numFmtId="164" fontId="45" fillId="58" borderId="12" applyAlignment="1" pivotButton="0" quotePrefix="0" xfId="0">
      <alignment horizontal="center" vertical="center"/>
    </xf>
    <xf numFmtId="164" fontId="43" fillId="37" borderId="12" applyAlignment="1" pivotButton="0" quotePrefix="0" xfId="0">
      <alignment horizontal="center" vertical="center"/>
    </xf>
    <xf numFmtId="164" fontId="0" fillId="0" borderId="0" pivotButton="0" quotePrefix="0" xfId="0"/>
    <xf numFmtId="164" fontId="45" fillId="38" borderId="12" applyAlignment="1" pivotButton="0" quotePrefix="0" xfId="0">
      <alignment horizontal="center" vertical="center"/>
    </xf>
    <xf numFmtId="164" fontId="47" fillId="36" borderId="3" applyAlignment="1" pivotButton="0" quotePrefix="0" xfId="0">
      <alignment horizontal="center" vertical="center"/>
    </xf>
    <xf numFmtId="3" fontId="0" fillId="0" borderId="0" pivotButton="0" quotePrefix="0" xfId="0"/>
    <xf numFmtId="20" fontId="0" fillId="0" borderId="0" pivotButton="0" quotePrefix="0" xfId="0"/>
    <xf numFmtId="0" fontId="33" fillId="57" borderId="11" applyAlignment="1" pivotButton="0" quotePrefix="0" xfId="0">
      <alignment horizontal="center" vertical="center" wrapText="1"/>
    </xf>
    <xf numFmtId="3" fontId="57" fillId="61" borderId="11" applyAlignment="1" pivotButton="0" quotePrefix="0" xfId="0">
      <alignment horizontal="center" vertical="center" wrapText="1"/>
    </xf>
    <xf numFmtId="3" fontId="11" fillId="64" borderId="9" applyAlignment="1" pivotButton="0" quotePrefix="0" xfId="0">
      <alignment horizontal="center" vertical="center"/>
    </xf>
    <xf numFmtId="20" fontId="11" fillId="69" borderId="12" applyAlignment="1" pivotButton="0" quotePrefix="0" xfId="0">
      <alignment horizontal="center" vertical="center"/>
    </xf>
    <xf numFmtId="0" fontId="21" fillId="69" borderId="12" applyAlignment="1" pivotButton="0" quotePrefix="0" xfId="0">
      <alignment horizontal="left" vertical="center"/>
    </xf>
    <xf numFmtId="164" fontId="5" fillId="38" borderId="12" applyAlignment="1" pivotButton="0" quotePrefix="0" xfId="0">
      <alignment horizontal="center" vertical="center"/>
    </xf>
    <xf numFmtId="169" fontId="96" fillId="0" borderId="17" applyAlignment="1" pivotButton="0" quotePrefix="0" xfId="2">
      <alignment horizontal="center" vertical="center"/>
    </xf>
    <xf numFmtId="0" fontId="96" fillId="0" borderId="17" applyAlignment="1" pivotButton="0" quotePrefix="0" xfId="2">
      <alignment horizontal="center" vertical="center"/>
    </xf>
    <xf numFmtId="0" fontId="96" fillId="0" borderId="11" pivotButton="0" quotePrefix="0" xfId="2"/>
    <xf numFmtId="0" fontId="97" fillId="0" borderId="18" applyAlignment="1" pivotButton="0" quotePrefix="0" xfId="2">
      <alignment vertical="center"/>
    </xf>
    <xf numFmtId="169" fontId="97" fillId="0" borderId="19" applyAlignment="1" pivotButton="0" quotePrefix="0" xfId="2">
      <alignment vertical="center" shrinkToFit="1"/>
    </xf>
    <xf numFmtId="169" fontId="97" fillId="0" borderId="19" applyAlignment="1" pivotButton="0" quotePrefix="0" xfId="2">
      <alignment horizontal="right" vertical="center" shrinkToFit="1"/>
    </xf>
    <xf numFmtId="170" fontId="97" fillId="0" borderId="19" applyAlignment="1" pivotButton="0" quotePrefix="0" xfId="2">
      <alignment vertical="center"/>
    </xf>
    <xf numFmtId="169" fontId="96" fillId="0" borderId="19" applyAlignment="1" pivotButton="0" quotePrefix="0" xfId="2">
      <alignment horizontal="center" vertical="center"/>
    </xf>
    <xf numFmtId="0" fontId="96" fillId="0" borderId="19" applyAlignment="1" pivotButton="0" quotePrefix="0" xfId="2">
      <alignment horizontal="left" vertical="center"/>
    </xf>
    <xf numFmtId="0" fontId="96" fillId="0" borderId="19" applyAlignment="1" pivotButton="0" quotePrefix="0" xfId="2">
      <alignment horizontal="center" vertical="center"/>
    </xf>
    <xf numFmtId="169" fontId="97" fillId="87" borderId="19" applyAlignment="1" pivotButton="0" quotePrefix="0" xfId="2">
      <alignment vertical="center" shrinkToFit="1"/>
    </xf>
    <xf numFmtId="170" fontId="97" fillId="87" borderId="19" applyAlignment="1" pivotButton="0" quotePrefix="0" xfId="2">
      <alignment vertical="center"/>
    </xf>
    <xf numFmtId="0" fontId="96" fillId="0" borderId="11" applyAlignment="1" pivotButton="0" quotePrefix="0" xfId="2">
      <alignment horizontal="center"/>
    </xf>
    <xf numFmtId="0" fontId="95" fillId="0" borderId="19" applyAlignment="1" pivotButton="0" quotePrefix="0" xfId="1">
      <alignment horizontal="left" vertical="center"/>
    </xf>
    <xf numFmtId="170" fontId="95" fillId="0" borderId="19" applyAlignment="1" pivotButton="0" quotePrefix="0" xfId="1">
      <alignment vertical="center"/>
    </xf>
    <xf numFmtId="0" fontId="96" fillId="0" borderId="18" applyAlignment="1" pivotButton="0" quotePrefix="0" xfId="2">
      <alignment vertical="center"/>
    </xf>
    <xf numFmtId="0" fontId="96" fillId="88" borderId="19" applyAlignment="1" pivotButton="0" quotePrefix="0" xfId="2">
      <alignment horizontal="left" vertical="center"/>
    </xf>
    <xf numFmtId="169" fontId="97" fillId="0" borderId="19" applyAlignment="1" pivotButton="0" quotePrefix="0" xfId="2">
      <alignment horizontal="center" vertical="center" shrinkToFit="1"/>
    </xf>
    <xf numFmtId="169" fontId="97" fillId="89" borderId="19" applyAlignment="1" pivotButton="0" quotePrefix="0" xfId="2">
      <alignment vertical="center" shrinkToFit="1"/>
    </xf>
    <xf numFmtId="170" fontId="97" fillId="89" borderId="19" applyAlignment="1" pivotButton="0" quotePrefix="0" xfId="2">
      <alignment vertical="center"/>
    </xf>
    <xf numFmtId="171" fontId="96" fillId="0" borderId="19" applyAlignment="1" pivotButton="0" quotePrefix="0" xfId="2">
      <alignment horizontal="left" vertical="center"/>
    </xf>
    <xf numFmtId="169" fontId="96" fillId="0" borderId="19" applyAlignment="1" pivotButton="0" quotePrefix="0" xfId="2">
      <alignment horizontal="center"/>
    </xf>
    <xf numFmtId="170" fontId="95" fillId="0" borderId="19" applyAlignment="1" pivotButton="0" quotePrefix="0" xfId="1">
      <alignment horizontal="left" vertical="center"/>
    </xf>
    <xf numFmtId="0" fontId="99" fillId="0" borderId="19" applyAlignment="1" pivotButton="0" quotePrefix="0" xfId="3">
      <alignment horizontal="left" vertical="center"/>
    </xf>
    <xf numFmtId="169" fontId="96" fillId="0" borderId="11" applyAlignment="1" pivotButton="0" quotePrefix="0" xfId="2">
      <alignment horizontal="center"/>
    </xf>
    <xf numFmtId="0" fontId="95" fillId="0" borderId="19" applyAlignment="1" pivotButton="0" quotePrefix="0" xfId="3">
      <alignment horizontal="left" vertical="center"/>
    </xf>
    <xf numFmtId="0" fontId="96" fillId="0" borderId="11" applyAlignment="1" pivotButton="0" quotePrefix="0" xfId="2">
      <alignment horizontal="left" vertical="center" shrinkToFit="1"/>
    </xf>
    <xf numFmtId="169" fontId="100" fillId="0" borderId="19" applyAlignment="1" pivotButton="0" quotePrefix="0" xfId="2">
      <alignment horizontal="center"/>
    </xf>
    <xf numFmtId="169" fontId="98" fillId="0" borderId="19" applyAlignment="1" pivotButton="0" quotePrefix="0" xfId="2">
      <alignment horizontal="center" vertical="center"/>
    </xf>
    <xf numFmtId="170" fontId="95" fillId="87" borderId="19" applyAlignment="1" pivotButton="0" quotePrefix="0" xfId="1">
      <alignment horizontal="left" vertical="center"/>
    </xf>
    <xf numFmtId="0" fontId="101" fillId="0" borderId="11" pivotButton="0" quotePrefix="0" xfId="2"/>
    <xf numFmtId="0" fontId="96" fillId="0" borderId="19" applyAlignment="1" pivotButton="0" quotePrefix="0" xfId="2">
      <alignment horizontal="left" vertical="center" wrapText="1"/>
    </xf>
    <xf numFmtId="0" fontId="97" fillId="90" borderId="18" applyAlignment="1" pivotButton="0" quotePrefix="0" xfId="2">
      <alignment vertical="center"/>
    </xf>
    <xf numFmtId="169" fontId="96" fillId="0" borderId="19" applyAlignment="1" pivotButton="0" quotePrefix="0" xfId="2">
      <alignment vertical="center" shrinkToFit="1"/>
    </xf>
    <xf numFmtId="0" fontId="96" fillId="0" borderId="19" applyAlignment="1" pivotButton="0" quotePrefix="0" xfId="2">
      <alignment vertical="center"/>
    </xf>
    <xf numFmtId="0" fontId="95" fillId="0" borderId="19" applyAlignment="1" pivotButton="0" quotePrefix="0" xfId="1">
      <alignment vertical="center"/>
    </xf>
    <xf numFmtId="169" fontId="96" fillId="0" borderId="19" applyAlignment="1" pivotButton="0" quotePrefix="0" xfId="2">
      <alignment horizontal="right" vertical="center" shrinkToFit="1"/>
    </xf>
    <xf numFmtId="170" fontId="96" fillId="0" borderId="19" applyAlignment="1" pivotButton="0" quotePrefix="0" xfId="2">
      <alignment vertical="center"/>
    </xf>
    <xf numFmtId="170" fontId="102" fillId="0" borderId="19" applyAlignment="1" pivotButton="0" quotePrefix="0" xfId="2">
      <alignment vertical="center"/>
    </xf>
    <xf numFmtId="0" fontId="97" fillId="0" borderId="19" applyAlignment="1" pivotButton="0" quotePrefix="0" xfId="2">
      <alignment vertical="center"/>
    </xf>
    <xf numFmtId="0" fontId="96" fillId="90" borderId="18" applyAlignment="1" pivotButton="0" quotePrefix="0" xfId="2">
      <alignment vertical="center"/>
    </xf>
    <xf numFmtId="0" fontId="97" fillId="0" borderId="19" applyAlignment="1" pivotButton="0" quotePrefix="0" xfId="2">
      <alignment vertical="center" shrinkToFit="1"/>
    </xf>
    <xf numFmtId="169" fontId="97" fillId="0" borderId="20" applyAlignment="1" pivotButton="0" quotePrefix="0" xfId="2">
      <alignment vertical="center" shrinkToFit="1"/>
    </xf>
    <xf numFmtId="169" fontId="97" fillId="0" borderId="20" applyAlignment="1" pivotButton="0" quotePrefix="0" xfId="2">
      <alignment horizontal="right" vertical="center" shrinkToFit="1"/>
    </xf>
    <xf numFmtId="0" fontId="97" fillId="0" borderId="20" applyAlignment="1" pivotButton="0" quotePrefix="0" xfId="2">
      <alignment vertical="center" shrinkToFit="1"/>
    </xf>
    <xf numFmtId="0" fontId="96" fillId="0" borderId="20" applyAlignment="1" pivotButton="0" quotePrefix="0" xfId="2">
      <alignment horizontal="left" vertical="center"/>
    </xf>
    <xf numFmtId="0" fontId="96" fillId="0" borderId="21" applyAlignment="1" pivotButton="0" quotePrefix="0" xfId="2">
      <alignment horizontal="left" vertical="center"/>
    </xf>
    <xf numFmtId="0" fontId="103" fillId="0" borderId="0" pivotButton="0" quotePrefix="0" xfId="0"/>
    <xf numFmtId="0" fontId="104" fillId="0" borderId="0" pivotButton="0" quotePrefix="0" xfId="0"/>
    <xf numFmtId="0" fontId="105" fillId="91" borderId="22" applyAlignment="1" pivotButton="0" quotePrefix="0" xfId="0">
      <alignment horizontal="center" vertical="center" wrapText="1"/>
    </xf>
    <xf numFmtId="0" fontId="106" fillId="92" borderId="22" pivotButton="0" quotePrefix="0" xfId="0"/>
    <xf numFmtId="4" fontId="106" fillId="92" borderId="22" pivotButton="0" quotePrefix="0" xfId="0"/>
    <xf numFmtId="0" fontId="107" fillId="93" borderId="22" pivotButton="0" quotePrefix="0" xfId="0"/>
    <xf numFmtId="172" fontId="106" fillId="92" borderId="22" pivotButton="0" quotePrefix="0" xfId="0"/>
    <xf numFmtId="2" fontId="106" fillId="92" borderId="22" pivotButton="0" quotePrefix="0" xfId="0"/>
    <xf numFmtId="0" fontId="38" fillId="40" borderId="11" applyAlignment="1" pivotButton="0" quotePrefix="0" xfId="0">
      <alignment horizontal="left" vertical="center"/>
    </xf>
    <xf numFmtId="3" fontId="106" fillId="92" borderId="22" pivotButton="0" quotePrefix="0" xfId="0"/>
    <xf numFmtId="49" fontId="106" fillId="92" borderId="22" pivotButton="0" quotePrefix="0" xfId="0"/>
    <xf numFmtId="1" fontId="106" fillId="92" borderId="22" pivotButton="0" quotePrefix="0" xfId="0"/>
    <xf numFmtId="0" fontId="108" fillId="0" borderId="0" pivotButton="0" quotePrefix="0" xfId="0"/>
    <xf numFmtId="0" fontId="109" fillId="91" borderId="0" applyAlignment="1" pivotButton="0" quotePrefix="0" xfId="0">
      <alignment horizontal="center"/>
    </xf>
    <xf numFmtId="0" fontId="110" fillId="0" borderId="0" pivotButton="0" quotePrefix="0" xfId="0"/>
    <xf numFmtId="0" fontId="111" fillId="0" borderId="0" pivotButton="0" quotePrefix="0" xfId="0"/>
    <xf numFmtId="0" fontId="112" fillId="0" borderId="0" pivotButton="0" quotePrefix="0" xfId="0"/>
    <xf numFmtId="0" fontId="109" fillId="91" borderId="0" applyAlignment="1" pivotButton="0" quotePrefix="0" xfId="0">
      <alignment horizontal="center" wrapText="1"/>
    </xf>
    <xf numFmtId="0" fontId="110" fillId="74" borderId="0" pivotButton="0" quotePrefix="0" xfId="0"/>
    <xf numFmtId="0" fontId="110" fillId="93" borderId="0" pivotButton="0" quotePrefix="0" xfId="0"/>
    <xf numFmtId="0" fontId="106" fillId="93" borderId="22" pivotButton="0" quotePrefix="0" xfId="0"/>
    <xf numFmtId="0" fontId="110" fillId="10" borderId="0" pivotButton="0" quotePrefix="0" xfId="0"/>
    <xf numFmtId="21" fontId="11" fillId="5" borderId="1" applyAlignment="1" pivotButton="0" quotePrefix="0" xfId="0">
      <alignment horizontal="center" vertical="center"/>
    </xf>
    <xf numFmtId="21" fontId="64" fillId="64" borderId="9" applyAlignment="1" pivotButton="0" quotePrefix="0" xfId="0">
      <alignment horizontal="center" vertical="center"/>
    </xf>
    <xf numFmtId="4" fontId="0" fillId="0" borderId="0" pivotButton="0" quotePrefix="0" xfId="0"/>
    <xf numFmtId="3" fontId="11" fillId="69" borderId="1" applyAlignment="1" pivotButton="0" quotePrefix="0" xfId="0">
      <alignment horizontal="center" vertical="center"/>
    </xf>
    <xf numFmtId="0" fontId="67" fillId="0" borderId="0" pivotButton="0" quotePrefix="0" xfId="0"/>
    <xf numFmtId="0" fontId="113" fillId="0" borderId="0" pivotButton="0" quotePrefix="0" xfId="0"/>
    <xf numFmtId="4" fontId="110" fillId="0" borderId="0" pivotButton="0" quotePrefix="0" xfId="0"/>
    <xf numFmtId="3" fontId="110" fillId="0" borderId="0" pivotButton="0" quotePrefix="0" xfId="0"/>
    <xf numFmtId="3" fontId="105" fillId="91" borderId="22" applyAlignment="1" pivotButton="0" quotePrefix="0" xfId="0">
      <alignment horizontal="center" vertical="center" wrapText="1"/>
    </xf>
    <xf numFmtId="0" fontId="106" fillId="92" borderId="25" pivotButton="0" quotePrefix="0" xfId="0"/>
    <xf numFmtId="164" fontId="106" fillId="92" borderId="22" pivotButton="0" quotePrefix="0" xfId="0"/>
    <xf numFmtId="0" fontId="114" fillId="0" borderId="0" pivotButton="0" quotePrefix="0" xfId="0"/>
    <xf numFmtId="0" fontId="94" fillId="0" borderId="0" pivotButton="0" quotePrefix="0" xfId="0"/>
    <xf numFmtId="173" fontId="0" fillId="0" borderId="0" pivotButton="0" quotePrefix="0" xfId="0"/>
    <xf numFmtId="0" fontId="115" fillId="0" borderId="0" pivotButton="0" quotePrefix="0" xfId="0"/>
    <xf numFmtId="0" fontId="116" fillId="94" borderId="26" applyAlignment="1" pivotButton="0" quotePrefix="0" xfId="0">
      <alignment horizontal="center" vertical="center"/>
    </xf>
    <xf numFmtId="0" fontId="0" fillId="0" borderId="26" pivotButton="0" quotePrefix="0" xfId="0"/>
    <xf numFmtId="4" fontId="0" fillId="0" borderId="26" pivotButton="0" quotePrefix="0" xfId="0"/>
    <xf numFmtId="3" fontId="0" fillId="0" borderId="26" pivotButton="0" quotePrefix="0" xfId="0"/>
    <xf numFmtId="0" fontId="106" fillId="92" borderId="26" pivotButton="0" quotePrefix="0" xfId="0"/>
    <xf numFmtId="173" fontId="106" fillId="92" borderId="22" pivotButton="0" quotePrefix="0" xfId="0"/>
    <xf numFmtId="0" fontId="117" fillId="0" borderId="0" pivotButton="0" quotePrefix="0" xfId="0"/>
    <xf numFmtId="0" fontId="118" fillId="95" borderId="27" applyAlignment="1" pivotButton="0" quotePrefix="0" xfId="0">
      <alignment horizontal="center" vertical="center"/>
    </xf>
    <xf numFmtId="0" fontId="0" fillId="0" borderId="27" pivotButton="0" quotePrefix="0" xfId="0"/>
    <xf numFmtId="4" fontId="0" fillId="0" borderId="27" pivotButton="0" quotePrefix="0" xfId="0"/>
    <xf numFmtId="164" fontId="0" fillId="0" borderId="27" pivotButton="0" quotePrefix="0" xfId="0"/>
    <xf numFmtId="0" fontId="5" fillId="0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4" borderId="11" applyAlignment="1" pivotButton="0" quotePrefix="0" xfId="0">
      <alignment horizontal="left" vertical="center" wrapText="1"/>
    </xf>
    <xf numFmtId="0" fontId="52" fillId="43" borderId="11" applyAlignment="1" pivotButton="0" quotePrefix="0" xfId="0">
      <alignment horizontal="left" vertical="center"/>
    </xf>
    <xf numFmtId="0" fontId="7" fillId="3" borderId="11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left" vertical="center" wrapText="1"/>
    </xf>
    <xf numFmtId="0" fontId="6" fillId="5" borderId="11" applyAlignment="1" pivotButton="0" quotePrefix="0" xfId="0">
      <alignment horizontal="left" vertical="center" wrapText="1"/>
    </xf>
    <xf numFmtId="0" fontId="50" fillId="48" borderId="11" applyAlignment="1" pivotButton="0" quotePrefix="0" xfId="0">
      <alignment horizontal="left" vertical="center"/>
    </xf>
    <xf numFmtId="0" fontId="54" fillId="47" borderId="11" applyAlignment="1" pivotButton="0" quotePrefix="0" xfId="0">
      <alignment horizontal="left" vertical="center"/>
    </xf>
    <xf numFmtId="0" fontId="53" fillId="45" borderId="11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 wrapText="1"/>
    </xf>
    <xf numFmtId="0" fontId="35" fillId="0" borderId="11" applyAlignment="1" pivotButton="0" quotePrefix="0" xfId="0">
      <alignment horizontal="left" vertical="center" wrapText="1"/>
    </xf>
    <xf numFmtId="0" fontId="38" fillId="35" borderId="11" applyAlignment="1" pivotButton="0" quotePrefix="0" xfId="0">
      <alignment horizontal="left" vertical="center"/>
    </xf>
    <xf numFmtId="0" fontId="2" fillId="3" borderId="11" applyAlignment="1" pivotButton="0" quotePrefix="0" xfId="0">
      <alignment horizontal="left" vertical="center" wrapText="1"/>
    </xf>
    <xf numFmtId="0" fontId="49" fillId="36" borderId="11" applyAlignment="1" pivotButton="0" quotePrefix="0" xfId="0">
      <alignment horizontal="left" vertical="center"/>
    </xf>
    <xf numFmtId="0" fontId="51" fillId="41" borderId="11" applyAlignment="1" pivotButton="0" quotePrefix="0" xfId="0">
      <alignment horizontal="left" vertical="center"/>
    </xf>
    <xf numFmtId="0" fontId="1" fillId="2" borderId="11" applyAlignment="1" pivotButton="0" quotePrefix="0" xfId="0">
      <alignment horizontal="center" vertical="center"/>
    </xf>
    <xf numFmtId="0" fontId="55" fillId="49" borderId="11" applyAlignment="1" pivotButton="0" quotePrefix="0" xfId="0">
      <alignment horizontal="left" vertical="center"/>
    </xf>
    <xf numFmtId="0" fontId="8" fillId="6" borderId="11" applyAlignment="1" pivotButton="0" quotePrefix="0" xfId="0">
      <alignment horizontal="center" vertical="center"/>
    </xf>
    <xf numFmtId="0" fontId="0" fillId="0" borderId="11" pivotButton="0" quotePrefix="0" xfId="0"/>
    <xf numFmtId="0" fontId="17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7" fillId="2" borderId="11" applyAlignment="1" pivotButton="0" quotePrefix="0" xfId="0">
      <alignment horizontal="center" vertical="center"/>
    </xf>
    <xf numFmtId="0" fontId="8" fillId="15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66" fillId="66" borderId="11" applyAlignment="1" pivotButton="0" quotePrefix="0" xfId="0">
      <alignment horizontal="left" vertical="center"/>
    </xf>
    <xf numFmtId="0" fontId="9" fillId="21" borderId="1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8" fillId="22" borderId="11" applyAlignment="1" pivotButton="0" quotePrefix="0" xfId="0">
      <alignment horizontal="center" vertical="center"/>
    </xf>
    <xf numFmtId="0" fontId="8" fillId="23" borderId="11" applyAlignment="1" pivotButton="0" quotePrefix="0" xfId="0">
      <alignment horizontal="center" vertical="center"/>
    </xf>
    <xf numFmtId="0" fontId="17" fillId="3" borderId="13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34" fillId="33" borderId="11" applyAlignment="1" pivotButton="0" quotePrefix="0" xfId="0">
      <alignment horizontal="left" vertical="center"/>
    </xf>
    <xf numFmtId="0" fontId="39" fillId="34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9" fillId="56" borderId="11" applyAlignment="1" pivotButton="0" quotePrefix="0" xfId="0">
      <alignment horizontal="left" vertical="center" wrapText="1"/>
    </xf>
    <xf numFmtId="0" fontId="39" fillId="35" borderId="11" applyAlignment="1" pivotButton="0" quotePrefix="0" xfId="0">
      <alignment horizontal="left" vertical="center"/>
    </xf>
    <xf numFmtId="0" fontId="38" fillId="34" borderId="11" applyAlignment="1" pivotButton="0" quotePrefix="0" xfId="0">
      <alignment horizontal="left" vertical="center"/>
    </xf>
    <xf numFmtId="0" fontId="62" fillId="60" borderId="11" applyAlignment="1" pivotButton="0" quotePrefix="0" xfId="0">
      <alignment horizontal="center" vertical="center"/>
    </xf>
    <xf numFmtId="0" fontId="62" fillId="62" borderId="11" applyAlignment="1" pivotButton="0" quotePrefix="0" xfId="0">
      <alignment horizontal="center" vertical="center" wrapText="1"/>
    </xf>
    <xf numFmtId="0" fontId="62" fillId="59" borderId="11" applyAlignment="1" pivotButton="0" quotePrefix="0" xfId="0">
      <alignment horizontal="center" vertical="center"/>
    </xf>
    <xf numFmtId="0" fontId="62" fillId="63" borderId="11" applyAlignment="1" pivotButton="0" quotePrefix="0" xfId="0">
      <alignment horizontal="center" vertical="center"/>
    </xf>
    <xf numFmtId="0" fontId="61" fillId="60" borderId="11" applyAlignment="1" pivotButton="0" quotePrefix="0" xfId="0">
      <alignment horizontal="left" vertical="center"/>
    </xf>
    <xf numFmtId="0" fontId="60" fillId="59" borderId="11" applyAlignment="1" pivotButton="0" quotePrefix="0" xfId="0">
      <alignment horizontal="left" vertical="center"/>
    </xf>
    <xf numFmtId="0" fontId="62" fillId="61" borderId="11" applyAlignment="1" pivotButton="0" quotePrefix="0" xfId="0">
      <alignment horizontal="center" vertical="center"/>
    </xf>
    <xf numFmtId="0" fontId="62" fillId="65" borderId="11" applyAlignment="1" pivotButton="0" quotePrefix="0" xfId="0">
      <alignment horizontal="center" vertical="center"/>
    </xf>
    <xf numFmtId="0" fontId="60" fillId="65" borderId="11" applyAlignment="1" pivotButton="0" quotePrefix="0" xfId="0">
      <alignment horizontal="left" vertical="center"/>
    </xf>
    <xf numFmtId="0" fontId="33" fillId="67" borderId="11" applyAlignment="1" pivotButton="0" quotePrefix="0" xfId="0">
      <alignment horizontal="center" vertical="center"/>
    </xf>
    <xf numFmtId="0" fontId="33" fillId="62" borderId="11" applyAlignment="1" pivotButton="0" quotePrefix="0" xfId="0">
      <alignment horizontal="center" vertical="center" wrapText="1"/>
    </xf>
    <xf numFmtId="0" fontId="33" fillId="63" borderId="11" applyAlignment="1" pivotButton="0" quotePrefix="0" xfId="0">
      <alignment horizontal="center" vertical="center"/>
    </xf>
    <xf numFmtId="0" fontId="8" fillId="67" borderId="11" applyAlignment="1" pivotButton="0" quotePrefix="0" xfId="0">
      <alignment horizontal="left" vertical="center"/>
    </xf>
    <xf numFmtId="0" fontId="33" fillId="77" borderId="11" applyAlignment="1" pivotButton="0" quotePrefix="0" xfId="0">
      <alignment horizontal="center" vertical="center"/>
    </xf>
    <xf numFmtId="0" fontId="17" fillId="77" borderId="11" applyAlignment="1" pivotButton="0" quotePrefix="0" xfId="0">
      <alignment horizontal="left" vertical="center"/>
    </xf>
    <xf numFmtId="0" fontId="33" fillId="73" borderId="11" applyAlignment="1" pivotButton="0" quotePrefix="0" xfId="0">
      <alignment horizontal="center" vertical="center"/>
    </xf>
    <xf numFmtId="0" fontId="33" fillId="81" borderId="11" applyAlignment="1" pivotButton="0" quotePrefix="0" xfId="0">
      <alignment horizontal="center" vertical="center"/>
    </xf>
    <xf numFmtId="0" fontId="17" fillId="81" borderId="11" applyAlignment="1" pivotButton="0" quotePrefix="0" xfId="0">
      <alignment horizontal="left" vertical="center"/>
    </xf>
    <xf numFmtId="0" fontId="39" fillId="34" borderId="11" applyAlignment="1" pivotButton="0" quotePrefix="0" xfId="0">
      <alignment horizontal="center" vertical="center"/>
    </xf>
    <xf numFmtId="0" fontId="39" fillId="40" borderId="11" applyAlignment="1" pivotButton="0" quotePrefix="0" xfId="0">
      <alignment horizontal="center" vertical="center"/>
    </xf>
    <xf numFmtId="0" fontId="39" fillId="35" borderId="11" applyAlignment="1" pivotButton="0" quotePrefix="0" xfId="0">
      <alignment horizontal="center" vertical="center"/>
    </xf>
    <xf numFmtId="0" fontId="39" fillId="42" borderId="11" applyAlignment="1" pivotButton="0" quotePrefix="0" xfId="0">
      <alignment horizontal="center" vertical="center"/>
    </xf>
    <xf numFmtId="0" fontId="39" fillId="52" borderId="11" applyAlignment="1" pivotButton="0" quotePrefix="0" xfId="0">
      <alignment horizontal="center" vertical="center"/>
    </xf>
    <xf numFmtId="0" fontId="39" fillId="44" borderId="11" applyAlignment="1" pivotButton="0" quotePrefix="0" xfId="0">
      <alignment horizontal="center" vertical="center"/>
    </xf>
    <xf numFmtId="0" fontId="39" fillId="46" borderId="11" applyAlignment="1" pivotButton="0" quotePrefix="0" xfId="0">
      <alignment horizontal="center" vertical="center"/>
    </xf>
    <xf numFmtId="0" fontId="39" fillId="51" borderId="11" applyAlignment="1" pivotButton="0" quotePrefix="0" xfId="0">
      <alignment horizontal="center" vertical="center"/>
    </xf>
    <xf numFmtId="0" fontId="56" fillId="50" borderId="11" applyAlignment="1" pivotButton="0" quotePrefix="0" xfId="0">
      <alignment horizontal="center" vertical="center"/>
    </xf>
    <xf numFmtId="0" fontId="67" fillId="72" borderId="11" applyAlignment="1" pivotButton="0" quotePrefix="0" xfId="0">
      <alignment horizontal="center" vertical="center"/>
    </xf>
    <xf numFmtId="0" fontId="72" fillId="82" borderId="11" applyAlignment="1" pivotButton="0" quotePrefix="0" xfId="0">
      <alignment horizontal="left" vertical="center"/>
    </xf>
    <xf numFmtId="0" fontId="87" fillId="75" borderId="11" applyAlignment="1" pivotButton="0" quotePrefix="0" xfId="0">
      <alignment horizontal="left" vertical="center" wrapText="1"/>
    </xf>
    <xf numFmtId="0" fontId="89" fillId="84" borderId="11" applyAlignment="1" pivotButton="0" quotePrefix="0" xfId="0">
      <alignment horizontal="left" vertical="top" wrapText="1"/>
    </xf>
    <xf numFmtId="0" fontId="72" fillId="67" borderId="11" applyAlignment="1" pivotButton="0" quotePrefix="0" xfId="0">
      <alignment horizontal="left" vertical="center"/>
    </xf>
    <xf numFmtId="0" fontId="71" fillId="71" borderId="11" applyAlignment="1" pivotButton="0" quotePrefix="0" xfId="0">
      <alignment horizontal="center" vertical="center"/>
    </xf>
    <xf numFmtId="0" fontId="72" fillId="71" borderId="13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164" fontId="5" fillId="9" borderId="12" applyAlignment="1" pivotButton="0" quotePrefix="0" xfId="0">
      <alignment horizontal="center" vertical="center"/>
    </xf>
    <xf numFmtId="164" fontId="9" fillId="10" borderId="12" applyAlignment="1" pivotButton="0" quotePrefix="0" xfId="0">
      <alignment horizontal="center" vertical="center"/>
    </xf>
    <xf numFmtId="164" fontId="17" fillId="2" borderId="13" applyAlignment="1" pivotButton="0" quotePrefix="0" xfId="0">
      <alignment horizontal="center" vertical="center"/>
    </xf>
    <xf numFmtId="164" fontId="0" fillId="0" borderId="11" pivotButton="0" quotePrefix="0" xfId="0"/>
    <xf numFmtId="164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73" fontId="0" fillId="0" borderId="0" pivotButton="0" quotePrefix="0" xfId="0"/>
    <xf numFmtId="164" fontId="39" fillId="50" borderId="7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164" fontId="5" fillId="14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164" fontId="5" fillId="18" borderId="1" applyAlignment="1" pivotButton="0" quotePrefix="0" xfId="0">
      <alignment horizontal="center" vertical="center"/>
    </xf>
    <xf numFmtId="164" fontId="17" fillId="2" borderId="2" applyAlignment="1" pivotButton="0" quotePrefix="0" xfId="0">
      <alignment horizontal="center" vertical="center"/>
    </xf>
    <xf numFmtId="164" fontId="11" fillId="31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166" fontId="5" fillId="32" borderId="1" applyAlignment="1" pivotButton="0" quotePrefix="0" xfId="0">
      <alignment horizontal="center" vertical="center"/>
    </xf>
    <xf numFmtId="166" fontId="17" fillId="3" borderId="2" applyAlignment="1" pivotButton="0" quotePrefix="0" xfId="0">
      <alignment horizontal="center" vertical="center"/>
    </xf>
    <xf numFmtId="165" fontId="5" fillId="20" borderId="1" applyAlignment="1" pivotButton="0" quotePrefix="0" xfId="0">
      <alignment horizontal="center" vertical="center"/>
    </xf>
    <xf numFmtId="167" fontId="5" fillId="20" borderId="1" applyAlignment="1" pivotButton="0" quotePrefix="0" xfId="0">
      <alignment horizontal="center" vertical="center"/>
    </xf>
    <xf numFmtId="166" fontId="5" fillId="20" borderId="1" applyAlignment="1" pivotButton="0" quotePrefix="0" xfId="0">
      <alignment horizontal="center" vertical="center"/>
    </xf>
    <xf numFmtId="165" fontId="5" fillId="21" borderId="1" applyAlignment="1" pivotButton="0" quotePrefix="0" xfId="0">
      <alignment horizontal="center" vertical="center"/>
    </xf>
    <xf numFmtId="167" fontId="5" fillId="21" borderId="1" applyAlignment="1" pivotButton="0" quotePrefix="0" xfId="0">
      <alignment horizontal="center" vertical="center"/>
    </xf>
    <xf numFmtId="166" fontId="5" fillId="21" borderId="1" applyAlignment="1" pivotButton="0" quotePrefix="0" xfId="0">
      <alignment horizontal="center" vertical="center"/>
    </xf>
    <xf numFmtId="164" fontId="45" fillId="38" borderId="3" applyAlignment="1" pivotButton="0" quotePrefix="0" xfId="0">
      <alignment horizontal="center" vertical="center"/>
    </xf>
    <xf numFmtId="164" fontId="45" fillId="58" borderId="3" applyAlignment="1" pivotButton="0" quotePrefix="0" xfId="0">
      <alignment horizontal="center" vertical="center"/>
    </xf>
    <xf numFmtId="164" fontId="45" fillId="58" borderId="12" applyAlignment="1" pivotButton="0" quotePrefix="0" xfId="0">
      <alignment horizontal="center" vertical="center"/>
    </xf>
    <xf numFmtId="164" fontId="43" fillId="37" borderId="12" applyAlignment="1" pivotButton="0" quotePrefix="0" xfId="0">
      <alignment horizontal="center" vertical="center"/>
    </xf>
    <xf numFmtId="164" fontId="46" fillId="36" borderId="3" applyAlignment="1" pivotButton="0" quotePrefix="0" xfId="0">
      <alignment horizontal="center" vertical="center"/>
    </xf>
    <xf numFmtId="164" fontId="45" fillId="38" borderId="12" applyAlignment="1" pivotButton="0" quotePrefix="0" xfId="0">
      <alignment horizontal="center" vertical="center"/>
    </xf>
    <xf numFmtId="164" fontId="47" fillId="36" borderId="3" applyAlignment="1" pivotButton="0" quotePrefix="0" xfId="0">
      <alignment horizontal="center" vertical="center"/>
    </xf>
    <xf numFmtId="164" fontId="39" fillId="34" borderId="4" applyAlignment="1" pivotButton="0" quotePrefix="0" xfId="0">
      <alignment horizontal="center" vertical="center"/>
    </xf>
    <xf numFmtId="164" fontId="0" fillId="0" borderId="0" pivotButton="0" quotePrefix="0" xfId="0"/>
    <xf numFmtId="164" fontId="63" fillId="61" borderId="8" applyAlignment="1" pivotButton="0" quotePrefix="0" xfId="0">
      <alignment horizontal="center" vertical="center" wrapText="1"/>
    </xf>
    <xf numFmtId="164" fontId="63" fillId="62" borderId="8" applyAlignment="1" pivotButton="0" quotePrefix="0" xfId="0">
      <alignment horizontal="center" vertical="center" wrapText="1"/>
    </xf>
    <xf numFmtId="164" fontId="63" fillId="59" borderId="8" applyAlignment="1" pivotButton="0" quotePrefix="0" xfId="0">
      <alignment horizontal="center" vertical="center" wrapText="1"/>
    </xf>
    <xf numFmtId="164" fontId="63" fillId="65" borderId="8" applyAlignment="1" pivotButton="0" quotePrefix="0" xfId="0">
      <alignment horizontal="center" vertical="center" wrapText="1"/>
    </xf>
    <xf numFmtId="164" fontId="57" fillId="73" borderId="11" applyAlignment="1" pivotButton="0" quotePrefix="0" xfId="0">
      <alignment horizontal="center" vertical="center" wrapText="1"/>
    </xf>
    <xf numFmtId="164" fontId="57" fillId="62" borderId="11" applyAlignment="1" pivotButton="0" quotePrefix="0" xfId="0">
      <alignment horizontal="center" vertical="center" wrapText="1"/>
    </xf>
    <xf numFmtId="164" fontId="57" fillId="77" borderId="11" applyAlignment="1" pivotButton="0" quotePrefix="0" xfId="0">
      <alignment horizontal="center" vertical="center" wrapText="1"/>
    </xf>
    <xf numFmtId="164" fontId="5" fillId="38" borderId="12" applyAlignment="1" pivotButton="0" quotePrefix="0" xfId="0">
      <alignment horizontal="center" vertical="center"/>
    </xf>
    <xf numFmtId="164" fontId="57" fillId="81" borderId="11" applyAlignment="1" pivotButton="0" quotePrefix="0" xfId="0">
      <alignment horizontal="center" vertical="center" wrapText="1"/>
    </xf>
    <xf numFmtId="164" fontId="58" fillId="53" borderId="3" applyAlignment="1" pivotButton="0" quotePrefix="0" xfId="0">
      <alignment horizontal="center" vertical="center"/>
    </xf>
    <xf numFmtId="164" fontId="58" fillId="54" borderId="3" applyAlignment="1" pivotButton="0" quotePrefix="0" xfId="0">
      <alignment horizontal="center" vertical="center"/>
    </xf>
    <xf numFmtId="164" fontId="58" fillId="36" borderId="3" applyAlignment="1" pivotButton="0" quotePrefix="0" xfId="0">
      <alignment horizontal="center" vertical="center"/>
    </xf>
    <xf numFmtId="164" fontId="58" fillId="41" borderId="3" applyAlignment="1" pivotButton="0" quotePrefix="0" xfId="0">
      <alignment horizontal="center" vertical="center"/>
    </xf>
    <xf numFmtId="164" fontId="58" fillId="43" borderId="3" applyAlignment="1" pivotButton="0" quotePrefix="0" xfId="0">
      <alignment horizontal="center" vertical="center"/>
    </xf>
    <xf numFmtId="164" fontId="58" fillId="45" borderId="3" applyAlignment="1" pivotButton="0" quotePrefix="0" xfId="0">
      <alignment horizontal="center" vertical="center"/>
    </xf>
    <xf numFmtId="164" fontId="58" fillId="47" borderId="3" applyAlignment="1" pivotButton="0" quotePrefix="0" xfId="0">
      <alignment horizontal="center" vertical="center"/>
    </xf>
    <xf numFmtId="168" fontId="74" fillId="68" borderId="12" applyAlignment="1" pivotButton="0" quotePrefix="0" xfId="0">
      <alignment horizontal="center" vertical="center"/>
    </xf>
    <xf numFmtId="164" fontId="79" fillId="68" borderId="12" applyAlignment="1" pivotButton="0" quotePrefix="0" xfId="0">
      <alignment horizontal="center" vertical="center"/>
    </xf>
    <xf numFmtId="165" fontId="77" fillId="68" borderId="12" applyAlignment="1" pivotButton="0" quotePrefix="0" xfId="0">
      <alignment horizontal="center" vertical="center"/>
    </xf>
    <xf numFmtId="164" fontId="75" fillId="68" borderId="12" applyAlignment="1" pivotButton="0" quotePrefix="0" xfId="0">
      <alignment horizontal="center" vertical="center"/>
    </xf>
    <xf numFmtId="164" fontId="82" fillId="70" borderId="12" applyAlignment="1" pivotButton="0" quotePrefix="0" xfId="0">
      <alignment horizontal="center" vertical="center"/>
    </xf>
    <xf numFmtId="165" fontId="77" fillId="70" borderId="12" applyAlignment="1" pivotButton="0" quotePrefix="0" xfId="0">
      <alignment horizontal="center" vertical="center"/>
    </xf>
    <xf numFmtId="164" fontId="75" fillId="70" borderId="12" applyAlignment="1" pivotButton="0" quotePrefix="0" xfId="0">
      <alignment horizontal="center" vertical="center"/>
    </xf>
    <xf numFmtId="164" fontId="83" fillId="68" borderId="12" applyAlignment="1" pivotButton="0" quotePrefix="0" xfId="0">
      <alignment horizontal="center" vertical="center"/>
    </xf>
    <xf numFmtId="164" fontId="84" fillId="70" borderId="12" applyAlignment="1" pivotButton="0" quotePrefix="0" xfId="0">
      <alignment horizontal="center" vertical="center"/>
    </xf>
    <xf numFmtId="164" fontId="85" fillId="68" borderId="12" applyAlignment="1" pivotButton="0" quotePrefix="0" xfId="0">
      <alignment horizontal="center" vertical="center"/>
    </xf>
    <xf numFmtId="164" fontId="86" fillId="68" borderId="12" applyAlignment="1" pivotButton="0" quotePrefix="0" xfId="0">
      <alignment horizontal="center" vertical="center"/>
    </xf>
    <xf numFmtId="164" fontId="80" fillId="69" borderId="12" applyAlignment="1" pivotButton="0" quotePrefix="0" xfId="0">
      <alignment horizontal="center" vertical="center"/>
    </xf>
    <xf numFmtId="164" fontId="78" fillId="76" borderId="12" applyAlignment="1" pivotButton="0" quotePrefix="0" xfId="0">
      <alignment horizontal="center" vertical="center"/>
    </xf>
    <xf numFmtId="164" fontId="78" fillId="70" borderId="12" applyAlignment="1" pivotButton="0" quotePrefix="0" xfId="0">
      <alignment horizontal="center" vertical="center"/>
    </xf>
    <xf numFmtId="169" fontId="96" fillId="0" borderId="17" applyAlignment="1" pivotButton="0" quotePrefix="0" xfId="2">
      <alignment horizontal="center" vertical="center"/>
    </xf>
    <xf numFmtId="169" fontId="97" fillId="0" borderId="19" applyAlignment="1" pivotButton="0" quotePrefix="0" xfId="2">
      <alignment vertical="center" shrinkToFit="1"/>
    </xf>
    <xf numFmtId="169" fontId="97" fillId="0" borderId="19" applyAlignment="1" pivotButton="0" quotePrefix="0" xfId="2">
      <alignment horizontal="right" vertical="center" shrinkToFit="1"/>
    </xf>
    <xf numFmtId="170" fontId="97" fillId="0" borderId="19" applyAlignment="1" pivotButton="0" quotePrefix="0" xfId="2">
      <alignment vertical="center"/>
    </xf>
    <xf numFmtId="169" fontId="96" fillId="0" borderId="19" applyAlignment="1" pivotButton="0" quotePrefix="0" xfId="2">
      <alignment horizontal="center" vertical="center"/>
    </xf>
    <xf numFmtId="169" fontId="97" fillId="87" borderId="19" applyAlignment="1" pivotButton="0" quotePrefix="0" xfId="2">
      <alignment vertical="center" shrinkToFit="1"/>
    </xf>
    <xf numFmtId="170" fontId="97" fillId="87" borderId="19" applyAlignment="1" pivotButton="0" quotePrefix="0" xfId="2">
      <alignment vertical="center"/>
    </xf>
    <xf numFmtId="170" fontId="95" fillId="0" borderId="19" applyAlignment="1" pivotButton="0" quotePrefix="0" xfId="1">
      <alignment vertical="center"/>
    </xf>
    <xf numFmtId="169" fontId="97" fillId="0" borderId="19" applyAlignment="1" pivotButton="0" quotePrefix="0" xfId="2">
      <alignment horizontal="center" vertical="center" shrinkToFit="1"/>
    </xf>
    <xf numFmtId="169" fontId="97" fillId="89" borderId="19" applyAlignment="1" pivotButton="0" quotePrefix="0" xfId="2">
      <alignment vertical="center" shrinkToFit="1"/>
    </xf>
    <xf numFmtId="170" fontId="97" fillId="89" borderId="19" applyAlignment="1" pivotButton="0" quotePrefix="0" xfId="2">
      <alignment vertical="center"/>
    </xf>
    <xf numFmtId="171" fontId="96" fillId="0" borderId="19" applyAlignment="1" pivotButton="0" quotePrefix="0" xfId="2">
      <alignment horizontal="left" vertical="center"/>
    </xf>
    <xf numFmtId="169" fontId="96" fillId="0" borderId="19" applyAlignment="1" pivotButton="0" quotePrefix="0" xfId="2">
      <alignment horizontal="center"/>
    </xf>
    <xf numFmtId="170" fontId="95" fillId="0" borderId="19" applyAlignment="1" pivotButton="0" quotePrefix="0" xfId="1">
      <alignment horizontal="left" vertical="center"/>
    </xf>
    <xf numFmtId="169" fontId="96" fillId="0" borderId="11" applyAlignment="1" pivotButton="0" quotePrefix="0" xfId="2">
      <alignment horizontal="center"/>
    </xf>
    <xf numFmtId="169" fontId="100" fillId="0" borderId="19" applyAlignment="1" pivotButton="0" quotePrefix="0" xfId="2">
      <alignment horizontal="center"/>
    </xf>
    <xf numFmtId="169" fontId="98" fillId="0" borderId="19" applyAlignment="1" pivotButton="0" quotePrefix="0" xfId="2">
      <alignment horizontal="center" vertical="center"/>
    </xf>
    <xf numFmtId="170" fontId="95" fillId="87" borderId="19" applyAlignment="1" pivotButton="0" quotePrefix="0" xfId="1">
      <alignment horizontal="left" vertical="center"/>
    </xf>
    <xf numFmtId="169" fontId="96" fillId="0" borderId="19" applyAlignment="1" pivotButton="0" quotePrefix="0" xfId="2">
      <alignment vertical="center" shrinkToFit="1"/>
    </xf>
    <xf numFmtId="169" fontId="96" fillId="0" borderId="19" applyAlignment="1" pivotButton="0" quotePrefix="0" xfId="2">
      <alignment horizontal="right" vertical="center" shrinkToFit="1"/>
    </xf>
    <xf numFmtId="170" fontId="96" fillId="0" borderId="19" applyAlignment="1" pivotButton="0" quotePrefix="0" xfId="2">
      <alignment vertical="center"/>
    </xf>
    <xf numFmtId="170" fontId="102" fillId="0" borderId="19" applyAlignment="1" pivotButton="0" quotePrefix="0" xfId="2">
      <alignment vertical="center"/>
    </xf>
    <xf numFmtId="169" fontId="97" fillId="0" borderId="20" applyAlignment="1" pivotButton="0" quotePrefix="0" xfId="2">
      <alignment vertical="center" shrinkToFit="1"/>
    </xf>
    <xf numFmtId="169" fontId="97" fillId="0" borderId="20" applyAlignment="1" pivotButton="0" quotePrefix="0" xfId="2">
      <alignment horizontal="right" vertical="center" shrinkToFit="1"/>
    </xf>
    <xf numFmtId="172" fontId="106" fillId="92" borderId="22" pivotButton="0" quotePrefix="0" xfId="0"/>
    <xf numFmtId="164" fontId="106" fillId="92" borderId="22" pivotButton="0" quotePrefix="0" xfId="0"/>
    <xf numFmtId="173" fontId="106" fillId="92" borderId="22" pivotButton="0" quotePrefix="0" xfId="0"/>
    <xf numFmtId="164" fontId="0" fillId="0" borderId="27" pivotButton="0" quotePrefix="0" xfId="0"/>
    <xf numFmtId="0" fontId="119" fillId="96" borderId="11" applyAlignment="1" pivotButton="0" quotePrefix="0" xfId="0">
      <alignment horizontal="center" wrapText="1"/>
    </xf>
    <xf numFmtId="164" fontId="120" fillId="0" borderId="11" pivotButton="0" quotePrefix="0" xfId="0"/>
    <xf numFmtId="3" fontId="120" fillId="0" borderId="11" pivotButton="0" quotePrefix="0" xfId="0"/>
    <xf numFmtId="0" fontId="121" fillId="0" borderId="11" pivotButton="0" quotePrefix="0" xfId="0"/>
    <xf numFmtId="3" fontId="121" fillId="0" borderId="11" pivotButton="0" quotePrefix="0" xfId="0"/>
  </cellXfs>
  <cellStyles count="4">
    <cellStyle name="標準" xfId="0" builtinId="0"/>
    <cellStyle name="ハイパーリンク" xfId="1" builtinId="8"/>
    <cellStyle name="標準 3" xfId="2"/>
    <cellStyle name="ハイパーリンク 2" xfId="3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hyperlink" Target="2841000197998_&#12304;&#65329;&#65315;&#65331;&#12305;&#37218;&#39151;&#65288;&#12460;&#12473;&#28810;&#39151;&#65289;.xlsx" TargetMode="External" Id="rId1"/><Relationship Type="http://schemas.openxmlformats.org/officeDocument/2006/relationships/hyperlink" Target="2841000194812_&#12304;&#65329;&#65315;&#65331;&#12305;&#20116;&#30446;&#12385;&#12425;&#12375;.xlsx" TargetMode="External" Id="rId2"/><Relationship Type="http://schemas.openxmlformats.org/officeDocument/2006/relationships/hyperlink" Target="../../../../&#12295;&#21830;&#21697;&#37096;/&#9650;&#30333;&#40165;CK/CK&#25163;&#38918;&#26360;/2026&#24180;/8&#26376;21&#26085;/&#35215;&#26684;&#26360;&#12288;&#20116;&#30446;&#12472;&#12515;&#12531;&#12508;&#12356;&#12394;&#12426;&#65288;&#12471;&#12540;&#12523;&#12392;&#22770;&#20385;&#22793;&#26356;&#65289;.xlsx" TargetMode="External" Id="rId3"/><Relationship Type="http://schemas.openxmlformats.org/officeDocument/2006/relationships/hyperlink" Target="../../../../&#12295;&#21830;&#21697;&#37096;/&#9650;&#30333;&#40165;CK/CK&#25163;&#38918;&#26360;/2026&#24180;/8&#26376;21&#26085;/&#35215;&#26684;&#26360;&#12288;&#20116;&#30446;&#12472;&#12515;&#12531;&#12508;&#12356;&#12394;&#12426;&#65288;&#12471;&#12540;&#12523;&#12392;&#22770;&#20385;&#22793;&#26356;&#65289;.xlsx" TargetMode="External" Id="rId4"/><Relationship Type="http://schemas.openxmlformats.org/officeDocument/2006/relationships/hyperlink" Target="../../../../&#12295;&#21830;&#21697;&#37096;/&#9650;&#30333;&#40165;CK/CK&#25163;&#38918;&#26360;/2026&#24180;/8&#26376;21&#26085;/&#35215;&#26684;&#26360;&#12288;&#20116;&#30446;&#12472;&#12515;&#12531;&#12508;&#12356;&#12394;&#12426;&#65288;&#12471;&#12540;&#12523;&#12392;&#22770;&#20385;&#22793;&#26356;&#65289;.xlsx" TargetMode="External" Id="rId5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6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7"/><Relationship Type="http://schemas.openxmlformats.org/officeDocument/2006/relationships/hyperlink" Target="2841000197998_&#12304;&#65329;&#65315;&#65331;&#12305;&#37218;&#39151;&#65288;&#12460;&#12473;&#28810;&#39151;&#65289;.xlsx" TargetMode="External" Id="rId8"/><Relationship Type="http://schemas.openxmlformats.org/officeDocument/2006/relationships/hyperlink" Target="2841000194812_&#12304;&#65329;&#65315;&#65331;&#12305;&#20116;&#30446;&#12385;&#12425;&#12375;.xlsx" TargetMode="External" Id="rId9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10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11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12"/><Relationship Type="http://schemas.openxmlformats.org/officeDocument/2006/relationships/hyperlink" Target="2841000191408_&#12304;&#65329;&#65315;&#65331;&#12305;&#12469;&#12521;&#12480;&#24059;&#12365;&#65288;&#37670;&#31992;&#65289;&#65298;.xlsx" TargetMode="External" Id="rId13"/><Relationship Type="http://schemas.openxmlformats.org/officeDocument/2006/relationships/hyperlink" Target="2841000174821_&#12304;&#65329;&#65315;&#65331;&#12305;&#29275;&#12496;&#12521;&#12473;&#12521;&#12452;&#12473;&#28988;&#25104;.xlsx" TargetMode="External" Id="rId14"/><Relationship Type="http://schemas.openxmlformats.org/officeDocument/2006/relationships/hyperlink" Target="2841000189306_&#12304;&#65329;&#65315;&#65331;&#12305;&#21315;&#20999;&#12426;&#27810;&#24245;&#12374;&#12427;&#12365;&#12426;.xlsx" TargetMode="External" Id="rId15"/><Relationship Type="http://schemas.openxmlformats.org/officeDocument/2006/relationships/hyperlink" Target="2841000189313_&#12304;&#65329;&#65315;&#65331;&#12305;&#12461;&#12531;&#12497;&#12398;&#20154;&#21442;&#12490;&#12512;&#12523;.xlsx" TargetMode="External" Id="rId16"/><Relationship Type="http://schemas.openxmlformats.org/officeDocument/2006/relationships/hyperlink" Target="2841000189290_&#12304;&#65329;&#65315;&#65331;&#12305;&#23567;&#26494;&#33756;&#12372;&#12414;&#27833;&#21644;&#12360;.xlsx" TargetMode="External" Id="rId17"/><Relationship Type="http://schemas.openxmlformats.org/officeDocument/2006/relationships/hyperlink" Target="2841000189290_&#12304;&#65329;&#65315;&#65331;&#12305;&#23567;&#26494;&#33756;&#12372;&#12414;&#27833;&#21644;&#12360;.xlsx" TargetMode="External" Id="rId18"/><Relationship Type="http://schemas.openxmlformats.org/officeDocument/2006/relationships/hyperlink" Target="2841000189290_&#12304;&#65329;&#65315;&#65331;&#12305;&#23567;&#26494;&#33756;&#12372;&#12414;&#27833;&#21644;&#12360;.xlsx" TargetMode="External" Id="rId19"/><Relationship Type="http://schemas.openxmlformats.org/officeDocument/2006/relationships/hyperlink" Target="2841000189740_&#12304;&#65329;&#65315;&#65331;&#12305;&#12461;&#12531;&#12497;&#12372;&#39151;.xlsx" TargetMode="External" Id="rId20"/><Relationship Type="http://schemas.openxmlformats.org/officeDocument/2006/relationships/hyperlink" Target="2841000189283_&#12304;&#65329;&#65315;&#65331;&#12305;&#22633;&#39151;&#65288;&#37340;&#28810;&#39151;&#65289;.xlsx" TargetMode="External" Id="rId21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22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23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24"/><Relationship Type="http://schemas.openxmlformats.org/officeDocument/2006/relationships/hyperlink" Target="2841000191408_&#12304;&#65329;&#65315;&#65331;&#12305;&#12469;&#12521;&#12480;&#24059;&#12365;&#65288;&#37670;&#31992;&#65289;&#65298;.xlsx" TargetMode="External" Id="rId25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26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27"/><Relationship Type="http://schemas.openxmlformats.org/officeDocument/2006/relationships/hyperlink" Target="2841000175316_&#12304;&#65329;&#65315;&#65331;&#12305;&#12385;&#12367;&#12431;&#30959;&#37096;&#25562;&#12370;&#34915;.xlsx" TargetMode="External" Id="rId28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29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30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31"/><Relationship Type="http://schemas.openxmlformats.org/officeDocument/2006/relationships/hyperlink" Target="2841000177938_&#12304;&#65329;&#65315;&#65331;&#12305;&#12358;&#12393;&#12435;&#40634;.xlsx" TargetMode="External" Id="rId32"/><Relationship Type="http://schemas.openxmlformats.org/officeDocument/2006/relationships/hyperlink" Target="2841000177938_&#12304;&#65329;&#65315;&#65331;&#12305;&#12358;&#12393;&#12435;&#40634;.xlsx" TargetMode="External" Id="rId33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4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6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7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38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39"/><Relationship Type="http://schemas.openxmlformats.org/officeDocument/2006/relationships/hyperlink" Target="2841000175316_&#12304;&#65329;&#65315;&#65331;&#12305;&#12385;&#12367;&#12431;&#30959;&#37096;&#25562;&#12370;&#34915;.xlsx" TargetMode="External" Id="rId40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41"/><Relationship Type="http://schemas.openxmlformats.org/officeDocument/2006/relationships/hyperlink" Target="2841000175316_&#12304;&#65329;&#65315;&#65331;&#12305;&#12385;&#12367;&#12431;&#30959;&#37096;&#25562;&#12370;&#34915;.xlsx" TargetMode="External" Id="rId42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43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44"/><Relationship Type="http://schemas.openxmlformats.org/officeDocument/2006/relationships/hyperlink" Target="2841000184141_&#12304;&#65329;&#65315;&#65331;&#12305;&#12524;&#12514;&#12531;&#12459;&#12483;&#12488;&#65297;&#65295;&#65299;&#65298;.xlsx" TargetMode="External" Id="rId45"/><Relationship Type="http://schemas.openxmlformats.org/officeDocument/2006/relationships/hyperlink" Target="2841000184141_&#12304;&#65329;&#65315;&#65331;&#12305;&#12524;&#12514;&#12531;&#12459;&#12483;&#12488;&#65297;&#65295;&#65299;&#65298;.xlsx" TargetMode="External" Id="rId46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47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48"/><Relationship Type="http://schemas.openxmlformats.org/officeDocument/2006/relationships/hyperlink" Target="&#23551;&#21496;&#28288;&#36275;&#12475;&#12483;&#12488;&#65299;&#25569;&#12426;.xlsx" TargetMode="External" Id="rId49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50"/><Relationship Type="http://schemas.openxmlformats.org/officeDocument/2006/relationships/hyperlink" Target="2841000195468_&#12304;&#65329;&#65315;&#65331;&#12305;&#26997;&#12415;&#28988;&#12365;&#29577;&#23376;&#22826;&#24059;&#12365;&#65298;.xlsx" TargetMode="External" Id="rId51"/><Relationship Type="http://schemas.openxmlformats.org/officeDocument/2006/relationships/hyperlink" Target="2841000168738_&#12304;&#65329;&#65315;&#65331;&#12305;&#12484;&#12490;&#12510;&#12520;&#35519;&#21512;.xlsx" TargetMode="External" Id="rId52"/><Relationship Type="http://schemas.openxmlformats.org/officeDocument/2006/relationships/hyperlink" Target="2841000174401_&#12304;&#65329;&#65315;&#65331;&#12305;&#39640;&#33756;&#28818;&#12417;.xlsx" TargetMode="External" Id="rId53"/><Relationship Type="http://schemas.openxmlformats.org/officeDocument/2006/relationships/hyperlink" Target="2841000174401_&#12304;&#65329;&#65315;&#65331;&#12305;&#39640;&#33756;&#28818;&#12417;.xlsx" TargetMode="External" Id="rId54"/><Relationship Type="http://schemas.openxmlformats.org/officeDocument/2006/relationships/hyperlink" Target="2841000168738_&#12304;&#65329;&#65315;&#65331;&#12305;&#12484;&#12490;&#12510;&#12520;&#35519;&#21512;.xlsx" TargetMode="External" Id="rId55"/><Relationship Type="http://schemas.openxmlformats.org/officeDocument/2006/relationships/hyperlink" Target="2841000174401_&#12304;&#65329;&#65315;&#65331;&#12305;&#39640;&#33756;&#28818;&#12417;.xlsx" TargetMode="External" Id="rId56"/><Relationship Type="http://schemas.openxmlformats.org/officeDocument/2006/relationships/hyperlink" Target="2841000174401_&#12304;&#65329;&#65315;&#65331;&#12305;&#39640;&#33756;&#28818;&#12417;.xlsx" TargetMode="External" Id="rId57"/><Relationship Type="http://schemas.openxmlformats.org/officeDocument/2006/relationships/hyperlink" Target="2841000184608_&#12304;&#65329;&#65315;&#65331;&#12305;&#12362;&#12395;&#12366;&#12426;&#29992;&#29275;&#28988;&#32905;&#28988;&#25104;.xlsx" TargetMode="External" Id="rId58"/><Relationship Type="http://schemas.openxmlformats.org/officeDocument/2006/relationships/hyperlink" Target="2841000184608_&#12304;&#65329;&#65315;&#65331;&#12305;&#12362;&#12395;&#12366;&#12426;&#29992;&#29275;&#28988;&#32905;&#28988;&#25104;.xlsx" TargetMode="External" Id="rId59"/><Relationship Type="http://schemas.openxmlformats.org/officeDocument/2006/relationships/hyperlink" Target="2841000185568_&#12304;&#65329;&#65315;&#65331;&#12305;&#12362;&#12395;&#12366;&#12426;&#29992;&#29275;&#28988;&#32905;&#12510;&#12520;.xlsx" TargetMode="External" Id="rId60"/><Relationship Type="http://schemas.openxmlformats.org/officeDocument/2006/relationships/hyperlink" Target="2841000181959_&#12304;&#65329;&#65315;&#65331;&#12305;&#20986;&#27713;&#12372;&#39151;.xlsx" TargetMode="External" Id="rId61"/><Relationship Type="http://schemas.openxmlformats.org/officeDocument/2006/relationships/hyperlink" Target="2841000168738_&#12304;&#65329;&#65315;&#65331;&#12305;&#12484;&#12490;&#12510;&#12520;&#35519;&#21512;.xlsx" TargetMode="External" Id="rId62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63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64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65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66"/><Relationship Type="http://schemas.openxmlformats.org/officeDocument/2006/relationships/hyperlink" Target="2841000184189_&#12304;&#65329;&#65315;&#65331;&#12305;&#12422;&#12363;&#12426;&#12372;&#12399;&#12435;&#28810;&#39151;.xlsx" TargetMode="External" Id="rId67"/><Relationship Type="http://schemas.openxmlformats.org/officeDocument/2006/relationships/hyperlink" Target="2841000184622_&#12304;&#65329;&#65315;&#65331;&#12305;&#12422;&#12363;&#12426;&#28151;&#21512;.xlsx" TargetMode="External" Id="rId68"/><Relationship Type="http://schemas.openxmlformats.org/officeDocument/2006/relationships/hyperlink" Target="2841000174586_&#12304;&#65329;&#65315;&#65331;&#12305;&#12431;&#12363;&#12417;&#12372;&#39151;&#29992;&#12372;&#12399;&#12435;.xlsx" TargetMode="External" Id="rId69"/><Relationship Type="http://schemas.openxmlformats.org/officeDocument/2006/relationships/hyperlink" Target="2841000174685_&#12304;&#65329;&#65315;&#65331;&#12305;&#12431;&#12363;&#12417;&#12372;&#39151;.xlsx" TargetMode="External" Id="rId70"/><Relationship Type="http://schemas.openxmlformats.org/officeDocument/2006/relationships/hyperlink" Target="2841000174401_&#12304;&#65329;&#65315;&#65331;&#12305;&#39640;&#33756;&#28818;&#12417;.xlsx" TargetMode="External" Id="rId71"/><Relationship Type="http://schemas.openxmlformats.org/officeDocument/2006/relationships/hyperlink" Target="2841000174401_&#12304;&#65329;&#65315;&#65331;&#12305;&#39640;&#33756;&#28818;&#12417;.xlsx" TargetMode="External" Id="rId72"/><Relationship Type="http://schemas.openxmlformats.org/officeDocument/2006/relationships/hyperlink" Target="2841000184400_&#12304;&#65329;&#65315;&#65331;&#12305;&#39640;&#33756;&#12372;&#39151;&#65298;.xlsx" TargetMode="External" Id="rId73"/><Relationship Type="http://schemas.openxmlformats.org/officeDocument/2006/relationships/hyperlink" Target="2841000184424_&#12304;&#65329;&#65315;&#65331;&#12305;&#26757;&#12402;&#12376;&#12365;&#12372;&#39151;&#65288;&#30333;&#39151;&#65288;&#12460;&#12473;&#28810;&#39151;&#65289;&#65289;.xlsx" TargetMode="External" Id="rId74"/><Relationship Type="http://schemas.openxmlformats.org/officeDocument/2006/relationships/hyperlink" Target="2841000184417_&#12304;&#65329;&#65315;&#65331;&#12305;&#12402;&#12376;&#12365;&#27700;&#25147;&#12375;.xlsx" TargetMode="External" Id="rId75"/><Relationship Type="http://schemas.openxmlformats.org/officeDocument/2006/relationships/hyperlink" Target="2841000185605_&#12304;&#65329;&#65315;&#65331;&#12305;&#26757;&#12402;&#12376;&#12365;&#12372;&#39151;&#65288;&#22633;&#12402;&#12376;&#12365;&#65289;.xlsx" TargetMode="External" Id="rId76"/><Relationship Type="http://schemas.openxmlformats.org/officeDocument/2006/relationships/hyperlink" Target="2841000185919_&#12304;&#65329;&#65315;&#65331;&#12305;&#26757;&#12402;&#12376;&#12365;&#12372;&#39151;&#65288;&#28151;&#12380;&#12371;&#12415;&#20855;&#26448;&#65289;.xlsx" TargetMode="External" Id="rId77"/><Relationship Type="http://schemas.openxmlformats.org/officeDocument/2006/relationships/hyperlink" Target="2841000180402_&#12304;&#65329;&#65315;&#65331;&#12305;&#40335;&#12417;&#12375;&#29992;&#20855;&#26448;&#65288;&#40335;&#12417;&#12375;&#65300;&#65289;.xlsx" TargetMode="External" Id="rId78"/><Relationship Type="http://schemas.openxmlformats.org/officeDocument/2006/relationships/hyperlink" Target="2841000180419_&#12304;&#65329;&#65315;&#65331;&#12305;&#40335;&#12417;&#12375;&#29992;&#12372;&#39151;&#65288;&#40335;&#12417;&#12375;&#65300;&#65289;.xlsx" TargetMode="External" Id="rId79"/><Relationship Type="http://schemas.openxmlformats.org/officeDocument/2006/relationships/hyperlink" Target="2841000180501_&#12304;&#65329;&#65315;&#65331;&#12305;&#40335;&#12417;&#12375;&#65300;.xlsx" TargetMode="External" Id="rId80"/><Relationship Type="http://schemas.openxmlformats.org/officeDocument/2006/relationships/hyperlink" Target="2841000174586_&#12304;&#65329;&#65315;&#65331;&#12305;&#12431;&#12363;&#12417;&#12372;&#39151;&#29992;&#12372;&#12399;&#12435;.xlsx" TargetMode="External" Id="rId81"/><Relationship Type="http://schemas.openxmlformats.org/officeDocument/2006/relationships/hyperlink" Target="2841000174401_&#12304;&#65329;&#65315;&#65331;&#12305;&#39640;&#33756;&#28818;&#12417;.xlsx" TargetMode="External" Id="rId82"/><Relationship Type="http://schemas.openxmlformats.org/officeDocument/2006/relationships/hyperlink" Target="2841000174401_&#12304;&#65329;&#65315;&#65331;&#12305;&#39640;&#33756;&#28818;&#12417;.xlsx" TargetMode="External" Id="rId83"/><Relationship Type="http://schemas.openxmlformats.org/officeDocument/2006/relationships/hyperlink" Target="2841000184400_&#12304;&#65329;&#65315;&#65331;&#12305;&#39640;&#33756;&#12372;&#39151;&#65298;.xlsx" TargetMode="External" Id="rId84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9670;&#22823;&#12365;&#12394;&#26757;&#12402;&#12376;&#12365;&#12362;&#12395;&#12366;&#12426;P&#65298;&#65288;&#30333;&#40165;&#65289;.xlsx" TargetMode="External" Id="rId85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1830;&#21697;&#35215;&#26684;&#26360;&#12305;&#9670;&#22823;&#12365;&#12394;&#26757;&#12402;&#12376;&#12365;&#12362;&#12395;&#12366;&#12426;P&#65298;&#65288;&#30333;&#40165;&#65289;.xlsx" TargetMode="External" Id="rId86"/><Relationship Type="http://schemas.openxmlformats.org/officeDocument/2006/relationships/hyperlink" Target="2841000180402_&#12304;&#65329;&#65315;&#65331;&#12305;&#40335;&#12417;&#12375;&#29992;&#20855;&#26448;&#65288;&#40335;&#12417;&#12375;&#65300;&#65289;.xlsx" TargetMode="External" Id="rId87"/><Relationship Type="http://schemas.openxmlformats.org/officeDocument/2006/relationships/hyperlink" Target="2841000180419_&#12304;&#65329;&#65315;&#65331;&#12305;&#40335;&#12417;&#12375;&#29992;&#12372;&#39151;&#65288;&#40335;&#12417;&#12375;&#65300;&#65289;.xlsx" TargetMode="External" Id="rId88"/><Relationship Type="http://schemas.openxmlformats.org/officeDocument/2006/relationships/hyperlink" Target="2841000180501_&#12304;&#65329;&#65315;&#65331;&#12305;&#40335;&#12417;&#12375;&#65300;.xlsx" TargetMode="External" Id="rId89"/><Relationship Type="http://schemas.openxmlformats.org/officeDocument/2006/relationships/hyperlink" Target="2841000180402_&#12304;&#65329;&#65315;&#65331;&#12305;&#40335;&#12417;&#12375;&#29992;&#20855;&#26448;&#65288;&#40335;&#12417;&#12375;&#65300;&#65289;.xlsx" TargetMode="External" Id="rId90"/><Relationship Type="http://schemas.openxmlformats.org/officeDocument/2006/relationships/hyperlink" Target="2841000180419_&#12304;&#65329;&#65315;&#65331;&#12305;&#40335;&#12417;&#12375;&#29992;&#12372;&#39151;&#65288;&#40335;&#12417;&#12375;&#65300;&#65289;.xlsx" TargetMode="External" Id="rId91"/><Relationship Type="http://schemas.openxmlformats.org/officeDocument/2006/relationships/hyperlink" Target="2841000180501_&#12304;&#65329;&#65315;&#65331;&#12305;&#40335;&#12417;&#12375;&#65300;.xlsx" TargetMode="External" Id="rId92"/><Relationship Type="http://schemas.openxmlformats.org/officeDocument/2006/relationships/hyperlink" Target="2841000168738_&#12304;&#65329;&#65315;&#65331;&#12305;&#12484;&#12490;&#12510;&#12520;&#35519;&#21512;.xlsx" TargetMode="External" Id="rId93"/><Relationship Type="http://schemas.openxmlformats.org/officeDocument/2006/relationships/hyperlink" Target="2841000174401_&#12304;&#65329;&#65315;&#65331;&#12305;&#39640;&#33756;&#28818;&#12417;.xlsx" TargetMode="External" Id="rId94"/><Relationship Type="http://schemas.openxmlformats.org/officeDocument/2006/relationships/hyperlink" Target="2841000174401_&#12304;&#65329;&#65315;&#65331;&#12305;&#39640;&#33756;&#28818;&#12417;.xlsx" TargetMode="External" Id="rId95"/><Relationship Type="http://schemas.openxmlformats.org/officeDocument/2006/relationships/hyperlink" Target="2841000174593_&#12304;&#65329;&#65315;&#65331;&#12305;&#39640;&#33756;&#28818;&#12417;&#65288;&#12481;&#12515;&#12540;&#12495;&#12531;&#29992;&#65289;.xlsx" TargetMode="External" Id="rId96"/><Relationship Type="http://schemas.openxmlformats.org/officeDocument/2006/relationships/hyperlink" Target="2841000174593_&#12304;&#65329;&#65315;&#65331;&#12305;&#39640;&#33756;&#28818;&#12417;&#65288;&#12481;&#12515;&#12540;&#12495;&#12531;&#29992;&#65289;.xlsx" TargetMode="External" Id="rId97"/><Relationship Type="http://schemas.openxmlformats.org/officeDocument/2006/relationships/hyperlink" Target="2841000174678_&#12304;&#65329;&#65315;&#65331;&#12305;&#39640;&#33756;&#12481;&#12515;&#12540;&#12495;&#12531;&#29992;&#12372;&#39151;.xlsx" TargetMode="External" Id="rId98"/><Relationship Type="http://schemas.openxmlformats.org/officeDocument/2006/relationships/hyperlink" Target="2841000174975_&#12304;&#65329;&#65315;&#65331;&#12305;&#39640;&#33756;&#12481;&#12515;&#12540;&#12495;&#12531;.xlsx" TargetMode="External" Id="rId99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100"/><Relationship Type="http://schemas.openxmlformats.org/officeDocument/2006/relationships/hyperlink" Target="2841000174715_&#12304;&#65329;&#65315;&#65331;&#12305;&#22825;&#12407;&#12425;&#29992;&#12496;&#12483;&#12479;&#12540;&#28082;.xlsx" TargetMode="External" Id="rId101"/><Relationship Type="http://schemas.openxmlformats.org/officeDocument/2006/relationships/hyperlink" Target="../&#38283;&#30330;&#35215;&#26684;&#26360;/&#20037;&#20445;&#12524;&#12471;&#12500;&#20462;&#27491;&#29256;/&#65329;&#65315;&#65331;/&#9670;&#12304;&#35215;&#26684;&#22793;&#26356;&#12305;&#12511;&#12491;&#22825;&#20028;9&#65288;&#30333;&#40165;&#65289;.xlsx" TargetMode="External" Id="rId102"/><Relationship Type="http://schemas.openxmlformats.org/officeDocument/2006/relationships/hyperlink" Target="2841000188224_&#12304;&#65329;&#65315;&#65331;&#12305;&#23567;&#26494;&#33756;&#12398;&#12362;&#12402;&#12383;&#12375;.xlsx" TargetMode="External" Id="rId103"/><Relationship Type="http://schemas.openxmlformats.org/officeDocument/2006/relationships/hyperlink" Target="2841000188149_&#12304;&#65329;&#65315;&#65331;&#12305;&#23567;&#26494;&#33756;&#12398;&#12362;&#12402;&#12383;&#12375;&#35519;&#21619;&#28082;.xlsx" TargetMode="External" Id="rId104"/><Relationship Type="http://schemas.openxmlformats.org/officeDocument/2006/relationships/hyperlink" Target="2841000188156_&#12304;&#65329;&#65315;&#65331;&#12305;&#23567;&#26494;&#33756;&#12398;&#12362;&#12402;&#12383;&#12375;&#37326;&#33756;&#12508;&#12452;&#12523;.xlsx" TargetMode="External" Id="rId105"/><Relationship Type="http://schemas.openxmlformats.org/officeDocument/2006/relationships/hyperlink" Target="2841000174821_&#12304;&#65329;&#65315;&#65331;&#12305;&#29275;&#12496;&#12521;&#12473;&#12521;&#12452;&#12473;&#28988;&#25104;.xlsx" TargetMode="External" Id="rId106"/><Relationship Type="http://schemas.openxmlformats.org/officeDocument/2006/relationships/hyperlink" Target="2841000175385_&#12304;&#65329;&#65315;&#65331;&#12305;&#29275;&#12496;&#12521;&#12473;&#12521;&#12452;&#12473;&#28988;&#25104;&#12459;&#12483;&#12488;.xlsx" TargetMode="External" Id="rId107"/><Relationship Type="http://schemas.openxmlformats.org/officeDocument/2006/relationships/hyperlink" Target="2841000180402_&#12304;&#65329;&#65315;&#65331;&#12305;&#40335;&#12417;&#12375;&#29992;&#20855;&#26448;&#65288;&#40335;&#12417;&#12375;&#65300;&#65289;.xlsx" TargetMode="External" Id="rId108"/><Relationship Type="http://schemas.openxmlformats.org/officeDocument/2006/relationships/hyperlink" Target="2841000180419_&#12304;&#65329;&#65315;&#65331;&#12305;&#40335;&#12417;&#12375;&#29992;&#12372;&#39151;&#65288;&#40335;&#12417;&#12375;&#65300;&#65289;.xlsx" TargetMode="External" Id="rId109"/><Relationship Type="http://schemas.openxmlformats.org/officeDocument/2006/relationships/hyperlink" Target="2841000180501_&#12304;&#65329;&#65315;&#65331;&#12305;&#40335;&#12417;&#12375;&#65300;.xlsx" TargetMode="External" Id="rId110"/><Relationship Type="http://schemas.openxmlformats.org/officeDocument/2006/relationships/hyperlink" Target="2841000184400_&#12304;&#65329;&#65315;&#65331;&#12305;&#39640;&#33756;&#12372;&#39151;&#65298;.xlsx" TargetMode="External" Id="rId111"/><Relationship Type="http://schemas.openxmlformats.org/officeDocument/2006/relationships/hyperlink" Target="2841000196168_&#12304;&#65329;&#65315;&#65331;&#12305;&#40335;&#12416;&#12397;&#29983;&#23004;&#28988;&#12365;&#19979;&#21619;.xlsx" TargetMode="External" Id="rId112"/><Relationship Type="http://schemas.openxmlformats.org/officeDocument/2006/relationships/hyperlink" Target="2841000196304_&#12304;&#65329;&#65315;&#65331;&#12305;&#40335;&#12416;&#12397;&#29983;&#23004;&#28988;&#12365;&#19979;&#21619;&#28988;&#25104;.xlsx" TargetMode="External" Id="rId113"/><Relationship Type="http://schemas.openxmlformats.org/officeDocument/2006/relationships/hyperlink" Target="2841000196793_&#12304;&#65329;&#65315;&#65331;&#12305;&#40335;&#12416;&#12397;&#29983;&#23004;&#28988;&#12365;&#12479;&#12524;&#21644;&#12360;.xlsx" TargetMode="External" Id="rId114"/><Relationship Type="http://schemas.openxmlformats.org/officeDocument/2006/relationships/hyperlink" Target="2841000187647_&#12304;&#65329;&#65315;&#65331;&#12305;&#40335;&#12381;&#12412;&#12429;&#65288;&#40335;&#12511;&#12531;&#12481;&#65303;&#65306;&#65299;&#65289;.xlsx" TargetMode="External" Id="rId115"/><Relationship Type="http://schemas.openxmlformats.org/officeDocument/2006/relationships/hyperlink" Target="2841000174401_&#12304;&#65329;&#65315;&#65331;&#12305;&#39640;&#33756;&#28818;&#12417;.xlsx" TargetMode="External" Id="rId116"/><Relationship Type="http://schemas.openxmlformats.org/officeDocument/2006/relationships/hyperlink" Target="2841000174401_&#12304;&#65329;&#65315;&#65331;&#12305;&#39640;&#33756;&#28818;&#12417;.xlsx" TargetMode="External" Id="rId117"/><Relationship Type="http://schemas.openxmlformats.org/officeDocument/2006/relationships/hyperlink" Target="2841000187685_&#12304;&#65329;&#65315;&#65331;&#12305;&#12465;&#12481;&#12515;&#12483;&#12503;&#12521;&#12452;&#12473;&#65288;&#40335;&#12511;&#12531;&#12481;&#65303;&#65306;&#65299;&#28818;&#12417;&#65289;.xlsx" TargetMode="External" Id="rId118"/><Relationship Type="http://schemas.openxmlformats.org/officeDocument/2006/relationships/hyperlink" Target="2841000188033_&#12304;&#65329;&#65315;&#65331;&#12305;&#12465;&#12481;&#12515;&#12483;&#12503;&#12521;&#12452;&#12473;&#65288;&#12458;&#12512;&#12521;&#12452;&#12473;&#65303;&#65289;.xlsx" TargetMode="External" Id="rId119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B&#36861;&#21152;&#12305;&#12481;&#12461;&#12531;&#21335;&#34542;&#20028;&#65301;&#65288;&#30333;&#40165;&#65289;.xlsx" TargetMode="External" Id="rId120"/><Relationship Type="http://schemas.openxmlformats.org/officeDocument/2006/relationships/hyperlink" Target="2841000169551_&#12304;&#65329;&#65315;&#65331;&#12305;&#12490;&#12509;&#12522;&#12479;&#12531;&#12477;&#12540;&#12473;&#65301;.xlsx" TargetMode="External" Id="rId121"/><Relationship Type="http://schemas.openxmlformats.org/officeDocument/2006/relationships/hyperlink" Target="2841000169568_&#12304;&#65329;&#65315;&#65331;&#12305;&#12490;&#12509;&#12522;&#12479;&#12531;&#29992;&#33593;&#12391;&#40634;&#65298;.xlsx" TargetMode="External" Id="rId122"/><Relationship Type="http://schemas.openxmlformats.org/officeDocument/2006/relationships/hyperlink" Target="2841000170359_&#12304;&#65329;&#65315;&#65331;&#12305;&#12490;&#12509;&#12522;&#12479;&#12531;&#40634;&#21644;&#12360;.xlsx" TargetMode="External" Id="rId123"/><Relationship Type="http://schemas.openxmlformats.org/officeDocument/2006/relationships/hyperlink" Target="2841000188040_&#12304;&#65329;&#65315;&#65331;&#12305;&#12392;&#12426;&#22825;&#27833;&#35519;.xlsx" TargetMode="External" Id="rId124"/><Relationship Type="http://schemas.openxmlformats.org/officeDocument/2006/relationships/hyperlink" Target="2841000187708_&#12304;&#65329;&#65315;&#65331;&#12305;&#12392;&#12426;&#22825;&#29992;&#22825;&#12407;&#12425;&#34915;.xlsx" TargetMode="External" Id="rId125"/><Relationship Type="http://schemas.openxmlformats.org/officeDocument/2006/relationships/hyperlink" Target="2841000174395_&#12304;&#65329;&#65315;&#65331;&#12305;&#12463;&#12521;&#12483;&#12471;&#12517;&#29577;&#23376;.xlsx" TargetMode="External" Id="rId126"/><Relationship Type="http://schemas.openxmlformats.org/officeDocument/2006/relationships/hyperlink" Target="2841000168707_&#12304;&#65329;&#65315;&#65331;&#12305;&#29577;&#23376;&#21152;&#29105;.xlsx" TargetMode="External" Id="rId127"/><Relationship Type="http://schemas.openxmlformats.org/officeDocument/2006/relationships/hyperlink" Target="2841000174395_&#12304;&#65329;&#65315;&#65331;&#12305;&#12463;&#12521;&#12483;&#12471;&#12517;&#29577;&#23376;.xlsx" TargetMode="External" Id="rId128"/><Relationship Type="http://schemas.openxmlformats.org/officeDocument/2006/relationships/hyperlink" Target="../../../../&#12295;&#21830;&#21697;&#37096;/&#9650;&#30333;&#40165;CK/CK&#25163;&#38918;&#26360;/2026&#24180;/7&#26376;/&#12479;&#12523;&#12479;&#12523;&#20999;&#26367;/&#9670;&#12304;&#12479;&#12523;&#12479;&#12523;&#20999;&#26367;&#12305;&#12481;&#12461;&#12531;&#21335;&#34542;&#20028;&#65304;.xlsx" TargetMode="External" Id="rId129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65314;&#20415;&#36861;&#21152;&#12305;&#12511;&#12491;&#40335;&#12381;&#12412;&#12429;&#20028;&#65301;&#65288;&#30333;&#40165;&#65289;.xlsx" TargetMode="External" Id="rId130"/><Relationship Type="http://schemas.openxmlformats.org/officeDocument/2006/relationships/hyperlink" Target="2841000174401_&#12304;&#65329;&#65315;&#65331;&#12305;&#39640;&#33756;&#28818;&#12417;.xlsx" TargetMode="External" Id="rId131"/><Relationship Type="http://schemas.openxmlformats.org/officeDocument/2006/relationships/hyperlink" Target="2841000174401_&#12304;&#65329;&#65315;&#65331;&#12305;&#39640;&#33756;&#28818;&#12417;.xlsx" TargetMode="External" Id="rId132"/><Relationship Type="http://schemas.openxmlformats.org/officeDocument/2006/relationships/hyperlink" Target="2841000187647_&#12304;&#65329;&#65315;&#65331;&#12305;&#40335;&#12381;&#12412;&#12429;&#65288;&#40335;&#12511;&#12531;&#12481;&#65303;&#65306;&#65299;&#65289;.xlsx" TargetMode="External" Id="rId133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12397;&#12366;&#22633;&#35930;&#12459;&#12523;&#12499;&#65302;&#65288;1.5&#13212;&#8594;2.5&#13212;&#65289;.xlsx" TargetMode="External" Id="rId134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12397;&#12366;&#22633;&#35930;&#12459;&#12523;&#12499;&#65302;&#65288;1.5&#13212;&#8594;2.5&#13212;&#65289;.xlsx" TargetMode="External" Id="rId135"/><Relationship Type="http://schemas.openxmlformats.org/officeDocument/2006/relationships/hyperlink" Target="2841000188224_&#12304;&#65329;&#65315;&#65331;&#12305;&#23567;&#26494;&#33756;&#12398;&#12362;&#12402;&#12383;&#12375;.xlsx" TargetMode="External" Id="rId136"/><Relationship Type="http://schemas.openxmlformats.org/officeDocument/2006/relationships/hyperlink" Target="2841000188149_&#12304;&#65329;&#65315;&#65331;&#12305;&#23567;&#26494;&#33756;&#12398;&#12362;&#12402;&#12383;&#12375;&#35519;&#21619;&#28082;.xlsx" TargetMode="External" Id="rId137"/><Relationship Type="http://schemas.openxmlformats.org/officeDocument/2006/relationships/hyperlink" Target="2841000188156_&#12304;&#65329;&#65315;&#65331;&#12305;&#23567;&#26494;&#33756;&#12398;&#12362;&#12402;&#12383;&#12375;&#37326;&#33756;&#12508;&#12452;&#12523;.xlsx" TargetMode="External" Id="rId138"/><Relationship Type="http://schemas.openxmlformats.org/officeDocument/2006/relationships/hyperlink" Target="2841000174821_&#12304;&#65329;&#65315;&#65331;&#12305;&#29275;&#12496;&#12521;&#12473;&#12521;&#12452;&#12473;&#28988;&#25104;.xlsx" TargetMode="External" Id="rId139"/><Relationship Type="http://schemas.openxmlformats.org/officeDocument/2006/relationships/hyperlink" Target="2841000175385_&#12304;&#65329;&#65315;&#65331;&#12305;&#29275;&#12496;&#12521;&#12473;&#12521;&#12452;&#12473;&#28988;&#25104;&#12459;&#12483;&#12488;.xlsx" TargetMode="External" Id="rId140"/><Relationship Type="http://schemas.openxmlformats.org/officeDocument/2006/relationships/hyperlink" Target="2841000196168_&#12304;&#65329;&#65315;&#65331;&#12305;&#40335;&#12416;&#12397;&#29983;&#23004;&#28988;&#12365;&#19979;&#21619;.xlsx" TargetMode="External" Id="rId141"/><Relationship Type="http://schemas.openxmlformats.org/officeDocument/2006/relationships/hyperlink" Target="2841000196304_&#12304;&#65329;&#65315;&#65331;&#12305;&#40335;&#12416;&#12397;&#29983;&#23004;&#28988;&#12365;&#19979;&#21619;&#28988;&#25104;.xlsx" TargetMode="External" Id="rId142"/><Relationship Type="http://schemas.openxmlformats.org/officeDocument/2006/relationships/hyperlink" Target="2841000196793_&#12304;&#65329;&#65315;&#65331;&#12305;&#40335;&#12416;&#12397;&#29983;&#23004;&#28988;&#12365;&#12479;&#12524;&#21644;&#12360;.xlsx" TargetMode="External" Id="rId143"/><Relationship Type="http://schemas.openxmlformats.org/officeDocument/2006/relationships/hyperlink" Target="2841000187647_&#12304;&#65329;&#65315;&#65331;&#12305;&#40335;&#12381;&#12412;&#12429;&#65288;&#40335;&#12511;&#12531;&#12481;&#65303;&#65306;&#65299;&#65289;.xlsx" TargetMode="External" Id="rId144"/><Relationship Type="http://schemas.openxmlformats.org/officeDocument/2006/relationships/hyperlink" Target="2841000174401_&#12304;&#65329;&#65315;&#65331;&#12305;&#39640;&#33756;&#28818;&#12417;.xlsx" TargetMode="External" Id="rId145"/><Relationship Type="http://schemas.openxmlformats.org/officeDocument/2006/relationships/hyperlink" Target="2841000174401_&#12304;&#65329;&#65315;&#65331;&#12305;&#39640;&#33756;&#28818;&#12417;.xlsx" TargetMode="External" Id="rId146"/><Relationship Type="http://schemas.openxmlformats.org/officeDocument/2006/relationships/hyperlink" Target="2841000187685_&#12304;&#65329;&#65315;&#65331;&#12305;&#12465;&#12481;&#12515;&#12483;&#12503;&#12521;&#12452;&#12473;&#65288;&#40335;&#12511;&#12531;&#12481;&#65303;&#65306;&#65299;&#28818;&#12417;&#65289;.xlsx" TargetMode="External" Id="rId147"/><Relationship Type="http://schemas.openxmlformats.org/officeDocument/2006/relationships/hyperlink" Target="2841000188033_&#12304;&#65329;&#65315;&#65331;&#12305;&#12465;&#12481;&#12515;&#12483;&#12503;&#12521;&#12452;&#12473;&#65288;&#12458;&#12512;&#12521;&#12452;&#12473;&#65303;&#65289;.xlsx" TargetMode="External" Id="rId148"/><Relationship Type="http://schemas.openxmlformats.org/officeDocument/2006/relationships/hyperlink" Target="2841000169551_&#12304;&#65329;&#65315;&#65331;&#12305;&#12490;&#12509;&#12522;&#12479;&#12531;&#12477;&#12540;&#12473;&#65301;.xlsx" TargetMode="External" Id="rId149"/><Relationship Type="http://schemas.openxmlformats.org/officeDocument/2006/relationships/hyperlink" Target="2841000169568_&#12304;&#65329;&#65315;&#65331;&#12305;&#12490;&#12509;&#12522;&#12479;&#12531;&#29992;&#33593;&#12391;&#40634;&#65298;.xlsx" TargetMode="External" Id="rId150"/><Relationship Type="http://schemas.openxmlformats.org/officeDocument/2006/relationships/hyperlink" Target="2841000170359_&#12304;&#65329;&#65315;&#65331;&#12305;&#12490;&#12509;&#12522;&#12479;&#12531;&#40634;&#21644;&#12360;.xlsx" TargetMode="External" Id="rId151"/><Relationship Type="http://schemas.openxmlformats.org/officeDocument/2006/relationships/hyperlink" Target="2841000188040_&#12304;&#65329;&#65315;&#65331;&#12305;&#12392;&#12426;&#22825;&#27833;&#35519;.xlsx" TargetMode="External" Id="rId152"/><Relationship Type="http://schemas.openxmlformats.org/officeDocument/2006/relationships/hyperlink" Target="2841000187708_&#12304;&#65329;&#65315;&#65331;&#12305;&#12392;&#12426;&#22825;&#29992;&#22825;&#12407;&#12425;&#34915;.xlsx" TargetMode="External" Id="rId153"/><Relationship Type="http://schemas.openxmlformats.org/officeDocument/2006/relationships/hyperlink" Target="2841000174395_&#12304;&#65329;&#65315;&#65331;&#12305;&#12463;&#12521;&#12483;&#12471;&#12517;&#29577;&#23376;.xlsx" TargetMode="External" Id="rId154"/><Relationship Type="http://schemas.openxmlformats.org/officeDocument/2006/relationships/hyperlink" Target="2841000168707_&#12304;&#65329;&#65315;&#65331;&#12305;&#29577;&#23376;&#21152;&#29105;.xlsx" TargetMode="External" Id="rId155"/><Relationship Type="http://schemas.openxmlformats.org/officeDocument/2006/relationships/hyperlink" Target="2841000174395_&#12304;&#65329;&#65315;&#65331;&#12305;&#12463;&#12521;&#12483;&#12471;&#12517;&#29577;&#23376;.xlsx" TargetMode="External" Id="rId156"/><Relationship Type="http://schemas.openxmlformats.org/officeDocument/2006/relationships/hyperlink" Target="../../../../&#12295;&#21830;&#21697;&#37096;/&#9650;&#30333;&#40165;CK/CK&#25163;&#38918;&#26360;/2026&#24180;/7&#26376;/&#12479;&#12523;&#12479;&#12523;&#20999;&#26367;/&#9670;&#12304;&#12479;&#12523;&#12479;&#12523;&#20999;&#26367;&#12305;&#12481;&#12461;&#12531;&#21335;&#34542;&#20028;&#65304;.xlsx" TargetMode="External" Id="rId157"/><Relationship Type="http://schemas.openxmlformats.org/officeDocument/2006/relationships/hyperlink" Target="2841000174401_&#12304;&#65329;&#65315;&#65331;&#12305;&#39640;&#33756;&#28818;&#12417;.xlsx" TargetMode="External" Id="rId158"/><Relationship Type="http://schemas.openxmlformats.org/officeDocument/2006/relationships/hyperlink" Target="2841000174401_&#12304;&#65329;&#65315;&#65331;&#12305;&#39640;&#33756;&#28818;&#12417;.xlsx" TargetMode="External" Id="rId159"/><Relationship Type="http://schemas.openxmlformats.org/officeDocument/2006/relationships/hyperlink" Target="2841000187647_&#12304;&#65329;&#65315;&#65331;&#12305;&#40335;&#12381;&#12412;&#12429;&#65288;&#40335;&#12511;&#12531;&#12481;&#65303;&#65306;&#65299;&#65289;.xlsx" TargetMode="External" Id="rId160"/><Relationship Type="http://schemas.openxmlformats.org/officeDocument/2006/relationships/hyperlink" Target="2841000169551_&#12304;&#65329;&#65315;&#65331;&#12305;&#12490;&#12509;&#12522;&#12479;&#12531;&#12477;&#12540;&#12473;&#65301;.xlsx" TargetMode="External" Id="rId161"/><Relationship Type="http://schemas.openxmlformats.org/officeDocument/2006/relationships/hyperlink" Target="2841000169568_&#12304;&#65329;&#65315;&#65331;&#12305;&#12490;&#12509;&#12522;&#12479;&#12531;&#29992;&#33593;&#12391;&#40634;&#65298;.xlsx" TargetMode="External" Id="rId162"/><Relationship Type="http://schemas.openxmlformats.org/officeDocument/2006/relationships/hyperlink" Target="2841000170359_&#12304;&#65329;&#65315;&#65331;&#12305;&#12490;&#12509;&#12522;&#12479;&#12531;&#40634;&#21644;&#12360;.xlsx" TargetMode="External" Id="rId163"/><Relationship Type="http://schemas.openxmlformats.org/officeDocument/2006/relationships/hyperlink" Target="2841000168790_&#12304;&#65329;&#65315;&#65331;&#12305;&#12467;&#12540;&#12531;&#12508;&#12452;&#12523;.xlsx" TargetMode="External" Id="rId164"/><Relationship Type="http://schemas.openxmlformats.org/officeDocument/2006/relationships/hyperlink" Target="../&#38283;&#30330;&#35215;&#26684;&#26360;/&#20037;&#20445;&#12524;&#12471;&#12500;&#20462;&#27491;&#29256;/&#65329;&#65315;&#65331;/&#9670;&#9670;&#30333;&#40165;&#12304;&#21830;&#21697;&#35215;&#26684;&#26360;&#12305;&#29983;&#23004;&#28988;&#12365;&#24321;&#24403;&#9670;&#9670;%20.xlsx" TargetMode="External" Id="rId165"/><Relationship Type="http://schemas.openxmlformats.org/officeDocument/2006/relationships/hyperlink" Target="2841000169551_&#12304;&#65329;&#65315;&#65331;&#12305;&#12490;&#12509;&#12522;&#12479;&#12531;&#12477;&#12540;&#12473;&#65301;.xlsx" TargetMode="External" Id="rId166"/><Relationship Type="http://schemas.openxmlformats.org/officeDocument/2006/relationships/hyperlink" Target="2841000169568_&#12304;&#65329;&#65315;&#65331;&#12305;&#12490;&#12509;&#12522;&#12479;&#12531;&#29992;&#33593;&#12391;&#40634;&#65298;.xlsx" TargetMode="External" Id="rId167"/><Relationship Type="http://schemas.openxmlformats.org/officeDocument/2006/relationships/hyperlink" Target="2841000170359_&#12304;&#65329;&#65315;&#65331;&#12305;&#12490;&#12509;&#12522;&#12479;&#12531;&#40634;&#21644;&#12360;.xlsx" TargetMode="External" Id="rId168"/><Relationship Type="http://schemas.openxmlformats.org/officeDocument/2006/relationships/hyperlink" Target="2841000168790_&#12304;&#65329;&#65315;&#65331;&#12305;&#12467;&#12540;&#12531;&#12508;&#12452;&#12523;.xlsx" TargetMode="External" Id="rId169"/><Relationship Type="http://schemas.openxmlformats.org/officeDocument/2006/relationships/hyperlink" Target="../../../../01_&#32068;&#32340;_&#12513;&#12460;&#29983;&#39854;_&#24803;&#33756;/&#12295;&#21830;&#21697;&#37096;/&#9650;&#30333;&#40165;CK/CK&#25163;&#38918;&#26360;/2026&#24180;/6&#26376;/&#29275;&#33953;&#20081;&#20999;&#12426;&#22793;&#26356;/&#12304;&#29275;&#33953;&#20081;&#20999;&#12426;&#20999;&#26367;&#12305;&#29031;&#12426;&#39894;&#24321;&#24403;&#65303;&#65288;&#30333;&#40165;&#65289;.xlsx" TargetMode="External" Id="rId170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171"/><Relationship Type="http://schemas.openxmlformats.org/officeDocument/2006/relationships/hyperlink" Target="2841000203248_&#12304;&#65329;&#65315;&#65331;&#12305;&#28988;&#12469;&#12496;&#12383;&#12428;&#22615;&#12426;&#65288;&#39894;&#65299;&#26522;&#12362;&#12429;&#12375;&#12501;&#12451;&#12540;&#12524;&#65289;.xlsx" TargetMode="External" Id="rId172"/><Relationship Type="http://schemas.openxmlformats.org/officeDocument/2006/relationships/hyperlink" Target="2841000175316_&#12304;&#65329;&#65315;&#65331;&#12305;&#12385;&#12367;&#12431;&#30959;&#37096;&#25562;&#12370;&#34915;.xlsx" TargetMode="External" Id="rId173"/><Relationship Type="http://schemas.openxmlformats.org/officeDocument/2006/relationships/hyperlink" Target="../../../../01_&#32068;&#32340;_&#12513;&#12460;&#29983;&#39854;_&#24803;&#33756;/&#12295;&#21830;&#21697;&#37096;/&#9650;&#30333;&#40165;CK/CK&#25163;&#38918;&#26360;/2026&#24180;/6&#26376;/&#29275;&#33953;&#20081;&#20999;&#12426;&#22793;&#26356;/&#12304;&#29275;&#33953;&#20081;&#20999;&#12426;&#20999;&#26367;&#12305;&#9670;&#9670;&#23470;&#22478;&#29987;&#37329;&#33775;&#37504;&#39853;&#35199;&#20140;&#28988;&#24321;&#24403;&#65298;&#65288;&#30333;&#40165;&#65289;.xlsx" TargetMode="External" Id="rId174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175"/><Relationship Type="http://schemas.openxmlformats.org/officeDocument/2006/relationships/hyperlink" Target="2841000175316_&#12304;&#65329;&#65315;&#65331;&#12305;&#12385;&#12367;&#12431;&#30959;&#37096;&#25562;&#12370;&#34915;.xlsx" TargetMode="External" Id="rId176"/><Relationship Type="http://schemas.openxmlformats.org/officeDocument/2006/relationships/hyperlink" Target="2841000201503_&#12304;&#65329;&#65315;&#65331;&#12305;&#12418;&#12385;&#31859;&#28024;&#28460;&#65288;&#65298;&#65302;&#26647;&#12362;&#12371;&#12431;&#65289;.xlsx" TargetMode="External" Id="rId177"/><Relationship Type="http://schemas.openxmlformats.org/officeDocument/2006/relationships/hyperlink" Target="2841000201640_&#12304;&#65329;&#65315;&#65331;&#12305;&#65298;&#65302;&#26647;&#12362;&#12371;&#12431;.xlsx" TargetMode="External" Id="rId178"/><Relationship Type="http://schemas.openxmlformats.org/officeDocument/2006/relationships/hyperlink" Target="2841000201510_&#12304;&#65329;&#65315;&#65331;&#12305;&#26647;&#29038;&#65288;&#65298;&#65302;&#26647;&#12362;&#12371;&#12431;&#65289;.xlsx" TargetMode="External" Id="rId179"/><Relationship Type="http://schemas.openxmlformats.org/officeDocument/2006/relationships/hyperlink" Target="2841000201510_&#12304;&#65329;&#65315;&#65331;&#12305;&#26647;&#29038;&#65288;&#65298;&#65302;&#26647;&#12362;&#12371;&#12431;&#65289;.xlsx" TargetMode="External" Id="rId180"/><Relationship Type="http://schemas.openxmlformats.org/officeDocument/2006/relationships/hyperlink" Target="2841000201640_&#12304;&#65329;&#65315;&#65331;&#12305;&#65298;&#65302;&#26647;&#12362;&#12371;&#12431;.xlsx" TargetMode="External" Id="rId181"/><Relationship Type="http://schemas.openxmlformats.org/officeDocument/2006/relationships/hyperlink" Target="_&#12304;&#65329;&#65315;&#65331;&#12305;&#65298;&#65302;&#26647;&#12362;&#12371;&#12431;.xlsx" TargetMode="External" Id="rId182"/><Relationship Type="http://schemas.openxmlformats.org/officeDocument/2006/relationships/hyperlink" Target="_&#12304;&#65329;&#65315;&#65331;&#12305;&#26647;&#29038;&#65288;&#65298;&#65302;&#26647;&#12362;&#12371;&#12431;&#65289;.xlsx" TargetMode="External" Id="rId183"/><Relationship Type="http://schemas.openxmlformats.org/officeDocument/2006/relationships/hyperlink" Target="_&#12304;&#65329;&#65315;&#65331;&#12305;&#26647;&#29038;&#65288;&#65298;&#65302;&#26647;&#12362;&#12371;&#12431;&#65289;.xlsx" TargetMode="External" Id="rId184"/><Relationship Type="http://schemas.openxmlformats.org/officeDocument/2006/relationships/hyperlink" Target="2841000187531_&#12304;&#65329;&#65315;&#65331;&#12305;&#12479;&#12540;&#12513;&#12522;&#12483;&#12463;&#12521;&#12452;&#12473;%20.xlsx" TargetMode="External" Id="rId185"/><Relationship Type="http://schemas.openxmlformats.org/officeDocument/2006/relationships/hyperlink" Target="2841000197585_&#12304;&#65329;&#65315;&#65331;&#12305;&#12508;&#12452;&#12523;&#12497;&#12473;&#12479;&#40634;&#65288;&#65297;&#65294;&#65303;&#65357;&#65357;&#65289;.xlsx" TargetMode="External" Id="rId186"/><Relationship Type="http://schemas.openxmlformats.org/officeDocument/2006/relationships/hyperlink" Target="2841000203262_&#12304;&#65329;&#65315;&#65331;&#12305;&#12460;&#12540;&#12522;&#12483;&#12463;&#12496;&#12479;&#12540;&#12458;&#12452;&#12523;&#65288;&#30333;&#12497;&#12473;&#12479;&#65289;.xlsx" TargetMode="External" Id="rId187"/><Relationship Type="http://schemas.openxmlformats.org/officeDocument/2006/relationships/hyperlink" Target="2841000203552_&#12304;&#65329;&#65315;&#65331;&#12305;&#30333;&#12497;&#12473;&#12479;.xlsx" TargetMode="External" Id="rId188"/><Relationship Type="http://schemas.openxmlformats.org/officeDocument/2006/relationships/hyperlink" Target="2841000203279_&#12304;&#65329;&#65315;&#65331;&#12305;&#12495;&#12531;&#12496;&#12540;&#12464;&#12477;&#12540;&#12473;.xlsx" TargetMode="External" Id="rId189"/><Relationship Type="http://schemas.openxmlformats.org/officeDocument/2006/relationships/hyperlink" Target="2841000203286_&#12304;&#65329;&#65315;&#65331;&#12305;&#12490;&#12481;&#12517;&#12521;&#12523;&#12459;&#12483;&#12488;&#12509;&#12486;&#12488;&#27833;&#35519;.xlsx" TargetMode="External" Id="rId190"/><Relationship Type="http://schemas.openxmlformats.org/officeDocument/2006/relationships/hyperlink" Target="2841000168790_&#12304;&#65329;&#65315;&#65331;&#12305;&#12467;&#12540;&#12531;&#12508;&#12452;&#12523;.xlsx" TargetMode="External" Id="rId191"/><Relationship Type="http://schemas.openxmlformats.org/officeDocument/2006/relationships/hyperlink" Target="../../../../01_&#32068;&#32340;_&#12513;&#12460;&#29983;&#39854;_&#24803;&#33756;/&#12295;&#21830;&#21697;&#37096;/&#9650;&#30333;&#40165;CK/CK&#25163;&#38918;&#26360;/2026&#24180;/6&#26376;/&#29275;&#33953;&#20081;&#20999;&#12426;&#22793;&#26356;/&#12304;&#29275;&#33953;&#20081;&#20999;&#12426;&#20999;&#26367;&#12305;&#26126;&#22826;&#39640;&#33756;&#24149;&#12398;&#20869;&#24321;&#24403;&#65304;&#65288;&#30333;&#40165;&#65289;.xlsx" TargetMode="External" Id="rId192"/><Relationship Type="http://schemas.openxmlformats.org/officeDocument/2006/relationships/hyperlink" Target="2841000174401_&#12304;&#65329;&#65315;&#65331;&#12305;&#39640;&#33756;&#28818;&#12417;.xlsx" TargetMode="External" Id="rId193"/><Relationship Type="http://schemas.openxmlformats.org/officeDocument/2006/relationships/hyperlink" Target="2841000174401_&#12304;&#65329;&#65315;&#65331;&#12305;&#39640;&#33756;&#28818;&#12417;.xlsx" TargetMode="External" Id="rId194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195"/><Relationship Type="http://schemas.openxmlformats.org/officeDocument/2006/relationships/hyperlink" Target="2841000180402_&#12304;&#65329;&#65315;&#65331;&#12305;&#40335;&#12417;&#12375;&#29992;&#20855;&#26448;&#65288;&#40335;&#12417;&#12375;&#65300;&#65289;.xlsx" TargetMode="External" Id="rId196"/><Relationship Type="http://schemas.openxmlformats.org/officeDocument/2006/relationships/hyperlink" Target="2841000180419_&#12304;&#65329;&#65315;&#65331;&#12305;&#40335;&#12417;&#12375;&#29992;&#12372;&#39151;&#65288;&#40335;&#12417;&#12375;&#65300;&#65289;.xlsx" TargetMode="External" Id="rId197"/><Relationship Type="http://schemas.openxmlformats.org/officeDocument/2006/relationships/hyperlink" Target="2841000180501_&#12304;&#65329;&#65315;&#65331;&#12305;&#40335;&#12417;&#12375;&#65300;.xlsx" TargetMode="External" Id="rId198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199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200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201"/><Relationship Type="http://schemas.openxmlformats.org/officeDocument/2006/relationships/hyperlink" Target="2841000169551_&#12304;&#65329;&#65315;&#65331;&#12305;&#12490;&#12509;&#12522;&#12479;&#12531;&#12477;&#12540;&#12473;&#65301;.xlsx" TargetMode="External" Id="rId202"/><Relationship Type="http://schemas.openxmlformats.org/officeDocument/2006/relationships/hyperlink" Target="2841000169568_&#12304;&#65329;&#65315;&#65331;&#12305;&#12490;&#12509;&#12522;&#12479;&#12531;&#29992;&#33593;&#12391;&#40634;&#65298;.xlsx" TargetMode="External" Id="rId203"/><Relationship Type="http://schemas.openxmlformats.org/officeDocument/2006/relationships/hyperlink" Target="2841000170359_&#12304;&#65329;&#65315;&#65331;&#12305;&#12490;&#12509;&#12522;&#12479;&#12531;&#40634;&#21644;&#12360;.xlsx" TargetMode="External" Id="rId204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205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206"/><Relationship Type="http://schemas.openxmlformats.org/officeDocument/2006/relationships/hyperlink" Target="../&#38283;&#30330;&#35215;&#26684;&#26360;/&#30000;&#21407;&#35215;&#26684;&#26360;&#20462;&#27491;&#29256;/&#12496;&#12483;&#12481;&#12486;&#12473;&#12488;/2025/25.11&#26376;12&#26085;/&#9670;&#12304;&#21830;&#21697;&#35215;&#26684;&#26360;&#12305;&#127834;&#12304;&#20013;&#38291;&#21697;&#12305;&#12363;&#12375;&#12431;&#39151;8&#127834;.xlsx" TargetMode="External" Id="rId207"/><Relationship Type="http://schemas.openxmlformats.org/officeDocument/2006/relationships/hyperlink" Target="2841000175316_&#12304;&#65329;&#65315;&#65331;&#12305;&#12385;&#12367;&#12431;&#30959;&#37096;&#25562;&#12370;&#34915;.xlsx" TargetMode="External" Id="rId208"/><Relationship Type="http://schemas.openxmlformats.org/officeDocument/2006/relationships/hyperlink" Target="2841000175316_&#12304;&#65329;&#65315;&#65331;&#12305;&#12385;&#12367;&#12431;&#30959;&#37096;&#25562;&#12370;&#34915;.xlsx" TargetMode="External" Id="rId209"/><Relationship Type="http://schemas.openxmlformats.org/officeDocument/2006/relationships/hyperlink" Target="2841000177082_&#12304;&#65329;&#65315;&#65331;&#12305;&#12385;&#12367;&#12431;&#30959;&#36794;&#25562;&#12370;&#65300;&#65288;&#65297;&#65295;&#65298;&#65289;.xlsx" TargetMode="External" Id="rId210"/><Relationship Type="http://schemas.openxmlformats.org/officeDocument/2006/relationships/hyperlink" Target="../../../../01_&#32068;&#32340;_&#12513;&#12460;&#29983;&#39854;_&#24803;&#33756;/&#12295;&#21830;&#21697;&#37096;/&#9650;&#30333;&#40165;CK/CK&#25163;&#38918;&#26360;/2026&#24180;/6&#26376;/&#29275;&#33953;&#20081;&#20999;&#12426;&#22793;&#26356;/&#9670;&#12304;&#29275;&#33953;&#20081;&#20999;&#12426;&#20999;&#26367;&#12305;&#9670;&#29305;&#35069;&#24149;&#12398;&#20869;&#24321;&#24403;&#65297;&#65288;&#30333;&#40165;&#65289;%20.xlsx" TargetMode="External" Id="rId211"/><Relationship Type="http://schemas.openxmlformats.org/officeDocument/2006/relationships/hyperlink" Target="2841000174401_&#12304;&#65329;&#65315;&#65331;&#12305;&#39640;&#33756;&#28818;&#12417;.xlsx" TargetMode="External" Id="rId212"/><Relationship Type="http://schemas.openxmlformats.org/officeDocument/2006/relationships/hyperlink" Target="2841000174401_&#12304;&#65329;&#65315;&#65331;&#12305;&#39640;&#33756;&#28818;&#12417;.xlsx" TargetMode="External" Id="rId213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214"/><Relationship Type="http://schemas.openxmlformats.org/officeDocument/2006/relationships/hyperlink" Target="2841000187531_&#12304;&#65329;&#65315;&#65331;&#12305;&#12479;&#12540;&#12513;&#12522;&#12483;&#12463;&#12521;&#12452;&#12473;%20.xlsx" TargetMode="External" Id="rId215"/><Relationship Type="http://schemas.openxmlformats.org/officeDocument/2006/relationships/hyperlink" Target="2841000197585_&#12304;&#65329;&#65315;&#65331;&#12305;&#12508;&#12452;&#12523;&#12497;&#12473;&#12479;&#40634;&#65288;&#65297;&#65294;&#65303;&#65357;&#65357;&#65289;.xlsx" TargetMode="External" Id="rId216"/><Relationship Type="http://schemas.openxmlformats.org/officeDocument/2006/relationships/hyperlink" Target="2841000203262_&#12304;&#65329;&#65315;&#65331;&#12305;&#12460;&#12540;&#12522;&#12483;&#12463;&#12496;&#12479;&#12540;&#12458;&#12452;&#12523;&#65288;&#30333;&#12497;&#12473;&#12479;&#65289;.xlsx" TargetMode="External" Id="rId217"/><Relationship Type="http://schemas.openxmlformats.org/officeDocument/2006/relationships/hyperlink" Target="2841000203552_&#12304;&#65329;&#65315;&#65331;&#12305;&#30333;&#12497;&#12473;&#12479;.xlsx" TargetMode="External" Id="rId218"/><Relationship Type="http://schemas.openxmlformats.org/officeDocument/2006/relationships/hyperlink" Target="2841000203279_&#12304;&#65329;&#65315;&#65331;&#12305;&#12495;&#12531;&#12496;&#12540;&#12464;&#12477;&#12540;&#12473;.xlsx" TargetMode="External" Id="rId219"/><Relationship Type="http://schemas.openxmlformats.org/officeDocument/2006/relationships/hyperlink" Target="2841000203286_&#12304;&#65329;&#65315;&#65331;&#12305;&#12490;&#12481;&#12517;&#12521;&#12523;&#12459;&#12483;&#12488;&#12509;&#12486;&#12488;&#27833;&#35519;.xlsx" TargetMode="External" Id="rId220"/><Relationship Type="http://schemas.openxmlformats.org/officeDocument/2006/relationships/hyperlink" Target="2841000168790_&#12304;&#65329;&#65315;&#65331;&#12305;&#12467;&#12540;&#12531;&#12508;&#12452;&#12523;.xlsx" TargetMode="External" Id="rId221"/><Relationship Type="http://schemas.openxmlformats.org/officeDocument/2006/relationships/hyperlink" Target="2841000175316_&#12304;&#65329;&#65315;&#65331;&#12305;&#12385;&#12367;&#12431;&#30959;&#37096;&#25562;&#12370;&#34915;.xlsx" TargetMode="External" Id="rId222"/><Relationship Type="http://schemas.openxmlformats.org/officeDocument/2006/relationships/hyperlink" Target="2841000177082_&#12304;&#65329;&#65315;&#65331;&#12305;&#12385;&#12367;&#12431;&#30959;&#36794;&#25562;&#12370;&#65300;&#65288;&#65297;&#65295;&#65298;&#65289;.xlsx" TargetMode="External" Id="rId223"/><Relationship Type="http://schemas.openxmlformats.org/officeDocument/2006/relationships/hyperlink" Target="2841000178461_&#12304;&#65329;&#65315;&#65331;&#12305;&#28988;&#12365;&#12381;&#12400;&#37326;&#33756;&#65288;&#12477;&#12540;&#12473;&#28988;&#12365;&#12381;&#12400;&#65303;&#65289;.xlsx" TargetMode="External" Id="rId224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2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26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2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2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2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3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31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32"/><Relationship Type="http://schemas.openxmlformats.org/officeDocument/2006/relationships/hyperlink" Target="../&#38283;&#30330;&#35215;&#26684;&#26360;/&#20037;&#20445;&#12524;&#12471;&#12500;&#20462;&#27491;&#29256;/&#65329;&#65315;&#65331;/&#12304;&#35215;&#26684;&#22793;&#26356;&#12305;&#28988;&#12365;&#12385;&#12419;&#12435;&#12413;&#12435;1&#65288;&#30333;&#40165;&#65289;.xlsx" TargetMode="External" Id="rId233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34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3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36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37"/><Relationship Type="http://schemas.openxmlformats.org/officeDocument/2006/relationships/hyperlink" Target="2841000168790_&#12304;&#65329;&#65315;&#65331;&#12305;&#12467;&#12540;&#12531;&#12508;&#12452;&#12523;.xlsx" TargetMode="External" Id="rId238"/><Relationship Type="http://schemas.openxmlformats.org/officeDocument/2006/relationships/hyperlink" Target="../&#38283;&#30330;&#35215;&#26684;&#26360;/&#20037;&#20445;&#12524;&#12471;&#12500;&#20462;&#27491;&#29256;/&#65329;&#65315;&#65331;/&#9670;RN&#9670;&#12304;&#21830;&#21697;&#35215;&#26684;&#26360;&#12305;&#9670;&#20116;&#30446;&#12499;&#12540;&#12501;&#12531;&#65299;&#9670;%20(&#30333;&#40165;).xlsx" TargetMode="External" Id="rId239"/><Relationship Type="http://schemas.openxmlformats.org/officeDocument/2006/relationships/hyperlink" Target="2841000197578_&#12304;&#65329;&#65315;&#65331;&#12305;&#12506;&#12506;&#12525;&#12531;&#12481;&#12540;&#12494;&#12458;&#12452;&#12523;.xlsx" TargetMode="External" Id="rId240"/><Relationship Type="http://schemas.openxmlformats.org/officeDocument/2006/relationships/hyperlink" Target="2841000197585_&#12304;&#65329;&#65315;&#65331;&#12305;&#12508;&#12452;&#12523;&#12497;&#12473;&#12479;&#40634;&#65288;&#65297;&#65294;&#65303;&#65357;&#65357;&#65289;.xlsx" TargetMode="External" Id="rId241"/><Relationship Type="http://schemas.openxmlformats.org/officeDocument/2006/relationships/hyperlink" Target="2841000197967_&#12304;&#65329;&#65315;&#65331;&#12305;&#12506;&#12506;&#12525;&#12531;&#12481;&#12540;&#12494;&#40634;.xlsx" TargetMode="External" Id="rId242"/><Relationship Type="http://schemas.openxmlformats.org/officeDocument/2006/relationships/hyperlink" Target="2841000197592_&#12304;&#65329;&#65315;&#65331;&#12305;&#12405;&#12435;&#12431;&#12426;&#21365;.xlsx" TargetMode="External" Id="rId243"/><Relationship Type="http://schemas.openxmlformats.org/officeDocument/2006/relationships/hyperlink" Target="2841000197974_&#12304;&#65329;&#65315;&#65331;&#12305;&#32048;&#20999;&#12426;&#12505;&#12540;&#12467;&#12531;&#28988;&#25104;.xlsx" TargetMode="External" Id="rId244"/><Relationship Type="http://schemas.openxmlformats.org/officeDocument/2006/relationships/hyperlink" Target="../&#38283;&#30330;&#35215;&#26684;&#26360;/&#20037;&#20445;&#12524;&#12471;&#12500;&#20462;&#27491;&#29256;/&#65329;&#65315;&#65331;/&#9670;6&#26376;26&#26085;&#9670;&#12304;&#21830;&#21697;&#35215;&#26684;&#26360;&#12305;&#9670;&#12505;&#12540;&#12467;&#12531;&#65286;&#39640;&#33756;&#12398;&#21644;&#39080;&#12497;&#12473;&#12479;&#9670;&#30333;&#40165;.xlsx" TargetMode="External" Id="rId245"/><Relationship Type="http://schemas.openxmlformats.org/officeDocument/2006/relationships/hyperlink" Target="2841000197585_&#12304;&#65329;&#65315;&#65331;&#12305;&#12508;&#12452;&#12523;&#12497;&#12473;&#12479;&#40634;&#65288;&#65297;&#65294;&#65303;&#65357;&#65357;&#65289;.xlsx" TargetMode="External" Id="rId246"/><Relationship Type="http://schemas.openxmlformats.org/officeDocument/2006/relationships/hyperlink" Target="2841000197622_&#12304;&#65329;&#65315;&#65331;&#12305;&#39640;&#33756;&#27833;&#28818;&#12417;&#65288;&#12497;&#12473;&#12479;&#29992;&#65289;.xlsx" TargetMode="External" Id="rId24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4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4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5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51"/><Relationship Type="http://schemas.openxmlformats.org/officeDocument/2006/relationships/hyperlink" Target="2841000203293_&#12304;&#65329;&#65315;&#65331;&#12305;&#65298;&#65302;&#12385;&#12419;&#12435;&#12413;&#12435;&#12473;&#12540;&#12503;.xlsx" TargetMode="External" Id="rId252"/><Relationship Type="http://schemas.openxmlformats.org/officeDocument/2006/relationships/hyperlink" Target="2841000203309_&#12304;&#65329;&#65315;&#65331;&#12305;&#12385;&#12419;&#12435;&#12413;&#12435;&#12354;&#12373;&#12426;.xlsx" TargetMode="External" Id="rId253"/><Relationship Type="http://schemas.openxmlformats.org/officeDocument/2006/relationships/hyperlink" Target="2841000203309_&#12304;&#65329;&#65315;&#65331;&#12305;&#12385;&#12419;&#12435;&#12413;&#12435;&#12354;&#12373;&#12426;.xlsx" TargetMode="External" Id="rId254"/><Relationship Type="http://schemas.openxmlformats.org/officeDocument/2006/relationships/hyperlink" Target="2841000203316_&#12304;&#65329;&#65315;&#65331;&#12305;&#12385;&#12419;&#12435;&#12413;&#12435;&#40634;&#65288;&#40634;&#65301;&#65355;&#65351;&#65289;.xlsx" TargetMode="External" Id="rId255"/><Relationship Type="http://schemas.openxmlformats.org/officeDocument/2006/relationships/hyperlink" Target="2841000203323_&#12304;&#65329;&#65315;&#65331;&#12305;&#65298;&#65302;&#12385;&#12419;&#12435;&#12413;&#12435;&#37326;&#33756;.xlsx" TargetMode="External" Id="rId256"/><Relationship Type="http://schemas.openxmlformats.org/officeDocument/2006/relationships/hyperlink" Target="2841000168790_&#12304;&#65329;&#65315;&#65331;&#12305;&#12467;&#12540;&#12531;&#12508;&#12452;&#12523;.xlsx" TargetMode="External" Id="rId25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5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5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6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61"/><Relationship Type="http://schemas.openxmlformats.org/officeDocument/2006/relationships/hyperlink" Target="2841000203293_&#12304;&#65329;&#65315;&#65331;&#12305;&#65298;&#65302;&#12385;&#12419;&#12435;&#12413;&#12435;&#12473;&#12540;&#12503;.xlsx" TargetMode="External" Id="rId262"/><Relationship Type="http://schemas.openxmlformats.org/officeDocument/2006/relationships/hyperlink" Target="2841000203309_&#12304;&#65329;&#65315;&#65331;&#12305;&#12385;&#12419;&#12435;&#12413;&#12435;&#12354;&#12373;&#12426;.xlsx" TargetMode="External" Id="rId263"/><Relationship Type="http://schemas.openxmlformats.org/officeDocument/2006/relationships/hyperlink" Target="2841000203309_&#12304;&#65329;&#65315;&#65331;&#12305;&#12385;&#12419;&#12435;&#12413;&#12435;&#12354;&#12373;&#12426;.xlsx" TargetMode="External" Id="rId264"/><Relationship Type="http://schemas.openxmlformats.org/officeDocument/2006/relationships/hyperlink" Target="2841000203316_&#12304;&#65329;&#65315;&#65331;&#12305;&#12385;&#12419;&#12435;&#12413;&#12435;&#40634;&#65288;&#40634;&#65301;&#65355;&#65351;&#65289;.xlsx" TargetMode="External" Id="rId265"/><Relationship Type="http://schemas.openxmlformats.org/officeDocument/2006/relationships/hyperlink" Target="2841000203323_&#12304;&#65329;&#65315;&#65331;&#12305;&#65298;&#65302;&#12385;&#12419;&#12435;&#12413;&#12435;&#37326;&#33756;.xlsx" TargetMode="External" Id="rId266"/><Relationship Type="http://schemas.openxmlformats.org/officeDocument/2006/relationships/hyperlink" Target="2841000168790_&#12304;&#65329;&#65315;&#65331;&#12305;&#12467;&#12540;&#12531;&#12508;&#12452;&#12523;.xlsx" TargetMode="External" Id="rId26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6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6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7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71"/><Relationship Type="http://schemas.openxmlformats.org/officeDocument/2006/relationships/hyperlink" Target="2841000203828_&#12304;&#65329;&#65315;&#65331;&#12305;&#12395;&#12421;&#12358;&#12417;&#12435;&#12384;&#12375;.xlsx" TargetMode="External" Id="rId272"/><Relationship Type="http://schemas.openxmlformats.org/officeDocument/2006/relationships/hyperlink" Target="2841000203347_&#12304;&#65329;&#65315;&#65331;&#12305;&#12381;&#12358;&#12417;&#12435;&#12508;&#12452;&#12523;&#65288;&#32032;&#40634;&#65305;&#65355;&#65351;&#65289;.xlsx" TargetMode="External" Id="rId273"/><Relationship Type="http://schemas.openxmlformats.org/officeDocument/2006/relationships/hyperlink" Target="2841000203835_&#12304;&#65329;&#65315;&#65331;&#12305;&#40335;&#32905;&#29038;.xlsx" TargetMode="External" Id="rId274"/><Relationship Type="http://schemas.openxmlformats.org/officeDocument/2006/relationships/hyperlink" Target="2841000203569_&#12304;&#65329;&#65315;&#65331;&#12305;&#26894;&#33592;&#29038;&#27531;&#12426;&#27713;.xlsx" TargetMode="External" Id="rId275"/><Relationship Type="http://schemas.openxmlformats.org/officeDocument/2006/relationships/hyperlink" Target="2841000203354_&#12304;&#65329;&#65315;&#65331;&#12305;&#12358;&#12393;&#12435;&#12384;&#12375;.xlsx" TargetMode="External" Id="rId276"/><Relationship Type="http://schemas.openxmlformats.org/officeDocument/2006/relationships/hyperlink" Target="2841000203378_&#12304;&#65329;&#65315;&#65331;&#12305;&#32048;&#20999;&#12426;&#26894;&#33592;&#27700;&#25147;&#12375;.xlsx" TargetMode="External" Id="rId277"/><Relationship Type="http://schemas.openxmlformats.org/officeDocument/2006/relationships/hyperlink" Target="2841000203576_&#12304;&#65329;&#65315;&#65331;&#12305;&#26894;&#33592;&#29038;.xlsx" TargetMode="External" Id="rId27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7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8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81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82"/><Relationship Type="http://schemas.openxmlformats.org/officeDocument/2006/relationships/hyperlink" Target="2841000203354_&#12304;&#65329;&#65315;&#65331;&#12305;&#12358;&#12393;&#12435;&#12384;&#12375;.xlsx" TargetMode="External" Id="rId283"/><Relationship Type="http://schemas.openxmlformats.org/officeDocument/2006/relationships/hyperlink" Target="..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 Id="rId284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8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86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8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88"/><Relationship Type="http://schemas.openxmlformats.org/officeDocument/2006/relationships/hyperlink" Target="2841000203354_&#12304;&#65329;&#65315;&#65331;&#12305;&#12358;&#12393;&#12435;&#12384;&#12375;.xlsx" TargetMode="External" Id="rId28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1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2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3"/><Relationship Type="http://schemas.openxmlformats.org/officeDocument/2006/relationships/hyperlink" Target="2841000203354_&#12304;&#65329;&#65315;&#65331;&#12305;&#12358;&#12393;&#12435;&#12384;&#12375;.xlsx" TargetMode="External" Id="rId294"/><Relationship Type="http://schemas.openxmlformats.org/officeDocument/2006/relationships/hyperlink" Target="..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 Id="rId29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6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299"/><Relationship Type="http://schemas.openxmlformats.org/officeDocument/2006/relationships/hyperlink" Target="../&#38283;&#30330;&#35215;&#26684;&#26360;/&#20037;&#20445;&#12524;&#12471;&#12500;&#20462;&#27491;&#29256;/&#65329;&#65315;&#65331;/&#9670;3&#26376;&#65302;&#26085;&#9670;&#12304;&#21830;&#21697;&#35215;&#26684;&#26360;&#12305;&#9670;26&#29305;&#35069;&#20919;&#12420;&#12375;&#20013;&#33775;&#9670;&#30333;&#40165;.xlsx" TargetMode="External" Id="rId300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 Id="rId301"/><Relationship Type="http://schemas.openxmlformats.org/officeDocument/2006/relationships/hyperlink" Target="../&#38283;&#30330;&#35215;&#26684;&#26360;/&#20037;&#20445;&#12524;&#12471;&#12500;&#20462;&#27491;&#29256;/&#65329;&#65315;&#65331;/&#9670;3&#26376;&#65302;&#26085;&#9670;&#12304;&#21830;&#21697;&#35215;&#26684;&#26360;&#12305;&#9670;26&#29305;&#35069;&#20919;&#12420;&#12375;&#20013;&#33775;&#9670;&#30333;&#40165;.xlsx" TargetMode="External" Id="rId302"/><Relationship Type="http://schemas.openxmlformats.org/officeDocument/2006/relationships/hyperlink" Target="2841000177938_&#12304;&#65329;&#65315;&#65331;&#12305;&#12358;&#12393;&#12435;&#40634;.xlsx" TargetMode="External" Id="rId303"/><Relationship Type="http://schemas.openxmlformats.org/officeDocument/2006/relationships/hyperlink" Target="2841000177938_&#12304;&#65329;&#65315;&#65331;&#12305;&#12358;&#12393;&#12435;&#40634;.xlsx" TargetMode="External" Id="rId304"/><Relationship Type="http://schemas.openxmlformats.org/officeDocument/2006/relationships/hyperlink" Target="..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 Id="rId305"/><Relationship Type="http://schemas.openxmlformats.org/officeDocument/2006/relationships/hyperlink" Target="../&#38283;&#30330;&#35215;&#26684;&#26360;/&#20037;&#20445;&#12524;&#12471;&#12500;&#20462;&#27491;&#29256;/&#65329;&#65315;&#65331;/&#20919;&#12420;&#12375;&#12392;&#12429;&#12429;&#12358;&#12393;&#12435;&#65298;&#65288;&#30333;&#40165;&#65289;.xlsx" TargetMode="External" Id="rId306"/><Relationship Type="http://schemas.openxmlformats.org/officeDocument/2006/relationships/hyperlink" Target="../&#38283;&#30330;&#35215;&#26684;&#26360;/&#20037;&#20445;&#12524;&#12471;&#12500;&#20462;&#27491;&#29256;/&#65329;&#65315;&#65331;/&#20919;&#12420;&#12375;&#12392;&#12429;&#12429;&#12358;&#12393;&#12435;&#65298;&#65288;&#30333;&#40165;&#65289;.xlsx" TargetMode="External" Id="rId307"/><Relationship Type="http://schemas.openxmlformats.org/officeDocument/2006/relationships/hyperlink" Target="../&#38283;&#30330;&#35215;&#26684;&#26360;/&#20037;&#20445;&#12524;&#12471;&#12500;&#20462;&#27491;&#29256;/&#65329;&#65315;&#65331;/&#20919;&#12420;&#12375;&#12392;&#12429;&#12429;&#12358;&#12393;&#12435;&#65298;&#65288;&#30333;&#40165;&#65289;.xlsx" TargetMode="External" Id="rId30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0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1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11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12"/><Relationship Type="http://schemas.openxmlformats.org/officeDocument/2006/relationships/hyperlink" Target="2841000177938_&#12304;&#65329;&#65315;&#65331;&#12305;&#12358;&#12393;&#12435;&#40634;.xlsx" TargetMode="External" Id="rId313"/><Relationship Type="http://schemas.openxmlformats.org/officeDocument/2006/relationships/hyperlink" Target="2841000177938_&#12304;&#65329;&#65315;&#65331;&#12305;&#12358;&#12393;&#12435;&#40634;.xlsx" TargetMode="External" Id="rId314"/><Relationship Type="http://schemas.openxmlformats.org/officeDocument/2006/relationships/hyperlink" Target="../&#38283;&#30330;&#35215;&#26684;&#26360;/&#20037;&#20445;&#12524;&#12471;&#12500;&#20462;&#27491;&#29256;/&#65329;&#65315;&#65331;/&#9670;&#12304;&#12358;&#12414;&#12367;&#12385;&#30333;&#12384;&#12375;&#20837;&#26367;&#12305;&#9670;&#32905;&#29577;&#12358;&#12393;&#12435;2&#65288;&#30333;&#40165;&#65289;%20.xlsx" TargetMode="External" Id="rId31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16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1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18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19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9670;26&#25285;&#12293;&#40634;&#9670;.xlsx" TargetMode="External" Id="rId320"/><Relationship Type="http://schemas.openxmlformats.org/officeDocument/2006/relationships/hyperlink" Target="../&#38283;&#30330;&#35215;&#26684;&#26360;/&#20037;&#20445;&#12524;&#12471;&#12500;&#20462;&#27491;&#29256;/&#65329;&#65315;&#65331;/&#9670;RN&#9670;&#12304;&#21830;&#21697;&#35215;&#26684;&#26360;&#12305;&#9670;&#65298;&#65302;&#20919;&#12420;&#12375;&#25285;&#12293;&#40634;&#9670;&#30333;&#40165;.xlsx" TargetMode="External" Id="rId321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322"/><Relationship Type="http://schemas.openxmlformats.org/officeDocument/2006/relationships/hyperlink" Target="../&#38283;&#30330;&#35215;&#26684;&#26360;/&#20037;&#20445;&#12524;&#12471;&#12500;&#20462;&#27491;&#29256;/&#65329;&#65315;&#65331;/&#9670;&#12304;&#29275;&#33953;&#20081;&#20999;&#12426;&#20999;&#26367;&#12305;&#31569;&#21069;&#29038;&#65301;&#65288;&#30333;&#40165;&#65289;.xlsx" TargetMode="External" Id="rId323"/><Relationship Type="http://schemas.openxmlformats.org/officeDocument/2006/relationships/hyperlink" Target="../&#38283;&#30330;&#35215;&#26684;&#26360;/&#20037;&#20445;&#12524;&#12471;&#12500;&#20462;&#27491;&#29256;/&#65329;&#65315;&#65331;/&#9670;&#9670;&#12304;&#21830;&#21697;&#35215;&#26684;&#26360;&#12305;&#9670;&#9670;%20&#12373;&#12400;&#21335;&#34542;&#28460;&#12369;&#65298;&#65288;&#30333;&#40165;&#65289;.xlsx" TargetMode="External" Id="rId324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0154;&#21442;&#20837;&#26367;&#12305;&#12354;&#12376;&#12398;&#21335;&#34542;&#28460;&#12369;&#65301;%20&#65288;&#30333;&#40165;&#65289;.xlsx" TargetMode="External" Id="rId325"/><Relationship Type="http://schemas.openxmlformats.org/officeDocument/2006/relationships/hyperlink" Target="2841000186565_&#12304;&#65329;&#65315;&#65331;&#12305;&#12524;&#12514;&#12531;&#12459;&#12483;&#12488;&#65297;&#65295;&#65300;&#65296;.xlsx" TargetMode="External" Id="rId326"/><Relationship Type="http://schemas.openxmlformats.org/officeDocument/2006/relationships/hyperlink" Target="..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 Id="rId327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 Id="rId328"/><Relationship Type="http://schemas.openxmlformats.org/officeDocument/2006/relationships/hyperlink" Target="../&#38283;&#30330;&#35215;&#26684;&#26360;/&#20037;&#20445;&#12524;&#12471;&#12500;&#20462;&#27491;&#29256;/&#65329;&#65315;&#65331;/&#9670;&#12304;&#20154;&#21442;&#20837;&#26367;&#12305;&#12354;&#12376;&#12398;&#21335;&#34542;&#28460;&#12369;&#65301;%20&#65288;&#30333;&#40165;&#65289;.xlsx" TargetMode="External" Id="rId329"/><Relationship Type="http://schemas.openxmlformats.org/officeDocument/2006/relationships/hyperlink" Target="2841000182079_&#12304;&#65329;&#65315;&#65331;&#12305;&#12524;&#12514;&#12531;&#12459;&#12483;&#12488;&#65297;&#65295;&#65297;&#65302;.xlsx" TargetMode="External" Id="rId33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1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2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3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4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6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7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38"/><Relationship Type="http://schemas.openxmlformats.org/officeDocument/2006/relationships/hyperlink" Target="../&#38283;&#30330;&#35215;&#26684;&#26360;/&#20037;&#20445;&#12524;&#12471;&#12500;&#20462;&#27491;&#29256;/&#65329;&#65315;&#65331;/&#9670;&#9670;&#12304;&#21830;&#21697;&#35215;&#26684;&#26360;&#12305;&#9670;&#9670;%20&#25562;&#12370;&#12384;&#12375;&#35910;&#33104;2.xlsx" TargetMode="External" Id="rId339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40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41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42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43"/><Relationship Type="http://schemas.openxmlformats.org/officeDocument/2006/relationships/hyperlink" Target="..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 Id="rId344"/><Relationship Type="http://schemas.openxmlformats.org/officeDocument/2006/relationships/hyperlink" Target="..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 Id="rId345"/><Relationship Type="http://schemas.openxmlformats.org/officeDocument/2006/relationships/hyperlink" Target="..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 Id="rId346"/><Relationship Type="http://schemas.openxmlformats.org/officeDocument/2006/relationships/hyperlink" Target="../&#38283;&#30330;&#35215;&#26684;&#26360;/&#20037;&#20445;&#12524;&#12471;&#12500;&#20462;&#27491;&#29256;/&#65329;&#65315;&#65331;/&#9670;&#9670;&#12304;&#21830;&#21697;&#35215;&#26684;&#26360;&#12305;&#12420;&#12415;&#12388;&#12365;&#12362;&#12388;&#12414;&#12415;&#12458;&#12463;&#12521;&#9670;&#9670;&#30333;&#40165;.xlsx" TargetMode="External" Id="rId347"/><Relationship Type="http://schemas.openxmlformats.org/officeDocument/2006/relationships/hyperlink" Target="../&#38283;&#30330;&#35215;&#26684;&#26360;/&#20037;&#20445;&#12524;&#12471;&#12500;&#20462;&#27491;&#29256;/&#65329;&#65315;&#65331;/&#12363;&#12412;&#12385;&#12419;&#29038;&#65299;&#65288;&#30333;&#40165;&#65289;.xlsx" TargetMode="External" Id="rId348"/><Relationship Type="http://schemas.openxmlformats.org/officeDocument/2006/relationships/hyperlink" Target="../&#38283;&#30330;&#35215;&#26684;&#26360;/&#20037;&#20445;&#12524;&#12471;&#12500;&#20462;&#27491;&#29256;/&#65329;&#65315;&#65331;/&#9670;4&#26376;3&#26085;&#9670;&#12304;&#21830;&#21697;&#35215;&#26684;&#26360;&#12305;&#9670;&#12479;&#12467;&#12392;&#12431;&#12363;&#12417;&#12398;&#37218;&#29289;&#65298;&#9670;.xlsx" TargetMode="External" Id="rId349"/><Relationship Type="http://schemas.openxmlformats.org/officeDocument/2006/relationships/hyperlink" Target="../&#38283;&#30330;&#35215;&#26684;&#26360;/&#20037;&#20445;&#12524;&#12471;&#12500;&#20462;&#27491;&#29256;/&#65329;&#65315;&#65331;/&#9670;&#12304;&#26149;&#38632;&#12398;&#12479;&#12524;&#20999;&#26367;&#12305;&#9670;&#20855;&#26448;&#12383;&#12387;&#12407;&#12426;&#20013;&#33775;&#26149;&#38632;&#12469;&#12521;&#12480;&#65301;&#65288;&#30333;&#40165;&#65289;%20&#12398;&#12467;&#12500;&#12540;.xlsx" TargetMode="External" Id="rId350"/><Relationship Type="http://schemas.openxmlformats.org/officeDocument/2006/relationships/hyperlink" Target="2841000200063_&#12304;&#65329;&#65315;&#65331;&#12305;&#12365;&#12421;&#12358;&#12426;&#36650;&#20999;&#12426;.xlsx" TargetMode="External" Id="rId351"/><Relationship Type="http://schemas.openxmlformats.org/officeDocument/2006/relationships/hyperlink" Target="2841000200063_&#12304;&#65329;&#65315;&#65331;&#12305;&#12365;&#12421;&#12358;&#12426;&#36650;&#20999;&#12426;.xlsx" TargetMode="External" Id="rId352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53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54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55"/><Relationship Type="http://schemas.openxmlformats.org/officeDocument/2006/relationships/hyperlink" Target="2841000174418_&#12304;&#65329;&#65315;&#65331;&#12305;&#27578;&#33740;&#38738;&#12493;&#12462;&#65288;&#27425;&#20124;&#20351;&#29992;&#65289;.xlsx" TargetMode="External" Id="rId356"/><Relationship Type="http://schemas.openxmlformats.org/officeDocument/2006/relationships/hyperlink" Target="../&#38283;&#30330;&#35215;&#26684;&#26360;/&#20037;&#20445;&#12524;&#12471;&#12500;&#20462;&#27491;&#29256;/&#65329;&#65315;&#65331;/&#9670;RN&#9670;&#12304;&#21830;&#21697;&#35215;&#26684;&#26360;&#12305;&#9670;&#12371;&#12399;&#12367;&#26412;&#33303;&#12288;&#35930;&#35282;&#29038;&#12414;&#12435;2&#20491;&#9670;&#65288;&#30333;&#40165;&#65289;.xlsx" TargetMode="External" Id="rId357"/><Relationship Type="http://schemas.openxmlformats.org/officeDocument/2006/relationships/hyperlink" Target="2841000200582_&#12304;&#65329;&#65315;&#65331;&#12305;&#12509;&#12486;&#12488;&#12469;&#12521;&#12480;&#65301;.xlsx" TargetMode="External" Id="rId358"/><Relationship Type="http://schemas.openxmlformats.org/officeDocument/2006/relationships/hyperlink" Target="2841000200032_&#12304;&#65329;&#65315;&#65331;&#12305;&#12376;&#12419;&#12364;&#12356;&#12418;&#65288;&#12473;&#12481;&#12540;&#12512;&#65289;.xlsx" TargetMode="External" Id="rId359"/><Relationship Type="http://schemas.openxmlformats.org/officeDocument/2006/relationships/hyperlink" Target="2841000200186_&#12304;&#65329;&#65315;&#65331;&#12305;&#12376;&#12419;&#12364;&#12356;&#12418;&#65288;&#12463;&#12521;&#12483;&#12471;&#12517;&#65289;.xlsx" TargetMode="External" Id="rId360"/><Relationship Type="http://schemas.openxmlformats.org/officeDocument/2006/relationships/hyperlink" Target="2841000200049_&#12304;&#65329;&#65315;&#65331;&#12305;&#20154;&#21442;&#37504;&#26447;&#20999;&#12426;&#65288;&#12508;&#12452;&#12523;&#65289;.xlsx" TargetMode="External" Id="rId361"/><Relationship Type="http://schemas.openxmlformats.org/officeDocument/2006/relationships/hyperlink" Target="2841000200056_&#12304;&#65329;&#65315;&#65331;&#12305;&#29577;&#12397;&#12366;&#12473;&#12521;&#12452;&#12473;&#65288;&#12508;&#12452;&#12523;&#65289;.xlsx" TargetMode="External" Id="rId362"/><Relationship Type="http://schemas.openxmlformats.org/officeDocument/2006/relationships/hyperlink" Target="2841000200063_&#12304;&#65329;&#65315;&#65331;&#12305;&#12365;&#12421;&#12358;&#12426;&#36650;&#20999;&#12426;.xlsx" TargetMode="External" Id="rId363"/><Relationship Type="http://schemas.openxmlformats.org/officeDocument/2006/relationships/hyperlink" Target="2841000200063_&#12304;&#65329;&#65315;&#65331;&#12305;&#12365;&#12421;&#12358;&#12426;&#36650;&#20999;&#12426;.xlsx" TargetMode="External" Id="rId364"/><Relationship Type="http://schemas.openxmlformats.org/officeDocument/2006/relationships/hyperlink" Target="2841000200070_&#12304;&#65329;&#65315;&#65331;&#12305;&#12509;&#12540;&#12463;&#12481;&#12519;&#12483;&#12503;&#12489;&#12495;&#12512;&#65288;&#65297;&#65347;&#65357;&#24133;&#12459;&#12483;&#12488;&#65289;.xlsx" TargetMode="External" Id="rId365"/><Relationship Type="http://schemas.openxmlformats.org/officeDocument/2006/relationships/hyperlink" Target="2841000200087_&#12304;&#65329;&#65315;&#65331;&#12305;&#12509;&#12486;&#12469;&#12521;&#35519;&#21619;&#28082;&#65288;&#37197;&#21512;&#65289;.xlsx" TargetMode="External" Id="rId366"/><Relationship Type="http://schemas.openxmlformats.org/officeDocument/2006/relationships/hyperlink" Target="2841000200582_&#12304;&#65329;&#65315;&#65331;&#12305;&#12509;&#12486;&#12488;&#12469;&#12521;&#12480;&#65301;.xlsx" TargetMode="External" Id="rId367"/><Relationship Type="http://schemas.openxmlformats.org/officeDocument/2006/relationships/hyperlink" Target="2841000200032_&#12304;&#65329;&#65315;&#65331;&#12305;&#12376;&#12419;&#12364;&#12356;&#12418;&#65288;&#12473;&#12481;&#12540;&#12512;&#65289;.xlsx" TargetMode="External" Id="rId368"/><Relationship Type="http://schemas.openxmlformats.org/officeDocument/2006/relationships/hyperlink" Target="2841000200186_&#12304;&#65329;&#65315;&#65331;&#12305;&#12376;&#12419;&#12364;&#12356;&#12418;&#65288;&#12463;&#12521;&#12483;&#12471;&#12517;&#65289;.xlsx" TargetMode="External" Id="rId369"/><Relationship Type="http://schemas.openxmlformats.org/officeDocument/2006/relationships/hyperlink" Target="2841000200049_&#12304;&#65329;&#65315;&#65331;&#12305;&#20154;&#21442;&#37504;&#26447;&#20999;&#12426;&#65288;&#12508;&#12452;&#12523;&#65289;.xlsx" TargetMode="External" Id="rId370"/><Relationship Type="http://schemas.openxmlformats.org/officeDocument/2006/relationships/hyperlink" Target="2841000200056_&#12304;&#65329;&#65315;&#65331;&#12305;&#29577;&#12397;&#12366;&#12473;&#12521;&#12452;&#12473;&#65288;&#12508;&#12452;&#12523;&#65289;.xlsx" TargetMode="External" Id="rId371"/><Relationship Type="http://schemas.openxmlformats.org/officeDocument/2006/relationships/hyperlink" Target="2841000200063_&#12304;&#65329;&#65315;&#65331;&#12305;&#12365;&#12421;&#12358;&#12426;&#36650;&#20999;&#12426;.xlsx" TargetMode="External" Id="rId372"/><Relationship Type="http://schemas.openxmlformats.org/officeDocument/2006/relationships/hyperlink" Target="2841000200063_&#12304;&#65329;&#65315;&#65331;&#12305;&#12365;&#12421;&#12358;&#12426;&#36650;&#20999;&#12426;.xlsx" TargetMode="External" Id="rId373"/><Relationship Type="http://schemas.openxmlformats.org/officeDocument/2006/relationships/hyperlink" Target="2841000200070_&#12304;&#65329;&#65315;&#65331;&#12305;&#12509;&#12540;&#12463;&#12481;&#12519;&#12483;&#12503;&#12489;&#12495;&#12512;&#65288;&#65297;&#65347;&#65357;&#24133;&#12459;&#12483;&#12488;&#65289;.xlsx" TargetMode="External" Id="rId374"/><Relationship Type="http://schemas.openxmlformats.org/officeDocument/2006/relationships/hyperlink" Target="2841000200087_&#12304;&#65329;&#65315;&#65331;&#12305;&#12509;&#12486;&#12469;&#12521;&#35519;&#21619;&#28082;&#65288;&#37197;&#21512;&#65289;.xlsx" TargetMode="External" Id="rId375"/><Relationship Type="http://schemas.openxmlformats.org/officeDocument/2006/relationships/hyperlink" Target="..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 Id="rId376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377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378"/><Relationship Type="http://schemas.openxmlformats.org/officeDocument/2006/relationships/hyperlink" Target="2841000200063_&#12304;&#65329;&#65315;&#65331;&#12305;&#12365;&#12421;&#12358;&#12426;&#36650;&#20999;&#12426;.xlsx" TargetMode="External" Id="rId379"/><Relationship Type="http://schemas.openxmlformats.org/officeDocument/2006/relationships/hyperlink" Target="2841000200063_&#12304;&#65329;&#65315;&#65331;&#12305;&#12365;&#12421;&#12358;&#12426;&#36650;&#20999;&#12426;.xlsx" TargetMode="External" Id="rId380"/><Relationship Type="http://schemas.openxmlformats.org/officeDocument/2006/relationships/hyperlink" Target="2841000168790_&#12304;&#65329;&#65315;&#65331;&#12305;&#12467;&#12540;&#12531;&#12508;&#12452;&#12523;.xlsx" TargetMode="External" Id="rId381"/><Relationship Type="http://schemas.openxmlformats.org/officeDocument/2006/relationships/hyperlink" Target="..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 Id="rId382"/><Relationship Type="http://schemas.openxmlformats.org/officeDocument/2006/relationships/hyperlink" Target="2841000174395_&#12304;&#65329;&#65315;&#65331;&#12305;&#12463;&#12521;&#12483;&#12471;&#12517;&#29577;&#23376;.xlsx" TargetMode="External" Id="rId383"/><Relationship Type="http://schemas.openxmlformats.org/officeDocument/2006/relationships/hyperlink" Target="2841000168707_&#12304;&#65329;&#65315;&#65331;&#12305;&#29577;&#23376;&#21152;&#29105;.xlsx" TargetMode="External" Id="rId384"/><Relationship Type="http://schemas.openxmlformats.org/officeDocument/2006/relationships/hyperlink" Target="2841000174395_&#12304;&#65329;&#65315;&#65331;&#12305;&#12463;&#12521;&#12483;&#12471;&#12517;&#29577;&#23376;.xlsx" TargetMode="External" Id="rId385"/><Relationship Type="http://schemas.openxmlformats.org/officeDocument/2006/relationships/hyperlink" Target="..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 Id="rId386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387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388"/><Relationship Type="http://schemas.openxmlformats.org/officeDocument/2006/relationships/hyperlink" Target="2841000200063_&#12304;&#65329;&#65315;&#65331;&#12305;&#12365;&#12421;&#12358;&#12426;&#36650;&#20999;&#12426;.xlsx" TargetMode="External" Id="rId389"/><Relationship Type="http://schemas.openxmlformats.org/officeDocument/2006/relationships/hyperlink" Target="2841000200063_&#12304;&#65329;&#65315;&#65331;&#12305;&#12365;&#12421;&#12358;&#12426;&#36650;&#20999;&#12426;.xlsx" TargetMode="External" Id="rId390"/><Relationship Type="http://schemas.openxmlformats.org/officeDocument/2006/relationships/hyperlink" Target="2841000168790_&#12304;&#65329;&#65315;&#65331;&#12305;&#12467;&#12540;&#12531;&#12508;&#12452;&#12523;.xlsx" TargetMode="External" Id="rId391"/><Relationship Type="http://schemas.openxmlformats.org/officeDocument/2006/relationships/hyperlink" Target="2841000174395_&#12304;&#65329;&#65315;&#65331;&#12305;&#12463;&#12521;&#12483;&#12471;&#12517;&#29577;&#23376;.xlsx" TargetMode="External" Id="rId392"/><Relationship Type="http://schemas.openxmlformats.org/officeDocument/2006/relationships/hyperlink" Target="2841000168707_&#12304;&#65329;&#65315;&#65331;&#12305;&#29577;&#23376;&#21152;&#29105;.xlsx" TargetMode="External" Id="rId393"/><Relationship Type="http://schemas.openxmlformats.org/officeDocument/2006/relationships/hyperlink" Target="2841000174395_&#12304;&#65329;&#65315;&#65331;&#12305;&#12463;&#12521;&#12483;&#12471;&#12517;&#29577;&#23376;.xlsx" TargetMode="External" Id="rId394"/><Relationship Type="http://schemas.openxmlformats.org/officeDocument/2006/relationships/hyperlink" Target="../&#38283;&#30330;&#35215;&#26684;&#26360;/&#20037;&#20445;&#12524;&#12471;&#12500;&#20462;&#27491;&#29256;/&#65329;&#65315;&#65331;/&#12510;&#12459;&#12525;&#12491;&#12469;&#12521;&#12480;&#65299;&#65288;&#30333;&#40165;&#65289;.xlsx" TargetMode="External" Id="rId395"/><Relationship Type="http://schemas.openxmlformats.org/officeDocument/2006/relationships/hyperlink" Target="../&#38283;&#30330;&#35215;&#26684;&#26360;/&#20037;&#20445;&#12524;&#12471;&#12500;&#20462;&#27491;&#29256;/&#65329;&#65315;&#65331;/&#12304;PC&#21152;&#24037;&#29992;&#12305;&#12510;&#12459;&#12525;&#12491;&#12469;&#12521;&#12480;&#65298;.xlsx" TargetMode="External" Id="rId396"/><Relationship Type="http://schemas.openxmlformats.org/officeDocument/2006/relationships/hyperlink" Target="2841000200063_&#12304;&#65329;&#65315;&#65331;&#12305;&#12365;&#12421;&#12358;&#12426;&#36650;&#20999;&#12426;.xlsx" TargetMode="External" Id="rId397"/><Relationship Type="http://schemas.openxmlformats.org/officeDocument/2006/relationships/hyperlink" Target="2841000200063_&#12304;&#65329;&#65315;&#65331;&#12305;&#12365;&#12421;&#12358;&#12426;&#36650;&#20999;&#12426;.xlsx" TargetMode="External" Id="rId398"/><Relationship Type="http://schemas.openxmlformats.org/officeDocument/2006/relationships/hyperlink" Target="2841000174395_&#12304;&#65329;&#65315;&#65331;&#12305;&#12463;&#12521;&#12483;&#12471;&#12517;&#29577;&#23376;.xlsx" TargetMode="External" Id="rId399"/><Relationship Type="http://schemas.openxmlformats.org/officeDocument/2006/relationships/hyperlink" Target="2841000168707_&#12304;&#65329;&#65315;&#65331;&#12305;&#29577;&#23376;&#21152;&#29105;.xlsx" TargetMode="External" Id="rId400"/><Relationship Type="http://schemas.openxmlformats.org/officeDocument/2006/relationships/hyperlink" Target="2841000174395_&#12304;&#65329;&#65315;&#65331;&#12305;&#12463;&#12521;&#12483;&#12471;&#12517;&#29577;&#23376;.xlsx" TargetMode="External" Id="rId401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402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403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404"/><Relationship Type="http://schemas.openxmlformats.org/officeDocument/2006/relationships/hyperlink" Target="2841000200063_&#12304;&#65329;&#65315;&#65331;&#12305;&#12365;&#12421;&#12358;&#12426;&#36650;&#20999;&#12426;.xlsx" TargetMode="External" Id="rId405"/><Relationship Type="http://schemas.openxmlformats.org/officeDocument/2006/relationships/hyperlink" Target="2841000200063_&#12304;&#65329;&#65315;&#65331;&#12305;&#12365;&#12421;&#12358;&#12426;&#36650;&#20999;&#12426;.xlsx" TargetMode="External" Id="rId406"/><Relationship Type="http://schemas.openxmlformats.org/officeDocument/2006/relationships/hyperlink" Target="..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407"/><Relationship Type="http://schemas.openxmlformats.org/officeDocument/2006/relationships/hyperlink" Target="2841000174395_&#12304;&#65329;&#65315;&#65331;&#12305;&#12463;&#12521;&#12483;&#12471;&#12517;&#29577;&#23376;.xlsx" TargetMode="External" Id="rId408"/><Relationship Type="http://schemas.openxmlformats.org/officeDocument/2006/relationships/hyperlink" Target="2841000168707_&#12304;&#65329;&#65315;&#65331;&#12305;&#29577;&#23376;&#21152;&#29105;.xlsx" TargetMode="External" Id="rId409"/><Relationship Type="http://schemas.openxmlformats.org/officeDocument/2006/relationships/hyperlink" Target="2841000174395_&#12304;&#65329;&#65315;&#65331;&#12305;&#12463;&#12521;&#12483;&#12471;&#12517;&#29577;&#23376;.xlsx" TargetMode="External" Id="rId410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411"/><Relationship Type="http://schemas.openxmlformats.org/officeDocument/2006/relationships/hyperlink" Target="2841000200063_&#12304;&#65329;&#65315;&#65331;&#12305;&#12365;&#12421;&#12358;&#12426;&#36650;&#20999;&#12426;.xlsx" TargetMode="External" Id="rId412"/><Relationship Type="http://schemas.openxmlformats.org/officeDocument/2006/relationships/hyperlink" Target="2841000200063_&#12304;&#65329;&#65315;&#65331;&#12305;&#12365;&#12421;&#12358;&#12426;&#36650;&#20999;&#12426;.xlsx" TargetMode="External" Id="rId413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12304;&#12471;&#12455;&#12523;&#12510;&#12459;&#12525;&#12491;&#12539;&#12506;&#12531;&#12493;&#12483;&#12486;&#20837;&#26367;&#12305;&#19977;&#31278;&#12398;&#12510;&#12459;&#12525;&#12491;&#12469;&#12521;&#12480;%20(&#30333;&#40165;&#65289;.xlsx" TargetMode="External" Id="rId414"/><Relationship Type="http://schemas.openxmlformats.org/officeDocument/2006/relationships/hyperlink" Target="2841000174395_&#12304;&#65329;&#65315;&#65331;&#12305;&#12463;&#12521;&#12483;&#12471;&#12517;&#29577;&#23376;.xlsx" TargetMode="External" Id="rId415"/><Relationship Type="http://schemas.openxmlformats.org/officeDocument/2006/relationships/hyperlink" Target="2841000168707_&#12304;&#65329;&#65315;&#65331;&#12305;&#29577;&#23376;&#21152;&#29105;.xlsx" TargetMode="External" Id="rId416"/><Relationship Type="http://schemas.openxmlformats.org/officeDocument/2006/relationships/hyperlink" Target="2841000174395_&#12304;&#65329;&#65315;&#65331;&#12305;&#12463;&#12521;&#12483;&#12471;&#12517;&#29577;&#23376;.xlsx" TargetMode="External" Id="rId417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734;26.7&#26376;23&#26085;&#12288;&#20037;&#20445;&#20462;&#27491;&#20013;&#9670;7&#26376;24&#26085;&#9670;&#12304;&#21830;&#21697;&#35215;&#26684;&#26360;&#12305;&#9670;&#12371;&#12399;&#12367;&#26412;&#33303;&#12288;&#12509;&#12486;&#12488;&#12469;&#12521;&#12480;&#9670;.xlsx" TargetMode="External" Id="rId418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12304;PC&#21152;&#24037;&#29992;&#12305;&#12510;&#12459;&#12525;&#12491;&#12469;&#12521;&#12480;&#65298;.xlsx" TargetMode="External" Id="rId419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670;&#12304;&#21253;&#26448;&#12521;&#12483;&#12503;&#20181;&#27096;&#12305;&#9670;%20&#12473;&#12497;&#12466;&#12486;&#12451;&#12469;&#12521;&#12480;&#65302;&#65288;&#30333;&#40165;&#65289;.xlsx" TargetMode="External" Id="rId420"/><Relationship Type="http://schemas.openxmlformats.org/officeDocument/2006/relationships/hyperlink" Target="2841000174395_&#12304;&#65329;&#65315;&#65331;&#12305;&#12463;&#12521;&#12483;&#12471;&#12517;&#29577;&#23376;.xlsx" TargetMode="External" Id="rId421"/><Relationship Type="http://schemas.openxmlformats.org/officeDocument/2006/relationships/hyperlink" Target="2841000168707_&#12304;&#65329;&#65315;&#65331;&#12305;&#29577;&#23376;&#21152;&#29105;.xlsx" TargetMode="External" Id="rId422"/><Relationship Type="http://schemas.openxmlformats.org/officeDocument/2006/relationships/hyperlink" Target="2841000174395_&#12304;&#65329;&#65315;&#65331;&#12305;&#12463;&#12521;&#12483;&#12471;&#12517;&#29577;&#23376;.xlsx" TargetMode="External" Id="rId423"/><Relationship Type="http://schemas.openxmlformats.org/officeDocument/2006/relationships/hyperlink" Target="../&#38283;&#30330;&#35215;&#26684;&#26360;/&#20037;&#20445;&#12524;&#12471;&#12500;&#20462;&#27491;&#29256;/&#65329;&#65315;&#65331;/&#9670;&#12304;&#29577;&#23376;&#12507;&#12527;&#12452;&#12488;&#12506;&#12483;&#12497;&#12540;&#20999;&#26367;&#12305;&#12383;&#12387;&#12407;&#12426;&#29577;&#23376;&#12469;&#12531;&#12489;7.xlsx" TargetMode="External" Id="rId424"/><Relationship Type="http://schemas.openxmlformats.org/officeDocument/2006/relationships/hyperlink" Target="2841000168707_&#12304;&#65329;&#65315;&#65331;&#12305;&#29577;&#23376;&#21152;&#29105;.xlsx" TargetMode="External" Id="rId425"/><Relationship Type="http://schemas.openxmlformats.org/officeDocument/2006/relationships/hyperlink" Target="2841000168707_&#12304;&#65329;&#65315;&#65331;&#12305;&#29577;&#23376;&#21152;&#29105;.xlsx" TargetMode="External" Id="rId426"/><Relationship Type="http://schemas.openxmlformats.org/officeDocument/2006/relationships/hyperlink" Target="2841000189450_&#12304;&#65329;&#65315;&#65331;&#12305;&#12484;&#12490;&#12510;&#12520;&#35519;&#21512;&#65288;&#12484;&#12490;&#65301;&#65289;.xlsx" TargetMode="External" Id="rId427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29577;&#23376;&#65286;&#12484;&#12490;&#12469;&#12531;&#12489;2&#20999;&#12426;&#65288;&#30333;&#40165;&#23665;&#64017;&#39135;&#12497;&#12531;3&#26020;&#22793;&#26356;&#65289;%20.xlsx" TargetMode="External" Id="rId428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12495;&#12512;&#12524;&#12479;&#12473;&#12469;&#12531;&#12489;&#65288;&#30333;&#40165;&#23665;&#64017;&#39135;&#12497;&#12531;3&#26020;&#22793;&#26356;&#65289;.xlsx" TargetMode="External" Id="rId429"/><Relationship Type="http://schemas.openxmlformats.org/officeDocument/2006/relationships/hyperlink" Target="../&#38283;&#30330;&#35215;&#26684;&#26360;/&#20037;&#20445;&#12524;&#12471;&#12500;&#20462;&#27491;&#29256;/&#65329;&#65315;&#65331;/&#12304;&#25163;&#38918;&#26360;&#12305;&#12288;&#28845;&#28779;&#28988;&#12365;&#40165;&#30382;&#65288;&#65299;&#26412;&#65289;.xlsx" TargetMode="External" Id="rId430"/><Relationship Type="http://schemas.openxmlformats.org/officeDocument/2006/relationships/hyperlink" Target="../&#38283;&#30330;&#35215;&#26684;&#26360;/&#20037;&#20445;&#12524;&#12471;&#12500;&#20462;&#27491;&#29256;/&#65329;&#65315;&#65331;/&#28845;&#28779;&#28988;&#12365;&#40165;&#12418;&#12418;&#65286;&#30382;&#65298;&#65288;&#30333;&#40165;&#65289;.xlsx" TargetMode="External" Id="rId431"/><Relationship Type="http://schemas.openxmlformats.org/officeDocument/2006/relationships/hyperlink" Target="../&#38283;&#30330;&#35215;&#26684;&#26360;/&#20037;&#20445;&#12524;&#12471;&#12500;&#20462;&#27491;&#29256;/&#65329;&#65315;&#65331;/&#12304;&#25163;&#38918;&#26360;&#12305;&#12288;&#24425;&#37326;&#33756;&#40335;&#12388;&#12367;&#12397;&#28988;&#12365;3&#20491;.xlsx" TargetMode="External" Id="rId432"/><Relationship Type="http://schemas.openxmlformats.org/officeDocument/2006/relationships/hyperlink" Target="../&#38283;&#30330;&#35215;&#26684;&#26360;/&#20037;&#20445;&#12524;&#12471;&#12500;&#20462;&#27491;&#29256;/&#65329;&#65315;&#65331;/&#12304;&#29577;&#12397;&#12366;5&#13212;&#20837;&#26367;&#12305;&#40635;&#23110;&#12420;&#12365;&#12395;&#12367;&#20028;2&#65288;&#30333;&#40165;&#65289;.xlsx" TargetMode="External" Id="rId433"/><Relationship Type="http://schemas.openxmlformats.org/officeDocument/2006/relationships/hyperlink" Target="../&#38283;&#30330;&#35215;&#26684;&#26360;/&#20037;&#20445;&#12524;&#12471;&#12500;&#20462;&#27491;&#29256;/&#65329;&#65315;&#65331;/&#12304;&#29577;&#12397;&#12366;5&#13212;&#20837;&#26367;&#12305;&#12392;&#12435;&#12371;&#12388;&#39080;&#28988;&#32905;&#20028;2&#65288;&#30333;&#40165;&#65289;.xlsx" TargetMode="External" Id="rId434"/><Relationship Type="http://schemas.openxmlformats.org/officeDocument/2006/relationships/hyperlink" Target="2841000187647_&#12304;&#65329;&#65315;&#65331;&#12305;&#40335;&#12381;&#12412;&#12429;&#65288;&#40335;&#12511;&#12531;&#12481;&#65303;&#65306;&#65299;&#65289;.xlsx" TargetMode="External" Id="rId435"/><Relationship Type="http://schemas.openxmlformats.org/officeDocument/2006/relationships/hyperlink" Target="../&#38283;&#30330;&#35215;&#26684;&#26360;/&#20037;&#20445;&#12524;&#12471;&#12500;&#20462;&#27491;&#29256;/&#65329;&#65315;&#65331;/&#22235;&#24029;&#40635;&#23110;&#20028;&#65298;&#65288;&#31859;10&#65351;&#28187;&#65289;.xlsx" TargetMode="External" Id="rId436"/><Relationship Type="http://schemas.openxmlformats.org/officeDocument/2006/relationships/hyperlink" Target="2841000187531_&#12304;&#65329;&#65315;&#65331;&#12305;&#12479;&#12540;&#12513;&#12522;&#12483;&#12463;&#12521;&#12452;&#12473;%20.xlsx" TargetMode="External" Id="rId437"/><Relationship Type="http://schemas.openxmlformats.org/officeDocument/2006/relationships/hyperlink" Target="2841000187548_&#12304;&#65329;&#65315;&#65331;&#12305;&#12496;&#12479;&#12540;&#12481;&#12461;&#12531;&#12459;&#12524;&#12540;&#12477;&#12540;&#12473;&#21152;&#29105;.xlsx" TargetMode="External" Id="rId438"/><Relationship Type="http://schemas.openxmlformats.org/officeDocument/2006/relationships/hyperlink" Target="../&#38283;&#30330;&#35215;&#26684;&#26360;/&#20037;&#20445;&#12524;&#12471;&#12500;&#20462;&#27491;&#29256;/&#65329;&#65315;&#65331;/&#12509;&#12486;&#12469;&#12521;&#12385;&#12367;&#12431;&#22825;KIT&#65300;&#65288;&#30333;&#40165;&#65289;.xlsx" TargetMode="External" Id="rId439"/><Relationship Type="http://schemas.openxmlformats.org/officeDocument/2006/relationships/hyperlink" Target="../../../../01_&#32068;&#32340;_&#12513;&#12460;&#29983;&#39854;_&#24803;&#33756;/&#12295;&#21830;&#21697;&#38283;&#30330;&#23460;/&#20491;&#20154;&#21517;&#12501;&#12457;&#12523;&#12480;/&#22823;&#27941;/&#38283;&#30330;&#35215;&#26684;&#26360;/&#20037;&#20445;&#12524;&#12471;&#12500;&#20462;&#27491;&#29256;/&#65329;&#65315;&#65331;/&#9734;26.7&#26376;23&#26085;&#12288;&#20037;&#20445;&#20462;&#27491;&#20013;&#9670;7&#26376;24&#26085;&#9670;&#12304;&#21830;&#21697;&#35215;&#26684;&#26360;&#12305;&#9670;&#12371;&#12399;&#12367;&#26412;&#33303;&#12288;&#12509;&#12486;&#12488;&#12469;&#12521;&#12480;&#9670;.xlsx" TargetMode="External" Id="rId440"/><Relationship Type="http://schemas.openxmlformats.org/officeDocument/2006/relationships/hyperlink" Target="../&#38283;&#30330;&#35215;&#26684;&#26360;/&#20037;&#20445;&#12524;&#12471;&#12500;&#20462;&#27491;&#29256;/&#65329;&#65315;&#65331;/&#9670;&#12304;&#12358;&#12414;&#12367;&#12385;&#20999;&#26367;&#12305;&#9670;&#12479;&#12523;&#12479;&#12523;&#12477;&#12540;&#12473;&#65323;&#65321;&#65332;4&#9670;&#65288;&#30333;&#40165;&#65289;.xlsx" TargetMode="External" Id="rId441"/><Relationship Type="http://schemas.openxmlformats.org/officeDocument/2006/relationships/hyperlink" Target="2841000174395_&#12304;&#65329;&#65315;&#65331;&#12305;&#12463;&#12521;&#12483;&#12471;&#12517;&#29577;&#23376;.xlsx" TargetMode="External" Id="rId442"/><Relationship Type="http://schemas.openxmlformats.org/officeDocument/2006/relationships/hyperlink" Target="2841000168707_&#12304;&#65329;&#65315;&#65331;&#12305;&#29577;&#23376;&#21152;&#29105;.xlsx" TargetMode="External" Id="rId443"/><Relationship Type="http://schemas.openxmlformats.org/officeDocument/2006/relationships/hyperlink" Target="2841000174395_&#12304;&#65329;&#65315;&#65331;&#12305;&#12463;&#12521;&#12483;&#12471;&#12517;&#29577;&#23376;.xlsx" TargetMode="External" Id="rId444"/><Relationship Type="http://schemas.openxmlformats.org/officeDocument/2006/relationships/hyperlink" Target="2841000201787_&#12304;&#65329;&#65315;&#65331;&#12305;&#12479;&#12523;&#12479;&#12523;&#12477;&#12540;&#12473;&#65288;&#65323;&#65321;&#65332;&#65301;&#65289;.xlsx" TargetMode="External" Id="rId445"/><Relationship Type="http://schemas.openxmlformats.org/officeDocument/2006/relationships/hyperlink" Target="2841000201497_&#12304;&#65329;&#65315;&#65331;&#12305;&#29577;&#12397;&#12366;&#12480;&#12452;&#12473;&#65288;&#65298;&#65374;&#65299;&#65357;&#65357;&#65289;&#12508;&#12452;&#12523;.xlsx" TargetMode="External" Id="rId446"/><Relationship Type="http://schemas.openxmlformats.org/officeDocument/2006/relationships/hyperlink" Target="2841000168707_&#12304;&#65329;&#65315;&#65331;&#12305;&#29577;&#23376;&#21152;&#29105;.xlsx" TargetMode="External" Id="rId447"/><Relationship Type="http://schemas.openxmlformats.org/officeDocument/2006/relationships/hyperlink" Target="2841000168707_&#12304;&#65329;&#65315;&#65331;&#12305;&#29577;&#23376;&#21152;&#29105;.xlsx" TargetMode="External" Id="rId448"/><Relationship Type="http://schemas.openxmlformats.org/officeDocument/2006/relationships/hyperlink" Target="2841000174395_&#12304;&#65329;&#65315;&#65331;&#12305;&#12463;&#12521;&#12483;&#12471;&#12517;&#29577;&#23376;.xlsx" TargetMode="External" Id="rId449"/><Relationship Type="http://schemas.openxmlformats.org/officeDocument/2006/relationships/hyperlink" Target="../&#38283;&#30330;&#35215;&#26684;&#26360;/&#20037;&#20445;&#12524;&#12471;&#12500;&#20462;&#27491;&#29256;/&#65329;&#65315;&#65331;/&#12372;&#12414;&#22243;&#23376;KIT0226&#26356;&#26032;&#12304;&#25163;&#38918;&#26360;&#12305;.xlsx" TargetMode="External" Id="rId450"/><Relationship Type="http://schemas.openxmlformats.org/officeDocument/2006/relationships/hyperlink" Target="2841000169551_&#12304;&#65329;&#65315;&#65331;&#12305;&#12490;&#12509;&#12522;&#12479;&#12531;&#12477;&#12540;&#12473;&#65301;.xlsx" TargetMode="External" Id="rId451"/><Relationship Type="http://schemas.openxmlformats.org/officeDocument/2006/relationships/hyperlink" Target="2841000169568_&#12304;&#65329;&#65315;&#65331;&#12305;&#12490;&#12509;&#12522;&#12479;&#12531;&#29992;&#33593;&#12391;&#40634;&#65298;.xlsx" TargetMode="External" Id="rId452"/><Relationship Type="http://schemas.openxmlformats.org/officeDocument/2006/relationships/hyperlink" Target="2841000170359_&#12304;&#65329;&#65315;&#65331;&#12305;&#12490;&#12509;&#12522;&#12479;&#12531;&#40634;&#21644;&#12360;.xlsx" TargetMode="External" Id="rId453"/><Relationship Type="http://schemas.openxmlformats.org/officeDocument/2006/relationships/hyperlink" Target="2841000187647_&#12304;&#65329;&#65315;&#65331;&#12305;&#40335;&#12381;&#12412;&#12429;&#65288;&#40335;&#12511;&#12531;&#12481;&#65303;&#65306;&#65299;&#65289;.xlsx" TargetMode="External" Id="rId454"/><Relationship Type="http://schemas.openxmlformats.org/officeDocument/2006/relationships/hyperlink" Target="../&#38283;&#30330;&#35215;&#26684;&#26360;/&#20037;&#20445;&#12524;&#12471;&#12500;&#20462;&#27491;&#29256;/&#65329;&#65315;&#65331;/&#12304;&#21830;&#21697;&#35215;&#26684;&#26360;&#12305;&#9671;&#30399;&#12358;&#12393;&#12435;KIT2%20&#12507;&#12527;&#12452;&#12488;&#12506;&#12483;&#12497;&#12540;&#22793;&#26356;&#65288;&#30333;&#40165;PC&#65289;&#9671;%20.xlsx" TargetMode="External" Id="rId455"/><Relationship Type="http://schemas.openxmlformats.org/officeDocument/2006/relationships/hyperlink" Target="../&#38283;&#30330;&#35215;&#26684;&#26360;/&#20037;&#20445;&#12524;&#12471;&#12500;&#20462;&#27491;&#29256;/&#65329;&#65315;&#65331;/&#12304;&#29577;&#12397;&#12366;5&#13212;&#20837;&#26367;&#12305;&#29031;&#12426;&#28988;&#12365;&#12481;&#12461;&#12531;&#12500;&#12470;KIT&#65304;.xlsx" TargetMode="External" Id="rId456"/><Relationship Type="http://schemas.openxmlformats.org/officeDocument/2006/relationships/hyperlink" Target="../&#38283;&#30330;&#35215;&#26684;&#26360;/&#20037;&#20445;&#12524;&#12471;&#12500;&#20462;&#27491;&#29256;/&#65329;&#65315;&#65331;/&#12304;&#25163;&#38918;&#26360;&#12305;&#12415;&#12363;&#12435;&#12398;&#29275;&#20083;&#23506;&#22825;&#65288;&#30333;&#40165;&#65289;.xlsx" TargetMode="External" Id="rId457"/><Relationship Type="http://schemas.openxmlformats.org/officeDocument/2006/relationships/hyperlink" Target="2841000169629_&#12304;&#65329;&#65315;&#65331;&#12305;&#12414;&#12387;&#12375;&#12429;&#12511;&#12523;&#12463;&#12503;&#12522;&#12531;&#28082;.xlsx" TargetMode="External" Id="rId458"/><Relationship Type="http://schemas.openxmlformats.org/officeDocument/2006/relationships/hyperlink" Target="2841000168554_&#12304;&#65329;&#65315;&#65331;&#12305;&#12476;&#12521;&#12481;&#12531;&#12405;&#12420;&#12363;&#12375;.xlsx" TargetMode="External" Id="rId459"/><Relationship Type="http://schemas.openxmlformats.org/officeDocument/2006/relationships/hyperlink" Target="../&#38283;&#30330;&#35215;&#26684;&#26360;/&#20037;&#20445;&#12524;&#12471;&#12500;&#20462;&#27491;&#29256;/&#65329;&#65315;&#65331;/8&#26376;22&#26085;&#12304;&#25163;&#38918;&#26360;&#12305;&#12362;&#31672;&#12391;&#12388;&#12414;&#12435;&#12391;&#12431;&#12425;&#12403;&#12418;&#12385;%20&#23567;&#65288;&#30333;&#40165;&#24037;&#22580;&#65289;.xlsx" TargetMode="External" Id="rId460"/><Relationship Type="http://schemas.openxmlformats.org/officeDocument/2006/relationships/hyperlink" Target="../&#38283;&#30330;&#35215;&#26684;&#26360;/&#20037;&#20445;&#12524;&#12471;&#12500;&#20462;&#27491;&#29256;/&#65329;&#65315;&#65331;/6&#26376;19&#26085;&#12304;&#25163;&#38918;&#26360;&#12305;&#12362;&#31672;&#12391;&#12388;&#12414;&#12435;&#12391;&#25273;&#33590;&#12431;&#12425;&#12403;&#39173;&#65288;&#30333;&#40165;&#24037;&#22580;&#65289;.xlsx" TargetMode="External" Id="rId461"/><Relationship Type="http://schemas.openxmlformats.org/officeDocument/2006/relationships/hyperlink" Target="../&#38283;&#30330;&#35215;&#26684;&#26360;/&#20037;&#20445;&#12524;&#12471;&#12500;&#20462;&#27491;&#29256;/&#65329;&#65315;&#65331;/6&#26376;19&#26085;&#12304;&#25163;&#38918;&#26360;&#12305;&#12362;&#31672;&#12391;&#12388;&#12414;&#12435;&#12391;&#25273;&#33590;&#12431;&#12425;&#12403;&#39173;&#65288;&#30333;&#40165;&#24037;&#22580;&#65289;.xlsx" TargetMode="External" Id="rId462"/><Relationship Type="http://schemas.openxmlformats.org/officeDocument/2006/relationships/hyperlink" Target="2841000180204_&#12304;&#65329;&#65315;&#65331;&#12305;&#21106;&#21365;.xlsx" TargetMode="External" Id="rId463"/><Relationship Type="http://schemas.openxmlformats.org/officeDocument/2006/relationships/hyperlink" Target="../&#38283;&#30330;&#35215;&#26684;&#26360;/&#20037;&#20445;&#12524;&#12471;&#12500;&#20462;&#27491;&#29256;/&#65329;&#65315;&#65331;/&#12304;&#25163;&#38918;&#26360;&#12305;&#12383;&#12387;&#12407;&#12426;&#12463;&#12522;&#12540;&#12512;&#12497;&#12452;.xlsx" TargetMode="External" Id="rId464"/><Relationship Type="http://schemas.openxmlformats.org/officeDocument/2006/relationships/hyperlink" Target="2841000180204_&#12304;&#65329;&#65315;&#65331;&#12305;&#21106;&#21365;.xlsx" TargetMode="External" Id="rId465"/><Relationship Type="http://schemas.openxmlformats.org/officeDocument/2006/relationships/hyperlink" Target="..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 Id="rId466"/><Relationship Type="http://schemas.openxmlformats.org/officeDocument/2006/relationships/hyperlink" Target="..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 Id="rId467"/><Relationship Type="http://schemas.openxmlformats.org/officeDocument/2006/relationships/hyperlink" Target="..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 Id="rId468"/><Relationship Type="http://schemas.openxmlformats.org/officeDocument/2006/relationships/hyperlink" Target="..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 Id="rId469"/><Relationship Type="http://schemas.openxmlformats.org/officeDocument/2006/relationships/hyperlink" Target="..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 Id="rId470"/><Relationship Type="http://schemas.openxmlformats.org/officeDocument/2006/relationships/hyperlink" Target="../&#38283;&#30330;&#35215;&#26684;&#26360;/&#20037;&#20445;&#12524;&#12471;&#12500;&#20462;&#27491;&#29256;/&#65329;&#65315;&#65331;/6&#26376;27&#26085;&#12304;&#25163;&#38918;&#26360;&#12305;&#12463;&#12522;&#12540;&#12512;&#29190;&#30427;&#65281;&#12496;&#12491;&#12521;&#12525;&#12540;&#12523;&#65288;&#30333;&#40165;&#24037;&#22580;&#65289;.xlsx" TargetMode="External" Id="rId471"/><Relationship Type="http://schemas.openxmlformats.org/officeDocument/2006/relationships/hyperlink" Target="../&#38283;&#30330;&#35215;&#26684;&#26360;/&#20037;&#20445;&#12524;&#12471;&#12500;&#20462;&#27491;&#29256;/&#65329;&#65315;&#65331;/&#12304;&#25163;&#38918;&#26360;&#12305;&#33258;&#31038;&#35069;&#12507;&#12452;&#12483;&#12503;&#12398;&#21365;&#12503;&#12522;&#12531;&#65288;&#30333;&#40165;&#24037;&#22580;&#65289;.xlsx" TargetMode="External" Id="rId472"/><Relationship Type="http://schemas.openxmlformats.org/officeDocument/2006/relationships/hyperlink" Target="2841000180204_&#12304;&#65329;&#65315;&#65331;&#12305;&#21106;&#21365;.xlsx" TargetMode="External" Id="rId473"/><Relationship Type="http://schemas.openxmlformats.org/officeDocument/2006/relationships/hyperlink" Target="2841000180204_&#12304;&#65329;&#65315;&#65331;&#12305;&#21106;&#21365;.xlsx" TargetMode="External" Id="rId474"/><Relationship Type="http://schemas.openxmlformats.org/officeDocument/2006/relationships/hyperlink" Target="../&#38283;&#30330;&#35215;&#26684;&#26360;/&#20037;&#20445;&#12524;&#12471;&#12500;&#20462;&#27491;&#29256;/&#65329;&#65315;&#65331;/&#12304;&#21830;&#21697;&#35215;&#26684;&#26360;&#12305;&#12459;&#12473;&#12479;&#12540;&#12489;&amp;&#12507;&#12452;&#12483;&#12503;&#12471;&#12517;&#12540;&#27996;&#21517;&#29987;&#29275;&#20083;&#65288;&#30333;&#40165;&#65289;.xlsx" TargetMode="External" Id="rId475"/><Relationship Type="http://schemas.openxmlformats.org/officeDocument/2006/relationships/hyperlink" Target="../&#38283;&#30330;&#35215;&#26684;&#26360;/&#20037;&#20445;&#12524;&#12471;&#12500;&#20462;&#27491;&#29256;/&#65329;&#65315;&#65331;/&#12304;&#21830;&#21697;&#35215;&#26684;&#26360;&#12305;&#12459;&#12473;&#12479;&#12540;&#12489;&amp;&#12507;&#12452;&#12483;&#12503;&#12471;&#12517;&#12540;&#27996;&#21517;&#29987;&#29275;&#20083;&#65288;&#30333;&#40165;&#65289;.xlsx" TargetMode="External" Id="rId476"/><Relationship Type="http://schemas.openxmlformats.org/officeDocument/2006/relationships/hyperlink" Target="2841000180204_&#12304;&#65329;&#65315;&#65331;&#12305;&#21106;&#21365;.xlsx" TargetMode="External" Id="rId477"/><Relationship Type="http://schemas.openxmlformats.org/officeDocument/2006/relationships/hyperlink" Target="2841000200681_&#12304;&#65329;&#65315;&#65331;&#12305;&#12525;&#12540;&#12523;&#29983;&#22320;&#20316;&#25104;&#65288;&#12496;&#12490;&#12490;&#65289;.xlsx" TargetMode="External" Id="rId478"/><Relationship Type="http://schemas.openxmlformats.org/officeDocument/2006/relationships/hyperlink" Target="2841000200766_&#12304;&#65329;&#65315;&#65331;&#12305;&#12525;&#12540;&#12523;&#29983;&#22320;&#28988;&#25104;&#65288;&#12496;&#12490;&#12490;&#65289;.xlsx" TargetMode="External" Id="rId479"/><Relationship Type="http://schemas.openxmlformats.org/officeDocument/2006/relationships/hyperlink" Target="2841000200889_&#12304;&#65329;&#65315;&#65331;&#12305;&#12525;&#12540;&#12523;&#29983;&#22320;&#12459;&#12483;&#12488;&#65288;&#12496;&#12490;&#12490;&#65289;.xlsx" TargetMode="External" Id="rId480"/><Relationship Type="http://schemas.openxmlformats.org/officeDocument/2006/relationships/hyperlink" Target="2841000200193_&#12304;&#65329;&#65315;&#65331;&#12305;&#12496;&#12490;&#12490;&#28040;&#27602;%20.xlsx" TargetMode="External" Id="rId481"/><Relationship Type="http://schemas.openxmlformats.org/officeDocument/2006/relationships/hyperlink" Target="2841000200698_&#12304;&#65329;&#65315;&#65331;&#12305;&#12496;&#12490;&#12490;&#30382;&#12416;&#12365;.xlsx" TargetMode="External" Id="rId482"/><Relationship Type="http://schemas.openxmlformats.org/officeDocument/2006/relationships/hyperlink" Target="2841000180938_&#12304;&#65329;&#65315;&#65331;&#12305;&#20869;&#35069;&#12507;&#12452;&#12483;&#12503;&#65288;&#12496;&#12491;&#12521;&#20837;&#12426;&#65289;.xlsx" TargetMode="External" Id="rId483"/><Relationship Type="http://schemas.openxmlformats.org/officeDocument/2006/relationships/hyperlink" Target="../&#38283;&#30330;&#35215;&#26684;&#26360;/&#20037;&#20445;&#12524;&#12471;&#12500;&#20462;&#27491;&#29256;/&#65329;&#65315;&#65331;/&#9733;&#12304;&#21830;&#21697;&#35215;&#26684;&#26360;&#12305;&#22633;&#35910;&#22823;&#31119;2&#20491;&#20837;&#12288;&#12464;&#12522;&#12471;&#12531;&#20837;&#26367;.xlsx" TargetMode="External" Id="rId484"/><Relationship Type="http://schemas.openxmlformats.org/officeDocument/2006/relationships/hyperlink" Target="2841000180204_&#12304;&#65329;&#65315;&#65331;&#12305;&#21106;&#21365;.xlsx" TargetMode="External" Id="rId485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12418;&#12385;&#12418;&#12385;&#40658;&#31958;&#12393;&#12425;&#28988;&#12365;&#65288;&#12495;&#12481;&#12511;&#12484;&#20999;&#26367;.xlsx" TargetMode="External" Id="rId486"/><Relationship Type="http://schemas.openxmlformats.org/officeDocument/2006/relationships/hyperlink" Target="../&#38283;&#30330;&#35215;&#26684;&#26360;/&#20037;&#20445;&#12524;&#12471;&#12500;&#20462;&#27491;&#29256;/&#65329;&#65315;&#65331;/&#9670;&#12304;&#21830;&#21697;&#35215;&#26684;&#26360;&#12305;&#12418;&#12385;&#12418;&#12385;&#40658;&#31958;&#12393;&#12425;&#28988;&#12365;&#65288;&#12495;&#12481;&#12511;&#12484;&#20999;&#26367;.xlsx" TargetMode="External" Id="rId4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topLeftCell="A15" workbookViewId="0">
      <selection activeCell="A1" sqref="A1:F1"/>
    </sheetView>
  </sheetViews>
  <sheetFormatPr baseColWidth="8" defaultRowHeight="13"/>
  <cols>
    <col width="80" customWidth="1" style="438" min="1" max="1"/>
  </cols>
  <sheetData>
    <row r="1" ht="32" customHeight="1" s="438">
      <c r="A1" s="453" t="inlineStr">
        <is>
          <t>益子工場　生産性管理ファイル　使い方</t>
        </is>
      </c>
    </row>
    <row r="2"/>
    <row r="3" ht="22" customHeight="1" s="438">
      <c r="A3" s="442" t="inlineStr">
        <is>
          <t>■ ファイル構成</t>
        </is>
      </c>
    </row>
    <row r="4" ht="22" customHeight="1" s="438">
      <c r="A4" s="447" t="inlineStr">
        <is>
          <t>② 釜工程入力　　　…釜①〜⑤の全工程。黄色セル（商品名・重量・実作業時間）を毎週更新する</t>
        </is>
      </c>
    </row>
    <row r="5" ht="22" customHeight="1" s="438">
      <c r="A5" s="447" t="inlineStr">
        <is>
          <t>③ スチコン工程入力　…スチコン①〜⑤の全工程。同じく黄色セルを毎週更新する</t>
        </is>
      </c>
    </row>
    <row r="6" ht="22" customHeight="1" s="438">
      <c r="A6" s="447" t="inlineStr">
        <is>
          <t>④ 前提設定　　　　…時給・固定費等。変更すると全シートに反映</t>
        </is>
      </c>
    </row>
    <row r="7" ht="22" customHeight="1" s="438">
      <c r="A7" s="447" t="inlineStr">
        <is>
          <t>⑤ 中間品別損益　　…自動集計。原材料費を入力すると粗利が算出される</t>
        </is>
      </c>
    </row>
    <row r="8" ht="22" customHeight="1" s="438">
      <c r="A8" s="447" t="inlineStr">
        <is>
          <t>⑥ 機器別サマリー　…釜＋スチコン10機器の生産性比較（自動更新）</t>
        </is>
      </c>
    </row>
    <row r="9" ht="22" customHeight="1" s="438">
      <c r="A9" s="447" t="inlineStr">
        <is>
          <t>⑦ 釜タイムライン　…時間帯別の全釜稼働状況（参考）</t>
        </is>
      </c>
    </row>
    <row r="10"/>
    <row r="11" ht="22" customHeight="1" s="438">
      <c r="A11" s="450" t="inlineStr">
        <is>
          <t>■ 毎週の更新手順（所要時間：約15分）</t>
        </is>
      </c>
    </row>
    <row r="12" ht="22" customHeight="1" s="438">
      <c r="A12" s="439" t="inlineStr">
        <is>
          <t>STEP 1　②「釜工程入力」シートを開く</t>
        </is>
      </c>
    </row>
    <row r="13" ht="18" customHeight="1" s="438">
      <c r="A13" s="437" t="inlineStr">
        <is>
          <t xml:space="preserve">　→ 商品名・開始・終了・重量kgの黄色セルを今週のデータに更新する（追加・削除もOK）</t>
        </is>
      </c>
    </row>
    <row r="14" ht="22" customHeight="1" s="438">
      <c r="A14" s="439" t="inlineStr">
        <is>
          <t>STEP 2　③「スチコン工程入力」シートも同様に更新</t>
        </is>
      </c>
    </row>
    <row r="15" ht="22" customHeight="1" s="438">
      <c r="A15" s="439" t="inlineStr">
        <is>
          <t>STEP 3　⑤「中間品別損益」を確認する</t>
        </is>
      </c>
    </row>
    <row r="16" ht="18" customHeight="1" s="438">
      <c r="A16" s="437" t="inlineStr">
        <is>
          <t xml:space="preserve">　→ 重量・労務費が自動更新されていることを確認する</t>
        </is>
      </c>
    </row>
    <row r="17" ht="18" customHeight="1" s="438">
      <c r="A17" s="437" t="inlineStr">
        <is>
          <t xml:space="preserve">　→ 新しい商品が追加された場合は末尾に行を追加してSUMIF式をコピーする</t>
        </is>
      </c>
    </row>
    <row r="18" ht="22" customHeight="1" s="438">
      <c r="A18" s="439" t="inlineStr">
        <is>
          <t>STEP 4　⑥「機器別サマリー」で改善ポイントを確認する</t>
        </is>
      </c>
    </row>
    <row r="19"/>
    <row r="20" ht="22" customHeight="1" s="438">
      <c r="A20" s="450" t="inlineStr">
        <is>
          <t>■ 色の見方</t>
        </is>
      </c>
    </row>
    <row r="21" ht="22" customHeight="1" s="438">
      <c r="A21" s="443" t="inlineStr">
        <is>
          <t xml:space="preserve">　青字・黄背景 ＝ 入力セル（毎週ここを更新）</t>
        </is>
      </c>
    </row>
    <row r="22" ht="22" customHeight="1" s="438">
      <c r="A22" s="447" t="inlineStr">
        <is>
          <t xml:space="preserve">　黒字・グレー背景 ＝ 自動計算セル（触らない）</t>
        </is>
      </c>
    </row>
    <row r="23" ht="22" customHeight="1" s="438">
      <c r="A23" s="447" t="inlineStr">
        <is>
          <t xml:space="preserve">　○良好（緑）：円/kg 200未満　　△注意（黄）：200〜300　　✕要改善（赤）：300以上</t>
        </is>
      </c>
    </row>
    <row r="24"/>
    <row r="25"/>
    <row r="26" ht="20" customHeight="1" s="438">
      <c r="A26" s="441" t="inlineStr">
        <is>
          <t>■ 原料費・歩留まりの更新手順</t>
        </is>
      </c>
    </row>
    <row r="27" ht="20" customHeight="1" s="438">
      <c r="A27" s="439" t="inlineStr">
        <is>
          <t>STEP A　⑧「原料費入力台帳」を開く</t>
        </is>
      </c>
    </row>
    <row r="28" ht="20" customHeight="1" s="438">
      <c r="A28" s="437" t="inlineStr">
        <is>
          <t xml:space="preserve">　→ 登録原料費：原料名・仕入単価・使用量・登録歩留（Ebase値）を入力（濃い黄セル）</t>
        </is>
      </c>
    </row>
    <row r="29" ht="20" customHeight="1" s="438">
      <c r="A29" s="437" t="inlineStr">
        <is>
          <t xml:space="preserve">　→ 現場原料費：仕込量・出来高を毎週入力（薄い黄セル）→ 現場歩留・現場原料費が自動計算</t>
        </is>
      </c>
    </row>
    <row r="30" ht="20" customHeight="1" s="438">
      <c r="A30" s="439" t="inlineStr">
        <is>
          <t>STEP B　⑨「歩留まり乖離分析」を確認する</t>
        </is>
      </c>
    </row>
    <row r="31" ht="20" customHeight="1" s="438">
      <c r="A31" s="437" t="inlineStr">
        <is>
          <t xml:space="preserve">　→ 乖離が大きい順に並び替えて改善優先ターゲットを特定する</t>
        </is>
      </c>
    </row>
    <row r="32" ht="20" customHeight="1" s="438">
      <c r="A32" s="448" t="inlineStr">
        <is>
          <t xml:space="preserve">　→ ★★★最優先：乖離1万円以上　★★優先：5千円以上　★要確認：1千円以上</t>
        </is>
      </c>
    </row>
    <row r="33"/>
    <row r="34"/>
    <row r="35" ht="26" customHeight="1" s="438">
      <c r="A35" s="449" t="inlineStr">
        <is>
          <t>■ 追加工程シート一覧（盛り込み・フライヤー・ジェット・カット・製菓）</t>
        </is>
      </c>
    </row>
    <row r="36" ht="20" customHeight="1" s="438">
      <c r="A36" s="451" t="inlineStr">
        <is>
          <t>⑩盛付梱包工程入力</t>
        </is>
      </c>
      <c r="B36" s="444" t="inlineStr">
        <is>
          <t>食数・人数・生産性（個/h）を入力</t>
        </is>
      </c>
    </row>
    <row r="37" ht="20" customHeight="1" s="438">
      <c r="A37" s="452" t="inlineStr">
        <is>
          <t>⑪ZEN工程入力</t>
        </is>
      </c>
      <c r="B37" s="444" t="inlineStr">
        <is>
          <t>重量・生産性（kg/h）を入力</t>
        </is>
      </c>
    </row>
    <row r="38" ht="20" customHeight="1" s="438">
      <c r="A38" s="440" t="inlineStr">
        <is>
          <t>⑫ミキサー工程入力</t>
        </is>
      </c>
      <c r="B38" s="444" t="inlineStr">
        <is>
          <t>重量・生産性（kg/h）を入力</t>
        </is>
      </c>
    </row>
    <row r="39" ht="20" customHeight="1" s="438">
      <c r="A39" s="446" t="inlineStr">
        <is>
          <t>⑬計量工程入力</t>
        </is>
      </c>
      <c r="B39" s="444" t="inlineStr">
        <is>
          <t>重量・生産性（kg/h）を入力</t>
        </is>
      </c>
    </row>
    <row r="40" ht="20" customHeight="1" s="438">
      <c r="A40" s="445" t="inlineStr">
        <is>
          <t>⑭手動工程入力</t>
        </is>
      </c>
      <c r="B40" s="444" t="inlineStr">
        <is>
          <t>食数・人数・生産性（個/h）を入力</t>
        </is>
      </c>
    </row>
    <row r="41"/>
    <row r="42" ht="20" customHeight="1" s="438">
      <c r="A42" s="454" t="inlineStr">
        <is>
          <t>更新のポイント</t>
        </is>
      </c>
      <c r="B42" s="444" t="inlineStr">
        <is>
          <t>商品名★・食数★・人数★・実作業分★・重量★の黄色セルを毎週入力 → 生産性・労務費が自動計算</t>
        </is>
      </c>
    </row>
  </sheetData>
  <mergeCells count="40">
    <mergeCell ref="A16:F16"/>
    <mergeCell ref="A27:F27"/>
    <mergeCell ref="A38"/>
    <mergeCell ref="A12:F12"/>
    <mergeCell ref="A18:F18"/>
    <mergeCell ref="A26:F26"/>
    <mergeCell ref="A3:F3"/>
    <mergeCell ref="A21:F21"/>
    <mergeCell ref="B39:F39"/>
    <mergeCell ref="A40"/>
    <mergeCell ref="A14:F14"/>
    <mergeCell ref="A39"/>
    <mergeCell ref="B42:F42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36"/>
    <mergeCell ref="A29:F29"/>
    <mergeCell ref="A28:F28"/>
    <mergeCell ref="B38:F38"/>
    <mergeCell ref="A13:F13"/>
    <mergeCell ref="A9:F9"/>
    <mergeCell ref="B37:F37"/>
    <mergeCell ref="A31:F31"/>
    <mergeCell ref="A30:F30"/>
    <mergeCell ref="B40:F40"/>
    <mergeCell ref="A15:F15"/>
    <mergeCell ref="A37"/>
    <mergeCell ref="A11:F11"/>
    <mergeCell ref="A1:F1"/>
    <mergeCell ref="A6:F6"/>
    <mergeCell ref="B36:F36"/>
    <mergeCell ref="A4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0"/>
  <sheetViews>
    <sheetView showGridLines="0" workbookViewId="0">
      <pane xSplit="2" ySplit="4" topLeftCell="C5" activePane="bottomRight" state="frozen"/>
      <selection activeCell="A1" sqref="A1:F1"/>
      <selection pane="topRight" activeCell="A1" sqref="A1:F1"/>
      <selection pane="bottomLeft" activeCell="A1" sqref="A1:F1"/>
      <selection pane="bottomRight" activeCell="N5" sqref="N5:N16"/>
    </sheetView>
  </sheetViews>
  <sheetFormatPr baseColWidth="8" defaultRowHeight="13"/>
  <cols>
    <col width="5" customWidth="1" style="438" min="1" max="1"/>
    <col width="10" customWidth="1" style="438" min="2" max="2"/>
    <col width="26" customWidth="1" style="438" min="3" max="3"/>
    <col width="7" customWidth="1" style="438" min="4" max="5"/>
    <col width="9" customWidth="1" style="438" min="6" max="6"/>
    <col width="10" customWidth="1" style="438" min="7" max="7"/>
    <col width="10" customWidth="1" style="456" min="8" max="8"/>
    <col width="9" customWidth="1" style="438" min="9" max="9"/>
    <col width="10.6328125" customWidth="1" style="456" min="10" max="10"/>
    <col width="11" customWidth="1" style="438" min="11" max="11"/>
    <col width="10.6328125" customWidth="1" style="456" min="12" max="12"/>
    <col width="12" customWidth="1" style="438" min="13" max="13"/>
    <col width="9" customWidth="1" style="438" min="14" max="14"/>
    <col width="10.6328125" customWidth="1" style="456" min="15" max="15"/>
    <col width="10" customWidth="1" style="438" min="16" max="16"/>
    <col width="14" customWidth="1" style="438" min="17" max="17"/>
    <col width="26" customWidth="1" style="438" min="18" max="23"/>
    <col width="14" customWidth="1" style="438" min="24" max="28"/>
    <col width="12" customWidth="1" style="438" min="30" max="35"/>
  </cols>
  <sheetData>
    <row r="1" ht="26" customHeight="1" s="438">
      <c r="A1" s="460" t="inlineStr">
        <is>
          <t>釜工程入力台帳　毎週更新　|　黄色セル＝入力（商品名・重量・実作業分を更新）</t>
        </is>
      </c>
    </row>
    <row r="2" ht="16" customHeight="1" s="438">
      <c r="A2" s="455" t="inlineStr">
        <is>
          <t>● 青字・黄背景 = 毎週更新するセル　　黒字・グレー = 自動計算（変更不要）　|　★R列で中間品名を選ぶと、中間品JAN（S列）で⑱〜⑳に労務費がひもづきます</t>
        </is>
      </c>
    </row>
    <row r="3" ht="8" customHeight="1" s="438"/>
    <row r="4" ht="30" customHeight="1" s="438">
      <c r="A4" s="2" t="inlineStr">
        <is>
          <t>No.</t>
        </is>
      </c>
      <c r="B4" s="2" t="inlineStr">
        <is>
          <t>釜</t>
        </is>
      </c>
      <c r="C4" s="2" t="inlineStr">
        <is>
          <t>商品名★</t>
        </is>
      </c>
      <c r="D4" s="2" t="inlineStr">
        <is>
          <t>開始★</t>
        </is>
      </c>
      <c r="E4" s="2" t="inlineStr">
        <is>
          <t>終了★</t>
        </is>
      </c>
      <c r="F4" s="2" t="inlineStr">
        <is>
          <t>稼働(分)</t>
        </is>
      </c>
      <c r="G4" s="2" t="inlineStr">
        <is>
          <t>実作業(分)★</t>
        </is>
      </c>
      <c r="H4" s="321" t="inlineStr">
        <is>
          <t>人数★</t>
        </is>
      </c>
      <c r="I4" s="2" t="inlineStr">
        <is>
          <t>重量kg★</t>
        </is>
      </c>
      <c r="J4" s="321" t="inlineStr">
        <is>
          <t>個数(個)★
個入力欄</t>
        </is>
      </c>
      <c r="K4" s="2" t="inlineStr">
        <is>
          <t>生産性
(kg/h)</t>
        </is>
      </c>
      <c r="L4" s="321" t="inlineStr">
        <is>
          <t>生産性
(個/h)</t>
        </is>
      </c>
      <c r="M4" s="2" t="inlineStr">
        <is>
          <t>労務費
(円)</t>
        </is>
      </c>
      <c r="N4" s="2" t="inlineStr">
        <is>
          <t>円/kg</t>
        </is>
      </c>
      <c r="O4" s="321" t="inlineStr">
        <is>
          <t>円/個</t>
        </is>
      </c>
      <c r="P4" s="2" t="inlineStr">
        <is>
          <t>区分</t>
        </is>
      </c>
      <c r="Q4" s="2" t="inlineStr">
        <is>
          <t>備考</t>
        </is>
      </c>
      <c r="R4" s="2" t="inlineStr">
        <is>
          <t>★商品名①</t>
        </is>
      </c>
      <c r="S4" s="2" t="inlineStr">
        <is>
          <t>★商品名②</t>
        </is>
      </c>
      <c r="T4" s="2" t="inlineStr">
        <is>
          <t>★商品名③</t>
        </is>
      </c>
      <c r="U4" s="2" t="inlineStr">
        <is>
          <t>★商品名④</t>
        </is>
      </c>
      <c r="V4" s="2" t="inlineStr">
        <is>
          <t>★商品名⑤</t>
        </is>
      </c>
      <c r="W4" s="2" t="inlineStr">
        <is>
          <t>★商品名⑥</t>
        </is>
      </c>
      <c r="X4" s="2" t="inlineStr">
        <is>
          <t>振り分け数
自動</t>
        </is>
      </c>
      <c r="Y4" s="2" t="inlineStr">
        <is>
          <t>1商品あたり
労務費(等分・参考)</t>
        </is>
      </c>
      <c r="Z4" s="2" t="inlineStr">
        <is>
          <t>ひもづけ確認</t>
        </is>
      </c>
      <c r="AA4" s="2" t="inlineStr">
        <is>
          <t>選んだ商品の
食数合計</t>
        </is>
      </c>
      <c r="AB4" s="2" t="inlineStr">
        <is>
          <t>労務費(数値)</t>
        </is>
      </c>
      <c r="AD4" s="2" t="inlineStr">
        <is>
          <t>配分額①
(自動)</t>
        </is>
      </c>
      <c r="AE4" s="2" t="inlineStr">
        <is>
          <t>配分額②
(自動)</t>
        </is>
      </c>
      <c r="AF4" s="2" t="inlineStr">
        <is>
          <t>配分額③
(自動)</t>
        </is>
      </c>
      <c r="AG4" s="2" t="inlineStr">
        <is>
          <t>配分額④
(自動)</t>
        </is>
      </c>
      <c r="AH4" s="2" t="inlineStr">
        <is>
          <t>配分額⑤
(自動)</t>
        </is>
      </c>
      <c r="AI4" s="2" t="inlineStr">
        <is>
          <t>配分額⑥
(自動)</t>
        </is>
      </c>
    </row>
    <row r="5" ht="16" customHeight="1" s="438">
      <c r="A5" s="3" t="n">
        <v>1</v>
      </c>
      <c r="B5" s="4" t="inlineStr">
        <is>
          <t>釜製造</t>
        </is>
      </c>
      <c r="C5" s="5" t="inlineStr">
        <is>
          <t>プリンロール液</t>
        </is>
      </c>
      <c r="D5" s="411" t="n">
        <v>0.006944444444444444</v>
      </c>
      <c r="E5" s="411" t="n">
        <v>0.02083333333333333</v>
      </c>
      <c r="F5" s="6" t="n">
        <v>20</v>
      </c>
      <c r="G5" s="7" t="n">
        <v>15</v>
      </c>
      <c r="H5" s="7" t="n">
        <v>1</v>
      </c>
      <c r="I5" s="7" t="n">
        <v>120</v>
      </c>
      <c r="J5" s="7" t="n"/>
      <c r="K5" s="513">
        <f>IF(F5&gt;0,I5/(F5/60),0)</f>
        <v/>
      </c>
      <c r="L5" s="514">
        <f>IF(AND(ISNUMBER(F5),J5&gt;0),J5/(F5/60),"")</f>
        <v/>
      </c>
      <c r="M5" s="9">
        <f>IF(OR(ISNUMBER(SEARCH("サニテーション",C5)),ISNUMBER(SEARCH("客注",C5)),ISNUMBER(SEARCH("切り替え",C5)),ISNUMBER(SEARCH("切替",C5)),NOT(ISNUMBER(H5))),"",IF(ISNUMBER(G5),G5/60*H5*④前提設定!$B$4,IF(AND(G5="",ISNUMBER(F5)),F5/60*H5*④前提設定!$B$4,"")))</f>
        <v/>
      </c>
      <c r="N5" s="513">
        <f>IF(I5&gt;0,M5/I5,"")</f>
        <v/>
      </c>
      <c r="O5" s="514">
        <f>IF(AND(J5&gt;0,ISNUMBER(M5)),M5/J5,"")</f>
        <v/>
      </c>
      <c r="P5" s="10" t="n"/>
      <c r="Q5" s="11" t="n"/>
      <c r="R5" s="5" t="inlineStr">
        <is>
          <t>自社製ホイップの卵プリン</t>
        </is>
      </c>
      <c r="S5" s="5" t="n"/>
      <c r="T5" s="5" t="n"/>
      <c r="U5" s="5" t="n"/>
      <c r="V5" s="5" t="n"/>
      <c r="W5" s="5" t="n"/>
      <c r="X5">
        <f>COUNTA(R5:W5)</f>
        <v/>
      </c>
      <c r="Y5">
        <f>IF(AND($X5&gt;0,ISNUMBER($M5)),$M5/$X5,"")</f>
        <v/>
      </c>
      <c r="Z5">
        <f>IF($X5=0,"",IF(COUNTIF(⑳商品別1食労務費!$C$5:$C$124,$R5)+COUNTIF(⑳商品別1食労務費!$C$5:$C$124,$S5)+COUNTIF(⑳商品別1食労務費!$C$5:$C$124,$T5)+COUNTIF(⑳商品別1食労務費!$C$5:$C$124,$U5)+COUNTIF(⑳商品別1食労務費!$C$5:$C$124,$V5)+COUNTIF(⑳商品別1食労務費!$C$5:$C$124,$W5)=$X5,"OK","⑳に無い商品名"))</f>
        <v/>
      </c>
      <c r="AA5">
        <f>SUMIF(⑳商品別1食労務費!$C$5:$C$124,$R5,⑳商品別1食労務費!$F$5:$F$124)+SUMIF(⑳商品別1食労務費!$C$5:$C$124,$S5,⑳商品別1食労務費!$F$5:$F$124)+SUMIF(⑳商品別1食労務費!$C$5:$C$124,$T5,⑳商品別1食労務費!$F$5:$F$124)+SUMIF(⑳商品別1食労務費!$C$5:$C$124,$U5,⑳商品別1食労務費!$F$5:$F$124)+SUMIF(⑳商品別1食労務費!$C$5:$C$124,$V5,⑳商品別1食労務費!$F$5:$F$124)+SUMIF(⑳商品別1食労務費!$C$5:$C$124,$W5,⑳商品別1食労務費!$F$5:$F$124)</f>
        <v/>
      </c>
      <c r="AB5">
        <f>IF(ISNUMBER($M5),$M5,0)</f>
        <v/>
      </c>
      <c r="AD5" s="413">
        <f>IF($R5="",0,IF($AA5&gt;0,$AB5*SUMIF(⑳商品別1食労務費!$C$5:$C$124,$R5,⑳商品別1食労務費!$F$5:$F$124)/$AA5,$AB5/$X5))</f>
        <v/>
      </c>
      <c r="AE5" s="413">
        <f>IF($S5="",0,IF($AA5&gt;0,$AB5*SUMIF(⑳商品別1食労務費!$C$5:$C$124,$S5,⑳商品別1食労務費!$F$5:$F$124)/$AA5,$AB5/$X5))</f>
        <v/>
      </c>
      <c r="AF5" s="413">
        <f>IF($T5="",0,IF($AA5&gt;0,$AB5*SUMIF(⑳商品別1食労務費!$C$5:$C$124,$T5,⑳商品別1食労務費!$F$5:$F$124)/$AA5,$AB5/$X5))</f>
        <v/>
      </c>
      <c r="AG5" s="413">
        <f>IF($U5="",0,IF($AA5&gt;0,$AB5*SUMIF(⑳商品別1食労務費!$C$5:$C$124,$U5,⑳商品別1食労務費!$F$5:$F$124)/$AA5,$AB5/$X5))</f>
        <v/>
      </c>
      <c r="AH5" s="413">
        <f>IF($V5="",0,IF($AA5&gt;0,$AB5*SUMIF(⑳商品別1食労務費!$C$5:$C$124,$V5,⑳商品別1食労務費!$F$5:$F$124)/$AA5,$AB5/$X5))</f>
        <v/>
      </c>
      <c r="AI5" s="413">
        <f>IF($W5="",0,IF($AA5&gt;0,$AB5*SUMIF(⑳商品別1食労務費!$C$5:$C$124,$W5,⑳商品別1食労務費!$F$5:$F$124)/$AA5,$AB5/$X5))</f>
        <v/>
      </c>
    </row>
    <row r="6" ht="16" customHeight="1" s="438">
      <c r="A6" s="3" t="n">
        <v>2</v>
      </c>
      <c r="B6" s="4" t="inlineStr">
        <is>
          <t>釜製造</t>
        </is>
      </c>
      <c r="C6" s="5" t="inlineStr">
        <is>
          <t>あんこ</t>
        </is>
      </c>
      <c r="D6" s="411" t="n">
        <v>0.02430555555555556</v>
      </c>
      <c r="E6" s="411" t="n">
        <v>0.1145833333333333</v>
      </c>
      <c r="F6" s="6" t="n">
        <v>130</v>
      </c>
      <c r="G6" s="7" t="n">
        <v>100</v>
      </c>
      <c r="H6" s="7" t="n">
        <v>1</v>
      </c>
      <c r="I6" s="7" t="n">
        <v>120</v>
      </c>
      <c r="J6" s="7" t="n"/>
      <c r="K6" s="513">
        <f>IF(F6&gt;0,I6/(F6/60),0)</f>
        <v/>
      </c>
      <c r="L6" s="514">
        <f>IF(AND(ISNUMBER(F6),J6&gt;0),J6/(F6/60),"")</f>
        <v/>
      </c>
      <c r="M6" s="9">
        <f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/>
      </c>
      <c r="N6" s="513">
        <f>IF(I6&gt;0,M6/I6,"")</f>
        <v/>
      </c>
      <c r="O6" s="514">
        <f>IF(AND(J6&gt;0,ISNUMBER(M6)),M6/J6,"")</f>
        <v/>
      </c>
      <c r="P6" s="10" t="n"/>
      <c r="Q6" s="11" t="inlineStr">
        <is>
          <t>あんこ→おはぎ・どら焼き・あんこＫＩＴに使用（食数の比で配分。⑳で食数を入れてください）</t>
        </is>
      </c>
      <c r="R6" s="5" t="inlineStr">
        <is>
          <t>おはぎ</t>
        </is>
      </c>
      <c r="S6" s="5" t="inlineStr">
        <is>
          <t>どら焼き</t>
        </is>
      </c>
      <c r="T6" s="5" t="inlineStr">
        <is>
          <t>あんこＫＩＴ　１ｋｇ</t>
        </is>
      </c>
      <c r="U6" s="5" t="n"/>
      <c r="V6" s="5" t="n"/>
      <c r="W6" s="5" t="n"/>
      <c r="X6">
        <f>COUNTA(R6:W6)</f>
        <v/>
      </c>
      <c r="Y6">
        <f>IF(AND($X6&gt;0,ISNUMBER($M6)),$M6/$X6,"")</f>
        <v/>
      </c>
      <c r="Z6">
        <f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/>
      </c>
      <c r="AA6">
        <f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/>
      </c>
      <c r="AB6">
        <f>IF(ISNUMBER($M6),$M6,0)</f>
        <v/>
      </c>
      <c r="AD6" s="413">
        <f>IF($R6="",0,IF($AA6&gt;0,$AB6*SUMIF(⑳商品別1食労務費!$C$5:$C$124,$R6,⑳商品別1食労務費!$F$5:$F$124)/$AA6,$AB6/$X6))</f>
        <v/>
      </c>
      <c r="AE6" s="413">
        <f>IF($S6="",0,IF($AA6&gt;0,$AB6*SUMIF(⑳商品別1食労務費!$C$5:$C$124,$S6,⑳商品別1食労務費!$F$5:$F$124)/$AA6,$AB6/$X6))</f>
        <v/>
      </c>
      <c r="AF6" s="413">
        <f>IF($T6="",0,IF($AA6&gt;0,$AB6*SUMIF(⑳商品別1食労務費!$C$5:$C$124,$T6,⑳商品別1食労務費!$F$5:$F$124)/$AA6,$AB6/$X6))</f>
        <v/>
      </c>
      <c r="AG6" s="413">
        <f>IF($U6="",0,IF($AA6&gt;0,$AB6*SUMIF(⑳商品別1食労務費!$C$5:$C$124,$U6,⑳商品別1食労務費!$F$5:$F$124)/$AA6,$AB6/$X6))</f>
        <v/>
      </c>
      <c r="AH6" s="413">
        <f>IF($V6="",0,IF($AA6&gt;0,$AB6*SUMIF(⑳商品別1食労務費!$C$5:$C$124,$V6,⑳商品別1食労務費!$F$5:$F$124)/$AA6,$AB6/$X6))</f>
        <v/>
      </c>
      <c r="AI6" s="413">
        <f>IF($W6="",0,IF($AA6&gt;0,$AB6*SUMIF(⑳商品別1食労務費!$C$5:$C$124,$W6,⑳商品別1食労務費!$F$5:$F$124)/$AA6,$AB6/$X6))</f>
        <v/>
      </c>
    </row>
    <row r="7" ht="16" customHeight="1" s="438">
      <c r="A7" s="3" t="n">
        <v>3</v>
      </c>
      <c r="B7" s="4" t="inlineStr">
        <is>
          <t>釜製造</t>
        </is>
      </c>
      <c r="C7" s="5" t="inlineStr">
        <is>
          <t>あんこ</t>
        </is>
      </c>
      <c r="D7" s="5" t="n"/>
      <c r="E7" s="5" t="n"/>
      <c r="F7" s="6" t="n">
        <v>130</v>
      </c>
      <c r="G7" s="7" t="n">
        <v>100</v>
      </c>
      <c r="H7" s="7" t="n">
        <v>1</v>
      </c>
      <c r="I7" s="7" t="n">
        <v>120</v>
      </c>
      <c r="J7" s="7" t="n"/>
      <c r="K7" s="513">
        <f>IF(F7&gt;0,I7/(F7/60),0)</f>
        <v/>
      </c>
      <c r="L7" s="514">
        <f>IF(AND(ISNUMBER(F7),J7&gt;0),J7/(F7/60),"")</f>
        <v/>
      </c>
      <c r="M7" s="9">
        <f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513">
        <f>IF(I7&gt;0,M7/I7,"")</f>
        <v/>
      </c>
      <c r="O7" s="514">
        <f>IF(AND(J7&gt;0,ISNUMBER(M7)),M7/J7,"")</f>
        <v/>
      </c>
      <c r="P7" s="10" t="n"/>
      <c r="Q7" s="11" t="inlineStr">
        <is>
          <t>あんこ→おはぎ・どら焼き・あんこＫＩＴに使用（食数の比で配分。⑳で食数を入れてください）</t>
        </is>
      </c>
      <c r="R7" s="5" t="inlineStr">
        <is>
          <t>おはぎ</t>
        </is>
      </c>
      <c r="S7" s="5" t="inlineStr">
        <is>
          <t>どら焼き</t>
        </is>
      </c>
      <c r="T7" s="5" t="inlineStr">
        <is>
          <t>あんこＫＩＴ　１ｋｇ</t>
        </is>
      </c>
      <c r="U7" s="5" t="n"/>
      <c r="V7" s="5" t="n"/>
      <c r="W7" s="5" t="n"/>
      <c r="X7">
        <f>COUNTA(R7:W7)</f>
        <v/>
      </c>
      <c r="Y7">
        <f>IF(AND($X7&gt;0,ISNUMBER($M7)),$M7/$X7,"")</f>
        <v/>
      </c>
      <c r="Z7">
        <f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/>
      </c>
      <c r="AA7">
        <f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/>
      </c>
      <c r="AB7">
        <f>IF(ISNUMBER($M7),$M7,0)</f>
        <v/>
      </c>
      <c r="AD7" s="413">
        <f>IF($R7="",0,IF($AA7&gt;0,$AB7*SUMIF(⑳商品別1食労務費!$C$5:$C$124,$R7,⑳商品別1食労務費!$F$5:$F$124)/$AA7,$AB7/$X7))</f>
        <v/>
      </c>
      <c r="AE7" s="413">
        <f>IF($S7="",0,IF($AA7&gt;0,$AB7*SUMIF(⑳商品別1食労務費!$C$5:$C$124,$S7,⑳商品別1食労務費!$F$5:$F$124)/$AA7,$AB7/$X7))</f>
        <v/>
      </c>
      <c r="AF7" s="413">
        <f>IF($T7="",0,IF($AA7&gt;0,$AB7*SUMIF(⑳商品別1食労務費!$C$5:$C$124,$T7,⑳商品別1食労務費!$F$5:$F$124)/$AA7,$AB7/$X7))</f>
        <v/>
      </c>
      <c r="AG7" s="413">
        <f>IF($U7="",0,IF($AA7&gt;0,$AB7*SUMIF(⑳商品別1食労務費!$C$5:$C$124,$U7,⑳商品別1食労務費!$F$5:$F$124)/$AA7,$AB7/$X7))</f>
        <v/>
      </c>
      <c r="AH7" s="413">
        <f>IF($V7="",0,IF($AA7&gt;0,$AB7*SUMIF(⑳商品別1食労務費!$C$5:$C$124,$V7,⑳商品別1食労務費!$F$5:$F$124)/$AA7,$AB7/$X7))</f>
        <v/>
      </c>
      <c r="AI7" s="413">
        <f>IF($W7="",0,IF($AA7&gt;0,$AB7*SUMIF(⑳商品別1食労務費!$C$5:$C$124,$W7,⑳商品別1食労務費!$F$5:$F$124)/$AA7,$AB7/$X7))</f>
        <v/>
      </c>
    </row>
    <row r="8" ht="16" customHeight="1" s="438">
      <c r="A8" s="3" t="n">
        <v>4</v>
      </c>
      <c r="B8" s="4" t="inlineStr">
        <is>
          <t>釜製造</t>
        </is>
      </c>
      <c r="C8" s="5" t="inlineStr">
        <is>
          <t>まっしろミルクプリン液</t>
        </is>
      </c>
      <c r="D8" s="411" t="n">
        <v>0.1215277777777778</v>
      </c>
      <c r="E8" s="411" t="n">
        <v>0.1458333333333333</v>
      </c>
      <c r="F8" s="6" t="n">
        <v>35</v>
      </c>
      <c r="G8" s="7" t="n">
        <v>30</v>
      </c>
      <c r="H8" s="7" t="n">
        <v>1</v>
      </c>
      <c r="I8" s="7" t="n">
        <v>120</v>
      </c>
      <c r="J8" s="7" t="n"/>
      <c r="K8" s="513">
        <f>IF(F8&gt;0,I8/(F8/60),0)</f>
        <v/>
      </c>
      <c r="L8" s="514">
        <f>IF(AND(ISNUMBER(F8),J8&gt;0),J8/(F8/60),"")</f>
        <v/>
      </c>
      <c r="M8" s="9">
        <f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513">
        <f>IF(I8&gt;0,M8/I8,"")</f>
        <v/>
      </c>
      <c r="O8" s="514">
        <f>IF(AND(J8&gt;0,ISNUMBER(M8)),M8/J8,"")</f>
        <v/>
      </c>
      <c r="P8" s="10" t="n"/>
      <c r="Q8" s="11" t="n"/>
      <c r="R8" s="5" t="inlineStr">
        <is>
          <t>まっしろミルクプリン３</t>
        </is>
      </c>
      <c r="S8" s="5" t="inlineStr">
        <is>
          <t>Ｓまっしろミルクプリン小３</t>
        </is>
      </c>
      <c r="T8" s="5" t="n"/>
      <c r="U8" s="5" t="n"/>
      <c r="V8" s="5" t="n"/>
      <c r="W8" s="5" t="n"/>
      <c r="X8">
        <f>COUNTA(R8:W8)</f>
        <v/>
      </c>
      <c r="Y8">
        <f>IF(AND($X8&gt;0,ISNUMBER($M8)),$M8/$X8,"")</f>
        <v/>
      </c>
      <c r="Z8">
        <f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/>
      </c>
      <c r="AA8">
        <f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/>
      </c>
      <c r="AB8">
        <f>IF(ISNUMBER($M8),$M8,0)</f>
        <v/>
      </c>
      <c r="AD8" s="413">
        <f>IF($R8="",0,IF($AA8&gt;0,$AB8*SUMIF(⑳商品別1食労務費!$C$5:$C$124,$R8,⑳商品別1食労務費!$F$5:$F$124)/$AA8,$AB8/$X8))</f>
        <v/>
      </c>
      <c r="AE8" s="413">
        <f>IF($S8="",0,IF($AA8&gt;0,$AB8*SUMIF(⑳商品別1食労務費!$C$5:$C$124,$S8,⑳商品別1食労務費!$F$5:$F$124)/$AA8,$AB8/$X8))</f>
        <v/>
      </c>
      <c r="AF8" s="413">
        <f>IF($T8="",0,IF($AA8&gt;0,$AB8*SUMIF(⑳商品別1食労務費!$C$5:$C$124,$T8,⑳商品別1食労務費!$F$5:$F$124)/$AA8,$AB8/$X8))</f>
        <v/>
      </c>
      <c r="AG8" s="413">
        <f>IF($U8="",0,IF($AA8&gt;0,$AB8*SUMIF(⑳商品別1食労務費!$C$5:$C$124,$U8,⑳商品別1食労務費!$F$5:$F$124)/$AA8,$AB8/$X8))</f>
        <v/>
      </c>
      <c r="AH8" s="413">
        <f>IF($V8="",0,IF($AA8&gt;0,$AB8*SUMIF(⑳商品別1食労務費!$C$5:$C$124,$V8,⑳商品別1食労務費!$F$5:$F$124)/$AA8,$AB8/$X8))</f>
        <v/>
      </c>
      <c r="AI8" s="413">
        <f>IF($W8="",0,IF($AA8&gt;0,$AB8*SUMIF(⑳商品別1食労務費!$C$5:$C$124,$W8,⑳商品別1食労務費!$F$5:$F$124)/$AA8,$AB8/$X8))</f>
        <v/>
      </c>
    </row>
    <row r="9" ht="16" customHeight="1" s="438">
      <c r="A9" s="3" t="n">
        <v>5</v>
      </c>
      <c r="B9" s="4" t="inlineStr">
        <is>
          <t>釜製造</t>
        </is>
      </c>
      <c r="C9" s="5" t="inlineStr">
        <is>
          <t>まっしろミルクプリン液</t>
        </is>
      </c>
      <c r="D9" s="5" t="n"/>
      <c r="E9" s="5" t="n"/>
      <c r="F9" s="6" t="n">
        <v>35</v>
      </c>
      <c r="G9" s="7" t="n">
        <v>30</v>
      </c>
      <c r="H9" s="7" t="n">
        <v>1</v>
      </c>
      <c r="I9" s="7" t="n">
        <v>120</v>
      </c>
      <c r="J9" s="7" t="n"/>
      <c r="K9" s="513">
        <f>IF(F9&gt;0,I9/(F9/60),0)</f>
        <v/>
      </c>
      <c r="L9" s="514">
        <f>IF(AND(ISNUMBER(F9),J9&gt;0),J9/(F9/60),"")</f>
        <v/>
      </c>
      <c r="M9" s="9">
        <f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513">
        <f>IF(I9&gt;0,M9/I9,"")</f>
        <v/>
      </c>
      <c r="O9" s="514">
        <f>IF(AND(J9&gt;0,ISNUMBER(M9)),M9/J9,"")</f>
        <v/>
      </c>
      <c r="P9" s="10" t="n"/>
      <c r="Q9" s="11" t="n"/>
      <c r="R9" s="5" t="inlineStr">
        <is>
          <t>まっしろミルクプリン３</t>
        </is>
      </c>
      <c r="S9" s="5" t="inlineStr">
        <is>
          <t>Ｓまっしろミルクプリン小３</t>
        </is>
      </c>
      <c r="T9" s="5" t="n"/>
      <c r="U9" s="5" t="n"/>
      <c r="V9" s="5" t="n"/>
      <c r="W9" s="5" t="n"/>
      <c r="X9">
        <f>COUNTA(R9:W9)</f>
        <v/>
      </c>
      <c r="Y9">
        <f>IF(AND($X9&gt;0,ISNUMBER($M9)),$M9/$X9,"")</f>
        <v/>
      </c>
      <c r="Z9">
        <f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/>
      </c>
      <c r="AA9">
        <f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/>
      </c>
      <c r="AB9">
        <f>IF(ISNUMBER($M9),$M9,0)</f>
        <v/>
      </c>
      <c r="AD9" s="413">
        <f>IF($R9="",0,IF($AA9&gt;0,$AB9*SUMIF(⑳商品別1食労務費!$C$5:$C$124,$R9,⑳商品別1食労務費!$F$5:$F$124)/$AA9,$AB9/$X9))</f>
        <v/>
      </c>
      <c r="AE9" s="413">
        <f>IF($S9="",0,IF($AA9&gt;0,$AB9*SUMIF(⑳商品別1食労務費!$C$5:$C$124,$S9,⑳商品別1食労務費!$F$5:$F$124)/$AA9,$AB9/$X9))</f>
        <v/>
      </c>
      <c r="AF9" s="413">
        <f>IF($T9="",0,IF($AA9&gt;0,$AB9*SUMIF(⑳商品別1食労務費!$C$5:$C$124,$T9,⑳商品別1食労務費!$F$5:$F$124)/$AA9,$AB9/$X9))</f>
        <v/>
      </c>
      <c r="AG9" s="413">
        <f>IF($U9="",0,IF($AA9&gt;0,$AB9*SUMIF(⑳商品別1食労務費!$C$5:$C$124,$U9,⑳商品別1食労務費!$F$5:$F$124)/$AA9,$AB9/$X9))</f>
        <v/>
      </c>
      <c r="AH9" s="413">
        <f>IF($V9="",0,IF($AA9&gt;0,$AB9*SUMIF(⑳商品別1食労務費!$C$5:$C$124,$V9,⑳商品別1食労務費!$F$5:$F$124)/$AA9,$AB9/$X9))</f>
        <v/>
      </c>
      <c r="AI9" s="413">
        <f>IF($W9="",0,IF($AA9&gt;0,$AB9*SUMIF(⑳商品別1食労務費!$C$5:$C$124,$W9,⑳商品別1食労務費!$F$5:$F$124)/$AA9,$AB9/$X9))</f>
        <v/>
      </c>
    </row>
    <row r="10" ht="16" customHeight="1" s="438">
      <c r="A10" s="3" t="n">
        <v>6</v>
      </c>
      <c r="B10" s="4" t="inlineStr">
        <is>
          <t>釜製造</t>
        </is>
      </c>
      <c r="C10" s="5" t="inlineStr">
        <is>
          <t>みかん牛乳寒天</t>
        </is>
      </c>
      <c r="D10" s="411" t="n">
        <v>0.1493055555555556</v>
      </c>
      <c r="E10" s="411" t="n">
        <v>0.1944444444444444</v>
      </c>
      <c r="F10" s="6" t="n">
        <v>65</v>
      </c>
      <c r="G10" s="7" t="n">
        <v>40</v>
      </c>
      <c r="H10" s="7" t="n">
        <v>1</v>
      </c>
      <c r="I10" s="7" t="n">
        <v>120</v>
      </c>
      <c r="J10" s="7" t="n"/>
      <c r="K10" s="513">
        <f>IF(F10&gt;0,I10/(F10/60),0)</f>
        <v/>
      </c>
      <c r="L10" s="514">
        <f>IF(AND(ISNUMBER(F10),J10&gt;0),J10/(F10/60),"")</f>
        <v/>
      </c>
      <c r="M10" s="9">
        <f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513">
        <f>IF(I10&gt;0,M10/I10,"")</f>
        <v/>
      </c>
      <c r="O10" s="514">
        <f>IF(AND(J10&gt;0,ISNUMBER(M10)),M10/J10,"")</f>
        <v/>
      </c>
      <c r="P10" s="10" t="n"/>
      <c r="Q10" s="11" t="n"/>
      <c r="R10" s="5" t="inlineStr">
        <is>
          <t>みかんの牛乳寒天２</t>
        </is>
      </c>
      <c r="S10" s="5" t="inlineStr">
        <is>
          <t>みかんの牛乳寒天　小</t>
        </is>
      </c>
      <c r="T10" s="5" t="inlineStr">
        <is>
          <t>Ｓみかんの牛乳寒天　小</t>
        </is>
      </c>
      <c r="U10" s="5" t="n"/>
      <c r="V10" s="5" t="n"/>
      <c r="W10" s="5" t="n"/>
      <c r="X10">
        <f>COUNTA(R10:W10)</f>
        <v/>
      </c>
      <c r="Y10">
        <f>IF(AND($X10&gt;0,ISNUMBER($M10)),$M10/$X10,"")</f>
        <v/>
      </c>
      <c r="Z10">
        <f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/>
      </c>
      <c r="AA10">
        <f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/>
      </c>
      <c r="AB10">
        <f>IF(ISNUMBER($M10),$M10,0)</f>
        <v/>
      </c>
      <c r="AD10" s="413">
        <f>IF($R10="",0,IF($AA10&gt;0,$AB10*SUMIF(⑳商品別1食労務費!$C$5:$C$124,$R10,⑳商品別1食労務費!$F$5:$F$124)/$AA10,$AB10/$X10))</f>
        <v/>
      </c>
      <c r="AE10" s="413">
        <f>IF($S10="",0,IF($AA10&gt;0,$AB10*SUMIF(⑳商品別1食労務費!$C$5:$C$124,$S10,⑳商品別1食労務費!$F$5:$F$124)/$AA10,$AB10/$X10))</f>
        <v/>
      </c>
      <c r="AF10" s="413">
        <f>IF($T10="",0,IF($AA10&gt;0,$AB10*SUMIF(⑳商品別1食労務費!$C$5:$C$124,$T10,⑳商品別1食労務費!$F$5:$F$124)/$AA10,$AB10/$X10))</f>
        <v/>
      </c>
      <c r="AG10" s="413">
        <f>IF($U10="",0,IF($AA10&gt;0,$AB10*SUMIF(⑳商品別1食労務費!$C$5:$C$124,$U10,⑳商品別1食労務費!$F$5:$F$124)/$AA10,$AB10/$X10))</f>
        <v/>
      </c>
      <c r="AH10" s="413">
        <f>IF($V10="",0,IF($AA10&gt;0,$AB10*SUMIF(⑳商品別1食労務費!$C$5:$C$124,$V10,⑳商品別1食労務費!$F$5:$F$124)/$AA10,$AB10/$X10))</f>
        <v/>
      </c>
      <c r="AI10" s="413">
        <f>IF($W10="",0,IF($AA10&gt;0,$AB10*SUMIF(⑳商品別1食労務費!$C$5:$C$124,$W10,⑳商品別1食労務費!$F$5:$F$124)/$AA10,$AB10/$X10))</f>
        <v/>
      </c>
    </row>
    <row r="11" ht="16" customHeight="1" s="438">
      <c r="A11" s="3" t="n">
        <v>7</v>
      </c>
      <c r="B11" s="4" t="inlineStr">
        <is>
          <t>釜製造</t>
        </is>
      </c>
      <c r="C11" s="5" t="inlineStr">
        <is>
          <t>コーヒーゼリー液</t>
        </is>
      </c>
      <c r="D11" s="411" t="n">
        <v>0.2013888888888889</v>
      </c>
      <c r="E11" s="411" t="n">
        <v>0.3368055555555556</v>
      </c>
      <c r="F11" s="6" t="n">
        <v>195</v>
      </c>
      <c r="G11" s="7" t="n">
        <v>100</v>
      </c>
      <c r="H11" s="7" t="n">
        <v>1</v>
      </c>
      <c r="I11" s="7" t="n">
        <v>120</v>
      </c>
      <c r="J11" s="7" t="n"/>
      <c r="K11" s="513">
        <f>IF(F11&gt;0,I11/(F11/60),0)</f>
        <v/>
      </c>
      <c r="L11" s="514">
        <f>IF(AND(ISNUMBER(F11),J11&gt;0),J11/(F11/60),"")</f>
        <v/>
      </c>
      <c r="M11" s="9">
        <f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513">
        <f>IF(I11&gt;0,M11/I11,"")</f>
        <v/>
      </c>
      <c r="O11" s="514">
        <f>IF(AND(J11&gt;0,ISNUMBER(M11)),M11/J11,"")</f>
        <v/>
      </c>
      <c r="P11" s="10" t="n"/>
      <c r="Q11" s="11" t="n"/>
      <c r="R11" s="5" t="inlineStr">
        <is>
          <t>大人のコーヒーゼリー４</t>
        </is>
      </c>
      <c r="S11" s="5" t="inlineStr">
        <is>
          <t>Ｓ大人のコーヒーゼリー４</t>
        </is>
      </c>
      <c r="T11" s="5" t="inlineStr">
        <is>
          <t>大人のコーヒーゼリー小４</t>
        </is>
      </c>
      <c r="U11" s="5" t="inlineStr">
        <is>
          <t>Ｓ大人のコーヒーゼリー小４</t>
        </is>
      </c>
      <c r="V11" s="5" t="n"/>
      <c r="W11" s="5" t="n"/>
      <c r="X11">
        <f>COUNTA(R11:W11)</f>
        <v/>
      </c>
      <c r="Y11">
        <f>IF(AND($X11&gt;0,ISNUMBER($M11)),$M11/$X11,"")</f>
        <v/>
      </c>
      <c r="Z11">
        <f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/>
      </c>
      <c r="AA11">
        <f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/>
      </c>
      <c r="AB11">
        <f>IF(ISNUMBER($M11),$M11,0)</f>
        <v/>
      </c>
      <c r="AD11" s="413">
        <f>IF($R11="",0,IF($AA11&gt;0,$AB11*SUMIF(⑳商品別1食労務費!$C$5:$C$124,$R11,⑳商品別1食労務費!$F$5:$F$124)/$AA11,$AB11/$X11))</f>
        <v/>
      </c>
      <c r="AE11" s="413">
        <f>IF($S11="",0,IF($AA11&gt;0,$AB11*SUMIF(⑳商品別1食労務費!$C$5:$C$124,$S11,⑳商品別1食労務費!$F$5:$F$124)/$AA11,$AB11/$X11))</f>
        <v/>
      </c>
      <c r="AF11" s="413">
        <f>IF($T11="",0,IF($AA11&gt;0,$AB11*SUMIF(⑳商品別1食労務費!$C$5:$C$124,$T11,⑳商品別1食労務費!$F$5:$F$124)/$AA11,$AB11/$X11))</f>
        <v/>
      </c>
      <c r="AG11" s="413">
        <f>IF($U11="",0,IF($AA11&gt;0,$AB11*SUMIF(⑳商品別1食労務費!$C$5:$C$124,$U11,⑳商品別1食労務費!$F$5:$F$124)/$AA11,$AB11/$X11))</f>
        <v/>
      </c>
      <c r="AH11" s="413">
        <f>IF($V11="",0,IF($AA11&gt;0,$AB11*SUMIF(⑳商品別1食労務費!$C$5:$C$124,$V11,⑳商品別1食労務費!$F$5:$F$124)/$AA11,$AB11/$X11))</f>
        <v/>
      </c>
      <c r="AI11" s="413">
        <f>IF($W11="",0,IF($AA11&gt;0,$AB11*SUMIF(⑳商品別1食労務費!$C$5:$C$124,$W11,⑳商品別1食労務費!$F$5:$F$124)/$AA11,$AB11/$X11))</f>
        <v/>
      </c>
    </row>
    <row r="12" ht="16" customHeight="1" s="438">
      <c r="A12" s="3" t="n">
        <v>8</v>
      </c>
      <c r="B12" s="4" t="inlineStr">
        <is>
          <t>釜製造</t>
        </is>
      </c>
      <c r="C12" s="5" t="inlineStr">
        <is>
          <t>コーヒーゼリー液</t>
        </is>
      </c>
      <c r="D12" s="5" t="n"/>
      <c r="E12" s="5" t="n"/>
      <c r="F12" s="6" t="n">
        <v>195</v>
      </c>
      <c r="G12" s="7" t="n">
        <v>100</v>
      </c>
      <c r="H12" s="7" t="n">
        <v>1</v>
      </c>
      <c r="I12" s="7" t="n">
        <v>120</v>
      </c>
      <c r="J12" s="7" t="n"/>
      <c r="K12" s="513">
        <f>IF(F12&gt;0,I12/(F12/60),0)</f>
        <v/>
      </c>
      <c r="L12" s="514">
        <f>IF(AND(ISNUMBER(F12),J12&gt;0),J12/(F12/60),"")</f>
        <v/>
      </c>
      <c r="M12" s="9">
        <f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513">
        <f>IF(I12&gt;0,M12/I12,"")</f>
        <v/>
      </c>
      <c r="O12" s="514">
        <f>IF(AND(J12&gt;0,ISNUMBER(M12)),M12/J12,"")</f>
        <v/>
      </c>
      <c r="P12" s="10" t="n"/>
      <c r="Q12" s="11" t="n"/>
      <c r="R12" s="5" t="inlineStr">
        <is>
          <t>大人のコーヒーゼリー４</t>
        </is>
      </c>
      <c r="S12" s="5" t="inlineStr">
        <is>
          <t>Ｓ大人のコーヒーゼリー４</t>
        </is>
      </c>
      <c r="T12" s="5" t="inlineStr">
        <is>
          <t>大人のコーヒーゼリー小４</t>
        </is>
      </c>
      <c r="U12" s="5" t="inlineStr">
        <is>
          <t>Ｓ大人のコーヒーゼリー小４</t>
        </is>
      </c>
      <c r="V12" s="5" t="n"/>
      <c r="W12" s="5" t="n"/>
      <c r="X12">
        <f>COUNTA(R12:W12)</f>
        <v/>
      </c>
      <c r="Y12">
        <f>IF(AND($X12&gt;0,ISNUMBER($M12)),$M12/$X12,"")</f>
        <v/>
      </c>
      <c r="Z12">
        <f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/>
      </c>
      <c r="AA12">
        <f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/>
      </c>
      <c r="AB12">
        <f>IF(ISNUMBER($M12),$M12,0)</f>
        <v/>
      </c>
      <c r="AD12" s="413">
        <f>IF($R12="",0,IF($AA12&gt;0,$AB12*SUMIF(⑳商品別1食労務費!$C$5:$C$124,$R12,⑳商品別1食労務費!$F$5:$F$124)/$AA12,$AB12/$X12))</f>
        <v/>
      </c>
      <c r="AE12" s="413">
        <f>IF($S12="",0,IF($AA12&gt;0,$AB12*SUMIF(⑳商品別1食労務費!$C$5:$C$124,$S12,⑳商品別1食労務費!$F$5:$F$124)/$AA12,$AB12/$X12))</f>
        <v/>
      </c>
      <c r="AF12" s="413">
        <f>IF($T12="",0,IF($AA12&gt;0,$AB12*SUMIF(⑳商品別1食労務費!$C$5:$C$124,$T12,⑳商品別1食労務費!$F$5:$F$124)/$AA12,$AB12/$X12))</f>
        <v/>
      </c>
      <c r="AG12" s="413">
        <f>IF($U12="",0,IF($AA12&gt;0,$AB12*SUMIF(⑳商品別1食労務費!$C$5:$C$124,$U12,⑳商品別1食労務費!$F$5:$F$124)/$AA12,$AB12/$X12))</f>
        <v/>
      </c>
      <c r="AH12" s="413">
        <f>IF($V12="",0,IF($AA12&gt;0,$AB12*SUMIF(⑳商品別1食労務費!$C$5:$C$124,$V12,⑳商品別1食労務費!$F$5:$F$124)/$AA12,$AB12/$X12))</f>
        <v/>
      </c>
      <c r="AI12" s="413">
        <f>IF($W12="",0,IF($AA12&gt;0,$AB12*SUMIF(⑳商品別1食労務費!$C$5:$C$124,$W12,⑳商品別1食労務費!$F$5:$F$124)/$AA12,$AB12/$X12))</f>
        <v/>
      </c>
    </row>
    <row r="13" ht="16" customHeight="1" s="438">
      <c r="A13" s="3" t="n">
        <v>9</v>
      </c>
      <c r="B13" s="4" t="inlineStr">
        <is>
          <t>釜製造</t>
        </is>
      </c>
      <c r="C13" s="5" t="inlineStr">
        <is>
          <t>コーヒーゼリー液</t>
        </is>
      </c>
      <c r="D13" s="5" t="n"/>
      <c r="E13" s="5" t="n"/>
      <c r="F13" s="6" t="n">
        <v>195</v>
      </c>
      <c r="G13" s="7" t="n">
        <v>100</v>
      </c>
      <c r="H13" s="7" t="n">
        <v>1</v>
      </c>
      <c r="I13" s="7" t="n">
        <v>120</v>
      </c>
      <c r="J13" s="7" t="n"/>
      <c r="K13" s="513">
        <f>IF(F13&gt;0,I13/(F13/60),0)</f>
        <v/>
      </c>
      <c r="L13" s="514">
        <f>IF(AND(ISNUMBER(F13),J13&gt;0),J13/(F13/60),"")</f>
        <v/>
      </c>
      <c r="M13" s="9">
        <f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513">
        <f>IF(I13&gt;0,M13/I13,"")</f>
        <v/>
      </c>
      <c r="O13" s="514">
        <f>IF(AND(J13&gt;0,ISNUMBER(M13)),M13/J13,"")</f>
        <v/>
      </c>
      <c r="P13" s="10" t="n"/>
      <c r="Q13" s="11" t="n"/>
      <c r="R13" s="5" t="inlineStr">
        <is>
          <t>大人のコーヒーゼリー４</t>
        </is>
      </c>
      <c r="S13" s="5" t="inlineStr">
        <is>
          <t>Ｓ大人のコーヒーゼリー４</t>
        </is>
      </c>
      <c r="T13" s="5" t="inlineStr">
        <is>
          <t>大人のコーヒーゼリー小４</t>
        </is>
      </c>
      <c r="U13" s="5" t="inlineStr">
        <is>
          <t>Ｓ大人のコーヒーゼリー小４</t>
        </is>
      </c>
      <c r="V13" s="5" t="n"/>
      <c r="W13" s="5" t="n"/>
      <c r="X13">
        <f>COUNTA(R13:W13)</f>
        <v/>
      </c>
      <c r="Y13">
        <f>IF(AND($X13&gt;0,ISNUMBER($M13)),$M13/$X13,"")</f>
        <v/>
      </c>
      <c r="Z13">
        <f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/>
      </c>
      <c r="AA13">
        <f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/>
      </c>
      <c r="AB13">
        <f>IF(ISNUMBER($M13),$M13,0)</f>
        <v/>
      </c>
      <c r="AD13" s="413">
        <f>IF($R13="",0,IF($AA13&gt;0,$AB13*SUMIF(⑳商品別1食労務費!$C$5:$C$124,$R13,⑳商品別1食労務費!$F$5:$F$124)/$AA13,$AB13/$X13))</f>
        <v/>
      </c>
      <c r="AE13" s="413">
        <f>IF($S13="",0,IF($AA13&gt;0,$AB13*SUMIF(⑳商品別1食労務費!$C$5:$C$124,$S13,⑳商品別1食労務費!$F$5:$F$124)/$AA13,$AB13/$X13))</f>
        <v/>
      </c>
      <c r="AF13" s="413">
        <f>IF($T13="",0,IF($AA13&gt;0,$AB13*SUMIF(⑳商品別1食労務費!$C$5:$C$124,$T13,⑳商品別1食労務費!$F$5:$F$124)/$AA13,$AB13/$X13))</f>
        <v/>
      </c>
      <c r="AG13" s="413">
        <f>IF($U13="",0,IF($AA13&gt;0,$AB13*SUMIF(⑳商品別1食労務費!$C$5:$C$124,$U13,⑳商品別1食労務費!$F$5:$F$124)/$AA13,$AB13/$X13))</f>
        <v/>
      </c>
      <c r="AH13" s="413">
        <f>IF($V13="",0,IF($AA13&gt;0,$AB13*SUMIF(⑳商品別1食労務費!$C$5:$C$124,$V13,⑳商品別1食労務費!$F$5:$F$124)/$AA13,$AB13/$X13))</f>
        <v/>
      </c>
      <c r="AI13" s="413">
        <f>IF($W13="",0,IF($AA13&gt;0,$AB13*SUMIF(⑳商品別1食労務費!$C$5:$C$124,$W13,⑳商品別1食労務費!$F$5:$F$124)/$AA13,$AB13/$X13))</f>
        <v/>
      </c>
    </row>
    <row r="14" ht="16" customHeight="1" s="438">
      <c r="A14" s="3" t="n">
        <v>10</v>
      </c>
      <c r="B14" s="4" t="inlineStr">
        <is>
          <t>釜製造</t>
        </is>
      </c>
      <c r="C14" s="5" t="inlineStr">
        <is>
          <t>ブルーベリーソース</t>
        </is>
      </c>
      <c r="D14" s="411" t="n">
        <v>0.4513888888888889</v>
      </c>
      <c r="E14" s="411" t="n">
        <v>0.4618055555555556</v>
      </c>
      <c r="F14" s="6" t="n">
        <v>15</v>
      </c>
      <c r="G14" s="7" t="n">
        <v>10</v>
      </c>
      <c r="H14" s="7" t="n">
        <v>1</v>
      </c>
      <c r="I14" s="7" t="n">
        <v>30</v>
      </c>
      <c r="J14" s="7" t="n"/>
      <c r="K14" s="513">
        <f>IF(F14&gt;0,I14/(F14/60),0)</f>
        <v/>
      </c>
      <c r="L14" s="514">
        <f>IF(AND(ISNUMBER(F14),J14&gt;0),J14/(F14/60),"")</f>
        <v/>
      </c>
      <c r="M14" s="9">
        <f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513">
        <f>IF(I14&gt;0,M14/I14,"")</f>
        <v/>
      </c>
      <c r="O14" s="514">
        <f>IF(AND(J14&gt;0,ISNUMBER(M14)),M14/J14,"")</f>
        <v/>
      </c>
      <c r="P14" s="10" t="n"/>
      <c r="Q14" s="11" t="n"/>
      <c r="R14" s="5" t="inlineStr">
        <is>
          <t>Ｓ２層仕立てのチーズケーキ</t>
        </is>
      </c>
      <c r="S14" s="5" t="inlineStr">
        <is>
          <t>２層仕立てのチーズケーキ</t>
        </is>
      </c>
      <c r="T14" s="5" t="n"/>
      <c r="U14" s="5" t="n"/>
      <c r="V14" s="5" t="n"/>
      <c r="W14" s="5" t="n"/>
      <c r="X14">
        <f>COUNTA(R14:W14)</f>
        <v/>
      </c>
      <c r="Y14">
        <f>IF(AND($X14&gt;0,ISNUMBER($M14)),$M14/$X14,"")</f>
        <v/>
      </c>
      <c r="Z14">
        <f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/>
      </c>
      <c r="AA14">
        <f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/>
      </c>
      <c r="AB14">
        <f>IF(ISNUMBER($M14),$M14,0)</f>
        <v/>
      </c>
      <c r="AD14" s="413">
        <f>IF($R14="",0,IF($AA14&gt;0,$AB14*SUMIF(⑳商品別1食労務費!$C$5:$C$124,$R14,⑳商品別1食労務費!$F$5:$F$124)/$AA14,$AB14/$X14))</f>
        <v/>
      </c>
      <c r="AE14" s="413">
        <f>IF($S14="",0,IF($AA14&gt;0,$AB14*SUMIF(⑳商品別1食労務費!$C$5:$C$124,$S14,⑳商品別1食労務費!$F$5:$F$124)/$AA14,$AB14/$X14))</f>
        <v/>
      </c>
      <c r="AF14" s="413">
        <f>IF($T14="",0,IF($AA14&gt;0,$AB14*SUMIF(⑳商品別1食労務費!$C$5:$C$124,$T14,⑳商品別1食労務費!$F$5:$F$124)/$AA14,$AB14/$X14))</f>
        <v/>
      </c>
      <c r="AG14" s="413">
        <f>IF($U14="",0,IF($AA14&gt;0,$AB14*SUMIF(⑳商品別1食労務費!$C$5:$C$124,$U14,⑳商品別1食労務費!$F$5:$F$124)/$AA14,$AB14/$X14))</f>
        <v/>
      </c>
      <c r="AH14" s="413">
        <f>IF($V14="",0,IF($AA14&gt;0,$AB14*SUMIF(⑳商品別1食労務費!$C$5:$C$124,$V14,⑳商品別1食労務費!$F$5:$F$124)/$AA14,$AB14/$X14))</f>
        <v/>
      </c>
      <c r="AI14" s="413">
        <f>IF($W14="",0,IF($AA14&gt;0,$AB14*SUMIF(⑳商品別1食労務費!$C$5:$C$124,$W14,⑳商品別1食労務費!$F$5:$F$124)/$AA14,$AB14/$X14))</f>
        <v/>
      </c>
    </row>
    <row r="15" ht="16" customHeight="1" s="438">
      <c r="A15" s="3" t="n">
        <v>11</v>
      </c>
      <c r="B15" s="4" t="inlineStr">
        <is>
          <t>釜製造</t>
        </is>
      </c>
      <c r="C15" s="5" t="inlineStr">
        <is>
          <t>ブルーベリーソース</t>
        </is>
      </c>
      <c r="D15" s="5" t="n"/>
      <c r="E15" s="5" t="n"/>
      <c r="F15" s="6" t="n">
        <v>15</v>
      </c>
      <c r="G15" s="7" t="n">
        <v>10</v>
      </c>
      <c r="H15" s="7" t="n">
        <v>1</v>
      </c>
      <c r="I15" s="7" t="n">
        <v>30</v>
      </c>
      <c r="J15" s="7" t="n"/>
      <c r="K15" s="513">
        <f>IF(F15&gt;0,I15/(F15/60),0)</f>
        <v/>
      </c>
      <c r="L15" s="514">
        <f>IF(AND(ISNUMBER(F15),J15&gt;0),J15/(F15/60),"")</f>
        <v/>
      </c>
      <c r="M15" s="9">
        <f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513">
        <f>IF(I15&gt;0,M15/I15,"")</f>
        <v/>
      </c>
      <c r="O15" s="514">
        <f>IF(AND(J15&gt;0,ISNUMBER(M15)),M15/J15,"")</f>
        <v/>
      </c>
      <c r="P15" s="10" t="n"/>
      <c r="Q15" s="11" t="n"/>
      <c r="R15" s="5" t="inlineStr">
        <is>
          <t>Ｓ２層仕立てのチーズケーキ</t>
        </is>
      </c>
      <c r="S15" s="5" t="inlineStr">
        <is>
          <t>２層仕立てのチーズケーキ</t>
        </is>
      </c>
      <c r="T15" s="5" t="n"/>
      <c r="U15" s="5" t="n"/>
      <c r="V15" s="5" t="n"/>
      <c r="W15" s="5" t="n"/>
      <c r="X15">
        <f>COUNTA(R15:W15)</f>
        <v/>
      </c>
      <c r="Y15">
        <f>IF(AND($X15&gt;0,ISNUMBER($M15)),$M15/$X15,"")</f>
        <v/>
      </c>
      <c r="Z15">
        <f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>
        <f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/>
      </c>
      <c r="AB15">
        <f>IF(ISNUMBER($M15),$M15,0)</f>
        <v/>
      </c>
      <c r="AD15" s="413">
        <f>IF($R15="",0,IF($AA15&gt;0,$AB15*SUMIF(⑳商品別1食労務費!$C$5:$C$124,$R15,⑳商品別1食労務費!$F$5:$F$124)/$AA15,$AB15/$X15))</f>
        <v/>
      </c>
      <c r="AE15" s="413">
        <f>IF($S15="",0,IF($AA15&gt;0,$AB15*SUMIF(⑳商品別1食労務費!$C$5:$C$124,$S15,⑳商品別1食労務費!$F$5:$F$124)/$AA15,$AB15/$X15))</f>
        <v/>
      </c>
      <c r="AF15" s="413">
        <f>IF($T15="",0,IF($AA15&gt;0,$AB15*SUMIF(⑳商品別1食労務費!$C$5:$C$124,$T15,⑳商品別1食労務費!$F$5:$F$124)/$AA15,$AB15/$X15))</f>
        <v/>
      </c>
      <c r="AG15" s="413">
        <f>IF($U15="",0,IF($AA15&gt;0,$AB15*SUMIF(⑳商品別1食労務費!$C$5:$C$124,$U15,⑳商品別1食労務費!$F$5:$F$124)/$AA15,$AB15/$X15))</f>
        <v/>
      </c>
      <c r="AH15" s="413">
        <f>IF($V15="",0,IF($AA15&gt;0,$AB15*SUMIF(⑳商品別1食労務費!$C$5:$C$124,$V15,⑳商品別1食労務費!$F$5:$F$124)/$AA15,$AB15/$X15))</f>
        <v/>
      </c>
      <c r="AI15" s="413">
        <f>IF($W15="",0,IF($AA15&gt;0,$AB15*SUMIF(⑳商品別1食労務費!$C$5:$C$124,$W15,⑳商品別1食労務費!$F$5:$F$124)/$AA15,$AB15/$X15))</f>
        <v/>
      </c>
    </row>
    <row r="16" ht="16" customHeight="1" s="438">
      <c r="A16" s="3" t="n">
        <v>12</v>
      </c>
      <c r="B16" s="4" t="inlineStr">
        <is>
          <t>釜製造</t>
        </is>
      </c>
      <c r="C16" s="5" t="inlineStr">
        <is>
          <t>自社製ホイップの卵プリン</t>
        </is>
      </c>
      <c r="D16" s="411" t="n">
        <v>0.4930555555555556</v>
      </c>
      <c r="E16" s="411" t="n">
        <v>0.5694444444444444</v>
      </c>
      <c r="F16" s="6" t="n">
        <v>110</v>
      </c>
      <c r="G16" s="7" t="n">
        <v>90</v>
      </c>
      <c r="H16" s="7" t="n">
        <v>2</v>
      </c>
      <c r="I16" s="7" t="n">
        <v>120</v>
      </c>
      <c r="J16" s="7" t="n"/>
      <c r="K16" s="513">
        <f>IF(F16&gt;0,I16/(F16/60),0)</f>
        <v/>
      </c>
      <c r="L16" s="514">
        <f>IF(AND(ISNUMBER(F16),J16&gt;0),J16/(F16/60),"")</f>
        <v/>
      </c>
      <c r="M16" s="9">
        <f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513">
        <f>IF(I16&gt;0,M16/I16,"")</f>
        <v/>
      </c>
      <c r="O16" s="514">
        <f>IF(AND(J16&gt;0,ISNUMBER(M16)),M16/J16,"")</f>
        <v/>
      </c>
      <c r="P16" s="10" t="n"/>
      <c r="Q16" s="11" t="n"/>
      <c r="R16" s="5" t="inlineStr">
        <is>
          <t>自社製ホイップの卵プリン</t>
        </is>
      </c>
      <c r="S16" s="5" t="inlineStr">
        <is>
          <t>Ｓホイップの卵プリン</t>
        </is>
      </c>
      <c r="T16" s="5" t="inlineStr">
        <is>
          <t>ホイップの卵プリン</t>
        </is>
      </c>
      <c r="U16" s="5" t="n"/>
      <c r="V16" s="5" t="n"/>
      <c r="W16" s="5" t="n"/>
      <c r="X16">
        <f>COUNTA(R16:W16)</f>
        <v/>
      </c>
      <c r="Y16">
        <f>IF(AND($X16&gt;0,ISNUMBER($M16)),$M16/$X16,"")</f>
        <v/>
      </c>
      <c r="Z16">
        <f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>
        <f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/>
      </c>
      <c r="AB16">
        <f>IF(ISNUMBER($M16),$M16,0)</f>
        <v/>
      </c>
      <c r="AD16" s="413">
        <f>IF($R16="",0,IF($AA16&gt;0,$AB16*SUMIF(⑳商品別1食労務費!$C$5:$C$124,$R16,⑳商品別1食労務費!$F$5:$F$124)/$AA16,$AB16/$X16))</f>
        <v/>
      </c>
      <c r="AE16" s="413">
        <f>IF($S16="",0,IF($AA16&gt;0,$AB16*SUMIF(⑳商品別1食労務費!$C$5:$C$124,$S16,⑳商品別1食労務費!$F$5:$F$124)/$AA16,$AB16/$X16))</f>
        <v/>
      </c>
      <c r="AF16" s="413">
        <f>IF($T16="",0,IF($AA16&gt;0,$AB16*SUMIF(⑳商品別1食労務費!$C$5:$C$124,$T16,⑳商品別1食労務費!$F$5:$F$124)/$AA16,$AB16/$X16))</f>
        <v/>
      </c>
      <c r="AG16" s="413">
        <f>IF($U16="",0,IF($AA16&gt;0,$AB16*SUMIF(⑳商品別1食労務費!$C$5:$C$124,$U16,⑳商品別1食労務費!$F$5:$F$124)/$AA16,$AB16/$X16))</f>
        <v/>
      </c>
      <c r="AH16" s="413">
        <f>IF($V16="",0,IF($AA16&gt;0,$AB16*SUMIF(⑳商品別1食労務費!$C$5:$C$124,$V16,⑳商品別1食労務費!$F$5:$F$124)/$AA16,$AB16/$X16))</f>
        <v/>
      </c>
      <c r="AI16" s="413">
        <f>IF($W16="",0,IF($AA16&gt;0,$AB16*SUMIF(⑳商品別1食労務費!$C$5:$C$124,$W16,⑳商品別1食労務費!$F$5:$F$124)/$AA16,$AB16/$X16))</f>
        <v/>
      </c>
    </row>
    <row r="17" ht="16" customHeight="1" s="438">
      <c r="A17" s="12" t="n">
        <v>13</v>
      </c>
      <c r="B17" s="13" t="inlineStr">
        <is>
          <t>釜製造</t>
        </is>
      </c>
      <c r="C17" s="5" t="inlineStr">
        <is>
          <t>自社製ホイップの卵プリン</t>
        </is>
      </c>
      <c r="D17" s="5" t="n"/>
      <c r="E17" s="5" t="n"/>
      <c r="F17" s="14" t="n">
        <v>110</v>
      </c>
      <c r="G17" s="12" t="n">
        <v>90</v>
      </c>
      <c r="H17" s="12" t="n">
        <v>2</v>
      </c>
      <c r="I17" s="12" t="n">
        <v>120</v>
      </c>
      <c r="J17" s="12" t="n"/>
      <c r="K17" s="12" t="inlineStr">
        <is>
          <t>-</t>
        </is>
      </c>
      <c r="L17" s="515">
        <f>IF(AND(ISNUMBER(F17),J17&gt;0),J17/(F17/60),"")</f>
        <v/>
      </c>
      <c r="M17" s="12">
        <f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12" t="inlineStr">
        <is>
          <t>-</t>
        </is>
      </c>
      <c r="O17" s="515">
        <f>IF(AND(J17&gt;0,ISNUMBER(M17)),M17/J17,"")</f>
        <v/>
      </c>
      <c r="P17" s="15" t="n"/>
      <c r="Q17" s="16" t="n"/>
      <c r="R17" s="5" t="inlineStr">
        <is>
          <t>自社製ホイップの卵プリン</t>
        </is>
      </c>
      <c r="S17" s="5" t="inlineStr">
        <is>
          <t>Ｓホイップの卵プリン</t>
        </is>
      </c>
      <c r="T17" s="5" t="inlineStr">
        <is>
          <t>ホイップの卵プリン</t>
        </is>
      </c>
      <c r="U17" s="5" t="n"/>
      <c r="V17" s="5" t="n"/>
      <c r="W17" s="5" t="n"/>
      <c r="X17">
        <f>COUNTA(R17:W17)</f>
        <v/>
      </c>
      <c r="Y17">
        <f>IF(AND($X17&gt;0,ISNUMBER($M17)),$M17/$X17,"")</f>
        <v/>
      </c>
      <c r="Z17">
        <f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>
        <f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/>
      </c>
      <c r="AB17">
        <f>IF(ISNUMBER($M17),$M17,0)</f>
        <v/>
      </c>
      <c r="AD17" s="413">
        <f>IF($R17="",0,IF($AA17&gt;0,$AB17*SUMIF(⑳商品別1食労務費!$C$5:$C$124,$R17,⑳商品別1食労務費!$F$5:$F$124)/$AA17,$AB17/$X17))</f>
        <v/>
      </c>
      <c r="AE17" s="413">
        <f>IF($S17="",0,IF($AA17&gt;0,$AB17*SUMIF(⑳商品別1食労務費!$C$5:$C$124,$S17,⑳商品別1食労務費!$F$5:$F$124)/$AA17,$AB17/$X17))</f>
        <v/>
      </c>
      <c r="AF17" s="413">
        <f>IF($T17="",0,IF($AA17&gt;0,$AB17*SUMIF(⑳商品別1食労務費!$C$5:$C$124,$T17,⑳商品別1食労務費!$F$5:$F$124)/$AA17,$AB17/$X17))</f>
        <v/>
      </c>
      <c r="AG17" s="413">
        <f>IF($U17="",0,IF($AA17&gt;0,$AB17*SUMIF(⑳商品別1食労務費!$C$5:$C$124,$U17,⑳商品別1食労務費!$F$5:$F$124)/$AA17,$AB17/$X17))</f>
        <v/>
      </c>
      <c r="AH17" s="413">
        <f>IF($V17="",0,IF($AA17&gt;0,$AB17*SUMIF(⑳商品別1食労務費!$C$5:$C$124,$V17,⑳商品別1食労務費!$F$5:$F$124)/$AA17,$AB17/$X17))</f>
        <v/>
      </c>
      <c r="AI17" s="413">
        <f>IF($W17="",0,IF($AA17&gt;0,$AB17*SUMIF(⑳商品別1食労務費!$C$5:$C$124,$W17,⑳商品別1食労務費!$F$5:$F$124)/$AA17,$AB17/$X17))</f>
        <v/>
      </c>
    </row>
    <row r="18" ht="16" customHeight="1" s="438">
      <c r="A18" s="3" t="n">
        <v>14</v>
      </c>
      <c r="B18" s="4" t="inlineStr">
        <is>
          <t>釜製造</t>
        </is>
      </c>
      <c r="C18" s="5" t="inlineStr">
        <is>
          <t>自社製ホイップの卵プリン</t>
        </is>
      </c>
      <c r="D18" s="5" t="n"/>
      <c r="E18" s="5" t="n"/>
      <c r="F18" s="6" t="n">
        <v>110</v>
      </c>
      <c r="G18" s="7" t="n">
        <v>90</v>
      </c>
      <c r="H18" s="7" t="n">
        <v>2</v>
      </c>
      <c r="I18" s="7" t="n">
        <v>120</v>
      </c>
      <c r="J18" s="7" t="n"/>
      <c r="K18" s="513">
        <f>IF(F18&gt;0,I18/(F18/60),0)</f>
        <v/>
      </c>
      <c r="L18" s="514">
        <f>IF(AND(ISNUMBER(F18),J18&gt;0),J18/(F18/60),"")</f>
        <v/>
      </c>
      <c r="M18" s="9">
        <f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513">
        <f>IF(I18&gt;0,M18/I18,"")</f>
        <v/>
      </c>
      <c r="O18" s="514">
        <f>IF(AND(J18&gt;0,ISNUMBER(M18)),M18/J18,"")</f>
        <v/>
      </c>
      <c r="P18" s="10" t="n"/>
      <c r="Q18" s="11" t="n"/>
      <c r="R18" s="5" t="inlineStr">
        <is>
          <t>自社製ホイップの卵プリン</t>
        </is>
      </c>
      <c r="S18" s="5" t="inlineStr">
        <is>
          <t>Ｓホイップの卵プリン</t>
        </is>
      </c>
      <c r="T18" s="5" t="inlineStr">
        <is>
          <t>ホイップの卵プリン</t>
        </is>
      </c>
      <c r="U18" s="5" t="n"/>
      <c r="V18" s="5" t="n"/>
      <c r="W18" s="5" t="n"/>
      <c r="X18">
        <f>COUNTA(R18:W18)</f>
        <v/>
      </c>
      <c r="Y18">
        <f>IF(AND($X18&gt;0,ISNUMBER($M18)),$M18/$X18,"")</f>
        <v/>
      </c>
      <c r="Z18">
        <f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>
        <f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/>
      </c>
      <c r="AB18">
        <f>IF(ISNUMBER($M18),$M18,0)</f>
        <v/>
      </c>
      <c r="AD18" s="413">
        <f>IF($R18="",0,IF($AA18&gt;0,$AB18*SUMIF(⑳商品別1食労務費!$C$5:$C$124,$R18,⑳商品別1食労務費!$F$5:$F$124)/$AA18,$AB18/$X18))</f>
        <v/>
      </c>
      <c r="AE18" s="413">
        <f>IF($S18="",0,IF($AA18&gt;0,$AB18*SUMIF(⑳商品別1食労務費!$C$5:$C$124,$S18,⑳商品別1食労務費!$F$5:$F$124)/$AA18,$AB18/$X18))</f>
        <v/>
      </c>
      <c r="AF18" s="413">
        <f>IF($T18="",0,IF($AA18&gt;0,$AB18*SUMIF(⑳商品別1食労務費!$C$5:$C$124,$T18,⑳商品別1食労務費!$F$5:$F$124)/$AA18,$AB18/$X18))</f>
        <v/>
      </c>
      <c r="AG18" s="413">
        <f>IF($U18="",0,IF($AA18&gt;0,$AB18*SUMIF(⑳商品別1食労務費!$C$5:$C$124,$U18,⑳商品別1食労務費!$F$5:$F$124)/$AA18,$AB18/$X18))</f>
        <v/>
      </c>
      <c r="AH18" s="413">
        <f>IF($V18="",0,IF($AA18&gt;0,$AB18*SUMIF(⑳商品別1食労務費!$C$5:$C$124,$V18,⑳商品別1食労務費!$F$5:$F$124)/$AA18,$AB18/$X18))</f>
        <v/>
      </c>
      <c r="AI18" s="413">
        <f>IF($W18="",0,IF($AA18&gt;0,$AB18*SUMIF(⑳商品別1食労務費!$C$5:$C$124,$W18,⑳商品別1食労務費!$F$5:$F$124)/$AA18,$AB18/$X18))</f>
        <v/>
      </c>
    </row>
    <row r="19" ht="16" customHeight="1" s="438">
      <c r="A19" s="3" t="n">
        <v>15</v>
      </c>
      <c r="B19" s="4" t="inlineStr">
        <is>
          <t>釜製造</t>
        </is>
      </c>
      <c r="C19" s="5" t="inlineStr">
        <is>
          <t>ミキサー</t>
        </is>
      </c>
      <c r="D19" s="5" t="n"/>
      <c r="E19" s="5" t="n"/>
      <c r="F19" s="6" t="n"/>
      <c r="G19" s="7" t="n"/>
      <c r="H19" s="7" t="n"/>
      <c r="I19" s="7" t="n"/>
      <c r="J19" s="7" t="n"/>
      <c r="K19" s="513">
        <f>IF(F19&gt;0,I19/(F19/60),0)</f>
        <v/>
      </c>
      <c r="L19" s="514">
        <f>IF(AND(ISNUMBER(F19),J19&gt;0),J19/(F19/60),"")</f>
        <v/>
      </c>
      <c r="M19" s="9">
        <f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513">
        <f>IF(I19&gt;0,M19/I19,"")</f>
        <v/>
      </c>
      <c r="O19" s="514">
        <f>IF(AND(J19&gt;0,ISNUMBER(M19)),M19/J19,"")</f>
        <v/>
      </c>
      <c r="P19" s="10" t="n"/>
      <c r="Q19" s="11" t="n"/>
      <c r="R19" s="5" t="n"/>
      <c r="S19" s="5" t="n"/>
      <c r="T19" s="5" t="n"/>
      <c r="U19" s="5" t="n"/>
      <c r="V19" s="5" t="n"/>
      <c r="W19" s="5" t="n"/>
      <c r="X19">
        <f>COUNTA(R19:W19)</f>
        <v/>
      </c>
      <c r="Y19">
        <f>IF(AND($X19&gt;0,ISNUMBER($M19)),$M19/$X19,"")</f>
        <v/>
      </c>
      <c r="Z19">
        <f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>
        <f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/>
      </c>
      <c r="AB19">
        <f>IF(ISNUMBER($M19),$M19,0)</f>
        <v/>
      </c>
      <c r="AD19" s="413">
        <f>IF($R19="",0,IF($AA19&gt;0,$AB19*SUMIF(⑳商品別1食労務費!$C$5:$C$124,$R19,⑳商品別1食労務費!$F$5:$F$124)/$AA19,$AB19/$X19))</f>
        <v/>
      </c>
      <c r="AE19" s="413">
        <f>IF($S19="",0,IF($AA19&gt;0,$AB19*SUMIF(⑳商品別1食労務費!$C$5:$C$124,$S19,⑳商品別1食労務費!$F$5:$F$124)/$AA19,$AB19/$X19))</f>
        <v/>
      </c>
      <c r="AF19" s="413">
        <f>IF($T19="",0,IF($AA19&gt;0,$AB19*SUMIF(⑳商品別1食労務費!$C$5:$C$124,$T19,⑳商品別1食労務費!$F$5:$F$124)/$AA19,$AB19/$X19))</f>
        <v/>
      </c>
      <c r="AG19" s="413">
        <f>IF($U19="",0,IF($AA19&gt;0,$AB19*SUMIF(⑳商品別1食労務費!$C$5:$C$124,$U19,⑳商品別1食労務費!$F$5:$F$124)/$AA19,$AB19/$X19))</f>
        <v/>
      </c>
      <c r="AH19" s="413">
        <f>IF($V19="",0,IF($AA19&gt;0,$AB19*SUMIF(⑳商品別1食労務費!$C$5:$C$124,$V19,⑳商品別1食労務費!$F$5:$F$124)/$AA19,$AB19/$X19))</f>
        <v/>
      </c>
      <c r="AI19" s="413">
        <f>IF($W19="",0,IF($AA19&gt;0,$AB19*SUMIF(⑳商品別1食労務費!$C$5:$C$124,$W19,⑳商品別1食労務費!$F$5:$F$124)/$AA19,$AB19/$X19))</f>
        <v/>
      </c>
    </row>
    <row r="20" ht="16" customHeight="1" s="438">
      <c r="A20" s="3" t="n">
        <v>16</v>
      </c>
      <c r="B20" s="4" t="inlineStr">
        <is>
          <t>釜製造</t>
        </is>
      </c>
      <c r="C20" s="5" t="inlineStr">
        <is>
          <t>湯種ロールパン</t>
        </is>
      </c>
      <c r="D20" s="411" t="n">
        <v>0.025</v>
      </c>
      <c r="E20" s="411" t="n">
        <v>0.03888888888888889</v>
      </c>
      <c r="F20" s="6" t="n">
        <v>5</v>
      </c>
      <c r="G20" s="7" t="n">
        <v>15</v>
      </c>
      <c r="H20" s="7" t="n">
        <v>1</v>
      </c>
      <c r="I20" s="7" t="n">
        <v>16</v>
      </c>
      <c r="J20" s="7" t="n"/>
      <c r="K20" s="513">
        <f>IF(F20&gt;0,I20/(F20/60),0)</f>
        <v/>
      </c>
      <c r="L20" s="514">
        <f>IF(AND(ISNUMBER(F20),J20&gt;0),J20/(F20/60),"")</f>
        <v/>
      </c>
      <c r="M20" s="9">
        <f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513">
        <f>IF(I20&gt;0,M20/I20,"")</f>
        <v/>
      </c>
      <c r="O20" s="514">
        <f>IF(AND(J20&gt;0,ISNUMBER(M20)),M20/J20,"")</f>
        <v/>
      </c>
      <c r="P20" s="10" t="n"/>
      <c r="Q20" s="11" t="n"/>
      <c r="R20" s="5" t="inlineStr">
        <is>
          <t>全粒粉入り湯種ロール６個</t>
        </is>
      </c>
      <c r="S20" s="5" t="inlineStr">
        <is>
          <t>全粒粉入り湯種ロール３個</t>
        </is>
      </c>
      <c r="T20" s="5" t="inlineStr">
        <is>
          <t>Ｓ全粒粉入り湯種ロール６個</t>
        </is>
      </c>
      <c r="U20" s="5" t="n"/>
      <c r="V20" s="5" t="n"/>
      <c r="W20" s="5" t="n"/>
      <c r="X20">
        <f>COUNTA(R20:W20)</f>
        <v/>
      </c>
      <c r="Y20">
        <f>IF(AND($X20&gt;0,ISNUMBER($M20)),$M20/$X20,"")</f>
        <v/>
      </c>
      <c r="Z20">
        <f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>
        <f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/>
      </c>
      <c r="AB20">
        <f>IF(ISNUMBER($M20),$M20,0)</f>
        <v/>
      </c>
      <c r="AD20" s="413">
        <f>IF($R20="",0,IF($AA20&gt;0,$AB20*SUMIF(⑳商品別1食労務費!$C$5:$C$124,$R20,⑳商品別1食労務費!$F$5:$F$124)/$AA20,$AB20/$X20))</f>
        <v/>
      </c>
      <c r="AE20" s="413">
        <f>IF($S20="",0,IF($AA20&gt;0,$AB20*SUMIF(⑳商品別1食労務費!$C$5:$C$124,$S20,⑳商品別1食労務費!$F$5:$F$124)/$AA20,$AB20/$X20))</f>
        <v/>
      </c>
      <c r="AF20" s="413">
        <f>IF($T20="",0,IF($AA20&gt;0,$AB20*SUMIF(⑳商品別1食労務費!$C$5:$C$124,$T20,⑳商品別1食労務費!$F$5:$F$124)/$AA20,$AB20/$X20))</f>
        <v/>
      </c>
      <c r="AG20" s="413">
        <f>IF($U20="",0,IF($AA20&gt;0,$AB20*SUMIF(⑳商品別1食労務費!$C$5:$C$124,$U20,⑳商品別1食労務費!$F$5:$F$124)/$AA20,$AB20/$X20))</f>
        <v/>
      </c>
      <c r="AH20" s="413">
        <f>IF($V20="",0,IF($AA20&gt;0,$AB20*SUMIF(⑳商品別1食労務費!$C$5:$C$124,$V20,⑳商品別1食労務費!$F$5:$F$124)/$AA20,$AB20/$X20))</f>
        <v/>
      </c>
      <c r="AI20" s="413">
        <f>IF($W20="",0,IF($AA20&gt;0,$AB20*SUMIF(⑳商品別1食労務費!$C$5:$C$124,$W20,⑳商品別1食労務費!$F$5:$F$124)/$AA20,$AB20/$X20))</f>
        <v/>
      </c>
    </row>
    <row r="21" ht="16" customHeight="1" s="438">
      <c r="A21" s="3" t="n">
        <v>17</v>
      </c>
      <c r="B21" s="4" t="inlineStr">
        <is>
          <t>釜製造</t>
        </is>
      </c>
      <c r="C21" s="5" t="inlineStr">
        <is>
          <t>湯種ロールパン</t>
        </is>
      </c>
      <c r="D21" s="411" t="n">
        <v>0.03888888888888889</v>
      </c>
      <c r="E21" s="411" t="n">
        <v>0.05277777777777778</v>
      </c>
      <c r="F21" s="6" t="n">
        <v>5</v>
      </c>
      <c r="G21" s="7" t="n">
        <v>15</v>
      </c>
      <c r="H21" s="7" t="n">
        <v>1</v>
      </c>
      <c r="I21" s="7" t="n">
        <v>16</v>
      </c>
      <c r="J21" s="7" t="n"/>
      <c r="K21" s="513">
        <f>IF(F21&gt;0,I21/(F21/60),0)</f>
        <v/>
      </c>
      <c r="L21" s="514">
        <f>IF(AND(ISNUMBER(F21),J21&gt;0),J21/(F21/60),"")</f>
        <v/>
      </c>
      <c r="M21" s="9">
        <f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513">
        <f>IF(I21&gt;0,M21/I21,"")</f>
        <v/>
      </c>
      <c r="O21" s="514">
        <f>IF(AND(J21&gt;0,ISNUMBER(M21)),M21/J21,"")</f>
        <v/>
      </c>
      <c r="P21" s="10" t="n"/>
      <c r="Q21" s="11" t="n"/>
      <c r="R21" s="5" t="inlineStr">
        <is>
          <t>全粒粉入り湯種ロール６個</t>
        </is>
      </c>
      <c r="S21" s="5" t="inlineStr">
        <is>
          <t>全粒粉入り湯種ロール３個</t>
        </is>
      </c>
      <c r="T21" s="5" t="inlineStr">
        <is>
          <t>Ｓ全粒粉入り湯種ロール６個</t>
        </is>
      </c>
      <c r="U21" s="5" t="n"/>
      <c r="V21" s="5" t="n"/>
      <c r="W21" s="5" t="n"/>
      <c r="X21">
        <f>COUNTA(R21:W21)</f>
        <v/>
      </c>
      <c r="Y21">
        <f>IF(AND($X21&gt;0,ISNUMBER($M21)),$M21/$X21,"")</f>
        <v/>
      </c>
      <c r="Z21">
        <f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>
        <f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/>
      </c>
      <c r="AB21">
        <f>IF(ISNUMBER($M21),$M21,0)</f>
        <v/>
      </c>
      <c r="AD21" s="413">
        <f>IF($R21="",0,IF($AA21&gt;0,$AB21*SUMIF(⑳商品別1食労務費!$C$5:$C$124,$R21,⑳商品別1食労務費!$F$5:$F$124)/$AA21,$AB21/$X21))</f>
        <v/>
      </c>
      <c r="AE21" s="413">
        <f>IF($S21="",0,IF($AA21&gt;0,$AB21*SUMIF(⑳商品別1食労務費!$C$5:$C$124,$S21,⑳商品別1食労務費!$F$5:$F$124)/$AA21,$AB21/$X21))</f>
        <v/>
      </c>
      <c r="AF21" s="413">
        <f>IF($T21="",0,IF($AA21&gt;0,$AB21*SUMIF(⑳商品別1食労務費!$C$5:$C$124,$T21,⑳商品別1食労務費!$F$5:$F$124)/$AA21,$AB21/$X21))</f>
        <v/>
      </c>
      <c r="AG21" s="413">
        <f>IF($U21="",0,IF($AA21&gt;0,$AB21*SUMIF(⑳商品別1食労務費!$C$5:$C$124,$U21,⑳商品別1食労務費!$F$5:$F$124)/$AA21,$AB21/$X21))</f>
        <v/>
      </c>
      <c r="AH21" s="413">
        <f>IF($V21="",0,IF($AA21&gt;0,$AB21*SUMIF(⑳商品別1食労務費!$C$5:$C$124,$V21,⑳商品別1食労務費!$F$5:$F$124)/$AA21,$AB21/$X21))</f>
        <v/>
      </c>
      <c r="AI21" s="413">
        <f>IF($W21="",0,IF($AA21&gt;0,$AB21*SUMIF(⑳商品別1食労務費!$C$5:$C$124,$W21,⑳商品別1食労務費!$F$5:$F$124)/$AA21,$AB21/$X21))</f>
        <v/>
      </c>
    </row>
    <row r="22" ht="16" customHeight="1" s="438">
      <c r="A22" s="3" t="n">
        <v>18</v>
      </c>
      <c r="B22" s="4" t="inlineStr">
        <is>
          <t>釜製造</t>
        </is>
      </c>
      <c r="C22" s="5" t="inlineStr">
        <is>
          <t>湯種ロールパン</t>
        </is>
      </c>
      <c r="D22" s="411" t="n">
        <v>0.05277777777777778</v>
      </c>
      <c r="E22" s="411" t="n">
        <v>0.06666666666666667</v>
      </c>
      <c r="F22" s="6" t="n">
        <v>5</v>
      </c>
      <c r="G22" s="7" t="n">
        <v>15</v>
      </c>
      <c r="H22" s="7" t="n">
        <v>1</v>
      </c>
      <c r="I22" s="7" t="n">
        <v>16</v>
      </c>
      <c r="J22" s="7" t="n"/>
      <c r="K22" s="513">
        <f>IF(F22&gt;0,I22/(F22/60),0)</f>
        <v/>
      </c>
      <c r="L22" s="514">
        <f>IF(AND(ISNUMBER(F22),J22&gt;0),J22/(F22/60),"")</f>
        <v/>
      </c>
      <c r="M22" s="9">
        <f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513">
        <f>IF(I22&gt;0,M22/I22,"")</f>
        <v/>
      </c>
      <c r="O22" s="514">
        <f>IF(AND(J22&gt;0,ISNUMBER(M22)),M22/J22,"")</f>
        <v/>
      </c>
      <c r="P22" s="10" t="n"/>
      <c r="Q22" s="11" t="n"/>
      <c r="R22" s="5" t="inlineStr">
        <is>
          <t>全粒粉入り湯種ロール６個</t>
        </is>
      </c>
      <c r="S22" s="5" t="inlineStr">
        <is>
          <t>全粒粉入り湯種ロール３個</t>
        </is>
      </c>
      <c r="T22" s="5" t="inlineStr">
        <is>
          <t>Ｓ全粒粉入り湯種ロール６個</t>
        </is>
      </c>
      <c r="U22" s="5" t="n"/>
      <c r="V22" s="5" t="n"/>
      <c r="W22" s="5" t="n"/>
      <c r="X22">
        <f>COUNTA(R22:W22)</f>
        <v/>
      </c>
      <c r="Y22">
        <f>IF(AND($X22&gt;0,ISNUMBER($M22)),$M22/$X22,"")</f>
        <v/>
      </c>
      <c r="Z22">
        <f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>
        <f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/>
      </c>
      <c r="AB22">
        <f>IF(ISNUMBER($M22),$M22,0)</f>
        <v/>
      </c>
      <c r="AD22" s="413">
        <f>IF($R22="",0,IF($AA22&gt;0,$AB22*SUMIF(⑳商品別1食労務費!$C$5:$C$124,$R22,⑳商品別1食労務費!$F$5:$F$124)/$AA22,$AB22/$X22))</f>
        <v/>
      </c>
      <c r="AE22" s="413">
        <f>IF($S22="",0,IF($AA22&gt;0,$AB22*SUMIF(⑳商品別1食労務費!$C$5:$C$124,$S22,⑳商品別1食労務費!$F$5:$F$124)/$AA22,$AB22/$X22))</f>
        <v/>
      </c>
      <c r="AF22" s="413">
        <f>IF($T22="",0,IF($AA22&gt;0,$AB22*SUMIF(⑳商品別1食労務費!$C$5:$C$124,$T22,⑳商品別1食労務費!$F$5:$F$124)/$AA22,$AB22/$X22))</f>
        <v/>
      </c>
      <c r="AG22" s="413">
        <f>IF($U22="",0,IF($AA22&gt;0,$AB22*SUMIF(⑳商品別1食労務費!$C$5:$C$124,$U22,⑳商品別1食労務費!$F$5:$F$124)/$AA22,$AB22/$X22))</f>
        <v/>
      </c>
      <c r="AH22" s="413">
        <f>IF($V22="",0,IF($AA22&gt;0,$AB22*SUMIF(⑳商品別1食労務費!$C$5:$C$124,$V22,⑳商品別1食労務費!$F$5:$F$124)/$AA22,$AB22/$X22))</f>
        <v/>
      </c>
      <c r="AI22" s="413">
        <f>IF($W22="",0,IF($AA22&gt;0,$AB22*SUMIF(⑳商品別1食労務費!$C$5:$C$124,$W22,⑳商品別1食労務費!$F$5:$F$124)/$AA22,$AB22/$X22))</f>
        <v/>
      </c>
    </row>
    <row r="23" ht="16" customHeight="1" s="438">
      <c r="A23" s="3" t="n">
        <v>19</v>
      </c>
      <c r="B23" s="4" t="inlineStr">
        <is>
          <t>釜製造</t>
        </is>
      </c>
      <c r="C23" s="5" t="inlineStr">
        <is>
          <t>湯種ロールパン</t>
        </is>
      </c>
      <c r="D23" s="411" t="n">
        <v>0.06666666666666667</v>
      </c>
      <c r="E23" s="411" t="n">
        <v>0.08055555555555556</v>
      </c>
      <c r="F23" s="6" t="n">
        <v>5</v>
      </c>
      <c r="G23" s="7" t="n">
        <v>15</v>
      </c>
      <c r="H23" s="7" t="n">
        <v>1</v>
      </c>
      <c r="I23" s="7" t="n">
        <v>16</v>
      </c>
      <c r="J23" s="7" t="n"/>
      <c r="K23" s="513">
        <f>IF(F23&gt;0,I23/(F23/60),0)</f>
        <v/>
      </c>
      <c r="L23" s="514">
        <f>IF(AND(ISNUMBER(F23),J23&gt;0),J23/(F23/60),"")</f>
        <v/>
      </c>
      <c r="M23" s="9">
        <f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513">
        <f>IF(I23&gt;0,M23/I23,"")</f>
        <v/>
      </c>
      <c r="O23" s="514">
        <f>IF(AND(J23&gt;0,ISNUMBER(M23)),M23/J23,"")</f>
        <v/>
      </c>
      <c r="P23" s="10" t="n"/>
      <c r="Q23" s="11" t="n"/>
      <c r="R23" s="5" t="inlineStr">
        <is>
          <t>全粒粉入り湯種ロール６個</t>
        </is>
      </c>
      <c r="S23" s="5" t="inlineStr">
        <is>
          <t>全粒粉入り湯種ロール３個</t>
        </is>
      </c>
      <c r="T23" s="5" t="inlineStr">
        <is>
          <t>Ｓ全粒粉入り湯種ロール６個</t>
        </is>
      </c>
      <c r="U23" s="5" t="n"/>
      <c r="V23" s="5" t="n"/>
      <c r="W23" s="5" t="n"/>
      <c r="X23">
        <f>COUNTA(R23:W23)</f>
        <v/>
      </c>
      <c r="Y23">
        <f>IF(AND($X23&gt;0,ISNUMBER($M23)),$M23/$X23,"")</f>
        <v/>
      </c>
      <c r="Z23">
        <f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>
        <f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/>
      </c>
      <c r="AB23">
        <f>IF(ISNUMBER($M23),$M23,0)</f>
        <v/>
      </c>
      <c r="AD23" s="413">
        <f>IF($R23="",0,IF($AA23&gt;0,$AB23*SUMIF(⑳商品別1食労務費!$C$5:$C$124,$R23,⑳商品別1食労務費!$F$5:$F$124)/$AA23,$AB23/$X23))</f>
        <v/>
      </c>
      <c r="AE23" s="413">
        <f>IF($S23="",0,IF($AA23&gt;0,$AB23*SUMIF(⑳商品別1食労務費!$C$5:$C$124,$S23,⑳商品別1食労務費!$F$5:$F$124)/$AA23,$AB23/$X23))</f>
        <v/>
      </c>
      <c r="AF23" s="413">
        <f>IF($T23="",0,IF($AA23&gt;0,$AB23*SUMIF(⑳商品別1食労務費!$C$5:$C$124,$T23,⑳商品別1食労務費!$F$5:$F$124)/$AA23,$AB23/$X23))</f>
        <v/>
      </c>
      <c r="AG23" s="413">
        <f>IF($U23="",0,IF($AA23&gt;0,$AB23*SUMIF(⑳商品別1食労務費!$C$5:$C$124,$U23,⑳商品別1食労務費!$F$5:$F$124)/$AA23,$AB23/$X23))</f>
        <v/>
      </c>
      <c r="AH23" s="413">
        <f>IF($V23="",0,IF($AA23&gt;0,$AB23*SUMIF(⑳商品別1食労務費!$C$5:$C$124,$V23,⑳商品別1食労務費!$F$5:$F$124)/$AA23,$AB23/$X23))</f>
        <v/>
      </c>
      <c r="AI23" s="413">
        <f>IF($W23="",0,IF($AA23&gt;0,$AB23*SUMIF(⑳商品別1食労務費!$C$5:$C$124,$W23,⑳商品別1食労務費!$F$5:$F$124)/$AA23,$AB23/$X23))</f>
        <v/>
      </c>
    </row>
    <row r="24" ht="16" customHeight="1" s="438">
      <c r="A24" s="3" t="n">
        <v>20</v>
      </c>
      <c r="B24" s="4" t="inlineStr">
        <is>
          <t>釜製造</t>
        </is>
      </c>
      <c r="C24" s="5" t="inlineStr">
        <is>
          <t>湯種ロールパン</t>
        </is>
      </c>
      <c r="D24" s="411" t="n">
        <v>0.08055555555555556</v>
      </c>
      <c r="E24" s="411" t="n">
        <v>0.09444444444444444</v>
      </c>
      <c r="F24" s="6" t="n">
        <v>5</v>
      </c>
      <c r="G24" s="7" t="n">
        <v>15</v>
      </c>
      <c r="H24" s="7" t="n">
        <v>1</v>
      </c>
      <c r="I24" s="7" t="n">
        <v>16</v>
      </c>
      <c r="J24" s="7" t="n"/>
      <c r="K24" s="513">
        <f>IF(F24&gt;0,I24/(F24/60),0)</f>
        <v/>
      </c>
      <c r="L24" s="514">
        <f>IF(AND(ISNUMBER(F24),J24&gt;0),J24/(F24/60),"")</f>
        <v/>
      </c>
      <c r="M24" s="9">
        <f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513">
        <f>IF(I24&gt;0,M24/I24,"")</f>
        <v/>
      </c>
      <c r="O24" s="514">
        <f>IF(AND(J24&gt;0,ISNUMBER(M24)),M24/J24,"")</f>
        <v/>
      </c>
      <c r="P24" s="10" t="n"/>
      <c r="Q24" s="11" t="n"/>
      <c r="R24" s="5" t="inlineStr">
        <is>
          <t>全粒粉入り湯種ロール６個</t>
        </is>
      </c>
      <c r="S24" s="5" t="inlineStr">
        <is>
          <t>全粒粉入り湯種ロール３個</t>
        </is>
      </c>
      <c r="T24" s="5" t="inlineStr">
        <is>
          <t>Ｓ全粒粉入り湯種ロール６個</t>
        </is>
      </c>
      <c r="U24" s="5" t="n"/>
      <c r="V24" s="5" t="n"/>
      <c r="W24" s="5" t="n"/>
      <c r="X24">
        <f>COUNTA(R24:W24)</f>
        <v/>
      </c>
      <c r="Y24">
        <f>IF(AND($X24&gt;0,ISNUMBER($M24)),$M24/$X24,"")</f>
        <v/>
      </c>
      <c r="Z24">
        <f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>
        <f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/>
      </c>
      <c r="AB24">
        <f>IF(ISNUMBER($M24),$M24,0)</f>
        <v/>
      </c>
      <c r="AD24" s="413">
        <f>IF($R24="",0,IF($AA24&gt;0,$AB24*SUMIF(⑳商品別1食労務費!$C$5:$C$124,$R24,⑳商品別1食労務費!$F$5:$F$124)/$AA24,$AB24/$X24))</f>
        <v/>
      </c>
      <c r="AE24" s="413">
        <f>IF($S24="",0,IF($AA24&gt;0,$AB24*SUMIF(⑳商品別1食労務費!$C$5:$C$124,$S24,⑳商品別1食労務費!$F$5:$F$124)/$AA24,$AB24/$X24))</f>
        <v/>
      </c>
      <c r="AF24" s="413">
        <f>IF($T24="",0,IF($AA24&gt;0,$AB24*SUMIF(⑳商品別1食労務費!$C$5:$C$124,$T24,⑳商品別1食労務費!$F$5:$F$124)/$AA24,$AB24/$X24))</f>
        <v/>
      </c>
      <c r="AG24" s="413">
        <f>IF($U24="",0,IF($AA24&gt;0,$AB24*SUMIF(⑳商品別1食労務費!$C$5:$C$124,$U24,⑳商品別1食労務費!$F$5:$F$124)/$AA24,$AB24/$X24))</f>
        <v/>
      </c>
      <c r="AH24" s="413">
        <f>IF($V24="",0,IF($AA24&gt;0,$AB24*SUMIF(⑳商品別1食労務費!$C$5:$C$124,$V24,⑳商品別1食労務費!$F$5:$F$124)/$AA24,$AB24/$X24))</f>
        <v/>
      </c>
      <c r="AI24" s="413">
        <f>IF($W24="",0,IF($AA24&gt;0,$AB24*SUMIF(⑳商品別1食労務費!$C$5:$C$124,$W24,⑳商品別1食労務費!$F$5:$F$124)/$AA24,$AB24/$X24))</f>
        <v/>
      </c>
    </row>
    <row r="25" ht="16" customHeight="1" s="438">
      <c r="A25" s="3" t="n">
        <v>21</v>
      </c>
      <c r="B25" s="4" t="inlineStr">
        <is>
          <t>釜製造</t>
        </is>
      </c>
      <c r="C25" s="5" t="inlineStr">
        <is>
          <t>ホテルロール</t>
        </is>
      </c>
      <c r="D25" s="411" t="n">
        <v>0.09444444444444444</v>
      </c>
      <c r="E25" s="411" t="n">
        <v>0.1083333333333333</v>
      </c>
      <c r="F25" s="6" t="n">
        <v>5</v>
      </c>
      <c r="G25" s="7" t="n">
        <v>15</v>
      </c>
      <c r="H25" s="7" t="n">
        <v>1</v>
      </c>
      <c r="I25" s="7" t="n">
        <v>16</v>
      </c>
      <c r="J25" s="7" t="n"/>
      <c r="K25" s="513">
        <f>IF(F25&gt;0,I25/(F25/60),0)</f>
        <v/>
      </c>
      <c r="L25" s="514">
        <f>IF(AND(ISNUMBER(F25),J25&gt;0),J25/(F25/60),"")</f>
        <v/>
      </c>
      <c r="M25" s="9">
        <f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513">
        <f>IF(I25&gt;0,M25/I25,"")</f>
        <v/>
      </c>
      <c r="O25" s="514">
        <f>IF(AND(J25&gt;0,ISNUMBER(M25)),M25/J25,"")</f>
        <v/>
      </c>
      <c r="P25" s="10" t="n"/>
      <c r="Q25" s="11" t="n"/>
      <c r="R25" s="5" t="inlineStr">
        <is>
          <t>ふわもちホテルロール３個</t>
        </is>
      </c>
      <c r="S25" s="5" t="inlineStr">
        <is>
          <t>ふわもちホテルロール８個入</t>
        </is>
      </c>
      <c r="T25" s="5" t="inlineStr">
        <is>
          <t>ふわもちホテルロール１６個</t>
        </is>
      </c>
      <c r="U25" s="5" t="inlineStr">
        <is>
          <t>Ｓふわもちホテルロール８個</t>
        </is>
      </c>
      <c r="V25" s="5" t="inlineStr">
        <is>
          <t>Ｓふわもちホテルロール１６</t>
        </is>
      </c>
      <c r="W25" s="5" t="inlineStr">
        <is>
          <t>ホテルロールＫＩＴ　４０個</t>
        </is>
      </c>
      <c r="X25">
        <f>COUNTA(R25:W25)</f>
        <v/>
      </c>
      <c r="Y25">
        <f>IF(AND($X25&gt;0,ISNUMBER($M25)),$M25/$X25,"")</f>
        <v/>
      </c>
      <c r="Z25">
        <f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>
        <f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/>
      </c>
      <c r="AB25">
        <f>IF(ISNUMBER($M25),$M25,0)</f>
        <v/>
      </c>
      <c r="AD25" s="413">
        <f>IF($R25="",0,IF($AA25&gt;0,$AB25*SUMIF(⑳商品別1食労務費!$C$5:$C$124,$R25,⑳商品別1食労務費!$F$5:$F$124)/$AA25,$AB25/$X25))</f>
        <v/>
      </c>
      <c r="AE25" s="413">
        <f>IF($S25="",0,IF($AA25&gt;0,$AB25*SUMIF(⑳商品別1食労務費!$C$5:$C$124,$S25,⑳商品別1食労務費!$F$5:$F$124)/$AA25,$AB25/$X25))</f>
        <v/>
      </c>
      <c r="AF25" s="413">
        <f>IF($T25="",0,IF($AA25&gt;0,$AB25*SUMIF(⑳商品別1食労務費!$C$5:$C$124,$T25,⑳商品別1食労務費!$F$5:$F$124)/$AA25,$AB25/$X25))</f>
        <v/>
      </c>
      <c r="AG25" s="413">
        <f>IF($U25="",0,IF($AA25&gt;0,$AB25*SUMIF(⑳商品別1食労務費!$C$5:$C$124,$U25,⑳商品別1食労務費!$F$5:$F$124)/$AA25,$AB25/$X25))</f>
        <v/>
      </c>
      <c r="AH25" s="413">
        <f>IF($V25="",0,IF($AA25&gt;0,$AB25*SUMIF(⑳商品別1食労務費!$C$5:$C$124,$V25,⑳商品別1食労務費!$F$5:$F$124)/$AA25,$AB25/$X25))</f>
        <v/>
      </c>
      <c r="AI25" s="413">
        <f>IF($W25="",0,IF($AA25&gt;0,$AB25*SUMIF(⑳商品別1食労務費!$C$5:$C$124,$W25,⑳商品別1食労務費!$F$5:$F$124)/$AA25,$AB25/$X25))</f>
        <v/>
      </c>
    </row>
    <row r="26" ht="16" customHeight="1" s="438">
      <c r="A26" s="3" t="n">
        <v>22</v>
      </c>
      <c r="B26" s="4" t="inlineStr">
        <is>
          <t>釜製造</t>
        </is>
      </c>
      <c r="C26" s="5" t="inlineStr">
        <is>
          <t>ホテルロール</t>
        </is>
      </c>
      <c r="D26" s="411" t="n">
        <v>0.1083333333333333</v>
      </c>
      <c r="E26" s="411" t="n">
        <v>0.1222222222222222</v>
      </c>
      <c r="F26" s="6" t="n">
        <v>5</v>
      </c>
      <c r="G26" s="7" t="n">
        <v>15</v>
      </c>
      <c r="H26" s="7" t="n">
        <v>1</v>
      </c>
      <c r="I26" s="7" t="n">
        <v>16</v>
      </c>
      <c r="J26" s="7" t="n"/>
      <c r="K26" s="513">
        <f>IF(F26&gt;0,I26/(F26/60),0)</f>
        <v/>
      </c>
      <c r="L26" s="514">
        <f>IF(AND(ISNUMBER(F26),J26&gt;0),J26/(F26/60),"")</f>
        <v/>
      </c>
      <c r="M26" s="9">
        <f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513">
        <f>IF(I26&gt;0,M26/I26,"")</f>
        <v/>
      </c>
      <c r="O26" s="514">
        <f>IF(AND(J26&gt;0,ISNUMBER(M26)),M26/J26,"")</f>
        <v/>
      </c>
      <c r="P26" s="10" t="n"/>
      <c r="Q26" s="11" t="n"/>
      <c r="R26" s="5" t="inlineStr">
        <is>
          <t>ふわもちホテルロール３個</t>
        </is>
      </c>
      <c r="S26" s="5" t="inlineStr">
        <is>
          <t>ふわもちホテルロール８個入</t>
        </is>
      </c>
      <c r="T26" s="5" t="inlineStr">
        <is>
          <t>ふわもちホテルロール１６個</t>
        </is>
      </c>
      <c r="U26" s="5" t="inlineStr">
        <is>
          <t>Ｓふわもちホテルロール８個</t>
        </is>
      </c>
      <c r="V26" s="5" t="inlineStr">
        <is>
          <t>Ｓふわもちホテルロール１６</t>
        </is>
      </c>
      <c r="W26" s="5" t="inlineStr">
        <is>
          <t>ホテルロールＫＩＴ　４０個</t>
        </is>
      </c>
      <c r="X26">
        <f>COUNTA(R26:W26)</f>
        <v/>
      </c>
      <c r="Y26">
        <f>IF(AND($X26&gt;0,ISNUMBER($M26)),$M26/$X26,"")</f>
        <v/>
      </c>
      <c r="Z26">
        <f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>
        <f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/>
      </c>
      <c r="AB26">
        <f>IF(ISNUMBER($M26),$M26,0)</f>
        <v/>
      </c>
      <c r="AD26" s="413">
        <f>IF($R26="",0,IF($AA26&gt;0,$AB26*SUMIF(⑳商品別1食労務費!$C$5:$C$124,$R26,⑳商品別1食労務費!$F$5:$F$124)/$AA26,$AB26/$X26))</f>
        <v/>
      </c>
      <c r="AE26" s="413">
        <f>IF($S26="",0,IF($AA26&gt;0,$AB26*SUMIF(⑳商品別1食労務費!$C$5:$C$124,$S26,⑳商品別1食労務費!$F$5:$F$124)/$AA26,$AB26/$X26))</f>
        <v/>
      </c>
      <c r="AF26" s="413">
        <f>IF($T26="",0,IF($AA26&gt;0,$AB26*SUMIF(⑳商品別1食労務費!$C$5:$C$124,$T26,⑳商品別1食労務費!$F$5:$F$124)/$AA26,$AB26/$X26))</f>
        <v/>
      </c>
      <c r="AG26" s="413">
        <f>IF($U26="",0,IF($AA26&gt;0,$AB26*SUMIF(⑳商品別1食労務費!$C$5:$C$124,$U26,⑳商品別1食労務費!$F$5:$F$124)/$AA26,$AB26/$X26))</f>
        <v/>
      </c>
      <c r="AH26" s="413">
        <f>IF($V26="",0,IF($AA26&gt;0,$AB26*SUMIF(⑳商品別1食労務費!$C$5:$C$124,$V26,⑳商品別1食労務費!$F$5:$F$124)/$AA26,$AB26/$X26))</f>
        <v/>
      </c>
      <c r="AI26" s="413">
        <f>IF($W26="",0,IF($AA26&gt;0,$AB26*SUMIF(⑳商品別1食労務費!$C$5:$C$124,$W26,⑳商品別1食労務費!$F$5:$F$124)/$AA26,$AB26/$X26))</f>
        <v/>
      </c>
    </row>
    <row r="27" ht="16" customHeight="1" s="438">
      <c r="A27" s="12" t="n">
        <v>23</v>
      </c>
      <c r="B27" s="13" t="inlineStr">
        <is>
          <t>釜製造</t>
        </is>
      </c>
      <c r="C27" s="5" t="inlineStr">
        <is>
          <t>ホテルロール</t>
        </is>
      </c>
      <c r="D27" s="411" t="n">
        <v>0.1222222222222222</v>
      </c>
      <c r="E27" s="411" t="n">
        <v>0.1361111111111111</v>
      </c>
      <c r="F27" s="14" t="n">
        <v>5</v>
      </c>
      <c r="G27" s="12" t="n">
        <v>15</v>
      </c>
      <c r="H27" s="12" t="n">
        <v>1</v>
      </c>
      <c r="I27" s="12" t="n">
        <v>16</v>
      </c>
      <c r="J27" s="12" t="n"/>
      <c r="K27" s="12" t="inlineStr">
        <is>
          <t>-</t>
        </is>
      </c>
      <c r="L27" s="515">
        <f>IF(AND(ISNUMBER(F27),J27&gt;0),J27/(F27/60),"")</f>
        <v/>
      </c>
      <c r="M27" s="12">
        <f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12" t="inlineStr">
        <is>
          <t>-</t>
        </is>
      </c>
      <c r="O27" s="515">
        <f>IF(AND(J27&gt;0,ISNUMBER(M27)),M27/J27,"")</f>
        <v/>
      </c>
      <c r="P27" s="15" t="n"/>
      <c r="Q27" s="16" t="n"/>
      <c r="R27" s="5" t="inlineStr">
        <is>
          <t>ふわもちホテルロール３個</t>
        </is>
      </c>
      <c r="S27" s="5" t="inlineStr">
        <is>
          <t>ふわもちホテルロール８個入</t>
        </is>
      </c>
      <c r="T27" s="5" t="inlineStr">
        <is>
          <t>ふわもちホテルロール１６個</t>
        </is>
      </c>
      <c r="U27" s="5" t="inlineStr">
        <is>
          <t>Ｓふわもちホテルロール８個</t>
        </is>
      </c>
      <c r="V27" s="5" t="inlineStr">
        <is>
          <t>Ｓふわもちホテルロール１６</t>
        </is>
      </c>
      <c r="W27" s="5" t="inlineStr">
        <is>
          <t>ホテルロールＫＩＴ　４０個</t>
        </is>
      </c>
      <c r="X27">
        <f>COUNTA(R27:W27)</f>
        <v/>
      </c>
      <c r="Y27">
        <f>IF(AND($X27&gt;0,ISNUMBER($M27)),$M27/$X27,"")</f>
        <v/>
      </c>
      <c r="Z27">
        <f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>
        <f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/>
      </c>
      <c r="AB27">
        <f>IF(ISNUMBER($M27),$M27,0)</f>
        <v/>
      </c>
      <c r="AD27" s="413">
        <f>IF($R27="",0,IF($AA27&gt;0,$AB27*SUMIF(⑳商品別1食労務費!$C$5:$C$124,$R27,⑳商品別1食労務費!$F$5:$F$124)/$AA27,$AB27/$X27))</f>
        <v/>
      </c>
      <c r="AE27" s="413">
        <f>IF($S27="",0,IF($AA27&gt;0,$AB27*SUMIF(⑳商品別1食労務費!$C$5:$C$124,$S27,⑳商品別1食労務費!$F$5:$F$124)/$AA27,$AB27/$X27))</f>
        <v/>
      </c>
      <c r="AF27" s="413">
        <f>IF($T27="",0,IF($AA27&gt;0,$AB27*SUMIF(⑳商品別1食労務費!$C$5:$C$124,$T27,⑳商品別1食労務費!$F$5:$F$124)/$AA27,$AB27/$X27))</f>
        <v/>
      </c>
      <c r="AG27" s="413">
        <f>IF($U27="",0,IF($AA27&gt;0,$AB27*SUMIF(⑳商品別1食労務費!$C$5:$C$124,$U27,⑳商品別1食労務費!$F$5:$F$124)/$AA27,$AB27/$X27))</f>
        <v/>
      </c>
      <c r="AH27" s="413">
        <f>IF($V27="",0,IF($AA27&gt;0,$AB27*SUMIF(⑳商品別1食労務費!$C$5:$C$124,$V27,⑳商品別1食労務費!$F$5:$F$124)/$AA27,$AB27/$X27))</f>
        <v/>
      </c>
      <c r="AI27" s="413">
        <f>IF($W27="",0,IF($AA27&gt;0,$AB27*SUMIF(⑳商品別1食労務費!$C$5:$C$124,$W27,⑳商品別1食労務費!$F$5:$F$124)/$AA27,$AB27/$X27))</f>
        <v/>
      </c>
    </row>
    <row r="28" ht="16" customHeight="1" s="438">
      <c r="A28" s="3" t="n">
        <v>24</v>
      </c>
      <c r="B28" s="4" t="inlineStr">
        <is>
          <t>釜製造</t>
        </is>
      </c>
      <c r="C28" s="5" t="inlineStr">
        <is>
          <t>ホテルロール</t>
        </is>
      </c>
      <c r="D28" s="411" t="n">
        <v>0.1361111111111111</v>
      </c>
      <c r="E28" s="411" t="n">
        <v>0.15</v>
      </c>
      <c r="F28" s="6" t="n">
        <v>5</v>
      </c>
      <c r="G28" s="7" t="n">
        <v>15</v>
      </c>
      <c r="H28" s="7" t="n">
        <v>1</v>
      </c>
      <c r="I28" s="7" t="n">
        <v>16</v>
      </c>
      <c r="J28" s="7" t="n"/>
      <c r="K28" s="513">
        <f>IF(F28&gt;0,I28/(F28/60),0)</f>
        <v/>
      </c>
      <c r="L28" s="514">
        <f>IF(AND(ISNUMBER(F28),J28&gt;0),J28/(F28/60),"")</f>
        <v/>
      </c>
      <c r="M28" s="9">
        <f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513">
        <f>IF(I28&gt;0,M28/I28,"")</f>
        <v/>
      </c>
      <c r="O28" s="514">
        <f>IF(AND(J28&gt;0,ISNUMBER(M28)),M28/J28,"")</f>
        <v/>
      </c>
      <c r="P28" s="10" t="n"/>
      <c r="Q28" s="11" t="n"/>
      <c r="R28" s="5" t="inlineStr">
        <is>
          <t>ふわもちホテルロール３個</t>
        </is>
      </c>
      <c r="S28" s="5" t="inlineStr">
        <is>
          <t>ふわもちホテルロール８個入</t>
        </is>
      </c>
      <c r="T28" s="5" t="inlineStr">
        <is>
          <t>ふわもちホテルロール１６個</t>
        </is>
      </c>
      <c r="U28" s="5" t="inlineStr">
        <is>
          <t>Ｓふわもちホテルロール８個</t>
        </is>
      </c>
      <c r="V28" s="5" t="inlineStr">
        <is>
          <t>Ｓふわもちホテルロール１６</t>
        </is>
      </c>
      <c r="W28" s="5" t="inlineStr">
        <is>
          <t>ホテルロールＫＩＴ　４０個</t>
        </is>
      </c>
      <c r="X28">
        <f>COUNTA(R28:W28)</f>
        <v/>
      </c>
      <c r="Y28">
        <f>IF(AND($X28&gt;0,ISNUMBER($M28)),$M28/$X28,"")</f>
        <v/>
      </c>
      <c r="Z28">
        <f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>
        <f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/>
      </c>
      <c r="AB28">
        <f>IF(ISNUMBER($M28),$M28,0)</f>
        <v/>
      </c>
      <c r="AD28" s="413">
        <f>IF($R28="",0,IF($AA28&gt;0,$AB28*SUMIF(⑳商品別1食労務費!$C$5:$C$124,$R28,⑳商品別1食労務費!$F$5:$F$124)/$AA28,$AB28/$X28))</f>
        <v/>
      </c>
      <c r="AE28" s="413">
        <f>IF($S28="",0,IF($AA28&gt;0,$AB28*SUMIF(⑳商品別1食労務費!$C$5:$C$124,$S28,⑳商品別1食労務費!$F$5:$F$124)/$AA28,$AB28/$X28))</f>
        <v/>
      </c>
      <c r="AF28" s="413">
        <f>IF($T28="",0,IF($AA28&gt;0,$AB28*SUMIF(⑳商品別1食労務費!$C$5:$C$124,$T28,⑳商品別1食労務費!$F$5:$F$124)/$AA28,$AB28/$X28))</f>
        <v/>
      </c>
      <c r="AG28" s="413">
        <f>IF($U28="",0,IF($AA28&gt;0,$AB28*SUMIF(⑳商品別1食労務費!$C$5:$C$124,$U28,⑳商品別1食労務費!$F$5:$F$124)/$AA28,$AB28/$X28))</f>
        <v/>
      </c>
      <c r="AH28" s="413">
        <f>IF($V28="",0,IF($AA28&gt;0,$AB28*SUMIF(⑳商品別1食労務費!$C$5:$C$124,$V28,⑳商品別1食労務費!$F$5:$F$124)/$AA28,$AB28/$X28))</f>
        <v/>
      </c>
      <c r="AI28" s="413">
        <f>IF($W28="",0,IF($AA28&gt;0,$AB28*SUMIF(⑳商品別1食労務費!$C$5:$C$124,$W28,⑳商品別1食労務費!$F$5:$F$124)/$AA28,$AB28/$X28))</f>
        <v/>
      </c>
    </row>
    <row r="29" ht="16" customHeight="1" s="438">
      <c r="A29" s="17" t="n">
        <v>25</v>
      </c>
      <c r="B29" s="18" t="inlineStr">
        <is>
          <t>釜製造</t>
        </is>
      </c>
      <c r="C29" s="5" t="inlineStr">
        <is>
          <t>ホテルロール</t>
        </is>
      </c>
      <c r="D29" s="411" t="n">
        <v>0.15</v>
      </c>
      <c r="E29" s="411" t="n">
        <v>0.1638888888888889</v>
      </c>
      <c r="F29" s="19" t="n">
        <v>5</v>
      </c>
      <c r="G29" s="7" t="n">
        <v>15</v>
      </c>
      <c r="H29" s="7" t="n">
        <v>1</v>
      </c>
      <c r="I29" s="7" t="n">
        <v>16</v>
      </c>
      <c r="J29" s="7" t="n"/>
      <c r="K29" s="513">
        <f>IF(F29&gt;0,I29/(F29/60),0)</f>
        <v/>
      </c>
      <c r="L29" s="514">
        <f>IF(AND(ISNUMBER(F29),J29&gt;0),J29/(F29/60),"")</f>
        <v/>
      </c>
      <c r="M29" s="9">
        <f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513">
        <f>IF(I29&gt;0,M29/I29,"")</f>
        <v/>
      </c>
      <c r="O29" s="514">
        <f>IF(AND(J29&gt;0,ISNUMBER(M29)),M29/J29,"")</f>
        <v/>
      </c>
      <c r="P29" s="20" t="n"/>
      <c r="Q29" s="21" t="n"/>
      <c r="R29" s="5" t="inlineStr">
        <is>
          <t>ふわもちホテルロール３個</t>
        </is>
      </c>
      <c r="S29" s="5" t="inlineStr">
        <is>
          <t>ふわもちホテルロール８個入</t>
        </is>
      </c>
      <c r="T29" s="5" t="inlineStr">
        <is>
          <t>ふわもちホテルロール１６個</t>
        </is>
      </c>
      <c r="U29" s="5" t="inlineStr">
        <is>
          <t>Ｓふわもちホテルロール８個</t>
        </is>
      </c>
      <c r="V29" s="5" t="inlineStr">
        <is>
          <t>Ｓふわもちホテルロール１６</t>
        </is>
      </c>
      <c r="W29" s="5" t="inlineStr">
        <is>
          <t>ホテルロールＫＩＴ　４０個</t>
        </is>
      </c>
      <c r="X29">
        <f>COUNTA(R29:W29)</f>
        <v/>
      </c>
      <c r="Y29">
        <f>IF(AND($X29&gt;0,ISNUMBER($M29)),$M29/$X29,"")</f>
        <v/>
      </c>
      <c r="Z29">
        <f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>
        <f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/>
      </c>
      <c r="AB29">
        <f>IF(ISNUMBER($M29),$M29,0)</f>
        <v/>
      </c>
      <c r="AD29" s="413">
        <f>IF($R29="",0,IF($AA29&gt;0,$AB29*SUMIF(⑳商品別1食労務費!$C$5:$C$124,$R29,⑳商品別1食労務費!$F$5:$F$124)/$AA29,$AB29/$X29))</f>
        <v/>
      </c>
      <c r="AE29" s="413">
        <f>IF($S29="",0,IF($AA29&gt;0,$AB29*SUMIF(⑳商品別1食労務費!$C$5:$C$124,$S29,⑳商品別1食労務費!$F$5:$F$124)/$AA29,$AB29/$X29))</f>
        <v/>
      </c>
      <c r="AF29" s="413">
        <f>IF($T29="",0,IF($AA29&gt;0,$AB29*SUMIF(⑳商品別1食労務費!$C$5:$C$124,$T29,⑳商品別1食労務費!$F$5:$F$124)/$AA29,$AB29/$X29))</f>
        <v/>
      </c>
      <c r="AG29" s="413">
        <f>IF($U29="",0,IF($AA29&gt;0,$AB29*SUMIF(⑳商品別1食労務費!$C$5:$C$124,$U29,⑳商品別1食労務費!$F$5:$F$124)/$AA29,$AB29/$X29))</f>
        <v/>
      </c>
      <c r="AH29" s="413">
        <f>IF($V29="",0,IF($AA29&gt;0,$AB29*SUMIF(⑳商品別1食労務費!$C$5:$C$124,$V29,⑳商品別1食労務費!$F$5:$F$124)/$AA29,$AB29/$X29))</f>
        <v/>
      </c>
      <c r="AI29" s="413">
        <f>IF($W29="",0,IF($AA29&gt;0,$AB29*SUMIF(⑳商品別1食労務費!$C$5:$C$124,$W29,⑳商品別1食労務費!$F$5:$F$124)/$AA29,$AB29/$X29))</f>
        <v/>
      </c>
    </row>
    <row r="30" ht="16" customHeight="1" s="438">
      <c r="A30" s="17" t="n">
        <v>26</v>
      </c>
      <c r="B30" s="18" t="inlineStr">
        <is>
          <t>釜製造</t>
        </is>
      </c>
      <c r="C30" s="5" t="inlineStr">
        <is>
          <t>ホテルロール</t>
        </is>
      </c>
      <c r="D30" s="411" t="n">
        <v>0.1638888888888889</v>
      </c>
      <c r="E30" s="411" t="n">
        <v>0.1777777777777778</v>
      </c>
      <c r="F30" s="19" t="n">
        <v>5</v>
      </c>
      <c r="G30" s="7" t="n">
        <v>15</v>
      </c>
      <c r="H30" s="7" t="n">
        <v>1</v>
      </c>
      <c r="I30" s="7" t="n">
        <v>16</v>
      </c>
      <c r="J30" s="7" t="n"/>
      <c r="K30" s="513">
        <f>IF(F30&gt;0,I30/(F30/60),0)</f>
        <v/>
      </c>
      <c r="L30" s="514">
        <f>IF(AND(ISNUMBER(F30),J30&gt;0),J30/(F30/60),"")</f>
        <v/>
      </c>
      <c r="M30" s="9">
        <f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513">
        <f>IF(I30&gt;0,M30/I30,"")</f>
        <v/>
      </c>
      <c r="O30" s="514">
        <f>IF(AND(J30&gt;0,ISNUMBER(M30)),M30/J30,"")</f>
        <v/>
      </c>
      <c r="P30" s="20" t="n"/>
      <c r="Q30" s="21" t="n"/>
      <c r="R30" s="5" t="inlineStr">
        <is>
          <t>ふわもちホテルロール３個</t>
        </is>
      </c>
      <c r="S30" s="5" t="inlineStr">
        <is>
          <t>ふわもちホテルロール８個入</t>
        </is>
      </c>
      <c r="T30" s="5" t="inlineStr">
        <is>
          <t>ふわもちホテルロール１６個</t>
        </is>
      </c>
      <c r="U30" s="5" t="inlineStr">
        <is>
          <t>Ｓふわもちホテルロール８個</t>
        </is>
      </c>
      <c r="V30" s="5" t="inlineStr">
        <is>
          <t>Ｓふわもちホテルロール１６</t>
        </is>
      </c>
      <c r="W30" s="5" t="inlineStr">
        <is>
          <t>ホテルロールＫＩＴ　４０個</t>
        </is>
      </c>
      <c r="X30">
        <f>COUNTA(R30:W30)</f>
        <v/>
      </c>
      <c r="Y30">
        <f>IF(AND($X30&gt;0,ISNUMBER($M30)),$M30/$X30,"")</f>
        <v/>
      </c>
      <c r="Z30">
        <f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>
        <f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/>
      </c>
      <c r="AB30">
        <f>IF(ISNUMBER($M30),$M30,0)</f>
        <v/>
      </c>
      <c r="AD30" s="413">
        <f>IF($R30="",0,IF($AA30&gt;0,$AB30*SUMIF(⑳商品別1食労務費!$C$5:$C$124,$R30,⑳商品別1食労務費!$F$5:$F$124)/$AA30,$AB30/$X30))</f>
        <v/>
      </c>
      <c r="AE30" s="413">
        <f>IF($S30="",0,IF($AA30&gt;0,$AB30*SUMIF(⑳商品別1食労務費!$C$5:$C$124,$S30,⑳商品別1食労務費!$F$5:$F$124)/$AA30,$AB30/$X30))</f>
        <v/>
      </c>
      <c r="AF30" s="413">
        <f>IF($T30="",0,IF($AA30&gt;0,$AB30*SUMIF(⑳商品別1食労務費!$C$5:$C$124,$T30,⑳商品別1食労務費!$F$5:$F$124)/$AA30,$AB30/$X30))</f>
        <v/>
      </c>
      <c r="AG30" s="413">
        <f>IF($U30="",0,IF($AA30&gt;0,$AB30*SUMIF(⑳商品別1食労務費!$C$5:$C$124,$U30,⑳商品別1食労務費!$F$5:$F$124)/$AA30,$AB30/$X30))</f>
        <v/>
      </c>
      <c r="AH30" s="413">
        <f>IF($V30="",0,IF($AA30&gt;0,$AB30*SUMIF(⑳商品別1食労務費!$C$5:$C$124,$V30,⑳商品別1食労務費!$F$5:$F$124)/$AA30,$AB30/$X30))</f>
        <v/>
      </c>
      <c r="AI30" s="413">
        <f>IF($W30="",0,IF($AA30&gt;0,$AB30*SUMIF(⑳商品別1食労務費!$C$5:$C$124,$W30,⑳商品別1食労務費!$F$5:$F$124)/$AA30,$AB30/$X30))</f>
        <v/>
      </c>
    </row>
    <row r="31" ht="16" customHeight="1" s="438">
      <c r="A31" s="17" t="n">
        <v>27</v>
      </c>
      <c r="B31" s="18" t="inlineStr">
        <is>
          <t>釜製造</t>
        </is>
      </c>
      <c r="C31" s="5" t="inlineStr">
        <is>
          <t>ホテルロール</t>
        </is>
      </c>
      <c r="D31" s="411" t="n">
        <v>0.1777777777777778</v>
      </c>
      <c r="E31" s="411" t="n">
        <v>0.1916666666666667</v>
      </c>
      <c r="F31" s="19" t="n">
        <v>5</v>
      </c>
      <c r="G31" s="7" t="n">
        <v>15</v>
      </c>
      <c r="H31" s="7" t="n">
        <v>1</v>
      </c>
      <c r="I31" s="7" t="n">
        <v>16</v>
      </c>
      <c r="J31" s="7" t="n"/>
      <c r="K31" s="513">
        <f>IF(F31&gt;0,I31/(F31/60),0)</f>
        <v/>
      </c>
      <c r="L31" s="514">
        <f>IF(AND(ISNUMBER(F31),J31&gt;0),J31/(F31/60),"")</f>
        <v/>
      </c>
      <c r="M31" s="9">
        <f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513">
        <f>IF(I31&gt;0,M31/I31,"")</f>
        <v/>
      </c>
      <c r="O31" s="514">
        <f>IF(AND(J31&gt;0,ISNUMBER(M31)),M31/J31,"")</f>
        <v/>
      </c>
      <c r="P31" s="20" t="n"/>
      <c r="Q31" s="21" t="n"/>
      <c r="R31" s="5" t="inlineStr">
        <is>
          <t>ふわもちホテルロール３個</t>
        </is>
      </c>
      <c r="S31" s="5" t="inlineStr">
        <is>
          <t>ふわもちホテルロール８個入</t>
        </is>
      </c>
      <c r="T31" s="5" t="inlineStr">
        <is>
          <t>ふわもちホテルロール１６個</t>
        </is>
      </c>
      <c r="U31" s="5" t="inlineStr">
        <is>
          <t>Ｓふわもちホテルロール８個</t>
        </is>
      </c>
      <c r="V31" s="5" t="inlineStr">
        <is>
          <t>Ｓふわもちホテルロール１６</t>
        </is>
      </c>
      <c r="W31" s="5" t="inlineStr">
        <is>
          <t>ホテルロールＫＩＴ　４０個</t>
        </is>
      </c>
      <c r="X31">
        <f>COUNTA(R31:W31)</f>
        <v/>
      </c>
      <c r="Y31">
        <f>IF(AND($X31&gt;0,ISNUMBER($M31)),$M31/$X31,"")</f>
        <v/>
      </c>
      <c r="Z31">
        <f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>
        <f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/>
      </c>
      <c r="AB31">
        <f>IF(ISNUMBER($M31),$M31,0)</f>
        <v/>
      </c>
      <c r="AD31" s="413">
        <f>IF($R31="",0,IF($AA31&gt;0,$AB31*SUMIF(⑳商品別1食労務費!$C$5:$C$124,$R31,⑳商品別1食労務費!$F$5:$F$124)/$AA31,$AB31/$X31))</f>
        <v/>
      </c>
      <c r="AE31" s="413">
        <f>IF($S31="",0,IF($AA31&gt;0,$AB31*SUMIF(⑳商品別1食労務費!$C$5:$C$124,$S31,⑳商品別1食労務費!$F$5:$F$124)/$AA31,$AB31/$X31))</f>
        <v/>
      </c>
      <c r="AF31" s="413">
        <f>IF($T31="",0,IF($AA31&gt;0,$AB31*SUMIF(⑳商品別1食労務費!$C$5:$C$124,$T31,⑳商品別1食労務費!$F$5:$F$124)/$AA31,$AB31/$X31))</f>
        <v/>
      </c>
      <c r="AG31" s="413">
        <f>IF($U31="",0,IF($AA31&gt;0,$AB31*SUMIF(⑳商品別1食労務費!$C$5:$C$124,$U31,⑳商品別1食労務費!$F$5:$F$124)/$AA31,$AB31/$X31))</f>
        <v/>
      </c>
      <c r="AH31" s="413">
        <f>IF($V31="",0,IF($AA31&gt;0,$AB31*SUMIF(⑳商品別1食労務費!$C$5:$C$124,$V31,⑳商品別1食労務費!$F$5:$F$124)/$AA31,$AB31/$X31))</f>
        <v/>
      </c>
      <c r="AI31" s="413">
        <f>IF($W31="",0,IF($AA31&gt;0,$AB31*SUMIF(⑳商品別1食労務費!$C$5:$C$124,$W31,⑳商品別1食労務費!$F$5:$F$124)/$AA31,$AB31/$X31))</f>
        <v/>
      </c>
    </row>
    <row r="32" ht="16" customHeight="1" s="438">
      <c r="A32" s="17" t="n">
        <v>28</v>
      </c>
      <c r="B32" s="18" t="inlineStr">
        <is>
          <t>釜製造</t>
        </is>
      </c>
      <c r="C32" s="5" t="inlineStr">
        <is>
          <t>ホテルロール</t>
        </is>
      </c>
      <c r="D32" s="411" t="n">
        <v>0.1916666666666667</v>
      </c>
      <c r="E32" s="411" t="n">
        <v>0.2055555555555555</v>
      </c>
      <c r="F32" s="19" t="n">
        <v>5</v>
      </c>
      <c r="G32" s="7" t="n">
        <v>15</v>
      </c>
      <c r="H32" s="7" t="n">
        <v>1</v>
      </c>
      <c r="I32" s="7" t="n">
        <v>16</v>
      </c>
      <c r="J32" s="7" t="n"/>
      <c r="K32" s="513">
        <f>IF(F32&gt;0,I32/(F32/60),0)</f>
        <v/>
      </c>
      <c r="L32" s="514">
        <f>IF(AND(ISNUMBER(F32),J32&gt;0),J32/(F32/60),"")</f>
        <v/>
      </c>
      <c r="M32" s="9">
        <f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513">
        <f>IF(I32&gt;0,M32/I32,"")</f>
        <v/>
      </c>
      <c r="O32" s="514">
        <f>IF(AND(J32&gt;0,ISNUMBER(M32)),M32/J32,"")</f>
        <v/>
      </c>
      <c r="P32" s="20" t="n"/>
      <c r="Q32" s="21" t="n"/>
      <c r="R32" s="5" t="inlineStr">
        <is>
          <t>ふわもちホテルロール３個</t>
        </is>
      </c>
      <c r="S32" s="5" t="inlineStr">
        <is>
          <t>ふわもちホテルロール８個入</t>
        </is>
      </c>
      <c r="T32" s="5" t="inlineStr">
        <is>
          <t>ふわもちホテルロール１６個</t>
        </is>
      </c>
      <c r="U32" s="5" t="inlineStr">
        <is>
          <t>Ｓふわもちホテルロール８個</t>
        </is>
      </c>
      <c r="V32" s="5" t="inlineStr">
        <is>
          <t>Ｓふわもちホテルロール１６</t>
        </is>
      </c>
      <c r="W32" s="5" t="inlineStr">
        <is>
          <t>ホテルロールＫＩＴ　４０個</t>
        </is>
      </c>
      <c r="X32">
        <f>COUNTA(R32:W32)</f>
        <v/>
      </c>
      <c r="Y32">
        <f>IF(AND($X32&gt;0,ISNUMBER($M32)),$M32/$X32,"")</f>
        <v/>
      </c>
      <c r="Z32">
        <f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>
        <f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/>
      </c>
      <c r="AB32">
        <f>IF(ISNUMBER($M32),$M32,0)</f>
        <v/>
      </c>
      <c r="AD32" s="413">
        <f>IF($R32="",0,IF($AA32&gt;0,$AB32*SUMIF(⑳商品別1食労務費!$C$5:$C$124,$R32,⑳商品別1食労務費!$F$5:$F$124)/$AA32,$AB32/$X32))</f>
        <v/>
      </c>
      <c r="AE32" s="413">
        <f>IF($S32="",0,IF($AA32&gt;0,$AB32*SUMIF(⑳商品別1食労務費!$C$5:$C$124,$S32,⑳商品別1食労務費!$F$5:$F$124)/$AA32,$AB32/$X32))</f>
        <v/>
      </c>
      <c r="AF32" s="413">
        <f>IF($T32="",0,IF($AA32&gt;0,$AB32*SUMIF(⑳商品別1食労務費!$C$5:$C$124,$T32,⑳商品別1食労務費!$F$5:$F$124)/$AA32,$AB32/$X32))</f>
        <v/>
      </c>
      <c r="AG32" s="413">
        <f>IF($U32="",0,IF($AA32&gt;0,$AB32*SUMIF(⑳商品別1食労務費!$C$5:$C$124,$U32,⑳商品別1食労務費!$F$5:$F$124)/$AA32,$AB32/$X32))</f>
        <v/>
      </c>
      <c r="AH32" s="413">
        <f>IF($V32="",0,IF($AA32&gt;0,$AB32*SUMIF(⑳商品別1食労務費!$C$5:$C$124,$V32,⑳商品別1食労務費!$F$5:$F$124)/$AA32,$AB32/$X32))</f>
        <v/>
      </c>
      <c r="AI32" s="413">
        <f>IF($W32="",0,IF($AA32&gt;0,$AB32*SUMIF(⑳商品別1食労務費!$C$5:$C$124,$W32,⑳商品別1食労務費!$F$5:$F$124)/$AA32,$AB32/$X32))</f>
        <v/>
      </c>
    </row>
    <row r="33" ht="16" customHeight="1" s="438">
      <c r="A33" s="17" t="n">
        <v>29</v>
      </c>
      <c r="B33" s="18" t="inlineStr">
        <is>
          <t>釜製造</t>
        </is>
      </c>
      <c r="C33" s="5" t="inlineStr">
        <is>
          <t>ホテルロール</t>
        </is>
      </c>
      <c r="D33" s="411" t="n">
        <v>0.2055555555555555</v>
      </c>
      <c r="E33" s="411" t="n">
        <v>0.2194444444444444</v>
      </c>
      <c r="F33" s="19" t="n">
        <v>5</v>
      </c>
      <c r="G33" s="7" t="n">
        <v>15</v>
      </c>
      <c r="H33" s="7" t="n">
        <v>1</v>
      </c>
      <c r="I33" s="7" t="n">
        <v>16</v>
      </c>
      <c r="J33" s="7" t="n"/>
      <c r="K33" s="513">
        <f>IF(F33&gt;0,I33/(F33/60),0)</f>
        <v/>
      </c>
      <c r="L33" s="514">
        <f>IF(AND(ISNUMBER(F33),J33&gt;0),J33/(F33/60),"")</f>
        <v/>
      </c>
      <c r="M33" s="9">
        <f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513">
        <f>IF(I33&gt;0,M33/I33,"")</f>
        <v/>
      </c>
      <c r="O33" s="514">
        <f>IF(AND(J33&gt;0,ISNUMBER(M33)),M33/J33,"")</f>
        <v/>
      </c>
      <c r="P33" s="20" t="n"/>
      <c r="Q33" s="21" t="n"/>
      <c r="R33" s="5" t="inlineStr">
        <is>
          <t>ふわもちホテルロール３個</t>
        </is>
      </c>
      <c r="S33" s="5" t="inlineStr">
        <is>
          <t>ふわもちホテルロール８個入</t>
        </is>
      </c>
      <c r="T33" s="5" t="inlineStr">
        <is>
          <t>ふわもちホテルロール１６個</t>
        </is>
      </c>
      <c r="U33" s="5" t="inlineStr">
        <is>
          <t>Ｓふわもちホテルロール８個</t>
        </is>
      </c>
      <c r="V33" s="5" t="inlineStr">
        <is>
          <t>Ｓふわもちホテルロール１６</t>
        </is>
      </c>
      <c r="W33" s="5" t="inlineStr">
        <is>
          <t>ホテルロールＫＩＴ　４０個</t>
        </is>
      </c>
      <c r="X33">
        <f>COUNTA(R33:W33)</f>
        <v/>
      </c>
      <c r="Y33">
        <f>IF(AND($X33&gt;0,ISNUMBER($M33)),$M33/$X33,"")</f>
        <v/>
      </c>
      <c r="Z33">
        <f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>
        <f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/>
      </c>
      <c r="AB33">
        <f>IF(ISNUMBER($M33),$M33,0)</f>
        <v/>
      </c>
      <c r="AD33" s="413">
        <f>IF($R33="",0,IF($AA33&gt;0,$AB33*SUMIF(⑳商品別1食労務費!$C$5:$C$124,$R33,⑳商品別1食労務費!$F$5:$F$124)/$AA33,$AB33/$X33))</f>
        <v/>
      </c>
      <c r="AE33" s="413">
        <f>IF($S33="",0,IF($AA33&gt;0,$AB33*SUMIF(⑳商品別1食労務費!$C$5:$C$124,$S33,⑳商品別1食労務費!$F$5:$F$124)/$AA33,$AB33/$X33))</f>
        <v/>
      </c>
      <c r="AF33" s="413">
        <f>IF($T33="",0,IF($AA33&gt;0,$AB33*SUMIF(⑳商品別1食労務費!$C$5:$C$124,$T33,⑳商品別1食労務費!$F$5:$F$124)/$AA33,$AB33/$X33))</f>
        <v/>
      </c>
      <c r="AG33" s="413">
        <f>IF($U33="",0,IF($AA33&gt;0,$AB33*SUMIF(⑳商品別1食労務費!$C$5:$C$124,$U33,⑳商品別1食労務費!$F$5:$F$124)/$AA33,$AB33/$X33))</f>
        <v/>
      </c>
      <c r="AH33" s="413">
        <f>IF($V33="",0,IF($AA33&gt;0,$AB33*SUMIF(⑳商品別1食労務費!$C$5:$C$124,$V33,⑳商品別1食労務費!$F$5:$F$124)/$AA33,$AB33/$X33))</f>
        <v/>
      </c>
      <c r="AI33" s="413">
        <f>IF($W33="",0,IF($AA33&gt;0,$AB33*SUMIF(⑳商品別1食労務費!$C$5:$C$124,$W33,⑳商品別1食労務費!$F$5:$F$124)/$AA33,$AB33/$X33))</f>
        <v/>
      </c>
    </row>
    <row r="34" ht="16" customHeight="1" s="438">
      <c r="A34" s="17" t="n">
        <v>30</v>
      </c>
      <c r="B34" s="18" t="inlineStr">
        <is>
          <t>釜製造</t>
        </is>
      </c>
      <c r="C34" s="5" t="inlineStr">
        <is>
          <t>ホテルロール</t>
        </is>
      </c>
      <c r="D34" s="411" t="n">
        <v>0.2194444444444444</v>
      </c>
      <c r="E34" s="411" t="n">
        <v>0.2333333333333333</v>
      </c>
      <c r="F34" s="19" t="n">
        <v>5</v>
      </c>
      <c r="G34" s="7" t="n">
        <v>15</v>
      </c>
      <c r="H34" s="7" t="n">
        <v>1</v>
      </c>
      <c r="I34" s="7" t="n">
        <v>16</v>
      </c>
      <c r="J34" s="7" t="n"/>
      <c r="K34" s="513">
        <f>IF(F34&gt;0,I34/(F34/60),0)</f>
        <v/>
      </c>
      <c r="L34" s="514">
        <f>IF(AND(ISNUMBER(F34),J34&gt;0),J34/(F34/60),"")</f>
        <v/>
      </c>
      <c r="M34" s="9">
        <f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513">
        <f>IF(I34&gt;0,M34/I34,"")</f>
        <v/>
      </c>
      <c r="O34" s="514">
        <f>IF(AND(J34&gt;0,ISNUMBER(M34)),M34/J34,"")</f>
        <v/>
      </c>
      <c r="P34" s="20" t="n"/>
      <c r="Q34" s="21" t="n"/>
      <c r="R34" s="5" t="inlineStr">
        <is>
          <t>ふわもちホテルロール３個</t>
        </is>
      </c>
      <c r="S34" s="5" t="inlineStr">
        <is>
          <t>ふわもちホテルロール８個入</t>
        </is>
      </c>
      <c r="T34" s="5" t="inlineStr">
        <is>
          <t>ふわもちホテルロール１６個</t>
        </is>
      </c>
      <c r="U34" s="5" t="inlineStr">
        <is>
          <t>Ｓふわもちホテルロール８個</t>
        </is>
      </c>
      <c r="V34" s="5" t="inlineStr">
        <is>
          <t>Ｓふわもちホテルロール１６</t>
        </is>
      </c>
      <c r="W34" s="5" t="inlineStr">
        <is>
          <t>ホテルロールＫＩＴ　４０個</t>
        </is>
      </c>
      <c r="X34">
        <f>COUNTA(R34:W34)</f>
        <v/>
      </c>
      <c r="Y34">
        <f>IF(AND($X34&gt;0,ISNUMBER($M34)),$M34/$X34,"")</f>
        <v/>
      </c>
      <c r="Z34">
        <f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>
        <f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/>
      </c>
      <c r="AB34">
        <f>IF(ISNUMBER($M34),$M34,0)</f>
        <v/>
      </c>
      <c r="AD34" s="413">
        <f>IF($R34="",0,IF($AA34&gt;0,$AB34*SUMIF(⑳商品別1食労務費!$C$5:$C$124,$R34,⑳商品別1食労務費!$F$5:$F$124)/$AA34,$AB34/$X34))</f>
        <v/>
      </c>
      <c r="AE34" s="413">
        <f>IF($S34="",0,IF($AA34&gt;0,$AB34*SUMIF(⑳商品別1食労務費!$C$5:$C$124,$S34,⑳商品別1食労務費!$F$5:$F$124)/$AA34,$AB34/$X34))</f>
        <v/>
      </c>
      <c r="AF34" s="413">
        <f>IF($T34="",0,IF($AA34&gt;0,$AB34*SUMIF(⑳商品別1食労務費!$C$5:$C$124,$T34,⑳商品別1食労務費!$F$5:$F$124)/$AA34,$AB34/$X34))</f>
        <v/>
      </c>
      <c r="AG34" s="413">
        <f>IF($U34="",0,IF($AA34&gt;0,$AB34*SUMIF(⑳商品別1食労務費!$C$5:$C$124,$U34,⑳商品別1食労務費!$F$5:$F$124)/$AA34,$AB34/$X34))</f>
        <v/>
      </c>
      <c r="AH34" s="413">
        <f>IF($V34="",0,IF($AA34&gt;0,$AB34*SUMIF(⑳商品別1食労務費!$C$5:$C$124,$V34,⑳商品別1食労務費!$F$5:$F$124)/$AA34,$AB34/$X34))</f>
        <v/>
      </c>
      <c r="AI34" s="413">
        <f>IF($W34="",0,IF($AA34&gt;0,$AB34*SUMIF(⑳商品別1食労務費!$C$5:$C$124,$W34,⑳商品別1食労務費!$F$5:$F$124)/$AA34,$AB34/$X34))</f>
        <v/>
      </c>
    </row>
    <row r="35" ht="16" customHeight="1" s="438">
      <c r="A35" s="17" t="n">
        <v>31</v>
      </c>
      <c r="B35" s="18" t="inlineStr">
        <is>
          <t>釜製造</t>
        </is>
      </c>
      <c r="C35" s="5" t="inlineStr">
        <is>
          <t>ホテルロール</t>
        </is>
      </c>
      <c r="D35" s="411" t="n">
        <v>0.2333333333333333</v>
      </c>
      <c r="E35" s="411" t="n">
        <v>0.2472222222222222</v>
      </c>
      <c r="F35" s="19" t="n">
        <v>5</v>
      </c>
      <c r="G35" s="7" t="n">
        <v>15</v>
      </c>
      <c r="H35" s="7" t="n">
        <v>1</v>
      </c>
      <c r="I35" s="7" t="n">
        <v>16</v>
      </c>
      <c r="J35" s="7" t="n"/>
      <c r="K35" s="513">
        <f>IF(F35&gt;0,I35/(F35/60),0)</f>
        <v/>
      </c>
      <c r="L35" s="514">
        <f>IF(AND(ISNUMBER(F35),J35&gt;0),J35/(F35/60),"")</f>
        <v/>
      </c>
      <c r="M35" s="9">
        <f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513">
        <f>IF(I35&gt;0,M35/I35,"")</f>
        <v/>
      </c>
      <c r="O35" s="514">
        <f>IF(AND(J35&gt;0,ISNUMBER(M35)),M35/J35,"")</f>
        <v/>
      </c>
      <c r="P35" s="20" t="n"/>
      <c r="Q35" s="21" t="n"/>
      <c r="R35" s="5" t="inlineStr">
        <is>
          <t>ふわもちホテルロール３個</t>
        </is>
      </c>
      <c r="S35" s="5" t="inlineStr">
        <is>
          <t>ふわもちホテルロール８個入</t>
        </is>
      </c>
      <c r="T35" s="5" t="inlineStr">
        <is>
          <t>ふわもちホテルロール１６個</t>
        </is>
      </c>
      <c r="U35" s="5" t="inlineStr">
        <is>
          <t>Ｓふわもちホテルロール８個</t>
        </is>
      </c>
      <c r="V35" s="5" t="inlineStr">
        <is>
          <t>Ｓふわもちホテルロール１６</t>
        </is>
      </c>
      <c r="W35" s="5" t="inlineStr">
        <is>
          <t>ホテルロールＫＩＴ　４０個</t>
        </is>
      </c>
      <c r="X35">
        <f>COUNTA(R35:W35)</f>
        <v/>
      </c>
      <c r="Y35">
        <f>IF(AND($X35&gt;0,ISNUMBER($M35)),$M35/$X35,"")</f>
        <v/>
      </c>
      <c r="Z35">
        <f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>
        <f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/>
      </c>
      <c r="AB35">
        <f>IF(ISNUMBER($M35),$M35,0)</f>
        <v/>
      </c>
      <c r="AD35" s="413">
        <f>IF($R35="",0,IF($AA35&gt;0,$AB35*SUMIF(⑳商品別1食労務費!$C$5:$C$124,$R35,⑳商品別1食労務費!$F$5:$F$124)/$AA35,$AB35/$X35))</f>
        <v/>
      </c>
      <c r="AE35" s="413">
        <f>IF($S35="",0,IF($AA35&gt;0,$AB35*SUMIF(⑳商品別1食労務費!$C$5:$C$124,$S35,⑳商品別1食労務費!$F$5:$F$124)/$AA35,$AB35/$X35))</f>
        <v/>
      </c>
      <c r="AF35" s="413">
        <f>IF($T35="",0,IF($AA35&gt;0,$AB35*SUMIF(⑳商品別1食労務費!$C$5:$C$124,$T35,⑳商品別1食労務費!$F$5:$F$124)/$AA35,$AB35/$X35))</f>
        <v/>
      </c>
      <c r="AG35" s="413">
        <f>IF($U35="",0,IF($AA35&gt;0,$AB35*SUMIF(⑳商品別1食労務費!$C$5:$C$124,$U35,⑳商品別1食労務費!$F$5:$F$124)/$AA35,$AB35/$X35))</f>
        <v/>
      </c>
      <c r="AH35" s="413">
        <f>IF($V35="",0,IF($AA35&gt;0,$AB35*SUMIF(⑳商品別1食労務費!$C$5:$C$124,$V35,⑳商品別1食労務費!$F$5:$F$124)/$AA35,$AB35/$X35))</f>
        <v/>
      </c>
      <c r="AI35" s="413">
        <f>IF($W35="",0,IF($AA35&gt;0,$AB35*SUMIF(⑳商品別1食労務費!$C$5:$C$124,$W35,⑳商品別1食労務費!$F$5:$F$124)/$AA35,$AB35/$X35))</f>
        <v/>
      </c>
    </row>
    <row r="36" ht="16" customHeight="1" s="438">
      <c r="A36" s="17" t="n">
        <v>32</v>
      </c>
      <c r="B36" s="18" t="inlineStr">
        <is>
          <t>釜製造</t>
        </is>
      </c>
      <c r="C36" s="5" t="inlineStr">
        <is>
          <t>ホテルロール</t>
        </is>
      </c>
      <c r="D36" s="411" t="n">
        <v>0.2472222222222222</v>
      </c>
      <c r="E36" s="411" t="n">
        <v>0.2611111111111111</v>
      </c>
      <c r="F36" s="19" t="n">
        <v>5</v>
      </c>
      <c r="G36" s="7" t="n">
        <v>15</v>
      </c>
      <c r="H36" s="7" t="n">
        <v>1</v>
      </c>
      <c r="I36" s="7" t="n">
        <v>16</v>
      </c>
      <c r="J36" s="7" t="n"/>
      <c r="K36" s="513">
        <f>IF(F36&gt;0,I36/(F36/60),0)</f>
        <v/>
      </c>
      <c r="L36" s="514">
        <f>IF(AND(ISNUMBER(F36),J36&gt;0),J36/(F36/60),"")</f>
        <v/>
      </c>
      <c r="M36" s="9">
        <f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513">
        <f>IF(I36&gt;0,M36/I36,"")</f>
        <v/>
      </c>
      <c r="O36" s="514">
        <f>IF(AND(J36&gt;0,ISNUMBER(M36)),M36/J36,"")</f>
        <v/>
      </c>
      <c r="P36" s="20" t="n"/>
      <c r="Q36" s="21" t="n"/>
      <c r="R36" s="5" t="inlineStr">
        <is>
          <t>ふわもちホテルロール３個</t>
        </is>
      </c>
      <c r="S36" s="5" t="inlineStr">
        <is>
          <t>ふわもちホテルロール８個入</t>
        </is>
      </c>
      <c r="T36" s="5" t="inlineStr">
        <is>
          <t>ふわもちホテルロール１６個</t>
        </is>
      </c>
      <c r="U36" s="5" t="inlineStr">
        <is>
          <t>Ｓふわもちホテルロール８個</t>
        </is>
      </c>
      <c r="V36" s="5" t="inlineStr">
        <is>
          <t>Ｓふわもちホテルロール１６</t>
        </is>
      </c>
      <c r="W36" s="5" t="inlineStr">
        <is>
          <t>ホテルロールＫＩＴ　４０個</t>
        </is>
      </c>
      <c r="X36">
        <f>COUNTA(R36:W36)</f>
        <v/>
      </c>
      <c r="Y36">
        <f>IF(AND($X36&gt;0,ISNUMBER($M36)),$M36/$X36,"")</f>
        <v/>
      </c>
      <c r="Z36">
        <f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/>
      </c>
      <c r="AA36">
        <f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/>
      </c>
      <c r="AB36">
        <f>IF(ISNUMBER($M36),$M36,0)</f>
        <v/>
      </c>
      <c r="AD36" s="413">
        <f>IF($R36="",0,IF($AA36&gt;0,$AB36*SUMIF(⑳商品別1食労務費!$C$5:$C$124,$R36,⑳商品別1食労務費!$F$5:$F$124)/$AA36,$AB36/$X36))</f>
        <v/>
      </c>
      <c r="AE36" s="413">
        <f>IF($S36="",0,IF($AA36&gt;0,$AB36*SUMIF(⑳商品別1食労務費!$C$5:$C$124,$S36,⑳商品別1食労務費!$F$5:$F$124)/$AA36,$AB36/$X36))</f>
        <v/>
      </c>
      <c r="AF36" s="413">
        <f>IF($T36="",0,IF($AA36&gt;0,$AB36*SUMIF(⑳商品別1食労務費!$C$5:$C$124,$T36,⑳商品別1食労務費!$F$5:$F$124)/$AA36,$AB36/$X36))</f>
        <v/>
      </c>
      <c r="AG36" s="413">
        <f>IF($U36="",0,IF($AA36&gt;0,$AB36*SUMIF(⑳商品別1食労務費!$C$5:$C$124,$U36,⑳商品別1食労務費!$F$5:$F$124)/$AA36,$AB36/$X36))</f>
        <v/>
      </c>
      <c r="AH36" s="413">
        <f>IF($V36="",0,IF($AA36&gt;0,$AB36*SUMIF(⑳商品別1食労務費!$C$5:$C$124,$V36,⑳商品別1食労務費!$F$5:$F$124)/$AA36,$AB36/$X36))</f>
        <v/>
      </c>
      <c r="AI36" s="413">
        <f>IF($W36="",0,IF($AA36&gt;0,$AB36*SUMIF(⑳商品別1食労務費!$C$5:$C$124,$W36,⑳商品別1食労務費!$F$5:$F$124)/$AA36,$AB36/$X36))</f>
        <v/>
      </c>
    </row>
    <row r="37" ht="16" customHeight="1" s="438">
      <c r="A37" s="17" t="n">
        <v>33</v>
      </c>
      <c r="B37" s="18" t="inlineStr">
        <is>
          <t>釜製造</t>
        </is>
      </c>
      <c r="C37" s="5" t="inlineStr">
        <is>
          <t>ホテルロール</t>
        </is>
      </c>
      <c r="D37" s="411" t="n">
        <v>0.2611111111111111</v>
      </c>
      <c r="E37" s="411" t="n">
        <v>0.275</v>
      </c>
      <c r="F37" s="19" t="n">
        <v>5</v>
      </c>
      <c r="G37" s="7" t="n">
        <v>15</v>
      </c>
      <c r="H37" s="7" t="n">
        <v>1</v>
      </c>
      <c r="I37" s="7" t="n">
        <v>16</v>
      </c>
      <c r="J37" s="7" t="n"/>
      <c r="K37" s="513">
        <f>IF(F37&gt;0,I37/(F37/60),0)</f>
        <v/>
      </c>
      <c r="L37" s="514">
        <f>IF(AND(ISNUMBER(F37),J37&gt;0),J37/(F37/60),"")</f>
        <v/>
      </c>
      <c r="M37" s="9">
        <f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513">
        <f>IF(I37&gt;0,M37/I37,"")</f>
        <v/>
      </c>
      <c r="O37" s="514">
        <f>IF(AND(J37&gt;0,ISNUMBER(M37)),M37/J37,"")</f>
        <v/>
      </c>
      <c r="P37" s="20" t="n"/>
      <c r="Q37" s="21" t="n"/>
      <c r="R37" s="5" t="inlineStr">
        <is>
          <t>ふわもちホテルロール３個</t>
        </is>
      </c>
      <c r="S37" s="5" t="inlineStr">
        <is>
          <t>ふわもちホテルロール８個入</t>
        </is>
      </c>
      <c r="T37" s="5" t="inlineStr">
        <is>
          <t>ふわもちホテルロール１６個</t>
        </is>
      </c>
      <c r="U37" s="5" t="inlineStr">
        <is>
          <t>Ｓふわもちホテルロール８個</t>
        </is>
      </c>
      <c r="V37" s="5" t="inlineStr">
        <is>
          <t>Ｓふわもちホテルロール１６</t>
        </is>
      </c>
      <c r="W37" s="5" t="inlineStr">
        <is>
          <t>ホテルロールＫＩＴ　４０個</t>
        </is>
      </c>
      <c r="X37">
        <f>COUNTA(R37:W37)</f>
        <v/>
      </c>
      <c r="Y37">
        <f>IF(AND($X37&gt;0,ISNUMBER($M37)),$M37/$X37,"")</f>
        <v/>
      </c>
      <c r="Z37">
        <f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/>
      </c>
      <c r="AA37">
        <f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/>
      </c>
      <c r="AB37">
        <f>IF(ISNUMBER($M37),$M37,0)</f>
        <v/>
      </c>
      <c r="AD37" s="413">
        <f>IF($R37="",0,IF($AA37&gt;0,$AB37*SUMIF(⑳商品別1食労務費!$C$5:$C$124,$R37,⑳商品別1食労務費!$F$5:$F$124)/$AA37,$AB37/$X37))</f>
        <v/>
      </c>
      <c r="AE37" s="413">
        <f>IF($S37="",0,IF($AA37&gt;0,$AB37*SUMIF(⑳商品別1食労務費!$C$5:$C$124,$S37,⑳商品別1食労務費!$F$5:$F$124)/$AA37,$AB37/$X37))</f>
        <v/>
      </c>
      <c r="AF37" s="413">
        <f>IF($T37="",0,IF($AA37&gt;0,$AB37*SUMIF(⑳商品別1食労務費!$C$5:$C$124,$T37,⑳商品別1食労務費!$F$5:$F$124)/$AA37,$AB37/$X37))</f>
        <v/>
      </c>
      <c r="AG37" s="413">
        <f>IF($U37="",0,IF($AA37&gt;0,$AB37*SUMIF(⑳商品別1食労務費!$C$5:$C$124,$U37,⑳商品別1食労務費!$F$5:$F$124)/$AA37,$AB37/$X37))</f>
        <v/>
      </c>
      <c r="AH37" s="413">
        <f>IF($V37="",0,IF($AA37&gt;0,$AB37*SUMIF(⑳商品別1食労務費!$C$5:$C$124,$V37,⑳商品別1食労務費!$F$5:$F$124)/$AA37,$AB37/$X37))</f>
        <v/>
      </c>
      <c r="AI37" s="413">
        <f>IF($W37="",0,IF($AA37&gt;0,$AB37*SUMIF(⑳商品別1食労務費!$C$5:$C$124,$W37,⑳商品別1食労務費!$F$5:$F$124)/$AA37,$AB37/$X37))</f>
        <v/>
      </c>
    </row>
    <row r="38" ht="16" customHeight="1" s="438">
      <c r="A38" s="17" t="n">
        <v>34</v>
      </c>
      <c r="B38" s="18" t="inlineStr">
        <is>
          <t>釜製造</t>
        </is>
      </c>
      <c r="C38" s="5" t="inlineStr">
        <is>
          <t>ホテルロール</t>
        </is>
      </c>
      <c r="D38" s="411" t="n">
        <v>0.275</v>
      </c>
      <c r="E38" s="411" t="n">
        <v>0.2888888888888889</v>
      </c>
      <c r="F38" s="19" t="n">
        <v>5</v>
      </c>
      <c r="G38" s="7" t="n">
        <v>15</v>
      </c>
      <c r="H38" s="7" t="n">
        <v>1</v>
      </c>
      <c r="I38" s="7" t="n">
        <v>16</v>
      </c>
      <c r="J38" s="7" t="n"/>
      <c r="K38" s="513">
        <f>IF(F38&gt;0,I38/(F38/60),0)</f>
        <v/>
      </c>
      <c r="L38" s="514">
        <f>IF(AND(ISNUMBER(F38),J38&gt;0),J38/(F38/60),"")</f>
        <v/>
      </c>
      <c r="M38" s="9">
        <f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513">
        <f>IF(I38&gt;0,M38/I38,"")</f>
        <v/>
      </c>
      <c r="O38" s="514">
        <f>IF(AND(J38&gt;0,ISNUMBER(M38)),M38/J38,"")</f>
        <v/>
      </c>
      <c r="P38" s="20" t="n"/>
      <c r="Q38" s="21" t="n"/>
      <c r="R38" s="5" t="inlineStr">
        <is>
          <t>ふわもちホテルロール３個</t>
        </is>
      </c>
      <c r="S38" s="5" t="inlineStr">
        <is>
          <t>ふわもちホテルロール８個入</t>
        </is>
      </c>
      <c r="T38" s="5" t="inlineStr">
        <is>
          <t>ふわもちホテルロール１６個</t>
        </is>
      </c>
      <c r="U38" s="5" t="inlineStr">
        <is>
          <t>Ｓふわもちホテルロール８個</t>
        </is>
      </c>
      <c r="V38" s="5" t="inlineStr">
        <is>
          <t>Ｓふわもちホテルロール１６</t>
        </is>
      </c>
      <c r="W38" s="5" t="inlineStr">
        <is>
          <t>ホテルロールＫＩＴ　４０個</t>
        </is>
      </c>
      <c r="X38">
        <f>COUNTA(R38:W38)</f>
        <v/>
      </c>
      <c r="Y38">
        <f>IF(AND($X38&gt;0,ISNUMBER($M38)),$M38/$X38,"")</f>
        <v/>
      </c>
      <c r="Z38">
        <f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/>
      </c>
      <c r="AA38">
        <f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/>
      </c>
      <c r="AB38">
        <f>IF(ISNUMBER($M38),$M38,0)</f>
        <v/>
      </c>
      <c r="AD38" s="413">
        <f>IF($R38="",0,IF($AA38&gt;0,$AB38*SUMIF(⑳商品別1食労務費!$C$5:$C$124,$R38,⑳商品別1食労務費!$F$5:$F$124)/$AA38,$AB38/$X38))</f>
        <v/>
      </c>
      <c r="AE38" s="413">
        <f>IF($S38="",0,IF($AA38&gt;0,$AB38*SUMIF(⑳商品別1食労務費!$C$5:$C$124,$S38,⑳商品別1食労務費!$F$5:$F$124)/$AA38,$AB38/$X38))</f>
        <v/>
      </c>
      <c r="AF38" s="413">
        <f>IF($T38="",0,IF($AA38&gt;0,$AB38*SUMIF(⑳商品別1食労務費!$C$5:$C$124,$T38,⑳商品別1食労務費!$F$5:$F$124)/$AA38,$AB38/$X38))</f>
        <v/>
      </c>
      <c r="AG38" s="413">
        <f>IF($U38="",0,IF($AA38&gt;0,$AB38*SUMIF(⑳商品別1食労務費!$C$5:$C$124,$U38,⑳商品別1食労務費!$F$5:$F$124)/$AA38,$AB38/$X38))</f>
        <v/>
      </c>
      <c r="AH38" s="413">
        <f>IF($V38="",0,IF($AA38&gt;0,$AB38*SUMIF(⑳商品別1食労務費!$C$5:$C$124,$V38,⑳商品別1食労務費!$F$5:$F$124)/$AA38,$AB38/$X38))</f>
        <v/>
      </c>
      <c r="AI38" s="413">
        <f>IF($W38="",0,IF($AA38&gt;0,$AB38*SUMIF(⑳商品別1食労務費!$C$5:$C$124,$W38,⑳商品別1食労務費!$F$5:$F$124)/$AA38,$AB38/$X38))</f>
        <v/>
      </c>
    </row>
    <row r="39" ht="16" customHeight="1" s="438">
      <c r="A39" s="17" t="n">
        <v>35</v>
      </c>
      <c r="B39" s="18" t="inlineStr">
        <is>
          <t>釜製造</t>
        </is>
      </c>
      <c r="C39" s="5" t="inlineStr">
        <is>
          <t>ホテルロール</t>
        </is>
      </c>
      <c r="D39" s="411" t="n">
        <v>0.2888888888888889</v>
      </c>
      <c r="E39" s="411" t="n">
        <v>0.3027777777777778</v>
      </c>
      <c r="F39" s="19" t="n">
        <v>5</v>
      </c>
      <c r="G39" s="7" t="n">
        <v>15</v>
      </c>
      <c r="H39" s="7" t="n">
        <v>1</v>
      </c>
      <c r="I39" s="7" t="n">
        <v>16</v>
      </c>
      <c r="J39" s="7" t="n"/>
      <c r="K39" s="513">
        <f>IF(F39&gt;0,I39/(F39/60),0)</f>
        <v/>
      </c>
      <c r="L39" s="514">
        <f>IF(AND(ISNUMBER(F39),J39&gt;0),J39/(F39/60),"")</f>
        <v/>
      </c>
      <c r="M39" s="9">
        <f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513">
        <f>IF(I39&gt;0,M39/I39,"")</f>
        <v/>
      </c>
      <c r="O39" s="514">
        <f>IF(AND(J39&gt;0,ISNUMBER(M39)),M39/J39,"")</f>
        <v/>
      </c>
      <c r="P39" s="20" t="n"/>
      <c r="Q39" s="21" t="n"/>
      <c r="R39" s="5" t="inlineStr">
        <is>
          <t>ふわもちホテルロール３個</t>
        </is>
      </c>
      <c r="S39" s="5" t="inlineStr">
        <is>
          <t>ふわもちホテルロール８個入</t>
        </is>
      </c>
      <c r="T39" s="5" t="inlineStr">
        <is>
          <t>ふわもちホテルロール１６個</t>
        </is>
      </c>
      <c r="U39" s="5" t="inlineStr">
        <is>
          <t>Ｓふわもちホテルロール８個</t>
        </is>
      </c>
      <c r="V39" s="5" t="inlineStr">
        <is>
          <t>Ｓふわもちホテルロール１６</t>
        </is>
      </c>
      <c r="W39" s="5" t="inlineStr">
        <is>
          <t>ホテルロールＫＩＴ　４０個</t>
        </is>
      </c>
      <c r="X39">
        <f>COUNTA(R39:W39)</f>
        <v/>
      </c>
      <c r="Y39">
        <f>IF(AND($X39&gt;0,ISNUMBER($M39)),$M39/$X39,"")</f>
        <v/>
      </c>
      <c r="Z39">
        <f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/>
      </c>
      <c r="AA39">
        <f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/>
      </c>
      <c r="AB39">
        <f>IF(ISNUMBER($M39),$M39,0)</f>
        <v/>
      </c>
      <c r="AD39" s="413">
        <f>IF($R39="",0,IF($AA39&gt;0,$AB39*SUMIF(⑳商品別1食労務費!$C$5:$C$124,$R39,⑳商品別1食労務費!$F$5:$F$124)/$AA39,$AB39/$X39))</f>
        <v/>
      </c>
      <c r="AE39" s="413">
        <f>IF($S39="",0,IF($AA39&gt;0,$AB39*SUMIF(⑳商品別1食労務費!$C$5:$C$124,$S39,⑳商品別1食労務費!$F$5:$F$124)/$AA39,$AB39/$X39))</f>
        <v/>
      </c>
      <c r="AF39" s="413">
        <f>IF($T39="",0,IF($AA39&gt;0,$AB39*SUMIF(⑳商品別1食労務費!$C$5:$C$124,$T39,⑳商品別1食労務費!$F$5:$F$124)/$AA39,$AB39/$X39))</f>
        <v/>
      </c>
      <c r="AG39" s="413">
        <f>IF($U39="",0,IF($AA39&gt;0,$AB39*SUMIF(⑳商品別1食労務費!$C$5:$C$124,$U39,⑳商品別1食労務費!$F$5:$F$124)/$AA39,$AB39/$X39))</f>
        <v/>
      </c>
      <c r="AH39" s="413">
        <f>IF($V39="",0,IF($AA39&gt;0,$AB39*SUMIF(⑳商品別1食労務費!$C$5:$C$124,$V39,⑳商品別1食労務費!$F$5:$F$124)/$AA39,$AB39/$X39))</f>
        <v/>
      </c>
      <c r="AI39" s="413">
        <f>IF($W39="",0,IF($AA39&gt;0,$AB39*SUMIF(⑳商品別1食労務費!$C$5:$C$124,$W39,⑳商品別1食労務費!$F$5:$F$124)/$AA39,$AB39/$X39))</f>
        <v/>
      </c>
    </row>
    <row r="40" ht="16" customHeight="1" s="438">
      <c r="A40" s="17" t="n">
        <v>36</v>
      </c>
      <c r="B40" s="18" t="inlineStr">
        <is>
          <t>釜製造</t>
        </is>
      </c>
      <c r="C40" s="5" t="inlineStr">
        <is>
          <t>ホテルロール</t>
        </is>
      </c>
      <c r="D40" s="411" t="n">
        <v>0.3027777777777778</v>
      </c>
      <c r="E40" s="411" t="n">
        <v>0.3166666666666667</v>
      </c>
      <c r="F40" s="19" t="n">
        <v>5</v>
      </c>
      <c r="G40" s="7" t="n">
        <v>15</v>
      </c>
      <c r="H40" s="7" t="n">
        <v>1</v>
      </c>
      <c r="I40" s="7" t="n">
        <v>16</v>
      </c>
      <c r="J40" s="7" t="n"/>
      <c r="K40" s="513">
        <f>IF(F40&gt;0,I40/(F40/60),0)</f>
        <v/>
      </c>
      <c r="L40" s="514">
        <f>IF(AND(ISNUMBER(F40),J40&gt;0),J40/(F40/60),"")</f>
        <v/>
      </c>
      <c r="M40" s="9">
        <f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513">
        <f>IF(I40&gt;0,M40/I40,"")</f>
        <v/>
      </c>
      <c r="O40" s="514">
        <f>IF(AND(J40&gt;0,ISNUMBER(M40)),M40/J40,"")</f>
        <v/>
      </c>
      <c r="P40" s="20" t="n"/>
      <c r="Q40" s="21" t="n"/>
      <c r="R40" s="5" t="inlineStr">
        <is>
          <t>ふわもちホテルロール３個</t>
        </is>
      </c>
      <c r="S40" s="5" t="inlineStr">
        <is>
          <t>ふわもちホテルロール８個入</t>
        </is>
      </c>
      <c r="T40" s="5" t="inlineStr">
        <is>
          <t>ふわもちホテルロール１６個</t>
        </is>
      </c>
      <c r="U40" s="5" t="inlineStr">
        <is>
          <t>Ｓふわもちホテルロール８個</t>
        </is>
      </c>
      <c r="V40" s="5" t="inlineStr">
        <is>
          <t>Ｓふわもちホテルロール１６</t>
        </is>
      </c>
      <c r="W40" s="5" t="inlineStr">
        <is>
          <t>ホテルロールＫＩＴ　４０個</t>
        </is>
      </c>
      <c r="X40">
        <f>COUNTA(R40:W40)</f>
        <v/>
      </c>
      <c r="Y40">
        <f>IF(AND($X40&gt;0,ISNUMBER($M40)),$M40/$X40,"")</f>
        <v/>
      </c>
      <c r="Z40">
        <f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/>
      </c>
      <c r="AA40">
        <f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/>
      </c>
      <c r="AB40">
        <f>IF(ISNUMBER($M40),$M40,0)</f>
        <v/>
      </c>
      <c r="AD40" s="413">
        <f>IF($R40="",0,IF($AA40&gt;0,$AB40*SUMIF(⑳商品別1食労務費!$C$5:$C$124,$R40,⑳商品別1食労務費!$F$5:$F$124)/$AA40,$AB40/$X40))</f>
        <v/>
      </c>
      <c r="AE40" s="413">
        <f>IF($S40="",0,IF($AA40&gt;0,$AB40*SUMIF(⑳商品別1食労務費!$C$5:$C$124,$S40,⑳商品別1食労務費!$F$5:$F$124)/$AA40,$AB40/$X40))</f>
        <v/>
      </c>
      <c r="AF40" s="413">
        <f>IF($T40="",0,IF($AA40&gt;0,$AB40*SUMIF(⑳商品別1食労務費!$C$5:$C$124,$T40,⑳商品別1食労務費!$F$5:$F$124)/$AA40,$AB40/$X40))</f>
        <v/>
      </c>
      <c r="AG40" s="413">
        <f>IF($U40="",0,IF($AA40&gt;0,$AB40*SUMIF(⑳商品別1食労務費!$C$5:$C$124,$U40,⑳商品別1食労務費!$F$5:$F$124)/$AA40,$AB40/$X40))</f>
        <v/>
      </c>
      <c r="AH40" s="413">
        <f>IF($V40="",0,IF($AA40&gt;0,$AB40*SUMIF(⑳商品別1食労務費!$C$5:$C$124,$V40,⑳商品別1食労務費!$F$5:$F$124)/$AA40,$AB40/$X40))</f>
        <v/>
      </c>
      <c r="AI40" s="413">
        <f>IF($W40="",0,IF($AA40&gt;0,$AB40*SUMIF(⑳商品別1食労務費!$C$5:$C$124,$W40,⑳商品別1食労務費!$F$5:$F$124)/$AA40,$AB40/$X40))</f>
        <v/>
      </c>
    </row>
    <row r="41" ht="16" customHeight="1" s="438">
      <c r="A41" s="17" t="n">
        <v>37</v>
      </c>
      <c r="B41" s="18" t="inlineStr">
        <is>
          <t>釜製造</t>
        </is>
      </c>
      <c r="C41" s="5" t="inlineStr">
        <is>
          <t>ホテルロール</t>
        </is>
      </c>
      <c r="D41" s="411" t="n">
        <v>0.3166666666666667</v>
      </c>
      <c r="E41" s="411" t="n">
        <v>0.3305555555555555</v>
      </c>
      <c r="F41" s="19" t="n">
        <v>5</v>
      </c>
      <c r="G41" s="7" t="n">
        <v>15</v>
      </c>
      <c r="H41" s="7" t="n">
        <v>1</v>
      </c>
      <c r="I41" s="7" t="n">
        <v>16</v>
      </c>
      <c r="J41" s="7" t="n"/>
      <c r="K41" s="513">
        <f>IF(F41&gt;0,I41/(F41/60),0)</f>
        <v/>
      </c>
      <c r="L41" s="514">
        <f>IF(AND(ISNUMBER(F41),J41&gt;0),J41/(F41/60),"")</f>
        <v/>
      </c>
      <c r="M41" s="9">
        <f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513">
        <f>IF(I41&gt;0,M41/I41,"")</f>
        <v/>
      </c>
      <c r="O41" s="514">
        <f>IF(AND(J41&gt;0,ISNUMBER(M41)),M41/J41,"")</f>
        <v/>
      </c>
      <c r="P41" s="20" t="n"/>
      <c r="Q41" s="21" t="n"/>
      <c r="R41" s="5" t="inlineStr">
        <is>
          <t>ふわもちホテルロール３個</t>
        </is>
      </c>
      <c r="S41" s="5" t="inlineStr">
        <is>
          <t>ふわもちホテルロール８個入</t>
        </is>
      </c>
      <c r="T41" s="5" t="inlineStr">
        <is>
          <t>ふわもちホテルロール１６個</t>
        </is>
      </c>
      <c r="U41" s="5" t="inlineStr">
        <is>
          <t>Ｓふわもちホテルロール８個</t>
        </is>
      </c>
      <c r="V41" s="5" t="inlineStr">
        <is>
          <t>Ｓふわもちホテルロール１６</t>
        </is>
      </c>
      <c r="W41" s="5" t="inlineStr">
        <is>
          <t>ホテルロールＫＩＴ　４０個</t>
        </is>
      </c>
      <c r="X41">
        <f>COUNTA(R41:W41)</f>
        <v/>
      </c>
      <c r="Y41">
        <f>IF(AND($X41&gt;0,ISNUMBER($M41)),$M41/$X41,"")</f>
        <v/>
      </c>
      <c r="Z41">
        <f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/>
      </c>
      <c r="AA41">
        <f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/>
      </c>
      <c r="AB41">
        <f>IF(ISNUMBER($M41),$M41,0)</f>
        <v/>
      </c>
      <c r="AD41" s="413">
        <f>IF($R41="",0,IF($AA41&gt;0,$AB41*SUMIF(⑳商品別1食労務費!$C$5:$C$124,$R41,⑳商品別1食労務費!$F$5:$F$124)/$AA41,$AB41/$X41))</f>
        <v/>
      </c>
      <c r="AE41" s="413">
        <f>IF($S41="",0,IF($AA41&gt;0,$AB41*SUMIF(⑳商品別1食労務費!$C$5:$C$124,$S41,⑳商品別1食労務費!$F$5:$F$124)/$AA41,$AB41/$X41))</f>
        <v/>
      </c>
      <c r="AF41" s="413">
        <f>IF($T41="",0,IF($AA41&gt;0,$AB41*SUMIF(⑳商品別1食労務費!$C$5:$C$124,$T41,⑳商品別1食労務費!$F$5:$F$124)/$AA41,$AB41/$X41))</f>
        <v/>
      </c>
      <c r="AG41" s="413">
        <f>IF($U41="",0,IF($AA41&gt;0,$AB41*SUMIF(⑳商品別1食労務費!$C$5:$C$124,$U41,⑳商品別1食労務費!$F$5:$F$124)/$AA41,$AB41/$X41))</f>
        <v/>
      </c>
      <c r="AH41" s="413">
        <f>IF($V41="",0,IF($AA41&gt;0,$AB41*SUMIF(⑳商品別1食労務費!$C$5:$C$124,$V41,⑳商品別1食労務費!$F$5:$F$124)/$AA41,$AB41/$X41))</f>
        <v/>
      </c>
      <c r="AI41" s="413">
        <f>IF($W41="",0,IF($AA41&gt;0,$AB41*SUMIF(⑳商品別1食労務費!$C$5:$C$124,$W41,⑳商品別1食労務費!$F$5:$F$124)/$AA41,$AB41/$X41))</f>
        <v/>
      </c>
    </row>
    <row r="42" ht="16" customHeight="1" s="438">
      <c r="A42" s="17" t="n">
        <v>38</v>
      </c>
      <c r="B42" s="18" t="inlineStr">
        <is>
          <t>釜製造</t>
        </is>
      </c>
      <c r="C42" s="5" t="inlineStr">
        <is>
          <t>ホテルロール</t>
        </is>
      </c>
      <c r="D42" s="411" t="n">
        <v>0.3305555555555555</v>
      </c>
      <c r="E42" s="411" t="n">
        <v>0.3444444444444444</v>
      </c>
      <c r="F42" s="19" t="n">
        <v>5</v>
      </c>
      <c r="G42" s="7" t="n">
        <v>15</v>
      </c>
      <c r="H42" s="7" t="n">
        <v>1</v>
      </c>
      <c r="I42" s="7" t="n">
        <v>16</v>
      </c>
      <c r="J42" s="7" t="n"/>
      <c r="K42" s="513">
        <f>IF(F42&gt;0,I42/(F42/60),0)</f>
        <v/>
      </c>
      <c r="L42" s="514">
        <f>IF(AND(ISNUMBER(F42),J42&gt;0),J42/(F42/60),"")</f>
        <v/>
      </c>
      <c r="M42" s="9">
        <f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513">
        <f>IF(I42&gt;0,M42/I42,"")</f>
        <v/>
      </c>
      <c r="O42" s="514">
        <f>IF(AND(J42&gt;0,ISNUMBER(M42)),M42/J42,"")</f>
        <v/>
      </c>
      <c r="P42" s="20" t="n"/>
      <c r="Q42" s="21" t="n"/>
      <c r="R42" s="5" t="inlineStr">
        <is>
          <t>ふわもちホテルロール３個</t>
        </is>
      </c>
      <c r="S42" s="5" t="inlineStr">
        <is>
          <t>ふわもちホテルロール８個入</t>
        </is>
      </c>
      <c r="T42" s="5" t="inlineStr">
        <is>
          <t>ふわもちホテルロール１６個</t>
        </is>
      </c>
      <c r="U42" s="5" t="inlineStr">
        <is>
          <t>Ｓふわもちホテルロール８個</t>
        </is>
      </c>
      <c r="V42" s="5" t="inlineStr">
        <is>
          <t>Ｓふわもちホテルロール１６</t>
        </is>
      </c>
      <c r="W42" s="5" t="inlineStr">
        <is>
          <t>ホテルロールＫＩＴ　４０個</t>
        </is>
      </c>
      <c r="X42">
        <f>COUNTA(R42:W42)</f>
        <v/>
      </c>
      <c r="Y42">
        <f>IF(AND($X42&gt;0,ISNUMBER($M42)),$M42/$X42,"")</f>
        <v/>
      </c>
      <c r="Z42">
        <f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/>
      </c>
      <c r="AA42">
        <f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/>
      </c>
      <c r="AB42">
        <f>IF(ISNUMBER($M42),$M42,0)</f>
        <v/>
      </c>
      <c r="AD42" s="413">
        <f>IF($R42="",0,IF($AA42&gt;0,$AB42*SUMIF(⑳商品別1食労務費!$C$5:$C$124,$R42,⑳商品別1食労務費!$F$5:$F$124)/$AA42,$AB42/$X42))</f>
        <v/>
      </c>
      <c r="AE42" s="413">
        <f>IF($S42="",0,IF($AA42&gt;0,$AB42*SUMIF(⑳商品別1食労務費!$C$5:$C$124,$S42,⑳商品別1食労務費!$F$5:$F$124)/$AA42,$AB42/$X42))</f>
        <v/>
      </c>
      <c r="AF42" s="413">
        <f>IF($T42="",0,IF($AA42&gt;0,$AB42*SUMIF(⑳商品別1食労務費!$C$5:$C$124,$T42,⑳商品別1食労務費!$F$5:$F$124)/$AA42,$AB42/$X42))</f>
        <v/>
      </c>
      <c r="AG42" s="413">
        <f>IF($U42="",0,IF($AA42&gt;0,$AB42*SUMIF(⑳商品別1食労務費!$C$5:$C$124,$U42,⑳商品別1食労務費!$F$5:$F$124)/$AA42,$AB42/$X42))</f>
        <v/>
      </c>
      <c r="AH42" s="413">
        <f>IF($V42="",0,IF($AA42&gt;0,$AB42*SUMIF(⑳商品別1食労務費!$C$5:$C$124,$V42,⑳商品別1食労務費!$F$5:$F$124)/$AA42,$AB42/$X42))</f>
        <v/>
      </c>
      <c r="AI42" s="413">
        <f>IF($W42="",0,IF($AA42&gt;0,$AB42*SUMIF(⑳商品別1食労務費!$C$5:$C$124,$W42,⑳商品別1食労務費!$F$5:$F$124)/$AA42,$AB42/$X42))</f>
        <v/>
      </c>
    </row>
    <row r="43" ht="16" customHeight="1" s="438">
      <c r="A43" s="17" t="n">
        <v>39</v>
      </c>
      <c r="B43" s="18" t="inlineStr">
        <is>
          <t>釜製造</t>
        </is>
      </c>
      <c r="C43" s="5" t="inlineStr">
        <is>
          <t>ホテルロール</t>
        </is>
      </c>
      <c r="D43" s="411" t="n">
        <v>0.3444444444444444</v>
      </c>
      <c r="E43" s="411" t="n">
        <v>0.3583333333333333</v>
      </c>
      <c r="F43" s="19" t="n">
        <v>5</v>
      </c>
      <c r="G43" s="7" t="n">
        <v>15</v>
      </c>
      <c r="H43" s="7" t="n">
        <v>1</v>
      </c>
      <c r="I43" s="7" t="n">
        <v>16</v>
      </c>
      <c r="J43" s="7" t="n"/>
      <c r="K43" s="513">
        <f>IF(F43&gt;0,I43/(F43/60),0)</f>
        <v/>
      </c>
      <c r="L43" s="514">
        <f>IF(AND(ISNUMBER(F43),J43&gt;0),J43/(F43/60),"")</f>
        <v/>
      </c>
      <c r="M43" s="9">
        <f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513">
        <f>IF(I43&gt;0,M43/I43,"")</f>
        <v/>
      </c>
      <c r="O43" s="514">
        <f>IF(AND(J43&gt;0,ISNUMBER(M43)),M43/J43,"")</f>
        <v/>
      </c>
      <c r="P43" s="20" t="n"/>
      <c r="Q43" s="21" t="n"/>
      <c r="R43" s="5" t="inlineStr">
        <is>
          <t>ふわもちホテルロール３個</t>
        </is>
      </c>
      <c r="S43" s="5" t="inlineStr">
        <is>
          <t>ふわもちホテルロール８個入</t>
        </is>
      </c>
      <c r="T43" s="5" t="inlineStr">
        <is>
          <t>ふわもちホテルロール１６個</t>
        </is>
      </c>
      <c r="U43" s="5" t="inlineStr">
        <is>
          <t>Ｓふわもちホテルロール８個</t>
        </is>
      </c>
      <c r="V43" s="5" t="inlineStr">
        <is>
          <t>Ｓふわもちホテルロール１６</t>
        </is>
      </c>
      <c r="W43" s="5" t="inlineStr">
        <is>
          <t>ホテルロールＫＩＴ　４０個</t>
        </is>
      </c>
      <c r="X43">
        <f>COUNTA(R43:W43)</f>
        <v/>
      </c>
      <c r="Y43">
        <f>IF(AND($X43&gt;0,ISNUMBER($M43)),$M43/$X43,"")</f>
        <v/>
      </c>
      <c r="Z43">
        <f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/>
      </c>
      <c r="AA43">
        <f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/>
      </c>
      <c r="AB43">
        <f>IF(ISNUMBER($M43),$M43,0)</f>
        <v/>
      </c>
      <c r="AD43" s="413">
        <f>IF($R43="",0,IF($AA43&gt;0,$AB43*SUMIF(⑳商品別1食労務費!$C$5:$C$124,$R43,⑳商品別1食労務費!$F$5:$F$124)/$AA43,$AB43/$X43))</f>
        <v/>
      </c>
      <c r="AE43" s="413">
        <f>IF($S43="",0,IF($AA43&gt;0,$AB43*SUMIF(⑳商品別1食労務費!$C$5:$C$124,$S43,⑳商品別1食労務費!$F$5:$F$124)/$AA43,$AB43/$X43))</f>
        <v/>
      </c>
      <c r="AF43" s="413">
        <f>IF($T43="",0,IF($AA43&gt;0,$AB43*SUMIF(⑳商品別1食労務費!$C$5:$C$124,$T43,⑳商品別1食労務費!$F$5:$F$124)/$AA43,$AB43/$X43))</f>
        <v/>
      </c>
      <c r="AG43" s="413">
        <f>IF($U43="",0,IF($AA43&gt;0,$AB43*SUMIF(⑳商品別1食労務費!$C$5:$C$124,$U43,⑳商品別1食労務費!$F$5:$F$124)/$AA43,$AB43/$X43))</f>
        <v/>
      </c>
      <c r="AH43" s="413">
        <f>IF($V43="",0,IF($AA43&gt;0,$AB43*SUMIF(⑳商品別1食労務費!$C$5:$C$124,$V43,⑳商品別1食労務費!$F$5:$F$124)/$AA43,$AB43/$X43))</f>
        <v/>
      </c>
      <c r="AI43" s="413">
        <f>IF($W43="",0,IF($AA43&gt;0,$AB43*SUMIF(⑳商品別1食労務費!$C$5:$C$124,$W43,⑳商品別1食労務費!$F$5:$F$124)/$AA43,$AB43/$X43))</f>
        <v/>
      </c>
    </row>
    <row r="44" ht="16" customHeight="1" s="438">
      <c r="A44" s="17" t="n">
        <v>40</v>
      </c>
      <c r="B44" s="18" t="inlineStr">
        <is>
          <t>釜製造</t>
        </is>
      </c>
      <c r="C44" s="5" t="inlineStr">
        <is>
          <t>塩パン</t>
        </is>
      </c>
      <c r="D44" s="411" t="n">
        <v>0.3583333333333333</v>
      </c>
      <c r="E44" s="411" t="n">
        <v>0.3722222222222222</v>
      </c>
      <c r="F44" s="19" t="n">
        <v>5</v>
      </c>
      <c r="G44" s="7" t="n">
        <v>15</v>
      </c>
      <c r="H44" s="7" t="n">
        <v>1</v>
      </c>
      <c r="I44" s="7" t="n">
        <v>16</v>
      </c>
      <c r="J44" s="7" t="n"/>
      <c r="K44" s="513">
        <f>IF(F44&gt;0,I44/(F44/60),0)</f>
        <v/>
      </c>
      <c r="L44" s="514">
        <f>IF(AND(ISNUMBER(F44),J44&gt;0),J44/(F44/60),"")</f>
        <v/>
      </c>
      <c r="M44" s="9">
        <f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513">
        <f>IF(I44&gt;0,M44/I44,"")</f>
        <v/>
      </c>
      <c r="O44" s="514">
        <f>IF(AND(J44&gt;0,ISNUMBER(M44)),M44/J44,"")</f>
        <v/>
      </c>
      <c r="P44" s="20" t="n"/>
      <c r="Q44" s="21" t="n"/>
      <c r="R44" s="5" t="inlineStr">
        <is>
          <t>塩パン２個</t>
        </is>
      </c>
      <c r="S44" s="5" t="inlineStr">
        <is>
          <t>塩パンＫＩＴ</t>
        </is>
      </c>
      <c r="T44" s="5" t="inlineStr">
        <is>
          <t>メロン塩パン２個入</t>
        </is>
      </c>
      <c r="U44" s="5" t="inlineStr">
        <is>
          <t>Ｓメロン塩パン２個入</t>
        </is>
      </c>
      <c r="V44" s="5" t="inlineStr">
        <is>
          <t>メロン塩パンＫＩＴ</t>
        </is>
      </c>
      <c r="W44" s="5" t="inlineStr">
        <is>
          <t>チーズ塩パン２個</t>
        </is>
      </c>
      <c r="X44">
        <f>COUNTA(R44:W44)</f>
        <v/>
      </c>
      <c r="Y44">
        <f>IF(AND($X44&gt;0,ISNUMBER($M44)),$M44/$X44,"")</f>
        <v/>
      </c>
      <c r="Z44">
        <f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/>
      </c>
      <c r="AA44">
        <f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/>
      </c>
      <c r="AB44">
        <f>IF(ISNUMBER($M44),$M44,0)</f>
        <v/>
      </c>
      <c r="AD44" s="413">
        <f>IF($R44="",0,IF($AA44&gt;0,$AB44*SUMIF(⑳商品別1食労務費!$C$5:$C$124,$R44,⑳商品別1食労務費!$F$5:$F$124)/$AA44,$AB44/$X44))</f>
        <v/>
      </c>
      <c r="AE44" s="413">
        <f>IF($S44="",0,IF($AA44&gt;0,$AB44*SUMIF(⑳商品別1食労務費!$C$5:$C$124,$S44,⑳商品別1食労務費!$F$5:$F$124)/$AA44,$AB44/$X44))</f>
        <v/>
      </c>
      <c r="AF44" s="413">
        <f>IF($T44="",0,IF($AA44&gt;0,$AB44*SUMIF(⑳商品別1食労務費!$C$5:$C$124,$T44,⑳商品別1食労務費!$F$5:$F$124)/$AA44,$AB44/$X44))</f>
        <v/>
      </c>
      <c r="AG44" s="413">
        <f>IF($U44="",0,IF($AA44&gt;0,$AB44*SUMIF(⑳商品別1食労務費!$C$5:$C$124,$U44,⑳商品別1食労務費!$F$5:$F$124)/$AA44,$AB44/$X44))</f>
        <v/>
      </c>
      <c r="AH44" s="413">
        <f>IF($V44="",0,IF($AA44&gt;0,$AB44*SUMIF(⑳商品別1食労務費!$C$5:$C$124,$V44,⑳商品別1食労務費!$F$5:$F$124)/$AA44,$AB44/$X44))</f>
        <v/>
      </c>
      <c r="AI44" s="413">
        <f>IF($W44="",0,IF($AA44&gt;0,$AB44*SUMIF(⑳商品別1食労務費!$C$5:$C$124,$W44,⑳商品別1食労務費!$F$5:$F$124)/$AA44,$AB44/$X44))</f>
        <v/>
      </c>
    </row>
    <row r="45" ht="16" customHeight="1" s="438">
      <c r="A45" s="12" t="n">
        <v>41</v>
      </c>
      <c r="B45" s="22" t="inlineStr">
        <is>
          <t>釜製造</t>
        </is>
      </c>
      <c r="C45" s="5" t="inlineStr">
        <is>
          <t>塩パン</t>
        </is>
      </c>
      <c r="D45" s="411" t="n">
        <v>0.3722222222222222</v>
      </c>
      <c r="E45" s="411" t="n">
        <v>0.3861111111111111</v>
      </c>
      <c r="F45" s="14" t="n">
        <v>5</v>
      </c>
      <c r="G45" s="12" t="n">
        <v>15</v>
      </c>
      <c r="H45" s="12" t="n">
        <v>1</v>
      </c>
      <c r="I45" s="12" t="n">
        <v>16</v>
      </c>
      <c r="J45" s="12" t="n"/>
      <c r="K45" s="12" t="inlineStr">
        <is>
          <t>-</t>
        </is>
      </c>
      <c r="L45" s="515">
        <f>IF(AND(ISNUMBER(F45),J45&gt;0),J45/(F45/60),"")</f>
        <v/>
      </c>
      <c r="M45" s="12">
        <f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12" t="inlineStr">
        <is>
          <t>-</t>
        </is>
      </c>
      <c r="O45" s="515">
        <f>IF(AND(J45&gt;0,ISNUMBER(M45)),M45/J45,"")</f>
        <v/>
      </c>
      <c r="P45" s="15" t="n"/>
      <c r="Q45" s="16" t="n"/>
      <c r="R45" s="5" t="inlineStr">
        <is>
          <t>塩パン２個</t>
        </is>
      </c>
      <c r="S45" s="5" t="inlineStr">
        <is>
          <t>塩パンＫＩＴ</t>
        </is>
      </c>
      <c r="T45" s="5" t="inlineStr">
        <is>
          <t>メロン塩パン２個入</t>
        </is>
      </c>
      <c r="U45" s="5" t="inlineStr">
        <is>
          <t>Ｓメロン塩パン２個入</t>
        </is>
      </c>
      <c r="V45" s="5" t="inlineStr">
        <is>
          <t>メロン塩パンＫＩＴ</t>
        </is>
      </c>
      <c r="W45" s="5" t="inlineStr">
        <is>
          <t>チーズ塩パン２個</t>
        </is>
      </c>
      <c r="X45">
        <f>COUNTA(R45:W45)</f>
        <v/>
      </c>
      <c r="Y45">
        <f>IF(AND($X45&gt;0,ISNUMBER($M45)),$M45/$X45,"")</f>
        <v/>
      </c>
      <c r="Z45">
        <f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>
        <f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/>
      </c>
      <c r="AB45">
        <f>IF(ISNUMBER($M45),$M45,0)</f>
        <v/>
      </c>
      <c r="AD45" s="413">
        <f>IF($R45="",0,IF($AA45&gt;0,$AB45*SUMIF(⑳商品別1食労務費!$C$5:$C$124,$R45,⑳商品別1食労務費!$F$5:$F$124)/$AA45,$AB45/$X45))</f>
        <v/>
      </c>
      <c r="AE45" s="413">
        <f>IF($S45="",0,IF($AA45&gt;0,$AB45*SUMIF(⑳商品別1食労務費!$C$5:$C$124,$S45,⑳商品別1食労務費!$F$5:$F$124)/$AA45,$AB45/$X45))</f>
        <v/>
      </c>
      <c r="AF45" s="413">
        <f>IF($T45="",0,IF($AA45&gt;0,$AB45*SUMIF(⑳商品別1食労務費!$C$5:$C$124,$T45,⑳商品別1食労務費!$F$5:$F$124)/$AA45,$AB45/$X45))</f>
        <v/>
      </c>
      <c r="AG45" s="413">
        <f>IF($U45="",0,IF($AA45&gt;0,$AB45*SUMIF(⑳商品別1食労務費!$C$5:$C$124,$U45,⑳商品別1食労務費!$F$5:$F$124)/$AA45,$AB45/$X45))</f>
        <v/>
      </c>
      <c r="AH45" s="413">
        <f>IF($V45="",0,IF($AA45&gt;0,$AB45*SUMIF(⑳商品別1食労務費!$C$5:$C$124,$V45,⑳商品別1食労務費!$F$5:$F$124)/$AA45,$AB45/$X45))</f>
        <v/>
      </c>
      <c r="AI45" s="413">
        <f>IF($W45="",0,IF($AA45&gt;0,$AB45*SUMIF(⑳商品別1食労務費!$C$5:$C$124,$W45,⑳商品別1食労務費!$F$5:$F$124)/$AA45,$AB45/$X45))</f>
        <v/>
      </c>
    </row>
    <row r="46" ht="16" customHeight="1" s="438">
      <c r="A46" s="17" t="n">
        <v>42</v>
      </c>
      <c r="B46" s="18" t="inlineStr">
        <is>
          <t>釜製造</t>
        </is>
      </c>
      <c r="C46" s="5" t="inlineStr">
        <is>
          <t>塩パン</t>
        </is>
      </c>
      <c r="D46" s="411" t="n">
        <v>0.3861111111111111</v>
      </c>
      <c r="E46" s="411" t="n">
        <v>0.4</v>
      </c>
      <c r="F46" s="19" t="n">
        <v>5</v>
      </c>
      <c r="G46" s="7" t="n">
        <v>15</v>
      </c>
      <c r="H46" s="7" t="n">
        <v>1</v>
      </c>
      <c r="I46" s="7" t="n">
        <v>16</v>
      </c>
      <c r="J46" s="7" t="n"/>
      <c r="K46" s="513">
        <f>IF(F46&gt;0,I46/(F46/60),0)</f>
        <v/>
      </c>
      <c r="L46" s="514">
        <f>IF(AND(ISNUMBER(F46),J46&gt;0),J46/(F46/60),"")</f>
        <v/>
      </c>
      <c r="M46" s="9">
        <f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513">
        <f>IF(I46&gt;0,M46/I46,"")</f>
        <v/>
      </c>
      <c r="O46" s="514">
        <f>IF(AND(J46&gt;0,ISNUMBER(M46)),M46/J46,"")</f>
        <v/>
      </c>
      <c r="P46" s="20" t="n"/>
      <c r="Q46" s="21" t="n"/>
      <c r="R46" s="5" t="inlineStr">
        <is>
          <t>塩パン２個</t>
        </is>
      </c>
      <c r="S46" s="5" t="inlineStr">
        <is>
          <t>塩パンＫＩＴ</t>
        </is>
      </c>
      <c r="T46" s="5" t="inlineStr">
        <is>
          <t>メロン塩パン２個入</t>
        </is>
      </c>
      <c r="U46" s="5" t="inlineStr">
        <is>
          <t>Ｓメロン塩パン２個入</t>
        </is>
      </c>
      <c r="V46" s="5" t="inlineStr">
        <is>
          <t>メロン塩パンＫＩＴ</t>
        </is>
      </c>
      <c r="W46" s="5" t="inlineStr">
        <is>
          <t>チーズ塩パン２個</t>
        </is>
      </c>
      <c r="X46">
        <f>COUNTA(R46:W46)</f>
        <v/>
      </c>
      <c r="Y46">
        <f>IF(AND($X46&gt;0,ISNUMBER($M46)),$M46/$X46,"")</f>
        <v/>
      </c>
      <c r="Z46">
        <f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>
        <f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/>
      </c>
      <c r="AB46">
        <f>IF(ISNUMBER($M46),$M46,0)</f>
        <v/>
      </c>
      <c r="AD46" s="413">
        <f>IF($R46="",0,IF($AA46&gt;0,$AB46*SUMIF(⑳商品別1食労務費!$C$5:$C$124,$R46,⑳商品別1食労務費!$F$5:$F$124)/$AA46,$AB46/$X46))</f>
        <v/>
      </c>
      <c r="AE46" s="413">
        <f>IF($S46="",0,IF($AA46&gt;0,$AB46*SUMIF(⑳商品別1食労務費!$C$5:$C$124,$S46,⑳商品別1食労務費!$F$5:$F$124)/$AA46,$AB46/$X46))</f>
        <v/>
      </c>
      <c r="AF46" s="413">
        <f>IF($T46="",0,IF($AA46&gt;0,$AB46*SUMIF(⑳商品別1食労務費!$C$5:$C$124,$T46,⑳商品別1食労務費!$F$5:$F$124)/$AA46,$AB46/$X46))</f>
        <v/>
      </c>
      <c r="AG46" s="413">
        <f>IF($U46="",0,IF($AA46&gt;0,$AB46*SUMIF(⑳商品別1食労務費!$C$5:$C$124,$U46,⑳商品別1食労務費!$F$5:$F$124)/$AA46,$AB46/$X46))</f>
        <v/>
      </c>
      <c r="AH46" s="413">
        <f>IF($V46="",0,IF($AA46&gt;0,$AB46*SUMIF(⑳商品別1食労務費!$C$5:$C$124,$V46,⑳商品別1食労務費!$F$5:$F$124)/$AA46,$AB46/$X46))</f>
        <v/>
      </c>
      <c r="AI46" s="413">
        <f>IF($W46="",0,IF($AA46&gt;0,$AB46*SUMIF(⑳商品別1食労務費!$C$5:$C$124,$W46,⑳商品別1食労務費!$F$5:$F$124)/$AA46,$AB46/$X46))</f>
        <v/>
      </c>
    </row>
    <row r="47" ht="16" customHeight="1" s="438">
      <c r="A47" s="17" t="n">
        <v>43</v>
      </c>
      <c r="B47" s="18" t="inlineStr">
        <is>
          <t>釜製造</t>
        </is>
      </c>
      <c r="C47" s="5" t="inlineStr">
        <is>
          <t>塩パン</t>
        </is>
      </c>
      <c r="D47" s="411" t="n">
        <v>0.4</v>
      </c>
      <c r="E47" s="411" t="n">
        <v>0.4138888888888889</v>
      </c>
      <c r="F47" s="19" t="n">
        <v>5</v>
      </c>
      <c r="G47" s="7" t="n">
        <v>15</v>
      </c>
      <c r="H47" s="7" t="n">
        <v>1</v>
      </c>
      <c r="I47" s="7" t="n">
        <v>16</v>
      </c>
      <c r="J47" s="7" t="n"/>
      <c r="K47" s="513">
        <f>IF(F47&gt;0,I47/(F47/60),0)</f>
        <v/>
      </c>
      <c r="L47" s="514">
        <f>IF(AND(ISNUMBER(F47),J47&gt;0),J47/(F47/60),"")</f>
        <v/>
      </c>
      <c r="M47" s="9">
        <f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513">
        <f>IF(I47&gt;0,M47/I47,"")</f>
        <v/>
      </c>
      <c r="O47" s="514">
        <f>IF(AND(J47&gt;0,ISNUMBER(M47)),M47/J47,"")</f>
        <v/>
      </c>
      <c r="P47" s="20" t="n"/>
      <c r="Q47" s="21" t="n"/>
      <c r="R47" s="5" t="inlineStr">
        <is>
          <t>塩パン２個</t>
        </is>
      </c>
      <c r="S47" s="5" t="inlineStr">
        <is>
          <t>塩パンＫＩＴ</t>
        </is>
      </c>
      <c r="T47" s="5" t="inlineStr">
        <is>
          <t>メロン塩パン２個入</t>
        </is>
      </c>
      <c r="U47" s="5" t="inlineStr">
        <is>
          <t>Ｓメロン塩パン２個入</t>
        </is>
      </c>
      <c r="V47" s="5" t="inlineStr">
        <is>
          <t>メロン塩パンＫＩＴ</t>
        </is>
      </c>
      <c r="W47" s="5" t="inlineStr">
        <is>
          <t>チーズ塩パン２個</t>
        </is>
      </c>
      <c r="X47">
        <f>COUNTA(R47:W47)</f>
        <v/>
      </c>
      <c r="Y47">
        <f>IF(AND($X47&gt;0,ISNUMBER($M47)),$M47/$X47,"")</f>
        <v/>
      </c>
      <c r="Z47">
        <f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>
        <f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/>
      </c>
      <c r="AB47">
        <f>IF(ISNUMBER($M47),$M47,0)</f>
        <v/>
      </c>
      <c r="AD47" s="413">
        <f>IF($R47="",0,IF($AA47&gt;0,$AB47*SUMIF(⑳商品別1食労務費!$C$5:$C$124,$R47,⑳商品別1食労務費!$F$5:$F$124)/$AA47,$AB47/$X47))</f>
        <v/>
      </c>
      <c r="AE47" s="413">
        <f>IF($S47="",0,IF($AA47&gt;0,$AB47*SUMIF(⑳商品別1食労務費!$C$5:$C$124,$S47,⑳商品別1食労務費!$F$5:$F$124)/$AA47,$AB47/$X47))</f>
        <v/>
      </c>
      <c r="AF47" s="413">
        <f>IF($T47="",0,IF($AA47&gt;0,$AB47*SUMIF(⑳商品別1食労務費!$C$5:$C$124,$T47,⑳商品別1食労務費!$F$5:$F$124)/$AA47,$AB47/$X47))</f>
        <v/>
      </c>
      <c r="AG47" s="413">
        <f>IF($U47="",0,IF($AA47&gt;0,$AB47*SUMIF(⑳商品別1食労務費!$C$5:$C$124,$U47,⑳商品別1食労務費!$F$5:$F$124)/$AA47,$AB47/$X47))</f>
        <v/>
      </c>
      <c r="AH47" s="413">
        <f>IF($V47="",0,IF($AA47&gt;0,$AB47*SUMIF(⑳商品別1食労務費!$C$5:$C$124,$V47,⑳商品別1食労務費!$F$5:$F$124)/$AA47,$AB47/$X47))</f>
        <v/>
      </c>
      <c r="AI47" s="413">
        <f>IF($W47="",0,IF($AA47&gt;0,$AB47*SUMIF(⑳商品別1食労務費!$C$5:$C$124,$W47,⑳商品別1食労務費!$F$5:$F$124)/$AA47,$AB47/$X47))</f>
        <v/>
      </c>
    </row>
    <row r="48" ht="16" customHeight="1" s="438">
      <c r="A48" s="17" t="n">
        <v>44</v>
      </c>
      <c r="B48" s="18" t="inlineStr">
        <is>
          <t>釜製造</t>
        </is>
      </c>
      <c r="C48" s="5" t="inlineStr">
        <is>
          <t>塩パン</t>
        </is>
      </c>
      <c r="D48" s="411" t="n">
        <v>0.4138888888888889</v>
      </c>
      <c r="E48" s="411" t="n">
        <v>0.4277777777777778</v>
      </c>
      <c r="F48" s="19" t="n">
        <v>5</v>
      </c>
      <c r="G48" s="7" t="n">
        <v>15</v>
      </c>
      <c r="H48" s="7" t="n">
        <v>1</v>
      </c>
      <c r="I48" s="7" t="n">
        <v>16</v>
      </c>
      <c r="J48" s="7" t="n"/>
      <c r="K48" s="513">
        <f>IF(F48&gt;0,I48/(F48/60),0)</f>
        <v/>
      </c>
      <c r="L48" s="514">
        <f>IF(AND(ISNUMBER(F48),J48&gt;0),J48/(F48/60),"")</f>
        <v/>
      </c>
      <c r="M48" s="9">
        <f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513">
        <f>IF(I48&gt;0,M48/I48,"")</f>
        <v/>
      </c>
      <c r="O48" s="514">
        <f>IF(AND(J48&gt;0,ISNUMBER(M48)),M48/J48,"")</f>
        <v/>
      </c>
      <c r="P48" s="20" t="n"/>
      <c r="Q48" s="21" t="n"/>
      <c r="R48" s="5" t="inlineStr">
        <is>
          <t>塩パン２個</t>
        </is>
      </c>
      <c r="S48" s="5" t="inlineStr">
        <is>
          <t>塩パンＫＩＴ</t>
        </is>
      </c>
      <c r="T48" s="5" t="inlineStr">
        <is>
          <t>メロン塩パン２個入</t>
        </is>
      </c>
      <c r="U48" s="5" t="inlineStr">
        <is>
          <t>Ｓメロン塩パン２個入</t>
        </is>
      </c>
      <c r="V48" s="5" t="inlineStr">
        <is>
          <t>メロン塩パンＫＩＴ</t>
        </is>
      </c>
      <c r="W48" s="5" t="inlineStr">
        <is>
          <t>チーズ塩パン２個</t>
        </is>
      </c>
      <c r="X48">
        <f>COUNTA(R48:W48)</f>
        <v/>
      </c>
      <c r="Y48">
        <f>IF(AND($X48&gt;0,ISNUMBER($M48)),$M48/$X48,"")</f>
        <v/>
      </c>
      <c r="Z48">
        <f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/>
      </c>
      <c r="AA48">
        <f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/>
      </c>
      <c r="AB48">
        <f>IF(ISNUMBER($M48),$M48,0)</f>
        <v/>
      </c>
      <c r="AD48" s="413">
        <f>IF($R48="",0,IF($AA48&gt;0,$AB48*SUMIF(⑳商品別1食労務費!$C$5:$C$124,$R48,⑳商品別1食労務費!$F$5:$F$124)/$AA48,$AB48/$X48))</f>
        <v/>
      </c>
      <c r="AE48" s="413">
        <f>IF($S48="",0,IF($AA48&gt;0,$AB48*SUMIF(⑳商品別1食労務費!$C$5:$C$124,$S48,⑳商品別1食労務費!$F$5:$F$124)/$AA48,$AB48/$X48))</f>
        <v/>
      </c>
      <c r="AF48" s="413">
        <f>IF($T48="",0,IF($AA48&gt;0,$AB48*SUMIF(⑳商品別1食労務費!$C$5:$C$124,$T48,⑳商品別1食労務費!$F$5:$F$124)/$AA48,$AB48/$X48))</f>
        <v/>
      </c>
      <c r="AG48" s="413">
        <f>IF($U48="",0,IF($AA48&gt;0,$AB48*SUMIF(⑳商品別1食労務費!$C$5:$C$124,$U48,⑳商品別1食労務費!$F$5:$F$124)/$AA48,$AB48/$X48))</f>
        <v/>
      </c>
      <c r="AH48" s="413">
        <f>IF($V48="",0,IF($AA48&gt;0,$AB48*SUMIF(⑳商品別1食労務費!$C$5:$C$124,$V48,⑳商品別1食労務費!$F$5:$F$124)/$AA48,$AB48/$X48))</f>
        <v/>
      </c>
      <c r="AI48" s="413">
        <f>IF($W48="",0,IF($AA48&gt;0,$AB48*SUMIF(⑳商品別1食労務費!$C$5:$C$124,$W48,⑳商品別1食労務費!$F$5:$F$124)/$AA48,$AB48/$X48))</f>
        <v/>
      </c>
    </row>
    <row r="49" ht="16" customHeight="1" s="438">
      <c r="A49" s="17" t="n">
        <v>45</v>
      </c>
      <c r="B49" s="18" t="inlineStr">
        <is>
          <t>釜製造</t>
        </is>
      </c>
      <c r="C49" s="5" t="inlineStr">
        <is>
          <t>塩パン</t>
        </is>
      </c>
      <c r="D49" s="411" t="n">
        <v>0.4277777777777778</v>
      </c>
      <c r="E49" s="411" t="n">
        <v>0.4416666666666667</v>
      </c>
      <c r="F49" s="19" t="n">
        <v>5</v>
      </c>
      <c r="G49" s="7" t="n">
        <v>15</v>
      </c>
      <c r="H49" s="7" t="n">
        <v>1</v>
      </c>
      <c r="I49" s="7" t="n">
        <v>16</v>
      </c>
      <c r="J49" s="7" t="n"/>
      <c r="K49" s="513">
        <f>IF(F49&gt;0,I49/(F49/60),0)</f>
        <v/>
      </c>
      <c r="L49" s="514">
        <f>IF(AND(ISNUMBER(F49),J49&gt;0),J49/(F49/60),"")</f>
        <v/>
      </c>
      <c r="M49" s="9">
        <f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513">
        <f>IF(I49&gt;0,M49/I49,"")</f>
        <v/>
      </c>
      <c r="O49" s="514">
        <f>IF(AND(J49&gt;0,ISNUMBER(M49)),M49/J49,"")</f>
        <v/>
      </c>
      <c r="P49" s="20" t="n"/>
      <c r="Q49" s="21" t="n"/>
      <c r="R49" s="5" t="inlineStr">
        <is>
          <t>塩パン２個</t>
        </is>
      </c>
      <c r="S49" s="5" t="inlineStr">
        <is>
          <t>塩パンＫＩＴ</t>
        </is>
      </c>
      <c r="T49" s="5" t="inlineStr">
        <is>
          <t>メロン塩パン２個入</t>
        </is>
      </c>
      <c r="U49" s="5" t="inlineStr">
        <is>
          <t>Ｓメロン塩パン２個入</t>
        </is>
      </c>
      <c r="V49" s="5" t="inlineStr">
        <is>
          <t>メロン塩パンＫＩＴ</t>
        </is>
      </c>
      <c r="W49" s="5" t="inlineStr">
        <is>
          <t>チーズ塩パン２個</t>
        </is>
      </c>
      <c r="X49">
        <f>COUNTA(R49:W49)</f>
        <v/>
      </c>
      <c r="Y49">
        <f>IF(AND($X49&gt;0,ISNUMBER($M49)),$M49/$X49,"")</f>
        <v/>
      </c>
      <c r="Z49">
        <f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/>
      </c>
      <c r="AA49">
        <f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/>
      </c>
      <c r="AB49">
        <f>IF(ISNUMBER($M49),$M49,0)</f>
        <v/>
      </c>
      <c r="AD49" s="413">
        <f>IF($R49="",0,IF($AA49&gt;0,$AB49*SUMIF(⑳商品別1食労務費!$C$5:$C$124,$R49,⑳商品別1食労務費!$F$5:$F$124)/$AA49,$AB49/$X49))</f>
        <v/>
      </c>
      <c r="AE49" s="413">
        <f>IF($S49="",0,IF($AA49&gt;0,$AB49*SUMIF(⑳商品別1食労務費!$C$5:$C$124,$S49,⑳商品別1食労務費!$F$5:$F$124)/$AA49,$AB49/$X49))</f>
        <v/>
      </c>
      <c r="AF49" s="413">
        <f>IF($T49="",0,IF($AA49&gt;0,$AB49*SUMIF(⑳商品別1食労務費!$C$5:$C$124,$T49,⑳商品別1食労務費!$F$5:$F$124)/$AA49,$AB49/$X49))</f>
        <v/>
      </c>
      <c r="AG49" s="413">
        <f>IF($U49="",0,IF($AA49&gt;0,$AB49*SUMIF(⑳商品別1食労務費!$C$5:$C$124,$U49,⑳商品別1食労務費!$F$5:$F$124)/$AA49,$AB49/$X49))</f>
        <v/>
      </c>
      <c r="AH49" s="413">
        <f>IF($V49="",0,IF($AA49&gt;0,$AB49*SUMIF(⑳商品別1食労務費!$C$5:$C$124,$V49,⑳商品別1食労務費!$F$5:$F$124)/$AA49,$AB49/$X49))</f>
        <v/>
      </c>
      <c r="AI49" s="413">
        <f>IF($W49="",0,IF($AA49&gt;0,$AB49*SUMIF(⑳商品別1食労務費!$C$5:$C$124,$W49,⑳商品別1食労務費!$F$5:$F$124)/$AA49,$AB49/$X49))</f>
        <v/>
      </c>
    </row>
    <row r="50" ht="16" customHeight="1" s="438">
      <c r="A50" s="17" t="n">
        <v>46</v>
      </c>
      <c r="B50" s="18" t="inlineStr">
        <is>
          <t>釜製造</t>
        </is>
      </c>
      <c r="C50" s="5" t="inlineStr">
        <is>
          <t>塩パン</t>
        </is>
      </c>
      <c r="D50" s="411" t="n">
        <v>0.4416666666666667</v>
      </c>
      <c r="E50" s="411" t="n">
        <v>0.4555555555555555</v>
      </c>
      <c r="F50" s="19" t="n">
        <v>5</v>
      </c>
      <c r="G50" s="7" t="n">
        <v>15</v>
      </c>
      <c r="H50" s="7" t="n">
        <v>1</v>
      </c>
      <c r="I50" s="7" t="n">
        <v>16</v>
      </c>
      <c r="J50" s="7" t="n"/>
      <c r="K50" s="513">
        <f>IF(F50&gt;0,I50/(F50/60),0)</f>
        <v/>
      </c>
      <c r="L50" s="514">
        <f>IF(AND(ISNUMBER(F50),J50&gt;0),J50/(F50/60),"")</f>
        <v/>
      </c>
      <c r="M50" s="9">
        <f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513">
        <f>IF(I50&gt;0,M50/I50,"")</f>
        <v/>
      </c>
      <c r="O50" s="514">
        <f>IF(AND(J50&gt;0,ISNUMBER(M50)),M50/J50,"")</f>
        <v/>
      </c>
      <c r="P50" s="20" t="n"/>
      <c r="Q50" s="21" t="n"/>
      <c r="R50" s="5" t="inlineStr">
        <is>
          <t>塩パン２個</t>
        </is>
      </c>
      <c r="S50" s="5" t="inlineStr">
        <is>
          <t>塩パンＫＩＴ</t>
        </is>
      </c>
      <c r="T50" s="5" t="inlineStr">
        <is>
          <t>メロン塩パン２個入</t>
        </is>
      </c>
      <c r="U50" s="5" t="inlineStr">
        <is>
          <t>Ｓメロン塩パン２個入</t>
        </is>
      </c>
      <c r="V50" s="5" t="inlineStr">
        <is>
          <t>メロン塩パンＫＩＴ</t>
        </is>
      </c>
      <c r="W50" s="5" t="inlineStr">
        <is>
          <t>チーズ塩パン２個</t>
        </is>
      </c>
      <c r="X50">
        <f>COUNTA(R50:W50)</f>
        <v/>
      </c>
      <c r="Y50">
        <f>IF(AND($X50&gt;0,ISNUMBER($M50)),$M50/$X50,"")</f>
        <v/>
      </c>
      <c r="Z50">
        <f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/>
      </c>
      <c r="AA50">
        <f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/>
      </c>
      <c r="AB50">
        <f>IF(ISNUMBER($M50),$M50,0)</f>
        <v/>
      </c>
      <c r="AD50" s="413">
        <f>IF($R50="",0,IF($AA50&gt;0,$AB50*SUMIF(⑳商品別1食労務費!$C$5:$C$124,$R50,⑳商品別1食労務費!$F$5:$F$124)/$AA50,$AB50/$X50))</f>
        <v/>
      </c>
      <c r="AE50" s="413">
        <f>IF($S50="",0,IF($AA50&gt;0,$AB50*SUMIF(⑳商品別1食労務費!$C$5:$C$124,$S50,⑳商品別1食労務費!$F$5:$F$124)/$AA50,$AB50/$X50))</f>
        <v/>
      </c>
      <c r="AF50" s="413">
        <f>IF($T50="",0,IF($AA50&gt;0,$AB50*SUMIF(⑳商品別1食労務費!$C$5:$C$124,$T50,⑳商品別1食労務費!$F$5:$F$124)/$AA50,$AB50/$X50))</f>
        <v/>
      </c>
      <c r="AG50" s="413">
        <f>IF($U50="",0,IF($AA50&gt;0,$AB50*SUMIF(⑳商品別1食労務費!$C$5:$C$124,$U50,⑳商品別1食労務費!$F$5:$F$124)/$AA50,$AB50/$X50))</f>
        <v/>
      </c>
      <c r="AH50" s="413">
        <f>IF($V50="",0,IF($AA50&gt;0,$AB50*SUMIF(⑳商品別1食労務費!$C$5:$C$124,$V50,⑳商品別1食労務費!$F$5:$F$124)/$AA50,$AB50/$X50))</f>
        <v/>
      </c>
      <c r="AI50" s="413">
        <f>IF($W50="",0,IF($AA50&gt;0,$AB50*SUMIF(⑳商品別1食労務費!$C$5:$C$124,$W50,⑳商品別1食労務費!$F$5:$F$124)/$AA50,$AB50/$X50))</f>
        <v/>
      </c>
    </row>
    <row r="51" ht="16" customHeight="1" s="438">
      <c r="A51" s="17" t="n">
        <v>47</v>
      </c>
      <c r="B51" s="18" t="inlineStr">
        <is>
          <t>釜製造</t>
        </is>
      </c>
      <c r="C51" s="5" t="inlineStr">
        <is>
          <t>塩パン</t>
        </is>
      </c>
      <c r="D51" s="411" t="n">
        <v>0.4555555555555555</v>
      </c>
      <c r="E51" s="411" t="n">
        <v>0.4694444444444444</v>
      </c>
      <c r="F51" s="19" t="n">
        <v>5</v>
      </c>
      <c r="G51" s="7" t="n">
        <v>15</v>
      </c>
      <c r="H51" s="7" t="n">
        <v>1</v>
      </c>
      <c r="I51" s="7" t="n">
        <v>16</v>
      </c>
      <c r="J51" s="7" t="n"/>
      <c r="K51" s="513">
        <f>IF(F51&gt;0,I51/(F51/60),0)</f>
        <v/>
      </c>
      <c r="L51" s="514">
        <f>IF(AND(ISNUMBER(F51),J51&gt;0),J51/(F51/60),"")</f>
        <v/>
      </c>
      <c r="M51" s="9">
        <f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513">
        <f>IF(I51&gt;0,M51/I51,"")</f>
        <v/>
      </c>
      <c r="O51" s="514">
        <f>IF(AND(J51&gt;0,ISNUMBER(M51)),M51/J51,"")</f>
        <v/>
      </c>
      <c r="P51" s="20" t="n"/>
      <c r="Q51" s="21" t="n"/>
      <c r="R51" s="5" t="inlineStr">
        <is>
          <t>塩パン２個</t>
        </is>
      </c>
      <c r="S51" s="5" t="inlineStr">
        <is>
          <t>塩パンＫＩＴ</t>
        </is>
      </c>
      <c r="T51" s="5" t="inlineStr">
        <is>
          <t>メロン塩パン２個入</t>
        </is>
      </c>
      <c r="U51" s="5" t="inlineStr">
        <is>
          <t>Ｓメロン塩パン２個入</t>
        </is>
      </c>
      <c r="V51" s="5" t="inlineStr">
        <is>
          <t>メロン塩パンＫＩＴ</t>
        </is>
      </c>
      <c r="W51" s="5" t="inlineStr">
        <is>
          <t>チーズ塩パン２個</t>
        </is>
      </c>
      <c r="X51">
        <f>COUNTA(R51:W51)</f>
        <v/>
      </c>
      <c r="Y51">
        <f>IF(AND($X51&gt;0,ISNUMBER($M51)),$M51/$X51,"")</f>
        <v/>
      </c>
      <c r="Z51">
        <f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/>
      </c>
      <c r="AA51">
        <f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/>
      </c>
      <c r="AB51">
        <f>IF(ISNUMBER($M51),$M51,0)</f>
        <v/>
      </c>
      <c r="AD51" s="413">
        <f>IF($R51="",0,IF($AA51&gt;0,$AB51*SUMIF(⑳商品別1食労務費!$C$5:$C$124,$R51,⑳商品別1食労務費!$F$5:$F$124)/$AA51,$AB51/$X51))</f>
        <v/>
      </c>
      <c r="AE51" s="413">
        <f>IF($S51="",0,IF($AA51&gt;0,$AB51*SUMIF(⑳商品別1食労務費!$C$5:$C$124,$S51,⑳商品別1食労務費!$F$5:$F$124)/$AA51,$AB51/$X51))</f>
        <v/>
      </c>
      <c r="AF51" s="413">
        <f>IF($T51="",0,IF($AA51&gt;0,$AB51*SUMIF(⑳商品別1食労務費!$C$5:$C$124,$T51,⑳商品別1食労務費!$F$5:$F$124)/$AA51,$AB51/$X51))</f>
        <v/>
      </c>
      <c r="AG51" s="413">
        <f>IF($U51="",0,IF($AA51&gt;0,$AB51*SUMIF(⑳商品別1食労務費!$C$5:$C$124,$U51,⑳商品別1食労務費!$F$5:$F$124)/$AA51,$AB51/$X51))</f>
        <v/>
      </c>
      <c r="AH51" s="413">
        <f>IF($V51="",0,IF($AA51&gt;0,$AB51*SUMIF(⑳商品別1食労務費!$C$5:$C$124,$V51,⑳商品別1食労務費!$F$5:$F$124)/$AA51,$AB51/$X51))</f>
        <v/>
      </c>
      <c r="AI51" s="413">
        <f>IF($W51="",0,IF($AA51&gt;0,$AB51*SUMIF(⑳商品別1食労務費!$C$5:$C$124,$W51,⑳商品別1食労務費!$F$5:$F$124)/$AA51,$AB51/$X51))</f>
        <v/>
      </c>
    </row>
    <row r="52" ht="16" customHeight="1" s="438">
      <c r="A52" s="17" t="n">
        <v>48</v>
      </c>
      <c r="B52" s="18" t="inlineStr">
        <is>
          <t>釜製造</t>
        </is>
      </c>
      <c r="C52" s="5" t="inlineStr">
        <is>
          <t>塩パン</t>
        </is>
      </c>
      <c r="D52" s="411" t="n">
        <v>0.4694444444444444</v>
      </c>
      <c r="E52" s="411" t="n">
        <v>0.4833333333333333</v>
      </c>
      <c r="F52" s="19" t="n">
        <v>5</v>
      </c>
      <c r="G52" s="7" t="n">
        <v>15</v>
      </c>
      <c r="H52" s="7" t="n">
        <v>1</v>
      </c>
      <c r="I52" s="7" t="n">
        <v>16</v>
      </c>
      <c r="J52" s="7" t="n"/>
      <c r="K52" s="513">
        <f>IF(F52&gt;0,I52/(F52/60),0)</f>
        <v/>
      </c>
      <c r="L52" s="514">
        <f>IF(AND(ISNUMBER(F52),J52&gt;0),J52/(F52/60),"")</f>
        <v/>
      </c>
      <c r="M52" s="9">
        <f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513">
        <f>IF(I52&gt;0,M52/I52,"")</f>
        <v/>
      </c>
      <c r="O52" s="514">
        <f>IF(AND(J52&gt;0,ISNUMBER(M52)),M52/J52,"")</f>
        <v/>
      </c>
      <c r="P52" s="20" t="n"/>
      <c r="Q52" s="21" t="n"/>
      <c r="R52" s="5" t="inlineStr">
        <is>
          <t>塩パン２個</t>
        </is>
      </c>
      <c r="S52" s="5" t="inlineStr">
        <is>
          <t>塩パンＫＩＴ</t>
        </is>
      </c>
      <c r="T52" s="5" t="inlineStr">
        <is>
          <t>メロン塩パン２個入</t>
        </is>
      </c>
      <c r="U52" s="5" t="inlineStr">
        <is>
          <t>Ｓメロン塩パン２個入</t>
        </is>
      </c>
      <c r="V52" s="5" t="inlineStr">
        <is>
          <t>メロン塩パンＫＩＴ</t>
        </is>
      </c>
      <c r="W52" s="5" t="inlineStr">
        <is>
          <t>チーズ塩パン２個</t>
        </is>
      </c>
      <c r="X52">
        <f>COUNTA(R52:W52)</f>
        <v/>
      </c>
      <c r="Y52">
        <f>IF(AND($X52&gt;0,ISNUMBER($M52)),$M52/$X52,"")</f>
        <v/>
      </c>
      <c r="Z52">
        <f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/>
      </c>
      <c r="AA52">
        <f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/>
      </c>
      <c r="AB52">
        <f>IF(ISNUMBER($M52),$M52,0)</f>
        <v/>
      </c>
      <c r="AD52" s="413">
        <f>IF($R52="",0,IF($AA52&gt;0,$AB52*SUMIF(⑳商品別1食労務費!$C$5:$C$124,$R52,⑳商品別1食労務費!$F$5:$F$124)/$AA52,$AB52/$X52))</f>
        <v/>
      </c>
      <c r="AE52" s="413">
        <f>IF($S52="",0,IF($AA52&gt;0,$AB52*SUMIF(⑳商品別1食労務費!$C$5:$C$124,$S52,⑳商品別1食労務費!$F$5:$F$124)/$AA52,$AB52/$X52))</f>
        <v/>
      </c>
      <c r="AF52" s="413">
        <f>IF($T52="",0,IF($AA52&gt;0,$AB52*SUMIF(⑳商品別1食労務費!$C$5:$C$124,$T52,⑳商品別1食労務費!$F$5:$F$124)/$AA52,$AB52/$X52))</f>
        <v/>
      </c>
      <c r="AG52" s="413">
        <f>IF($U52="",0,IF($AA52&gt;0,$AB52*SUMIF(⑳商品別1食労務費!$C$5:$C$124,$U52,⑳商品別1食労務費!$F$5:$F$124)/$AA52,$AB52/$X52))</f>
        <v/>
      </c>
      <c r="AH52" s="413">
        <f>IF($V52="",0,IF($AA52&gt;0,$AB52*SUMIF(⑳商品別1食労務費!$C$5:$C$124,$V52,⑳商品別1食労務費!$F$5:$F$124)/$AA52,$AB52/$X52))</f>
        <v/>
      </c>
      <c r="AI52" s="413">
        <f>IF($W52="",0,IF($AA52&gt;0,$AB52*SUMIF(⑳商品別1食労務費!$C$5:$C$124,$W52,⑳商品別1食労務費!$F$5:$F$124)/$AA52,$AB52/$X52))</f>
        <v/>
      </c>
    </row>
    <row r="53" ht="16" customHeight="1" s="438">
      <c r="A53" s="17" t="n">
        <v>49</v>
      </c>
      <c r="B53" s="18" t="inlineStr">
        <is>
          <t>釜製造</t>
        </is>
      </c>
      <c r="C53" s="5" t="inlineStr">
        <is>
          <t>塩パン</t>
        </is>
      </c>
      <c r="D53" s="411" t="n">
        <v>0.4833333333333333</v>
      </c>
      <c r="E53" s="411" t="n">
        <v>0.4972222222222222</v>
      </c>
      <c r="F53" s="19" t="n">
        <v>5</v>
      </c>
      <c r="G53" s="7" t="n">
        <v>15</v>
      </c>
      <c r="H53" s="7" t="n">
        <v>1</v>
      </c>
      <c r="I53" s="7" t="n">
        <v>16</v>
      </c>
      <c r="J53" s="7" t="n"/>
      <c r="K53" s="513">
        <f>IF(F53&gt;0,I53/(F53/60),0)</f>
        <v/>
      </c>
      <c r="L53" s="514">
        <f>IF(AND(ISNUMBER(F53),J53&gt;0),J53/(F53/60),"")</f>
        <v/>
      </c>
      <c r="M53" s="9">
        <f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513">
        <f>IF(I53&gt;0,M53/I53,"")</f>
        <v/>
      </c>
      <c r="O53" s="514">
        <f>IF(AND(J53&gt;0,ISNUMBER(M53)),M53/J53,"")</f>
        <v/>
      </c>
      <c r="P53" s="20" t="n"/>
      <c r="Q53" s="21" t="n"/>
      <c r="R53" s="5" t="inlineStr">
        <is>
          <t>塩パン２個</t>
        </is>
      </c>
      <c r="S53" s="5" t="inlineStr">
        <is>
          <t>塩パンＫＩＴ</t>
        </is>
      </c>
      <c r="T53" s="5" t="inlineStr">
        <is>
          <t>メロン塩パン２個入</t>
        </is>
      </c>
      <c r="U53" s="5" t="inlineStr">
        <is>
          <t>Ｓメロン塩パン２個入</t>
        </is>
      </c>
      <c r="V53" s="5" t="inlineStr">
        <is>
          <t>メロン塩パンＫＩＴ</t>
        </is>
      </c>
      <c r="W53" s="5" t="inlineStr">
        <is>
          <t>チーズ塩パン２個</t>
        </is>
      </c>
      <c r="X53">
        <f>COUNTA(R53:W53)</f>
        <v/>
      </c>
      <c r="Y53">
        <f>IF(AND($X53&gt;0,ISNUMBER($M53)),$M53/$X53,"")</f>
        <v/>
      </c>
      <c r="Z53">
        <f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/>
      </c>
      <c r="AA53">
        <f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/>
      </c>
      <c r="AB53">
        <f>IF(ISNUMBER($M53),$M53,0)</f>
        <v/>
      </c>
      <c r="AD53" s="413">
        <f>IF($R53="",0,IF($AA53&gt;0,$AB53*SUMIF(⑳商品別1食労務費!$C$5:$C$124,$R53,⑳商品別1食労務費!$F$5:$F$124)/$AA53,$AB53/$X53))</f>
        <v/>
      </c>
      <c r="AE53" s="413">
        <f>IF($S53="",0,IF($AA53&gt;0,$AB53*SUMIF(⑳商品別1食労務費!$C$5:$C$124,$S53,⑳商品別1食労務費!$F$5:$F$124)/$AA53,$AB53/$X53))</f>
        <v/>
      </c>
      <c r="AF53" s="413">
        <f>IF($T53="",0,IF($AA53&gt;0,$AB53*SUMIF(⑳商品別1食労務費!$C$5:$C$124,$T53,⑳商品別1食労務費!$F$5:$F$124)/$AA53,$AB53/$X53))</f>
        <v/>
      </c>
      <c r="AG53" s="413">
        <f>IF($U53="",0,IF($AA53&gt;0,$AB53*SUMIF(⑳商品別1食労務費!$C$5:$C$124,$U53,⑳商品別1食労務費!$F$5:$F$124)/$AA53,$AB53/$X53))</f>
        <v/>
      </c>
      <c r="AH53" s="413">
        <f>IF($V53="",0,IF($AA53&gt;0,$AB53*SUMIF(⑳商品別1食労務費!$C$5:$C$124,$V53,⑳商品別1食労務費!$F$5:$F$124)/$AA53,$AB53/$X53))</f>
        <v/>
      </c>
      <c r="AI53" s="413">
        <f>IF($W53="",0,IF($AA53&gt;0,$AB53*SUMIF(⑳商品別1食労務費!$C$5:$C$124,$W53,⑳商品別1食労務費!$F$5:$F$124)/$AA53,$AB53/$X53))</f>
        <v/>
      </c>
    </row>
    <row r="54" ht="16" customHeight="1" s="438">
      <c r="A54" s="17" t="n">
        <v>50</v>
      </c>
      <c r="B54" s="18" t="inlineStr">
        <is>
          <t>釜製造</t>
        </is>
      </c>
      <c r="C54" s="5" t="inlineStr">
        <is>
          <t>塩パン</t>
        </is>
      </c>
      <c r="D54" s="411" t="n">
        <v>0.4972222222222222</v>
      </c>
      <c r="E54" s="411" t="n">
        <v>0.5111111111111111</v>
      </c>
      <c r="F54" s="19" t="n">
        <v>5</v>
      </c>
      <c r="G54" s="7" t="n">
        <v>15</v>
      </c>
      <c r="H54" s="7" t="n">
        <v>1</v>
      </c>
      <c r="I54" s="7" t="n">
        <v>16</v>
      </c>
      <c r="J54" s="7" t="n"/>
      <c r="K54" s="513">
        <f>IF(F54&gt;0,I54/(F54/60),0)</f>
        <v/>
      </c>
      <c r="L54" s="514">
        <f>IF(AND(ISNUMBER(F54),J54&gt;0),J54/(F54/60),"")</f>
        <v/>
      </c>
      <c r="M54" s="9">
        <f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513">
        <f>IF(I54&gt;0,M54/I54,"")</f>
        <v/>
      </c>
      <c r="O54" s="514">
        <f>IF(AND(J54&gt;0,ISNUMBER(M54)),M54/J54,"")</f>
        <v/>
      </c>
      <c r="P54" s="20" t="n"/>
      <c r="Q54" s="21" t="n"/>
      <c r="R54" s="5" t="inlineStr">
        <is>
          <t>塩パン２個</t>
        </is>
      </c>
      <c r="S54" s="5" t="inlineStr">
        <is>
          <t>塩パンＫＩＴ</t>
        </is>
      </c>
      <c r="T54" s="5" t="inlineStr">
        <is>
          <t>メロン塩パン２個入</t>
        </is>
      </c>
      <c r="U54" s="5" t="inlineStr">
        <is>
          <t>Ｓメロン塩パン２個入</t>
        </is>
      </c>
      <c r="V54" s="5" t="inlineStr">
        <is>
          <t>メロン塩パンＫＩＴ</t>
        </is>
      </c>
      <c r="W54" s="5" t="inlineStr">
        <is>
          <t>チーズ塩パン２個</t>
        </is>
      </c>
      <c r="X54">
        <f>COUNTA(R54:W54)</f>
        <v/>
      </c>
      <c r="Y54">
        <f>IF(AND($X54&gt;0,ISNUMBER($M54)),$M54/$X54,"")</f>
        <v/>
      </c>
      <c r="Z54">
        <f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/>
      </c>
      <c r="AA54">
        <f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/>
      </c>
      <c r="AB54">
        <f>IF(ISNUMBER($M54),$M54,0)</f>
        <v/>
      </c>
      <c r="AD54" s="413">
        <f>IF($R54="",0,IF($AA54&gt;0,$AB54*SUMIF(⑳商品別1食労務費!$C$5:$C$124,$R54,⑳商品別1食労務費!$F$5:$F$124)/$AA54,$AB54/$X54))</f>
        <v/>
      </c>
      <c r="AE54" s="413">
        <f>IF($S54="",0,IF($AA54&gt;0,$AB54*SUMIF(⑳商品別1食労務費!$C$5:$C$124,$S54,⑳商品別1食労務費!$F$5:$F$124)/$AA54,$AB54/$X54))</f>
        <v/>
      </c>
      <c r="AF54" s="413">
        <f>IF($T54="",0,IF($AA54&gt;0,$AB54*SUMIF(⑳商品別1食労務費!$C$5:$C$124,$T54,⑳商品別1食労務費!$F$5:$F$124)/$AA54,$AB54/$X54))</f>
        <v/>
      </c>
      <c r="AG54" s="413">
        <f>IF($U54="",0,IF($AA54&gt;0,$AB54*SUMIF(⑳商品別1食労務費!$C$5:$C$124,$U54,⑳商品別1食労務費!$F$5:$F$124)/$AA54,$AB54/$X54))</f>
        <v/>
      </c>
      <c r="AH54" s="413">
        <f>IF($V54="",0,IF($AA54&gt;0,$AB54*SUMIF(⑳商品別1食労務費!$C$5:$C$124,$V54,⑳商品別1食労務費!$F$5:$F$124)/$AA54,$AB54/$X54))</f>
        <v/>
      </c>
      <c r="AI54" s="413">
        <f>IF($W54="",0,IF($AA54&gt;0,$AB54*SUMIF(⑳商品別1食労務費!$C$5:$C$124,$W54,⑳商品別1食労務費!$F$5:$F$124)/$AA54,$AB54/$X54))</f>
        <v/>
      </c>
    </row>
    <row r="55" ht="16" customHeight="1" s="438">
      <c r="A55" s="17" t="n">
        <v>51</v>
      </c>
      <c r="B55" s="18" t="inlineStr">
        <is>
          <t>釜製造</t>
        </is>
      </c>
      <c r="C55" s="5" t="inlineStr">
        <is>
          <t>ホテルブレッド</t>
        </is>
      </c>
      <c r="D55" s="411" t="n">
        <v>0.5111111111111111</v>
      </c>
      <c r="E55" s="411" t="n">
        <v>0.525</v>
      </c>
      <c r="F55" s="19" t="n">
        <v>5</v>
      </c>
      <c r="G55" s="7" t="n">
        <v>15</v>
      </c>
      <c r="H55" s="7" t="n">
        <v>1</v>
      </c>
      <c r="I55" s="7" t="n">
        <v>16</v>
      </c>
      <c r="J55" s="7" t="n"/>
      <c r="K55" s="513">
        <f>IF(F55&gt;0,I55/(F55/60),0)</f>
        <v/>
      </c>
      <c r="L55" s="514">
        <f>IF(AND(ISNUMBER(F55),J55&gt;0),J55/(F55/60),"")</f>
        <v/>
      </c>
      <c r="M55" s="9">
        <f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513">
        <f>IF(I55&gt;0,M55/I55,"")</f>
        <v/>
      </c>
      <c r="O55" s="514">
        <f>IF(AND(J55&gt;0,ISNUMBER(M55)),M55/J55,"")</f>
        <v/>
      </c>
      <c r="P55" s="20" t="n"/>
      <c r="Q55" s="21" t="n"/>
      <c r="R55" s="5" t="inlineStr">
        <is>
          <t>ホテルブレッド生地ＫＩＴ</t>
        </is>
      </c>
      <c r="S55" s="5" t="inlineStr">
        <is>
          <t>ホテルブレッド生地ＫＩＴ２</t>
        </is>
      </c>
      <c r="T55" s="5" t="n"/>
      <c r="U55" s="5" t="n"/>
      <c r="V55" s="5" t="n"/>
      <c r="W55" s="5" t="n"/>
      <c r="X55">
        <f>COUNTA(R55:W55)</f>
        <v/>
      </c>
      <c r="Y55">
        <f>IF(AND($X55&gt;0,ISNUMBER($M55)),$M55/$X55,"")</f>
        <v/>
      </c>
      <c r="Z55">
        <f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>
        <f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/>
      </c>
      <c r="AB55">
        <f>IF(ISNUMBER($M55),$M55,0)</f>
        <v/>
      </c>
      <c r="AD55" s="413">
        <f>IF($R55="",0,IF($AA55&gt;0,$AB55*SUMIF(⑳商品別1食労務費!$C$5:$C$124,$R55,⑳商品別1食労務費!$F$5:$F$124)/$AA55,$AB55/$X55))</f>
        <v/>
      </c>
      <c r="AE55" s="413">
        <f>IF($S55="",0,IF($AA55&gt;0,$AB55*SUMIF(⑳商品別1食労務費!$C$5:$C$124,$S55,⑳商品別1食労務費!$F$5:$F$124)/$AA55,$AB55/$X55))</f>
        <v/>
      </c>
      <c r="AF55" s="413">
        <f>IF($T55="",0,IF($AA55&gt;0,$AB55*SUMIF(⑳商品別1食労務費!$C$5:$C$124,$T55,⑳商品別1食労務費!$F$5:$F$124)/$AA55,$AB55/$X55))</f>
        <v/>
      </c>
      <c r="AG55" s="413">
        <f>IF($U55="",0,IF($AA55&gt;0,$AB55*SUMIF(⑳商品別1食労務費!$C$5:$C$124,$U55,⑳商品別1食労務費!$F$5:$F$124)/$AA55,$AB55/$X55))</f>
        <v/>
      </c>
      <c r="AH55" s="413">
        <f>IF($V55="",0,IF($AA55&gt;0,$AB55*SUMIF(⑳商品別1食労務費!$C$5:$C$124,$V55,⑳商品別1食労務費!$F$5:$F$124)/$AA55,$AB55/$X55))</f>
        <v/>
      </c>
      <c r="AI55" s="413">
        <f>IF($W55="",0,IF($AA55&gt;0,$AB55*SUMIF(⑳商品別1食労務費!$C$5:$C$124,$W55,⑳商品別1食労務費!$F$5:$F$124)/$AA55,$AB55/$X55))</f>
        <v/>
      </c>
    </row>
    <row r="56" ht="16" customHeight="1" s="438">
      <c r="A56" s="17" t="n">
        <v>52</v>
      </c>
      <c r="B56" s="18" t="inlineStr">
        <is>
          <t>釜製造</t>
        </is>
      </c>
      <c r="C56" s="5" t="inlineStr">
        <is>
          <t>ホテルブレッド</t>
        </is>
      </c>
      <c r="D56" s="411" t="n">
        <v>0.525</v>
      </c>
      <c r="E56" s="411" t="n">
        <v>0.5388888888888889</v>
      </c>
      <c r="F56" s="19" t="n">
        <v>5</v>
      </c>
      <c r="G56" s="7" t="n">
        <v>15</v>
      </c>
      <c r="H56" s="7" t="n">
        <v>1</v>
      </c>
      <c r="I56" s="7" t="n">
        <v>16</v>
      </c>
      <c r="J56" s="7" t="n"/>
      <c r="K56" s="513">
        <f>IF(F56&gt;0,I56/(F56/60),0)</f>
        <v/>
      </c>
      <c r="L56" s="514">
        <f>IF(AND(ISNUMBER(F56),J56&gt;0),J56/(F56/60),"")</f>
        <v/>
      </c>
      <c r="M56" s="9">
        <f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513">
        <f>IF(I56&gt;0,M56/I56,"")</f>
        <v/>
      </c>
      <c r="O56" s="514">
        <f>IF(AND(J56&gt;0,ISNUMBER(M56)),M56/J56,"")</f>
        <v/>
      </c>
      <c r="P56" s="20" t="n"/>
      <c r="Q56" s="21" t="n"/>
      <c r="R56" s="5" t="inlineStr">
        <is>
          <t>ホテルブレッド生地ＫＩＴ</t>
        </is>
      </c>
      <c r="S56" s="5" t="inlineStr">
        <is>
          <t>ホテルブレッド生地ＫＩＴ２</t>
        </is>
      </c>
      <c r="T56" s="5" t="n"/>
      <c r="U56" s="5" t="n"/>
      <c r="V56" s="5" t="n"/>
      <c r="W56" s="5" t="n"/>
      <c r="X56">
        <f>COUNTA(R56:W56)</f>
        <v/>
      </c>
      <c r="Y56">
        <f>IF(AND($X56&gt;0,ISNUMBER($M56)),$M56/$X56,"")</f>
        <v/>
      </c>
      <c r="Z56">
        <f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/>
      </c>
      <c r="AA56">
        <f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/>
      </c>
      <c r="AB56">
        <f>IF(ISNUMBER($M56),$M56,0)</f>
        <v/>
      </c>
      <c r="AD56" s="413">
        <f>IF($R56="",0,IF($AA56&gt;0,$AB56*SUMIF(⑳商品別1食労務費!$C$5:$C$124,$R56,⑳商品別1食労務費!$F$5:$F$124)/$AA56,$AB56/$X56))</f>
        <v/>
      </c>
      <c r="AE56" s="413">
        <f>IF($S56="",0,IF($AA56&gt;0,$AB56*SUMIF(⑳商品別1食労務費!$C$5:$C$124,$S56,⑳商品別1食労務費!$F$5:$F$124)/$AA56,$AB56/$X56))</f>
        <v/>
      </c>
      <c r="AF56" s="413">
        <f>IF($T56="",0,IF($AA56&gt;0,$AB56*SUMIF(⑳商品別1食労務費!$C$5:$C$124,$T56,⑳商品別1食労務費!$F$5:$F$124)/$AA56,$AB56/$X56))</f>
        <v/>
      </c>
      <c r="AG56" s="413">
        <f>IF($U56="",0,IF($AA56&gt;0,$AB56*SUMIF(⑳商品別1食労務費!$C$5:$C$124,$U56,⑳商品別1食労務費!$F$5:$F$124)/$AA56,$AB56/$X56))</f>
        <v/>
      </c>
      <c r="AH56" s="413">
        <f>IF($V56="",0,IF($AA56&gt;0,$AB56*SUMIF(⑳商品別1食労務費!$C$5:$C$124,$V56,⑳商品別1食労務費!$F$5:$F$124)/$AA56,$AB56/$X56))</f>
        <v/>
      </c>
      <c r="AI56" s="413">
        <f>IF($W56="",0,IF($AA56&gt;0,$AB56*SUMIF(⑳商品別1食労務費!$C$5:$C$124,$W56,⑳商品別1食労務費!$F$5:$F$124)/$AA56,$AB56/$X56))</f>
        <v/>
      </c>
    </row>
    <row r="57" ht="16" customHeight="1" s="438">
      <c r="A57" s="12" t="n">
        <v>53</v>
      </c>
      <c r="B57" s="22" t="inlineStr">
        <is>
          <t>釜製造</t>
        </is>
      </c>
      <c r="C57" s="5" t="inlineStr">
        <is>
          <t>ホテルブレッド</t>
        </is>
      </c>
      <c r="D57" s="411" t="n">
        <v>0.5388888888888889</v>
      </c>
      <c r="E57" s="411" t="n">
        <v>0.5527777777777778</v>
      </c>
      <c r="F57" s="14" t="n">
        <v>5</v>
      </c>
      <c r="G57" s="12" t="n">
        <v>15</v>
      </c>
      <c r="H57" s="12" t="n">
        <v>1</v>
      </c>
      <c r="I57" s="12" t="n">
        <v>16</v>
      </c>
      <c r="J57" s="12" t="n"/>
      <c r="K57" s="12" t="inlineStr">
        <is>
          <t>-</t>
        </is>
      </c>
      <c r="L57" s="515">
        <f>IF(AND(ISNUMBER(F57),J57&gt;0),J57/(F57/60),"")</f>
        <v/>
      </c>
      <c r="M57" s="12">
        <f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/>
      </c>
      <c r="N57" s="12" t="inlineStr">
        <is>
          <t>-</t>
        </is>
      </c>
      <c r="O57" s="515">
        <f>IF(AND(J57&gt;0,ISNUMBER(M57)),M57/J57,"")</f>
        <v/>
      </c>
      <c r="P57" s="15" t="n"/>
      <c r="Q57" s="16" t="n"/>
      <c r="R57" s="5" t="inlineStr">
        <is>
          <t>ホテルブレッド生地ＫＩＴ</t>
        </is>
      </c>
      <c r="S57" s="5" t="inlineStr">
        <is>
          <t>ホテルブレッド生地ＫＩＴ２</t>
        </is>
      </c>
      <c r="T57" s="5" t="n"/>
      <c r="U57" s="5" t="n"/>
      <c r="V57" s="5" t="n"/>
      <c r="W57" s="5" t="n"/>
      <c r="X57">
        <f>COUNTA(R57:W57)</f>
        <v/>
      </c>
      <c r="Y57">
        <f>IF(AND($X57&gt;0,ISNUMBER($M57)),$M57/$X57,"")</f>
        <v/>
      </c>
      <c r="Z57">
        <f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>
        <f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/>
      </c>
      <c r="AB57">
        <f>IF(ISNUMBER($M57),$M57,0)</f>
        <v/>
      </c>
      <c r="AD57" s="413">
        <f>IF($R57="",0,IF($AA57&gt;0,$AB57*SUMIF(⑳商品別1食労務費!$C$5:$C$124,$R57,⑳商品別1食労務費!$F$5:$F$124)/$AA57,$AB57/$X57))</f>
        <v/>
      </c>
      <c r="AE57" s="413">
        <f>IF($S57="",0,IF($AA57&gt;0,$AB57*SUMIF(⑳商品別1食労務費!$C$5:$C$124,$S57,⑳商品別1食労務費!$F$5:$F$124)/$AA57,$AB57/$X57))</f>
        <v/>
      </c>
      <c r="AF57" s="413">
        <f>IF($T57="",0,IF($AA57&gt;0,$AB57*SUMIF(⑳商品別1食労務費!$C$5:$C$124,$T57,⑳商品別1食労務費!$F$5:$F$124)/$AA57,$AB57/$X57))</f>
        <v/>
      </c>
      <c r="AG57" s="413">
        <f>IF($U57="",0,IF($AA57&gt;0,$AB57*SUMIF(⑳商品別1食労務費!$C$5:$C$124,$U57,⑳商品別1食労務費!$F$5:$F$124)/$AA57,$AB57/$X57))</f>
        <v/>
      </c>
      <c r="AH57" s="413">
        <f>IF($V57="",0,IF($AA57&gt;0,$AB57*SUMIF(⑳商品別1食労務費!$C$5:$C$124,$V57,⑳商品別1食労務費!$F$5:$F$124)/$AA57,$AB57/$X57))</f>
        <v/>
      </c>
      <c r="AI57" s="413">
        <f>IF($W57="",0,IF($AA57&gt;0,$AB57*SUMIF(⑳商品別1食労務費!$C$5:$C$124,$W57,⑳商品別1食労務費!$F$5:$F$124)/$AA57,$AB57/$X57))</f>
        <v/>
      </c>
    </row>
    <row r="58" ht="16" customHeight="1" s="438">
      <c r="A58" s="12" t="n">
        <v>54</v>
      </c>
      <c r="B58" s="22" t="inlineStr">
        <is>
          <t>釜製造</t>
        </is>
      </c>
      <c r="C58" s="5" t="inlineStr">
        <is>
          <t>ホテルブレッド</t>
        </is>
      </c>
      <c r="D58" s="411" t="n">
        <v>0.5527777777777778</v>
      </c>
      <c r="E58" s="411" t="n">
        <v>0.5666666666666667</v>
      </c>
      <c r="F58" s="14" t="n">
        <v>5</v>
      </c>
      <c r="G58" s="12" t="n">
        <v>15</v>
      </c>
      <c r="H58" s="12" t="n">
        <v>1</v>
      </c>
      <c r="I58" s="12" t="n">
        <v>16</v>
      </c>
      <c r="J58" s="12" t="n"/>
      <c r="K58" s="12" t="inlineStr">
        <is>
          <t>-</t>
        </is>
      </c>
      <c r="L58" s="515">
        <f>IF(AND(ISNUMBER(F58),J58&gt;0),J58/(F58/60),"")</f>
        <v/>
      </c>
      <c r="M58" s="12">
        <f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/>
      </c>
      <c r="N58" s="12" t="inlineStr">
        <is>
          <t>-</t>
        </is>
      </c>
      <c r="O58" s="515">
        <f>IF(AND(J58&gt;0,ISNUMBER(M58)),M58/J58,"")</f>
        <v/>
      </c>
      <c r="P58" s="15" t="n"/>
      <c r="Q58" s="16" t="n"/>
      <c r="R58" s="5" t="inlineStr">
        <is>
          <t>ホテルブレッド生地ＫＩＴ</t>
        </is>
      </c>
      <c r="S58" s="5" t="inlineStr">
        <is>
          <t>ホテルブレッド生地ＫＩＴ２</t>
        </is>
      </c>
      <c r="T58" s="5" t="n"/>
      <c r="U58" s="5" t="n"/>
      <c r="V58" s="5" t="n"/>
      <c r="W58" s="5" t="n"/>
      <c r="X58">
        <f>COUNTA(R58:W58)</f>
        <v/>
      </c>
      <c r="Y58">
        <f>IF(AND($X58&gt;0,ISNUMBER($M58)),$M58/$X58,"")</f>
        <v/>
      </c>
      <c r="Z58">
        <f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>
        <f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/>
      </c>
      <c r="AB58">
        <f>IF(ISNUMBER($M58),$M58,0)</f>
        <v/>
      </c>
      <c r="AD58" s="413">
        <f>IF($R58="",0,IF($AA58&gt;0,$AB58*SUMIF(⑳商品別1食労務費!$C$5:$C$124,$R58,⑳商品別1食労務費!$F$5:$F$124)/$AA58,$AB58/$X58))</f>
        <v/>
      </c>
      <c r="AE58" s="413">
        <f>IF($S58="",0,IF($AA58&gt;0,$AB58*SUMIF(⑳商品別1食労務費!$C$5:$C$124,$S58,⑳商品別1食労務費!$F$5:$F$124)/$AA58,$AB58/$X58))</f>
        <v/>
      </c>
      <c r="AF58" s="413">
        <f>IF($T58="",0,IF($AA58&gt;0,$AB58*SUMIF(⑳商品別1食労務費!$C$5:$C$124,$T58,⑳商品別1食労務費!$F$5:$F$124)/$AA58,$AB58/$X58))</f>
        <v/>
      </c>
      <c r="AG58" s="413">
        <f>IF($U58="",0,IF($AA58&gt;0,$AB58*SUMIF(⑳商品別1食労務費!$C$5:$C$124,$U58,⑳商品別1食労務費!$F$5:$F$124)/$AA58,$AB58/$X58))</f>
        <v/>
      </c>
      <c r="AH58" s="413">
        <f>IF($V58="",0,IF($AA58&gt;0,$AB58*SUMIF(⑳商品別1食労務費!$C$5:$C$124,$V58,⑳商品別1食労務費!$F$5:$F$124)/$AA58,$AB58/$X58))</f>
        <v/>
      </c>
      <c r="AI58" s="413">
        <f>IF($W58="",0,IF($AA58&gt;0,$AB58*SUMIF(⑳商品別1食労務費!$C$5:$C$124,$W58,⑳商品別1食労務費!$F$5:$F$124)/$AA58,$AB58/$X58))</f>
        <v/>
      </c>
    </row>
    <row r="59" ht="16" customHeight="1" s="438">
      <c r="A59" s="23" t="n">
        <v>55</v>
      </c>
      <c r="B59" s="24" t="inlineStr">
        <is>
          <t>釜製造</t>
        </is>
      </c>
      <c r="C59" s="5" t="inlineStr">
        <is>
          <t>【PC加工用】</t>
        </is>
      </c>
      <c r="D59" s="5" t="n"/>
      <c r="E59" s="5" t="n"/>
      <c r="F59" s="25" t="n"/>
      <c r="G59" s="7" t="n"/>
      <c r="H59" s="7" t="n"/>
      <c r="I59" s="7" t="n"/>
      <c r="J59" s="7" t="n"/>
      <c r="K59" s="513">
        <f>IF(F59&gt;0,I59/(F59/60),0)</f>
        <v/>
      </c>
      <c r="L59" s="514">
        <f>IF(AND(ISNUMBER(F59),J59&gt;0),J59/(F59/60),"")</f>
        <v/>
      </c>
      <c r="M59" s="9">
        <f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513">
        <f>IF(I59&gt;0,M59/I59,"")</f>
        <v/>
      </c>
      <c r="O59" s="514">
        <f>IF(AND(J59&gt;0,ISNUMBER(M59)),M59/J59,"")</f>
        <v/>
      </c>
      <c r="P59" s="26" t="n"/>
      <c r="Q59" s="27" t="n"/>
      <c r="R59" s="5" t="n"/>
      <c r="S59" s="5" t="n"/>
      <c r="T59" s="5" t="n"/>
      <c r="U59" s="5" t="n"/>
      <c r="V59" s="5" t="n"/>
      <c r="W59" s="5" t="n"/>
      <c r="X59">
        <f>COUNTA(R59:W59)</f>
        <v/>
      </c>
      <c r="Y59">
        <f>IF(AND($X59&gt;0,ISNUMBER($M59)),$M59/$X59,"")</f>
        <v/>
      </c>
      <c r="Z59">
        <f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>
        <f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/>
      </c>
      <c r="AB59">
        <f>IF(ISNUMBER($M59),$M59,0)</f>
        <v/>
      </c>
      <c r="AD59" s="413">
        <f>IF($R59="",0,IF($AA59&gt;0,$AB59*SUMIF(⑳商品別1食労務費!$C$5:$C$124,$R59,⑳商品別1食労務費!$F$5:$F$124)/$AA59,$AB59/$X59))</f>
        <v/>
      </c>
      <c r="AE59" s="413">
        <f>IF($S59="",0,IF($AA59&gt;0,$AB59*SUMIF(⑳商品別1食労務費!$C$5:$C$124,$S59,⑳商品別1食労務費!$F$5:$F$124)/$AA59,$AB59/$X59))</f>
        <v/>
      </c>
      <c r="AF59" s="413">
        <f>IF($T59="",0,IF($AA59&gt;0,$AB59*SUMIF(⑳商品別1食労務費!$C$5:$C$124,$T59,⑳商品別1食労務費!$F$5:$F$124)/$AA59,$AB59/$X59))</f>
        <v/>
      </c>
      <c r="AG59" s="413">
        <f>IF($U59="",0,IF($AA59&gt;0,$AB59*SUMIF(⑳商品別1食労務費!$C$5:$C$124,$U59,⑳商品別1食労務費!$F$5:$F$124)/$AA59,$AB59/$X59))</f>
        <v/>
      </c>
      <c r="AH59" s="413">
        <f>IF($V59="",0,IF($AA59&gt;0,$AB59*SUMIF(⑳商品別1食労務費!$C$5:$C$124,$V59,⑳商品別1食労務費!$F$5:$F$124)/$AA59,$AB59/$X59))</f>
        <v/>
      </c>
      <c r="AI59" s="413">
        <f>IF($W59="",0,IF($AA59&gt;0,$AB59*SUMIF(⑳商品別1食労務費!$C$5:$C$124,$W59,⑳商品別1食労務費!$F$5:$F$124)/$AA59,$AB59/$X59))</f>
        <v/>
      </c>
    </row>
    <row r="60" ht="16" customHeight="1" s="438">
      <c r="A60" s="23" t="n">
        <v>56</v>
      </c>
      <c r="B60" s="24" t="inlineStr">
        <is>
          <t>釜製造</t>
        </is>
      </c>
      <c r="C60" s="5" t="inlineStr">
        <is>
          <t>バナナロール</t>
        </is>
      </c>
      <c r="D60" s="5" t="n"/>
      <c r="E60" s="5" t="n"/>
      <c r="F60" s="25" t="n"/>
      <c r="G60" s="7" t="n"/>
      <c r="H60" s="7" t="n"/>
      <c r="I60" s="7" t="n"/>
      <c r="J60" s="7" t="n"/>
      <c r="K60" s="513">
        <f>IF(F60&gt;0,I60/(F60/60),0)</f>
        <v/>
      </c>
      <c r="L60" s="514">
        <f>IF(AND(ISNUMBER(F60),J60&gt;0),J60/(F60/60),"")</f>
        <v/>
      </c>
      <c r="M60" s="9">
        <f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513">
        <f>IF(I60&gt;0,M60/I60,"")</f>
        <v/>
      </c>
      <c r="O60" s="514">
        <f>IF(AND(J60&gt;0,ISNUMBER(M60)),M60/J60,"")</f>
        <v/>
      </c>
      <c r="P60" s="26" t="n"/>
      <c r="Q60" s="27" t="n"/>
      <c r="R60" s="5" t="inlineStr">
        <is>
          <t>バナナのふんわりロール２</t>
        </is>
      </c>
      <c r="S60" s="5" t="inlineStr">
        <is>
          <t>Ｓバナナのふんわりロール２</t>
        </is>
      </c>
      <c r="T60" s="5" t="n"/>
      <c r="U60" s="5" t="n"/>
      <c r="V60" s="5" t="n"/>
      <c r="W60" s="5" t="n"/>
      <c r="X60">
        <f>COUNTA(R60:W60)</f>
        <v/>
      </c>
      <c r="Y60">
        <f>IF(AND($X60&gt;0,ISNUMBER($M60)),$M60/$X60,"")</f>
        <v/>
      </c>
      <c r="Z60">
        <f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>
        <f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/>
      </c>
      <c r="AB60">
        <f>IF(ISNUMBER($M60),$M60,0)</f>
        <v/>
      </c>
      <c r="AD60" s="413">
        <f>IF($R60="",0,IF($AA60&gt;0,$AB60*SUMIF(⑳商品別1食労務費!$C$5:$C$124,$R60,⑳商品別1食労務費!$F$5:$F$124)/$AA60,$AB60/$X60))</f>
        <v/>
      </c>
      <c r="AE60" s="413">
        <f>IF($S60="",0,IF($AA60&gt;0,$AB60*SUMIF(⑳商品別1食労務費!$C$5:$C$124,$S60,⑳商品別1食労務費!$F$5:$F$124)/$AA60,$AB60/$X60))</f>
        <v/>
      </c>
      <c r="AF60" s="413">
        <f>IF($T60="",0,IF($AA60&gt;0,$AB60*SUMIF(⑳商品別1食労務費!$C$5:$C$124,$T60,⑳商品別1食労務費!$F$5:$F$124)/$AA60,$AB60/$X60))</f>
        <v/>
      </c>
      <c r="AG60" s="413">
        <f>IF($U60="",0,IF($AA60&gt;0,$AB60*SUMIF(⑳商品別1食労務費!$C$5:$C$124,$U60,⑳商品別1食労務費!$F$5:$F$124)/$AA60,$AB60/$X60))</f>
        <v/>
      </c>
      <c r="AH60" s="413">
        <f>IF($V60="",0,IF($AA60&gt;0,$AB60*SUMIF(⑳商品別1食労務費!$C$5:$C$124,$V60,⑳商品別1食労務費!$F$5:$F$124)/$AA60,$AB60/$X60))</f>
        <v/>
      </c>
      <c r="AI60" s="413">
        <f>IF($W60="",0,IF($AA60&gt;0,$AB60*SUMIF(⑳商品別1食労務費!$C$5:$C$124,$W60,⑳商品別1食労務費!$F$5:$F$124)/$AA60,$AB60/$X60))</f>
        <v/>
      </c>
    </row>
    <row r="61" ht="16" customHeight="1" s="438">
      <c r="A61" s="23" t="n">
        <v>57</v>
      </c>
      <c r="B61" s="24" t="inlineStr">
        <is>
          <t>釜製造</t>
        </is>
      </c>
      <c r="C61" s="5" t="inlineStr">
        <is>
          <t>バナナロールカット</t>
        </is>
      </c>
      <c r="D61" s="5" t="n"/>
      <c r="E61" s="5" t="n"/>
      <c r="F61" s="25" t="n"/>
      <c r="G61" s="7" t="n"/>
      <c r="H61" s="7" t="n"/>
      <c r="I61" s="7" t="n"/>
      <c r="J61" s="7" t="n"/>
      <c r="K61" s="513">
        <f>IF(F61&gt;0,I61/(F61/60),0)</f>
        <v/>
      </c>
      <c r="L61" s="514">
        <f>IF(AND(ISNUMBER(F61),J61&gt;0),J61/(F61/60),"")</f>
        <v/>
      </c>
      <c r="M61" s="9">
        <f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513">
        <f>IF(I61&gt;0,M61/I61,"")</f>
        <v/>
      </c>
      <c r="O61" s="514">
        <f>IF(AND(J61&gt;0,ISNUMBER(M61)),M61/J61,"")</f>
        <v/>
      </c>
      <c r="P61" s="26" t="n"/>
      <c r="Q61" s="27" t="n"/>
      <c r="R61" s="5" t="inlineStr">
        <is>
          <t>バナナのふんわりロール２</t>
        </is>
      </c>
      <c r="S61" s="5" t="inlineStr">
        <is>
          <t>Ｓバナナのふんわりロール２</t>
        </is>
      </c>
      <c r="T61" s="5" t="n"/>
      <c r="U61" s="5" t="n"/>
      <c r="V61" s="5" t="n"/>
      <c r="W61" s="5" t="n"/>
      <c r="X61">
        <f>COUNTA(R61:W61)</f>
        <v/>
      </c>
      <c r="Y61">
        <f>IF(AND($X61&gt;0,ISNUMBER($M61)),$M61/$X61,"")</f>
        <v/>
      </c>
      <c r="Z61">
        <f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>
        <f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/>
      </c>
      <c r="AB61">
        <f>IF(ISNUMBER($M61),$M61,0)</f>
        <v/>
      </c>
      <c r="AD61" s="413">
        <f>IF($R61="",0,IF($AA61&gt;0,$AB61*SUMIF(⑳商品別1食労務費!$C$5:$C$124,$R61,⑳商品別1食労務費!$F$5:$F$124)/$AA61,$AB61/$X61))</f>
        <v/>
      </c>
      <c r="AE61" s="413">
        <f>IF($S61="",0,IF($AA61&gt;0,$AB61*SUMIF(⑳商品別1食労務費!$C$5:$C$124,$S61,⑳商品別1食労務費!$F$5:$F$124)/$AA61,$AB61/$X61))</f>
        <v/>
      </c>
      <c r="AF61" s="413">
        <f>IF($T61="",0,IF($AA61&gt;0,$AB61*SUMIF(⑳商品別1食労務費!$C$5:$C$124,$T61,⑳商品別1食労務費!$F$5:$F$124)/$AA61,$AB61/$X61))</f>
        <v/>
      </c>
      <c r="AG61" s="413">
        <f>IF($U61="",0,IF($AA61&gt;0,$AB61*SUMIF(⑳商品別1食労務費!$C$5:$C$124,$U61,⑳商品別1食労務費!$F$5:$F$124)/$AA61,$AB61/$X61))</f>
        <v/>
      </c>
      <c r="AH61" s="413">
        <f>IF($V61="",0,IF($AA61&gt;0,$AB61*SUMIF(⑳商品別1食労務費!$C$5:$C$124,$V61,⑳商品別1食労務費!$F$5:$F$124)/$AA61,$AB61/$X61))</f>
        <v/>
      </c>
      <c r="AI61" s="413">
        <f>IF($W61="",0,IF($AA61&gt;0,$AB61*SUMIF(⑳商品別1食労務費!$C$5:$C$124,$W61,⑳商品別1食労務費!$F$5:$F$124)/$AA61,$AB61/$X61))</f>
        <v/>
      </c>
    </row>
    <row r="62" ht="16" customHeight="1" s="438">
      <c r="A62" s="23" t="n">
        <v>58</v>
      </c>
      <c r="B62" s="24" t="inlineStr">
        <is>
          <t>釜製造</t>
        </is>
      </c>
      <c r="C62" s="5" t="inlineStr">
        <is>
          <t>バナナ処理</t>
        </is>
      </c>
      <c r="D62" s="5" t="n"/>
      <c r="E62" s="5" t="n"/>
      <c r="F62" s="25" t="n"/>
      <c r="G62" s="7" t="n"/>
      <c r="H62" s="7" t="n"/>
      <c r="I62" s="7" t="n"/>
      <c r="J62" s="7" t="n"/>
      <c r="K62" s="513">
        <f>IF(F62&gt;0,I62/(F62/60),0)</f>
        <v/>
      </c>
      <c r="L62" s="514">
        <f>IF(AND(ISNUMBER(F62),J62&gt;0),J62/(F62/60),"")</f>
        <v/>
      </c>
      <c r="M62" s="9">
        <f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513">
        <f>IF(I62&gt;0,M62/I62,"")</f>
        <v/>
      </c>
      <c r="O62" s="514">
        <f>IF(AND(J62&gt;0,ISNUMBER(M62)),M62/J62,"")</f>
        <v/>
      </c>
      <c r="P62" s="26" t="n"/>
      <c r="Q62" s="27" t="n"/>
      <c r="R62" s="5" t="inlineStr">
        <is>
          <t>バナナのふんわりロール２</t>
        </is>
      </c>
      <c r="S62" s="5" t="n"/>
      <c r="T62" s="5" t="n"/>
      <c r="U62" s="5" t="n"/>
      <c r="V62" s="5" t="n"/>
      <c r="W62" s="5" t="n"/>
      <c r="X62">
        <f>COUNTA(R62:W62)</f>
        <v/>
      </c>
      <c r="Y62">
        <f>IF(AND($X62&gt;0,ISNUMBER($M62)),$M62/$X62,"")</f>
        <v/>
      </c>
      <c r="Z62">
        <f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>
        <f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/>
      </c>
      <c r="AB62">
        <f>IF(ISNUMBER($M62),$M62,0)</f>
        <v/>
      </c>
      <c r="AD62" s="413">
        <f>IF($R62="",0,IF($AA62&gt;0,$AB62*SUMIF(⑳商品別1食労務費!$C$5:$C$124,$R62,⑳商品別1食労務費!$F$5:$F$124)/$AA62,$AB62/$X62))</f>
        <v/>
      </c>
      <c r="AE62" s="413">
        <f>IF($S62="",0,IF($AA62&gt;0,$AB62*SUMIF(⑳商品別1食労務費!$C$5:$C$124,$S62,⑳商品別1食労務費!$F$5:$F$124)/$AA62,$AB62/$X62))</f>
        <v/>
      </c>
      <c r="AF62" s="413">
        <f>IF($T62="",0,IF($AA62&gt;0,$AB62*SUMIF(⑳商品別1食労務費!$C$5:$C$124,$T62,⑳商品別1食労務費!$F$5:$F$124)/$AA62,$AB62/$X62))</f>
        <v/>
      </c>
      <c r="AG62" s="413">
        <f>IF($U62="",0,IF($AA62&gt;0,$AB62*SUMIF(⑳商品別1食労務費!$C$5:$C$124,$U62,⑳商品別1食労務費!$F$5:$F$124)/$AA62,$AB62/$X62))</f>
        <v/>
      </c>
      <c r="AH62" s="413">
        <f>IF($V62="",0,IF($AA62&gt;0,$AB62*SUMIF(⑳商品別1食労務費!$C$5:$C$124,$V62,⑳商品別1食労務費!$F$5:$F$124)/$AA62,$AB62/$X62))</f>
        <v/>
      </c>
      <c r="AI62" s="413">
        <f>IF($W62="",0,IF($AA62&gt;0,$AB62*SUMIF(⑳商品別1食労務費!$C$5:$C$124,$W62,⑳商品別1食労務費!$F$5:$F$124)/$AA62,$AB62/$X62))</f>
        <v/>
      </c>
    </row>
    <row r="63" ht="16" customHeight="1" s="438">
      <c r="A63" s="23" t="n">
        <v>59</v>
      </c>
      <c r="B63" s="24" t="inlineStr">
        <is>
          <t>釜製造</t>
        </is>
      </c>
      <c r="C63" s="5" t="inlineStr">
        <is>
          <t>バナナロール生地</t>
        </is>
      </c>
      <c r="D63" s="5" t="n"/>
      <c r="E63" s="5" t="n"/>
      <c r="F63" s="25" t="n"/>
      <c r="G63" s="7" t="n"/>
      <c r="H63" s="7" t="n"/>
      <c r="I63" s="7" t="n"/>
      <c r="J63" s="7" t="n"/>
      <c r="K63" s="513">
        <f>IF(F63&gt;0,I63/(F63/60),0)</f>
        <v/>
      </c>
      <c r="L63" s="514">
        <f>IF(AND(ISNUMBER(F63),J63&gt;0),J63/(F63/60),"")</f>
        <v/>
      </c>
      <c r="M63" s="9">
        <f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513">
        <f>IF(I63&gt;0,M63/I63,"")</f>
        <v/>
      </c>
      <c r="O63" s="514">
        <f>IF(AND(J63&gt;0,ISNUMBER(M63)),M63/J63,"")</f>
        <v/>
      </c>
      <c r="P63" s="26" t="n"/>
      <c r="Q63" s="27" t="n"/>
      <c r="R63" s="5" t="inlineStr">
        <is>
          <t>バナナのふんわりロール２</t>
        </is>
      </c>
      <c r="S63" s="5" t="inlineStr">
        <is>
          <t>Ｓバナナのふんわりロール２</t>
        </is>
      </c>
      <c r="T63" s="5" t="n"/>
      <c r="U63" s="5" t="n"/>
      <c r="V63" s="5" t="n"/>
      <c r="W63" s="5" t="n"/>
      <c r="X63">
        <f>COUNTA(R63:W63)</f>
        <v/>
      </c>
      <c r="Y63">
        <f>IF(AND($X63&gt;0,ISNUMBER($M63)),$M63/$X63,"")</f>
        <v/>
      </c>
      <c r="Z63">
        <f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>
        <f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/>
      </c>
      <c r="AB63">
        <f>IF(ISNUMBER($M63),$M63,0)</f>
        <v/>
      </c>
      <c r="AD63" s="413">
        <f>IF($R63="",0,IF($AA63&gt;0,$AB63*SUMIF(⑳商品別1食労務費!$C$5:$C$124,$R63,⑳商品別1食労務費!$F$5:$F$124)/$AA63,$AB63/$X63))</f>
        <v/>
      </c>
      <c r="AE63" s="413">
        <f>IF($S63="",0,IF($AA63&gt;0,$AB63*SUMIF(⑳商品別1食労務費!$C$5:$C$124,$S63,⑳商品別1食労務費!$F$5:$F$124)/$AA63,$AB63/$X63))</f>
        <v/>
      </c>
      <c r="AF63" s="413">
        <f>IF($T63="",0,IF($AA63&gt;0,$AB63*SUMIF(⑳商品別1食労務費!$C$5:$C$124,$T63,⑳商品別1食労務費!$F$5:$F$124)/$AA63,$AB63/$X63))</f>
        <v/>
      </c>
      <c r="AG63" s="413">
        <f>IF($U63="",0,IF($AA63&gt;0,$AB63*SUMIF(⑳商品別1食労務費!$C$5:$C$124,$U63,⑳商品別1食労務費!$F$5:$F$124)/$AA63,$AB63/$X63))</f>
        <v/>
      </c>
      <c r="AH63" s="413">
        <f>IF($V63="",0,IF($AA63&gt;0,$AB63*SUMIF(⑳商品別1食労務費!$C$5:$C$124,$V63,⑳商品別1食労務費!$F$5:$F$124)/$AA63,$AB63/$X63))</f>
        <v/>
      </c>
      <c r="AI63" s="413">
        <f>IF($W63="",0,IF($AA63&gt;0,$AB63*SUMIF(⑳商品別1食労務費!$C$5:$C$124,$W63,⑳商品別1食労務費!$F$5:$F$124)/$AA63,$AB63/$X63))</f>
        <v/>
      </c>
    </row>
    <row r="64" ht="16" customHeight="1" s="438">
      <c r="A64" s="23" t="n">
        <v>60</v>
      </c>
      <c r="B64" s="24" t="inlineStr">
        <is>
          <t>釜製造</t>
        </is>
      </c>
      <c r="C64" s="5" t="inlineStr">
        <is>
          <t>抹茶わらび餅</t>
        </is>
      </c>
      <c r="D64" s="5" t="n"/>
      <c r="E64" s="5" t="n"/>
      <c r="F64" s="25" t="n"/>
      <c r="G64" s="7" t="n"/>
      <c r="H64" s="7" t="n"/>
      <c r="I64" s="7" t="n"/>
      <c r="J64" s="7" t="n"/>
      <c r="K64" s="513">
        <f>IF(F64&gt;0,I64/(F64/60),0)</f>
        <v/>
      </c>
      <c r="L64" s="514">
        <f>IF(AND(ISNUMBER(F64),J64&gt;0),J64/(F64/60),"")</f>
        <v/>
      </c>
      <c r="M64" s="9">
        <f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513">
        <f>IF(I64&gt;0,M64/I64,"")</f>
        <v/>
      </c>
      <c r="O64" s="514">
        <f>IF(AND(J64&gt;0,ISNUMBER(M64)),M64/J64,"")</f>
        <v/>
      </c>
      <c r="P64" s="26" t="n"/>
      <c r="Q64" s="27" t="n"/>
      <c r="R64" s="5" t="inlineStr">
        <is>
          <t>お箸でつまんでわらび餅小</t>
        </is>
      </c>
      <c r="S64" s="5" t="inlineStr">
        <is>
          <t>Ｓお箸でつまんでわらび餅小</t>
        </is>
      </c>
      <c r="T64" s="5" t="n"/>
      <c r="U64" s="5" t="n"/>
      <c r="V64" s="5" t="n"/>
      <c r="W64" s="5" t="n"/>
      <c r="X64">
        <f>COUNTA(R64:W64)</f>
        <v/>
      </c>
      <c r="Y64">
        <f>IF(AND($X64&gt;0,ISNUMBER($M64)),$M64/$X64,"")</f>
        <v/>
      </c>
      <c r="Z64">
        <f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>
        <f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/>
      </c>
      <c r="AB64">
        <f>IF(ISNUMBER($M64),$M64,0)</f>
        <v/>
      </c>
      <c r="AD64" s="413">
        <f>IF($R64="",0,IF($AA64&gt;0,$AB64*SUMIF(⑳商品別1食労務費!$C$5:$C$124,$R64,⑳商品別1食労務費!$F$5:$F$124)/$AA64,$AB64/$X64))</f>
        <v/>
      </c>
      <c r="AE64" s="413">
        <f>IF($S64="",0,IF($AA64&gt;0,$AB64*SUMIF(⑳商品別1食労務費!$C$5:$C$124,$S64,⑳商品別1食労務費!$F$5:$F$124)/$AA64,$AB64/$X64))</f>
        <v/>
      </c>
      <c r="AF64" s="413">
        <f>IF($T64="",0,IF($AA64&gt;0,$AB64*SUMIF(⑳商品別1食労務費!$C$5:$C$124,$T64,⑳商品別1食労務費!$F$5:$F$124)/$AA64,$AB64/$X64))</f>
        <v/>
      </c>
      <c r="AG64" s="413">
        <f>IF($U64="",0,IF($AA64&gt;0,$AB64*SUMIF(⑳商品別1食労務費!$C$5:$C$124,$U64,⑳商品別1食労務費!$F$5:$F$124)/$AA64,$AB64/$X64))</f>
        <v/>
      </c>
      <c r="AH64" s="413">
        <f>IF($V64="",0,IF($AA64&gt;0,$AB64*SUMIF(⑳商品別1食労務費!$C$5:$C$124,$V64,⑳商品別1食労務費!$F$5:$F$124)/$AA64,$AB64/$X64))</f>
        <v/>
      </c>
      <c r="AI64" s="413">
        <f>IF($W64="",0,IF($AA64&gt;0,$AB64*SUMIF(⑳商品別1食労務費!$C$5:$C$124,$W64,⑳商品別1食労務費!$F$5:$F$124)/$AA64,$AB64/$X64))</f>
        <v/>
      </c>
    </row>
    <row r="65" ht="16" customHeight="1" s="438">
      <c r="A65" s="12" t="n">
        <v>61</v>
      </c>
      <c r="B65" s="28" t="inlineStr">
        <is>
          <t>釜製造</t>
        </is>
      </c>
      <c r="C65" s="5" t="inlineStr">
        <is>
          <t>抹茶きなこ</t>
        </is>
      </c>
      <c r="D65" s="5" t="n"/>
      <c r="E65" s="5" t="n"/>
      <c r="F65" s="14" t="n"/>
      <c r="G65" s="12" t="n"/>
      <c r="H65" s="12" t="n"/>
      <c r="I65" s="12" t="n"/>
      <c r="J65" s="12" t="n"/>
      <c r="K65" s="12" t="inlineStr">
        <is>
          <t>-</t>
        </is>
      </c>
      <c r="L65" s="515">
        <f>IF(AND(ISNUMBER(F65),J65&gt;0),J65/(F65/60),"")</f>
        <v/>
      </c>
      <c r="M65" s="12">
        <f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12" t="inlineStr">
        <is>
          <t>-</t>
        </is>
      </c>
      <c r="O65" s="515">
        <f>IF(AND(J65&gt;0,ISNUMBER(M65)),M65/J65,"")</f>
        <v/>
      </c>
      <c r="P65" s="15" t="n"/>
      <c r="Q65" s="16" t="n"/>
      <c r="R65" s="5" t="inlineStr">
        <is>
          <t>Ｓお箸でつまんでわらび餅小</t>
        </is>
      </c>
      <c r="S65" s="5" t="inlineStr">
        <is>
          <t>お箸でつまんでわらび餅小</t>
        </is>
      </c>
      <c r="T65" s="5" t="n"/>
      <c r="U65" s="5" t="n"/>
      <c r="V65" s="5" t="n"/>
      <c r="W65" s="5" t="n"/>
      <c r="X65">
        <f>COUNTA(R65:W65)</f>
        <v/>
      </c>
      <c r="Y65">
        <f>IF(AND($X65&gt;0,ISNUMBER($M65)),$M65/$X65,"")</f>
        <v/>
      </c>
      <c r="Z65">
        <f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>
        <f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/>
      </c>
      <c r="AB65">
        <f>IF(ISNUMBER($M65),$M65,0)</f>
        <v/>
      </c>
      <c r="AD65" s="413">
        <f>IF($R65="",0,IF($AA65&gt;0,$AB65*SUMIF(⑳商品別1食労務費!$C$5:$C$124,$R65,⑳商品別1食労務費!$F$5:$F$124)/$AA65,$AB65/$X65))</f>
        <v/>
      </c>
      <c r="AE65" s="413">
        <f>IF($S65="",0,IF($AA65&gt;0,$AB65*SUMIF(⑳商品別1食労務費!$C$5:$C$124,$S65,⑳商品別1食労務費!$F$5:$F$124)/$AA65,$AB65/$X65))</f>
        <v/>
      </c>
      <c r="AF65" s="413">
        <f>IF($T65="",0,IF($AA65&gt;0,$AB65*SUMIF(⑳商品別1食労務費!$C$5:$C$124,$T65,⑳商品別1食労務費!$F$5:$F$124)/$AA65,$AB65/$X65))</f>
        <v/>
      </c>
      <c r="AG65" s="413">
        <f>IF($U65="",0,IF($AA65&gt;0,$AB65*SUMIF(⑳商品別1食労務費!$C$5:$C$124,$U65,⑳商品別1食労務費!$F$5:$F$124)/$AA65,$AB65/$X65))</f>
        <v/>
      </c>
      <c r="AH65" s="413">
        <f>IF($V65="",0,IF($AA65&gt;0,$AB65*SUMIF(⑳商品別1食労務費!$C$5:$C$124,$V65,⑳商品別1食労務費!$F$5:$F$124)/$AA65,$AB65/$X65))</f>
        <v/>
      </c>
      <c r="AI65" s="413">
        <f>IF($W65="",0,IF($AA65&gt;0,$AB65*SUMIF(⑳商品別1食労務費!$C$5:$C$124,$W65,⑳商品別1食労務費!$F$5:$F$124)/$AA65,$AB65/$X65))</f>
        <v/>
      </c>
    </row>
    <row r="66" ht="16" customHeight="1" s="438">
      <c r="A66" s="23" t="n">
        <v>62</v>
      </c>
      <c r="B66" s="24" t="inlineStr">
        <is>
          <t>釜製造</t>
        </is>
      </c>
      <c r="C66" s="5" t="inlineStr">
        <is>
          <t>抹茶わらび餅加熱</t>
        </is>
      </c>
      <c r="D66" s="5" t="n"/>
      <c r="E66" s="5" t="n"/>
      <c r="F66" s="25" t="n"/>
      <c r="G66" s="7" t="n"/>
      <c r="H66" s="7" t="n"/>
      <c r="I66" s="7" t="n"/>
      <c r="J66" s="7" t="n"/>
      <c r="K66" s="513">
        <f>IF(F66&gt;0,I66/(F66/60),0)</f>
        <v/>
      </c>
      <c r="L66" s="514">
        <f>IF(AND(ISNUMBER(F66),J66&gt;0),J66/(F66/60),"")</f>
        <v/>
      </c>
      <c r="M66" s="9">
        <f>IF(OR(ISNUMBER(SEARCH("サニテーション",C66)),ISNUMBER(SEARCH("客注",C66)),ISNUMBER(SEARCH("切り替え",C66)),ISNUMBER(SEARCH("切替",C66)),NOT(ISNUMBER(H66))),"",IF(ISNUMBER(G66),G66/60*H66*④前提設定!$B$4,IF(AND(G66="",ISNUMBER(F66)),F66/60*H66*④前提設定!$B$4,"")))</f>
        <v/>
      </c>
      <c r="N66" s="513">
        <f>IF(I66&gt;0,M66/I66,"")</f>
        <v/>
      </c>
      <c r="O66" s="514">
        <f>IF(AND(J66&gt;0,ISNUMBER(M66)),M66/J66,"")</f>
        <v/>
      </c>
      <c r="P66" s="26" t="n"/>
      <c r="Q66" s="27" t="n"/>
      <c r="R66" s="5" t="inlineStr">
        <is>
          <t>お箸でつまんでわらび餅小</t>
        </is>
      </c>
      <c r="S66" s="5" t="inlineStr">
        <is>
          <t>Ｓお箸でつまんでわらび餅小</t>
        </is>
      </c>
      <c r="T66" s="5" t="n"/>
      <c r="U66" s="5" t="n"/>
      <c r="V66" s="5" t="n"/>
      <c r="W66" s="5" t="n"/>
      <c r="X66">
        <f>COUNTA(R66:W66)</f>
        <v/>
      </c>
      <c r="Y66">
        <f>IF(AND($X66&gt;0,ISNUMBER($M66)),$M66/$X66,"")</f>
        <v/>
      </c>
      <c r="Z66">
        <f>IF($X66=0,"",IF(COUNTIF(⑳商品別1食労務費!$C$5:$C$124,$R66)+COUNTIF(⑳商品別1食労務費!$C$5:$C$124,$S66)+COUNTIF(⑳商品別1食労務費!$C$5:$C$124,$T66)+COUNTIF(⑳商品別1食労務費!$C$5:$C$124,$U66)+COUNTIF(⑳商品別1食労務費!$C$5:$C$124,$V66)+COUNTIF(⑳商品別1食労務費!$C$5:$C$124,$W66)=$X66,"OK","⑳に無い商品名"))</f>
        <v/>
      </c>
      <c r="AA66">
        <f>SUMIF(⑳商品別1食労務費!$C$5:$C$124,$R66,⑳商品別1食労務費!$F$5:$F$124)+SUMIF(⑳商品別1食労務費!$C$5:$C$124,$S66,⑳商品別1食労務費!$F$5:$F$124)+SUMIF(⑳商品別1食労務費!$C$5:$C$124,$T66,⑳商品別1食労務費!$F$5:$F$124)+SUMIF(⑳商品別1食労務費!$C$5:$C$124,$U66,⑳商品別1食労務費!$F$5:$F$124)+SUMIF(⑳商品別1食労務費!$C$5:$C$124,$V66,⑳商品別1食労務費!$F$5:$F$124)+SUMIF(⑳商品別1食労務費!$C$5:$C$124,$W66,⑳商品別1食労務費!$F$5:$F$124)</f>
        <v/>
      </c>
      <c r="AB66">
        <f>IF(ISNUMBER($M66),$M66,0)</f>
        <v/>
      </c>
      <c r="AD66" s="413">
        <f>IF($R66="",0,IF($AA66&gt;0,$AB66*SUMIF(⑳商品別1食労務費!$C$5:$C$124,$R66,⑳商品別1食労務費!$F$5:$F$124)/$AA66,$AB66/$X66))</f>
        <v/>
      </c>
      <c r="AE66" s="413">
        <f>IF($S66="",0,IF($AA66&gt;0,$AB66*SUMIF(⑳商品別1食労務費!$C$5:$C$124,$S66,⑳商品別1食労務費!$F$5:$F$124)/$AA66,$AB66/$X66))</f>
        <v/>
      </c>
      <c r="AF66" s="413">
        <f>IF($T66="",0,IF($AA66&gt;0,$AB66*SUMIF(⑳商品別1食労務費!$C$5:$C$124,$T66,⑳商品別1食労務費!$F$5:$F$124)/$AA66,$AB66/$X66))</f>
        <v/>
      </c>
      <c r="AG66" s="413">
        <f>IF($U66="",0,IF($AA66&gt;0,$AB66*SUMIF(⑳商品別1食労務費!$C$5:$C$124,$U66,⑳商品別1食労務費!$F$5:$F$124)/$AA66,$AB66/$X66))</f>
        <v/>
      </c>
      <c r="AH66" s="413">
        <f>IF($V66="",0,IF($AA66&gt;0,$AB66*SUMIF(⑳商品別1食労務費!$C$5:$C$124,$V66,⑳商品別1食労務費!$F$5:$F$124)/$AA66,$AB66/$X66))</f>
        <v/>
      </c>
      <c r="AI66" s="413">
        <f>IF($W66="",0,IF($AA66&gt;0,$AB66*SUMIF(⑳商品別1食労務費!$C$5:$C$124,$W66,⑳商品別1食労務費!$F$5:$F$124)/$AA66,$AB66/$X66))</f>
        <v/>
      </c>
    </row>
    <row r="67" ht="16" customHeight="1" s="438">
      <c r="A67" s="23" t="n">
        <v>63</v>
      </c>
      <c r="B67" s="24" t="inlineStr">
        <is>
          <t>釜製造</t>
        </is>
      </c>
      <c r="C67" s="5" t="inlineStr">
        <is>
          <t>自社製ホイップの卵プリン</t>
        </is>
      </c>
      <c r="D67" s="5" t="n"/>
      <c r="E67" s="5" t="n"/>
      <c r="F67" s="25" t="n"/>
      <c r="G67" s="7" t="n"/>
      <c r="H67" s="7" t="n"/>
      <c r="I67" s="7" t="n"/>
      <c r="J67" s="7" t="n"/>
      <c r="K67" s="513">
        <f>IF(F67&gt;0,I67/(F67/60),0)</f>
        <v/>
      </c>
      <c r="L67" s="514">
        <f>IF(AND(ISNUMBER(F67),J67&gt;0),J67/(F67/60),"")</f>
        <v/>
      </c>
      <c r="M67" s="9">
        <f>IF(OR(ISNUMBER(SEARCH("サニテーション",C67)),ISNUMBER(SEARCH("客注",C67)),ISNUMBER(SEARCH("切り替え",C67)),ISNUMBER(SEARCH("切替",C67)),NOT(ISNUMBER(H67))),"",IF(ISNUMBER(G67),G67/60*H67*④前提設定!$B$4,IF(AND(G67="",ISNUMBER(F67)),F67/60*H67*④前提設定!$B$4,"")))</f>
        <v/>
      </c>
      <c r="N67" s="513">
        <f>IF(I67&gt;0,M67/I67,"")</f>
        <v/>
      </c>
      <c r="O67" s="514">
        <f>IF(AND(J67&gt;0,ISNUMBER(M67)),M67/J67,"")</f>
        <v/>
      </c>
      <c r="P67" s="26" t="n"/>
      <c r="Q67" s="27" t="n"/>
      <c r="R67" s="5" t="inlineStr">
        <is>
          <t>自社製ホイップの卵プリン</t>
        </is>
      </c>
      <c r="S67" s="5" t="inlineStr">
        <is>
          <t>Ｓホイップの卵プリン</t>
        </is>
      </c>
      <c r="T67" s="5" t="inlineStr">
        <is>
          <t>ホイップの卵プリン</t>
        </is>
      </c>
      <c r="U67" s="5" t="n"/>
      <c r="V67" s="5" t="n"/>
      <c r="W67" s="5" t="n"/>
      <c r="X67">
        <f>COUNTA(R67:W67)</f>
        <v/>
      </c>
      <c r="Y67">
        <f>IF(AND($X67&gt;0,ISNUMBER($M67)),$M67/$X67,"")</f>
        <v/>
      </c>
      <c r="Z67">
        <f>IF($X67=0,"",IF(COUNTIF(⑳商品別1食労務費!$C$5:$C$124,$R67)+COUNTIF(⑳商品別1食労務費!$C$5:$C$124,$S67)+COUNTIF(⑳商品別1食労務費!$C$5:$C$124,$T67)+COUNTIF(⑳商品別1食労務費!$C$5:$C$124,$U67)+COUNTIF(⑳商品別1食労務費!$C$5:$C$124,$V67)+COUNTIF(⑳商品別1食労務費!$C$5:$C$124,$W67)=$X67,"OK","⑳に無い商品名"))</f>
        <v/>
      </c>
      <c r="AA67">
        <f>SUMIF(⑳商品別1食労務費!$C$5:$C$124,$R67,⑳商品別1食労務費!$F$5:$F$124)+SUMIF(⑳商品別1食労務費!$C$5:$C$124,$S67,⑳商品別1食労務費!$F$5:$F$124)+SUMIF(⑳商品別1食労務費!$C$5:$C$124,$T67,⑳商品別1食労務費!$F$5:$F$124)+SUMIF(⑳商品別1食労務費!$C$5:$C$124,$U67,⑳商品別1食労務費!$F$5:$F$124)+SUMIF(⑳商品別1食労務費!$C$5:$C$124,$V67,⑳商品別1食労務費!$F$5:$F$124)+SUMIF(⑳商品別1食労務費!$C$5:$C$124,$W67,⑳商品別1食労務費!$F$5:$F$124)</f>
        <v/>
      </c>
      <c r="AB67">
        <f>IF(ISNUMBER($M67),$M67,0)</f>
        <v/>
      </c>
      <c r="AD67" s="413">
        <f>IF($R67="",0,IF($AA67&gt;0,$AB67*SUMIF(⑳商品別1食労務費!$C$5:$C$124,$R67,⑳商品別1食労務費!$F$5:$F$124)/$AA67,$AB67/$X67))</f>
        <v/>
      </c>
      <c r="AE67" s="413">
        <f>IF($S67="",0,IF($AA67&gt;0,$AB67*SUMIF(⑳商品別1食労務費!$C$5:$C$124,$S67,⑳商品別1食労務費!$F$5:$F$124)/$AA67,$AB67/$X67))</f>
        <v/>
      </c>
      <c r="AF67" s="413">
        <f>IF($T67="",0,IF($AA67&gt;0,$AB67*SUMIF(⑳商品別1食労務費!$C$5:$C$124,$T67,⑳商品別1食労務費!$F$5:$F$124)/$AA67,$AB67/$X67))</f>
        <v/>
      </c>
      <c r="AG67" s="413">
        <f>IF($U67="",0,IF($AA67&gt;0,$AB67*SUMIF(⑳商品別1食労務費!$C$5:$C$124,$U67,⑳商品別1食労務費!$F$5:$F$124)/$AA67,$AB67/$X67))</f>
        <v/>
      </c>
      <c r="AH67" s="413">
        <f>IF($V67="",0,IF($AA67&gt;0,$AB67*SUMIF(⑳商品別1食労務費!$C$5:$C$124,$V67,⑳商品別1食労務費!$F$5:$F$124)/$AA67,$AB67/$X67))</f>
        <v/>
      </c>
      <c r="AI67" s="413">
        <f>IF($W67="",0,IF($AA67&gt;0,$AB67*SUMIF(⑳商品別1食労務費!$C$5:$C$124,$W67,⑳商品別1食労務費!$F$5:$F$124)/$AA67,$AB67/$X67))</f>
        <v/>
      </c>
    </row>
    <row r="68" ht="16" customHeight="1" s="438">
      <c r="A68" s="23" t="n">
        <v>64</v>
      </c>
      <c r="B68" s="24" t="inlineStr">
        <is>
          <t>釜製造</t>
        </is>
      </c>
      <c r="C68" s="5" t="inlineStr">
        <is>
          <t>内製ホイップ</t>
        </is>
      </c>
      <c r="D68" s="5" t="n"/>
      <c r="E68" s="5" t="n"/>
      <c r="F68" s="25" t="n"/>
      <c r="G68" s="7" t="n"/>
      <c r="H68" s="7" t="n"/>
      <c r="I68" s="7" t="n"/>
      <c r="J68" s="7" t="n"/>
      <c r="K68" s="513">
        <f>IF(F68&gt;0,I68/(F68/60),0)</f>
        <v/>
      </c>
      <c r="L68" s="514">
        <f>IF(AND(ISNUMBER(F68),J68&gt;0),J68/(F68/60),"")</f>
        <v/>
      </c>
      <c r="M68" s="9">
        <f>IF(OR(ISNUMBER(SEARCH("サニテーション",C68)),ISNUMBER(SEARCH("客注",C68)),ISNUMBER(SEARCH("切り替え",C68)),ISNUMBER(SEARCH("切替",C68)),NOT(ISNUMBER(H68))),"",IF(ISNUMBER(G68),G68/60*H68*④前提設定!$B$4,IF(AND(G68="",ISNUMBER(F68)),F68/60*H68*④前提設定!$B$4,"")))</f>
        <v/>
      </c>
      <c r="N68" s="513">
        <f>IF(I68&gt;0,M68/I68,"")</f>
        <v/>
      </c>
      <c r="O68" s="514">
        <f>IF(AND(J68&gt;0,ISNUMBER(M68)),M68/J68,"")</f>
        <v/>
      </c>
      <c r="P68" s="26" t="n"/>
      <c r="Q68" s="27" t="n"/>
      <c r="R68" s="5" t="inlineStr">
        <is>
          <t>自社製ホイップの卵プリン</t>
        </is>
      </c>
      <c r="S68" s="5" t="inlineStr">
        <is>
          <t>Ｓホイップの卵プリン</t>
        </is>
      </c>
      <c r="T68" s="5" t="inlineStr">
        <is>
          <t>Ｓカスタード＆ホイップシュ</t>
        </is>
      </c>
      <c r="U68" s="5" t="inlineStr">
        <is>
          <t>ホイップの卵プリン</t>
        </is>
      </c>
      <c r="V68" s="5" t="n"/>
      <c r="W68" s="5" t="n"/>
      <c r="X68">
        <f>COUNTA(R68:W68)</f>
        <v/>
      </c>
      <c r="Y68">
        <f>IF(AND($X68&gt;0,ISNUMBER($M68)),$M68/$X68,"")</f>
        <v/>
      </c>
      <c r="Z68">
        <f>IF($X68=0,"",IF(COUNTIF(⑳商品別1食労務費!$C$5:$C$124,$R68)+COUNTIF(⑳商品別1食労務費!$C$5:$C$124,$S68)+COUNTIF(⑳商品別1食労務費!$C$5:$C$124,$T68)+COUNTIF(⑳商品別1食労務費!$C$5:$C$124,$U68)+COUNTIF(⑳商品別1食労務費!$C$5:$C$124,$V68)+COUNTIF(⑳商品別1食労務費!$C$5:$C$124,$W68)=$X68,"OK","⑳に無い商品名"))</f>
        <v/>
      </c>
      <c r="AA68">
        <f>SUMIF(⑳商品別1食労務費!$C$5:$C$124,$R68,⑳商品別1食労務費!$F$5:$F$124)+SUMIF(⑳商品別1食労務費!$C$5:$C$124,$S68,⑳商品別1食労務費!$F$5:$F$124)+SUMIF(⑳商品別1食労務費!$C$5:$C$124,$T68,⑳商品別1食労務費!$F$5:$F$124)+SUMIF(⑳商品別1食労務費!$C$5:$C$124,$U68,⑳商品別1食労務費!$F$5:$F$124)+SUMIF(⑳商品別1食労務費!$C$5:$C$124,$V68,⑳商品別1食労務費!$F$5:$F$124)+SUMIF(⑳商品別1食労務費!$C$5:$C$124,$W68,⑳商品別1食労務費!$F$5:$F$124)</f>
        <v/>
      </c>
      <c r="AB68">
        <f>IF(ISNUMBER($M68),$M68,0)</f>
        <v/>
      </c>
      <c r="AD68" s="413">
        <f>IF($R68="",0,IF($AA68&gt;0,$AB68*SUMIF(⑳商品別1食労務費!$C$5:$C$124,$R68,⑳商品別1食労務費!$F$5:$F$124)/$AA68,$AB68/$X68))</f>
        <v/>
      </c>
      <c r="AE68" s="413">
        <f>IF($S68="",0,IF($AA68&gt;0,$AB68*SUMIF(⑳商品別1食労務費!$C$5:$C$124,$S68,⑳商品別1食労務費!$F$5:$F$124)/$AA68,$AB68/$X68))</f>
        <v/>
      </c>
      <c r="AF68" s="413">
        <f>IF($T68="",0,IF($AA68&gt;0,$AB68*SUMIF(⑳商品別1食労務費!$C$5:$C$124,$T68,⑳商品別1食労務費!$F$5:$F$124)/$AA68,$AB68/$X68))</f>
        <v/>
      </c>
      <c r="AG68" s="413">
        <f>IF($U68="",0,IF($AA68&gt;0,$AB68*SUMIF(⑳商品別1食労務費!$C$5:$C$124,$U68,⑳商品別1食労務費!$F$5:$F$124)/$AA68,$AB68/$X68))</f>
        <v/>
      </c>
      <c r="AH68" s="413">
        <f>IF($V68="",0,IF($AA68&gt;0,$AB68*SUMIF(⑳商品別1食労務費!$C$5:$C$124,$V68,⑳商品別1食労務費!$F$5:$F$124)/$AA68,$AB68/$X68))</f>
        <v/>
      </c>
      <c r="AI68" s="413">
        <f>IF($W68="",0,IF($AA68&gt;0,$AB68*SUMIF(⑳商品別1食労務費!$C$5:$C$124,$W68,⑳商品別1食労務費!$F$5:$F$124)/$AA68,$AB68/$X68))</f>
        <v/>
      </c>
    </row>
    <row r="69" ht="16" customHeight="1" s="438">
      <c r="A69" s="23" t="n">
        <v>65</v>
      </c>
      <c r="B69" s="24" t="inlineStr">
        <is>
          <t>釜製造</t>
        </is>
      </c>
      <c r="C69" s="5" t="inlineStr">
        <is>
          <t>卵プリン液</t>
        </is>
      </c>
      <c r="D69" s="5" t="n"/>
      <c r="E69" s="5" t="n"/>
      <c r="F69" s="25" t="n"/>
      <c r="G69" s="7" t="n"/>
      <c r="H69" s="7" t="n"/>
      <c r="I69" s="7" t="n"/>
      <c r="J69" s="7" t="n"/>
      <c r="K69" s="513">
        <f>IF(F69&gt;0,I69/(F69/60),0)</f>
        <v/>
      </c>
      <c r="L69" s="514">
        <f>IF(AND(ISNUMBER(F69),J69&gt;0),J69/(F69/60),"")</f>
        <v/>
      </c>
      <c r="M69" s="9">
        <f>IF(OR(ISNUMBER(SEARCH("サニテーション",C69)),ISNUMBER(SEARCH("客注",C69)),ISNUMBER(SEARCH("切り替え",C69)),ISNUMBER(SEARCH("切替",C69)),NOT(ISNUMBER(H69))),"",IF(ISNUMBER(G69),G69/60*H69*④前提設定!$B$4,IF(AND(G69="",ISNUMBER(F69)),F69/60*H69*④前提設定!$B$4,"")))</f>
        <v/>
      </c>
      <c r="N69" s="513">
        <f>IF(I69&gt;0,M69/I69,"")</f>
        <v/>
      </c>
      <c r="O69" s="514">
        <f>IF(AND(J69&gt;0,ISNUMBER(M69)),M69/J69,"")</f>
        <v/>
      </c>
      <c r="P69" s="26" t="n"/>
      <c r="Q69" s="27" t="n"/>
      <c r="R69" s="5" t="inlineStr">
        <is>
          <t>Ｓホイップの卵プリン</t>
        </is>
      </c>
      <c r="S69" s="5" t="inlineStr">
        <is>
          <t>自社製ホイップの卵プリン</t>
        </is>
      </c>
      <c r="T69" s="5" t="inlineStr">
        <is>
          <t>ホイップの卵プリン</t>
        </is>
      </c>
      <c r="U69" s="5" t="n"/>
      <c r="V69" s="5" t="n"/>
      <c r="W69" s="5" t="n"/>
      <c r="X69">
        <f>COUNTA(R69:W69)</f>
        <v/>
      </c>
      <c r="Y69">
        <f>IF(AND($X69&gt;0,ISNUMBER($M69)),$M69/$X69,"")</f>
        <v/>
      </c>
      <c r="Z69">
        <f>IF($X69=0,"",IF(COUNTIF(⑳商品別1食労務費!$C$5:$C$124,$R69)+COUNTIF(⑳商品別1食労務費!$C$5:$C$124,$S69)+COUNTIF(⑳商品別1食労務費!$C$5:$C$124,$T69)+COUNTIF(⑳商品別1食労務費!$C$5:$C$124,$U69)+COUNTIF(⑳商品別1食労務費!$C$5:$C$124,$V69)+COUNTIF(⑳商品別1食労務費!$C$5:$C$124,$W69)=$X69,"OK","⑳に無い商品名"))</f>
        <v/>
      </c>
      <c r="AA69">
        <f>SUMIF(⑳商品別1食労務費!$C$5:$C$124,$R69,⑳商品別1食労務費!$F$5:$F$124)+SUMIF(⑳商品別1食労務費!$C$5:$C$124,$S69,⑳商品別1食労務費!$F$5:$F$124)+SUMIF(⑳商品別1食労務費!$C$5:$C$124,$T69,⑳商品別1食労務費!$F$5:$F$124)+SUMIF(⑳商品別1食労務費!$C$5:$C$124,$U69,⑳商品別1食労務費!$F$5:$F$124)+SUMIF(⑳商品別1食労務費!$C$5:$C$124,$V69,⑳商品別1食労務費!$F$5:$F$124)+SUMIF(⑳商品別1食労務費!$C$5:$C$124,$W69,⑳商品別1食労務費!$F$5:$F$124)</f>
        <v/>
      </c>
      <c r="AB69">
        <f>IF(ISNUMBER($M69),$M69,0)</f>
        <v/>
      </c>
      <c r="AD69" s="413">
        <f>IF($R69="",0,IF($AA69&gt;0,$AB69*SUMIF(⑳商品別1食労務費!$C$5:$C$124,$R69,⑳商品別1食労務費!$F$5:$F$124)/$AA69,$AB69/$X69))</f>
        <v/>
      </c>
      <c r="AE69" s="413">
        <f>IF($S69="",0,IF($AA69&gt;0,$AB69*SUMIF(⑳商品別1食労務費!$C$5:$C$124,$S69,⑳商品別1食労務費!$F$5:$F$124)/$AA69,$AB69/$X69))</f>
        <v/>
      </c>
      <c r="AF69" s="413">
        <f>IF($T69="",0,IF($AA69&gt;0,$AB69*SUMIF(⑳商品別1食労務費!$C$5:$C$124,$T69,⑳商品別1食労務費!$F$5:$F$124)/$AA69,$AB69/$X69))</f>
        <v/>
      </c>
      <c r="AG69" s="413">
        <f>IF($U69="",0,IF($AA69&gt;0,$AB69*SUMIF(⑳商品別1食労務費!$C$5:$C$124,$U69,⑳商品別1食労務費!$F$5:$F$124)/$AA69,$AB69/$X69))</f>
        <v/>
      </c>
      <c r="AH69" s="413">
        <f>IF($V69="",0,IF($AA69&gt;0,$AB69*SUMIF(⑳商品別1食労務費!$C$5:$C$124,$V69,⑳商品別1食労務費!$F$5:$F$124)/$AA69,$AB69/$X69))</f>
        <v/>
      </c>
      <c r="AI69" s="413">
        <f>IF($W69="",0,IF($AA69&gt;0,$AB69*SUMIF(⑳商品別1食労務費!$C$5:$C$124,$W69,⑳商品別1食労務費!$F$5:$F$124)/$AA69,$AB69/$X69))</f>
        <v/>
      </c>
    </row>
    <row r="70" ht="16" customHeight="1" s="438">
      <c r="A70" s="23" t="n">
        <v>66</v>
      </c>
      <c r="B70" s="24" t="inlineStr">
        <is>
          <t>釜製造</t>
        </is>
      </c>
      <c r="C70" s="5" t="inlineStr">
        <is>
          <t>プリンソース</t>
        </is>
      </c>
      <c r="D70" s="5" t="n"/>
      <c r="E70" s="5" t="n"/>
      <c r="F70" s="25" t="n"/>
      <c r="G70" s="7" t="n"/>
      <c r="H70" s="7" t="n"/>
      <c r="I70" s="7" t="n"/>
      <c r="J70" s="7" t="n"/>
      <c r="K70" s="513">
        <f>IF(F70&gt;0,I70/(F70/60),0)</f>
        <v/>
      </c>
      <c r="L70" s="514">
        <f>IF(AND(ISNUMBER(F70),J70&gt;0),J70/(F70/60),"")</f>
        <v/>
      </c>
      <c r="M70" s="9">
        <f>IF(OR(ISNUMBER(SEARCH("サニテーション",C70)),ISNUMBER(SEARCH("客注",C70)),ISNUMBER(SEARCH("切り替え",C70)),ISNUMBER(SEARCH("切替",C70)),NOT(ISNUMBER(H70))),"",IF(ISNUMBER(G70),G70/60*H70*④前提設定!$B$4,IF(AND(G70="",ISNUMBER(F70)),F70/60*H70*④前提設定!$B$4,"")))</f>
        <v/>
      </c>
      <c r="N70" s="513">
        <f>IF(I70&gt;0,M70/I70,"")</f>
        <v/>
      </c>
      <c r="O70" s="514">
        <f>IF(AND(J70&gt;0,ISNUMBER(M70)),M70/J70,"")</f>
        <v/>
      </c>
      <c r="P70" s="26" t="n"/>
      <c r="Q70" s="27" t="n"/>
      <c r="R70" s="5" t="inlineStr">
        <is>
          <t>Ｓホイップの卵プリン</t>
        </is>
      </c>
      <c r="S70" s="5" t="inlineStr">
        <is>
          <t>ホイップの卵プリン</t>
        </is>
      </c>
      <c r="T70" s="5" t="n"/>
      <c r="U70" s="5" t="n"/>
      <c r="V70" s="5" t="n"/>
      <c r="W70" s="5" t="n"/>
      <c r="X70">
        <f>COUNTA(R70:W70)</f>
        <v/>
      </c>
      <c r="Y70">
        <f>IF(AND($X70&gt;0,ISNUMBER($M70)),$M70/$X70,"")</f>
        <v/>
      </c>
      <c r="Z70">
        <f>IF($X70=0,"",IF(COUNTIF(⑳商品別1食労務費!$C$5:$C$124,$R70)+COUNTIF(⑳商品別1食労務費!$C$5:$C$124,$S70)+COUNTIF(⑳商品別1食労務費!$C$5:$C$124,$T70)+COUNTIF(⑳商品別1食労務費!$C$5:$C$124,$U70)+COUNTIF(⑳商品別1食労務費!$C$5:$C$124,$V70)+COUNTIF(⑳商品別1食労務費!$C$5:$C$124,$W70)=$X70,"OK","⑳に無い商品名"))</f>
        <v/>
      </c>
      <c r="AA70">
        <f>SUMIF(⑳商品別1食労務費!$C$5:$C$124,$R70,⑳商品別1食労務費!$F$5:$F$124)+SUMIF(⑳商品別1食労務費!$C$5:$C$124,$S70,⑳商品別1食労務費!$F$5:$F$124)+SUMIF(⑳商品別1食労務費!$C$5:$C$124,$T70,⑳商品別1食労務費!$F$5:$F$124)+SUMIF(⑳商品別1食労務費!$C$5:$C$124,$U70,⑳商品別1食労務費!$F$5:$F$124)+SUMIF(⑳商品別1食労務費!$C$5:$C$124,$V70,⑳商品別1食労務費!$F$5:$F$124)+SUMIF(⑳商品別1食労務費!$C$5:$C$124,$W70,⑳商品別1食労務費!$F$5:$F$124)</f>
        <v/>
      </c>
      <c r="AB70">
        <f>IF(ISNUMBER($M70),$M70,0)</f>
        <v/>
      </c>
      <c r="AD70" s="413">
        <f>IF($R70="",0,IF($AA70&gt;0,$AB70*SUMIF(⑳商品別1食労務費!$C$5:$C$124,$R70,⑳商品別1食労務費!$F$5:$F$124)/$AA70,$AB70/$X70))</f>
        <v/>
      </c>
      <c r="AE70" s="413">
        <f>IF($S70="",0,IF($AA70&gt;0,$AB70*SUMIF(⑳商品別1食労務費!$C$5:$C$124,$S70,⑳商品別1食労務費!$F$5:$F$124)/$AA70,$AB70/$X70))</f>
        <v/>
      </c>
      <c r="AF70" s="413">
        <f>IF($T70="",0,IF($AA70&gt;0,$AB70*SUMIF(⑳商品別1食労務費!$C$5:$C$124,$T70,⑳商品別1食労務費!$F$5:$F$124)/$AA70,$AB70/$X70))</f>
        <v/>
      </c>
      <c r="AG70" s="413">
        <f>IF($U70="",0,IF($AA70&gt;0,$AB70*SUMIF(⑳商品別1食労務費!$C$5:$C$124,$U70,⑳商品別1食労務費!$F$5:$F$124)/$AA70,$AB70/$X70))</f>
        <v/>
      </c>
      <c r="AH70" s="413">
        <f>IF($V70="",0,IF($AA70&gt;0,$AB70*SUMIF(⑳商品別1食労務費!$C$5:$C$124,$V70,⑳商品別1食労務費!$F$5:$F$124)/$AA70,$AB70/$X70))</f>
        <v/>
      </c>
      <c r="AI70" s="413">
        <f>IF($W70="",0,IF($AA70&gt;0,$AB70*SUMIF(⑳商品別1食労務費!$C$5:$C$124,$W70,⑳商品別1食労務費!$F$5:$F$124)/$AA70,$AB70/$X70))</f>
        <v/>
      </c>
    </row>
    <row r="71" ht="16" customHeight="1" s="438">
      <c r="A71" s="23" t="n">
        <v>67</v>
      </c>
      <c r="B71" s="24" t="inlineStr">
        <is>
          <t>釜製造</t>
        </is>
      </c>
      <c r="C71" s="5" t="inlineStr">
        <is>
          <t>みかん牛乳寒天</t>
        </is>
      </c>
      <c r="D71" s="5" t="n"/>
      <c r="E71" s="5" t="n"/>
      <c r="F71" s="25" t="n"/>
      <c r="G71" s="7" t="n"/>
      <c r="H71" s="7" t="n"/>
      <c r="I71" s="7" t="n"/>
      <c r="J71" s="7" t="n"/>
      <c r="K71" s="513">
        <f>IF(F71&gt;0,I71/(F71/60),0)</f>
        <v/>
      </c>
      <c r="L71" s="514">
        <f>IF(AND(ISNUMBER(F71),J71&gt;0),J71/(F71/60),"")</f>
        <v/>
      </c>
      <c r="M71" s="9">
        <f>IF(OR(ISNUMBER(SEARCH("サニテーション",C71)),ISNUMBER(SEARCH("客注",C71)),ISNUMBER(SEARCH("切り替え",C71)),ISNUMBER(SEARCH("切替",C71)),NOT(ISNUMBER(H71))),"",IF(ISNUMBER(G71),G71/60*H71*④前提設定!$B$4,IF(AND(G71="",ISNUMBER(F71)),F71/60*H71*④前提設定!$B$4,"")))</f>
        <v/>
      </c>
      <c r="N71" s="513">
        <f>IF(I71&gt;0,M71/I71,"")</f>
        <v/>
      </c>
      <c r="O71" s="514">
        <f>IF(AND(J71&gt;0,ISNUMBER(M71)),M71/J71,"")</f>
        <v/>
      </c>
      <c r="P71" s="26" t="n"/>
      <c r="Q71" s="27" t="n"/>
      <c r="R71" s="5" t="inlineStr">
        <is>
          <t>みかんの牛乳寒天２</t>
        </is>
      </c>
      <c r="S71" s="5" t="inlineStr">
        <is>
          <t>みかんの牛乳寒天　小</t>
        </is>
      </c>
      <c r="T71" s="5" t="inlineStr">
        <is>
          <t>Ｓみかんの牛乳寒天　小</t>
        </is>
      </c>
      <c r="U71" s="5" t="n"/>
      <c r="V71" s="5" t="n"/>
      <c r="W71" s="5" t="n"/>
      <c r="X71">
        <f>COUNTA(R71:W71)</f>
        <v/>
      </c>
      <c r="Y71">
        <f>IF(AND($X71&gt;0,ISNUMBER($M71)),$M71/$X71,"")</f>
        <v/>
      </c>
      <c r="Z71">
        <f>IF($X71=0,"",IF(COUNTIF(⑳商品別1食労務費!$C$5:$C$124,$R71)+COUNTIF(⑳商品別1食労務費!$C$5:$C$124,$S71)+COUNTIF(⑳商品別1食労務費!$C$5:$C$124,$T71)+COUNTIF(⑳商品別1食労務費!$C$5:$C$124,$U71)+COUNTIF(⑳商品別1食労務費!$C$5:$C$124,$V71)+COUNTIF(⑳商品別1食労務費!$C$5:$C$124,$W71)=$X71,"OK","⑳に無い商品名"))</f>
        <v/>
      </c>
      <c r="AA71">
        <f>SUMIF(⑳商品別1食労務費!$C$5:$C$124,$R71,⑳商品別1食労務費!$F$5:$F$124)+SUMIF(⑳商品別1食労務費!$C$5:$C$124,$S71,⑳商品別1食労務費!$F$5:$F$124)+SUMIF(⑳商品別1食労務費!$C$5:$C$124,$T71,⑳商品別1食労務費!$F$5:$F$124)+SUMIF(⑳商品別1食労務費!$C$5:$C$124,$U71,⑳商品別1食労務費!$F$5:$F$124)+SUMIF(⑳商品別1食労務費!$C$5:$C$124,$V71,⑳商品別1食労務費!$F$5:$F$124)+SUMIF(⑳商品別1食労務費!$C$5:$C$124,$W71,⑳商品別1食労務費!$F$5:$F$124)</f>
        <v/>
      </c>
      <c r="AB71">
        <f>IF(ISNUMBER($M71),$M71,0)</f>
        <v/>
      </c>
      <c r="AD71" s="413">
        <f>IF($R71="",0,IF($AA71&gt;0,$AB71*SUMIF(⑳商品別1食労務費!$C$5:$C$124,$R71,⑳商品別1食労務費!$F$5:$F$124)/$AA71,$AB71/$X71))</f>
        <v/>
      </c>
      <c r="AE71" s="413">
        <f>IF($S71="",0,IF($AA71&gt;0,$AB71*SUMIF(⑳商品別1食労務費!$C$5:$C$124,$S71,⑳商品別1食労務費!$F$5:$F$124)/$AA71,$AB71/$X71))</f>
        <v/>
      </c>
      <c r="AF71" s="413">
        <f>IF($T71="",0,IF($AA71&gt;0,$AB71*SUMIF(⑳商品別1食労務費!$C$5:$C$124,$T71,⑳商品別1食労務費!$F$5:$F$124)/$AA71,$AB71/$X71))</f>
        <v/>
      </c>
      <c r="AG71" s="413">
        <f>IF($U71="",0,IF($AA71&gt;0,$AB71*SUMIF(⑳商品別1食労務費!$C$5:$C$124,$U71,⑳商品別1食労務費!$F$5:$F$124)/$AA71,$AB71/$X71))</f>
        <v/>
      </c>
      <c r="AH71" s="413">
        <f>IF($V71="",0,IF($AA71&gt;0,$AB71*SUMIF(⑳商品別1食労務費!$C$5:$C$124,$V71,⑳商品別1食労務費!$F$5:$F$124)/$AA71,$AB71/$X71))</f>
        <v/>
      </c>
      <c r="AI71" s="413">
        <f>IF($W71="",0,IF($AA71&gt;0,$AB71*SUMIF(⑳商品別1食労務費!$C$5:$C$124,$W71,⑳商品別1食労務費!$F$5:$F$124)/$AA71,$AB71/$X71))</f>
        <v/>
      </c>
    </row>
    <row r="72" ht="16" customHeight="1" s="438">
      <c r="A72" s="23" t="n">
        <v>68</v>
      </c>
      <c r="B72" s="24" t="inlineStr">
        <is>
          <t>釜製造</t>
        </is>
      </c>
      <c r="C72" s="5" t="inlineStr">
        <is>
          <t>みかん牛乳寒天液</t>
        </is>
      </c>
      <c r="D72" s="5" t="n"/>
      <c r="E72" s="5" t="n"/>
      <c r="F72" s="25" t="n"/>
      <c r="G72" s="7" t="n"/>
      <c r="H72" s="7" t="n"/>
      <c r="I72" s="7" t="n"/>
      <c r="J72" s="7" t="n"/>
      <c r="K72" s="513">
        <f>IF(F72&gt;0,I72/(F72/60),0)</f>
        <v/>
      </c>
      <c r="L72" s="514">
        <f>IF(AND(ISNUMBER(F72),J72&gt;0),J72/(F72/60),"")</f>
        <v/>
      </c>
      <c r="M72" s="9">
        <f>IF(OR(ISNUMBER(SEARCH("サニテーション",C72)),ISNUMBER(SEARCH("客注",C72)),ISNUMBER(SEARCH("切り替え",C72)),ISNUMBER(SEARCH("切替",C72)),NOT(ISNUMBER(H72))),"",IF(ISNUMBER(G72),G72/60*H72*④前提設定!$B$4,IF(AND(G72="",ISNUMBER(F72)),F72/60*H72*④前提設定!$B$4,"")))</f>
        <v/>
      </c>
      <c r="N72" s="513">
        <f>IF(I72&gt;0,M72/I72,"")</f>
        <v/>
      </c>
      <c r="O72" s="514">
        <f>IF(AND(J72&gt;0,ISNUMBER(M72)),M72/J72,"")</f>
        <v/>
      </c>
      <c r="P72" s="26" t="n"/>
      <c r="Q72" s="27" t="n"/>
      <c r="R72" s="5" t="inlineStr">
        <is>
          <t>みかんの牛乳寒天２</t>
        </is>
      </c>
      <c r="S72" s="5" t="inlineStr">
        <is>
          <t>みかんの牛乳寒天　小</t>
        </is>
      </c>
      <c r="T72" s="5" t="inlineStr">
        <is>
          <t>Ｓみかんの牛乳寒天　小</t>
        </is>
      </c>
      <c r="U72" s="5" t="n"/>
      <c r="V72" s="5" t="n"/>
      <c r="W72" s="5" t="n"/>
      <c r="X72">
        <f>COUNTA(R72:W72)</f>
        <v/>
      </c>
      <c r="Y72">
        <f>IF(AND($X72&gt;0,ISNUMBER($M72)),$M72/$X72,"")</f>
        <v/>
      </c>
      <c r="Z72">
        <f>IF($X72=0,"",IF(COUNTIF(⑳商品別1食労務費!$C$5:$C$124,$R72)+COUNTIF(⑳商品別1食労務費!$C$5:$C$124,$S72)+COUNTIF(⑳商品別1食労務費!$C$5:$C$124,$T72)+COUNTIF(⑳商品別1食労務費!$C$5:$C$124,$U72)+COUNTIF(⑳商品別1食労務費!$C$5:$C$124,$V72)+COUNTIF(⑳商品別1食労務費!$C$5:$C$124,$W72)=$X72,"OK","⑳に無い商品名"))</f>
        <v/>
      </c>
      <c r="AA72">
        <f>SUMIF(⑳商品別1食労務費!$C$5:$C$124,$R72,⑳商品別1食労務費!$F$5:$F$124)+SUMIF(⑳商品別1食労務費!$C$5:$C$124,$S72,⑳商品別1食労務費!$F$5:$F$124)+SUMIF(⑳商品別1食労務費!$C$5:$C$124,$T72,⑳商品別1食労務費!$F$5:$F$124)+SUMIF(⑳商品別1食労務費!$C$5:$C$124,$U72,⑳商品別1食労務費!$F$5:$F$124)+SUMIF(⑳商品別1食労務費!$C$5:$C$124,$V72,⑳商品別1食労務費!$F$5:$F$124)+SUMIF(⑳商品別1食労務費!$C$5:$C$124,$W72,⑳商品別1食労務費!$F$5:$F$124)</f>
        <v/>
      </c>
      <c r="AB72">
        <f>IF(ISNUMBER($M72),$M72,0)</f>
        <v/>
      </c>
      <c r="AD72" s="413">
        <f>IF($R72="",0,IF($AA72&gt;0,$AB72*SUMIF(⑳商品別1食労務費!$C$5:$C$124,$R72,⑳商品別1食労務費!$F$5:$F$124)/$AA72,$AB72/$X72))</f>
        <v/>
      </c>
      <c r="AE72" s="413">
        <f>IF($S72="",0,IF($AA72&gt;0,$AB72*SUMIF(⑳商品別1食労務費!$C$5:$C$124,$S72,⑳商品別1食労務費!$F$5:$F$124)/$AA72,$AB72/$X72))</f>
        <v/>
      </c>
      <c r="AF72" s="413">
        <f>IF($T72="",0,IF($AA72&gt;0,$AB72*SUMIF(⑳商品別1食労務費!$C$5:$C$124,$T72,⑳商品別1食労務費!$F$5:$F$124)/$AA72,$AB72/$X72))</f>
        <v/>
      </c>
      <c r="AG72" s="413">
        <f>IF($U72="",0,IF($AA72&gt;0,$AB72*SUMIF(⑳商品別1食労務費!$C$5:$C$124,$U72,⑳商品別1食労務費!$F$5:$F$124)/$AA72,$AB72/$X72))</f>
        <v/>
      </c>
      <c r="AH72" s="413">
        <f>IF($V72="",0,IF($AA72&gt;0,$AB72*SUMIF(⑳商品別1食労務費!$C$5:$C$124,$V72,⑳商品別1食労務費!$F$5:$F$124)/$AA72,$AB72/$X72))</f>
        <v/>
      </c>
      <c r="AI72" s="413">
        <f>IF($W72="",0,IF($AA72&gt;0,$AB72*SUMIF(⑳商品別1食労務費!$C$5:$C$124,$W72,⑳商品別1食労務費!$F$5:$F$124)/$AA72,$AB72/$X72))</f>
        <v/>
      </c>
    </row>
    <row r="73" ht="16" customHeight="1" s="438">
      <c r="A73" s="23" t="n">
        <v>69</v>
      </c>
      <c r="B73" s="24" t="inlineStr">
        <is>
          <t>釜製造</t>
        </is>
      </c>
      <c r="C73" s="5" t="inlineStr">
        <is>
          <t>みかん缶</t>
        </is>
      </c>
      <c r="D73" s="5" t="n"/>
      <c r="E73" s="5" t="n"/>
      <c r="F73" s="25" t="n"/>
      <c r="G73" s="7" t="n"/>
      <c r="H73" s="7" t="n"/>
      <c r="I73" s="7" t="n"/>
      <c r="J73" s="7" t="n"/>
      <c r="K73" s="513">
        <f>IF(F73&gt;0,I73/(F73/60),0)</f>
        <v/>
      </c>
      <c r="L73" s="514">
        <f>IF(AND(ISNUMBER(F73),J73&gt;0),J73/(F73/60),"")</f>
        <v/>
      </c>
      <c r="M73" s="9">
        <f>IF(OR(ISNUMBER(SEARCH("サニテーション",C73)),ISNUMBER(SEARCH("客注",C73)),ISNUMBER(SEARCH("切り替え",C73)),ISNUMBER(SEARCH("切替",C73)),NOT(ISNUMBER(H73))),"",IF(ISNUMBER(G73),G73/60*H73*④前提設定!$B$4,IF(AND(G73="",ISNUMBER(F73)),F73/60*H73*④前提設定!$B$4,"")))</f>
        <v/>
      </c>
      <c r="N73" s="513">
        <f>IF(I73&gt;0,M73/I73,"")</f>
        <v/>
      </c>
      <c r="O73" s="514">
        <f>IF(AND(J73&gt;0,ISNUMBER(M73)),M73/J73,"")</f>
        <v/>
      </c>
      <c r="P73" s="26" t="n"/>
      <c r="Q73" s="27" t="n"/>
      <c r="R73" s="5" t="inlineStr">
        <is>
          <t>みかんの牛乳寒天２</t>
        </is>
      </c>
      <c r="S73" s="5" t="inlineStr">
        <is>
          <t>みかんの牛乳寒天　小</t>
        </is>
      </c>
      <c r="T73" s="5" t="inlineStr">
        <is>
          <t>Ｓみかんの牛乳寒天　小</t>
        </is>
      </c>
      <c r="U73" s="5" t="n"/>
      <c r="V73" s="5" t="n"/>
      <c r="W73" s="5" t="n"/>
      <c r="X73">
        <f>COUNTA(R73:W73)</f>
        <v/>
      </c>
      <c r="Y73">
        <f>IF(AND($X73&gt;0,ISNUMBER($M73)),$M73/$X73,"")</f>
        <v/>
      </c>
      <c r="Z73">
        <f>IF($X73=0,"",IF(COUNTIF(⑳商品別1食労務費!$C$5:$C$124,$R73)+COUNTIF(⑳商品別1食労務費!$C$5:$C$124,$S73)+COUNTIF(⑳商品別1食労務費!$C$5:$C$124,$T73)+COUNTIF(⑳商品別1食労務費!$C$5:$C$124,$U73)+COUNTIF(⑳商品別1食労務費!$C$5:$C$124,$V73)+COUNTIF(⑳商品別1食労務費!$C$5:$C$124,$W73)=$X73,"OK","⑳に無い商品名"))</f>
        <v/>
      </c>
      <c r="AA73">
        <f>SUMIF(⑳商品別1食労務費!$C$5:$C$124,$R73,⑳商品別1食労務費!$F$5:$F$124)+SUMIF(⑳商品別1食労務費!$C$5:$C$124,$S73,⑳商品別1食労務費!$F$5:$F$124)+SUMIF(⑳商品別1食労務費!$C$5:$C$124,$T73,⑳商品別1食労務費!$F$5:$F$124)+SUMIF(⑳商品別1食労務費!$C$5:$C$124,$U73,⑳商品別1食労務費!$F$5:$F$124)+SUMIF(⑳商品別1食労務費!$C$5:$C$124,$V73,⑳商品別1食労務費!$F$5:$F$124)+SUMIF(⑳商品別1食労務費!$C$5:$C$124,$W73,⑳商品別1食労務費!$F$5:$F$124)</f>
        <v/>
      </c>
      <c r="AB73">
        <f>IF(ISNUMBER($M73),$M73,0)</f>
        <v/>
      </c>
      <c r="AD73" s="413">
        <f>IF($R73="",0,IF($AA73&gt;0,$AB73*SUMIF(⑳商品別1食労務費!$C$5:$C$124,$R73,⑳商品別1食労務費!$F$5:$F$124)/$AA73,$AB73/$X73))</f>
        <v/>
      </c>
      <c r="AE73" s="413">
        <f>IF($S73="",0,IF($AA73&gt;0,$AB73*SUMIF(⑳商品別1食労務費!$C$5:$C$124,$S73,⑳商品別1食労務費!$F$5:$F$124)/$AA73,$AB73/$X73))</f>
        <v/>
      </c>
      <c r="AF73" s="413">
        <f>IF($T73="",0,IF($AA73&gt;0,$AB73*SUMIF(⑳商品別1食労務費!$C$5:$C$124,$T73,⑳商品別1食労務費!$F$5:$F$124)/$AA73,$AB73/$X73))</f>
        <v/>
      </c>
      <c r="AG73" s="413">
        <f>IF($U73="",0,IF($AA73&gt;0,$AB73*SUMIF(⑳商品別1食労務費!$C$5:$C$124,$U73,⑳商品別1食労務費!$F$5:$F$124)/$AA73,$AB73/$X73))</f>
        <v/>
      </c>
      <c r="AH73" s="413">
        <f>IF($V73="",0,IF($AA73&gt;0,$AB73*SUMIF(⑳商品別1食労務費!$C$5:$C$124,$V73,⑳商品別1食労務費!$F$5:$F$124)/$AA73,$AB73/$X73))</f>
        <v/>
      </c>
      <c r="AI73" s="413">
        <f>IF($W73="",0,IF($AA73&gt;0,$AB73*SUMIF(⑳商品別1食労務費!$C$5:$C$124,$W73,⑳商品別1食労務費!$F$5:$F$124)/$AA73,$AB73/$X73))</f>
        <v/>
      </c>
    </row>
    <row r="74" ht="16" customHeight="1" s="438">
      <c r="A74" s="12" t="n">
        <v>70</v>
      </c>
      <c r="B74" s="28" t="inlineStr">
        <is>
          <t>釜製造</t>
        </is>
      </c>
      <c r="C74" s="5" t="inlineStr">
        <is>
          <t>プリンロール</t>
        </is>
      </c>
      <c r="D74" s="5" t="n"/>
      <c r="E74" s="5" t="n"/>
      <c r="F74" s="14" t="n"/>
      <c r="G74" s="12" t="n"/>
      <c r="H74" s="12" t="n"/>
      <c r="I74" s="12" t="n"/>
      <c r="J74" s="12" t="n"/>
      <c r="K74" s="12" t="inlineStr">
        <is>
          <t>-</t>
        </is>
      </c>
      <c r="L74" s="515">
        <f>IF(AND(ISNUMBER(F74),J74&gt;0),J74/(F74/60),"")</f>
        <v/>
      </c>
      <c r="M74" s="12">
        <f>IF(OR(ISNUMBER(SEARCH("サニテーション",C74)),ISNUMBER(SEARCH("客注",C74)),ISNUMBER(SEARCH("切り替え",C74)),ISNUMBER(SEARCH("切替",C74)),NOT(ISNUMBER(H74))),"",IF(ISNUMBER(G74),G74/60*H74*④前提設定!$B$4,IF(AND(G74="",ISNUMBER(F74)),F74/60*H74*④前提設定!$B$4,"")))</f>
        <v/>
      </c>
      <c r="N74" s="12" t="inlineStr">
        <is>
          <t>-</t>
        </is>
      </c>
      <c r="O74" s="515">
        <f>IF(AND(J74&gt;0,ISNUMBER(M74)),M74/J74,"")</f>
        <v/>
      </c>
      <c r="P74" s="15" t="n"/>
      <c r="Q74" s="16" t="n"/>
      <c r="R74" s="5" t="inlineStr">
        <is>
          <t>Ｓホイップの卵プリン</t>
        </is>
      </c>
      <c r="S74" s="5" t="inlineStr">
        <is>
          <t>ホイップの卵プリン</t>
        </is>
      </c>
      <c r="T74" s="5" t="n"/>
      <c r="U74" s="5" t="n"/>
      <c r="V74" s="5" t="n"/>
      <c r="W74" s="5" t="n"/>
      <c r="X74">
        <f>COUNTA(R74:W74)</f>
        <v/>
      </c>
      <c r="Y74">
        <f>IF(AND($X74&gt;0,ISNUMBER($M74)),$M74/$X74,"")</f>
        <v/>
      </c>
      <c r="Z74">
        <f>IF($X74=0,"",IF(COUNTIF(⑳商品別1食労務費!$C$5:$C$124,$R74)+COUNTIF(⑳商品別1食労務費!$C$5:$C$124,$S74)+COUNTIF(⑳商品別1食労務費!$C$5:$C$124,$T74)+COUNTIF(⑳商品別1食労務費!$C$5:$C$124,$U74)+COUNTIF(⑳商品別1食労務費!$C$5:$C$124,$V74)+COUNTIF(⑳商品別1食労務費!$C$5:$C$124,$W74)=$X74,"OK","⑳に無い商品名"))</f>
        <v/>
      </c>
      <c r="AA74">
        <f>SUMIF(⑳商品別1食労務費!$C$5:$C$124,$R74,⑳商品別1食労務費!$F$5:$F$124)+SUMIF(⑳商品別1食労務費!$C$5:$C$124,$S74,⑳商品別1食労務費!$F$5:$F$124)+SUMIF(⑳商品別1食労務費!$C$5:$C$124,$T74,⑳商品別1食労務費!$F$5:$F$124)+SUMIF(⑳商品別1食労務費!$C$5:$C$124,$U74,⑳商品別1食労務費!$F$5:$F$124)+SUMIF(⑳商品別1食労務費!$C$5:$C$124,$V74,⑳商品別1食労務費!$F$5:$F$124)+SUMIF(⑳商品別1食労務費!$C$5:$C$124,$W74,⑳商品別1食労務費!$F$5:$F$124)</f>
        <v/>
      </c>
      <c r="AB74">
        <f>IF(ISNUMBER($M74),$M74,0)</f>
        <v/>
      </c>
      <c r="AD74" s="413">
        <f>IF($R74="",0,IF($AA74&gt;0,$AB74*SUMIF(⑳商品別1食労務費!$C$5:$C$124,$R74,⑳商品別1食労務費!$F$5:$F$124)/$AA74,$AB74/$X74))</f>
        <v/>
      </c>
      <c r="AE74" s="413">
        <f>IF($S74="",0,IF($AA74&gt;0,$AB74*SUMIF(⑳商品別1食労務費!$C$5:$C$124,$S74,⑳商品別1食労務費!$F$5:$F$124)/$AA74,$AB74/$X74))</f>
        <v/>
      </c>
      <c r="AF74" s="413">
        <f>IF($T74="",0,IF($AA74&gt;0,$AB74*SUMIF(⑳商品別1食労務費!$C$5:$C$124,$T74,⑳商品別1食労務費!$F$5:$F$124)/$AA74,$AB74/$X74))</f>
        <v/>
      </c>
      <c r="AG74" s="413">
        <f>IF($U74="",0,IF($AA74&gt;0,$AB74*SUMIF(⑳商品別1食労務費!$C$5:$C$124,$U74,⑳商品別1食労務費!$F$5:$F$124)/$AA74,$AB74/$X74))</f>
        <v/>
      </c>
      <c r="AH74" s="413">
        <f>IF($V74="",0,IF($AA74&gt;0,$AB74*SUMIF(⑳商品別1食労務費!$C$5:$C$124,$V74,⑳商品別1食労務費!$F$5:$F$124)/$AA74,$AB74/$X74))</f>
        <v/>
      </c>
      <c r="AI74" s="413">
        <f>IF($W74="",0,IF($AA74&gt;0,$AB74*SUMIF(⑳商品別1食労務費!$C$5:$C$124,$W74,⑳商品別1食労務費!$F$5:$F$124)/$AA74,$AB74/$X74))</f>
        <v/>
      </c>
    </row>
    <row r="75" ht="16" customHeight="1" s="438">
      <c r="A75" s="23" t="n">
        <v>71</v>
      </c>
      <c r="B75" s="24" t="inlineStr">
        <is>
          <t>釜製造</t>
        </is>
      </c>
      <c r="C75" s="5" t="inlineStr">
        <is>
          <t>プリンロール内製ホイップ</t>
        </is>
      </c>
      <c r="D75" s="5" t="n"/>
      <c r="E75" s="5" t="n"/>
      <c r="F75" s="25" t="n"/>
      <c r="G75" s="7" t="n"/>
      <c r="H75" s="7" t="n"/>
      <c r="I75" s="7" t="n"/>
      <c r="J75" s="7" t="n"/>
      <c r="K75" s="513">
        <f>IF(F75&gt;0,I75/(F75/60),0)</f>
        <v/>
      </c>
      <c r="L75" s="514">
        <f>IF(AND(ISNUMBER(F75),J75&gt;0),J75/(F75/60),"")</f>
        <v/>
      </c>
      <c r="M75" s="9">
        <f>IF(OR(ISNUMBER(SEARCH("サニテーション",C75)),ISNUMBER(SEARCH("客注",C75)),ISNUMBER(SEARCH("切り替え",C75)),ISNUMBER(SEARCH("切替",C75)),NOT(ISNUMBER(H75))),"",IF(ISNUMBER(G75),G75/60*H75*④前提設定!$B$4,IF(AND(G75="",ISNUMBER(F75)),F75/60*H75*④前提設定!$B$4,"")))</f>
        <v/>
      </c>
      <c r="N75" s="513">
        <f>IF(I75&gt;0,M75/I75,"")</f>
        <v/>
      </c>
      <c r="O75" s="514">
        <f>IF(AND(J75&gt;0,ISNUMBER(M75)),M75/J75,"")</f>
        <v/>
      </c>
      <c r="P75" s="26" t="n"/>
      <c r="Q75" s="27" t="n"/>
      <c r="R75" s="5" t="inlineStr">
        <is>
          <t>自社製ホイップの卵プリン</t>
        </is>
      </c>
      <c r="S75" s="5" t="inlineStr">
        <is>
          <t>Ｓホイップの卵プリン</t>
        </is>
      </c>
      <c r="T75" s="5" t="inlineStr">
        <is>
          <t>ホイップの卵プリン</t>
        </is>
      </c>
      <c r="U75" s="5" t="n"/>
      <c r="V75" s="5" t="n"/>
      <c r="W75" s="5" t="n"/>
      <c r="X75">
        <f>COUNTA(R75:W75)</f>
        <v/>
      </c>
      <c r="Y75">
        <f>IF(AND($X75&gt;0,ISNUMBER($M75)),$M75/$X75,"")</f>
        <v/>
      </c>
      <c r="Z75">
        <f>IF($X75=0,"",IF(COUNTIF(⑳商品別1食労務費!$C$5:$C$124,$R75)+COUNTIF(⑳商品別1食労務費!$C$5:$C$124,$S75)+COUNTIF(⑳商品別1食労務費!$C$5:$C$124,$T75)+COUNTIF(⑳商品別1食労務費!$C$5:$C$124,$U75)+COUNTIF(⑳商品別1食労務費!$C$5:$C$124,$V75)+COUNTIF(⑳商品別1食労務費!$C$5:$C$124,$W75)=$X75,"OK","⑳に無い商品名"))</f>
        <v/>
      </c>
      <c r="AA75">
        <f>SUMIF(⑳商品別1食労務費!$C$5:$C$124,$R75,⑳商品別1食労務費!$F$5:$F$124)+SUMIF(⑳商品別1食労務費!$C$5:$C$124,$S75,⑳商品別1食労務費!$F$5:$F$124)+SUMIF(⑳商品別1食労務費!$C$5:$C$124,$T75,⑳商品別1食労務費!$F$5:$F$124)+SUMIF(⑳商品別1食労務費!$C$5:$C$124,$U75,⑳商品別1食労務費!$F$5:$F$124)+SUMIF(⑳商品別1食労務費!$C$5:$C$124,$V75,⑳商品別1食労務費!$F$5:$F$124)+SUMIF(⑳商品別1食労務費!$C$5:$C$124,$W75,⑳商品別1食労務費!$F$5:$F$124)</f>
        <v/>
      </c>
      <c r="AB75">
        <f>IF(ISNUMBER($M75),$M75,0)</f>
        <v/>
      </c>
      <c r="AD75" s="413">
        <f>IF($R75="",0,IF($AA75&gt;0,$AB75*SUMIF(⑳商品別1食労務費!$C$5:$C$124,$R75,⑳商品別1食労務費!$F$5:$F$124)/$AA75,$AB75/$X75))</f>
        <v/>
      </c>
      <c r="AE75" s="413">
        <f>IF($S75="",0,IF($AA75&gt;0,$AB75*SUMIF(⑳商品別1食労務費!$C$5:$C$124,$S75,⑳商品別1食労務費!$F$5:$F$124)/$AA75,$AB75/$X75))</f>
        <v/>
      </c>
      <c r="AF75" s="413">
        <f>IF($T75="",0,IF($AA75&gt;0,$AB75*SUMIF(⑳商品別1食労務費!$C$5:$C$124,$T75,⑳商品別1食労務費!$F$5:$F$124)/$AA75,$AB75/$X75))</f>
        <v/>
      </c>
      <c r="AG75" s="413">
        <f>IF($U75="",0,IF($AA75&gt;0,$AB75*SUMIF(⑳商品別1食労務費!$C$5:$C$124,$U75,⑳商品別1食労務費!$F$5:$F$124)/$AA75,$AB75/$X75))</f>
        <v/>
      </c>
      <c r="AH75" s="413">
        <f>IF($V75="",0,IF($AA75&gt;0,$AB75*SUMIF(⑳商品別1食労務費!$C$5:$C$124,$V75,⑳商品別1食労務費!$F$5:$F$124)/$AA75,$AB75/$X75))</f>
        <v/>
      </c>
      <c r="AI75" s="413">
        <f>IF($W75="",0,IF($AA75&gt;0,$AB75*SUMIF(⑳商品別1食労務費!$C$5:$C$124,$W75,⑳商品別1食労務費!$F$5:$F$124)/$AA75,$AB75/$X75))</f>
        <v/>
      </c>
    </row>
    <row r="76" ht="16" customHeight="1" s="438">
      <c r="A76" s="29" t="n">
        <v>72</v>
      </c>
      <c r="B76" s="30" t="inlineStr">
        <is>
          <t>釜製造</t>
        </is>
      </c>
      <c r="C76" s="5" t="inlineStr">
        <is>
          <t>プリンロール（ロール生地作成）</t>
        </is>
      </c>
      <c r="D76" s="5" t="n"/>
      <c r="E76" s="5" t="n"/>
      <c r="F76" s="31" t="n"/>
      <c r="G76" s="7" t="n"/>
      <c r="H76" s="7" t="n"/>
      <c r="I76" s="7" t="n"/>
      <c r="J76" s="7" t="n"/>
      <c r="K76" s="513">
        <f>IF(F76&gt;0,I76/(F76/60),0)</f>
        <v/>
      </c>
      <c r="L76" s="514">
        <f>IF(AND(ISNUMBER(F76),J76&gt;0),J76/(F76/60),"")</f>
        <v/>
      </c>
      <c r="M76" s="9">
        <f>IF(OR(ISNUMBER(SEARCH("サニテーション",C76)),ISNUMBER(SEARCH("客注",C76)),ISNUMBER(SEARCH("切り替え",C76)),ISNUMBER(SEARCH("切替",C76)),NOT(ISNUMBER(H76))),"",IF(ISNUMBER(G76),G76/60*H76*④前提設定!$B$4,IF(AND(G76="",ISNUMBER(F76)),F76/60*H76*④前提設定!$B$4,"")))</f>
        <v/>
      </c>
      <c r="N76" s="513">
        <f>IF(I76&gt;0,M76/I76,"")</f>
        <v/>
      </c>
      <c r="O76" s="514">
        <f>IF(AND(J76&gt;0,ISNUMBER(M76)),M76/J76,"")</f>
        <v/>
      </c>
      <c r="P76" s="32" t="n"/>
      <c r="Q76" s="33" t="n"/>
      <c r="R76" s="5" t="inlineStr">
        <is>
          <t>Ｓクリーム爆盛ロールケキ小</t>
        </is>
      </c>
      <c r="S76" s="5" t="inlineStr">
        <is>
          <t>クリーム爆盛ロールケーキ大</t>
        </is>
      </c>
      <c r="T76" s="5" t="n"/>
      <c r="U76" s="5" t="n"/>
      <c r="V76" s="5" t="n"/>
      <c r="W76" s="5" t="n"/>
      <c r="X76">
        <f>COUNTA(R76:W76)</f>
        <v/>
      </c>
      <c r="Y76">
        <f>IF(AND($X76&gt;0,ISNUMBER($M76)),$M76/$X76,"")</f>
        <v/>
      </c>
      <c r="Z76">
        <f>IF($X76=0,"",IF(COUNTIF(⑳商品別1食労務費!$C$5:$C$124,$R76)+COUNTIF(⑳商品別1食労務費!$C$5:$C$124,$S76)+COUNTIF(⑳商品別1食労務費!$C$5:$C$124,$T76)+COUNTIF(⑳商品別1食労務費!$C$5:$C$124,$U76)+COUNTIF(⑳商品別1食労務費!$C$5:$C$124,$V76)+COUNTIF(⑳商品別1食労務費!$C$5:$C$124,$W76)=$X76,"OK","⑳に無い商品名"))</f>
        <v/>
      </c>
      <c r="AA76">
        <f>SUMIF(⑳商品別1食労務費!$C$5:$C$124,$R76,⑳商品別1食労務費!$F$5:$F$124)+SUMIF(⑳商品別1食労務費!$C$5:$C$124,$S76,⑳商品別1食労務費!$F$5:$F$124)+SUMIF(⑳商品別1食労務費!$C$5:$C$124,$T76,⑳商品別1食労務費!$F$5:$F$124)+SUMIF(⑳商品別1食労務費!$C$5:$C$124,$U76,⑳商品別1食労務費!$F$5:$F$124)+SUMIF(⑳商品別1食労務費!$C$5:$C$124,$V76,⑳商品別1食労務費!$F$5:$F$124)+SUMIF(⑳商品別1食労務費!$C$5:$C$124,$W76,⑳商品別1食労務費!$F$5:$F$124)</f>
        <v/>
      </c>
      <c r="AB76">
        <f>IF(ISNUMBER($M76),$M76,0)</f>
        <v/>
      </c>
      <c r="AD76" s="413">
        <f>IF($R76="",0,IF($AA76&gt;0,$AB76*SUMIF(⑳商品別1食労務費!$C$5:$C$124,$R76,⑳商品別1食労務費!$F$5:$F$124)/$AA76,$AB76/$X76))</f>
        <v/>
      </c>
      <c r="AE76" s="413">
        <f>IF($S76="",0,IF($AA76&gt;0,$AB76*SUMIF(⑳商品別1食労務費!$C$5:$C$124,$S76,⑳商品別1食労務費!$F$5:$F$124)/$AA76,$AB76/$X76))</f>
        <v/>
      </c>
      <c r="AF76" s="413">
        <f>IF($T76="",0,IF($AA76&gt;0,$AB76*SUMIF(⑳商品別1食労務費!$C$5:$C$124,$T76,⑳商品別1食労務費!$F$5:$F$124)/$AA76,$AB76/$X76))</f>
        <v/>
      </c>
      <c r="AG76" s="413">
        <f>IF($U76="",0,IF($AA76&gt;0,$AB76*SUMIF(⑳商品別1食労務費!$C$5:$C$124,$U76,⑳商品別1食労務費!$F$5:$F$124)/$AA76,$AB76/$X76))</f>
        <v/>
      </c>
      <c r="AH76" s="413">
        <f>IF($V76="",0,IF($AA76&gt;0,$AB76*SUMIF(⑳商品別1食労務費!$C$5:$C$124,$V76,⑳商品別1食労務費!$F$5:$F$124)/$AA76,$AB76/$X76))</f>
        <v/>
      </c>
      <c r="AI76" s="413">
        <f>IF($W76="",0,IF($AA76&gt;0,$AB76*SUMIF(⑳商品別1食労務費!$C$5:$C$124,$W76,⑳商品別1食労務費!$F$5:$F$124)/$AA76,$AB76/$X76))</f>
        <v/>
      </c>
    </row>
    <row r="77" ht="16" customHeight="1" s="438">
      <c r="A77" s="29" t="n">
        <v>73</v>
      </c>
      <c r="B77" s="30" t="inlineStr">
        <is>
          <t>釜製造</t>
        </is>
      </c>
      <c r="C77" s="5" t="inlineStr">
        <is>
          <t>プリンタブレット加熱</t>
        </is>
      </c>
      <c r="D77" s="5" t="n"/>
      <c r="E77" s="5" t="n"/>
      <c r="F77" s="31" t="n"/>
      <c r="G77" s="7" t="n"/>
      <c r="H77" s="7" t="n"/>
      <c r="I77" s="7" t="n"/>
      <c r="J77" s="7" t="n"/>
      <c r="K77" s="513">
        <f>IF(F77&gt;0,I77/(F77/60),0)</f>
        <v/>
      </c>
      <c r="L77" s="514">
        <f>IF(AND(ISNUMBER(F77),J77&gt;0),J77/(F77/60),"")</f>
        <v/>
      </c>
      <c r="M77" s="9">
        <f>IF(OR(ISNUMBER(SEARCH("サニテーション",C77)),ISNUMBER(SEARCH("客注",C77)),ISNUMBER(SEARCH("切り替え",C77)),ISNUMBER(SEARCH("切替",C77)),NOT(ISNUMBER(H77))),"",IF(ISNUMBER(G77),G77/60*H77*④前提設定!$B$4,IF(AND(G77="",ISNUMBER(F77)),F77/60*H77*④前提設定!$B$4,"")))</f>
        <v/>
      </c>
      <c r="N77" s="513">
        <f>IF(I77&gt;0,M77/I77,"")</f>
        <v/>
      </c>
      <c r="O77" s="514">
        <f>IF(AND(J77&gt;0,ISNUMBER(M77)),M77/J77,"")</f>
        <v/>
      </c>
      <c r="P77" s="32" t="n"/>
      <c r="Q77" s="33" t="n"/>
      <c r="R77" s="5" t="inlineStr">
        <is>
          <t>Ｓホイップの卵プリン</t>
        </is>
      </c>
      <c r="S77" s="5" t="inlineStr">
        <is>
          <t>自社製ホイップの卵プリン</t>
        </is>
      </c>
      <c r="T77" s="5" t="inlineStr">
        <is>
          <t>ホイップの卵プリン</t>
        </is>
      </c>
      <c r="U77" s="5" t="n"/>
      <c r="V77" s="5" t="n"/>
      <c r="W77" s="5" t="n"/>
      <c r="X77">
        <f>COUNTA(R77:W77)</f>
        <v/>
      </c>
      <c r="Y77">
        <f>IF(AND($X77&gt;0,ISNUMBER($M77)),$M77/$X77,"")</f>
        <v/>
      </c>
      <c r="Z77">
        <f>IF($X77=0,"",IF(COUNTIF(⑳商品別1食労務費!$C$5:$C$124,$R77)+COUNTIF(⑳商品別1食労務費!$C$5:$C$124,$S77)+COUNTIF(⑳商品別1食労務費!$C$5:$C$124,$T77)+COUNTIF(⑳商品別1食労務費!$C$5:$C$124,$U77)+COUNTIF(⑳商品別1食労務費!$C$5:$C$124,$V77)+COUNTIF(⑳商品別1食労務費!$C$5:$C$124,$W77)=$X77,"OK","⑳に無い商品名"))</f>
        <v/>
      </c>
      <c r="AA77">
        <f>SUMIF(⑳商品別1食労務費!$C$5:$C$124,$R77,⑳商品別1食労務費!$F$5:$F$124)+SUMIF(⑳商品別1食労務費!$C$5:$C$124,$S77,⑳商品別1食労務費!$F$5:$F$124)+SUMIF(⑳商品別1食労務費!$C$5:$C$124,$T77,⑳商品別1食労務費!$F$5:$F$124)+SUMIF(⑳商品別1食労務費!$C$5:$C$124,$U77,⑳商品別1食労務費!$F$5:$F$124)+SUMIF(⑳商品別1食労務費!$C$5:$C$124,$V77,⑳商品別1食労務費!$F$5:$F$124)+SUMIF(⑳商品別1食労務費!$C$5:$C$124,$W77,⑳商品別1食労務費!$F$5:$F$124)</f>
        <v/>
      </c>
      <c r="AB77">
        <f>IF(ISNUMBER($M77),$M77,0)</f>
        <v/>
      </c>
      <c r="AD77" s="413">
        <f>IF($R77="",0,IF($AA77&gt;0,$AB77*SUMIF(⑳商品別1食労務費!$C$5:$C$124,$R77,⑳商品別1食労務費!$F$5:$F$124)/$AA77,$AB77/$X77))</f>
        <v/>
      </c>
      <c r="AE77" s="413">
        <f>IF($S77="",0,IF($AA77&gt;0,$AB77*SUMIF(⑳商品別1食労務費!$C$5:$C$124,$S77,⑳商品別1食労務費!$F$5:$F$124)/$AA77,$AB77/$X77))</f>
        <v/>
      </c>
      <c r="AF77" s="413">
        <f>IF($T77="",0,IF($AA77&gt;0,$AB77*SUMIF(⑳商品別1食労務費!$C$5:$C$124,$T77,⑳商品別1食労務費!$F$5:$F$124)/$AA77,$AB77/$X77))</f>
        <v/>
      </c>
      <c r="AG77" s="413">
        <f>IF($U77="",0,IF($AA77&gt;0,$AB77*SUMIF(⑳商品別1食労務費!$C$5:$C$124,$U77,⑳商品別1食労務費!$F$5:$F$124)/$AA77,$AB77/$X77))</f>
        <v/>
      </c>
      <c r="AH77" s="413">
        <f>IF($V77="",0,IF($AA77&gt;0,$AB77*SUMIF(⑳商品別1食労務費!$C$5:$C$124,$V77,⑳商品別1食労務費!$F$5:$F$124)/$AA77,$AB77/$X77))</f>
        <v/>
      </c>
      <c r="AI77" s="413">
        <f>IF($W77="",0,IF($AA77&gt;0,$AB77*SUMIF(⑳商品別1食労務費!$C$5:$C$124,$W77,⑳商品別1食労務費!$F$5:$F$124)/$AA77,$AB77/$X77))</f>
        <v/>
      </c>
    </row>
    <row r="78" ht="16" customHeight="1" s="438">
      <c r="A78" s="29" t="n">
        <v>74</v>
      </c>
      <c r="B78" s="30" t="inlineStr">
        <is>
          <t>釜製造</t>
        </is>
      </c>
      <c r="C78" s="5" t="inlineStr">
        <is>
          <t>プリン液加熱</t>
        </is>
      </c>
      <c r="D78" s="5" t="n"/>
      <c r="E78" s="5" t="n"/>
      <c r="F78" s="31" t="n"/>
      <c r="G78" s="7" t="n"/>
      <c r="H78" s="7" t="n"/>
      <c r="I78" s="7" t="n"/>
      <c r="J78" s="7" t="n"/>
      <c r="K78" s="513">
        <f>IF(F78&gt;0,I78/(F78/60),0)</f>
        <v/>
      </c>
      <c r="L78" s="514">
        <f>IF(AND(ISNUMBER(F78),J78&gt;0),J78/(F78/60),"")</f>
        <v/>
      </c>
      <c r="M78" s="9">
        <f>IF(OR(ISNUMBER(SEARCH("サニテーション",C78)),ISNUMBER(SEARCH("客注",C78)),ISNUMBER(SEARCH("切り替え",C78)),ISNUMBER(SEARCH("切替",C78)),NOT(ISNUMBER(H78))),"",IF(ISNUMBER(G78),G78/60*H78*④前提設定!$B$4,IF(AND(G78="",ISNUMBER(F78)),F78/60*H78*④前提設定!$B$4,"")))</f>
        <v/>
      </c>
      <c r="N78" s="513">
        <f>IF(I78&gt;0,M78/I78,"")</f>
        <v/>
      </c>
      <c r="O78" s="514">
        <f>IF(AND(J78&gt;0,ISNUMBER(M78)),M78/J78,"")</f>
        <v/>
      </c>
      <c r="P78" s="32" t="n"/>
      <c r="Q78" s="33" t="n"/>
      <c r="R78" s="5" t="inlineStr">
        <is>
          <t>Ｓホイップの卵プリン</t>
        </is>
      </c>
      <c r="S78" s="5" t="inlineStr">
        <is>
          <t>ホイップの卵プリン</t>
        </is>
      </c>
      <c r="T78" s="5" t="n"/>
      <c r="U78" s="5" t="n"/>
      <c r="V78" s="5" t="n"/>
      <c r="W78" s="5" t="n"/>
      <c r="X78">
        <f>COUNTA(R78:W78)</f>
        <v/>
      </c>
      <c r="Y78">
        <f>IF(AND($X78&gt;0,ISNUMBER($M78)),$M78/$X78,"")</f>
        <v/>
      </c>
      <c r="Z78">
        <f>IF($X78=0,"",IF(COUNTIF(⑳商品別1食労務費!$C$5:$C$124,$R78)+COUNTIF(⑳商品別1食労務費!$C$5:$C$124,$S78)+COUNTIF(⑳商品別1食労務費!$C$5:$C$124,$T78)+COUNTIF(⑳商品別1食労務費!$C$5:$C$124,$U78)+COUNTIF(⑳商品別1食労務費!$C$5:$C$124,$V78)+COUNTIF(⑳商品別1食労務費!$C$5:$C$124,$W78)=$X78,"OK","⑳に無い商品名"))</f>
        <v/>
      </c>
      <c r="AA78">
        <f>SUMIF(⑳商品別1食労務費!$C$5:$C$124,$R78,⑳商品別1食労務費!$F$5:$F$124)+SUMIF(⑳商品別1食労務費!$C$5:$C$124,$S78,⑳商品別1食労務費!$F$5:$F$124)+SUMIF(⑳商品別1食労務費!$C$5:$C$124,$T78,⑳商品別1食労務費!$F$5:$F$124)+SUMIF(⑳商品別1食労務費!$C$5:$C$124,$U78,⑳商品別1食労務費!$F$5:$F$124)+SUMIF(⑳商品別1食労務費!$C$5:$C$124,$V78,⑳商品別1食労務費!$F$5:$F$124)+SUMIF(⑳商品別1食労務費!$C$5:$C$124,$W78,⑳商品別1食労務費!$F$5:$F$124)</f>
        <v/>
      </c>
      <c r="AB78">
        <f>IF(ISNUMBER($M78),$M78,0)</f>
        <v/>
      </c>
      <c r="AD78" s="413">
        <f>IF($R78="",0,IF($AA78&gt;0,$AB78*SUMIF(⑳商品別1食労務費!$C$5:$C$124,$R78,⑳商品別1食労務費!$F$5:$F$124)/$AA78,$AB78/$X78))</f>
        <v/>
      </c>
      <c r="AE78" s="413">
        <f>IF($S78="",0,IF($AA78&gt;0,$AB78*SUMIF(⑳商品別1食労務費!$C$5:$C$124,$S78,⑳商品別1食労務費!$F$5:$F$124)/$AA78,$AB78/$X78))</f>
        <v/>
      </c>
      <c r="AF78" s="413">
        <f>IF($T78="",0,IF($AA78&gt;0,$AB78*SUMIF(⑳商品別1食労務費!$C$5:$C$124,$T78,⑳商品別1食労務費!$F$5:$F$124)/$AA78,$AB78/$X78))</f>
        <v/>
      </c>
      <c r="AG78" s="413">
        <f>IF($U78="",0,IF($AA78&gt;0,$AB78*SUMIF(⑳商品別1食労務費!$C$5:$C$124,$U78,⑳商品別1食労務費!$F$5:$F$124)/$AA78,$AB78/$X78))</f>
        <v/>
      </c>
      <c r="AH78" s="413">
        <f>IF($V78="",0,IF($AA78&gt;0,$AB78*SUMIF(⑳商品別1食労務費!$C$5:$C$124,$V78,⑳商品別1食労務費!$F$5:$F$124)/$AA78,$AB78/$X78))</f>
        <v/>
      </c>
      <c r="AI78" s="413">
        <f>IF($W78="",0,IF($AA78&gt;0,$AB78*SUMIF(⑳商品別1食労務費!$C$5:$C$124,$W78,⑳商品別1食労務費!$F$5:$F$124)/$AA78,$AB78/$X78))</f>
        <v/>
      </c>
    </row>
    <row r="79" ht="16" customHeight="1" s="438">
      <c r="A79" s="29" t="n">
        <v>75</v>
      </c>
      <c r="B79" s="30" t="inlineStr">
        <is>
          <t>釜製造</t>
        </is>
      </c>
      <c r="C79" s="5" t="inlineStr">
        <is>
          <t>まっしろミルクプリン</t>
        </is>
      </c>
      <c r="D79" s="5" t="n"/>
      <c r="E79" s="5" t="n"/>
      <c r="F79" s="31" t="n"/>
      <c r="G79" s="7" t="n"/>
      <c r="H79" s="7" t="n"/>
      <c r="I79" s="7" t="n"/>
      <c r="J79" s="7" t="n"/>
      <c r="K79" s="513">
        <f>IF(F79&gt;0,I79/(F79/60),0)</f>
        <v/>
      </c>
      <c r="L79" s="514">
        <f>IF(AND(ISNUMBER(F79),J79&gt;0),J79/(F79/60),"")</f>
        <v/>
      </c>
      <c r="M79" s="9">
        <f>IF(OR(ISNUMBER(SEARCH("サニテーション",C79)),ISNUMBER(SEARCH("客注",C79)),ISNUMBER(SEARCH("切り替え",C79)),ISNUMBER(SEARCH("切替",C79)),NOT(ISNUMBER(H79))),"",IF(ISNUMBER(G79),G79/60*H79*④前提設定!$B$4,IF(AND(G79="",ISNUMBER(F79)),F79/60*H79*④前提設定!$B$4,"")))</f>
        <v/>
      </c>
      <c r="N79" s="513">
        <f>IF(I79&gt;0,M79/I79,"")</f>
        <v/>
      </c>
      <c r="O79" s="514">
        <f>IF(AND(J79&gt;0,ISNUMBER(M79)),M79/J79,"")</f>
        <v/>
      </c>
      <c r="P79" s="32" t="n"/>
      <c r="Q79" s="33" t="n"/>
      <c r="R79" s="5" t="inlineStr">
        <is>
          <t>まっしろミルクプリン３</t>
        </is>
      </c>
      <c r="S79" s="5" t="inlineStr">
        <is>
          <t>Ｓまっしろミルクプリン小３</t>
        </is>
      </c>
      <c r="T79" s="5" t="n"/>
      <c r="U79" s="5" t="n"/>
      <c r="V79" s="5" t="n"/>
      <c r="W79" s="5" t="n"/>
      <c r="X79">
        <f>COUNTA(R79:W79)</f>
        <v/>
      </c>
      <c r="Y79">
        <f>IF(AND($X79&gt;0,ISNUMBER($M79)),$M79/$X79,"")</f>
        <v/>
      </c>
      <c r="Z79">
        <f>IF($X79=0,"",IF(COUNTIF(⑳商品別1食労務費!$C$5:$C$124,$R79)+COUNTIF(⑳商品別1食労務費!$C$5:$C$124,$S79)+COUNTIF(⑳商品別1食労務費!$C$5:$C$124,$T79)+COUNTIF(⑳商品別1食労務費!$C$5:$C$124,$U79)+COUNTIF(⑳商品別1食労務費!$C$5:$C$124,$V79)+COUNTIF(⑳商品別1食労務費!$C$5:$C$124,$W79)=$X79,"OK","⑳に無い商品名"))</f>
        <v/>
      </c>
      <c r="AA79">
        <f>SUMIF(⑳商品別1食労務費!$C$5:$C$124,$R79,⑳商品別1食労務費!$F$5:$F$124)+SUMIF(⑳商品別1食労務費!$C$5:$C$124,$S79,⑳商品別1食労務費!$F$5:$F$124)+SUMIF(⑳商品別1食労務費!$C$5:$C$124,$T79,⑳商品別1食労務費!$F$5:$F$124)+SUMIF(⑳商品別1食労務費!$C$5:$C$124,$U79,⑳商品別1食労務費!$F$5:$F$124)+SUMIF(⑳商品別1食労務費!$C$5:$C$124,$V79,⑳商品別1食労務費!$F$5:$F$124)+SUMIF(⑳商品別1食労務費!$C$5:$C$124,$W79,⑳商品別1食労務費!$F$5:$F$124)</f>
        <v/>
      </c>
      <c r="AB79">
        <f>IF(ISNUMBER($M79),$M79,0)</f>
        <v/>
      </c>
      <c r="AD79" s="413">
        <f>IF($R79="",0,IF($AA79&gt;0,$AB79*SUMIF(⑳商品別1食労務費!$C$5:$C$124,$R79,⑳商品別1食労務費!$F$5:$F$124)/$AA79,$AB79/$X79))</f>
        <v/>
      </c>
      <c r="AE79" s="413">
        <f>IF($S79="",0,IF($AA79&gt;0,$AB79*SUMIF(⑳商品別1食労務費!$C$5:$C$124,$S79,⑳商品別1食労務費!$F$5:$F$124)/$AA79,$AB79/$X79))</f>
        <v/>
      </c>
      <c r="AF79" s="413">
        <f>IF($T79="",0,IF($AA79&gt;0,$AB79*SUMIF(⑳商品別1食労務費!$C$5:$C$124,$T79,⑳商品別1食労務費!$F$5:$F$124)/$AA79,$AB79/$X79))</f>
        <v/>
      </c>
      <c r="AG79" s="413">
        <f>IF($U79="",0,IF($AA79&gt;0,$AB79*SUMIF(⑳商品別1食労務費!$C$5:$C$124,$U79,⑳商品別1食労務費!$F$5:$F$124)/$AA79,$AB79/$X79))</f>
        <v/>
      </c>
      <c r="AH79" s="413">
        <f>IF($V79="",0,IF($AA79&gt;0,$AB79*SUMIF(⑳商品別1食労務費!$C$5:$C$124,$V79,⑳商品別1食労務費!$F$5:$F$124)/$AA79,$AB79/$X79))</f>
        <v/>
      </c>
      <c r="AI79" s="413">
        <f>IF($W79="",0,IF($AA79&gt;0,$AB79*SUMIF(⑳商品別1食労務費!$C$5:$C$124,$W79,⑳商品別1食労務費!$F$5:$F$124)/$AA79,$AB79/$X79))</f>
        <v/>
      </c>
    </row>
    <row r="80" ht="16" customHeight="1" s="438">
      <c r="A80" s="29" t="n">
        <v>76</v>
      </c>
      <c r="B80" s="30" t="inlineStr">
        <is>
          <t>釜製造</t>
        </is>
      </c>
      <c r="C80" s="5" t="inlineStr">
        <is>
          <t>まっしろミルクプリン</t>
        </is>
      </c>
      <c r="D80" s="5" t="n"/>
      <c r="E80" s="5" t="n"/>
      <c r="F80" s="31" t="n"/>
      <c r="G80" s="7" t="n"/>
      <c r="H80" s="7" t="n"/>
      <c r="I80" s="7" t="n"/>
      <c r="J80" s="7" t="n"/>
      <c r="K80" s="513">
        <f>IF(F80&gt;0,I80/(F80/60),0)</f>
        <v/>
      </c>
      <c r="L80" s="514">
        <f>IF(AND(ISNUMBER(F80),J80&gt;0),J80/(F80/60),"")</f>
        <v/>
      </c>
      <c r="M80" s="9">
        <f>IF(OR(ISNUMBER(SEARCH("サニテーション",C80)),ISNUMBER(SEARCH("客注",C80)),ISNUMBER(SEARCH("切り替え",C80)),ISNUMBER(SEARCH("切替",C80)),NOT(ISNUMBER(H80))),"",IF(ISNUMBER(G80),G80/60*H80*④前提設定!$B$4,IF(AND(G80="",ISNUMBER(F80)),F80/60*H80*④前提設定!$B$4,"")))</f>
        <v/>
      </c>
      <c r="N80" s="513">
        <f>IF(I80&gt;0,M80/I80,"")</f>
        <v/>
      </c>
      <c r="O80" s="514">
        <f>IF(AND(J80&gt;0,ISNUMBER(M80)),M80/J80,"")</f>
        <v/>
      </c>
      <c r="P80" s="32" t="n"/>
      <c r="Q80" s="33" t="n"/>
      <c r="R80" s="5" t="inlineStr">
        <is>
          <t>まっしろミルクプリン３</t>
        </is>
      </c>
      <c r="S80" s="5" t="inlineStr">
        <is>
          <t>Ｓまっしろミルクプリン小３</t>
        </is>
      </c>
      <c r="T80" s="5" t="n"/>
      <c r="U80" s="5" t="n"/>
      <c r="V80" s="5" t="n"/>
      <c r="W80" s="5" t="n"/>
      <c r="X80">
        <f>COUNTA(R80:W80)</f>
        <v/>
      </c>
      <c r="Y80">
        <f>IF(AND($X80&gt;0,ISNUMBER($M80)),$M80/$X80,"")</f>
        <v/>
      </c>
      <c r="Z80">
        <f>IF($X80=0,"",IF(COUNTIF(⑳商品別1食労務費!$C$5:$C$124,$R80)+COUNTIF(⑳商品別1食労務費!$C$5:$C$124,$S80)+COUNTIF(⑳商品別1食労務費!$C$5:$C$124,$T80)+COUNTIF(⑳商品別1食労務費!$C$5:$C$124,$U80)+COUNTIF(⑳商品別1食労務費!$C$5:$C$124,$V80)+COUNTIF(⑳商品別1食労務費!$C$5:$C$124,$W80)=$X80,"OK","⑳に無い商品名"))</f>
        <v/>
      </c>
      <c r="AA80">
        <f>SUMIF(⑳商品別1食労務費!$C$5:$C$124,$R80,⑳商品別1食労務費!$F$5:$F$124)+SUMIF(⑳商品別1食労務費!$C$5:$C$124,$S80,⑳商品別1食労務費!$F$5:$F$124)+SUMIF(⑳商品別1食労務費!$C$5:$C$124,$T80,⑳商品別1食労務費!$F$5:$F$124)+SUMIF(⑳商品別1食労務費!$C$5:$C$124,$U80,⑳商品別1食労務費!$F$5:$F$124)+SUMIF(⑳商品別1食労務費!$C$5:$C$124,$V80,⑳商品別1食労務費!$F$5:$F$124)+SUMIF(⑳商品別1食労務費!$C$5:$C$124,$W80,⑳商品別1食労務費!$F$5:$F$124)</f>
        <v/>
      </c>
      <c r="AB80">
        <f>IF(ISNUMBER($M80),$M80,0)</f>
        <v/>
      </c>
      <c r="AD80" s="413">
        <f>IF($R80="",0,IF($AA80&gt;0,$AB80*SUMIF(⑳商品別1食労務費!$C$5:$C$124,$R80,⑳商品別1食労務費!$F$5:$F$124)/$AA80,$AB80/$X80))</f>
        <v/>
      </c>
      <c r="AE80" s="413">
        <f>IF($S80="",0,IF($AA80&gt;0,$AB80*SUMIF(⑳商品別1食労務費!$C$5:$C$124,$S80,⑳商品別1食労務費!$F$5:$F$124)/$AA80,$AB80/$X80))</f>
        <v/>
      </c>
      <c r="AF80" s="413">
        <f>IF($T80="",0,IF($AA80&gt;0,$AB80*SUMIF(⑳商品別1食労務費!$C$5:$C$124,$T80,⑳商品別1食労務費!$F$5:$F$124)/$AA80,$AB80/$X80))</f>
        <v/>
      </c>
      <c r="AG80" s="413">
        <f>IF($U80="",0,IF($AA80&gt;0,$AB80*SUMIF(⑳商品別1食労務費!$C$5:$C$124,$U80,⑳商品別1食労務費!$F$5:$F$124)/$AA80,$AB80/$X80))</f>
        <v/>
      </c>
      <c r="AH80" s="413">
        <f>IF($V80="",0,IF($AA80&gt;0,$AB80*SUMIF(⑳商品別1食労務費!$C$5:$C$124,$V80,⑳商品別1食労務費!$F$5:$F$124)/$AA80,$AB80/$X80))</f>
        <v/>
      </c>
      <c r="AI80" s="413">
        <f>IF($W80="",0,IF($AA80&gt;0,$AB80*SUMIF(⑳商品別1食労務費!$C$5:$C$124,$W80,⑳商品別1食労務費!$F$5:$F$124)/$AA80,$AB80/$X80))</f>
        <v/>
      </c>
    </row>
    <row r="81" ht="16" customHeight="1" s="438">
      <c r="A81" s="29" t="n">
        <v>77</v>
      </c>
      <c r="B81" s="30" t="inlineStr">
        <is>
          <t>釜製造</t>
        </is>
      </c>
      <c r="C81" s="5" t="inlineStr">
        <is>
          <t>内製ホイップ</t>
        </is>
      </c>
      <c r="D81" s="5" t="n"/>
      <c r="E81" s="5" t="n"/>
      <c r="F81" s="31" t="n"/>
      <c r="G81" s="7" t="n"/>
      <c r="H81" s="7" t="n"/>
      <c r="I81" s="7" t="n"/>
      <c r="J81" s="7" t="n"/>
      <c r="K81" s="513">
        <f>IF(F81&gt;0,I81/(F81/60),0)</f>
        <v/>
      </c>
      <c r="L81" s="514">
        <f>IF(AND(ISNUMBER(F81),J81&gt;0),J81/(F81/60),"")</f>
        <v/>
      </c>
      <c r="M81" s="9">
        <f>IF(OR(ISNUMBER(SEARCH("サニテーション",C81)),ISNUMBER(SEARCH("客注",C81)),ISNUMBER(SEARCH("切り替え",C81)),ISNUMBER(SEARCH("切替",C81)),NOT(ISNUMBER(H81))),"",IF(ISNUMBER(G81),G81/60*H81*④前提設定!$B$4,IF(AND(G81="",ISNUMBER(F81)),F81/60*H81*④前提設定!$B$4,"")))</f>
        <v/>
      </c>
      <c r="N81" s="513">
        <f>IF(I81&gt;0,M81/I81,"")</f>
        <v/>
      </c>
      <c r="O81" s="514">
        <f>IF(AND(J81&gt;0,ISNUMBER(M81)),M81/J81,"")</f>
        <v/>
      </c>
      <c r="P81" s="32" t="n"/>
      <c r="Q81" s="33" t="n"/>
      <c r="R81" s="5" t="inlineStr">
        <is>
          <t>自社製ホイップの卵プリン</t>
        </is>
      </c>
      <c r="S81" s="5" t="inlineStr">
        <is>
          <t>Ｓホイップの卵プリン</t>
        </is>
      </c>
      <c r="T81" s="5" t="inlineStr">
        <is>
          <t>Ｓカスタード＆ホイップシュ</t>
        </is>
      </c>
      <c r="U81" s="5" t="inlineStr">
        <is>
          <t>ホイップの卵プリン</t>
        </is>
      </c>
      <c r="V81" s="5" t="n"/>
      <c r="W81" s="5" t="n"/>
      <c r="X81">
        <f>COUNTA(R81:W81)</f>
        <v/>
      </c>
      <c r="Y81">
        <f>IF(AND($X81&gt;0,ISNUMBER($M81)),$M81/$X81,"")</f>
        <v/>
      </c>
      <c r="Z81">
        <f>IF($X81=0,"",IF(COUNTIF(⑳商品別1食労務費!$C$5:$C$124,$R81)+COUNTIF(⑳商品別1食労務費!$C$5:$C$124,$S81)+COUNTIF(⑳商品別1食労務費!$C$5:$C$124,$T81)+COUNTIF(⑳商品別1食労務費!$C$5:$C$124,$U81)+COUNTIF(⑳商品別1食労務費!$C$5:$C$124,$V81)+COUNTIF(⑳商品別1食労務費!$C$5:$C$124,$W81)=$X81,"OK","⑳に無い商品名"))</f>
        <v/>
      </c>
      <c r="AA81">
        <f>SUMIF(⑳商品別1食労務費!$C$5:$C$124,$R81,⑳商品別1食労務費!$F$5:$F$124)+SUMIF(⑳商品別1食労務費!$C$5:$C$124,$S81,⑳商品別1食労務費!$F$5:$F$124)+SUMIF(⑳商品別1食労務費!$C$5:$C$124,$T81,⑳商品別1食労務費!$F$5:$F$124)+SUMIF(⑳商品別1食労務費!$C$5:$C$124,$U81,⑳商品別1食労務費!$F$5:$F$124)+SUMIF(⑳商品別1食労務費!$C$5:$C$124,$V81,⑳商品別1食労務費!$F$5:$F$124)+SUMIF(⑳商品別1食労務費!$C$5:$C$124,$W81,⑳商品別1食労務費!$F$5:$F$124)</f>
        <v/>
      </c>
      <c r="AB81">
        <f>IF(ISNUMBER($M81),$M81,0)</f>
        <v/>
      </c>
      <c r="AD81" s="413">
        <f>IF($R81="",0,IF($AA81&gt;0,$AB81*SUMIF(⑳商品別1食労務費!$C$5:$C$124,$R81,⑳商品別1食労務費!$F$5:$F$124)/$AA81,$AB81/$X81))</f>
        <v/>
      </c>
      <c r="AE81" s="413">
        <f>IF($S81="",0,IF($AA81&gt;0,$AB81*SUMIF(⑳商品別1食労務費!$C$5:$C$124,$S81,⑳商品別1食労務費!$F$5:$F$124)/$AA81,$AB81/$X81))</f>
        <v/>
      </c>
      <c r="AF81" s="413">
        <f>IF($T81="",0,IF($AA81&gt;0,$AB81*SUMIF(⑳商品別1食労務費!$C$5:$C$124,$T81,⑳商品別1食労務費!$F$5:$F$124)/$AA81,$AB81/$X81))</f>
        <v/>
      </c>
      <c r="AG81" s="413">
        <f>IF($U81="",0,IF($AA81&gt;0,$AB81*SUMIF(⑳商品別1食労務費!$C$5:$C$124,$U81,⑳商品別1食労務費!$F$5:$F$124)/$AA81,$AB81/$X81))</f>
        <v/>
      </c>
      <c r="AH81" s="413">
        <f>IF($V81="",0,IF($AA81&gt;0,$AB81*SUMIF(⑳商品別1食労務費!$C$5:$C$124,$V81,⑳商品別1食労務費!$F$5:$F$124)/$AA81,$AB81/$X81))</f>
        <v/>
      </c>
      <c r="AI81" s="413">
        <f>IF($W81="",0,IF($AA81&gt;0,$AB81*SUMIF(⑳商品別1食労務費!$C$5:$C$124,$W81,⑳商品別1食労務費!$F$5:$F$124)/$AA81,$AB81/$X81))</f>
        <v/>
      </c>
    </row>
    <row r="82" ht="16" customHeight="1" s="438">
      <c r="A82" s="12" t="n">
        <v>78</v>
      </c>
      <c r="B82" s="34" t="inlineStr">
        <is>
          <t>釜製造</t>
        </is>
      </c>
      <c r="C82" s="5" t="inlineStr">
        <is>
          <t>大人のコーヒーゼリー</t>
        </is>
      </c>
      <c r="D82" s="5" t="n"/>
      <c r="E82" s="5" t="n"/>
      <c r="F82" s="14" t="n"/>
      <c r="G82" s="12" t="n"/>
      <c r="H82" s="12" t="n"/>
      <c r="I82" s="12" t="n"/>
      <c r="J82" s="12" t="n"/>
      <c r="K82" s="12" t="inlineStr">
        <is>
          <t>-</t>
        </is>
      </c>
      <c r="L82" s="515">
        <f>IF(AND(ISNUMBER(F82),J82&gt;0),J82/(F82/60),"")</f>
        <v/>
      </c>
      <c r="M82" s="12">
        <f>IF(OR(ISNUMBER(SEARCH("サニテーション",C82)),ISNUMBER(SEARCH("客注",C82)),ISNUMBER(SEARCH("切り替え",C82)),ISNUMBER(SEARCH("切替",C82)),NOT(ISNUMBER(H82))),"",IF(ISNUMBER(G82),G82/60*H82*④前提設定!$B$4,IF(AND(G82="",ISNUMBER(F82)),F82/60*H82*④前提設定!$B$4,"")))</f>
        <v/>
      </c>
      <c r="N82" s="12" t="inlineStr">
        <is>
          <t>-</t>
        </is>
      </c>
      <c r="O82" s="515">
        <f>IF(AND(J82&gt;0,ISNUMBER(M82)),M82/J82,"")</f>
        <v/>
      </c>
      <c r="P82" s="15" t="n"/>
      <c r="Q82" s="16" t="n"/>
      <c r="R82" s="5" t="inlineStr">
        <is>
          <t>大人のコーヒーゼリー４</t>
        </is>
      </c>
      <c r="S82" s="5" t="inlineStr">
        <is>
          <t>Ｓ大人のコーヒーゼリー４</t>
        </is>
      </c>
      <c r="T82" s="5" t="inlineStr">
        <is>
          <t>大人のコーヒーゼリー小４</t>
        </is>
      </c>
      <c r="U82" s="5" t="inlineStr">
        <is>
          <t>Ｓ大人のコーヒーゼリー小４</t>
        </is>
      </c>
      <c r="V82" s="5" t="n"/>
      <c r="W82" s="5" t="n"/>
      <c r="X82">
        <f>COUNTA(R82:W82)</f>
        <v/>
      </c>
      <c r="Y82">
        <f>IF(AND($X82&gt;0,ISNUMBER($M82)),$M82/$X82,"")</f>
        <v/>
      </c>
      <c r="Z82">
        <f>IF($X82=0,"",IF(COUNTIF(⑳商品別1食労務費!$C$5:$C$124,$R82)+COUNTIF(⑳商品別1食労務費!$C$5:$C$124,$S82)+COUNTIF(⑳商品別1食労務費!$C$5:$C$124,$T82)+COUNTIF(⑳商品別1食労務費!$C$5:$C$124,$U82)+COUNTIF(⑳商品別1食労務費!$C$5:$C$124,$V82)+COUNTIF(⑳商品別1食労務費!$C$5:$C$124,$W82)=$X82,"OK","⑳に無い商品名"))</f>
        <v/>
      </c>
      <c r="AA82">
        <f>SUMIF(⑳商品別1食労務費!$C$5:$C$124,$R82,⑳商品別1食労務費!$F$5:$F$124)+SUMIF(⑳商品別1食労務費!$C$5:$C$124,$S82,⑳商品別1食労務費!$F$5:$F$124)+SUMIF(⑳商品別1食労務費!$C$5:$C$124,$T82,⑳商品別1食労務費!$F$5:$F$124)+SUMIF(⑳商品別1食労務費!$C$5:$C$124,$U82,⑳商品別1食労務費!$F$5:$F$124)+SUMIF(⑳商品別1食労務費!$C$5:$C$124,$V82,⑳商品別1食労務費!$F$5:$F$124)+SUMIF(⑳商品別1食労務費!$C$5:$C$124,$W82,⑳商品別1食労務費!$F$5:$F$124)</f>
        <v/>
      </c>
      <c r="AB82">
        <f>IF(ISNUMBER($M82),$M82,0)</f>
        <v/>
      </c>
      <c r="AD82" s="413">
        <f>IF($R82="",0,IF($AA82&gt;0,$AB82*SUMIF(⑳商品別1食労務費!$C$5:$C$124,$R82,⑳商品別1食労務費!$F$5:$F$124)/$AA82,$AB82/$X82))</f>
        <v/>
      </c>
      <c r="AE82" s="413">
        <f>IF($S82="",0,IF($AA82&gt;0,$AB82*SUMIF(⑳商品別1食労務費!$C$5:$C$124,$S82,⑳商品別1食労務費!$F$5:$F$124)/$AA82,$AB82/$X82))</f>
        <v/>
      </c>
      <c r="AF82" s="413">
        <f>IF($T82="",0,IF($AA82&gt;0,$AB82*SUMIF(⑳商品別1食労務費!$C$5:$C$124,$T82,⑳商品別1食労務費!$F$5:$F$124)/$AA82,$AB82/$X82))</f>
        <v/>
      </c>
      <c r="AG82" s="413">
        <f>IF($U82="",0,IF($AA82&gt;0,$AB82*SUMIF(⑳商品別1食労務費!$C$5:$C$124,$U82,⑳商品別1食労務費!$F$5:$F$124)/$AA82,$AB82/$X82))</f>
        <v/>
      </c>
      <c r="AH82" s="413">
        <f>IF($V82="",0,IF($AA82&gt;0,$AB82*SUMIF(⑳商品別1食労務費!$C$5:$C$124,$V82,⑳商品別1食労務費!$F$5:$F$124)/$AA82,$AB82/$X82))</f>
        <v/>
      </c>
      <c r="AI82" s="413">
        <f>IF($W82="",0,IF($AA82&gt;0,$AB82*SUMIF(⑳商品別1食労務費!$C$5:$C$124,$W82,⑳商品別1食労務費!$F$5:$F$124)/$AA82,$AB82/$X82))</f>
        <v/>
      </c>
    </row>
    <row r="83" ht="16" customHeight="1" s="438">
      <c r="A83" s="29" t="n">
        <v>79</v>
      </c>
      <c r="B83" s="30" t="inlineStr">
        <is>
          <t>釜製造</t>
        </is>
      </c>
      <c r="C83" s="5" t="inlineStr">
        <is>
          <t>大人のコーヒーゼリー</t>
        </is>
      </c>
      <c r="D83" s="5" t="n"/>
      <c r="E83" s="5" t="n"/>
      <c r="F83" s="31" t="n"/>
      <c r="G83" s="7" t="n"/>
      <c r="H83" s="7" t="n"/>
      <c r="I83" s="7" t="n"/>
      <c r="J83" s="7" t="n"/>
      <c r="K83" s="513">
        <f>IF(F83&gt;0,I83/(F83/60),0)</f>
        <v/>
      </c>
      <c r="L83" s="514">
        <f>IF(AND(ISNUMBER(F83),J83&gt;0),J83/(F83/60),"")</f>
        <v/>
      </c>
      <c r="M83" s="9">
        <f>IF(OR(ISNUMBER(SEARCH("サニテーション",C83)),ISNUMBER(SEARCH("客注",C83)),ISNUMBER(SEARCH("切り替え",C83)),ISNUMBER(SEARCH("切替",C83)),NOT(ISNUMBER(H83))),"",IF(ISNUMBER(G83),G83/60*H83*④前提設定!$B$4,IF(AND(G83="",ISNUMBER(F83)),F83/60*H83*④前提設定!$B$4,"")))</f>
        <v/>
      </c>
      <c r="N83" s="513">
        <f>IF(I83&gt;0,M83/I83,"")</f>
        <v/>
      </c>
      <c r="O83" s="514">
        <f>IF(AND(J83&gt;0,ISNUMBER(M83)),M83/J83,"")</f>
        <v/>
      </c>
      <c r="P83" s="32" t="n"/>
      <c r="Q83" s="33" t="n"/>
      <c r="R83" s="5" t="inlineStr">
        <is>
          <t>大人のコーヒーゼリー４</t>
        </is>
      </c>
      <c r="S83" s="5" t="inlineStr">
        <is>
          <t>Ｓ大人のコーヒーゼリー４</t>
        </is>
      </c>
      <c r="T83" s="5" t="inlineStr">
        <is>
          <t>大人のコーヒーゼリー小４</t>
        </is>
      </c>
      <c r="U83" s="5" t="inlineStr">
        <is>
          <t>Ｓ大人のコーヒーゼリー小４</t>
        </is>
      </c>
      <c r="V83" s="5" t="n"/>
      <c r="W83" s="5" t="n"/>
      <c r="X83">
        <f>COUNTA(R83:W83)</f>
        <v/>
      </c>
      <c r="Y83">
        <f>IF(AND($X83&gt;0,ISNUMBER($M83)),$M83/$X83,"")</f>
        <v/>
      </c>
      <c r="Z83">
        <f>IF($X83=0,"",IF(COUNTIF(⑳商品別1食労務費!$C$5:$C$124,$R83)+COUNTIF(⑳商品別1食労務費!$C$5:$C$124,$S83)+COUNTIF(⑳商品別1食労務費!$C$5:$C$124,$T83)+COUNTIF(⑳商品別1食労務費!$C$5:$C$124,$U83)+COUNTIF(⑳商品別1食労務費!$C$5:$C$124,$V83)+COUNTIF(⑳商品別1食労務費!$C$5:$C$124,$W83)=$X83,"OK","⑳に無い商品名"))</f>
        <v/>
      </c>
      <c r="AA83">
        <f>SUMIF(⑳商品別1食労務費!$C$5:$C$124,$R83,⑳商品別1食労務費!$F$5:$F$124)+SUMIF(⑳商品別1食労務費!$C$5:$C$124,$S83,⑳商品別1食労務費!$F$5:$F$124)+SUMIF(⑳商品別1食労務費!$C$5:$C$124,$T83,⑳商品別1食労務費!$F$5:$F$124)+SUMIF(⑳商品別1食労務費!$C$5:$C$124,$U83,⑳商品別1食労務費!$F$5:$F$124)+SUMIF(⑳商品別1食労務費!$C$5:$C$124,$V83,⑳商品別1食労務費!$F$5:$F$124)+SUMIF(⑳商品別1食労務費!$C$5:$C$124,$W83,⑳商品別1食労務費!$F$5:$F$124)</f>
        <v/>
      </c>
      <c r="AB83">
        <f>IF(ISNUMBER($M83),$M83,0)</f>
        <v/>
      </c>
      <c r="AD83" s="413">
        <f>IF($R83="",0,IF($AA83&gt;0,$AB83*SUMIF(⑳商品別1食労務費!$C$5:$C$124,$R83,⑳商品別1食労務費!$F$5:$F$124)/$AA83,$AB83/$X83))</f>
        <v/>
      </c>
      <c r="AE83" s="413">
        <f>IF($S83="",0,IF($AA83&gt;0,$AB83*SUMIF(⑳商品別1食労務費!$C$5:$C$124,$S83,⑳商品別1食労務費!$F$5:$F$124)/$AA83,$AB83/$X83))</f>
        <v/>
      </c>
      <c r="AF83" s="413">
        <f>IF($T83="",0,IF($AA83&gt;0,$AB83*SUMIF(⑳商品別1食労務費!$C$5:$C$124,$T83,⑳商品別1食労務費!$F$5:$F$124)/$AA83,$AB83/$X83))</f>
        <v/>
      </c>
      <c r="AG83" s="413">
        <f>IF($U83="",0,IF($AA83&gt;0,$AB83*SUMIF(⑳商品別1食労務費!$C$5:$C$124,$U83,⑳商品別1食労務費!$F$5:$F$124)/$AA83,$AB83/$X83))</f>
        <v/>
      </c>
      <c r="AH83" s="413">
        <f>IF($V83="",0,IF($AA83&gt;0,$AB83*SUMIF(⑳商品別1食労務費!$C$5:$C$124,$V83,⑳商品別1食労務費!$F$5:$F$124)/$AA83,$AB83/$X83))</f>
        <v/>
      </c>
      <c r="AI83" s="413">
        <f>IF($W83="",0,IF($AA83&gt;0,$AB83*SUMIF(⑳商品別1食労務費!$C$5:$C$124,$W83,⑳商品別1食労務費!$F$5:$F$124)/$AA83,$AB83/$X83))</f>
        <v/>
      </c>
    </row>
    <row r="84" ht="16" customHeight="1" s="438">
      <c r="A84" s="29" t="n">
        <v>80</v>
      </c>
      <c r="B84" s="30" t="inlineStr">
        <is>
          <t>釜製造</t>
        </is>
      </c>
      <c r="C84" s="5" t="inlineStr">
        <is>
          <t>蜜いもスイートポテト</t>
        </is>
      </c>
      <c r="D84" s="5" t="n"/>
      <c r="E84" s="5" t="n"/>
      <c r="F84" s="31" t="n"/>
      <c r="G84" s="7" t="n"/>
      <c r="H84" s="7" t="n"/>
      <c r="I84" s="7" t="n"/>
      <c r="J84" s="7" t="n"/>
      <c r="K84" s="513">
        <f>IF(F84&gt;0,I84/(F84/60),0)</f>
        <v/>
      </c>
      <c r="L84" s="514">
        <f>IF(AND(ISNUMBER(F84),J84&gt;0),J84/(F84/60),"")</f>
        <v/>
      </c>
      <c r="M84" s="9">
        <f>IF(OR(ISNUMBER(SEARCH("サニテーション",C84)),ISNUMBER(SEARCH("客注",C84)),ISNUMBER(SEARCH("切り替え",C84)),ISNUMBER(SEARCH("切替",C84)),NOT(ISNUMBER(H84))),"",IF(ISNUMBER(G84),G84/60*H84*④前提設定!$B$4,IF(AND(G84="",ISNUMBER(F84)),F84/60*H84*④前提設定!$B$4,"")))</f>
        <v/>
      </c>
      <c r="N84" s="513">
        <f>IF(I84&gt;0,M84/I84,"")</f>
        <v/>
      </c>
      <c r="O84" s="514">
        <f>IF(AND(J84&gt;0,ISNUMBER(M84)),M84/J84,"")</f>
        <v/>
      </c>
      <c r="P84" s="32" t="n"/>
      <c r="Q84" s="33" t="n"/>
      <c r="R84" s="5" t="inlineStr">
        <is>
          <t>蜜いもスイートポテト</t>
        </is>
      </c>
      <c r="S84" s="5" t="inlineStr">
        <is>
          <t>Ｓ蜜いもスイートポテト</t>
        </is>
      </c>
      <c r="T84" s="5" t="inlineStr">
        <is>
          <t>Ｓ蜜いもスイートポテト小</t>
        </is>
      </c>
      <c r="U84" s="5" t="n"/>
      <c r="V84" s="5" t="n"/>
      <c r="W84" s="5" t="n"/>
      <c r="X84">
        <f>COUNTA(R84:W84)</f>
        <v/>
      </c>
      <c r="Y84">
        <f>IF(AND($X84&gt;0,ISNUMBER($M84)),$M84/$X84,"")</f>
        <v/>
      </c>
      <c r="Z84">
        <f>IF($X84=0,"",IF(COUNTIF(⑳商品別1食労務費!$C$5:$C$124,$R84)+COUNTIF(⑳商品別1食労務費!$C$5:$C$124,$S84)+COUNTIF(⑳商品別1食労務費!$C$5:$C$124,$T84)+COUNTIF(⑳商品別1食労務費!$C$5:$C$124,$U84)+COUNTIF(⑳商品別1食労務費!$C$5:$C$124,$V84)+COUNTIF(⑳商品別1食労務費!$C$5:$C$124,$W84)=$X84,"OK","⑳に無い商品名"))</f>
        <v/>
      </c>
      <c r="AA84">
        <f>SUMIF(⑳商品別1食労務費!$C$5:$C$124,$R84,⑳商品別1食労務費!$F$5:$F$124)+SUMIF(⑳商品別1食労務費!$C$5:$C$124,$S84,⑳商品別1食労務費!$F$5:$F$124)+SUMIF(⑳商品別1食労務費!$C$5:$C$124,$T84,⑳商品別1食労務費!$F$5:$F$124)+SUMIF(⑳商品別1食労務費!$C$5:$C$124,$U84,⑳商品別1食労務費!$F$5:$F$124)+SUMIF(⑳商品別1食労務費!$C$5:$C$124,$V84,⑳商品別1食労務費!$F$5:$F$124)+SUMIF(⑳商品別1食労務費!$C$5:$C$124,$W84,⑳商品別1食労務費!$F$5:$F$124)</f>
        <v/>
      </c>
      <c r="AB84">
        <f>IF(ISNUMBER($M84),$M84,0)</f>
        <v/>
      </c>
      <c r="AD84" s="413">
        <f>IF($R84="",0,IF($AA84&gt;0,$AB84*SUMIF(⑳商品別1食労務費!$C$5:$C$124,$R84,⑳商品別1食労務費!$F$5:$F$124)/$AA84,$AB84/$X84))</f>
        <v/>
      </c>
      <c r="AE84" s="413">
        <f>IF($S84="",0,IF($AA84&gt;0,$AB84*SUMIF(⑳商品別1食労務費!$C$5:$C$124,$S84,⑳商品別1食労務費!$F$5:$F$124)/$AA84,$AB84/$X84))</f>
        <v/>
      </c>
      <c r="AF84" s="413">
        <f>IF($T84="",0,IF($AA84&gt;0,$AB84*SUMIF(⑳商品別1食労務費!$C$5:$C$124,$T84,⑳商品別1食労務費!$F$5:$F$124)/$AA84,$AB84/$X84))</f>
        <v/>
      </c>
      <c r="AG84" s="413">
        <f>IF($U84="",0,IF($AA84&gt;0,$AB84*SUMIF(⑳商品別1食労務費!$C$5:$C$124,$U84,⑳商品別1食労務費!$F$5:$F$124)/$AA84,$AB84/$X84))</f>
        <v/>
      </c>
      <c r="AH84" s="413">
        <f>IF($V84="",0,IF($AA84&gt;0,$AB84*SUMIF(⑳商品別1食労務費!$C$5:$C$124,$V84,⑳商品別1食労務費!$F$5:$F$124)/$AA84,$AB84/$X84))</f>
        <v/>
      </c>
      <c r="AI84" s="413">
        <f>IF($W84="",0,IF($AA84&gt;0,$AB84*SUMIF(⑳商品別1食労務費!$C$5:$C$124,$W84,⑳商品別1食労務費!$F$5:$F$124)/$AA84,$AB84/$X84))</f>
        <v/>
      </c>
    </row>
    <row r="85" ht="16" customHeight="1" s="438">
      <c r="A85" s="29" t="n">
        <v>81</v>
      </c>
      <c r="B85" s="30" t="inlineStr">
        <is>
          <t>釜製造</t>
        </is>
      </c>
      <c r="C85" s="5" t="inlineStr">
        <is>
          <t>蜜いもスイートポテト</t>
        </is>
      </c>
      <c r="D85" s="5" t="n"/>
      <c r="E85" s="5" t="n"/>
      <c r="F85" s="31" t="n"/>
      <c r="G85" s="7" t="n"/>
      <c r="H85" s="7" t="n"/>
      <c r="I85" s="7" t="n"/>
      <c r="J85" s="7" t="n"/>
      <c r="K85" s="513">
        <f>IF(F85&gt;0,I85/(F85/60),0)</f>
        <v/>
      </c>
      <c r="L85" s="514">
        <f>IF(AND(ISNUMBER(F85),J85&gt;0),J85/(F85/60),"")</f>
        <v/>
      </c>
      <c r="M85" s="9">
        <f>IF(OR(ISNUMBER(SEARCH("サニテーション",C85)),ISNUMBER(SEARCH("客注",C85)),ISNUMBER(SEARCH("切り替え",C85)),ISNUMBER(SEARCH("切替",C85)),NOT(ISNUMBER(H85))),"",IF(ISNUMBER(G85),G85/60*H85*④前提設定!$B$4,IF(AND(G85="",ISNUMBER(F85)),F85/60*H85*④前提設定!$B$4,"")))</f>
        <v/>
      </c>
      <c r="N85" s="513">
        <f>IF(I85&gt;0,M85/I85,"")</f>
        <v/>
      </c>
      <c r="O85" s="514">
        <f>IF(AND(J85&gt;0,ISNUMBER(M85)),M85/J85,"")</f>
        <v/>
      </c>
      <c r="P85" s="32" t="n"/>
      <c r="Q85" s="33" t="n"/>
      <c r="R85" s="5" t="inlineStr">
        <is>
          <t>蜜いもスイートポテト</t>
        </is>
      </c>
      <c r="S85" s="5" t="inlineStr">
        <is>
          <t>Ｓ蜜いもスイートポテト</t>
        </is>
      </c>
      <c r="T85" s="5" t="inlineStr">
        <is>
          <t>Ｓ蜜いもスイートポテト小</t>
        </is>
      </c>
      <c r="U85" s="5" t="n"/>
      <c r="V85" s="5" t="n"/>
      <c r="W85" s="5" t="n"/>
      <c r="X85">
        <f>COUNTA(R85:W85)</f>
        <v/>
      </c>
      <c r="Y85">
        <f>IF(AND($X85&gt;0,ISNUMBER($M85)),$M85/$X85,"")</f>
        <v/>
      </c>
      <c r="Z85">
        <f>IF($X85=0,"",IF(COUNTIF(⑳商品別1食労務費!$C$5:$C$124,$R85)+COUNTIF(⑳商品別1食労務費!$C$5:$C$124,$S85)+COUNTIF(⑳商品別1食労務費!$C$5:$C$124,$T85)+COUNTIF(⑳商品別1食労務費!$C$5:$C$124,$U85)+COUNTIF(⑳商品別1食労務費!$C$5:$C$124,$V85)+COUNTIF(⑳商品別1食労務費!$C$5:$C$124,$W85)=$X85,"OK","⑳に無い商品名"))</f>
        <v/>
      </c>
      <c r="AA85">
        <f>SUMIF(⑳商品別1食労務費!$C$5:$C$124,$R85,⑳商品別1食労務費!$F$5:$F$124)+SUMIF(⑳商品別1食労務費!$C$5:$C$124,$S85,⑳商品別1食労務費!$F$5:$F$124)+SUMIF(⑳商品別1食労務費!$C$5:$C$124,$T85,⑳商品別1食労務費!$F$5:$F$124)+SUMIF(⑳商品別1食労務費!$C$5:$C$124,$U85,⑳商品別1食労務費!$F$5:$F$124)+SUMIF(⑳商品別1食労務費!$C$5:$C$124,$V85,⑳商品別1食労務費!$F$5:$F$124)+SUMIF(⑳商品別1食労務費!$C$5:$C$124,$W85,⑳商品別1食労務費!$F$5:$F$124)</f>
        <v/>
      </c>
      <c r="AB85">
        <f>IF(ISNUMBER($M85),$M85,0)</f>
        <v/>
      </c>
      <c r="AD85" s="413">
        <f>IF($R85="",0,IF($AA85&gt;0,$AB85*SUMIF(⑳商品別1食労務費!$C$5:$C$124,$R85,⑳商品別1食労務費!$F$5:$F$124)/$AA85,$AB85/$X85))</f>
        <v/>
      </c>
      <c r="AE85" s="413">
        <f>IF($S85="",0,IF($AA85&gt;0,$AB85*SUMIF(⑳商品別1食労務費!$C$5:$C$124,$S85,⑳商品別1食労務費!$F$5:$F$124)/$AA85,$AB85/$X85))</f>
        <v/>
      </c>
      <c r="AF85" s="413">
        <f>IF($T85="",0,IF($AA85&gt;0,$AB85*SUMIF(⑳商品別1食労務費!$C$5:$C$124,$T85,⑳商品別1食労務費!$F$5:$F$124)/$AA85,$AB85/$X85))</f>
        <v/>
      </c>
      <c r="AG85" s="413">
        <f>IF($U85="",0,IF($AA85&gt;0,$AB85*SUMIF(⑳商品別1食労務費!$C$5:$C$124,$U85,⑳商品別1食労務費!$F$5:$F$124)/$AA85,$AB85/$X85))</f>
        <v/>
      </c>
      <c r="AH85" s="413">
        <f>IF($V85="",0,IF($AA85&gt;0,$AB85*SUMIF(⑳商品別1食労務費!$C$5:$C$124,$V85,⑳商品別1食労務費!$F$5:$F$124)/$AA85,$AB85/$X85))</f>
        <v/>
      </c>
      <c r="AI85" s="413">
        <f>IF($W85="",0,IF($AA85&gt;0,$AB85*SUMIF(⑳商品別1食労務費!$C$5:$C$124,$W85,⑳商品別1食労務費!$F$5:$F$124)/$AA85,$AB85/$X85))</f>
        <v/>
      </c>
    </row>
    <row r="86" ht="16" customHeight="1" s="438">
      <c r="A86" s="29" t="n">
        <v>82</v>
      </c>
      <c r="B86" s="30" t="n"/>
      <c r="C86" s="5" t="n"/>
      <c r="D86" s="5" t="n"/>
      <c r="E86" s="5" t="n"/>
      <c r="F86" s="31" t="n"/>
      <c r="G86" s="7" t="n"/>
      <c r="H86" s="7" t="n"/>
      <c r="I86" s="7" t="n"/>
      <c r="J86" s="7" t="n"/>
      <c r="K86" s="513">
        <f>IF(F86&gt;0,I86/(F86/60),0)</f>
        <v/>
      </c>
      <c r="L86" s="514">
        <f>IF(AND(ISNUMBER(F86),J86&gt;0),J86/(F86/60),"")</f>
        <v/>
      </c>
      <c r="M86" s="9">
        <f>IF(OR(ISNUMBER(SEARCH("サニテーション",C86)),ISNUMBER(SEARCH("客注",C86)),ISNUMBER(SEARCH("切り替え",C86)),ISNUMBER(SEARCH("切替",C86)),NOT(ISNUMBER(H86))),"",IF(ISNUMBER(G86),G86/60*H86*④前提設定!$B$4,IF(AND(G86="",ISNUMBER(F86)),F86/60*H86*④前提設定!$B$4,"")))</f>
        <v/>
      </c>
      <c r="N86" s="513">
        <f>IF(I86&gt;0,M86/I86,"")</f>
        <v/>
      </c>
      <c r="O86" s="514">
        <f>IF(AND(J86&gt;0,ISNUMBER(M86)),M86/J86,"")</f>
        <v/>
      </c>
      <c r="P86" s="32" t="n"/>
      <c r="Q86" s="33" t="n"/>
      <c r="R86" s="5" t="n"/>
      <c r="S86" s="5" t="n"/>
      <c r="T86" s="5" t="n"/>
      <c r="U86" s="5" t="n"/>
      <c r="V86" s="5" t="n"/>
      <c r="W86" s="5" t="n"/>
      <c r="X86">
        <f>COUNTA(R86:W86)</f>
        <v/>
      </c>
      <c r="Y86">
        <f>IF(AND($X86&gt;0,ISNUMBER($M86)),$M86/$X86,"")</f>
        <v/>
      </c>
      <c r="Z86">
        <f>IF($X86=0,"",IF(COUNTIF(⑳商品別1食労務費!$C$5:$C$124,$R86)+COUNTIF(⑳商品別1食労務費!$C$5:$C$124,$S86)+COUNTIF(⑳商品別1食労務費!$C$5:$C$124,$T86)+COUNTIF(⑳商品別1食労務費!$C$5:$C$124,$U86)+COUNTIF(⑳商品別1食労務費!$C$5:$C$124,$V86)+COUNTIF(⑳商品別1食労務費!$C$5:$C$124,$W86)=$X86,"OK","⑳に無い商品名"))</f>
        <v/>
      </c>
      <c r="AA86">
        <f>SUMIF(⑳商品別1食労務費!$C$5:$C$124,$R86,⑳商品別1食労務費!$F$5:$F$124)+SUMIF(⑳商品別1食労務費!$C$5:$C$124,$S86,⑳商品別1食労務費!$F$5:$F$124)+SUMIF(⑳商品別1食労務費!$C$5:$C$124,$T86,⑳商品別1食労務費!$F$5:$F$124)+SUMIF(⑳商品別1食労務費!$C$5:$C$124,$U86,⑳商品別1食労務費!$F$5:$F$124)+SUMIF(⑳商品別1食労務費!$C$5:$C$124,$V86,⑳商品別1食労務費!$F$5:$F$124)+SUMIF(⑳商品別1食労務費!$C$5:$C$124,$W86,⑳商品別1食労務費!$F$5:$F$124)</f>
        <v/>
      </c>
      <c r="AB86">
        <f>IF(ISNUMBER($M86),$M86,0)</f>
        <v/>
      </c>
      <c r="AD86" s="413">
        <f>IF($R86="",0,IF($AA86&gt;0,$AB86*SUMIF(⑳商品別1食労務費!$C$5:$C$124,$R86,⑳商品別1食労務費!$F$5:$F$124)/$AA86,$AB86/$X86))</f>
        <v/>
      </c>
      <c r="AE86" s="413">
        <f>IF($S86="",0,IF($AA86&gt;0,$AB86*SUMIF(⑳商品別1食労務費!$C$5:$C$124,$S86,⑳商品別1食労務費!$F$5:$F$124)/$AA86,$AB86/$X86))</f>
        <v/>
      </c>
      <c r="AF86" s="413">
        <f>IF($T86="",0,IF($AA86&gt;0,$AB86*SUMIF(⑳商品別1食労務費!$C$5:$C$124,$T86,⑳商品別1食労務費!$F$5:$F$124)/$AA86,$AB86/$X86))</f>
        <v/>
      </c>
      <c r="AG86" s="413">
        <f>IF($U86="",0,IF($AA86&gt;0,$AB86*SUMIF(⑳商品別1食労務費!$C$5:$C$124,$U86,⑳商品別1食労務費!$F$5:$F$124)/$AA86,$AB86/$X86))</f>
        <v/>
      </c>
      <c r="AH86" s="413">
        <f>IF($V86="",0,IF($AA86&gt;0,$AB86*SUMIF(⑳商品別1食労務費!$C$5:$C$124,$V86,⑳商品別1食労務費!$F$5:$F$124)/$AA86,$AB86/$X86))</f>
        <v/>
      </c>
      <c r="AI86" s="413">
        <f>IF($W86="",0,IF($AA86&gt;0,$AB86*SUMIF(⑳商品別1食労務費!$C$5:$C$124,$W86,⑳商品別1食労務費!$F$5:$F$124)/$AA86,$AB86/$X86))</f>
        <v/>
      </c>
    </row>
    <row r="87" ht="16" customHeight="1" s="438">
      <c r="A87" s="29" t="n">
        <v>83</v>
      </c>
      <c r="B87" s="30" t="n"/>
      <c r="C87" s="5" t="n"/>
      <c r="D87" s="5" t="n"/>
      <c r="E87" s="5" t="n"/>
      <c r="F87" s="31" t="n"/>
      <c r="G87" s="7" t="n"/>
      <c r="H87" s="7" t="n"/>
      <c r="I87" s="7" t="n"/>
      <c r="J87" s="7" t="n"/>
      <c r="K87" s="513">
        <f>IF(F87&gt;0,I87/(F87/60),0)</f>
        <v/>
      </c>
      <c r="L87" s="514">
        <f>IF(AND(ISNUMBER(F87),J87&gt;0),J87/(F87/60),"")</f>
        <v/>
      </c>
      <c r="M87" s="9">
        <f>IF(OR(ISNUMBER(SEARCH("サニテーション",C87)),ISNUMBER(SEARCH("客注",C87)),ISNUMBER(SEARCH("切り替え",C87)),ISNUMBER(SEARCH("切替",C87)),NOT(ISNUMBER(H87))),"",IF(ISNUMBER(G87),G87/60*H87*④前提設定!$B$4,IF(AND(G87="",ISNUMBER(F87)),F87/60*H87*④前提設定!$B$4,"")))</f>
        <v/>
      </c>
      <c r="N87" s="513">
        <f>IF(I87&gt;0,M87/I87,"")</f>
        <v/>
      </c>
      <c r="O87" s="514">
        <f>IF(AND(J87&gt;0,ISNUMBER(M87)),M87/J87,"")</f>
        <v/>
      </c>
      <c r="P87" s="32" t="n"/>
      <c r="Q87" s="33" t="n"/>
      <c r="R87" s="5" t="n"/>
      <c r="S87" s="5" t="n"/>
      <c r="T87" s="5" t="n"/>
      <c r="U87" s="5" t="n"/>
      <c r="V87" s="5" t="n"/>
      <c r="W87" s="5" t="n"/>
      <c r="X87">
        <f>COUNTA(R87:W87)</f>
        <v/>
      </c>
      <c r="Y87">
        <f>IF(AND($X87&gt;0,ISNUMBER($M87)),$M87/$X87,"")</f>
        <v/>
      </c>
      <c r="Z87">
        <f>IF($X87=0,"",IF(COUNTIF(⑳商品別1食労務費!$C$5:$C$124,$R87)+COUNTIF(⑳商品別1食労務費!$C$5:$C$124,$S87)+COUNTIF(⑳商品別1食労務費!$C$5:$C$124,$T87)+COUNTIF(⑳商品別1食労務費!$C$5:$C$124,$U87)+COUNTIF(⑳商品別1食労務費!$C$5:$C$124,$V87)+COUNTIF(⑳商品別1食労務費!$C$5:$C$124,$W87)=$X87,"OK","⑳に無い商品名"))</f>
        <v/>
      </c>
      <c r="AA87">
        <f>SUMIF(⑳商品別1食労務費!$C$5:$C$124,$R87,⑳商品別1食労務費!$F$5:$F$124)+SUMIF(⑳商品別1食労務費!$C$5:$C$124,$S87,⑳商品別1食労務費!$F$5:$F$124)+SUMIF(⑳商品別1食労務費!$C$5:$C$124,$T87,⑳商品別1食労務費!$F$5:$F$124)+SUMIF(⑳商品別1食労務費!$C$5:$C$124,$U87,⑳商品別1食労務費!$F$5:$F$124)+SUMIF(⑳商品別1食労務費!$C$5:$C$124,$V87,⑳商品別1食労務費!$F$5:$F$124)+SUMIF(⑳商品別1食労務費!$C$5:$C$124,$W87,⑳商品別1食労務費!$F$5:$F$124)</f>
        <v/>
      </c>
      <c r="AB87">
        <f>IF(ISNUMBER($M87),$M87,0)</f>
        <v/>
      </c>
      <c r="AD87" s="413">
        <f>IF($R87="",0,IF($AA87&gt;0,$AB87*SUMIF(⑳商品別1食労務費!$C$5:$C$124,$R87,⑳商品別1食労務費!$F$5:$F$124)/$AA87,$AB87/$X87))</f>
        <v/>
      </c>
      <c r="AE87" s="413">
        <f>IF($S87="",0,IF($AA87&gt;0,$AB87*SUMIF(⑳商品別1食労務費!$C$5:$C$124,$S87,⑳商品別1食労務費!$F$5:$F$124)/$AA87,$AB87/$X87))</f>
        <v/>
      </c>
      <c r="AF87" s="413">
        <f>IF($T87="",0,IF($AA87&gt;0,$AB87*SUMIF(⑳商品別1食労務費!$C$5:$C$124,$T87,⑳商品別1食労務費!$F$5:$F$124)/$AA87,$AB87/$X87))</f>
        <v/>
      </c>
      <c r="AG87" s="413">
        <f>IF($U87="",0,IF($AA87&gt;0,$AB87*SUMIF(⑳商品別1食労務費!$C$5:$C$124,$U87,⑳商品別1食労務費!$F$5:$F$124)/$AA87,$AB87/$X87))</f>
        <v/>
      </c>
      <c r="AH87" s="413">
        <f>IF($V87="",0,IF($AA87&gt;0,$AB87*SUMIF(⑳商品別1食労務費!$C$5:$C$124,$V87,⑳商品別1食労務費!$F$5:$F$124)/$AA87,$AB87/$X87))</f>
        <v/>
      </c>
      <c r="AI87" s="413">
        <f>IF($W87="",0,IF($AA87&gt;0,$AB87*SUMIF(⑳商品別1食労務費!$C$5:$C$124,$W87,⑳商品別1食労務費!$F$5:$F$124)/$AA87,$AB87/$X87))</f>
        <v/>
      </c>
    </row>
    <row r="88" ht="16" customHeight="1" s="438">
      <c r="A88" s="29" t="n">
        <v>84</v>
      </c>
      <c r="B88" s="30" t="n"/>
      <c r="C88" s="5" t="n"/>
      <c r="D88" s="5" t="n"/>
      <c r="E88" s="5" t="n"/>
      <c r="F88" s="31" t="n"/>
      <c r="G88" s="7" t="n"/>
      <c r="H88" s="7" t="n"/>
      <c r="I88" s="7" t="n"/>
      <c r="J88" s="7" t="n"/>
      <c r="K88" s="513">
        <f>IF(F88&gt;0,I88/(F88/60),0)</f>
        <v/>
      </c>
      <c r="L88" s="514">
        <f>IF(AND(ISNUMBER(F88),J88&gt;0),J88/(F88/60),"")</f>
        <v/>
      </c>
      <c r="M88" s="9">
        <f>IF(OR(ISNUMBER(SEARCH("サニテーション",C88)),ISNUMBER(SEARCH("客注",C88)),ISNUMBER(SEARCH("切り替え",C88)),ISNUMBER(SEARCH("切替",C88)),NOT(ISNUMBER(H88))),"",IF(ISNUMBER(G88),G88/60*H88*④前提設定!$B$4,IF(AND(G88="",ISNUMBER(F88)),F88/60*H88*④前提設定!$B$4,"")))</f>
        <v/>
      </c>
      <c r="N88" s="513">
        <f>IF(I88&gt;0,M88/I88,"")</f>
        <v/>
      </c>
      <c r="O88" s="514">
        <f>IF(AND(J88&gt;0,ISNUMBER(M88)),M88/J88,"")</f>
        <v/>
      </c>
      <c r="P88" s="32" t="n"/>
      <c r="Q88" s="33" t="n"/>
      <c r="R88" s="5" t="n"/>
      <c r="S88" s="5" t="n"/>
      <c r="T88" s="5" t="n"/>
      <c r="U88" s="5" t="n"/>
      <c r="V88" s="5" t="n"/>
      <c r="W88" s="5" t="n"/>
      <c r="X88">
        <f>COUNTA(R88:W88)</f>
        <v/>
      </c>
      <c r="Y88">
        <f>IF(AND($X88&gt;0,ISNUMBER($M88)),$M88/$X88,"")</f>
        <v/>
      </c>
      <c r="Z88">
        <f>IF($X88=0,"",IF(COUNTIF(⑳商品別1食労務費!$C$5:$C$124,$R88)+COUNTIF(⑳商品別1食労務費!$C$5:$C$124,$S88)+COUNTIF(⑳商品別1食労務費!$C$5:$C$124,$T88)+COUNTIF(⑳商品別1食労務費!$C$5:$C$124,$U88)+COUNTIF(⑳商品別1食労務費!$C$5:$C$124,$V88)+COUNTIF(⑳商品別1食労務費!$C$5:$C$124,$W88)=$X88,"OK","⑳に無い商品名"))</f>
        <v/>
      </c>
      <c r="AA88">
        <f>SUMIF(⑳商品別1食労務費!$C$5:$C$124,$R88,⑳商品別1食労務費!$F$5:$F$124)+SUMIF(⑳商品別1食労務費!$C$5:$C$124,$S88,⑳商品別1食労務費!$F$5:$F$124)+SUMIF(⑳商品別1食労務費!$C$5:$C$124,$T88,⑳商品別1食労務費!$F$5:$F$124)+SUMIF(⑳商品別1食労務費!$C$5:$C$124,$U88,⑳商品別1食労務費!$F$5:$F$124)+SUMIF(⑳商品別1食労務費!$C$5:$C$124,$V88,⑳商品別1食労務費!$F$5:$F$124)+SUMIF(⑳商品別1食労務費!$C$5:$C$124,$W88,⑳商品別1食労務費!$F$5:$F$124)</f>
        <v/>
      </c>
      <c r="AB88">
        <f>IF(ISNUMBER($M88),$M88,0)</f>
        <v/>
      </c>
      <c r="AD88" s="413">
        <f>IF($R88="",0,IF($AA88&gt;0,$AB88*SUMIF(⑳商品別1食労務費!$C$5:$C$124,$R88,⑳商品別1食労務費!$F$5:$F$124)/$AA88,$AB88/$X88))</f>
        <v/>
      </c>
      <c r="AE88" s="413">
        <f>IF($S88="",0,IF($AA88&gt;0,$AB88*SUMIF(⑳商品別1食労務費!$C$5:$C$124,$S88,⑳商品別1食労務費!$F$5:$F$124)/$AA88,$AB88/$X88))</f>
        <v/>
      </c>
      <c r="AF88" s="413">
        <f>IF($T88="",0,IF($AA88&gt;0,$AB88*SUMIF(⑳商品別1食労務費!$C$5:$C$124,$T88,⑳商品別1食労務費!$F$5:$F$124)/$AA88,$AB88/$X88))</f>
        <v/>
      </c>
      <c r="AG88" s="413">
        <f>IF($U88="",0,IF($AA88&gt;0,$AB88*SUMIF(⑳商品別1食労務費!$C$5:$C$124,$U88,⑳商品別1食労務費!$F$5:$F$124)/$AA88,$AB88/$X88))</f>
        <v/>
      </c>
      <c r="AH88" s="413">
        <f>IF($V88="",0,IF($AA88&gt;0,$AB88*SUMIF(⑳商品別1食労務費!$C$5:$C$124,$V88,⑳商品別1食労務費!$F$5:$F$124)/$AA88,$AB88/$X88))</f>
        <v/>
      </c>
      <c r="AI88" s="413">
        <f>IF($W88="",0,IF($AA88&gt;0,$AB88*SUMIF(⑳商品別1食労務費!$C$5:$C$124,$W88,⑳商品別1食労務費!$F$5:$F$124)/$AA88,$AB88/$X88))</f>
        <v/>
      </c>
    </row>
    <row r="89" ht="16" customHeight="1" s="438">
      <c r="A89" s="29" t="n">
        <v>85</v>
      </c>
      <c r="B89" s="30" t="n"/>
      <c r="C89" s="5" t="n"/>
      <c r="D89" s="5" t="n"/>
      <c r="E89" s="5" t="n"/>
      <c r="F89" s="31" t="n"/>
      <c r="G89" s="7" t="n"/>
      <c r="H89" s="7" t="n"/>
      <c r="I89" s="7" t="n"/>
      <c r="J89" s="7" t="n"/>
      <c r="K89" s="513">
        <f>IF(F89&gt;0,I89/(F89/60),0)</f>
        <v/>
      </c>
      <c r="L89" s="514">
        <f>IF(AND(ISNUMBER(F89),J89&gt;0),J89/(F89/60),"")</f>
        <v/>
      </c>
      <c r="M89" s="9">
        <f>IF(OR(ISNUMBER(SEARCH("サニテーション",C89)),ISNUMBER(SEARCH("客注",C89)),ISNUMBER(SEARCH("切り替え",C89)),ISNUMBER(SEARCH("切替",C89)),NOT(ISNUMBER(H89))),"",IF(ISNUMBER(G89),G89/60*H89*④前提設定!$B$4,IF(AND(G89="",ISNUMBER(F89)),F89/60*H89*④前提設定!$B$4,"")))</f>
        <v/>
      </c>
      <c r="N89" s="513">
        <f>IF(I89&gt;0,M89/I89,"")</f>
        <v/>
      </c>
      <c r="O89" s="514">
        <f>IF(AND(J89&gt;0,ISNUMBER(M89)),M89/J89,"")</f>
        <v/>
      </c>
      <c r="P89" s="32" t="n"/>
      <c r="Q89" s="33" t="n"/>
      <c r="R89" s="5" t="n"/>
      <c r="S89" s="5" t="n"/>
      <c r="T89" s="5" t="n"/>
      <c r="U89" s="5" t="n"/>
      <c r="V89" s="5" t="n"/>
      <c r="W89" s="5" t="n"/>
      <c r="X89">
        <f>COUNTA(R89:W89)</f>
        <v/>
      </c>
      <c r="Y89">
        <f>IF(AND($X89&gt;0,ISNUMBER($M89)),$M89/$X89,"")</f>
        <v/>
      </c>
      <c r="Z89">
        <f>IF($X89=0,"",IF(COUNTIF(⑳商品別1食労務費!$C$5:$C$124,$R89)+COUNTIF(⑳商品別1食労務費!$C$5:$C$124,$S89)+COUNTIF(⑳商品別1食労務費!$C$5:$C$124,$T89)+COUNTIF(⑳商品別1食労務費!$C$5:$C$124,$U89)+COUNTIF(⑳商品別1食労務費!$C$5:$C$124,$V89)+COUNTIF(⑳商品別1食労務費!$C$5:$C$124,$W89)=$X89,"OK","⑳に無い商品名"))</f>
        <v/>
      </c>
      <c r="AA89">
        <f>SUMIF(⑳商品別1食労務費!$C$5:$C$124,$R89,⑳商品別1食労務費!$F$5:$F$124)+SUMIF(⑳商品別1食労務費!$C$5:$C$124,$S89,⑳商品別1食労務費!$F$5:$F$124)+SUMIF(⑳商品別1食労務費!$C$5:$C$124,$T89,⑳商品別1食労務費!$F$5:$F$124)+SUMIF(⑳商品別1食労務費!$C$5:$C$124,$U89,⑳商品別1食労務費!$F$5:$F$124)+SUMIF(⑳商品別1食労務費!$C$5:$C$124,$V89,⑳商品別1食労務費!$F$5:$F$124)+SUMIF(⑳商品別1食労務費!$C$5:$C$124,$W89,⑳商品別1食労務費!$F$5:$F$124)</f>
        <v/>
      </c>
      <c r="AB89">
        <f>IF(ISNUMBER($M89),$M89,0)</f>
        <v/>
      </c>
      <c r="AD89" s="413">
        <f>IF($R89="",0,IF($AA89&gt;0,$AB89*SUMIF(⑳商品別1食労務費!$C$5:$C$124,$R89,⑳商品別1食労務費!$F$5:$F$124)/$AA89,$AB89/$X89))</f>
        <v/>
      </c>
      <c r="AE89" s="413">
        <f>IF($S89="",0,IF($AA89&gt;0,$AB89*SUMIF(⑳商品別1食労務費!$C$5:$C$124,$S89,⑳商品別1食労務費!$F$5:$F$124)/$AA89,$AB89/$X89))</f>
        <v/>
      </c>
      <c r="AF89" s="413">
        <f>IF($T89="",0,IF($AA89&gt;0,$AB89*SUMIF(⑳商品別1食労務費!$C$5:$C$124,$T89,⑳商品別1食労務費!$F$5:$F$124)/$AA89,$AB89/$X89))</f>
        <v/>
      </c>
      <c r="AG89" s="413">
        <f>IF($U89="",0,IF($AA89&gt;0,$AB89*SUMIF(⑳商品別1食労務費!$C$5:$C$124,$U89,⑳商品別1食労務費!$F$5:$F$124)/$AA89,$AB89/$X89))</f>
        <v/>
      </c>
      <c r="AH89" s="413">
        <f>IF($V89="",0,IF($AA89&gt;0,$AB89*SUMIF(⑳商品別1食労務費!$C$5:$C$124,$V89,⑳商品別1食労務費!$F$5:$F$124)/$AA89,$AB89/$X89))</f>
        <v/>
      </c>
      <c r="AI89" s="413">
        <f>IF($W89="",0,IF($AA89&gt;0,$AB89*SUMIF(⑳商品別1食労務費!$C$5:$C$124,$W89,⑳商品別1食労務費!$F$5:$F$124)/$AA89,$AB89/$X89))</f>
        <v/>
      </c>
    </row>
    <row r="90" ht="16" customHeight="1" s="438">
      <c r="A90" s="29" t="n">
        <v>86</v>
      </c>
      <c r="B90" s="30" t="n"/>
      <c r="C90" s="5" t="n"/>
      <c r="D90" s="5" t="n"/>
      <c r="E90" s="5" t="n"/>
      <c r="F90" s="31" t="n"/>
      <c r="G90" s="7" t="n"/>
      <c r="H90" s="7" t="n"/>
      <c r="I90" s="7" t="n"/>
      <c r="J90" s="7" t="n"/>
      <c r="K90" s="513">
        <f>IF(F90&gt;0,I90/(F90/60),0)</f>
        <v/>
      </c>
      <c r="L90" s="514">
        <f>IF(AND(ISNUMBER(F90),J90&gt;0),J90/(F90/60),"")</f>
        <v/>
      </c>
      <c r="M90" s="9">
        <f>IF(OR(ISNUMBER(SEARCH("サニテーション",C90)),ISNUMBER(SEARCH("客注",C90)),ISNUMBER(SEARCH("切り替え",C90)),ISNUMBER(SEARCH("切替",C90)),NOT(ISNUMBER(H90))),"",IF(ISNUMBER(G90),G90/60*H90*④前提設定!$B$4,IF(AND(G90="",ISNUMBER(F90)),F90/60*H90*④前提設定!$B$4,"")))</f>
        <v/>
      </c>
      <c r="N90" s="513">
        <f>IF(I90&gt;0,M90/I90,"")</f>
        <v/>
      </c>
      <c r="O90" s="514">
        <f>IF(AND(J90&gt;0,ISNUMBER(M90)),M90/J90,"")</f>
        <v/>
      </c>
      <c r="P90" s="32" t="n"/>
      <c r="Q90" s="33" t="n"/>
      <c r="R90" s="5" t="n"/>
      <c r="S90" s="5" t="n"/>
      <c r="T90" s="5" t="n"/>
      <c r="U90" s="5" t="n"/>
      <c r="V90" s="5" t="n"/>
      <c r="W90" s="5" t="n"/>
      <c r="X90">
        <f>COUNTA(R90:W90)</f>
        <v/>
      </c>
      <c r="Y90">
        <f>IF(AND($X90&gt;0,ISNUMBER($M90)),$M90/$X90,"")</f>
        <v/>
      </c>
      <c r="Z90">
        <f>IF($X90=0,"",IF(COUNTIF(⑳商品別1食労務費!$C$5:$C$124,$R90)+COUNTIF(⑳商品別1食労務費!$C$5:$C$124,$S90)+COUNTIF(⑳商品別1食労務費!$C$5:$C$124,$T90)+COUNTIF(⑳商品別1食労務費!$C$5:$C$124,$U90)+COUNTIF(⑳商品別1食労務費!$C$5:$C$124,$V90)+COUNTIF(⑳商品別1食労務費!$C$5:$C$124,$W90)=$X90,"OK","⑳に無い商品名"))</f>
        <v/>
      </c>
      <c r="AA90">
        <f>SUMIF(⑳商品別1食労務費!$C$5:$C$124,$R90,⑳商品別1食労務費!$F$5:$F$124)+SUMIF(⑳商品別1食労務費!$C$5:$C$124,$S90,⑳商品別1食労務費!$F$5:$F$124)+SUMIF(⑳商品別1食労務費!$C$5:$C$124,$T90,⑳商品別1食労務費!$F$5:$F$124)+SUMIF(⑳商品別1食労務費!$C$5:$C$124,$U90,⑳商品別1食労務費!$F$5:$F$124)+SUMIF(⑳商品別1食労務費!$C$5:$C$124,$V90,⑳商品別1食労務費!$F$5:$F$124)+SUMIF(⑳商品別1食労務費!$C$5:$C$124,$W90,⑳商品別1食労務費!$F$5:$F$124)</f>
        <v/>
      </c>
      <c r="AB90">
        <f>IF(ISNUMBER($M90),$M90,0)</f>
        <v/>
      </c>
      <c r="AD90" s="413">
        <f>IF($R90="",0,IF($AA90&gt;0,$AB90*SUMIF(⑳商品別1食労務費!$C$5:$C$124,$R90,⑳商品別1食労務費!$F$5:$F$124)/$AA90,$AB90/$X90))</f>
        <v/>
      </c>
      <c r="AE90" s="413">
        <f>IF($S90="",0,IF($AA90&gt;0,$AB90*SUMIF(⑳商品別1食労務費!$C$5:$C$124,$S90,⑳商品別1食労務費!$F$5:$F$124)/$AA90,$AB90/$X90))</f>
        <v/>
      </c>
      <c r="AF90" s="413">
        <f>IF($T90="",0,IF($AA90&gt;0,$AB90*SUMIF(⑳商品別1食労務費!$C$5:$C$124,$T90,⑳商品別1食労務費!$F$5:$F$124)/$AA90,$AB90/$X90))</f>
        <v/>
      </c>
      <c r="AG90" s="413">
        <f>IF($U90="",0,IF($AA90&gt;0,$AB90*SUMIF(⑳商品別1食労務費!$C$5:$C$124,$U90,⑳商品別1食労務費!$F$5:$F$124)/$AA90,$AB90/$X90))</f>
        <v/>
      </c>
      <c r="AH90" s="413">
        <f>IF($V90="",0,IF($AA90&gt;0,$AB90*SUMIF(⑳商品別1食労務費!$C$5:$C$124,$V90,⑳商品別1食労務費!$F$5:$F$124)/$AA90,$AB90/$X90))</f>
        <v/>
      </c>
      <c r="AI90" s="413">
        <f>IF($W90="",0,IF($AA90&gt;0,$AB90*SUMIF(⑳商品別1食労務費!$C$5:$C$124,$W90,⑳商品別1食労務費!$F$5:$F$124)/$AA90,$AB90/$X90))</f>
        <v/>
      </c>
    </row>
    <row r="91" ht="16" customHeight="1" s="438">
      <c r="A91" s="12" t="n">
        <v>87</v>
      </c>
      <c r="B91" s="34" t="n"/>
      <c r="C91" s="5" t="n"/>
      <c r="D91" s="5" t="n"/>
      <c r="E91" s="5" t="n"/>
      <c r="F91" s="14" t="n"/>
      <c r="G91" s="12" t="n"/>
      <c r="H91" s="12" t="n"/>
      <c r="I91" s="12" t="n"/>
      <c r="J91" s="12" t="n"/>
      <c r="K91" s="12" t="inlineStr">
        <is>
          <t>-</t>
        </is>
      </c>
      <c r="L91" s="515">
        <f>IF(AND(ISNUMBER(F91),J91&gt;0),J91/(F91/60),"")</f>
        <v/>
      </c>
      <c r="M91" s="12">
        <f>IF(OR(ISNUMBER(SEARCH("サニテーション",C91)),ISNUMBER(SEARCH("客注",C91)),ISNUMBER(SEARCH("切り替え",C91)),ISNUMBER(SEARCH("切替",C91)),NOT(ISNUMBER(H91))),"",IF(ISNUMBER(G91),G91/60*H91*④前提設定!$B$4,IF(AND(G91="",ISNUMBER(F91)),F91/60*H91*④前提設定!$B$4,"")))</f>
        <v/>
      </c>
      <c r="N91" s="12" t="inlineStr">
        <is>
          <t>-</t>
        </is>
      </c>
      <c r="O91" s="515">
        <f>IF(AND(J91&gt;0,ISNUMBER(M91)),M91/J91,"")</f>
        <v/>
      </c>
      <c r="P91" s="15" t="n"/>
      <c r="Q91" s="16" t="n"/>
      <c r="R91" s="5" t="n"/>
      <c r="S91" s="5" t="n"/>
      <c r="T91" s="5" t="n"/>
      <c r="U91" s="5" t="n"/>
      <c r="V91" s="5" t="n"/>
      <c r="W91" s="5" t="n"/>
      <c r="X91">
        <f>COUNTA(R91:W91)</f>
        <v/>
      </c>
      <c r="Y91">
        <f>IF(AND($X91&gt;0,ISNUMBER($M91)),$M91/$X91,"")</f>
        <v/>
      </c>
      <c r="Z91">
        <f>IF($X91=0,"",IF(COUNTIF(⑳商品別1食労務費!$C$5:$C$124,$R91)+COUNTIF(⑳商品別1食労務費!$C$5:$C$124,$S91)+COUNTIF(⑳商品別1食労務費!$C$5:$C$124,$T91)+COUNTIF(⑳商品別1食労務費!$C$5:$C$124,$U91)+COUNTIF(⑳商品別1食労務費!$C$5:$C$124,$V91)+COUNTIF(⑳商品別1食労務費!$C$5:$C$124,$W91)=$X91,"OK","⑳に無い商品名"))</f>
        <v/>
      </c>
      <c r="AA91">
        <f>SUMIF(⑳商品別1食労務費!$C$5:$C$124,$R91,⑳商品別1食労務費!$F$5:$F$124)+SUMIF(⑳商品別1食労務費!$C$5:$C$124,$S91,⑳商品別1食労務費!$F$5:$F$124)+SUMIF(⑳商品別1食労務費!$C$5:$C$124,$T91,⑳商品別1食労務費!$F$5:$F$124)+SUMIF(⑳商品別1食労務費!$C$5:$C$124,$U91,⑳商品別1食労務費!$F$5:$F$124)+SUMIF(⑳商品別1食労務費!$C$5:$C$124,$V91,⑳商品別1食労務費!$F$5:$F$124)+SUMIF(⑳商品別1食労務費!$C$5:$C$124,$W91,⑳商品別1食労務費!$F$5:$F$124)</f>
        <v/>
      </c>
      <c r="AB91">
        <f>IF(ISNUMBER($M91),$M91,0)</f>
        <v/>
      </c>
      <c r="AD91" s="413">
        <f>IF($R91="",0,IF($AA91&gt;0,$AB91*SUMIF(⑳商品別1食労務費!$C$5:$C$124,$R91,⑳商品別1食労務費!$F$5:$F$124)/$AA91,$AB91/$X91))</f>
        <v/>
      </c>
      <c r="AE91" s="413">
        <f>IF($S91="",0,IF($AA91&gt;0,$AB91*SUMIF(⑳商品別1食労務費!$C$5:$C$124,$S91,⑳商品別1食労務費!$F$5:$F$124)/$AA91,$AB91/$X91))</f>
        <v/>
      </c>
      <c r="AF91" s="413">
        <f>IF($T91="",0,IF($AA91&gt;0,$AB91*SUMIF(⑳商品別1食労務費!$C$5:$C$124,$T91,⑳商品別1食労務費!$F$5:$F$124)/$AA91,$AB91/$X91))</f>
        <v/>
      </c>
      <c r="AG91" s="413">
        <f>IF($U91="",0,IF($AA91&gt;0,$AB91*SUMIF(⑳商品別1食労務費!$C$5:$C$124,$U91,⑳商品別1食労務費!$F$5:$F$124)/$AA91,$AB91/$X91))</f>
        <v/>
      </c>
      <c r="AH91" s="413">
        <f>IF($V91="",0,IF($AA91&gt;0,$AB91*SUMIF(⑳商品別1食労務費!$C$5:$C$124,$V91,⑳商品別1食労務費!$F$5:$F$124)/$AA91,$AB91/$X91))</f>
        <v/>
      </c>
      <c r="AI91" s="413">
        <f>IF($W91="",0,IF($AA91&gt;0,$AB91*SUMIF(⑳商品別1食労務費!$C$5:$C$124,$W91,⑳商品別1食労務費!$F$5:$F$124)/$AA91,$AB91/$X91))</f>
        <v/>
      </c>
    </row>
    <row r="92" ht="16" customHeight="1" s="438">
      <c r="A92" s="29" t="n">
        <v>88</v>
      </c>
      <c r="B92" s="30" t="n"/>
      <c r="C92" s="5" t="n"/>
      <c r="D92" s="5" t="n"/>
      <c r="E92" s="5" t="n"/>
      <c r="F92" s="31" t="n"/>
      <c r="G92" s="7" t="n"/>
      <c r="H92" s="7" t="n"/>
      <c r="I92" s="7" t="n"/>
      <c r="J92" s="7" t="n"/>
      <c r="K92" s="513">
        <f>IF(F92&gt;0,I92/(F92/60),0)</f>
        <v/>
      </c>
      <c r="L92" s="514">
        <f>IF(AND(ISNUMBER(F92),J92&gt;0),J92/(F92/60),"")</f>
        <v/>
      </c>
      <c r="M92" s="9">
        <f>IF(OR(ISNUMBER(SEARCH("サニテーション",C92)),ISNUMBER(SEARCH("客注",C92)),ISNUMBER(SEARCH("切り替え",C92)),ISNUMBER(SEARCH("切替",C92)),NOT(ISNUMBER(H92))),"",IF(ISNUMBER(G92),G92/60*H92*④前提設定!$B$4,IF(AND(G92="",ISNUMBER(F92)),F92/60*H92*④前提設定!$B$4,"")))</f>
        <v/>
      </c>
      <c r="N92" s="513">
        <f>IF(I92&gt;0,M92/I92,"")</f>
        <v/>
      </c>
      <c r="O92" s="514">
        <f>IF(AND(J92&gt;0,ISNUMBER(M92)),M92/J92,"")</f>
        <v/>
      </c>
      <c r="P92" s="32" t="n"/>
      <c r="Q92" s="33" t="n"/>
      <c r="R92" s="5" t="n"/>
      <c r="S92" s="5" t="n"/>
      <c r="T92" s="5" t="n"/>
      <c r="U92" s="5" t="n"/>
      <c r="V92" s="5" t="n"/>
      <c r="W92" s="5" t="n"/>
      <c r="X92">
        <f>COUNTA(R92:W92)</f>
        <v/>
      </c>
      <c r="Y92">
        <f>IF(AND($X92&gt;0,ISNUMBER($M92)),$M92/$X92,"")</f>
        <v/>
      </c>
      <c r="Z92">
        <f>IF($X92=0,"",IF(COUNTIF(⑳商品別1食労務費!$C$5:$C$124,$R92)+COUNTIF(⑳商品別1食労務費!$C$5:$C$124,$S92)+COUNTIF(⑳商品別1食労務費!$C$5:$C$124,$T92)+COUNTIF(⑳商品別1食労務費!$C$5:$C$124,$U92)+COUNTIF(⑳商品別1食労務費!$C$5:$C$124,$V92)+COUNTIF(⑳商品別1食労務費!$C$5:$C$124,$W92)=$X92,"OK","⑳に無い商品名"))</f>
        <v/>
      </c>
      <c r="AA92">
        <f>SUMIF(⑳商品別1食労務費!$C$5:$C$124,$R92,⑳商品別1食労務費!$F$5:$F$124)+SUMIF(⑳商品別1食労務費!$C$5:$C$124,$S92,⑳商品別1食労務費!$F$5:$F$124)+SUMIF(⑳商品別1食労務費!$C$5:$C$124,$T92,⑳商品別1食労務費!$F$5:$F$124)+SUMIF(⑳商品別1食労務費!$C$5:$C$124,$U92,⑳商品別1食労務費!$F$5:$F$124)+SUMIF(⑳商品別1食労務費!$C$5:$C$124,$V92,⑳商品別1食労務費!$F$5:$F$124)+SUMIF(⑳商品別1食労務費!$C$5:$C$124,$W92,⑳商品別1食労務費!$F$5:$F$124)</f>
        <v/>
      </c>
      <c r="AB92">
        <f>IF(ISNUMBER($M92),$M92,0)</f>
        <v/>
      </c>
      <c r="AD92" s="413">
        <f>IF($R92="",0,IF($AA92&gt;0,$AB92*SUMIF(⑳商品別1食労務費!$C$5:$C$124,$R92,⑳商品別1食労務費!$F$5:$F$124)/$AA92,$AB92/$X92))</f>
        <v/>
      </c>
      <c r="AE92" s="413">
        <f>IF($S92="",0,IF($AA92&gt;0,$AB92*SUMIF(⑳商品別1食労務費!$C$5:$C$124,$S92,⑳商品別1食労務費!$F$5:$F$124)/$AA92,$AB92/$X92))</f>
        <v/>
      </c>
      <c r="AF92" s="413">
        <f>IF($T92="",0,IF($AA92&gt;0,$AB92*SUMIF(⑳商品別1食労務費!$C$5:$C$124,$T92,⑳商品別1食労務費!$F$5:$F$124)/$AA92,$AB92/$X92))</f>
        <v/>
      </c>
      <c r="AG92" s="413">
        <f>IF($U92="",0,IF($AA92&gt;0,$AB92*SUMIF(⑳商品別1食労務費!$C$5:$C$124,$U92,⑳商品別1食労務費!$F$5:$F$124)/$AA92,$AB92/$X92))</f>
        <v/>
      </c>
      <c r="AH92" s="413">
        <f>IF($V92="",0,IF($AA92&gt;0,$AB92*SUMIF(⑳商品別1食労務費!$C$5:$C$124,$V92,⑳商品別1食労務費!$F$5:$F$124)/$AA92,$AB92/$X92))</f>
        <v/>
      </c>
      <c r="AI92" s="413">
        <f>IF($W92="",0,IF($AA92&gt;0,$AB92*SUMIF(⑳商品別1食労務費!$C$5:$C$124,$W92,⑳商品別1食労務費!$F$5:$F$124)/$AA92,$AB92/$X92))</f>
        <v/>
      </c>
    </row>
    <row r="93" ht="16" customHeight="1" s="438">
      <c r="A93" s="29" t="n">
        <v>89</v>
      </c>
      <c r="B93" s="30" t="n"/>
      <c r="C93" s="5" t="n"/>
      <c r="D93" s="5" t="n"/>
      <c r="E93" s="5" t="n"/>
      <c r="F93" s="31" t="n"/>
      <c r="G93" s="7" t="n"/>
      <c r="H93" s="7" t="n"/>
      <c r="I93" s="7" t="n"/>
      <c r="J93" s="7" t="n"/>
      <c r="K93" s="513">
        <f>IF(F93&gt;0,I93/(F93/60),0)</f>
        <v/>
      </c>
      <c r="L93" s="514">
        <f>IF(AND(ISNUMBER(F93),J93&gt;0),J93/(F93/60),"")</f>
        <v/>
      </c>
      <c r="M93" s="9">
        <f>IF(OR(ISNUMBER(SEARCH("サニテーション",C93)),ISNUMBER(SEARCH("客注",C93)),ISNUMBER(SEARCH("切り替え",C93)),ISNUMBER(SEARCH("切替",C93)),NOT(ISNUMBER(H93))),"",IF(ISNUMBER(G93),G93/60*H93*④前提設定!$B$4,IF(AND(G93="",ISNUMBER(F93)),F93/60*H93*④前提設定!$B$4,"")))</f>
        <v/>
      </c>
      <c r="N93" s="513">
        <f>IF(I93&gt;0,M93/I93,"")</f>
        <v/>
      </c>
      <c r="O93" s="514">
        <f>IF(AND(J93&gt;0,ISNUMBER(M93)),M93/J93,"")</f>
        <v/>
      </c>
      <c r="P93" s="32" t="n"/>
      <c r="Q93" s="33" t="n"/>
      <c r="R93" s="5" t="n"/>
      <c r="S93" s="5" t="n"/>
      <c r="T93" s="5" t="n"/>
      <c r="U93" s="5" t="n"/>
      <c r="V93" s="5" t="n"/>
      <c r="W93" s="5" t="n"/>
      <c r="X93">
        <f>COUNTA(R93:W93)</f>
        <v/>
      </c>
      <c r="Y93">
        <f>IF(AND($X93&gt;0,ISNUMBER($M93)),$M93/$X93,"")</f>
        <v/>
      </c>
      <c r="Z93">
        <f>IF($X93=0,"",IF(COUNTIF(⑳商品別1食労務費!$C$5:$C$124,$R93)+COUNTIF(⑳商品別1食労務費!$C$5:$C$124,$S93)+COUNTIF(⑳商品別1食労務費!$C$5:$C$124,$T93)+COUNTIF(⑳商品別1食労務費!$C$5:$C$124,$U93)+COUNTIF(⑳商品別1食労務費!$C$5:$C$124,$V93)+COUNTIF(⑳商品別1食労務費!$C$5:$C$124,$W93)=$X93,"OK","⑳に無い商品名"))</f>
        <v/>
      </c>
      <c r="AA93">
        <f>SUMIF(⑳商品別1食労務費!$C$5:$C$124,$R93,⑳商品別1食労務費!$F$5:$F$124)+SUMIF(⑳商品別1食労務費!$C$5:$C$124,$S93,⑳商品別1食労務費!$F$5:$F$124)+SUMIF(⑳商品別1食労務費!$C$5:$C$124,$T93,⑳商品別1食労務費!$F$5:$F$124)+SUMIF(⑳商品別1食労務費!$C$5:$C$124,$U93,⑳商品別1食労務費!$F$5:$F$124)+SUMIF(⑳商品別1食労務費!$C$5:$C$124,$V93,⑳商品別1食労務費!$F$5:$F$124)+SUMIF(⑳商品別1食労務費!$C$5:$C$124,$W93,⑳商品別1食労務費!$F$5:$F$124)</f>
        <v/>
      </c>
      <c r="AB93">
        <f>IF(ISNUMBER($M93),$M93,0)</f>
        <v/>
      </c>
      <c r="AD93" s="413">
        <f>IF($R93="",0,IF($AA93&gt;0,$AB93*SUMIF(⑳商品別1食労務費!$C$5:$C$124,$R93,⑳商品別1食労務費!$F$5:$F$124)/$AA93,$AB93/$X93))</f>
        <v/>
      </c>
      <c r="AE93" s="413">
        <f>IF($S93="",0,IF($AA93&gt;0,$AB93*SUMIF(⑳商品別1食労務費!$C$5:$C$124,$S93,⑳商品別1食労務費!$F$5:$F$124)/$AA93,$AB93/$X93))</f>
        <v/>
      </c>
      <c r="AF93" s="413">
        <f>IF($T93="",0,IF($AA93&gt;0,$AB93*SUMIF(⑳商品別1食労務費!$C$5:$C$124,$T93,⑳商品別1食労務費!$F$5:$F$124)/$AA93,$AB93/$X93))</f>
        <v/>
      </c>
      <c r="AG93" s="413">
        <f>IF($U93="",0,IF($AA93&gt;0,$AB93*SUMIF(⑳商品別1食労務費!$C$5:$C$124,$U93,⑳商品別1食労務費!$F$5:$F$124)/$AA93,$AB93/$X93))</f>
        <v/>
      </c>
      <c r="AH93" s="413">
        <f>IF($V93="",0,IF($AA93&gt;0,$AB93*SUMIF(⑳商品別1食労務費!$C$5:$C$124,$V93,⑳商品別1食労務費!$F$5:$F$124)/$AA93,$AB93/$X93))</f>
        <v/>
      </c>
      <c r="AI93" s="413">
        <f>IF($W93="",0,IF($AA93&gt;0,$AB93*SUMIF(⑳商品別1食労務費!$C$5:$C$124,$W93,⑳商品別1食労務費!$F$5:$F$124)/$AA93,$AB93/$X93))</f>
        <v/>
      </c>
    </row>
    <row r="94" ht="16" customHeight="1" s="438">
      <c r="A94" s="35" t="n">
        <v>90</v>
      </c>
      <c r="B94" s="36" t="n"/>
      <c r="C94" s="5" t="n"/>
      <c r="D94" s="5" t="n"/>
      <c r="E94" s="5" t="n"/>
      <c r="F94" s="37" t="n"/>
      <c r="G94" s="7" t="n"/>
      <c r="H94" s="7" t="n"/>
      <c r="I94" s="7" t="n"/>
      <c r="J94" s="7" t="n"/>
      <c r="K94" s="513">
        <f>IF(F94&gt;0,I94/(F94/60),0)</f>
        <v/>
      </c>
      <c r="L94" s="514">
        <f>IF(AND(ISNUMBER(F94),J94&gt;0),J94/(F94/60),"")</f>
        <v/>
      </c>
      <c r="M94" s="9">
        <f>IF(OR(ISNUMBER(SEARCH("サニテーション",C94)),ISNUMBER(SEARCH("客注",C94)),ISNUMBER(SEARCH("切り替え",C94)),ISNUMBER(SEARCH("切替",C94)),NOT(ISNUMBER(H94))),"",IF(ISNUMBER(G94),G94/60*H94*④前提設定!$B$4,IF(AND(G94="",ISNUMBER(F94)),F94/60*H94*④前提設定!$B$4,"")))</f>
        <v/>
      </c>
      <c r="N94" s="513">
        <f>IF(I94&gt;0,M94/I94,"")</f>
        <v/>
      </c>
      <c r="O94" s="514">
        <f>IF(AND(J94&gt;0,ISNUMBER(M94)),M94/J94,"")</f>
        <v/>
      </c>
      <c r="P94" s="38" t="n"/>
      <c r="Q94" s="39" t="n"/>
      <c r="R94" s="5" t="n"/>
      <c r="S94" s="5" t="n"/>
      <c r="T94" s="5" t="n"/>
      <c r="U94" s="5" t="n"/>
      <c r="V94" s="5" t="n"/>
      <c r="W94" s="5" t="n"/>
      <c r="X94">
        <f>COUNTA(R94:W94)</f>
        <v/>
      </c>
      <c r="Y94">
        <f>IF(AND($X94&gt;0,ISNUMBER($M94)),$M94/$X94,"")</f>
        <v/>
      </c>
      <c r="Z94">
        <f>IF($X94=0,"",IF(COUNTIF(⑳商品別1食労務費!$C$5:$C$124,$R94)+COUNTIF(⑳商品別1食労務費!$C$5:$C$124,$S94)+COUNTIF(⑳商品別1食労務費!$C$5:$C$124,$T94)+COUNTIF(⑳商品別1食労務費!$C$5:$C$124,$U94)+COUNTIF(⑳商品別1食労務費!$C$5:$C$124,$V94)+COUNTIF(⑳商品別1食労務費!$C$5:$C$124,$W94)=$X94,"OK","⑳に無い商品名"))</f>
        <v/>
      </c>
      <c r="AA94">
        <f>SUMIF(⑳商品別1食労務費!$C$5:$C$124,$R94,⑳商品別1食労務費!$F$5:$F$124)+SUMIF(⑳商品別1食労務費!$C$5:$C$124,$S94,⑳商品別1食労務費!$F$5:$F$124)+SUMIF(⑳商品別1食労務費!$C$5:$C$124,$T94,⑳商品別1食労務費!$F$5:$F$124)+SUMIF(⑳商品別1食労務費!$C$5:$C$124,$U94,⑳商品別1食労務費!$F$5:$F$124)+SUMIF(⑳商品別1食労務費!$C$5:$C$124,$V94,⑳商品別1食労務費!$F$5:$F$124)+SUMIF(⑳商品別1食労務費!$C$5:$C$124,$W94,⑳商品別1食労務費!$F$5:$F$124)</f>
        <v/>
      </c>
      <c r="AB94">
        <f>IF(ISNUMBER($M94),$M94,0)</f>
        <v/>
      </c>
      <c r="AD94" s="413">
        <f>IF($R94="",0,IF($AA94&gt;0,$AB94*SUMIF(⑳商品別1食労務費!$C$5:$C$124,$R94,⑳商品別1食労務費!$F$5:$F$124)/$AA94,$AB94/$X94))</f>
        <v/>
      </c>
      <c r="AE94" s="413">
        <f>IF($S94="",0,IF($AA94&gt;0,$AB94*SUMIF(⑳商品別1食労務費!$C$5:$C$124,$S94,⑳商品別1食労務費!$F$5:$F$124)/$AA94,$AB94/$X94))</f>
        <v/>
      </c>
      <c r="AF94" s="413">
        <f>IF($T94="",0,IF($AA94&gt;0,$AB94*SUMIF(⑳商品別1食労務費!$C$5:$C$124,$T94,⑳商品別1食労務費!$F$5:$F$124)/$AA94,$AB94/$X94))</f>
        <v/>
      </c>
      <c r="AG94" s="413">
        <f>IF($U94="",0,IF($AA94&gt;0,$AB94*SUMIF(⑳商品別1食労務費!$C$5:$C$124,$U94,⑳商品別1食労務費!$F$5:$F$124)/$AA94,$AB94/$X94))</f>
        <v/>
      </c>
      <c r="AH94" s="413">
        <f>IF($V94="",0,IF($AA94&gt;0,$AB94*SUMIF(⑳商品別1食労務費!$C$5:$C$124,$V94,⑳商品別1食労務費!$F$5:$F$124)/$AA94,$AB94/$X94))</f>
        <v/>
      </c>
      <c r="AI94" s="413">
        <f>IF($W94="",0,IF($AA94&gt;0,$AB94*SUMIF(⑳商品別1食労務費!$C$5:$C$124,$W94,⑳商品別1食労務費!$F$5:$F$124)/$AA94,$AB94/$X94))</f>
        <v/>
      </c>
    </row>
    <row r="95" ht="16" customHeight="1" s="438">
      <c r="A95" s="35" t="n">
        <v>91</v>
      </c>
      <c r="B95" s="36" t="n"/>
      <c r="C95" s="5" t="n"/>
      <c r="D95" s="5" t="n"/>
      <c r="E95" s="5" t="n"/>
      <c r="F95" s="37" t="n"/>
      <c r="G95" s="7" t="n"/>
      <c r="H95" s="7" t="n"/>
      <c r="I95" s="7" t="n"/>
      <c r="J95" s="7" t="n"/>
      <c r="K95" s="513">
        <f>IF(F95&gt;0,I95/(F95/60),0)</f>
        <v/>
      </c>
      <c r="L95" s="514">
        <f>IF(AND(ISNUMBER(F95),J95&gt;0),J95/(F95/60),"")</f>
        <v/>
      </c>
      <c r="M95" s="9">
        <f>IF(OR(ISNUMBER(SEARCH("サニテーション",C95)),ISNUMBER(SEARCH("客注",C95)),ISNUMBER(SEARCH("切り替え",C95)),ISNUMBER(SEARCH("切替",C95)),NOT(ISNUMBER(H95))),"",IF(ISNUMBER(G95),G95/60*H95*④前提設定!$B$4,IF(AND(G95="",ISNUMBER(F95)),F95/60*H95*④前提設定!$B$4,"")))</f>
        <v/>
      </c>
      <c r="N95" s="513">
        <f>IF(I95&gt;0,M95/I95,"")</f>
        <v/>
      </c>
      <c r="O95" s="514">
        <f>IF(AND(J95&gt;0,ISNUMBER(M95)),M95/J95,"")</f>
        <v/>
      </c>
      <c r="P95" s="38" t="n"/>
      <c r="Q95" s="39" t="n"/>
      <c r="R95" s="5" t="n"/>
      <c r="S95" s="5" t="n"/>
      <c r="T95" s="5" t="n"/>
      <c r="U95" s="5" t="n"/>
      <c r="V95" s="5" t="n"/>
      <c r="W95" s="5" t="n"/>
      <c r="X95">
        <f>COUNTA(R95:W95)</f>
        <v/>
      </c>
      <c r="Y95">
        <f>IF(AND($X95&gt;0,ISNUMBER($M95)),$M95/$X95,"")</f>
        <v/>
      </c>
      <c r="Z95">
        <f>IF($X95=0,"",IF(COUNTIF(⑳商品別1食労務費!$C$5:$C$124,$R95)+COUNTIF(⑳商品別1食労務費!$C$5:$C$124,$S95)+COUNTIF(⑳商品別1食労務費!$C$5:$C$124,$T95)+COUNTIF(⑳商品別1食労務費!$C$5:$C$124,$U95)+COUNTIF(⑳商品別1食労務費!$C$5:$C$124,$V95)+COUNTIF(⑳商品別1食労務費!$C$5:$C$124,$W95)=$X95,"OK","⑳に無い商品名"))</f>
        <v/>
      </c>
      <c r="AA95">
        <f>SUMIF(⑳商品別1食労務費!$C$5:$C$124,$R95,⑳商品別1食労務費!$F$5:$F$124)+SUMIF(⑳商品別1食労務費!$C$5:$C$124,$S95,⑳商品別1食労務費!$F$5:$F$124)+SUMIF(⑳商品別1食労務費!$C$5:$C$124,$T95,⑳商品別1食労務費!$F$5:$F$124)+SUMIF(⑳商品別1食労務費!$C$5:$C$124,$U95,⑳商品別1食労務費!$F$5:$F$124)+SUMIF(⑳商品別1食労務費!$C$5:$C$124,$V95,⑳商品別1食労務費!$F$5:$F$124)+SUMIF(⑳商品別1食労務費!$C$5:$C$124,$W95,⑳商品別1食労務費!$F$5:$F$124)</f>
        <v/>
      </c>
      <c r="AB95">
        <f>IF(ISNUMBER($M95),$M95,0)</f>
        <v/>
      </c>
      <c r="AD95" s="413">
        <f>IF($R95="",0,IF($AA95&gt;0,$AB95*SUMIF(⑳商品別1食労務費!$C$5:$C$124,$R95,⑳商品別1食労務費!$F$5:$F$124)/$AA95,$AB95/$X95))</f>
        <v/>
      </c>
      <c r="AE95" s="413">
        <f>IF($S95="",0,IF($AA95&gt;0,$AB95*SUMIF(⑳商品別1食労務費!$C$5:$C$124,$S95,⑳商品別1食労務費!$F$5:$F$124)/$AA95,$AB95/$X95))</f>
        <v/>
      </c>
      <c r="AF95" s="413">
        <f>IF($T95="",0,IF($AA95&gt;0,$AB95*SUMIF(⑳商品別1食労務費!$C$5:$C$124,$T95,⑳商品別1食労務費!$F$5:$F$124)/$AA95,$AB95/$X95))</f>
        <v/>
      </c>
      <c r="AG95" s="413">
        <f>IF($U95="",0,IF($AA95&gt;0,$AB95*SUMIF(⑳商品別1食労務費!$C$5:$C$124,$U95,⑳商品別1食労務費!$F$5:$F$124)/$AA95,$AB95/$X95))</f>
        <v/>
      </c>
      <c r="AH95" s="413">
        <f>IF($V95="",0,IF($AA95&gt;0,$AB95*SUMIF(⑳商品別1食労務費!$C$5:$C$124,$V95,⑳商品別1食労務費!$F$5:$F$124)/$AA95,$AB95/$X95))</f>
        <v/>
      </c>
      <c r="AI95" s="413">
        <f>IF($W95="",0,IF($AA95&gt;0,$AB95*SUMIF(⑳商品別1食労務費!$C$5:$C$124,$W95,⑳商品別1食労務費!$F$5:$F$124)/$AA95,$AB95/$X95))</f>
        <v/>
      </c>
    </row>
    <row r="96" ht="16" customHeight="1" s="438">
      <c r="A96" s="35" t="n">
        <v>92</v>
      </c>
      <c r="B96" s="36" t="n"/>
      <c r="C96" s="5" t="n"/>
      <c r="D96" s="5" t="n"/>
      <c r="E96" s="5" t="n"/>
      <c r="F96" s="37" t="n"/>
      <c r="G96" s="7" t="n"/>
      <c r="H96" s="7" t="n"/>
      <c r="I96" s="7" t="n"/>
      <c r="J96" s="7" t="n"/>
      <c r="K96" s="513">
        <f>IF(F96&gt;0,I96/(F96/60),0)</f>
        <v/>
      </c>
      <c r="L96" s="514">
        <f>IF(AND(ISNUMBER(F96),J96&gt;0),J96/(F96/60),"")</f>
        <v/>
      </c>
      <c r="M96" s="9">
        <f>IF(OR(ISNUMBER(SEARCH("サニテーション",C96)),ISNUMBER(SEARCH("客注",C96)),ISNUMBER(SEARCH("切り替え",C96)),ISNUMBER(SEARCH("切替",C96)),NOT(ISNUMBER(H96))),"",IF(ISNUMBER(G96),G96/60*H96*④前提設定!$B$4,IF(AND(G96="",ISNUMBER(F96)),F96/60*H96*④前提設定!$B$4,"")))</f>
        <v/>
      </c>
      <c r="N96" s="513">
        <f>IF(I96&gt;0,M96/I96,"")</f>
        <v/>
      </c>
      <c r="O96" s="514">
        <f>IF(AND(J96&gt;0,ISNUMBER(M96)),M96/J96,"")</f>
        <v/>
      </c>
      <c r="P96" s="38" t="n"/>
      <c r="Q96" s="39" t="n"/>
      <c r="R96" s="5" t="n"/>
      <c r="S96" s="5" t="n"/>
      <c r="T96" s="5" t="n"/>
      <c r="U96" s="5" t="n"/>
      <c r="V96" s="5" t="n"/>
      <c r="W96" s="5" t="n"/>
      <c r="X96">
        <f>COUNTA(R96:W96)</f>
        <v/>
      </c>
      <c r="Y96">
        <f>IF(AND($X96&gt;0,ISNUMBER($M96)),$M96/$X96,"")</f>
        <v/>
      </c>
      <c r="Z96">
        <f>IF($X96=0,"",IF(COUNTIF(⑳商品別1食労務費!$C$5:$C$124,$R96)+COUNTIF(⑳商品別1食労務費!$C$5:$C$124,$S96)+COUNTIF(⑳商品別1食労務費!$C$5:$C$124,$T96)+COUNTIF(⑳商品別1食労務費!$C$5:$C$124,$U96)+COUNTIF(⑳商品別1食労務費!$C$5:$C$124,$V96)+COUNTIF(⑳商品別1食労務費!$C$5:$C$124,$W96)=$X96,"OK","⑳に無い商品名"))</f>
        <v/>
      </c>
      <c r="AA96">
        <f>SUMIF(⑳商品別1食労務費!$C$5:$C$124,$R96,⑳商品別1食労務費!$F$5:$F$124)+SUMIF(⑳商品別1食労務費!$C$5:$C$124,$S96,⑳商品別1食労務費!$F$5:$F$124)+SUMIF(⑳商品別1食労務費!$C$5:$C$124,$T96,⑳商品別1食労務費!$F$5:$F$124)+SUMIF(⑳商品別1食労務費!$C$5:$C$124,$U96,⑳商品別1食労務費!$F$5:$F$124)+SUMIF(⑳商品別1食労務費!$C$5:$C$124,$V96,⑳商品別1食労務費!$F$5:$F$124)+SUMIF(⑳商品別1食労務費!$C$5:$C$124,$W96,⑳商品別1食労務費!$F$5:$F$124)</f>
        <v/>
      </c>
      <c r="AB96">
        <f>IF(ISNUMBER($M96),$M96,0)</f>
        <v/>
      </c>
      <c r="AD96" s="413">
        <f>IF($R96="",0,IF($AA96&gt;0,$AB96*SUMIF(⑳商品別1食労務費!$C$5:$C$124,$R96,⑳商品別1食労務費!$F$5:$F$124)/$AA96,$AB96/$X96))</f>
        <v/>
      </c>
      <c r="AE96" s="413">
        <f>IF($S96="",0,IF($AA96&gt;0,$AB96*SUMIF(⑳商品別1食労務費!$C$5:$C$124,$S96,⑳商品別1食労務費!$F$5:$F$124)/$AA96,$AB96/$X96))</f>
        <v/>
      </c>
      <c r="AF96" s="413">
        <f>IF($T96="",0,IF($AA96&gt;0,$AB96*SUMIF(⑳商品別1食労務費!$C$5:$C$124,$T96,⑳商品別1食労務費!$F$5:$F$124)/$AA96,$AB96/$X96))</f>
        <v/>
      </c>
      <c r="AG96" s="413">
        <f>IF($U96="",0,IF($AA96&gt;0,$AB96*SUMIF(⑳商品別1食労務費!$C$5:$C$124,$U96,⑳商品別1食労務費!$F$5:$F$124)/$AA96,$AB96/$X96))</f>
        <v/>
      </c>
      <c r="AH96" s="413">
        <f>IF($V96="",0,IF($AA96&gt;0,$AB96*SUMIF(⑳商品別1食労務費!$C$5:$C$124,$V96,⑳商品別1食労務費!$F$5:$F$124)/$AA96,$AB96/$X96))</f>
        <v/>
      </c>
      <c r="AI96" s="413">
        <f>IF($W96="",0,IF($AA96&gt;0,$AB96*SUMIF(⑳商品別1食労務費!$C$5:$C$124,$W96,⑳商品別1食労務費!$F$5:$F$124)/$AA96,$AB96/$X96))</f>
        <v/>
      </c>
    </row>
    <row r="97" ht="16" customHeight="1" s="438">
      <c r="A97" s="35" t="n">
        <v>93</v>
      </c>
      <c r="B97" s="36" t="n"/>
      <c r="C97" s="5" t="n"/>
      <c r="D97" s="5" t="n"/>
      <c r="E97" s="5" t="n"/>
      <c r="F97" s="37" t="n"/>
      <c r="G97" s="7" t="n"/>
      <c r="H97" s="7" t="n"/>
      <c r="I97" s="7" t="n"/>
      <c r="J97" s="7" t="n"/>
      <c r="K97" s="513">
        <f>IF(F97&gt;0,I97/(F97/60),0)</f>
        <v/>
      </c>
      <c r="L97" s="514">
        <f>IF(AND(ISNUMBER(F97),J97&gt;0),J97/(F97/60),"")</f>
        <v/>
      </c>
      <c r="M97" s="9">
        <f>IF(OR(ISNUMBER(SEARCH("サニテーション",C97)),ISNUMBER(SEARCH("客注",C97)),ISNUMBER(SEARCH("切り替え",C97)),ISNUMBER(SEARCH("切替",C97)),NOT(ISNUMBER(H97))),"",IF(ISNUMBER(G97),G97/60*H97*④前提設定!$B$4,IF(AND(G97="",ISNUMBER(F97)),F97/60*H97*④前提設定!$B$4,"")))</f>
        <v/>
      </c>
      <c r="N97" s="513">
        <f>IF(I97&gt;0,M97/I97,"")</f>
        <v/>
      </c>
      <c r="O97" s="514">
        <f>IF(AND(J97&gt;0,ISNUMBER(M97)),M97/J97,"")</f>
        <v/>
      </c>
      <c r="P97" s="38" t="n"/>
      <c r="Q97" s="39" t="n"/>
      <c r="R97" s="5" t="n"/>
      <c r="S97" s="5" t="n"/>
      <c r="T97" s="5" t="n"/>
      <c r="U97" s="5" t="n"/>
      <c r="V97" s="5" t="n"/>
      <c r="W97" s="5" t="n"/>
      <c r="X97">
        <f>COUNTA(R97:W97)</f>
        <v/>
      </c>
      <c r="Y97">
        <f>IF(AND($X97&gt;0,ISNUMBER($M97)),$M97/$X97,"")</f>
        <v/>
      </c>
      <c r="Z97">
        <f>IF($X97=0,"",IF(COUNTIF(⑳商品別1食労務費!$C$5:$C$124,$R97)+COUNTIF(⑳商品別1食労務費!$C$5:$C$124,$S97)+COUNTIF(⑳商品別1食労務費!$C$5:$C$124,$T97)+COUNTIF(⑳商品別1食労務費!$C$5:$C$124,$U97)+COUNTIF(⑳商品別1食労務費!$C$5:$C$124,$V97)+COUNTIF(⑳商品別1食労務費!$C$5:$C$124,$W97)=$X97,"OK","⑳に無い商品名"))</f>
        <v/>
      </c>
      <c r="AA97">
        <f>SUMIF(⑳商品別1食労務費!$C$5:$C$124,$R97,⑳商品別1食労務費!$F$5:$F$124)+SUMIF(⑳商品別1食労務費!$C$5:$C$124,$S97,⑳商品別1食労務費!$F$5:$F$124)+SUMIF(⑳商品別1食労務費!$C$5:$C$124,$T97,⑳商品別1食労務費!$F$5:$F$124)+SUMIF(⑳商品別1食労務費!$C$5:$C$124,$U97,⑳商品別1食労務費!$F$5:$F$124)+SUMIF(⑳商品別1食労務費!$C$5:$C$124,$V97,⑳商品別1食労務費!$F$5:$F$124)+SUMIF(⑳商品別1食労務費!$C$5:$C$124,$W97,⑳商品別1食労務費!$F$5:$F$124)</f>
        <v/>
      </c>
      <c r="AB97">
        <f>IF(ISNUMBER($M97),$M97,0)</f>
        <v/>
      </c>
      <c r="AD97" s="413">
        <f>IF($R97="",0,IF($AA97&gt;0,$AB97*SUMIF(⑳商品別1食労務費!$C$5:$C$124,$R97,⑳商品別1食労務費!$F$5:$F$124)/$AA97,$AB97/$X97))</f>
        <v/>
      </c>
      <c r="AE97" s="413">
        <f>IF($S97="",0,IF($AA97&gt;0,$AB97*SUMIF(⑳商品別1食労務費!$C$5:$C$124,$S97,⑳商品別1食労務費!$F$5:$F$124)/$AA97,$AB97/$X97))</f>
        <v/>
      </c>
      <c r="AF97" s="413">
        <f>IF($T97="",0,IF($AA97&gt;0,$AB97*SUMIF(⑳商品別1食労務費!$C$5:$C$124,$T97,⑳商品別1食労務費!$F$5:$F$124)/$AA97,$AB97/$X97))</f>
        <v/>
      </c>
      <c r="AG97" s="413">
        <f>IF($U97="",0,IF($AA97&gt;0,$AB97*SUMIF(⑳商品別1食労務費!$C$5:$C$124,$U97,⑳商品別1食労務費!$F$5:$F$124)/$AA97,$AB97/$X97))</f>
        <v/>
      </c>
      <c r="AH97" s="413">
        <f>IF($V97="",0,IF($AA97&gt;0,$AB97*SUMIF(⑳商品別1食労務費!$C$5:$C$124,$V97,⑳商品別1食労務費!$F$5:$F$124)/$AA97,$AB97/$X97))</f>
        <v/>
      </c>
      <c r="AI97" s="413">
        <f>IF($W97="",0,IF($AA97&gt;0,$AB97*SUMIF(⑳商品別1食労務費!$C$5:$C$124,$W97,⑳商品別1食労務費!$F$5:$F$124)/$AA97,$AB97/$X97))</f>
        <v/>
      </c>
    </row>
    <row r="98" ht="16" customHeight="1" s="438">
      <c r="A98" s="35" t="n">
        <v>94</v>
      </c>
      <c r="B98" s="36" t="n"/>
      <c r="C98" s="5" t="n"/>
      <c r="D98" s="5" t="n"/>
      <c r="E98" s="5" t="n"/>
      <c r="F98" s="37" t="n"/>
      <c r="G98" s="7" t="n"/>
      <c r="H98" s="7" t="n"/>
      <c r="I98" s="7" t="n"/>
      <c r="J98" s="7" t="n"/>
      <c r="K98" s="513">
        <f>IF(F98&gt;0,I98/(F98/60),0)</f>
        <v/>
      </c>
      <c r="L98" s="514">
        <f>IF(AND(ISNUMBER(F98),J98&gt;0),J98/(F98/60),"")</f>
        <v/>
      </c>
      <c r="M98" s="9">
        <f>IF(OR(ISNUMBER(SEARCH("サニテーション",C98)),ISNUMBER(SEARCH("客注",C98)),ISNUMBER(SEARCH("切り替え",C98)),ISNUMBER(SEARCH("切替",C98)),NOT(ISNUMBER(H98))),"",IF(ISNUMBER(G98),G98/60*H98*④前提設定!$B$4,IF(AND(G98="",ISNUMBER(F98)),F98/60*H98*④前提設定!$B$4,"")))</f>
        <v/>
      </c>
      <c r="N98" s="513">
        <f>IF(I98&gt;0,M98/I98,"")</f>
        <v/>
      </c>
      <c r="O98" s="514">
        <f>IF(AND(J98&gt;0,ISNUMBER(M98)),M98/J98,"")</f>
        <v/>
      </c>
      <c r="P98" s="38" t="n"/>
      <c r="Q98" s="39" t="n"/>
      <c r="R98" s="5" t="n"/>
      <c r="S98" s="5" t="n"/>
      <c r="T98" s="5" t="n"/>
      <c r="U98" s="5" t="n"/>
      <c r="V98" s="5" t="n"/>
      <c r="W98" s="5" t="n"/>
      <c r="X98">
        <f>COUNTA(R98:W98)</f>
        <v/>
      </c>
      <c r="Y98">
        <f>IF(AND($X98&gt;0,ISNUMBER($M98)),$M98/$X98,"")</f>
        <v/>
      </c>
      <c r="Z98">
        <f>IF($X98=0,"",IF(COUNTIF(⑳商品別1食労務費!$C$5:$C$124,$R98)+COUNTIF(⑳商品別1食労務費!$C$5:$C$124,$S98)+COUNTIF(⑳商品別1食労務費!$C$5:$C$124,$T98)+COUNTIF(⑳商品別1食労務費!$C$5:$C$124,$U98)+COUNTIF(⑳商品別1食労務費!$C$5:$C$124,$V98)+COUNTIF(⑳商品別1食労務費!$C$5:$C$124,$W98)=$X98,"OK","⑳に無い商品名"))</f>
        <v/>
      </c>
      <c r="AA98">
        <f>SUMIF(⑳商品別1食労務費!$C$5:$C$124,$R98,⑳商品別1食労務費!$F$5:$F$124)+SUMIF(⑳商品別1食労務費!$C$5:$C$124,$S98,⑳商品別1食労務費!$F$5:$F$124)+SUMIF(⑳商品別1食労務費!$C$5:$C$124,$T98,⑳商品別1食労務費!$F$5:$F$124)+SUMIF(⑳商品別1食労務費!$C$5:$C$124,$U98,⑳商品別1食労務費!$F$5:$F$124)+SUMIF(⑳商品別1食労務費!$C$5:$C$124,$V98,⑳商品別1食労務費!$F$5:$F$124)+SUMIF(⑳商品別1食労務費!$C$5:$C$124,$W98,⑳商品別1食労務費!$F$5:$F$124)</f>
        <v/>
      </c>
      <c r="AB98">
        <f>IF(ISNUMBER($M98),$M98,0)</f>
        <v/>
      </c>
      <c r="AD98" s="413">
        <f>IF($R98="",0,IF($AA98&gt;0,$AB98*SUMIF(⑳商品別1食労務費!$C$5:$C$124,$R98,⑳商品別1食労務費!$F$5:$F$124)/$AA98,$AB98/$X98))</f>
        <v/>
      </c>
      <c r="AE98" s="413">
        <f>IF($S98="",0,IF($AA98&gt;0,$AB98*SUMIF(⑳商品別1食労務費!$C$5:$C$124,$S98,⑳商品別1食労務費!$F$5:$F$124)/$AA98,$AB98/$X98))</f>
        <v/>
      </c>
      <c r="AF98" s="413">
        <f>IF($T98="",0,IF($AA98&gt;0,$AB98*SUMIF(⑳商品別1食労務費!$C$5:$C$124,$T98,⑳商品別1食労務費!$F$5:$F$124)/$AA98,$AB98/$X98))</f>
        <v/>
      </c>
      <c r="AG98" s="413">
        <f>IF($U98="",0,IF($AA98&gt;0,$AB98*SUMIF(⑳商品別1食労務費!$C$5:$C$124,$U98,⑳商品別1食労務費!$F$5:$F$124)/$AA98,$AB98/$X98))</f>
        <v/>
      </c>
      <c r="AH98" s="413">
        <f>IF($V98="",0,IF($AA98&gt;0,$AB98*SUMIF(⑳商品別1食労務費!$C$5:$C$124,$V98,⑳商品別1食労務費!$F$5:$F$124)/$AA98,$AB98/$X98))</f>
        <v/>
      </c>
      <c r="AI98" s="413">
        <f>IF($W98="",0,IF($AA98&gt;0,$AB98*SUMIF(⑳商品別1食労務費!$C$5:$C$124,$W98,⑳商品別1食労務費!$F$5:$F$124)/$AA98,$AB98/$X98))</f>
        <v/>
      </c>
    </row>
    <row r="99" ht="16" customHeight="1" s="438">
      <c r="A99" s="35" t="n">
        <v>95</v>
      </c>
      <c r="B99" s="36" t="n"/>
      <c r="C99" s="5" t="n"/>
      <c r="D99" s="5" t="n"/>
      <c r="E99" s="5" t="n"/>
      <c r="F99" s="37" t="n"/>
      <c r="G99" s="7" t="n"/>
      <c r="H99" s="7" t="n"/>
      <c r="I99" s="7" t="n"/>
      <c r="J99" s="7" t="n"/>
      <c r="K99" s="513">
        <f>IF(F99&gt;0,I99/(F99/60),0)</f>
        <v/>
      </c>
      <c r="L99" s="514">
        <f>IF(AND(ISNUMBER(F99),J99&gt;0),J99/(F99/60),"")</f>
        <v/>
      </c>
      <c r="M99" s="9">
        <f>IF(OR(ISNUMBER(SEARCH("サニテーション",C99)),ISNUMBER(SEARCH("客注",C99)),ISNUMBER(SEARCH("切り替え",C99)),ISNUMBER(SEARCH("切替",C99)),NOT(ISNUMBER(H99))),"",IF(ISNUMBER(G99),G99/60*H99*④前提設定!$B$4,IF(AND(G99="",ISNUMBER(F99)),F99/60*H99*④前提設定!$B$4,"")))</f>
        <v/>
      </c>
      <c r="N99" s="513">
        <f>IF(I99&gt;0,M99/I99,"")</f>
        <v/>
      </c>
      <c r="O99" s="514">
        <f>IF(AND(J99&gt;0,ISNUMBER(M99)),M99/J99,"")</f>
        <v/>
      </c>
      <c r="P99" s="38" t="n"/>
      <c r="Q99" s="39" t="n"/>
      <c r="R99" s="5" t="n"/>
      <c r="S99" s="5" t="n"/>
      <c r="T99" s="5" t="n"/>
      <c r="U99" s="5" t="n"/>
      <c r="V99" s="5" t="n"/>
      <c r="W99" s="5" t="n"/>
      <c r="X99">
        <f>COUNTA(R99:W99)</f>
        <v/>
      </c>
      <c r="Y99">
        <f>IF(AND($X99&gt;0,ISNUMBER($M99)),$M99/$X99,"")</f>
        <v/>
      </c>
      <c r="Z99">
        <f>IF($X99=0,"",IF(COUNTIF(⑳商品別1食労務費!$C$5:$C$124,$R99)+COUNTIF(⑳商品別1食労務費!$C$5:$C$124,$S99)+COUNTIF(⑳商品別1食労務費!$C$5:$C$124,$T99)+COUNTIF(⑳商品別1食労務費!$C$5:$C$124,$U99)+COUNTIF(⑳商品別1食労務費!$C$5:$C$124,$V99)+COUNTIF(⑳商品別1食労務費!$C$5:$C$124,$W99)=$X99,"OK","⑳に無い商品名"))</f>
        <v/>
      </c>
      <c r="AA99">
        <f>SUMIF(⑳商品別1食労務費!$C$5:$C$124,$R99,⑳商品別1食労務費!$F$5:$F$124)+SUMIF(⑳商品別1食労務費!$C$5:$C$124,$S99,⑳商品別1食労務費!$F$5:$F$124)+SUMIF(⑳商品別1食労務費!$C$5:$C$124,$T99,⑳商品別1食労務費!$F$5:$F$124)+SUMIF(⑳商品別1食労務費!$C$5:$C$124,$U99,⑳商品別1食労務費!$F$5:$F$124)+SUMIF(⑳商品別1食労務費!$C$5:$C$124,$V99,⑳商品別1食労務費!$F$5:$F$124)+SUMIF(⑳商品別1食労務費!$C$5:$C$124,$W99,⑳商品別1食労務費!$F$5:$F$124)</f>
        <v/>
      </c>
      <c r="AB99">
        <f>IF(ISNUMBER($M99),$M99,0)</f>
        <v/>
      </c>
      <c r="AD99" s="413">
        <f>IF($R99="",0,IF($AA99&gt;0,$AB99*SUMIF(⑳商品別1食労務費!$C$5:$C$124,$R99,⑳商品別1食労務費!$F$5:$F$124)/$AA99,$AB99/$X99))</f>
        <v/>
      </c>
      <c r="AE99" s="413">
        <f>IF($S99="",0,IF($AA99&gt;0,$AB99*SUMIF(⑳商品別1食労務費!$C$5:$C$124,$S99,⑳商品別1食労務費!$F$5:$F$124)/$AA99,$AB99/$X99))</f>
        <v/>
      </c>
      <c r="AF99" s="413">
        <f>IF($T99="",0,IF($AA99&gt;0,$AB99*SUMIF(⑳商品別1食労務費!$C$5:$C$124,$T99,⑳商品別1食労務費!$F$5:$F$124)/$AA99,$AB99/$X99))</f>
        <v/>
      </c>
      <c r="AG99" s="413">
        <f>IF($U99="",0,IF($AA99&gt;0,$AB99*SUMIF(⑳商品別1食労務費!$C$5:$C$124,$U99,⑳商品別1食労務費!$F$5:$F$124)/$AA99,$AB99/$X99))</f>
        <v/>
      </c>
      <c r="AH99" s="413">
        <f>IF($V99="",0,IF($AA99&gt;0,$AB99*SUMIF(⑳商品別1食労務費!$C$5:$C$124,$V99,⑳商品別1食労務費!$F$5:$F$124)/$AA99,$AB99/$X99))</f>
        <v/>
      </c>
      <c r="AI99" s="413">
        <f>IF($W99="",0,IF($AA99&gt;0,$AB99*SUMIF(⑳商品別1食労務費!$C$5:$C$124,$W99,⑳商品別1食労務費!$F$5:$F$124)/$AA99,$AB99/$X99))</f>
        <v/>
      </c>
    </row>
    <row r="100" ht="16" customHeight="1" s="438">
      <c r="A100" s="35" t="n">
        <v>96</v>
      </c>
      <c r="B100" s="36" t="n"/>
      <c r="C100" s="5" t="n"/>
      <c r="D100" s="5" t="n"/>
      <c r="E100" s="5" t="n"/>
      <c r="F100" s="37" t="n"/>
      <c r="G100" s="7" t="n"/>
      <c r="H100" s="7" t="n"/>
      <c r="I100" s="7" t="n"/>
      <c r="J100" s="7" t="n"/>
      <c r="K100" s="513">
        <f>IF(F100&gt;0,I100/(F100/60),0)</f>
        <v/>
      </c>
      <c r="L100" s="514">
        <f>IF(AND(ISNUMBER(F100),J100&gt;0),J100/(F100/60),"")</f>
        <v/>
      </c>
      <c r="M100" s="9">
        <f>IF(OR(ISNUMBER(SEARCH("サニテーション",C100)),ISNUMBER(SEARCH("客注",C100)),ISNUMBER(SEARCH("切り替え",C100)),ISNUMBER(SEARCH("切替",C100)),NOT(ISNUMBER(H100))),"",IF(ISNUMBER(G100),G100/60*H100*④前提設定!$B$4,IF(AND(G100="",ISNUMBER(F100)),F100/60*H100*④前提設定!$B$4,"")))</f>
        <v/>
      </c>
      <c r="N100" s="513">
        <f>IF(I100&gt;0,M100/I100,"")</f>
        <v/>
      </c>
      <c r="O100" s="514">
        <f>IF(AND(J100&gt;0,ISNUMBER(M100)),M100/J100,"")</f>
        <v/>
      </c>
      <c r="P100" s="38" t="n"/>
      <c r="Q100" s="39" t="n"/>
      <c r="R100" s="5" t="n"/>
      <c r="S100" s="5" t="n"/>
      <c r="T100" s="5" t="n"/>
      <c r="U100" s="5" t="n"/>
      <c r="V100" s="5" t="n"/>
      <c r="W100" s="5" t="n"/>
      <c r="X100">
        <f>COUNTA(R100:W100)</f>
        <v/>
      </c>
      <c r="Y100">
        <f>IF(AND($X100&gt;0,ISNUMBER($M100)),$M100/$X100,"")</f>
        <v/>
      </c>
      <c r="Z100">
        <f>IF($X100=0,"",IF(COUNTIF(⑳商品別1食労務費!$C$5:$C$124,$R100)+COUNTIF(⑳商品別1食労務費!$C$5:$C$124,$S100)+COUNTIF(⑳商品別1食労務費!$C$5:$C$124,$T100)+COUNTIF(⑳商品別1食労務費!$C$5:$C$124,$U100)+COUNTIF(⑳商品別1食労務費!$C$5:$C$124,$V100)+COUNTIF(⑳商品別1食労務費!$C$5:$C$124,$W100)=$X100,"OK","⑳に無い商品名"))</f>
        <v/>
      </c>
      <c r="AA100">
        <f>SUMIF(⑳商品別1食労務費!$C$5:$C$124,$R100,⑳商品別1食労務費!$F$5:$F$124)+SUMIF(⑳商品別1食労務費!$C$5:$C$124,$S100,⑳商品別1食労務費!$F$5:$F$124)+SUMIF(⑳商品別1食労務費!$C$5:$C$124,$T100,⑳商品別1食労務費!$F$5:$F$124)+SUMIF(⑳商品別1食労務費!$C$5:$C$124,$U100,⑳商品別1食労務費!$F$5:$F$124)+SUMIF(⑳商品別1食労務費!$C$5:$C$124,$V100,⑳商品別1食労務費!$F$5:$F$124)+SUMIF(⑳商品別1食労務費!$C$5:$C$124,$W100,⑳商品別1食労務費!$F$5:$F$124)</f>
        <v/>
      </c>
      <c r="AB100">
        <f>IF(ISNUMBER($M100),$M100,0)</f>
        <v/>
      </c>
      <c r="AD100" s="413">
        <f>IF($R100="",0,IF($AA100&gt;0,$AB100*SUMIF(⑳商品別1食労務費!$C$5:$C$124,$R100,⑳商品別1食労務費!$F$5:$F$124)/$AA100,$AB100/$X100))</f>
        <v/>
      </c>
      <c r="AE100" s="413">
        <f>IF($S100="",0,IF($AA100&gt;0,$AB100*SUMIF(⑳商品別1食労務費!$C$5:$C$124,$S100,⑳商品別1食労務費!$F$5:$F$124)/$AA100,$AB100/$X100))</f>
        <v/>
      </c>
      <c r="AF100" s="413">
        <f>IF($T100="",0,IF($AA100&gt;0,$AB100*SUMIF(⑳商品別1食労務費!$C$5:$C$124,$T100,⑳商品別1食労務費!$F$5:$F$124)/$AA100,$AB100/$X100))</f>
        <v/>
      </c>
      <c r="AG100" s="413">
        <f>IF($U100="",0,IF($AA100&gt;0,$AB100*SUMIF(⑳商品別1食労務費!$C$5:$C$124,$U100,⑳商品別1食労務費!$F$5:$F$124)/$AA100,$AB100/$X100))</f>
        <v/>
      </c>
      <c r="AH100" s="413">
        <f>IF($V100="",0,IF($AA100&gt;0,$AB100*SUMIF(⑳商品別1食労務費!$C$5:$C$124,$V100,⑳商品別1食労務費!$F$5:$F$124)/$AA100,$AB100/$X100))</f>
        <v/>
      </c>
      <c r="AI100" s="413">
        <f>IF($W100="",0,IF($AA100&gt;0,$AB100*SUMIF(⑳商品別1食労務費!$C$5:$C$124,$W100,⑳商品別1食労務費!$F$5:$F$124)/$AA100,$AB100/$X100))</f>
        <v/>
      </c>
    </row>
    <row r="101" ht="16" customHeight="1" s="438">
      <c r="A101" s="35" t="n">
        <v>97</v>
      </c>
      <c r="B101" s="36" t="n"/>
      <c r="C101" s="5" t="n"/>
      <c r="D101" s="5" t="n"/>
      <c r="E101" s="5" t="n"/>
      <c r="F101" s="37" t="n"/>
      <c r="G101" s="7" t="n"/>
      <c r="H101" s="7" t="n"/>
      <c r="I101" s="7" t="n"/>
      <c r="J101" s="7" t="n"/>
      <c r="K101" s="513">
        <f>IF(F101&gt;0,I101/(F101/60),0)</f>
        <v/>
      </c>
      <c r="L101" s="514">
        <f>IF(AND(ISNUMBER(F101),J101&gt;0),J101/(F101/60),"")</f>
        <v/>
      </c>
      <c r="M101" s="9">
        <f>IF(OR(ISNUMBER(SEARCH("サニテーション",C101)),ISNUMBER(SEARCH("客注",C101)),ISNUMBER(SEARCH("切り替え",C101)),ISNUMBER(SEARCH("切替",C101)),NOT(ISNUMBER(H101))),"",IF(ISNUMBER(G101),G101/60*H101*④前提設定!$B$4,IF(AND(G101="",ISNUMBER(F101)),F101/60*H101*④前提設定!$B$4,"")))</f>
        <v/>
      </c>
      <c r="N101" s="513">
        <f>IF(I101&gt;0,M101/I101,"")</f>
        <v/>
      </c>
      <c r="O101" s="514">
        <f>IF(AND(J101&gt;0,ISNUMBER(M101)),M101/J101,"")</f>
        <v/>
      </c>
      <c r="P101" s="38" t="n"/>
      <c r="Q101" s="39" t="n"/>
      <c r="R101" s="5" t="n"/>
      <c r="S101" s="5" t="n"/>
      <c r="T101" s="5" t="n"/>
      <c r="U101" s="5" t="n"/>
      <c r="V101" s="5" t="n"/>
      <c r="W101" s="5" t="n"/>
      <c r="X101">
        <f>COUNTA(R101:W101)</f>
        <v/>
      </c>
      <c r="Y101">
        <f>IF(AND($X101&gt;0,ISNUMBER($M101)),$M101/$X101,"")</f>
        <v/>
      </c>
      <c r="Z101">
        <f>IF($X101=0,"",IF(COUNTIF(⑳商品別1食労務費!$C$5:$C$124,$R101)+COUNTIF(⑳商品別1食労務費!$C$5:$C$124,$S101)+COUNTIF(⑳商品別1食労務費!$C$5:$C$124,$T101)+COUNTIF(⑳商品別1食労務費!$C$5:$C$124,$U101)+COUNTIF(⑳商品別1食労務費!$C$5:$C$124,$V101)+COUNTIF(⑳商品別1食労務費!$C$5:$C$124,$W101)=$X101,"OK","⑳に無い商品名"))</f>
        <v/>
      </c>
      <c r="AA101">
        <f>SUMIF(⑳商品別1食労務費!$C$5:$C$124,$R101,⑳商品別1食労務費!$F$5:$F$124)+SUMIF(⑳商品別1食労務費!$C$5:$C$124,$S101,⑳商品別1食労務費!$F$5:$F$124)+SUMIF(⑳商品別1食労務費!$C$5:$C$124,$T101,⑳商品別1食労務費!$F$5:$F$124)+SUMIF(⑳商品別1食労務費!$C$5:$C$124,$U101,⑳商品別1食労務費!$F$5:$F$124)+SUMIF(⑳商品別1食労務費!$C$5:$C$124,$V101,⑳商品別1食労務費!$F$5:$F$124)+SUMIF(⑳商品別1食労務費!$C$5:$C$124,$W101,⑳商品別1食労務費!$F$5:$F$124)</f>
        <v/>
      </c>
      <c r="AB101">
        <f>IF(ISNUMBER($M101),$M101,0)</f>
        <v/>
      </c>
      <c r="AD101" s="413">
        <f>IF($R101="",0,IF($AA101&gt;0,$AB101*SUMIF(⑳商品別1食労務費!$C$5:$C$124,$R101,⑳商品別1食労務費!$F$5:$F$124)/$AA101,$AB101/$X101))</f>
        <v/>
      </c>
      <c r="AE101" s="413">
        <f>IF($S101="",0,IF($AA101&gt;0,$AB101*SUMIF(⑳商品別1食労務費!$C$5:$C$124,$S101,⑳商品別1食労務費!$F$5:$F$124)/$AA101,$AB101/$X101))</f>
        <v/>
      </c>
      <c r="AF101" s="413">
        <f>IF($T101="",0,IF($AA101&gt;0,$AB101*SUMIF(⑳商品別1食労務費!$C$5:$C$124,$T101,⑳商品別1食労務費!$F$5:$F$124)/$AA101,$AB101/$X101))</f>
        <v/>
      </c>
      <c r="AG101" s="413">
        <f>IF($U101="",0,IF($AA101&gt;0,$AB101*SUMIF(⑳商品別1食労務費!$C$5:$C$124,$U101,⑳商品別1食労務費!$F$5:$F$124)/$AA101,$AB101/$X101))</f>
        <v/>
      </c>
      <c r="AH101" s="413">
        <f>IF($V101="",0,IF($AA101&gt;0,$AB101*SUMIF(⑳商品別1食労務費!$C$5:$C$124,$V101,⑳商品別1食労務費!$F$5:$F$124)/$AA101,$AB101/$X101))</f>
        <v/>
      </c>
      <c r="AI101" s="413">
        <f>IF($W101="",0,IF($AA101&gt;0,$AB101*SUMIF(⑳商品別1食労務費!$C$5:$C$124,$W101,⑳商品別1食労務費!$F$5:$F$124)/$AA101,$AB101/$X101))</f>
        <v/>
      </c>
    </row>
    <row r="102" ht="16" customHeight="1" s="438">
      <c r="A102" s="35" t="n">
        <v>98</v>
      </c>
      <c r="B102" s="36" t="n"/>
      <c r="C102" s="5" t="n"/>
      <c r="D102" s="5" t="n"/>
      <c r="E102" s="5" t="n"/>
      <c r="F102" s="37" t="n"/>
      <c r="G102" s="7" t="n"/>
      <c r="H102" s="7" t="n"/>
      <c r="I102" s="7" t="n"/>
      <c r="J102" s="7" t="n"/>
      <c r="K102" s="513">
        <f>IF(F102&gt;0,I102/(F102/60),0)</f>
        <v/>
      </c>
      <c r="L102" s="514">
        <f>IF(AND(ISNUMBER(F102),J102&gt;0),J102/(F102/60),"")</f>
        <v/>
      </c>
      <c r="M102" s="9">
        <f>IF(OR(ISNUMBER(SEARCH("サニテーション",C102)),ISNUMBER(SEARCH("客注",C102)),ISNUMBER(SEARCH("切り替え",C102)),ISNUMBER(SEARCH("切替",C102)),NOT(ISNUMBER(H102))),"",IF(ISNUMBER(G102),G102/60*H102*④前提設定!$B$4,IF(AND(G102="",ISNUMBER(F102)),F102/60*H102*④前提設定!$B$4,"")))</f>
        <v/>
      </c>
      <c r="N102" s="513">
        <f>IF(I102&gt;0,M102/I102,"")</f>
        <v/>
      </c>
      <c r="O102" s="514">
        <f>IF(AND(J102&gt;0,ISNUMBER(M102)),M102/J102,"")</f>
        <v/>
      </c>
      <c r="P102" s="38" t="n"/>
      <c r="Q102" s="39" t="n"/>
      <c r="R102" s="5" t="n"/>
      <c r="S102" s="5" t="n"/>
      <c r="T102" s="5" t="n"/>
      <c r="U102" s="5" t="n"/>
      <c r="V102" s="5" t="n"/>
      <c r="W102" s="5" t="n"/>
      <c r="X102">
        <f>COUNTA(R102:W102)</f>
        <v/>
      </c>
      <c r="Y102">
        <f>IF(AND($X102&gt;0,ISNUMBER($M102)),$M102/$X102,"")</f>
        <v/>
      </c>
      <c r="Z102">
        <f>IF($X102=0,"",IF(COUNTIF(⑳商品別1食労務費!$C$5:$C$124,$R102)+COUNTIF(⑳商品別1食労務費!$C$5:$C$124,$S102)+COUNTIF(⑳商品別1食労務費!$C$5:$C$124,$T102)+COUNTIF(⑳商品別1食労務費!$C$5:$C$124,$U102)+COUNTIF(⑳商品別1食労務費!$C$5:$C$124,$V102)+COUNTIF(⑳商品別1食労務費!$C$5:$C$124,$W102)=$X102,"OK","⑳に無い商品名"))</f>
        <v/>
      </c>
      <c r="AA102">
        <f>SUMIF(⑳商品別1食労務費!$C$5:$C$124,$R102,⑳商品別1食労務費!$F$5:$F$124)+SUMIF(⑳商品別1食労務費!$C$5:$C$124,$S102,⑳商品別1食労務費!$F$5:$F$124)+SUMIF(⑳商品別1食労務費!$C$5:$C$124,$T102,⑳商品別1食労務費!$F$5:$F$124)+SUMIF(⑳商品別1食労務費!$C$5:$C$124,$U102,⑳商品別1食労務費!$F$5:$F$124)+SUMIF(⑳商品別1食労務費!$C$5:$C$124,$V102,⑳商品別1食労務費!$F$5:$F$124)+SUMIF(⑳商品別1食労務費!$C$5:$C$124,$W102,⑳商品別1食労務費!$F$5:$F$124)</f>
        <v/>
      </c>
      <c r="AB102">
        <f>IF(ISNUMBER($M102),$M102,0)</f>
        <v/>
      </c>
      <c r="AD102" s="413">
        <f>IF($R102="",0,IF($AA102&gt;0,$AB102*SUMIF(⑳商品別1食労務費!$C$5:$C$124,$R102,⑳商品別1食労務費!$F$5:$F$124)/$AA102,$AB102/$X102))</f>
        <v/>
      </c>
      <c r="AE102" s="413">
        <f>IF($S102="",0,IF($AA102&gt;0,$AB102*SUMIF(⑳商品別1食労務費!$C$5:$C$124,$S102,⑳商品別1食労務費!$F$5:$F$124)/$AA102,$AB102/$X102))</f>
        <v/>
      </c>
      <c r="AF102" s="413">
        <f>IF($T102="",0,IF($AA102&gt;0,$AB102*SUMIF(⑳商品別1食労務費!$C$5:$C$124,$T102,⑳商品別1食労務費!$F$5:$F$124)/$AA102,$AB102/$X102))</f>
        <v/>
      </c>
      <c r="AG102" s="413">
        <f>IF($U102="",0,IF($AA102&gt;0,$AB102*SUMIF(⑳商品別1食労務費!$C$5:$C$124,$U102,⑳商品別1食労務費!$F$5:$F$124)/$AA102,$AB102/$X102))</f>
        <v/>
      </c>
      <c r="AH102" s="413">
        <f>IF($V102="",0,IF($AA102&gt;0,$AB102*SUMIF(⑳商品別1食労務費!$C$5:$C$124,$V102,⑳商品別1食労務費!$F$5:$F$124)/$AA102,$AB102/$X102))</f>
        <v/>
      </c>
      <c r="AI102" s="413">
        <f>IF($W102="",0,IF($AA102&gt;0,$AB102*SUMIF(⑳商品別1食労務費!$C$5:$C$124,$W102,⑳商品別1食労務費!$F$5:$F$124)/$AA102,$AB102/$X102))</f>
        <v/>
      </c>
    </row>
    <row r="103" ht="16" customHeight="1" s="438">
      <c r="A103" s="12" t="n">
        <v>99</v>
      </c>
      <c r="B103" s="40" t="n"/>
      <c r="C103" s="5" t="n"/>
      <c r="D103" s="5" t="n"/>
      <c r="E103" s="5" t="n"/>
      <c r="F103" s="14" t="n"/>
      <c r="G103" s="12" t="n"/>
      <c r="H103" s="12" t="n"/>
      <c r="I103" s="12" t="n"/>
      <c r="J103" s="12" t="n"/>
      <c r="K103" s="12" t="inlineStr">
        <is>
          <t>-</t>
        </is>
      </c>
      <c r="L103" s="515">
        <f>IF(AND(ISNUMBER(F103),J103&gt;0),J103/(F103/60),"")</f>
        <v/>
      </c>
      <c r="M103" s="12">
        <f>IF(OR(ISNUMBER(SEARCH("サニテーション",C103)),ISNUMBER(SEARCH("客注",C103)),ISNUMBER(SEARCH("切り替え",C103)),ISNUMBER(SEARCH("切替",C103)),NOT(ISNUMBER(H103))),"",IF(ISNUMBER(G103),G103/60*H103*④前提設定!$B$4,IF(AND(G103="",ISNUMBER(F103)),F103/60*H103*④前提設定!$B$4,"")))</f>
        <v/>
      </c>
      <c r="N103" s="12" t="inlineStr">
        <is>
          <t>-</t>
        </is>
      </c>
      <c r="O103" s="515">
        <f>IF(AND(J103&gt;0,ISNUMBER(M103)),M103/J103,"")</f>
        <v/>
      </c>
      <c r="P103" s="15" t="n"/>
      <c r="Q103" s="16" t="n"/>
      <c r="R103" s="5" t="n"/>
      <c r="S103" s="5" t="n"/>
      <c r="T103" s="5" t="n"/>
      <c r="U103" s="5" t="n"/>
      <c r="V103" s="5" t="n"/>
      <c r="W103" s="5" t="n"/>
      <c r="X103">
        <f>COUNTA(R103:W103)</f>
        <v/>
      </c>
      <c r="Y103">
        <f>IF(AND($X103&gt;0,ISNUMBER($M103)),$M103/$X103,"")</f>
        <v/>
      </c>
      <c r="Z103">
        <f>IF($X103=0,"",IF(COUNTIF(⑳商品別1食労務費!$C$5:$C$124,$R103)+COUNTIF(⑳商品別1食労務費!$C$5:$C$124,$S103)+COUNTIF(⑳商品別1食労務費!$C$5:$C$124,$T103)+COUNTIF(⑳商品別1食労務費!$C$5:$C$124,$U103)+COUNTIF(⑳商品別1食労務費!$C$5:$C$124,$V103)+COUNTIF(⑳商品別1食労務費!$C$5:$C$124,$W103)=$X103,"OK","⑳に無い商品名"))</f>
        <v/>
      </c>
      <c r="AA103">
        <f>SUMIF(⑳商品別1食労務費!$C$5:$C$124,$R103,⑳商品別1食労務費!$F$5:$F$124)+SUMIF(⑳商品別1食労務費!$C$5:$C$124,$S103,⑳商品別1食労務費!$F$5:$F$124)+SUMIF(⑳商品別1食労務費!$C$5:$C$124,$T103,⑳商品別1食労務費!$F$5:$F$124)+SUMIF(⑳商品別1食労務費!$C$5:$C$124,$U103,⑳商品別1食労務費!$F$5:$F$124)+SUMIF(⑳商品別1食労務費!$C$5:$C$124,$V103,⑳商品別1食労務費!$F$5:$F$124)+SUMIF(⑳商品別1食労務費!$C$5:$C$124,$W103,⑳商品別1食労務費!$F$5:$F$124)</f>
        <v/>
      </c>
      <c r="AB103">
        <f>IF(ISNUMBER($M103),$M103,0)</f>
        <v/>
      </c>
      <c r="AD103" s="413">
        <f>IF($R103="",0,IF($AA103&gt;0,$AB103*SUMIF(⑳商品別1食労務費!$C$5:$C$124,$R103,⑳商品別1食労務費!$F$5:$F$124)/$AA103,$AB103/$X103))</f>
        <v/>
      </c>
      <c r="AE103" s="413">
        <f>IF($S103="",0,IF($AA103&gt;0,$AB103*SUMIF(⑳商品別1食労務費!$C$5:$C$124,$S103,⑳商品別1食労務費!$F$5:$F$124)/$AA103,$AB103/$X103))</f>
        <v/>
      </c>
      <c r="AF103" s="413">
        <f>IF($T103="",0,IF($AA103&gt;0,$AB103*SUMIF(⑳商品別1食労務費!$C$5:$C$124,$T103,⑳商品別1食労務費!$F$5:$F$124)/$AA103,$AB103/$X103))</f>
        <v/>
      </c>
      <c r="AG103" s="413">
        <f>IF($U103="",0,IF($AA103&gt;0,$AB103*SUMIF(⑳商品別1食労務費!$C$5:$C$124,$U103,⑳商品別1食労務費!$F$5:$F$124)/$AA103,$AB103/$X103))</f>
        <v/>
      </c>
      <c r="AH103" s="413">
        <f>IF($V103="",0,IF($AA103&gt;0,$AB103*SUMIF(⑳商品別1食労務費!$C$5:$C$124,$V103,⑳商品別1食労務費!$F$5:$F$124)/$AA103,$AB103/$X103))</f>
        <v/>
      </c>
      <c r="AI103" s="413">
        <f>IF($W103="",0,IF($AA103&gt;0,$AB103*SUMIF(⑳商品別1食労務費!$C$5:$C$124,$W103,⑳商品別1食労務費!$F$5:$F$124)/$AA103,$AB103/$X103))</f>
        <v/>
      </c>
    </row>
    <row r="104" ht="16" customHeight="1" s="438">
      <c r="A104" s="35" t="n">
        <v>100</v>
      </c>
      <c r="B104" s="36" t="n"/>
      <c r="C104" s="5" t="n"/>
      <c r="D104" s="5" t="n"/>
      <c r="E104" s="5" t="n"/>
      <c r="F104" s="37" t="n"/>
      <c r="G104" s="7" t="n"/>
      <c r="H104" s="7" t="n"/>
      <c r="I104" s="7" t="n"/>
      <c r="J104" s="7" t="n"/>
      <c r="K104" s="513">
        <f>IF(F104&gt;0,I104/(F104/60),0)</f>
        <v/>
      </c>
      <c r="L104" s="514">
        <f>IF(AND(ISNUMBER(F104),J104&gt;0),J104/(F104/60),"")</f>
        <v/>
      </c>
      <c r="M104" s="9">
        <f>IF(OR(ISNUMBER(SEARCH("サニテーション",C104)),ISNUMBER(SEARCH("客注",C104)),ISNUMBER(SEARCH("切り替え",C104)),ISNUMBER(SEARCH("切替",C104)),NOT(ISNUMBER(H104))),"",IF(ISNUMBER(G104),G104/60*H104*④前提設定!$B$4,IF(AND(G104="",ISNUMBER(F104)),F104/60*H104*④前提設定!$B$4,"")))</f>
        <v/>
      </c>
      <c r="N104" s="513">
        <f>IF(I104&gt;0,M104/I104,"")</f>
        <v/>
      </c>
      <c r="O104" s="514">
        <f>IF(AND(J104&gt;0,ISNUMBER(M104)),M104/J104,"")</f>
        <v/>
      </c>
      <c r="P104" s="38" t="n"/>
      <c r="Q104" s="39" t="n"/>
      <c r="R104" s="5" t="n"/>
      <c r="S104" s="5" t="n"/>
      <c r="T104" s="5" t="n"/>
      <c r="U104" s="5" t="n"/>
      <c r="V104" s="5" t="n"/>
      <c r="W104" s="5" t="n"/>
      <c r="X104">
        <f>COUNTA(R104:W104)</f>
        <v/>
      </c>
      <c r="Y104">
        <f>IF(AND($X104&gt;0,ISNUMBER($M104)),$M104/$X104,"")</f>
        <v/>
      </c>
      <c r="Z104">
        <f>IF($X104=0,"",IF(COUNTIF(⑳商品別1食労務費!$C$5:$C$124,$R104)+COUNTIF(⑳商品別1食労務費!$C$5:$C$124,$S104)+COUNTIF(⑳商品別1食労務費!$C$5:$C$124,$T104)+COUNTIF(⑳商品別1食労務費!$C$5:$C$124,$U104)+COUNTIF(⑳商品別1食労務費!$C$5:$C$124,$V104)+COUNTIF(⑳商品別1食労務費!$C$5:$C$124,$W104)=$X104,"OK","⑳に無い商品名"))</f>
        <v/>
      </c>
      <c r="AA104">
        <f>SUMIF(⑳商品別1食労務費!$C$5:$C$124,$R104,⑳商品別1食労務費!$F$5:$F$124)+SUMIF(⑳商品別1食労務費!$C$5:$C$124,$S104,⑳商品別1食労務費!$F$5:$F$124)+SUMIF(⑳商品別1食労務費!$C$5:$C$124,$T104,⑳商品別1食労務費!$F$5:$F$124)+SUMIF(⑳商品別1食労務費!$C$5:$C$124,$U104,⑳商品別1食労務費!$F$5:$F$124)+SUMIF(⑳商品別1食労務費!$C$5:$C$124,$V104,⑳商品別1食労務費!$F$5:$F$124)+SUMIF(⑳商品別1食労務費!$C$5:$C$124,$W104,⑳商品別1食労務費!$F$5:$F$124)</f>
        <v/>
      </c>
      <c r="AB104">
        <f>IF(ISNUMBER($M104),$M104,0)</f>
        <v/>
      </c>
      <c r="AD104" s="413">
        <f>IF($R104="",0,IF($AA104&gt;0,$AB104*SUMIF(⑳商品別1食労務費!$C$5:$C$124,$R104,⑳商品別1食労務費!$F$5:$F$124)/$AA104,$AB104/$X104))</f>
        <v/>
      </c>
      <c r="AE104" s="413">
        <f>IF($S104="",0,IF($AA104&gt;0,$AB104*SUMIF(⑳商品別1食労務費!$C$5:$C$124,$S104,⑳商品別1食労務費!$F$5:$F$124)/$AA104,$AB104/$X104))</f>
        <v/>
      </c>
      <c r="AF104" s="413">
        <f>IF($T104="",0,IF($AA104&gt;0,$AB104*SUMIF(⑳商品別1食労務費!$C$5:$C$124,$T104,⑳商品別1食労務費!$F$5:$F$124)/$AA104,$AB104/$X104))</f>
        <v/>
      </c>
      <c r="AG104" s="413">
        <f>IF($U104="",0,IF($AA104&gt;0,$AB104*SUMIF(⑳商品別1食労務費!$C$5:$C$124,$U104,⑳商品別1食労務費!$F$5:$F$124)/$AA104,$AB104/$X104))</f>
        <v/>
      </c>
      <c r="AH104" s="413">
        <f>IF($V104="",0,IF($AA104&gt;0,$AB104*SUMIF(⑳商品別1食労務費!$C$5:$C$124,$V104,⑳商品別1食労務費!$F$5:$F$124)/$AA104,$AB104/$X104))</f>
        <v/>
      </c>
      <c r="AI104" s="413">
        <f>IF($W104="",0,IF($AA104&gt;0,$AB104*SUMIF(⑳商品別1食労務費!$C$5:$C$124,$W104,⑳商品別1食労務費!$F$5:$F$124)/$AA104,$AB104/$X104))</f>
        <v/>
      </c>
    </row>
    <row r="105" ht="16" customHeight="1" s="438">
      <c r="A105" s="35" t="n">
        <v>101</v>
      </c>
      <c r="B105" s="36" t="n"/>
      <c r="C105" s="5" t="n"/>
      <c r="D105" s="5" t="n"/>
      <c r="E105" s="5" t="n"/>
      <c r="F105" s="37" t="n"/>
      <c r="G105" s="7" t="n"/>
      <c r="H105" s="7" t="n"/>
      <c r="I105" s="7" t="n"/>
      <c r="J105" s="7" t="n"/>
      <c r="K105" s="513">
        <f>IF(F105&gt;0,I105/(F105/60),0)</f>
        <v/>
      </c>
      <c r="L105" s="514">
        <f>IF(AND(ISNUMBER(F105),J105&gt;0),J105/(F105/60),"")</f>
        <v/>
      </c>
      <c r="M105" s="9">
        <f>IF(OR(ISNUMBER(SEARCH("サニテーション",C105)),ISNUMBER(SEARCH("客注",C105)),ISNUMBER(SEARCH("切り替え",C105)),ISNUMBER(SEARCH("切替",C105)),NOT(ISNUMBER(H105))),"",IF(ISNUMBER(G105),G105/60*H105*④前提設定!$B$4,IF(AND(G105="",ISNUMBER(F105)),F105/60*H105*④前提設定!$B$4,"")))</f>
        <v/>
      </c>
      <c r="N105" s="513">
        <f>IF(I105&gt;0,M105/I105,"")</f>
        <v/>
      </c>
      <c r="O105" s="514">
        <f>IF(AND(J105&gt;0,ISNUMBER(M105)),M105/J105,"")</f>
        <v/>
      </c>
      <c r="P105" s="38" t="n"/>
      <c r="Q105" s="39" t="n"/>
      <c r="R105" s="5" t="n"/>
      <c r="S105" s="5" t="n"/>
      <c r="T105" s="5" t="n"/>
      <c r="U105" s="5" t="n"/>
      <c r="V105" s="5" t="n"/>
      <c r="W105" s="5" t="n"/>
      <c r="X105">
        <f>COUNTA(R105:W105)</f>
        <v/>
      </c>
      <c r="Y105">
        <f>IF(AND($X105&gt;0,ISNUMBER($M105)),$M105/$X105,"")</f>
        <v/>
      </c>
      <c r="Z105">
        <f>IF($X105=0,"",IF(COUNTIF(⑳商品別1食労務費!$C$5:$C$124,$R105)+COUNTIF(⑳商品別1食労務費!$C$5:$C$124,$S105)+COUNTIF(⑳商品別1食労務費!$C$5:$C$124,$T105)+COUNTIF(⑳商品別1食労務費!$C$5:$C$124,$U105)+COUNTIF(⑳商品別1食労務費!$C$5:$C$124,$V105)+COUNTIF(⑳商品別1食労務費!$C$5:$C$124,$W105)=$X105,"OK","⑳に無い商品名"))</f>
        <v/>
      </c>
      <c r="AA105">
        <f>SUMIF(⑳商品別1食労務費!$C$5:$C$124,$R105,⑳商品別1食労務費!$F$5:$F$124)+SUMIF(⑳商品別1食労務費!$C$5:$C$124,$S105,⑳商品別1食労務費!$F$5:$F$124)+SUMIF(⑳商品別1食労務費!$C$5:$C$124,$T105,⑳商品別1食労務費!$F$5:$F$124)+SUMIF(⑳商品別1食労務費!$C$5:$C$124,$U105,⑳商品別1食労務費!$F$5:$F$124)+SUMIF(⑳商品別1食労務費!$C$5:$C$124,$V105,⑳商品別1食労務費!$F$5:$F$124)+SUMIF(⑳商品別1食労務費!$C$5:$C$124,$W105,⑳商品別1食労務費!$F$5:$F$124)</f>
        <v/>
      </c>
      <c r="AB105">
        <f>IF(ISNUMBER($M105),$M105,0)</f>
        <v/>
      </c>
      <c r="AD105" s="413">
        <f>IF($R105="",0,IF($AA105&gt;0,$AB105*SUMIF(⑳商品別1食労務費!$C$5:$C$124,$R105,⑳商品別1食労務費!$F$5:$F$124)/$AA105,$AB105/$X105))</f>
        <v/>
      </c>
      <c r="AE105" s="413">
        <f>IF($S105="",0,IF($AA105&gt;0,$AB105*SUMIF(⑳商品別1食労務費!$C$5:$C$124,$S105,⑳商品別1食労務費!$F$5:$F$124)/$AA105,$AB105/$X105))</f>
        <v/>
      </c>
      <c r="AF105" s="413">
        <f>IF($T105="",0,IF($AA105&gt;0,$AB105*SUMIF(⑳商品別1食労務費!$C$5:$C$124,$T105,⑳商品別1食労務費!$F$5:$F$124)/$AA105,$AB105/$X105))</f>
        <v/>
      </c>
      <c r="AG105" s="413">
        <f>IF($U105="",0,IF($AA105&gt;0,$AB105*SUMIF(⑳商品別1食労務費!$C$5:$C$124,$U105,⑳商品別1食労務費!$F$5:$F$124)/$AA105,$AB105/$X105))</f>
        <v/>
      </c>
      <c r="AH105" s="413">
        <f>IF($V105="",0,IF($AA105&gt;0,$AB105*SUMIF(⑳商品別1食労務費!$C$5:$C$124,$V105,⑳商品別1食労務費!$F$5:$F$124)/$AA105,$AB105/$X105))</f>
        <v/>
      </c>
      <c r="AI105" s="413">
        <f>IF($W105="",0,IF($AA105&gt;0,$AB105*SUMIF(⑳商品別1食労務費!$C$5:$C$124,$W105,⑳商品別1食労務費!$F$5:$F$124)/$AA105,$AB105/$X105))</f>
        <v/>
      </c>
    </row>
    <row r="106" ht="16" customHeight="1" s="438">
      <c r="A106" s="35" t="n">
        <v>102</v>
      </c>
      <c r="B106" s="36" t="n"/>
      <c r="C106" s="5" t="n"/>
      <c r="D106" s="5" t="n"/>
      <c r="E106" s="5" t="n"/>
      <c r="F106" s="37" t="n"/>
      <c r="G106" s="7" t="n"/>
      <c r="H106" s="7" t="n"/>
      <c r="I106" s="7" t="n"/>
      <c r="J106" s="7" t="n"/>
      <c r="K106" s="513">
        <f>IF(F106&gt;0,I106/(F106/60),0)</f>
        <v/>
      </c>
      <c r="L106" s="514">
        <f>IF(AND(ISNUMBER(F106),J106&gt;0),J106/(F106/60),"")</f>
        <v/>
      </c>
      <c r="M106" s="9">
        <f>IF(OR(ISNUMBER(SEARCH("サニテーション",C106)),ISNUMBER(SEARCH("客注",C106)),ISNUMBER(SEARCH("切り替え",C106)),ISNUMBER(SEARCH("切替",C106)),NOT(ISNUMBER(H106))),"",IF(ISNUMBER(G106),G106/60*H106*④前提設定!$B$4,IF(AND(G106="",ISNUMBER(F106)),F106/60*H106*④前提設定!$B$4,"")))</f>
        <v/>
      </c>
      <c r="N106" s="513">
        <f>IF(I106&gt;0,M106/I106,"")</f>
        <v/>
      </c>
      <c r="O106" s="514">
        <f>IF(AND(J106&gt;0,ISNUMBER(M106)),M106/J106,"")</f>
        <v/>
      </c>
      <c r="P106" s="38" t="n"/>
      <c r="Q106" s="39" t="n"/>
      <c r="R106" s="5" t="n"/>
      <c r="S106" s="5" t="n"/>
      <c r="T106" s="5" t="n"/>
      <c r="U106" s="5" t="n"/>
      <c r="V106" s="5" t="n"/>
      <c r="W106" s="5" t="n"/>
      <c r="X106">
        <f>COUNTA(R106:W106)</f>
        <v/>
      </c>
      <c r="Y106">
        <f>IF(AND($X106&gt;0,ISNUMBER($M106)),$M106/$X106,"")</f>
        <v/>
      </c>
      <c r="Z106">
        <f>IF($X106=0,"",IF(COUNTIF(⑳商品別1食労務費!$C$5:$C$124,$R106)+COUNTIF(⑳商品別1食労務費!$C$5:$C$124,$S106)+COUNTIF(⑳商品別1食労務費!$C$5:$C$124,$T106)+COUNTIF(⑳商品別1食労務費!$C$5:$C$124,$U106)+COUNTIF(⑳商品別1食労務費!$C$5:$C$124,$V106)+COUNTIF(⑳商品別1食労務費!$C$5:$C$124,$W106)=$X106,"OK","⑳に無い商品名"))</f>
        <v/>
      </c>
      <c r="AA106">
        <f>SUMIF(⑳商品別1食労務費!$C$5:$C$124,$R106,⑳商品別1食労務費!$F$5:$F$124)+SUMIF(⑳商品別1食労務費!$C$5:$C$124,$S106,⑳商品別1食労務費!$F$5:$F$124)+SUMIF(⑳商品別1食労務費!$C$5:$C$124,$T106,⑳商品別1食労務費!$F$5:$F$124)+SUMIF(⑳商品別1食労務費!$C$5:$C$124,$U106,⑳商品別1食労務費!$F$5:$F$124)+SUMIF(⑳商品別1食労務費!$C$5:$C$124,$V106,⑳商品別1食労務費!$F$5:$F$124)+SUMIF(⑳商品別1食労務費!$C$5:$C$124,$W106,⑳商品別1食労務費!$F$5:$F$124)</f>
        <v/>
      </c>
      <c r="AB106">
        <f>IF(ISNUMBER($M106),$M106,0)</f>
        <v/>
      </c>
      <c r="AD106" s="413">
        <f>IF($R106="",0,IF($AA106&gt;0,$AB106*SUMIF(⑳商品別1食労務費!$C$5:$C$124,$R106,⑳商品別1食労務費!$F$5:$F$124)/$AA106,$AB106/$X106))</f>
        <v/>
      </c>
      <c r="AE106" s="413">
        <f>IF($S106="",0,IF($AA106&gt;0,$AB106*SUMIF(⑳商品別1食労務費!$C$5:$C$124,$S106,⑳商品別1食労務費!$F$5:$F$124)/$AA106,$AB106/$X106))</f>
        <v/>
      </c>
      <c r="AF106" s="413">
        <f>IF($T106="",0,IF($AA106&gt;0,$AB106*SUMIF(⑳商品別1食労務費!$C$5:$C$124,$T106,⑳商品別1食労務費!$F$5:$F$124)/$AA106,$AB106/$X106))</f>
        <v/>
      </c>
      <c r="AG106" s="413">
        <f>IF($U106="",0,IF($AA106&gt;0,$AB106*SUMIF(⑳商品別1食労務費!$C$5:$C$124,$U106,⑳商品別1食労務費!$F$5:$F$124)/$AA106,$AB106/$X106))</f>
        <v/>
      </c>
      <c r="AH106" s="413">
        <f>IF($V106="",0,IF($AA106&gt;0,$AB106*SUMIF(⑳商品別1食労務費!$C$5:$C$124,$V106,⑳商品別1食労務費!$F$5:$F$124)/$AA106,$AB106/$X106))</f>
        <v/>
      </c>
      <c r="AI106" s="413">
        <f>IF($W106="",0,IF($AA106&gt;0,$AB106*SUMIF(⑳商品別1食労務費!$C$5:$C$124,$W106,⑳商品別1食労務費!$F$5:$F$124)/$AA106,$AB106/$X106))</f>
        <v/>
      </c>
    </row>
    <row r="107" ht="16" customHeight="1" s="438">
      <c r="A107" s="35" t="n">
        <v>103</v>
      </c>
      <c r="B107" s="36" t="n"/>
      <c r="C107" s="5" t="n"/>
      <c r="D107" s="5" t="n"/>
      <c r="E107" s="5" t="n"/>
      <c r="F107" s="37" t="n"/>
      <c r="G107" s="7" t="n"/>
      <c r="H107" s="7" t="n"/>
      <c r="I107" s="7" t="n"/>
      <c r="J107" s="7" t="n"/>
      <c r="K107" s="513">
        <f>IF(F107&gt;0,I107/(F107/60),0)</f>
        <v/>
      </c>
      <c r="L107" s="514">
        <f>IF(AND(ISNUMBER(F107),J107&gt;0),J107/(F107/60),"")</f>
        <v/>
      </c>
      <c r="M107" s="9">
        <f>IF(OR(ISNUMBER(SEARCH("サニテーション",C107)),ISNUMBER(SEARCH("客注",C107)),ISNUMBER(SEARCH("切り替え",C107)),ISNUMBER(SEARCH("切替",C107)),NOT(ISNUMBER(H107))),"",IF(ISNUMBER(G107),G107/60*H107*④前提設定!$B$4,IF(AND(G107="",ISNUMBER(F107)),F107/60*H107*④前提設定!$B$4,"")))</f>
        <v/>
      </c>
      <c r="N107" s="513">
        <f>IF(I107&gt;0,M107/I107,"")</f>
        <v/>
      </c>
      <c r="O107" s="514">
        <f>IF(AND(J107&gt;0,ISNUMBER(M107)),M107/J107,"")</f>
        <v/>
      </c>
      <c r="P107" s="38" t="n"/>
      <c r="Q107" s="39" t="n"/>
      <c r="R107" s="5" t="n"/>
      <c r="S107" s="5" t="n"/>
      <c r="T107" s="5" t="n"/>
      <c r="U107" s="5" t="n"/>
      <c r="V107" s="5" t="n"/>
      <c r="W107" s="5" t="n"/>
      <c r="X107">
        <f>COUNTA(R107:W107)</f>
        <v/>
      </c>
      <c r="Y107">
        <f>IF(AND($X107&gt;0,ISNUMBER($M107)),$M107/$X107,"")</f>
        <v/>
      </c>
      <c r="Z107">
        <f>IF($X107=0,"",IF(COUNTIF(⑳商品別1食労務費!$C$5:$C$124,$R107)+COUNTIF(⑳商品別1食労務費!$C$5:$C$124,$S107)+COUNTIF(⑳商品別1食労務費!$C$5:$C$124,$T107)+COUNTIF(⑳商品別1食労務費!$C$5:$C$124,$U107)+COUNTIF(⑳商品別1食労務費!$C$5:$C$124,$V107)+COUNTIF(⑳商品別1食労務費!$C$5:$C$124,$W107)=$X107,"OK","⑳に無い商品名"))</f>
        <v/>
      </c>
      <c r="AA107">
        <f>SUMIF(⑳商品別1食労務費!$C$5:$C$124,$R107,⑳商品別1食労務費!$F$5:$F$124)+SUMIF(⑳商品別1食労務費!$C$5:$C$124,$S107,⑳商品別1食労務費!$F$5:$F$124)+SUMIF(⑳商品別1食労務費!$C$5:$C$124,$T107,⑳商品別1食労務費!$F$5:$F$124)+SUMIF(⑳商品別1食労務費!$C$5:$C$124,$U107,⑳商品別1食労務費!$F$5:$F$124)+SUMIF(⑳商品別1食労務費!$C$5:$C$124,$V107,⑳商品別1食労務費!$F$5:$F$124)+SUMIF(⑳商品別1食労務費!$C$5:$C$124,$W107,⑳商品別1食労務費!$F$5:$F$124)</f>
        <v/>
      </c>
      <c r="AB107">
        <f>IF(ISNUMBER($M107),$M107,0)</f>
        <v/>
      </c>
      <c r="AD107" s="413">
        <f>IF($R107="",0,IF($AA107&gt;0,$AB107*SUMIF(⑳商品別1食労務費!$C$5:$C$124,$R107,⑳商品別1食労務費!$F$5:$F$124)/$AA107,$AB107/$X107))</f>
        <v/>
      </c>
      <c r="AE107" s="413">
        <f>IF($S107="",0,IF($AA107&gt;0,$AB107*SUMIF(⑳商品別1食労務費!$C$5:$C$124,$S107,⑳商品別1食労務費!$F$5:$F$124)/$AA107,$AB107/$X107))</f>
        <v/>
      </c>
      <c r="AF107" s="413">
        <f>IF($T107="",0,IF($AA107&gt;0,$AB107*SUMIF(⑳商品別1食労務費!$C$5:$C$124,$T107,⑳商品別1食労務費!$F$5:$F$124)/$AA107,$AB107/$X107))</f>
        <v/>
      </c>
      <c r="AG107" s="413">
        <f>IF($U107="",0,IF($AA107&gt;0,$AB107*SUMIF(⑳商品別1食労務費!$C$5:$C$124,$U107,⑳商品別1食労務費!$F$5:$F$124)/$AA107,$AB107/$X107))</f>
        <v/>
      </c>
      <c r="AH107" s="413">
        <f>IF($V107="",0,IF($AA107&gt;0,$AB107*SUMIF(⑳商品別1食労務費!$C$5:$C$124,$V107,⑳商品別1食労務費!$F$5:$F$124)/$AA107,$AB107/$X107))</f>
        <v/>
      </c>
      <c r="AI107" s="413">
        <f>IF($W107="",0,IF($AA107&gt;0,$AB107*SUMIF(⑳商品別1食労務費!$C$5:$C$124,$W107,⑳商品別1食労務費!$F$5:$F$124)/$AA107,$AB107/$X107))</f>
        <v/>
      </c>
    </row>
    <row r="108" ht="16" customHeight="1" s="438">
      <c r="A108" s="35" t="n">
        <v>104</v>
      </c>
      <c r="B108" s="36" t="n"/>
      <c r="C108" s="5" t="n"/>
      <c r="D108" s="5" t="n"/>
      <c r="E108" s="5" t="n"/>
      <c r="F108" s="37" t="n"/>
      <c r="G108" s="7" t="n"/>
      <c r="H108" s="7" t="n"/>
      <c r="I108" s="7" t="n"/>
      <c r="J108" s="7" t="n"/>
      <c r="K108" s="513">
        <f>IF(F108&gt;0,I108/(F108/60),0)</f>
        <v/>
      </c>
      <c r="L108" s="514">
        <f>IF(AND(ISNUMBER(F108),J108&gt;0),J108/(F108/60),"")</f>
        <v/>
      </c>
      <c r="M108" s="9">
        <f>IF(OR(ISNUMBER(SEARCH("サニテーション",C108)),ISNUMBER(SEARCH("客注",C108)),ISNUMBER(SEARCH("切り替え",C108)),ISNUMBER(SEARCH("切替",C108)),NOT(ISNUMBER(H108))),"",IF(ISNUMBER(G108),G108/60*H108*④前提設定!$B$4,IF(AND(G108="",ISNUMBER(F108)),F108/60*H108*④前提設定!$B$4,"")))</f>
        <v/>
      </c>
      <c r="N108" s="513">
        <f>IF(I108&gt;0,M108/I108,"")</f>
        <v/>
      </c>
      <c r="O108" s="514">
        <f>IF(AND(J108&gt;0,ISNUMBER(M108)),M108/J108,"")</f>
        <v/>
      </c>
      <c r="P108" s="38" t="n"/>
      <c r="Q108" s="39" t="n"/>
      <c r="R108" s="5" t="n"/>
      <c r="S108" s="5" t="n"/>
      <c r="T108" s="5" t="n"/>
      <c r="U108" s="5" t="n"/>
      <c r="V108" s="5" t="n"/>
      <c r="W108" s="5" t="n"/>
      <c r="X108">
        <f>COUNTA(R108:W108)</f>
        <v/>
      </c>
      <c r="Y108">
        <f>IF(AND($X108&gt;0,ISNUMBER($M108)),$M108/$X108,"")</f>
        <v/>
      </c>
      <c r="Z108">
        <f>IF($X108=0,"",IF(COUNTIF(⑳商品別1食労務費!$C$5:$C$124,$R108)+COUNTIF(⑳商品別1食労務費!$C$5:$C$124,$S108)+COUNTIF(⑳商品別1食労務費!$C$5:$C$124,$T108)+COUNTIF(⑳商品別1食労務費!$C$5:$C$124,$U108)+COUNTIF(⑳商品別1食労務費!$C$5:$C$124,$V108)+COUNTIF(⑳商品別1食労務費!$C$5:$C$124,$W108)=$X108,"OK","⑳に無い商品名"))</f>
        <v/>
      </c>
      <c r="AA108">
        <f>SUMIF(⑳商品別1食労務費!$C$5:$C$124,$R108,⑳商品別1食労務費!$F$5:$F$124)+SUMIF(⑳商品別1食労務費!$C$5:$C$124,$S108,⑳商品別1食労務費!$F$5:$F$124)+SUMIF(⑳商品別1食労務費!$C$5:$C$124,$T108,⑳商品別1食労務費!$F$5:$F$124)+SUMIF(⑳商品別1食労務費!$C$5:$C$124,$U108,⑳商品別1食労務費!$F$5:$F$124)+SUMIF(⑳商品別1食労務費!$C$5:$C$124,$V108,⑳商品別1食労務費!$F$5:$F$124)+SUMIF(⑳商品別1食労務費!$C$5:$C$124,$W108,⑳商品別1食労務費!$F$5:$F$124)</f>
        <v/>
      </c>
      <c r="AB108">
        <f>IF(ISNUMBER($M108),$M108,0)</f>
        <v/>
      </c>
      <c r="AD108" s="413">
        <f>IF($R108="",0,IF($AA108&gt;0,$AB108*SUMIF(⑳商品別1食労務費!$C$5:$C$124,$R108,⑳商品別1食労務費!$F$5:$F$124)/$AA108,$AB108/$X108))</f>
        <v/>
      </c>
      <c r="AE108" s="413">
        <f>IF($S108="",0,IF($AA108&gt;0,$AB108*SUMIF(⑳商品別1食労務費!$C$5:$C$124,$S108,⑳商品別1食労務費!$F$5:$F$124)/$AA108,$AB108/$X108))</f>
        <v/>
      </c>
      <c r="AF108" s="413">
        <f>IF($T108="",0,IF($AA108&gt;0,$AB108*SUMIF(⑳商品別1食労務費!$C$5:$C$124,$T108,⑳商品別1食労務費!$F$5:$F$124)/$AA108,$AB108/$X108))</f>
        <v/>
      </c>
      <c r="AG108" s="413">
        <f>IF($U108="",0,IF($AA108&gt;0,$AB108*SUMIF(⑳商品別1食労務費!$C$5:$C$124,$U108,⑳商品別1食労務費!$F$5:$F$124)/$AA108,$AB108/$X108))</f>
        <v/>
      </c>
      <c r="AH108" s="413">
        <f>IF($V108="",0,IF($AA108&gt;0,$AB108*SUMIF(⑳商品別1食労務費!$C$5:$C$124,$V108,⑳商品別1食労務費!$F$5:$F$124)/$AA108,$AB108/$X108))</f>
        <v/>
      </c>
      <c r="AI108" s="413">
        <f>IF($W108="",0,IF($AA108&gt;0,$AB108*SUMIF(⑳商品別1食労務費!$C$5:$C$124,$W108,⑳商品別1食労務費!$F$5:$F$124)/$AA108,$AB108/$X108))</f>
        <v/>
      </c>
    </row>
    <row r="109" ht="16" customHeight="1" s="438">
      <c r="A109" s="35" t="n">
        <v>105</v>
      </c>
      <c r="B109" s="36" t="n"/>
      <c r="C109" s="5" t="n"/>
      <c r="D109" s="5" t="n"/>
      <c r="E109" s="5" t="n"/>
      <c r="F109" s="37" t="n"/>
      <c r="G109" s="7" t="n"/>
      <c r="H109" s="7" t="n"/>
      <c r="I109" s="7" t="n"/>
      <c r="J109" s="7" t="n"/>
      <c r="K109" s="513">
        <f>IF(F109&gt;0,I109/(F109/60),0)</f>
        <v/>
      </c>
      <c r="L109" s="514">
        <f>IF(AND(ISNUMBER(F109),J109&gt;0),J109/(F109/60),"")</f>
        <v/>
      </c>
      <c r="M109" s="9">
        <f>IF(OR(ISNUMBER(SEARCH("サニテーション",C109)),ISNUMBER(SEARCH("客注",C109)),ISNUMBER(SEARCH("切り替え",C109)),ISNUMBER(SEARCH("切替",C109)),NOT(ISNUMBER(H109))),"",IF(ISNUMBER(G109),G109/60*H109*④前提設定!$B$4,IF(AND(G109="",ISNUMBER(F109)),F109/60*H109*④前提設定!$B$4,"")))</f>
        <v/>
      </c>
      <c r="N109" s="513">
        <f>IF(I109&gt;0,M109/I109,"")</f>
        <v/>
      </c>
      <c r="O109" s="514">
        <f>IF(AND(J109&gt;0,ISNUMBER(M109)),M109/J109,"")</f>
        <v/>
      </c>
      <c r="P109" s="38" t="n"/>
      <c r="Q109" s="39" t="n"/>
      <c r="R109" s="5" t="n"/>
      <c r="S109" s="5" t="n"/>
      <c r="T109" s="5" t="n"/>
      <c r="U109" s="5" t="n"/>
      <c r="V109" s="5" t="n"/>
      <c r="W109" s="5" t="n"/>
      <c r="X109">
        <f>COUNTA(R109:W109)</f>
        <v/>
      </c>
      <c r="Y109">
        <f>IF(AND($X109&gt;0,ISNUMBER($M109)),$M109/$X109,"")</f>
        <v/>
      </c>
      <c r="Z109">
        <f>IF($X109=0,"",IF(COUNTIF(⑳商品別1食労務費!$C$5:$C$124,$R109)+COUNTIF(⑳商品別1食労務費!$C$5:$C$124,$S109)+COUNTIF(⑳商品別1食労務費!$C$5:$C$124,$T109)+COUNTIF(⑳商品別1食労務費!$C$5:$C$124,$U109)+COUNTIF(⑳商品別1食労務費!$C$5:$C$124,$V109)+COUNTIF(⑳商品別1食労務費!$C$5:$C$124,$W109)=$X109,"OK","⑳に無い商品名"))</f>
        <v/>
      </c>
      <c r="AA109">
        <f>SUMIF(⑳商品別1食労務費!$C$5:$C$124,$R109,⑳商品別1食労務費!$F$5:$F$124)+SUMIF(⑳商品別1食労務費!$C$5:$C$124,$S109,⑳商品別1食労務費!$F$5:$F$124)+SUMIF(⑳商品別1食労務費!$C$5:$C$124,$T109,⑳商品別1食労務費!$F$5:$F$124)+SUMIF(⑳商品別1食労務費!$C$5:$C$124,$U109,⑳商品別1食労務費!$F$5:$F$124)+SUMIF(⑳商品別1食労務費!$C$5:$C$124,$V109,⑳商品別1食労務費!$F$5:$F$124)+SUMIF(⑳商品別1食労務費!$C$5:$C$124,$W109,⑳商品別1食労務費!$F$5:$F$124)</f>
        <v/>
      </c>
      <c r="AB109">
        <f>IF(ISNUMBER($M109),$M109,0)</f>
        <v/>
      </c>
      <c r="AD109" s="413">
        <f>IF($R109="",0,IF($AA109&gt;0,$AB109*SUMIF(⑳商品別1食労務費!$C$5:$C$124,$R109,⑳商品別1食労務費!$F$5:$F$124)/$AA109,$AB109/$X109))</f>
        <v/>
      </c>
      <c r="AE109" s="413">
        <f>IF($S109="",0,IF($AA109&gt;0,$AB109*SUMIF(⑳商品別1食労務費!$C$5:$C$124,$S109,⑳商品別1食労務費!$F$5:$F$124)/$AA109,$AB109/$X109))</f>
        <v/>
      </c>
      <c r="AF109" s="413">
        <f>IF($T109="",0,IF($AA109&gt;0,$AB109*SUMIF(⑳商品別1食労務費!$C$5:$C$124,$T109,⑳商品別1食労務費!$F$5:$F$124)/$AA109,$AB109/$X109))</f>
        <v/>
      </c>
      <c r="AG109" s="413">
        <f>IF($U109="",0,IF($AA109&gt;0,$AB109*SUMIF(⑳商品別1食労務費!$C$5:$C$124,$U109,⑳商品別1食労務費!$F$5:$F$124)/$AA109,$AB109/$X109))</f>
        <v/>
      </c>
      <c r="AH109" s="413">
        <f>IF($V109="",0,IF($AA109&gt;0,$AB109*SUMIF(⑳商品別1食労務費!$C$5:$C$124,$V109,⑳商品別1食労務費!$F$5:$F$124)/$AA109,$AB109/$X109))</f>
        <v/>
      </c>
      <c r="AI109" s="413">
        <f>IF($W109="",0,IF($AA109&gt;0,$AB109*SUMIF(⑳商品別1食労務費!$C$5:$C$124,$W109,⑳商品別1食労務費!$F$5:$F$124)/$AA109,$AB109/$X109))</f>
        <v/>
      </c>
    </row>
    <row r="110" ht="16" customHeight="1" s="438">
      <c r="A110" s="35" t="n">
        <v>106</v>
      </c>
      <c r="B110" s="36" t="n"/>
      <c r="C110" s="5" t="n"/>
      <c r="D110" s="5" t="n"/>
      <c r="E110" s="5" t="n"/>
      <c r="F110" s="37" t="n"/>
      <c r="G110" s="7" t="n"/>
      <c r="H110" s="7" t="n"/>
      <c r="I110" s="7" t="n"/>
      <c r="J110" s="7" t="n"/>
      <c r="K110" s="513">
        <f>IF(F110&gt;0,I110/(F110/60),0)</f>
        <v/>
      </c>
      <c r="L110" s="514">
        <f>IF(AND(ISNUMBER(F110),J110&gt;0),J110/(F110/60),"")</f>
        <v/>
      </c>
      <c r="M110" s="9">
        <f>IF(OR(ISNUMBER(SEARCH("サニテーション",C110)),ISNUMBER(SEARCH("客注",C110)),ISNUMBER(SEARCH("切り替え",C110)),ISNUMBER(SEARCH("切替",C110)),NOT(ISNUMBER(H110))),"",IF(ISNUMBER(G110),G110/60*H110*④前提設定!$B$4,IF(AND(G110="",ISNUMBER(F110)),F110/60*H110*④前提設定!$B$4,"")))</f>
        <v/>
      </c>
      <c r="N110" s="513">
        <f>IF(I110&gt;0,M110/I110,"")</f>
        <v/>
      </c>
      <c r="O110" s="514">
        <f>IF(AND(J110&gt;0,ISNUMBER(M110)),M110/J110,"")</f>
        <v/>
      </c>
      <c r="P110" s="38" t="n"/>
      <c r="Q110" s="39" t="n"/>
      <c r="R110" s="5" t="n"/>
      <c r="S110" s="5" t="n"/>
      <c r="T110" s="5" t="n"/>
      <c r="U110" s="5" t="n"/>
      <c r="V110" s="5" t="n"/>
      <c r="W110" s="5" t="n"/>
      <c r="X110">
        <f>COUNTA(R110:W110)</f>
        <v/>
      </c>
      <c r="Y110">
        <f>IF(AND($X110&gt;0,ISNUMBER($M110)),$M110/$X110,"")</f>
        <v/>
      </c>
      <c r="Z110">
        <f>IF($X110=0,"",IF(COUNTIF(⑳商品別1食労務費!$C$5:$C$124,$R110)+COUNTIF(⑳商品別1食労務費!$C$5:$C$124,$S110)+COUNTIF(⑳商品別1食労務費!$C$5:$C$124,$T110)+COUNTIF(⑳商品別1食労務費!$C$5:$C$124,$U110)+COUNTIF(⑳商品別1食労務費!$C$5:$C$124,$V110)+COUNTIF(⑳商品別1食労務費!$C$5:$C$124,$W110)=$X110,"OK","⑳に無い商品名"))</f>
        <v/>
      </c>
      <c r="AA110">
        <f>SUMIF(⑳商品別1食労務費!$C$5:$C$124,$R110,⑳商品別1食労務費!$F$5:$F$124)+SUMIF(⑳商品別1食労務費!$C$5:$C$124,$S110,⑳商品別1食労務費!$F$5:$F$124)+SUMIF(⑳商品別1食労務費!$C$5:$C$124,$T110,⑳商品別1食労務費!$F$5:$F$124)+SUMIF(⑳商品別1食労務費!$C$5:$C$124,$U110,⑳商品別1食労務費!$F$5:$F$124)+SUMIF(⑳商品別1食労務費!$C$5:$C$124,$V110,⑳商品別1食労務費!$F$5:$F$124)+SUMIF(⑳商品別1食労務費!$C$5:$C$124,$W110,⑳商品別1食労務費!$F$5:$F$124)</f>
        <v/>
      </c>
      <c r="AB110">
        <f>IF(ISNUMBER($M110),$M110,0)</f>
        <v/>
      </c>
      <c r="AD110" s="413">
        <f>IF($R110="",0,IF($AA110&gt;0,$AB110*SUMIF(⑳商品別1食労務費!$C$5:$C$124,$R110,⑳商品別1食労務費!$F$5:$F$124)/$AA110,$AB110/$X110))</f>
        <v/>
      </c>
      <c r="AE110" s="413">
        <f>IF($S110="",0,IF($AA110&gt;0,$AB110*SUMIF(⑳商品別1食労務費!$C$5:$C$124,$S110,⑳商品別1食労務費!$F$5:$F$124)/$AA110,$AB110/$X110))</f>
        <v/>
      </c>
      <c r="AF110" s="413">
        <f>IF($T110="",0,IF($AA110&gt;0,$AB110*SUMIF(⑳商品別1食労務費!$C$5:$C$124,$T110,⑳商品別1食労務費!$F$5:$F$124)/$AA110,$AB110/$X110))</f>
        <v/>
      </c>
      <c r="AG110" s="413">
        <f>IF($U110="",0,IF($AA110&gt;0,$AB110*SUMIF(⑳商品別1食労務費!$C$5:$C$124,$U110,⑳商品別1食労務費!$F$5:$F$124)/$AA110,$AB110/$X110))</f>
        <v/>
      </c>
      <c r="AH110" s="413">
        <f>IF($V110="",0,IF($AA110&gt;0,$AB110*SUMIF(⑳商品別1食労務費!$C$5:$C$124,$V110,⑳商品別1食労務費!$F$5:$F$124)/$AA110,$AB110/$X110))</f>
        <v/>
      </c>
      <c r="AI110" s="413">
        <f>IF($W110="",0,IF($AA110&gt;0,$AB110*SUMIF(⑳商品別1食労務費!$C$5:$C$124,$W110,⑳商品別1食労務費!$F$5:$F$124)/$AA110,$AB110/$X110))</f>
        <v/>
      </c>
    </row>
    <row r="111" ht="16" customHeight="1" s="438">
      <c r="A111" s="35" t="n">
        <v>107</v>
      </c>
      <c r="B111" s="36" t="n"/>
      <c r="C111" s="5" t="n"/>
      <c r="D111" s="5" t="n"/>
      <c r="E111" s="5" t="n"/>
      <c r="F111" s="37" t="n"/>
      <c r="G111" s="7" t="n"/>
      <c r="H111" s="7" t="n"/>
      <c r="I111" s="7" t="n"/>
      <c r="J111" s="7" t="n"/>
      <c r="K111" s="513">
        <f>IF(F111&gt;0,I111/(F111/60),0)</f>
        <v/>
      </c>
      <c r="L111" s="514">
        <f>IF(AND(ISNUMBER(F111),J111&gt;0),J111/(F111/60),"")</f>
        <v/>
      </c>
      <c r="M111" s="9">
        <f>IF(OR(ISNUMBER(SEARCH("サニテーション",C111)),ISNUMBER(SEARCH("客注",C111)),ISNUMBER(SEARCH("切り替え",C111)),ISNUMBER(SEARCH("切替",C111)),NOT(ISNUMBER(H111))),"",IF(ISNUMBER(G111),G111/60*H111*④前提設定!$B$4,IF(AND(G111="",ISNUMBER(F111)),F111/60*H111*④前提設定!$B$4,"")))</f>
        <v/>
      </c>
      <c r="N111" s="513">
        <f>IF(I111&gt;0,M111/I111,"")</f>
        <v/>
      </c>
      <c r="O111" s="514">
        <f>IF(AND(J111&gt;0,ISNUMBER(M111)),M111/J111,"")</f>
        <v/>
      </c>
      <c r="P111" s="38" t="n"/>
      <c r="Q111" s="39" t="n"/>
      <c r="R111" s="5" t="n"/>
      <c r="S111" s="5" t="n"/>
      <c r="T111" s="5" t="n"/>
      <c r="U111" s="5" t="n"/>
      <c r="V111" s="5" t="n"/>
      <c r="W111" s="5" t="n"/>
      <c r="X111">
        <f>COUNTA(R111:W111)</f>
        <v/>
      </c>
      <c r="Y111">
        <f>IF(AND($X111&gt;0,ISNUMBER($M111)),$M111/$X111,"")</f>
        <v/>
      </c>
      <c r="Z111">
        <f>IF($X111=0,"",IF(COUNTIF(⑳商品別1食労務費!$C$5:$C$124,$R111)+COUNTIF(⑳商品別1食労務費!$C$5:$C$124,$S111)+COUNTIF(⑳商品別1食労務費!$C$5:$C$124,$T111)+COUNTIF(⑳商品別1食労務費!$C$5:$C$124,$U111)+COUNTIF(⑳商品別1食労務費!$C$5:$C$124,$V111)+COUNTIF(⑳商品別1食労務費!$C$5:$C$124,$W111)=$X111,"OK","⑳に無い商品名"))</f>
        <v/>
      </c>
      <c r="AA111">
        <f>SUMIF(⑳商品別1食労務費!$C$5:$C$124,$R111,⑳商品別1食労務費!$F$5:$F$124)+SUMIF(⑳商品別1食労務費!$C$5:$C$124,$S111,⑳商品別1食労務費!$F$5:$F$124)+SUMIF(⑳商品別1食労務費!$C$5:$C$124,$T111,⑳商品別1食労務費!$F$5:$F$124)+SUMIF(⑳商品別1食労務費!$C$5:$C$124,$U111,⑳商品別1食労務費!$F$5:$F$124)+SUMIF(⑳商品別1食労務費!$C$5:$C$124,$V111,⑳商品別1食労務費!$F$5:$F$124)+SUMIF(⑳商品別1食労務費!$C$5:$C$124,$W111,⑳商品別1食労務費!$F$5:$F$124)</f>
        <v/>
      </c>
      <c r="AB111">
        <f>IF(ISNUMBER($M111),$M111,0)</f>
        <v/>
      </c>
      <c r="AD111" s="413">
        <f>IF($R111="",0,IF($AA111&gt;0,$AB111*SUMIF(⑳商品別1食労務費!$C$5:$C$124,$R111,⑳商品別1食労務費!$F$5:$F$124)/$AA111,$AB111/$X111))</f>
        <v/>
      </c>
      <c r="AE111" s="413">
        <f>IF($S111="",0,IF($AA111&gt;0,$AB111*SUMIF(⑳商品別1食労務費!$C$5:$C$124,$S111,⑳商品別1食労務費!$F$5:$F$124)/$AA111,$AB111/$X111))</f>
        <v/>
      </c>
      <c r="AF111" s="413">
        <f>IF($T111="",0,IF($AA111&gt;0,$AB111*SUMIF(⑳商品別1食労務費!$C$5:$C$124,$T111,⑳商品別1食労務費!$F$5:$F$124)/$AA111,$AB111/$X111))</f>
        <v/>
      </c>
      <c r="AG111" s="413">
        <f>IF($U111="",0,IF($AA111&gt;0,$AB111*SUMIF(⑳商品別1食労務費!$C$5:$C$124,$U111,⑳商品別1食労務費!$F$5:$F$124)/$AA111,$AB111/$X111))</f>
        <v/>
      </c>
      <c r="AH111" s="413">
        <f>IF($V111="",0,IF($AA111&gt;0,$AB111*SUMIF(⑳商品別1食労務費!$C$5:$C$124,$V111,⑳商品別1食労務費!$F$5:$F$124)/$AA111,$AB111/$X111))</f>
        <v/>
      </c>
      <c r="AI111" s="413">
        <f>IF($W111="",0,IF($AA111&gt;0,$AB111*SUMIF(⑳商品別1食労務費!$C$5:$C$124,$W111,⑳商品別1食労務費!$F$5:$F$124)/$AA111,$AB111/$X111))</f>
        <v/>
      </c>
    </row>
    <row r="112" ht="16" customHeight="1" s="438">
      <c r="A112" s="35" t="n">
        <v>108</v>
      </c>
      <c r="B112" s="36" t="n"/>
      <c r="C112" s="5" t="n"/>
      <c r="D112" s="5" t="n"/>
      <c r="E112" s="5" t="n"/>
      <c r="F112" s="37" t="n"/>
      <c r="G112" s="7" t="n"/>
      <c r="H112" s="7" t="n"/>
      <c r="I112" s="7" t="n"/>
      <c r="J112" s="7" t="n"/>
      <c r="K112" s="513">
        <f>IF(F112&gt;0,I112/(F112/60),0)</f>
        <v/>
      </c>
      <c r="L112" s="514">
        <f>IF(AND(ISNUMBER(F112),J112&gt;0),J112/(F112/60),"")</f>
        <v/>
      </c>
      <c r="M112" s="9">
        <f>IF(OR(ISNUMBER(SEARCH("サニテーション",C112)),ISNUMBER(SEARCH("客注",C112)),ISNUMBER(SEARCH("切り替え",C112)),ISNUMBER(SEARCH("切替",C112)),NOT(ISNUMBER(H112))),"",IF(ISNUMBER(G112),G112/60*H112*④前提設定!$B$4,IF(AND(G112="",ISNUMBER(F112)),F112/60*H112*④前提設定!$B$4,"")))</f>
        <v/>
      </c>
      <c r="N112" s="513">
        <f>IF(I112&gt;0,M112/I112,"")</f>
        <v/>
      </c>
      <c r="O112" s="514">
        <f>IF(AND(J112&gt;0,ISNUMBER(M112)),M112/J112,"")</f>
        <v/>
      </c>
      <c r="P112" s="38" t="n"/>
      <c r="Q112" s="39" t="n"/>
      <c r="R112" s="5" t="n"/>
      <c r="S112" s="5" t="n"/>
      <c r="T112" s="5" t="n"/>
      <c r="U112" s="5" t="n"/>
      <c r="V112" s="5" t="n"/>
      <c r="W112" s="5" t="n"/>
      <c r="X112">
        <f>COUNTA(R112:W112)</f>
        <v/>
      </c>
      <c r="Y112">
        <f>IF(AND($X112&gt;0,ISNUMBER($M112)),$M112/$X112,"")</f>
        <v/>
      </c>
      <c r="Z112">
        <f>IF($X112=0,"",IF(COUNTIF(⑳商品別1食労務費!$C$5:$C$124,$R112)+COUNTIF(⑳商品別1食労務費!$C$5:$C$124,$S112)+COUNTIF(⑳商品別1食労務費!$C$5:$C$124,$T112)+COUNTIF(⑳商品別1食労務費!$C$5:$C$124,$U112)+COUNTIF(⑳商品別1食労務費!$C$5:$C$124,$V112)+COUNTIF(⑳商品別1食労務費!$C$5:$C$124,$W112)=$X112,"OK","⑳に無い商品名"))</f>
        <v/>
      </c>
      <c r="AA112">
        <f>SUMIF(⑳商品別1食労務費!$C$5:$C$124,$R112,⑳商品別1食労務費!$F$5:$F$124)+SUMIF(⑳商品別1食労務費!$C$5:$C$124,$S112,⑳商品別1食労務費!$F$5:$F$124)+SUMIF(⑳商品別1食労務費!$C$5:$C$124,$T112,⑳商品別1食労務費!$F$5:$F$124)+SUMIF(⑳商品別1食労務費!$C$5:$C$124,$U112,⑳商品別1食労務費!$F$5:$F$124)+SUMIF(⑳商品別1食労務費!$C$5:$C$124,$V112,⑳商品別1食労務費!$F$5:$F$124)+SUMIF(⑳商品別1食労務費!$C$5:$C$124,$W112,⑳商品別1食労務費!$F$5:$F$124)</f>
        <v/>
      </c>
      <c r="AB112">
        <f>IF(ISNUMBER($M112),$M112,0)</f>
        <v/>
      </c>
      <c r="AD112" s="413">
        <f>IF($R112="",0,IF($AA112&gt;0,$AB112*SUMIF(⑳商品別1食労務費!$C$5:$C$124,$R112,⑳商品別1食労務費!$F$5:$F$124)/$AA112,$AB112/$X112))</f>
        <v/>
      </c>
      <c r="AE112" s="413">
        <f>IF($S112="",0,IF($AA112&gt;0,$AB112*SUMIF(⑳商品別1食労務費!$C$5:$C$124,$S112,⑳商品別1食労務費!$F$5:$F$124)/$AA112,$AB112/$X112))</f>
        <v/>
      </c>
      <c r="AF112" s="413">
        <f>IF($T112="",0,IF($AA112&gt;0,$AB112*SUMIF(⑳商品別1食労務費!$C$5:$C$124,$T112,⑳商品別1食労務費!$F$5:$F$124)/$AA112,$AB112/$X112))</f>
        <v/>
      </c>
      <c r="AG112" s="413">
        <f>IF($U112="",0,IF($AA112&gt;0,$AB112*SUMIF(⑳商品別1食労務費!$C$5:$C$124,$U112,⑳商品別1食労務費!$F$5:$F$124)/$AA112,$AB112/$X112))</f>
        <v/>
      </c>
      <c r="AH112" s="413">
        <f>IF($V112="",0,IF($AA112&gt;0,$AB112*SUMIF(⑳商品別1食労務費!$C$5:$C$124,$V112,⑳商品別1食労務費!$F$5:$F$124)/$AA112,$AB112/$X112))</f>
        <v/>
      </c>
      <c r="AI112" s="413">
        <f>IF($W112="",0,IF($AA112&gt;0,$AB112*SUMIF(⑳商品別1食労務費!$C$5:$C$124,$W112,⑳商品別1食労務費!$F$5:$F$124)/$AA112,$AB112/$X112))</f>
        <v/>
      </c>
    </row>
    <row r="113" ht="16" customHeight="1" s="438">
      <c r="A113" s="35" t="n">
        <v>109</v>
      </c>
      <c r="B113" s="36" t="n"/>
      <c r="C113" s="5" t="n"/>
      <c r="D113" s="5" t="n"/>
      <c r="E113" s="5" t="n"/>
      <c r="F113" s="37" t="n"/>
      <c r="G113" s="7" t="n"/>
      <c r="H113" s="7" t="n"/>
      <c r="I113" s="7" t="n"/>
      <c r="J113" s="7" t="n"/>
      <c r="K113" s="513">
        <f>IF(F113&gt;0,I113/(F113/60),0)</f>
        <v/>
      </c>
      <c r="L113" s="514">
        <f>IF(AND(ISNUMBER(F113),J113&gt;0),J113/(F113/60),"")</f>
        <v/>
      </c>
      <c r="M113" s="9">
        <f>IF(OR(ISNUMBER(SEARCH("サニテーション",C113)),ISNUMBER(SEARCH("客注",C113)),ISNUMBER(SEARCH("切り替え",C113)),ISNUMBER(SEARCH("切替",C113)),NOT(ISNUMBER(H113))),"",IF(ISNUMBER(G113),G113/60*H113*④前提設定!$B$4,IF(AND(G113="",ISNUMBER(F113)),F113/60*H113*④前提設定!$B$4,"")))</f>
        <v/>
      </c>
      <c r="N113" s="513">
        <f>IF(I113&gt;0,M113/I113,"")</f>
        <v/>
      </c>
      <c r="O113" s="514">
        <f>IF(AND(J113&gt;0,ISNUMBER(M113)),M113/J113,"")</f>
        <v/>
      </c>
      <c r="P113" s="38" t="n"/>
      <c r="Q113" s="39" t="n"/>
      <c r="R113" s="5" t="n"/>
      <c r="S113" s="5" t="n"/>
      <c r="T113" s="5" t="n"/>
      <c r="U113" s="5" t="n"/>
      <c r="V113" s="5" t="n"/>
      <c r="W113" s="5" t="n"/>
      <c r="X113">
        <f>COUNTA(R113:W113)</f>
        <v/>
      </c>
      <c r="Y113">
        <f>IF(AND($X113&gt;0,ISNUMBER($M113)),$M113/$X113,"")</f>
        <v/>
      </c>
      <c r="Z113">
        <f>IF($X113=0,"",IF(COUNTIF(⑳商品別1食労務費!$C$5:$C$124,$R113)+COUNTIF(⑳商品別1食労務費!$C$5:$C$124,$S113)+COUNTIF(⑳商品別1食労務費!$C$5:$C$124,$T113)+COUNTIF(⑳商品別1食労務費!$C$5:$C$124,$U113)+COUNTIF(⑳商品別1食労務費!$C$5:$C$124,$V113)+COUNTIF(⑳商品別1食労務費!$C$5:$C$124,$W113)=$X113,"OK","⑳に無い商品名"))</f>
        <v/>
      </c>
      <c r="AA113">
        <f>SUMIF(⑳商品別1食労務費!$C$5:$C$124,$R113,⑳商品別1食労務費!$F$5:$F$124)+SUMIF(⑳商品別1食労務費!$C$5:$C$124,$S113,⑳商品別1食労務費!$F$5:$F$124)+SUMIF(⑳商品別1食労務費!$C$5:$C$124,$T113,⑳商品別1食労務費!$F$5:$F$124)+SUMIF(⑳商品別1食労務費!$C$5:$C$124,$U113,⑳商品別1食労務費!$F$5:$F$124)+SUMIF(⑳商品別1食労務費!$C$5:$C$124,$V113,⑳商品別1食労務費!$F$5:$F$124)+SUMIF(⑳商品別1食労務費!$C$5:$C$124,$W113,⑳商品別1食労務費!$F$5:$F$124)</f>
        <v/>
      </c>
      <c r="AB113">
        <f>IF(ISNUMBER($M113),$M113,0)</f>
        <v/>
      </c>
      <c r="AD113" s="413">
        <f>IF($R113="",0,IF($AA113&gt;0,$AB113*SUMIF(⑳商品別1食労務費!$C$5:$C$124,$R113,⑳商品別1食労務費!$F$5:$F$124)/$AA113,$AB113/$X113))</f>
        <v/>
      </c>
      <c r="AE113" s="413">
        <f>IF($S113="",0,IF($AA113&gt;0,$AB113*SUMIF(⑳商品別1食労務費!$C$5:$C$124,$S113,⑳商品別1食労務費!$F$5:$F$124)/$AA113,$AB113/$X113))</f>
        <v/>
      </c>
      <c r="AF113" s="413">
        <f>IF($T113="",0,IF($AA113&gt;0,$AB113*SUMIF(⑳商品別1食労務費!$C$5:$C$124,$T113,⑳商品別1食労務費!$F$5:$F$124)/$AA113,$AB113/$X113))</f>
        <v/>
      </c>
      <c r="AG113" s="413">
        <f>IF($U113="",0,IF($AA113&gt;0,$AB113*SUMIF(⑳商品別1食労務費!$C$5:$C$124,$U113,⑳商品別1食労務費!$F$5:$F$124)/$AA113,$AB113/$X113))</f>
        <v/>
      </c>
      <c r="AH113" s="413">
        <f>IF($V113="",0,IF($AA113&gt;0,$AB113*SUMIF(⑳商品別1食労務費!$C$5:$C$124,$V113,⑳商品別1食労務費!$F$5:$F$124)/$AA113,$AB113/$X113))</f>
        <v/>
      </c>
      <c r="AI113" s="413">
        <f>IF($W113="",0,IF($AA113&gt;0,$AB113*SUMIF(⑳商品別1食労務費!$C$5:$C$124,$W113,⑳商品別1食労務費!$F$5:$F$124)/$AA113,$AB113/$X113))</f>
        <v/>
      </c>
    </row>
    <row r="114" ht="16" customHeight="1" s="438">
      <c r="A114" s="35" t="n">
        <v>110</v>
      </c>
      <c r="B114" s="36" t="n"/>
      <c r="C114" s="5" t="n"/>
      <c r="D114" s="5" t="n"/>
      <c r="E114" s="5" t="n"/>
      <c r="F114" s="37" t="n"/>
      <c r="G114" s="7" t="n"/>
      <c r="H114" s="7" t="n"/>
      <c r="I114" s="7" t="n"/>
      <c r="J114" s="7" t="n"/>
      <c r="K114" s="513">
        <f>IF(F114&gt;0,I114/(F114/60),0)</f>
        <v/>
      </c>
      <c r="L114" s="514">
        <f>IF(AND(ISNUMBER(F114),J114&gt;0),J114/(F114/60),"")</f>
        <v/>
      </c>
      <c r="M114" s="9">
        <f>IF(OR(ISNUMBER(SEARCH("サニテーション",C114)),ISNUMBER(SEARCH("客注",C114)),ISNUMBER(SEARCH("切り替え",C114)),ISNUMBER(SEARCH("切替",C114)),NOT(ISNUMBER(H114))),"",IF(ISNUMBER(G114),G114/60*H114*④前提設定!$B$4,IF(AND(G114="",ISNUMBER(F114)),F114/60*H114*④前提設定!$B$4,"")))</f>
        <v/>
      </c>
      <c r="N114" s="513">
        <f>IF(I114&gt;0,M114/I114,"")</f>
        <v/>
      </c>
      <c r="O114" s="514">
        <f>IF(AND(J114&gt;0,ISNUMBER(M114)),M114/J114,"")</f>
        <v/>
      </c>
      <c r="P114" s="38" t="n"/>
      <c r="Q114" s="39" t="n"/>
      <c r="R114" s="5" t="n"/>
      <c r="S114" s="5" t="n"/>
      <c r="T114" s="5" t="n"/>
      <c r="U114" s="5" t="n"/>
      <c r="V114" s="5" t="n"/>
      <c r="W114" s="5" t="n"/>
      <c r="X114">
        <f>COUNTA(R114:W114)</f>
        <v/>
      </c>
      <c r="Y114">
        <f>IF(AND($X114&gt;0,ISNUMBER($M114)),$M114/$X114,"")</f>
        <v/>
      </c>
      <c r="Z114">
        <f>IF($X114=0,"",IF(COUNTIF(⑳商品別1食労務費!$C$5:$C$124,$R114)+COUNTIF(⑳商品別1食労務費!$C$5:$C$124,$S114)+COUNTIF(⑳商品別1食労務費!$C$5:$C$124,$T114)+COUNTIF(⑳商品別1食労務費!$C$5:$C$124,$U114)+COUNTIF(⑳商品別1食労務費!$C$5:$C$124,$V114)+COUNTIF(⑳商品別1食労務費!$C$5:$C$124,$W114)=$X114,"OK","⑳に無い商品名"))</f>
        <v/>
      </c>
      <c r="AA114">
        <f>SUMIF(⑳商品別1食労務費!$C$5:$C$124,$R114,⑳商品別1食労務費!$F$5:$F$124)+SUMIF(⑳商品別1食労務費!$C$5:$C$124,$S114,⑳商品別1食労務費!$F$5:$F$124)+SUMIF(⑳商品別1食労務費!$C$5:$C$124,$T114,⑳商品別1食労務費!$F$5:$F$124)+SUMIF(⑳商品別1食労務費!$C$5:$C$124,$U114,⑳商品別1食労務費!$F$5:$F$124)+SUMIF(⑳商品別1食労務費!$C$5:$C$124,$V114,⑳商品別1食労務費!$F$5:$F$124)+SUMIF(⑳商品別1食労務費!$C$5:$C$124,$W114,⑳商品別1食労務費!$F$5:$F$124)</f>
        <v/>
      </c>
      <c r="AB114">
        <f>IF(ISNUMBER($M114),$M114,0)</f>
        <v/>
      </c>
      <c r="AD114" s="413">
        <f>IF($R114="",0,IF($AA114&gt;0,$AB114*SUMIF(⑳商品別1食労務費!$C$5:$C$124,$R114,⑳商品別1食労務費!$F$5:$F$124)/$AA114,$AB114/$X114))</f>
        <v/>
      </c>
      <c r="AE114" s="413">
        <f>IF($S114="",0,IF($AA114&gt;0,$AB114*SUMIF(⑳商品別1食労務費!$C$5:$C$124,$S114,⑳商品別1食労務費!$F$5:$F$124)/$AA114,$AB114/$X114))</f>
        <v/>
      </c>
      <c r="AF114" s="413">
        <f>IF($T114="",0,IF($AA114&gt;0,$AB114*SUMIF(⑳商品別1食労務費!$C$5:$C$124,$T114,⑳商品別1食労務費!$F$5:$F$124)/$AA114,$AB114/$X114))</f>
        <v/>
      </c>
      <c r="AG114" s="413">
        <f>IF($U114="",0,IF($AA114&gt;0,$AB114*SUMIF(⑳商品別1食労務費!$C$5:$C$124,$U114,⑳商品別1食労務費!$F$5:$F$124)/$AA114,$AB114/$X114))</f>
        <v/>
      </c>
      <c r="AH114" s="413">
        <f>IF($V114="",0,IF($AA114&gt;0,$AB114*SUMIF(⑳商品別1食労務費!$C$5:$C$124,$V114,⑳商品別1食労務費!$F$5:$F$124)/$AA114,$AB114/$X114))</f>
        <v/>
      </c>
      <c r="AI114" s="413">
        <f>IF($W114="",0,IF($AA114&gt;0,$AB114*SUMIF(⑳商品別1食労務費!$C$5:$C$124,$W114,⑳商品別1食労務費!$F$5:$F$124)/$AA114,$AB114/$X114))</f>
        <v/>
      </c>
    </row>
    <row r="115" ht="16" customHeight="1" s="438">
      <c r="A115" s="35" t="n">
        <v>111</v>
      </c>
      <c r="B115" s="36" t="n"/>
      <c r="C115" s="5" t="n"/>
      <c r="D115" s="5" t="n"/>
      <c r="E115" s="5" t="n"/>
      <c r="F115" s="37" t="n"/>
      <c r="G115" s="7" t="n"/>
      <c r="H115" s="7" t="n"/>
      <c r="I115" s="7" t="n"/>
      <c r="J115" s="7" t="n"/>
      <c r="K115" s="513">
        <f>IF(F115&gt;0,I115/(F115/60),0)</f>
        <v/>
      </c>
      <c r="L115" s="514">
        <f>IF(AND(ISNUMBER(F115),J115&gt;0),J115/(F115/60),"")</f>
        <v/>
      </c>
      <c r="M115" s="9">
        <f>IF(OR(ISNUMBER(SEARCH("サニテーション",C115)),ISNUMBER(SEARCH("客注",C115)),ISNUMBER(SEARCH("切り替え",C115)),ISNUMBER(SEARCH("切替",C115)),NOT(ISNUMBER(H115))),"",IF(ISNUMBER(G115),G115/60*H115*④前提設定!$B$4,IF(AND(G115="",ISNUMBER(F115)),F115/60*H115*④前提設定!$B$4,"")))</f>
        <v/>
      </c>
      <c r="N115" s="513">
        <f>IF(I115&gt;0,M115/I115,"")</f>
        <v/>
      </c>
      <c r="O115" s="514">
        <f>IF(AND(J115&gt;0,ISNUMBER(M115)),M115/J115,"")</f>
        <v/>
      </c>
      <c r="P115" s="38" t="n"/>
      <c r="Q115" s="39" t="n"/>
      <c r="R115" s="5" t="n"/>
      <c r="S115" s="5" t="n"/>
      <c r="T115" s="5" t="n"/>
      <c r="U115" s="5" t="n"/>
      <c r="V115" s="5" t="n"/>
      <c r="W115" s="5" t="n"/>
      <c r="X115">
        <f>COUNTA(R115:W115)</f>
        <v/>
      </c>
      <c r="Y115">
        <f>IF(AND($X115&gt;0,ISNUMBER($M115)),$M115/$X115,"")</f>
        <v/>
      </c>
      <c r="Z115">
        <f>IF($X115=0,"",IF(COUNTIF(⑳商品別1食労務費!$C$5:$C$124,$R115)+COUNTIF(⑳商品別1食労務費!$C$5:$C$124,$S115)+COUNTIF(⑳商品別1食労務費!$C$5:$C$124,$T115)+COUNTIF(⑳商品別1食労務費!$C$5:$C$124,$U115)+COUNTIF(⑳商品別1食労務費!$C$5:$C$124,$V115)+COUNTIF(⑳商品別1食労務費!$C$5:$C$124,$W115)=$X115,"OK","⑳に無い商品名"))</f>
        <v/>
      </c>
      <c r="AA115">
        <f>SUMIF(⑳商品別1食労務費!$C$5:$C$124,$R115,⑳商品別1食労務費!$F$5:$F$124)+SUMIF(⑳商品別1食労務費!$C$5:$C$124,$S115,⑳商品別1食労務費!$F$5:$F$124)+SUMIF(⑳商品別1食労務費!$C$5:$C$124,$T115,⑳商品別1食労務費!$F$5:$F$124)+SUMIF(⑳商品別1食労務費!$C$5:$C$124,$U115,⑳商品別1食労務費!$F$5:$F$124)+SUMIF(⑳商品別1食労務費!$C$5:$C$124,$V115,⑳商品別1食労務費!$F$5:$F$124)+SUMIF(⑳商品別1食労務費!$C$5:$C$124,$W115,⑳商品別1食労務費!$F$5:$F$124)</f>
        <v/>
      </c>
      <c r="AB115">
        <f>IF(ISNUMBER($M115),$M115,0)</f>
        <v/>
      </c>
      <c r="AD115" s="413">
        <f>IF($R115="",0,IF($AA115&gt;0,$AB115*SUMIF(⑳商品別1食労務費!$C$5:$C$124,$R115,⑳商品別1食労務費!$F$5:$F$124)/$AA115,$AB115/$X115))</f>
        <v/>
      </c>
      <c r="AE115" s="413">
        <f>IF($S115="",0,IF($AA115&gt;0,$AB115*SUMIF(⑳商品別1食労務費!$C$5:$C$124,$S115,⑳商品別1食労務費!$F$5:$F$124)/$AA115,$AB115/$X115))</f>
        <v/>
      </c>
      <c r="AF115" s="413">
        <f>IF($T115="",0,IF($AA115&gt;0,$AB115*SUMIF(⑳商品別1食労務費!$C$5:$C$124,$T115,⑳商品別1食労務費!$F$5:$F$124)/$AA115,$AB115/$X115))</f>
        <v/>
      </c>
      <c r="AG115" s="413">
        <f>IF($U115="",0,IF($AA115&gt;0,$AB115*SUMIF(⑳商品別1食労務費!$C$5:$C$124,$U115,⑳商品別1食労務費!$F$5:$F$124)/$AA115,$AB115/$X115))</f>
        <v/>
      </c>
      <c r="AH115" s="413">
        <f>IF($V115="",0,IF($AA115&gt;0,$AB115*SUMIF(⑳商品別1食労務費!$C$5:$C$124,$V115,⑳商品別1食労務費!$F$5:$F$124)/$AA115,$AB115/$X115))</f>
        <v/>
      </c>
      <c r="AI115" s="413">
        <f>IF($W115="",0,IF($AA115&gt;0,$AB115*SUMIF(⑳商品別1食労務費!$C$5:$C$124,$W115,⑳商品別1食労務費!$F$5:$F$124)/$AA115,$AB115/$X115))</f>
        <v/>
      </c>
    </row>
    <row r="116" ht="16" customHeight="1" s="438">
      <c r="A116" s="35" t="n">
        <v>112</v>
      </c>
      <c r="B116" s="36" t="n"/>
      <c r="C116" s="5" t="n"/>
      <c r="D116" s="5" t="n"/>
      <c r="E116" s="5" t="n"/>
      <c r="F116" s="37" t="n"/>
      <c r="G116" s="7" t="n"/>
      <c r="H116" s="7" t="n"/>
      <c r="I116" s="7" t="n"/>
      <c r="J116" s="7" t="n"/>
      <c r="K116" s="513">
        <f>IF(F116&gt;0,I116/(F116/60),0)</f>
        <v/>
      </c>
      <c r="L116" s="514">
        <f>IF(AND(ISNUMBER(F116),J116&gt;0),J116/(F116/60),"")</f>
        <v/>
      </c>
      <c r="M116" s="9">
        <f>IF(OR(ISNUMBER(SEARCH("サニテーション",C116)),ISNUMBER(SEARCH("客注",C116)),ISNUMBER(SEARCH("切り替え",C116)),ISNUMBER(SEARCH("切替",C116)),NOT(ISNUMBER(H116))),"",IF(ISNUMBER(G116),G116/60*H116*④前提設定!$B$4,IF(AND(G116="",ISNUMBER(F116)),F116/60*H116*④前提設定!$B$4,"")))</f>
        <v/>
      </c>
      <c r="N116" s="513">
        <f>IF(I116&gt;0,M116/I116,"")</f>
        <v/>
      </c>
      <c r="O116" s="514">
        <f>IF(AND(J116&gt;0,ISNUMBER(M116)),M116/J116,"")</f>
        <v/>
      </c>
      <c r="P116" s="38" t="n"/>
      <c r="Q116" s="39" t="n"/>
      <c r="R116" s="5" t="n"/>
      <c r="S116" s="5" t="n"/>
      <c r="T116" s="5" t="n"/>
      <c r="U116" s="5" t="n"/>
      <c r="V116" s="5" t="n"/>
      <c r="W116" s="5" t="n"/>
      <c r="X116">
        <f>COUNTA(R116:W116)</f>
        <v/>
      </c>
      <c r="Y116">
        <f>IF(AND($X116&gt;0,ISNUMBER($M116)),$M116/$X116,"")</f>
        <v/>
      </c>
      <c r="Z116">
        <f>IF($X116=0,"",IF(COUNTIF(⑳商品別1食労務費!$C$5:$C$124,$R116)+COUNTIF(⑳商品別1食労務費!$C$5:$C$124,$S116)+COUNTIF(⑳商品別1食労務費!$C$5:$C$124,$T116)+COUNTIF(⑳商品別1食労務費!$C$5:$C$124,$U116)+COUNTIF(⑳商品別1食労務費!$C$5:$C$124,$V116)+COUNTIF(⑳商品別1食労務費!$C$5:$C$124,$W116)=$X116,"OK","⑳に無い商品名"))</f>
        <v/>
      </c>
      <c r="AA116">
        <f>SUMIF(⑳商品別1食労務費!$C$5:$C$124,$R116,⑳商品別1食労務費!$F$5:$F$124)+SUMIF(⑳商品別1食労務費!$C$5:$C$124,$S116,⑳商品別1食労務費!$F$5:$F$124)+SUMIF(⑳商品別1食労務費!$C$5:$C$124,$T116,⑳商品別1食労務費!$F$5:$F$124)+SUMIF(⑳商品別1食労務費!$C$5:$C$124,$U116,⑳商品別1食労務費!$F$5:$F$124)+SUMIF(⑳商品別1食労務費!$C$5:$C$124,$V116,⑳商品別1食労務費!$F$5:$F$124)+SUMIF(⑳商品別1食労務費!$C$5:$C$124,$W116,⑳商品別1食労務費!$F$5:$F$124)</f>
        <v/>
      </c>
      <c r="AB116">
        <f>IF(ISNUMBER($M116),$M116,0)</f>
        <v/>
      </c>
      <c r="AD116" s="413">
        <f>IF($R116="",0,IF($AA116&gt;0,$AB116*SUMIF(⑳商品別1食労務費!$C$5:$C$124,$R116,⑳商品別1食労務費!$F$5:$F$124)/$AA116,$AB116/$X116))</f>
        <v/>
      </c>
      <c r="AE116" s="413">
        <f>IF($S116="",0,IF($AA116&gt;0,$AB116*SUMIF(⑳商品別1食労務費!$C$5:$C$124,$S116,⑳商品別1食労務費!$F$5:$F$124)/$AA116,$AB116/$X116))</f>
        <v/>
      </c>
      <c r="AF116" s="413">
        <f>IF($T116="",0,IF($AA116&gt;0,$AB116*SUMIF(⑳商品別1食労務費!$C$5:$C$124,$T116,⑳商品別1食労務費!$F$5:$F$124)/$AA116,$AB116/$X116))</f>
        <v/>
      </c>
      <c r="AG116" s="413">
        <f>IF($U116="",0,IF($AA116&gt;0,$AB116*SUMIF(⑳商品別1食労務費!$C$5:$C$124,$U116,⑳商品別1食労務費!$F$5:$F$124)/$AA116,$AB116/$X116))</f>
        <v/>
      </c>
      <c r="AH116" s="413">
        <f>IF($V116="",0,IF($AA116&gt;0,$AB116*SUMIF(⑳商品別1食労務費!$C$5:$C$124,$V116,⑳商品別1食労務費!$F$5:$F$124)/$AA116,$AB116/$X116))</f>
        <v/>
      </c>
      <c r="AI116" s="413">
        <f>IF($W116="",0,IF($AA116&gt;0,$AB116*SUMIF(⑳商品別1食労務費!$C$5:$C$124,$W116,⑳商品別1食労務費!$F$5:$F$124)/$AA116,$AB116/$X116))</f>
        <v/>
      </c>
    </row>
    <row r="117" ht="16" customHeight="1" s="438">
      <c r="A117" s="12" t="n">
        <v>113</v>
      </c>
      <c r="B117" s="40" t="n"/>
      <c r="C117" s="5" t="n"/>
      <c r="D117" s="5" t="n"/>
      <c r="E117" s="5" t="n"/>
      <c r="F117" s="14" t="n"/>
      <c r="G117" s="12" t="n"/>
      <c r="H117" s="12" t="n"/>
      <c r="I117" s="12" t="n"/>
      <c r="J117" s="12" t="n"/>
      <c r="K117" s="12" t="inlineStr">
        <is>
          <t>-</t>
        </is>
      </c>
      <c r="L117" s="515">
        <f>IF(AND(ISNUMBER(F117),J117&gt;0),J117/(F117/60),"")</f>
        <v/>
      </c>
      <c r="M117" s="12">
        <f>IF(OR(ISNUMBER(SEARCH("サニテーション",C117)),ISNUMBER(SEARCH("客注",C117)),ISNUMBER(SEARCH("切り替え",C117)),ISNUMBER(SEARCH("切替",C117)),NOT(ISNUMBER(H117))),"",IF(ISNUMBER(G117),G117/60*H117*④前提設定!$B$4,IF(AND(G117="",ISNUMBER(F117)),F117/60*H117*④前提設定!$B$4,"")))</f>
        <v/>
      </c>
      <c r="N117" s="12" t="inlineStr">
        <is>
          <t>-</t>
        </is>
      </c>
      <c r="O117" s="515">
        <f>IF(AND(J117&gt;0,ISNUMBER(M117)),M117/J117,"")</f>
        <v/>
      </c>
      <c r="P117" s="15" t="n"/>
      <c r="Q117" s="16" t="n"/>
      <c r="R117" s="5" t="n"/>
      <c r="S117" s="5" t="n"/>
      <c r="T117" s="5" t="n"/>
      <c r="U117" s="5" t="n"/>
      <c r="V117" s="5" t="n"/>
      <c r="W117" s="5" t="n"/>
      <c r="X117">
        <f>COUNTA(R117:W117)</f>
        <v/>
      </c>
      <c r="Y117">
        <f>IF(AND($X117&gt;0,ISNUMBER($M117)),$M117/$X117,"")</f>
        <v/>
      </c>
      <c r="Z117">
        <f>IF($X117=0,"",IF(COUNTIF(⑳商品別1食労務費!$C$5:$C$124,$R117)+COUNTIF(⑳商品別1食労務費!$C$5:$C$124,$S117)+COUNTIF(⑳商品別1食労務費!$C$5:$C$124,$T117)+COUNTIF(⑳商品別1食労務費!$C$5:$C$124,$U117)+COUNTIF(⑳商品別1食労務費!$C$5:$C$124,$V117)+COUNTIF(⑳商品別1食労務費!$C$5:$C$124,$W117)=$X117,"OK","⑳に無い商品名"))</f>
        <v/>
      </c>
      <c r="AA117">
        <f>SUMIF(⑳商品別1食労務費!$C$5:$C$124,$R117,⑳商品別1食労務費!$F$5:$F$124)+SUMIF(⑳商品別1食労務費!$C$5:$C$124,$S117,⑳商品別1食労務費!$F$5:$F$124)+SUMIF(⑳商品別1食労務費!$C$5:$C$124,$T117,⑳商品別1食労務費!$F$5:$F$124)+SUMIF(⑳商品別1食労務費!$C$5:$C$124,$U117,⑳商品別1食労務費!$F$5:$F$124)+SUMIF(⑳商品別1食労務費!$C$5:$C$124,$V117,⑳商品別1食労務費!$F$5:$F$124)+SUMIF(⑳商品別1食労務費!$C$5:$C$124,$W117,⑳商品別1食労務費!$F$5:$F$124)</f>
        <v/>
      </c>
      <c r="AB117">
        <f>IF(ISNUMBER($M117),$M117,0)</f>
        <v/>
      </c>
      <c r="AD117" s="413">
        <f>IF($R117="",0,IF($AA117&gt;0,$AB117*SUMIF(⑳商品別1食労務費!$C$5:$C$124,$R117,⑳商品別1食労務費!$F$5:$F$124)/$AA117,$AB117/$X117))</f>
        <v/>
      </c>
      <c r="AE117" s="413">
        <f>IF($S117="",0,IF($AA117&gt;0,$AB117*SUMIF(⑳商品別1食労務費!$C$5:$C$124,$S117,⑳商品別1食労務費!$F$5:$F$124)/$AA117,$AB117/$X117))</f>
        <v/>
      </c>
      <c r="AF117" s="413">
        <f>IF($T117="",0,IF($AA117&gt;0,$AB117*SUMIF(⑳商品別1食労務費!$C$5:$C$124,$T117,⑳商品別1食労務費!$F$5:$F$124)/$AA117,$AB117/$X117))</f>
        <v/>
      </c>
      <c r="AG117" s="413">
        <f>IF($U117="",0,IF($AA117&gt;0,$AB117*SUMIF(⑳商品別1食労務費!$C$5:$C$124,$U117,⑳商品別1食労務費!$F$5:$F$124)/$AA117,$AB117/$X117))</f>
        <v/>
      </c>
      <c r="AH117" s="413">
        <f>IF($V117="",0,IF($AA117&gt;0,$AB117*SUMIF(⑳商品別1食労務費!$C$5:$C$124,$V117,⑳商品別1食労務費!$F$5:$F$124)/$AA117,$AB117/$X117))</f>
        <v/>
      </c>
      <c r="AI117" s="413">
        <f>IF($W117="",0,IF($AA117&gt;0,$AB117*SUMIF(⑳商品別1食労務費!$C$5:$C$124,$W117,⑳商品別1食労務費!$F$5:$F$124)/$AA117,$AB117/$X117))</f>
        <v/>
      </c>
    </row>
    <row r="118" ht="20" customHeight="1" s="438">
      <c r="A118" s="457" t="inlineStr">
        <is>
          <t>合計</t>
        </is>
      </c>
      <c r="B118" s="458" t="n"/>
      <c r="C118" s="458" t="n"/>
      <c r="D118" s="458" t="n"/>
      <c r="E118" s="458" t="n"/>
      <c r="F118" s="459" t="n"/>
      <c r="G118" s="42" t="n"/>
      <c r="H118" s="42" t="n">
        <v>2</v>
      </c>
      <c r="I118" s="42" t="n"/>
      <c r="J118" s="42" t="n"/>
      <c r="K118" s="41" t="n"/>
      <c r="L118" s="516">
        <f>IF(AND(ISNUMBER(F118),J118&gt;0),J118/(F118/60),"")</f>
        <v/>
      </c>
      <c r="M118" s="42">
        <f>SUM(M5:M117)</f>
        <v/>
      </c>
      <c r="N118" s="41" t="n"/>
      <c r="O118" s="516">
        <f>IF(AND(J118&gt;0,ISNUMBER(M118)),M118/J118,"")</f>
        <v/>
      </c>
      <c r="P118" s="41" t="n"/>
      <c r="Q118" s="41" t="n"/>
    </row>
    <row r="119">
      <c r="D119" s="335" t="n"/>
      <c r="E119" s="335" t="n"/>
      <c r="H119" t="n">
        <v>2</v>
      </c>
      <c r="L119" s="517" t="n"/>
      <c r="M119">
        <f>IF(OR(ISNUMBER(SEARCH("サニテーション",C119)),ISNUMBER(SEARCH("客注",C119)),ISNUMBER(SEARCH("切り替え",C119)),ISNUMBER(SEARCH("切替",C119)),NOT(ISNUMBER(H119))),"",IF(ISNUMBER(G119),G119/60*H119*④前提設定!$B$4,IF(AND(G119="",ISNUMBER(F119)),F119/60*H119*④前提設定!$B$4,"")))</f>
        <v/>
      </c>
      <c r="O119" s="517" t="n"/>
    </row>
    <row r="120">
      <c r="F120">
        <f>IF(OR(D120="",E120=""),"",(E120-D120)*1440)</f>
        <v/>
      </c>
      <c r="H120" t="n">
        <v>2</v>
      </c>
      <c r="K120">
        <f>IF(AND(ISNUMBER(F120),I120&gt;0),I120/(F120/60),"")</f>
        <v/>
      </c>
      <c r="L120" s="517">
        <f>IF(AND(ISNUMBER(F120),J120&gt;0),J120/(F120/60),"")</f>
        <v/>
      </c>
      <c r="M120">
        <f>IF(OR(ISNUMBER(SEARCH("サニテーション",C120)),ISNUMBER(SEARCH("客注",C120)),ISNUMBER(SEARCH("切り替え",C120)),ISNUMBER(SEARCH("切替",C120)),NOT(ISNUMBER(H120))),"",IF(ISNUMBER(G120),G120/60*H120*④前提設定!$B$4,IF(AND(G120="",ISNUMBER(F120)),F120/60*H120*④前提設定!$B$4,"")))</f>
        <v/>
      </c>
      <c r="N120">
        <f>IF(AND(I120&gt;0,ISNUMBER(M120)),M120/I120,"")</f>
        <v/>
      </c>
      <c r="O120" s="517">
        <f>IF(AND(J120&gt;0,ISNUMBER(M120)),M120/J120,"")</f>
        <v/>
      </c>
    </row>
    <row r="121">
      <c r="F121">
        <f>IF(OR(D121="",E121=""),"",(E121-D121)*1440)</f>
        <v/>
      </c>
      <c r="H121" t="n">
        <v>2</v>
      </c>
      <c r="K121">
        <f>IF(AND(ISNUMBER(F121),I121&gt;0),I121/(F121/60),"")</f>
        <v/>
      </c>
      <c r="L121" s="517">
        <f>IF(AND(ISNUMBER(F121),J121&gt;0),J121/(F121/60),"")</f>
        <v/>
      </c>
      <c r="M121">
        <f>IF(OR(ISNUMBER(SEARCH("サニテーション",C121)),ISNUMBER(SEARCH("客注",C121)),ISNUMBER(SEARCH("切り替え",C121)),ISNUMBER(SEARCH("切替",C121)),NOT(ISNUMBER(H121))),"",IF(ISNUMBER(G121),G121/60*H121*④前提設定!$B$4,IF(AND(G121="",ISNUMBER(F121)),F121/60*H121*④前提設定!$B$4,"")))</f>
        <v/>
      </c>
      <c r="N121">
        <f>IF(AND(I121&gt;0,ISNUMBER(M121)),M121/I121,"")</f>
        <v/>
      </c>
      <c r="O121" s="517">
        <f>IF(AND(J121&gt;0,ISNUMBER(M121)),M121/J121,"")</f>
        <v/>
      </c>
    </row>
    <row r="122">
      <c r="F122">
        <f>IF(OR(D122="",E122=""),"",(E122-D122)*1440)</f>
        <v/>
      </c>
      <c r="H122" t="n">
        <v>2</v>
      </c>
      <c r="K122">
        <f>IF(AND(ISNUMBER(F122),I122&gt;0),I122/(F122/60),"")</f>
        <v/>
      </c>
      <c r="L122" s="517">
        <f>IF(AND(ISNUMBER(F122),J122&gt;0),J122/(F122/60),"")</f>
        <v/>
      </c>
      <c r="M122">
        <f>IF(OR(ISNUMBER(SEARCH("サニテーション",C122)),ISNUMBER(SEARCH("客注",C122)),ISNUMBER(SEARCH("切り替え",C122)),ISNUMBER(SEARCH("切替",C122)),NOT(ISNUMBER(H122))),"",IF(ISNUMBER(G122),G122/60*H122*④前提設定!$B$4,IF(AND(G122="",ISNUMBER(F122)),F122/60*H122*④前提設定!$B$4,"")))</f>
        <v/>
      </c>
      <c r="N122">
        <f>IF(AND(I122&gt;0,ISNUMBER(M122)),M122/I122,"")</f>
        <v/>
      </c>
      <c r="O122" s="517">
        <f>IF(AND(J122&gt;0,ISNUMBER(M122)),M122/J122,"")</f>
        <v/>
      </c>
    </row>
    <row r="123">
      <c r="F123">
        <f>IF(OR(D123="",E123=""),"",(E123-D123)*1440)</f>
        <v/>
      </c>
      <c r="H123" t="n">
        <v>2</v>
      </c>
      <c r="K123">
        <f>IF(AND(ISNUMBER(F123),I123&gt;0),I123/(F123/60),"")</f>
        <v/>
      </c>
      <c r="L123" s="517">
        <f>IF(AND(ISNUMBER(F123),J123&gt;0),J123/(F123/60),"")</f>
        <v/>
      </c>
      <c r="M123">
        <f>IF(OR(ISNUMBER(SEARCH("サニテーション",C123)),ISNUMBER(SEARCH("客注",C123)),ISNUMBER(SEARCH("切り替え",C123)),ISNUMBER(SEARCH("切替",C123)),NOT(ISNUMBER(H123))),"",IF(ISNUMBER(G123),G123/60*H123*④前提設定!$B$4,IF(AND(G123="",ISNUMBER(F123)),F123/60*H123*④前提設定!$B$4,"")))</f>
        <v/>
      </c>
      <c r="N123">
        <f>IF(AND(I123&gt;0,ISNUMBER(M123)),M123/I123,"")</f>
        <v/>
      </c>
      <c r="O123" s="517">
        <f>IF(AND(J123&gt;0,ISNUMBER(M123)),M123/J123,"")</f>
        <v/>
      </c>
    </row>
    <row r="124">
      <c r="F124">
        <f>IF(OR(D124="",E124=""),"",(E124-D124)*1440)</f>
        <v/>
      </c>
      <c r="H124" t="n">
        <v>2</v>
      </c>
      <c r="K124">
        <f>IF(AND(ISNUMBER(F124),I124&gt;0),I124/(F124/60),"")</f>
        <v/>
      </c>
      <c r="L124" s="517">
        <f>IF(AND(ISNUMBER(F124),J124&gt;0),J124/(F124/60),"")</f>
        <v/>
      </c>
      <c r="M124">
        <f>IF(OR(ISNUMBER(SEARCH("サニテーション",C124)),ISNUMBER(SEARCH("客注",C124)),ISNUMBER(SEARCH("切り替え",C124)),ISNUMBER(SEARCH("切替",C124)),NOT(ISNUMBER(H124))),"",IF(ISNUMBER(G124),G124/60*H124*④前提設定!$B$4,IF(AND(G124="",ISNUMBER(F124)),F124/60*H124*④前提設定!$B$4,"")))</f>
        <v/>
      </c>
      <c r="N124">
        <f>IF(AND(I124&gt;0,ISNUMBER(M124)),M124/I124,"")</f>
        <v/>
      </c>
      <c r="O124" s="517">
        <f>IF(AND(J124&gt;0,ISNUMBER(M124)),M124/J124,"")</f>
        <v/>
      </c>
    </row>
    <row r="125">
      <c r="F125">
        <f>IF(OR(D125="",E125=""),"",(E125-D125)*1440)</f>
        <v/>
      </c>
      <c r="H125" t="n">
        <v>2</v>
      </c>
      <c r="K125">
        <f>IF(AND(ISNUMBER(F125),I125&gt;0),I125/(F125/60),"")</f>
        <v/>
      </c>
      <c r="L125" s="517">
        <f>IF(AND(ISNUMBER(F125),J125&gt;0),J125/(F125/60),"")</f>
        <v/>
      </c>
      <c r="M125">
        <f>IF(OR(ISNUMBER(SEARCH("サニテーション",C125)),ISNUMBER(SEARCH("客注",C125)),ISNUMBER(SEARCH("切り替え",C125)),ISNUMBER(SEARCH("切替",C125)),NOT(ISNUMBER(H125))),"",IF(ISNUMBER(G125),G125/60*H125*④前提設定!$B$4,IF(AND(G125="",ISNUMBER(F125)),F125/60*H125*④前提設定!$B$4,"")))</f>
        <v/>
      </c>
      <c r="N125">
        <f>IF(AND(I125&gt;0,ISNUMBER(M125)),M125/I125,"")</f>
        <v/>
      </c>
      <c r="O125" s="517">
        <f>IF(AND(J125&gt;0,ISNUMBER(M125)),M125/J125,"")</f>
        <v/>
      </c>
    </row>
    <row r="126">
      <c r="F126">
        <f>IF(OR(D126="",E126=""),"",(E126-D126)*1440)</f>
        <v/>
      </c>
      <c r="H126" t="n">
        <v>2</v>
      </c>
      <c r="K126">
        <f>IF(AND(ISNUMBER(F126),I126&gt;0),I126/(F126/60),"")</f>
        <v/>
      </c>
      <c r="L126" s="517">
        <f>IF(AND(ISNUMBER(F126),J126&gt;0),J126/(F126/60),"")</f>
        <v/>
      </c>
      <c r="M126">
        <f>IF(OR(ISNUMBER(SEARCH("サニテーション",C126)),ISNUMBER(SEARCH("客注",C126)),ISNUMBER(SEARCH("切り替え",C126)),ISNUMBER(SEARCH("切替",C126)),NOT(ISNUMBER(H126))),"",IF(ISNUMBER(G126),G126/60*H126*④前提設定!$B$4,IF(AND(G126="",ISNUMBER(F126)),F126/60*H126*④前提設定!$B$4,"")))</f>
        <v/>
      </c>
      <c r="N126">
        <f>IF(AND(I126&gt;0,ISNUMBER(M126)),M126/I126,"")</f>
        <v/>
      </c>
      <c r="O126" s="517">
        <f>IF(AND(J126&gt;0,ISNUMBER(M126)),M126/J126,"")</f>
        <v/>
      </c>
    </row>
    <row r="127">
      <c r="F127">
        <f>IF(OR(D127="",E127=""),"",(E127-D127)*1440)</f>
        <v/>
      </c>
      <c r="H127" t="n">
        <v>2</v>
      </c>
      <c r="K127">
        <f>IF(AND(ISNUMBER(F127),I127&gt;0),I127/(F127/60),"")</f>
        <v/>
      </c>
      <c r="L127" s="517">
        <f>IF(AND(ISNUMBER(F127),J127&gt;0),J127/(F127/60),"")</f>
        <v/>
      </c>
      <c r="M127">
        <f>IF(OR(ISNUMBER(SEARCH("サニテーション",C127)),ISNUMBER(SEARCH("客注",C127)),ISNUMBER(SEARCH("切り替え",C127)),ISNUMBER(SEARCH("切替",C127)),NOT(ISNUMBER(H127))),"",IF(ISNUMBER(G127),G127/60*H127*④前提設定!$B$4,IF(AND(G127="",ISNUMBER(F127)),F127/60*H127*④前提設定!$B$4,"")))</f>
        <v/>
      </c>
      <c r="N127">
        <f>IF(AND(I127&gt;0,ISNUMBER(M127)),M127/I127,"")</f>
        <v/>
      </c>
      <c r="O127" s="517">
        <f>IF(AND(J127&gt;0,ISNUMBER(M127)),M127/J127,"")</f>
        <v/>
      </c>
    </row>
    <row r="128">
      <c r="F128">
        <f>IF(OR(D128="",E128=""),"",(E128-D128)*1440)</f>
        <v/>
      </c>
      <c r="H128" t="n">
        <v>2</v>
      </c>
      <c r="K128">
        <f>IF(AND(ISNUMBER(F128),I128&gt;0),I128/(F128/60),"")</f>
        <v/>
      </c>
      <c r="L128" s="517">
        <f>IF(AND(ISNUMBER(F128),J128&gt;0),J128/(F128/60),"")</f>
        <v/>
      </c>
      <c r="M128">
        <f>IF(OR(ISNUMBER(SEARCH("サニテーション",C128)),ISNUMBER(SEARCH("客注",C128)),ISNUMBER(SEARCH("切り替え",C128)),ISNUMBER(SEARCH("切替",C128)),NOT(ISNUMBER(H128))),"",IF(ISNUMBER(G128),G128/60*H128*④前提設定!$B$4,IF(AND(G128="",ISNUMBER(F128)),F128/60*H128*④前提設定!$B$4,"")))</f>
        <v/>
      </c>
      <c r="N128">
        <f>IF(AND(I128&gt;0,ISNUMBER(M128)),M128/I128,"")</f>
        <v/>
      </c>
      <c r="O128" s="517">
        <f>IF(AND(J128&gt;0,ISNUMBER(M128)),M128/J128,"")</f>
        <v/>
      </c>
    </row>
    <row r="129">
      <c r="F129">
        <f>IF(OR(D129="",E129=""),"",(E129-D129)*1440)</f>
        <v/>
      </c>
      <c r="H129" t="n">
        <v>2</v>
      </c>
      <c r="K129">
        <f>IF(AND(ISNUMBER(F129),I129&gt;0),I129/(F129/60),"")</f>
        <v/>
      </c>
      <c r="L129" s="517">
        <f>IF(AND(ISNUMBER(F129),J129&gt;0),J129/(F129/60),"")</f>
        <v/>
      </c>
      <c r="M129">
        <f>IF(OR(ISNUMBER(SEARCH("サニテーション",C129)),ISNUMBER(SEARCH("客注",C129)),ISNUMBER(SEARCH("切り替え",C129)),ISNUMBER(SEARCH("切替",C129)),NOT(ISNUMBER(H129))),"",IF(ISNUMBER(G129),G129/60*H129*④前提設定!$B$4,IF(AND(G129="",ISNUMBER(F129)),F129/60*H129*④前提設定!$B$4,"")))</f>
        <v/>
      </c>
      <c r="N129">
        <f>IF(AND(I129&gt;0,ISNUMBER(M129)),M129/I129,"")</f>
        <v/>
      </c>
      <c r="O129" s="517">
        <f>IF(AND(J129&gt;0,ISNUMBER(M129)),M129/J129,"")</f>
        <v/>
      </c>
    </row>
    <row r="130">
      <c r="F130">
        <f>IF(OR(D130="",E130=""),"",(E130-D130)*1440)</f>
        <v/>
      </c>
      <c r="H130" t="n">
        <v>2</v>
      </c>
      <c r="K130">
        <f>IF(AND(ISNUMBER(F130),I130&gt;0),I130/(F130/60),"")</f>
        <v/>
      </c>
      <c r="L130" s="517">
        <f>IF(AND(ISNUMBER(F130),J130&gt;0),J130/(F130/60),"")</f>
        <v/>
      </c>
      <c r="M130">
        <f>IF(OR(ISNUMBER(SEARCH("サニテーション",C130)),ISNUMBER(SEARCH("客注",C130)),ISNUMBER(SEARCH("切り替え",C130)),ISNUMBER(SEARCH("切替",C130)),NOT(ISNUMBER(H130))),"",IF(ISNUMBER(G130),G130/60*H130*④前提設定!$B$4,IF(AND(G130="",ISNUMBER(F130)),F130/60*H130*④前提設定!$B$4,"")))</f>
        <v/>
      </c>
      <c r="N130">
        <f>IF(AND(I130&gt;0,ISNUMBER(M130)),M130/I130,"")</f>
        <v/>
      </c>
      <c r="O130" s="517">
        <f>IF(AND(J130&gt;0,ISNUMBER(M130)),M130/J130,"")</f>
        <v/>
      </c>
    </row>
    <row r="131">
      <c r="F131">
        <f>IF(OR(D131="",E131=""),"",(E131-D131)*1440)</f>
        <v/>
      </c>
      <c r="H131" t="n">
        <v>2</v>
      </c>
      <c r="K131">
        <f>IF(AND(ISNUMBER(F131),I131&gt;0),I131/(F131/60),"")</f>
        <v/>
      </c>
      <c r="L131" s="517">
        <f>IF(AND(ISNUMBER(F131),J131&gt;0),J131/(F131/60),"")</f>
        <v/>
      </c>
      <c r="M131">
        <f>IF(OR(ISNUMBER(SEARCH("サニテーション",C131)),ISNUMBER(SEARCH("客注",C131)),ISNUMBER(SEARCH("切り替え",C131)),ISNUMBER(SEARCH("切替",C131)),NOT(ISNUMBER(H131))),"",IF(ISNUMBER(G131),G131/60*H131*④前提設定!$B$4,IF(AND(G131="",ISNUMBER(F131)),F131/60*H131*④前提設定!$B$4,"")))</f>
        <v/>
      </c>
      <c r="N131">
        <f>IF(AND(I131&gt;0,ISNUMBER(M131)),M131/I131,"")</f>
        <v/>
      </c>
      <c r="O131" s="517">
        <f>IF(AND(J131&gt;0,ISNUMBER(M131)),M131/J131,"")</f>
        <v/>
      </c>
    </row>
    <row r="132">
      <c r="F132">
        <f>IF(OR(D132="",E132=""),"",(E132-D132)*1440)</f>
        <v/>
      </c>
      <c r="H132" t="n">
        <v>2</v>
      </c>
      <c r="K132">
        <f>IF(AND(ISNUMBER(F132),I132&gt;0),I132/(F132/60),"")</f>
        <v/>
      </c>
      <c r="L132" s="517">
        <f>IF(AND(ISNUMBER(F132),J132&gt;0),J132/(F132/60),"")</f>
        <v/>
      </c>
      <c r="M132">
        <f>IF(OR(ISNUMBER(SEARCH("サニテーション",C132)),ISNUMBER(SEARCH("客注",C132)),ISNUMBER(SEARCH("切り替え",C132)),ISNUMBER(SEARCH("切替",C132)),NOT(ISNUMBER(H132))),"",IF(ISNUMBER(G132),G132/60*H132*④前提設定!$B$4,IF(AND(G132="",ISNUMBER(F132)),F132/60*H132*④前提設定!$B$4,"")))</f>
        <v/>
      </c>
      <c r="N132">
        <f>IF(AND(I132&gt;0,ISNUMBER(M132)),M132/I132,"")</f>
        <v/>
      </c>
      <c r="O132" s="517">
        <f>IF(AND(J132&gt;0,ISNUMBER(M132)),M132/J132,"")</f>
        <v/>
      </c>
    </row>
    <row r="133">
      <c r="F133">
        <f>IF(OR(D133="",E133=""),"",(E133-D133)*1440)</f>
        <v/>
      </c>
      <c r="H133" t="n">
        <v>2</v>
      </c>
      <c r="K133">
        <f>IF(AND(ISNUMBER(F133),I133&gt;0),I133/(F133/60),"")</f>
        <v/>
      </c>
      <c r="L133" s="517">
        <f>IF(AND(ISNUMBER(F133),J133&gt;0),J133/(F133/60),"")</f>
        <v/>
      </c>
      <c r="M133">
        <f>IF(OR(ISNUMBER(SEARCH("サニテーション",C133)),ISNUMBER(SEARCH("客注",C133)),ISNUMBER(SEARCH("切り替え",C133)),ISNUMBER(SEARCH("切替",C133)),NOT(ISNUMBER(H133))),"",IF(ISNUMBER(G133),G133/60*H133*④前提設定!$B$4,IF(AND(G133="",ISNUMBER(F133)),F133/60*H133*④前提設定!$B$4,"")))</f>
        <v/>
      </c>
      <c r="N133">
        <f>IF(AND(I133&gt;0,ISNUMBER(M133)),M133/I133,"")</f>
        <v/>
      </c>
      <c r="O133" s="517">
        <f>IF(AND(J133&gt;0,ISNUMBER(M133)),M133/J133,"")</f>
        <v/>
      </c>
    </row>
    <row r="134">
      <c r="F134">
        <f>IF(OR(D134="",E134=""),"",(E134-D134)*1440)</f>
        <v/>
      </c>
      <c r="H134" t="n">
        <v>2</v>
      </c>
      <c r="K134">
        <f>IF(AND(ISNUMBER(F134),I134&gt;0),I134/(F134/60),"")</f>
        <v/>
      </c>
      <c r="L134" s="517">
        <f>IF(AND(ISNUMBER(F134),J134&gt;0),J134/(F134/60),"")</f>
        <v/>
      </c>
      <c r="M134">
        <f>IF(OR(ISNUMBER(SEARCH("サニテーション",C134)),ISNUMBER(SEARCH("客注",C134)),ISNUMBER(SEARCH("切り替え",C134)),ISNUMBER(SEARCH("切替",C134)),NOT(ISNUMBER(H134))),"",IF(ISNUMBER(G134),G134/60*H134*④前提設定!$B$4,IF(AND(G134="",ISNUMBER(F134)),F134/60*H134*④前提設定!$B$4,"")))</f>
        <v/>
      </c>
      <c r="N134">
        <f>IF(AND(I134&gt;0,ISNUMBER(M134)),M134/I134,"")</f>
        <v/>
      </c>
      <c r="O134" s="517">
        <f>IF(AND(J134&gt;0,ISNUMBER(M134)),M134/J134,"")</f>
        <v/>
      </c>
    </row>
    <row r="135">
      <c r="F135">
        <f>IF(OR(D135="",E135=""),"",(E135-D135)*1440)</f>
        <v/>
      </c>
      <c r="H135" t="n">
        <v>2</v>
      </c>
      <c r="K135">
        <f>IF(AND(ISNUMBER(F135),I135&gt;0),I135/(F135/60),"")</f>
        <v/>
      </c>
      <c r="L135" s="517">
        <f>IF(AND(ISNUMBER(F135),J135&gt;0),J135/(F135/60),"")</f>
        <v/>
      </c>
      <c r="M135">
        <f>IF(OR(ISNUMBER(SEARCH("サニテーション",C135)),ISNUMBER(SEARCH("客注",C135)),ISNUMBER(SEARCH("切り替え",C135)),ISNUMBER(SEARCH("切替",C135)),NOT(ISNUMBER(H135))),"",IF(ISNUMBER(G135),G135/60*H135*④前提設定!$B$4,IF(AND(G135="",ISNUMBER(F135)),F135/60*H135*④前提設定!$B$4,"")))</f>
        <v/>
      </c>
      <c r="N135">
        <f>IF(AND(I135&gt;0,ISNUMBER(M135)),M135/I135,"")</f>
        <v/>
      </c>
      <c r="O135" s="517">
        <f>IF(AND(J135&gt;0,ISNUMBER(M135)),M135/J135,"")</f>
        <v/>
      </c>
    </row>
    <row r="136">
      <c r="F136">
        <f>IF(OR(D136="",E136=""),"",(E136-D136)*1440)</f>
        <v/>
      </c>
      <c r="H136" t="n">
        <v>2</v>
      </c>
      <c r="K136">
        <f>IF(AND(ISNUMBER(F136),I136&gt;0),I136/(F136/60),"")</f>
        <v/>
      </c>
      <c r="L136" s="517">
        <f>IF(AND(ISNUMBER(F136),J136&gt;0),J136/(F136/60),"")</f>
        <v/>
      </c>
      <c r="M136">
        <f>IF(OR(ISNUMBER(SEARCH("サニテーション",C136)),ISNUMBER(SEARCH("客注",C136)),ISNUMBER(SEARCH("切り替え",C136)),ISNUMBER(SEARCH("切替",C136)),NOT(ISNUMBER(H136))),"",IF(ISNUMBER(G136),G136/60*H136*④前提設定!$B$4,IF(AND(G136="",ISNUMBER(F136)),F136/60*H136*④前提設定!$B$4,"")))</f>
        <v/>
      </c>
      <c r="N136">
        <f>IF(AND(I136&gt;0,ISNUMBER(M136)),M136/I136,"")</f>
        <v/>
      </c>
      <c r="O136" s="517">
        <f>IF(AND(J136&gt;0,ISNUMBER(M136)),M136/J136,"")</f>
        <v/>
      </c>
    </row>
    <row r="137">
      <c r="F137">
        <f>IF(OR(D137="",E137=""),"",(E137-D137)*1440)</f>
        <v/>
      </c>
      <c r="H137" t="n">
        <v>2</v>
      </c>
      <c r="K137">
        <f>IF(AND(ISNUMBER(F137),I137&gt;0),I137/(F137/60),"")</f>
        <v/>
      </c>
      <c r="L137" s="517">
        <f>IF(AND(ISNUMBER(F137),J137&gt;0),J137/(F137/60),"")</f>
        <v/>
      </c>
      <c r="M137">
        <f>IF(OR(ISNUMBER(SEARCH("サニテーション",C137)),ISNUMBER(SEARCH("客注",C137)),ISNUMBER(SEARCH("切り替え",C137)),ISNUMBER(SEARCH("切替",C137)),NOT(ISNUMBER(H137))),"",IF(ISNUMBER(G137),G137/60*H137*④前提設定!$B$4,IF(AND(G137="",ISNUMBER(F137)),F137/60*H137*④前提設定!$B$4,"")))</f>
        <v/>
      </c>
      <c r="N137">
        <f>IF(AND(I137&gt;0,ISNUMBER(M137)),M137/I137,"")</f>
        <v/>
      </c>
      <c r="O137" s="517">
        <f>IF(AND(J137&gt;0,ISNUMBER(M137)),M137/J137,"")</f>
        <v/>
      </c>
    </row>
    <row r="138">
      <c r="F138">
        <f>IF(OR(D138="",E138=""),"",(E138-D138)*1440)</f>
        <v/>
      </c>
      <c r="H138" t="n">
        <v>2</v>
      </c>
      <c r="K138">
        <f>IF(AND(ISNUMBER(F138),I138&gt;0),I138/(F138/60),"")</f>
        <v/>
      </c>
      <c r="L138" s="517">
        <f>IF(AND(ISNUMBER(F138),J138&gt;0),J138/(F138/60),"")</f>
        <v/>
      </c>
      <c r="M138">
        <f>IF(OR(ISNUMBER(SEARCH("サニテーション",C138)),ISNUMBER(SEARCH("客注",C138)),ISNUMBER(SEARCH("切り替え",C138)),ISNUMBER(SEARCH("切替",C138)),NOT(ISNUMBER(H138))),"",IF(ISNUMBER(G138),G138/60*H138*④前提設定!$B$4,IF(AND(G138="",ISNUMBER(F138)),F138/60*H138*④前提設定!$B$4,"")))</f>
        <v/>
      </c>
      <c r="N138">
        <f>IF(AND(I138&gt;0,ISNUMBER(M138)),M138/I138,"")</f>
        <v/>
      </c>
      <c r="O138" s="517">
        <f>IF(AND(J138&gt;0,ISNUMBER(M138)),M138/J138,"")</f>
        <v/>
      </c>
    </row>
    <row r="139">
      <c r="F139">
        <f>IF(OR(D139="",E139=""),"",(E139-D139)*1440)</f>
        <v/>
      </c>
      <c r="H139" t="n">
        <v>2</v>
      </c>
      <c r="K139">
        <f>IF(AND(ISNUMBER(F139),I139&gt;0),I139/(F139/60),"")</f>
        <v/>
      </c>
      <c r="L139" s="517">
        <f>IF(AND(ISNUMBER(F139),J139&gt;0),J139/(F139/60),"")</f>
        <v/>
      </c>
      <c r="M139">
        <f>IF(OR(ISNUMBER(SEARCH("サニテーション",C139)),ISNUMBER(SEARCH("客注",C139)),ISNUMBER(SEARCH("切り替え",C139)),ISNUMBER(SEARCH("切替",C139)),NOT(ISNUMBER(H139))),"",IF(ISNUMBER(G139),G139/60*H139*④前提設定!$B$4,IF(AND(G139="",ISNUMBER(F139)),F139/60*H139*④前提設定!$B$4,"")))</f>
        <v/>
      </c>
      <c r="N139">
        <f>IF(AND(I139&gt;0,ISNUMBER(M139)),M139/I139,"")</f>
        <v/>
      </c>
      <c r="O139" s="517">
        <f>IF(AND(J139&gt;0,ISNUMBER(M139)),M139/J139,"")</f>
        <v/>
      </c>
    </row>
    <row r="140">
      <c r="F140">
        <f>IF(OR(D140="",E140=""),"",(E140-D140)*1440)</f>
        <v/>
      </c>
      <c r="H140" t="n">
        <v>2</v>
      </c>
      <c r="K140">
        <f>IF(AND(ISNUMBER(F140),I140&gt;0),I140/(F140/60),"")</f>
        <v/>
      </c>
      <c r="L140" s="517">
        <f>IF(AND(ISNUMBER(F140),J140&gt;0),J140/(F140/60),"")</f>
        <v/>
      </c>
      <c r="M140">
        <f>IF(OR(ISNUMBER(SEARCH("サニテーション",C140)),ISNUMBER(SEARCH("客注",C140)),ISNUMBER(SEARCH("切り替え",C140)),ISNUMBER(SEARCH("切替",C140)),NOT(ISNUMBER(H140))),"",IF(ISNUMBER(G140),G140/60*H140*④前提設定!$B$4,IF(AND(G140="",ISNUMBER(F140)),F140/60*H140*④前提設定!$B$4,"")))</f>
        <v/>
      </c>
      <c r="N140">
        <f>IF(AND(I140&gt;0,ISNUMBER(M140)),M140/I140,"")</f>
        <v/>
      </c>
      <c r="O140" s="517">
        <f>IF(AND(J140&gt;0,ISNUMBER(M140)),M140/J140,"")</f>
        <v/>
      </c>
    </row>
  </sheetData>
  <autoFilter ref="A4:S140"/>
  <mergeCells count="3">
    <mergeCell ref="A2:Q2"/>
    <mergeCell ref="A118:F118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75"/>
  <sheetViews>
    <sheetView showGridLines="0" workbookViewId="0">
      <pane xSplit="2" ySplit="4" topLeftCell="C12" activePane="bottomRight" state="frozen"/>
      <selection activeCell="A1" sqref="A1:F1"/>
      <selection pane="topRight" activeCell="A1" sqref="A1:F1"/>
      <selection pane="bottomLeft" activeCell="A1" sqref="A1:F1"/>
      <selection pane="bottomRight" activeCell="H5" sqref="H5:H175"/>
    </sheetView>
  </sheetViews>
  <sheetFormatPr baseColWidth="8" defaultRowHeight="13"/>
  <cols>
    <col width="5" customWidth="1" style="438" min="1" max="1"/>
    <col width="10" customWidth="1" style="438" min="2" max="2"/>
    <col width="26" customWidth="1" style="438" min="3" max="3"/>
    <col width="7" customWidth="1" style="438" min="4" max="5"/>
    <col width="9" customWidth="1" style="438" min="6" max="6"/>
    <col width="10" customWidth="1" style="438" min="7" max="7"/>
    <col width="10" customWidth="1" style="456" min="8" max="8"/>
    <col width="9" customWidth="1" style="438" min="9" max="9"/>
    <col width="10.6328125" customWidth="1" style="456" min="10" max="10"/>
    <col width="11" customWidth="1" style="438" min="11" max="11"/>
    <col width="10.6328125" customWidth="1" style="456" min="12" max="12"/>
    <col width="12" customWidth="1" style="438" min="13" max="13"/>
    <col width="9" customWidth="1" style="438" min="14" max="14"/>
    <col width="10.6328125" customWidth="1" style="456" min="15" max="15"/>
    <col width="10" customWidth="1" style="438" min="16" max="16"/>
    <col width="14" customWidth="1" style="438" min="17" max="17"/>
    <col width="26" customWidth="1" style="438" min="18" max="23"/>
    <col width="14" customWidth="1" style="438" min="24" max="28"/>
    <col width="12" customWidth="1" style="438" min="30" max="35"/>
  </cols>
  <sheetData>
    <row r="1" ht="26" customHeight="1" s="438">
      <c r="A1" s="460" t="inlineStr">
        <is>
          <t>スチコン工程入力台帳　毎週更新　|　黄色セル＝入力（商品名・重量・実作業分を更新）</t>
        </is>
      </c>
    </row>
    <row r="2" ht="16" customHeight="1" s="438">
      <c r="A2" s="461" t="inlineStr">
        <is>
          <t>● 青字・黄背景 = 毎週更新するセル　　黒字・グレー = 自動計算（変更不要）　|　★R列で中間品名を選ぶと、中間品JAN（S列）で⑱〜⑳に労務費がひもづきます</t>
        </is>
      </c>
    </row>
    <row r="3" ht="8" customHeight="1" s="438"/>
    <row r="4" ht="30" customHeight="1" s="438">
      <c r="A4" s="43" t="inlineStr">
        <is>
          <t>No.</t>
        </is>
      </c>
      <c r="B4" s="43" t="inlineStr">
        <is>
          <t>機器</t>
        </is>
      </c>
      <c r="C4" s="43" t="inlineStr">
        <is>
          <t>商品名★</t>
        </is>
      </c>
      <c r="D4" s="43" t="inlineStr">
        <is>
          <t>開始★</t>
        </is>
      </c>
      <c r="E4" s="43" t="inlineStr">
        <is>
          <t>終了★</t>
        </is>
      </c>
      <c r="F4" s="43" t="inlineStr">
        <is>
          <t>稼働(分)</t>
        </is>
      </c>
      <c r="G4" s="43" t="inlineStr">
        <is>
          <t>実作業(分)★</t>
        </is>
      </c>
      <c r="H4" s="326" t="inlineStr">
        <is>
          <t>人数★</t>
        </is>
      </c>
      <c r="I4" s="43" t="inlineStr">
        <is>
          <t>重量kg★</t>
        </is>
      </c>
      <c r="J4" s="326" t="inlineStr">
        <is>
          <t>個数(個)★
個入力欄</t>
        </is>
      </c>
      <c r="K4" s="43" t="inlineStr">
        <is>
          <t>生産性
(kg/h)</t>
        </is>
      </c>
      <c r="L4" s="326" t="inlineStr">
        <is>
          <t>生産性
(個/h)</t>
        </is>
      </c>
      <c r="M4" s="43" t="inlineStr">
        <is>
          <t>労務費
(円)</t>
        </is>
      </c>
      <c r="N4" s="43" t="inlineStr">
        <is>
          <t>円/kg</t>
        </is>
      </c>
      <c r="O4" s="326" t="inlineStr">
        <is>
          <t>円/個</t>
        </is>
      </c>
      <c r="P4" s="43" t="inlineStr">
        <is>
          <t>区分</t>
        </is>
      </c>
      <c r="Q4" s="43" t="inlineStr">
        <is>
          <t>備考</t>
        </is>
      </c>
      <c r="R4" s="43" t="inlineStr">
        <is>
          <t>★商品名①</t>
        </is>
      </c>
      <c r="S4" s="43" t="inlineStr">
        <is>
          <t>★商品名②</t>
        </is>
      </c>
      <c r="T4" s="43" t="inlineStr">
        <is>
          <t>★商品名③</t>
        </is>
      </c>
      <c r="U4" s="43" t="inlineStr">
        <is>
          <t>★商品名④</t>
        </is>
      </c>
      <c r="V4" s="43" t="inlineStr">
        <is>
          <t>★商品名⑤</t>
        </is>
      </c>
      <c r="W4" s="43" t="inlineStr">
        <is>
          <t>★商品名⑥</t>
        </is>
      </c>
      <c r="X4" s="43" t="inlineStr">
        <is>
          <t>振り分け数
自動</t>
        </is>
      </c>
      <c r="Y4" s="43" t="inlineStr">
        <is>
          <t>1商品あたり
労務費(等分・参考)</t>
        </is>
      </c>
      <c r="Z4" s="43" t="inlineStr">
        <is>
          <t>ひもづけ確認</t>
        </is>
      </c>
      <c r="AA4" s="43" t="inlineStr">
        <is>
          <t>選んだ商品の
食数合計</t>
        </is>
      </c>
      <c r="AB4" s="43" t="inlineStr">
        <is>
          <t>労務費(数値)</t>
        </is>
      </c>
      <c r="AD4" s="43" t="inlineStr">
        <is>
          <t>配分額①
(自動)</t>
        </is>
      </c>
      <c r="AE4" s="43" t="inlineStr">
        <is>
          <t>配分額②
(自動)</t>
        </is>
      </c>
      <c r="AF4" s="43" t="inlineStr">
        <is>
          <t>配分額③
(自動)</t>
        </is>
      </c>
      <c r="AG4" s="43" t="inlineStr">
        <is>
          <t>配分額④
(自動)</t>
        </is>
      </c>
      <c r="AH4" s="43" t="inlineStr">
        <is>
          <t>配分額⑤
(自動)</t>
        </is>
      </c>
      <c r="AI4" s="43" t="inlineStr">
        <is>
          <t>配分額⑥
(自動)</t>
        </is>
      </c>
    </row>
    <row r="5" ht="16" customHeight="1" s="438">
      <c r="A5" s="44" t="n">
        <v>1</v>
      </c>
      <c r="B5" s="45" t="inlineStr">
        <is>
          <t>スチコン</t>
        </is>
      </c>
      <c r="C5" s="5" t="inlineStr">
        <is>
          <t>黒クランブル</t>
        </is>
      </c>
      <c r="D5" s="411" t="n">
        <v>0.0625</v>
      </c>
      <c r="E5" s="411" t="n">
        <v>0.09027777777777778</v>
      </c>
      <c r="F5" s="46" t="n">
        <v>40</v>
      </c>
      <c r="G5" s="7" t="n">
        <v>20</v>
      </c>
      <c r="H5" s="7" t="n">
        <v>1</v>
      </c>
      <c r="I5" s="7" t="n">
        <v>10</v>
      </c>
      <c r="J5" s="7" t="n"/>
      <c r="K5" s="513">
        <f>IF(F5&gt;0,I5/(F5/60),0)</f>
        <v/>
      </c>
      <c r="L5" s="514">
        <f>IF(AND(ISNUMBER(F5),J5&gt;0),J5/(F5/60),"")</f>
        <v/>
      </c>
      <c r="M5" s="9">
        <f>IF(OR(ISNUMBER(SEARCH("サニテーション",C5)),ISNUMBER(SEARCH("客注",C5)),ISNUMBER(SEARCH("切り替え",C5)),ISNUMBER(SEARCH("切替",C5)),NOT(ISNUMBER(H5))),"",IF(ISNUMBER(G5),G5/60*H5*④前提設定!$B$4,IF(AND(G5="",ISNUMBER(F5)),F5/60*H5*④前提設定!$B$4,"")))</f>
        <v/>
      </c>
      <c r="N5" s="513">
        <f>IF(I5&gt;0,M5/I5,"")</f>
        <v/>
      </c>
      <c r="O5" s="514">
        <f>IF(AND(J5&gt;0,ISNUMBER(M5)),M5/J5,"")</f>
        <v/>
      </c>
      <c r="P5" s="47" t="n"/>
      <c r="Q5" s="48" t="n"/>
      <c r="R5" s="5" t="inlineStr">
        <is>
          <t>２層仕立てのチーズケーキ</t>
        </is>
      </c>
      <c r="S5" s="5" t="inlineStr">
        <is>
          <t>Ｓ２層仕立てのチーズケーキ</t>
        </is>
      </c>
      <c r="T5" s="5" t="n"/>
      <c r="U5" s="5" t="n"/>
      <c r="V5" s="5" t="n"/>
      <c r="W5" s="5" t="n"/>
      <c r="X5">
        <f>COUNTA(R5:W5)</f>
        <v/>
      </c>
      <c r="Y5">
        <f>IF(AND($X5&gt;0,ISNUMBER($M5)),$M5/$X5,"")</f>
        <v/>
      </c>
      <c r="Z5">
        <f>IF($X5=0,"",IF(COUNTIF(⑳商品別1食労務費!$C$5:$C$124,$R5)+COUNTIF(⑳商品別1食労務費!$C$5:$C$124,$S5)+COUNTIF(⑳商品別1食労務費!$C$5:$C$124,$T5)+COUNTIF(⑳商品別1食労務費!$C$5:$C$124,$U5)+COUNTIF(⑳商品別1食労務費!$C$5:$C$124,$V5)+COUNTIF(⑳商品別1食労務費!$C$5:$C$124,$W5)=$X5,"OK","⑳に無い商品名"))</f>
        <v/>
      </c>
      <c r="AA5">
        <f>SUMIF(⑳商品別1食労務費!$C$5:$C$124,$R5,⑳商品別1食労務費!$F$5:$F$124)+SUMIF(⑳商品別1食労務費!$C$5:$C$124,$S5,⑳商品別1食労務費!$F$5:$F$124)+SUMIF(⑳商品別1食労務費!$C$5:$C$124,$T5,⑳商品別1食労務費!$F$5:$F$124)+SUMIF(⑳商品別1食労務費!$C$5:$C$124,$U5,⑳商品別1食労務費!$F$5:$F$124)+SUMIF(⑳商品別1食労務費!$C$5:$C$124,$V5,⑳商品別1食労務費!$F$5:$F$124)+SUMIF(⑳商品別1食労務費!$C$5:$C$124,$W5,⑳商品別1食労務費!$F$5:$F$124)</f>
        <v/>
      </c>
      <c r="AB5">
        <f>IF(ISNUMBER($M5),$M5,0)</f>
        <v/>
      </c>
      <c r="AD5" s="413">
        <f>IF($R5="",0,IF($AA5&gt;0,$AB5*SUMIF(⑳商品別1食労務費!$C$5:$C$124,$R5,⑳商品別1食労務費!$F$5:$F$124)/$AA5,$AB5/$X5))</f>
        <v/>
      </c>
      <c r="AE5" s="413">
        <f>IF($S5="",0,IF($AA5&gt;0,$AB5*SUMIF(⑳商品別1食労務費!$C$5:$C$124,$S5,⑳商品別1食労務費!$F$5:$F$124)/$AA5,$AB5/$X5))</f>
        <v/>
      </c>
      <c r="AF5" s="413">
        <f>IF($T5="",0,IF($AA5&gt;0,$AB5*SUMIF(⑳商品別1食労務費!$C$5:$C$124,$T5,⑳商品別1食労務費!$F$5:$F$124)/$AA5,$AB5/$X5))</f>
        <v/>
      </c>
      <c r="AG5" s="413">
        <f>IF($U5="",0,IF($AA5&gt;0,$AB5*SUMIF(⑳商品別1食労務費!$C$5:$C$124,$U5,⑳商品別1食労務費!$F$5:$F$124)/$AA5,$AB5/$X5))</f>
        <v/>
      </c>
      <c r="AH5" s="413">
        <f>IF($V5="",0,IF($AA5&gt;0,$AB5*SUMIF(⑳商品別1食労務費!$C$5:$C$124,$V5,⑳商品別1食労務費!$F$5:$F$124)/$AA5,$AB5/$X5))</f>
        <v/>
      </c>
      <c r="AI5" s="413">
        <f>IF($W5="",0,IF($AA5&gt;0,$AB5*SUMIF(⑳商品別1食労務費!$C$5:$C$124,$W5,⑳商品別1食労務費!$F$5:$F$124)/$AA5,$AB5/$X5))</f>
        <v/>
      </c>
    </row>
    <row r="6" ht="16" customHeight="1" s="438">
      <c r="A6" s="44" t="n">
        <v>2</v>
      </c>
      <c r="B6" s="45" t="inlineStr">
        <is>
          <t>スチコン</t>
        </is>
      </c>
      <c r="C6" s="5" t="inlineStr">
        <is>
          <t>抹茶わらび餅(12分）</t>
        </is>
      </c>
      <c r="D6" s="411" t="n">
        <v>0.04166666666666666</v>
      </c>
      <c r="E6" s="411" t="n">
        <v>0.09722222222222222</v>
      </c>
      <c r="F6" s="46" t="n">
        <v>80</v>
      </c>
      <c r="G6" s="7" t="n">
        <v>30</v>
      </c>
      <c r="H6" s="7" t="n">
        <v>2</v>
      </c>
      <c r="I6" s="7" t="n">
        <v>60</v>
      </c>
      <c r="J6" s="7" t="n"/>
      <c r="K6" s="513">
        <f>IF(F6&gt;0,I6/(F6/60),0)</f>
        <v/>
      </c>
      <c r="L6" s="514">
        <f>IF(AND(ISNUMBER(F6),J6&gt;0),J6/(F6/60),"")</f>
        <v/>
      </c>
      <c r="M6" s="9">
        <f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/>
      </c>
      <c r="N6" s="513">
        <f>IF(I6&gt;0,M6/I6,"")</f>
        <v/>
      </c>
      <c r="O6" s="514">
        <f>IF(AND(J6&gt;0,ISNUMBER(M6)),M6/J6,"")</f>
        <v/>
      </c>
      <c r="P6" s="47" t="n"/>
      <c r="Q6" s="48" t="n"/>
      <c r="R6" s="5" t="inlineStr">
        <is>
          <t>お箸でつまんでわらび餅小</t>
        </is>
      </c>
      <c r="S6" s="5" t="inlineStr">
        <is>
          <t>Ｓお箸でつまんでわらび餅小</t>
        </is>
      </c>
      <c r="T6" s="5" t="n"/>
      <c r="U6" s="5" t="n"/>
      <c r="V6" s="5" t="n"/>
      <c r="W6" s="5" t="n"/>
      <c r="X6">
        <f>COUNTA(R6:W6)</f>
        <v/>
      </c>
      <c r="Y6">
        <f>IF(AND($X6&gt;0,ISNUMBER($M6)),$M6/$X6,"")</f>
        <v/>
      </c>
      <c r="Z6">
        <f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/>
      </c>
      <c r="AA6">
        <f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/>
      </c>
      <c r="AB6">
        <f>IF(ISNUMBER($M6),$M6,0)</f>
        <v/>
      </c>
      <c r="AD6" s="413">
        <f>IF($R6="",0,IF($AA6&gt;0,$AB6*SUMIF(⑳商品別1食労務費!$C$5:$C$124,$R6,⑳商品別1食労務費!$F$5:$F$124)/$AA6,$AB6/$X6))</f>
        <v/>
      </c>
      <c r="AE6" s="413">
        <f>IF($S6="",0,IF($AA6&gt;0,$AB6*SUMIF(⑳商品別1食労務費!$C$5:$C$124,$S6,⑳商品別1食労務費!$F$5:$F$124)/$AA6,$AB6/$X6))</f>
        <v/>
      </c>
      <c r="AF6" s="413">
        <f>IF($T6="",0,IF($AA6&gt;0,$AB6*SUMIF(⑳商品別1食労務費!$C$5:$C$124,$T6,⑳商品別1食労務費!$F$5:$F$124)/$AA6,$AB6/$X6))</f>
        <v/>
      </c>
      <c r="AG6" s="413">
        <f>IF($U6="",0,IF($AA6&gt;0,$AB6*SUMIF(⑳商品別1食労務費!$C$5:$C$124,$U6,⑳商品別1食労務費!$F$5:$F$124)/$AA6,$AB6/$X6))</f>
        <v/>
      </c>
      <c r="AH6" s="413">
        <f>IF($V6="",0,IF($AA6&gt;0,$AB6*SUMIF(⑳商品別1食労務費!$C$5:$C$124,$V6,⑳商品別1食労務費!$F$5:$F$124)/$AA6,$AB6/$X6))</f>
        <v/>
      </c>
      <c r="AI6" s="413">
        <f>IF($W6="",0,IF($AA6&gt;0,$AB6*SUMIF(⑳商品別1食労務費!$C$5:$C$124,$W6,⑳商品別1食労務費!$F$5:$F$124)/$AA6,$AB6/$X6))</f>
        <v/>
      </c>
    </row>
    <row r="7" ht="16" customHeight="1" s="438">
      <c r="A7" s="44" t="n">
        <v>3</v>
      </c>
      <c r="B7" s="45" t="inlineStr">
        <is>
          <t>スチコン</t>
        </is>
      </c>
      <c r="C7" s="5" t="inlineStr">
        <is>
          <t>抹茶わらび餅(1２分）</t>
        </is>
      </c>
      <c r="D7" s="5" t="n"/>
      <c r="E7" s="5" t="n"/>
      <c r="F7" s="46" t="n"/>
      <c r="G7" s="7" t="n"/>
      <c r="H7" s="7" t="n">
        <v>2</v>
      </c>
      <c r="I7" s="7" t="n"/>
      <c r="J7" s="7" t="n"/>
      <c r="K7" s="513">
        <f>IF(F7&gt;0,I7/(F7/60),0)</f>
        <v/>
      </c>
      <c r="L7" s="514">
        <f>IF(AND(ISNUMBER(F7),J7&gt;0),J7/(F7/60),"")</f>
        <v/>
      </c>
      <c r="M7" s="9">
        <f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513">
        <f>IF(I7&gt;0,M7/I7,"")</f>
        <v/>
      </c>
      <c r="O7" s="514">
        <f>IF(AND(J7&gt;0,ISNUMBER(M7)),M7/J7,"")</f>
        <v/>
      </c>
      <c r="P7" s="47" t="n"/>
      <c r="Q7" s="48" t="n"/>
      <c r="R7" s="5" t="inlineStr">
        <is>
          <t>お箸でつまんでわらび餅小</t>
        </is>
      </c>
      <c r="S7" s="5" t="inlineStr">
        <is>
          <t>Ｓお箸でつまんでわらび餅小</t>
        </is>
      </c>
      <c r="T7" s="5" t="n"/>
      <c r="U7" s="5" t="n"/>
      <c r="V7" s="5" t="n"/>
      <c r="W7" s="5" t="n"/>
      <c r="X7">
        <f>COUNTA(R7:W7)</f>
        <v/>
      </c>
      <c r="Y7">
        <f>IF(AND($X7&gt;0,ISNUMBER($M7)),$M7/$X7,"")</f>
        <v/>
      </c>
      <c r="Z7">
        <f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/>
      </c>
      <c r="AA7">
        <f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/>
      </c>
      <c r="AB7">
        <f>IF(ISNUMBER($M7),$M7,0)</f>
        <v/>
      </c>
      <c r="AD7" s="413">
        <f>IF($R7="",0,IF($AA7&gt;0,$AB7*SUMIF(⑳商品別1食労務費!$C$5:$C$124,$R7,⑳商品別1食労務費!$F$5:$F$124)/$AA7,$AB7/$X7))</f>
        <v/>
      </c>
      <c r="AE7" s="413">
        <f>IF($S7="",0,IF($AA7&gt;0,$AB7*SUMIF(⑳商品別1食労務費!$C$5:$C$124,$S7,⑳商品別1食労務費!$F$5:$F$124)/$AA7,$AB7/$X7))</f>
        <v/>
      </c>
      <c r="AF7" s="413">
        <f>IF($T7="",0,IF($AA7&gt;0,$AB7*SUMIF(⑳商品別1食労務費!$C$5:$C$124,$T7,⑳商品別1食労務費!$F$5:$F$124)/$AA7,$AB7/$X7))</f>
        <v/>
      </c>
      <c r="AG7" s="413">
        <f>IF($U7="",0,IF($AA7&gt;0,$AB7*SUMIF(⑳商品別1食労務費!$C$5:$C$124,$U7,⑳商品別1食労務費!$F$5:$F$124)/$AA7,$AB7/$X7))</f>
        <v/>
      </c>
      <c r="AH7" s="413">
        <f>IF($V7="",0,IF($AA7&gt;0,$AB7*SUMIF(⑳商品別1食労務費!$C$5:$C$124,$V7,⑳商品別1食労務費!$F$5:$F$124)/$AA7,$AB7/$X7))</f>
        <v/>
      </c>
      <c r="AI7" s="413">
        <f>IF($W7="",0,IF($AA7&gt;0,$AB7*SUMIF(⑳商品別1食労務費!$C$5:$C$124,$W7,⑳商品別1食労務費!$F$5:$F$124)/$AA7,$AB7/$X7))</f>
        <v/>
      </c>
    </row>
    <row r="8" ht="16" customHeight="1" s="438">
      <c r="A8" s="44" t="n">
        <v>4</v>
      </c>
      <c r="B8" s="45" t="inlineStr">
        <is>
          <t>スチコン</t>
        </is>
      </c>
      <c r="C8" s="5" t="inlineStr">
        <is>
          <t>わらび餅（１２分）</t>
        </is>
      </c>
      <c r="D8" s="411" t="n">
        <v>0.1111111111111111</v>
      </c>
      <c r="E8" s="411" t="n">
        <v>0.2034722222222222</v>
      </c>
      <c r="F8" s="46" t="n">
        <v>133</v>
      </c>
      <c r="G8" s="7" t="n">
        <v>55</v>
      </c>
      <c r="H8" s="7" t="n">
        <v>2</v>
      </c>
      <c r="I8" s="7" t="n">
        <v>60</v>
      </c>
      <c r="J8" s="7" t="n"/>
      <c r="K8" s="513">
        <f>IF(F8&gt;0,I8/(F8/60),0)</f>
        <v/>
      </c>
      <c r="L8" s="514">
        <f>IF(AND(ISNUMBER(F8),J8&gt;0),J8/(F8/60),"")</f>
        <v/>
      </c>
      <c r="M8" s="9">
        <f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513">
        <f>IF(I8&gt;0,M8/I8,"")</f>
        <v/>
      </c>
      <c r="O8" s="514">
        <f>IF(AND(J8&gt;0,ISNUMBER(M8)),M8/J8,"")</f>
        <v/>
      </c>
      <c r="P8" s="47" t="n"/>
      <c r="Q8" s="48" t="n"/>
      <c r="R8" s="5" t="inlineStr">
        <is>
          <t>お箸でつまんでわらび餅小</t>
        </is>
      </c>
      <c r="S8" s="5" t="inlineStr">
        <is>
          <t>Ｓお箸でつまんでわらび餅小</t>
        </is>
      </c>
      <c r="T8" s="5" t="n"/>
      <c r="U8" s="5" t="n"/>
      <c r="V8" s="5" t="n"/>
      <c r="W8" s="5" t="n"/>
      <c r="X8">
        <f>COUNTA(R8:W8)</f>
        <v/>
      </c>
      <c r="Y8">
        <f>IF(AND($X8&gt;0,ISNUMBER($M8)),$M8/$X8,"")</f>
        <v/>
      </c>
      <c r="Z8">
        <f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/>
      </c>
      <c r="AA8">
        <f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/>
      </c>
      <c r="AB8">
        <f>IF(ISNUMBER($M8),$M8,0)</f>
        <v/>
      </c>
      <c r="AD8" s="413">
        <f>IF($R8="",0,IF($AA8&gt;0,$AB8*SUMIF(⑳商品別1食労務費!$C$5:$C$124,$R8,⑳商品別1食労務費!$F$5:$F$124)/$AA8,$AB8/$X8))</f>
        <v/>
      </c>
      <c r="AE8" s="413">
        <f>IF($S8="",0,IF($AA8&gt;0,$AB8*SUMIF(⑳商品別1食労務費!$C$5:$C$124,$S8,⑳商品別1食労務費!$F$5:$F$124)/$AA8,$AB8/$X8))</f>
        <v/>
      </c>
      <c r="AF8" s="413">
        <f>IF($T8="",0,IF($AA8&gt;0,$AB8*SUMIF(⑳商品別1食労務費!$C$5:$C$124,$T8,⑳商品別1食労務費!$F$5:$F$124)/$AA8,$AB8/$X8))</f>
        <v/>
      </c>
      <c r="AG8" s="413">
        <f>IF($U8="",0,IF($AA8&gt;0,$AB8*SUMIF(⑳商品別1食労務費!$C$5:$C$124,$U8,⑳商品別1食労務費!$F$5:$F$124)/$AA8,$AB8/$X8))</f>
        <v/>
      </c>
      <c r="AH8" s="413">
        <f>IF($V8="",0,IF($AA8&gt;0,$AB8*SUMIF(⑳商品別1食労務費!$C$5:$C$124,$V8,⑳商品別1食労務費!$F$5:$F$124)/$AA8,$AB8/$X8))</f>
        <v/>
      </c>
      <c r="AI8" s="413">
        <f>IF($W8="",0,IF($AA8&gt;0,$AB8*SUMIF(⑳商品別1食労務費!$C$5:$C$124,$W8,⑳商品別1食労務費!$F$5:$F$124)/$AA8,$AB8/$X8))</f>
        <v/>
      </c>
    </row>
    <row r="9" ht="16" customHeight="1" s="438">
      <c r="A9" s="44" t="n">
        <v>5</v>
      </c>
      <c r="B9" s="45" t="inlineStr">
        <is>
          <t>スチコン</t>
        </is>
      </c>
      <c r="C9" s="5" t="inlineStr">
        <is>
          <t>わらび餅（１２分）</t>
        </is>
      </c>
      <c r="D9" s="5" t="n"/>
      <c r="E9" s="5" t="n"/>
      <c r="F9" s="46" t="n"/>
      <c r="G9" s="7" t="n"/>
      <c r="H9" s="7" t="n">
        <v>2</v>
      </c>
      <c r="I9" s="7" t="n"/>
      <c r="J9" s="7" t="n"/>
      <c r="K9" s="513">
        <f>IF(F9&gt;0,I9/(F9/60),0)</f>
        <v/>
      </c>
      <c r="L9" s="514">
        <f>IF(AND(ISNUMBER(F9),J9&gt;0),J9/(F9/60),"")</f>
        <v/>
      </c>
      <c r="M9" s="9">
        <f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513">
        <f>IF(I9&gt;0,M9/I9,"")</f>
        <v/>
      </c>
      <c r="O9" s="514">
        <f>IF(AND(J9&gt;0,ISNUMBER(M9)),M9/J9,"")</f>
        <v/>
      </c>
      <c r="P9" s="47" t="n"/>
      <c r="Q9" s="48" t="n"/>
      <c r="R9" s="5" t="inlineStr">
        <is>
          <t>お箸でつまんでわらび餅小</t>
        </is>
      </c>
      <c r="S9" s="5" t="inlineStr">
        <is>
          <t>Ｓお箸でつまんでわらび餅小</t>
        </is>
      </c>
      <c r="T9" s="5" t="n"/>
      <c r="U9" s="5" t="n"/>
      <c r="V9" s="5" t="n"/>
      <c r="W9" s="5" t="n"/>
      <c r="X9">
        <f>COUNTA(R9:W9)</f>
        <v/>
      </c>
      <c r="Y9">
        <f>IF(AND($X9&gt;0,ISNUMBER($M9)),$M9/$X9,"")</f>
        <v/>
      </c>
      <c r="Z9">
        <f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/>
      </c>
      <c r="AA9">
        <f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/>
      </c>
      <c r="AB9">
        <f>IF(ISNUMBER($M9),$M9,0)</f>
        <v/>
      </c>
      <c r="AD9" s="413">
        <f>IF($R9="",0,IF($AA9&gt;0,$AB9*SUMIF(⑳商品別1食労務費!$C$5:$C$124,$R9,⑳商品別1食労務費!$F$5:$F$124)/$AA9,$AB9/$X9))</f>
        <v/>
      </c>
      <c r="AE9" s="413">
        <f>IF($S9="",0,IF($AA9&gt;0,$AB9*SUMIF(⑳商品別1食労務費!$C$5:$C$124,$S9,⑳商品別1食労務費!$F$5:$F$124)/$AA9,$AB9/$X9))</f>
        <v/>
      </c>
      <c r="AF9" s="413">
        <f>IF($T9="",0,IF($AA9&gt;0,$AB9*SUMIF(⑳商品別1食労務費!$C$5:$C$124,$T9,⑳商品別1食労務費!$F$5:$F$124)/$AA9,$AB9/$X9))</f>
        <v/>
      </c>
      <c r="AG9" s="413">
        <f>IF($U9="",0,IF($AA9&gt;0,$AB9*SUMIF(⑳商品別1食労務費!$C$5:$C$124,$U9,⑳商品別1食労務費!$F$5:$F$124)/$AA9,$AB9/$X9))</f>
        <v/>
      </c>
      <c r="AH9" s="413">
        <f>IF($V9="",0,IF($AA9&gt;0,$AB9*SUMIF(⑳商品別1食労務費!$C$5:$C$124,$V9,⑳商品別1食労務費!$F$5:$F$124)/$AA9,$AB9/$X9))</f>
        <v/>
      </c>
      <c r="AI9" s="413">
        <f>IF($W9="",0,IF($AA9&gt;0,$AB9*SUMIF(⑳商品別1食労務費!$C$5:$C$124,$W9,⑳商品別1食労務費!$F$5:$F$124)/$AA9,$AB9/$X9))</f>
        <v/>
      </c>
    </row>
    <row r="10" ht="16" customHeight="1" s="438">
      <c r="A10" s="44" t="n">
        <v>6</v>
      </c>
      <c r="B10" s="45" t="inlineStr">
        <is>
          <t>スチコン</t>
        </is>
      </c>
      <c r="C10" s="5" t="inlineStr">
        <is>
          <t>ロールケーキ生地（１２分）</t>
        </is>
      </c>
      <c r="D10" s="411" t="n">
        <v>0.1888888888888889</v>
      </c>
      <c r="E10" s="411" t="n">
        <v>0.2222222222222222</v>
      </c>
      <c r="F10" s="46" t="n">
        <v>48</v>
      </c>
      <c r="G10" s="7" t="n">
        <v>20</v>
      </c>
      <c r="H10" s="7" t="n">
        <v>2</v>
      </c>
      <c r="I10" s="7" t="n">
        <v>8</v>
      </c>
      <c r="J10" s="7" t="n"/>
      <c r="K10" s="513">
        <f>IF(F10&gt;0,I10/(F10/60),0)</f>
        <v/>
      </c>
      <c r="L10" s="514">
        <f>IF(AND(ISNUMBER(F10),J10&gt;0),J10/(F10/60),"")</f>
        <v/>
      </c>
      <c r="M10" s="9">
        <f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513">
        <f>IF(I10&gt;0,M10/I10,"")</f>
        <v/>
      </c>
      <c r="O10" s="514">
        <f>IF(AND(J10&gt;0,ISNUMBER(M10)),M10/J10,"")</f>
        <v/>
      </c>
      <c r="P10" s="47" t="n"/>
      <c r="Q10" s="48" t="n"/>
      <c r="R10" s="5" t="inlineStr">
        <is>
          <t>クリーム爆盛ロールケーキ小</t>
        </is>
      </c>
      <c r="S10" s="5" t="inlineStr">
        <is>
          <t>クリーム爆盛ロールケーキ大</t>
        </is>
      </c>
      <c r="T10" s="5" t="n"/>
      <c r="U10" s="5" t="n"/>
      <c r="V10" s="5" t="n"/>
      <c r="W10" s="5" t="n"/>
      <c r="X10">
        <f>COUNTA(R10:W10)</f>
        <v/>
      </c>
      <c r="Y10">
        <f>IF(AND($X10&gt;0,ISNUMBER($M10)),$M10/$X10,"")</f>
        <v/>
      </c>
      <c r="Z10">
        <f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/>
      </c>
      <c r="AA10">
        <f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/>
      </c>
      <c r="AB10">
        <f>IF(ISNUMBER($M10),$M10,0)</f>
        <v/>
      </c>
      <c r="AD10" s="413">
        <f>IF($R10="",0,IF($AA10&gt;0,$AB10*SUMIF(⑳商品別1食労務費!$C$5:$C$124,$R10,⑳商品別1食労務費!$F$5:$F$124)/$AA10,$AB10/$X10))</f>
        <v/>
      </c>
      <c r="AE10" s="413">
        <f>IF($S10="",0,IF($AA10&gt;0,$AB10*SUMIF(⑳商品別1食労務費!$C$5:$C$124,$S10,⑳商品別1食労務費!$F$5:$F$124)/$AA10,$AB10/$X10))</f>
        <v/>
      </c>
      <c r="AF10" s="413">
        <f>IF($T10="",0,IF($AA10&gt;0,$AB10*SUMIF(⑳商品別1食労務費!$C$5:$C$124,$T10,⑳商品別1食労務費!$F$5:$F$124)/$AA10,$AB10/$X10))</f>
        <v/>
      </c>
      <c r="AG10" s="413">
        <f>IF($U10="",0,IF($AA10&gt;0,$AB10*SUMIF(⑳商品別1食労務費!$C$5:$C$124,$U10,⑳商品別1食労務費!$F$5:$F$124)/$AA10,$AB10/$X10))</f>
        <v/>
      </c>
      <c r="AH10" s="413">
        <f>IF($V10="",0,IF($AA10&gt;0,$AB10*SUMIF(⑳商品別1食労務費!$C$5:$C$124,$V10,⑳商品別1食労務費!$F$5:$F$124)/$AA10,$AB10/$X10))</f>
        <v/>
      </c>
      <c r="AI10" s="413">
        <f>IF($W10="",0,IF($AA10&gt;0,$AB10*SUMIF(⑳商品別1食労務費!$C$5:$C$124,$W10,⑳商品別1食労務費!$F$5:$F$124)/$AA10,$AB10/$X10))</f>
        <v/>
      </c>
    </row>
    <row r="11" ht="16" customHeight="1" s="438">
      <c r="A11" s="44" t="n">
        <v>7</v>
      </c>
      <c r="B11" s="45" t="inlineStr">
        <is>
          <t>スチコン</t>
        </is>
      </c>
      <c r="C11" s="5" t="inlineStr">
        <is>
          <t>ロールケーキ生地（１２分）</t>
        </is>
      </c>
      <c r="D11" s="5" t="n"/>
      <c r="E11" s="5" t="n"/>
      <c r="F11" s="46" t="n"/>
      <c r="G11" s="7" t="n"/>
      <c r="H11" s="7" t="n">
        <v>2</v>
      </c>
      <c r="I11" s="7" t="n"/>
      <c r="J11" s="7" t="n"/>
      <c r="K11" s="513">
        <f>IF(F11&gt;0,I11/(F11/60),0)</f>
        <v/>
      </c>
      <c r="L11" s="514">
        <f>IF(AND(ISNUMBER(F11),J11&gt;0),J11/(F11/60),"")</f>
        <v/>
      </c>
      <c r="M11" s="9">
        <f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513">
        <f>IF(I11&gt;0,M11/I11,"")</f>
        <v/>
      </c>
      <c r="O11" s="514">
        <f>IF(AND(J11&gt;0,ISNUMBER(M11)),M11/J11,"")</f>
        <v/>
      </c>
      <c r="P11" s="47" t="n"/>
      <c r="Q11" s="48" t="n"/>
      <c r="R11" s="5" t="inlineStr">
        <is>
          <t>クリーム爆盛ロールケーキ小</t>
        </is>
      </c>
      <c r="S11" s="5" t="inlineStr">
        <is>
          <t>クリーム爆盛ロールケーキ大</t>
        </is>
      </c>
      <c r="T11" s="5" t="n"/>
      <c r="U11" s="5" t="n"/>
      <c r="V11" s="5" t="n"/>
      <c r="W11" s="5" t="n"/>
      <c r="X11">
        <f>COUNTA(R11:W11)</f>
        <v/>
      </c>
      <c r="Y11">
        <f>IF(AND($X11&gt;0,ISNUMBER($M11)),$M11/$X11,"")</f>
        <v/>
      </c>
      <c r="Z11">
        <f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/>
      </c>
      <c r="AA11">
        <f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/>
      </c>
      <c r="AB11">
        <f>IF(ISNUMBER($M11),$M11,0)</f>
        <v/>
      </c>
      <c r="AD11" s="413">
        <f>IF($R11="",0,IF($AA11&gt;0,$AB11*SUMIF(⑳商品別1食労務費!$C$5:$C$124,$R11,⑳商品別1食労務費!$F$5:$F$124)/$AA11,$AB11/$X11))</f>
        <v/>
      </c>
      <c r="AE11" s="413">
        <f>IF($S11="",0,IF($AA11&gt;0,$AB11*SUMIF(⑳商品別1食労務費!$C$5:$C$124,$S11,⑳商品別1食労務費!$F$5:$F$124)/$AA11,$AB11/$X11))</f>
        <v/>
      </c>
      <c r="AF11" s="413">
        <f>IF($T11="",0,IF($AA11&gt;0,$AB11*SUMIF(⑳商品別1食労務費!$C$5:$C$124,$T11,⑳商品別1食労務費!$F$5:$F$124)/$AA11,$AB11/$X11))</f>
        <v/>
      </c>
      <c r="AG11" s="413">
        <f>IF($U11="",0,IF($AA11&gt;0,$AB11*SUMIF(⑳商品別1食労務費!$C$5:$C$124,$U11,⑳商品別1食労務費!$F$5:$F$124)/$AA11,$AB11/$X11))</f>
        <v/>
      </c>
      <c r="AH11" s="413">
        <f>IF($V11="",0,IF($AA11&gt;0,$AB11*SUMIF(⑳商品別1食労務費!$C$5:$C$124,$V11,⑳商品別1食労務費!$F$5:$F$124)/$AA11,$AB11/$X11))</f>
        <v/>
      </c>
      <c r="AI11" s="413">
        <f>IF($W11="",0,IF($AA11&gt;0,$AB11*SUMIF(⑳商品別1食労務費!$C$5:$C$124,$W11,⑳商品別1食労務費!$F$5:$F$124)/$AA11,$AB11/$X11))</f>
        <v/>
      </c>
    </row>
    <row r="12" ht="16" customHeight="1" s="438">
      <c r="A12" s="44" t="n">
        <v>8</v>
      </c>
      <c r="B12" s="45" t="inlineStr">
        <is>
          <t>スチコン</t>
        </is>
      </c>
      <c r="C12" s="5" t="inlineStr">
        <is>
          <t>スイートポテト解凍</t>
        </is>
      </c>
      <c r="D12" s="411" t="n">
        <v>0.2847222222222222</v>
      </c>
      <c r="E12" s="411" t="n">
        <v>0.375</v>
      </c>
      <c r="F12" s="46" t="n">
        <v>130</v>
      </c>
      <c r="G12" s="7" t="n">
        <v>30</v>
      </c>
      <c r="H12" s="7" t="n">
        <v>2</v>
      </c>
      <c r="I12" s="7" t="n">
        <v>50</v>
      </c>
      <c r="J12" s="7" t="n"/>
      <c r="K12" s="513">
        <f>IF(F12&gt;0,I12/(F12/60),0)</f>
        <v/>
      </c>
      <c r="L12" s="514">
        <f>IF(AND(ISNUMBER(F12),J12&gt;0),J12/(F12/60),"")</f>
        <v/>
      </c>
      <c r="M12" s="9">
        <f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513">
        <f>IF(I12&gt;0,M12/I12,"")</f>
        <v/>
      </c>
      <c r="O12" s="514">
        <f>IF(AND(J12&gt;0,ISNUMBER(M12)),M12/J12,"")</f>
        <v/>
      </c>
      <c r="P12" s="47" t="n"/>
      <c r="Q12" s="48" t="n"/>
      <c r="R12" s="5" t="inlineStr">
        <is>
          <t>蜜いもスイートポテト</t>
        </is>
      </c>
      <c r="S12" s="5" t="inlineStr">
        <is>
          <t>Ｓ蜜いもスイートポテト</t>
        </is>
      </c>
      <c r="T12" s="5" t="inlineStr">
        <is>
          <t>Ｓ蜜いもスイートポテト小</t>
        </is>
      </c>
      <c r="U12" s="5" t="n"/>
      <c r="V12" s="5" t="n"/>
      <c r="W12" s="5" t="n"/>
      <c r="X12">
        <f>COUNTA(R12:W12)</f>
        <v/>
      </c>
      <c r="Y12">
        <f>IF(AND($X12&gt;0,ISNUMBER($M12)),$M12/$X12,"")</f>
        <v/>
      </c>
      <c r="Z12">
        <f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/>
      </c>
      <c r="AA12">
        <f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/>
      </c>
      <c r="AB12">
        <f>IF(ISNUMBER($M12),$M12,0)</f>
        <v/>
      </c>
      <c r="AD12" s="413">
        <f>IF($R12="",0,IF($AA12&gt;0,$AB12*SUMIF(⑳商品別1食労務費!$C$5:$C$124,$R12,⑳商品別1食労務費!$F$5:$F$124)/$AA12,$AB12/$X12))</f>
        <v/>
      </c>
      <c r="AE12" s="413">
        <f>IF($S12="",0,IF($AA12&gt;0,$AB12*SUMIF(⑳商品別1食労務費!$C$5:$C$124,$S12,⑳商品別1食労務費!$F$5:$F$124)/$AA12,$AB12/$X12))</f>
        <v/>
      </c>
      <c r="AF12" s="413">
        <f>IF($T12="",0,IF($AA12&gt;0,$AB12*SUMIF(⑳商品別1食労務費!$C$5:$C$124,$T12,⑳商品別1食労務費!$F$5:$F$124)/$AA12,$AB12/$X12))</f>
        <v/>
      </c>
      <c r="AG12" s="413">
        <f>IF($U12="",0,IF($AA12&gt;0,$AB12*SUMIF(⑳商品別1食労務費!$C$5:$C$124,$U12,⑳商品別1食労務費!$F$5:$F$124)/$AA12,$AB12/$X12))</f>
        <v/>
      </c>
      <c r="AH12" s="413">
        <f>IF($V12="",0,IF($AA12&gt;0,$AB12*SUMIF(⑳商品別1食労務費!$C$5:$C$124,$V12,⑳商品別1食労務費!$F$5:$F$124)/$AA12,$AB12/$X12))</f>
        <v/>
      </c>
      <c r="AI12" s="413">
        <f>IF($W12="",0,IF($AA12&gt;0,$AB12*SUMIF(⑳商品別1食労務費!$C$5:$C$124,$W12,⑳商品別1食労務費!$F$5:$F$124)/$AA12,$AB12/$X12))</f>
        <v/>
      </c>
    </row>
    <row r="13" ht="16" customHeight="1" s="438">
      <c r="A13" s="44" t="n">
        <v>9</v>
      </c>
      <c r="B13" s="45" t="inlineStr">
        <is>
          <t>スチコン</t>
        </is>
      </c>
      <c r="C13" s="5" t="inlineStr">
        <is>
          <t>スイートポテト解凍</t>
        </is>
      </c>
      <c r="D13" s="5" t="n"/>
      <c r="E13" s="5" t="n"/>
      <c r="F13" s="46" t="n"/>
      <c r="G13" s="7" t="n"/>
      <c r="H13" s="7" t="n"/>
      <c r="I13" s="7" t="n"/>
      <c r="J13" s="7" t="n"/>
      <c r="K13" s="513">
        <f>IF(F13&gt;0,I13/(F13/60),0)</f>
        <v/>
      </c>
      <c r="L13" s="514">
        <f>IF(AND(ISNUMBER(F13),J13&gt;0),J13/(F13/60),"")</f>
        <v/>
      </c>
      <c r="M13" s="9">
        <f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513">
        <f>IF(I13&gt;0,M13/I13,"")</f>
        <v/>
      </c>
      <c r="O13" s="514">
        <f>IF(AND(J13&gt;0,ISNUMBER(M13)),M13/J13,"")</f>
        <v/>
      </c>
      <c r="P13" s="47" t="n"/>
      <c r="Q13" s="48" t="n"/>
      <c r="R13" s="5" t="inlineStr">
        <is>
          <t>蜜いもスイートポテト</t>
        </is>
      </c>
      <c r="S13" s="5" t="inlineStr">
        <is>
          <t>Ｓ蜜いもスイートポテト</t>
        </is>
      </c>
      <c r="T13" s="5" t="inlineStr">
        <is>
          <t>Ｓ蜜いもスイートポテト小</t>
        </is>
      </c>
      <c r="U13" s="5" t="n"/>
      <c r="V13" s="5" t="n"/>
      <c r="W13" s="5" t="n"/>
      <c r="X13">
        <f>COUNTA(R13:W13)</f>
        <v/>
      </c>
      <c r="Y13">
        <f>IF(AND($X13&gt;0,ISNUMBER($M13)),$M13/$X13,"")</f>
        <v/>
      </c>
      <c r="Z13">
        <f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/>
      </c>
      <c r="AA13">
        <f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/>
      </c>
      <c r="AB13">
        <f>IF(ISNUMBER($M13),$M13,0)</f>
        <v/>
      </c>
      <c r="AD13" s="413">
        <f>IF($R13="",0,IF($AA13&gt;0,$AB13*SUMIF(⑳商品別1食労務費!$C$5:$C$124,$R13,⑳商品別1食労務費!$F$5:$F$124)/$AA13,$AB13/$X13))</f>
        <v/>
      </c>
      <c r="AE13" s="413">
        <f>IF($S13="",0,IF($AA13&gt;0,$AB13*SUMIF(⑳商品別1食労務費!$C$5:$C$124,$S13,⑳商品別1食労務費!$F$5:$F$124)/$AA13,$AB13/$X13))</f>
        <v/>
      </c>
      <c r="AF13" s="413">
        <f>IF($T13="",0,IF($AA13&gt;0,$AB13*SUMIF(⑳商品別1食労務費!$C$5:$C$124,$T13,⑳商品別1食労務費!$F$5:$F$124)/$AA13,$AB13/$X13))</f>
        <v/>
      </c>
      <c r="AG13" s="413">
        <f>IF($U13="",0,IF($AA13&gt;0,$AB13*SUMIF(⑳商品別1食労務費!$C$5:$C$124,$U13,⑳商品別1食労務費!$F$5:$F$124)/$AA13,$AB13/$X13))</f>
        <v/>
      </c>
      <c r="AH13" s="413">
        <f>IF($V13="",0,IF($AA13&gt;0,$AB13*SUMIF(⑳商品別1食労務費!$C$5:$C$124,$V13,⑳商品別1食労務費!$F$5:$F$124)/$AA13,$AB13/$X13))</f>
        <v/>
      </c>
      <c r="AI13" s="413">
        <f>IF($W13="",0,IF($AA13&gt;0,$AB13*SUMIF(⑳商品別1食労務費!$C$5:$C$124,$W13,⑳商品別1食労務費!$F$5:$F$124)/$AA13,$AB13/$X13))</f>
        <v/>
      </c>
    </row>
    <row r="14" ht="16" customHeight="1" s="438">
      <c r="A14" s="44" t="n">
        <v>10</v>
      </c>
      <c r="B14" s="186" t="inlineStr">
        <is>
          <t>スチコン</t>
        </is>
      </c>
      <c r="C14" s="5" t="inlineStr">
        <is>
          <t>スイートポテト解凍</t>
        </is>
      </c>
      <c r="D14" s="5" t="n"/>
      <c r="E14" s="5" t="n"/>
      <c r="F14" s="46" t="n"/>
      <c r="G14" s="7" t="n"/>
      <c r="H14" s="7" t="n"/>
      <c r="I14" s="7" t="n"/>
      <c r="J14" s="7" t="n"/>
      <c r="K14" s="513">
        <f>IF(F14&gt;0,I14/(F14/60),0)</f>
        <v/>
      </c>
      <c r="L14" s="514">
        <f>IF(AND(ISNUMBER(F14),J14&gt;0),J14/(F14/60),"")</f>
        <v/>
      </c>
      <c r="M14" s="9">
        <f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513">
        <f>IF(I14&gt;0,M14/I14,"")</f>
        <v/>
      </c>
      <c r="O14" s="514">
        <f>IF(AND(J14&gt;0,ISNUMBER(M14)),M14/J14,"")</f>
        <v/>
      </c>
      <c r="P14" s="47" t="n"/>
      <c r="Q14" s="48" t="n"/>
      <c r="R14" s="5" t="inlineStr">
        <is>
          <t>蜜いもスイートポテト</t>
        </is>
      </c>
      <c r="S14" s="5" t="inlineStr">
        <is>
          <t>Ｓ蜜いもスイートポテト</t>
        </is>
      </c>
      <c r="T14" s="5" t="inlineStr">
        <is>
          <t>Ｓ蜜いもスイートポテト小</t>
        </is>
      </c>
      <c r="U14" s="5" t="n"/>
      <c r="V14" s="5" t="n"/>
      <c r="W14" s="5" t="n"/>
      <c r="X14">
        <f>COUNTA(R14:W14)</f>
        <v/>
      </c>
      <c r="Y14">
        <f>IF(AND($X14&gt;0,ISNUMBER($M14)),$M14/$X14,"")</f>
        <v/>
      </c>
      <c r="Z14">
        <f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/>
      </c>
      <c r="AA14">
        <f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/>
      </c>
      <c r="AB14">
        <f>IF(ISNUMBER($M14),$M14,0)</f>
        <v/>
      </c>
      <c r="AD14" s="413">
        <f>IF($R14="",0,IF($AA14&gt;0,$AB14*SUMIF(⑳商品別1食労務費!$C$5:$C$124,$R14,⑳商品別1食労務費!$F$5:$F$124)/$AA14,$AB14/$X14))</f>
        <v/>
      </c>
      <c r="AE14" s="413">
        <f>IF($S14="",0,IF($AA14&gt;0,$AB14*SUMIF(⑳商品別1食労務費!$C$5:$C$124,$S14,⑳商品別1食労務費!$F$5:$F$124)/$AA14,$AB14/$X14))</f>
        <v/>
      </c>
      <c r="AF14" s="413">
        <f>IF($T14="",0,IF($AA14&gt;0,$AB14*SUMIF(⑳商品別1食労務費!$C$5:$C$124,$T14,⑳商品別1食労務費!$F$5:$F$124)/$AA14,$AB14/$X14))</f>
        <v/>
      </c>
      <c r="AG14" s="413">
        <f>IF($U14="",0,IF($AA14&gt;0,$AB14*SUMIF(⑳商品別1食労務費!$C$5:$C$124,$U14,⑳商品別1食労務費!$F$5:$F$124)/$AA14,$AB14/$X14))</f>
        <v/>
      </c>
      <c r="AH14" s="413">
        <f>IF($V14="",0,IF($AA14&gt;0,$AB14*SUMIF(⑳商品別1食労務費!$C$5:$C$124,$V14,⑳商品別1食労務費!$F$5:$F$124)/$AA14,$AB14/$X14))</f>
        <v/>
      </c>
      <c r="AI14" s="413">
        <f>IF($W14="",0,IF($AA14&gt;0,$AB14*SUMIF(⑳商品別1食労務費!$C$5:$C$124,$W14,⑳商品別1食労務費!$F$5:$F$124)/$AA14,$AB14/$X14))</f>
        <v/>
      </c>
    </row>
    <row r="15" ht="16" customHeight="1" s="438">
      <c r="A15" s="44" t="n">
        <v>11</v>
      </c>
      <c r="B15" s="45" t="inlineStr">
        <is>
          <t>スチコン</t>
        </is>
      </c>
      <c r="C15" s="5" t="inlineStr">
        <is>
          <t>ミキサー</t>
        </is>
      </c>
      <c r="D15" s="5" t="n"/>
      <c r="E15" s="5" t="n"/>
      <c r="F15" s="46" t="n"/>
      <c r="G15" s="7" t="n"/>
      <c r="H15" s="7" t="n"/>
      <c r="I15" s="7" t="n"/>
      <c r="J15" s="7" t="n"/>
      <c r="K15" s="513">
        <f>IF(F15&gt;0,I15/(F15/60),0)</f>
        <v/>
      </c>
      <c r="L15" s="514">
        <f>IF(AND(ISNUMBER(F15),J15&gt;0),J15/(F15/60),"")</f>
        <v/>
      </c>
      <c r="M15" s="9">
        <f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513">
        <f>IF(I15&gt;0,M15/I15,"")</f>
        <v/>
      </c>
      <c r="O15" s="514">
        <f>IF(AND(J15&gt;0,ISNUMBER(M15)),M15/J15,"")</f>
        <v/>
      </c>
      <c r="P15" s="47" t="n"/>
      <c r="Q15" s="48" t="n"/>
      <c r="R15" s="5" t="n"/>
      <c r="S15" s="5" t="n"/>
      <c r="T15" s="5" t="n"/>
      <c r="U15" s="5" t="n"/>
      <c r="V15" s="5" t="n"/>
      <c r="W15" s="5" t="n"/>
      <c r="X15">
        <f>COUNTA(R15:W15)</f>
        <v/>
      </c>
      <c r="Y15">
        <f>IF(AND($X15&gt;0,ISNUMBER($M15)),$M15/$X15,"")</f>
        <v/>
      </c>
      <c r="Z15">
        <f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>
        <f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/>
      </c>
      <c r="AB15">
        <f>IF(ISNUMBER($M15),$M15,0)</f>
        <v/>
      </c>
      <c r="AD15" s="413">
        <f>IF($R15="",0,IF($AA15&gt;0,$AB15*SUMIF(⑳商品別1食労務費!$C$5:$C$124,$R15,⑳商品別1食労務費!$F$5:$F$124)/$AA15,$AB15/$X15))</f>
        <v/>
      </c>
      <c r="AE15" s="413">
        <f>IF($S15="",0,IF($AA15&gt;0,$AB15*SUMIF(⑳商品別1食労務費!$C$5:$C$124,$S15,⑳商品別1食労務費!$F$5:$F$124)/$AA15,$AB15/$X15))</f>
        <v/>
      </c>
      <c r="AF15" s="413">
        <f>IF($T15="",0,IF($AA15&gt;0,$AB15*SUMIF(⑳商品別1食労務費!$C$5:$C$124,$T15,⑳商品別1食労務費!$F$5:$F$124)/$AA15,$AB15/$X15))</f>
        <v/>
      </c>
      <c r="AG15" s="413">
        <f>IF($U15="",0,IF($AA15&gt;0,$AB15*SUMIF(⑳商品別1食労務費!$C$5:$C$124,$U15,⑳商品別1食労務費!$F$5:$F$124)/$AA15,$AB15/$X15))</f>
        <v/>
      </c>
      <c r="AH15" s="413">
        <f>IF($V15="",0,IF($AA15&gt;0,$AB15*SUMIF(⑳商品別1食労務費!$C$5:$C$124,$V15,⑳商品別1食労務費!$F$5:$F$124)/$AA15,$AB15/$X15))</f>
        <v/>
      </c>
      <c r="AI15" s="413">
        <f>IF($W15="",0,IF($AA15&gt;0,$AB15*SUMIF(⑳商品別1食労務費!$C$5:$C$124,$W15,⑳商品別1食労務費!$F$5:$F$124)/$AA15,$AB15/$X15))</f>
        <v/>
      </c>
    </row>
    <row r="16" ht="16" customHeight="1" s="438">
      <c r="A16" s="44" t="n">
        <v>12</v>
      </c>
      <c r="B16" s="45" t="inlineStr">
        <is>
          <t>スチコン</t>
        </is>
      </c>
      <c r="C16" s="5" t="inlineStr">
        <is>
          <t>湯種ロールパン</t>
        </is>
      </c>
      <c r="D16" s="411" t="n">
        <v>0.025</v>
      </c>
      <c r="E16" s="411" t="n">
        <v>0.03888888888888889</v>
      </c>
      <c r="F16" s="46" t="n">
        <v>5</v>
      </c>
      <c r="G16" s="7" t="n">
        <v>15</v>
      </c>
      <c r="H16" s="7" t="n">
        <v>1</v>
      </c>
      <c r="I16" s="7" t="n">
        <v>16</v>
      </c>
      <c r="J16" s="7" t="n"/>
      <c r="K16" s="513">
        <f>IF(F16&gt;0,I16/(F16/60),0)</f>
        <v/>
      </c>
      <c r="L16" s="514">
        <f>IF(AND(ISNUMBER(F16),J16&gt;0),J16/(F16/60),"")</f>
        <v/>
      </c>
      <c r="M16" s="9">
        <f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513">
        <f>IF(I16&gt;0,M16/I16,"")</f>
        <v/>
      </c>
      <c r="O16" s="514">
        <f>IF(AND(J16&gt;0,ISNUMBER(M16)),M16/J16,"")</f>
        <v/>
      </c>
      <c r="P16" s="47" t="n"/>
      <c r="Q16" s="48" t="n"/>
      <c r="R16" s="5" t="inlineStr">
        <is>
          <t>全粒粉入り湯種ロール６個</t>
        </is>
      </c>
      <c r="S16" s="5" t="inlineStr">
        <is>
          <t>全粒粉入り湯種ロール３個</t>
        </is>
      </c>
      <c r="T16" s="5" t="inlineStr">
        <is>
          <t>Ｓ全粒粉入り湯種ロール６個</t>
        </is>
      </c>
      <c r="U16" s="5" t="n"/>
      <c r="V16" s="5" t="n"/>
      <c r="W16" s="5" t="n"/>
      <c r="X16">
        <f>COUNTA(R16:W16)</f>
        <v/>
      </c>
      <c r="Y16">
        <f>IF(AND($X16&gt;0,ISNUMBER($M16)),$M16/$X16,"")</f>
        <v/>
      </c>
      <c r="Z16">
        <f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>
        <f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/>
      </c>
      <c r="AB16">
        <f>IF(ISNUMBER($M16),$M16,0)</f>
        <v/>
      </c>
      <c r="AD16" s="413">
        <f>IF($R16="",0,IF($AA16&gt;0,$AB16*SUMIF(⑳商品別1食労務費!$C$5:$C$124,$R16,⑳商品別1食労務費!$F$5:$F$124)/$AA16,$AB16/$X16))</f>
        <v/>
      </c>
      <c r="AE16" s="413">
        <f>IF($S16="",0,IF($AA16&gt;0,$AB16*SUMIF(⑳商品別1食労務費!$C$5:$C$124,$S16,⑳商品別1食労務費!$F$5:$F$124)/$AA16,$AB16/$X16))</f>
        <v/>
      </c>
      <c r="AF16" s="413">
        <f>IF($T16="",0,IF($AA16&gt;0,$AB16*SUMIF(⑳商品別1食労務費!$C$5:$C$124,$T16,⑳商品別1食労務費!$F$5:$F$124)/$AA16,$AB16/$X16))</f>
        <v/>
      </c>
      <c r="AG16" s="413">
        <f>IF($U16="",0,IF($AA16&gt;0,$AB16*SUMIF(⑳商品別1食労務費!$C$5:$C$124,$U16,⑳商品別1食労務費!$F$5:$F$124)/$AA16,$AB16/$X16))</f>
        <v/>
      </c>
      <c r="AH16" s="413">
        <f>IF($V16="",0,IF($AA16&gt;0,$AB16*SUMIF(⑳商品別1食労務費!$C$5:$C$124,$V16,⑳商品別1食労務費!$F$5:$F$124)/$AA16,$AB16/$X16))</f>
        <v/>
      </c>
      <c r="AI16" s="413">
        <f>IF($W16="",0,IF($AA16&gt;0,$AB16*SUMIF(⑳商品別1食労務費!$C$5:$C$124,$W16,⑳商品別1食労務費!$F$5:$F$124)/$AA16,$AB16/$X16))</f>
        <v/>
      </c>
    </row>
    <row r="17" ht="16" customHeight="1" s="438">
      <c r="A17" s="44" t="n">
        <v>13</v>
      </c>
      <c r="B17" s="45" t="inlineStr">
        <is>
          <t>スチコン</t>
        </is>
      </c>
      <c r="C17" s="5" t="inlineStr">
        <is>
          <t>湯種ロールパン</t>
        </is>
      </c>
      <c r="D17" s="411" t="n">
        <v>0.03888888888888889</v>
      </c>
      <c r="E17" s="411" t="n">
        <v>0.05277777777777778</v>
      </c>
      <c r="F17" s="46" t="n">
        <v>5</v>
      </c>
      <c r="G17" s="7" t="n">
        <v>15</v>
      </c>
      <c r="H17" s="7" t="n">
        <v>2</v>
      </c>
      <c r="I17" s="7" t="n">
        <v>16</v>
      </c>
      <c r="J17" s="7" t="n"/>
      <c r="K17" s="513">
        <f>IF(F17&gt;0,I17/(F17/60),0)</f>
        <v/>
      </c>
      <c r="L17" s="514">
        <f>IF(AND(ISNUMBER(F17),J17&gt;0),J17/(F17/60),"")</f>
        <v/>
      </c>
      <c r="M17" s="9">
        <f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513">
        <f>IF(I17&gt;0,M17/I17,"")</f>
        <v/>
      </c>
      <c r="O17" s="514">
        <f>IF(AND(J17&gt;0,ISNUMBER(M17)),M17/J17,"")</f>
        <v/>
      </c>
      <c r="P17" s="47" t="n"/>
      <c r="Q17" s="48" t="n"/>
      <c r="R17" s="5" t="inlineStr">
        <is>
          <t>全粒粉入り湯種ロール６個</t>
        </is>
      </c>
      <c r="S17" s="5" t="inlineStr">
        <is>
          <t>全粒粉入り湯種ロール３個</t>
        </is>
      </c>
      <c r="T17" s="5" t="inlineStr">
        <is>
          <t>Ｓ全粒粉入り湯種ロール６個</t>
        </is>
      </c>
      <c r="U17" s="5" t="n"/>
      <c r="V17" s="5" t="n"/>
      <c r="W17" s="5" t="n"/>
      <c r="X17">
        <f>COUNTA(R17:W17)</f>
        <v/>
      </c>
      <c r="Y17">
        <f>IF(AND($X17&gt;0,ISNUMBER($M17)),$M17/$X17,"")</f>
        <v/>
      </c>
      <c r="Z17">
        <f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>
        <f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/>
      </c>
      <c r="AB17">
        <f>IF(ISNUMBER($M17),$M17,0)</f>
        <v/>
      </c>
      <c r="AD17" s="413">
        <f>IF($R17="",0,IF($AA17&gt;0,$AB17*SUMIF(⑳商品別1食労務費!$C$5:$C$124,$R17,⑳商品別1食労務費!$F$5:$F$124)/$AA17,$AB17/$X17))</f>
        <v/>
      </c>
      <c r="AE17" s="413">
        <f>IF($S17="",0,IF($AA17&gt;0,$AB17*SUMIF(⑳商品別1食労務費!$C$5:$C$124,$S17,⑳商品別1食労務費!$F$5:$F$124)/$AA17,$AB17/$X17))</f>
        <v/>
      </c>
      <c r="AF17" s="413">
        <f>IF($T17="",0,IF($AA17&gt;0,$AB17*SUMIF(⑳商品別1食労務費!$C$5:$C$124,$T17,⑳商品別1食労務費!$F$5:$F$124)/$AA17,$AB17/$X17))</f>
        <v/>
      </c>
      <c r="AG17" s="413">
        <f>IF($U17="",0,IF($AA17&gt;0,$AB17*SUMIF(⑳商品別1食労務費!$C$5:$C$124,$U17,⑳商品別1食労務費!$F$5:$F$124)/$AA17,$AB17/$X17))</f>
        <v/>
      </c>
      <c r="AH17" s="413">
        <f>IF($V17="",0,IF($AA17&gt;0,$AB17*SUMIF(⑳商品別1食労務費!$C$5:$C$124,$V17,⑳商品別1食労務費!$F$5:$F$124)/$AA17,$AB17/$X17))</f>
        <v/>
      </c>
      <c r="AI17" s="413">
        <f>IF($W17="",0,IF($AA17&gt;0,$AB17*SUMIF(⑳商品別1食労務費!$C$5:$C$124,$W17,⑳商品別1食労務費!$F$5:$F$124)/$AA17,$AB17/$X17))</f>
        <v/>
      </c>
    </row>
    <row r="18" ht="16" customHeight="1" s="438">
      <c r="A18" s="44" t="n">
        <v>14</v>
      </c>
      <c r="B18" s="45" t="inlineStr">
        <is>
          <t>スチコン</t>
        </is>
      </c>
      <c r="C18" s="5" t="inlineStr">
        <is>
          <t>湯種ロールパン</t>
        </is>
      </c>
      <c r="D18" s="411" t="n">
        <v>0.05277777777777778</v>
      </c>
      <c r="E18" s="411" t="n">
        <v>0.06666666666666667</v>
      </c>
      <c r="F18" s="46" t="n">
        <v>5</v>
      </c>
      <c r="G18" s="7" t="n">
        <v>15</v>
      </c>
      <c r="H18" s="7" t="n">
        <v>2</v>
      </c>
      <c r="I18" s="7" t="n">
        <v>16</v>
      </c>
      <c r="J18" s="7" t="n"/>
      <c r="K18" s="513">
        <f>IF(F18&gt;0,I18/(F18/60),0)</f>
        <v/>
      </c>
      <c r="L18" s="514">
        <f>IF(AND(ISNUMBER(F18),J18&gt;0),J18/(F18/60),"")</f>
        <v/>
      </c>
      <c r="M18" s="9">
        <f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513">
        <f>IF(I18&gt;0,M18/I18,"")</f>
        <v/>
      </c>
      <c r="O18" s="514">
        <f>IF(AND(J18&gt;0,ISNUMBER(M18)),M18/J18,"")</f>
        <v/>
      </c>
      <c r="P18" s="47" t="n"/>
      <c r="Q18" s="48" t="n"/>
      <c r="R18" s="5" t="inlineStr">
        <is>
          <t>全粒粉入り湯種ロール６個</t>
        </is>
      </c>
      <c r="S18" s="5" t="inlineStr">
        <is>
          <t>全粒粉入り湯種ロール３個</t>
        </is>
      </c>
      <c r="T18" s="5" t="inlineStr">
        <is>
          <t>Ｓ全粒粉入り湯種ロール６個</t>
        </is>
      </c>
      <c r="U18" s="5" t="n"/>
      <c r="V18" s="5" t="n"/>
      <c r="W18" s="5" t="n"/>
      <c r="X18">
        <f>COUNTA(R18:W18)</f>
        <v/>
      </c>
      <c r="Y18">
        <f>IF(AND($X18&gt;0,ISNUMBER($M18)),$M18/$X18,"")</f>
        <v/>
      </c>
      <c r="Z18">
        <f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>
        <f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/>
      </c>
      <c r="AB18">
        <f>IF(ISNUMBER($M18),$M18,0)</f>
        <v/>
      </c>
      <c r="AD18" s="413">
        <f>IF($R18="",0,IF($AA18&gt;0,$AB18*SUMIF(⑳商品別1食労務費!$C$5:$C$124,$R18,⑳商品別1食労務費!$F$5:$F$124)/$AA18,$AB18/$X18))</f>
        <v/>
      </c>
      <c r="AE18" s="413">
        <f>IF($S18="",0,IF($AA18&gt;0,$AB18*SUMIF(⑳商品別1食労務費!$C$5:$C$124,$S18,⑳商品別1食労務費!$F$5:$F$124)/$AA18,$AB18/$X18))</f>
        <v/>
      </c>
      <c r="AF18" s="413">
        <f>IF($T18="",0,IF($AA18&gt;0,$AB18*SUMIF(⑳商品別1食労務費!$C$5:$C$124,$T18,⑳商品別1食労務費!$F$5:$F$124)/$AA18,$AB18/$X18))</f>
        <v/>
      </c>
      <c r="AG18" s="413">
        <f>IF($U18="",0,IF($AA18&gt;0,$AB18*SUMIF(⑳商品別1食労務費!$C$5:$C$124,$U18,⑳商品別1食労務費!$F$5:$F$124)/$AA18,$AB18/$X18))</f>
        <v/>
      </c>
      <c r="AH18" s="413">
        <f>IF($V18="",0,IF($AA18&gt;0,$AB18*SUMIF(⑳商品別1食労務費!$C$5:$C$124,$V18,⑳商品別1食労務費!$F$5:$F$124)/$AA18,$AB18/$X18))</f>
        <v/>
      </c>
      <c r="AI18" s="413">
        <f>IF($W18="",0,IF($AA18&gt;0,$AB18*SUMIF(⑳商品別1食労務費!$C$5:$C$124,$W18,⑳商品別1食労務費!$F$5:$F$124)/$AA18,$AB18/$X18))</f>
        <v/>
      </c>
    </row>
    <row r="19" ht="16" customHeight="1" s="438">
      <c r="A19" s="44" t="n">
        <v>15</v>
      </c>
      <c r="B19" s="45" t="inlineStr">
        <is>
          <t>スチコン</t>
        </is>
      </c>
      <c r="C19" s="5" t="inlineStr">
        <is>
          <t>湯種ロールパン</t>
        </is>
      </c>
      <c r="D19" s="411" t="n">
        <v>0.06666666666666667</v>
      </c>
      <c r="E19" s="411" t="n">
        <v>0.08055555555555556</v>
      </c>
      <c r="F19" s="46" t="n">
        <v>5</v>
      </c>
      <c r="G19" s="7" t="n">
        <v>15</v>
      </c>
      <c r="H19" s="7" t="n">
        <v>2</v>
      </c>
      <c r="I19" s="7" t="n">
        <v>16</v>
      </c>
      <c r="J19" s="7" t="n"/>
      <c r="K19" s="513">
        <f>IF(F19&gt;0,I19/(F19/60),0)</f>
        <v/>
      </c>
      <c r="L19" s="514">
        <f>IF(AND(ISNUMBER(F19),J19&gt;0),J19/(F19/60),"")</f>
        <v/>
      </c>
      <c r="M19" s="9">
        <f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513">
        <f>IF(I19&gt;0,M19/I19,"")</f>
        <v/>
      </c>
      <c r="O19" s="514">
        <f>IF(AND(J19&gt;0,ISNUMBER(M19)),M19/J19,"")</f>
        <v/>
      </c>
      <c r="P19" s="47" t="n"/>
      <c r="Q19" s="48" t="n"/>
      <c r="R19" s="5" t="inlineStr">
        <is>
          <t>全粒粉入り湯種ロール６個</t>
        </is>
      </c>
      <c r="S19" s="5" t="inlineStr">
        <is>
          <t>全粒粉入り湯種ロール３個</t>
        </is>
      </c>
      <c r="T19" s="5" t="inlineStr">
        <is>
          <t>Ｓ全粒粉入り湯種ロール６個</t>
        </is>
      </c>
      <c r="U19" s="5" t="n"/>
      <c r="V19" s="5" t="n"/>
      <c r="W19" s="5" t="n"/>
      <c r="X19">
        <f>COUNTA(R19:W19)</f>
        <v/>
      </c>
      <c r="Y19">
        <f>IF(AND($X19&gt;0,ISNUMBER($M19)),$M19/$X19,"")</f>
        <v/>
      </c>
      <c r="Z19">
        <f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>
        <f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/>
      </c>
      <c r="AB19">
        <f>IF(ISNUMBER($M19),$M19,0)</f>
        <v/>
      </c>
      <c r="AD19" s="413">
        <f>IF($R19="",0,IF($AA19&gt;0,$AB19*SUMIF(⑳商品別1食労務費!$C$5:$C$124,$R19,⑳商品別1食労務費!$F$5:$F$124)/$AA19,$AB19/$X19))</f>
        <v/>
      </c>
      <c r="AE19" s="413">
        <f>IF($S19="",0,IF($AA19&gt;0,$AB19*SUMIF(⑳商品別1食労務費!$C$5:$C$124,$S19,⑳商品別1食労務費!$F$5:$F$124)/$AA19,$AB19/$X19))</f>
        <v/>
      </c>
      <c r="AF19" s="413">
        <f>IF($T19="",0,IF($AA19&gt;0,$AB19*SUMIF(⑳商品別1食労務費!$C$5:$C$124,$T19,⑳商品別1食労務費!$F$5:$F$124)/$AA19,$AB19/$X19))</f>
        <v/>
      </c>
      <c r="AG19" s="413">
        <f>IF($U19="",0,IF($AA19&gt;0,$AB19*SUMIF(⑳商品別1食労務費!$C$5:$C$124,$U19,⑳商品別1食労務費!$F$5:$F$124)/$AA19,$AB19/$X19))</f>
        <v/>
      </c>
      <c r="AH19" s="413">
        <f>IF($V19="",0,IF($AA19&gt;0,$AB19*SUMIF(⑳商品別1食労務費!$C$5:$C$124,$V19,⑳商品別1食労務費!$F$5:$F$124)/$AA19,$AB19/$X19))</f>
        <v/>
      </c>
      <c r="AI19" s="413">
        <f>IF($W19="",0,IF($AA19&gt;0,$AB19*SUMIF(⑳商品別1食労務費!$C$5:$C$124,$W19,⑳商品別1食労務費!$F$5:$F$124)/$AA19,$AB19/$X19))</f>
        <v/>
      </c>
    </row>
    <row r="20" ht="16" customHeight="1" s="438">
      <c r="A20" s="44" t="n">
        <v>16</v>
      </c>
      <c r="B20" s="45" t="inlineStr">
        <is>
          <t>スチコン</t>
        </is>
      </c>
      <c r="C20" s="5" t="inlineStr">
        <is>
          <t>湯種ロールパン</t>
        </is>
      </c>
      <c r="D20" s="411" t="n">
        <v>0.08055555555555556</v>
      </c>
      <c r="E20" s="411" t="n">
        <v>0.09444444444444444</v>
      </c>
      <c r="F20" s="46" t="n">
        <v>5</v>
      </c>
      <c r="G20" s="7" t="n">
        <v>15</v>
      </c>
      <c r="H20" s="7" t="n">
        <v>2</v>
      </c>
      <c r="I20" s="7" t="n">
        <v>16</v>
      </c>
      <c r="J20" s="7" t="n"/>
      <c r="K20" s="513">
        <f>IF(F20&gt;0,I20/(F20/60),0)</f>
        <v/>
      </c>
      <c r="L20" s="514">
        <f>IF(AND(ISNUMBER(F20),J20&gt;0),J20/(F20/60),"")</f>
        <v/>
      </c>
      <c r="M20" s="9">
        <f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513">
        <f>IF(I20&gt;0,M20/I20,"")</f>
        <v/>
      </c>
      <c r="O20" s="514">
        <f>IF(AND(J20&gt;0,ISNUMBER(M20)),M20/J20,"")</f>
        <v/>
      </c>
      <c r="P20" s="47" t="n"/>
      <c r="Q20" s="48" t="n"/>
      <c r="R20" s="5" t="inlineStr">
        <is>
          <t>全粒粉入り湯種ロール６個</t>
        </is>
      </c>
      <c r="S20" s="5" t="inlineStr">
        <is>
          <t>全粒粉入り湯種ロール３個</t>
        </is>
      </c>
      <c r="T20" s="5" t="inlineStr">
        <is>
          <t>Ｓ全粒粉入り湯種ロール６個</t>
        </is>
      </c>
      <c r="U20" s="5" t="n"/>
      <c r="V20" s="5" t="n"/>
      <c r="W20" s="5" t="n"/>
      <c r="X20">
        <f>COUNTA(R20:W20)</f>
        <v/>
      </c>
      <c r="Y20">
        <f>IF(AND($X20&gt;0,ISNUMBER($M20)),$M20/$X20,"")</f>
        <v/>
      </c>
      <c r="Z20">
        <f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>
        <f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/>
      </c>
      <c r="AB20">
        <f>IF(ISNUMBER($M20),$M20,0)</f>
        <v/>
      </c>
      <c r="AD20" s="413">
        <f>IF($R20="",0,IF($AA20&gt;0,$AB20*SUMIF(⑳商品別1食労務費!$C$5:$C$124,$R20,⑳商品別1食労務費!$F$5:$F$124)/$AA20,$AB20/$X20))</f>
        <v/>
      </c>
      <c r="AE20" s="413">
        <f>IF($S20="",0,IF($AA20&gt;0,$AB20*SUMIF(⑳商品別1食労務費!$C$5:$C$124,$S20,⑳商品別1食労務費!$F$5:$F$124)/$AA20,$AB20/$X20))</f>
        <v/>
      </c>
      <c r="AF20" s="413">
        <f>IF($T20="",0,IF($AA20&gt;0,$AB20*SUMIF(⑳商品別1食労務費!$C$5:$C$124,$T20,⑳商品別1食労務費!$F$5:$F$124)/$AA20,$AB20/$X20))</f>
        <v/>
      </c>
      <c r="AG20" s="413">
        <f>IF($U20="",0,IF($AA20&gt;0,$AB20*SUMIF(⑳商品別1食労務費!$C$5:$C$124,$U20,⑳商品別1食労務費!$F$5:$F$124)/$AA20,$AB20/$X20))</f>
        <v/>
      </c>
      <c r="AH20" s="413">
        <f>IF($V20="",0,IF($AA20&gt;0,$AB20*SUMIF(⑳商品別1食労務費!$C$5:$C$124,$V20,⑳商品別1食労務費!$F$5:$F$124)/$AA20,$AB20/$X20))</f>
        <v/>
      </c>
      <c r="AI20" s="413">
        <f>IF($W20="",0,IF($AA20&gt;0,$AB20*SUMIF(⑳商品別1食労務費!$C$5:$C$124,$W20,⑳商品別1食労務費!$F$5:$F$124)/$AA20,$AB20/$X20))</f>
        <v/>
      </c>
    </row>
    <row r="21" ht="16" customHeight="1" s="438">
      <c r="A21" s="44" t="n">
        <v>17</v>
      </c>
      <c r="B21" s="45" t="inlineStr">
        <is>
          <t>スチコン</t>
        </is>
      </c>
      <c r="C21" s="5" t="inlineStr">
        <is>
          <t>湯種ロールパン</t>
        </is>
      </c>
      <c r="D21" s="411" t="n">
        <v>0.09444444444444444</v>
      </c>
      <c r="E21" s="411" t="n">
        <v>0.1083333333333333</v>
      </c>
      <c r="F21" s="46" t="n">
        <v>5</v>
      </c>
      <c r="G21" s="7" t="n">
        <v>15</v>
      </c>
      <c r="H21" s="7" t="n">
        <v>2</v>
      </c>
      <c r="I21" s="7" t="n">
        <v>16</v>
      </c>
      <c r="J21" s="7" t="n"/>
      <c r="K21" s="513">
        <f>IF(F21&gt;0,I21/(F21/60),0)</f>
        <v/>
      </c>
      <c r="L21" s="514">
        <f>IF(AND(ISNUMBER(F21),J21&gt;0),J21/(F21/60),"")</f>
        <v/>
      </c>
      <c r="M21" s="9">
        <f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513">
        <f>IF(I21&gt;0,M21/I21,"")</f>
        <v/>
      </c>
      <c r="O21" s="514">
        <f>IF(AND(J21&gt;0,ISNUMBER(M21)),M21/J21,"")</f>
        <v/>
      </c>
      <c r="P21" s="47" t="n"/>
      <c r="Q21" s="48" t="n"/>
      <c r="R21" s="5" t="inlineStr">
        <is>
          <t>全粒粉入り湯種ロール６個</t>
        </is>
      </c>
      <c r="S21" s="5" t="inlineStr">
        <is>
          <t>全粒粉入り湯種ロール３個</t>
        </is>
      </c>
      <c r="T21" s="5" t="inlineStr">
        <is>
          <t>Ｓ全粒粉入り湯種ロール６個</t>
        </is>
      </c>
      <c r="U21" s="5" t="n"/>
      <c r="V21" s="5" t="n"/>
      <c r="W21" s="5" t="n"/>
      <c r="X21">
        <f>COUNTA(R21:W21)</f>
        <v/>
      </c>
      <c r="Y21">
        <f>IF(AND($X21&gt;0,ISNUMBER($M21)),$M21/$X21,"")</f>
        <v/>
      </c>
      <c r="Z21">
        <f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>
        <f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/>
      </c>
      <c r="AB21">
        <f>IF(ISNUMBER($M21),$M21,0)</f>
        <v/>
      </c>
      <c r="AD21" s="413">
        <f>IF($R21="",0,IF($AA21&gt;0,$AB21*SUMIF(⑳商品別1食労務費!$C$5:$C$124,$R21,⑳商品別1食労務費!$F$5:$F$124)/$AA21,$AB21/$X21))</f>
        <v/>
      </c>
      <c r="AE21" s="413">
        <f>IF($S21="",0,IF($AA21&gt;0,$AB21*SUMIF(⑳商品別1食労務費!$C$5:$C$124,$S21,⑳商品別1食労務費!$F$5:$F$124)/$AA21,$AB21/$X21))</f>
        <v/>
      </c>
      <c r="AF21" s="413">
        <f>IF($T21="",0,IF($AA21&gt;0,$AB21*SUMIF(⑳商品別1食労務費!$C$5:$C$124,$T21,⑳商品別1食労務費!$F$5:$F$124)/$AA21,$AB21/$X21))</f>
        <v/>
      </c>
      <c r="AG21" s="413">
        <f>IF($U21="",0,IF($AA21&gt;0,$AB21*SUMIF(⑳商品別1食労務費!$C$5:$C$124,$U21,⑳商品別1食労務費!$F$5:$F$124)/$AA21,$AB21/$X21))</f>
        <v/>
      </c>
      <c r="AH21" s="413">
        <f>IF($V21="",0,IF($AA21&gt;0,$AB21*SUMIF(⑳商品別1食労務費!$C$5:$C$124,$V21,⑳商品別1食労務費!$F$5:$F$124)/$AA21,$AB21/$X21))</f>
        <v/>
      </c>
      <c r="AI21" s="413">
        <f>IF($W21="",0,IF($AA21&gt;0,$AB21*SUMIF(⑳商品別1食労務費!$C$5:$C$124,$W21,⑳商品別1食労務費!$F$5:$F$124)/$AA21,$AB21/$X21))</f>
        <v/>
      </c>
    </row>
    <row r="22" ht="16" customHeight="1" s="438">
      <c r="A22" s="44" t="n">
        <v>18</v>
      </c>
      <c r="B22" s="45" t="inlineStr">
        <is>
          <t>スチコン</t>
        </is>
      </c>
      <c r="C22" s="5" t="inlineStr">
        <is>
          <t>ホテルロール</t>
        </is>
      </c>
      <c r="D22" s="411" t="n">
        <v>0.1083333333333333</v>
      </c>
      <c r="E22" s="411" t="n">
        <v>0.1222222222222222</v>
      </c>
      <c r="F22" s="46" t="n">
        <v>5</v>
      </c>
      <c r="G22" s="7" t="n">
        <v>15</v>
      </c>
      <c r="H22" s="7" t="n">
        <v>2</v>
      </c>
      <c r="I22" s="7" t="n">
        <v>16</v>
      </c>
      <c r="J22" s="7" t="n"/>
      <c r="K22" s="513">
        <f>IF(F22&gt;0,I22/(F22/60),0)</f>
        <v/>
      </c>
      <c r="L22" s="514">
        <f>IF(AND(ISNUMBER(F22),J22&gt;0),J22/(F22/60),"")</f>
        <v/>
      </c>
      <c r="M22" s="9">
        <f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513">
        <f>IF(I22&gt;0,M22/I22,"")</f>
        <v/>
      </c>
      <c r="O22" s="514">
        <f>IF(AND(J22&gt;0,ISNUMBER(M22)),M22/J22,"")</f>
        <v/>
      </c>
      <c r="P22" s="47" t="n"/>
      <c r="Q22" s="48" t="n"/>
      <c r="R22" s="5" t="inlineStr">
        <is>
          <t>ふわもちホテルロール３個</t>
        </is>
      </c>
      <c r="S22" s="5" t="inlineStr">
        <is>
          <t>ふわもちホテルロール８個入</t>
        </is>
      </c>
      <c r="T22" s="5" t="inlineStr">
        <is>
          <t>ふわもちホテルロール１６個</t>
        </is>
      </c>
      <c r="U22" s="5" t="inlineStr">
        <is>
          <t>Ｓふわもちホテルロール８個</t>
        </is>
      </c>
      <c r="V22" s="5" t="inlineStr">
        <is>
          <t>Ｓふわもちホテルロール１６</t>
        </is>
      </c>
      <c r="W22" s="5" t="inlineStr">
        <is>
          <t>ホテルロールＫＩＴ　４０個</t>
        </is>
      </c>
      <c r="X22">
        <f>COUNTA(R22:W22)</f>
        <v/>
      </c>
      <c r="Y22">
        <f>IF(AND($X22&gt;0,ISNUMBER($M22)),$M22/$X22,"")</f>
        <v/>
      </c>
      <c r="Z22">
        <f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>
        <f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/>
      </c>
      <c r="AB22">
        <f>IF(ISNUMBER($M22),$M22,0)</f>
        <v/>
      </c>
      <c r="AD22" s="413">
        <f>IF($R22="",0,IF($AA22&gt;0,$AB22*SUMIF(⑳商品別1食労務費!$C$5:$C$124,$R22,⑳商品別1食労務費!$F$5:$F$124)/$AA22,$AB22/$X22))</f>
        <v/>
      </c>
      <c r="AE22" s="413">
        <f>IF($S22="",0,IF($AA22&gt;0,$AB22*SUMIF(⑳商品別1食労務費!$C$5:$C$124,$S22,⑳商品別1食労務費!$F$5:$F$124)/$AA22,$AB22/$X22))</f>
        <v/>
      </c>
      <c r="AF22" s="413">
        <f>IF($T22="",0,IF($AA22&gt;0,$AB22*SUMIF(⑳商品別1食労務費!$C$5:$C$124,$T22,⑳商品別1食労務費!$F$5:$F$124)/$AA22,$AB22/$X22))</f>
        <v/>
      </c>
      <c r="AG22" s="413">
        <f>IF($U22="",0,IF($AA22&gt;0,$AB22*SUMIF(⑳商品別1食労務費!$C$5:$C$124,$U22,⑳商品別1食労務費!$F$5:$F$124)/$AA22,$AB22/$X22))</f>
        <v/>
      </c>
      <c r="AH22" s="413">
        <f>IF($V22="",0,IF($AA22&gt;0,$AB22*SUMIF(⑳商品別1食労務費!$C$5:$C$124,$V22,⑳商品別1食労務費!$F$5:$F$124)/$AA22,$AB22/$X22))</f>
        <v/>
      </c>
      <c r="AI22" s="413">
        <f>IF($W22="",0,IF($AA22&gt;0,$AB22*SUMIF(⑳商品別1食労務費!$C$5:$C$124,$W22,⑳商品別1食労務費!$F$5:$F$124)/$AA22,$AB22/$X22))</f>
        <v/>
      </c>
    </row>
    <row r="23" ht="16" customHeight="1" s="438">
      <c r="A23" s="44" t="n">
        <v>19</v>
      </c>
      <c r="B23" s="45" t="inlineStr">
        <is>
          <t>スチコン</t>
        </is>
      </c>
      <c r="C23" s="5" t="inlineStr">
        <is>
          <t>ホテルロール</t>
        </is>
      </c>
      <c r="D23" s="411" t="n">
        <v>0.1222222222222222</v>
      </c>
      <c r="E23" s="411" t="n">
        <v>0.1361111111111111</v>
      </c>
      <c r="F23" s="46" t="n">
        <v>5</v>
      </c>
      <c r="G23" s="7" t="n">
        <v>15</v>
      </c>
      <c r="H23" s="7" t="n">
        <v>2</v>
      </c>
      <c r="I23" s="7" t="n">
        <v>16</v>
      </c>
      <c r="J23" s="7" t="n"/>
      <c r="K23" s="513">
        <f>IF(F23&gt;0,I23/(F23/60),0)</f>
        <v/>
      </c>
      <c r="L23" s="514">
        <f>IF(AND(ISNUMBER(F23),J23&gt;0),J23/(F23/60),"")</f>
        <v/>
      </c>
      <c r="M23" s="9">
        <f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513">
        <f>IF(I23&gt;0,M23/I23,"")</f>
        <v/>
      </c>
      <c r="O23" s="514">
        <f>IF(AND(J23&gt;0,ISNUMBER(M23)),M23/J23,"")</f>
        <v/>
      </c>
      <c r="P23" s="47" t="n"/>
      <c r="Q23" s="48" t="n"/>
      <c r="R23" s="5" t="inlineStr">
        <is>
          <t>ふわもちホテルロール３個</t>
        </is>
      </c>
      <c r="S23" s="5" t="inlineStr">
        <is>
          <t>ふわもちホテルロール８個入</t>
        </is>
      </c>
      <c r="T23" s="5" t="inlineStr">
        <is>
          <t>ふわもちホテルロール１６個</t>
        </is>
      </c>
      <c r="U23" s="5" t="inlineStr">
        <is>
          <t>Ｓふわもちホテルロール８個</t>
        </is>
      </c>
      <c r="V23" s="5" t="inlineStr">
        <is>
          <t>Ｓふわもちホテルロール１６</t>
        </is>
      </c>
      <c r="W23" s="5" t="inlineStr">
        <is>
          <t>ホテルロールＫＩＴ　４０個</t>
        </is>
      </c>
      <c r="X23">
        <f>COUNTA(R23:W23)</f>
        <v/>
      </c>
      <c r="Y23">
        <f>IF(AND($X23&gt;0,ISNUMBER($M23)),$M23/$X23,"")</f>
        <v/>
      </c>
      <c r="Z23">
        <f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>
        <f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/>
      </c>
      <c r="AB23">
        <f>IF(ISNUMBER($M23),$M23,0)</f>
        <v/>
      </c>
      <c r="AD23" s="413">
        <f>IF($R23="",0,IF($AA23&gt;0,$AB23*SUMIF(⑳商品別1食労務費!$C$5:$C$124,$R23,⑳商品別1食労務費!$F$5:$F$124)/$AA23,$AB23/$X23))</f>
        <v/>
      </c>
      <c r="AE23" s="413">
        <f>IF($S23="",0,IF($AA23&gt;0,$AB23*SUMIF(⑳商品別1食労務費!$C$5:$C$124,$S23,⑳商品別1食労務費!$F$5:$F$124)/$AA23,$AB23/$X23))</f>
        <v/>
      </c>
      <c r="AF23" s="413">
        <f>IF($T23="",0,IF($AA23&gt;0,$AB23*SUMIF(⑳商品別1食労務費!$C$5:$C$124,$T23,⑳商品別1食労務費!$F$5:$F$124)/$AA23,$AB23/$X23))</f>
        <v/>
      </c>
      <c r="AG23" s="413">
        <f>IF($U23="",0,IF($AA23&gt;0,$AB23*SUMIF(⑳商品別1食労務費!$C$5:$C$124,$U23,⑳商品別1食労務費!$F$5:$F$124)/$AA23,$AB23/$X23))</f>
        <v/>
      </c>
      <c r="AH23" s="413">
        <f>IF($V23="",0,IF($AA23&gt;0,$AB23*SUMIF(⑳商品別1食労務費!$C$5:$C$124,$V23,⑳商品別1食労務費!$F$5:$F$124)/$AA23,$AB23/$X23))</f>
        <v/>
      </c>
      <c r="AI23" s="413">
        <f>IF($W23="",0,IF($AA23&gt;0,$AB23*SUMIF(⑳商品別1食労務費!$C$5:$C$124,$W23,⑳商品別1食労務費!$F$5:$F$124)/$AA23,$AB23/$X23))</f>
        <v/>
      </c>
    </row>
    <row r="24" ht="16" customHeight="1" s="438">
      <c r="A24" s="44" t="n">
        <v>20</v>
      </c>
      <c r="B24" s="45" t="inlineStr">
        <is>
          <t>スチコン</t>
        </is>
      </c>
      <c r="C24" s="5" t="inlineStr">
        <is>
          <t>ホテルロール</t>
        </is>
      </c>
      <c r="D24" s="411" t="n">
        <v>0.1361111111111111</v>
      </c>
      <c r="E24" s="411" t="n">
        <v>0.15</v>
      </c>
      <c r="F24" s="46" t="n">
        <v>5</v>
      </c>
      <c r="G24" s="7" t="n">
        <v>15</v>
      </c>
      <c r="H24" s="7" t="n">
        <v>2</v>
      </c>
      <c r="I24" s="7" t="n">
        <v>16</v>
      </c>
      <c r="J24" s="7" t="n"/>
      <c r="K24" s="513">
        <f>IF(F24&gt;0,I24/(F24/60),0)</f>
        <v/>
      </c>
      <c r="L24" s="514">
        <f>IF(AND(ISNUMBER(F24),J24&gt;0),J24/(F24/60),"")</f>
        <v/>
      </c>
      <c r="M24" s="9">
        <f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513">
        <f>IF(I24&gt;0,M24/I24,"")</f>
        <v/>
      </c>
      <c r="O24" s="514">
        <f>IF(AND(J24&gt;0,ISNUMBER(M24)),M24/J24,"")</f>
        <v/>
      </c>
      <c r="P24" s="47" t="n"/>
      <c r="Q24" s="48" t="n"/>
      <c r="R24" s="5" t="inlineStr">
        <is>
          <t>ふわもちホテルロール３個</t>
        </is>
      </c>
      <c r="S24" s="5" t="inlineStr">
        <is>
          <t>ふわもちホテルロール８個入</t>
        </is>
      </c>
      <c r="T24" s="5" t="inlineStr">
        <is>
          <t>ふわもちホテルロール１６個</t>
        </is>
      </c>
      <c r="U24" s="5" t="inlineStr">
        <is>
          <t>Ｓふわもちホテルロール８個</t>
        </is>
      </c>
      <c r="V24" s="5" t="inlineStr">
        <is>
          <t>Ｓふわもちホテルロール１６</t>
        </is>
      </c>
      <c r="W24" s="5" t="inlineStr">
        <is>
          <t>ホテルロールＫＩＴ　４０個</t>
        </is>
      </c>
      <c r="X24">
        <f>COUNTA(R24:W24)</f>
        <v/>
      </c>
      <c r="Y24">
        <f>IF(AND($X24&gt;0,ISNUMBER($M24)),$M24/$X24,"")</f>
        <v/>
      </c>
      <c r="Z24">
        <f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>
        <f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/>
      </c>
      <c r="AB24">
        <f>IF(ISNUMBER($M24),$M24,0)</f>
        <v/>
      </c>
      <c r="AD24" s="413">
        <f>IF($R24="",0,IF($AA24&gt;0,$AB24*SUMIF(⑳商品別1食労務費!$C$5:$C$124,$R24,⑳商品別1食労務費!$F$5:$F$124)/$AA24,$AB24/$X24))</f>
        <v/>
      </c>
      <c r="AE24" s="413">
        <f>IF($S24="",0,IF($AA24&gt;0,$AB24*SUMIF(⑳商品別1食労務費!$C$5:$C$124,$S24,⑳商品別1食労務費!$F$5:$F$124)/$AA24,$AB24/$X24))</f>
        <v/>
      </c>
      <c r="AF24" s="413">
        <f>IF($T24="",0,IF($AA24&gt;0,$AB24*SUMIF(⑳商品別1食労務費!$C$5:$C$124,$T24,⑳商品別1食労務費!$F$5:$F$124)/$AA24,$AB24/$X24))</f>
        <v/>
      </c>
      <c r="AG24" s="413">
        <f>IF($U24="",0,IF($AA24&gt;0,$AB24*SUMIF(⑳商品別1食労務費!$C$5:$C$124,$U24,⑳商品別1食労務費!$F$5:$F$124)/$AA24,$AB24/$X24))</f>
        <v/>
      </c>
      <c r="AH24" s="413">
        <f>IF($V24="",0,IF($AA24&gt;0,$AB24*SUMIF(⑳商品別1食労務費!$C$5:$C$124,$V24,⑳商品別1食労務費!$F$5:$F$124)/$AA24,$AB24/$X24))</f>
        <v/>
      </c>
      <c r="AI24" s="413">
        <f>IF($W24="",0,IF($AA24&gt;0,$AB24*SUMIF(⑳商品別1食労務費!$C$5:$C$124,$W24,⑳商品別1食労務費!$F$5:$F$124)/$AA24,$AB24/$X24))</f>
        <v/>
      </c>
    </row>
    <row r="25" ht="16" customHeight="1" s="438">
      <c r="A25" s="44" t="n">
        <v>21</v>
      </c>
      <c r="B25" s="45" t="inlineStr">
        <is>
          <t>スチコン</t>
        </is>
      </c>
      <c r="C25" s="5" t="inlineStr">
        <is>
          <t>ホテルロール</t>
        </is>
      </c>
      <c r="D25" s="411" t="n">
        <v>0.15</v>
      </c>
      <c r="E25" s="411" t="n">
        <v>0.1638888888888889</v>
      </c>
      <c r="F25" s="46" t="n">
        <v>5</v>
      </c>
      <c r="G25" s="7" t="n">
        <v>15</v>
      </c>
      <c r="H25" s="7" t="n">
        <v>2</v>
      </c>
      <c r="I25" s="7" t="n">
        <v>16</v>
      </c>
      <c r="J25" s="7" t="n"/>
      <c r="K25" s="513">
        <f>IF(F25&gt;0,I25/(F25/60),0)</f>
        <v/>
      </c>
      <c r="L25" s="514">
        <f>IF(AND(ISNUMBER(F25),J25&gt;0),J25/(F25/60),"")</f>
        <v/>
      </c>
      <c r="M25" s="9">
        <f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513">
        <f>IF(I25&gt;0,M25/I25,"")</f>
        <v/>
      </c>
      <c r="O25" s="514">
        <f>IF(AND(J25&gt;0,ISNUMBER(M25)),M25/J25,"")</f>
        <v/>
      </c>
      <c r="P25" s="47" t="n"/>
      <c r="Q25" s="48" t="n"/>
      <c r="R25" s="5" t="inlineStr">
        <is>
          <t>ふわもちホテルロール３個</t>
        </is>
      </c>
      <c r="S25" s="5" t="inlineStr">
        <is>
          <t>ふわもちホテルロール８個入</t>
        </is>
      </c>
      <c r="T25" s="5" t="inlineStr">
        <is>
          <t>ふわもちホテルロール１６個</t>
        </is>
      </c>
      <c r="U25" s="5" t="inlineStr">
        <is>
          <t>Ｓふわもちホテルロール８個</t>
        </is>
      </c>
      <c r="V25" s="5" t="inlineStr">
        <is>
          <t>Ｓふわもちホテルロール１６</t>
        </is>
      </c>
      <c r="W25" s="5" t="inlineStr">
        <is>
          <t>ホテルロールＫＩＴ　４０個</t>
        </is>
      </c>
      <c r="X25">
        <f>COUNTA(R25:W25)</f>
        <v/>
      </c>
      <c r="Y25">
        <f>IF(AND($X25&gt;0,ISNUMBER($M25)),$M25/$X25,"")</f>
        <v/>
      </c>
      <c r="Z25">
        <f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>
        <f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/>
      </c>
      <c r="AB25">
        <f>IF(ISNUMBER($M25),$M25,0)</f>
        <v/>
      </c>
      <c r="AD25" s="413">
        <f>IF($R25="",0,IF($AA25&gt;0,$AB25*SUMIF(⑳商品別1食労務費!$C$5:$C$124,$R25,⑳商品別1食労務費!$F$5:$F$124)/$AA25,$AB25/$X25))</f>
        <v/>
      </c>
      <c r="AE25" s="413">
        <f>IF($S25="",0,IF($AA25&gt;0,$AB25*SUMIF(⑳商品別1食労務費!$C$5:$C$124,$S25,⑳商品別1食労務費!$F$5:$F$124)/$AA25,$AB25/$X25))</f>
        <v/>
      </c>
      <c r="AF25" s="413">
        <f>IF($T25="",0,IF($AA25&gt;0,$AB25*SUMIF(⑳商品別1食労務費!$C$5:$C$124,$T25,⑳商品別1食労務費!$F$5:$F$124)/$AA25,$AB25/$X25))</f>
        <v/>
      </c>
      <c r="AG25" s="413">
        <f>IF($U25="",0,IF($AA25&gt;0,$AB25*SUMIF(⑳商品別1食労務費!$C$5:$C$124,$U25,⑳商品別1食労務費!$F$5:$F$124)/$AA25,$AB25/$X25))</f>
        <v/>
      </c>
      <c r="AH25" s="413">
        <f>IF($V25="",0,IF($AA25&gt;0,$AB25*SUMIF(⑳商品別1食労務費!$C$5:$C$124,$V25,⑳商品別1食労務費!$F$5:$F$124)/$AA25,$AB25/$X25))</f>
        <v/>
      </c>
      <c r="AI25" s="413">
        <f>IF($W25="",0,IF($AA25&gt;0,$AB25*SUMIF(⑳商品別1食労務費!$C$5:$C$124,$W25,⑳商品別1食労務費!$F$5:$F$124)/$AA25,$AB25/$X25))</f>
        <v/>
      </c>
    </row>
    <row r="26" ht="16" customHeight="1" s="438">
      <c r="A26" s="44" t="n">
        <v>22</v>
      </c>
      <c r="B26" s="45" t="inlineStr">
        <is>
          <t>スチコン</t>
        </is>
      </c>
      <c r="C26" s="5" t="inlineStr">
        <is>
          <t>ホテルロール</t>
        </is>
      </c>
      <c r="D26" s="411" t="n">
        <v>0.1638888888888889</v>
      </c>
      <c r="E26" s="411" t="n">
        <v>0.1777777777777778</v>
      </c>
      <c r="F26" s="46" t="n">
        <v>5</v>
      </c>
      <c r="G26" s="7" t="n">
        <v>15</v>
      </c>
      <c r="H26" s="7" t="n">
        <v>2</v>
      </c>
      <c r="I26" s="7" t="n">
        <v>16</v>
      </c>
      <c r="J26" s="7" t="n"/>
      <c r="K26" s="513">
        <f>IF(F26&gt;0,I26/(F26/60),0)</f>
        <v/>
      </c>
      <c r="L26" s="514">
        <f>IF(AND(ISNUMBER(F26),J26&gt;0),J26/(F26/60),"")</f>
        <v/>
      </c>
      <c r="M26" s="9">
        <f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513">
        <f>IF(I26&gt;0,M26/I26,"")</f>
        <v/>
      </c>
      <c r="O26" s="514">
        <f>IF(AND(J26&gt;0,ISNUMBER(M26)),M26/J26,"")</f>
        <v/>
      </c>
      <c r="P26" s="47" t="n"/>
      <c r="Q26" s="48" t="n"/>
      <c r="R26" s="5" t="inlineStr">
        <is>
          <t>ふわもちホテルロール３個</t>
        </is>
      </c>
      <c r="S26" s="5" t="inlineStr">
        <is>
          <t>ふわもちホテルロール８個入</t>
        </is>
      </c>
      <c r="T26" s="5" t="inlineStr">
        <is>
          <t>ふわもちホテルロール１６個</t>
        </is>
      </c>
      <c r="U26" s="5" t="inlineStr">
        <is>
          <t>Ｓふわもちホテルロール８個</t>
        </is>
      </c>
      <c r="V26" s="5" t="inlineStr">
        <is>
          <t>Ｓふわもちホテルロール１６</t>
        </is>
      </c>
      <c r="W26" s="5" t="inlineStr">
        <is>
          <t>ホテルロールＫＩＴ　４０個</t>
        </is>
      </c>
      <c r="X26">
        <f>COUNTA(R26:W26)</f>
        <v/>
      </c>
      <c r="Y26">
        <f>IF(AND($X26&gt;0,ISNUMBER($M26)),$M26/$X26,"")</f>
        <v/>
      </c>
      <c r="Z26">
        <f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>
        <f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/>
      </c>
      <c r="AB26">
        <f>IF(ISNUMBER($M26),$M26,0)</f>
        <v/>
      </c>
      <c r="AD26" s="413">
        <f>IF($R26="",0,IF($AA26&gt;0,$AB26*SUMIF(⑳商品別1食労務費!$C$5:$C$124,$R26,⑳商品別1食労務費!$F$5:$F$124)/$AA26,$AB26/$X26))</f>
        <v/>
      </c>
      <c r="AE26" s="413">
        <f>IF($S26="",0,IF($AA26&gt;0,$AB26*SUMIF(⑳商品別1食労務費!$C$5:$C$124,$S26,⑳商品別1食労務費!$F$5:$F$124)/$AA26,$AB26/$X26))</f>
        <v/>
      </c>
      <c r="AF26" s="413">
        <f>IF($T26="",0,IF($AA26&gt;0,$AB26*SUMIF(⑳商品別1食労務費!$C$5:$C$124,$T26,⑳商品別1食労務費!$F$5:$F$124)/$AA26,$AB26/$X26))</f>
        <v/>
      </c>
      <c r="AG26" s="413">
        <f>IF($U26="",0,IF($AA26&gt;0,$AB26*SUMIF(⑳商品別1食労務費!$C$5:$C$124,$U26,⑳商品別1食労務費!$F$5:$F$124)/$AA26,$AB26/$X26))</f>
        <v/>
      </c>
      <c r="AH26" s="413">
        <f>IF($V26="",0,IF($AA26&gt;0,$AB26*SUMIF(⑳商品別1食労務費!$C$5:$C$124,$V26,⑳商品別1食労務費!$F$5:$F$124)/$AA26,$AB26/$X26))</f>
        <v/>
      </c>
      <c r="AI26" s="413">
        <f>IF($W26="",0,IF($AA26&gt;0,$AB26*SUMIF(⑳商品別1食労務費!$C$5:$C$124,$W26,⑳商品別1食労務費!$F$5:$F$124)/$AA26,$AB26/$X26))</f>
        <v/>
      </c>
    </row>
    <row r="27" ht="16" customHeight="1" s="438">
      <c r="A27" s="44" t="n">
        <v>23</v>
      </c>
      <c r="B27" s="45" t="inlineStr">
        <is>
          <t>スチコン</t>
        </is>
      </c>
      <c r="C27" s="5" t="inlineStr">
        <is>
          <t>ホテルロール</t>
        </is>
      </c>
      <c r="D27" s="411" t="n">
        <v>0.1777777777777778</v>
      </c>
      <c r="E27" s="411" t="n">
        <v>0.1916666666666667</v>
      </c>
      <c r="F27" s="46" t="n">
        <v>5</v>
      </c>
      <c r="G27" s="7" t="n">
        <v>15</v>
      </c>
      <c r="H27" s="7" t="n">
        <v>2</v>
      </c>
      <c r="I27" s="7" t="n">
        <v>16</v>
      </c>
      <c r="J27" s="7" t="n"/>
      <c r="K27" s="513">
        <f>IF(F27&gt;0,I27/(F27/60),0)</f>
        <v/>
      </c>
      <c r="L27" s="514">
        <f>IF(AND(ISNUMBER(F27),J27&gt;0),J27/(F27/60),"")</f>
        <v/>
      </c>
      <c r="M27" s="9">
        <f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513">
        <f>IF(I27&gt;0,M27/I27,"")</f>
        <v/>
      </c>
      <c r="O27" s="514">
        <f>IF(AND(J27&gt;0,ISNUMBER(M27)),M27/J27,"")</f>
        <v/>
      </c>
      <c r="P27" s="47" t="n"/>
      <c r="Q27" s="48" t="n"/>
      <c r="R27" s="5" t="inlineStr">
        <is>
          <t>ふわもちホテルロール３個</t>
        </is>
      </c>
      <c r="S27" s="5" t="inlineStr">
        <is>
          <t>ふわもちホテルロール８個入</t>
        </is>
      </c>
      <c r="T27" s="5" t="inlineStr">
        <is>
          <t>ふわもちホテルロール１６個</t>
        </is>
      </c>
      <c r="U27" s="5" t="inlineStr">
        <is>
          <t>Ｓふわもちホテルロール８個</t>
        </is>
      </c>
      <c r="V27" s="5" t="inlineStr">
        <is>
          <t>Ｓふわもちホテルロール１６</t>
        </is>
      </c>
      <c r="W27" s="5" t="inlineStr">
        <is>
          <t>ホテルロールＫＩＴ　４０個</t>
        </is>
      </c>
      <c r="X27">
        <f>COUNTA(R27:W27)</f>
        <v/>
      </c>
      <c r="Y27">
        <f>IF(AND($X27&gt;0,ISNUMBER($M27)),$M27/$X27,"")</f>
        <v/>
      </c>
      <c r="Z27">
        <f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>
        <f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/>
      </c>
      <c r="AB27">
        <f>IF(ISNUMBER($M27),$M27,0)</f>
        <v/>
      </c>
      <c r="AD27" s="413">
        <f>IF($R27="",0,IF($AA27&gt;0,$AB27*SUMIF(⑳商品別1食労務費!$C$5:$C$124,$R27,⑳商品別1食労務費!$F$5:$F$124)/$AA27,$AB27/$X27))</f>
        <v/>
      </c>
      <c r="AE27" s="413">
        <f>IF($S27="",0,IF($AA27&gt;0,$AB27*SUMIF(⑳商品別1食労務費!$C$5:$C$124,$S27,⑳商品別1食労務費!$F$5:$F$124)/$AA27,$AB27/$X27))</f>
        <v/>
      </c>
      <c r="AF27" s="413">
        <f>IF($T27="",0,IF($AA27&gt;0,$AB27*SUMIF(⑳商品別1食労務費!$C$5:$C$124,$T27,⑳商品別1食労務費!$F$5:$F$124)/$AA27,$AB27/$X27))</f>
        <v/>
      </c>
      <c r="AG27" s="413">
        <f>IF($U27="",0,IF($AA27&gt;0,$AB27*SUMIF(⑳商品別1食労務費!$C$5:$C$124,$U27,⑳商品別1食労務費!$F$5:$F$124)/$AA27,$AB27/$X27))</f>
        <v/>
      </c>
      <c r="AH27" s="413">
        <f>IF($V27="",0,IF($AA27&gt;0,$AB27*SUMIF(⑳商品別1食労務費!$C$5:$C$124,$V27,⑳商品別1食労務費!$F$5:$F$124)/$AA27,$AB27/$X27))</f>
        <v/>
      </c>
      <c r="AI27" s="413">
        <f>IF($W27="",0,IF($AA27&gt;0,$AB27*SUMIF(⑳商品別1食労務費!$C$5:$C$124,$W27,⑳商品別1食労務費!$F$5:$F$124)/$AA27,$AB27/$X27))</f>
        <v/>
      </c>
    </row>
    <row r="28" ht="16" customHeight="1" s="438">
      <c r="A28" s="44" t="n">
        <v>24</v>
      </c>
      <c r="B28" s="45" t="inlineStr">
        <is>
          <t>スチコン</t>
        </is>
      </c>
      <c r="C28" s="5" t="inlineStr">
        <is>
          <t>ホテルロール</t>
        </is>
      </c>
      <c r="D28" s="411" t="n">
        <v>0.1916666666666667</v>
      </c>
      <c r="E28" s="411" t="n">
        <v>0.2055555555555555</v>
      </c>
      <c r="F28" s="46" t="n">
        <v>5</v>
      </c>
      <c r="G28" s="7" t="n">
        <v>15</v>
      </c>
      <c r="H28" s="7" t="n">
        <v>2</v>
      </c>
      <c r="I28" s="7" t="n">
        <v>16</v>
      </c>
      <c r="J28" s="7" t="n"/>
      <c r="K28" s="513">
        <f>IF(F28&gt;0,I28/(F28/60),0)</f>
        <v/>
      </c>
      <c r="L28" s="514">
        <f>IF(AND(ISNUMBER(F28),J28&gt;0),J28/(F28/60),"")</f>
        <v/>
      </c>
      <c r="M28" s="9">
        <f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513">
        <f>IF(I28&gt;0,M28/I28,"")</f>
        <v/>
      </c>
      <c r="O28" s="514">
        <f>IF(AND(J28&gt;0,ISNUMBER(M28)),M28/J28,"")</f>
        <v/>
      </c>
      <c r="P28" s="47" t="n"/>
      <c r="Q28" s="48" t="n"/>
      <c r="R28" s="5" t="inlineStr">
        <is>
          <t>ふわもちホテルロール３個</t>
        </is>
      </c>
      <c r="S28" s="5" t="inlineStr">
        <is>
          <t>ふわもちホテルロール８個入</t>
        </is>
      </c>
      <c r="T28" s="5" t="inlineStr">
        <is>
          <t>ふわもちホテルロール１６個</t>
        </is>
      </c>
      <c r="U28" s="5" t="inlineStr">
        <is>
          <t>Ｓふわもちホテルロール８個</t>
        </is>
      </c>
      <c r="V28" s="5" t="inlineStr">
        <is>
          <t>Ｓふわもちホテルロール１６</t>
        </is>
      </c>
      <c r="W28" s="5" t="inlineStr">
        <is>
          <t>ホテルロールＫＩＴ　４０個</t>
        </is>
      </c>
      <c r="X28">
        <f>COUNTA(R28:W28)</f>
        <v/>
      </c>
      <c r="Y28">
        <f>IF(AND($X28&gt;0,ISNUMBER($M28)),$M28/$X28,"")</f>
        <v/>
      </c>
      <c r="Z28">
        <f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>
        <f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/>
      </c>
      <c r="AB28">
        <f>IF(ISNUMBER($M28),$M28,0)</f>
        <v/>
      </c>
      <c r="AD28" s="413">
        <f>IF($R28="",0,IF($AA28&gt;0,$AB28*SUMIF(⑳商品別1食労務費!$C$5:$C$124,$R28,⑳商品別1食労務費!$F$5:$F$124)/$AA28,$AB28/$X28))</f>
        <v/>
      </c>
      <c r="AE28" s="413">
        <f>IF($S28="",0,IF($AA28&gt;0,$AB28*SUMIF(⑳商品別1食労務費!$C$5:$C$124,$S28,⑳商品別1食労務費!$F$5:$F$124)/$AA28,$AB28/$X28))</f>
        <v/>
      </c>
      <c r="AF28" s="413">
        <f>IF($T28="",0,IF($AA28&gt;0,$AB28*SUMIF(⑳商品別1食労務費!$C$5:$C$124,$T28,⑳商品別1食労務費!$F$5:$F$124)/$AA28,$AB28/$X28))</f>
        <v/>
      </c>
      <c r="AG28" s="413">
        <f>IF($U28="",0,IF($AA28&gt;0,$AB28*SUMIF(⑳商品別1食労務費!$C$5:$C$124,$U28,⑳商品別1食労務費!$F$5:$F$124)/$AA28,$AB28/$X28))</f>
        <v/>
      </c>
      <c r="AH28" s="413">
        <f>IF($V28="",0,IF($AA28&gt;0,$AB28*SUMIF(⑳商品別1食労務費!$C$5:$C$124,$V28,⑳商品別1食労務費!$F$5:$F$124)/$AA28,$AB28/$X28))</f>
        <v/>
      </c>
      <c r="AI28" s="413">
        <f>IF($W28="",0,IF($AA28&gt;0,$AB28*SUMIF(⑳商品別1食労務費!$C$5:$C$124,$W28,⑳商品別1食労務費!$F$5:$F$124)/$AA28,$AB28/$X28))</f>
        <v/>
      </c>
    </row>
    <row r="29" ht="16" customHeight="1" s="438">
      <c r="A29" s="12" t="n">
        <v>25</v>
      </c>
      <c r="B29" s="49" t="inlineStr">
        <is>
          <t>スチコン</t>
        </is>
      </c>
      <c r="C29" s="5" t="inlineStr">
        <is>
          <t>ホテルロール</t>
        </is>
      </c>
      <c r="D29" s="411" t="n">
        <v>0.2055555555555555</v>
      </c>
      <c r="E29" s="411" t="n">
        <v>0.2194444444444444</v>
      </c>
      <c r="F29" s="14" t="n">
        <v>5</v>
      </c>
      <c r="G29" s="12" t="n">
        <v>15</v>
      </c>
      <c r="H29" s="12" t="n">
        <v>2</v>
      </c>
      <c r="I29" s="12" t="n">
        <v>16</v>
      </c>
      <c r="J29" s="12" t="n"/>
      <c r="K29" s="12" t="inlineStr">
        <is>
          <t>-</t>
        </is>
      </c>
      <c r="L29" s="515">
        <f>IF(AND(ISNUMBER(F29),J29&gt;0),J29/(F29/60),"")</f>
        <v/>
      </c>
      <c r="M29" s="12">
        <f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12" t="inlineStr">
        <is>
          <t>-</t>
        </is>
      </c>
      <c r="O29" s="515">
        <f>IF(AND(J29&gt;0,ISNUMBER(M29)),M29/J29,"")</f>
        <v/>
      </c>
      <c r="P29" s="15" t="n"/>
      <c r="Q29" s="16" t="n"/>
      <c r="R29" s="5" t="inlineStr">
        <is>
          <t>ふわもちホテルロール３個</t>
        </is>
      </c>
      <c r="S29" s="5" t="inlineStr">
        <is>
          <t>ふわもちホテルロール８個入</t>
        </is>
      </c>
      <c r="T29" s="5" t="inlineStr">
        <is>
          <t>ふわもちホテルロール１６個</t>
        </is>
      </c>
      <c r="U29" s="5" t="inlineStr">
        <is>
          <t>Ｓふわもちホテルロール８個</t>
        </is>
      </c>
      <c r="V29" s="5" t="inlineStr">
        <is>
          <t>Ｓふわもちホテルロール１６</t>
        </is>
      </c>
      <c r="W29" s="5" t="inlineStr">
        <is>
          <t>ホテルロールＫＩＴ　４０個</t>
        </is>
      </c>
      <c r="X29">
        <f>COUNTA(R29:W29)</f>
        <v/>
      </c>
      <c r="Y29">
        <f>IF(AND($X29&gt;0,ISNUMBER($M29)),$M29/$X29,"")</f>
        <v/>
      </c>
      <c r="Z29">
        <f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>
        <f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/>
      </c>
      <c r="AB29">
        <f>IF(ISNUMBER($M29),$M29,0)</f>
        <v/>
      </c>
      <c r="AD29" s="413">
        <f>IF($R29="",0,IF($AA29&gt;0,$AB29*SUMIF(⑳商品別1食労務費!$C$5:$C$124,$R29,⑳商品別1食労務費!$F$5:$F$124)/$AA29,$AB29/$X29))</f>
        <v/>
      </c>
      <c r="AE29" s="413">
        <f>IF($S29="",0,IF($AA29&gt;0,$AB29*SUMIF(⑳商品別1食労務費!$C$5:$C$124,$S29,⑳商品別1食労務費!$F$5:$F$124)/$AA29,$AB29/$X29))</f>
        <v/>
      </c>
      <c r="AF29" s="413">
        <f>IF($T29="",0,IF($AA29&gt;0,$AB29*SUMIF(⑳商品別1食労務費!$C$5:$C$124,$T29,⑳商品別1食労務費!$F$5:$F$124)/$AA29,$AB29/$X29))</f>
        <v/>
      </c>
      <c r="AG29" s="413">
        <f>IF($U29="",0,IF($AA29&gt;0,$AB29*SUMIF(⑳商品別1食労務費!$C$5:$C$124,$U29,⑳商品別1食労務費!$F$5:$F$124)/$AA29,$AB29/$X29))</f>
        <v/>
      </c>
      <c r="AH29" s="413">
        <f>IF($V29="",0,IF($AA29&gt;0,$AB29*SUMIF(⑳商品別1食労務費!$C$5:$C$124,$V29,⑳商品別1食労務費!$F$5:$F$124)/$AA29,$AB29/$X29))</f>
        <v/>
      </c>
      <c r="AI29" s="413">
        <f>IF($W29="",0,IF($AA29&gt;0,$AB29*SUMIF(⑳商品別1食労務費!$C$5:$C$124,$W29,⑳商品別1食労務費!$F$5:$F$124)/$AA29,$AB29/$X29))</f>
        <v/>
      </c>
    </row>
    <row r="30" ht="16" customHeight="1" s="438">
      <c r="A30" s="44" t="n">
        <v>26</v>
      </c>
      <c r="B30" s="45" t="inlineStr">
        <is>
          <t>スチコン</t>
        </is>
      </c>
      <c r="C30" s="5" t="inlineStr">
        <is>
          <t>ホテルロール</t>
        </is>
      </c>
      <c r="D30" s="411" t="n">
        <v>0.2194444444444444</v>
      </c>
      <c r="E30" s="411" t="n">
        <v>0.2333333333333333</v>
      </c>
      <c r="F30" s="46" t="n">
        <v>5</v>
      </c>
      <c r="G30" s="7" t="n">
        <v>15</v>
      </c>
      <c r="H30" s="7" t="n">
        <v>2</v>
      </c>
      <c r="I30" s="7" t="n">
        <v>16</v>
      </c>
      <c r="J30" s="7" t="n"/>
      <c r="K30" s="513">
        <f>IF(F30&gt;0,I30/(F30/60),0)</f>
        <v/>
      </c>
      <c r="L30" s="514">
        <f>IF(AND(ISNUMBER(F30),J30&gt;0),J30/(F30/60),"")</f>
        <v/>
      </c>
      <c r="M30" s="9">
        <f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513">
        <f>IF(I30&gt;0,M30/I30,"")</f>
        <v/>
      </c>
      <c r="O30" s="514">
        <f>IF(AND(J30&gt;0,ISNUMBER(M30)),M30/J30,"")</f>
        <v/>
      </c>
      <c r="P30" s="47" t="n"/>
      <c r="Q30" s="48" t="n"/>
      <c r="R30" s="5" t="inlineStr">
        <is>
          <t>ふわもちホテルロール３個</t>
        </is>
      </c>
      <c r="S30" s="5" t="inlineStr">
        <is>
          <t>ふわもちホテルロール８個入</t>
        </is>
      </c>
      <c r="T30" s="5" t="inlineStr">
        <is>
          <t>ふわもちホテルロール１６個</t>
        </is>
      </c>
      <c r="U30" s="5" t="inlineStr">
        <is>
          <t>Ｓふわもちホテルロール８個</t>
        </is>
      </c>
      <c r="V30" s="5" t="inlineStr">
        <is>
          <t>Ｓふわもちホテルロール１６</t>
        </is>
      </c>
      <c r="W30" s="5" t="inlineStr">
        <is>
          <t>ホテルロールＫＩＴ　４０個</t>
        </is>
      </c>
      <c r="X30">
        <f>COUNTA(R30:W30)</f>
        <v/>
      </c>
      <c r="Y30">
        <f>IF(AND($X30&gt;0,ISNUMBER($M30)),$M30/$X30,"")</f>
        <v/>
      </c>
      <c r="Z30">
        <f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>
        <f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/>
      </c>
      <c r="AB30">
        <f>IF(ISNUMBER($M30),$M30,0)</f>
        <v/>
      </c>
      <c r="AD30" s="413">
        <f>IF($R30="",0,IF($AA30&gt;0,$AB30*SUMIF(⑳商品別1食労務費!$C$5:$C$124,$R30,⑳商品別1食労務費!$F$5:$F$124)/$AA30,$AB30/$X30))</f>
        <v/>
      </c>
      <c r="AE30" s="413">
        <f>IF($S30="",0,IF($AA30&gt;0,$AB30*SUMIF(⑳商品別1食労務費!$C$5:$C$124,$S30,⑳商品別1食労務費!$F$5:$F$124)/$AA30,$AB30/$X30))</f>
        <v/>
      </c>
      <c r="AF30" s="413">
        <f>IF($T30="",0,IF($AA30&gt;0,$AB30*SUMIF(⑳商品別1食労務費!$C$5:$C$124,$T30,⑳商品別1食労務費!$F$5:$F$124)/$AA30,$AB30/$X30))</f>
        <v/>
      </c>
      <c r="AG30" s="413">
        <f>IF($U30="",0,IF($AA30&gt;0,$AB30*SUMIF(⑳商品別1食労務費!$C$5:$C$124,$U30,⑳商品別1食労務費!$F$5:$F$124)/$AA30,$AB30/$X30))</f>
        <v/>
      </c>
      <c r="AH30" s="413">
        <f>IF($V30="",0,IF($AA30&gt;0,$AB30*SUMIF(⑳商品別1食労務費!$C$5:$C$124,$V30,⑳商品別1食労務費!$F$5:$F$124)/$AA30,$AB30/$X30))</f>
        <v/>
      </c>
      <c r="AI30" s="413">
        <f>IF($W30="",0,IF($AA30&gt;0,$AB30*SUMIF(⑳商品別1食労務費!$C$5:$C$124,$W30,⑳商品別1食労務費!$F$5:$F$124)/$AA30,$AB30/$X30))</f>
        <v/>
      </c>
    </row>
    <row r="31" ht="16" customHeight="1" s="438">
      <c r="A31" s="44" t="n">
        <v>27</v>
      </c>
      <c r="B31" s="45" t="inlineStr">
        <is>
          <t>スチコン</t>
        </is>
      </c>
      <c r="C31" s="5" t="inlineStr">
        <is>
          <t>ホテルロール</t>
        </is>
      </c>
      <c r="D31" s="411" t="n">
        <v>0.2333333333333333</v>
      </c>
      <c r="E31" s="411" t="n">
        <v>0.2472222222222222</v>
      </c>
      <c r="F31" s="46" t="n">
        <v>5</v>
      </c>
      <c r="G31" s="7" t="n">
        <v>15</v>
      </c>
      <c r="H31" s="7" t="n">
        <v>2</v>
      </c>
      <c r="I31" s="7" t="n">
        <v>16</v>
      </c>
      <c r="J31" s="7" t="n"/>
      <c r="K31" s="513">
        <f>IF(F31&gt;0,I31/(F31/60),0)</f>
        <v/>
      </c>
      <c r="L31" s="514">
        <f>IF(AND(ISNUMBER(F31),J31&gt;0),J31/(F31/60),"")</f>
        <v/>
      </c>
      <c r="M31" s="9">
        <f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513">
        <f>IF(I31&gt;0,M31/I31,"")</f>
        <v/>
      </c>
      <c r="O31" s="514">
        <f>IF(AND(J31&gt;0,ISNUMBER(M31)),M31/J31,"")</f>
        <v/>
      </c>
      <c r="P31" s="47" t="n"/>
      <c r="Q31" s="48" t="n"/>
      <c r="R31" s="5" t="inlineStr">
        <is>
          <t>ふわもちホテルロール３個</t>
        </is>
      </c>
      <c r="S31" s="5" t="inlineStr">
        <is>
          <t>ふわもちホテルロール８個入</t>
        </is>
      </c>
      <c r="T31" s="5" t="inlineStr">
        <is>
          <t>ふわもちホテルロール１６個</t>
        </is>
      </c>
      <c r="U31" s="5" t="inlineStr">
        <is>
          <t>Ｓふわもちホテルロール８個</t>
        </is>
      </c>
      <c r="V31" s="5" t="inlineStr">
        <is>
          <t>Ｓふわもちホテルロール１６</t>
        </is>
      </c>
      <c r="W31" s="5" t="inlineStr">
        <is>
          <t>ホテルロールＫＩＴ　４０個</t>
        </is>
      </c>
      <c r="X31">
        <f>COUNTA(R31:W31)</f>
        <v/>
      </c>
      <c r="Y31">
        <f>IF(AND($X31&gt;0,ISNUMBER($M31)),$M31/$X31,"")</f>
        <v/>
      </c>
      <c r="Z31">
        <f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>
        <f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/>
      </c>
      <c r="AB31">
        <f>IF(ISNUMBER($M31),$M31,0)</f>
        <v/>
      </c>
      <c r="AD31" s="413">
        <f>IF($R31="",0,IF($AA31&gt;0,$AB31*SUMIF(⑳商品別1食労務費!$C$5:$C$124,$R31,⑳商品別1食労務費!$F$5:$F$124)/$AA31,$AB31/$X31))</f>
        <v/>
      </c>
      <c r="AE31" s="413">
        <f>IF($S31="",0,IF($AA31&gt;0,$AB31*SUMIF(⑳商品別1食労務費!$C$5:$C$124,$S31,⑳商品別1食労務費!$F$5:$F$124)/$AA31,$AB31/$X31))</f>
        <v/>
      </c>
      <c r="AF31" s="413">
        <f>IF($T31="",0,IF($AA31&gt;0,$AB31*SUMIF(⑳商品別1食労務費!$C$5:$C$124,$T31,⑳商品別1食労務費!$F$5:$F$124)/$AA31,$AB31/$X31))</f>
        <v/>
      </c>
      <c r="AG31" s="413">
        <f>IF($U31="",0,IF($AA31&gt;0,$AB31*SUMIF(⑳商品別1食労務費!$C$5:$C$124,$U31,⑳商品別1食労務費!$F$5:$F$124)/$AA31,$AB31/$X31))</f>
        <v/>
      </c>
      <c r="AH31" s="413">
        <f>IF($V31="",0,IF($AA31&gt;0,$AB31*SUMIF(⑳商品別1食労務費!$C$5:$C$124,$V31,⑳商品別1食労務費!$F$5:$F$124)/$AA31,$AB31/$X31))</f>
        <v/>
      </c>
      <c r="AI31" s="413">
        <f>IF($W31="",0,IF($AA31&gt;0,$AB31*SUMIF(⑳商品別1食労務費!$C$5:$C$124,$W31,⑳商品別1食労務費!$F$5:$F$124)/$AA31,$AB31/$X31))</f>
        <v/>
      </c>
    </row>
    <row r="32" ht="16" customHeight="1" s="438">
      <c r="A32" s="44" t="n">
        <v>28</v>
      </c>
      <c r="B32" s="45" t="inlineStr">
        <is>
          <t>スチコン</t>
        </is>
      </c>
      <c r="C32" s="5" t="inlineStr">
        <is>
          <t>ホテルロール</t>
        </is>
      </c>
      <c r="D32" s="411" t="n">
        <v>0.2472222222222222</v>
      </c>
      <c r="E32" s="411" t="n">
        <v>0.2611111111111111</v>
      </c>
      <c r="F32" s="46" t="n">
        <v>5</v>
      </c>
      <c r="G32" s="7" t="n">
        <v>15</v>
      </c>
      <c r="H32" s="7" t="n">
        <v>2</v>
      </c>
      <c r="I32" s="7" t="n">
        <v>16</v>
      </c>
      <c r="J32" s="7" t="n"/>
      <c r="K32" s="513">
        <f>IF(F32&gt;0,I32/(F32/60),0)</f>
        <v/>
      </c>
      <c r="L32" s="514">
        <f>IF(AND(ISNUMBER(F32),J32&gt;0),J32/(F32/60),"")</f>
        <v/>
      </c>
      <c r="M32" s="9">
        <f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513">
        <f>IF(I32&gt;0,M32/I32,"")</f>
        <v/>
      </c>
      <c r="O32" s="514">
        <f>IF(AND(J32&gt;0,ISNUMBER(M32)),M32/J32,"")</f>
        <v/>
      </c>
      <c r="P32" s="47" t="n"/>
      <c r="Q32" s="48" t="n"/>
      <c r="R32" s="5" t="inlineStr">
        <is>
          <t>ふわもちホテルロール３個</t>
        </is>
      </c>
      <c r="S32" s="5" t="inlineStr">
        <is>
          <t>ふわもちホテルロール８個入</t>
        </is>
      </c>
      <c r="T32" s="5" t="inlineStr">
        <is>
          <t>ふわもちホテルロール１６個</t>
        </is>
      </c>
      <c r="U32" s="5" t="inlineStr">
        <is>
          <t>Ｓふわもちホテルロール８個</t>
        </is>
      </c>
      <c r="V32" s="5" t="inlineStr">
        <is>
          <t>Ｓふわもちホテルロール１６</t>
        </is>
      </c>
      <c r="W32" s="5" t="inlineStr">
        <is>
          <t>ホテルロールＫＩＴ　４０個</t>
        </is>
      </c>
      <c r="X32">
        <f>COUNTA(R32:W32)</f>
        <v/>
      </c>
      <c r="Y32">
        <f>IF(AND($X32&gt;0,ISNUMBER($M32)),$M32/$X32,"")</f>
        <v/>
      </c>
      <c r="Z32">
        <f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>
        <f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/>
      </c>
      <c r="AB32">
        <f>IF(ISNUMBER($M32),$M32,0)</f>
        <v/>
      </c>
      <c r="AD32" s="413">
        <f>IF($R32="",0,IF($AA32&gt;0,$AB32*SUMIF(⑳商品別1食労務費!$C$5:$C$124,$R32,⑳商品別1食労務費!$F$5:$F$124)/$AA32,$AB32/$X32))</f>
        <v/>
      </c>
      <c r="AE32" s="413">
        <f>IF($S32="",0,IF($AA32&gt;0,$AB32*SUMIF(⑳商品別1食労務費!$C$5:$C$124,$S32,⑳商品別1食労務費!$F$5:$F$124)/$AA32,$AB32/$X32))</f>
        <v/>
      </c>
      <c r="AF32" s="413">
        <f>IF($T32="",0,IF($AA32&gt;0,$AB32*SUMIF(⑳商品別1食労務費!$C$5:$C$124,$T32,⑳商品別1食労務費!$F$5:$F$124)/$AA32,$AB32/$X32))</f>
        <v/>
      </c>
      <c r="AG32" s="413">
        <f>IF($U32="",0,IF($AA32&gt;0,$AB32*SUMIF(⑳商品別1食労務費!$C$5:$C$124,$U32,⑳商品別1食労務費!$F$5:$F$124)/$AA32,$AB32/$X32))</f>
        <v/>
      </c>
      <c r="AH32" s="413">
        <f>IF($V32="",0,IF($AA32&gt;0,$AB32*SUMIF(⑳商品別1食労務費!$C$5:$C$124,$V32,⑳商品別1食労務費!$F$5:$F$124)/$AA32,$AB32/$X32))</f>
        <v/>
      </c>
      <c r="AI32" s="413">
        <f>IF($W32="",0,IF($AA32&gt;0,$AB32*SUMIF(⑳商品別1食労務費!$C$5:$C$124,$W32,⑳商品別1食労務費!$F$5:$F$124)/$AA32,$AB32/$X32))</f>
        <v/>
      </c>
    </row>
    <row r="33" ht="16" customHeight="1" s="438">
      <c r="A33" s="44" t="n">
        <v>29</v>
      </c>
      <c r="B33" s="45" t="inlineStr">
        <is>
          <t>スチコン</t>
        </is>
      </c>
      <c r="C33" s="5" t="inlineStr">
        <is>
          <t>ホテルロール</t>
        </is>
      </c>
      <c r="D33" s="411" t="n">
        <v>0.2611111111111111</v>
      </c>
      <c r="E33" s="411" t="n">
        <v>0.275</v>
      </c>
      <c r="F33" s="46" t="n">
        <v>5</v>
      </c>
      <c r="G33" s="7" t="n">
        <v>15</v>
      </c>
      <c r="H33" s="7" t="n">
        <v>2</v>
      </c>
      <c r="I33" s="7" t="n">
        <v>16</v>
      </c>
      <c r="J33" s="7" t="n"/>
      <c r="K33" s="513">
        <f>IF(F33&gt;0,I33/(F33/60),0)</f>
        <v/>
      </c>
      <c r="L33" s="514">
        <f>IF(AND(ISNUMBER(F33),J33&gt;0),J33/(F33/60),"")</f>
        <v/>
      </c>
      <c r="M33" s="9">
        <f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513">
        <f>IF(I33&gt;0,M33/I33,"")</f>
        <v/>
      </c>
      <c r="O33" s="514">
        <f>IF(AND(J33&gt;0,ISNUMBER(M33)),M33/J33,"")</f>
        <v/>
      </c>
      <c r="P33" s="47" t="n"/>
      <c r="Q33" s="48" t="n"/>
      <c r="R33" s="5" t="inlineStr">
        <is>
          <t>ふわもちホテルロール３個</t>
        </is>
      </c>
      <c r="S33" s="5" t="inlineStr">
        <is>
          <t>ふわもちホテルロール８個入</t>
        </is>
      </c>
      <c r="T33" s="5" t="inlineStr">
        <is>
          <t>ふわもちホテルロール１６個</t>
        </is>
      </c>
      <c r="U33" s="5" t="inlineStr">
        <is>
          <t>Ｓふわもちホテルロール８個</t>
        </is>
      </c>
      <c r="V33" s="5" t="inlineStr">
        <is>
          <t>Ｓふわもちホテルロール１６</t>
        </is>
      </c>
      <c r="W33" s="5" t="inlineStr">
        <is>
          <t>ホテルロールＫＩＴ　４０個</t>
        </is>
      </c>
      <c r="X33">
        <f>COUNTA(R33:W33)</f>
        <v/>
      </c>
      <c r="Y33">
        <f>IF(AND($X33&gt;0,ISNUMBER($M33)),$M33/$X33,"")</f>
        <v/>
      </c>
      <c r="Z33">
        <f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>
        <f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/>
      </c>
      <c r="AB33">
        <f>IF(ISNUMBER($M33),$M33,0)</f>
        <v/>
      </c>
      <c r="AD33" s="413">
        <f>IF($R33="",0,IF($AA33&gt;0,$AB33*SUMIF(⑳商品別1食労務費!$C$5:$C$124,$R33,⑳商品別1食労務費!$F$5:$F$124)/$AA33,$AB33/$X33))</f>
        <v/>
      </c>
      <c r="AE33" s="413">
        <f>IF($S33="",0,IF($AA33&gt;0,$AB33*SUMIF(⑳商品別1食労務費!$C$5:$C$124,$S33,⑳商品別1食労務費!$F$5:$F$124)/$AA33,$AB33/$X33))</f>
        <v/>
      </c>
      <c r="AF33" s="413">
        <f>IF($T33="",0,IF($AA33&gt;0,$AB33*SUMIF(⑳商品別1食労務費!$C$5:$C$124,$T33,⑳商品別1食労務費!$F$5:$F$124)/$AA33,$AB33/$X33))</f>
        <v/>
      </c>
      <c r="AG33" s="413">
        <f>IF($U33="",0,IF($AA33&gt;0,$AB33*SUMIF(⑳商品別1食労務費!$C$5:$C$124,$U33,⑳商品別1食労務費!$F$5:$F$124)/$AA33,$AB33/$X33))</f>
        <v/>
      </c>
      <c r="AH33" s="413">
        <f>IF($V33="",0,IF($AA33&gt;0,$AB33*SUMIF(⑳商品別1食労務費!$C$5:$C$124,$V33,⑳商品別1食労務費!$F$5:$F$124)/$AA33,$AB33/$X33))</f>
        <v/>
      </c>
      <c r="AI33" s="413">
        <f>IF($W33="",0,IF($AA33&gt;0,$AB33*SUMIF(⑳商品別1食労務費!$C$5:$C$124,$W33,⑳商品別1食労務費!$F$5:$F$124)/$AA33,$AB33/$X33))</f>
        <v/>
      </c>
    </row>
    <row r="34" ht="16" customHeight="1" s="438">
      <c r="A34" s="44" t="n">
        <v>30</v>
      </c>
      <c r="B34" s="45" t="inlineStr">
        <is>
          <t>スチコン</t>
        </is>
      </c>
      <c r="C34" s="5" t="inlineStr">
        <is>
          <t>ホテルロール</t>
        </is>
      </c>
      <c r="D34" s="411" t="n">
        <v>0.275</v>
      </c>
      <c r="E34" s="411" t="n">
        <v>0.2888888888888889</v>
      </c>
      <c r="F34" s="46" t="n">
        <v>5</v>
      </c>
      <c r="G34" s="7" t="n">
        <v>15</v>
      </c>
      <c r="H34" s="7" t="n">
        <v>2</v>
      </c>
      <c r="I34" s="7" t="n">
        <v>16</v>
      </c>
      <c r="J34" s="7" t="n"/>
      <c r="K34" s="513">
        <f>IF(F34&gt;0,I34/(F34/60),0)</f>
        <v/>
      </c>
      <c r="L34" s="514">
        <f>IF(AND(ISNUMBER(F34),J34&gt;0),J34/(F34/60),"")</f>
        <v/>
      </c>
      <c r="M34" s="9">
        <f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513">
        <f>IF(I34&gt;0,M34/I34,"")</f>
        <v/>
      </c>
      <c r="O34" s="514">
        <f>IF(AND(J34&gt;0,ISNUMBER(M34)),M34/J34,"")</f>
        <v/>
      </c>
      <c r="P34" s="47" t="n"/>
      <c r="Q34" s="48" t="n"/>
      <c r="R34" s="5" t="inlineStr">
        <is>
          <t>ふわもちホテルロール３個</t>
        </is>
      </c>
      <c r="S34" s="5" t="inlineStr">
        <is>
          <t>ふわもちホテルロール８個入</t>
        </is>
      </c>
      <c r="T34" s="5" t="inlineStr">
        <is>
          <t>ふわもちホテルロール１６個</t>
        </is>
      </c>
      <c r="U34" s="5" t="inlineStr">
        <is>
          <t>Ｓふわもちホテルロール８個</t>
        </is>
      </c>
      <c r="V34" s="5" t="inlineStr">
        <is>
          <t>Ｓふわもちホテルロール１６</t>
        </is>
      </c>
      <c r="W34" s="5" t="inlineStr">
        <is>
          <t>ホテルロールＫＩＴ　４０個</t>
        </is>
      </c>
      <c r="X34">
        <f>COUNTA(R34:W34)</f>
        <v/>
      </c>
      <c r="Y34">
        <f>IF(AND($X34&gt;0,ISNUMBER($M34)),$M34/$X34,"")</f>
        <v/>
      </c>
      <c r="Z34">
        <f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>
        <f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/>
      </c>
      <c r="AB34">
        <f>IF(ISNUMBER($M34),$M34,0)</f>
        <v/>
      </c>
      <c r="AD34" s="413">
        <f>IF($R34="",0,IF($AA34&gt;0,$AB34*SUMIF(⑳商品別1食労務費!$C$5:$C$124,$R34,⑳商品別1食労務費!$F$5:$F$124)/$AA34,$AB34/$X34))</f>
        <v/>
      </c>
      <c r="AE34" s="413">
        <f>IF($S34="",0,IF($AA34&gt;0,$AB34*SUMIF(⑳商品別1食労務費!$C$5:$C$124,$S34,⑳商品別1食労務費!$F$5:$F$124)/$AA34,$AB34/$X34))</f>
        <v/>
      </c>
      <c r="AF34" s="413">
        <f>IF($T34="",0,IF($AA34&gt;0,$AB34*SUMIF(⑳商品別1食労務費!$C$5:$C$124,$T34,⑳商品別1食労務費!$F$5:$F$124)/$AA34,$AB34/$X34))</f>
        <v/>
      </c>
      <c r="AG34" s="413">
        <f>IF($U34="",0,IF($AA34&gt;0,$AB34*SUMIF(⑳商品別1食労務費!$C$5:$C$124,$U34,⑳商品別1食労務費!$F$5:$F$124)/$AA34,$AB34/$X34))</f>
        <v/>
      </c>
      <c r="AH34" s="413">
        <f>IF($V34="",0,IF($AA34&gt;0,$AB34*SUMIF(⑳商品別1食労務費!$C$5:$C$124,$V34,⑳商品別1食労務費!$F$5:$F$124)/$AA34,$AB34/$X34))</f>
        <v/>
      </c>
      <c r="AI34" s="413">
        <f>IF($W34="",0,IF($AA34&gt;0,$AB34*SUMIF(⑳商品別1食労務費!$C$5:$C$124,$W34,⑳商品別1食労務費!$F$5:$F$124)/$AA34,$AB34/$X34))</f>
        <v/>
      </c>
    </row>
    <row r="35" ht="16" customHeight="1" s="438">
      <c r="A35" s="12" t="n">
        <v>31</v>
      </c>
      <c r="B35" s="49" t="inlineStr">
        <is>
          <t>スチコン</t>
        </is>
      </c>
      <c r="C35" s="5" t="inlineStr">
        <is>
          <t>ホテルロール</t>
        </is>
      </c>
      <c r="D35" s="411" t="n">
        <v>0.2888888888888889</v>
      </c>
      <c r="E35" s="411" t="n">
        <v>0.3027777777777778</v>
      </c>
      <c r="F35" s="14" t="n">
        <v>5</v>
      </c>
      <c r="G35" s="12" t="n">
        <v>15</v>
      </c>
      <c r="H35" s="12" t="n">
        <v>2</v>
      </c>
      <c r="I35" s="12" t="n">
        <v>16</v>
      </c>
      <c r="J35" s="12" t="n"/>
      <c r="K35" s="12" t="inlineStr">
        <is>
          <t>-</t>
        </is>
      </c>
      <c r="L35" s="515">
        <f>IF(AND(ISNUMBER(F35),J35&gt;0),J35/(F35/60),"")</f>
        <v/>
      </c>
      <c r="M35" s="12">
        <f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12" t="inlineStr">
        <is>
          <t>-</t>
        </is>
      </c>
      <c r="O35" s="515">
        <f>IF(AND(J35&gt;0,ISNUMBER(M35)),M35/J35,"")</f>
        <v/>
      </c>
      <c r="P35" s="15" t="n"/>
      <c r="Q35" s="16" t="n"/>
      <c r="R35" s="5" t="inlineStr">
        <is>
          <t>ふわもちホテルロール３個</t>
        </is>
      </c>
      <c r="S35" s="5" t="inlineStr">
        <is>
          <t>ふわもちホテルロール８個入</t>
        </is>
      </c>
      <c r="T35" s="5" t="inlineStr">
        <is>
          <t>ふわもちホテルロール１６個</t>
        </is>
      </c>
      <c r="U35" s="5" t="inlineStr">
        <is>
          <t>Ｓふわもちホテルロール８個</t>
        </is>
      </c>
      <c r="V35" s="5" t="inlineStr">
        <is>
          <t>Ｓふわもちホテルロール１６</t>
        </is>
      </c>
      <c r="W35" s="5" t="inlineStr">
        <is>
          <t>ホテルロールＫＩＴ　４０個</t>
        </is>
      </c>
      <c r="X35">
        <f>COUNTA(R35:W35)</f>
        <v/>
      </c>
      <c r="Y35">
        <f>IF(AND($X35&gt;0,ISNUMBER($M35)),$M35/$X35,"")</f>
        <v/>
      </c>
      <c r="Z35">
        <f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>
        <f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/>
      </c>
      <c r="AB35">
        <f>IF(ISNUMBER($M35),$M35,0)</f>
        <v/>
      </c>
      <c r="AD35" s="413">
        <f>IF($R35="",0,IF($AA35&gt;0,$AB35*SUMIF(⑳商品別1食労務費!$C$5:$C$124,$R35,⑳商品別1食労務費!$F$5:$F$124)/$AA35,$AB35/$X35))</f>
        <v/>
      </c>
      <c r="AE35" s="413">
        <f>IF($S35="",0,IF($AA35&gt;0,$AB35*SUMIF(⑳商品別1食労務費!$C$5:$C$124,$S35,⑳商品別1食労務費!$F$5:$F$124)/$AA35,$AB35/$X35))</f>
        <v/>
      </c>
      <c r="AF35" s="413">
        <f>IF($T35="",0,IF($AA35&gt;0,$AB35*SUMIF(⑳商品別1食労務費!$C$5:$C$124,$T35,⑳商品別1食労務費!$F$5:$F$124)/$AA35,$AB35/$X35))</f>
        <v/>
      </c>
      <c r="AG35" s="413">
        <f>IF($U35="",0,IF($AA35&gt;0,$AB35*SUMIF(⑳商品別1食労務費!$C$5:$C$124,$U35,⑳商品別1食労務費!$F$5:$F$124)/$AA35,$AB35/$X35))</f>
        <v/>
      </c>
      <c r="AH35" s="413">
        <f>IF($V35="",0,IF($AA35&gt;0,$AB35*SUMIF(⑳商品別1食労務費!$C$5:$C$124,$V35,⑳商品別1食労務費!$F$5:$F$124)/$AA35,$AB35/$X35))</f>
        <v/>
      </c>
      <c r="AI35" s="413">
        <f>IF($W35="",0,IF($AA35&gt;0,$AB35*SUMIF(⑳商品別1食労務費!$C$5:$C$124,$W35,⑳商品別1食労務費!$F$5:$F$124)/$AA35,$AB35/$X35))</f>
        <v/>
      </c>
    </row>
    <row r="36" ht="16" customHeight="1" s="438">
      <c r="A36" s="44" t="n">
        <v>32</v>
      </c>
      <c r="B36" s="45" t="inlineStr">
        <is>
          <t>スチコン</t>
        </is>
      </c>
      <c r="C36" s="5" t="inlineStr">
        <is>
          <t>ホテルロール</t>
        </is>
      </c>
      <c r="D36" s="411" t="n">
        <v>0.3027777777777778</v>
      </c>
      <c r="E36" s="411" t="n">
        <v>0.3166666666666667</v>
      </c>
      <c r="F36" s="46" t="n">
        <v>5</v>
      </c>
      <c r="G36" s="7" t="n">
        <v>15</v>
      </c>
      <c r="H36" s="7" t="n">
        <v>2</v>
      </c>
      <c r="I36" s="7" t="n">
        <v>16</v>
      </c>
      <c r="J36" s="7" t="n"/>
      <c r="K36" s="513">
        <f>IF(F36&gt;0,I36/(F36/60),0)</f>
        <v/>
      </c>
      <c r="L36" s="514">
        <f>IF(AND(ISNUMBER(F36),J36&gt;0),J36/(F36/60),"")</f>
        <v/>
      </c>
      <c r="M36" s="9">
        <f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513">
        <f>IF(I36&gt;0,M36/I36,"")</f>
        <v/>
      </c>
      <c r="O36" s="514">
        <f>IF(AND(J36&gt;0,ISNUMBER(M36)),M36/J36,"")</f>
        <v/>
      </c>
      <c r="P36" s="47" t="n"/>
      <c r="Q36" s="48" t="n"/>
      <c r="R36" s="5" t="inlineStr">
        <is>
          <t>ふわもちホテルロール３個</t>
        </is>
      </c>
      <c r="S36" s="5" t="inlineStr">
        <is>
          <t>ふわもちホテルロール８個入</t>
        </is>
      </c>
      <c r="T36" s="5" t="inlineStr">
        <is>
          <t>ふわもちホテルロール１６個</t>
        </is>
      </c>
      <c r="U36" s="5" t="inlineStr">
        <is>
          <t>Ｓふわもちホテルロール８個</t>
        </is>
      </c>
      <c r="V36" s="5" t="inlineStr">
        <is>
          <t>Ｓふわもちホテルロール１６</t>
        </is>
      </c>
      <c r="W36" s="5" t="inlineStr">
        <is>
          <t>ホテルロールＫＩＴ　４０個</t>
        </is>
      </c>
      <c r="X36">
        <f>COUNTA(R36:W36)</f>
        <v/>
      </c>
      <c r="Y36">
        <f>IF(AND($X36&gt;0,ISNUMBER($M36)),$M36/$X36,"")</f>
        <v/>
      </c>
      <c r="Z36">
        <f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/>
      </c>
      <c r="AA36">
        <f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/>
      </c>
      <c r="AB36">
        <f>IF(ISNUMBER($M36),$M36,0)</f>
        <v/>
      </c>
      <c r="AD36" s="413">
        <f>IF($R36="",0,IF($AA36&gt;0,$AB36*SUMIF(⑳商品別1食労務費!$C$5:$C$124,$R36,⑳商品別1食労務費!$F$5:$F$124)/$AA36,$AB36/$X36))</f>
        <v/>
      </c>
      <c r="AE36" s="413">
        <f>IF($S36="",0,IF($AA36&gt;0,$AB36*SUMIF(⑳商品別1食労務費!$C$5:$C$124,$S36,⑳商品別1食労務費!$F$5:$F$124)/$AA36,$AB36/$X36))</f>
        <v/>
      </c>
      <c r="AF36" s="413">
        <f>IF($T36="",0,IF($AA36&gt;0,$AB36*SUMIF(⑳商品別1食労務費!$C$5:$C$124,$T36,⑳商品別1食労務費!$F$5:$F$124)/$AA36,$AB36/$X36))</f>
        <v/>
      </c>
      <c r="AG36" s="413">
        <f>IF($U36="",0,IF($AA36&gt;0,$AB36*SUMIF(⑳商品別1食労務費!$C$5:$C$124,$U36,⑳商品別1食労務費!$F$5:$F$124)/$AA36,$AB36/$X36))</f>
        <v/>
      </c>
      <c r="AH36" s="413">
        <f>IF($V36="",0,IF($AA36&gt;0,$AB36*SUMIF(⑳商品別1食労務費!$C$5:$C$124,$V36,⑳商品別1食労務費!$F$5:$F$124)/$AA36,$AB36/$X36))</f>
        <v/>
      </c>
      <c r="AI36" s="413">
        <f>IF($W36="",0,IF($AA36&gt;0,$AB36*SUMIF(⑳商品別1食労務費!$C$5:$C$124,$W36,⑳商品別1食労務費!$F$5:$F$124)/$AA36,$AB36/$X36))</f>
        <v/>
      </c>
    </row>
    <row r="37" ht="16" customHeight="1" s="438">
      <c r="A37" s="44" t="n">
        <v>33</v>
      </c>
      <c r="B37" s="45" t="inlineStr">
        <is>
          <t>スチコン</t>
        </is>
      </c>
      <c r="C37" s="5" t="inlineStr">
        <is>
          <t>ホテルロール</t>
        </is>
      </c>
      <c r="D37" s="411" t="n">
        <v>0.3166666666666667</v>
      </c>
      <c r="E37" s="411" t="n">
        <v>0.3305555555555555</v>
      </c>
      <c r="F37" s="46" t="n">
        <v>5</v>
      </c>
      <c r="G37" s="7" t="n">
        <v>15</v>
      </c>
      <c r="H37" s="7" t="n">
        <v>2</v>
      </c>
      <c r="I37" s="7" t="n">
        <v>16</v>
      </c>
      <c r="J37" s="7" t="n"/>
      <c r="K37" s="513">
        <f>IF(F37&gt;0,I37/(F37/60),0)</f>
        <v/>
      </c>
      <c r="L37" s="514">
        <f>IF(AND(ISNUMBER(F37),J37&gt;0),J37/(F37/60),"")</f>
        <v/>
      </c>
      <c r="M37" s="9">
        <f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513">
        <f>IF(I37&gt;0,M37/I37,"")</f>
        <v/>
      </c>
      <c r="O37" s="514">
        <f>IF(AND(J37&gt;0,ISNUMBER(M37)),M37/J37,"")</f>
        <v/>
      </c>
      <c r="P37" s="47" t="n"/>
      <c r="Q37" s="48" t="n"/>
      <c r="R37" s="5" t="inlineStr">
        <is>
          <t>ふわもちホテルロール３個</t>
        </is>
      </c>
      <c r="S37" s="5" t="inlineStr">
        <is>
          <t>ふわもちホテルロール８個入</t>
        </is>
      </c>
      <c r="T37" s="5" t="inlineStr">
        <is>
          <t>ふわもちホテルロール１６個</t>
        </is>
      </c>
      <c r="U37" s="5" t="inlineStr">
        <is>
          <t>Ｓふわもちホテルロール８個</t>
        </is>
      </c>
      <c r="V37" s="5" t="inlineStr">
        <is>
          <t>Ｓふわもちホテルロール１６</t>
        </is>
      </c>
      <c r="W37" s="5" t="inlineStr">
        <is>
          <t>ホテルロールＫＩＴ　４０個</t>
        </is>
      </c>
      <c r="X37">
        <f>COUNTA(R37:W37)</f>
        <v/>
      </c>
      <c r="Y37">
        <f>IF(AND($X37&gt;0,ISNUMBER($M37)),$M37/$X37,"")</f>
        <v/>
      </c>
      <c r="Z37">
        <f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/>
      </c>
      <c r="AA37">
        <f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/>
      </c>
      <c r="AB37">
        <f>IF(ISNUMBER($M37),$M37,0)</f>
        <v/>
      </c>
      <c r="AD37" s="413">
        <f>IF($R37="",0,IF($AA37&gt;0,$AB37*SUMIF(⑳商品別1食労務費!$C$5:$C$124,$R37,⑳商品別1食労務費!$F$5:$F$124)/$AA37,$AB37/$X37))</f>
        <v/>
      </c>
      <c r="AE37" s="413">
        <f>IF($S37="",0,IF($AA37&gt;0,$AB37*SUMIF(⑳商品別1食労務費!$C$5:$C$124,$S37,⑳商品別1食労務費!$F$5:$F$124)/$AA37,$AB37/$X37))</f>
        <v/>
      </c>
      <c r="AF37" s="413">
        <f>IF($T37="",0,IF($AA37&gt;0,$AB37*SUMIF(⑳商品別1食労務費!$C$5:$C$124,$T37,⑳商品別1食労務費!$F$5:$F$124)/$AA37,$AB37/$X37))</f>
        <v/>
      </c>
      <c r="AG37" s="413">
        <f>IF($U37="",0,IF($AA37&gt;0,$AB37*SUMIF(⑳商品別1食労務費!$C$5:$C$124,$U37,⑳商品別1食労務費!$F$5:$F$124)/$AA37,$AB37/$X37))</f>
        <v/>
      </c>
      <c r="AH37" s="413">
        <f>IF($V37="",0,IF($AA37&gt;0,$AB37*SUMIF(⑳商品別1食労務費!$C$5:$C$124,$V37,⑳商品別1食労務費!$F$5:$F$124)/$AA37,$AB37/$X37))</f>
        <v/>
      </c>
      <c r="AI37" s="413">
        <f>IF($W37="",0,IF($AA37&gt;0,$AB37*SUMIF(⑳商品別1食労務費!$C$5:$C$124,$W37,⑳商品別1食労務費!$F$5:$F$124)/$AA37,$AB37/$X37))</f>
        <v/>
      </c>
    </row>
    <row r="38" ht="16" customHeight="1" s="438">
      <c r="A38" s="44" t="n">
        <v>34</v>
      </c>
      <c r="B38" s="45" t="inlineStr">
        <is>
          <t>スチコン</t>
        </is>
      </c>
      <c r="C38" s="5" t="inlineStr">
        <is>
          <t>ホテルロール</t>
        </is>
      </c>
      <c r="D38" s="411" t="n">
        <v>0.3305555555555555</v>
      </c>
      <c r="E38" s="411" t="n">
        <v>0.3444444444444444</v>
      </c>
      <c r="F38" s="46" t="n">
        <v>5</v>
      </c>
      <c r="G38" s="7" t="n">
        <v>15</v>
      </c>
      <c r="H38" s="7" t="n">
        <v>2</v>
      </c>
      <c r="I38" s="7" t="n">
        <v>16</v>
      </c>
      <c r="J38" s="7" t="n"/>
      <c r="K38" s="513">
        <f>IF(F38&gt;0,I38/(F38/60),0)</f>
        <v/>
      </c>
      <c r="L38" s="514">
        <f>IF(AND(ISNUMBER(F38),J38&gt;0),J38/(F38/60),"")</f>
        <v/>
      </c>
      <c r="M38" s="9">
        <f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513">
        <f>IF(I38&gt;0,M38/I38,"")</f>
        <v/>
      </c>
      <c r="O38" s="514">
        <f>IF(AND(J38&gt;0,ISNUMBER(M38)),M38/J38,"")</f>
        <v/>
      </c>
      <c r="P38" s="47" t="n"/>
      <c r="Q38" s="48" t="n"/>
      <c r="R38" s="5" t="inlineStr">
        <is>
          <t>ふわもちホテルロール３個</t>
        </is>
      </c>
      <c r="S38" s="5" t="inlineStr">
        <is>
          <t>ふわもちホテルロール８個入</t>
        </is>
      </c>
      <c r="T38" s="5" t="inlineStr">
        <is>
          <t>ふわもちホテルロール１６個</t>
        </is>
      </c>
      <c r="U38" s="5" t="inlineStr">
        <is>
          <t>Ｓふわもちホテルロール８個</t>
        </is>
      </c>
      <c r="V38" s="5" t="inlineStr">
        <is>
          <t>Ｓふわもちホテルロール１６</t>
        </is>
      </c>
      <c r="W38" s="5" t="inlineStr">
        <is>
          <t>ホテルロールＫＩＴ　４０個</t>
        </is>
      </c>
      <c r="X38">
        <f>COUNTA(R38:W38)</f>
        <v/>
      </c>
      <c r="Y38">
        <f>IF(AND($X38&gt;0,ISNUMBER($M38)),$M38/$X38,"")</f>
        <v/>
      </c>
      <c r="Z38">
        <f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/>
      </c>
      <c r="AA38">
        <f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/>
      </c>
      <c r="AB38">
        <f>IF(ISNUMBER($M38),$M38,0)</f>
        <v/>
      </c>
      <c r="AD38" s="413">
        <f>IF($R38="",0,IF($AA38&gt;0,$AB38*SUMIF(⑳商品別1食労務費!$C$5:$C$124,$R38,⑳商品別1食労務費!$F$5:$F$124)/$AA38,$AB38/$X38))</f>
        <v/>
      </c>
      <c r="AE38" s="413">
        <f>IF($S38="",0,IF($AA38&gt;0,$AB38*SUMIF(⑳商品別1食労務費!$C$5:$C$124,$S38,⑳商品別1食労務費!$F$5:$F$124)/$AA38,$AB38/$X38))</f>
        <v/>
      </c>
      <c r="AF38" s="413">
        <f>IF($T38="",0,IF($AA38&gt;0,$AB38*SUMIF(⑳商品別1食労務費!$C$5:$C$124,$T38,⑳商品別1食労務費!$F$5:$F$124)/$AA38,$AB38/$X38))</f>
        <v/>
      </c>
      <c r="AG38" s="413">
        <f>IF($U38="",0,IF($AA38&gt;0,$AB38*SUMIF(⑳商品別1食労務費!$C$5:$C$124,$U38,⑳商品別1食労務費!$F$5:$F$124)/$AA38,$AB38/$X38))</f>
        <v/>
      </c>
      <c r="AH38" s="413">
        <f>IF($V38="",0,IF($AA38&gt;0,$AB38*SUMIF(⑳商品別1食労務費!$C$5:$C$124,$V38,⑳商品別1食労務費!$F$5:$F$124)/$AA38,$AB38/$X38))</f>
        <v/>
      </c>
      <c r="AI38" s="413">
        <f>IF($W38="",0,IF($AA38&gt;0,$AB38*SUMIF(⑳商品別1食労務費!$C$5:$C$124,$W38,⑳商品別1食労務費!$F$5:$F$124)/$AA38,$AB38/$X38))</f>
        <v/>
      </c>
    </row>
    <row r="39" ht="16" customHeight="1" s="438">
      <c r="A39" s="50" t="n">
        <v>35</v>
      </c>
      <c r="B39" s="51" t="inlineStr">
        <is>
          <t>スチコン</t>
        </is>
      </c>
      <c r="C39" s="5" t="inlineStr">
        <is>
          <t>ホテルロール</t>
        </is>
      </c>
      <c r="D39" s="411" t="n">
        <v>0.3444444444444444</v>
      </c>
      <c r="E39" s="411" t="n">
        <v>0.3583333333333333</v>
      </c>
      <c r="F39" s="52" t="n">
        <v>5</v>
      </c>
      <c r="G39" s="7" t="n">
        <v>15</v>
      </c>
      <c r="H39" s="7" t="n">
        <v>2</v>
      </c>
      <c r="I39" s="7" t="n">
        <v>16</v>
      </c>
      <c r="J39" s="7" t="n"/>
      <c r="K39" s="513">
        <f>IF(F39&gt;0,I39/(F39/60),0)</f>
        <v/>
      </c>
      <c r="L39" s="514">
        <f>IF(AND(ISNUMBER(F39),J39&gt;0),J39/(F39/60),"")</f>
        <v/>
      </c>
      <c r="M39" s="9">
        <f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513">
        <f>IF(I39&gt;0,M39/I39,"")</f>
        <v/>
      </c>
      <c r="O39" s="514">
        <f>IF(AND(J39&gt;0,ISNUMBER(M39)),M39/J39,"")</f>
        <v/>
      </c>
      <c r="P39" s="53" t="n"/>
      <c r="Q39" s="54" t="n"/>
      <c r="R39" s="5" t="inlineStr">
        <is>
          <t>ふわもちホテルロール３個</t>
        </is>
      </c>
      <c r="S39" s="5" t="inlineStr">
        <is>
          <t>ふわもちホテルロール８個入</t>
        </is>
      </c>
      <c r="T39" s="5" t="inlineStr">
        <is>
          <t>ふわもちホテルロール１６個</t>
        </is>
      </c>
      <c r="U39" s="5" t="inlineStr">
        <is>
          <t>Ｓふわもちホテルロール８個</t>
        </is>
      </c>
      <c r="V39" s="5" t="inlineStr">
        <is>
          <t>Ｓふわもちホテルロール１６</t>
        </is>
      </c>
      <c r="W39" s="5" t="inlineStr">
        <is>
          <t>ホテルロールＫＩＴ　４０個</t>
        </is>
      </c>
      <c r="X39">
        <f>COUNTA(R39:W39)</f>
        <v/>
      </c>
      <c r="Y39">
        <f>IF(AND($X39&gt;0,ISNUMBER($M39)),$M39/$X39,"")</f>
        <v/>
      </c>
      <c r="Z39">
        <f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/>
      </c>
      <c r="AA39">
        <f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/>
      </c>
      <c r="AB39">
        <f>IF(ISNUMBER($M39),$M39,0)</f>
        <v/>
      </c>
      <c r="AD39" s="413">
        <f>IF($R39="",0,IF($AA39&gt;0,$AB39*SUMIF(⑳商品別1食労務費!$C$5:$C$124,$R39,⑳商品別1食労務費!$F$5:$F$124)/$AA39,$AB39/$X39))</f>
        <v/>
      </c>
      <c r="AE39" s="413">
        <f>IF($S39="",0,IF($AA39&gt;0,$AB39*SUMIF(⑳商品別1食労務費!$C$5:$C$124,$S39,⑳商品別1食労務費!$F$5:$F$124)/$AA39,$AB39/$X39))</f>
        <v/>
      </c>
      <c r="AF39" s="413">
        <f>IF($T39="",0,IF($AA39&gt;0,$AB39*SUMIF(⑳商品別1食労務費!$C$5:$C$124,$T39,⑳商品別1食労務費!$F$5:$F$124)/$AA39,$AB39/$X39))</f>
        <v/>
      </c>
      <c r="AG39" s="413">
        <f>IF($U39="",0,IF($AA39&gt;0,$AB39*SUMIF(⑳商品別1食労務費!$C$5:$C$124,$U39,⑳商品別1食労務費!$F$5:$F$124)/$AA39,$AB39/$X39))</f>
        <v/>
      </c>
      <c r="AH39" s="413">
        <f>IF($V39="",0,IF($AA39&gt;0,$AB39*SUMIF(⑳商品別1食労務費!$C$5:$C$124,$V39,⑳商品別1食労務費!$F$5:$F$124)/$AA39,$AB39/$X39))</f>
        <v/>
      </c>
      <c r="AI39" s="413">
        <f>IF($W39="",0,IF($AA39&gt;0,$AB39*SUMIF(⑳商品別1食労務費!$C$5:$C$124,$W39,⑳商品別1食労務費!$F$5:$F$124)/$AA39,$AB39/$X39))</f>
        <v/>
      </c>
    </row>
    <row r="40" ht="16" customHeight="1" s="438">
      <c r="A40" s="50" t="n">
        <v>36</v>
      </c>
      <c r="B40" s="51" t="inlineStr">
        <is>
          <t>スチコン</t>
        </is>
      </c>
      <c r="C40" s="5" t="inlineStr">
        <is>
          <t>ホテルロール</t>
        </is>
      </c>
      <c r="D40" s="411" t="n">
        <v>0.3583333333333333</v>
      </c>
      <c r="E40" s="411" t="n">
        <v>0.3722222222222222</v>
      </c>
      <c r="F40" s="52" t="n">
        <v>5</v>
      </c>
      <c r="G40" s="7" t="n">
        <v>15</v>
      </c>
      <c r="H40" s="7" t="n">
        <v>2</v>
      </c>
      <c r="I40" s="7" t="n">
        <v>16</v>
      </c>
      <c r="J40" s="7" t="n"/>
      <c r="K40" s="513">
        <f>IF(F40&gt;0,I40/(F40/60),0)</f>
        <v/>
      </c>
      <c r="L40" s="514">
        <f>IF(AND(ISNUMBER(F40),J40&gt;0),J40/(F40/60),"")</f>
        <v/>
      </c>
      <c r="M40" s="9">
        <f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513">
        <f>IF(I40&gt;0,M40/I40,"")</f>
        <v/>
      </c>
      <c r="O40" s="514">
        <f>IF(AND(J40&gt;0,ISNUMBER(M40)),M40/J40,"")</f>
        <v/>
      </c>
      <c r="P40" s="53" t="n"/>
      <c r="Q40" s="54" t="n"/>
      <c r="R40" s="5" t="inlineStr">
        <is>
          <t>ふわもちホテルロール３個</t>
        </is>
      </c>
      <c r="S40" s="5" t="inlineStr">
        <is>
          <t>ふわもちホテルロール８個入</t>
        </is>
      </c>
      <c r="T40" s="5" t="inlineStr">
        <is>
          <t>ふわもちホテルロール１６個</t>
        </is>
      </c>
      <c r="U40" s="5" t="inlineStr">
        <is>
          <t>Ｓふわもちホテルロール８個</t>
        </is>
      </c>
      <c r="V40" s="5" t="inlineStr">
        <is>
          <t>Ｓふわもちホテルロール１６</t>
        </is>
      </c>
      <c r="W40" s="5" t="inlineStr">
        <is>
          <t>ホテルロールＫＩＴ　４０個</t>
        </is>
      </c>
      <c r="X40">
        <f>COUNTA(R40:W40)</f>
        <v/>
      </c>
      <c r="Y40">
        <f>IF(AND($X40&gt;0,ISNUMBER($M40)),$M40/$X40,"")</f>
        <v/>
      </c>
      <c r="Z40">
        <f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/>
      </c>
      <c r="AA40">
        <f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/>
      </c>
      <c r="AB40">
        <f>IF(ISNUMBER($M40),$M40,0)</f>
        <v/>
      </c>
      <c r="AD40" s="413">
        <f>IF($R40="",0,IF($AA40&gt;0,$AB40*SUMIF(⑳商品別1食労務費!$C$5:$C$124,$R40,⑳商品別1食労務費!$F$5:$F$124)/$AA40,$AB40/$X40))</f>
        <v/>
      </c>
      <c r="AE40" s="413">
        <f>IF($S40="",0,IF($AA40&gt;0,$AB40*SUMIF(⑳商品別1食労務費!$C$5:$C$124,$S40,⑳商品別1食労務費!$F$5:$F$124)/$AA40,$AB40/$X40))</f>
        <v/>
      </c>
      <c r="AF40" s="413">
        <f>IF($T40="",0,IF($AA40&gt;0,$AB40*SUMIF(⑳商品別1食労務費!$C$5:$C$124,$T40,⑳商品別1食労務費!$F$5:$F$124)/$AA40,$AB40/$X40))</f>
        <v/>
      </c>
      <c r="AG40" s="413">
        <f>IF($U40="",0,IF($AA40&gt;0,$AB40*SUMIF(⑳商品別1食労務費!$C$5:$C$124,$U40,⑳商品別1食労務費!$F$5:$F$124)/$AA40,$AB40/$X40))</f>
        <v/>
      </c>
      <c r="AH40" s="413">
        <f>IF($V40="",0,IF($AA40&gt;0,$AB40*SUMIF(⑳商品別1食労務費!$C$5:$C$124,$V40,⑳商品別1食労務費!$F$5:$F$124)/$AA40,$AB40/$X40))</f>
        <v/>
      </c>
      <c r="AI40" s="413">
        <f>IF($W40="",0,IF($AA40&gt;0,$AB40*SUMIF(⑳商品別1食労務費!$C$5:$C$124,$W40,⑳商品別1食労務費!$F$5:$F$124)/$AA40,$AB40/$X40))</f>
        <v/>
      </c>
    </row>
    <row r="41" ht="16" customHeight="1" s="438">
      <c r="A41" s="50" t="n">
        <v>37</v>
      </c>
      <c r="B41" s="51" t="inlineStr">
        <is>
          <t>スチコン</t>
        </is>
      </c>
      <c r="C41" s="5" t="inlineStr">
        <is>
          <t>塩パン</t>
        </is>
      </c>
      <c r="D41" s="411" t="n">
        <v>0.3722222222222222</v>
      </c>
      <c r="E41" s="411" t="n">
        <v>0.3861111111111111</v>
      </c>
      <c r="F41" s="52" t="n">
        <v>5</v>
      </c>
      <c r="G41" s="7" t="n">
        <v>15</v>
      </c>
      <c r="H41" s="7" t="n">
        <v>2</v>
      </c>
      <c r="I41" s="7" t="n">
        <v>16</v>
      </c>
      <c r="J41" s="7" t="n"/>
      <c r="K41" s="513">
        <f>IF(F41&gt;0,I41/(F41/60),0)</f>
        <v/>
      </c>
      <c r="L41" s="514">
        <f>IF(AND(ISNUMBER(F41),J41&gt;0),J41/(F41/60),"")</f>
        <v/>
      </c>
      <c r="M41" s="9">
        <f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513">
        <f>IF(I41&gt;0,M41/I41,"")</f>
        <v/>
      </c>
      <c r="O41" s="514">
        <f>IF(AND(J41&gt;0,ISNUMBER(M41)),M41/J41,"")</f>
        <v/>
      </c>
      <c r="P41" s="53" t="n"/>
      <c r="Q41" s="54" t="n"/>
      <c r="R41" s="5" t="inlineStr">
        <is>
          <t>塩パン２個</t>
        </is>
      </c>
      <c r="S41" s="5" t="inlineStr">
        <is>
          <t>塩パンＫＩＴ</t>
        </is>
      </c>
      <c r="T41" s="5" t="inlineStr">
        <is>
          <t>メロン塩パン２個入</t>
        </is>
      </c>
      <c r="U41" s="5" t="inlineStr">
        <is>
          <t>Ｓメロン塩パン２個入</t>
        </is>
      </c>
      <c r="V41" s="5" t="inlineStr">
        <is>
          <t>メロン塩パンＫＩＴ</t>
        </is>
      </c>
      <c r="W41" s="5" t="inlineStr">
        <is>
          <t>チーズ塩パン２個</t>
        </is>
      </c>
      <c r="X41">
        <f>COUNTA(R41:W41)</f>
        <v/>
      </c>
      <c r="Y41">
        <f>IF(AND($X41&gt;0,ISNUMBER($M41)),$M41/$X41,"")</f>
        <v/>
      </c>
      <c r="Z41">
        <f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/>
      </c>
      <c r="AA41">
        <f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/>
      </c>
      <c r="AB41">
        <f>IF(ISNUMBER($M41),$M41,0)</f>
        <v/>
      </c>
      <c r="AD41" s="413">
        <f>IF($R41="",0,IF($AA41&gt;0,$AB41*SUMIF(⑳商品別1食労務費!$C$5:$C$124,$R41,⑳商品別1食労務費!$F$5:$F$124)/$AA41,$AB41/$X41))</f>
        <v/>
      </c>
      <c r="AE41" s="413">
        <f>IF($S41="",0,IF($AA41&gt;0,$AB41*SUMIF(⑳商品別1食労務費!$C$5:$C$124,$S41,⑳商品別1食労務費!$F$5:$F$124)/$AA41,$AB41/$X41))</f>
        <v/>
      </c>
      <c r="AF41" s="413">
        <f>IF($T41="",0,IF($AA41&gt;0,$AB41*SUMIF(⑳商品別1食労務費!$C$5:$C$124,$T41,⑳商品別1食労務費!$F$5:$F$124)/$AA41,$AB41/$X41))</f>
        <v/>
      </c>
      <c r="AG41" s="413">
        <f>IF($U41="",0,IF($AA41&gt;0,$AB41*SUMIF(⑳商品別1食労務費!$C$5:$C$124,$U41,⑳商品別1食労務費!$F$5:$F$124)/$AA41,$AB41/$X41))</f>
        <v/>
      </c>
      <c r="AH41" s="413">
        <f>IF($V41="",0,IF($AA41&gt;0,$AB41*SUMIF(⑳商品別1食労務費!$C$5:$C$124,$V41,⑳商品別1食労務費!$F$5:$F$124)/$AA41,$AB41/$X41))</f>
        <v/>
      </c>
      <c r="AI41" s="413">
        <f>IF($W41="",0,IF($AA41&gt;0,$AB41*SUMIF(⑳商品別1食労務費!$C$5:$C$124,$W41,⑳商品別1食労務費!$F$5:$F$124)/$AA41,$AB41/$X41))</f>
        <v/>
      </c>
    </row>
    <row r="42" ht="16" customHeight="1" s="438">
      <c r="A42" s="50" t="n">
        <v>38</v>
      </c>
      <c r="B42" s="51" t="inlineStr">
        <is>
          <t>スチコン</t>
        </is>
      </c>
      <c r="C42" s="5" t="inlineStr">
        <is>
          <t>塩パン</t>
        </is>
      </c>
      <c r="D42" s="411" t="n">
        <v>0.3861111111111111</v>
      </c>
      <c r="E42" s="411" t="n">
        <v>0.4</v>
      </c>
      <c r="F42" s="52" t="n">
        <v>5</v>
      </c>
      <c r="G42" s="7" t="n">
        <v>15</v>
      </c>
      <c r="H42" s="7" t="n">
        <v>2</v>
      </c>
      <c r="I42" s="7" t="n">
        <v>16</v>
      </c>
      <c r="J42" s="7" t="n"/>
      <c r="K42" s="513">
        <f>IF(F42&gt;0,I42/(F42/60),0)</f>
        <v/>
      </c>
      <c r="L42" s="514">
        <f>IF(AND(ISNUMBER(F42),J42&gt;0),J42/(F42/60),"")</f>
        <v/>
      </c>
      <c r="M42" s="9">
        <f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513">
        <f>IF(I42&gt;0,M42/I42,"")</f>
        <v/>
      </c>
      <c r="O42" s="514">
        <f>IF(AND(J42&gt;0,ISNUMBER(M42)),M42/J42,"")</f>
        <v/>
      </c>
      <c r="P42" s="53" t="n"/>
      <c r="Q42" s="54" t="n"/>
      <c r="R42" s="5" t="inlineStr">
        <is>
          <t>塩パン２個</t>
        </is>
      </c>
      <c r="S42" s="5" t="inlineStr">
        <is>
          <t>塩パンＫＩＴ</t>
        </is>
      </c>
      <c r="T42" s="5" t="inlineStr">
        <is>
          <t>メロン塩パン２個入</t>
        </is>
      </c>
      <c r="U42" s="5" t="inlineStr">
        <is>
          <t>Ｓメロン塩パン２個入</t>
        </is>
      </c>
      <c r="V42" s="5" t="inlineStr">
        <is>
          <t>メロン塩パンＫＩＴ</t>
        </is>
      </c>
      <c r="W42" s="5" t="inlineStr">
        <is>
          <t>チーズ塩パン２個</t>
        </is>
      </c>
      <c r="X42">
        <f>COUNTA(R42:W42)</f>
        <v/>
      </c>
      <c r="Y42">
        <f>IF(AND($X42&gt;0,ISNUMBER($M42)),$M42/$X42,"")</f>
        <v/>
      </c>
      <c r="Z42">
        <f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/>
      </c>
      <c r="AA42">
        <f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/>
      </c>
      <c r="AB42">
        <f>IF(ISNUMBER($M42),$M42,0)</f>
        <v/>
      </c>
      <c r="AD42" s="413">
        <f>IF($R42="",0,IF($AA42&gt;0,$AB42*SUMIF(⑳商品別1食労務費!$C$5:$C$124,$R42,⑳商品別1食労務費!$F$5:$F$124)/$AA42,$AB42/$X42))</f>
        <v/>
      </c>
      <c r="AE42" s="413">
        <f>IF($S42="",0,IF($AA42&gt;0,$AB42*SUMIF(⑳商品別1食労務費!$C$5:$C$124,$S42,⑳商品別1食労務費!$F$5:$F$124)/$AA42,$AB42/$X42))</f>
        <v/>
      </c>
      <c r="AF42" s="413">
        <f>IF($T42="",0,IF($AA42&gt;0,$AB42*SUMIF(⑳商品別1食労務費!$C$5:$C$124,$T42,⑳商品別1食労務費!$F$5:$F$124)/$AA42,$AB42/$X42))</f>
        <v/>
      </c>
      <c r="AG42" s="413">
        <f>IF($U42="",0,IF($AA42&gt;0,$AB42*SUMIF(⑳商品別1食労務費!$C$5:$C$124,$U42,⑳商品別1食労務費!$F$5:$F$124)/$AA42,$AB42/$X42))</f>
        <v/>
      </c>
      <c r="AH42" s="413">
        <f>IF($V42="",0,IF($AA42&gt;0,$AB42*SUMIF(⑳商品別1食労務費!$C$5:$C$124,$V42,⑳商品別1食労務費!$F$5:$F$124)/$AA42,$AB42/$X42))</f>
        <v/>
      </c>
      <c r="AI42" s="413">
        <f>IF($W42="",0,IF($AA42&gt;0,$AB42*SUMIF(⑳商品別1食労務費!$C$5:$C$124,$W42,⑳商品別1食労務費!$F$5:$F$124)/$AA42,$AB42/$X42))</f>
        <v/>
      </c>
    </row>
    <row r="43" ht="16" customHeight="1" s="438">
      <c r="A43" s="50" t="n">
        <v>39</v>
      </c>
      <c r="B43" s="51" t="inlineStr">
        <is>
          <t>スチコン</t>
        </is>
      </c>
      <c r="C43" s="5" t="inlineStr">
        <is>
          <t>塩パン</t>
        </is>
      </c>
      <c r="D43" s="411" t="n">
        <v>0.4</v>
      </c>
      <c r="E43" s="411" t="n">
        <v>0.4138888888888889</v>
      </c>
      <c r="F43" s="52" t="n">
        <v>5</v>
      </c>
      <c r="G43" s="7" t="n">
        <v>15</v>
      </c>
      <c r="H43" s="7" t="n">
        <v>2</v>
      </c>
      <c r="I43" s="7" t="n">
        <v>16</v>
      </c>
      <c r="J43" s="7" t="n"/>
      <c r="K43" s="513">
        <f>IF(F43&gt;0,I43/(F43/60),0)</f>
        <v/>
      </c>
      <c r="L43" s="514">
        <f>IF(AND(ISNUMBER(F43),J43&gt;0),J43/(F43/60),"")</f>
        <v/>
      </c>
      <c r="M43" s="9">
        <f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513">
        <f>IF(I43&gt;0,M43/I43,"")</f>
        <v/>
      </c>
      <c r="O43" s="514">
        <f>IF(AND(J43&gt;0,ISNUMBER(M43)),M43/J43,"")</f>
        <v/>
      </c>
      <c r="P43" s="53" t="n"/>
      <c r="Q43" s="54" t="n"/>
      <c r="R43" s="5" t="inlineStr">
        <is>
          <t>塩パン２個</t>
        </is>
      </c>
      <c r="S43" s="5" t="inlineStr">
        <is>
          <t>塩パンＫＩＴ</t>
        </is>
      </c>
      <c r="T43" s="5" t="inlineStr">
        <is>
          <t>メロン塩パン２個入</t>
        </is>
      </c>
      <c r="U43" s="5" t="inlineStr">
        <is>
          <t>Ｓメロン塩パン２個入</t>
        </is>
      </c>
      <c r="V43" s="5" t="inlineStr">
        <is>
          <t>メロン塩パンＫＩＴ</t>
        </is>
      </c>
      <c r="W43" s="5" t="inlineStr">
        <is>
          <t>チーズ塩パン２個</t>
        </is>
      </c>
      <c r="X43">
        <f>COUNTA(R43:W43)</f>
        <v/>
      </c>
      <c r="Y43">
        <f>IF(AND($X43&gt;0,ISNUMBER($M43)),$M43/$X43,"")</f>
        <v/>
      </c>
      <c r="Z43">
        <f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/>
      </c>
      <c r="AA43">
        <f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/>
      </c>
      <c r="AB43">
        <f>IF(ISNUMBER($M43),$M43,0)</f>
        <v/>
      </c>
      <c r="AD43" s="413">
        <f>IF($R43="",0,IF($AA43&gt;0,$AB43*SUMIF(⑳商品別1食労務費!$C$5:$C$124,$R43,⑳商品別1食労務費!$F$5:$F$124)/$AA43,$AB43/$X43))</f>
        <v/>
      </c>
      <c r="AE43" s="413">
        <f>IF($S43="",0,IF($AA43&gt;0,$AB43*SUMIF(⑳商品別1食労務費!$C$5:$C$124,$S43,⑳商品別1食労務費!$F$5:$F$124)/$AA43,$AB43/$X43))</f>
        <v/>
      </c>
      <c r="AF43" s="413">
        <f>IF($T43="",0,IF($AA43&gt;0,$AB43*SUMIF(⑳商品別1食労務費!$C$5:$C$124,$T43,⑳商品別1食労務費!$F$5:$F$124)/$AA43,$AB43/$X43))</f>
        <v/>
      </c>
      <c r="AG43" s="413">
        <f>IF($U43="",0,IF($AA43&gt;0,$AB43*SUMIF(⑳商品別1食労務費!$C$5:$C$124,$U43,⑳商品別1食労務費!$F$5:$F$124)/$AA43,$AB43/$X43))</f>
        <v/>
      </c>
      <c r="AH43" s="413">
        <f>IF($V43="",0,IF($AA43&gt;0,$AB43*SUMIF(⑳商品別1食労務費!$C$5:$C$124,$V43,⑳商品別1食労務費!$F$5:$F$124)/$AA43,$AB43/$X43))</f>
        <v/>
      </c>
      <c r="AI43" s="413">
        <f>IF($W43="",0,IF($AA43&gt;0,$AB43*SUMIF(⑳商品別1食労務費!$C$5:$C$124,$W43,⑳商品別1食労務費!$F$5:$F$124)/$AA43,$AB43/$X43))</f>
        <v/>
      </c>
    </row>
    <row r="44" ht="16" customHeight="1" s="438">
      <c r="A44" s="50" t="n">
        <v>40</v>
      </c>
      <c r="B44" s="51" t="inlineStr">
        <is>
          <t>スチコン</t>
        </is>
      </c>
      <c r="C44" s="5" t="inlineStr">
        <is>
          <t>塩パン</t>
        </is>
      </c>
      <c r="D44" s="411" t="n">
        <v>0.4138888888888889</v>
      </c>
      <c r="E44" s="411" t="n">
        <v>0.4277777777777778</v>
      </c>
      <c r="F44" s="52" t="n">
        <v>5</v>
      </c>
      <c r="G44" s="7" t="n">
        <v>15</v>
      </c>
      <c r="H44" s="7" t="n">
        <v>2</v>
      </c>
      <c r="I44" s="7" t="n">
        <v>16</v>
      </c>
      <c r="J44" s="7" t="n"/>
      <c r="K44" s="513">
        <f>IF(F44&gt;0,I44/(F44/60),0)</f>
        <v/>
      </c>
      <c r="L44" s="514">
        <f>IF(AND(ISNUMBER(F44),J44&gt;0),J44/(F44/60),"")</f>
        <v/>
      </c>
      <c r="M44" s="9">
        <f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513">
        <f>IF(I44&gt;0,M44/I44,"")</f>
        <v/>
      </c>
      <c r="O44" s="514">
        <f>IF(AND(J44&gt;0,ISNUMBER(M44)),M44/J44,"")</f>
        <v/>
      </c>
      <c r="P44" s="53" t="n"/>
      <c r="Q44" s="54" t="n"/>
      <c r="R44" s="5" t="inlineStr">
        <is>
          <t>塩パン２個</t>
        </is>
      </c>
      <c r="S44" s="5" t="inlineStr">
        <is>
          <t>塩パンＫＩＴ</t>
        </is>
      </c>
      <c r="T44" s="5" t="inlineStr">
        <is>
          <t>メロン塩パン２個入</t>
        </is>
      </c>
      <c r="U44" s="5" t="inlineStr">
        <is>
          <t>Ｓメロン塩パン２個入</t>
        </is>
      </c>
      <c r="V44" s="5" t="inlineStr">
        <is>
          <t>メロン塩パンＫＩＴ</t>
        </is>
      </c>
      <c r="W44" s="5" t="inlineStr">
        <is>
          <t>チーズ塩パン２個</t>
        </is>
      </c>
      <c r="X44">
        <f>COUNTA(R44:W44)</f>
        <v/>
      </c>
      <c r="Y44">
        <f>IF(AND($X44&gt;0,ISNUMBER($M44)),$M44/$X44,"")</f>
        <v/>
      </c>
      <c r="Z44">
        <f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/>
      </c>
      <c r="AA44">
        <f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/>
      </c>
      <c r="AB44">
        <f>IF(ISNUMBER($M44),$M44,0)</f>
        <v/>
      </c>
      <c r="AD44" s="413">
        <f>IF($R44="",0,IF($AA44&gt;0,$AB44*SUMIF(⑳商品別1食労務費!$C$5:$C$124,$R44,⑳商品別1食労務費!$F$5:$F$124)/$AA44,$AB44/$X44))</f>
        <v/>
      </c>
      <c r="AE44" s="413">
        <f>IF($S44="",0,IF($AA44&gt;0,$AB44*SUMIF(⑳商品別1食労務費!$C$5:$C$124,$S44,⑳商品別1食労務費!$F$5:$F$124)/$AA44,$AB44/$X44))</f>
        <v/>
      </c>
      <c r="AF44" s="413">
        <f>IF($T44="",0,IF($AA44&gt;0,$AB44*SUMIF(⑳商品別1食労務費!$C$5:$C$124,$T44,⑳商品別1食労務費!$F$5:$F$124)/$AA44,$AB44/$X44))</f>
        <v/>
      </c>
      <c r="AG44" s="413">
        <f>IF($U44="",0,IF($AA44&gt;0,$AB44*SUMIF(⑳商品別1食労務費!$C$5:$C$124,$U44,⑳商品別1食労務費!$F$5:$F$124)/$AA44,$AB44/$X44))</f>
        <v/>
      </c>
      <c r="AH44" s="413">
        <f>IF($V44="",0,IF($AA44&gt;0,$AB44*SUMIF(⑳商品別1食労務費!$C$5:$C$124,$V44,⑳商品別1食労務費!$F$5:$F$124)/$AA44,$AB44/$X44))</f>
        <v/>
      </c>
      <c r="AI44" s="413">
        <f>IF($W44="",0,IF($AA44&gt;0,$AB44*SUMIF(⑳商品別1食労務費!$C$5:$C$124,$W44,⑳商品別1食労務費!$F$5:$F$124)/$AA44,$AB44/$X44))</f>
        <v/>
      </c>
    </row>
    <row r="45" ht="16" customHeight="1" s="438">
      <c r="A45" s="50" t="n">
        <v>41</v>
      </c>
      <c r="B45" s="51" t="inlineStr">
        <is>
          <t>スチコン</t>
        </is>
      </c>
      <c r="C45" s="5" t="inlineStr">
        <is>
          <t>塩パン</t>
        </is>
      </c>
      <c r="D45" s="411" t="n">
        <v>0.4277777777777778</v>
      </c>
      <c r="E45" s="411" t="n">
        <v>0.4416666666666667</v>
      </c>
      <c r="F45" s="52" t="n">
        <v>5</v>
      </c>
      <c r="G45" s="7" t="n">
        <v>15</v>
      </c>
      <c r="H45" s="7" t="n">
        <v>2</v>
      </c>
      <c r="I45" s="7" t="n">
        <v>16</v>
      </c>
      <c r="J45" s="7" t="n"/>
      <c r="K45" s="513">
        <f>IF(F45&gt;0,I45/(F45/60),0)</f>
        <v/>
      </c>
      <c r="L45" s="514">
        <f>IF(AND(ISNUMBER(F45),J45&gt;0),J45/(F45/60),"")</f>
        <v/>
      </c>
      <c r="M45" s="9">
        <f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513">
        <f>IF(I45&gt;0,M45/I45,"")</f>
        <v/>
      </c>
      <c r="O45" s="514">
        <f>IF(AND(J45&gt;0,ISNUMBER(M45)),M45/J45,"")</f>
        <v/>
      </c>
      <c r="P45" s="53" t="n"/>
      <c r="Q45" s="54" t="n"/>
      <c r="R45" s="5" t="inlineStr">
        <is>
          <t>塩パン２個</t>
        </is>
      </c>
      <c r="S45" s="5" t="inlineStr">
        <is>
          <t>塩パンＫＩＴ</t>
        </is>
      </c>
      <c r="T45" s="5" t="inlineStr">
        <is>
          <t>メロン塩パン２個入</t>
        </is>
      </c>
      <c r="U45" s="5" t="inlineStr">
        <is>
          <t>Ｓメロン塩パン２個入</t>
        </is>
      </c>
      <c r="V45" s="5" t="inlineStr">
        <is>
          <t>メロン塩パンＫＩＴ</t>
        </is>
      </c>
      <c r="W45" s="5" t="inlineStr">
        <is>
          <t>チーズ塩パン２個</t>
        </is>
      </c>
      <c r="X45">
        <f>COUNTA(R45:W45)</f>
        <v/>
      </c>
      <c r="Y45">
        <f>IF(AND($X45&gt;0,ISNUMBER($M45)),$M45/$X45,"")</f>
        <v/>
      </c>
      <c r="Z45">
        <f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>
        <f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/>
      </c>
      <c r="AB45">
        <f>IF(ISNUMBER($M45),$M45,0)</f>
        <v/>
      </c>
      <c r="AD45" s="413">
        <f>IF($R45="",0,IF($AA45&gt;0,$AB45*SUMIF(⑳商品別1食労務費!$C$5:$C$124,$R45,⑳商品別1食労務費!$F$5:$F$124)/$AA45,$AB45/$X45))</f>
        <v/>
      </c>
      <c r="AE45" s="413">
        <f>IF($S45="",0,IF($AA45&gt;0,$AB45*SUMIF(⑳商品別1食労務費!$C$5:$C$124,$S45,⑳商品別1食労務費!$F$5:$F$124)/$AA45,$AB45/$X45))</f>
        <v/>
      </c>
      <c r="AF45" s="413">
        <f>IF($T45="",0,IF($AA45&gt;0,$AB45*SUMIF(⑳商品別1食労務費!$C$5:$C$124,$T45,⑳商品別1食労務費!$F$5:$F$124)/$AA45,$AB45/$X45))</f>
        <v/>
      </c>
      <c r="AG45" s="413">
        <f>IF($U45="",0,IF($AA45&gt;0,$AB45*SUMIF(⑳商品別1食労務費!$C$5:$C$124,$U45,⑳商品別1食労務費!$F$5:$F$124)/$AA45,$AB45/$X45))</f>
        <v/>
      </c>
      <c r="AH45" s="413">
        <f>IF($V45="",0,IF($AA45&gt;0,$AB45*SUMIF(⑳商品別1食労務費!$C$5:$C$124,$V45,⑳商品別1食労務費!$F$5:$F$124)/$AA45,$AB45/$X45))</f>
        <v/>
      </c>
      <c r="AI45" s="413">
        <f>IF($W45="",0,IF($AA45&gt;0,$AB45*SUMIF(⑳商品別1食労務費!$C$5:$C$124,$W45,⑳商品別1食労務費!$F$5:$F$124)/$AA45,$AB45/$X45))</f>
        <v/>
      </c>
    </row>
    <row r="46" ht="16" customHeight="1" s="438">
      <c r="A46" s="50" t="n">
        <v>42</v>
      </c>
      <c r="B46" s="51" t="inlineStr">
        <is>
          <t>スチコン</t>
        </is>
      </c>
      <c r="C46" s="5" t="inlineStr">
        <is>
          <t>塩パン</t>
        </is>
      </c>
      <c r="D46" s="411" t="n">
        <v>0.4416666666666667</v>
      </c>
      <c r="E46" s="411" t="n">
        <v>0.4555555555555555</v>
      </c>
      <c r="F46" s="52" t="n">
        <v>5</v>
      </c>
      <c r="G46" s="7" t="n">
        <v>15</v>
      </c>
      <c r="H46" s="7" t="n">
        <v>2</v>
      </c>
      <c r="I46" s="7" t="n">
        <v>16</v>
      </c>
      <c r="J46" s="7" t="n"/>
      <c r="K46" s="513">
        <f>IF(F46&gt;0,I46/(F46/60),0)</f>
        <v/>
      </c>
      <c r="L46" s="514">
        <f>IF(AND(ISNUMBER(F46),J46&gt;0),J46/(F46/60),"")</f>
        <v/>
      </c>
      <c r="M46" s="9">
        <f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513">
        <f>IF(I46&gt;0,M46/I46,"")</f>
        <v/>
      </c>
      <c r="O46" s="514">
        <f>IF(AND(J46&gt;0,ISNUMBER(M46)),M46/J46,"")</f>
        <v/>
      </c>
      <c r="P46" s="53" t="n"/>
      <c r="Q46" s="54" t="n"/>
      <c r="R46" s="5" t="inlineStr">
        <is>
          <t>塩パン２個</t>
        </is>
      </c>
      <c r="S46" s="5" t="inlineStr">
        <is>
          <t>塩パンＫＩＴ</t>
        </is>
      </c>
      <c r="T46" s="5" t="inlineStr">
        <is>
          <t>メロン塩パン２個入</t>
        </is>
      </c>
      <c r="U46" s="5" t="inlineStr">
        <is>
          <t>Ｓメロン塩パン２個入</t>
        </is>
      </c>
      <c r="V46" s="5" t="inlineStr">
        <is>
          <t>メロン塩パンＫＩＴ</t>
        </is>
      </c>
      <c r="W46" s="5" t="inlineStr">
        <is>
          <t>チーズ塩パン２個</t>
        </is>
      </c>
      <c r="X46">
        <f>COUNTA(R46:W46)</f>
        <v/>
      </c>
      <c r="Y46">
        <f>IF(AND($X46&gt;0,ISNUMBER($M46)),$M46/$X46,"")</f>
        <v/>
      </c>
      <c r="Z46">
        <f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>
        <f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/>
      </c>
      <c r="AB46">
        <f>IF(ISNUMBER($M46),$M46,0)</f>
        <v/>
      </c>
      <c r="AD46" s="413">
        <f>IF($R46="",0,IF($AA46&gt;0,$AB46*SUMIF(⑳商品別1食労務費!$C$5:$C$124,$R46,⑳商品別1食労務費!$F$5:$F$124)/$AA46,$AB46/$X46))</f>
        <v/>
      </c>
      <c r="AE46" s="413">
        <f>IF($S46="",0,IF($AA46&gt;0,$AB46*SUMIF(⑳商品別1食労務費!$C$5:$C$124,$S46,⑳商品別1食労務費!$F$5:$F$124)/$AA46,$AB46/$X46))</f>
        <v/>
      </c>
      <c r="AF46" s="413">
        <f>IF($T46="",0,IF($AA46&gt;0,$AB46*SUMIF(⑳商品別1食労務費!$C$5:$C$124,$T46,⑳商品別1食労務費!$F$5:$F$124)/$AA46,$AB46/$X46))</f>
        <v/>
      </c>
      <c r="AG46" s="413">
        <f>IF($U46="",0,IF($AA46&gt;0,$AB46*SUMIF(⑳商品別1食労務費!$C$5:$C$124,$U46,⑳商品別1食労務費!$F$5:$F$124)/$AA46,$AB46/$X46))</f>
        <v/>
      </c>
      <c r="AH46" s="413">
        <f>IF($V46="",0,IF($AA46&gt;0,$AB46*SUMIF(⑳商品別1食労務費!$C$5:$C$124,$V46,⑳商品別1食労務費!$F$5:$F$124)/$AA46,$AB46/$X46))</f>
        <v/>
      </c>
      <c r="AI46" s="413">
        <f>IF($W46="",0,IF($AA46&gt;0,$AB46*SUMIF(⑳商品別1食労務費!$C$5:$C$124,$W46,⑳商品別1食労務費!$F$5:$F$124)/$AA46,$AB46/$X46))</f>
        <v/>
      </c>
    </row>
    <row r="47" ht="16" customHeight="1" s="438">
      <c r="A47" s="50" t="n">
        <v>43</v>
      </c>
      <c r="B47" s="51" t="inlineStr">
        <is>
          <t>スチコン</t>
        </is>
      </c>
      <c r="C47" s="5" t="inlineStr">
        <is>
          <t>塩パン</t>
        </is>
      </c>
      <c r="D47" s="411" t="n">
        <v>0.4555555555555555</v>
      </c>
      <c r="E47" s="411" t="n">
        <v>0.4694444444444444</v>
      </c>
      <c r="F47" s="52" t="n">
        <v>5</v>
      </c>
      <c r="G47" s="7" t="n">
        <v>15</v>
      </c>
      <c r="H47" s="7" t="n">
        <v>2</v>
      </c>
      <c r="I47" s="7" t="n">
        <v>16</v>
      </c>
      <c r="J47" s="7" t="n"/>
      <c r="K47" s="513">
        <f>IF(F47&gt;0,I47/(F47/60),0)</f>
        <v/>
      </c>
      <c r="L47" s="514">
        <f>IF(AND(ISNUMBER(F47),J47&gt;0),J47/(F47/60),"")</f>
        <v/>
      </c>
      <c r="M47" s="9">
        <f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513">
        <f>IF(I47&gt;0,M47/I47,"")</f>
        <v/>
      </c>
      <c r="O47" s="514">
        <f>IF(AND(J47&gt;0,ISNUMBER(M47)),M47/J47,"")</f>
        <v/>
      </c>
      <c r="P47" s="53" t="n"/>
      <c r="Q47" s="54" t="n"/>
      <c r="R47" s="5" t="inlineStr">
        <is>
          <t>塩パン２個</t>
        </is>
      </c>
      <c r="S47" s="5" t="inlineStr">
        <is>
          <t>塩パンＫＩＴ</t>
        </is>
      </c>
      <c r="T47" s="5" t="inlineStr">
        <is>
          <t>メロン塩パン２個入</t>
        </is>
      </c>
      <c r="U47" s="5" t="inlineStr">
        <is>
          <t>Ｓメロン塩パン２個入</t>
        </is>
      </c>
      <c r="V47" s="5" t="inlineStr">
        <is>
          <t>メロン塩パンＫＩＴ</t>
        </is>
      </c>
      <c r="W47" s="5" t="inlineStr">
        <is>
          <t>チーズ塩パン２個</t>
        </is>
      </c>
      <c r="X47">
        <f>COUNTA(R47:W47)</f>
        <v/>
      </c>
      <c r="Y47">
        <f>IF(AND($X47&gt;0,ISNUMBER($M47)),$M47/$X47,"")</f>
        <v/>
      </c>
      <c r="Z47">
        <f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>
        <f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/>
      </c>
      <c r="AB47">
        <f>IF(ISNUMBER($M47),$M47,0)</f>
        <v/>
      </c>
      <c r="AD47" s="413">
        <f>IF($R47="",0,IF($AA47&gt;0,$AB47*SUMIF(⑳商品別1食労務費!$C$5:$C$124,$R47,⑳商品別1食労務費!$F$5:$F$124)/$AA47,$AB47/$X47))</f>
        <v/>
      </c>
      <c r="AE47" s="413">
        <f>IF($S47="",0,IF($AA47&gt;0,$AB47*SUMIF(⑳商品別1食労務費!$C$5:$C$124,$S47,⑳商品別1食労務費!$F$5:$F$124)/$AA47,$AB47/$X47))</f>
        <v/>
      </c>
      <c r="AF47" s="413">
        <f>IF($T47="",0,IF($AA47&gt;0,$AB47*SUMIF(⑳商品別1食労務費!$C$5:$C$124,$T47,⑳商品別1食労務費!$F$5:$F$124)/$AA47,$AB47/$X47))</f>
        <v/>
      </c>
      <c r="AG47" s="413">
        <f>IF($U47="",0,IF($AA47&gt;0,$AB47*SUMIF(⑳商品別1食労務費!$C$5:$C$124,$U47,⑳商品別1食労務費!$F$5:$F$124)/$AA47,$AB47/$X47))</f>
        <v/>
      </c>
      <c r="AH47" s="413">
        <f>IF($V47="",0,IF($AA47&gt;0,$AB47*SUMIF(⑳商品別1食労務費!$C$5:$C$124,$V47,⑳商品別1食労務費!$F$5:$F$124)/$AA47,$AB47/$X47))</f>
        <v/>
      </c>
      <c r="AI47" s="413">
        <f>IF($W47="",0,IF($AA47&gt;0,$AB47*SUMIF(⑳商品別1食労務費!$C$5:$C$124,$W47,⑳商品別1食労務費!$F$5:$F$124)/$AA47,$AB47/$X47))</f>
        <v/>
      </c>
    </row>
    <row r="48" ht="16" customHeight="1" s="438">
      <c r="A48" s="50" t="n">
        <v>44</v>
      </c>
      <c r="B48" s="51" t="inlineStr">
        <is>
          <t>スチコン</t>
        </is>
      </c>
      <c r="C48" s="5" t="inlineStr">
        <is>
          <t>塩パン</t>
        </is>
      </c>
      <c r="D48" s="411" t="n">
        <v>0.4694444444444444</v>
      </c>
      <c r="E48" s="411" t="n">
        <v>0.4833333333333333</v>
      </c>
      <c r="F48" s="52" t="n">
        <v>5</v>
      </c>
      <c r="G48" s="7" t="n">
        <v>15</v>
      </c>
      <c r="H48" s="7" t="n">
        <v>2</v>
      </c>
      <c r="I48" s="7" t="n">
        <v>16</v>
      </c>
      <c r="J48" s="7" t="n"/>
      <c r="K48" s="513">
        <f>IF(F48&gt;0,I48/(F48/60),0)</f>
        <v/>
      </c>
      <c r="L48" s="514">
        <f>IF(AND(ISNUMBER(F48),J48&gt;0),J48/(F48/60),"")</f>
        <v/>
      </c>
      <c r="M48" s="9">
        <f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513">
        <f>IF(I48&gt;0,M48/I48,"")</f>
        <v/>
      </c>
      <c r="O48" s="514">
        <f>IF(AND(J48&gt;0,ISNUMBER(M48)),M48/J48,"")</f>
        <v/>
      </c>
      <c r="P48" s="53" t="n"/>
      <c r="Q48" s="54" t="n"/>
      <c r="R48" s="5" t="inlineStr">
        <is>
          <t>塩パン２個</t>
        </is>
      </c>
      <c r="S48" s="5" t="inlineStr">
        <is>
          <t>塩パンＫＩＴ</t>
        </is>
      </c>
      <c r="T48" s="5" t="inlineStr">
        <is>
          <t>メロン塩パン２個入</t>
        </is>
      </c>
      <c r="U48" s="5" t="inlineStr">
        <is>
          <t>Ｓメロン塩パン２個入</t>
        </is>
      </c>
      <c r="V48" s="5" t="inlineStr">
        <is>
          <t>メロン塩パンＫＩＴ</t>
        </is>
      </c>
      <c r="W48" s="5" t="inlineStr">
        <is>
          <t>チーズ塩パン２個</t>
        </is>
      </c>
      <c r="X48">
        <f>COUNTA(R48:W48)</f>
        <v/>
      </c>
      <c r="Y48">
        <f>IF(AND($X48&gt;0,ISNUMBER($M48)),$M48/$X48,"")</f>
        <v/>
      </c>
      <c r="Z48">
        <f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/>
      </c>
      <c r="AA48">
        <f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/>
      </c>
      <c r="AB48">
        <f>IF(ISNUMBER($M48),$M48,0)</f>
        <v/>
      </c>
      <c r="AD48" s="413">
        <f>IF($R48="",0,IF($AA48&gt;0,$AB48*SUMIF(⑳商品別1食労務費!$C$5:$C$124,$R48,⑳商品別1食労務費!$F$5:$F$124)/$AA48,$AB48/$X48))</f>
        <v/>
      </c>
      <c r="AE48" s="413">
        <f>IF($S48="",0,IF($AA48&gt;0,$AB48*SUMIF(⑳商品別1食労務費!$C$5:$C$124,$S48,⑳商品別1食労務費!$F$5:$F$124)/$AA48,$AB48/$X48))</f>
        <v/>
      </c>
      <c r="AF48" s="413">
        <f>IF($T48="",0,IF($AA48&gt;0,$AB48*SUMIF(⑳商品別1食労務費!$C$5:$C$124,$T48,⑳商品別1食労務費!$F$5:$F$124)/$AA48,$AB48/$X48))</f>
        <v/>
      </c>
      <c r="AG48" s="413">
        <f>IF($U48="",0,IF($AA48&gt;0,$AB48*SUMIF(⑳商品別1食労務費!$C$5:$C$124,$U48,⑳商品別1食労務費!$F$5:$F$124)/$AA48,$AB48/$X48))</f>
        <v/>
      </c>
      <c r="AH48" s="413">
        <f>IF($V48="",0,IF($AA48&gt;0,$AB48*SUMIF(⑳商品別1食労務費!$C$5:$C$124,$V48,⑳商品別1食労務費!$F$5:$F$124)/$AA48,$AB48/$X48))</f>
        <v/>
      </c>
      <c r="AI48" s="413">
        <f>IF($W48="",0,IF($AA48&gt;0,$AB48*SUMIF(⑳商品別1食労務費!$C$5:$C$124,$W48,⑳商品別1食労務費!$F$5:$F$124)/$AA48,$AB48/$X48))</f>
        <v/>
      </c>
    </row>
    <row r="49" ht="16" customHeight="1" s="438">
      <c r="A49" s="50" t="n">
        <v>45</v>
      </c>
      <c r="B49" s="51" t="inlineStr">
        <is>
          <t>スチコン</t>
        </is>
      </c>
      <c r="C49" s="5" t="inlineStr">
        <is>
          <t>塩パン</t>
        </is>
      </c>
      <c r="D49" s="411" t="n">
        <v>0.4833333333333333</v>
      </c>
      <c r="E49" s="411" t="n">
        <v>0.4972222222222222</v>
      </c>
      <c r="F49" s="52" t="n">
        <v>5</v>
      </c>
      <c r="G49" s="7" t="n">
        <v>15</v>
      </c>
      <c r="H49" s="7" t="n">
        <v>2</v>
      </c>
      <c r="I49" s="7" t="n">
        <v>16</v>
      </c>
      <c r="J49" s="7" t="n"/>
      <c r="K49" s="513">
        <f>IF(F49&gt;0,I49/(F49/60),0)</f>
        <v/>
      </c>
      <c r="L49" s="514">
        <f>IF(AND(ISNUMBER(F49),J49&gt;0),J49/(F49/60),"")</f>
        <v/>
      </c>
      <c r="M49" s="9">
        <f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513">
        <f>IF(I49&gt;0,M49/I49,"")</f>
        <v/>
      </c>
      <c r="O49" s="514">
        <f>IF(AND(J49&gt;0,ISNUMBER(M49)),M49/J49,"")</f>
        <v/>
      </c>
      <c r="P49" s="53" t="n"/>
      <c r="Q49" s="54" t="n"/>
      <c r="R49" s="5" t="inlineStr">
        <is>
          <t>塩パン２個</t>
        </is>
      </c>
      <c r="S49" s="5" t="inlineStr">
        <is>
          <t>塩パンＫＩＴ</t>
        </is>
      </c>
      <c r="T49" s="5" t="inlineStr">
        <is>
          <t>メロン塩パン２個入</t>
        </is>
      </c>
      <c r="U49" s="5" t="inlineStr">
        <is>
          <t>Ｓメロン塩パン２個入</t>
        </is>
      </c>
      <c r="V49" s="5" t="inlineStr">
        <is>
          <t>メロン塩パンＫＩＴ</t>
        </is>
      </c>
      <c r="W49" s="5" t="inlineStr">
        <is>
          <t>チーズ塩パン２個</t>
        </is>
      </c>
      <c r="X49">
        <f>COUNTA(R49:W49)</f>
        <v/>
      </c>
      <c r="Y49">
        <f>IF(AND($X49&gt;0,ISNUMBER($M49)),$M49/$X49,"")</f>
        <v/>
      </c>
      <c r="Z49">
        <f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/>
      </c>
      <c r="AA49">
        <f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/>
      </c>
      <c r="AB49">
        <f>IF(ISNUMBER($M49),$M49,0)</f>
        <v/>
      </c>
      <c r="AD49" s="413">
        <f>IF($R49="",0,IF($AA49&gt;0,$AB49*SUMIF(⑳商品別1食労務費!$C$5:$C$124,$R49,⑳商品別1食労務費!$F$5:$F$124)/$AA49,$AB49/$X49))</f>
        <v/>
      </c>
      <c r="AE49" s="413">
        <f>IF($S49="",0,IF($AA49&gt;0,$AB49*SUMIF(⑳商品別1食労務費!$C$5:$C$124,$S49,⑳商品別1食労務費!$F$5:$F$124)/$AA49,$AB49/$X49))</f>
        <v/>
      </c>
      <c r="AF49" s="413">
        <f>IF($T49="",0,IF($AA49&gt;0,$AB49*SUMIF(⑳商品別1食労務費!$C$5:$C$124,$T49,⑳商品別1食労務費!$F$5:$F$124)/$AA49,$AB49/$X49))</f>
        <v/>
      </c>
      <c r="AG49" s="413">
        <f>IF($U49="",0,IF($AA49&gt;0,$AB49*SUMIF(⑳商品別1食労務費!$C$5:$C$124,$U49,⑳商品別1食労務費!$F$5:$F$124)/$AA49,$AB49/$X49))</f>
        <v/>
      </c>
      <c r="AH49" s="413">
        <f>IF($V49="",0,IF($AA49&gt;0,$AB49*SUMIF(⑳商品別1食労務費!$C$5:$C$124,$V49,⑳商品別1食労務費!$F$5:$F$124)/$AA49,$AB49/$X49))</f>
        <v/>
      </c>
      <c r="AI49" s="413">
        <f>IF($W49="",0,IF($AA49&gt;0,$AB49*SUMIF(⑳商品別1食労務費!$C$5:$C$124,$W49,⑳商品別1食労務費!$F$5:$F$124)/$AA49,$AB49/$X49))</f>
        <v/>
      </c>
    </row>
    <row r="50" ht="16" customHeight="1" s="438">
      <c r="A50" s="50" t="n">
        <v>46</v>
      </c>
      <c r="B50" s="51" t="inlineStr">
        <is>
          <t>スチコン</t>
        </is>
      </c>
      <c r="C50" s="5" t="inlineStr">
        <is>
          <t>塩パン</t>
        </is>
      </c>
      <c r="D50" s="411" t="n">
        <v>0.4972222222222222</v>
      </c>
      <c r="E50" s="411" t="n">
        <v>0.5111111111111111</v>
      </c>
      <c r="F50" s="52" t="n">
        <v>5</v>
      </c>
      <c r="G50" s="7" t="n">
        <v>15</v>
      </c>
      <c r="H50" s="7" t="n">
        <v>2</v>
      </c>
      <c r="I50" s="7" t="n">
        <v>16</v>
      </c>
      <c r="J50" s="7" t="n"/>
      <c r="K50" s="513">
        <f>IF(F50&gt;0,I50/(F50/60),0)</f>
        <v/>
      </c>
      <c r="L50" s="514">
        <f>IF(AND(ISNUMBER(F50),J50&gt;0),J50/(F50/60),"")</f>
        <v/>
      </c>
      <c r="M50" s="9">
        <f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513">
        <f>IF(I50&gt;0,M50/I50,"")</f>
        <v/>
      </c>
      <c r="O50" s="514">
        <f>IF(AND(J50&gt;0,ISNUMBER(M50)),M50/J50,"")</f>
        <v/>
      </c>
      <c r="P50" s="53" t="n"/>
      <c r="Q50" s="54" t="n"/>
      <c r="R50" s="5" t="inlineStr">
        <is>
          <t>塩パン２個</t>
        </is>
      </c>
      <c r="S50" s="5" t="inlineStr">
        <is>
          <t>塩パンＫＩＴ</t>
        </is>
      </c>
      <c r="T50" s="5" t="inlineStr">
        <is>
          <t>メロン塩パン２個入</t>
        </is>
      </c>
      <c r="U50" s="5" t="inlineStr">
        <is>
          <t>Ｓメロン塩パン２個入</t>
        </is>
      </c>
      <c r="V50" s="5" t="inlineStr">
        <is>
          <t>メロン塩パンＫＩＴ</t>
        </is>
      </c>
      <c r="W50" s="5" t="inlineStr">
        <is>
          <t>チーズ塩パン２個</t>
        </is>
      </c>
      <c r="X50">
        <f>COUNTA(R50:W50)</f>
        <v/>
      </c>
      <c r="Y50">
        <f>IF(AND($X50&gt;0,ISNUMBER($M50)),$M50/$X50,"")</f>
        <v/>
      </c>
      <c r="Z50">
        <f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/>
      </c>
      <c r="AA50">
        <f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/>
      </c>
      <c r="AB50">
        <f>IF(ISNUMBER($M50),$M50,0)</f>
        <v/>
      </c>
      <c r="AD50" s="413">
        <f>IF($R50="",0,IF($AA50&gt;0,$AB50*SUMIF(⑳商品別1食労務費!$C$5:$C$124,$R50,⑳商品別1食労務費!$F$5:$F$124)/$AA50,$AB50/$X50))</f>
        <v/>
      </c>
      <c r="AE50" s="413">
        <f>IF($S50="",0,IF($AA50&gt;0,$AB50*SUMIF(⑳商品別1食労務費!$C$5:$C$124,$S50,⑳商品別1食労務費!$F$5:$F$124)/$AA50,$AB50/$X50))</f>
        <v/>
      </c>
      <c r="AF50" s="413">
        <f>IF($T50="",0,IF($AA50&gt;0,$AB50*SUMIF(⑳商品別1食労務費!$C$5:$C$124,$T50,⑳商品別1食労務費!$F$5:$F$124)/$AA50,$AB50/$X50))</f>
        <v/>
      </c>
      <c r="AG50" s="413">
        <f>IF($U50="",0,IF($AA50&gt;0,$AB50*SUMIF(⑳商品別1食労務費!$C$5:$C$124,$U50,⑳商品別1食労務費!$F$5:$F$124)/$AA50,$AB50/$X50))</f>
        <v/>
      </c>
      <c r="AH50" s="413">
        <f>IF($V50="",0,IF($AA50&gt;0,$AB50*SUMIF(⑳商品別1食労務費!$C$5:$C$124,$V50,⑳商品別1食労務費!$F$5:$F$124)/$AA50,$AB50/$X50))</f>
        <v/>
      </c>
      <c r="AI50" s="413">
        <f>IF($W50="",0,IF($AA50&gt;0,$AB50*SUMIF(⑳商品別1食労務費!$C$5:$C$124,$W50,⑳商品別1食労務費!$F$5:$F$124)/$AA50,$AB50/$X50))</f>
        <v/>
      </c>
    </row>
    <row r="51" ht="16" customHeight="1" s="438">
      <c r="A51" s="50" t="n">
        <v>47</v>
      </c>
      <c r="B51" s="51" t="inlineStr">
        <is>
          <t>スチコン</t>
        </is>
      </c>
      <c r="C51" s="5" t="inlineStr">
        <is>
          <t>塩パン</t>
        </is>
      </c>
      <c r="D51" s="411" t="n">
        <v>0.5111111111111111</v>
      </c>
      <c r="E51" s="411" t="n">
        <v>0.525</v>
      </c>
      <c r="F51" s="52" t="n">
        <v>5</v>
      </c>
      <c r="G51" s="7" t="n">
        <v>15</v>
      </c>
      <c r="H51" s="7" t="n">
        <v>2</v>
      </c>
      <c r="I51" s="7" t="n">
        <v>16</v>
      </c>
      <c r="J51" s="7" t="n"/>
      <c r="K51" s="513">
        <f>IF(F51&gt;0,I51/(F51/60),0)</f>
        <v/>
      </c>
      <c r="L51" s="514">
        <f>IF(AND(ISNUMBER(F51),J51&gt;0),J51/(F51/60),"")</f>
        <v/>
      </c>
      <c r="M51" s="9">
        <f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513">
        <f>IF(I51&gt;0,M51/I51,"")</f>
        <v/>
      </c>
      <c r="O51" s="514">
        <f>IF(AND(J51&gt;0,ISNUMBER(M51)),M51/J51,"")</f>
        <v/>
      </c>
      <c r="P51" s="53" t="n"/>
      <c r="Q51" s="54" t="n"/>
      <c r="R51" s="5" t="inlineStr">
        <is>
          <t>塩パン２個</t>
        </is>
      </c>
      <c r="S51" s="5" t="inlineStr">
        <is>
          <t>塩パンＫＩＴ</t>
        </is>
      </c>
      <c r="T51" s="5" t="inlineStr">
        <is>
          <t>メロン塩パン２個入</t>
        </is>
      </c>
      <c r="U51" s="5" t="inlineStr">
        <is>
          <t>Ｓメロン塩パン２個入</t>
        </is>
      </c>
      <c r="V51" s="5" t="inlineStr">
        <is>
          <t>メロン塩パンＫＩＴ</t>
        </is>
      </c>
      <c r="W51" s="5" t="inlineStr">
        <is>
          <t>チーズ塩パン２個</t>
        </is>
      </c>
      <c r="X51">
        <f>COUNTA(R51:W51)</f>
        <v/>
      </c>
      <c r="Y51">
        <f>IF(AND($X51&gt;0,ISNUMBER($M51)),$M51/$X51,"")</f>
        <v/>
      </c>
      <c r="Z51">
        <f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/>
      </c>
      <c r="AA51">
        <f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/>
      </c>
      <c r="AB51">
        <f>IF(ISNUMBER($M51),$M51,0)</f>
        <v/>
      </c>
      <c r="AD51" s="413">
        <f>IF($R51="",0,IF($AA51&gt;0,$AB51*SUMIF(⑳商品別1食労務費!$C$5:$C$124,$R51,⑳商品別1食労務費!$F$5:$F$124)/$AA51,$AB51/$X51))</f>
        <v/>
      </c>
      <c r="AE51" s="413">
        <f>IF($S51="",0,IF($AA51&gt;0,$AB51*SUMIF(⑳商品別1食労務費!$C$5:$C$124,$S51,⑳商品別1食労務費!$F$5:$F$124)/$AA51,$AB51/$X51))</f>
        <v/>
      </c>
      <c r="AF51" s="413">
        <f>IF($T51="",0,IF($AA51&gt;0,$AB51*SUMIF(⑳商品別1食労務費!$C$5:$C$124,$T51,⑳商品別1食労務費!$F$5:$F$124)/$AA51,$AB51/$X51))</f>
        <v/>
      </c>
      <c r="AG51" s="413">
        <f>IF($U51="",0,IF($AA51&gt;0,$AB51*SUMIF(⑳商品別1食労務費!$C$5:$C$124,$U51,⑳商品別1食労務費!$F$5:$F$124)/$AA51,$AB51/$X51))</f>
        <v/>
      </c>
      <c r="AH51" s="413">
        <f>IF($V51="",0,IF($AA51&gt;0,$AB51*SUMIF(⑳商品別1食労務費!$C$5:$C$124,$V51,⑳商品別1食労務費!$F$5:$F$124)/$AA51,$AB51/$X51))</f>
        <v/>
      </c>
      <c r="AI51" s="413">
        <f>IF($W51="",0,IF($AA51&gt;0,$AB51*SUMIF(⑳商品別1食労務費!$C$5:$C$124,$W51,⑳商品別1食労務費!$F$5:$F$124)/$AA51,$AB51/$X51))</f>
        <v/>
      </c>
    </row>
    <row r="52" ht="16" customHeight="1" s="438">
      <c r="A52" s="50" t="n">
        <v>48</v>
      </c>
      <c r="B52" s="51" t="inlineStr">
        <is>
          <t>スチコン</t>
        </is>
      </c>
      <c r="C52" s="5" t="inlineStr">
        <is>
          <t>ホテルブレッド</t>
        </is>
      </c>
      <c r="D52" s="411" t="n">
        <v>0.525</v>
      </c>
      <c r="E52" s="411" t="n">
        <v>0.5388888888888889</v>
      </c>
      <c r="F52" s="52" t="n">
        <v>5</v>
      </c>
      <c r="G52" s="7" t="n">
        <v>15</v>
      </c>
      <c r="H52" s="7" t="n">
        <v>2</v>
      </c>
      <c r="I52" s="7" t="n">
        <v>16</v>
      </c>
      <c r="J52" s="7" t="n"/>
      <c r="K52" s="513">
        <f>IF(F52&gt;0,I52/(F52/60),0)</f>
        <v/>
      </c>
      <c r="L52" s="514">
        <f>IF(AND(ISNUMBER(F52),J52&gt;0),J52/(F52/60),"")</f>
        <v/>
      </c>
      <c r="M52" s="9">
        <f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513">
        <f>IF(I52&gt;0,M52/I52,"")</f>
        <v/>
      </c>
      <c r="O52" s="514">
        <f>IF(AND(J52&gt;0,ISNUMBER(M52)),M52/J52,"")</f>
        <v/>
      </c>
      <c r="P52" s="53" t="n"/>
      <c r="Q52" s="54" t="n"/>
      <c r="R52" s="5" t="inlineStr">
        <is>
          <t>ホテルブレッド生地ＫＩＴ</t>
        </is>
      </c>
      <c r="S52" s="5" t="inlineStr">
        <is>
          <t>ホテルブレッド生地ＫＩＴ２</t>
        </is>
      </c>
      <c r="T52" s="5" t="n"/>
      <c r="U52" s="5" t="n"/>
      <c r="V52" s="5" t="n"/>
      <c r="W52" s="5" t="n"/>
      <c r="X52">
        <f>COUNTA(R52:W52)</f>
        <v/>
      </c>
      <c r="Y52">
        <f>IF(AND($X52&gt;0,ISNUMBER($M52)),$M52/$X52,"")</f>
        <v/>
      </c>
      <c r="Z52">
        <f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/>
      </c>
      <c r="AA52">
        <f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/>
      </c>
      <c r="AB52">
        <f>IF(ISNUMBER($M52),$M52,0)</f>
        <v/>
      </c>
      <c r="AD52" s="413">
        <f>IF($R52="",0,IF($AA52&gt;0,$AB52*SUMIF(⑳商品別1食労務費!$C$5:$C$124,$R52,⑳商品別1食労務費!$F$5:$F$124)/$AA52,$AB52/$X52))</f>
        <v/>
      </c>
      <c r="AE52" s="413">
        <f>IF($S52="",0,IF($AA52&gt;0,$AB52*SUMIF(⑳商品別1食労務費!$C$5:$C$124,$S52,⑳商品別1食労務費!$F$5:$F$124)/$AA52,$AB52/$X52))</f>
        <v/>
      </c>
      <c r="AF52" s="413">
        <f>IF($T52="",0,IF($AA52&gt;0,$AB52*SUMIF(⑳商品別1食労務費!$C$5:$C$124,$T52,⑳商品別1食労務費!$F$5:$F$124)/$AA52,$AB52/$X52))</f>
        <v/>
      </c>
      <c r="AG52" s="413">
        <f>IF($U52="",0,IF($AA52&gt;0,$AB52*SUMIF(⑳商品別1食労務費!$C$5:$C$124,$U52,⑳商品別1食労務費!$F$5:$F$124)/$AA52,$AB52/$X52))</f>
        <v/>
      </c>
      <c r="AH52" s="413">
        <f>IF($V52="",0,IF($AA52&gt;0,$AB52*SUMIF(⑳商品別1食労務費!$C$5:$C$124,$V52,⑳商品別1食労務費!$F$5:$F$124)/$AA52,$AB52/$X52))</f>
        <v/>
      </c>
      <c r="AI52" s="413">
        <f>IF($W52="",0,IF($AA52&gt;0,$AB52*SUMIF(⑳商品別1食労務費!$C$5:$C$124,$W52,⑳商品別1食労務費!$F$5:$F$124)/$AA52,$AB52/$X52))</f>
        <v/>
      </c>
    </row>
    <row r="53" ht="16" customHeight="1" s="438">
      <c r="A53" s="50" t="n">
        <v>49</v>
      </c>
      <c r="B53" s="51" t="inlineStr">
        <is>
          <t>スチコン</t>
        </is>
      </c>
      <c r="C53" s="5" t="inlineStr">
        <is>
          <t>ホテルブレッド</t>
        </is>
      </c>
      <c r="D53" s="411" t="n">
        <v>0.5388888888888889</v>
      </c>
      <c r="E53" s="411" t="n">
        <v>0.5527777777777778</v>
      </c>
      <c r="F53" s="52" t="n">
        <v>5</v>
      </c>
      <c r="G53" s="7" t="n">
        <v>15</v>
      </c>
      <c r="H53" s="7" t="n">
        <v>2</v>
      </c>
      <c r="I53" s="7" t="n">
        <v>16</v>
      </c>
      <c r="J53" s="7" t="n"/>
      <c r="K53" s="513">
        <f>IF(F53&gt;0,I53/(F53/60),0)</f>
        <v/>
      </c>
      <c r="L53" s="514">
        <f>IF(AND(ISNUMBER(F53),J53&gt;0),J53/(F53/60),"")</f>
        <v/>
      </c>
      <c r="M53" s="9">
        <f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513">
        <f>IF(I53&gt;0,M53/I53,"")</f>
        <v/>
      </c>
      <c r="O53" s="514">
        <f>IF(AND(J53&gt;0,ISNUMBER(M53)),M53/J53,"")</f>
        <v/>
      </c>
      <c r="P53" s="53" t="n"/>
      <c r="Q53" s="54" t="n"/>
      <c r="R53" s="5" t="inlineStr">
        <is>
          <t>ホテルブレッド生地ＫＩＴ</t>
        </is>
      </c>
      <c r="S53" s="5" t="inlineStr">
        <is>
          <t>ホテルブレッド生地ＫＩＴ２</t>
        </is>
      </c>
      <c r="T53" s="5" t="n"/>
      <c r="U53" s="5" t="n"/>
      <c r="V53" s="5" t="n"/>
      <c r="W53" s="5" t="n"/>
      <c r="X53">
        <f>COUNTA(R53:W53)</f>
        <v/>
      </c>
      <c r="Y53">
        <f>IF(AND($X53&gt;0,ISNUMBER($M53)),$M53/$X53,"")</f>
        <v/>
      </c>
      <c r="Z53">
        <f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/>
      </c>
      <c r="AA53">
        <f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/>
      </c>
      <c r="AB53">
        <f>IF(ISNUMBER($M53),$M53,0)</f>
        <v/>
      </c>
      <c r="AD53" s="413">
        <f>IF($R53="",0,IF($AA53&gt;0,$AB53*SUMIF(⑳商品別1食労務費!$C$5:$C$124,$R53,⑳商品別1食労務費!$F$5:$F$124)/$AA53,$AB53/$X53))</f>
        <v/>
      </c>
      <c r="AE53" s="413">
        <f>IF($S53="",0,IF($AA53&gt;0,$AB53*SUMIF(⑳商品別1食労務費!$C$5:$C$124,$S53,⑳商品別1食労務費!$F$5:$F$124)/$AA53,$AB53/$X53))</f>
        <v/>
      </c>
      <c r="AF53" s="413">
        <f>IF($T53="",0,IF($AA53&gt;0,$AB53*SUMIF(⑳商品別1食労務費!$C$5:$C$124,$T53,⑳商品別1食労務費!$F$5:$F$124)/$AA53,$AB53/$X53))</f>
        <v/>
      </c>
      <c r="AG53" s="413">
        <f>IF($U53="",0,IF($AA53&gt;0,$AB53*SUMIF(⑳商品別1食労務費!$C$5:$C$124,$U53,⑳商品別1食労務費!$F$5:$F$124)/$AA53,$AB53/$X53))</f>
        <v/>
      </c>
      <c r="AH53" s="413">
        <f>IF($V53="",0,IF($AA53&gt;0,$AB53*SUMIF(⑳商品別1食労務費!$C$5:$C$124,$V53,⑳商品別1食労務費!$F$5:$F$124)/$AA53,$AB53/$X53))</f>
        <v/>
      </c>
      <c r="AI53" s="413">
        <f>IF($W53="",0,IF($AA53&gt;0,$AB53*SUMIF(⑳商品別1食労務費!$C$5:$C$124,$W53,⑳商品別1食労務費!$F$5:$F$124)/$AA53,$AB53/$X53))</f>
        <v/>
      </c>
    </row>
    <row r="54" ht="16" customHeight="1" s="438">
      <c r="A54" s="50" t="n">
        <v>50</v>
      </c>
      <c r="B54" s="51" t="inlineStr">
        <is>
          <t>スチコン</t>
        </is>
      </c>
      <c r="C54" s="5" t="inlineStr">
        <is>
          <t>ホテルブレッド</t>
        </is>
      </c>
      <c r="D54" s="411" t="n">
        <v>0.5527777777777778</v>
      </c>
      <c r="E54" s="411" t="n">
        <v>0.5666666666666667</v>
      </c>
      <c r="F54" s="52" t="n">
        <v>5</v>
      </c>
      <c r="G54" s="7" t="n">
        <v>15</v>
      </c>
      <c r="H54" s="7" t="n">
        <v>2</v>
      </c>
      <c r="I54" s="7" t="n">
        <v>16</v>
      </c>
      <c r="J54" s="7" t="n"/>
      <c r="K54" s="513">
        <f>IF(F54&gt;0,I54/(F54/60),0)</f>
        <v/>
      </c>
      <c r="L54" s="514">
        <f>IF(AND(ISNUMBER(F54),J54&gt;0),J54/(F54/60),"")</f>
        <v/>
      </c>
      <c r="M54" s="9">
        <f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513">
        <f>IF(I54&gt;0,M54/I54,"")</f>
        <v/>
      </c>
      <c r="O54" s="514">
        <f>IF(AND(J54&gt;0,ISNUMBER(M54)),M54/J54,"")</f>
        <v/>
      </c>
      <c r="P54" s="53" t="n"/>
      <c r="Q54" s="54" t="n"/>
      <c r="R54" s="5" t="inlineStr">
        <is>
          <t>ホテルブレッド生地ＫＩＴ</t>
        </is>
      </c>
      <c r="S54" s="5" t="inlineStr">
        <is>
          <t>ホテルブレッド生地ＫＩＴ２</t>
        </is>
      </c>
      <c r="T54" s="5" t="n"/>
      <c r="U54" s="5" t="n"/>
      <c r="V54" s="5" t="n"/>
      <c r="W54" s="5" t="n"/>
      <c r="X54">
        <f>COUNTA(R54:W54)</f>
        <v/>
      </c>
      <c r="Y54">
        <f>IF(AND($X54&gt;0,ISNUMBER($M54)),$M54/$X54,"")</f>
        <v/>
      </c>
      <c r="Z54">
        <f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/>
      </c>
      <c r="AA54">
        <f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/>
      </c>
      <c r="AB54">
        <f>IF(ISNUMBER($M54),$M54,0)</f>
        <v/>
      </c>
      <c r="AD54" s="413">
        <f>IF($R54="",0,IF($AA54&gt;0,$AB54*SUMIF(⑳商品別1食労務費!$C$5:$C$124,$R54,⑳商品別1食労務費!$F$5:$F$124)/$AA54,$AB54/$X54))</f>
        <v/>
      </c>
      <c r="AE54" s="413">
        <f>IF($S54="",0,IF($AA54&gt;0,$AB54*SUMIF(⑳商品別1食労務費!$C$5:$C$124,$S54,⑳商品別1食労務費!$F$5:$F$124)/$AA54,$AB54/$X54))</f>
        <v/>
      </c>
      <c r="AF54" s="413">
        <f>IF($T54="",0,IF($AA54&gt;0,$AB54*SUMIF(⑳商品別1食労務費!$C$5:$C$124,$T54,⑳商品別1食労務費!$F$5:$F$124)/$AA54,$AB54/$X54))</f>
        <v/>
      </c>
      <c r="AG54" s="413">
        <f>IF($U54="",0,IF($AA54&gt;0,$AB54*SUMIF(⑳商品別1食労務費!$C$5:$C$124,$U54,⑳商品別1食労務費!$F$5:$F$124)/$AA54,$AB54/$X54))</f>
        <v/>
      </c>
      <c r="AH54" s="413">
        <f>IF($V54="",0,IF($AA54&gt;0,$AB54*SUMIF(⑳商品別1食労務費!$C$5:$C$124,$V54,⑳商品別1食労務費!$F$5:$F$124)/$AA54,$AB54/$X54))</f>
        <v/>
      </c>
      <c r="AI54" s="413">
        <f>IF($W54="",0,IF($AA54&gt;0,$AB54*SUMIF(⑳商品別1食労務費!$C$5:$C$124,$W54,⑳商品別1食労務費!$F$5:$F$124)/$AA54,$AB54/$X54))</f>
        <v/>
      </c>
    </row>
    <row r="55" ht="16" customHeight="1" s="438">
      <c r="A55" s="50" t="n">
        <v>51</v>
      </c>
      <c r="B55" s="51" t="inlineStr">
        <is>
          <t>スチコン</t>
        </is>
      </c>
      <c r="C55" s="5" t="inlineStr">
        <is>
          <t>ホテルブレッド</t>
        </is>
      </c>
      <c r="D55" s="411" t="n">
        <v>0.5666666666666667</v>
      </c>
      <c r="E55" s="411" t="n">
        <v>0.5805555555555556</v>
      </c>
      <c r="F55" s="52" t="n">
        <v>5</v>
      </c>
      <c r="G55" s="7" t="n">
        <v>15</v>
      </c>
      <c r="H55" s="7" t="n">
        <v>2</v>
      </c>
      <c r="I55" s="7" t="n">
        <v>16</v>
      </c>
      <c r="J55" s="7" t="n"/>
      <c r="K55" s="513">
        <f>IF(F55&gt;0,I55/(F55/60),0)</f>
        <v/>
      </c>
      <c r="L55" s="514">
        <f>IF(AND(ISNUMBER(F55),J55&gt;0),J55/(F55/60),"")</f>
        <v/>
      </c>
      <c r="M55" s="9">
        <f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513">
        <f>IF(I55&gt;0,M55/I55,"")</f>
        <v/>
      </c>
      <c r="O55" s="514">
        <f>IF(AND(J55&gt;0,ISNUMBER(M55)),M55/J55,"")</f>
        <v/>
      </c>
      <c r="P55" s="53" t="n"/>
      <c r="Q55" s="54" t="n"/>
      <c r="R55" s="5" t="inlineStr">
        <is>
          <t>ホテルブレッド生地ＫＩＴ</t>
        </is>
      </c>
      <c r="S55" s="5" t="inlineStr">
        <is>
          <t>ホテルブレッド生地ＫＩＴ２</t>
        </is>
      </c>
      <c r="T55" s="5" t="n"/>
      <c r="U55" s="5" t="n"/>
      <c r="V55" s="5" t="n"/>
      <c r="W55" s="5" t="n"/>
      <c r="X55">
        <f>COUNTA(R55:W55)</f>
        <v/>
      </c>
      <c r="Y55">
        <f>IF(AND($X55&gt;0,ISNUMBER($M55)),$M55/$X55,"")</f>
        <v/>
      </c>
      <c r="Z55">
        <f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>
        <f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/>
      </c>
      <c r="AB55">
        <f>IF(ISNUMBER($M55),$M55,0)</f>
        <v/>
      </c>
      <c r="AD55" s="413">
        <f>IF($R55="",0,IF($AA55&gt;0,$AB55*SUMIF(⑳商品別1食労務費!$C$5:$C$124,$R55,⑳商品別1食労務費!$F$5:$F$124)/$AA55,$AB55/$X55))</f>
        <v/>
      </c>
      <c r="AE55" s="413">
        <f>IF($S55="",0,IF($AA55&gt;0,$AB55*SUMIF(⑳商品別1食労務費!$C$5:$C$124,$S55,⑳商品別1食労務費!$F$5:$F$124)/$AA55,$AB55/$X55))</f>
        <v/>
      </c>
      <c r="AF55" s="413">
        <f>IF($T55="",0,IF($AA55&gt;0,$AB55*SUMIF(⑳商品別1食労務費!$C$5:$C$124,$T55,⑳商品別1食労務費!$F$5:$F$124)/$AA55,$AB55/$X55))</f>
        <v/>
      </c>
      <c r="AG55" s="413">
        <f>IF($U55="",0,IF($AA55&gt;0,$AB55*SUMIF(⑳商品別1食労務費!$C$5:$C$124,$U55,⑳商品別1食労務費!$F$5:$F$124)/$AA55,$AB55/$X55))</f>
        <v/>
      </c>
      <c r="AH55" s="413">
        <f>IF($V55="",0,IF($AA55&gt;0,$AB55*SUMIF(⑳商品別1食労務費!$C$5:$C$124,$V55,⑳商品別1食労務費!$F$5:$F$124)/$AA55,$AB55/$X55))</f>
        <v/>
      </c>
      <c r="AI55" s="413">
        <f>IF($W55="",0,IF($AA55&gt;0,$AB55*SUMIF(⑳商品別1食労務費!$C$5:$C$124,$W55,⑳商品別1食労務費!$F$5:$F$124)/$AA55,$AB55/$X55))</f>
        <v/>
      </c>
    </row>
    <row r="56" ht="16" customHeight="1" s="438">
      <c r="A56" s="50" t="n">
        <v>52</v>
      </c>
      <c r="B56" s="51" t="inlineStr">
        <is>
          <t>スチコン焼き</t>
        </is>
      </c>
      <c r="C56" s="5" t="inlineStr">
        <is>
          <t>スイートポテト大小（スチコン焼き）</t>
        </is>
      </c>
      <c r="D56" s="5" t="n"/>
      <c r="E56" s="5" t="n"/>
      <c r="F56" s="52" t="n"/>
      <c r="G56" s="7" t="n">
        <v>63.6</v>
      </c>
      <c r="H56" s="7" t="n">
        <v>1</v>
      </c>
      <c r="I56" s="7" t="n"/>
      <c r="J56" s="7" t="n">
        <v>212</v>
      </c>
      <c r="K56" s="513">
        <f>IF(F56&gt;0,I56/(F56/60),0)</f>
        <v/>
      </c>
      <c r="L56" s="514">
        <f>IF(AND(ISNUMBER(F56),J56&gt;0),J56/(F56/60),"")</f>
        <v/>
      </c>
      <c r="M56" s="9">
        <f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513">
        <f>IF(I56&gt;0,M56/I56,"")</f>
        <v/>
      </c>
      <c r="O56" s="514">
        <f>IF(AND(J56&gt;0,ISNUMBER(M56)),M56/J56,"")</f>
        <v/>
      </c>
      <c r="P56" s="53" t="inlineStr">
        <is>
          <t>前回資料</t>
        </is>
      </c>
      <c r="Q56" s="54" t="inlineStr">
        <is>
          <t>前回資料「益子生産性最新」から展開</t>
        </is>
      </c>
      <c r="R56" s="5" t="inlineStr">
        <is>
          <t>蜜いもスイートポテト（小）</t>
        </is>
      </c>
      <c r="S56" s="5" t="n"/>
      <c r="T56" s="5" t="n"/>
      <c r="U56" s="5" t="n"/>
      <c r="V56" s="5" t="n"/>
      <c r="W56" s="5" t="n"/>
      <c r="X56">
        <f>COUNTA(R56:W56)</f>
        <v/>
      </c>
      <c r="Y56">
        <f>IF(AND($X56&gt;0,ISNUMBER($M56)),$M56/$X56,"")</f>
        <v/>
      </c>
      <c r="Z56">
        <f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/>
      </c>
      <c r="AA56">
        <f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/>
      </c>
      <c r="AB56">
        <f>IF(ISNUMBER($M56),$M56,0)</f>
        <v/>
      </c>
      <c r="AD56" s="413">
        <f>IF($R56="",0,IF($AA56&gt;0,$AB56*SUMIF(⑳商品別1食労務費!$C$5:$C$124,$R56,⑳商品別1食労務費!$F$5:$F$124)/$AA56,$AB56/$X56))</f>
        <v/>
      </c>
      <c r="AE56" s="413">
        <f>IF($S56="",0,IF($AA56&gt;0,$AB56*SUMIF(⑳商品別1食労務費!$C$5:$C$124,$S56,⑳商品別1食労務費!$F$5:$F$124)/$AA56,$AB56/$X56))</f>
        <v/>
      </c>
      <c r="AF56" s="413">
        <f>IF($T56="",0,IF($AA56&gt;0,$AB56*SUMIF(⑳商品別1食労務費!$C$5:$C$124,$T56,⑳商品別1食労務費!$F$5:$F$124)/$AA56,$AB56/$X56))</f>
        <v/>
      </c>
      <c r="AG56" s="413">
        <f>IF($U56="",0,IF($AA56&gt;0,$AB56*SUMIF(⑳商品別1食労務費!$C$5:$C$124,$U56,⑳商品別1食労務費!$F$5:$F$124)/$AA56,$AB56/$X56))</f>
        <v/>
      </c>
      <c r="AH56" s="413">
        <f>IF($V56="",0,IF($AA56&gt;0,$AB56*SUMIF(⑳商品別1食労務費!$C$5:$C$124,$V56,⑳商品別1食労務費!$F$5:$F$124)/$AA56,$AB56/$X56))</f>
        <v/>
      </c>
      <c r="AI56" s="413">
        <f>IF($W56="",0,IF($AA56&gt;0,$AB56*SUMIF(⑳商品別1食労務費!$C$5:$C$124,$W56,⑳商品別1食労務費!$F$5:$F$124)/$AA56,$AB56/$X56))</f>
        <v/>
      </c>
    </row>
    <row r="57" ht="16" customHeight="1" s="438">
      <c r="A57" s="50" t="n">
        <v>53</v>
      </c>
      <c r="B57" s="51" t="inlineStr">
        <is>
          <t>スチコン解凍</t>
        </is>
      </c>
      <c r="C57" s="5" t="inlineStr">
        <is>
          <t>スイートポテト大小（スチコン解凍）</t>
        </is>
      </c>
      <c r="D57" s="5" t="n"/>
      <c r="E57" s="5" t="n"/>
      <c r="F57" s="52" t="n"/>
      <c r="G57" s="7" t="n">
        <v>15.9</v>
      </c>
      <c r="H57" s="7" t="n">
        <v>1</v>
      </c>
      <c r="I57" s="7" t="n"/>
      <c r="J57" s="7" t="n">
        <v>212</v>
      </c>
      <c r="K57" s="513">
        <f>IF(F57&gt;0,I57/(F57/60),0)</f>
        <v/>
      </c>
      <c r="L57" s="514">
        <f>IF(AND(ISNUMBER(F57),J57&gt;0),J57/(F57/60),"")</f>
        <v/>
      </c>
      <c r="M57" s="9">
        <f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/>
      </c>
      <c r="N57" s="513">
        <f>IF(I57&gt;0,M57/I57,"")</f>
        <v/>
      </c>
      <c r="O57" s="514">
        <f>IF(AND(J57&gt;0,ISNUMBER(M57)),M57/J57,"")</f>
        <v/>
      </c>
      <c r="P57" s="53" t="inlineStr">
        <is>
          <t>前回資料</t>
        </is>
      </c>
      <c r="Q57" s="54" t="inlineStr">
        <is>
          <t>前回資料「益子生産性最新」から展開</t>
        </is>
      </c>
      <c r="R57" s="5" t="inlineStr">
        <is>
          <t>蜜いもスイートポテト（小）</t>
        </is>
      </c>
      <c r="S57" s="5" t="n"/>
      <c r="T57" s="5" t="n"/>
      <c r="U57" s="5" t="n"/>
      <c r="V57" s="5" t="n"/>
      <c r="W57" s="5" t="n"/>
      <c r="X57">
        <f>COUNTA(R57:W57)</f>
        <v/>
      </c>
      <c r="Y57">
        <f>IF(AND($X57&gt;0,ISNUMBER($M57)),$M57/$X57,"")</f>
        <v/>
      </c>
      <c r="Z57">
        <f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>
        <f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/>
      </c>
      <c r="AB57">
        <f>IF(ISNUMBER($M57),$M57,0)</f>
        <v/>
      </c>
      <c r="AD57" s="413">
        <f>IF($R57="",0,IF($AA57&gt;0,$AB57*SUMIF(⑳商品別1食労務費!$C$5:$C$124,$R57,⑳商品別1食労務費!$F$5:$F$124)/$AA57,$AB57/$X57))</f>
        <v/>
      </c>
      <c r="AE57" s="413">
        <f>IF($S57="",0,IF($AA57&gt;0,$AB57*SUMIF(⑳商品別1食労務費!$C$5:$C$124,$S57,⑳商品別1食労務費!$F$5:$F$124)/$AA57,$AB57/$X57))</f>
        <v/>
      </c>
      <c r="AF57" s="413">
        <f>IF($T57="",0,IF($AA57&gt;0,$AB57*SUMIF(⑳商品別1食労務費!$C$5:$C$124,$T57,⑳商品別1食労務費!$F$5:$F$124)/$AA57,$AB57/$X57))</f>
        <v/>
      </c>
      <c r="AG57" s="413">
        <f>IF($U57="",0,IF($AA57&gt;0,$AB57*SUMIF(⑳商品別1食労務費!$C$5:$C$124,$U57,⑳商品別1食労務費!$F$5:$F$124)/$AA57,$AB57/$X57))</f>
        <v/>
      </c>
      <c r="AH57" s="413">
        <f>IF($V57="",0,IF($AA57&gt;0,$AB57*SUMIF(⑳商品別1食労務費!$C$5:$C$124,$V57,⑳商品別1食労務費!$F$5:$F$124)/$AA57,$AB57/$X57))</f>
        <v/>
      </c>
      <c r="AI57" s="413">
        <f>IF($W57="",0,IF($AA57&gt;0,$AB57*SUMIF(⑳商品別1食労務費!$C$5:$C$124,$W57,⑳商品別1食労務費!$F$5:$F$124)/$AA57,$AB57/$X57))</f>
        <v/>
      </c>
    </row>
    <row r="58" ht="16" customHeight="1" s="438">
      <c r="A58" s="12" t="n">
        <v>54</v>
      </c>
      <c r="B58" s="55" t="n"/>
      <c r="C58" s="5" t="n"/>
      <c r="D58" s="5" t="n"/>
      <c r="E58" s="5" t="n"/>
      <c r="F58" s="14" t="n"/>
      <c r="G58" s="12" t="n"/>
      <c r="H58" s="12" t="n"/>
      <c r="I58" s="12" t="n"/>
      <c r="J58" s="12" t="n"/>
      <c r="K58" s="12" t="n"/>
      <c r="L58" s="515" t="n"/>
      <c r="M58" s="12" t="n"/>
      <c r="N58" s="12" t="n"/>
      <c r="O58" s="515" t="n"/>
      <c r="P58" s="15" t="n"/>
      <c r="Q58" s="16" t="n"/>
      <c r="R58" s="5" t="n"/>
      <c r="S58" s="5" t="n"/>
      <c r="T58" s="5" t="n"/>
      <c r="U58" s="5" t="n"/>
      <c r="V58" s="5" t="n"/>
      <c r="W58" s="5" t="n"/>
      <c r="X58">
        <f>COUNTA(R58:W58)</f>
        <v/>
      </c>
      <c r="Y58">
        <f>IF(AND($X58&gt;0,ISNUMBER($M58)),$M58/$X58,"")</f>
        <v/>
      </c>
      <c r="Z58">
        <f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>
        <f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/>
      </c>
      <c r="AB58">
        <f>IF(ISNUMBER($M58),$M58,0)</f>
        <v/>
      </c>
      <c r="AD58" s="413">
        <f>IF($R58="",0,IF($AA58&gt;0,$AB58*SUMIF(⑳商品別1食労務費!$C$5:$C$124,$R58,⑳商品別1食労務費!$F$5:$F$124)/$AA58,$AB58/$X58))</f>
        <v/>
      </c>
      <c r="AE58" s="413">
        <f>IF($S58="",0,IF($AA58&gt;0,$AB58*SUMIF(⑳商品別1食労務費!$C$5:$C$124,$S58,⑳商品別1食労務費!$F$5:$F$124)/$AA58,$AB58/$X58))</f>
        <v/>
      </c>
      <c r="AF58" s="413">
        <f>IF($T58="",0,IF($AA58&gt;0,$AB58*SUMIF(⑳商品別1食労務費!$C$5:$C$124,$T58,⑳商品別1食労務費!$F$5:$F$124)/$AA58,$AB58/$X58))</f>
        <v/>
      </c>
      <c r="AG58" s="413">
        <f>IF($U58="",0,IF($AA58&gt;0,$AB58*SUMIF(⑳商品別1食労務費!$C$5:$C$124,$U58,⑳商品別1食労務費!$F$5:$F$124)/$AA58,$AB58/$X58))</f>
        <v/>
      </c>
      <c r="AH58" s="413">
        <f>IF($V58="",0,IF($AA58&gt;0,$AB58*SUMIF(⑳商品別1食労務費!$C$5:$C$124,$V58,⑳商品別1食労務費!$F$5:$F$124)/$AA58,$AB58/$X58))</f>
        <v/>
      </c>
      <c r="AI58" s="413">
        <f>IF($W58="",0,IF($AA58&gt;0,$AB58*SUMIF(⑳商品別1食労務費!$C$5:$C$124,$W58,⑳商品別1食労務費!$F$5:$F$124)/$AA58,$AB58/$X58))</f>
        <v/>
      </c>
    </row>
    <row r="59" ht="16" customHeight="1" s="438">
      <c r="A59" s="50" t="n">
        <v>55</v>
      </c>
      <c r="B59" s="51" t="n"/>
      <c r="C59" s="5" t="n"/>
      <c r="D59" s="5" t="n"/>
      <c r="E59" s="5" t="n"/>
      <c r="F59" s="52" t="n"/>
      <c r="G59" s="7" t="n"/>
      <c r="H59" s="7" t="n"/>
      <c r="I59" s="7" t="n"/>
      <c r="J59" s="7" t="n"/>
      <c r="K59" s="513">
        <f>IF(F59&gt;0,I59/(F59/60),0)</f>
        <v/>
      </c>
      <c r="L59" s="514">
        <f>IF(AND(ISNUMBER(F59),J59&gt;0),J59/(F59/60),"")</f>
        <v/>
      </c>
      <c r="M59" s="9">
        <f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513">
        <f>IF(I59&gt;0,M59/I59,"")</f>
        <v/>
      </c>
      <c r="O59" s="514">
        <f>IF(AND(J59&gt;0,ISNUMBER(M59)),M59/J59,"")</f>
        <v/>
      </c>
      <c r="P59" s="53" t="n"/>
      <c r="Q59" s="54" t="n"/>
      <c r="R59" s="5" t="n"/>
      <c r="S59" s="5" t="n"/>
      <c r="T59" s="5" t="n"/>
      <c r="U59" s="5" t="n"/>
      <c r="V59" s="5" t="n"/>
      <c r="W59" s="5" t="n"/>
      <c r="X59">
        <f>COUNTA(R59:W59)</f>
        <v/>
      </c>
      <c r="Y59">
        <f>IF(AND($X59&gt;0,ISNUMBER($M59)),$M59/$X59,"")</f>
        <v/>
      </c>
      <c r="Z59">
        <f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>
        <f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/>
      </c>
      <c r="AB59">
        <f>IF(ISNUMBER($M59),$M59,0)</f>
        <v/>
      </c>
      <c r="AD59" s="413">
        <f>IF($R59="",0,IF($AA59&gt;0,$AB59*SUMIF(⑳商品別1食労務費!$C$5:$C$124,$R59,⑳商品別1食労務費!$F$5:$F$124)/$AA59,$AB59/$X59))</f>
        <v/>
      </c>
      <c r="AE59" s="413">
        <f>IF($S59="",0,IF($AA59&gt;0,$AB59*SUMIF(⑳商品別1食労務費!$C$5:$C$124,$S59,⑳商品別1食労務費!$F$5:$F$124)/$AA59,$AB59/$X59))</f>
        <v/>
      </c>
      <c r="AF59" s="413">
        <f>IF($T59="",0,IF($AA59&gt;0,$AB59*SUMIF(⑳商品別1食労務費!$C$5:$C$124,$T59,⑳商品別1食労務費!$F$5:$F$124)/$AA59,$AB59/$X59))</f>
        <v/>
      </c>
      <c r="AG59" s="413">
        <f>IF($U59="",0,IF($AA59&gt;0,$AB59*SUMIF(⑳商品別1食労務費!$C$5:$C$124,$U59,⑳商品別1食労務費!$F$5:$F$124)/$AA59,$AB59/$X59))</f>
        <v/>
      </c>
      <c r="AH59" s="413">
        <f>IF($V59="",0,IF($AA59&gt;0,$AB59*SUMIF(⑳商品別1食労務費!$C$5:$C$124,$V59,⑳商品別1食労務費!$F$5:$F$124)/$AA59,$AB59/$X59))</f>
        <v/>
      </c>
      <c r="AI59" s="413">
        <f>IF($W59="",0,IF($AA59&gt;0,$AB59*SUMIF(⑳商品別1食労務費!$C$5:$C$124,$W59,⑳商品別1食労務費!$F$5:$F$124)/$AA59,$AB59/$X59))</f>
        <v/>
      </c>
    </row>
    <row r="60" ht="16" customHeight="1" s="438">
      <c r="A60" s="50" t="n">
        <v>56</v>
      </c>
      <c r="B60" s="51" t="n"/>
      <c r="C60" s="5" t="n"/>
      <c r="D60" s="5" t="n"/>
      <c r="E60" s="5" t="n"/>
      <c r="F60" s="52" t="n"/>
      <c r="G60" s="7" t="n"/>
      <c r="H60" s="7" t="n"/>
      <c r="I60" s="7" t="n"/>
      <c r="J60" s="7" t="n"/>
      <c r="K60" s="513">
        <f>IF(F60&gt;0,I60/(F60/60),0)</f>
        <v/>
      </c>
      <c r="L60" s="514">
        <f>IF(AND(ISNUMBER(F60),J60&gt;0),J60/(F60/60),"")</f>
        <v/>
      </c>
      <c r="M60" s="9">
        <f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513">
        <f>IF(I60&gt;0,M60/I60,"")</f>
        <v/>
      </c>
      <c r="O60" s="514">
        <f>IF(AND(J60&gt;0,ISNUMBER(M60)),M60/J60,"")</f>
        <v/>
      </c>
      <c r="P60" s="53" t="n"/>
      <c r="Q60" s="54" t="n"/>
      <c r="R60" s="5" t="n"/>
      <c r="S60" s="5" t="n"/>
      <c r="T60" s="5" t="n"/>
      <c r="U60" s="5" t="n"/>
      <c r="V60" s="5" t="n"/>
      <c r="W60" s="5" t="n"/>
      <c r="X60">
        <f>COUNTA(R60:W60)</f>
        <v/>
      </c>
      <c r="Y60">
        <f>IF(AND($X60&gt;0,ISNUMBER($M60)),$M60/$X60,"")</f>
        <v/>
      </c>
      <c r="Z60">
        <f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>
        <f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/>
      </c>
      <c r="AB60">
        <f>IF(ISNUMBER($M60),$M60,0)</f>
        <v/>
      </c>
      <c r="AD60" s="413">
        <f>IF($R60="",0,IF($AA60&gt;0,$AB60*SUMIF(⑳商品別1食労務費!$C$5:$C$124,$R60,⑳商品別1食労務費!$F$5:$F$124)/$AA60,$AB60/$X60))</f>
        <v/>
      </c>
      <c r="AE60" s="413">
        <f>IF($S60="",0,IF($AA60&gt;0,$AB60*SUMIF(⑳商品別1食労務費!$C$5:$C$124,$S60,⑳商品別1食労務費!$F$5:$F$124)/$AA60,$AB60/$X60))</f>
        <v/>
      </c>
      <c r="AF60" s="413">
        <f>IF($T60="",0,IF($AA60&gt;0,$AB60*SUMIF(⑳商品別1食労務費!$C$5:$C$124,$T60,⑳商品別1食労務費!$F$5:$F$124)/$AA60,$AB60/$X60))</f>
        <v/>
      </c>
      <c r="AG60" s="413">
        <f>IF($U60="",0,IF($AA60&gt;0,$AB60*SUMIF(⑳商品別1食労務費!$C$5:$C$124,$U60,⑳商品別1食労務費!$F$5:$F$124)/$AA60,$AB60/$X60))</f>
        <v/>
      </c>
      <c r="AH60" s="413">
        <f>IF($V60="",0,IF($AA60&gt;0,$AB60*SUMIF(⑳商品別1食労務費!$C$5:$C$124,$V60,⑳商品別1食労務費!$F$5:$F$124)/$AA60,$AB60/$X60))</f>
        <v/>
      </c>
      <c r="AI60" s="413">
        <f>IF($W60="",0,IF($AA60&gt;0,$AB60*SUMIF(⑳商品別1食労務費!$C$5:$C$124,$W60,⑳商品別1食労務費!$F$5:$F$124)/$AA60,$AB60/$X60))</f>
        <v/>
      </c>
    </row>
    <row r="61" ht="16" customHeight="1" s="438">
      <c r="A61" s="50" t="n">
        <v>57</v>
      </c>
      <c r="B61" s="51" t="n"/>
      <c r="C61" s="5" t="n"/>
      <c r="D61" s="5" t="n"/>
      <c r="E61" s="5" t="n"/>
      <c r="F61" s="52" t="n"/>
      <c r="G61" s="7" t="n"/>
      <c r="H61" s="7" t="n"/>
      <c r="I61" s="7" t="n"/>
      <c r="J61" s="7" t="n"/>
      <c r="K61" s="513">
        <f>IF(F61&gt;0,I61/(F61/60),0)</f>
        <v/>
      </c>
      <c r="L61" s="514">
        <f>IF(AND(ISNUMBER(F61),J61&gt;0),J61/(F61/60),"")</f>
        <v/>
      </c>
      <c r="M61" s="9">
        <f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513">
        <f>IF(I61&gt;0,M61/I61,"")</f>
        <v/>
      </c>
      <c r="O61" s="514">
        <f>IF(AND(J61&gt;0,ISNUMBER(M61)),M61/J61,"")</f>
        <v/>
      </c>
      <c r="P61" s="53" t="n"/>
      <c r="Q61" s="54" t="n"/>
      <c r="R61" s="5" t="n"/>
      <c r="S61" s="5" t="n"/>
      <c r="T61" s="5" t="n"/>
      <c r="U61" s="5" t="n"/>
      <c r="V61" s="5" t="n"/>
      <c r="W61" s="5" t="n"/>
      <c r="X61">
        <f>COUNTA(R61:W61)</f>
        <v/>
      </c>
      <c r="Y61">
        <f>IF(AND($X61&gt;0,ISNUMBER($M61)),$M61/$X61,"")</f>
        <v/>
      </c>
      <c r="Z61">
        <f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>
        <f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/>
      </c>
      <c r="AB61">
        <f>IF(ISNUMBER($M61),$M61,0)</f>
        <v/>
      </c>
      <c r="AD61" s="413">
        <f>IF($R61="",0,IF($AA61&gt;0,$AB61*SUMIF(⑳商品別1食労務費!$C$5:$C$124,$R61,⑳商品別1食労務費!$F$5:$F$124)/$AA61,$AB61/$X61))</f>
        <v/>
      </c>
      <c r="AE61" s="413">
        <f>IF($S61="",0,IF($AA61&gt;0,$AB61*SUMIF(⑳商品別1食労務費!$C$5:$C$124,$S61,⑳商品別1食労務費!$F$5:$F$124)/$AA61,$AB61/$X61))</f>
        <v/>
      </c>
      <c r="AF61" s="413">
        <f>IF($T61="",0,IF($AA61&gt;0,$AB61*SUMIF(⑳商品別1食労務費!$C$5:$C$124,$T61,⑳商品別1食労務費!$F$5:$F$124)/$AA61,$AB61/$X61))</f>
        <v/>
      </c>
      <c r="AG61" s="413">
        <f>IF($U61="",0,IF($AA61&gt;0,$AB61*SUMIF(⑳商品別1食労務費!$C$5:$C$124,$U61,⑳商品別1食労務費!$F$5:$F$124)/$AA61,$AB61/$X61))</f>
        <v/>
      </c>
      <c r="AH61" s="413">
        <f>IF($V61="",0,IF($AA61&gt;0,$AB61*SUMIF(⑳商品別1食労務費!$C$5:$C$124,$V61,⑳商品別1食労務費!$F$5:$F$124)/$AA61,$AB61/$X61))</f>
        <v/>
      </c>
      <c r="AI61" s="413">
        <f>IF($W61="",0,IF($AA61&gt;0,$AB61*SUMIF(⑳商品別1食労務費!$C$5:$C$124,$W61,⑳商品別1食労務費!$F$5:$F$124)/$AA61,$AB61/$X61))</f>
        <v/>
      </c>
    </row>
    <row r="62" ht="16" customHeight="1" s="438">
      <c r="A62" s="50" t="n">
        <v>58</v>
      </c>
      <c r="B62" s="51" t="n"/>
      <c r="C62" s="5" t="n"/>
      <c r="D62" s="5" t="n"/>
      <c r="E62" s="5" t="n"/>
      <c r="F62" s="52" t="n"/>
      <c r="G62" s="7" t="n"/>
      <c r="H62" s="7" t="n"/>
      <c r="I62" s="7" t="n"/>
      <c r="J62" s="7" t="n"/>
      <c r="K62" s="513">
        <f>IF(F62&gt;0,I62/(F62/60),0)</f>
        <v/>
      </c>
      <c r="L62" s="514">
        <f>IF(AND(ISNUMBER(F62),J62&gt;0),J62/(F62/60),"")</f>
        <v/>
      </c>
      <c r="M62" s="9">
        <f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513">
        <f>IF(I62&gt;0,M62/I62,"")</f>
        <v/>
      </c>
      <c r="O62" s="514">
        <f>IF(AND(J62&gt;0,ISNUMBER(M62)),M62/J62,"")</f>
        <v/>
      </c>
      <c r="P62" s="53" t="n"/>
      <c r="Q62" s="54" t="n"/>
      <c r="R62" s="5" t="n"/>
      <c r="S62" s="5" t="n"/>
      <c r="T62" s="5" t="n"/>
      <c r="U62" s="5" t="n"/>
      <c r="V62" s="5" t="n"/>
      <c r="W62" s="5" t="n"/>
      <c r="X62">
        <f>COUNTA(R62:W62)</f>
        <v/>
      </c>
      <c r="Y62">
        <f>IF(AND($X62&gt;0,ISNUMBER($M62)),$M62/$X62,"")</f>
        <v/>
      </c>
      <c r="Z62">
        <f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>
        <f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/>
      </c>
      <c r="AB62">
        <f>IF(ISNUMBER($M62),$M62,0)</f>
        <v/>
      </c>
      <c r="AD62" s="413">
        <f>IF($R62="",0,IF($AA62&gt;0,$AB62*SUMIF(⑳商品別1食労務費!$C$5:$C$124,$R62,⑳商品別1食労務費!$F$5:$F$124)/$AA62,$AB62/$X62))</f>
        <v/>
      </c>
      <c r="AE62" s="413">
        <f>IF($S62="",0,IF($AA62&gt;0,$AB62*SUMIF(⑳商品別1食労務費!$C$5:$C$124,$S62,⑳商品別1食労務費!$F$5:$F$124)/$AA62,$AB62/$X62))</f>
        <v/>
      </c>
      <c r="AF62" s="413">
        <f>IF($T62="",0,IF($AA62&gt;0,$AB62*SUMIF(⑳商品別1食労務費!$C$5:$C$124,$T62,⑳商品別1食労務費!$F$5:$F$124)/$AA62,$AB62/$X62))</f>
        <v/>
      </c>
      <c r="AG62" s="413">
        <f>IF($U62="",0,IF($AA62&gt;0,$AB62*SUMIF(⑳商品別1食労務費!$C$5:$C$124,$U62,⑳商品別1食労務費!$F$5:$F$124)/$AA62,$AB62/$X62))</f>
        <v/>
      </c>
      <c r="AH62" s="413">
        <f>IF($V62="",0,IF($AA62&gt;0,$AB62*SUMIF(⑳商品別1食労務費!$C$5:$C$124,$V62,⑳商品別1食労務費!$F$5:$F$124)/$AA62,$AB62/$X62))</f>
        <v/>
      </c>
      <c r="AI62" s="413">
        <f>IF($W62="",0,IF($AA62&gt;0,$AB62*SUMIF(⑳商品別1食労務費!$C$5:$C$124,$W62,⑳商品別1食労務費!$F$5:$F$124)/$AA62,$AB62/$X62))</f>
        <v/>
      </c>
    </row>
    <row r="63" ht="16" customHeight="1" s="438">
      <c r="A63" s="50" t="n">
        <v>59</v>
      </c>
      <c r="B63" s="51" t="n"/>
      <c r="C63" s="5" t="n"/>
      <c r="D63" s="5" t="n"/>
      <c r="E63" s="5" t="n"/>
      <c r="F63" s="52" t="n"/>
      <c r="G63" s="7" t="n"/>
      <c r="H63" s="7" t="n"/>
      <c r="I63" s="7" t="n"/>
      <c r="J63" s="7" t="n"/>
      <c r="K63" s="513">
        <f>IF(F63&gt;0,I63/(F63/60),0)</f>
        <v/>
      </c>
      <c r="L63" s="514">
        <f>IF(AND(ISNUMBER(F63),J63&gt;0),J63/(F63/60),"")</f>
        <v/>
      </c>
      <c r="M63" s="9">
        <f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513">
        <f>IF(I63&gt;0,M63/I63,"")</f>
        <v/>
      </c>
      <c r="O63" s="514">
        <f>IF(AND(J63&gt;0,ISNUMBER(M63)),M63/J63,"")</f>
        <v/>
      </c>
      <c r="P63" s="53" t="n"/>
      <c r="Q63" s="54" t="n"/>
      <c r="R63" s="5" t="n"/>
      <c r="S63" s="5" t="n"/>
      <c r="T63" s="5" t="n"/>
      <c r="U63" s="5" t="n"/>
      <c r="V63" s="5" t="n"/>
      <c r="W63" s="5" t="n"/>
      <c r="X63">
        <f>COUNTA(R63:W63)</f>
        <v/>
      </c>
      <c r="Y63">
        <f>IF(AND($X63&gt;0,ISNUMBER($M63)),$M63/$X63,"")</f>
        <v/>
      </c>
      <c r="Z63">
        <f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>
        <f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/>
      </c>
      <c r="AB63">
        <f>IF(ISNUMBER($M63),$M63,0)</f>
        <v/>
      </c>
      <c r="AD63" s="413">
        <f>IF($R63="",0,IF($AA63&gt;0,$AB63*SUMIF(⑳商品別1食労務費!$C$5:$C$124,$R63,⑳商品別1食労務費!$F$5:$F$124)/$AA63,$AB63/$X63))</f>
        <v/>
      </c>
      <c r="AE63" s="413">
        <f>IF($S63="",0,IF($AA63&gt;0,$AB63*SUMIF(⑳商品別1食労務費!$C$5:$C$124,$S63,⑳商品別1食労務費!$F$5:$F$124)/$AA63,$AB63/$X63))</f>
        <v/>
      </c>
      <c r="AF63" s="413">
        <f>IF($T63="",0,IF($AA63&gt;0,$AB63*SUMIF(⑳商品別1食労務費!$C$5:$C$124,$T63,⑳商品別1食労務費!$F$5:$F$124)/$AA63,$AB63/$X63))</f>
        <v/>
      </c>
      <c r="AG63" s="413">
        <f>IF($U63="",0,IF($AA63&gt;0,$AB63*SUMIF(⑳商品別1食労務費!$C$5:$C$124,$U63,⑳商品別1食労務費!$F$5:$F$124)/$AA63,$AB63/$X63))</f>
        <v/>
      </c>
      <c r="AH63" s="413">
        <f>IF($V63="",0,IF($AA63&gt;0,$AB63*SUMIF(⑳商品別1食労務費!$C$5:$C$124,$V63,⑳商品別1食労務費!$F$5:$F$124)/$AA63,$AB63/$X63))</f>
        <v/>
      </c>
      <c r="AI63" s="413">
        <f>IF($W63="",0,IF($AA63&gt;0,$AB63*SUMIF(⑳商品別1食労務費!$C$5:$C$124,$W63,⑳商品別1食労務費!$F$5:$F$124)/$AA63,$AB63/$X63))</f>
        <v/>
      </c>
    </row>
    <row r="64" ht="16" customHeight="1" s="438">
      <c r="A64" s="50" t="n">
        <v>60</v>
      </c>
      <c r="B64" s="51" t="n"/>
      <c r="C64" s="5" t="n"/>
      <c r="D64" s="5" t="n"/>
      <c r="E64" s="5" t="n"/>
      <c r="F64" s="52" t="n"/>
      <c r="G64" s="7" t="n"/>
      <c r="H64" s="7" t="n"/>
      <c r="I64" s="7" t="n"/>
      <c r="J64" s="7" t="n"/>
      <c r="K64" s="513">
        <f>IF(F64&gt;0,I64/(F64/60),0)</f>
        <v/>
      </c>
      <c r="L64" s="514">
        <f>IF(AND(ISNUMBER(F64),J64&gt;0),J64/(F64/60),"")</f>
        <v/>
      </c>
      <c r="M64" s="9">
        <f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513">
        <f>IF(I64&gt;0,M64/I64,"")</f>
        <v/>
      </c>
      <c r="O64" s="514">
        <f>IF(AND(J64&gt;0,ISNUMBER(M64)),M64/J64,"")</f>
        <v/>
      </c>
      <c r="P64" s="53" t="n"/>
      <c r="Q64" s="54" t="n"/>
      <c r="R64" s="5" t="n"/>
      <c r="S64" s="5" t="n"/>
      <c r="T64" s="5" t="n"/>
      <c r="U64" s="5" t="n"/>
      <c r="V64" s="5" t="n"/>
      <c r="W64" s="5" t="n"/>
      <c r="X64">
        <f>COUNTA(R64:W64)</f>
        <v/>
      </c>
      <c r="Y64">
        <f>IF(AND($X64&gt;0,ISNUMBER($M64)),$M64/$X64,"")</f>
        <v/>
      </c>
      <c r="Z64">
        <f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>
        <f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/>
      </c>
      <c r="AB64">
        <f>IF(ISNUMBER($M64),$M64,0)</f>
        <v/>
      </c>
      <c r="AD64" s="413">
        <f>IF($R64="",0,IF($AA64&gt;0,$AB64*SUMIF(⑳商品別1食労務費!$C$5:$C$124,$R64,⑳商品別1食労務費!$F$5:$F$124)/$AA64,$AB64/$X64))</f>
        <v/>
      </c>
      <c r="AE64" s="413">
        <f>IF($S64="",0,IF($AA64&gt;0,$AB64*SUMIF(⑳商品別1食労務費!$C$5:$C$124,$S64,⑳商品別1食労務費!$F$5:$F$124)/$AA64,$AB64/$X64))</f>
        <v/>
      </c>
      <c r="AF64" s="413">
        <f>IF($T64="",0,IF($AA64&gt;0,$AB64*SUMIF(⑳商品別1食労務費!$C$5:$C$124,$T64,⑳商品別1食労務費!$F$5:$F$124)/$AA64,$AB64/$X64))</f>
        <v/>
      </c>
      <c r="AG64" s="413">
        <f>IF($U64="",0,IF($AA64&gt;0,$AB64*SUMIF(⑳商品別1食労務費!$C$5:$C$124,$U64,⑳商品別1食労務費!$F$5:$F$124)/$AA64,$AB64/$X64))</f>
        <v/>
      </c>
      <c r="AH64" s="413">
        <f>IF($V64="",0,IF($AA64&gt;0,$AB64*SUMIF(⑳商品別1食労務費!$C$5:$C$124,$V64,⑳商品別1食労務費!$F$5:$F$124)/$AA64,$AB64/$X64))</f>
        <v/>
      </c>
      <c r="AI64" s="413">
        <f>IF($W64="",0,IF($AA64&gt;0,$AB64*SUMIF(⑳商品別1食労務費!$C$5:$C$124,$W64,⑳商品別1食労務費!$F$5:$F$124)/$AA64,$AB64/$X64))</f>
        <v/>
      </c>
    </row>
    <row r="65" ht="16" customHeight="1" s="438">
      <c r="A65" s="50" t="n">
        <v>61</v>
      </c>
      <c r="B65" s="51" t="n"/>
      <c r="C65" s="5" t="n"/>
      <c r="D65" s="5" t="n"/>
      <c r="E65" s="5" t="n"/>
      <c r="F65" s="52" t="n"/>
      <c r="G65" s="7" t="n"/>
      <c r="H65" s="7" t="n"/>
      <c r="I65" s="7" t="n"/>
      <c r="J65" s="7" t="n"/>
      <c r="K65" s="513">
        <f>IF(F65&gt;0,I65/(F65/60),0)</f>
        <v/>
      </c>
      <c r="L65" s="514">
        <f>IF(AND(ISNUMBER(F65),J65&gt;0),J65/(F65/60),"")</f>
        <v/>
      </c>
      <c r="M65" s="9">
        <f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513">
        <f>IF(I65&gt;0,M65/I65,"")</f>
        <v/>
      </c>
      <c r="O65" s="514">
        <f>IF(AND(J65&gt;0,ISNUMBER(M65)),M65/J65,"")</f>
        <v/>
      </c>
      <c r="P65" s="53" t="n"/>
      <c r="Q65" s="54" t="n"/>
      <c r="R65" s="5" t="n"/>
      <c r="S65" s="5" t="n"/>
      <c r="T65" s="5" t="n"/>
      <c r="U65" s="5" t="n"/>
      <c r="V65" s="5" t="n"/>
      <c r="W65" s="5" t="n"/>
      <c r="X65">
        <f>COUNTA(R65:W65)</f>
        <v/>
      </c>
      <c r="Y65">
        <f>IF(AND($X65&gt;0,ISNUMBER($M65)),$M65/$X65,"")</f>
        <v/>
      </c>
      <c r="Z65">
        <f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>
        <f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/>
      </c>
      <c r="AB65">
        <f>IF(ISNUMBER($M65),$M65,0)</f>
        <v/>
      </c>
      <c r="AD65" s="413">
        <f>IF($R65="",0,IF($AA65&gt;0,$AB65*SUMIF(⑳商品別1食労務費!$C$5:$C$124,$R65,⑳商品別1食労務費!$F$5:$F$124)/$AA65,$AB65/$X65))</f>
        <v/>
      </c>
      <c r="AE65" s="413">
        <f>IF($S65="",0,IF($AA65&gt;0,$AB65*SUMIF(⑳商品別1食労務費!$C$5:$C$124,$S65,⑳商品別1食労務費!$F$5:$F$124)/$AA65,$AB65/$X65))</f>
        <v/>
      </c>
      <c r="AF65" s="413">
        <f>IF($T65="",0,IF($AA65&gt;0,$AB65*SUMIF(⑳商品別1食労務費!$C$5:$C$124,$T65,⑳商品別1食労務費!$F$5:$F$124)/$AA65,$AB65/$X65))</f>
        <v/>
      </c>
      <c r="AG65" s="413">
        <f>IF($U65="",0,IF($AA65&gt;0,$AB65*SUMIF(⑳商品別1食労務費!$C$5:$C$124,$U65,⑳商品別1食労務費!$F$5:$F$124)/$AA65,$AB65/$X65))</f>
        <v/>
      </c>
      <c r="AH65" s="413">
        <f>IF($V65="",0,IF($AA65&gt;0,$AB65*SUMIF(⑳商品別1食労務費!$C$5:$C$124,$V65,⑳商品別1食労務費!$F$5:$F$124)/$AA65,$AB65/$X65))</f>
        <v/>
      </c>
      <c r="AI65" s="413">
        <f>IF($W65="",0,IF($AA65&gt;0,$AB65*SUMIF(⑳商品別1食労務費!$C$5:$C$124,$W65,⑳商品別1食労務費!$F$5:$F$124)/$AA65,$AB65/$X65))</f>
        <v/>
      </c>
    </row>
    <row r="66" ht="16" customHeight="1" s="438">
      <c r="A66" s="50" t="n">
        <v>62</v>
      </c>
      <c r="B66" s="51" t="n"/>
      <c r="C66" s="5" t="n"/>
      <c r="D66" s="5" t="n"/>
      <c r="E66" s="5" t="n"/>
      <c r="F66" s="52" t="n"/>
      <c r="G66" s="7" t="n"/>
      <c r="H66" s="7" t="n"/>
      <c r="I66" s="7" t="n"/>
      <c r="J66" s="7" t="n"/>
      <c r="K66" s="513">
        <f>IF(F66&gt;0,I66/(F66/60),0)</f>
        <v/>
      </c>
      <c r="L66" s="514">
        <f>IF(AND(ISNUMBER(F66),J66&gt;0),J66/(F66/60),"")</f>
        <v/>
      </c>
      <c r="M66" s="9">
        <f>IF(OR(ISNUMBER(SEARCH("サニテーション",C66)),ISNUMBER(SEARCH("客注",C66)),ISNUMBER(SEARCH("切り替え",C66)),ISNUMBER(SEARCH("切替",C66)),NOT(ISNUMBER(H66))),"",IF(ISNUMBER(G66),G66/60*H66*④前提設定!$B$4,IF(AND(G66="",ISNUMBER(F66)),F66/60*H66*④前提設定!$B$4,"")))</f>
        <v/>
      </c>
      <c r="N66" s="513">
        <f>IF(I66&gt;0,M66/I66,"")</f>
        <v/>
      </c>
      <c r="O66" s="514">
        <f>IF(AND(J66&gt;0,ISNUMBER(M66)),M66/J66,"")</f>
        <v/>
      </c>
      <c r="P66" s="53" t="n"/>
      <c r="Q66" s="54" t="n"/>
      <c r="R66" s="5" t="n"/>
      <c r="S66" s="5" t="n"/>
      <c r="T66" s="5" t="n"/>
      <c r="U66" s="5" t="n"/>
      <c r="V66" s="5" t="n"/>
      <c r="W66" s="5" t="n"/>
      <c r="X66">
        <f>COUNTA(R66:W66)</f>
        <v/>
      </c>
      <c r="Y66">
        <f>IF(AND($X66&gt;0,ISNUMBER($M66)),$M66/$X66,"")</f>
        <v/>
      </c>
      <c r="Z66">
        <f>IF($X66=0,"",IF(COUNTIF(⑳商品別1食労務費!$C$5:$C$124,$R66)+COUNTIF(⑳商品別1食労務費!$C$5:$C$124,$S66)+COUNTIF(⑳商品別1食労務費!$C$5:$C$124,$T66)+COUNTIF(⑳商品別1食労務費!$C$5:$C$124,$U66)+COUNTIF(⑳商品別1食労務費!$C$5:$C$124,$V66)+COUNTIF(⑳商品別1食労務費!$C$5:$C$124,$W66)=$X66,"OK","⑳に無い商品名"))</f>
        <v/>
      </c>
      <c r="AA66">
        <f>SUMIF(⑳商品別1食労務費!$C$5:$C$124,$R66,⑳商品別1食労務費!$F$5:$F$124)+SUMIF(⑳商品別1食労務費!$C$5:$C$124,$S66,⑳商品別1食労務費!$F$5:$F$124)+SUMIF(⑳商品別1食労務費!$C$5:$C$124,$T66,⑳商品別1食労務費!$F$5:$F$124)+SUMIF(⑳商品別1食労務費!$C$5:$C$124,$U66,⑳商品別1食労務費!$F$5:$F$124)+SUMIF(⑳商品別1食労務費!$C$5:$C$124,$V66,⑳商品別1食労務費!$F$5:$F$124)+SUMIF(⑳商品別1食労務費!$C$5:$C$124,$W66,⑳商品別1食労務費!$F$5:$F$124)</f>
        <v/>
      </c>
      <c r="AB66">
        <f>IF(ISNUMBER($M66),$M66,0)</f>
        <v/>
      </c>
      <c r="AD66" s="413">
        <f>IF($R66="",0,IF($AA66&gt;0,$AB66*SUMIF(⑳商品別1食労務費!$C$5:$C$124,$R66,⑳商品別1食労務費!$F$5:$F$124)/$AA66,$AB66/$X66))</f>
        <v/>
      </c>
      <c r="AE66" s="413">
        <f>IF($S66="",0,IF($AA66&gt;0,$AB66*SUMIF(⑳商品別1食労務費!$C$5:$C$124,$S66,⑳商品別1食労務費!$F$5:$F$124)/$AA66,$AB66/$X66))</f>
        <v/>
      </c>
      <c r="AF66" s="413">
        <f>IF($T66="",0,IF($AA66&gt;0,$AB66*SUMIF(⑳商品別1食労務費!$C$5:$C$124,$T66,⑳商品別1食労務費!$F$5:$F$124)/$AA66,$AB66/$X66))</f>
        <v/>
      </c>
      <c r="AG66" s="413">
        <f>IF($U66="",0,IF($AA66&gt;0,$AB66*SUMIF(⑳商品別1食労務費!$C$5:$C$124,$U66,⑳商品別1食労務費!$F$5:$F$124)/$AA66,$AB66/$X66))</f>
        <v/>
      </c>
      <c r="AH66" s="413">
        <f>IF($V66="",0,IF($AA66&gt;0,$AB66*SUMIF(⑳商品別1食労務費!$C$5:$C$124,$V66,⑳商品別1食労務費!$F$5:$F$124)/$AA66,$AB66/$X66))</f>
        <v/>
      </c>
      <c r="AI66" s="413">
        <f>IF($W66="",0,IF($AA66&gt;0,$AB66*SUMIF(⑳商品別1食労務費!$C$5:$C$124,$W66,⑳商品別1食労務費!$F$5:$F$124)/$AA66,$AB66/$X66))</f>
        <v/>
      </c>
    </row>
    <row r="67" ht="16" customHeight="1" s="438">
      <c r="A67" s="12" t="n">
        <v>63</v>
      </c>
      <c r="B67" s="55" t="n"/>
      <c r="C67" s="5" t="n"/>
      <c r="D67" s="5" t="n"/>
      <c r="E67" s="5" t="n"/>
      <c r="F67" s="14" t="n"/>
      <c r="G67" s="12" t="n"/>
      <c r="H67" s="12" t="n"/>
      <c r="I67" s="12" t="n"/>
      <c r="J67" s="12" t="n"/>
      <c r="K67" s="12" t="inlineStr">
        <is>
          <t>-</t>
        </is>
      </c>
      <c r="L67" s="515">
        <f>IF(AND(ISNUMBER(F67),J67&gt;0),J67/(F67/60),"")</f>
        <v/>
      </c>
      <c r="M67" s="12">
        <f>IF(OR(ISNUMBER(SEARCH("サニテーション",C67)),ISNUMBER(SEARCH("客注",C67)),ISNUMBER(SEARCH("切り替え",C67)),ISNUMBER(SEARCH("切替",C67)),NOT(ISNUMBER(H67))),"",IF(ISNUMBER(G67),G67/60*H67*④前提設定!$B$4,IF(AND(G67="",ISNUMBER(F67)),F67/60*H67*④前提設定!$B$4,"")))</f>
        <v/>
      </c>
      <c r="N67" s="12" t="inlineStr">
        <is>
          <t>-</t>
        </is>
      </c>
      <c r="O67" s="515">
        <f>IF(AND(J67&gt;0,ISNUMBER(M67)),M67/J67,"")</f>
        <v/>
      </c>
      <c r="P67" s="15" t="n"/>
      <c r="Q67" s="16" t="n"/>
      <c r="R67" s="5" t="n"/>
      <c r="S67" s="5" t="n"/>
      <c r="T67" s="5" t="n"/>
      <c r="U67" s="5" t="n"/>
      <c r="V67" s="5" t="n"/>
      <c r="W67" s="5" t="n"/>
      <c r="X67">
        <f>COUNTA(R67:W67)</f>
        <v/>
      </c>
      <c r="Y67">
        <f>IF(AND($X67&gt;0,ISNUMBER($M67)),$M67/$X67,"")</f>
        <v/>
      </c>
      <c r="Z67">
        <f>IF($X67=0,"",IF(COUNTIF(⑳商品別1食労務費!$C$5:$C$124,$R67)+COUNTIF(⑳商品別1食労務費!$C$5:$C$124,$S67)+COUNTIF(⑳商品別1食労務費!$C$5:$C$124,$T67)+COUNTIF(⑳商品別1食労務費!$C$5:$C$124,$U67)+COUNTIF(⑳商品別1食労務費!$C$5:$C$124,$V67)+COUNTIF(⑳商品別1食労務費!$C$5:$C$124,$W67)=$X67,"OK","⑳に無い商品名"))</f>
        <v/>
      </c>
      <c r="AA67">
        <f>SUMIF(⑳商品別1食労務費!$C$5:$C$124,$R67,⑳商品別1食労務費!$F$5:$F$124)+SUMIF(⑳商品別1食労務費!$C$5:$C$124,$S67,⑳商品別1食労務費!$F$5:$F$124)+SUMIF(⑳商品別1食労務費!$C$5:$C$124,$T67,⑳商品別1食労務費!$F$5:$F$124)+SUMIF(⑳商品別1食労務費!$C$5:$C$124,$U67,⑳商品別1食労務費!$F$5:$F$124)+SUMIF(⑳商品別1食労務費!$C$5:$C$124,$V67,⑳商品別1食労務費!$F$5:$F$124)+SUMIF(⑳商品別1食労務費!$C$5:$C$124,$W67,⑳商品別1食労務費!$F$5:$F$124)</f>
        <v/>
      </c>
      <c r="AB67">
        <f>IF(ISNUMBER($M67),$M67,0)</f>
        <v/>
      </c>
      <c r="AD67" s="413">
        <f>IF($R67="",0,IF($AA67&gt;0,$AB67*SUMIF(⑳商品別1食労務費!$C$5:$C$124,$R67,⑳商品別1食労務費!$F$5:$F$124)/$AA67,$AB67/$X67))</f>
        <v/>
      </c>
      <c r="AE67" s="413">
        <f>IF($S67="",0,IF($AA67&gt;0,$AB67*SUMIF(⑳商品別1食労務費!$C$5:$C$124,$S67,⑳商品別1食労務費!$F$5:$F$124)/$AA67,$AB67/$X67))</f>
        <v/>
      </c>
      <c r="AF67" s="413">
        <f>IF($T67="",0,IF($AA67&gt;0,$AB67*SUMIF(⑳商品別1食労務費!$C$5:$C$124,$T67,⑳商品別1食労務費!$F$5:$F$124)/$AA67,$AB67/$X67))</f>
        <v/>
      </c>
      <c r="AG67" s="413">
        <f>IF($U67="",0,IF($AA67&gt;0,$AB67*SUMIF(⑳商品別1食労務費!$C$5:$C$124,$U67,⑳商品別1食労務費!$F$5:$F$124)/$AA67,$AB67/$X67))</f>
        <v/>
      </c>
      <c r="AH67" s="413">
        <f>IF($V67="",0,IF($AA67&gt;0,$AB67*SUMIF(⑳商品別1食労務費!$C$5:$C$124,$V67,⑳商品別1食労務費!$F$5:$F$124)/$AA67,$AB67/$X67))</f>
        <v/>
      </c>
      <c r="AI67" s="413">
        <f>IF($W67="",0,IF($AA67&gt;0,$AB67*SUMIF(⑳商品別1食労務費!$C$5:$C$124,$W67,⑳商品別1食労務費!$F$5:$F$124)/$AA67,$AB67/$X67))</f>
        <v/>
      </c>
    </row>
    <row r="68" ht="16" customHeight="1" s="438">
      <c r="A68" s="50" t="n">
        <v>64</v>
      </c>
      <c r="B68" s="51" t="n"/>
      <c r="C68" s="5" t="n"/>
      <c r="D68" s="5" t="n"/>
      <c r="E68" s="5" t="n"/>
      <c r="F68" s="52" t="n"/>
      <c r="G68" s="7" t="n"/>
      <c r="H68" s="7" t="n"/>
      <c r="I68" s="7" t="n"/>
      <c r="J68" s="7" t="n"/>
      <c r="K68" s="513">
        <f>IF(F68&gt;0,I68/(F68/60),0)</f>
        <v/>
      </c>
      <c r="L68" s="514">
        <f>IF(AND(ISNUMBER(F68),J68&gt;0),J68/(F68/60),"")</f>
        <v/>
      </c>
      <c r="M68" s="9">
        <f>IF(OR(ISNUMBER(SEARCH("サニテーション",C68)),ISNUMBER(SEARCH("客注",C68)),ISNUMBER(SEARCH("切り替え",C68)),ISNUMBER(SEARCH("切替",C68)),NOT(ISNUMBER(H68))),"",IF(ISNUMBER(G68),G68/60*H68*④前提設定!$B$4,IF(AND(G68="",ISNUMBER(F68)),F68/60*H68*④前提設定!$B$4,"")))</f>
        <v/>
      </c>
      <c r="N68" s="513">
        <f>IF(I68&gt;0,M68/I68,"")</f>
        <v/>
      </c>
      <c r="O68" s="514">
        <f>IF(AND(J68&gt;0,ISNUMBER(M68)),M68/J68,"")</f>
        <v/>
      </c>
      <c r="P68" s="53" t="n"/>
      <c r="Q68" s="54" t="n"/>
      <c r="R68" s="5" t="n"/>
      <c r="S68" s="5" t="n"/>
      <c r="T68" s="5" t="n"/>
      <c r="U68" s="5" t="n"/>
      <c r="V68" s="5" t="n"/>
      <c r="W68" s="5" t="n"/>
      <c r="X68">
        <f>COUNTA(R68:W68)</f>
        <v/>
      </c>
      <c r="Y68">
        <f>IF(AND($X68&gt;0,ISNUMBER($M68)),$M68/$X68,"")</f>
        <v/>
      </c>
      <c r="Z68">
        <f>IF($X68=0,"",IF(COUNTIF(⑳商品別1食労務費!$C$5:$C$124,$R68)+COUNTIF(⑳商品別1食労務費!$C$5:$C$124,$S68)+COUNTIF(⑳商品別1食労務費!$C$5:$C$124,$T68)+COUNTIF(⑳商品別1食労務費!$C$5:$C$124,$U68)+COUNTIF(⑳商品別1食労務費!$C$5:$C$124,$V68)+COUNTIF(⑳商品別1食労務費!$C$5:$C$124,$W68)=$X68,"OK","⑳に無い商品名"))</f>
        <v/>
      </c>
      <c r="AA68">
        <f>SUMIF(⑳商品別1食労務費!$C$5:$C$124,$R68,⑳商品別1食労務費!$F$5:$F$124)+SUMIF(⑳商品別1食労務費!$C$5:$C$124,$S68,⑳商品別1食労務費!$F$5:$F$124)+SUMIF(⑳商品別1食労務費!$C$5:$C$124,$T68,⑳商品別1食労務費!$F$5:$F$124)+SUMIF(⑳商品別1食労務費!$C$5:$C$124,$U68,⑳商品別1食労務費!$F$5:$F$124)+SUMIF(⑳商品別1食労務費!$C$5:$C$124,$V68,⑳商品別1食労務費!$F$5:$F$124)+SUMIF(⑳商品別1食労務費!$C$5:$C$124,$W68,⑳商品別1食労務費!$F$5:$F$124)</f>
        <v/>
      </c>
      <c r="AB68">
        <f>IF(ISNUMBER($M68),$M68,0)</f>
        <v/>
      </c>
      <c r="AD68" s="413">
        <f>IF($R68="",0,IF($AA68&gt;0,$AB68*SUMIF(⑳商品別1食労務費!$C$5:$C$124,$R68,⑳商品別1食労務費!$F$5:$F$124)/$AA68,$AB68/$X68))</f>
        <v/>
      </c>
      <c r="AE68" s="413">
        <f>IF($S68="",0,IF($AA68&gt;0,$AB68*SUMIF(⑳商品別1食労務費!$C$5:$C$124,$S68,⑳商品別1食労務費!$F$5:$F$124)/$AA68,$AB68/$X68))</f>
        <v/>
      </c>
      <c r="AF68" s="413">
        <f>IF($T68="",0,IF($AA68&gt;0,$AB68*SUMIF(⑳商品別1食労務費!$C$5:$C$124,$T68,⑳商品別1食労務費!$F$5:$F$124)/$AA68,$AB68/$X68))</f>
        <v/>
      </c>
      <c r="AG68" s="413">
        <f>IF($U68="",0,IF($AA68&gt;0,$AB68*SUMIF(⑳商品別1食労務費!$C$5:$C$124,$U68,⑳商品別1食労務費!$F$5:$F$124)/$AA68,$AB68/$X68))</f>
        <v/>
      </c>
      <c r="AH68" s="413">
        <f>IF($V68="",0,IF($AA68&gt;0,$AB68*SUMIF(⑳商品別1食労務費!$C$5:$C$124,$V68,⑳商品別1食労務費!$F$5:$F$124)/$AA68,$AB68/$X68))</f>
        <v/>
      </c>
      <c r="AI68" s="413">
        <f>IF($W68="",0,IF($AA68&gt;0,$AB68*SUMIF(⑳商品別1食労務費!$C$5:$C$124,$W68,⑳商品別1食労務費!$F$5:$F$124)/$AA68,$AB68/$X68))</f>
        <v/>
      </c>
    </row>
    <row r="69" ht="16" customHeight="1" s="438">
      <c r="A69" s="12" t="n">
        <v>65</v>
      </c>
      <c r="B69" s="55" t="n"/>
      <c r="C69" s="5" t="n"/>
      <c r="D69" s="5" t="n"/>
      <c r="E69" s="5" t="n"/>
      <c r="F69" s="14" t="n"/>
      <c r="G69" s="12" t="n"/>
      <c r="H69" s="12" t="n"/>
      <c r="I69" s="12" t="n"/>
      <c r="J69" s="12" t="n"/>
      <c r="K69" s="12" t="inlineStr">
        <is>
          <t>-</t>
        </is>
      </c>
      <c r="L69" s="515">
        <f>IF(AND(ISNUMBER(F69),J69&gt;0),J69/(F69/60),"")</f>
        <v/>
      </c>
      <c r="M69" s="12">
        <f>IF(OR(ISNUMBER(SEARCH("サニテーション",C69)),ISNUMBER(SEARCH("客注",C69)),ISNUMBER(SEARCH("切り替え",C69)),ISNUMBER(SEARCH("切替",C69)),NOT(ISNUMBER(H69))),"",IF(ISNUMBER(G69),G69/60*H69*④前提設定!$B$4,IF(AND(G69="",ISNUMBER(F69)),F69/60*H69*④前提設定!$B$4,"")))</f>
        <v/>
      </c>
      <c r="N69" s="12" t="inlineStr">
        <is>
          <t>-</t>
        </is>
      </c>
      <c r="O69" s="515">
        <f>IF(AND(J69&gt;0,ISNUMBER(M69)),M69/J69,"")</f>
        <v/>
      </c>
      <c r="P69" s="15" t="n"/>
      <c r="Q69" s="16" t="n"/>
      <c r="R69" s="5" t="n"/>
      <c r="S69" s="5" t="n"/>
      <c r="T69" s="5" t="n"/>
      <c r="U69" s="5" t="n"/>
      <c r="V69" s="5" t="n"/>
      <c r="W69" s="5" t="n"/>
      <c r="X69">
        <f>COUNTA(R69:W69)</f>
        <v/>
      </c>
      <c r="Y69">
        <f>IF(AND($X69&gt;0,ISNUMBER($M69)),$M69/$X69,"")</f>
        <v/>
      </c>
      <c r="Z69">
        <f>IF($X69=0,"",IF(COUNTIF(⑳商品別1食労務費!$C$5:$C$124,$R69)+COUNTIF(⑳商品別1食労務費!$C$5:$C$124,$S69)+COUNTIF(⑳商品別1食労務費!$C$5:$C$124,$T69)+COUNTIF(⑳商品別1食労務費!$C$5:$C$124,$U69)+COUNTIF(⑳商品別1食労務費!$C$5:$C$124,$V69)+COUNTIF(⑳商品別1食労務費!$C$5:$C$124,$W69)=$X69,"OK","⑳に無い商品名"))</f>
        <v/>
      </c>
      <c r="AA69">
        <f>SUMIF(⑳商品別1食労務費!$C$5:$C$124,$R69,⑳商品別1食労務費!$F$5:$F$124)+SUMIF(⑳商品別1食労務費!$C$5:$C$124,$S69,⑳商品別1食労務費!$F$5:$F$124)+SUMIF(⑳商品別1食労務費!$C$5:$C$124,$T69,⑳商品別1食労務費!$F$5:$F$124)+SUMIF(⑳商品別1食労務費!$C$5:$C$124,$U69,⑳商品別1食労務費!$F$5:$F$124)+SUMIF(⑳商品別1食労務費!$C$5:$C$124,$V69,⑳商品別1食労務費!$F$5:$F$124)+SUMIF(⑳商品別1食労務費!$C$5:$C$124,$W69,⑳商品別1食労務費!$F$5:$F$124)</f>
        <v/>
      </c>
      <c r="AB69">
        <f>IF(ISNUMBER($M69),$M69,0)</f>
        <v/>
      </c>
      <c r="AD69" s="413">
        <f>IF($R69="",0,IF($AA69&gt;0,$AB69*SUMIF(⑳商品別1食労務費!$C$5:$C$124,$R69,⑳商品別1食労務費!$F$5:$F$124)/$AA69,$AB69/$X69))</f>
        <v/>
      </c>
      <c r="AE69" s="413">
        <f>IF($S69="",0,IF($AA69&gt;0,$AB69*SUMIF(⑳商品別1食労務費!$C$5:$C$124,$S69,⑳商品別1食労務費!$F$5:$F$124)/$AA69,$AB69/$X69))</f>
        <v/>
      </c>
      <c r="AF69" s="413">
        <f>IF($T69="",0,IF($AA69&gt;0,$AB69*SUMIF(⑳商品別1食労務費!$C$5:$C$124,$T69,⑳商品別1食労務費!$F$5:$F$124)/$AA69,$AB69/$X69))</f>
        <v/>
      </c>
      <c r="AG69" s="413">
        <f>IF($U69="",0,IF($AA69&gt;0,$AB69*SUMIF(⑳商品別1食労務費!$C$5:$C$124,$U69,⑳商品別1食労務費!$F$5:$F$124)/$AA69,$AB69/$X69))</f>
        <v/>
      </c>
      <c r="AH69" s="413">
        <f>IF($V69="",0,IF($AA69&gt;0,$AB69*SUMIF(⑳商品別1食労務費!$C$5:$C$124,$V69,⑳商品別1食労務費!$F$5:$F$124)/$AA69,$AB69/$X69))</f>
        <v/>
      </c>
      <c r="AI69" s="413">
        <f>IF($W69="",0,IF($AA69&gt;0,$AB69*SUMIF(⑳商品別1食労務費!$C$5:$C$124,$W69,⑳商品別1食労務費!$F$5:$F$124)/$AA69,$AB69/$X69))</f>
        <v/>
      </c>
    </row>
    <row r="70" ht="16" customHeight="1" s="438">
      <c r="A70" s="56" t="n">
        <v>66</v>
      </c>
      <c r="B70" s="57" t="n"/>
      <c r="C70" s="5" t="n"/>
      <c r="D70" s="5" t="n"/>
      <c r="E70" s="5" t="n"/>
      <c r="F70" s="58" t="n"/>
      <c r="G70" s="7" t="n"/>
      <c r="H70" s="7" t="n"/>
      <c r="I70" s="7" t="n"/>
      <c r="J70" s="7" t="n"/>
      <c r="K70" s="513">
        <f>IF(F70&gt;0,I70/(F70/60),0)</f>
        <v/>
      </c>
      <c r="L70" s="514">
        <f>IF(AND(ISNUMBER(F70),J70&gt;0),J70/(F70/60),"")</f>
        <v/>
      </c>
      <c r="M70" s="9">
        <f>IF(OR(ISNUMBER(SEARCH("サニテーション",C70)),ISNUMBER(SEARCH("客注",C70)),ISNUMBER(SEARCH("切り替え",C70)),ISNUMBER(SEARCH("切替",C70)),NOT(ISNUMBER(H70))),"",IF(ISNUMBER(G70),G70/60*H70*④前提設定!$B$4,IF(AND(G70="",ISNUMBER(F70)),F70/60*H70*④前提設定!$B$4,"")))</f>
        <v/>
      </c>
      <c r="N70" s="513">
        <f>IF(I70&gt;0,M70/I70,"")</f>
        <v/>
      </c>
      <c r="O70" s="514">
        <f>IF(AND(J70&gt;0,ISNUMBER(M70)),M70/J70,"")</f>
        <v/>
      </c>
      <c r="P70" s="59" t="n"/>
      <c r="Q70" s="60" t="n"/>
      <c r="R70" s="5" t="n"/>
      <c r="S70" s="5" t="n"/>
      <c r="T70" s="5" t="n"/>
      <c r="U70" s="5" t="n"/>
      <c r="V70" s="5" t="n"/>
      <c r="W70" s="5" t="n"/>
      <c r="X70">
        <f>COUNTA(R70:W70)</f>
        <v/>
      </c>
      <c r="Y70">
        <f>IF(AND($X70&gt;0,ISNUMBER($M70)),$M70/$X70,"")</f>
        <v/>
      </c>
      <c r="Z70">
        <f>IF($X70=0,"",IF(COUNTIF(⑳商品別1食労務費!$C$5:$C$124,$R70)+COUNTIF(⑳商品別1食労務費!$C$5:$C$124,$S70)+COUNTIF(⑳商品別1食労務費!$C$5:$C$124,$T70)+COUNTIF(⑳商品別1食労務費!$C$5:$C$124,$U70)+COUNTIF(⑳商品別1食労務費!$C$5:$C$124,$V70)+COUNTIF(⑳商品別1食労務費!$C$5:$C$124,$W70)=$X70,"OK","⑳に無い商品名"))</f>
        <v/>
      </c>
      <c r="AA70">
        <f>SUMIF(⑳商品別1食労務費!$C$5:$C$124,$R70,⑳商品別1食労務費!$F$5:$F$124)+SUMIF(⑳商品別1食労務費!$C$5:$C$124,$S70,⑳商品別1食労務費!$F$5:$F$124)+SUMIF(⑳商品別1食労務費!$C$5:$C$124,$T70,⑳商品別1食労務費!$F$5:$F$124)+SUMIF(⑳商品別1食労務費!$C$5:$C$124,$U70,⑳商品別1食労務費!$F$5:$F$124)+SUMIF(⑳商品別1食労務費!$C$5:$C$124,$V70,⑳商品別1食労務費!$F$5:$F$124)+SUMIF(⑳商品別1食労務費!$C$5:$C$124,$W70,⑳商品別1食労務費!$F$5:$F$124)</f>
        <v/>
      </c>
      <c r="AB70">
        <f>IF(ISNUMBER($M70),$M70,0)</f>
        <v/>
      </c>
      <c r="AD70" s="413">
        <f>IF($R70="",0,IF($AA70&gt;0,$AB70*SUMIF(⑳商品別1食労務費!$C$5:$C$124,$R70,⑳商品別1食労務費!$F$5:$F$124)/$AA70,$AB70/$X70))</f>
        <v/>
      </c>
      <c r="AE70" s="413">
        <f>IF($S70="",0,IF($AA70&gt;0,$AB70*SUMIF(⑳商品別1食労務費!$C$5:$C$124,$S70,⑳商品別1食労務費!$F$5:$F$124)/$AA70,$AB70/$X70))</f>
        <v/>
      </c>
      <c r="AF70" s="413">
        <f>IF($T70="",0,IF($AA70&gt;0,$AB70*SUMIF(⑳商品別1食労務費!$C$5:$C$124,$T70,⑳商品別1食労務費!$F$5:$F$124)/$AA70,$AB70/$X70))</f>
        <v/>
      </c>
      <c r="AG70" s="413">
        <f>IF($U70="",0,IF($AA70&gt;0,$AB70*SUMIF(⑳商品別1食労務費!$C$5:$C$124,$U70,⑳商品別1食労務費!$F$5:$F$124)/$AA70,$AB70/$X70))</f>
        <v/>
      </c>
      <c r="AH70" s="413">
        <f>IF($V70="",0,IF($AA70&gt;0,$AB70*SUMIF(⑳商品別1食労務費!$C$5:$C$124,$V70,⑳商品別1食労務費!$F$5:$F$124)/$AA70,$AB70/$X70))</f>
        <v/>
      </c>
      <c r="AI70" s="413">
        <f>IF($W70="",0,IF($AA70&gt;0,$AB70*SUMIF(⑳商品別1食労務費!$C$5:$C$124,$W70,⑳商品別1食労務費!$F$5:$F$124)/$AA70,$AB70/$X70))</f>
        <v/>
      </c>
    </row>
    <row r="71" ht="16" customHeight="1" s="438">
      <c r="A71" s="56" t="n">
        <v>67</v>
      </c>
      <c r="B71" s="57" t="n"/>
      <c r="C71" s="5" t="n"/>
      <c r="D71" s="5" t="n"/>
      <c r="E71" s="5" t="n"/>
      <c r="F71" s="58" t="n"/>
      <c r="G71" s="7" t="n"/>
      <c r="H71" s="7" t="n"/>
      <c r="I71" s="7" t="n"/>
      <c r="J71" s="7" t="n"/>
      <c r="K71" s="513">
        <f>IF(F71&gt;0,I71/(F71/60),0)</f>
        <v/>
      </c>
      <c r="L71" s="514">
        <f>IF(AND(ISNUMBER(F71),J71&gt;0),J71/(F71/60),"")</f>
        <v/>
      </c>
      <c r="M71" s="9">
        <f>IF(OR(ISNUMBER(SEARCH("サニテーション",C71)),ISNUMBER(SEARCH("客注",C71)),ISNUMBER(SEARCH("切り替え",C71)),ISNUMBER(SEARCH("切替",C71)),NOT(ISNUMBER(H71))),"",IF(ISNUMBER(G71),G71/60*H71*④前提設定!$B$4,IF(AND(G71="",ISNUMBER(F71)),F71/60*H71*④前提設定!$B$4,"")))</f>
        <v/>
      </c>
      <c r="N71" s="513">
        <f>IF(I71&gt;0,M71/I71,"")</f>
        <v/>
      </c>
      <c r="O71" s="514">
        <f>IF(AND(J71&gt;0,ISNUMBER(M71)),M71/J71,"")</f>
        <v/>
      </c>
      <c r="P71" s="59" t="n"/>
      <c r="Q71" s="60" t="n"/>
      <c r="R71" s="5" t="n"/>
      <c r="S71" s="5" t="n"/>
      <c r="T71" s="5" t="n"/>
      <c r="U71" s="5" t="n"/>
      <c r="V71" s="5" t="n"/>
      <c r="W71" s="5" t="n"/>
      <c r="X71">
        <f>COUNTA(R71:W71)</f>
        <v/>
      </c>
      <c r="Y71">
        <f>IF(AND($X71&gt;0,ISNUMBER($M71)),$M71/$X71,"")</f>
        <v/>
      </c>
      <c r="Z71">
        <f>IF($X71=0,"",IF(COUNTIF(⑳商品別1食労務費!$C$5:$C$124,$R71)+COUNTIF(⑳商品別1食労務費!$C$5:$C$124,$S71)+COUNTIF(⑳商品別1食労務費!$C$5:$C$124,$T71)+COUNTIF(⑳商品別1食労務費!$C$5:$C$124,$U71)+COUNTIF(⑳商品別1食労務費!$C$5:$C$124,$V71)+COUNTIF(⑳商品別1食労務費!$C$5:$C$124,$W71)=$X71,"OK","⑳に無い商品名"))</f>
        <v/>
      </c>
      <c r="AA71">
        <f>SUMIF(⑳商品別1食労務費!$C$5:$C$124,$R71,⑳商品別1食労務費!$F$5:$F$124)+SUMIF(⑳商品別1食労務費!$C$5:$C$124,$S71,⑳商品別1食労務費!$F$5:$F$124)+SUMIF(⑳商品別1食労務費!$C$5:$C$124,$T71,⑳商品別1食労務費!$F$5:$F$124)+SUMIF(⑳商品別1食労務費!$C$5:$C$124,$U71,⑳商品別1食労務費!$F$5:$F$124)+SUMIF(⑳商品別1食労務費!$C$5:$C$124,$V71,⑳商品別1食労務費!$F$5:$F$124)+SUMIF(⑳商品別1食労務費!$C$5:$C$124,$W71,⑳商品別1食労務費!$F$5:$F$124)</f>
        <v/>
      </c>
      <c r="AB71">
        <f>IF(ISNUMBER($M71),$M71,0)</f>
        <v/>
      </c>
      <c r="AD71" s="413">
        <f>IF($R71="",0,IF($AA71&gt;0,$AB71*SUMIF(⑳商品別1食労務費!$C$5:$C$124,$R71,⑳商品別1食労務費!$F$5:$F$124)/$AA71,$AB71/$X71))</f>
        <v/>
      </c>
      <c r="AE71" s="413">
        <f>IF($S71="",0,IF($AA71&gt;0,$AB71*SUMIF(⑳商品別1食労務費!$C$5:$C$124,$S71,⑳商品別1食労務費!$F$5:$F$124)/$AA71,$AB71/$X71))</f>
        <v/>
      </c>
      <c r="AF71" s="413">
        <f>IF($T71="",0,IF($AA71&gt;0,$AB71*SUMIF(⑳商品別1食労務費!$C$5:$C$124,$T71,⑳商品別1食労務費!$F$5:$F$124)/$AA71,$AB71/$X71))</f>
        <v/>
      </c>
      <c r="AG71" s="413">
        <f>IF($U71="",0,IF($AA71&gt;0,$AB71*SUMIF(⑳商品別1食労務費!$C$5:$C$124,$U71,⑳商品別1食労務費!$F$5:$F$124)/$AA71,$AB71/$X71))</f>
        <v/>
      </c>
      <c r="AH71" s="413">
        <f>IF($V71="",0,IF($AA71&gt;0,$AB71*SUMIF(⑳商品別1食労務費!$C$5:$C$124,$V71,⑳商品別1食労務費!$F$5:$F$124)/$AA71,$AB71/$X71))</f>
        <v/>
      </c>
      <c r="AI71" s="413">
        <f>IF($W71="",0,IF($AA71&gt;0,$AB71*SUMIF(⑳商品別1食労務費!$C$5:$C$124,$W71,⑳商品別1食労務費!$F$5:$F$124)/$AA71,$AB71/$X71))</f>
        <v/>
      </c>
    </row>
    <row r="72" ht="16" customHeight="1" s="438">
      <c r="A72" s="56" t="n">
        <v>68</v>
      </c>
      <c r="B72" s="57" t="n"/>
      <c r="C72" s="5" t="n"/>
      <c r="D72" s="5" t="n"/>
      <c r="E72" s="5" t="n"/>
      <c r="F72" s="58" t="n"/>
      <c r="G72" s="7" t="n"/>
      <c r="H72" s="7" t="n"/>
      <c r="I72" s="7" t="n"/>
      <c r="J72" s="7" t="n"/>
      <c r="K72" s="513">
        <f>IF(F72&gt;0,I72/(F72/60),0)</f>
        <v/>
      </c>
      <c r="L72" s="514">
        <f>IF(AND(ISNUMBER(F72),J72&gt;0),J72/(F72/60),"")</f>
        <v/>
      </c>
      <c r="M72" s="9">
        <f>IF(OR(ISNUMBER(SEARCH("サニテーション",C72)),ISNUMBER(SEARCH("客注",C72)),ISNUMBER(SEARCH("切り替え",C72)),ISNUMBER(SEARCH("切替",C72)),NOT(ISNUMBER(H72))),"",IF(ISNUMBER(G72),G72/60*H72*④前提設定!$B$4,IF(AND(G72="",ISNUMBER(F72)),F72/60*H72*④前提設定!$B$4,"")))</f>
        <v/>
      </c>
      <c r="N72" s="513">
        <f>IF(I72&gt;0,M72/I72,"")</f>
        <v/>
      </c>
      <c r="O72" s="514">
        <f>IF(AND(J72&gt;0,ISNUMBER(M72)),M72/J72,"")</f>
        <v/>
      </c>
      <c r="P72" s="59" t="n"/>
      <c r="Q72" s="60" t="n"/>
      <c r="R72" s="5" t="n"/>
      <c r="S72" s="5" t="n"/>
      <c r="T72" s="5" t="n"/>
      <c r="U72" s="5" t="n"/>
      <c r="V72" s="5" t="n"/>
      <c r="W72" s="5" t="n"/>
      <c r="X72">
        <f>COUNTA(R72:W72)</f>
        <v/>
      </c>
      <c r="Y72">
        <f>IF(AND($X72&gt;0,ISNUMBER($M72)),$M72/$X72,"")</f>
        <v/>
      </c>
      <c r="Z72">
        <f>IF($X72=0,"",IF(COUNTIF(⑳商品別1食労務費!$C$5:$C$124,$R72)+COUNTIF(⑳商品別1食労務費!$C$5:$C$124,$S72)+COUNTIF(⑳商品別1食労務費!$C$5:$C$124,$T72)+COUNTIF(⑳商品別1食労務費!$C$5:$C$124,$U72)+COUNTIF(⑳商品別1食労務費!$C$5:$C$124,$V72)+COUNTIF(⑳商品別1食労務費!$C$5:$C$124,$W72)=$X72,"OK","⑳に無い商品名"))</f>
        <v/>
      </c>
      <c r="AA72">
        <f>SUMIF(⑳商品別1食労務費!$C$5:$C$124,$R72,⑳商品別1食労務費!$F$5:$F$124)+SUMIF(⑳商品別1食労務費!$C$5:$C$124,$S72,⑳商品別1食労務費!$F$5:$F$124)+SUMIF(⑳商品別1食労務費!$C$5:$C$124,$T72,⑳商品別1食労務費!$F$5:$F$124)+SUMIF(⑳商品別1食労務費!$C$5:$C$124,$U72,⑳商品別1食労務費!$F$5:$F$124)+SUMIF(⑳商品別1食労務費!$C$5:$C$124,$V72,⑳商品別1食労務費!$F$5:$F$124)+SUMIF(⑳商品別1食労務費!$C$5:$C$124,$W72,⑳商品別1食労務費!$F$5:$F$124)</f>
        <v/>
      </c>
      <c r="AB72">
        <f>IF(ISNUMBER($M72),$M72,0)</f>
        <v/>
      </c>
      <c r="AD72" s="413">
        <f>IF($R72="",0,IF($AA72&gt;0,$AB72*SUMIF(⑳商品別1食労務費!$C$5:$C$124,$R72,⑳商品別1食労務費!$F$5:$F$124)/$AA72,$AB72/$X72))</f>
        <v/>
      </c>
      <c r="AE72" s="413">
        <f>IF($S72="",0,IF($AA72&gt;0,$AB72*SUMIF(⑳商品別1食労務費!$C$5:$C$124,$S72,⑳商品別1食労務費!$F$5:$F$124)/$AA72,$AB72/$X72))</f>
        <v/>
      </c>
      <c r="AF72" s="413">
        <f>IF($T72="",0,IF($AA72&gt;0,$AB72*SUMIF(⑳商品別1食労務費!$C$5:$C$124,$T72,⑳商品別1食労務費!$F$5:$F$124)/$AA72,$AB72/$X72))</f>
        <v/>
      </c>
      <c r="AG72" s="413">
        <f>IF($U72="",0,IF($AA72&gt;0,$AB72*SUMIF(⑳商品別1食労務費!$C$5:$C$124,$U72,⑳商品別1食労務費!$F$5:$F$124)/$AA72,$AB72/$X72))</f>
        <v/>
      </c>
      <c r="AH72" s="413">
        <f>IF($V72="",0,IF($AA72&gt;0,$AB72*SUMIF(⑳商品別1食労務費!$C$5:$C$124,$V72,⑳商品別1食労務費!$F$5:$F$124)/$AA72,$AB72/$X72))</f>
        <v/>
      </c>
      <c r="AI72" s="413">
        <f>IF($W72="",0,IF($AA72&gt;0,$AB72*SUMIF(⑳商品別1食労務費!$C$5:$C$124,$W72,⑳商品別1食労務費!$F$5:$F$124)/$AA72,$AB72/$X72))</f>
        <v/>
      </c>
    </row>
    <row r="73" ht="16" customHeight="1" s="438">
      <c r="A73" s="56" t="n">
        <v>69</v>
      </c>
      <c r="B73" s="57" t="n"/>
      <c r="C73" s="5" t="n"/>
      <c r="D73" s="5" t="n"/>
      <c r="E73" s="5" t="n"/>
      <c r="F73" s="58" t="n"/>
      <c r="G73" s="7" t="n"/>
      <c r="H73" s="7" t="n"/>
      <c r="I73" s="7" t="n"/>
      <c r="J73" s="7" t="n"/>
      <c r="K73" s="513">
        <f>IF(F73&gt;0,I73/(F73/60),0)</f>
        <v/>
      </c>
      <c r="L73" s="514">
        <f>IF(AND(ISNUMBER(F73),J73&gt;0),J73/(F73/60),"")</f>
        <v/>
      </c>
      <c r="M73" s="9">
        <f>IF(OR(ISNUMBER(SEARCH("サニテーション",C73)),ISNUMBER(SEARCH("客注",C73)),ISNUMBER(SEARCH("切り替え",C73)),ISNUMBER(SEARCH("切替",C73)),NOT(ISNUMBER(H73))),"",IF(ISNUMBER(G73),G73/60*H73*④前提設定!$B$4,IF(AND(G73="",ISNUMBER(F73)),F73/60*H73*④前提設定!$B$4,"")))</f>
        <v/>
      </c>
      <c r="N73" s="513">
        <f>IF(I73&gt;0,M73/I73,"")</f>
        <v/>
      </c>
      <c r="O73" s="514">
        <f>IF(AND(J73&gt;0,ISNUMBER(M73)),M73/J73,"")</f>
        <v/>
      </c>
      <c r="P73" s="59" t="n"/>
      <c r="Q73" s="60" t="n"/>
      <c r="R73" s="5" t="n"/>
      <c r="S73" s="5" t="n"/>
      <c r="T73" s="5" t="n"/>
      <c r="U73" s="5" t="n"/>
      <c r="V73" s="5" t="n"/>
      <c r="W73" s="5" t="n"/>
      <c r="X73">
        <f>COUNTA(R73:W73)</f>
        <v/>
      </c>
      <c r="Y73">
        <f>IF(AND($X73&gt;0,ISNUMBER($M73)),$M73/$X73,"")</f>
        <v/>
      </c>
      <c r="Z73">
        <f>IF($X73=0,"",IF(COUNTIF(⑳商品別1食労務費!$C$5:$C$124,$R73)+COUNTIF(⑳商品別1食労務費!$C$5:$C$124,$S73)+COUNTIF(⑳商品別1食労務費!$C$5:$C$124,$T73)+COUNTIF(⑳商品別1食労務費!$C$5:$C$124,$U73)+COUNTIF(⑳商品別1食労務費!$C$5:$C$124,$V73)+COUNTIF(⑳商品別1食労務費!$C$5:$C$124,$W73)=$X73,"OK","⑳に無い商品名"))</f>
        <v/>
      </c>
      <c r="AA73">
        <f>SUMIF(⑳商品別1食労務費!$C$5:$C$124,$R73,⑳商品別1食労務費!$F$5:$F$124)+SUMIF(⑳商品別1食労務費!$C$5:$C$124,$S73,⑳商品別1食労務費!$F$5:$F$124)+SUMIF(⑳商品別1食労務費!$C$5:$C$124,$T73,⑳商品別1食労務費!$F$5:$F$124)+SUMIF(⑳商品別1食労務費!$C$5:$C$124,$U73,⑳商品別1食労務費!$F$5:$F$124)+SUMIF(⑳商品別1食労務費!$C$5:$C$124,$V73,⑳商品別1食労務費!$F$5:$F$124)+SUMIF(⑳商品別1食労務費!$C$5:$C$124,$W73,⑳商品別1食労務費!$F$5:$F$124)</f>
        <v/>
      </c>
      <c r="AB73">
        <f>IF(ISNUMBER($M73),$M73,0)</f>
        <v/>
      </c>
      <c r="AD73" s="413">
        <f>IF($R73="",0,IF($AA73&gt;0,$AB73*SUMIF(⑳商品別1食労務費!$C$5:$C$124,$R73,⑳商品別1食労務費!$F$5:$F$124)/$AA73,$AB73/$X73))</f>
        <v/>
      </c>
      <c r="AE73" s="413">
        <f>IF($S73="",0,IF($AA73&gt;0,$AB73*SUMIF(⑳商品別1食労務費!$C$5:$C$124,$S73,⑳商品別1食労務費!$F$5:$F$124)/$AA73,$AB73/$X73))</f>
        <v/>
      </c>
      <c r="AF73" s="413">
        <f>IF($T73="",0,IF($AA73&gt;0,$AB73*SUMIF(⑳商品別1食労務費!$C$5:$C$124,$T73,⑳商品別1食労務費!$F$5:$F$124)/$AA73,$AB73/$X73))</f>
        <v/>
      </c>
      <c r="AG73" s="413">
        <f>IF($U73="",0,IF($AA73&gt;0,$AB73*SUMIF(⑳商品別1食労務費!$C$5:$C$124,$U73,⑳商品別1食労務費!$F$5:$F$124)/$AA73,$AB73/$X73))</f>
        <v/>
      </c>
      <c r="AH73" s="413">
        <f>IF($V73="",0,IF($AA73&gt;0,$AB73*SUMIF(⑳商品別1食労務費!$C$5:$C$124,$V73,⑳商品別1食労務費!$F$5:$F$124)/$AA73,$AB73/$X73))</f>
        <v/>
      </c>
      <c r="AI73" s="413">
        <f>IF($W73="",0,IF($AA73&gt;0,$AB73*SUMIF(⑳商品別1食労務費!$C$5:$C$124,$W73,⑳商品別1食労務費!$F$5:$F$124)/$AA73,$AB73/$X73))</f>
        <v/>
      </c>
    </row>
    <row r="74" ht="16" customHeight="1" s="438">
      <c r="A74" s="56" t="n">
        <v>70</v>
      </c>
      <c r="B74" s="57" t="n"/>
      <c r="C74" s="5" t="n"/>
      <c r="D74" s="5" t="n"/>
      <c r="E74" s="5" t="n"/>
      <c r="F74" s="58" t="n"/>
      <c r="G74" s="7" t="n"/>
      <c r="H74" s="7" t="n"/>
      <c r="I74" s="7" t="n"/>
      <c r="J74" s="7" t="n"/>
      <c r="K74" s="513">
        <f>IF(F74&gt;0,I74/(F74/60),0)</f>
        <v/>
      </c>
      <c r="L74" s="514">
        <f>IF(AND(ISNUMBER(F74),J74&gt;0),J74/(F74/60),"")</f>
        <v/>
      </c>
      <c r="M74" s="9">
        <f>IF(OR(ISNUMBER(SEARCH("サニテーション",C74)),ISNUMBER(SEARCH("客注",C74)),ISNUMBER(SEARCH("切り替え",C74)),ISNUMBER(SEARCH("切替",C74)),NOT(ISNUMBER(H74))),"",IF(ISNUMBER(G74),G74/60*H74*④前提設定!$B$4,IF(AND(G74="",ISNUMBER(F74)),F74/60*H74*④前提設定!$B$4,"")))</f>
        <v/>
      </c>
      <c r="N74" s="513">
        <f>IF(I74&gt;0,M74/I74,"")</f>
        <v/>
      </c>
      <c r="O74" s="514">
        <f>IF(AND(J74&gt;0,ISNUMBER(M74)),M74/J74,"")</f>
        <v/>
      </c>
      <c r="P74" s="59" t="n"/>
      <c r="Q74" s="60" t="n"/>
      <c r="R74" s="5" t="n"/>
      <c r="S74" s="5" t="n"/>
      <c r="T74" s="5" t="n"/>
      <c r="U74" s="5" t="n"/>
      <c r="V74" s="5" t="n"/>
      <c r="W74" s="5" t="n"/>
      <c r="X74">
        <f>COUNTA(R74:W74)</f>
        <v/>
      </c>
      <c r="Y74">
        <f>IF(AND($X74&gt;0,ISNUMBER($M74)),$M74/$X74,"")</f>
        <v/>
      </c>
      <c r="Z74">
        <f>IF($X74=0,"",IF(COUNTIF(⑳商品別1食労務費!$C$5:$C$124,$R74)+COUNTIF(⑳商品別1食労務費!$C$5:$C$124,$S74)+COUNTIF(⑳商品別1食労務費!$C$5:$C$124,$T74)+COUNTIF(⑳商品別1食労務費!$C$5:$C$124,$U74)+COUNTIF(⑳商品別1食労務費!$C$5:$C$124,$V74)+COUNTIF(⑳商品別1食労務費!$C$5:$C$124,$W74)=$X74,"OK","⑳に無い商品名"))</f>
        <v/>
      </c>
      <c r="AA74">
        <f>SUMIF(⑳商品別1食労務費!$C$5:$C$124,$R74,⑳商品別1食労務費!$F$5:$F$124)+SUMIF(⑳商品別1食労務費!$C$5:$C$124,$S74,⑳商品別1食労務費!$F$5:$F$124)+SUMIF(⑳商品別1食労務費!$C$5:$C$124,$T74,⑳商品別1食労務費!$F$5:$F$124)+SUMIF(⑳商品別1食労務費!$C$5:$C$124,$U74,⑳商品別1食労務費!$F$5:$F$124)+SUMIF(⑳商品別1食労務費!$C$5:$C$124,$V74,⑳商品別1食労務費!$F$5:$F$124)+SUMIF(⑳商品別1食労務費!$C$5:$C$124,$W74,⑳商品別1食労務費!$F$5:$F$124)</f>
        <v/>
      </c>
      <c r="AB74">
        <f>IF(ISNUMBER($M74),$M74,0)</f>
        <v/>
      </c>
      <c r="AD74" s="413">
        <f>IF($R74="",0,IF($AA74&gt;0,$AB74*SUMIF(⑳商品別1食労務費!$C$5:$C$124,$R74,⑳商品別1食労務費!$F$5:$F$124)/$AA74,$AB74/$X74))</f>
        <v/>
      </c>
      <c r="AE74" s="413">
        <f>IF($S74="",0,IF($AA74&gt;0,$AB74*SUMIF(⑳商品別1食労務費!$C$5:$C$124,$S74,⑳商品別1食労務費!$F$5:$F$124)/$AA74,$AB74/$X74))</f>
        <v/>
      </c>
      <c r="AF74" s="413">
        <f>IF($T74="",0,IF($AA74&gt;0,$AB74*SUMIF(⑳商品別1食労務費!$C$5:$C$124,$T74,⑳商品別1食労務費!$F$5:$F$124)/$AA74,$AB74/$X74))</f>
        <v/>
      </c>
      <c r="AG74" s="413">
        <f>IF($U74="",0,IF($AA74&gt;0,$AB74*SUMIF(⑳商品別1食労務費!$C$5:$C$124,$U74,⑳商品別1食労務費!$F$5:$F$124)/$AA74,$AB74/$X74))</f>
        <v/>
      </c>
      <c r="AH74" s="413">
        <f>IF($V74="",0,IF($AA74&gt;0,$AB74*SUMIF(⑳商品別1食労務費!$C$5:$C$124,$V74,⑳商品別1食労務費!$F$5:$F$124)/$AA74,$AB74/$X74))</f>
        <v/>
      </c>
      <c r="AI74" s="413">
        <f>IF($W74="",0,IF($AA74&gt;0,$AB74*SUMIF(⑳商品別1食労務費!$C$5:$C$124,$W74,⑳商品別1食労務費!$F$5:$F$124)/$AA74,$AB74/$X74))</f>
        <v/>
      </c>
    </row>
    <row r="75" ht="16" customHeight="1" s="438">
      <c r="A75" s="56" t="n">
        <v>71</v>
      </c>
      <c r="B75" s="57" t="n"/>
      <c r="C75" s="5" t="n"/>
      <c r="D75" s="5" t="n"/>
      <c r="E75" s="5" t="n"/>
      <c r="F75" s="58" t="n"/>
      <c r="G75" s="7" t="n"/>
      <c r="H75" s="7" t="n"/>
      <c r="I75" s="7" t="n"/>
      <c r="J75" s="7" t="n"/>
      <c r="K75" s="513">
        <f>IF(F75&gt;0,I75/(F75/60),0)</f>
        <v/>
      </c>
      <c r="L75" s="514">
        <f>IF(AND(ISNUMBER(F75),J75&gt;0),J75/(F75/60),"")</f>
        <v/>
      </c>
      <c r="M75" s="9">
        <f>IF(OR(ISNUMBER(SEARCH("サニテーション",C75)),ISNUMBER(SEARCH("客注",C75)),ISNUMBER(SEARCH("切り替え",C75)),ISNUMBER(SEARCH("切替",C75)),NOT(ISNUMBER(H75))),"",IF(ISNUMBER(G75),G75/60*H75*④前提設定!$B$4,IF(AND(G75="",ISNUMBER(F75)),F75/60*H75*④前提設定!$B$4,"")))</f>
        <v/>
      </c>
      <c r="N75" s="513">
        <f>IF(I75&gt;0,M75/I75,"")</f>
        <v/>
      </c>
      <c r="O75" s="514">
        <f>IF(AND(J75&gt;0,ISNUMBER(M75)),M75/J75,"")</f>
        <v/>
      </c>
      <c r="P75" s="59" t="n"/>
      <c r="Q75" s="60" t="n"/>
      <c r="R75" s="5" t="n"/>
      <c r="S75" s="5" t="n"/>
      <c r="T75" s="5" t="n"/>
      <c r="U75" s="5" t="n"/>
      <c r="V75" s="5" t="n"/>
      <c r="W75" s="5" t="n"/>
      <c r="X75">
        <f>COUNTA(R75:W75)</f>
        <v/>
      </c>
      <c r="Y75">
        <f>IF(AND($X75&gt;0,ISNUMBER($M75)),$M75/$X75,"")</f>
        <v/>
      </c>
      <c r="Z75">
        <f>IF($X75=0,"",IF(COUNTIF(⑳商品別1食労務費!$C$5:$C$124,$R75)+COUNTIF(⑳商品別1食労務費!$C$5:$C$124,$S75)+COUNTIF(⑳商品別1食労務費!$C$5:$C$124,$T75)+COUNTIF(⑳商品別1食労務費!$C$5:$C$124,$U75)+COUNTIF(⑳商品別1食労務費!$C$5:$C$124,$V75)+COUNTIF(⑳商品別1食労務費!$C$5:$C$124,$W75)=$X75,"OK","⑳に無い商品名"))</f>
        <v/>
      </c>
      <c r="AA75">
        <f>SUMIF(⑳商品別1食労務費!$C$5:$C$124,$R75,⑳商品別1食労務費!$F$5:$F$124)+SUMIF(⑳商品別1食労務費!$C$5:$C$124,$S75,⑳商品別1食労務費!$F$5:$F$124)+SUMIF(⑳商品別1食労務費!$C$5:$C$124,$T75,⑳商品別1食労務費!$F$5:$F$124)+SUMIF(⑳商品別1食労務費!$C$5:$C$124,$U75,⑳商品別1食労務費!$F$5:$F$124)+SUMIF(⑳商品別1食労務費!$C$5:$C$124,$V75,⑳商品別1食労務費!$F$5:$F$124)+SUMIF(⑳商品別1食労務費!$C$5:$C$124,$W75,⑳商品別1食労務費!$F$5:$F$124)</f>
        <v/>
      </c>
      <c r="AB75">
        <f>IF(ISNUMBER($M75),$M75,0)</f>
        <v/>
      </c>
      <c r="AD75" s="413">
        <f>IF($R75="",0,IF($AA75&gt;0,$AB75*SUMIF(⑳商品別1食労務費!$C$5:$C$124,$R75,⑳商品別1食労務費!$F$5:$F$124)/$AA75,$AB75/$X75))</f>
        <v/>
      </c>
      <c r="AE75" s="413">
        <f>IF($S75="",0,IF($AA75&gt;0,$AB75*SUMIF(⑳商品別1食労務費!$C$5:$C$124,$S75,⑳商品別1食労務費!$F$5:$F$124)/$AA75,$AB75/$X75))</f>
        <v/>
      </c>
      <c r="AF75" s="413">
        <f>IF($T75="",0,IF($AA75&gt;0,$AB75*SUMIF(⑳商品別1食労務費!$C$5:$C$124,$T75,⑳商品別1食労務費!$F$5:$F$124)/$AA75,$AB75/$X75))</f>
        <v/>
      </c>
      <c r="AG75" s="413">
        <f>IF($U75="",0,IF($AA75&gt;0,$AB75*SUMIF(⑳商品別1食労務費!$C$5:$C$124,$U75,⑳商品別1食労務費!$F$5:$F$124)/$AA75,$AB75/$X75))</f>
        <v/>
      </c>
      <c r="AH75" s="413">
        <f>IF($V75="",0,IF($AA75&gt;0,$AB75*SUMIF(⑳商品別1食労務費!$C$5:$C$124,$V75,⑳商品別1食労務費!$F$5:$F$124)/$AA75,$AB75/$X75))</f>
        <v/>
      </c>
      <c r="AI75" s="413">
        <f>IF($W75="",0,IF($AA75&gt;0,$AB75*SUMIF(⑳商品別1食労務費!$C$5:$C$124,$W75,⑳商品別1食労務費!$F$5:$F$124)/$AA75,$AB75/$X75))</f>
        <v/>
      </c>
    </row>
    <row r="76" ht="16" customHeight="1" s="438">
      <c r="A76" s="56" t="n">
        <v>72</v>
      </c>
      <c r="B76" s="57" t="n"/>
      <c r="C76" s="5" t="n"/>
      <c r="D76" s="5" t="n"/>
      <c r="E76" s="5" t="n"/>
      <c r="F76" s="58" t="n"/>
      <c r="G76" s="7" t="n"/>
      <c r="H76" s="7" t="n"/>
      <c r="I76" s="7" t="n"/>
      <c r="J76" s="7" t="n"/>
      <c r="K76" s="513">
        <f>IF(F76&gt;0,I76/(F76/60),0)</f>
        <v/>
      </c>
      <c r="L76" s="514">
        <f>IF(AND(ISNUMBER(F76),J76&gt;0),J76/(F76/60),"")</f>
        <v/>
      </c>
      <c r="M76" s="9">
        <f>IF(OR(ISNUMBER(SEARCH("サニテーション",C76)),ISNUMBER(SEARCH("客注",C76)),ISNUMBER(SEARCH("切り替え",C76)),ISNUMBER(SEARCH("切替",C76)),NOT(ISNUMBER(H76))),"",IF(ISNUMBER(G76),G76/60*H76*④前提設定!$B$4,IF(AND(G76="",ISNUMBER(F76)),F76/60*H76*④前提設定!$B$4,"")))</f>
        <v/>
      </c>
      <c r="N76" s="513">
        <f>IF(I76&gt;0,M76/I76,"")</f>
        <v/>
      </c>
      <c r="O76" s="514">
        <f>IF(AND(J76&gt;0,ISNUMBER(M76)),M76/J76,"")</f>
        <v/>
      </c>
      <c r="P76" s="59" t="n"/>
      <c r="Q76" s="60" t="n"/>
      <c r="R76" s="5" t="n"/>
      <c r="S76" s="5" t="n"/>
      <c r="T76" s="5" t="n"/>
      <c r="U76" s="5" t="n"/>
      <c r="V76" s="5" t="n"/>
      <c r="W76" s="5" t="n"/>
      <c r="X76">
        <f>COUNTA(R76:W76)</f>
        <v/>
      </c>
      <c r="Y76">
        <f>IF(AND($X76&gt;0,ISNUMBER($M76)),$M76/$X76,"")</f>
        <v/>
      </c>
      <c r="Z76">
        <f>IF($X76=0,"",IF(COUNTIF(⑳商品別1食労務費!$C$5:$C$124,$R76)+COUNTIF(⑳商品別1食労務費!$C$5:$C$124,$S76)+COUNTIF(⑳商品別1食労務費!$C$5:$C$124,$T76)+COUNTIF(⑳商品別1食労務費!$C$5:$C$124,$U76)+COUNTIF(⑳商品別1食労務費!$C$5:$C$124,$V76)+COUNTIF(⑳商品別1食労務費!$C$5:$C$124,$W76)=$X76,"OK","⑳に無い商品名"))</f>
        <v/>
      </c>
      <c r="AA76">
        <f>SUMIF(⑳商品別1食労務費!$C$5:$C$124,$R76,⑳商品別1食労務費!$F$5:$F$124)+SUMIF(⑳商品別1食労務費!$C$5:$C$124,$S76,⑳商品別1食労務費!$F$5:$F$124)+SUMIF(⑳商品別1食労務費!$C$5:$C$124,$T76,⑳商品別1食労務費!$F$5:$F$124)+SUMIF(⑳商品別1食労務費!$C$5:$C$124,$U76,⑳商品別1食労務費!$F$5:$F$124)+SUMIF(⑳商品別1食労務費!$C$5:$C$124,$V76,⑳商品別1食労務費!$F$5:$F$124)+SUMIF(⑳商品別1食労務費!$C$5:$C$124,$W76,⑳商品別1食労務費!$F$5:$F$124)</f>
        <v/>
      </c>
      <c r="AB76">
        <f>IF(ISNUMBER($M76),$M76,0)</f>
        <v/>
      </c>
      <c r="AD76" s="413">
        <f>IF($R76="",0,IF($AA76&gt;0,$AB76*SUMIF(⑳商品別1食労務費!$C$5:$C$124,$R76,⑳商品別1食労務費!$F$5:$F$124)/$AA76,$AB76/$X76))</f>
        <v/>
      </c>
      <c r="AE76" s="413">
        <f>IF($S76="",0,IF($AA76&gt;0,$AB76*SUMIF(⑳商品別1食労務費!$C$5:$C$124,$S76,⑳商品別1食労務費!$F$5:$F$124)/$AA76,$AB76/$X76))</f>
        <v/>
      </c>
      <c r="AF76" s="413">
        <f>IF($T76="",0,IF($AA76&gt;0,$AB76*SUMIF(⑳商品別1食労務費!$C$5:$C$124,$T76,⑳商品別1食労務費!$F$5:$F$124)/$AA76,$AB76/$X76))</f>
        <v/>
      </c>
      <c r="AG76" s="413">
        <f>IF($U76="",0,IF($AA76&gt;0,$AB76*SUMIF(⑳商品別1食労務費!$C$5:$C$124,$U76,⑳商品別1食労務費!$F$5:$F$124)/$AA76,$AB76/$X76))</f>
        <v/>
      </c>
      <c r="AH76" s="413">
        <f>IF($V76="",0,IF($AA76&gt;0,$AB76*SUMIF(⑳商品別1食労務費!$C$5:$C$124,$V76,⑳商品別1食労務費!$F$5:$F$124)/$AA76,$AB76/$X76))</f>
        <v/>
      </c>
      <c r="AI76" s="413">
        <f>IF($W76="",0,IF($AA76&gt;0,$AB76*SUMIF(⑳商品別1食労務費!$C$5:$C$124,$W76,⑳商品別1食労務費!$F$5:$F$124)/$AA76,$AB76/$X76))</f>
        <v/>
      </c>
    </row>
    <row r="77" ht="16" customHeight="1" s="438">
      <c r="A77" s="56" t="n">
        <v>73</v>
      </c>
      <c r="B77" s="57" t="n"/>
      <c r="C77" s="5" t="n"/>
      <c r="D77" s="5" t="n"/>
      <c r="E77" s="5" t="n"/>
      <c r="F77" s="58" t="n"/>
      <c r="G77" s="7" t="n"/>
      <c r="H77" s="7" t="n"/>
      <c r="I77" s="7" t="n"/>
      <c r="J77" s="7" t="n"/>
      <c r="K77" s="513">
        <f>IF(F77&gt;0,I77/(F77/60),0)</f>
        <v/>
      </c>
      <c r="L77" s="514">
        <f>IF(AND(ISNUMBER(F77),J77&gt;0),J77/(F77/60),"")</f>
        <v/>
      </c>
      <c r="M77" s="9">
        <f>IF(OR(ISNUMBER(SEARCH("サニテーション",C77)),ISNUMBER(SEARCH("客注",C77)),ISNUMBER(SEARCH("切り替え",C77)),ISNUMBER(SEARCH("切替",C77)),NOT(ISNUMBER(H77))),"",IF(ISNUMBER(G77),G77/60*H77*④前提設定!$B$4,IF(AND(G77="",ISNUMBER(F77)),F77/60*H77*④前提設定!$B$4,"")))</f>
        <v/>
      </c>
      <c r="N77" s="513">
        <f>IF(I77&gt;0,M77/I77,"")</f>
        <v/>
      </c>
      <c r="O77" s="514">
        <f>IF(AND(J77&gt;0,ISNUMBER(M77)),M77/J77,"")</f>
        <v/>
      </c>
      <c r="P77" s="59" t="n"/>
      <c r="Q77" s="60" t="n"/>
      <c r="R77" s="5" t="n"/>
      <c r="S77" s="5" t="n"/>
      <c r="T77" s="5" t="n"/>
      <c r="U77" s="5" t="n"/>
      <c r="V77" s="5" t="n"/>
      <c r="W77" s="5" t="n"/>
      <c r="X77">
        <f>COUNTA(R77:W77)</f>
        <v/>
      </c>
      <c r="Y77">
        <f>IF(AND($X77&gt;0,ISNUMBER($M77)),$M77/$X77,"")</f>
        <v/>
      </c>
      <c r="Z77">
        <f>IF($X77=0,"",IF(COUNTIF(⑳商品別1食労務費!$C$5:$C$124,$R77)+COUNTIF(⑳商品別1食労務費!$C$5:$C$124,$S77)+COUNTIF(⑳商品別1食労務費!$C$5:$C$124,$T77)+COUNTIF(⑳商品別1食労務費!$C$5:$C$124,$U77)+COUNTIF(⑳商品別1食労務費!$C$5:$C$124,$V77)+COUNTIF(⑳商品別1食労務費!$C$5:$C$124,$W77)=$X77,"OK","⑳に無い商品名"))</f>
        <v/>
      </c>
      <c r="AA77">
        <f>SUMIF(⑳商品別1食労務費!$C$5:$C$124,$R77,⑳商品別1食労務費!$F$5:$F$124)+SUMIF(⑳商品別1食労務費!$C$5:$C$124,$S77,⑳商品別1食労務費!$F$5:$F$124)+SUMIF(⑳商品別1食労務費!$C$5:$C$124,$T77,⑳商品別1食労務費!$F$5:$F$124)+SUMIF(⑳商品別1食労務費!$C$5:$C$124,$U77,⑳商品別1食労務費!$F$5:$F$124)+SUMIF(⑳商品別1食労務費!$C$5:$C$124,$V77,⑳商品別1食労務費!$F$5:$F$124)+SUMIF(⑳商品別1食労務費!$C$5:$C$124,$W77,⑳商品別1食労務費!$F$5:$F$124)</f>
        <v/>
      </c>
      <c r="AB77">
        <f>IF(ISNUMBER($M77),$M77,0)</f>
        <v/>
      </c>
      <c r="AD77" s="413">
        <f>IF($R77="",0,IF($AA77&gt;0,$AB77*SUMIF(⑳商品別1食労務費!$C$5:$C$124,$R77,⑳商品別1食労務費!$F$5:$F$124)/$AA77,$AB77/$X77))</f>
        <v/>
      </c>
      <c r="AE77" s="413">
        <f>IF($S77="",0,IF($AA77&gt;0,$AB77*SUMIF(⑳商品別1食労務費!$C$5:$C$124,$S77,⑳商品別1食労務費!$F$5:$F$124)/$AA77,$AB77/$X77))</f>
        <v/>
      </c>
      <c r="AF77" s="413">
        <f>IF($T77="",0,IF($AA77&gt;0,$AB77*SUMIF(⑳商品別1食労務費!$C$5:$C$124,$T77,⑳商品別1食労務費!$F$5:$F$124)/$AA77,$AB77/$X77))</f>
        <v/>
      </c>
      <c r="AG77" s="413">
        <f>IF($U77="",0,IF($AA77&gt;0,$AB77*SUMIF(⑳商品別1食労務費!$C$5:$C$124,$U77,⑳商品別1食労務費!$F$5:$F$124)/$AA77,$AB77/$X77))</f>
        <v/>
      </c>
      <c r="AH77" s="413">
        <f>IF($V77="",0,IF($AA77&gt;0,$AB77*SUMIF(⑳商品別1食労務費!$C$5:$C$124,$V77,⑳商品別1食労務費!$F$5:$F$124)/$AA77,$AB77/$X77))</f>
        <v/>
      </c>
      <c r="AI77" s="413">
        <f>IF($W77="",0,IF($AA77&gt;0,$AB77*SUMIF(⑳商品別1食労務費!$C$5:$C$124,$W77,⑳商品別1食労務費!$F$5:$F$124)/$AA77,$AB77/$X77))</f>
        <v/>
      </c>
    </row>
    <row r="78" ht="16" customHeight="1" s="438">
      <c r="A78" s="56" t="n">
        <v>74</v>
      </c>
      <c r="B78" s="57" t="n"/>
      <c r="C78" s="5" t="n"/>
      <c r="D78" s="5" t="n"/>
      <c r="E78" s="5" t="n"/>
      <c r="F78" s="58" t="n"/>
      <c r="G78" s="7" t="n"/>
      <c r="H78" s="7" t="n"/>
      <c r="I78" s="7" t="n"/>
      <c r="J78" s="7" t="n"/>
      <c r="K78" s="513">
        <f>IF(F78&gt;0,I78/(F78/60),0)</f>
        <v/>
      </c>
      <c r="L78" s="514">
        <f>IF(AND(ISNUMBER(F78),J78&gt;0),J78/(F78/60),"")</f>
        <v/>
      </c>
      <c r="M78" s="9">
        <f>IF(OR(ISNUMBER(SEARCH("サニテーション",C78)),ISNUMBER(SEARCH("客注",C78)),ISNUMBER(SEARCH("切り替え",C78)),ISNUMBER(SEARCH("切替",C78)),NOT(ISNUMBER(H78))),"",IF(ISNUMBER(G78),G78/60*H78*④前提設定!$B$4,IF(AND(G78="",ISNUMBER(F78)),F78/60*H78*④前提設定!$B$4,"")))</f>
        <v/>
      </c>
      <c r="N78" s="513">
        <f>IF(I78&gt;0,M78/I78,"")</f>
        <v/>
      </c>
      <c r="O78" s="514">
        <f>IF(AND(J78&gt;0,ISNUMBER(M78)),M78/J78,"")</f>
        <v/>
      </c>
      <c r="P78" s="59" t="n"/>
      <c r="Q78" s="60" t="n"/>
      <c r="R78" s="5" t="n"/>
      <c r="S78" s="5" t="n"/>
      <c r="T78" s="5" t="n"/>
      <c r="U78" s="5" t="n"/>
      <c r="V78" s="5" t="n"/>
      <c r="W78" s="5" t="n"/>
      <c r="X78">
        <f>COUNTA(R78:W78)</f>
        <v/>
      </c>
      <c r="Y78">
        <f>IF(AND($X78&gt;0,ISNUMBER($M78)),$M78/$X78,"")</f>
        <v/>
      </c>
      <c r="Z78">
        <f>IF($X78=0,"",IF(COUNTIF(⑳商品別1食労務費!$C$5:$C$124,$R78)+COUNTIF(⑳商品別1食労務費!$C$5:$C$124,$S78)+COUNTIF(⑳商品別1食労務費!$C$5:$C$124,$T78)+COUNTIF(⑳商品別1食労務費!$C$5:$C$124,$U78)+COUNTIF(⑳商品別1食労務費!$C$5:$C$124,$V78)+COUNTIF(⑳商品別1食労務費!$C$5:$C$124,$W78)=$X78,"OK","⑳に無い商品名"))</f>
        <v/>
      </c>
      <c r="AA78">
        <f>SUMIF(⑳商品別1食労務費!$C$5:$C$124,$R78,⑳商品別1食労務費!$F$5:$F$124)+SUMIF(⑳商品別1食労務費!$C$5:$C$124,$S78,⑳商品別1食労務費!$F$5:$F$124)+SUMIF(⑳商品別1食労務費!$C$5:$C$124,$T78,⑳商品別1食労務費!$F$5:$F$124)+SUMIF(⑳商品別1食労務費!$C$5:$C$124,$U78,⑳商品別1食労務費!$F$5:$F$124)+SUMIF(⑳商品別1食労務費!$C$5:$C$124,$V78,⑳商品別1食労務費!$F$5:$F$124)+SUMIF(⑳商品別1食労務費!$C$5:$C$124,$W78,⑳商品別1食労務費!$F$5:$F$124)</f>
        <v/>
      </c>
      <c r="AB78">
        <f>IF(ISNUMBER($M78),$M78,0)</f>
        <v/>
      </c>
      <c r="AD78" s="413">
        <f>IF($R78="",0,IF($AA78&gt;0,$AB78*SUMIF(⑳商品別1食労務費!$C$5:$C$124,$R78,⑳商品別1食労務費!$F$5:$F$124)/$AA78,$AB78/$X78))</f>
        <v/>
      </c>
      <c r="AE78" s="413">
        <f>IF($S78="",0,IF($AA78&gt;0,$AB78*SUMIF(⑳商品別1食労務費!$C$5:$C$124,$S78,⑳商品別1食労務費!$F$5:$F$124)/$AA78,$AB78/$X78))</f>
        <v/>
      </c>
      <c r="AF78" s="413">
        <f>IF($T78="",0,IF($AA78&gt;0,$AB78*SUMIF(⑳商品別1食労務費!$C$5:$C$124,$T78,⑳商品別1食労務費!$F$5:$F$124)/$AA78,$AB78/$X78))</f>
        <v/>
      </c>
      <c r="AG78" s="413">
        <f>IF($U78="",0,IF($AA78&gt;0,$AB78*SUMIF(⑳商品別1食労務費!$C$5:$C$124,$U78,⑳商品別1食労務費!$F$5:$F$124)/$AA78,$AB78/$X78))</f>
        <v/>
      </c>
      <c r="AH78" s="413">
        <f>IF($V78="",0,IF($AA78&gt;0,$AB78*SUMIF(⑳商品別1食労務費!$C$5:$C$124,$V78,⑳商品別1食労務費!$F$5:$F$124)/$AA78,$AB78/$X78))</f>
        <v/>
      </c>
      <c r="AI78" s="413">
        <f>IF($W78="",0,IF($AA78&gt;0,$AB78*SUMIF(⑳商品別1食労務費!$C$5:$C$124,$W78,⑳商品別1食労務費!$F$5:$F$124)/$AA78,$AB78/$X78))</f>
        <v/>
      </c>
    </row>
    <row r="79" ht="16" customHeight="1" s="438">
      <c r="A79" s="56" t="n">
        <v>75</v>
      </c>
      <c r="B79" s="57" t="n"/>
      <c r="C79" s="5" t="n"/>
      <c r="D79" s="5" t="n"/>
      <c r="E79" s="5" t="n"/>
      <c r="F79" s="58" t="n"/>
      <c r="G79" s="7" t="n"/>
      <c r="H79" s="7" t="n"/>
      <c r="I79" s="7" t="n"/>
      <c r="J79" s="7" t="n"/>
      <c r="K79" s="513">
        <f>IF(F79&gt;0,I79/(F79/60),0)</f>
        <v/>
      </c>
      <c r="L79" s="514">
        <f>IF(AND(ISNUMBER(F79),J79&gt;0),J79/(F79/60),"")</f>
        <v/>
      </c>
      <c r="M79" s="9">
        <f>IF(OR(ISNUMBER(SEARCH("サニテーション",C79)),ISNUMBER(SEARCH("客注",C79)),ISNUMBER(SEARCH("切り替え",C79)),ISNUMBER(SEARCH("切替",C79)),NOT(ISNUMBER(H79))),"",IF(ISNUMBER(G79),G79/60*H79*④前提設定!$B$4,IF(AND(G79="",ISNUMBER(F79)),F79/60*H79*④前提設定!$B$4,"")))</f>
        <v/>
      </c>
      <c r="N79" s="513">
        <f>IF(I79&gt;0,M79/I79,"")</f>
        <v/>
      </c>
      <c r="O79" s="514">
        <f>IF(AND(J79&gt;0,ISNUMBER(M79)),M79/J79,"")</f>
        <v/>
      </c>
      <c r="P79" s="59" t="n"/>
      <c r="Q79" s="60" t="n"/>
      <c r="R79" s="5" t="n"/>
      <c r="S79" s="5" t="n"/>
      <c r="T79" s="5" t="n"/>
      <c r="U79" s="5" t="n"/>
      <c r="V79" s="5" t="n"/>
      <c r="W79" s="5" t="n"/>
      <c r="X79">
        <f>COUNTA(R79:W79)</f>
        <v/>
      </c>
      <c r="Y79">
        <f>IF(AND($X79&gt;0,ISNUMBER($M79)),$M79/$X79,"")</f>
        <v/>
      </c>
      <c r="Z79">
        <f>IF($X79=0,"",IF(COUNTIF(⑳商品別1食労務費!$C$5:$C$124,$R79)+COUNTIF(⑳商品別1食労務費!$C$5:$C$124,$S79)+COUNTIF(⑳商品別1食労務費!$C$5:$C$124,$T79)+COUNTIF(⑳商品別1食労務費!$C$5:$C$124,$U79)+COUNTIF(⑳商品別1食労務費!$C$5:$C$124,$V79)+COUNTIF(⑳商品別1食労務費!$C$5:$C$124,$W79)=$X79,"OK","⑳に無い商品名"))</f>
        <v/>
      </c>
      <c r="AA79">
        <f>SUMIF(⑳商品別1食労務費!$C$5:$C$124,$R79,⑳商品別1食労務費!$F$5:$F$124)+SUMIF(⑳商品別1食労務費!$C$5:$C$124,$S79,⑳商品別1食労務費!$F$5:$F$124)+SUMIF(⑳商品別1食労務費!$C$5:$C$124,$T79,⑳商品別1食労務費!$F$5:$F$124)+SUMIF(⑳商品別1食労務費!$C$5:$C$124,$U79,⑳商品別1食労務費!$F$5:$F$124)+SUMIF(⑳商品別1食労務費!$C$5:$C$124,$V79,⑳商品別1食労務費!$F$5:$F$124)+SUMIF(⑳商品別1食労務費!$C$5:$C$124,$W79,⑳商品別1食労務費!$F$5:$F$124)</f>
        <v/>
      </c>
      <c r="AB79">
        <f>IF(ISNUMBER($M79),$M79,0)</f>
        <v/>
      </c>
      <c r="AD79" s="413">
        <f>IF($R79="",0,IF($AA79&gt;0,$AB79*SUMIF(⑳商品別1食労務費!$C$5:$C$124,$R79,⑳商品別1食労務費!$F$5:$F$124)/$AA79,$AB79/$X79))</f>
        <v/>
      </c>
      <c r="AE79" s="413">
        <f>IF($S79="",0,IF($AA79&gt;0,$AB79*SUMIF(⑳商品別1食労務費!$C$5:$C$124,$S79,⑳商品別1食労務費!$F$5:$F$124)/$AA79,$AB79/$X79))</f>
        <v/>
      </c>
      <c r="AF79" s="413">
        <f>IF($T79="",0,IF($AA79&gt;0,$AB79*SUMIF(⑳商品別1食労務費!$C$5:$C$124,$T79,⑳商品別1食労務費!$F$5:$F$124)/$AA79,$AB79/$X79))</f>
        <v/>
      </c>
      <c r="AG79" s="413">
        <f>IF($U79="",0,IF($AA79&gt;0,$AB79*SUMIF(⑳商品別1食労務費!$C$5:$C$124,$U79,⑳商品別1食労務費!$F$5:$F$124)/$AA79,$AB79/$X79))</f>
        <v/>
      </c>
      <c r="AH79" s="413">
        <f>IF($V79="",0,IF($AA79&gt;0,$AB79*SUMIF(⑳商品別1食労務費!$C$5:$C$124,$V79,⑳商品別1食労務費!$F$5:$F$124)/$AA79,$AB79/$X79))</f>
        <v/>
      </c>
      <c r="AI79" s="413">
        <f>IF($W79="",0,IF($AA79&gt;0,$AB79*SUMIF(⑳商品別1食労務費!$C$5:$C$124,$W79,⑳商品別1食労務費!$F$5:$F$124)/$AA79,$AB79/$X79))</f>
        <v/>
      </c>
    </row>
    <row r="80" ht="16" customHeight="1" s="438">
      <c r="A80" s="56" t="n">
        <v>76</v>
      </c>
      <c r="B80" s="57" t="n"/>
      <c r="C80" s="5" t="n"/>
      <c r="D80" s="5" t="n"/>
      <c r="E80" s="5" t="n"/>
      <c r="F80" s="58" t="n"/>
      <c r="G80" s="7" t="n"/>
      <c r="H80" s="7" t="n"/>
      <c r="I80" s="7" t="n"/>
      <c r="J80" s="7" t="n"/>
      <c r="K80" s="513">
        <f>IF(F80&gt;0,I80/(F80/60),0)</f>
        <v/>
      </c>
      <c r="L80" s="514">
        <f>IF(AND(ISNUMBER(F80),J80&gt;0),J80/(F80/60),"")</f>
        <v/>
      </c>
      <c r="M80" s="9">
        <f>IF(OR(ISNUMBER(SEARCH("サニテーション",C80)),ISNUMBER(SEARCH("客注",C80)),ISNUMBER(SEARCH("切り替え",C80)),ISNUMBER(SEARCH("切替",C80)),NOT(ISNUMBER(H80))),"",IF(ISNUMBER(G80),G80/60*H80*④前提設定!$B$4,IF(AND(G80="",ISNUMBER(F80)),F80/60*H80*④前提設定!$B$4,"")))</f>
        <v/>
      </c>
      <c r="N80" s="513">
        <f>IF(I80&gt;0,M80/I80,"")</f>
        <v/>
      </c>
      <c r="O80" s="514">
        <f>IF(AND(J80&gt;0,ISNUMBER(M80)),M80/J80,"")</f>
        <v/>
      </c>
      <c r="P80" s="59" t="n"/>
      <c r="Q80" s="60" t="n"/>
      <c r="R80" s="5" t="n"/>
      <c r="S80" s="5" t="n"/>
      <c r="T80" s="5" t="n"/>
      <c r="U80" s="5" t="n"/>
      <c r="V80" s="5" t="n"/>
      <c r="W80" s="5" t="n"/>
      <c r="X80">
        <f>COUNTA(R80:W80)</f>
        <v/>
      </c>
      <c r="Y80">
        <f>IF(AND($X80&gt;0,ISNUMBER($M80)),$M80/$X80,"")</f>
        <v/>
      </c>
      <c r="Z80">
        <f>IF($X80=0,"",IF(COUNTIF(⑳商品別1食労務費!$C$5:$C$124,$R80)+COUNTIF(⑳商品別1食労務費!$C$5:$C$124,$S80)+COUNTIF(⑳商品別1食労務費!$C$5:$C$124,$T80)+COUNTIF(⑳商品別1食労務費!$C$5:$C$124,$U80)+COUNTIF(⑳商品別1食労務費!$C$5:$C$124,$V80)+COUNTIF(⑳商品別1食労務費!$C$5:$C$124,$W80)=$X80,"OK","⑳に無い商品名"))</f>
        <v/>
      </c>
      <c r="AA80">
        <f>SUMIF(⑳商品別1食労務費!$C$5:$C$124,$R80,⑳商品別1食労務費!$F$5:$F$124)+SUMIF(⑳商品別1食労務費!$C$5:$C$124,$S80,⑳商品別1食労務費!$F$5:$F$124)+SUMIF(⑳商品別1食労務費!$C$5:$C$124,$T80,⑳商品別1食労務費!$F$5:$F$124)+SUMIF(⑳商品別1食労務費!$C$5:$C$124,$U80,⑳商品別1食労務費!$F$5:$F$124)+SUMIF(⑳商品別1食労務費!$C$5:$C$124,$V80,⑳商品別1食労務費!$F$5:$F$124)+SUMIF(⑳商品別1食労務費!$C$5:$C$124,$W80,⑳商品別1食労務費!$F$5:$F$124)</f>
        <v/>
      </c>
      <c r="AB80">
        <f>IF(ISNUMBER($M80),$M80,0)</f>
        <v/>
      </c>
      <c r="AD80" s="413">
        <f>IF($R80="",0,IF($AA80&gt;0,$AB80*SUMIF(⑳商品別1食労務費!$C$5:$C$124,$R80,⑳商品別1食労務費!$F$5:$F$124)/$AA80,$AB80/$X80))</f>
        <v/>
      </c>
      <c r="AE80" s="413">
        <f>IF($S80="",0,IF($AA80&gt;0,$AB80*SUMIF(⑳商品別1食労務費!$C$5:$C$124,$S80,⑳商品別1食労務費!$F$5:$F$124)/$AA80,$AB80/$X80))</f>
        <v/>
      </c>
      <c r="AF80" s="413">
        <f>IF($T80="",0,IF($AA80&gt;0,$AB80*SUMIF(⑳商品別1食労務費!$C$5:$C$124,$T80,⑳商品別1食労務費!$F$5:$F$124)/$AA80,$AB80/$X80))</f>
        <v/>
      </c>
      <c r="AG80" s="413">
        <f>IF($U80="",0,IF($AA80&gt;0,$AB80*SUMIF(⑳商品別1食労務費!$C$5:$C$124,$U80,⑳商品別1食労務費!$F$5:$F$124)/$AA80,$AB80/$X80))</f>
        <v/>
      </c>
      <c r="AH80" s="413">
        <f>IF($V80="",0,IF($AA80&gt;0,$AB80*SUMIF(⑳商品別1食労務費!$C$5:$C$124,$V80,⑳商品別1食労務費!$F$5:$F$124)/$AA80,$AB80/$X80))</f>
        <v/>
      </c>
      <c r="AI80" s="413">
        <f>IF($W80="",0,IF($AA80&gt;0,$AB80*SUMIF(⑳商品別1食労務費!$C$5:$C$124,$W80,⑳商品別1食労務費!$F$5:$F$124)/$AA80,$AB80/$X80))</f>
        <v/>
      </c>
    </row>
    <row r="81" ht="16" customHeight="1" s="438">
      <c r="A81" s="56" t="n">
        <v>77</v>
      </c>
      <c r="B81" s="57" t="n"/>
      <c r="C81" s="5" t="n"/>
      <c r="D81" s="5" t="n"/>
      <c r="E81" s="5" t="n"/>
      <c r="F81" s="58" t="n"/>
      <c r="G81" s="7" t="n"/>
      <c r="H81" s="7" t="n"/>
      <c r="I81" s="7" t="n"/>
      <c r="J81" s="7" t="n"/>
      <c r="K81" s="513">
        <f>IF(F81&gt;0,I81/(F81/60),0)</f>
        <v/>
      </c>
      <c r="L81" s="514">
        <f>IF(AND(ISNUMBER(F81),J81&gt;0),J81/(F81/60),"")</f>
        <v/>
      </c>
      <c r="M81" s="9">
        <f>IF(OR(ISNUMBER(SEARCH("サニテーション",C81)),ISNUMBER(SEARCH("客注",C81)),ISNUMBER(SEARCH("切り替え",C81)),ISNUMBER(SEARCH("切替",C81)),NOT(ISNUMBER(H81))),"",IF(ISNUMBER(G81),G81/60*H81*④前提設定!$B$4,IF(AND(G81="",ISNUMBER(F81)),F81/60*H81*④前提設定!$B$4,"")))</f>
        <v/>
      </c>
      <c r="N81" s="513">
        <f>IF(I81&gt;0,M81/I81,"")</f>
        <v/>
      </c>
      <c r="O81" s="514">
        <f>IF(AND(J81&gt;0,ISNUMBER(M81)),M81/J81,"")</f>
        <v/>
      </c>
      <c r="P81" s="59" t="n"/>
      <c r="Q81" s="60" t="n"/>
      <c r="R81" s="5" t="n"/>
      <c r="S81" s="5" t="n"/>
      <c r="T81" s="5" t="n"/>
      <c r="U81" s="5" t="n"/>
      <c r="V81" s="5" t="n"/>
      <c r="W81" s="5" t="n"/>
      <c r="X81">
        <f>COUNTA(R81:W81)</f>
        <v/>
      </c>
      <c r="Y81">
        <f>IF(AND($X81&gt;0,ISNUMBER($M81)),$M81/$X81,"")</f>
        <v/>
      </c>
      <c r="Z81">
        <f>IF($X81=0,"",IF(COUNTIF(⑳商品別1食労務費!$C$5:$C$124,$R81)+COUNTIF(⑳商品別1食労務費!$C$5:$C$124,$S81)+COUNTIF(⑳商品別1食労務費!$C$5:$C$124,$T81)+COUNTIF(⑳商品別1食労務費!$C$5:$C$124,$U81)+COUNTIF(⑳商品別1食労務費!$C$5:$C$124,$V81)+COUNTIF(⑳商品別1食労務費!$C$5:$C$124,$W81)=$X81,"OK","⑳に無い商品名"))</f>
        <v/>
      </c>
      <c r="AA81">
        <f>SUMIF(⑳商品別1食労務費!$C$5:$C$124,$R81,⑳商品別1食労務費!$F$5:$F$124)+SUMIF(⑳商品別1食労務費!$C$5:$C$124,$S81,⑳商品別1食労務費!$F$5:$F$124)+SUMIF(⑳商品別1食労務費!$C$5:$C$124,$T81,⑳商品別1食労務費!$F$5:$F$124)+SUMIF(⑳商品別1食労務費!$C$5:$C$124,$U81,⑳商品別1食労務費!$F$5:$F$124)+SUMIF(⑳商品別1食労務費!$C$5:$C$124,$V81,⑳商品別1食労務費!$F$5:$F$124)+SUMIF(⑳商品別1食労務費!$C$5:$C$124,$W81,⑳商品別1食労務費!$F$5:$F$124)</f>
        <v/>
      </c>
      <c r="AB81">
        <f>IF(ISNUMBER($M81),$M81,0)</f>
        <v/>
      </c>
      <c r="AD81" s="413">
        <f>IF($R81="",0,IF($AA81&gt;0,$AB81*SUMIF(⑳商品別1食労務費!$C$5:$C$124,$R81,⑳商品別1食労務費!$F$5:$F$124)/$AA81,$AB81/$X81))</f>
        <v/>
      </c>
      <c r="AE81" s="413">
        <f>IF($S81="",0,IF($AA81&gt;0,$AB81*SUMIF(⑳商品別1食労務費!$C$5:$C$124,$S81,⑳商品別1食労務費!$F$5:$F$124)/$AA81,$AB81/$X81))</f>
        <v/>
      </c>
      <c r="AF81" s="413">
        <f>IF($T81="",0,IF($AA81&gt;0,$AB81*SUMIF(⑳商品別1食労務費!$C$5:$C$124,$T81,⑳商品別1食労務費!$F$5:$F$124)/$AA81,$AB81/$X81))</f>
        <v/>
      </c>
      <c r="AG81" s="413">
        <f>IF($U81="",0,IF($AA81&gt;0,$AB81*SUMIF(⑳商品別1食労務費!$C$5:$C$124,$U81,⑳商品別1食労務費!$F$5:$F$124)/$AA81,$AB81/$X81))</f>
        <v/>
      </c>
      <c r="AH81" s="413">
        <f>IF($V81="",0,IF($AA81&gt;0,$AB81*SUMIF(⑳商品別1食労務費!$C$5:$C$124,$V81,⑳商品別1食労務費!$F$5:$F$124)/$AA81,$AB81/$X81))</f>
        <v/>
      </c>
      <c r="AI81" s="413">
        <f>IF($W81="",0,IF($AA81&gt;0,$AB81*SUMIF(⑳商品別1食労務費!$C$5:$C$124,$W81,⑳商品別1食労務費!$F$5:$F$124)/$AA81,$AB81/$X81))</f>
        <v/>
      </c>
    </row>
    <row r="82" ht="16" customHeight="1" s="438">
      <c r="A82" s="56" t="n">
        <v>78</v>
      </c>
      <c r="B82" s="57" t="n"/>
      <c r="C82" s="5" t="n"/>
      <c r="D82" s="5" t="n"/>
      <c r="E82" s="5" t="n"/>
      <c r="F82" s="58" t="n"/>
      <c r="G82" s="7" t="n"/>
      <c r="H82" s="7" t="n"/>
      <c r="I82" s="7" t="n"/>
      <c r="J82" s="7" t="n"/>
      <c r="K82" s="513">
        <f>IF(F82&gt;0,I82/(F82/60),0)</f>
        <v/>
      </c>
      <c r="L82" s="514">
        <f>IF(AND(ISNUMBER(F82),J82&gt;0),J82/(F82/60),"")</f>
        <v/>
      </c>
      <c r="M82" s="9">
        <f>IF(OR(ISNUMBER(SEARCH("サニテーション",C82)),ISNUMBER(SEARCH("客注",C82)),ISNUMBER(SEARCH("切り替え",C82)),ISNUMBER(SEARCH("切替",C82)),NOT(ISNUMBER(H82))),"",IF(ISNUMBER(G82),G82/60*H82*④前提設定!$B$4,IF(AND(G82="",ISNUMBER(F82)),F82/60*H82*④前提設定!$B$4,"")))</f>
        <v/>
      </c>
      <c r="N82" s="513">
        <f>IF(I82&gt;0,M82/I82,"")</f>
        <v/>
      </c>
      <c r="O82" s="514">
        <f>IF(AND(J82&gt;0,ISNUMBER(M82)),M82/J82,"")</f>
        <v/>
      </c>
      <c r="P82" s="59" t="n"/>
      <c r="Q82" s="60" t="n"/>
      <c r="R82" s="5" t="n"/>
      <c r="S82" s="5" t="n"/>
      <c r="T82" s="5" t="n"/>
      <c r="U82" s="5" t="n"/>
      <c r="V82" s="5" t="n"/>
      <c r="W82" s="5" t="n"/>
      <c r="X82">
        <f>COUNTA(R82:W82)</f>
        <v/>
      </c>
      <c r="Y82">
        <f>IF(AND($X82&gt;0,ISNUMBER($M82)),$M82/$X82,"")</f>
        <v/>
      </c>
      <c r="Z82">
        <f>IF($X82=0,"",IF(COUNTIF(⑳商品別1食労務費!$C$5:$C$124,$R82)+COUNTIF(⑳商品別1食労務費!$C$5:$C$124,$S82)+COUNTIF(⑳商品別1食労務費!$C$5:$C$124,$T82)+COUNTIF(⑳商品別1食労務費!$C$5:$C$124,$U82)+COUNTIF(⑳商品別1食労務費!$C$5:$C$124,$V82)+COUNTIF(⑳商品別1食労務費!$C$5:$C$124,$W82)=$X82,"OK","⑳に無い商品名"))</f>
        <v/>
      </c>
      <c r="AA82">
        <f>SUMIF(⑳商品別1食労務費!$C$5:$C$124,$R82,⑳商品別1食労務費!$F$5:$F$124)+SUMIF(⑳商品別1食労務費!$C$5:$C$124,$S82,⑳商品別1食労務費!$F$5:$F$124)+SUMIF(⑳商品別1食労務費!$C$5:$C$124,$T82,⑳商品別1食労務費!$F$5:$F$124)+SUMIF(⑳商品別1食労務費!$C$5:$C$124,$U82,⑳商品別1食労務費!$F$5:$F$124)+SUMIF(⑳商品別1食労務費!$C$5:$C$124,$V82,⑳商品別1食労務費!$F$5:$F$124)+SUMIF(⑳商品別1食労務費!$C$5:$C$124,$W82,⑳商品別1食労務費!$F$5:$F$124)</f>
        <v/>
      </c>
      <c r="AB82">
        <f>IF(ISNUMBER($M82),$M82,0)</f>
        <v/>
      </c>
      <c r="AD82" s="413">
        <f>IF($R82="",0,IF($AA82&gt;0,$AB82*SUMIF(⑳商品別1食労務費!$C$5:$C$124,$R82,⑳商品別1食労務費!$F$5:$F$124)/$AA82,$AB82/$X82))</f>
        <v/>
      </c>
      <c r="AE82" s="413">
        <f>IF($S82="",0,IF($AA82&gt;0,$AB82*SUMIF(⑳商品別1食労務費!$C$5:$C$124,$S82,⑳商品別1食労務費!$F$5:$F$124)/$AA82,$AB82/$X82))</f>
        <v/>
      </c>
      <c r="AF82" s="413">
        <f>IF($T82="",0,IF($AA82&gt;0,$AB82*SUMIF(⑳商品別1食労務費!$C$5:$C$124,$T82,⑳商品別1食労務費!$F$5:$F$124)/$AA82,$AB82/$X82))</f>
        <v/>
      </c>
      <c r="AG82" s="413">
        <f>IF($U82="",0,IF($AA82&gt;0,$AB82*SUMIF(⑳商品別1食労務費!$C$5:$C$124,$U82,⑳商品別1食労務費!$F$5:$F$124)/$AA82,$AB82/$X82))</f>
        <v/>
      </c>
      <c r="AH82" s="413">
        <f>IF($V82="",0,IF($AA82&gt;0,$AB82*SUMIF(⑳商品別1食労務費!$C$5:$C$124,$V82,⑳商品別1食労務費!$F$5:$F$124)/$AA82,$AB82/$X82))</f>
        <v/>
      </c>
      <c r="AI82" s="413">
        <f>IF($W82="",0,IF($AA82&gt;0,$AB82*SUMIF(⑳商品別1食労務費!$C$5:$C$124,$W82,⑳商品別1食労務費!$F$5:$F$124)/$AA82,$AB82/$X82))</f>
        <v/>
      </c>
    </row>
    <row r="83" ht="16" customHeight="1" s="438">
      <c r="A83" s="56" t="n">
        <v>79</v>
      </c>
      <c r="B83" s="57" t="n"/>
      <c r="C83" s="5" t="n"/>
      <c r="D83" s="5" t="n"/>
      <c r="E83" s="5" t="n"/>
      <c r="F83" s="58" t="n"/>
      <c r="G83" s="7" t="n"/>
      <c r="H83" s="7" t="n"/>
      <c r="I83" s="7" t="n"/>
      <c r="J83" s="7" t="n"/>
      <c r="K83" s="513">
        <f>IF(F83&gt;0,I83/(F83/60),0)</f>
        <v/>
      </c>
      <c r="L83" s="514">
        <f>IF(AND(ISNUMBER(F83),J83&gt;0),J83/(F83/60),"")</f>
        <v/>
      </c>
      <c r="M83" s="9">
        <f>IF(OR(ISNUMBER(SEARCH("サニテーション",C83)),ISNUMBER(SEARCH("客注",C83)),ISNUMBER(SEARCH("切り替え",C83)),ISNUMBER(SEARCH("切替",C83)),NOT(ISNUMBER(H83))),"",IF(ISNUMBER(G83),G83/60*H83*④前提設定!$B$4,IF(AND(G83="",ISNUMBER(F83)),F83/60*H83*④前提設定!$B$4,"")))</f>
        <v/>
      </c>
      <c r="N83" s="513">
        <f>IF(I83&gt;0,M83/I83,"")</f>
        <v/>
      </c>
      <c r="O83" s="514">
        <f>IF(AND(J83&gt;0,ISNUMBER(M83)),M83/J83,"")</f>
        <v/>
      </c>
      <c r="P83" s="59" t="n"/>
      <c r="Q83" s="60" t="n"/>
      <c r="R83" s="5" t="n"/>
      <c r="S83" s="5" t="n"/>
      <c r="T83" s="5" t="n"/>
      <c r="U83" s="5" t="n"/>
      <c r="V83" s="5" t="n"/>
      <c r="W83" s="5" t="n"/>
      <c r="X83">
        <f>COUNTA(R83:W83)</f>
        <v/>
      </c>
      <c r="Y83">
        <f>IF(AND($X83&gt;0,ISNUMBER($M83)),$M83/$X83,"")</f>
        <v/>
      </c>
      <c r="Z83">
        <f>IF($X83=0,"",IF(COUNTIF(⑳商品別1食労務費!$C$5:$C$124,$R83)+COUNTIF(⑳商品別1食労務費!$C$5:$C$124,$S83)+COUNTIF(⑳商品別1食労務費!$C$5:$C$124,$T83)+COUNTIF(⑳商品別1食労務費!$C$5:$C$124,$U83)+COUNTIF(⑳商品別1食労務費!$C$5:$C$124,$V83)+COUNTIF(⑳商品別1食労務費!$C$5:$C$124,$W83)=$X83,"OK","⑳に無い商品名"))</f>
        <v/>
      </c>
      <c r="AA83">
        <f>SUMIF(⑳商品別1食労務費!$C$5:$C$124,$R83,⑳商品別1食労務費!$F$5:$F$124)+SUMIF(⑳商品別1食労務費!$C$5:$C$124,$S83,⑳商品別1食労務費!$F$5:$F$124)+SUMIF(⑳商品別1食労務費!$C$5:$C$124,$T83,⑳商品別1食労務費!$F$5:$F$124)+SUMIF(⑳商品別1食労務費!$C$5:$C$124,$U83,⑳商品別1食労務費!$F$5:$F$124)+SUMIF(⑳商品別1食労務費!$C$5:$C$124,$V83,⑳商品別1食労務費!$F$5:$F$124)+SUMIF(⑳商品別1食労務費!$C$5:$C$124,$W83,⑳商品別1食労務費!$F$5:$F$124)</f>
        <v/>
      </c>
      <c r="AB83">
        <f>IF(ISNUMBER($M83),$M83,0)</f>
        <v/>
      </c>
      <c r="AD83" s="413">
        <f>IF($R83="",0,IF($AA83&gt;0,$AB83*SUMIF(⑳商品別1食労務費!$C$5:$C$124,$R83,⑳商品別1食労務費!$F$5:$F$124)/$AA83,$AB83/$X83))</f>
        <v/>
      </c>
      <c r="AE83" s="413">
        <f>IF($S83="",0,IF($AA83&gt;0,$AB83*SUMIF(⑳商品別1食労務費!$C$5:$C$124,$S83,⑳商品別1食労務費!$F$5:$F$124)/$AA83,$AB83/$X83))</f>
        <v/>
      </c>
      <c r="AF83" s="413">
        <f>IF($T83="",0,IF($AA83&gt;0,$AB83*SUMIF(⑳商品別1食労務費!$C$5:$C$124,$T83,⑳商品別1食労務費!$F$5:$F$124)/$AA83,$AB83/$X83))</f>
        <v/>
      </c>
      <c r="AG83" s="413">
        <f>IF($U83="",0,IF($AA83&gt;0,$AB83*SUMIF(⑳商品別1食労務費!$C$5:$C$124,$U83,⑳商品別1食労務費!$F$5:$F$124)/$AA83,$AB83/$X83))</f>
        <v/>
      </c>
      <c r="AH83" s="413">
        <f>IF($V83="",0,IF($AA83&gt;0,$AB83*SUMIF(⑳商品別1食労務費!$C$5:$C$124,$V83,⑳商品別1食労務費!$F$5:$F$124)/$AA83,$AB83/$X83))</f>
        <v/>
      </c>
      <c r="AI83" s="413">
        <f>IF($W83="",0,IF($AA83&gt;0,$AB83*SUMIF(⑳商品別1食労務費!$C$5:$C$124,$W83,⑳商品別1食労務費!$F$5:$F$124)/$AA83,$AB83/$X83))</f>
        <v/>
      </c>
    </row>
    <row r="84" ht="16" customHeight="1" s="438">
      <c r="A84" s="56" t="n">
        <v>80</v>
      </c>
      <c r="B84" s="57" t="n"/>
      <c r="C84" s="5" t="n"/>
      <c r="D84" s="5" t="n"/>
      <c r="E84" s="5" t="n"/>
      <c r="F84" s="58" t="n"/>
      <c r="G84" s="7" t="n"/>
      <c r="H84" s="7" t="n"/>
      <c r="I84" s="7" t="n"/>
      <c r="J84" s="7" t="n"/>
      <c r="K84" s="513">
        <f>IF(F84&gt;0,I84/(F84/60),0)</f>
        <v/>
      </c>
      <c r="L84" s="514">
        <f>IF(AND(ISNUMBER(F84),J84&gt;0),J84/(F84/60),"")</f>
        <v/>
      </c>
      <c r="M84" s="9">
        <f>IF(OR(ISNUMBER(SEARCH("サニテーション",C84)),ISNUMBER(SEARCH("客注",C84)),ISNUMBER(SEARCH("切り替え",C84)),ISNUMBER(SEARCH("切替",C84)),NOT(ISNUMBER(H84))),"",IF(ISNUMBER(G84),G84/60*H84*④前提設定!$B$4,IF(AND(G84="",ISNUMBER(F84)),F84/60*H84*④前提設定!$B$4,"")))</f>
        <v/>
      </c>
      <c r="N84" s="513">
        <f>IF(I84&gt;0,M84/I84,"")</f>
        <v/>
      </c>
      <c r="O84" s="514">
        <f>IF(AND(J84&gt;0,ISNUMBER(M84)),M84/J84,"")</f>
        <v/>
      </c>
      <c r="P84" s="59" t="n"/>
      <c r="Q84" s="60" t="n"/>
      <c r="R84" s="5" t="n"/>
      <c r="S84" s="5" t="n"/>
      <c r="T84" s="5" t="n"/>
      <c r="U84" s="5" t="n"/>
      <c r="V84" s="5" t="n"/>
      <c r="W84" s="5" t="n"/>
      <c r="X84">
        <f>COUNTA(R84:W84)</f>
        <v/>
      </c>
      <c r="Y84">
        <f>IF(AND($X84&gt;0,ISNUMBER($M84)),$M84/$X84,"")</f>
        <v/>
      </c>
      <c r="Z84">
        <f>IF($X84=0,"",IF(COUNTIF(⑳商品別1食労務費!$C$5:$C$124,$R84)+COUNTIF(⑳商品別1食労務費!$C$5:$C$124,$S84)+COUNTIF(⑳商品別1食労務費!$C$5:$C$124,$T84)+COUNTIF(⑳商品別1食労務費!$C$5:$C$124,$U84)+COUNTIF(⑳商品別1食労務費!$C$5:$C$124,$V84)+COUNTIF(⑳商品別1食労務費!$C$5:$C$124,$W84)=$X84,"OK","⑳に無い商品名"))</f>
        <v/>
      </c>
      <c r="AA84">
        <f>SUMIF(⑳商品別1食労務費!$C$5:$C$124,$R84,⑳商品別1食労務費!$F$5:$F$124)+SUMIF(⑳商品別1食労務費!$C$5:$C$124,$S84,⑳商品別1食労務費!$F$5:$F$124)+SUMIF(⑳商品別1食労務費!$C$5:$C$124,$T84,⑳商品別1食労務費!$F$5:$F$124)+SUMIF(⑳商品別1食労務費!$C$5:$C$124,$U84,⑳商品別1食労務費!$F$5:$F$124)+SUMIF(⑳商品別1食労務費!$C$5:$C$124,$V84,⑳商品別1食労務費!$F$5:$F$124)+SUMIF(⑳商品別1食労務費!$C$5:$C$124,$W84,⑳商品別1食労務費!$F$5:$F$124)</f>
        <v/>
      </c>
      <c r="AB84">
        <f>IF(ISNUMBER($M84),$M84,0)</f>
        <v/>
      </c>
      <c r="AD84" s="413">
        <f>IF($R84="",0,IF($AA84&gt;0,$AB84*SUMIF(⑳商品別1食労務費!$C$5:$C$124,$R84,⑳商品別1食労務費!$F$5:$F$124)/$AA84,$AB84/$X84))</f>
        <v/>
      </c>
      <c r="AE84" s="413">
        <f>IF($S84="",0,IF($AA84&gt;0,$AB84*SUMIF(⑳商品別1食労務費!$C$5:$C$124,$S84,⑳商品別1食労務費!$F$5:$F$124)/$AA84,$AB84/$X84))</f>
        <v/>
      </c>
      <c r="AF84" s="413">
        <f>IF($T84="",0,IF($AA84&gt;0,$AB84*SUMIF(⑳商品別1食労務費!$C$5:$C$124,$T84,⑳商品別1食労務費!$F$5:$F$124)/$AA84,$AB84/$X84))</f>
        <v/>
      </c>
      <c r="AG84" s="413">
        <f>IF($U84="",0,IF($AA84&gt;0,$AB84*SUMIF(⑳商品別1食労務費!$C$5:$C$124,$U84,⑳商品別1食労務費!$F$5:$F$124)/$AA84,$AB84/$X84))</f>
        <v/>
      </c>
      <c r="AH84" s="413">
        <f>IF($V84="",0,IF($AA84&gt;0,$AB84*SUMIF(⑳商品別1食労務費!$C$5:$C$124,$V84,⑳商品別1食労務費!$F$5:$F$124)/$AA84,$AB84/$X84))</f>
        <v/>
      </c>
      <c r="AI84" s="413">
        <f>IF($W84="",0,IF($AA84&gt;0,$AB84*SUMIF(⑳商品別1食労務費!$C$5:$C$124,$W84,⑳商品別1食労務費!$F$5:$F$124)/$AA84,$AB84/$X84))</f>
        <v/>
      </c>
    </row>
    <row r="85" ht="16" customHeight="1" s="438">
      <c r="A85" s="56" t="n">
        <v>81</v>
      </c>
      <c r="B85" s="57" t="n"/>
      <c r="C85" s="5" t="n"/>
      <c r="D85" s="5" t="n"/>
      <c r="E85" s="5" t="n"/>
      <c r="F85" s="58" t="n"/>
      <c r="G85" s="7" t="n"/>
      <c r="H85" s="7" t="n"/>
      <c r="I85" s="7" t="n"/>
      <c r="J85" s="7" t="n"/>
      <c r="K85" s="513">
        <f>IF(F85&gt;0,I85/(F85/60),0)</f>
        <v/>
      </c>
      <c r="L85" s="514">
        <f>IF(AND(ISNUMBER(F85),J85&gt;0),J85/(F85/60),"")</f>
        <v/>
      </c>
      <c r="M85" s="9">
        <f>IF(OR(ISNUMBER(SEARCH("サニテーション",C85)),ISNUMBER(SEARCH("客注",C85)),ISNUMBER(SEARCH("切り替え",C85)),ISNUMBER(SEARCH("切替",C85)),NOT(ISNUMBER(H85))),"",IF(ISNUMBER(G85),G85/60*H85*④前提設定!$B$4,IF(AND(G85="",ISNUMBER(F85)),F85/60*H85*④前提設定!$B$4,"")))</f>
        <v/>
      </c>
      <c r="N85" s="513">
        <f>IF(I85&gt;0,M85/I85,"")</f>
        <v/>
      </c>
      <c r="O85" s="514">
        <f>IF(AND(J85&gt;0,ISNUMBER(M85)),M85/J85,"")</f>
        <v/>
      </c>
      <c r="P85" s="59" t="n"/>
      <c r="Q85" s="60" t="n"/>
      <c r="R85" s="5" t="n"/>
      <c r="S85" s="5" t="n"/>
      <c r="T85" s="5" t="n"/>
      <c r="U85" s="5" t="n"/>
      <c r="V85" s="5" t="n"/>
      <c r="W85" s="5" t="n"/>
      <c r="X85">
        <f>COUNTA(R85:W85)</f>
        <v/>
      </c>
      <c r="Y85">
        <f>IF(AND($X85&gt;0,ISNUMBER($M85)),$M85/$X85,"")</f>
        <v/>
      </c>
      <c r="Z85">
        <f>IF($X85=0,"",IF(COUNTIF(⑳商品別1食労務費!$C$5:$C$124,$R85)+COUNTIF(⑳商品別1食労務費!$C$5:$C$124,$S85)+COUNTIF(⑳商品別1食労務費!$C$5:$C$124,$T85)+COUNTIF(⑳商品別1食労務費!$C$5:$C$124,$U85)+COUNTIF(⑳商品別1食労務費!$C$5:$C$124,$V85)+COUNTIF(⑳商品別1食労務費!$C$5:$C$124,$W85)=$X85,"OK","⑳に無い商品名"))</f>
        <v/>
      </c>
      <c r="AA85">
        <f>SUMIF(⑳商品別1食労務費!$C$5:$C$124,$R85,⑳商品別1食労務費!$F$5:$F$124)+SUMIF(⑳商品別1食労務費!$C$5:$C$124,$S85,⑳商品別1食労務費!$F$5:$F$124)+SUMIF(⑳商品別1食労務費!$C$5:$C$124,$T85,⑳商品別1食労務費!$F$5:$F$124)+SUMIF(⑳商品別1食労務費!$C$5:$C$124,$U85,⑳商品別1食労務費!$F$5:$F$124)+SUMIF(⑳商品別1食労務費!$C$5:$C$124,$V85,⑳商品別1食労務費!$F$5:$F$124)+SUMIF(⑳商品別1食労務費!$C$5:$C$124,$W85,⑳商品別1食労務費!$F$5:$F$124)</f>
        <v/>
      </c>
      <c r="AB85">
        <f>IF(ISNUMBER($M85),$M85,0)</f>
        <v/>
      </c>
      <c r="AD85" s="413">
        <f>IF($R85="",0,IF($AA85&gt;0,$AB85*SUMIF(⑳商品別1食労務費!$C$5:$C$124,$R85,⑳商品別1食労務費!$F$5:$F$124)/$AA85,$AB85/$X85))</f>
        <v/>
      </c>
      <c r="AE85" s="413">
        <f>IF($S85="",0,IF($AA85&gt;0,$AB85*SUMIF(⑳商品別1食労務費!$C$5:$C$124,$S85,⑳商品別1食労務費!$F$5:$F$124)/$AA85,$AB85/$X85))</f>
        <v/>
      </c>
      <c r="AF85" s="413">
        <f>IF($T85="",0,IF($AA85&gt;0,$AB85*SUMIF(⑳商品別1食労務費!$C$5:$C$124,$T85,⑳商品別1食労務費!$F$5:$F$124)/$AA85,$AB85/$X85))</f>
        <v/>
      </c>
      <c r="AG85" s="413">
        <f>IF($U85="",0,IF($AA85&gt;0,$AB85*SUMIF(⑳商品別1食労務費!$C$5:$C$124,$U85,⑳商品別1食労務費!$F$5:$F$124)/$AA85,$AB85/$X85))</f>
        <v/>
      </c>
      <c r="AH85" s="413">
        <f>IF($V85="",0,IF($AA85&gt;0,$AB85*SUMIF(⑳商品別1食労務費!$C$5:$C$124,$V85,⑳商品別1食労務費!$F$5:$F$124)/$AA85,$AB85/$X85))</f>
        <v/>
      </c>
      <c r="AI85" s="413">
        <f>IF($W85="",0,IF($AA85&gt;0,$AB85*SUMIF(⑳商品別1食労務費!$C$5:$C$124,$W85,⑳商品別1食労務費!$F$5:$F$124)/$AA85,$AB85/$X85))</f>
        <v/>
      </c>
    </row>
    <row r="86" ht="16" customHeight="1" s="438">
      <c r="A86" s="56" t="n">
        <v>82</v>
      </c>
      <c r="B86" s="57" t="n"/>
      <c r="C86" s="5" t="n"/>
      <c r="D86" s="5" t="n"/>
      <c r="E86" s="5" t="n"/>
      <c r="F86" s="58" t="n"/>
      <c r="G86" s="7" t="n"/>
      <c r="H86" s="7" t="n"/>
      <c r="I86" s="7" t="n"/>
      <c r="J86" s="7" t="n"/>
      <c r="K86" s="513">
        <f>IF(F86&gt;0,I86/(F86/60),0)</f>
        <v/>
      </c>
      <c r="L86" s="514">
        <f>IF(AND(ISNUMBER(F86),J86&gt;0),J86/(F86/60),"")</f>
        <v/>
      </c>
      <c r="M86" s="9">
        <f>IF(OR(ISNUMBER(SEARCH("サニテーション",C86)),ISNUMBER(SEARCH("客注",C86)),ISNUMBER(SEARCH("切り替え",C86)),ISNUMBER(SEARCH("切替",C86)),NOT(ISNUMBER(H86))),"",IF(ISNUMBER(G86),G86/60*H86*④前提設定!$B$4,IF(AND(G86="",ISNUMBER(F86)),F86/60*H86*④前提設定!$B$4,"")))</f>
        <v/>
      </c>
      <c r="N86" s="513">
        <f>IF(I86&gt;0,M86/I86,"")</f>
        <v/>
      </c>
      <c r="O86" s="514">
        <f>IF(AND(J86&gt;0,ISNUMBER(M86)),M86/J86,"")</f>
        <v/>
      </c>
      <c r="P86" s="59" t="n"/>
      <c r="Q86" s="60" t="n"/>
      <c r="R86" s="5" t="n"/>
      <c r="S86" s="5" t="n"/>
      <c r="T86" s="5" t="n"/>
      <c r="U86" s="5" t="n"/>
      <c r="V86" s="5" t="n"/>
      <c r="W86" s="5" t="n"/>
      <c r="X86">
        <f>COUNTA(R86:W86)</f>
        <v/>
      </c>
      <c r="Y86">
        <f>IF(AND($X86&gt;0,ISNUMBER($M86)),$M86/$X86,"")</f>
        <v/>
      </c>
      <c r="Z86">
        <f>IF($X86=0,"",IF(COUNTIF(⑳商品別1食労務費!$C$5:$C$124,$R86)+COUNTIF(⑳商品別1食労務費!$C$5:$C$124,$S86)+COUNTIF(⑳商品別1食労務費!$C$5:$C$124,$T86)+COUNTIF(⑳商品別1食労務費!$C$5:$C$124,$U86)+COUNTIF(⑳商品別1食労務費!$C$5:$C$124,$V86)+COUNTIF(⑳商品別1食労務費!$C$5:$C$124,$W86)=$X86,"OK","⑳に無い商品名"))</f>
        <v/>
      </c>
      <c r="AA86">
        <f>SUMIF(⑳商品別1食労務費!$C$5:$C$124,$R86,⑳商品別1食労務費!$F$5:$F$124)+SUMIF(⑳商品別1食労務費!$C$5:$C$124,$S86,⑳商品別1食労務費!$F$5:$F$124)+SUMIF(⑳商品別1食労務費!$C$5:$C$124,$T86,⑳商品別1食労務費!$F$5:$F$124)+SUMIF(⑳商品別1食労務費!$C$5:$C$124,$U86,⑳商品別1食労務費!$F$5:$F$124)+SUMIF(⑳商品別1食労務費!$C$5:$C$124,$V86,⑳商品別1食労務費!$F$5:$F$124)+SUMIF(⑳商品別1食労務費!$C$5:$C$124,$W86,⑳商品別1食労務費!$F$5:$F$124)</f>
        <v/>
      </c>
      <c r="AB86">
        <f>IF(ISNUMBER($M86),$M86,0)</f>
        <v/>
      </c>
      <c r="AD86" s="413">
        <f>IF($R86="",0,IF($AA86&gt;0,$AB86*SUMIF(⑳商品別1食労務費!$C$5:$C$124,$R86,⑳商品別1食労務費!$F$5:$F$124)/$AA86,$AB86/$X86))</f>
        <v/>
      </c>
      <c r="AE86" s="413">
        <f>IF($S86="",0,IF($AA86&gt;0,$AB86*SUMIF(⑳商品別1食労務費!$C$5:$C$124,$S86,⑳商品別1食労務費!$F$5:$F$124)/$AA86,$AB86/$X86))</f>
        <v/>
      </c>
      <c r="AF86" s="413">
        <f>IF($T86="",0,IF($AA86&gt;0,$AB86*SUMIF(⑳商品別1食労務費!$C$5:$C$124,$T86,⑳商品別1食労務費!$F$5:$F$124)/$AA86,$AB86/$X86))</f>
        <v/>
      </c>
      <c r="AG86" s="413">
        <f>IF($U86="",0,IF($AA86&gt;0,$AB86*SUMIF(⑳商品別1食労務費!$C$5:$C$124,$U86,⑳商品別1食労務費!$F$5:$F$124)/$AA86,$AB86/$X86))</f>
        <v/>
      </c>
      <c r="AH86" s="413">
        <f>IF($V86="",0,IF($AA86&gt;0,$AB86*SUMIF(⑳商品別1食労務費!$C$5:$C$124,$V86,⑳商品別1食労務費!$F$5:$F$124)/$AA86,$AB86/$X86))</f>
        <v/>
      </c>
      <c r="AI86" s="413">
        <f>IF($W86="",0,IF($AA86&gt;0,$AB86*SUMIF(⑳商品別1食労務費!$C$5:$C$124,$W86,⑳商品別1食労務費!$F$5:$F$124)/$AA86,$AB86/$X86))</f>
        <v/>
      </c>
    </row>
    <row r="87" ht="16" customHeight="1" s="438">
      <c r="A87" s="56" t="n">
        <v>83</v>
      </c>
      <c r="B87" s="57" t="n"/>
      <c r="C87" s="5" t="n"/>
      <c r="D87" s="5" t="n"/>
      <c r="E87" s="5" t="n"/>
      <c r="F87" s="58" t="n"/>
      <c r="G87" s="7" t="n"/>
      <c r="H87" s="7" t="n"/>
      <c r="I87" s="7" t="n"/>
      <c r="J87" s="7" t="n"/>
      <c r="K87" s="513">
        <f>IF(F87&gt;0,I87/(F87/60),0)</f>
        <v/>
      </c>
      <c r="L87" s="514">
        <f>IF(AND(ISNUMBER(F87),J87&gt;0),J87/(F87/60),"")</f>
        <v/>
      </c>
      <c r="M87" s="9">
        <f>IF(OR(ISNUMBER(SEARCH("サニテーション",C87)),ISNUMBER(SEARCH("客注",C87)),ISNUMBER(SEARCH("切り替え",C87)),ISNUMBER(SEARCH("切替",C87)),NOT(ISNUMBER(H87))),"",IF(ISNUMBER(G87),G87/60*H87*④前提設定!$B$4,IF(AND(G87="",ISNUMBER(F87)),F87/60*H87*④前提設定!$B$4,"")))</f>
        <v/>
      </c>
      <c r="N87" s="513">
        <f>IF(I87&gt;0,M87/I87,"")</f>
        <v/>
      </c>
      <c r="O87" s="514">
        <f>IF(AND(J87&gt;0,ISNUMBER(M87)),M87/J87,"")</f>
        <v/>
      </c>
      <c r="P87" s="59" t="n"/>
      <c r="Q87" s="60" t="n"/>
      <c r="R87" s="5" t="n"/>
      <c r="S87" s="5" t="n"/>
      <c r="T87" s="5" t="n"/>
      <c r="U87" s="5" t="n"/>
      <c r="V87" s="5" t="n"/>
      <c r="W87" s="5" t="n"/>
      <c r="X87">
        <f>COUNTA(R87:W87)</f>
        <v/>
      </c>
      <c r="Y87">
        <f>IF(AND($X87&gt;0,ISNUMBER($M87)),$M87/$X87,"")</f>
        <v/>
      </c>
      <c r="Z87">
        <f>IF($X87=0,"",IF(COUNTIF(⑳商品別1食労務費!$C$5:$C$124,$R87)+COUNTIF(⑳商品別1食労務費!$C$5:$C$124,$S87)+COUNTIF(⑳商品別1食労務費!$C$5:$C$124,$T87)+COUNTIF(⑳商品別1食労務費!$C$5:$C$124,$U87)+COUNTIF(⑳商品別1食労務費!$C$5:$C$124,$V87)+COUNTIF(⑳商品別1食労務費!$C$5:$C$124,$W87)=$X87,"OK","⑳に無い商品名"))</f>
        <v/>
      </c>
      <c r="AA87">
        <f>SUMIF(⑳商品別1食労務費!$C$5:$C$124,$R87,⑳商品別1食労務費!$F$5:$F$124)+SUMIF(⑳商品別1食労務費!$C$5:$C$124,$S87,⑳商品別1食労務費!$F$5:$F$124)+SUMIF(⑳商品別1食労務費!$C$5:$C$124,$T87,⑳商品別1食労務費!$F$5:$F$124)+SUMIF(⑳商品別1食労務費!$C$5:$C$124,$U87,⑳商品別1食労務費!$F$5:$F$124)+SUMIF(⑳商品別1食労務費!$C$5:$C$124,$V87,⑳商品別1食労務費!$F$5:$F$124)+SUMIF(⑳商品別1食労務費!$C$5:$C$124,$W87,⑳商品別1食労務費!$F$5:$F$124)</f>
        <v/>
      </c>
      <c r="AB87">
        <f>IF(ISNUMBER($M87),$M87,0)</f>
        <v/>
      </c>
      <c r="AD87" s="413">
        <f>IF($R87="",0,IF($AA87&gt;0,$AB87*SUMIF(⑳商品別1食労務費!$C$5:$C$124,$R87,⑳商品別1食労務費!$F$5:$F$124)/$AA87,$AB87/$X87))</f>
        <v/>
      </c>
      <c r="AE87" s="413">
        <f>IF($S87="",0,IF($AA87&gt;0,$AB87*SUMIF(⑳商品別1食労務費!$C$5:$C$124,$S87,⑳商品別1食労務費!$F$5:$F$124)/$AA87,$AB87/$X87))</f>
        <v/>
      </c>
      <c r="AF87" s="413">
        <f>IF($T87="",0,IF($AA87&gt;0,$AB87*SUMIF(⑳商品別1食労務費!$C$5:$C$124,$T87,⑳商品別1食労務費!$F$5:$F$124)/$AA87,$AB87/$X87))</f>
        <v/>
      </c>
      <c r="AG87" s="413">
        <f>IF($U87="",0,IF($AA87&gt;0,$AB87*SUMIF(⑳商品別1食労務費!$C$5:$C$124,$U87,⑳商品別1食労務費!$F$5:$F$124)/$AA87,$AB87/$X87))</f>
        <v/>
      </c>
      <c r="AH87" s="413">
        <f>IF($V87="",0,IF($AA87&gt;0,$AB87*SUMIF(⑳商品別1食労務費!$C$5:$C$124,$V87,⑳商品別1食労務費!$F$5:$F$124)/$AA87,$AB87/$X87))</f>
        <v/>
      </c>
      <c r="AI87" s="413">
        <f>IF($W87="",0,IF($AA87&gt;0,$AB87*SUMIF(⑳商品別1食労務費!$C$5:$C$124,$W87,⑳商品別1食労務費!$F$5:$F$124)/$AA87,$AB87/$X87))</f>
        <v/>
      </c>
    </row>
    <row r="88" ht="16" customHeight="1" s="438">
      <c r="A88" s="56" t="n">
        <v>84</v>
      </c>
      <c r="B88" s="57" t="n"/>
      <c r="C88" s="5" t="n"/>
      <c r="D88" s="5" t="n"/>
      <c r="E88" s="5" t="n"/>
      <c r="F88" s="58" t="n"/>
      <c r="G88" s="7" t="n"/>
      <c r="H88" s="7" t="n"/>
      <c r="I88" s="7" t="n"/>
      <c r="J88" s="7" t="n"/>
      <c r="K88" s="513">
        <f>IF(F88&gt;0,I88/(F88/60),0)</f>
        <v/>
      </c>
      <c r="L88" s="514">
        <f>IF(AND(ISNUMBER(F88),J88&gt;0),J88/(F88/60),"")</f>
        <v/>
      </c>
      <c r="M88" s="9">
        <f>IF(OR(ISNUMBER(SEARCH("サニテーション",C88)),ISNUMBER(SEARCH("客注",C88)),ISNUMBER(SEARCH("切り替え",C88)),ISNUMBER(SEARCH("切替",C88)),NOT(ISNUMBER(H88))),"",IF(ISNUMBER(G88),G88/60*H88*④前提設定!$B$4,IF(AND(G88="",ISNUMBER(F88)),F88/60*H88*④前提設定!$B$4,"")))</f>
        <v/>
      </c>
      <c r="N88" s="513">
        <f>IF(I88&gt;0,M88/I88,"")</f>
        <v/>
      </c>
      <c r="O88" s="514">
        <f>IF(AND(J88&gt;0,ISNUMBER(M88)),M88/J88,"")</f>
        <v/>
      </c>
      <c r="P88" s="59" t="n"/>
      <c r="Q88" s="60" t="n"/>
      <c r="R88" s="5" t="n"/>
      <c r="S88" s="5" t="n"/>
      <c r="T88" s="5" t="n"/>
      <c r="U88" s="5" t="n"/>
      <c r="V88" s="5" t="n"/>
      <c r="W88" s="5" t="n"/>
      <c r="X88">
        <f>COUNTA(R88:W88)</f>
        <v/>
      </c>
      <c r="Y88">
        <f>IF(AND($X88&gt;0,ISNUMBER($M88)),$M88/$X88,"")</f>
        <v/>
      </c>
      <c r="Z88">
        <f>IF($X88=0,"",IF(COUNTIF(⑳商品別1食労務費!$C$5:$C$124,$R88)+COUNTIF(⑳商品別1食労務費!$C$5:$C$124,$S88)+COUNTIF(⑳商品別1食労務費!$C$5:$C$124,$T88)+COUNTIF(⑳商品別1食労務費!$C$5:$C$124,$U88)+COUNTIF(⑳商品別1食労務費!$C$5:$C$124,$V88)+COUNTIF(⑳商品別1食労務費!$C$5:$C$124,$W88)=$X88,"OK","⑳に無い商品名"))</f>
        <v/>
      </c>
      <c r="AA88">
        <f>SUMIF(⑳商品別1食労務費!$C$5:$C$124,$R88,⑳商品別1食労務費!$F$5:$F$124)+SUMIF(⑳商品別1食労務費!$C$5:$C$124,$S88,⑳商品別1食労務費!$F$5:$F$124)+SUMIF(⑳商品別1食労務費!$C$5:$C$124,$T88,⑳商品別1食労務費!$F$5:$F$124)+SUMIF(⑳商品別1食労務費!$C$5:$C$124,$U88,⑳商品別1食労務費!$F$5:$F$124)+SUMIF(⑳商品別1食労務費!$C$5:$C$124,$V88,⑳商品別1食労務費!$F$5:$F$124)+SUMIF(⑳商品別1食労務費!$C$5:$C$124,$W88,⑳商品別1食労務費!$F$5:$F$124)</f>
        <v/>
      </c>
      <c r="AB88">
        <f>IF(ISNUMBER($M88),$M88,0)</f>
        <v/>
      </c>
      <c r="AD88" s="413">
        <f>IF($R88="",0,IF($AA88&gt;0,$AB88*SUMIF(⑳商品別1食労務費!$C$5:$C$124,$R88,⑳商品別1食労務費!$F$5:$F$124)/$AA88,$AB88/$X88))</f>
        <v/>
      </c>
      <c r="AE88" s="413">
        <f>IF($S88="",0,IF($AA88&gt;0,$AB88*SUMIF(⑳商品別1食労務費!$C$5:$C$124,$S88,⑳商品別1食労務費!$F$5:$F$124)/$AA88,$AB88/$X88))</f>
        <v/>
      </c>
      <c r="AF88" s="413">
        <f>IF($T88="",0,IF($AA88&gt;0,$AB88*SUMIF(⑳商品別1食労務費!$C$5:$C$124,$T88,⑳商品別1食労務費!$F$5:$F$124)/$AA88,$AB88/$X88))</f>
        <v/>
      </c>
      <c r="AG88" s="413">
        <f>IF($U88="",0,IF($AA88&gt;0,$AB88*SUMIF(⑳商品別1食労務費!$C$5:$C$124,$U88,⑳商品別1食労務費!$F$5:$F$124)/$AA88,$AB88/$X88))</f>
        <v/>
      </c>
      <c r="AH88" s="413">
        <f>IF($V88="",0,IF($AA88&gt;0,$AB88*SUMIF(⑳商品別1食労務費!$C$5:$C$124,$V88,⑳商品別1食労務費!$F$5:$F$124)/$AA88,$AB88/$X88))</f>
        <v/>
      </c>
      <c r="AI88" s="413">
        <f>IF($W88="",0,IF($AA88&gt;0,$AB88*SUMIF(⑳商品別1食労務費!$C$5:$C$124,$W88,⑳商品別1食労務費!$F$5:$F$124)/$AA88,$AB88/$X88))</f>
        <v/>
      </c>
    </row>
    <row r="89" ht="16" customHeight="1" s="438">
      <c r="A89" s="56" t="n">
        <v>85</v>
      </c>
      <c r="B89" s="57" t="n"/>
      <c r="C89" s="5" t="n"/>
      <c r="D89" s="5" t="n"/>
      <c r="E89" s="5" t="n"/>
      <c r="F89" s="58" t="n"/>
      <c r="G89" s="7" t="n"/>
      <c r="H89" s="7" t="n"/>
      <c r="I89" s="7" t="n"/>
      <c r="J89" s="7" t="n"/>
      <c r="K89" s="513">
        <f>IF(F89&gt;0,I89/(F89/60),0)</f>
        <v/>
      </c>
      <c r="L89" s="514">
        <f>IF(AND(ISNUMBER(F89),J89&gt;0),J89/(F89/60),"")</f>
        <v/>
      </c>
      <c r="M89" s="9">
        <f>IF(OR(ISNUMBER(SEARCH("サニテーション",C89)),ISNUMBER(SEARCH("客注",C89)),ISNUMBER(SEARCH("切り替え",C89)),ISNUMBER(SEARCH("切替",C89)),NOT(ISNUMBER(H89))),"",IF(ISNUMBER(G89),G89/60*H89*④前提設定!$B$4,IF(AND(G89="",ISNUMBER(F89)),F89/60*H89*④前提設定!$B$4,"")))</f>
        <v/>
      </c>
      <c r="N89" s="513">
        <f>IF(I89&gt;0,M89/I89,"")</f>
        <v/>
      </c>
      <c r="O89" s="514">
        <f>IF(AND(J89&gt;0,ISNUMBER(M89)),M89/J89,"")</f>
        <v/>
      </c>
      <c r="P89" s="59" t="n"/>
      <c r="Q89" s="60" t="n"/>
      <c r="R89" s="5" t="n"/>
      <c r="S89" s="5" t="n"/>
      <c r="T89" s="5" t="n"/>
      <c r="U89" s="5" t="n"/>
      <c r="V89" s="5" t="n"/>
      <c r="W89" s="5" t="n"/>
      <c r="X89">
        <f>COUNTA(R89:W89)</f>
        <v/>
      </c>
      <c r="Y89">
        <f>IF(AND($X89&gt;0,ISNUMBER($M89)),$M89/$X89,"")</f>
        <v/>
      </c>
      <c r="Z89">
        <f>IF($X89=0,"",IF(COUNTIF(⑳商品別1食労務費!$C$5:$C$124,$R89)+COUNTIF(⑳商品別1食労務費!$C$5:$C$124,$S89)+COUNTIF(⑳商品別1食労務費!$C$5:$C$124,$T89)+COUNTIF(⑳商品別1食労務費!$C$5:$C$124,$U89)+COUNTIF(⑳商品別1食労務費!$C$5:$C$124,$V89)+COUNTIF(⑳商品別1食労務費!$C$5:$C$124,$W89)=$X89,"OK","⑳に無い商品名"))</f>
        <v/>
      </c>
      <c r="AA89">
        <f>SUMIF(⑳商品別1食労務費!$C$5:$C$124,$R89,⑳商品別1食労務費!$F$5:$F$124)+SUMIF(⑳商品別1食労務費!$C$5:$C$124,$S89,⑳商品別1食労務費!$F$5:$F$124)+SUMIF(⑳商品別1食労務費!$C$5:$C$124,$T89,⑳商品別1食労務費!$F$5:$F$124)+SUMIF(⑳商品別1食労務費!$C$5:$C$124,$U89,⑳商品別1食労務費!$F$5:$F$124)+SUMIF(⑳商品別1食労務費!$C$5:$C$124,$V89,⑳商品別1食労務費!$F$5:$F$124)+SUMIF(⑳商品別1食労務費!$C$5:$C$124,$W89,⑳商品別1食労務費!$F$5:$F$124)</f>
        <v/>
      </c>
      <c r="AB89">
        <f>IF(ISNUMBER($M89),$M89,0)</f>
        <v/>
      </c>
      <c r="AD89" s="413">
        <f>IF($R89="",0,IF($AA89&gt;0,$AB89*SUMIF(⑳商品別1食労務費!$C$5:$C$124,$R89,⑳商品別1食労務費!$F$5:$F$124)/$AA89,$AB89/$X89))</f>
        <v/>
      </c>
      <c r="AE89" s="413">
        <f>IF($S89="",0,IF($AA89&gt;0,$AB89*SUMIF(⑳商品別1食労務費!$C$5:$C$124,$S89,⑳商品別1食労務費!$F$5:$F$124)/$AA89,$AB89/$X89))</f>
        <v/>
      </c>
      <c r="AF89" s="413">
        <f>IF($T89="",0,IF($AA89&gt;0,$AB89*SUMIF(⑳商品別1食労務費!$C$5:$C$124,$T89,⑳商品別1食労務費!$F$5:$F$124)/$AA89,$AB89/$X89))</f>
        <v/>
      </c>
      <c r="AG89" s="413">
        <f>IF($U89="",0,IF($AA89&gt;0,$AB89*SUMIF(⑳商品別1食労務費!$C$5:$C$124,$U89,⑳商品別1食労務費!$F$5:$F$124)/$AA89,$AB89/$X89))</f>
        <v/>
      </c>
      <c r="AH89" s="413">
        <f>IF($V89="",0,IF($AA89&gt;0,$AB89*SUMIF(⑳商品別1食労務費!$C$5:$C$124,$V89,⑳商品別1食労務費!$F$5:$F$124)/$AA89,$AB89/$X89))</f>
        <v/>
      </c>
      <c r="AI89" s="413">
        <f>IF($W89="",0,IF($AA89&gt;0,$AB89*SUMIF(⑳商品別1食労務費!$C$5:$C$124,$W89,⑳商品別1食労務費!$F$5:$F$124)/$AA89,$AB89/$X89))</f>
        <v/>
      </c>
    </row>
    <row r="90" ht="16" customHeight="1" s="438">
      <c r="A90" s="56" t="n">
        <v>86</v>
      </c>
      <c r="B90" s="57" t="n"/>
      <c r="C90" s="5" t="n"/>
      <c r="D90" s="5" t="n"/>
      <c r="E90" s="5" t="n"/>
      <c r="F90" s="58" t="n"/>
      <c r="G90" s="7" t="n"/>
      <c r="H90" s="7" t="n"/>
      <c r="I90" s="7" t="n"/>
      <c r="J90" s="7" t="n"/>
      <c r="K90" s="513">
        <f>IF(F90&gt;0,I90/(F90/60),0)</f>
        <v/>
      </c>
      <c r="L90" s="514">
        <f>IF(AND(ISNUMBER(F90),J90&gt;0),J90/(F90/60),"")</f>
        <v/>
      </c>
      <c r="M90" s="9">
        <f>IF(OR(ISNUMBER(SEARCH("サニテーション",C90)),ISNUMBER(SEARCH("客注",C90)),ISNUMBER(SEARCH("切り替え",C90)),ISNUMBER(SEARCH("切替",C90)),NOT(ISNUMBER(H90))),"",IF(ISNUMBER(G90),G90/60*H90*④前提設定!$B$4,IF(AND(G90="",ISNUMBER(F90)),F90/60*H90*④前提設定!$B$4,"")))</f>
        <v/>
      </c>
      <c r="N90" s="513">
        <f>IF(I90&gt;0,M90/I90,"")</f>
        <v/>
      </c>
      <c r="O90" s="514">
        <f>IF(AND(J90&gt;0,ISNUMBER(M90)),M90/J90,"")</f>
        <v/>
      </c>
      <c r="P90" s="59" t="n"/>
      <c r="Q90" s="60" t="n"/>
      <c r="R90" s="5" t="n"/>
      <c r="S90" s="5" t="n"/>
      <c r="T90" s="5" t="n"/>
      <c r="U90" s="5" t="n"/>
      <c r="V90" s="5" t="n"/>
      <c r="W90" s="5" t="n"/>
      <c r="X90">
        <f>COUNTA(R90:W90)</f>
        <v/>
      </c>
      <c r="Y90">
        <f>IF(AND($X90&gt;0,ISNUMBER($M90)),$M90/$X90,"")</f>
        <v/>
      </c>
      <c r="Z90">
        <f>IF($X90=0,"",IF(COUNTIF(⑳商品別1食労務費!$C$5:$C$124,$R90)+COUNTIF(⑳商品別1食労務費!$C$5:$C$124,$S90)+COUNTIF(⑳商品別1食労務費!$C$5:$C$124,$T90)+COUNTIF(⑳商品別1食労務費!$C$5:$C$124,$U90)+COUNTIF(⑳商品別1食労務費!$C$5:$C$124,$V90)+COUNTIF(⑳商品別1食労務費!$C$5:$C$124,$W90)=$X90,"OK","⑳に無い商品名"))</f>
        <v/>
      </c>
      <c r="AA90">
        <f>SUMIF(⑳商品別1食労務費!$C$5:$C$124,$R90,⑳商品別1食労務費!$F$5:$F$124)+SUMIF(⑳商品別1食労務費!$C$5:$C$124,$S90,⑳商品別1食労務費!$F$5:$F$124)+SUMIF(⑳商品別1食労務費!$C$5:$C$124,$T90,⑳商品別1食労務費!$F$5:$F$124)+SUMIF(⑳商品別1食労務費!$C$5:$C$124,$U90,⑳商品別1食労務費!$F$5:$F$124)+SUMIF(⑳商品別1食労務費!$C$5:$C$124,$V90,⑳商品別1食労務費!$F$5:$F$124)+SUMIF(⑳商品別1食労務費!$C$5:$C$124,$W90,⑳商品別1食労務費!$F$5:$F$124)</f>
        <v/>
      </c>
      <c r="AB90">
        <f>IF(ISNUMBER($M90),$M90,0)</f>
        <v/>
      </c>
      <c r="AD90" s="413">
        <f>IF($R90="",0,IF($AA90&gt;0,$AB90*SUMIF(⑳商品別1食労務費!$C$5:$C$124,$R90,⑳商品別1食労務費!$F$5:$F$124)/$AA90,$AB90/$X90))</f>
        <v/>
      </c>
      <c r="AE90" s="413">
        <f>IF($S90="",0,IF($AA90&gt;0,$AB90*SUMIF(⑳商品別1食労務費!$C$5:$C$124,$S90,⑳商品別1食労務費!$F$5:$F$124)/$AA90,$AB90/$X90))</f>
        <v/>
      </c>
      <c r="AF90" s="413">
        <f>IF($T90="",0,IF($AA90&gt;0,$AB90*SUMIF(⑳商品別1食労務費!$C$5:$C$124,$T90,⑳商品別1食労務費!$F$5:$F$124)/$AA90,$AB90/$X90))</f>
        <v/>
      </c>
      <c r="AG90" s="413">
        <f>IF($U90="",0,IF($AA90&gt;0,$AB90*SUMIF(⑳商品別1食労務費!$C$5:$C$124,$U90,⑳商品別1食労務費!$F$5:$F$124)/$AA90,$AB90/$X90))</f>
        <v/>
      </c>
      <c r="AH90" s="413">
        <f>IF($V90="",0,IF($AA90&gt;0,$AB90*SUMIF(⑳商品別1食労務費!$C$5:$C$124,$V90,⑳商品別1食労務費!$F$5:$F$124)/$AA90,$AB90/$X90))</f>
        <v/>
      </c>
      <c r="AI90" s="413">
        <f>IF($W90="",0,IF($AA90&gt;0,$AB90*SUMIF(⑳商品別1食労務費!$C$5:$C$124,$W90,⑳商品別1食労務費!$F$5:$F$124)/$AA90,$AB90/$X90))</f>
        <v/>
      </c>
    </row>
    <row r="91" ht="16" customHeight="1" s="438">
      <c r="A91" s="56" t="n">
        <v>87</v>
      </c>
      <c r="B91" s="57" t="n"/>
      <c r="C91" s="5" t="n"/>
      <c r="D91" s="5" t="n"/>
      <c r="E91" s="5" t="n"/>
      <c r="F91" s="58" t="n"/>
      <c r="G91" s="7" t="n"/>
      <c r="H91" s="7" t="n"/>
      <c r="I91" s="7" t="n"/>
      <c r="J91" s="7" t="n"/>
      <c r="K91" s="513">
        <f>IF(F91&gt;0,I91/(F91/60),0)</f>
        <v/>
      </c>
      <c r="L91" s="514">
        <f>IF(AND(ISNUMBER(F91),J91&gt;0),J91/(F91/60),"")</f>
        <v/>
      </c>
      <c r="M91" s="9">
        <f>IF(OR(ISNUMBER(SEARCH("サニテーション",C91)),ISNUMBER(SEARCH("客注",C91)),ISNUMBER(SEARCH("切り替え",C91)),ISNUMBER(SEARCH("切替",C91)),NOT(ISNUMBER(H91))),"",IF(ISNUMBER(G91),G91/60*H91*④前提設定!$B$4,IF(AND(G91="",ISNUMBER(F91)),F91/60*H91*④前提設定!$B$4,"")))</f>
        <v/>
      </c>
      <c r="N91" s="513">
        <f>IF(I91&gt;0,M91/I91,"")</f>
        <v/>
      </c>
      <c r="O91" s="514">
        <f>IF(AND(J91&gt;0,ISNUMBER(M91)),M91/J91,"")</f>
        <v/>
      </c>
      <c r="P91" s="59" t="n"/>
      <c r="Q91" s="60" t="n"/>
      <c r="R91" s="5" t="n"/>
      <c r="S91" s="5" t="n"/>
      <c r="T91" s="5" t="n"/>
      <c r="U91" s="5" t="n"/>
      <c r="V91" s="5" t="n"/>
      <c r="W91" s="5" t="n"/>
      <c r="X91">
        <f>COUNTA(R91:W91)</f>
        <v/>
      </c>
      <c r="Y91">
        <f>IF(AND($X91&gt;0,ISNUMBER($M91)),$M91/$X91,"")</f>
        <v/>
      </c>
      <c r="Z91">
        <f>IF($X91=0,"",IF(COUNTIF(⑳商品別1食労務費!$C$5:$C$124,$R91)+COUNTIF(⑳商品別1食労務費!$C$5:$C$124,$S91)+COUNTIF(⑳商品別1食労務費!$C$5:$C$124,$T91)+COUNTIF(⑳商品別1食労務費!$C$5:$C$124,$U91)+COUNTIF(⑳商品別1食労務費!$C$5:$C$124,$V91)+COUNTIF(⑳商品別1食労務費!$C$5:$C$124,$W91)=$X91,"OK","⑳に無い商品名"))</f>
        <v/>
      </c>
      <c r="AA91">
        <f>SUMIF(⑳商品別1食労務費!$C$5:$C$124,$R91,⑳商品別1食労務費!$F$5:$F$124)+SUMIF(⑳商品別1食労務費!$C$5:$C$124,$S91,⑳商品別1食労務費!$F$5:$F$124)+SUMIF(⑳商品別1食労務費!$C$5:$C$124,$T91,⑳商品別1食労務費!$F$5:$F$124)+SUMIF(⑳商品別1食労務費!$C$5:$C$124,$U91,⑳商品別1食労務費!$F$5:$F$124)+SUMIF(⑳商品別1食労務費!$C$5:$C$124,$V91,⑳商品別1食労務費!$F$5:$F$124)+SUMIF(⑳商品別1食労務費!$C$5:$C$124,$W91,⑳商品別1食労務費!$F$5:$F$124)</f>
        <v/>
      </c>
      <c r="AB91">
        <f>IF(ISNUMBER($M91),$M91,0)</f>
        <v/>
      </c>
      <c r="AD91" s="413">
        <f>IF($R91="",0,IF($AA91&gt;0,$AB91*SUMIF(⑳商品別1食労務費!$C$5:$C$124,$R91,⑳商品別1食労務費!$F$5:$F$124)/$AA91,$AB91/$X91))</f>
        <v/>
      </c>
      <c r="AE91" s="413">
        <f>IF($S91="",0,IF($AA91&gt;0,$AB91*SUMIF(⑳商品別1食労務費!$C$5:$C$124,$S91,⑳商品別1食労務費!$F$5:$F$124)/$AA91,$AB91/$X91))</f>
        <v/>
      </c>
      <c r="AF91" s="413">
        <f>IF($T91="",0,IF($AA91&gt;0,$AB91*SUMIF(⑳商品別1食労務費!$C$5:$C$124,$T91,⑳商品別1食労務費!$F$5:$F$124)/$AA91,$AB91/$X91))</f>
        <v/>
      </c>
      <c r="AG91" s="413">
        <f>IF($U91="",0,IF($AA91&gt;0,$AB91*SUMIF(⑳商品別1食労務費!$C$5:$C$124,$U91,⑳商品別1食労務費!$F$5:$F$124)/$AA91,$AB91/$X91))</f>
        <v/>
      </c>
      <c r="AH91" s="413">
        <f>IF($V91="",0,IF($AA91&gt;0,$AB91*SUMIF(⑳商品別1食労務費!$C$5:$C$124,$V91,⑳商品別1食労務費!$F$5:$F$124)/$AA91,$AB91/$X91))</f>
        <v/>
      </c>
      <c r="AI91" s="413">
        <f>IF($W91="",0,IF($AA91&gt;0,$AB91*SUMIF(⑳商品別1食労務費!$C$5:$C$124,$W91,⑳商品別1食労務費!$F$5:$F$124)/$AA91,$AB91/$X91))</f>
        <v/>
      </c>
    </row>
    <row r="92" ht="16" customHeight="1" s="438">
      <c r="A92" s="56" t="n">
        <v>88</v>
      </c>
      <c r="B92" s="57" t="n"/>
      <c r="C92" s="5" t="n"/>
      <c r="D92" s="5" t="n"/>
      <c r="E92" s="5" t="n"/>
      <c r="F92" s="58" t="n"/>
      <c r="G92" s="7" t="n"/>
      <c r="H92" s="7" t="n"/>
      <c r="I92" s="7" t="n"/>
      <c r="J92" s="7" t="n"/>
      <c r="K92" s="513">
        <f>IF(F92&gt;0,I92/(F92/60),0)</f>
        <v/>
      </c>
      <c r="L92" s="514">
        <f>IF(AND(ISNUMBER(F92),J92&gt;0),J92/(F92/60),"")</f>
        <v/>
      </c>
      <c r="M92" s="9">
        <f>IF(OR(ISNUMBER(SEARCH("サニテーション",C92)),ISNUMBER(SEARCH("客注",C92)),ISNUMBER(SEARCH("切り替え",C92)),ISNUMBER(SEARCH("切替",C92)),NOT(ISNUMBER(H92))),"",IF(ISNUMBER(G92),G92/60*H92*④前提設定!$B$4,IF(AND(G92="",ISNUMBER(F92)),F92/60*H92*④前提設定!$B$4,"")))</f>
        <v/>
      </c>
      <c r="N92" s="513">
        <f>IF(I92&gt;0,M92/I92,"")</f>
        <v/>
      </c>
      <c r="O92" s="514">
        <f>IF(AND(J92&gt;0,ISNUMBER(M92)),M92/J92,"")</f>
        <v/>
      </c>
      <c r="P92" s="59" t="n"/>
      <c r="Q92" s="60" t="n"/>
      <c r="R92" s="5" t="n"/>
      <c r="S92" s="5" t="n"/>
      <c r="T92" s="5" t="n"/>
      <c r="U92" s="5" t="n"/>
      <c r="V92" s="5" t="n"/>
      <c r="W92" s="5" t="n"/>
      <c r="X92">
        <f>COUNTA(R92:W92)</f>
        <v/>
      </c>
      <c r="Y92">
        <f>IF(AND($X92&gt;0,ISNUMBER($M92)),$M92/$X92,"")</f>
        <v/>
      </c>
      <c r="Z92">
        <f>IF($X92=0,"",IF(COUNTIF(⑳商品別1食労務費!$C$5:$C$124,$R92)+COUNTIF(⑳商品別1食労務費!$C$5:$C$124,$S92)+COUNTIF(⑳商品別1食労務費!$C$5:$C$124,$T92)+COUNTIF(⑳商品別1食労務費!$C$5:$C$124,$U92)+COUNTIF(⑳商品別1食労務費!$C$5:$C$124,$V92)+COUNTIF(⑳商品別1食労務費!$C$5:$C$124,$W92)=$X92,"OK","⑳に無い商品名"))</f>
        <v/>
      </c>
      <c r="AA92">
        <f>SUMIF(⑳商品別1食労務費!$C$5:$C$124,$R92,⑳商品別1食労務費!$F$5:$F$124)+SUMIF(⑳商品別1食労務費!$C$5:$C$124,$S92,⑳商品別1食労務費!$F$5:$F$124)+SUMIF(⑳商品別1食労務費!$C$5:$C$124,$T92,⑳商品別1食労務費!$F$5:$F$124)+SUMIF(⑳商品別1食労務費!$C$5:$C$124,$U92,⑳商品別1食労務費!$F$5:$F$124)+SUMIF(⑳商品別1食労務費!$C$5:$C$124,$V92,⑳商品別1食労務費!$F$5:$F$124)+SUMIF(⑳商品別1食労務費!$C$5:$C$124,$W92,⑳商品別1食労務費!$F$5:$F$124)</f>
        <v/>
      </c>
      <c r="AB92">
        <f>IF(ISNUMBER($M92),$M92,0)</f>
        <v/>
      </c>
      <c r="AD92" s="413">
        <f>IF($R92="",0,IF($AA92&gt;0,$AB92*SUMIF(⑳商品別1食労務費!$C$5:$C$124,$R92,⑳商品別1食労務費!$F$5:$F$124)/$AA92,$AB92/$X92))</f>
        <v/>
      </c>
      <c r="AE92" s="413">
        <f>IF($S92="",0,IF($AA92&gt;0,$AB92*SUMIF(⑳商品別1食労務費!$C$5:$C$124,$S92,⑳商品別1食労務費!$F$5:$F$124)/$AA92,$AB92/$X92))</f>
        <v/>
      </c>
      <c r="AF92" s="413">
        <f>IF($T92="",0,IF($AA92&gt;0,$AB92*SUMIF(⑳商品別1食労務費!$C$5:$C$124,$T92,⑳商品別1食労務費!$F$5:$F$124)/$AA92,$AB92/$X92))</f>
        <v/>
      </c>
      <c r="AG92" s="413">
        <f>IF($U92="",0,IF($AA92&gt;0,$AB92*SUMIF(⑳商品別1食労務費!$C$5:$C$124,$U92,⑳商品別1食労務費!$F$5:$F$124)/$AA92,$AB92/$X92))</f>
        <v/>
      </c>
      <c r="AH92" s="413">
        <f>IF($V92="",0,IF($AA92&gt;0,$AB92*SUMIF(⑳商品別1食労務費!$C$5:$C$124,$V92,⑳商品別1食労務費!$F$5:$F$124)/$AA92,$AB92/$X92))</f>
        <v/>
      </c>
      <c r="AI92" s="413">
        <f>IF($W92="",0,IF($AA92&gt;0,$AB92*SUMIF(⑳商品別1食労務費!$C$5:$C$124,$W92,⑳商品別1食労務費!$F$5:$F$124)/$AA92,$AB92/$X92))</f>
        <v/>
      </c>
    </row>
    <row r="93" ht="16" customHeight="1" s="438">
      <c r="A93" s="56" t="n">
        <v>89</v>
      </c>
      <c r="B93" s="57" t="n"/>
      <c r="C93" s="5" t="n"/>
      <c r="D93" s="5" t="n"/>
      <c r="E93" s="5" t="n"/>
      <c r="F93" s="58" t="n"/>
      <c r="G93" s="7" t="n"/>
      <c r="H93" s="7" t="n"/>
      <c r="I93" s="7" t="n"/>
      <c r="J93" s="7" t="n"/>
      <c r="K93" s="513">
        <f>IF(F93&gt;0,I93/(F93/60),0)</f>
        <v/>
      </c>
      <c r="L93" s="514">
        <f>IF(AND(ISNUMBER(F93),J93&gt;0),J93/(F93/60),"")</f>
        <v/>
      </c>
      <c r="M93" s="9">
        <f>IF(OR(ISNUMBER(SEARCH("サニテーション",C93)),ISNUMBER(SEARCH("客注",C93)),ISNUMBER(SEARCH("切り替え",C93)),ISNUMBER(SEARCH("切替",C93)),NOT(ISNUMBER(H93))),"",IF(ISNUMBER(G93),G93/60*H93*④前提設定!$B$4,IF(AND(G93="",ISNUMBER(F93)),F93/60*H93*④前提設定!$B$4,"")))</f>
        <v/>
      </c>
      <c r="N93" s="513">
        <f>IF(I93&gt;0,M93/I93,"")</f>
        <v/>
      </c>
      <c r="O93" s="514">
        <f>IF(AND(J93&gt;0,ISNUMBER(M93)),M93/J93,"")</f>
        <v/>
      </c>
      <c r="P93" s="59" t="n"/>
      <c r="Q93" s="60" t="n"/>
      <c r="R93" s="5" t="n"/>
      <c r="S93" s="5" t="n"/>
      <c r="T93" s="5" t="n"/>
      <c r="U93" s="5" t="n"/>
      <c r="V93" s="5" t="n"/>
      <c r="W93" s="5" t="n"/>
      <c r="X93">
        <f>COUNTA(R93:W93)</f>
        <v/>
      </c>
      <c r="Y93">
        <f>IF(AND($X93&gt;0,ISNUMBER($M93)),$M93/$X93,"")</f>
        <v/>
      </c>
      <c r="Z93">
        <f>IF($X93=0,"",IF(COUNTIF(⑳商品別1食労務費!$C$5:$C$124,$R93)+COUNTIF(⑳商品別1食労務費!$C$5:$C$124,$S93)+COUNTIF(⑳商品別1食労務費!$C$5:$C$124,$T93)+COUNTIF(⑳商品別1食労務費!$C$5:$C$124,$U93)+COUNTIF(⑳商品別1食労務費!$C$5:$C$124,$V93)+COUNTIF(⑳商品別1食労務費!$C$5:$C$124,$W93)=$X93,"OK","⑳に無い商品名"))</f>
        <v/>
      </c>
      <c r="AA93">
        <f>SUMIF(⑳商品別1食労務費!$C$5:$C$124,$R93,⑳商品別1食労務費!$F$5:$F$124)+SUMIF(⑳商品別1食労務費!$C$5:$C$124,$S93,⑳商品別1食労務費!$F$5:$F$124)+SUMIF(⑳商品別1食労務費!$C$5:$C$124,$T93,⑳商品別1食労務費!$F$5:$F$124)+SUMIF(⑳商品別1食労務費!$C$5:$C$124,$U93,⑳商品別1食労務費!$F$5:$F$124)+SUMIF(⑳商品別1食労務費!$C$5:$C$124,$V93,⑳商品別1食労務費!$F$5:$F$124)+SUMIF(⑳商品別1食労務費!$C$5:$C$124,$W93,⑳商品別1食労務費!$F$5:$F$124)</f>
        <v/>
      </c>
      <c r="AB93">
        <f>IF(ISNUMBER($M93),$M93,0)</f>
        <v/>
      </c>
      <c r="AD93" s="413">
        <f>IF($R93="",0,IF($AA93&gt;0,$AB93*SUMIF(⑳商品別1食労務費!$C$5:$C$124,$R93,⑳商品別1食労務費!$F$5:$F$124)/$AA93,$AB93/$X93))</f>
        <v/>
      </c>
      <c r="AE93" s="413">
        <f>IF($S93="",0,IF($AA93&gt;0,$AB93*SUMIF(⑳商品別1食労務費!$C$5:$C$124,$S93,⑳商品別1食労務費!$F$5:$F$124)/$AA93,$AB93/$X93))</f>
        <v/>
      </c>
      <c r="AF93" s="413">
        <f>IF($T93="",0,IF($AA93&gt;0,$AB93*SUMIF(⑳商品別1食労務費!$C$5:$C$124,$T93,⑳商品別1食労務費!$F$5:$F$124)/$AA93,$AB93/$X93))</f>
        <v/>
      </c>
      <c r="AG93" s="413">
        <f>IF($U93="",0,IF($AA93&gt;0,$AB93*SUMIF(⑳商品別1食労務費!$C$5:$C$124,$U93,⑳商品別1食労務費!$F$5:$F$124)/$AA93,$AB93/$X93))</f>
        <v/>
      </c>
      <c r="AH93" s="413">
        <f>IF($V93="",0,IF($AA93&gt;0,$AB93*SUMIF(⑳商品別1食労務費!$C$5:$C$124,$V93,⑳商品別1食労務費!$F$5:$F$124)/$AA93,$AB93/$X93))</f>
        <v/>
      </c>
      <c r="AI93" s="413">
        <f>IF($W93="",0,IF($AA93&gt;0,$AB93*SUMIF(⑳商品別1食労務費!$C$5:$C$124,$W93,⑳商品別1食労務費!$F$5:$F$124)/$AA93,$AB93/$X93))</f>
        <v/>
      </c>
    </row>
    <row r="94" ht="16" customHeight="1" s="438">
      <c r="A94" s="56" t="n">
        <v>90</v>
      </c>
      <c r="B94" s="57" t="n"/>
      <c r="C94" s="5" t="n"/>
      <c r="D94" s="5" t="n"/>
      <c r="E94" s="5" t="n"/>
      <c r="F94" s="58" t="n"/>
      <c r="G94" s="7" t="n"/>
      <c r="H94" s="7" t="n"/>
      <c r="I94" s="7" t="n"/>
      <c r="J94" s="7" t="n"/>
      <c r="K94" s="513">
        <f>IF(F94&gt;0,I94/(F94/60),0)</f>
        <v/>
      </c>
      <c r="L94" s="514">
        <f>IF(AND(ISNUMBER(F94),J94&gt;0),J94/(F94/60),"")</f>
        <v/>
      </c>
      <c r="M94" s="9">
        <f>IF(OR(ISNUMBER(SEARCH("サニテーション",C94)),ISNUMBER(SEARCH("客注",C94)),ISNUMBER(SEARCH("切り替え",C94)),ISNUMBER(SEARCH("切替",C94)),NOT(ISNUMBER(H94))),"",IF(ISNUMBER(G94),G94/60*H94*④前提設定!$B$4,IF(AND(G94="",ISNUMBER(F94)),F94/60*H94*④前提設定!$B$4,"")))</f>
        <v/>
      </c>
      <c r="N94" s="513">
        <f>IF(I94&gt;0,M94/I94,"")</f>
        <v/>
      </c>
      <c r="O94" s="514">
        <f>IF(AND(J94&gt;0,ISNUMBER(M94)),M94/J94,"")</f>
        <v/>
      </c>
      <c r="P94" s="59" t="n"/>
      <c r="Q94" s="60" t="n"/>
      <c r="R94" s="5" t="n"/>
      <c r="S94" s="5" t="n"/>
      <c r="T94" s="5" t="n"/>
      <c r="U94" s="5" t="n"/>
      <c r="V94" s="5" t="n"/>
      <c r="W94" s="5" t="n"/>
      <c r="X94">
        <f>COUNTA(R94:W94)</f>
        <v/>
      </c>
      <c r="Y94">
        <f>IF(AND($X94&gt;0,ISNUMBER($M94)),$M94/$X94,"")</f>
        <v/>
      </c>
      <c r="Z94">
        <f>IF($X94=0,"",IF(COUNTIF(⑳商品別1食労務費!$C$5:$C$124,$R94)+COUNTIF(⑳商品別1食労務費!$C$5:$C$124,$S94)+COUNTIF(⑳商品別1食労務費!$C$5:$C$124,$T94)+COUNTIF(⑳商品別1食労務費!$C$5:$C$124,$U94)+COUNTIF(⑳商品別1食労務費!$C$5:$C$124,$V94)+COUNTIF(⑳商品別1食労務費!$C$5:$C$124,$W94)=$X94,"OK","⑳に無い商品名"))</f>
        <v/>
      </c>
      <c r="AA94">
        <f>SUMIF(⑳商品別1食労務費!$C$5:$C$124,$R94,⑳商品別1食労務費!$F$5:$F$124)+SUMIF(⑳商品別1食労務費!$C$5:$C$124,$S94,⑳商品別1食労務費!$F$5:$F$124)+SUMIF(⑳商品別1食労務費!$C$5:$C$124,$T94,⑳商品別1食労務費!$F$5:$F$124)+SUMIF(⑳商品別1食労務費!$C$5:$C$124,$U94,⑳商品別1食労務費!$F$5:$F$124)+SUMIF(⑳商品別1食労務費!$C$5:$C$124,$V94,⑳商品別1食労務費!$F$5:$F$124)+SUMIF(⑳商品別1食労務費!$C$5:$C$124,$W94,⑳商品別1食労務費!$F$5:$F$124)</f>
        <v/>
      </c>
      <c r="AB94">
        <f>IF(ISNUMBER($M94),$M94,0)</f>
        <v/>
      </c>
      <c r="AD94" s="413">
        <f>IF($R94="",0,IF($AA94&gt;0,$AB94*SUMIF(⑳商品別1食労務費!$C$5:$C$124,$R94,⑳商品別1食労務費!$F$5:$F$124)/$AA94,$AB94/$X94))</f>
        <v/>
      </c>
      <c r="AE94" s="413">
        <f>IF($S94="",0,IF($AA94&gt;0,$AB94*SUMIF(⑳商品別1食労務費!$C$5:$C$124,$S94,⑳商品別1食労務費!$F$5:$F$124)/$AA94,$AB94/$X94))</f>
        <v/>
      </c>
      <c r="AF94" s="413">
        <f>IF($T94="",0,IF($AA94&gt;0,$AB94*SUMIF(⑳商品別1食労務費!$C$5:$C$124,$T94,⑳商品別1食労務費!$F$5:$F$124)/$AA94,$AB94/$X94))</f>
        <v/>
      </c>
      <c r="AG94" s="413">
        <f>IF($U94="",0,IF($AA94&gt;0,$AB94*SUMIF(⑳商品別1食労務費!$C$5:$C$124,$U94,⑳商品別1食労務費!$F$5:$F$124)/$AA94,$AB94/$X94))</f>
        <v/>
      </c>
      <c r="AH94" s="413">
        <f>IF($V94="",0,IF($AA94&gt;0,$AB94*SUMIF(⑳商品別1食労務費!$C$5:$C$124,$V94,⑳商品別1食労務費!$F$5:$F$124)/$AA94,$AB94/$X94))</f>
        <v/>
      </c>
      <c r="AI94" s="413">
        <f>IF($W94="",0,IF($AA94&gt;0,$AB94*SUMIF(⑳商品別1食労務費!$C$5:$C$124,$W94,⑳商品別1食労務費!$F$5:$F$124)/$AA94,$AB94/$X94))</f>
        <v/>
      </c>
    </row>
    <row r="95" ht="16" customHeight="1" s="438">
      <c r="A95" s="56" t="n">
        <v>91</v>
      </c>
      <c r="B95" s="57" t="n"/>
      <c r="C95" s="5" t="n"/>
      <c r="D95" s="5" t="n"/>
      <c r="E95" s="5" t="n"/>
      <c r="F95" s="58" t="n"/>
      <c r="G95" s="7" t="n"/>
      <c r="H95" s="7" t="n"/>
      <c r="I95" s="7" t="n"/>
      <c r="J95" s="7" t="n"/>
      <c r="K95" s="513">
        <f>IF(F95&gt;0,I95/(F95/60),0)</f>
        <v/>
      </c>
      <c r="L95" s="514">
        <f>IF(AND(ISNUMBER(F95),J95&gt;0),J95/(F95/60),"")</f>
        <v/>
      </c>
      <c r="M95" s="9">
        <f>IF(OR(ISNUMBER(SEARCH("サニテーション",C95)),ISNUMBER(SEARCH("客注",C95)),ISNUMBER(SEARCH("切り替え",C95)),ISNUMBER(SEARCH("切替",C95)),NOT(ISNUMBER(H95))),"",IF(ISNUMBER(G95),G95/60*H95*④前提設定!$B$4,IF(AND(G95="",ISNUMBER(F95)),F95/60*H95*④前提設定!$B$4,"")))</f>
        <v/>
      </c>
      <c r="N95" s="513">
        <f>IF(I95&gt;0,M95/I95,"")</f>
        <v/>
      </c>
      <c r="O95" s="514">
        <f>IF(AND(J95&gt;0,ISNUMBER(M95)),M95/J95,"")</f>
        <v/>
      </c>
      <c r="P95" s="59" t="n"/>
      <c r="Q95" s="60" t="n"/>
      <c r="R95" s="5" t="n"/>
      <c r="S95" s="5" t="n"/>
      <c r="T95" s="5" t="n"/>
      <c r="U95" s="5" t="n"/>
      <c r="V95" s="5" t="n"/>
      <c r="W95" s="5" t="n"/>
      <c r="X95">
        <f>COUNTA(R95:W95)</f>
        <v/>
      </c>
      <c r="Y95">
        <f>IF(AND($X95&gt;0,ISNUMBER($M95)),$M95/$X95,"")</f>
        <v/>
      </c>
      <c r="Z95">
        <f>IF($X95=0,"",IF(COUNTIF(⑳商品別1食労務費!$C$5:$C$124,$R95)+COUNTIF(⑳商品別1食労務費!$C$5:$C$124,$S95)+COUNTIF(⑳商品別1食労務費!$C$5:$C$124,$T95)+COUNTIF(⑳商品別1食労務費!$C$5:$C$124,$U95)+COUNTIF(⑳商品別1食労務費!$C$5:$C$124,$V95)+COUNTIF(⑳商品別1食労務費!$C$5:$C$124,$W95)=$X95,"OK","⑳に無い商品名"))</f>
        <v/>
      </c>
      <c r="AA95">
        <f>SUMIF(⑳商品別1食労務費!$C$5:$C$124,$R95,⑳商品別1食労務費!$F$5:$F$124)+SUMIF(⑳商品別1食労務費!$C$5:$C$124,$S95,⑳商品別1食労務費!$F$5:$F$124)+SUMIF(⑳商品別1食労務費!$C$5:$C$124,$T95,⑳商品別1食労務費!$F$5:$F$124)+SUMIF(⑳商品別1食労務費!$C$5:$C$124,$U95,⑳商品別1食労務費!$F$5:$F$124)+SUMIF(⑳商品別1食労務費!$C$5:$C$124,$V95,⑳商品別1食労務費!$F$5:$F$124)+SUMIF(⑳商品別1食労務費!$C$5:$C$124,$W95,⑳商品別1食労務費!$F$5:$F$124)</f>
        <v/>
      </c>
      <c r="AB95">
        <f>IF(ISNUMBER($M95),$M95,0)</f>
        <v/>
      </c>
      <c r="AD95" s="413">
        <f>IF($R95="",0,IF($AA95&gt;0,$AB95*SUMIF(⑳商品別1食労務費!$C$5:$C$124,$R95,⑳商品別1食労務費!$F$5:$F$124)/$AA95,$AB95/$X95))</f>
        <v/>
      </c>
      <c r="AE95" s="413">
        <f>IF($S95="",0,IF($AA95&gt;0,$AB95*SUMIF(⑳商品別1食労務費!$C$5:$C$124,$S95,⑳商品別1食労務費!$F$5:$F$124)/$AA95,$AB95/$X95))</f>
        <v/>
      </c>
      <c r="AF95" s="413">
        <f>IF($T95="",0,IF($AA95&gt;0,$AB95*SUMIF(⑳商品別1食労務費!$C$5:$C$124,$T95,⑳商品別1食労務費!$F$5:$F$124)/$AA95,$AB95/$X95))</f>
        <v/>
      </c>
      <c r="AG95" s="413">
        <f>IF($U95="",0,IF($AA95&gt;0,$AB95*SUMIF(⑳商品別1食労務費!$C$5:$C$124,$U95,⑳商品別1食労務費!$F$5:$F$124)/$AA95,$AB95/$X95))</f>
        <v/>
      </c>
      <c r="AH95" s="413">
        <f>IF($V95="",0,IF($AA95&gt;0,$AB95*SUMIF(⑳商品別1食労務費!$C$5:$C$124,$V95,⑳商品別1食労務費!$F$5:$F$124)/$AA95,$AB95/$X95))</f>
        <v/>
      </c>
      <c r="AI95" s="413">
        <f>IF($W95="",0,IF($AA95&gt;0,$AB95*SUMIF(⑳商品別1食労務費!$C$5:$C$124,$W95,⑳商品別1食労務費!$F$5:$F$124)/$AA95,$AB95/$X95))</f>
        <v/>
      </c>
    </row>
    <row r="96" ht="16" customHeight="1" s="438">
      <c r="A96" s="56" t="n">
        <v>92</v>
      </c>
      <c r="B96" s="57" t="n"/>
      <c r="C96" s="5" t="n"/>
      <c r="D96" s="5" t="n"/>
      <c r="E96" s="5" t="n"/>
      <c r="F96" s="58" t="n"/>
      <c r="G96" s="7" t="n"/>
      <c r="H96" s="7" t="n"/>
      <c r="I96" s="7" t="n"/>
      <c r="J96" s="7" t="n"/>
      <c r="K96" s="513">
        <f>IF(F96&gt;0,I96/(F96/60),0)</f>
        <v/>
      </c>
      <c r="L96" s="514">
        <f>IF(AND(ISNUMBER(F96),J96&gt;0),J96/(F96/60),"")</f>
        <v/>
      </c>
      <c r="M96" s="9">
        <f>IF(OR(ISNUMBER(SEARCH("サニテーション",C96)),ISNUMBER(SEARCH("客注",C96)),ISNUMBER(SEARCH("切り替え",C96)),ISNUMBER(SEARCH("切替",C96)),NOT(ISNUMBER(H96))),"",IF(ISNUMBER(G96),G96/60*H96*④前提設定!$B$4,IF(AND(G96="",ISNUMBER(F96)),F96/60*H96*④前提設定!$B$4,"")))</f>
        <v/>
      </c>
      <c r="N96" s="513">
        <f>IF(I96&gt;0,M96/I96,"")</f>
        <v/>
      </c>
      <c r="O96" s="514">
        <f>IF(AND(J96&gt;0,ISNUMBER(M96)),M96/J96,"")</f>
        <v/>
      </c>
      <c r="P96" s="59" t="n"/>
      <c r="Q96" s="60" t="n"/>
      <c r="R96" s="5" t="n"/>
      <c r="S96" s="5" t="n"/>
      <c r="T96" s="5" t="n"/>
      <c r="U96" s="5" t="n"/>
      <c r="V96" s="5" t="n"/>
      <c r="W96" s="5" t="n"/>
      <c r="X96">
        <f>COUNTA(R96:W96)</f>
        <v/>
      </c>
      <c r="Y96">
        <f>IF(AND($X96&gt;0,ISNUMBER($M96)),$M96/$X96,"")</f>
        <v/>
      </c>
      <c r="Z96">
        <f>IF($X96=0,"",IF(COUNTIF(⑳商品別1食労務費!$C$5:$C$124,$R96)+COUNTIF(⑳商品別1食労務費!$C$5:$C$124,$S96)+COUNTIF(⑳商品別1食労務費!$C$5:$C$124,$T96)+COUNTIF(⑳商品別1食労務費!$C$5:$C$124,$U96)+COUNTIF(⑳商品別1食労務費!$C$5:$C$124,$V96)+COUNTIF(⑳商品別1食労務費!$C$5:$C$124,$W96)=$X96,"OK","⑳に無い商品名"))</f>
        <v/>
      </c>
      <c r="AA96">
        <f>SUMIF(⑳商品別1食労務費!$C$5:$C$124,$R96,⑳商品別1食労務費!$F$5:$F$124)+SUMIF(⑳商品別1食労務費!$C$5:$C$124,$S96,⑳商品別1食労務費!$F$5:$F$124)+SUMIF(⑳商品別1食労務費!$C$5:$C$124,$T96,⑳商品別1食労務費!$F$5:$F$124)+SUMIF(⑳商品別1食労務費!$C$5:$C$124,$U96,⑳商品別1食労務費!$F$5:$F$124)+SUMIF(⑳商品別1食労務費!$C$5:$C$124,$V96,⑳商品別1食労務費!$F$5:$F$124)+SUMIF(⑳商品別1食労務費!$C$5:$C$124,$W96,⑳商品別1食労務費!$F$5:$F$124)</f>
        <v/>
      </c>
      <c r="AB96">
        <f>IF(ISNUMBER($M96),$M96,0)</f>
        <v/>
      </c>
      <c r="AD96" s="413">
        <f>IF($R96="",0,IF($AA96&gt;0,$AB96*SUMIF(⑳商品別1食労務費!$C$5:$C$124,$R96,⑳商品別1食労務費!$F$5:$F$124)/$AA96,$AB96/$X96))</f>
        <v/>
      </c>
      <c r="AE96" s="413">
        <f>IF($S96="",0,IF($AA96&gt;0,$AB96*SUMIF(⑳商品別1食労務費!$C$5:$C$124,$S96,⑳商品別1食労務費!$F$5:$F$124)/$AA96,$AB96/$X96))</f>
        <v/>
      </c>
      <c r="AF96" s="413">
        <f>IF($T96="",0,IF($AA96&gt;0,$AB96*SUMIF(⑳商品別1食労務費!$C$5:$C$124,$T96,⑳商品別1食労務費!$F$5:$F$124)/$AA96,$AB96/$X96))</f>
        <v/>
      </c>
      <c r="AG96" s="413">
        <f>IF($U96="",0,IF($AA96&gt;0,$AB96*SUMIF(⑳商品別1食労務費!$C$5:$C$124,$U96,⑳商品別1食労務費!$F$5:$F$124)/$AA96,$AB96/$X96))</f>
        <v/>
      </c>
      <c r="AH96" s="413">
        <f>IF($V96="",0,IF($AA96&gt;0,$AB96*SUMIF(⑳商品別1食労務費!$C$5:$C$124,$V96,⑳商品別1食労務費!$F$5:$F$124)/$AA96,$AB96/$X96))</f>
        <v/>
      </c>
      <c r="AI96" s="413">
        <f>IF($W96="",0,IF($AA96&gt;0,$AB96*SUMIF(⑳商品別1食労務費!$C$5:$C$124,$W96,⑳商品別1食労務費!$F$5:$F$124)/$AA96,$AB96/$X96))</f>
        <v/>
      </c>
    </row>
    <row r="97" ht="16" customHeight="1" s="438">
      <c r="A97" s="56" t="n">
        <v>93</v>
      </c>
      <c r="B97" s="57" t="n"/>
      <c r="C97" s="5" t="n"/>
      <c r="D97" s="5" t="n"/>
      <c r="E97" s="5" t="n"/>
      <c r="F97" s="58" t="n"/>
      <c r="G97" s="7" t="n"/>
      <c r="H97" s="7" t="n"/>
      <c r="I97" s="7" t="n"/>
      <c r="J97" s="7" t="n"/>
      <c r="K97" s="513">
        <f>IF(F97&gt;0,I97/(F97/60),0)</f>
        <v/>
      </c>
      <c r="L97" s="514">
        <f>IF(AND(ISNUMBER(F97),J97&gt;0),J97/(F97/60),"")</f>
        <v/>
      </c>
      <c r="M97" s="9">
        <f>IF(OR(ISNUMBER(SEARCH("サニテーション",C97)),ISNUMBER(SEARCH("客注",C97)),ISNUMBER(SEARCH("切り替え",C97)),ISNUMBER(SEARCH("切替",C97)),NOT(ISNUMBER(H97))),"",IF(ISNUMBER(G97),G97/60*H97*④前提設定!$B$4,IF(AND(G97="",ISNUMBER(F97)),F97/60*H97*④前提設定!$B$4,"")))</f>
        <v/>
      </c>
      <c r="N97" s="513">
        <f>IF(I97&gt;0,M97/I97,"")</f>
        <v/>
      </c>
      <c r="O97" s="514">
        <f>IF(AND(J97&gt;0,ISNUMBER(M97)),M97/J97,"")</f>
        <v/>
      </c>
      <c r="P97" s="59" t="n"/>
      <c r="Q97" s="60" t="n"/>
      <c r="R97" s="5" t="n"/>
      <c r="S97" s="5" t="n"/>
      <c r="T97" s="5" t="n"/>
      <c r="U97" s="5" t="n"/>
      <c r="V97" s="5" t="n"/>
      <c r="W97" s="5" t="n"/>
      <c r="X97">
        <f>COUNTA(R97:W97)</f>
        <v/>
      </c>
      <c r="Y97">
        <f>IF(AND($X97&gt;0,ISNUMBER($M97)),$M97/$X97,"")</f>
        <v/>
      </c>
      <c r="Z97">
        <f>IF($X97=0,"",IF(COUNTIF(⑳商品別1食労務費!$C$5:$C$124,$R97)+COUNTIF(⑳商品別1食労務費!$C$5:$C$124,$S97)+COUNTIF(⑳商品別1食労務費!$C$5:$C$124,$T97)+COUNTIF(⑳商品別1食労務費!$C$5:$C$124,$U97)+COUNTIF(⑳商品別1食労務費!$C$5:$C$124,$V97)+COUNTIF(⑳商品別1食労務費!$C$5:$C$124,$W97)=$X97,"OK","⑳に無い商品名"))</f>
        <v/>
      </c>
      <c r="AA97">
        <f>SUMIF(⑳商品別1食労務費!$C$5:$C$124,$R97,⑳商品別1食労務費!$F$5:$F$124)+SUMIF(⑳商品別1食労務費!$C$5:$C$124,$S97,⑳商品別1食労務費!$F$5:$F$124)+SUMIF(⑳商品別1食労務費!$C$5:$C$124,$T97,⑳商品別1食労務費!$F$5:$F$124)+SUMIF(⑳商品別1食労務費!$C$5:$C$124,$U97,⑳商品別1食労務費!$F$5:$F$124)+SUMIF(⑳商品別1食労務費!$C$5:$C$124,$V97,⑳商品別1食労務費!$F$5:$F$124)+SUMIF(⑳商品別1食労務費!$C$5:$C$124,$W97,⑳商品別1食労務費!$F$5:$F$124)</f>
        <v/>
      </c>
      <c r="AB97">
        <f>IF(ISNUMBER($M97),$M97,0)</f>
        <v/>
      </c>
      <c r="AD97" s="413">
        <f>IF($R97="",0,IF($AA97&gt;0,$AB97*SUMIF(⑳商品別1食労務費!$C$5:$C$124,$R97,⑳商品別1食労務費!$F$5:$F$124)/$AA97,$AB97/$X97))</f>
        <v/>
      </c>
      <c r="AE97" s="413">
        <f>IF($S97="",0,IF($AA97&gt;0,$AB97*SUMIF(⑳商品別1食労務費!$C$5:$C$124,$S97,⑳商品別1食労務費!$F$5:$F$124)/$AA97,$AB97/$X97))</f>
        <v/>
      </c>
      <c r="AF97" s="413">
        <f>IF($T97="",0,IF($AA97&gt;0,$AB97*SUMIF(⑳商品別1食労務費!$C$5:$C$124,$T97,⑳商品別1食労務費!$F$5:$F$124)/$AA97,$AB97/$X97))</f>
        <v/>
      </c>
      <c r="AG97" s="413">
        <f>IF($U97="",0,IF($AA97&gt;0,$AB97*SUMIF(⑳商品別1食労務費!$C$5:$C$124,$U97,⑳商品別1食労務費!$F$5:$F$124)/$AA97,$AB97/$X97))</f>
        <v/>
      </c>
      <c r="AH97" s="413">
        <f>IF($V97="",0,IF($AA97&gt;0,$AB97*SUMIF(⑳商品別1食労務費!$C$5:$C$124,$V97,⑳商品別1食労務費!$F$5:$F$124)/$AA97,$AB97/$X97))</f>
        <v/>
      </c>
      <c r="AI97" s="413">
        <f>IF($W97="",0,IF($AA97&gt;0,$AB97*SUMIF(⑳商品別1食労務費!$C$5:$C$124,$W97,⑳商品別1食労務費!$F$5:$F$124)/$AA97,$AB97/$X97))</f>
        <v/>
      </c>
    </row>
    <row r="98" ht="16" customHeight="1" s="438">
      <c r="A98" s="56" t="n">
        <v>94</v>
      </c>
      <c r="B98" s="57" t="n"/>
      <c r="C98" s="5" t="n"/>
      <c r="D98" s="5" t="n"/>
      <c r="E98" s="5" t="n"/>
      <c r="F98" s="58" t="n"/>
      <c r="G98" s="7" t="n"/>
      <c r="H98" s="7" t="n"/>
      <c r="I98" s="7" t="n"/>
      <c r="J98" s="7" t="n"/>
      <c r="K98" s="513">
        <f>IF(F98&gt;0,I98/(F98/60),0)</f>
        <v/>
      </c>
      <c r="L98" s="514">
        <f>IF(AND(ISNUMBER(F98),J98&gt;0),J98/(F98/60),"")</f>
        <v/>
      </c>
      <c r="M98" s="9">
        <f>IF(OR(ISNUMBER(SEARCH("サニテーション",C98)),ISNUMBER(SEARCH("客注",C98)),ISNUMBER(SEARCH("切り替え",C98)),ISNUMBER(SEARCH("切替",C98)),NOT(ISNUMBER(H98))),"",IF(ISNUMBER(G98),G98/60*H98*④前提設定!$B$4,IF(AND(G98="",ISNUMBER(F98)),F98/60*H98*④前提設定!$B$4,"")))</f>
        <v/>
      </c>
      <c r="N98" s="513">
        <f>IF(I98&gt;0,M98/I98,"")</f>
        <v/>
      </c>
      <c r="O98" s="514">
        <f>IF(AND(J98&gt;0,ISNUMBER(M98)),M98/J98,"")</f>
        <v/>
      </c>
      <c r="P98" s="59" t="n"/>
      <c r="Q98" s="60" t="n"/>
      <c r="R98" s="5" t="n"/>
      <c r="S98" s="5" t="n"/>
      <c r="T98" s="5" t="n"/>
      <c r="U98" s="5" t="n"/>
      <c r="V98" s="5" t="n"/>
      <c r="W98" s="5" t="n"/>
      <c r="X98">
        <f>COUNTA(R98:W98)</f>
        <v/>
      </c>
      <c r="Y98">
        <f>IF(AND($X98&gt;0,ISNUMBER($M98)),$M98/$X98,"")</f>
        <v/>
      </c>
      <c r="Z98">
        <f>IF($X98=0,"",IF(COUNTIF(⑳商品別1食労務費!$C$5:$C$124,$R98)+COUNTIF(⑳商品別1食労務費!$C$5:$C$124,$S98)+COUNTIF(⑳商品別1食労務費!$C$5:$C$124,$T98)+COUNTIF(⑳商品別1食労務費!$C$5:$C$124,$U98)+COUNTIF(⑳商品別1食労務費!$C$5:$C$124,$V98)+COUNTIF(⑳商品別1食労務費!$C$5:$C$124,$W98)=$X98,"OK","⑳に無い商品名"))</f>
        <v/>
      </c>
      <c r="AA98">
        <f>SUMIF(⑳商品別1食労務費!$C$5:$C$124,$R98,⑳商品別1食労務費!$F$5:$F$124)+SUMIF(⑳商品別1食労務費!$C$5:$C$124,$S98,⑳商品別1食労務費!$F$5:$F$124)+SUMIF(⑳商品別1食労務費!$C$5:$C$124,$T98,⑳商品別1食労務費!$F$5:$F$124)+SUMIF(⑳商品別1食労務費!$C$5:$C$124,$U98,⑳商品別1食労務費!$F$5:$F$124)+SUMIF(⑳商品別1食労務費!$C$5:$C$124,$V98,⑳商品別1食労務費!$F$5:$F$124)+SUMIF(⑳商品別1食労務費!$C$5:$C$124,$W98,⑳商品別1食労務費!$F$5:$F$124)</f>
        <v/>
      </c>
      <c r="AB98">
        <f>IF(ISNUMBER($M98),$M98,0)</f>
        <v/>
      </c>
      <c r="AD98" s="413">
        <f>IF($R98="",0,IF($AA98&gt;0,$AB98*SUMIF(⑳商品別1食労務費!$C$5:$C$124,$R98,⑳商品別1食労務費!$F$5:$F$124)/$AA98,$AB98/$X98))</f>
        <v/>
      </c>
      <c r="AE98" s="413">
        <f>IF($S98="",0,IF($AA98&gt;0,$AB98*SUMIF(⑳商品別1食労務費!$C$5:$C$124,$S98,⑳商品別1食労務費!$F$5:$F$124)/$AA98,$AB98/$X98))</f>
        <v/>
      </c>
      <c r="AF98" s="413">
        <f>IF($T98="",0,IF($AA98&gt;0,$AB98*SUMIF(⑳商品別1食労務費!$C$5:$C$124,$T98,⑳商品別1食労務費!$F$5:$F$124)/$AA98,$AB98/$X98))</f>
        <v/>
      </c>
      <c r="AG98" s="413">
        <f>IF($U98="",0,IF($AA98&gt;0,$AB98*SUMIF(⑳商品別1食労務費!$C$5:$C$124,$U98,⑳商品別1食労務費!$F$5:$F$124)/$AA98,$AB98/$X98))</f>
        <v/>
      </c>
      <c r="AH98" s="413">
        <f>IF($V98="",0,IF($AA98&gt;0,$AB98*SUMIF(⑳商品別1食労務費!$C$5:$C$124,$V98,⑳商品別1食労務費!$F$5:$F$124)/$AA98,$AB98/$X98))</f>
        <v/>
      </c>
      <c r="AI98" s="413">
        <f>IF($W98="",0,IF($AA98&gt;0,$AB98*SUMIF(⑳商品別1食労務費!$C$5:$C$124,$W98,⑳商品別1食労務費!$F$5:$F$124)/$AA98,$AB98/$X98))</f>
        <v/>
      </c>
    </row>
    <row r="99" ht="16" customHeight="1" s="438">
      <c r="A99" s="56" t="n">
        <v>95</v>
      </c>
      <c r="B99" s="57" t="n"/>
      <c r="C99" s="5" t="n"/>
      <c r="D99" s="5" t="n"/>
      <c r="E99" s="5" t="n"/>
      <c r="F99" s="58" t="n"/>
      <c r="G99" s="7" t="n"/>
      <c r="H99" s="7" t="n"/>
      <c r="I99" s="7" t="n"/>
      <c r="J99" s="7" t="n"/>
      <c r="K99" s="513">
        <f>IF(F99&gt;0,I99/(F99/60),0)</f>
        <v/>
      </c>
      <c r="L99" s="514">
        <f>IF(AND(ISNUMBER(F99),J99&gt;0),J99/(F99/60),"")</f>
        <v/>
      </c>
      <c r="M99" s="9">
        <f>IF(OR(ISNUMBER(SEARCH("サニテーション",C99)),ISNUMBER(SEARCH("客注",C99)),ISNUMBER(SEARCH("切り替え",C99)),ISNUMBER(SEARCH("切替",C99)),NOT(ISNUMBER(H99))),"",IF(ISNUMBER(G99),G99/60*H99*④前提設定!$B$4,IF(AND(G99="",ISNUMBER(F99)),F99/60*H99*④前提設定!$B$4,"")))</f>
        <v/>
      </c>
      <c r="N99" s="513">
        <f>IF(I99&gt;0,M99/I99,"")</f>
        <v/>
      </c>
      <c r="O99" s="514">
        <f>IF(AND(J99&gt;0,ISNUMBER(M99)),M99/J99,"")</f>
        <v/>
      </c>
      <c r="P99" s="59" t="n"/>
      <c r="Q99" s="60" t="n"/>
      <c r="R99" s="5" t="n"/>
      <c r="S99" s="5" t="n"/>
      <c r="T99" s="5" t="n"/>
      <c r="U99" s="5" t="n"/>
      <c r="V99" s="5" t="n"/>
      <c r="W99" s="5" t="n"/>
      <c r="X99">
        <f>COUNTA(R99:W99)</f>
        <v/>
      </c>
      <c r="Y99">
        <f>IF(AND($X99&gt;0,ISNUMBER($M99)),$M99/$X99,"")</f>
        <v/>
      </c>
      <c r="Z99">
        <f>IF($X99=0,"",IF(COUNTIF(⑳商品別1食労務費!$C$5:$C$124,$R99)+COUNTIF(⑳商品別1食労務費!$C$5:$C$124,$S99)+COUNTIF(⑳商品別1食労務費!$C$5:$C$124,$T99)+COUNTIF(⑳商品別1食労務費!$C$5:$C$124,$U99)+COUNTIF(⑳商品別1食労務費!$C$5:$C$124,$V99)+COUNTIF(⑳商品別1食労務費!$C$5:$C$124,$W99)=$X99,"OK","⑳に無い商品名"))</f>
        <v/>
      </c>
      <c r="AA99">
        <f>SUMIF(⑳商品別1食労務費!$C$5:$C$124,$R99,⑳商品別1食労務費!$F$5:$F$124)+SUMIF(⑳商品別1食労務費!$C$5:$C$124,$S99,⑳商品別1食労務費!$F$5:$F$124)+SUMIF(⑳商品別1食労務費!$C$5:$C$124,$T99,⑳商品別1食労務費!$F$5:$F$124)+SUMIF(⑳商品別1食労務費!$C$5:$C$124,$U99,⑳商品別1食労務費!$F$5:$F$124)+SUMIF(⑳商品別1食労務費!$C$5:$C$124,$V99,⑳商品別1食労務費!$F$5:$F$124)+SUMIF(⑳商品別1食労務費!$C$5:$C$124,$W99,⑳商品別1食労務費!$F$5:$F$124)</f>
        <v/>
      </c>
      <c r="AB99">
        <f>IF(ISNUMBER($M99),$M99,0)</f>
        <v/>
      </c>
      <c r="AD99" s="413">
        <f>IF($R99="",0,IF($AA99&gt;0,$AB99*SUMIF(⑳商品別1食労務費!$C$5:$C$124,$R99,⑳商品別1食労務費!$F$5:$F$124)/$AA99,$AB99/$X99))</f>
        <v/>
      </c>
      <c r="AE99" s="413">
        <f>IF($S99="",0,IF($AA99&gt;0,$AB99*SUMIF(⑳商品別1食労務費!$C$5:$C$124,$S99,⑳商品別1食労務費!$F$5:$F$124)/$AA99,$AB99/$X99))</f>
        <v/>
      </c>
      <c r="AF99" s="413">
        <f>IF($T99="",0,IF($AA99&gt;0,$AB99*SUMIF(⑳商品別1食労務費!$C$5:$C$124,$T99,⑳商品別1食労務費!$F$5:$F$124)/$AA99,$AB99/$X99))</f>
        <v/>
      </c>
      <c r="AG99" s="413">
        <f>IF($U99="",0,IF($AA99&gt;0,$AB99*SUMIF(⑳商品別1食労務費!$C$5:$C$124,$U99,⑳商品別1食労務費!$F$5:$F$124)/$AA99,$AB99/$X99))</f>
        <v/>
      </c>
      <c r="AH99" s="413">
        <f>IF($V99="",0,IF($AA99&gt;0,$AB99*SUMIF(⑳商品別1食労務費!$C$5:$C$124,$V99,⑳商品別1食労務費!$F$5:$F$124)/$AA99,$AB99/$X99))</f>
        <v/>
      </c>
      <c r="AI99" s="413">
        <f>IF($W99="",0,IF($AA99&gt;0,$AB99*SUMIF(⑳商品別1食労務費!$C$5:$C$124,$W99,⑳商品別1食労務費!$F$5:$F$124)/$AA99,$AB99/$X99))</f>
        <v/>
      </c>
    </row>
    <row r="100" ht="16" customHeight="1" s="438">
      <c r="A100" s="56" t="n">
        <v>96</v>
      </c>
      <c r="B100" s="57" t="n"/>
      <c r="C100" s="5" t="n"/>
      <c r="D100" s="5" t="n"/>
      <c r="E100" s="5" t="n"/>
      <c r="F100" s="58" t="n"/>
      <c r="G100" s="7" t="n"/>
      <c r="H100" s="7" t="n"/>
      <c r="I100" s="7" t="n"/>
      <c r="J100" s="7" t="n"/>
      <c r="K100" s="513">
        <f>IF(F100&gt;0,I100/(F100/60),0)</f>
        <v/>
      </c>
      <c r="L100" s="514">
        <f>IF(AND(ISNUMBER(F100),J100&gt;0),J100/(F100/60),"")</f>
        <v/>
      </c>
      <c r="M100" s="9">
        <f>IF(OR(ISNUMBER(SEARCH("サニテーション",C100)),ISNUMBER(SEARCH("客注",C100)),ISNUMBER(SEARCH("切り替え",C100)),ISNUMBER(SEARCH("切替",C100)),NOT(ISNUMBER(H100))),"",IF(ISNUMBER(G100),G100/60*H100*④前提設定!$B$4,IF(AND(G100="",ISNUMBER(F100)),F100/60*H100*④前提設定!$B$4,"")))</f>
        <v/>
      </c>
      <c r="N100" s="513">
        <f>IF(I100&gt;0,M100/I100,"")</f>
        <v/>
      </c>
      <c r="O100" s="514">
        <f>IF(AND(J100&gt;0,ISNUMBER(M100)),M100/J100,"")</f>
        <v/>
      </c>
      <c r="P100" s="59" t="n"/>
      <c r="Q100" s="60" t="n"/>
      <c r="R100" s="5" t="n"/>
      <c r="S100" s="5" t="n"/>
      <c r="T100" s="5" t="n"/>
      <c r="U100" s="5" t="n"/>
      <c r="V100" s="5" t="n"/>
      <c r="W100" s="5" t="n"/>
      <c r="X100">
        <f>COUNTA(R100:W100)</f>
        <v/>
      </c>
      <c r="Y100">
        <f>IF(AND($X100&gt;0,ISNUMBER($M100)),$M100/$X100,"")</f>
        <v/>
      </c>
      <c r="Z100">
        <f>IF($X100=0,"",IF(COUNTIF(⑳商品別1食労務費!$C$5:$C$124,$R100)+COUNTIF(⑳商品別1食労務費!$C$5:$C$124,$S100)+COUNTIF(⑳商品別1食労務費!$C$5:$C$124,$T100)+COUNTIF(⑳商品別1食労務費!$C$5:$C$124,$U100)+COUNTIF(⑳商品別1食労務費!$C$5:$C$124,$V100)+COUNTIF(⑳商品別1食労務費!$C$5:$C$124,$W100)=$X100,"OK","⑳に無い商品名"))</f>
        <v/>
      </c>
      <c r="AA100">
        <f>SUMIF(⑳商品別1食労務費!$C$5:$C$124,$R100,⑳商品別1食労務費!$F$5:$F$124)+SUMIF(⑳商品別1食労務費!$C$5:$C$124,$S100,⑳商品別1食労務費!$F$5:$F$124)+SUMIF(⑳商品別1食労務費!$C$5:$C$124,$T100,⑳商品別1食労務費!$F$5:$F$124)+SUMIF(⑳商品別1食労務費!$C$5:$C$124,$U100,⑳商品別1食労務費!$F$5:$F$124)+SUMIF(⑳商品別1食労務費!$C$5:$C$124,$V100,⑳商品別1食労務費!$F$5:$F$124)+SUMIF(⑳商品別1食労務費!$C$5:$C$124,$W100,⑳商品別1食労務費!$F$5:$F$124)</f>
        <v/>
      </c>
      <c r="AB100">
        <f>IF(ISNUMBER($M100),$M100,0)</f>
        <v/>
      </c>
      <c r="AD100" s="413">
        <f>IF($R100="",0,IF($AA100&gt;0,$AB100*SUMIF(⑳商品別1食労務費!$C$5:$C$124,$R100,⑳商品別1食労務費!$F$5:$F$124)/$AA100,$AB100/$X100))</f>
        <v/>
      </c>
      <c r="AE100" s="413">
        <f>IF($S100="",0,IF($AA100&gt;0,$AB100*SUMIF(⑳商品別1食労務費!$C$5:$C$124,$S100,⑳商品別1食労務費!$F$5:$F$124)/$AA100,$AB100/$X100))</f>
        <v/>
      </c>
      <c r="AF100" s="413">
        <f>IF($T100="",0,IF($AA100&gt;0,$AB100*SUMIF(⑳商品別1食労務費!$C$5:$C$124,$T100,⑳商品別1食労務費!$F$5:$F$124)/$AA100,$AB100/$X100))</f>
        <v/>
      </c>
      <c r="AG100" s="413">
        <f>IF($U100="",0,IF($AA100&gt;0,$AB100*SUMIF(⑳商品別1食労務費!$C$5:$C$124,$U100,⑳商品別1食労務費!$F$5:$F$124)/$AA100,$AB100/$X100))</f>
        <v/>
      </c>
      <c r="AH100" s="413">
        <f>IF($V100="",0,IF($AA100&gt;0,$AB100*SUMIF(⑳商品別1食労務費!$C$5:$C$124,$V100,⑳商品別1食労務費!$F$5:$F$124)/$AA100,$AB100/$X100))</f>
        <v/>
      </c>
      <c r="AI100" s="413">
        <f>IF($W100="",0,IF($AA100&gt;0,$AB100*SUMIF(⑳商品別1食労務費!$C$5:$C$124,$W100,⑳商品別1食労務費!$F$5:$F$124)/$AA100,$AB100/$X100))</f>
        <v/>
      </c>
    </row>
    <row r="101" ht="16" customHeight="1" s="438">
      <c r="A101" s="12" t="n">
        <v>97</v>
      </c>
      <c r="B101" s="61" t="n"/>
      <c r="C101" s="5" t="n"/>
      <c r="D101" s="5" t="n"/>
      <c r="E101" s="5" t="n"/>
      <c r="F101" s="14" t="n"/>
      <c r="G101" s="12" t="n"/>
      <c r="H101" s="12" t="n"/>
      <c r="I101" s="12" t="n"/>
      <c r="J101" s="12" t="n"/>
      <c r="K101" s="12" t="inlineStr">
        <is>
          <t>-</t>
        </is>
      </c>
      <c r="L101" s="515">
        <f>IF(AND(ISNUMBER(F101),J101&gt;0),J101/(F101/60),"")</f>
        <v/>
      </c>
      <c r="M101" s="12">
        <f>IF(OR(ISNUMBER(SEARCH("サニテーション",C101)),ISNUMBER(SEARCH("客注",C101)),ISNUMBER(SEARCH("切り替え",C101)),ISNUMBER(SEARCH("切替",C101)),NOT(ISNUMBER(H101))),"",IF(ISNUMBER(G101),G101/60*H101*④前提設定!$B$4,IF(AND(G101="",ISNUMBER(F101)),F101/60*H101*④前提設定!$B$4,"")))</f>
        <v/>
      </c>
      <c r="N101" s="12" t="inlineStr">
        <is>
          <t>-</t>
        </is>
      </c>
      <c r="O101" s="515">
        <f>IF(AND(J101&gt;0,ISNUMBER(M101)),M101/J101,"")</f>
        <v/>
      </c>
      <c r="P101" s="15" t="n"/>
      <c r="Q101" s="16" t="n"/>
      <c r="R101" s="5" t="n"/>
      <c r="S101" s="5" t="n"/>
      <c r="T101" s="5" t="n"/>
      <c r="U101" s="5" t="n"/>
      <c r="V101" s="5" t="n"/>
      <c r="W101" s="5" t="n"/>
      <c r="X101">
        <f>COUNTA(R101:W101)</f>
        <v/>
      </c>
      <c r="Y101">
        <f>IF(AND($X101&gt;0,ISNUMBER($M101)),$M101/$X101,"")</f>
        <v/>
      </c>
      <c r="Z101">
        <f>IF($X101=0,"",IF(COUNTIF(⑳商品別1食労務費!$C$5:$C$124,$R101)+COUNTIF(⑳商品別1食労務費!$C$5:$C$124,$S101)+COUNTIF(⑳商品別1食労務費!$C$5:$C$124,$T101)+COUNTIF(⑳商品別1食労務費!$C$5:$C$124,$U101)+COUNTIF(⑳商品別1食労務費!$C$5:$C$124,$V101)+COUNTIF(⑳商品別1食労務費!$C$5:$C$124,$W101)=$X101,"OK","⑳に無い商品名"))</f>
        <v/>
      </c>
      <c r="AA101">
        <f>SUMIF(⑳商品別1食労務費!$C$5:$C$124,$R101,⑳商品別1食労務費!$F$5:$F$124)+SUMIF(⑳商品別1食労務費!$C$5:$C$124,$S101,⑳商品別1食労務費!$F$5:$F$124)+SUMIF(⑳商品別1食労務費!$C$5:$C$124,$T101,⑳商品別1食労務費!$F$5:$F$124)+SUMIF(⑳商品別1食労務費!$C$5:$C$124,$U101,⑳商品別1食労務費!$F$5:$F$124)+SUMIF(⑳商品別1食労務費!$C$5:$C$124,$V101,⑳商品別1食労務費!$F$5:$F$124)+SUMIF(⑳商品別1食労務費!$C$5:$C$124,$W101,⑳商品別1食労務費!$F$5:$F$124)</f>
        <v/>
      </c>
      <c r="AB101">
        <f>IF(ISNUMBER($M101),$M101,0)</f>
        <v/>
      </c>
      <c r="AD101" s="413">
        <f>IF($R101="",0,IF($AA101&gt;0,$AB101*SUMIF(⑳商品別1食労務費!$C$5:$C$124,$R101,⑳商品別1食労務費!$F$5:$F$124)/$AA101,$AB101/$X101))</f>
        <v/>
      </c>
      <c r="AE101" s="413">
        <f>IF($S101="",0,IF($AA101&gt;0,$AB101*SUMIF(⑳商品別1食労務費!$C$5:$C$124,$S101,⑳商品別1食労務費!$F$5:$F$124)/$AA101,$AB101/$X101))</f>
        <v/>
      </c>
      <c r="AF101" s="413">
        <f>IF($T101="",0,IF($AA101&gt;0,$AB101*SUMIF(⑳商品別1食労務費!$C$5:$C$124,$T101,⑳商品別1食労務費!$F$5:$F$124)/$AA101,$AB101/$X101))</f>
        <v/>
      </c>
      <c r="AG101" s="413">
        <f>IF($U101="",0,IF($AA101&gt;0,$AB101*SUMIF(⑳商品別1食労務費!$C$5:$C$124,$U101,⑳商品別1食労務費!$F$5:$F$124)/$AA101,$AB101/$X101))</f>
        <v/>
      </c>
      <c r="AH101" s="413">
        <f>IF($V101="",0,IF($AA101&gt;0,$AB101*SUMIF(⑳商品別1食労務費!$C$5:$C$124,$V101,⑳商品別1食労務費!$F$5:$F$124)/$AA101,$AB101/$X101))</f>
        <v/>
      </c>
      <c r="AI101" s="413">
        <f>IF($W101="",0,IF($AA101&gt;0,$AB101*SUMIF(⑳商品別1食労務費!$C$5:$C$124,$W101,⑳商品別1食労務費!$F$5:$F$124)/$AA101,$AB101/$X101))</f>
        <v/>
      </c>
    </row>
    <row r="102" ht="16" customHeight="1" s="438">
      <c r="A102" s="56" t="n">
        <v>98</v>
      </c>
      <c r="B102" s="57" t="n"/>
      <c r="C102" s="5" t="n"/>
      <c r="D102" s="5" t="n"/>
      <c r="E102" s="5" t="n"/>
      <c r="F102" s="58" t="n"/>
      <c r="G102" s="7" t="n"/>
      <c r="H102" s="7" t="n"/>
      <c r="I102" s="7" t="n"/>
      <c r="J102" s="7" t="n"/>
      <c r="K102" s="513">
        <f>IF(F102&gt;0,I102/(F102/60),0)</f>
        <v/>
      </c>
      <c r="L102" s="514">
        <f>IF(AND(ISNUMBER(F102),J102&gt;0),J102/(F102/60),"")</f>
        <v/>
      </c>
      <c r="M102" s="9">
        <f>IF(OR(ISNUMBER(SEARCH("サニテーション",C102)),ISNUMBER(SEARCH("客注",C102)),ISNUMBER(SEARCH("切り替え",C102)),ISNUMBER(SEARCH("切替",C102)),NOT(ISNUMBER(H102))),"",IF(ISNUMBER(G102),G102/60*H102*④前提設定!$B$4,IF(AND(G102="",ISNUMBER(F102)),F102/60*H102*④前提設定!$B$4,"")))</f>
        <v/>
      </c>
      <c r="N102" s="513">
        <f>IF(I102&gt;0,M102/I102,"")</f>
        <v/>
      </c>
      <c r="O102" s="514">
        <f>IF(AND(J102&gt;0,ISNUMBER(M102)),M102/J102,"")</f>
        <v/>
      </c>
      <c r="P102" s="59" t="n"/>
      <c r="Q102" s="60" t="n"/>
      <c r="R102" s="5" t="n"/>
      <c r="S102" s="5" t="n"/>
      <c r="T102" s="5" t="n"/>
      <c r="U102" s="5" t="n"/>
      <c r="V102" s="5" t="n"/>
      <c r="W102" s="5" t="n"/>
      <c r="X102">
        <f>COUNTA(R102:W102)</f>
        <v/>
      </c>
      <c r="Y102">
        <f>IF(AND($X102&gt;0,ISNUMBER($M102)),$M102/$X102,"")</f>
        <v/>
      </c>
      <c r="Z102">
        <f>IF($X102=0,"",IF(COUNTIF(⑳商品別1食労務費!$C$5:$C$124,$R102)+COUNTIF(⑳商品別1食労務費!$C$5:$C$124,$S102)+COUNTIF(⑳商品別1食労務費!$C$5:$C$124,$T102)+COUNTIF(⑳商品別1食労務費!$C$5:$C$124,$U102)+COUNTIF(⑳商品別1食労務費!$C$5:$C$124,$V102)+COUNTIF(⑳商品別1食労務費!$C$5:$C$124,$W102)=$X102,"OK","⑳に無い商品名"))</f>
        <v/>
      </c>
      <c r="AA102">
        <f>SUMIF(⑳商品別1食労務費!$C$5:$C$124,$R102,⑳商品別1食労務費!$F$5:$F$124)+SUMIF(⑳商品別1食労務費!$C$5:$C$124,$S102,⑳商品別1食労務費!$F$5:$F$124)+SUMIF(⑳商品別1食労務費!$C$5:$C$124,$T102,⑳商品別1食労務費!$F$5:$F$124)+SUMIF(⑳商品別1食労務費!$C$5:$C$124,$U102,⑳商品別1食労務費!$F$5:$F$124)+SUMIF(⑳商品別1食労務費!$C$5:$C$124,$V102,⑳商品別1食労務費!$F$5:$F$124)+SUMIF(⑳商品別1食労務費!$C$5:$C$124,$W102,⑳商品別1食労務費!$F$5:$F$124)</f>
        <v/>
      </c>
      <c r="AB102">
        <f>IF(ISNUMBER($M102),$M102,0)</f>
        <v/>
      </c>
      <c r="AD102" s="413">
        <f>IF($R102="",0,IF($AA102&gt;0,$AB102*SUMIF(⑳商品別1食労務費!$C$5:$C$124,$R102,⑳商品別1食労務費!$F$5:$F$124)/$AA102,$AB102/$X102))</f>
        <v/>
      </c>
      <c r="AE102" s="413">
        <f>IF($S102="",0,IF($AA102&gt;0,$AB102*SUMIF(⑳商品別1食労務費!$C$5:$C$124,$S102,⑳商品別1食労務費!$F$5:$F$124)/$AA102,$AB102/$X102))</f>
        <v/>
      </c>
      <c r="AF102" s="413">
        <f>IF($T102="",0,IF($AA102&gt;0,$AB102*SUMIF(⑳商品別1食労務費!$C$5:$C$124,$T102,⑳商品別1食労務費!$F$5:$F$124)/$AA102,$AB102/$X102))</f>
        <v/>
      </c>
      <c r="AG102" s="413">
        <f>IF($U102="",0,IF($AA102&gt;0,$AB102*SUMIF(⑳商品別1食労務費!$C$5:$C$124,$U102,⑳商品別1食労務費!$F$5:$F$124)/$AA102,$AB102/$X102))</f>
        <v/>
      </c>
      <c r="AH102" s="413">
        <f>IF($V102="",0,IF($AA102&gt;0,$AB102*SUMIF(⑳商品別1食労務費!$C$5:$C$124,$V102,⑳商品別1食労務費!$F$5:$F$124)/$AA102,$AB102/$X102))</f>
        <v/>
      </c>
      <c r="AI102" s="413">
        <f>IF($W102="",0,IF($AA102&gt;0,$AB102*SUMIF(⑳商品別1食労務費!$C$5:$C$124,$W102,⑳商品別1食労務費!$F$5:$F$124)/$AA102,$AB102/$X102))</f>
        <v/>
      </c>
    </row>
    <row r="103" ht="16" customHeight="1" s="438">
      <c r="A103" s="56" t="n">
        <v>99</v>
      </c>
      <c r="B103" s="57" t="n"/>
      <c r="C103" s="5" t="n"/>
      <c r="D103" s="5" t="n"/>
      <c r="E103" s="5" t="n"/>
      <c r="F103" s="58" t="n"/>
      <c r="G103" s="7" t="n"/>
      <c r="H103" s="7" t="n"/>
      <c r="I103" s="7" t="n"/>
      <c r="J103" s="7" t="n"/>
      <c r="K103" s="513">
        <f>IF(F103&gt;0,I103/(F103/60),0)</f>
        <v/>
      </c>
      <c r="L103" s="514">
        <f>IF(AND(ISNUMBER(F103),J103&gt;0),J103/(F103/60),"")</f>
        <v/>
      </c>
      <c r="M103" s="9">
        <f>IF(OR(ISNUMBER(SEARCH("サニテーション",C103)),ISNUMBER(SEARCH("客注",C103)),ISNUMBER(SEARCH("切り替え",C103)),ISNUMBER(SEARCH("切替",C103)),NOT(ISNUMBER(H103))),"",IF(ISNUMBER(G103),G103/60*H103*④前提設定!$B$4,IF(AND(G103="",ISNUMBER(F103)),F103/60*H103*④前提設定!$B$4,"")))</f>
        <v/>
      </c>
      <c r="N103" s="513">
        <f>IF(I103&gt;0,M103/I103,"")</f>
        <v/>
      </c>
      <c r="O103" s="514">
        <f>IF(AND(J103&gt;0,ISNUMBER(M103)),M103/J103,"")</f>
        <v/>
      </c>
      <c r="P103" s="59" t="n"/>
      <c r="Q103" s="60" t="n"/>
      <c r="R103" s="5" t="n"/>
      <c r="S103" s="5" t="n"/>
      <c r="T103" s="5" t="n"/>
      <c r="U103" s="5" t="n"/>
      <c r="V103" s="5" t="n"/>
      <c r="W103" s="5" t="n"/>
      <c r="X103">
        <f>COUNTA(R103:W103)</f>
        <v/>
      </c>
      <c r="Y103">
        <f>IF(AND($X103&gt;0,ISNUMBER($M103)),$M103/$X103,"")</f>
        <v/>
      </c>
      <c r="Z103">
        <f>IF($X103=0,"",IF(COUNTIF(⑳商品別1食労務費!$C$5:$C$124,$R103)+COUNTIF(⑳商品別1食労務費!$C$5:$C$124,$S103)+COUNTIF(⑳商品別1食労務費!$C$5:$C$124,$T103)+COUNTIF(⑳商品別1食労務費!$C$5:$C$124,$U103)+COUNTIF(⑳商品別1食労務費!$C$5:$C$124,$V103)+COUNTIF(⑳商品別1食労務費!$C$5:$C$124,$W103)=$X103,"OK","⑳に無い商品名"))</f>
        <v/>
      </c>
      <c r="AA103">
        <f>SUMIF(⑳商品別1食労務費!$C$5:$C$124,$R103,⑳商品別1食労務費!$F$5:$F$124)+SUMIF(⑳商品別1食労務費!$C$5:$C$124,$S103,⑳商品別1食労務費!$F$5:$F$124)+SUMIF(⑳商品別1食労務費!$C$5:$C$124,$T103,⑳商品別1食労務費!$F$5:$F$124)+SUMIF(⑳商品別1食労務費!$C$5:$C$124,$U103,⑳商品別1食労務費!$F$5:$F$124)+SUMIF(⑳商品別1食労務費!$C$5:$C$124,$V103,⑳商品別1食労務費!$F$5:$F$124)+SUMIF(⑳商品別1食労務費!$C$5:$C$124,$W103,⑳商品別1食労務費!$F$5:$F$124)</f>
        <v/>
      </c>
      <c r="AB103">
        <f>IF(ISNUMBER($M103),$M103,0)</f>
        <v/>
      </c>
      <c r="AD103" s="413">
        <f>IF($R103="",0,IF($AA103&gt;0,$AB103*SUMIF(⑳商品別1食労務費!$C$5:$C$124,$R103,⑳商品別1食労務費!$F$5:$F$124)/$AA103,$AB103/$X103))</f>
        <v/>
      </c>
      <c r="AE103" s="413">
        <f>IF($S103="",0,IF($AA103&gt;0,$AB103*SUMIF(⑳商品別1食労務費!$C$5:$C$124,$S103,⑳商品別1食労務費!$F$5:$F$124)/$AA103,$AB103/$X103))</f>
        <v/>
      </c>
      <c r="AF103" s="413">
        <f>IF($T103="",0,IF($AA103&gt;0,$AB103*SUMIF(⑳商品別1食労務費!$C$5:$C$124,$T103,⑳商品別1食労務費!$F$5:$F$124)/$AA103,$AB103/$X103))</f>
        <v/>
      </c>
      <c r="AG103" s="413">
        <f>IF($U103="",0,IF($AA103&gt;0,$AB103*SUMIF(⑳商品別1食労務費!$C$5:$C$124,$U103,⑳商品別1食労務費!$F$5:$F$124)/$AA103,$AB103/$X103))</f>
        <v/>
      </c>
      <c r="AH103" s="413">
        <f>IF($V103="",0,IF($AA103&gt;0,$AB103*SUMIF(⑳商品別1食労務費!$C$5:$C$124,$V103,⑳商品別1食労務費!$F$5:$F$124)/$AA103,$AB103/$X103))</f>
        <v/>
      </c>
      <c r="AI103" s="413">
        <f>IF($W103="",0,IF($AA103&gt;0,$AB103*SUMIF(⑳商品別1食労務費!$C$5:$C$124,$W103,⑳商品別1食労務費!$F$5:$F$124)/$AA103,$AB103/$X103))</f>
        <v/>
      </c>
    </row>
    <row r="104" ht="16" customHeight="1" s="438">
      <c r="A104" s="56" t="n">
        <v>100</v>
      </c>
      <c r="B104" s="57" t="n"/>
      <c r="C104" s="5" t="n"/>
      <c r="D104" s="5" t="n"/>
      <c r="E104" s="5" t="n"/>
      <c r="F104" s="58" t="n"/>
      <c r="G104" s="7" t="n"/>
      <c r="H104" s="7" t="n"/>
      <c r="I104" s="7" t="n"/>
      <c r="J104" s="7" t="n"/>
      <c r="K104" s="513">
        <f>IF(F104&gt;0,I104/(F104/60),0)</f>
        <v/>
      </c>
      <c r="L104" s="514">
        <f>IF(AND(ISNUMBER(F104),J104&gt;0),J104/(F104/60),"")</f>
        <v/>
      </c>
      <c r="M104" s="9">
        <f>IF(OR(ISNUMBER(SEARCH("サニテーション",C104)),ISNUMBER(SEARCH("客注",C104)),ISNUMBER(SEARCH("切り替え",C104)),ISNUMBER(SEARCH("切替",C104)),NOT(ISNUMBER(H104))),"",IF(ISNUMBER(G104),G104/60*H104*④前提設定!$B$4,IF(AND(G104="",ISNUMBER(F104)),F104/60*H104*④前提設定!$B$4,"")))</f>
        <v/>
      </c>
      <c r="N104" s="513">
        <f>IF(I104&gt;0,M104/I104,"")</f>
        <v/>
      </c>
      <c r="O104" s="514">
        <f>IF(AND(J104&gt;0,ISNUMBER(M104)),M104/J104,"")</f>
        <v/>
      </c>
      <c r="P104" s="59" t="n"/>
      <c r="Q104" s="60" t="n"/>
      <c r="R104" s="5" t="n"/>
      <c r="S104" s="5" t="n"/>
      <c r="T104" s="5" t="n"/>
      <c r="U104" s="5" t="n"/>
      <c r="V104" s="5" t="n"/>
      <c r="W104" s="5" t="n"/>
      <c r="X104">
        <f>COUNTA(R104:W104)</f>
        <v/>
      </c>
      <c r="Y104">
        <f>IF(AND($X104&gt;0,ISNUMBER($M104)),$M104/$X104,"")</f>
        <v/>
      </c>
      <c r="Z104">
        <f>IF($X104=0,"",IF(COUNTIF(⑳商品別1食労務費!$C$5:$C$124,$R104)+COUNTIF(⑳商品別1食労務費!$C$5:$C$124,$S104)+COUNTIF(⑳商品別1食労務費!$C$5:$C$124,$T104)+COUNTIF(⑳商品別1食労務費!$C$5:$C$124,$U104)+COUNTIF(⑳商品別1食労務費!$C$5:$C$124,$V104)+COUNTIF(⑳商品別1食労務費!$C$5:$C$124,$W104)=$X104,"OK","⑳に無い商品名"))</f>
        <v/>
      </c>
      <c r="AA104">
        <f>SUMIF(⑳商品別1食労務費!$C$5:$C$124,$R104,⑳商品別1食労務費!$F$5:$F$124)+SUMIF(⑳商品別1食労務費!$C$5:$C$124,$S104,⑳商品別1食労務費!$F$5:$F$124)+SUMIF(⑳商品別1食労務費!$C$5:$C$124,$T104,⑳商品別1食労務費!$F$5:$F$124)+SUMIF(⑳商品別1食労務費!$C$5:$C$124,$U104,⑳商品別1食労務費!$F$5:$F$124)+SUMIF(⑳商品別1食労務費!$C$5:$C$124,$V104,⑳商品別1食労務費!$F$5:$F$124)+SUMIF(⑳商品別1食労務費!$C$5:$C$124,$W104,⑳商品別1食労務費!$F$5:$F$124)</f>
        <v/>
      </c>
      <c r="AB104">
        <f>IF(ISNUMBER($M104),$M104,0)</f>
        <v/>
      </c>
      <c r="AD104" s="413">
        <f>IF($R104="",0,IF($AA104&gt;0,$AB104*SUMIF(⑳商品別1食労務費!$C$5:$C$124,$R104,⑳商品別1食労務費!$F$5:$F$124)/$AA104,$AB104/$X104))</f>
        <v/>
      </c>
      <c r="AE104" s="413">
        <f>IF($S104="",0,IF($AA104&gt;0,$AB104*SUMIF(⑳商品別1食労務費!$C$5:$C$124,$S104,⑳商品別1食労務費!$F$5:$F$124)/$AA104,$AB104/$X104))</f>
        <v/>
      </c>
      <c r="AF104" s="413">
        <f>IF($T104="",0,IF($AA104&gt;0,$AB104*SUMIF(⑳商品別1食労務費!$C$5:$C$124,$T104,⑳商品別1食労務費!$F$5:$F$124)/$AA104,$AB104/$X104))</f>
        <v/>
      </c>
      <c r="AG104" s="413">
        <f>IF($U104="",0,IF($AA104&gt;0,$AB104*SUMIF(⑳商品別1食労務費!$C$5:$C$124,$U104,⑳商品別1食労務費!$F$5:$F$124)/$AA104,$AB104/$X104))</f>
        <v/>
      </c>
      <c r="AH104" s="413">
        <f>IF($V104="",0,IF($AA104&gt;0,$AB104*SUMIF(⑳商品別1食労務費!$C$5:$C$124,$V104,⑳商品別1食労務費!$F$5:$F$124)/$AA104,$AB104/$X104))</f>
        <v/>
      </c>
      <c r="AI104" s="413">
        <f>IF($W104="",0,IF($AA104&gt;0,$AB104*SUMIF(⑳商品別1食労務費!$C$5:$C$124,$W104,⑳商品別1食労務費!$F$5:$F$124)/$AA104,$AB104/$X104))</f>
        <v/>
      </c>
    </row>
    <row r="105" ht="16" customHeight="1" s="438">
      <c r="A105" s="56" t="n">
        <v>101</v>
      </c>
      <c r="B105" s="57" t="n"/>
      <c r="C105" s="5" t="n"/>
      <c r="D105" s="5" t="n"/>
      <c r="E105" s="5" t="n"/>
      <c r="F105" s="58" t="n"/>
      <c r="G105" s="7" t="n"/>
      <c r="H105" s="7" t="n"/>
      <c r="I105" s="7" t="n"/>
      <c r="J105" s="7" t="n"/>
      <c r="K105" s="513">
        <f>IF(F105&gt;0,I105/(F105/60),0)</f>
        <v/>
      </c>
      <c r="L105" s="514">
        <f>IF(AND(ISNUMBER(F105),J105&gt;0),J105/(F105/60),"")</f>
        <v/>
      </c>
      <c r="M105" s="9">
        <f>IF(OR(ISNUMBER(SEARCH("サニテーション",C105)),ISNUMBER(SEARCH("客注",C105)),ISNUMBER(SEARCH("切り替え",C105)),ISNUMBER(SEARCH("切替",C105)),NOT(ISNUMBER(H105))),"",IF(ISNUMBER(G105),G105/60*H105*④前提設定!$B$4,IF(AND(G105="",ISNUMBER(F105)),F105/60*H105*④前提設定!$B$4,"")))</f>
        <v/>
      </c>
      <c r="N105" s="513">
        <f>IF(I105&gt;0,M105/I105,"")</f>
        <v/>
      </c>
      <c r="O105" s="514">
        <f>IF(AND(J105&gt;0,ISNUMBER(M105)),M105/J105,"")</f>
        <v/>
      </c>
      <c r="P105" s="59" t="n"/>
      <c r="Q105" s="60" t="n"/>
      <c r="R105" s="5" t="n"/>
      <c r="S105" s="5" t="n"/>
      <c r="T105" s="5" t="n"/>
      <c r="U105" s="5" t="n"/>
      <c r="V105" s="5" t="n"/>
      <c r="W105" s="5" t="n"/>
      <c r="X105">
        <f>COUNTA(R105:W105)</f>
        <v/>
      </c>
      <c r="Y105">
        <f>IF(AND($X105&gt;0,ISNUMBER($M105)),$M105/$X105,"")</f>
        <v/>
      </c>
      <c r="Z105">
        <f>IF($X105=0,"",IF(COUNTIF(⑳商品別1食労務費!$C$5:$C$124,$R105)+COUNTIF(⑳商品別1食労務費!$C$5:$C$124,$S105)+COUNTIF(⑳商品別1食労務費!$C$5:$C$124,$T105)+COUNTIF(⑳商品別1食労務費!$C$5:$C$124,$U105)+COUNTIF(⑳商品別1食労務費!$C$5:$C$124,$V105)+COUNTIF(⑳商品別1食労務費!$C$5:$C$124,$W105)=$X105,"OK","⑳に無い商品名"))</f>
        <v/>
      </c>
      <c r="AA105">
        <f>SUMIF(⑳商品別1食労務費!$C$5:$C$124,$R105,⑳商品別1食労務費!$F$5:$F$124)+SUMIF(⑳商品別1食労務費!$C$5:$C$124,$S105,⑳商品別1食労務費!$F$5:$F$124)+SUMIF(⑳商品別1食労務費!$C$5:$C$124,$T105,⑳商品別1食労務費!$F$5:$F$124)+SUMIF(⑳商品別1食労務費!$C$5:$C$124,$U105,⑳商品別1食労務費!$F$5:$F$124)+SUMIF(⑳商品別1食労務費!$C$5:$C$124,$V105,⑳商品別1食労務費!$F$5:$F$124)+SUMIF(⑳商品別1食労務費!$C$5:$C$124,$W105,⑳商品別1食労務費!$F$5:$F$124)</f>
        <v/>
      </c>
      <c r="AB105">
        <f>IF(ISNUMBER($M105),$M105,0)</f>
        <v/>
      </c>
      <c r="AD105" s="413">
        <f>IF($R105="",0,IF($AA105&gt;0,$AB105*SUMIF(⑳商品別1食労務費!$C$5:$C$124,$R105,⑳商品別1食労務費!$F$5:$F$124)/$AA105,$AB105/$X105))</f>
        <v/>
      </c>
      <c r="AE105" s="413">
        <f>IF($S105="",0,IF($AA105&gt;0,$AB105*SUMIF(⑳商品別1食労務費!$C$5:$C$124,$S105,⑳商品別1食労務費!$F$5:$F$124)/$AA105,$AB105/$X105))</f>
        <v/>
      </c>
      <c r="AF105" s="413">
        <f>IF($T105="",0,IF($AA105&gt;0,$AB105*SUMIF(⑳商品別1食労務費!$C$5:$C$124,$T105,⑳商品別1食労務費!$F$5:$F$124)/$AA105,$AB105/$X105))</f>
        <v/>
      </c>
      <c r="AG105" s="413">
        <f>IF($U105="",0,IF($AA105&gt;0,$AB105*SUMIF(⑳商品別1食労務費!$C$5:$C$124,$U105,⑳商品別1食労務費!$F$5:$F$124)/$AA105,$AB105/$X105))</f>
        <v/>
      </c>
      <c r="AH105" s="413">
        <f>IF($V105="",0,IF($AA105&gt;0,$AB105*SUMIF(⑳商品別1食労務費!$C$5:$C$124,$V105,⑳商品別1食労務費!$F$5:$F$124)/$AA105,$AB105/$X105))</f>
        <v/>
      </c>
      <c r="AI105" s="413">
        <f>IF($W105="",0,IF($AA105&gt;0,$AB105*SUMIF(⑳商品別1食労務費!$C$5:$C$124,$W105,⑳商品別1食労務費!$F$5:$F$124)/$AA105,$AB105/$X105))</f>
        <v/>
      </c>
    </row>
    <row r="106" ht="16" customHeight="1" s="438">
      <c r="A106" s="56" t="n">
        <v>102</v>
      </c>
      <c r="B106" s="57" t="n"/>
      <c r="C106" s="5" t="n"/>
      <c r="D106" s="5" t="n"/>
      <c r="E106" s="5" t="n"/>
      <c r="F106" s="58" t="n"/>
      <c r="G106" s="7" t="n"/>
      <c r="H106" s="7" t="n"/>
      <c r="I106" s="7" t="n"/>
      <c r="J106" s="7" t="n"/>
      <c r="K106" s="513">
        <f>IF(F106&gt;0,I106/(F106/60),0)</f>
        <v/>
      </c>
      <c r="L106" s="514">
        <f>IF(AND(ISNUMBER(F106),J106&gt;0),J106/(F106/60),"")</f>
        <v/>
      </c>
      <c r="M106" s="9">
        <f>IF(OR(ISNUMBER(SEARCH("サニテーション",C106)),ISNUMBER(SEARCH("客注",C106)),ISNUMBER(SEARCH("切り替え",C106)),ISNUMBER(SEARCH("切替",C106)),NOT(ISNUMBER(H106))),"",IF(ISNUMBER(G106),G106/60*H106*④前提設定!$B$4,IF(AND(G106="",ISNUMBER(F106)),F106/60*H106*④前提設定!$B$4,"")))</f>
        <v/>
      </c>
      <c r="N106" s="513">
        <f>IF(I106&gt;0,M106/I106,"")</f>
        <v/>
      </c>
      <c r="O106" s="514">
        <f>IF(AND(J106&gt;0,ISNUMBER(M106)),M106/J106,"")</f>
        <v/>
      </c>
      <c r="P106" s="59" t="n"/>
      <c r="Q106" s="60" t="n"/>
      <c r="R106" s="5" t="n"/>
      <c r="S106" s="5" t="n"/>
      <c r="T106" s="5" t="n"/>
      <c r="U106" s="5" t="n"/>
      <c r="V106" s="5" t="n"/>
      <c r="W106" s="5" t="n"/>
      <c r="X106">
        <f>COUNTA(R106:W106)</f>
        <v/>
      </c>
      <c r="Y106">
        <f>IF(AND($X106&gt;0,ISNUMBER($M106)),$M106/$X106,"")</f>
        <v/>
      </c>
      <c r="Z106">
        <f>IF($X106=0,"",IF(COUNTIF(⑳商品別1食労務費!$C$5:$C$124,$R106)+COUNTIF(⑳商品別1食労務費!$C$5:$C$124,$S106)+COUNTIF(⑳商品別1食労務費!$C$5:$C$124,$T106)+COUNTIF(⑳商品別1食労務費!$C$5:$C$124,$U106)+COUNTIF(⑳商品別1食労務費!$C$5:$C$124,$V106)+COUNTIF(⑳商品別1食労務費!$C$5:$C$124,$W106)=$X106,"OK","⑳に無い商品名"))</f>
        <v/>
      </c>
      <c r="AA106">
        <f>SUMIF(⑳商品別1食労務費!$C$5:$C$124,$R106,⑳商品別1食労務費!$F$5:$F$124)+SUMIF(⑳商品別1食労務費!$C$5:$C$124,$S106,⑳商品別1食労務費!$F$5:$F$124)+SUMIF(⑳商品別1食労務費!$C$5:$C$124,$T106,⑳商品別1食労務費!$F$5:$F$124)+SUMIF(⑳商品別1食労務費!$C$5:$C$124,$U106,⑳商品別1食労務費!$F$5:$F$124)+SUMIF(⑳商品別1食労務費!$C$5:$C$124,$V106,⑳商品別1食労務費!$F$5:$F$124)+SUMIF(⑳商品別1食労務費!$C$5:$C$124,$W106,⑳商品別1食労務費!$F$5:$F$124)</f>
        <v/>
      </c>
      <c r="AB106">
        <f>IF(ISNUMBER($M106),$M106,0)</f>
        <v/>
      </c>
      <c r="AD106" s="413">
        <f>IF($R106="",0,IF($AA106&gt;0,$AB106*SUMIF(⑳商品別1食労務費!$C$5:$C$124,$R106,⑳商品別1食労務費!$F$5:$F$124)/$AA106,$AB106/$X106))</f>
        <v/>
      </c>
      <c r="AE106" s="413">
        <f>IF($S106="",0,IF($AA106&gt;0,$AB106*SUMIF(⑳商品別1食労務費!$C$5:$C$124,$S106,⑳商品別1食労務費!$F$5:$F$124)/$AA106,$AB106/$X106))</f>
        <v/>
      </c>
      <c r="AF106" s="413">
        <f>IF($T106="",0,IF($AA106&gt;0,$AB106*SUMIF(⑳商品別1食労務費!$C$5:$C$124,$T106,⑳商品別1食労務費!$F$5:$F$124)/$AA106,$AB106/$X106))</f>
        <v/>
      </c>
      <c r="AG106" s="413">
        <f>IF($U106="",0,IF($AA106&gt;0,$AB106*SUMIF(⑳商品別1食労務費!$C$5:$C$124,$U106,⑳商品別1食労務費!$F$5:$F$124)/$AA106,$AB106/$X106))</f>
        <v/>
      </c>
      <c r="AH106" s="413">
        <f>IF($V106="",0,IF($AA106&gt;0,$AB106*SUMIF(⑳商品別1食労務費!$C$5:$C$124,$V106,⑳商品別1食労務費!$F$5:$F$124)/$AA106,$AB106/$X106))</f>
        <v/>
      </c>
      <c r="AI106" s="413">
        <f>IF($W106="",0,IF($AA106&gt;0,$AB106*SUMIF(⑳商品別1食労務費!$C$5:$C$124,$W106,⑳商品別1食労務費!$F$5:$F$124)/$AA106,$AB106/$X106))</f>
        <v/>
      </c>
    </row>
    <row r="107" ht="16" customHeight="1" s="438">
      <c r="A107" s="56" t="n">
        <v>103</v>
      </c>
      <c r="B107" s="57" t="n"/>
      <c r="C107" s="5" t="n"/>
      <c r="D107" s="5" t="n"/>
      <c r="E107" s="5" t="n"/>
      <c r="F107" s="58" t="n"/>
      <c r="G107" s="7" t="n"/>
      <c r="H107" s="7" t="n"/>
      <c r="I107" s="7" t="n"/>
      <c r="J107" s="7" t="n"/>
      <c r="K107" s="513">
        <f>IF(F107&gt;0,I107/(F107/60),0)</f>
        <v/>
      </c>
      <c r="L107" s="514">
        <f>IF(AND(ISNUMBER(F107),J107&gt;0),J107/(F107/60),"")</f>
        <v/>
      </c>
      <c r="M107" s="9">
        <f>IF(OR(ISNUMBER(SEARCH("サニテーション",C107)),ISNUMBER(SEARCH("客注",C107)),ISNUMBER(SEARCH("切り替え",C107)),ISNUMBER(SEARCH("切替",C107)),NOT(ISNUMBER(H107))),"",IF(ISNUMBER(G107),G107/60*H107*④前提設定!$B$4,IF(AND(G107="",ISNUMBER(F107)),F107/60*H107*④前提設定!$B$4,"")))</f>
        <v/>
      </c>
      <c r="N107" s="513">
        <f>IF(I107&gt;0,M107/I107,"")</f>
        <v/>
      </c>
      <c r="O107" s="514">
        <f>IF(AND(J107&gt;0,ISNUMBER(M107)),M107/J107,"")</f>
        <v/>
      </c>
      <c r="P107" s="59" t="n"/>
      <c r="Q107" s="60" t="n"/>
      <c r="R107" s="5" t="n"/>
      <c r="S107" s="5" t="n"/>
      <c r="T107" s="5" t="n"/>
      <c r="U107" s="5" t="n"/>
      <c r="V107" s="5" t="n"/>
      <c r="W107" s="5" t="n"/>
      <c r="X107">
        <f>COUNTA(R107:W107)</f>
        <v/>
      </c>
      <c r="Y107">
        <f>IF(AND($X107&gt;0,ISNUMBER($M107)),$M107/$X107,"")</f>
        <v/>
      </c>
      <c r="Z107">
        <f>IF($X107=0,"",IF(COUNTIF(⑳商品別1食労務費!$C$5:$C$124,$R107)+COUNTIF(⑳商品別1食労務費!$C$5:$C$124,$S107)+COUNTIF(⑳商品別1食労務費!$C$5:$C$124,$T107)+COUNTIF(⑳商品別1食労務費!$C$5:$C$124,$U107)+COUNTIF(⑳商品別1食労務費!$C$5:$C$124,$V107)+COUNTIF(⑳商品別1食労務費!$C$5:$C$124,$W107)=$X107,"OK","⑳に無い商品名"))</f>
        <v/>
      </c>
      <c r="AA107">
        <f>SUMIF(⑳商品別1食労務費!$C$5:$C$124,$R107,⑳商品別1食労務費!$F$5:$F$124)+SUMIF(⑳商品別1食労務費!$C$5:$C$124,$S107,⑳商品別1食労務費!$F$5:$F$124)+SUMIF(⑳商品別1食労務費!$C$5:$C$124,$T107,⑳商品別1食労務費!$F$5:$F$124)+SUMIF(⑳商品別1食労務費!$C$5:$C$124,$U107,⑳商品別1食労務費!$F$5:$F$124)+SUMIF(⑳商品別1食労務費!$C$5:$C$124,$V107,⑳商品別1食労務費!$F$5:$F$124)+SUMIF(⑳商品別1食労務費!$C$5:$C$124,$W107,⑳商品別1食労務費!$F$5:$F$124)</f>
        <v/>
      </c>
      <c r="AB107">
        <f>IF(ISNUMBER($M107),$M107,0)</f>
        <v/>
      </c>
      <c r="AD107" s="413">
        <f>IF($R107="",0,IF($AA107&gt;0,$AB107*SUMIF(⑳商品別1食労務費!$C$5:$C$124,$R107,⑳商品別1食労務費!$F$5:$F$124)/$AA107,$AB107/$X107))</f>
        <v/>
      </c>
      <c r="AE107" s="413">
        <f>IF($S107="",0,IF($AA107&gt;0,$AB107*SUMIF(⑳商品別1食労務費!$C$5:$C$124,$S107,⑳商品別1食労務費!$F$5:$F$124)/$AA107,$AB107/$X107))</f>
        <v/>
      </c>
      <c r="AF107" s="413">
        <f>IF($T107="",0,IF($AA107&gt;0,$AB107*SUMIF(⑳商品別1食労務費!$C$5:$C$124,$T107,⑳商品別1食労務費!$F$5:$F$124)/$AA107,$AB107/$X107))</f>
        <v/>
      </c>
      <c r="AG107" s="413">
        <f>IF($U107="",0,IF($AA107&gt;0,$AB107*SUMIF(⑳商品別1食労務費!$C$5:$C$124,$U107,⑳商品別1食労務費!$F$5:$F$124)/$AA107,$AB107/$X107))</f>
        <v/>
      </c>
      <c r="AH107" s="413">
        <f>IF($V107="",0,IF($AA107&gt;0,$AB107*SUMIF(⑳商品別1食労務費!$C$5:$C$124,$V107,⑳商品別1食労務費!$F$5:$F$124)/$AA107,$AB107/$X107))</f>
        <v/>
      </c>
      <c r="AI107" s="413">
        <f>IF($W107="",0,IF($AA107&gt;0,$AB107*SUMIF(⑳商品別1食労務費!$C$5:$C$124,$W107,⑳商品別1食労務費!$F$5:$F$124)/$AA107,$AB107/$X107))</f>
        <v/>
      </c>
    </row>
    <row r="108" ht="16" customHeight="1" s="438">
      <c r="A108" s="56" t="n">
        <v>104</v>
      </c>
      <c r="B108" s="57" t="n"/>
      <c r="C108" s="5" t="n"/>
      <c r="D108" s="5" t="n"/>
      <c r="E108" s="5" t="n"/>
      <c r="F108" s="58" t="n"/>
      <c r="G108" s="7" t="n"/>
      <c r="H108" s="7" t="n"/>
      <c r="I108" s="7" t="n"/>
      <c r="J108" s="7" t="n"/>
      <c r="K108" s="513">
        <f>IF(F108&gt;0,I108/(F108/60),0)</f>
        <v/>
      </c>
      <c r="L108" s="514">
        <f>IF(AND(ISNUMBER(F108),J108&gt;0),J108/(F108/60),"")</f>
        <v/>
      </c>
      <c r="M108" s="9">
        <f>IF(OR(ISNUMBER(SEARCH("サニテーション",C108)),ISNUMBER(SEARCH("客注",C108)),ISNUMBER(SEARCH("切り替え",C108)),ISNUMBER(SEARCH("切替",C108)),NOT(ISNUMBER(H108))),"",IF(ISNUMBER(G108),G108/60*H108*④前提設定!$B$4,IF(AND(G108="",ISNUMBER(F108)),F108/60*H108*④前提設定!$B$4,"")))</f>
        <v/>
      </c>
      <c r="N108" s="513">
        <f>IF(I108&gt;0,M108/I108,"")</f>
        <v/>
      </c>
      <c r="O108" s="514">
        <f>IF(AND(J108&gt;0,ISNUMBER(M108)),M108/J108,"")</f>
        <v/>
      </c>
      <c r="P108" s="59" t="n"/>
      <c r="Q108" s="60" t="n"/>
      <c r="R108" s="5" t="n"/>
      <c r="S108" s="5" t="n"/>
      <c r="T108" s="5" t="n"/>
      <c r="U108" s="5" t="n"/>
      <c r="V108" s="5" t="n"/>
      <c r="W108" s="5" t="n"/>
      <c r="X108">
        <f>COUNTA(R108:W108)</f>
        <v/>
      </c>
      <c r="Y108">
        <f>IF(AND($X108&gt;0,ISNUMBER($M108)),$M108/$X108,"")</f>
        <v/>
      </c>
      <c r="Z108">
        <f>IF($X108=0,"",IF(COUNTIF(⑳商品別1食労務費!$C$5:$C$124,$R108)+COUNTIF(⑳商品別1食労務費!$C$5:$C$124,$S108)+COUNTIF(⑳商品別1食労務費!$C$5:$C$124,$T108)+COUNTIF(⑳商品別1食労務費!$C$5:$C$124,$U108)+COUNTIF(⑳商品別1食労務費!$C$5:$C$124,$V108)+COUNTIF(⑳商品別1食労務費!$C$5:$C$124,$W108)=$X108,"OK","⑳に無い商品名"))</f>
        <v/>
      </c>
      <c r="AA108">
        <f>SUMIF(⑳商品別1食労務費!$C$5:$C$124,$R108,⑳商品別1食労務費!$F$5:$F$124)+SUMIF(⑳商品別1食労務費!$C$5:$C$124,$S108,⑳商品別1食労務費!$F$5:$F$124)+SUMIF(⑳商品別1食労務費!$C$5:$C$124,$T108,⑳商品別1食労務費!$F$5:$F$124)+SUMIF(⑳商品別1食労務費!$C$5:$C$124,$U108,⑳商品別1食労務費!$F$5:$F$124)+SUMIF(⑳商品別1食労務費!$C$5:$C$124,$V108,⑳商品別1食労務費!$F$5:$F$124)+SUMIF(⑳商品別1食労務費!$C$5:$C$124,$W108,⑳商品別1食労務費!$F$5:$F$124)</f>
        <v/>
      </c>
      <c r="AB108">
        <f>IF(ISNUMBER($M108),$M108,0)</f>
        <v/>
      </c>
      <c r="AD108" s="413">
        <f>IF($R108="",0,IF($AA108&gt;0,$AB108*SUMIF(⑳商品別1食労務費!$C$5:$C$124,$R108,⑳商品別1食労務費!$F$5:$F$124)/$AA108,$AB108/$X108))</f>
        <v/>
      </c>
      <c r="AE108" s="413">
        <f>IF($S108="",0,IF($AA108&gt;0,$AB108*SUMIF(⑳商品別1食労務費!$C$5:$C$124,$S108,⑳商品別1食労務費!$F$5:$F$124)/$AA108,$AB108/$X108))</f>
        <v/>
      </c>
      <c r="AF108" s="413">
        <f>IF($T108="",0,IF($AA108&gt;0,$AB108*SUMIF(⑳商品別1食労務費!$C$5:$C$124,$T108,⑳商品別1食労務費!$F$5:$F$124)/$AA108,$AB108/$X108))</f>
        <v/>
      </c>
      <c r="AG108" s="413">
        <f>IF($U108="",0,IF($AA108&gt;0,$AB108*SUMIF(⑳商品別1食労務費!$C$5:$C$124,$U108,⑳商品別1食労務費!$F$5:$F$124)/$AA108,$AB108/$X108))</f>
        <v/>
      </c>
      <c r="AH108" s="413">
        <f>IF($V108="",0,IF($AA108&gt;0,$AB108*SUMIF(⑳商品別1食労務費!$C$5:$C$124,$V108,⑳商品別1食労務費!$F$5:$F$124)/$AA108,$AB108/$X108))</f>
        <v/>
      </c>
      <c r="AI108" s="413">
        <f>IF($W108="",0,IF($AA108&gt;0,$AB108*SUMIF(⑳商品別1食労務費!$C$5:$C$124,$W108,⑳商品別1食労務費!$F$5:$F$124)/$AA108,$AB108/$X108))</f>
        <v/>
      </c>
    </row>
    <row r="109" ht="16" customHeight="1" s="438">
      <c r="A109" s="56" t="n">
        <v>105</v>
      </c>
      <c r="B109" s="57" t="n"/>
      <c r="C109" s="5" t="n"/>
      <c r="D109" s="5" t="n"/>
      <c r="E109" s="5" t="n"/>
      <c r="F109" s="58" t="n"/>
      <c r="G109" s="7" t="n"/>
      <c r="H109" s="7" t="n"/>
      <c r="I109" s="7" t="n"/>
      <c r="J109" s="7" t="n"/>
      <c r="K109" s="513">
        <f>IF(F109&gt;0,I109/(F109/60),0)</f>
        <v/>
      </c>
      <c r="L109" s="514">
        <f>IF(AND(ISNUMBER(F109),J109&gt;0),J109/(F109/60),"")</f>
        <v/>
      </c>
      <c r="M109" s="9">
        <f>IF(OR(ISNUMBER(SEARCH("サニテーション",C109)),ISNUMBER(SEARCH("客注",C109)),ISNUMBER(SEARCH("切り替え",C109)),ISNUMBER(SEARCH("切替",C109)),NOT(ISNUMBER(H109))),"",IF(ISNUMBER(G109),G109/60*H109*④前提設定!$B$4,IF(AND(G109="",ISNUMBER(F109)),F109/60*H109*④前提設定!$B$4,"")))</f>
        <v/>
      </c>
      <c r="N109" s="513">
        <f>IF(I109&gt;0,M109/I109,"")</f>
        <v/>
      </c>
      <c r="O109" s="514">
        <f>IF(AND(J109&gt;0,ISNUMBER(M109)),M109/J109,"")</f>
        <v/>
      </c>
      <c r="P109" s="59" t="n"/>
      <c r="Q109" s="60" t="n"/>
      <c r="R109" s="5" t="n"/>
      <c r="S109" s="5" t="n"/>
      <c r="T109" s="5" t="n"/>
      <c r="U109" s="5" t="n"/>
      <c r="V109" s="5" t="n"/>
      <c r="W109" s="5" t="n"/>
      <c r="X109">
        <f>COUNTA(R109:W109)</f>
        <v/>
      </c>
      <c r="Y109">
        <f>IF(AND($X109&gt;0,ISNUMBER($M109)),$M109/$X109,"")</f>
        <v/>
      </c>
      <c r="Z109">
        <f>IF($X109=0,"",IF(COUNTIF(⑳商品別1食労務費!$C$5:$C$124,$R109)+COUNTIF(⑳商品別1食労務費!$C$5:$C$124,$S109)+COUNTIF(⑳商品別1食労務費!$C$5:$C$124,$T109)+COUNTIF(⑳商品別1食労務費!$C$5:$C$124,$U109)+COUNTIF(⑳商品別1食労務費!$C$5:$C$124,$V109)+COUNTIF(⑳商品別1食労務費!$C$5:$C$124,$W109)=$X109,"OK","⑳に無い商品名"))</f>
        <v/>
      </c>
      <c r="AA109">
        <f>SUMIF(⑳商品別1食労務費!$C$5:$C$124,$R109,⑳商品別1食労務費!$F$5:$F$124)+SUMIF(⑳商品別1食労務費!$C$5:$C$124,$S109,⑳商品別1食労務費!$F$5:$F$124)+SUMIF(⑳商品別1食労務費!$C$5:$C$124,$T109,⑳商品別1食労務費!$F$5:$F$124)+SUMIF(⑳商品別1食労務費!$C$5:$C$124,$U109,⑳商品別1食労務費!$F$5:$F$124)+SUMIF(⑳商品別1食労務費!$C$5:$C$124,$V109,⑳商品別1食労務費!$F$5:$F$124)+SUMIF(⑳商品別1食労務費!$C$5:$C$124,$W109,⑳商品別1食労務費!$F$5:$F$124)</f>
        <v/>
      </c>
      <c r="AB109">
        <f>IF(ISNUMBER($M109),$M109,0)</f>
        <v/>
      </c>
      <c r="AD109" s="413">
        <f>IF($R109="",0,IF($AA109&gt;0,$AB109*SUMIF(⑳商品別1食労務費!$C$5:$C$124,$R109,⑳商品別1食労務費!$F$5:$F$124)/$AA109,$AB109/$X109))</f>
        <v/>
      </c>
      <c r="AE109" s="413">
        <f>IF($S109="",0,IF($AA109&gt;0,$AB109*SUMIF(⑳商品別1食労務費!$C$5:$C$124,$S109,⑳商品別1食労務費!$F$5:$F$124)/$AA109,$AB109/$X109))</f>
        <v/>
      </c>
      <c r="AF109" s="413">
        <f>IF($T109="",0,IF($AA109&gt;0,$AB109*SUMIF(⑳商品別1食労務費!$C$5:$C$124,$T109,⑳商品別1食労務費!$F$5:$F$124)/$AA109,$AB109/$X109))</f>
        <v/>
      </c>
      <c r="AG109" s="413">
        <f>IF($U109="",0,IF($AA109&gt;0,$AB109*SUMIF(⑳商品別1食労務費!$C$5:$C$124,$U109,⑳商品別1食労務費!$F$5:$F$124)/$AA109,$AB109/$X109))</f>
        <v/>
      </c>
      <c r="AH109" s="413">
        <f>IF($V109="",0,IF($AA109&gt;0,$AB109*SUMIF(⑳商品別1食労務費!$C$5:$C$124,$V109,⑳商品別1食労務費!$F$5:$F$124)/$AA109,$AB109/$X109))</f>
        <v/>
      </c>
      <c r="AI109" s="413">
        <f>IF($W109="",0,IF($AA109&gt;0,$AB109*SUMIF(⑳商品別1食労務費!$C$5:$C$124,$W109,⑳商品別1食労務費!$F$5:$F$124)/$AA109,$AB109/$X109))</f>
        <v/>
      </c>
    </row>
    <row r="110" ht="16" customHeight="1" s="438">
      <c r="A110" s="56" t="n">
        <v>106</v>
      </c>
      <c r="B110" s="57" t="n"/>
      <c r="C110" s="5" t="n"/>
      <c r="D110" s="5" t="n"/>
      <c r="E110" s="5" t="n"/>
      <c r="F110" s="58" t="n"/>
      <c r="G110" s="7" t="n"/>
      <c r="H110" s="7" t="n"/>
      <c r="I110" s="7" t="n"/>
      <c r="J110" s="7" t="n"/>
      <c r="K110" s="513">
        <f>IF(F110&gt;0,I110/(F110/60),0)</f>
        <v/>
      </c>
      <c r="L110" s="514">
        <f>IF(AND(ISNUMBER(F110),J110&gt;0),J110/(F110/60),"")</f>
        <v/>
      </c>
      <c r="M110" s="9">
        <f>IF(OR(ISNUMBER(SEARCH("サニテーション",C110)),ISNUMBER(SEARCH("客注",C110)),ISNUMBER(SEARCH("切り替え",C110)),ISNUMBER(SEARCH("切替",C110)),NOT(ISNUMBER(H110))),"",IF(ISNUMBER(G110),G110/60*H110*④前提設定!$B$4,IF(AND(G110="",ISNUMBER(F110)),F110/60*H110*④前提設定!$B$4,"")))</f>
        <v/>
      </c>
      <c r="N110" s="513">
        <f>IF(I110&gt;0,M110/I110,"")</f>
        <v/>
      </c>
      <c r="O110" s="514">
        <f>IF(AND(J110&gt;0,ISNUMBER(M110)),M110/J110,"")</f>
        <v/>
      </c>
      <c r="P110" s="59" t="n"/>
      <c r="Q110" s="60" t="n"/>
      <c r="R110" s="5" t="n"/>
      <c r="S110" s="5" t="n"/>
      <c r="T110" s="5" t="n"/>
      <c r="U110" s="5" t="n"/>
      <c r="V110" s="5" t="n"/>
      <c r="W110" s="5" t="n"/>
      <c r="X110">
        <f>COUNTA(R110:W110)</f>
        <v/>
      </c>
      <c r="Y110">
        <f>IF(AND($X110&gt;0,ISNUMBER($M110)),$M110/$X110,"")</f>
        <v/>
      </c>
      <c r="Z110">
        <f>IF($X110=0,"",IF(COUNTIF(⑳商品別1食労務費!$C$5:$C$124,$R110)+COUNTIF(⑳商品別1食労務費!$C$5:$C$124,$S110)+COUNTIF(⑳商品別1食労務費!$C$5:$C$124,$T110)+COUNTIF(⑳商品別1食労務費!$C$5:$C$124,$U110)+COUNTIF(⑳商品別1食労務費!$C$5:$C$124,$V110)+COUNTIF(⑳商品別1食労務費!$C$5:$C$124,$W110)=$X110,"OK","⑳に無い商品名"))</f>
        <v/>
      </c>
      <c r="AA110">
        <f>SUMIF(⑳商品別1食労務費!$C$5:$C$124,$R110,⑳商品別1食労務費!$F$5:$F$124)+SUMIF(⑳商品別1食労務費!$C$5:$C$124,$S110,⑳商品別1食労務費!$F$5:$F$124)+SUMIF(⑳商品別1食労務費!$C$5:$C$124,$T110,⑳商品別1食労務費!$F$5:$F$124)+SUMIF(⑳商品別1食労務費!$C$5:$C$124,$U110,⑳商品別1食労務費!$F$5:$F$124)+SUMIF(⑳商品別1食労務費!$C$5:$C$124,$V110,⑳商品別1食労務費!$F$5:$F$124)+SUMIF(⑳商品別1食労務費!$C$5:$C$124,$W110,⑳商品別1食労務費!$F$5:$F$124)</f>
        <v/>
      </c>
      <c r="AB110">
        <f>IF(ISNUMBER($M110),$M110,0)</f>
        <v/>
      </c>
      <c r="AD110" s="413">
        <f>IF($R110="",0,IF($AA110&gt;0,$AB110*SUMIF(⑳商品別1食労務費!$C$5:$C$124,$R110,⑳商品別1食労務費!$F$5:$F$124)/$AA110,$AB110/$X110))</f>
        <v/>
      </c>
      <c r="AE110" s="413">
        <f>IF($S110="",0,IF($AA110&gt;0,$AB110*SUMIF(⑳商品別1食労務費!$C$5:$C$124,$S110,⑳商品別1食労務費!$F$5:$F$124)/$AA110,$AB110/$X110))</f>
        <v/>
      </c>
      <c r="AF110" s="413">
        <f>IF($T110="",0,IF($AA110&gt;0,$AB110*SUMIF(⑳商品別1食労務費!$C$5:$C$124,$T110,⑳商品別1食労務費!$F$5:$F$124)/$AA110,$AB110/$X110))</f>
        <v/>
      </c>
      <c r="AG110" s="413">
        <f>IF($U110="",0,IF($AA110&gt;0,$AB110*SUMIF(⑳商品別1食労務費!$C$5:$C$124,$U110,⑳商品別1食労務費!$F$5:$F$124)/$AA110,$AB110/$X110))</f>
        <v/>
      </c>
      <c r="AH110" s="413">
        <f>IF($V110="",0,IF($AA110&gt;0,$AB110*SUMIF(⑳商品別1食労務費!$C$5:$C$124,$V110,⑳商品別1食労務費!$F$5:$F$124)/$AA110,$AB110/$X110))</f>
        <v/>
      </c>
      <c r="AI110" s="413">
        <f>IF($W110="",0,IF($AA110&gt;0,$AB110*SUMIF(⑳商品別1食労務費!$C$5:$C$124,$W110,⑳商品別1食労務費!$F$5:$F$124)/$AA110,$AB110/$X110))</f>
        <v/>
      </c>
    </row>
    <row r="111" ht="16" customHeight="1" s="438">
      <c r="A111" s="56" t="n">
        <v>107</v>
      </c>
      <c r="B111" s="57" t="n"/>
      <c r="C111" s="5" t="n"/>
      <c r="D111" s="5" t="n"/>
      <c r="E111" s="5" t="n"/>
      <c r="F111" s="58" t="n"/>
      <c r="G111" s="7" t="n"/>
      <c r="H111" s="7" t="n"/>
      <c r="I111" s="7" t="n"/>
      <c r="J111" s="7" t="n"/>
      <c r="K111" s="513">
        <f>IF(F111&gt;0,I111/(F111/60),0)</f>
        <v/>
      </c>
      <c r="L111" s="514">
        <f>IF(AND(ISNUMBER(F111),J111&gt;0),J111/(F111/60),"")</f>
        <v/>
      </c>
      <c r="M111" s="9">
        <f>IF(OR(ISNUMBER(SEARCH("サニテーション",C111)),ISNUMBER(SEARCH("客注",C111)),ISNUMBER(SEARCH("切り替え",C111)),ISNUMBER(SEARCH("切替",C111)),NOT(ISNUMBER(H111))),"",IF(ISNUMBER(G111),G111/60*H111*④前提設定!$B$4,IF(AND(G111="",ISNUMBER(F111)),F111/60*H111*④前提設定!$B$4,"")))</f>
        <v/>
      </c>
      <c r="N111" s="513">
        <f>IF(I111&gt;0,M111/I111,"")</f>
        <v/>
      </c>
      <c r="O111" s="514">
        <f>IF(AND(J111&gt;0,ISNUMBER(M111)),M111/J111,"")</f>
        <v/>
      </c>
      <c r="P111" s="59" t="n"/>
      <c r="Q111" s="60" t="n"/>
      <c r="R111" s="5" t="n"/>
      <c r="S111" s="5" t="n"/>
      <c r="T111" s="5" t="n"/>
      <c r="U111" s="5" t="n"/>
      <c r="V111" s="5" t="n"/>
      <c r="W111" s="5" t="n"/>
      <c r="X111">
        <f>COUNTA(R111:W111)</f>
        <v/>
      </c>
      <c r="Y111">
        <f>IF(AND($X111&gt;0,ISNUMBER($M111)),$M111/$X111,"")</f>
        <v/>
      </c>
      <c r="Z111">
        <f>IF($X111=0,"",IF(COUNTIF(⑳商品別1食労務費!$C$5:$C$124,$R111)+COUNTIF(⑳商品別1食労務費!$C$5:$C$124,$S111)+COUNTIF(⑳商品別1食労務費!$C$5:$C$124,$T111)+COUNTIF(⑳商品別1食労務費!$C$5:$C$124,$U111)+COUNTIF(⑳商品別1食労務費!$C$5:$C$124,$V111)+COUNTIF(⑳商品別1食労務費!$C$5:$C$124,$W111)=$X111,"OK","⑳に無い商品名"))</f>
        <v/>
      </c>
      <c r="AA111">
        <f>SUMIF(⑳商品別1食労務費!$C$5:$C$124,$R111,⑳商品別1食労務費!$F$5:$F$124)+SUMIF(⑳商品別1食労務費!$C$5:$C$124,$S111,⑳商品別1食労務費!$F$5:$F$124)+SUMIF(⑳商品別1食労務費!$C$5:$C$124,$T111,⑳商品別1食労務費!$F$5:$F$124)+SUMIF(⑳商品別1食労務費!$C$5:$C$124,$U111,⑳商品別1食労務費!$F$5:$F$124)+SUMIF(⑳商品別1食労務費!$C$5:$C$124,$V111,⑳商品別1食労務費!$F$5:$F$124)+SUMIF(⑳商品別1食労務費!$C$5:$C$124,$W111,⑳商品別1食労務費!$F$5:$F$124)</f>
        <v/>
      </c>
      <c r="AB111">
        <f>IF(ISNUMBER($M111),$M111,0)</f>
        <v/>
      </c>
      <c r="AD111" s="413">
        <f>IF($R111="",0,IF($AA111&gt;0,$AB111*SUMIF(⑳商品別1食労務費!$C$5:$C$124,$R111,⑳商品別1食労務費!$F$5:$F$124)/$AA111,$AB111/$X111))</f>
        <v/>
      </c>
      <c r="AE111" s="413">
        <f>IF($S111="",0,IF($AA111&gt;0,$AB111*SUMIF(⑳商品別1食労務費!$C$5:$C$124,$S111,⑳商品別1食労務費!$F$5:$F$124)/$AA111,$AB111/$X111))</f>
        <v/>
      </c>
      <c r="AF111" s="413">
        <f>IF($T111="",0,IF($AA111&gt;0,$AB111*SUMIF(⑳商品別1食労務費!$C$5:$C$124,$T111,⑳商品別1食労務費!$F$5:$F$124)/$AA111,$AB111/$X111))</f>
        <v/>
      </c>
      <c r="AG111" s="413">
        <f>IF($U111="",0,IF($AA111&gt;0,$AB111*SUMIF(⑳商品別1食労務費!$C$5:$C$124,$U111,⑳商品別1食労務費!$F$5:$F$124)/$AA111,$AB111/$X111))</f>
        <v/>
      </c>
      <c r="AH111" s="413">
        <f>IF($V111="",0,IF($AA111&gt;0,$AB111*SUMIF(⑳商品別1食労務費!$C$5:$C$124,$V111,⑳商品別1食労務費!$F$5:$F$124)/$AA111,$AB111/$X111))</f>
        <v/>
      </c>
      <c r="AI111" s="413">
        <f>IF($W111="",0,IF($AA111&gt;0,$AB111*SUMIF(⑳商品別1食労務費!$C$5:$C$124,$W111,⑳商品別1食労務費!$F$5:$F$124)/$AA111,$AB111/$X111))</f>
        <v/>
      </c>
    </row>
    <row r="112" ht="16" customHeight="1" s="438">
      <c r="A112" s="56" t="n">
        <v>108</v>
      </c>
      <c r="B112" s="57" t="n"/>
      <c r="C112" s="5" t="n"/>
      <c r="D112" s="5" t="n"/>
      <c r="E112" s="5" t="n"/>
      <c r="F112" s="58" t="n"/>
      <c r="G112" s="7" t="n"/>
      <c r="H112" s="7" t="n"/>
      <c r="I112" s="7" t="n"/>
      <c r="J112" s="7" t="n"/>
      <c r="K112" s="513">
        <f>IF(F112&gt;0,I112/(F112/60),0)</f>
        <v/>
      </c>
      <c r="L112" s="514">
        <f>IF(AND(ISNUMBER(F112),J112&gt;0),J112/(F112/60),"")</f>
        <v/>
      </c>
      <c r="M112" s="9">
        <f>IF(OR(ISNUMBER(SEARCH("サニテーション",C112)),ISNUMBER(SEARCH("客注",C112)),ISNUMBER(SEARCH("切り替え",C112)),ISNUMBER(SEARCH("切替",C112)),NOT(ISNUMBER(H112))),"",IF(ISNUMBER(G112),G112/60*H112*④前提設定!$B$4,IF(AND(G112="",ISNUMBER(F112)),F112/60*H112*④前提設定!$B$4,"")))</f>
        <v/>
      </c>
      <c r="N112" s="513">
        <f>IF(I112&gt;0,M112/I112,"")</f>
        <v/>
      </c>
      <c r="O112" s="514">
        <f>IF(AND(J112&gt;0,ISNUMBER(M112)),M112/J112,"")</f>
        <v/>
      </c>
      <c r="P112" s="59" t="n"/>
      <c r="Q112" s="60" t="n"/>
      <c r="R112" s="5" t="n"/>
      <c r="S112" s="5" t="n"/>
      <c r="T112" s="5" t="n"/>
      <c r="U112" s="5" t="n"/>
      <c r="V112" s="5" t="n"/>
      <c r="W112" s="5" t="n"/>
      <c r="X112">
        <f>COUNTA(R112:W112)</f>
        <v/>
      </c>
      <c r="Y112">
        <f>IF(AND($X112&gt;0,ISNUMBER($M112)),$M112/$X112,"")</f>
        <v/>
      </c>
      <c r="Z112">
        <f>IF($X112=0,"",IF(COUNTIF(⑳商品別1食労務費!$C$5:$C$124,$R112)+COUNTIF(⑳商品別1食労務費!$C$5:$C$124,$S112)+COUNTIF(⑳商品別1食労務費!$C$5:$C$124,$T112)+COUNTIF(⑳商品別1食労務費!$C$5:$C$124,$U112)+COUNTIF(⑳商品別1食労務費!$C$5:$C$124,$V112)+COUNTIF(⑳商品別1食労務費!$C$5:$C$124,$W112)=$X112,"OK","⑳に無い商品名"))</f>
        <v/>
      </c>
      <c r="AA112">
        <f>SUMIF(⑳商品別1食労務費!$C$5:$C$124,$R112,⑳商品別1食労務費!$F$5:$F$124)+SUMIF(⑳商品別1食労務費!$C$5:$C$124,$S112,⑳商品別1食労務費!$F$5:$F$124)+SUMIF(⑳商品別1食労務費!$C$5:$C$124,$T112,⑳商品別1食労務費!$F$5:$F$124)+SUMIF(⑳商品別1食労務費!$C$5:$C$124,$U112,⑳商品別1食労務費!$F$5:$F$124)+SUMIF(⑳商品別1食労務費!$C$5:$C$124,$V112,⑳商品別1食労務費!$F$5:$F$124)+SUMIF(⑳商品別1食労務費!$C$5:$C$124,$W112,⑳商品別1食労務費!$F$5:$F$124)</f>
        <v/>
      </c>
      <c r="AB112">
        <f>IF(ISNUMBER($M112),$M112,0)</f>
        <v/>
      </c>
      <c r="AD112" s="413">
        <f>IF($R112="",0,IF($AA112&gt;0,$AB112*SUMIF(⑳商品別1食労務費!$C$5:$C$124,$R112,⑳商品別1食労務費!$F$5:$F$124)/$AA112,$AB112/$X112))</f>
        <v/>
      </c>
      <c r="AE112" s="413">
        <f>IF($S112="",0,IF($AA112&gt;0,$AB112*SUMIF(⑳商品別1食労務費!$C$5:$C$124,$S112,⑳商品別1食労務費!$F$5:$F$124)/$AA112,$AB112/$X112))</f>
        <v/>
      </c>
      <c r="AF112" s="413">
        <f>IF($T112="",0,IF($AA112&gt;0,$AB112*SUMIF(⑳商品別1食労務費!$C$5:$C$124,$T112,⑳商品別1食労務費!$F$5:$F$124)/$AA112,$AB112/$X112))</f>
        <v/>
      </c>
      <c r="AG112" s="413">
        <f>IF($U112="",0,IF($AA112&gt;0,$AB112*SUMIF(⑳商品別1食労務費!$C$5:$C$124,$U112,⑳商品別1食労務費!$F$5:$F$124)/$AA112,$AB112/$X112))</f>
        <v/>
      </c>
      <c r="AH112" s="413">
        <f>IF($V112="",0,IF($AA112&gt;0,$AB112*SUMIF(⑳商品別1食労務費!$C$5:$C$124,$V112,⑳商品別1食労務費!$F$5:$F$124)/$AA112,$AB112/$X112))</f>
        <v/>
      </c>
      <c r="AI112" s="413">
        <f>IF($W112="",0,IF($AA112&gt;0,$AB112*SUMIF(⑳商品別1食労務費!$C$5:$C$124,$W112,⑳商品別1食労務費!$F$5:$F$124)/$AA112,$AB112/$X112))</f>
        <v/>
      </c>
    </row>
    <row r="113" ht="16" customHeight="1" s="438">
      <c r="A113" s="56" t="n">
        <v>109</v>
      </c>
      <c r="B113" s="57" t="n"/>
      <c r="C113" s="5" t="n"/>
      <c r="D113" s="5" t="n"/>
      <c r="E113" s="5" t="n"/>
      <c r="F113" s="58" t="n"/>
      <c r="G113" s="7" t="n"/>
      <c r="H113" s="7" t="n"/>
      <c r="I113" s="7" t="n"/>
      <c r="J113" s="7" t="n"/>
      <c r="K113" s="513">
        <f>IF(F113&gt;0,I113/(F113/60),0)</f>
        <v/>
      </c>
      <c r="L113" s="514">
        <f>IF(AND(ISNUMBER(F113),J113&gt;0),J113/(F113/60),"")</f>
        <v/>
      </c>
      <c r="M113" s="9">
        <f>IF(OR(ISNUMBER(SEARCH("サニテーション",C113)),ISNUMBER(SEARCH("客注",C113)),ISNUMBER(SEARCH("切り替え",C113)),ISNUMBER(SEARCH("切替",C113)),NOT(ISNUMBER(H113))),"",IF(ISNUMBER(G113),G113/60*H113*④前提設定!$B$4,IF(AND(G113="",ISNUMBER(F113)),F113/60*H113*④前提設定!$B$4,"")))</f>
        <v/>
      </c>
      <c r="N113" s="513">
        <f>IF(I113&gt;0,M113/I113,"")</f>
        <v/>
      </c>
      <c r="O113" s="514">
        <f>IF(AND(J113&gt;0,ISNUMBER(M113)),M113/J113,"")</f>
        <v/>
      </c>
      <c r="P113" s="59" t="n"/>
      <c r="Q113" s="60" t="n"/>
      <c r="R113" s="5" t="n"/>
      <c r="S113" s="5" t="n"/>
      <c r="T113" s="5" t="n"/>
      <c r="U113" s="5" t="n"/>
      <c r="V113" s="5" t="n"/>
      <c r="W113" s="5" t="n"/>
      <c r="X113">
        <f>COUNTA(R113:W113)</f>
        <v/>
      </c>
      <c r="Y113">
        <f>IF(AND($X113&gt;0,ISNUMBER($M113)),$M113/$X113,"")</f>
        <v/>
      </c>
      <c r="Z113">
        <f>IF($X113=0,"",IF(COUNTIF(⑳商品別1食労務費!$C$5:$C$124,$R113)+COUNTIF(⑳商品別1食労務費!$C$5:$C$124,$S113)+COUNTIF(⑳商品別1食労務費!$C$5:$C$124,$T113)+COUNTIF(⑳商品別1食労務費!$C$5:$C$124,$U113)+COUNTIF(⑳商品別1食労務費!$C$5:$C$124,$V113)+COUNTIF(⑳商品別1食労務費!$C$5:$C$124,$W113)=$X113,"OK","⑳に無い商品名"))</f>
        <v/>
      </c>
      <c r="AA113">
        <f>SUMIF(⑳商品別1食労務費!$C$5:$C$124,$R113,⑳商品別1食労務費!$F$5:$F$124)+SUMIF(⑳商品別1食労務費!$C$5:$C$124,$S113,⑳商品別1食労務費!$F$5:$F$124)+SUMIF(⑳商品別1食労務費!$C$5:$C$124,$T113,⑳商品別1食労務費!$F$5:$F$124)+SUMIF(⑳商品別1食労務費!$C$5:$C$124,$U113,⑳商品別1食労務費!$F$5:$F$124)+SUMIF(⑳商品別1食労務費!$C$5:$C$124,$V113,⑳商品別1食労務費!$F$5:$F$124)+SUMIF(⑳商品別1食労務費!$C$5:$C$124,$W113,⑳商品別1食労務費!$F$5:$F$124)</f>
        <v/>
      </c>
      <c r="AB113">
        <f>IF(ISNUMBER($M113),$M113,0)</f>
        <v/>
      </c>
      <c r="AD113" s="413">
        <f>IF($R113="",0,IF($AA113&gt;0,$AB113*SUMIF(⑳商品別1食労務費!$C$5:$C$124,$R113,⑳商品別1食労務費!$F$5:$F$124)/$AA113,$AB113/$X113))</f>
        <v/>
      </c>
      <c r="AE113" s="413">
        <f>IF($S113="",0,IF($AA113&gt;0,$AB113*SUMIF(⑳商品別1食労務費!$C$5:$C$124,$S113,⑳商品別1食労務費!$F$5:$F$124)/$AA113,$AB113/$X113))</f>
        <v/>
      </c>
      <c r="AF113" s="413">
        <f>IF($T113="",0,IF($AA113&gt;0,$AB113*SUMIF(⑳商品別1食労務費!$C$5:$C$124,$T113,⑳商品別1食労務費!$F$5:$F$124)/$AA113,$AB113/$X113))</f>
        <v/>
      </c>
      <c r="AG113" s="413">
        <f>IF($U113="",0,IF($AA113&gt;0,$AB113*SUMIF(⑳商品別1食労務費!$C$5:$C$124,$U113,⑳商品別1食労務費!$F$5:$F$124)/$AA113,$AB113/$X113))</f>
        <v/>
      </c>
      <c r="AH113" s="413">
        <f>IF($V113="",0,IF($AA113&gt;0,$AB113*SUMIF(⑳商品別1食労務費!$C$5:$C$124,$V113,⑳商品別1食労務費!$F$5:$F$124)/$AA113,$AB113/$X113))</f>
        <v/>
      </c>
      <c r="AI113" s="413">
        <f>IF($W113="",0,IF($AA113&gt;0,$AB113*SUMIF(⑳商品別1食労務費!$C$5:$C$124,$W113,⑳商品別1食労務費!$F$5:$F$124)/$AA113,$AB113/$X113))</f>
        <v/>
      </c>
    </row>
    <row r="114" ht="16" customHeight="1" s="438">
      <c r="A114" s="29" t="n">
        <v>110</v>
      </c>
      <c r="B114" s="30" t="n"/>
      <c r="C114" s="5" t="n"/>
      <c r="D114" s="5" t="n"/>
      <c r="E114" s="5" t="n"/>
      <c r="F114" s="31" t="n"/>
      <c r="G114" s="7" t="n"/>
      <c r="H114" s="7" t="n"/>
      <c r="I114" s="7" t="n"/>
      <c r="J114" s="7" t="n"/>
      <c r="K114" s="513">
        <f>IF(F114&gt;0,I114/(F114/60),0)</f>
        <v/>
      </c>
      <c r="L114" s="514">
        <f>IF(AND(ISNUMBER(F114),J114&gt;0),J114/(F114/60),"")</f>
        <v/>
      </c>
      <c r="M114" s="9">
        <f>IF(OR(ISNUMBER(SEARCH("サニテーション",C114)),ISNUMBER(SEARCH("客注",C114)),ISNUMBER(SEARCH("切り替え",C114)),ISNUMBER(SEARCH("切替",C114)),NOT(ISNUMBER(H114))),"",IF(ISNUMBER(G114),G114/60*H114*④前提設定!$B$4,IF(AND(G114="",ISNUMBER(F114)),F114/60*H114*④前提設定!$B$4,"")))</f>
        <v/>
      </c>
      <c r="N114" s="513">
        <f>IF(I114&gt;0,M114/I114,"")</f>
        <v/>
      </c>
      <c r="O114" s="514">
        <f>IF(AND(J114&gt;0,ISNUMBER(M114)),M114/J114,"")</f>
        <v/>
      </c>
      <c r="P114" s="32" t="n"/>
      <c r="Q114" s="33" t="n"/>
      <c r="R114" s="5" t="n"/>
      <c r="S114" s="5" t="n"/>
      <c r="T114" s="5" t="n"/>
      <c r="U114" s="5" t="n"/>
      <c r="V114" s="5" t="n"/>
      <c r="W114" s="5" t="n"/>
      <c r="X114">
        <f>COUNTA(R114:W114)</f>
        <v/>
      </c>
      <c r="Y114">
        <f>IF(AND($X114&gt;0,ISNUMBER($M114)),$M114/$X114,"")</f>
        <v/>
      </c>
      <c r="Z114">
        <f>IF($X114=0,"",IF(COUNTIF(⑳商品別1食労務費!$C$5:$C$124,$R114)+COUNTIF(⑳商品別1食労務費!$C$5:$C$124,$S114)+COUNTIF(⑳商品別1食労務費!$C$5:$C$124,$T114)+COUNTIF(⑳商品別1食労務費!$C$5:$C$124,$U114)+COUNTIF(⑳商品別1食労務費!$C$5:$C$124,$V114)+COUNTIF(⑳商品別1食労務費!$C$5:$C$124,$W114)=$X114,"OK","⑳に無い商品名"))</f>
        <v/>
      </c>
      <c r="AA114">
        <f>SUMIF(⑳商品別1食労務費!$C$5:$C$124,$R114,⑳商品別1食労務費!$F$5:$F$124)+SUMIF(⑳商品別1食労務費!$C$5:$C$124,$S114,⑳商品別1食労務費!$F$5:$F$124)+SUMIF(⑳商品別1食労務費!$C$5:$C$124,$T114,⑳商品別1食労務費!$F$5:$F$124)+SUMIF(⑳商品別1食労務費!$C$5:$C$124,$U114,⑳商品別1食労務費!$F$5:$F$124)+SUMIF(⑳商品別1食労務費!$C$5:$C$124,$V114,⑳商品別1食労務費!$F$5:$F$124)+SUMIF(⑳商品別1食労務費!$C$5:$C$124,$W114,⑳商品別1食労務費!$F$5:$F$124)</f>
        <v/>
      </c>
      <c r="AB114">
        <f>IF(ISNUMBER($M114),$M114,0)</f>
        <v/>
      </c>
      <c r="AD114" s="413">
        <f>IF($R114="",0,IF($AA114&gt;0,$AB114*SUMIF(⑳商品別1食労務費!$C$5:$C$124,$R114,⑳商品別1食労務費!$F$5:$F$124)/$AA114,$AB114/$X114))</f>
        <v/>
      </c>
      <c r="AE114" s="413">
        <f>IF($S114="",0,IF($AA114&gt;0,$AB114*SUMIF(⑳商品別1食労務費!$C$5:$C$124,$S114,⑳商品別1食労務費!$F$5:$F$124)/$AA114,$AB114/$X114))</f>
        <v/>
      </c>
      <c r="AF114" s="413">
        <f>IF($T114="",0,IF($AA114&gt;0,$AB114*SUMIF(⑳商品別1食労務費!$C$5:$C$124,$T114,⑳商品別1食労務費!$F$5:$F$124)/$AA114,$AB114/$X114))</f>
        <v/>
      </c>
      <c r="AG114" s="413">
        <f>IF($U114="",0,IF($AA114&gt;0,$AB114*SUMIF(⑳商品別1食労務費!$C$5:$C$124,$U114,⑳商品別1食労務費!$F$5:$F$124)/$AA114,$AB114/$X114))</f>
        <v/>
      </c>
      <c r="AH114" s="413">
        <f>IF($V114="",0,IF($AA114&gt;0,$AB114*SUMIF(⑳商品別1食労務費!$C$5:$C$124,$V114,⑳商品別1食労務費!$F$5:$F$124)/$AA114,$AB114/$X114))</f>
        <v/>
      </c>
      <c r="AI114" s="413">
        <f>IF($W114="",0,IF($AA114&gt;0,$AB114*SUMIF(⑳商品別1食労務費!$C$5:$C$124,$W114,⑳商品別1食労務費!$F$5:$F$124)/$AA114,$AB114/$X114))</f>
        <v/>
      </c>
    </row>
    <row r="115" ht="16" customHeight="1" s="438">
      <c r="A115" s="29" t="n">
        <v>111</v>
      </c>
      <c r="B115" s="30" t="n"/>
      <c r="C115" s="5" t="n"/>
      <c r="D115" s="5" t="n"/>
      <c r="E115" s="5" t="n"/>
      <c r="F115" s="31" t="n"/>
      <c r="G115" s="7" t="n"/>
      <c r="H115" s="7" t="n"/>
      <c r="I115" s="7" t="n"/>
      <c r="J115" s="7" t="n"/>
      <c r="K115" s="513">
        <f>IF(F115&gt;0,I115/(F115/60),0)</f>
        <v/>
      </c>
      <c r="L115" s="514">
        <f>IF(AND(ISNUMBER(F115),J115&gt;0),J115/(F115/60),"")</f>
        <v/>
      </c>
      <c r="M115" s="9">
        <f>IF(OR(ISNUMBER(SEARCH("サニテーション",C115)),ISNUMBER(SEARCH("客注",C115)),ISNUMBER(SEARCH("切り替え",C115)),ISNUMBER(SEARCH("切替",C115)),NOT(ISNUMBER(H115))),"",IF(ISNUMBER(G115),G115/60*H115*④前提設定!$B$4,IF(AND(G115="",ISNUMBER(F115)),F115/60*H115*④前提設定!$B$4,"")))</f>
        <v/>
      </c>
      <c r="N115" s="513">
        <f>IF(I115&gt;0,M115/I115,"")</f>
        <v/>
      </c>
      <c r="O115" s="514">
        <f>IF(AND(J115&gt;0,ISNUMBER(M115)),M115/J115,"")</f>
        <v/>
      </c>
      <c r="P115" s="32" t="n"/>
      <c r="Q115" s="33" t="n"/>
      <c r="R115" s="5" t="n"/>
      <c r="S115" s="5" t="n"/>
      <c r="T115" s="5" t="n"/>
      <c r="U115" s="5" t="n"/>
      <c r="V115" s="5" t="n"/>
      <c r="W115" s="5" t="n"/>
      <c r="X115">
        <f>COUNTA(R115:W115)</f>
        <v/>
      </c>
      <c r="Y115">
        <f>IF(AND($X115&gt;0,ISNUMBER($M115)),$M115/$X115,"")</f>
        <v/>
      </c>
      <c r="Z115">
        <f>IF($X115=0,"",IF(COUNTIF(⑳商品別1食労務費!$C$5:$C$124,$R115)+COUNTIF(⑳商品別1食労務費!$C$5:$C$124,$S115)+COUNTIF(⑳商品別1食労務費!$C$5:$C$124,$T115)+COUNTIF(⑳商品別1食労務費!$C$5:$C$124,$U115)+COUNTIF(⑳商品別1食労務費!$C$5:$C$124,$V115)+COUNTIF(⑳商品別1食労務費!$C$5:$C$124,$W115)=$X115,"OK","⑳に無い商品名"))</f>
        <v/>
      </c>
      <c r="AA115">
        <f>SUMIF(⑳商品別1食労務費!$C$5:$C$124,$R115,⑳商品別1食労務費!$F$5:$F$124)+SUMIF(⑳商品別1食労務費!$C$5:$C$124,$S115,⑳商品別1食労務費!$F$5:$F$124)+SUMIF(⑳商品別1食労務費!$C$5:$C$124,$T115,⑳商品別1食労務費!$F$5:$F$124)+SUMIF(⑳商品別1食労務費!$C$5:$C$124,$U115,⑳商品別1食労務費!$F$5:$F$124)+SUMIF(⑳商品別1食労務費!$C$5:$C$124,$V115,⑳商品別1食労務費!$F$5:$F$124)+SUMIF(⑳商品別1食労務費!$C$5:$C$124,$W115,⑳商品別1食労務費!$F$5:$F$124)</f>
        <v/>
      </c>
      <c r="AB115">
        <f>IF(ISNUMBER($M115),$M115,0)</f>
        <v/>
      </c>
      <c r="AD115" s="413">
        <f>IF($R115="",0,IF($AA115&gt;0,$AB115*SUMIF(⑳商品別1食労務費!$C$5:$C$124,$R115,⑳商品別1食労務費!$F$5:$F$124)/$AA115,$AB115/$X115))</f>
        <v/>
      </c>
      <c r="AE115" s="413">
        <f>IF($S115="",0,IF($AA115&gt;0,$AB115*SUMIF(⑳商品別1食労務費!$C$5:$C$124,$S115,⑳商品別1食労務費!$F$5:$F$124)/$AA115,$AB115/$X115))</f>
        <v/>
      </c>
      <c r="AF115" s="413">
        <f>IF($T115="",0,IF($AA115&gt;0,$AB115*SUMIF(⑳商品別1食労務費!$C$5:$C$124,$T115,⑳商品別1食労務費!$F$5:$F$124)/$AA115,$AB115/$X115))</f>
        <v/>
      </c>
      <c r="AG115" s="413">
        <f>IF($U115="",0,IF($AA115&gt;0,$AB115*SUMIF(⑳商品別1食労務費!$C$5:$C$124,$U115,⑳商品別1食労務費!$F$5:$F$124)/$AA115,$AB115/$X115))</f>
        <v/>
      </c>
      <c r="AH115" s="413">
        <f>IF($V115="",0,IF($AA115&gt;0,$AB115*SUMIF(⑳商品別1食労務費!$C$5:$C$124,$V115,⑳商品別1食労務費!$F$5:$F$124)/$AA115,$AB115/$X115))</f>
        <v/>
      </c>
      <c r="AI115" s="413">
        <f>IF($W115="",0,IF($AA115&gt;0,$AB115*SUMIF(⑳商品別1食労務費!$C$5:$C$124,$W115,⑳商品別1食労務費!$F$5:$F$124)/$AA115,$AB115/$X115))</f>
        <v/>
      </c>
    </row>
    <row r="116" ht="16" customHeight="1" s="438">
      <c r="A116" s="29" t="n">
        <v>112</v>
      </c>
      <c r="B116" s="30" t="n"/>
      <c r="C116" s="5" t="n"/>
      <c r="D116" s="5" t="n"/>
      <c r="E116" s="5" t="n"/>
      <c r="F116" s="31" t="n"/>
      <c r="G116" s="7" t="n"/>
      <c r="H116" s="7" t="n"/>
      <c r="I116" s="7" t="n"/>
      <c r="J116" s="7" t="n"/>
      <c r="K116" s="513">
        <f>IF(F116&gt;0,I116/(F116/60),0)</f>
        <v/>
      </c>
      <c r="L116" s="514">
        <f>IF(AND(ISNUMBER(F116),J116&gt;0),J116/(F116/60),"")</f>
        <v/>
      </c>
      <c r="M116" s="9">
        <f>IF(OR(ISNUMBER(SEARCH("サニテーション",C116)),ISNUMBER(SEARCH("客注",C116)),ISNUMBER(SEARCH("切り替え",C116)),ISNUMBER(SEARCH("切替",C116)),NOT(ISNUMBER(H116))),"",IF(ISNUMBER(G116),G116/60*H116*④前提設定!$B$4,IF(AND(G116="",ISNUMBER(F116)),F116/60*H116*④前提設定!$B$4,"")))</f>
        <v/>
      </c>
      <c r="N116" s="513">
        <f>IF(I116&gt;0,M116/I116,"")</f>
        <v/>
      </c>
      <c r="O116" s="514">
        <f>IF(AND(J116&gt;0,ISNUMBER(M116)),M116/J116,"")</f>
        <v/>
      </c>
      <c r="P116" s="32" t="n"/>
      <c r="Q116" s="33" t="n"/>
      <c r="R116" s="5" t="n"/>
      <c r="S116" s="5" t="n"/>
      <c r="T116" s="5" t="n"/>
      <c r="U116" s="5" t="n"/>
      <c r="V116" s="5" t="n"/>
      <c r="W116" s="5" t="n"/>
      <c r="X116">
        <f>COUNTA(R116:W116)</f>
        <v/>
      </c>
      <c r="Y116">
        <f>IF(AND($X116&gt;0,ISNUMBER($M116)),$M116/$X116,"")</f>
        <v/>
      </c>
      <c r="Z116">
        <f>IF($X116=0,"",IF(COUNTIF(⑳商品別1食労務費!$C$5:$C$124,$R116)+COUNTIF(⑳商品別1食労務費!$C$5:$C$124,$S116)+COUNTIF(⑳商品別1食労務費!$C$5:$C$124,$T116)+COUNTIF(⑳商品別1食労務費!$C$5:$C$124,$U116)+COUNTIF(⑳商品別1食労務費!$C$5:$C$124,$V116)+COUNTIF(⑳商品別1食労務費!$C$5:$C$124,$W116)=$X116,"OK","⑳に無い商品名"))</f>
        <v/>
      </c>
      <c r="AA116">
        <f>SUMIF(⑳商品別1食労務費!$C$5:$C$124,$R116,⑳商品別1食労務費!$F$5:$F$124)+SUMIF(⑳商品別1食労務費!$C$5:$C$124,$S116,⑳商品別1食労務費!$F$5:$F$124)+SUMIF(⑳商品別1食労務費!$C$5:$C$124,$T116,⑳商品別1食労務費!$F$5:$F$124)+SUMIF(⑳商品別1食労務費!$C$5:$C$124,$U116,⑳商品別1食労務費!$F$5:$F$124)+SUMIF(⑳商品別1食労務費!$C$5:$C$124,$V116,⑳商品別1食労務費!$F$5:$F$124)+SUMIF(⑳商品別1食労務費!$C$5:$C$124,$W116,⑳商品別1食労務費!$F$5:$F$124)</f>
        <v/>
      </c>
      <c r="AB116">
        <f>IF(ISNUMBER($M116),$M116,0)</f>
        <v/>
      </c>
      <c r="AD116" s="413">
        <f>IF($R116="",0,IF($AA116&gt;0,$AB116*SUMIF(⑳商品別1食労務費!$C$5:$C$124,$R116,⑳商品別1食労務費!$F$5:$F$124)/$AA116,$AB116/$X116))</f>
        <v/>
      </c>
      <c r="AE116" s="413">
        <f>IF($S116="",0,IF($AA116&gt;0,$AB116*SUMIF(⑳商品別1食労務費!$C$5:$C$124,$S116,⑳商品別1食労務費!$F$5:$F$124)/$AA116,$AB116/$X116))</f>
        <v/>
      </c>
      <c r="AF116" s="413">
        <f>IF($T116="",0,IF($AA116&gt;0,$AB116*SUMIF(⑳商品別1食労務費!$C$5:$C$124,$T116,⑳商品別1食労務費!$F$5:$F$124)/$AA116,$AB116/$X116))</f>
        <v/>
      </c>
      <c r="AG116" s="413">
        <f>IF($U116="",0,IF($AA116&gt;0,$AB116*SUMIF(⑳商品別1食労務費!$C$5:$C$124,$U116,⑳商品別1食労務費!$F$5:$F$124)/$AA116,$AB116/$X116))</f>
        <v/>
      </c>
      <c r="AH116" s="413">
        <f>IF($V116="",0,IF($AA116&gt;0,$AB116*SUMIF(⑳商品別1食労務費!$C$5:$C$124,$V116,⑳商品別1食労務費!$F$5:$F$124)/$AA116,$AB116/$X116))</f>
        <v/>
      </c>
      <c r="AI116" s="413">
        <f>IF($W116="",0,IF($AA116&gt;0,$AB116*SUMIF(⑳商品別1食労務費!$C$5:$C$124,$W116,⑳商品別1食労務費!$F$5:$F$124)/$AA116,$AB116/$X116))</f>
        <v/>
      </c>
    </row>
    <row r="117" ht="16" customHeight="1" s="438">
      <c r="A117" s="29" t="n">
        <v>113</v>
      </c>
      <c r="B117" s="30" t="n"/>
      <c r="C117" s="5" t="n"/>
      <c r="D117" s="5" t="n"/>
      <c r="E117" s="5" t="n"/>
      <c r="F117" s="31" t="n"/>
      <c r="G117" s="7" t="n"/>
      <c r="H117" s="7" t="n"/>
      <c r="I117" s="7" t="n"/>
      <c r="J117" s="7" t="n"/>
      <c r="K117" s="513">
        <f>IF(F117&gt;0,I117/(F117/60),0)</f>
        <v/>
      </c>
      <c r="L117" s="514">
        <f>IF(AND(ISNUMBER(F117),J117&gt;0),J117/(F117/60),"")</f>
        <v/>
      </c>
      <c r="M117" s="9">
        <f>IF(OR(ISNUMBER(SEARCH("サニテーション",C117)),ISNUMBER(SEARCH("客注",C117)),ISNUMBER(SEARCH("切り替え",C117)),ISNUMBER(SEARCH("切替",C117)),NOT(ISNUMBER(H117))),"",IF(ISNUMBER(G117),G117/60*H117*④前提設定!$B$4,IF(AND(G117="",ISNUMBER(F117)),F117/60*H117*④前提設定!$B$4,"")))</f>
        <v/>
      </c>
      <c r="N117" s="513">
        <f>IF(I117&gt;0,M117/I117,"")</f>
        <v/>
      </c>
      <c r="O117" s="514">
        <f>IF(AND(J117&gt;0,ISNUMBER(M117)),M117/J117,"")</f>
        <v/>
      </c>
      <c r="P117" s="32" t="n"/>
      <c r="Q117" s="33" t="n"/>
      <c r="R117" s="5" t="n"/>
      <c r="S117" s="5" t="n"/>
      <c r="T117" s="5" t="n"/>
      <c r="U117" s="5" t="n"/>
      <c r="V117" s="5" t="n"/>
      <c r="W117" s="5" t="n"/>
      <c r="X117">
        <f>COUNTA(R117:W117)</f>
        <v/>
      </c>
      <c r="Y117">
        <f>IF(AND($X117&gt;0,ISNUMBER($M117)),$M117/$X117,"")</f>
        <v/>
      </c>
      <c r="Z117">
        <f>IF($X117=0,"",IF(COUNTIF(⑳商品別1食労務費!$C$5:$C$124,$R117)+COUNTIF(⑳商品別1食労務費!$C$5:$C$124,$S117)+COUNTIF(⑳商品別1食労務費!$C$5:$C$124,$T117)+COUNTIF(⑳商品別1食労務費!$C$5:$C$124,$U117)+COUNTIF(⑳商品別1食労務費!$C$5:$C$124,$V117)+COUNTIF(⑳商品別1食労務費!$C$5:$C$124,$W117)=$X117,"OK","⑳に無い商品名"))</f>
        <v/>
      </c>
      <c r="AA117">
        <f>SUMIF(⑳商品別1食労務費!$C$5:$C$124,$R117,⑳商品別1食労務費!$F$5:$F$124)+SUMIF(⑳商品別1食労務費!$C$5:$C$124,$S117,⑳商品別1食労務費!$F$5:$F$124)+SUMIF(⑳商品別1食労務費!$C$5:$C$124,$T117,⑳商品別1食労務費!$F$5:$F$124)+SUMIF(⑳商品別1食労務費!$C$5:$C$124,$U117,⑳商品別1食労務費!$F$5:$F$124)+SUMIF(⑳商品別1食労務費!$C$5:$C$124,$V117,⑳商品別1食労務費!$F$5:$F$124)+SUMIF(⑳商品別1食労務費!$C$5:$C$124,$W117,⑳商品別1食労務費!$F$5:$F$124)</f>
        <v/>
      </c>
      <c r="AB117">
        <f>IF(ISNUMBER($M117),$M117,0)</f>
        <v/>
      </c>
      <c r="AD117" s="413">
        <f>IF($R117="",0,IF($AA117&gt;0,$AB117*SUMIF(⑳商品別1食労務費!$C$5:$C$124,$R117,⑳商品別1食労務費!$F$5:$F$124)/$AA117,$AB117/$X117))</f>
        <v/>
      </c>
      <c r="AE117" s="413">
        <f>IF($S117="",0,IF($AA117&gt;0,$AB117*SUMIF(⑳商品別1食労務費!$C$5:$C$124,$S117,⑳商品別1食労務費!$F$5:$F$124)/$AA117,$AB117/$X117))</f>
        <v/>
      </c>
      <c r="AF117" s="413">
        <f>IF($T117="",0,IF($AA117&gt;0,$AB117*SUMIF(⑳商品別1食労務費!$C$5:$C$124,$T117,⑳商品別1食労務費!$F$5:$F$124)/$AA117,$AB117/$X117))</f>
        <v/>
      </c>
      <c r="AG117" s="413">
        <f>IF($U117="",0,IF($AA117&gt;0,$AB117*SUMIF(⑳商品別1食労務費!$C$5:$C$124,$U117,⑳商品別1食労務費!$F$5:$F$124)/$AA117,$AB117/$X117))</f>
        <v/>
      </c>
      <c r="AH117" s="413">
        <f>IF($V117="",0,IF($AA117&gt;0,$AB117*SUMIF(⑳商品別1食労務費!$C$5:$C$124,$V117,⑳商品別1食労務費!$F$5:$F$124)/$AA117,$AB117/$X117))</f>
        <v/>
      </c>
      <c r="AI117" s="413">
        <f>IF($W117="",0,IF($AA117&gt;0,$AB117*SUMIF(⑳商品別1食労務費!$C$5:$C$124,$W117,⑳商品別1食労務費!$F$5:$F$124)/$AA117,$AB117/$X117))</f>
        <v/>
      </c>
    </row>
    <row r="118" ht="16" customHeight="1" s="438">
      <c r="A118" s="29" t="n">
        <v>114</v>
      </c>
      <c r="B118" s="30" t="n"/>
      <c r="C118" s="5" t="n"/>
      <c r="D118" s="5" t="n"/>
      <c r="E118" s="5" t="n"/>
      <c r="F118" s="31" t="n"/>
      <c r="G118" s="7" t="n"/>
      <c r="H118" s="7" t="n"/>
      <c r="I118" s="7" t="n"/>
      <c r="J118" s="7" t="n"/>
      <c r="K118" s="513">
        <f>IF(F118&gt;0,I118/(F118/60),0)</f>
        <v/>
      </c>
      <c r="L118" s="514">
        <f>IF(AND(ISNUMBER(F118),J118&gt;0),J118/(F118/60),"")</f>
        <v/>
      </c>
      <c r="M118" s="9">
        <f>IF(OR(ISNUMBER(SEARCH("サニテーション",C118)),ISNUMBER(SEARCH("客注",C118)),ISNUMBER(SEARCH("切り替え",C118)),ISNUMBER(SEARCH("切替",C118)),NOT(ISNUMBER(H118))),"",IF(ISNUMBER(G118),G118/60*H118*④前提設定!$B$4,IF(AND(G118="",ISNUMBER(F118)),F118/60*H118*④前提設定!$B$4,"")))</f>
        <v/>
      </c>
      <c r="N118" s="513">
        <f>IF(I118&gt;0,M118/I118,"")</f>
        <v/>
      </c>
      <c r="O118" s="514">
        <f>IF(AND(J118&gt;0,ISNUMBER(M118)),M118/J118,"")</f>
        <v/>
      </c>
      <c r="P118" s="32" t="n"/>
      <c r="Q118" s="33" t="n"/>
      <c r="R118" s="5" t="n"/>
      <c r="S118" s="5" t="n"/>
      <c r="T118" s="5" t="n"/>
      <c r="U118" s="5" t="n"/>
      <c r="V118" s="5" t="n"/>
      <c r="W118" s="5" t="n"/>
      <c r="X118">
        <f>COUNTA(R118:W118)</f>
        <v/>
      </c>
      <c r="Y118">
        <f>IF(AND($X118&gt;0,ISNUMBER($M118)),$M118/$X118,"")</f>
        <v/>
      </c>
      <c r="Z118">
        <f>IF($X118=0,"",IF(COUNTIF(⑳商品別1食労務費!$C$5:$C$124,$R118)+COUNTIF(⑳商品別1食労務費!$C$5:$C$124,$S118)+COUNTIF(⑳商品別1食労務費!$C$5:$C$124,$T118)+COUNTIF(⑳商品別1食労務費!$C$5:$C$124,$U118)+COUNTIF(⑳商品別1食労務費!$C$5:$C$124,$V118)+COUNTIF(⑳商品別1食労務費!$C$5:$C$124,$W118)=$X118,"OK","⑳に無い商品名"))</f>
        <v/>
      </c>
      <c r="AA118">
        <f>SUMIF(⑳商品別1食労務費!$C$5:$C$124,$R118,⑳商品別1食労務費!$F$5:$F$124)+SUMIF(⑳商品別1食労務費!$C$5:$C$124,$S118,⑳商品別1食労務費!$F$5:$F$124)+SUMIF(⑳商品別1食労務費!$C$5:$C$124,$T118,⑳商品別1食労務費!$F$5:$F$124)+SUMIF(⑳商品別1食労務費!$C$5:$C$124,$U118,⑳商品別1食労務費!$F$5:$F$124)+SUMIF(⑳商品別1食労務費!$C$5:$C$124,$V118,⑳商品別1食労務費!$F$5:$F$124)+SUMIF(⑳商品別1食労務費!$C$5:$C$124,$W118,⑳商品別1食労務費!$F$5:$F$124)</f>
        <v/>
      </c>
      <c r="AB118">
        <f>IF(ISNUMBER($M118),$M118,0)</f>
        <v/>
      </c>
      <c r="AD118" s="413">
        <f>IF($R118="",0,IF($AA118&gt;0,$AB118*SUMIF(⑳商品別1食労務費!$C$5:$C$124,$R118,⑳商品別1食労務費!$F$5:$F$124)/$AA118,$AB118/$X118))</f>
        <v/>
      </c>
      <c r="AE118" s="413">
        <f>IF($S118="",0,IF($AA118&gt;0,$AB118*SUMIF(⑳商品別1食労務費!$C$5:$C$124,$S118,⑳商品別1食労務費!$F$5:$F$124)/$AA118,$AB118/$X118))</f>
        <v/>
      </c>
      <c r="AF118" s="413">
        <f>IF($T118="",0,IF($AA118&gt;0,$AB118*SUMIF(⑳商品別1食労務費!$C$5:$C$124,$T118,⑳商品別1食労務費!$F$5:$F$124)/$AA118,$AB118/$X118))</f>
        <v/>
      </c>
      <c r="AG118" s="413">
        <f>IF($U118="",0,IF($AA118&gt;0,$AB118*SUMIF(⑳商品別1食労務費!$C$5:$C$124,$U118,⑳商品別1食労務費!$F$5:$F$124)/$AA118,$AB118/$X118))</f>
        <v/>
      </c>
      <c r="AH118" s="413">
        <f>IF($V118="",0,IF($AA118&gt;0,$AB118*SUMIF(⑳商品別1食労務費!$C$5:$C$124,$V118,⑳商品別1食労務費!$F$5:$F$124)/$AA118,$AB118/$X118))</f>
        <v/>
      </c>
      <c r="AI118" s="413">
        <f>IF($W118="",0,IF($AA118&gt;0,$AB118*SUMIF(⑳商品別1食労務費!$C$5:$C$124,$W118,⑳商品別1食労務費!$F$5:$F$124)/$AA118,$AB118/$X118))</f>
        <v/>
      </c>
    </row>
    <row r="119" ht="16" customHeight="1" s="438">
      <c r="A119" s="29" t="n">
        <v>115</v>
      </c>
      <c r="B119" s="30" t="n"/>
      <c r="C119" s="5" t="n"/>
      <c r="D119" s="5" t="n"/>
      <c r="E119" s="5" t="n"/>
      <c r="F119" s="31" t="n"/>
      <c r="G119" s="7" t="n"/>
      <c r="H119" s="7" t="n"/>
      <c r="I119" s="7" t="n"/>
      <c r="J119" s="7" t="n"/>
      <c r="K119" s="513">
        <f>IF(F119&gt;0,I119/(F119/60),0)</f>
        <v/>
      </c>
      <c r="L119" s="514">
        <f>IF(AND(ISNUMBER(F119),J119&gt;0),J119/(F119/60),"")</f>
        <v/>
      </c>
      <c r="M119" s="9">
        <f>IF(OR(ISNUMBER(SEARCH("サニテーション",C119)),ISNUMBER(SEARCH("客注",C119)),ISNUMBER(SEARCH("切り替え",C119)),ISNUMBER(SEARCH("切替",C119)),NOT(ISNUMBER(H119))),"",IF(ISNUMBER(G119),G119/60*H119*④前提設定!$B$4,IF(AND(G119="",ISNUMBER(F119)),F119/60*H119*④前提設定!$B$4,"")))</f>
        <v/>
      </c>
      <c r="N119" s="513">
        <f>IF(I119&gt;0,M119/I119,"")</f>
        <v/>
      </c>
      <c r="O119" s="514">
        <f>IF(AND(J119&gt;0,ISNUMBER(M119)),M119/J119,"")</f>
        <v/>
      </c>
      <c r="P119" s="32" t="n"/>
      <c r="Q119" s="33" t="n"/>
      <c r="R119" s="5" t="n"/>
      <c r="S119" s="5" t="n"/>
      <c r="T119" s="5" t="n"/>
      <c r="U119" s="5" t="n"/>
      <c r="V119" s="5" t="n"/>
      <c r="W119" s="5" t="n"/>
      <c r="X119">
        <f>COUNTA(R119:W119)</f>
        <v/>
      </c>
      <c r="Y119">
        <f>IF(AND($X119&gt;0,ISNUMBER($M119)),$M119/$X119,"")</f>
        <v/>
      </c>
      <c r="Z119">
        <f>IF($X119=0,"",IF(COUNTIF(⑳商品別1食労務費!$C$5:$C$124,$R119)+COUNTIF(⑳商品別1食労務費!$C$5:$C$124,$S119)+COUNTIF(⑳商品別1食労務費!$C$5:$C$124,$T119)+COUNTIF(⑳商品別1食労務費!$C$5:$C$124,$U119)+COUNTIF(⑳商品別1食労務費!$C$5:$C$124,$V119)+COUNTIF(⑳商品別1食労務費!$C$5:$C$124,$W119)=$X119,"OK","⑳に無い商品名"))</f>
        <v/>
      </c>
      <c r="AA119">
        <f>SUMIF(⑳商品別1食労務費!$C$5:$C$124,$R119,⑳商品別1食労務費!$F$5:$F$124)+SUMIF(⑳商品別1食労務費!$C$5:$C$124,$S119,⑳商品別1食労務費!$F$5:$F$124)+SUMIF(⑳商品別1食労務費!$C$5:$C$124,$T119,⑳商品別1食労務費!$F$5:$F$124)+SUMIF(⑳商品別1食労務費!$C$5:$C$124,$U119,⑳商品別1食労務費!$F$5:$F$124)+SUMIF(⑳商品別1食労務費!$C$5:$C$124,$V119,⑳商品別1食労務費!$F$5:$F$124)+SUMIF(⑳商品別1食労務費!$C$5:$C$124,$W119,⑳商品別1食労務費!$F$5:$F$124)</f>
        <v/>
      </c>
      <c r="AB119">
        <f>IF(ISNUMBER($M119),$M119,0)</f>
        <v/>
      </c>
      <c r="AD119" s="413">
        <f>IF($R119="",0,IF($AA119&gt;0,$AB119*SUMIF(⑳商品別1食労務費!$C$5:$C$124,$R119,⑳商品別1食労務費!$F$5:$F$124)/$AA119,$AB119/$X119))</f>
        <v/>
      </c>
      <c r="AE119" s="413">
        <f>IF($S119="",0,IF($AA119&gt;0,$AB119*SUMIF(⑳商品別1食労務費!$C$5:$C$124,$S119,⑳商品別1食労務費!$F$5:$F$124)/$AA119,$AB119/$X119))</f>
        <v/>
      </c>
      <c r="AF119" s="413">
        <f>IF($T119="",0,IF($AA119&gt;0,$AB119*SUMIF(⑳商品別1食労務費!$C$5:$C$124,$T119,⑳商品別1食労務費!$F$5:$F$124)/$AA119,$AB119/$X119))</f>
        <v/>
      </c>
      <c r="AG119" s="413">
        <f>IF($U119="",0,IF($AA119&gt;0,$AB119*SUMIF(⑳商品別1食労務費!$C$5:$C$124,$U119,⑳商品別1食労務費!$F$5:$F$124)/$AA119,$AB119/$X119))</f>
        <v/>
      </c>
      <c r="AH119" s="413">
        <f>IF($V119="",0,IF($AA119&gt;0,$AB119*SUMIF(⑳商品別1食労務費!$C$5:$C$124,$V119,⑳商品別1食労務費!$F$5:$F$124)/$AA119,$AB119/$X119))</f>
        <v/>
      </c>
      <c r="AI119" s="413">
        <f>IF($W119="",0,IF($AA119&gt;0,$AB119*SUMIF(⑳商品別1食労務費!$C$5:$C$124,$W119,⑳商品別1食労務費!$F$5:$F$124)/$AA119,$AB119/$X119))</f>
        <v/>
      </c>
    </row>
    <row r="120" ht="16" customHeight="1" s="438">
      <c r="A120" s="29" t="n">
        <v>116</v>
      </c>
      <c r="B120" s="30" t="n"/>
      <c r="C120" s="5" t="n"/>
      <c r="D120" s="5" t="n"/>
      <c r="E120" s="5" t="n"/>
      <c r="F120" s="31" t="n"/>
      <c r="G120" s="7" t="n"/>
      <c r="H120" s="7" t="n"/>
      <c r="I120" s="7" t="n"/>
      <c r="J120" s="7" t="n"/>
      <c r="K120" s="513">
        <f>IF(F120&gt;0,I120/(F120/60),0)</f>
        <v/>
      </c>
      <c r="L120" s="514">
        <f>IF(AND(ISNUMBER(F120),J120&gt;0),J120/(F120/60),"")</f>
        <v/>
      </c>
      <c r="M120" s="9">
        <f>IF(OR(ISNUMBER(SEARCH("サニテーション",C120)),ISNUMBER(SEARCH("客注",C120)),ISNUMBER(SEARCH("切り替え",C120)),ISNUMBER(SEARCH("切替",C120)),NOT(ISNUMBER(H120))),"",IF(ISNUMBER(G120),G120/60*H120*④前提設定!$B$4,IF(AND(G120="",ISNUMBER(F120)),F120/60*H120*④前提設定!$B$4,"")))</f>
        <v/>
      </c>
      <c r="N120" s="513">
        <f>IF(I120&gt;0,M120/I120,"")</f>
        <v/>
      </c>
      <c r="O120" s="514">
        <f>IF(AND(J120&gt;0,ISNUMBER(M120)),M120/J120,"")</f>
        <v/>
      </c>
      <c r="P120" s="32" t="n"/>
      <c r="Q120" s="33" t="n"/>
      <c r="R120" s="5" t="n"/>
      <c r="S120" s="5" t="n"/>
      <c r="T120" s="5" t="n"/>
      <c r="U120" s="5" t="n"/>
      <c r="V120" s="5" t="n"/>
      <c r="W120" s="5" t="n"/>
      <c r="X120">
        <f>COUNTA(R120:W120)</f>
        <v/>
      </c>
      <c r="Y120">
        <f>IF(AND($X120&gt;0,ISNUMBER($M120)),$M120/$X120,"")</f>
        <v/>
      </c>
      <c r="Z120">
        <f>IF($X120=0,"",IF(COUNTIF(⑳商品別1食労務費!$C$5:$C$124,$R120)+COUNTIF(⑳商品別1食労務費!$C$5:$C$124,$S120)+COUNTIF(⑳商品別1食労務費!$C$5:$C$124,$T120)+COUNTIF(⑳商品別1食労務費!$C$5:$C$124,$U120)+COUNTIF(⑳商品別1食労務費!$C$5:$C$124,$V120)+COUNTIF(⑳商品別1食労務費!$C$5:$C$124,$W120)=$X120,"OK","⑳に無い商品名"))</f>
        <v/>
      </c>
      <c r="AA120">
        <f>SUMIF(⑳商品別1食労務費!$C$5:$C$124,$R120,⑳商品別1食労務費!$F$5:$F$124)+SUMIF(⑳商品別1食労務費!$C$5:$C$124,$S120,⑳商品別1食労務費!$F$5:$F$124)+SUMIF(⑳商品別1食労務費!$C$5:$C$124,$T120,⑳商品別1食労務費!$F$5:$F$124)+SUMIF(⑳商品別1食労務費!$C$5:$C$124,$U120,⑳商品別1食労務費!$F$5:$F$124)+SUMIF(⑳商品別1食労務費!$C$5:$C$124,$V120,⑳商品別1食労務費!$F$5:$F$124)+SUMIF(⑳商品別1食労務費!$C$5:$C$124,$W120,⑳商品別1食労務費!$F$5:$F$124)</f>
        <v/>
      </c>
      <c r="AB120">
        <f>IF(ISNUMBER($M120),$M120,0)</f>
        <v/>
      </c>
      <c r="AD120" s="413">
        <f>IF($R120="",0,IF($AA120&gt;0,$AB120*SUMIF(⑳商品別1食労務費!$C$5:$C$124,$R120,⑳商品別1食労務費!$F$5:$F$124)/$AA120,$AB120/$X120))</f>
        <v/>
      </c>
      <c r="AE120" s="413">
        <f>IF($S120="",0,IF($AA120&gt;0,$AB120*SUMIF(⑳商品別1食労務費!$C$5:$C$124,$S120,⑳商品別1食労務費!$F$5:$F$124)/$AA120,$AB120/$X120))</f>
        <v/>
      </c>
      <c r="AF120" s="413">
        <f>IF($T120="",0,IF($AA120&gt;0,$AB120*SUMIF(⑳商品別1食労務費!$C$5:$C$124,$T120,⑳商品別1食労務費!$F$5:$F$124)/$AA120,$AB120/$X120))</f>
        <v/>
      </c>
      <c r="AG120" s="413">
        <f>IF($U120="",0,IF($AA120&gt;0,$AB120*SUMIF(⑳商品別1食労務費!$C$5:$C$124,$U120,⑳商品別1食労務費!$F$5:$F$124)/$AA120,$AB120/$X120))</f>
        <v/>
      </c>
      <c r="AH120" s="413">
        <f>IF($V120="",0,IF($AA120&gt;0,$AB120*SUMIF(⑳商品別1食労務費!$C$5:$C$124,$V120,⑳商品別1食労務費!$F$5:$F$124)/$AA120,$AB120/$X120))</f>
        <v/>
      </c>
      <c r="AI120" s="413">
        <f>IF($W120="",0,IF($AA120&gt;0,$AB120*SUMIF(⑳商品別1食労務費!$C$5:$C$124,$W120,⑳商品別1食労務費!$F$5:$F$124)/$AA120,$AB120/$X120))</f>
        <v/>
      </c>
    </row>
    <row r="121" ht="16" customHeight="1" s="438">
      <c r="A121" s="29" t="n">
        <v>117</v>
      </c>
      <c r="B121" s="30" t="n"/>
      <c r="C121" s="5" t="n"/>
      <c r="D121" s="5" t="n"/>
      <c r="E121" s="5" t="n"/>
      <c r="F121" s="31" t="n"/>
      <c r="G121" s="7" t="n"/>
      <c r="H121" s="7" t="n"/>
      <c r="I121" s="7" t="n"/>
      <c r="J121" s="7" t="n"/>
      <c r="K121" s="513">
        <f>IF(F121&gt;0,I121/(F121/60),0)</f>
        <v/>
      </c>
      <c r="L121" s="514">
        <f>IF(AND(ISNUMBER(F121),J121&gt;0),J121/(F121/60),"")</f>
        <v/>
      </c>
      <c r="M121" s="9">
        <f>IF(OR(ISNUMBER(SEARCH("サニテーション",C121)),ISNUMBER(SEARCH("客注",C121)),ISNUMBER(SEARCH("切り替え",C121)),ISNUMBER(SEARCH("切替",C121)),NOT(ISNUMBER(H121))),"",IF(ISNUMBER(G121),G121/60*H121*④前提設定!$B$4,IF(AND(G121="",ISNUMBER(F121)),F121/60*H121*④前提設定!$B$4,"")))</f>
        <v/>
      </c>
      <c r="N121" s="513">
        <f>IF(I121&gt;0,M121/I121,"")</f>
        <v/>
      </c>
      <c r="O121" s="514">
        <f>IF(AND(J121&gt;0,ISNUMBER(M121)),M121/J121,"")</f>
        <v/>
      </c>
      <c r="P121" s="32" t="n"/>
      <c r="Q121" s="33" t="n"/>
      <c r="R121" s="5" t="n"/>
      <c r="S121" s="5" t="n"/>
      <c r="T121" s="5" t="n"/>
      <c r="U121" s="5" t="n"/>
      <c r="V121" s="5" t="n"/>
      <c r="W121" s="5" t="n"/>
      <c r="X121">
        <f>COUNTA(R121:W121)</f>
        <v/>
      </c>
      <c r="Y121">
        <f>IF(AND($X121&gt;0,ISNUMBER($M121)),$M121/$X121,"")</f>
        <v/>
      </c>
      <c r="Z121">
        <f>IF($X121=0,"",IF(COUNTIF(⑳商品別1食労務費!$C$5:$C$124,$R121)+COUNTIF(⑳商品別1食労務費!$C$5:$C$124,$S121)+COUNTIF(⑳商品別1食労務費!$C$5:$C$124,$T121)+COUNTIF(⑳商品別1食労務費!$C$5:$C$124,$U121)+COUNTIF(⑳商品別1食労務費!$C$5:$C$124,$V121)+COUNTIF(⑳商品別1食労務費!$C$5:$C$124,$W121)=$X121,"OK","⑳に無い商品名"))</f>
        <v/>
      </c>
      <c r="AA121">
        <f>SUMIF(⑳商品別1食労務費!$C$5:$C$124,$R121,⑳商品別1食労務費!$F$5:$F$124)+SUMIF(⑳商品別1食労務費!$C$5:$C$124,$S121,⑳商品別1食労務費!$F$5:$F$124)+SUMIF(⑳商品別1食労務費!$C$5:$C$124,$T121,⑳商品別1食労務費!$F$5:$F$124)+SUMIF(⑳商品別1食労務費!$C$5:$C$124,$U121,⑳商品別1食労務費!$F$5:$F$124)+SUMIF(⑳商品別1食労務費!$C$5:$C$124,$V121,⑳商品別1食労務費!$F$5:$F$124)+SUMIF(⑳商品別1食労務費!$C$5:$C$124,$W121,⑳商品別1食労務費!$F$5:$F$124)</f>
        <v/>
      </c>
      <c r="AB121">
        <f>IF(ISNUMBER($M121),$M121,0)</f>
        <v/>
      </c>
      <c r="AD121" s="413">
        <f>IF($R121="",0,IF($AA121&gt;0,$AB121*SUMIF(⑳商品別1食労務費!$C$5:$C$124,$R121,⑳商品別1食労務費!$F$5:$F$124)/$AA121,$AB121/$X121))</f>
        <v/>
      </c>
      <c r="AE121" s="413">
        <f>IF($S121="",0,IF($AA121&gt;0,$AB121*SUMIF(⑳商品別1食労務費!$C$5:$C$124,$S121,⑳商品別1食労務費!$F$5:$F$124)/$AA121,$AB121/$X121))</f>
        <v/>
      </c>
      <c r="AF121" s="413">
        <f>IF($T121="",0,IF($AA121&gt;0,$AB121*SUMIF(⑳商品別1食労務費!$C$5:$C$124,$T121,⑳商品別1食労務費!$F$5:$F$124)/$AA121,$AB121/$X121))</f>
        <v/>
      </c>
      <c r="AG121" s="413">
        <f>IF($U121="",0,IF($AA121&gt;0,$AB121*SUMIF(⑳商品別1食労務費!$C$5:$C$124,$U121,⑳商品別1食労務費!$F$5:$F$124)/$AA121,$AB121/$X121))</f>
        <v/>
      </c>
      <c r="AH121" s="413">
        <f>IF($V121="",0,IF($AA121&gt;0,$AB121*SUMIF(⑳商品別1食労務費!$C$5:$C$124,$V121,⑳商品別1食労務費!$F$5:$F$124)/$AA121,$AB121/$X121))</f>
        <v/>
      </c>
      <c r="AI121" s="413">
        <f>IF($W121="",0,IF($AA121&gt;0,$AB121*SUMIF(⑳商品別1食労務費!$C$5:$C$124,$W121,⑳商品別1食労務費!$F$5:$F$124)/$AA121,$AB121/$X121))</f>
        <v/>
      </c>
    </row>
    <row r="122" ht="16" customHeight="1" s="438">
      <c r="A122" s="29" t="n">
        <v>118</v>
      </c>
      <c r="B122" s="30" t="n"/>
      <c r="C122" s="5" t="n"/>
      <c r="D122" s="5" t="n"/>
      <c r="E122" s="5" t="n"/>
      <c r="F122" s="31" t="n"/>
      <c r="G122" s="7" t="n"/>
      <c r="H122" s="7" t="n"/>
      <c r="I122" s="7" t="n"/>
      <c r="J122" s="7" t="n"/>
      <c r="K122" s="513">
        <f>IF(F122&gt;0,I122/(F122/60),0)</f>
        <v/>
      </c>
      <c r="L122" s="514">
        <f>IF(AND(ISNUMBER(F122),J122&gt;0),J122/(F122/60),"")</f>
        <v/>
      </c>
      <c r="M122" s="9">
        <f>IF(OR(ISNUMBER(SEARCH("サニテーション",C122)),ISNUMBER(SEARCH("客注",C122)),ISNUMBER(SEARCH("切り替え",C122)),ISNUMBER(SEARCH("切替",C122)),NOT(ISNUMBER(H122))),"",IF(ISNUMBER(G122),G122/60*H122*④前提設定!$B$4,IF(AND(G122="",ISNUMBER(F122)),F122/60*H122*④前提設定!$B$4,"")))</f>
        <v/>
      </c>
      <c r="N122" s="513">
        <f>IF(I122&gt;0,M122/I122,"")</f>
        <v/>
      </c>
      <c r="O122" s="514">
        <f>IF(AND(J122&gt;0,ISNUMBER(M122)),M122/J122,"")</f>
        <v/>
      </c>
      <c r="P122" s="32" t="n"/>
      <c r="Q122" s="33" t="n"/>
      <c r="R122" s="5" t="n"/>
      <c r="S122" s="5" t="n"/>
      <c r="T122" s="5" t="n"/>
      <c r="U122" s="5" t="n"/>
      <c r="V122" s="5" t="n"/>
      <c r="W122" s="5" t="n"/>
      <c r="X122">
        <f>COUNTA(R122:W122)</f>
        <v/>
      </c>
      <c r="Y122">
        <f>IF(AND($X122&gt;0,ISNUMBER($M122)),$M122/$X122,"")</f>
        <v/>
      </c>
      <c r="Z122">
        <f>IF($X122=0,"",IF(COUNTIF(⑳商品別1食労務費!$C$5:$C$124,$R122)+COUNTIF(⑳商品別1食労務費!$C$5:$C$124,$S122)+COUNTIF(⑳商品別1食労務費!$C$5:$C$124,$T122)+COUNTIF(⑳商品別1食労務費!$C$5:$C$124,$U122)+COUNTIF(⑳商品別1食労務費!$C$5:$C$124,$V122)+COUNTIF(⑳商品別1食労務費!$C$5:$C$124,$W122)=$X122,"OK","⑳に無い商品名"))</f>
        <v/>
      </c>
      <c r="AA122">
        <f>SUMIF(⑳商品別1食労務費!$C$5:$C$124,$R122,⑳商品別1食労務費!$F$5:$F$124)+SUMIF(⑳商品別1食労務費!$C$5:$C$124,$S122,⑳商品別1食労務費!$F$5:$F$124)+SUMIF(⑳商品別1食労務費!$C$5:$C$124,$T122,⑳商品別1食労務費!$F$5:$F$124)+SUMIF(⑳商品別1食労務費!$C$5:$C$124,$U122,⑳商品別1食労務費!$F$5:$F$124)+SUMIF(⑳商品別1食労務費!$C$5:$C$124,$V122,⑳商品別1食労務費!$F$5:$F$124)+SUMIF(⑳商品別1食労務費!$C$5:$C$124,$W122,⑳商品別1食労務費!$F$5:$F$124)</f>
        <v/>
      </c>
      <c r="AB122">
        <f>IF(ISNUMBER($M122),$M122,0)</f>
        <v/>
      </c>
      <c r="AD122" s="413">
        <f>IF($R122="",0,IF($AA122&gt;0,$AB122*SUMIF(⑳商品別1食労務費!$C$5:$C$124,$R122,⑳商品別1食労務費!$F$5:$F$124)/$AA122,$AB122/$X122))</f>
        <v/>
      </c>
      <c r="AE122" s="413">
        <f>IF($S122="",0,IF($AA122&gt;0,$AB122*SUMIF(⑳商品別1食労務費!$C$5:$C$124,$S122,⑳商品別1食労務費!$F$5:$F$124)/$AA122,$AB122/$X122))</f>
        <v/>
      </c>
      <c r="AF122" s="413">
        <f>IF($T122="",0,IF($AA122&gt;0,$AB122*SUMIF(⑳商品別1食労務費!$C$5:$C$124,$T122,⑳商品別1食労務費!$F$5:$F$124)/$AA122,$AB122/$X122))</f>
        <v/>
      </c>
      <c r="AG122" s="413">
        <f>IF($U122="",0,IF($AA122&gt;0,$AB122*SUMIF(⑳商品別1食労務費!$C$5:$C$124,$U122,⑳商品別1食労務費!$F$5:$F$124)/$AA122,$AB122/$X122))</f>
        <v/>
      </c>
      <c r="AH122" s="413">
        <f>IF($V122="",0,IF($AA122&gt;0,$AB122*SUMIF(⑳商品別1食労務費!$C$5:$C$124,$V122,⑳商品別1食労務費!$F$5:$F$124)/$AA122,$AB122/$X122))</f>
        <v/>
      </c>
      <c r="AI122" s="413">
        <f>IF($W122="",0,IF($AA122&gt;0,$AB122*SUMIF(⑳商品別1食労務費!$C$5:$C$124,$W122,⑳商品別1食労務費!$F$5:$F$124)/$AA122,$AB122/$X122))</f>
        <v/>
      </c>
    </row>
    <row r="123" ht="16" customHeight="1" s="438">
      <c r="A123" s="29" t="n">
        <v>119</v>
      </c>
      <c r="B123" s="30" t="n"/>
      <c r="C123" s="5" t="n"/>
      <c r="D123" s="5" t="n"/>
      <c r="E123" s="5" t="n"/>
      <c r="F123" s="31" t="n"/>
      <c r="G123" s="7" t="n"/>
      <c r="H123" s="7" t="n"/>
      <c r="I123" s="7" t="n"/>
      <c r="J123" s="7" t="n"/>
      <c r="K123" s="513">
        <f>IF(F123&gt;0,I123/(F123/60),0)</f>
        <v/>
      </c>
      <c r="L123" s="514">
        <f>IF(AND(ISNUMBER(F123),J123&gt;0),J123/(F123/60),"")</f>
        <v/>
      </c>
      <c r="M123" s="9">
        <f>IF(OR(ISNUMBER(SEARCH("サニテーション",C123)),ISNUMBER(SEARCH("客注",C123)),ISNUMBER(SEARCH("切り替え",C123)),ISNUMBER(SEARCH("切替",C123)),NOT(ISNUMBER(H123))),"",IF(ISNUMBER(G123),G123/60*H123*④前提設定!$B$4,IF(AND(G123="",ISNUMBER(F123)),F123/60*H123*④前提設定!$B$4,"")))</f>
        <v/>
      </c>
      <c r="N123" s="513">
        <f>IF(I123&gt;0,M123/I123,"")</f>
        <v/>
      </c>
      <c r="O123" s="514">
        <f>IF(AND(J123&gt;0,ISNUMBER(M123)),M123/J123,"")</f>
        <v/>
      </c>
      <c r="P123" s="32" t="n"/>
      <c r="Q123" s="33" t="n"/>
      <c r="R123" s="5" t="n"/>
      <c r="S123" s="5" t="n"/>
      <c r="T123" s="5" t="n"/>
      <c r="U123" s="5" t="n"/>
      <c r="V123" s="5" t="n"/>
      <c r="W123" s="5" t="n"/>
      <c r="X123">
        <f>COUNTA(R123:W123)</f>
        <v/>
      </c>
      <c r="Y123">
        <f>IF(AND($X123&gt;0,ISNUMBER($M123)),$M123/$X123,"")</f>
        <v/>
      </c>
      <c r="Z123">
        <f>IF($X123=0,"",IF(COUNTIF(⑳商品別1食労務費!$C$5:$C$124,$R123)+COUNTIF(⑳商品別1食労務費!$C$5:$C$124,$S123)+COUNTIF(⑳商品別1食労務費!$C$5:$C$124,$T123)+COUNTIF(⑳商品別1食労務費!$C$5:$C$124,$U123)+COUNTIF(⑳商品別1食労務費!$C$5:$C$124,$V123)+COUNTIF(⑳商品別1食労務費!$C$5:$C$124,$W123)=$X123,"OK","⑳に無い商品名"))</f>
        <v/>
      </c>
      <c r="AA123">
        <f>SUMIF(⑳商品別1食労務費!$C$5:$C$124,$R123,⑳商品別1食労務費!$F$5:$F$124)+SUMIF(⑳商品別1食労務費!$C$5:$C$124,$S123,⑳商品別1食労務費!$F$5:$F$124)+SUMIF(⑳商品別1食労務費!$C$5:$C$124,$T123,⑳商品別1食労務費!$F$5:$F$124)+SUMIF(⑳商品別1食労務費!$C$5:$C$124,$U123,⑳商品別1食労務費!$F$5:$F$124)+SUMIF(⑳商品別1食労務費!$C$5:$C$124,$V123,⑳商品別1食労務費!$F$5:$F$124)+SUMIF(⑳商品別1食労務費!$C$5:$C$124,$W123,⑳商品別1食労務費!$F$5:$F$124)</f>
        <v/>
      </c>
      <c r="AB123">
        <f>IF(ISNUMBER($M123),$M123,0)</f>
        <v/>
      </c>
      <c r="AD123" s="413">
        <f>IF($R123="",0,IF($AA123&gt;0,$AB123*SUMIF(⑳商品別1食労務費!$C$5:$C$124,$R123,⑳商品別1食労務費!$F$5:$F$124)/$AA123,$AB123/$X123))</f>
        <v/>
      </c>
      <c r="AE123" s="413">
        <f>IF($S123="",0,IF($AA123&gt;0,$AB123*SUMIF(⑳商品別1食労務費!$C$5:$C$124,$S123,⑳商品別1食労務費!$F$5:$F$124)/$AA123,$AB123/$X123))</f>
        <v/>
      </c>
      <c r="AF123" s="413">
        <f>IF($T123="",0,IF($AA123&gt;0,$AB123*SUMIF(⑳商品別1食労務費!$C$5:$C$124,$T123,⑳商品別1食労務費!$F$5:$F$124)/$AA123,$AB123/$X123))</f>
        <v/>
      </c>
      <c r="AG123" s="413">
        <f>IF($U123="",0,IF($AA123&gt;0,$AB123*SUMIF(⑳商品別1食労務費!$C$5:$C$124,$U123,⑳商品別1食労務費!$F$5:$F$124)/$AA123,$AB123/$X123))</f>
        <v/>
      </c>
      <c r="AH123" s="413">
        <f>IF($V123="",0,IF($AA123&gt;0,$AB123*SUMIF(⑳商品別1食労務費!$C$5:$C$124,$V123,⑳商品別1食労務費!$F$5:$F$124)/$AA123,$AB123/$X123))</f>
        <v/>
      </c>
      <c r="AI123" s="413">
        <f>IF($W123="",0,IF($AA123&gt;0,$AB123*SUMIF(⑳商品別1食労務費!$C$5:$C$124,$W123,⑳商品別1食労務費!$F$5:$F$124)/$AA123,$AB123/$X123))</f>
        <v/>
      </c>
    </row>
    <row r="124" ht="16" customHeight="1" s="438">
      <c r="A124" s="29" t="n">
        <v>120</v>
      </c>
      <c r="B124" s="30" t="n"/>
      <c r="C124" s="5" t="n"/>
      <c r="D124" s="5" t="n"/>
      <c r="E124" s="5" t="n"/>
      <c r="F124" s="31" t="n"/>
      <c r="G124" s="7" t="n"/>
      <c r="H124" s="7" t="n"/>
      <c r="I124" s="7" t="n"/>
      <c r="J124" s="7" t="n"/>
      <c r="K124" s="513">
        <f>IF(F124&gt;0,I124/(F124/60),0)</f>
        <v/>
      </c>
      <c r="L124" s="514">
        <f>IF(AND(ISNUMBER(F124),J124&gt;0),J124/(F124/60),"")</f>
        <v/>
      </c>
      <c r="M124" s="9">
        <f>IF(OR(ISNUMBER(SEARCH("サニテーション",C124)),ISNUMBER(SEARCH("客注",C124)),ISNUMBER(SEARCH("切り替え",C124)),ISNUMBER(SEARCH("切替",C124)),NOT(ISNUMBER(H124))),"",IF(ISNUMBER(G124),G124/60*H124*④前提設定!$B$4,IF(AND(G124="",ISNUMBER(F124)),F124/60*H124*④前提設定!$B$4,"")))</f>
        <v/>
      </c>
      <c r="N124" s="513">
        <f>IF(I124&gt;0,M124/I124,"")</f>
        <v/>
      </c>
      <c r="O124" s="514">
        <f>IF(AND(J124&gt;0,ISNUMBER(M124)),M124/J124,"")</f>
        <v/>
      </c>
      <c r="P124" s="32" t="n"/>
      <c r="Q124" s="33" t="n"/>
      <c r="R124" s="5" t="n"/>
      <c r="S124" s="5" t="n"/>
      <c r="T124" s="5" t="n"/>
      <c r="U124" s="5" t="n"/>
      <c r="V124" s="5" t="n"/>
      <c r="W124" s="5" t="n"/>
      <c r="X124">
        <f>COUNTA(R124:W124)</f>
        <v/>
      </c>
      <c r="Y124">
        <f>IF(AND($X124&gt;0,ISNUMBER($M124)),$M124/$X124,"")</f>
        <v/>
      </c>
      <c r="Z124">
        <f>IF($X124=0,"",IF(COUNTIF(⑳商品別1食労務費!$C$5:$C$124,$R124)+COUNTIF(⑳商品別1食労務費!$C$5:$C$124,$S124)+COUNTIF(⑳商品別1食労務費!$C$5:$C$124,$T124)+COUNTIF(⑳商品別1食労務費!$C$5:$C$124,$U124)+COUNTIF(⑳商品別1食労務費!$C$5:$C$124,$V124)+COUNTIF(⑳商品別1食労務費!$C$5:$C$124,$W124)=$X124,"OK","⑳に無い商品名"))</f>
        <v/>
      </c>
      <c r="AA124">
        <f>SUMIF(⑳商品別1食労務費!$C$5:$C$124,$R124,⑳商品別1食労務費!$F$5:$F$124)+SUMIF(⑳商品別1食労務費!$C$5:$C$124,$S124,⑳商品別1食労務費!$F$5:$F$124)+SUMIF(⑳商品別1食労務費!$C$5:$C$124,$T124,⑳商品別1食労務費!$F$5:$F$124)+SUMIF(⑳商品別1食労務費!$C$5:$C$124,$U124,⑳商品別1食労務費!$F$5:$F$124)+SUMIF(⑳商品別1食労務費!$C$5:$C$124,$V124,⑳商品別1食労務費!$F$5:$F$124)+SUMIF(⑳商品別1食労務費!$C$5:$C$124,$W124,⑳商品別1食労務費!$F$5:$F$124)</f>
        <v/>
      </c>
      <c r="AB124">
        <f>IF(ISNUMBER($M124),$M124,0)</f>
        <v/>
      </c>
      <c r="AD124" s="413">
        <f>IF($R124="",0,IF($AA124&gt;0,$AB124*SUMIF(⑳商品別1食労務費!$C$5:$C$124,$R124,⑳商品別1食労務費!$F$5:$F$124)/$AA124,$AB124/$X124))</f>
        <v/>
      </c>
      <c r="AE124" s="413">
        <f>IF($S124="",0,IF($AA124&gt;0,$AB124*SUMIF(⑳商品別1食労務費!$C$5:$C$124,$S124,⑳商品別1食労務費!$F$5:$F$124)/$AA124,$AB124/$X124))</f>
        <v/>
      </c>
      <c r="AF124" s="413">
        <f>IF($T124="",0,IF($AA124&gt;0,$AB124*SUMIF(⑳商品別1食労務費!$C$5:$C$124,$T124,⑳商品別1食労務費!$F$5:$F$124)/$AA124,$AB124/$X124))</f>
        <v/>
      </c>
      <c r="AG124" s="413">
        <f>IF($U124="",0,IF($AA124&gt;0,$AB124*SUMIF(⑳商品別1食労務費!$C$5:$C$124,$U124,⑳商品別1食労務費!$F$5:$F$124)/$AA124,$AB124/$X124))</f>
        <v/>
      </c>
      <c r="AH124" s="413">
        <f>IF($V124="",0,IF($AA124&gt;0,$AB124*SUMIF(⑳商品別1食労務費!$C$5:$C$124,$V124,⑳商品別1食労務費!$F$5:$F$124)/$AA124,$AB124/$X124))</f>
        <v/>
      </c>
      <c r="AI124" s="413">
        <f>IF($W124="",0,IF($AA124&gt;0,$AB124*SUMIF(⑳商品別1食労務費!$C$5:$C$124,$W124,⑳商品別1食労務費!$F$5:$F$124)/$AA124,$AB124/$X124))</f>
        <v/>
      </c>
    </row>
    <row r="125" ht="16" customHeight="1" s="438">
      <c r="A125" s="29" t="n">
        <v>121</v>
      </c>
      <c r="B125" s="30" t="n"/>
      <c r="C125" s="5" t="n"/>
      <c r="D125" s="5" t="n"/>
      <c r="E125" s="5" t="n"/>
      <c r="F125" s="31" t="n"/>
      <c r="G125" s="7" t="n"/>
      <c r="H125" s="7" t="n"/>
      <c r="I125" s="7" t="n"/>
      <c r="J125" s="7" t="n"/>
      <c r="K125" s="513">
        <f>IF(F125&gt;0,I125/(F125/60),0)</f>
        <v/>
      </c>
      <c r="L125" s="514">
        <f>IF(AND(ISNUMBER(F125),J125&gt;0),J125/(F125/60),"")</f>
        <v/>
      </c>
      <c r="M125" s="9">
        <f>IF(OR(ISNUMBER(SEARCH("サニテーション",C125)),ISNUMBER(SEARCH("客注",C125)),ISNUMBER(SEARCH("切り替え",C125)),ISNUMBER(SEARCH("切替",C125)),NOT(ISNUMBER(H125))),"",IF(ISNUMBER(G125),G125/60*H125*④前提設定!$B$4,IF(AND(G125="",ISNUMBER(F125)),F125/60*H125*④前提設定!$B$4,"")))</f>
        <v/>
      </c>
      <c r="N125" s="513">
        <f>IF(I125&gt;0,M125/I125,"")</f>
        <v/>
      </c>
      <c r="O125" s="514">
        <f>IF(AND(J125&gt;0,ISNUMBER(M125)),M125/J125,"")</f>
        <v/>
      </c>
      <c r="P125" s="32" t="n"/>
      <c r="Q125" s="33" t="n"/>
      <c r="R125" s="5" t="n"/>
      <c r="S125" s="5" t="n"/>
      <c r="T125" s="5" t="n"/>
      <c r="U125" s="5" t="n"/>
      <c r="V125" s="5" t="n"/>
      <c r="W125" s="5" t="n"/>
      <c r="X125">
        <f>COUNTA(R125:W125)</f>
        <v/>
      </c>
      <c r="Y125">
        <f>IF(AND($X125&gt;0,ISNUMBER($M125)),$M125/$X125,"")</f>
        <v/>
      </c>
      <c r="Z125">
        <f>IF($X125=0,"",IF(COUNTIF(⑳商品別1食労務費!$C$5:$C$124,$R125)+COUNTIF(⑳商品別1食労務費!$C$5:$C$124,$S125)+COUNTIF(⑳商品別1食労務費!$C$5:$C$124,$T125)+COUNTIF(⑳商品別1食労務費!$C$5:$C$124,$U125)+COUNTIF(⑳商品別1食労務費!$C$5:$C$124,$V125)+COUNTIF(⑳商品別1食労務費!$C$5:$C$124,$W125)=$X125,"OK","⑳に無い商品名"))</f>
        <v/>
      </c>
      <c r="AA125">
        <f>SUMIF(⑳商品別1食労務費!$C$5:$C$124,$R125,⑳商品別1食労務費!$F$5:$F$124)+SUMIF(⑳商品別1食労務費!$C$5:$C$124,$S125,⑳商品別1食労務費!$F$5:$F$124)+SUMIF(⑳商品別1食労務費!$C$5:$C$124,$T125,⑳商品別1食労務費!$F$5:$F$124)+SUMIF(⑳商品別1食労務費!$C$5:$C$124,$U125,⑳商品別1食労務費!$F$5:$F$124)+SUMIF(⑳商品別1食労務費!$C$5:$C$124,$V125,⑳商品別1食労務費!$F$5:$F$124)+SUMIF(⑳商品別1食労務費!$C$5:$C$124,$W125,⑳商品別1食労務費!$F$5:$F$124)</f>
        <v/>
      </c>
      <c r="AB125">
        <f>IF(ISNUMBER($M125),$M125,0)</f>
        <v/>
      </c>
      <c r="AD125" s="413">
        <f>IF($R125="",0,IF($AA125&gt;0,$AB125*SUMIF(⑳商品別1食労務費!$C$5:$C$124,$R125,⑳商品別1食労務費!$F$5:$F$124)/$AA125,$AB125/$X125))</f>
        <v/>
      </c>
      <c r="AE125" s="413">
        <f>IF($S125="",0,IF($AA125&gt;0,$AB125*SUMIF(⑳商品別1食労務費!$C$5:$C$124,$S125,⑳商品別1食労務費!$F$5:$F$124)/$AA125,$AB125/$X125))</f>
        <v/>
      </c>
      <c r="AF125" s="413">
        <f>IF($T125="",0,IF($AA125&gt;0,$AB125*SUMIF(⑳商品別1食労務費!$C$5:$C$124,$T125,⑳商品別1食労務費!$F$5:$F$124)/$AA125,$AB125/$X125))</f>
        <v/>
      </c>
      <c r="AG125" s="413">
        <f>IF($U125="",0,IF($AA125&gt;0,$AB125*SUMIF(⑳商品別1食労務費!$C$5:$C$124,$U125,⑳商品別1食労務費!$F$5:$F$124)/$AA125,$AB125/$X125))</f>
        <v/>
      </c>
      <c r="AH125" s="413">
        <f>IF($V125="",0,IF($AA125&gt;0,$AB125*SUMIF(⑳商品別1食労務費!$C$5:$C$124,$V125,⑳商品別1食労務費!$F$5:$F$124)/$AA125,$AB125/$X125))</f>
        <v/>
      </c>
      <c r="AI125" s="413">
        <f>IF($W125="",0,IF($AA125&gt;0,$AB125*SUMIF(⑳商品別1食労務費!$C$5:$C$124,$W125,⑳商品別1食労務費!$F$5:$F$124)/$AA125,$AB125/$X125))</f>
        <v/>
      </c>
    </row>
    <row r="126" ht="16" customHeight="1" s="438">
      <c r="A126" s="29" t="n">
        <v>122</v>
      </c>
      <c r="B126" s="30" t="n"/>
      <c r="C126" s="5" t="n"/>
      <c r="D126" s="5" t="n"/>
      <c r="E126" s="5" t="n"/>
      <c r="F126" s="31" t="n"/>
      <c r="G126" s="7" t="n"/>
      <c r="H126" s="7" t="n"/>
      <c r="I126" s="7" t="n"/>
      <c r="J126" s="7" t="n"/>
      <c r="K126" s="513">
        <f>IF(F126&gt;0,I126/(F126/60),0)</f>
        <v/>
      </c>
      <c r="L126" s="514">
        <f>IF(AND(ISNUMBER(F126),J126&gt;0),J126/(F126/60),"")</f>
        <v/>
      </c>
      <c r="M126" s="9">
        <f>IF(OR(ISNUMBER(SEARCH("サニテーション",C126)),ISNUMBER(SEARCH("客注",C126)),ISNUMBER(SEARCH("切り替え",C126)),ISNUMBER(SEARCH("切替",C126)),NOT(ISNUMBER(H126))),"",IF(ISNUMBER(G126),G126/60*H126*④前提設定!$B$4,IF(AND(G126="",ISNUMBER(F126)),F126/60*H126*④前提設定!$B$4,"")))</f>
        <v/>
      </c>
      <c r="N126" s="513">
        <f>IF(I126&gt;0,M126/I126,"")</f>
        <v/>
      </c>
      <c r="O126" s="514">
        <f>IF(AND(J126&gt;0,ISNUMBER(M126)),M126/J126,"")</f>
        <v/>
      </c>
      <c r="P126" s="32" t="n"/>
      <c r="Q126" s="33" t="n"/>
      <c r="R126" s="5" t="n"/>
      <c r="S126" s="5" t="n"/>
      <c r="T126" s="5" t="n"/>
      <c r="U126" s="5" t="n"/>
      <c r="V126" s="5" t="n"/>
      <c r="W126" s="5" t="n"/>
      <c r="X126">
        <f>COUNTA(R126:W126)</f>
        <v/>
      </c>
      <c r="Y126">
        <f>IF(AND($X126&gt;0,ISNUMBER($M126)),$M126/$X126,"")</f>
        <v/>
      </c>
      <c r="Z126">
        <f>IF($X126=0,"",IF(COUNTIF(⑳商品別1食労務費!$C$5:$C$124,$R126)+COUNTIF(⑳商品別1食労務費!$C$5:$C$124,$S126)+COUNTIF(⑳商品別1食労務費!$C$5:$C$124,$T126)+COUNTIF(⑳商品別1食労務費!$C$5:$C$124,$U126)+COUNTIF(⑳商品別1食労務費!$C$5:$C$124,$V126)+COUNTIF(⑳商品別1食労務費!$C$5:$C$124,$W126)=$X126,"OK","⑳に無い商品名"))</f>
        <v/>
      </c>
      <c r="AA126">
        <f>SUMIF(⑳商品別1食労務費!$C$5:$C$124,$R126,⑳商品別1食労務費!$F$5:$F$124)+SUMIF(⑳商品別1食労務費!$C$5:$C$124,$S126,⑳商品別1食労務費!$F$5:$F$124)+SUMIF(⑳商品別1食労務費!$C$5:$C$124,$T126,⑳商品別1食労務費!$F$5:$F$124)+SUMIF(⑳商品別1食労務費!$C$5:$C$124,$U126,⑳商品別1食労務費!$F$5:$F$124)+SUMIF(⑳商品別1食労務費!$C$5:$C$124,$V126,⑳商品別1食労務費!$F$5:$F$124)+SUMIF(⑳商品別1食労務費!$C$5:$C$124,$W126,⑳商品別1食労務費!$F$5:$F$124)</f>
        <v/>
      </c>
      <c r="AB126">
        <f>IF(ISNUMBER($M126),$M126,0)</f>
        <v/>
      </c>
      <c r="AD126" s="413">
        <f>IF($R126="",0,IF($AA126&gt;0,$AB126*SUMIF(⑳商品別1食労務費!$C$5:$C$124,$R126,⑳商品別1食労務費!$F$5:$F$124)/$AA126,$AB126/$X126))</f>
        <v/>
      </c>
      <c r="AE126" s="413">
        <f>IF($S126="",0,IF($AA126&gt;0,$AB126*SUMIF(⑳商品別1食労務費!$C$5:$C$124,$S126,⑳商品別1食労務費!$F$5:$F$124)/$AA126,$AB126/$X126))</f>
        <v/>
      </c>
      <c r="AF126" s="413">
        <f>IF($T126="",0,IF($AA126&gt;0,$AB126*SUMIF(⑳商品別1食労務費!$C$5:$C$124,$T126,⑳商品別1食労務費!$F$5:$F$124)/$AA126,$AB126/$X126))</f>
        <v/>
      </c>
      <c r="AG126" s="413">
        <f>IF($U126="",0,IF($AA126&gt;0,$AB126*SUMIF(⑳商品別1食労務費!$C$5:$C$124,$U126,⑳商品別1食労務費!$F$5:$F$124)/$AA126,$AB126/$X126))</f>
        <v/>
      </c>
      <c r="AH126" s="413">
        <f>IF($V126="",0,IF($AA126&gt;0,$AB126*SUMIF(⑳商品別1食労務費!$C$5:$C$124,$V126,⑳商品別1食労務費!$F$5:$F$124)/$AA126,$AB126/$X126))</f>
        <v/>
      </c>
      <c r="AI126" s="413">
        <f>IF($W126="",0,IF($AA126&gt;0,$AB126*SUMIF(⑳商品別1食労務費!$C$5:$C$124,$W126,⑳商品別1食労務費!$F$5:$F$124)/$AA126,$AB126/$X126))</f>
        <v/>
      </c>
    </row>
    <row r="127" ht="16" customHeight="1" s="438">
      <c r="A127" s="29" t="n">
        <v>123</v>
      </c>
      <c r="B127" s="30" t="n"/>
      <c r="C127" s="5" t="n"/>
      <c r="D127" s="5" t="n"/>
      <c r="E127" s="5" t="n"/>
      <c r="F127" s="31" t="n"/>
      <c r="G127" s="7" t="n"/>
      <c r="H127" s="7" t="n"/>
      <c r="I127" s="7" t="n"/>
      <c r="J127" s="7" t="n"/>
      <c r="K127" s="513">
        <f>IF(F127&gt;0,I127/(F127/60),0)</f>
        <v/>
      </c>
      <c r="L127" s="514">
        <f>IF(AND(ISNUMBER(F127),J127&gt;0),J127/(F127/60),"")</f>
        <v/>
      </c>
      <c r="M127" s="9">
        <f>IF(OR(ISNUMBER(SEARCH("サニテーション",C127)),ISNUMBER(SEARCH("客注",C127)),ISNUMBER(SEARCH("切り替え",C127)),ISNUMBER(SEARCH("切替",C127)),NOT(ISNUMBER(H127))),"",IF(ISNUMBER(G127),G127/60*H127*④前提設定!$B$4,IF(AND(G127="",ISNUMBER(F127)),F127/60*H127*④前提設定!$B$4,"")))</f>
        <v/>
      </c>
      <c r="N127" s="513">
        <f>IF(I127&gt;0,M127/I127,"")</f>
        <v/>
      </c>
      <c r="O127" s="514">
        <f>IF(AND(J127&gt;0,ISNUMBER(M127)),M127/J127,"")</f>
        <v/>
      </c>
      <c r="P127" s="32" t="n"/>
      <c r="Q127" s="33" t="n"/>
      <c r="R127" s="5" t="n"/>
      <c r="S127" s="5" t="n"/>
      <c r="T127" s="5" t="n"/>
      <c r="U127" s="5" t="n"/>
      <c r="V127" s="5" t="n"/>
      <c r="W127" s="5" t="n"/>
      <c r="X127">
        <f>COUNTA(R127:W127)</f>
        <v/>
      </c>
      <c r="Y127">
        <f>IF(AND($X127&gt;0,ISNUMBER($M127)),$M127/$X127,"")</f>
        <v/>
      </c>
      <c r="Z127">
        <f>IF($X127=0,"",IF(COUNTIF(⑳商品別1食労務費!$C$5:$C$124,$R127)+COUNTIF(⑳商品別1食労務費!$C$5:$C$124,$S127)+COUNTIF(⑳商品別1食労務費!$C$5:$C$124,$T127)+COUNTIF(⑳商品別1食労務費!$C$5:$C$124,$U127)+COUNTIF(⑳商品別1食労務費!$C$5:$C$124,$V127)+COUNTIF(⑳商品別1食労務費!$C$5:$C$124,$W127)=$X127,"OK","⑳に無い商品名"))</f>
        <v/>
      </c>
      <c r="AA127">
        <f>SUMIF(⑳商品別1食労務費!$C$5:$C$124,$R127,⑳商品別1食労務費!$F$5:$F$124)+SUMIF(⑳商品別1食労務費!$C$5:$C$124,$S127,⑳商品別1食労務費!$F$5:$F$124)+SUMIF(⑳商品別1食労務費!$C$5:$C$124,$T127,⑳商品別1食労務費!$F$5:$F$124)+SUMIF(⑳商品別1食労務費!$C$5:$C$124,$U127,⑳商品別1食労務費!$F$5:$F$124)+SUMIF(⑳商品別1食労務費!$C$5:$C$124,$V127,⑳商品別1食労務費!$F$5:$F$124)+SUMIF(⑳商品別1食労務費!$C$5:$C$124,$W127,⑳商品別1食労務費!$F$5:$F$124)</f>
        <v/>
      </c>
      <c r="AB127">
        <f>IF(ISNUMBER($M127),$M127,0)</f>
        <v/>
      </c>
      <c r="AD127" s="413">
        <f>IF($R127="",0,IF($AA127&gt;0,$AB127*SUMIF(⑳商品別1食労務費!$C$5:$C$124,$R127,⑳商品別1食労務費!$F$5:$F$124)/$AA127,$AB127/$X127))</f>
        <v/>
      </c>
      <c r="AE127" s="413">
        <f>IF($S127="",0,IF($AA127&gt;0,$AB127*SUMIF(⑳商品別1食労務費!$C$5:$C$124,$S127,⑳商品別1食労務費!$F$5:$F$124)/$AA127,$AB127/$X127))</f>
        <v/>
      </c>
      <c r="AF127" s="413">
        <f>IF($T127="",0,IF($AA127&gt;0,$AB127*SUMIF(⑳商品別1食労務費!$C$5:$C$124,$T127,⑳商品別1食労務費!$F$5:$F$124)/$AA127,$AB127/$X127))</f>
        <v/>
      </c>
      <c r="AG127" s="413">
        <f>IF($U127="",0,IF($AA127&gt;0,$AB127*SUMIF(⑳商品別1食労務費!$C$5:$C$124,$U127,⑳商品別1食労務費!$F$5:$F$124)/$AA127,$AB127/$X127))</f>
        <v/>
      </c>
      <c r="AH127" s="413">
        <f>IF($V127="",0,IF($AA127&gt;0,$AB127*SUMIF(⑳商品別1食労務費!$C$5:$C$124,$V127,⑳商品別1食労務費!$F$5:$F$124)/$AA127,$AB127/$X127))</f>
        <v/>
      </c>
      <c r="AI127" s="413">
        <f>IF($W127="",0,IF($AA127&gt;0,$AB127*SUMIF(⑳商品別1食労務費!$C$5:$C$124,$W127,⑳商品別1食労務費!$F$5:$F$124)/$AA127,$AB127/$X127))</f>
        <v/>
      </c>
    </row>
    <row r="128" ht="16" customHeight="1" s="438">
      <c r="A128" s="29" t="n">
        <v>124</v>
      </c>
      <c r="B128" s="30" t="n"/>
      <c r="C128" s="5" t="n"/>
      <c r="D128" s="5" t="n"/>
      <c r="E128" s="5" t="n"/>
      <c r="F128" s="31" t="n"/>
      <c r="G128" s="7" t="n"/>
      <c r="H128" s="7" t="n"/>
      <c r="I128" s="7" t="n"/>
      <c r="J128" s="7" t="n"/>
      <c r="K128" s="513">
        <f>IF(F128&gt;0,I128/(F128/60),0)</f>
        <v/>
      </c>
      <c r="L128" s="514">
        <f>IF(AND(ISNUMBER(F128),J128&gt;0),J128/(F128/60),"")</f>
        <v/>
      </c>
      <c r="M128" s="9">
        <f>IF(OR(ISNUMBER(SEARCH("サニテーション",C128)),ISNUMBER(SEARCH("客注",C128)),ISNUMBER(SEARCH("切り替え",C128)),ISNUMBER(SEARCH("切替",C128)),NOT(ISNUMBER(H128))),"",IF(ISNUMBER(G128),G128/60*H128*④前提設定!$B$4,IF(AND(G128="",ISNUMBER(F128)),F128/60*H128*④前提設定!$B$4,"")))</f>
        <v/>
      </c>
      <c r="N128" s="513">
        <f>IF(I128&gt;0,M128/I128,"")</f>
        <v/>
      </c>
      <c r="O128" s="514">
        <f>IF(AND(J128&gt;0,ISNUMBER(M128)),M128/J128,"")</f>
        <v/>
      </c>
      <c r="P128" s="32" t="n"/>
      <c r="Q128" s="33" t="n"/>
      <c r="R128" s="5" t="n"/>
      <c r="S128" s="5" t="n"/>
      <c r="T128" s="5" t="n"/>
      <c r="U128" s="5" t="n"/>
      <c r="V128" s="5" t="n"/>
      <c r="W128" s="5" t="n"/>
      <c r="X128">
        <f>COUNTA(R128:W128)</f>
        <v/>
      </c>
      <c r="Y128">
        <f>IF(AND($X128&gt;0,ISNUMBER($M128)),$M128/$X128,"")</f>
        <v/>
      </c>
      <c r="Z128">
        <f>IF($X128=0,"",IF(COUNTIF(⑳商品別1食労務費!$C$5:$C$124,$R128)+COUNTIF(⑳商品別1食労務費!$C$5:$C$124,$S128)+COUNTIF(⑳商品別1食労務費!$C$5:$C$124,$T128)+COUNTIF(⑳商品別1食労務費!$C$5:$C$124,$U128)+COUNTIF(⑳商品別1食労務費!$C$5:$C$124,$V128)+COUNTIF(⑳商品別1食労務費!$C$5:$C$124,$W128)=$X128,"OK","⑳に無い商品名"))</f>
        <v/>
      </c>
      <c r="AA128">
        <f>SUMIF(⑳商品別1食労務費!$C$5:$C$124,$R128,⑳商品別1食労務費!$F$5:$F$124)+SUMIF(⑳商品別1食労務費!$C$5:$C$124,$S128,⑳商品別1食労務費!$F$5:$F$124)+SUMIF(⑳商品別1食労務費!$C$5:$C$124,$T128,⑳商品別1食労務費!$F$5:$F$124)+SUMIF(⑳商品別1食労務費!$C$5:$C$124,$U128,⑳商品別1食労務費!$F$5:$F$124)+SUMIF(⑳商品別1食労務費!$C$5:$C$124,$V128,⑳商品別1食労務費!$F$5:$F$124)+SUMIF(⑳商品別1食労務費!$C$5:$C$124,$W128,⑳商品別1食労務費!$F$5:$F$124)</f>
        <v/>
      </c>
      <c r="AB128">
        <f>IF(ISNUMBER($M128),$M128,0)</f>
        <v/>
      </c>
      <c r="AD128" s="413">
        <f>IF($R128="",0,IF($AA128&gt;0,$AB128*SUMIF(⑳商品別1食労務費!$C$5:$C$124,$R128,⑳商品別1食労務費!$F$5:$F$124)/$AA128,$AB128/$X128))</f>
        <v/>
      </c>
      <c r="AE128" s="413">
        <f>IF($S128="",0,IF($AA128&gt;0,$AB128*SUMIF(⑳商品別1食労務費!$C$5:$C$124,$S128,⑳商品別1食労務費!$F$5:$F$124)/$AA128,$AB128/$X128))</f>
        <v/>
      </c>
      <c r="AF128" s="413">
        <f>IF($T128="",0,IF($AA128&gt;0,$AB128*SUMIF(⑳商品別1食労務費!$C$5:$C$124,$T128,⑳商品別1食労務費!$F$5:$F$124)/$AA128,$AB128/$X128))</f>
        <v/>
      </c>
      <c r="AG128" s="413">
        <f>IF($U128="",0,IF($AA128&gt;0,$AB128*SUMIF(⑳商品別1食労務費!$C$5:$C$124,$U128,⑳商品別1食労務費!$F$5:$F$124)/$AA128,$AB128/$X128))</f>
        <v/>
      </c>
      <c r="AH128" s="413">
        <f>IF($V128="",0,IF($AA128&gt;0,$AB128*SUMIF(⑳商品別1食労務費!$C$5:$C$124,$V128,⑳商品別1食労務費!$F$5:$F$124)/$AA128,$AB128/$X128))</f>
        <v/>
      </c>
      <c r="AI128" s="413">
        <f>IF($W128="",0,IF($AA128&gt;0,$AB128*SUMIF(⑳商品別1食労務費!$C$5:$C$124,$W128,⑳商品別1食労務費!$F$5:$F$124)/$AA128,$AB128/$X128))</f>
        <v/>
      </c>
    </row>
    <row r="129" ht="16" customHeight="1" s="438">
      <c r="A129" s="29" t="n">
        <v>125</v>
      </c>
      <c r="B129" s="30" t="n"/>
      <c r="C129" s="5" t="n"/>
      <c r="D129" s="5" t="n"/>
      <c r="E129" s="5" t="n"/>
      <c r="F129" s="31" t="n"/>
      <c r="G129" s="7" t="n"/>
      <c r="H129" s="7" t="n"/>
      <c r="I129" s="7" t="n"/>
      <c r="J129" s="7" t="n"/>
      <c r="K129" s="513">
        <f>IF(F129&gt;0,I129/(F129/60),0)</f>
        <v/>
      </c>
      <c r="L129" s="514">
        <f>IF(AND(ISNUMBER(F129),J129&gt;0),J129/(F129/60),"")</f>
        <v/>
      </c>
      <c r="M129" s="9">
        <f>IF(OR(ISNUMBER(SEARCH("サニテーション",C129)),ISNUMBER(SEARCH("客注",C129)),ISNUMBER(SEARCH("切り替え",C129)),ISNUMBER(SEARCH("切替",C129)),NOT(ISNUMBER(H129))),"",IF(ISNUMBER(G129),G129/60*H129*④前提設定!$B$4,IF(AND(G129="",ISNUMBER(F129)),F129/60*H129*④前提設定!$B$4,"")))</f>
        <v/>
      </c>
      <c r="N129" s="513">
        <f>IF(I129&gt;0,M129/I129,"")</f>
        <v/>
      </c>
      <c r="O129" s="514">
        <f>IF(AND(J129&gt;0,ISNUMBER(M129)),M129/J129,"")</f>
        <v/>
      </c>
      <c r="P129" s="32" t="n"/>
      <c r="Q129" s="33" t="n"/>
      <c r="R129" s="5" t="n"/>
      <c r="S129" s="5" t="n"/>
      <c r="T129" s="5" t="n"/>
      <c r="U129" s="5" t="n"/>
      <c r="V129" s="5" t="n"/>
      <c r="W129" s="5" t="n"/>
      <c r="X129">
        <f>COUNTA(R129:W129)</f>
        <v/>
      </c>
      <c r="Y129">
        <f>IF(AND($X129&gt;0,ISNUMBER($M129)),$M129/$X129,"")</f>
        <v/>
      </c>
      <c r="Z129">
        <f>IF($X129=0,"",IF(COUNTIF(⑳商品別1食労務費!$C$5:$C$124,$R129)+COUNTIF(⑳商品別1食労務費!$C$5:$C$124,$S129)+COUNTIF(⑳商品別1食労務費!$C$5:$C$124,$T129)+COUNTIF(⑳商品別1食労務費!$C$5:$C$124,$U129)+COUNTIF(⑳商品別1食労務費!$C$5:$C$124,$V129)+COUNTIF(⑳商品別1食労務費!$C$5:$C$124,$W129)=$X129,"OK","⑳に無い商品名"))</f>
        <v/>
      </c>
      <c r="AA129">
        <f>SUMIF(⑳商品別1食労務費!$C$5:$C$124,$R129,⑳商品別1食労務費!$F$5:$F$124)+SUMIF(⑳商品別1食労務費!$C$5:$C$124,$S129,⑳商品別1食労務費!$F$5:$F$124)+SUMIF(⑳商品別1食労務費!$C$5:$C$124,$T129,⑳商品別1食労務費!$F$5:$F$124)+SUMIF(⑳商品別1食労務費!$C$5:$C$124,$U129,⑳商品別1食労務費!$F$5:$F$124)+SUMIF(⑳商品別1食労務費!$C$5:$C$124,$V129,⑳商品別1食労務費!$F$5:$F$124)+SUMIF(⑳商品別1食労務費!$C$5:$C$124,$W129,⑳商品別1食労務費!$F$5:$F$124)</f>
        <v/>
      </c>
      <c r="AB129">
        <f>IF(ISNUMBER($M129),$M129,0)</f>
        <v/>
      </c>
      <c r="AD129" s="413">
        <f>IF($R129="",0,IF($AA129&gt;0,$AB129*SUMIF(⑳商品別1食労務費!$C$5:$C$124,$R129,⑳商品別1食労務費!$F$5:$F$124)/$AA129,$AB129/$X129))</f>
        <v/>
      </c>
      <c r="AE129" s="413">
        <f>IF($S129="",0,IF($AA129&gt;0,$AB129*SUMIF(⑳商品別1食労務費!$C$5:$C$124,$S129,⑳商品別1食労務費!$F$5:$F$124)/$AA129,$AB129/$X129))</f>
        <v/>
      </c>
      <c r="AF129" s="413">
        <f>IF($T129="",0,IF($AA129&gt;0,$AB129*SUMIF(⑳商品別1食労務費!$C$5:$C$124,$T129,⑳商品別1食労務費!$F$5:$F$124)/$AA129,$AB129/$X129))</f>
        <v/>
      </c>
      <c r="AG129" s="413">
        <f>IF($U129="",0,IF($AA129&gt;0,$AB129*SUMIF(⑳商品別1食労務費!$C$5:$C$124,$U129,⑳商品別1食労務費!$F$5:$F$124)/$AA129,$AB129/$X129))</f>
        <v/>
      </c>
      <c r="AH129" s="413">
        <f>IF($V129="",0,IF($AA129&gt;0,$AB129*SUMIF(⑳商品別1食労務費!$C$5:$C$124,$V129,⑳商品別1食労務費!$F$5:$F$124)/$AA129,$AB129/$X129))</f>
        <v/>
      </c>
      <c r="AI129" s="413">
        <f>IF($W129="",0,IF($AA129&gt;0,$AB129*SUMIF(⑳商品別1食労務費!$C$5:$C$124,$W129,⑳商品別1食労務費!$F$5:$F$124)/$AA129,$AB129/$X129))</f>
        <v/>
      </c>
    </row>
    <row r="130" ht="16" customHeight="1" s="438">
      <c r="A130" s="29" t="n">
        <v>126</v>
      </c>
      <c r="B130" s="30" t="n"/>
      <c r="C130" s="5" t="n"/>
      <c r="D130" s="5" t="n"/>
      <c r="E130" s="5" t="n"/>
      <c r="F130" s="31" t="n"/>
      <c r="G130" s="7" t="n"/>
      <c r="H130" s="7" t="n"/>
      <c r="I130" s="7" t="n"/>
      <c r="J130" s="7" t="n"/>
      <c r="K130" s="513">
        <f>IF(F130&gt;0,I130/(F130/60),0)</f>
        <v/>
      </c>
      <c r="L130" s="514">
        <f>IF(AND(ISNUMBER(F130),J130&gt;0),J130/(F130/60),"")</f>
        <v/>
      </c>
      <c r="M130" s="9">
        <f>IF(OR(ISNUMBER(SEARCH("サニテーション",C130)),ISNUMBER(SEARCH("客注",C130)),ISNUMBER(SEARCH("切り替え",C130)),ISNUMBER(SEARCH("切替",C130)),NOT(ISNUMBER(H130))),"",IF(ISNUMBER(G130),G130/60*H130*④前提設定!$B$4,IF(AND(G130="",ISNUMBER(F130)),F130/60*H130*④前提設定!$B$4,"")))</f>
        <v/>
      </c>
      <c r="N130" s="513">
        <f>IF(I130&gt;0,M130/I130,"")</f>
        <v/>
      </c>
      <c r="O130" s="514">
        <f>IF(AND(J130&gt;0,ISNUMBER(M130)),M130/J130,"")</f>
        <v/>
      </c>
      <c r="P130" s="32" t="n"/>
      <c r="Q130" s="33" t="n"/>
      <c r="R130" s="5" t="n"/>
      <c r="S130" s="5" t="n"/>
      <c r="T130" s="5" t="n"/>
      <c r="U130" s="5" t="n"/>
      <c r="V130" s="5" t="n"/>
      <c r="W130" s="5" t="n"/>
      <c r="X130">
        <f>COUNTA(R130:W130)</f>
        <v/>
      </c>
      <c r="Y130">
        <f>IF(AND($X130&gt;0,ISNUMBER($M130)),$M130/$X130,"")</f>
        <v/>
      </c>
      <c r="Z130">
        <f>IF($X130=0,"",IF(COUNTIF(⑳商品別1食労務費!$C$5:$C$124,$R130)+COUNTIF(⑳商品別1食労務費!$C$5:$C$124,$S130)+COUNTIF(⑳商品別1食労務費!$C$5:$C$124,$T130)+COUNTIF(⑳商品別1食労務費!$C$5:$C$124,$U130)+COUNTIF(⑳商品別1食労務費!$C$5:$C$124,$V130)+COUNTIF(⑳商品別1食労務費!$C$5:$C$124,$W130)=$X130,"OK","⑳に無い商品名"))</f>
        <v/>
      </c>
      <c r="AA130">
        <f>SUMIF(⑳商品別1食労務費!$C$5:$C$124,$R130,⑳商品別1食労務費!$F$5:$F$124)+SUMIF(⑳商品別1食労務費!$C$5:$C$124,$S130,⑳商品別1食労務費!$F$5:$F$124)+SUMIF(⑳商品別1食労務費!$C$5:$C$124,$T130,⑳商品別1食労務費!$F$5:$F$124)+SUMIF(⑳商品別1食労務費!$C$5:$C$124,$U130,⑳商品別1食労務費!$F$5:$F$124)+SUMIF(⑳商品別1食労務費!$C$5:$C$124,$V130,⑳商品別1食労務費!$F$5:$F$124)+SUMIF(⑳商品別1食労務費!$C$5:$C$124,$W130,⑳商品別1食労務費!$F$5:$F$124)</f>
        <v/>
      </c>
      <c r="AB130">
        <f>IF(ISNUMBER($M130),$M130,0)</f>
        <v/>
      </c>
      <c r="AD130" s="413">
        <f>IF($R130="",0,IF($AA130&gt;0,$AB130*SUMIF(⑳商品別1食労務費!$C$5:$C$124,$R130,⑳商品別1食労務費!$F$5:$F$124)/$AA130,$AB130/$X130))</f>
        <v/>
      </c>
      <c r="AE130" s="413">
        <f>IF($S130="",0,IF($AA130&gt;0,$AB130*SUMIF(⑳商品別1食労務費!$C$5:$C$124,$S130,⑳商品別1食労務費!$F$5:$F$124)/$AA130,$AB130/$X130))</f>
        <v/>
      </c>
      <c r="AF130" s="413">
        <f>IF($T130="",0,IF($AA130&gt;0,$AB130*SUMIF(⑳商品別1食労務費!$C$5:$C$124,$T130,⑳商品別1食労務費!$F$5:$F$124)/$AA130,$AB130/$X130))</f>
        <v/>
      </c>
      <c r="AG130" s="413">
        <f>IF($U130="",0,IF($AA130&gt;0,$AB130*SUMIF(⑳商品別1食労務費!$C$5:$C$124,$U130,⑳商品別1食労務費!$F$5:$F$124)/$AA130,$AB130/$X130))</f>
        <v/>
      </c>
      <c r="AH130" s="413">
        <f>IF($V130="",0,IF($AA130&gt;0,$AB130*SUMIF(⑳商品別1食労務費!$C$5:$C$124,$V130,⑳商品別1食労務費!$F$5:$F$124)/$AA130,$AB130/$X130))</f>
        <v/>
      </c>
      <c r="AI130" s="413">
        <f>IF($W130="",0,IF($AA130&gt;0,$AB130*SUMIF(⑳商品別1食労務費!$C$5:$C$124,$W130,⑳商品別1食労務費!$F$5:$F$124)/$AA130,$AB130/$X130))</f>
        <v/>
      </c>
    </row>
    <row r="131" ht="16" customHeight="1" s="438">
      <c r="A131" s="29" t="n">
        <v>127</v>
      </c>
      <c r="B131" s="30" t="n"/>
      <c r="C131" s="5" t="n"/>
      <c r="D131" s="5" t="n"/>
      <c r="E131" s="5" t="n"/>
      <c r="F131" s="31" t="n"/>
      <c r="G131" s="7" t="n"/>
      <c r="H131" s="7" t="n"/>
      <c r="I131" s="7" t="n"/>
      <c r="J131" s="7" t="n"/>
      <c r="K131" s="513">
        <f>IF(F131&gt;0,I131/(F131/60),0)</f>
        <v/>
      </c>
      <c r="L131" s="514">
        <f>IF(AND(ISNUMBER(F131),J131&gt;0),J131/(F131/60),"")</f>
        <v/>
      </c>
      <c r="M131" s="9">
        <f>IF(OR(ISNUMBER(SEARCH("サニテーション",C131)),ISNUMBER(SEARCH("客注",C131)),ISNUMBER(SEARCH("切り替え",C131)),ISNUMBER(SEARCH("切替",C131)),NOT(ISNUMBER(H131))),"",IF(ISNUMBER(G131),G131/60*H131*④前提設定!$B$4,IF(AND(G131="",ISNUMBER(F131)),F131/60*H131*④前提設定!$B$4,"")))</f>
        <v/>
      </c>
      <c r="N131" s="513">
        <f>IF(I131&gt;0,M131/I131,"")</f>
        <v/>
      </c>
      <c r="O131" s="514">
        <f>IF(AND(J131&gt;0,ISNUMBER(M131)),M131/J131,"")</f>
        <v/>
      </c>
      <c r="P131" s="32" t="n"/>
      <c r="Q131" s="33" t="n"/>
      <c r="R131" s="5" t="n"/>
      <c r="S131" s="5" t="n"/>
      <c r="T131" s="5" t="n"/>
      <c r="U131" s="5" t="n"/>
      <c r="V131" s="5" t="n"/>
      <c r="W131" s="5" t="n"/>
      <c r="X131">
        <f>COUNTA(R131:W131)</f>
        <v/>
      </c>
      <c r="Y131">
        <f>IF(AND($X131&gt;0,ISNUMBER($M131)),$M131/$X131,"")</f>
        <v/>
      </c>
      <c r="Z131">
        <f>IF($X131=0,"",IF(COUNTIF(⑳商品別1食労務費!$C$5:$C$124,$R131)+COUNTIF(⑳商品別1食労務費!$C$5:$C$124,$S131)+COUNTIF(⑳商品別1食労務費!$C$5:$C$124,$T131)+COUNTIF(⑳商品別1食労務費!$C$5:$C$124,$U131)+COUNTIF(⑳商品別1食労務費!$C$5:$C$124,$V131)+COUNTIF(⑳商品別1食労務費!$C$5:$C$124,$W131)=$X131,"OK","⑳に無い商品名"))</f>
        <v/>
      </c>
      <c r="AA131">
        <f>SUMIF(⑳商品別1食労務費!$C$5:$C$124,$R131,⑳商品別1食労務費!$F$5:$F$124)+SUMIF(⑳商品別1食労務費!$C$5:$C$124,$S131,⑳商品別1食労務費!$F$5:$F$124)+SUMIF(⑳商品別1食労務費!$C$5:$C$124,$T131,⑳商品別1食労務費!$F$5:$F$124)+SUMIF(⑳商品別1食労務費!$C$5:$C$124,$U131,⑳商品別1食労務費!$F$5:$F$124)+SUMIF(⑳商品別1食労務費!$C$5:$C$124,$V131,⑳商品別1食労務費!$F$5:$F$124)+SUMIF(⑳商品別1食労務費!$C$5:$C$124,$W131,⑳商品別1食労務費!$F$5:$F$124)</f>
        <v/>
      </c>
      <c r="AB131">
        <f>IF(ISNUMBER($M131),$M131,0)</f>
        <v/>
      </c>
      <c r="AD131" s="413">
        <f>IF($R131="",0,IF($AA131&gt;0,$AB131*SUMIF(⑳商品別1食労務費!$C$5:$C$124,$R131,⑳商品別1食労務費!$F$5:$F$124)/$AA131,$AB131/$X131))</f>
        <v/>
      </c>
      <c r="AE131" s="413">
        <f>IF($S131="",0,IF($AA131&gt;0,$AB131*SUMIF(⑳商品別1食労務費!$C$5:$C$124,$S131,⑳商品別1食労務費!$F$5:$F$124)/$AA131,$AB131/$X131))</f>
        <v/>
      </c>
      <c r="AF131" s="413">
        <f>IF($T131="",0,IF($AA131&gt;0,$AB131*SUMIF(⑳商品別1食労務費!$C$5:$C$124,$T131,⑳商品別1食労務費!$F$5:$F$124)/$AA131,$AB131/$X131))</f>
        <v/>
      </c>
      <c r="AG131" s="413">
        <f>IF($U131="",0,IF($AA131&gt;0,$AB131*SUMIF(⑳商品別1食労務費!$C$5:$C$124,$U131,⑳商品別1食労務費!$F$5:$F$124)/$AA131,$AB131/$X131))</f>
        <v/>
      </c>
      <c r="AH131" s="413">
        <f>IF($V131="",0,IF($AA131&gt;0,$AB131*SUMIF(⑳商品別1食労務費!$C$5:$C$124,$V131,⑳商品別1食労務費!$F$5:$F$124)/$AA131,$AB131/$X131))</f>
        <v/>
      </c>
      <c r="AI131" s="413">
        <f>IF($W131="",0,IF($AA131&gt;0,$AB131*SUMIF(⑳商品別1食労務費!$C$5:$C$124,$W131,⑳商品別1食労務費!$F$5:$F$124)/$AA131,$AB131/$X131))</f>
        <v/>
      </c>
    </row>
    <row r="132" ht="16" customHeight="1" s="438">
      <c r="A132" s="29" t="n">
        <v>128</v>
      </c>
      <c r="B132" s="30" t="n"/>
      <c r="C132" s="5" t="n"/>
      <c r="D132" s="5" t="n"/>
      <c r="E132" s="5" t="n"/>
      <c r="F132" s="31" t="n"/>
      <c r="G132" s="7" t="n"/>
      <c r="H132" s="7" t="n"/>
      <c r="I132" s="7" t="n"/>
      <c r="J132" s="7" t="n"/>
      <c r="K132" s="513">
        <f>IF(F132&gt;0,I132/(F132/60),0)</f>
        <v/>
      </c>
      <c r="L132" s="514">
        <f>IF(AND(ISNUMBER(F132),J132&gt;0),J132/(F132/60),"")</f>
        <v/>
      </c>
      <c r="M132" s="9">
        <f>IF(OR(ISNUMBER(SEARCH("サニテーション",C132)),ISNUMBER(SEARCH("客注",C132)),ISNUMBER(SEARCH("切り替え",C132)),ISNUMBER(SEARCH("切替",C132)),NOT(ISNUMBER(H132))),"",IF(ISNUMBER(G132),G132/60*H132*④前提設定!$B$4,IF(AND(G132="",ISNUMBER(F132)),F132/60*H132*④前提設定!$B$4,"")))</f>
        <v/>
      </c>
      <c r="N132" s="513">
        <f>IF(I132&gt;0,M132/I132,"")</f>
        <v/>
      </c>
      <c r="O132" s="514">
        <f>IF(AND(J132&gt;0,ISNUMBER(M132)),M132/J132,"")</f>
        <v/>
      </c>
      <c r="P132" s="32" t="n"/>
      <c r="Q132" s="33" t="n"/>
      <c r="R132" s="5" t="n"/>
      <c r="S132" s="5" t="n"/>
      <c r="T132" s="5" t="n"/>
      <c r="U132" s="5" t="n"/>
      <c r="V132" s="5" t="n"/>
      <c r="W132" s="5" t="n"/>
      <c r="X132">
        <f>COUNTA(R132:W132)</f>
        <v/>
      </c>
      <c r="Y132">
        <f>IF(AND($X132&gt;0,ISNUMBER($M132)),$M132/$X132,"")</f>
        <v/>
      </c>
      <c r="Z132">
        <f>IF($X132=0,"",IF(COUNTIF(⑳商品別1食労務費!$C$5:$C$124,$R132)+COUNTIF(⑳商品別1食労務費!$C$5:$C$124,$S132)+COUNTIF(⑳商品別1食労務費!$C$5:$C$124,$T132)+COUNTIF(⑳商品別1食労務費!$C$5:$C$124,$U132)+COUNTIF(⑳商品別1食労務費!$C$5:$C$124,$V132)+COUNTIF(⑳商品別1食労務費!$C$5:$C$124,$W132)=$X132,"OK","⑳に無い商品名"))</f>
        <v/>
      </c>
      <c r="AA132">
        <f>SUMIF(⑳商品別1食労務費!$C$5:$C$124,$R132,⑳商品別1食労務費!$F$5:$F$124)+SUMIF(⑳商品別1食労務費!$C$5:$C$124,$S132,⑳商品別1食労務費!$F$5:$F$124)+SUMIF(⑳商品別1食労務費!$C$5:$C$124,$T132,⑳商品別1食労務費!$F$5:$F$124)+SUMIF(⑳商品別1食労務費!$C$5:$C$124,$U132,⑳商品別1食労務費!$F$5:$F$124)+SUMIF(⑳商品別1食労務費!$C$5:$C$124,$V132,⑳商品別1食労務費!$F$5:$F$124)+SUMIF(⑳商品別1食労務費!$C$5:$C$124,$W132,⑳商品別1食労務費!$F$5:$F$124)</f>
        <v/>
      </c>
      <c r="AB132">
        <f>IF(ISNUMBER($M132),$M132,0)</f>
        <v/>
      </c>
      <c r="AD132" s="413">
        <f>IF($R132="",0,IF($AA132&gt;0,$AB132*SUMIF(⑳商品別1食労務費!$C$5:$C$124,$R132,⑳商品別1食労務費!$F$5:$F$124)/$AA132,$AB132/$X132))</f>
        <v/>
      </c>
      <c r="AE132" s="413">
        <f>IF($S132="",0,IF($AA132&gt;0,$AB132*SUMIF(⑳商品別1食労務費!$C$5:$C$124,$S132,⑳商品別1食労務費!$F$5:$F$124)/$AA132,$AB132/$X132))</f>
        <v/>
      </c>
      <c r="AF132" s="413">
        <f>IF($T132="",0,IF($AA132&gt;0,$AB132*SUMIF(⑳商品別1食労務費!$C$5:$C$124,$T132,⑳商品別1食労務費!$F$5:$F$124)/$AA132,$AB132/$X132))</f>
        <v/>
      </c>
      <c r="AG132" s="413">
        <f>IF($U132="",0,IF($AA132&gt;0,$AB132*SUMIF(⑳商品別1食労務費!$C$5:$C$124,$U132,⑳商品別1食労務費!$F$5:$F$124)/$AA132,$AB132/$X132))</f>
        <v/>
      </c>
      <c r="AH132" s="413">
        <f>IF($V132="",0,IF($AA132&gt;0,$AB132*SUMIF(⑳商品別1食労務費!$C$5:$C$124,$V132,⑳商品別1食労務費!$F$5:$F$124)/$AA132,$AB132/$X132))</f>
        <v/>
      </c>
      <c r="AI132" s="413">
        <f>IF($W132="",0,IF($AA132&gt;0,$AB132*SUMIF(⑳商品別1食労務費!$C$5:$C$124,$W132,⑳商品別1食労務費!$F$5:$F$124)/$AA132,$AB132/$X132))</f>
        <v/>
      </c>
    </row>
    <row r="133" ht="16" customHeight="1" s="438">
      <c r="A133" s="12" t="n">
        <v>129</v>
      </c>
      <c r="B133" s="34" t="n"/>
      <c r="C133" s="5" t="n"/>
      <c r="D133" s="5" t="n"/>
      <c r="E133" s="5" t="n"/>
      <c r="F133" s="14" t="n"/>
      <c r="G133" s="12" t="n"/>
      <c r="H133" s="12" t="n"/>
      <c r="I133" s="12" t="n"/>
      <c r="J133" s="12" t="n"/>
      <c r="K133" s="12" t="inlineStr">
        <is>
          <t>-</t>
        </is>
      </c>
      <c r="L133" s="515">
        <f>IF(AND(ISNUMBER(F133),J133&gt;0),J133/(F133/60),"")</f>
        <v/>
      </c>
      <c r="M133" s="12">
        <f>IF(OR(ISNUMBER(SEARCH("サニテーション",C133)),ISNUMBER(SEARCH("客注",C133)),ISNUMBER(SEARCH("切り替え",C133)),ISNUMBER(SEARCH("切替",C133)),NOT(ISNUMBER(H133))),"",IF(ISNUMBER(G133),G133/60*H133*④前提設定!$B$4,IF(AND(G133="",ISNUMBER(F133)),F133/60*H133*④前提設定!$B$4,"")))</f>
        <v/>
      </c>
      <c r="N133" s="12" t="inlineStr">
        <is>
          <t>-</t>
        </is>
      </c>
      <c r="O133" s="515">
        <f>IF(AND(J133&gt;0,ISNUMBER(M133)),M133/J133,"")</f>
        <v/>
      </c>
      <c r="P133" s="15" t="n"/>
      <c r="Q133" s="16" t="n"/>
      <c r="R133" s="5" t="n"/>
      <c r="S133" s="5" t="n"/>
      <c r="T133" s="5" t="n"/>
      <c r="U133" s="5" t="n"/>
      <c r="V133" s="5" t="n"/>
      <c r="W133" s="5" t="n"/>
      <c r="X133">
        <f>COUNTA(R133:W133)</f>
        <v/>
      </c>
      <c r="Y133">
        <f>IF(AND($X133&gt;0,ISNUMBER($M133)),$M133/$X133,"")</f>
        <v/>
      </c>
      <c r="Z133">
        <f>IF($X133=0,"",IF(COUNTIF(⑳商品別1食労務費!$C$5:$C$124,$R133)+COUNTIF(⑳商品別1食労務費!$C$5:$C$124,$S133)+COUNTIF(⑳商品別1食労務費!$C$5:$C$124,$T133)+COUNTIF(⑳商品別1食労務費!$C$5:$C$124,$U133)+COUNTIF(⑳商品別1食労務費!$C$5:$C$124,$V133)+COUNTIF(⑳商品別1食労務費!$C$5:$C$124,$W133)=$X133,"OK","⑳に無い商品名"))</f>
        <v/>
      </c>
      <c r="AA133">
        <f>SUMIF(⑳商品別1食労務費!$C$5:$C$124,$R133,⑳商品別1食労務費!$F$5:$F$124)+SUMIF(⑳商品別1食労務費!$C$5:$C$124,$S133,⑳商品別1食労務費!$F$5:$F$124)+SUMIF(⑳商品別1食労務費!$C$5:$C$124,$T133,⑳商品別1食労務費!$F$5:$F$124)+SUMIF(⑳商品別1食労務費!$C$5:$C$124,$U133,⑳商品別1食労務費!$F$5:$F$124)+SUMIF(⑳商品別1食労務費!$C$5:$C$124,$V133,⑳商品別1食労務費!$F$5:$F$124)+SUMIF(⑳商品別1食労務費!$C$5:$C$124,$W133,⑳商品別1食労務費!$F$5:$F$124)</f>
        <v/>
      </c>
      <c r="AB133">
        <f>IF(ISNUMBER($M133),$M133,0)</f>
        <v/>
      </c>
      <c r="AD133" s="413">
        <f>IF($R133="",0,IF($AA133&gt;0,$AB133*SUMIF(⑳商品別1食労務費!$C$5:$C$124,$R133,⑳商品別1食労務費!$F$5:$F$124)/$AA133,$AB133/$X133))</f>
        <v/>
      </c>
      <c r="AE133" s="413">
        <f>IF($S133="",0,IF($AA133&gt;0,$AB133*SUMIF(⑳商品別1食労務費!$C$5:$C$124,$S133,⑳商品別1食労務費!$F$5:$F$124)/$AA133,$AB133/$X133))</f>
        <v/>
      </c>
      <c r="AF133" s="413">
        <f>IF($T133="",0,IF($AA133&gt;0,$AB133*SUMIF(⑳商品別1食労務費!$C$5:$C$124,$T133,⑳商品別1食労務費!$F$5:$F$124)/$AA133,$AB133/$X133))</f>
        <v/>
      </c>
      <c r="AG133" s="413">
        <f>IF($U133="",0,IF($AA133&gt;0,$AB133*SUMIF(⑳商品別1食労務費!$C$5:$C$124,$U133,⑳商品別1食労務費!$F$5:$F$124)/$AA133,$AB133/$X133))</f>
        <v/>
      </c>
      <c r="AH133" s="413">
        <f>IF($V133="",0,IF($AA133&gt;0,$AB133*SUMIF(⑳商品別1食労務費!$C$5:$C$124,$V133,⑳商品別1食労務費!$F$5:$F$124)/$AA133,$AB133/$X133))</f>
        <v/>
      </c>
      <c r="AI133" s="413">
        <f>IF($W133="",0,IF($AA133&gt;0,$AB133*SUMIF(⑳商品別1食労務費!$C$5:$C$124,$W133,⑳商品別1食労務費!$F$5:$F$124)/$AA133,$AB133/$X133))</f>
        <v/>
      </c>
    </row>
    <row r="134" ht="16" customHeight="1" s="438">
      <c r="A134" s="29" t="n">
        <v>130</v>
      </c>
      <c r="B134" s="30" t="n"/>
      <c r="C134" s="5" t="n"/>
      <c r="D134" s="5" t="n"/>
      <c r="E134" s="5" t="n"/>
      <c r="F134" s="31" t="n"/>
      <c r="G134" s="7" t="n"/>
      <c r="H134" s="7" t="n"/>
      <c r="I134" s="7" t="n"/>
      <c r="J134" s="7" t="n"/>
      <c r="K134" s="513">
        <f>IF(F134&gt;0,I134/(F134/60),0)</f>
        <v/>
      </c>
      <c r="L134" s="514">
        <f>IF(AND(ISNUMBER(F134),J134&gt;0),J134/(F134/60),"")</f>
        <v/>
      </c>
      <c r="M134" s="9">
        <f>IF(OR(ISNUMBER(SEARCH("サニテーション",C134)),ISNUMBER(SEARCH("客注",C134)),ISNUMBER(SEARCH("切り替え",C134)),ISNUMBER(SEARCH("切替",C134)),NOT(ISNUMBER(H134))),"",IF(ISNUMBER(G134),G134/60*H134*④前提設定!$B$4,IF(AND(G134="",ISNUMBER(F134)),F134/60*H134*④前提設定!$B$4,"")))</f>
        <v/>
      </c>
      <c r="N134" s="513">
        <f>IF(I134&gt;0,M134/I134,"")</f>
        <v/>
      </c>
      <c r="O134" s="514">
        <f>IF(AND(J134&gt;0,ISNUMBER(M134)),M134/J134,"")</f>
        <v/>
      </c>
      <c r="P134" s="32" t="n"/>
      <c r="Q134" s="33" t="n"/>
      <c r="R134" s="5" t="n"/>
      <c r="S134" s="5" t="n"/>
      <c r="T134" s="5" t="n"/>
      <c r="U134" s="5" t="n"/>
      <c r="V134" s="5" t="n"/>
      <c r="W134" s="5" t="n"/>
      <c r="X134">
        <f>COUNTA(R134:W134)</f>
        <v/>
      </c>
      <c r="Y134">
        <f>IF(AND($X134&gt;0,ISNUMBER($M134)),$M134/$X134,"")</f>
        <v/>
      </c>
      <c r="Z134">
        <f>IF($X134=0,"",IF(COUNTIF(⑳商品別1食労務費!$C$5:$C$124,$R134)+COUNTIF(⑳商品別1食労務費!$C$5:$C$124,$S134)+COUNTIF(⑳商品別1食労務費!$C$5:$C$124,$T134)+COUNTIF(⑳商品別1食労務費!$C$5:$C$124,$U134)+COUNTIF(⑳商品別1食労務費!$C$5:$C$124,$V134)+COUNTIF(⑳商品別1食労務費!$C$5:$C$124,$W134)=$X134,"OK","⑳に無い商品名"))</f>
        <v/>
      </c>
      <c r="AA134">
        <f>SUMIF(⑳商品別1食労務費!$C$5:$C$124,$R134,⑳商品別1食労務費!$F$5:$F$124)+SUMIF(⑳商品別1食労務費!$C$5:$C$124,$S134,⑳商品別1食労務費!$F$5:$F$124)+SUMIF(⑳商品別1食労務費!$C$5:$C$124,$T134,⑳商品別1食労務費!$F$5:$F$124)+SUMIF(⑳商品別1食労務費!$C$5:$C$124,$U134,⑳商品別1食労務費!$F$5:$F$124)+SUMIF(⑳商品別1食労務費!$C$5:$C$124,$V134,⑳商品別1食労務費!$F$5:$F$124)+SUMIF(⑳商品別1食労務費!$C$5:$C$124,$W134,⑳商品別1食労務費!$F$5:$F$124)</f>
        <v/>
      </c>
      <c r="AB134">
        <f>IF(ISNUMBER($M134),$M134,0)</f>
        <v/>
      </c>
      <c r="AD134" s="413">
        <f>IF($R134="",0,IF($AA134&gt;0,$AB134*SUMIF(⑳商品別1食労務費!$C$5:$C$124,$R134,⑳商品別1食労務費!$F$5:$F$124)/$AA134,$AB134/$X134))</f>
        <v/>
      </c>
      <c r="AE134" s="413">
        <f>IF($S134="",0,IF($AA134&gt;0,$AB134*SUMIF(⑳商品別1食労務費!$C$5:$C$124,$S134,⑳商品別1食労務費!$F$5:$F$124)/$AA134,$AB134/$X134))</f>
        <v/>
      </c>
      <c r="AF134" s="413">
        <f>IF($T134="",0,IF($AA134&gt;0,$AB134*SUMIF(⑳商品別1食労務費!$C$5:$C$124,$T134,⑳商品別1食労務費!$F$5:$F$124)/$AA134,$AB134/$X134))</f>
        <v/>
      </c>
      <c r="AG134" s="413">
        <f>IF($U134="",0,IF($AA134&gt;0,$AB134*SUMIF(⑳商品別1食労務費!$C$5:$C$124,$U134,⑳商品別1食労務費!$F$5:$F$124)/$AA134,$AB134/$X134))</f>
        <v/>
      </c>
      <c r="AH134" s="413">
        <f>IF($V134="",0,IF($AA134&gt;0,$AB134*SUMIF(⑳商品別1食労務費!$C$5:$C$124,$V134,⑳商品別1食労務費!$F$5:$F$124)/$AA134,$AB134/$X134))</f>
        <v/>
      </c>
      <c r="AI134" s="413">
        <f>IF($W134="",0,IF($AA134&gt;0,$AB134*SUMIF(⑳商品別1食労務費!$C$5:$C$124,$W134,⑳商品別1食労務費!$F$5:$F$124)/$AA134,$AB134/$X134))</f>
        <v/>
      </c>
    </row>
    <row r="135" ht="16" customHeight="1" s="438">
      <c r="A135" s="35" t="n">
        <v>131</v>
      </c>
      <c r="B135" s="36" t="n"/>
      <c r="C135" s="5" t="n"/>
      <c r="D135" s="5" t="n"/>
      <c r="E135" s="5" t="n"/>
      <c r="F135" s="37" t="n"/>
      <c r="G135" s="7" t="n"/>
      <c r="H135" s="7" t="n"/>
      <c r="I135" s="7" t="n"/>
      <c r="J135" s="7" t="n"/>
      <c r="K135" s="513">
        <f>IF(F135&gt;0,I135/(F135/60),0)</f>
        <v/>
      </c>
      <c r="L135" s="514">
        <f>IF(AND(ISNUMBER(F135),J135&gt;0),J135/(F135/60),"")</f>
        <v/>
      </c>
      <c r="M135" s="9">
        <f>IF(OR(ISNUMBER(SEARCH("サニテーション",C135)),ISNUMBER(SEARCH("客注",C135)),ISNUMBER(SEARCH("切り替え",C135)),ISNUMBER(SEARCH("切替",C135)),NOT(ISNUMBER(H135))),"",IF(ISNUMBER(G135),G135/60*H135*④前提設定!$B$4,IF(AND(G135="",ISNUMBER(F135)),F135/60*H135*④前提設定!$B$4,"")))</f>
        <v/>
      </c>
      <c r="N135" s="513">
        <f>IF(I135&gt;0,M135/I135,"")</f>
        <v/>
      </c>
      <c r="O135" s="514">
        <f>IF(AND(J135&gt;0,ISNUMBER(M135)),M135/J135,"")</f>
        <v/>
      </c>
      <c r="P135" s="38" t="n"/>
      <c r="Q135" s="39" t="n"/>
      <c r="R135" s="5" t="n"/>
      <c r="S135" s="5" t="n"/>
      <c r="T135" s="5" t="n"/>
      <c r="U135" s="5" t="n"/>
      <c r="V135" s="5" t="n"/>
      <c r="W135" s="5" t="n"/>
      <c r="X135">
        <f>COUNTA(R135:W135)</f>
        <v/>
      </c>
      <c r="Y135">
        <f>IF(AND($X135&gt;0,ISNUMBER($M135)),$M135/$X135,"")</f>
        <v/>
      </c>
      <c r="Z135">
        <f>IF($X135=0,"",IF(COUNTIF(⑳商品別1食労務費!$C$5:$C$124,$R135)+COUNTIF(⑳商品別1食労務費!$C$5:$C$124,$S135)+COUNTIF(⑳商品別1食労務費!$C$5:$C$124,$T135)+COUNTIF(⑳商品別1食労務費!$C$5:$C$124,$U135)+COUNTIF(⑳商品別1食労務費!$C$5:$C$124,$V135)+COUNTIF(⑳商品別1食労務費!$C$5:$C$124,$W135)=$X135,"OK","⑳に無い商品名"))</f>
        <v/>
      </c>
      <c r="AA135">
        <f>SUMIF(⑳商品別1食労務費!$C$5:$C$124,$R135,⑳商品別1食労務費!$F$5:$F$124)+SUMIF(⑳商品別1食労務費!$C$5:$C$124,$S135,⑳商品別1食労務費!$F$5:$F$124)+SUMIF(⑳商品別1食労務費!$C$5:$C$124,$T135,⑳商品別1食労務費!$F$5:$F$124)+SUMIF(⑳商品別1食労務費!$C$5:$C$124,$U135,⑳商品別1食労務費!$F$5:$F$124)+SUMIF(⑳商品別1食労務費!$C$5:$C$124,$V135,⑳商品別1食労務費!$F$5:$F$124)+SUMIF(⑳商品別1食労務費!$C$5:$C$124,$W135,⑳商品別1食労務費!$F$5:$F$124)</f>
        <v/>
      </c>
      <c r="AB135">
        <f>IF(ISNUMBER($M135),$M135,0)</f>
        <v/>
      </c>
      <c r="AD135" s="413">
        <f>IF($R135="",0,IF($AA135&gt;0,$AB135*SUMIF(⑳商品別1食労務費!$C$5:$C$124,$R135,⑳商品別1食労務費!$F$5:$F$124)/$AA135,$AB135/$X135))</f>
        <v/>
      </c>
      <c r="AE135" s="413">
        <f>IF($S135="",0,IF($AA135&gt;0,$AB135*SUMIF(⑳商品別1食労務費!$C$5:$C$124,$S135,⑳商品別1食労務費!$F$5:$F$124)/$AA135,$AB135/$X135))</f>
        <v/>
      </c>
      <c r="AF135" s="413">
        <f>IF($T135="",0,IF($AA135&gt;0,$AB135*SUMIF(⑳商品別1食労務費!$C$5:$C$124,$T135,⑳商品別1食労務費!$F$5:$F$124)/$AA135,$AB135/$X135))</f>
        <v/>
      </c>
      <c r="AG135" s="413">
        <f>IF($U135="",0,IF($AA135&gt;0,$AB135*SUMIF(⑳商品別1食労務費!$C$5:$C$124,$U135,⑳商品別1食労務費!$F$5:$F$124)/$AA135,$AB135/$X135))</f>
        <v/>
      </c>
      <c r="AH135" s="413">
        <f>IF($V135="",0,IF($AA135&gt;0,$AB135*SUMIF(⑳商品別1食労務費!$C$5:$C$124,$V135,⑳商品別1食労務費!$F$5:$F$124)/$AA135,$AB135/$X135))</f>
        <v/>
      </c>
      <c r="AI135" s="413">
        <f>IF($W135="",0,IF($AA135&gt;0,$AB135*SUMIF(⑳商品別1食労務費!$C$5:$C$124,$W135,⑳商品別1食労務費!$F$5:$F$124)/$AA135,$AB135/$X135))</f>
        <v/>
      </c>
    </row>
    <row r="136" ht="16" customHeight="1" s="438">
      <c r="A136" s="35" t="n">
        <v>132</v>
      </c>
      <c r="B136" s="36" t="n"/>
      <c r="C136" s="5" t="n"/>
      <c r="D136" s="5" t="n"/>
      <c r="E136" s="5" t="n"/>
      <c r="F136" s="37" t="n"/>
      <c r="G136" s="7" t="n"/>
      <c r="H136" s="7" t="n"/>
      <c r="I136" s="7" t="n"/>
      <c r="J136" s="7" t="n"/>
      <c r="K136" s="513">
        <f>IF(F136&gt;0,I136/(F136/60),0)</f>
        <v/>
      </c>
      <c r="L136" s="514">
        <f>IF(AND(ISNUMBER(F136),J136&gt;0),J136/(F136/60),"")</f>
        <v/>
      </c>
      <c r="M136" s="9">
        <f>IF(OR(ISNUMBER(SEARCH("サニテーション",C136)),ISNUMBER(SEARCH("客注",C136)),ISNUMBER(SEARCH("切り替え",C136)),ISNUMBER(SEARCH("切替",C136)),NOT(ISNUMBER(H136))),"",IF(ISNUMBER(G136),G136/60*H136*④前提設定!$B$4,IF(AND(G136="",ISNUMBER(F136)),F136/60*H136*④前提設定!$B$4,"")))</f>
        <v/>
      </c>
      <c r="N136" s="513">
        <f>IF(I136&gt;0,M136/I136,"")</f>
        <v/>
      </c>
      <c r="O136" s="514">
        <f>IF(AND(J136&gt;0,ISNUMBER(M136)),M136/J136,"")</f>
        <v/>
      </c>
      <c r="P136" s="38" t="n"/>
      <c r="Q136" s="39" t="n"/>
      <c r="R136" s="5" t="n"/>
      <c r="S136" s="5" t="n"/>
      <c r="T136" s="5" t="n"/>
      <c r="U136" s="5" t="n"/>
      <c r="V136" s="5" t="n"/>
      <c r="W136" s="5" t="n"/>
      <c r="X136">
        <f>COUNTA(R136:W136)</f>
        <v/>
      </c>
      <c r="Y136">
        <f>IF(AND($X136&gt;0,ISNUMBER($M136)),$M136/$X136,"")</f>
        <v/>
      </c>
      <c r="Z136">
        <f>IF($X136=0,"",IF(COUNTIF(⑳商品別1食労務費!$C$5:$C$124,$R136)+COUNTIF(⑳商品別1食労務費!$C$5:$C$124,$S136)+COUNTIF(⑳商品別1食労務費!$C$5:$C$124,$T136)+COUNTIF(⑳商品別1食労務費!$C$5:$C$124,$U136)+COUNTIF(⑳商品別1食労務費!$C$5:$C$124,$V136)+COUNTIF(⑳商品別1食労務費!$C$5:$C$124,$W136)=$X136,"OK","⑳に無い商品名"))</f>
        <v/>
      </c>
      <c r="AA136">
        <f>SUMIF(⑳商品別1食労務費!$C$5:$C$124,$R136,⑳商品別1食労務費!$F$5:$F$124)+SUMIF(⑳商品別1食労務費!$C$5:$C$124,$S136,⑳商品別1食労務費!$F$5:$F$124)+SUMIF(⑳商品別1食労務費!$C$5:$C$124,$T136,⑳商品別1食労務費!$F$5:$F$124)+SUMIF(⑳商品別1食労務費!$C$5:$C$124,$U136,⑳商品別1食労務費!$F$5:$F$124)+SUMIF(⑳商品別1食労務費!$C$5:$C$124,$V136,⑳商品別1食労務費!$F$5:$F$124)+SUMIF(⑳商品別1食労務費!$C$5:$C$124,$W136,⑳商品別1食労務費!$F$5:$F$124)</f>
        <v/>
      </c>
      <c r="AB136">
        <f>IF(ISNUMBER($M136),$M136,0)</f>
        <v/>
      </c>
      <c r="AD136" s="413">
        <f>IF($R136="",0,IF($AA136&gt;0,$AB136*SUMIF(⑳商品別1食労務費!$C$5:$C$124,$R136,⑳商品別1食労務費!$F$5:$F$124)/$AA136,$AB136/$X136))</f>
        <v/>
      </c>
      <c r="AE136" s="413">
        <f>IF($S136="",0,IF($AA136&gt;0,$AB136*SUMIF(⑳商品別1食労務費!$C$5:$C$124,$S136,⑳商品別1食労務費!$F$5:$F$124)/$AA136,$AB136/$X136))</f>
        <v/>
      </c>
      <c r="AF136" s="413">
        <f>IF($T136="",0,IF($AA136&gt;0,$AB136*SUMIF(⑳商品別1食労務費!$C$5:$C$124,$T136,⑳商品別1食労務費!$F$5:$F$124)/$AA136,$AB136/$X136))</f>
        <v/>
      </c>
      <c r="AG136" s="413">
        <f>IF($U136="",0,IF($AA136&gt;0,$AB136*SUMIF(⑳商品別1食労務費!$C$5:$C$124,$U136,⑳商品別1食労務費!$F$5:$F$124)/$AA136,$AB136/$X136))</f>
        <v/>
      </c>
      <c r="AH136" s="413">
        <f>IF($V136="",0,IF($AA136&gt;0,$AB136*SUMIF(⑳商品別1食労務費!$C$5:$C$124,$V136,⑳商品別1食労務費!$F$5:$F$124)/$AA136,$AB136/$X136))</f>
        <v/>
      </c>
      <c r="AI136" s="413">
        <f>IF($W136="",0,IF($AA136&gt;0,$AB136*SUMIF(⑳商品別1食労務費!$C$5:$C$124,$W136,⑳商品別1食労務費!$F$5:$F$124)/$AA136,$AB136/$X136))</f>
        <v/>
      </c>
    </row>
    <row r="137" ht="16" customHeight="1" s="438">
      <c r="A137" s="35" t="n">
        <v>133</v>
      </c>
      <c r="B137" s="36" t="n"/>
      <c r="C137" s="5" t="n"/>
      <c r="D137" s="5" t="n"/>
      <c r="E137" s="5" t="n"/>
      <c r="F137" s="37" t="n"/>
      <c r="G137" s="7" t="n"/>
      <c r="H137" s="7" t="n"/>
      <c r="I137" s="7" t="n"/>
      <c r="J137" s="7" t="n"/>
      <c r="K137" s="513">
        <f>IF(F137&gt;0,I137/(F137/60),0)</f>
        <v/>
      </c>
      <c r="L137" s="514">
        <f>IF(AND(ISNUMBER(F137),J137&gt;0),J137/(F137/60),"")</f>
        <v/>
      </c>
      <c r="M137" s="9">
        <f>IF(OR(ISNUMBER(SEARCH("サニテーション",C137)),ISNUMBER(SEARCH("客注",C137)),ISNUMBER(SEARCH("切り替え",C137)),ISNUMBER(SEARCH("切替",C137)),NOT(ISNUMBER(H137))),"",IF(ISNUMBER(G137),G137/60*H137*④前提設定!$B$4,IF(AND(G137="",ISNUMBER(F137)),F137/60*H137*④前提設定!$B$4,"")))</f>
        <v/>
      </c>
      <c r="N137" s="513">
        <f>IF(I137&gt;0,M137/I137,"")</f>
        <v/>
      </c>
      <c r="O137" s="514">
        <f>IF(AND(J137&gt;0,ISNUMBER(M137)),M137/J137,"")</f>
        <v/>
      </c>
      <c r="P137" s="38" t="n"/>
      <c r="Q137" s="39" t="n"/>
      <c r="R137" s="5" t="n"/>
      <c r="S137" s="5" t="n"/>
      <c r="T137" s="5" t="n"/>
      <c r="U137" s="5" t="n"/>
      <c r="V137" s="5" t="n"/>
      <c r="W137" s="5" t="n"/>
      <c r="X137">
        <f>COUNTA(R137:W137)</f>
        <v/>
      </c>
      <c r="Y137">
        <f>IF(AND($X137&gt;0,ISNUMBER($M137)),$M137/$X137,"")</f>
        <v/>
      </c>
      <c r="Z137">
        <f>IF($X137=0,"",IF(COUNTIF(⑳商品別1食労務費!$C$5:$C$124,$R137)+COUNTIF(⑳商品別1食労務費!$C$5:$C$124,$S137)+COUNTIF(⑳商品別1食労務費!$C$5:$C$124,$T137)+COUNTIF(⑳商品別1食労務費!$C$5:$C$124,$U137)+COUNTIF(⑳商品別1食労務費!$C$5:$C$124,$V137)+COUNTIF(⑳商品別1食労務費!$C$5:$C$124,$W137)=$X137,"OK","⑳に無い商品名"))</f>
        <v/>
      </c>
      <c r="AA137">
        <f>SUMIF(⑳商品別1食労務費!$C$5:$C$124,$R137,⑳商品別1食労務費!$F$5:$F$124)+SUMIF(⑳商品別1食労務費!$C$5:$C$124,$S137,⑳商品別1食労務費!$F$5:$F$124)+SUMIF(⑳商品別1食労務費!$C$5:$C$124,$T137,⑳商品別1食労務費!$F$5:$F$124)+SUMIF(⑳商品別1食労務費!$C$5:$C$124,$U137,⑳商品別1食労務費!$F$5:$F$124)+SUMIF(⑳商品別1食労務費!$C$5:$C$124,$V137,⑳商品別1食労務費!$F$5:$F$124)+SUMIF(⑳商品別1食労務費!$C$5:$C$124,$W137,⑳商品別1食労務費!$F$5:$F$124)</f>
        <v/>
      </c>
      <c r="AB137">
        <f>IF(ISNUMBER($M137),$M137,0)</f>
        <v/>
      </c>
      <c r="AD137" s="413">
        <f>IF($R137="",0,IF($AA137&gt;0,$AB137*SUMIF(⑳商品別1食労務費!$C$5:$C$124,$R137,⑳商品別1食労務費!$F$5:$F$124)/$AA137,$AB137/$X137))</f>
        <v/>
      </c>
      <c r="AE137" s="413">
        <f>IF($S137="",0,IF($AA137&gt;0,$AB137*SUMIF(⑳商品別1食労務費!$C$5:$C$124,$S137,⑳商品別1食労務費!$F$5:$F$124)/$AA137,$AB137/$X137))</f>
        <v/>
      </c>
      <c r="AF137" s="413">
        <f>IF($T137="",0,IF($AA137&gt;0,$AB137*SUMIF(⑳商品別1食労務費!$C$5:$C$124,$T137,⑳商品別1食労務費!$F$5:$F$124)/$AA137,$AB137/$X137))</f>
        <v/>
      </c>
      <c r="AG137" s="413">
        <f>IF($U137="",0,IF($AA137&gt;0,$AB137*SUMIF(⑳商品別1食労務費!$C$5:$C$124,$U137,⑳商品別1食労務費!$F$5:$F$124)/$AA137,$AB137/$X137))</f>
        <v/>
      </c>
      <c r="AH137" s="413">
        <f>IF($V137="",0,IF($AA137&gt;0,$AB137*SUMIF(⑳商品別1食労務費!$C$5:$C$124,$V137,⑳商品別1食労務費!$F$5:$F$124)/$AA137,$AB137/$X137))</f>
        <v/>
      </c>
      <c r="AI137" s="413">
        <f>IF($W137="",0,IF($AA137&gt;0,$AB137*SUMIF(⑳商品別1食労務費!$C$5:$C$124,$W137,⑳商品別1食労務費!$F$5:$F$124)/$AA137,$AB137/$X137))</f>
        <v/>
      </c>
    </row>
    <row r="138" ht="16" customHeight="1" s="438">
      <c r="A138" s="35" t="n">
        <v>134</v>
      </c>
      <c r="B138" s="36" t="n"/>
      <c r="C138" s="5" t="n"/>
      <c r="D138" s="5" t="n"/>
      <c r="E138" s="5" t="n"/>
      <c r="F138" s="37" t="n"/>
      <c r="G138" s="7" t="n"/>
      <c r="H138" s="7" t="n"/>
      <c r="I138" s="7" t="n"/>
      <c r="J138" s="7" t="n"/>
      <c r="K138" s="513">
        <f>IF(F138&gt;0,I138/(F138/60),0)</f>
        <v/>
      </c>
      <c r="L138" s="514">
        <f>IF(AND(ISNUMBER(F138),J138&gt;0),J138/(F138/60),"")</f>
        <v/>
      </c>
      <c r="M138" s="9">
        <f>IF(OR(ISNUMBER(SEARCH("サニテーション",C138)),ISNUMBER(SEARCH("客注",C138)),ISNUMBER(SEARCH("切り替え",C138)),ISNUMBER(SEARCH("切替",C138)),NOT(ISNUMBER(H138))),"",IF(ISNUMBER(G138),G138/60*H138*④前提設定!$B$4,IF(AND(G138="",ISNUMBER(F138)),F138/60*H138*④前提設定!$B$4,"")))</f>
        <v/>
      </c>
      <c r="N138" s="513">
        <f>IF(I138&gt;0,M138/I138,"")</f>
        <v/>
      </c>
      <c r="O138" s="514">
        <f>IF(AND(J138&gt;0,ISNUMBER(M138)),M138/J138,"")</f>
        <v/>
      </c>
      <c r="P138" s="38" t="n"/>
      <c r="Q138" s="39" t="n"/>
      <c r="R138" s="5" t="n"/>
      <c r="S138" s="5" t="n"/>
      <c r="T138" s="5" t="n"/>
      <c r="U138" s="5" t="n"/>
      <c r="V138" s="5" t="n"/>
      <c r="W138" s="5" t="n"/>
      <c r="X138">
        <f>COUNTA(R138:W138)</f>
        <v/>
      </c>
      <c r="Y138">
        <f>IF(AND($X138&gt;0,ISNUMBER($M138)),$M138/$X138,"")</f>
        <v/>
      </c>
      <c r="Z138">
        <f>IF($X138=0,"",IF(COUNTIF(⑳商品別1食労務費!$C$5:$C$124,$R138)+COUNTIF(⑳商品別1食労務費!$C$5:$C$124,$S138)+COUNTIF(⑳商品別1食労務費!$C$5:$C$124,$T138)+COUNTIF(⑳商品別1食労務費!$C$5:$C$124,$U138)+COUNTIF(⑳商品別1食労務費!$C$5:$C$124,$V138)+COUNTIF(⑳商品別1食労務費!$C$5:$C$124,$W138)=$X138,"OK","⑳に無い商品名"))</f>
        <v/>
      </c>
      <c r="AA138">
        <f>SUMIF(⑳商品別1食労務費!$C$5:$C$124,$R138,⑳商品別1食労務費!$F$5:$F$124)+SUMIF(⑳商品別1食労務費!$C$5:$C$124,$S138,⑳商品別1食労務費!$F$5:$F$124)+SUMIF(⑳商品別1食労務費!$C$5:$C$124,$T138,⑳商品別1食労務費!$F$5:$F$124)+SUMIF(⑳商品別1食労務費!$C$5:$C$124,$U138,⑳商品別1食労務費!$F$5:$F$124)+SUMIF(⑳商品別1食労務費!$C$5:$C$124,$V138,⑳商品別1食労務費!$F$5:$F$124)+SUMIF(⑳商品別1食労務費!$C$5:$C$124,$W138,⑳商品別1食労務費!$F$5:$F$124)</f>
        <v/>
      </c>
      <c r="AB138">
        <f>IF(ISNUMBER($M138),$M138,0)</f>
        <v/>
      </c>
      <c r="AD138" s="413">
        <f>IF($R138="",0,IF($AA138&gt;0,$AB138*SUMIF(⑳商品別1食労務費!$C$5:$C$124,$R138,⑳商品別1食労務費!$F$5:$F$124)/$AA138,$AB138/$X138))</f>
        <v/>
      </c>
      <c r="AE138" s="413">
        <f>IF($S138="",0,IF($AA138&gt;0,$AB138*SUMIF(⑳商品別1食労務費!$C$5:$C$124,$S138,⑳商品別1食労務費!$F$5:$F$124)/$AA138,$AB138/$X138))</f>
        <v/>
      </c>
      <c r="AF138" s="413">
        <f>IF($T138="",0,IF($AA138&gt;0,$AB138*SUMIF(⑳商品別1食労務費!$C$5:$C$124,$T138,⑳商品別1食労務費!$F$5:$F$124)/$AA138,$AB138/$X138))</f>
        <v/>
      </c>
      <c r="AG138" s="413">
        <f>IF($U138="",0,IF($AA138&gt;0,$AB138*SUMIF(⑳商品別1食労務費!$C$5:$C$124,$U138,⑳商品別1食労務費!$F$5:$F$124)/$AA138,$AB138/$X138))</f>
        <v/>
      </c>
      <c r="AH138" s="413">
        <f>IF($V138="",0,IF($AA138&gt;0,$AB138*SUMIF(⑳商品別1食労務費!$C$5:$C$124,$V138,⑳商品別1食労務費!$F$5:$F$124)/$AA138,$AB138/$X138))</f>
        <v/>
      </c>
      <c r="AI138" s="413">
        <f>IF($W138="",0,IF($AA138&gt;0,$AB138*SUMIF(⑳商品別1食労務費!$C$5:$C$124,$W138,⑳商品別1食労務費!$F$5:$F$124)/$AA138,$AB138/$X138))</f>
        <v/>
      </c>
    </row>
    <row r="139" ht="16" customHeight="1" s="438">
      <c r="A139" s="35" t="n">
        <v>135</v>
      </c>
      <c r="B139" s="36" t="n"/>
      <c r="C139" s="5" t="n"/>
      <c r="D139" s="5" t="n"/>
      <c r="E139" s="5" t="n"/>
      <c r="F139" s="37" t="n"/>
      <c r="G139" s="7" t="n"/>
      <c r="H139" s="7" t="n"/>
      <c r="I139" s="7" t="n"/>
      <c r="J139" s="7" t="n"/>
      <c r="K139" s="513">
        <f>IF(F139&gt;0,I139/(F139/60),0)</f>
        <v/>
      </c>
      <c r="L139" s="514">
        <f>IF(AND(ISNUMBER(F139),J139&gt;0),J139/(F139/60),"")</f>
        <v/>
      </c>
      <c r="M139" s="9">
        <f>IF(OR(ISNUMBER(SEARCH("サニテーション",C139)),ISNUMBER(SEARCH("客注",C139)),ISNUMBER(SEARCH("切り替え",C139)),ISNUMBER(SEARCH("切替",C139)),NOT(ISNUMBER(H139))),"",IF(ISNUMBER(G139),G139/60*H139*④前提設定!$B$4,IF(AND(G139="",ISNUMBER(F139)),F139/60*H139*④前提設定!$B$4,"")))</f>
        <v/>
      </c>
      <c r="N139" s="513">
        <f>IF(I139&gt;0,M139/I139,"")</f>
        <v/>
      </c>
      <c r="O139" s="514">
        <f>IF(AND(J139&gt;0,ISNUMBER(M139)),M139/J139,"")</f>
        <v/>
      </c>
      <c r="P139" s="38" t="n"/>
      <c r="Q139" s="39" t="n"/>
      <c r="R139" s="5" t="n"/>
      <c r="S139" s="5" t="n"/>
      <c r="T139" s="5" t="n"/>
      <c r="U139" s="5" t="n"/>
      <c r="V139" s="5" t="n"/>
      <c r="W139" s="5" t="n"/>
      <c r="X139">
        <f>COUNTA(R139:W139)</f>
        <v/>
      </c>
      <c r="Y139">
        <f>IF(AND($X139&gt;0,ISNUMBER($M139)),$M139/$X139,"")</f>
        <v/>
      </c>
      <c r="Z139">
        <f>IF($X139=0,"",IF(COUNTIF(⑳商品別1食労務費!$C$5:$C$124,$R139)+COUNTIF(⑳商品別1食労務費!$C$5:$C$124,$S139)+COUNTIF(⑳商品別1食労務費!$C$5:$C$124,$T139)+COUNTIF(⑳商品別1食労務費!$C$5:$C$124,$U139)+COUNTIF(⑳商品別1食労務費!$C$5:$C$124,$V139)+COUNTIF(⑳商品別1食労務費!$C$5:$C$124,$W139)=$X139,"OK","⑳に無い商品名"))</f>
        <v/>
      </c>
      <c r="AA139">
        <f>SUMIF(⑳商品別1食労務費!$C$5:$C$124,$R139,⑳商品別1食労務費!$F$5:$F$124)+SUMIF(⑳商品別1食労務費!$C$5:$C$124,$S139,⑳商品別1食労務費!$F$5:$F$124)+SUMIF(⑳商品別1食労務費!$C$5:$C$124,$T139,⑳商品別1食労務費!$F$5:$F$124)+SUMIF(⑳商品別1食労務費!$C$5:$C$124,$U139,⑳商品別1食労務費!$F$5:$F$124)+SUMIF(⑳商品別1食労務費!$C$5:$C$124,$V139,⑳商品別1食労務費!$F$5:$F$124)+SUMIF(⑳商品別1食労務費!$C$5:$C$124,$W139,⑳商品別1食労務費!$F$5:$F$124)</f>
        <v/>
      </c>
      <c r="AB139">
        <f>IF(ISNUMBER($M139),$M139,0)</f>
        <v/>
      </c>
      <c r="AD139" s="413">
        <f>IF($R139="",0,IF($AA139&gt;0,$AB139*SUMIF(⑳商品別1食労務費!$C$5:$C$124,$R139,⑳商品別1食労務費!$F$5:$F$124)/$AA139,$AB139/$X139))</f>
        <v/>
      </c>
      <c r="AE139" s="413">
        <f>IF($S139="",0,IF($AA139&gt;0,$AB139*SUMIF(⑳商品別1食労務費!$C$5:$C$124,$S139,⑳商品別1食労務費!$F$5:$F$124)/$AA139,$AB139/$X139))</f>
        <v/>
      </c>
      <c r="AF139" s="413">
        <f>IF($T139="",0,IF($AA139&gt;0,$AB139*SUMIF(⑳商品別1食労務費!$C$5:$C$124,$T139,⑳商品別1食労務費!$F$5:$F$124)/$AA139,$AB139/$X139))</f>
        <v/>
      </c>
      <c r="AG139" s="413">
        <f>IF($U139="",0,IF($AA139&gt;0,$AB139*SUMIF(⑳商品別1食労務費!$C$5:$C$124,$U139,⑳商品別1食労務費!$F$5:$F$124)/$AA139,$AB139/$X139))</f>
        <v/>
      </c>
      <c r="AH139" s="413">
        <f>IF($V139="",0,IF($AA139&gt;0,$AB139*SUMIF(⑳商品別1食労務費!$C$5:$C$124,$V139,⑳商品別1食労務費!$F$5:$F$124)/$AA139,$AB139/$X139))</f>
        <v/>
      </c>
      <c r="AI139" s="413">
        <f>IF($W139="",0,IF($AA139&gt;0,$AB139*SUMIF(⑳商品別1食労務費!$C$5:$C$124,$W139,⑳商品別1食労務費!$F$5:$F$124)/$AA139,$AB139/$X139))</f>
        <v/>
      </c>
    </row>
    <row r="140" ht="16" customHeight="1" s="438">
      <c r="A140" s="35" t="n">
        <v>136</v>
      </c>
      <c r="B140" s="36" t="n"/>
      <c r="C140" s="5" t="n"/>
      <c r="D140" s="5" t="n"/>
      <c r="E140" s="5" t="n"/>
      <c r="F140" s="37" t="n"/>
      <c r="G140" s="7" t="n"/>
      <c r="H140" s="7" t="n"/>
      <c r="I140" s="7" t="n"/>
      <c r="J140" s="7" t="n"/>
      <c r="K140" s="513">
        <f>IF(F140&gt;0,I140/(F140/60),0)</f>
        <v/>
      </c>
      <c r="L140" s="514">
        <f>IF(AND(ISNUMBER(F140),J140&gt;0),J140/(F140/60),"")</f>
        <v/>
      </c>
      <c r="M140" s="9">
        <f>IF(OR(ISNUMBER(SEARCH("サニテーション",C140)),ISNUMBER(SEARCH("客注",C140)),ISNUMBER(SEARCH("切り替え",C140)),ISNUMBER(SEARCH("切替",C140)),NOT(ISNUMBER(H140))),"",IF(ISNUMBER(G140),G140/60*H140*④前提設定!$B$4,IF(AND(G140="",ISNUMBER(F140)),F140/60*H140*④前提設定!$B$4,"")))</f>
        <v/>
      </c>
      <c r="N140" s="513">
        <f>IF(I140&gt;0,M140/I140,"")</f>
        <v/>
      </c>
      <c r="O140" s="514">
        <f>IF(AND(J140&gt;0,ISNUMBER(M140)),M140/J140,"")</f>
        <v/>
      </c>
      <c r="P140" s="38" t="n"/>
      <c r="Q140" s="39" t="n"/>
      <c r="R140" s="5" t="n"/>
      <c r="S140" s="5" t="n"/>
      <c r="T140" s="5" t="n"/>
      <c r="U140" s="5" t="n"/>
      <c r="V140" s="5" t="n"/>
      <c r="W140" s="5" t="n"/>
      <c r="X140">
        <f>COUNTA(R140:W140)</f>
        <v/>
      </c>
      <c r="Y140">
        <f>IF(AND($X140&gt;0,ISNUMBER($M140)),$M140/$X140,"")</f>
        <v/>
      </c>
      <c r="Z140">
        <f>IF($X140=0,"",IF(COUNTIF(⑳商品別1食労務費!$C$5:$C$124,$R140)+COUNTIF(⑳商品別1食労務費!$C$5:$C$124,$S140)+COUNTIF(⑳商品別1食労務費!$C$5:$C$124,$T140)+COUNTIF(⑳商品別1食労務費!$C$5:$C$124,$U140)+COUNTIF(⑳商品別1食労務費!$C$5:$C$124,$V140)+COUNTIF(⑳商品別1食労務費!$C$5:$C$124,$W140)=$X140,"OK","⑳に無い商品名"))</f>
        <v/>
      </c>
      <c r="AA140">
        <f>SUMIF(⑳商品別1食労務費!$C$5:$C$124,$R140,⑳商品別1食労務費!$F$5:$F$124)+SUMIF(⑳商品別1食労務費!$C$5:$C$124,$S140,⑳商品別1食労務費!$F$5:$F$124)+SUMIF(⑳商品別1食労務費!$C$5:$C$124,$T140,⑳商品別1食労務費!$F$5:$F$124)+SUMIF(⑳商品別1食労務費!$C$5:$C$124,$U140,⑳商品別1食労務費!$F$5:$F$124)+SUMIF(⑳商品別1食労務費!$C$5:$C$124,$V140,⑳商品別1食労務費!$F$5:$F$124)+SUMIF(⑳商品別1食労務費!$C$5:$C$124,$W140,⑳商品別1食労務費!$F$5:$F$124)</f>
        <v/>
      </c>
      <c r="AB140">
        <f>IF(ISNUMBER($M140),$M140,0)</f>
        <v/>
      </c>
      <c r="AD140" s="413">
        <f>IF($R140="",0,IF($AA140&gt;0,$AB140*SUMIF(⑳商品別1食労務費!$C$5:$C$124,$R140,⑳商品別1食労務費!$F$5:$F$124)/$AA140,$AB140/$X140))</f>
        <v/>
      </c>
      <c r="AE140" s="413">
        <f>IF($S140="",0,IF($AA140&gt;0,$AB140*SUMIF(⑳商品別1食労務費!$C$5:$C$124,$S140,⑳商品別1食労務費!$F$5:$F$124)/$AA140,$AB140/$X140))</f>
        <v/>
      </c>
      <c r="AF140" s="413">
        <f>IF($T140="",0,IF($AA140&gt;0,$AB140*SUMIF(⑳商品別1食労務費!$C$5:$C$124,$T140,⑳商品別1食労務費!$F$5:$F$124)/$AA140,$AB140/$X140))</f>
        <v/>
      </c>
      <c r="AG140" s="413">
        <f>IF($U140="",0,IF($AA140&gt;0,$AB140*SUMIF(⑳商品別1食労務費!$C$5:$C$124,$U140,⑳商品別1食労務費!$F$5:$F$124)/$AA140,$AB140/$X140))</f>
        <v/>
      </c>
      <c r="AH140" s="413">
        <f>IF($V140="",0,IF($AA140&gt;0,$AB140*SUMIF(⑳商品別1食労務費!$C$5:$C$124,$V140,⑳商品別1食労務費!$F$5:$F$124)/$AA140,$AB140/$X140))</f>
        <v/>
      </c>
      <c r="AI140" s="413">
        <f>IF($W140="",0,IF($AA140&gt;0,$AB140*SUMIF(⑳商品別1食労務費!$C$5:$C$124,$W140,⑳商品別1食労務費!$F$5:$F$124)/$AA140,$AB140/$X140))</f>
        <v/>
      </c>
    </row>
    <row r="141" ht="16" customHeight="1" s="438">
      <c r="A141" s="35" t="n">
        <v>137</v>
      </c>
      <c r="B141" s="36" t="n"/>
      <c r="C141" s="5" t="n"/>
      <c r="D141" s="5" t="n"/>
      <c r="E141" s="5" t="n"/>
      <c r="F141" s="37" t="n"/>
      <c r="G141" s="7" t="n"/>
      <c r="H141" s="7" t="n"/>
      <c r="I141" s="7" t="n"/>
      <c r="J141" s="7" t="n"/>
      <c r="K141" s="513">
        <f>IF(F141&gt;0,I141/(F141/60),0)</f>
        <v/>
      </c>
      <c r="L141" s="514">
        <f>IF(AND(ISNUMBER(F141),J141&gt;0),J141/(F141/60),"")</f>
        <v/>
      </c>
      <c r="M141" s="9">
        <f>IF(OR(ISNUMBER(SEARCH("サニテーション",C141)),ISNUMBER(SEARCH("客注",C141)),ISNUMBER(SEARCH("切り替え",C141)),ISNUMBER(SEARCH("切替",C141)),NOT(ISNUMBER(H141))),"",IF(ISNUMBER(G141),G141/60*H141*④前提設定!$B$4,IF(AND(G141="",ISNUMBER(F141)),F141/60*H141*④前提設定!$B$4,"")))</f>
        <v/>
      </c>
      <c r="N141" s="513">
        <f>IF(I141&gt;0,M141/I141,"")</f>
        <v/>
      </c>
      <c r="O141" s="514">
        <f>IF(AND(J141&gt;0,ISNUMBER(M141)),M141/J141,"")</f>
        <v/>
      </c>
      <c r="P141" s="38" t="n"/>
      <c r="Q141" s="39" t="n"/>
      <c r="R141" s="5" t="n"/>
      <c r="S141" s="5" t="n"/>
      <c r="T141" s="5" t="n"/>
      <c r="U141" s="5" t="n"/>
      <c r="V141" s="5" t="n"/>
      <c r="W141" s="5" t="n"/>
      <c r="X141">
        <f>COUNTA(R141:W141)</f>
        <v/>
      </c>
      <c r="Y141">
        <f>IF(AND($X141&gt;0,ISNUMBER($M141)),$M141/$X141,"")</f>
        <v/>
      </c>
      <c r="Z141">
        <f>IF($X141=0,"",IF(COUNTIF(⑳商品別1食労務費!$C$5:$C$124,$R141)+COUNTIF(⑳商品別1食労務費!$C$5:$C$124,$S141)+COUNTIF(⑳商品別1食労務費!$C$5:$C$124,$T141)+COUNTIF(⑳商品別1食労務費!$C$5:$C$124,$U141)+COUNTIF(⑳商品別1食労務費!$C$5:$C$124,$V141)+COUNTIF(⑳商品別1食労務費!$C$5:$C$124,$W141)=$X141,"OK","⑳に無い商品名"))</f>
        <v/>
      </c>
      <c r="AA141">
        <f>SUMIF(⑳商品別1食労務費!$C$5:$C$124,$R141,⑳商品別1食労務費!$F$5:$F$124)+SUMIF(⑳商品別1食労務費!$C$5:$C$124,$S141,⑳商品別1食労務費!$F$5:$F$124)+SUMIF(⑳商品別1食労務費!$C$5:$C$124,$T141,⑳商品別1食労務費!$F$5:$F$124)+SUMIF(⑳商品別1食労務費!$C$5:$C$124,$U141,⑳商品別1食労務費!$F$5:$F$124)+SUMIF(⑳商品別1食労務費!$C$5:$C$124,$V141,⑳商品別1食労務費!$F$5:$F$124)+SUMIF(⑳商品別1食労務費!$C$5:$C$124,$W141,⑳商品別1食労務費!$F$5:$F$124)</f>
        <v/>
      </c>
      <c r="AB141">
        <f>IF(ISNUMBER($M141),$M141,0)</f>
        <v/>
      </c>
      <c r="AD141" s="413">
        <f>IF($R141="",0,IF($AA141&gt;0,$AB141*SUMIF(⑳商品別1食労務費!$C$5:$C$124,$R141,⑳商品別1食労務費!$F$5:$F$124)/$AA141,$AB141/$X141))</f>
        <v/>
      </c>
      <c r="AE141" s="413">
        <f>IF($S141="",0,IF($AA141&gt;0,$AB141*SUMIF(⑳商品別1食労務費!$C$5:$C$124,$S141,⑳商品別1食労務費!$F$5:$F$124)/$AA141,$AB141/$X141))</f>
        <v/>
      </c>
      <c r="AF141" s="413">
        <f>IF($T141="",0,IF($AA141&gt;0,$AB141*SUMIF(⑳商品別1食労務費!$C$5:$C$124,$T141,⑳商品別1食労務費!$F$5:$F$124)/$AA141,$AB141/$X141))</f>
        <v/>
      </c>
      <c r="AG141" s="413">
        <f>IF($U141="",0,IF($AA141&gt;0,$AB141*SUMIF(⑳商品別1食労務費!$C$5:$C$124,$U141,⑳商品別1食労務費!$F$5:$F$124)/$AA141,$AB141/$X141))</f>
        <v/>
      </c>
      <c r="AH141" s="413">
        <f>IF($V141="",0,IF($AA141&gt;0,$AB141*SUMIF(⑳商品別1食労務費!$C$5:$C$124,$V141,⑳商品別1食労務費!$F$5:$F$124)/$AA141,$AB141/$X141))</f>
        <v/>
      </c>
      <c r="AI141" s="413">
        <f>IF($W141="",0,IF($AA141&gt;0,$AB141*SUMIF(⑳商品別1食労務費!$C$5:$C$124,$W141,⑳商品別1食労務費!$F$5:$F$124)/$AA141,$AB141/$X141))</f>
        <v/>
      </c>
    </row>
    <row r="142" ht="16" customHeight="1" s="438">
      <c r="A142" s="35" t="n">
        <v>138</v>
      </c>
      <c r="B142" s="36" t="n"/>
      <c r="C142" s="5" t="n"/>
      <c r="D142" s="5" t="n"/>
      <c r="E142" s="5" t="n"/>
      <c r="F142" s="37" t="n"/>
      <c r="G142" s="7" t="n"/>
      <c r="H142" s="7" t="n"/>
      <c r="I142" s="7" t="n"/>
      <c r="J142" s="7" t="n"/>
      <c r="K142" s="513">
        <f>IF(F142&gt;0,I142/(F142/60),0)</f>
        <v/>
      </c>
      <c r="L142" s="514">
        <f>IF(AND(ISNUMBER(F142),J142&gt;0),J142/(F142/60),"")</f>
        <v/>
      </c>
      <c r="M142" s="9">
        <f>IF(OR(ISNUMBER(SEARCH("サニテーション",C142)),ISNUMBER(SEARCH("客注",C142)),ISNUMBER(SEARCH("切り替え",C142)),ISNUMBER(SEARCH("切替",C142)),NOT(ISNUMBER(H142))),"",IF(ISNUMBER(G142),G142/60*H142*④前提設定!$B$4,IF(AND(G142="",ISNUMBER(F142)),F142/60*H142*④前提設定!$B$4,"")))</f>
        <v/>
      </c>
      <c r="N142" s="513">
        <f>IF(I142&gt;0,M142/I142,"")</f>
        <v/>
      </c>
      <c r="O142" s="514">
        <f>IF(AND(J142&gt;0,ISNUMBER(M142)),M142/J142,"")</f>
        <v/>
      </c>
      <c r="P142" s="38" t="n"/>
      <c r="Q142" s="39" t="n"/>
      <c r="R142" s="5" t="n"/>
      <c r="S142" s="5" t="n"/>
      <c r="T142" s="5" t="n"/>
      <c r="U142" s="5" t="n"/>
      <c r="V142" s="5" t="n"/>
      <c r="W142" s="5" t="n"/>
      <c r="X142">
        <f>COUNTA(R142:W142)</f>
        <v/>
      </c>
      <c r="Y142">
        <f>IF(AND($X142&gt;0,ISNUMBER($M142)),$M142/$X142,"")</f>
        <v/>
      </c>
      <c r="Z142">
        <f>IF($X142=0,"",IF(COUNTIF(⑳商品別1食労務費!$C$5:$C$124,$R142)+COUNTIF(⑳商品別1食労務費!$C$5:$C$124,$S142)+COUNTIF(⑳商品別1食労務費!$C$5:$C$124,$T142)+COUNTIF(⑳商品別1食労務費!$C$5:$C$124,$U142)+COUNTIF(⑳商品別1食労務費!$C$5:$C$124,$V142)+COUNTIF(⑳商品別1食労務費!$C$5:$C$124,$W142)=$X142,"OK","⑳に無い商品名"))</f>
        <v/>
      </c>
      <c r="AA142">
        <f>SUMIF(⑳商品別1食労務費!$C$5:$C$124,$R142,⑳商品別1食労務費!$F$5:$F$124)+SUMIF(⑳商品別1食労務費!$C$5:$C$124,$S142,⑳商品別1食労務費!$F$5:$F$124)+SUMIF(⑳商品別1食労務費!$C$5:$C$124,$T142,⑳商品別1食労務費!$F$5:$F$124)+SUMIF(⑳商品別1食労務費!$C$5:$C$124,$U142,⑳商品別1食労務費!$F$5:$F$124)+SUMIF(⑳商品別1食労務費!$C$5:$C$124,$V142,⑳商品別1食労務費!$F$5:$F$124)+SUMIF(⑳商品別1食労務費!$C$5:$C$124,$W142,⑳商品別1食労務費!$F$5:$F$124)</f>
        <v/>
      </c>
      <c r="AB142">
        <f>IF(ISNUMBER($M142),$M142,0)</f>
        <v/>
      </c>
      <c r="AD142" s="413">
        <f>IF($R142="",0,IF($AA142&gt;0,$AB142*SUMIF(⑳商品別1食労務費!$C$5:$C$124,$R142,⑳商品別1食労務費!$F$5:$F$124)/$AA142,$AB142/$X142))</f>
        <v/>
      </c>
      <c r="AE142" s="413">
        <f>IF($S142="",0,IF($AA142&gt;0,$AB142*SUMIF(⑳商品別1食労務費!$C$5:$C$124,$S142,⑳商品別1食労務費!$F$5:$F$124)/$AA142,$AB142/$X142))</f>
        <v/>
      </c>
      <c r="AF142" s="413">
        <f>IF($T142="",0,IF($AA142&gt;0,$AB142*SUMIF(⑳商品別1食労務費!$C$5:$C$124,$T142,⑳商品別1食労務費!$F$5:$F$124)/$AA142,$AB142/$X142))</f>
        <v/>
      </c>
      <c r="AG142" s="413">
        <f>IF($U142="",0,IF($AA142&gt;0,$AB142*SUMIF(⑳商品別1食労務費!$C$5:$C$124,$U142,⑳商品別1食労務費!$F$5:$F$124)/$AA142,$AB142/$X142))</f>
        <v/>
      </c>
      <c r="AH142" s="413">
        <f>IF($V142="",0,IF($AA142&gt;0,$AB142*SUMIF(⑳商品別1食労務費!$C$5:$C$124,$V142,⑳商品別1食労務費!$F$5:$F$124)/$AA142,$AB142/$X142))</f>
        <v/>
      </c>
      <c r="AI142" s="413">
        <f>IF($W142="",0,IF($AA142&gt;0,$AB142*SUMIF(⑳商品別1食労務費!$C$5:$C$124,$W142,⑳商品別1食労務費!$F$5:$F$124)/$AA142,$AB142/$X142))</f>
        <v/>
      </c>
    </row>
    <row r="143" ht="16" customHeight="1" s="438">
      <c r="A143" s="35" t="n">
        <v>139</v>
      </c>
      <c r="B143" s="36" t="n"/>
      <c r="C143" s="5" t="n"/>
      <c r="D143" s="5" t="n"/>
      <c r="E143" s="5" t="n"/>
      <c r="F143" s="37" t="n"/>
      <c r="G143" s="7" t="n"/>
      <c r="H143" s="7" t="n"/>
      <c r="I143" s="7" t="n"/>
      <c r="J143" s="7" t="n"/>
      <c r="K143" s="513">
        <f>IF(F143&gt;0,I143/(F143/60),0)</f>
        <v/>
      </c>
      <c r="L143" s="514">
        <f>IF(AND(ISNUMBER(F143),J143&gt;0),J143/(F143/60),"")</f>
        <v/>
      </c>
      <c r="M143" s="9">
        <f>IF(OR(ISNUMBER(SEARCH("サニテーション",C143)),ISNUMBER(SEARCH("客注",C143)),ISNUMBER(SEARCH("切り替え",C143)),ISNUMBER(SEARCH("切替",C143)),NOT(ISNUMBER(H143))),"",IF(ISNUMBER(G143),G143/60*H143*④前提設定!$B$4,IF(AND(G143="",ISNUMBER(F143)),F143/60*H143*④前提設定!$B$4,"")))</f>
        <v/>
      </c>
      <c r="N143" s="513">
        <f>IF(I143&gt;0,M143/I143,"")</f>
        <v/>
      </c>
      <c r="O143" s="514">
        <f>IF(AND(J143&gt;0,ISNUMBER(M143)),M143/J143,"")</f>
        <v/>
      </c>
      <c r="P143" s="38" t="n"/>
      <c r="Q143" s="39" t="n"/>
      <c r="R143" s="5" t="n"/>
      <c r="S143" s="5" t="n"/>
      <c r="T143" s="5" t="n"/>
      <c r="U143" s="5" t="n"/>
      <c r="V143" s="5" t="n"/>
      <c r="W143" s="5" t="n"/>
      <c r="X143">
        <f>COUNTA(R143:W143)</f>
        <v/>
      </c>
      <c r="Y143">
        <f>IF(AND($X143&gt;0,ISNUMBER($M143)),$M143/$X143,"")</f>
        <v/>
      </c>
      <c r="Z143">
        <f>IF($X143=0,"",IF(COUNTIF(⑳商品別1食労務費!$C$5:$C$124,$R143)+COUNTIF(⑳商品別1食労務費!$C$5:$C$124,$S143)+COUNTIF(⑳商品別1食労務費!$C$5:$C$124,$T143)+COUNTIF(⑳商品別1食労務費!$C$5:$C$124,$U143)+COUNTIF(⑳商品別1食労務費!$C$5:$C$124,$V143)+COUNTIF(⑳商品別1食労務費!$C$5:$C$124,$W143)=$X143,"OK","⑳に無い商品名"))</f>
        <v/>
      </c>
      <c r="AA143">
        <f>SUMIF(⑳商品別1食労務費!$C$5:$C$124,$R143,⑳商品別1食労務費!$F$5:$F$124)+SUMIF(⑳商品別1食労務費!$C$5:$C$124,$S143,⑳商品別1食労務費!$F$5:$F$124)+SUMIF(⑳商品別1食労務費!$C$5:$C$124,$T143,⑳商品別1食労務費!$F$5:$F$124)+SUMIF(⑳商品別1食労務費!$C$5:$C$124,$U143,⑳商品別1食労務費!$F$5:$F$124)+SUMIF(⑳商品別1食労務費!$C$5:$C$124,$V143,⑳商品別1食労務費!$F$5:$F$124)+SUMIF(⑳商品別1食労務費!$C$5:$C$124,$W143,⑳商品別1食労務費!$F$5:$F$124)</f>
        <v/>
      </c>
      <c r="AB143">
        <f>IF(ISNUMBER($M143),$M143,0)</f>
        <v/>
      </c>
      <c r="AD143" s="413">
        <f>IF($R143="",0,IF($AA143&gt;0,$AB143*SUMIF(⑳商品別1食労務費!$C$5:$C$124,$R143,⑳商品別1食労務費!$F$5:$F$124)/$AA143,$AB143/$X143))</f>
        <v/>
      </c>
      <c r="AE143" s="413">
        <f>IF($S143="",0,IF($AA143&gt;0,$AB143*SUMIF(⑳商品別1食労務費!$C$5:$C$124,$S143,⑳商品別1食労務費!$F$5:$F$124)/$AA143,$AB143/$X143))</f>
        <v/>
      </c>
      <c r="AF143" s="413">
        <f>IF($T143="",0,IF($AA143&gt;0,$AB143*SUMIF(⑳商品別1食労務費!$C$5:$C$124,$T143,⑳商品別1食労務費!$F$5:$F$124)/$AA143,$AB143/$X143))</f>
        <v/>
      </c>
      <c r="AG143" s="413">
        <f>IF($U143="",0,IF($AA143&gt;0,$AB143*SUMIF(⑳商品別1食労務費!$C$5:$C$124,$U143,⑳商品別1食労務費!$F$5:$F$124)/$AA143,$AB143/$X143))</f>
        <v/>
      </c>
      <c r="AH143" s="413">
        <f>IF($V143="",0,IF($AA143&gt;0,$AB143*SUMIF(⑳商品別1食労務費!$C$5:$C$124,$V143,⑳商品別1食労務費!$F$5:$F$124)/$AA143,$AB143/$X143))</f>
        <v/>
      </c>
      <c r="AI143" s="413">
        <f>IF($W143="",0,IF($AA143&gt;0,$AB143*SUMIF(⑳商品別1食労務費!$C$5:$C$124,$W143,⑳商品別1食労務費!$F$5:$F$124)/$AA143,$AB143/$X143))</f>
        <v/>
      </c>
    </row>
    <row r="144" ht="16" customHeight="1" s="438">
      <c r="A144" s="35" t="n">
        <v>140</v>
      </c>
      <c r="B144" s="36" t="n"/>
      <c r="C144" s="5" t="n"/>
      <c r="D144" s="5" t="n"/>
      <c r="E144" s="5" t="n"/>
      <c r="F144" s="37" t="n"/>
      <c r="G144" s="7" t="n"/>
      <c r="H144" s="7" t="n"/>
      <c r="I144" s="7" t="n"/>
      <c r="J144" s="7" t="n"/>
      <c r="K144" s="513">
        <f>IF(F144&gt;0,I144/(F144/60),0)</f>
        <v/>
      </c>
      <c r="L144" s="514">
        <f>IF(AND(ISNUMBER(F144),J144&gt;0),J144/(F144/60),"")</f>
        <v/>
      </c>
      <c r="M144" s="9">
        <f>IF(OR(ISNUMBER(SEARCH("サニテーション",C144)),ISNUMBER(SEARCH("客注",C144)),ISNUMBER(SEARCH("切り替え",C144)),ISNUMBER(SEARCH("切替",C144)),NOT(ISNUMBER(H144))),"",IF(ISNUMBER(G144),G144/60*H144*④前提設定!$B$4,IF(AND(G144="",ISNUMBER(F144)),F144/60*H144*④前提設定!$B$4,"")))</f>
        <v/>
      </c>
      <c r="N144" s="513">
        <f>IF(I144&gt;0,M144/I144,"")</f>
        <v/>
      </c>
      <c r="O144" s="514">
        <f>IF(AND(J144&gt;0,ISNUMBER(M144)),M144/J144,"")</f>
        <v/>
      </c>
      <c r="P144" s="38" t="n"/>
      <c r="Q144" s="39" t="n"/>
      <c r="R144" s="5" t="n"/>
      <c r="S144" s="5" t="n"/>
      <c r="T144" s="5" t="n"/>
      <c r="U144" s="5" t="n"/>
      <c r="V144" s="5" t="n"/>
      <c r="W144" s="5" t="n"/>
      <c r="X144">
        <f>COUNTA(R144:W144)</f>
        <v/>
      </c>
      <c r="Y144">
        <f>IF(AND($X144&gt;0,ISNUMBER($M144)),$M144/$X144,"")</f>
        <v/>
      </c>
      <c r="Z144">
        <f>IF($X144=0,"",IF(COUNTIF(⑳商品別1食労務費!$C$5:$C$124,$R144)+COUNTIF(⑳商品別1食労務費!$C$5:$C$124,$S144)+COUNTIF(⑳商品別1食労務費!$C$5:$C$124,$T144)+COUNTIF(⑳商品別1食労務費!$C$5:$C$124,$U144)+COUNTIF(⑳商品別1食労務費!$C$5:$C$124,$V144)+COUNTIF(⑳商品別1食労務費!$C$5:$C$124,$W144)=$X144,"OK","⑳に無い商品名"))</f>
        <v/>
      </c>
      <c r="AA144">
        <f>SUMIF(⑳商品別1食労務費!$C$5:$C$124,$R144,⑳商品別1食労務費!$F$5:$F$124)+SUMIF(⑳商品別1食労務費!$C$5:$C$124,$S144,⑳商品別1食労務費!$F$5:$F$124)+SUMIF(⑳商品別1食労務費!$C$5:$C$124,$T144,⑳商品別1食労務費!$F$5:$F$124)+SUMIF(⑳商品別1食労務費!$C$5:$C$124,$U144,⑳商品別1食労務費!$F$5:$F$124)+SUMIF(⑳商品別1食労務費!$C$5:$C$124,$V144,⑳商品別1食労務費!$F$5:$F$124)+SUMIF(⑳商品別1食労務費!$C$5:$C$124,$W144,⑳商品別1食労務費!$F$5:$F$124)</f>
        <v/>
      </c>
      <c r="AB144">
        <f>IF(ISNUMBER($M144),$M144,0)</f>
        <v/>
      </c>
      <c r="AD144" s="413">
        <f>IF($R144="",0,IF($AA144&gt;0,$AB144*SUMIF(⑳商品別1食労務費!$C$5:$C$124,$R144,⑳商品別1食労務費!$F$5:$F$124)/$AA144,$AB144/$X144))</f>
        <v/>
      </c>
      <c r="AE144" s="413">
        <f>IF($S144="",0,IF($AA144&gt;0,$AB144*SUMIF(⑳商品別1食労務費!$C$5:$C$124,$S144,⑳商品別1食労務費!$F$5:$F$124)/$AA144,$AB144/$X144))</f>
        <v/>
      </c>
      <c r="AF144" s="413">
        <f>IF($T144="",0,IF($AA144&gt;0,$AB144*SUMIF(⑳商品別1食労務費!$C$5:$C$124,$T144,⑳商品別1食労務費!$F$5:$F$124)/$AA144,$AB144/$X144))</f>
        <v/>
      </c>
      <c r="AG144" s="413">
        <f>IF($U144="",0,IF($AA144&gt;0,$AB144*SUMIF(⑳商品別1食労務費!$C$5:$C$124,$U144,⑳商品別1食労務費!$F$5:$F$124)/$AA144,$AB144/$X144))</f>
        <v/>
      </c>
      <c r="AH144" s="413">
        <f>IF($V144="",0,IF($AA144&gt;0,$AB144*SUMIF(⑳商品別1食労務費!$C$5:$C$124,$V144,⑳商品別1食労務費!$F$5:$F$124)/$AA144,$AB144/$X144))</f>
        <v/>
      </c>
      <c r="AI144" s="413">
        <f>IF($W144="",0,IF($AA144&gt;0,$AB144*SUMIF(⑳商品別1食労務費!$C$5:$C$124,$W144,⑳商品別1食労務費!$F$5:$F$124)/$AA144,$AB144/$X144))</f>
        <v/>
      </c>
    </row>
    <row r="145" ht="16" customHeight="1" s="438">
      <c r="A145" s="35" t="n">
        <v>141</v>
      </c>
      <c r="B145" s="36" t="n"/>
      <c r="C145" s="5" t="n"/>
      <c r="D145" s="5" t="n"/>
      <c r="E145" s="5" t="n"/>
      <c r="F145" s="37" t="n"/>
      <c r="G145" s="7" t="n"/>
      <c r="H145" s="7" t="n"/>
      <c r="I145" s="7" t="n"/>
      <c r="J145" s="7" t="n"/>
      <c r="K145" s="513">
        <f>IF(F145&gt;0,I145/(F145/60),0)</f>
        <v/>
      </c>
      <c r="L145" s="514">
        <f>IF(AND(ISNUMBER(F145),J145&gt;0),J145/(F145/60),"")</f>
        <v/>
      </c>
      <c r="M145" s="9">
        <f>IF(OR(ISNUMBER(SEARCH("サニテーション",C145)),ISNUMBER(SEARCH("客注",C145)),ISNUMBER(SEARCH("切り替え",C145)),ISNUMBER(SEARCH("切替",C145)),NOT(ISNUMBER(H145))),"",IF(ISNUMBER(G145),G145/60*H145*④前提設定!$B$4,IF(AND(G145="",ISNUMBER(F145)),F145/60*H145*④前提設定!$B$4,"")))</f>
        <v/>
      </c>
      <c r="N145" s="513">
        <f>IF(I145&gt;0,M145/I145,"")</f>
        <v/>
      </c>
      <c r="O145" s="514">
        <f>IF(AND(J145&gt;0,ISNUMBER(M145)),M145/J145,"")</f>
        <v/>
      </c>
      <c r="P145" s="38" t="n"/>
      <c r="Q145" s="39" t="n"/>
      <c r="R145" s="5" t="n"/>
      <c r="S145" s="5" t="n"/>
      <c r="T145" s="5" t="n"/>
      <c r="U145" s="5" t="n"/>
      <c r="V145" s="5" t="n"/>
      <c r="W145" s="5" t="n"/>
      <c r="X145">
        <f>COUNTA(R145:W145)</f>
        <v/>
      </c>
      <c r="Y145">
        <f>IF(AND($X145&gt;0,ISNUMBER($M145)),$M145/$X145,"")</f>
        <v/>
      </c>
      <c r="Z145">
        <f>IF($X145=0,"",IF(COUNTIF(⑳商品別1食労務費!$C$5:$C$124,$R145)+COUNTIF(⑳商品別1食労務費!$C$5:$C$124,$S145)+COUNTIF(⑳商品別1食労務費!$C$5:$C$124,$T145)+COUNTIF(⑳商品別1食労務費!$C$5:$C$124,$U145)+COUNTIF(⑳商品別1食労務費!$C$5:$C$124,$V145)+COUNTIF(⑳商品別1食労務費!$C$5:$C$124,$W145)=$X145,"OK","⑳に無い商品名"))</f>
        <v/>
      </c>
      <c r="AA145">
        <f>SUMIF(⑳商品別1食労務費!$C$5:$C$124,$R145,⑳商品別1食労務費!$F$5:$F$124)+SUMIF(⑳商品別1食労務費!$C$5:$C$124,$S145,⑳商品別1食労務費!$F$5:$F$124)+SUMIF(⑳商品別1食労務費!$C$5:$C$124,$T145,⑳商品別1食労務費!$F$5:$F$124)+SUMIF(⑳商品別1食労務費!$C$5:$C$124,$U145,⑳商品別1食労務費!$F$5:$F$124)+SUMIF(⑳商品別1食労務費!$C$5:$C$124,$V145,⑳商品別1食労務費!$F$5:$F$124)+SUMIF(⑳商品別1食労務費!$C$5:$C$124,$W145,⑳商品別1食労務費!$F$5:$F$124)</f>
        <v/>
      </c>
      <c r="AB145">
        <f>IF(ISNUMBER($M145),$M145,0)</f>
        <v/>
      </c>
      <c r="AD145" s="413">
        <f>IF($R145="",0,IF($AA145&gt;0,$AB145*SUMIF(⑳商品別1食労務費!$C$5:$C$124,$R145,⑳商品別1食労務費!$F$5:$F$124)/$AA145,$AB145/$X145))</f>
        <v/>
      </c>
      <c r="AE145" s="413">
        <f>IF($S145="",0,IF($AA145&gt;0,$AB145*SUMIF(⑳商品別1食労務費!$C$5:$C$124,$S145,⑳商品別1食労務費!$F$5:$F$124)/$AA145,$AB145/$X145))</f>
        <v/>
      </c>
      <c r="AF145" s="413">
        <f>IF($T145="",0,IF($AA145&gt;0,$AB145*SUMIF(⑳商品別1食労務費!$C$5:$C$124,$T145,⑳商品別1食労務費!$F$5:$F$124)/$AA145,$AB145/$X145))</f>
        <v/>
      </c>
      <c r="AG145" s="413">
        <f>IF($U145="",0,IF($AA145&gt;0,$AB145*SUMIF(⑳商品別1食労務費!$C$5:$C$124,$U145,⑳商品別1食労務費!$F$5:$F$124)/$AA145,$AB145/$X145))</f>
        <v/>
      </c>
      <c r="AH145" s="413">
        <f>IF($V145="",0,IF($AA145&gt;0,$AB145*SUMIF(⑳商品別1食労務費!$C$5:$C$124,$V145,⑳商品別1食労務費!$F$5:$F$124)/$AA145,$AB145/$X145))</f>
        <v/>
      </c>
      <c r="AI145" s="413">
        <f>IF($W145="",0,IF($AA145&gt;0,$AB145*SUMIF(⑳商品別1食労務費!$C$5:$C$124,$W145,⑳商品別1食労務費!$F$5:$F$124)/$AA145,$AB145/$X145))</f>
        <v/>
      </c>
    </row>
    <row r="146" ht="16" customHeight="1" s="438">
      <c r="A146" s="35" t="n">
        <v>142</v>
      </c>
      <c r="B146" s="36" t="n"/>
      <c r="C146" s="5" t="n"/>
      <c r="D146" s="5" t="n"/>
      <c r="E146" s="5" t="n"/>
      <c r="F146" s="37" t="n"/>
      <c r="G146" s="7" t="n"/>
      <c r="H146" s="7" t="n"/>
      <c r="I146" s="7" t="n"/>
      <c r="J146" s="7" t="n"/>
      <c r="K146" s="513">
        <f>IF(F146&gt;0,I146/(F146/60),0)</f>
        <v/>
      </c>
      <c r="L146" s="514">
        <f>IF(AND(ISNUMBER(F146),J146&gt;0),J146/(F146/60),"")</f>
        <v/>
      </c>
      <c r="M146" s="9">
        <f>IF(OR(ISNUMBER(SEARCH("サニテーション",C146)),ISNUMBER(SEARCH("客注",C146)),ISNUMBER(SEARCH("切り替え",C146)),ISNUMBER(SEARCH("切替",C146)),NOT(ISNUMBER(H146))),"",IF(ISNUMBER(G146),G146/60*H146*④前提設定!$B$4,IF(AND(G146="",ISNUMBER(F146)),F146/60*H146*④前提設定!$B$4,"")))</f>
        <v/>
      </c>
      <c r="N146" s="513">
        <f>IF(I146&gt;0,M146/I146,"")</f>
        <v/>
      </c>
      <c r="O146" s="514">
        <f>IF(AND(J146&gt;0,ISNUMBER(M146)),M146/J146,"")</f>
        <v/>
      </c>
      <c r="P146" s="38" t="n"/>
      <c r="Q146" s="39" t="n"/>
      <c r="R146" s="5" t="n"/>
      <c r="S146" s="5" t="n"/>
      <c r="T146" s="5" t="n"/>
      <c r="U146" s="5" t="n"/>
      <c r="V146" s="5" t="n"/>
      <c r="W146" s="5" t="n"/>
      <c r="X146">
        <f>COUNTA(R146:W146)</f>
        <v/>
      </c>
      <c r="Y146">
        <f>IF(AND($X146&gt;0,ISNUMBER($M146)),$M146/$X146,"")</f>
        <v/>
      </c>
      <c r="Z146">
        <f>IF($X146=0,"",IF(COUNTIF(⑳商品別1食労務費!$C$5:$C$124,$R146)+COUNTIF(⑳商品別1食労務費!$C$5:$C$124,$S146)+COUNTIF(⑳商品別1食労務費!$C$5:$C$124,$T146)+COUNTIF(⑳商品別1食労務費!$C$5:$C$124,$U146)+COUNTIF(⑳商品別1食労務費!$C$5:$C$124,$V146)+COUNTIF(⑳商品別1食労務費!$C$5:$C$124,$W146)=$X146,"OK","⑳に無い商品名"))</f>
        <v/>
      </c>
      <c r="AA146">
        <f>SUMIF(⑳商品別1食労務費!$C$5:$C$124,$R146,⑳商品別1食労務費!$F$5:$F$124)+SUMIF(⑳商品別1食労務費!$C$5:$C$124,$S146,⑳商品別1食労務費!$F$5:$F$124)+SUMIF(⑳商品別1食労務費!$C$5:$C$124,$T146,⑳商品別1食労務費!$F$5:$F$124)+SUMIF(⑳商品別1食労務費!$C$5:$C$124,$U146,⑳商品別1食労務費!$F$5:$F$124)+SUMIF(⑳商品別1食労務費!$C$5:$C$124,$V146,⑳商品別1食労務費!$F$5:$F$124)+SUMIF(⑳商品別1食労務費!$C$5:$C$124,$W146,⑳商品別1食労務費!$F$5:$F$124)</f>
        <v/>
      </c>
      <c r="AB146">
        <f>IF(ISNUMBER($M146),$M146,0)</f>
        <v/>
      </c>
      <c r="AD146" s="413">
        <f>IF($R146="",0,IF($AA146&gt;0,$AB146*SUMIF(⑳商品別1食労務費!$C$5:$C$124,$R146,⑳商品別1食労務費!$F$5:$F$124)/$AA146,$AB146/$X146))</f>
        <v/>
      </c>
      <c r="AE146" s="413">
        <f>IF($S146="",0,IF($AA146&gt;0,$AB146*SUMIF(⑳商品別1食労務費!$C$5:$C$124,$S146,⑳商品別1食労務費!$F$5:$F$124)/$AA146,$AB146/$X146))</f>
        <v/>
      </c>
      <c r="AF146" s="413">
        <f>IF($T146="",0,IF($AA146&gt;0,$AB146*SUMIF(⑳商品別1食労務費!$C$5:$C$124,$T146,⑳商品別1食労務費!$F$5:$F$124)/$AA146,$AB146/$X146))</f>
        <v/>
      </c>
      <c r="AG146" s="413">
        <f>IF($U146="",0,IF($AA146&gt;0,$AB146*SUMIF(⑳商品別1食労務費!$C$5:$C$124,$U146,⑳商品別1食労務費!$F$5:$F$124)/$AA146,$AB146/$X146))</f>
        <v/>
      </c>
      <c r="AH146" s="413">
        <f>IF($V146="",0,IF($AA146&gt;0,$AB146*SUMIF(⑳商品別1食労務費!$C$5:$C$124,$V146,⑳商品別1食労務費!$F$5:$F$124)/$AA146,$AB146/$X146))</f>
        <v/>
      </c>
      <c r="AI146" s="413">
        <f>IF($W146="",0,IF($AA146&gt;0,$AB146*SUMIF(⑳商品別1食労務費!$C$5:$C$124,$W146,⑳商品別1食労務費!$F$5:$F$124)/$AA146,$AB146/$X146))</f>
        <v/>
      </c>
    </row>
    <row r="147" ht="16" customHeight="1" s="438">
      <c r="A147" s="35" t="n">
        <v>143</v>
      </c>
      <c r="B147" s="36" t="n"/>
      <c r="C147" s="5" t="n"/>
      <c r="D147" s="5" t="n"/>
      <c r="E147" s="5" t="n"/>
      <c r="F147" s="37" t="n"/>
      <c r="G147" s="7" t="n"/>
      <c r="H147" s="7" t="n"/>
      <c r="I147" s="7" t="n"/>
      <c r="J147" s="7" t="n"/>
      <c r="K147" s="513">
        <f>IF(F147&gt;0,I147/(F147/60),0)</f>
        <v/>
      </c>
      <c r="L147" s="514">
        <f>IF(AND(ISNUMBER(F147),J147&gt;0),J147/(F147/60),"")</f>
        <v/>
      </c>
      <c r="M147" s="9">
        <f>IF(OR(ISNUMBER(SEARCH("サニテーション",C147)),ISNUMBER(SEARCH("客注",C147)),ISNUMBER(SEARCH("切り替え",C147)),ISNUMBER(SEARCH("切替",C147)),NOT(ISNUMBER(H147))),"",IF(ISNUMBER(G147),G147/60*H147*④前提設定!$B$4,IF(AND(G147="",ISNUMBER(F147)),F147/60*H147*④前提設定!$B$4,"")))</f>
        <v/>
      </c>
      <c r="N147" s="513">
        <f>IF(I147&gt;0,M147/I147,"")</f>
        <v/>
      </c>
      <c r="O147" s="514">
        <f>IF(AND(J147&gt;0,ISNUMBER(M147)),M147/J147,"")</f>
        <v/>
      </c>
      <c r="P147" s="38" t="n"/>
      <c r="Q147" s="39" t="n"/>
      <c r="R147" s="5" t="n"/>
      <c r="S147" s="5" t="n"/>
      <c r="T147" s="5" t="n"/>
      <c r="U147" s="5" t="n"/>
      <c r="V147" s="5" t="n"/>
      <c r="W147" s="5" t="n"/>
      <c r="X147">
        <f>COUNTA(R147:W147)</f>
        <v/>
      </c>
      <c r="Y147">
        <f>IF(AND($X147&gt;0,ISNUMBER($M147)),$M147/$X147,"")</f>
        <v/>
      </c>
      <c r="Z147">
        <f>IF($X147=0,"",IF(COUNTIF(⑳商品別1食労務費!$C$5:$C$124,$R147)+COUNTIF(⑳商品別1食労務費!$C$5:$C$124,$S147)+COUNTIF(⑳商品別1食労務費!$C$5:$C$124,$T147)+COUNTIF(⑳商品別1食労務費!$C$5:$C$124,$U147)+COUNTIF(⑳商品別1食労務費!$C$5:$C$124,$V147)+COUNTIF(⑳商品別1食労務費!$C$5:$C$124,$W147)=$X147,"OK","⑳に無い商品名"))</f>
        <v/>
      </c>
      <c r="AA147">
        <f>SUMIF(⑳商品別1食労務費!$C$5:$C$124,$R147,⑳商品別1食労務費!$F$5:$F$124)+SUMIF(⑳商品別1食労務費!$C$5:$C$124,$S147,⑳商品別1食労務費!$F$5:$F$124)+SUMIF(⑳商品別1食労務費!$C$5:$C$124,$T147,⑳商品別1食労務費!$F$5:$F$124)+SUMIF(⑳商品別1食労務費!$C$5:$C$124,$U147,⑳商品別1食労務費!$F$5:$F$124)+SUMIF(⑳商品別1食労務費!$C$5:$C$124,$V147,⑳商品別1食労務費!$F$5:$F$124)+SUMIF(⑳商品別1食労務費!$C$5:$C$124,$W147,⑳商品別1食労務費!$F$5:$F$124)</f>
        <v/>
      </c>
      <c r="AB147">
        <f>IF(ISNUMBER($M147),$M147,0)</f>
        <v/>
      </c>
      <c r="AD147" s="413">
        <f>IF($R147="",0,IF($AA147&gt;0,$AB147*SUMIF(⑳商品別1食労務費!$C$5:$C$124,$R147,⑳商品別1食労務費!$F$5:$F$124)/$AA147,$AB147/$X147))</f>
        <v/>
      </c>
      <c r="AE147" s="413">
        <f>IF($S147="",0,IF($AA147&gt;0,$AB147*SUMIF(⑳商品別1食労務費!$C$5:$C$124,$S147,⑳商品別1食労務費!$F$5:$F$124)/$AA147,$AB147/$X147))</f>
        <v/>
      </c>
      <c r="AF147" s="413">
        <f>IF($T147="",0,IF($AA147&gt;0,$AB147*SUMIF(⑳商品別1食労務費!$C$5:$C$124,$T147,⑳商品別1食労務費!$F$5:$F$124)/$AA147,$AB147/$X147))</f>
        <v/>
      </c>
      <c r="AG147" s="413">
        <f>IF($U147="",0,IF($AA147&gt;0,$AB147*SUMIF(⑳商品別1食労務費!$C$5:$C$124,$U147,⑳商品別1食労務費!$F$5:$F$124)/$AA147,$AB147/$X147))</f>
        <v/>
      </c>
      <c r="AH147" s="413">
        <f>IF($V147="",0,IF($AA147&gt;0,$AB147*SUMIF(⑳商品別1食労務費!$C$5:$C$124,$V147,⑳商品別1食労務費!$F$5:$F$124)/$AA147,$AB147/$X147))</f>
        <v/>
      </c>
      <c r="AI147" s="413">
        <f>IF($W147="",0,IF($AA147&gt;0,$AB147*SUMIF(⑳商品別1食労務費!$C$5:$C$124,$W147,⑳商品別1食労務費!$F$5:$F$124)/$AA147,$AB147/$X147))</f>
        <v/>
      </c>
    </row>
    <row r="148" ht="16" customHeight="1" s="438">
      <c r="A148" s="35" t="n">
        <v>144</v>
      </c>
      <c r="B148" s="36" t="n"/>
      <c r="C148" s="5" t="n"/>
      <c r="D148" s="5" t="n"/>
      <c r="E148" s="5" t="n"/>
      <c r="F148" s="37" t="n"/>
      <c r="G148" s="7" t="n"/>
      <c r="H148" s="7" t="n"/>
      <c r="I148" s="7" t="n"/>
      <c r="J148" s="7" t="n"/>
      <c r="K148" s="513">
        <f>IF(F148&gt;0,I148/(F148/60),0)</f>
        <v/>
      </c>
      <c r="L148" s="514">
        <f>IF(AND(ISNUMBER(F148),J148&gt;0),J148/(F148/60),"")</f>
        <v/>
      </c>
      <c r="M148" s="9">
        <f>IF(OR(ISNUMBER(SEARCH("サニテーション",C148)),ISNUMBER(SEARCH("客注",C148)),ISNUMBER(SEARCH("切り替え",C148)),ISNUMBER(SEARCH("切替",C148)),NOT(ISNUMBER(H148))),"",IF(ISNUMBER(G148),G148/60*H148*④前提設定!$B$4,IF(AND(G148="",ISNUMBER(F148)),F148/60*H148*④前提設定!$B$4,"")))</f>
        <v/>
      </c>
      <c r="N148" s="513">
        <f>IF(I148&gt;0,M148/I148,"")</f>
        <v/>
      </c>
      <c r="O148" s="514">
        <f>IF(AND(J148&gt;0,ISNUMBER(M148)),M148/J148,"")</f>
        <v/>
      </c>
      <c r="P148" s="38" t="n"/>
      <c r="Q148" s="39" t="n"/>
      <c r="R148" s="5" t="n"/>
      <c r="S148" s="5" t="n"/>
      <c r="T148" s="5" t="n"/>
      <c r="U148" s="5" t="n"/>
      <c r="V148" s="5" t="n"/>
      <c r="W148" s="5" t="n"/>
      <c r="X148">
        <f>COUNTA(R148:W148)</f>
        <v/>
      </c>
      <c r="Y148">
        <f>IF(AND($X148&gt;0,ISNUMBER($M148)),$M148/$X148,"")</f>
        <v/>
      </c>
      <c r="Z148">
        <f>IF($X148=0,"",IF(COUNTIF(⑳商品別1食労務費!$C$5:$C$124,$R148)+COUNTIF(⑳商品別1食労務費!$C$5:$C$124,$S148)+COUNTIF(⑳商品別1食労務費!$C$5:$C$124,$T148)+COUNTIF(⑳商品別1食労務費!$C$5:$C$124,$U148)+COUNTIF(⑳商品別1食労務費!$C$5:$C$124,$V148)+COUNTIF(⑳商品別1食労務費!$C$5:$C$124,$W148)=$X148,"OK","⑳に無い商品名"))</f>
        <v/>
      </c>
      <c r="AA148">
        <f>SUMIF(⑳商品別1食労務費!$C$5:$C$124,$R148,⑳商品別1食労務費!$F$5:$F$124)+SUMIF(⑳商品別1食労務費!$C$5:$C$124,$S148,⑳商品別1食労務費!$F$5:$F$124)+SUMIF(⑳商品別1食労務費!$C$5:$C$124,$T148,⑳商品別1食労務費!$F$5:$F$124)+SUMIF(⑳商品別1食労務費!$C$5:$C$124,$U148,⑳商品別1食労務費!$F$5:$F$124)+SUMIF(⑳商品別1食労務費!$C$5:$C$124,$V148,⑳商品別1食労務費!$F$5:$F$124)+SUMIF(⑳商品別1食労務費!$C$5:$C$124,$W148,⑳商品別1食労務費!$F$5:$F$124)</f>
        <v/>
      </c>
      <c r="AB148">
        <f>IF(ISNUMBER($M148),$M148,0)</f>
        <v/>
      </c>
      <c r="AD148" s="413">
        <f>IF($R148="",0,IF($AA148&gt;0,$AB148*SUMIF(⑳商品別1食労務費!$C$5:$C$124,$R148,⑳商品別1食労務費!$F$5:$F$124)/$AA148,$AB148/$X148))</f>
        <v/>
      </c>
      <c r="AE148" s="413">
        <f>IF($S148="",0,IF($AA148&gt;0,$AB148*SUMIF(⑳商品別1食労務費!$C$5:$C$124,$S148,⑳商品別1食労務費!$F$5:$F$124)/$AA148,$AB148/$X148))</f>
        <v/>
      </c>
      <c r="AF148" s="413">
        <f>IF($T148="",0,IF($AA148&gt;0,$AB148*SUMIF(⑳商品別1食労務費!$C$5:$C$124,$T148,⑳商品別1食労務費!$F$5:$F$124)/$AA148,$AB148/$X148))</f>
        <v/>
      </c>
      <c r="AG148" s="413">
        <f>IF($U148="",0,IF($AA148&gt;0,$AB148*SUMIF(⑳商品別1食労務費!$C$5:$C$124,$U148,⑳商品別1食労務費!$F$5:$F$124)/$AA148,$AB148/$X148))</f>
        <v/>
      </c>
      <c r="AH148" s="413">
        <f>IF($V148="",0,IF($AA148&gt;0,$AB148*SUMIF(⑳商品別1食労務費!$C$5:$C$124,$V148,⑳商品別1食労務費!$F$5:$F$124)/$AA148,$AB148/$X148))</f>
        <v/>
      </c>
      <c r="AI148" s="413">
        <f>IF($W148="",0,IF($AA148&gt;0,$AB148*SUMIF(⑳商品別1食労務費!$C$5:$C$124,$W148,⑳商品別1食労務費!$F$5:$F$124)/$AA148,$AB148/$X148))</f>
        <v/>
      </c>
    </row>
    <row r="149" ht="16" customHeight="1" s="438">
      <c r="A149" s="35" t="n">
        <v>145</v>
      </c>
      <c r="B149" s="36" t="n"/>
      <c r="C149" s="5" t="n"/>
      <c r="D149" s="5" t="n"/>
      <c r="E149" s="5" t="n"/>
      <c r="F149" s="37" t="n"/>
      <c r="G149" s="7" t="n"/>
      <c r="H149" s="7" t="n"/>
      <c r="I149" s="7" t="n"/>
      <c r="J149" s="7" t="n"/>
      <c r="K149" s="513">
        <f>IF(F149&gt;0,I149/(F149/60),0)</f>
        <v/>
      </c>
      <c r="L149" s="514">
        <f>IF(AND(ISNUMBER(F149),J149&gt;0),J149/(F149/60),"")</f>
        <v/>
      </c>
      <c r="M149" s="9">
        <f>IF(OR(ISNUMBER(SEARCH("サニテーション",C149)),ISNUMBER(SEARCH("客注",C149)),ISNUMBER(SEARCH("切り替え",C149)),ISNUMBER(SEARCH("切替",C149)),NOT(ISNUMBER(H149))),"",IF(ISNUMBER(G149),G149/60*H149*④前提設定!$B$4,IF(AND(G149="",ISNUMBER(F149)),F149/60*H149*④前提設定!$B$4,"")))</f>
        <v/>
      </c>
      <c r="N149" s="513">
        <f>IF(I149&gt;0,M149/I149,"")</f>
        <v/>
      </c>
      <c r="O149" s="514">
        <f>IF(AND(J149&gt;0,ISNUMBER(M149)),M149/J149,"")</f>
        <v/>
      </c>
      <c r="P149" s="38" t="n"/>
      <c r="Q149" s="39" t="n"/>
      <c r="R149" s="5" t="n"/>
      <c r="S149" s="5" t="n"/>
      <c r="T149" s="5" t="n"/>
      <c r="U149" s="5" t="n"/>
      <c r="V149" s="5" t="n"/>
      <c r="W149" s="5" t="n"/>
      <c r="X149">
        <f>COUNTA(R149:W149)</f>
        <v/>
      </c>
      <c r="Y149">
        <f>IF(AND($X149&gt;0,ISNUMBER($M149)),$M149/$X149,"")</f>
        <v/>
      </c>
      <c r="Z149">
        <f>IF($X149=0,"",IF(COUNTIF(⑳商品別1食労務費!$C$5:$C$124,$R149)+COUNTIF(⑳商品別1食労務費!$C$5:$C$124,$S149)+COUNTIF(⑳商品別1食労務費!$C$5:$C$124,$T149)+COUNTIF(⑳商品別1食労務費!$C$5:$C$124,$U149)+COUNTIF(⑳商品別1食労務費!$C$5:$C$124,$V149)+COUNTIF(⑳商品別1食労務費!$C$5:$C$124,$W149)=$X149,"OK","⑳に無い商品名"))</f>
        <v/>
      </c>
      <c r="AA149">
        <f>SUMIF(⑳商品別1食労務費!$C$5:$C$124,$R149,⑳商品別1食労務費!$F$5:$F$124)+SUMIF(⑳商品別1食労務費!$C$5:$C$124,$S149,⑳商品別1食労務費!$F$5:$F$124)+SUMIF(⑳商品別1食労務費!$C$5:$C$124,$T149,⑳商品別1食労務費!$F$5:$F$124)+SUMIF(⑳商品別1食労務費!$C$5:$C$124,$U149,⑳商品別1食労務費!$F$5:$F$124)+SUMIF(⑳商品別1食労務費!$C$5:$C$124,$V149,⑳商品別1食労務費!$F$5:$F$124)+SUMIF(⑳商品別1食労務費!$C$5:$C$124,$W149,⑳商品別1食労務費!$F$5:$F$124)</f>
        <v/>
      </c>
      <c r="AB149">
        <f>IF(ISNUMBER($M149),$M149,0)</f>
        <v/>
      </c>
      <c r="AD149" s="413">
        <f>IF($R149="",0,IF($AA149&gt;0,$AB149*SUMIF(⑳商品別1食労務費!$C$5:$C$124,$R149,⑳商品別1食労務費!$F$5:$F$124)/$AA149,$AB149/$X149))</f>
        <v/>
      </c>
      <c r="AE149" s="413">
        <f>IF($S149="",0,IF($AA149&gt;0,$AB149*SUMIF(⑳商品別1食労務費!$C$5:$C$124,$S149,⑳商品別1食労務費!$F$5:$F$124)/$AA149,$AB149/$X149))</f>
        <v/>
      </c>
      <c r="AF149" s="413">
        <f>IF($T149="",0,IF($AA149&gt;0,$AB149*SUMIF(⑳商品別1食労務費!$C$5:$C$124,$T149,⑳商品別1食労務費!$F$5:$F$124)/$AA149,$AB149/$X149))</f>
        <v/>
      </c>
      <c r="AG149" s="413">
        <f>IF($U149="",0,IF($AA149&gt;0,$AB149*SUMIF(⑳商品別1食労務費!$C$5:$C$124,$U149,⑳商品別1食労務費!$F$5:$F$124)/$AA149,$AB149/$X149))</f>
        <v/>
      </c>
      <c r="AH149" s="413">
        <f>IF($V149="",0,IF($AA149&gt;0,$AB149*SUMIF(⑳商品別1食労務費!$C$5:$C$124,$V149,⑳商品別1食労務費!$F$5:$F$124)/$AA149,$AB149/$X149))</f>
        <v/>
      </c>
      <c r="AI149" s="413">
        <f>IF($W149="",0,IF($AA149&gt;0,$AB149*SUMIF(⑳商品別1食労務費!$C$5:$C$124,$W149,⑳商品別1食労務費!$F$5:$F$124)/$AA149,$AB149/$X149))</f>
        <v/>
      </c>
    </row>
    <row r="150" ht="16" customHeight="1" s="438">
      <c r="A150" s="35" t="n">
        <v>146</v>
      </c>
      <c r="B150" s="36" t="n"/>
      <c r="C150" s="5" t="n"/>
      <c r="D150" s="5" t="n"/>
      <c r="E150" s="5" t="n"/>
      <c r="F150" s="37" t="n"/>
      <c r="G150" s="7" t="n"/>
      <c r="H150" s="7" t="n"/>
      <c r="I150" s="7" t="n"/>
      <c r="J150" s="7" t="n"/>
      <c r="K150" s="513">
        <f>IF(F150&gt;0,I150/(F150/60),0)</f>
        <v/>
      </c>
      <c r="L150" s="514">
        <f>IF(AND(ISNUMBER(F150),J150&gt;0),J150/(F150/60),"")</f>
        <v/>
      </c>
      <c r="M150" s="9">
        <f>IF(OR(ISNUMBER(SEARCH("サニテーション",C150)),ISNUMBER(SEARCH("客注",C150)),ISNUMBER(SEARCH("切り替え",C150)),ISNUMBER(SEARCH("切替",C150)),NOT(ISNUMBER(H150))),"",IF(ISNUMBER(G150),G150/60*H150*④前提設定!$B$4,IF(AND(G150="",ISNUMBER(F150)),F150/60*H150*④前提設定!$B$4,"")))</f>
        <v/>
      </c>
      <c r="N150" s="513">
        <f>IF(I150&gt;0,M150/I150,"")</f>
        <v/>
      </c>
      <c r="O150" s="514">
        <f>IF(AND(J150&gt;0,ISNUMBER(M150)),M150/J150,"")</f>
        <v/>
      </c>
      <c r="P150" s="38" t="n"/>
      <c r="Q150" s="39" t="n"/>
      <c r="R150" s="5" t="n"/>
      <c r="S150" s="5" t="n"/>
      <c r="T150" s="5" t="n"/>
      <c r="U150" s="5" t="n"/>
      <c r="V150" s="5" t="n"/>
      <c r="W150" s="5" t="n"/>
      <c r="X150">
        <f>COUNTA(R150:W150)</f>
        <v/>
      </c>
      <c r="Y150">
        <f>IF(AND($X150&gt;0,ISNUMBER($M150)),$M150/$X150,"")</f>
        <v/>
      </c>
      <c r="Z150">
        <f>IF($X150=0,"",IF(COUNTIF(⑳商品別1食労務費!$C$5:$C$124,$R150)+COUNTIF(⑳商品別1食労務費!$C$5:$C$124,$S150)+COUNTIF(⑳商品別1食労務費!$C$5:$C$124,$T150)+COUNTIF(⑳商品別1食労務費!$C$5:$C$124,$U150)+COUNTIF(⑳商品別1食労務費!$C$5:$C$124,$V150)+COUNTIF(⑳商品別1食労務費!$C$5:$C$124,$W150)=$X150,"OK","⑳に無い商品名"))</f>
        <v/>
      </c>
      <c r="AA150">
        <f>SUMIF(⑳商品別1食労務費!$C$5:$C$124,$R150,⑳商品別1食労務費!$F$5:$F$124)+SUMIF(⑳商品別1食労務費!$C$5:$C$124,$S150,⑳商品別1食労務費!$F$5:$F$124)+SUMIF(⑳商品別1食労務費!$C$5:$C$124,$T150,⑳商品別1食労務費!$F$5:$F$124)+SUMIF(⑳商品別1食労務費!$C$5:$C$124,$U150,⑳商品別1食労務費!$F$5:$F$124)+SUMIF(⑳商品別1食労務費!$C$5:$C$124,$V150,⑳商品別1食労務費!$F$5:$F$124)+SUMIF(⑳商品別1食労務費!$C$5:$C$124,$W150,⑳商品別1食労務費!$F$5:$F$124)</f>
        <v/>
      </c>
      <c r="AB150">
        <f>IF(ISNUMBER($M150),$M150,0)</f>
        <v/>
      </c>
      <c r="AD150" s="413">
        <f>IF($R150="",0,IF($AA150&gt;0,$AB150*SUMIF(⑳商品別1食労務費!$C$5:$C$124,$R150,⑳商品別1食労務費!$F$5:$F$124)/$AA150,$AB150/$X150))</f>
        <v/>
      </c>
      <c r="AE150" s="413">
        <f>IF($S150="",0,IF($AA150&gt;0,$AB150*SUMIF(⑳商品別1食労務費!$C$5:$C$124,$S150,⑳商品別1食労務費!$F$5:$F$124)/$AA150,$AB150/$X150))</f>
        <v/>
      </c>
      <c r="AF150" s="413">
        <f>IF($T150="",0,IF($AA150&gt;0,$AB150*SUMIF(⑳商品別1食労務費!$C$5:$C$124,$T150,⑳商品別1食労務費!$F$5:$F$124)/$AA150,$AB150/$X150))</f>
        <v/>
      </c>
      <c r="AG150" s="413">
        <f>IF($U150="",0,IF($AA150&gt;0,$AB150*SUMIF(⑳商品別1食労務費!$C$5:$C$124,$U150,⑳商品別1食労務費!$F$5:$F$124)/$AA150,$AB150/$X150))</f>
        <v/>
      </c>
      <c r="AH150" s="413">
        <f>IF($V150="",0,IF($AA150&gt;0,$AB150*SUMIF(⑳商品別1食労務費!$C$5:$C$124,$V150,⑳商品別1食労務費!$F$5:$F$124)/$AA150,$AB150/$X150))</f>
        <v/>
      </c>
      <c r="AI150" s="413">
        <f>IF($W150="",0,IF($AA150&gt;0,$AB150*SUMIF(⑳商品別1食労務費!$C$5:$C$124,$W150,⑳商品別1食労務費!$F$5:$F$124)/$AA150,$AB150/$X150))</f>
        <v/>
      </c>
    </row>
    <row r="151" ht="16" customHeight="1" s="438">
      <c r="A151" s="35" t="n">
        <v>147</v>
      </c>
      <c r="B151" s="36" t="n"/>
      <c r="C151" s="5" t="n"/>
      <c r="D151" s="5" t="n"/>
      <c r="E151" s="5" t="n"/>
      <c r="F151" s="37" t="n"/>
      <c r="G151" s="7" t="n"/>
      <c r="H151" s="7" t="n"/>
      <c r="I151" s="7" t="n"/>
      <c r="J151" s="7" t="n"/>
      <c r="K151" s="513">
        <f>IF(F151&gt;0,I151/(F151/60),0)</f>
        <v/>
      </c>
      <c r="L151" s="514">
        <f>IF(AND(ISNUMBER(F151),J151&gt;0),J151/(F151/60),"")</f>
        <v/>
      </c>
      <c r="M151" s="9">
        <f>IF(OR(ISNUMBER(SEARCH("サニテーション",C151)),ISNUMBER(SEARCH("客注",C151)),ISNUMBER(SEARCH("切り替え",C151)),ISNUMBER(SEARCH("切替",C151)),NOT(ISNUMBER(H151))),"",IF(ISNUMBER(G151),G151/60*H151*④前提設定!$B$4,IF(AND(G151="",ISNUMBER(F151)),F151/60*H151*④前提設定!$B$4,"")))</f>
        <v/>
      </c>
      <c r="N151" s="513">
        <f>IF(I151&gt;0,M151/I151,"")</f>
        <v/>
      </c>
      <c r="O151" s="514">
        <f>IF(AND(J151&gt;0,ISNUMBER(M151)),M151/J151,"")</f>
        <v/>
      </c>
      <c r="P151" s="38" t="n"/>
      <c r="Q151" s="39" t="n"/>
      <c r="R151" s="5" t="n"/>
      <c r="S151" s="5" t="n"/>
      <c r="T151" s="5" t="n"/>
      <c r="U151" s="5" t="n"/>
      <c r="V151" s="5" t="n"/>
      <c r="W151" s="5" t="n"/>
      <c r="X151">
        <f>COUNTA(R151:W151)</f>
        <v/>
      </c>
      <c r="Y151">
        <f>IF(AND($X151&gt;0,ISNUMBER($M151)),$M151/$X151,"")</f>
        <v/>
      </c>
      <c r="Z151">
        <f>IF($X151=0,"",IF(COUNTIF(⑳商品別1食労務費!$C$5:$C$124,$R151)+COUNTIF(⑳商品別1食労務費!$C$5:$C$124,$S151)+COUNTIF(⑳商品別1食労務費!$C$5:$C$124,$T151)+COUNTIF(⑳商品別1食労務費!$C$5:$C$124,$U151)+COUNTIF(⑳商品別1食労務費!$C$5:$C$124,$V151)+COUNTIF(⑳商品別1食労務費!$C$5:$C$124,$W151)=$X151,"OK","⑳に無い商品名"))</f>
        <v/>
      </c>
      <c r="AA151">
        <f>SUMIF(⑳商品別1食労務費!$C$5:$C$124,$R151,⑳商品別1食労務費!$F$5:$F$124)+SUMIF(⑳商品別1食労務費!$C$5:$C$124,$S151,⑳商品別1食労務費!$F$5:$F$124)+SUMIF(⑳商品別1食労務費!$C$5:$C$124,$T151,⑳商品別1食労務費!$F$5:$F$124)+SUMIF(⑳商品別1食労務費!$C$5:$C$124,$U151,⑳商品別1食労務費!$F$5:$F$124)+SUMIF(⑳商品別1食労務費!$C$5:$C$124,$V151,⑳商品別1食労務費!$F$5:$F$124)+SUMIF(⑳商品別1食労務費!$C$5:$C$124,$W151,⑳商品別1食労務費!$F$5:$F$124)</f>
        <v/>
      </c>
      <c r="AB151">
        <f>IF(ISNUMBER($M151),$M151,0)</f>
        <v/>
      </c>
      <c r="AD151" s="413">
        <f>IF($R151="",0,IF($AA151&gt;0,$AB151*SUMIF(⑳商品別1食労務費!$C$5:$C$124,$R151,⑳商品別1食労務費!$F$5:$F$124)/$AA151,$AB151/$X151))</f>
        <v/>
      </c>
      <c r="AE151" s="413">
        <f>IF($S151="",0,IF($AA151&gt;0,$AB151*SUMIF(⑳商品別1食労務費!$C$5:$C$124,$S151,⑳商品別1食労務費!$F$5:$F$124)/$AA151,$AB151/$X151))</f>
        <v/>
      </c>
      <c r="AF151" s="413">
        <f>IF($T151="",0,IF($AA151&gt;0,$AB151*SUMIF(⑳商品別1食労務費!$C$5:$C$124,$T151,⑳商品別1食労務費!$F$5:$F$124)/$AA151,$AB151/$X151))</f>
        <v/>
      </c>
      <c r="AG151" s="413">
        <f>IF($U151="",0,IF($AA151&gt;0,$AB151*SUMIF(⑳商品別1食労務費!$C$5:$C$124,$U151,⑳商品別1食労務費!$F$5:$F$124)/$AA151,$AB151/$X151))</f>
        <v/>
      </c>
      <c r="AH151" s="413">
        <f>IF($V151="",0,IF($AA151&gt;0,$AB151*SUMIF(⑳商品別1食労務費!$C$5:$C$124,$V151,⑳商品別1食労務費!$F$5:$F$124)/$AA151,$AB151/$X151))</f>
        <v/>
      </c>
      <c r="AI151" s="413">
        <f>IF($W151="",0,IF($AA151&gt;0,$AB151*SUMIF(⑳商品別1食労務費!$C$5:$C$124,$W151,⑳商品別1食労務費!$F$5:$F$124)/$AA151,$AB151/$X151))</f>
        <v/>
      </c>
    </row>
    <row r="152" ht="16" customHeight="1" s="438">
      <c r="A152" s="35" t="n">
        <v>148</v>
      </c>
      <c r="B152" s="36" t="n"/>
      <c r="C152" s="5" t="n"/>
      <c r="D152" s="5" t="n"/>
      <c r="E152" s="5" t="n"/>
      <c r="F152" s="37" t="n"/>
      <c r="G152" s="7" t="n"/>
      <c r="H152" s="7" t="n"/>
      <c r="I152" s="7" t="n"/>
      <c r="J152" s="7" t="n"/>
      <c r="K152" s="513">
        <f>IF(F152&gt;0,I152/(F152/60),0)</f>
        <v/>
      </c>
      <c r="L152" s="514">
        <f>IF(AND(ISNUMBER(F152),J152&gt;0),J152/(F152/60),"")</f>
        <v/>
      </c>
      <c r="M152" s="9">
        <f>IF(OR(ISNUMBER(SEARCH("サニテーション",C152)),ISNUMBER(SEARCH("客注",C152)),ISNUMBER(SEARCH("切り替え",C152)),ISNUMBER(SEARCH("切替",C152)),NOT(ISNUMBER(H152))),"",IF(ISNUMBER(G152),G152/60*H152*④前提設定!$B$4,IF(AND(G152="",ISNUMBER(F152)),F152/60*H152*④前提設定!$B$4,"")))</f>
        <v/>
      </c>
      <c r="N152" s="513">
        <f>IF(I152&gt;0,M152/I152,"")</f>
        <v/>
      </c>
      <c r="O152" s="514">
        <f>IF(AND(J152&gt;0,ISNUMBER(M152)),M152/J152,"")</f>
        <v/>
      </c>
      <c r="P152" s="38" t="n"/>
      <c r="Q152" s="39" t="n"/>
      <c r="R152" s="5" t="n"/>
      <c r="S152" s="5" t="n"/>
      <c r="T152" s="5" t="n"/>
      <c r="U152" s="5" t="n"/>
      <c r="V152" s="5" t="n"/>
      <c r="W152" s="5" t="n"/>
      <c r="X152">
        <f>COUNTA(R152:W152)</f>
        <v/>
      </c>
      <c r="Y152">
        <f>IF(AND($X152&gt;0,ISNUMBER($M152)),$M152/$X152,"")</f>
        <v/>
      </c>
      <c r="Z152">
        <f>IF($X152=0,"",IF(COUNTIF(⑳商品別1食労務費!$C$5:$C$124,$R152)+COUNTIF(⑳商品別1食労務費!$C$5:$C$124,$S152)+COUNTIF(⑳商品別1食労務費!$C$5:$C$124,$T152)+COUNTIF(⑳商品別1食労務費!$C$5:$C$124,$U152)+COUNTIF(⑳商品別1食労務費!$C$5:$C$124,$V152)+COUNTIF(⑳商品別1食労務費!$C$5:$C$124,$W152)=$X152,"OK","⑳に無い商品名"))</f>
        <v/>
      </c>
      <c r="AA152">
        <f>SUMIF(⑳商品別1食労務費!$C$5:$C$124,$R152,⑳商品別1食労務費!$F$5:$F$124)+SUMIF(⑳商品別1食労務費!$C$5:$C$124,$S152,⑳商品別1食労務費!$F$5:$F$124)+SUMIF(⑳商品別1食労務費!$C$5:$C$124,$T152,⑳商品別1食労務費!$F$5:$F$124)+SUMIF(⑳商品別1食労務費!$C$5:$C$124,$U152,⑳商品別1食労務費!$F$5:$F$124)+SUMIF(⑳商品別1食労務費!$C$5:$C$124,$V152,⑳商品別1食労務費!$F$5:$F$124)+SUMIF(⑳商品別1食労務費!$C$5:$C$124,$W152,⑳商品別1食労務費!$F$5:$F$124)</f>
        <v/>
      </c>
      <c r="AB152">
        <f>IF(ISNUMBER($M152),$M152,0)</f>
        <v/>
      </c>
      <c r="AD152" s="413">
        <f>IF($R152="",0,IF($AA152&gt;0,$AB152*SUMIF(⑳商品別1食労務費!$C$5:$C$124,$R152,⑳商品別1食労務費!$F$5:$F$124)/$AA152,$AB152/$X152))</f>
        <v/>
      </c>
      <c r="AE152" s="413">
        <f>IF($S152="",0,IF($AA152&gt;0,$AB152*SUMIF(⑳商品別1食労務費!$C$5:$C$124,$S152,⑳商品別1食労務費!$F$5:$F$124)/$AA152,$AB152/$X152))</f>
        <v/>
      </c>
      <c r="AF152" s="413">
        <f>IF($T152="",0,IF($AA152&gt;0,$AB152*SUMIF(⑳商品別1食労務費!$C$5:$C$124,$T152,⑳商品別1食労務費!$F$5:$F$124)/$AA152,$AB152/$X152))</f>
        <v/>
      </c>
      <c r="AG152" s="413">
        <f>IF($U152="",0,IF($AA152&gt;0,$AB152*SUMIF(⑳商品別1食労務費!$C$5:$C$124,$U152,⑳商品別1食労務費!$F$5:$F$124)/$AA152,$AB152/$X152))</f>
        <v/>
      </c>
      <c r="AH152" s="413">
        <f>IF($V152="",0,IF($AA152&gt;0,$AB152*SUMIF(⑳商品別1食労務費!$C$5:$C$124,$V152,⑳商品別1食労務費!$F$5:$F$124)/$AA152,$AB152/$X152))</f>
        <v/>
      </c>
      <c r="AI152" s="413">
        <f>IF($W152="",0,IF($AA152&gt;0,$AB152*SUMIF(⑳商品別1食労務費!$C$5:$C$124,$W152,⑳商品別1食労務費!$F$5:$F$124)/$AA152,$AB152/$X152))</f>
        <v/>
      </c>
    </row>
    <row r="153" ht="20" customHeight="1" s="438">
      <c r="A153" s="457" t="inlineStr">
        <is>
          <t>合計</t>
        </is>
      </c>
      <c r="B153" s="458" t="n"/>
      <c r="C153" s="458" t="n"/>
      <c r="D153" s="458" t="n"/>
      <c r="E153" s="458" t="n"/>
      <c r="F153" s="459" t="n"/>
      <c r="G153" s="42" t="n"/>
      <c r="H153" s="42" t="n">
        <v>2</v>
      </c>
      <c r="I153" s="42" t="n"/>
      <c r="J153" s="42" t="n"/>
      <c r="K153" s="41" t="n"/>
      <c r="L153" s="516">
        <f>IF(AND(ISNUMBER(F153),J153&gt;0),J153/(F153/60),"")</f>
        <v/>
      </c>
      <c r="M153" s="42">
        <f>SUM(M5:M152)</f>
        <v/>
      </c>
      <c r="N153" s="41" t="n"/>
      <c r="O153" s="516">
        <f>IF(AND(J153&gt;0,ISNUMBER(M153)),M153/J153,"")</f>
        <v/>
      </c>
      <c r="P153" s="41" t="n"/>
      <c r="Q153" s="41" t="n"/>
    </row>
    <row r="154">
      <c r="F154">
        <f>IF(OR(D154="",E154=""),"",(E154-D154)*1440)</f>
        <v/>
      </c>
      <c r="H154" t="n">
        <v>2</v>
      </c>
      <c r="K154">
        <f>IF(AND(ISNUMBER(F154),I154&gt;0),I154/(F154/60),"")</f>
        <v/>
      </c>
      <c r="L154" s="517">
        <f>IF(AND(ISNUMBER(F154),J154&gt;0),J154/(F154/60),"")</f>
        <v/>
      </c>
      <c r="M154">
        <f>IF(OR(ISNUMBER(SEARCH("サニテーション",C154)),ISNUMBER(SEARCH("客注",C154)),ISNUMBER(SEARCH("切り替え",C154)),ISNUMBER(SEARCH("切替",C154)),NOT(ISNUMBER(H154))),"",IF(ISNUMBER(G154),G154/60*H154*④前提設定!$B$4,IF(AND(G154="",ISNUMBER(F154)),F154/60*H154*④前提設定!$B$4,"")))</f>
        <v/>
      </c>
      <c r="N154">
        <f>IF(AND(I154&gt;0,ISNUMBER(M154)),M154/I154,"")</f>
        <v/>
      </c>
      <c r="O154" s="517">
        <f>IF(AND(J154&gt;0,ISNUMBER(M154)),M154/J154,"")</f>
        <v/>
      </c>
    </row>
    <row r="155">
      <c r="F155">
        <f>IF(OR(D155="",E155=""),"",(E155-D155)*1440)</f>
        <v/>
      </c>
      <c r="H155" t="n">
        <v>2</v>
      </c>
      <c r="K155">
        <f>IF(AND(ISNUMBER(F155),I155&gt;0),I155/(F155/60),"")</f>
        <v/>
      </c>
      <c r="L155" s="517">
        <f>IF(AND(ISNUMBER(F155),J155&gt;0),J155/(F155/60),"")</f>
        <v/>
      </c>
      <c r="M155">
        <f>IF(OR(ISNUMBER(SEARCH("サニテーション",C155)),ISNUMBER(SEARCH("客注",C155)),ISNUMBER(SEARCH("切り替え",C155)),ISNUMBER(SEARCH("切替",C155)),NOT(ISNUMBER(H155))),"",IF(ISNUMBER(G155),G155/60*H155*④前提設定!$B$4,IF(AND(G155="",ISNUMBER(F155)),F155/60*H155*④前提設定!$B$4,"")))</f>
        <v/>
      </c>
      <c r="N155">
        <f>IF(AND(I155&gt;0,ISNUMBER(M155)),M155/I155,"")</f>
        <v/>
      </c>
      <c r="O155" s="517">
        <f>IF(AND(J155&gt;0,ISNUMBER(M155)),M155/J155,"")</f>
        <v/>
      </c>
    </row>
    <row r="156">
      <c r="F156">
        <f>IF(OR(D156="",E156=""),"",(E156-D156)*1440)</f>
        <v/>
      </c>
      <c r="H156" t="n">
        <v>2</v>
      </c>
      <c r="K156">
        <f>IF(AND(ISNUMBER(F156),I156&gt;0),I156/(F156/60),"")</f>
        <v/>
      </c>
      <c r="L156" s="517">
        <f>IF(AND(ISNUMBER(F156),J156&gt;0),J156/(F156/60),"")</f>
        <v/>
      </c>
      <c r="M156">
        <f>IF(OR(ISNUMBER(SEARCH("サニテーション",C156)),ISNUMBER(SEARCH("客注",C156)),ISNUMBER(SEARCH("切り替え",C156)),ISNUMBER(SEARCH("切替",C156)),NOT(ISNUMBER(H156))),"",IF(ISNUMBER(G156),G156/60*H156*④前提設定!$B$4,IF(AND(G156="",ISNUMBER(F156)),F156/60*H156*④前提設定!$B$4,"")))</f>
        <v/>
      </c>
      <c r="N156">
        <f>IF(AND(I156&gt;0,ISNUMBER(M156)),M156/I156,"")</f>
        <v/>
      </c>
      <c r="O156" s="517">
        <f>IF(AND(J156&gt;0,ISNUMBER(M156)),M156/J156,"")</f>
        <v/>
      </c>
    </row>
    <row r="157">
      <c r="F157">
        <f>IF(OR(D157="",E157=""),"",(E157-D157)*1440)</f>
        <v/>
      </c>
      <c r="H157" t="n">
        <v>2</v>
      </c>
      <c r="K157">
        <f>IF(AND(ISNUMBER(F157),I157&gt;0),I157/(F157/60),"")</f>
        <v/>
      </c>
      <c r="L157" s="517">
        <f>IF(AND(ISNUMBER(F157),J157&gt;0),J157/(F157/60),"")</f>
        <v/>
      </c>
      <c r="M157">
        <f>IF(OR(ISNUMBER(SEARCH("サニテーション",C157)),ISNUMBER(SEARCH("客注",C157)),ISNUMBER(SEARCH("切り替え",C157)),ISNUMBER(SEARCH("切替",C157)),NOT(ISNUMBER(H157))),"",IF(ISNUMBER(G157),G157/60*H157*④前提設定!$B$4,IF(AND(G157="",ISNUMBER(F157)),F157/60*H157*④前提設定!$B$4,"")))</f>
        <v/>
      </c>
      <c r="N157">
        <f>IF(AND(I157&gt;0,ISNUMBER(M157)),M157/I157,"")</f>
        <v/>
      </c>
      <c r="O157" s="517">
        <f>IF(AND(J157&gt;0,ISNUMBER(M157)),M157/J157,"")</f>
        <v/>
      </c>
    </row>
    <row r="158">
      <c r="F158">
        <f>IF(OR(D158="",E158=""),"",(E158-D158)*1440)</f>
        <v/>
      </c>
      <c r="H158" t="n">
        <v>2</v>
      </c>
      <c r="K158">
        <f>IF(AND(ISNUMBER(F158),I158&gt;0),I158/(F158/60),"")</f>
        <v/>
      </c>
      <c r="L158" s="517">
        <f>IF(AND(ISNUMBER(F158),J158&gt;0),J158/(F158/60),"")</f>
        <v/>
      </c>
      <c r="M158">
        <f>IF(OR(ISNUMBER(SEARCH("サニテーション",C158)),ISNUMBER(SEARCH("客注",C158)),ISNUMBER(SEARCH("切り替え",C158)),ISNUMBER(SEARCH("切替",C158)),NOT(ISNUMBER(H158))),"",IF(ISNUMBER(G158),G158/60*H158*④前提設定!$B$4,IF(AND(G158="",ISNUMBER(F158)),F158/60*H158*④前提設定!$B$4,"")))</f>
        <v/>
      </c>
      <c r="N158">
        <f>IF(AND(I158&gt;0,ISNUMBER(M158)),M158/I158,"")</f>
        <v/>
      </c>
      <c r="O158" s="517">
        <f>IF(AND(J158&gt;0,ISNUMBER(M158)),M158/J158,"")</f>
        <v/>
      </c>
    </row>
    <row r="159">
      <c r="F159">
        <f>IF(OR(D159="",E159=""),"",(E159-D159)*1440)</f>
        <v/>
      </c>
      <c r="H159" t="n">
        <v>2</v>
      </c>
      <c r="K159">
        <f>IF(AND(ISNUMBER(F159),I159&gt;0),I159/(F159/60),"")</f>
        <v/>
      </c>
      <c r="L159" s="517">
        <f>IF(AND(ISNUMBER(F159),J159&gt;0),J159/(F159/60),"")</f>
        <v/>
      </c>
      <c r="M159">
        <f>IF(OR(ISNUMBER(SEARCH("サニテーション",C159)),ISNUMBER(SEARCH("客注",C159)),ISNUMBER(SEARCH("切り替え",C159)),ISNUMBER(SEARCH("切替",C159)),NOT(ISNUMBER(H159))),"",IF(ISNUMBER(G159),G159/60*H159*④前提設定!$B$4,IF(AND(G159="",ISNUMBER(F159)),F159/60*H159*④前提設定!$B$4,"")))</f>
        <v/>
      </c>
      <c r="N159">
        <f>IF(AND(I159&gt;0,ISNUMBER(M159)),M159/I159,"")</f>
        <v/>
      </c>
      <c r="O159" s="517">
        <f>IF(AND(J159&gt;0,ISNUMBER(M159)),M159/J159,"")</f>
        <v/>
      </c>
    </row>
    <row r="160">
      <c r="F160">
        <f>IF(OR(D160="",E160=""),"",(E160-D160)*1440)</f>
        <v/>
      </c>
      <c r="H160" t="n">
        <v>2</v>
      </c>
      <c r="K160">
        <f>IF(AND(ISNUMBER(F160),I160&gt;0),I160/(F160/60),"")</f>
        <v/>
      </c>
      <c r="L160" s="517">
        <f>IF(AND(ISNUMBER(F160),J160&gt;0),J160/(F160/60),"")</f>
        <v/>
      </c>
      <c r="M160">
        <f>IF(OR(ISNUMBER(SEARCH("サニテーション",C160)),ISNUMBER(SEARCH("客注",C160)),ISNUMBER(SEARCH("切り替え",C160)),ISNUMBER(SEARCH("切替",C160)),NOT(ISNUMBER(H160))),"",IF(ISNUMBER(G160),G160/60*H160*④前提設定!$B$4,IF(AND(G160="",ISNUMBER(F160)),F160/60*H160*④前提設定!$B$4,"")))</f>
        <v/>
      </c>
      <c r="N160">
        <f>IF(AND(I160&gt;0,ISNUMBER(M160)),M160/I160,"")</f>
        <v/>
      </c>
      <c r="O160" s="517">
        <f>IF(AND(J160&gt;0,ISNUMBER(M160)),M160/J160,"")</f>
        <v/>
      </c>
    </row>
    <row r="161">
      <c r="F161">
        <f>IF(OR(D161="",E161=""),"",(E161-D161)*1440)</f>
        <v/>
      </c>
      <c r="H161" t="n">
        <v>2</v>
      </c>
      <c r="K161">
        <f>IF(AND(ISNUMBER(F161),I161&gt;0),I161/(F161/60),"")</f>
        <v/>
      </c>
      <c r="L161" s="517">
        <f>IF(AND(ISNUMBER(F161),J161&gt;0),J161/(F161/60),"")</f>
        <v/>
      </c>
      <c r="M161">
        <f>IF(OR(ISNUMBER(SEARCH("サニテーション",C161)),ISNUMBER(SEARCH("客注",C161)),ISNUMBER(SEARCH("切り替え",C161)),ISNUMBER(SEARCH("切替",C161)),NOT(ISNUMBER(H161))),"",IF(ISNUMBER(G161),G161/60*H161*④前提設定!$B$4,IF(AND(G161="",ISNUMBER(F161)),F161/60*H161*④前提設定!$B$4,"")))</f>
        <v/>
      </c>
      <c r="N161">
        <f>IF(AND(I161&gt;0,ISNUMBER(M161)),M161/I161,"")</f>
        <v/>
      </c>
      <c r="O161" s="517">
        <f>IF(AND(J161&gt;0,ISNUMBER(M161)),M161/J161,"")</f>
        <v/>
      </c>
    </row>
    <row r="162">
      <c r="F162">
        <f>IF(OR(D162="",E162=""),"",(E162-D162)*1440)</f>
        <v/>
      </c>
      <c r="H162" t="n">
        <v>2</v>
      </c>
      <c r="K162">
        <f>IF(AND(ISNUMBER(F162),I162&gt;0),I162/(F162/60),"")</f>
        <v/>
      </c>
      <c r="L162" s="517">
        <f>IF(AND(ISNUMBER(F162),J162&gt;0),J162/(F162/60),"")</f>
        <v/>
      </c>
      <c r="M162">
        <f>IF(OR(ISNUMBER(SEARCH("サニテーション",C162)),ISNUMBER(SEARCH("客注",C162)),ISNUMBER(SEARCH("切り替え",C162)),ISNUMBER(SEARCH("切替",C162)),NOT(ISNUMBER(H162))),"",IF(ISNUMBER(G162),G162/60*H162*④前提設定!$B$4,IF(AND(G162="",ISNUMBER(F162)),F162/60*H162*④前提設定!$B$4,"")))</f>
        <v/>
      </c>
      <c r="N162">
        <f>IF(AND(I162&gt;0,ISNUMBER(M162)),M162/I162,"")</f>
        <v/>
      </c>
      <c r="O162" s="517">
        <f>IF(AND(J162&gt;0,ISNUMBER(M162)),M162/J162,"")</f>
        <v/>
      </c>
    </row>
    <row r="163">
      <c r="F163">
        <f>IF(OR(D163="",E163=""),"",(E163-D163)*1440)</f>
        <v/>
      </c>
      <c r="H163" t="n">
        <v>2</v>
      </c>
      <c r="K163">
        <f>IF(AND(ISNUMBER(F163),I163&gt;0),I163/(F163/60),"")</f>
        <v/>
      </c>
      <c r="L163" s="517">
        <f>IF(AND(ISNUMBER(F163),J163&gt;0),J163/(F163/60),"")</f>
        <v/>
      </c>
      <c r="M163">
        <f>IF(OR(ISNUMBER(SEARCH("サニテーション",C163)),ISNUMBER(SEARCH("客注",C163)),ISNUMBER(SEARCH("切り替え",C163)),ISNUMBER(SEARCH("切替",C163)),NOT(ISNUMBER(H163))),"",IF(ISNUMBER(G163),G163/60*H163*④前提設定!$B$4,IF(AND(G163="",ISNUMBER(F163)),F163/60*H163*④前提設定!$B$4,"")))</f>
        <v/>
      </c>
      <c r="N163">
        <f>IF(AND(I163&gt;0,ISNUMBER(M163)),M163/I163,"")</f>
        <v/>
      </c>
      <c r="O163" s="517">
        <f>IF(AND(J163&gt;0,ISNUMBER(M163)),M163/J163,"")</f>
        <v/>
      </c>
    </row>
    <row r="164">
      <c r="F164">
        <f>IF(OR(D164="",E164=""),"",(E164-D164)*1440)</f>
        <v/>
      </c>
      <c r="H164" t="n">
        <v>2</v>
      </c>
      <c r="K164">
        <f>IF(AND(ISNUMBER(F164),I164&gt;0),I164/(F164/60),"")</f>
        <v/>
      </c>
      <c r="L164" s="517">
        <f>IF(AND(ISNUMBER(F164),J164&gt;0),J164/(F164/60),"")</f>
        <v/>
      </c>
      <c r="M164">
        <f>IF(OR(ISNUMBER(SEARCH("サニテーション",C164)),ISNUMBER(SEARCH("客注",C164)),ISNUMBER(SEARCH("切り替え",C164)),ISNUMBER(SEARCH("切替",C164)),NOT(ISNUMBER(H164))),"",IF(ISNUMBER(G164),G164/60*H164*④前提設定!$B$4,IF(AND(G164="",ISNUMBER(F164)),F164/60*H164*④前提設定!$B$4,"")))</f>
        <v/>
      </c>
      <c r="N164">
        <f>IF(AND(I164&gt;0,ISNUMBER(M164)),M164/I164,"")</f>
        <v/>
      </c>
      <c r="O164" s="517">
        <f>IF(AND(J164&gt;0,ISNUMBER(M164)),M164/J164,"")</f>
        <v/>
      </c>
    </row>
    <row r="165">
      <c r="F165">
        <f>IF(OR(D165="",E165=""),"",(E165-D165)*1440)</f>
        <v/>
      </c>
      <c r="H165" t="n">
        <v>2</v>
      </c>
      <c r="K165">
        <f>IF(AND(ISNUMBER(F165),I165&gt;0),I165/(F165/60),"")</f>
        <v/>
      </c>
      <c r="L165" s="517">
        <f>IF(AND(ISNUMBER(F165),J165&gt;0),J165/(F165/60),"")</f>
        <v/>
      </c>
      <c r="M165">
        <f>IF(OR(ISNUMBER(SEARCH("サニテーション",C165)),ISNUMBER(SEARCH("客注",C165)),ISNUMBER(SEARCH("切り替え",C165)),ISNUMBER(SEARCH("切替",C165)),NOT(ISNUMBER(H165))),"",IF(ISNUMBER(G165),G165/60*H165*④前提設定!$B$4,IF(AND(G165="",ISNUMBER(F165)),F165/60*H165*④前提設定!$B$4,"")))</f>
        <v/>
      </c>
      <c r="N165">
        <f>IF(AND(I165&gt;0,ISNUMBER(M165)),M165/I165,"")</f>
        <v/>
      </c>
      <c r="O165" s="517">
        <f>IF(AND(J165&gt;0,ISNUMBER(M165)),M165/J165,"")</f>
        <v/>
      </c>
    </row>
    <row r="166">
      <c r="F166">
        <f>IF(OR(D166="",E166=""),"",(E166-D166)*1440)</f>
        <v/>
      </c>
      <c r="H166" t="n">
        <v>2</v>
      </c>
      <c r="K166">
        <f>IF(AND(ISNUMBER(F166),I166&gt;0),I166/(F166/60),"")</f>
        <v/>
      </c>
      <c r="L166" s="517">
        <f>IF(AND(ISNUMBER(F166),J166&gt;0),J166/(F166/60),"")</f>
        <v/>
      </c>
      <c r="M166">
        <f>IF(OR(ISNUMBER(SEARCH("サニテーション",C166)),ISNUMBER(SEARCH("客注",C166)),ISNUMBER(SEARCH("切り替え",C166)),ISNUMBER(SEARCH("切替",C166)),NOT(ISNUMBER(H166))),"",IF(ISNUMBER(G166),G166/60*H166*④前提設定!$B$4,IF(AND(G166="",ISNUMBER(F166)),F166/60*H166*④前提設定!$B$4,"")))</f>
        <v/>
      </c>
      <c r="N166">
        <f>IF(AND(I166&gt;0,ISNUMBER(M166)),M166/I166,"")</f>
        <v/>
      </c>
      <c r="O166" s="517">
        <f>IF(AND(J166&gt;0,ISNUMBER(M166)),M166/J166,"")</f>
        <v/>
      </c>
    </row>
    <row r="167">
      <c r="F167">
        <f>IF(OR(D167="",E167=""),"",(E167-D167)*1440)</f>
        <v/>
      </c>
      <c r="H167" t="n">
        <v>2</v>
      </c>
      <c r="K167">
        <f>IF(AND(ISNUMBER(F167),I167&gt;0),I167/(F167/60),"")</f>
        <v/>
      </c>
      <c r="L167" s="517">
        <f>IF(AND(ISNUMBER(F167),J167&gt;0),J167/(F167/60),"")</f>
        <v/>
      </c>
      <c r="M167">
        <f>IF(OR(ISNUMBER(SEARCH("サニテーション",C167)),ISNUMBER(SEARCH("客注",C167)),ISNUMBER(SEARCH("切り替え",C167)),ISNUMBER(SEARCH("切替",C167)),NOT(ISNUMBER(H167))),"",IF(ISNUMBER(G167),G167/60*H167*④前提設定!$B$4,IF(AND(G167="",ISNUMBER(F167)),F167/60*H167*④前提設定!$B$4,"")))</f>
        <v/>
      </c>
      <c r="N167">
        <f>IF(AND(I167&gt;0,ISNUMBER(M167)),M167/I167,"")</f>
        <v/>
      </c>
      <c r="O167" s="517">
        <f>IF(AND(J167&gt;0,ISNUMBER(M167)),M167/J167,"")</f>
        <v/>
      </c>
    </row>
    <row r="168">
      <c r="F168">
        <f>IF(OR(D168="",E168=""),"",(E168-D168)*1440)</f>
        <v/>
      </c>
      <c r="H168" t="n">
        <v>2</v>
      </c>
      <c r="K168">
        <f>IF(AND(ISNUMBER(F168),I168&gt;0),I168/(F168/60),"")</f>
        <v/>
      </c>
      <c r="L168" s="517">
        <f>IF(AND(ISNUMBER(F168),J168&gt;0),J168/(F168/60),"")</f>
        <v/>
      </c>
      <c r="M168">
        <f>IF(OR(ISNUMBER(SEARCH("サニテーション",C168)),ISNUMBER(SEARCH("客注",C168)),ISNUMBER(SEARCH("切り替え",C168)),ISNUMBER(SEARCH("切替",C168)),NOT(ISNUMBER(H168))),"",IF(ISNUMBER(G168),G168/60*H168*④前提設定!$B$4,IF(AND(G168="",ISNUMBER(F168)),F168/60*H168*④前提設定!$B$4,"")))</f>
        <v/>
      </c>
      <c r="N168">
        <f>IF(AND(I168&gt;0,ISNUMBER(M168)),M168/I168,"")</f>
        <v/>
      </c>
      <c r="O168" s="517">
        <f>IF(AND(J168&gt;0,ISNUMBER(M168)),M168/J168,"")</f>
        <v/>
      </c>
    </row>
    <row r="169">
      <c r="F169">
        <f>IF(OR(D169="",E169=""),"",(E169-D169)*1440)</f>
        <v/>
      </c>
      <c r="H169" t="n">
        <v>2</v>
      </c>
      <c r="K169">
        <f>IF(AND(ISNUMBER(F169),I169&gt;0),I169/(F169/60),"")</f>
        <v/>
      </c>
      <c r="L169" s="517">
        <f>IF(AND(ISNUMBER(F169),J169&gt;0),J169/(F169/60),"")</f>
        <v/>
      </c>
      <c r="M169">
        <f>IF(OR(ISNUMBER(SEARCH("サニテーション",C169)),ISNUMBER(SEARCH("客注",C169)),ISNUMBER(SEARCH("切り替え",C169)),ISNUMBER(SEARCH("切替",C169)),NOT(ISNUMBER(H169))),"",IF(ISNUMBER(G169),G169/60*H169*④前提設定!$B$4,IF(AND(G169="",ISNUMBER(F169)),F169/60*H169*④前提設定!$B$4,"")))</f>
        <v/>
      </c>
      <c r="N169">
        <f>IF(AND(I169&gt;0,ISNUMBER(M169)),M169/I169,"")</f>
        <v/>
      </c>
      <c r="O169" s="517">
        <f>IF(AND(J169&gt;0,ISNUMBER(M169)),M169/J169,"")</f>
        <v/>
      </c>
    </row>
    <row r="170">
      <c r="F170">
        <f>IF(OR(D170="",E170=""),"",(E170-D170)*1440)</f>
        <v/>
      </c>
      <c r="H170" t="n">
        <v>2</v>
      </c>
      <c r="K170">
        <f>IF(AND(ISNUMBER(F170),I170&gt;0),I170/(F170/60),"")</f>
        <v/>
      </c>
      <c r="L170" s="517">
        <f>IF(AND(ISNUMBER(F170),J170&gt;0),J170/(F170/60),"")</f>
        <v/>
      </c>
      <c r="M170">
        <f>IF(OR(ISNUMBER(SEARCH("サニテーション",C170)),ISNUMBER(SEARCH("客注",C170)),ISNUMBER(SEARCH("切り替え",C170)),ISNUMBER(SEARCH("切替",C170)),NOT(ISNUMBER(H170))),"",IF(ISNUMBER(G170),G170/60*H170*④前提設定!$B$4,IF(AND(G170="",ISNUMBER(F170)),F170/60*H170*④前提設定!$B$4,"")))</f>
        <v/>
      </c>
      <c r="N170">
        <f>IF(AND(I170&gt;0,ISNUMBER(M170)),M170/I170,"")</f>
        <v/>
      </c>
      <c r="O170" s="517">
        <f>IF(AND(J170&gt;0,ISNUMBER(M170)),M170/J170,"")</f>
        <v/>
      </c>
    </row>
    <row r="171">
      <c r="F171">
        <f>IF(OR(D171="",E171=""),"",(E171-D171)*1440)</f>
        <v/>
      </c>
      <c r="H171" t="n">
        <v>2</v>
      </c>
      <c r="K171">
        <f>IF(AND(ISNUMBER(F171),I171&gt;0),I171/(F171/60),"")</f>
        <v/>
      </c>
      <c r="L171" s="517">
        <f>IF(AND(ISNUMBER(F171),J171&gt;0),J171/(F171/60),"")</f>
        <v/>
      </c>
      <c r="M171">
        <f>IF(OR(ISNUMBER(SEARCH("サニテーション",C171)),ISNUMBER(SEARCH("客注",C171)),ISNUMBER(SEARCH("切り替え",C171)),ISNUMBER(SEARCH("切替",C171)),NOT(ISNUMBER(H171))),"",IF(ISNUMBER(G171),G171/60*H171*④前提設定!$B$4,IF(AND(G171="",ISNUMBER(F171)),F171/60*H171*④前提設定!$B$4,"")))</f>
        <v/>
      </c>
      <c r="N171">
        <f>IF(AND(I171&gt;0,ISNUMBER(M171)),M171/I171,"")</f>
        <v/>
      </c>
      <c r="O171" s="517">
        <f>IF(AND(J171&gt;0,ISNUMBER(M171)),M171/J171,"")</f>
        <v/>
      </c>
    </row>
    <row r="172">
      <c r="F172">
        <f>IF(OR(D172="",E172=""),"",(E172-D172)*1440)</f>
        <v/>
      </c>
      <c r="H172" t="n">
        <v>2</v>
      </c>
      <c r="K172">
        <f>IF(AND(ISNUMBER(F172),I172&gt;0),I172/(F172/60),"")</f>
        <v/>
      </c>
      <c r="L172" s="517">
        <f>IF(AND(ISNUMBER(F172),J172&gt;0),J172/(F172/60),"")</f>
        <v/>
      </c>
      <c r="M172">
        <f>IF(OR(ISNUMBER(SEARCH("サニテーション",C172)),ISNUMBER(SEARCH("客注",C172)),ISNUMBER(SEARCH("切り替え",C172)),ISNUMBER(SEARCH("切替",C172)),NOT(ISNUMBER(H172))),"",IF(ISNUMBER(G172),G172/60*H172*④前提設定!$B$4,IF(AND(G172="",ISNUMBER(F172)),F172/60*H172*④前提設定!$B$4,"")))</f>
        <v/>
      </c>
      <c r="N172">
        <f>IF(AND(I172&gt;0,ISNUMBER(M172)),M172/I172,"")</f>
        <v/>
      </c>
      <c r="O172" s="517">
        <f>IF(AND(J172&gt;0,ISNUMBER(M172)),M172/J172,"")</f>
        <v/>
      </c>
    </row>
    <row r="173">
      <c r="F173">
        <f>IF(OR(D173="",E173=""),"",(E173-D173)*1440)</f>
        <v/>
      </c>
      <c r="H173" t="n">
        <v>2</v>
      </c>
      <c r="K173">
        <f>IF(AND(ISNUMBER(F173),I173&gt;0),I173/(F173/60),"")</f>
        <v/>
      </c>
      <c r="L173" s="517">
        <f>IF(AND(ISNUMBER(F173),J173&gt;0),J173/(F173/60),"")</f>
        <v/>
      </c>
      <c r="M173">
        <f>IF(OR(ISNUMBER(SEARCH("サニテーション",C173)),ISNUMBER(SEARCH("客注",C173)),ISNUMBER(SEARCH("切り替え",C173)),ISNUMBER(SEARCH("切替",C173)),NOT(ISNUMBER(H173))),"",IF(ISNUMBER(G173),G173/60*H173*④前提設定!$B$4,IF(AND(G173="",ISNUMBER(F173)),F173/60*H173*④前提設定!$B$4,"")))</f>
        <v/>
      </c>
      <c r="N173">
        <f>IF(AND(I173&gt;0,ISNUMBER(M173)),M173/I173,"")</f>
        <v/>
      </c>
      <c r="O173" s="517">
        <f>IF(AND(J173&gt;0,ISNUMBER(M173)),M173/J173,"")</f>
        <v/>
      </c>
    </row>
    <row r="174">
      <c r="F174">
        <f>IF(OR(D174="",E174=""),"",(E174-D174)*1440)</f>
        <v/>
      </c>
      <c r="H174" t="n">
        <v>2</v>
      </c>
      <c r="K174">
        <f>IF(AND(ISNUMBER(F174),I174&gt;0),I174/(F174/60),"")</f>
        <v/>
      </c>
      <c r="L174" s="517">
        <f>IF(AND(ISNUMBER(F174),J174&gt;0),J174/(F174/60),"")</f>
        <v/>
      </c>
      <c r="M174">
        <f>IF(OR(ISNUMBER(SEARCH("サニテーション",C174)),ISNUMBER(SEARCH("客注",C174)),ISNUMBER(SEARCH("切り替え",C174)),ISNUMBER(SEARCH("切替",C174)),NOT(ISNUMBER(H174))),"",IF(ISNUMBER(G174),G174/60*H174*④前提設定!$B$4,IF(AND(G174="",ISNUMBER(F174)),F174/60*H174*④前提設定!$B$4,"")))</f>
        <v/>
      </c>
      <c r="N174">
        <f>IF(AND(I174&gt;0,ISNUMBER(M174)),M174/I174,"")</f>
        <v/>
      </c>
      <c r="O174" s="517">
        <f>IF(AND(J174&gt;0,ISNUMBER(M174)),M174/J174,"")</f>
        <v/>
      </c>
    </row>
    <row r="175">
      <c r="F175">
        <f>IF(OR(D175="",E175=""),"",(E175-D175)*1440)</f>
        <v/>
      </c>
      <c r="H175" t="n">
        <v>2</v>
      </c>
      <c r="K175">
        <f>IF(AND(ISNUMBER(F175),I175&gt;0),I175/(F175/60),"")</f>
        <v/>
      </c>
      <c r="L175" s="517">
        <f>IF(AND(ISNUMBER(F175),J175&gt;0),J175/(F175/60),"")</f>
        <v/>
      </c>
      <c r="M175">
        <f>IF(OR(ISNUMBER(SEARCH("サニテーション",C175)),ISNUMBER(SEARCH("客注",C175)),ISNUMBER(SEARCH("切り替え",C175)),ISNUMBER(SEARCH("切替",C175)),NOT(ISNUMBER(H175))),"",IF(ISNUMBER(G175),G175/60*H175*④前提設定!$B$4,IF(AND(G175="",ISNUMBER(F175)),F175/60*H175*④前提設定!$B$4,"")))</f>
        <v/>
      </c>
      <c r="N175">
        <f>IF(AND(I175&gt;0,ISNUMBER(M175)),M175/I175,"")</f>
        <v/>
      </c>
      <c r="O175" s="517">
        <f>IF(AND(J175&gt;0,ISNUMBER(M175)),M175/J175,"")</f>
        <v/>
      </c>
    </row>
  </sheetData>
  <mergeCells count="3">
    <mergeCell ref="A153:F15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B6" sqref="B6"/>
    </sheetView>
  </sheetViews>
  <sheetFormatPr baseColWidth="8" defaultRowHeight="13"/>
  <cols>
    <col width="28" customWidth="1" style="438" min="1" max="1"/>
    <col width="14" customWidth="1" style="438" min="2" max="2"/>
  </cols>
  <sheetData>
    <row r="1" ht="28" customHeight="1" s="438">
      <c r="A1" s="462" t="inlineStr">
        <is>
          <t>前提設定　（変更すると全シートに自動反映）</t>
        </is>
      </c>
    </row>
    <row r="2" ht="16" customHeight="1" s="438">
      <c r="A2" s="455" t="inlineStr">
        <is>
          <t>青字・黄背景 = 入力セル　※時給はベーカリー実績（0525）の1350円を設定</t>
        </is>
      </c>
    </row>
    <row r="3" ht="8" customHeight="1" s="438"/>
    <row r="4" ht="20" customHeight="1" s="438">
      <c r="A4" s="62" t="inlineStr">
        <is>
          <t>工場平均時給（円/h）★入力</t>
        </is>
      </c>
      <c r="B4" s="414" t="n">
        <v>1350</v>
      </c>
      <c r="C4" s="415" t="inlineStr">
        <is>
          <t>時給1,350円に変更(元ファイルは2,644円)。変えると全シートの労務費が再計算されます</t>
        </is>
      </c>
    </row>
    <row r="5" ht="20" customHeight="1" s="438">
      <c r="A5" s="62" t="inlineStr">
        <is>
          <t>固定費（月次・円）</t>
        </is>
      </c>
      <c r="B5" s="7" t="n">
        <v>500000</v>
      </c>
    </row>
    <row r="6" ht="20" customHeight="1" s="438">
      <c r="A6" s="62" t="inlineStr">
        <is>
          <t>包材費概算（円/kg）</t>
        </is>
      </c>
      <c r="B6" s="518" t="n">
        <v>0</v>
      </c>
    </row>
    <row r="7" ht="20" customHeight="1" s="438">
      <c r="A7" s="62" t="inlineStr">
        <is>
          <t>ロス率（%）</t>
        </is>
      </c>
      <c r="B7" s="519" t="n">
        <v>1</v>
      </c>
    </row>
    <row r="8" ht="20" customHeight="1" s="438">
      <c r="A8" s="62" t="inlineStr">
        <is>
          <t>稼働日数/月</t>
        </is>
      </c>
      <c r="B8" s="7" t="n">
        <v>22</v>
      </c>
    </row>
    <row r="9"/>
    <row r="10" ht="24" customHeight="1" s="438">
      <c r="A10" s="463" t="inlineStr">
        <is>
          <t>■ 工程別設定人数・目標生産性（変更するとダッシュボードに反映）</t>
        </is>
      </c>
    </row>
    <row r="11" ht="20" customHeight="1" s="438">
      <c r="A11" s="249" t="inlineStr">
        <is>
          <t>工程</t>
        </is>
      </c>
      <c r="B11" s="249" t="inlineStr">
        <is>
          <t>設定人数(人)</t>
        </is>
      </c>
      <c r="C11" s="249" t="inlineStr">
        <is>
          <t>目標生産性</t>
        </is>
      </c>
      <c r="D11" s="249" t="inlineStr">
        <is>
          <t>単位</t>
        </is>
      </c>
    </row>
    <row r="12" ht="20" customHeight="1" s="438">
      <c r="A12" s="250" t="inlineStr">
        <is>
          <t>釜</t>
        </is>
      </c>
      <c r="B12" s="251" t="n">
        <v>2</v>
      </c>
      <c r="C12" s="251" t="n">
        <v>50</v>
      </c>
      <c r="D12" s="252" t="inlineStr">
        <is>
          <t>kg/h</t>
        </is>
      </c>
    </row>
    <row r="13" ht="20" customHeight="1" s="438">
      <c r="A13" s="253" t="inlineStr">
        <is>
          <t>スチコン</t>
        </is>
      </c>
      <c r="B13" s="251" t="n">
        <v>2</v>
      </c>
      <c r="C13" s="251" t="n">
        <v>30</v>
      </c>
      <c r="D13" s="254" t="inlineStr">
        <is>
          <t>kg/h</t>
        </is>
      </c>
    </row>
    <row r="14" ht="20" customHeight="1" s="438">
      <c r="A14" s="250" t="inlineStr">
        <is>
          <t>盛り込み</t>
        </is>
      </c>
      <c r="B14" s="251" t="n">
        <v>5</v>
      </c>
      <c r="C14" s="251" t="n">
        <v>400</v>
      </c>
      <c r="D14" s="252" t="inlineStr">
        <is>
          <t>個/h</t>
        </is>
      </c>
    </row>
    <row r="15" ht="20" customHeight="1" s="438">
      <c r="A15" s="253" t="inlineStr">
        <is>
          <t>フライヤー</t>
        </is>
      </c>
      <c r="B15" s="251" t="n">
        <v>2</v>
      </c>
      <c r="C15" s="251" t="n">
        <v>100</v>
      </c>
      <c r="D15" s="254" t="inlineStr">
        <is>
          <t>kg/h</t>
        </is>
      </c>
    </row>
    <row r="16" ht="20" customHeight="1" s="438">
      <c r="A16" s="250" t="inlineStr">
        <is>
          <t>参考：時給の候補</t>
        </is>
      </c>
      <c r="B16" s="251" t="n">
        <v>2</v>
      </c>
      <c r="C16" s="251" t="n">
        <v>80</v>
      </c>
      <c r="D16" s="252" t="inlineStr">
        <is>
          <t>kg/h</t>
        </is>
      </c>
    </row>
    <row r="17" ht="20" customHeight="1" s="438">
      <c r="A17" s="253" t="inlineStr">
        <is>
          <t>前回資料（益子生産性最新）</t>
        </is>
      </c>
      <c r="B17" s="251" t="n">
        <v>2644</v>
      </c>
      <c r="C17" s="251" t="n">
        <v>60</v>
      </c>
      <c r="D17" s="254" t="inlineStr">
        <is>
          <t>kg/h</t>
        </is>
      </c>
    </row>
    <row r="18" ht="20" customHeight="1" s="438">
      <c r="A18" s="250" t="inlineStr">
        <is>
          <t>0525ベーカリー実績</t>
        </is>
      </c>
      <c r="B18" s="251" t="n">
        <v>1350</v>
      </c>
      <c r="C18" s="251" t="n">
        <v>200</v>
      </c>
      <c r="D18" s="252" t="inlineStr">
        <is>
          <t>個/h</t>
        </is>
      </c>
    </row>
    <row r="19"/>
    <row r="20">
      <c r="A20" s="422" t="inlineStr">
        <is>
          <t>■ 経費（経広_製造PL 17期通期予算 ライン別PL より）</t>
        </is>
      </c>
    </row>
    <row r="21">
      <c r="A21" s="423" t="inlineStr">
        <is>
          <t>経費率（対原価・人件費を除く）</t>
        </is>
      </c>
      <c r="B21" s="520" t="n">
        <v>0.227342</v>
      </c>
      <c r="C21" s="423" t="inlineStr">
        <is>
          <t>益子惣菜：経費合計1,270,008千円 − 人件費660,737千円 = 609,271千円 ÷ 売上原価2,679,975千円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7"/>
  <sheetViews>
    <sheetView showGridLines="0" workbookViewId="0">
      <pane ySplit="4" topLeftCell="A5" activePane="bottomLeft" state="frozen"/>
      <selection pane="bottomLeft" activeCell="G6" sqref="G6"/>
    </sheetView>
  </sheetViews>
  <sheetFormatPr baseColWidth="8" defaultRowHeight="13"/>
  <cols>
    <col width="5" customWidth="1" style="438" min="1" max="1"/>
    <col width="26" customWidth="1" style="438" min="2" max="2"/>
    <col width="11" customWidth="1" style="438" min="3" max="3"/>
    <col width="10" customWidth="1" style="438" min="4" max="4"/>
    <col width="12" customWidth="1" style="438" min="5" max="5"/>
    <col width="14" customWidth="1" style="438" min="6" max="6"/>
    <col width="10" customWidth="1" style="438" min="7" max="7"/>
    <col width="14" customWidth="1" style="438" min="8" max="9"/>
    <col width="12" customWidth="1" style="438" min="10" max="10"/>
    <col width="18" customWidth="1" style="438" min="11" max="11"/>
  </cols>
  <sheetData>
    <row r="1" ht="26" customHeight="1" s="438">
      <c r="A1" s="462" t="inlineStr">
        <is>
          <t>中間品別損益　釜・スチコン統合　（②③の更新で自動反映）</t>
        </is>
      </c>
    </row>
    <row r="2" ht="16" customHeight="1" s="438">
      <c r="A2" s="455" t="inlineStr">
        <is>
          <t>労務費＝実作業時間×時給　|　原材料費★入力で粗利算出　|　商品追加時は末尾に行追加＋式コピー</t>
        </is>
      </c>
    </row>
    <row r="3" ht="8" customHeight="1" s="438"/>
    <row r="4" ht="36" customHeight="1" s="438">
      <c r="A4" s="65" t="inlineStr">
        <is>
          <t>No.</t>
        </is>
      </c>
      <c r="B4" s="65" t="inlineStr">
        <is>
          <t>中間品名</t>
        </is>
      </c>
      <c r="C4" s="65" t="inlineStr">
        <is>
          <t>機器</t>
        </is>
      </c>
      <c r="D4" s="65" t="inlineStr">
        <is>
          <t>重量kg
自動</t>
        </is>
      </c>
      <c r="E4" s="65" t="inlineStr">
        <is>
          <t>実作業(分)
自動</t>
        </is>
      </c>
      <c r="F4" s="65" t="inlineStr">
        <is>
          <t>労務費(円)
自動</t>
        </is>
      </c>
      <c r="G4" s="65" t="inlineStr">
        <is>
          <t>円/kg
自動</t>
        </is>
      </c>
      <c r="H4" s="65" t="inlineStr">
        <is>
          <t>原材料費(円)
★入力</t>
        </is>
      </c>
      <c r="I4" s="65" t="inlineStr">
        <is>
          <t>粗利(円)
参考</t>
        </is>
      </c>
      <c r="J4" s="65" t="inlineStr">
        <is>
          <t>判定</t>
        </is>
      </c>
      <c r="K4" s="65" t="inlineStr">
        <is>
          <t>週次更新メモ</t>
        </is>
      </c>
    </row>
    <row r="5" ht="17" customHeight="1" s="438">
      <c r="A5" s="66" t="n">
        <v>1</v>
      </c>
      <c r="B5" s="67" t="inlineStr">
        <is>
          <t>プリンロール液</t>
        </is>
      </c>
      <c r="C5" s="68" t="inlineStr">
        <is>
          <t>②釜</t>
        </is>
      </c>
      <c r="D5" s="9">
        <f>SUMIF(②釜工程入力!C5:C117,B5,②釜工程入力!I5:I117)</f>
        <v/>
      </c>
      <c r="E5" s="9">
        <f>SUMIF(②釜工程入力!C5:C117,B5,②釜工程入力!G5:G117)</f>
        <v/>
      </c>
      <c r="F5" s="9">
        <f>SUMIF(②釜工程入力!C5:C117,B5,②釜工程入力!M5:M117)</f>
        <v/>
      </c>
      <c r="G5" s="513">
        <f>IF(D5&gt;0,F5/D5,"")</f>
        <v/>
      </c>
      <c r="H5" s="7" t="n">
        <v>0</v>
      </c>
      <c r="I5" s="9">
        <f>IF(H5&gt;0,-F5-H5,"")</f>
        <v/>
      </c>
      <c r="J5" s="69">
        <f>IF(G5="","",IF(G5&gt;=300,"✕ 要改善",IF(G5&gt;=200,"△ 注意","○ 良好")))</f>
        <v/>
      </c>
      <c r="K5" s="70" t="n"/>
    </row>
    <row r="6" ht="17" customHeight="1" s="438">
      <c r="A6" s="71" t="n">
        <v>2</v>
      </c>
      <c r="B6" s="72" t="inlineStr">
        <is>
          <t>あんこ</t>
        </is>
      </c>
      <c r="C6" s="73" t="inlineStr">
        <is>
          <t>②釜</t>
        </is>
      </c>
      <c r="D6" s="9">
        <f>SUMIF(②釜工程入力!C5:C117,B6,②釜工程入力!I5:I117)</f>
        <v/>
      </c>
      <c r="E6" s="9">
        <f>SUMIF(②釜工程入力!C5:C117,B6,②釜工程入力!G5:G117)</f>
        <v/>
      </c>
      <c r="F6" s="9">
        <f>SUMIF(②釜工程入力!C5:C117,B6,②釜工程入力!M5:M117)</f>
        <v/>
      </c>
      <c r="G6" s="513">
        <f>IF(D6&gt;0,F6/D6,"")</f>
        <v/>
      </c>
      <c r="H6" s="7" t="n">
        <v>0</v>
      </c>
      <c r="I6" s="9">
        <f>IF(H6&gt;0,-F6-H6,"")</f>
        <v/>
      </c>
      <c r="J6" s="69">
        <f>IF(G6="","",IF(G6&gt;=300,"✕ 要改善",IF(G6&gt;=200,"△ 注意","○ 良好")))</f>
        <v/>
      </c>
      <c r="K6" s="74" t="n"/>
    </row>
    <row r="7" ht="17" customHeight="1" s="438">
      <c r="A7" s="66" t="n">
        <v>3</v>
      </c>
      <c r="B7" s="67" t="inlineStr">
        <is>
          <t>まっしろミルクプリン液</t>
        </is>
      </c>
      <c r="C7" s="68" t="inlineStr">
        <is>
          <t>②釜</t>
        </is>
      </c>
      <c r="D7" s="9">
        <f>SUMIF(②釜工程入力!C5:C117,B7,②釜工程入力!I5:I117)</f>
        <v/>
      </c>
      <c r="E7" s="9">
        <f>SUMIF(②釜工程入力!C5:C117,B7,②釜工程入力!G5:G117)</f>
        <v/>
      </c>
      <c r="F7" s="9">
        <f>SUMIF(②釜工程入力!C5:C117,B7,②釜工程入力!M5:M117)</f>
        <v/>
      </c>
      <c r="G7" s="513">
        <f>IF(D7&gt;0,F7/D7,"")</f>
        <v/>
      </c>
      <c r="H7" s="7" t="n">
        <v>0</v>
      </c>
      <c r="I7" s="9">
        <f>IF(H7&gt;0,-F7-H7,"")</f>
        <v/>
      </c>
      <c r="J7" s="69">
        <f>IF(G7="","",IF(G7&gt;=300,"✕ 要改善",IF(G7&gt;=200,"△ 注意","○ 良好")))</f>
        <v/>
      </c>
      <c r="K7" s="70" t="n"/>
    </row>
    <row r="8" ht="17" customHeight="1" s="438">
      <c r="A8" s="71" t="n">
        <v>4</v>
      </c>
      <c r="B8" s="72" t="inlineStr">
        <is>
          <t>みかん牛乳寒天</t>
        </is>
      </c>
      <c r="C8" s="73" t="inlineStr">
        <is>
          <t>②釜</t>
        </is>
      </c>
      <c r="D8" s="9">
        <f>SUMIF(②釜工程入力!C5:C117,B8,②釜工程入力!I5:I117)</f>
        <v/>
      </c>
      <c r="E8" s="9">
        <f>SUMIF(②釜工程入力!C5:C117,B8,②釜工程入力!G5:G117)</f>
        <v/>
      </c>
      <c r="F8" s="9">
        <f>SUMIF(②釜工程入力!C5:C117,B8,②釜工程入力!M5:M117)</f>
        <v/>
      </c>
      <c r="G8" s="513">
        <f>IF(D8&gt;0,F8/D8,"")</f>
        <v/>
      </c>
      <c r="H8" s="7" t="n">
        <v>0</v>
      </c>
      <c r="I8" s="9">
        <f>IF(H8&gt;0,-F8-H8,"")</f>
        <v/>
      </c>
      <c r="J8" s="69">
        <f>IF(G8="","",IF(G8&gt;=300,"✕ 要改善",IF(G8&gt;=200,"△ 注意","○ 良好")))</f>
        <v/>
      </c>
      <c r="K8" s="74" t="n"/>
    </row>
    <row r="9" ht="17" customHeight="1" s="438">
      <c r="A9" s="66" t="n">
        <v>5</v>
      </c>
      <c r="B9" s="67" t="inlineStr">
        <is>
          <t>コーヒーゼリー液</t>
        </is>
      </c>
      <c r="C9" s="68" t="inlineStr">
        <is>
          <t>②釜</t>
        </is>
      </c>
      <c r="D9" s="9">
        <f>SUMIF(②釜工程入力!C5:C117,B9,②釜工程入力!I5:I117)</f>
        <v/>
      </c>
      <c r="E9" s="9">
        <f>SUMIF(②釜工程入力!C5:C117,B9,②釜工程入力!G5:G117)</f>
        <v/>
      </c>
      <c r="F9" s="9">
        <f>SUMIF(②釜工程入力!C5:C117,B9,②釜工程入力!M5:M117)</f>
        <v/>
      </c>
      <c r="G9" s="513">
        <f>IF(D9&gt;0,F9/D9,"")</f>
        <v/>
      </c>
      <c r="H9" s="7" t="n">
        <v>0</v>
      </c>
      <c r="I9" s="9">
        <f>IF(H9&gt;0,-F9-H9,"")</f>
        <v/>
      </c>
      <c r="J9" s="69">
        <f>IF(G9="","",IF(G9&gt;=300,"✕ 要改善",IF(G9&gt;=200,"△ 注意","○ 良好")))</f>
        <v/>
      </c>
      <c r="K9" s="70" t="n"/>
    </row>
    <row r="10" ht="17" customHeight="1" s="438">
      <c r="A10" s="71" t="n">
        <v>6</v>
      </c>
      <c r="B10" s="72" t="inlineStr">
        <is>
          <t>ブルーベリーソース</t>
        </is>
      </c>
      <c r="C10" s="73" t="inlineStr">
        <is>
          <t>②釜</t>
        </is>
      </c>
      <c r="D10" s="9">
        <f>SUMIF(②釜工程入力!C5:C117,B10,②釜工程入力!I5:I117)</f>
        <v/>
      </c>
      <c r="E10" s="9">
        <f>SUMIF(②釜工程入力!C5:C117,B10,②釜工程入力!G5:G117)</f>
        <v/>
      </c>
      <c r="F10" s="9">
        <f>SUMIF(②釜工程入力!C5:C117,B10,②釜工程入力!M5:M117)</f>
        <v/>
      </c>
      <c r="G10" s="513">
        <f>IF(D10&gt;0,F10/D10,"")</f>
        <v/>
      </c>
      <c r="H10" s="7" t="n">
        <v>0</v>
      </c>
      <c r="I10" s="9">
        <f>IF(H10&gt;0,-F10-H10,"")</f>
        <v/>
      </c>
      <c r="J10" s="69">
        <f>IF(G10="","",IF(G10&gt;=300,"✕ 要改善",IF(G10&gt;=200,"△ 注意","○ 良好")))</f>
        <v/>
      </c>
      <c r="K10" s="74" t="n"/>
    </row>
    <row r="11" ht="17" customHeight="1" s="438">
      <c r="A11" s="66" t="n">
        <v>7</v>
      </c>
      <c r="B11" s="67" t="inlineStr">
        <is>
          <t>自社製ホイップの卵プリン</t>
        </is>
      </c>
      <c r="C11" s="68" t="inlineStr">
        <is>
          <t>②釜</t>
        </is>
      </c>
      <c r="D11" s="9">
        <f>SUMIF(②釜工程入力!C5:C117,B11,②釜工程入力!I5:I117)</f>
        <v/>
      </c>
      <c r="E11" s="9">
        <f>SUMIF(②釜工程入力!C5:C117,B11,②釜工程入力!G5:G117)</f>
        <v/>
      </c>
      <c r="F11" s="9">
        <f>SUMIF(②釜工程入力!C5:C117,B11,②釜工程入力!M5:M117)</f>
        <v/>
      </c>
      <c r="G11" s="513">
        <f>IF(D11&gt;0,F11/D11,"")</f>
        <v/>
      </c>
      <c r="H11" s="7" t="n">
        <v>0</v>
      </c>
      <c r="I11" s="9">
        <f>IF(H11&gt;0,-F11-H11,"")</f>
        <v/>
      </c>
      <c r="J11" s="69">
        <f>IF(G11="","",IF(G11&gt;=300,"✕ 要改善",IF(G11&gt;=200,"△ 注意","○ 良好")))</f>
        <v/>
      </c>
      <c r="K11" s="70" t="n"/>
    </row>
    <row r="12" ht="17" customHeight="1" s="438">
      <c r="A12" s="71" t="n">
        <v>8</v>
      </c>
      <c r="B12" s="72" t="inlineStr">
        <is>
          <t>ミキサー</t>
        </is>
      </c>
      <c r="C12" s="73" t="inlineStr">
        <is>
          <t>②釜</t>
        </is>
      </c>
      <c r="D12" s="9">
        <f>SUMIF(②釜工程入力!C5:C117,B12,②釜工程入力!I5:I117)</f>
        <v/>
      </c>
      <c r="E12" s="9">
        <f>SUMIF(②釜工程入力!C5:C117,B12,②釜工程入力!G5:G117)</f>
        <v/>
      </c>
      <c r="F12" s="9">
        <f>SUMIF(②釜工程入力!C5:C117,B12,②釜工程入力!M5:M117)</f>
        <v/>
      </c>
      <c r="G12" s="513">
        <f>IF(D12&gt;0,F12/D12,"")</f>
        <v/>
      </c>
      <c r="H12" s="7" t="n">
        <v>0</v>
      </c>
      <c r="I12" s="9">
        <f>IF(H12&gt;0,-F12-H12,"")</f>
        <v/>
      </c>
      <c r="J12" s="69">
        <f>IF(G12="","",IF(G12&gt;=300,"✕ 要改善",IF(G12&gt;=200,"△ 注意","○ 良好")))</f>
        <v/>
      </c>
      <c r="K12" s="74" t="n"/>
    </row>
    <row r="13" ht="17" customHeight="1" s="438">
      <c r="A13" s="66" t="n">
        <v>9</v>
      </c>
      <c r="B13" s="67" t="inlineStr">
        <is>
          <t>湯種ロールパン</t>
        </is>
      </c>
      <c r="C13" s="68" t="inlineStr">
        <is>
          <t>②釜</t>
        </is>
      </c>
      <c r="D13" s="9">
        <f>SUMIF(②釜工程入力!C5:C117,B13,②釜工程入力!I5:I117)</f>
        <v/>
      </c>
      <c r="E13" s="9">
        <f>SUMIF(②釜工程入力!C5:C117,B13,②釜工程入力!G5:G117)</f>
        <v/>
      </c>
      <c r="F13" s="9">
        <f>SUMIF(②釜工程入力!C5:C117,B13,②釜工程入力!M5:M117)</f>
        <v/>
      </c>
      <c r="G13" s="513">
        <f>IF(D13&gt;0,F13/D13,"")</f>
        <v/>
      </c>
      <c r="H13" s="7" t="n">
        <v>0</v>
      </c>
      <c r="I13" s="9">
        <f>IF(H13&gt;0,-F13-H13,"")</f>
        <v/>
      </c>
      <c r="J13" s="69">
        <f>IF(G13="","",IF(G13&gt;=300,"✕ 要改善",IF(G13&gt;=200,"△ 注意","○ 良好")))</f>
        <v/>
      </c>
      <c r="K13" s="70" t="n"/>
    </row>
    <row r="14" ht="17" customHeight="1" s="438">
      <c r="A14" s="71" t="n">
        <v>10</v>
      </c>
      <c r="B14" s="72" t="inlineStr">
        <is>
          <t>ホテルロール</t>
        </is>
      </c>
      <c r="C14" s="73" t="inlineStr">
        <is>
          <t>②釜</t>
        </is>
      </c>
      <c r="D14" s="9">
        <f>SUMIF(②釜工程入力!C5:C117,B14,②釜工程入力!I5:I117)</f>
        <v/>
      </c>
      <c r="E14" s="9">
        <f>SUMIF(②釜工程入力!C5:C117,B14,②釜工程入力!G5:G117)</f>
        <v/>
      </c>
      <c r="F14" s="9">
        <f>SUMIF(②釜工程入力!C5:C117,B14,②釜工程入力!M5:M117)</f>
        <v/>
      </c>
      <c r="G14" s="513">
        <f>IF(D14&gt;0,F14/D14,"")</f>
        <v/>
      </c>
      <c r="H14" s="7" t="n">
        <v>0</v>
      </c>
      <c r="I14" s="9">
        <f>IF(H14&gt;0,-F14-H14,"")</f>
        <v/>
      </c>
      <c r="J14" s="69">
        <f>IF(G14="","",IF(G14&gt;=300,"✕ 要改善",IF(G14&gt;=200,"△ 注意","○ 良好")))</f>
        <v/>
      </c>
      <c r="K14" s="74" t="n"/>
    </row>
    <row r="15" ht="17" customHeight="1" s="438">
      <c r="A15" s="66" t="n">
        <v>11</v>
      </c>
      <c r="B15" s="67" t="inlineStr">
        <is>
          <t>塩パン</t>
        </is>
      </c>
      <c r="C15" s="68" t="inlineStr">
        <is>
          <t>②釜</t>
        </is>
      </c>
      <c r="D15" s="9">
        <f>SUMIF(②釜工程入力!C5:C117,B15,②釜工程入力!I5:I117)</f>
        <v/>
      </c>
      <c r="E15" s="9">
        <f>SUMIF(②釜工程入力!C5:C117,B15,②釜工程入力!G5:G117)</f>
        <v/>
      </c>
      <c r="F15" s="9">
        <f>SUMIF(②釜工程入力!C5:C117,B15,②釜工程入力!M5:M117)</f>
        <v/>
      </c>
      <c r="G15" s="513">
        <f>IF(D15&gt;0,F15/D15,"")</f>
        <v/>
      </c>
      <c r="H15" s="7" t="n">
        <v>0</v>
      </c>
      <c r="I15" s="9">
        <f>IF(H15&gt;0,-F15-H15,"")</f>
        <v/>
      </c>
      <c r="J15" s="69">
        <f>IF(G15="","",IF(G15&gt;=300,"✕ 要改善",IF(G15&gt;=200,"△ 注意","○ 良好")))</f>
        <v/>
      </c>
      <c r="K15" s="70" t="n"/>
    </row>
    <row r="16" ht="17" customHeight="1" s="438">
      <c r="A16" s="71" t="n">
        <v>12</v>
      </c>
      <c r="B16" s="72" t="inlineStr">
        <is>
          <t>ホテルブレッド</t>
        </is>
      </c>
      <c r="C16" s="73" t="inlineStr">
        <is>
          <t>②釜</t>
        </is>
      </c>
      <c r="D16" s="9">
        <f>SUMIF(②釜工程入力!C5:C117,B16,②釜工程入力!I5:I117)</f>
        <v/>
      </c>
      <c r="E16" s="9">
        <f>SUMIF(②釜工程入力!C5:C117,B16,②釜工程入力!G5:G117)</f>
        <v/>
      </c>
      <c r="F16" s="9">
        <f>SUMIF(②釜工程入力!C5:C117,B16,②釜工程入力!M5:M117)</f>
        <v/>
      </c>
      <c r="G16" s="513">
        <f>IF(D16&gt;0,F16/D16,"")</f>
        <v/>
      </c>
      <c r="H16" s="7" t="n">
        <v>0</v>
      </c>
      <c r="I16" s="9">
        <f>IF(H16&gt;0,-F16-H16,"")</f>
        <v/>
      </c>
      <c r="J16" s="69">
        <f>IF(G16="","",IF(G16&gt;=300,"✕ 要改善",IF(G16&gt;=200,"△ 注意","○ 良好")))</f>
        <v/>
      </c>
      <c r="K16" s="74" t="n"/>
    </row>
    <row r="17" ht="17" customHeight="1" s="438">
      <c r="A17" s="66" t="n">
        <v>13</v>
      </c>
      <c r="B17" s="67" t="inlineStr">
        <is>
          <t>【PC加工用】</t>
        </is>
      </c>
      <c r="C17" s="68" t="inlineStr">
        <is>
          <t>②釜</t>
        </is>
      </c>
      <c r="D17" s="9">
        <f>SUMIF(②釜工程入力!C5:C117,B17,②釜工程入力!I5:I117)</f>
        <v/>
      </c>
      <c r="E17" s="9">
        <f>SUMIF(②釜工程入力!C5:C117,B17,②釜工程入力!G5:G117)</f>
        <v/>
      </c>
      <c r="F17" s="9">
        <f>SUMIF(②釜工程入力!C5:C117,B17,②釜工程入力!M5:M117)</f>
        <v/>
      </c>
      <c r="G17" s="513">
        <f>IF(D17&gt;0,F17/D17,"")</f>
        <v/>
      </c>
      <c r="H17" s="7" t="n">
        <v>0</v>
      </c>
      <c r="I17" s="9">
        <f>IF(H17&gt;0,-F17-H17,"")</f>
        <v/>
      </c>
      <c r="J17" s="69">
        <f>IF(G17="","",IF(G17&gt;=300,"✕ 要改善",IF(G17&gt;=200,"△ 注意","○ 良好")))</f>
        <v/>
      </c>
      <c r="K17" s="70" t="n"/>
    </row>
    <row r="18" ht="17" customHeight="1" s="438">
      <c r="A18" s="71" t="n">
        <v>14</v>
      </c>
      <c r="B18" s="72" t="inlineStr">
        <is>
          <t>バナナロール</t>
        </is>
      </c>
      <c r="C18" s="73" t="inlineStr">
        <is>
          <t>②釜</t>
        </is>
      </c>
      <c r="D18" s="9">
        <f>SUMIF(②釜工程入力!C5:C117,B18,②釜工程入力!I5:I117)</f>
        <v/>
      </c>
      <c r="E18" s="9">
        <f>SUMIF(②釜工程入力!C5:C117,B18,②釜工程入力!G5:G117)</f>
        <v/>
      </c>
      <c r="F18" s="9">
        <f>SUMIF(②釜工程入力!C5:C117,B18,②釜工程入力!M5:M117)</f>
        <v/>
      </c>
      <c r="G18" s="513">
        <f>IF(D18&gt;0,F18/D18,"")</f>
        <v/>
      </c>
      <c r="H18" s="7" t="n">
        <v>0</v>
      </c>
      <c r="I18" s="9">
        <f>IF(H18&gt;0,-F18-H18,"")</f>
        <v/>
      </c>
      <c r="J18" s="69">
        <f>IF(G18="","",IF(G18&gt;=300,"✕ 要改善",IF(G18&gt;=200,"△ 注意","○ 良好")))</f>
        <v/>
      </c>
      <c r="K18" s="74" t="n"/>
    </row>
    <row r="19" ht="17" customHeight="1" s="438">
      <c r="A19" s="66" t="n">
        <v>15</v>
      </c>
      <c r="B19" s="67" t="inlineStr">
        <is>
          <t>バナナロールカット</t>
        </is>
      </c>
      <c r="C19" s="68" t="inlineStr">
        <is>
          <t>②釜</t>
        </is>
      </c>
      <c r="D19" s="9">
        <f>SUMIF(②釜工程入力!C5:C117,B19,②釜工程入力!I5:I117)</f>
        <v/>
      </c>
      <c r="E19" s="9">
        <f>SUMIF(②釜工程入力!C5:C117,B19,②釜工程入力!G5:G117)</f>
        <v/>
      </c>
      <c r="F19" s="9">
        <f>SUMIF(②釜工程入力!C5:C117,B19,②釜工程入力!M5:M117)</f>
        <v/>
      </c>
      <c r="G19" s="513">
        <f>IF(D19&gt;0,F19/D19,"")</f>
        <v/>
      </c>
      <c r="H19" s="7" t="n">
        <v>0</v>
      </c>
      <c r="I19" s="9">
        <f>IF(H19&gt;0,-F19-H19,"")</f>
        <v/>
      </c>
      <c r="J19" s="69">
        <f>IF(G19="","",IF(G19&gt;=300,"✕ 要改善",IF(G19&gt;=200,"△ 注意","○ 良好")))</f>
        <v/>
      </c>
      <c r="K19" s="70" t="n"/>
    </row>
    <row r="20" ht="17" customHeight="1" s="438">
      <c r="A20" s="71" t="n">
        <v>16</v>
      </c>
      <c r="B20" s="72" t="inlineStr">
        <is>
          <t>バナナ処理</t>
        </is>
      </c>
      <c r="C20" s="73" t="inlineStr">
        <is>
          <t>②釜</t>
        </is>
      </c>
      <c r="D20" s="9">
        <f>SUMIF(②釜工程入力!C5:C117,B20,②釜工程入力!I5:I117)</f>
        <v/>
      </c>
      <c r="E20" s="9">
        <f>SUMIF(②釜工程入力!C5:C117,B20,②釜工程入力!G5:G117)</f>
        <v/>
      </c>
      <c r="F20" s="9">
        <f>SUMIF(②釜工程入力!C5:C117,B20,②釜工程入力!M5:M117)</f>
        <v/>
      </c>
      <c r="G20" s="513">
        <f>IF(D20&gt;0,F20/D20,"")</f>
        <v/>
      </c>
      <c r="H20" s="7" t="n">
        <v>0</v>
      </c>
      <c r="I20" s="9">
        <f>IF(H20&gt;0,-F20-H20,"")</f>
        <v/>
      </c>
      <c r="J20" s="69">
        <f>IF(G20="","",IF(G20&gt;=300,"✕ 要改善",IF(G20&gt;=200,"△ 注意","○ 良好")))</f>
        <v/>
      </c>
      <c r="K20" s="74" t="n"/>
    </row>
    <row r="21" ht="17" customHeight="1" s="438">
      <c r="A21" s="66" t="n">
        <v>17</v>
      </c>
      <c r="B21" s="67" t="inlineStr">
        <is>
          <t>バナナロール生地</t>
        </is>
      </c>
      <c r="C21" s="68" t="inlineStr">
        <is>
          <t>②釜</t>
        </is>
      </c>
      <c r="D21" s="9">
        <f>SUMIF(②釜工程入力!C5:C117,B21,②釜工程入力!I5:I117)</f>
        <v/>
      </c>
      <c r="E21" s="9">
        <f>SUMIF(②釜工程入力!C5:C117,B21,②釜工程入力!G5:G117)</f>
        <v/>
      </c>
      <c r="F21" s="9">
        <f>SUMIF(②釜工程入力!C5:C117,B21,②釜工程入力!M5:M117)</f>
        <v/>
      </c>
      <c r="G21" s="513">
        <f>IF(D21&gt;0,F21/D21,"")</f>
        <v/>
      </c>
      <c r="H21" s="7" t="n">
        <v>0</v>
      </c>
      <c r="I21" s="9">
        <f>IF(H21&gt;0,-F21-H21,"")</f>
        <v/>
      </c>
      <c r="J21" s="69">
        <f>IF(G21="","",IF(G21&gt;=300,"✕ 要改善",IF(G21&gt;=200,"△ 注意","○ 良好")))</f>
        <v/>
      </c>
      <c r="K21" s="70" t="n"/>
    </row>
    <row r="22" ht="17" customHeight="1" s="438">
      <c r="A22" s="71" t="n">
        <v>18</v>
      </c>
      <c r="B22" s="72" t="inlineStr">
        <is>
          <t>抹茶わらび餅</t>
        </is>
      </c>
      <c r="C22" s="75" t="inlineStr">
        <is>
          <t>②釜</t>
        </is>
      </c>
      <c r="D22" s="9">
        <f>SUMIF(②釜工程入力!C5:C117,B22,②釜工程入力!I5:I117)</f>
        <v/>
      </c>
      <c r="E22" s="9">
        <f>SUMIF(②釜工程入力!C5:C117,B22,②釜工程入力!G5:G117)</f>
        <v/>
      </c>
      <c r="F22" s="9">
        <f>SUMIF(②釜工程入力!C5:C117,B22,②釜工程入力!M5:M117)</f>
        <v/>
      </c>
      <c r="G22" s="513">
        <f>IF(D22&gt;0,F22/D22,"")</f>
        <v/>
      </c>
      <c r="H22" s="7" t="n">
        <v>0</v>
      </c>
      <c r="I22" s="9">
        <f>IF(H22&gt;0,-F22-H22,"")</f>
        <v/>
      </c>
      <c r="J22" s="69">
        <f>IF(G22="","",IF(G22&gt;=300,"✕ 要改善",IF(G22&gt;=200,"△ 注意","○ 良好")))</f>
        <v/>
      </c>
      <c r="K22" s="74" t="n"/>
    </row>
    <row r="23" ht="17" customHeight="1" s="438">
      <c r="A23" s="66" t="n">
        <v>19</v>
      </c>
      <c r="B23" s="67" t="inlineStr">
        <is>
          <t>抹茶きなこ</t>
        </is>
      </c>
      <c r="C23" s="76" t="inlineStr">
        <is>
          <t>②釜</t>
        </is>
      </c>
      <c r="D23" s="9">
        <f>SUMIF(②釜工程入力!C5:C117,B23,②釜工程入力!I5:I117)</f>
        <v/>
      </c>
      <c r="E23" s="9">
        <f>SUMIF(②釜工程入力!C5:C117,B23,②釜工程入力!G5:G117)</f>
        <v/>
      </c>
      <c r="F23" s="9">
        <f>SUMIF(②釜工程入力!C5:C117,B23,②釜工程入力!M5:M117)</f>
        <v/>
      </c>
      <c r="G23" s="513">
        <f>IF(D23&gt;0,F23/D23,"")</f>
        <v/>
      </c>
      <c r="H23" s="7" t="n">
        <v>0</v>
      </c>
      <c r="I23" s="9">
        <f>IF(H23&gt;0,-F23-H23,"")</f>
        <v/>
      </c>
      <c r="J23" s="69">
        <f>IF(G23="","",IF(G23&gt;=300,"✕ 要改善",IF(G23&gt;=200,"△ 注意","○ 良好")))</f>
        <v/>
      </c>
      <c r="K23" s="70" t="n"/>
    </row>
    <row r="24" ht="17" customHeight="1" s="438">
      <c r="A24" s="71" t="n">
        <v>20</v>
      </c>
      <c r="B24" s="72" t="inlineStr">
        <is>
          <t>抹茶わらび餅加熱</t>
        </is>
      </c>
      <c r="C24" s="75" t="inlineStr">
        <is>
          <t>②釜</t>
        </is>
      </c>
      <c r="D24" s="9">
        <f>SUMIF(②釜工程入力!C5:C117,B24,②釜工程入力!I5:I117)</f>
        <v/>
      </c>
      <c r="E24" s="9">
        <f>SUMIF(②釜工程入力!C5:C117,B24,②釜工程入力!G5:G117)</f>
        <v/>
      </c>
      <c r="F24" s="9">
        <f>SUMIF(②釜工程入力!C5:C117,B24,②釜工程入力!M5:M117)</f>
        <v/>
      </c>
      <c r="G24" s="513">
        <f>IF(D24&gt;0,F24/D24,"")</f>
        <v/>
      </c>
      <c r="H24" s="7" t="n">
        <v>0</v>
      </c>
      <c r="I24" s="9">
        <f>IF(H24&gt;0,-F24-H24,"")</f>
        <v/>
      </c>
      <c r="J24" s="69">
        <f>IF(G24="","",IF(G24&gt;=300,"✕ 要改善",IF(G24&gt;=200,"△ 注意","○ 良好")))</f>
        <v/>
      </c>
      <c r="K24" s="74" t="n"/>
    </row>
    <row r="25" ht="17" customHeight="1" s="438">
      <c r="A25" s="66" t="n">
        <v>21</v>
      </c>
      <c r="B25" s="67" t="inlineStr">
        <is>
          <t>内製ホイップ</t>
        </is>
      </c>
      <c r="C25" s="76" t="inlineStr">
        <is>
          <t>②釜</t>
        </is>
      </c>
      <c r="D25" s="9">
        <f>SUMIF(②釜工程入力!C5:C117,B25,②釜工程入力!I5:I117)</f>
        <v/>
      </c>
      <c r="E25" s="9">
        <f>SUMIF(②釜工程入力!C5:C117,B25,②釜工程入力!G5:G117)</f>
        <v/>
      </c>
      <c r="F25" s="9">
        <f>SUMIF(②釜工程入力!C5:C117,B25,②釜工程入力!M5:M117)</f>
        <v/>
      </c>
      <c r="G25" s="513">
        <f>IF(D25&gt;0,F25/D25,"")</f>
        <v/>
      </c>
      <c r="H25" s="7" t="n">
        <v>0</v>
      </c>
      <c r="I25" s="9">
        <f>IF(H25&gt;0,-F25-H25,"")</f>
        <v/>
      </c>
      <c r="J25" s="69">
        <f>IF(G25="","",IF(G25&gt;=300,"✕ 要改善",IF(G25&gt;=200,"△ 注意","○ 良好")))</f>
        <v/>
      </c>
      <c r="K25" s="70" t="n"/>
    </row>
    <row r="26" ht="17" customHeight="1" s="438">
      <c r="A26" s="71" t="n">
        <v>22</v>
      </c>
      <c r="B26" s="72" t="inlineStr">
        <is>
          <t>卵プリン液</t>
        </is>
      </c>
      <c r="C26" s="75" t="inlineStr">
        <is>
          <t>②釜</t>
        </is>
      </c>
      <c r="D26" s="9">
        <f>SUMIF(②釜工程入力!C5:C117,B26,②釜工程入力!I5:I117)</f>
        <v/>
      </c>
      <c r="E26" s="9">
        <f>SUMIF(②釜工程入力!C5:C117,B26,②釜工程入力!G5:G117)</f>
        <v/>
      </c>
      <c r="F26" s="9">
        <f>SUMIF(②釜工程入力!C5:C117,B26,②釜工程入力!M5:M117)</f>
        <v/>
      </c>
      <c r="G26" s="513">
        <f>IF(D26&gt;0,F26/D26,"")</f>
        <v/>
      </c>
      <c r="H26" s="7" t="n">
        <v>0</v>
      </c>
      <c r="I26" s="9">
        <f>IF(H26&gt;0,-F26-H26,"")</f>
        <v/>
      </c>
      <c r="J26" s="69">
        <f>IF(G26="","",IF(G26&gt;=300,"✕ 要改善",IF(G26&gt;=200,"△ 注意","○ 良好")))</f>
        <v/>
      </c>
      <c r="K26" s="74" t="n"/>
    </row>
    <row r="27" ht="17" customHeight="1" s="438">
      <c r="A27" s="66" t="n">
        <v>23</v>
      </c>
      <c r="B27" s="67" t="inlineStr">
        <is>
          <t>プリンソース</t>
        </is>
      </c>
      <c r="C27" s="76" t="inlineStr">
        <is>
          <t>②釜</t>
        </is>
      </c>
      <c r="D27" s="9">
        <f>SUMIF(②釜工程入力!C5:C117,B27,②釜工程入力!I5:I117)</f>
        <v/>
      </c>
      <c r="E27" s="9">
        <f>SUMIF(②釜工程入力!C5:C117,B27,②釜工程入力!G5:G117)</f>
        <v/>
      </c>
      <c r="F27" s="9">
        <f>SUMIF(②釜工程入力!C5:C117,B27,②釜工程入力!M5:M117)</f>
        <v/>
      </c>
      <c r="G27" s="513">
        <f>IF(D27&gt;0,F27/D27,"")</f>
        <v/>
      </c>
      <c r="H27" s="7" t="n">
        <v>0</v>
      </c>
      <c r="I27" s="9">
        <f>IF(H27&gt;0,-F27-H27,"")</f>
        <v/>
      </c>
      <c r="J27" s="69">
        <f>IF(G27="","",IF(G27&gt;=300,"✕ 要改善",IF(G27&gt;=200,"△ 注意","○ 良好")))</f>
        <v/>
      </c>
      <c r="K27" s="70" t="n"/>
    </row>
    <row r="28" ht="17" customHeight="1" s="438">
      <c r="A28" s="71" t="n">
        <v>24</v>
      </c>
      <c r="B28" s="72" t="inlineStr">
        <is>
          <t>みかん牛乳寒天液</t>
        </is>
      </c>
      <c r="C28" s="75" t="inlineStr">
        <is>
          <t>②釜</t>
        </is>
      </c>
      <c r="D28" s="9">
        <f>SUMIF(②釜工程入力!C5:C117,B28,②釜工程入力!I5:I117)</f>
        <v/>
      </c>
      <c r="E28" s="9">
        <f>SUMIF(②釜工程入力!C5:C117,B28,②釜工程入力!G5:G117)</f>
        <v/>
      </c>
      <c r="F28" s="9">
        <f>SUMIF(②釜工程入力!C5:C117,B28,②釜工程入力!M5:M117)</f>
        <v/>
      </c>
      <c r="G28" s="513">
        <f>IF(D28&gt;0,F28/D28,"")</f>
        <v/>
      </c>
      <c r="H28" s="7" t="n">
        <v>0</v>
      </c>
      <c r="I28" s="9">
        <f>IF(H28&gt;0,-F28-H28,"")</f>
        <v/>
      </c>
      <c r="J28" s="69">
        <f>IF(G28="","",IF(G28&gt;=300,"✕ 要改善",IF(G28&gt;=200,"△ 注意","○ 良好")))</f>
        <v/>
      </c>
      <c r="K28" s="74" t="n"/>
    </row>
    <row r="29" ht="17" customHeight="1" s="438">
      <c r="A29" s="66" t="n">
        <v>25</v>
      </c>
      <c r="B29" s="67" t="inlineStr">
        <is>
          <t>みかん缶</t>
        </is>
      </c>
      <c r="C29" s="76" t="inlineStr">
        <is>
          <t>②釜</t>
        </is>
      </c>
      <c r="D29" s="9">
        <f>SUMIF(②釜工程入力!C5:C117,B29,②釜工程入力!I5:I117)</f>
        <v/>
      </c>
      <c r="E29" s="9">
        <f>SUMIF(②釜工程入力!C5:C117,B29,②釜工程入力!G5:G117)</f>
        <v/>
      </c>
      <c r="F29" s="9">
        <f>SUMIF(②釜工程入力!C5:C117,B29,②釜工程入力!M5:M117)</f>
        <v/>
      </c>
      <c r="G29" s="513">
        <f>IF(D29&gt;0,F29/D29,"")</f>
        <v/>
      </c>
      <c r="H29" s="7" t="n">
        <v>0</v>
      </c>
      <c r="I29" s="9">
        <f>IF(H29&gt;0,-F29-H29,"")</f>
        <v/>
      </c>
      <c r="J29" s="69">
        <f>IF(G29="","",IF(G29&gt;=300,"✕ 要改善",IF(G29&gt;=200,"△ 注意","○ 良好")))</f>
        <v/>
      </c>
      <c r="K29" s="70" t="n"/>
    </row>
    <row r="30" ht="17" customHeight="1" s="438">
      <c r="A30" s="71" t="n">
        <v>26</v>
      </c>
      <c r="B30" s="72" t="inlineStr">
        <is>
          <t>プリンロール</t>
        </is>
      </c>
      <c r="C30" s="75" t="inlineStr">
        <is>
          <t>②釜</t>
        </is>
      </c>
      <c r="D30" s="9">
        <f>SUMIF(②釜工程入力!C5:C117,B30,②釜工程入力!I5:I117)</f>
        <v/>
      </c>
      <c r="E30" s="9">
        <f>SUMIF(②釜工程入力!C5:C117,B30,②釜工程入力!G5:G117)</f>
        <v/>
      </c>
      <c r="F30" s="9">
        <f>SUMIF(②釜工程入力!C5:C117,B30,②釜工程入力!M5:M117)</f>
        <v/>
      </c>
      <c r="G30" s="513">
        <f>IF(D30&gt;0,F30/D30,"")</f>
        <v/>
      </c>
      <c r="H30" s="7" t="n">
        <v>0</v>
      </c>
      <c r="I30" s="9">
        <f>IF(H30&gt;0,-F30-H30,"")</f>
        <v/>
      </c>
      <c r="J30" s="69">
        <f>IF(G30="","",IF(G30&gt;=300,"✕ 要改善",IF(G30&gt;=200,"△ 注意","○ 良好")))</f>
        <v/>
      </c>
      <c r="K30" s="74" t="n"/>
    </row>
    <row r="31" ht="17" customHeight="1" s="438">
      <c r="A31" s="66" t="n">
        <v>27</v>
      </c>
      <c r="B31" s="67" t="inlineStr">
        <is>
          <t>プリンロール内製ホイップ</t>
        </is>
      </c>
      <c r="C31" s="76" t="inlineStr">
        <is>
          <t>②釜</t>
        </is>
      </c>
      <c r="D31" s="9">
        <f>SUMIF(②釜工程入力!C5:C117,B31,②釜工程入力!I5:I117)</f>
        <v/>
      </c>
      <c r="E31" s="9">
        <f>SUMIF(②釜工程入力!C5:C117,B31,②釜工程入力!G5:G117)</f>
        <v/>
      </c>
      <c r="F31" s="9">
        <f>SUMIF(②釜工程入力!C5:C117,B31,②釜工程入力!M5:M117)</f>
        <v/>
      </c>
      <c r="G31" s="513">
        <f>IF(D31&gt;0,F31/D31,"")</f>
        <v/>
      </c>
      <c r="H31" s="7" t="n">
        <v>0</v>
      </c>
      <c r="I31" s="9">
        <f>IF(H31&gt;0,-F31-H31,"")</f>
        <v/>
      </c>
      <c r="J31" s="69">
        <f>IF(G31="","",IF(G31&gt;=300,"✕ 要改善",IF(G31&gt;=200,"△ 注意","○ 良好")))</f>
        <v/>
      </c>
      <c r="K31" s="70" t="n"/>
    </row>
    <row r="32" ht="17" customHeight="1" s="438">
      <c r="A32" s="71" t="n">
        <v>28</v>
      </c>
      <c r="B32" s="72" t="inlineStr">
        <is>
          <t>プリンロール（ロール生地作成）</t>
        </is>
      </c>
      <c r="C32" s="75" t="inlineStr">
        <is>
          <t>②釜</t>
        </is>
      </c>
      <c r="D32" s="9">
        <f>SUMIF(②釜工程入力!C5:C117,B32,②釜工程入力!I5:I117)</f>
        <v/>
      </c>
      <c r="E32" s="9">
        <f>SUMIF(②釜工程入力!C5:C117,B32,②釜工程入力!G5:G117)</f>
        <v/>
      </c>
      <c r="F32" s="9">
        <f>SUMIF(②釜工程入力!C5:C117,B32,②釜工程入力!M5:M117)</f>
        <v/>
      </c>
      <c r="G32" s="513">
        <f>IF(D32&gt;0,F32/D32,"")</f>
        <v/>
      </c>
      <c r="H32" s="7" t="n">
        <v>0</v>
      </c>
      <c r="I32" s="9">
        <f>IF(H32&gt;0,-F32-H32,"")</f>
        <v/>
      </c>
      <c r="J32" s="69">
        <f>IF(G32="","",IF(G32&gt;=300,"✕ 要改善",IF(G32&gt;=200,"△ 注意","○ 良好")))</f>
        <v/>
      </c>
      <c r="K32" s="74" t="n"/>
    </row>
    <row r="33" ht="17" customHeight="1" s="438">
      <c r="A33" s="66" t="n">
        <v>29</v>
      </c>
      <c r="B33" s="67" t="inlineStr">
        <is>
          <t>プリンタブレット加熱</t>
        </is>
      </c>
      <c r="C33" s="76" t="inlineStr">
        <is>
          <t>②釜</t>
        </is>
      </c>
      <c r="D33" s="9">
        <f>SUMIF(②釜工程入力!C5:C117,B33,②釜工程入力!I5:I117)</f>
        <v/>
      </c>
      <c r="E33" s="9">
        <f>SUMIF(②釜工程入力!C5:C117,B33,②釜工程入力!G5:G117)</f>
        <v/>
      </c>
      <c r="F33" s="9">
        <f>SUMIF(②釜工程入力!C5:C117,B33,②釜工程入力!M5:M117)</f>
        <v/>
      </c>
      <c r="G33" s="513">
        <f>IF(D33&gt;0,F33/D33,"")</f>
        <v/>
      </c>
      <c r="H33" s="7" t="n">
        <v>0</v>
      </c>
      <c r="I33" s="9">
        <f>IF(H33&gt;0,-F33-H33,"")</f>
        <v/>
      </c>
      <c r="J33" s="69">
        <f>IF(G33="","",IF(G33&gt;=300,"✕ 要改善",IF(G33&gt;=200,"△ 注意","○ 良好")))</f>
        <v/>
      </c>
      <c r="K33" s="70" t="n"/>
    </row>
    <row r="34" ht="17" customHeight="1" s="438">
      <c r="A34" s="71" t="n">
        <v>30</v>
      </c>
      <c r="B34" s="72" t="inlineStr">
        <is>
          <t>プリン液加熱</t>
        </is>
      </c>
      <c r="C34" s="75" t="inlineStr">
        <is>
          <t>②釜</t>
        </is>
      </c>
      <c r="D34" s="9">
        <f>SUMIF(②釜工程入力!C5:C117,B34,②釜工程入力!I5:I117)</f>
        <v/>
      </c>
      <c r="E34" s="9">
        <f>SUMIF(②釜工程入力!C5:C117,B34,②釜工程入力!G5:G117)</f>
        <v/>
      </c>
      <c r="F34" s="9">
        <f>SUMIF(②釜工程入力!C5:C117,B34,②釜工程入力!M5:M117)</f>
        <v/>
      </c>
      <c r="G34" s="513">
        <f>IF(D34&gt;0,F34/D34,"")</f>
        <v/>
      </c>
      <c r="H34" s="7" t="n">
        <v>0</v>
      </c>
      <c r="I34" s="9">
        <f>IF(H34&gt;0,-F34-H34,"")</f>
        <v/>
      </c>
      <c r="J34" s="69">
        <f>IF(G34="","",IF(G34&gt;=300,"✕ 要改善",IF(G34&gt;=200,"△ 注意","○ 良好")))</f>
        <v/>
      </c>
      <c r="K34" s="74" t="n"/>
    </row>
    <row r="35" ht="17" customHeight="1" s="438">
      <c r="A35" s="66" t="n">
        <v>31</v>
      </c>
      <c r="B35" s="67" t="inlineStr">
        <is>
          <t>まっしろミルクプリン</t>
        </is>
      </c>
      <c r="C35" s="76" t="inlineStr">
        <is>
          <t>②釜</t>
        </is>
      </c>
      <c r="D35" s="9">
        <f>SUMIF(②釜工程入力!C5:C117,B35,②釜工程入力!I5:I117)</f>
        <v/>
      </c>
      <c r="E35" s="9">
        <f>SUMIF(②釜工程入力!C5:C117,B35,②釜工程入力!G5:G117)</f>
        <v/>
      </c>
      <c r="F35" s="9">
        <f>SUMIF(②釜工程入力!C5:C117,B35,②釜工程入力!M5:M117)</f>
        <v/>
      </c>
      <c r="G35" s="513">
        <f>IF(D35&gt;0,F35/D35,"")</f>
        <v/>
      </c>
      <c r="H35" s="7" t="n">
        <v>0</v>
      </c>
      <c r="I35" s="9">
        <f>IF(H35&gt;0,-F35-H35,"")</f>
        <v/>
      </c>
      <c r="J35" s="69">
        <f>IF(G35="","",IF(G35&gt;=300,"✕ 要改善",IF(G35&gt;=200,"△ 注意","○ 良好")))</f>
        <v/>
      </c>
      <c r="K35" s="70" t="n"/>
    </row>
    <row r="36" ht="17" customHeight="1" s="438">
      <c r="A36" s="71" t="n">
        <v>32</v>
      </c>
      <c r="B36" s="72" t="inlineStr">
        <is>
          <t>大人のコーヒーゼリー</t>
        </is>
      </c>
      <c r="C36" s="75" t="inlineStr">
        <is>
          <t>②釜</t>
        </is>
      </c>
      <c r="D36" s="9">
        <f>SUMIF(②釜工程入力!C5:C117,B36,②釜工程入力!I5:I117)</f>
        <v/>
      </c>
      <c r="E36" s="9">
        <f>SUMIF(②釜工程入力!C5:C117,B36,②釜工程入力!G5:G117)</f>
        <v/>
      </c>
      <c r="F36" s="9">
        <f>SUMIF(②釜工程入力!C5:C117,B36,②釜工程入力!M5:M117)</f>
        <v/>
      </c>
      <c r="G36" s="513">
        <f>IF(D36&gt;0,F36/D36,"")</f>
        <v/>
      </c>
      <c r="H36" s="7" t="n">
        <v>0</v>
      </c>
      <c r="I36" s="9">
        <f>IF(H36&gt;0,-F36-H36,"")</f>
        <v/>
      </c>
      <c r="J36" s="69">
        <f>IF(G36="","",IF(G36&gt;=300,"✕ 要改善",IF(G36&gt;=200,"△ 注意","○ 良好")))</f>
        <v/>
      </c>
      <c r="K36" s="74" t="n"/>
    </row>
    <row r="37" ht="17" customHeight="1" s="438">
      <c r="A37" s="66" t="n">
        <v>33</v>
      </c>
      <c r="B37" s="67" t="inlineStr">
        <is>
          <t>蜜いもスイートポテト</t>
        </is>
      </c>
      <c r="C37" s="76" t="inlineStr">
        <is>
          <t>②釜</t>
        </is>
      </c>
      <c r="D37" s="9">
        <f>SUMIF(②釜工程入力!C5:C117,B37,②釜工程入力!I5:I117)</f>
        <v/>
      </c>
      <c r="E37" s="9">
        <f>SUMIF(②釜工程入力!C5:C117,B37,②釜工程入力!G5:G117)</f>
        <v/>
      </c>
      <c r="F37" s="9">
        <f>SUMIF(②釜工程入力!C5:C117,B37,②釜工程入力!M5:M117)</f>
        <v/>
      </c>
      <c r="G37" s="513">
        <f>IF(D37&gt;0,F37/D37,"")</f>
        <v/>
      </c>
      <c r="H37" s="7" t="n">
        <v>0</v>
      </c>
      <c r="I37" s="9">
        <f>IF(H37&gt;0,-F37-H37,"")</f>
        <v/>
      </c>
      <c r="J37" s="69">
        <f>IF(G37="","",IF(G37&gt;=300,"✕ 要改善",IF(G37&gt;=200,"△ 注意","○ 良好")))</f>
        <v/>
      </c>
      <c r="K37" s="70" t="n"/>
    </row>
    <row r="38" ht="17" customHeight="1" s="438">
      <c r="A38" s="71" t="n">
        <v>34</v>
      </c>
      <c r="B38" s="72" t="n"/>
      <c r="C38" s="75" t="n"/>
      <c r="D38" s="9">
        <f>SUMIF(②釜工程入力!C5:C117,B38,②釜工程入力!I5:I117)</f>
        <v/>
      </c>
      <c r="E38" s="9">
        <f>SUMIF(②釜工程入力!C5:C117,B38,②釜工程入力!G5:G117)</f>
        <v/>
      </c>
      <c r="F38" s="9">
        <f>SUMIF(②釜工程入力!C5:C117,B38,②釜工程入力!M5:M117)</f>
        <v/>
      </c>
      <c r="G38" s="513">
        <f>IF(D38&gt;0,F38/D38,"")</f>
        <v/>
      </c>
      <c r="H38" s="7" t="n">
        <v>0</v>
      </c>
      <c r="I38" s="9">
        <f>IF(H38&gt;0,-F38-H38,"")</f>
        <v/>
      </c>
      <c r="J38" s="69">
        <f>IF(G38="","",IF(G38&gt;=300,"✕ 要改善",IF(G38&gt;=200,"△ 注意","○ 良好")))</f>
        <v/>
      </c>
      <c r="K38" s="74" t="n"/>
    </row>
    <row r="39" ht="17" customHeight="1" s="438">
      <c r="A39" s="66" t="n">
        <v>35</v>
      </c>
      <c r="B39" s="67" t="n"/>
      <c r="C39" s="76" t="n"/>
      <c r="D39" s="9">
        <f>SUMIF(②釜工程入力!C5:C117,B39,②釜工程入力!I5:I117)</f>
        <v/>
      </c>
      <c r="E39" s="9">
        <f>SUMIF(②釜工程入力!C5:C117,B39,②釜工程入力!G5:G117)</f>
        <v/>
      </c>
      <c r="F39" s="9">
        <f>SUMIF(②釜工程入力!C5:C117,B39,②釜工程入力!M5:M117)</f>
        <v/>
      </c>
      <c r="G39" s="513">
        <f>IF(D39&gt;0,F39/D39,"")</f>
        <v/>
      </c>
      <c r="H39" s="7" t="n">
        <v>0</v>
      </c>
      <c r="I39" s="9">
        <f>IF(H39&gt;0,-F39-H39,"")</f>
        <v/>
      </c>
      <c r="J39" s="69">
        <f>IF(G39="","",IF(G39&gt;=300,"✕ 要改善",IF(G39&gt;=200,"△ 注意","○ 良好")))</f>
        <v/>
      </c>
      <c r="K39" s="70" t="n"/>
    </row>
    <row r="40" ht="17" customHeight="1" s="438">
      <c r="A40" s="71" t="n">
        <v>36</v>
      </c>
      <c r="B40" s="72" t="n"/>
      <c r="C40" s="75" t="n"/>
      <c r="D40" s="9">
        <f>SUMIF(②釜工程入力!C5:C117,B40,②釜工程入力!I5:I117)</f>
        <v/>
      </c>
      <c r="E40" s="9">
        <f>SUMIF(②釜工程入力!C5:C117,B40,②釜工程入力!G5:G117)</f>
        <v/>
      </c>
      <c r="F40" s="9">
        <f>SUMIF(②釜工程入力!C5:C117,B40,②釜工程入力!M5:M117)</f>
        <v/>
      </c>
      <c r="G40" s="513">
        <f>IF(D40&gt;0,F40/D40,"")</f>
        <v/>
      </c>
      <c r="H40" s="7" t="n">
        <v>0</v>
      </c>
      <c r="I40" s="9">
        <f>IF(H40&gt;0,-F40-H40,"")</f>
        <v/>
      </c>
      <c r="J40" s="69">
        <f>IF(G40="","",IF(G40&gt;=300,"✕ 要改善",IF(G40&gt;=200,"△ 注意","○ 良好")))</f>
        <v/>
      </c>
      <c r="K40" s="74" t="n"/>
    </row>
    <row r="41" ht="17" customHeight="1" s="438">
      <c r="A41" s="66" t="n">
        <v>37</v>
      </c>
      <c r="B41" s="67" t="n"/>
      <c r="C41" s="76" t="n"/>
      <c r="D41" s="9">
        <f>SUMIF(②釜工程入力!C5:C117,B41,②釜工程入力!I5:I117)</f>
        <v/>
      </c>
      <c r="E41" s="9">
        <f>SUMIF(②釜工程入力!C5:C117,B41,②釜工程入力!G5:G117)</f>
        <v/>
      </c>
      <c r="F41" s="9">
        <f>SUMIF(②釜工程入力!C5:C117,B41,②釜工程入力!M5:M117)</f>
        <v/>
      </c>
      <c r="G41" s="513">
        <f>IF(D41&gt;0,F41/D41,"")</f>
        <v/>
      </c>
      <c r="H41" s="7" t="n">
        <v>0</v>
      </c>
      <c r="I41" s="9">
        <f>IF(H41&gt;0,-F41-H41,"")</f>
        <v/>
      </c>
      <c r="J41" s="69">
        <f>IF(G41="","",IF(G41&gt;=300,"✕ 要改善",IF(G41&gt;=200,"△ 注意","○ 良好")))</f>
        <v/>
      </c>
      <c r="K41" s="70" t="n"/>
    </row>
    <row r="42" ht="17" customHeight="1" s="438">
      <c r="A42" s="71" t="n">
        <v>38</v>
      </c>
      <c r="B42" s="72" t="n"/>
      <c r="C42" s="75" t="n"/>
      <c r="D42" s="9">
        <f>SUMIF(②釜工程入力!C5:C117,B42,②釜工程入力!I5:I117)</f>
        <v/>
      </c>
      <c r="E42" s="9">
        <f>SUMIF(②釜工程入力!C5:C117,B42,②釜工程入力!G5:G117)</f>
        <v/>
      </c>
      <c r="F42" s="9">
        <f>SUMIF(②釜工程入力!C5:C117,B42,②釜工程入力!M5:M117)</f>
        <v/>
      </c>
      <c r="G42" s="513">
        <f>IF(D42&gt;0,F42/D42,"")</f>
        <v/>
      </c>
      <c r="H42" s="7" t="n">
        <v>0</v>
      </c>
      <c r="I42" s="9">
        <f>IF(H42&gt;0,-F42-H42,"")</f>
        <v/>
      </c>
      <c r="J42" s="69">
        <f>IF(G42="","",IF(G42&gt;=300,"✕ 要改善",IF(G42&gt;=200,"△ 注意","○ 良好")))</f>
        <v/>
      </c>
      <c r="K42" s="74" t="n"/>
    </row>
    <row r="43" ht="17" customHeight="1" s="438">
      <c r="A43" s="66" t="n">
        <v>39</v>
      </c>
      <c r="B43" s="67" t="n"/>
      <c r="C43" s="76" t="n"/>
      <c r="D43" s="9">
        <f>SUMIF(②釜工程入力!C5:C117,B43,②釜工程入力!I5:I117)</f>
        <v/>
      </c>
      <c r="E43" s="9">
        <f>SUMIF(②釜工程入力!C5:C117,B43,②釜工程入力!G5:G117)</f>
        <v/>
      </c>
      <c r="F43" s="9">
        <f>SUMIF(②釜工程入力!C5:C117,B43,②釜工程入力!M5:M117)</f>
        <v/>
      </c>
      <c r="G43" s="513">
        <f>IF(D43&gt;0,F43/D43,"")</f>
        <v/>
      </c>
      <c r="H43" s="7" t="n">
        <v>0</v>
      </c>
      <c r="I43" s="9">
        <f>IF(H43&gt;0,-F43-H43,"")</f>
        <v/>
      </c>
      <c r="J43" s="69">
        <f>IF(G43="","",IF(G43&gt;=300,"✕ 要改善",IF(G43&gt;=200,"△ 注意","○ 良好")))</f>
        <v/>
      </c>
      <c r="K43" s="70" t="n"/>
    </row>
    <row r="44" ht="17" customHeight="1" s="438">
      <c r="A44" s="71" t="n">
        <v>40</v>
      </c>
      <c r="B44" s="72" t="n"/>
      <c r="C44" s="75" t="n"/>
      <c r="D44" s="9">
        <f>SUMIF(②釜工程入力!C5:C117,B44,②釜工程入力!I5:I117)</f>
        <v/>
      </c>
      <c r="E44" s="9">
        <f>SUMIF(②釜工程入力!C5:C117,B44,②釜工程入力!G5:G117)</f>
        <v/>
      </c>
      <c r="F44" s="9">
        <f>SUMIF(②釜工程入力!C5:C117,B44,②釜工程入力!M5:M117)</f>
        <v/>
      </c>
      <c r="G44" s="513">
        <f>IF(D44&gt;0,F44/D44,"")</f>
        <v/>
      </c>
      <c r="H44" s="7" t="n">
        <v>0</v>
      </c>
      <c r="I44" s="9">
        <f>IF(H44&gt;0,-F44-H44,"")</f>
        <v/>
      </c>
      <c r="J44" s="69">
        <f>IF(G44="","",IF(G44&gt;=300,"✕ 要改善",IF(G44&gt;=200,"△ 注意","○ 良好")))</f>
        <v/>
      </c>
      <c r="K44" s="74" t="n"/>
    </row>
    <row r="45" ht="17" customHeight="1" s="438">
      <c r="A45" s="66" t="n">
        <v>41</v>
      </c>
      <c r="B45" s="67" t="n"/>
      <c r="C45" s="76" t="n"/>
      <c r="D45" s="9">
        <f>SUMIF(②釜工程入力!C5:C117,B45,②釜工程入力!I5:I117)</f>
        <v/>
      </c>
      <c r="E45" s="9">
        <f>SUMIF(②釜工程入力!C5:C117,B45,②釜工程入力!G5:G117)</f>
        <v/>
      </c>
      <c r="F45" s="9">
        <f>SUMIF(②釜工程入力!C5:C117,B45,②釜工程入力!M5:M117)</f>
        <v/>
      </c>
      <c r="G45" s="513">
        <f>IF(D45&gt;0,F45/D45,"")</f>
        <v/>
      </c>
      <c r="H45" s="7" t="n">
        <v>0</v>
      </c>
      <c r="I45" s="9">
        <f>IF(H45&gt;0,-F45-H45,"")</f>
        <v/>
      </c>
      <c r="J45" s="69">
        <f>IF(G45="","",IF(G45&gt;=300,"✕ 要改善",IF(G45&gt;=200,"△ 注意","○ 良好")))</f>
        <v/>
      </c>
      <c r="K45" s="70" t="n"/>
    </row>
    <row r="46" ht="17" customHeight="1" s="438">
      <c r="A46" s="71" t="n">
        <v>42</v>
      </c>
      <c r="B46" s="72" t="n"/>
      <c r="C46" s="75" t="n"/>
      <c r="D46" s="9">
        <f>SUMIF(②釜工程入力!C5:C117,B46,②釜工程入力!I5:I117)</f>
        <v/>
      </c>
      <c r="E46" s="9">
        <f>SUMIF(②釜工程入力!C5:C117,B46,②釜工程入力!G5:G117)</f>
        <v/>
      </c>
      <c r="F46" s="9">
        <f>SUMIF(②釜工程入力!C5:C117,B46,②釜工程入力!M5:M117)</f>
        <v/>
      </c>
      <c r="G46" s="513">
        <f>IF(D46&gt;0,F46/D46,"")</f>
        <v/>
      </c>
      <c r="H46" s="7" t="n">
        <v>0</v>
      </c>
      <c r="I46" s="9">
        <f>IF(H46&gt;0,-F46-H46,"")</f>
        <v/>
      </c>
      <c r="J46" s="69">
        <f>IF(G46="","",IF(G46&gt;=300,"✕ 要改善",IF(G46&gt;=200,"△ 注意","○ 良好")))</f>
        <v/>
      </c>
      <c r="K46" s="74" t="n"/>
    </row>
    <row r="47" ht="17" customHeight="1" s="438">
      <c r="A47" s="66" t="n">
        <v>43</v>
      </c>
      <c r="B47" s="67" t="n"/>
      <c r="C47" s="76" t="n"/>
      <c r="D47" s="9">
        <f>SUMIF(②釜工程入力!C5:C117,B47,②釜工程入力!I5:I117)</f>
        <v/>
      </c>
      <c r="E47" s="9">
        <f>SUMIF(②釜工程入力!C5:C117,B47,②釜工程入力!G5:G117)</f>
        <v/>
      </c>
      <c r="F47" s="9">
        <f>SUMIF(②釜工程入力!C5:C117,B47,②釜工程入力!M5:M117)</f>
        <v/>
      </c>
      <c r="G47" s="513">
        <f>IF(D47&gt;0,F47/D47,"")</f>
        <v/>
      </c>
      <c r="H47" s="7" t="n">
        <v>0</v>
      </c>
      <c r="I47" s="9">
        <f>IF(H47&gt;0,-F47-H47,"")</f>
        <v/>
      </c>
      <c r="J47" s="69">
        <f>IF(G47="","",IF(G47&gt;=300,"✕ 要改善",IF(G47&gt;=200,"△ 注意","○ 良好")))</f>
        <v/>
      </c>
      <c r="K47" s="70" t="n"/>
    </row>
    <row r="48" ht="17" customHeight="1" s="438">
      <c r="A48" s="71" t="n">
        <v>44</v>
      </c>
      <c r="B48" s="72" t="n"/>
      <c r="C48" s="77" t="n"/>
      <c r="D48" s="9">
        <f>SUMIF(②釜工程入力!C5:C117,B48,②釜工程入力!I5:I117)</f>
        <v/>
      </c>
      <c r="E48" s="9">
        <f>SUMIF(②釜工程入力!C5:C117,B48,②釜工程入力!G5:G117)</f>
        <v/>
      </c>
      <c r="F48" s="9">
        <f>SUMIF(②釜工程入力!C5:C117,B48,②釜工程入力!M5:M117)</f>
        <v/>
      </c>
      <c r="G48" s="513">
        <f>IF(D48&gt;0,F48/D48,"")</f>
        <v/>
      </c>
      <c r="H48" s="7" t="n">
        <v>0</v>
      </c>
      <c r="I48" s="9">
        <f>IF(H48&gt;0,-F48-H48,"")</f>
        <v/>
      </c>
      <c r="J48" s="69">
        <f>IF(G48="","",IF(G48&gt;=300,"✕ 要改善",IF(G48&gt;=200,"△ 注意","○ 良好")))</f>
        <v/>
      </c>
      <c r="K48" s="74" t="n"/>
    </row>
    <row r="49" ht="17" customHeight="1" s="438">
      <c r="A49" s="66" t="n">
        <v>45</v>
      </c>
      <c r="B49" s="67" t="n"/>
      <c r="C49" s="78" t="n"/>
      <c r="D49" s="9">
        <f>SUMIF(②釜工程入力!C5:C117,B49,②釜工程入力!I5:I117)</f>
        <v/>
      </c>
      <c r="E49" s="9">
        <f>SUMIF(②釜工程入力!C5:C117,B49,②釜工程入力!G5:G117)</f>
        <v/>
      </c>
      <c r="F49" s="9">
        <f>SUMIF(②釜工程入力!C5:C117,B49,②釜工程入力!M5:M117)</f>
        <v/>
      </c>
      <c r="G49" s="513">
        <f>IF(D49&gt;0,F49/D49,"")</f>
        <v/>
      </c>
      <c r="H49" s="7" t="n">
        <v>0</v>
      </c>
      <c r="I49" s="9">
        <f>IF(H49&gt;0,-F49-H49,"")</f>
        <v/>
      </c>
      <c r="J49" s="69">
        <f>IF(G49="","",IF(G49&gt;=300,"✕ 要改善",IF(G49&gt;=200,"△ 注意","○ 良好")))</f>
        <v/>
      </c>
      <c r="K49" s="70" t="n"/>
    </row>
    <row r="50" ht="17" customHeight="1" s="438">
      <c r="A50" s="71" t="n">
        <v>46</v>
      </c>
      <c r="B50" s="72" t="n"/>
      <c r="C50" s="77" t="n"/>
      <c r="D50" s="9">
        <f>SUMIF(②釜工程入力!C5:C117,B50,②釜工程入力!I5:I117)</f>
        <v/>
      </c>
      <c r="E50" s="9">
        <f>SUMIF(②釜工程入力!C5:C117,B50,②釜工程入力!G5:G117)</f>
        <v/>
      </c>
      <c r="F50" s="9">
        <f>SUMIF(②釜工程入力!C5:C117,B50,②釜工程入力!M5:M117)</f>
        <v/>
      </c>
      <c r="G50" s="513">
        <f>IF(D50&gt;0,F50/D50,"")</f>
        <v/>
      </c>
      <c r="H50" s="7" t="n">
        <v>0</v>
      </c>
      <c r="I50" s="9">
        <f>IF(H50&gt;0,-F50-H50,"")</f>
        <v/>
      </c>
      <c r="J50" s="69">
        <f>IF(G50="","",IF(G50&gt;=300,"✕ 要改善",IF(G50&gt;=200,"△ 注意","○ 良好")))</f>
        <v/>
      </c>
      <c r="K50" s="74" t="n"/>
    </row>
    <row r="51" ht="17" customHeight="1" s="438">
      <c r="A51" s="66" t="n">
        <v>47</v>
      </c>
      <c r="B51" s="67" t="n"/>
      <c r="C51" s="78" t="n"/>
      <c r="D51" s="9">
        <f>SUMIF(②釜工程入力!C5:C117,B51,②釜工程入力!I5:I117)</f>
        <v/>
      </c>
      <c r="E51" s="9">
        <f>SUMIF(②釜工程入力!C5:C117,B51,②釜工程入力!G5:G117)</f>
        <v/>
      </c>
      <c r="F51" s="9">
        <f>SUMIF(②釜工程入力!C5:C117,B51,②釜工程入力!M5:M117)</f>
        <v/>
      </c>
      <c r="G51" s="513">
        <f>IF(D51&gt;0,F51/D51,"")</f>
        <v/>
      </c>
      <c r="H51" s="7" t="n">
        <v>0</v>
      </c>
      <c r="I51" s="9">
        <f>IF(H51&gt;0,-F51-H51,"")</f>
        <v/>
      </c>
      <c r="J51" s="69">
        <f>IF(G51="","",IF(G51&gt;=300,"✕ 要改善",IF(G51&gt;=200,"△ 注意","○ 良好")))</f>
        <v/>
      </c>
      <c r="K51" s="70" t="n"/>
    </row>
    <row r="52" ht="17" customHeight="1" s="438">
      <c r="A52" s="71" t="n">
        <v>48</v>
      </c>
      <c r="B52" s="72" t="n"/>
      <c r="C52" s="77" t="n"/>
      <c r="D52" s="9">
        <f>SUMIF(②釜工程入力!C5:C117,B52,②釜工程入力!I5:I117)</f>
        <v/>
      </c>
      <c r="E52" s="9">
        <f>SUMIF(②釜工程入力!C5:C117,B52,②釜工程入力!G5:G117)</f>
        <v/>
      </c>
      <c r="F52" s="9">
        <f>SUMIF(②釜工程入力!C5:C117,B52,②釜工程入力!M5:M117)</f>
        <v/>
      </c>
      <c r="G52" s="513">
        <f>IF(D52&gt;0,F52/D52,"")</f>
        <v/>
      </c>
      <c r="H52" s="7" t="n">
        <v>0</v>
      </c>
      <c r="I52" s="9">
        <f>IF(H52&gt;0,-F52-H52,"")</f>
        <v/>
      </c>
      <c r="J52" s="69">
        <f>IF(G52="","",IF(G52&gt;=300,"✕ 要改善",IF(G52&gt;=200,"△ 注意","○ 良好")))</f>
        <v/>
      </c>
      <c r="K52" s="74" t="n"/>
    </row>
    <row r="53" ht="17" customHeight="1" s="438">
      <c r="A53" s="66" t="n">
        <v>49</v>
      </c>
      <c r="B53" s="67" t="n"/>
      <c r="C53" s="78" t="n"/>
      <c r="D53" s="9">
        <f>SUMIF(②釜工程入力!C5:C117,B53,②釜工程入力!I5:I117)</f>
        <v/>
      </c>
      <c r="E53" s="9">
        <f>SUMIF(②釜工程入力!C5:C117,B53,②釜工程入力!G5:G117)</f>
        <v/>
      </c>
      <c r="F53" s="9">
        <f>SUMIF(②釜工程入力!C5:C117,B53,②釜工程入力!M5:M117)</f>
        <v/>
      </c>
      <c r="G53" s="513">
        <f>IF(D53&gt;0,F53/D53,"")</f>
        <v/>
      </c>
      <c r="H53" s="7" t="n">
        <v>0</v>
      </c>
      <c r="I53" s="9">
        <f>IF(H53&gt;0,-F53-H53,"")</f>
        <v/>
      </c>
      <c r="J53" s="69">
        <f>IF(G53="","",IF(G53&gt;=300,"✕ 要改善",IF(G53&gt;=200,"△ 注意","○ 良好")))</f>
        <v/>
      </c>
      <c r="K53" s="70" t="n"/>
    </row>
    <row r="54" ht="17" customHeight="1" s="438">
      <c r="A54" s="71" t="n">
        <v>50</v>
      </c>
      <c r="B54" s="72" t="n"/>
      <c r="C54" s="77" t="n"/>
      <c r="D54" s="9">
        <f>SUMIF(②釜工程入力!C5:C117,B54,②釜工程入力!I5:I117)</f>
        <v/>
      </c>
      <c r="E54" s="9">
        <f>SUMIF(②釜工程入力!C5:C117,B54,②釜工程入力!G5:G117)</f>
        <v/>
      </c>
      <c r="F54" s="9">
        <f>SUMIF(②釜工程入力!C5:C117,B54,②釜工程入力!M5:M117)</f>
        <v/>
      </c>
      <c r="G54" s="513">
        <f>IF(D54&gt;0,F54/D54,"")</f>
        <v/>
      </c>
      <c r="H54" s="7" t="n">
        <v>0</v>
      </c>
      <c r="I54" s="9">
        <f>IF(H54&gt;0,-F54-H54,"")</f>
        <v/>
      </c>
      <c r="J54" s="69">
        <f>IF(G54="","",IF(G54&gt;=300,"✕ 要改善",IF(G54&gt;=200,"△ 注意","○ 良好")))</f>
        <v/>
      </c>
      <c r="K54" s="74" t="n"/>
    </row>
    <row r="55" ht="17" customHeight="1" s="438">
      <c r="A55" s="66" t="n">
        <v>51</v>
      </c>
      <c r="B55" s="67" t="n"/>
      <c r="C55" s="78" t="n"/>
      <c r="D55" s="9">
        <f>SUMIF(②釜工程入力!C5:C117,B55,②釜工程入力!I5:I117)</f>
        <v/>
      </c>
      <c r="E55" s="9">
        <f>SUMIF(②釜工程入力!C5:C117,B55,②釜工程入力!G5:G117)</f>
        <v/>
      </c>
      <c r="F55" s="9">
        <f>SUMIF(②釜工程入力!C5:C117,B55,②釜工程入力!M5:M117)</f>
        <v/>
      </c>
      <c r="G55" s="513">
        <f>IF(D55&gt;0,F55/D55,"")</f>
        <v/>
      </c>
      <c r="H55" s="7" t="n">
        <v>0</v>
      </c>
      <c r="I55" s="9">
        <f>IF(H55&gt;0,-F55-H55,"")</f>
        <v/>
      </c>
      <c r="J55" s="69">
        <f>IF(G55="","",IF(G55&gt;=300,"✕ 要改善",IF(G55&gt;=200,"△ 注意","○ 良好")))</f>
        <v/>
      </c>
      <c r="K55" s="70" t="n"/>
    </row>
    <row r="56" ht="17" customHeight="1" s="438">
      <c r="A56" s="71" t="n">
        <v>52</v>
      </c>
      <c r="B56" s="72" t="n"/>
      <c r="C56" s="79" t="n"/>
      <c r="D56" s="9">
        <f>SUMIF(②釜工程入力!C5:C117,B56,②釜工程入力!I5:I117)</f>
        <v/>
      </c>
      <c r="E56" s="9">
        <f>SUMIF(②釜工程入力!C5:C117,B56,②釜工程入力!G5:G117)</f>
        <v/>
      </c>
      <c r="F56" s="9">
        <f>SUMIF(②釜工程入力!C5:C117,B56,②釜工程入力!M5:M117)</f>
        <v/>
      </c>
      <c r="G56" s="513">
        <f>IF(D56&gt;0,F56/D56,"")</f>
        <v/>
      </c>
      <c r="H56" s="7" t="n">
        <v>0</v>
      </c>
      <c r="I56" s="9">
        <f>IF(H56&gt;0,-F56-H56,"")</f>
        <v/>
      </c>
      <c r="J56" s="69">
        <f>IF(G56="","",IF(G56&gt;=300,"✕ 要改善",IF(G56&gt;=200,"△ 注意","○ 良好")))</f>
        <v/>
      </c>
      <c r="K56" s="74" t="n"/>
    </row>
    <row r="57" ht="17" customHeight="1" s="438">
      <c r="A57" s="66" t="n">
        <v>53</v>
      </c>
      <c r="B57" s="67" t="n"/>
      <c r="C57" s="80" t="n"/>
      <c r="D57" s="9">
        <f>SUMIF(②釜工程入力!C5:C117,B57,②釜工程入力!I5:I117)</f>
        <v/>
      </c>
      <c r="E57" s="9">
        <f>SUMIF(②釜工程入力!C5:C117,B57,②釜工程入力!G5:G117)</f>
        <v/>
      </c>
      <c r="F57" s="9">
        <f>SUMIF(②釜工程入力!C5:C117,B57,②釜工程入力!M5:M117)</f>
        <v/>
      </c>
      <c r="G57" s="513">
        <f>IF(D57&gt;0,F57/D57,"")</f>
        <v/>
      </c>
      <c r="H57" s="7" t="n">
        <v>0</v>
      </c>
      <c r="I57" s="9">
        <f>IF(H57&gt;0,-F57-H57,"")</f>
        <v/>
      </c>
      <c r="J57" s="69">
        <f>IF(G57="","",IF(G57&gt;=300,"✕ 要改善",IF(G57&gt;=200,"△ 注意","○ 良好")))</f>
        <v/>
      </c>
      <c r="K57" s="70" t="n"/>
    </row>
    <row r="58" ht="17" customHeight="1" s="438">
      <c r="A58" s="71" t="n">
        <v>54</v>
      </c>
      <c r="B58" s="72" t="n"/>
      <c r="C58" s="79" t="n"/>
      <c r="D58" s="9">
        <f>SUMIF(②釜工程入力!C5:C117,B58,②釜工程入力!I5:I117)</f>
        <v/>
      </c>
      <c r="E58" s="9">
        <f>SUMIF(②釜工程入力!C5:C117,B58,②釜工程入力!G5:G117)</f>
        <v/>
      </c>
      <c r="F58" s="9">
        <f>SUMIF(②釜工程入力!C5:C117,B58,②釜工程入力!M5:M117)</f>
        <v/>
      </c>
      <c r="G58" s="513">
        <f>IF(D58&gt;0,F58/D58,"")</f>
        <v/>
      </c>
      <c r="H58" s="7" t="n">
        <v>0</v>
      </c>
      <c r="I58" s="9">
        <f>IF(H58&gt;0,-F58-H58,"")</f>
        <v/>
      </c>
      <c r="J58" s="69">
        <f>IF(G58="","",IF(G58&gt;=300,"✕ 要改善",IF(G58&gt;=200,"△ 注意","○ 良好")))</f>
        <v/>
      </c>
      <c r="K58" s="74" t="n"/>
    </row>
    <row r="59" ht="17" customHeight="1" s="438">
      <c r="A59" s="66" t="n">
        <v>55</v>
      </c>
      <c r="B59" s="67" t="n"/>
      <c r="C59" s="80" t="n"/>
      <c r="D59" s="9">
        <f>SUMIF(②釜工程入力!C5:C117,B59,②釜工程入力!I5:I117)</f>
        <v/>
      </c>
      <c r="E59" s="9">
        <f>SUMIF(②釜工程入力!C5:C117,B59,②釜工程入力!G5:G117)</f>
        <v/>
      </c>
      <c r="F59" s="9">
        <f>SUMIF(②釜工程入力!C5:C117,B59,②釜工程入力!M5:M117)</f>
        <v/>
      </c>
      <c r="G59" s="513">
        <f>IF(D59&gt;0,F59/D59,"")</f>
        <v/>
      </c>
      <c r="H59" s="7" t="n">
        <v>0</v>
      </c>
      <c r="I59" s="9">
        <f>IF(H59&gt;0,-F59-H59,"")</f>
        <v/>
      </c>
      <c r="J59" s="69">
        <f>IF(G59="","",IF(G59&gt;=300,"✕ 要改善",IF(G59&gt;=200,"△ 注意","○ 良好")))</f>
        <v/>
      </c>
      <c r="K59" s="70" t="n"/>
    </row>
    <row r="60" ht="17" customHeight="1" s="438">
      <c r="A60" s="71" t="n">
        <v>56</v>
      </c>
      <c r="B60" s="72" t="n"/>
      <c r="C60" s="79" t="n"/>
      <c r="D60" s="9">
        <f>SUMIF(②釜工程入力!C5:C117,B60,②釜工程入力!I5:I117)</f>
        <v/>
      </c>
      <c r="E60" s="9">
        <f>SUMIF(②釜工程入力!C5:C117,B60,②釜工程入力!G5:G117)</f>
        <v/>
      </c>
      <c r="F60" s="9">
        <f>SUMIF(②釜工程入力!C5:C117,B60,②釜工程入力!M5:M117)</f>
        <v/>
      </c>
      <c r="G60" s="513">
        <f>IF(D60&gt;0,F60/D60,"")</f>
        <v/>
      </c>
      <c r="H60" s="7" t="n">
        <v>0</v>
      </c>
      <c r="I60" s="9">
        <f>IF(H60&gt;0,-F60-H60,"")</f>
        <v/>
      </c>
      <c r="J60" s="69">
        <f>IF(G60="","",IF(G60&gt;=300,"✕ 要改善",IF(G60&gt;=200,"△ 注意","○ 良好")))</f>
        <v/>
      </c>
      <c r="K60" s="74" t="n"/>
    </row>
    <row r="61" ht="17" customHeight="1" s="438">
      <c r="A61" s="66" t="n">
        <v>57</v>
      </c>
      <c r="B61" s="67" t="n"/>
      <c r="C61" s="80" t="n"/>
      <c r="D61" s="9">
        <f>SUMIF(②釜工程入力!C5:C117,B61,②釜工程入力!I5:I117)</f>
        <v/>
      </c>
      <c r="E61" s="9">
        <f>SUMIF(②釜工程入力!C5:C117,B61,②釜工程入力!G5:G117)</f>
        <v/>
      </c>
      <c r="F61" s="9">
        <f>SUMIF(②釜工程入力!C5:C117,B61,②釜工程入力!M5:M117)</f>
        <v/>
      </c>
      <c r="G61" s="513">
        <f>IF(D61&gt;0,F61/D61,"")</f>
        <v/>
      </c>
      <c r="H61" s="7" t="n">
        <v>0</v>
      </c>
      <c r="I61" s="9">
        <f>IF(H61&gt;0,-F61-H61,"")</f>
        <v/>
      </c>
      <c r="J61" s="69">
        <f>IF(G61="","",IF(G61&gt;=300,"✕ 要改善",IF(G61&gt;=200,"△ 注意","○ 良好")))</f>
        <v/>
      </c>
      <c r="K61" s="70" t="n"/>
    </row>
    <row r="62" ht="17" customHeight="1" s="438">
      <c r="A62" s="71" t="n">
        <v>58</v>
      </c>
      <c r="B62" s="72" t="n"/>
      <c r="C62" s="81" t="n"/>
      <c r="D62" s="9">
        <f>SUMIF(②釜工程入力!C5:C117,B62,②釜工程入力!I5:I117)</f>
        <v/>
      </c>
      <c r="E62" s="9">
        <f>SUMIF(②釜工程入力!C5:C117,B62,②釜工程入力!G5:G117)</f>
        <v/>
      </c>
      <c r="F62" s="9">
        <f>SUMIF(②釜工程入力!C5:C117,B62,②釜工程入力!M5:M117)</f>
        <v/>
      </c>
      <c r="G62" s="513">
        <f>IF(D62&gt;0,F62/D62,"")</f>
        <v/>
      </c>
      <c r="H62" s="7" t="n">
        <v>0</v>
      </c>
      <c r="I62" s="9">
        <f>IF(H62&gt;0,-F62-H62,"")</f>
        <v/>
      </c>
      <c r="J62" s="69">
        <f>IF(G62="","",IF(G62&gt;=300,"✕ 要改善",IF(G62&gt;=200,"△ 注意","○ 良好")))</f>
        <v/>
      </c>
      <c r="K62" s="74" t="n"/>
    </row>
    <row r="63" ht="17" customHeight="1" s="438">
      <c r="A63" s="66" t="n">
        <v>59</v>
      </c>
      <c r="B63" s="67" t="n"/>
      <c r="C63" s="82" t="n"/>
      <c r="D63" s="9">
        <f>SUMIF(②釜工程入力!C5:C117,B63,②釜工程入力!I5:I117)</f>
        <v/>
      </c>
      <c r="E63" s="9">
        <f>SUMIF(②釜工程入力!C5:C117,B63,②釜工程入力!G5:G117)</f>
        <v/>
      </c>
      <c r="F63" s="9">
        <f>SUMIF(②釜工程入力!C5:C117,B63,②釜工程入力!M5:M117)</f>
        <v/>
      </c>
      <c r="G63" s="513">
        <f>IF(D63&gt;0,F63/D63,"")</f>
        <v/>
      </c>
      <c r="H63" s="7" t="n">
        <v>0</v>
      </c>
      <c r="I63" s="9">
        <f>IF(H63&gt;0,-F63-H63,"")</f>
        <v/>
      </c>
      <c r="J63" s="69">
        <f>IF(G63="","",IF(G63&gt;=300,"✕ 要改善",IF(G63&gt;=200,"△ 注意","○ 良好")))</f>
        <v/>
      </c>
      <c r="K63" s="70" t="n"/>
    </row>
    <row r="64" ht="17" customHeight="1" s="438">
      <c r="A64" s="71" t="n">
        <v>60</v>
      </c>
      <c r="B64" s="72" t="n"/>
      <c r="C64" s="81" t="n"/>
      <c r="D64" s="9">
        <f>SUMIF(②釜工程入力!C5:C117,B64,②釜工程入力!I5:I117)</f>
        <v/>
      </c>
      <c r="E64" s="9">
        <f>SUMIF(②釜工程入力!C5:C117,B64,②釜工程入力!G5:G117)</f>
        <v/>
      </c>
      <c r="F64" s="9">
        <f>SUMIF(②釜工程入力!C5:C117,B64,②釜工程入力!M5:M117)</f>
        <v/>
      </c>
      <c r="G64" s="513">
        <f>IF(D64&gt;0,F64/D64,"")</f>
        <v/>
      </c>
      <c r="H64" s="7" t="n">
        <v>0</v>
      </c>
      <c r="I64" s="9">
        <f>IF(H64&gt;0,-F64-H64,"")</f>
        <v/>
      </c>
      <c r="J64" s="69">
        <f>IF(G64="","",IF(G64&gt;=300,"✕ 要改善",IF(G64&gt;=200,"△ 注意","○ 良好")))</f>
        <v/>
      </c>
      <c r="K64" s="74" t="n"/>
    </row>
    <row r="65" ht="17" customHeight="1" s="438">
      <c r="A65" s="66" t="n">
        <v>61</v>
      </c>
      <c r="B65" s="67" t="n"/>
      <c r="C65" s="82" t="n"/>
      <c r="D65" s="9">
        <f>SUMIF(②釜工程入力!C5:C117,B65,②釜工程入力!I5:I117)</f>
        <v/>
      </c>
      <c r="E65" s="9">
        <f>SUMIF(②釜工程入力!C5:C117,B65,②釜工程入力!G5:G117)</f>
        <v/>
      </c>
      <c r="F65" s="9">
        <f>SUMIF(②釜工程入力!C5:C117,B65,②釜工程入力!M5:M117)</f>
        <v/>
      </c>
      <c r="G65" s="513">
        <f>IF(D65&gt;0,F65/D65,"")</f>
        <v/>
      </c>
      <c r="H65" s="7" t="n">
        <v>0</v>
      </c>
      <c r="I65" s="9">
        <f>IF(H65&gt;0,-F65-H65,"")</f>
        <v/>
      </c>
      <c r="J65" s="69">
        <f>IF(G65="","",IF(G65&gt;=300,"✕ 要改善",IF(G65&gt;=200,"△ 注意","○ 良好")))</f>
        <v/>
      </c>
      <c r="K65" s="70" t="n"/>
    </row>
    <row r="66" ht="17" customHeight="1" s="438">
      <c r="A66" s="71" t="n">
        <v>62</v>
      </c>
      <c r="B66" s="72" t="n"/>
      <c r="C66" s="81" t="n"/>
      <c r="D66" s="9">
        <f>SUMIF(②釜工程入力!C5:C117,B66,②釜工程入力!I5:I117)</f>
        <v/>
      </c>
      <c r="E66" s="9">
        <f>SUMIF(②釜工程入力!C5:C117,B66,②釜工程入力!G5:G117)</f>
        <v/>
      </c>
      <c r="F66" s="9">
        <f>SUMIF(②釜工程入力!C5:C117,B66,②釜工程入力!M5:M117)</f>
        <v/>
      </c>
      <c r="G66" s="513">
        <f>IF(D66&gt;0,F66/D66,"")</f>
        <v/>
      </c>
      <c r="H66" s="7" t="n">
        <v>0</v>
      </c>
      <c r="I66" s="9">
        <f>IF(H66&gt;0,-F66-H66,"")</f>
        <v/>
      </c>
      <c r="J66" s="69">
        <f>IF(G66="","",IF(G66&gt;=300,"✕ 要改善",IF(G66&gt;=200,"△ 注意","○ 良好")))</f>
        <v/>
      </c>
      <c r="K66" s="74" t="n"/>
    </row>
    <row r="67" ht="17" customHeight="1" s="438">
      <c r="A67" s="66" t="n">
        <v>63</v>
      </c>
      <c r="B67" s="67" t="n"/>
      <c r="C67" s="82" t="n"/>
      <c r="D67" s="9">
        <f>SUMIF(②釜工程入力!C5:C117,B67,②釜工程入力!I5:I117)</f>
        <v/>
      </c>
      <c r="E67" s="9">
        <f>SUMIF(②釜工程入力!C5:C117,B67,②釜工程入力!G5:G117)</f>
        <v/>
      </c>
      <c r="F67" s="9">
        <f>SUMIF(②釜工程入力!C5:C117,B67,②釜工程入力!M5:M117)</f>
        <v/>
      </c>
      <c r="G67" s="513">
        <f>IF(D67&gt;0,F67/D67,"")</f>
        <v/>
      </c>
      <c r="H67" s="7" t="n">
        <v>0</v>
      </c>
      <c r="I67" s="9">
        <f>IF(H67&gt;0,-F67-H67,"")</f>
        <v/>
      </c>
      <c r="J67" s="69">
        <f>IF(G67="","",IF(G67&gt;=300,"✕ 要改善",IF(G67&gt;=200,"△ 注意","○ 良好")))</f>
        <v/>
      </c>
      <c r="K67" s="70" t="n"/>
    </row>
    <row r="68" ht="17" customHeight="1" s="438">
      <c r="A68" s="71" t="n">
        <v>64</v>
      </c>
      <c r="B68" s="72" t="n"/>
      <c r="C68" s="81" t="n"/>
      <c r="D68" s="9">
        <f>SUMIF(②釜工程入力!C5:C117,B68,②釜工程入力!I5:I117)</f>
        <v/>
      </c>
      <c r="E68" s="9">
        <f>SUMIF(②釜工程入力!C5:C117,B68,②釜工程入力!G5:G117)</f>
        <v/>
      </c>
      <c r="F68" s="9">
        <f>SUMIF(②釜工程入力!C5:C117,B68,②釜工程入力!M5:M117)</f>
        <v/>
      </c>
      <c r="G68" s="513">
        <f>IF(D68&gt;0,F68/D68,"")</f>
        <v/>
      </c>
      <c r="H68" s="7" t="n">
        <v>0</v>
      </c>
      <c r="I68" s="9">
        <f>IF(H68&gt;0,-F68-H68,"")</f>
        <v/>
      </c>
      <c r="J68" s="69">
        <f>IF(G68="","",IF(G68&gt;=300,"✕ 要改善",IF(G68&gt;=200,"△ 注意","○ 良好")))</f>
        <v/>
      </c>
      <c r="K68" s="74" t="n"/>
    </row>
    <row r="69" ht="17" customHeight="1" s="438">
      <c r="A69" s="66" t="n">
        <v>65</v>
      </c>
      <c r="B69" s="67" t="n"/>
      <c r="C69" s="82" t="n"/>
      <c r="D69" s="9">
        <f>SUMIF(②釜工程入力!C5:C117,B69,②釜工程入力!I5:I117)</f>
        <v/>
      </c>
      <c r="E69" s="9">
        <f>SUMIF(②釜工程入力!C5:C117,B69,②釜工程入力!G5:G117)</f>
        <v/>
      </c>
      <c r="F69" s="9">
        <f>SUMIF(②釜工程入力!C5:C117,B69,②釜工程入力!M5:M117)</f>
        <v/>
      </c>
      <c r="G69" s="513">
        <f>IF(D69&gt;0,F69/D69,"")</f>
        <v/>
      </c>
      <c r="H69" s="7" t="n">
        <v>0</v>
      </c>
      <c r="I69" s="9">
        <f>IF(H69&gt;0,-F69-H69,"")</f>
        <v/>
      </c>
      <c r="J69" s="69">
        <f>IF(G69="","",IF(G69&gt;=300,"✕ 要改善",IF(G69&gt;=200,"△ 注意","○ 良好")))</f>
        <v/>
      </c>
      <c r="K69" s="70" t="n"/>
    </row>
    <row r="70" ht="17" customHeight="1" s="438">
      <c r="A70" s="71" t="n">
        <v>66</v>
      </c>
      <c r="B70" s="72" t="n"/>
      <c r="C70" s="81" t="n"/>
      <c r="D70" s="9">
        <f>SUMIF(②釜工程入力!C5:C117,B70,②釜工程入力!I5:I117)</f>
        <v/>
      </c>
      <c r="E70" s="9">
        <f>SUMIF(②釜工程入力!C5:C117,B70,②釜工程入力!G5:G117)</f>
        <v/>
      </c>
      <c r="F70" s="9">
        <f>SUMIF(②釜工程入力!C5:C117,B70,②釜工程入力!M5:M117)</f>
        <v/>
      </c>
      <c r="G70" s="513">
        <f>IF(D70&gt;0,F70/D70,"")</f>
        <v/>
      </c>
      <c r="H70" s="7" t="n">
        <v>0</v>
      </c>
      <c r="I70" s="9">
        <f>IF(H70&gt;0,-F70-H70,"")</f>
        <v/>
      </c>
      <c r="J70" s="69">
        <f>IF(G70="","",IF(G70&gt;=300,"✕ 要改善",IF(G70&gt;=200,"△ 注意","○ 良好")))</f>
        <v/>
      </c>
      <c r="K70" s="74" t="n"/>
    </row>
    <row r="71" ht="17" customHeight="1" s="438">
      <c r="A71" s="66" t="n">
        <v>67</v>
      </c>
      <c r="B71" s="67" t="n"/>
      <c r="C71" s="82" t="n"/>
      <c r="D71" s="9">
        <f>SUMIF(②釜工程入力!C5:C117,B71,②釜工程入力!I5:I117)</f>
        <v/>
      </c>
      <c r="E71" s="9">
        <f>SUMIF(②釜工程入力!C5:C117,B71,②釜工程入力!G5:G117)</f>
        <v/>
      </c>
      <c r="F71" s="9">
        <f>SUMIF(②釜工程入力!C5:C117,B71,②釜工程入力!M5:M117)</f>
        <v/>
      </c>
      <c r="G71" s="513">
        <f>IF(D71&gt;0,F71/D71,"")</f>
        <v/>
      </c>
      <c r="H71" s="7" t="n">
        <v>0</v>
      </c>
      <c r="I71" s="9">
        <f>IF(H71&gt;0,-F71-H71,"")</f>
        <v/>
      </c>
      <c r="J71" s="69">
        <f>IF(G71="","",IF(G71&gt;=300,"✕ 要改善",IF(G71&gt;=200,"△ 注意","○ 良好")))</f>
        <v/>
      </c>
      <c r="K71" s="70" t="n"/>
    </row>
    <row r="72" ht="17" customHeight="1" s="438">
      <c r="A72" s="71" t="n">
        <v>68</v>
      </c>
      <c r="B72" s="72" t="n"/>
      <c r="C72" s="81" t="n"/>
      <c r="D72" s="9">
        <f>SUMIF(②釜工程入力!C5:C117,B72,②釜工程入力!I5:I117)</f>
        <v/>
      </c>
      <c r="E72" s="9">
        <f>SUMIF(②釜工程入力!C5:C117,B72,②釜工程入力!G5:G117)</f>
        <v/>
      </c>
      <c r="F72" s="9">
        <f>SUMIF(②釜工程入力!C5:C117,B72,②釜工程入力!M5:M117)</f>
        <v/>
      </c>
      <c r="G72" s="513">
        <f>IF(D72&gt;0,F72/D72,"")</f>
        <v/>
      </c>
      <c r="H72" s="7" t="n">
        <v>0</v>
      </c>
      <c r="I72" s="9">
        <f>IF(H72&gt;0,-F72-H72,"")</f>
        <v/>
      </c>
      <c r="J72" s="69">
        <f>IF(G72="","",IF(G72&gt;=300,"✕ 要改善",IF(G72&gt;=200,"△ 注意","○ 良好")))</f>
        <v/>
      </c>
      <c r="K72" s="74" t="n"/>
    </row>
    <row r="73" ht="17" customHeight="1" s="438">
      <c r="A73" s="66" t="n">
        <v>69</v>
      </c>
      <c r="B73" s="67" t="n"/>
      <c r="C73" s="82" t="n"/>
      <c r="D73" s="9">
        <f>SUMIF(②釜工程入力!C5:C117,B73,②釜工程入力!I5:I117)</f>
        <v/>
      </c>
      <c r="E73" s="9">
        <f>SUMIF(②釜工程入力!C5:C117,B73,②釜工程入力!G5:G117)</f>
        <v/>
      </c>
      <c r="F73" s="9">
        <f>SUMIF(②釜工程入力!C5:C117,B73,②釜工程入力!M5:M117)</f>
        <v/>
      </c>
      <c r="G73" s="513">
        <f>IF(D73&gt;0,F73/D73,"")</f>
        <v/>
      </c>
      <c r="H73" s="7" t="n">
        <v>0</v>
      </c>
      <c r="I73" s="9">
        <f>IF(H73&gt;0,-F73-H73,"")</f>
        <v/>
      </c>
      <c r="J73" s="69">
        <f>IF(G73="","",IF(G73&gt;=300,"✕ 要改善",IF(G73&gt;=200,"△ 注意","○ 良好")))</f>
        <v/>
      </c>
      <c r="K73" s="70" t="n"/>
    </row>
    <row r="74" ht="17" customHeight="1" s="438">
      <c r="A74" s="71" t="n">
        <v>70</v>
      </c>
      <c r="B74" s="72" t="n"/>
      <c r="C74" s="81" t="n"/>
      <c r="D74" s="9">
        <f>SUMIF(②釜工程入力!C5:C117,B74,②釜工程入力!I5:I117)</f>
        <v/>
      </c>
      <c r="E74" s="9">
        <f>SUMIF(②釜工程入力!C5:C117,B74,②釜工程入力!G5:G117)</f>
        <v/>
      </c>
      <c r="F74" s="9">
        <f>SUMIF(②釜工程入力!C5:C117,B74,②釜工程入力!M5:M117)</f>
        <v/>
      </c>
      <c r="G74" s="513">
        <f>IF(D74&gt;0,F74/D74,"")</f>
        <v/>
      </c>
      <c r="H74" s="7" t="n">
        <v>0</v>
      </c>
      <c r="I74" s="9">
        <f>IF(H74&gt;0,-F74-H74,"")</f>
        <v/>
      </c>
      <c r="J74" s="69">
        <f>IF(G74="","",IF(G74&gt;=300,"✕ 要改善",IF(G74&gt;=200,"△ 注意","○ 良好")))</f>
        <v/>
      </c>
      <c r="K74" s="74" t="n"/>
    </row>
    <row r="75" ht="17" customHeight="1" s="438">
      <c r="A75" s="66" t="n">
        <v>71</v>
      </c>
      <c r="B75" s="67" t="n"/>
      <c r="C75" s="82" t="n"/>
      <c r="D75" s="9">
        <f>SUMIF(②釜工程入力!C5:C117,B75,②釜工程入力!I5:I117)</f>
        <v/>
      </c>
      <c r="E75" s="9">
        <f>SUMIF(②釜工程入力!C5:C117,B75,②釜工程入力!G5:G117)</f>
        <v/>
      </c>
      <c r="F75" s="9">
        <f>SUMIF(②釜工程入力!C5:C117,B75,②釜工程入力!M5:M117)</f>
        <v/>
      </c>
      <c r="G75" s="513">
        <f>IF(D75&gt;0,F75/D75,"")</f>
        <v/>
      </c>
      <c r="H75" s="7" t="n">
        <v>0</v>
      </c>
      <c r="I75" s="9">
        <f>IF(H75&gt;0,-F75-H75,"")</f>
        <v/>
      </c>
      <c r="J75" s="69">
        <f>IF(G75="","",IF(G75&gt;=300,"✕ 要改善",IF(G75&gt;=200,"△ 注意","○ 良好")))</f>
        <v/>
      </c>
      <c r="K75" s="70" t="n"/>
    </row>
    <row r="76" ht="17" customHeight="1" s="438">
      <c r="A76" s="71" t="n">
        <v>72</v>
      </c>
      <c r="B76" s="72" t="n"/>
      <c r="C76" s="81" t="n"/>
      <c r="D76" s="9">
        <f>SUMIF(②釜工程入力!C5:C117,B76,②釜工程入力!I5:I117)</f>
        <v/>
      </c>
      <c r="E76" s="9">
        <f>SUMIF(②釜工程入力!C5:C117,B76,②釜工程入力!G5:G117)</f>
        <v/>
      </c>
      <c r="F76" s="9">
        <f>SUMIF(②釜工程入力!C5:C117,B76,②釜工程入力!M5:M117)</f>
        <v/>
      </c>
      <c r="G76" s="513">
        <f>IF(D76&gt;0,F76/D76,"")</f>
        <v/>
      </c>
      <c r="H76" s="7" t="n">
        <v>0</v>
      </c>
      <c r="I76" s="9">
        <f>IF(H76&gt;0,-F76-H76,"")</f>
        <v/>
      </c>
      <c r="J76" s="69">
        <f>IF(G76="","",IF(G76&gt;=300,"✕ 要改善",IF(G76&gt;=200,"△ 注意","○ 良好")))</f>
        <v/>
      </c>
      <c r="K76" s="74" t="n"/>
    </row>
    <row r="77" ht="17" customHeight="1" s="438">
      <c r="A77" s="66" t="n">
        <v>73</v>
      </c>
      <c r="B77" s="67" t="inlineStr">
        <is>
          <t>黒クランブル</t>
        </is>
      </c>
      <c r="C77" s="83" t="inlineStr">
        <is>
          <t>③スチコン</t>
        </is>
      </c>
      <c r="D77" s="9">
        <f>SUMIF(③スチコン工程入力!C5:C152,B77,③スチコン工程入力!I5:I152)</f>
        <v/>
      </c>
      <c r="E77" s="9">
        <f>SUMIF(③スチコン工程入力!C5:C152,B77,③スチコン工程入力!G5:G152)</f>
        <v/>
      </c>
      <c r="F77" s="9">
        <f>SUMIF(③スチコン工程入力!C5:C152,B77,③スチコン工程入力!M5:M152)</f>
        <v/>
      </c>
      <c r="G77" s="513">
        <f>IF(D77&gt;0,F77/D77,"")</f>
        <v/>
      </c>
      <c r="H77" s="7" t="n">
        <v>0</v>
      </c>
      <c r="I77" s="9">
        <f>IF(H77&gt;0,-F77-H77,"")</f>
        <v/>
      </c>
      <c r="J77" s="69">
        <f>IF(G77="","",IF(G77&gt;=300,"✕ 要改善",IF(G77&gt;=200,"△ 注意","○ 良好")))</f>
        <v/>
      </c>
      <c r="K77" s="70" t="n"/>
    </row>
    <row r="78" ht="17" customHeight="1" s="438">
      <c r="A78" s="71" t="n">
        <v>74</v>
      </c>
      <c r="B78" s="72" t="inlineStr">
        <is>
          <t>抹茶わらび餅(12分）</t>
        </is>
      </c>
      <c r="C78" s="84" t="inlineStr">
        <is>
          <t>③スチコン</t>
        </is>
      </c>
      <c r="D78" s="9">
        <f>SUMIF(③スチコン工程入力!C5:C152,B78,③スチコン工程入力!I5:I152)</f>
        <v/>
      </c>
      <c r="E78" s="9">
        <f>SUMIF(③スチコン工程入力!C5:C152,B78,③スチコン工程入力!G5:G152)</f>
        <v/>
      </c>
      <c r="F78" s="9">
        <f>SUMIF(③スチコン工程入力!C5:C152,B78,③スチコン工程入力!M5:M152)</f>
        <v/>
      </c>
      <c r="G78" s="513">
        <f>IF(D78&gt;0,F78/D78,"")</f>
        <v/>
      </c>
      <c r="H78" s="7" t="n">
        <v>0</v>
      </c>
      <c r="I78" s="9">
        <f>IF(H78&gt;0,-F78-H78,"")</f>
        <v/>
      </c>
      <c r="J78" s="69">
        <f>IF(G78="","",IF(G78&gt;=300,"✕ 要改善",IF(G78&gt;=200,"△ 注意","○ 良好")))</f>
        <v/>
      </c>
      <c r="K78" s="74" t="n"/>
    </row>
    <row r="79" ht="17" customHeight="1" s="438">
      <c r="A79" s="66" t="n">
        <v>75</v>
      </c>
      <c r="B79" s="67" t="inlineStr">
        <is>
          <t>抹茶わらび餅(1２分）</t>
        </is>
      </c>
      <c r="C79" s="83" t="inlineStr">
        <is>
          <t>③スチコン</t>
        </is>
      </c>
      <c r="D79" s="9">
        <f>SUMIF(③スチコン工程入力!C5:C152,B79,③スチコン工程入力!I5:I152)</f>
        <v/>
      </c>
      <c r="E79" s="9">
        <f>SUMIF(③スチコン工程入力!C5:C152,B79,③スチコン工程入力!G5:G152)</f>
        <v/>
      </c>
      <c r="F79" s="9">
        <f>SUMIF(③スチコン工程入力!C5:C152,B79,③スチコン工程入力!M5:M152)</f>
        <v/>
      </c>
      <c r="G79" s="513">
        <f>IF(D79&gt;0,F79/D79,"")</f>
        <v/>
      </c>
      <c r="H79" s="7" t="n">
        <v>0</v>
      </c>
      <c r="I79" s="9">
        <f>IF(H79&gt;0,-F79-H79,"")</f>
        <v/>
      </c>
      <c r="J79" s="69">
        <f>IF(G79="","",IF(G79&gt;=300,"✕ 要改善",IF(G79&gt;=200,"△ 注意","○ 良好")))</f>
        <v/>
      </c>
      <c r="K79" s="70" t="n"/>
    </row>
    <row r="80" ht="17" customHeight="1" s="438">
      <c r="A80" s="71" t="n">
        <v>76</v>
      </c>
      <c r="B80" s="72" t="inlineStr">
        <is>
          <t>わらび餅（１２分）</t>
        </is>
      </c>
      <c r="C80" s="84" t="inlineStr">
        <is>
          <t>③スチコン</t>
        </is>
      </c>
      <c r="D80" s="9">
        <f>SUMIF(③スチコン工程入力!C5:C152,B80,③スチコン工程入力!I5:I152)</f>
        <v/>
      </c>
      <c r="E80" s="9">
        <f>SUMIF(③スチコン工程入力!C5:C152,B80,③スチコン工程入力!G5:G152)</f>
        <v/>
      </c>
      <c r="F80" s="9">
        <f>SUMIF(③スチコン工程入力!C5:C152,B80,③スチコン工程入力!M5:M152)</f>
        <v/>
      </c>
      <c r="G80" s="513">
        <f>IF(D80&gt;0,F80/D80,"")</f>
        <v/>
      </c>
      <c r="H80" s="7" t="n">
        <v>0</v>
      </c>
      <c r="I80" s="9">
        <f>IF(H80&gt;0,-F80-H80,"")</f>
        <v/>
      </c>
      <c r="J80" s="69">
        <f>IF(G80="","",IF(G80&gt;=300,"✕ 要改善",IF(G80&gt;=200,"△ 注意","○ 良好")))</f>
        <v/>
      </c>
      <c r="K80" s="74" t="n"/>
    </row>
    <row r="81" ht="17" customHeight="1" s="438">
      <c r="A81" s="66" t="n">
        <v>77</v>
      </c>
      <c r="B81" s="67" t="inlineStr">
        <is>
          <t>ロールケーキ生地（１２分）</t>
        </is>
      </c>
      <c r="C81" s="83" t="inlineStr">
        <is>
          <t>③スチコン</t>
        </is>
      </c>
      <c r="D81" s="9">
        <f>SUMIF(③スチコン工程入力!C5:C152,B81,③スチコン工程入力!I5:I152)</f>
        <v/>
      </c>
      <c r="E81" s="9">
        <f>SUMIF(③スチコン工程入力!C5:C152,B81,③スチコン工程入力!G5:G152)</f>
        <v/>
      </c>
      <c r="F81" s="9">
        <f>SUMIF(③スチコン工程入力!C5:C152,B81,③スチコン工程入力!M5:M152)</f>
        <v/>
      </c>
      <c r="G81" s="513">
        <f>IF(D81&gt;0,F81/D81,"")</f>
        <v/>
      </c>
      <c r="H81" s="7" t="n">
        <v>0</v>
      </c>
      <c r="I81" s="9">
        <f>IF(H81&gt;0,-F81-H81,"")</f>
        <v/>
      </c>
      <c r="J81" s="69">
        <f>IF(G81="","",IF(G81&gt;=300,"✕ 要改善",IF(G81&gt;=200,"△ 注意","○ 良好")))</f>
        <v/>
      </c>
      <c r="K81" s="70" t="n"/>
    </row>
    <row r="82" ht="17" customHeight="1" s="438">
      <c r="A82" s="71" t="n">
        <v>78</v>
      </c>
      <c r="B82" s="72" t="inlineStr">
        <is>
          <t>スイートポテト解凍</t>
        </is>
      </c>
      <c r="C82" s="84" t="inlineStr">
        <is>
          <t>③スチコン</t>
        </is>
      </c>
      <c r="D82" s="9">
        <f>SUMIF(③スチコン工程入力!C5:C152,B82,③スチコン工程入力!I5:I152)</f>
        <v/>
      </c>
      <c r="E82" s="9">
        <f>SUMIF(③スチコン工程入力!C5:C152,B82,③スチコン工程入力!G5:G152)</f>
        <v/>
      </c>
      <c r="F82" s="9">
        <f>SUMIF(③スチコン工程入力!C5:C152,B82,③スチコン工程入力!M5:M152)</f>
        <v/>
      </c>
      <c r="G82" s="513">
        <f>IF(D82&gt;0,F82/D82,"")</f>
        <v/>
      </c>
      <c r="H82" s="7" t="n">
        <v>0</v>
      </c>
      <c r="I82" s="9">
        <f>IF(H82&gt;0,-F82-H82,"")</f>
        <v/>
      </c>
      <c r="J82" s="69">
        <f>IF(G82="","",IF(G82&gt;=300,"✕ 要改善",IF(G82&gt;=200,"△ 注意","○ 良好")))</f>
        <v/>
      </c>
      <c r="K82" s="74" t="n"/>
    </row>
    <row r="83" ht="17" customHeight="1" s="438">
      <c r="A83" s="66" t="n">
        <v>79</v>
      </c>
      <c r="B83" s="67" t="inlineStr">
        <is>
          <t>ミキサー</t>
        </is>
      </c>
      <c r="C83" s="83" t="inlineStr">
        <is>
          <t>③スチコン</t>
        </is>
      </c>
      <c r="D83" s="9">
        <f>SUMIF(③スチコン工程入力!C5:C152,B83,③スチコン工程入力!I5:I152)</f>
        <v/>
      </c>
      <c r="E83" s="9">
        <f>SUMIF(③スチコン工程入力!C5:C152,B83,③スチコン工程入力!G5:G152)</f>
        <v/>
      </c>
      <c r="F83" s="9">
        <f>SUMIF(③スチコン工程入力!C5:C152,B83,③スチコン工程入力!M5:M152)</f>
        <v/>
      </c>
      <c r="G83" s="513">
        <f>IF(D83&gt;0,F83/D83,"")</f>
        <v/>
      </c>
      <c r="H83" s="7" t="n">
        <v>0</v>
      </c>
      <c r="I83" s="9">
        <f>IF(H83&gt;0,-F83-H83,"")</f>
        <v/>
      </c>
      <c r="J83" s="69">
        <f>IF(G83="","",IF(G83&gt;=300,"✕ 要改善",IF(G83&gt;=200,"△ 注意","○ 良好")))</f>
        <v/>
      </c>
      <c r="K83" s="70" t="n"/>
    </row>
    <row r="84" ht="17" customHeight="1" s="438">
      <c r="A84" s="71" t="n">
        <v>80</v>
      </c>
      <c r="B84" s="72" t="inlineStr">
        <is>
          <t>湯種ロールパン</t>
        </is>
      </c>
      <c r="C84" s="84" t="inlineStr">
        <is>
          <t>③スチコン</t>
        </is>
      </c>
      <c r="D84" s="9">
        <f>SUMIF(③スチコン工程入力!C5:C152,B84,③スチコン工程入力!I5:I152)</f>
        <v/>
      </c>
      <c r="E84" s="9">
        <f>SUMIF(③スチコン工程入力!C5:C152,B84,③スチコン工程入力!G5:G152)</f>
        <v/>
      </c>
      <c r="F84" s="9">
        <f>SUMIF(③スチコン工程入力!C5:C152,B84,③スチコン工程入力!M5:M152)</f>
        <v/>
      </c>
      <c r="G84" s="513">
        <f>IF(D84&gt;0,F84/D84,"")</f>
        <v/>
      </c>
      <c r="H84" s="7" t="n">
        <v>0</v>
      </c>
      <c r="I84" s="9">
        <f>IF(H84&gt;0,-F84-H84,"")</f>
        <v/>
      </c>
      <c r="J84" s="69">
        <f>IF(G84="","",IF(G84&gt;=300,"✕ 要改善",IF(G84&gt;=200,"△ 注意","○ 良好")))</f>
        <v/>
      </c>
      <c r="K84" s="74" t="n"/>
    </row>
    <row r="85" ht="17" customHeight="1" s="438">
      <c r="A85" s="66" t="n">
        <v>81</v>
      </c>
      <c r="B85" s="67" t="inlineStr">
        <is>
          <t>ホテルロール</t>
        </is>
      </c>
      <c r="C85" s="85" t="inlineStr">
        <is>
          <t>③スチコン</t>
        </is>
      </c>
      <c r="D85" s="9">
        <f>SUMIF(③スチコン工程入力!C5:C152,B85,③スチコン工程入力!I5:I152)</f>
        <v/>
      </c>
      <c r="E85" s="9">
        <f>SUMIF(③スチコン工程入力!C5:C152,B85,③スチコン工程入力!G5:G152)</f>
        <v/>
      </c>
      <c r="F85" s="9">
        <f>SUMIF(③スチコン工程入力!C5:C152,B85,③スチコン工程入力!M5:M152)</f>
        <v/>
      </c>
      <c r="G85" s="513">
        <f>IF(D85&gt;0,F85/D85,"")</f>
        <v/>
      </c>
      <c r="H85" s="7" t="n">
        <v>0</v>
      </c>
      <c r="I85" s="9">
        <f>IF(H85&gt;0,-F85-H85,"")</f>
        <v/>
      </c>
      <c r="J85" s="69">
        <f>IF(G85="","",IF(G85&gt;=300,"✕ 要改善",IF(G85&gt;=200,"△ 注意","○ 良好")))</f>
        <v/>
      </c>
      <c r="K85" s="70" t="n"/>
    </row>
    <row r="86" ht="17" customHeight="1" s="438">
      <c r="A86" s="71" t="n">
        <v>82</v>
      </c>
      <c r="B86" s="72" t="inlineStr">
        <is>
          <t>塩パン</t>
        </is>
      </c>
      <c r="C86" s="86" t="inlineStr">
        <is>
          <t>③スチコン</t>
        </is>
      </c>
      <c r="D86" s="9">
        <f>SUMIF(③スチコン工程入力!C5:C152,B86,③スチコン工程入力!I5:I152)</f>
        <v/>
      </c>
      <c r="E86" s="9">
        <f>SUMIF(③スチコン工程入力!C5:C152,B86,③スチコン工程入力!G5:G152)</f>
        <v/>
      </c>
      <c r="F86" s="9">
        <f>SUMIF(③スチコン工程入力!C5:C152,B86,③スチコン工程入力!M5:M152)</f>
        <v/>
      </c>
      <c r="G86" s="513">
        <f>IF(D86&gt;0,F86/D86,"")</f>
        <v/>
      </c>
      <c r="H86" s="7" t="n">
        <v>0</v>
      </c>
      <c r="I86" s="9">
        <f>IF(H86&gt;0,-F86-H86,"")</f>
        <v/>
      </c>
      <c r="J86" s="69">
        <f>IF(G86="","",IF(G86&gt;=300,"✕ 要改善",IF(G86&gt;=200,"△ 注意","○ 良好")))</f>
        <v/>
      </c>
      <c r="K86" s="74" t="n"/>
    </row>
    <row r="87" ht="17" customHeight="1" s="438">
      <c r="A87" s="66" t="n">
        <v>83</v>
      </c>
      <c r="B87" s="67" t="inlineStr">
        <is>
          <t>ホテルブレッド</t>
        </is>
      </c>
      <c r="C87" s="85" t="inlineStr">
        <is>
          <t>③スチコン</t>
        </is>
      </c>
      <c r="D87" s="9">
        <f>SUMIF(③スチコン工程入力!C5:C152,B87,③スチコン工程入力!I5:I152)</f>
        <v/>
      </c>
      <c r="E87" s="9">
        <f>SUMIF(③スチコン工程入力!C5:C152,B87,③スチコン工程入力!G5:G152)</f>
        <v/>
      </c>
      <c r="F87" s="9">
        <f>SUMIF(③スチコン工程入力!C5:C152,B87,③スチコン工程入力!M5:M152)</f>
        <v/>
      </c>
      <c r="G87" s="513">
        <f>IF(D87&gt;0,F87/D87,"")</f>
        <v/>
      </c>
      <c r="H87" s="7" t="n">
        <v>0</v>
      </c>
      <c r="I87" s="9">
        <f>IF(H87&gt;0,-F87-H87,"")</f>
        <v/>
      </c>
      <c r="J87" s="69">
        <f>IF(G87="","",IF(G87&gt;=300,"✕ 要改善",IF(G87&gt;=200,"△ 注意","○ 良好")))</f>
        <v/>
      </c>
      <c r="K87" s="70" t="n"/>
    </row>
    <row r="88" ht="17" customHeight="1" s="438">
      <c r="A88" s="71" t="n">
        <v>84</v>
      </c>
      <c r="B88" s="72" t="n"/>
      <c r="C88" s="86" t="n"/>
      <c r="D88" s="9">
        <f>SUMIF(③スチコン工程入力!C5:C152,B88,③スチコン工程入力!I5:I152)</f>
        <v/>
      </c>
      <c r="E88" s="9">
        <f>SUMIF(③スチコン工程入力!C5:C152,B88,③スチコン工程入力!G5:G152)</f>
        <v/>
      </c>
      <c r="F88" s="9">
        <f>SUMIF(③スチコン工程入力!C5:C152,B88,③スチコン工程入力!M5:M152)</f>
        <v/>
      </c>
      <c r="G88" s="513">
        <f>IF(D88&gt;0,F88/D88,"")</f>
        <v/>
      </c>
      <c r="H88" s="7" t="n">
        <v>0</v>
      </c>
      <c r="I88" s="9">
        <f>IF(H88&gt;0,-F88-H88,"")</f>
        <v/>
      </c>
      <c r="J88" s="69">
        <f>IF(G88="","",IF(G88&gt;=300,"✕ 要改善",IF(G88&gt;=200,"△ 注意","○ 良好")))</f>
        <v/>
      </c>
      <c r="K88" s="74" t="n"/>
    </row>
    <row r="89" ht="17" customHeight="1" s="438">
      <c r="A89" s="66" t="n">
        <v>85</v>
      </c>
      <c r="B89" s="67" t="n"/>
      <c r="C89" s="85" t="n"/>
      <c r="D89" s="9">
        <f>SUMIF(③スチコン工程入力!C5:C152,B89,③スチコン工程入力!I5:I152)</f>
        <v/>
      </c>
      <c r="E89" s="9">
        <f>SUMIF(③スチコン工程入力!C5:C152,B89,③スチコン工程入力!G5:G152)</f>
        <v/>
      </c>
      <c r="F89" s="9">
        <f>SUMIF(③スチコン工程入力!C5:C152,B89,③スチコン工程入力!M5:M152)</f>
        <v/>
      </c>
      <c r="G89" s="513">
        <f>IF(D89&gt;0,F89/D89,"")</f>
        <v/>
      </c>
      <c r="H89" s="7" t="n">
        <v>0</v>
      </c>
      <c r="I89" s="9">
        <f>IF(H89&gt;0,-F89-H89,"")</f>
        <v/>
      </c>
      <c r="J89" s="69">
        <f>IF(G89="","",IF(G89&gt;=300,"✕ 要改善",IF(G89&gt;=200,"△ 注意","○ 良好")))</f>
        <v/>
      </c>
      <c r="K89" s="70" t="n"/>
    </row>
    <row r="90" ht="17" customHeight="1" s="438">
      <c r="A90" s="71" t="n">
        <v>86</v>
      </c>
      <c r="B90" s="72" t="n"/>
      <c r="C90" s="86" t="n"/>
      <c r="D90" s="9">
        <f>SUMIF(③スチコン工程入力!C5:C152,B90,③スチコン工程入力!I5:I152)</f>
        <v/>
      </c>
      <c r="E90" s="9">
        <f>SUMIF(③スチコン工程入力!C5:C152,B90,③スチコン工程入力!G5:G152)</f>
        <v/>
      </c>
      <c r="F90" s="9">
        <f>SUMIF(③スチコン工程入力!C5:C152,B90,③スチコン工程入力!M5:M152)</f>
        <v/>
      </c>
      <c r="G90" s="513">
        <f>IF(D90&gt;0,F90/D90,"")</f>
        <v/>
      </c>
      <c r="H90" s="7" t="n">
        <v>0</v>
      </c>
      <c r="I90" s="9">
        <f>IF(H90&gt;0,-F90-H90,"")</f>
        <v/>
      </c>
      <c r="J90" s="69">
        <f>IF(G90="","",IF(G90&gt;=300,"✕ 要改善",IF(G90&gt;=200,"△ 注意","○ 良好")))</f>
        <v/>
      </c>
      <c r="K90" s="74" t="n"/>
    </row>
    <row r="91" ht="17" customHeight="1" s="438">
      <c r="A91" s="66" t="n">
        <v>87</v>
      </c>
      <c r="B91" s="67" t="n"/>
      <c r="C91" s="85" t="n"/>
      <c r="D91" s="9">
        <f>SUMIF(③スチコン工程入力!C5:C152,B91,③スチコン工程入力!I5:I152)</f>
        <v/>
      </c>
      <c r="E91" s="9">
        <f>SUMIF(③スチコン工程入力!C5:C152,B91,③スチコン工程入力!G5:G152)</f>
        <v/>
      </c>
      <c r="F91" s="9">
        <f>SUMIF(③スチコン工程入力!C5:C152,B91,③スチコン工程入力!M5:M152)</f>
        <v/>
      </c>
      <c r="G91" s="513">
        <f>IF(D91&gt;0,F91/D91,"")</f>
        <v/>
      </c>
      <c r="H91" s="7" t="n">
        <v>0</v>
      </c>
      <c r="I91" s="9">
        <f>IF(H91&gt;0,-F91-H91,"")</f>
        <v/>
      </c>
      <c r="J91" s="69">
        <f>IF(G91="","",IF(G91&gt;=300,"✕ 要改善",IF(G91&gt;=200,"△ 注意","○ 良好")))</f>
        <v/>
      </c>
      <c r="K91" s="70" t="n"/>
    </row>
    <row r="92" ht="17" customHeight="1" s="438">
      <c r="A92" s="71" t="n">
        <v>88</v>
      </c>
      <c r="B92" s="72" t="n"/>
      <c r="C92" s="86" t="n"/>
      <c r="D92" s="9">
        <f>SUMIF(③スチコン工程入力!C5:C152,B92,③スチコン工程入力!I5:I152)</f>
        <v/>
      </c>
      <c r="E92" s="9">
        <f>SUMIF(③スチコン工程入力!C5:C152,B92,③スチコン工程入力!G5:G152)</f>
        <v/>
      </c>
      <c r="F92" s="9">
        <f>SUMIF(③スチコン工程入力!C5:C152,B92,③スチコン工程入力!M5:M152)</f>
        <v/>
      </c>
      <c r="G92" s="513">
        <f>IF(D92&gt;0,F92/D92,"")</f>
        <v/>
      </c>
      <c r="H92" s="7" t="n">
        <v>0</v>
      </c>
      <c r="I92" s="9">
        <f>IF(H92&gt;0,-F92-H92,"")</f>
        <v/>
      </c>
      <c r="J92" s="69">
        <f>IF(G92="","",IF(G92&gt;=300,"✕ 要改善",IF(G92&gt;=200,"△ 注意","○ 良好")))</f>
        <v/>
      </c>
      <c r="K92" s="74" t="n"/>
    </row>
    <row r="93" ht="17" customHeight="1" s="438">
      <c r="A93" s="66" t="n">
        <v>89</v>
      </c>
      <c r="B93" s="67" t="n"/>
      <c r="C93" s="85" t="n"/>
      <c r="D93" s="9">
        <f>SUMIF(③スチコン工程入力!C5:C152,B93,③スチコン工程入力!I5:I152)</f>
        <v/>
      </c>
      <c r="E93" s="9">
        <f>SUMIF(③スチコン工程入力!C5:C152,B93,③スチコン工程入力!G5:G152)</f>
        <v/>
      </c>
      <c r="F93" s="9">
        <f>SUMIF(③スチコン工程入力!C5:C152,B93,③スチコン工程入力!M5:M152)</f>
        <v/>
      </c>
      <c r="G93" s="513">
        <f>IF(D93&gt;0,F93/D93,"")</f>
        <v/>
      </c>
      <c r="H93" s="7" t="n">
        <v>0</v>
      </c>
      <c r="I93" s="9">
        <f>IF(H93&gt;0,-F93-H93,"")</f>
        <v/>
      </c>
      <c r="J93" s="69">
        <f>IF(G93="","",IF(G93&gt;=300,"✕ 要改善",IF(G93&gt;=200,"△ 注意","○ 良好")))</f>
        <v/>
      </c>
      <c r="K93" s="70" t="n"/>
    </row>
    <row r="94" ht="17" customHeight="1" s="438">
      <c r="A94" s="71" t="n">
        <v>90</v>
      </c>
      <c r="B94" s="72" t="n"/>
      <c r="C94" s="86" t="n"/>
      <c r="D94" s="9">
        <f>SUMIF(③スチコン工程入力!C5:C152,B94,③スチコン工程入力!I5:I152)</f>
        <v/>
      </c>
      <c r="E94" s="9">
        <f>SUMIF(③スチコン工程入力!C5:C152,B94,③スチコン工程入力!G5:G152)</f>
        <v/>
      </c>
      <c r="F94" s="9">
        <f>SUMIF(③スチコン工程入力!C5:C152,B94,③スチコン工程入力!M5:M152)</f>
        <v/>
      </c>
      <c r="G94" s="513">
        <f>IF(D94&gt;0,F94/D94,"")</f>
        <v/>
      </c>
      <c r="H94" s="7" t="n">
        <v>0</v>
      </c>
      <c r="I94" s="9">
        <f>IF(H94&gt;0,-F94-H94,"")</f>
        <v/>
      </c>
      <c r="J94" s="69">
        <f>IF(G94="","",IF(G94&gt;=300,"✕ 要改善",IF(G94&gt;=200,"△ 注意","○ 良好")))</f>
        <v/>
      </c>
      <c r="K94" s="74" t="n"/>
    </row>
    <row r="95" ht="17" customHeight="1" s="438">
      <c r="A95" s="66" t="n">
        <v>91</v>
      </c>
      <c r="B95" s="67" t="n"/>
      <c r="C95" s="85" t="n"/>
      <c r="D95" s="9">
        <f>SUMIF(③スチコン工程入力!C5:C152,B95,③スチコン工程入力!I5:I152)</f>
        <v/>
      </c>
      <c r="E95" s="9">
        <f>SUMIF(③スチコン工程入力!C5:C152,B95,③スチコン工程入力!G5:G152)</f>
        <v/>
      </c>
      <c r="F95" s="9">
        <f>SUMIF(③スチコン工程入力!C5:C152,B95,③スチコン工程入力!M5:M152)</f>
        <v/>
      </c>
      <c r="G95" s="513">
        <f>IF(D95&gt;0,F95/D95,"")</f>
        <v/>
      </c>
      <c r="H95" s="7" t="n">
        <v>0</v>
      </c>
      <c r="I95" s="9">
        <f>IF(H95&gt;0,-F95-H95,"")</f>
        <v/>
      </c>
      <c r="J95" s="69">
        <f>IF(G95="","",IF(G95&gt;=300,"✕ 要改善",IF(G95&gt;=200,"△ 注意","○ 良好")))</f>
        <v/>
      </c>
      <c r="K95" s="70" t="n"/>
    </row>
    <row r="96" ht="17" customHeight="1" s="438">
      <c r="A96" s="71" t="n">
        <v>92</v>
      </c>
      <c r="B96" s="72" t="n"/>
      <c r="C96" s="87" t="n"/>
      <c r="D96" s="9">
        <f>SUMIF(③スチコン工程入力!C5:C152,B96,③スチコン工程入力!I5:I152)</f>
        <v/>
      </c>
      <c r="E96" s="9">
        <f>SUMIF(③スチコン工程入力!C5:C152,B96,③スチコン工程入力!G5:G152)</f>
        <v/>
      </c>
      <c r="F96" s="9">
        <f>SUMIF(③スチコン工程入力!C5:C152,B96,③スチコン工程入力!M5:M152)</f>
        <v/>
      </c>
      <c r="G96" s="513">
        <f>IF(D96&gt;0,F96/D96,"")</f>
        <v/>
      </c>
      <c r="H96" s="7" t="n">
        <v>0</v>
      </c>
      <c r="I96" s="9">
        <f>IF(H96&gt;0,-F96-H96,"")</f>
        <v/>
      </c>
      <c r="J96" s="69">
        <f>IF(G96="","",IF(G96&gt;=300,"✕ 要改善",IF(G96&gt;=200,"△ 注意","○ 良好")))</f>
        <v/>
      </c>
      <c r="K96" s="74" t="n"/>
    </row>
    <row r="97" ht="17" customHeight="1" s="438">
      <c r="A97" s="66" t="n">
        <v>93</v>
      </c>
      <c r="B97" s="67" t="n"/>
      <c r="C97" s="88" t="n"/>
      <c r="D97" s="9">
        <f>SUMIF(③スチコン工程入力!C5:C152,B97,③スチコン工程入力!I5:I152)</f>
        <v/>
      </c>
      <c r="E97" s="9">
        <f>SUMIF(③スチコン工程入力!C5:C152,B97,③スチコン工程入力!G5:G152)</f>
        <v/>
      </c>
      <c r="F97" s="9">
        <f>SUMIF(③スチコン工程入力!C5:C152,B97,③スチコン工程入力!M5:M152)</f>
        <v/>
      </c>
      <c r="G97" s="513">
        <f>IF(D97&gt;0,F97/D97,"")</f>
        <v/>
      </c>
      <c r="H97" s="7" t="n">
        <v>0</v>
      </c>
      <c r="I97" s="9">
        <f>IF(H97&gt;0,-F97-H97,"")</f>
        <v/>
      </c>
      <c r="J97" s="69">
        <f>IF(G97="","",IF(G97&gt;=300,"✕ 要改善",IF(G97&gt;=200,"△ 注意","○ 良好")))</f>
        <v/>
      </c>
      <c r="K97" s="70" t="n"/>
    </row>
    <row r="98" ht="17" customHeight="1" s="438">
      <c r="A98" s="71" t="n">
        <v>94</v>
      </c>
      <c r="B98" s="72" t="n"/>
      <c r="C98" s="87" t="n"/>
      <c r="D98" s="9">
        <f>SUMIF(③スチコン工程入力!C5:C152,B98,③スチコン工程入力!I5:I152)</f>
        <v/>
      </c>
      <c r="E98" s="9">
        <f>SUMIF(③スチコン工程入力!C5:C152,B98,③スチコン工程入力!G5:G152)</f>
        <v/>
      </c>
      <c r="F98" s="9">
        <f>SUMIF(③スチコン工程入力!C5:C152,B98,③スチコン工程入力!M5:M152)</f>
        <v/>
      </c>
      <c r="G98" s="513">
        <f>IF(D98&gt;0,F98/D98,"")</f>
        <v/>
      </c>
      <c r="H98" s="7" t="n">
        <v>0</v>
      </c>
      <c r="I98" s="9">
        <f>IF(H98&gt;0,-F98-H98,"")</f>
        <v/>
      </c>
      <c r="J98" s="69">
        <f>IF(G98="","",IF(G98&gt;=300,"✕ 要改善",IF(G98&gt;=200,"△ 注意","○ 良好")))</f>
        <v/>
      </c>
      <c r="K98" s="74" t="n"/>
    </row>
    <row r="99" ht="17" customHeight="1" s="438">
      <c r="A99" s="66" t="n">
        <v>95</v>
      </c>
      <c r="B99" s="67" t="n"/>
      <c r="C99" s="80" t="n"/>
      <c r="D99" s="9">
        <f>SUMIF(③スチコン工程入力!C5:C152,B99,③スチコン工程入力!I5:I152)</f>
        <v/>
      </c>
      <c r="E99" s="9">
        <f>SUMIF(③スチコン工程入力!C5:C152,B99,③スチコン工程入力!G5:G152)</f>
        <v/>
      </c>
      <c r="F99" s="9">
        <f>SUMIF(③スチコン工程入力!C5:C152,B99,③スチコン工程入力!M5:M152)</f>
        <v/>
      </c>
      <c r="G99" s="513">
        <f>IF(D99&gt;0,F99/D99,"")</f>
        <v/>
      </c>
      <c r="H99" s="7" t="n">
        <v>0</v>
      </c>
      <c r="I99" s="9">
        <f>IF(H99&gt;0,-F99-H99,"")</f>
        <v/>
      </c>
      <c r="J99" s="69">
        <f>IF(G99="","",IF(G99&gt;=300,"✕ 要改善",IF(G99&gt;=200,"△ 注意","○ 良好")))</f>
        <v/>
      </c>
      <c r="K99" s="70" t="n"/>
    </row>
    <row r="100" ht="17" customHeight="1" s="438">
      <c r="A100" s="71" t="n">
        <v>96</v>
      </c>
      <c r="B100" s="72" t="n"/>
      <c r="C100" s="79" t="n"/>
      <c r="D100" s="9">
        <f>SUMIF(③スチコン工程入力!C5:C152,B100,③スチコン工程入力!I5:I152)</f>
        <v/>
      </c>
      <c r="E100" s="9">
        <f>SUMIF(③スチコン工程入力!C5:C152,B100,③スチコン工程入力!G5:G152)</f>
        <v/>
      </c>
      <c r="F100" s="9">
        <f>SUMIF(③スチコン工程入力!C5:C152,B100,③スチコン工程入力!M5:M152)</f>
        <v/>
      </c>
      <c r="G100" s="513">
        <f>IF(D100&gt;0,F100/D100,"")</f>
        <v/>
      </c>
      <c r="H100" s="7" t="n">
        <v>0</v>
      </c>
      <c r="I100" s="9">
        <f>IF(H100&gt;0,-F100-H100,"")</f>
        <v/>
      </c>
      <c r="J100" s="69">
        <f>IF(G100="","",IF(G100&gt;=300,"✕ 要改善",IF(G100&gt;=200,"△ 注意","○ 良好")))</f>
        <v/>
      </c>
      <c r="K100" s="74" t="n"/>
    </row>
    <row r="101" ht="17" customHeight="1" s="438">
      <c r="A101" s="66" t="n">
        <v>97</v>
      </c>
      <c r="B101" s="67" t="n"/>
      <c r="C101" s="80" t="n"/>
      <c r="D101" s="9">
        <f>SUMIF(③スチコン工程入力!C5:C152,B101,③スチコン工程入力!I5:I152)</f>
        <v/>
      </c>
      <c r="E101" s="9">
        <f>SUMIF(③スチコン工程入力!C5:C152,B101,③スチコン工程入力!G5:G152)</f>
        <v/>
      </c>
      <c r="F101" s="9">
        <f>SUMIF(③スチコン工程入力!C5:C152,B101,③スチコン工程入力!M5:M152)</f>
        <v/>
      </c>
      <c r="G101" s="513">
        <f>IF(D101&gt;0,F101/D101,"")</f>
        <v/>
      </c>
      <c r="H101" s="7" t="n">
        <v>0</v>
      </c>
      <c r="I101" s="9">
        <f>IF(H101&gt;0,-F101-H101,"")</f>
        <v/>
      </c>
      <c r="J101" s="69">
        <f>IF(G101="","",IF(G101&gt;=300,"✕ 要改善",IF(G101&gt;=200,"△ 注意","○ 良好")))</f>
        <v/>
      </c>
      <c r="K101" s="70" t="n"/>
    </row>
    <row r="102" ht="17" customHeight="1" s="438">
      <c r="A102" s="71" t="n">
        <v>98</v>
      </c>
      <c r="B102" s="72" t="n"/>
      <c r="C102" s="79" t="n"/>
      <c r="D102" s="9">
        <f>SUMIF(③スチコン工程入力!C5:C152,B102,③スチコン工程入力!I5:I152)</f>
        <v/>
      </c>
      <c r="E102" s="9">
        <f>SUMIF(③スチコン工程入力!C5:C152,B102,③スチコン工程入力!G5:G152)</f>
        <v/>
      </c>
      <c r="F102" s="9">
        <f>SUMIF(③スチコン工程入力!C5:C152,B102,③スチコン工程入力!M5:M152)</f>
        <v/>
      </c>
      <c r="G102" s="513">
        <f>IF(D102&gt;0,F102/D102,"")</f>
        <v/>
      </c>
      <c r="H102" s="7" t="n">
        <v>0</v>
      </c>
      <c r="I102" s="9">
        <f>IF(H102&gt;0,-F102-H102,"")</f>
        <v/>
      </c>
      <c r="J102" s="69">
        <f>IF(G102="","",IF(G102&gt;=300,"✕ 要改善",IF(G102&gt;=200,"△ 注意","○ 良好")))</f>
        <v/>
      </c>
      <c r="K102" s="74" t="n"/>
    </row>
    <row r="103" ht="17" customHeight="1" s="438">
      <c r="A103" s="66" t="n">
        <v>99</v>
      </c>
      <c r="B103" s="67" t="n"/>
      <c r="C103" s="80" t="n"/>
      <c r="D103" s="9">
        <f>SUMIF(③スチコン工程入力!C5:C152,B103,③スチコン工程入力!I5:I152)</f>
        <v/>
      </c>
      <c r="E103" s="9">
        <f>SUMIF(③スチコン工程入力!C5:C152,B103,③スチコン工程入力!G5:G152)</f>
        <v/>
      </c>
      <c r="F103" s="9">
        <f>SUMIF(③スチコン工程入力!C5:C152,B103,③スチコン工程入力!M5:M152)</f>
        <v/>
      </c>
      <c r="G103" s="513">
        <f>IF(D103&gt;0,F103/D103,"")</f>
        <v/>
      </c>
      <c r="H103" s="7" t="n">
        <v>0</v>
      </c>
      <c r="I103" s="9">
        <f>IF(H103&gt;0,-F103-H103,"")</f>
        <v/>
      </c>
      <c r="J103" s="69">
        <f>IF(G103="","",IF(G103&gt;=300,"✕ 要改善",IF(G103&gt;=200,"△ 注意","○ 良好")))</f>
        <v/>
      </c>
      <c r="K103" s="70" t="n"/>
    </row>
    <row r="104" ht="17" customHeight="1" s="438">
      <c r="A104" s="71" t="n">
        <v>100</v>
      </c>
      <c r="B104" s="72" t="n"/>
      <c r="C104" s="81" t="n"/>
      <c r="D104" s="9">
        <f>SUMIF(③スチコン工程入力!C5:C152,B104,③スチコン工程入力!I5:I152)</f>
        <v/>
      </c>
      <c r="E104" s="9">
        <f>SUMIF(③スチコン工程入力!C5:C152,B104,③スチコン工程入力!G5:G152)</f>
        <v/>
      </c>
      <c r="F104" s="9">
        <f>SUMIF(③スチコン工程入力!C5:C152,B104,③スチコン工程入力!M5:M152)</f>
        <v/>
      </c>
      <c r="G104" s="513">
        <f>IF(D104&gt;0,F104/D104,"")</f>
        <v/>
      </c>
      <c r="H104" s="7" t="n">
        <v>0</v>
      </c>
      <c r="I104" s="9">
        <f>IF(H104&gt;0,-F104-H104,"")</f>
        <v/>
      </c>
      <c r="J104" s="69">
        <f>IF(G104="","",IF(G104&gt;=300,"✕ 要改善",IF(G104&gt;=200,"△ 注意","○ 良好")))</f>
        <v/>
      </c>
      <c r="K104" s="74" t="n"/>
    </row>
    <row r="105" ht="17" customHeight="1" s="438">
      <c r="A105" s="66" t="n">
        <v>101</v>
      </c>
      <c r="B105" s="67" t="n"/>
      <c r="C105" s="82" t="n"/>
      <c r="D105" s="9">
        <f>SUMIF(③スチコン工程入力!C5:C152,B105,③スチコン工程入力!I5:I152)</f>
        <v/>
      </c>
      <c r="E105" s="9">
        <f>SUMIF(③スチコン工程入力!C5:C152,B105,③スチコン工程入力!G5:G152)</f>
        <v/>
      </c>
      <c r="F105" s="9">
        <f>SUMIF(③スチコン工程入力!C5:C152,B105,③スチコン工程入力!M5:M152)</f>
        <v/>
      </c>
      <c r="G105" s="513">
        <f>IF(D105&gt;0,F105/D105,"")</f>
        <v/>
      </c>
      <c r="H105" s="7" t="n">
        <v>0</v>
      </c>
      <c r="I105" s="9">
        <f>IF(H105&gt;0,-F105-H105,"")</f>
        <v/>
      </c>
      <c r="J105" s="69">
        <f>IF(G105="","",IF(G105&gt;=300,"✕ 要改善",IF(G105&gt;=200,"△ 注意","○ 良好")))</f>
        <v/>
      </c>
      <c r="K105" s="70" t="n"/>
    </row>
    <row r="106" ht="17" customHeight="1" s="438">
      <c r="A106" s="71" t="n">
        <v>102</v>
      </c>
      <c r="B106" s="72" t="n"/>
      <c r="C106" s="81" t="n"/>
      <c r="D106" s="9">
        <f>SUMIF(③スチコン工程入力!C5:C152,B106,③スチコン工程入力!I5:I152)</f>
        <v/>
      </c>
      <c r="E106" s="9">
        <f>SUMIF(③スチコン工程入力!C5:C152,B106,③スチコン工程入力!G5:G152)</f>
        <v/>
      </c>
      <c r="F106" s="9">
        <f>SUMIF(③スチコン工程入力!C5:C152,B106,③スチコン工程入力!M5:M152)</f>
        <v/>
      </c>
      <c r="G106" s="513">
        <f>IF(D106&gt;0,F106/D106,"")</f>
        <v/>
      </c>
      <c r="H106" s="7" t="n">
        <v>0</v>
      </c>
      <c r="I106" s="9">
        <f>IF(H106&gt;0,-F106-H106,"")</f>
        <v/>
      </c>
      <c r="J106" s="69">
        <f>IF(G106="","",IF(G106&gt;=300,"✕ 要改善",IF(G106&gt;=200,"△ 注意","○ 良好")))</f>
        <v/>
      </c>
      <c r="K106" s="74" t="n"/>
    </row>
    <row r="107" ht="17" customHeight="1" s="438">
      <c r="A107" s="66" t="n">
        <v>103</v>
      </c>
      <c r="B107" s="67" t="n"/>
      <c r="C107" s="82" t="n"/>
      <c r="D107" s="9">
        <f>SUMIF(③スチコン工程入力!C5:C152,B107,③スチコン工程入力!I5:I152)</f>
        <v/>
      </c>
      <c r="E107" s="9">
        <f>SUMIF(③スチコン工程入力!C5:C152,B107,③スチコン工程入力!G5:G152)</f>
        <v/>
      </c>
      <c r="F107" s="9">
        <f>SUMIF(③スチコン工程入力!C5:C152,B107,③スチコン工程入力!M5:M152)</f>
        <v/>
      </c>
      <c r="G107" s="513">
        <f>IF(D107&gt;0,F107/D107,"")</f>
        <v/>
      </c>
      <c r="H107" s="7" t="n">
        <v>0</v>
      </c>
      <c r="I107" s="9">
        <f>IF(H107&gt;0,-F107-H107,"")</f>
        <v/>
      </c>
      <c r="J107" s="69">
        <f>IF(G107="","",IF(G107&gt;=300,"✕ 要改善",IF(G107&gt;=200,"△ 注意","○ 良好")))</f>
        <v/>
      </c>
      <c r="K107" s="70" t="n"/>
    </row>
    <row r="108" ht="17" customHeight="1" s="438">
      <c r="A108" s="71" t="n">
        <v>104</v>
      </c>
      <c r="B108" s="72" t="n"/>
      <c r="C108" s="81" t="n"/>
      <c r="D108" s="9">
        <f>SUMIF(③スチコン工程入力!C5:C152,B108,③スチコン工程入力!I5:I152)</f>
        <v/>
      </c>
      <c r="E108" s="9">
        <f>SUMIF(③スチコン工程入力!C5:C152,B108,③スチコン工程入力!G5:G152)</f>
        <v/>
      </c>
      <c r="F108" s="9">
        <f>SUMIF(③スチコン工程入力!C5:C152,B108,③スチコン工程入力!M5:M152)</f>
        <v/>
      </c>
      <c r="G108" s="513">
        <f>IF(D108&gt;0,F108/D108,"")</f>
        <v/>
      </c>
      <c r="H108" s="7" t="n">
        <v>0</v>
      </c>
      <c r="I108" s="9">
        <f>IF(H108&gt;0,-F108-H108,"")</f>
        <v/>
      </c>
      <c r="J108" s="69">
        <f>IF(G108="","",IF(G108&gt;=300,"✕ 要改善",IF(G108&gt;=200,"△ 注意","○ 良好")))</f>
        <v/>
      </c>
      <c r="K108" s="74" t="n"/>
    </row>
    <row r="109" ht="17" customHeight="1" s="438">
      <c r="A109" s="66" t="n">
        <v>105</v>
      </c>
      <c r="B109" s="67" t="n"/>
      <c r="C109" s="82" t="n"/>
      <c r="D109" s="9">
        <f>SUMIF(③スチコン工程入力!C5:C152,B109,③スチコン工程入力!I5:I152)</f>
        <v/>
      </c>
      <c r="E109" s="9">
        <f>SUMIF(③スチコン工程入力!C5:C152,B109,③スチコン工程入力!G5:G152)</f>
        <v/>
      </c>
      <c r="F109" s="9">
        <f>SUMIF(③スチコン工程入力!C5:C152,B109,③スチコン工程入力!M5:M152)</f>
        <v/>
      </c>
      <c r="G109" s="513">
        <f>IF(D109&gt;0,F109/D109,"")</f>
        <v/>
      </c>
      <c r="H109" s="7" t="n">
        <v>0</v>
      </c>
      <c r="I109" s="9">
        <f>IF(H109&gt;0,-F109-H109,"")</f>
        <v/>
      </c>
      <c r="J109" s="69">
        <f>IF(G109="","",IF(G109&gt;=300,"✕ 要改善",IF(G109&gt;=200,"△ 注意","○ 良好")))</f>
        <v/>
      </c>
      <c r="K109" s="70" t="n"/>
    </row>
    <row r="110" ht="17" customHeight="1" s="438">
      <c r="A110" s="464" t="inlineStr">
        <is>
          <t>◆ ZEN工程　中間品</t>
        </is>
      </c>
      <c r="B110" s="465" t="n"/>
      <c r="C110" s="465" t="n"/>
      <c r="D110" s="465" t="n"/>
      <c r="E110" s="465" t="n"/>
      <c r="F110" s="465" t="n"/>
      <c r="G110" s="465" t="n"/>
      <c r="H110" s="465" t="n"/>
      <c r="I110" s="465" t="n"/>
      <c r="J110" s="465" t="n"/>
      <c r="K110" s="466" t="n"/>
    </row>
    <row r="111" ht="17" customHeight="1" s="438">
      <c r="A111" s="66" t="n">
        <v>106</v>
      </c>
      <c r="B111" s="67">
        <f>IF(⑪ZEN工程入力!C5="","",⑪ZEN工程入力!C5)</f>
        <v/>
      </c>
      <c r="C111" s="82">
        <f>IF(⑪ZEN工程入力!B5="","",⑪ZEN工程入力!B5)</f>
        <v/>
      </c>
      <c r="D111" s="9">
        <f>IF(B111="","",⑪ZEN工程入力!I5)</f>
        <v/>
      </c>
      <c r="E111" s="9">
        <f>IF(B111="","",⑪ZEN工程入力!G5)</f>
        <v/>
      </c>
      <c r="F111" s="9">
        <f>IF(B111="","",⑪ZEN工程入力!M5)</f>
        <v/>
      </c>
      <c r="G111" s="513">
        <f>IF(AND(ISNUMBER(D111),ISNUMBER(F111),D111&gt;0),F111/D111,"")</f>
        <v/>
      </c>
      <c r="H111" s="7" t="n">
        <v>0</v>
      </c>
      <c r="I111" s="9">
        <f>IF(ISNUMBER(F111),-F111-H111,"")</f>
        <v/>
      </c>
      <c r="J111" s="69">
        <f>IF(G111="","",IF(G111&gt;=300,"✕ 要改善",IF(G111&gt;=200,"△ 注意","○ 良好")))</f>
        <v/>
      </c>
      <c r="K111" s="70" t="n"/>
    </row>
    <row r="112" ht="26" customHeight="1" s="438">
      <c r="A112" s="397" t="n">
        <v>107</v>
      </c>
      <c r="B112">
        <f>IF(⑪ZEN工程入力!C6="","",⑪ZEN工程入力!C6)</f>
        <v/>
      </c>
      <c r="C112">
        <f>IF(⑪ZEN工程入力!B6="","",⑪ZEN工程入力!B6)</f>
        <v/>
      </c>
      <c r="D112">
        <f>IF(B112="","",⑪ZEN工程入力!I6)</f>
        <v/>
      </c>
      <c r="E112">
        <f>IF(B112="","",⑪ZEN工程入力!G6)</f>
        <v/>
      </c>
      <c r="F112">
        <f>IF(B112="","",⑪ZEN工程入力!M6)</f>
        <v/>
      </c>
      <c r="G112">
        <f>IF(AND(ISNUMBER(D112),ISNUMBER(F112),D112&gt;0),F112/D112,"")</f>
        <v/>
      </c>
      <c r="H112" t="n">
        <v>0</v>
      </c>
      <c r="I112">
        <f>IF(ISNUMBER(F112),-F112-H112,"")</f>
        <v/>
      </c>
      <c r="J112">
        <f>IF(G112="","",IF(G112&gt;=300,"✕ 要改善",IF(G112&gt;=200,"△ 注意","○ 良好")))</f>
        <v/>
      </c>
    </row>
    <row r="113" ht="15" customHeight="1" s="438">
      <c r="A113" s="66" t="n">
        <v>108</v>
      </c>
      <c r="B113" s="67">
        <f>IF(⑪ZEN工程入力!C7="","",⑪ZEN工程入力!C7)</f>
        <v/>
      </c>
      <c r="C113" s="82">
        <f>IF(⑪ZEN工程入力!B7="","",⑪ZEN工程入力!B7)</f>
        <v/>
      </c>
      <c r="D113" s="9">
        <f>IF(B113="","",⑪ZEN工程入力!I7)</f>
        <v/>
      </c>
      <c r="E113" s="9">
        <f>IF(B113="","",⑪ZEN工程入力!G7)</f>
        <v/>
      </c>
      <c r="F113" s="9">
        <f>IF(B113="","",⑪ZEN工程入力!M7)</f>
        <v/>
      </c>
      <c r="G113" s="513">
        <f>IF(AND(ISNUMBER(D113),ISNUMBER(F113),D113&gt;0),F113/D113,"")</f>
        <v/>
      </c>
      <c r="H113" s="7" t="n">
        <v>0</v>
      </c>
      <c r="I113" s="9">
        <f>IF(ISNUMBER(F113),-F113-H113,"")</f>
        <v/>
      </c>
      <c r="J113" s="69">
        <f>IF(G113="","",IF(G113&gt;=300,"✕ 要改善",IF(G113&gt;=200,"△ 注意","○ 良好")))</f>
        <v/>
      </c>
      <c r="K113" s="70" t="n"/>
    </row>
    <row r="114" ht="15" customHeight="1" s="438">
      <c r="A114" s="397" t="n">
        <v>109</v>
      </c>
      <c r="B114">
        <f>IF(⑪ZEN工程入力!C8="","",⑪ZEN工程入力!C8)</f>
        <v/>
      </c>
      <c r="C114">
        <f>IF(⑪ZEN工程入力!B8="","",⑪ZEN工程入力!B8)</f>
        <v/>
      </c>
      <c r="D114">
        <f>IF(B114="","",⑪ZEN工程入力!I8)</f>
        <v/>
      </c>
      <c r="E114">
        <f>IF(B114="","",⑪ZEN工程入力!G8)</f>
        <v/>
      </c>
      <c r="F114">
        <f>IF(B114="","",⑪ZEN工程入力!M8)</f>
        <v/>
      </c>
      <c r="G114">
        <f>IF(AND(ISNUMBER(D114),ISNUMBER(F114),D114&gt;0),F114/D114,"")</f>
        <v/>
      </c>
      <c r="H114" t="n">
        <v>0</v>
      </c>
      <c r="I114">
        <f>IF(ISNUMBER(F114),-F114-H114,"")</f>
        <v/>
      </c>
      <c r="J114">
        <f>IF(G114="","",IF(G114&gt;=300,"✕ 要改善",IF(G114&gt;=200,"△ 注意","○ 良好")))</f>
        <v/>
      </c>
    </row>
    <row r="115" ht="15" customHeight="1" s="438">
      <c r="A115" s="66" t="n">
        <v>110</v>
      </c>
      <c r="B115" s="67">
        <f>IF(⑪ZEN工程入力!C9="","",⑪ZEN工程入力!C9)</f>
        <v/>
      </c>
      <c r="C115" s="82">
        <f>IF(⑪ZEN工程入力!B9="","",⑪ZEN工程入力!B9)</f>
        <v/>
      </c>
      <c r="D115" s="9">
        <f>IF(B115="","",⑪ZEN工程入力!I9)</f>
        <v/>
      </c>
      <c r="E115" s="9">
        <f>IF(B115="","",⑪ZEN工程入力!G9)</f>
        <v/>
      </c>
      <c r="F115" s="9">
        <f>IF(B115="","",⑪ZEN工程入力!M9)</f>
        <v/>
      </c>
      <c r="G115" s="513">
        <f>IF(AND(ISNUMBER(D115),ISNUMBER(F115),D115&gt;0),F115/D115,"")</f>
        <v/>
      </c>
      <c r="H115" s="7" t="n">
        <v>0</v>
      </c>
      <c r="I115" s="9">
        <f>IF(ISNUMBER(F115),-F115-H115,"")</f>
        <v/>
      </c>
      <c r="J115" s="69">
        <f>IF(G115="","",IF(G115&gt;=300,"✕ 要改善",IF(G115&gt;=200,"△ 注意","○ 良好")))</f>
        <v/>
      </c>
      <c r="K115" s="70" t="n"/>
    </row>
    <row r="116" ht="15" customHeight="1" s="438">
      <c r="A116" s="397" t="n">
        <v>111</v>
      </c>
      <c r="B116">
        <f>IF(⑪ZEN工程入力!C10="","",⑪ZEN工程入力!C10)</f>
        <v/>
      </c>
      <c r="C116">
        <f>IF(⑪ZEN工程入力!B10="","",⑪ZEN工程入力!B10)</f>
        <v/>
      </c>
      <c r="D116">
        <f>IF(B116="","",⑪ZEN工程入力!I10)</f>
        <v/>
      </c>
      <c r="E116">
        <f>IF(B116="","",⑪ZEN工程入力!G10)</f>
        <v/>
      </c>
      <c r="F116">
        <f>IF(B116="","",⑪ZEN工程入力!M10)</f>
        <v/>
      </c>
      <c r="G116">
        <f>IF(AND(ISNUMBER(D116),ISNUMBER(F116),D116&gt;0),F116/D116,"")</f>
        <v/>
      </c>
      <c r="H116" t="n">
        <v>0</v>
      </c>
      <c r="I116">
        <f>IF(ISNUMBER(F116),-F116-H116,"")</f>
        <v/>
      </c>
      <c r="J116">
        <f>IF(G116="","",IF(G116&gt;=300,"✕ 要改善",IF(G116&gt;=200,"△ 注意","○ 良好")))</f>
        <v/>
      </c>
    </row>
    <row r="117" ht="15" customHeight="1" s="438">
      <c r="A117" s="66" t="n">
        <v>112</v>
      </c>
      <c r="B117" s="67">
        <f>IF(⑪ZEN工程入力!C11="","",⑪ZEN工程入力!C11)</f>
        <v/>
      </c>
      <c r="C117" s="82">
        <f>IF(⑪ZEN工程入力!B11="","",⑪ZEN工程入力!B11)</f>
        <v/>
      </c>
      <c r="D117" s="9">
        <f>IF(B117="","",⑪ZEN工程入力!I11)</f>
        <v/>
      </c>
      <c r="E117" s="9">
        <f>IF(B117="","",⑪ZEN工程入力!G11)</f>
        <v/>
      </c>
      <c r="F117" s="9">
        <f>IF(B117="","",⑪ZEN工程入力!M11)</f>
        <v/>
      </c>
      <c r="G117" s="513">
        <f>IF(AND(ISNUMBER(D117),ISNUMBER(F117),D117&gt;0),F117/D117,"")</f>
        <v/>
      </c>
      <c r="H117" s="7" t="n">
        <v>0</v>
      </c>
      <c r="I117" s="9">
        <f>IF(ISNUMBER(F117),-F117-H117,"")</f>
        <v/>
      </c>
      <c r="J117" s="69">
        <f>IF(G117="","",IF(G117&gt;=300,"✕ 要改善",IF(G117&gt;=200,"△ 注意","○ 良好")))</f>
        <v/>
      </c>
      <c r="K117" s="70" t="n"/>
    </row>
    <row r="118" ht="15" customHeight="1" s="438">
      <c r="A118" s="397" t="n">
        <v>113</v>
      </c>
      <c r="B118">
        <f>IF(⑪ZEN工程入力!C12="","",⑪ZEN工程入力!C12)</f>
        <v/>
      </c>
      <c r="C118">
        <f>IF(⑪ZEN工程入力!B12="","",⑪ZEN工程入力!B12)</f>
        <v/>
      </c>
      <c r="D118">
        <f>IF(B118="","",⑪ZEN工程入力!I12)</f>
        <v/>
      </c>
      <c r="E118">
        <f>IF(B118="","",⑪ZEN工程入力!G12)</f>
        <v/>
      </c>
      <c r="F118">
        <f>IF(B118="","",⑪ZEN工程入力!M12)</f>
        <v/>
      </c>
      <c r="G118">
        <f>IF(AND(ISNUMBER(D118),ISNUMBER(F118),D118&gt;0),F118/D118,"")</f>
        <v/>
      </c>
      <c r="H118" t="n">
        <v>0</v>
      </c>
      <c r="I118">
        <f>IF(ISNUMBER(F118),-F118-H118,"")</f>
        <v/>
      </c>
      <c r="J118">
        <f>IF(G118="","",IF(G118&gt;=300,"✕ 要改善",IF(G118&gt;=200,"△ 注意","○ 良好")))</f>
        <v/>
      </c>
    </row>
    <row r="119" ht="15" customHeight="1" s="438">
      <c r="A119" s="66" t="n">
        <v>114</v>
      </c>
      <c r="B119" s="67">
        <f>IF(⑪ZEN工程入力!C13="","",⑪ZEN工程入力!C13)</f>
        <v/>
      </c>
      <c r="C119" s="82">
        <f>IF(⑪ZEN工程入力!B13="","",⑪ZEN工程入力!B13)</f>
        <v/>
      </c>
      <c r="D119" s="9">
        <f>IF(B119="","",⑪ZEN工程入力!I13)</f>
        <v/>
      </c>
      <c r="E119" s="9">
        <f>IF(B119="","",⑪ZEN工程入力!G13)</f>
        <v/>
      </c>
      <c r="F119" s="9">
        <f>IF(B119="","",⑪ZEN工程入力!M13)</f>
        <v/>
      </c>
      <c r="G119" s="513">
        <f>IF(AND(ISNUMBER(D119),ISNUMBER(F119),D119&gt;0),F119/D119,"")</f>
        <v/>
      </c>
      <c r="H119" s="7" t="n">
        <v>0</v>
      </c>
      <c r="I119" s="9">
        <f>IF(ISNUMBER(F119),-F119-H119,"")</f>
        <v/>
      </c>
      <c r="J119" s="69">
        <f>IF(G119="","",IF(G119&gt;=300,"✕ 要改善",IF(G119&gt;=200,"△ 注意","○ 良好")))</f>
        <v/>
      </c>
      <c r="K119" s="70" t="n"/>
    </row>
    <row r="120" ht="15" customHeight="1" s="438">
      <c r="A120" s="397" t="n">
        <v>115</v>
      </c>
      <c r="B120">
        <f>IF(⑪ZEN工程入力!C14="","",⑪ZEN工程入力!C14)</f>
        <v/>
      </c>
      <c r="C120">
        <f>IF(⑪ZEN工程入力!B14="","",⑪ZEN工程入力!B14)</f>
        <v/>
      </c>
      <c r="D120">
        <f>IF(B120="","",⑪ZEN工程入力!I14)</f>
        <v/>
      </c>
      <c r="E120">
        <f>IF(B120="","",⑪ZEN工程入力!G14)</f>
        <v/>
      </c>
      <c r="F120">
        <f>IF(B120="","",⑪ZEN工程入力!M14)</f>
        <v/>
      </c>
      <c r="G120">
        <f>IF(AND(ISNUMBER(D120),ISNUMBER(F120),D120&gt;0),F120/D120,"")</f>
        <v/>
      </c>
      <c r="H120" t="n">
        <v>0</v>
      </c>
      <c r="I120">
        <f>IF(ISNUMBER(F120),-F120-H120,"")</f>
        <v/>
      </c>
      <c r="J120">
        <f>IF(G120="","",IF(G120&gt;=300,"✕ 要改善",IF(G120&gt;=200,"△ 注意","○ 良好")))</f>
        <v/>
      </c>
    </row>
    <row r="121" ht="15" customHeight="1" s="438">
      <c r="A121" s="66" t="n">
        <v>116</v>
      </c>
      <c r="B121" s="67">
        <f>IF(⑪ZEN工程入力!C15="","",⑪ZEN工程入力!C15)</f>
        <v/>
      </c>
      <c r="C121" s="82">
        <f>IF(⑪ZEN工程入力!B15="","",⑪ZEN工程入力!B15)</f>
        <v/>
      </c>
      <c r="D121" s="9">
        <f>IF(B121="","",⑪ZEN工程入力!I15)</f>
        <v/>
      </c>
      <c r="E121" s="9">
        <f>IF(B121="","",⑪ZEN工程入力!G15)</f>
        <v/>
      </c>
      <c r="F121" s="9">
        <f>IF(B121="","",⑪ZEN工程入力!M15)</f>
        <v/>
      </c>
      <c r="G121" s="513">
        <f>IF(AND(ISNUMBER(D121),ISNUMBER(F121),D121&gt;0),F121/D121,"")</f>
        <v/>
      </c>
      <c r="H121" s="7" t="n">
        <v>0</v>
      </c>
      <c r="I121" s="9">
        <f>IF(ISNUMBER(F121),-F121-H121,"")</f>
        <v/>
      </c>
      <c r="J121" s="69">
        <f>IF(G121="","",IF(G121&gt;=300,"✕ 要改善",IF(G121&gt;=200,"△ 注意","○ 良好")))</f>
        <v/>
      </c>
      <c r="K121" s="70" t="n"/>
    </row>
    <row r="122" ht="15" customHeight="1" s="438">
      <c r="A122" s="397" t="n">
        <v>117</v>
      </c>
      <c r="B122">
        <f>IF(⑪ZEN工程入力!C16="","",⑪ZEN工程入力!C16)</f>
        <v/>
      </c>
      <c r="C122">
        <f>IF(⑪ZEN工程入力!B16="","",⑪ZEN工程入力!B16)</f>
        <v/>
      </c>
      <c r="D122">
        <f>IF(B122="","",⑪ZEN工程入力!I16)</f>
        <v/>
      </c>
      <c r="E122">
        <f>IF(B122="","",⑪ZEN工程入力!G16)</f>
        <v/>
      </c>
      <c r="F122">
        <f>IF(B122="","",⑪ZEN工程入力!M16)</f>
        <v/>
      </c>
      <c r="G122">
        <f>IF(AND(ISNUMBER(D122),ISNUMBER(F122),D122&gt;0),F122/D122,"")</f>
        <v/>
      </c>
      <c r="H122" t="n">
        <v>0</v>
      </c>
      <c r="I122">
        <f>IF(ISNUMBER(F122),-F122-H122,"")</f>
        <v/>
      </c>
      <c r="J122">
        <f>IF(G122="","",IF(G122&gt;=300,"✕ 要改善",IF(G122&gt;=200,"△ 注意","○ 良好")))</f>
        <v/>
      </c>
    </row>
    <row r="123" ht="15" customHeight="1" s="438">
      <c r="A123" s="66" t="n">
        <v>118</v>
      </c>
      <c r="B123" s="67">
        <f>IF(⑪ZEN工程入力!C17="","",⑪ZEN工程入力!C17)</f>
        <v/>
      </c>
      <c r="C123" s="82">
        <f>IF(⑪ZEN工程入力!B17="","",⑪ZEN工程入力!B17)</f>
        <v/>
      </c>
      <c r="D123" s="9">
        <f>IF(B123="","",⑪ZEN工程入力!I17)</f>
        <v/>
      </c>
      <c r="E123" s="9">
        <f>IF(B123="","",⑪ZEN工程入力!G17)</f>
        <v/>
      </c>
      <c r="F123" s="9">
        <f>IF(B123="","",⑪ZEN工程入力!M17)</f>
        <v/>
      </c>
      <c r="G123" s="513">
        <f>IF(AND(ISNUMBER(D123),ISNUMBER(F123),D123&gt;0),F123/D123,"")</f>
        <v/>
      </c>
      <c r="H123" s="7" t="n">
        <v>0</v>
      </c>
      <c r="I123" s="9">
        <f>IF(ISNUMBER(F123),-F123-H123,"")</f>
        <v/>
      </c>
      <c r="J123" s="69">
        <f>IF(G123="","",IF(G123&gt;=300,"✕ 要改善",IF(G123&gt;=200,"△ 注意","○ 良好")))</f>
        <v/>
      </c>
      <c r="K123" s="70" t="n"/>
    </row>
    <row r="124" ht="15" customHeight="1" s="438">
      <c r="A124" s="397" t="n">
        <v>119</v>
      </c>
      <c r="B124">
        <f>IF(⑪ZEN工程入力!C18="","",⑪ZEN工程入力!C18)</f>
        <v/>
      </c>
      <c r="C124">
        <f>IF(⑪ZEN工程入力!B18="","",⑪ZEN工程入力!B18)</f>
        <v/>
      </c>
      <c r="D124">
        <f>IF(B124="","",⑪ZEN工程入力!I18)</f>
        <v/>
      </c>
      <c r="E124">
        <f>IF(B124="","",⑪ZEN工程入力!G18)</f>
        <v/>
      </c>
      <c r="F124">
        <f>IF(B124="","",⑪ZEN工程入力!M18)</f>
        <v/>
      </c>
      <c r="G124">
        <f>IF(AND(ISNUMBER(D124),ISNUMBER(F124),D124&gt;0),F124/D124,"")</f>
        <v/>
      </c>
      <c r="H124" t="n">
        <v>0</v>
      </c>
      <c r="I124">
        <f>IF(ISNUMBER(F124),-F124-H124,"")</f>
        <v/>
      </c>
      <c r="J124">
        <f>IF(G124="","",IF(G124&gt;=300,"✕ 要改善",IF(G124&gt;=200,"△ 注意","○ 良好")))</f>
        <v/>
      </c>
    </row>
    <row r="125" ht="15" customHeight="1" s="438">
      <c r="A125" s="66" t="n">
        <v>120</v>
      </c>
      <c r="B125" s="67">
        <f>IF(⑪ZEN工程入力!C19="","",⑪ZEN工程入力!C19)</f>
        <v/>
      </c>
      <c r="C125" s="82">
        <f>IF(⑪ZEN工程入力!B19="","",⑪ZEN工程入力!B19)</f>
        <v/>
      </c>
      <c r="D125" s="9">
        <f>IF(B125="","",⑪ZEN工程入力!I19)</f>
        <v/>
      </c>
      <c r="E125" s="9">
        <f>IF(B125="","",⑪ZEN工程入力!G19)</f>
        <v/>
      </c>
      <c r="F125" s="9">
        <f>IF(B125="","",⑪ZEN工程入力!M19)</f>
        <v/>
      </c>
      <c r="G125" s="513">
        <f>IF(AND(ISNUMBER(D125),ISNUMBER(F125),D125&gt;0),F125/D125,"")</f>
        <v/>
      </c>
      <c r="H125" s="7" t="n">
        <v>0</v>
      </c>
      <c r="I125" s="9">
        <f>IF(ISNUMBER(F125),-F125-H125,"")</f>
        <v/>
      </c>
      <c r="J125" s="69">
        <f>IF(G125="","",IF(G125&gt;=300,"✕ 要改善",IF(G125&gt;=200,"△ 注意","○ 良好")))</f>
        <v/>
      </c>
      <c r="K125" s="70" t="n"/>
    </row>
    <row r="126" ht="15" customHeight="1" s="438">
      <c r="A126" s="397" t="n">
        <v>121</v>
      </c>
      <c r="B126">
        <f>IF(⑪ZEN工程入力!C20="","",⑪ZEN工程入力!C20)</f>
        <v/>
      </c>
      <c r="C126">
        <f>IF(⑪ZEN工程入力!B20="","",⑪ZEN工程入力!B20)</f>
        <v/>
      </c>
      <c r="D126">
        <f>IF(B126="","",⑪ZEN工程入力!I20)</f>
        <v/>
      </c>
      <c r="E126">
        <f>IF(B126="","",⑪ZEN工程入力!G20)</f>
        <v/>
      </c>
      <c r="F126">
        <f>IF(B126="","",⑪ZEN工程入力!M20)</f>
        <v/>
      </c>
      <c r="G126">
        <f>IF(AND(ISNUMBER(D126),ISNUMBER(F126),D126&gt;0),F126/D126,"")</f>
        <v/>
      </c>
      <c r="H126" t="n">
        <v>0</v>
      </c>
      <c r="I126">
        <f>IF(ISNUMBER(F126),-F126-H126,"")</f>
        <v/>
      </c>
      <c r="J126">
        <f>IF(G126="","",IF(G126&gt;=300,"✕ 要改善",IF(G126&gt;=200,"△ 注意","○ 良好")))</f>
        <v/>
      </c>
    </row>
    <row r="127" ht="15" customHeight="1" s="438">
      <c r="A127" s="66" t="n">
        <v>122</v>
      </c>
      <c r="B127" s="67">
        <f>IF(⑪ZEN工程入力!C21="","",⑪ZEN工程入力!C21)</f>
        <v/>
      </c>
      <c r="C127" s="82">
        <f>IF(⑪ZEN工程入力!B21="","",⑪ZEN工程入力!B21)</f>
        <v/>
      </c>
      <c r="D127" s="9">
        <f>IF(B127="","",⑪ZEN工程入力!I21)</f>
        <v/>
      </c>
      <c r="E127" s="9">
        <f>IF(B127="","",⑪ZEN工程入力!G21)</f>
        <v/>
      </c>
      <c r="F127" s="9">
        <f>IF(B127="","",⑪ZEN工程入力!M21)</f>
        <v/>
      </c>
      <c r="G127" s="513">
        <f>IF(AND(ISNUMBER(D127),ISNUMBER(F127),D127&gt;0),F127/D127,"")</f>
        <v/>
      </c>
      <c r="H127" s="7" t="n">
        <v>0</v>
      </c>
      <c r="I127" s="9">
        <f>IF(ISNUMBER(F127),-F127-H127,"")</f>
        <v/>
      </c>
      <c r="J127" s="69">
        <f>IF(G127="","",IF(G127&gt;=300,"✕ 要改善",IF(G127&gt;=200,"△ 注意","○ 良好")))</f>
        <v/>
      </c>
      <c r="K127" s="70" t="n"/>
    </row>
    <row r="128" ht="15" customHeight="1" s="438">
      <c r="A128" s="397" t="n">
        <v>123</v>
      </c>
      <c r="B128">
        <f>IF(⑪ZEN工程入力!C22="","",⑪ZEN工程入力!C22)</f>
        <v/>
      </c>
      <c r="C128">
        <f>IF(⑪ZEN工程入力!B22="","",⑪ZEN工程入力!B22)</f>
        <v/>
      </c>
      <c r="D128">
        <f>IF(B128="","",⑪ZEN工程入力!I22)</f>
        <v/>
      </c>
      <c r="E128">
        <f>IF(B128="","",⑪ZEN工程入力!G22)</f>
        <v/>
      </c>
      <c r="F128">
        <f>IF(B128="","",⑪ZEN工程入力!M22)</f>
        <v/>
      </c>
      <c r="G128">
        <f>IF(AND(ISNUMBER(D128),ISNUMBER(F128),D128&gt;0),F128/D128,"")</f>
        <v/>
      </c>
      <c r="H128" t="n">
        <v>0</v>
      </c>
      <c r="I128">
        <f>IF(ISNUMBER(F128),-F128-H128,"")</f>
        <v/>
      </c>
      <c r="J128">
        <f>IF(G128="","",IF(G128&gt;=300,"✕ 要改善",IF(G128&gt;=200,"△ 注意","○ 良好")))</f>
        <v/>
      </c>
    </row>
    <row r="129" ht="15" customHeight="1" s="438">
      <c r="A129" s="66" t="n">
        <v>124</v>
      </c>
      <c r="B129" s="67">
        <f>IF(⑪ZEN工程入力!C23="","",⑪ZEN工程入力!C23)</f>
        <v/>
      </c>
      <c r="C129" s="82">
        <f>IF(⑪ZEN工程入力!B23="","",⑪ZEN工程入力!B23)</f>
        <v/>
      </c>
      <c r="D129" s="9">
        <f>IF(B129="","",⑪ZEN工程入力!I23)</f>
        <v/>
      </c>
      <c r="E129" s="9">
        <f>IF(B129="","",⑪ZEN工程入力!G23)</f>
        <v/>
      </c>
      <c r="F129" s="9">
        <f>IF(B129="","",⑪ZEN工程入力!M23)</f>
        <v/>
      </c>
      <c r="G129" s="513">
        <f>IF(AND(ISNUMBER(D129),ISNUMBER(F129),D129&gt;0),F129/D129,"")</f>
        <v/>
      </c>
      <c r="H129" s="7" t="n">
        <v>0</v>
      </c>
      <c r="I129" s="9">
        <f>IF(ISNUMBER(F129),-F129-H129,"")</f>
        <v/>
      </c>
      <c r="J129" s="69">
        <f>IF(G129="","",IF(G129&gt;=300,"✕ 要改善",IF(G129&gt;=200,"△ 注意","○ 良好")))</f>
        <v/>
      </c>
      <c r="K129" s="70" t="n"/>
    </row>
    <row r="130" ht="15" customHeight="1" s="438">
      <c r="A130" s="397" t="n">
        <v>125</v>
      </c>
      <c r="B130">
        <f>IF(⑪ZEN工程入力!C24="","",⑪ZEN工程入力!C24)</f>
        <v/>
      </c>
      <c r="C130">
        <f>IF(⑪ZEN工程入力!B24="","",⑪ZEN工程入力!B24)</f>
        <v/>
      </c>
      <c r="D130">
        <f>IF(B130="","",⑪ZEN工程入力!I24)</f>
        <v/>
      </c>
      <c r="E130">
        <f>IF(B130="","",⑪ZEN工程入力!G24)</f>
        <v/>
      </c>
      <c r="F130">
        <f>IF(B130="","",⑪ZEN工程入力!M24)</f>
        <v/>
      </c>
      <c r="G130">
        <f>IF(AND(ISNUMBER(D130),ISNUMBER(F130),D130&gt;0),F130/D130,"")</f>
        <v/>
      </c>
      <c r="H130" t="n">
        <v>0</v>
      </c>
      <c r="I130">
        <f>IF(ISNUMBER(F130),-F130-H130,"")</f>
        <v/>
      </c>
      <c r="J130">
        <f>IF(G130="","",IF(G130&gt;=300,"✕ 要改善",IF(G130&gt;=200,"△ 注意","○ 良好")))</f>
        <v/>
      </c>
    </row>
    <row r="131" ht="15" customHeight="1" s="438">
      <c r="A131" s="66" t="n">
        <v>126</v>
      </c>
      <c r="B131" s="67">
        <f>IF(⑪ZEN工程入力!C25="","",⑪ZEN工程入力!C25)</f>
        <v/>
      </c>
      <c r="C131" s="82">
        <f>IF(⑪ZEN工程入力!B25="","",⑪ZEN工程入力!B25)</f>
        <v/>
      </c>
      <c r="D131" s="9">
        <f>IF(B131="","",⑪ZEN工程入力!I25)</f>
        <v/>
      </c>
      <c r="E131" s="9">
        <f>IF(B131="","",⑪ZEN工程入力!G25)</f>
        <v/>
      </c>
      <c r="F131" s="9">
        <f>IF(B131="","",⑪ZEN工程入力!M25)</f>
        <v/>
      </c>
      <c r="G131" s="513">
        <f>IF(AND(ISNUMBER(D131),ISNUMBER(F131),D131&gt;0),F131/D131,"")</f>
        <v/>
      </c>
      <c r="H131" s="7" t="n">
        <v>0</v>
      </c>
      <c r="I131" s="9">
        <f>IF(ISNUMBER(F131),-F131-H131,"")</f>
        <v/>
      </c>
      <c r="J131" s="69">
        <f>IF(G131="","",IF(G131&gt;=300,"✕ 要改善",IF(G131&gt;=200,"△ 注意","○ 良好")))</f>
        <v/>
      </c>
      <c r="K131" s="70" t="n"/>
    </row>
    <row r="132" ht="15" customHeight="1" s="438">
      <c r="A132" s="397" t="n">
        <v>127</v>
      </c>
      <c r="B132">
        <f>IF(⑪ZEN工程入力!C26="","",⑪ZEN工程入力!C26)</f>
        <v/>
      </c>
      <c r="C132">
        <f>IF(⑪ZEN工程入力!B26="","",⑪ZEN工程入力!B26)</f>
        <v/>
      </c>
      <c r="D132">
        <f>IF(B132="","",⑪ZEN工程入力!I26)</f>
        <v/>
      </c>
      <c r="E132">
        <f>IF(B132="","",⑪ZEN工程入力!G26)</f>
        <v/>
      </c>
      <c r="F132">
        <f>IF(B132="","",⑪ZEN工程入力!M26)</f>
        <v/>
      </c>
      <c r="G132">
        <f>IF(AND(ISNUMBER(D132),ISNUMBER(F132),D132&gt;0),F132/D132,"")</f>
        <v/>
      </c>
      <c r="H132" t="n">
        <v>0</v>
      </c>
      <c r="I132">
        <f>IF(ISNUMBER(F132),-F132-H132,"")</f>
        <v/>
      </c>
      <c r="J132">
        <f>IF(G132="","",IF(G132&gt;=300,"✕ 要改善",IF(G132&gt;=200,"△ 注意","○ 良好")))</f>
        <v/>
      </c>
    </row>
    <row r="133" ht="15" customHeight="1" s="438">
      <c r="A133" s="66" t="n">
        <v>128</v>
      </c>
      <c r="B133" s="67">
        <f>IF(⑪ZEN工程入力!C27="","",⑪ZEN工程入力!C27)</f>
        <v/>
      </c>
      <c r="C133" s="82">
        <f>IF(⑪ZEN工程入力!B27="","",⑪ZEN工程入力!B27)</f>
        <v/>
      </c>
      <c r="D133" s="9">
        <f>IF(B133="","",⑪ZEN工程入力!I27)</f>
        <v/>
      </c>
      <c r="E133" s="9">
        <f>IF(B133="","",⑪ZEN工程入力!G27)</f>
        <v/>
      </c>
      <c r="F133" s="9">
        <f>IF(B133="","",⑪ZEN工程入力!M27)</f>
        <v/>
      </c>
      <c r="G133" s="513">
        <f>IF(AND(ISNUMBER(D133),ISNUMBER(F133),D133&gt;0),F133/D133,"")</f>
        <v/>
      </c>
      <c r="H133" s="7" t="n">
        <v>0</v>
      </c>
      <c r="I133" s="9">
        <f>IF(ISNUMBER(F133),-F133-H133,"")</f>
        <v/>
      </c>
      <c r="J133" s="69">
        <f>IF(G133="","",IF(G133&gt;=300,"✕ 要改善",IF(G133&gt;=200,"△ 注意","○ 良好")))</f>
        <v/>
      </c>
      <c r="K133" s="70" t="n"/>
    </row>
    <row r="134" ht="15" customHeight="1" s="438">
      <c r="A134" s="397" t="n">
        <v>129</v>
      </c>
      <c r="B134">
        <f>IF(⑪ZEN工程入力!C28="","",⑪ZEN工程入力!C28)</f>
        <v/>
      </c>
      <c r="C134">
        <f>IF(⑪ZEN工程入力!B28="","",⑪ZEN工程入力!B28)</f>
        <v/>
      </c>
      <c r="D134">
        <f>IF(B134="","",⑪ZEN工程入力!I28)</f>
        <v/>
      </c>
      <c r="E134">
        <f>IF(B134="","",⑪ZEN工程入力!G28)</f>
        <v/>
      </c>
      <c r="F134">
        <f>IF(B134="","",⑪ZEN工程入力!M28)</f>
        <v/>
      </c>
      <c r="G134">
        <f>IF(AND(ISNUMBER(D134),ISNUMBER(F134),D134&gt;0),F134/D134,"")</f>
        <v/>
      </c>
      <c r="H134" t="n">
        <v>0</v>
      </c>
      <c r="I134">
        <f>IF(ISNUMBER(F134),-F134-H134,"")</f>
        <v/>
      </c>
      <c r="J134">
        <f>IF(G134="","",IF(G134&gt;=300,"✕ 要改善",IF(G134&gt;=200,"△ 注意","○ 良好")))</f>
        <v/>
      </c>
    </row>
    <row r="135" ht="15" customHeight="1" s="438">
      <c r="A135" s="66" t="n">
        <v>130</v>
      </c>
      <c r="B135" s="67">
        <f>IF(⑪ZEN工程入力!C29="","",⑪ZEN工程入力!C29)</f>
        <v/>
      </c>
      <c r="C135" s="82">
        <f>IF(⑪ZEN工程入力!B29="","",⑪ZEN工程入力!B29)</f>
        <v/>
      </c>
      <c r="D135" s="9">
        <f>IF(B135="","",⑪ZEN工程入力!I29)</f>
        <v/>
      </c>
      <c r="E135" s="9">
        <f>IF(B135="","",⑪ZEN工程入力!G29)</f>
        <v/>
      </c>
      <c r="F135" s="9">
        <f>IF(B135="","",⑪ZEN工程入力!M29)</f>
        <v/>
      </c>
      <c r="G135" s="513">
        <f>IF(AND(ISNUMBER(D135),ISNUMBER(F135),D135&gt;0),F135/D135,"")</f>
        <v/>
      </c>
      <c r="H135" s="7" t="n">
        <v>0</v>
      </c>
      <c r="I135" s="9">
        <f>IF(ISNUMBER(F135),-F135-H135,"")</f>
        <v/>
      </c>
      <c r="J135" s="69">
        <f>IF(G135="","",IF(G135&gt;=300,"✕ 要改善",IF(G135&gt;=200,"△ 注意","○ 良好")))</f>
        <v/>
      </c>
      <c r="K135" s="70" t="n"/>
    </row>
    <row r="136" ht="15" customHeight="1" s="438">
      <c r="A136" s="397" t="n">
        <v>131</v>
      </c>
      <c r="B136">
        <f>IF(⑪ZEN工程入力!C30="","",⑪ZEN工程入力!C30)</f>
        <v/>
      </c>
      <c r="C136">
        <f>IF(⑪ZEN工程入力!B30="","",⑪ZEN工程入力!B30)</f>
        <v/>
      </c>
      <c r="D136">
        <f>IF(B136="","",⑪ZEN工程入力!I30)</f>
        <v/>
      </c>
      <c r="E136">
        <f>IF(B136="","",⑪ZEN工程入力!G30)</f>
        <v/>
      </c>
      <c r="F136">
        <f>IF(B136="","",⑪ZEN工程入力!M30)</f>
        <v/>
      </c>
      <c r="G136">
        <f>IF(AND(ISNUMBER(D136),ISNUMBER(F136),D136&gt;0),F136/D136,"")</f>
        <v/>
      </c>
      <c r="H136" t="n">
        <v>0</v>
      </c>
      <c r="I136">
        <f>IF(ISNUMBER(F136),-F136-H136,"")</f>
        <v/>
      </c>
      <c r="J136">
        <f>IF(G136="","",IF(G136&gt;=300,"✕ 要改善",IF(G136&gt;=200,"△ 注意","○ 良好")))</f>
        <v/>
      </c>
    </row>
    <row r="137" ht="15" customHeight="1" s="438">
      <c r="A137" s="66" t="n">
        <v>132</v>
      </c>
      <c r="B137" s="67">
        <f>IF(⑪ZEN工程入力!C31="","",⑪ZEN工程入力!C31)</f>
        <v/>
      </c>
      <c r="C137" s="82">
        <f>IF(⑪ZEN工程入力!B31="","",⑪ZEN工程入力!B31)</f>
        <v/>
      </c>
      <c r="D137" s="9">
        <f>IF(B137="","",⑪ZEN工程入力!I31)</f>
        <v/>
      </c>
      <c r="E137" s="9">
        <f>IF(B137="","",⑪ZEN工程入力!G31)</f>
        <v/>
      </c>
      <c r="F137" s="9">
        <f>IF(B137="","",⑪ZEN工程入力!M31)</f>
        <v/>
      </c>
      <c r="G137" s="513">
        <f>IF(AND(ISNUMBER(D137),ISNUMBER(F137),D137&gt;0),F137/D137,"")</f>
        <v/>
      </c>
      <c r="H137" s="7" t="n">
        <v>0</v>
      </c>
      <c r="I137" s="9">
        <f>IF(ISNUMBER(F137),-F137-H137,"")</f>
        <v/>
      </c>
      <c r="J137" s="69">
        <f>IF(G137="","",IF(G137&gt;=300,"✕ 要改善",IF(G137&gt;=200,"△ 注意","○ 良好")))</f>
        <v/>
      </c>
      <c r="K137" s="70" t="n"/>
    </row>
    <row r="138" ht="15" customHeight="1" s="438">
      <c r="A138" s="397" t="n">
        <v>133</v>
      </c>
      <c r="B138">
        <f>IF(⑪ZEN工程入力!C32="","",⑪ZEN工程入力!C32)</f>
        <v/>
      </c>
      <c r="C138">
        <f>IF(⑪ZEN工程入力!B32="","",⑪ZEN工程入力!B32)</f>
        <v/>
      </c>
      <c r="D138">
        <f>IF(B138="","",⑪ZEN工程入力!I32)</f>
        <v/>
      </c>
      <c r="E138">
        <f>IF(B138="","",⑪ZEN工程入力!G32)</f>
        <v/>
      </c>
      <c r="F138">
        <f>IF(B138="","",⑪ZEN工程入力!M32)</f>
        <v/>
      </c>
      <c r="G138">
        <f>IF(AND(ISNUMBER(D138),ISNUMBER(F138),D138&gt;0),F138/D138,"")</f>
        <v/>
      </c>
      <c r="H138" t="n">
        <v>0</v>
      </c>
      <c r="I138">
        <f>IF(ISNUMBER(F138),-F138-H138,"")</f>
        <v/>
      </c>
      <c r="J138">
        <f>IF(G138="","",IF(G138&gt;=300,"✕ 要改善",IF(G138&gt;=200,"△ 注意","○ 良好")))</f>
        <v/>
      </c>
    </row>
    <row r="139" ht="15" customHeight="1" s="438">
      <c r="A139" s="66" t="n">
        <v>134</v>
      </c>
      <c r="B139" s="67">
        <f>IF(⑪ZEN工程入力!C33="","",⑪ZEN工程入力!C33)</f>
        <v/>
      </c>
      <c r="C139" s="82">
        <f>IF(⑪ZEN工程入力!B33="","",⑪ZEN工程入力!B33)</f>
        <v/>
      </c>
      <c r="D139" s="9">
        <f>IF(B139="","",⑪ZEN工程入力!I33)</f>
        <v/>
      </c>
      <c r="E139" s="9">
        <f>IF(B139="","",⑪ZEN工程入力!G33)</f>
        <v/>
      </c>
      <c r="F139" s="9">
        <f>IF(B139="","",⑪ZEN工程入力!M33)</f>
        <v/>
      </c>
      <c r="G139" s="513">
        <f>IF(AND(ISNUMBER(D139),ISNUMBER(F139),D139&gt;0),F139/D139,"")</f>
        <v/>
      </c>
      <c r="H139" s="7" t="n">
        <v>0</v>
      </c>
      <c r="I139" s="9">
        <f>IF(ISNUMBER(F139),-F139-H139,"")</f>
        <v/>
      </c>
      <c r="J139" s="69">
        <f>IF(G139="","",IF(G139&gt;=300,"✕ 要改善",IF(G139&gt;=200,"△ 注意","○ 良好")))</f>
        <v/>
      </c>
      <c r="K139" s="70" t="n"/>
    </row>
    <row r="140" ht="15" customHeight="1" s="438">
      <c r="A140" s="397" t="n">
        <v>135</v>
      </c>
      <c r="B140">
        <f>IF(⑪ZEN工程入力!C34="","",⑪ZEN工程入力!C34)</f>
        <v/>
      </c>
      <c r="C140">
        <f>IF(⑪ZEN工程入力!B34="","",⑪ZEN工程入力!B34)</f>
        <v/>
      </c>
      <c r="D140">
        <f>IF(B140="","",⑪ZEN工程入力!I34)</f>
        <v/>
      </c>
      <c r="E140">
        <f>IF(B140="","",⑪ZEN工程入力!G34)</f>
        <v/>
      </c>
      <c r="F140">
        <f>IF(B140="","",⑪ZEN工程入力!M34)</f>
        <v/>
      </c>
      <c r="G140">
        <f>IF(AND(ISNUMBER(D140),ISNUMBER(F140),D140&gt;0),F140/D140,"")</f>
        <v/>
      </c>
      <c r="H140" t="n">
        <v>0</v>
      </c>
      <c r="I140">
        <f>IF(ISNUMBER(F140),-F140-H140,"")</f>
        <v/>
      </c>
      <c r="J140">
        <f>IF(G140="","",IF(G140&gt;=300,"✕ 要改善",IF(G140&gt;=200,"△ 注意","○ 良好")))</f>
        <v/>
      </c>
    </row>
    <row r="141" ht="15" customHeight="1" s="438">
      <c r="A141" s="66" t="n">
        <v>136</v>
      </c>
      <c r="B141" s="67">
        <f>IF(⑪ZEN工程入力!C35="","",⑪ZEN工程入力!C35)</f>
        <v/>
      </c>
      <c r="C141" s="82">
        <f>IF(⑪ZEN工程入力!B35="","",⑪ZEN工程入力!B35)</f>
        <v/>
      </c>
      <c r="D141" s="9">
        <f>IF(B141="","",⑪ZEN工程入力!I35)</f>
        <v/>
      </c>
      <c r="E141" s="9">
        <f>IF(B141="","",⑪ZEN工程入力!G35)</f>
        <v/>
      </c>
      <c r="F141" s="9">
        <f>IF(B141="","",⑪ZEN工程入力!M35)</f>
        <v/>
      </c>
      <c r="G141" s="513">
        <f>IF(AND(ISNUMBER(D141),ISNUMBER(F141),D141&gt;0),F141/D141,"")</f>
        <v/>
      </c>
      <c r="H141" s="7" t="n">
        <v>0</v>
      </c>
      <c r="I141" s="9">
        <f>IF(ISNUMBER(F141),-F141-H141,"")</f>
        <v/>
      </c>
      <c r="J141" s="69">
        <f>IF(G141="","",IF(G141&gt;=300,"✕ 要改善",IF(G141&gt;=200,"△ 注意","○ 良好")))</f>
        <v/>
      </c>
      <c r="K141" s="70" t="n"/>
    </row>
    <row r="142" ht="15" customHeight="1" s="438">
      <c r="A142" s="464" t="inlineStr">
        <is>
          <t>◆ ミキサー工程　中間品</t>
        </is>
      </c>
      <c r="B142" s="465" t="n"/>
      <c r="C142" s="465" t="n"/>
      <c r="D142" s="465" t="n"/>
      <c r="E142" s="465" t="n"/>
      <c r="F142" s="465" t="n"/>
      <c r="G142" s="465" t="n"/>
      <c r="H142" s="465" t="n"/>
      <c r="I142" s="465" t="n"/>
      <c r="J142" s="465" t="n"/>
      <c r="K142" s="466" t="n"/>
    </row>
    <row r="143" ht="15" customHeight="1" s="438">
      <c r="A143" s="66" t="n">
        <v>137</v>
      </c>
      <c r="B143" s="67">
        <f>IF(⑫ミキサー工程入力!C5="","",⑫ミキサー工程入力!C5)</f>
        <v/>
      </c>
      <c r="C143" s="82">
        <f>IF(⑫ミキサー工程入力!B5="","",⑫ミキサー工程入力!B5)</f>
        <v/>
      </c>
      <c r="D143" s="9">
        <f>IF(B143="","",⑫ミキサー工程入力!I5)</f>
        <v/>
      </c>
      <c r="E143" s="9">
        <f>IF(B143="","",⑫ミキサー工程入力!G5)</f>
        <v/>
      </c>
      <c r="F143" s="9">
        <f>IF(B143="","",⑫ミキサー工程入力!M5)</f>
        <v/>
      </c>
      <c r="G143" s="513">
        <f>IF(AND(ISNUMBER(D143),ISNUMBER(F143),D143&gt;0),F143/D143,"")</f>
        <v/>
      </c>
      <c r="H143" s="7" t="n">
        <v>0</v>
      </c>
      <c r="I143" s="9">
        <f>IF(ISNUMBER(F143),-F143-H143,"")</f>
        <v/>
      </c>
      <c r="J143" s="69">
        <f>IF(G143="","",IF(G143&gt;=300,"✕ 要改善",IF(G143&gt;=200,"△ 注意","○ 良好")))</f>
        <v/>
      </c>
      <c r="K143" s="70" t="n"/>
    </row>
    <row r="144" ht="26" customHeight="1" s="438">
      <c r="A144" s="397" t="n">
        <v>138</v>
      </c>
      <c r="B144">
        <f>IF(⑫ミキサー工程入力!C6="","",⑫ミキサー工程入力!C6)</f>
        <v/>
      </c>
      <c r="C144">
        <f>IF(⑫ミキサー工程入力!B6="","",⑫ミキサー工程入力!B6)</f>
        <v/>
      </c>
      <c r="D144">
        <f>IF(B144="","",⑫ミキサー工程入力!I6)</f>
        <v/>
      </c>
      <c r="E144">
        <f>IF(B144="","",⑫ミキサー工程入力!G6)</f>
        <v/>
      </c>
      <c r="F144">
        <f>IF(B144="","",⑫ミキサー工程入力!M6)</f>
        <v/>
      </c>
      <c r="G144">
        <f>IF(AND(ISNUMBER(D144),ISNUMBER(F144),D144&gt;0),F144/D144,"")</f>
        <v/>
      </c>
      <c r="H144" t="n">
        <v>0</v>
      </c>
      <c r="I144">
        <f>IF(ISNUMBER(F144),-F144-H144,"")</f>
        <v/>
      </c>
      <c r="J144">
        <f>IF(G144="","",IF(G144&gt;=300,"✕ 要改善",IF(G144&gt;=200,"△ 注意","○ 良好")))</f>
        <v/>
      </c>
    </row>
    <row r="145" ht="15" customHeight="1" s="438">
      <c r="A145" s="66" t="n">
        <v>139</v>
      </c>
      <c r="B145" s="67">
        <f>IF(⑫ミキサー工程入力!C7="","",⑫ミキサー工程入力!C7)</f>
        <v/>
      </c>
      <c r="C145" s="82">
        <f>IF(⑫ミキサー工程入力!B7="","",⑫ミキサー工程入力!B7)</f>
        <v/>
      </c>
      <c r="D145" s="9">
        <f>IF(B145="","",⑫ミキサー工程入力!I7)</f>
        <v/>
      </c>
      <c r="E145" s="9">
        <f>IF(B145="","",⑫ミキサー工程入力!G7)</f>
        <v/>
      </c>
      <c r="F145" s="9">
        <f>IF(B145="","",⑫ミキサー工程入力!M7)</f>
        <v/>
      </c>
      <c r="G145" s="513">
        <f>IF(AND(ISNUMBER(D145),ISNUMBER(F145),D145&gt;0),F145/D145,"")</f>
        <v/>
      </c>
      <c r="H145" s="7" t="n">
        <v>0</v>
      </c>
      <c r="I145" s="9">
        <f>IF(ISNUMBER(F145),-F145-H145,"")</f>
        <v/>
      </c>
      <c r="J145" s="69">
        <f>IF(G145="","",IF(G145&gt;=300,"✕ 要改善",IF(G145&gt;=200,"△ 注意","○ 良好")))</f>
        <v/>
      </c>
      <c r="K145" s="70" t="n"/>
    </row>
    <row r="146" ht="15" customHeight="1" s="438">
      <c r="A146" s="397" t="n">
        <v>140</v>
      </c>
      <c r="B146">
        <f>IF(⑫ミキサー工程入力!C8="","",⑫ミキサー工程入力!C8)</f>
        <v/>
      </c>
      <c r="C146">
        <f>IF(⑫ミキサー工程入力!B8="","",⑫ミキサー工程入力!B8)</f>
        <v/>
      </c>
      <c r="D146">
        <f>IF(B146="","",⑫ミキサー工程入力!I8)</f>
        <v/>
      </c>
      <c r="E146">
        <f>IF(B146="","",⑫ミキサー工程入力!G8)</f>
        <v/>
      </c>
      <c r="F146">
        <f>IF(B146="","",⑫ミキサー工程入力!M8)</f>
        <v/>
      </c>
      <c r="G146">
        <f>IF(AND(ISNUMBER(D146),ISNUMBER(F146),D146&gt;0),F146/D146,"")</f>
        <v/>
      </c>
      <c r="H146" t="n">
        <v>0</v>
      </c>
      <c r="I146">
        <f>IF(ISNUMBER(F146),-F146-H146,"")</f>
        <v/>
      </c>
      <c r="J146">
        <f>IF(G146="","",IF(G146&gt;=300,"✕ 要改善",IF(G146&gt;=200,"△ 注意","○ 良好")))</f>
        <v/>
      </c>
    </row>
    <row r="147" ht="15" customHeight="1" s="438">
      <c r="A147" s="66" t="n">
        <v>141</v>
      </c>
      <c r="B147" s="67">
        <f>IF(⑫ミキサー工程入力!C9="","",⑫ミキサー工程入力!C9)</f>
        <v/>
      </c>
      <c r="C147" s="82">
        <f>IF(⑫ミキサー工程入力!B9="","",⑫ミキサー工程入力!B9)</f>
        <v/>
      </c>
      <c r="D147" s="9">
        <f>IF(B147="","",⑫ミキサー工程入力!I9)</f>
        <v/>
      </c>
      <c r="E147" s="9">
        <f>IF(B147="","",⑫ミキサー工程入力!G9)</f>
        <v/>
      </c>
      <c r="F147" s="9">
        <f>IF(B147="","",⑫ミキサー工程入力!M9)</f>
        <v/>
      </c>
      <c r="G147" s="513">
        <f>IF(AND(ISNUMBER(D147),ISNUMBER(F147),D147&gt;0),F147/D147,"")</f>
        <v/>
      </c>
      <c r="H147" s="7" t="n">
        <v>0</v>
      </c>
      <c r="I147" s="9">
        <f>IF(ISNUMBER(F147),-F147-H147,"")</f>
        <v/>
      </c>
      <c r="J147" s="69">
        <f>IF(G147="","",IF(G147&gt;=300,"✕ 要改善",IF(G147&gt;=200,"△ 注意","○ 良好")))</f>
        <v/>
      </c>
      <c r="K147" s="70" t="n"/>
    </row>
    <row r="148" ht="15" customHeight="1" s="438">
      <c r="A148" s="397" t="n">
        <v>142</v>
      </c>
      <c r="B148">
        <f>IF(⑫ミキサー工程入力!C10="","",⑫ミキサー工程入力!C10)</f>
        <v/>
      </c>
      <c r="C148">
        <f>IF(⑫ミキサー工程入力!B10="","",⑫ミキサー工程入力!B10)</f>
        <v/>
      </c>
      <c r="D148">
        <f>IF(B148="","",⑫ミキサー工程入力!I10)</f>
        <v/>
      </c>
      <c r="E148">
        <f>IF(B148="","",⑫ミキサー工程入力!G10)</f>
        <v/>
      </c>
      <c r="F148">
        <f>IF(B148="","",⑫ミキサー工程入力!M10)</f>
        <v/>
      </c>
      <c r="G148">
        <f>IF(AND(ISNUMBER(D148),ISNUMBER(F148),D148&gt;0),F148/D148,"")</f>
        <v/>
      </c>
      <c r="H148" t="n">
        <v>0</v>
      </c>
      <c r="I148">
        <f>IF(ISNUMBER(F148),-F148-H148,"")</f>
        <v/>
      </c>
      <c r="J148">
        <f>IF(G148="","",IF(G148&gt;=300,"✕ 要改善",IF(G148&gt;=200,"△ 注意","○ 良好")))</f>
        <v/>
      </c>
    </row>
    <row r="149" ht="15" customHeight="1" s="438">
      <c r="A149" s="66" t="n">
        <v>143</v>
      </c>
      <c r="B149" s="67">
        <f>IF(⑫ミキサー工程入力!C11="","",⑫ミキサー工程入力!C11)</f>
        <v/>
      </c>
      <c r="C149" s="82">
        <f>IF(⑫ミキサー工程入力!B11="","",⑫ミキサー工程入力!B11)</f>
        <v/>
      </c>
      <c r="D149" s="9">
        <f>IF(B149="","",⑫ミキサー工程入力!I11)</f>
        <v/>
      </c>
      <c r="E149" s="9">
        <f>IF(B149="","",⑫ミキサー工程入力!G11)</f>
        <v/>
      </c>
      <c r="F149" s="9">
        <f>IF(B149="","",⑫ミキサー工程入力!M11)</f>
        <v/>
      </c>
      <c r="G149" s="513">
        <f>IF(AND(ISNUMBER(D149),ISNUMBER(F149),D149&gt;0),F149/D149,"")</f>
        <v/>
      </c>
      <c r="H149" s="7" t="n">
        <v>0</v>
      </c>
      <c r="I149" s="9">
        <f>IF(ISNUMBER(F149),-F149-H149,"")</f>
        <v/>
      </c>
      <c r="J149" s="69">
        <f>IF(G149="","",IF(G149&gt;=300,"✕ 要改善",IF(G149&gt;=200,"△ 注意","○ 良好")))</f>
        <v/>
      </c>
      <c r="K149" s="70" t="n"/>
    </row>
    <row r="150" ht="15" customHeight="1" s="438">
      <c r="A150" s="397" t="n">
        <v>144</v>
      </c>
      <c r="B150">
        <f>IF(⑫ミキサー工程入力!C12="","",⑫ミキサー工程入力!C12)</f>
        <v/>
      </c>
      <c r="C150">
        <f>IF(⑫ミキサー工程入力!B12="","",⑫ミキサー工程入力!B12)</f>
        <v/>
      </c>
      <c r="D150">
        <f>IF(B150="","",⑫ミキサー工程入力!I12)</f>
        <v/>
      </c>
      <c r="E150">
        <f>IF(B150="","",⑫ミキサー工程入力!G12)</f>
        <v/>
      </c>
      <c r="F150">
        <f>IF(B150="","",⑫ミキサー工程入力!M12)</f>
        <v/>
      </c>
      <c r="G150">
        <f>IF(AND(ISNUMBER(D150),ISNUMBER(F150),D150&gt;0),F150/D150,"")</f>
        <v/>
      </c>
      <c r="H150" t="n">
        <v>0</v>
      </c>
      <c r="I150">
        <f>IF(ISNUMBER(F150),-F150-H150,"")</f>
        <v/>
      </c>
      <c r="J150">
        <f>IF(G150="","",IF(G150&gt;=300,"✕ 要改善",IF(G150&gt;=200,"△ 注意","○ 良好")))</f>
        <v/>
      </c>
    </row>
    <row r="151" ht="15" customHeight="1" s="438">
      <c r="A151" s="66" t="n">
        <v>145</v>
      </c>
      <c r="B151" s="67">
        <f>IF(⑫ミキサー工程入力!C13="","",⑫ミキサー工程入力!C13)</f>
        <v/>
      </c>
      <c r="C151" s="82">
        <f>IF(⑫ミキサー工程入力!B13="","",⑫ミキサー工程入力!B13)</f>
        <v/>
      </c>
      <c r="D151" s="9">
        <f>IF(B151="","",⑫ミキサー工程入力!I13)</f>
        <v/>
      </c>
      <c r="E151" s="9">
        <f>IF(B151="","",⑫ミキサー工程入力!G13)</f>
        <v/>
      </c>
      <c r="F151" s="9">
        <f>IF(B151="","",⑫ミキサー工程入力!M13)</f>
        <v/>
      </c>
      <c r="G151" s="513">
        <f>IF(AND(ISNUMBER(D151),ISNUMBER(F151),D151&gt;0),F151/D151,"")</f>
        <v/>
      </c>
      <c r="H151" s="7" t="n">
        <v>0</v>
      </c>
      <c r="I151" s="9">
        <f>IF(ISNUMBER(F151),-F151-H151,"")</f>
        <v/>
      </c>
      <c r="J151" s="69">
        <f>IF(G151="","",IF(G151&gt;=300,"✕ 要改善",IF(G151&gt;=200,"△ 注意","○ 良好")))</f>
        <v/>
      </c>
      <c r="K151" s="70" t="n"/>
    </row>
    <row r="152" ht="15" customHeight="1" s="438">
      <c r="A152" s="397" t="n">
        <v>146</v>
      </c>
      <c r="B152">
        <f>IF(⑫ミキサー工程入力!C14="","",⑫ミキサー工程入力!C14)</f>
        <v/>
      </c>
      <c r="C152">
        <f>IF(⑫ミキサー工程入力!B14="","",⑫ミキサー工程入力!B14)</f>
        <v/>
      </c>
      <c r="D152">
        <f>IF(B152="","",⑫ミキサー工程入力!I14)</f>
        <v/>
      </c>
      <c r="E152">
        <f>IF(B152="","",⑫ミキサー工程入力!G14)</f>
        <v/>
      </c>
      <c r="F152">
        <f>IF(B152="","",⑫ミキサー工程入力!M14)</f>
        <v/>
      </c>
      <c r="G152">
        <f>IF(AND(ISNUMBER(D152),ISNUMBER(F152),D152&gt;0),F152/D152,"")</f>
        <v/>
      </c>
      <c r="H152" t="n">
        <v>0</v>
      </c>
      <c r="I152">
        <f>IF(ISNUMBER(F152),-F152-H152,"")</f>
        <v/>
      </c>
      <c r="J152">
        <f>IF(G152="","",IF(G152&gt;=300,"✕ 要改善",IF(G152&gt;=200,"△ 注意","○ 良好")))</f>
        <v/>
      </c>
    </row>
    <row r="153" ht="15" customHeight="1" s="438">
      <c r="A153" s="66" t="n">
        <v>147</v>
      </c>
      <c r="B153" s="67">
        <f>IF(⑫ミキサー工程入力!C15="","",⑫ミキサー工程入力!C15)</f>
        <v/>
      </c>
      <c r="C153" s="82">
        <f>IF(⑫ミキサー工程入力!B15="","",⑫ミキサー工程入力!B15)</f>
        <v/>
      </c>
      <c r="D153" s="9">
        <f>IF(B153="","",⑫ミキサー工程入力!I15)</f>
        <v/>
      </c>
      <c r="E153" s="9">
        <f>IF(B153="","",⑫ミキサー工程入力!G15)</f>
        <v/>
      </c>
      <c r="F153" s="9">
        <f>IF(B153="","",⑫ミキサー工程入力!M15)</f>
        <v/>
      </c>
      <c r="G153" s="513">
        <f>IF(AND(ISNUMBER(D153),ISNUMBER(F153),D153&gt;0),F153/D153,"")</f>
        <v/>
      </c>
      <c r="H153" s="7" t="n">
        <v>0</v>
      </c>
      <c r="I153" s="9">
        <f>IF(ISNUMBER(F153),-F153-H153,"")</f>
        <v/>
      </c>
      <c r="J153" s="69">
        <f>IF(G153="","",IF(G153&gt;=300,"✕ 要改善",IF(G153&gt;=200,"△ 注意","○ 良好")))</f>
        <v/>
      </c>
      <c r="K153" s="70" t="n"/>
    </row>
    <row r="154" ht="15" customHeight="1" s="438">
      <c r="A154" s="397" t="n">
        <v>148</v>
      </c>
      <c r="B154">
        <f>IF(⑫ミキサー工程入力!C16="","",⑫ミキサー工程入力!C16)</f>
        <v/>
      </c>
      <c r="C154">
        <f>IF(⑫ミキサー工程入力!B16="","",⑫ミキサー工程入力!B16)</f>
        <v/>
      </c>
      <c r="D154">
        <f>IF(B154="","",⑫ミキサー工程入力!I16)</f>
        <v/>
      </c>
      <c r="E154">
        <f>IF(B154="","",⑫ミキサー工程入力!G16)</f>
        <v/>
      </c>
      <c r="F154">
        <f>IF(B154="","",⑫ミキサー工程入力!M16)</f>
        <v/>
      </c>
      <c r="G154">
        <f>IF(AND(ISNUMBER(D154),ISNUMBER(F154),D154&gt;0),F154/D154,"")</f>
        <v/>
      </c>
      <c r="H154" t="n">
        <v>0</v>
      </c>
      <c r="I154">
        <f>IF(ISNUMBER(F154),-F154-H154,"")</f>
        <v/>
      </c>
      <c r="J154">
        <f>IF(G154="","",IF(G154&gt;=300,"✕ 要改善",IF(G154&gt;=200,"△ 注意","○ 良好")))</f>
        <v/>
      </c>
    </row>
    <row r="155" ht="15" customHeight="1" s="438">
      <c r="A155" s="66" t="n">
        <v>149</v>
      </c>
      <c r="B155" s="67">
        <f>IF(⑫ミキサー工程入力!C17="","",⑫ミキサー工程入力!C17)</f>
        <v/>
      </c>
      <c r="C155" s="82">
        <f>IF(⑫ミキサー工程入力!B17="","",⑫ミキサー工程入力!B17)</f>
        <v/>
      </c>
      <c r="D155" s="9">
        <f>IF(B155="","",⑫ミキサー工程入力!I17)</f>
        <v/>
      </c>
      <c r="E155" s="9">
        <f>IF(B155="","",⑫ミキサー工程入力!G17)</f>
        <v/>
      </c>
      <c r="F155" s="9">
        <f>IF(B155="","",⑫ミキサー工程入力!M17)</f>
        <v/>
      </c>
      <c r="G155" s="513">
        <f>IF(AND(ISNUMBER(D155),ISNUMBER(F155),D155&gt;0),F155/D155,"")</f>
        <v/>
      </c>
      <c r="H155" s="7" t="n">
        <v>0</v>
      </c>
      <c r="I155" s="9">
        <f>IF(ISNUMBER(F155),-F155-H155,"")</f>
        <v/>
      </c>
      <c r="J155" s="69">
        <f>IF(G155="","",IF(G155&gt;=300,"✕ 要改善",IF(G155&gt;=200,"△ 注意","○ 良好")))</f>
        <v/>
      </c>
      <c r="K155" s="70" t="n"/>
    </row>
    <row r="156" ht="15" customHeight="1" s="438">
      <c r="A156" s="397" t="n">
        <v>150</v>
      </c>
      <c r="B156">
        <f>IF(⑫ミキサー工程入力!C18="","",⑫ミキサー工程入力!C18)</f>
        <v/>
      </c>
      <c r="C156">
        <f>IF(⑫ミキサー工程入力!B18="","",⑫ミキサー工程入力!B18)</f>
        <v/>
      </c>
      <c r="D156">
        <f>IF(B156="","",⑫ミキサー工程入力!I18)</f>
        <v/>
      </c>
      <c r="E156">
        <f>IF(B156="","",⑫ミキサー工程入力!G18)</f>
        <v/>
      </c>
      <c r="F156">
        <f>IF(B156="","",⑫ミキサー工程入力!M18)</f>
        <v/>
      </c>
      <c r="G156">
        <f>IF(AND(ISNUMBER(D156),ISNUMBER(F156),D156&gt;0),F156/D156,"")</f>
        <v/>
      </c>
      <c r="H156" t="n">
        <v>0</v>
      </c>
      <c r="I156">
        <f>IF(ISNUMBER(F156),-F156-H156,"")</f>
        <v/>
      </c>
      <c r="J156">
        <f>IF(G156="","",IF(G156&gt;=300,"✕ 要改善",IF(G156&gt;=200,"△ 注意","○ 良好")))</f>
        <v/>
      </c>
    </row>
    <row r="157" ht="15" customHeight="1" s="438">
      <c r="A157" s="66" t="n">
        <v>151</v>
      </c>
      <c r="B157" s="67">
        <f>IF(⑫ミキサー工程入力!C19="","",⑫ミキサー工程入力!C19)</f>
        <v/>
      </c>
      <c r="C157" s="82">
        <f>IF(⑫ミキサー工程入力!B19="","",⑫ミキサー工程入力!B19)</f>
        <v/>
      </c>
      <c r="D157" s="9">
        <f>IF(B157="","",⑫ミキサー工程入力!I19)</f>
        <v/>
      </c>
      <c r="E157" s="9">
        <f>IF(B157="","",⑫ミキサー工程入力!G19)</f>
        <v/>
      </c>
      <c r="F157" s="9">
        <f>IF(B157="","",⑫ミキサー工程入力!M19)</f>
        <v/>
      </c>
      <c r="G157" s="513">
        <f>IF(AND(ISNUMBER(D157),ISNUMBER(F157),D157&gt;0),F157/D157,"")</f>
        <v/>
      </c>
      <c r="H157" s="7" t="n">
        <v>0</v>
      </c>
      <c r="I157" s="9">
        <f>IF(ISNUMBER(F157),-F157-H157,"")</f>
        <v/>
      </c>
      <c r="J157" s="69">
        <f>IF(G157="","",IF(G157&gt;=300,"✕ 要改善",IF(G157&gt;=200,"△ 注意","○ 良好")))</f>
        <v/>
      </c>
      <c r="K157" s="70" t="n"/>
    </row>
    <row r="158" ht="15" customHeight="1" s="438">
      <c r="A158" s="397" t="n">
        <v>152</v>
      </c>
      <c r="B158">
        <f>IF(⑫ミキサー工程入力!C20="","",⑫ミキサー工程入力!C20)</f>
        <v/>
      </c>
      <c r="C158">
        <f>IF(⑫ミキサー工程入力!B20="","",⑫ミキサー工程入力!B20)</f>
        <v/>
      </c>
      <c r="D158">
        <f>IF(B158="","",⑫ミキサー工程入力!I20)</f>
        <v/>
      </c>
      <c r="E158">
        <f>IF(B158="","",⑫ミキサー工程入力!G20)</f>
        <v/>
      </c>
      <c r="F158">
        <f>IF(B158="","",⑫ミキサー工程入力!M20)</f>
        <v/>
      </c>
      <c r="G158">
        <f>IF(AND(ISNUMBER(D158),ISNUMBER(F158),D158&gt;0),F158/D158,"")</f>
        <v/>
      </c>
      <c r="H158" t="n">
        <v>0</v>
      </c>
      <c r="I158">
        <f>IF(ISNUMBER(F158),-F158-H158,"")</f>
        <v/>
      </c>
      <c r="J158">
        <f>IF(G158="","",IF(G158&gt;=300,"✕ 要改善",IF(G158&gt;=200,"△ 注意","○ 良好")))</f>
        <v/>
      </c>
    </row>
    <row r="159" ht="15" customHeight="1" s="438">
      <c r="A159" s="66" t="n">
        <v>153</v>
      </c>
      <c r="B159" s="67">
        <f>IF(⑫ミキサー工程入力!C21="","",⑫ミキサー工程入力!C21)</f>
        <v/>
      </c>
      <c r="C159" s="82">
        <f>IF(⑫ミキサー工程入力!B21="","",⑫ミキサー工程入力!B21)</f>
        <v/>
      </c>
      <c r="D159" s="9">
        <f>IF(B159="","",⑫ミキサー工程入力!I21)</f>
        <v/>
      </c>
      <c r="E159" s="9">
        <f>IF(B159="","",⑫ミキサー工程入力!G21)</f>
        <v/>
      </c>
      <c r="F159" s="9">
        <f>IF(B159="","",⑫ミキサー工程入力!M21)</f>
        <v/>
      </c>
      <c r="G159" s="513">
        <f>IF(AND(ISNUMBER(D159),ISNUMBER(F159),D159&gt;0),F159/D159,"")</f>
        <v/>
      </c>
      <c r="H159" s="7" t="n">
        <v>0</v>
      </c>
      <c r="I159" s="9">
        <f>IF(ISNUMBER(F159),-F159-H159,"")</f>
        <v/>
      </c>
      <c r="J159" s="69">
        <f>IF(G159="","",IF(G159&gt;=300,"✕ 要改善",IF(G159&gt;=200,"△ 注意","○ 良好")))</f>
        <v/>
      </c>
      <c r="K159" s="70" t="n"/>
    </row>
    <row r="160" ht="15" customHeight="1" s="438">
      <c r="A160" s="397" t="n">
        <v>154</v>
      </c>
      <c r="B160">
        <f>IF(⑫ミキサー工程入力!C22="","",⑫ミキサー工程入力!C22)</f>
        <v/>
      </c>
      <c r="C160">
        <f>IF(⑫ミキサー工程入力!B22="","",⑫ミキサー工程入力!B22)</f>
        <v/>
      </c>
      <c r="D160">
        <f>IF(B160="","",⑫ミキサー工程入力!I22)</f>
        <v/>
      </c>
      <c r="E160">
        <f>IF(B160="","",⑫ミキサー工程入力!G22)</f>
        <v/>
      </c>
      <c r="F160">
        <f>IF(B160="","",⑫ミキサー工程入力!M22)</f>
        <v/>
      </c>
      <c r="G160">
        <f>IF(AND(ISNUMBER(D160),ISNUMBER(F160),D160&gt;0),F160/D160,"")</f>
        <v/>
      </c>
      <c r="H160" t="n">
        <v>0</v>
      </c>
      <c r="I160">
        <f>IF(ISNUMBER(F160),-F160-H160,"")</f>
        <v/>
      </c>
      <c r="J160">
        <f>IF(G160="","",IF(G160&gt;=300,"✕ 要改善",IF(G160&gt;=200,"△ 注意","○ 良好")))</f>
        <v/>
      </c>
    </row>
    <row r="161" ht="15" customHeight="1" s="438">
      <c r="A161" s="66" t="n">
        <v>155</v>
      </c>
      <c r="B161" s="67">
        <f>IF(⑫ミキサー工程入力!C23="","",⑫ミキサー工程入力!C23)</f>
        <v/>
      </c>
      <c r="C161" s="82">
        <f>IF(⑫ミキサー工程入力!B23="","",⑫ミキサー工程入力!B23)</f>
        <v/>
      </c>
      <c r="D161" s="9">
        <f>IF(B161="","",⑫ミキサー工程入力!I23)</f>
        <v/>
      </c>
      <c r="E161" s="9">
        <f>IF(B161="","",⑫ミキサー工程入力!G23)</f>
        <v/>
      </c>
      <c r="F161" s="9">
        <f>IF(B161="","",⑫ミキサー工程入力!M23)</f>
        <v/>
      </c>
      <c r="G161" s="513">
        <f>IF(AND(ISNUMBER(D161),ISNUMBER(F161),D161&gt;0),F161/D161,"")</f>
        <v/>
      </c>
      <c r="H161" s="7" t="n">
        <v>0</v>
      </c>
      <c r="I161" s="9">
        <f>IF(ISNUMBER(F161),-F161-H161,"")</f>
        <v/>
      </c>
      <c r="J161" s="69">
        <f>IF(G161="","",IF(G161&gt;=300,"✕ 要改善",IF(G161&gt;=200,"△ 注意","○ 良好")))</f>
        <v/>
      </c>
      <c r="K161" s="70" t="n"/>
    </row>
    <row r="162" ht="15" customHeight="1" s="438">
      <c r="A162" s="397" t="n">
        <v>156</v>
      </c>
      <c r="B162">
        <f>IF(⑫ミキサー工程入力!C24="","",⑫ミキサー工程入力!C24)</f>
        <v/>
      </c>
      <c r="C162">
        <f>IF(⑫ミキサー工程入力!B24="","",⑫ミキサー工程入力!B24)</f>
        <v/>
      </c>
      <c r="D162">
        <f>IF(B162="","",⑫ミキサー工程入力!I24)</f>
        <v/>
      </c>
      <c r="E162">
        <f>IF(B162="","",⑫ミキサー工程入力!G24)</f>
        <v/>
      </c>
      <c r="F162">
        <f>IF(B162="","",⑫ミキサー工程入力!M24)</f>
        <v/>
      </c>
      <c r="G162">
        <f>IF(AND(ISNUMBER(D162),ISNUMBER(F162),D162&gt;0),F162/D162,"")</f>
        <v/>
      </c>
      <c r="H162" t="n">
        <v>0</v>
      </c>
      <c r="I162">
        <f>IF(ISNUMBER(F162),-F162-H162,"")</f>
        <v/>
      </c>
      <c r="J162">
        <f>IF(G162="","",IF(G162&gt;=300,"✕ 要改善",IF(G162&gt;=200,"△ 注意","○ 良好")))</f>
        <v/>
      </c>
    </row>
    <row r="163" ht="15" customHeight="1" s="438">
      <c r="A163" s="66" t="n">
        <v>157</v>
      </c>
      <c r="B163" s="67">
        <f>IF(⑫ミキサー工程入力!C25="","",⑫ミキサー工程入力!C25)</f>
        <v/>
      </c>
      <c r="C163" s="82">
        <f>IF(⑫ミキサー工程入力!B25="","",⑫ミキサー工程入力!B25)</f>
        <v/>
      </c>
      <c r="D163" s="9">
        <f>IF(B163="","",⑫ミキサー工程入力!I25)</f>
        <v/>
      </c>
      <c r="E163" s="9">
        <f>IF(B163="","",⑫ミキサー工程入力!G25)</f>
        <v/>
      </c>
      <c r="F163" s="9">
        <f>IF(B163="","",⑫ミキサー工程入力!M25)</f>
        <v/>
      </c>
      <c r="G163" s="513">
        <f>IF(AND(ISNUMBER(D163),ISNUMBER(F163),D163&gt;0),F163/D163,"")</f>
        <v/>
      </c>
      <c r="H163" s="7" t="n">
        <v>0</v>
      </c>
      <c r="I163" s="9">
        <f>IF(ISNUMBER(F163),-F163-H163,"")</f>
        <v/>
      </c>
      <c r="J163" s="69">
        <f>IF(G163="","",IF(G163&gt;=300,"✕ 要改善",IF(G163&gt;=200,"△ 注意","○ 良好")))</f>
        <v/>
      </c>
      <c r="K163" s="70" t="n"/>
    </row>
    <row r="164" ht="15" customHeight="1" s="438">
      <c r="A164" s="397" t="n">
        <v>158</v>
      </c>
      <c r="B164">
        <f>IF(⑫ミキサー工程入力!C26="","",⑫ミキサー工程入力!C26)</f>
        <v/>
      </c>
      <c r="C164">
        <f>IF(⑫ミキサー工程入力!B26="","",⑫ミキサー工程入力!B26)</f>
        <v/>
      </c>
      <c r="D164">
        <f>IF(B164="","",⑫ミキサー工程入力!I26)</f>
        <v/>
      </c>
      <c r="E164">
        <f>IF(B164="","",⑫ミキサー工程入力!G26)</f>
        <v/>
      </c>
      <c r="F164">
        <f>IF(B164="","",⑫ミキサー工程入力!M26)</f>
        <v/>
      </c>
      <c r="G164">
        <f>IF(AND(ISNUMBER(D164),ISNUMBER(F164),D164&gt;0),F164/D164,"")</f>
        <v/>
      </c>
      <c r="H164" t="n">
        <v>0</v>
      </c>
      <c r="I164">
        <f>IF(ISNUMBER(F164),-F164-H164,"")</f>
        <v/>
      </c>
      <c r="J164">
        <f>IF(G164="","",IF(G164&gt;=300,"✕ 要改善",IF(G164&gt;=200,"△ 注意","○ 良好")))</f>
        <v/>
      </c>
    </row>
    <row r="165" ht="15" customHeight="1" s="438">
      <c r="A165" s="66" t="n">
        <v>159</v>
      </c>
      <c r="B165" s="67">
        <f>IF(⑫ミキサー工程入力!C27="","",⑫ミキサー工程入力!C27)</f>
        <v/>
      </c>
      <c r="C165" s="82">
        <f>IF(⑫ミキサー工程入力!B27="","",⑫ミキサー工程入力!B27)</f>
        <v/>
      </c>
      <c r="D165" s="9">
        <f>IF(B165="","",⑫ミキサー工程入力!I27)</f>
        <v/>
      </c>
      <c r="E165" s="9">
        <f>IF(B165="","",⑫ミキサー工程入力!G27)</f>
        <v/>
      </c>
      <c r="F165" s="9">
        <f>IF(B165="","",⑫ミキサー工程入力!M27)</f>
        <v/>
      </c>
      <c r="G165" s="513">
        <f>IF(AND(ISNUMBER(D165),ISNUMBER(F165),D165&gt;0),F165/D165,"")</f>
        <v/>
      </c>
      <c r="H165" s="7" t="n">
        <v>0</v>
      </c>
      <c r="I165" s="9">
        <f>IF(ISNUMBER(F165),-F165-H165,"")</f>
        <v/>
      </c>
      <c r="J165" s="69">
        <f>IF(G165="","",IF(G165&gt;=300,"✕ 要改善",IF(G165&gt;=200,"△ 注意","○ 良好")))</f>
        <v/>
      </c>
      <c r="K165" s="70" t="n"/>
    </row>
    <row r="166" ht="15" customHeight="1" s="438">
      <c r="A166" s="397" t="n">
        <v>160</v>
      </c>
      <c r="B166">
        <f>IF(⑫ミキサー工程入力!C28="","",⑫ミキサー工程入力!C28)</f>
        <v/>
      </c>
      <c r="C166">
        <f>IF(⑫ミキサー工程入力!B28="","",⑫ミキサー工程入力!B28)</f>
        <v/>
      </c>
      <c r="D166">
        <f>IF(B166="","",⑫ミキサー工程入力!I28)</f>
        <v/>
      </c>
      <c r="E166">
        <f>IF(B166="","",⑫ミキサー工程入力!G28)</f>
        <v/>
      </c>
      <c r="F166">
        <f>IF(B166="","",⑫ミキサー工程入力!M28)</f>
        <v/>
      </c>
      <c r="G166">
        <f>IF(AND(ISNUMBER(D166),ISNUMBER(F166),D166&gt;0),F166/D166,"")</f>
        <v/>
      </c>
      <c r="H166" t="n">
        <v>0</v>
      </c>
      <c r="I166">
        <f>IF(ISNUMBER(F166),-F166-H166,"")</f>
        <v/>
      </c>
      <c r="J166">
        <f>IF(G166="","",IF(G166&gt;=300,"✕ 要改善",IF(G166&gt;=200,"△ 注意","○ 良好")))</f>
        <v/>
      </c>
    </row>
    <row r="167" ht="15" customHeight="1" s="438">
      <c r="A167" s="66" t="n">
        <v>161</v>
      </c>
      <c r="B167" s="67">
        <f>IF(⑫ミキサー工程入力!C29="","",⑫ミキサー工程入力!C29)</f>
        <v/>
      </c>
      <c r="C167" s="82">
        <f>IF(⑫ミキサー工程入力!B29="","",⑫ミキサー工程入力!B29)</f>
        <v/>
      </c>
      <c r="D167" s="9">
        <f>IF(B167="","",⑫ミキサー工程入力!I29)</f>
        <v/>
      </c>
      <c r="E167" s="9">
        <f>IF(B167="","",⑫ミキサー工程入力!G29)</f>
        <v/>
      </c>
      <c r="F167" s="9">
        <f>IF(B167="","",⑫ミキサー工程入力!M29)</f>
        <v/>
      </c>
      <c r="G167" s="513">
        <f>IF(AND(ISNUMBER(D167),ISNUMBER(F167),D167&gt;0),F167/D167,"")</f>
        <v/>
      </c>
      <c r="H167" s="7" t="n">
        <v>0</v>
      </c>
      <c r="I167" s="9">
        <f>IF(ISNUMBER(F167),-F167-H167,"")</f>
        <v/>
      </c>
      <c r="J167" s="69">
        <f>IF(G167="","",IF(G167&gt;=300,"✕ 要改善",IF(G167&gt;=200,"△ 注意","○ 良好")))</f>
        <v/>
      </c>
      <c r="K167" s="70" t="n"/>
    </row>
    <row r="168" ht="15" customHeight="1" s="438">
      <c r="A168" s="397" t="n">
        <v>162</v>
      </c>
      <c r="B168">
        <f>IF(⑫ミキサー工程入力!C30="","",⑫ミキサー工程入力!C30)</f>
        <v/>
      </c>
      <c r="C168">
        <f>IF(⑫ミキサー工程入力!B30="","",⑫ミキサー工程入力!B30)</f>
        <v/>
      </c>
      <c r="D168">
        <f>IF(B168="","",⑫ミキサー工程入力!I30)</f>
        <v/>
      </c>
      <c r="E168">
        <f>IF(B168="","",⑫ミキサー工程入力!G30)</f>
        <v/>
      </c>
      <c r="F168">
        <f>IF(B168="","",⑫ミキサー工程入力!M30)</f>
        <v/>
      </c>
      <c r="G168">
        <f>IF(AND(ISNUMBER(D168),ISNUMBER(F168),D168&gt;0),F168/D168,"")</f>
        <v/>
      </c>
      <c r="H168" t="n">
        <v>0</v>
      </c>
      <c r="I168">
        <f>IF(ISNUMBER(F168),-F168-H168,"")</f>
        <v/>
      </c>
      <c r="J168">
        <f>IF(G168="","",IF(G168&gt;=300,"✕ 要改善",IF(G168&gt;=200,"△ 注意","○ 良好")))</f>
        <v/>
      </c>
    </row>
    <row r="169" ht="15" customHeight="1" s="438">
      <c r="A169" s="66" t="n">
        <v>163</v>
      </c>
      <c r="B169" s="67">
        <f>IF(⑫ミキサー工程入力!C31="","",⑫ミキサー工程入力!C31)</f>
        <v/>
      </c>
      <c r="C169" s="82">
        <f>IF(⑫ミキサー工程入力!B31="","",⑫ミキサー工程入力!B31)</f>
        <v/>
      </c>
      <c r="D169" s="9">
        <f>IF(B169="","",⑫ミキサー工程入力!I31)</f>
        <v/>
      </c>
      <c r="E169" s="9">
        <f>IF(B169="","",⑫ミキサー工程入力!G31)</f>
        <v/>
      </c>
      <c r="F169" s="9">
        <f>IF(B169="","",⑫ミキサー工程入力!M31)</f>
        <v/>
      </c>
      <c r="G169" s="513">
        <f>IF(AND(ISNUMBER(D169),ISNUMBER(F169),D169&gt;0),F169/D169,"")</f>
        <v/>
      </c>
      <c r="H169" s="7" t="n">
        <v>0</v>
      </c>
      <c r="I169" s="9">
        <f>IF(ISNUMBER(F169),-F169-H169,"")</f>
        <v/>
      </c>
      <c r="J169" s="69">
        <f>IF(G169="","",IF(G169&gt;=300,"✕ 要改善",IF(G169&gt;=200,"△ 注意","○ 良好")))</f>
        <v/>
      </c>
      <c r="K169" s="70" t="n"/>
    </row>
    <row r="170" ht="15" customHeight="1" s="438">
      <c r="A170" s="397" t="n">
        <v>164</v>
      </c>
      <c r="B170">
        <f>IF(⑫ミキサー工程入力!C32="","",⑫ミキサー工程入力!C32)</f>
        <v/>
      </c>
      <c r="C170">
        <f>IF(⑫ミキサー工程入力!B32="","",⑫ミキサー工程入力!B32)</f>
        <v/>
      </c>
      <c r="D170">
        <f>IF(B170="","",⑫ミキサー工程入力!I32)</f>
        <v/>
      </c>
      <c r="E170">
        <f>IF(B170="","",⑫ミキサー工程入力!G32)</f>
        <v/>
      </c>
      <c r="F170">
        <f>IF(B170="","",⑫ミキサー工程入力!M32)</f>
        <v/>
      </c>
      <c r="G170">
        <f>IF(AND(ISNUMBER(D170),ISNUMBER(F170),D170&gt;0),F170/D170,"")</f>
        <v/>
      </c>
      <c r="H170" t="n">
        <v>0</v>
      </c>
      <c r="I170">
        <f>IF(ISNUMBER(F170),-F170-H170,"")</f>
        <v/>
      </c>
      <c r="J170">
        <f>IF(G170="","",IF(G170&gt;=300,"✕ 要改善",IF(G170&gt;=200,"△ 注意","○ 良好")))</f>
        <v/>
      </c>
    </row>
    <row r="171" ht="15" customHeight="1" s="438">
      <c r="A171" s="66" t="n">
        <v>165</v>
      </c>
      <c r="B171" s="67">
        <f>IF(⑫ミキサー工程入力!C33="","",⑫ミキサー工程入力!C33)</f>
        <v/>
      </c>
      <c r="C171" s="82">
        <f>IF(⑫ミキサー工程入力!B33="","",⑫ミキサー工程入力!B33)</f>
        <v/>
      </c>
      <c r="D171" s="9">
        <f>IF(B171="","",⑫ミキサー工程入力!I33)</f>
        <v/>
      </c>
      <c r="E171" s="9">
        <f>IF(B171="","",⑫ミキサー工程入力!G33)</f>
        <v/>
      </c>
      <c r="F171" s="9">
        <f>IF(B171="","",⑫ミキサー工程入力!M33)</f>
        <v/>
      </c>
      <c r="G171" s="513">
        <f>IF(AND(ISNUMBER(D171),ISNUMBER(F171),D171&gt;0),F171/D171,"")</f>
        <v/>
      </c>
      <c r="H171" s="7" t="n">
        <v>0</v>
      </c>
      <c r="I171" s="9">
        <f>IF(ISNUMBER(F171),-F171-H171,"")</f>
        <v/>
      </c>
      <c r="J171" s="69">
        <f>IF(G171="","",IF(G171&gt;=300,"✕ 要改善",IF(G171&gt;=200,"△ 注意","○ 良好")))</f>
        <v/>
      </c>
      <c r="K171" s="70" t="n"/>
    </row>
    <row r="172" ht="15" customHeight="1" s="438">
      <c r="A172" s="397" t="n">
        <v>166</v>
      </c>
      <c r="B172">
        <f>IF(⑫ミキサー工程入力!C34="","",⑫ミキサー工程入力!C34)</f>
        <v/>
      </c>
      <c r="C172">
        <f>IF(⑫ミキサー工程入力!B34="","",⑫ミキサー工程入力!B34)</f>
        <v/>
      </c>
      <c r="D172">
        <f>IF(B172="","",⑫ミキサー工程入力!I34)</f>
        <v/>
      </c>
      <c r="E172">
        <f>IF(B172="","",⑫ミキサー工程入力!G34)</f>
        <v/>
      </c>
      <c r="F172">
        <f>IF(B172="","",⑫ミキサー工程入力!M34)</f>
        <v/>
      </c>
      <c r="G172">
        <f>IF(AND(ISNUMBER(D172),ISNUMBER(F172),D172&gt;0),F172/D172,"")</f>
        <v/>
      </c>
      <c r="H172" t="n">
        <v>0</v>
      </c>
      <c r="I172">
        <f>IF(ISNUMBER(F172),-F172-H172,"")</f>
        <v/>
      </c>
      <c r="J172">
        <f>IF(G172="","",IF(G172&gt;=300,"✕ 要改善",IF(G172&gt;=200,"△ 注意","○ 良好")))</f>
        <v/>
      </c>
    </row>
    <row r="173" ht="15" customHeight="1" s="438">
      <c r="A173" s="66" t="n">
        <v>167</v>
      </c>
      <c r="B173" s="67">
        <f>IF(⑫ミキサー工程入力!C35="","",⑫ミキサー工程入力!C35)</f>
        <v/>
      </c>
      <c r="C173" s="82">
        <f>IF(⑫ミキサー工程入力!B35="","",⑫ミキサー工程入力!B35)</f>
        <v/>
      </c>
      <c r="D173" s="9">
        <f>IF(B173="","",⑫ミキサー工程入力!I35)</f>
        <v/>
      </c>
      <c r="E173" s="9">
        <f>IF(B173="","",⑫ミキサー工程入力!G35)</f>
        <v/>
      </c>
      <c r="F173" s="9">
        <f>IF(B173="","",⑫ミキサー工程入力!M35)</f>
        <v/>
      </c>
      <c r="G173" s="513">
        <f>IF(AND(ISNUMBER(D173),ISNUMBER(F173),D173&gt;0),F173/D173,"")</f>
        <v/>
      </c>
      <c r="H173" s="7" t="n">
        <v>0</v>
      </c>
      <c r="I173" s="9">
        <f>IF(ISNUMBER(F173),-F173-H173,"")</f>
        <v/>
      </c>
      <c r="J173" s="69">
        <f>IF(G173="","",IF(G173&gt;=300,"✕ 要改善",IF(G173&gt;=200,"△ 注意","○ 良好")))</f>
        <v/>
      </c>
      <c r="K173" s="70" t="n"/>
    </row>
    <row r="174" ht="15" customHeight="1" s="438">
      <c r="A174" s="397" t="n">
        <v>168</v>
      </c>
      <c r="B174">
        <f>IF(⑫ミキサー工程入力!C36="","",⑫ミキサー工程入力!C36)</f>
        <v/>
      </c>
      <c r="C174">
        <f>IF(⑫ミキサー工程入力!B36="","",⑫ミキサー工程入力!B36)</f>
        <v/>
      </c>
      <c r="D174">
        <f>IF(B174="","",⑫ミキサー工程入力!I36)</f>
        <v/>
      </c>
      <c r="E174">
        <f>IF(B174="","",⑫ミキサー工程入力!G36)</f>
        <v/>
      </c>
      <c r="F174">
        <f>IF(B174="","",⑫ミキサー工程入力!M36)</f>
        <v/>
      </c>
      <c r="G174">
        <f>IF(AND(ISNUMBER(D174),ISNUMBER(F174),D174&gt;0),F174/D174,"")</f>
        <v/>
      </c>
      <c r="H174" t="n">
        <v>0</v>
      </c>
      <c r="I174">
        <f>IF(ISNUMBER(F174),-F174-H174,"")</f>
        <v/>
      </c>
      <c r="J174">
        <f>IF(G174="","",IF(G174&gt;=300,"✕ 要改善",IF(G174&gt;=200,"△ 注意","○ 良好")))</f>
        <v/>
      </c>
    </row>
    <row r="175" ht="15" customHeight="1" s="438">
      <c r="A175" s="66" t="n">
        <v>169</v>
      </c>
      <c r="B175" s="67">
        <f>IF(⑫ミキサー工程入力!C37="","",⑫ミキサー工程入力!C37)</f>
        <v/>
      </c>
      <c r="C175" s="82">
        <f>IF(⑫ミキサー工程入力!B37="","",⑫ミキサー工程入力!B37)</f>
        <v/>
      </c>
      <c r="D175" s="9">
        <f>IF(B175="","",⑫ミキサー工程入力!I37)</f>
        <v/>
      </c>
      <c r="E175" s="9">
        <f>IF(B175="","",⑫ミキサー工程入力!G37)</f>
        <v/>
      </c>
      <c r="F175" s="9">
        <f>IF(B175="","",⑫ミキサー工程入力!M37)</f>
        <v/>
      </c>
      <c r="G175" s="513">
        <f>IF(AND(ISNUMBER(D175),ISNUMBER(F175),D175&gt;0),F175/D175,"")</f>
        <v/>
      </c>
      <c r="H175" s="7" t="n">
        <v>0</v>
      </c>
      <c r="I175" s="9">
        <f>IF(ISNUMBER(F175),-F175-H175,"")</f>
        <v/>
      </c>
      <c r="J175" s="69">
        <f>IF(G175="","",IF(G175&gt;=300,"✕ 要改善",IF(G175&gt;=200,"△ 注意","○ 良好")))</f>
        <v/>
      </c>
      <c r="K175" s="70" t="n"/>
    </row>
    <row r="176" ht="26" customHeight="1" s="438">
      <c r="A176" s="397" t="n">
        <v>170</v>
      </c>
      <c r="B176">
        <f>IF(⑫ミキサー工程入力!C38="","",⑫ミキサー工程入力!C38)</f>
        <v/>
      </c>
      <c r="C176">
        <f>IF(⑫ミキサー工程入力!B38="","",⑫ミキサー工程入力!B38)</f>
        <v/>
      </c>
      <c r="D176">
        <f>IF(B176="","",⑫ミキサー工程入力!I38)</f>
        <v/>
      </c>
      <c r="E176">
        <f>IF(B176="","",⑫ミキサー工程入力!G38)</f>
        <v/>
      </c>
      <c r="F176">
        <f>IF(B176="","",⑫ミキサー工程入力!M38)</f>
        <v/>
      </c>
      <c r="G176">
        <f>IF(AND(ISNUMBER(D176),ISNUMBER(F176),D176&gt;0),F176/D176,"")</f>
        <v/>
      </c>
      <c r="H176" t="n">
        <v>0</v>
      </c>
      <c r="I176">
        <f>IF(ISNUMBER(F176),-F176-H176,"")</f>
        <v/>
      </c>
      <c r="J176">
        <f>IF(G176="","",IF(G176&gt;=300,"✕ 要改善",IF(G176&gt;=200,"△ 注意","○ 良好")))</f>
        <v/>
      </c>
    </row>
    <row r="177" ht="15" customHeight="1" s="438">
      <c r="A177" s="66" t="n">
        <v>171</v>
      </c>
      <c r="B177" s="67">
        <f>IF(⑫ミキサー工程入力!C39="","",⑫ミキサー工程入力!C39)</f>
        <v/>
      </c>
      <c r="C177" s="82">
        <f>IF(⑫ミキサー工程入力!B39="","",⑫ミキサー工程入力!B39)</f>
        <v/>
      </c>
      <c r="D177" s="9">
        <f>IF(B177="","",⑫ミキサー工程入力!I39)</f>
        <v/>
      </c>
      <c r="E177" s="9">
        <f>IF(B177="","",⑫ミキサー工程入力!G39)</f>
        <v/>
      </c>
      <c r="F177" s="9">
        <f>IF(B177="","",⑫ミキサー工程入力!M39)</f>
        <v/>
      </c>
      <c r="G177" s="513">
        <f>IF(AND(ISNUMBER(D177),ISNUMBER(F177),D177&gt;0),F177/D177,"")</f>
        <v/>
      </c>
      <c r="H177" s="7" t="n">
        <v>0</v>
      </c>
      <c r="I177" s="9">
        <f>IF(ISNUMBER(F177),-F177-H177,"")</f>
        <v/>
      </c>
      <c r="J177" s="69">
        <f>IF(G177="","",IF(G177&gt;=300,"✕ 要改善",IF(G177&gt;=200,"△ 注意","○ 良好")))</f>
        <v/>
      </c>
      <c r="K177" s="70" t="n"/>
    </row>
    <row r="178" ht="15" customHeight="1" s="438">
      <c r="A178" s="397" t="n">
        <v>172</v>
      </c>
      <c r="B178">
        <f>IF(⑫ミキサー工程入力!C40="","",⑫ミキサー工程入力!C40)</f>
        <v/>
      </c>
      <c r="C178">
        <f>IF(⑫ミキサー工程入力!B40="","",⑫ミキサー工程入力!B40)</f>
        <v/>
      </c>
      <c r="D178">
        <f>IF(B178="","",⑫ミキサー工程入力!I40)</f>
        <v/>
      </c>
      <c r="E178">
        <f>IF(B178="","",⑫ミキサー工程入力!G40)</f>
        <v/>
      </c>
      <c r="F178">
        <f>IF(B178="","",⑫ミキサー工程入力!M40)</f>
        <v/>
      </c>
      <c r="G178">
        <f>IF(AND(ISNUMBER(D178),ISNUMBER(F178),D178&gt;0),F178/D178,"")</f>
        <v/>
      </c>
      <c r="H178" t="n">
        <v>0</v>
      </c>
      <c r="I178">
        <f>IF(ISNUMBER(F178),-F178-H178,"")</f>
        <v/>
      </c>
      <c r="J178">
        <f>IF(G178="","",IF(G178&gt;=300,"✕ 要改善",IF(G178&gt;=200,"△ 注意","○ 良好")))</f>
        <v/>
      </c>
    </row>
    <row r="179" ht="15" customHeight="1" s="438">
      <c r="A179" s="66" t="n">
        <v>173</v>
      </c>
      <c r="B179" s="67">
        <f>IF(⑫ミキサー工程入力!C41="","",⑫ミキサー工程入力!C41)</f>
        <v/>
      </c>
      <c r="C179" s="82">
        <f>IF(⑫ミキサー工程入力!B41="","",⑫ミキサー工程入力!B41)</f>
        <v/>
      </c>
      <c r="D179" s="9">
        <f>IF(B179="","",⑫ミキサー工程入力!I41)</f>
        <v/>
      </c>
      <c r="E179" s="9">
        <f>IF(B179="","",⑫ミキサー工程入力!G41)</f>
        <v/>
      </c>
      <c r="F179" s="9">
        <f>IF(B179="","",⑫ミキサー工程入力!M41)</f>
        <v/>
      </c>
      <c r="G179" s="513">
        <f>IF(AND(ISNUMBER(D179),ISNUMBER(F179),D179&gt;0),F179/D179,"")</f>
        <v/>
      </c>
      <c r="H179" s="7" t="n">
        <v>0</v>
      </c>
      <c r="I179" s="9">
        <f>IF(ISNUMBER(F179),-F179-H179,"")</f>
        <v/>
      </c>
      <c r="J179" s="69">
        <f>IF(G179="","",IF(G179&gt;=300,"✕ 要改善",IF(G179&gt;=200,"△ 注意","○ 良好")))</f>
        <v/>
      </c>
      <c r="K179" s="70" t="n"/>
    </row>
    <row r="180" ht="15" customHeight="1" s="438">
      <c r="A180" s="397" t="n">
        <v>174</v>
      </c>
      <c r="B180">
        <f>IF(⑫ミキサー工程入力!C42="","",⑫ミキサー工程入力!C42)</f>
        <v/>
      </c>
      <c r="C180">
        <f>IF(⑫ミキサー工程入力!B42="","",⑫ミキサー工程入力!B42)</f>
        <v/>
      </c>
      <c r="D180">
        <f>IF(B180="","",⑫ミキサー工程入力!I42)</f>
        <v/>
      </c>
      <c r="E180">
        <f>IF(B180="","",⑫ミキサー工程入力!G42)</f>
        <v/>
      </c>
      <c r="F180">
        <f>IF(B180="","",⑫ミキサー工程入力!M42)</f>
        <v/>
      </c>
      <c r="G180">
        <f>IF(AND(ISNUMBER(D180),ISNUMBER(F180),D180&gt;0),F180/D180,"")</f>
        <v/>
      </c>
      <c r="H180" t="n">
        <v>0</v>
      </c>
      <c r="I180">
        <f>IF(ISNUMBER(F180),-F180-H180,"")</f>
        <v/>
      </c>
      <c r="J180">
        <f>IF(G180="","",IF(G180&gt;=300,"✕ 要改善",IF(G180&gt;=200,"△ 注意","○ 良好")))</f>
        <v/>
      </c>
    </row>
    <row r="181" ht="15" customHeight="1" s="438">
      <c r="A181" s="66" t="n">
        <v>175</v>
      </c>
      <c r="B181" s="67">
        <f>IF(⑫ミキサー工程入力!C43="","",⑫ミキサー工程入力!C43)</f>
        <v/>
      </c>
      <c r="C181" s="82">
        <f>IF(⑫ミキサー工程入力!B43="","",⑫ミキサー工程入力!B43)</f>
        <v/>
      </c>
      <c r="D181" s="9">
        <f>IF(B181="","",⑫ミキサー工程入力!I43)</f>
        <v/>
      </c>
      <c r="E181" s="9">
        <f>IF(B181="","",⑫ミキサー工程入力!G43)</f>
        <v/>
      </c>
      <c r="F181" s="9">
        <f>IF(B181="","",⑫ミキサー工程入力!M43)</f>
        <v/>
      </c>
      <c r="G181" s="513">
        <f>IF(AND(ISNUMBER(D181),ISNUMBER(F181),D181&gt;0),F181/D181,"")</f>
        <v/>
      </c>
      <c r="H181" s="7" t="n">
        <v>0</v>
      </c>
      <c r="I181" s="9">
        <f>IF(ISNUMBER(F181),-F181-H181,"")</f>
        <v/>
      </c>
      <c r="J181" s="69">
        <f>IF(G181="","",IF(G181&gt;=300,"✕ 要改善",IF(G181&gt;=200,"△ 注意","○ 良好")))</f>
        <v/>
      </c>
      <c r="K181" s="70" t="n"/>
    </row>
    <row r="182" ht="15" customHeight="1" s="438">
      <c r="A182" s="397" t="n">
        <v>176</v>
      </c>
      <c r="B182">
        <f>IF(⑫ミキサー工程入力!C44="","",⑫ミキサー工程入力!C44)</f>
        <v/>
      </c>
      <c r="C182">
        <f>IF(⑫ミキサー工程入力!B44="","",⑫ミキサー工程入力!B44)</f>
        <v/>
      </c>
      <c r="D182">
        <f>IF(B182="","",⑫ミキサー工程入力!I44)</f>
        <v/>
      </c>
      <c r="E182">
        <f>IF(B182="","",⑫ミキサー工程入力!G44)</f>
        <v/>
      </c>
      <c r="F182">
        <f>IF(B182="","",⑫ミキサー工程入力!M44)</f>
        <v/>
      </c>
      <c r="G182">
        <f>IF(AND(ISNUMBER(D182),ISNUMBER(F182),D182&gt;0),F182/D182,"")</f>
        <v/>
      </c>
      <c r="H182" t="n">
        <v>0</v>
      </c>
      <c r="I182">
        <f>IF(ISNUMBER(F182),-F182-H182,"")</f>
        <v/>
      </c>
      <c r="J182">
        <f>IF(G182="","",IF(G182&gt;=300,"✕ 要改善",IF(G182&gt;=200,"△ 注意","○ 良好")))</f>
        <v/>
      </c>
    </row>
    <row r="183" ht="15" customHeight="1" s="438">
      <c r="A183" s="66" t="n">
        <v>177</v>
      </c>
      <c r="B183" s="67">
        <f>IF(⑫ミキサー工程入力!C45="","",⑫ミキサー工程入力!C45)</f>
        <v/>
      </c>
      <c r="C183" s="82">
        <f>IF(⑫ミキサー工程入力!B45="","",⑫ミキサー工程入力!B45)</f>
        <v/>
      </c>
      <c r="D183" s="9">
        <f>IF(B183="","",⑫ミキサー工程入力!I45)</f>
        <v/>
      </c>
      <c r="E183" s="9">
        <f>IF(B183="","",⑫ミキサー工程入力!G45)</f>
        <v/>
      </c>
      <c r="F183" s="9">
        <f>IF(B183="","",⑫ミキサー工程入力!M45)</f>
        <v/>
      </c>
      <c r="G183" s="513">
        <f>IF(AND(ISNUMBER(D183),ISNUMBER(F183),D183&gt;0),F183/D183,"")</f>
        <v/>
      </c>
      <c r="H183" s="7" t="n">
        <v>0</v>
      </c>
      <c r="I183" s="9">
        <f>IF(ISNUMBER(F183),-F183-H183,"")</f>
        <v/>
      </c>
      <c r="J183" s="69">
        <f>IF(G183="","",IF(G183&gt;=300,"✕ 要改善",IF(G183&gt;=200,"△ 注意","○ 良好")))</f>
        <v/>
      </c>
      <c r="K183" s="70" t="n"/>
    </row>
    <row r="184" ht="15" customHeight="1" s="438">
      <c r="A184" s="397" t="n">
        <v>178</v>
      </c>
      <c r="B184">
        <f>IF(⑫ミキサー工程入力!C46="","",⑫ミキサー工程入力!C46)</f>
        <v/>
      </c>
      <c r="C184">
        <f>IF(⑫ミキサー工程入力!B46="","",⑫ミキサー工程入力!B46)</f>
        <v/>
      </c>
      <c r="D184">
        <f>IF(B184="","",⑫ミキサー工程入力!I46)</f>
        <v/>
      </c>
      <c r="E184">
        <f>IF(B184="","",⑫ミキサー工程入力!G46)</f>
        <v/>
      </c>
      <c r="F184">
        <f>IF(B184="","",⑫ミキサー工程入力!M46)</f>
        <v/>
      </c>
      <c r="G184">
        <f>IF(AND(ISNUMBER(D184),ISNUMBER(F184),D184&gt;0),F184/D184,"")</f>
        <v/>
      </c>
      <c r="H184" t="n">
        <v>0</v>
      </c>
      <c r="I184">
        <f>IF(ISNUMBER(F184),-F184-H184,"")</f>
        <v/>
      </c>
      <c r="J184">
        <f>IF(G184="","",IF(G184&gt;=300,"✕ 要改善",IF(G184&gt;=200,"△ 注意","○ 良好")))</f>
        <v/>
      </c>
    </row>
    <row r="185" ht="15" customHeight="1" s="438">
      <c r="A185" s="66" t="n">
        <v>179</v>
      </c>
      <c r="B185" s="67">
        <f>IF(⑫ミキサー工程入力!C47="","",⑫ミキサー工程入力!C47)</f>
        <v/>
      </c>
      <c r="C185" s="82">
        <f>IF(⑫ミキサー工程入力!B47="","",⑫ミキサー工程入力!B47)</f>
        <v/>
      </c>
      <c r="D185" s="9">
        <f>IF(B185="","",⑫ミキサー工程入力!I47)</f>
        <v/>
      </c>
      <c r="E185" s="9">
        <f>IF(B185="","",⑫ミキサー工程入力!G47)</f>
        <v/>
      </c>
      <c r="F185" s="9">
        <f>IF(B185="","",⑫ミキサー工程入力!M47)</f>
        <v/>
      </c>
      <c r="G185" s="513">
        <f>IF(AND(ISNUMBER(D185),ISNUMBER(F185),D185&gt;0),F185/D185,"")</f>
        <v/>
      </c>
      <c r="H185" s="7" t="n">
        <v>0</v>
      </c>
      <c r="I185" s="9">
        <f>IF(ISNUMBER(F185),-F185-H185,"")</f>
        <v/>
      </c>
      <c r="J185" s="69">
        <f>IF(G185="","",IF(G185&gt;=300,"✕ 要改善",IF(G185&gt;=200,"△ 注意","○ 良好")))</f>
        <v/>
      </c>
      <c r="K185" s="70" t="n"/>
    </row>
    <row r="186" ht="15" customHeight="1" s="438">
      <c r="A186" s="397" t="n">
        <v>180</v>
      </c>
      <c r="B186">
        <f>IF(⑫ミキサー工程入力!C48="","",⑫ミキサー工程入力!C48)</f>
        <v/>
      </c>
      <c r="C186">
        <f>IF(⑫ミキサー工程入力!B48="","",⑫ミキサー工程入力!B48)</f>
        <v/>
      </c>
      <c r="D186">
        <f>IF(B186="","",⑫ミキサー工程入力!I48)</f>
        <v/>
      </c>
      <c r="E186">
        <f>IF(B186="","",⑫ミキサー工程入力!G48)</f>
        <v/>
      </c>
      <c r="F186">
        <f>IF(B186="","",⑫ミキサー工程入力!M48)</f>
        <v/>
      </c>
      <c r="G186">
        <f>IF(AND(ISNUMBER(D186),ISNUMBER(F186),D186&gt;0),F186/D186,"")</f>
        <v/>
      </c>
      <c r="H186" t="n">
        <v>0</v>
      </c>
      <c r="I186">
        <f>IF(ISNUMBER(F186),-F186-H186,"")</f>
        <v/>
      </c>
      <c r="J186">
        <f>IF(G186="","",IF(G186&gt;=300,"✕ 要改善",IF(G186&gt;=200,"△ 注意","○ 良好")))</f>
        <v/>
      </c>
    </row>
    <row r="187" ht="15" customHeight="1" s="438">
      <c r="A187" s="66" t="n">
        <v>181</v>
      </c>
      <c r="B187" s="67">
        <f>IF(⑫ミキサー工程入力!C49="","",⑫ミキサー工程入力!C49)</f>
        <v/>
      </c>
      <c r="C187" s="82">
        <f>IF(⑫ミキサー工程入力!B49="","",⑫ミキサー工程入力!B49)</f>
        <v/>
      </c>
      <c r="D187" s="9">
        <f>IF(B187="","",⑫ミキサー工程入力!I49)</f>
        <v/>
      </c>
      <c r="E187" s="9">
        <f>IF(B187="","",⑫ミキサー工程入力!G49)</f>
        <v/>
      </c>
      <c r="F187" s="9">
        <f>IF(B187="","",⑫ミキサー工程入力!M49)</f>
        <v/>
      </c>
      <c r="G187" s="513">
        <f>IF(AND(ISNUMBER(D187),ISNUMBER(F187),D187&gt;0),F187/D187,"")</f>
        <v/>
      </c>
      <c r="H187" s="7" t="n">
        <v>0</v>
      </c>
      <c r="I187" s="9">
        <f>IF(ISNUMBER(F187),-F187-H187,"")</f>
        <v/>
      </c>
      <c r="J187" s="69">
        <f>IF(G187="","",IF(G187&gt;=300,"✕ 要改善",IF(G187&gt;=200,"△ 注意","○ 良好")))</f>
        <v/>
      </c>
      <c r="K187" s="70" t="n"/>
    </row>
    <row r="188" ht="15" customHeight="1" s="438">
      <c r="A188" s="397" t="n">
        <v>182</v>
      </c>
      <c r="B188">
        <f>IF(⑫ミキサー工程入力!C50="","",⑫ミキサー工程入力!C50)</f>
        <v/>
      </c>
      <c r="C188">
        <f>IF(⑫ミキサー工程入力!B50="","",⑫ミキサー工程入力!B50)</f>
        <v/>
      </c>
      <c r="D188">
        <f>IF(B188="","",⑫ミキサー工程入力!I50)</f>
        <v/>
      </c>
      <c r="E188">
        <f>IF(B188="","",⑫ミキサー工程入力!G50)</f>
        <v/>
      </c>
      <c r="F188">
        <f>IF(B188="","",⑫ミキサー工程入力!M50)</f>
        <v/>
      </c>
      <c r="G188">
        <f>IF(AND(ISNUMBER(D188),ISNUMBER(F188),D188&gt;0),F188/D188,"")</f>
        <v/>
      </c>
      <c r="H188" t="n">
        <v>0</v>
      </c>
      <c r="I188">
        <f>IF(ISNUMBER(F188),-F188-H188,"")</f>
        <v/>
      </c>
      <c r="J188">
        <f>IF(G188="","",IF(G188&gt;=300,"✕ 要改善",IF(G188&gt;=200,"△ 注意","○ 良好")))</f>
        <v/>
      </c>
    </row>
    <row r="189" ht="15" customHeight="1" s="438">
      <c r="A189" s="66" t="n">
        <v>183</v>
      </c>
      <c r="B189" s="67">
        <f>IF(⑫ミキサー工程入力!C51="","",⑫ミキサー工程入力!C51)</f>
        <v/>
      </c>
      <c r="C189" s="82">
        <f>IF(⑫ミキサー工程入力!B51="","",⑫ミキサー工程入力!B51)</f>
        <v/>
      </c>
      <c r="D189" s="9">
        <f>IF(B189="","",⑫ミキサー工程入力!I51)</f>
        <v/>
      </c>
      <c r="E189" s="9">
        <f>IF(B189="","",⑫ミキサー工程入力!G51)</f>
        <v/>
      </c>
      <c r="F189" s="9">
        <f>IF(B189="","",⑫ミキサー工程入力!M51)</f>
        <v/>
      </c>
      <c r="G189" s="513">
        <f>IF(AND(ISNUMBER(D189),ISNUMBER(F189),D189&gt;0),F189/D189,"")</f>
        <v/>
      </c>
      <c r="H189" s="7" t="n">
        <v>0</v>
      </c>
      <c r="I189" s="9">
        <f>IF(ISNUMBER(F189),-F189-H189,"")</f>
        <v/>
      </c>
      <c r="J189" s="69">
        <f>IF(G189="","",IF(G189&gt;=300,"✕ 要改善",IF(G189&gt;=200,"△ 注意","○ 良好")))</f>
        <v/>
      </c>
      <c r="K189" s="70" t="n"/>
    </row>
    <row r="190" ht="15" customHeight="1" s="438">
      <c r="A190" s="397" t="n">
        <v>184</v>
      </c>
      <c r="B190">
        <f>IF(⑫ミキサー工程入力!C52="","",⑫ミキサー工程入力!C52)</f>
        <v/>
      </c>
      <c r="C190">
        <f>IF(⑫ミキサー工程入力!B52="","",⑫ミキサー工程入力!B52)</f>
        <v/>
      </c>
      <c r="D190">
        <f>IF(B190="","",⑫ミキサー工程入力!I52)</f>
        <v/>
      </c>
      <c r="E190">
        <f>IF(B190="","",⑫ミキサー工程入力!G52)</f>
        <v/>
      </c>
      <c r="F190">
        <f>IF(B190="","",⑫ミキサー工程入力!M52)</f>
        <v/>
      </c>
      <c r="G190">
        <f>IF(AND(ISNUMBER(D190),ISNUMBER(F190),D190&gt;0),F190/D190,"")</f>
        <v/>
      </c>
      <c r="H190" t="n">
        <v>0</v>
      </c>
      <c r="I190">
        <f>IF(ISNUMBER(F190),-F190-H190,"")</f>
        <v/>
      </c>
      <c r="J190">
        <f>IF(G190="","",IF(G190&gt;=300,"✕ 要改善",IF(G190&gt;=200,"△ 注意","○ 良好")))</f>
        <v/>
      </c>
    </row>
    <row r="191" ht="15" customHeight="1" s="438">
      <c r="A191" s="66" t="n">
        <v>185</v>
      </c>
      <c r="B191" s="67">
        <f>IF(⑫ミキサー工程入力!C53="","",⑫ミキサー工程入力!C53)</f>
        <v/>
      </c>
      <c r="C191" s="82">
        <f>IF(⑫ミキサー工程入力!B53="","",⑫ミキサー工程入力!B53)</f>
        <v/>
      </c>
      <c r="D191" s="9">
        <f>IF(B191="","",⑫ミキサー工程入力!I53)</f>
        <v/>
      </c>
      <c r="E191" s="9">
        <f>IF(B191="","",⑫ミキサー工程入力!G53)</f>
        <v/>
      </c>
      <c r="F191" s="9">
        <f>IF(B191="","",⑫ミキサー工程入力!M53)</f>
        <v/>
      </c>
      <c r="G191" s="513">
        <f>IF(AND(ISNUMBER(D191),ISNUMBER(F191),D191&gt;0),F191/D191,"")</f>
        <v/>
      </c>
      <c r="H191" s="7" t="n">
        <v>0</v>
      </c>
      <c r="I191" s="9">
        <f>IF(ISNUMBER(F191),-F191-H191,"")</f>
        <v/>
      </c>
      <c r="J191" s="69">
        <f>IF(G191="","",IF(G191&gt;=300,"✕ 要改善",IF(G191&gt;=200,"△ 注意","○ 良好")))</f>
        <v/>
      </c>
      <c r="K191" s="70" t="n"/>
    </row>
    <row r="192" ht="15" customHeight="1" s="438">
      <c r="A192" s="397" t="n">
        <v>186</v>
      </c>
      <c r="B192">
        <f>IF(⑫ミキサー工程入力!C54="","",⑫ミキサー工程入力!C54)</f>
        <v/>
      </c>
      <c r="C192">
        <f>IF(⑫ミキサー工程入力!B54="","",⑫ミキサー工程入力!B54)</f>
        <v/>
      </c>
      <c r="D192">
        <f>IF(B192="","",⑫ミキサー工程入力!I54)</f>
        <v/>
      </c>
      <c r="E192">
        <f>IF(B192="","",⑫ミキサー工程入力!G54)</f>
        <v/>
      </c>
      <c r="F192">
        <f>IF(B192="","",⑫ミキサー工程入力!M54)</f>
        <v/>
      </c>
      <c r="G192">
        <f>IF(AND(ISNUMBER(D192),ISNUMBER(F192),D192&gt;0),F192/D192,"")</f>
        <v/>
      </c>
      <c r="H192" t="n">
        <v>0</v>
      </c>
      <c r="I192">
        <f>IF(ISNUMBER(F192),-F192-H192,"")</f>
        <v/>
      </c>
      <c r="J192">
        <f>IF(G192="","",IF(G192&gt;=300,"✕ 要改善",IF(G192&gt;=200,"△ 注意","○ 良好")))</f>
        <v/>
      </c>
    </row>
    <row r="193" ht="15" customHeight="1" s="438">
      <c r="A193" s="66" t="n">
        <v>187</v>
      </c>
      <c r="B193" s="67">
        <f>IF(⑫ミキサー工程入力!C55="","",⑫ミキサー工程入力!C55)</f>
        <v/>
      </c>
      <c r="C193" s="82">
        <f>IF(⑫ミキサー工程入力!B55="","",⑫ミキサー工程入力!B55)</f>
        <v/>
      </c>
      <c r="D193" s="9">
        <f>IF(B193="","",⑫ミキサー工程入力!I55)</f>
        <v/>
      </c>
      <c r="E193" s="9">
        <f>IF(B193="","",⑫ミキサー工程入力!G55)</f>
        <v/>
      </c>
      <c r="F193" s="9">
        <f>IF(B193="","",⑫ミキサー工程入力!M55)</f>
        <v/>
      </c>
      <c r="G193" s="513">
        <f>IF(AND(ISNUMBER(D193),ISNUMBER(F193),D193&gt;0),F193/D193,"")</f>
        <v/>
      </c>
      <c r="H193" s="7" t="n">
        <v>0</v>
      </c>
      <c r="I193" s="9">
        <f>IF(ISNUMBER(F193),-F193-H193,"")</f>
        <v/>
      </c>
      <c r="J193" s="69">
        <f>IF(G193="","",IF(G193&gt;=300,"✕ 要改善",IF(G193&gt;=200,"△ 注意","○ 良好")))</f>
        <v/>
      </c>
      <c r="K193" s="70" t="n"/>
    </row>
    <row r="194" ht="15" customHeight="1" s="438">
      <c r="A194" s="397" t="n">
        <v>188</v>
      </c>
      <c r="B194">
        <f>IF(⑫ミキサー工程入力!C56="","",⑫ミキサー工程入力!C56)</f>
        <v/>
      </c>
      <c r="C194">
        <f>IF(⑫ミキサー工程入力!B56="","",⑫ミキサー工程入力!B56)</f>
        <v/>
      </c>
      <c r="D194">
        <f>IF(B194="","",⑫ミキサー工程入力!I56)</f>
        <v/>
      </c>
      <c r="E194">
        <f>IF(B194="","",⑫ミキサー工程入力!G56)</f>
        <v/>
      </c>
      <c r="F194">
        <f>IF(B194="","",⑫ミキサー工程入力!M56)</f>
        <v/>
      </c>
      <c r="G194">
        <f>IF(AND(ISNUMBER(D194),ISNUMBER(F194),D194&gt;0),F194/D194,"")</f>
        <v/>
      </c>
      <c r="H194" t="n">
        <v>0</v>
      </c>
      <c r="I194">
        <f>IF(ISNUMBER(F194),-F194-H194,"")</f>
        <v/>
      </c>
      <c r="J194">
        <f>IF(G194="","",IF(G194&gt;=300,"✕ 要改善",IF(G194&gt;=200,"△ 注意","○ 良好")))</f>
        <v/>
      </c>
    </row>
    <row r="195" ht="15" customHeight="1" s="438">
      <c r="A195" s="66" t="n">
        <v>189</v>
      </c>
      <c r="B195" s="67">
        <f>IF(⑫ミキサー工程入力!C57="","",⑫ミキサー工程入力!C57)</f>
        <v/>
      </c>
      <c r="C195" s="82">
        <f>IF(⑫ミキサー工程入力!B57="","",⑫ミキサー工程入力!B57)</f>
        <v/>
      </c>
      <c r="D195" s="9">
        <f>IF(B195="","",⑫ミキサー工程入力!I57)</f>
        <v/>
      </c>
      <c r="E195" s="9">
        <f>IF(B195="","",⑫ミキサー工程入力!G57)</f>
        <v/>
      </c>
      <c r="F195" s="9">
        <f>IF(B195="","",⑫ミキサー工程入力!M57)</f>
        <v/>
      </c>
      <c r="G195" s="513">
        <f>IF(AND(ISNUMBER(D195),ISNUMBER(F195),D195&gt;0),F195/D195,"")</f>
        <v/>
      </c>
      <c r="H195" s="7" t="n">
        <v>0</v>
      </c>
      <c r="I195" s="9">
        <f>IF(ISNUMBER(F195),-F195-H195,"")</f>
        <v/>
      </c>
      <c r="J195" s="69">
        <f>IF(G195="","",IF(G195&gt;=300,"✕ 要改善",IF(G195&gt;=200,"△ 注意","○ 良好")))</f>
        <v/>
      </c>
      <c r="K195" s="70" t="n"/>
    </row>
    <row r="196" ht="15" customHeight="1" s="438">
      <c r="A196" s="397" t="n">
        <v>190</v>
      </c>
      <c r="B196">
        <f>IF(⑫ミキサー工程入力!C58="","",⑫ミキサー工程入力!C58)</f>
        <v/>
      </c>
      <c r="C196">
        <f>IF(⑫ミキサー工程入力!B58="","",⑫ミキサー工程入力!B58)</f>
        <v/>
      </c>
      <c r="D196">
        <f>IF(B196="","",⑫ミキサー工程入力!I58)</f>
        <v/>
      </c>
      <c r="E196">
        <f>IF(B196="","",⑫ミキサー工程入力!G58)</f>
        <v/>
      </c>
      <c r="F196">
        <f>IF(B196="","",⑫ミキサー工程入力!M58)</f>
        <v/>
      </c>
      <c r="G196">
        <f>IF(AND(ISNUMBER(D196),ISNUMBER(F196),D196&gt;0),F196/D196,"")</f>
        <v/>
      </c>
      <c r="H196" t="n">
        <v>0</v>
      </c>
      <c r="I196">
        <f>IF(ISNUMBER(F196),-F196-H196,"")</f>
        <v/>
      </c>
      <c r="J196">
        <f>IF(G196="","",IF(G196&gt;=300,"✕ 要改善",IF(G196&gt;=200,"△ 注意","○ 良好")))</f>
        <v/>
      </c>
    </row>
    <row r="197" ht="15" customHeight="1" s="438">
      <c r="A197" s="66" t="n">
        <v>191</v>
      </c>
      <c r="B197" s="67">
        <f>IF(⑫ミキサー工程入力!C59="","",⑫ミキサー工程入力!C59)</f>
        <v/>
      </c>
      <c r="C197" s="82">
        <f>IF(⑫ミキサー工程入力!B59="","",⑫ミキサー工程入力!B59)</f>
        <v/>
      </c>
      <c r="D197" s="9">
        <f>IF(B197="","",⑫ミキサー工程入力!I59)</f>
        <v/>
      </c>
      <c r="E197" s="9">
        <f>IF(B197="","",⑫ミキサー工程入力!G59)</f>
        <v/>
      </c>
      <c r="F197" s="9">
        <f>IF(B197="","",⑫ミキサー工程入力!M59)</f>
        <v/>
      </c>
      <c r="G197" s="513">
        <f>IF(AND(ISNUMBER(D197),ISNUMBER(F197),D197&gt;0),F197/D197,"")</f>
        <v/>
      </c>
      <c r="H197" s="7" t="n">
        <v>0</v>
      </c>
      <c r="I197" s="9">
        <f>IF(ISNUMBER(F197),-F197-H197,"")</f>
        <v/>
      </c>
      <c r="J197" s="69">
        <f>IF(G197="","",IF(G197&gt;=300,"✕ 要改善",IF(G197&gt;=200,"△ 注意","○ 良好")))</f>
        <v/>
      </c>
      <c r="K197" s="70" t="n"/>
    </row>
    <row r="198" ht="15" customHeight="1" s="438">
      <c r="A198" s="397" t="n">
        <v>192</v>
      </c>
      <c r="B198">
        <f>IF(⑫ミキサー工程入力!C60="","",⑫ミキサー工程入力!C60)</f>
        <v/>
      </c>
      <c r="C198">
        <f>IF(⑫ミキサー工程入力!B60="","",⑫ミキサー工程入力!B60)</f>
        <v/>
      </c>
      <c r="D198">
        <f>IF(B198="","",⑫ミキサー工程入力!I60)</f>
        <v/>
      </c>
      <c r="E198">
        <f>IF(B198="","",⑫ミキサー工程入力!G60)</f>
        <v/>
      </c>
      <c r="F198">
        <f>IF(B198="","",⑫ミキサー工程入力!M60)</f>
        <v/>
      </c>
      <c r="G198">
        <f>IF(AND(ISNUMBER(D198),ISNUMBER(F198),D198&gt;0),F198/D198,"")</f>
        <v/>
      </c>
      <c r="H198" t="n">
        <v>0</v>
      </c>
      <c r="I198">
        <f>IF(ISNUMBER(F198),-F198-H198,"")</f>
        <v/>
      </c>
      <c r="J198">
        <f>IF(G198="","",IF(G198&gt;=300,"✕ 要改善",IF(G198&gt;=200,"△ 注意","○ 良好")))</f>
        <v/>
      </c>
    </row>
    <row r="199" ht="15" customHeight="1" s="438">
      <c r="A199" s="66" t="n">
        <v>193</v>
      </c>
      <c r="B199" s="67">
        <f>IF(⑫ミキサー工程入力!C61="","",⑫ミキサー工程入力!C61)</f>
        <v/>
      </c>
      <c r="C199" s="82">
        <f>IF(⑫ミキサー工程入力!B61="","",⑫ミキサー工程入力!B61)</f>
        <v/>
      </c>
      <c r="D199" s="9">
        <f>IF(B199="","",⑫ミキサー工程入力!I61)</f>
        <v/>
      </c>
      <c r="E199" s="9">
        <f>IF(B199="","",⑫ミキサー工程入力!G61)</f>
        <v/>
      </c>
      <c r="F199" s="9">
        <f>IF(B199="","",⑫ミキサー工程入力!M61)</f>
        <v/>
      </c>
      <c r="G199" s="513">
        <f>IF(AND(ISNUMBER(D199),ISNUMBER(F199),D199&gt;0),F199/D199,"")</f>
        <v/>
      </c>
      <c r="H199" s="7" t="n">
        <v>0</v>
      </c>
      <c r="I199" s="9">
        <f>IF(ISNUMBER(F199),-F199-H199,"")</f>
        <v/>
      </c>
      <c r="J199" s="69">
        <f>IF(G199="","",IF(G199&gt;=300,"✕ 要改善",IF(G199&gt;=200,"△ 注意","○ 良好")))</f>
        <v/>
      </c>
      <c r="K199" s="70" t="n"/>
    </row>
    <row r="200" ht="15" customHeight="1" s="438">
      <c r="A200" s="397" t="n">
        <v>194</v>
      </c>
      <c r="B200">
        <f>IF(⑫ミキサー工程入力!C62="","",⑫ミキサー工程入力!C62)</f>
        <v/>
      </c>
      <c r="C200">
        <f>IF(⑫ミキサー工程入力!B62="","",⑫ミキサー工程入力!B62)</f>
        <v/>
      </c>
      <c r="D200">
        <f>IF(B200="","",⑫ミキサー工程入力!I62)</f>
        <v/>
      </c>
      <c r="E200">
        <f>IF(B200="","",⑫ミキサー工程入力!G62)</f>
        <v/>
      </c>
      <c r="F200">
        <f>IF(B200="","",⑫ミキサー工程入力!M62)</f>
        <v/>
      </c>
      <c r="G200">
        <f>IF(AND(ISNUMBER(D200),ISNUMBER(F200),D200&gt;0),F200/D200,"")</f>
        <v/>
      </c>
      <c r="H200" t="n">
        <v>0</v>
      </c>
      <c r="I200">
        <f>IF(ISNUMBER(F200),-F200-H200,"")</f>
        <v/>
      </c>
      <c r="J200">
        <f>IF(G200="","",IF(G200&gt;=300,"✕ 要改善",IF(G200&gt;=200,"△ 注意","○ 良好")))</f>
        <v/>
      </c>
    </row>
    <row r="201" ht="15" customHeight="1" s="438">
      <c r="A201" s="66" t="n">
        <v>195</v>
      </c>
      <c r="B201" s="67">
        <f>IF(⑫ミキサー工程入力!C63="","",⑫ミキサー工程入力!C63)</f>
        <v/>
      </c>
      <c r="C201" s="82">
        <f>IF(⑫ミキサー工程入力!B63="","",⑫ミキサー工程入力!B63)</f>
        <v/>
      </c>
      <c r="D201" s="9">
        <f>IF(B201="","",⑫ミキサー工程入力!I63)</f>
        <v/>
      </c>
      <c r="E201" s="9">
        <f>IF(B201="","",⑫ミキサー工程入力!G63)</f>
        <v/>
      </c>
      <c r="F201" s="9">
        <f>IF(B201="","",⑫ミキサー工程入力!M63)</f>
        <v/>
      </c>
      <c r="G201" s="513">
        <f>IF(AND(ISNUMBER(D201),ISNUMBER(F201),D201&gt;0),F201/D201,"")</f>
        <v/>
      </c>
      <c r="H201" s="7" t="n">
        <v>0</v>
      </c>
      <c r="I201" s="9">
        <f>IF(ISNUMBER(F201),-F201-H201,"")</f>
        <v/>
      </c>
      <c r="J201" s="69">
        <f>IF(G201="","",IF(G201&gt;=300,"✕ 要改善",IF(G201&gt;=200,"△ 注意","○ 良好")))</f>
        <v/>
      </c>
      <c r="K201" s="70" t="n"/>
    </row>
    <row r="202" ht="15" customHeight="1" s="438">
      <c r="A202" s="397" t="n">
        <v>196</v>
      </c>
      <c r="B202">
        <f>IF(⑫ミキサー工程入力!C64="","",⑫ミキサー工程入力!C64)</f>
        <v/>
      </c>
      <c r="C202">
        <f>IF(⑫ミキサー工程入力!B64="","",⑫ミキサー工程入力!B64)</f>
        <v/>
      </c>
      <c r="D202">
        <f>IF(B202="","",⑫ミキサー工程入力!I64)</f>
        <v/>
      </c>
      <c r="E202">
        <f>IF(B202="","",⑫ミキサー工程入力!G64)</f>
        <v/>
      </c>
      <c r="F202">
        <f>IF(B202="","",⑫ミキサー工程入力!M64)</f>
        <v/>
      </c>
      <c r="G202">
        <f>IF(AND(ISNUMBER(D202),ISNUMBER(F202),D202&gt;0),F202/D202,"")</f>
        <v/>
      </c>
      <c r="H202" t="n">
        <v>0</v>
      </c>
      <c r="I202">
        <f>IF(ISNUMBER(F202),-F202-H202,"")</f>
        <v/>
      </c>
      <c r="J202">
        <f>IF(G202="","",IF(G202&gt;=300,"✕ 要改善",IF(G202&gt;=200,"△ 注意","○ 良好")))</f>
        <v/>
      </c>
    </row>
    <row r="203" ht="15" customHeight="1" s="438">
      <c r="A203" s="66" t="n">
        <v>197</v>
      </c>
      <c r="B203" s="67">
        <f>IF(⑫ミキサー工程入力!C65="","",⑫ミキサー工程入力!C65)</f>
        <v/>
      </c>
      <c r="C203" s="82">
        <f>IF(⑫ミキサー工程入力!B65="","",⑫ミキサー工程入力!B65)</f>
        <v/>
      </c>
      <c r="D203" s="9">
        <f>IF(B203="","",⑫ミキサー工程入力!I65)</f>
        <v/>
      </c>
      <c r="E203" s="9">
        <f>IF(B203="","",⑫ミキサー工程入力!G65)</f>
        <v/>
      </c>
      <c r="F203" s="9">
        <f>IF(B203="","",⑫ミキサー工程入力!M65)</f>
        <v/>
      </c>
      <c r="G203" s="513">
        <f>IF(AND(ISNUMBER(D203),ISNUMBER(F203),D203&gt;0),F203/D203,"")</f>
        <v/>
      </c>
      <c r="H203" s="7" t="n">
        <v>0</v>
      </c>
      <c r="I203" s="9">
        <f>IF(ISNUMBER(F203),-F203-H203,"")</f>
        <v/>
      </c>
      <c r="J203" s="69">
        <f>IF(G203="","",IF(G203&gt;=300,"✕ 要改善",IF(G203&gt;=200,"△ 注意","○ 良好")))</f>
        <v/>
      </c>
      <c r="K203" s="70" t="n"/>
    </row>
    <row r="204" ht="15" customHeight="1" s="438">
      <c r="A204" s="464" t="inlineStr">
        <is>
          <t>◆ 計量工程　中間品</t>
        </is>
      </c>
      <c r="B204" s="465" t="n"/>
      <c r="C204" s="465" t="n"/>
      <c r="D204" s="465" t="n"/>
      <c r="E204" s="465" t="n"/>
      <c r="F204" s="465" t="n"/>
      <c r="G204" s="465" t="n"/>
      <c r="H204" s="465" t="n"/>
      <c r="I204" s="465" t="n"/>
      <c r="J204" s="465" t="n"/>
      <c r="K204" s="466" t="n"/>
    </row>
    <row r="205" ht="15" customHeight="1" s="438">
      <c r="A205" s="66" t="n">
        <v>198</v>
      </c>
      <c r="B205" s="67">
        <f>IF(⑬計量工程入力!C5="","",⑬計量工程入力!C5)</f>
        <v/>
      </c>
      <c r="C205" s="82">
        <f>IF(⑬計量工程入力!B5="","",⑬計量工程入力!B5)</f>
        <v/>
      </c>
      <c r="D205" s="9">
        <f>IF(B205="","",⑬計量工程入力!I5)</f>
        <v/>
      </c>
      <c r="E205" s="9">
        <f>IF(B205="","",⑬計量工程入力!G5)</f>
        <v/>
      </c>
      <c r="F205" s="9">
        <f>IF(B205="","",⑬計量工程入力!M5)</f>
        <v/>
      </c>
      <c r="G205" s="513">
        <f>IF(AND(ISNUMBER(D205),ISNUMBER(F205),D205&gt;0),F205/D205,"")</f>
        <v/>
      </c>
      <c r="H205" s="7" t="n">
        <v>0</v>
      </c>
      <c r="I205" s="9">
        <f>IF(ISNUMBER(F205),-F205-H205,"")</f>
        <v/>
      </c>
      <c r="J205" s="69">
        <f>IF(G205="","",IF(G205&gt;=300,"✕ 要改善",IF(G205&gt;=200,"△ 注意","○ 良好")))</f>
        <v/>
      </c>
      <c r="K205" s="70" t="n"/>
    </row>
    <row r="206" ht="15" customHeight="1" s="438">
      <c r="A206" s="397" t="n">
        <v>199</v>
      </c>
      <c r="B206">
        <f>IF(⑬計量工程入力!C6="","",⑬計量工程入力!C6)</f>
        <v/>
      </c>
      <c r="C206">
        <f>IF(⑬計量工程入力!B6="","",⑬計量工程入力!B6)</f>
        <v/>
      </c>
      <c r="D206">
        <f>IF(B206="","",⑬計量工程入力!I6)</f>
        <v/>
      </c>
      <c r="E206">
        <f>IF(B206="","",⑬計量工程入力!G6)</f>
        <v/>
      </c>
      <c r="F206">
        <f>IF(B206="","",⑬計量工程入力!M6)</f>
        <v/>
      </c>
      <c r="G206">
        <f>IF(AND(ISNUMBER(D206),ISNUMBER(F206),D206&gt;0),F206/D206,"")</f>
        <v/>
      </c>
      <c r="H206" t="n">
        <v>0</v>
      </c>
      <c r="I206">
        <f>IF(ISNUMBER(F206),-F206-H206,"")</f>
        <v/>
      </c>
      <c r="J206">
        <f>IF(G206="","",IF(G206&gt;=300,"✕ 要改善",IF(G206&gt;=200,"△ 注意","○ 良好")))</f>
        <v/>
      </c>
    </row>
    <row r="207" ht="26" customHeight="1" s="438">
      <c r="A207" s="66" t="n">
        <v>200</v>
      </c>
      <c r="B207" s="67">
        <f>IF(⑬計量工程入力!C7="","",⑬計量工程入力!C7)</f>
        <v/>
      </c>
      <c r="C207" s="82">
        <f>IF(⑬計量工程入力!B7="","",⑬計量工程入力!B7)</f>
        <v/>
      </c>
      <c r="D207" s="9">
        <f>IF(B207="","",⑬計量工程入力!I7)</f>
        <v/>
      </c>
      <c r="E207" s="9">
        <f>IF(B207="","",⑬計量工程入力!G7)</f>
        <v/>
      </c>
      <c r="F207" s="9">
        <f>IF(B207="","",⑬計量工程入力!M7)</f>
        <v/>
      </c>
      <c r="G207" s="513">
        <f>IF(AND(ISNUMBER(D207),ISNUMBER(F207),D207&gt;0),F207/D207,"")</f>
        <v/>
      </c>
      <c r="H207" s="7" t="n">
        <v>0</v>
      </c>
      <c r="I207" s="9">
        <f>IF(ISNUMBER(F207),-F207-H207,"")</f>
        <v/>
      </c>
      <c r="J207" s="69">
        <f>IF(G207="","",IF(G207&gt;=300,"✕ 要改善",IF(G207&gt;=200,"△ 注意","○ 良好")))</f>
        <v/>
      </c>
      <c r="K207" s="70" t="n"/>
    </row>
    <row r="208" ht="15" customHeight="1" s="438">
      <c r="A208" s="397" t="n">
        <v>201</v>
      </c>
      <c r="B208">
        <f>IF(⑬計量工程入力!C8="","",⑬計量工程入力!C8)</f>
        <v/>
      </c>
      <c r="C208">
        <f>IF(⑬計量工程入力!B8="","",⑬計量工程入力!B8)</f>
        <v/>
      </c>
      <c r="D208">
        <f>IF(B208="","",⑬計量工程入力!I8)</f>
        <v/>
      </c>
      <c r="E208">
        <f>IF(B208="","",⑬計量工程入力!G8)</f>
        <v/>
      </c>
      <c r="F208">
        <f>IF(B208="","",⑬計量工程入力!M8)</f>
        <v/>
      </c>
      <c r="G208">
        <f>IF(AND(ISNUMBER(D208),ISNUMBER(F208),D208&gt;0),F208/D208,"")</f>
        <v/>
      </c>
      <c r="H208" t="n">
        <v>0</v>
      </c>
      <c r="I208">
        <f>IF(ISNUMBER(F208),-F208-H208,"")</f>
        <v/>
      </c>
      <c r="J208">
        <f>IF(G208="","",IF(G208&gt;=300,"✕ 要改善",IF(G208&gt;=200,"△ 注意","○ 良好")))</f>
        <v/>
      </c>
    </row>
    <row r="209" ht="15" customHeight="1" s="438">
      <c r="A209" s="66" t="n">
        <v>202</v>
      </c>
      <c r="B209" s="67">
        <f>IF(⑬計量工程入力!C9="","",⑬計量工程入力!C9)</f>
        <v/>
      </c>
      <c r="C209" s="82">
        <f>IF(⑬計量工程入力!B9="","",⑬計量工程入力!B9)</f>
        <v/>
      </c>
      <c r="D209" s="9">
        <f>IF(B209="","",⑬計量工程入力!I9)</f>
        <v/>
      </c>
      <c r="E209" s="9">
        <f>IF(B209="","",⑬計量工程入力!G9)</f>
        <v/>
      </c>
      <c r="F209" s="9">
        <f>IF(B209="","",⑬計量工程入力!M9)</f>
        <v/>
      </c>
      <c r="G209" s="513">
        <f>IF(AND(ISNUMBER(D209),ISNUMBER(F209),D209&gt;0),F209/D209,"")</f>
        <v/>
      </c>
      <c r="H209" s="7" t="n">
        <v>0</v>
      </c>
      <c r="I209" s="9">
        <f>IF(ISNUMBER(F209),-F209-H209,"")</f>
        <v/>
      </c>
      <c r="J209" s="69">
        <f>IF(G209="","",IF(G209&gt;=300,"✕ 要改善",IF(G209&gt;=200,"△ 注意","○ 良好")))</f>
        <v/>
      </c>
      <c r="K209" s="70" t="n"/>
    </row>
    <row r="210" ht="15" customHeight="1" s="438">
      <c r="A210" s="397" t="n">
        <v>203</v>
      </c>
      <c r="B210">
        <f>IF(⑬計量工程入力!C10="","",⑬計量工程入力!C10)</f>
        <v/>
      </c>
      <c r="C210">
        <f>IF(⑬計量工程入力!B10="","",⑬計量工程入力!B10)</f>
        <v/>
      </c>
      <c r="D210">
        <f>IF(B210="","",⑬計量工程入力!I10)</f>
        <v/>
      </c>
      <c r="E210">
        <f>IF(B210="","",⑬計量工程入力!G10)</f>
        <v/>
      </c>
      <c r="F210">
        <f>IF(B210="","",⑬計量工程入力!M10)</f>
        <v/>
      </c>
      <c r="G210">
        <f>IF(AND(ISNUMBER(D210),ISNUMBER(F210),D210&gt;0),F210/D210,"")</f>
        <v/>
      </c>
      <c r="H210" t="n">
        <v>0</v>
      </c>
      <c r="I210">
        <f>IF(ISNUMBER(F210),-F210-H210,"")</f>
        <v/>
      </c>
      <c r="J210">
        <f>IF(G210="","",IF(G210&gt;=300,"✕ 要改善",IF(G210&gt;=200,"△ 注意","○ 良好")))</f>
        <v/>
      </c>
    </row>
    <row r="211" ht="15" customHeight="1" s="438">
      <c r="A211" s="66" t="n">
        <v>204</v>
      </c>
      <c r="B211" s="67">
        <f>IF(⑬計量工程入力!C11="","",⑬計量工程入力!C11)</f>
        <v/>
      </c>
      <c r="C211" s="82">
        <f>IF(⑬計量工程入力!B11="","",⑬計量工程入力!B11)</f>
        <v/>
      </c>
      <c r="D211" s="9">
        <f>IF(B211="","",⑬計量工程入力!I11)</f>
        <v/>
      </c>
      <c r="E211" s="9">
        <f>IF(B211="","",⑬計量工程入力!G11)</f>
        <v/>
      </c>
      <c r="F211" s="9">
        <f>IF(B211="","",⑬計量工程入力!M11)</f>
        <v/>
      </c>
      <c r="G211" s="513">
        <f>IF(AND(ISNUMBER(D211),ISNUMBER(F211),D211&gt;0),F211/D211,"")</f>
        <v/>
      </c>
      <c r="H211" s="7" t="n">
        <v>0</v>
      </c>
      <c r="I211" s="9">
        <f>IF(ISNUMBER(F211),-F211-H211,"")</f>
        <v/>
      </c>
      <c r="J211" s="69">
        <f>IF(G211="","",IF(G211&gt;=300,"✕ 要改善",IF(G211&gt;=200,"△ 注意","○ 良好")))</f>
        <v/>
      </c>
      <c r="K211" s="70" t="n"/>
    </row>
    <row r="212" ht="15" customHeight="1" s="438">
      <c r="A212" s="397" t="n">
        <v>205</v>
      </c>
      <c r="B212">
        <f>IF(⑬計量工程入力!C12="","",⑬計量工程入力!C12)</f>
        <v/>
      </c>
      <c r="C212">
        <f>IF(⑬計量工程入力!B12="","",⑬計量工程入力!B12)</f>
        <v/>
      </c>
      <c r="D212">
        <f>IF(B212="","",⑬計量工程入力!I12)</f>
        <v/>
      </c>
      <c r="E212">
        <f>IF(B212="","",⑬計量工程入力!G12)</f>
        <v/>
      </c>
      <c r="F212">
        <f>IF(B212="","",⑬計量工程入力!M12)</f>
        <v/>
      </c>
      <c r="G212">
        <f>IF(AND(ISNUMBER(D212),ISNUMBER(F212),D212&gt;0),F212/D212,"")</f>
        <v/>
      </c>
      <c r="H212" t="n">
        <v>0</v>
      </c>
      <c r="I212">
        <f>IF(ISNUMBER(F212),-F212-H212,"")</f>
        <v/>
      </c>
      <c r="J212">
        <f>IF(G212="","",IF(G212&gt;=300,"✕ 要改善",IF(G212&gt;=200,"△ 注意","○ 良好")))</f>
        <v/>
      </c>
    </row>
    <row r="213" ht="15" customHeight="1" s="438">
      <c r="A213" s="66" t="n">
        <v>206</v>
      </c>
      <c r="B213" s="67">
        <f>IF(⑬計量工程入力!C13="","",⑬計量工程入力!C13)</f>
        <v/>
      </c>
      <c r="C213" s="82">
        <f>IF(⑬計量工程入力!B13="","",⑬計量工程入力!B13)</f>
        <v/>
      </c>
      <c r="D213" s="9">
        <f>IF(B213="","",⑬計量工程入力!I13)</f>
        <v/>
      </c>
      <c r="E213" s="9">
        <f>IF(B213="","",⑬計量工程入力!G13)</f>
        <v/>
      </c>
      <c r="F213" s="9">
        <f>IF(B213="","",⑬計量工程入力!M13)</f>
        <v/>
      </c>
      <c r="G213" s="513">
        <f>IF(AND(ISNUMBER(D213),ISNUMBER(F213),D213&gt;0),F213/D213,"")</f>
        <v/>
      </c>
      <c r="H213" s="7" t="n">
        <v>0</v>
      </c>
      <c r="I213" s="9">
        <f>IF(ISNUMBER(F213),-F213-H213,"")</f>
        <v/>
      </c>
      <c r="J213" s="69">
        <f>IF(G213="","",IF(G213&gt;=300,"✕ 要改善",IF(G213&gt;=200,"△ 注意","○ 良好")))</f>
        <v/>
      </c>
      <c r="K213" s="70" t="n"/>
    </row>
    <row r="214" ht="15" customHeight="1" s="438">
      <c r="A214" s="397" t="n">
        <v>207</v>
      </c>
      <c r="B214">
        <f>IF(⑬計量工程入力!C14="","",⑬計量工程入力!C14)</f>
        <v/>
      </c>
      <c r="C214">
        <f>IF(⑬計量工程入力!B14="","",⑬計量工程入力!B14)</f>
        <v/>
      </c>
      <c r="D214">
        <f>IF(B214="","",⑬計量工程入力!I14)</f>
        <v/>
      </c>
      <c r="E214">
        <f>IF(B214="","",⑬計量工程入力!G14)</f>
        <v/>
      </c>
      <c r="F214">
        <f>IF(B214="","",⑬計量工程入力!M14)</f>
        <v/>
      </c>
      <c r="G214">
        <f>IF(AND(ISNUMBER(D214),ISNUMBER(F214),D214&gt;0),F214/D214,"")</f>
        <v/>
      </c>
      <c r="H214" t="n">
        <v>0</v>
      </c>
      <c r="I214">
        <f>IF(ISNUMBER(F214),-F214-H214,"")</f>
        <v/>
      </c>
      <c r="J214">
        <f>IF(G214="","",IF(G214&gt;=300,"✕ 要改善",IF(G214&gt;=200,"△ 注意","○ 良好")))</f>
        <v/>
      </c>
    </row>
    <row r="215" ht="15" customHeight="1" s="438">
      <c r="A215" s="66" t="n">
        <v>208</v>
      </c>
      <c r="B215" s="67">
        <f>IF(⑬計量工程入力!C15="","",⑬計量工程入力!C15)</f>
        <v/>
      </c>
      <c r="C215" s="82">
        <f>IF(⑬計量工程入力!B15="","",⑬計量工程入力!B15)</f>
        <v/>
      </c>
      <c r="D215" s="9">
        <f>IF(B215="","",⑬計量工程入力!I15)</f>
        <v/>
      </c>
      <c r="E215" s="9">
        <f>IF(B215="","",⑬計量工程入力!G15)</f>
        <v/>
      </c>
      <c r="F215" s="9">
        <f>IF(B215="","",⑬計量工程入力!M15)</f>
        <v/>
      </c>
      <c r="G215" s="513">
        <f>IF(AND(ISNUMBER(D215),ISNUMBER(F215),D215&gt;0),F215/D215,"")</f>
        <v/>
      </c>
      <c r="H215" s="7" t="n">
        <v>0</v>
      </c>
      <c r="I215" s="9">
        <f>IF(ISNUMBER(F215),-F215-H215,"")</f>
        <v/>
      </c>
      <c r="J215" s="69">
        <f>IF(G215="","",IF(G215&gt;=300,"✕ 要改善",IF(G215&gt;=200,"△ 注意","○ 良好")))</f>
        <v/>
      </c>
      <c r="K215" s="70" t="n"/>
    </row>
    <row r="216" ht="15" customHeight="1" s="438">
      <c r="A216" s="397" t="n">
        <v>209</v>
      </c>
      <c r="B216">
        <f>IF(⑬計量工程入力!C16="","",⑬計量工程入力!C16)</f>
        <v/>
      </c>
      <c r="C216">
        <f>IF(⑬計量工程入力!B16="","",⑬計量工程入力!B16)</f>
        <v/>
      </c>
      <c r="D216">
        <f>IF(B216="","",⑬計量工程入力!I16)</f>
        <v/>
      </c>
      <c r="E216">
        <f>IF(B216="","",⑬計量工程入力!G16)</f>
        <v/>
      </c>
      <c r="F216">
        <f>IF(B216="","",⑬計量工程入力!M16)</f>
        <v/>
      </c>
      <c r="G216">
        <f>IF(AND(ISNUMBER(D216),ISNUMBER(F216),D216&gt;0),F216/D216,"")</f>
        <v/>
      </c>
      <c r="H216" t="n">
        <v>0</v>
      </c>
      <c r="I216">
        <f>IF(ISNUMBER(F216),-F216-H216,"")</f>
        <v/>
      </c>
      <c r="J216">
        <f>IF(G216="","",IF(G216&gt;=300,"✕ 要改善",IF(G216&gt;=200,"△ 注意","○ 良好")))</f>
        <v/>
      </c>
    </row>
    <row r="217" ht="15" customHeight="1" s="438">
      <c r="A217" s="66" t="n">
        <v>210</v>
      </c>
      <c r="B217" s="67">
        <f>IF(⑬計量工程入力!C17="","",⑬計量工程入力!C17)</f>
        <v/>
      </c>
      <c r="C217" s="82">
        <f>IF(⑬計量工程入力!B17="","",⑬計量工程入力!B17)</f>
        <v/>
      </c>
      <c r="D217" s="9">
        <f>IF(B217="","",⑬計量工程入力!I17)</f>
        <v/>
      </c>
      <c r="E217" s="9">
        <f>IF(B217="","",⑬計量工程入力!G17)</f>
        <v/>
      </c>
      <c r="F217" s="9">
        <f>IF(B217="","",⑬計量工程入力!M17)</f>
        <v/>
      </c>
      <c r="G217" s="513">
        <f>IF(AND(ISNUMBER(D217),ISNUMBER(F217),D217&gt;0),F217/D217,"")</f>
        <v/>
      </c>
      <c r="H217" s="7" t="n">
        <v>0</v>
      </c>
      <c r="I217" s="9">
        <f>IF(ISNUMBER(F217),-F217-H217,"")</f>
        <v/>
      </c>
      <c r="J217" s="69">
        <f>IF(G217="","",IF(G217&gt;=300,"✕ 要改善",IF(G217&gt;=200,"△ 注意","○ 良好")))</f>
        <v/>
      </c>
      <c r="K217" s="70" t="n"/>
    </row>
    <row r="218" ht="15" customHeight="1" s="438">
      <c r="A218" s="397" t="n">
        <v>211</v>
      </c>
      <c r="B218">
        <f>IF(⑬計量工程入力!C18="","",⑬計量工程入力!C18)</f>
        <v/>
      </c>
      <c r="C218">
        <f>IF(⑬計量工程入力!B18="","",⑬計量工程入力!B18)</f>
        <v/>
      </c>
      <c r="D218">
        <f>IF(B218="","",⑬計量工程入力!I18)</f>
        <v/>
      </c>
      <c r="E218">
        <f>IF(B218="","",⑬計量工程入力!G18)</f>
        <v/>
      </c>
      <c r="F218">
        <f>IF(B218="","",⑬計量工程入力!M18)</f>
        <v/>
      </c>
      <c r="G218">
        <f>IF(AND(ISNUMBER(D218),ISNUMBER(F218),D218&gt;0),F218/D218,"")</f>
        <v/>
      </c>
      <c r="H218" t="n">
        <v>0</v>
      </c>
      <c r="I218">
        <f>IF(ISNUMBER(F218),-F218-H218,"")</f>
        <v/>
      </c>
      <c r="J218">
        <f>IF(G218="","",IF(G218&gt;=300,"✕ 要改善",IF(G218&gt;=200,"△ 注意","○ 良好")))</f>
        <v/>
      </c>
    </row>
    <row r="219" ht="15" customHeight="1" s="438">
      <c r="A219" s="66" t="n">
        <v>212</v>
      </c>
      <c r="B219" s="67">
        <f>IF(⑬計量工程入力!C19="","",⑬計量工程入力!C19)</f>
        <v/>
      </c>
      <c r="C219" s="82">
        <f>IF(⑬計量工程入力!B19="","",⑬計量工程入力!B19)</f>
        <v/>
      </c>
      <c r="D219" s="9">
        <f>IF(B219="","",⑬計量工程入力!I19)</f>
        <v/>
      </c>
      <c r="E219" s="9">
        <f>IF(B219="","",⑬計量工程入力!G19)</f>
        <v/>
      </c>
      <c r="F219" s="9">
        <f>IF(B219="","",⑬計量工程入力!M19)</f>
        <v/>
      </c>
      <c r="G219" s="513">
        <f>IF(AND(ISNUMBER(D219),ISNUMBER(F219),D219&gt;0),F219/D219,"")</f>
        <v/>
      </c>
      <c r="H219" s="7" t="n">
        <v>0</v>
      </c>
      <c r="I219" s="9">
        <f>IF(ISNUMBER(F219),-F219-H219,"")</f>
        <v/>
      </c>
      <c r="J219" s="69">
        <f>IF(G219="","",IF(G219&gt;=300,"✕ 要改善",IF(G219&gt;=200,"△ 注意","○ 良好")))</f>
        <v/>
      </c>
      <c r="K219" s="70" t="n"/>
    </row>
    <row r="220" ht="15" customHeight="1" s="438">
      <c r="A220" s="397" t="n">
        <v>213</v>
      </c>
      <c r="B220">
        <f>IF(⑬計量工程入力!C20="","",⑬計量工程入力!C20)</f>
        <v/>
      </c>
      <c r="C220">
        <f>IF(⑬計量工程入力!B20="","",⑬計量工程入力!B20)</f>
        <v/>
      </c>
      <c r="D220">
        <f>IF(B220="","",⑬計量工程入力!I20)</f>
        <v/>
      </c>
      <c r="E220">
        <f>IF(B220="","",⑬計量工程入力!G20)</f>
        <v/>
      </c>
      <c r="F220">
        <f>IF(B220="","",⑬計量工程入力!M20)</f>
        <v/>
      </c>
      <c r="G220">
        <f>IF(AND(ISNUMBER(D220),ISNUMBER(F220),D220&gt;0),F220/D220,"")</f>
        <v/>
      </c>
      <c r="H220" t="n">
        <v>0</v>
      </c>
      <c r="I220">
        <f>IF(ISNUMBER(F220),-F220-H220,"")</f>
        <v/>
      </c>
      <c r="J220">
        <f>IF(G220="","",IF(G220&gt;=300,"✕ 要改善",IF(G220&gt;=200,"△ 注意","○ 良好")))</f>
        <v/>
      </c>
    </row>
    <row r="221" ht="15" customHeight="1" s="438">
      <c r="A221" s="66" t="n">
        <v>214</v>
      </c>
      <c r="B221" s="67">
        <f>IF(⑬計量工程入力!C21="","",⑬計量工程入力!C21)</f>
        <v/>
      </c>
      <c r="C221" s="82">
        <f>IF(⑬計量工程入力!B21="","",⑬計量工程入力!B21)</f>
        <v/>
      </c>
      <c r="D221" s="9">
        <f>IF(B221="","",⑬計量工程入力!I21)</f>
        <v/>
      </c>
      <c r="E221" s="9">
        <f>IF(B221="","",⑬計量工程入力!G21)</f>
        <v/>
      </c>
      <c r="F221" s="9">
        <f>IF(B221="","",⑬計量工程入力!M21)</f>
        <v/>
      </c>
      <c r="G221" s="513">
        <f>IF(AND(ISNUMBER(D221),ISNUMBER(F221),D221&gt;0),F221/D221,"")</f>
        <v/>
      </c>
      <c r="H221" s="7" t="n">
        <v>0</v>
      </c>
      <c r="I221" s="9">
        <f>IF(ISNUMBER(F221),-F221-H221,"")</f>
        <v/>
      </c>
      <c r="J221" s="69">
        <f>IF(G221="","",IF(G221&gt;=300,"✕ 要改善",IF(G221&gt;=200,"△ 注意","○ 良好")))</f>
        <v/>
      </c>
      <c r="K221" s="70" t="n"/>
    </row>
    <row r="222" ht="15" customHeight="1" s="438">
      <c r="A222" s="397" t="n">
        <v>215</v>
      </c>
      <c r="B222">
        <f>IF(⑬計量工程入力!C22="","",⑬計量工程入力!C22)</f>
        <v/>
      </c>
      <c r="C222">
        <f>IF(⑬計量工程入力!B22="","",⑬計量工程入力!B22)</f>
        <v/>
      </c>
      <c r="D222">
        <f>IF(B222="","",⑬計量工程入力!I22)</f>
        <v/>
      </c>
      <c r="E222">
        <f>IF(B222="","",⑬計量工程入力!G22)</f>
        <v/>
      </c>
      <c r="F222">
        <f>IF(B222="","",⑬計量工程入力!M22)</f>
        <v/>
      </c>
      <c r="G222">
        <f>IF(AND(ISNUMBER(D222),ISNUMBER(F222),D222&gt;0),F222/D222,"")</f>
        <v/>
      </c>
      <c r="H222" t="n">
        <v>0</v>
      </c>
      <c r="I222">
        <f>IF(ISNUMBER(F222),-F222-H222,"")</f>
        <v/>
      </c>
      <c r="J222">
        <f>IF(G222="","",IF(G222&gt;=300,"✕ 要改善",IF(G222&gt;=200,"△ 注意","○ 良好")))</f>
        <v/>
      </c>
    </row>
    <row r="223" ht="15" customHeight="1" s="438">
      <c r="A223" s="66" t="n">
        <v>216</v>
      </c>
      <c r="B223" s="67">
        <f>IF(⑬計量工程入力!C23="","",⑬計量工程入力!C23)</f>
        <v/>
      </c>
      <c r="C223" s="82">
        <f>IF(⑬計量工程入力!B23="","",⑬計量工程入力!B23)</f>
        <v/>
      </c>
      <c r="D223" s="9">
        <f>IF(B223="","",⑬計量工程入力!I23)</f>
        <v/>
      </c>
      <c r="E223" s="9">
        <f>IF(B223="","",⑬計量工程入力!G23)</f>
        <v/>
      </c>
      <c r="F223" s="9">
        <f>IF(B223="","",⑬計量工程入力!M23)</f>
        <v/>
      </c>
      <c r="G223" s="513">
        <f>IF(AND(ISNUMBER(D223),ISNUMBER(F223),D223&gt;0),F223/D223,"")</f>
        <v/>
      </c>
      <c r="H223" s="7" t="n">
        <v>0</v>
      </c>
      <c r="I223" s="9">
        <f>IF(ISNUMBER(F223),-F223-H223,"")</f>
        <v/>
      </c>
      <c r="J223" s="69">
        <f>IF(G223="","",IF(G223&gt;=300,"✕ 要改善",IF(G223&gt;=200,"△ 注意","○ 良好")))</f>
        <v/>
      </c>
      <c r="K223" s="70" t="n"/>
    </row>
    <row r="224" ht="15" customHeight="1" s="438">
      <c r="A224" s="397" t="n">
        <v>217</v>
      </c>
      <c r="B224">
        <f>IF(⑬計量工程入力!C24="","",⑬計量工程入力!C24)</f>
        <v/>
      </c>
      <c r="C224">
        <f>IF(⑬計量工程入力!B24="","",⑬計量工程入力!B24)</f>
        <v/>
      </c>
      <c r="D224">
        <f>IF(B224="","",⑬計量工程入力!I24)</f>
        <v/>
      </c>
      <c r="E224">
        <f>IF(B224="","",⑬計量工程入力!G24)</f>
        <v/>
      </c>
      <c r="F224">
        <f>IF(B224="","",⑬計量工程入力!M24)</f>
        <v/>
      </c>
      <c r="G224">
        <f>IF(AND(ISNUMBER(D224),ISNUMBER(F224),D224&gt;0),F224/D224,"")</f>
        <v/>
      </c>
      <c r="H224" t="n">
        <v>0</v>
      </c>
      <c r="I224">
        <f>IF(ISNUMBER(F224),-F224-H224,"")</f>
        <v/>
      </c>
      <c r="J224">
        <f>IF(G224="","",IF(G224&gt;=300,"✕ 要改善",IF(G224&gt;=200,"△ 注意","○ 良好")))</f>
        <v/>
      </c>
    </row>
    <row r="225" ht="15" customHeight="1" s="438">
      <c r="A225" s="66" t="n">
        <v>218</v>
      </c>
      <c r="B225" s="67">
        <f>IF(⑬計量工程入力!C25="","",⑬計量工程入力!C25)</f>
        <v/>
      </c>
      <c r="C225" s="82">
        <f>IF(⑬計量工程入力!B25="","",⑬計量工程入力!B25)</f>
        <v/>
      </c>
      <c r="D225" s="9">
        <f>IF(B225="","",⑬計量工程入力!I25)</f>
        <v/>
      </c>
      <c r="E225" s="9">
        <f>IF(B225="","",⑬計量工程入力!G25)</f>
        <v/>
      </c>
      <c r="F225" s="9">
        <f>IF(B225="","",⑬計量工程入力!M25)</f>
        <v/>
      </c>
      <c r="G225" s="513">
        <f>IF(AND(ISNUMBER(D225),ISNUMBER(F225),D225&gt;0),F225/D225,"")</f>
        <v/>
      </c>
      <c r="H225" s="7" t="n">
        <v>0</v>
      </c>
      <c r="I225" s="9">
        <f>IF(ISNUMBER(F225),-F225-H225,"")</f>
        <v/>
      </c>
      <c r="J225" s="69">
        <f>IF(G225="","",IF(G225&gt;=300,"✕ 要改善",IF(G225&gt;=200,"△ 注意","○ 良好")))</f>
        <v/>
      </c>
      <c r="K225" s="70" t="n"/>
    </row>
    <row r="226" ht="15" customHeight="1" s="438">
      <c r="A226" s="397" t="n">
        <v>219</v>
      </c>
      <c r="B226">
        <f>IF(⑬計量工程入力!C26="","",⑬計量工程入力!C26)</f>
        <v/>
      </c>
      <c r="C226">
        <f>IF(⑬計量工程入力!B26="","",⑬計量工程入力!B26)</f>
        <v/>
      </c>
      <c r="D226">
        <f>IF(B226="","",⑬計量工程入力!I26)</f>
        <v/>
      </c>
      <c r="E226">
        <f>IF(B226="","",⑬計量工程入力!G26)</f>
        <v/>
      </c>
      <c r="F226">
        <f>IF(B226="","",⑬計量工程入力!M26)</f>
        <v/>
      </c>
      <c r="G226">
        <f>IF(AND(ISNUMBER(D226),ISNUMBER(F226),D226&gt;0),F226/D226,"")</f>
        <v/>
      </c>
      <c r="H226" t="n">
        <v>0</v>
      </c>
      <c r="I226">
        <f>IF(ISNUMBER(F226),-F226-H226,"")</f>
        <v/>
      </c>
      <c r="J226">
        <f>IF(G226="","",IF(G226&gt;=300,"✕ 要改善",IF(G226&gt;=200,"△ 注意","○ 良好")))</f>
        <v/>
      </c>
    </row>
    <row r="227" ht="15" customHeight="1" s="438">
      <c r="A227" s="66" t="n">
        <v>220</v>
      </c>
      <c r="B227" s="67">
        <f>IF(⑬計量工程入力!C27="","",⑬計量工程入力!C27)</f>
        <v/>
      </c>
      <c r="C227" s="82">
        <f>IF(⑬計量工程入力!B27="","",⑬計量工程入力!B27)</f>
        <v/>
      </c>
      <c r="D227" s="9">
        <f>IF(B227="","",⑬計量工程入力!I27)</f>
        <v/>
      </c>
      <c r="E227" s="9">
        <f>IF(B227="","",⑬計量工程入力!G27)</f>
        <v/>
      </c>
      <c r="F227" s="9">
        <f>IF(B227="","",⑬計量工程入力!M27)</f>
        <v/>
      </c>
      <c r="G227" s="513">
        <f>IF(AND(ISNUMBER(D227),ISNUMBER(F227),D227&gt;0),F227/D227,"")</f>
        <v/>
      </c>
      <c r="H227" s="7" t="n">
        <v>0</v>
      </c>
      <c r="I227" s="9">
        <f>IF(ISNUMBER(F227),-F227-H227,"")</f>
        <v/>
      </c>
      <c r="J227" s="69">
        <f>IF(G227="","",IF(G227&gt;=300,"✕ 要改善",IF(G227&gt;=200,"△ 注意","○ 良好")))</f>
        <v/>
      </c>
      <c r="K227" s="70" t="n"/>
    </row>
    <row r="228" ht="15" customHeight="1" s="438">
      <c r="A228" s="397" t="n">
        <v>221</v>
      </c>
      <c r="B228">
        <f>IF(⑬計量工程入力!C28="","",⑬計量工程入力!C28)</f>
        <v/>
      </c>
      <c r="C228">
        <f>IF(⑬計量工程入力!B28="","",⑬計量工程入力!B28)</f>
        <v/>
      </c>
      <c r="D228">
        <f>IF(B228="","",⑬計量工程入力!I28)</f>
        <v/>
      </c>
      <c r="E228">
        <f>IF(B228="","",⑬計量工程入力!G28)</f>
        <v/>
      </c>
      <c r="F228">
        <f>IF(B228="","",⑬計量工程入力!M28)</f>
        <v/>
      </c>
      <c r="G228">
        <f>IF(AND(ISNUMBER(D228),ISNUMBER(F228),D228&gt;0),F228/D228,"")</f>
        <v/>
      </c>
      <c r="H228" t="n">
        <v>0</v>
      </c>
      <c r="I228">
        <f>IF(ISNUMBER(F228),-F228-H228,"")</f>
        <v/>
      </c>
      <c r="J228">
        <f>IF(G228="","",IF(G228&gt;=300,"✕ 要改善",IF(G228&gt;=200,"△ 注意","○ 良好")))</f>
        <v/>
      </c>
    </row>
    <row r="229" ht="15" customHeight="1" s="438">
      <c r="A229" s="66" t="n">
        <v>222</v>
      </c>
      <c r="B229" s="67">
        <f>IF(⑬計量工程入力!C29="","",⑬計量工程入力!C29)</f>
        <v/>
      </c>
      <c r="C229" s="82">
        <f>IF(⑬計量工程入力!B29="","",⑬計量工程入力!B29)</f>
        <v/>
      </c>
      <c r="D229" s="9">
        <f>IF(B229="","",⑬計量工程入力!I29)</f>
        <v/>
      </c>
      <c r="E229" s="9">
        <f>IF(B229="","",⑬計量工程入力!G29)</f>
        <v/>
      </c>
      <c r="F229" s="9">
        <f>IF(B229="","",⑬計量工程入力!M29)</f>
        <v/>
      </c>
      <c r="G229" s="513">
        <f>IF(AND(ISNUMBER(D229),ISNUMBER(F229),D229&gt;0),F229/D229,"")</f>
        <v/>
      </c>
      <c r="H229" s="7" t="n">
        <v>0</v>
      </c>
      <c r="I229" s="9">
        <f>IF(ISNUMBER(F229),-F229-H229,"")</f>
        <v/>
      </c>
      <c r="J229" s="69">
        <f>IF(G229="","",IF(G229&gt;=300,"✕ 要改善",IF(G229&gt;=200,"△ 注意","○ 良好")))</f>
        <v/>
      </c>
      <c r="K229" s="70" t="n"/>
    </row>
    <row r="230" ht="15" customHeight="1" s="438">
      <c r="A230" s="397" t="n">
        <v>223</v>
      </c>
      <c r="B230">
        <f>IF(⑬計量工程入力!C30="","",⑬計量工程入力!C30)</f>
        <v/>
      </c>
      <c r="C230">
        <f>IF(⑬計量工程入力!B30="","",⑬計量工程入力!B30)</f>
        <v/>
      </c>
      <c r="D230">
        <f>IF(B230="","",⑬計量工程入力!I30)</f>
        <v/>
      </c>
      <c r="E230">
        <f>IF(B230="","",⑬計量工程入力!G30)</f>
        <v/>
      </c>
      <c r="F230">
        <f>IF(B230="","",⑬計量工程入力!M30)</f>
        <v/>
      </c>
      <c r="G230">
        <f>IF(AND(ISNUMBER(D230),ISNUMBER(F230),D230&gt;0),F230/D230,"")</f>
        <v/>
      </c>
      <c r="H230" t="n">
        <v>0</v>
      </c>
      <c r="I230">
        <f>IF(ISNUMBER(F230),-F230-H230,"")</f>
        <v/>
      </c>
      <c r="J230">
        <f>IF(G230="","",IF(G230&gt;=300,"✕ 要改善",IF(G230&gt;=200,"△ 注意","○ 良好")))</f>
        <v/>
      </c>
    </row>
    <row r="231" ht="15" customHeight="1" s="438">
      <c r="A231" s="66" t="n">
        <v>224</v>
      </c>
      <c r="B231" s="67">
        <f>IF(⑬計量工程入力!C31="","",⑬計量工程入力!C31)</f>
        <v/>
      </c>
      <c r="C231" s="82">
        <f>IF(⑬計量工程入力!B31="","",⑬計量工程入力!B31)</f>
        <v/>
      </c>
      <c r="D231" s="9">
        <f>IF(B231="","",⑬計量工程入力!I31)</f>
        <v/>
      </c>
      <c r="E231" s="9">
        <f>IF(B231="","",⑬計量工程入力!G31)</f>
        <v/>
      </c>
      <c r="F231" s="9">
        <f>IF(B231="","",⑬計量工程入力!M31)</f>
        <v/>
      </c>
      <c r="G231" s="513">
        <f>IF(AND(ISNUMBER(D231),ISNUMBER(F231),D231&gt;0),F231/D231,"")</f>
        <v/>
      </c>
      <c r="H231" s="7" t="n">
        <v>0</v>
      </c>
      <c r="I231" s="9">
        <f>IF(ISNUMBER(F231),-F231-H231,"")</f>
        <v/>
      </c>
      <c r="J231" s="69">
        <f>IF(G231="","",IF(G231&gt;=300,"✕ 要改善",IF(G231&gt;=200,"△ 注意","○ 良好")))</f>
        <v/>
      </c>
      <c r="K231" s="70" t="n"/>
    </row>
    <row r="232" ht="15" customHeight="1" s="438">
      <c r="A232" s="397" t="n">
        <v>225</v>
      </c>
      <c r="B232">
        <f>IF(⑬計量工程入力!C32="","",⑬計量工程入力!C32)</f>
        <v/>
      </c>
      <c r="C232">
        <f>IF(⑬計量工程入力!B32="","",⑬計量工程入力!B32)</f>
        <v/>
      </c>
      <c r="D232">
        <f>IF(B232="","",⑬計量工程入力!I32)</f>
        <v/>
      </c>
      <c r="E232">
        <f>IF(B232="","",⑬計量工程入力!G32)</f>
        <v/>
      </c>
      <c r="F232">
        <f>IF(B232="","",⑬計量工程入力!M32)</f>
        <v/>
      </c>
      <c r="G232">
        <f>IF(AND(ISNUMBER(D232),ISNUMBER(F232),D232&gt;0),F232/D232,"")</f>
        <v/>
      </c>
      <c r="H232" t="n">
        <v>0</v>
      </c>
      <c r="I232">
        <f>IF(ISNUMBER(F232),-F232-H232,"")</f>
        <v/>
      </c>
      <c r="J232">
        <f>IF(G232="","",IF(G232&gt;=300,"✕ 要改善",IF(G232&gt;=200,"△ 注意","○ 良好")))</f>
        <v/>
      </c>
    </row>
    <row r="233" ht="15" customHeight="1" s="438">
      <c r="A233" s="66" t="n">
        <v>226</v>
      </c>
      <c r="B233" s="67">
        <f>IF(⑬計量工程入力!C33="","",⑬計量工程入力!C33)</f>
        <v/>
      </c>
      <c r="C233" s="82">
        <f>IF(⑬計量工程入力!B33="","",⑬計量工程入力!B33)</f>
        <v/>
      </c>
      <c r="D233" s="9">
        <f>IF(B233="","",⑬計量工程入力!I33)</f>
        <v/>
      </c>
      <c r="E233" s="9">
        <f>IF(B233="","",⑬計量工程入力!G33)</f>
        <v/>
      </c>
      <c r="F233" s="9">
        <f>IF(B233="","",⑬計量工程入力!M33)</f>
        <v/>
      </c>
      <c r="G233" s="513">
        <f>IF(AND(ISNUMBER(D233),ISNUMBER(F233),D233&gt;0),F233/D233,"")</f>
        <v/>
      </c>
      <c r="H233" s="7" t="n">
        <v>0</v>
      </c>
      <c r="I233" s="9">
        <f>IF(ISNUMBER(F233),-F233-H233,"")</f>
        <v/>
      </c>
      <c r="J233" s="69">
        <f>IF(G233="","",IF(G233&gt;=300,"✕ 要改善",IF(G233&gt;=200,"△ 注意","○ 良好")))</f>
        <v/>
      </c>
      <c r="K233" s="70" t="n"/>
    </row>
    <row r="234" ht="15" customHeight="1" s="438">
      <c r="A234" s="397" t="n">
        <v>227</v>
      </c>
      <c r="B234">
        <f>IF(⑬計量工程入力!C34="","",⑬計量工程入力!C34)</f>
        <v/>
      </c>
      <c r="C234">
        <f>IF(⑬計量工程入力!B34="","",⑬計量工程入力!B34)</f>
        <v/>
      </c>
      <c r="D234">
        <f>IF(B234="","",⑬計量工程入力!I34)</f>
        <v/>
      </c>
      <c r="E234">
        <f>IF(B234="","",⑬計量工程入力!G34)</f>
        <v/>
      </c>
      <c r="F234">
        <f>IF(B234="","",⑬計量工程入力!M34)</f>
        <v/>
      </c>
      <c r="G234">
        <f>IF(AND(ISNUMBER(D234),ISNUMBER(F234),D234&gt;0),F234/D234,"")</f>
        <v/>
      </c>
      <c r="H234" t="n">
        <v>0</v>
      </c>
      <c r="I234">
        <f>IF(ISNUMBER(F234),-F234-H234,"")</f>
        <v/>
      </c>
      <c r="J234">
        <f>IF(G234="","",IF(G234&gt;=300,"✕ 要改善",IF(G234&gt;=200,"△ 注意","○ 良好")))</f>
        <v/>
      </c>
    </row>
    <row r="235" ht="15" customHeight="1" s="438">
      <c r="A235" s="66" t="n">
        <v>228</v>
      </c>
      <c r="B235" s="67">
        <f>IF(⑬計量工程入力!C35="","",⑬計量工程入力!C35)</f>
        <v/>
      </c>
      <c r="C235" s="82">
        <f>IF(⑬計量工程入力!B35="","",⑬計量工程入力!B35)</f>
        <v/>
      </c>
      <c r="D235" s="9">
        <f>IF(B235="","",⑬計量工程入力!I35)</f>
        <v/>
      </c>
      <c r="E235" s="9">
        <f>IF(B235="","",⑬計量工程入力!G35)</f>
        <v/>
      </c>
      <c r="F235" s="9">
        <f>IF(B235="","",⑬計量工程入力!M35)</f>
        <v/>
      </c>
      <c r="G235" s="513">
        <f>IF(AND(ISNUMBER(D235),ISNUMBER(F235),D235&gt;0),F235/D235,"")</f>
        <v/>
      </c>
      <c r="H235" s="7" t="n">
        <v>0</v>
      </c>
      <c r="I235" s="9">
        <f>IF(ISNUMBER(F235),-F235-H235,"")</f>
        <v/>
      </c>
      <c r="J235" s="69">
        <f>IF(G235="","",IF(G235&gt;=300,"✕ 要改善",IF(G235&gt;=200,"△ 注意","○ 良好")))</f>
        <v/>
      </c>
      <c r="K235" s="70" t="n"/>
    </row>
    <row r="236" ht="15" customHeight="1" s="438">
      <c r="A236" s="397" t="n">
        <v>229</v>
      </c>
      <c r="B236">
        <f>IF(⑬計量工程入力!C36="","",⑬計量工程入力!C36)</f>
        <v/>
      </c>
      <c r="C236">
        <f>IF(⑬計量工程入力!B36="","",⑬計量工程入力!B36)</f>
        <v/>
      </c>
      <c r="D236">
        <f>IF(B236="","",⑬計量工程入力!I36)</f>
        <v/>
      </c>
      <c r="E236">
        <f>IF(B236="","",⑬計量工程入力!G36)</f>
        <v/>
      </c>
      <c r="F236">
        <f>IF(B236="","",⑬計量工程入力!M36)</f>
        <v/>
      </c>
      <c r="G236">
        <f>IF(AND(ISNUMBER(D236),ISNUMBER(F236),D236&gt;0),F236/D236,"")</f>
        <v/>
      </c>
      <c r="H236" t="n">
        <v>0</v>
      </c>
      <c r="I236">
        <f>IF(ISNUMBER(F236),-F236-H236,"")</f>
        <v/>
      </c>
      <c r="J236">
        <f>IF(G236="","",IF(G236&gt;=300,"✕ 要改善",IF(G236&gt;=200,"△ 注意","○ 良好")))</f>
        <v/>
      </c>
    </row>
    <row r="237" ht="15" customHeight="1" s="438">
      <c r="A237" s="66" t="n">
        <v>230</v>
      </c>
      <c r="B237" s="67">
        <f>IF(⑬計量工程入力!C37="","",⑬計量工程入力!C37)</f>
        <v/>
      </c>
      <c r="C237" s="82">
        <f>IF(⑬計量工程入力!B37="","",⑬計量工程入力!B37)</f>
        <v/>
      </c>
      <c r="D237" s="9">
        <f>IF(B237="","",⑬計量工程入力!I37)</f>
        <v/>
      </c>
      <c r="E237" s="9">
        <f>IF(B237="","",⑬計量工程入力!G37)</f>
        <v/>
      </c>
      <c r="F237" s="9">
        <f>IF(B237="","",⑬計量工程入力!M37)</f>
        <v/>
      </c>
      <c r="G237" s="513">
        <f>IF(AND(ISNUMBER(D237),ISNUMBER(F237),D237&gt;0),F237/D237,"")</f>
        <v/>
      </c>
      <c r="H237" s="7" t="n">
        <v>0</v>
      </c>
      <c r="I237" s="9">
        <f>IF(ISNUMBER(F237),-F237-H237,"")</f>
        <v/>
      </c>
      <c r="J237" s="69">
        <f>IF(G237="","",IF(G237&gt;=300,"✕ 要改善",IF(G237&gt;=200,"△ 注意","○ 良好")))</f>
        <v/>
      </c>
      <c r="K237" s="70" t="n"/>
    </row>
    <row r="238" ht="15" customHeight="1" s="438">
      <c r="A238" s="397" t="n">
        <v>231</v>
      </c>
      <c r="B238">
        <f>IF(⑬計量工程入力!C38="","",⑬計量工程入力!C38)</f>
        <v/>
      </c>
      <c r="C238">
        <f>IF(⑬計量工程入力!B38="","",⑬計量工程入力!B38)</f>
        <v/>
      </c>
      <c r="D238">
        <f>IF(B238="","",⑬計量工程入力!I38)</f>
        <v/>
      </c>
      <c r="E238">
        <f>IF(B238="","",⑬計量工程入力!G38)</f>
        <v/>
      </c>
      <c r="F238">
        <f>IF(B238="","",⑬計量工程入力!M38)</f>
        <v/>
      </c>
      <c r="G238">
        <f>IF(AND(ISNUMBER(D238),ISNUMBER(F238),D238&gt;0),F238/D238,"")</f>
        <v/>
      </c>
      <c r="H238" t="n">
        <v>0</v>
      </c>
      <c r="I238">
        <f>IF(ISNUMBER(F238),-F238-H238,"")</f>
        <v/>
      </c>
      <c r="J238">
        <f>IF(G238="","",IF(G238&gt;=300,"✕ 要改善",IF(G238&gt;=200,"△ 注意","○ 良好")))</f>
        <v/>
      </c>
    </row>
    <row r="239" ht="15" customHeight="1" s="438">
      <c r="A239" s="66" t="n">
        <v>232</v>
      </c>
      <c r="B239" s="67">
        <f>IF(⑬計量工程入力!C39="","",⑬計量工程入力!C39)</f>
        <v/>
      </c>
      <c r="C239" s="82">
        <f>IF(⑬計量工程入力!B39="","",⑬計量工程入力!B39)</f>
        <v/>
      </c>
      <c r="D239" s="9">
        <f>IF(B239="","",⑬計量工程入力!I39)</f>
        <v/>
      </c>
      <c r="E239" s="9">
        <f>IF(B239="","",⑬計量工程入力!G39)</f>
        <v/>
      </c>
      <c r="F239" s="9">
        <f>IF(B239="","",⑬計量工程入力!M39)</f>
        <v/>
      </c>
      <c r="G239" s="513">
        <f>IF(AND(ISNUMBER(D239),ISNUMBER(F239),D239&gt;0),F239/D239,"")</f>
        <v/>
      </c>
      <c r="H239" s="7" t="n">
        <v>0</v>
      </c>
      <c r="I239" s="9">
        <f>IF(ISNUMBER(F239),-F239-H239,"")</f>
        <v/>
      </c>
      <c r="J239" s="69">
        <f>IF(G239="","",IF(G239&gt;=300,"✕ 要改善",IF(G239&gt;=200,"△ 注意","○ 良好")))</f>
        <v/>
      </c>
      <c r="K239" s="70" t="n"/>
    </row>
    <row r="240" ht="15" customHeight="1" s="438">
      <c r="A240" s="397" t="n">
        <v>233</v>
      </c>
      <c r="B240">
        <f>IF(⑬計量工程入力!C40="","",⑬計量工程入力!C40)</f>
        <v/>
      </c>
      <c r="C240">
        <f>IF(⑬計量工程入力!B40="","",⑬計量工程入力!B40)</f>
        <v/>
      </c>
      <c r="D240">
        <f>IF(B240="","",⑬計量工程入力!I40)</f>
        <v/>
      </c>
      <c r="E240">
        <f>IF(B240="","",⑬計量工程入力!G40)</f>
        <v/>
      </c>
      <c r="F240">
        <f>IF(B240="","",⑬計量工程入力!M40)</f>
        <v/>
      </c>
      <c r="G240">
        <f>IF(AND(ISNUMBER(D240),ISNUMBER(F240),D240&gt;0),F240/D240,"")</f>
        <v/>
      </c>
      <c r="H240" t="n">
        <v>0</v>
      </c>
      <c r="I240">
        <f>IF(ISNUMBER(F240),-F240-H240,"")</f>
        <v/>
      </c>
      <c r="J240">
        <f>IF(G240="","",IF(G240&gt;=300,"✕ 要改善",IF(G240&gt;=200,"△ 注意","○ 良好")))</f>
        <v/>
      </c>
    </row>
    <row r="241" ht="15" customHeight="1" s="438">
      <c r="A241" s="66" t="n">
        <v>234</v>
      </c>
      <c r="B241" s="67">
        <f>IF(⑬計量工程入力!C41="","",⑬計量工程入力!C41)</f>
        <v/>
      </c>
      <c r="C241" s="82">
        <f>IF(⑬計量工程入力!B41="","",⑬計量工程入力!B41)</f>
        <v/>
      </c>
      <c r="D241" s="9">
        <f>IF(B241="","",⑬計量工程入力!I41)</f>
        <v/>
      </c>
      <c r="E241" s="9">
        <f>IF(B241="","",⑬計量工程入力!G41)</f>
        <v/>
      </c>
      <c r="F241" s="9">
        <f>IF(B241="","",⑬計量工程入力!M41)</f>
        <v/>
      </c>
      <c r="G241" s="513">
        <f>IF(AND(ISNUMBER(D241),ISNUMBER(F241),D241&gt;0),F241/D241,"")</f>
        <v/>
      </c>
      <c r="H241" s="7" t="n">
        <v>0</v>
      </c>
      <c r="I241" s="9">
        <f>IF(ISNUMBER(F241),-F241-H241,"")</f>
        <v/>
      </c>
      <c r="J241" s="69">
        <f>IF(G241="","",IF(G241&gt;=300,"✕ 要改善",IF(G241&gt;=200,"△ 注意","○ 良好")))</f>
        <v/>
      </c>
      <c r="K241" s="70" t="n"/>
    </row>
    <row r="242" ht="15" customHeight="1" s="438">
      <c r="A242" s="397" t="n">
        <v>235</v>
      </c>
      <c r="B242">
        <f>IF(⑬計量工程入力!C42="","",⑬計量工程入力!C42)</f>
        <v/>
      </c>
      <c r="C242">
        <f>IF(⑬計量工程入力!B42="","",⑬計量工程入力!B42)</f>
        <v/>
      </c>
      <c r="D242">
        <f>IF(B242="","",⑬計量工程入力!I42)</f>
        <v/>
      </c>
      <c r="E242">
        <f>IF(B242="","",⑬計量工程入力!G42)</f>
        <v/>
      </c>
      <c r="F242">
        <f>IF(B242="","",⑬計量工程入力!M42)</f>
        <v/>
      </c>
      <c r="G242">
        <f>IF(AND(ISNUMBER(D242),ISNUMBER(F242),D242&gt;0),F242/D242,"")</f>
        <v/>
      </c>
      <c r="H242" t="n">
        <v>0</v>
      </c>
      <c r="I242">
        <f>IF(ISNUMBER(F242),-F242-H242,"")</f>
        <v/>
      </c>
      <c r="J242">
        <f>IF(G242="","",IF(G242&gt;=300,"✕ 要改善",IF(G242&gt;=200,"△ 注意","○ 良好")))</f>
        <v/>
      </c>
    </row>
    <row r="243" ht="15" customHeight="1" s="438">
      <c r="A243" s="66" t="n">
        <v>236</v>
      </c>
      <c r="B243" s="67">
        <f>IF(⑬計量工程入力!C43="","",⑬計量工程入力!C43)</f>
        <v/>
      </c>
      <c r="C243" s="82">
        <f>IF(⑬計量工程入力!B43="","",⑬計量工程入力!B43)</f>
        <v/>
      </c>
      <c r="D243" s="9">
        <f>IF(B243="","",⑬計量工程入力!I43)</f>
        <v/>
      </c>
      <c r="E243" s="9">
        <f>IF(B243="","",⑬計量工程入力!G43)</f>
        <v/>
      </c>
      <c r="F243" s="9">
        <f>IF(B243="","",⑬計量工程入力!M43)</f>
        <v/>
      </c>
      <c r="G243" s="513">
        <f>IF(AND(ISNUMBER(D243),ISNUMBER(F243),D243&gt;0),F243/D243,"")</f>
        <v/>
      </c>
      <c r="H243" s="7" t="n">
        <v>0</v>
      </c>
      <c r="I243" s="9">
        <f>IF(ISNUMBER(F243),-F243-H243,"")</f>
        <v/>
      </c>
      <c r="J243" s="69">
        <f>IF(G243="","",IF(G243&gt;=300,"✕ 要改善",IF(G243&gt;=200,"△ 注意","○ 良好")))</f>
        <v/>
      </c>
      <c r="K243" s="70" t="n"/>
    </row>
    <row r="244" ht="15" customHeight="1" s="438">
      <c r="A244" s="397" t="n">
        <v>237</v>
      </c>
      <c r="B244">
        <f>IF(⑬計量工程入力!C44="","",⑬計量工程入力!C44)</f>
        <v/>
      </c>
      <c r="C244">
        <f>IF(⑬計量工程入力!B44="","",⑬計量工程入力!B44)</f>
        <v/>
      </c>
      <c r="D244">
        <f>IF(B244="","",⑬計量工程入力!I44)</f>
        <v/>
      </c>
      <c r="E244">
        <f>IF(B244="","",⑬計量工程入力!G44)</f>
        <v/>
      </c>
      <c r="F244">
        <f>IF(B244="","",⑬計量工程入力!M44)</f>
        <v/>
      </c>
      <c r="G244">
        <f>IF(AND(ISNUMBER(D244),ISNUMBER(F244),D244&gt;0),F244/D244,"")</f>
        <v/>
      </c>
      <c r="H244" t="n">
        <v>0</v>
      </c>
      <c r="I244">
        <f>IF(ISNUMBER(F244),-F244-H244,"")</f>
        <v/>
      </c>
      <c r="J244">
        <f>IF(G244="","",IF(G244&gt;=300,"✕ 要改善",IF(G244&gt;=200,"△ 注意","○ 良好")))</f>
        <v/>
      </c>
    </row>
    <row r="245" ht="15" customHeight="1" s="438">
      <c r="A245" s="66" t="n">
        <v>238</v>
      </c>
      <c r="B245" s="67">
        <f>IF(⑬計量工程入力!C45="","",⑬計量工程入力!C45)</f>
        <v/>
      </c>
      <c r="C245" s="82">
        <f>IF(⑬計量工程入力!B45="","",⑬計量工程入力!B45)</f>
        <v/>
      </c>
      <c r="D245" s="9">
        <f>IF(B245="","",⑬計量工程入力!I45)</f>
        <v/>
      </c>
      <c r="E245" s="9">
        <f>IF(B245="","",⑬計量工程入力!G45)</f>
        <v/>
      </c>
      <c r="F245" s="9">
        <f>IF(B245="","",⑬計量工程入力!M45)</f>
        <v/>
      </c>
      <c r="G245" s="513">
        <f>IF(AND(ISNUMBER(D245),ISNUMBER(F245),D245&gt;0),F245/D245,"")</f>
        <v/>
      </c>
      <c r="H245" s="7" t="n">
        <v>0</v>
      </c>
      <c r="I245" s="9">
        <f>IF(ISNUMBER(F245),-F245-H245,"")</f>
        <v/>
      </c>
      <c r="J245" s="69">
        <f>IF(G245="","",IF(G245&gt;=300,"✕ 要改善",IF(G245&gt;=200,"△ 注意","○ 良好")))</f>
        <v/>
      </c>
      <c r="K245" s="70" t="n"/>
    </row>
    <row r="246" ht="15" customHeight="1" s="438">
      <c r="A246" s="397" t="n">
        <v>239</v>
      </c>
      <c r="B246">
        <f>IF(⑬計量工程入力!C46="","",⑬計量工程入力!C46)</f>
        <v/>
      </c>
      <c r="C246">
        <f>IF(⑬計量工程入力!B46="","",⑬計量工程入力!B46)</f>
        <v/>
      </c>
      <c r="D246">
        <f>IF(B246="","",⑬計量工程入力!I46)</f>
        <v/>
      </c>
      <c r="E246">
        <f>IF(B246="","",⑬計量工程入力!G46)</f>
        <v/>
      </c>
      <c r="F246">
        <f>IF(B246="","",⑬計量工程入力!M46)</f>
        <v/>
      </c>
      <c r="G246">
        <f>IF(AND(ISNUMBER(D246),ISNUMBER(F246),D246&gt;0),F246/D246,"")</f>
        <v/>
      </c>
      <c r="H246" t="n">
        <v>0</v>
      </c>
      <c r="I246">
        <f>IF(ISNUMBER(F246),-F246-H246,"")</f>
        <v/>
      </c>
      <c r="J246">
        <f>IF(G246="","",IF(G246&gt;=300,"✕ 要改善",IF(G246&gt;=200,"△ 注意","○ 良好")))</f>
        <v/>
      </c>
    </row>
    <row r="247" ht="15" customHeight="1" s="438">
      <c r="A247" s="66" t="n">
        <v>240</v>
      </c>
      <c r="B247" s="67">
        <f>IF(⑬計量工程入力!C47="","",⑬計量工程入力!C47)</f>
        <v/>
      </c>
      <c r="C247" s="82">
        <f>IF(⑬計量工程入力!B47="","",⑬計量工程入力!B47)</f>
        <v/>
      </c>
      <c r="D247" s="9">
        <f>IF(B247="","",⑬計量工程入力!I47)</f>
        <v/>
      </c>
      <c r="E247" s="9">
        <f>IF(B247="","",⑬計量工程入力!G47)</f>
        <v/>
      </c>
      <c r="F247" s="9">
        <f>IF(B247="","",⑬計量工程入力!M47)</f>
        <v/>
      </c>
      <c r="G247" s="513">
        <f>IF(AND(ISNUMBER(D247),ISNUMBER(F247),D247&gt;0),F247/D247,"")</f>
        <v/>
      </c>
      <c r="H247" s="7" t="n">
        <v>0</v>
      </c>
      <c r="I247" s="9">
        <f>IF(ISNUMBER(F247),-F247-H247,"")</f>
        <v/>
      </c>
      <c r="J247" s="69">
        <f>IF(G247="","",IF(G247&gt;=300,"✕ 要改善",IF(G247&gt;=200,"△ 注意","○ 良好")))</f>
        <v/>
      </c>
      <c r="K247" s="70" t="n"/>
    </row>
    <row r="248" ht="15" customHeight="1" s="438">
      <c r="A248" s="397" t="n">
        <v>241</v>
      </c>
      <c r="B248">
        <f>IF(⑬計量工程入力!C48="","",⑬計量工程入力!C48)</f>
        <v/>
      </c>
      <c r="C248">
        <f>IF(⑬計量工程入力!B48="","",⑬計量工程入力!B48)</f>
        <v/>
      </c>
      <c r="D248">
        <f>IF(B248="","",⑬計量工程入力!I48)</f>
        <v/>
      </c>
      <c r="E248">
        <f>IF(B248="","",⑬計量工程入力!G48)</f>
        <v/>
      </c>
      <c r="F248">
        <f>IF(B248="","",⑬計量工程入力!M48)</f>
        <v/>
      </c>
      <c r="G248">
        <f>IF(AND(ISNUMBER(D248),ISNUMBER(F248),D248&gt;0),F248/D248,"")</f>
        <v/>
      </c>
      <c r="H248" t="n">
        <v>0</v>
      </c>
      <c r="I248">
        <f>IF(ISNUMBER(F248),-F248-H248,"")</f>
        <v/>
      </c>
      <c r="J248">
        <f>IF(G248="","",IF(G248&gt;=300,"✕ 要改善",IF(G248&gt;=200,"△ 注意","○ 良好")))</f>
        <v/>
      </c>
    </row>
    <row r="249" ht="15" customHeight="1" s="438">
      <c r="A249" s="66" t="n">
        <v>242</v>
      </c>
      <c r="B249" s="67">
        <f>IF(⑬計量工程入力!C49="","",⑬計量工程入力!C49)</f>
        <v/>
      </c>
      <c r="C249" s="82">
        <f>IF(⑬計量工程入力!B49="","",⑬計量工程入力!B49)</f>
        <v/>
      </c>
      <c r="D249" s="9">
        <f>IF(B249="","",⑬計量工程入力!I49)</f>
        <v/>
      </c>
      <c r="E249" s="9">
        <f>IF(B249="","",⑬計量工程入力!G49)</f>
        <v/>
      </c>
      <c r="F249" s="9">
        <f>IF(B249="","",⑬計量工程入力!M49)</f>
        <v/>
      </c>
      <c r="G249" s="513">
        <f>IF(AND(ISNUMBER(D249),ISNUMBER(F249),D249&gt;0),F249/D249,"")</f>
        <v/>
      </c>
      <c r="H249" s="7" t="n">
        <v>0</v>
      </c>
      <c r="I249" s="9">
        <f>IF(ISNUMBER(F249),-F249-H249,"")</f>
        <v/>
      </c>
      <c r="J249" s="69">
        <f>IF(G249="","",IF(G249&gt;=300,"✕ 要改善",IF(G249&gt;=200,"△ 注意","○ 良好")))</f>
        <v/>
      </c>
      <c r="K249" s="70" t="n"/>
    </row>
    <row r="250" ht="15" customHeight="1" s="438">
      <c r="A250" s="397" t="n">
        <v>243</v>
      </c>
      <c r="B250">
        <f>IF(⑬計量工程入力!C50="","",⑬計量工程入力!C50)</f>
        <v/>
      </c>
      <c r="C250">
        <f>IF(⑬計量工程入力!B50="","",⑬計量工程入力!B50)</f>
        <v/>
      </c>
      <c r="D250">
        <f>IF(B250="","",⑬計量工程入力!I50)</f>
        <v/>
      </c>
      <c r="E250">
        <f>IF(B250="","",⑬計量工程入力!G50)</f>
        <v/>
      </c>
      <c r="F250">
        <f>IF(B250="","",⑬計量工程入力!M50)</f>
        <v/>
      </c>
      <c r="G250">
        <f>IF(AND(ISNUMBER(D250),ISNUMBER(F250),D250&gt;0),F250/D250,"")</f>
        <v/>
      </c>
      <c r="H250" t="n">
        <v>0</v>
      </c>
      <c r="I250">
        <f>IF(ISNUMBER(F250),-F250-H250,"")</f>
        <v/>
      </c>
      <c r="J250">
        <f>IF(G250="","",IF(G250&gt;=300,"✕ 要改善",IF(G250&gt;=200,"△ 注意","○ 良好")))</f>
        <v/>
      </c>
    </row>
    <row r="251" ht="24" customHeight="1" s="438">
      <c r="A251" s="66" t="n">
        <v>244</v>
      </c>
      <c r="B251" s="67">
        <f>IF(⑬計量工程入力!C51="","",⑬計量工程入力!C51)</f>
        <v/>
      </c>
      <c r="C251" s="82">
        <f>IF(⑬計量工程入力!B51="","",⑬計量工程入力!B51)</f>
        <v/>
      </c>
      <c r="D251" s="9">
        <f>IF(B251="","",⑬計量工程入力!I51)</f>
        <v/>
      </c>
      <c r="E251" s="9">
        <f>IF(B251="","",⑬計量工程入力!G51)</f>
        <v/>
      </c>
      <c r="F251" s="9">
        <f>IF(B251="","",⑬計量工程入力!M51)</f>
        <v/>
      </c>
      <c r="G251" s="513">
        <f>IF(AND(ISNUMBER(D251),ISNUMBER(F251),D251&gt;0),F251/D251,"")</f>
        <v/>
      </c>
      <c r="H251" s="7" t="n">
        <v>0</v>
      </c>
      <c r="I251" s="9">
        <f>IF(ISNUMBER(F251),-F251-H251,"")</f>
        <v/>
      </c>
      <c r="J251" s="69">
        <f>IF(G251="","",IF(G251&gt;=300,"✕ 要改善",IF(G251&gt;=200,"△ 注意","○ 良好")))</f>
        <v/>
      </c>
      <c r="K251" s="70" t="n"/>
    </row>
    <row r="252" ht="14" customHeight="1" s="438">
      <c r="A252" s="397" t="n">
        <v>245</v>
      </c>
      <c r="B252">
        <f>IF(⑬計量工程入力!C52="","",⑬計量工程入力!C52)</f>
        <v/>
      </c>
      <c r="C252">
        <f>IF(⑬計量工程入力!B52="","",⑬計量工程入力!B52)</f>
        <v/>
      </c>
      <c r="D252">
        <f>IF(B252="","",⑬計量工程入力!I52)</f>
        <v/>
      </c>
      <c r="E252">
        <f>IF(B252="","",⑬計量工程入力!G52)</f>
        <v/>
      </c>
      <c r="F252">
        <f>IF(B252="","",⑬計量工程入力!M52)</f>
        <v/>
      </c>
      <c r="G252">
        <f>IF(AND(ISNUMBER(D252),ISNUMBER(F252),D252&gt;0),F252/D252,"")</f>
        <v/>
      </c>
      <c r="H252" t="n">
        <v>0</v>
      </c>
      <c r="I252">
        <f>IF(ISNUMBER(F252),-F252-H252,"")</f>
        <v/>
      </c>
      <c r="J252">
        <f>IF(G252="","",IF(G252&gt;=300,"✕ 要改善",IF(G252&gt;=200,"△ 注意","○ 良好")))</f>
        <v/>
      </c>
    </row>
    <row r="253">
      <c r="A253" s="66" t="n">
        <v>246</v>
      </c>
      <c r="B253" s="67">
        <f>IF(⑬計量工程入力!C53="","",⑬計量工程入力!C53)</f>
        <v/>
      </c>
      <c r="C253" s="82">
        <f>IF(⑬計量工程入力!B53="","",⑬計量工程入力!B53)</f>
        <v/>
      </c>
      <c r="D253" s="9">
        <f>IF(B253="","",⑬計量工程入力!I53)</f>
        <v/>
      </c>
      <c r="E253" s="9">
        <f>IF(B253="","",⑬計量工程入力!G53)</f>
        <v/>
      </c>
      <c r="F253" s="9">
        <f>IF(B253="","",⑬計量工程入力!M53)</f>
        <v/>
      </c>
      <c r="G253" s="513">
        <f>IF(AND(ISNUMBER(D253),ISNUMBER(F253),D253&gt;0),F253/D253,"")</f>
        <v/>
      </c>
      <c r="H253" s="7" t="n">
        <v>0</v>
      </c>
      <c r="I253" s="9">
        <f>IF(ISNUMBER(F253),-F253-H253,"")</f>
        <v/>
      </c>
      <c r="J253" s="69">
        <f>IF(G253="","",IF(G253&gt;=300,"✕ 要改善",IF(G253&gt;=200,"△ 注意","○ 良好")))</f>
        <v/>
      </c>
      <c r="K253" s="70" t="n"/>
    </row>
    <row r="254" ht="14" customHeight="1" s="438">
      <c r="A254" s="397" t="n">
        <v>247</v>
      </c>
      <c r="B254">
        <f>IF(⑬計量工程入力!C54="","",⑬計量工程入力!C54)</f>
        <v/>
      </c>
      <c r="C254">
        <f>IF(⑬計量工程入力!B54="","",⑬計量工程入力!B54)</f>
        <v/>
      </c>
      <c r="D254">
        <f>IF(B254="","",⑬計量工程入力!I54)</f>
        <v/>
      </c>
      <c r="E254">
        <f>IF(B254="","",⑬計量工程入力!G54)</f>
        <v/>
      </c>
      <c r="F254">
        <f>IF(B254="","",⑬計量工程入力!M54)</f>
        <v/>
      </c>
      <c r="G254">
        <f>IF(AND(ISNUMBER(D254),ISNUMBER(F254),D254&gt;0),F254/D254,"")</f>
        <v/>
      </c>
      <c r="H254" t="n">
        <v>0</v>
      </c>
      <c r="I254">
        <f>IF(ISNUMBER(F254),-F254-H254,"")</f>
        <v/>
      </c>
      <c r="J254">
        <f>IF(G254="","",IF(G254&gt;=300,"✕ 要改善",IF(G254&gt;=200,"△ 注意","○ 良好")))</f>
        <v/>
      </c>
    </row>
    <row r="255">
      <c r="A255" s="66" t="n">
        <v>248</v>
      </c>
      <c r="B255" s="67">
        <f>IF(⑬計量工程入力!C55="","",⑬計量工程入力!C55)</f>
        <v/>
      </c>
      <c r="C255" s="82">
        <f>IF(⑬計量工程入力!B55="","",⑬計量工程入力!B55)</f>
        <v/>
      </c>
      <c r="D255" s="9">
        <f>IF(B255="","",⑬計量工程入力!I55)</f>
        <v/>
      </c>
      <c r="E255" s="9">
        <f>IF(B255="","",⑬計量工程入力!G55)</f>
        <v/>
      </c>
      <c r="F255" s="9">
        <f>IF(B255="","",⑬計量工程入力!M55)</f>
        <v/>
      </c>
      <c r="G255" s="513">
        <f>IF(AND(ISNUMBER(D255),ISNUMBER(F255),D255&gt;0),F255/D255,"")</f>
        <v/>
      </c>
      <c r="H255" s="7" t="n">
        <v>0</v>
      </c>
      <c r="I255" s="9">
        <f>IF(ISNUMBER(F255),-F255-H255,"")</f>
        <v/>
      </c>
      <c r="J255" s="69">
        <f>IF(G255="","",IF(G255&gt;=300,"✕ 要改善",IF(G255&gt;=200,"△ 注意","○ 良好")))</f>
        <v/>
      </c>
      <c r="K255" s="70" t="n"/>
    </row>
    <row r="256" ht="14" customHeight="1" s="438">
      <c r="A256" s="397" t="n">
        <v>249</v>
      </c>
      <c r="B256">
        <f>IF(⑬計量工程入力!C56="","",⑬計量工程入力!C56)</f>
        <v/>
      </c>
      <c r="C256">
        <f>IF(⑬計量工程入力!B56="","",⑬計量工程入力!B56)</f>
        <v/>
      </c>
      <c r="D256">
        <f>IF(B256="","",⑬計量工程入力!I56)</f>
        <v/>
      </c>
      <c r="E256">
        <f>IF(B256="","",⑬計量工程入力!G56)</f>
        <v/>
      </c>
      <c r="F256">
        <f>IF(B256="","",⑬計量工程入力!M56)</f>
        <v/>
      </c>
      <c r="G256">
        <f>IF(AND(ISNUMBER(D256),ISNUMBER(F256),D256&gt;0),F256/D256,"")</f>
        <v/>
      </c>
      <c r="H256" t="n">
        <v>0</v>
      </c>
      <c r="I256">
        <f>IF(ISNUMBER(F256),-F256-H256,"")</f>
        <v/>
      </c>
      <c r="J256">
        <f>IF(G256="","",IF(G256&gt;=300,"✕ 要改善",IF(G256&gt;=200,"△ 注意","○ 良好")))</f>
        <v/>
      </c>
    </row>
    <row r="257">
      <c r="A257" s="66" t="n">
        <v>250</v>
      </c>
      <c r="B257" s="67">
        <f>IF(⑬計量工程入力!C57="","",⑬計量工程入力!C57)</f>
        <v/>
      </c>
      <c r="C257" s="82">
        <f>IF(⑬計量工程入力!B57="","",⑬計量工程入力!B57)</f>
        <v/>
      </c>
      <c r="D257" s="9">
        <f>IF(B257="","",⑬計量工程入力!I57)</f>
        <v/>
      </c>
      <c r="E257" s="9">
        <f>IF(B257="","",⑬計量工程入力!G57)</f>
        <v/>
      </c>
      <c r="F257" s="9">
        <f>IF(B257="","",⑬計量工程入力!M57)</f>
        <v/>
      </c>
      <c r="G257" s="513">
        <f>IF(AND(ISNUMBER(D257),ISNUMBER(F257),D257&gt;0),F257/D257,"")</f>
        <v/>
      </c>
      <c r="H257" s="7" t="n">
        <v>0</v>
      </c>
      <c r="I257" s="9">
        <f>IF(ISNUMBER(F257),-F257-H257,"")</f>
        <v/>
      </c>
      <c r="J257" s="69">
        <f>IF(G257="","",IF(G257&gt;=300,"✕ 要改善",IF(G257&gt;=200,"△ 注意","○ 良好")))</f>
        <v/>
      </c>
      <c r="K257" s="70" t="n"/>
    </row>
    <row r="258" ht="14" customHeight="1" s="438">
      <c r="A258" s="397" t="n">
        <v>251</v>
      </c>
      <c r="B258">
        <f>IF(⑬計量工程入力!C58="","",⑬計量工程入力!C58)</f>
        <v/>
      </c>
      <c r="C258">
        <f>IF(⑬計量工程入力!B58="","",⑬計量工程入力!B58)</f>
        <v/>
      </c>
      <c r="D258">
        <f>IF(B258="","",⑬計量工程入力!I58)</f>
        <v/>
      </c>
      <c r="E258">
        <f>IF(B258="","",⑬計量工程入力!G58)</f>
        <v/>
      </c>
      <c r="F258">
        <f>IF(B258="","",⑬計量工程入力!M58)</f>
        <v/>
      </c>
      <c r="G258">
        <f>IF(AND(ISNUMBER(D258),ISNUMBER(F258),D258&gt;0),F258/D258,"")</f>
        <v/>
      </c>
      <c r="H258" t="n">
        <v>0</v>
      </c>
      <c r="I258">
        <f>IF(ISNUMBER(F258),-F258-H258,"")</f>
        <v/>
      </c>
      <c r="J258">
        <f>IF(G258="","",IF(G258&gt;=300,"✕ 要改善",IF(G258&gt;=200,"△ 注意","○ 良好")))</f>
        <v/>
      </c>
    </row>
    <row r="259">
      <c r="A259" s="66" t="n">
        <v>252</v>
      </c>
      <c r="B259" s="67">
        <f>IF(⑬計量工程入力!C59="","",⑬計量工程入力!C59)</f>
        <v/>
      </c>
      <c r="C259" s="82">
        <f>IF(⑬計量工程入力!B59="","",⑬計量工程入力!B59)</f>
        <v/>
      </c>
      <c r="D259" s="9">
        <f>IF(B259="","",⑬計量工程入力!I59)</f>
        <v/>
      </c>
      <c r="E259" s="9">
        <f>IF(B259="","",⑬計量工程入力!G59)</f>
        <v/>
      </c>
      <c r="F259" s="9">
        <f>IF(B259="","",⑬計量工程入力!M59)</f>
        <v/>
      </c>
      <c r="G259" s="513">
        <f>IF(AND(ISNUMBER(D259),ISNUMBER(F259),D259&gt;0),F259/D259,"")</f>
        <v/>
      </c>
      <c r="H259" s="7" t="n">
        <v>0</v>
      </c>
      <c r="I259" s="9">
        <f>IF(ISNUMBER(F259),-F259-H259,"")</f>
        <v/>
      </c>
      <c r="J259" s="69">
        <f>IF(G259="","",IF(G259&gt;=300,"✕ 要改善",IF(G259&gt;=200,"△ 注意","○ 良好")))</f>
        <v/>
      </c>
      <c r="K259" s="70" t="n"/>
    </row>
    <row r="260" ht="14" customHeight="1" s="438">
      <c r="A260" s="397" t="n">
        <v>253</v>
      </c>
      <c r="B260">
        <f>IF(⑬計量工程入力!C60="","",⑬計量工程入力!C60)</f>
        <v/>
      </c>
      <c r="C260">
        <f>IF(⑬計量工程入力!B60="","",⑬計量工程入力!B60)</f>
        <v/>
      </c>
      <c r="D260">
        <f>IF(B260="","",⑬計量工程入力!I60)</f>
        <v/>
      </c>
      <c r="E260">
        <f>IF(B260="","",⑬計量工程入力!G60)</f>
        <v/>
      </c>
      <c r="F260">
        <f>IF(B260="","",⑬計量工程入力!M60)</f>
        <v/>
      </c>
      <c r="G260">
        <f>IF(AND(ISNUMBER(D260),ISNUMBER(F260),D260&gt;0),F260/D260,"")</f>
        <v/>
      </c>
      <c r="H260" t="n">
        <v>0</v>
      </c>
      <c r="I260">
        <f>IF(ISNUMBER(F260),-F260-H260,"")</f>
        <v/>
      </c>
      <c r="J260">
        <f>IF(G260="","",IF(G260&gt;=300,"✕ 要改善",IF(G260&gt;=200,"△ 注意","○ 良好")))</f>
        <v/>
      </c>
    </row>
    <row r="261">
      <c r="A261" s="66" t="n">
        <v>254</v>
      </c>
      <c r="B261" s="67">
        <f>IF(⑬計量工程入力!C61="","",⑬計量工程入力!C61)</f>
        <v/>
      </c>
      <c r="C261" s="82">
        <f>IF(⑬計量工程入力!B61="","",⑬計量工程入力!B61)</f>
        <v/>
      </c>
      <c r="D261" s="9">
        <f>IF(B261="","",⑬計量工程入力!I61)</f>
        <v/>
      </c>
      <c r="E261" s="9">
        <f>IF(B261="","",⑬計量工程入力!G61)</f>
        <v/>
      </c>
      <c r="F261" s="9">
        <f>IF(B261="","",⑬計量工程入力!M61)</f>
        <v/>
      </c>
      <c r="G261" s="513">
        <f>IF(AND(ISNUMBER(D261),ISNUMBER(F261),D261&gt;0),F261/D261,"")</f>
        <v/>
      </c>
      <c r="H261" s="7" t="n">
        <v>0</v>
      </c>
      <c r="I261" s="9">
        <f>IF(ISNUMBER(F261),-F261-H261,"")</f>
        <v/>
      </c>
      <c r="J261" s="69">
        <f>IF(G261="","",IF(G261&gt;=300,"✕ 要改善",IF(G261&gt;=200,"△ 注意","○ 良好")))</f>
        <v/>
      </c>
      <c r="K261" s="70" t="n"/>
    </row>
    <row r="262" ht="14" customHeight="1" s="438">
      <c r="A262" s="397" t="n">
        <v>255</v>
      </c>
      <c r="B262">
        <f>IF(⑬計量工程入力!C62="","",⑬計量工程入力!C62)</f>
        <v/>
      </c>
      <c r="C262">
        <f>IF(⑬計量工程入力!B62="","",⑬計量工程入力!B62)</f>
        <v/>
      </c>
      <c r="D262">
        <f>IF(B262="","",⑬計量工程入力!I62)</f>
        <v/>
      </c>
      <c r="E262">
        <f>IF(B262="","",⑬計量工程入力!G62)</f>
        <v/>
      </c>
      <c r="F262">
        <f>IF(B262="","",⑬計量工程入力!M62)</f>
        <v/>
      </c>
      <c r="G262">
        <f>IF(AND(ISNUMBER(D262),ISNUMBER(F262),D262&gt;0),F262/D262,"")</f>
        <v/>
      </c>
      <c r="H262" t="n">
        <v>0</v>
      </c>
      <c r="I262">
        <f>IF(ISNUMBER(F262),-F262-H262,"")</f>
        <v/>
      </c>
      <c r="J262">
        <f>IF(G262="","",IF(G262&gt;=300,"✕ 要改善",IF(G262&gt;=200,"△ 注意","○ 良好")))</f>
        <v/>
      </c>
    </row>
    <row r="263">
      <c r="A263" s="66" t="n">
        <v>256</v>
      </c>
      <c r="B263" s="67">
        <f>IF(⑬計量工程入力!C63="","",⑬計量工程入力!C63)</f>
        <v/>
      </c>
      <c r="C263" s="82">
        <f>IF(⑬計量工程入力!B63="","",⑬計量工程入力!B63)</f>
        <v/>
      </c>
      <c r="D263" s="9">
        <f>IF(B263="","",⑬計量工程入力!I63)</f>
        <v/>
      </c>
      <c r="E263" s="9">
        <f>IF(B263="","",⑬計量工程入力!G63)</f>
        <v/>
      </c>
      <c r="F263" s="9">
        <f>IF(B263="","",⑬計量工程入力!M63)</f>
        <v/>
      </c>
      <c r="G263" s="513">
        <f>IF(AND(ISNUMBER(D263),ISNUMBER(F263),D263&gt;0),F263/D263,"")</f>
        <v/>
      </c>
      <c r="H263" s="7" t="n">
        <v>0</v>
      </c>
      <c r="I263" s="9">
        <f>IF(ISNUMBER(F263),-F263-H263,"")</f>
        <v/>
      </c>
      <c r="J263" s="69">
        <f>IF(G263="","",IF(G263&gt;=300,"✕ 要改善",IF(G263&gt;=200,"△ 注意","○ 良好")))</f>
        <v/>
      </c>
      <c r="K263" s="70" t="n"/>
    </row>
    <row r="264" ht="14" customHeight="1" s="438">
      <c r="A264" s="397" t="n">
        <v>257</v>
      </c>
      <c r="B264">
        <f>IF(⑬計量工程入力!C64="","",⑬計量工程入力!C64)</f>
        <v/>
      </c>
      <c r="C264">
        <f>IF(⑬計量工程入力!B64="","",⑬計量工程入力!B64)</f>
        <v/>
      </c>
      <c r="D264">
        <f>IF(B264="","",⑬計量工程入力!I64)</f>
        <v/>
      </c>
      <c r="E264">
        <f>IF(B264="","",⑬計量工程入力!G64)</f>
        <v/>
      </c>
      <c r="F264">
        <f>IF(B264="","",⑬計量工程入力!M64)</f>
        <v/>
      </c>
      <c r="G264">
        <f>IF(AND(ISNUMBER(D264),ISNUMBER(F264),D264&gt;0),F264/D264,"")</f>
        <v/>
      </c>
      <c r="H264" t="n">
        <v>0</v>
      </c>
      <c r="I264">
        <f>IF(ISNUMBER(F264),-F264-H264,"")</f>
        <v/>
      </c>
      <c r="J264">
        <f>IF(G264="","",IF(G264&gt;=300,"✕ 要改善",IF(G264&gt;=200,"△ 注意","○ 良好")))</f>
        <v/>
      </c>
    </row>
    <row r="265">
      <c r="A265" s="66" t="n">
        <v>258</v>
      </c>
      <c r="B265" s="67">
        <f>IF(⑬計量工程入力!C65="","",⑬計量工程入力!C65)</f>
        <v/>
      </c>
      <c r="C265" s="82">
        <f>IF(⑬計量工程入力!B65="","",⑬計量工程入力!B65)</f>
        <v/>
      </c>
      <c r="D265" s="9">
        <f>IF(B265="","",⑬計量工程入力!I65)</f>
        <v/>
      </c>
      <c r="E265" s="9">
        <f>IF(B265="","",⑬計量工程入力!G65)</f>
        <v/>
      </c>
      <c r="F265" s="9">
        <f>IF(B265="","",⑬計量工程入力!M65)</f>
        <v/>
      </c>
      <c r="G265" s="513">
        <f>IF(AND(ISNUMBER(D265),ISNUMBER(F265),D265&gt;0),F265/D265,"")</f>
        <v/>
      </c>
      <c r="H265" s="7" t="n">
        <v>0</v>
      </c>
      <c r="I265" s="9">
        <f>IF(ISNUMBER(F265),-F265-H265,"")</f>
        <v/>
      </c>
      <c r="J265" s="69">
        <f>IF(G265="","",IF(G265&gt;=300,"✕ 要改善",IF(G265&gt;=200,"△ 注意","○ 良好")))</f>
        <v/>
      </c>
      <c r="K265" s="70" t="n"/>
    </row>
    <row r="266">
      <c r="A266" s="464" t="inlineStr">
        <is>
          <t>◆ 手動工程　中間品</t>
        </is>
      </c>
      <c r="B266" s="465" t="n"/>
      <c r="C266" s="465" t="n"/>
      <c r="D266" s="465" t="n"/>
      <c r="E266" s="465" t="n"/>
      <c r="F266" s="465" t="n"/>
      <c r="G266" s="465" t="n"/>
      <c r="H266" s="465" t="n"/>
      <c r="I266" s="465" t="n"/>
      <c r="J266" s="465" t="n"/>
      <c r="K266" s="466" t="n"/>
    </row>
    <row r="267">
      <c r="A267" s="66" t="n">
        <v>259</v>
      </c>
      <c r="B267" s="67">
        <f>IF(⑭手動工程入力!C5="","",⑭手動工程入力!C5)</f>
        <v/>
      </c>
      <c r="C267" s="82">
        <f>IF(⑭手動工程入力!B5="","",⑭手動工程入力!B5)</f>
        <v/>
      </c>
      <c r="D267" s="9">
        <f>IF(B267="","",⑭手動工程入力!I5)</f>
        <v/>
      </c>
      <c r="E267" s="9">
        <f>IF(B267="","",⑭手動工程入力!G5)</f>
        <v/>
      </c>
      <c r="F267" s="9">
        <f>IF(B267="","",⑭手動工程入力!M5)</f>
        <v/>
      </c>
      <c r="G267" s="513">
        <f>IF(AND(ISNUMBER(D267),ISNUMBER(F267),D267&gt;0),F267/D267,"")</f>
        <v/>
      </c>
      <c r="H267" s="7" t="n">
        <v>0</v>
      </c>
      <c r="I267" s="9">
        <f>IF(ISNUMBER(F267),-F267-H267,"")</f>
        <v/>
      </c>
      <c r="J267" s="69">
        <f>IF(G267="","",IF(G267&gt;=300,"✕ 要改善",IF(G267&gt;=200,"△ 注意","○ 良好")))</f>
        <v/>
      </c>
      <c r="K267" s="70" t="n"/>
    </row>
    <row r="268" ht="14" customHeight="1" s="438">
      <c r="A268" s="397" t="n">
        <v>260</v>
      </c>
      <c r="B268">
        <f>IF(⑭手動工程入力!C6="","",⑭手動工程入力!C6)</f>
        <v/>
      </c>
      <c r="C268">
        <f>IF(⑭手動工程入力!B6="","",⑭手動工程入力!B6)</f>
        <v/>
      </c>
      <c r="D268">
        <f>IF(B268="","",⑭手動工程入力!I6)</f>
        <v/>
      </c>
      <c r="E268">
        <f>IF(B268="","",⑭手動工程入力!G6)</f>
        <v/>
      </c>
      <c r="F268">
        <f>IF(B268="","",⑭手動工程入力!M6)</f>
        <v/>
      </c>
      <c r="G268">
        <f>IF(AND(ISNUMBER(D268),ISNUMBER(F268),D268&gt;0),F268/D268,"")</f>
        <v/>
      </c>
      <c r="H268" t="n">
        <v>0</v>
      </c>
      <c r="I268">
        <f>IF(ISNUMBER(F268),-F268-H268,"")</f>
        <v/>
      </c>
      <c r="J268">
        <f>IF(G268="","",IF(G268&gt;=300,"✕ 要改善",IF(G268&gt;=200,"△ 注意","○ 良好")))</f>
        <v/>
      </c>
    </row>
    <row r="269">
      <c r="A269" s="66" t="n">
        <v>261</v>
      </c>
      <c r="B269" s="67">
        <f>IF(⑭手動工程入力!C7="","",⑭手動工程入力!C7)</f>
        <v/>
      </c>
      <c r="C269" s="82">
        <f>IF(⑭手動工程入力!B7="","",⑭手動工程入力!B7)</f>
        <v/>
      </c>
      <c r="D269" s="9">
        <f>IF(B269="","",⑭手動工程入力!I7)</f>
        <v/>
      </c>
      <c r="E269" s="9">
        <f>IF(B269="","",⑭手動工程入力!G7)</f>
        <v/>
      </c>
      <c r="F269" s="9">
        <f>IF(B269="","",⑭手動工程入力!M7)</f>
        <v/>
      </c>
      <c r="G269" s="513">
        <f>IF(AND(ISNUMBER(D269),ISNUMBER(F269),D269&gt;0),F269/D269,"")</f>
        <v/>
      </c>
      <c r="H269" s="7" t="n">
        <v>0</v>
      </c>
      <c r="I269" s="9">
        <f>IF(ISNUMBER(F269),-F269-H269,"")</f>
        <v/>
      </c>
      <c r="J269" s="69">
        <f>IF(G269="","",IF(G269&gt;=300,"✕ 要改善",IF(G269&gt;=200,"△ 注意","○ 良好")))</f>
        <v/>
      </c>
      <c r="K269" s="70" t="n"/>
    </row>
    <row r="270" ht="14" customHeight="1" s="438">
      <c r="A270" s="397" t="n">
        <v>262</v>
      </c>
      <c r="B270">
        <f>IF(⑭手動工程入力!C8="","",⑭手動工程入力!C8)</f>
        <v/>
      </c>
      <c r="C270">
        <f>IF(⑭手動工程入力!B8="","",⑭手動工程入力!B8)</f>
        <v/>
      </c>
      <c r="D270">
        <f>IF(B270="","",⑭手動工程入力!I8)</f>
        <v/>
      </c>
      <c r="E270">
        <f>IF(B270="","",⑭手動工程入力!G8)</f>
        <v/>
      </c>
      <c r="F270">
        <f>IF(B270="","",⑭手動工程入力!M8)</f>
        <v/>
      </c>
      <c r="G270">
        <f>IF(AND(ISNUMBER(D270),ISNUMBER(F270),D270&gt;0),F270/D270,"")</f>
        <v/>
      </c>
      <c r="H270" t="n">
        <v>0</v>
      </c>
      <c r="I270">
        <f>IF(ISNUMBER(F270),-F270-H270,"")</f>
        <v/>
      </c>
      <c r="J270">
        <f>IF(G270="","",IF(G270&gt;=300,"✕ 要改善",IF(G270&gt;=200,"△ 注意","○ 良好")))</f>
        <v/>
      </c>
    </row>
    <row r="271">
      <c r="A271" s="66" t="n">
        <v>263</v>
      </c>
      <c r="B271" s="67">
        <f>IF(⑭手動工程入力!C9="","",⑭手動工程入力!C9)</f>
        <v/>
      </c>
      <c r="C271" s="82">
        <f>IF(⑭手動工程入力!B9="","",⑭手動工程入力!B9)</f>
        <v/>
      </c>
      <c r="D271" s="9">
        <f>IF(B271="","",⑭手動工程入力!I9)</f>
        <v/>
      </c>
      <c r="E271" s="9">
        <f>IF(B271="","",⑭手動工程入力!G9)</f>
        <v/>
      </c>
      <c r="F271" s="9">
        <f>IF(B271="","",⑭手動工程入力!M9)</f>
        <v/>
      </c>
      <c r="G271" s="513">
        <f>IF(AND(ISNUMBER(D271),ISNUMBER(F271),D271&gt;0),F271/D271,"")</f>
        <v/>
      </c>
      <c r="H271" s="7" t="n">
        <v>0</v>
      </c>
      <c r="I271" s="9">
        <f>IF(ISNUMBER(F271),-F271-H271,"")</f>
        <v/>
      </c>
      <c r="J271" s="69">
        <f>IF(G271="","",IF(G271&gt;=300,"✕ 要改善",IF(G271&gt;=200,"△ 注意","○ 良好")))</f>
        <v/>
      </c>
      <c r="K271" s="70" t="n"/>
    </row>
    <row r="272" ht="14" customHeight="1" s="438">
      <c r="A272" s="397" t="n">
        <v>264</v>
      </c>
      <c r="B272">
        <f>IF(⑭手動工程入力!C10="","",⑭手動工程入力!C10)</f>
        <v/>
      </c>
      <c r="C272">
        <f>IF(⑭手動工程入力!B10="","",⑭手動工程入力!B10)</f>
        <v/>
      </c>
      <c r="D272">
        <f>IF(B272="","",⑭手動工程入力!I10)</f>
        <v/>
      </c>
      <c r="E272">
        <f>IF(B272="","",⑭手動工程入力!G10)</f>
        <v/>
      </c>
      <c r="F272">
        <f>IF(B272="","",⑭手動工程入力!M10)</f>
        <v/>
      </c>
      <c r="G272">
        <f>IF(AND(ISNUMBER(D272),ISNUMBER(F272),D272&gt;0),F272/D272,"")</f>
        <v/>
      </c>
      <c r="H272" t="n">
        <v>0</v>
      </c>
      <c r="I272">
        <f>IF(ISNUMBER(F272),-F272-H272,"")</f>
        <v/>
      </c>
      <c r="J272">
        <f>IF(G272="","",IF(G272&gt;=300,"✕ 要改善",IF(G272&gt;=200,"△ 注意","○ 良好")))</f>
        <v/>
      </c>
    </row>
    <row r="273">
      <c r="A273" s="66" t="n">
        <v>265</v>
      </c>
      <c r="B273" s="67">
        <f>IF(⑭手動工程入力!C11="","",⑭手動工程入力!C11)</f>
        <v/>
      </c>
      <c r="C273" s="82">
        <f>IF(⑭手動工程入力!B11="","",⑭手動工程入力!B11)</f>
        <v/>
      </c>
      <c r="D273" s="9">
        <f>IF(B273="","",⑭手動工程入力!I11)</f>
        <v/>
      </c>
      <c r="E273" s="9">
        <f>IF(B273="","",⑭手動工程入力!G11)</f>
        <v/>
      </c>
      <c r="F273" s="9">
        <f>IF(B273="","",⑭手動工程入力!M11)</f>
        <v/>
      </c>
      <c r="G273" s="513">
        <f>IF(AND(ISNUMBER(D273),ISNUMBER(F273),D273&gt;0),F273/D273,"")</f>
        <v/>
      </c>
      <c r="H273" s="7" t="n">
        <v>0</v>
      </c>
      <c r="I273" s="9">
        <f>IF(ISNUMBER(F273),-F273-H273,"")</f>
        <v/>
      </c>
      <c r="J273" s="69">
        <f>IF(G273="","",IF(G273&gt;=300,"✕ 要改善",IF(G273&gt;=200,"△ 注意","○ 良好")))</f>
        <v/>
      </c>
      <c r="K273" s="70" t="n"/>
    </row>
    <row r="274" ht="14" customHeight="1" s="438">
      <c r="A274" s="397" t="n">
        <v>266</v>
      </c>
      <c r="B274">
        <f>IF(⑭手動工程入力!C12="","",⑭手動工程入力!C12)</f>
        <v/>
      </c>
      <c r="C274">
        <f>IF(⑭手動工程入力!B12="","",⑭手動工程入力!B12)</f>
        <v/>
      </c>
      <c r="D274">
        <f>IF(B274="","",⑭手動工程入力!I12)</f>
        <v/>
      </c>
      <c r="E274">
        <f>IF(B274="","",⑭手動工程入力!G12)</f>
        <v/>
      </c>
      <c r="F274">
        <f>IF(B274="","",⑭手動工程入力!M12)</f>
        <v/>
      </c>
      <c r="G274">
        <f>IF(AND(ISNUMBER(D274),ISNUMBER(F274),D274&gt;0),F274/D274,"")</f>
        <v/>
      </c>
      <c r="H274" t="n">
        <v>0</v>
      </c>
      <c r="I274">
        <f>IF(ISNUMBER(F274),-F274-H274,"")</f>
        <v/>
      </c>
      <c r="J274">
        <f>IF(G274="","",IF(G274&gt;=300,"✕ 要改善",IF(G274&gt;=200,"△ 注意","○ 良好")))</f>
        <v/>
      </c>
    </row>
    <row r="275">
      <c r="A275" s="66" t="n">
        <v>267</v>
      </c>
      <c r="B275" s="67">
        <f>IF(⑭手動工程入力!C13="","",⑭手動工程入力!C13)</f>
        <v/>
      </c>
      <c r="C275" s="82">
        <f>IF(⑭手動工程入力!B13="","",⑭手動工程入力!B13)</f>
        <v/>
      </c>
      <c r="D275" s="9">
        <f>IF(B275="","",⑭手動工程入力!I13)</f>
        <v/>
      </c>
      <c r="E275" s="9">
        <f>IF(B275="","",⑭手動工程入力!G13)</f>
        <v/>
      </c>
      <c r="F275" s="9">
        <f>IF(B275="","",⑭手動工程入力!M13)</f>
        <v/>
      </c>
      <c r="G275" s="513">
        <f>IF(AND(ISNUMBER(D275),ISNUMBER(F275),D275&gt;0),F275/D275,"")</f>
        <v/>
      </c>
      <c r="H275" s="7" t="n">
        <v>0</v>
      </c>
      <c r="I275" s="9">
        <f>IF(ISNUMBER(F275),-F275-H275,"")</f>
        <v/>
      </c>
      <c r="J275" s="69">
        <f>IF(G275="","",IF(G275&gt;=300,"✕ 要改善",IF(G275&gt;=200,"△ 注意","○ 良好")))</f>
        <v/>
      </c>
      <c r="K275" s="70" t="n"/>
    </row>
    <row r="276" ht="14" customHeight="1" s="438">
      <c r="A276" s="397" t="n">
        <v>268</v>
      </c>
      <c r="B276">
        <f>IF(⑭手動工程入力!C14="","",⑭手動工程入力!C14)</f>
        <v/>
      </c>
      <c r="C276">
        <f>IF(⑭手動工程入力!B14="","",⑭手動工程入力!B14)</f>
        <v/>
      </c>
      <c r="D276">
        <f>IF(B276="","",⑭手動工程入力!I14)</f>
        <v/>
      </c>
      <c r="E276">
        <f>IF(B276="","",⑭手動工程入力!G14)</f>
        <v/>
      </c>
      <c r="F276">
        <f>IF(B276="","",⑭手動工程入力!M14)</f>
        <v/>
      </c>
      <c r="G276">
        <f>IF(AND(ISNUMBER(D276),ISNUMBER(F276),D276&gt;0),F276/D276,"")</f>
        <v/>
      </c>
      <c r="H276" t="n">
        <v>0</v>
      </c>
      <c r="I276">
        <f>IF(ISNUMBER(F276),-F276-H276,"")</f>
        <v/>
      </c>
      <c r="J276">
        <f>IF(G276="","",IF(G276&gt;=300,"✕ 要改善",IF(G276&gt;=200,"△ 注意","○ 良好")))</f>
        <v/>
      </c>
    </row>
    <row r="277">
      <c r="A277" s="66" t="n">
        <v>269</v>
      </c>
      <c r="B277" s="67">
        <f>IF(⑭手動工程入力!C15="","",⑭手動工程入力!C15)</f>
        <v/>
      </c>
      <c r="C277" s="82">
        <f>IF(⑭手動工程入力!B15="","",⑭手動工程入力!B15)</f>
        <v/>
      </c>
      <c r="D277" s="9">
        <f>IF(B277="","",⑭手動工程入力!I15)</f>
        <v/>
      </c>
      <c r="E277" s="9">
        <f>IF(B277="","",⑭手動工程入力!G15)</f>
        <v/>
      </c>
      <c r="F277" s="9">
        <f>IF(B277="","",⑭手動工程入力!M15)</f>
        <v/>
      </c>
      <c r="G277" s="513">
        <f>IF(AND(ISNUMBER(D277),ISNUMBER(F277),D277&gt;0),F277/D277,"")</f>
        <v/>
      </c>
      <c r="H277" s="7" t="n">
        <v>0</v>
      </c>
      <c r="I277" s="9">
        <f>IF(ISNUMBER(F277),-F277-H277,"")</f>
        <v/>
      </c>
      <c r="J277" s="69">
        <f>IF(G277="","",IF(G277&gt;=300,"✕ 要改善",IF(G277&gt;=200,"△ 注意","○ 良好")))</f>
        <v/>
      </c>
      <c r="K277" s="70" t="n"/>
    </row>
    <row r="278" ht="14" customHeight="1" s="438">
      <c r="A278" s="397" t="n">
        <v>270</v>
      </c>
      <c r="B278">
        <f>IF(⑭手動工程入力!C16="","",⑭手動工程入力!C16)</f>
        <v/>
      </c>
      <c r="C278">
        <f>IF(⑭手動工程入力!B16="","",⑭手動工程入力!B16)</f>
        <v/>
      </c>
      <c r="D278">
        <f>IF(B278="","",⑭手動工程入力!I16)</f>
        <v/>
      </c>
      <c r="E278">
        <f>IF(B278="","",⑭手動工程入力!G16)</f>
        <v/>
      </c>
      <c r="F278">
        <f>IF(B278="","",⑭手動工程入力!M16)</f>
        <v/>
      </c>
      <c r="G278">
        <f>IF(AND(ISNUMBER(D278),ISNUMBER(F278),D278&gt;0),F278/D278,"")</f>
        <v/>
      </c>
      <c r="H278" t="n">
        <v>0</v>
      </c>
      <c r="I278">
        <f>IF(ISNUMBER(F278),-F278-H278,"")</f>
        <v/>
      </c>
      <c r="J278">
        <f>IF(G278="","",IF(G278&gt;=300,"✕ 要改善",IF(G278&gt;=200,"△ 注意","○ 良好")))</f>
        <v/>
      </c>
    </row>
    <row r="279">
      <c r="A279" s="66" t="n">
        <v>271</v>
      </c>
      <c r="B279" s="67">
        <f>IF(⑭手動工程入力!C17="","",⑭手動工程入力!C17)</f>
        <v/>
      </c>
      <c r="C279" s="82">
        <f>IF(⑭手動工程入力!B17="","",⑭手動工程入力!B17)</f>
        <v/>
      </c>
      <c r="D279" s="9">
        <f>IF(B279="","",⑭手動工程入力!I17)</f>
        <v/>
      </c>
      <c r="E279" s="9">
        <f>IF(B279="","",⑭手動工程入力!G17)</f>
        <v/>
      </c>
      <c r="F279" s="9">
        <f>IF(B279="","",⑭手動工程入力!M17)</f>
        <v/>
      </c>
      <c r="G279" s="513">
        <f>IF(AND(ISNUMBER(D279),ISNUMBER(F279),D279&gt;0),F279/D279,"")</f>
        <v/>
      </c>
      <c r="H279" s="7" t="n">
        <v>0</v>
      </c>
      <c r="I279" s="9">
        <f>IF(ISNUMBER(F279),-F279-H279,"")</f>
        <v/>
      </c>
      <c r="J279" s="69">
        <f>IF(G279="","",IF(G279&gt;=300,"✕ 要改善",IF(G279&gt;=200,"△ 注意","○ 良好")))</f>
        <v/>
      </c>
      <c r="K279" s="70" t="n"/>
    </row>
    <row r="280" ht="14" customHeight="1" s="438">
      <c r="A280" s="397" t="n">
        <v>272</v>
      </c>
      <c r="B280">
        <f>IF(⑭手動工程入力!C18="","",⑭手動工程入力!C18)</f>
        <v/>
      </c>
      <c r="C280">
        <f>IF(⑭手動工程入力!B18="","",⑭手動工程入力!B18)</f>
        <v/>
      </c>
      <c r="D280">
        <f>IF(B280="","",⑭手動工程入力!I18)</f>
        <v/>
      </c>
      <c r="E280">
        <f>IF(B280="","",⑭手動工程入力!G18)</f>
        <v/>
      </c>
      <c r="F280">
        <f>IF(B280="","",⑭手動工程入力!M18)</f>
        <v/>
      </c>
      <c r="G280">
        <f>IF(AND(ISNUMBER(D280),ISNUMBER(F280),D280&gt;0),F280/D280,"")</f>
        <v/>
      </c>
      <c r="H280" t="n">
        <v>0</v>
      </c>
      <c r="I280">
        <f>IF(ISNUMBER(F280),-F280-H280,"")</f>
        <v/>
      </c>
      <c r="J280">
        <f>IF(G280="","",IF(G280&gt;=300,"✕ 要改善",IF(G280&gt;=200,"△ 注意","○ 良好")))</f>
        <v/>
      </c>
    </row>
    <row r="281">
      <c r="A281" s="66" t="n">
        <v>273</v>
      </c>
      <c r="B281" s="67">
        <f>IF(⑭手動工程入力!C19="","",⑭手動工程入力!C19)</f>
        <v/>
      </c>
      <c r="C281" s="82">
        <f>IF(⑭手動工程入力!B19="","",⑭手動工程入力!B19)</f>
        <v/>
      </c>
      <c r="D281" s="9">
        <f>IF(B281="","",⑭手動工程入力!I19)</f>
        <v/>
      </c>
      <c r="E281" s="9">
        <f>IF(B281="","",⑭手動工程入力!G19)</f>
        <v/>
      </c>
      <c r="F281" s="9">
        <f>IF(B281="","",⑭手動工程入力!M19)</f>
        <v/>
      </c>
      <c r="G281" s="513">
        <f>IF(AND(ISNUMBER(D281),ISNUMBER(F281),D281&gt;0),F281/D281,"")</f>
        <v/>
      </c>
      <c r="H281" s="7" t="n">
        <v>0</v>
      </c>
      <c r="I281" s="9">
        <f>IF(ISNUMBER(F281),-F281-H281,"")</f>
        <v/>
      </c>
      <c r="J281" s="69">
        <f>IF(G281="","",IF(G281&gt;=300,"✕ 要改善",IF(G281&gt;=200,"△ 注意","○ 良好")))</f>
        <v/>
      </c>
      <c r="K281" s="70" t="n"/>
    </row>
    <row r="282" ht="14" customHeight="1" s="438">
      <c r="A282" s="397" t="n">
        <v>274</v>
      </c>
      <c r="B282">
        <f>IF(⑭手動工程入力!C20="","",⑭手動工程入力!C20)</f>
        <v/>
      </c>
      <c r="C282">
        <f>IF(⑭手動工程入力!B20="","",⑭手動工程入力!B20)</f>
        <v/>
      </c>
      <c r="D282">
        <f>IF(B282="","",⑭手動工程入力!I20)</f>
        <v/>
      </c>
      <c r="E282">
        <f>IF(B282="","",⑭手動工程入力!G20)</f>
        <v/>
      </c>
      <c r="F282">
        <f>IF(B282="","",⑭手動工程入力!M20)</f>
        <v/>
      </c>
      <c r="G282">
        <f>IF(AND(ISNUMBER(D282),ISNUMBER(F282),D282&gt;0),F282/D282,"")</f>
        <v/>
      </c>
      <c r="H282" t="n">
        <v>0</v>
      </c>
      <c r="I282">
        <f>IF(ISNUMBER(F282),-F282-H282,"")</f>
        <v/>
      </c>
      <c r="J282">
        <f>IF(G282="","",IF(G282&gt;=300,"✕ 要改善",IF(G282&gt;=200,"△ 注意","○ 良好")))</f>
        <v/>
      </c>
    </row>
    <row r="283">
      <c r="A283" s="66" t="n">
        <v>275</v>
      </c>
      <c r="B283" s="67">
        <f>IF(⑭手動工程入力!C21="","",⑭手動工程入力!C21)</f>
        <v/>
      </c>
      <c r="C283" s="82">
        <f>IF(⑭手動工程入力!B21="","",⑭手動工程入力!B21)</f>
        <v/>
      </c>
      <c r="D283" s="9">
        <f>IF(B283="","",⑭手動工程入力!I21)</f>
        <v/>
      </c>
      <c r="E283" s="9">
        <f>IF(B283="","",⑭手動工程入力!G21)</f>
        <v/>
      </c>
      <c r="F283" s="9">
        <f>IF(B283="","",⑭手動工程入力!M21)</f>
        <v/>
      </c>
      <c r="G283" s="513">
        <f>IF(AND(ISNUMBER(D283),ISNUMBER(F283),D283&gt;0),F283/D283,"")</f>
        <v/>
      </c>
      <c r="H283" s="7" t="n">
        <v>0</v>
      </c>
      <c r="I283" s="9">
        <f>IF(ISNUMBER(F283),-F283-H283,"")</f>
        <v/>
      </c>
      <c r="J283" s="69">
        <f>IF(G283="","",IF(G283&gt;=300,"✕ 要改善",IF(G283&gt;=200,"△ 注意","○ 良好")))</f>
        <v/>
      </c>
      <c r="K283" s="70" t="n"/>
    </row>
    <row r="284" ht="14" customHeight="1" s="438">
      <c r="A284" s="397" t="n">
        <v>276</v>
      </c>
      <c r="B284">
        <f>IF(⑭手動工程入力!C22="","",⑭手動工程入力!C22)</f>
        <v/>
      </c>
      <c r="C284">
        <f>IF(⑭手動工程入力!B22="","",⑭手動工程入力!B22)</f>
        <v/>
      </c>
      <c r="D284">
        <f>IF(B284="","",⑭手動工程入力!I22)</f>
        <v/>
      </c>
      <c r="E284">
        <f>IF(B284="","",⑭手動工程入力!G22)</f>
        <v/>
      </c>
      <c r="F284">
        <f>IF(B284="","",⑭手動工程入力!M22)</f>
        <v/>
      </c>
      <c r="G284">
        <f>IF(AND(ISNUMBER(D284),ISNUMBER(F284),D284&gt;0),F284/D284,"")</f>
        <v/>
      </c>
      <c r="H284" t="n">
        <v>0</v>
      </c>
      <c r="I284">
        <f>IF(ISNUMBER(F284),-F284-H284,"")</f>
        <v/>
      </c>
      <c r="J284">
        <f>IF(G284="","",IF(G284&gt;=300,"✕ 要改善",IF(G284&gt;=200,"△ 注意","○ 良好")))</f>
        <v/>
      </c>
    </row>
    <row r="285" customFormat="1" s="456">
      <c r="A285" s="66" t="n">
        <v>277</v>
      </c>
      <c r="B285" s="67">
        <f>IF(⑭手動工程入力!C23="","",⑭手動工程入力!C23)</f>
        <v/>
      </c>
      <c r="C285" s="82">
        <f>IF(⑭手動工程入力!B23="","",⑭手動工程入力!B23)</f>
        <v/>
      </c>
      <c r="D285" s="9">
        <f>IF(B285="","",⑭手動工程入力!I23)</f>
        <v/>
      </c>
      <c r="E285" s="9">
        <f>IF(B285="","",⑭手動工程入力!G23)</f>
        <v/>
      </c>
      <c r="F285" s="9">
        <f>IF(B285="","",⑭手動工程入力!M23)</f>
        <v/>
      </c>
      <c r="G285" s="513">
        <f>IF(AND(ISNUMBER(D285),ISNUMBER(F285),D285&gt;0),F285/D285,"")</f>
        <v/>
      </c>
      <c r="H285" s="7" t="n">
        <v>0</v>
      </c>
      <c r="I285" s="9">
        <f>IF(ISNUMBER(F285),-F285-H285,"")</f>
        <v/>
      </c>
      <c r="J285" s="69">
        <f>IF(G285="","",IF(G285&gt;=300,"✕ 要改善",IF(G285&gt;=200,"△ 注意","○ 良好")))</f>
        <v/>
      </c>
      <c r="K285" s="70" t="n"/>
    </row>
    <row r="286" ht="14" customFormat="1" customHeight="1" s="456">
      <c r="A286" s="397" t="n">
        <v>278</v>
      </c>
      <c r="B286">
        <f>IF(⑭手動工程入力!C24="","",⑭手動工程入力!C24)</f>
        <v/>
      </c>
      <c r="C286">
        <f>IF(⑭手動工程入力!B24="","",⑭手動工程入力!B24)</f>
        <v/>
      </c>
      <c r="D286">
        <f>IF(B286="","",⑭手動工程入力!I24)</f>
        <v/>
      </c>
      <c r="E286">
        <f>IF(B286="","",⑭手動工程入力!G24)</f>
        <v/>
      </c>
      <c r="F286">
        <f>IF(B286="","",⑭手動工程入力!M24)</f>
        <v/>
      </c>
      <c r="G286">
        <f>IF(AND(ISNUMBER(D286),ISNUMBER(F286),D286&gt;0),F286/D286,"")</f>
        <v/>
      </c>
      <c r="H286" t="n">
        <v>0</v>
      </c>
      <c r="I286">
        <f>IF(ISNUMBER(F286),-F286-H286,"")</f>
        <v/>
      </c>
      <c r="J286">
        <f>IF(G286="","",IF(G286&gt;=300,"✕ 要改善",IF(G286&gt;=200,"△ 注意","○ 良好")))</f>
        <v/>
      </c>
    </row>
    <row r="287" customFormat="1" s="456">
      <c r="A287" s="66" t="n">
        <v>279</v>
      </c>
      <c r="B287" s="67">
        <f>IF(⑭手動工程入力!C25="","",⑭手動工程入力!C25)</f>
        <v/>
      </c>
      <c r="C287" s="82">
        <f>IF(⑭手動工程入力!B25="","",⑭手動工程入力!B25)</f>
        <v/>
      </c>
      <c r="D287" s="9">
        <f>IF(B287="","",⑭手動工程入力!I25)</f>
        <v/>
      </c>
      <c r="E287" s="9">
        <f>IF(B287="","",⑭手動工程入力!G25)</f>
        <v/>
      </c>
      <c r="F287" s="9">
        <f>IF(B287="","",⑭手動工程入力!M25)</f>
        <v/>
      </c>
      <c r="G287" s="513">
        <f>IF(AND(ISNUMBER(D287),ISNUMBER(F287),D287&gt;0),F287/D287,"")</f>
        <v/>
      </c>
      <c r="H287" s="7" t="n">
        <v>0</v>
      </c>
      <c r="I287" s="9">
        <f>IF(ISNUMBER(F287),-F287-H287,"")</f>
        <v/>
      </c>
      <c r="J287" s="69">
        <f>IF(G287="","",IF(G287&gt;=300,"✕ 要改善",IF(G287&gt;=200,"△ 注意","○ 良好")))</f>
        <v/>
      </c>
      <c r="K287" s="70" t="n"/>
    </row>
    <row r="288" ht="14" customFormat="1" customHeight="1" s="456">
      <c r="A288" s="397" t="n">
        <v>280</v>
      </c>
      <c r="B288">
        <f>IF(⑭手動工程入力!C26="","",⑭手動工程入力!C26)</f>
        <v/>
      </c>
      <c r="C288">
        <f>IF(⑭手動工程入力!B26="","",⑭手動工程入力!B26)</f>
        <v/>
      </c>
      <c r="D288">
        <f>IF(B288="","",⑭手動工程入力!I26)</f>
        <v/>
      </c>
      <c r="E288">
        <f>IF(B288="","",⑭手動工程入力!G26)</f>
        <v/>
      </c>
      <c r="F288">
        <f>IF(B288="","",⑭手動工程入力!M26)</f>
        <v/>
      </c>
      <c r="G288">
        <f>IF(AND(ISNUMBER(D288),ISNUMBER(F288),D288&gt;0),F288/D288,"")</f>
        <v/>
      </c>
      <c r="H288" t="n">
        <v>0</v>
      </c>
      <c r="I288">
        <f>IF(ISNUMBER(F288),-F288-H288,"")</f>
        <v/>
      </c>
      <c r="J288">
        <f>IF(G288="","",IF(G288&gt;=300,"✕ 要改善",IF(G288&gt;=200,"△ 注意","○ 良好")))</f>
        <v/>
      </c>
    </row>
    <row r="289" customFormat="1" s="456">
      <c r="A289" s="66" t="n">
        <v>281</v>
      </c>
      <c r="B289" s="67">
        <f>IF(⑭手動工程入力!C27="","",⑭手動工程入力!C27)</f>
        <v/>
      </c>
      <c r="C289" s="82">
        <f>IF(⑭手動工程入力!B27="","",⑭手動工程入力!B27)</f>
        <v/>
      </c>
      <c r="D289" s="9">
        <f>IF(B289="","",⑭手動工程入力!I27)</f>
        <v/>
      </c>
      <c r="E289" s="9">
        <f>IF(B289="","",⑭手動工程入力!G27)</f>
        <v/>
      </c>
      <c r="F289" s="9">
        <f>IF(B289="","",⑭手動工程入力!M27)</f>
        <v/>
      </c>
      <c r="G289" s="513">
        <f>IF(AND(ISNUMBER(D289),ISNUMBER(F289),D289&gt;0),F289/D289,"")</f>
        <v/>
      </c>
      <c r="H289" s="7" t="n">
        <v>0</v>
      </c>
      <c r="I289" s="9">
        <f>IF(ISNUMBER(F289),-F289-H289,"")</f>
        <v/>
      </c>
      <c r="J289" s="69">
        <f>IF(G289="","",IF(G289&gt;=300,"✕ 要改善",IF(G289&gt;=200,"△ 注意","○ 良好")))</f>
        <v/>
      </c>
      <c r="K289" s="70" t="n"/>
    </row>
    <row r="290" ht="14" customFormat="1" customHeight="1" s="456">
      <c r="A290" s="397" t="n">
        <v>282</v>
      </c>
      <c r="B290">
        <f>IF(⑭手動工程入力!C28="","",⑭手動工程入力!C28)</f>
        <v/>
      </c>
      <c r="C290">
        <f>IF(⑭手動工程入力!B28="","",⑭手動工程入力!B28)</f>
        <v/>
      </c>
      <c r="D290">
        <f>IF(B290="","",⑭手動工程入力!I28)</f>
        <v/>
      </c>
      <c r="E290">
        <f>IF(B290="","",⑭手動工程入力!G28)</f>
        <v/>
      </c>
      <c r="F290">
        <f>IF(B290="","",⑭手動工程入力!M28)</f>
        <v/>
      </c>
      <c r="G290">
        <f>IF(AND(ISNUMBER(D290),ISNUMBER(F290),D290&gt;0),F290/D290,"")</f>
        <v/>
      </c>
      <c r="H290" t="n">
        <v>0</v>
      </c>
      <c r="I290">
        <f>IF(ISNUMBER(F290),-F290-H290,"")</f>
        <v/>
      </c>
      <c r="J290">
        <f>IF(G290="","",IF(G290&gt;=300,"✕ 要改善",IF(G290&gt;=200,"△ 注意","○ 良好")))</f>
        <v/>
      </c>
    </row>
    <row r="291" customFormat="1" s="456">
      <c r="A291" s="66" t="n">
        <v>283</v>
      </c>
      <c r="B291" s="67">
        <f>IF(⑭手動工程入力!C29="","",⑭手動工程入力!C29)</f>
        <v/>
      </c>
      <c r="C291" s="82">
        <f>IF(⑭手動工程入力!B29="","",⑭手動工程入力!B29)</f>
        <v/>
      </c>
      <c r="D291" s="9">
        <f>IF(B291="","",⑭手動工程入力!I29)</f>
        <v/>
      </c>
      <c r="E291" s="9">
        <f>IF(B291="","",⑭手動工程入力!G29)</f>
        <v/>
      </c>
      <c r="F291" s="9">
        <f>IF(B291="","",⑭手動工程入力!M29)</f>
        <v/>
      </c>
      <c r="G291" s="513">
        <f>IF(AND(ISNUMBER(D291),ISNUMBER(F291),D291&gt;0),F291/D291,"")</f>
        <v/>
      </c>
      <c r="H291" s="7" t="n">
        <v>0</v>
      </c>
      <c r="I291" s="9">
        <f>IF(ISNUMBER(F291),-F291-H291,"")</f>
        <v/>
      </c>
      <c r="J291" s="69">
        <f>IF(G291="","",IF(G291&gt;=300,"✕ 要改善",IF(G291&gt;=200,"△ 注意","○ 良好")))</f>
        <v/>
      </c>
      <c r="K291" s="70" t="n"/>
    </row>
    <row r="292" ht="14" customFormat="1" customHeight="1" s="456">
      <c r="A292" s="397" t="n">
        <v>284</v>
      </c>
      <c r="B292">
        <f>IF(⑭手動工程入力!C30="","",⑭手動工程入力!C30)</f>
        <v/>
      </c>
      <c r="C292">
        <f>IF(⑭手動工程入力!B30="","",⑭手動工程入力!B30)</f>
        <v/>
      </c>
      <c r="D292">
        <f>IF(B292="","",⑭手動工程入力!I30)</f>
        <v/>
      </c>
      <c r="E292">
        <f>IF(B292="","",⑭手動工程入力!G30)</f>
        <v/>
      </c>
      <c r="F292">
        <f>IF(B292="","",⑭手動工程入力!M30)</f>
        <v/>
      </c>
      <c r="G292">
        <f>IF(AND(ISNUMBER(D292),ISNUMBER(F292),D292&gt;0),F292/D292,"")</f>
        <v/>
      </c>
      <c r="H292" t="n">
        <v>0</v>
      </c>
      <c r="I292">
        <f>IF(ISNUMBER(F292),-F292-H292,"")</f>
        <v/>
      </c>
      <c r="J292">
        <f>IF(G292="","",IF(G292&gt;=300,"✕ 要改善",IF(G292&gt;=200,"△ 注意","○ 良好")))</f>
        <v/>
      </c>
    </row>
    <row r="293" customFormat="1" s="456">
      <c r="A293" s="66" t="n">
        <v>285</v>
      </c>
      <c r="B293" s="67">
        <f>IF(⑭手動工程入力!C31="","",⑭手動工程入力!C31)</f>
        <v/>
      </c>
      <c r="C293" s="82">
        <f>IF(⑭手動工程入力!B31="","",⑭手動工程入力!B31)</f>
        <v/>
      </c>
      <c r="D293" s="9">
        <f>IF(B293="","",⑭手動工程入力!I31)</f>
        <v/>
      </c>
      <c r="E293" s="9">
        <f>IF(B293="","",⑭手動工程入力!G31)</f>
        <v/>
      </c>
      <c r="F293" s="9">
        <f>IF(B293="","",⑭手動工程入力!M31)</f>
        <v/>
      </c>
      <c r="G293" s="513">
        <f>IF(AND(ISNUMBER(D293),ISNUMBER(F293),D293&gt;0),F293/D293,"")</f>
        <v/>
      </c>
      <c r="H293" s="7" t="n">
        <v>0</v>
      </c>
      <c r="I293" s="9">
        <f>IF(ISNUMBER(F293),-F293-H293,"")</f>
        <v/>
      </c>
      <c r="J293" s="69">
        <f>IF(G293="","",IF(G293&gt;=300,"✕ 要改善",IF(G293&gt;=200,"△ 注意","○ 良好")))</f>
        <v/>
      </c>
      <c r="K293" s="70" t="n"/>
    </row>
    <row r="294" ht="14" customFormat="1" customHeight="1" s="456">
      <c r="A294" s="397" t="n">
        <v>286</v>
      </c>
      <c r="B294">
        <f>IF(⑭手動工程入力!C32="","",⑭手動工程入力!C32)</f>
        <v/>
      </c>
      <c r="C294">
        <f>IF(⑭手動工程入力!B32="","",⑭手動工程入力!B32)</f>
        <v/>
      </c>
      <c r="D294">
        <f>IF(B294="","",⑭手動工程入力!I32)</f>
        <v/>
      </c>
      <c r="E294">
        <f>IF(B294="","",⑭手動工程入力!G32)</f>
        <v/>
      </c>
      <c r="F294">
        <f>IF(B294="","",⑭手動工程入力!M32)</f>
        <v/>
      </c>
      <c r="G294">
        <f>IF(AND(ISNUMBER(D294),ISNUMBER(F294),D294&gt;0),F294/D294,"")</f>
        <v/>
      </c>
      <c r="H294" t="n">
        <v>0</v>
      </c>
      <c r="I294">
        <f>IF(ISNUMBER(F294),-F294-H294,"")</f>
        <v/>
      </c>
      <c r="J294">
        <f>IF(G294="","",IF(G294&gt;=300,"✕ 要改善",IF(G294&gt;=200,"△ 注意","○ 良好")))</f>
        <v/>
      </c>
    </row>
    <row r="295" customFormat="1" s="456">
      <c r="A295" s="66" t="n">
        <v>287</v>
      </c>
      <c r="B295" s="67">
        <f>IF(⑭手動工程入力!C33="","",⑭手動工程入力!C33)</f>
        <v/>
      </c>
      <c r="C295" s="82">
        <f>IF(⑭手動工程入力!B33="","",⑭手動工程入力!B33)</f>
        <v/>
      </c>
      <c r="D295" s="9">
        <f>IF(B295="","",⑭手動工程入力!I33)</f>
        <v/>
      </c>
      <c r="E295" s="9">
        <f>IF(B295="","",⑭手動工程入力!G33)</f>
        <v/>
      </c>
      <c r="F295" s="9">
        <f>IF(B295="","",⑭手動工程入力!M33)</f>
        <v/>
      </c>
      <c r="G295" s="513">
        <f>IF(AND(ISNUMBER(D295),ISNUMBER(F295),D295&gt;0),F295/D295,"")</f>
        <v/>
      </c>
      <c r="H295" s="7" t="n">
        <v>0</v>
      </c>
      <c r="I295" s="9">
        <f>IF(ISNUMBER(F295),-F295-H295,"")</f>
        <v/>
      </c>
      <c r="J295" s="69">
        <f>IF(G295="","",IF(G295&gt;=300,"✕ 要改善",IF(G295&gt;=200,"△ 注意","○ 良好")))</f>
        <v/>
      </c>
      <c r="K295" s="70" t="n"/>
    </row>
    <row r="296" ht="14" customFormat="1" customHeight="1" s="456">
      <c r="A296" s="397" t="n">
        <v>288</v>
      </c>
      <c r="B296">
        <f>IF(⑭手動工程入力!C34="","",⑭手動工程入力!C34)</f>
        <v/>
      </c>
      <c r="C296">
        <f>IF(⑭手動工程入力!B34="","",⑭手動工程入力!B34)</f>
        <v/>
      </c>
      <c r="D296">
        <f>IF(B296="","",⑭手動工程入力!I34)</f>
        <v/>
      </c>
      <c r="E296">
        <f>IF(B296="","",⑭手動工程入力!G34)</f>
        <v/>
      </c>
      <c r="F296">
        <f>IF(B296="","",⑭手動工程入力!M34)</f>
        <v/>
      </c>
      <c r="G296">
        <f>IF(AND(ISNUMBER(D296),ISNUMBER(F296),D296&gt;0),F296/D296,"")</f>
        <v/>
      </c>
      <c r="H296" t="n">
        <v>0</v>
      </c>
      <c r="I296">
        <f>IF(ISNUMBER(F296),-F296-H296,"")</f>
        <v/>
      </c>
      <c r="J296">
        <f>IF(G296="","",IF(G296&gt;=300,"✕ 要改善",IF(G296&gt;=200,"△ 注意","○ 良好")))</f>
        <v/>
      </c>
    </row>
    <row r="297" customFormat="1" s="456">
      <c r="A297" s="66" t="n">
        <v>289</v>
      </c>
      <c r="B297" s="67">
        <f>IF(⑭手動工程入力!C35="","",⑭手動工程入力!C35)</f>
        <v/>
      </c>
      <c r="C297" s="82">
        <f>IF(⑭手動工程入力!B35="","",⑭手動工程入力!B35)</f>
        <v/>
      </c>
      <c r="D297" s="9">
        <f>IF(B297="","",⑭手動工程入力!I35)</f>
        <v/>
      </c>
      <c r="E297" s="9">
        <f>IF(B297="","",⑭手動工程入力!G35)</f>
        <v/>
      </c>
      <c r="F297" s="9">
        <f>IF(B297="","",⑭手動工程入力!M35)</f>
        <v/>
      </c>
      <c r="G297" s="513">
        <f>IF(AND(ISNUMBER(D297),ISNUMBER(F297),D297&gt;0),F297/D297,"")</f>
        <v/>
      </c>
      <c r="H297" s="7" t="n">
        <v>0</v>
      </c>
      <c r="I297" s="9">
        <f>IF(ISNUMBER(F297),-F297-H297,"")</f>
        <v/>
      </c>
      <c r="J297" s="69">
        <f>IF(G297="","",IF(G297&gt;=300,"✕ 要改善",IF(G297&gt;=200,"△ 注意","○ 良好")))</f>
        <v/>
      </c>
      <c r="K297" s="70" t="n"/>
    </row>
    <row r="298" ht="14" customFormat="1" customHeight="1" s="456">
      <c r="A298" s="397" t="n">
        <v>290</v>
      </c>
      <c r="B298">
        <f>IF(⑭手動工程入力!C36="","",⑭手動工程入力!C36)</f>
        <v/>
      </c>
      <c r="C298">
        <f>IF(⑭手動工程入力!B36="","",⑭手動工程入力!B36)</f>
        <v/>
      </c>
      <c r="D298">
        <f>IF(B298="","",⑭手動工程入力!I36)</f>
        <v/>
      </c>
      <c r="E298">
        <f>IF(B298="","",⑭手動工程入力!G36)</f>
        <v/>
      </c>
      <c r="F298">
        <f>IF(B298="","",⑭手動工程入力!M36)</f>
        <v/>
      </c>
      <c r="G298">
        <f>IF(AND(ISNUMBER(D298),ISNUMBER(F298),D298&gt;0),F298/D298,"")</f>
        <v/>
      </c>
      <c r="H298" t="n">
        <v>0</v>
      </c>
      <c r="I298">
        <f>IF(ISNUMBER(F298),-F298-H298,"")</f>
        <v/>
      </c>
      <c r="J298">
        <f>IF(G298="","",IF(G298&gt;=300,"✕ 要改善",IF(G298&gt;=200,"△ 注意","○ 良好")))</f>
        <v/>
      </c>
    </row>
    <row r="299" customFormat="1" s="456">
      <c r="A299" s="66" t="n">
        <v>291</v>
      </c>
      <c r="B299" s="67">
        <f>IF(⑭手動工程入力!C37="","",⑭手動工程入力!C37)</f>
        <v/>
      </c>
      <c r="C299" s="82">
        <f>IF(⑭手動工程入力!B37="","",⑭手動工程入力!B37)</f>
        <v/>
      </c>
      <c r="D299" s="9">
        <f>IF(B299="","",⑭手動工程入力!I37)</f>
        <v/>
      </c>
      <c r="E299" s="9">
        <f>IF(B299="","",⑭手動工程入力!G37)</f>
        <v/>
      </c>
      <c r="F299" s="9">
        <f>IF(B299="","",⑭手動工程入力!M37)</f>
        <v/>
      </c>
      <c r="G299" s="513">
        <f>IF(AND(ISNUMBER(D299),ISNUMBER(F299),D299&gt;0),F299/D299,"")</f>
        <v/>
      </c>
      <c r="H299" s="7" t="n">
        <v>0</v>
      </c>
      <c r="I299" s="9">
        <f>IF(ISNUMBER(F299),-F299-H299,"")</f>
        <v/>
      </c>
      <c r="J299" s="69">
        <f>IF(G299="","",IF(G299&gt;=300,"✕ 要改善",IF(G299&gt;=200,"△ 注意","○ 良好")))</f>
        <v/>
      </c>
      <c r="K299" s="70" t="n"/>
    </row>
    <row r="300" ht="14" customFormat="1" customHeight="1" s="456">
      <c r="A300" s="397" t="n">
        <v>292</v>
      </c>
      <c r="B300">
        <f>IF(⑭手動工程入力!C38="","",⑭手動工程入力!C38)</f>
        <v/>
      </c>
      <c r="C300">
        <f>IF(⑭手動工程入力!B38="","",⑭手動工程入力!B38)</f>
        <v/>
      </c>
      <c r="D300">
        <f>IF(B300="","",⑭手動工程入力!I38)</f>
        <v/>
      </c>
      <c r="E300">
        <f>IF(B300="","",⑭手動工程入力!G38)</f>
        <v/>
      </c>
      <c r="F300">
        <f>IF(B300="","",⑭手動工程入力!M38)</f>
        <v/>
      </c>
      <c r="G300">
        <f>IF(AND(ISNUMBER(D300),ISNUMBER(F300),D300&gt;0),F300/D300,"")</f>
        <v/>
      </c>
      <c r="H300" t="n">
        <v>0</v>
      </c>
      <c r="I300">
        <f>IF(ISNUMBER(F300),-F300-H300,"")</f>
        <v/>
      </c>
      <c r="J300">
        <f>IF(G300="","",IF(G300&gt;=300,"✕ 要改善",IF(G300&gt;=200,"△ 注意","○ 良好")))</f>
        <v/>
      </c>
    </row>
    <row r="301" customFormat="1" s="456">
      <c r="A301" s="66" t="n">
        <v>293</v>
      </c>
      <c r="B301" s="67">
        <f>IF(⑭手動工程入力!C39="","",⑭手動工程入力!C39)</f>
        <v/>
      </c>
      <c r="C301" s="82">
        <f>IF(⑭手動工程入力!B39="","",⑭手動工程入力!B39)</f>
        <v/>
      </c>
      <c r="D301" s="9">
        <f>IF(B301="","",⑭手動工程入力!I39)</f>
        <v/>
      </c>
      <c r="E301" s="9">
        <f>IF(B301="","",⑭手動工程入力!G39)</f>
        <v/>
      </c>
      <c r="F301" s="9">
        <f>IF(B301="","",⑭手動工程入力!M39)</f>
        <v/>
      </c>
      <c r="G301" s="513">
        <f>IF(AND(ISNUMBER(D301),ISNUMBER(F301),D301&gt;0),F301/D301,"")</f>
        <v/>
      </c>
      <c r="H301" s="7" t="n">
        <v>0</v>
      </c>
      <c r="I301" s="9">
        <f>IF(ISNUMBER(F301),-F301-H301,"")</f>
        <v/>
      </c>
      <c r="J301" s="69">
        <f>IF(G301="","",IF(G301&gt;=300,"✕ 要改善",IF(G301&gt;=200,"△ 注意","○ 良好")))</f>
        <v/>
      </c>
      <c r="K301" s="70" t="n"/>
    </row>
    <row r="302" ht="14" customFormat="1" customHeight="1" s="456">
      <c r="A302" s="397" t="n">
        <v>294</v>
      </c>
      <c r="B302">
        <f>IF(⑭手動工程入力!C40="","",⑭手動工程入力!C40)</f>
        <v/>
      </c>
      <c r="C302">
        <f>IF(⑭手動工程入力!B40="","",⑭手動工程入力!B40)</f>
        <v/>
      </c>
      <c r="D302">
        <f>IF(B302="","",⑭手動工程入力!I40)</f>
        <v/>
      </c>
      <c r="E302">
        <f>IF(B302="","",⑭手動工程入力!G40)</f>
        <v/>
      </c>
      <c r="F302">
        <f>IF(B302="","",⑭手動工程入力!M40)</f>
        <v/>
      </c>
      <c r="G302">
        <f>IF(AND(ISNUMBER(D302),ISNUMBER(F302),D302&gt;0),F302/D302,"")</f>
        <v/>
      </c>
      <c r="H302" t="n">
        <v>0</v>
      </c>
      <c r="I302">
        <f>IF(ISNUMBER(F302),-F302-H302,"")</f>
        <v/>
      </c>
      <c r="J302">
        <f>IF(G302="","",IF(G302&gt;=300,"✕ 要改善",IF(G302&gt;=200,"△ 注意","○ 良好")))</f>
        <v/>
      </c>
    </row>
    <row r="303" customFormat="1" s="456">
      <c r="A303" s="66" t="n">
        <v>295</v>
      </c>
      <c r="B303" s="67">
        <f>IF(⑭手動工程入力!C41="","",⑭手動工程入力!C41)</f>
        <v/>
      </c>
      <c r="C303" s="82">
        <f>IF(⑭手動工程入力!B41="","",⑭手動工程入力!B41)</f>
        <v/>
      </c>
      <c r="D303" s="9">
        <f>IF(B303="","",⑭手動工程入力!I41)</f>
        <v/>
      </c>
      <c r="E303" s="9">
        <f>IF(B303="","",⑭手動工程入力!G41)</f>
        <v/>
      </c>
      <c r="F303" s="9">
        <f>IF(B303="","",⑭手動工程入力!M41)</f>
        <v/>
      </c>
      <c r="G303" s="513">
        <f>IF(AND(ISNUMBER(D303),ISNUMBER(F303),D303&gt;0),F303/D303,"")</f>
        <v/>
      </c>
      <c r="H303" s="7" t="n">
        <v>0</v>
      </c>
      <c r="I303" s="9">
        <f>IF(ISNUMBER(F303),-F303-H303,"")</f>
        <v/>
      </c>
      <c r="J303" s="69">
        <f>IF(G303="","",IF(G303&gt;=300,"✕ 要改善",IF(G303&gt;=200,"△ 注意","○ 良好")))</f>
        <v/>
      </c>
      <c r="K303" s="70" t="n"/>
    </row>
    <row r="304" ht="14" customFormat="1" customHeight="1" s="456">
      <c r="A304" s="397" t="n">
        <v>296</v>
      </c>
      <c r="B304">
        <f>IF(⑭手動工程入力!C42="","",⑭手動工程入力!C42)</f>
        <v/>
      </c>
      <c r="C304">
        <f>IF(⑭手動工程入力!B42="","",⑭手動工程入力!B42)</f>
        <v/>
      </c>
      <c r="D304">
        <f>IF(B304="","",⑭手動工程入力!I42)</f>
        <v/>
      </c>
      <c r="E304">
        <f>IF(B304="","",⑭手動工程入力!G42)</f>
        <v/>
      </c>
      <c r="F304">
        <f>IF(B304="","",⑭手動工程入力!M42)</f>
        <v/>
      </c>
      <c r="G304">
        <f>IF(AND(ISNUMBER(D304),ISNUMBER(F304),D304&gt;0),F304/D304,"")</f>
        <v/>
      </c>
      <c r="H304" t="n">
        <v>0</v>
      </c>
      <c r="I304">
        <f>IF(ISNUMBER(F304),-F304-H304,"")</f>
        <v/>
      </c>
      <c r="J304">
        <f>IF(G304="","",IF(G304&gt;=300,"✕ 要改善",IF(G304&gt;=200,"△ 注意","○ 良好")))</f>
        <v/>
      </c>
    </row>
    <row r="305" customFormat="1" s="456">
      <c r="A305" s="66" t="n">
        <v>297</v>
      </c>
      <c r="B305" s="67">
        <f>IF(⑭手動工程入力!C43="","",⑭手動工程入力!C43)</f>
        <v/>
      </c>
      <c r="C305" s="82">
        <f>IF(⑭手動工程入力!B43="","",⑭手動工程入力!B43)</f>
        <v/>
      </c>
      <c r="D305" s="9">
        <f>IF(B305="","",⑭手動工程入力!I43)</f>
        <v/>
      </c>
      <c r="E305" s="9">
        <f>IF(B305="","",⑭手動工程入力!G43)</f>
        <v/>
      </c>
      <c r="F305" s="9">
        <f>IF(B305="","",⑭手動工程入力!M43)</f>
        <v/>
      </c>
      <c r="G305" s="513">
        <f>IF(AND(ISNUMBER(D305),ISNUMBER(F305),D305&gt;0),F305/D305,"")</f>
        <v/>
      </c>
      <c r="H305" s="7" t="n">
        <v>0</v>
      </c>
      <c r="I305" s="9">
        <f>IF(ISNUMBER(F305),-F305-H305,"")</f>
        <v/>
      </c>
      <c r="J305" s="69">
        <f>IF(G305="","",IF(G305&gt;=300,"✕ 要改善",IF(G305&gt;=200,"△ 注意","○ 良好")))</f>
        <v/>
      </c>
      <c r="K305" s="70" t="n"/>
    </row>
    <row r="306" ht="14" customFormat="1" customHeight="1" s="456">
      <c r="A306" s="397" t="n">
        <v>298</v>
      </c>
      <c r="B306">
        <f>IF(⑭手動工程入力!C44="","",⑭手動工程入力!C44)</f>
        <v/>
      </c>
      <c r="C306">
        <f>IF(⑭手動工程入力!B44="","",⑭手動工程入力!B44)</f>
        <v/>
      </c>
      <c r="D306">
        <f>IF(B306="","",⑭手動工程入力!I44)</f>
        <v/>
      </c>
      <c r="E306">
        <f>IF(B306="","",⑭手動工程入力!G44)</f>
        <v/>
      </c>
      <c r="F306">
        <f>IF(B306="","",⑭手動工程入力!M44)</f>
        <v/>
      </c>
      <c r="G306">
        <f>IF(AND(ISNUMBER(D306),ISNUMBER(F306),D306&gt;0),F306/D306,"")</f>
        <v/>
      </c>
      <c r="H306" t="n">
        <v>0</v>
      </c>
      <c r="I306">
        <f>IF(ISNUMBER(F306),-F306-H306,"")</f>
        <v/>
      </c>
      <c r="J306">
        <f>IF(G306="","",IF(G306&gt;=300,"✕ 要改善",IF(G306&gt;=200,"△ 注意","○ 良好")))</f>
        <v/>
      </c>
    </row>
    <row r="307" customFormat="1" s="456">
      <c r="A307" s="66" t="n">
        <v>299</v>
      </c>
      <c r="B307" s="67">
        <f>IF(⑭手動工程入力!C45="","",⑭手動工程入力!C45)</f>
        <v/>
      </c>
      <c r="C307" s="82">
        <f>IF(⑭手動工程入力!B45="","",⑭手動工程入力!B45)</f>
        <v/>
      </c>
      <c r="D307" s="9">
        <f>IF(B307="","",⑭手動工程入力!I45)</f>
        <v/>
      </c>
      <c r="E307" s="9">
        <f>IF(B307="","",⑭手動工程入力!G45)</f>
        <v/>
      </c>
      <c r="F307" s="9">
        <f>IF(B307="","",⑭手動工程入力!M45)</f>
        <v/>
      </c>
      <c r="G307" s="513">
        <f>IF(AND(ISNUMBER(D307),ISNUMBER(F307),D307&gt;0),F307/D307,"")</f>
        <v/>
      </c>
      <c r="H307" s="7" t="n">
        <v>0</v>
      </c>
      <c r="I307" s="9">
        <f>IF(ISNUMBER(F307),-F307-H307,"")</f>
        <v/>
      </c>
      <c r="J307" s="69">
        <f>IF(G307="","",IF(G307&gt;=300,"✕ 要改善",IF(G307&gt;=200,"△ 注意","○ 良好")))</f>
        <v/>
      </c>
      <c r="K307" s="70" t="n"/>
    </row>
    <row r="308" ht="14" customFormat="1" customHeight="1" s="456">
      <c r="A308" s="397" t="n">
        <v>300</v>
      </c>
      <c r="B308">
        <f>IF(⑭手動工程入力!C46="","",⑭手動工程入力!C46)</f>
        <v/>
      </c>
      <c r="C308">
        <f>IF(⑭手動工程入力!B46="","",⑭手動工程入力!B46)</f>
        <v/>
      </c>
      <c r="D308">
        <f>IF(B308="","",⑭手動工程入力!I46)</f>
        <v/>
      </c>
      <c r="E308">
        <f>IF(B308="","",⑭手動工程入力!G46)</f>
        <v/>
      </c>
      <c r="F308">
        <f>IF(B308="","",⑭手動工程入力!M46)</f>
        <v/>
      </c>
      <c r="G308">
        <f>IF(AND(ISNUMBER(D308),ISNUMBER(F308),D308&gt;0),F308/D308,"")</f>
        <v/>
      </c>
      <c r="H308" t="n">
        <v>0</v>
      </c>
      <c r="I308">
        <f>IF(ISNUMBER(F308),-F308-H308,"")</f>
        <v/>
      </c>
      <c r="J308">
        <f>IF(G308="","",IF(G308&gt;=300,"✕ 要改善",IF(G308&gt;=200,"△ 注意","○ 良好")))</f>
        <v/>
      </c>
    </row>
    <row r="309" customFormat="1" s="456">
      <c r="A309" s="66" t="n">
        <v>301</v>
      </c>
      <c r="B309" s="67">
        <f>IF(⑭手動工程入力!C47="","",⑭手動工程入力!C47)</f>
        <v/>
      </c>
      <c r="C309" s="82">
        <f>IF(⑭手動工程入力!B47="","",⑭手動工程入力!B47)</f>
        <v/>
      </c>
      <c r="D309" s="9">
        <f>IF(B309="","",⑭手動工程入力!I47)</f>
        <v/>
      </c>
      <c r="E309" s="9">
        <f>IF(B309="","",⑭手動工程入力!G47)</f>
        <v/>
      </c>
      <c r="F309" s="9">
        <f>IF(B309="","",⑭手動工程入力!M47)</f>
        <v/>
      </c>
      <c r="G309" s="513">
        <f>IF(AND(ISNUMBER(D309),ISNUMBER(F309),D309&gt;0),F309/D309,"")</f>
        <v/>
      </c>
      <c r="H309" s="7" t="n">
        <v>0</v>
      </c>
      <c r="I309" s="9">
        <f>IF(ISNUMBER(F309),-F309-H309,"")</f>
        <v/>
      </c>
      <c r="J309" s="69">
        <f>IF(G309="","",IF(G309&gt;=300,"✕ 要改善",IF(G309&gt;=200,"△ 注意","○ 良好")))</f>
        <v/>
      </c>
      <c r="K309" s="70" t="n"/>
    </row>
    <row r="310" customFormat="1" s="456">
      <c r="A310" s="230" t="inlineStr">
        <is>
          <t>合計</t>
        </is>
      </c>
      <c r="B310" s="231" t="n"/>
      <c r="C310" s="231" t="n"/>
      <c r="D310" s="521">
        <f>SUM(D5:D309,D311:D606)</f>
        <v/>
      </c>
      <c r="E310" s="521">
        <f>SUM(E5:E309,E311:E606)</f>
        <v/>
      </c>
      <c r="F310" s="233">
        <f>SUM(F5:F309,F311:F606)</f>
        <v/>
      </c>
      <c r="G310" s="231" t="n"/>
      <c r="H310" s="233">
        <f>SUM(H5:H309,H311:H606)</f>
        <v/>
      </c>
      <c r="I310" s="233">
        <f>SUM(I5:I309,I311:I606)</f>
        <v/>
      </c>
      <c r="J310" s="231" t="n"/>
      <c r="K310" s="231" t="n"/>
    </row>
    <row r="311" customFormat="1" s="456">
      <c r="A311" s="66" t="n"/>
      <c r="B311" s="67">
        <f>IF(⑩盛付梱包工程入力!C5="","",⑩盛付梱包工程入力!C5)</f>
        <v/>
      </c>
      <c r="C311" s="82">
        <f>IF(⑩盛付梱包工程入力!B5="","",⑩盛付梱包工程入力!B5)</f>
        <v/>
      </c>
      <c r="D311" s="9">
        <f>IF(B311="","",⑩盛付梱包工程入力!I5)</f>
        <v/>
      </c>
      <c r="E311" s="9">
        <f>IF(B311="","",⑩盛付梱包工程入力!G5)</f>
        <v/>
      </c>
      <c r="F311" s="9">
        <f>IF(B311="","",⑩盛付梱包工程入力!M5)</f>
        <v/>
      </c>
      <c r="G311" s="513">
        <f>IF(AND(ISNUMBER(D311),ISNUMBER(F311),D311&gt;0),F311/D311,"")</f>
        <v/>
      </c>
      <c r="H311" s="7" t="n">
        <v>0</v>
      </c>
      <c r="I311" s="9">
        <f>IF(ISNUMBER(F311),-F311-H311,"")</f>
        <v/>
      </c>
      <c r="J311" s="69">
        <f>IF(G311="","",IF(G311&gt;=300,"✕ 要改善",IF(G311&gt;=200,"△ 注意","○ 良好")))</f>
        <v/>
      </c>
      <c r="K311" s="70" t="n"/>
    </row>
    <row r="312" ht="14" customFormat="1" customHeight="1" s="456">
      <c r="A312" s="397" t="n"/>
      <c r="B312">
        <f>IF(⑩盛付梱包工程入力!C6="","",⑩盛付梱包工程入力!C6)</f>
        <v/>
      </c>
      <c r="C312">
        <f>IF(⑩盛付梱包工程入力!B6="","",⑩盛付梱包工程入力!B6)</f>
        <v/>
      </c>
      <c r="D312">
        <f>IF(B312="","",⑩盛付梱包工程入力!I6)</f>
        <v/>
      </c>
      <c r="E312">
        <f>IF(B312="","",⑩盛付梱包工程入力!G6)</f>
        <v/>
      </c>
      <c r="F312">
        <f>IF(B312="","",⑩盛付梱包工程入力!M6)</f>
        <v/>
      </c>
      <c r="G312">
        <f>IF(AND(ISNUMBER(D312),ISNUMBER(F312),D312&gt;0),F312/D312,"")</f>
        <v/>
      </c>
      <c r="H312" t="n">
        <v>0</v>
      </c>
      <c r="I312">
        <f>IF(ISNUMBER(F312),-F312-H312,"")</f>
        <v/>
      </c>
      <c r="J312">
        <f>IF(G312="","",IF(G312&gt;=300,"✕ 要改善",IF(G312&gt;=200,"△ 注意","○ 良好")))</f>
        <v/>
      </c>
    </row>
    <row r="313" customFormat="1" s="456">
      <c r="A313" s="66" t="n"/>
      <c r="B313" s="67">
        <f>IF(⑩盛付梱包工程入力!C7="","",⑩盛付梱包工程入力!C7)</f>
        <v/>
      </c>
      <c r="C313" s="82">
        <f>IF(⑩盛付梱包工程入力!B7="","",⑩盛付梱包工程入力!B7)</f>
        <v/>
      </c>
      <c r="D313" s="9">
        <f>IF(B313="","",⑩盛付梱包工程入力!I7)</f>
        <v/>
      </c>
      <c r="E313" s="9">
        <f>IF(B313="","",⑩盛付梱包工程入力!G7)</f>
        <v/>
      </c>
      <c r="F313" s="9">
        <f>IF(B313="","",⑩盛付梱包工程入力!M7)</f>
        <v/>
      </c>
      <c r="G313" s="513">
        <f>IF(AND(ISNUMBER(D313),ISNUMBER(F313),D313&gt;0),F313/D313,"")</f>
        <v/>
      </c>
      <c r="H313" s="7" t="n">
        <v>0</v>
      </c>
      <c r="I313" s="9">
        <f>IF(ISNUMBER(F313),-F313-H313,"")</f>
        <v/>
      </c>
      <c r="J313" s="69">
        <f>IF(G313="","",IF(G313&gt;=300,"✕ 要改善",IF(G313&gt;=200,"△ 注意","○ 良好")))</f>
        <v/>
      </c>
      <c r="K313" s="70" t="n"/>
    </row>
    <row r="314" ht="14" customFormat="1" customHeight="1" s="456">
      <c r="A314" s="397" t="n"/>
      <c r="B314">
        <f>IF(⑩盛付梱包工程入力!C8="","",⑩盛付梱包工程入力!C8)</f>
        <v/>
      </c>
      <c r="C314">
        <f>IF(⑩盛付梱包工程入力!B8="","",⑩盛付梱包工程入力!B8)</f>
        <v/>
      </c>
      <c r="D314">
        <f>IF(B314="","",⑩盛付梱包工程入力!I8)</f>
        <v/>
      </c>
      <c r="E314">
        <f>IF(B314="","",⑩盛付梱包工程入力!G8)</f>
        <v/>
      </c>
      <c r="F314">
        <f>IF(B314="","",⑩盛付梱包工程入力!M8)</f>
        <v/>
      </c>
      <c r="G314">
        <f>IF(AND(ISNUMBER(D314),ISNUMBER(F314),D314&gt;0),F314/D314,"")</f>
        <v/>
      </c>
      <c r="H314" t="n">
        <v>0</v>
      </c>
      <c r="I314">
        <f>IF(ISNUMBER(F314),-F314-H314,"")</f>
        <v/>
      </c>
      <c r="J314">
        <f>IF(G314="","",IF(G314&gt;=300,"✕ 要改善",IF(G314&gt;=200,"△ 注意","○ 良好")))</f>
        <v/>
      </c>
    </row>
    <row r="315" customFormat="1" s="456">
      <c r="A315" s="66" t="n"/>
      <c r="B315" s="67">
        <f>IF(⑩盛付梱包工程入力!C9="","",⑩盛付梱包工程入力!C9)</f>
        <v/>
      </c>
      <c r="C315" s="82">
        <f>IF(⑩盛付梱包工程入力!B9="","",⑩盛付梱包工程入力!B9)</f>
        <v/>
      </c>
      <c r="D315" s="9">
        <f>IF(B315="","",⑩盛付梱包工程入力!I9)</f>
        <v/>
      </c>
      <c r="E315" s="9">
        <f>IF(B315="","",⑩盛付梱包工程入力!G9)</f>
        <v/>
      </c>
      <c r="F315" s="9">
        <f>IF(B315="","",⑩盛付梱包工程入力!M9)</f>
        <v/>
      </c>
      <c r="G315" s="513">
        <f>IF(AND(ISNUMBER(D315),ISNUMBER(F315),D315&gt;0),F315/D315,"")</f>
        <v/>
      </c>
      <c r="H315" s="7" t="n">
        <v>0</v>
      </c>
      <c r="I315" s="9">
        <f>IF(ISNUMBER(F315),-F315-H315,"")</f>
        <v/>
      </c>
      <c r="J315" s="69">
        <f>IF(G315="","",IF(G315&gt;=300,"✕ 要改善",IF(G315&gt;=200,"△ 注意","○ 良好")))</f>
        <v/>
      </c>
      <c r="K315" s="70" t="n"/>
    </row>
    <row r="316" ht="14" customFormat="1" customHeight="1" s="456">
      <c r="A316" s="397" t="n"/>
      <c r="B316">
        <f>IF(⑩盛付梱包工程入力!C10="","",⑩盛付梱包工程入力!C10)</f>
        <v/>
      </c>
      <c r="C316">
        <f>IF(⑩盛付梱包工程入力!B10="","",⑩盛付梱包工程入力!B10)</f>
        <v/>
      </c>
      <c r="D316">
        <f>IF(B316="","",⑩盛付梱包工程入力!I10)</f>
        <v/>
      </c>
      <c r="E316">
        <f>IF(B316="","",⑩盛付梱包工程入力!G10)</f>
        <v/>
      </c>
      <c r="F316">
        <f>IF(B316="","",⑩盛付梱包工程入力!M10)</f>
        <v/>
      </c>
      <c r="G316">
        <f>IF(AND(ISNUMBER(D316),ISNUMBER(F316),D316&gt;0),F316/D316,"")</f>
        <v/>
      </c>
      <c r="H316" t="n">
        <v>0</v>
      </c>
      <c r="I316">
        <f>IF(ISNUMBER(F316),-F316-H316,"")</f>
        <v/>
      </c>
      <c r="J316">
        <f>IF(G316="","",IF(G316&gt;=300,"✕ 要改善",IF(G316&gt;=200,"△ 注意","○ 良好")))</f>
        <v/>
      </c>
    </row>
    <row r="317" customFormat="1" s="456">
      <c r="A317" s="66" t="n"/>
      <c r="B317" s="67">
        <f>IF(⑩盛付梱包工程入力!C11="","",⑩盛付梱包工程入力!C11)</f>
        <v/>
      </c>
      <c r="C317" s="82">
        <f>IF(⑩盛付梱包工程入力!B11="","",⑩盛付梱包工程入力!B11)</f>
        <v/>
      </c>
      <c r="D317" s="9">
        <f>IF(B317="","",⑩盛付梱包工程入力!I11)</f>
        <v/>
      </c>
      <c r="E317" s="9">
        <f>IF(B317="","",⑩盛付梱包工程入力!G11)</f>
        <v/>
      </c>
      <c r="F317" s="9">
        <f>IF(B317="","",⑩盛付梱包工程入力!M11)</f>
        <v/>
      </c>
      <c r="G317" s="513">
        <f>IF(AND(ISNUMBER(D317),ISNUMBER(F317),D317&gt;0),F317/D317,"")</f>
        <v/>
      </c>
      <c r="H317" s="7" t="n">
        <v>0</v>
      </c>
      <c r="I317" s="9">
        <f>IF(ISNUMBER(F317),-F317-H317,"")</f>
        <v/>
      </c>
      <c r="J317" s="69">
        <f>IF(G317="","",IF(G317&gt;=300,"✕ 要改善",IF(G317&gt;=200,"△ 注意","○ 良好")))</f>
        <v/>
      </c>
      <c r="K317" s="70" t="n"/>
    </row>
    <row r="318" ht="14" customFormat="1" customHeight="1" s="456">
      <c r="A318" s="397" t="n"/>
      <c r="B318">
        <f>IF(⑩盛付梱包工程入力!C12="","",⑩盛付梱包工程入力!C12)</f>
        <v/>
      </c>
      <c r="C318">
        <f>IF(⑩盛付梱包工程入力!B12="","",⑩盛付梱包工程入力!B12)</f>
        <v/>
      </c>
      <c r="D318">
        <f>IF(B318="","",⑩盛付梱包工程入力!I12)</f>
        <v/>
      </c>
      <c r="E318">
        <f>IF(B318="","",⑩盛付梱包工程入力!G12)</f>
        <v/>
      </c>
      <c r="F318">
        <f>IF(B318="","",⑩盛付梱包工程入力!M12)</f>
        <v/>
      </c>
      <c r="G318">
        <f>IF(AND(ISNUMBER(D318),ISNUMBER(F318),D318&gt;0),F318/D318,"")</f>
        <v/>
      </c>
      <c r="H318" t="n">
        <v>0</v>
      </c>
      <c r="I318">
        <f>IF(ISNUMBER(F318),-F318-H318,"")</f>
        <v/>
      </c>
      <c r="J318">
        <f>IF(G318="","",IF(G318&gt;=300,"✕ 要改善",IF(G318&gt;=200,"△ 注意","○ 良好")))</f>
        <v/>
      </c>
    </row>
    <row r="319" customFormat="1" s="456">
      <c r="A319" s="66" t="n"/>
      <c r="B319" s="67">
        <f>IF(⑩盛付梱包工程入力!C13="","",⑩盛付梱包工程入力!C13)</f>
        <v/>
      </c>
      <c r="C319" s="82">
        <f>IF(⑩盛付梱包工程入力!B13="","",⑩盛付梱包工程入力!B13)</f>
        <v/>
      </c>
      <c r="D319" s="9">
        <f>IF(B319="","",⑩盛付梱包工程入力!I13)</f>
        <v/>
      </c>
      <c r="E319" s="9">
        <f>IF(B319="","",⑩盛付梱包工程入力!G13)</f>
        <v/>
      </c>
      <c r="F319" s="9">
        <f>IF(B319="","",⑩盛付梱包工程入力!M13)</f>
        <v/>
      </c>
      <c r="G319" s="513">
        <f>IF(AND(ISNUMBER(D319),ISNUMBER(F319),D319&gt;0),F319/D319,"")</f>
        <v/>
      </c>
      <c r="H319" s="7" t="n">
        <v>0</v>
      </c>
      <c r="I319" s="9">
        <f>IF(ISNUMBER(F319),-F319-H319,"")</f>
        <v/>
      </c>
      <c r="J319" s="69">
        <f>IF(G319="","",IF(G319&gt;=300,"✕ 要改善",IF(G319&gt;=200,"△ 注意","○ 良好")))</f>
        <v/>
      </c>
      <c r="K319" s="70" t="n"/>
    </row>
    <row r="320" ht="14" customFormat="1" customHeight="1" s="456">
      <c r="A320" s="397" t="n"/>
      <c r="B320">
        <f>IF(⑩盛付梱包工程入力!C14="","",⑩盛付梱包工程入力!C14)</f>
        <v/>
      </c>
      <c r="C320">
        <f>IF(⑩盛付梱包工程入力!B14="","",⑩盛付梱包工程入力!B14)</f>
        <v/>
      </c>
      <c r="D320">
        <f>IF(B320="","",⑩盛付梱包工程入力!I14)</f>
        <v/>
      </c>
      <c r="E320">
        <f>IF(B320="","",⑩盛付梱包工程入力!G14)</f>
        <v/>
      </c>
      <c r="F320">
        <f>IF(B320="","",⑩盛付梱包工程入力!M14)</f>
        <v/>
      </c>
      <c r="G320">
        <f>IF(AND(ISNUMBER(D320),ISNUMBER(F320),D320&gt;0),F320/D320,"")</f>
        <v/>
      </c>
      <c r="H320" t="n">
        <v>0</v>
      </c>
      <c r="I320">
        <f>IF(ISNUMBER(F320),-F320-H320,"")</f>
        <v/>
      </c>
      <c r="J320">
        <f>IF(G320="","",IF(G320&gt;=300,"✕ 要改善",IF(G320&gt;=200,"△ 注意","○ 良好")))</f>
        <v/>
      </c>
    </row>
    <row r="321" customFormat="1" s="456">
      <c r="A321" s="66" t="n"/>
      <c r="B321" s="67">
        <f>IF(⑩盛付梱包工程入力!C15="","",⑩盛付梱包工程入力!C15)</f>
        <v/>
      </c>
      <c r="C321" s="82">
        <f>IF(⑩盛付梱包工程入力!B15="","",⑩盛付梱包工程入力!B15)</f>
        <v/>
      </c>
      <c r="D321" s="9">
        <f>IF(B321="","",⑩盛付梱包工程入力!I15)</f>
        <v/>
      </c>
      <c r="E321" s="9">
        <f>IF(B321="","",⑩盛付梱包工程入力!G15)</f>
        <v/>
      </c>
      <c r="F321" s="9">
        <f>IF(B321="","",⑩盛付梱包工程入力!M15)</f>
        <v/>
      </c>
      <c r="G321" s="513">
        <f>IF(AND(ISNUMBER(D321),ISNUMBER(F321),D321&gt;0),F321/D321,"")</f>
        <v/>
      </c>
      <c r="H321" s="7" t="n">
        <v>0</v>
      </c>
      <c r="I321" s="9">
        <f>IF(ISNUMBER(F321),-F321-H321,"")</f>
        <v/>
      </c>
      <c r="J321" s="69">
        <f>IF(G321="","",IF(G321&gt;=300,"✕ 要改善",IF(G321&gt;=200,"△ 注意","○ 良好")))</f>
        <v/>
      </c>
      <c r="K321" s="70" t="n"/>
    </row>
    <row r="322" ht="14" customFormat="1" customHeight="1" s="456">
      <c r="A322" s="397" t="n"/>
      <c r="B322">
        <f>IF(⑩盛付梱包工程入力!C16="","",⑩盛付梱包工程入力!C16)</f>
        <v/>
      </c>
      <c r="C322">
        <f>IF(⑩盛付梱包工程入力!B16="","",⑩盛付梱包工程入力!B16)</f>
        <v/>
      </c>
      <c r="D322">
        <f>IF(B322="","",⑩盛付梱包工程入力!I16)</f>
        <v/>
      </c>
      <c r="E322">
        <f>IF(B322="","",⑩盛付梱包工程入力!G16)</f>
        <v/>
      </c>
      <c r="F322">
        <f>IF(B322="","",⑩盛付梱包工程入力!M16)</f>
        <v/>
      </c>
      <c r="G322">
        <f>IF(AND(ISNUMBER(D322),ISNUMBER(F322),D322&gt;0),F322/D322,"")</f>
        <v/>
      </c>
      <c r="H322" t="n">
        <v>0</v>
      </c>
      <c r="I322">
        <f>IF(ISNUMBER(F322),-F322-H322,"")</f>
        <v/>
      </c>
      <c r="J322">
        <f>IF(G322="","",IF(G322&gt;=300,"✕ 要改善",IF(G322&gt;=200,"△ 注意","○ 良好")))</f>
        <v/>
      </c>
    </row>
    <row r="323" customFormat="1" s="456">
      <c r="A323" s="66" t="n"/>
      <c r="B323" s="67">
        <f>IF(⑩盛付梱包工程入力!C17="","",⑩盛付梱包工程入力!C17)</f>
        <v/>
      </c>
      <c r="C323" s="82">
        <f>IF(⑩盛付梱包工程入力!B17="","",⑩盛付梱包工程入力!B17)</f>
        <v/>
      </c>
      <c r="D323" s="9">
        <f>IF(B323="","",⑩盛付梱包工程入力!I17)</f>
        <v/>
      </c>
      <c r="E323" s="9">
        <f>IF(B323="","",⑩盛付梱包工程入力!G17)</f>
        <v/>
      </c>
      <c r="F323" s="9">
        <f>IF(B323="","",⑩盛付梱包工程入力!M17)</f>
        <v/>
      </c>
      <c r="G323" s="513">
        <f>IF(AND(ISNUMBER(D323),ISNUMBER(F323),D323&gt;0),F323/D323,"")</f>
        <v/>
      </c>
      <c r="H323" s="7" t="n">
        <v>0</v>
      </c>
      <c r="I323" s="9">
        <f>IF(ISNUMBER(F323),-F323-H323,"")</f>
        <v/>
      </c>
      <c r="J323" s="69">
        <f>IF(G323="","",IF(G323&gt;=300,"✕ 要改善",IF(G323&gt;=200,"△ 注意","○ 良好")))</f>
        <v/>
      </c>
      <c r="K323" s="70" t="n"/>
    </row>
    <row r="324" ht="14" customFormat="1" customHeight="1" s="456">
      <c r="A324" s="397" t="n"/>
      <c r="B324">
        <f>IF(⑩盛付梱包工程入力!C18="","",⑩盛付梱包工程入力!C18)</f>
        <v/>
      </c>
      <c r="C324">
        <f>IF(⑩盛付梱包工程入力!B18="","",⑩盛付梱包工程入力!B18)</f>
        <v/>
      </c>
      <c r="D324">
        <f>IF(B324="","",⑩盛付梱包工程入力!I18)</f>
        <v/>
      </c>
      <c r="E324">
        <f>IF(B324="","",⑩盛付梱包工程入力!G18)</f>
        <v/>
      </c>
      <c r="F324">
        <f>IF(B324="","",⑩盛付梱包工程入力!M18)</f>
        <v/>
      </c>
      <c r="G324">
        <f>IF(AND(ISNUMBER(D324),ISNUMBER(F324),D324&gt;0),F324/D324,"")</f>
        <v/>
      </c>
      <c r="H324" t="n">
        <v>0</v>
      </c>
      <c r="I324">
        <f>IF(ISNUMBER(F324),-F324-H324,"")</f>
        <v/>
      </c>
      <c r="J324">
        <f>IF(G324="","",IF(G324&gt;=300,"✕ 要改善",IF(G324&gt;=200,"△ 注意","○ 良好")))</f>
        <v/>
      </c>
    </row>
    <row r="325" customFormat="1" s="456">
      <c r="A325" s="66" t="n"/>
      <c r="B325" s="67">
        <f>IF(⑩盛付梱包工程入力!C19="","",⑩盛付梱包工程入力!C19)</f>
        <v/>
      </c>
      <c r="C325" s="82">
        <f>IF(⑩盛付梱包工程入力!B19="","",⑩盛付梱包工程入力!B19)</f>
        <v/>
      </c>
      <c r="D325" s="9">
        <f>IF(B325="","",⑩盛付梱包工程入力!I19)</f>
        <v/>
      </c>
      <c r="E325" s="9">
        <f>IF(B325="","",⑩盛付梱包工程入力!G19)</f>
        <v/>
      </c>
      <c r="F325" s="9">
        <f>IF(B325="","",⑩盛付梱包工程入力!M19)</f>
        <v/>
      </c>
      <c r="G325" s="513">
        <f>IF(AND(ISNUMBER(D325),ISNUMBER(F325),D325&gt;0),F325/D325,"")</f>
        <v/>
      </c>
      <c r="H325" s="7" t="n">
        <v>0</v>
      </c>
      <c r="I325" s="9">
        <f>IF(ISNUMBER(F325),-F325-H325,"")</f>
        <v/>
      </c>
      <c r="J325" s="69">
        <f>IF(G325="","",IF(G325&gt;=300,"✕ 要改善",IF(G325&gt;=200,"△ 注意","○ 良好")))</f>
        <v/>
      </c>
      <c r="K325" s="70" t="n"/>
    </row>
    <row r="326" ht="14" customFormat="1" customHeight="1" s="456">
      <c r="A326" s="397" t="n"/>
      <c r="B326">
        <f>IF(⑩盛付梱包工程入力!C20="","",⑩盛付梱包工程入力!C20)</f>
        <v/>
      </c>
      <c r="C326">
        <f>IF(⑩盛付梱包工程入力!B20="","",⑩盛付梱包工程入力!B20)</f>
        <v/>
      </c>
      <c r="D326">
        <f>IF(B326="","",⑩盛付梱包工程入力!I20)</f>
        <v/>
      </c>
      <c r="E326">
        <f>IF(B326="","",⑩盛付梱包工程入力!G20)</f>
        <v/>
      </c>
      <c r="F326">
        <f>IF(B326="","",⑩盛付梱包工程入力!M20)</f>
        <v/>
      </c>
      <c r="G326">
        <f>IF(AND(ISNUMBER(D326),ISNUMBER(F326),D326&gt;0),F326/D326,"")</f>
        <v/>
      </c>
      <c r="H326" t="n">
        <v>0</v>
      </c>
      <c r="I326">
        <f>IF(ISNUMBER(F326),-F326-H326,"")</f>
        <v/>
      </c>
      <c r="J326">
        <f>IF(G326="","",IF(G326&gt;=300,"✕ 要改善",IF(G326&gt;=200,"△ 注意","○ 良好")))</f>
        <v/>
      </c>
    </row>
    <row r="327" customFormat="1" s="456">
      <c r="A327" s="66" t="n"/>
      <c r="B327" s="67">
        <f>IF(⑩盛付梱包工程入力!C21="","",⑩盛付梱包工程入力!C21)</f>
        <v/>
      </c>
      <c r="C327" s="82">
        <f>IF(⑩盛付梱包工程入力!B21="","",⑩盛付梱包工程入力!B21)</f>
        <v/>
      </c>
      <c r="D327" s="9">
        <f>IF(B327="","",⑩盛付梱包工程入力!I21)</f>
        <v/>
      </c>
      <c r="E327" s="9">
        <f>IF(B327="","",⑩盛付梱包工程入力!G21)</f>
        <v/>
      </c>
      <c r="F327" s="9">
        <f>IF(B327="","",⑩盛付梱包工程入力!M21)</f>
        <v/>
      </c>
      <c r="G327" s="513">
        <f>IF(AND(ISNUMBER(D327),ISNUMBER(F327),D327&gt;0),F327/D327,"")</f>
        <v/>
      </c>
      <c r="H327" s="7" t="n">
        <v>0</v>
      </c>
      <c r="I327" s="9">
        <f>IF(ISNUMBER(F327),-F327-H327,"")</f>
        <v/>
      </c>
      <c r="J327" s="69">
        <f>IF(G327="","",IF(G327&gt;=300,"✕ 要改善",IF(G327&gt;=200,"△ 注意","○ 良好")))</f>
        <v/>
      </c>
      <c r="K327" s="70" t="n"/>
    </row>
    <row r="328" ht="14" customFormat="1" customHeight="1" s="456">
      <c r="A328" s="397" t="n"/>
      <c r="B328">
        <f>IF(⑩盛付梱包工程入力!C22="","",⑩盛付梱包工程入力!C22)</f>
        <v/>
      </c>
      <c r="C328">
        <f>IF(⑩盛付梱包工程入力!B22="","",⑩盛付梱包工程入力!B22)</f>
        <v/>
      </c>
      <c r="D328">
        <f>IF(B328="","",⑩盛付梱包工程入力!I22)</f>
        <v/>
      </c>
      <c r="E328">
        <f>IF(B328="","",⑩盛付梱包工程入力!G22)</f>
        <v/>
      </c>
      <c r="F328">
        <f>IF(B328="","",⑩盛付梱包工程入力!M22)</f>
        <v/>
      </c>
      <c r="G328">
        <f>IF(AND(ISNUMBER(D328),ISNUMBER(F328),D328&gt;0),F328/D328,"")</f>
        <v/>
      </c>
      <c r="H328" t="n">
        <v>0</v>
      </c>
      <c r="I328">
        <f>IF(ISNUMBER(F328),-F328-H328,"")</f>
        <v/>
      </c>
      <c r="J328">
        <f>IF(G328="","",IF(G328&gt;=300,"✕ 要改善",IF(G328&gt;=200,"△ 注意","○ 良好")))</f>
        <v/>
      </c>
    </row>
    <row r="329" customFormat="1" s="456">
      <c r="A329" s="66" t="n"/>
      <c r="B329" s="67">
        <f>IF(⑩盛付梱包工程入力!C23="","",⑩盛付梱包工程入力!C23)</f>
        <v/>
      </c>
      <c r="C329" s="82">
        <f>IF(⑩盛付梱包工程入力!B23="","",⑩盛付梱包工程入力!B23)</f>
        <v/>
      </c>
      <c r="D329" s="9">
        <f>IF(B329="","",⑩盛付梱包工程入力!I23)</f>
        <v/>
      </c>
      <c r="E329" s="9">
        <f>IF(B329="","",⑩盛付梱包工程入力!G23)</f>
        <v/>
      </c>
      <c r="F329" s="9">
        <f>IF(B329="","",⑩盛付梱包工程入力!M23)</f>
        <v/>
      </c>
      <c r="G329" s="513">
        <f>IF(AND(ISNUMBER(D329),ISNUMBER(F329),D329&gt;0),F329/D329,"")</f>
        <v/>
      </c>
      <c r="H329" s="7" t="n">
        <v>0</v>
      </c>
      <c r="I329" s="9">
        <f>IF(ISNUMBER(F329),-F329-H329,"")</f>
        <v/>
      </c>
      <c r="J329" s="69">
        <f>IF(G329="","",IF(G329&gt;=300,"✕ 要改善",IF(G329&gt;=200,"△ 注意","○ 良好")))</f>
        <v/>
      </c>
      <c r="K329" s="70" t="n"/>
    </row>
    <row r="330" ht="14" customFormat="1" customHeight="1" s="456">
      <c r="A330" s="397" t="n"/>
      <c r="B330">
        <f>IF(⑩盛付梱包工程入力!C24="","",⑩盛付梱包工程入力!C24)</f>
        <v/>
      </c>
      <c r="C330">
        <f>IF(⑩盛付梱包工程入力!B24="","",⑩盛付梱包工程入力!B24)</f>
        <v/>
      </c>
      <c r="D330">
        <f>IF(B330="","",⑩盛付梱包工程入力!I24)</f>
        <v/>
      </c>
      <c r="E330">
        <f>IF(B330="","",⑩盛付梱包工程入力!G24)</f>
        <v/>
      </c>
      <c r="F330">
        <f>IF(B330="","",⑩盛付梱包工程入力!M24)</f>
        <v/>
      </c>
      <c r="G330">
        <f>IF(AND(ISNUMBER(D330),ISNUMBER(F330),D330&gt;0),F330/D330,"")</f>
        <v/>
      </c>
      <c r="H330" t="n">
        <v>0</v>
      </c>
      <c r="I330">
        <f>IF(ISNUMBER(F330),-F330-H330,"")</f>
        <v/>
      </c>
      <c r="J330">
        <f>IF(G330="","",IF(G330&gt;=300,"✕ 要改善",IF(G330&gt;=200,"△ 注意","○ 良好")))</f>
        <v/>
      </c>
    </row>
    <row r="331" customFormat="1" s="456">
      <c r="A331" s="66" t="n"/>
      <c r="B331" s="67">
        <f>IF(⑩盛付梱包工程入力!C25="","",⑩盛付梱包工程入力!C25)</f>
        <v/>
      </c>
      <c r="C331" s="82">
        <f>IF(⑩盛付梱包工程入力!B25="","",⑩盛付梱包工程入力!B25)</f>
        <v/>
      </c>
      <c r="D331" s="9">
        <f>IF(B331="","",⑩盛付梱包工程入力!I25)</f>
        <v/>
      </c>
      <c r="E331" s="9">
        <f>IF(B331="","",⑩盛付梱包工程入力!G25)</f>
        <v/>
      </c>
      <c r="F331" s="9">
        <f>IF(B331="","",⑩盛付梱包工程入力!M25)</f>
        <v/>
      </c>
      <c r="G331" s="513">
        <f>IF(AND(ISNUMBER(D331),ISNUMBER(F331),D331&gt;0),F331/D331,"")</f>
        <v/>
      </c>
      <c r="H331" s="7" t="n">
        <v>0</v>
      </c>
      <c r="I331" s="9">
        <f>IF(ISNUMBER(F331),-F331-H331,"")</f>
        <v/>
      </c>
      <c r="J331" s="69">
        <f>IF(G331="","",IF(G331&gt;=300,"✕ 要改善",IF(G331&gt;=200,"△ 注意","○ 良好")))</f>
        <v/>
      </c>
      <c r="K331" s="70" t="n"/>
    </row>
    <row r="332" ht="14" customFormat="1" customHeight="1" s="456">
      <c r="A332" s="397" t="n"/>
      <c r="B332">
        <f>IF(⑩盛付梱包工程入力!C26="","",⑩盛付梱包工程入力!C26)</f>
        <v/>
      </c>
      <c r="C332">
        <f>IF(⑩盛付梱包工程入力!B26="","",⑩盛付梱包工程入力!B26)</f>
        <v/>
      </c>
      <c r="D332">
        <f>IF(B332="","",⑩盛付梱包工程入力!I26)</f>
        <v/>
      </c>
      <c r="E332">
        <f>IF(B332="","",⑩盛付梱包工程入力!G26)</f>
        <v/>
      </c>
      <c r="F332">
        <f>IF(B332="","",⑩盛付梱包工程入力!M26)</f>
        <v/>
      </c>
      <c r="G332">
        <f>IF(AND(ISNUMBER(D332),ISNUMBER(F332),D332&gt;0),F332/D332,"")</f>
        <v/>
      </c>
      <c r="H332" t="n">
        <v>0</v>
      </c>
      <c r="I332">
        <f>IF(ISNUMBER(F332),-F332-H332,"")</f>
        <v/>
      </c>
      <c r="J332">
        <f>IF(G332="","",IF(G332&gt;=300,"✕ 要改善",IF(G332&gt;=200,"△ 注意","○ 良好")))</f>
        <v/>
      </c>
    </row>
    <row r="333" customFormat="1" s="456">
      <c r="A333" s="66" t="n"/>
      <c r="B333" s="67">
        <f>IF(⑩盛付梱包工程入力!C27="","",⑩盛付梱包工程入力!C27)</f>
        <v/>
      </c>
      <c r="C333" s="82">
        <f>IF(⑩盛付梱包工程入力!B27="","",⑩盛付梱包工程入力!B27)</f>
        <v/>
      </c>
      <c r="D333" s="9">
        <f>IF(B333="","",⑩盛付梱包工程入力!I27)</f>
        <v/>
      </c>
      <c r="E333" s="9">
        <f>IF(B333="","",⑩盛付梱包工程入力!G27)</f>
        <v/>
      </c>
      <c r="F333" s="9">
        <f>IF(B333="","",⑩盛付梱包工程入力!M27)</f>
        <v/>
      </c>
      <c r="G333" s="513">
        <f>IF(AND(ISNUMBER(D333),ISNUMBER(F333),D333&gt;0),F333/D333,"")</f>
        <v/>
      </c>
      <c r="H333" s="7" t="n">
        <v>0</v>
      </c>
      <c r="I333" s="9">
        <f>IF(ISNUMBER(F333),-F333-H333,"")</f>
        <v/>
      </c>
      <c r="J333" s="69">
        <f>IF(G333="","",IF(G333&gt;=300,"✕ 要改善",IF(G333&gt;=200,"△ 注意","○ 良好")))</f>
        <v/>
      </c>
      <c r="K333" s="70" t="n"/>
    </row>
    <row r="334" ht="14" customFormat="1" customHeight="1" s="456">
      <c r="A334" s="397" t="n"/>
      <c r="B334">
        <f>IF(⑩盛付梱包工程入力!C28="","",⑩盛付梱包工程入力!C28)</f>
        <v/>
      </c>
      <c r="C334">
        <f>IF(⑩盛付梱包工程入力!B28="","",⑩盛付梱包工程入力!B28)</f>
        <v/>
      </c>
      <c r="D334">
        <f>IF(B334="","",⑩盛付梱包工程入力!I28)</f>
        <v/>
      </c>
      <c r="E334">
        <f>IF(B334="","",⑩盛付梱包工程入力!G28)</f>
        <v/>
      </c>
      <c r="F334">
        <f>IF(B334="","",⑩盛付梱包工程入力!M28)</f>
        <v/>
      </c>
      <c r="G334">
        <f>IF(AND(ISNUMBER(D334),ISNUMBER(F334),D334&gt;0),F334/D334,"")</f>
        <v/>
      </c>
      <c r="H334" t="n">
        <v>0</v>
      </c>
      <c r="I334">
        <f>IF(ISNUMBER(F334),-F334-H334,"")</f>
        <v/>
      </c>
      <c r="J334">
        <f>IF(G334="","",IF(G334&gt;=300,"✕ 要改善",IF(G334&gt;=200,"△ 注意","○ 良好")))</f>
        <v/>
      </c>
    </row>
    <row r="335" customFormat="1" s="456">
      <c r="A335" s="66" t="n"/>
      <c r="B335" s="67">
        <f>IF(⑩盛付梱包工程入力!C29="","",⑩盛付梱包工程入力!C29)</f>
        <v/>
      </c>
      <c r="C335" s="82">
        <f>IF(⑩盛付梱包工程入力!B29="","",⑩盛付梱包工程入力!B29)</f>
        <v/>
      </c>
      <c r="D335" s="9">
        <f>IF(B335="","",⑩盛付梱包工程入力!I29)</f>
        <v/>
      </c>
      <c r="E335" s="9">
        <f>IF(B335="","",⑩盛付梱包工程入力!G29)</f>
        <v/>
      </c>
      <c r="F335" s="9">
        <f>IF(B335="","",⑩盛付梱包工程入力!M29)</f>
        <v/>
      </c>
      <c r="G335" s="513">
        <f>IF(AND(ISNUMBER(D335),ISNUMBER(F335),D335&gt;0),F335/D335,"")</f>
        <v/>
      </c>
      <c r="H335" s="7" t="n">
        <v>0</v>
      </c>
      <c r="I335" s="9">
        <f>IF(ISNUMBER(F335),-F335-H335,"")</f>
        <v/>
      </c>
      <c r="J335" s="69">
        <f>IF(G335="","",IF(G335&gt;=300,"✕ 要改善",IF(G335&gt;=200,"△ 注意","○ 良好")))</f>
        <v/>
      </c>
      <c r="K335" s="70" t="n"/>
    </row>
    <row r="336" ht="14" customFormat="1" customHeight="1" s="456">
      <c r="A336" s="397" t="n"/>
      <c r="B336">
        <f>IF(⑩盛付梱包工程入力!C30="","",⑩盛付梱包工程入力!C30)</f>
        <v/>
      </c>
      <c r="C336">
        <f>IF(⑩盛付梱包工程入力!B30="","",⑩盛付梱包工程入力!B30)</f>
        <v/>
      </c>
      <c r="D336">
        <f>IF(B336="","",⑩盛付梱包工程入力!I30)</f>
        <v/>
      </c>
      <c r="E336">
        <f>IF(B336="","",⑩盛付梱包工程入力!G30)</f>
        <v/>
      </c>
      <c r="F336">
        <f>IF(B336="","",⑩盛付梱包工程入力!M30)</f>
        <v/>
      </c>
      <c r="G336">
        <f>IF(AND(ISNUMBER(D336),ISNUMBER(F336),D336&gt;0),F336/D336,"")</f>
        <v/>
      </c>
      <c r="H336" t="n">
        <v>0</v>
      </c>
      <c r="I336">
        <f>IF(ISNUMBER(F336),-F336-H336,"")</f>
        <v/>
      </c>
      <c r="J336">
        <f>IF(G336="","",IF(G336&gt;=300,"✕ 要改善",IF(G336&gt;=200,"△ 注意","○ 良好")))</f>
        <v/>
      </c>
    </row>
    <row r="337" customFormat="1" s="456">
      <c r="A337" s="66" t="n"/>
      <c r="B337" s="67">
        <f>IF(⑩盛付梱包工程入力!C31="","",⑩盛付梱包工程入力!C31)</f>
        <v/>
      </c>
      <c r="C337" s="82">
        <f>IF(⑩盛付梱包工程入力!B31="","",⑩盛付梱包工程入力!B31)</f>
        <v/>
      </c>
      <c r="D337" s="9">
        <f>IF(B337="","",⑩盛付梱包工程入力!I31)</f>
        <v/>
      </c>
      <c r="E337" s="9">
        <f>IF(B337="","",⑩盛付梱包工程入力!G31)</f>
        <v/>
      </c>
      <c r="F337" s="9">
        <f>IF(B337="","",⑩盛付梱包工程入力!M31)</f>
        <v/>
      </c>
      <c r="G337" s="513">
        <f>IF(AND(ISNUMBER(D337),ISNUMBER(F337),D337&gt;0),F337/D337,"")</f>
        <v/>
      </c>
      <c r="H337" s="7" t="n">
        <v>0</v>
      </c>
      <c r="I337" s="9">
        <f>IF(ISNUMBER(F337),-F337-H337,"")</f>
        <v/>
      </c>
      <c r="J337" s="69">
        <f>IF(G337="","",IF(G337&gt;=300,"✕ 要改善",IF(G337&gt;=200,"△ 注意","○ 良好")))</f>
        <v/>
      </c>
      <c r="K337" s="70" t="n"/>
    </row>
    <row r="338" ht="14" customFormat="1" customHeight="1" s="456">
      <c r="A338" s="397" t="n"/>
      <c r="B338">
        <f>IF(⑩盛付梱包工程入力!C32="","",⑩盛付梱包工程入力!C32)</f>
        <v/>
      </c>
      <c r="C338">
        <f>IF(⑩盛付梱包工程入力!B32="","",⑩盛付梱包工程入力!B32)</f>
        <v/>
      </c>
      <c r="D338">
        <f>IF(B338="","",⑩盛付梱包工程入力!I32)</f>
        <v/>
      </c>
      <c r="E338">
        <f>IF(B338="","",⑩盛付梱包工程入力!G32)</f>
        <v/>
      </c>
      <c r="F338">
        <f>IF(B338="","",⑩盛付梱包工程入力!M32)</f>
        <v/>
      </c>
      <c r="G338">
        <f>IF(AND(ISNUMBER(D338),ISNUMBER(F338),D338&gt;0),F338/D338,"")</f>
        <v/>
      </c>
      <c r="H338" t="n">
        <v>0</v>
      </c>
      <c r="I338">
        <f>IF(ISNUMBER(F338),-F338-H338,"")</f>
        <v/>
      </c>
      <c r="J338">
        <f>IF(G338="","",IF(G338&gt;=300,"✕ 要改善",IF(G338&gt;=200,"△ 注意","○ 良好")))</f>
        <v/>
      </c>
    </row>
    <row r="339" customFormat="1" s="456">
      <c r="A339" s="66" t="n"/>
      <c r="B339" s="67">
        <f>IF(⑩盛付梱包工程入力!C33="","",⑩盛付梱包工程入力!C33)</f>
        <v/>
      </c>
      <c r="C339" s="82">
        <f>IF(⑩盛付梱包工程入力!B33="","",⑩盛付梱包工程入力!B33)</f>
        <v/>
      </c>
      <c r="D339" s="9">
        <f>IF(B339="","",⑩盛付梱包工程入力!I33)</f>
        <v/>
      </c>
      <c r="E339" s="9">
        <f>IF(B339="","",⑩盛付梱包工程入力!G33)</f>
        <v/>
      </c>
      <c r="F339" s="9">
        <f>IF(B339="","",⑩盛付梱包工程入力!M33)</f>
        <v/>
      </c>
      <c r="G339" s="513">
        <f>IF(AND(ISNUMBER(D339),ISNUMBER(F339),D339&gt;0),F339/D339,"")</f>
        <v/>
      </c>
      <c r="H339" s="7" t="n">
        <v>0</v>
      </c>
      <c r="I339" s="9">
        <f>IF(ISNUMBER(F339),-F339-H339,"")</f>
        <v/>
      </c>
      <c r="J339" s="69">
        <f>IF(G339="","",IF(G339&gt;=300,"✕ 要改善",IF(G339&gt;=200,"△ 注意","○ 良好")))</f>
        <v/>
      </c>
      <c r="K339" s="70" t="n"/>
    </row>
    <row r="340" ht="14" customFormat="1" customHeight="1" s="456">
      <c r="A340" s="397" t="n"/>
      <c r="B340">
        <f>IF(⑩盛付梱包工程入力!C34="","",⑩盛付梱包工程入力!C34)</f>
        <v/>
      </c>
      <c r="C340">
        <f>IF(⑩盛付梱包工程入力!B34="","",⑩盛付梱包工程入力!B34)</f>
        <v/>
      </c>
      <c r="D340">
        <f>IF(B340="","",⑩盛付梱包工程入力!I34)</f>
        <v/>
      </c>
      <c r="E340">
        <f>IF(B340="","",⑩盛付梱包工程入力!G34)</f>
        <v/>
      </c>
      <c r="F340">
        <f>IF(B340="","",⑩盛付梱包工程入力!M34)</f>
        <v/>
      </c>
      <c r="G340">
        <f>IF(AND(ISNUMBER(D340),ISNUMBER(F340),D340&gt;0),F340/D340,"")</f>
        <v/>
      </c>
      <c r="H340" t="n">
        <v>0</v>
      </c>
      <c r="I340">
        <f>IF(ISNUMBER(F340),-F340-H340,"")</f>
        <v/>
      </c>
      <c r="J340">
        <f>IF(G340="","",IF(G340&gt;=300,"✕ 要改善",IF(G340&gt;=200,"△ 注意","○ 良好")))</f>
        <v/>
      </c>
    </row>
    <row r="341" customFormat="1" s="456">
      <c r="A341" s="66" t="n"/>
      <c r="B341" s="67">
        <f>IF(⑩盛付梱包工程入力!C35="","",⑩盛付梱包工程入力!C35)</f>
        <v/>
      </c>
      <c r="C341" s="82">
        <f>IF(⑩盛付梱包工程入力!B35="","",⑩盛付梱包工程入力!B35)</f>
        <v/>
      </c>
      <c r="D341" s="9">
        <f>IF(B341="","",⑩盛付梱包工程入力!I35)</f>
        <v/>
      </c>
      <c r="E341" s="9">
        <f>IF(B341="","",⑩盛付梱包工程入力!G35)</f>
        <v/>
      </c>
      <c r="F341" s="9">
        <f>IF(B341="","",⑩盛付梱包工程入力!M35)</f>
        <v/>
      </c>
      <c r="G341" s="513">
        <f>IF(AND(ISNUMBER(D341),ISNUMBER(F341),D341&gt;0),F341/D341,"")</f>
        <v/>
      </c>
      <c r="H341" s="7" t="n">
        <v>0</v>
      </c>
      <c r="I341" s="9">
        <f>IF(ISNUMBER(F341),-F341-H341,"")</f>
        <v/>
      </c>
      <c r="J341" s="69">
        <f>IF(G341="","",IF(G341&gt;=300,"✕ 要改善",IF(G341&gt;=200,"△ 注意","○ 良好")))</f>
        <v/>
      </c>
      <c r="K341" s="70" t="n"/>
    </row>
    <row r="342" ht="14" customFormat="1" customHeight="1" s="456">
      <c r="A342" s="397" t="n"/>
      <c r="B342">
        <f>IF(⑩盛付梱包工程入力!C36="","",⑩盛付梱包工程入力!C36)</f>
        <v/>
      </c>
      <c r="C342">
        <f>IF(⑩盛付梱包工程入力!B36="","",⑩盛付梱包工程入力!B36)</f>
        <v/>
      </c>
      <c r="D342">
        <f>IF(B342="","",⑩盛付梱包工程入力!I36)</f>
        <v/>
      </c>
      <c r="E342">
        <f>IF(B342="","",⑩盛付梱包工程入力!G36)</f>
        <v/>
      </c>
      <c r="F342">
        <f>IF(B342="","",⑩盛付梱包工程入力!M36)</f>
        <v/>
      </c>
      <c r="G342">
        <f>IF(AND(ISNUMBER(D342),ISNUMBER(F342),D342&gt;0),F342/D342,"")</f>
        <v/>
      </c>
      <c r="H342" t="n">
        <v>0</v>
      </c>
      <c r="I342">
        <f>IF(ISNUMBER(F342),-F342-H342,"")</f>
        <v/>
      </c>
      <c r="J342">
        <f>IF(G342="","",IF(G342&gt;=300,"✕ 要改善",IF(G342&gt;=200,"△ 注意","○ 良好")))</f>
        <v/>
      </c>
    </row>
    <row r="343" customFormat="1" s="456">
      <c r="A343" s="66" t="n"/>
      <c r="B343" s="67">
        <f>IF(⑩盛付梱包工程入力!C37="","",⑩盛付梱包工程入力!C37)</f>
        <v/>
      </c>
      <c r="C343" s="82">
        <f>IF(⑩盛付梱包工程入力!B37="","",⑩盛付梱包工程入力!B37)</f>
        <v/>
      </c>
      <c r="D343" s="9">
        <f>IF(B343="","",⑩盛付梱包工程入力!I37)</f>
        <v/>
      </c>
      <c r="E343" s="9">
        <f>IF(B343="","",⑩盛付梱包工程入力!G37)</f>
        <v/>
      </c>
      <c r="F343" s="9">
        <f>IF(B343="","",⑩盛付梱包工程入力!M37)</f>
        <v/>
      </c>
      <c r="G343" s="513">
        <f>IF(AND(ISNUMBER(D343),ISNUMBER(F343),D343&gt;0),F343/D343,"")</f>
        <v/>
      </c>
      <c r="H343" s="7" t="n">
        <v>0</v>
      </c>
      <c r="I343" s="9">
        <f>IF(ISNUMBER(F343),-F343-H343,"")</f>
        <v/>
      </c>
      <c r="J343" s="69">
        <f>IF(G343="","",IF(G343&gt;=300,"✕ 要改善",IF(G343&gt;=200,"△ 注意","○ 良好")))</f>
        <v/>
      </c>
      <c r="K343" s="70" t="n"/>
    </row>
    <row r="344" ht="14" customFormat="1" customHeight="1" s="456">
      <c r="A344" s="397" t="n"/>
      <c r="B344">
        <f>IF(⑩盛付梱包工程入力!C38="","",⑩盛付梱包工程入力!C38)</f>
        <v/>
      </c>
      <c r="C344">
        <f>IF(⑩盛付梱包工程入力!B38="","",⑩盛付梱包工程入力!B38)</f>
        <v/>
      </c>
      <c r="D344">
        <f>IF(B344="","",⑩盛付梱包工程入力!I38)</f>
        <v/>
      </c>
      <c r="E344">
        <f>IF(B344="","",⑩盛付梱包工程入力!G38)</f>
        <v/>
      </c>
      <c r="F344">
        <f>IF(B344="","",⑩盛付梱包工程入力!M38)</f>
        <v/>
      </c>
      <c r="G344">
        <f>IF(AND(ISNUMBER(D344),ISNUMBER(F344),D344&gt;0),F344/D344,"")</f>
        <v/>
      </c>
      <c r="H344" t="n">
        <v>0</v>
      </c>
      <c r="I344">
        <f>IF(ISNUMBER(F344),-F344-H344,"")</f>
        <v/>
      </c>
      <c r="J344">
        <f>IF(G344="","",IF(G344&gt;=300,"✕ 要改善",IF(G344&gt;=200,"△ 注意","○ 良好")))</f>
        <v/>
      </c>
    </row>
    <row r="345" customFormat="1" s="456">
      <c r="A345" s="66" t="n"/>
      <c r="B345" s="67">
        <f>IF(⑩盛付梱包工程入力!C39="","",⑩盛付梱包工程入力!C39)</f>
        <v/>
      </c>
      <c r="C345" s="82">
        <f>IF(⑩盛付梱包工程入力!B39="","",⑩盛付梱包工程入力!B39)</f>
        <v/>
      </c>
      <c r="D345" s="9">
        <f>IF(B345="","",⑩盛付梱包工程入力!I39)</f>
        <v/>
      </c>
      <c r="E345" s="9">
        <f>IF(B345="","",⑩盛付梱包工程入力!G39)</f>
        <v/>
      </c>
      <c r="F345" s="9">
        <f>IF(B345="","",⑩盛付梱包工程入力!M39)</f>
        <v/>
      </c>
      <c r="G345" s="513">
        <f>IF(AND(ISNUMBER(D345),ISNUMBER(F345),D345&gt;0),F345/D345,"")</f>
        <v/>
      </c>
      <c r="H345" s="7" t="n">
        <v>0</v>
      </c>
      <c r="I345" s="9">
        <f>IF(ISNUMBER(F345),-F345-H345,"")</f>
        <v/>
      </c>
      <c r="J345" s="69">
        <f>IF(G345="","",IF(G345&gt;=300,"✕ 要改善",IF(G345&gt;=200,"△ 注意","○ 良好")))</f>
        <v/>
      </c>
      <c r="K345" s="70" t="n"/>
    </row>
    <row r="346" ht="14" customFormat="1" customHeight="1" s="456">
      <c r="A346" s="397" t="n"/>
      <c r="B346">
        <f>IF(⑩盛付梱包工程入力!C40="","",⑩盛付梱包工程入力!C40)</f>
        <v/>
      </c>
      <c r="C346">
        <f>IF(⑩盛付梱包工程入力!B40="","",⑩盛付梱包工程入力!B40)</f>
        <v/>
      </c>
      <c r="D346">
        <f>IF(B346="","",⑩盛付梱包工程入力!I40)</f>
        <v/>
      </c>
      <c r="E346">
        <f>IF(B346="","",⑩盛付梱包工程入力!G40)</f>
        <v/>
      </c>
      <c r="F346">
        <f>IF(B346="","",⑩盛付梱包工程入力!M40)</f>
        <v/>
      </c>
      <c r="G346">
        <f>IF(AND(ISNUMBER(D346),ISNUMBER(F346),D346&gt;0),F346/D346,"")</f>
        <v/>
      </c>
      <c r="H346" t="n">
        <v>0</v>
      </c>
      <c r="I346">
        <f>IF(ISNUMBER(F346),-F346-H346,"")</f>
        <v/>
      </c>
      <c r="J346">
        <f>IF(G346="","",IF(G346&gt;=300,"✕ 要改善",IF(G346&gt;=200,"△ 注意","○ 良好")))</f>
        <v/>
      </c>
    </row>
    <row r="347" customFormat="1" s="456">
      <c r="A347" s="66" t="n"/>
      <c r="B347" s="67">
        <f>IF(⑩盛付梱包工程入力!C41="","",⑩盛付梱包工程入力!C41)</f>
        <v/>
      </c>
      <c r="C347" s="82">
        <f>IF(⑩盛付梱包工程入力!B41="","",⑩盛付梱包工程入力!B41)</f>
        <v/>
      </c>
      <c r="D347" s="9">
        <f>IF(B347="","",⑩盛付梱包工程入力!I41)</f>
        <v/>
      </c>
      <c r="E347" s="9">
        <f>IF(B347="","",⑩盛付梱包工程入力!G41)</f>
        <v/>
      </c>
      <c r="F347" s="9">
        <f>IF(B347="","",⑩盛付梱包工程入力!M41)</f>
        <v/>
      </c>
      <c r="G347" s="513">
        <f>IF(AND(ISNUMBER(D347),ISNUMBER(F347),D347&gt;0),F347/D347,"")</f>
        <v/>
      </c>
      <c r="H347" s="7" t="n">
        <v>0</v>
      </c>
      <c r="I347" s="9">
        <f>IF(ISNUMBER(F347),-F347-H347,"")</f>
        <v/>
      </c>
      <c r="J347" s="69">
        <f>IF(G347="","",IF(G347&gt;=300,"✕ 要改善",IF(G347&gt;=200,"△ 注意","○ 良好")))</f>
        <v/>
      </c>
      <c r="K347" s="70" t="n"/>
    </row>
    <row r="348" ht="14" customFormat="1" customHeight="1" s="456">
      <c r="A348" s="397" t="n"/>
      <c r="B348">
        <f>IF(⑩盛付梱包工程入力!C42="","",⑩盛付梱包工程入力!C42)</f>
        <v/>
      </c>
      <c r="C348">
        <f>IF(⑩盛付梱包工程入力!B42="","",⑩盛付梱包工程入力!B42)</f>
        <v/>
      </c>
      <c r="D348">
        <f>IF(B348="","",⑩盛付梱包工程入力!I42)</f>
        <v/>
      </c>
      <c r="E348">
        <f>IF(B348="","",⑩盛付梱包工程入力!G42)</f>
        <v/>
      </c>
      <c r="F348">
        <f>IF(B348="","",⑩盛付梱包工程入力!M42)</f>
        <v/>
      </c>
      <c r="G348">
        <f>IF(AND(ISNUMBER(D348),ISNUMBER(F348),D348&gt;0),F348/D348,"")</f>
        <v/>
      </c>
      <c r="H348" t="n">
        <v>0</v>
      </c>
      <c r="I348">
        <f>IF(ISNUMBER(F348),-F348-H348,"")</f>
        <v/>
      </c>
      <c r="J348">
        <f>IF(G348="","",IF(G348&gt;=300,"✕ 要改善",IF(G348&gt;=200,"△ 注意","○ 良好")))</f>
        <v/>
      </c>
    </row>
    <row r="349" customFormat="1" s="456">
      <c r="A349" s="66" t="n"/>
      <c r="B349" s="67">
        <f>IF(⑩盛付梱包工程入力!C43="","",⑩盛付梱包工程入力!C43)</f>
        <v/>
      </c>
      <c r="C349" s="82">
        <f>IF(⑩盛付梱包工程入力!B43="","",⑩盛付梱包工程入力!B43)</f>
        <v/>
      </c>
      <c r="D349" s="9">
        <f>IF(B349="","",⑩盛付梱包工程入力!I43)</f>
        <v/>
      </c>
      <c r="E349" s="9">
        <f>IF(B349="","",⑩盛付梱包工程入力!G43)</f>
        <v/>
      </c>
      <c r="F349" s="9">
        <f>IF(B349="","",⑩盛付梱包工程入力!M43)</f>
        <v/>
      </c>
      <c r="G349" s="513">
        <f>IF(AND(ISNUMBER(D349),ISNUMBER(F349),D349&gt;0),F349/D349,"")</f>
        <v/>
      </c>
      <c r="H349" s="7" t="n">
        <v>0</v>
      </c>
      <c r="I349" s="9">
        <f>IF(ISNUMBER(F349),-F349-H349,"")</f>
        <v/>
      </c>
      <c r="J349" s="69">
        <f>IF(G349="","",IF(G349&gt;=300,"✕ 要改善",IF(G349&gt;=200,"△ 注意","○ 良好")))</f>
        <v/>
      </c>
      <c r="K349" s="70" t="n"/>
    </row>
    <row r="350" ht="14" customFormat="1" customHeight="1" s="456">
      <c r="A350" s="397" t="n"/>
      <c r="B350">
        <f>IF(⑩盛付梱包工程入力!C44="","",⑩盛付梱包工程入力!C44)</f>
        <v/>
      </c>
      <c r="C350">
        <f>IF(⑩盛付梱包工程入力!B44="","",⑩盛付梱包工程入力!B44)</f>
        <v/>
      </c>
      <c r="D350">
        <f>IF(B350="","",⑩盛付梱包工程入力!I44)</f>
        <v/>
      </c>
      <c r="E350">
        <f>IF(B350="","",⑩盛付梱包工程入力!G44)</f>
        <v/>
      </c>
      <c r="F350">
        <f>IF(B350="","",⑩盛付梱包工程入力!M44)</f>
        <v/>
      </c>
      <c r="G350">
        <f>IF(AND(ISNUMBER(D350),ISNUMBER(F350),D350&gt;0),F350/D350,"")</f>
        <v/>
      </c>
      <c r="H350" t="n">
        <v>0</v>
      </c>
      <c r="I350">
        <f>IF(ISNUMBER(F350),-F350-H350,"")</f>
        <v/>
      </c>
      <c r="J350">
        <f>IF(G350="","",IF(G350&gt;=300,"✕ 要改善",IF(G350&gt;=200,"△ 注意","○ 良好")))</f>
        <v/>
      </c>
    </row>
    <row r="351" customFormat="1" s="456">
      <c r="A351" s="66" t="n"/>
      <c r="B351" s="67">
        <f>IF(⑩盛付梱包工程入力!C45="","",⑩盛付梱包工程入力!C45)</f>
        <v/>
      </c>
      <c r="C351" s="82">
        <f>IF(⑩盛付梱包工程入力!B45="","",⑩盛付梱包工程入力!B45)</f>
        <v/>
      </c>
      <c r="D351" s="9">
        <f>IF(B351="","",⑩盛付梱包工程入力!I45)</f>
        <v/>
      </c>
      <c r="E351" s="9">
        <f>IF(B351="","",⑩盛付梱包工程入力!G45)</f>
        <v/>
      </c>
      <c r="F351" s="9">
        <f>IF(B351="","",⑩盛付梱包工程入力!M45)</f>
        <v/>
      </c>
      <c r="G351" s="513">
        <f>IF(AND(ISNUMBER(D351),ISNUMBER(F351),D351&gt;0),F351/D351,"")</f>
        <v/>
      </c>
      <c r="H351" s="7" t="n">
        <v>0</v>
      </c>
      <c r="I351" s="9">
        <f>IF(ISNUMBER(F351),-F351-H351,"")</f>
        <v/>
      </c>
      <c r="J351" s="69">
        <f>IF(G351="","",IF(G351&gt;=300,"✕ 要改善",IF(G351&gt;=200,"△ 注意","○ 良好")))</f>
        <v/>
      </c>
      <c r="K351" s="70" t="n"/>
    </row>
    <row r="352" ht="14" customFormat="1" customHeight="1" s="456">
      <c r="A352" s="397" t="n"/>
      <c r="B352">
        <f>IF(⑩盛付梱包工程入力!C46="","",⑩盛付梱包工程入力!C46)</f>
        <v/>
      </c>
      <c r="C352">
        <f>IF(⑩盛付梱包工程入力!B46="","",⑩盛付梱包工程入力!B46)</f>
        <v/>
      </c>
      <c r="D352">
        <f>IF(B352="","",⑩盛付梱包工程入力!I46)</f>
        <v/>
      </c>
      <c r="E352">
        <f>IF(B352="","",⑩盛付梱包工程入力!G46)</f>
        <v/>
      </c>
      <c r="F352">
        <f>IF(B352="","",⑩盛付梱包工程入力!M46)</f>
        <v/>
      </c>
      <c r="G352">
        <f>IF(AND(ISNUMBER(D352),ISNUMBER(F352),D352&gt;0),F352/D352,"")</f>
        <v/>
      </c>
      <c r="H352" t="n">
        <v>0</v>
      </c>
      <c r="I352">
        <f>IF(ISNUMBER(F352),-F352-H352,"")</f>
        <v/>
      </c>
      <c r="J352">
        <f>IF(G352="","",IF(G352&gt;=300,"✕ 要改善",IF(G352&gt;=200,"△ 注意","○ 良好")))</f>
        <v/>
      </c>
    </row>
    <row r="353" customFormat="1" s="456">
      <c r="A353" s="66" t="n"/>
      <c r="B353" s="67">
        <f>IF(⑩盛付梱包工程入力!C47="","",⑩盛付梱包工程入力!C47)</f>
        <v/>
      </c>
      <c r="C353" s="82">
        <f>IF(⑩盛付梱包工程入力!B47="","",⑩盛付梱包工程入力!B47)</f>
        <v/>
      </c>
      <c r="D353" s="9">
        <f>IF(B353="","",⑩盛付梱包工程入力!I47)</f>
        <v/>
      </c>
      <c r="E353" s="9">
        <f>IF(B353="","",⑩盛付梱包工程入力!G47)</f>
        <v/>
      </c>
      <c r="F353" s="9">
        <f>IF(B353="","",⑩盛付梱包工程入力!M47)</f>
        <v/>
      </c>
      <c r="G353" s="513">
        <f>IF(AND(ISNUMBER(D353),ISNUMBER(F353),D353&gt;0),F353/D353,"")</f>
        <v/>
      </c>
      <c r="H353" s="7" t="n">
        <v>0</v>
      </c>
      <c r="I353" s="9">
        <f>IF(ISNUMBER(F353),-F353-H353,"")</f>
        <v/>
      </c>
      <c r="J353" s="69">
        <f>IF(G353="","",IF(G353&gt;=300,"✕ 要改善",IF(G353&gt;=200,"△ 注意","○ 良好")))</f>
        <v/>
      </c>
      <c r="K353" s="70" t="n"/>
    </row>
    <row r="354" ht="14" customFormat="1" customHeight="1" s="456">
      <c r="A354" s="397" t="n"/>
      <c r="B354">
        <f>IF(⑩盛付梱包工程入力!C48="","",⑩盛付梱包工程入力!C48)</f>
        <v/>
      </c>
      <c r="C354">
        <f>IF(⑩盛付梱包工程入力!B48="","",⑩盛付梱包工程入力!B48)</f>
        <v/>
      </c>
      <c r="D354">
        <f>IF(B354="","",⑩盛付梱包工程入力!I48)</f>
        <v/>
      </c>
      <c r="E354">
        <f>IF(B354="","",⑩盛付梱包工程入力!G48)</f>
        <v/>
      </c>
      <c r="F354">
        <f>IF(B354="","",⑩盛付梱包工程入力!M48)</f>
        <v/>
      </c>
      <c r="G354">
        <f>IF(AND(ISNUMBER(D354),ISNUMBER(F354),D354&gt;0),F354/D354,"")</f>
        <v/>
      </c>
      <c r="H354" t="n">
        <v>0</v>
      </c>
      <c r="I354">
        <f>IF(ISNUMBER(F354),-F354-H354,"")</f>
        <v/>
      </c>
      <c r="J354">
        <f>IF(G354="","",IF(G354&gt;=300,"✕ 要改善",IF(G354&gt;=200,"△ 注意","○ 良好")))</f>
        <v/>
      </c>
    </row>
    <row r="355" customFormat="1" s="456">
      <c r="A355" s="66" t="n"/>
      <c r="B355" s="67">
        <f>IF(⑩盛付梱包工程入力!C49="","",⑩盛付梱包工程入力!C49)</f>
        <v/>
      </c>
      <c r="C355" s="82">
        <f>IF(⑩盛付梱包工程入力!B49="","",⑩盛付梱包工程入力!B49)</f>
        <v/>
      </c>
      <c r="D355" s="9">
        <f>IF(B355="","",⑩盛付梱包工程入力!I49)</f>
        <v/>
      </c>
      <c r="E355" s="9">
        <f>IF(B355="","",⑩盛付梱包工程入力!G49)</f>
        <v/>
      </c>
      <c r="F355" s="9">
        <f>IF(B355="","",⑩盛付梱包工程入力!M49)</f>
        <v/>
      </c>
      <c r="G355" s="513">
        <f>IF(AND(ISNUMBER(D355),ISNUMBER(F355),D355&gt;0),F355/D355,"")</f>
        <v/>
      </c>
      <c r="H355" s="7" t="n">
        <v>0</v>
      </c>
      <c r="I355" s="9">
        <f>IF(ISNUMBER(F355),-F355-H355,"")</f>
        <v/>
      </c>
      <c r="J355" s="69">
        <f>IF(G355="","",IF(G355&gt;=300,"✕ 要改善",IF(G355&gt;=200,"△ 注意","○ 良好")))</f>
        <v/>
      </c>
      <c r="K355" s="70" t="n"/>
    </row>
    <row r="356" ht="14" customFormat="1" customHeight="1" s="456">
      <c r="A356" s="397" t="n"/>
      <c r="B356">
        <f>IF(⑩盛付梱包工程入力!C50="","",⑩盛付梱包工程入力!C50)</f>
        <v/>
      </c>
      <c r="C356">
        <f>IF(⑩盛付梱包工程入力!B50="","",⑩盛付梱包工程入力!B50)</f>
        <v/>
      </c>
      <c r="D356">
        <f>IF(B356="","",⑩盛付梱包工程入力!I50)</f>
        <v/>
      </c>
      <c r="E356">
        <f>IF(B356="","",⑩盛付梱包工程入力!G50)</f>
        <v/>
      </c>
      <c r="F356">
        <f>IF(B356="","",⑩盛付梱包工程入力!M50)</f>
        <v/>
      </c>
      <c r="G356">
        <f>IF(AND(ISNUMBER(D356),ISNUMBER(F356),D356&gt;0),F356/D356,"")</f>
        <v/>
      </c>
      <c r="H356" t="n">
        <v>0</v>
      </c>
      <c r="I356">
        <f>IF(ISNUMBER(F356),-F356-H356,"")</f>
        <v/>
      </c>
      <c r="J356">
        <f>IF(G356="","",IF(G356&gt;=300,"✕ 要改善",IF(G356&gt;=200,"△ 注意","○ 良好")))</f>
        <v/>
      </c>
    </row>
    <row r="357" customFormat="1" s="456">
      <c r="A357" s="66" t="n"/>
      <c r="B357" s="67">
        <f>IF(⑩盛付梱包工程入力!C51="","",⑩盛付梱包工程入力!C51)</f>
        <v/>
      </c>
      <c r="C357" s="82">
        <f>IF(⑩盛付梱包工程入力!B51="","",⑩盛付梱包工程入力!B51)</f>
        <v/>
      </c>
      <c r="D357" s="9">
        <f>IF(B357="","",⑩盛付梱包工程入力!I51)</f>
        <v/>
      </c>
      <c r="E357" s="9">
        <f>IF(B357="","",⑩盛付梱包工程入力!G51)</f>
        <v/>
      </c>
      <c r="F357" s="9">
        <f>IF(B357="","",⑩盛付梱包工程入力!M51)</f>
        <v/>
      </c>
      <c r="G357" s="513">
        <f>IF(AND(ISNUMBER(D357),ISNUMBER(F357),D357&gt;0),F357/D357,"")</f>
        <v/>
      </c>
      <c r="H357" s="7" t="n">
        <v>0</v>
      </c>
      <c r="I357" s="9">
        <f>IF(ISNUMBER(F357),-F357-H357,"")</f>
        <v/>
      </c>
      <c r="J357" s="69">
        <f>IF(G357="","",IF(G357&gt;=300,"✕ 要改善",IF(G357&gt;=200,"△ 注意","○ 良好")))</f>
        <v/>
      </c>
      <c r="K357" s="70" t="n"/>
    </row>
    <row r="358" ht="14" customFormat="1" customHeight="1" s="456">
      <c r="A358" s="397" t="n"/>
      <c r="B358">
        <f>IF(⑩盛付梱包工程入力!C52="","",⑩盛付梱包工程入力!C52)</f>
        <v/>
      </c>
      <c r="C358">
        <f>IF(⑩盛付梱包工程入力!B52="","",⑩盛付梱包工程入力!B52)</f>
        <v/>
      </c>
      <c r="D358">
        <f>IF(B358="","",⑩盛付梱包工程入力!I52)</f>
        <v/>
      </c>
      <c r="E358">
        <f>IF(B358="","",⑩盛付梱包工程入力!G52)</f>
        <v/>
      </c>
      <c r="F358">
        <f>IF(B358="","",⑩盛付梱包工程入力!M52)</f>
        <v/>
      </c>
      <c r="G358">
        <f>IF(AND(ISNUMBER(D358),ISNUMBER(F358),D358&gt;0),F358/D358,"")</f>
        <v/>
      </c>
      <c r="H358" t="n">
        <v>0</v>
      </c>
      <c r="I358">
        <f>IF(ISNUMBER(F358),-F358-H358,"")</f>
        <v/>
      </c>
      <c r="J358">
        <f>IF(G358="","",IF(G358&gt;=300,"✕ 要改善",IF(G358&gt;=200,"△ 注意","○ 良好")))</f>
        <v/>
      </c>
    </row>
    <row r="359" customFormat="1" s="456">
      <c r="A359" s="66" t="n"/>
      <c r="B359" s="67">
        <f>IF(⑩盛付梱包工程入力!C53="","",⑩盛付梱包工程入力!C53)</f>
        <v/>
      </c>
      <c r="C359" s="82">
        <f>IF(⑩盛付梱包工程入力!B53="","",⑩盛付梱包工程入力!B53)</f>
        <v/>
      </c>
      <c r="D359" s="9">
        <f>IF(B359="","",⑩盛付梱包工程入力!I53)</f>
        <v/>
      </c>
      <c r="E359" s="9">
        <f>IF(B359="","",⑩盛付梱包工程入力!G53)</f>
        <v/>
      </c>
      <c r="F359" s="9">
        <f>IF(B359="","",⑩盛付梱包工程入力!M53)</f>
        <v/>
      </c>
      <c r="G359" s="513">
        <f>IF(AND(ISNUMBER(D359),ISNUMBER(F359),D359&gt;0),F359/D359,"")</f>
        <v/>
      </c>
      <c r="H359" s="7" t="n">
        <v>0</v>
      </c>
      <c r="I359" s="9">
        <f>IF(ISNUMBER(F359),-F359-H359,"")</f>
        <v/>
      </c>
      <c r="J359" s="69">
        <f>IF(G359="","",IF(G359&gt;=300,"✕ 要改善",IF(G359&gt;=200,"△ 注意","○ 良好")))</f>
        <v/>
      </c>
      <c r="K359" s="70" t="n"/>
    </row>
    <row r="360" ht="14" customFormat="1" customHeight="1" s="456">
      <c r="A360" s="397" t="n"/>
      <c r="B360">
        <f>IF(⑩盛付梱包工程入力!C54="","",⑩盛付梱包工程入力!C54)</f>
        <v/>
      </c>
      <c r="C360">
        <f>IF(⑩盛付梱包工程入力!B54="","",⑩盛付梱包工程入力!B54)</f>
        <v/>
      </c>
      <c r="D360">
        <f>IF(B360="","",⑩盛付梱包工程入力!I54)</f>
        <v/>
      </c>
      <c r="E360">
        <f>IF(B360="","",⑩盛付梱包工程入力!G54)</f>
        <v/>
      </c>
      <c r="F360">
        <f>IF(B360="","",⑩盛付梱包工程入力!M54)</f>
        <v/>
      </c>
      <c r="G360">
        <f>IF(AND(ISNUMBER(D360),ISNUMBER(F360),D360&gt;0),F360/D360,"")</f>
        <v/>
      </c>
      <c r="H360" t="n">
        <v>0</v>
      </c>
      <c r="I360">
        <f>IF(ISNUMBER(F360),-F360-H360,"")</f>
        <v/>
      </c>
      <c r="J360">
        <f>IF(G360="","",IF(G360&gt;=300,"✕ 要改善",IF(G360&gt;=200,"△ 注意","○ 良好")))</f>
        <v/>
      </c>
    </row>
    <row r="361" customFormat="1" s="456">
      <c r="A361" s="66" t="n"/>
      <c r="B361" s="67">
        <f>IF(⑩盛付梱包工程入力!C55="","",⑩盛付梱包工程入力!C55)</f>
        <v/>
      </c>
      <c r="C361" s="82">
        <f>IF(⑩盛付梱包工程入力!B55="","",⑩盛付梱包工程入力!B55)</f>
        <v/>
      </c>
      <c r="D361" s="9">
        <f>IF(B361="","",⑩盛付梱包工程入力!I55)</f>
        <v/>
      </c>
      <c r="E361" s="9">
        <f>IF(B361="","",⑩盛付梱包工程入力!G55)</f>
        <v/>
      </c>
      <c r="F361" s="9">
        <f>IF(B361="","",⑩盛付梱包工程入力!M55)</f>
        <v/>
      </c>
      <c r="G361" s="513">
        <f>IF(AND(ISNUMBER(D361),ISNUMBER(F361),D361&gt;0),F361/D361,"")</f>
        <v/>
      </c>
      <c r="H361" s="7" t="n">
        <v>0</v>
      </c>
      <c r="I361" s="9">
        <f>IF(ISNUMBER(F361),-F361-H361,"")</f>
        <v/>
      </c>
      <c r="J361" s="69">
        <f>IF(G361="","",IF(G361&gt;=300,"✕ 要改善",IF(G361&gt;=200,"△ 注意","○ 良好")))</f>
        <v/>
      </c>
      <c r="K361" s="70" t="n"/>
    </row>
    <row r="362" ht="14" customFormat="1" customHeight="1" s="456">
      <c r="A362" s="397" t="n"/>
      <c r="B362">
        <f>IF(⑩盛付梱包工程入力!C56="","",⑩盛付梱包工程入力!C56)</f>
        <v/>
      </c>
      <c r="C362">
        <f>IF(⑩盛付梱包工程入力!B56="","",⑩盛付梱包工程入力!B56)</f>
        <v/>
      </c>
      <c r="D362">
        <f>IF(B362="","",⑩盛付梱包工程入力!I56)</f>
        <v/>
      </c>
      <c r="E362">
        <f>IF(B362="","",⑩盛付梱包工程入力!G56)</f>
        <v/>
      </c>
      <c r="F362">
        <f>IF(B362="","",⑩盛付梱包工程入力!M56)</f>
        <v/>
      </c>
      <c r="G362">
        <f>IF(AND(ISNUMBER(D362),ISNUMBER(F362),D362&gt;0),F362/D362,"")</f>
        <v/>
      </c>
      <c r="H362" t="n">
        <v>0</v>
      </c>
      <c r="I362">
        <f>IF(ISNUMBER(F362),-F362-H362,"")</f>
        <v/>
      </c>
      <c r="J362">
        <f>IF(G362="","",IF(G362&gt;=300,"✕ 要改善",IF(G362&gt;=200,"△ 注意","○ 良好")))</f>
        <v/>
      </c>
    </row>
    <row r="363" customFormat="1" s="456">
      <c r="A363" s="66" t="n"/>
      <c r="B363" s="67">
        <f>IF(⑩盛付梱包工程入力!C57="","",⑩盛付梱包工程入力!C57)</f>
        <v/>
      </c>
      <c r="C363" s="82">
        <f>IF(⑩盛付梱包工程入力!B57="","",⑩盛付梱包工程入力!B57)</f>
        <v/>
      </c>
      <c r="D363" s="9">
        <f>IF(B363="","",⑩盛付梱包工程入力!I57)</f>
        <v/>
      </c>
      <c r="E363" s="9">
        <f>IF(B363="","",⑩盛付梱包工程入力!G57)</f>
        <v/>
      </c>
      <c r="F363" s="9">
        <f>IF(B363="","",⑩盛付梱包工程入力!M57)</f>
        <v/>
      </c>
      <c r="G363" s="513">
        <f>IF(AND(ISNUMBER(D363),ISNUMBER(F363),D363&gt;0),F363/D363,"")</f>
        <v/>
      </c>
      <c r="H363" s="7" t="n">
        <v>0</v>
      </c>
      <c r="I363" s="9">
        <f>IF(ISNUMBER(F363),-F363-H363,"")</f>
        <v/>
      </c>
      <c r="J363" s="69">
        <f>IF(G363="","",IF(G363&gt;=300,"✕ 要改善",IF(G363&gt;=200,"△ 注意","○ 良好")))</f>
        <v/>
      </c>
      <c r="K363" s="70" t="n"/>
    </row>
    <row r="364" ht="14" customFormat="1" customHeight="1" s="456">
      <c r="A364" s="397" t="n"/>
      <c r="B364">
        <f>IF(⑩盛付梱包工程入力!C58="","",⑩盛付梱包工程入力!C58)</f>
        <v/>
      </c>
      <c r="C364">
        <f>IF(⑩盛付梱包工程入力!B58="","",⑩盛付梱包工程入力!B58)</f>
        <v/>
      </c>
      <c r="D364">
        <f>IF(B364="","",⑩盛付梱包工程入力!I58)</f>
        <v/>
      </c>
      <c r="E364">
        <f>IF(B364="","",⑩盛付梱包工程入力!G58)</f>
        <v/>
      </c>
      <c r="F364">
        <f>IF(B364="","",⑩盛付梱包工程入力!M58)</f>
        <v/>
      </c>
      <c r="G364">
        <f>IF(AND(ISNUMBER(D364),ISNUMBER(F364),D364&gt;0),F364/D364,"")</f>
        <v/>
      </c>
      <c r="H364" t="n">
        <v>0</v>
      </c>
      <c r="I364">
        <f>IF(ISNUMBER(F364),-F364-H364,"")</f>
        <v/>
      </c>
      <c r="J364">
        <f>IF(G364="","",IF(G364&gt;=300,"✕ 要改善",IF(G364&gt;=200,"△ 注意","○ 良好")))</f>
        <v/>
      </c>
    </row>
    <row r="365" customFormat="1" s="456">
      <c r="A365" s="66" t="n"/>
      <c r="B365" s="67">
        <f>IF(⑩盛付梱包工程入力!C59="","",⑩盛付梱包工程入力!C59)</f>
        <v/>
      </c>
      <c r="C365" s="82">
        <f>IF(⑩盛付梱包工程入力!B59="","",⑩盛付梱包工程入力!B59)</f>
        <v/>
      </c>
      <c r="D365" s="9">
        <f>IF(B365="","",⑩盛付梱包工程入力!I59)</f>
        <v/>
      </c>
      <c r="E365" s="9">
        <f>IF(B365="","",⑩盛付梱包工程入力!G59)</f>
        <v/>
      </c>
      <c r="F365" s="9">
        <f>IF(B365="","",⑩盛付梱包工程入力!M59)</f>
        <v/>
      </c>
      <c r="G365" s="513">
        <f>IF(AND(ISNUMBER(D365),ISNUMBER(F365),D365&gt;0),F365/D365,"")</f>
        <v/>
      </c>
      <c r="H365" s="7" t="n">
        <v>0</v>
      </c>
      <c r="I365" s="9">
        <f>IF(ISNUMBER(F365),-F365-H365,"")</f>
        <v/>
      </c>
      <c r="J365" s="69">
        <f>IF(G365="","",IF(G365&gt;=300,"✕ 要改善",IF(G365&gt;=200,"△ 注意","○ 良好")))</f>
        <v/>
      </c>
      <c r="K365" s="70" t="n"/>
    </row>
    <row r="366" ht="14" customFormat="1" customHeight="1" s="456">
      <c r="A366" s="397" t="n"/>
      <c r="B366">
        <f>IF(⑩盛付梱包工程入力!C60="","",⑩盛付梱包工程入力!C60)</f>
        <v/>
      </c>
      <c r="C366">
        <f>IF(⑩盛付梱包工程入力!B60="","",⑩盛付梱包工程入力!B60)</f>
        <v/>
      </c>
      <c r="D366">
        <f>IF(B366="","",⑩盛付梱包工程入力!I60)</f>
        <v/>
      </c>
      <c r="E366">
        <f>IF(B366="","",⑩盛付梱包工程入力!G60)</f>
        <v/>
      </c>
      <c r="F366">
        <f>IF(B366="","",⑩盛付梱包工程入力!M60)</f>
        <v/>
      </c>
      <c r="G366">
        <f>IF(AND(ISNUMBER(D366),ISNUMBER(F366),D366&gt;0),F366/D366,"")</f>
        <v/>
      </c>
      <c r="H366" t="n">
        <v>0</v>
      </c>
      <c r="I366">
        <f>IF(ISNUMBER(F366),-F366-H366,"")</f>
        <v/>
      </c>
      <c r="J366">
        <f>IF(G366="","",IF(G366&gt;=300,"✕ 要改善",IF(G366&gt;=200,"△ 注意","○ 良好")))</f>
        <v/>
      </c>
    </row>
    <row r="367" customFormat="1" s="456">
      <c r="A367" s="66" t="n"/>
      <c r="B367" s="67">
        <f>IF(⑩盛付梱包工程入力!C61="","",⑩盛付梱包工程入力!C61)</f>
        <v/>
      </c>
      <c r="C367" s="82">
        <f>IF(⑩盛付梱包工程入力!B61="","",⑩盛付梱包工程入力!B61)</f>
        <v/>
      </c>
      <c r="D367" s="9">
        <f>IF(B367="","",⑩盛付梱包工程入力!I61)</f>
        <v/>
      </c>
      <c r="E367" s="9">
        <f>IF(B367="","",⑩盛付梱包工程入力!G61)</f>
        <v/>
      </c>
      <c r="F367" s="9">
        <f>IF(B367="","",⑩盛付梱包工程入力!M61)</f>
        <v/>
      </c>
      <c r="G367" s="513">
        <f>IF(AND(ISNUMBER(D367),ISNUMBER(F367),D367&gt;0),F367/D367,"")</f>
        <v/>
      </c>
      <c r="H367" s="7" t="n">
        <v>0</v>
      </c>
      <c r="I367" s="9">
        <f>IF(ISNUMBER(F367),-F367-H367,"")</f>
        <v/>
      </c>
      <c r="J367" s="69">
        <f>IF(G367="","",IF(G367&gt;=300,"✕ 要改善",IF(G367&gt;=200,"△ 注意","○ 良好")))</f>
        <v/>
      </c>
      <c r="K367" s="70" t="n"/>
    </row>
    <row r="368" ht="14" customFormat="1" customHeight="1" s="456">
      <c r="A368" s="397" t="n"/>
      <c r="B368">
        <f>IF(⑩盛付梱包工程入力!C62="","",⑩盛付梱包工程入力!C62)</f>
        <v/>
      </c>
      <c r="C368">
        <f>IF(⑩盛付梱包工程入力!B62="","",⑩盛付梱包工程入力!B62)</f>
        <v/>
      </c>
      <c r="D368">
        <f>IF(B368="","",⑩盛付梱包工程入力!I62)</f>
        <v/>
      </c>
      <c r="E368">
        <f>IF(B368="","",⑩盛付梱包工程入力!G62)</f>
        <v/>
      </c>
      <c r="F368">
        <f>IF(B368="","",⑩盛付梱包工程入力!M62)</f>
        <v/>
      </c>
      <c r="G368">
        <f>IF(AND(ISNUMBER(D368),ISNUMBER(F368),D368&gt;0),F368/D368,"")</f>
        <v/>
      </c>
      <c r="H368" t="n">
        <v>0</v>
      </c>
      <c r="I368">
        <f>IF(ISNUMBER(F368),-F368-H368,"")</f>
        <v/>
      </c>
      <c r="J368">
        <f>IF(G368="","",IF(G368&gt;=300,"✕ 要改善",IF(G368&gt;=200,"△ 注意","○ 良好")))</f>
        <v/>
      </c>
    </row>
    <row r="369" customFormat="1" s="456">
      <c r="A369" s="66" t="n"/>
      <c r="B369" s="67">
        <f>IF(⑩盛付梱包工程入力!C63="","",⑩盛付梱包工程入力!C63)</f>
        <v/>
      </c>
      <c r="C369" s="82">
        <f>IF(⑩盛付梱包工程入力!B63="","",⑩盛付梱包工程入力!B63)</f>
        <v/>
      </c>
      <c r="D369" s="9">
        <f>IF(B369="","",⑩盛付梱包工程入力!I63)</f>
        <v/>
      </c>
      <c r="E369" s="9">
        <f>IF(B369="","",⑩盛付梱包工程入力!G63)</f>
        <v/>
      </c>
      <c r="F369" s="9">
        <f>IF(B369="","",⑩盛付梱包工程入力!M63)</f>
        <v/>
      </c>
      <c r="G369" s="513">
        <f>IF(AND(ISNUMBER(D369),ISNUMBER(F369),D369&gt;0),F369/D369,"")</f>
        <v/>
      </c>
      <c r="H369" s="7" t="n">
        <v>0</v>
      </c>
      <c r="I369" s="9">
        <f>IF(ISNUMBER(F369),-F369-H369,"")</f>
        <v/>
      </c>
      <c r="J369" s="69">
        <f>IF(G369="","",IF(G369&gt;=300,"✕ 要改善",IF(G369&gt;=200,"△ 注意","○ 良好")))</f>
        <v/>
      </c>
      <c r="K369" s="70" t="n"/>
    </row>
    <row r="370" ht="14" customFormat="1" customHeight="1" s="456">
      <c r="A370" s="397" t="n"/>
      <c r="B370">
        <f>IF(⑩盛付梱包工程入力!C64="","",⑩盛付梱包工程入力!C64)</f>
        <v/>
      </c>
      <c r="C370">
        <f>IF(⑩盛付梱包工程入力!B64="","",⑩盛付梱包工程入力!B64)</f>
        <v/>
      </c>
      <c r="D370">
        <f>IF(B370="","",⑩盛付梱包工程入力!I64)</f>
        <v/>
      </c>
      <c r="E370">
        <f>IF(B370="","",⑩盛付梱包工程入力!G64)</f>
        <v/>
      </c>
      <c r="F370">
        <f>IF(B370="","",⑩盛付梱包工程入力!M64)</f>
        <v/>
      </c>
      <c r="G370">
        <f>IF(AND(ISNUMBER(D370),ISNUMBER(F370),D370&gt;0),F370/D370,"")</f>
        <v/>
      </c>
      <c r="H370" t="n">
        <v>0</v>
      </c>
      <c r="I370">
        <f>IF(ISNUMBER(F370),-F370-H370,"")</f>
        <v/>
      </c>
      <c r="J370">
        <f>IF(G370="","",IF(G370&gt;=300,"✕ 要改善",IF(G370&gt;=200,"△ 注意","○ 良好")))</f>
        <v/>
      </c>
    </row>
    <row r="371" customFormat="1" s="456">
      <c r="A371" s="66" t="n"/>
      <c r="B371" s="67">
        <f>IF(⑩盛付梱包工程入力!C65="","",⑩盛付梱包工程入力!C65)</f>
        <v/>
      </c>
      <c r="C371" s="82">
        <f>IF(⑩盛付梱包工程入力!B65="","",⑩盛付梱包工程入力!B65)</f>
        <v/>
      </c>
      <c r="D371" s="9">
        <f>IF(B371="","",⑩盛付梱包工程入力!I65)</f>
        <v/>
      </c>
      <c r="E371" s="9">
        <f>IF(B371="","",⑩盛付梱包工程入力!G65)</f>
        <v/>
      </c>
      <c r="F371" s="9">
        <f>IF(B371="","",⑩盛付梱包工程入力!M65)</f>
        <v/>
      </c>
      <c r="G371" s="513">
        <f>IF(AND(ISNUMBER(D371),ISNUMBER(F371),D371&gt;0),F371/D371,"")</f>
        <v/>
      </c>
      <c r="H371" s="7" t="n">
        <v>0</v>
      </c>
      <c r="I371" s="9">
        <f>IF(ISNUMBER(F371),-F371-H371,"")</f>
        <v/>
      </c>
      <c r="J371" s="69">
        <f>IF(G371="","",IF(G371&gt;=300,"✕ 要改善",IF(G371&gt;=200,"△ 注意","○ 良好")))</f>
        <v/>
      </c>
      <c r="K371" s="70" t="n"/>
    </row>
    <row r="372" ht="14" customFormat="1" customHeight="1" s="456">
      <c r="A372" s="397" t="n"/>
      <c r="B372">
        <f>IF(⑩盛付梱包工程入力!C66="","",⑩盛付梱包工程入力!C66)</f>
        <v/>
      </c>
      <c r="C372">
        <f>IF(⑩盛付梱包工程入力!B66="","",⑩盛付梱包工程入力!B66)</f>
        <v/>
      </c>
      <c r="D372">
        <f>IF(B372="","",⑩盛付梱包工程入力!I66)</f>
        <v/>
      </c>
      <c r="E372">
        <f>IF(B372="","",⑩盛付梱包工程入力!G66)</f>
        <v/>
      </c>
      <c r="F372">
        <f>IF(B372="","",⑩盛付梱包工程入力!M66)</f>
        <v/>
      </c>
      <c r="G372">
        <f>IF(AND(ISNUMBER(D372),ISNUMBER(F372),D372&gt;0),F372/D372,"")</f>
        <v/>
      </c>
      <c r="H372" t="n">
        <v>0</v>
      </c>
      <c r="I372">
        <f>IF(ISNUMBER(F372),-F372-H372,"")</f>
        <v/>
      </c>
      <c r="J372">
        <f>IF(G372="","",IF(G372&gt;=300,"✕ 要改善",IF(G372&gt;=200,"△ 注意","○ 良好")))</f>
        <v/>
      </c>
    </row>
    <row r="373" customFormat="1" s="456">
      <c r="A373" s="66" t="n"/>
      <c r="B373" s="67">
        <f>IF(⑩盛付梱包工程入力!C67="","",⑩盛付梱包工程入力!C67)</f>
        <v/>
      </c>
      <c r="C373" s="82">
        <f>IF(⑩盛付梱包工程入力!B67="","",⑩盛付梱包工程入力!B67)</f>
        <v/>
      </c>
      <c r="D373" s="9">
        <f>IF(B373="","",⑩盛付梱包工程入力!I67)</f>
        <v/>
      </c>
      <c r="E373" s="9">
        <f>IF(B373="","",⑩盛付梱包工程入力!G67)</f>
        <v/>
      </c>
      <c r="F373" s="9">
        <f>IF(B373="","",⑩盛付梱包工程入力!M67)</f>
        <v/>
      </c>
      <c r="G373" s="513">
        <f>IF(AND(ISNUMBER(D373),ISNUMBER(F373),D373&gt;0),F373/D373,"")</f>
        <v/>
      </c>
      <c r="H373" s="7" t="n">
        <v>0</v>
      </c>
      <c r="I373" s="9">
        <f>IF(ISNUMBER(F373),-F373-H373,"")</f>
        <v/>
      </c>
      <c r="J373" s="69">
        <f>IF(G373="","",IF(G373&gt;=300,"✕ 要改善",IF(G373&gt;=200,"△ 注意","○ 良好")))</f>
        <v/>
      </c>
      <c r="K373" s="70" t="n"/>
    </row>
    <row r="374" ht="14" customFormat="1" customHeight="1" s="456">
      <c r="A374" s="397" t="n"/>
      <c r="B374">
        <f>IF(⑩盛付梱包工程入力!C68="","",⑩盛付梱包工程入力!C68)</f>
        <v/>
      </c>
      <c r="C374">
        <f>IF(⑩盛付梱包工程入力!B68="","",⑩盛付梱包工程入力!B68)</f>
        <v/>
      </c>
      <c r="D374">
        <f>IF(B374="","",⑩盛付梱包工程入力!I68)</f>
        <v/>
      </c>
      <c r="E374">
        <f>IF(B374="","",⑩盛付梱包工程入力!G68)</f>
        <v/>
      </c>
      <c r="F374">
        <f>IF(B374="","",⑩盛付梱包工程入力!M68)</f>
        <v/>
      </c>
      <c r="G374">
        <f>IF(AND(ISNUMBER(D374),ISNUMBER(F374),D374&gt;0),F374/D374,"")</f>
        <v/>
      </c>
      <c r="H374" t="n">
        <v>0</v>
      </c>
      <c r="I374">
        <f>IF(ISNUMBER(F374),-F374-H374,"")</f>
        <v/>
      </c>
      <c r="J374">
        <f>IF(G374="","",IF(G374&gt;=300,"✕ 要改善",IF(G374&gt;=200,"△ 注意","○ 良好")))</f>
        <v/>
      </c>
    </row>
    <row r="375" customFormat="1" s="456">
      <c r="A375" s="66" t="n"/>
      <c r="B375" s="67">
        <f>IF(⑩盛付梱包工程入力!C69="","",⑩盛付梱包工程入力!C69)</f>
        <v/>
      </c>
      <c r="C375" s="82">
        <f>IF(⑩盛付梱包工程入力!B69="","",⑩盛付梱包工程入力!B69)</f>
        <v/>
      </c>
      <c r="D375" s="9">
        <f>IF(B375="","",⑩盛付梱包工程入力!I69)</f>
        <v/>
      </c>
      <c r="E375" s="9">
        <f>IF(B375="","",⑩盛付梱包工程入力!G69)</f>
        <v/>
      </c>
      <c r="F375" s="9">
        <f>IF(B375="","",⑩盛付梱包工程入力!M69)</f>
        <v/>
      </c>
      <c r="G375" s="513">
        <f>IF(AND(ISNUMBER(D375),ISNUMBER(F375),D375&gt;0),F375/D375,"")</f>
        <v/>
      </c>
      <c r="H375" s="7" t="n">
        <v>0</v>
      </c>
      <c r="I375" s="9">
        <f>IF(ISNUMBER(F375),-F375-H375,"")</f>
        <v/>
      </c>
      <c r="J375" s="69">
        <f>IF(G375="","",IF(G375&gt;=300,"✕ 要改善",IF(G375&gt;=200,"△ 注意","○ 良好")))</f>
        <v/>
      </c>
      <c r="K375" s="70" t="n"/>
    </row>
    <row r="376" ht="14" customFormat="1" customHeight="1" s="456">
      <c r="A376" s="397" t="n"/>
      <c r="B376">
        <f>IF(⑩盛付梱包工程入力!C70="","",⑩盛付梱包工程入力!C70)</f>
        <v/>
      </c>
      <c r="C376">
        <f>IF(⑩盛付梱包工程入力!B70="","",⑩盛付梱包工程入力!B70)</f>
        <v/>
      </c>
      <c r="D376">
        <f>IF(B376="","",⑩盛付梱包工程入力!I70)</f>
        <v/>
      </c>
      <c r="E376">
        <f>IF(B376="","",⑩盛付梱包工程入力!G70)</f>
        <v/>
      </c>
      <c r="F376">
        <f>IF(B376="","",⑩盛付梱包工程入力!M70)</f>
        <v/>
      </c>
      <c r="G376">
        <f>IF(AND(ISNUMBER(D376),ISNUMBER(F376),D376&gt;0),F376/D376,"")</f>
        <v/>
      </c>
      <c r="H376" t="n">
        <v>0</v>
      </c>
      <c r="I376">
        <f>IF(ISNUMBER(F376),-F376-H376,"")</f>
        <v/>
      </c>
      <c r="J376">
        <f>IF(G376="","",IF(G376&gt;=300,"✕ 要改善",IF(G376&gt;=200,"△ 注意","○ 良好")))</f>
        <v/>
      </c>
    </row>
    <row r="377" customFormat="1" s="456">
      <c r="A377" s="66" t="n"/>
      <c r="B377" s="67">
        <f>IF(⑩盛付梱包工程入力!C71="","",⑩盛付梱包工程入力!C71)</f>
        <v/>
      </c>
      <c r="C377" s="82">
        <f>IF(⑩盛付梱包工程入力!B71="","",⑩盛付梱包工程入力!B71)</f>
        <v/>
      </c>
      <c r="D377" s="9">
        <f>IF(B377="","",⑩盛付梱包工程入力!I71)</f>
        <v/>
      </c>
      <c r="E377" s="9">
        <f>IF(B377="","",⑩盛付梱包工程入力!G71)</f>
        <v/>
      </c>
      <c r="F377" s="9">
        <f>IF(B377="","",⑩盛付梱包工程入力!M71)</f>
        <v/>
      </c>
      <c r="G377" s="513">
        <f>IF(AND(ISNUMBER(D377),ISNUMBER(F377),D377&gt;0),F377/D377,"")</f>
        <v/>
      </c>
      <c r="H377" s="7" t="n">
        <v>0</v>
      </c>
      <c r="I377" s="9">
        <f>IF(ISNUMBER(F377),-F377-H377,"")</f>
        <v/>
      </c>
      <c r="J377" s="69">
        <f>IF(G377="","",IF(G377&gt;=300,"✕ 要改善",IF(G377&gt;=200,"△ 注意","○ 良好")))</f>
        <v/>
      </c>
      <c r="K377" s="70" t="n"/>
    </row>
    <row r="378" ht="14" customFormat="1" customHeight="1" s="456">
      <c r="A378" s="397" t="n"/>
      <c r="B378">
        <f>IF(⑩盛付梱包工程入力!C72="","",⑩盛付梱包工程入力!C72)</f>
        <v/>
      </c>
      <c r="C378">
        <f>IF(⑩盛付梱包工程入力!B72="","",⑩盛付梱包工程入力!B72)</f>
        <v/>
      </c>
      <c r="D378">
        <f>IF(B378="","",⑩盛付梱包工程入力!I72)</f>
        <v/>
      </c>
      <c r="E378">
        <f>IF(B378="","",⑩盛付梱包工程入力!G72)</f>
        <v/>
      </c>
      <c r="F378">
        <f>IF(B378="","",⑩盛付梱包工程入力!M72)</f>
        <v/>
      </c>
      <c r="G378">
        <f>IF(AND(ISNUMBER(D378),ISNUMBER(F378),D378&gt;0),F378/D378,"")</f>
        <v/>
      </c>
      <c r="H378" t="n">
        <v>0</v>
      </c>
      <c r="I378">
        <f>IF(ISNUMBER(F378),-F378-H378,"")</f>
        <v/>
      </c>
      <c r="J378">
        <f>IF(G378="","",IF(G378&gt;=300,"✕ 要改善",IF(G378&gt;=200,"△ 注意","○ 良好")))</f>
        <v/>
      </c>
    </row>
    <row r="379" customFormat="1" s="456">
      <c r="A379" s="66" t="n"/>
      <c r="B379" s="67">
        <f>IF(⑩盛付梱包工程入力!C73="","",⑩盛付梱包工程入力!C73)</f>
        <v/>
      </c>
      <c r="C379" s="82">
        <f>IF(⑩盛付梱包工程入力!B73="","",⑩盛付梱包工程入力!B73)</f>
        <v/>
      </c>
      <c r="D379" s="9">
        <f>IF(B379="","",⑩盛付梱包工程入力!I73)</f>
        <v/>
      </c>
      <c r="E379" s="9">
        <f>IF(B379="","",⑩盛付梱包工程入力!G73)</f>
        <v/>
      </c>
      <c r="F379" s="9">
        <f>IF(B379="","",⑩盛付梱包工程入力!M73)</f>
        <v/>
      </c>
      <c r="G379" s="513">
        <f>IF(AND(ISNUMBER(D379),ISNUMBER(F379),D379&gt;0),F379/D379,"")</f>
        <v/>
      </c>
      <c r="H379" s="7" t="n">
        <v>0</v>
      </c>
      <c r="I379" s="9">
        <f>IF(ISNUMBER(F379),-F379-H379,"")</f>
        <v/>
      </c>
      <c r="J379" s="69">
        <f>IF(G379="","",IF(G379&gt;=300,"✕ 要改善",IF(G379&gt;=200,"△ 注意","○ 良好")))</f>
        <v/>
      </c>
      <c r="K379" s="70" t="n"/>
    </row>
    <row r="380" ht="14" customFormat="1" customHeight="1" s="456">
      <c r="A380" s="397" t="n"/>
      <c r="B380">
        <f>IF(⑩盛付梱包工程入力!C74="","",⑩盛付梱包工程入力!C74)</f>
        <v/>
      </c>
      <c r="C380">
        <f>IF(⑩盛付梱包工程入力!B74="","",⑩盛付梱包工程入力!B74)</f>
        <v/>
      </c>
      <c r="D380">
        <f>IF(B380="","",⑩盛付梱包工程入力!I74)</f>
        <v/>
      </c>
      <c r="E380">
        <f>IF(B380="","",⑩盛付梱包工程入力!G74)</f>
        <v/>
      </c>
      <c r="F380">
        <f>IF(B380="","",⑩盛付梱包工程入力!M74)</f>
        <v/>
      </c>
      <c r="G380">
        <f>IF(AND(ISNUMBER(D380),ISNUMBER(F380),D380&gt;0),F380/D380,"")</f>
        <v/>
      </c>
      <c r="H380" t="n">
        <v>0</v>
      </c>
      <c r="I380">
        <f>IF(ISNUMBER(F380),-F380-H380,"")</f>
        <v/>
      </c>
      <c r="J380">
        <f>IF(G380="","",IF(G380&gt;=300,"✕ 要改善",IF(G380&gt;=200,"△ 注意","○ 良好")))</f>
        <v/>
      </c>
    </row>
    <row r="381" customFormat="1" s="456">
      <c r="A381" s="66" t="n"/>
      <c r="B381" s="67">
        <f>IF(⑩盛付梱包工程入力!C75="","",⑩盛付梱包工程入力!C75)</f>
        <v/>
      </c>
      <c r="C381" s="82">
        <f>IF(⑩盛付梱包工程入力!B75="","",⑩盛付梱包工程入力!B75)</f>
        <v/>
      </c>
      <c r="D381" s="9">
        <f>IF(B381="","",⑩盛付梱包工程入力!I75)</f>
        <v/>
      </c>
      <c r="E381" s="9">
        <f>IF(B381="","",⑩盛付梱包工程入力!G75)</f>
        <v/>
      </c>
      <c r="F381" s="9">
        <f>IF(B381="","",⑩盛付梱包工程入力!M75)</f>
        <v/>
      </c>
      <c r="G381" s="513">
        <f>IF(AND(ISNUMBER(D381),ISNUMBER(F381),D381&gt;0),F381/D381,"")</f>
        <v/>
      </c>
      <c r="H381" s="7" t="n">
        <v>0</v>
      </c>
      <c r="I381" s="9">
        <f>IF(ISNUMBER(F381),-F381-H381,"")</f>
        <v/>
      </c>
      <c r="J381" s="69">
        <f>IF(G381="","",IF(G381&gt;=300,"✕ 要改善",IF(G381&gt;=200,"△ 注意","○ 良好")))</f>
        <v/>
      </c>
      <c r="K381" s="70" t="n"/>
    </row>
    <row r="382" ht="14" customFormat="1" customHeight="1" s="456">
      <c r="A382" s="397" t="n"/>
      <c r="B382">
        <f>IF(⑩盛付梱包工程入力!C76="","",⑩盛付梱包工程入力!C76)</f>
        <v/>
      </c>
      <c r="C382">
        <f>IF(⑩盛付梱包工程入力!B76="","",⑩盛付梱包工程入力!B76)</f>
        <v/>
      </c>
      <c r="D382">
        <f>IF(B382="","",⑩盛付梱包工程入力!I76)</f>
        <v/>
      </c>
      <c r="E382">
        <f>IF(B382="","",⑩盛付梱包工程入力!G76)</f>
        <v/>
      </c>
      <c r="F382">
        <f>IF(B382="","",⑩盛付梱包工程入力!M76)</f>
        <v/>
      </c>
      <c r="G382">
        <f>IF(AND(ISNUMBER(D382),ISNUMBER(F382),D382&gt;0),F382/D382,"")</f>
        <v/>
      </c>
      <c r="H382" t="n">
        <v>0</v>
      </c>
      <c r="I382">
        <f>IF(ISNUMBER(F382),-F382-H382,"")</f>
        <v/>
      </c>
      <c r="J382">
        <f>IF(G382="","",IF(G382&gt;=300,"✕ 要改善",IF(G382&gt;=200,"△ 注意","○ 良好")))</f>
        <v/>
      </c>
    </row>
    <row r="383" customFormat="1" s="456">
      <c r="A383" s="66" t="n"/>
      <c r="B383" s="67">
        <f>IF(⑩盛付梱包工程入力!C77="","",⑩盛付梱包工程入力!C77)</f>
        <v/>
      </c>
      <c r="C383" s="82">
        <f>IF(⑩盛付梱包工程入力!B77="","",⑩盛付梱包工程入力!B77)</f>
        <v/>
      </c>
      <c r="D383" s="9">
        <f>IF(B383="","",⑩盛付梱包工程入力!I77)</f>
        <v/>
      </c>
      <c r="E383" s="9">
        <f>IF(B383="","",⑩盛付梱包工程入力!G77)</f>
        <v/>
      </c>
      <c r="F383" s="9">
        <f>IF(B383="","",⑩盛付梱包工程入力!M77)</f>
        <v/>
      </c>
      <c r="G383" s="513">
        <f>IF(AND(ISNUMBER(D383),ISNUMBER(F383),D383&gt;0),F383/D383,"")</f>
        <v/>
      </c>
      <c r="H383" s="7" t="n">
        <v>0</v>
      </c>
      <c r="I383" s="9">
        <f>IF(ISNUMBER(F383),-F383-H383,"")</f>
        <v/>
      </c>
      <c r="J383" s="69">
        <f>IF(G383="","",IF(G383&gt;=300,"✕ 要改善",IF(G383&gt;=200,"△ 注意","○ 良好")))</f>
        <v/>
      </c>
      <c r="K383" s="70" t="n"/>
    </row>
    <row r="384" ht="14" customFormat="1" customHeight="1" s="456">
      <c r="A384" s="397" t="n"/>
      <c r="B384">
        <f>IF(⑩盛付梱包工程入力!C78="","",⑩盛付梱包工程入力!C78)</f>
        <v/>
      </c>
      <c r="C384">
        <f>IF(⑩盛付梱包工程入力!B78="","",⑩盛付梱包工程入力!B78)</f>
        <v/>
      </c>
      <c r="D384">
        <f>IF(B384="","",⑩盛付梱包工程入力!I78)</f>
        <v/>
      </c>
      <c r="E384">
        <f>IF(B384="","",⑩盛付梱包工程入力!G78)</f>
        <v/>
      </c>
      <c r="F384">
        <f>IF(B384="","",⑩盛付梱包工程入力!M78)</f>
        <v/>
      </c>
      <c r="G384">
        <f>IF(AND(ISNUMBER(D384),ISNUMBER(F384),D384&gt;0),F384/D384,"")</f>
        <v/>
      </c>
      <c r="H384" t="n">
        <v>0</v>
      </c>
      <c r="I384">
        <f>IF(ISNUMBER(F384),-F384-H384,"")</f>
        <v/>
      </c>
      <c r="J384">
        <f>IF(G384="","",IF(G384&gt;=300,"✕ 要改善",IF(G384&gt;=200,"△ 注意","○ 良好")))</f>
        <v/>
      </c>
    </row>
    <row r="385" customFormat="1" s="456">
      <c r="A385" s="66" t="n"/>
      <c r="B385" s="67">
        <f>IF(⑩盛付梱包工程入力!C79="","",⑩盛付梱包工程入力!C79)</f>
        <v/>
      </c>
      <c r="C385" s="82">
        <f>IF(⑩盛付梱包工程入力!B79="","",⑩盛付梱包工程入力!B79)</f>
        <v/>
      </c>
      <c r="D385" s="9">
        <f>IF(B385="","",⑩盛付梱包工程入力!I79)</f>
        <v/>
      </c>
      <c r="E385" s="9">
        <f>IF(B385="","",⑩盛付梱包工程入力!G79)</f>
        <v/>
      </c>
      <c r="F385" s="9">
        <f>IF(B385="","",⑩盛付梱包工程入力!M79)</f>
        <v/>
      </c>
      <c r="G385" s="513">
        <f>IF(AND(ISNUMBER(D385),ISNUMBER(F385),D385&gt;0),F385/D385,"")</f>
        <v/>
      </c>
      <c r="H385" s="7" t="n">
        <v>0</v>
      </c>
      <c r="I385" s="9">
        <f>IF(ISNUMBER(F385),-F385-H385,"")</f>
        <v/>
      </c>
      <c r="J385" s="69">
        <f>IF(G385="","",IF(G385&gt;=300,"✕ 要改善",IF(G385&gt;=200,"△ 注意","○ 良好")))</f>
        <v/>
      </c>
      <c r="K385" s="70" t="n"/>
    </row>
    <row r="386" ht="14" customFormat="1" customHeight="1" s="456">
      <c r="A386" s="397" t="n"/>
      <c r="B386">
        <f>IF(⑩盛付梱包工程入力!C80="","",⑩盛付梱包工程入力!C80)</f>
        <v/>
      </c>
      <c r="C386">
        <f>IF(⑩盛付梱包工程入力!B80="","",⑩盛付梱包工程入力!B80)</f>
        <v/>
      </c>
      <c r="D386">
        <f>IF(B386="","",⑩盛付梱包工程入力!I80)</f>
        <v/>
      </c>
      <c r="E386">
        <f>IF(B386="","",⑩盛付梱包工程入力!G80)</f>
        <v/>
      </c>
      <c r="F386">
        <f>IF(B386="","",⑩盛付梱包工程入力!M80)</f>
        <v/>
      </c>
      <c r="G386">
        <f>IF(AND(ISNUMBER(D386),ISNUMBER(F386),D386&gt;0),F386/D386,"")</f>
        <v/>
      </c>
      <c r="H386" t="n">
        <v>0</v>
      </c>
      <c r="I386">
        <f>IF(ISNUMBER(F386),-F386-H386,"")</f>
        <v/>
      </c>
      <c r="J386">
        <f>IF(G386="","",IF(G386&gt;=300,"✕ 要改善",IF(G386&gt;=200,"△ 注意","○ 良好")))</f>
        <v/>
      </c>
    </row>
    <row r="387" customFormat="1" s="456">
      <c r="A387" s="66" t="n"/>
      <c r="B387" s="67">
        <f>IF(⑩盛付梱包工程入力!C81="","",⑩盛付梱包工程入力!C81)</f>
        <v/>
      </c>
      <c r="C387" s="82">
        <f>IF(⑩盛付梱包工程入力!B81="","",⑩盛付梱包工程入力!B81)</f>
        <v/>
      </c>
      <c r="D387" s="9">
        <f>IF(B387="","",⑩盛付梱包工程入力!I81)</f>
        <v/>
      </c>
      <c r="E387" s="9">
        <f>IF(B387="","",⑩盛付梱包工程入力!G81)</f>
        <v/>
      </c>
      <c r="F387" s="9">
        <f>IF(B387="","",⑩盛付梱包工程入力!M81)</f>
        <v/>
      </c>
      <c r="G387" s="513">
        <f>IF(AND(ISNUMBER(D387),ISNUMBER(F387),D387&gt;0),F387/D387,"")</f>
        <v/>
      </c>
      <c r="H387" s="7" t="n">
        <v>0</v>
      </c>
      <c r="I387" s="9">
        <f>IF(ISNUMBER(F387),-F387-H387,"")</f>
        <v/>
      </c>
      <c r="J387" s="69">
        <f>IF(G387="","",IF(G387&gt;=300,"✕ 要改善",IF(G387&gt;=200,"△ 注意","○ 良好")))</f>
        <v/>
      </c>
      <c r="K387" s="70" t="n"/>
    </row>
    <row r="388" ht="14" customFormat="1" customHeight="1" s="456">
      <c r="A388" s="397" t="n"/>
      <c r="B388">
        <f>IF(⑩盛付梱包工程入力!C82="","",⑩盛付梱包工程入力!C82)</f>
        <v/>
      </c>
      <c r="C388">
        <f>IF(⑩盛付梱包工程入力!B82="","",⑩盛付梱包工程入力!B82)</f>
        <v/>
      </c>
      <c r="D388">
        <f>IF(B388="","",⑩盛付梱包工程入力!I82)</f>
        <v/>
      </c>
      <c r="E388">
        <f>IF(B388="","",⑩盛付梱包工程入力!G82)</f>
        <v/>
      </c>
      <c r="F388">
        <f>IF(B388="","",⑩盛付梱包工程入力!M82)</f>
        <v/>
      </c>
      <c r="G388">
        <f>IF(AND(ISNUMBER(D388),ISNUMBER(F388),D388&gt;0),F388/D388,"")</f>
        <v/>
      </c>
      <c r="H388" t="n">
        <v>0</v>
      </c>
      <c r="I388">
        <f>IF(ISNUMBER(F388),-F388-H388,"")</f>
        <v/>
      </c>
      <c r="J388">
        <f>IF(G388="","",IF(G388&gt;=300,"✕ 要改善",IF(G388&gt;=200,"△ 注意","○ 良好")))</f>
        <v/>
      </c>
    </row>
    <row r="389" customFormat="1" s="456">
      <c r="A389" s="66" t="n"/>
      <c r="B389" s="67">
        <f>IF(⑩盛付梱包工程入力!C83="","",⑩盛付梱包工程入力!C83)</f>
        <v/>
      </c>
      <c r="C389" s="82">
        <f>IF(⑩盛付梱包工程入力!B83="","",⑩盛付梱包工程入力!B83)</f>
        <v/>
      </c>
      <c r="D389" s="9">
        <f>IF(B389="","",⑩盛付梱包工程入力!I83)</f>
        <v/>
      </c>
      <c r="E389" s="9">
        <f>IF(B389="","",⑩盛付梱包工程入力!G83)</f>
        <v/>
      </c>
      <c r="F389" s="9">
        <f>IF(B389="","",⑩盛付梱包工程入力!M83)</f>
        <v/>
      </c>
      <c r="G389" s="513">
        <f>IF(AND(ISNUMBER(D389),ISNUMBER(F389),D389&gt;0),F389/D389,"")</f>
        <v/>
      </c>
      <c r="H389" s="7" t="n">
        <v>0</v>
      </c>
      <c r="I389" s="9">
        <f>IF(ISNUMBER(F389),-F389-H389,"")</f>
        <v/>
      </c>
      <c r="J389" s="69">
        <f>IF(G389="","",IF(G389&gt;=300,"✕ 要改善",IF(G389&gt;=200,"△ 注意","○ 良好")))</f>
        <v/>
      </c>
      <c r="K389" s="70" t="n"/>
    </row>
    <row r="390" ht="14" customFormat="1" customHeight="1" s="456">
      <c r="A390" s="397" t="n"/>
      <c r="B390">
        <f>IF(⑩盛付梱包工程入力!C84="","",⑩盛付梱包工程入力!C84)</f>
        <v/>
      </c>
      <c r="C390">
        <f>IF(⑩盛付梱包工程入力!B84="","",⑩盛付梱包工程入力!B84)</f>
        <v/>
      </c>
      <c r="D390">
        <f>IF(B390="","",⑩盛付梱包工程入力!I84)</f>
        <v/>
      </c>
      <c r="E390">
        <f>IF(B390="","",⑩盛付梱包工程入力!G84)</f>
        <v/>
      </c>
      <c r="F390">
        <f>IF(B390="","",⑩盛付梱包工程入力!M84)</f>
        <v/>
      </c>
      <c r="G390">
        <f>IF(AND(ISNUMBER(D390),ISNUMBER(F390),D390&gt;0),F390/D390,"")</f>
        <v/>
      </c>
      <c r="H390" t="n">
        <v>0</v>
      </c>
      <c r="I390">
        <f>IF(ISNUMBER(F390),-F390-H390,"")</f>
        <v/>
      </c>
      <c r="J390">
        <f>IF(G390="","",IF(G390&gt;=300,"✕ 要改善",IF(G390&gt;=200,"△ 注意","○ 良好")))</f>
        <v/>
      </c>
    </row>
    <row r="391" customFormat="1" s="456">
      <c r="A391" s="66" t="n"/>
      <c r="B391" s="67">
        <f>IF(⑩盛付梱包工程入力!C85="","",⑩盛付梱包工程入力!C85)</f>
        <v/>
      </c>
      <c r="C391" s="82">
        <f>IF(⑩盛付梱包工程入力!B85="","",⑩盛付梱包工程入力!B85)</f>
        <v/>
      </c>
      <c r="D391" s="9">
        <f>IF(B391="","",⑩盛付梱包工程入力!I85)</f>
        <v/>
      </c>
      <c r="E391" s="9">
        <f>IF(B391="","",⑩盛付梱包工程入力!G85)</f>
        <v/>
      </c>
      <c r="F391" s="9">
        <f>IF(B391="","",⑩盛付梱包工程入力!M85)</f>
        <v/>
      </c>
      <c r="G391" s="513">
        <f>IF(AND(ISNUMBER(D391),ISNUMBER(F391),D391&gt;0),F391/D391,"")</f>
        <v/>
      </c>
      <c r="H391" s="7" t="n">
        <v>0</v>
      </c>
      <c r="I391" s="9">
        <f>IF(ISNUMBER(F391),-F391-H391,"")</f>
        <v/>
      </c>
      <c r="J391" s="69">
        <f>IF(G391="","",IF(G391&gt;=300,"✕ 要改善",IF(G391&gt;=200,"△ 注意","○ 良好")))</f>
        <v/>
      </c>
      <c r="K391" s="70" t="n"/>
    </row>
    <row r="392" ht="14" customFormat="1" customHeight="1" s="456">
      <c r="A392" s="397" t="n"/>
      <c r="B392">
        <f>IF(⑩盛付梱包工程入力!C86="","",⑩盛付梱包工程入力!C86)</f>
        <v/>
      </c>
      <c r="C392">
        <f>IF(⑩盛付梱包工程入力!B86="","",⑩盛付梱包工程入力!B86)</f>
        <v/>
      </c>
      <c r="D392">
        <f>IF(B392="","",⑩盛付梱包工程入力!I86)</f>
        <v/>
      </c>
      <c r="E392">
        <f>IF(B392="","",⑩盛付梱包工程入力!G86)</f>
        <v/>
      </c>
      <c r="F392">
        <f>IF(B392="","",⑩盛付梱包工程入力!M86)</f>
        <v/>
      </c>
      <c r="G392">
        <f>IF(AND(ISNUMBER(D392),ISNUMBER(F392),D392&gt;0),F392/D392,"")</f>
        <v/>
      </c>
      <c r="H392" t="n">
        <v>0</v>
      </c>
      <c r="I392">
        <f>IF(ISNUMBER(F392),-F392-H392,"")</f>
        <v/>
      </c>
      <c r="J392">
        <f>IF(G392="","",IF(G392&gt;=300,"✕ 要改善",IF(G392&gt;=200,"△ 注意","○ 良好")))</f>
        <v/>
      </c>
    </row>
    <row r="393" customFormat="1" s="456">
      <c r="A393" s="66" t="n"/>
      <c r="B393" s="67">
        <f>IF(⑩盛付梱包工程入力!C87="","",⑩盛付梱包工程入力!C87)</f>
        <v/>
      </c>
      <c r="C393" s="82">
        <f>IF(⑩盛付梱包工程入力!B87="","",⑩盛付梱包工程入力!B87)</f>
        <v/>
      </c>
      <c r="D393" s="9">
        <f>IF(B393="","",⑩盛付梱包工程入力!I87)</f>
        <v/>
      </c>
      <c r="E393" s="9">
        <f>IF(B393="","",⑩盛付梱包工程入力!G87)</f>
        <v/>
      </c>
      <c r="F393" s="9">
        <f>IF(B393="","",⑩盛付梱包工程入力!M87)</f>
        <v/>
      </c>
      <c r="G393" s="513">
        <f>IF(AND(ISNUMBER(D393),ISNUMBER(F393),D393&gt;0),F393/D393,"")</f>
        <v/>
      </c>
      <c r="H393" s="7" t="n">
        <v>0</v>
      </c>
      <c r="I393" s="9">
        <f>IF(ISNUMBER(F393),-F393-H393,"")</f>
        <v/>
      </c>
      <c r="J393" s="69">
        <f>IF(G393="","",IF(G393&gt;=300,"✕ 要改善",IF(G393&gt;=200,"△ 注意","○ 良好")))</f>
        <v/>
      </c>
      <c r="K393" s="70" t="n"/>
    </row>
    <row r="394" ht="14" customFormat="1" customHeight="1" s="456">
      <c r="A394" s="397" t="n"/>
      <c r="B394">
        <f>IF(⑩盛付梱包工程入力!C88="","",⑩盛付梱包工程入力!C88)</f>
        <v/>
      </c>
      <c r="C394">
        <f>IF(⑩盛付梱包工程入力!B88="","",⑩盛付梱包工程入力!B88)</f>
        <v/>
      </c>
      <c r="D394">
        <f>IF(B394="","",⑩盛付梱包工程入力!I88)</f>
        <v/>
      </c>
      <c r="E394">
        <f>IF(B394="","",⑩盛付梱包工程入力!G88)</f>
        <v/>
      </c>
      <c r="F394">
        <f>IF(B394="","",⑩盛付梱包工程入力!M88)</f>
        <v/>
      </c>
      <c r="G394">
        <f>IF(AND(ISNUMBER(D394),ISNUMBER(F394),D394&gt;0),F394/D394,"")</f>
        <v/>
      </c>
      <c r="H394" t="n">
        <v>0</v>
      </c>
      <c r="I394">
        <f>IF(ISNUMBER(F394),-F394-H394,"")</f>
        <v/>
      </c>
      <c r="J394">
        <f>IF(G394="","",IF(G394&gt;=300,"✕ 要改善",IF(G394&gt;=200,"△ 注意","○ 良好")))</f>
        <v/>
      </c>
    </row>
    <row r="395" customFormat="1" s="456">
      <c r="A395" s="66" t="n"/>
      <c r="B395" s="67">
        <f>IF(⑩盛付梱包工程入力!C89="","",⑩盛付梱包工程入力!C89)</f>
        <v/>
      </c>
      <c r="C395" s="82">
        <f>IF(⑩盛付梱包工程入力!B89="","",⑩盛付梱包工程入力!B89)</f>
        <v/>
      </c>
      <c r="D395" s="9">
        <f>IF(B395="","",⑩盛付梱包工程入力!I89)</f>
        <v/>
      </c>
      <c r="E395" s="9">
        <f>IF(B395="","",⑩盛付梱包工程入力!G89)</f>
        <v/>
      </c>
      <c r="F395" s="9">
        <f>IF(B395="","",⑩盛付梱包工程入力!M89)</f>
        <v/>
      </c>
      <c r="G395" s="513">
        <f>IF(AND(ISNUMBER(D395),ISNUMBER(F395),D395&gt;0),F395/D395,"")</f>
        <v/>
      </c>
      <c r="H395" s="7" t="n">
        <v>0</v>
      </c>
      <c r="I395" s="9">
        <f>IF(ISNUMBER(F395),-F395-H395,"")</f>
        <v/>
      </c>
      <c r="J395" s="69">
        <f>IF(G395="","",IF(G395&gt;=300,"✕ 要改善",IF(G395&gt;=200,"△ 注意","○ 良好")))</f>
        <v/>
      </c>
      <c r="K395" s="70" t="n"/>
    </row>
    <row r="396" ht="14" customFormat="1" customHeight="1" s="456">
      <c r="A396" s="397" t="n"/>
      <c r="B396">
        <f>IF(⑩盛付梱包工程入力!C90="","",⑩盛付梱包工程入力!C90)</f>
        <v/>
      </c>
      <c r="C396">
        <f>IF(⑩盛付梱包工程入力!B90="","",⑩盛付梱包工程入力!B90)</f>
        <v/>
      </c>
      <c r="D396">
        <f>IF(B396="","",⑩盛付梱包工程入力!I90)</f>
        <v/>
      </c>
      <c r="E396">
        <f>IF(B396="","",⑩盛付梱包工程入力!G90)</f>
        <v/>
      </c>
      <c r="F396">
        <f>IF(B396="","",⑩盛付梱包工程入力!M90)</f>
        <v/>
      </c>
      <c r="G396">
        <f>IF(AND(ISNUMBER(D396),ISNUMBER(F396),D396&gt;0),F396/D396,"")</f>
        <v/>
      </c>
      <c r="H396" t="n">
        <v>0</v>
      </c>
      <c r="I396">
        <f>IF(ISNUMBER(F396),-F396-H396,"")</f>
        <v/>
      </c>
      <c r="J396">
        <f>IF(G396="","",IF(G396&gt;=300,"✕ 要改善",IF(G396&gt;=200,"△ 注意","○ 良好")))</f>
        <v/>
      </c>
    </row>
    <row r="397" customFormat="1" s="456">
      <c r="A397" s="66" t="n"/>
      <c r="B397" s="67">
        <f>IF(⑩盛付梱包工程入力!C91="","",⑩盛付梱包工程入力!C91)</f>
        <v/>
      </c>
      <c r="C397" s="82">
        <f>IF(⑩盛付梱包工程入力!B91="","",⑩盛付梱包工程入力!B91)</f>
        <v/>
      </c>
      <c r="D397" s="9">
        <f>IF(B397="","",⑩盛付梱包工程入力!I91)</f>
        <v/>
      </c>
      <c r="E397" s="9">
        <f>IF(B397="","",⑩盛付梱包工程入力!G91)</f>
        <v/>
      </c>
      <c r="F397" s="9">
        <f>IF(B397="","",⑩盛付梱包工程入力!M91)</f>
        <v/>
      </c>
      <c r="G397" s="513">
        <f>IF(AND(ISNUMBER(D397),ISNUMBER(F397),D397&gt;0),F397/D397,"")</f>
        <v/>
      </c>
      <c r="H397" s="7" t="n">
        <v>0</v>
      </c>
      <c r="I397" s="9">
        <f>IF(ISNUMBER(F397),-F397-H397,"")</f>
        <v/>
      </c>
      <c r="J397" s="69">
        <f>IF(G397="","",IF(G397&gt;=300,"✕ 要改善",IF(G397&gt;=200,"△ 注意","○ 良好")))</f>
        <v/>
      </c>
      <c r="K397" s="70" t="n"/>
    </row>
    <row r="398" ht="14" customFormat="1" customHeight="1" s="456">
      <c r="A398" s="397" t="n"/>
      <c r="B398">
        <f>IF(⑩盛付梱包工程入力!C92="","",⑩盛付梱包工程入力!C92)</f>
        <v/>
      </c>
      <c r="C398">
        <f>IF(⑩盛付梱包工程入力!B92="","",⑩盛付梱包工程入力!B92)</f>
        <v/>
      </c>
      <c r="D398">
        <f>IF(B398="","",⑩盛付梱包工程入力!I92)</f>
        <v/>
      </c>
      <c r="E398">
        <f>IF(B398="","",⑩盛付梱包工程入力!G92)</f>
        <v/>
      </c>
      <c r="F398">
        <f>IF(B398="","",⑩盛付梱包工程入力!M92)</f>
        <v/>
      </c>
      <c r="G398">
        <f>IF(AND(ISNUMBER(D398),ISNUMBER(F398),D398&gt;0),F398/D398,"")</f>
        <v/>
      </c>
      <c r="H398" t="n">
        <v>0</v>
      </c>
      <c r="I398">
        <f>IF(ISNUMBER(F398),-F398-H398,"")</f>
        <v/>
      </c>
      <c r="J398">
        <f>IF(G398="","",IF(G398&gt;=300,"✕ 要改善",IF(G398&gt;=200,"△ 注意","○ 良好")))</f>
        <v/>
      </c>
    </row>
    <row r="399" customFormat="1" s="456">
      <c r="A399" s="66" t="n"/>
      <c r="B399" s="67">
        <f>IF(⑩盛付梱包工程入力!C93="","",⑩盛付梱包工程入力!C93)</f>
        <v/>
      </c>
      <c r="C399" s="82">
        <f>IF(⑩盛付梱包工程入力!B93="","",⑩盛付梱包工程入力!B93)</f>
        <v/>
      </c>
      <c r="D399" s="9">
        <f>IF(B399="","",⑩盛付梱包工程入力!I93)</f>
        <v/>
      </c>
      <c r="E399" s="9">
        <f>IF(B399="","",⑩盛付梱包工程入力!G93)</f>
        <v/>
      </c>
      <c r="F399" s="9">
        <f>IF(B399="","",⑩盛付梱包工程入力!M93)</f>
        <v/>
      </c>
      <c r="G399" s="513">
        <f>IF(AND(ISNUMBER(D399),ISNUMBER(F399),D399&gt;0),F399/D399,"")</f>
        <v/>
      </c>
      <c r="H399" s="7" t="n">
        <v>0</v>
      </c>
      <c r="I399" s="9">
        <f>IF(ISNUMBER(F399),-F399-H399,"")</f>
        <v/>
      </c>
      <c r="J399" s="69">
        <f>IF(G399="","",IF(G399&gt;=300,"✕ 要改善",IF(G399&gt;=200,"△ 注意","○ 良好")))</f>
        <v/>
      </c>
      <c r="K399" s="70" t="n"/>
    </row>
    <row r="400" ht="14" customFormat="1" customHeight="1" s="456">
      <c r="A400" s="397" t="n"/>
      <c r="B400">
        <f>IF(⑩盛付梱包工程入力!C94="","",⑩盛付梱包工程入力!C94)</f>
        <v/>
      </c>
      <c r="C400">
        <f>IF(⑩盛付梱包工程入力!B94="","",⑩盛付梱包工程入力!B94)</f>
        <v/>
      </c>
      <c r="D400">
        <f>IF(B400="","",⑩盛付梱包工程入力!I94)</f>
        <v/>
      </c>
      <c r="E400">
        <f>IF(B400="","",⑩盛付梱包工程入力!G94)</f>
        <v/>
      </c>
      <c r="F400">
        <f>IF(B400="","",⑩盛付梱包工程入力!M94)</f>
        <v/>
      </c>
      <c r="G400">
        <f>IF(AND(ISNUMBER(D400),ISNUMBER(F400),D400&gt;0),F400/D400,"")</f>
        <v/>
      </c>
      <c r="H400" t="n">
        <v>0</v>
      </c>
      <c r="I400">
        <f>IF(ISNUMBER(F400),-F400-H400,"")</f>
        <v/>
      </c>
      <c r="J400">
        <f>IF(G400="","",IF(G400&gt;=300,"✕ 要改善",IF(G400&gt;=200,"△ 注意","○ 良好")))</f>
        <v/>
      </c>
    </row>
    <row r="401" customFormat="1" s="456">
      <c r="A401" s="66" t="n"/>
      <c r="B401" s="67">
        <f>IF(⑩盛付梱包工程入力!C95="","",⑩盛付梱包工程入力!C95)</f>
        <v/>
      </c>
      <c r="C401" s="82">
        <f>IF(⑩盛付梱包工程入力!B95="","",⑩盛付梱包工程入力!B95)</f>
        <v/>
      </c>
      <c r="D401" s="9">
        <f>IF(B401="","",⑩盛付梱包工程入力!I95)</f>
        <v/>
      </c>
      <c r="E401" s="9">
        <f>IF(B401="","",⑩盛付梱包工程入力!G95)</f>
        <v/>
      </c>
      <c r="F401" s="9">
        <f>IF(B401="","",⑩盛付梱包工程入力!M95)</f>
        <v/>
      </c>
      <c r="G401" s="513">
        <f>IF(AND(ISNUMBER(D401),ISNUMBER(F401),D401&gt;0),F401/D401,"")</f>
        <v/>
      </c>
      <c r="H401" s="7" t="n">
        <v>0</v>
      </c>
      <c r="I401" s="9">
        <f>IF(ISNUMBER(F401),-F401-H401,"")</f>
        <v/>
      </c>
      <c r="J401" s="69">
        <f>IF(G401="","",IF(G401&gt;=300,"✕ 要改善",IF(G401&gt;=200,"△ 注意","○ 良好")))</f>
        <v/>
      </c>
      <c r="K401" s="70" t="n"/>
    </row>
    <row r="402" ht="14" customFormat="1" customHeight="1" s="456">
      <c r="A402" s="397" t="n"/>
      <c r="B402">
        <f>IF(⑩盛付梱包工程入力!C96="","",⑩盛付梱包工程入力!C96)</f>
        <v/>
      </c>
      <c r="C402">
        <f>IF(⑩盛付梱包工程入力!B96="","",⑩盛付梱包工程入力!B96)</f>
        <v/>
      </c>
      <c r="D402">
        <f>IF(B402="","",⑩盛付梱包工程入力!I96)</f>
        <v/>
      </c>
      <c r="E402">
        <f>IF(B402="","",⑩盛付梱包工程入力!G96)</f>
        <v/>
      </c>
      <c r="F402">
        <f>IF(B402="","",⑩盛付梱包工程入力!M96)</f>
        <v/>
      </c>
      <c r="G402">
        <f>IF(AND(ISNUMBER(D402),ISNUMBER(F402),D402&gt;0),F402/D402,"")</f>
        <v/>
      </c>
      <c r="H402" t="n">
        <v>0</v>
      </c>
      <c r="I402">
        <f>IF(ISNUMBER(F402),-F402-H402,"")</f>
        <v/>
      </c>
      <c r="J402">
        <f>IF(G402="","",IF(G402&gt;=300,"✕ 要改善",IF(G402&gt;=200,"△ 注意","○ 良好")))</f>
        <v/>
      </c>
    </row>
    <row r="403" customFormat="1" s="456">
      <c r="A403" s="66" t="n"/>
      <c r="B403" s="67">
        <f>IF(⑩盛付梱包工程入力!C97="","",⑩盛付梱包工程入力!C97)</f>
        <v/>
      </c>
      <c r="C403" s="82">
        <f>IF(⑩盛付梱包工程入力!B97="","",⑩盛付梱包工程入力!B97)</f>
        <v/>
      </c>
      <c r="D403" s="9">
        <f>IF(B403="","",⑩盛付梱包工程入力!I97)</f>
        <v/>
      </c>
      <c r="E403" s="9">
        <f>IF(B403="","",⑩盛付梱包工程入力!G97)</f>
        <v/>
      </c>
      <c r="F403" s="9">
        <f>IF(B403="","",⑩盛付梱包工程入力!M97)</f>
        <v/>
      </c>
      <c r="G403" s="513">
        <f>IF(AND(ISNUMBER(D403),ISNUMBER(F403),D403&gt;0),F403/D403,"")</f>
        <v/>
      </c>
      <c r="H403" s="7" t="n">
        <v>0</v>
      </c>
      <c r="I403" s="9">
        <f>IF(ISNUMBER(F403),-F403-H403,"")</f>
        <v/>
      </c>
      <c r="J403" s="69">
        <f>IF(G403="","",IF(G403&gt;=300,"✕ 要改善",IF(G403&gt;=200,"△ 注意","○ 良好")))</f>
        <v/>
      </c>
      <c r="K403" s="70" t="n"/>
    </row>
    <row r="404" ht="14" customFormat="1" customHeight="1" s="456">
      <c r="A404" s="397" t="n"/>
      <c r="B404">
        <f>IF(⑩盛付梱包工程入力!C98="","",⑩盛付梱包工程入力!C98)</f>
        <v/>
      </c>
      <c r="C404">
        <f>IF(⑩盛付梱包工程入力!B98="","",⑩盛付梱包工程入力!B98)</f>
        <v/>
      </c>
      <c r="D404">
        <f>IF(B404="","",⑩盛付梱包工程入力!I98)</f>
        <v/>
      </c>
      <c r="E404">
        <f>IF(B404="","",⑩盛付梱包工程入力!G98)</f>
        <v/>
      </c>
      <c r="F404">
        <f>IF(B404="","",⑩盛付梱包工程入力!M98)</f>
        <v/>
      </c>
      <c r="G404">
        <f>IF(AND(ISNUMBER(D404),ISNUMBER(F404),D404&gt;0),F404/D404,"")</f>
        <v/>
      </c>
      <c r="H404" t="n">
        <v>0</v>
      </c>
      <c r="I404">
        <f>IF(ISNUMBER(F404),-F404-H404,"")</f>
        <v/>
      </c>
      <c r="J404">
        <f>IF(G404="","",IF(G404&gt;=300,"✕ 要改善",IF(G404&gt;=200,"△ 注意","○ 良好")))</f>
        <v/>
      </c>
    </row>
    <row r="405" customFormat="1" s="456">
      <c r="A405" s="66" t="n"/>
      <c r="B405" s="67">
        <f>IF(⑩盛付梱包工程入力!C99="","",⑩盛付梱包工程入力!C99)</f>
        <v/>
      </c>
      <c r="C405" s="82">
        <f>IF(⑩盛付梱包工程入力!B99="","",⑩盛付梱包工程入力!B99)</f>
        <v/>
      </c>
      <c r="D405" s="9">
        <f>IF(B405="","",⑩盛付梱包工程入力!I99)</f>
        <v/>
      </c>
      <c r="E405" s="9">
        <f>IF(B405="","",⑩盛付梱包工程入力!G99)</f>
        <v/>
      </c>
      <c r="F405" s="9">
        <f>IF(B405="","",⑩盛付梱包工程入力!M99)</f>
        <v/>
      </c>
      <c r="G405" s="513">
        <f>IF(AND(ISNUMBER(D405),ISNUMBER(F405),D405&gt;0),F405/D405,"")</f>
        <v/>
      </c>
      <c r="H405" s="7" t="n">
        <v>0</v>
      </c>
      <c r="I405" s="9">
        <f>IF(ISNUMBER(F405),-F405-H405,"")</f>
        <v/>
      </c>
      <c r="J405" s="69">
        <f>IF(G405="","",IF(G405&gt;=300,"✕ 要改善",IF(G405&gt;=200,"△ 注意","○ 良好")))</f>
        <v/>
      </c>
      <c r="K405" s="70" t="n"/>
    </row>
    <row r="406" ht="14" customFormat="1" customHeight="1" s="456">
      <c r="A406" s="397" t="n"/>
      <c r="B406">
        <f>IF(⑩盛付梱包工程入力!C100="","",⑩盛付梱包工程入力!C100)</f>
        <v/>
      </c>
      <c r="C406">
        <f>IF(⑩盛付梱包工程入力!B100="","",⑩盛付梱包工程入力!B100)</f>
        <v/>
      </c>
      <c r="D406">
        <f>IF(B406="","",⑩盛付梱包工程入力!I100)</f>
        <v/>
      </c>
      <c r="E406">
        <f>IF(B406="","",⑩盛付梱包工程入力!G100)</f>
        <v/>
      </c>
      <c r="F406">
        <f>IF(B406="","",⑩盛付梱包工程入力!M100)</f>
        <v/>
      </c>
      <c r="G406">
        <f>IF(AND(ISNUMBER(D406),ISNUMBER(F406),D406&gt;0),F406/D406,"")</f>
        <v/>
      </c>
      <c r="H406" t="n">
        <v>0</v>
      </c>
      <c r="I406">
        <f>IF(ISNUMBER(F406),-F406-H406,"")</f>
        <v/>
      </c>
      <c r="J406">
        <f>IF(G406="","",IF(G406&gt;=300,"✕ 要改善",IF(G406&gt;=200,"△ 注意","○ 良好")))</f>
        <v/>
      </c>
    </row>
    <row r="407" customFormat="1" s="456">
      <c r="A407" s="66" t="n"/>
      <c r="B407" s="67">
        <f>IF(⑩盛付梱包工程入力!C101="","",⑩盛付梱包工程入力!C101)</f>
        <v/>
      </c>
      <c r="C407" s="82">
        <f>IF(⑩盛付梱包工程入力!B101="","",⑩盛付梱包工程入力!B101)</f>
        <v/>
      </c>
      <c r="D407" s="9">
        <f>IF(B407="","",⑩盛付梱包工程入力!I101)</f>
        <v/>
      </c>
      <c r="E407" s="9">
        <f>IF(B407="","",⑩盛付梱包工程入力!G101)</f>
        <v/>
      </c>
      <c r="F407" s="9">
        <f>IF(B407="","",⑩盛付梱包工程入力!M101)</f>
        <v/>
      </c>
      <c r="G407" s="513">
        <f>IF(AND(ISNUMBER(D407),ISNUMBER(F407),D407&gt;0),F407/D407,"")</f>
        <v/>
      </c>
      <c r="H407" s="7" t="n">
        <v>0</v>
      </c>
      <c r="I407" s="9">
        <f>IF(ISNUMBER(F407),-F407-H407,"")</f>
        <v/>
      </c>
      <c r="J407" s="69">
        <f>IF(G407="","",IF(G407&gt;=300,"✕ 要改善",IF(G407&gt;=200,"△ 注意","○ 良好")))</f>
        <v/>
      </c>
      <c r="K407" s="70" t="n"/>
    </row>
    <row r="408" ht="14" customFormat="1" customHeight="1" s="456">
      <c r="A408" s="397" t="n"/>
      <c r="B408">
        <f>IF(⑩盛付梱包工程入力!C102="","",⑩盛付梱包工程入力!C102)</f>
        <v/>
      </c>
      <c r="C408">
        <f>IF(⑩盛付梱包工程入力!B102="","",⑩盛付梱包工程入力!B102)</f>
        <v/>
      </c>
      <c r="D408">
        <f>IF(B408="","",⑩盛付梱包工程入力!I102)</f>
        <v/>
      </c>
      <c r="E408">
        <f>IF(B408="","",⑩盛付梱包工程入力!G102)</f>
        <v/>
      </c>
      <c r="F408">
        <f>IF(B408="","",⑩盛付梱包工程入力!M102)</f>
        <v/>
      </c>
      <c r="G408">
        <f>IF(AND(ISNUMBER(D408),ISNUMBER(F408),D408&gt;0),F408/D408,"")</f>
        <v/>
      </c>
      <c r="H408" t="n">
        <v>0</v>
      </c>
      <c r="I408">
        <f>IF(ISNUMBER(F408),-F408-H408,"")</f>
        <v/>
      </c>
      <c r="J408">
        <f>IF(G408="","",IF(G408&gt;=300,"✕ 要改善",IF(G408&gt;=200,"△ 注意","○ 良好")))</f>
        <v/>
      </c>
    </row>
    <row r="409" customFormat="1" s="456">
      <c r="A409" s="66" t="n"/>
      <c r="B409" s="67">
        <f>IF(⑩盛付梱包工程入力!C103="","",⑩盛付梱包工程入力!C103)</f>
        <v/>
      </c>
      <c r="C409" s="82">
        <f>IF(⑩盛付梱包工程入力!B103="","",⑩盛付梱包工程入力!B103)</f>
        <v/>
      </c>
      <c r="D409" s="9">
        <f>IF(B409="","",⑩盛付梱包工程入力!I103)</f>
        <v/>
      </c>
      <c r="E409" s="9">
        <f>IF(B409="","",⑩盛付梱包工程入力!G103)</f>
        <v/>
      </c>
      <c r="F409" s="9">
        <f>IF(B409="","",⑩盛付梱包工程入力!M103)</f>
        <v/>
      </c>
      <c r="G409" s="513">
        <f>IF(AND(ISNUMBER(D409),ISNUMBER(F409),D409&gt;0),F409/D409,"")</f>
        <v/>
      </c>
      <c r="H409" s="7" t="n">
        <v>0</v>
      </c>
      <c r="I409" s="9">
        <f>IF(ISNUMBER(F409),-F409-H409,"")</f>
        <v/>
      </c>
      <c r="J409" s="69">
        <f>IF(G409="","",IF(G409&gt;=300,"✕ 要改善",IF(G409&gt;=200,"△ 注意","○ 良好")))</f>
        <v/>
      </c>
      <c r="K409" s="70" t="n"/>
    </row>
    <row r="410" ht="14" customFormat="1" customHeight="1" s="456">
      <c r="A410" s="397" t="n"/>
      <c r="B410">
        <f>IF(⑩盛付梱包工程入力!C104="","",⑩盛付梱包工程入力!C104)</f>
        <v/>
      </c>
      <c r="C410">
        <f>IF(⑩盛付梱包工程入力!B104="","",⑩盛付梱包工程入力!B104)</f>
        <v/>
      </c>
      <c r="D410">
        <f>IF(B410="","",⑩盛付梱包工程入力!I104)</f>
        <v/>
      </c>
      <c r="E410">
        <f>IF(B410="","",⑩盛付梱包工程入力!G104)</f>
        <v/>
      </c>
      <c r="F410">
        <f>IF(B410="","",⑩盛付梱包工程入力!M104)</f>
        <v/>
      </c>
      <c r="G410">
        <f>IF(AND(ISNUMBER(D410),ISNUMBER(F410),D410&gt;0),F410/D410,"")</f>
        <v/>
      </c>
      <c r="H410" t="n">
        <v>0</v>
      </c>
      <c r="I410">
        <f>IF(ISNUMBER(F410),-F410-H410,"")</f>
        <v/>
      </c>
      <c r="J410">
        <f>IF(G410="","",IF(G410&gt;=300,"✕ 要改善",IF(G410&gt;=200,"△ 注意","○ 良好")))</f>
        <v/>
      </c>
    </row>
    <row r="411" customFormat="1" s="456">
      <c r="A411" s="66" t="n"/>
      <c r="B411" s="67">
        <f>IF(⑩盛付梱包工程入力!C105="","",⑩盛付梱包工程入力!C105)</f>
        <v/>
      </c>
      <c r="C411" s="82">
        <f>IF(⑩盛付梱包工程入力!B105="","",⑩盛付梱包工程入力!B105)</f>
        <v/>
      </c>
      <c r="D411" s="9">
        <f>IF(B411="","",⑩盛付梱包工程入力!I105)</f>
        <v/>
      </c>
      <c r="E411" s="9">
        <f>IF(B411="","",⑩盛付梱包工程入力!G105)</f>
        <v/>
      </c>
      <c r="F411" s="9">
        <f>IF(B411="","",⑩盛付梱包工程入力!M105)</f>
        <v/>
      </c>
      <c r="G411" s="513">
        <f>IF(AND(ISNUMBER(D411),ISNUMBER(F411),D411&gt;0),F411/D411,"")</f>
        <v/>
      </c>
      <c r="H411" s="7" t="n">
        <v>0</v>
      </c>
      <c r="I411" s="9">
        <f>IF(ISNUMBER(F411),-F411-H411,"")</f>
        <v/>
      </c>
      <c r="J411" s="69">
        <f>IF(G411="","",IF(G411&gt;=300,"✕ 要改善",IF(G411&gt;=200,"△ 注意","○ 良好")))</f>
        <v/>
      </c>
      <c r="K411" s="70" t="n"/>
    </row>
    <row r="412" ht="14" customFormat="1" customHeight="1" s="456">
      <c r="A412" s="397" t="n"/>
      <c r="B412">
        <f>IF(⑩盛付梱包工程入力!C106="","",⑩盛付梱包工程入力!C106)</f>
        <v/>
      </c>
      <c r="C412">
        <f>IF(⑩盛付梱包工程入力!B106="","",⑩盛付梱包工程入力!B106)</f>
        <v/>
      </c>
      <c r="D412">
        <f>IF(B412="","",⑩盛付梱包工程入力!I106)</f>
        <v/>
      </c>
      <c r="E412">
        <f>IF(B412="","",⑩盛付梱包工程入力!G106)</f>
        <v/>
      </c>
      <c r="F412">
        <f>IF(B412="","",⑩盛付梱包工程入力!M106)</f>
        <v/>
      </c>
      <c r="G412">
        <f>IF(AND(ISNUMBER(D412),ISNUMBER(F412),D412&gt;0),F412/D412,"")</f>
        <v/>
      </c>
      <c r="H412" t="n">
        <v>0</v>
      </c>
      <c r="I412">
        <f>IF(ISNUMBER(F412),-F412-H412,"")</f>
        <v/>
      </c>
      <c r="J412">
        <f>IF(G412="","",IF(G412&gt;=300,"✕ 要改善",IF(G412&gt;=200,"△ 注意","○ 良好")))</f>
        <v/>
      </c>
    </row>
    <row r="413" customFormat="1" s="456">
      <c r="A413" s="66" t="n"/>
      <c r="B413" s="67">
        <f>IF(⑩盛付梱包工程入力!C107="","",⑩盛付梱包工程入力!C107)</f>
        <v/>
      </c>
      <c r="C413" s="82">
        <f>IF(⑩盛付梱包工程入力!B107="","",⑩盛付梱包工程入力!B107)</f>
        <v/>
      </c>
      <c r="D413" s="9">
        <f>IF(B413="","",⑩盛付梱包工程入力!I107)</f>
        <v/>
      </c>
      <c r="E413" s="9">
        <f>IF(B413="","",⑩盛付梱包工程入力!G107)</f>
        <v/>
      </c>
      <c r="F413" s="9">
        <f>IF(B413="","",⑩盛付梱包工程入力!M107)</f>
        <v/>
      </c>
      <c r="G413" s="513">
        <f>IF(AND(ISNUMBER(D413),ISNUMBER(F413),D413&gt;0),F413/D413,"")</f>
        <v/>
      </c>
      <c r="H413" s="7" t="n">
        <v>0</v>
      </c>
      <c r="I413" s="9">
        <f>IF(ISNUMBER(F413),-F413-H413,"")</f>
        <v/>
      </c>
      <c r="J413" s="69">
        <f>IF(G413="","",IF(G413&gt;=300,"✕ 要改善",IF(G413&gt;=200,"△ 注意","○ 良好")))</f>
        <v/>
      </c>
      <c r="K413" s="70" t="n"/>
    </row>
    <row r="414" ht="14" customFormat="1" customHeight="1" s="456">
      <c r="A414" s="397" t="n"/>
      <c r="B414">
        <f>IF(⑩盛付梱包工程入力!C108="","",⑩盛付梱包工程入力!C108)</f>
        <v/>
      </c>
      <c r="C414">
        <f>IF(⑩盛付梱包工程入力!B108="","",⑩盛付梱包工程入力!B108)</f>
        <v/>
      </c>
      <c r="D414">
        <f>IF(B414="","",⑩盛付梱包工程入力!I108)</f>
        <v/>
      </c>
      <c r="E414">
        <f>IF(B414="","",⑩盛付梱包工程入力!G108)</f>
        <v/>
      </c>
      <c r="F414">
        <f>IF(B414="","",⑩盛付梱包工程入力!M108)</f>
        <v/>
      </c>
      <c r="G414">
        <f>IF(AND(ISNUMBER(D414),ISNUMBER(F414),D414&gt;0),F414/D414,"")</f>
        <v/>
      </c>
      <c r="H414" t="n">
        <v>0</v>
      </c>
      <c r="I414">
        <f>IF(ISNUMBER(F414),-F414-H414,"")</f>
        <v/>
      </c>
      <c r="J414">
        <f>IF(G414="","",IF(G414&gt;=300,"✕ 要改善",IF(G414&gt;=200,"△ 注意","○ 良好")))</f>
        <v/>
      </c>
    </row>
    <row r="415" customFormat="1" s="456">
      <c r="A415" s="66" t="n"/>
      <c r="B415" s="67">
        <f>IF(⑩盛付梱包工程入力!C109="","",⑩盛付梱包工程入力!C109)</f>
        <v/>
      </c>
      <c r="C415" s="82">
        <f>IF(⑩盛付梱包工程入力!B109="","",⑩盛付梱包工程入力!B109)</f>
        <v/>
      </c>
      <c r="D415" s="9">
        <f>IF(B415="","",⑩盛付梱包工程入力!I109)</f>
        <v/>
      </c>
      <c r="E415" s="9">
        <f>IF(B415="","",⑩盛付梱包工程入力!G109)</f>
        <v/>
      </c>
      <c r="F415" s="9">
        <f>IF(B415="","",⑩盛付梱包工程入力!M109)</f>
        <v/>
      </c>
      <c r="G415" s="513">
        <f>IF(AND(ISNUMBER(D415),ISNUMBER(F415),D415&gt;0),F415/D415,"")</f>
        <v/>
      </c>
      <c r="H415" s="7" t="n">
        <v>0</v>
      </c>
      <c r="I415" s="9">
        <f>IF(ISNUMBER(F415),-F415-H415,"")</f>
        <v/>
      </c>
      <c r="J415" s="69">
        <f>IF(G415="","",IF(G415&gt;=300,"✕ 要改善",IF(G415&gt;=200,"△ 注意","○ 良好")))</f>
        <v/>
      </c>
      <c r="K415" s="70" t="n"/>
    </row>
    <row r="416" ht="14" customFormat="1" customHeight="1" s="456">
      <c r="A416" s="397" t="n"/>
      <c r="B416">
        <f>IF(⑩盛付梱包工程入力!C110="","",⑩盛付梱包工程入力!C110)</f>
        <v/>
      </c>
      <c r="C416">
        <f>IF(⑩盛付梱包工程入力!B110="","",⑩盛付梱包工程入力!B110)</f>
        <v/>
      </c>
      <c r="D416">
        <f>IF(B416="","",⑩盛付梱包工程入力!I110)</f>
        <v/>
      </c>
      <c r="E416">
        <f>IF(B416="","",⑩盛付梱包工程入力!G110)</f>
        <v/>
      </c>
      <c r="F416">
        <f>IF(B416="","",⑩盛付梱包工程入力!M110)</f>
        <v/>
      </c>
      <c r="G416">
        <f>IF(AND(ISNUMBER(D416),ISNUMBER(F416),D416&gt;0),F416/D416,"")</f>
        <v/>
      </c>
      <c r="H416" t="n">
        <v>0</v>
      </c>
      <c r="I416">
        <f>IF(ISNUMBER(F416),-F416-H416,"")</f>
        <v/>
      </c>
      <c r="J416">
        <f>IF(G416="","",IF(G416&gt;=300,"✕ 要改善",IF(G416&gt;=200,"△ 注意","○ 良好")))</f>
        <v/>
      </c>
    </row>
    <row r="417" customFormat="1" s="456">
      <c r="A417" s="66" t="n"/>
      <c r="B417" s="67">
        <f>IF(⑩盛付梱包工程入力!C111="","",⑩盛付梱包工程入力!C111)</f>
        <v/>
      </c>
      <c r="C417" s="82">
        <f>IF(⑩盛付梱包工程入力!B111="","",⑩盛付梱包工程入力!B111)</f>
        <v/>
      </c>
      <c r="D417" s="9">
        <f>IF(B417="","",⑩盛付梱包工程入力!I111)</f>
        <v/>
      </c>
      <c r="E417" s="9">
        <f>IF(B417="","",⑩盛付梱包工程入力!G111)</f>
        <v/>
      </c>
      <c r="F417" s="9">
        <f>IF(B417="","",⑩盛付梱包工程入力!M111)</f>
        <v/>
      </c>
      <c r="G417" s="513">
        <f>IF(AND(ISNUMBER(D417),ISNUMBER(F417),D417&gt;0),F417/D417,"")</f>
        <v/>
      </c>
      <c r="H417" s="7" t="n">
        <v>0</v>
      </c>
      <c r="I417" s="9">
        <f>IF(ISNUMBER(F417),-F417-H417,"")</f>
        <v/>
      </c>
      <c r="J417" s="69">
        <f>IF(G417="","",IF(G417&gt;=300,"✕ 要改善",IF(G417&gt;=200,"△ 注意","○ 良好")))</f>
        <v/>
      </c>
      <c r="K417" s="70" t="n"/>
    </row>
    <row r="418" ht="14" customFormat="1" customHeight="1" s="456">
      <c r="A418" s="397" t="n"/>
      <c r="B418">
        <f>IF(⑩盛付梱包工程入力!C112="","",⑩盛付梱包工程入力!C112)</f>
        <v/>
      </c>
      <c r="C418">
        <f>IF(⑩盛付梱包工程入力!B112="","",⑩盛付梱包工程入力!B112)</f>
        <v/>
      </c>
      <c r="D418">
        <f>IF(B418="","",⑩盛付梱包工程入力!I112)</f>
        <v/>
      </c>
      <c r="E418">
        <f>IF(B418="","",⑩盛付梱包工程入力!G112)</f>
        <v/>
      </c>
      <c r="F418">
        <f>IF(B418="","",⑩盛付梱包工程入力!M112)</f>
        <v/>
      </c>
      <c r="G418">
        <f>IF(AND(ISNUMBER(D418),ISNUMBER(F418),D418&gt;0),F418/D418,"")</f>
        <v/>
      </c>
      <c r="H418" t="n">
        <v>0</v>
      </c>
      <c r="I418">
        <f>IF(ISNUMBER(F418),-F418-H418,"")</f>
        <v/>
      </c>
      <c r="J418">
        <f>IF(G418="","",IF(G418&gt;=300,"✕ 要改善",IF(G418&gt;=200,"△ 注意","○ 良好")))</f>
        <v/>
      </c>
    </row>
    <row r="419" customFormat="1" s="456">
      <c r="A419" s="66" t="n"/>
      <c r="B419" s="67">
        <f>IF(⑩盛付梱包工程入力!C113="","",⑩盛付梱包工程入力!C113)</f>
        <v/>
      </c>
      <c r="C419" s="82">
        <f>IF(⑩盛付梱包工程入力!B113="","",⑩盛付梱包工程入力!B113)</f>
        <v/>
      </c>
      <c r="D419" s="9">
        <f>IF(B419="","",⑩盛付梱包工程入力!I113)</f>
        <v/>
      </c>
      <c r="E419" s="9">
        <f>IF(B419="","",⑩盛付梱包工程入力!G113)</f>
        <v/>
      </c>
      <c r="F419" s="9">
        <f>IF(B419="","",⑩盛付梱包工程入力!M113)</f>
        <v/>
      </c>
      <c r="G419" s="513">
        <f>IF(AND(ISNUMBER(D419),ISNUMBER(F419),D419&gt;0),F419/D419,"")</f>
        <v/>
      </c>
      <c r="H419" s="7" t="n">
        <v>0</v>
      </c>
      <c r="I419" s="9">
        <f>IF(ISNUMBER(F419),-F419-H419,"")</f>
        <v/>
      </c>
      <c r="J419" s="69">
        <f>IF(G419="","",IF(G419&gt;=300,"✕ 要改善",IF(G419&gt;=200,"△ 注意","○ 良好")))</f>
        <v/>
      </c>
      <c r="K419" s="70" t="n"/>
    </row>
    <row r="420" ht="14" customFormat="1" customHeight="1" s="456">
      <c r="A420" s="397" t="n"/>
      <c r="B420">
        <f>IF(⑩盛付梱包工程入力!C114="","",⑩盛付梱包工程入力!C114)</f>
        <v/>
      </c>
      <c r="C420">
        <f>IF(⑩盛付梱包工程入力!B114="","",⑩盛付梱包工程入力!B114)</f>
        <v/>
      </c>
      <c r="D420">
        <f>IF(B420="","",⑩盛付梱包工程入力!I114)</f>
        <v/>
      </c>
      <c r="E420">
        <f>IF(B420="","",⑩盛付梱包工程入力!G114)</f>
        <v/>
      </c>
      <c r="F420">
        <f>IF(B420="","",⑩盛付梱包工程入力!M114)</f>
        <v/>
      </c>
      <c r="G420">
        <f>IF(AND(ISNUMBER(D420),ISNUMBER(F420),D420&gt;0),F420/D420,"")</f>
        <v/>
      </c>
      <c r="H420" t="n">
        <v>0</v>
      </c>
      <c r="I420">
        <f>IF(ISNUMBER(F420),-F420-H420,"")</f>
        <v/>
      </c>
      <c r="J420">
        <f>IF(G420="","",IF(G420&gt;=300,"✕ 要改善",IF(G420&gt;=200,"△ 注意","○ 良好")))</f>
        <v/>
      </c>
    </row>
    <row r="421" customFormat="1" s="456">
      <c r="A421" s="66" t="n"/>
      <c r="B421" s="67">
        <f>IF(⑩盛付梱包工程入力!C115="","",⑩盛付梱包工程入力!C115)</f>
        <v/>
      </c>
      <c r="C421" s="82">
        <f>IF(⑩盛付梱包工程入力!B115="","",⑩盛付梱包工程入力!B115)</f>
        <v/>
      </c>
      <c r="D421" s="9">
        <f>IF(B421="","",⑩盛付梱包工程入力!I115)</f>
        <v/>
      </c>
      <c r="E421" s="9">
        <f>IF(B421="","",⑩盛付梱包工程入力!G115)</f>
        <v/>
      </c>
      <c r="F421" s="9">
        <f>IF(B421="","",⑩盛付梱包工程入力!M115)</f>
        <v/>
      </c>
      <c r="G421" s="513">
        <f>IF(AND(ISNUMBER(D421),ISNUMBER(F421),D421&gt;0),F421/D421,"")</f>
        <v/>
      </c>
      <c r="H421" s="7" t="n">
        <v>0</v>
      </c>
      <c r="I421" s="9">
        <f>IF(ISNUMBER(F421),-F421-H421,"")</f>
        <v/>
      </c>
      <c r="J421" s="69">
        <f>IF(G421="","",IF(G421&gt;=300,"✕ 要改善",IF(G421&gt;=200,"△ 注意","○ 良好")))</f>
        <v/>
      </c>
      <c r="K421" s="70" t="n"/>
    </row>
    <row r="422" ht="14" customFormat="1" customHeight="1" s="456">
      <c r="A422" s="397" t="n"/>
      <c r="B422">
        <f>IF(⑩盛付梱包工程入力!C116="","",⑩盛付梱包工程入力!C116)</f>
        <v/>
      </c>
      <c r="C422">
        <f>IF(⑩盛付梱包工程入力!B116="","",⑩盛付梱包工程入力!B116)</f>
        <v/>
      </c>
      <c r="D422">
        <f>IF(B422="","",⑩盛付梱包工程入力!I116)</f>
        <v/>
      </c>
      <c r="E422">
        <f>IF(B422="","",⑩盛付梱包工程入力!G116)</f>
        <v/>
      </c>
      <c r="F422">
        <f>IF(B422="","",⑩盛付梱包工程入力!M116)</f>
        <v/>
      </c>
      <c r="G422">
        <f>IF(AND(ISNUMBER(D422),ISNUMBER(F422),D422&gt;0),F422/D422,"")</f>
        <v/>
      </c>
      <c r="H422" t="n">
        <v>0</v>
      </c>
      <c r="I422">
        <f>IF(ISNUMBER(F422),-F422-H422,"")</f>
        <v/>
      </c>
      <c r="J422">
        <f>IF(G422="","",IF(G422&gt;=300,"✕ 要改善",IF(G422&gt;=200,"△ 注意","○ 良好")))</f>
        <v/>
      </c>
    </row>
    <row r="423" customFormat="1" s="456">
      <c r="A423" s="66" t="n"/>
      <c r="B423" s="67">
        <f>IF(⑩盛付梱包工程入力!C117="","",⑩盛付梱包工程入力!C117)</f>
        <v/>
      </c>
      <c r="C423" s="82">
        <f>IF(⑩盛付梱包工程入力!B117="","",⑩盛付梱包工程入力!B117)</f>
        <v/>
      </c>
      <c r="D423" s="9">
        <f>IF(B423="","",⑩盛付梱包工程入力!I117)</f>
        <v/>
      </c>
      <c r="E423" s="9">
        <f>IF(B423="","",⑩盛付梱包工程入力!G117)</f>
        <v/>
      </c>
      <c r="F423" s="9">
        <f>IF(B423="","",⑩盛付梱包工程入力!M117)</f>
        <v/>
      </c>
      <c r="G423" s="513">
        <f>IF(AND(ISNUMBER(D423),ISNUMBER(F423),D423&gt;0),F423/D423,"")</f>
        <v/>
      </c>
      <c r="H423" s="7" t="n">
        <v>0</v>
      </c>
      <c r="I423" s="9">
        <f>IF(ISNUMBER(F423),-F423-H423,"")</f>
        <v/>
      </c>
      <c r="J423" s="69">
        <f>IF(G423="","",IF(G423&gt;=300,"✕ 要改善",IF(G423&gt;=200,"△ 注意","○ 良好")))</f>
        <v/>
      </c>
      <c r="K423" s="70" t="n"/>
    </row>
    <row r="424" ht="14" customFormat="1" customHeight="1" s="456">
      <c r="A424" s="397" t="n"/>
      <c r="B424">
        <f>IF(⑩盛付梱包工程入力!C118="","",⑩盛付梱包工程入力!C118)</f>
        <v/>
      </c>
      <c r="C424">
        <f>IF(⑩盛付梱包工程入力!B118="","",⑩盛付梱包工程入力!B118)</f>
        <v/>
      </c>
      <c r="D424">
        <f>IF(B424="","",⑩盛付梱包工程入力!I118)</f>
        <v/>
      </c>
      <c r="E424">
        <f>IF(B424="","",⑩盛付梱包工程入力!G118)</f>
        <v/>
      </c>
      <c r="F424">
        <f>IF(B424="","",⑩盛付梱包工程入力!M118)</f>
        <v/>
      </c>
      <c r="G424">
        <f>IF(AND(ISNUMBER(D424),ISNUMBER(F424),D424&gt;0),F424/D424,"")</f>
        <v/>
      </c>
      <c r="H424" t="n">
        <v>0</v>
      </c>
      <c r="I424">
        <f>IF(ISNUMBER(F424),-F424-H424,"")</f>
        <v/>
      </c>
      <c r="J424">
        <f>IF(G424="","",IF(G424&gt;=300,"✕ 要改善",IF(G424&gt;=200,"△ 注意","○ 良好")))</f>
        <v/>
      </c>
    </row>
    <row r="425" customFormat="1" s="456">
      <c r="A425" s="66" t="n"/>
      <c r="B425" s="67">
        <f>IF(⑩盛付梱包工程入力!C119="","",⑩盛付梱包工程入力!C119)</f>
        <v/>
      </c>
      <c r="C425" s="82">
        <f>IF(⑩盛付梱包工程入力!B119="","",⑩盛付梱包工程入力!B119)</f>
        <v/>
      </c>
      <c r="D425" s="9">
        <f>IF(B425="","",⑩盛付梱包工程入力!I119)</f>
        <v/>
      </c>
      <c r="E425" s="9">
        <f>IF(B425="","",⑩盛付梱包工程入力!G119)</f>
        <v/>
      </c>
      <c r="F425" s="9">
        <f>IF(B425="","",⑩盛付梱包工程入力!M119)</f>
        <v/>
      </c>
      <c r="G425" s="513">
        <f>IF(AND(ISNUMBER(D425),ISNUMBER(F425),D425&gt;0),F425/D425,"")</f>
        <v/>
      </c>
      <c r="H425" s="7" t="n">
        <v>0</v>
      </c>
      <c r="I425" s="9">
        <f>IF(ISNUMBER(F425),-F425-H425,"")</f>
        <v/>
      </c>
      <c r="J425" s="69">
        <f>IF(G425="","",IF(G425&gt;=300,"✕ 要改善",IF(G425&gt;=200,"△ 注意","○ 良好")))</f>
        <v/>
      </c>
      <c r="K425" s="70" t="n"/>
    </row>
    <row r="426" ht="14" customFormat="1" customHeight="1" s="456">
      <c r="A426" s="397" t="n"/>
      <c r="B426">
        <f>IF(⑩盛付梱包工程入力!C120="","",⑩盛付梱包工程入力!C120)</f>
        <v/>
      </c>
      <c r="C426">
        <f>IF(⑩盛付梱包工程入力!B120="","",⑩盛付梱包工程入力!B120)</f>
        <v/>
      </c>
      <c r="D426">
        <f>IF(B426="","",⑩盛付梱包工程入力!I120)</f>
        <v/>
      </c>
      <c r="E426">
        <f>IF(B426="","",⑩盛付梱包工程入力!G120)</f>
        <v/>
      </c>
      <c r="F426">
        <f>IF(B426="","",⑩盛付梱包工程入力!M120)</f>
        <v/>
      </c>
      <c r="G426">
        <f>IF(AND(ISNUMBER(D426),ISNUMBER(F426),D426&gt;0),F426/D426,"")</f>
        <v/>
      </c>
      <c r="H426" t="n">
        <v>0</v>
      </c>
      <c r="I426">
        <f>IF(ISNUMBER(F426),-F426-H426,"")</f>
        <v/>
      </c>
      <c r="J426">
        <f>IF(G426="","",IF(G426&gt;=300,"✕ 要改善",IF(G426&gt;=200,"△ 注意","○ 良好")))</f>
        <v/>
      </c>
    </row>
    <row r="427" customFormat="1" s="456">
      <c r="A427" s="66" t="n"/>
      <c r="B427" s="67">
        <f>IF(⑩盛付梱包工程入力!C121="","",⑩盛付梱包工程入力!C121)</f>
        <v/>
      </c>
      <c r="C427" s="82">
        <f>IF(⑩盛付梱包工程入力!B121="","",⑩盛付梱包工程入力!B121)</f>
        <v/>
      </c>
      <c r="D427" s="9">
        <f>IF(B427="","",⑩盛付梱包工程入力!I121)</f>
        <v/>
      </c>
      <c r="E427" s="9">
        <f>IF(B427="","",⑩盛付梱包工程入力!G121)</f>
        <v/>
      </c>
      <c r="F427" s="9">
        <f>IF(B427="","",⑩盛付梱包工程入力!M121)</f>
        <v/>
      </c>
      <c r="G427" s="513">
        <f>IF(AND(ISNUMBER(D427),ISNUMBER(F427),D427&gt;0),F427/D427,"")</f>
        <v/>
      </c>
      <c r="H427" s="7" t="n">
        <v>0</v>
      </c>
      <c r="I427" s="9">
        <f>IF(ISNUMBER(F427),-F427-H427,"")</f>
        <v/>
      </c>
      <c r="J427" s="69">
        <f>IF(G427="","",IF(G427&gt;=300,"✕ 要改善",IF(G427&gt;=200,"△ 注意","○ 良好")))</f>
        <v/>
      </c>
      <c r="K427" s="70" t="n"/>
    </row>
    <row r="428" ht="14" customFormat="1" customHeight="1" s="456">
      <c r="A428" s="397" t="n"/>
      <c r="B428">
        <f>IF(⑩盛付梱包工程入力!C122="","",⑩盛付梱包工程入力!C122)</f>
        <v/>
      </c>
      <c r="C428">
        <f>IF(⑩盛付梱包工程入力!B122="","",⑩盛付梱包工程入力!B122)</f>
        <v/>
      </c>
      <c r="D428">
        <f>IF(B428="","",⑩盛付梱包工程入力!I122)</f>
        <v/>
      </c>
      <c r="E428">
        <f>IF(B428="","",⑩盛付梱包工程入力!G122)</f>
        <v/>
      </c>
      <c r="F428">
        <f>IF(B428="","",⑩盛付梱包工程入力!M122)</f>
        <v/>
      </c>
      <c r="G428">
        <f>IF(AND(ISNUMBER(D428),ISNUMBER(F428),D428&gt;0),F428/D428,"")</f>
        <v/>
      </c>
      <c r="H428" t="n">
        <v>0</v>
      </c>
      <c r="I428">
        <f>IF(ISNUMBER(F428),-F428-H428,"")</f>
        <v/>
      </c>
      <c r="J428">
        <f>IF(G428="","",IF(G428&gt;=300,"✕ 要改善",IF(G428&gt;=200,"△ 注意","○ 良好")))</f>
        <v/>
      </c>
    </row>
    <row r="429" customFormat="1" s="456">
      <c r="A429" s="66" t="n"/>
      <c r="B429" s="67">
        <f>IF(⑩盛付梱包工程入力!C123="","",⑩盛付梱包工程入力!C123)</f>
        <v/>
      </c>
      <c r="C429" s="82">
        <f>IF(⑩盛付梱包工程入力!B123="","",⑩盛付梱包工程入力!B123)</f>
        <v/>
      </c>
      <c r="D429" s="9">
        <f>IF(B429="","",⑩盛付梱包工程入力!I123)</f>
        <v/>
      </c>
      <c r="E429" s="9">
        <f>IF(B429="","",⑩盛付梱包工程入力!G123)</f>
        <v/>
      </c>
      <c r="F429" s="9">
        <f>IF(B429="","",⑩盛付梱包工程入力!M123)</f>
        <v/>
      </c>
      <c r="G429" s="513">
        <f>IF(AND(ISNUMBER(D429),ISNUMBER(F429),D429&gt;0),F429/D429,"")</f>
        <v/>
      </c>
      <c r="H429" s="7" t="n">
        <v>0</v>
      </c>
      <c r="I429" s="9">
        <f>IF(ISNUMBER(F429),-F429-H429,"")</f>
        <v/>
      </c>
      <c r="J429" s="69">
        <f>IF(G429="","",IF(G429&gt;=300,"✕ 要改善",IF(G429&gt;=200,"△ 注意","○ 良好")))</f>
        <v/>
      </c>
      <c r="K429" s="70" t="n"/>
    </row>
    <row r="430" ht="14" customFormat="1" customHeight="1" s="456">
      <c r="A430" s="397" t="n"/>
      <c r="B430">
        <f>IF(⑩盛付梱包工程入力!C124="","",⑩盛付梱包工程入力!C124)</f>
        <v/>
      </c>
      <c r="C430">
        <f>IF(⑩盛付梱包工程入力!B124="","",⑩盛付梱包工程入力!B124)</f>
        <v/>
      </c>
      <c r="D430">
        <f>IF(B430="","",⑩盛付梱包工程入力!I124)</f>
        <v/>
      </c>
      <c r="E430">
        <f>IF(B430="","",⑩盛付梱包工程入力!G124)</f>
        <v/>
      </c>
      <c r="F430">
        <f>IF(B430="","",⑩盛付梱包工程入力!M124)</f>
        <v/>
      </c>
      <c r="G430">
        <f>IF(AND(ISNUMBER(D430),ISNUMBER(F430),D430&gt;0),F430/D430,"")</f>
        <v/>
      </c>
      <c r="H430" t="n">
        <v>0</v>
      </c>
      <c r="I430">
        <f>IF(ISNUMBER(F430),-F430-H430,"")</f>
        <v/>
      </c>
      <c r="J430">
        <f>IF(G430="","",IF(G430&gt;=300,"✕ 要改善",IF(G430&gt;=200,"△ 注意","○ 良好")))</f>
        <v/>
      </c>
    </row>
    <row r="431" customFormat="1" s="456">
      <c r="A431" s="66" t="n"/>
      <c r="B431" s="67">
        <f>IF(⑩盛付梱包工程入力!C125="","",⑩盛付梱包工程入力!C125)</f>
        <v/>
      </c>
      <c r="C431" s="82">
        <f>IF(⑩盛付梱包工程入力!B125="","",⑩盛付梱包工程入力!B125)</f>
        <v/>
      </c>
      <c r="D431" s="9">
        <f>IF(B431="","",⑩盛付梱包工程入力!I125)</f>
        <v/>
      </c>
      <c r="E431" s="9">
        <f>IF(B431="","",⑩盛付梱包工程入力!G125)</f>
        <v/>
      </c>
      <c r="F431" s="9">
        <f>IF(B431="","",⑩盛付梱包工程入力!M125)</f>
        <v/>
      </c>
      <c r="G431" s="513">
        <f>IF(AND(ISNUMBER(D431),ISNUMBER(F431),D431&gt;0),F431/D431,"")</f>
        <v/>
      </c>
      <c r="H431" s="7" t="n">
        <v>0</v>
      </c>
      <c r="I431" s="9">
        <f>IF(ISNUMBER(F431),-F431-H431,"")</f>
        <v/>
      </c>
      <c r="J431" s="69">
        <f>IF(G431="","",IF(G431&gt;=300,"✕ 要改善",IF(G431&gt;=200,"△ 注意","○ 良好")))</f>
        <v/>
      </c>
      <c r="K431" s="70" t="n"/>
    </row>
    <row r="432" ht="14" customFormat="1" customHeight="1" s="456">
      <c r="A432" s="397" t="n"/>
      <c r="B432">
        <f>IF(⑩盛付梱包工程入力!C126="","",⑩盛付梱包工程入力!C126)</f>
        <v/>
      </c>
      <c r="C432">
        <f>IF(⑩盛付梱包工程入力!B126="","",⑩盛付梱包工程入力!B126)</f>
        <v/>
      </c>
      <c r="D432">
        <f>IF(B432="","",⑩盛付梱包工程入力!I126)</f>
        <v/>
      </c>
      <c r="E432">
        <f>IF(B432="","",⑩盛付梱包工程入力!G126)</f>
        <v/>
      </c>
      <c r="F432">
        <f>IF(B432="","",⑩盛付梱包工程入力!M126)</f>
        <v/>
      </c>
      <c r="G432">
        <f>IF(AND(ISNUMBER(D432),ISNUMBER(F432),D432&gt;0),F432/D432,"")</f>
        <v/>
      </c>
      <c r="H432" t="n">
        <v>0</v>
      </c>
      <c r="I432">
        <f>IF(ISNUMBER(F432),-F432-H432,"")</f>
        <v/>
      </c>
      <c r="J432">
        <f>IF(G432="","",IF(G432&gt;=300,"✕ 要改善",IF(G432&gt;=200,"△ 注意","○ 良好")))</f>
        <v/>
      </c>
    </row>
    <row r="433">
      <c r="A433" s="66" t="n"/>
      <c r="B433" s="67">
        <f>IF(⑩盛付梱包工程入力!C127="","",⑩盛付梱包工程入力!C127)</f>
        <v/>
      </c>
      <c r="C433" s="82">
        <f>IF(⑩盛付梱包工程入力!B127="","",⑩盛付梱包工程入力!B127)</f>
        <v/>
      </c>
      <c r="D433" s="9">
        <f>IF(B433="","",⑩盛付梱包工程入力!I127)</f>
        <v/>
      </c>
      <c r="E433" s="9">
        <f>IF(B433="","",⑩盛付梱包工程入力!G127)</f>
        <v/>
      </c>
      <c r="F433" s="9">
        <f>IF(B433="","",⑩盛付梱包工程入力!M127)</f>
        <v/>
      </c>
      <c r="G433" s="513">
        <f>IF(AND(ISNUMBER(D433),ISNUMBER(F433),D433&gt;0),F433/D433,"")</f>
        <v/>
      </c>
      <c r="H433" s="7" t="n">
        <v>0</v>
      </c>
      <c r="I433" s="9">
        <f>IF(ISNUMBER(F433),-F433-H433,"")</f>
        <v/>
      </c>
      <c r="J433" s="69">
        <f>IF(G433="","",IF(G433&gt;=300,"✕ 要改善",IF(G433&gt;=200,"△ 注意","○ 良好")))</f>
        <v/>
      </c>
      <c r="K433" s="70" t="n"/>
    </row>
    <row r="434" ht="14" customHeight="1" s="438">
      <c r="A434" s="397" t="n"/>
      <c r="B434">
        <f>IF(⑩盛付梱包工程入力!C128="","",⑩盛付梱包工程入力!C128)</f>
        <v/>
      </c>
      <c r="C434">
        <f>IF(⑩盛付梱包工程入力!B128="","",⑩盛付梱包工程入力!B128)</f>
        <v/>
      </c>
      <c r="D434">
        <f>IF(B434="","",⑩盛付梱包工程入力!I128)</f>
        <v/>
      </c>
      <c r="E434">
        <f>IF(B434="","",⑩盛付梱包工程入力!G128)</f>
        <v/>
      </c>
      <c r="F434">
        <f>IF(B434="","",⑩盛付梱包工程入力!M128)</f>
        <v/>
      </c>
      <c r="G434">
        <f>IF(AND(ISNUMBER(D434),ISNUMBER(F434),D434&gt;0),F434/D434,"")</f>
        <v/>
      </c>
      <c r="H434" t="n">
        <v>0</v>
      </c>
      <c r="I434">
        <f>IF(ISNUMBER(F434),-F434-H434,"")</f>
        <v/>
      </c>
      <c r="J434">
        <f>IF(G434="","",IF(G434&gt;=300,"✕ 要改善",IF(G434&gt;=200,"△ 注意","○ 良好")))</f>
        <v/>
      </c>
    </row>
    <row r="435">
      <c r="A435" s="66" t="n"/>
      <c r="B435" s="67">
        <f>IF(⑩盛付梱包工程入力!C129="","",⑩盛付梱包工程入力!C129)</f>
        <v/>
      </c>
      <c r="C435" s="82">
        <f>IF(⑩盛付梱包工程入力!B129="","",⑩盛付梱包工程入力!B129)</f>
        <v/>
      </c>
      <c r="D435" s="9">
        <f>IF(B435="","",⑩盛付梱包工程入力!I129)</f>
        <v/>
      </c>
      <c r="E435" s="9">
        <f>IF(B435="","",⑩盛付梱包工程入力!G129)</f>
        <v/>
      </c>
      <c r="F435" s="9">
        <f>IF(B435="","",⑩盛付梱包工程入力!M129)</f>
        <v/>
      </c>
      <c r="G435" s="513">
        <f>IF(AND(ISNUMBER(D435),ISNUMBER(F435),D435&gt;0),F435/D435,"")</f>
        <v/>
      </c>
      <c r="H435" s="7" t="n">
        <v>0</v>
      </c>
      <c r="I435" s="9">
        <f>IF(ISNUMBER(F435),-F435-H435,"")</f>
        <v/>
      </c>
      <c r="J435" s="69">
        <f>IF(G435="","",IF(G435&gt;=300,"✕ 要改善",IF(G435&gt;=200,"△ 注意","○ 良好")))</f>
        <v/>
      </c>
      <c r="K435" s="70" t="n"/>
    </row>
    <row r="436" ht="14" customHeight="1" s="438">
      <c r="A436" s="397" t="n"/>
      <c r="B436">
        <f>IF(⑩盛付梱包工程入力!C130="","",⑩盛付梱包工程入力!C130)</f>
        <v/>
      </c>
      <c r="C436">
        <f>IF(⑩盛付梱包工程入力!B130="","",⑩盛付梱包工程入力!B130)</f>
        <v/>
      </c>
      <c r="D436">
        <f>IF(B436="","",⑩盛付梱包工程入力!I130)</f>
        <v/>
      </c>
      <c r="E436">
        <f>IF(B436="","",⑩盛付梱包工程入力!G130)</f>
        <v/>
      </c>
      <c r="F436">
        <f>IF(B436="","",⑩盛付梱包工程入力!M130)</f>
        <v/>
      </c>
      <c r="G436">
        <f>IF(AND(ISNUMBER(D436),ISNUMBER(F436),D436&gt;0),F436/D436,"")</f>
        <v/>
      </c>
      <c r="H436" t="n">
        <v>0</v>
      </c>
      <c r="I436">
        <f>IF(ISNUMBER(F436),-F436-H436,"")</f>
        <v/>
      </c>
      <c r="J436">
        <f>IF(G436="","",IF(G436&gt;=300,"✕ 要改善",IF(G436&gt;=200,"△ 注意","○ 良好")))</f>
        <v/>
      </c>
    </row>
    <row r="437">
      <c r="A437" s="66" t="n"/>
      <c r="B437" s="67">
        <f>IF(⑩盛付梱包工程入力!C131="","",⑩盛付梱包工程入力!C131)</f>
        <v/>
      </c>
      <c r="C437" s="82">
        <f>IF(⑩盛付梱包工程入力!B131="","",⑩盛付梱包工程入力!B131)</f>
        <v/>
      </c>
      <c r="D437" s="9">
        <f>IF(B437="","",⑩盛付梱包工程入力!I131)</f>
        <v/>
      </c>
      <c r="E437" s="9">
        <f>IF(B437="","",⑩盛付梱包工程入力!G131)</f>
        <v/>
      </c>
      <c r="F437" s="9">
        <f>IF(B437="","",⑩盛付梱包工程入力!M131)</f>
        <v/>
      </c>
      <c r="G437" s="513">
        <f>IF(AND(ISNUMBER(D437),ISNUMBER(F437),D437&gt;0),F437/D437,"")</f>
        <v/>
      </c>
      <c r="H437" s="7" t="n">
        <v>0</v>
      </c>
      <c r="I437" s="9">
        <f>IF(ISNUMBER(F437),-F437-H437,"")</f>
        <v/>
      </c>
      <c r="J437" s="69">
        <f>IF(G437="","",IF(G437&gt;=300,"✕ 要改善",IF(G437&gt;=200,"△ 注意","○ 良好")))</f>
        <v/>
      </c>
      <c r="K437" s="70" t="n"/>
    </row>
    <row r="438" ht="14" customHeight="1" s="438">
      <c r="A438" s="397" t="n"/>
      <c r="B438">
        <f>IF(⑩盛付梱包工程入力!C132="","",⑩盛付梱包工程入力!C132)</f>
        <v/>
      </c>
      <c r="C438">
        <f>IF(⑩盛付梱包工程入力!B132="","",⑩盛付梱包工程入力!B132)</f>
        <v/>
      </c>
      <c r="D438">
        <f>IF(B438="","",⑩盛付梱包工程入力!I132)</f>
        <v/>
      </c>
      <c r="E438">
        <f>IF(B438="","",⑩盛付梱包工程入力!G132)</f>
        <v/>
      </c>
      <c r="F438">
        <f>IF(B438="","",⑩盛付梱包工程入力!M132)</f>
        <v/>
      </c>
      <c r="G438">
        <f>IF(AND(ISNUMBER(D438),ISNUMBER(F438),D438&gt;0),F438/D438,"")</f>
        <v/>
      </c>
      <c r="H438" t="n">
        <v>0</v>
      </c>
      <c r="I438">
        <f>IF(ISNUMBER(F438),-F438-H438,"")</f>
        <v/>
      </c>
      <c r="J438">
        <f>IF(G438="","",IF(G438&gt;=300,"✕ 要改善",IF(G438&gt;=200,"△ 注意","○ 良好")))</f>
        <v/>
      </c>
    </row>
    <row r="439">
      <c r="A439" s="66" t="n"/>
      <c r="B439" s="67">
        <f>IF(⑩盛付梱包工程入力!C133="","",⑩盛付梱包工程入力!C133)</f>
        <v/>
      </c>
      <c r="C439" s="82">
        <f>IF(⑩盛付梱包工程入力!B133="","",⑩盛付梱包工程入力!B133)</f>
        <v/>
      </c>
      <c r="D439" s="9">
        <f>IF(B439="","",⑩盛付梱包工程入力!I133)</f>
        <v/>
      </c>
      <c r="E439" s="9">
        <f>IF(B439="","",⑩盛付梱包工程入力!G133)</f>
        <v/>
      </c>
      <c r="F439" s="9">
        <f>IF(B439="","",⑩盛付梱包工程入力!M133)</f>
        <v/>
      </c>
      <c r="G439" s="513">
        <f>IF(AND(ISNUMBER(D439),ISNUMBER(F439),D439&gt;0),F439/D439,"")</f>
        <v/>
      </c>
      <c r="H439" s="7" t="n">
        <v>0</v>
      </c>
      <c r="I439" s="9">
        <f>IF(ISNUMBER(F439),-F439-H439,"")</f>
        <v/>
      </c>
      <c r="J439" s="69">
        <f>IF(G439="","",IF(G439&gt;=300,"✕ 要改善",IF(G439&gt;=200,"△ 注意","○ 良好")))</f>
        <v/>
      </c>
      <c r="K439" s="70" t="n"/>
    </row>
    <row r="440" ht="14" customHeight="1" s="438">
      <c r="A440" s="397" t="n"/>
      <c r="B440">
        <f>IF(⑩盛付梱包工程入力!C134="","",⑩盛付梱包工程入力!C134)</f>
        <v/>
      </c>
      <c r="C440">
        <f>IF(⑩盛付梱包工程入力!B134="","",⑩盛付梱包工程入力!B134)</f>
        <v/>
      </c>
      <c r="D440">
        <f>IF(B440="","",⑩盛付梱包工程入力!I134)</f>
        <v/>
      </c>
      <c r="E440">
        <f>IF(B440="","",⑩盛付梱包工程入力!G134)</f>
        <v/>
      </c>
      <c r="F440">
        <f>IF(B440="","",⑩盛付梱包工程入力!M134)</f>
        <v/>
      </c>
      <c r="G440">
        <f>IF(AND(ISNUMBER(D440),ISNUMBER(F440),D440&gt;0),F440/D440,"")</f>
        <v/>
      </c>
      <c r="H440" t="n">
        <v>0</v>
      </c>
      <c r="I440">
        <f>IF(ISNUMBER(F440),-F440-H440,"")</f>
        <v/>
      </c>
      <c r="J440">
        <f>IF(G440="","",IF(G440&gt;=300,"✕ 要改善",IF(G440&gt;=200,"△ 注意","○ 良好")))</f>
        <v/>
      </c>
    </row>
    <row r="441">
      <c r="A441" s="66" t="n"/>
      <c r="B441" s="67">
        <f>IF(⑩盛付梱包工程入力!C135="","",⑩盛付梱包工程入力!C135)</f>
        <v/>
      </c>
      <c r="C441" s="82">
        <f>IF(⑩盛付梱包工程入力!B135="","",⑩盛付梱包工程入力!B135)</f>
        <v/>
      </c>
      <c r="D441" s="9">
        <f>IF(B441="","",⑩盛付梱包工程入力!I135)</f>
        <v/>
      </c>
      <c r="E441" s="9">
        <f>IF(B441="","",⑩盛付梱包工程入力!G135)</f>
        <v/>
      </c>
      <c r="F441" s="9">
        <f>IF(B441="","",⑩盛付梱包工程入力!M135)</f>
        <v/>
      </c>
      <c r="G441" s="513">
        <f>IF(AND(ISNUMBER(D441),ISNUMBER(F441),D441&gt;0),F441/D441,"")</f>
        <v/>
      </c>
      <c r="H441" s="7" t="n">
        <v>0</v>
      </c>
      <c r="I441" s="9">
        <f>IF(ISNUMBER(F441),-F441-H441,"")</f>
        <v/>
      </c>
      <c r="J441" s="69">
        <f>IF(G441="","",IF(G441&gt;=300,"✕ 要改善",IF(G441&gt;=200,"△ 注意","○ 良好")))</f>
        <v/>
      </c>
      <c r="K441" s="70" t="n"/>
    </row>
    <row r="442" ht="14" customHeight="1" s="438">
      <c r="A442" s="397" t="n"/>
      <c r="B442">
        <f>IF(⑩盛付梱包工程入力!C136="","",⑩盛付梱包工程入力!C136)</f>
        <v/>
      </c>
      <c r="C442">
        <f>IF(⑩盛付梱包工程入力!B136="","",⑩盛付梱包工程入力!B136)</f>
        <v/>
      </c>
      <c r="D442">
        <f>IF(B442="","",⑩盛付梱包工程入力!I136)</f>
        <v/>
      </c>
      <c r="E442">
        <f>IF(B442="","",⑩盛付梱包工程入力!G136)</f>
        <v/>
      </c>
      <c r="F442">
        <f>IF(B442="","",⑩盛付梱包工程入力!M136)</f>
        <v/>
      </c>
      <c r="G442">
        <f>IF(AND(ISNUMBER(D442),ISNUMBER(F442),D442&gt;0),F442/D442,"")</f>
        <v/>
      </c>
      <c r="H442" t="n">
        <v>0</v>
      </c>
      <c r="I442">
        <f>IF(ISNUMBER(F442),-F442-H442,"")</f>
        <v/>
      </c>
      <c r="J442">
        <f>IF(G442="","",IF(G442&gt;=300,"✕ 要改善",IF(G442&gt;=200,"△ 注意","○ 良好")))</f>
        <v/>
      </c>
    </row>
    <row r="443">
      <c r="A443" s="66" t="n"/>
      <c r="B443" s="67">
        <f>IF(⑩盛付梱包工程入力!C137="","",⑩盛付梱包工程入力!C137)</f>
        <v/>
      </c>
      <c r="C443" s="82">
        <f>IF(⑩盛付梱包工程入力!B137="","",⑩盛付梱包工程入力!B137)</f>
        <v/>
      </c>
      <c r="D443" s="9">
        <f>IF(B443="","",⑩盛付梱包工程入力!I137)</f>
        <v/>
      </c>
      <c r="E443" s="9">
        <f>IF(B443="","",⑩盛付梱包工程入力!G137)</f>
        <v/>
      </c>
      <c r="F443" s="9">
        <f>IF(B443="","",⑩盛付梱包工程入力!M137)</f>
        <v/>
      </c>
      <c r="G443" s="513">
        <f>IF(AND(ISNUMBER(D443),ISNUMBER(F443),D443&gt;0),F443/D443,"")</f>
        <v/>
      </c>
      <c r="H443" s="7" t="n">
        <v>0</v>
      </c>
      <c r="I443" s="9">
        <f>IF(ISNUMBER(F443),-F443-H443,"")</f>
        <v/>
      </c>
      <c r="J443" s="69">
        <f>IF(G443="","",IF(G443&gt;=300,"✕ 要改善",IF(G443&gt;=200,"△ 注意","○ 良好")))</f>
        <v/>
      </c>
      <c r="K443" s="70" t="n"/>
    </row>
    <row r="444" ht="14" customHeight="1" s="438">
      <c r="A444" s="397" t="n"/>
      <c r="B444">
        <f>IF(⑩盛付梱包工程入力!C138="","",⑩盛付梱包工程入力!C138)</f>
        <v/>
      </c>
      <c r="C444">
        <f>IF(⑩盛付梱包工程入力!B138="","",⑩盛付梱包工程入力!B138)</f>
        <v/>
      </c>
      <c r="D444">
        <f>IF(B444="","",⑩盛付梱包工程入力!I138)</f>
        <v/>
      </c>
      <c r="E444">
        <f>IF(B444="","",⑩盛付梱包工程入力!G138)</f>
        <v/>
      </c>
      <c r="F444">
        <f>IF(B444="","",⑩盛付梱包工程入力!M138)</f>
        <v/>
      </c>
      <c r="G444">
        <f>IF(AND(ISNUMBER(D444),ISNUMBER(F444),D444&gt;0),F444/D444,"")</f>
        <v/>
      </c>
      <c r="H444" t="n">
        <v>0</v>
      </c>
      <c r="I444">
        <f>IF(ISNUMBER(F444),-F444-H444,"")</f>
        <v/>
      </c>
      <c r="J444">
        <f>IF(G444="","",IF(G444&gt;=300,"✕ 要改善",IF(G444&gt;=200,"△ 注意","○ 良好")))</f>
        <v/>
      </c>
    </row>
    <row r="445">
      <c r="A445" s="66" t="n"/>
      <c r="B445" s="67">
        <f>IF(⑩盛付梱包工程入力!C139="","",⑩盛付梱包工程入力!C139)</f>
        <v/>
      </c>
      <c r="C445" s="82">
        <f>IF(⑩盛付梱包工程入力!B139="","",⑩盛付梱包工程入力!B139)</f>
        <v/>
      </c>
      <c r="D445" s="9">
        <f>IF(B445="","",⑩盛付梱包工程入力!I139)</f>
        <v/>
      </c>
      <c r="E445" s="9">
        <f>IF(B445="","",⑩盛付梱包工程入力!G139)</f>
        <v/>
      </c>
      <c r="F445" s="9">
        <f>IF(B445="","",⑩盛付梱包工程入力!M139)</f>
        <v/>
      </c>
      <c r="G445" s="513">
        <f>IF(AND(ISNUMBER(D445),ISNUMBER(F445),D445&gt;0),F445/D445,"")</f>
        <v/>
      </c>
      <c r="H445" s="7" t="n">
        <v>0</v>
      </c>
      <c r="I445" s="9">
        <f>IF(ISNUMBER(F445),-F445-H445,"")</f>
        <v/>
      </c>
      <c r="J445" s="69">
        <f>IF(G445="","",IF(G445&gt;=300,"✕ 要改善",IF(G445&gt;=200,"△ 注意","○ 良好")))</f>
        <v/>
      </c>
      <c r="K445" s="70" t="n"/>
    </row>
    <row r="446" ht="14" customHeight="1" s="438">
      <c r="A446" s="397" t="n"/>
      <c r="B446">
        <f>IF(⑩盛付梱包工程入力!C140="","",⑩盛付梱包工程入力!C140)</f>
        <v/>
      </c>
      <c r="C446">
        <f>IF(⑩盛付梱包工程入力!B140="","",⑩盛付梱包工程入力!B140)</f>
        <v/>
      </c>
      <c r="D446">
        <f>IF(B446="","",⑩盛付梱包工程入力!I140)</f>
        <v/>
      </c>
      <c r="E446">
        <f>IF(B446="","",⑩盛付梱包工程入力!G140)</f>
        <v/>
      </c>
      <c r="F446">
        <f>IF(B446="","",⑩盛付梱包工程入力!M140)</f>
        <v/>
      </c>
      <c r="G446">
        <f>IF(AND(ISNUMBER(D446),ISNUMBER(F446),D446&gt;0),F446/D446,"")</f>
        <v/>
      </c>
      <c r="H446" t="n">
        <v>0</v>
      </c>
      <c r="I446">
        <f>IF(ISNUMBER(F446),-F446-H446,"")</f>
        <v/>
      </c>
      <c r="J446">
        <f>IF(G446="","",IF(G446&gt;=300,"✕ 要改善",IF(G446&gt;=200,"△ 注意","○ 良好")))</f>
        <v/>
      </c>
    </row>
    <row r="447">
      <c r="A447" s="66" t="n"/>
      <c r="B447" s="67">
        <f>IF(⑩盛付梱包工程入力!C141="","",⑩盛付梱包工程入力!C141)</f>
        <v/>
      </c>
      <c r="C447" s="82">
        <f>IF(⑩盛付梱包工程入力!B141="","",⑩盛付梱包工程入力!B141)</f>
        <v/>
      </c>
      <c r="D447" s="9">
        <f>IF(B447="","",⑩盛付梱包工程入力!I141)</f>
        <v/>
      </c>
      <c r="E447" s="9">
        <f>IF(B447="","",⑩盛付梱包工程入力!G141)</f>
        <v/>
      </c>
      <c r="F447" s="9">
        <f>IF(B447="","",⑩盛付梱包工程入力!M141)</f>
        <v/>
      </c>
      <c r="G447" s="513">
        <f>IF(AND(ISNUMBER(D447),ISNUMBER(F447),D447&gt;0),F447/D447,"")</f>
        <v/>
      </c>
      <c r="H447" s="7" t="n">
        <v>0</v>
      </c>
      <c r="I447" s="9">
        <f>IF(ISNUMBER(F447),-F447-H447,"")</f>
        <v/>
      </c>
      <c r="J447" s="69">
        <f>IF(G447="","",IF(G447&gt;=300,"✕ 要改善",IF(G447&gt;=200,"△ 注意","○ 良好")))</f>
        <v/>
      </c>
      <c r="K447" s="70" t="n"/>
    </row>
    <row r="448" ht="14" customHeight="1" s="438">
      <c r="A448" s="397" t="n"/>
      <c r="B448">
        <f>IF(⑩盛付梱包工程入力!C142="","",⑩盛付梱包工程入力!C142)</f>
        <v/>
      </c>
      <c r="C448">
        <f>IF(⑩盛付梱包工程入力!B142="","",⑩盛付梱包工程入力!B142)</f>
        <v/>
      </c>
      <c r="D448">
        <f>IF(B448="","",⑩盛付梱包工程入力!I142)</f>
        <v/>
      </c>
      <c r="E448">
        <f>IF(B448="","",⑩盛付梱包工程入力!G142)</f>
        <v/>
      </c>
      <c r="F448">
        <f>IF(B448="","",⑩盛付梱包工程入力!M142)</f>
        <v/>
      </c>
      <c r="G448">
        <f>IF(AND(ISNUMBER(D448),ISNUMBER(F448),D448&gt;0),F448/D448,"")</f>
        <v/>
      </c>
      <c r="H448" t="n">
        <v>0</v>
      </c>
      <c r="I448">
        <f>IF(ISNUMBER(F448),-F448-H448,"")</f>
        <v/>
      </c>
      <c r="J448">
        <f>IF(G448="","",IF(G448&gt;=300,"✕ 要改善",IF(G448&gt;=200,"△ 注意","○ 良好")))</f>
        <v/>
      </c>
    </row>
    <row r="449">
      <c r="A449" s="66" t="n"/>
      <c r="B449" s="67">
        <f>IF(⑩盛付梱包工程入力!C143="","",⑩盛付梱包工程入力!C143)</f>
        <v/>
      </c>
      <c r="C449" s="82">
        <f>IF(⑩盛付梱包工程入力!B143="","",⑩盛付梱包工程入力!B143)</f>
        <v/>
      </c>
      <c r="D449" s="9">
        <f>IF(B449="","",⑩盛付梱包工程入力!I143)</f>
        <v/>
      </c>
      <c r="E449" s="9">
        <f>IF(B449="","",⑩盛付梱包工程入力!G143)</f>
        <v/>
      </c>
      <c r="F449" s="9">
        <f>IF(B449="","",⑩盛付梱包工程入力!M143)</f>
        <v/>
      </c>
      <c r="G449" s="513">
        <f>IF(AND(ISNUMBER(D449),ISNUMBER(F449),D449&gt;0),F449/D449,"")</f>
        <v/>
      </c>
      <c r="H449" s="7" t="n">
        <v>0</v>
      </c>
      <c r="I449" s="9">
        <f>IF(ISNUMBER(F449),-F449-H449,"")</f>
        <v/>
      </c>
      <c r="J449" s="69">
        <f>IF(G449="","",IF(G449&gt;=300,"✕ 要改善",IF(G449&gt;=200,"△ 注意","○ 良好")))</f>
        <v/>
      </c>
      <c r="K449" s="70" t="n"/>
    </row>
    <row r="450" ht="14" customHeight="1" s="438">
      <c r="A450" s="397" t="n"/>
      <c r="B450">
        <f>IF(⑩盛付梱包工程入力!C144="","",⑩盛付梱包工程入力!C144)</f>
        <v/>
      </c>
      <c r="C450">
        <f>IF(⑩盛付梱包工程入力!B144="","",⑩盛付梱包工程入力!B144)</f>
        <v/>
      </c>
      <c r="D450">
        <f>IF(B450="","",⑩盛付梱包工程入力!I144)</f>
        <v/>
      </c>
      <c r="E450">
        <f>IF(B450="","",⑩盛付梱包工程入力!G144)</f>
        <v/>
      </c>
      <c r="F450">
        <f>IF(B450="","",⑩盛付梱包工程入力!M144)</f>
        <v/>
      </c>
      <c r="G450">
        <f>IF(AND(ISNUMBER(D450),ISNUMBER(F450),D450&gt;0),F450/D450,"")</f>
        <v/>
      </c>
      <c r="H450" t="n">
        <v>0</v>
      </c>
      <c r="I450">
        <f>IF(ISNUMBER(F450),-F450-H450,"")</f>
        <v/>
      </c>
      <c r="J450">
        <f>IF(G450="","",IF(G450&gt;=300,"✕ 要改善",IF(G450&gt;=200,"△ 注意","○ 良好")))</f>
        <v/>
      </c>
    </row>
    <row r="451">
      <c r="A451" s="66" t="n"/>
      <c r="B451" s="67">
        <f>IF(⑩盛付梱包工程入力!C145="","",⑩盛付梱包工程入力!C145)</f>
        <v/>
      </c>
      <c r="C451" s="82">
        <f>IF(⑩盛付梱包工程入力!B145="","",⑩盛付梱包工程入力!B145)</f>
        <v/>
      </c>
      <c r="D451" s="9">
        <f>IF(B451="","",⑩盛付梱包工程入力!I145)</f>
        <v/>
      </c>
      <c r="E451" s="9">
        <f>IF(B451="","",⑩盛付梱包工程入力!G145)</f>
        <v/>
      </c>
      <c r="F451" s="9">
        <f>IF(B451="","",⑩盛付梱包工程入力!M145)</f>
        <v/>
      </c>
      <c r="G451" s="513">
        <f>IF(AND(ISNUMBER(D451),ISNUMBER(F451),D451&gt;0),F451/D451,"")</f>
        <v/>
      </c>
      <c r="H451" s="7" t="n">
        <v>0</v>
      </c>
      <c r="I451" s="9">
        <f>IF(ISNUMBER(F451),-F451-H451,"")</f>
        <v/>
      </c>
      <c r="J451" s="69">
        <f>IF(G451="","",IF(G451&gt;=300,"✕ 要改善",IF(G451&gt;=200,"△ 注意","○ 良好")))</f>
        <v/>
      </c>
      <c r="K451" s="70" t="n"/>
    </row>
    <row r="452" ht="14" customHeight="1" s="438">
      <c r="A452" s="397" t="n"/>
      <c r="B452">
        <f>IF(⑩盛付梱包工程入力!C146="","",⑩盛付梱包工程入力!C146)</f>
        <v/>
      </c>
      <c r="C452">
        <f>IF(⑩盛付梱包工程入力!B146="","",⑩盛付梱包工程入力!B146)</f>
        <v/>
      </c>
      <c r="D452">
        <f>IF(B452="","",⑩盛付梱包工程入力!I146)</f>
        <v/>
      </c>
      <c r="E452">
        <f>IF(B452="","",⑩盛付梱包工程入力!G146)</f>
        <v/>
      </c>
      <c r="F452">
        <f>IF(B452="","",⑩盛付梱包工程入力!M146)</f>
        <v/>
      </c>
      <c r="G452">
        <f>IF(AND(ISNUMBER(D452),ISNUMBER(F452),D452&gt;0),F452/D452,"")</f>
        <v/>
      </c>
      <c r="H452" t="n">
        <v>0</v>
      </c>
      <c r="I452">
        <f>IF(ISNUMBER(F452),-F452-H452,"")</f>
        <v/>
      </c>
      <c r="J452">
        <f>IF(G452="","",IF(G452&gt;=300,"✕ 要改善",IF(G452&gt;=200,"△ 注意","○ 良好")))</f>
        <v/>
      </c>
    </row>
    <row r="453">
      <c r="A453" s="66" t="n"/>
      <c r="B453" s="67">
        <f>IF(⑩盛付梱包工程入力!C147="","",⑩盛付梱包工程入力!C147)</f>
        <v/>
      </c>
      <c r="C453" s="82">
        <f>IF(⑩盛付梱包工程入力!B147="","",⑩盛付梱包工程入力!B147)</f>
        <v/>
      </c>
      <c r="D453" s="9">
        <f>IF(B453="","",⑩盛付梱包工程入力!I147)</f>
        <v/>
      </c>
      <c r="E453" s="9">
        <f>IF(B453="","",⑩盛付梱包工程入力!G147)</f>
        <v/>
      </c>
      <c r="F453" s="9">
        <f>IF(B453="","",⑩盛付梱包工程入力!M147)</f>
        <v/>
      </c>
      <c r="G453" s="513">
        <f>IF(AND(ISNUMBER(D453),ISNUMBER(F453),D453&gt;0),F453/D453,"")</f>
        <v/>
      </c>
      <c r="H453" s="7" t="n">
        <v>0</v>
      </c>
      <c r="I453" s="9">
        <f>IF(ISNUMBER(F453),-F453-H453,"")</f>
        <v/>
      </c>
      <c r="J453" s="69">
        <f>IF(G453="","",IF(G453&gt;=300,"✕ 要改善",IF(G453&gt;=200,"△ 注意","○ 良好")))</f>
        <v/>
      </c>
      <c r="K453" s="70" t="n"/>
    </row>
    <row r="454" ht="14" customHeight="1" s="438">
      <c r="A454" s="397" t="n"/>
      <c r="B454">
        <f>IF(⑩盛付梱包工程入力!C148="","",⑩盛付梱包工程入力!C148)</f>
        <v/>
      </c>
      <c r="C454">
        <f>IF(⑩盛付梱包工程入力!B148="","",⑩盛付梱包工程入力!B148)</f>
        <v/>
      </c>
      <c r="D454">
        <f>IF(B454="","",⑩盛付梱包工程入力!I148)</f>
        <v/>
      </c>
      <c r="E454">
        <f>IF(B454="","",⑩盛付梱包工程入力!G148)</f>
        <v/>
      </c>
      <c r="F454">
        <f>IF(B454="","",⑩盛付梱包工程入力!M148)</f>
        <v/>
      </c>
      <c r="G454">
        <f>IF(AND(ISNUMBER(D454),ISNUMBER(F454),D454&gt;0),F454/D454,"")</f>
        <v/>
      </c>
      <c r="H454" t="n">
        <v>0</v>
      </c>
      <c r="I454">
        <f>IF(ISNUMBER(F454),-F454-H454,"")</f>
        <v/>
      </c>
      <c r="J454">
        <f>IF(G454="","",IF(G454&gt;=300,"✕ 要改善",IF(G454&gt;=200,"△ 注意","○ 良好")))</f>
        <v/>
      </c>
    </row>
    <row r="455">
      <c r="A455" s="66" t="n"/>
      <c r="B455" s="67">
        <f>IF(⑩盛付梱包工程入力!C149="","",⑩盛付梱包工程入力!C149)</f>
        <v/>
      </c>
      <c r="C455" s="82">
        <f>IF(⑩盛付梱包工程入力!B149="","",⑩盛付梱包工程入力!B149)</f>
        <v/>
      </c>
      <c r="D455" s="9">
        <f>IF(B455="","",⑩盛付梱包工程入力!I149)</f>
        <v/>
      </c>
      <c r="E455" s="9">
        <f>IF(B455="","",⑩盛付梱包工程入力!G149)</f>
        <v/>
      </c>
      <c r="F455" s="9">
        <f>IF(B455="","",⑩盛付梱包工程入力!M149)</f>
        <v/>
      </c>
      <c r="G455" s="513">
        <f>IF(AND(ISNUMBER(D455),ISNUMBER(F455),D455&gt;0),F455/D455,"")</f>
        <v/>
      </c>
      <c r="H455" s="7" t="n">
        <v>0</v>
      </c>
      <c r="I455" s="9">
        <f>IF(ISNUMBER(F455),-F455-H455,"")</f>
        <v/>
      </c>
      <c r="J455" s="69">
        <f>IF(G455="","",IF(G455&gt;=300,"✕ 要改善",IF(G455&gt;=200,"△ 注意","○ 良好")))</f>
        <v/>
      </c>
      <c r="K455" s="70" t="n"/>
    </row>
    <row r="456" ht="14" customHeight="1" s="438">
      <c r="A456" s="397" t="n"/>
      <c r="B456">
        <f>IF(⑩盛付梱包工程入力!C150="","",⑩盛付梱包工程入力!C150)</f>
        <v/>
      </c>
      <c r="C456">
        <f>IF(⑩盛付梱包工程入力!B150="","",⑩盛付梱包工程入力!B150)</f>
        <v/>
      </c>
      <c r="D456">
        <f>IF(B456="","",⑩盛付梱包工程入力!I150)</f>
        <v/>
      </c>
      <c r="E456">
        <f>IF(B456="","",⑩盛付梱包工程入力!G150)</f>
        <v/>
      </c>
      <c r="F456">
        <f>IF(B456="","",⑩盛付梱包工程入力!M150)</f>
        <v/>
      </c>
      <c r="G456">
        <f>IF(AND(ISNUMBER(D456),ISNUMBER(F456),D456&gt;0),F456/D456,"")</f>
        <v/>
      </c>
      <c r="H456" t="n">
        <v>0</v>
      </c>
      <c r="I456">
        <f>IF(ISNUMBER(F456),-F456-H456,"")</f>
        <v/>
      </c>
      <c r="J456">
        <f>IF(G456="","",IF(G456&gt;=300,"✕ 要改善",IF(G456&gt;=200,"△ 注意","○ 良好")))</f>
        <v/>
      </c>
    </row>
    <row r="457">
      <c r="A457" s="66" t="n"/>
      <c r="B457" s="67">
        <f>IF(⑩盛付梱包工程入力!C151="","",⑩盛付梱包工程入力!C151)</f>
        <v/>
      </c>
      <c r="C457" s="82">
        <f>IF(⑩盛付梱包工程入力!B151="","",⑩盛付梱包工程入力!B151)</f>
        <v/>
      </c>
      <c r="D457" s="9">
        <f>IF(B457="","",⑩盛付梱包工程入力!I151)</f>
        <v/>
      </c>
      <c r="E457" s="9">
        <f>IF(B457="","",⑩盛付梱包工程入力!G151)</f>
        <v/>
      </c>
      <c r="F457" s="9">
        <f>IF(B457="","",⑩盛付梱包工程入力!M151)</f>
        <v/>
      </c>
      <c r="G457" s="513">
        <f>IF(AND(ISNUMBER(D457),ISNUMBER(F457),D457&gt;0),F457/D457,"")</f>
        <v/>
      </c>
      <c r="H457" s="7" t="n">
        <v>0</v>
      </c>
      <c r="I457" s="9">
        <f>IF(ISNUMBER(F457),-F457-H457,"")</f>
        <v/>
      </c>
      <c r="J457" s="69">
        <f>IF(G457="","",IF(G457&gt;=300,"✕ 要改善",IF(G457&gt;=200,"△ 注意","○ 良好")))</f>
        <v/>
      </c>
      <c r="K457" s="70" t="n"/>
    </row>
    <row r="458" ht="14" customHeight="1" s="438">
      <c r="A458" s="397" t="n"/>
      <c r="B458">
        <f>IF(⑩盛付梱包工程入力!C152="","",⑩盛付梱包工程入力!C152)</f>
        <v/>
      </c>
      <c r="C458">
        <f>IF(⑩盛付梱包工程入力!B152="","",⑩盛付梱包工程入力!B152)</f>
        <v/>
      </c>
      <c r="D458">
        <f>IF(B458="","",⑩盛付梱包工程入力!I152)</f>
        <v/>
      </c>
      <c r="E458">
        <f>IF(B458="","",⑩盛付梱包工程入力!G152)</f>
        <v/>
      </c>
      <c r="F458">
        <f>IF(B458="","",⑩盛付梱包工程入力!M152)</f>
        <v/>
      </c>
      <c r="G458">
        <f>IF(AND(ISNUMBER(D458),ISNUMBER(F458),D458&gt;0),F458/D458,"")</f>
        <v/>
      </c>
      <c r="H458" t="n">
        <v>0</v>
      </c>
      <c r="I458">
        <f>IF(ISNUMBER(F458),-F458-H458,"")</f>
        <v/>
      </c>
      <c r="J458">
        <f>IF(G458="","",IF(G458&gt;=300,"✕ 要改善",IF(G458&gt;=200,"△ 注意","○ 良好")))</f>
        <v/>
      </c>
    </row>
    <row r="459">
      <c r="A459" s="66" t="n"/>
      <c r="B459" s="67">
        <f>IF(⑩盛付梱包工程入力!C153="","",⑩盛付梱包工程入力!C153)</f>
        <v/>
      </c>
      <c r="C459" s="82">
        <f>IF(⑩盛付梱包工程入力!B153="","",⑩盛付梱包工程入力!B153)</f>
        <v/>
      </c>
      <c r="D459" s="9">
        <f>IF(B459="","",⑩盛付梱包工程入力!I153)</f>
        <v/>
      </c>
      <c r="E459" s="9">
        <f>IF(B459="","",⑩盛付梱包工程入力!G153)</f>
        <v/>
      </c>
      <c r="F459" s="9">
        <f>IF(B459="","",⑩盛付梱包工程入力!M153)</f>
        <v/>
      </c>
      <c r="G459" s="513">
        <f>IF(AND(ISNUMBER(D459),ISNUMBER(F459),D459&gt;0),F459/D459,"")</f>
        <v/>
      </c>
      <c r="H459" s="7" t="n">
        <v>0</v>
      </c>
      <c r="I459" s="9">
        <f>IF(ISNUMBER(F459),-F459-H459,"")</f>
        <v/>
      </c>
      <c r="J459" s="69">
        <f>IF(G459="","",IF(G459&gt;=300,"✕ 要改善",IF(G459&gt;=200,"△ 注意","○ 良好")))</f>
        <v/>
      </c>
      <c r="K459" s="70" t="n"/>
    </row>
    <row r="460" ht="14" customHeight="1" s="438">
      <c r="A460" s="397" t="n"/>
      <c r="B460">
        <f>IF(⑩盛付梱包工程入力!C154="","",⑩盛付梱包工程入力!C154)</f>
        <v/>
      </c>
      <c r="C460">
        <f>IF(⑩盛付梱包工程入力!B154="","",⑩盛付梱包工程入力!B154)</f>
        <v/>
      </c>
      <c r="D460">
        <f>IF(B460="","",⑩盛付梱包工程入力!I154)</f>
        <v/>
      </c>
      <c r="E460">
        <f>IF(B460="","",⑩盛付梱包工程入力!G154)</f>
        <v/>
      </c>
      <c r="F460">
        <f>IF(B460="","",⑩盛付梱包工程入力!M154)</f>
        <v/>
      </c>
      <c r="G460">
        <f>IF(AND(ISNUMBER(D460),ISNUMBER(F460),D460&gt;0),F460/D460,"")</f>
        <v/>
      </c>
      <c r="H460" t="n">
        <v>0</v>
      </c>
      <c r="I460">
        <f>IF(ISNUMBER(F460),-F460-H460,"")</f>
        <v/>
      </c>
      <c r="J460">
        <f>IF(G460="","",IF(G460&gt;=300,"✕ 要改善",IF(G460&gt;=200,"△ 注意","○ 良好")))</f>
        <v/>
      </c>
    </row>
    <row r="461">
      <c r="A461" s="66" t="n"/>
      <c r="B461" s="67">
        <f>IF(⑩盛付梱包工程入力!C155="","",⑩盛付梱包工程入力!C155)</f>
        <v/>
      </c>
      <c r="C461" s="82">
        <f>IF(⑩盛付梱包工程入力!B155="","",⑩盛付梱包工程入力!B155)</f>
        <v/>
      </c>
      <c r="D461" s="9">
        <f>IF(B461="","",⑩盛付梱包工程入力!I155)</f>
        <v/>
      </c>
      <c r="E461" s="9">
        <f>IF(B461="","",⑩盛付梱包工程入力!G155)</f>
        <v/>
      </c>
      <c r="F461" s="9">
        <f>IF(B461="","",⑩盛付梱包工程入力!M155)</f>
        <v/>
      </c>
      <c r="G461" s="513">
        <f>IF(AND(ISNUMBER(D461),ISNUMBER(F461),D461&gt;0),F461/D461,"")</f>
        <v/>
      </c>
      <c r="H461" s="7" t="n">
        <v>0</v>
      </c>
      <c r="I461" s="9">
        <f>IF(ISNUMBER(F461),-F461-H461,"")</f>
        <v/>
      </c>
      <c r="J461" s="69">
        <f>IF(G461="","",IF(G461&gt;=300,"✕ 要改善",IF(G461&gt;=200,"△ 注意","○ 良好")))</f>
        <v/>
      </c>
      <c r="K461" s="70" t="n"/>
    </row>
    <row r="462" ht="14" customHeight="1" s="438">
      <c r="A462" s="397" t="n"/>
      <c r="B462">
        <f>IF(⑩盛付梱包工程入力!C156="","",⑩盛付梱包工程入力!C156)</f>
        <v/>
      </c>
      <c r="C462">
        <f>IF(⑩盛付梱包工程入力!B156="","",⑩盛付梱包工程入力!B156)</f>
        <v/>
      </c>
      <c r="D462">
        <f>IF(B462="","",⑩盛付梱包工程入力!I156)</f>
        <v/>
      </c>
      <c r="E462">
        <f>IF(B462="","",⑩盛付梱包工程入力!G156)</f>
        <v/>
      </c>
      <c r="F462">
        <f>IF(B462="","",⑩盛付梱包工程入力!M156)</f>
        <v/>
      </c>
      <c r="G462">
        <f>IF(AND(ISNUMBER(D462),ISNUMBER(F462),D462&gt;0),F462/D462,"")</f>
        <v/>
      </c>
      <c r="H462" t="n">
        <v>0</v>
      </c>
      <c r="I462">
        <f>IF(ISNUMBER(F462),-F462-H462,"")</f>
        <v/>
      </c>
      <c r="J462">
        <f>IF(G462="","",IF(G462&gt;=300,"✕ 要改善",IF(G462&gt;=200,"△ 注意","○ 良好")))</f>
        <v/>
      </c>
    </row>
    <row r="463">
      <c r="A463" s="66" t="n"/>
      <c r="B463" s="67">
        <f>IF(⑩盛付梱包工程入力!C157="","",⑩盛付梱包工程入力!C157)</f>
        <v/>
      </c>
      <c r="C463" s="82">
        <f>IF(⑩盛付梱包工程入力!B157="","",⑩盛付梱包工程入力!B157)</f>
        <v/>
      </c>
      <c r="D463" s="9">
        <f>IF(B463="","",⑩盛付梱包工程入力!I157)</f>
        <v/>
      </c>
      <c r="E463" s="9">
        <f>IF(B463="","",⑩盛付梱包工程入力!G157)</f>
        <v/>
      </c>
      <c r="F463" s="9">
        <f>IF(B463="","",⑩盛付梱包工程入力!M157)</f>
        <v/>
      </c>
      <c r="G463" s="513">
        <f>IF(AND(ISNUMBER(D463),ISNUMBER(F463),D463&gt;0),F463/D463,"")</f>
        <v/>
      </c>
      <c r="H463" s="7" t="n">
        <v>0</v>
      </c>
      <c r="I463" s="9">
        <f>IF(ISNUMBER(F463),-F463-H463,"")</f>
        <v/>
      </c>
      <c r="J463" s="69">
        <f>IF(G463="","",IF(G463&gt;=300,"✕ 要改善",IF(G463&gt;=200,"△ 注意","○ 良好")))</f>
        <v/>
      </c>
      <c r="K463" s="70" t="n"/>
    </row>
    <row r="464" ht="14" customHeight="1" s="438">
      <c r="A464" s="397" t="n"/>
      <c r="B464">
        <f>IF(⑩盛付梱包工程入力!C158="","",⑩盛付梱包工程入力!C158)</f>
        <v/>
      </c>
      <c r="C464">
        <f>IF(⑩盛付梱包工程入力!B158="","",⑩盛付梱包工程入力!B158)</f>
        <v/>
      </c>
      <c r="D464">
        <f>IF(B464="","",⑩盛付梱包工程入力!I158)</f>
        <v/>
      </c>
      <c r="E464">
        <f>IF(B464="","",⑩盛付梱包工程入力!G158)</f>
        <v/>
      </c>
      <c r="F464">
        <f>IF(B464="","",⑩盛付梱包工程入力!M158)</f>
        <v/>
      </c>
      <c r="G464">
        <f>IF(AND(ISNUMBER(D464),ISNUMBER(F464),D464&gt;0),F464/D464,"")</f>
        <v/>
      </c>
      <c r="H464" t="n">
        <v>0</v>
      </c>
      <c r="I464">
        <f>IF(ISNUMBER(F464),-F464-H464,"")</f>
        <v/>
      </c>
      <c r="J464">
        <f>IF(G464="","",IF(G464&gt;=300,"✕ 要改善",IF(G464&gt;=200,"△ 注意","○ 良好")))</f>
        <v/>
      </c>
    </row>
    <row r="465">
      <c r="A465" s="66" t="n"/>
      <c r="B465" s="67">
        <f>IF(⑩盛付梱包工程入力!C159="","",⑩盛付梱包工程入力!C159)</f>
        <v/>
      </c>
      <c r="C465" s="82">
        <f>IF(⑩盛付梱包工程入力!B159="","",⑩盛付梱包工程入力!B159)</f>
        <v/>
      </c>
      <c r="D465" s="9">
        <f>IF(B465="","",⑩盛付梱包工程入力!I159)</f>
        <v/>
      </c>
      <c r="E465" s="9">
        <f>IF(B465="","",⑩盛付梱包工程入力!G159)</f>
        <v/>
      </c>
      <c r="F465" s="9">
        <f>IF(B465="","",⑩盛付梱包工程入力!M159)</f>
        <v/>
      </c>
      <c r="G465" s="513">
        <f>IF(AND(ISNUMBER(D465),ISNUMBER(F465),D465&gt;0),F465/D465,"")</f>
        <v/>
      </c>
      <c r="H465" s="7" t="n">
        <v>0</v>
      </c>
      <c r="I465" s="9">
        <f>IF(ISNUMBER(F465),-F465-H465,"")</f>
        <v/>
      </c>
      <c r="J465" s="69">
        <f>IF(G465="","",IF(G465&gt;=300,"✕ 要改善",IF(G465&gt;=200,"△ 注意","○ 良好")))</f>
        <v/>
      </c>
      <c r="K465" s="70" t="n"/>
    </row>
    <row r="466" ht="14" customHeight="1" s="438">
      <c r="A466" s="397" t="n"/>
      <c r="B466">
        <f>IF(⑩盛付梱包工程入力!C160="","",⑩盛付梱包工程入力!C160)</f>
        <v/>
      </c>
      <c r="C466">
        <f>IF(⑩盛付梱包工程入力!B160="","",⑩盛付梱包工程入力!B160)</f>
        <v/>
      </c>
      <c r="D466">
        <f>IF(B466="","",⑩盛付梱包工程入力!I160)</f>
        <v/>
      </c>
      <c r="E466">
        <f>IF(B466="","",⑩盛付梱包工程入力!G160)</f>
        <v/>
      </c>
      <c r="F466">
        <f>IF(B466="","",⑩盛付梱包工程入力!M160)</f>
        <v/>
      </c>
      <c r="G466">
        <f>IF(AND(ISNUMBER(D466),ISNUMBER(F466),D466&gt;0),F466/D466,"")</f>
        <v/>
      </c>
      <c r="H466" t="n">
        <v>0</v>
      </c>
      <c r="I466">
        <f>IF(ISNUMBER(F466),-F466-H466,"")</f>
        <v/>
      </c>
      <c r="J466">
        <f>IF(G466="","",IF(G466&gt;=300,"✕ 要改善",IF(G466&gt;=200,"△ 注意","○ 良好")))</f>
        <v/>
      </c>
    </row>
    <row r="467">
      <c r="A467" s="66" t="n"/>
      <c r="B467" s="67">
        <f>IF(⑩盛付梱包工程入力!C161="","",⑩盛付梱包工程入力!C161)</f>
        <v/>
      </c>
      <c r="C467" s="82">
        <f>IF(⑩盛付梱包工程入力!B161="","",⑩盛付梱包工程入力!B161)</f>
        <v/>
      </c>
      <c r="D467" s="9">
        <f>IF(B467="","",⑩盛付梱包工程入力!I161)</f>
        <v/>
      </c>
      <c r="E467" s="9">
        <f>IF(B467="","",⑩盛付梱包工程入力!G161)</f>
        <v/>
      </c>
      <c r="F467" s="9">
        <f>IF(B467="","",⑩盛付梱包工程入力!M161)</f>
        <v/>
      </c>
      <c r="G467" s="513">
        <f>IF(AND(ISNUMBER(D467),ISNUMBER(F467),D467&gt;0),F467/D467,"")</f>
        <v/>
      </c>
      <c r="H467" s="7" t="n">
        <v>0</v>
      </c>
      <c r="I467" s="9">
        <f>IF(ISNUMBER(F467),-F467-H467,"")</f>
        <v/>
      </c>
      <c r="J467" s="69">
        <f>IF(G467="","",IF(G467&gt;=300,"✕ 要改善",IF(G467&gt;=200,"△ 注意","○ 良好")))</f>
        <v/>
      </c>
      <c r="K467" s="70" t="n"/>
    </row>
    <row r="468" ht="14" customHeight="1" s="438">
      <c r="A468" s="397" t="n"/>
      <c r="B468">
        <f>IF(⑩盛付梱包工程入力!C162="","",⑩盛付梱包工程入力!C162)</f>
        <v/>
      </c>
      <c r="C468">
        <f>IF(⑩盛付梱包工程入力!B162="","",⑩盛付梱包工程入力!B162)</f>
        <v/>
      </c>
      <c r="D468">
        <f>IF(B468="","",⑩盛付梱包工程入力!I162)</f>
        <v/>
      </c>
      <c r="E468">
        <f>IF(B468="","",⑩盛付梱包工程入力!G162)</f>
        <v/>
      </c>
      <c r="F468">
        <f>IF(B468="","",⑩盛付梱包工程入力!M162)</f>
        <v/>
      </c>
      <c r="G468">
        <f>IF(AND(ISNUMBER(D468),ISNUMBER(F468),D468&gt;0),F468/D468,"")</f>
        <v/>
      </c>
      <c r="H468" t="n">
        <v>0</v>
      </c>
      <c r="I468">
        <f>IF(ISNUMBER(F468),-F468-H468,"")</f>
        <v/>
      </c>
      <c r="J468">
        <f>IF(G468="","",IF(G468&gt;=300,"✕ 要改善",IF(G468&gt;=200,"△ 注意","○ 良好")))</f>
        <v/>
      </c>
    </row>
    <row r="469">
      <c r="A469" s="66" t="n"/>
      <c r="B469" s="67">
        <f>IF(⑩盛付梱包工程入力!C163="","",⑩盛付梱包工程入力!C163)</f>
        <v/>
      </c>
      <c r="C469" s="82">
        <f>IF(⑩盛付梱包工程入力!B163="","",⑩盛付梱包工程入力!B163)</f>
        <v/>
      </c>
      <c r="D469" s="9">
        <f>IF(B469="","",⑩盛付梱包工程入力!I163)</f>
        <v/>
      </c>
      <c r="E469" s="9">
        <f>IF(B469="","",⑩盛付梱包工程入力!G163)</f>
        <v/>
      </c>
      <c r="F469" s="9">
        <f>IF(B469="","",⑩盛付梱包工程入力!M163)</f>
        <v/>
      </c>
      <c r="G469" s="513">
        <f>IF(AND(ISNUMBER(D469),ISNUMBER(F469),D469&gt;0),F469/D469,"")</f>
        <v/>
      </c>
      <c r="H469" s="7" t="n">
        <v>0</v>
      </c>
      <c r="I469" s="9">
        <f>IF(ISNUMBER(F469),-F469-H469,"")</f>
        <v/>
      </c>
      <c r="J469" s="69">
        <f>IF(G469="","",IF(G469&gt;=300,"✕ 要改善",IF(G469&gt;=200,"△ 注意","○ 良好")))</f>
        <v/>
      </c>
      <c r="K469" s="70" t="n"/>
    </row>
    <row r="470" ht="14" customHeight="1" s="438">
      <c r="A470" s="397" t="n"/>
      <c r="B470">
        <f>IF(⑩盛付梱包工程入力!C164="","",⑩盛付梱包工程入力!C164)</f>
        <v/>
      </c>
      <c r="C470">
        <f>IF(⑩盛付梱包工程入力!B164="","",⑩盛付梱包工程入力!B164)</f>
        <v/>
      </c>
      <c r="D470">
        <f>IF(B470="","",⑩盛付梱包工程入力!I164)</f>
        <v/>
      </c>
      <c r="E470">
        <f>IF(B470="","",⑩盛付梱包工程入力!G164)</f>
        <v/>
      </c>
      <c r="F470">
        <f>IF(B470="","",⑩盛付梱包工程入力!M164)</f>
        <v/>
      </c>
      <c r="G470">
        <f>IF(AND(ISNUMBER(D470),ISNUMBER(F470),D470&gt;0),F470/D470,"")</f>
        <v/>
      </c>
      <c r="H470" t="n">
        <v>0</v>
      </c>
      <c r="I470">
        <f>IF(ISNUMBER(F470),-F470-H470,"")</f>
        <v/>
      </c>
      <c r="J470">
        <f>IF(G470="","",IF(G470&gt;=300,"✕ 要改善",IF(G470&gt;=200,"△ 注意","○ 良好")))</f>
        <v/>
      </c>
    </row>
    <row r="471">
      <c r="A471" s="66" t="n"/>
      <c r="B471" s="67">
        <f>IF(⑩盛付梱包工程入力!C165="","",⑩盛付梱包工程入力!C165)</f>
        <v/>
      </c>
      <c r="C471" s="82">
        <f>IF(⑩盛付梱包工程入力!B165="","",⑩盛付梱包工程入力!B165)</f>
        <v/>
      </c>
      <c r="D471" s="9">
        <f>IF(B471="","",⑩盛付梱包工程入力!I165)</f>
        <v/>
      </c>
      <c r="E471" s="9">
        <f>IF(B471="","",⑩盛付梱包工程入力!G165)</f>
        <v/>
      </c>
      <c r="F471" s="9">
        <f>IF(B471="","",⑩盛付梱包工程入力!M165)</f>
        <v/>
      </c>
      <c r="G471" s="513">
        <f>IF(AND(ISNUMBER(D471),ISNUMBER(F471),D471&gt;0),F471/D471,"")</f>
        <v/>
      </c>
      <c r="H471" s="7" t="n">
        <v>0</v>
      </c>
      <c r="I471" s="9">
        <f>IF(ISNUMBER(F471),-F471-H471,"")</f>
        <v/>
      </c>
      <c r="J471" s="69">
        <f>IF(G471="","",IF(G471&gt;=300,"✕ 要改善",IF(G471&gt;=200,"△ 注意","○ 良好")))</f>
        <v/>
      </c>
      <c r="K471" s="70" t="n"/>
    </row>
    <row r="472" ht="14" customHeight="1" s="438">
      <c r="A472" s="397" t="n"/>
      <c r="B472">
        <f>IF(⑩盛付梱包工程入力!C166="","",⑩盛付梱包工程入力!C166)</f>
        <v/>
      </c>
      <c r="C472">
        <f>IF(⑩盛付梱包工程入力!B166="","",⑩盛付梱包工程入力!B166)</f>
        <v/>
      </c>
      <c r="D472">
        <f>IF(B472="","",⑩盛付梱包工程入力!I166)</f>
        <v/>
      </c>
      <c r="E472">
        <f>IF(B472="","",⑩盛付梱包工程入力!G166)</f>
        <v/>
      </c>
      <c r="F472">
        <f>IF(B472="","",⑩盛付梱包工程入力!M166)</f>
        <v/>
      </c>
      <c r="G472">
        <f>IF(AND(ISNUMBER(D472),ISNUMBER(F472),D472&gt;0),F472/D472,"")</f>
        <v/>
      </c>
      <c r="H472" t="n">
        <v>0</v>
      </c>
      <c r="I472">
        <f>IF(ISNUMBER(F472),-F472-H472,"")</f>
        <v/>
      </c>
      <c r="J472">
        <f>IF(G472="","",IF(G472&gt;=300,"✕ 要改善",IF(G472&gt;=200,"△ 注意","○ 良好")))</f>
        <v/>
      </c>
    </row>
    <row r="473">
      <c r="A473" s="66" t="n"/>
      <c r="B473" s="67">
        <f>IF(⑩盛付梱包工程入力!C167="","",⑩盛付梱包工程入力!C167)</f>
        <v/>
      </c>
      <c r="C473" s="82">
        <f>IF(⑩盛付梱包工程入力!B167="","",⑩盛付梱包工程入力!B167)</f>
        <v/>
      </c>
      <c r="D473" s="9">
        <f>IF(B473="","",⑩盛付梱包工程入力!I167)</f>
        <v/>
      </c>
      <c r="E473" s="9">
        <f>IF(B473="","",⑩盛付梱包工程入力!G167)</f>
        <v/>
      </c>
      <c r="F473" s="9">
        <f>IF(B473="","",⑩盛付梱包工程入力!M167)</f>
        <v/>
      </c>
      <c r="G473" s="513">
        <f>IF(AND(ISNUMBER(D473),ISNUMBER(F473),D473&gt;0),F473/D473,"")</f>
        <v/>
      </c>
      <c r="H473" s="7" t="n">
        <v>0</v>
      </c>
      <c r="I473" s="9">
        <f>IF(ISNUMBER(F473),-F473-H473,"")</f>
        <v/>
      </c>
      <c r="J473" s="69">
        <f>IF(G473="","",IF(G473&gt;=300,"✕ 要改善",IF(G473&gt;=200,"△ 注意","○ 良好")))</f>
        <v/>
      </c>
      <c r="K473" s="70" t="n"/>
    </row>
    <row r="474" ht="14" customHeight="1" s="438">
      <c r="A474" s="397" t="n"/>
      <c r="B474">
        <f>IF(⑩盛付梱包工程入力!C168="","",⑩盛付梱包工程入力!C168)</f>
        <v/>
      </c>
      <c r="C474">
        <f>IF(⑩盛付梱包工程入力!B168="","",⑩盛付梱包工程入力!B168)</f>
        <v/>
      </c>
      <c r="D474">
        <f>IF(B474="","",⑩盛付梱包工程入力!I168)</f>
        <v/>
      </c>
      <c r="E474">
        <f>IF(B474="","",⑩盛付梱包工程入力!G168)</f>
        <v/>
      </c>
      <c r="F474">
        <f>IF(B474="","",⑩盛付梱包工程入力!M168)</f>
        <v/>
      </c>
      <c r="G474">
        <f>IF(AND(ISNUMBER(D474),ISNUMBER(F474),D474&gt;0),F474/D474,"")</f>
        <v/>
      </c>
      <c r="H474" t="n">
        <v>0</v>
      </c>
      <c r="I474">
        <f>IF(ISNUMBER(F474),-F474-H474,"")</f>
        <v/>
      </c>
      <c r="J474">
        <f>IF(G474="","",IF(G474&gt;=300,"✕ 要改善",IF(G474&gt;=200,"△ 注意","○ 良好")))</f>
        <v/>
      </c>
    </row>
    <row r="475">
      <c r="A475" s="66" t="n"/>
      <c r="B475" s="67">
        <f>IF(⑩盛付梱包工程入力!C169="","",⑩盛付梱包工程入力!C169)</f>
        <v/>
      </c>
      <c r="C475" s="82">
        <f>IF(⑩盛付梱包工程入力!B169="","",⑩盛付梱包工程入力!B169)</f>
        <v/>
      </c>
      <c r="D475" s="9">
        <f>IF(B475="","",⑩盛付梱包工程入力!I169)</f>
        <v/>
      </c>
      <c r="E475" s="9">
        <f>IF(B475="","",⑩盛付梱包工程入力!G169)</f>
        <v/>
      </c>
      <c r="F475" s="9">
        <f>IF(B475="","",⑩盛付梱包工程入力!M169)</f>
        <v/>
      </c>
      <c r="G475" s="513">
        <f>IF(AND(ISNUMBER(D475),ISNUMBER(F475),D475&gt;0),F475/D475,"")</f>
        <v/>
      </c>
      <c r="H475" s="7" t="n">
        <v>0</v>
      </c>
      <c r="I475" s="9">
        <f>IF(ISNUMBER(F475),-F475-H475,"")</f>
        <v/>
      </c>
      <c r="J475" s="69">
        <f>IF(G475="","",IF(G475&gt;=300,"✕ 要改善",IF(G475&gt;=200,"△ 注意","○ 良好")))</f>
        <v/>
      </c>
      <c r="K475" s="70" t="n"/>
    </row>
    <row r="476" ht="14" customHeight="1" s="438">
      <c r="A476" s="397" t="n"/>
      <c r="B476">
        <f>IF(⑩盛付梱包工程入力!C170="","",⑩盛付梱包工程入力!C170)</f>
        <v/>
      </c>
      <c r="C476">
        <f>IF(⑩盛付梱包工程入力!B170="","",⑩盛付梱包工程入力!B170)</f>
        <v/>
      </c>
      <c r="D476">
        <f>IF(B476="","",⑩盛付梱包工程入力!I170)</f>
        <v/>
      </c>
      <c r="E476">
        <f>IF(B476="","",⑩盛付梱包工程入力!G170)</f>
        <v/>
      </c>
      <c r="F476">
        <f>IF(B476="","",⑩盛付梱包工程入力!M170)</f>
        <v/>
      </c>
      <c r="G476">
        <f>IF(AND(ISNUMBER(D476),ISNUMBER(F476),D476&gt;0),F476/D476,"")</f>
        <v/>
      </c>
      <c r="H476" t="n">
        <v>0</v>
      </c>
      <c r="I476">
        <f>IF(ISNUMBER(F476),-F476-H476,"")</f>
        <v/>
      </c>
      <c r="J476">
        <f>IF(G476="","",IF(G476&gt;=300,"✕ 要改善",IF(G476&gt;=200,"△ 注意","○ 良好")))</f>
        <v/>
      </c>
    </row>
    <row r="477">
      <c r="A477" s="66" t="n"/>
      <c r="B477" s="67">
        <f>IF(⑩盛付梱包工程入力!C171="","",⑩盛付梱包工程入力!C171)</f>
        <v/>
      </c>
      <c r="C477" s="82">
        <f>IF(⑩盛付梱包工程入力!B171="","",⑩盛付梱包工程入力!B171)</f>
        <v/>
      </c>
      <c r="D477" s="9">
        <f>IF(B477="","",⑩盛付梱包工程入力!I171)</f>
        <v/>
      </c>
      <c r="E477" s="9">
        <f>IF(B477="","",⑩盛付梱包工程入力!G171)</f>
        <v/>
      </c>
      <c r="F477" s="9">
        <f>IF(B477="","",⑩盛付梱包工程入力!M171)</f>
        <v/>
      </c>
      <c r="G477" s="513">
        <f>IF(AND(ISNUMBER(D477),ISNUMBER(F477),D477&gt;0),F477/D477,"")</f>
        <v/>
      </c>
      <c r="H477" s="7" t="n">
        <v>0</v>
      </c>
      <c r="I477" s="9">
        <f>IF(ISNUMBER(F477),-F477-H477,"")</f>
        <v/>
      </c>
      <c r="J477" s="69">
        <f>IF(G477="","",IF(G477&gt;=300,"✕ 要改善",IF(G477&gt;=200,"△ 注意","○ 良好")))</f>
        <v/>
      </c>
      <c r="K477" s="70" t="n"/>
    </row>
    <row r="478" ht="14" customHeight="1" s="438">
      <c r="A478" s="397" t="n"/>
      <c r="B478">
        <f>IF(⑩盛付梱包工程入力!C172="","",⑩盛付梱包工程入力!C172)</f>
        <v/>
      </c>
      <c r="C478">
        <f>IF(⑩盛付梱包工程入力!B172="","",⑩盛付梱包工程入力!B172)</f>
        <v/>
      </c>
      <c r="D478">
        <f>IF(B478="","",⑩盛付梱包工程入力!I172)</f>
        <v/>
      </c>
      <c r="E478">
        <f>IF(B478="","",⑩盛付梱包工程入力!G172)</f>
        <v/>
      </c>
      <c r="F478">
        <f>IF(B478="","",⑩盛付梱包工程入力!M172)</f>
        <v/>
      </c>
      <c r="G478">
        <f>IF(AND(ISNUMBER(D478),ISNUMBER(F478),D478&gt;0),F478/D478,"")</f>
        <v/>
      </c>
      <c r="H478" t="n">
        <v>0</v>
      </c>
      <c r="I478">
        <f>IF(ISNUMBER(F478),-F478-H478,"")</f>
        <v/>
      </c>
      <c r="J478">
        <f>IF(G478="","",IF(G478&gt;=300,"✕ 要改善",IF(G478&gt;=200,"△ 注意","○ 良好")))</f>
        <v/>
      </c>
    </row>
    <row r="479">
      <c r="A479" s="66" t="n"/>
      <c r="B479" s="67">
        <f>IF(⑩盛付梱包工程入力!C173="","",⑩盛付梱包工程入力!C173)</f>
        <v/>
      </c>
      <c r="C479" s="82">
        <f>IF(⑩盛付梱包工程入力!B173="","",⑩盛付梱包工程入力!B173)</f>
        <v/>
      </c>
      <c r="D479" s="9">
        <f>IF(B479="","",⑩盛付梱包工程入力!I173)</f>
        <v/>
      </c>
      <c r="E479" s="9">
        <f>IF(B479="","",⑩盛付梱包工程入力!G173)</f>
        <v/>
      </c>
      <c r="F479" s="9">
        <f>IF(B479="","",⑩盛付梱包工程入力!M173)</f>
        <v/>
      </c>
      <c r="G479" s="513">
        <f>IF(AND(ISNUMBER(D479),ISNUMBER(F479),D479&gt;0),F479/D479,"")</f>
        <v/>
      </c>
      <c r="H479" s="7" t="n">
        <v>0</v>
      </c>
      <c r="I479" s="9">
        <f>IF(ISNUMBER(F479),-F479-H479,"")</f>
        <v/>
      </c>
      <c r="J479" s="69">
        <f>IF(G479="","",IF(G479&gt;=300,"✕ 要改善",IF(G479&gt;=200,"△ 注意","○ 良好")))</f>
        <v/>
      </c>
      <c r="K479" s="70" t="n"/>
    </row>
    <row r="480" ht="14" customHeight="1" s="438">
      <c r="A480" s="397" t="n"/>
      <c r="B480">
        <f>IF(⑩盛付梱包工程入力!C174="","",⑩盛付梱包工程入力!C174)</f>
        <v/>
      </c>
      <c r="C480">
        <f>IF(⑩盛付梱包工程入力!B174="","",⑩盛付梱包工程入力!B174)</f>
        <v/>
      </c>
      <c r="D480">
        <f>IF(B480="","",⑩盛付梱包工程入力!I174)</f>
        <v/>
      </c>
      <c r="E480">
        <f>IF(B480="","",⑩盛付梱包工程入力!G174)</f>
        <v/>
      </c>
      <c r="F480">
        <f>IF(B480="","",⑩盛付梱包工程入力!M174)</f>
        <v/>
      </c>
      <c r="G480">
        <f>IF(AND(ISNUMBER(D480),ISNUMBER(F480),D480&gt;0),F480/D480,"")</f>
        <v/>
      </c>
      <c r="H480" t="n">
        <v>0</v>
      </c>
      <c r="I480">
        <f>IF(ISNUMBER(F480),-F480-H480,"")</f>
        <v/>
      </c>
      <c r="J480">
        <f>IF(G480="","",IF(G480&gt;=300,"✕ 要改善",IF(G480&gt;=200,"△ 注意","○ 良好")))</f>
        <v/>
      </c>
    </row>
    <row r="481">
      <c r="A481" s="66" t="n"/>
      <c r="B481" s="67">
        <f>IF(⑩盛付梱包工程入力!C175="","",⑩盛付梱包工程入力!C175)</f>
        <v/>
      </c>
      <c r="C481" s="82">
        <f>IF(⑩盛付梱包工程入力!B175="","",⑩盛付梱包工程入力!B175)</f>
        <v/>
      </c>
      <c r="D481" s="9">
        <f>IF(B481="","",⑩盛付梱包工程入力!I175)</f>
        <v/>
      </c>
      <c r="E481" s="9">
        <f>IF(B481="","",⑩盛付梱包工程入力!G175)</f>
        <v/>
      </c>
      <c r="F481" s="9">
        <f>IF(B481="","",⑩盛付梱包工程入力!M175)</f>
        <v/>
      </c>
      <c r="G481" s="513">
        <f>IF(AND(ISNUMBER(D481),ISNUMBER(F481),D481&gt;0),F481/D481,"")</f>
        <v/>
      </c>
      <c r="H481" s="7" t="n">
        <v>0</v>
      </c>
      <c r="I481" s="9">
        <f>IF(ISNUMBER(F481),-F481-H481,"")</f>
        <v/>
      </c>
      <c r="J481" s="69">
        <f>IF(G481="","",IF(G481&gt;=300,"✕ 要改善",IF(G481&gt;=200,"△ 注意","○ 良好")))</f>
        <v/>
      </c>
      <c r="K481" s="70" t="n"/>
    </row>
    <row r="482" ht="14" customHeight="1" s="438">
      <c r="A482" s="397" t="n"/>
      <c r="B482">
        <f>IF(⑩盛付梱包工程入力!C176="","",⑩盛付梱包工程入力!C176)</f>
        <v/>
      </c>
      <c r="C482">
        <f>IF(⑩盛付梱包工程入力!B176="","",⑩盛付梱包工程入力!B176)</f>
        <v/>
      </c>
      <c r="D482">
        <f>IF(B482="","",⑩盛付梱包工程入力!I176)</f>
        <v/>
      </c>
      <c r="E482">
        <f>IF(B482="","",⑩盛付梱包工程入力!G176)</f>
        <v/>
      </c>
      <c r="F482">
        <f>IF(B482="","",⑩盛付梱包工程入力!M176)</f>
        <v/>
      </c>
      <c r="G482">
        <f>IF(AND(ISNUMBER(D482),ISNUMBER(F482),D482&gt;0),F482/D482,"")</f>
        <v/>
      </c>
      <c r="H482" t="n">
        <v>0</v>
      </c>
      <c r="I482">
        <f>IF(ISNUMBER(F482),-F482-H482,"")</f>
        <v/>
      </c>
      <c r="J482">
        <f>IF(G482="","",IF(G482&gt;=300,"✕ 要改善",IF(G482&gt;=200,"△ 注意","○ 良好")))</f>
        <v/>
      </c>
    </row>
    <row r="483">
      <c r="A483" s="66" t="n"/>
      <c r="B483" s="67">
        <f>IF(⑩盛付梱包工程入力!C177="","",⑩盛付梱包工程入力!C177)</f>
        <v/>
      </c>
      <c r="C483" s="82">
        <f>IF(⑩盛付梱包工程入力!B177="","",⑩盛付梱包工程入力!B177)</f>
        <v/>
      </c>
      <c r="D483" s="9">
        <f>IF(B483="","",⑩盛付梱包工程入力!I177)</f>
        <v/>
      </c>
      <c r="E483" s="9">
        <f>IF(B483="","",⑩盛付梱包工程入力!G177)</f>
        <v/>
      </c>
      <c r="F483" s="9">
        <f>IF(B483="","",⑩盛付梱包工程入力!M177)</f>
        <v/>
      </c>
      <c r="G483" s="513">
        <f>IF(AND(ISNUMBER(D483),ISNUMBER(F483),D483&gt;0),F483/D483,"")</f>
        <v/>
      </c>
      <c r="H483" s="7" t="n">
        <v>0</v>
      </c>
      <c r="I483" s="9">
        <f>IF(ISNUMBER(F483),-F483-H483,"")</f>
        <v/>
      </c>
      <c r="J483" s="69">
        <f>IF(G483="","",IF(G483&gt;=300,"✕ 要改善",IF(G483&gt;=200,"△ 注意","○ 良好")))</f>
        <v/>
      </c>
      <c r="K483" s="70" t="n"/>
    </row>
    <row r="484" ht="14" customHeight="1" s="438">
      <c r="A484" s="397" t="n"/>
      <c r="B484">
        <f>IF(⑩盛付梱包工程入力!C178="","",⑩盛付梱包工程入力!C178)</f>
        <v/>
      </c>
      <c r="C484">
        <f>IF(⑩盛付梱包工程入力!B178="","",⑩盛付梱包工程入力!B178)</f>
        <v/>
      </c>
      <c r="D484">
        <f>IF(B484="","",⑩盛付梱包工程入力!I178)</f>
        <v/>
      </c>
      <c r="E484">
        <f>IF(B484="","",⑩盛付梱包工程入力!G178)</f>
        <v/>
      </c>
      <c r="F484">
        <f>IF(B484="","",⑩盛付梱包工程入力!M178)</f>
        <v/>
      </c>
      <c r="G484">
        <f>IF(AND(ISNUMBER(D484),ISNUMBER(F484),D484&gt;0),F484/D484,"")</f>
        <v/>
      </c>
      <c r="H484" t="n">
        <v>0</v>
      </c>
      <c r="I484">
        <f>IF(ISNUMBER(F484),-F484-H484,"")</f>
        <v/>
      </c>
      <c r="J484">
        <f>IF(G484="","",IF(G484&gt;=300,"✕ 要改善",IF(G484&gt;=200,"△ 注意","○ 良好")))</f>
        <v/>
      </c>
    </row>
    <row r="485">
      <c r="A485" s="66" t="n"/>
      <c r="B485" s="67">
        <f>IF(⑩盛付梱包工程入力!C179="","",⑩盛付梱包工程入力!C179)</f>
        <v/>
      </c>
      <c r="C485" s="82">
        <f>IF(⑩盛付梱包工程入力!B179="","",⑩盛付梱包工程入力!B179)</f>
        <v/>
      </c>
      <c r="D485" s="9">
        <f>IF(B485="","",⑩盛付梱包工程入力!I179)</f>
        <v/>
      </c>
      <c r="E485" s="9">
        <f>IF(B485="","",⑩盛付梱包工程入力!G179)</f>
        <v/>
      </c>
      <c r="F485" s="9">
        <f>IF(B485="","",⑩盛付梱包工程入力!M179)</f>
        <v/>
      </c>
      <c r="G485" s="513">
        <f>IF(AND(ISNUMBER(D485),ISNUMBER(F485),D485&gt;0),F485/D485,"")</f>
        <v/>
      </c>
      <c r="H485" s="7" t="n">
        <v>0</v>
      </c>
      <c r="I485" s="9">
        <f>IF(ISNUMBER(F485),-F485-H485,"")</f>
        <v/>
      </c>
      <c r="J485" s="69">
        <f>IF(G485="","",IF(G485&gt;=300,"✕ 要改善",IF(G485&gt;=200,"△ 注意","○ 良好")))</f>
        <v/>
      </c>
      <c r="K485" s="70" t="n"/>
    </row>
    <row r="486" ht="14" customHeight="1" s="438">
      <c r="A486" s="397" t="n"/>
      <c r="B486">
        <f>IF(⑩盛付梱包工程入力!C180="","",⑩盛付梱包工程入力!C180)</f>
        <v/>
      </c>
      <c r="C486">
        <f>IF(⑩盛付梱包工程入力!B180="","",⑩盛付梱包工程入力!B180)</f>
        <v/>
      </c>
      <c r="D486">
        <f>IF(B486="","",⑩盛付梱包工程入力!I180)</f>
        <v/>
      </c>
      <c r="E486">
        <f>IF(B486="","",⑩盛付梱包工程入力!G180)</f>
        <v/>
      </c>
      <c r="F486">
        <f>IF(B486="","",⑩盛付梱包工程入力!M180)</f>
        <v/>
      </c>
      <c r="G486">
        <f>IF(AND(ISNUMBER(D486),ISNUMBER(F486),D486&gt;0),F486/D486,"")</f>
        <v/>
      </c>
      <c r="H486" t="n">
        <v>0</v>
      </c>
      <c r="I486">
        <f>IF(ISNUMBER(F486),-F486-H486,"")</f>
        <v/>
      </c>
      <c r="J486">
        <f>IF(G486="","",IF(G486&gt;=300,"✕ 要改善",IF(G486&gt;=200,"△ 注意","○ 良好")))</f>
        <v/>
      </c>
    </row>
    <row r="487">
      <c r="A487" s="66" t="n"/>
      <c r="B487" s="67">
        <f>IF(⑩盛付梱包工程入力!C181="","",⑩盛付梱包工程入力!C181)</f>
        <v/>
      </c>
      <c r="C487" s="82">
        <f>IF(⑩盛付梱包工程入力!B181="","",⑩盛付梱包工程入力!B181)</f>
        <v/>
      </c>
      <c r="D487" s="9">
        <f>IF(B487="","",⑩盛付梱包工程入力!I181)</f>
        <v/>
      </c>
      <c r="E487" s="9">
        <f>IF(B487="","",⑩盛付梱包工程入力!G181)</f>
        <v/>
      </c>
      <c r="F487" s="9">
        <f>IF(B487="","",⑩盛付梱包工程入力!M181)</f>
        <v/>
      </c>
      <c r="G487" s="513">
        <f>IF(AND(ISNUMBER(D487),ISNUMBER(F487),D487&gt;0),F487/D487,"")</f>
        <v/>
      </c>
      <c r="H487" s="7" t="n">
        <v>0</v>
      </c>
      <c r="I487" s="9">
        <f>IF(ISNUMBER(F487),-F487-H487,"")</f>
        <v/>
      </c>
      <c r="J487" s="69">
        <f>IF(G487="","",IF(G487&gt;=300,"✕ 要改善",IF(G487&gt;=200,"△ 注意","○ 良好")))</f>
        <v/>
      </c>
      <c r="K487" s="70" t="n"/>
    </row>
    <row r="488" ht="14" customHeight="1" s="438">
      <c r="A488" s="397" t="n"/>
      <c r="B488">
        <f>IF(⑩盛付梱包工程入力!C182="","",⑩盛付梱包工程入力!C182)</f>
        <v/>
      </c>
      <c r="C488">
        <f>IF(⑩盛付梱包工程入力!B182="","",⑩盛付梱包工程入力!B182)</f>
        <v/>
      </c>
      <c r="D488">
        <f>IF(B488="","",⑩盛付梱包工程入力!I182)</f>
        <v/>
      </c>
      <c r="E488">
        <f>IF(B488="","",⑩盛付梱包工程入力!G182)</f>
        <v/>
      </c>
      <c r="F488">
        <f>IF(B488="","",⑩盛付梱包工程入力!M182)</f>
        <v/>
      </c>
      <c r="G488">
        <f>IF(AND(ISNUMBER(D488),ISNUMBER(F488),D488&gt;0),F488/D488,"")</f>
        <v/>
      </c>
      <c r="H488" t="n">
        <v>0</v>
      </c>
      <c r="I488">
        <f>IF(ISNUMBER(F488),-F488-H488,"")</f>
        <v/>
      </c>
      <c r="J488">
        <f>IF(G488="","",IF(G488&gt;=300,"✕ 要改善",IF(G488&gt;=200,"△ 注意","○ 良好")))</f>
        <v/>
      </c>
    </row>
    <row r="489">
      <c r="A489" s="66" t="n"/>
      <c r="B489" s="67">
        <f>IF(⑩盛付梱包工程入力!C183="","",⑩盛付梱包工程入力!C183)</f>
        <v/>
      </c>
      <c r="C489" s="82">
        <f>IF(⑩盛付梱包工程入力!B183="","",⑩盛付梱包工程入力!B183)</f>
        <v/>
      </c>
      <c r="D489" s="9">
        <f>IF(B489="","",⑩盛付梱包工程入力!I183)</f>
        <v/>
      </c>
      <c r="E489" s="9">
        <f>IF(B489="","",⑩盛付梱包工程入力!G183)</f>
        <v/>
      </c>
      <c r="F489" s="9">
        <f>IF(B489="","",⑩盛付梱包工程入力!M183)</f>
        <v/>
      </c>
      <c r="G489" s="513">
        <f>IF(AND(ISNUMBER(D489),ISNUMBER(F489),D489&gt;0),F489/D489,"")</f>
        <v/>
      </c>
      <c r="H489" s="7" t="n">
        <v>0</v>
      </c>
      <c r="I489" s="9">
        <f>IF(ISNUMBER(F489),-F489-H489,"")</f>
        <v/>
      </c>
      <c r="J489" s="69">
        <f>IF(G489="","",IF(G489&gt;=300,"✕ 要改善",IF(G489&gt;=200,"△ 注意","○ 良好")))</f>
        <v/>
      </c>
      <c r="K489" s="70" t="n"/>
    </row>
    <row r="490" ht="14" customHeight="1" s="438">
      <c r="A490" s="397" t="n"/>
      <c r="B490">
        <f>IF(⑩盛付梱包工程入力!C184="","",⑩盛付梱包工程入力!C184)</f>
        <v/>
      </c>
      <c r="C490">
        <f>IF(⑩盛付梱包工程入力!B184="","",⑩盛付梱包工程入力!B184)</f>
        <v/>
      </c>
      <c r="D490">
        <f>IF(B490="","",⑩盛付梱包工程入力!I184)</f>
        <v/>
      </c>
      <c r="E490">
        <f>IF(B490="","",⑩盛付梱包工程入力!G184)</f>
        <v/>
      </c>
      <c r="F490">
        <f>IF(B490="","",⑩盛付梱包工程入力!M184)</f>
        <v/>
      </c>
      <c r="G490">
        <f>IF(AND(ISNUMBER(D490),ISNUMBER(F490),D490&gt;0),F490/D490,"")</f>
        <v/>
      </c>
      <c r="H490" t="n">
        <v>0</v>
      </c>
      <c r="I490">
        <f>IF(ISNUMBER(F490),-F490-H490,"")</f>
        <v/>
      </c>
      <c r="J490">
        <f>IF(G490="","",IF(G490&gt;=300,"✕ 要改善",IF(G490&gt;=200,"△ 注意","○ 良好")))</f>
        <v/>
      </c>
    </row>
    <row r="491">
      <c r="A491" s="66" t="n"/>
      <c r="B491" s="67">
        <f>IF(⑩盛付梱包工程入力!C185="","",⑩盛付梱包工程入力!C185)</f>
        <v/>
      </c>
      <c r="C491" s="82">
        <f>IF(⑩盛付梱包工程入力!B185="","",⑩盛付梱包工程入力!B185)</f>
        <v/>
      </c>
      <c r="D491" s="9">
        <f>IF(B491="","",⑩盛付梱包工程入力!I185)</f>
        <v/>
      </c>
      <c r="E491" s="9">
        <f>IF(B491="","",⑩盛付梱包工程入力!G185)</f>
        <v/>
      </c>
      <c r="F491" s="9">
        <f>IF(B491="","",⑩盛付梱包工程入力!M185)</f>
        <v/>
      </c>
      <c r="G491" s="513">
        <f>IF(AND(ISNUMBER(D491),ISNUMBER(F491),D491&gt;0),F491/D491,"")</f>
        <v/>
      </c>
      <c r="H491" s="7" t="n">
        <v>0</v>
      </c>
      <c r="I491" s="9">
        <f>IF(ISNUMBER(F491),-F491-H491,"")</f>
        <v/>
      </c>
      <c r="J491" s="69">
        <f>IF(G491="","",IF(G491&gt;=300,"✕ 要改善",IF(G491&gt;=200,"△ 注意","○ 良好")))</f>
        <v/>
      </c>
      <c r="K491" s="70" t="n"/>
    </row>
    <row r="492" ht="14" customHeight="1" s="438">
      <c r="A492" s="397" t="n"/>
      <c r="B492">
        <f>IF(⑩盛付梱包工程入力!C186="","",⑩盛付梱包工程入力!C186)</f>
        <v/>
      </c>
      <c r="C492">
        <f>IF(⑩盛付梱包工程入力!B186="","",⑩盛付梱包工程入力!B186)</f>
        <v/>
      </c>
      <c r="D492">
        <f>IF(B492="","",⑩盛付梱包工程入力!I186)</f>
        <v/>
      </c>
      <c r="E492">
        <f>IF(B492="","",⑩盛付梱包工程入力!G186)</f>
        <v/>
      </c>
      <c r="F492">
        <f>IF(B492="","",⑩盛付梱包工程入力!M186)</f>
        <v/>
      </c>
      <c r="G492">
        <f>IF(AND(ISNUMBER(D492),ISNUMBER(F492),D492&gt;0),F492/D492,"")</f>
        <v/>
      </c>
      <c r="H492" t="n">
        <v>0</v>
      </c>
      <c r="I492">
        <f>IF(ISNUMBER(F492),-F492-H492,"")</f>
        <v/>
      </c>
      <c r="J492">
        <f>IF(G492="","",IF(G492&gt;=300,"✕ 要改善",IF(G492&gt;=200,"△ 注意","○ 良好")))</f>
        <v/>
      </c>
    </row>
    <row r="493">
      <c r="A493" s="66" t="n"/>
      <c r="B493" s="67">
        <f>IF(⑩盛付梱包工程入力!C187="","",⑩盛付梱包工程入力!C187)</f>
        <v/>
      </c>
      <c r="C493" s="82">
        <f>IF(⑩盛付梱包工程入力!B187="","",⑩盛付梱包工程入力!B187)</f>
        <v/>
      </c>
      <c r="D493" s="9">
        <f>IF(B493="","",⑩盛付梱包工程入力!I187)</f>
        <v/>
      </c>
      <c r="E493" s="9">
        <f>IF(B493="","",⑩盛付梱包工程入力!G187)</f>
        <v/>
      </c>
      <c r="F493" s="9">
        <f>IF(B493="","",⑩盛付梱包工程入力!M187)</f>
        <v/>
      </c>
      <c r="G493" s="513">
        <f>IF(AND(ISNUMBER(D493),ISNUMBER(F493),D493&gt;0),F493/D493,"")</f>
        <v/>
      </c>
      <c r="H493" s="7" t="n">
        <v>0</v>
      </c>
      <c r="I493" s="9">
        <f>IF(ISNUMBER(F493),-F493-H493,"")</f>
        <v/>
      </c>
      <c r="J493" s="69">
        <f>IF(G493="","",IF(G493&gt;=300,"✕ 要改善",IF(G493&gt;=200,"△ 注意","○ 良好")))</f>
        <v/>
      </c>
      <c r="K493" s="70" t="n"/>
    </row>
    <row r="494" ht="14" customHeight="1" s="438">
      <c r="A494" s="397" t="n"/>
      <c r="B494">
        <f>IF(⑩盛付梱包工程入力!C188="","",⑩盛付梱包工程入力!C188)</f>
        <v/>
      </c>
      <c r="C494">
        <f>IF(⑩盛付梱包工程入力!B188="","",⑩盛付梱包工程入力!B188)</f>
        <v/>
      </c>
      <c r="D494">
        <f>IF(B494="","",⑩盛付梱包工程入力!I188)</f>
        <v/>
      </c>
      <c r="E494">
        <f>IF(B494="","",⑩盛付梱包工程入力!G188)</f>
        <v/>
      </c>
      <c r="F494">
        <f>IF(B494="","",⑩盛付梱包工程入力!M188)</f>
        <v/>
      </c>
      <c r="G494">
        <f>IF(AND(ISNUMBER(D494),ISNUMBER(F494),D494&gt;0),F494/D494,"")</f>
        <v/>
      </c>
      <c r="H494" t="n">
        <v>0</v>
      </c>
      <c r="I494">
        <f>IF(ISNUMBER(F494),-F494-H494,"")</f>
        <v/>
      </c>
      <c r="J494">
        <f>IF(G494="","",IF(G494&gt;=300,"✕ 要改善",IF(G494&gt;=200,"△ 注意","○ 良好")))</f>
        <v/>
      </c>
    </row>
    <row r="495">
      <c r="A495" s="66" t="n"/>
      <c r="B495" s="67">
        <f>IF(⑩盛付梱包工程入力!C189="","",⑩盛付梱包工程入力!C189)</f>
        <v/>
      </c>
      <c r="C495" s="82">
        <f>IF(⑩盛付梱包工程入力!B189="","",⑩盛付梱包工程入力!B189)</f>
        <v/>
      </c>
      <c r="D495" s="9">
        <f>IF(B495="","",⑩盛付梱包工程入力!I189)</f>
        <v/>
      </c>
      <c r="E495" s="9">
        <f>IF(B495="","",⑩盛付梱包工程入力!G189)</f>
        <v/>
      </c>
      <c r="F495" s="9">
        <f>IF(B495="","",⑩盛付梱包工程入力!M189)</f>
        <v/>
      </c>
      <c r="G495" s="513">
        <f>IF(AND(ISNUMBER(D495),ISNUMBER(F495),D495&gt;0),F495/D495,"")</f>
        <v/>
      </c>
      <c r="H495" s="7" t="n">
        <v>0</v>
      </c>
      <c r="I495" s="9">
        <f>IF(ISNUMBER(F495),-F495-H495,"")</f>
        <v/>
      </c>
      <c r="J495" s="69">
        <f>IF(G495="","",IF(G495&gt;=300,"✕ 要改善",IF(G495&gt;=200,"△ 注意","○ 良好")))</f>
        <v/>
      </c>
      <c r="K495" s="70" t="n"/>
    </row>
    <row r="496" ht="14" customHeight="1" s="438">
      <c r="A496" s="397" t="n"/>
      <c r="B496">
        <f>IF(⑩盛付梱包工程入力!C190="","",⑩盛付梱包工程入力!C190)</f>
        <v/>
      </c>
      <c r="C496">
        <f>IF(⑩盛付梱包工程入力!B190="","",⑩盛付梱包工程入力!B190)</f>
        <v/>
      </c>
      <c r="D496">
        <f>IF(B496="","",⑩盛付梱包工程入力!I190)</f>
        <v/>
      </c>
      <c r="E496">
        <f>IF(B496="","",⑩盛付梱包工程入力!G190)</f>
        <v/>
      </c>
      <c r="F496">
        <f>IF(B496="","",⑩盛付梱包工程入力!M190)</f>
        <v/>
      </c>
      <c r="G496">
        <f>IF(AND(ISNUMBER(D496),ISNUMBER(F496),D496&gt;0),F496/D496,"")</f>
        <v/>
      </c>
      <c r="H496" t="n">
        <v>0</v>
      </c>
      <c r="I496">
        <f>IF(ISNUMBER(F496),-F496-H496,"")</f>
        <v/>
      </c>
      <c r="J496">
        <f>IF(G496="","",IF(G496&gt;=300,"✕ 要改善",IF(G496&gt;=200,"△ 注意","○ 良好")))</f>
        <v/>
      </c>
    </row>
    <row r="497">
      <c r="A497" s="66" t="n"/>
      <c r="B497" s="67">
        <f>IF(⑩盛付梱包工程入力!C191="","",⑩盛付梱包工程入力!C191)</f>
        <v/>
      </c>
      <c r="C497" s="82">
        <f>IF(⑩盛付梱包工程入力!B191="","",⑩盛付梱包工程入力!B191)</f>
        <v/>
      </c>
      <c r="D497" s="9">
        <f>IF(B497="","",⑩盛付梱包工程入力!I191)</f>
        <v/>
      </c>
      <c r="E497" s="9">
        <f>IF(B497="","",⑩盛付梱包工程入力!G191)</f>
        <v/>
      </c>
      <c r="F497" s="9">
        <f>IF(B497="","",⑩盛付梱包工程入力!M191)</f>
        <v/>
      </c>
      <c r="G497" s="513">
        <f>IF(AND(ISNUMBER(D497),ISNUMBER(F497),D497&gt;0),F497/D497,"")</f>
        <v/>
      </c>
      <c r="H497" s="7" t="n">
        <v>0</v>
      </c>
      <c r="I497" s="9">
        <f>IF(ISNUMBER(F497),-F497-H497,"")</f>
        <v/>
      </c>
      <c r="J497" s="69">
        <f>IF(G497="","",IF(G497&gt;=300,"✕ 要改善",IF(G497&gt;=200,"△ 注意","○ 良好")))</f>
        <v/>
      </c>
      <c r="K497" s="70" t="n"/>
    </row>
    <row r="498" ht="14" customHeight="1" s="438">
      <c r="A498" s="397" t="n"/>
      <c r="B498">
        <f>IF(⑩盛付梱包工程入力!C192="","",⑩盛付梱包工程入力!C192)</f>
        <v/>
      </c>
      <c r="C498">
        <f>IF(⑩盛付梱包工程入力!B192="","",⑩盛付梱包工程入力!B192)</f>
        <v/>
      </c>
      <c r="D498">
        <f>IF(B498="","",⑩盛付梱包工程入力!I192)</f>
        <v/>
      </c>
      <c r="E498">
        <f>IF(B498="","",⑩盛付梱包工程入力!G192)</f>
        <v/>
      </c>
      <c r="F498">
        <f>IF(B498="","",⑩盛付梱包工程入力!M192)</f>
        <v/>
      </c>
      <c r="G498">
        <f>IF(AND(ISNUMBER(D498),ISNUMBER(F498),D498&gt;0),F498/D498,"")</f>
        <v/>
      </c>
      <c r="H498" t="n">
        <v>0</v>
      </c>
      <c r="I498">
        <f>IF(ISNUMBER(F498),-F498-H498,"")</f>
        <v/>
      </c>
      <c r="J498">
        <f>IF(G498="","",IF(G498&gt;=300,"✕ 要改善",IF(G498&gt;=200,"△ 注意","○ 良好")))</f>
        <v/>
      </c>
    </row>
    <row r="499">
      <c r="A499" s="66" t="n"/>
      <c r="B499" s="67">
        <f>IF(⑩盛付梱包工程入力!C193="","",⑩盛付梱包工程入力!C193)</f>
        <v/>
      </c>
      <c r="C499" s="82">
        <f>IF(⑩盛付梱包工程入力!B193="","",⑩盛付梱包工程入力!B193)</f>
        <v/>
      </c>
      <c r="D499" s="9">
        <f>IF(B499="","",⑩盛付梱包工程入力!I193)</f>
        <v/>
      </c>
      <c r="E499" s="9">
        <f>IF(B499="","",⑩盛付梱包工程入力!G193)</f>
        <v/>
      </c>
      <c r="F499" s="9">
        <f>IF(B499="","",⑩盛付梱包工程入力!M193)</f>
        <v/>
      </c>
      <c r="G499" s="513">
        <f>IF(AND(ISNUMBER(D499),ISNUMBER(F499),D499&gt;0),F499/D499,"")</f>
        <v/>
      </c>
      <c r="H499" s="7" t="n">
        <v>0</v>
      </c>
      <c r="I499" s="9">
        <f>IF(ISNUMBER(F499),-F499-H499,"")</f>
        <v/>
      </c>
      <c r="J499" s="69">
        <f>IF(G499="","",IF(G499&gt;=300,"✕ 要改善",IF(G499&gt;=200,"△ 注意","○ 良好")))</f>
        <v/>
      </c>
      <c r="K499" s="70" t="n"/>
    </row>
    <row r="500" ht="14" customHeight="1" s="438">
      <c r="A500" s="397" t="n"/>
      <c r="B500">
        <f>IF(⑩盛付梱包工程入力!C194="","",⑩盛付梱包工程入力!C194)</f>
        <v/>
      </c>
      <c r="C500">
        <f>IF(⑩盛付梱包工程入力!B194="","",⑩盛付梱包工程入力!B194)</f>
        <v/>
      </c>
      <c r="D500">
        <f>IF(B500="","",⑩盛付梱包工程入力!I194)</f>
        <v/>
      </c>
      <c r="E500">
        <f>IF(B500="","",⑩盛付梱包工程入力!G194)</f>
        <v/>
      </c>
      <c r="F500">
        <f>IF(B500="","",⑩盛付梱包工程入力!M194)</f>
        <v/>
      </c>
      <c r="G500">
        <f>IF(AND(ISNUMBER(D500),ISNUMBER(F500),D500&gt;0),F500/D500,"")</f>
        <v/>
      </c>
      <c r="H500" t="n">
        <v>0</v>
      </c>
      <c r="I500">
        <f>IF(ISNUMBER(F500),-F500-H500,"")</f>
        <v/>
      </c>
      <c r="J500">
        <f>IF(G500="","",IF(G500&gt;=300,"✕ 要改善",IF(G500&gt;=200,"△ 注意","○ 良好")))</f>
        <v/>
      </c>
    </row>
    <row r="501">
      <c r="A501" s="66" t="n"/>
      <c r="B501" s="67">
        <f>IF(⑩盛付梱包工程入力!C195="","",⑩盛付梱包工程入力!C195)</f>
        <v/>
      </c>
      <c r="C501" s="82">
        <f>IF(⑩盛付梱包工程入力!B195="","",⑩盛付梱包工程入力!B195)</f>
        <v/>
      </c>
      <c r="D501" s="9">
        <f>IF(B501="","",⑩盛付梱包工程入力!I195)</f>
        <v/>
      </c>
      <c r="E501" s="9">
        <f>IF(B501="","",⑩盛付梱包工程入力!G195)</f>
        <v/>
      </c>
      <c r="F501" s="9">
        <f>IF(B501="","",⑩盛付梱包工程入力!M195)</f>
        <v/>
      </c>
      <c r="G501" s="513">
        <f>IF(AND(ISNUMBER(D501),ISNUMBER(F501),D501&gt;0),F501/D501,"")</f>
        <v/>
      </c>
      <c r="H501" s="7" t="n">
        <v>0</v>
      </c>
      <c r="I501" s="9">
        <f>IF(ISNUMBER(F501),-F501-H501,"")</f>
        <v/>
      </c>
      <c r="J501" s="69">
        <f>IF(G501="","",IF(G501&gt;=300,"✕ 要改善",IF(G501&gt;=200,"△ 注意","○ 良好")))</f>
        <v/>
      </c>
      <c r="K501" s="70" t="n"/>
    </row>
    <row r="502" ht="14" customHeight="1" s="438">
      <c r="A502" s="397" t="n"/>
      <c r="B502">
        <f>IF(⑩盛付梱包工程入力!C196="","",⑩盛付梱包工程入力!C196)</f>
        <v/>
      </c>
      <c r="C502">
        <f>IF(⑩盛付梱包工程入力!B196="","",⑩盛付梱包工程入力!B196)</f>
        <v/>
      </c>
      <c r="D502">
        <f>IF(B502="","",⑩盛付梱包工程入力!I196)</f>
        <v/>
      </c>
      <c r="E502">
        <f>IF(B502="","",⑩盛付梱包工程入力!G196)</f>
        <v/>
      </c>
      <c r="F502">
        <f>IF(B502="","",⑩盛付梱包工程入力!M196)</f>
        <v/>
      </c>
      <c r="G502">
        <f>IF(AND(ISNUMBER(D502),ISNUMBER(F502),D502&gt;0),F502/D502,"")</f>
        <v/>
      </c>
      <c r="H502" t="n">
        <v>0</v>
      </c>
      <c r="I502">
        <f>IF(ISNUMBER(F502),-F502-H502,"")</f>
        <v/>
      </c>
      <c r="J502">
        <f>IF(G502="","",IF(G502&gt;=300,"✕ 要改善",IF(G502&gt;=200,"△ 注意","○ 良好")))</f>
        <v/>
      </c>
    </row>
    <row r="503">
      <c r="A503" s="66" t="n"/>
      <c r="B503" s="67">
        <f>IF(⑩盛付梱包工程入力!C197="","",⑩盛付梱包工程入力!C197)</f>
        <v/>
      </c>
      <c r="C503" s="82">
        <f>IF(⑩盛付梱包工程入力!B197="","",⑩盛付梱包工程入力!B197)</f>
        <v/>
      </c>
      <c r="D503" s="9">
        <f>IF(B503="","",⑩盛付梱包工程入力!I197)</f>
        <v/>
      </c>
      <c r="E503" s="9">
        <f>IF(B503="","",⑩盛付梱包工程入力!G197)</f>
        <v/>
      </c>
      <c r="F503" s="9">
        <f>IF(B503="","",⑩盛付梱包工程入力!M197)</f>
        <v/>
      </c>
      <c r="G503" s="513">
        <f>IF(AND(ISNUMBER(D503),ISNUMBER(F503),D503&gt;0),F503/D503,"")</f>
        <v/>
      </c>
      <c r="H503" s="7" t="n">
        <v>0</v>
      </c>
      <c r="I503" s="9">
        <f>IF(ISNUMBER(F503),-F503-H503,"")</f>
        <v/>
      </c>
      <c r="J503" s="69">
        <f>IF(G503="","",IF(G503&gt;=300,"✕ 要改善",IF(G503&gt;=200,"△ 注意","○ 良好")))</f>
        <v/>
      </c>
      <c r="K503" s="70" t="n"/>
    </row>
    <row r="504" ht="14" customHeight="1" s="438">
      <c r="A504" s="397" t="n"/>
      <c r="B504">
        <f>IF(⑩盛付梱包工程入力!C198="","",⑩盛付梱包工程入力!C198)</f>
        <v/>
      </c>
      <c r="C504">
        <f>IF(⑩盛付梱包工程入力!B198="","",⑩盛付梱包工程入力!B198)</f>
        <v/>
      </c>
      <c r="D504">
        <f>IF(B504="","",⑩盛付梱包工程入力!I198)</f>
        <v/>
      </c>
      <c r="E504">
        <f>IF(B504="","",⑩盛付梱包工程入力!G198)</f>
        <v/>
      </c>
      <c r="F504">
        <f>IF(B504="","",⑩盛付梱包工程入力!M198)</f>
        <v/>
      </c>
      <c r="G504">
        <f>IF(AND(ISNUMBER(D504),ISNUMBER(F504),D504&gt;0),F504/D504,"")</f>
        <v/>
      </c>
      <c r="H504" t="n">
        <v>0</v>
      </c>
      <c r="I504">
        <f>IF(ISNUMBER(F504),-F504-H504,"")</f>
        <v/>
      </c>
      <c r="J504">
        <f>IF(G504="","",IF(G504&gt;=300,"✕ 要改善",IF(G504&gt;=200,"△ 注意","○ 良好")))</f>
        <v/>
      </c>
    </row>
    <row r="505">
      <c r="A505" s="66" t="n"/>
      <c r="B505" s="67">
        <f>IF(⑩盛付梱包工程入力!C199="","",⑩盛付梱包工程入力!C199)</f>
        <v/>
      </c>
      <c r="C505" s="82">
        <f>IF(⑩盛付梱包工程入力!B199="","",⑩盛付梱包工程入力!B199)</f>
        <v/>
      </c>
      <c r="D505" s="9">
        <f>IF(B505="","",⑩盛付梱包工程入力!I199)</f>
        <v/>
      </c>
      <c r="E505" s="9">
        <f>IF(B505="","",⑩盛付梱包工程入力!G199)</f>
        <v/>
      </c>
      <c r="F505" s="9">
        <f>IF(B505="","",⑩盛付梱包工程入力!M199)</f>
        <v/>
      </c>
      <c r="G505" s="513">
        <f>IF(AND(ISNUMBER(D505),ISNUMBER(F505),D505&gt;0),F505/D505,"")</f>
        <v/>
      </c>
      <c r="H505" s="7" t="n">
        <v>0</v>
      </c>
      <c r="I505" s="9">
        <f>IF(ISNUMBER(F505),-F505-H505,"")</f>
        <v/>
      </c>
      <c r="J505" s="69">
        <f>IF(G505="","",IF(G505&gt;=300,"✕ 要改善",IF(G505&gt;=200,"△ 注意","○ 良好")))</f>
        <v/>
      </c>
      <c r="K505" s="70" t="n"/>
    </row>
    <row r="506" ht="14" customHeight="1" s="438">
      <c r="A506" s="397" t="n"/>
      <c r="B506">
        <f>IF(⑩盛付梱包工程入力!C200="","",⑩盛付梱包工程入力!C200)</f>
        <v/>
      </c>
      <c r="C506">
        <f>IF(⑩盛付梱包工程入力!B200="","",⑩盛付梱包工程入力!B200)</f>
        <v/>
      </c>
      <c r="D506">
        <f>IF(B506="","",⑩盛付梱包工程入力!I200)</f>
        <v/>
      </c>
      <c r="E506">
        <f>IF(B506="","",⑩盛付梱包工程入力!G200)</f>
        <v/>
      </c>
      <c r="F506">
        <f>IF(B506="","",⑩盛付梱包工程入力!M200)</f>
        <v/>
      </c>
      <c r="G506">
        <f>IF(AND(ISNUMBER(D506),ISNUMBER(F506),D506&gt;0),F506/D506,"")</f>
        <v/>
      </c>
      <c r="H506" t="n">
        <v>0</v>
      </c>
      <c r="I506">
        <f>IF(ISNUMBER(F506),-F506-H506,"")</f>
        <v/>
      </c>
      <c r="J506">
        <f>IF(G506="","",IF(G506&gt;=300,"✕ 要改善",IF(G506&gt;=200,"△ 注意","○ 良好")))</f>
        <v/>
      </c>
    </row>
    <row r="507">
      <c r="A507" s="66" t="n"/>
      <c r="B507" s="67">
        <f>IF(⑩盛付梱包工程入力!C201="","",⑩盛付梱包工程入力!C201)</f>
        <v/>
      </c>
      <c r="C507" s="82">
        <f>IF(⑩盛付梱包工程入力!B201="","",⑩盛付梱包工程入力!B201)</f>
        <v/>
      </c>
      <c r="D507" s="9">
        <f>IF(B507="","",⑩盛付梱包工程入力!I201)</f>
        <v/>
      </c>
      <c r="E507" s="9">
        <f>IF(B507="","",⑩盛付梱包工程入力!G201)</f>
        <v/>
      </c>
      <c r="F507" s="9">
        <f>IF(B507="","",⑩盛付梱包工程入力!M201)</f>
        <v/>
      </c>
      <c r="G507" s="513">
        <f>IF(AND(ISNUMBER(D507),ISNUMBER(F507),D507&gt;0),F507/D507,"")</f>
        <v/>
      </c>
      <c r="H507" s="7" t="n">
        <v>0</v>
      </c>
      <c r="I507" s="9">
        <f>IF(ISNUMBER(F507),-F507-H507,"")</f>
        <v/>
      </c>
      <c r="J507" s="69">
        <f>IF(G507="","",IF(G507&gt;=300,"✕ 要改善",IF(G507&gt;=200,"△ 注意","○ 良好")))</f>
        <v/>
      </c>
      <c r="K507" s="70" t="n"/>
    </row>
    <row r="508" ht="14" customHeight="1" s="438">
      <c r="A508" s="397" t="n"/>
      <c r="B508">
        <f>IF(⑩盛付梱包工程入力!C202="","",⑩盛付梱包工程入力!C202)</f>
        <v/>
      </c>
      <c r="C508">
        <f>IF(⑩盛付梱包工程入力!B202="","",⑩盛付梱包工程入力!B202)</f>
        <v/>
      </c>
      <c r="D508">
        <f>IF(B508="","",⑩盛付梱包工程入力!I202)</f>
        <v/>
      </c>
      <c r="E508">
        <f>IF(B508="","",⑩盛付梱包工程入力!G202)</f>
        <v/>
      </c>
      <c r="F508">
        <f>IF(B508="","",⑩盛付梱包工程入力!M202)</f>
        <v/>
      </c>
      <c r="G508">
        <f>IF(AND(ISNUMBER(D508),ISNUMBER(F508),D508&gt;0),F508/D508,"")</f>
        <v/>
      </c>
      <c r="H508" t="n">
        <v>0</v>
      </c>
      <c r="I508">
        <f>IF(ISNUMBER(F508),-F508-H508,"")</f>
        <v/>
      </c>
      <c r="J508">
        <f>IF(G508="","",IF(G508&gt;=300,"✕ 要改善",IF(G508&gt;=200,"△ 注意","○ 良好")))</f>
        <v/>
      </c>
    </row>
    <row r="509">
      <c r="A509" s="66" t="n"/>
      <c r="B509" s="67">
        <f>IF(⑩盛付梱包工程入力!C203="","",⑩盛付梱包工程入力!C203)</f>
        <v/>
      </c>
      <c r="C509" s="82">
        <f>IF(⑩盛付梱包工程入力!B203="","",⑩盛付梱包工程入力!B203)</f>
        <v/>
      </c>
      <c r="D509" s="9">
        <f>IF(B509="","",⑩盛付梱包工程入力!I203)</f>
        <v/>
      </c>
      <c r="E509" s="9">
        <f>IF(B509="","",⑩盛付梱包工程入力!G203)</f>
        <v/>
      </c>
      <c r="F509" s="9">
        <f>IF(B509="","",⑩盛付梱包工程入力!M203)</f>
        <v/>
      </c>
      <c r="G509" s="513">
        <f>IF(AND(ISNUMBER(D509),ISNUMBER(F509),D509&gt;0),F509/D509,"")</f>
        <v/>
      </c>
      <c r="H509" s="7" t="n">
        <v>0</v>
      </c>
      <c r="I509" s="9">
        <f>IF(ISNUMBER(F509),-F509-H509,"")</f>
        <v/>
      </c>
      <c r="J509" s="69">
        <f>IF(G509="","",IF(G509&gt;=300,"✕ 要改善",IF(G509&gt;=200,"△ 注意","○ 良好")))</f>
        <v/>
      </c>
      <c r="K509" s="70" t="n"/>
    </row>
    <row r="510" ht="14" customHeight="1" s="438">
      <c r="A510" s="397" t="n"/>
      <c r="B510">
        <f>IF(⑩盛付梱包工程入力!C204="","",⑩盛付梱包工程入力!C204)</f>
        <v/>
      </c>
      <c r="C510">
        <f>IF(⑩盛付梱包工程入力!B204="","",⑩盛付梱包工程入力!B204)</f>
        <v/>
      </c>
      <c r="D510">
        <f>IF(B510="","",⑩盛付梱包工程入力!I204)</f>
        <v/>
      </c>
      <c r="E510">
        <f>IF(B510="","",⑩盛付梱包工程入力!G204)</f>
        <v/>
      </c>
      <c r="F510">
        <f>IF(B510="","",⑩盛付梱包工程入力!M204)</f>
        <v/>
      </c>
      <c r="G510">
        <f>IF(AND(ISNUMBER(D510),ISNUMBER(F510),D510&gt;0),F510/D510,"")</f>
        <v/>
      </c>
      <c r="H510" t="n">
        <v>0</v>
      </c>
      <c r="I510">
        <f>IF(ISNUMBER(F510),-F510-H510,"")</f>
        <v/>
      </c>
      <c r="J510">
        <f>IF(G510="","",IF(G510&gt;=300,"✕ 要改善",IF(G510&gt;=200,"△ 注意","○ 良好")))</f>
        <v/>
      </c>
    </row>
    <row r="511">
      <c r="A511" s="66" t="n"/>
      <c r="B511" s="67">
        <f>IF(⑩盛付梱包工程入力!C205="","",⑩盛付梱包工程入力!C205)</f>
        <v/>
      </c>
      <c r="C511" s="82">
        <f>IF(⑩盛付梱包工程入力!B205="","",⑩盛付梱包工程入力!B205)</f>
        <v/>
      </c>
      <c r="D511" s="9">
        <f>IF(B511="","",⑩盛付梱包工程入力!I205)</f>
        <v/>
      </c>
      <c r="E511" s="9">
        <f>IF(B511="","",⑩盛付梱包工程入力!G205)</f>
        <v/>
      </c>
      <c r="F511" s="9">
        <f>IF(B511="","",⑩盛付梱包工程入力!M205)</f>
        <v/>
      </c>
      <c r="G511" s="513">
        <f>IF(AND(ISNUMBER(D511),ISNUMBER(F511),D511&gt;0),F511/D511,"")</f>
        <v/>
      </c>
      <c r="H511" s="7" t="n">
        <v>0</v>
      </c>
      <c r="I511" s="9">
        <f>IF(ISNUMBER(F511),-F511-H511,"")</f>
        <v/>
      </c>
      <c r="J511" s="69">
        <f>IF(G511="","",IF(G511&gt;=300,"✕ 要改善",IF(G511&gt;=200,"△ 注意","○ 良好")))</f>
        <v/>
      </c>
      <c r="K511" s="70" t="n"/>
    </row>
    <row r="512" ht="14" customHeight="1" s="438">
      <c r="A512" s="397" t="n"/>
      <c r="B512">
        <f>IF(⑩盛付梱包工程入力!C206="","",⑩盛付梱包工程入力!C206)</f>
        <v/>
      </c>
      <c r="C512">
        <f>IF(⑩盛付梱包工程入力!B206="","",⑩盛付梱包工程入力!B206)</f>
        <v/>
      </c>
      <c r="D512">
        <f>IF(B512="","",⑩盛付梱包工程入力!I206)</f>
        <v/>
      </c>
      <c r="E512">
        <f>IF(B512="","",⑩盛付梱包工程入力!G206)</f>
        <v/>
      </c>
      <c r="F512">
        <f>IF(B512="","",⑩盛付梱包工程入力!M206)</f>
        <v/>
      </c>
      <c r="G512">
        <f>IF(AND(ISNUMBER(D512),ISNUMBER(F512),D512&gt;0),F512/D512,"")</f>
        <v/>
      </c>
      <c r="H512" t="n">
        <v>0</v>
      </c>
      <c r="I512">
        <f>IF(ISNUMBER(F512),-F512-H512,"")</f>
        <v/>
      </c>
      <c r="J512">
        <f>IF(G512="","",IF(G512&gt;=300,"✕ 要改善",IF(G512&gt;=200,"△ 注意","○ 良好")))</f>
        <v/>
      </c>
    </row>
    <row r="513">
      <c r="A513" s="66" t="n"/>
      <c r="B513" s="67">
        <f>IF(⑩盛付梱包工程入力!C207="","",⑩盛付梱包工程入力!C207)</f>
        <v/>
      </c>
      <c r="C513" s="82">
        <f>IF(⑩盛付梱包工程入力!B207="","",⑩盛付梱包工程入力!B207)</f>
        <v/>
      </c>
      <c r="D513" s="9">
        <f>IF(B513="","",⑩盛付梱包工程入力!I207)</f>
        <v/>
      </c>
      <c r="E513" s="9">
        <f>IF(B513="","",⑩盛付梱包工程入力!G207)</f>
        <v/>
      </c>
      <c r="F513" s="9">
        <f>IF(B513="","",⑩盛付梱包工程入力!M207)</f>
        <v/>
      </c>
      <c r="G513" s="513">
        <f>IF(AND(ISNUMBER(D513),ISNUMBER(F513),D513&gt;0),F513/D513,"")</f>
        <v/>
      </c>
      <c r="H513" s="7" t="n">
        <v>0</v>
      </c>
      <c r="I513" s="9">
        <f>IF(ISNUMBER(F513),-F513-H513,"")</f>
        <v/>
      </c>
      <c r="J513" s="69">
        <f>IF(G513="","",IF(G513&gt;=300,"✕ 要改善",IF(G513&gt;=200,"△ 注意","○ 良好")))</f>
        <v/>
      </c>
      <c r="K513" s="70" t="n"/>
    </row>
    <row r="514" ht="14" customHeight="1" s="438">
      <c r="A514" s="397" t="n"/>
      <c r="B514">
        <f>IF(⑩盛付梱包工程入力!C208="","",⑩盛付梱包工程入力!C208)</f>
        <v/>
      </c>
      <c r="C514">
        <f>IF(⑩盛付梱包工程入力!B208="","",⑩盛付梱包工程入力!B208)</f>
        <v/>
      </c>
      <c r="D514">
        <f>IF(B514="","",⑩盛付梱包工程入力!I208)</f>
        <v/>
      </c>
      <c r="E514">
        <f>IF(B514="","",⑩盛付梱包工程入力!G208)</f>
        <v/>
      </c>
      <c r="F514">
        <f>IF(B514="","",⑩盛付梱包工程入力!M208)</f>
        <v/>
      </c>
      <c r="G514">
        <f>IF(AND(ISNUMBER(D514),ISNUMBER(F514),D514&gt;0),F514/D514,"")</f>
        <v/>
      </c>
      <c r="H514" t="n">
        <v>0</v>
      </c>
      <c r="I514">
        <f>IF(ISNUMBER(F514),-F514-H514,"")</f>
        <v/>
      </c>
      <c r="J514">
        <f>IF(G514="","",IF(G514&gt;=300,"✕ 要改善",IF(G514&gt;=200,"△ 注意","○ 良好")))</f>
        <v/>
      </c>
    </row>
    <row r="515">
      <c r="A515" s="66" t="n"/>
      <c r="B515" s="67">
        <f>IF(⑩盛付梱包工程入力!C209="","",⑩盛付梱包工程入力!C209)</f>
        <v/>
      </c>
      <c r="C515" s="82">
        <f>IF(⑩盛付梱包工程入力!B209="","",⑩盛付梱包工程入力!B209)</f>
        <v/>
      </c>
      <c r="D515" s="9">
        <f>IF(B515="","",⑩盛付梱包工程入力!I209)</f>
        <v/>
      </c>
      <c r="E515" s="9">
        <f>IF(B515="","",⑩盛付梱包工程入力!G209)</f>
        <v/>
      </c>
      <c r="F515" s="9">
        <f>IF(B515="","",⑩盛付梱包工程入力!M209)</f>
        <v/>
      </c>
      <c r="G515" s="513">
        <f>IF(AND(ISNUMBER(D515),ISNUMBER(F515),D515&gt;0),F515/D515,"")</f>
        <v/>
      </c>
      <c r="H515" s="7" t="n">
        <v>0</v>
      </c>
      <c r="I515" s="9">
        <f>IF(ISNUMBER(F515),-F515-H515,"")</f>
        <v/>
      </c>
      <c r="J515" s="69">
        <f>IF(G515="","",IF(G515&gt;=300,"✕ 要改善",IF(G515&gt;=200,"△ 注意","○ 良好")))</f>
        <v/>
      </c>
      <c r="K515" s="70" t="n"/>
    </row>
    <row r="516" ht="14" customHeight="1" s="438">
      <c r="A516" s="397" t="n"/>
      <c r="B516">
        <f>IF(⑩盛付梱包工程入力!C210="","",⑩盛付梱包工程入力!C210)</f>
        <v/>
      </c>
      <c r="C516">
        <f>IF(⑩盛付梱包工程入力!B210="","",⑩盛付梱包工程入力!B210)</f>
        <v/>
      </c>
      <c r="D516">
        <f>IF(B516="","",⑩盛付梱包工程入力!I210)</f>
        <v/>
      </c>
      <c r="E516">
        <f>IF(B516="","",⑩盛付梱包工程入力!G210)</f>
        <v/>
      </c>
      <c r="F516">
        <f>IF(B516="","",⑩盛付梱包工程入力!M210)</f>
        <v/>
      </c>
      <c r="G516">
        <f>IF(AND(ISNUMBER(D516),ISNUMBER(F516),D516&gt;0),F516/D516,"")</f>
        <v/>
      </c>
      <c r="H516" t="n">
        <v>0</v>
      </c>
      <c r="I516">
        <f>IF(ISNUMBER(F516),-F516-H516,"")</f>
        <v/>
      </c>
      <c r="J516">
        <f>IF(G516="","",IF(G516&gt;=300,"✕ 要改善",IF(G516&gt;=200,"△ 注意","○ 良好")))</f>
        <v/>
      </c>
    </row>
    <row r="517">
      <c r="A517" s="66" t="n"/>
      <c r="B517" s="67">
        <f>IF(⑩盛付梱包工程入力!C211="","",⑩盛付梱包工程入力!C211)</f>
        <v/>
      </c>
      <c r="C517" s="82">
        <f>IF(⑩盛付梱包工程入力!B211="","",⑩盛付梱包工程入力!B211)</f>
        <v/>
      </c>
      <c r="D517" s="9">
        <f>IF(B517="","",⑩盛付梱包工程入力!I211)</f>
        <v/>
      </c>
      <c r="E517" s="9">
        <f>IF(B517="","",⑩盛付梱包工程入力!G211)</f>
        <v/>
      </c>
      <c r="F517" s="9">
        <f>IF(B517="","",⑩盛付梱包工程入力!M211)</f>
        <v/>
      </c>
      <c r="G517" s="513">
        <f>IF(AND(ISNUMBER(D517),ISNUMBER(F517),D517&gt;0),F517/D517,"")</f>
        <v/>
      </c>
      <c r="H517" s="7" t="n">
        <v>0</v>
      </c>
      <c r="I517" s="9">
        <f>IF(ISNUMBER(F517),-F517-H517,"")</f>
        <v/>
      </c>
      <c r="J517" s="69">
        <f>IF(G517="","",IF(G517&gt;=300,"✕ 要改善",IF(G517&gt;=200,"△ 注意","○ 良好")))</f>
        <v/>
      </c>
      <c r="K517" s="70" t="n"/>
    </row>
    <row r="518" ht="14" customHeight="1" s="438">
      <c r="A518" s="397" t="n"/>
      <c r="B518">
        <f>IF(⑩盛付梱包工程入力!C212="","",⑩盛付梱包工程入力!C212)</f>
        <v/>
      </c>
      <c r="C518">
        <f>IF(⑩盛付梱包工程入力!B212="","",⑩盛付梱包工程入力!B212)</f>
        <v/>
      </c>
      <c r="D518">
        <f>IF(B518="","",⑩盛付梱包工程入力!I212)</f>
        <v/>
      </c>
      <c r="E518">
        <f>IF(B518="","",⑩盛付梱包工程入力!G212)</f>
        <v/>
      </c>
      <c r="F518">
        <f>IF(B518="","",⑩盛付梱包工程入力!M212)</f>
        <v/>
      </c>
      <c r="G518">
        <f>IF(AND(ISNUMBER(D518),ISNUMBER(F518),D518&gt;0),F518/D518,"")</f>
        <v/>
      </c>
      <c r="H518" t="n">
        <v>0</v>
      </c>
      <c r="I518">
        <f>IF(ISNUMBER(F518),-F518-H518,"")</f>
        <v/>
      </c>
      <c r="J518">
        <f>IF(G518="","",IF(G518&gt;=300,"✕ 要改善",IF(G518&gt;=200,"△ 注意","○ 良好")))</f>
        <v/>
      </c>
    </row>
    <row r="519">
      <c r="A519" s="66" t="n"/>
      <c r="B519" s="67">
        <f>IF(⑩盛付梱包工程入力!C213="","",⑩盛付梱包工程入力!C213)</f>
        <v/>
      </c>
      <c r="C519" s="82">
        <f>IF(⑩盛付梱包工程入力!B213="","",⑩盛付梱包工程入力!B213)</f>
        <v/>
      </c>
      <c r="D519" s="9">
        <f>IF(B519="","",⑩盛付梱包工程入力!I213)</f>
        <v/>
      </c>
      <c r="E519" s="9">
        <f>IF(B519="","",⑩盛付梱包工程入力!G213)</f>
        <v/>
      </c>
      <c r="F519" s="9">
        <f>IF(B519="","",⑩盛付梱包工程入力!M213)</f>
        <v/>
      </c>
      <c r="G519" s="513">
        <f>IF(AND(ISNUMBER(D519),ISNUMBER(F519),D519&gt;0),F519/D519,"")</f>
        <v/>
      </c>
      <c r="H519" s="7" t="n">
        <v>0</v>
      </c>
      <c r="I519" s="9">
        <f>IF(ISNUMBER(F519),-F519-H519,"")</f>
        <v/>
      </c>
      <c r="J519" s="69">
        <f>IF(G519="","",IF(G519&gt;=300,"✕ 要改善",IF(G519&gt;=200,"△ 注意","○ 良好")))</f>
        <v/>
      </c>
      <c r="K519" s="70" t="n"/>
    </row>
    <row r="520" ht="14" customHeight="1" s="438">
      <c r="A520" s="397" t="n"/>
      <c r="B520">
        <f>IF(⑩盛付梱包工程入力!C214="","",⑩盛付梱包工程入力!C214)</f>
        <v/>
      </c>
      <c r="C520">
        <f>IF(⑩盛付梱包工程入力!B214="","",⑩盛付梱包工程入力!B214)</f>
        <v/>
      </c>
      <c r="D520">
        <f>IF(B520="","",⑩盛付梱包工程入力!I214)</f>
        <v/>
      </c>
      <c r="E520">
        <f>IF(B520="","",⑩盛付梱包工程入力!G214)</f>
        <v/>
      </c>
      <c r="F520">
        <f>IF(B520="","",⑩盛付梱包工程入力!M214)</f>
        <v/>
      </c>
      <c r="G520">
        <f>IF(AND(ISNUMBER(D520),ISNUMBER(F520),D520&gt;0),F520/D520,"")</f>
        <v/>
      </c>
      <c r="H520" t="n">
        <v>0</v>
      </c>
      <c r="I520">
        <f>IF(ISNUMBER(F520),-F520-H520,"")</f>
        <v/>
      </c>
      <c r="J520">
        <f>IF(G520="","",IF(G520&gt;=300,"✕ 要改善",IF(G520&gt;=200,"△ 注意","○ 良好")))</f>
        <v/>
      </c>
    </row>
    <row r="521">
      <c r="A521" s="66" t="n"/>
      <c r="B521" s="67">
        <f>IF(⑩盛付梱包工程入力!C215="","",⑩盛付梱包工程入力!C215)</f>
        <v/>
      </c>
      <c r="C521" s="82">
        <f>IF(⑩盛付梱包工程入力!B215="","",⑩盛付梱包工程入力!B215)</f>
        <v/>
      </c>
      <c r="D521" s="9">
        <f>IF(B521="","",⑩盛付梱包工程入力!I215)</f>
        <v/>
      </c>
      <c r="E521" s="9">
        <f>IF(B521="","",⑩盛付梱包工程入力!G215)</f>
        <v/>
      </c>
      <c r="F521" s="9">
        <f>IF(B521="","",⑩盛付梱包工程入力!M215)</f>
        <v/>
      </c>
      <c r="G521" s="513">
        <f>IF(AND(ISNUMBER(D521),ISNUMBER(F521),D521&gt;0),F521/D521,"")</f>
        <v/>
      </c>
      <c r="H521" s="7" t="n">
        <v>0</v>
      </c>
      <c r="I521" s="9">
        <f>IF(ISNUMBER(F521),-F521-H521,"")</f>
        <v/>
      </c>
      <c r="J521" s="69">
        <f>IF(G521="","",IF(G521&gt;=300,"✕ 要改善",IF(G521&gt;=200,"△ 注意","○ 良好")))</f>
        <v/>
      </c>
      <c r="K521" s="70" t="n"/>
    </row>
    <row r="522" ht="14" customHeight="1" s="438">
      <c r="A522" s="397" t="n"/>
      <c r="B522">
        <f>IF(⑩盛付梱包工程入力!C216="","",⑩盛付梱包工程入力!C216)</f>
        <v/>
      </c>
      <c r="C522">
        <f>IF(⑩盛付梱包工程入力!B216="","",⑩盛付梱包工程入力!B216)</f>
        <v/>
      </c>
      <c r="D522">
        <f>IF(B522="","",⑩盛付梱包工程入力!I216)</f>
        <v/>
      </c>
      <c r="E522">
        <f>IF(B522="","",⑩盛付梱包工程入力!G216)</f>
        <v/>
      </c>
      <c r="F522">
        <f>IF(B522="","",⑩盛付梱包工程入力!M216)</f>
        <v/>
      </c>
      <c r="G522">
        <f>IF(AND(ISNUMBER(D522),ISNUMBER(F522),D522&gt;0),F522/D522,"")</f>
        <v/>
      </c>
      <c r="H522" t="n">
        <v>0</v>
      </c>
      <c r="I522">
        <f>IF(ISNUMBER(F522),-F522-H522,"")</f>
        <v/>
      </c>
      <c r="J522">
        <f>IF(G522="","",IF(G522&gt;=300,"✕ 要改善",IF(G522&gt;=200,"△ 注意","○ 良好")))</f>
        <v/>
      </c>
    </row>
    <row r="523">
      <c r="A523" s="66" t="n"/>
      <c r="B523" s="67">
        <f>IF(⑩盛付梱包工程入力!C217="","",⑩盛付梱包工程入力!C217)</f>
        <v/>
      </c>
      <c r="C523" s="82">
        <f>IF(⑩盛付梱包工程入力!B217="","",⑩盛付梱包工程入力!B217)</f>
        <v/>
      </c>
      <c r="D523" s="9">
        <f>IF(B523="","",⑩盛付梱包工程入力!I217)</f>
        <v/>
      </c>
      <c r="E523" s="9">
        <f>IF(B523="","",⑩盛付梱包工程入力!G217)</f>
        <v/>
      </c>
      <c r="F523" s="9">
        <f>IF(B523="","",⑩盛付梱包工程入力!M217)</f>
        <v/>
      </c>
      <c r="G523" s="513">
        <f>IF(AND(ISNUMBER(D523),ISNUMBER(F523),D523&gt;0),F523/D523,"")</f>
        <v/>
      </c>
      <c r="H523" s="7" t="n">
        <v>0</v>
      </c>
      <c r="I523" s="9">
        <f>IF(ISNUMBER(F523),-F523-H523,"")</f>
        <v/>
      </c>
      <c r="J523" s="69">
        <f>IF(G523="","",IF(G523&gt;=300,"✕ 要改善",IF(G523&gt;=200,"△ 注意","○ 良好")))</f>
        <v/>
      </c>
      <c r="K523" s="70" t="n"/>
    </row>
    <row r="524" ht="14" customHeight="1" s="438">
      <c r="A524" s="397" t="n"/>
      <c r="B524">
        <f>IF(⑩盛付梱包工程入力!C218="","",⑩盛付梱包工程入力!C218)</f>
        <v/>
      </c>
      <c r="C524">
        <f>IF(⑩盛付梱包工程入力!B218="","",⑩盛付梱包工程入力!B218)</f>
        <v/>
      </c>
      <c r="D524">
        <f>IF(B524="","",⑩盛付梱包工程入力!I218)</f>
        <v/>
      </c>
      <c r="E524">
        <f>IF(B524="","",⑩盛付梱包工程入力!G218)</f>
        <v/>
      </c>
      <c r="F524">
        <f>IF(B524="","",⑩盛付梱包工程入力!M218)</f>
        <v/>
      </c>
      <c r="G524">
        <f>IF(AND(ISNUMBER(D524),ISNUMBER(F524),D524&gt;0),F524/D524,"")</f>
        <v/>
      </c>
      <c r="H524" t="n">
        <v>0</v>
      </c>
      <c r="I524">
        <f>IF(ISNUMBER(F524),-F524-H524,"")</f>
        <v/>
      </c>
      <c r="J524">
        <f>IF(G524="","",IF(G524&gt;=300,"✕ 要改善",IF(G524&gt;=200,"△ 注意","○ 良好")))</f>
        <v/>
      </c>
    </row>
    <row r="525">
      <c r="A525" s="66" t="n"/>
      <c r="B525" s="67">
        <f>IF(⑩盛付梱包工程入力!C219="","",⑩盛付梱包工程入力!C219)</f>
        <v/>
      </c>
      <c r="C525" s="82">
        <f>IF(⑩盛付梱包工程入力!B219="","",⑩盛付梱包工程入力!B219)</f>
        <v/>
      </c>
      <c r="D525" s="9">
        <f>IF(B525="","",⑩盛付梱包工程入力!I219)</f>
        <v/>
      </c>
      <c r="E525" s="9">
        <f>IF(B525="","",⑩盛付梱包工程入力!G219)</f>
        <v/>
      </c>
      <c r="F525" s="9">
        <f>IF(B525="","",⑩盛付梱包工程入力!M219)</f>
        <v/>
      </c>
      <c r="G525" s="513">
        <f>IF(AND(ISNUMBER(D525),ISNUMBER(F525),D525&gt;0),F525/D525,"")</f>
        <v/>
      </c>
      <c r="H525" s="7" t="n">
        <v>0</v>
      </c>
      <c r="I525" s="9">
        <f>IF(ISNUMBER(F525),-F525-H525,"")</f>
        <v/>
      </c>
      <c r="J525" s="69">
        <f>IF(G525="","",IF(G525&gt;=300,"✕ 要改善",IF(G525&gt;=200,"△ 注意","○ 良好")))</f>
        <v/>
      </c>
      <c r="K525" s="70" t="n"/>
    </row>
    <row r="526" ht="14" customHeight="1" s="438">
      <c r="A526" s="397" t="n"/>
      <c r="B526">
        <f>IF(⑩盛付梱包工程入力!C220="","",⑩盛付梱包工程入力!C220)</f>
        <v/>
      </c>
      <c r="C526">
        <f>IF(⑩盛付梱包工程入力!B220="","",⑩盛付梱包工程入力!B220)</f>
        <v/>
      </c>
      <c r="D526">
        <f>IF(B526="","",⑩盛付梱包工程入力!I220)</f>
        <v/>
      </c>
      <c r="E526">
        <f>IF(B526="","",⑩盛付梱包工程入力!G220)</f>
        <v/>
      </c>
      <c r="F526">
        <f>IF(B526="","",⑩盛付梱包工程入力!M220)</f>
        <v/>
      </c>
      <c r="G526">
        <f>IF(AND(ISNUMBER(D526),ISNUMBER(F526),D526&gt;0),F526/D526,"")</f>
        <v/>
      </c>
      <c r="H526" t="n">
        <v>0</v>
      </c>
      <c r="I526">
        <f>IF(ISNUMBER(F526),-F526-H526,"")</f>
        <v/>
      </c>
      <c r="J526">
        <f>IF(G526="","",IF(G526&gt;=300,"✕ 要改善",IF(G526&gt;=200,"△ 注意","○ 良好")))</f>
        <v/>
      </c>
    </row>
    <row r="527">
      <c r="A527" s="66" t="n"/>
      <c r="B527" s="67">
        <f>IF(⑩盛付梱包工程入力!C221="","",⑩盛付梱包工程入力!C221)</f>
        <v/>
      </c>
      <c r="C527" s="82">
        <f>IF(⑩盛付梱包工程入力!B221="","",⑩盛付梱包工程入力!B221)</f>
        <v/>
      </c>
      <c r="D527" s="9">
        <f>IF(B527="","",⑩盛付梱包工程入力!I221)</f>
        <v/>
      </c>
      <c r="E527" s="9">
        <f>IF(B527="","",⑩盛付梱包工程入力!G221)</f>
        <v/>
      </c>
      <c r="F527" s="9">
        <f>IF(B527="","",⑩盛付梱包工程入力!M221)</f>
        <v/>
      </c>
      <c r="G527" s="513">
        <f>IF(AND(ISNUMBER(D527),ISNUMBER(F527),D527&gt;0),F527/D527,"")</f>
        <v/>
      </c>
      <c r="H527" s="7" t="n">
        <v>0</v>
      </c>
      <c r="I527" s="9">
        <f>IF(ISNUMBER(F527),-F527-H527,"")</f>
        <v/>
      </c>
      <c r="J527" s="69">
        <f>IF(G527="","",IF(G527&gt;=300,"✕ 要改善",IF(G527&gt;=200,"△ 注意","○ 良好")))</f>
        <v/>
      </c>
      <c r="K527" s="70" t="n"/>
    </row>
    <row r="528" ht="14" customHeight="1" s="438">
      <c r="A528" s="397" t="n"/>
      <c r="B528">
        <f>IF(⑩盛付梱包工程入力!C222="","",⑩盛付梱包工程入力!C222)</f>
        <v/>
      </c>
      <c r="C528">
        <f>IF(⑩盛付梱包工程入力!B222="","",⑩盛付梱包工程入力!B222)</f>
        <v/>
      </c>
      <c r="D528">
        <f>IF(B528="","",⑩盛付梱包工程入力!I222)</f>
        <v/>
      </c>
      <c r="E528">
        <f>IF(B528="","",⑩盛付梱包工程入力!G222)</f>
        <v/>
      </c>
      <c r="F528">
        <f>IF(B528="","",⑩盛付梱包工程入力!M222)</f>
        <v/>
      </c>
      <c r="G528">
        <f>IF(AND(ISNUMBER(D528),ISNUMBER(F528),D528&gt;0),F528/D528,"")</f>
        <v/>
      </c>
      <c r="H528" t="n">
        <v>0</v>
      </c>
      <c r="I528">
        <f>IF(ISNUMBER(F528),-F528-H528,"")</f>
        <v/>
      </c>
      <c r="J528">
        <f>IF(G528="","",IF(G528&gt;=300,"✕ 要改善",IF(G528&gt;=200,"△ 注意","○ 良好")))</f>
        <v/>
      </c>
    </row>
    <row r="529">
      <c r="A529" s="66" t="n"/>
      <c r="B529" s="67">
        <f>IF(⑩盛付梱包工程入力!C223="","",⑩盛付梱包工程入力!C223)</f>
        <v/>
      </c>
      <c r="C529" s="82">
        <f>IF(⑩盛付梱包工程入力!B223="","",⑩盛付梱包工程入力!B223)</f>
        <v/>
      </c>
      <c r="D529" s="9">
        <f>IF(B529="","",⑩盛付梱包工程入力!I223)</f>
        <v/>
      </c>
      <c r="E529" s="9">
        <f>IF(B529="","",⑩盛付梱包工程入力!G223)</f>
        <v/>
      </c>
      <c r="F529" s="9">
        <f>IF(B529="","",⑩盛付梱包工程入力!M223)</f>
        <v/>
      </c>
      <c r="G529" s="513">
        <f>IF(AND(ISNUMBER(D529),ISNUMBER(F529),D529&gt;0),F529/D529,"")</f>
        <v/>
      </c>
      <c r="H529" s="7" t="n">
        <v>0</v>
      </c>
      <c r="I529" s="9">
        <f>IF(ISNUMBER(F529),-F529-H529,"")</f>
        <v/>
      </c>
      <c r="J529" s="69">
        <f>IF(G529="","",IF(G529&gt;=300,"✕ 要改善",IF(G529&gt;=200,"△ 注意","○ 良好")))</f>
        <v/>
      </c>
      <c r="K529" s="70" t="n"/>
    </row>
    <row r="530" ht="14" customHeight="1" s="438">
      <c r="A530" s="397" t="n"/>
      <c r="B530">
        <f>IF(⑩盛付梱包工程入力!C224="","",⑩盛付梱包工程入力!C224)</f>
        <v/>
      </c>
      <c r="C530">
        <f>IF(⑩盛付梱包工程入力!B224="","",⑩盛付梱包工程入力!B224)</f>
        <v/>
      </c>
      <c r="D530">
        <f>IF(B530="","",⑩盛付梱包工程入力!I224)</f>
        <v/>
      </c>
      <c r="E530">
        <f>IF(B530="","",⑩盛付梱包工程入力!G224)</f>
        <v/>
      </c>
      <c r="F530">
        <f>IF(B530="","",⑩盛付梱包工程入力!M224)</f>
        <v/>
      </c>
      <c r="G530">
        <f>IF(AND(ISNUMBER(D530),ISNUMBER(F530),D530&gt;0),F530/D530,"")</f>
        <v/>
      </c>
      <c r="H530" t="n">
        <v>0</v>
      </c>
      <c r="I530">
        <f>IF(ISNUMBER(F530),-F530-H530,"")</f>
        <v/>
      </c>
      <c r="J530">
        <f>IF(G530="","",IF(G530&gt;=300,"✕ 要改善",IF(G530&gt;=200,"△ 注意","○ 良好")))</f>
        <v/>
      </c>
    </row>
    <row r="531">
      <c r="A531" s="66" t="n"/>
      <c r="B531" s="67">
        <f>IF(⑩盛付梱包工程入力!C225="","",⑩盛付梱包工程入力!C225)</f>
        <v/>
      </c>
      <c r="C531" s="82">
        <f>IF(⑩盛付梱包工程入力!B225="","",⑩盛付梱包工程入力!B225)</f>
        <v/>
      </c>
      <c r="D531" s="9">
        <f>IF(B531="","",⑩盛付梱包工程入力!I225)</f>
        <v/>
      </c>
      <c r="E531" s="9">
        <f>IF(B531="","",⑩盛付梱包工程入力!G225)</f>
        <v/>
      </c>
      <c r="F531" s="9">
        <f>IF(B531="","",⑩盛付梱包工程入力!M225)</f>
        <v/>
      </c>
      <c r="G531" s="513">
        <f>IF(AND(ISNUMBER(D531),ISNUMBER(F531),D531&gt;0),F531/D531,"")</f>
        <v/>
      </c>
      <c r="H531" s="7" t="n">
        <v>0</v>
      </c>
      <c r="I531" s="9">
        <f>IF(ISNUMBER(F531),-F531-H531,"")</f>
        <v/>
      </c>
      <c r="J531" s="69">
        <f>IF(G531="","",IF(G531&gt;=300,"✕ 要改善",IF(G531&gt;=200,"△ 注意","○ 良好")))</f>
        <v/>
      </c>
      <c r="K531" s="70" t="n"/>
    </row>
    <row r="532" ht="14" customHeight="1" s="438">
      <c r="A532" s="397" t="n"/>
      <c r="B532">
        <f>IF(⑩盛付梱包工程入力!C226="","",⑩盛付梱包工程入力!C226)</f>
        <v/>
      </c>
      <c r="C532">
        <f>IF(⑩盛付梱包工程入力!B226="","",⑩盛付梱包工程入力!B226)</f>
        <v/>
      </c>
      <c r="D532">
        <f>IF(B532="","",⑩盛付梱包工程入力!I226)</f>
        <v/>
      </c>
      <c r="E532">
        <f>IF(B532="","",⑩盛付梱包工程入力!G226)</f>
        <v/>
      </c>
      <c r="F532">
        <f>IF(B532="","",⑩盛付梱包工程入力!M226)</f>
        <v/>
      </c>
      <c r="G532">
        <f>IF(AND(ISNUMBER(D532),ISNUMBER(F532),D532&gt;0),F532/D532,"")</f>
        <v/>
      </c>
      <c r="H532" t="n">
        <v>0</v>
      </c>
      <c r="I532">
        <f>IF(ISNUMBER(F532),-F532-H532,"")</f>
        <v/>
      </c>
      <c r="J532">
        <f>IF(G532="","",IF(G532&gt;=300,"✕ 要改善",IF(G532&gt;=200,"△ 注意","○ 良好")))</f>
        <v/>
      </c>
    </row>
    <row r="533">
      <c r="A533" s="66" t="n"/>
      <c r="B533" s="67">
        <f>IF(⑩盛付梱包工程入力!C227="","",⑩盛付梱包工程入力!C227)</f>
        <v/>
      </c>
      <c r="C533" s="82">
        <f>IF(⑩盛付梱包工程入力!B227="","",⑩盛付梱包工程入力!B227)</f>
        <v/>
      </c>
      <c r="D533" s="9">
        <f>IF(B533="","",⑩盛付梱包工程入力!I227)</f>
        <v/>
      </c>
      <c r="E533" s="9">
        <f>IF(B533="","",⑩盛付梱包工程入力!G227)</f>
        <v/>
      </c>
      <c r="F533" s="9">
        <f>IF(B533="","",⑩盛付梱包工程入力!M227)</f>
        <v/>
      </c>
      <c r="G533" s="513">
        <f>IF(AND(ISNUMBER(D533),ISNUMBER(F533),D533&gt;0),F533/D533,"")</f>
        <v/>
      </c>
      <c r="H533" s="7" t="n">
        <v>0</v>
      </c>
      <c r="I533" s="9">
        <f>IF(ISNUMBER(F533),-F533-H533,"")</f>
        <v/>
      </c>
      <c r="J533" s="69">
        <f>IF(G533="","",IF(G533&gt;=300,"✕ 要改善",IF(G533&gt;=200,"△ 注意","○ 良好")))</f>
        <v/>
      </c>
      <c r="K533" s="70" t="n"/>
    </row>
    <row r="534" ht="14" customHeight="1" s="438">
      <c r="A534" s="397" t="n"/>
      <c r="B534">
        <f>IF(⑩盛付梱包工程入力!C228="","",⑩盛付梱包工程入力!C228)</f>
        <v/>
      </c>
      <c r="C534">
        <f>IF(⑩盛付梱包工程入力!B228="","",⑩盛付梱包工程入力!B228)</f>
        <v/>
      </c>
      <c r="D534">
        <f>IF(B534="","",⑩盛付梱包工程入力!I228)</f>
        <v/>
      </c>
      <c r="E534">
        <f>IF(B534="","",⑩盛付梱包工程入力!G228)</f>
        <v/>
      </c>
      <c r="F534">
        <f>IF(B534="","",⑩盛付梱包工程入力!M228)</f>
        <v/>
      </c>
      <c r="G534">
        <f>IF(AND(ISNUMBER(D534),ISNUMBER(F534),D534&gt;0),F534/D534,"")</f>
        <v/>
      </c>
      <c r="H534" t="n">
        <v>0</v>
      </c>
      <c r="I534">
        <f>IF(ISNUMBER(F534),-F534-H534,"")</f>
        <v/>
      </c>
      <c r="J534">
        <f>IF(G534="","",IF(G534&gt;=300,"✕ 要改善",IF(G534&gt;=200,"△ 注意","○ 良好")))</f>
        <v/>
      </c>
    </row>
    <row r="535">
      <c r="A535" s="66" t="n"/>
      <c r="B535" s="67">
        <f>IF(⑩盛付梱包工程入力!C229="","",⑩盛付梱包工程入力!C229)</f>
        <v/>
      </c>
      <c r="C535" s="82">
        <f>IF(⑩盛付梱包工程入力!B229="","",⑩盛付梱包工程入力!B229)</f>
        <v/>
      </c>
      <c r="D535" s="9">
        <f>IF(B535="","",⑩盛付梱包工程入力!I229)</f>
        <v/>
      </c>
      <c r="E535" s="9">
        <f>IF(B535="","",⑩盛付梱包工程入力!G229)</f>
        <v/>
      </c>
      <c r="F535" s="9">
        <f>IF(B535="","",⑩盛付梱包工程入力!M229)</f>
        <v/>
      </c>
      <c r="G535" s="513">
        <f>IF(AND(ISNUMBER(D535),ISNUMBER(F535),D535&gt;0),F535/D535,"")</f>
        <v/>
      </c>
      <c r="H535" s="7" t="n">
        <v>0</v>
      </c>
      <c r="I535" s="9">
        <f>IF(ISNUMBER(F535),-F535-H535,"")</f>
        <v/>
      </c>
      <c r="J535" s="69">
        <f>IF(G535="","",IF(G535&gt;=300,"✕ 要改善",IF(G535&gt;=200,"△ 注意","○ 良好")))</f>
        <v/>
      </c>
      <c r="K535" s="70" t="n"/>
    </row>
    <row r="536" ht="14" customHeight="1" s="438">
      <c r="A536" s="397" t="n"/>
      <c r="B536">
        <f>IF(⑩盛付梱包工程入力!C230="","",⑩盛付梱包工程入力!C230)</f>
        <v/>
      </c>
      <c r="C536">
        <f>IF(⑩盛付梱包工程入力!B230="","",⑩盛付梱包工程入力!B230)</f>
        <v/>
      </c>
      <c r="D536">
        <f>IF(B536="","",⑩盛付梱包工程入力!I230)</f>
        <v/>
      </c>
      <c r="E536">
        <f>IF(B536="","",⑩盛付梱包工程入力!G230)</f>
        <v/>
      </c>
      <c r="F536">
        <f>IF(B536="","",⑩盛付梱包工程入力!M230)</f>
        <v/>
      </c>
      <c r="G536">
        <f>IF(AND(ISNUMBER(D536),ISNUMBER(F536),D536&gt;0),F536/D536,"")</f>
        <v/>
      </c>
      <c r="H536" t="n">
        <v>0</v>
      </c>
      <c r="I536">
        <f>IF(ISNUMBER(F536),-F536-H536,"")</f>
        <v/>
      </c>
      <c r="J536">
        <f>IF(G536="","",IF(G536&gt;=300,"✕ 要改善",IF(G536&gt;=200,"△ 注意","○ 良好")))</f>
        <v/>
      </c>
    </row>
    <row r="537">
      <c r="A537" s="66" t="n"/>
      <c r="B537" s="67">
        <f>IF(⑩盛付梱包工程入力!C231="","",⑩盛付梱包工程入力!C231)</f>
        <v/>
      </c>
      <c r="C537" s="82">
        <f>IF(⑩盛付梱包工程入力!B231="","",⑩盛付梱包工程入力!B231)</f>
        <v/>
      </c>
      <c r="D537" s="9">
        <f>IF(B537="","",⑩盛付梱包工程入力!I231)</f>
        <v/>
      </c>
      <c r="E537" s="9">
        <f>IF(B537="","",⑩盛付梱包工程入力!G231)</f>
        <v/>
      </c>
      <c r="F537" s="9">
        <f>IF(B537="","",⑩盛付梱包工程入力!M231)</f>
        <v/>
      </c>
      <c r="G537" s="513">
        <f>IF(AND(ISNUMBER(D537),ISNUMBER(F537),D537&gt;0),F537/D537,"")</f>
        <v/>
      </c>
      <c r="H537" s="7" t="n">
        <v>0</v>
      </c>
      <c r="I537" s="9">
        <f>IF(ISNUMBER(F537),-F537-H537,"")</f>
        <v/>
      </c>
      <c r="J537" s="69">
        <f>IF(G537="","",IF(G537&gt;=300,"✕ 要改善",IF(G537&gt;=200,"△ 注意","○ 良好")))</f>
        <v/>
      </c>
      <c r="K537" s="70" t="n"/>
    </row>
    <row r="538" ht="14" customHeight="1" s="438">
      <c r="A538" s="397" t="n"/>
      <c r="B538">
        <f>IF(⑩盛付梱包工程入力!C232="","",⑩盛付梱包工程入力!C232)</f>
        <v/>
      </c>
      <c r="C538">
        <f>IF(⑩盛付梱包工程入力!B232="","",⑩盛付梱包工程入力!B232)</f>
        <v/>
      </c>
      <c r="D538">
        <f>IF(B538="","",⑩盛付梱包工程入力!I232)</f>
        <v/>
      </c>
      <c r="E538">
        <f>IF(B538="","",⑩盛付梱包工程入力!G232)</f>
        <v/>
      </c>
      <c r="F538">
        <f>IF(B538="","",⑩盛付梱包工程入力!M232)</f>
        <v/>
      </c>
      <c r="G538">
        <f>IF(AND(ISNUMBER(D538),ISNUMBER(F538),D538&gt;0),F538/D538,"")</f>
        <v/>
      </c>
      <c r="H538" t="n">
        <v>0</v>
      </c>
      <c r="I538">
        <f>IF(ISNUMBER(F538),-F538-H538,"")</f>
        <v/>
      </c>
      <c r="J538">
        <f>IF(G538="","",IF(G538&gt;=300,"✕ 要改善",IF(G538&gt;=200,"△ 注意","○ 良好")))</f>
        <v/>
      </c>
    </row>
    <row r="539">
      <c r="A539" s="66" t="n"/>
      <c r="B539" s="67">
        <f>IF(⑩盛付梱包工程入力!C233="","",⑩盛付梱包工程入力!C233)</f>
        <v/>
      </c>
      <c r="C539" s="82">
        <f>IF(⑩盛付梱包工程入力!B233="","",⑩盛付梱包工程入力!B233)</f>
        <v/>
      </c>
      <c r="D539" s="9">
        <f>IF(B539="","",⑩盛付梱包工程入力!I233)</f>
        <v/>
      </c>
      <c r="E539" s="9">
        <f>IF(B539="","",⑩盛付梱包工程入力!G233)</f>
        <v/>
      </c>
      <c r="F539" s="9">
        <f>IF(B539="","",⑩盛付梱包工程入力!M233)</f>
        <v/>
      </c>
      <c r="G539" s="513">
        <f>IF(AND(ISNUMBER(D539),ISNUMBER(F539),D539&gt;0),F539/D539,"")</f>
        <v/>
      </c>
      <c r="H539" s="7" t="n">
        <v>0</v>
      </c>
      <c r="I539" s="9">
        <f>IF(ISNUMBER(F539),-F539-H539,"")</f>
        <v/>
      </c>
      <c r="J539" s="69">
        <f>IF(G539="","",IF(G539&gt;=300,"✕ 要改善",IF(G539&gt;=200,"△ 注意","○ 良好")))</f>
        <v/>
      </c>
      <c r="K539" s="70" t="n"/>
    </row>
    <row r="540" ht="14" customHeight="1" s="438">
      <c r="A540" s="397" t="n"/>
      <c r="B540">
        <f>IF(⑩盛付梱包工程入力!C234="","",⑩盛付梱包工程入力!C234)</f>
        <v/>
      </c>
      <c r="C540">
        <f>IF(⑩盛付梱包工程入力!B234="","",⑩盛付梱包工程入力!B234)</f>
        <v/>
      </c>
      <c r="D540">
        <f>IF(B540="","",⑩盛付梱包工程入力!I234)</f>
        <v/>
      </c>
      <c r="E540">
        <f>IF(B540="","",⑩盛付梱包工程入力!G234)</f>
        <v/>
      </c>
      <c r="F540">
        <f>IF(B540="","",⑩盛付梱包工程入力!M234)</f>
        <v/>
      </c>
      <c r="G540">
        <f>IF(AND(ISNUMBER(D540),ISNUMBER(F540),D540&gt;0),F540/D540,"")</f>
        <v/>
      </c>
      <c r="H540" t="n">
        <v>0</v>
      </c>
      <c r="I540">
        <f>IF(ISNUMBER(F540),-F540-H540,"")</f>
        <v/>
      </c>
      <c r="J540">
        <f>IF(G540="","",IF(G540&gt;=300,"✕ 要改善",IF(G540&gt;=200,"△ 注意","○ 良好")))</f>
        <v/>
      </c>
    </row>
    <row r="541">
      <c r="A541" s="66" t="n"/>
      <c r="B541" s="67">
        <f>IF(⑩盛付梱包工程入力!C235="","",⑩盛付梱包工程入力!C235)</f>
        <v/>
      </c>
      <c r="C541" s="82">
        <f>IF(⑩盛付梱包工程入力!B235="","",⑩盛付梱包工程入力!B235)</f>
        <v/>
      </c>
      <c r="D541" s="9">
        <f>IF(B541="","",⑩盛付梱包工程入力!I235)</f>
        <v/>
      </c>
      <c r="E541" s="9">
        <f>IF(B541="","",⑩盛付梱包工程入力!G235)</f>
        <v/>
      </c>
      <c r="F541" s="9">
        <f>IF(B541="","",⑩盛付梱包工程入力!M235)</f>
        <v/>
      </c>
      <c r="G541" s="513">
        <f>IF(AND(ISNUMBER(D541),ISNUMBER(F541),D541&gt;0),F541/D541,"")</f>
        <v/>
      </c>
      <c r="H541" s="7" t="n">
        <v>0</v>
      </c>
      <c r="I541" s="9">
        <f>IF(ISNUMBER(F541),-F541-H541,"")</f>
        <v/>
      </c>
      <c r="J541" s="69">
        <f>IF(G541="","",IF(G541&gt;=300,"✕ 要改善",IF(G541&gt;=200,"△ 注意","○ 良好")))</f>
        <v/>
      </c>
      <c r="K541" s="70" t="n"/>
    </row>
    <row r="542" ht="14" customHeight="1" s="438">
      <c r="A542" s="397" t="n"/>
      <c r="B542">
        <f>IF(⑩盛付梱包工程入力!C236="","",⑩盛付梱包工程入力!C236)</f>
        <v/>
      </c>
      <c r="C542">
        <f>IF(⑩盛付梱包工程入力!B236="","",⑩盛付梱包工程入力!B236)</f>
        <v/>
      </c>
      <c r="D542">
        <f>IF(B542="","",⑩盛付梱包工程入力!I236)</f>
        <v/>
      </c>
      <c r="E542">
        <f>IF(B542="","",⑩盛付梱包工程入力!G236)</f>
        <v/>
      </c>
      <c r="F542">
        <f>IF(B542="","",⑩盛付梱包工程入力!M236)</f>
        <v/>
      </c>
      <c r="G542">
        <f>IF(AND(ISNUMBER(D542),ISNUMBER(F542),D542&gt;0),F542/D542,"")</f>
        <v/>
      </c>
      <c r="H542" t="n">
        <v>0</v>
      </c>
      <c r="I542">
        <f>IF(ISNUMBER(F542),-F542-H542,"")</f>
        <v/>
      </c>
      <c r="J542">
        <f>IF(G542="","",IF(G542&gt;=300,"✕ 要改善",IF(G542&gt;=200,"△ 注意","○ 良好")))</f>
        <v/>
      </c>
    </row>
    <row r="543">
      <c r="A543" s="66" t="n"/>
      <c r="B543" s="67">
        <f>IF(⑩盛付梱包工程入力!C237="","",⑩盛付梱包工程入力!C237)</f>
        <v/>
      </c>
      <c r="C543" s="82">
        <f>IF(⑩盛付梱包工程入力!B237="","",⑩盛付梱包工程入力!B237)</f>
        <v/>
      </c>
      <c r="D543" s="9">
        <f>IF(B543="","",⑩盛付梱包工程入力!I237)</f>
        <v/>
      </c>
      <c r="E543" s="9">
        <f>IF(B543="","",⑩盛付梱包工程入力!G237)</f>
        <v/>
      </c>
      <c r="F543" s="9">
        <f>IF(B543="","",⑩盛付梱包工程入力!M237)</f>
        <v/>
      </c>
      <c r="G543" s="513">
        <f>IF(AND(ISNUMBER(D543),ISNUMBER(F543),D543&gt;0),F543/D543,"")</f>
        <v/>
      </c>
      <c r="H543" s="7" t="n">
        <v>0</v>
      </c>
      <c r="I543" s="9">
        <f>IF(ISNUMBER(F543),-F543-H543,"")</f>
        <v/>
      </c>
      <c r="J543" s="69">
        <f>IF(G543="","",IF(G543&gt;=300,"✕ 要改善",IF(G543&gt;=200,"△ 注意","○ 良好")))</f>
        <v/>
      </c>
      <c r="K543" s="70" t="n"/>
    </row>
    <row r="544" ht="14" customHeight="1" s="438">
      <c r="A544" s="397" t="n"/>
      <c r="B544">
        <f>IF(⑩盛付梱包工程入力!C238="","",⑩盛付梱包工程入力!C238)</f>
        <v/>
      </c>
      <c r="C544">
        <f>IF(⑩盛付梱包工程入力!B238="","",⑩盛付梱包工程入力!B238)</f>
        <v/>
      </c>
      <c r="D544">
        <f>IF(B544="","",⑩盛付梱包工程入力!I238)</f>
        <v/>
      </c>
      <c r="E544">
        <f>IF(B544="","",⑩盛付梱包工程入力!G238)</f>
        <v/>
      </c>
      <c r="F544">
        <f>IF(B544="","",⑩盛付梱包工程入力!M238)</f>
        <v/>
      </c>
      <c r="G544">
        <f>IF(AND(ISNUMBER(D544),ISNUMBER(F544),D544&gt;0),F544/D544,"")</f>
        <v/>
      </c>
      <c r="H544" t="n">
        <v>0</v>
      </c>
      <c r="I544">
        <f>IF(ISNUMBER(F544),-F544-H544,"")</f>
        <v/>
      </c>
      <c r="J544">
        <f>IF(G544="","",IF(G544&gt;=300,"✕ 要改善",IF(G544&gt;=200,"△ 注意","○ 良好")))</f>
        <v/>
      </c>
    </row>
    <row r="545">
      <c r="A545" s="66" t="n"/>
      <c r="B545" s="67">
        <f>IF(⑩盛付梱包工程入力!C239="","",⑩盛付梱包工程入力!C239)</f>
        <v/>
      </c>
      <c r="C545" s="82">
        <f>IF(⑩盛付梱包工程入力!B239="","",⑩盛付梱包工程入力!B239)</f>
        <v/>
      </c>
      <c r="D545" s="9">
        <f>IF(B545="","",⑩盛付梱包工程入力!I239)</f>
        <v/>
      </c>
      <c r="E545" s="9">
        <f>IF(B545="","",⑩盛付梱包工程入力!G239)</f>
        <v/>
      </c>
      <c r="F545" s="9">
        <f>IF(B545="","",⑩盛付梱包工程入力!M239)</f>
        <v/>
      </c>
      <c r="G545" s="513">
        <f>IF(AND(ISNUMBER(D545),ISNUMBER(F545),D545&gt;0),F545/D545,"")</f>
        <v/>
      </c>
      <c r="H545" s="7" t="n">
        <v>0</v>
      </c>
      <c r="I545" s="9">
        <f>IF(ISNUMBER(F545),-F545-H545,"")</f>
        <v/>
      </c>
      <c r="J545" s="69">
        <f>IF(G545="","",IF(G545&gt;=300,"✕ 要改善",IF(G545&gt;=200,"△ 注意","○ 良好")))</f>
        <v/>
      </c>
      <c r="K545" s="70" t="n"/>
    </row>
    <row r="546" ht="14" customHeight="1" s="438">
      <c r="A546" s="397" t="n"/>
      <c r="B546">
        <f>IF(⑩盛付梱包工程入力!C240="","",⑩盛付梱包工程入力!C240)</f>
        <v/>
      </c>
      <c r="C546">
        <f>IF(⑩盛付梱包工程入力!B240="","",⑩盛付梱包工程入力!B240)</f>
        <v/>
      </c>
      <c r="D546">
        <f>IF(B546="","",⑩盛付梱包工程入力!I240)</f>
        <v/>
      </c>
      <c r="E546">
        <f>IF(B546="","",⑩盛付梱包工程入力!G240)</f>
        <v/>
      </c>
      <c r="F546">
        <f>IF(B546="","",⑩盛付梱包工程入力!M240)</f>
        <v/>
      </c>
      <c r="G546">
        <f>IF(AND(ISNUMBER(D546),ISNUMBER(F546),D546&gt;0),F546/D546,"")</f>
        <v/>
      </c>
      <c r="H546" t="n">
        <v>0</v>
      </c>
      <c r="I546">
        <f>IF(ISNUMBER(F546),-F546-H546,"")</f>
        <v/>
      </c>
      <c r="J546">
        <f>IF(G546="","",IF(G546&gt;=300,"✕ 要改善",IF(G546&gt;=200,"△ 注意","○ 良好")))</f>
        <v/>
      </c>
    </row>
    <row r="547">
      <c r="A547" s="66" t="n"/>
      <c r="B547" s="67">
        <f>IF(⑩盛付梱包工程入力!C241="","",⑩盛付梱包工程入力!C241)</f>
        <v/>
      </c>
      <c r="C547" s="82">
        <f>IF(⑩盛付梱包工程入力!B241="","",⑩盛付梱包工程入力!B241)</f>
        <v/>
      </c>
      <c r="D547" s="9">
        <f>IF(B547="","",⑩盛付梱包工程入力!I241)</f>
        <v/>
      </c>
      <c r="E547" s="9">
        <f>IF(B547="","",⑩盛付梱包工程入力!G241)</f>
        <v/>
      </c>
      <c r="F547" s="9">
        <f>IF(B547="","",⑩盛付梱包工程入力!M241)</f>
        <v/>
      </c>
      <c r="G547" s="513">
        <f>IF(AND(ISNUMBER(D547),ISNUMBER(F547),D547&gt;0),F547/D547,"")</f>
        <v/>
      </c>
      <c r="H547" s="7" t="n">
        <v>0</v>
      </c>
      <c r="I547" s="9">
        <f>IF(ISNUMBER(F547),-F547-H547,"")</f>
        <v/>
      </c>
      <c r="J547" s="69">
        <f>IF(G547="","",IF(G547&gt;=300,"✕ 要改善",IF(G547&gt;=200,"△ 注意","○ 良好")))</f>
        <v/>
      </c>
      <c r="K547" s="70" t="n"/>
    </row>
    <row r="548" ht="14" customHeight="1" s="438">
      <c r="A548" s="397" t="n"/>
      <c r="B548">
        <f>IF(⑩盛付梱包工程入力!C242="","",⑩盛付梱包工程入力!C242)</f>
        <v/>
      </c>
      <c r="C548">
        <f>IF(⑩盛付梱包工程入力!B242="","",⑩盛付梱包工程入力!B242)</f>
        <v/>
      </c>
      <c r="D548">
        <f>IF(B548="","",⑩盛付梱包工程入力!I242)</f>
        <v/>
      </c>
      <c r="E548">
        <f>IF(B548="","",⑩盛付梱包工程入力!G242)</f>
        <v/>
      </c>
      <c r="F548">
        <f>IF(B548="","",⑩盛付梱包工程入力!M242)</f>
        <v/>
      </c>
      <c r="G548">
        <f>IF(AND(ISNUMBER(D548),ISNUMBER(F548),D548&gt;0),F548/D548,"")</f>
        <v/>
      </c>
      <c r="H548" t="n">
        <v>0</v>
      </c>
      <c r="I548">
        <f>IF(ISNUMBER(F548),-F548-H548,"")</f>
        <v/>
      </c>
      <c r="J548">
        <f>IF(G548="","",IF(G548&gt;=300,"✕ 要改善",IF(G548&gt;=200,"△ 注意","○ 良好")))</f>
        <v/>
      </c>
    </row>
    <row r="549">
      <c r="A549" s="66" t="n"/>
      <c r="B549" s="67">
        <f>IF(⑩盛付梱包工程入力!C243="","",⑩盛付梱包工程入力!C243)</f>
        <v/>
      </c>
      <c r="C549" s="82">
        <f>IF(⑩盛付梱包工程入力!B243="","",⑩盛付梱包工程入力!B243)</f>
        <v/>
      </c>
      <c r="D549" s="9">
        <f>IF(B549="","",⑩盛付梱包工程入力!I243)</f>
        <v/>
      </c>
      <c r="E549" s="9">
        <f>IF(B549="","",⑩盛付梱包工程入力!G243)</f>
        <v/>
      </c>
      <c r="F549" s="9">
        <f>IF(B549="","",⑩盛付梱包工程入力!M243)</f>
        <v/>
      </c>
      <c r="G549" s="513">
        <f>IF(AND(ISNUMBER(D549),ISNUMBER(F549),D549&gt;0),F549/D549,"")</f>
        <v/>
      </c>
      <c r="H549" s="7" t="n">
        <v>0</v>
      </c>
      <c r="I549" s="9">
        <f>IF(ISNUMBER(F549),-F549-H549,"")</f>
        <v/>
      </c>
      <c r="J549" s="69">
        <f>IF(G549="","",IF(G549&gt;=300,"✕ 要改善",IF(G549&gt;=200,"△ 注意","○ 良好")))</f>
        <v/>
      </c>
      <c r="K549" s="70" t="n"/>
    </row>
    <row r="550" ht="14" customHeight="1" s="438">
      <c r="A550" s="397" t="n"/>
      <c r="B550">
        <f>IF(⑩盛付梱包工程入力!C244="","",⑩盛付梱包工程入力!C244)</f>
        <v/>
      </c>
      <c r="C550">
        <f>IF(⑩盛付梱包工程入力!B244="","",⑩盛付梱包工程入力!B244)</f>
        <v/>
      </c>
      <c r="D550">
        <f>IF(B550="","",⑩盛付梱包工程入力!I244)</f>
        <v/>
      </c>
      <c r="E550">
        <f>IF(B550="","",⑩盛付梱包工程入力!G244)</f>
        <v/>
      </c>
      <c r="F550">
        <f>IF(B550="","",⑩盛付梱包工程入力!M244)</f>
        <v/>
      </c>
      <c r="G550">
        <f>IF(AND(ISNUMBER(D550),ISNUMBER(F550),D550&gt;0),F550/D550,"")</f>
        <v/>
      </c>
      <c r="H550" t="n">
        <v>0</v>
      </c>
      <c r="I550">
        <f>IF(ISNUMBER(F550),-F550-H550,"")</f>
        <v/>
      </c>
      <c r="J550">
        <f>IF(G550="","",IF(G550&gt;=300,"✕ 要改善",IF(G550&gt;=200,"△ 注意","○ 良好")))</f>
        <v/>
      </c>
    </row>
    <row r="551">
      <c r="A551" s="66" t="n"/>
      <c r="B551" s="67">
        <f>IF(⑩盛付梱包工程入力!C245="","",⑩盛付梱包工程入力!C245)</f>
        <v/>
      </c>
      <c r="C551" s="82">
        <f>IF(⑩盛付梱包工程入力!B245="","",⑩盛付梱包工程入力!B245)</f>
        <v/>
      </c>
      <c r="D551" s="9">
        <f>IF(B551="","",⑩盛付梱包工程入力!I245)</f>
        <v/>
      </c>
      <c r="E551" s="9">
        <f>IF(B551="","",⑩盛付梱包工程入力!G245)</f>
        <v/>
      </c>
      <c r="F551" s="9">
        <f>IF(B551="","",⑩盛付梱包工程入力!M245)</f>
        <v/>
      </c>
      <c r="G551" s="513">
        <f>IF(AND(ISNUMBER(D551),ISNUMBER(F551),D551&gt;0),F551/D551,"")</f>
        <v/>
      </c>
      <c r="H551" s="7" t="n">
        <v>0</v>
      </c>
      <c r="I551" s="9">
        <f>IF(ISNUMBER(F551),-F551-H551,"")</f>
        <v/>
      </c>
      <c r="J551" s="69">
        <f>IF(G551="","",IF(G551&gt;=300,"✕ 要改善",IF(G551&gt;=200,"△ 注意","○ 良好")))</f>
        <v/>
      </c>
      <c r="K551" s="70" t="n"/>
    </row>
    <row r="552" ht="14" customHeight="1" s="438">
      <c r="A552" s="397" t="n"/>
      <c r="B552">
        <f>IF(⑩盛付梱包工程入力!C246="","",⑩盛付梱包工程入力!C246)</f>
        <v/>
      </c>
      <c r="C552">
        <f>IF(⑩盛付梱包工程入力!B246="","",⑩盛付梱包工程入力!B246)</f>
        <v/>
      </c>
      <c r="D552">
        <f>IF(B552="","",⑩盛付梱包工程入力!I246)</f>
        <v/>
      </c>
      <c r="E552">
        <f>IF(B552="","",⑩盛付梱包工程入力!G246)</f>
        <v/>
      </c>
      <c r="F552">
        <f>IF(B552="","",⑩盛付梱包工程入力!M246)</f>
        <v/>
      </c>
      <c r="G552">
        <f>IF(AND(ISNUMBER(D552),ISNUMBER(F552),D552&gt;0),F552/D552,"")</f>
        <v/>
      </c>
      <c r="H552" t="n">
        <v>0</v>
      </c>
      <c r="I552">
        <f>IF(ISNUMBER(F552),-F552-H552,"")</f>
        <v/>
      </c>
      <c r="J552">
        <f>IF(G552="","",IF(G552&gt;=300,"✕ 要改善",IF(G552&gt;=200,"△ 注意","○ 良好")))</f>
        <v/>
      </c>
    </row>
    <row r="553">
      <c r="A553" s="66" t="n"/>
      <c r="B553" s="67">
        <f>IF(⑩盛付梱包工程入力!C247="","",⑩盛付梱包工程入力!C247)</f>
        <v/>
      </c>
      <c r="C553" s="82">
        <f>IF(⑩盛付梱包工程入力!B247="","",⑩盛付梱包工程入力!B247)</f>
        <v/>
      </c>
      <c r="D553" s="9">
        <f>IF(B553="","",⑩盛付梱包工程入力!I247)</f>
        <v/>
      </c>
      <c r="E553" s="9">
        <f>IF(B553="","",⑩盛付梱包工程入力!G247)</f>
        <v/>
      </c>
      <c r="F553" s="9">
        <f>IF(B553="","",⑩盛付梱包工程入力!M247)</f>
        <v/>
      </c>
      <c r="G553" s="513">
        <f>IF(AND(ISNUMBER(D553),ISNUMBER(F553),D553&gt;0),F553/D553,"")</f>
        <v/>
      </c>
      <c r="H553" s="7" t="n">
        <v>0</v>
      </c>
      <c r="I553" s="9">
        <f>IF(ISNUMBER(F553),-F553-H553,"")</f>
        <v/>
      </c>
      <c r="J553" s="69">
        <f>IF(G553="","",IF(G553&gt;=300,"✕ 要改善",IF(G553&gt;=200,"△ 注意","○ 良好")))</f>
        <v/>
      </c>
      <c r="K553" s="70" t="n"/>
    </row>
    <row r="554" ht="14" customHeight="1" s="438">
      <c r="A554" s="397" t="n"/>
      <c r="B554">
        <f>IF(⑩盛付梱包工程入力!C248="","",⑩盛付梱包工程入力!C248)</f>
        <v/>
      </c>
      <c r="C554">
        <f>IF(⑩盛付梱包工程入力!B248="","",⑩盛付梱包工程入力!B248)</f>
        <v/>
      </c>
      <c r="D554">
        <f>IF(B554="","",⑩盛付梱包工程入力!I248)</f>
        <v/>
      </c>
      <c r="E554">
        <f>IF(B554="","",⑩盛付梱包工程入力!G248)</f>
        <v/>
      </c>
      <c r="F554">
        <f>IF(B554="","",⑩盛付梱包工程入力!M248)</f>
        <v/>
      </c>
      <c r="G554">
        <f>IF(AND(ISNUMBER(D554),ISNUMBER(F554),D554&gt;0),F554/D554,"")</f>
        <v/>
      </c>
      <c r="H554" t="n">
        <v>0</v>
      </c>
      <c r="I554">
        <f>IF(ISNUMBER(F554),-F554-H554,"")</f>
        <v/>
      </c>
      <c r="J554">
        <f>IF(G554="","",IF(G554&gt;=300,"✕ 要改善",IF(G554&gt;=200,"△ 注意","○ 良好")))</f>
        <v/>
      </c>
    </row>
    <row r="555">
      <c r="A555" s="66" t="n"/>
      <c r="B555" s="67">
        <f>IF(⑩盛付梱包工程入力!C249="","",⑩盛付梱包工程入力!C249)</f>
        <v/>
      </c>
      <c r="C555" s="82">
        <f>IF(⑩盛付梱包工程入力!B249="","",⑩盛付梱包工程入力!B249)</f>
        <v/>
      </c>
      <c r="D555" s="9">
        <f>IF(B555="","",⑩盛付梱包工程入力!I249)</f>
        <v/>
      </c>
      <c r="E555" s="9">
        <f>IF(B555="","",⑩盛付梱包工程入力!G249)</f>
        <v/>
      </c>
      <c r="F555" s="9">
        <f>IF(B555="","",⑩盛付梱包工程入力!M249)</f>
        <v/>
      </c>
      <c r="G555" s="513">
        <f>IF(AND(ISNUMBER(D555),ISNUMBER(F555),D555&gt;0),F555/D555,"")</f>
        <v/>
      </c>
      <c r="H555" s="7" t="n">
        <v>0</v>
      </c>
      <c r="I555" s="9">
        <f>IF(ISNUMBER(F555),-F555-H555,"")</f>
        <v/>
      </c>
      <c r="J555" s="69">
        <f>IF(G555="","",IF(G555&gt;=300,"✕ 要改善",IF(G555&gt;=200,"△ 注意","○ 良好")))</f>
        <v/>
      </c>
      <c r="K555" s="70" t="n"/>
    </row>
    <row r="556" ht="14" customHeight="1" s="438">
      <c r="A556" s="397" t="n"/>
      <c r="B556">
        <f>IF(⑩盛付梱包工程入力!C250="","",⑩盛付梱包工程入力!C250)</f>
        <v/>
      </c>
      <c r="C556">
        <f>IF(⑩盛付梱包工程入力!B250="","",⑩盛付梱包工程入力!B250)</f>
        <v/>
      </c>
      <c r="D556">
        <f>IF(B556="","",⑩盛付梱包工程入力!I250)</f>
        <v/>
      </c>
      <c r="E556">
        <f>IF(B556="","",⑩盛付梱包工程入力!G250)</f>
        <v/>
      </c>
      <c r="F556">
        <f>IF(B556="","",⑩盛付梱包工程入力!M250)</f>
        <v/>
      </c>
      <c r="G556">
        <f>IF(AND(ISNUMBER(D556),ISNUMBER(F556),D556&gt;0),F556/D556,"")</f>
        <v/>
      </c>
      <c r="H556" t="n">
        <v>0</v>
      </c>
      <c r="I556">
        <f>IF(ISNUMBER(F556),-F556-H556,"")</f>
        <v/>
      </c>
      <c r="J556">
        <f>IF(G556="","",IF(G556&gt;=300,"✕ 要改善",IF(G556&gt;=200,"△ 注意","○ 良好")))</f>
        <v/>
      </c>
    </row>
    <row r="557">
      <c r="A557" s="66" t="n"/>
      <c r="B557" s="67">
        <f>IF(⑩盛付梱包工程入力!C251="","",⑩盛付梱包工程入力!C251)</f>
        <v/>
      </c>
      <c r="C557" s="82">
        <f>IF(⑩盛付梱包工程入力!B251="","",⑩盛付梱包工程入力!B251)</f>
        <v/>
      </c>
      <c r="D557" s="9">
        <f>IF(B557="","",⑩盛付梱包工程入力!I251)</f>
        <v/>
      </c>
      <c r="E557" s="9">
        <f>IF(B557="","",⑩盛付梱包工程入力!G251)</f>
        <v/>
      </c>
      <c r="F557" s="9">
        <f>IF(B557="","",⑩盛付梱包工程入力!M251)</f>
        <v/>
      </c>
      <c r="G557" s="513">
        <f>IF(AND(ISNUMBER(D557),ISNUMBER(F557),D557&gt;0),F557/D557,"")</f>
        <v/>
      </c>
      <c r="H557" s="7" t="n">
        <v>0</v>
      </c>
      <c r="I557" s="9">
        <f>IF(ISNUMBER(F557),-F557-H557,"")</f>
        <v/>
      </c>
      <c r="J557" s="69">
        <f>IF(G557="","",IF(G557&gt;=300,"✕ 要改善",IF(G557&gt;=200,"△ 注意","○ 良好")))</f>
        <v/>
      </c>
      <c r="K557" s="70" t="n"/>
    </row>
    <row r="558" ht="14" customHeight="1" s="438">
      <c r="A558" s="397" t="n"/>
      <c r="B558">
        <f>IF(⑩盛付梱包工程入力!C252="","",⑩盛付梱包工程入力!C252)</f>
        <v/>
      </c>
      <c r="C558">
        <f>IF(⑩盛付梱包工程入力!B252="","",⑩盛付梱包工程入力!B252)</f>
        <v/>
      </c>
      <c r="D558">
        <f>IF(B558="","",⑩盛付梱包工程入力!I252)</f>
        <v/>
      </c>
      <c r="E558">
        <f>IF(B558="","",⑩盛付梱包工程入力!G252)</f>
        <v/>
      </c>
      <c r="F558">
        <f>IF(B558="","",⑩盛付梱包工程入力!M252)</f>
        <v/>
      </c>
      <c r="G558">
        <f>IF(AND(ISNUMBER(D558),ISNUMBER(F558),D558&gt;0),F558/D558,"")</f>
        <v/>
      </c>
      <c r="H558" t="n">
        <v>0</v>
      </c>
      <c r="I558">
        <f>IF(ISNUMBER(F558),-F558-H558,"")</f>
        <v/>
      </c>
      <c r="J558">
        <f>IF(G558="","",IF(G558&gt;=300,"✕ 要改善",IF(G558&gt;=200,"△ 注意","○ 良好")))</f>
        <v/>
      </c>
    </row>
    <row r="559">
      <c r="A559" s="66" t="n"/>
      <c r="B559" s="67">
        <f>IF(⑩盛付梱包工程入力!C253="","",⑩盛付梱包工程入力!C253)</f>
        <v/>
      </c>
      <c r="C559" s="82">
        <f>IF(⑩盛付梱包工程入力!B253="","",⑩盛付梱包工程入力!B253)</f>
        <v/>
      </c>
      <c r="D559" s="9">
        <f>IF(B559="","",⑩盛付梱包工程入力!I253)</f>
        <v/>
      </c>
      <c r="E559" s="9">
        <f>IF(B559="","",⑩盛付梱包工程入力!G253)</f>
        <v/>
      </c>
      <c r="F559" s="9">
        <f>IF(B559="","",⑩盛付梱包工程入力!M253)</f>
        <v/>
      </c>
      <c r="G559" s="513">
        <f>IF(AND(ISNUMBER(D559),ISNUMBER(F559),D559&gt;0),F559/D559,"")</f>
        <v/>
      </c>
      <c r="H559" s="7" t="n">
        <v>0</v>
      </c>
      <c r="I559" s="9">
        <f>IF(ISNUMBER(F559),-F559-H559,"")</f>
        <v/>
      </c>
      <c r="J559" s="69">
        <f>IF(G559="","",IF(G559&gt;=300,"✕ 要改善",IF(G559&gt;=200,"△ 注意","○ 良好")))</f>
        <v/>
      </c>
      <c r="K559" s="70" t="n"/>
    </row>
    <row r="560" ht="14" customHeight="1" s="438">
      <c r="A560" s="397" t="n"/>
      <c r="B560">
        <f>IF(⑩盛付梱包工程入力!C254="","",⑩盛付梱包工程入力!C254)</f>
        <v/>
      </c>
      <c r="C560">
        <f>IF(⑩盛付梱包工程入力!B254="","",⑩盛付梱包工程入力!B254)</f>
        <v/>
      </c>
      <c r="D560">
        <f>IF(B560="","",⑩盛付梱包工程入力!I254)</f>
        <v/>
      </c>
      <c r="E560">
        <f>IF(B560="","",⑩盛付梱包工程入力!G254)</f>
        <v/>
      </c>
      <c r="F560">
        <f>IF(B560="","",⑩盛付梱包工程入力!M254)</f>
        <v/>
      </c>
      <c r="G560">
        <f>IF(AND(ISNUMBER(D560),ISNUMBER(F560),D560&gt;0),F560/D560,"")</f>
        <v/>
      </c>
      <c r="H560" t="n">
        <v>0</v>
      </c>
      <c r="I560">
        <f>IF(ISNUMBER(F560),-F560-H560,"")</f>
        <v/>
      </c>
      <c r="J560">
        <f>IF(G560="","",IF(G560&gt;=300,"✕ 要改善",IF(G560&gt;=200,"△ 注意","○ 良好")))</f>
        <v/>
      </c>
    </row>
    <row r="561">
      <c r="A561" s="66" t="n"/>
      <c r="B561" s="67">
        <f>IF(⑩盛付梱包工程入力!C255="","",⑩盛付梱包工程入力!C255)</f>
        <v/>
      </c>
      <c r="C561" s="82">
        <f>IF(⑩盛付梱包工程入力!B255="","",⑩盛付梱包工程入力!B255)</f>
        <v/>
      </c>
      <c r="D561" s="9">
        <f>IF(B561="","",⑩盛付梱包工程入力!I255)</f>
        <v/>
      </c>
      <c r="E561" s="9">
        <f>IF(B561="","",⑩盛付梱包工程入力!G255)</f>
        <v/>
      </c>
      <c r="F561" s="9">
        <f>IF(B561="","",⑩盛付梱包工程入力!M255)</f>
        <v/>
      </c>
      <c r="G561" s="513">
        <f>IF(AND(ISNUMBER(D561),ISNUMBER(F561),D561&gt;0),F561/D561,"")</f>
        <v/>
      </c>
      <c r="H561" s="7" t="n">
        <v>0</v>
      </c>
      <c r="I561" s="9">
        <f>IF(ISNUMBER(F561),-F561-H561,"")</f>
        <v/>
      </c>
      <c r="J561" s="69">
        <f>IF(G561="","",IF(G561&gt;=300,"✕ 要改善",IF(G561&gt;=200,"△ 注意","○ 良好")))</f>
        <v/>
      </c>
      <c r="K561" s="70" t="n"/>
    </row>
    <row r="562" ht="14" customHeight="1" s="438">
      <c r="A562" s="397" t="n"/>
      <c r="B562">
        <f>IF(⑩盛付梱包工程入力!C256="","",⑩盛付梱包工程入力!C256)</f>
        <v/>
      </c>
      <c r="C562">
        <f>IF(⑩盛付梱包工程入力!B256="","",⑩盛付梱包工程入力!B256)</f>
        <v/>
      </c>
      <c r="D562">
        <f>IF(B562="","",⑩盛付梱包工程入力!I256)</f>
        <v/>
      </c>
      <c r="E562">
        <f>IF(B562="","",⑩盛付梱包工程入力!G256)</f>
        <v/>
      </c>
      <c r="F562">
        <f>IF(B562="","",⑩盛付梱包工程入力!M256)</f>
        <v/>
      </c>
      <c r="G562">
        <f>IF(AND(ISNUMBER(D562),ISNUMBER(F562),D562&gt;0),F562/D562,"")</f>
        <v/>
      </c>
      <c r="H562" t="n">
        <v>0</v>
      </c>
      <c r="I562">
        <f>IF(ISNUMBER(F562),-F562-H562,"")</f>
        <v/>
      </c>
      <c r="J562">
        <f>IF(G562="","",IF(G562&gt;=300,"✕ 要改善",IF(G562&gt;=200,"△ 注意","○ 良好")))</f>
        <v/>
      </c>
    </row>
    <row r="563">
      <c r="A563" s="66" t="n"/>
      <c r="B563" s="67">
        <f>IF(⑩盛付梱包工程入力!C257="","",⑩盛付梱包工程入力!C257)</f>
        <v/>
      </c>
      <c r="C563" s="82">
        <f>IF(⑩盛付梱包工程入力!B257="","",⑩盛付梱包工程入力!B257)</f>
        <v/>
      </c>
      <c r="D563" s="9">
        <f>IF(B563="","",⑩盛付梱包工程入力!I257)</f>
        <v/>
      </c>
      <c r="E563" s="9">
        <f>IF(B563="","",⑩盛付梱包工程入力!G257)</f>
        <v/>
      </c>
      <c r="F563" s="9">
        <f>IF(B563="","",⑩盛付梱包工程入力!M257)</f>
        <v/>
      </c>
      <c r="G563" s="513">
        <f>IF(AND(ISNUMBER(D563),ISNUMBER(F563),D563&gt;0),F563/D563,"")</f>
        <v/>
      </c>
      <c r="H563" s="7" t="n">
        <v>0</v>
      </c>
      <c r="I563" s="9">
        <f>IF(ISNUMBER(F563),-F563-H563,"")</f>
        <v/>
      </c>
      <c r="J563" s="69">
        <f>IF(G563="","",IF(G563&gt;=300,"✕ 要改善",IF(G563&gt;=200,"△ 注意","○ 良好")))</f>
        <v/>
      </c>
      <c r="K563" s="70" t="n"/>
    </row>
    <row r="564" ht="14" customHeight="1" s="438">
      <c r="A564" s="397" t="n"/>
      <c r="B564">
        <f>IF(⑩盛付梱包工程入力!C258="","",⑩盛付梱包工程入力!C258)</f>
        <v/>
      </c>
      <c r="C564">
        <f>IF(⑩盛付梱包工程入力!B258="","",⑩盛付梱包工程入力!B258)</f>
        <v/>
      </c>
      <c r="D564">
        <f>IF(B564="","",⑩盛付梱包工程入力!I258)</f>
        <v/>
      </c>
      <c r="E564">
        <f>IF(B564="","",⑩盛付梱包工程入力!G258)</f>
        <v/>
      </c>
      <c r="F564">
        <f>IF(B564="","",⑩盛付梱包工程入力!M258)</f>
        <v/>
      </c>
      <c r="G564">
        <f>IF(AND(ISNUMBER(D564),ISNUMBER(F564),D564&gt;0),F564/D564,"")</f>
        <v/>
      </c>
      <c r="H564" t="n">
        <v>0</v>
      </c>
      <c r="I564">
        <f>IF(ISNUMBER(F564),-F564-H564,"")</f>
        <v/>
      </c>
      <c r="J564">
        <f>IF(G564="","",IF(G564&gt;=300,"✕ 要改善",IF(G564&gt;=200,"△ 注意","○ 良好")))</f>
        <v/>
      </c>
    </row>
    <row r="565">
      <c r="A565" s="66" t="n"/>
      <c r="B565" s="67">
        <f>IF(⑩盛付梱包工程入力!C259="","",⑩盛付梱包工程入力!C259)</f>
        <v/>
      </c>
      <c r="C565" s="82">
        <f>IF(⑩盛付梱包工程入力!B259="","",⑩盛付梱包工程入力!B259)</f>
        <v/>
      </c>
      <c r="D565" s="9">
        <f>IF(B565="","",⑩盛付梱包工程入力!I259)</f>
        <v/>
      </c>
      <c r="E565" s="9">
        <f>IF(B565="","",⑩盛付梱包工程入力!G259)</f>
        <v/>
      </c>
      <c r="F565" s="9">
        <f>IF(B565="","",⑩盛付梱包工程入力!M259)</f>
        <v/>
      </c>
      <c r="G565" s="513">
        <f>IF(AND(ISNUMBER(D565),ISNUMBER(F565),D565&gt;0),F565/D565,"")</f>
        <v/>
      </c>
      <c r="H565" s="7" t="n">
        <v>0</v>
      </c>
      <c r="I565" s="9">
        <f>IF(ISNUMBER(F565),-F565-H565,"")</f>
        <v/>
      </c>
      <c r="J565" s="69">
        <f>IF(G565="","",IF(G565&gt;=300,"✕ 要改善",IF(G565&gt;=200,"△ 注意","○ 良好")))</f>
        <v/>
      </c>
      <c r="K565" s="70" t="n"/>
    </row>
    <row r="566" ht="14" customHeight="1" s="438">
      <c r="A566" s="397" t="n"/>
      <c r="B566">
        <f>IF(⑩盛付梱包工程入力!C260="","",⑩盛付梱包工程入力!C260)</f>
        <v/>
      </c>
      <c r="C566">
        <f>IF(⑩盛付梱包工程入力!B260="","",⑩盛付梱包工程入力!B260)</f>
        <v/>
      </c>
      <c r="D566">
        <f>IF(B566="","",⑩盛付梱包工程入力!I260)</f>
        <v/>
      </c>
      <c r="E566">
        <f>IF(B566="","",⑩盛付梱包工程入力!G260)</f>
        <v/>
      </c>
      <c r="F566">
        <f>IF(B566="","",⑩盛付梱包工程入力!M260)</f>
        <v/>
      </c>
      <c r="G566">
        <f>IF(AND(ISNUMBER(D566),ISNUMBER(F566),D566&gt;0),F566/D566,"")</f>
        <v/>
      </c>
      <c r="H566" t="n">
        <v>0</v>
      </c>
      <c r="I566">
        <f>IF(ISNUMBER(F566),-F566-H566,"")</f>
        <v/>
      </c>
      <c r="J566">
        <f>IF(G566="","",IF(G566&gt;=300,"✕ 要改善",IF(G566&gt;=200,"△ 注意","○ 良好")))</f>
        <v/>
      </c>
    </row>
    <row r="567">
      <c r="A567" s="66" t="n"/>
      <c r="B567" s="67">
        <f>IF(⑩盛付梱包工程入力!C261="","",⑩盛付梱包工程入力!C261)</f>
        <v/>
      </c>
      <c r="C567" s="82">
        <f>IF(⑩盛付梱包工程入力!B261="","",⑩盛付梱包工程入力!B261)</f>
        <v/>
      </c>
      <c r="D567" s="9">
        <f>IF(B567="","",⑩盛付梱包工程入力!I261)</f>
        <v/>
      </c>
      <c r="E567" s="9">
        <f>IF(B567="","",⑩盛付梱包工程入力!G261)</f>
        <v/>
      </c>
      <c r="F567" s="9">
        <f>IF(B567="","",⑩盛付梱包工程入力!M261)</f>
        <v/>
      </c>
      <c r="G567" s="513">
        <f>IF(AND(ISNUMBER(D567),ISNUMBER(F567),D567&gt;0),F567/D567,"")</f>
        <v/>
      </c>
      <c r="H567" s="7" t="n">
        <v>0</v>
      </c>
      <c r="I567" s="9">
        <f>IF(ISNUMBER(F567),-F567-H567,"")</f>
        <v/>
      </c>
      <c r="J567" s="69">
        <f>IF(G567="","",IF(G567&gt;=300,"✕ 要改善",IF(G567&gt;=200,"△ 注意","○ 良好")))</f>
        <v/>
      </c>
      <c r="K567" s="70" t="n"/>
    </row>
    <row r="568" ht="14" customHeight="1" s="438">
      <c r="A568" s="397" t="n"/>
      <c r="B568">
        <f>IF(⑩盛付梱包工程入力!C262="","",⑩盛付梱包工程入力!C262)</f>
        <v/>
      </c>
      <c r="C568">
        <f>IF(⑩盛付梱包工程入力!B262="","",⑩盛付梱包工程入力!B262)</f>
        <v/>
      </c>
      <c r="D568">
        <f>IF(B568="","",⑩盛付梱包工程入力!I262)</f>
        <v/>
      </c>
      <c r="E568">
        <f>IF(B568="","",⑩盛付梱包工程入力!G262)</f>
        <v/>
      </c>
      <c r="F568">
        <f>IF(B568="","",⑩盛付梱包工程入力!M262)</f>
        <v/>
      </c>
      <c r="G568">
        <f>IF(AND(ISNUMBER(D568),ISNUMBER(F568),D568&gt;0),F568/D568,"")</f>
        <v/>
      </c>
      <c r="H568" t="n">
        <v>0</v>
      </c>
      <c r="I568">
        <f>IF(ISNUMBER(F568),-F568-H568,"")</f>
        <v/>
      </c>
      <c r="J568">
        <f>IF(G568="","",IF(G568&gt;=300,"✕ 要改善",IF(G568&gt;=200,"△ 注意","○ 良好")))</f>
        <v/>
      </c>
    </row>
    <row r="569">
      <c r="A569" s="66" t="n"/>
      <c r="B569" s="67">
        <f>IF(⑩盛付梱包工程入力!C263="","",⑩盛付梱包工程入力!C263)</f>
        <v/>
      </c>
      <c r="C569" s="82">
        <f>IF(⑩盛付梱包工程入力!B263="","",⑩盛付梱包工程入力!B263)</f>
        <v/>
      </c>
      <c r="D569" s="9">
        <f>IF(B569="","",⑩盛付梱包工程入力!I263)</f>
        <v/>
      </c>
      <c r="E569" s="9">
        <f>IF(B569="","",⑩盛付梱包工程入力!G263)</f>
        <v/>
      </c>
      <c r="F569" s="9">
        <f>IF(B569="","",⑩盛付梱包工程入力!M263)</f>
        <v/>
      </c>
      <c r="G569" s="513">
        <f>IF(AND(ISNUMBER(D569),ISNUMBER(F569),D569&gt;0),F569/D569,"")</f>
        <v/>
      </c>
      <c r="H569" s="7" t="n">
        <v>0</v>
      </c>
      <c r="I569" s="9">
        <f>IF(ISNUMBER(F569),-F569-H569,"")</f>
        <v/>
      </c>
      <c r="J569" s="69">
        <f>IF(G569="","",IF(G569&gt;=300,"✕ 要改善",IF(G569&gt;=200,"△ 注意","○ 良好")))</f>
        <v/>
      </c>
      <c r="K569" s="70" t="n"/>
    </row>
    <row r="570" ht="14" customHeight="1" s="438">
      <c r="A570" s="397" t="n"/>
      <c r="B570">
        <f>IF(⑩盛付梱包工程入力!C264="","",⑩盛付梱包工程入力!C264)</f>
        <v/>
      </c>
      <c r="C570">
        <f>IF(⑩盛付梱包工程入力!B264="","",⑩盛付梱包工程入力!B264)</f>
        <v/>
      </c>
      <c r="D570">
        <f>IF(B570="","",⑩盛付梱包工程入力!I264)</f>
        <v/>
      </c>
      <c r="E570">
        <f>IF(B570="","",⑩盛付梱包工程入力!G264)</f>
        <v/>
      </c>
      <c r="F570">
        <f>IF(B570="","",⑩盛付梱包工程入力!M264)</f>
        <v/>
      </c>
      <c r="G570">
        <f>IF(AND(ISNUMBER(D570),ISNUMBER(F570),D570&gt;0),F570/D570,"")</f>
        <v/>
      </c>
      <c r="H570" t="n">
        <v>0</v>
      </c>
      <c r="I570">
        <f>IF(ISNUMBER(F570),-F570-H570,"")</f>
        <v/>
      </c>
      <c r="J570">
        <f>IF(G570="","",IF(G570&gt;=300,"✕ 要改善",IF(G570&gt;=200,"△ 注意","○ 良好")))</f>
        <v/>
      </c>
    </row>
    <row r="571">
      <c r="A571" s="66" t="n"/>
      <c r="B571" s="67">
        <f>IF(⑩盛付梱包工程入力!C265="","",⑩盛付梱包工程入力!C265)</f>
        <v/>
      </c>
      <c r="C571" s="82">
        <f>IF(⑩盛付梱包工程入力!B265="","",⑩盛付梱包工程入力!B265)</f>
        <v/>
      </c>
      <c r="D571" s="9">
        <f>IF(B571="","",⑩盛付梱包工程入力!I265)</f>
        <v/>
      </c>
      <c r="E571" s="9">
        <f>IF(B571="","",⑩盛付梱包工程入力!G265)</f>
        <v/>
      </c>
      <c r="F571" s="9">
        <f>IF(B571="","",⑩盛付梱包工程入力!M265)</f>
        <v/>
      </c>
      <c r="G571" s="513">
        <f>IF(AND(ISNUMBER(D571),ISNUMBER(F571),D571&gt;0),F571/D571,"")</f>
        <v/>
      </c>
      <c r="H571" s="7" t="n">
        <v>0</v>
      </c>
      <c r="I571" s="9">
        <f>IF(ISNUMBER(F571),-F571-H571,"")</f>
        <v/>
      </c>
      <c r="J571" s="69">
        <f>IF(G571="","",IF(G571&gt;=300,"✕ 要改善",IF(G571&gt;=200,"△ 注意","○ 良好")))</f>
        <v/>
      </c>
      <c r="K571" s="70" t="n"/>
    </row>
    <row r="572" ht="14" customHeight="1" s="438">
      <c r="A572" s="397" t="n"/>
      <c r="B572">
        <f>IF(⑩盛付梱包工程入力!C266="","",⑩盛付梱包工程入力!C266)</f>
        <v/>
      </c>
      <c r="C572">
        <f>IF(⑩盛付梱包工程入力!B266="","",⑩盛付梱包工程入力!B266)</f>
        <v/>
      </c>
      <c r="D572">
        <f>IF(B572="","",⑩盛付梱包工程入力!I266)</f>
        <v/>
      </c>
      <c r="E572">
        <f>IF(B572="","",⑩盛付梱包工程入力!G266)</f>
        <v/>
      </c>
      <c r="F572">
        <f>IF(B572="","",⑩盛付梱包工程入力!M266)</f>
        <v/>
      </c>
      <c r="G572">
        <f>IF(AND(ISNUMBER(D572),ISNUMBER(F572),D572&gt;0),F572/D572,"")</f>
        <v/>
      </c>
      <c r="H572" t="n">
        <v>0</v>
      </c>
      <c r="I572">
        <f>IF(ISNUMBER(F572),-F572-H572,"")</f>
        <v/>
      </c>
      <c r="J572">
        <f>IF(G572="","",IF(G572&gt;=300,"✕ 要改善",IF(G572&gt;=200,"△ 注意","○ 良好")))</f>
        <v/>
      </c>
    </row>
    <row r="573">
      <c r="A573" s="66" t="n"/>
      <c r="B573" s="67">
        <f>IF(⑩盛付梱包工程入力!C267="","",⑩盛付梱包工程入力!C267)</f>
        <v/>
      </c>
      <c r="C573" s="82">
        <f>IF(⑩盛付梱包工程入力!B267="","",⑩盛付梱包工程入力!B267)</f>
        <v/>
      </c>
      <c r="D573" s="9">
        <f>IF(B573="","",⑩盛付梱包工程入力!I267)</f>
        <v/>
      </c>
      <c r="E573" s="9">
        <f>IF(B573="","",⑩盛付梱包工程入力!G267)</f>
        <v/>
      </c>
      <c r="F573" s="9">
        <f>IF(B573="","",⑩盛付梱包工程入力!M267)</f>
        <v/>
      </c>
      <c r="G573" s="513">
        <f>IF(AND(ISNUMBER(D573),ISNUMBER(F573),D573&gt;0),F573/D573,"")</f>
        <v/>
      </c>
      <c r="H573" s="7" t="n">
        <v>0</v>
      </c>
      <c r="I573" s="9">
        <f>IF(ISNUMBER(F573),-F573-H573,"")</f>
        <v/>
      </c>
      <c r="J573" s="69">
        <f>IF(G573="","",IF(G573&gt;=300,"✕ 要改善",IF(G573&gt;=200,"△ 注意","○ 良好")))</f>
        <v/>
      </c>
      <c r="K573" s="70" t="n"/>
    </row>
    <row r="574" ht="14" customHeight="1" s="438">
      <c r="A574" s="397" t="n"/>
      <c r="B574">
        <f>IF(⑩盛付梱包工程入力!C268="","",⑩盛付梱包工程入力!C268)</f>
        <v/>
      </c>
      <c r="C574">
        <f>IF(⑩盛付梱包工程入力!B268="","",⑩盛付梱包工程入力!B268)</f>
        <v/>
      </c>
      <c r="D574">
        <f>IF(B574="","",⑩盛付梱包工程入力!I268)</f>
        <v/>
      </c>
      <c r="E574">
        <f>IF(B574="","",⑩盛付梱包工程入力!G268)</f>
        <v/>
      </c>
      <c r="F574">
        <f>IF(B574="","",⑩盛付梱包工程入力!M268)</f>
        <v/>
      </c>
      <c r="G574">
        <f>IF(AND(ISNUMBER(D574),ISNUMBER(F574),D574&gt;0),F574/D574,"")</f>
        <v/>
      </c>
      <c r="H574" t="n">
        <v>0</v>
      </c>
      <c r="I574">
        <f>IF(ISNUMBER(F574),-F574-H574,"")</f>
        <v/>
      </c>
      <c r="J574">
        <f>IF(G574="","",IF(G574&gt;=300,"✕ 要改善",IF(G574&gt;=200,"△ 注意","○ 良好")))</f>
        <v/>
      </c>
    </row>
    <row r="575">
      <c r="A575" s="66" t="n"/>
      <c r="B575" s="67">
        <f>IF(⑩盛付梱包工程入力!C269="","",⑩盛付梱包工程入力!C269)</f>
        <v/>
      </c>
      <c r="C575" s="82">
        <f>IF(⑩盛付梱包工程入力!B269="","",⑩盛付梱包工程入力!B269)</f>
        <v/>
      </c>
      <c r="D575" s="9">
        <f>IF(B575="","",⑩盛付梱包工程入力!I269)</f>
        <v/>
      </c>
      <c r="E575" s="9">
        <f>IF(B575="","",⑩盛付梱包工程入力!G269)</f>
        <v/>
      </c>
      <c r="F575" s="9">
        <f>IF(B575="","",⑩盛付梱包工程入力!M269)</f>
        <v/>
      </c>
      <c r="G575" s="513">
        <f>IF(AND(ISNUMBER(D575),ISNUMBER(F575),D575&gt;0),F575/D575,"")</f>
        <v/>
      </c>
      <c r="H575" s="7" t="n">
        <v>0</v>
      </c>
      <c r="I575" s="9">
        <f>IF(ISNUMBER(F575),-F575-H575,"")</f>
        <v/>
      </c>
      <c r="J575" s="69">
        <f>IF(G575="","",IF(G575&gt;=300,"✕ 要改善",IF(G575&gt;=200,"△ 注意","○ 良好")))</f>
        <v/>
      </c>
      <c r="K575" s="70" t="n"/>
    </row>
    <row r="576" ht="14" customHeight="1" s="438">
      <c r="A576" s="397" t="n"/>
      <c r="B576">
        <f>IF(⑩盛付梱包工程入力!C270="","",⑩盛付梱包工程入力!C270)</f>
        <v/>
      </c>
      <c r="C576">
        <f>IF(⑩盛付梱包工程入力!B270="","",⑩盛付梱包工程入力!B270)</f>
        <v/>
      </c>
      <c r="D576">
        <f>IF(B576="","",⑩盛付梱包工程入力!I270)</f>
        <v/>
      </c>
      <c r="E576">
        <f>IF(B576="","",⑩盛付梱包工程入力!G270)</f>
        <v/>
      </c>
      <c r="F576">
        <f>IF(B576="","",⑩盛付梱包工程入力!M270)</f>
        <v/>
      </c>
      <c r="G576">
        <f>IF(AND(ISNUMBER(D576),ISNUMBER(F576),D576&gt;0),F576/D576,"")</f>
        <v/>
      </c>
      <c r="H576" t="n">
        <v>0</v>
      </c>
      <c r="I576">
        <f>IF(ISNUMBER(F576),-F576-H576,"")</f>
        <v/>
      </c>
      <c r="J576">
        <f>IF(G576="","",IF(G576&gt;=300,"✕ 要改善",IF(G576&gt;=200,"△ 注意","○ 良好")))</f>
        <v/>
      </c>
    </row>
    <row r="577">
      <c r="A577" s="66" t="n"/>
      <c r="B577" s="67">
        <f>IF(⑩盛付梱包工程入力!C271="","",⑩盛付梱包工程入力!C271)</f>
        <v/>
      </c>
      <c r="C577" s="82">
        <f>IF(⑩盛付梱包工程入力!B271="","",⑩盛付梱包工程入力!B271)</f>
        <v/>
      </c>
      <c r="D577" s="9">
        <f>IF(B577="","",⑩盛付梱包工程入力!I271)</f>
        <v/>
      </c>
      <c r="E577" s="9">
        <f>IF(B577="","",⑩盛付梱包工程入力!G271)</f>
        <v/>
      </c>
      <c r="F577" s="9">
        <f>IF(B577="","",⑩盛付梱包工程入力!M271)</f>
        <v/>
      </c>
      <c r="G577" s="513">
        <f>IF(AND(ISNUMBER(D577),ISNUMBER(F577),D577&gt;0),F577/D577,"")</f>
        <v/>
      </c>
      <c r="H577" s="7" t="n">
        <v>0</v>
      </c>
      <c r="I577" s="9">
        <f>IF(ISNUMBER(F577),-F577-H577,"")</f>
        <v/>
      </c>
      <c r="J577" s="69">
        <f>IF(G577="","",IF(G577&gt;=300,"✕ 要改善",IF(G577&gt;=200,"△ 注意","○ 良好")))</f>
        <v/>
      </c>
      <c r="K577" s="70" t="n"/>
    </row>
    <row r="578" ht="14" customHeight="1" s="438">
      <c r="A578" s="397" t="n"/>
      <c r="B578">
        <f>IF(⑩盛付梱包工程入力!C272="","",⑩盛付梱包工程入力!C272)</f>
        <v/>
      </c>
      <c r="C578">
        <f>IF(⑩盛付梱包工程入力!B272="","",⑩盛付梱包工程入力!B272)</f>
        <v/>
      </c>
      <c r="D578">
        <f>IF(B578="","",⑩盛付梱包工程入力!I272)</f>
        <v/>
      </c>
      <c r="E578">
        <f>IF(B578="","",⑩盛付梱包工程入力!G272)</f>
        <v/>
      </c>
      <c r="F578">
        <f>IF(B578="","",⑩盛付梱包工程入力!M272)</f>
        <v/>
      </c>
      <c r="G578">
        <f>IF(AND(ISNUMBER(D578),ISNUMBER(F578),D578&gt;0),F578/D578,"")</f>
        <v/>
      </c>
      <c r="H578" t="n">
        <v>0</v>
      </c>
      <c r="I578">
        <f>IF(ISNUMBER(F578),-F578-H578,"")</f>
        <v/>
      </c>
      <c r="J578">
        <f>IF(G578="","",IF(G578&gt;=300,"✕ 要改善",IF(G578&gt;=200,"△ 注意","○ 良好")))</f>
        <v/>
      </c>
    </row>
    <row r="579">
      <c r="A579" s="66" t="n"/>
      <c r="B579" s="67">
        <f>IF(⑩盛付梱包工程入力!C273="","",⑩盛付梱包工程入力!C273)</f>
        <v/>
      </c>
      <c r="C579" s="82">
        <f>IF(⑩盛付梱包工程入力!B273="","",⑩盛付梱包工程入力!B273)</f>
        <v/>
      </c>
      <c r="D579" s="9">
        <f>IF(B579="","",⑩盛付梱包工程入力!I273)</f>
        <v/>
      </c>
      <c r="E579" s="9">
        <f>IF(B579="","",⑩盛付梱包工程入力!G273)</f>
        <v/>
      </c>
      <c r="F579" s="9">
        <f>IF(B579="","",⑩盛付梱包工程入力!M273)</f>
        <v/>
      </c>
      <c r="G579" s="513">
        <f>IF(AND(ISNUMBER(D579),ISNUMBER(F579),D579&gt;0),F579/D579,"")</f>
        <v/>
      </c>
      <c r="H579" s="7" t="n">
        <v>0</v>
      </c>
      <c r="I579" s="9">
        <f>IF(ISNUMBER(F579),-F579-H579,"")</f>
        <v/>
      </c>
      <c r="J579" s="69">
        <f>IF(G579="","",IF(G579&gt;=300,"✕ 要改善",IF(G579&gt;=200,"△ 注意","○ 良好")))</f>
        <v/>
      </c>
      <c r="K579" s="70" t="n"/>
    </row>
    <row r="580" ht="14" customHeight="1" s="438">
      <c r="A580" s="397" t="n"/>
      <c r="B580">
        <f>IF(⑩盛付梱包工程入力!C274="","",⑩盛付梱包工程入力!C274)</f>
        <v/>
      </c>
      <c r="C580">
        <f>IF(⑩盛付梱包工程入力!B274="","",⑩盛付梱包工程入力!B274)</f>
        <v/>
      </c>
      <c r="D580">
        <f>IF(B580="","",⑩盛付梱包工程入力!I274)</f>
        <v/>
      </c>
      <c r="E580">
        <f>IF(B580="","",⑩盛付梱包工程入力!G274)</f>
        <v/>
      </c>
      <c r="F580">
        <f>IF(B580="","",⑩盛付梱包工程入力!M274)</f>
        <v/>
      </c>
      <c r="G580">
        <f>IF(AND(ISNUMBER(D580),ISNUMBER(F580),D580&gt;0),F580/D580,"")</f>
        <v/>
      </c>
      <c r="H580" t="n">
        <v>0</v>
      </c>
      <c r="I580">
        <f>IF(ISNUMBER(F580),-F580-H580,"")</f>
        <v/>
      </c>
      <c r="J580">
        <f>IF(G580="","",IF(G580&gt;=300,"✕ 要改善",IF(G580&gt;=200,"△ 注意","○ 良好")))</f>
        <v/>
      </c>
    </row>
    <row r="581">
      <c r="A581" s="66" t="n"/>
      <c r="B581" s="67">
        <f>IF(⑩盛付梱包工程入力!C275="","",⑩盛付梱包工程入力!C275)</f>
        <v/>
      </c>
      <c r="C581" s="82">
        <f>IF(⑩盛付梱包工程入力!B275="","",⑩盛付梱包工程入力!B275)</f>
        <v/>
      </c>
      <c r="D581" s="9">
        <f>IF(B581="","",⑩盛付梱包工程入力!I275)</f>
        <v/>
      </c>
      <c r="E581" s="9">
        <f>IF(B581="","",⑩盛付梱包工程入力!G275)</f>
        <v/>
      </c>
      <c r="F581" s="9">
        <f>IF(B581="","",⑩盛付梱包工程入力!M275)</f>
        <v/>
      </c>
      <c r="G581" s="513">
        <f>IF(AND(ISNUMBER(D581),ISNUMBER(F581),D581&gt;0),F581/D581,"")</f>
        <v/>
      </c>
      <c r="H581" s="7" t="n">
        <v>0</v>
      </c>
      <c r="I581" s="9">
        <f>IF(ISNUMBER(F581),-F581-H581,"")</f>
        <v/>
      </c>
      <c r="J581" s="69">
        <f>IF(G581="","",IF(G581&gt;=300,"✕ 要改善",IF(G581&gt;=200,"△ 注意","○ 良好")))</f>
        <v/>
      </c>
      <c r="K581" s="70" t="n"/>
    </row>
    <row r="582" ht="14" customHeight="1" s="438">
      <c r="A582" s="397" t="n"/>
      <c r="B582">
        <f>IF(⑩盛付梱包工程入力!C276="","",⑩盛付梱包工程入力!C276)</f>
        <v/>
      </c>
      <c r="C582">
        <f>IF(⑩盛付梱包工程入力!B276="","",⑩盛付梱包工程入力!B276)</f>
        <v/>
      </c>
      <c r="D582">
        <f>IF(B582="","",⑩盛付梱包工程入力!I276)</f>
        <v/>
      </c>
      <c r="E582">
        <f>IF(B582="","",⑩盛付梱包工程入力!G276)</f>
        <v/>
      </c>
      <c r="F582">
        <f>IF(B582="","",⑩盛付梱包工程入力!M276)</f>
        <v/>
      </c>
      <c r="G582">
        <f>IF(AND(ISNUMBER(D582),ISNUMBER(F582),D582&gt;0),F582/D582,"")</f>
        <v/>
      </c>
      <c r="H582" t="n">
        <v>0</v>
      </c>
      <c r="I582">
        <f>IF(ISNUMBER(F582),-F582-H582,"")</f>
        <v/>
      </c>
      <c r="J582">
        <f>IF(G582="","",IF(G582&gt;=300,"✕ 要改善",IF(G582&gt;=200,"△ 注意","○ 良好")))</f>
        <v/>
      </c>
    </row>
    <row r="583">
      <c r="A583" s="66" t="n"/>
      <c r="B583" s="67">
        <f>IF(⑩盛付梱包工程入力!C277="","",⑩盛付梱包工程入力!C277)</f>
        <v/>
      </c>
      <c r="C583" s="82">
        <f>IF(⑩盛付梱包工程入力!B277="","",⑩盛付梱包工程入力!B277)</f>
        <v/>
      </c>
      <c r="D583" s="9">
        <f>IF(B583="","",⑩盛付梱包工程入力!I277)</f>
        <v/>
      </c>
      <c r="E583" s="9">
        <f>IF(B583="","",⑩盛付梱包工程入力!G277)</f>
        <v/>
      </c>
      <c r="F583" s="9">
        <f>IF(B583="","",⑩盛付梱包工程入力!M277)</f>
        <v/>
      </c>
      <c r="G583" s="513">
        <f>IF(AND(ISNUMBER(D583),ISNUMBER(F583),D583&gt;0),F583/D583,"")</f>
        <v/>
      </c>
      <c r="H583" s="7" t="n">
        <v>0</v>
      </c>
      <c r="I583" s="9">
        <f>IF(ISNUMBER(F583),-F583-H583,"")</f>
        <v/>
      </c>
      <c r="J583" s="69">
        <f>IF(G583="","",IF(G583&gt;=300,"✕ 要改善",IF(G583&gt;=200,"△ 注意","○ 良好")))</f>
        <v/>
      </c>
      <c r="K583" s="70" t="n"/>
    </row>
    <row r="584" ht="14" customHeight="1" s="438">
      <c r="A584" s="397" t="n"/>
      <c r="B584">
        <f>IF(⑩盛付梱包工程入力!C278="","",⑩盛付梱包工程入力!C278)</f>
        <v/>
      </c>
      <c r="C584">
        <f>IF(⑩盛付梱包工程入力!B278="","",⑩盛付梱包工程入力!B278)</f>
        <v/>
      </c>
      <c r="D584">
        <f>IF(B584="","",⑩盛付梱包工程入力!I278)</f>
        <v/>
      </c>
      <c r="E584">
        <f>IF(B584="","",⑩盛付梱包工程入力!G278)</f>
        <v/>
      </c>
      <c r="F584">
        <f>IF(B584="","",⑩盛付梱包工程入力!M278)</f>
        <v/>
      </c>
      <c r="G584">
        <f>IF(AND(ISNUMBER(D584),ISNUMBER(F584),D584&gt;0),F584/D584,"")</f>
        <v/>
      </c>
      <c r="H584" t="n">
        <v>0</v>
      </c>
      <c r="I584">
        <f>IF(ISNUMBER(F584),-F584-H584,"")</f>
        <v/>
      </c>
      <c r="J584">
        <f>IF(G584="","",IF(G584&gt;=300,"✕ 要改善",IF(G584&gt;=200,"△ 注意","○ 良好")))</f>
        <v/>
      </c>
    </row>
    <row r="585">
      <c r="A585" s="66" t="n"/>
      <c r="B585" s="67">
        <f>IF(⑩盛付梱包工程入力!C279="","",⑩盛付梱包工程入力!C279)</f>
        <v/>
      </c>
      <c r="C585" s="82">
        <f>IF(⑩盛付梱包工程入力!B279="","",⑩盛付梱包工程入力!B279)</f>
        <v/>
      </c>
      <c r="D585" s="9">
        <f>IF(B585="","",⑩盛付梱包工程入力!I279)</f>
        <v/>
      </c>
      <c r="E585" s="9">
        <f>IF(B585="","",⑩盛付梱包工程入力!G279)</f>
        <v/>
      </c>
      <c r="F585" s="9">
        <f>IF(B585="","",⑩盛付梱包工程入力!M279)</f>
        <v/>
      </c>
      <c r="G585" s="513">
        <f>IF(AND(ISNUMBER(D585),ISNUMBER(F585),D585&gt;0),F585/D585,"")</f>
        <v/>
      </c>
      <c r="H585" s="7" t="n">
        <v>0</v>
      </c>
      <c r="I585" s="9">
        <f>IF(ISNUMBER(F585),-F585-H585,"")</f>
        <v/>
      </c>
      <c r="J585" s="69">
        <f>IF(G585="","",IF(G585&gt;=300,"✕ 要改善",IF(G585&gt;=200,"△ 注意","○ 良好")))</f>
        <v/>
      </c>
      <c r="K585" s="70" t="n"/>
    </row>
    <row r="586" ht="14" customHeight="1" s="438">
      <c r="A586" s="397" t="n"/>
      <c r="B586">
        <f>IF(⑩盛付梱包工程入力!C280="","",⑩盛付梱包工程入力!C280)</f>
        <v/>
      </c>
      <c r="C586">
        <f>IF(⑩盛付梱包工程入力!B280="","",⑩盛付梱包工程入力!B280)</f>
        <v/>
      </c>
      <c r="D586">
        <f>IF(B586="","",⑩盛付梱包工程入力!I280)</f>
        <v/>
      </c>
      <c r="E586">
        <f>IF(B586="","",⑩盛付梱包工程入力!G280)</f>
        <v/>
      </c>
      <c r="F586">
        <f>IF(B586="","",⑩盛付梱包工程入力!M280)</f>
        <v/>
      </c>
      <c r="G586">
        <f>IF(AND(ISNUMBER(D586),ISNUMBER(F586),D586&gt;0),F586/D586,"")</f>
        <v/>
      </c>
      <c r="H586" t="n">
        <v>0</v>
      </c>
      <c r="I586">
        <f>IF(ISNUMBER(F586),-F586-H586,"")</f>
        <v/>
      </c>
      <c r="J586">
        <f>IF(G586="","",IF(G586&gt;=300,"✕ 要改善",IF(G586&gt;=200,"△ 注意","○ 良好")))</f>
        <v/>
      </c>
    </row>
    <row r="587">
      <c r="A587" s="66" t="n"/>
      <c r="B587" s="67">
        <f>IF(⑩盛付梱包工程入力!C281="","",⑩盛付梱包工程入力!C281)</f>
        <v/>
      </c>
      <c r="C587" s="82">
        <f>IF(⑩盛付梱包工程入力!B281="","",⑩盛付梱包工程入力!B281)</f>
        <v/>
      </c>
      <c r="D587" s="9">
        <f>IF(B587="","",⑩盛付梱包工程入力!I281)</f>
        <v/>
      </c>
      <c r="E587" s="9">
        <f>IF(B587="","",⑩盛付梱包工程入力!G281)</f>
        <v/>
      </c>
      <c r="F587" s="9">
        <f>IF(B587="","",⑩盛付梱包工程入力!M281)</f>
        <v/>
      </c>
      <c r="G587" s="513">
        <f>IF(AND(ISNUMBER(D587),ISNUMBER(F587),D587&gt;0),F587/D587,"")</f>
        <v/>
      </c>
      <c r="H587" s="7" t="n">
        <v>0</v>
      </c>
      <c r="I587" s="9">
        <f>IF(ISNUMBER(F587),-F587-H587,"")</f>
        <v/>
      </c>
      <c r="J587" s="69">
        <f>IF(G587="","",IF(G587&gt;=300,"✕ 要改善",IF(G587&gt;=200,"△ 注意","○ 良好")))</f>
        <v/>
      </c>
      <c r="K587" s="70" t="n"/>
    </row>
    <row r="588" ht="14" customHeight="1" s="438">
      <c r="A588" s="397" t="n"/>
      <c r="B588">
        <f>IF(⑩盛付梱包工程入力!C282="","",⑩盛付梱包工程入力!C282)</f>
        <v/>
      </c>
      <c r="C588">
        <f>IF(⑩盛付梱包工程入力!B282="","",⑩盛付梱包工程入力!B282)</f>
        <v/>
      </c>
      <c r="D588">
        <f>IF(B588="","",⑩盛付梱包工程入力!I282)</f>
        <v/>
      </c>
      <c r="E588">
        <f>IF(B588="","",⑩盛付梱包工程入力!G282)</f>
        <v/>
      </c>
      <c r="F588">
        <f>IF(B588="","",⑩盛付梱包工程入力!M282)</f>
        <v/>
      </c>
      <c r="G588">
        <f>IF(AND(ISNUMBER(D588),ISNUMBER(F588),D588&gt;0),F588/D588,"")</f>
        <v/>
      </c>
      <c r="H588" t="n">
        <v>0</v>
      </c>
      <c r="I588">
        <f>IF(ISNUMBER(F588),-F588-H588,"")</f>
        <v/>
      </c>
      <c r="J588">
        <f>IF(G588="","",IF(G588&gt;=300,"✕ 要改善",IF(G588&gt;=200,"△ 注意","○ 良好")))</f>
        <v/>
      </c>
    </row>
    <row r="589">
      <c r="A589" s="66" t="n"/>
      <c r="B589" s="67">
        <f>IF(⑩盛付梱包工程入力!C283="","",⑩盛付梱包工程入力!C283)</f>
        <v/>
      </c>
      <c r="C589" s="82">
        <f>IF(⑩盛付梱包工程入力!B283="","",⑩盛付梱包工程入力!B283)</f>
        <v/>
      </c>
      <c r="D589" s="9">
        <f>IF(B589="","",⑩盛付梱包工程入力!I283)</f>
        <v/>
      </c>
      <c r="E589" s="9">
        <f>IF(B589="","",⑩盛付梱包工程入力!G283)</f>
        <v/>
      </c>
      <c r="F589" s="9">
        <f>IF(B589="","",⑩盛付梱包工程入力!M283)</f>
        <v/>
      </c>
      <c r="G589" s="513">
        <f>IF(AND(ISNUMBER(D589),ISNUMBER(F589),D589&gt;0),F589/D589,"")</f>
        <v/>
      </c>
      <c r="H589" s="7" t="n">
        <v>0</v>
      </c>
      <c r="I589" s="9">
        <f>IF(ISNUMBER(F589),-F589-H589,"")</f>
        <v/>
      </c>
      <c r="J589" s="69">
        <f>IF(G589="","",IF(G589&gt;=300,"✕ 要改善",IF(G589&gt;=200,"△ 注意","○ 良好")))</f>
        <v/>
      </c>
      <c r="K589" s="70" t="n"/>
    </row>
    <row r="590" ht="14" customHeight="1" s="438">
      <c r="A590" s="397" t="n"/>
      <c r="B590">
        <f>IF(⑩盛付梱包工程入力!C284="","",⑩盛付梱包工程入力!C284)</f>
        <v/>
      </c>
      <c r="C590">
        <f>IF(⑩盛付梱包工程入力!B284="","",⑩盛付梱包工程入力!B284)</f>
        <v/>
      </c>
      <c r="D590">
        <f>IF(B590="","",⑩盛付梱包工程入力!I284)</f>
        <v/>
      </c>
      <c r="E590">
        <f>IF(B590="","",⑩盛付梱包工程入力!G284)</f>
        <v/>
      </c>
      <c r="F590">
        <f>IF(B590="","",⑩盛付梱包工程入力!M284)</f>
        <v/>
      </c>
      <c r="G590">
        <f>IF(AND(ISNUMBER(D590),ISNUMBER(F590),D590&gt;0),F590/D590,"")</f>
        <v/>
      </c>
      <c r="H590" t="n">
        <v>0</v>
      </c>
      <c r="I590">
        <f>IF(ISNUMBER(F590),-F590-H590,"")</f>
        <v/>
      </c>
      <c r="J590">
        <f>IF(G590="","",IF(G590&gt;=300,"✕ 要改善",IF(G590&gt;=200,"△ 注意","○ 良好")))</f>
        <v/>
      </c>
    </row>
    <row r="591">
      <c r="A591" s="66" t="n"/>
      <c r="B591" s="67">
        <f>IF(⑩盛付梱包工程入力!C285="","",⑩盛付梱包工程入力!C285)</f>
        <v/>
      </c>
      <c r="C591" s="82">
        <f>IF(⑩盛付梱包工程入力!B285="","",⑩盛付梱包工程入力!B285)</f>
        <v/>
      </c>
      <c r="D591" s="9">
        <f>IF(B591="","",⑩盛付梱包工程入力!I285)</f>
        <v/>
      </c>
      <c r="E591" s="9">
        <f>IF(B591="","",⑩盛付梱包工程入力!G285)</f>
        <v/>
      </c>
      <c r="F591" s="9">
        <f>IF(B591="","",⑩盛付梱包工程入力!M285)</f>
        <v/>
      </c>
      <c r="G591" s="513">
        <f>IF(AND(ISNUMBER(D591),ISNUMBER(F591),D591&gt;0),F591/D591,"")</f>
        <v/>
      </c>
      <c r="H591" s="7" t="n">
        <v>0</v>
      </c>
      <c r="I591" s="9">
        <f>IF(ISNUMBER(F591),-F591-H591,"")</f>
        <v/>
      </c>
      <c r="J591" s="69">
        <f>IF(G591="","",IF(G591&gt;=300,"✕ 要改善",IF(G591&gt;=200,"△ 注意","○ 良好")))</f>
        <v/>
      </c>
      <c r="K591" s="70" t="n"/>
    </row>
    <row r="592" ht="14" customHeight="1" s="438">
      <c r="A592" s="397" t="n"/>
      <c r="B592">
        <f>IF(⑩盛付梱包工程入力!C286="","",⑩盛付梱包工程入力!C286)</f>
        <v/>
      </c>
      <c r="C592">
        <f>IF(⑩盛付梱包工程入力!B286="","",⑩盛付梱包工程入力!B286)</f>
        <v/>
      </c>
      <c r="D592">
        <f>IF(B592="","",⑩盛付梱包工程入力!I286)</f>
        <v/>
      </c>
      <c r="E592">
        <f>IF(B592="","",⑩盛付梱包工程入力!G286)</f>
        <v/>
      </c>
      <c r="F592">
        <f>IF(B592="","",⑩盛付梱包工程入力!M286)</f>
        <v/>
      </c>
      <c r="G592">
        <f>IF(AND(ISNUMBER(D592),ISNUMBER(F592),D592&gt;0),F592/D592,"")</f>
        <v/>
      </c>
      <c r="H592" t="n">
        <v>0</v>
      </c>
      <c r="I592">
        <f>IF(ISNUMBER(F592),-F592-H592,"")</f>
        <v/>
      </c>
      <c r="J592">
        <f>IF(G592="","",IF(G592&gt;=300,"✕ 要改善",IF(G592&gt;=200,"△ 注意","○ 良好")))</f>
        <v/>
      </c>
    </row>
    <row r="593">
      <c r="A593" s="66" t="n"/>
      <c r="B593" s="67">
        <f>IF(⑩盛付梱包工程入力!C287="","",⑩盛付梱包工程入力!C287)</f>
        <v/>
      </c>
      <c r="C593" s="82">
        <f>IF(⑩盛付梱包工程入力!B287="","",⑩盛付梱包工程入力!B287)</f>
        <v/>
      </c>
      <c r="D593" s="9">
        <f>IF(B593="","",⑩盛付梱包工程入力!I287)</f>
        <v/>
      </c>
      <c r="E593" s="9">
        <f>IF(B593="","",⑩盛付梱包工程入力!G287)</f>
        <v/>
      </c>
      <c r="F593" s="9">
        <f>IF(B593="","",⑩盛付梱包工程入力!M287)</f>
        <v/>
      </c>
      <c r="G593" s="513">
        <f>IF(AND(ISNUMBER(D593),ISNUMBER(F593),D593&gt;0),F593/D593,"")</f>
        <v/>
      </c>
      <c r="H593" s="7" t="n">
        <v>0</v>
      </c>
      <c r="I593" s="9">
        <f>IF(ISNUMBER(F593),-F593-H593,"")</f>
        <v/>
      </c>
      <c r="J593" s="69">
        <f>IF(G593="","",IF(G593&gt;=300,"✕ 要改善",IF(G593&gt;=200,"△ 注意","○ 良好")))</f>
        <v/>
      </c>
      <c r="K593" s="70" t="n"/>
    </row>
    <row r="594" ht="14" customHeight="1" s="438">
      <c r="A594" s="397" t="n"/>
      <c r="B594">
        <f>IF(⑩盛付梱包工程入力!C288="","",⑩盛付梱包工程入力!C288)</f>
        <v/>
      </c>
      <c r="C594">
        <f>IF(⑩盛付梱包工程入力!B288="","",⑩盛付梱包工程入力!B288)</f>
        <v/>
      </c>
      <c r="D594">
        <f>IF(B594="","",⑩盛付梱包工程入力!I288)</f>
        <v/>
      </c>
      <c r="E594">
        <f>IF(B594="","",⑩盛付梱包工程入力!G288)</f>
        <v/>
      </c>
      <c r="F594">
        <f>IF(B594="","",⑩盛付梱包工程入力!M288)</f>
        <v/>
      </c>
      <c r="G594">
        <f>IF(AND(ISNUMBER(D594),ISNUMBER(F594),D594&gt;0),F594/D594,"")</f>
        <v/>
      </c>
      <c r="H594" t="n">
        <v>0</v>
      </c>
      <c r="I594">
        <f>IF(ISNUMBER(F594),-F594-H594,"")</f>
        <v/>
      </c>
      <c r="J594">
        <f>IF(G594="","",IF(G594&gt;=300,"✕ 要改善",IF(G594&gt;=200,"△ 注意","○ 良好")))</f>
        <v/>
      </c>
    </row>
    <row r="595">
      <c r="A595" s="66" t="n"/>
      <c r="B595" s="67">
        <f>IF(⑩盛付梱包工程入力!C289="","",⑩盛付梱包工程入力!C289)</f>
        <v/>
      </c>
      <c r="C595" s="82">
        <f>IF(⑩盛付梱包工程入力!B289="","",⑩盛付梱包工程入力!B289)</f>
        <v/>
      </c>
      <c r="D595" s="9">
        <f>IF(B595="","",⑩盛付梱包工程入力!I289)</f>
        <v/>
      </c>
      <c r="E595" s="9">
        <f>IF(B595="","",⑩盛付梱包工程入力!G289)</f>
        <v/>
      </c>
      <c r="F595" s="9">
        <f>IF(B595="","",⑩盛付梱包工程入力!M289)</f>
        <v/>
      </c>
      <c r="G595" s="513">
        <f>IF(AND(ISNUMBER(D595),ISNUMBER(F595),D595&gt;0),F595/D595,"")</f>
        <v/>
      </c>
      <c r="H595" s="7" t="n">
        <v>0</v>
      </c>
      <c r="I595" s="9">
        <f>IF(ISNUMBER(F595),-F595-H595,"")</f>
        <v/>
      </c>
      <c r="J595" s="69">
        <f>IF(G595="","",IF(G595&gt;=300,"✕ 要改善",IF(G595&gt;=200,"△ 注意","○ 良好")))</f>
        <v/>
      </c>
      <c r="K595" s="70" t="n"/>
    </row>
    <row r="596" ht="14" customHeight="1" s="438">
      <c r="A596" s="397" t="n"/>
      <c r="B596">
        <f>IF(⑩盛付梱包工程入力!C290="","",⑩盛付梱包工程入力!C290)</f>
        <v/>
      </c>
      <c r="C596">
        <f>IF(⑩盛付梱包工程入力!B290="","",⑩盛付梱包工程入力!B290)</f>
        <v/>
      </c>
      <c r="D596">
        <f>IF(B596="","",⑩盛付梱包工程入力!I290)</f>
        <v/>
      </c>
      <c r="E596">
        <f>IF(B596="","",⑩盛付梱包工程入力!G290)</f>
        <v/>
      </c>
      <c r="F596">
        <f>IF(B596="","",⑩盛付梱包工程入力!M290)</f>
        <v/>
      </c>
      <c r="G596">
        <f>IF(AND(ISNUMBER(D596),ISNUMBER(F596),D596&gt;0),F596/D596,"")</f>
        <v/>
      </c>
      <c r="H596" t="n">
        <v>0</v>
      </c>
      <c r="I596">
        <f>IF(ISNUMBER(F596),-F596-H596,"")</f>
        <v/>
      </c>
      <c r="J596">
        <f>IF(G596="","",IF(G596&gt;=300,"✕ 要改善",IF(G596&gt;=200,"△ 注意","○ 良好")))</f>
        <v/>
      </c>
    </row>
    <row r="597">
      <c r="A597" s="66" t="n"/>
      <c r="B597" s="67">
        <f>IF(⑩盛付梱包工程入力!C291="","",⑩盛付梱包工程入力!C291)</f>
        <v/>
      </c>
      <c r="C597" s="82">
        <f>IF(⑩盛付梱包工程入力!B291="","",⑩盛付梱包工程入力!B291)</f>
        <v/>
      </c>
      <c r="D597" s="9">
        <f>IF(B597="","",⑩盛付梱包工程入力!I291)</f>
        <v/>
      </c>
      <c r="E597" s="9">
        <f>IF(B597="","",⑩盛付梱包工程入力!G291)</f>
        <v/>
      </c>
      <c r="F597" s="9">
        <f>IF(B597="","",⑩盛付梱包工程入力!M291)</f>
        <v/>
      </c>
      <c r="G597" s="513">
        <f>IF(AND(ISNUMBER(D597),ISNUMBER(F597),D597&gt;0),F597/D597,"")</f>
        <v/>
      </c>
      <c r="H597" s="7" t="n">
        <v>0</v>
      </c>
      <c r="I597" s="9">
        <f>IF(ISNUMBER(F597),-F597-H597,"")</f>
        <v/>
      </c>
      <c r="J597" s="69">
        <f>IF(G597="","",IF(G597&gt;=300,"✕ 要改善",IF(G597&gt;=200,"△ 注意","○ 良好")))</f>
        <v/>
      </c>
      <c r="K597" s="70" t="n"/>
    </row>
    <row r="598" ht="14" customHeight="1" s="438">
      <c r="A598" s="397" t="n"/>
      <c r="B598">
        <f>IF(⑩盛付梱包工程入力!C292="","",⑩盛付梱包工程入力!C292)</f>
        <v/>
      </c>
      <c r="C598">
        <f>IF(⑩盛付梱包工程入力!B292="","",⑩盛付梱包工程入力!B292)</f>
        <v/>
      </c>
      <c r="D598">
        <f>IF(B598="","",⑩盛付梱包工程入力!I292)</f>
        <v/>
      </c>
      <c r="E598">
        <f>IF(B598="","",⑩盛付梱包工程入力!G292)</f>
        <v/>
      </c>
      <c r="F598">
        <f>IF(B598="","",⑩盛付梱包工程入力!M292)</f>
        <v/>
      </c>
      <c r="G598">
        <f>IF(AND(ISNUMBER(D598),ISNUMBER(F598),D598&gt;0),F598/D598,"")</f>
        <v/>
      </c>
      <c r="H598" t="n">
        <v>0</v>
      </c>
      <c r="I598">
        <f>IF(ISNUMBER(F598),-F598-H598,"")</f>
        <v/>
      </c>
      <c r="J598">
        <f>IF(G598="","",IF(G598&gt;=300,"✕ 要改善",IF(G598&gt;=200,"△ 注意","○ 良好")))</f>
        <v/>
      </c>
    </row>
    <row r="599">
      <c r="A599" s="66" t="n"/>
      <c r="B599" s="67">
        <f>IF(⑩盛付梱包工程入力!C293="","",⑩盛付梱包工程入力!C293)</f>
        <v/>
      </c>
      <c r="C599" s="82">
        <f>IF(⑩盛付梱包工程入力!B293="","",⑩盛付梱包工程入力!B293)</f>
        <v/>
      </c>
      <c r="D599" s="9">
        <f>IF(B599="","",⑩盛付梱包工程入力!I293)</f>
        <v/>
      </c>
      <c r="E599" s="9">
        <f>IF(B599="","",⑩盛付梱包工程入力!G293)</f>
        <v/>
      </c>
      <c r="F599" s="9">
        <f>IF(B599="","",⑩盛付梱包工程入力!M293)</f>
        <v/>
      </c>
      <c r="G599" s="513">
        <f>IF(AND(ISNUMBER(D599),ISNUMBER(F599),D599&gt;0),F599/D599,"")</f>
        <v/>
      </c>
      <c r="H599" s="7" t="n">
        <v>0</v>
      </c>
      <c r="I599" s="9">
        <f>IF(ISNUMBER(F599),-F599-H599,"")</f>
        <v/>
      </c>
      <c r="J599" s="69">
        <f>IF(G599="","",IF(G599&gt;=300,"✕ 要改善",IF(G599&gt;=200,"△ 注意","○ 良好")))</f>
        <v/>
      </c>
      <c r="K599" s="70" t="n"/>
    </row>
    <row r="600" ht="14" customHeight="1" s="438">
      <c r="A600" s="397" t="n"/>
      <c r="B600">
        <f>IF(⑩盛付梱包工程入力!C294="","",⑩盛付梱包工程入力!C294)</f>
        <v/>
      </c>
      <c r="C600">
        <f>IF(⑩盛付梱包工程入力!B294="","",⑩盛付梱包工程入力!B294)</f>
        <v/>
      </c>
      <c r="D600">
        <f>IF(B600="","",⑩盛付梱包工程入力!I294)</f>
        <v/>
      </c>
      <c r="E600">
        <f>IF(B600="","",⑩盛付梱包工程入力!G294)</f>
        <v/>
      </c>
      <c r="F600">
        <f>IF(B600="","",⑩盛付梱包工程入力!M294)</f>
        <v/>
      </c>
      <c r="G600">
        <f>IF(AND(ISNUMBER(D600),ISNUMBER(F600),D600&gt;0),F600/D600,"")</f>
        <v/>
      </c>
      <c r="H600" t="n">
        <v>0</v>
      </c>
      <c r="I600">
        <f>IF(ISNUMBER(F600),-F600-H600,"")</f>
        <v/>
      </c>
      <c r="J600">
        <f>IF(G600="","",IF(G600&gt;=300,"✕ 要改善",IF(G600&gt;=200,"△ 注意","○ 良好")))</f>
        <v/>
      </c>
    </row>
    <row r="601">
      <c r="A601" s="66" t="n"/>
      <c r="B601" s="67">
        <f>IF(⑩盛付梱包工程入力!C295="","",⑩盛付梱包工程入力!C295)</f>
        <v/>
      </c>
      <c r="C601" s="82">
        <f>IF(⑩盛付梱包工程入力!B295="","",⑩盛付梱包工程入力!B295)</f>
        <v/>
      </c>
      <c r="D601" s="9">
        <f>IF(B601="","",⑩盛付梱包工程入力!I295)</f>
        <v/>
      </c>
      <c r="E601" s="9">
        <f>IF(B601="","",⑩盛付梱包工程入力!G295)</f>
        <v/>
      </c>
      <c r="F601" s="9">
        <f>IF(B601="","",⑩盛付梱包工程入力!M295)</f>
        <v/>
      </c>
      <c r="G601" s="513">
        <f>IF(AND(ISNUMBER(D601),ISNUMBER(F601),D601&gt;0),F601/D601,"")</f>
        <v/>
      </c>
      <c r="H601" s="7" t="n">
        <v>0</v>
      </c>
      <c r="I601" s="9">
        <f>IF(ISNUMBER(F601),-F601-H601,"")</f>
        <v/>
      </c>
      <c r="J601" s="69">
        <f>IF(G601="","",IF(G601&gt;=300,"✕ 要改善",IF(G601&gt;=200,"△ 注意","○ 良好")))</f>
        <v/>
      </c>
      <c r="K601" s="70" t="n"/>
    </row>
    <row r="602" ht="14" customHeight="1" s="438">
      <c r="A602" s="397" t="n"/>
      <c r="B602">
        <f>IF(⑩盛付梱包工程入力!C296="","",⑩盛付梱包工程入力!C296)</f>
        <v/>
      </c>
      <c r="C602">
        <f>IF(⑩盛付梱包工程入力!B296="","",⑩盛付梱包工程入力!B296)</f>
        <v/>
      </c>
      <c r="D602">
        <f>IF(B602="","",⑩盛付梱包工程入力!I296)</f>
        <v/>
      </c>
      <c r="E602">
        <f>IF(B602="","",⑩盛付梱包工程入力!G296)</f>
        <v/>
      </c>
      <c r="F602">
        <f>IF(B602="","",⑩盛付梱包工程入力!M296)</f>
        <v/>
      </c>
      <c r="G602">
        <f>IF(AND(ISNUMBER(D602),ISNUMBER(F602),D602&gt;0),F602/D602,"")</f>
        <v/>
      </c>
      <c r="H602" t="n">
        <v>0</v>
      </c>
      <c r="I602">
        <f>IF(ISNUMBER(F602),-F602-H602,"")</f>
        <v/>
      </c>
      <c r="J602">
        <f>IF(G602="","",IF(G602&gt;=300,"✕ 要改善",IF(G602&gt;=200,"△ 注意","○ 良好")))</f>
        <v/>
      </c>
    </row>
    <row r="603">
      <c r="A603" s="66" t="n"/>
      <c r="B603" s="67">
        <f>IF(⑩盛付梱包工程入力!C297="","",⑩盛付梱包工程入力!C297)</f>
        <v/>
      </c>
      <c r="C603" s="82">
        <f>IF(⑩盛付梱包工程入力!B297="","",⑩盛付梱包工程入力!B297)</f>
        <v/>
      </c>
      <c r="D603" s="9">
        <f>IF(B603="","",⑩盛付梱包工程入力!I297)</f>
        <v/>
      </c>
      <c r="E603" s="9">
        <f>IF(B603="","",⑩盛付梱包工程入力!G297)</f>
        <v/>
      </c>
      <c r="F603" s="9">
        <f>IF(B603="","",⑩盛付梱包工程入力!M297)</f>
        <v/>
      </c>
      <c r="G603" s="513">
        <f>IF(AND(ISNUMBER(D603),ISNUMBER(F603),D603&gt;0),F603/D603,"")</f>
        <v/>
      </c>
      <c r="H603" s="7" t="n">
        <v>0</v>
      </c>
      <c r="I603" s="9">
        <f>IF(ISNUMBER(F603),-F603-H603,"")</f>
        <v/>
      </c>
      <c r="J603" s="69">
        <f>IF(G603="","",IF(G603&gt;=300,"✕ 要改善",IF(G603&gt;=200,"△ 注意","○ 良好")))</f>
        <v/>
      </c>
      <c r="K603" s="70" t="n"/>
    </row>
    <row r="604" ht="14" customHeight="1" s="438">
      <c r="A604" s="397" t="n"/>
      <c r="B604">
        <f>IF(⑩盛付梱包工程入力!C298="","",⑩盛付梱包工程入力!C298)</f>
        <v/>
      </c>
      <c r="C604">
        <f>IF(⑩盛付梱包工程入力!B298="","",⑩盛付梱包工程入力!B298)</f>
        <v/>
      </c>
      <c r="D604">
        <f>IF(B604="","",⑩盛付梱包工程入力!I298)</f>
        <v/>
      </c>
      <c r="E604">
        <f>IF(B604="","",⑩盛付梱包工程入力!G298)</f>
        <v/>
      </c>
      <c r="F604">
        <f>IF(B604="","",⑩盛付梱包工程入力!M298)</f>
        <v/>
      </c>
      <c r="G604">
        <f>IF(AND(ISNUMBER(D604),ISNUMBER(F604),D604&gt;0),F604/D604,"")</f>
        <v/>
      </c>
      <c r="H604" t="n">
        <v>0</v>
      </c>
      <c r="I604">
        <f>IF(ISNUMBER(F604),-F604-H604,"")</f>
        <v/>
      </c>
      <c r="J604">
        <f>IF(G604="","",IF(G604&gt;=300,"✕ 要改善",IF(G604&gt;=200,"△ 注意","○ 良好")))</f>
        <v/>
      </c>
    </row>
    <row r="605">
      <c r="A605" s="66" t="n"/>
      <c r="B605" s="67">
        <f>IF(⑩盛付梱包工程入力!C299="","",⑩盛付梱包工程入力!C299)</f>
        <v/>
      </c>
      <c r="C605" s="82">
        <f>IF(⑩盛付梱包工程入力!B299="","",⑩盛付梱包工程入力!B299)</f>
        <v/>
      </c>
      <c r="D605" s="9">
        <f>IF(B605="","",⑩盛付梱包工程入力!I299)</f>
        <v/>
      </c>
      <c r="E605" s="9">
        <f>IF(B605="","",⑩盛付梱包工程入力!G299)</f>
        <v/>
      </c>
      <c r="F605" s="9">
        <f>IF(B605="","",⑩盛付梱包工程入力!M299)</f>
        <v/>
      </c>
      <c r="G605" s="513">
        <f>IF(AND(ISNUMBER(D605),ISNUMBER(F605),D605&gt;0),F605/D605,"")</f>
        <v/>
      </c>
      <c r="H605" s="7" t="n">
        <v>0</v>
      </c>
      <c r="I605" s="9">
        <f>IF(ISNUMBER(F605),-F605-H605,"")</f>
        <v/>
      </c>
      <c r="J605" s="69">
        <f>IF(G605="","",IF(G605&gt;=300,"✕ 要改善",IF(G605&gt;=200,"△ 注意","○ 良好")))</f>
        <v/>
      </c>
      <c r="K605" s="70" t="n"/>
    </row>
    <row r="606" ht="14" customHeight="1" s="438">
      <c r="A606" s="397" t="n"/>
      <c r="B606">
        <f>IF(⑩盛付梱包工程入力!C300="","",⑩盛付梱包工程入力!C300)</f>
        <v/>
      </c>
      <c r="C606">
        <f>IF(⑩盛付梱包工程入力!B300="","",⑩盛付梱包工程入力!B300)</f>
        <v/>
      </c>
      <c r="D606">
        <f>IF(B606="","",⑩盛付梱包工程入力!I300)</f>
        <v/>
      </c>
      <c r="E606">
        <f>IF(B606="","",⑩盛付梱包工程入力!G300)</f>
        <v/>
      </c>
      <c r="F606">
        <f>IF(B606="","",⑩盛付梱包工程入力!M300)</f>
        <v/>
      </c>
      <c r="G606">
        <f>IF(AND(ISNUMBER(D606),ISNUMBER(F606),D606&gt;0),F606/D606,"")</f>
        <v/>
      </c>
      <c r="H606" t="n">
        <v>0</v>
      </c>
      <c r="I606">
        <f>IF(ISNUMBER(F606),-F606-H606,"")</f>
        <v/>
      </c>
      <c r="J606">
        <f>IF(G606="","",IF(G606&gt;=300,"✕ 要改善",IF(G606&gt;=200,"△ 注意","○ 良好")))</f>
        <v/>
      </c>
    </row>
    <row r="607">
      <c r="A607" s="230" t="n"/>
      <c r="B607" s="231" t="n"/>
      <c r="C607" s="231" t="n"/>
      <c r="D607" s="521">
        <f>SUM(D5:D309,D311:D606)</f>
        <v/>
      </c>
      <c r="E607" s="521">
        <f>SUM(E5:E309,E311:E606)</f>
        <v/>
      </c>
      <c r="F607" s="233">
        <f>SUM(F5:F309,F311:F606)</f>
        <v/>
      </c>
      <c r="G607" s="231" t="n"/>
      <c r="H607" s="233" t="n"/>
      <c r="I607" s="233" t="n"/>
      <c r="J607" s="231" t="n"/>
      <c r="K607" s="231" t="n"/>
    </row>
  </sheetData>
  <mergeCells count="6">
    <mergeCell ref="A142:K142"/>
    <mergeCell ref="A2:K2"/>
    <mergeCell ref="A266:K266"/>
    <mergeCell ref="A204:K204"/>
    <mergeCell ref="A1:K1"/>
    <mergeCell ref="A110:K1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I1"/>
    </sheetView>
  </sheetViews>
  <sheetFormatPr baseColWidth="8" defaultRowHeight="13"/>
  <cols>
    <col width="12" customWidth="1" style="438" min="1" max="1"/>
    <col width="10" customWidth="1" style="438" min="2" max="2"/>
    <col width="14" customWidth="1" style="438" min="3" max="3"/>
    <col width="12" customWidth="1" style="438" min="4" max="4"/>
    <col width="14" customWidth="1" style="438" min="5" max="5"/>
    <col width="10" customWidth="1" style="438" min="6" max="6"/>
    <col width="13" customWidth="1" style="438" min="7" max="7"/>
    <col width="12" customWidth="1" style="438" min="8" max="8"/>
    <col width="30" customWidth="1" style="438" min="9" max="9"/>
  </cols>
  <sheetData>
    <row r="1" ht="28" customHeight="1" s="438">
      <c r="A1" s="462" t="inlineStr">
        <is>
          <t>機器別生産性サマリー　釜＋スチコン10機器　（②③更新で自動反映）</t>
        </is>
      </c>
    </row>
    <row r="2" ht="16" customHeight="1" s="438">
      <c r="A2" s="467" t="inlineStr">
        <is>
          <t>判定：○良好（200円/kg未満）　△注意（200〜300）　✕要改善（300以上）</t>
        </is>
      </c>
    </row>
    <row r="3" ht="8" customHeight="1" s="438"/>
    <row r="4" ht="22" customHeight="1" s="438">
      <c r="A4" s="89" t="inlineStr">
        <is>
          <t>機器</t>
        </is>
      </c>
      <c r="B4" s="89" t="inlineStr">
        <is>
          <t>種別</t>
        </is>
      </c>
      <c r="C4" s="89" t="inlineStr">
        <is>
          <t>製造重量(kg)</t>
        </is>
      </c>
      <c r="D4" s="89" t="inlineStr">
        <is>
          <t>実作業(分)</t>
        </is>
      </c>
      <c r="E4" s="89" t="inlineStr">
        <is>
          <t>労務費(円)</t>
        </is>
      </c>
      <c r="F4" s="89" t="inlineStr">
        <is>
          <t>円/kg</t>
        </is>
      </c>
      <c r="G4" s="89" t="inlineStr">
        <is>
          <t>生産性(kg/h)</t>
        </is>
      </c>
      <c r="H4" s="89" t="inlineStr">
        <is>
          <t>判定</t>
        </is>
      </c>
      <c r="I4" s="89" t="inlineStr">
        <is>
          <t>改善ポイント</t>
        </is>
      </c>
    </row>
    <row r="5" ht="22" customHeight="1" s="438">
      <c r="A5" s="90" t="inlineStr">
        <is>
          <t>釜①265ℓ</t>
        </is>
      </c>
      <c r="B5" s="91" t="inlineStr">
        <is>
          <t>釜</t>
        </is>
      </c>
      <c r="C5" s="92">
        <f>SUMIFS(②釜工程入力!I5:I117,②釜工程入力!B5:B117,A5,②釜工程入力!P5:P117,"🍳 製造")</f>
        <v/>
      </c>
      <c r="D5" s="92">
        <f>SUMIFS(②釜工程入力!G5:G117,②釜工程入力!B5:B117,A5,②釜工程入力!P5:P117,"🍳 製造")</f>
        <v/>
      </c>
      <c r="E5" s="92">
        <f>D5/60*④前提設定!B4</f>
        <v/>
      </c>
      <c r="F5" s="522">
        <f>IF(C5&gt;0,E5/C5,"")</f>
        <v/>
      </c>
      <c r="G5" s="522">
        <f>IFERROR(C5/(SUMIFS(②釜工程入力!F5:F117,②釜工程入力!B5:B117,A5,②釜工程入力!P5:P117,"🍳 製造")/60),"")</f>
        <v/>
      </c>
      <c r="H5" s="94">
        <f>IF(F5="","",IF(F5&gt;=300,"✕ 要改善",IF(F5&gt;=200,"△ 注意","○ 良好")))</f>
        <v/>
      </c>
      <c r="I5" s="95" t="inlineStr">
        <is>
          <t>切替30分→段取り改善で15分短縮目標</t>
        </is>
      </c>
    </row>
    <row r="6" ht="22" customHeight="1" s="438">
      <c r="A6" s="96" t="inlineStr">
        <is>
          <t>釜②265ℓ</t>
        </is>
      </c>
      <c r="B6" s="97" t="inlineStr">
        <is>
          <t>釜</t>
        </is>
      </c>
      <c r="C6" s="98">
        <f>SUMIFS(②釜工程入力!I5:I117,②釜工程入力!B5:B117,A6,②釜工程入力!P5:P117,"🍳 製造")</f>
        <v/>
      </c>
      <c r="D6" s="98">
        <f>SUMIFS(②釜工程入力!G5:G117,②釜工程入力!B5:B117,A6,②釜工程入力!P5:P117,"🍳 製造")</f>
        <v/>
      </c>
      <c r="E6" s="98">
        <f>D6/60*④前提設定!B4</f>
        <v/>
      </c>
      <c r="F6" s="523">
        <f>IF(C6&gt;0,E6/C6,"")</f>
        <v/>
      </c>
      <c r="G6" s="523">
        <f>IFERROR(C6/(SUMIFS(②釜工程入力!F5:F117,②釜工程入力!B5:B117,A6,②釜工程入力!P5:P117,"🍳 製造")/60),"")</f>
        <v/>
      </c>
      <c r="H6" s="100">
        <f>IF(F6="","",IF(F6&gt;=300,"✕ 要改善",IF(F6&gt;=200,"△ 注意","○ 良好")))</f>
        <v/>
      </c>
      <c r="I6" s="101" t="inlineStr">
        <is>
          <t>切替135分最大。順序入替で30分削減可</t>
        </is>
      </c>
    </row>
    <row r="7" ht="22" customHeight="1" s="438">
      <c r="A7" s="102" t="inlineStr">
        <is>
          <t>釜③265ℓ</t>
        </is>
      </c>
      <c r="B7" s="103" t="inlineStr">
        <is>
          <t>釜</t>
        </is>
      </c>
      <c r="C7" s="104">
        <f>SUMIFS(②釜工程入力!I5:I117,②釜工程入力!B5:B117,A7,②釜工程入力!P5:P117,"🍳 製造")</f>
        <v/>
      </c>
      <c r="D7" s="104">
        <f>SUMIFS(②釜工程入力!G5:G117,②釜工程入力!B5:B117,A7,②釜工程入力!P5:P117,"🍳 製造")</f>
        <v/>
      </c>
      <c r="E7" s="104">
        <f>D7/60*④前提設定!B4</f>
        <v/>
      </c>
      <c r="F7" s="524">
        <f>IF(C7&gt;0,E7/C7,"")</f>
        <v/>
      </c>
      <c r="G7" s="524">
        <f>IFERROR(C7/(SUMIFS(②釜工程入力!F5:F117,②釜工程入力!B5:B117,A7,②釜工程入力!P5:P117,"🍳 製造")/60),"")</f>
        <v/>
      </c>
      <c r="H7" s="106">
        <f>IF(F7="","",IF(F7&gt;=300,"✕ 要改善",IF(F7&gt;=200,"△ 注意","○ 良好")))</f>
        <v/>
      </c>
      <c r="I7" s="107" t="inlineStr">
        <is>
          <t>おはぎ3バッチ連続→CK移管検討</t>
        </is>
      </c>
    </row>
    <row r="8" ht="22" customHeight="1" s="438">
      <c r="A8" s="108" t="inlineStr">
        <is>
          <t>釜④265ℓ</t>
        </is>
      </c>
      <c r="B8" s="109" t="inlineStr">
        <is>
          <t>釜</t>
        </is>
      </c>
      <c r="C8" s="110">
        <f>SUMIFS(②釜工程入力!I5:I117,②釜工程入力!B5:B117,A8,②釜工程入力!P5:P117,"🍳 製造")</f>
        <v/>
      </c>
      <c r="D8" s="110">
        <f>SUMIFS(②釜工程入力!G5:G117,②釜工程入力!B5:B117,A8,②釜工程入力!P5:P117,"🍳 製造")</f>
        <v/>
      </c>
      <c r="E8" s="110">
        <f>D8/60*④前提設定!B4</f>
        <v/>
      </c>
      <c r="F8" s="525">
        <f>IF(C8&gt;0,E8/C8,"")</f>
        <v/>
      </c>
      <c r="G8" s="525">
        <f>IFERROR(C8/(SUMIFS(②釜工程入力!F5:F117,②釜工程入力!B5:B117,A8,②釜工程入力!P5:P117,"🍳 製造")/60),"")</f>
        <v/>
      </c>
      <c r="H8" s="112">
        <f>IF(F8="","",IF(F8&gt;=300,"✕ 要改善",IF(F8&gt;=200,"△ 注意","○ 良好")))</f>
        <v/>
      </c>
      <c r="I8" s="113" t="inlineStr">
        <is>
          <t>じゃがいも4バッチ→大釜集約を検討</t>
        </is>
      </c>
    </row>
    <row r="9" ht="22" customHeight="1" s="438">
      <c r="A9" s="114" t="inlineStr">
        <is>
          <t>釜⑤200ℓ</t>
        </is>
      </c>
      <c r="B9" s="115" t="inlineStr">
        <is>
          <t>釜</t>
        </is>
      </c>
      <c r="C9" s="116">
        <f>SUMIFS(②釜工程入力!I5:I117,②釜工程入力!B5:B117,A9,②釜工程入力!P5:P117,"🍳 製造")</f>
        <v/>
      </c>
      <c r="D9" s="116">
        <f>SUMIFS(②釜工程入力!G5:G117,②釜工程入力!B5:B117,A9,②釜工程入力!P5:P117,"🍳 製造")</f>
        <v/>
      </c>
      <c r="E9" s="116">
        <f>D9/60*④前提設定!B4</f>
        <v/>
      </c>
      <c r="F9" s="526">
        <f>IF(C9&gt;0,E9/C9,"")</f>
        <v/>
      </c>
      <c r="G9" s="526">
        <f>IFERROR(C9/(SUMIFS(②釜工程入力!F5:F117,②釜工程入力!B5:B117,A9,②釜工程入力!P5:P117,"🍳 製造")/60),"")</f>
        <v/>
      </c>
      <c r="H9" s="118">
        <f>IF(F9="","",IF(F9&gt;=300,"✕ 要改善",IF(F9&gt;=200,"△ 注意","○ 良好")))</f>
        <v/>
      </c>
      <c r="I9" s="119" t="inlineStr">
        <is>
          <t>200ℓ小釜・実作業515分。265ℓ統合検討</t>
        </is>
      </c>
    </row>
    <row r="10" ht="22" customHeight="1" s="438">
      <c r="A10" s="120" t="inlineStr">
        <is>
          <t>スチコン①</t>
        </is>
      </c>
      <c r="B10" s="121" t="inlineStr">
        <is>
          <t>スチコン</t>
        </is>
      </c>
      <c r="C10" s="122">
        <f>SUMIFS(③スチコン工程入力!I5:I152,③スチコン工程入力!B5:B152,A10,③スチコン工程入力!P5:P152,"🍳 製造")</f>
        <v/>
      </c>
      <c r="D10" s="122">
        <f>SUMIFS(③スチコン工程入力!G5:G152,③スチコン工程入力!B5:B152,A10,③スチコン工程入力!P5:P152,"🍳 製造")</f>
        <v/>
      </c>
      <c r="E10" s="122">
        <f>D10/60*④前提設定!B4</f>
        <v/>
      </c>
      <c r="F10" s="527">
        <f>IF(C10&gt;0,E10/C10,"")</f>
        <v/>
      </c>
      <c r="G10" s="527">
        <f>IFERROR(C10/(SUMIFS(③スチコン工程入力!F5:F152,③スチコン工程入力!B5:B152,A10,③スチコン工程入力!P5:P152,"🍳 製造")/60),"")</f>
        <v/>
      </c>
      <c r="H10" s="124">
        <f>IF(F10="","",IF(F10&gt;=300,"✕ 要改善",IF(F10&gt;=200,"△ 注意","○ 良好")))</f>
        <v/>
      </c>
      <c r="I10" s="125" t="inlineStr">
        <is>
          <t>玉子サンド連続多バッチ→段取り統一で短縮</t>
        </is>
      </c>
    </row>
    <row r="11" ht="22" customHeight="1" s="438">
      <c r="A11" s="126" t="inlineStr">
        <is>
          <t>スチコン②</t>
        </is>
      </c>
      <c r="B11" s="127" t="inlineStr">
        <is>
          <t>スチコン</t>
        </is>
      </c>
      <c r="C11" s="128">
        <f>SUMIFS(③スチコン工程入力!I5:I152,③スチコン工程入力!B5:B152,A11,③スチコン工程入力!P5:P152,"🍳 製造")</f>
        <v/>
      </c>
      <c r="D11" s="128">
        <f>SUMIFS(③スチコン工程入力!G5:G152,③スチコン工程入力!B5:B152,A11,③スチコン工程入力!P5:P152,"🍳 製造")</f>
        <v/>
      </c>
      <c r="E11" s="128">
        <f>D11/60*④前提設定!B4</f>
        <v/>
      </c>
      <c r="F11" s="528">
        <f>IF(C11&gt;0,E11/C11,"")</f>
        <v/>
      </c>
      <c r="G11" s="528">
        <f>IFERROR(C11/(SUMIFS(③スチコン工程入力!F5:F152,③スチコン工程入力!B5:B152,A11,③スチコン工程入力!P5:P152,"🍳 製造")/60),"")</f>
        <v/>
      </c>
      <c r="H11" s="130">
        <f>IF(F11="","",IF(F11&gt;=300,"✕ 要改善",IF(F11&gt;=200,"△ 注意","○ 良好")))</f>
        <v/>
      </c>
      <c r="I11" s="131" t="inlineStr">
        <is>
          <t>焼きちゃんぽん3バッチ連続→順序固定化</t>
        </is>
      </c>
    </row>
    <row r="12" ht="22" customHeight="1" s="438">
      <c r="A12" s="132" t="inlineStr">
        <is>
          <t>スチコン③</t>
        </is>
      </c>
      <c r="B12" s="133" t="inlineStr">
        <is>
          <t>スチコン</t>
        </is>
      </c>
      <c r="C12" s="134">
        <f>SUMIFS(③スチコン工程入力!I5:I152,③スチコン工程入力!B5:B152,A12,③スチコン工程入力!P5:P152,"🍳 製造")</f>
        <v/>
      </c>
      <c r="D12" s="134">
        <f>SUMIFS(③スチコン工程入力!G5:G152,③スチコン工程入力!B5:B152,A12,③スチコン工程入力!P5:P152,"🍳 製造")</f>
        <v/>
      </c>
      <c r="E12" s="134">
        <f>D12/60*④前提設定!B4</f>
        <v/>
      </c>
      <c r="F12" s="529">
        <f>IF(C12&gt;0,E12/C12,"")</f>
        <v/>
      </c>
      <c r="G12" s="529">
        <f>IFERROR(C12/(SUMIFS(③スチコン工程入力!F5:F152,③スチコン工程入力!B5:B152,A12,③スチコン工程入力!P5:P152,"🍳 製造")/60),"")</f>
        <v/>
      </c>
      <c r="H12" s="136">
        <f>IF(F12="","",IF(F12&gt;=300,"✕ 要改善",IF(F12&gt;=200,"△ 注意","○ 良好")))</f>
        <v/>
      </c>
      <c r="I12" s="137" t="inlineStr">
        <is>
          <t>目玉焼き8連続→まとめ焼き化で工程削減</t>
        </is>
      </c>
    </row>
    <row r="13" ht="22" customHeight="1" s="438">
      <c r="A13" s="108" t="inlineStr">
        <is>
          <t>スチコン④</t>
        </is>
      </c>
      <c r="B13" s="138" t="inlineStr">
        <is>
          <t>スチコン</t>
        </is>
      </c>
      <c r="C13" s="110">
        <f>SUMIFS(③スチコン工程入力!I5:I152,③スチコン工程入力!B5:B152,A13,③スチコン工程入力!P5:P152,"🍳 製造")</f>
        <v/>
      </c>
      <c r="D13" s="110">
        <f>SUMIFS(③スチコン工程入力!G5:G152,③スチコン工程入力!B5:B152,A13,③スチコン工程入力!P5:P152,"🍳 製造")</f>
        <v/>
      </c>
      <c r="E13" s="110">
        <f>D13/60*④前提設定!B4</f>
        <v/>
      </c>
      <c r="F13" s="525">
        <f>IF(C13&gt;0,E13/C13,"")</f>
        <v/>
      </c>
      <c r="G13" s="525">
        <f>IFERROR(C13/(SUMIFS(③スチコン工程入力!F5:F152,③スチコン工程入力!B5:B152,A13,③スチコン工程入力!P5:P152,"🍳 製造")/60),"")</f>
        <v/>
      </c>
      <c r="H13" s="112">
        <f>IF(F13="","",IF(F13&gt;=300,"✕ 要改善",IF(F13&gt;=200,"△ 注意","○ 良好")))</f>
        <v/>
      </c>
      <c r="I13" s="113" t="inlineStr">
        <is>
          <t>ロールケーキ長時間→品質管理と時間短縮両立</t>
        </is>
      </c>
    </row>
    <row r="14" ht="22" customHeight="1" s="438">
      <c r="A14" s="114" t="inlineStr">
        <is>
          <t>スチコン⑤</t>
        </is>
      </c>
      <c r="B14" s="139" t="inlineStr">
        <is>
          <t>スチコン</t>
        </is>
      </c>
      <c r="C14" s="116">
        <f>SUMIFS(③スチコン工程入力!I5:I152,③スチコン工程入力!B5:B152,A14,③スチコン工程入力!P5:P152,"🍳 製造")</f>
        <v/>
      </c>
      <c r="D14" s="116">
        <f>SUMIFS(③スチコン工程入力!G5:G152,③スチコン工程入力!B5:B152,A14,③スチコン工程入力!P5:P152,"🍳 製造")</f>
        <v/>
      </c>
      <c r="E14" s="116">
        <f>D14/60*④前提設定!B4</f>
        <v/>
      </c>
      <c r="F14" s="526">
        <f>IF(C14&gt;0,E14/C14,"")</f>
        <v/>
      </c>
      <c r="G14" s="526">
        <f>IFERROR(C14/(SUMIFS(③スチコン工程入力!F5:F152,③スチコン工程入力!B5:B152,A14,③スチコン工程入力!P5:P152,"🍳 製造")/60),"")</f>
        <v/>
      </c>
      <c r="H14" s="118">
        <f>IF(F14="","",IF(F14&gt;=300,"✕ 要改善",IF(F14&gt;=200,"△ 注意","○ 良好")))</f>
        <v/>
      </c>
      <c r="I14" s="119" t="inlineStr">
        <is>
          <t>スイーツ集約化で段取り削減を検討</t>
        </is>
      </c>
    </row>
    <row r="15" ht="22" customHeight="1" s="438">
      <c r="A15" s="457" t="inlineStr">
        <is>
          <t>全体合計</t>
        </is>
      </c>
      <c r="B15" s="459" t="n"/>
      <c r="C15" s="42">
        <f>SUMIF(②釜工程入力!P5:P117,"🍳 製造",②釜工程入力!I5:I117)+SUMIF(③スチコン工程入力!P5:P152,"🍳 製造",③スチコン工程入力!I5:I152)</f>
        <v/>
      </c>
      <c r="D15" s="42">
        <f>SUMIF(②釜工程入力!P5:P117,"🍳 製造",②釜工程入力!G5:G117)+SUMIF(③スチコン工程入力!P5:P152,"🍳 製造",③スチコン工程入力!G5:G152)</f>
        <v/>
      </c>
      <c r="E15" s="42">
        <f>D15/60*④前提設定!B4</f>
        <v/>
      </c>
      <c r="F15" s="530">
        <f>IF(C15&gt;0,E15/C15,"")</f>
        <v/>
      </c>
      <c r="G15" s="41" t="n"/>
      <c r="H15" s="41" t="n"/>
      <c r="I15" s="41" t="n"/>
    </row>
  </sheetData>
  <mergeCells count="3">
    <mergeCell ref="A1:I1"/>
    <mergeCell ref="A2:I2"/>
    <mergeCell ref="A15:B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xSplit="1" ySplit="2" topLeftCell="C3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8" defaultRowHeight="13"/>
  <cols>
    <col width="8" customWidth="1" style="438" min="1" max="1"/>
    <col width="22" customWidth="1" style="438" min="2" max="6"/>
  </cols>
  <sheetData>
    <row r="1" ht="26" customHeight="1" s="438">
      <c r="A1" s="462" t="inlineStr">
        <is>
          <t>釜別タイムライン　18:00〜翌17:30（30分スロット）</t>
        </is>
      </c>
    </row>
    <row r="2" ht="22" customHeight="1" s="438">
      <c r="A2" s="89" t="inlineStr">
        <is>
          <t>時刻</t>
        </is>
      </c>
      <c r="B2" s="141" t="inlineStr">
        <is>
          <t>釜①265ℓ</t>
        </is>
      </c>
      <c r="C2" s="142" t="inlineStr">
        <is>
          <t>釜②265ℓ</t>
        </is>
      </c>
      <c r="D2" s="143" t="inlineStr">
        <is>
          <t>釜③265ℓ</t>
        </is>
      </c>
      <c r="E2" s="144" t="inlineStr">
        <is>
          <t>釜④265ℓ</t>
        </is>
      </c>
      <c r="F2" s="145" t="inlineStr">
        <is>
          <t>釜⑤200ℓ</t>
        </is>
      </c>
    </row>
    <row r="3" ht="15" customHeight="1" s="438">
      <c r="A3" s="146" t="inlineStr">
        <is>
          <t>18:00</t>
        </is>
      </c>
      <c r="B3" s="69" t="n"/>
      <c r="C3" s="69" t="n"/>
      <c r="D3" s="69" t="n"/>
      <c r="E3" s="69" t="n"/>
      <c r="F3" s="69" t="n"/>
    </row>
    <row r="4" ht="15" customHeight="1" s="438">
      <c r="A4" s="147" t="inlineStr">
        <is>
          <t>18:30</t>
        </is>
      </c>
      <c r="B4" s="148" t="n"/>
      <c r="C4" s="148" t="n"/>
      <c r="D4" s="148" t="n"/>
      <c r="E4" s="148" t="n"/>
      <c r="F4" s="148" t="n"/>
    </row>
    <row r="5" ht="15" customHeight="1" s="438">
      <c r="A5" s="146" t="inlineStr">
        <is>
          <t>19:00</t>
        </is>
      </c>
      <c r="B5" s="69" t="n"/>
      <c r="C5" s="69" t="n"/>
      <c r="D5" s="69" t="n"/>
      <c r="E5" s="69" t="n"/>
      <c r="F5" s="69" t="n"/>
    </row>
    <row r="6" ht="15" customHeight="1" s="438">
      <c r="A6" s="147" t="inlineStr">
        <is>
          <t>19:30</t>
        </is>
      </c>
      <c r="B6" s="148" t="n"/>
      <c r="C6" s="148" t="n"/>
      <c r="D6" s="148" t="n"/>
      <c r="E6" s="148" t="n"/>
      <c r="F6" s="148" t="n"/>
    </row>
    <row r="7" ht="15" customHeight="1" s="438">
      <c r="A7" s="146" t="inlineStr">
        <is>
          <t>20:00</t>
        </is>
      </c>
      <c r="B7" s="69" t="n"/>
      <c r="C7" s="69" t="n"/>
      <c r="D7" s="69" t="n"/>
      <c r="E7" s="69" t="n"/>
      <c r="F7" s="69" t="n"/>
    </row>
    <row r="8" ht="15" customHeight="1" s="438">
      <c r="A8" s="147" t="inlineStr">
        <is>
          <t>20:30</t>
        </is>
      </c>
      <c r="B8" s="148" t="n"/>
      <c r="C8" s="148" t="n"/>
      <c r="D8" s="148" t="n"/>
      <c r="E8" s="148" t="n"/>
      <c r="F8" s="148" t="n"/>
    </row>
    <row r="9" ht="15" customHeight="1" s="438">
      <c r="A9" s="146" t="inlineStr">
        <is>
          <t>21:00</t>
        </is>
      </c>
      <c r="B9" s="69" t="n"/>
      <c r="C9" s="69" t="n"/>
      <c r="D9" s="69" t="n"/>
      <c r="E9" s="69" t="n"/>
      <c r="F9" s="69" t="n"/>
    </row>
    <row r="10" ht="15" customHeight="1" s="438">
      <c r="A10" s="147" t="inlineStr">
        <is>
          <t>21:30</t>
        </is>
      </c>
      <c r="B10" s="148" t="n"/>
      <c r="C10" s="148" t="n"/>
      <c r="D10" s="148" t="n"/>
      <c r="E10" s="148" t="n"/>
      <c r="F10" s="148" t="n"/>
    </row>
    <row r="11" ht="15" customHeight="1" s="438">
      <c r="A11" s="146" t="inlineStr">
        <is>
          <t>22:00</t>
        </is>
      </c>
      <c r="B11" s="69" t="n"/>
      <c r="C11" s="69" t="n"/>
      <c r="D11" s="69" t="n"/>
      <c r="E11" s="69" t="n"/>
      <c r="F11" s="69" t="n"/>
    </row>
    <row r="12" ht="15" customHeight="1" s="438">
      <c r="A12" s="147" t="inlineStr">
        <is>
          <t>22:30</t>
        </is>
      </c>
      <c r="B12" s="148" t="n"/>
      <c r="C12" s="148" t="n"/>
      <c r="D12" s="148" t="n"/>
      <c r="E12" s="148" t="n"/>
      <c r="F12" s="148" t="n"/>
    </row>
    <row r="13" ht="15" customHeight="1" s="438">
      <c r="A13" s="146" t="inlineStr">
        <is>
          <t>23:00</t>
        </is>
      </c>
      <c r="B13" s="69" t="n"/>
      <c r="C13" s="69" t="n"/>
      <c r="D13" s="69" t="n"/>
      <c r="E13" s="69" t="n"/>
      <c r="F13" s="69" t="n"/>
    </row>
    <row r="14" ht="15" customHeight="1" s="438">
      <c r="A14" s="149" t="inlineStr">
        <is>
          <t>23:30</t>
        </is>
      </c>
      <c r="B14" s="148" t="n"/>
      <c r="C14" s="148" t="n"/>
      <c r="D14" s="148" t="n"/>
      <c r="E14" s="148" t="n"/>
      <c r="F14" s="148" t="n"/>
    </row>
    <row r="15" ht="15" customHeight="1" s="438">
      <c r="A15" s="149" t="inlineStr">
        <is>
          <t>00:00</t>
        </is>
      </c>
      <c r="B15" s="69" t="n"/>
      <c r="C15" s="69" t="n"/>
      <c r="D15" s="69" t="n"/>
      <c r="E15" s="69" t="n"/>
      <c r="F15" s="69" t="n"/>
    </row>
    <row r="16" ht="15" customHeight="1" s="438">
      <c r="A16" s="149" t="inlineStr">
        <is>
          <t>00:30</t>
        </is>
      </c>
      <c r="B16" s="148" t="n"/>
      <c r="C16" s="148" t="n"/>
      <c r="D16" s="148" t="n"/>
      <c r="E16" s="148" t="n"/>
      <c r="F16" s="148" t="n"/>
    </row>
    <row r="17" ht="15" customHeight="1" s="438">
      <c r="A17" s="146" t="inlineStr">
        <is>
          <t>01:00</t>
        </is>
      </c>
      <c r="B17" s="69" t="n"/>
      <c r="C17" s="69" t="n"/>
      <c r="D17" s="69" t="n"/>
      <c r="E17" s="69" t="n"/>
      <c r="F17" s="69" t="n"/>
    </row>
    <row r="18" ht="15" customHeight="1" s="438">
      <c r="A18" s="147" t="inlineStr">
        <is>
          <t>01:30</t>
        </is>
      </c>
      <c r="B18" s="148" t="n"/>
      <c r="C18" s="148" t="n"/>
      <c r="D18" s="148" t="n"/>
      <c r="E18" s="148" t="n"/>
      <c r="F18" s="148" t="n"/>
    </row>
    <row r="19" ht="15" customHeight="1" s="438">
      <c r="A19" s="146" t="inlineStr">
        <is>
          <t>02:00</t>
        </is>
      </c>
      <c r="B19" s="69" t="n"/>
      <c r="C19" s="69" t="n"/>
      <c r="D19" s="69" t="n"/>
      <c r="E19" s="69" t="n"/>
      <c r="F19" s="69" t="n"/>
    </row>
    <row r="20" ht="15" customHeight="1" s="438">
      <c r="A20" s="147" t="inlineStr">
        <is>
          <t>02:30</t>
        </is>
      </c>
      <c r="B20" s="148" t="n"/>
      <c r="C20" s="148" t="n"/>
      <c r="D20" s="148" t="n"/>
      <c r="E20" s="148" t="n"/>
      <c r="F20" s="148" t="n"/>
    </row>
    <row r="21" ht="15" customHeight="1" s="438">
      <c r="A21" s="146" t="inlineStr">
        <is>
          <t>03:00</t>
        </is>
      </c>
      <c r="B21" s="69" t="n"/>
      <c r="C21" s="69" t="n"/>
      <c r="D21" s="69" t="n"/>
      <c r="E21" s="69" t="n"/>
      <c r="F21" s="69" t="n"/>
    </row>
    <row r="22" ht="15" customHeight="1" s="438">
      <c r="A22" s="147" t="inlineStr">
        <is>
          <t>03:30</t>
        </is>
      </c>
      <c r="B22" s="148" t="n"/>
      <c r="C22" s="148" t="n"/>
      <c r="D22" s="148" t="n"/>
      <c r="E22" s="148" t="n"/>
      <c r="F22" s="148" t="n"/>
    </row>
    <row r="23" ht="15" customHeight="1" s="438">
      <c r="A23" s="146" t="inlineStr">
        <is>
          <t>04:00</t>
        </is>
      </c>
      <c r="B23" s="69" t="n"/>
      <c r="C23" s="69" t="n"/>
      <c r="D23" s="69" t="n"/>
      <c r="E23" s="69" t="n"/>
      <c r="F23" s="69" t="n"/>
    </row>
    <row r="24" ht="15" customHeight="1" s="438">
      <c r="A24" s="147" t="inlineStr">
        <is>
          <t>04:30</t>
        </is>
      </c>
      <c r="B24" s="148" t="n"/>
      <c r="C24" s="148" t="n"/>
      <c r="D24" s="148" t="n"/>
      <c r="E24" s="148" t="n"/>
      <c r="F24" s="148" t="n"/>
    </row>
    <row r="25" ht="15" customHeight="1" s="438">
      <c r="A25" s="146" t="inlineStr">
        <is>
          <t>05:00</t>
        </is>
      </c>
      <c r="B25" s="69" t="n"/>
      <c r="C25" s="69" t="n"/>
      <c r="D25" s="69" t="n"/>
      <c r="E25" s="69" t="n"/>
      <c r="F25" s="69" t="n"/>
    </row>
    <row r="26" ht="15" customHeight="1" s="438">
      <c r="A26" s="147" t="inlineStr">
        <is>
          <t>05:30</t>
        </is>
      </c>
      <c r="B26" s="148" t="n"/>
      <c r="C26" s="148" t="n"/>
      <c r="D26" s="148" t="n"/>
      <c r="E26" s="148" t="n"/>
      <c r="F26" s="148" t="n"/>
    </row>
    <row r="27" ht="15" customHeight="1" s="438">
      <c r="A27" s="146" t="inlineStr">
        <is>
          <t>06:00</t>
        </is>
      </c>
      <c r="B27" s="69" t="n"/>
      <c r="C27" s="69" t="n"/>
      <c r="D27" s="69" t="n"/>
      <c r="E27" s="69" t="n"/>
      <c r="F27" s="69" t="n"/>
    </row>
    <row r="28" ht="15" customHeight="1" s="438">
      <c r="A28" s="147" t="inlineStr">
        <is>
          <t>06:30</t>
        </is>
      </c>
      <c r="B28" s="148" t="n"/>
      <c r="C28" s="148" t="n"/>
      <c r="D28" s="148" t="n"/>
      <c r="E28" s="148" t="n"/>
      <c r="F28" s="148" t="n"/>
    </row>
    <row r="29" ht="15" customHeight="1" s="438">
      <c r="A29" s="146" t="inlineStr">
        <is>
          <t>07:00</t>
        </is>
      </c>
      <c r="B29" s="69" t="n"/>
      <c r="C29" s="69" t="n"/>
      <c r="D29" s="69" t="n"/>
      <c r="E29" s="69" t="n"/>
      <c r="F29" s="69" t="n"/>
    </row>
    <row r="30" ht="15" customHeight="1" s="438">
      <c r="A30" s="147" t="inlineStr">
        <is>
          <t>07:30</t>
        </is>
      </c>
      <c r="B30" s="148" t="n"/>
      <c r="C30" s="148" t="n"/>
      <c r="D30" s="148" t="n"/>
      <c r="E30" s="148" t="n"/>
      <c r="F30" s="148" t="n"/>
    </row>
    <row r="31" ht="15" customHeight="1" s="438">
      <c r="A31" s="146" t="inlineStr">
        <is>
          <t>08:00</t>
        </is>
      </c>
      <c r="B31" s="69" t="n"/>
      <c r="C31" s="69" t="n"/>
      <c r="D31" s="69" t="n"/>
      <c r="E31" s="69" t="n"/>
      <c r="F31" s="69" t="n"/>
    </row>
    <row r="32" ht="15" customHeight="1" s="438">
      <c r="A32" s="147" t="inlineStr">
        <is>
          <t>08:30</t>
        </is>
      </c>
      <c r="B32" s="148" t="n"/>
      <c r="C32" s="148" t="n"/>
      <c r="D32" s="148" t="n"/>
      <c r="E32" s="148" t="n"/>
      <c r="F32" s="148" t="n"/>
    </row>
    <row r="33" ht="15" customHeight="1" s="438">
      <c r="A33" s="146" t="inlineStr">
        <is>
          <t>09:00</t>
        </is>
      </c>
      <c r="B33" s="69" t="n"/>
      <c r="C33" s="69" t="n"/>
      <c r="D33" s="69" t="n"/>
      <c r="E33" s="69" t="n"/>
      <c r="F33" s="69" t="n"/>
    </row>
    <row r="34" ht="15" customHeight="1" s="438">
      <c r="A34" s="147" t="inlineStr">
        <is>
          <t>09:30</t>
        </is>
      </c>
      <c r="B34" s="148" t="n"/>
      <c r="C34" s="148" t="n"/>
      <c r="D34" s="148" t="n"/>
      <c r="E34" s="148" t="n"/>
      <c r="F34" s="148" t="n"/>
    </row>
    <row r="35" ht="15" customHeight="1" s="438">
      <c r="A35" s="146" t="inlineStr">
        <is>
          <t>10:00</t>
        </is>
      </c>
      <c r="B35" s="69" t="n"/>
      <c r="C35" s="69" t="n"/>
      <c r="D35" s="69" t="n"/>
      <c r="E35" s="69" t="n"/>
      <c r="F35" s="69" t="n"/>
    </row>
    <row r="36" ht="15" customHeight="1" s="438">
      <c r="A36" s="147" t="inlineStr">
        <is>
          <t>10:30</t>
        </is>
      </c>
      <c r="B36" s="148" t="n"/>
      <c r="C36" s="148" t="n"/>
      <c r="D36" s="148" t="n"/>
      <c r="E36" s="148" t="n"/>
      <c r="F36" s="148" t="n"/>
    </row>
    <row r="37" ht="15" customHeight="1" s="438">
      <c r="A37" s="146" t="inlineStr">
        <is>
          <t>11:00</t>
        </is>
      </c>
      <c r="B37" s="69" t="n"/>
      <c r="C37" s="69" t="n"/>
      <c r="D37" s="69" t="n"/>
      <c r="E37" s="69" t="n"/>
      <c r="F37" s="69" t="n"/>
    </row>
    <row r="38" ht="15" customHeight="1" s="438">
      <c r="A38" s="147" t="inlineStr">
        <is>
          <t>11:30</t>
        </is>
      </c>
      <c r="B38" s="148" t="n"/>
      <c r="C38" s="148" t="n"/>
      <c r="D38" s="148" t="n"/>
      <c r="E38" s="148" t="n"/>
      <c r="F38" s="148" t="n"/>
    </row>
    <row r="39" ht="15" customHeight="1" s="438">
      <c r="A39" s="146" t="inlineStr">
        <is>
          <t>12:00</t>
        </is>
      </c>
      <c r="B39" s="69" t="n"/>
      <c r="C39" s="69" t="n"/>
      <c r="D39" s="69" t="n"/>
      <c r="E39" s="69" t="n"/>
      <c r="F39" s="69" t="n"/>
    </row>
    <row r="40" ht="15" customHeight="1" s="438">
      <c r="A40" s="147" t="inlineStr">
        <is>
          <t>12:30</t>
        </is>
      </c>
      <c r="B40" s="148" t="n"/>
      <c r="C40" s="148" t="n"/>
      <c r="D40" s="148" t="n"/>
      <c r="E40" s="148" t="n"/>
      <c r="F40" s="148" t="n"/>
    </row>
    <row r="41" ht="15" customHeight="1" s="438">
      <c r="A41" s="146" t="inlineStr">
        <is>
          <t>13:00</t>
        </is>
      </c>
      <c r="B41" s="69" t="n"/>
      <c r="C41" s="69" t="n"/>
      <c r="D41" s="69" t="n"/>
      <c r="E41" s="69" t="n"/>
      <c r="F41" s="69" t="n"/>
    </row>
    <row r="42" ht="15" customHeight="1" s="438">
      <c r="A42" s="147" t="inlineStr">
        <is>
          <t>13:30</t>
        </is>
      </c>
      <c r="B42" s="148" t="n"/>
      <c r="C42" s="148" t="n"/>
      <c r="D42" s="148" t="n"/>
      <c r="E42" s="148" t="n"/>
      <c r="F42" s="148" t="n"/>
    </row>
    <row r="43" ht="15" customHeight="1" s="438">
      <c r="A43" s="146" t="inlineStr">
        <is>
          <t>14:00</t>
        </is>
      </c>
      <c r="B43" s="69" t="n"/>
      <c r="C43" s="69" t="n"/>
      <c r="D43" s="69" t="n"/>
      <c r="E43" s="69" t="n"/>
      <c r="F43" s="69" t="n"/>
    </row>
    <row r="44" ht="15" customHeight="1" s="438">
      <c r="A44" s="147" t="inlineStr">
        <is>
          <t>14:30</t>
        </is>
      </c>
      <c r="B44" s="148" t="n"/>
      <c r="C44" s="148" t="n"/>
      <c r="D44" s="148" t="n"/>
      <c r="E44" s="148" t="n"/>
      <c r="F44" s="148" t="n"/>
    </row>
    <row r="45" ht="15" customHeight="1" s="438">
      <c r="A45" s="146" t="inlineStr">
        <is>
          <t>15:00</t>
        </is>
      </c>
      <c r="B45" s="69" t="n"/>
      <c r="C45" s="69" t="n"/>
      <c r="D45" s="69" t="n"/>
      <c r="E45" s="69" t="n"/>
      <c r="F45" s="69" t="n"/>
    </row>
    <row r="46" ht="15" customHeight="1" s="438">
      <c r="A46" s="147" t="inlineStr">
        <is>
          <t>15:30</t>
        </is>
      </c>
      <c r="B46" s="148" t="n"/>
      <c r="C46" s="148" t="n"/>
      <c r="D46" s="148" t="n"/>
      <c r="E46" s="148" t="n"/>
      <c r="F46" s="148" t="n"/>
    </row>
    <row r="47" ht="15" customHeight="1" s="438">
      <c r="A47" s="146" t="inlineStr">
        <is>
          <t>16:00</t>
        </is>
      </c>
      <c r="B47" s="69" t="n"/>
      <c r="C47" s="69" t="n"/>
      <c r="D47" s="69" t="n"/>
      <c r="E47" s="69" t="n"/>
      <c r="F47" s="69" t="n"/>
    </row>
    <row r="48" ht="15" customHeight="1" s="438">
      <c r="A48" s="147" t="inlineStr">
        <is>
          <t>16:30</t>
        </is>
      </c>
      <c r="B48" s="148" t="n"/>
      <c r="C48" s="148" t="n"/>
      <c r="D48" s="148" t="n"/>
      <c r="E48" s="148" t="n"/>
      <c r="F48" s="148" t="n"/>
    </row>
    <row r="49" ht="15" customHeight="1" s="438">
      <c r="A49" s="146" t="inlineStr">
        <is>
          <t>17:00</t>
        </is>
      </c>
      <c r="B49" s="69" t="n"/>
      <c r="C49" s="69" t="n"/>
      <c r="D49" s="69" t="n"/>
      <c r="E49" s="69" t="n"/>
      <c r="F49" s="69" t="n"/>
    </row>
    <row r="50" ht="15" customHeight="1" s="438">
      <c r="A50" s="147" t="inlineStr">
        <is>
          <t>17:30</t>
        </is>
      </c>
      <c r="B50" s="148" t="n"/>
      <c r="C50" s="148" t="n"/>
      <c r="D50" s="148" t="n"/>
      <c r="E50" s="148" t="n"/>
      <c r="F50" s="148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F6" sqref="F6"/>
    </sheetView>
  </sheetViews>
  <sheetFormatPr baseColWidth="8" defaultRowHeight="13"/>
  <cols>
    <col width="5" customWidth="1" style="438" min="1" max="1"/>
    <col width="26" customWidth="1" style="438" min="2" max="2"/>
    <col width="11" customWidth="1" style="438" min="3" max="3"/>
    <col width="16" customWidth="1" style="438" min="4" max="4"/>
    <col width="12" customWidth="1" style="438" min="5" max="5"/>
    <col width="10" customWidth="1" style="438" min="6" max="7"/>
    <col width="14" customWidth="1" style="438" min="8" max="8"/>
    <col width="10" customWidth="1" style="438" min="9" max="11"/>
    <col width="14" customWidth="1" style="438" min="12" max="12"/>
    <col width="13" customWidth="1" style="438" min="13" max="13"/>
    <col width="14" customWidth="1" style="438" min="14" max="14"/>
  </cols>
  <sheetData>
    <row r="1" ht="28" customHeight="1" s="438">
      <c r="A1" s="462" t="inlineStr">
        <is>
          <t>原料費入力台帳　登録原料費・現場原料費　毎週更新</t>
        </is>
      </c>
    </row>
    <row r="2" ht="16" customHeight="1" s="438">
      <c r="A2" s="455" t="inlineStr">
        <is>
          <t>黄色（濃）= 登録原料費入力　黄色（薄）= 現場原料費入力　青字 = 入力セル　グレー = 自動計算</t>
        </is>
      </c>
    </row>
    <row r="3" ht="8" customHeight="1" s="438"/>
    <row r="4" ht="20" customHeight="1" s="438">
      <c r="A4" s="471" t="inlineStr">
        <is>
          <t>基本情報</t>
        </is>
      </c>
      <c r="D4" s="470" t="inlineStr">
        <is>
          <t>登録原料費（Ebase登録値ベース）</t>
        </is>
      </c>
      <c r="I4" s="468" t="inlineStr">
        <is>
          <t>現場原料費（実測歩留まりベース）</t>
        </is>
      </c>
      <c r="N4" s="1" t="inlineStr">
        <is>
          <t>乖離</t>
        </is>
      </c>
    </row>
    <row r="5" ht="32" customHeight="1" s="438">
      <c r="A5" s="150" t="inlineStr">
        <is>
          <t>No.</t>
        </is>
      </c>
      <c r="B5" s="150" t="inlineStr">
        <is>
          <t>中間品名</t>
        </is>
      </c>
      <c r="C5" s="150" t="inlineStr">
        <is>
          <t>機器</t>
        </is>
      </c>
      <c r="D5" s="151" t="inlineStr">
        <is>
          <t>原料名
（主原料）</t>
        </is>
      </c>
      <c r="E5" s="151" t="inlineStr">
        <is>
          <t>仕入単価
(円/kg)★</t>
        </is>
      </c>
      <c r="F5" s="151" t="inlineStr">
        <is>
          <t>使用量
(kg)★</t>
        </is>
      </c>
      <c r="G5" s="151" t="inlineStr">
        <is>
          <t>登録歩留
(%)★</t>
        </is>
      </c>
      <c r="H5" s="151" t="inlineStr">
        <is>
          <t>登録原料費
(円)自動</t>
        </is>
      </c>
      <c r="I5" s="152" t="inlineStr">
        <is>
          <t>仕込量
(kg)★</t>
        </is>
      </c>
      <c r="J5" s="152" t="inlineStr">
        <is>
          <t>出来高
(kg)★</t>
        </is>
      </c>
      <c r="K5" s="152" t="inlineStr">
        <is>
          <t>現場歩留
(%)自動</t>
        </is>
      </c>
      <c r="L5" s="152" t="inlineStr">
        <is>
          <t>現場原料費
(円)自動</t>
        </is>
      </c>
      <c r="M5" s="152" t="inlineStr">
        <is>
          <t>1kg当たり
原料費自動</t>
        </is>
      </c>
      <c r="N5" s="153" t="inlineStr">
        <is>
          <t>原料費乖離
(円)自動</t>
        </is>
      </c>
    </row>
    <row r="6" ht="17" customHeight="1" s="438">
      <c r="A6" s="66" t="n">
        <v>1</v>
      </c>
      <c r="B6" s="67" t="inlineStr">
        <is>
          <t>筑前煮　人参煮</t>
        </is>
      </c>
      <c r="C6" s="154" t="inlineStr">
        <is>
          <t>釜①265ℓ</t>
        </is>
      </c>
      <c r="D6" s="155" t="n"/>
      <c r="E6" s="518" t="n">
        <v>0</v>
      </c>
      <c r="F6" s="518" t="n">
        <v>0</v>
      </c>
      <c r="G6" s="519" t="n">
        <v>100</v>
      </c>
      <c r="H6" s="92">
        <f>IF(OR(E6=0,F6=0),"",E6*F6/(G6/100))</f>
        <v/>
      </c>
      <c r="I6" s="531" t="n">
        <v>0</v>
      </c>
      <c r="J6" s="531" t="n">
        <v>0</v>
      </c>
      <c r="K6" s="532">
        <f>IF(OR(I6=0,J6=0),"",J6/I6*100)</f>
        <v/>
      </c>
      <c r="L6" s="98">
        <f>IF(OR(E6=0,I6=0,J6=0),"",E6*I6/(J6/I6))</f>
        <v/>
      </c>
      <c r="M6" s="523">
        <f>IF(OR(L6="",J6=0),"",L6/J6)</f>
        <v/>
      </c>
      <c r="N6" s="533">
        <f>IF(OR(H6="",L6=""),"",L6-H6)</f>
        <v/>
      </c>
    </row>
    <row r="7" ht="17" customHeight="1" s="438">
      <c r="A7" s="71" t="n">
        <v>2</v>
      </c>
      <c r="B7" s="72" t="inlineStr">
        <is>
          <t>鶏飯</t>
        </is>
      </c>
      <c r="C7" s="159" t="inlineStr">
        <is>
          <t>釜①265ℓ</t>
        </is>
      </c>
      <c r="D7" s="155" t="n"/>
      <c r="E7" s="518" t="n">
        <v>0</v>
      </c>
      <c r="F7" s="518" t="n">
        <v>0</v>
      </c>
      <c r="G7" s="519" t="n">
        <v>100</v>
      </c>
      <c r="H7" s="92">
        <f>IF(OR(E7=0,F7=0),"",E7*F7/(G7/100))</f>
        <v/>
      </c>
      <c r="I7" s="531" t="n">
        <v>0</v>
      </c>
      <c r="J7" s="531" t="n">
        <v>0</v>
      </c>
      <c r="K7" s="532">
        <f>IF(OR(I7=0,J7=0),"",J7/I7*100)</f>
        <v/>
      </c>
      <c r="L7" s="98">
        <f>IF(OR(E7=0,I7=0,J7=0),"",E7*I7/(J7/I7))</f>
        <v/>
      </c>
      <c r="M7" s="523">
        <f>IF(OR(L7="",J7=0),"",L7/J7)</f>
        <v/>
      </c>
      <c r="N7" s="533">
        <f>IF(OR(H7="",L7=""),"",L7-H7)</f>
        <v/>
      </c>
    </row>
    <row r="8" ht="17" customHeight="1" s="438">
      <c r="A8" s="66" t="n">
        <v>3</v>
      </c>
      <c r="B8" s="67" t="inlineStr">
        <is>
          <t>3種マカロニ（人参）</t>
        </is>
      </c>
      <c r="C8" s="154" t="inlineStr">
        <is>
          <t>釜①265ℓ</t>
        </is>
      </c>
      <c r="D8" s="155" t="n"/>
      <c r="E8" s="518" t="n">
        <v>0</v>
      </c>
      <c r="F8" s="518" t="n">
        <v>0</v>
      </c>
      <c r="G8" s="519" t="n">
        <v>100</v>
      </c>
      <c r="H8" s="92">
        <f>IF(OR(E8=0,F8=0),"",E8*F8/(G8/100))</f>
        <v/>
      </c>
      <c r="I8" s="531" t="n">
        <v>0</v>
      </c>
      <c r="J8" s="531" t="n">
        <v>0</v>
      </c>
      <c r="K8" s="532">
        <f>IF(OR(I8=0,J8=0),"",J8/I8*100)</f>
        <v/>
      </c>
      <c r="L8" s="98">
        <f>IF(OR(E8=0,I8=0,J8=0),"",E8*I8/(J8/I8))</f>
        <v/>
      </c>
      <c r="M8" s="523">
        <f>IF(OR(L8="",J8=0),"",L8/J8)</f>
        <v/>
      </c>
      <c r="N8" s="533">
        <f>IF(OR(H8="",L8=""),"",L8-H8)</f>
        <v/>
      </c>
    </row>
    <row r="9" ht="17" customHeight="1" s="438">
      <c r="A9" s="71" t="n">
        <v>4</v>
      </c>
      <c r="B9" s="72" t="inlineStr">
        <is>
          <t>3種マカロニ（タマネギ）</t>
        </is>
      </c>
      <c r="C9" s="159" t="inlineStr">
        <is>
          <t>釜①265ℓ</t>
        </is>
      </c>
      <c r="D9" s="155" t="n"/>
      <c r="E9" s="518" t="n">
        <v>0</v>
      </c>
      <c r="F9" s="518" t="n">
        <v>0</v>
      </c>
      <c r="G9" s="519" t="n">
        <v>100</v>
      </c>
      <c r="H9" s="92">
        <f>IF(OR(E9=0,F9=0),"",E9*F9/(G9/100))</f>
        <v/>
      </c>
      <c r="I9" s="531" t="n">
        <v>0</v>
      </c>
      <c r="J9" s="531" t="n">
        <v>0</v>
      </c>
      <c r="K9" s="532">
        <f>IF(OR(I9=0,J9=0),"",J9/I9*100)</f>
        <v/>
      </c>
      <c r="L9" s="98">
        <f>IF(OR(E9=0,I9=0,J9=0),"",E9*I9/(J9/I9))</f>
        <v/>
      </c>
      <c r="M9" s="523">
        <f>IF(OR(L9="",J9=0),"",L9/J9)</f>
        <v/>
      </c>
      <c r="N9" s="533">
        <f>IF(OR(H9="",L9=""),"",L9-H9)</f>
        <v/>
      </c>
    </row>
    <row r="10" ht="17" customHeight="1" s="438">
      <c r="A10" s="66" t="n">
        <v>5</v>
      </c>
      <c r="B10" s="67" t="inlineStr">
        <is>
          <t>マカサラ（人参）</t>
        </is>
      </c>
      <c r="C10" s="154" t="inlineStr">
        <is>
          <t>釜①265ℓ</t>
        </is>
      </c>
      <c r="D10" s="155" t="n"/>
      <c r="E10" s="518" t="n">
        <v>0</v>
      </c>
      <c r="F10" s="518" t="n">
        <v>0</v>
      </c>
      <c r="G10" s="519" t="n">
        <v>100</v>
      </c>
      <c r="H10" s="92">
        <f>IF(OR(E10=0,F10=0),"",E10*F10/(G10/100))</f>
        <v/>
      </c>
      <c r="I10" s="531" t="n">
        <v>0</v>
      </c>
      <c r="J10" s="531" t="n">
        <v>0</v>
      </c>
      <c r="K10" s="532">
        <f>IF(OR(I10=0,J10=0),"",J10/I10*100)</f>
        <v/>
      </c>
      <c r="L10" s="98">
        <f>IF(OR(E10=0,I10=0,J10=0),"",E10*I10/(J10/I10))</f>
        <v/>
      </c>
      <c r="M10" s="523">
        <f>IF(OR(L10="",J10=0),"",L10/J10)</f>
        <v/>
      </c>
      <c r="N10" s="533">
        <f>IF(OR(H10="",L10=""),"",L10-H10)</f>
        <v/>
      </c>
    </row>
    <row r="11" ht="17" customHeight="1" s="438">
      <c r="A11" s="71" t="n">
        <v>6</v>
      </c>
      <c r="B11" s="72" t="inlineStr">
        <is>
          <t>うどん麺ボイル</t>
        </is>
      </c>
      <c r="C11" s="159" t="inlineStr">
        <is>
          <t>釜①265ℓ</t>
        </is>
      </c>
      <c r="D11" s="155" t="n"/>
      <c r="E11" s="518" t="n">
        <v>0</v>
      </c>
      <c r="F11" s="518" t="n">
        <v>0</v>
      </c>
      <c r="G11" s="519" t="n">
        <v>100</v>
      </c>
      <c r="H11" s="92">
        <f>IF(OR(E11=0,F11=0),"",E11*F11/(G11/100))</f>
        <v/>
      </c>
      <c r="I11" s="531" t="n">
        <v>0</v>
      </c>
      <c r="J11" s="531" t="n">
        <v>0</v>
      </c>
      <c r="K11" s="532">
        <f>IF(OR(I11=0,J11=0),"",J11/I11*100)</f>
        <v/>
      </c>
      <c r="L11" s="98">
        <f>IF(OR(E11=0,I11=0,J11=0),"",E11*I11/(J11/I11))</f>
        <v/>
      </c>
      <c r="M11" s="523">
        <f>IF(OR(L11="",J11=0),"",L11/J11)</f>
        <v/>
      </c>
      <c r="N11" s="533">
        <f>IF(OR(H11="",L11=""),"",L11-H11)</f>
        <v/>
      </c>
    </row>
    <row r="12" ht="17" customHeight="1" s="438">
      <c r="A12" s="66" t="n">
        <v>7</v>
      </c>
      <c r="B12" s="67" t="inlineStr">
        <is>
          <t>マカサラ　細マカロニ</t>
        </is>
      </c>
      <c r="C12" s="154" t="inlineStr">
        <is>
          <t>釜①265ℓ</t>
        </is>
      </c>
      <c r="D12" s="155" t="n"/>
      <c r="E12" s="518" t="n">
        <v>0</v>
      </c>
      <c r="F12" s="518" t="n">
        <v>0</v>
      </c>
      <c r="G12" s="519" t="n">
        <v>100</v>
      </c>
      <c r="H12" s="92">
        <f>IF(OR(E12=0,F12=0),"",E12*F12/(G12/100))</f>
        <v/>
      </c>
      <c r="I12" s="531" t="n">
        <v>0</v>
      </c>
      <c r="J12" s="531" t="n">
        <v>0</v>
      </c>
      <c r="K12" s="532">
        <f>IF(OR(I12=0,J12=0),"",J12/I12*100)</f>
        <v/>
      </c>
      <c r="L12" s="98">
        <f>IF(OR(E12=0,I12=0,J12=0),"",E12*I12/(J12/I12))</f>
        <v/>
      </c>
      <c r="M12" s="523">
        <f>IF(OR(L12="",J12=0),"",L12/J12)</f>
        <v/>
      </c>
      <c r="N12" s="533">
        <f>IF(OR(H12="",L12=""),"",L12-H12)</f>
        <v/>
      </c>
    </row>
    <row r="13" ht="17" customHeight="1" s="438">
      <c r="A13" s="71" t="n">
        <v>8</v>
      </c>
      <c r="B13" s="72" t="inlineStr">
        <is>
          <t>スパボイル（1.9mm）</t>
        </is>
      </c>
      <c r="C13" s="159" t="inlineStr">
        <is>
          <t>釜①265ℓ</t>
        </is>
      </c>
      <c r="D13" s="155" t="n"/>
      <c r="E13" s="518" t="n">
        <v>0</v>
      </c>
      <c r="F13" s="518" t="n">
        <v>0</v>
      </c>
      <c r="G13" s="519" t="n">
        <v>100</v>
      </c>
      <c r="H13" s="92">
        <f>IF(OR(E13=0,F13=0),"",E13*F13/(G13/100))</f>
        <v/>
      </c>
      <c r="I13" s="531" t="n">
        <v>0</v>
      </c>
      <c r="J13" s="531" t="n">
        <v>0</v>
      </c>
      <c r="K13" s="532">
        <f>IF(OR(I13=0,J13=0),"",J13/I13*100)</f>
        <v/>
      </c>
      <c r="L13" s="98">
        <f>IF(OR(E13=0,I13=0,J13=0),"",E13*I13/(J13/I13))</f>
        <v/>
      </c>
      <c r="M13" s="523">
        <f>IF(OR(L13="",J13=0),"",L13/J13)</f>
        <v/>
      </c>
      <c r="N13" s="533">
        <f>IF(OR(H13="",L13=""),"",L13-H13)</f>
        <v/>
      </c>
    </row>
    <row r="14" ht="17" customHeight="1" s="438">
      <c r="A14" s="66" t="n">
        <v>9</v>
      </c>
      <c r="B14" s="67" t="inlineStr">
        <is>
          <t>ラーメンスープ</t>
        </is>
      </c>
      <c r="C14" s="154" t="inlineStr">
        <is>
          <t>釜①265ℓ</t>
        </is>
      </c>
      <c r="D14" s="155" t="n"/>
      <c r="E14" s="518" t="n">
        <v>0</v>
      </c>
      <c r="F14" s="518" t="n">
        <v>0</v>
      </c>
      <c r="G14" s="519" t="n">
        <v>100</v>
      </c>
      <c r="H14" s="92">
        <f>IF(OR(E14=0,F14=0),"",E14*F14/(G14/100))</f>
        <v/>
      </c>
      <c r="I14" s="531" t="n">
        <v>0</v>
      </c>
      <c r="J14" s="531" t="n">
        <v>0</v>
      </c>
      <c r="K14" s="532">
        <f>IF(OR(I14=0,J14=0),"",J14/I14*100)</f>
        <v/>
      </c>
      <c r="L14" s="98">
        <f>IF(OR(E14=0,I14=0,J14=0),"",E14*I14/(J14/I14))</f>
        <v/>
      </c>
      <c r="M14" s="523">
        <f>IF(OR(L14="",J14=0),"",L14/J14)</f>
        <v/>
      </c>
      <c r="N14" s="533">
        <f>IF(OR(H14="",L14=""),"",L14-H14)</f>
        <v/>
      </c>
    </row>
    <row r="15" ht="17" customHeight="1" s="438">
      <c r="A15" s="71" t="n">
        <v>10</v>
      </c>
      <c r="B15" s="72" t="inlineStr">
        <is>
          <t>ちゃんぽんスープ</t>
        </is>
      </c>
      <c r="C15" s="159" t="inlineStr">
        <is>
          <t>釜①265ℓ</t>
        </is>
      </c>
      <c r="D15" s="155" t="n"/>
      <c r="E15" s="518" t="n">
        <v>0</v>
      </c>
      <c r="F15" s="518" t="n">
        <v>0</v>
      </c>
      <c r="G15" s="519" t="n">
        <v>100</v>
      </c>
      <c r="H15" s="92">
        <f>IF(OR(E15=0,F15=0),"",E15*F15/(G15/100))</f>
        <v/>
      </c>
      <c r="I15" s="531" t="n">
        <v>0</v>
      </c>
      <c r="J15" s="531" t="n">
        <v>0</v>
      </c>
      <c r="K15" s="532">
        <f>IF(OR(I15=0,J15=0),"",J15/I15*100)</f>
        <v/>
      </c>
      <c r="L15" s="98">
        <f>IF(OR(E15=0,I15=0,J15=0),"",E15*I15/(J15/I15))</f>
        <v/>
      </c>
      <c r="M15" s="523">
        <f>IF(OR(L15="",J15=0),"",L15/J15)</f>
        <v/>
      </c>
      <c r="N15" s="533">
        <f>IF(OR(H15="",L15=""),"",L15-H15)</f>
        <v/>
      </c>
    </row>
    <row r="16" ht="17" customHeight="1" s="438">
      <c r="A16" s="66" t="n">
        <v>11</v>
      </c>
      <c r="B16" s="67" t="inlineStr">
        <is>
          <t>鶏そぼろ</t>
        </is>
      </c>
      <c r="C16" s="154" t="inlineStr">
        <is>
          <t>釜①265ℓ</t>
        </is>
      </c>
      <c r="D16" s="155" t="n"/>
      <c r="E16" s="518" t="n">
        <v>0</v>
      </c>
      <c r="F16" s="518" t="n">
        <v>0</v>
      </c>
      <c r="G16" s="519" t="n">
        <v>100</v>
      </c>
      <c r="H16" s="92">
        <f>IF(OR(E16=0,F16=0),"",E16*F16/(G16/100))</f>
        <v/>
      </c>
      <c r="I16" s="531" t="n">
        <v>0</v>
      </c>
      <c r="J16" s="531" t="n">
        <v>0</v>
      </c>
      <c r="K16" s="532">
        <f>IF(OR(I16=0,J16=0),"",J16/I16*100)</f>
        <v/>
      </c>
      <c r="L16" s="98">
        <f>IF(OR(E16=0,I16=0,J16=0),"",E16*I16/(J16/I16))</f>
        <v/>
      </c>
      <c r="M16" s="523">
        <f>IF(OR(L16="",J16=0),"",L16/J16)</f>
        <v/>
      </c>
      <c r="N16" s="533">
        <f>IF(OR(H16="",L16=""),"",L16-H16)</f>
        <v/>
      </c>
    </row>
    <row r="17" ht="17" customHeight="1" s="438">
      <c r="A17" s="71" t="n">
        <v>12</v>
      </c>
      <c r="B17" s="72" t="inlineStr">
        <is>
          <t>辛麺スープ</t>
        </is>
      </c>
      <c r="C17" s="159" t="inlineStr">
        <is>
          <t>釜①265ℓ</t>
        </is>
      </c>
      <c r="D17" s="155" t="n"/>
      <c r="E17" s="518" t="n">
        <v>0</v>
      </c>
      <c r="F17" s="518" t="n">
        <v>0</v>
      </c>
      <c r="G17" s="519" t="n">
        <v>100</v>
      </c>
      <c r="H17" s="92">
        <f>IF(OR(E17=0,F17=0),"",E17*F17/(G17/100))</f>
        <v/>
      </c>
      <c r="I17" s="531" t="n">
        <v>0</v>
      </c>
      <c r="J17" s="531" t="n">
        <v>0</v>
      </c>
      <c r="K17" s="532">
        <f>IF(OR(I17=0,J17=0),"",J17/I17*100)</f>
        <v/>
      </c>
      <c r="L17" s="98">
        <f>IF(OR(E17=0,I17=0,J17=0),"",E17*I17/(J17/I17))</f>
        <v/>
      </c>
      <c r="M17" s="523">
        <f>IF(OR(L17="",J17=0),"",L17/J17)</f>
        <v/>
      </c>
      <c r="N17" s="533">
        <f>IF(OR(H17="",L17=""),"",L17-H17)</f>
        <v/>
      </c>
    </row>
    <row r="18" ht="17" customHeight="1" s="438">
      <c r="A18" s="66" t="n">
        <v>13</v>
      </c>
      <c r="B18" s="67" t="inlineStr">
        <is>
          <t>ちゃんぽん　イカボイル</t>
        </is>
      </c>
      <c r="C18" s="154" t="inlineStr">
        <is>
          <t>釜①265ℓ</t>
        </is>
      </c>
      <c r="D18" s="155" t="n"/>
      <c r="E18" s="518" t="n">
        <v>0</v>
      </c>
      <c r="F18" s="518" t="n">
        <v>0</v>
      </c>
      <c r="G18" s="519" t="n">
        <v>100</v>
      </c>
      <c r="H18" s="92">
        <f>IF(OR(E18=0,F18=0),"",E18*F18/(G18/100))</f>
        <v/>
      </c>
      <c r="I18" s="531" t="n">
        <v>0</v>
      </c>
      <c r="J18" s="531" t="n">
        <v>0</v>
      </c>
      <c r="K18" s="532">
        <f>IF(OR(I18=0,J18=0),"",J18/I18*100)</f>
        <v/>
      </c>
      <c r="L18" s="98">
        <f>IF(OR(E18=0,I18=0,J18=0),"",E18*I18/(J18/I18))</f>
        <v/>
      </c>
      <c r="M18" s="523">
        <f>IF(OR(L18="",J18=0),"",L18/J18)</f>
        <v/>
      </c>
      <c r="N18" s="533">
        <f>IF(OR(H18="",L18=""),"",L18-H18)</f>
        <v/>
      </c>
    </row>
    <row r="19" ht="17" customHeight="1" s="438">
      <c r="A19" s="71" t="n">
        <v>14</v>
      </c>
      <c r="B19" s="72" t="inlineStr">
        <is>
          <t>豚汁　こんにゃく</t>
        </is>
      </c>
      <c r="C19" s="159" t="inlineStr">
        <is>
          <t>釜①265ℓ</t>
        </is>
      </c>
      <c r="D19" s="155" t="n"/>
      <c r="E19" s="518" t="n">
        <v>0</v>
      </c>
      <c r="F19" s="518" t="n">
        <v>0</v>
      </c>
      <c r="G19" s="519" t="n">
        <v>100</v>
      </c>
      <c r="H19" s="92">
        <f>IF(OR(E19=0,F19=0),"",E19*F19/(G19/100))</f>
        <v/>
      </c>
      <c r="I19" s="531" t="n">
        <v>0</v>
      </c>
      <c r="J19" s="531" t="n">
        <v>0</v>
      </c>
      <c r="K19" s="532">
        <f>IF(OR(I19=0,J19=0),"",J19/I19*100)</f>
        <v/>
      </c>
      <c r="L19" s="98">
        <f>IF(OR(E19=0,I19=0,J19=0),"",E19*I19/(J19/I19))</f>
        <v/>
      </c>
      <c r="M19" s="523">
        <f>IF(OR(L19="",J19=0),"",L19/J19)</f>
        <v/>
      </c>
      <c r="N19" s="533">
        <f>IF(OR(H19="",L19=""),"",L19-H19)</f>
        <v/>
      </c>
    </row>
    <row r="20" ht="17" customHeight="1" s="438">
      <c r="A20" s="66" t="n">
        <v>15</v>
      </c>
      <c r="B20" s="67" t="inlineStr">
        <is>
          <t>豚汁　スープ</t>
        </is>
      </c>
      <c r="C20" s="154" t="inlineStr">
        <is>
          <t>釜①265ℓ</t>
        </is>
      </c>
      <c r="D20" s="155" t="n"/>
      <c r="E20" s="518" t="n">
        <v>0</v>
      </c>
      <c r="F20" s="518" t="n">
        <v>0</v>
      </c>
      <c r="G20" s="519" t="n">
        <v>100</v>
      </c>
      <c r="H20" s="92">
        <f>IF(OR(E20=0,F20=0),"",E20*F20/(G20/100))</f>
        <v/>
      </c>
      <c r="I20" s="531" t="n">
        <v>0</v>
      </c>
      <c r="J20" s="531" t="n">
        <v>0</v>
      </c>
      <c r="K20" s="532">
        <f>IF(OR(I20=0,J20=0),"",J20/I20*100)</f>
        <v/>
      </c>
      <c r="L20" s="98">
        <f>IF(OR(E20=0,I20=0,J20=0),"",E20*I20/(J20/I20))</f>
        <v/>
      </c>
      <c r="M20" s="523">
        <f>IF(OR(L20="",J20=0),"",L20/J20)</f>
        <v/>
      </c>
      <c r="N20" s="533">
        <f>IF(OR(H20="",L20=""),"",L20-H20)</f>
        <v/>
      </c>
    </row>
    <row r="21" ht="17" customHeight="1" s="438">
      <c r="A21" s="71" t="n">
        <v>16</v>
      </c>
      <c r="B21" s="72" t="inlineStr">
        <is>
          <t>肉豆腐</t>
        </is>
      </c>
      <c r="C21" s="159" t="inlineStr">
        <is>
          <t>釜①265ℓ</t>
        </is>
      </c>
      <c r="D21" s="155" t="n"/>
      <c r="E21" s="518" t="n">
        <v>0</v>
      </c>
      <c r="F21" s="518" t="n">
        <v>0</v>
      </c>
      <c r="G21" s="519" t="n">
        <v>100</v>
      </c>
      <c r="H21" s="92">
        <f>IF(OR(E21=0,F21=0),"",E21*F21/(G21/100))</f>
        <v/>
      </c>
      <c r="I21" s="531" t="n">
        <v>0</v>
      </c>
      <c r="J21" s="531" t="n">
        <v>0</v>
      </c>
      <c r="K21" s="532">
        <f>IF(OR(I21=0,J21=0),"",J21/I21*100)</f>
        <v/>
      </c>
      <c r="L21" s="98">
        <f>IF(OR(E21=0,I21=0,J21=0),"",E21*I21/(J21/I21))</f>
        <v/>
      </c>
      <c r="M21" s="523">
        <f>IF(OR(L21="",J21=0),"",L21/J21)</f>
        <v/>
      </c>
      <c r="N21" s="533">
        <f>IF(OR(H21="",L21=""),"",L21-H21)</f>
        <v/>
      </c>
    </row>
    <row r="22" ht="17" customHeight="1" s="438">
      <c r="A22" s="66" t="n">
        <v>17</v>
      </c>
      <c r="B22" s="67" t="inlineStr">
        <is>
          <t>推しプリン</t>
        </is>
      </c>
      <c r="C22" s="154" t="inlineStr">
        <is>
          <t>釜①265ℓ</t>
        </is>
      </c>
      <c r="D22" s="155" t="n"/>
      <c r="E22" s="518" t="n">
        <v>0</v>
      </c>
      <c r="F22" s="518" t="n">
        <v>0</v>
      </c>
      <c r="G22" s="519" t="n">
        <v>100</v>
      </c>
      <c r="H22" s="92">
        <f>IF(OR(E22=0,F22=0),"",E22*F22/(G22/100))</f>
        <v/>
      </c>
      <c r="I22" s="531" t="n">
        <v>0</v>
      </c>
      <c r="J22" s="531" t="n">
        <v>0</v>
      </c>
      <c r="K22" s="532">
        <f>IF(OR(I22=0,J22=0),"",J22/I22*100)</f>
        <v/>
      </c>
      <c r="L22" s="98">
        <f>IF(OR(E22=0,I22=0,J22=0),"",E22*I22/(J22/I22))</f>
        <v/>
      </c>
      <c r="M22" s="523">
        <f>IF(OR(L22="",J22=0),"",L22/J22)</f>
        <v/>
      </c>
      <c r="N22" s="533">
        <f>IF(OR(H22="",L22=""),"",L22-H22)</f>
        <v/>
      </c>
    </row>
    <row r="23" ht="17" customHeight="1" s="438">
      <c r="A23" s="71" t="n">
        <v>18</v>
      </c>
      <c r="B23" s="72" t="inlineStr">
        <is>
          <t>筑前煮　里芋煮</t>
        </is>
      </c>
      <c r="C23" s="160" t="inlineStr">
        <is>
          <t>釜②265ℓ</t>
        </is>
      </c>
      <c r="D23" s="155" t="n"/>
      <c r="E23" s="518" t="n">
        <v>0</v>
      </c>
      <c r="F23" s="518" t="n">
        <v>0</v>
      </c>
      <c r="G23" s="519" t="n">
        <v>100</v>
      </c>
      <c r="H23" s="92">
        <f>IF(OR(E23=0,F23=0),"",E23*F23/(G23/100))</f>
        <v/>
      </c>
      <c r="I23" s="531" t="n">
        <v>0</v>
      </c>
      <c r="J23" s="531" t="n">
        <v>0</v>
      </c>
      <c r="K23" s="532">
        <f>IF(OR(I23=0,J23=0),"",J23/I23*100)</f>
        <v/>
      </c>
      <c r="L23" s="98">
        <f>IF(OR(E23=0,I23=0,J23=0),"",E23*I23/(J23/I23))</f>
        <v/>
      </c>
      <c r="M23" s="523">
        <f>IF(OR(L23="",J23=0),"",L23/J23)</f>
        <v/>
      </c>
      <c r="N23" s="533">
        <f>IF(OR(H23="",L23=""),"",L23-H23)</f>
        <v/>
      </c>
    </row>
    <row r="24" ht="17" customHeight="1" s="438">
      <c r="A24" s="66" t="n">
        <v>19</v>
      </c>
      <c r="B24" s="67" t="inlineStr">
        <is>
          <t>筑前煮　鶏肉煮</t>
        </is>
      </c>
      <c r="C24" s="161" t="inlineStr">
        <is>
          <t>釜②265ℓ</t>
        </is>
      </c>
      <c r="D24" s="155" t="n"/>
      <c r="E24" s="518" t="n">
        <v>0</v>
      </c>
      <c r="F24" s="518" t="n">
        <v>0</v>
      </c>
      <c r="G24" s="519" t="n">
        <v>100</v>
      </c>
      <c r="H24" s="92">
        <f>IF(OR(E24=0,F24=0),"",E24*F24/(G24/100))</f>
        <v/>
      </c>
      <c r="I24" s="531" t="n">
        <v>0</v>
      </c>
      <c r="J24" s="531" t="n">
        <v>0</v>
      </c>
      <c r="K24" s="532">
        <f>IF(OR(I24=0,J24=0),"",J24/I24*100)</f>
        <v/>
      </c>
      <c r="L24" s="98">
        <f>IF(OR(E24=0,I24=0,J24=0),"",E24*I24/(J24/I24))</f>
        <v/>
      </c>
      <c r="M24" s="523">
        <f>IF(OR(L24="",J24=0),"",L24/J24)</f>
        <v/>
      </c>
      <c r="N24" s="533">
        <f>IF(OR(H24="",L24=""),"",L24-H24)</f>
        <v/>
      </c>
    </row>
    <row r="25" ht="17" customHeight="1" s="438">
      <c r="A25" s="71" t="n">
        <v>20</v>
      </c>
      <c r="B25" s="72" t="inlineStr">
        <is>
          <t>赤ウインナー</t>
        </is>
      </c>
      <c r="C25" s="160" t="inlineStr">
        <is>
          <t>釜②265ℓ</t>
        </is>
      </c>
      <c r="D25" s="155" t="n"/>
      <c r="E25" s="518" t="n">
        <v>0</v>
      </c>
      <c r="F25" s="518" t="n">
        <v>0</v>
      </c>
      <c r="G25" s="519" t="n">
        <v>100</v>
      </c>
      <c r="H25" s="92">
        <f>IF(OR(E25=0,F25=0),"",E25*F25/(G25/100))</f>
        <v/>
      </c>
      <c r="I25" s="531" t="n">
        <v>0</v>
      </c>
      <c r="J25" s="531" t="n">
        <v>0</v>
      </c>
      <c r="K25" s="532">
        <f>IF(OR(I25=0,J25=0),"",J25/I25*100)</f>
        <v/>
      </c>
      <c r="L25" s="98">
        <f>IF(OR(E25=0,I25=0,J25=0),"",E25*I25/(J25/I25))</f>
        <v/>
      </c>
      <c r="M25" s="523">
        <f>IF(OR(L25="",J25=0),"",L25/J25)</f>
        <v/>
      </c>
      <c r="N25" s="533">
        <f>IF(OR(H25="",L25=""),"",L25-H25)</f>
        <v/>
      </c>
    </row>
    <row r="26" ht="17" customHeight="1" s="438">
      <c r="A26" s="66" t="n">
        <v>21</v>
      </c>
      <c r="B26" s="67" t="inlineStr">
        <is>
          <t>キンパ　肉</t>
        </is>
      </c>
      <c r="C26" s="161" t="inlineStr">
        <is>
          <t>釜②265ℓ</t>
        </is>
      </c>
      <c r="D26" s="155" t="n"/>
      <c r="E26" s="518" t="n">
        <v>0</v>
      </c>
      <c r="F26" s="518" t="n">
        <v>0</v>
      </c>
      <c r="G26" s="519" t="n">
        <v>100</v>
      </c>
      <c r="H26" s="92">
        <f>IF(OR(E26=0,F26=0),"",E26*F26/(G26/100))</f>
        <v/>
      </c>
      <c r="I26" s="531" t="n">
        <v>0</v>
      </c>
      <c r="J26" s="531" t="n">
        <v>0</v>
      </c>
      <c r="K26" s="532">
        <f>IF(OR(I26=0,J26=0),"",J26/I26*100)</f>
        <v/>
      </c>
      <c r="L26" s="98">
        <f>IF(OR(E26=0,I26=0,J26=0),"",E26*I26/(J26/I26))</f>
        <v/>
      </c>
      <c r="M26" s="523">
        <f>IF(OR(L26="",J26=0),"",L26/J26)</f>
        <v/>
      </c>
      <c r="N26" s="533">
        <f>IF(OR(H26="",L26=""),"",L26-H26)</f>
        <v/>
      </c>
    </row>
    <row r="27" ht="17" customHeight="1" s="438">
      <c r="A27" s="71" t="n">
        <v>22</v>
      </c>
      <c r="B27" s="72" t="inlineStr">
        <is>
          <t>ビーフン　肉ボイル</t>
        </is>
      </c>
      <c r="C27" s="160" t="inlineStr">
        <is>
          <t>釜②265ℓ</t>
        </is>
      </c>
      <c r="D27" s="155" t="n"/>
      <c r="E27" s="518" t="n">
        <v>0</v>
      </c>
      <c r="F27" s="518" t="n">
        <v>0</v>
      </c>
      <c r="G27" s="519" t="n">
        <v>100</v>
      </c>
      <c r="H27" s="92">
        <f>IF(OR(E27=0,F27=0),"",E27*F27/(G27/100))</f>
        <v/>
      </c>
      <c r="I27" s="531" t="n">
        <v>0</v>
      </c>
      <c r="J27" s="531" t="n">
        <v>0</v>
      </c>
      <c r="K27" s="532">
        <f>IF(OR(I27=0,J27=0),"",J27/I27*100)</f>
        <v/>
      </c>
      <c r="L27" s="98">
        <f>IF(OR(E27=0,I27=0,J27=0),"",E27*I27/(J27/I27))</f>
        <v/>
      </c>
      <c r="M27" s="523">
        <f>IF(OR(L27="",J27=0),"",L27/J27)</f>
        <v/>
      </c>
      <c r="N27" s="533">
        <f>IF(OR(H27="",L27=""),"",L27-H27)</f>
        <v/>
      </c>
    </row>
    <row r="28" ht="17" customHeight="1" s="438">
      <c r="A28" s="66" t="n">
        <v>23</v>
      </c>
      <c r="B28" s="67" t="inlineStr">
        <is>
          <t>ビーフン　きくらげ</t>
        </is>
      </c>
      <c r="C28" s="161" t="inlineStr">
        <is>
          <t>釜②265ℓ</t>
        </is>
      </c>
      <c r="D28" s="155" t="n"/>
      <c r="E28" s="518" t="n">
        <v>0</v>
      </c>
      <c r="F28" s="518" t="n">
        <v>0</v>
      </c>
      <c r="G28" s="519" t="n">
        <v>100</v>
      </c>
      <c r="H28" s="92">
        <f>IF(OR(E28=0,F28=0),"",E28*F28/(G28/100))</f>
        <v/>
      </c>
      <c r="I28" s="531" t="n">
        <v>0</v>
      </c>
      <c r="J28" s="531" t="n">
        <v>0</v>
      </c>
      <c r="K28" s="532">
        <f>IF(OR(I28=0,J28=0),"",J28/I28*100)</f>
        <v/>
      </c>
      <c r="L28" s="98">
        <f>IF(OR(E28=0,I28=0,J28=0),"",E28*I28/(J28/I28))</f>
        <v/>
      </c>
      <c r="M28" s="523">
        <f>IF(OR(L28="",J28=0),"",L28/J28)</f>
        <v/>
      </c>
      <c r="N28" s="533">
        <f>IF(OR(H28="",L28=""),"",L28-H28)</f>
        <v/>
      </c>
    </row>
    <row r="29" ht="17" customHeight="1" s="438">
      <c r="A29" s="71" t="n">
        <v>24</v>
      </c>
      <c r="B29" s="72" t="inlineStr">
        <is>
          <t>牛焼肉マヨ</t>
        </is>
      </c>
      <c r="C29" s="160" t="inlineStr">
        <is>
          <t>釜②265ℓ</t>
        </is>
      </c>
      <c r="D29" s="155" t="n"/>
      <c r="E29" s="518" t="n">
        <v>0</v>
      </c>
      <c r="F29" s="518" t="n">
        <v>0</v>
      </c>
      <c r="G29" s="519" t="n">
        <v>100</v>
      </c>
      <c r="H29" s="92">
        <f>IF(OR(E29=0,F29=0),"",E29*F29/(G29/100))</f>
        <v/>
      </c>
      <c r="I29" s="531" t="n">
        <v>0</v>
      </c>
      <c r="J29" s="531" t="n">
        <v>0</v>
      </c>
      <c r="K29" s="532">
        <f>IF(OR(I29=0,J29=0),"",J29/I29*100)</f>
        <v/>
      </c>
      <c r="L29" s="98">
        <f>IF(OR(E29=0,I29=0,J29=0),"",E29*I29/(J29/I29))</f>
        <v/>
      </c>
      <c r="M29" s="523">
        <f>IF(OR(L29="",J29=0),"",L29/J29)</f>
        <v/>
      </c>
      <c r="N29" s="533">
        <f>IF(OR(H29="",L29=""),"",L29-H29)</f>
        <v/>
      </c>
    </row>
    <row r="30" ht="17" customHeight="1" s="438">
      <c r="A30" s="66" t="n">
        <v>25</v>
      </c>
      <c r="B30" s="67" t="inlineStr">
        <is>
          <t>うどん　肉</t>
        </is>
      </c>
      <c r="C30" s="161" t="inlineStr">
        <is>
          <t>釜②265ℓ</t>
        </is>
      </c>
      <c r="D30" s="155" t="n"/>
      <c r="E30" s="518" t="n">
        <v>0</v>
      </c>
      <c r="F30" s="518" t="n">
        <v>0</v>
      </c>
      <c r="G30" s="519" t="n">
        <v>100</v>
      </c>
      <c r="H30" s="92">
        <f>IF(OR(E30=0,F30=0),"",E30*F30/(G30/100))</f>
        <v/>
      </c>
      <c r="I30" s="531" t="n">
        <v>0</v>
      </c>
      <c r="J30" s="531" t="n">
        <v>0</v>
      </c>
      <c r="K30" s="532">
        <f>IF(OR(I30=0,J30=0),"",J30/I30*100)</f>
        <v/>
      </c>
      <c r="L30" s="98">
        <f>IF(OR(E30=0,I30=0,J30=0),"",E30*I30/(J30/I30))</f>
        <v/>
      </c>
      <c r="M30" s="523">
        <f>IF(OR(L30="",J30=0),"",L30/J30)</f>
        <v/>
      </c>
      <c r="N30" s="533">
        <f>IF(OR(H30="",L30=""),"",L30-H30)</f>
        <v/>
      </c>
    </row>
    <row r="31" ht="17" customHeight="1" s="438">
      <c r="A31" s="71" t="n">
        <v>26</v>
      </c>
      <c r="B31" s="72" t="inlineStr">
        <is>
          <t>うどん　ワカメ</t>
        </is>
      </c>
      <c r="C31" s="160" t="inlineStr">
        <is>
          <t>釜②265ℓ</t>
        </is>
      </c>
      <c r="D31" s="155" t="n"/>
      <c r="E31" s="518" t="n">
        <v>0</v>
      </c>
      <c r="F31" s="518" t="n">
        <v>0</v>
      </c>
      <c r="G31" s="519" t="n">
        <v>100</v>
      </c>
      <c r="H31" s="92">
        <f>IF(OR(E31=0,F31=0),"",E31*F31/(G31/100))</f>
        <v/>
      </c>
      <c r="I31" s="531" t="n">
        <v>0</v>
      </c>
      <c r="J31" s="531" t="n">
        <v>0</v>
      </c>
      <c r="K31" s="532">
        <f>IF(OR(I31=0,J31=0),"",J31/I31*100)</f>
        <v/>
      </c>
      <c r="L31" s="98">
        <f>IF(OR(E31=0,I31=0,J31=0),"",E31*I31/(J31/I31))</f>
        <v/>
      </c>
      <c r="M31" s="523">
        <f>IF(OR(L31="",J31=0),"",L31/J31)</f>
        <v/>
      </c>
      <c r="N31" s="533">
        <f>IF(OR(H31="",L31=""),"",L31-H31)</f>
        <v/>
      </c>
    </row>
    <row r="32" ht="17" customHeight="1" s="438">
      <c r="A32" s="66" t="n">
        <v>27</v>
      </c>
      <c r="B32" s="67" t="inlineStr">
        <is>
          <t>コーン</t>
        </is>
      </c>
      <c r="C32" s="161" t="inlineStr">
        <is>
          <t>釜②265ℓ</t>
        </is>
      </c>
      <c r="D32" s="155" t="n"/>
      <c r="E32" s="518" t="n">
        <v>0</v>
      </c>
      <c r="F32" s="518" t="n">
        <v>0</v>
      </c>
      <c r="G32" s="519" t="n">
        <v>100</v>
      </c>
      <c r="H32" s="92">
        <f>IF(OR(E32=0,F32=0),"",E32*F32/(G32/100))</f>
        <v/>
      </c>
      <c r="I32" s="531" t="n">
        <v>0</v>
      </c>
      <c r="J32" s="531" t="n">
        <v>0</v>
      </c>
      <c r="K32" s="532">
        <f>IF(OR(I32=0,J32=0),"",J32/I32*100)</f>
        <v/>
      </c>
      <c r="L32" s="98">
        <f>IF(OR(E32=0,I32=0,J32=0),"",E32*I32/(J32/I32))</f>
        <v/>
      </c>
      <c r="M32" s="523">
        <f>IF(OR(L32="",J32=0),"",L32/J32)</f>
        <v/>
      </c>
      <c r="N32" s="533">
        <f>IF(OR(H32="",L32=""),"",L32-H32)</f>
        <v/>
      </c>
    </row>
    <row r="33" ht="17" customHeight="1" s="438">
      <c r="A33" s="71" t="n">
        <v>28</v>
      </c>
      <c r="B33" s="72" t="inlineStr">
        <is>
          <t>焼うどん　野菜</t>
        </is>
      </c>
      <c r="C33" s="160" t="inlineStr">
        <is>
          <t>釜②265ℓ</t>
        </is>
      </c>
      <c r="D33" s="155" t="n"/>
      <c r="E33" s="518" t="n">
        <v>0</v>
      </c>
      <c r="F33" s="518" t="n">
        <v>0</v>
      </c>
      <c r="G33" s="519" t="n">
        <v>100</v>
      </c>
      <c r="H33" s="92">
        <f>IF(OR(E33=0,F33=0),"",E33*F33/(G33/100))</f>
        <v/>
      </c>
      <c r="I33" s="531" t="n">
        <v>0</v>
      </c>
      <c r="J33" s="531" t="n">
        <v>0</v>
      </c>
      <c r="K33" s="532">
        <f>IF(OR(I33=0,J33=0),"",J33/I33*100)</f>
        <v/>
      </c>
      <c r="L33" s="98">
        <f>IF(OR(E33=0,I33=0,J33=0),"",E33*I33/(J33/I33))</f>
        <v/>
      </c>
      <c r="M33" s="523">
        <f>IF(OR(L33="",J33=0),"",L33/J33)</f>
        <v/>
      </c>
      <c r="N33" s="533">
        <f>IF(OR(H33="",L33=""),"",L33-H33)</f>
        <v/>
      </c>
    </row>
    <row r="34" ht="17" customHeight="1" s="438">
      <c r="A34" s="66" t="n">
        <v>29</v>
      </c>
      <c r="B34" s="67" t="inlineStr">
        <is>
          <t>ネギ塩カルビソース</t>
        </is>
      </c>
      <c r="C34" s="161" t="inlineStr">
        <is>
          <t>釜②265ℓ</t>
        </is>
      </c>
      <c r="D34" s="155" t="n"/>
      <c r="E34" s="518" t="n">
        <v>0</v>
      </c>
      <c r="F34" s="518" t="n">
        <v>0</v>
      </c>
      <c r="G34" s="519" t="n">
        <v>100</v>
      </c>
      <c r="H34" s="92">
        <f>IF(OR(E34=0,F34=0),"",E34*F34/(G34/100))</f>
        <v/>
      </c>
      <c r="I34" s="531" t="n">
        <v>0</v>
      </c>
      <c r="J34" s="531" t="n">
        <v>0</v>
      </c>
      <c r="K34" s="532">
        <f>IF(OR(I34=0,J34=0),"",J34/I34*100)</f>
        <v/>
      </c>
      <c r="L34" s="98">
        <f>IF(OR(E34=0,I34=0,J34=0),"",E34*I34/(J34/I34))</f>
        <v/>
      </c>
      <c r="M34" s="523">
        <f>IF(OR(L34="",J34=0),"",L34/J34)</f>
        <v/>
      </c>
      <c r="N34" s="533">
        <f>IF(OR(H34="",L34=""),"",L34-H34)</f>
        <v/>
      </c>
    </row>
    <row r="35" ht="17" customHeight="1" s="438">
      <c r="A35" s="71" t="n">
        <v>30</v>
      </c>
      <c r="B35" s="72" t="inlineStr">
        <is>
          <t>チキナポソーセージ</t>
        </is>
      </c>
      <c r="C35" s="160" t="inlineStr">
        <is>
          <t>釜②265ℓ</t>
        </is>
      </c>
      <c r="D35" s="155" t="n"/>
      <c r="E35" s="518" t="n">
        <v>0</v>
      </c>
      <c r="F35" s="518" t="n">
        <v>0</v>
      </c>
      <c r="G35" s="519" t="n">
        <v>100</v>
      </c>
      <c r="H35" s="92">
        <f>IF(OR(E35=0,F35=0),"",E35*F35/(G35/100))</f>
        <v/>
      </c>
      <c r="I35" s="531" t="n">
        <v>0</v>
      </c>
      <c r="J35" s="531" t="n">
        <v>0</v>
      </c>
      <c r="K35" s="532">
        <f>IF(OR(I35=0,J35=0),"",J35/I35*100)</f>
        <v/>
      </c>
      <c r="L35" s="98">
        <f>IF(OR(E35=0,I35=0,J35=0),"",E35*I35/(J35/I35))</f>
        <v/>
      </c>
      <c r="M35" s="523">
        <f>IF(OR(L35="",J35=0),"",L35/J35)</f>
        <v/>
      </c>
      <c r="N35" s="533">
        <f>IF(OR(H35="",L35=""),"",L35-H35)</f>
        <v/>
      </c>
    </row>
    <row r="36" ht="17" customHeight="1" s="438">
      <c r="A36" s="66" t="n">
        <v>31</v>
      </c>
      <c r="B36" s="67" t="inlineStr">
        <is>
          <t>塩豆大福</t>
        </is>
      </c>
      <c r="C36" s="161" t="inlineStr">
        <is>
          <t>釜②265ℓ</t>
        </is>
      </c>
      <c r="D36" s="155" t="n"/>
      <c r="E36" s="518" t="n">
        <v>0</v>
      </c>
      <c r="F36" s="518" t="n">
        <v>0</v>
      </c>
      <c r="G36" s="519" t="n">
        <v>100</v>
      </c>
      <c r="H36" s="92">
        <f>IF(OR(E36=0,F36=0),"",E36*F36/(G36/100))</f>
        <v/>
      </c>
      <c r="I36" s="531" t="n">
        <v>0</v>
      </c>
      <c r="J36" s="531" t="n">
        <v>0</v>
      </c>
      <c r="K36" s="532">
        <f>IF(OR(I36=0,J36=0),"",J36/I36*100)</f>
        <v/>
      </c>
      <c r="L36" s="98">
        <f>IF(OR(E36=0,I36=0,J36=0),"",E36*I36/(J36/I36))</f>
        <v/>
      </c>
      <c r="M36" s="523">
        <f>IF(OR(L36="",J36=0),"",L36/J36)</f>
        <v/>
      </c>
      <c r="N36" s="533">
        <f>IF(OR(H36="",L36=""),"",L36-H36)</f>
        <v/>
      </c>
    </row>
    <row r="37" ht="17" customHeight="1" s="438">
      <c r="A37" s="71" t="n">
        <v>32</v>
      </c>
      <c r="B37" s="72" t="inlineStr">
        <is>
          <t>ナポリタン　KIT</t>
        </is>
      </c>
      <c r="C37" s="160" t="inlineStr">
        <is>
          <t>釜②265ℓ</t>
        </is>
      </c>
      <c r="D37" s="155" t="n"/>
      <c r="E37" s="518" t="n">
        <v>0</v>
      </c>
      <c r="F37" s="518" t="n">
        <v>0</v>
      </c>
      <c r="G37" s="519" t="n">
        <v>100</v>
      </c>
      <c r="H37" s="92">
        <f>IF(OR(E37=0,F37=0),"",E37*F37/(G37/100))</f>
        <v/>
      </c>
      <c r="I37" s="531" t="n">
        <v>0</v>
      </c>
      <c r="J37" s="531" t="n">
        <v>0</v>
      </c>
      <c r="K37" s="532">
        <f>IF(OR(I37=0,J37=0),"",J37/I37*100)</f>
        <v/>
      </c>
      <c r="L37" s="98">
        <f>IF(OR(E37=0,I37=0,J37=0),"",E37*I37/(J37/I37))</f>
        <v/>
      </c>
      <c r="M37" s="523">
        <f>IF(OR(L37="",J37=0),"",L37/J37)</f>
        <v/>
      </c>
      <c r="N37" s="533">
        <f>IF(OR(H37="",L37=""),"",L37-H37)</f>
        <v/>
      </c>
    </row>
    <row r="38" ht="17" customHeight="1" s="438">
      <c r="A38" s="66" t="n">
        <v>33</v>
      </c>
      <c r="B38" s="67" t="inlineStr">
        <is>
          <t>ナポリタン　ピーマン</t>
        </is>
      </c>
      <c r="C38" s="161" t="inlineStr">
        <is>
          <t>釜②265ℓ</t>
        </is>
      </c>
      <c r="D38" s="155" t="n"/>
      <c r="E38" s="518" t="n">
        <v>0</v>
      </c>
      <c r="F38" s="518" t="n">
        <v>0</v>
      </c>
      <c r="G38" s="519" t="n">
        <v>100</v>
      </c>
      <c r="H38" s="92">
        <f>IF(OR(E38=0,F38=0),"",E38*F38/(G38/100))</f>
        <v/>
      </c>
      <c r="I38" s="531" t="n">
        <v>0</v>
      </c>
      <c r="J38" s="531" t="n">
        <v>0</v>
      </c>
      <c r="K38" s="532">
        <f>IF(OR(I38=0,J38=0),"",J38/I38*100)</f>
        <v/>
      </c>
      <c r="L38" s="98">
        <f>IF(OR(E38=0,I38=0,J38=0),"",E38*I38/(J38/I38))</f>
        <v/>
      </c>
      <c r="M38" s="523">
        <f>IF(OR(L38="",J38=0),"",L38/J38)</f>
        <v/>
      </c>
      <c r="N38" s="533">
        <f>IF(OR(H38="",L38=""),"",L38-H38)</f>
        <v/>
      </c>
    </row>
    <row r="39" ht="17" customHeight="1" s="438">
      <c r="A39" s="71" t="n">
        <v>34</v>
      </c>
      <c r="B39" s="72" t="inlineStr">
        <is>
          <t>いんげんボイル</t>
        </is>
      </c>
      <c r="C39" s="160" t="inlineStr">
        <is>
          <t>釜②265ℓ</t>
        </is>
      </c>
      <c r="D39" s="155" t="n"/>
      <c r="E39" s="518" t="n">
        <v>0</v>
      </c>
      <c r="F39" s="518" t="n">
        <v>0</v>
      </c>
      <c r="G39" s="519" t="n">
        <v>100</v>
      </c>
      <c r="H39" s="92">
        <f>IF(OR(E39=0,F39=0),"",E39*F39/(G39/100))</f>
        <v/>
      </c>
      <c r="I39" s="531" t="n">
        <v>0</v>
      </c>
      <c r="J39" s="531" t="n">
        <v>0</v>
      </c>
      <c r="K39" s="532">
        <f>IF(OR(I39=0,J39=0),"",J39/I39*100)</f>
        <v/>
      </c>
      <c r="L39" s="98">
        <f>IF(OR(E39=0,I39=0,J39=0),"",E39*I39/(J39/I39))</f>
        <v/>
      </c>
      <c r="M39" s="523">
        <f>IF(OR(L39="",J39=0),"",L39/J39)</f>
        <v/>
      </c>
      <c r="N39" s="533">
        <f>IF(OR(H39="",L39=""),"",L39-H39)</f>
        <v/>
      </c>
    </row>
    <row r="40" ht="17" customHeight="1" s="438">
      <c r="A40" s="66" t="n">
        <v>35</v>
      </c>
      <c r="B40" s="67" t="inlineStr">
        <is>
          <t>そうめん</t>
        </is>
      </c>
      <c r="C40" s="161" t="inlineStr">
        <is>
          <t>釜②265ℓ</t>
        </is>
      </c>
      <c r="D40" s="155" t="n"/>
      <c r="E40" s="518" t="n">
        <v>0</v>
      </c>
      <c r="F40" s="518" t="n">
        <v>0</v>
      </c>
      <c r="G40" s="519" t="n">
        <v>100</v>
      </c>
      <c r="H40" s="92">
        <f>IF(OR(E40=0,F40=0),"",E40*F40/(G40/100))</f>
        <v/>
      </c>
      <c r="I40" s="531" t="n">
        <v>0</v>
      </c>
      <c r="J40" s="531" t="n">
        <v>0</v>
      </c>
      <c r="K40" s="532">
        <f>IF(OR(I40=0,J40=0),"",J40/I40*100)</f>
        <v/>
      </c>
      <c r="L40" s="98">
        <f>IF(OR(E40=0,I40=0,J40=0),"",E40*I40/(J40/I40))</f>
        <v/>
      </c>
      <c r="M40" s="523">
        <f>IF(OR(L40="",J40=0),"",L40/J40)</f>
        <v/>
      </c>
      <c r="N40" s="533">
        <f>IF(OR(H40="",L40=""),"",L40-H40)</f>
        <v/>
      </c>
    </row>
    <row r="41" ht="17" customHeight="1" s="438">
      <c r="A41" s="71" t="n">
        <v>36</v>
      </c>
      <c r="B41" s="72" t="inlineStr">
        <is>
          <t>キンパ　小松菜</t>
        </is>
      </c>
      <c r="C41" s="160" t="inlineStr">
        <is>
          <t>釜②265ℓ</t>
        </is>
      </c>
      <c r="D41" s="155" t="n"/>
      <c r="E41" s="518" t="n">
        <v>0</v>
      </c>
      <c r="F41" s="518" t="n">
        <v>0</v>
      </c>
      <c r="G41" s="519" t="n">
        <v>100</v>
      </c>
      <c r="H41" s="92">
        <f>IF(OR(E41=0,F41=0),"",E41*F41/(G41/100))</f>
        <v/>
      </c>
      <c r="I41" s="531" t="n">
        <v>0</v>
      </c>
      <c r="J41" s="531" t="n">
        <v>0</v>
      </c>
      <c r="K41" s="532">
        <f>IF(OR(I41=0,J41=0),"",J41/I41*100)</f>
        <v/>
      </c>
      <c r="L41" s="98">
        <f>IF(OR(E41=0,I41=0,J41=0),"",E41*I41/(J41/I41))</f>
        <v/>
      </c>
      <c r="M41" s="523">
        <f>IF(OR(L41="",J41=0),"",L41/J41)</f>
        <v/>
      </c>
      <c r="N41" s="533">
        <f>IF(OR(H41="",L41=""),"",L41-H41)</f>
        <v/>
      </c>
    </row>
    <row r="42" ht="17" customHeight="1" s="438">
      <c r="A42" s="66" t="n">
        <v>37</v>
      </c>
      <c r="B42" s="67" t="inlineStr">
        <is>
          <t>春雨　小松菜</t>
        </is>
      </c>
      <c r="C42" s="161" t="inlineStr">
        <is>
          <t>釜②265ℓ</t>
        </is>
      </c>
      <c r="D42" s="155" t="n"/>
      <c r="E42" s="518" t="n">
        <v>0</v>
      </c>
      <c r="F42" s="518" t="n">
        <v>0</v>
      </c>
      <c r="G42" s="519" t="n">
        <v>100</v>
      </c>
      <c r="H42" s="92">
        <f>IF(OR(E42=0,F42=0),"",E42*F42/(G42/100))</f>
        <v/>
      </c>
      <c r="I42" s="531" t="n">
        <v>0</v>
      </c>
      <c r="J42" s="531" t="n">
        <v>0</v>
      </c>
      <c r="K42" s="532">
        <f>IF(OR(I42=0,J42=0),"",J42/I42*100)</f>
        <v/>
      </c>
      <c r="L42" s="98">
        <f>IF(OR(E42=0,I42=0,J42=0),"",E42*I42/(J42/I42))</f>
        <v/>
      </c>
      <c r="M42" s="523">
        <f>IF(OR(L42="",J42=0),"",L42/J42)</f>
        <v/>
      </c>
      <c r="N42" s="533">
        <f>IF(OR(H42="",L42=""),"",L42-H42)</f>
        <v/>
      </c>
    </row>
    <row r="43" ht="17" customHeight="1" s="438">
      <c r="A43" s="71" t="n">
        <v>38</v>
      </c>
      <c r="B43" s="72" t="inlineStr">
        <is>
          <t>炊飯 とりミンチ</t>
        </is>
      </c>
      <c r="C43" s="160" t="inlineStr">
        <is>
          <t>釜②265ℓ</t>
        </is>
      </c>
      <c r="D43" s="155" t="n"/>
      <c r="E43" s="518" t="n">
        <v>0</v>
      </c>
      <c r="F43" s="518" t="n">
        <v>0</v>
      </c>
      <c r="G43" s="519" t="n">
        <v>100</v>
      </c>
      <c r="H43" s="92">
        <f>IF(OR(E43=0,F43=0),"",E43*F43/(G43/100))</f>
        <v/>
      </c>
      <c r="I43" s="531" t="n">
        <v>0</v>
      </c>
      <c r="J43" s="531" t="n">
        <v>0</v>
      </c>
      <c r="K43" s="532">
        <f>IF(OR(I43=0,J43=0),"",J43/I43*100)</f>
        <v/>
      </c>
      <c r="L43" s="98">
        <f>IF(OR(E43=0,I43=0,J43=0),"",E43*I43/(J43/I43))</f>
        <v/>
      </c>
      <c r="M43" s="523">
        <f>IF(OR(L43="",J43=0),"",L43/J43)</f>
        <v/>
      </c>
      <c r="N43" s="533">
        <f>IF(OR(H43="",L43=""),"",L43-H43)</f>
        <v/>
      </c>
    </row>
    <row r="44" ht="17" customHeight="1" s="438">
      <c r="A44" s="66" t="n">
        <v>39</v>
      </c>
      <c r="B44" s="67" t="inlineStr">
        <is>
          <t>辛麺　肉みそ</t>
        </is>
      </c>
      <c r="C44" s="161" t="inlineStr">
        <is>
          <t>釜②265ℓ</t>
        </is>
      </c>
      <c r="D44" s="155" t="n"/>
      <c r="E44" s="518" t="n">
        <v>0</v>
      </c>
      <c r="F44" s="518" t="n">
        <v>0</v>
      </c>
      <c r="G44" s="519" t="n">
        <v>100</v>
      </c>
      <c r="H44" s="92">
        <f>IF(OR(E44=0,F44=0),"",E44*F44/(G44/100))</f>
        <v/>
      </c>
      <c r="I44" s="531" t="n">
        <v>0</v>
      </c>
      <c r="J44" s="531" t="n">
        <v>0</v>
      </c>
      <c r="K44" s="532">
        <f>IF(OR(I44=0,J44=0),"",J44/I44*100)</f>
        <v/>
      </c>
      <c r="L44" s="98">
        <f>IF(OR(E44=0,I44=0,J44=0),"",E44*I44/(J44/I44))</f>
        <v/>
      </c>
      <c r="M44" s="523">
        <f>IF(OR(L44="",J44=0),"",L44/J44)</f>
        <v/>
      </c>
      <c r="N44" s="533">
        <f>IF(OR(H44="",L44=""),"",L44-H44)</f>
        <v/>
      </c>
    </row>
    <row r="45" ht="17" customHeight="1" s="438">
      <c r="A45" s="71" t="n">
        <v>40</v>
      </c>
      <c r="B45" s="72" t="inlineStr">
        <is>
          <t>ホルモン（焼）　ホルモン</t>
        </is>
      </c>
      <c r="C45" s="160" t="inlineStr">
        <is>
          <t>釜②265ℓ</t>
        </is>
      </c>
      <c r="D45" s="155" t="n"/>
      <c r="E45" s="518" t="n">
        <v>0</v>
      </c>
      <c r="F45" s="518" t="n">
        <v>0</v>
      </c>
      <c r="G45" s="519" t="n">
        <v>100</v>
      </c>
      <c r="H45" s="92">
        <f>IF(OR(E45=0,F45=0),"",E45*F45/(G45/100))</f>
        <v/>
      </c>
      <c r="I45" s="531" t="n">
        <v>0</v>
      </c>
      <c r="J45" s="531" t="n">
        <v>0</v>
      </c>
      <c r="K45" s="532">
        <f>IF(OR(I45=0,J45=0),"",J45/I45*100)</f>
        <v/>
      </c>
      <c r="L45" s="98">
        <f>IF(OR(E45=0,I45=0,J45=0),"",E45*I45/(J45/I45))</f>
        <v/>
      </c>
      <c r="M45" s="523">
        <f>IF(OR(L45="",J45=0),"",L45/J45)</f>
        <v/>
      </c>
      <c r="N45" s="533">
        <f>IF(OR(H45="",L45=""),"",L45-H45)</f>
        <v/>
      </c>
    </row>
    <row r="46" ht="17" customHeight="1" s="438">
      <c r="A46" s="66" t="n">
        <v>41</v>
      </c>
      <c r="B46" s="67" t="inlineStr">
        <is>
          <t>皿うどんKIT（餡）</t>
        </is>
      </c>
      <c r="C46" s="161" t="inlineStr">
        <is>
          <t>釜②265ℓ</t>
        </is>
      </c>
      <c r="D46" s="155" t="n"/>
      <c r="E46" s="518" t="n">
        <v>0</v>
      </c>
      <c r="F46" s="518" t="n">
        <v>0</v>
      </c>
      <c r="G46" s="519" t="n">
        <v>100</v>
      </c>
      <c r="H46" s="92">
        <f>IF(OR(E46=0,F46=0),"",E46*F46/(G46/100))</f>
        <v/>
      </c>
      <c r="I46" s="531" t="n">
        <v>0</v>
      </c>
      <c r="J46" s="531" t="n">
        <v>0</v>
      </c>
      <c r="K46" s="532">
        <f>IF(OR(I46=0,J46=0),"",J46/I46*100)</f>
        <v/>
      </c>
      <c r="L46" s="98">
        <f>IF(OR(E46=0,I46=0,J46=0),"",E46*I46/(J46/I46))</f>
        <v/>
      </c>
      <c r="M46" s="523">
        <f>IF(OR(L46="",J46=0),"",L46/J46)</f>
        <v/>
      </c>
      <c r="N46" s="533">
        <f>IF(OR(H46="",L46=""),"",L46-H46)</f>
        <v/>
      </c>
    </row>
    <row r="47" ht="17" customHeight="1" s="438">
      <c r="A47" s="71" t="n">
        <v>42</v>
      </c>
      <c r="B47" s="72" t="inlineStr">
        <is>
          <t>南瓜プリン</t>
        </is>
      </c>
      <c r="C47" s="160" t="inlineStr">
        <is>
          <t>釜②265ℓ</t>
        </is>
      </c>
      <c r="D47" s="155" t="n"/>
      <c r="E47" s="518" t="n">
        <v>0</v>
      </c>
      <c r="F47" s="518" t="n">
        <v>0</v>
      </c>
      <c r="G47" s="519" t="n">
        <v>100</v>
      </c>
      <c r="H47" s="92">
        <f>IF(OR(E47=0,F47=0),"",E47*F47/(G47/100))</f>
        <v/>
      </c>
      <c r="I47" s="531" t="n">
        <v>0</v>
      </c>
      <c r="J47" s="531" t="n">
        <v>0</v>
      </c>
      <c r="K47" s="532">
        <f>IF(OR(I47=0,J47=0),"",J47/I47*100)</f>
        <v/>
      </c>
      <c r="L47" s="98">
        <f>IF(OR(E47=0,I47=0,J47=0),"",E47*I47/(J47/I47))</f>
        <v/>
      </c>
      <c r="M47" s="523">
        <f>IF(OR(L47="",J47=0),"",L47/J47)</f>
        <v/>
      </c>
      <c r="N47" s="533">
        <f>IF(OR(H47="",L47=""),"",L47-H47)</f>
        <v/>
      </c>
    </row>
    <row r="48" ht="17" customHeight="1" s="438">
      <c r="A48" s="66" t="n">
        <v>43</v>
      </c>
      <c r="B48" s="67" t="inlineStr">
        <is>
          <t>春雨　タレ</t>
        </is>
      </c>
      <c r="C48" s="161" t="inlineStr">
        <is>
          <t>釜②265ℓ</t>
        </is>
      </c>
      <c r="D48" s="155" t="n"/>
      <c r="E48" s="518" t="n">
        <v>0</v>
      </c>
      <c r="F48" s="518" t="n">
        <v>0</v>
      </c>
      <c r="G48" s="519" t="n">
        <v>100</v>
      </c>
      <c r="H48" s="92">
        <f>IF(OR(E48=0,F48=0),"",E48*F48/(G48/100))</f>
        <v/>
      </c>
      <c r="I48" s="531" t="n">
        <v>0</v>
      </c>
      <c r="J48" s="531" t="n">
        <v>0</v>
      </c>
      <c r="K48" s="532">
        <f>IF(OR(I48=0,J48=0),"",J48/I48*100)</f>
        <v/>
      </c>
      <c r="L48" s="98">
        <f>IF(OR(E48=0,I48=0,J48=0),"",E48*I48/(J48/I48))</f>
        <v/>
      </c>
      <c r="M48" s="523">
        <f>IF(OR(L48="",J48=0),"",L48/J48)</f>
        <v/>
      </c>
      <c r="N48" s="533">
        <f>IF(OR(H48="",L48=""),"",L48-H48)</f>
        <v/>
      </c>
    </row>
    <row r="49" ht="17" customHeight="1" s="438">
      <c r="A49" s="71" t="n">
        <v>44</v>
      </c>
      <c r="B49" s="72" t="inlineStr">
        <is>
          <t>おはぎ</t>
        </is>
      </c>
      <c r="C49" s="162" t="inlineStr">
        <is>
          <t>釜③265ℓ</t>
        </is>
      </c>
      <c r="D49" s="155" t="n"/>
      <c r="E49" s="518" t="n">
        <v>0</v>
      </c>
      <c r="F49" s="518" t="n">
        <v>0</v>
      </c>
      <c r="G49" s="519" t="n">
        <v>100</v>
      </c>
      <c r="H49" s="92">
        <f>IF(OR(E49=0,F49=0),"",E49*F49/(G49/100))</f>
        <v/>
      </c>
      <c r="I49" s="531" t="n">
        <v>0</v>
      </c>
      <c r="J49" s="531" t="n">
        <v>0</v>
      </c>
      <c r="K49" s="532">
        <f>IF(OR(I49=0,J49=0),"",J49/I49*100)</f>
        <v/>
      </c>
      <c r="L49" s="98">
        <f>IF(OR(E49=0,I49=0,J49=0),"",E49*I49/(J49/I49))</f>
        <v/>
      </c>
      <c r="M49" s="523">
        <f>IF(OR(L49="",J49=0),"",L49/J49)</f>
        <v/>
      </c>
      <c r="N49" s="533">
        <f>IF(OR(H49="",L49=""),"",L49-H49)</f>
        <v/>
      </c>
    </row>
    <row r="50" ht="17" customHeight="1" s="438">
      <c r="A50" s="66" t="n">
        <v>45</v>
      </c>
      <c r="B50" s="67" t="inlineStr">
        <is>
          <t>じゃがいもボイル(６０K)</t>
        </is>
      </c>
      <c r="C50" s="163" t="inlineStr">
        <is>
          <t>釜③265ℓ</t>
        </is>
      </c>
      <c r="D50" s="155" t="n"/>
      <c r="E50" s="518" t="n">
        <v>0</v>
      </c>
      <c r="F50" s="518" t="n">
        <v>0</v>
      </c>
      <c r="G50" s="519" t="n">
        <v>100</v>
      </c>
      <c r="H50" s="92">
        <f>IF(OR(E50=0,F50=0),"",E50*F50/(G50/100))</f>
        <v/>
      </c>
      <c r="I50" s="531" t="n">
        <v>0</v>
      </c>
      <c r="J50" s="531" t="n">
        <v>0</v>
      </c>
      <c r="K50" s="532">
        <f>IF(OR(I50=0,J50=0),"",J50/I50*100)</f>
        <v/>
      </c>
      <c r="L50" s="98">
        <f>IF(OR(E50=0,I50=0,J50=0),"",E50*I50/(J50/I50))</f>
        <v/>
      </c>
      <c r="M50" s="523">
        <f>IF(OR(L50="",J50=0),"",L50/J50)</f>
        <v/>
      </c>
      <c r="N50" s="533">
        <f>IF(OR(H50="",L50=""),"",L50-H50)</f>
        <v/>
      </c>
    </row>
    <row r="51" ht="17" customHeight="1" s="438">
      <c r="A51" s="71" t="n">
        <v>46</v>
      </c>
      <c r="B51" s="72" t="inlineStr">
        <is>
          <t>モツ鍋　キャベツ</t>
        </is>
      </c>
      <c r="C51" s="162" t="inlineStr">
        <is>
          <t>釜③265ℓ</t>
        </is>
      </c>
      <c r="D51" s="155" t="n"/>
      <c r="E51" s="518" t="n">
        <v>0</v>
      </c>
      <c r="F51" s="518" t="n">
        <v>0</v>
      </c>
      <c r="G51" s="519" t="n">
        <v>100</v>
      </c>
      <c r="H51" s="92">
        <f>IF(OR(E51=0,F51=0),"",E51*F51/(G51/100))</f>
        <v/>
      </c>
      <c r="I51" s="531" t="n">
        <v>0</v>
      </c>
      <c r="J51" s="531" t="n">
        <v>0</v>
      </c>
      <c r="K51" s="532">
        <f>IF(OR(I51=0,J51=0),"",J51/I51*100)</f>
        <v/>
      </c>
      <c r="L51" s="98">
        <f>IF(OR(E51=0,I51=0,J51=0),"",E51*I51/(J51/I51))</f>
        <v/>
      </c>
      <c r="M51" s="523">
        <f>IF(OR(L51="",J51=0),"",L51/J51)</f>
        <v/>
      </c>
      <c r="N51" s="533">
        <f>IF(OR(H51="",L51=""),"",L51-H51)</f>
        <v/>
      </c>
    </row>
    <row r="52" ht="17" customHeight="1" s="438">
      <c r="A52" s="66" t="n">
        <v>47</v>
      </c>
      <c r="B52" s="67" t="inlineStr">
        <is>
          <t>モツ鍋　もやし</t>
        </is>
      </c>
      <c r="C52" s="163" t="inlineStr">
        <is>
          <t>釜③265ℓ</t>
        </is>
      </c>
      <c r="D52" s="155" t="n"/>
      <c r="E52" s="518" t="n">
        <v>0</v>
      </c>
      <c r="F52" s="518" t="n">
        <v>0</v>
      </c>
      <c r="G52" s="519" t="n">
        <v>100</v>
      </c>
      <c r="H52" s="92">
        <f>IF(OR(E52=0,F52=0),"",E52*F52/(G52/100))</f>
        <v/>
      </c>
      <c r="I52" s="531" t="n">
        <v>0</v>
      </c>
      <c r="J52" s="531" t="n">
        <v>0</v>
      </c>
      <c r="K52" s="532">
        <f>IF(OR(I52=0,J52=0),"",J52/I52*100)</f>
        <v/>
      </c>
      <c r="L52" s="98">
        <f>IF(OR(E52=0,I52=0,J52=0),"",E52*I52/(J52/I52))</f>
        <v/>
      </c>
      <c r="M52" s="523">
        <f>IF(OR(L52="",J52=0),"",L52/J52)</f>
        <v/>
      </c>
      <c r="N52" s="533">
        <f>IF(OR(H52="",L52=""),"",L52-H52)</f>
        <v/>
      </c>
    </row>
    <row r="53" ht="17" customHeight="1" s="438">
      <c r="A53" s="71" t="n">
        <v>48</v>
      </c>
      <c r="B53" s="72" t="inlineStr">
        <is>
          <t>モツ鍋　肉</t>
        </is>
      </c>
      <c r="C53" s="162" t="inlineStr">
        <is>
          <t>釜③265ℓ</t>
        </is>
      </c>
      <c r="D53" s="155" t="n"/>
      <c r="E53" s="518" t="n">
        <v>0</v>
      </c>
      <c r="F53" s="518" t="n">
        <v>0</v>
      </c>
      <c r="G53" s="519" t="n">
        <v>100</v>
      </c>
      <c r="H53" s="92">
        <f>IF(OR(E53=0,F53=0),"",E53*F53/(G53/100))</f>
        <v/>
      </c>
      <c r="I53" s="531" t="n">
        <v>0</v>
      </c>
      <c r="J53" s="531" t="n">
        <v>0</v>
      </c>
      <c r="K53" s="532">
        <f>IF(OR(I53=0,J53=0),"",J53/I53*100)</f>
        <v/>
      </c>
      <c r="L53" s="98">
        <f>IF(OR(E53=0,I53=0,J53=0),"",E53*I53/(J53/I53))</f>
        <v/>
      </c>
      <c r="M53" s="523">
        <f>IF(OR(L53="",J53=0),"",L53/J53)</f>
        <v/>
      </c>
      <c r="N53" s="533">
        <f>IF(OR(H53="",L53=""),"",L53-H53)</f>
        <v/>
      </c>
    </row>
    <row r="54" ht="17" customHeight="1" s="438">
      <c r="A54" s="66" t="n">
        <v>49</v>
      </c>
      <c r="B54" s="67" t="inlineStr">
        <is>
          <t>モツ鍋　スープ</t>
        </is>
      </c>
      <c r="C54" s="163" t="inlineStr">
        <is>
          <t>釜③265ℓ</t>
        </is>
      </c>
      <c r="D54" s="155" t="n"/>
      <c r="E54" s="518" t="n">
        <v>0</v>
      </c>
      <c r="F54" s="518" t="n">
        <v>0</v>
      </c>
      <c r="G54" s="519" t="n">
        <v>100</v>
      </c>
      <c r="H54" s="92">
        <f>IF(OR(E54=0,F54=0),"",E54*F54/(G54/100))</f>
        <v/>
      </c>
      <c r="I54" s="531" t="n">
        <v>0</v>
      </c>
      <c r="J54" s="531" t="n">
        <v>0</v>
      </c>
      <c r="K54" s="532">
        <f>IF(OR(I54=0,J54=0),"",J54/I54*100)</f>
        <v/>
      </c>
      <c r="L54" s="98">
        <f>IF(OR(E54=0,I54=0,J54=0),"",E54*I54/(J54/I54))</f>
        <v/>
      </c>
      <c r="M54" s="523">
        <f>IF(OR(L54="",J54=0),"",L54/J54)</f>
        <v/>
      </c>
      <c r="N54" s="533">
        <f>IF(OR(H54="",L54=""),"",L54-H54)</f>
        <v/>
      </c>
    </row>
    <row r="55" ht="17" customHeight="1" s="438">
      <c r="A55" s="71" t="n">
        <v>50</v>
      </c>
      <c r="B55" s="72" t="inlineStr">
        <is>
          <t>豚汁　野菜</t>
        </is>
      </c>
      <c r="C55" s="162" t="inlineStr">
        <is>
          <t>釜③265ℓ</t>
        </is>
      </c>
      <c r="D55" s="155" t="n"/>
      <c r="E55" s="518" t="n">
        <v>0</v>
      </c>
      <c r="F55" s="518" t="n">
        <v>0</v>
      </c>
      <c r="G55" s="519" t="n">
        <v>100</v>
      </c>
      <c r="H55" s="92">
        <f>IF(OR(E55=0,F55=0),"",E55*F55/(G55/100))</f>
        <v/>
      </c>
      <c r="I55" s="531" t="n">
        <v>0</v>
      </c>
      <c r="J55" s="531" t="n">
        <v>0</v>
      </c>
      <c r="K55" s="532">
        <f>IF(OR(I55=0,J55=0),"",J55/I55*100)</f>
        <v/>
      </c>
      <c r="L55" s="98">
        <f>IF(OR(E55=0,I55=0,J55=0),"",E55*I55/(J55/I55))</f>
        <v/>
      </c>
      <c r="M55" s="523">
        <f>IF(OR(L55="",J55=0),"",L55/J55)</f>
        <v/>
      </c>
      <c r="N55" s="533">
        <f>IF(OR(H55="",L55=""),"",L55-H55)</f>
        <v/>
      </c>
    </row>
    <row r="56" ht="17" customHeight="1" s="438">
      <c r="A56" s="66" t="n">
        <v>51</v>
      </c>
      <c r="B56" s="67" t="inlineStr">
        <is>
          <t>うどん　出汁</t>
        </is>
      </c>
      <c r="C56" s="163" t="inlineStr">
        <is>
          <t>釜③265ℓ</t>
        </is>
      </c>
      <c r="D56" s="155" t="n"/>
      <c r="E56" s="518" t="n">
        <v>0</v>
      </c>
      <c r="F56" s="518" t="n">
        <v>0</v>
      </c>
      <c r="G56" s="519" t="n">
        <v>100</v>
      </c>
      <c r="H56" s="92">
        <f>IF(OR(E56=0,F56=0),"",E56*F56/(G56/100))</f>
        <v/>
      </c>
      <c r="I56" s="531" t="n">
        <v>0</v>
      </c>
      <c r="J56" s="531" t="n">
        <v>0</v>
      </c>
      <c r="K56" s="532">
        <f>IF(OR(I56=0,J56=0),"",J56/I56*100)</f>
        <v/>
      </c>
      <c r="L56" s="98">
        <f>IF(OR(E56=0,I56=0,J56=0),"",E56*I56/(J56/I56))</f>
        <v/>
      </c>
      <c r="M56" s="523">
        <f>IF(OR(L56="",J56=0),"",L56/J56)</f>
        <v/>
      </c>
      <c r="N56" s="533">
        <f>IF(OR(H56="",L56=""),"",L56-H56)</f>
        <v/>
      </c>
    </row>
    <row r="57" ht="17" customHeight="1" s="438">
      <c r="A57" s="71" t="n">
        <v>52</v>
      </c>
      <c r="B57" s="72" t="inlineStr">
        <is>
          <t>春雨　スープ</t>
        </is>
      </c>
      <c r="C57" s="164" t="inlineStr">
        <is>
          <t>釜④265ℓ</t>
        </is>
      </c>
      <c r="D57" s="155" t="n"/>
      <c r="E57" s="518" t="n">
        <v>0</v>
      </c>
      <c r="F57" s="518" t="n">
        <v>0</v>
      </c>
      <c r="G57" s="519" t="n">
        <v>100</v>
      </c>
      <c r="H57" s="92">
        <f>IF(OR(E57=0,F57=0),"",E57*F57/(G57/100))</f>
        <v/>
      </c>
      <c r="I57" s="531" t="n">
        <v>0</v>
      </c>
      <c r="J57" s="531" t="n">
        <v>0</v>
      </c>
      <c r="K57" s="532">
        <f>IF(OR(I57=0,J57=0),"",J57/I57*100)</f>
        <v/>
      </c>
      <c r="L57" s="98">
        <f>IF(OR(E57=0,I57=0,J57=0),"",E57*I57/(J57/I57))</f>
        <v/>
      </c>
      <c r="M57" s="523">
        <f>IF(OR(L57="",J57=0),"",L57/J57)</f>
        <v/>
      </c>
      <c r="N57" s="533">
        <f>IF(OR(H57="",L57=""),"",L57-H57)</f>
        <v/>
      </c>
    </row>
    <row r="58" ht="17" customHeight="1" s="438">
      <c r="A58" s="66" t="n">
        <v>53</v>
      </c>
      <c r="B58" s="67" t="inlineStr">
        <is>
          <t>春雨　野菜</t>
        </is>
      </c>
      <c r="C58" s="165" t="inlineStr">
        <is>
          <t>釜④265ℓ</t>
        </is>
      </c>
      <c r="D58" s="155" t="n"/>
      <c r="E58" s="518" t="n">
        <v>0</v>
      </c>
      <c r="F58" s="518" t="n">
        <v>0</v>
      </c>
      <c r="G58" s="519" t="n">
        <v>100</v>
      </c>
      <c r="H58" s="92">
        <f>IF(OR(E58=0,F58=0),"",E58*F58/(G58/100))</f>
        <v/>
      </c>
      <c r="I58" s="531" t="n">
        <v>0</v>
      </c>
      <c r="J58" s="531" t="n">
        <v>0</v>
      </c>
      <c r="K58" s="532">
        <f>IF(OR(I58=0,J58=0),"",J58/I58*100)</f>
        <v/>
      </c>
      <c r="L58" s="98">
        <f>IF(OR(E58=0,I58=0,J58=0),"",E58*I58/(J58/I58))</f>
        <v/>
      </c>
      <c r="M58" s="523">
        <f>IF(OR(L58="",J58=0),"",L58/J58)</f>
        <v/>
      </c>
      <c r="N58" s="533">
        <f>IF(OR(H58="",L58=""),"",L58-H58)</f>
        <v/>
      </c>
    </row>
    <row r="59" ht="17" customHeight="1" s="438">
      <c r="A59" s="71" t="n">
        <v>54</v>
      </c>
      <c r="B59" s="72" t="inlineStr">
        <is>
          <t>にんにくラーメン　野菜</t>
        </is>
      </c>
      <c r="C59" s="164" t="inlineStr">
        <is>
          <t>釜④265ℓ</t>
        </is>
      </c>
      <c r="D59" s="155" t="n"/>
      <c r="E59" s="518" t="n">
        <v>0</v>
      </c>
      <c r="F59" s="518" t="n">
        <v>0</v>
      </c>
      <c r="G59" s="519" t="n">
        <v>100</v>
      </c>
      <c r="H59" s="92">
        <f>IF(OR(E59=0,F59=0),"",E59*F59/(G59/100))</f>
        <v/>
      </c>
      <c r="I59" s="531" t="n">
        <v>0</v>
      </c>
      <c r="J59" s="531" t="n">
        <v>0</v>
      </c>
      <c r="K59" s="532">
        <f>IF(OR(I59=0,J59=0),"",J59/I59*100)</f>
        <v/>
      </c>
      <c r="L59" s="98">
        <f>IF(OR(E59=0,I59=0,J59=0),"",E59*I59/(J59/I59))</f>
        <v/>
      </c>
      <c r="M59" s="523">
        <f>IF(OR(L59="",J59=0),"",L59/J59)</f>
        <v/>
      </c>
      <c r="N59" s="533">
        <f>IF(OR(H59="",L59=""),"",L59-H59)</f>
        <v/>
      </c>
    </row>
    <row r="60" ht="17" customHeight="1" s="438">
      <c r="A60" s="66" t="n">
        <v>55</v>
      </c>
      <c r="B60" s="67" t="inlineStr">
        <is>
          <t>ホルモン（焼）　うどん</t>
        </is>
      </c>
      <c r="C60" s="165" t="inlineStr">
        <is>
          <t>釜④265ℓ</t>
        </is>
      </c>
      <c r="D60" s="155" t="n"/>
      <c r="E60" s="518" t="n">
        <v>0</v>
      </c>
      <c r="F60" s="518" t="n">
        <v>0</v>
      </c>
      <c r="G60" s="519" t="n">
        <v>100</v>
      </c>
      <c r="H60" s="92">
        <f>IF(OR(E60=0,F60=0),"",E60*F60/(G60/100))</f>
        <v/>
      </c>
      <c r="I60" s="531" t="n">
        <v>0</v>
      </c>
      <c r="J60" s="531" t="n">
        <v>0</v>
      </c>
      <c r="K60" s="532">
        <f>IF(OR(I60=0,J60=0),"",J60/I60*100)</f>
        <v/>
      </c>
      <c r="L60" s="98">
        <f>IF(OR(E60=0,I60=0,J60=0),"",E60*I60/(J60/I60))</f>
        <v/>
      </c>
      <c r="M60" s="523">
        <f>IF(OR(L60="",J60=0),"",L60/J60)</f>
        <v/>
      </c>
      <c r="N60" s="533">
        <f>IF(OR(H60="",L60=""),"",L60-H60)</f>
        <v/>
      </c>
    </row>
    <row r="61" ht="17" customHeight="1" s="438">
      <c r="A61" s="71" t="n">
        <v>56</v>
      </c>
      <c r="B61" s="72" t="inlineStr">
        <is>
          <t>コーヒーゼリー</t>
        </is>
      </c>
      <c r="C61" s="164" t="inlineStr">
        <is>
          <t>釜④265ℓ</t>
        </is>
      </c>
      <c r="D61" s="155" t="n"/>
      <c r="E61" s="518" t="n">
        <v>0</v>
      </c>
      <c r="F61" s="518" t="n">
        <v>0</v>
      </c>
      <c r="G61" s="519" t="n">
        <v>100</v>
      </c>
      <c r="H61" s="92">
        <f>IF(OR(E61=0,F61=0),"",E61*F61/(G61/100))</f>
        <v/>
      </c>
      <c r="I61" s="531" t="n">
        <v>0</v>
      </c>
      <c r="J61" s="531" t="n">
        <v>0</v>
      </c>
      <c r="K61" s="532">
        <f>IF(OR(I61=0,J61=0),"",J61/I61*100)</f>
        <v/>
      </c>
      <c r="L61" s="98">
        <f>IF(OR(E61=0,I61=0,J61=0),"",E61*I61/(J61/I61))</f>
        <v/>
      </c>
      <c r="M61" s="523">
        <f>IF(OR(L61="",J61=0),"",L61/J61)</f>
        <v/>
      </c>
      <c r="N61" s="533">
        <f>IF(OR(H61="",L61=""),"",L61-H61)</f>
        <v/>
      </c>
    </row>
    <row r="62" ht="17" customHeight="1" s="438">
      <c r="A62" s="66" t="n">
        <v>57</v>
      </c>
      <c r="B62" s="67" t="inlineStr">
        <is>
          <t>豚角煮</t>
        </is>
      </c>
      <c r="C62" s="165" t="inlineStr">
        <is>
          <t>釜④265ℓ</t>
        </is>
      </c>
      <c r="D62" s="155" t="n"/>
      <c r="E62" s="518" t="n">
        <v>0</v>
      </c>
      <c r="F62" s="518" t="n">
        <v>0</v>
      </c>
      <c r="G62" s="519" t="n">
        <v>100</v>
      </c>
      <c r="H62" s="92">
        <f>IF(OR(E62=0,F62=0),"",E62*F62/(G62/100))</f>
        <v/>
      </c>
      <c r="I62" s="531" t="n">
        <v>0</v>
      </c>
      <c r="J62" s="531" t="n">
        <v>0</v>
      </c>
      <c r="K62" s="532">
        <f>IF(OR(I62=0,J62=0),"",J62/I62*100)</f>
        <v/>
      </c>
      <c r="L62" s="98">
        <f>IF(OR(E62=0,I62=0,J62=0),"",E62*I62/(J62/I62))</f>
        <v/>
      </c>
      <c r="M62" s="523">
        <f>IF(OR(L62="",J62=0),"",L62/J62)</f>
        <v/>
      </c>
      <c r="N62" s="533">
        <f>IF(OR(H62="",L62=""),"",L62-H62)</f>
        <v/>
      </c>
    </row>
    <row r="63" ht="17" customHeight="1" s="438">
      <c r="A63" s="71" t="n">
        <v>58</v>
      </c>
      <c r="B63" s="72" t="inlineStr">
        <is>
          <t>筑前煮（下地）</t>
        </is>
      </c>
      <c r="C63" s="166" t="inlineStr">
        <is>
          <t>釜⑤200ℓ</t>
        </is>
      </c>
      <c r="D63" s="155" t="n"/>
      <c r="E63" s="518" t="n">
        <v>0</v>
      </c>
      <c r="F63" s="518" t="n">
        <v>0</v>
      </c>
      <c r="G63" s="519" t="n">
        <v>100</v>
      </c>
      <c r="H63" s="92">
        <f>IF(OR(E63=0,F63=0),"",E63*F63/(G63/100))</f>
        <v/>
      </c>
      <c r="I63" s="531" t="n">
        <v>0</v>
      </c>
      <c r="J63" s="531" t="n">
        <v>0</v>
      </c>
      <c r="K63" s="532">
        <f>IF(OR(I63=0,J63=0),"",J63/I63*100)</f>
        <v/>
      </c>
      <c r="L63" s="98">
        <f>IF(OR(E63=0,I63=0,J63=0),"",E63*I63/(J63/I63))</f>
        <v/>
      </c>
      <c r="M63" s="523">
        <f>IF(OR(L63="",J63=0),"",L63/J63)</f>
        <v/>
      </c>
      <c r="N63" s="533">
        <f>IF(OR(H63="",L63=""),"",L63-H63)</f>
        <v/>
      </c>
    </row>
    <row r="64" ht="17" customHeight="1" s="438">
      <c r="A64" s="66" t="n">
        <v>59</v>
      </c>
      <c r="B64" s="67" t="inlineStr">
        <is>
          <t>高菜炒め（おにぎり）</t>
        </is>
      </c>
      <c r="C64" s="167" t="inlineStr">
        <is>
          <t>釜⑤200ℓ</t>
        </is>
      </c>
      <c r="D64" s="155" t="n"/>
      <c r="E64" s="518" t="n">
        <v>0</v>
      </c>
      <c r="F64" s="518" t="n">
        <v>0</v>
      </c>
      <c r="G64" s="519" t="n">
        <v>100</v>
      </c>
      <c r="H64" s="92">
        <f>IF(OR(E64=0,F64=0),"",E64*F64/(G64/100))</f>
        <v/>
      </c>
      <c r="I64" s="531" t="n">
        <v>0</v>
      </c>
      <c r="J64" s="531" t="n">
        <v>0</v>
      </c>
      <c r="K64" s="532">
        <f>IF(OR(I64=0,J64=0),"",J64/I64*100)</f>
        <v/>
      </c>
      <c r="L64" s="98">
        <f>IF(OR(E64=0,I64=0,J64=0),"",E64*I64/(J64/I64))</f>
        <v/>
      </c>
      <c r="M64" s="523">
        <f>IF(OR(L64="",J64=0),"",L64/J64)</f>
        <v/>
      </c>
      <c r="N64" s="533">
        <f>IF(OR(H64="",L64=""),"",L64-H64)</f>
        <v/>
      </c>
    </row>
    <row r="65" ht="17" customHeight="1" s="438">
      <c r="A65" s="71" t="n">
        <v>60</v>
      </c>
      <c r="B65" s="72" t="inlineStr">
        <is>
          <t>スパボイル（1.7mm）</t>
        </is>
      </c>
      <c r="C65" s="166" t="inlineStr">
        <is>
          <t>釜⑤200ℓ</t>
        </is>
      </c>
      <c r="D65" s="155" t="n"/>
      <c r="E65" s="518" t="n">
        <v>0</v>
      </c>
      <c r="F65" s="518" t="n">
        <v>0</v>
      </c>
      <c r="G65" s="519" t="n">
        <v>100</v>
      </c>
      <c r="H65" s="92">
        <f>IF(OR(E65=0,F65=0),"",E65*F65/(G65/100))</f>
        <v/>
      </c>
      <c r="I65" s="531" t="n">
        <v>0</v>
      </c>
      <c r="J65" s="531" t="n">
        <v>0</v>
      </c>
      <c r="K65" s="532">
        <f>IF(OR(I65=0,J65=0),"",J65/I65*100)</f>
        <v/>
      </c>
      <c r="L65" s="98">
        <f>IF(OR(E65=0,I65=0,J65=0),"",E65*I65/(J65/I65))</f>
        <v/>
      </c>
      <c r="M65" s="523">
        <f>IF(OR(L65="",J65=0),"",L65/J65)</f>
        <v/>
      </c>
      <c r="N65" s="533">
        <f>IF(OR(H65="",L65=""),"",L65-H65)</f>
        <v/>
      </c>
    </row>
    <row r="66" ht="17" customHeight="1" s="438">
      <c r="A66" s="66" t="n">
        <v>61</v>
      </c>
      <c r="B66" s="67" t="inlineStr">
        <is>
          <t>スパサラボイル</t>
        </is>
      </c>
      <c r="C66" s="167" t="inlineStr">
        <is>
          <t>釜⑤200ℓ</t>
        </is>
      </c>
      <c r="D66" s="155" t="n"/>
      <c r="E66" s="518" t="n">
        <v>0</v>
      </c>
      <c r="F66" s="518" t="n">
        <v>0</v>
      </c>
      <c r="G66" s="519" t="n">
        <v>100</v>
      </c>
      <c r="H66" s="92">
        <f>IF(OR(E66=0,F66=0),"",E66*F66/(G66/100))</f>
        <v/>
      </c>
      <c r="I66" s="531" t="n">
        <v>0</v>
      </c>
      <c r="J66" s="531" t="n">
        <v>0</v>
      </c>
      <c r="K66" s="532">
        <f>IF(OR(I66=0,J66=0),"",J66/I66*100)</f>
        <v/>
      </c>
      <c r="L66" s="98">
        <f>IF(OR(E66=0,I66=0,J66=0),"",E66*I66/(J66/I66))</f>
        <v/>
      </c>
      <c r="M66" s="523">
        <f>IF(OR(L66="",J66=0),"",L66/J66)</f>
        <v/>
      </c>
      <c r="N66" s="533">
        <f>IF(OR(H66="",L66=""),"",L66-H66)</f>
        <v/>
      </c>
    </row>
    <row r="67" ht="17" customHeight="1" s="438">
      <c r="A67" s="71" t="n">
        <v>62</v>
      </c>
      <c r="B67" s="72" t="inlineStr">
        <is>
          <t>五目チラシ　しめじ</t>
        </is>
      </c>
      <c r="C67" s="166" t="inlineStr">
        <is>
          <t>釜⑤200ℓ</t>
        </is>
      </c>
      <c r="D67" s="155" t="n"/>
      <c r="E67" s="518" t="n">
        <v>0</v>
      </c>
      <c r="F67" s="518" t="n">
        <v>0</v>
      </c>
      <c r="G67" s="519" t="n">
        <v>100</v>
      </c>
      <c r="H67" s="92">
        <f>IF(OR(E67=0,F67=0),"",E67*F67/(G67/100))</f>
        <v/>
      </c>
      <c r="I67" s="531" t="n">
        <v>0</v>
      </c>
      <c r="J67" s="531" t="n">
        <v>0</v>
      </c>
      <c r="K67" s="532">
        <f>IF(OR(I67=0,J67=0),"",J67/I67*100)</f>
        <v/>
      </c>
      <c r="L67" s="98">
        <f>IF(OR(E67=0,I67=0,J67=0),"",E67*I67/(J67/I67))</f>
        <v/>
      </c>
      <c r="M67" s="523">
        <f>IF(OR(L67="",J67=0),"",L67/J67)</f>
        <v/>
      </c>
      <c r="N67" s="533">
        <f>IF(OR(H67="",L67=""),"",L67-H67)</f>
        <v/>
      </c>
    </row>
    <row r="68" ht="17" customHeight="1" s="438">
      <c r="A68" s="66" t="n">
        <v>63</v>
      </c>
      <c r="B68" s="67" t="inlineStr">
        <is>
          <t>レンコン煮</t>
        </is>
      </c>
      <c r="C68" s="167" t="inlineStr">
        <is>
          <t>釜⑤200ℓ</t>
        </is>
      </c>
      <c r="D68" s="155" t="n"/>
      <c r="E68" s="518" t="n">
        <v>0</v>
      </c>
      <c r="F68" s="518" t="n">
        <v>0</v>
      </c>
      <c r="G68" s="519" t="n">
        <v>100</v>
      </c>
      <c r="H68" s="92">
        <f>IF(OR(E68=0,F68=0),"",E68*F68/(G68/100))</f>
        <v/>
      </c>
      <c r="I68" s="531" t="n">
        <v>0</v>
      </c>
      <c r="J68" s="531" t="n">
        <v>0</v>
      </c>
      <c r="K68" s="532">
        <f>IF(OR(I68=0,J68=0),"",J68/I68*100)</f>
        <v/>
      </c>
      <c r="L68" s="98">
        <f>IF(OR(E68=0,I68=0,J68=0),"",E68*I68/(J68/I68))</f>
        <v/>
      </c>
      <c r="M68" s="523">
        <f>IF(OR(L68="",J68=0),"",L68/J68)</f>
        <v/>
      </c>
      <c r="N68" s="533">
        <f>IF(OR(H68="",L68=""),"",L68-H68)</f>
        <v/>
      </c>
    </row>
    <row r="69" ht="17" customHeight="1" s="438">
      <c r="A69" s="71" t="n">
        <v>64</v>
      </c>
      <c r="B69" s="72" t="inlineStr">
        <is>
          <t>特製幕の内　小松菜</t>
        </is>
      </c>
      <c r="C69" s="166" t="inlineStr">
        <is>
          <t>釜⑤200ℓ</t>
        </is>
      </c>
      <c r="D69" s="155" t="n"/>
      <c r="E69" s="518" t="n">
        <v>0</v>
      </c>
      <c r="F69" s="518" t="n">
        <v>0</v>
      </c>
      <c r="G69" s="519" t="n">
        <v>100</v>
      </c>
      <c r="H69" s="92">
        <f>IF(OR(E69=0,F69=0),"",E69*F69/(G69/100))</f>
        <v/>
      </c>
      <c r="I69" s="531" t="n">
        <v>0</v>
      </c>
      <c r="J69" s="531" t="n">
        <v>0</v>
      </c>
      <c r="K69" s="532">
        <f>IF(OR(I69=0,J69=0),"",J69/I69*100)</f>
        <v/>
      </c>
      <c r="L69" s="98">
        <f>IF(OR(E69=0,I69=0,J69=0),"",E69*I69/(J69/I69))</f>
        <v/>
      </c>
      <c r="M69" s="523">
        <f>IF(OR(L69="",J69=0),"",L69/J69)</f>
        <v/>
      </c>
      <c r="N69" s="533">
        <f>IF(OR(H69="",L69=""),"",L69-H69)</f>
        <v/>
      </c>
    </row>
    <row r="70" ht="17" customHeight="1" s="438">
      <c r="A70" s="66" t="n">
        <v>65</v>
      </c>
      <c r="B70" s="67" t="inlineStr">
        <is>
          <t>特製幕の内　タレ</t>
        </is>
      </c>
      <c r="C70" s="167" t="inlineStr">
        <is>
          <t>釜⑤200ℓ</t>
        </is>
      </c>
      <c r="D70" s="155" t="n"/>
      <c r="E70" s="518" t="n">
        <v>0</v>
      </c>
      <c r="F70" s="518" t="n">
        <v>0</v>
      </c>
      <c r="G70" s="519" t="n">
        <v>100</v>
      </c>
      <c r="H70" s="92">
        <f>IF(OR(E70=0,F70=0),"",E70*F70/(G70/100))</f>
        <v/>
      </c>
      <c r="I70" s="531" t="n">
        <v>0</v>
      </c>
      <c r="J70" s="531" t="n">
        <v>0</v>
      </c>
      <c r="K70" s="532">
        <f>IF(OR(I70=0,J70=0),"",J70/I70*100)</f>
        <v/>
      </c>
      <c r="L70" s="98">
        <f>IF(OR(E70=0,I70=0,J70=0),"",E70*I70/(J70/I70))</f>
        <v/>
      </c>
      <c r="M70" s="523">
        <f>IF(OR(L70="",J70=0),"",L70/J70)</f>
        <v/>
      </c>
      <c r="N70" s="533">
        <f>IF(OR(H70="",L70=""),"",L70-H70)</f>
        <v/>
      </c>
    </row>
    <row r="71" ht="17" customHeight="1" s="438">
      <c r="A71" s="71" t="n">
        <v>66</v>
      </c>
      <c r="B71" s="72" t="inlineStr">
        <is>
          <t>タルタルソース（玉ねぎボイル）</t>
        </is>
      </c>
      <c r="C71" s="166" t="inlineStr">
        <is>
          <t>釜⑤200ℓ</t>
        </is>
      </c>
      <c r="D71" s="155" t="n"/>
      <c r="E71" s="518" t="n">
        <v>0</v>
      </c>
      <c r="F71" s="518" t="n">
        <v>0</v>
      </c>
      <c r="G71" s="519" t="n">
        <v>100</v>
      </c>
      <c r="H71" s="92">
        <f>IF(OR(E71=0,F71=0),"",E71*F71/(G71/100))</f>
        <v/>
      </c>
      <c r="I71" s="531" t="n">
        <v>0</v>
      </c>
      <c r="J71" s="531" t="n">
        <v>0</v>
      </c>
      <c r="K71" s="532">
        <f>IF(OR(I71=0,J71=0),"",J71/I71*100)</f>
        <v/>
      </c>
      <c r="L71" s="98">
        <f>IF(OR(E71=0,I71=0,J71=0),"",E71*I71/(J71/I71))</f>
        <v/>
      </c>
      <c r="M71" s="523">
        <f>IF(OR(L71="",J71=0),"",L71/J71)</f>
        <v/>
      </c>
      <c r="N71" s="533">
        <f>IF(OR(H71="",L71=""),"",L71-H71)</f>
        <v/>
      </c>
    </row>
    <row r="72" ht="17" customHeight="1" s="438">
      <c r="A72" s="66" t="n">
        <v>67</v>
      </c>
      <c r="B72" s="67" t="inlineStr">
        <is>
          <t>辛麺　玉子</t>
        </is>
      </c>
      <c r="C72" s="167" t="inlineStr">
        <is>
          <t>釜⑤200ℓ</t>
        </is>
      </c>
      <c r="D72" s="155" t="n"/>
      <c r="E72" s="518" t="n">
        <v>0</v>
      </c>
      <c r="F72" s="518" t="n">
        <v>0</v>
      </c>
      <c r="G72" s="519" t="n">
        <v>100</v>
      </c>
      <c r="H72" s="92">
        <f>IF(OR(E72=0,F72=0),"",E72*F72/(G72/100))</f>
        <v/>
      </c>
      <c r="I72" s="531" t="n">
        <v>0</v>
      </c>
      <c r="J72" s="531" t="n">
        <v>0</v>
      </c>
      <c r="K72" s="532">
        <f>IF(OR(I72=0,J72=0),"",J72/I72*100)</f>
        <v/>
      </c>
      <c r="L72" s="98">
        <f>IF(OR(E72=0,I72=0,J72=0),"",E72*I72/(J72/I72))</f>
        <v/>
      </c>
      <c r="M72" s="523">
        <f>IF(OR(L72="",J72=0),"",L72/J72)</f>
        <v/>
      </c>
      <c r="N72" s="533">
        <f>IF(OR(H72="",L72=""),"",L72-H72)</f>
        <v/>
      </c>
    </row>
    <row r="73" ht="17" customHeight="1" s="438">
      <c r="A73" s="71" t="n">
        <v>68</v>
      </c>
      <c r="B73" s="72" t="inlineStr">
        <is>
          <t>芋プリン</t>
        </is>
      </c>
      <c r="C73" s="166" t="inlineStr">
        <is>
          <t>釜⑤200ℓ</t>
        </is>
      </c>
      <c r="D73" s="155" t="n"/>
      <c r="E73" s="518" t="n">
        <v>0</v>
      </c>
      <c r="F73" s="518" t="n">
        <v>0</v>
      </c>
      <c r="G73" s="519" t="n">
        <v>100</v>
      </c>
      <c r="H73" s="92">
        <f>IF(OR(E73=0,F73=0),"",E73*F73/(G73/100))</f>
        <v/>
      </c>
      <c r="I73" s="531" t="n">
        <v>0</v>
      </c>
      <c r="J73" s="531" t="n">
        <v>0</v>
      </c>
      <c r="K73" s="532">
        <f>IF(OR(I73=0,J73=0),"",J73/I73*100)</f>
        <v/>
      </c>
      <c r="L73" s="98">
        <f>IF(OR(E73=0,I73=0,J73=0),"",E73*I73/(J73/I73))</f>
        <v/>
      </c>
      <c r="M73" s="523">
        <f>IF(OR(L73="",J73=0),"",L73/J73)</f>
        <v/>
      </c>
      <c r="N73" s="533">
        <f>IF(OR(H73="",L73=""),"",L73-H73)</f>
        <v/>
      </c>
    </row>
    <row r="74" ht="17" customHeight="1" s="438">
      <c r="A74" s="66" t="n">
        <v>69</v>
      </c>
      <c r="B74" s="67" t="inlineStr">
        <is>
          <t>みたらし　タレ</t>
        </is>
      </c>
      <c r="C74" s="167" t="inlineStr">
        <is>
          <t>釜⑤200ℓ</t>
        </is>
      </c>
      <c r="D74" s="155" t="n"/>
      <c r="E74" s="518" t="n">
        <v>0</v>
      </c>
      <c r="F74" s="518" t="n">
        <v>0</v>
      </c>
      <c r="G74" s="519" t="n">
        <v>100</v>
      </c>
      <c r="H74" s="92">
        <f>IF(OR(E74=0,F74=0),"",E74*F74/(G74/100))</f>
        <v/>
      </c>
      <c r="I74" s="531" t="n">
        <v>0</v>
      </c>
      <c r="J74" s="531" t="n">
        <v>0</v>
      </c>
      <c r="K74" s="532">
        <f>IF(OR(I74=0,J74=0),"",J74/I74*100)</f>
        <v/>
      </c>
      <c r="L74" s="98">
        <f>IF(OR(E74=0,I74=0,J74=0),"",E74*I74/(J74/I74))</f>
        <v/>
      </c>
      <c r="M74" s="523">
        <f>IF(OR(L74="",J74=0),"",L74/J74)</f>
        <v/>
      </c>
      <c r="N74" s="533">
        <f>IF(OR(H74="",L74=""),"",L74-H74)</f>
        <v/>
      </c>
    </row>
    <row r="75" ht="17" customHeight="1" s="438">
      <c r="A75" s="71" t="n">
        <v>70</v>
      </c>
      <c r="B75" s="72" t="inlineStr">
        <is>
          <t>梅ひじき</t>
        </is>
      </c>
      <c r="C75" s="166" t="inlineStr">
        <is>
          <t>釜⑤200ℓ</t>
        </is>
      </c>
      <c r="D75" s="155" t="n"/>
      <c r="E75" s="518" t="n">
        <v>0</v>
      </c>
      <c r="F75" s="518" t="n">
        <v>0</v>
      </c>
      <c r="G75" s="519" t="n">
        <v>100</v>
      </c>
      <c r="H75" s="92">
        <f>IF(OR(E75=0,F75=0),"",E75*F75/(G75/100))</f>
        <v/>
      </c>
      <c r="I75" s="531" t="n">
        <v>0</v>
      </c>
      <c r="J75" s="531" t="n">
        <v>0</v>
      </c>
      <c r="K75" s="532">
        <f>IF(OR(I75=0,J75=0),"",J75/I75*100)</f>
        <v/>
      </c>
      <c r="L75" s="98">
        <f>IF(OR(E75=0,I75=0,J75=0),"",E75*I75/(J75/I75))</f>
        <v/>
      </c>
      <c r="M75" s="523">
        <f>IF(OR(L75="",J75=0),"",L75/J75)</f>
        <v/>
      </c>
      <c r="N75" s="533">
        <f>IF(OR(H75="",L75=""),"",L75-H75)</f>
        <v/>
      </c>
    </row>
    <row r="76" ht="17" customHeight="1" s="438">
      <c r="A76" s="66" t="n">
        <v>71</v>
      </c>
      <c r="B76" s="67" t="inlineStr">
        <is>
          <t>アジ南蛮</t>
        </is>
      </c>
      <c r="C76" s="167" t="inlineStr">
        <is>
          <t>釜⑤200ℓ</t>
        </is>
      </c>
      <c r="D76" s="155" t="n"/>
      <c r="E76" s="518" t="n">
        <v>0</v>
      </c>
      <c r="F76" s="518" t="n">
        <v>0</v>
      </c>
      <c r="G76" s="519" t="n">
        <v>100</v>
      </c>
      <c r="H76" s="92">
        <f>IF(OR(E76=0,F76=0),"",E76*F76/(G76/100))</f>
        <v/>
      </c>
      <c r="I76" s="531" t="n">
        <v>0</v>
      </c>
      <c r="J76" s="531" t="n">
        <v>0</v>
      </c>
      <c r="K76" s="532">
        <f>IF(OR(I76=0,J76=0),"",J76/I76*100)</f>
        <v/>
      </c>
      <c r="L76" s="98">
        <f>IF(OR(E76=0,I76=0,J76=0),"",E76*I76/(J76/I76))</f>
        <v/>
      </c>
      <c r="M76" s="523">
        <f>IF(OR(L76="",J76=0),"",L76/J76)</f>
        <v/>
      </c>
      <c r="N76" s="533">
        <f>IF(OR(H76="",L76=""),"",L76-H76)</f>
        <v/>
      </c>
    </row>
    <row r="77" ht="17" customHeight="1" s="438">
      <c r="A77" s="71" t="n">
        <v>72</v>
      </c>
      <c r="B77" s="72" t="inlineStr">
        <is>
          <t>筑前煮（ごぼう）</t>
        </is>
      </c>
      <c r="C77" s="166" t="inlineStr">
        <is>
          <t>釜⑤200ℓ</t>
        </is>
      </c>
      <c r="D77" s="155" t="n"/>
      <c r="E77" s="518" t="n">
        <v>0</v>
      </c>
      <c r="F77" s="518" t="n">
        <v>0</v>
      </c>
      <c r="G77" s="519" t="n">
        <v>100</v>
      </c>
      <c r="H77" s="92">
        <f>IF(OR(E77=0,F77=0),"",E77*F77/(G77/100))</f>
        <v/>
      </c>
      <c r="I77" s="531" t="n">
        <v>0</v>
      </c>
      <c r="J77" s="531" t="n">
        <v>0</v>
      </c>
      <c r="K77" s="532">
        <f>IF(OR(I77=0,J77=0),"",J77/I77*100)</f>
        <v/>
      </c>
      <c r="L77" s="98">
        <f>IF(OR(E77=0,I77=0,J77=0),"",E77*I77/(J77/I77))</f>
        <v/>
      </c>
      <c r="M77" s="523">
        <f>IF(OR(L77="",J77=0),"",L77/J77)</f>
        <v/>
      </c>
      <c r="N77" s="533">
        <f>IF(OR(H77="",L77=""),"",L77-H77)</f>
        <v/>
      </c>
    </row>
    <row r="78" ht="17" customHeight="1" s="438">
      <c r="A78" s="66" t="n">
        <v>73</v>
      </c>
      <c r="B78" s="67" t="inlineStr">
        <is>
          <t>バターチキンカレー</t>
        </is>
      </c>
      <c r="C78" s="168" t="inlineStr">
        <is>
          <t>スチコン①</t>
        </is>
      </c>
      <c r="D78" s="155" t="n"/>
      <c r="E78" s="518" t="n">
        <v>0</v>
      </c>
      <c r="F78" s="518" t="n">
        <v>0</v>
      </c>
      <c r="G78" s="519" t="n">
        <v>100</v>
      </c>
      <c r="H78" s="92">
        <f>IF(OR(E78=0,F78=0),"",E78*F78/(G78/100))</f>
        <v/>
      </c>
      <c r="I78" s="531" t="n">
        <v>0</v>
      </c>
      <c r="J78" s="531" t="n">
        <v>0</v>
      </c>
      <c r="K78" s="532">
        <f>IF(OR(I78=0,J78=0),"",J78/I78*100)</f>
        <v/>
      </c>
      <c r="L78" s="98">
        <f>IF(OR(E78=0,I78=0,J78=0),"",E78*I78/(J78/I78))</f>
        <v/>
      </c>
      <c r="M78" s="523">
        <f>IF(OR(L78="",J78=0),"",L78/J78)</f>
        <v/>
      </c>
      <c r="N78" s="533">
        <f>IF(OR(H78="",L78=""),"",L78-H78)</f>
        <v/>
      </c>
    </row>
    <row r="79" ht="17" customHeight="1" s="438">
      <c r="A79" s="71" t="n">
        <v>74</v>
      </c>
      <c r="B79" s="72" t="inlineStr">
        <is>
          <t>ミートボール</t>
        </is>
      </c>
      <c r="C79" s="169" t="inlineStr">
        <is>
          <t>スチコン①</t>
        </is>
      </c>
      <c r="D79" s="155" t="n"/>
      <c r="E79" s="518" t="n">
        <v>0</v>
      </c>
      <c r="F79" s="518" t="n">
        <v>0</v>
      </c>
      <c r="G79" s="519" t="n">
        <v>100</v>
      </c>
      <c r="H79" s="92">
        <f>IF(OR(E79=0,F79=0),"",E79*F79/(G79/100))</f>
        <v/>
      </c>
      <c r="I79" s="531" t="n">
        <v>0</v>
      </c>
      <c r="J79" s="531" t="n">
        <v>0</v>
      </c>
      <c r="K79" s="532">
        <f>IF(OR(I79=0,J79=0),"",J79/I79*100)</f>
        <v/>
      </c>
      <c r="L79" s="98">
        <f>IF(OR(E79=0,I79=0,J79=0),"",E79*I79/(J79/I79))</f>
        <v/>
      </c>
      <c r="M79" s="523">
        <f>IF(OR(L79="",J79=0),"",L79/J79)</f>
        <v/>
      </c>
      <c r="N79" s="533">
        <f>IF(OR(H79="",L79=""),"",L79-H79)</f>
        <v/>
      </c>
    </row>
    <row r="80" ht="17" customHeight="1" s="438">
      <c r="A80" s="66" t="n">
        <v>75</v>
      </c>
      <c r="B80" s="67" t="inlineStr">
        <is>
          <t>焼きそば</t>
        </is>
      </c>
      <c r="C80" s="168" t="inlineStr">
        <is>
          <t>スチコン①</t>
        </is>
      </c>
      <c r="D80" s="155" t="n"/>
      <c r="E80" s="518" t="n">
        <v>0</v>
      </c>
      <c r="F80" s="518" t="n">
        <v>0</v>
      </c>
      <c r="G80" s="519" t="n">
        <v>100</v>
      </c>
      <c r="H80" s="92">
        <f>IF(OR(E80=0,F80=0),"",E80*F80/(G80/100))</f>
        <v/>
      </c>
      <c r="I80" s="531" t="n">
        <v>0</v>
      </c>
      <c r="J80" s="531" t="n">
        <v>0</v>
      </c>
      <c r="K80" s="532">
        <f>IF(OR(I80=0,J80=0),"",J80/I80*100)</f>
        <v/>
      </c>
      <c r="L80" s="98">
        <f>IF(OR(E80=0,I80=0,J80=0),"",E80*I80/(J80/I80))</f>
        <v/>
      </c>
      <c r="M80" s="523">
        <f>IF(OR(L80="",J80=0),"",L80/J80)</f>
        <v/>
      </c>
      <c r="N80" s="533">
        <f>IF(OR(H80="",L80=""),"",L80-H80)</f>
        <v/>
      </c>
    </row>
    <row r="81" ht="17" customHeight="1" s="438">
      <c r="A81" s="71" t="n">
        <v>76</v>
      </c>
      <c r="B81" s="72" t="inlineStr">
        <is>
          <t>玉子サンド</t>
        </is>
      </c>
      <c r="C81" s="169" t="inlineStr">
        <is>
          <t>スチコン①</t>
        </is>
      </c>
      <c r="D81" s="155" t="n"/>
      <c r="E81" s="518" t="n">
        <v>0</v>
      </c>
      <c r="F81" s="518" t="n">
        <v>0</v>
      </c>
      <c r="G81" s="519" t="n">
        <v>100</v>
      </c>
      <c r="H81" s="92">
        <f>IF(OR(E81=0,F81=0),"",E81*F81/(G81/100))</f>
        <v/>
      </c>
      <c r="I81" s="531" t="n">
        <v>0</v>
      </c>
      <c r="J81" s="531" t="n">
        <v>0</v>
      </c>
      <c r="K81" s="532">
        <f>IF(OR(I81=0,J81=0),"",J81/I81*100)</f>
        <v/>
      </c>
      <c r="L81" s="98">
        <f>IF(OR(E81=0,I81=0,J81=0),"",E81*I81/(J81/I81))</f>
        <v/>
      </c>
      <c r="M81" s="523">
        <f>IF(OR(L81="",J81=0),"",L81/J81)</f>
        <v/>
      </c>
      <c r="N81" s="533">
        <f>IF(OR(H81="",L81=""),"",L81-H81)</f>
        <v/>
      </c>
    </row>
    <row r="82" ht="17" customHeight="1" s="438">
      <c r="A82" s="66" t="n">
        <v>77</v>
      </c>
      <c r="B82" s="67" t="inlineStr">
        <is>
          <t>焼きちゃんぽん野菜</t>
        </is>
      </c>
      <c r="C82" s="168" t="inlineStr">
        <is>
          <t>スチコン①</t>
        </is>
      </c>
      <c r="D82" s="155" t="n"/>
      <c r="E82" s="518" t="n">
        <v>0</v>
      </c>
      <c r="F82" s="518" t="n">
        <v>0</v>
      </c>
      <c r="G82" s="519" t="n">
        <v>100</v>
      </c>
      <c r="H82" s="92">
        <f>IF(OR(E82=0,F82=0),"",E82*F82/(G82/100))</f>
        <v/>
      </c>
      <c r="I82" s="531" t="n">
        <v>0</v>
      </c>
      <c r="J82" s="531" t="n">
        <v>0</v>
      </c>
      <c r="K82" s="532">
        <f>IF(OR(I82=0,J82=0),"",J82/I82*100)</f>
        <v/>
      </c>
      <c r="L82" s="98">
        <f>IF(OR(E82=0,I82=0,J82=0),"",E82*I82/(J82/I82))</f>
        <v/>
      </c>
      <c r="M82" s="523">
        <f>IF(OR(L82="",J82=0),"",L82/J82)</f>
        <v/>
      </c>
      <c r="N82" s="533">
        <f>IF(OR(H82="",L82=""),"",L82-H82)</f>
        <v/>
      </c>
    </row>
    <row r="83" ht="17" customHeight="1" s="438">
      <c r="A83" s="71" t="n">
        <v>78</v>
      </c>
      <c r="B83" s="72" t="inlineStr">
        <is>
          <t>かぼちゃペースト</t>
        </is>
      </c>
      <c r="C83" s="169" t="inlineStr">
        <is>
          <t>スチコン①</t>
        </is>
      </c>
      <c r="D83" s="155" t="n"/>
      <c r="E83" s="518" t="n">
        <v>0</v>
      </c>
      <c r="F83" s="518" t="n">
        <v>0</v>
      </c>
      <c r="G83" s="519" t="n">
        <v>100</v>
      </c>
      <c r="H83" s="92">
        <f>IF(OR(E83=0,F83=0),"",E83*F83/(G83/100))</f>
        <v/>
      </c>
      <c r="I83" s="531" t="n">
        <v>0</v>
      </c>
      <c r="J83" s="531" t="n">
        <v>0</v>
      </c>
      <c r="K83" s="532">
        <f>IF(OR(I83=0,J83=0),"",J83/I83*100)</f>
        <v/>
      </c>
      <c r="L83" s="98">
        <f>IF(OR(E83=0,I83=0,J83=0),"",E83*I83/(J83/I83))</f>
        <v/>
      </c>
      <c r="M83" s="523">
        <f>IF(OR(L83="",J83=0),"",L83/J83)</f>
        <v/>
      </c>
      <c r="N83" s="533">
        <f>IF(OR(H83="",L83=""),"",L83-H83)</f>
        <v/>
      </c>
    </row>
    <row r="84" ht="17" customHeight="1" s="438">
      <c r="A84" s="66" t="n">
        <v>79</v>
      </c>
      <c r="B84" s="67" t="inlineStr">
        <is>
          <t>いもペースト</t>
        </is>
      </c>
      <c r="C84" s="168" t="inlineStr">
        <is>
          <t>スチコン①</t>
        </is>
      </c>
      <c r="D84" s="155" t="n"/>
      <c r="E84" s="518" t="n">
        <v>0</v>
      </c>
      <c r="F84" s="518" t="n">
        <v>0</v>
      </c>
      <c r="G84" s="519" t="n">
        <v>100</v>
      </c>
      <c r="H84" s="92">
        <f>IF(OR(E84=0,F84=0),"",E84*F84/(G84/100))</f>
        <v/>
      </c>
      <c r="I84" s="531" t="n">
        <v>0</v>
      </c>
      <c r="J84" s="531" t="n">
        <v>0</v>
      </c>
      <c r="K84" s="532">
        <f>IF(OR(I84=0,J84=0),"",J84/I84*100)</f>
        <v/>
      </c>
      <c r="L84" s="98">
        <f>IF(OR(E84=0,I84=0,J84=0),"",E84*I84/(J84/I84))</f>
        <v/>
      </c>
      <c r="M84" s="523">
        <f>IF(OR(L84="",J84=0),"",L84/J84)</f>
        <v/>
      </c>
      <c r="N84" s="533">
        <f>IF(OR(H84="",L84=""),"",L84-H84)</f>
        <v/>
      </c>
    </row>
    <row r="85" ht="17" customHeight="1" s="438">
      <c r="A85" s="71" t="n">
        <v>80</v>
      </c>
      <c r="B85" s="72" t="inlineStr">
        <is>
          <t>私の推しプリン</t>
        </is>
      </c>
      <c r="C85" s="169" t="inlineStr">
        <is>
          <t>スチコン①</t>
        </is>
      </c>
      <c r="D85" s="155" t="n"/>
      <c r="E85" s="518" t="n">
        <v>0</v>
      </c>
      <c r="F85" s="518" t="n">
        <v>0</v>
      </c>
      <c r="G85" s="519" t="n">
        <v>100</v>
      </c>
      <c r="H85" s="92">
        <f>IF(OR(E85=0,F85=0),"",E85*F85/(G85/100))</f>
        <v/>
      </c>
      <c r="I85" s="531" t="n">
        <v>0</v>
      </c>
      <c r="J85" s="531" t="n">
        <v>0</v>
      </c>
      <c r="K85" s="532">
        <f>IF(OR(I85=0,J85=0),"",J85/I85*100)</f>
        <v/>
      </c>
      <c r="L85" s="98">
        <f>IF(OR(E85=0,I85=0,J85=0),"",E85*I85/(J85/I85))</f>
        <v/>
      </c>
      <c r="M85" s="523">
        <f>IF(OR(L85="",J85=0),"",L85/J85)</f>
        <v/>
      </c>
      <c r="N85" s="533">
        <f>IF(OR(H85="",L85=""),"",L85-H85)</f>
        <v/>
      </c>
    </row>
    <row r="86" ht="17" customHeight="1" s="438">
      <c r="A86" s="66" t="n">
        <v>81</v>
      </c>
      <c r="B86" s="67" t="inlineStr">
        <is>
          <t>よだれどり　タレ</t>
        </is>
      </c>
      <c r="C86" s="170" t="inlineStr">
        <is>
          <t>スチコン②</t>
        </is>
      </c>
      <c r="D86" s="155" t="n"/>
      <c r="E86" s="518" t="n">
        <v>0</v>
      </c>
      <c r="F86" s="518" t="n">
        <v>0</v>
      </c>
      <c r="G86" s="519" t="n">
        <v>100</v>
      </c>
      <c r="H86" s="92">
        <f>IF(OR(E86=0,F86=0),"",E86*F86/(G86/100))</f>
        <v/>
      </c>
      <c r="I86" s="531" t="n">
        <v>0</v>
      </c>
      <c r="J86" s="531" t="n">
        <v>0</v>
      </c>
      <c r="K86" s="532">
        <f>IF(OR(I86=0,J86=0),"",J86/I86*100)</f>
        <v/>
      </c>
      <c r="L86" s="98">
        <f>IF(OR(E86=0,I86=0,J86=0),"",E86*I86/(J86/I86))</f>
        <v/>
      </c>
      <c r="M86" s="523">
        <f>IF(OR(L86="",J86=0),"",L86/J86)</f>
        <v/>
      </c>
      <c r="N86" s="533">
        <f>IF(OR(H86="",L86=""),"",L86-H86)</f>
        <v/>
      </c>
    </row>
    <row r="87" ht="17" customHeight="1" s="438">
      <c r="A87" s="71" t="n">
        <v>82</v>
      </c>
      <c r="B87" s="72" t="inlineStr">
        <is>
          <t>がんも</t>
        </is>
      </c>
      <c r="C87" s="171" t="inlineStr">
        <is>
          <t>スチコン②</t>
        </is>
      </c>
      <c r="D87" s="155" t="n"/>
      <c r="E87" s="518" t="n">
        <v>0</v>
      </c>
      <c r="F87" s="518" t="n">
        <v>0</v>
      </c>
      <c r="G87" s="519" t="n">
        <v>100</v>
      </c>
      <c r="H87" s="92">
        <f>IF(OR(E87=0,F87=0),"",E87*F87/(G87/100))</f>
        <v/>
      </c>
      <c r="I87" s="531" t="n">
        <v>0</v>
      </c>
      <c r="J87" s="531" t="n">
        <v>0</v>
      </c>
      <c r="K87" s="532">
        <f>IF(OR(I87=0,J87=0),"",J87/I87*100)</f>
        <v/>
      </c>
      <c r="L87" s="98">
        <f>IF(OR(E87=0,I87=0,J87=0),"",E87*I87/(J87/I87))</f>
        <v/>
      </c>
      <c r="M87" s="523">
        <f>IF(OR(L87="",J87=0),"",L87/J87)</f>
        <v/>
      </c>
      <c r="N87" s="533">
        <f>IF(OR(H87="",L87=""),"",L87-H87)</f>
        <v/>
      </c>
    </row>
    <row r="88" ht="17" customHeight="1" s="438">
      <c r="A88" s="66" t="n">
        <v>83</v>
      </c>
      <c r="B88" s="67" t="inlineStr">
        <is>
          <t>焼きそば　野菜</t>
        </is>
      </c>
      <c r="C88" s="170" t="inlineStr">
        <is>
          <t>スチコン②</t>
        </is>
      </c>
      <c r="D88" s="155" t="n"/>
      <c r="E88" s="518" t="n">
        <v>0</v>
      </c>
      <c r="F88" s="518" t="n">
        <v>0</v>
      </c>
      <c r="G88" s="519" t="n">
        <v>100</v>
      </c>
      <c r="H88" s="92">
        <f>IF(OR(E88=0,F88=0),"",E88*F88/(G88/100))</f>
        <v/>
      </c>
      <c r="I88" s="531" t="n">
        <v>0</v>
      </c>
      <c r="J88" s="531" t="n">
        <v>0</v>
      </c>
      <c r="K88" s="532">
        <f>IF(OR(I88=0,J88=0),"",J88/I88*100)</f>
        <v/>
      </c>
      <c r="L88" s="98">
        <f>IF(OR(E88=0,I88=0,J88=0),"",E88*I88/(J88/I88))</f>
        <v/>
      </c>
      <c r="M88" s="523">
        <f>IF(OR(L88="",J88=0),"",L88/J88)</f>
        <v/>
      </c>
      <c r="N88" s="533">
        <f>IF(OR(H88="",L88=""),"",L88-H88)</f>
        <v/>
      </c>
    </row>
    <row r="89" ht="17" customHeight="1" s="438">
      <c r="A89" s="71" t="n">
        <v>84</v>
      </c>
      <c r="B89" s="72" t="inlineStr">
        <is>
          <t>ポテトサラダ　人参</t>
        </is>
      </c>
      <c r="C89" s="171" t="inlineStr">
        <is>
          <t>スチコン②</t>
        </is>
      </c>
      <c r="D89" s="155" t="n"/>
      <c r="E89" s="518" t="n">
        <v>0</v>
      </c>
      <c r="F89" s="518" t="n">
        <v>0</v>
      </c>
      <c r="G89" s="519" t="n">
        <v>100</v>
      </c>
      <c r="H89" s="92">
        <f>IF(OR(E89=0,F89=0),"",E89*F89/(G89/100))</f>
        <v/>
      </c>
      <c r="I89" s="531" t="n">
        <v>0</v>
      </c>
      <c r="J89" s="531" t="n">
        <v>0</v>
      </c>
      <c r="K89" s="532">
        <f>IF(OR(I89=0,J89=0),"",J89/I89*100)</f>
        <v/>
      </c>
      <c r="L89" s="98">
        <f>IF(OR(E89=0,I89=0,J89=0),"",E89*I89/(J89/I89))</f>
        <v/>
      </c>
      <c r="M89" s="523">
        <f>IF(OR(L89="",J89=0),"",L89/J89)</f>
        <v/>
      </c>
      <c r="N89" s="533">
        <f>IF(OR(H89="",L89=""),"",L89-H89)</f>
        <v/>
      </c>
    </row>
    <row r="90" ht="17" customHeight="1" s="438">
      <c r="A90" s="66" t="n">
        <v>85</v>
      </c>
      <c r="B90" s="67" t="inlineStr">
        <is>
          <t>ポテトサラダ　玉葱</t>
        </is>
      </c>
      <c r="C90" s="170" t="inlineStr">
        <is>
          <t>スチコン②</t>
        </is>
      </c>
      <c r="D90" s="155" t="n"/>
      <c r="E90" s="518" t="n">
        <v>0</v>
      </c>
      <c r="F90" s="518" t="n">
        <v>0</v>
      </c>
      <c r="G90" s="519" t="n">
        <v>100</v>
      </c>
      <c r="H90" s="92">
        <f>IF(OR(E90=0,F90=0),"",E90*F90/(G90/100))</f>
        <v/>
      </c>
      <c r="I90" s="531" t="n">
        <v>0</v>
      </c>
      <c r="J90" s="531" t="n">
        <v>0</v>
      </c>
      <c r="K90" s="532">
        <f>IF(OR(I90=0,J90=0),"",J90/I90*100)</f>
        <v/>
      </c>
      <c r="L90" s="98">
        <f>IF(OR(E90=0,I90=0,J90=0),"",E90*I90/(J90/I90))</f>
        <v/>
      </c>
      <c r="M90" s="523">
        <f>IF(OR(L90="",J90=0),"",L90/J90)</f>
        <v/>
      </c>
      <c r="N90" s="533">
        <f>IF(OR(H90="",L90=""),"",L90-H90)</f>
        <v/>
      </c>
    </row>
    <row r="91" ht="17" customHeight="1" s="438">
      <c r="A91" s="71" t="n">
        <v>86</v>
      </c>
      <c r="B91" s="72" t="inlineStr">
        <is>
          <t>ナポリベーコン</t>
        </is>
      </c>
      <c r="C91" s="171" t="inlineStr">
        <is>
          <t>スチコン②</t>
        </is>
      </c>
      <c r="D91" s="155" t="n"/>
      <c r="E91" s="518" t="n">
        <v>0</v>
      </c>
      <c r="F91" s="518" t="n">
        <v>0</v>
      </c>
      <c r="G91" s="519" t="n">
        <v>100</v>
      </c>
      <c r="H91" s="92">
        <f>IF(OR(E91=0,F91=0),"",E91*F91/(G91/100))</f>
        <v/>
      </c>
      <c r="I91" s="531" t="n">
        <v>0</v>
      </c>
      <c r="J91" s="531" t="n">
        <v>0</v>
      </c>
      <c r="K91" s="532">
        <f>IF(OR(I91=0,J91=0),"",J91/I91*100)</f>
        <v/>
      </c>
      <c r="L91" s="98">
        <f>IF(OR(E91=0,I91=0,J91=0),"",E91*I91/(J91/I91))</f>
        <v/>
      </c>
      <c r="M91" s="523">
        <f>IF(OR(L91="",J91=0),"",L91/J91)</f>
        <v/>
      </c>
      <c r="N91" s="533">
        <f>IF(OR(H91="",L91=""),"",L91-H91)</f>
        <v/>
      </c>
    </row>
    <row r="92" ht="17" customHeight="1" s="438">
      <c r="A92" s="66" t="n">
        <v>87</v>
      </c>
      <c r="B92" s="67" t="inlineStr">
        <is>
          <t>焼うどん</t>
        </is>
      </c>
      <c r="C92" s="170" t="inlineStr">
        <is>
          <t>スチコン②</t>
        </is>
      </c>
      <c r="D92" s="155" t="n"/>
      <c r="E92" s="518" t="n">
        <v>0</v>
      </c>
      <c r="F92" s="518" t="n">
        <v>0</v>
      </c>
      <c r="G92" s="519" t="n">
        <v>100</v>
      </c>
      <c r="H92" s="92">
        <f>IF(OR(E92=0,F92=0),"",E92*F92/(G92/100))</f>
        <v/>
      </c>
      <c r="I92" s="531" t="n">
        <v>0</v>
      </c>
      <c r="J92" s="531" t="n">
        <v>0</v>
      </c>
      <c r="K92" s="532">
        <f>IF(OR(I92=0,J92=0),"",J92/I92*100)</f>
        <v/>
      </c>
      <c r="L92" s="98">
        <f>IF(OR(E92=0,I92=0,J92=0),"",E92*I92/(J92/I92))</f>
        <v/>
      </c>
      <c r="M92" s="523">
        <f>IF(OR(L92="",J92=0),"",L92/J92)</f>
        <v/>
      </c>
      <c r="N92" s="533">
        <f>IF(OR(H92="",L92=""),"",L92-H92)</f>
        <v/>
      </c>
    </row>
    <row r="93" ht="17" customHeight="1" s="438">
      <c r="A93" s="71" t="n">
        <v>88</v>
      </c>
      <c r="B93" s="72" t="inlineStr">
        <is>
          <t>焼ちゃんぽん</t>
        </is>
      </c>
      <c r="C93" s="171" t="inlineStr">
        <is>
          <t>スチコン②</t>
        </is>
      </c>
      <c r="D93" s="155" t="n"/>
      <c r="E93" s="518" t="n">
        <v>0</v>
      </c>
      <c r="F93" s="518" t="n">
        <v>0</v>
      </c>
      <c r="G93" s="519" t="n">
        <v>100</v>
      </c>
      <c r="H93" s="92">
        <f>IF(OR(E93=0,F93=0),"",E93*F93/(G93/100))</f>
        <v/>
      </c>
      <c r="I93" s="531" t="n">
        <v>0</v>
      </c>
      <c r="J93" s="531" t="n">
        <v>0</v>
      </c>
      <c r="K93" s="532">
        <f>IF(OR(I93=0,J93=0),"",J93/I93*100)</f>
        <v/>
      </c>
      <c r="L93" s="98">
        <f>IF(OR(E93=0,I93=0,J93=0),"",E93*I93/(J93/I93))</f>
        <v/>
      </c>
      <c r="M93" s="523">
        <f>IF(OR(L93="",J93=0),"",L93/J93)</f>
        <v/>
      </c>
      <c r="N93" s="533">
        <f>IF(OR(H93="",L93=""),"",L93-H93)</f>
        <v/>
      </c>
    </row>
    <row r="94" ht="17" customHeight="1" s="438">
      <c r="A94" s="66" t="n">
        <v>89</v>
      </c>
      <c r="B94" s="67" t="inlineStr">
        <is>
          <t>麻婆丼（豆腐スチーム）</t>
        </is>
      </c>
      <c r="C94" s="170" t="inlineStr">
        <is>
          <t>スチコン②</t>
        </is>
      </c>
      <c r="D94" s="155" t="n"/>
      <c r="E94" s="518" t="n">
        <v>0</v>
      </c>
      <c r="F94" s="518" t="n">
        <v>0</v>
      </c>
      <c r="G94" s="519" t="n">
        <v>100</v>
      </c>
      <c r="H94" s="92">
        <f>IF(OR(E94=0,F94=0),"",E94*F94/(G94/100))</f>
        <v/>
      </c>
      <c r="I94" s="531" t="n">
        <v>0</v>
      </c>
      <c r="J94" s="531" t="n">
        <v>0</v>
      </c>
      <c r="K94" s="532">
        <f>IF(OR(I94=0,J94=0),"",J94/I94*100)</f>
        <v/>
      </c>
      <c r="L94" s="98">
        <f>IF(OR(E94=0,I94=0,J94=0),"",E94*I94/(J94/I94))</f>
        <v/>
      </c>
      <c r="M94" s="523">
        <f>IF(OR(L94="",J94=0),"",L94/J94)</f>
        <v/>
      </c>
      <c r="N94" s="533">
        <f>IF(OR(H94="",L94=""),"",L94-H94)</f>
        <v/>
      </c>
    </row>
    <row r="95" ht="17" customHeight="1" s="438">
      <c r="A95" s="71" t="n">
        <v>90</v>
      </c>
      <c r="B95" s="72" t="inlineStr">
        <is>
          <t>麻婆丼（ねぎ焼き）</t>
        </is>
      </c>
      <c r="C95" s="171" t="inlineStr">
        <is>
          <t>スチコン②</t>
        </is>
      </c>
      <c r="D95" s="155" t="n"/>
      <c r="E95" s="518" t="n">
        <v>0</v>
      </c>
      <c r="F95" s="518" t="n">
        <v>0</v>
      </c>
      <c r="G95" s="519" t="n">
        <v>100</v>
      </c>
      <c r="H95" s="92">
        <f>IF(OR(E95=0,F95=0),"",E95*F95/(G95/100))</f>
        <v/>
      </c>
      <c r="I95" s="531" t="n">
        <v>0</v>
      </c>
      <c r="J95" s="531" t="n">
        <v>0</v>
      </c>
      <c r="K95" s="532">
        <f>IF(OR(I95=0,J95=0),"",J95/I95*100)</f>
        <v/>
      </c>
      <c r="L95" s="98">
        <f>IF(OR(E95=0,I95=0,J95=0),"",E95*I95/(J95/I95))</f>
        <v/>
      </c>
      <c r="M95" s="523">
        <f>IF(OR(L95="",J95=0),"",L95/J95)</f>
        <v/>
      </c>
      <c r="N95" s="533">
        <f>IF(OR(H95="",L95=""),"",L95-H95)</f>
        <v/>
      </c>
    </row>
    <row r="96" ht="17" customHeight="1" s="438">
      <c r="A96" s="66" t="n">
        <v>91</v>
      </c>
      <c r="B96" s="67" t="inlineStr">
        <is>
          <t>麻婆丼</t>
        </is>
      </c>
      <c r="C96" s="170" t="inlineStr">
        <is>
          <t>スチコン②</t>
        </is>
      </c>
      <c r="D96" s="155" t="n"/>
      <c r="E96" s="518" t="n">
        <v>0</v>
      </c>
      <c r="F96" s="518" t="n">
        <v>0</v>
      </c>
      <c r="G96" s="519" t="n">
        <v>100</v>
      </c>
      <c r="H96" s="92">
        <f>IF(OR(E96=0,F96=0),"",E96*F96/(G96/100))</f>
        <v/>
      </c>
      <c r="I96" s="531" t="n">
        <v>0</v>
      </c>
      <c r="J96" s="531" t="n">
        <v>0</v>
      </c>
      <c r="K96" s="532">
        <f>IF(OR(I96=0,J96=0),"",J96/I96*100)</f>
        <v/>
      </c>
      <c r="L96" s="98">
        <f>IF(OR(E96=0,I96=0,J96=0),"",E96*I96/(J96/I96))</f>
        <v/>
      </c>
      <c r="M96" s="523">
        <f>IF(OR(L96="",J96=0),"",L96/J96)</f>
        <v/>
      </c>
      <c r="N96" s="533">
        <f>IF(OR(H96="",L96=""),"",L96-H96)</f>
        <v/>
      </c>
    </row>
    <row r="97" ht="17" customHeight="1" s="438">
      <c r="A97" s="71" t="n">
        <v>92</v>
      </c>
      <c r="B97" s="72" t="inlineStr">
        <is>
          <t>オムライス玉子</t>
        </is>
      </c>
      <c r="C97" s="172" t="inlineStr">
        <is>
          <t>スチコン③</t>
        </is>
      </c>
      <c r="D97" s="155" t="n"/>
      <c r="E97" s="518" t="n">
        <v>0</v>
      </c>
      <c r="F97" s="518" t="n">
        <v>0</v>
      </c>
      <c r="G97" s="519" t="n">
        <v>100</v>
      </c>
      <c r="H97" s="92">
        <f>IF(OR(E97=0,F97=0),"",E97*F97/(G97/100))</f>
        <v/>
      </c>
      <c r="I97" s="531" t="n">
        <v>0</v>
      </c>
      <c r="J97" s="531" t="n">
        <v>0</v>
      </c>
      <c r="K97" s="532">
        <f>IF(OR(I97=0,J97=0),"",J97/I97*100)</f>
        <v/>
      </c>
      <c r="L97" s="98">
        <f>IF(OR(E97=0,I97=0,J97=0),"",E97*I97/(J97/I97))</f>
        <v/>
      </c>
      <c r="M97" s="523">
        <f>IF(OR(L97="",J97=0),"",L97/J97)</f>
        <v/>
      </c>
      <c r="N97" s="533">
        <f>IF(OR(H97="",L97=""),"",L97-H97)</f>
        <v/>
      </c>
    </row>
    <row r="98" ht="17" customHeight="1" s="438">
      <c r="A98" s="66" t="n">
        <v>93</v>
      </c>
      <c r="B98" s="67" t="inlineStr">
        <is>
          <t>ピザカレー</t>
        </is>
      </c>
      <c r="C98" s="173" t="inlineStr">
        <is>
          <t>スチコン③</t>
        </is>
      </c>
      <c r="D98" s="155" t="n"/>
      <c r="E98" s="518" t="n">
        <v>0</v>
      </c>
      <c r="F98" s="518" t="n">
        <v>0</v>
      </c>
      <c r="G98" s="519" t="n">
        <v>100</v>
      </c>
      <c r="H98" s="92">
        <f>IF(OR(E98=0,F98=0),"",E98*F98/(G98/100))</f>
        <v/>
      </c>
      <c r="I98" s="531" t="n">
        <v>0</v>
      </c>
      <c r="J98" s="531" t="n">
        <v>0</v>
      </c>
      <c r="K98" s="532">
        <f>IF(OR(I98=0,J98=0),"",J98/I98*100)</f>
        <v/>
      </c>
      <c r="L98" s="98">
        <f>IF(OR(E98=0,I98=0,J98=0),"",E98*I98/(J98/I98))</f>
        <v/>
      </c>
      <c r="M98" s="523">
        <f>IF(OR(L98="",J98=0),"",L98/J98)</f>
        <v/>
      </c>
      <c r="N98" s="533">
        <f>IF(OR(H98="",L98=""),"",L98-H98)</f>
        <v/>
      </c>
    </row>
    <row r="99" ht="17" customHeight="1" s="438">
      <c r="A99" s="71" t="n">
        <v>94</v>
      </c>
      <c r="B99" s="72" t="inlineStr">
        <is>
          <t>目玉焼き</t>
        </is>
      </c>
      <c r="C99" s="172" t="inlineStr">
        <is>
          <t>スチコン③</t>
        </is>
      </c>
      <c r="D99" s="155" t="n"/>
      <c r="E99" s="518" t="n">
        <v>0</v>
      </c>
      <c r="F99" s="518" t="n">
        <v>0</v>
      </c>
      <c r="G99" s="519" t="n">
        <v>100</v>
      </c>
      <c r="H99" s="92">
        <f>IF(OR(E99=0,F99=0),"",E99*F99/(G99/100))</f>
        <v/>
      </c>
      <c r="I99" s="531" t="n">
        <v>0</v>
      </c>
      <c r="J99" s="531" t="n">
        <v>0</v>
      </c>
      <c r="K99" s="532">
        <f>IF(OR(I99=0,J99=0),"",J99/I99*100)</f>
        <v/>
      </c>
      <c r="L99" s="98">
        <f>IF(OR(E99=0,I99=0,J99=0),"",E99*I99/(J99/I99))</f>
        <v/>
      </c>
      <c r="M99" s="523">
        <f>IF(OR(L99="",J99=0),"",L99/J99)</f>
        <v/>
      </c>
      <c r="N99" s="533">
        <f>IF(OR(H99="",L99=""),"",L99-H99)</f>
        <v/>
      </c>
    </row>
    <row r="100" ht="17" customHeight="1" s="438">
      <c r="A100" s="66" t="n">
        <v>95</v>
      </c>
      <c r="B100" s="67" t="inlineStr">
        <is>
          <t>ロールケーキ</t>
        </is>
      </c>
      <c r="C100" s="165" t="inlineStr">
        <is>
          <t>スチコン④</t>
        </is>
      </c>
      <c r="D100" s="155" t="n"/>
      <c r="E100" s="518" t="n">
        <v>0</v>
      </c>
      <c r="F100" s="518" t="n">
        <v>0</v>
      </c>
      <c r="G100" s="519" t="n">
        <v>100</v>
      </c>
      <c r="H100" s="92">
        <f>IF(OR(E100=0,F100=0),"",E100*F100/(G100/100))</f>
        <v/>
      </c>
      <c r="I100" s="531" t="n">
        <v>0</v>
      </c>
      <c r="J100" s="531" t="n">
        <v>0</v>
      </c>
      <c r="K100" s="532">
        <f>IF(OR(I100=0,J100=0),"",J100/I100*100)</f>
        <v/>
      </c>
      <c r="L100" s="98">
        <f>IF(OR(E100=0,I100=0,J100=0),"",E100*I100/(J100/I100))</f>
        <v/>
      </c>
      <c r="M100" s="523">
        <f>IF(OR(L100="",J100=0),"",L100/J100)</f>
        <v/>
      </c>
      <c r="N100" s="533">
        <f>IF(OR(H100="",L100=""),"",L100-H100)</f>
        <v/>
      </c>
    </row>
    <row r="101" ht="17" customHeight="1" s="438">
      <c r="A101" s="71" t="n">
        <v>96</v>
      </c>
      <c r="B101" s="72" t="inlineStr">
        <is>
          <t>わらび餅</t>
        </is>
      </c>
      <c r="C101" s="164" t="inlineStr">
        <is>
          <t>スチコン④</t>
        </is>
      </c>
      <c r="D101" s="155" t="n"/>
      <c r="E101" s="518" t="n">
        <v>0</v>
      </c>
      <c r="F101" s="518" t="n">
        <v>0</v>
      </c>
      <c r="G101" s="519" t="n">
        <v>100</v>
      </c>
      <c r="H101" s="92">
        <f>IF(OR(E101=0,F101=0),"",E101*F101/(G101/100))</f>
        <v/>
      </c>
      <c r="I101" s="531" t="n">
        <v>0</v>
      </c>
      <c r="J101" s="531" t="n">
        <v>0</v>
      </c>
      <c r="K101" s="532">
        <f>IF(OR(I101=0,J101=0),"",J101/I101*100)</f>
        <v/>
      </c>
      <c r="L101" s="98">
        <f>IF(OR(E101=0,I101=0,J101=0),"",E101*I101/(J101/I101))</f>
        <v/>
      </c>
      <c r="M101" s="523">
        <f>IF(OR(L101="",J101=0),"",L101/J101)</f>
        <v/>
      </c>
      <c r="N101" s="533">
        <f>IF(OR(H101="",L101=""),"",L101-H101)</f>
        <v/>
      </c>
    </row>
    <row r="102" ht="17" customHeight="1" s="438">
      <c r="A102" s="66" t="n">
        <v>97</v>
      </c>
      <c r="B102" s="67" t="inlineStr">
        <is>
          <t>シュークリーム</t>
        </is>
      </c>
      <c r="C102" s="165" t="inlineStr">
        <is>
          <t>スチコン④</t>
        </is>
      </c>
      <c r="D102" s="155" t="n"/>
      <c r="E102" s="518" t="n">
        <v>0</v>
      </c>
      <c r="F102" s="518" t="n">
        <v>0</v>
      </c>
      <c r="G102" s="519" t="n">
        <v>100</v>
      </c>
      <c r="H102" s="92">
        <f>IF(OR(E102=0,F102=0),"",E102*F102/(G102/100))</f>
        <v/>
      </c>
      <c r="I102" s="531" t="n">
        <v>0</v>
      </c>
      <c r="J102" s="531" t="n">
        <v>0</v>
      </c>
      <c r="K102" s="532">
        <f>IF(OR(I102=0,J102=0),"",J102/I102*100)</f>
        <v/>
      </c>
      <c r="L102" s="98">
        <f>IF(OR(E102=0,I102=0,J102=0),"",E102*I102/(J102/I102))</f>
        <v/>
      </c>
      <c r="M102" s="523">
        <f>IF(OR(L102="",J102=0),"",L102/J102)</f>
        <v/>
      </c>
      <c r="N102" s="533">
        <f>IF(OR(H102="",L102=""),"",L102-H102)</f>
        <v/>
      </c>
    </row>
    <row r="103" ht="17" customHeight="1" s="438">
      <c r="A103" s="71" t="n">
        <v>98</v>
      </c>
      <c r="B103" s="72" t="inlineStr">
        <is>
          <t>角煮まん</t>
        </is>
      </c>
      <c r="C103" s="164" t="inlineStr">
        <is>
          <t>スチコン④</t>
        </is>
      </c>
      <c r="D103" s="155" t="n"/>
      <c r="E103" s="518" t="n">
        <v>0</v>
      </c>
      <c r="F103" s="518" t="n">
        <v>0</v>
      </c>
      <c r="G103" s="519" t="n">
        <v>100</v>
      </c>
      <c r="H103" s="92">
        <f>IF(OR(E103=0,F103=0),"",E103*F103/(G103/100))</f>
        <v/>
      </c>
      <c r="I103" s="531" t="n">
        <v>0</v>
      </c>
      <c r="J103" s="531" t="n">
        <v>0</v>
      </c>
      <c r="K103" s="532">
        <f>IF(OR(I103=0,J103=0),"",J103/I103*100)</f>
        <v/>
      </c>
      <c r="L103" s="98">
        <f>IF(OR(E103=0,I103=0,J103=0),"",E103*I103/(J103/I103))</f>
        <v/>
      </c>
      <c r="M103" s="523">
        <f>IF(OR(L103="",J103=0),"",L103/J103)</f>
        <v/>
      </c>
      <c r="N103" s="533">
        <f>IF(OR(H103="",L103=""),"",L103-H103)</f>
        <v/>
      </c>
    </row>
    <row r="104" ht="17" customHeight="1" s="438">
      <c r="A104" s="66" t="n">
        <v>99</v>
      </c>
      <c r="B104" s="67" t="inlineStr">
        <is>
          <t>ロールなプリン</t>
        </is>
      </c>
      <c r="C104" s="165" t="inlineStr">
        <is>
          <t>スチコン④</t>
        </is>
      </c>
      <c r="D104" s="155" t="n"/>
      <c r="E104" s="518" t="n">
        <v>0</v>
      </c>
      <c r="F104" s="518" t="n">
        <v>0</v>
      </c>
      <c r="G104" s="519" t="n">
        <v>100</v>
      </c>
      <c r="H104" s="92">
        <f>IF(OR(E104=0,F104=0),"",E104*F104/(G104/100))</f>
        <v/>
      </c>
      <c r="I104" s="531" t="n">
        <v>0</v>
      </c>
      <c r="J104" s="531" t="n">
        <v>0</v>
      </c>
      <c r="K104" s="532">
        <f>IF(OR(I104=0,J104=0),"",J104/I104*100)</f>
        <v/>
      </c>
      <c r="L104" s="98">
        <f>IF(OR(E104=0,I104=0,J104=0),"",E104*I104/(J104/I104))</f>
        <v/>
      </c>
      <c r="M104" s="523">
        <f>IF(OR(L104="",J104=0),"",L104/J104)</f>
        <v/>
      </c>
      <c r="N104" s="533">
        <f>IF(OR(H104="",L104=""),"",L104-H104)</f>
        <v/>
      </c>
    </row>
    <row r="105" ht="17" customHeight="1" s="438">
      <c r="A105" s="71" t="n">
        <v>100</v>
      </c>
      <c r="B105" s="72" t="inlineStr">
        <is>
          <t>焼きうどん</t>
        </is>
      </c>
      <c r="C105" s="166" t="inlineStr">
        <is>
          <t>スチコン⑤</t>
        </is>
      </c>
      <c r="D105" s="155" t="n"/>
      <c r="E105" s="518" t="n">
        <v>0</v>
      </c>
      <c r="F105" s="518" t="n">
        <v>0</v>
      </c>
      <c r="G105" s="519" t="n">
        <v>100</v>
      </c>
      <c r="H105" s="92">
        <f>IF(OR(E105=0,F105=0),"",E105*F105/(G105/100))</f>
        <v/>
      </c>
      <c r="I105" s="531" t="n">
        <v>0</v>
      </c>
      <c r="J105" s="531" t="n">
        <v>0</v>
      </c>
      <c r="K105" s="532">
        <f>IF(OR(I105=0,J105=0),"",J105/I105*100)</f>
        <v/>
      </c>
      <c r="L105" s="98">
        <f>IF(OR(E105=0,I105=0,J105=0),"",E105*I105/(J105/I105))</f>
        <v/>
      </c>
      <c r="M105" s="523">
        <f>IF(OR(L105="",J105=0),"",L105/J105)</f>
        <v/>
      </c>
      <c r="N105" s="533">
        <f>IF(OR(H105="",L105=""),"",L105-H105)</f>
        <v/>
      </c>
    </row>
    <row r="106" ht="17" customHeight="1" s="438">
      <c r="A106" s="66" t="n">
        <v>101</v>
      </c>
      <c r="B106" s="67" t="inlineStr">
        <is>
          <t>たまごサンド</t>
        </is>
      </c>
      <c r="C106" s="167" t="inlineStr">
        <is>
          <t>スチコン⑤</t>
        </is>
      </c>
      <c r="D106" s="155" t="n"/>
      <c r="E106" s="518" t="n">
        <v>0</v>
      </c>
      <c r="F106" s="518" t="n">
        <v>0</v>
      </c>
      <c r="G106" s="519" t="n">
        <v>100</v>
      </c>
      <c r="H106" s="92">
        <f>IF(OR(E106=0,F106=0),"",E106*F106/(G106/100))</f>
        <v/>
      </c>
      <c r="I106" s="531" t="n">
        <v>0</v>
      </c>
      <c r="J106" s="531" t="n">
        <v>0</v>
      </c>
      <c r="K106" s="532">
        <f>IF(OR(I106=0,J106=0),"",J106/I106*100)</f>
        <v/>
      </c>
      <c r="L106" s="98">
        <f>IF(OR(E106=0,I106=0,J106=0),"",E106*I106/(J106/I106))</f>
        <v/>
      </c>
      <c r="M106" s="523">
        <f>IF(OR(L106="",J106=0),"",L106/J106)</f>
        <v/>
      </c>
      <c r="N106" s="533">
        <f>IF(OR(H106="",L106=""),"",L106-H106)</f>
        <v/>
      </c>
    </row>
    <row r="107" ht="17" customHeight="1" s="438">
      <c r="A107" s="71" t="n">
        <v>102</v>
      </c>
      <c r="B107" s="72" t="inlineStr">
        <is>
          <t>クランブル</t>
        </is>
      </c>
      <c r="C107" s="166" t="inlineStr">
        <is>
          <t>スチコン⑤</t>
        </is>
      </c>
      <c r="D107" s="155" t="n"/>
      <c r="E107" s="518" t="n">
        <v>0</v>
      </c>
      <c r="F107" s="518" t="n">
        <v>0</v>
      </c>
      <c r="G107" s="519" t="n">
        <v>100</v>
      </c>
      <c r="H107" s="92">
        <f>IF(OR(E107=0,F107=0),"",E107*F107/(G107/100))</f>
        <v/>
      </c>
      <c r="I107" s="531" t="n">
        <v>0</v>
      </c>
      <c r="J107" s="531" t="n">
        <v>0</v>
      </c>
      <c r="K107" s="532">
        <f>IF(OR(I107=0,J107=0),"",J107/I107*100)</f>
        <v/>
      </c>
      <c r="L107" s="98">
        <f>IF(OR(E107=0,I107=0,J107=0),"",E107*I107/(J107/I107))</f>
        <v/>
      </c>
      <c r="M107" s="523">
        <f>IF(OR(L107="",J107=0),"",L107/J107)</f>
        <v/>
      </c>
      <c r="N107" s="533">
        <f>IF(OR(H107="",L107=""),"",L107-H107)</f>
        <v/>
      </c>
    </row>
    <row r="108" ht="17" customHeight="1" s="438">
      <c r="A108" s="66" t="n">
        <v>103</v>
      </c>
      <c r="B108" s="67" t="inlineStr">
        <is>
          <t>チーズケーキ</t>
        </is>
      </c>
      <c r="C108" s="167" t="inlineStr">
        <is>
          <t>スチコン⑤</t>
        </is>
      </c>
      <c r="D108" s="155" t="n"/>
      <c r="E108" s="518" t="n">
        <v>0</v>
      </c>
      <c r="F108" s="518" t="n">
        <v>0</v>
      </c>
      <c r="G108" s="519" t="n">
        <v>100</v>
      </c>
      <c r="H108" s="92">
        <f>IF(OR(E108=0,F108=0),"",E108*F108/(G108/100))</f>
        <v/>
      </c>
      <c r="I108" s="531" t="n">
        <v>0</v>
      </c>
      <c r="J108" s="531" t="n">
        <v>0</v>
      </c>
      <c r="K108" s="532">
        <f>IF(OR(I108=0,J108=0),"",J108/I108*100)</f>
        <v/>
      </c>
      <c r="L108" s="98">
        <f>IF(OR(E108=0,I108=0,J108=0),"",E108*I108/(J108/I108))</f>
        <v/>
      </c>
      <c r="M108" s="523">
        <f>IF(OR(L108="",J108=0),"",L108/J108)</f>
        <v/>
      </c>
      <c r="N108" s="533">
        <f>IF(OR(H108="",L108=""),"",L108-H108)</f>
        <v/>
      </c>
    </row>
    <row r="109" ht="17" customHeight="1" s="438">
      <c r="A109" s="71" t="n">
        <v>104</v>
      </c>
      <c r="B109" s="72" t="inlineStr">
        <is>
          <t>ザクザクパイ</t>
        </is>
      </c>
      <c r="C109" s="166" t="inlineStr">
        <is>
          <t>スチコン⑤</t>
        </is>
      </c>
      <c r="D109" s="155" t="n"/>
      <c r="E109" s="518" t="n">
        <v>0</v>
      </c>
      <c r="F109" s="518" t="n">
        <v>0</v>
      </c>
      <c r="G109" s="519" t="n">
        <v>100</v>
      </c>
      <c r="H109" s="92">
        <f>IF(OR(E109=0,F109=0),"",E109*F109/(G109/100))</f>
        <v/>
      </c>
      <c r="I109" s="531" t="n">
        <v>0</v>
      </c>
      <c r="J109" s="531" t="n">
        <v>0</v>
      </c>
      <c r="K109" s="532">
        <f>IF(OR(I109=0,J109=0),"",J109/I109*100)</f>
        <v/>
      </c>
      <c r="L109" s="98">
        <f>IF(OR(E109=0,I109=0,J109=0),"",E109*I109/(J109/I109))</f>
        <v/>
      </c>
      <c r="M109" s="523">
        <f>IF(OR(L109="",J109=0),"",L109/J109)</f>
        <v/>
      </c>
      <c r="N109" s="533">
        <f>IF(OR(H109="",L109=""),"",L109-H109)</f>
        <v/>
      </c>
    </row>
    <row r="110" ht="17" customHeight="1" s="438">
      <c r="A110" s="66" t="n">
        <v>105</v>
      </c>
      <c r="B110" s="67" t="inlineStr">
        <is>
          <t>プリン</t>
        </is>
      </c>
      <c r="C110" s="167" t="inlineStr">
        <is>
          <t>スチコン⑤</t>
        </is>
      </c>
      <c r="D110" s="155" t="n"/>
      <c r="E110" s="518" t="n">
        <v>0</v>
      </c>
      <c r="F110" s="518" t="n">
        <v>0</v>
      </c>
      <c r="G110" s="519" t="n">
        <v>100</v>
      </c>
      <c r="H110" s="92">
        <f>IF(OR(E110=0,F110=0),"",E110*F110/(G110/100))</f>
        <v/>
      </c>
      <c r="I110" s="531" t="n">
        <v>0</v>
      </c>
      <c r="J110" s="531" t="n">
        <v>0</v>
      </c>
      <c r="K110" s="532">
        <f>IF(OR(I110=0,J110=0),"",J110/I110*100)</f>
        <v/>
      </c>
      <c r="L110" s="98">
        <f>IF(OR(E110=0,I110=0,J110=0),"",E110*I110/(J110/I110))</f>
        <v/>
      </c>
      <c r="M110" s="523">
        <f>IF(OR(L110="",J110=0),"",L110/J110)</f>
        <v/>
      </c>
      <c r="N110" s="533">
        <f>IF(OR(H110="",L110=""),"",L110-H110)</f>
        <v/>
      </c>
    </row>
    <row r="111" ht="22" customHeight="1" s="438">
      <c r="A111" s="469" t="inlineStr">
        <is>
          <t>合　計</t>
        </is>
      </c>
      <c r="B111" s="458" t="n"/>
      <c r="C111" s="459" t="n"/>
      <c r="D111" s="174" t="n"/>
      <c r="E111" s="174" t="n"/>
      <c r="F111" s="174" t="n"/>
      <c r="G111" s="174" t="n"/>
      <c r="H111" s="175">
        <f>IFERROR(SUMIF(H6:H110,"&lt;&gt;",H6:H110),"")</f>
        <v/>
      </c>
      <c r="I111" s="174" t="n"/>
      <c r="J111" s="174" t="n"/>
      <c r="K111" s="174" t="n"/>
      <c r="L111" s="175">
        <f>IFERROR(SUMIF(L6:L110,"&lt;&gt;",L6:L110),"")</f>
        <v/>
      </c>
      <c r="M111" s="174" t="n"/>
      <c r="N111" s="534">
        <f>IFERROR(SUMIF(N6:N110,"&lt;&gt;",N6:N110),"")</f>
        <v/>
      </c>
    </row>
  </sheetData>
  <mergeCells count="6">
    <mergeCell ref="I4:M4"/>
    <mergeCell ref="A111:C111"/>
    <mergeCell ref="A2:N2"/>
    <mergeCell ref="D4:H4"/>
    <mergeCell ref="A4:C4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4" topLeftCell="A5" activePane="bottomLeft" state="frozen"/>
      <selection pane="bottomLeft" activeCell="H6" sqref="H6"/>
    </sheetView>
  </sheetViews>
  <sheetFormatPr baseColWidth="8" defaultRowHeight="13"/>
  <cols>
    <col width="5" customWidth="1" style="438" min="1" max="1"/>
    <col width="26" customWidth="1" style="438" min="2" max="2"/>
    <col width="11" customWidth="1" style="438" min="3" max="3"/>
    <col width="12" customWidth="1" style="438" min="4" max="6"/>
    <col width="14" customWidth="1" style="438" min="7" max="10"/>
  </cols>
  <sheetData>
    <row r="1" ht="28" customHeight="1" s="438">
      <c r="A1" s="462" t="inlineStr">
        <is>
          <t>歩留まり乖離分析　（⑧入力後に自動更新）</t>
        </is>
      </c>
    </row>
    <row r="2" ht="16" customHeight="1" s="438">
      <c r="A2" s="467" t="inlineStr">
        <is>
          <t>登録歩留 vs 現場歩留の差を自動集計　|　乖離が大きい商品＝原料ロス改善の優先ターゲット</t>
        </is>
      </c>
    </row>
    <row r="3" ht="8" customHeight="1" s="438"/>
    <row r="4" ht="22" customHeight="1" s="438">
      <c r="A4" s="89" t="inlineStr">
        <is>
          <t>No.</t>
        </is>
      </c>
      <c r="B4" s="89" t="inlineStr">
        <is>
          <t>中間品名</t>
        </is>
      </c>
      <c r="C4" s="89" t="inlineStr">
        <is>
          <t>機器</t>
        </is>
      </c>
      <c r="D4" s="89" t="inlineStr">
        <is>
          <t>登録歩留(%)</t>
        </is>
      </c>
      <c r="E4" s="89" t="inlineStr">
        <is>
          <t>現場歩留(%)</t>
        </is>
      </c>
      <c r="F4" s="89" t="inlineStr">
        <is>
          <t>歩留乖離(%)</t>
        </is>
      </c>
      <c r="G4" s="89" t="inlineStr">
        <is>
          <t>登録原料費(円)</t>
        </is>
      </c>
      <c r="H4" s="89" t="inlineStr">
        <is>
          <t>現場原料費(円)</t>
        </is>
      </c>
      <c r="I4" s="89" t="inlineStr">
        <is>
          <t>原料費乖離(円)</t>
        </is>
      </c>
      <c r="J4" s="89" t="inlineStr">
        <is>
          <t>改善優先度</t>
        </is>
      </c>
    </row>
    <row r="5" ht="17" customHeight="1" s="438">
      <c r="A5" s="66" t="n">
        <v>1</v>
      </c>
      <c r="B5" s="67" t="inlineStr">
        <is>
          <t>筑前煮　人参煮</t>
        </is>
      </c>
      <c r="C5" s="68" t="inlineStr">
        <is>
          <t>釜①265ℓ</t>
        </is>
      </c>
      <c r="D5" s="535">
        <f>⑧原料費入力台帳!G6</f>
        <v/>
      </c>
      <c r="E5" s="535">
        <f>⑧原料費入力台帳!K6</f>
        <v/>
      </c>
      <c r="F5" s="536">
        <f>IF(OR(D5="",E5=""),"",E5-D5)</f>
        <v/>
      </c>
      <c r="G5" s="179">
        <f>⑧原料費入力台帳!H6</f>
        <v/>
      </c>
      <c r="H5" s="179">
        <f>⑧原料費入力台帳!L6</f>
        <v/>
      </c>
      <c r="I5" s="537">
        <f>⑧原料費入力台帳!N6</f>
        <v/>
      </c>
      <c r="J5" s="148">
        <f>IF(I5="","未入力",IF(I5&gt;=10000,"★★★ 最優先",IF(I5&gt;=5000,"★★ 優先",IF(I5&gt;=1000,"★ 要確認","○ 許容"))))</f>
        <v/>
      </c>
    </row>
    <row r="6" ht="17" customHeight="1" s="438">
      <c r="A6" s="71" t="n">
        <v>2</v>
      </c>
      <c r="B6" s="72" t="inlineStr">
        <is>
          <t>鶏飯</t>
        </is>
      </c>
      <c r="C6" s="73" t="inlineStr">
        <is>
          <t>釜①265ℓ</t>
        </is>
      </c>
      <c r="D6" s="538">
        <f>⑧原料費入力台帳!G7</f>
        <v/>
      </c>
      <c r="E6" s="538">
        <f>⑧原料費入力台帳!K7</f>
        <v/>
      </c>
      <c r="F6" s="539">
        <f>IF(OR(D6="",E6=""),"",E6-D6)</f>
        <v/>
      </c>
      <c r="G6" s="183">
        <f>⑧原料費入力台帳!H7</f>
        <v/>
      </c>
      <c r="H6" s="183">
        <f>⑧原料費入力台帳!L7</f>
        <v/>
      </c>
      <c r="I6" s="540">
        <f>⑧原料費入力台帳!N7</f>
        <v/>
      </c>
      <c r="J6" s="185">
        <f>IF(I6="","未入力",IF(I6&gt;=10000,"★★★ 最優先",IF(I6&gt;=5000,"★★ 優先",IF(I6&gt;=1000,"★ 要確認","○ 許容"))))</f>
        <v/>
      </c>
    </row>
    <row r="7" ht="17" customHeight="1" s="438">
      <c r="A7" s="66" t="n">
        <v>3</v>
      </c>
      <c r="B7" s="67" t="inlineStr">
        <is>
          <t>3種マカロニ（人参）</t>
        </is>
      </c>
      <c r="C7" s="68" t="inlineStr">
        <is>
          <t>釜①265ℓ</t>
        </is>
      </c>
      <c r="D7" s="535">
        <f>⑧原料費入力台帳!G8</f>
        <v/>
      </c>
      <c r="E7" s="535">
        <f>⑧原料費入力台帳!K8</f>
        <v/>
      </c>
      <c r="F7" s="536">
        <f>IF(OR(D7="",E7=""),"",E7-D7)</f>
        <v/>
      </c>
      <c r="G7" s="179">
        <f>⑧原料費入力台帳!H8</f>
        <v/>
      </c>
      <c r="H7" s="179">
        <f>⑧原料費入力台帳!L8</f>
        <v/>
      </c>
      <c r="I7" s="537">
        <f>⑧原料費入力台帳!N8</f>
        <v/>
      </c>
      <c r="J7" s="148">
        <f>IF(I7="","未入力",IF(I7&gt;=10000,"★★★ 最優先",IF(I7&gt;=5000,"★★ 優先",IF(I7&gt;=1000,"★ 要確認","○ 許容"))))</f>
        <v/>
      </c>
    </row>
    <row r="8" ht="17" customHeight="1" s="438">
      <c r="A8" s="71" t="n">
        <v>4</v>
      </c>
      <c r="B8" s="72" t="inlineStr">
        <is>
          <t>3種マカロニ（タマネギ）</t>
        </is>
      </c>
      <c r="C8" s="73" t="inlineStr">
        <is>
          <t>釜①265ℓ</t>
        </is>
      </c>
      <c r="D8" s="538">
        <f>⑧原料費入力台帳!G9</f>
        <v/>
      </c>
      <c r="E8" s="538">
        <f>⑧原料費入力台帳!K9</f>
        <v/>
      </c>
      <c r="F8" s="539">
        <f>IF(OR(D8="",E8=""),"",E8-D8)</f>
        <v/>
      </c>
      <c r="G8" s="183">
        <f>⑧原料費入力台帳!H9</f>
        <v/>
      </c>
      <c r="H8" s="183">
        <f>⑧原料費入力台帳!L9</f>
        <v/>
      </c>
      <c r="I8" s="540">
        <f>⑧原料費入力台帳!N9</f>
        <v/>
      </c>
      <c r="J8" s="185">
        <f>IF(I8="","未入力",IF(I8&gt;=10000,"★★★ 最優先",IF(I8&gt;=5000,"★★ 優先",IF(I8&gt;=1000,"★ 要確認","○ 許容"))))</f>
        <v/>
      </c>
    </row>
    <row r="9" ht="17" customHeight="1" s="438">
      <c r="A9" s="66" t="n">
        <v>5</v>
      </c>
      <c r="B9" s="67" t="inlineStr">
        <is>
          <t>マカサラ（人参）</t>
        </is>
      </c>
      <c r="C9" s="68" t="inlineStr">
        <is>
          <t>釜①265ℓ</t>
        </is>
      </c>
      <c r="D9" s="535">
        <f>⑧原料費入力台帳!G10</f>
        <v/>
      </c>
      <c r="E9" s="535">
        <f>⑧原料費入力台帳!K10</f>
        <v/>
      </c>
      <c r="F9" s="536">
        <f>IF(OR(D9="",E9=""),"",E9-D9)</f>
        <v/>
      </c>
      <c r="G9" s="179">
        <f>⑧原料費入力台帳!H10</f>
        <v/>
      </c>
      <c r="H9" s="179">
        <f>⑧原料費入力台帳!L10</f>
        <v/>
      </c>
      <c r="I9" s="537">
        <f>⑧原料費入力台帳!N10</f>
        <v/>
      </c>
      <c r="J9" s="148">
        <f>IF(I9="","未入力",IF(I9&gt;=10000,"★★★ 最優先",IF(I9&gt;=5000,"★★ 優先",IF(I9&gt;=1000,"★ 要確認","○ 許容"))))</f>
        <v/>
      </c>
    </row>
    <row r="10" ht="17" customHeight="1" s="438">
      <c r="A10" s="71" t="n">
        <v>6</v>
      </c>
      <c r="B10" s="72" t="inlineStr">
        <is>
          <t>うどん麺ボイル</t>
        </is>
      </c>
      <c r="C10" s="73" t="inlineStr">
        <is>
          <t>釜①265ℓ</t>
        </is>
      </c>
      <c r="D10" s="538">
        <f>⑧原料費入力台帳!G11</f>
        <v/>
      </c>
      <c r="E10" s="538">
        <f>⑧原料費入力台帳!K11</f>
        <v/>
      </c>
      <c r="F10" s="539">
        <f>IF(OR(D10="",E10=""),"",E10-D10)</f>
        <v/>
      </c>
      <c r="G10" s="183">
        <f>⑧原料費入力台帳!H11</f>
        <v/>
      </c>
      <c r="H10" s="183">
        <f>⑧原料費入力台帳!L11</f>
        <v/>
      </c>
      <c r="I10" s="540">
        <f>⑧原料費入力台帳!N11</f>
        <v/>
      </c>
      <c r="J10" s="185">
        <f>IF(I10="","未入力",IF(I10&gt;=10000,"★★★ 最優先",IF(I10&gt;=5000,"★★ 優先",IF(I10&gt;=1000,"★ 要確認","○ 許容"))))</f>
        <v/>
      </c>
    </row>
    <row r="11" ht="17" customHeight="1" s="438">
      <c r="A11" s="66" t="n">
        <v>7</v>
      </c>
      <c r="B11" s="67" t="inlineStr">
        <is>
          <t>マカサラ　細マカロニ</t>
        </is>
      </c>
      <c r="C11" s="68" t="inlineStr">
        <is>
          <t>釜①265ℓ</t>
        </is>
      </c>
      <c r="D11" s="535">
        <f>⑧原料費入力台帳!G12</f>
        <v/>
      </c>
      <c r="E11" s="535">
        <f>⑧原料費入力台帳!K12</f>
        <v/>
      </c>
      <c r="F11" s="536">
        <f>IF(OR(D11="",E11=""),"",E11-D11)</f>
        <v/>
      </c>
      <c r="G11" s="179">
        <f>⑧原料費入力台帳!H12</f>
        <v/>
      </c>
      <c r="H11" s="179">
        <f>⑧原料費入力台帳!L12</f>
        <v/>
      </c>
      <c r="I11" s="537">
        <f>⑧原料費入力台帳!N12</f>
        <v/>
      </c>
      <c r="J11" s="148">
        <f>IF(I11="","未入力",IF(I11&gt;=10000,"★★★ 最優先",IF(I11&gt;=5000,"★★ 優先",IF(I11&gt;=1000,"★ 要確認","○ 許容"))))</f>
        <v/>
      </c>
    </row>
    <row r="12" ht="17" customHeight="1" s="438">
      <c r="A12" s="71" t="n">
        <v>8</v>
      </c>
      <c r="B12" s="72" t="inlineStr">
        <is>
          <t>スパボイル（1.9mm）</t>
        </is>
      </c>
      <c r="C12" s="73" t="inlineStr">
        <is>
          <t>釜①265ℓ</t>
        </is>
      </c>
      <c r="D12" s="538">
        <f>⑧原料費入力台帳!G13</f>
        <v/>
      </c>
      <c r="E12" s="538">
        <f>⑧原料費入力台帳!K13</f>
        <v/>
      </c>
      <c r="F12" s="539">
        <f>IF(OR(D12="",E12=""),"",E12-D12)</f>
        <v/>
      </c>
      <c r="G12" s="183">
        <f>⑧原料費入力台帳!H13</f>
        <v/>
      </c>
      <c r="H12" s="183">
        <f>⑧原料費入力台帳!L13</f>
        <v/>
      </c>
      <c r="I12" s="540">
        <f>⑧原料費入力台帳!N13</f>
        <v/>
      </c>
      <c r="J12" s="185">
        <f>IF(I12="","未入力",IF(I12&gt;=10000,"★★★ 最優先",IF(I12&gt;=5000,"★★ 優先",IF(I12&gt;=1000,"★ 要確認","○ 許容"))))</f>
        <v/>
      </c>
    </row>
    <row r="13" ht="17" customHeight="1" s="438">
      <c r="A13" s="66" t="n">
        <v>9</v>
      </c>
      <c r="B13" s="67" t="inlineStr">
        <is>
          <t>ラーメンスープ</t>
        </is>
      </c>
      <c r="C13" s="68" t="inlineStr">
        <is>
          <t>釜①265ℓ</t>
        </is>
      </c>
      <c r="D13" s="535">
        <f>⑧原料費入力台帳!G14</f>
        <v/>
      </c>
      <c r="E13" s="535">
        <f>⑧原料費入力台帳!K14</f>
        <v/>
      </c>
      <c r="F13" s="536">
        <f>IF(OR(D13="",E13=""),"",E13-D13)</f>
        <v/>
      </c>
      <c r="G13" s="179">
        <f>⑧原料費入力台帳!H14</f>
        <v/>
      </c>
      <c r="H13" s="179">
        <f>⑧原料費入力台帳!L14</f>
        <v/>
      </c>
      <c r="I13" s="537">
        <f>⑧原料費入力台帳!N14</f>
        <v/>
      </c>
      <c r="J13" s="148">
        <f>IF(I13="","未入力",IF(I13&gt;=10000,"★★★ 最優先",IF(I13&gt;=5000,"★★ 優先",IF(I13&gt;=1000,"★ 要確認","○ 許容"))))</f>
        <v/>
      </c>
    </row>
    <row r="14" ht="17" customHeight="1" s="438">
      <c r="A14" s="71" t="n">
        <v>10</v>
      </c>
      <c r="B14" s="72" t="inlineStr">
        <is>
          <t>ちゃんぽんスープ</t>
        </is>
      </c>
      <c r="C14" s="73" t="inlineStr">
        <is>
          <t>釜①265ℓ</t>
        </is>
      </c>
      <c r="D14" s="538">
        <f>⑧原料費入力台帳!G15</f>
        <v/>
      </c>
      <c r="E14" s="538">
        <f>⑧原料費入力台帳!K15</f>
        <v/>
      </c>
      <c r="F14" s="539">
        <f>IF(OR(D14="",E14=""),"",E14-D14)</f>
        <v/>
      </c>
      <c r="G14" s="183">
        <f>⑧原料費入力台帳!H15</f>
        <v/>
      </c>
      <c r="H14" s="183">
        <f>⑧原料費入力台帳!L15</f>
        <v/>
      </c>
      <c r="I14" s="540">
        <f>⑧原料費入力台帳!N15</f>
        <v/>
      </c>
      <c r="J14" s="185">
        <f>IF(I14="","未入力",IF(I14&gt;=10000,"★★★ 最優先",IF(I14&gt;=5000,"★★ 優先",IF(I14&gt;=1000,"★ 要確認","○ 許容"))))</f>
        <v/>
      </c>
    </row>
    <row r="15" ht="17" customHeight="1" s="438">
      <c r="A15" s="66" t="n">
        <v>11</v>
      </c>
      <c r="B15" s="67" t="inlineStr">
        <is>
          <t>鶏そぼろ</t>
        </is>
      </c>
      <c r="C15" s="68" t="inlineStr">
        <is>
          <t>釜①265ℓ</t>
        </is>
      </c>
      <c r="D15" s="535">
        <f>⑧原料費入力台帳!G16</f>
        <v/>
      </c>
      <c r="E15" s="535">
        <f>⑧原料費入力台帳!K16</f>
        <v/>
      </c>
      <c r="F15" s="536">
        <f>IF(OR(D15="",E15=""),"",E15-D15)</f>
        <v/>
      </c>
      <c r="G15" s="179">
        <f>⑧原料費入力台帳!H16</f>
        <v/>
      </c>
      <c r="H15" s="179">
        <f>⑧原料費入力台帳!L16</f>
        <v/>
      </c>
      <c r="I15" s="537">
        <f>⑧原料費入力台帳!N16</f>
        <v/>
      </c>
      <c r="J15" s="148">
        <f>IF(I15="","未入力",IF(I15&gt;=10000,"★★★ 最優先",IF(I15&gt;=5000,"★★ 優先",IF(I15&gt;=1000,"★ 要確認","○ 許容"))))</f>
        <v/>
      </c>
    </row>
    <row r="16" ht="17" customHeight="1" s="438">
      <c r="A16" s="71" t="n">
        <v>12</v>
      </c>
      <c r="B16" s="72" t="inlineStr">
        <is>
          <t>辛麺スープ</t>
        </is>
      </c>
      <c r="C16" s="73" t="inlineStr">
        <is>
          <t>釜①265ℓ</t>
        </is>
      </c>
      <c r="D16" s="538">
        <f>⑧原料費入力台帳!G17</f>
        <v/>
      </c>
      <c r="E16" s="538">
        <f>⑧原料費入力台帳!K17</f>
        <v/>
      </c>
      <c r="F16" s="539">
        <f>IF(OR(D16="",E16=""),"",E16-D16)</f>
        <v/>
      </c>
      <c r="G16" s="183">
        <f>⑧原料費入力台帳!H17</f>
        <v/>
      </c>
      <c r="H16" s="183">
        <f>⑧原料費入力台帳!L17</f>
        <v/>
      </c>
      <c r="I16" s="540">
        <f>⑧原料費入力台帳!N17</f>
        <v/>
      </c>
      <c r="J16" s="185">
        <f>IF(I16="","未入力",IF(I16&gt;=10000,"★★★ 最優先",IF(I16&gt;=5000,"★★ 優先",IF(I16&gt;=1000,"★ 要確認","○ 許容"))))</f>
        <v/>
      </c>
    </row>
    <row r="17" ht="17" customHeight="1" s="438">
      <c r="A17" s="66" t="n">
        <v>13</v>
      </c>
      <c r="B17" s="67" t="inlineStr">
        <is>
          <t>ちゃんぽん　イカボイル</t>
        </is>
      </c>
      <c r="C17" s="68" t="inlineStr">
        <is>
          <t>釜①265ℓ</t>
        </is>
      </c>
      <c r="D17" s="535">
        <f>⑧原料費入力台帳!G18</f>
        <v/>
      </c>
      <c r="E17" s="535">
        <f>⑧原料費入力台帳!K18</f>
        <v/>
      </c>
      <c r="F17" s="536">
        <f>IF(OR(D17="",E17=""),"",E17-D17)</f>
        <v/>
      </c>
      <c r="G17" s="179">
        <f>⑧原料費入力台帳!H18</f>
        <v/>
      </c>
      <c r="H17" s="179">
        <f>⑧原料費入力台帳!L18</f>
        <v/>
      </c>
      <c r="I17" s="537">
        <f>⑧原料費入力台帳!N18</f>
        <v/>
      </c>
      <c r="J17" s="148">
        <f>IF(I17="","未入力",IF(I17&gt;=10000,"★★★ 最優先",IF(I17&gt;=5000,"★★ 優先",IF(I17&gt;=1000,"★ 要確認","○ 許容"))))</f>
        <v/>
      </c>
    </row>
    <row r="18" ht="17" customHeight="1" s="438">
      <c r="A18" s="71" t="n">
        <v>14</v>
      </c>
      <c r="B18" s="72" t="inlineStr">
        <is>
          <t>豚汁　こんにゃく</t>
        </is>
      </c>
      <c r="C18" s="73" t="inlineStr">
        <is>
          <t>釜①265ℓ</t>
        </is>
      </c>
      <c r="D18" s="538">
        <f>⑧原料費入力台帳!G19</f>
        <v/>
      </c>
      <c r="E18" s="538">
        <f>⑧原料費入力台帳!K19</f>
        <v/>
      </c>
      <c r="F18" s="539">
        <f>IF(OR(D18="",E18=""),"",E18-D18)</f>
        <v/>
      </c>
      <c r="G18" s="183">
        <f>⑧原料費入力台帳!H19</f>
        <v/>
      </c>
      <c r="H18" s="183">
        <f>⑧原料費入力台帳!L19</f>
        <v/>
      </c>
      <c r="I18" s="540">
        <f>⑧原料費入力台帳!N19</f>
        <v/>
      </c>
      <c r="J18" s="185">
        <f>IF(I18="","未入力",IF(I18&gt;=10000,"★★★ 最優先",IF(I18&gt;=5000,"★★ 優先",IF(I18&gt;=1000,"★ 要確認","○ 許容"))))</f>
        <v/>
      </c>
    </row>
    <row r="19" ht="17" customHeight="1" s="438">
      <c r="A19" s="66" t="n">
        <v>15</v>
      </c>
      <c r="B19" s="67" t="inlineStr">
        <is>
          <t>豚汁　スープ</t>
        </is>
      </c>
      <c r="C19" s="68" t="inlineStr">
        <is>
          <t>釜①265ℓ</t>
        </is>
      </c>
      <c r="D19" s="535">
        <f>⑧原料費入力台帳!G20</f>
        <v/>
      </c>
      <c r="E19" s="535">
        <f>⑧原料費入力台帳!K20</f>
        <v/>
      </c>
      <c r="F19" s="536">
        <f>IF(OR(D19="",E19=""),"",E19-D19)</f>
        <v/>
      </c>
      <c r="G19" s="179">
        <f>⑧原料費入力台帳!H20</f>
        <v/>
      </c>
      <c r="H19" s="179">
        <f>⑧原料費入力台帳!L20</f>
        <v/>
      </c>
      <c r="I19" s="537">
        <f>⑧原料費入力台帳!N20</f>
        <v/>
      </c>
      <c r="J19" s="148">
        <f>IF(I19="","未入力",IF(I19&gt;=10000,"★★★ 最優先",IF(I19&gt;=5000,"★★ 優先",IF(I19&gt;=1000,"★ 要確認","○ 許容"))))</f>
        <v/>
      </c>
    </row>
    <row r="20" ht="17" customHeight="1" s="438">
      <c r="A20" s="71" t="n">
        <v>16</v>
      </c>
      <c r="B20" s="72" t="inlineStr">
        <is>
          <t>肉豆腐</t>
        </is>
      </c>
      <c r="C20" s="73" t="inlineStr">
        <is>
          <t>釜①265ℓ</t>
        </is>
      </c>
      <c r="D20" s="538">
        <f>⑧原料費入力台帳!G21</f>
        <v/>
      </c>
      <c r="E20" s="538">
        <f>⑧原料費入力台帳!K21</f>
        <v/>
      </c>
      <c r="F20" s="539">
        <f>IF(OR(D20="",E20=""),"",E20-D20)</f>
        <v/>
      </c>
      <c r="G20" s="183">
        <f>⑧原料費入力台帳!H21</f>
        <v/>
      </c>
      <c r="H20" s="183">
        <f>⑧原料費入力台帳!L21</f>
        <v/>
      </c>
      <c r="I20" s="540">
        <f>⑧原料費入力台帳!N21</f>
        <v/>
      </c>
      <c r="J20" s="185">
        <f>IF(I20="","未入力",IF(I20&gt;=10000,"★★★ 最優先",IF(I20&gt;=5000,"★★ 優先",IF(I20&gt;=1000,"★ 要確認","○ 許容"))))</f>
        <v/>
      </c>
    </row>
    <row r="21" ht="17" customHeight="1" s="438">
      <c r="A21" s="66" t="n">
        <v>17</v>
      </c>
      <c r="B21" s="67" t="inlineStr">
        <is>
          <t>推しプリン</t>
        </is>
      </c>
      <c r="C21" s="68" t="inlineStr">
        <is>
          <t>釜①265ℓ</t>
        </is>
      </c>
      <c r="D21" s="535">
        <f>⑧原料費入力台帳!G22</f>
        <v/>
      </c>
      <c r="E21" s="535">
        <f>⑧原料費入力台帳!K22</f>
        <v/>
      </c>
      <c r="F21" s="536">
        <f>IF(OR(D21="",E21=""),"",E21-D21)</f>
        <v/>
      </c>
      <c r="G21" s="179">
        <f>⑧原料費入力台帳!H22</f>
        <v/>
      </c>
      <c r="H21" s="179">
        <f>⑧原料費入力台帳!L22</f>
        <v/>
      </c>
      <c r="I21" s="537">
        <f>⑧原料費入力台帳!N22</f>
        <v/>
      </c>
      <c r="J21" s="148">
        <f>IF(I21="","未入力",IF(I21&gt;=10000,"★★★ 最優先",IF(I21&gt;=5000,"★★ 優先",IF(I21&gt;=1000,"★ 要確認","○ 許容"))))</f>
        <v/>
      </c>
    </row>
    <row r="22" ht="17" customHeight="1" s="438">
      <c r="A22" s="71" t="n">
        <v>18</v>
      </c>
      <c r="B22" s="72" t="inlineStr">
        <is>
          <t>筑前煮　里芋煮</t>
        </is>
      </c>
      <c r="C22" s="75" t="inlineStr">
        <is>
          <t>釜②265ℓ</t>
        </is>
      </c>
      <c r="D22" s="538">
        <f>⑧原料費入力台帳!G23</f>
        <v/>
      </c>
      <c r="E22" s="538">
        <f>⑧原料費入力台帳!K23</f>
        <v/>
      </c>
      <c r="F22" s="539">
        <f>IF(OR(D22="",E22=""),"",E22-D22)</f>
        <v/>
      </c>
      <c r="G22" s="183">
        <f>⑧原料費入力台帳!H23</f>
        <v/>
      </c>
      <c r="H22" s="183">
        <f>⑧原料費入力台帳!L23</f>
        <v/>
      </c>
      <c r="I22" s="540">
        <f>⑧原料費入力台帳!N23</f>
        <v/>
      </c>
      <c r="J22" s="185">
        <f>IF(I22="","未入力",IF(I22&gt;=10000,"★★★ 最優先",IF(I22&gt;=5000,"★★ 優先",IF(I22&gt;=1000,"★ 要確認","○ 許容"))))</f>
        <v/>
      </c>
    </row>
    <row r="23" ht="17" customHeight="1" s="438">
      <c r="A23" s="66" t="n">
        <v>19</v>
      </c>
      <c r="B23" s="67" t="inlineStr">
        <is>
          <t>筑前煮　鶏肉煮</t>
        </is>
      </c>
      <c r="C23" s="76" t="inlineStr">
        <is>
          <t>釜②265ℓ</t>
        </is>
      </c>
      <c r="D23" s="535">
        <f>⑧原料費入力台帳!G24</f>
        <v/>
      </c>
      <c r="E23" s="535">
        <f>⑧原料費入力台帳!K24</f>
        <v/>
      </c>
      <c r="F23" s="536">
        <f>IF(OR(D23="",E23=""),"",E23-D23)</f>
        <v/>
      </c>
      <c r="G23" s="179">
        <f>⑧原料費入力台帳!H24</f>
        <v/>
      </c>
      <c r="H23" s="179">
        <f>⑧原料費入力台帳!L24</f>
        <v/>
      </c>
      <c r="I23" s="537">
        <f>⑧原料費入力台帳!N24</f>
        <v/>
      </c>
      <c r="J23" s="148">
        <f>IF(I23="","未入力",IF(I23&gt;=10000,"★★★ 最優先",IF(I23&gt;=5000,"★★ 優先",IF(I23&gt;=1000,"★ 要確認","○ 許容"))))</f>
        <v/>
      </c>
    </row>
    <row r="24" ht="17" customHeight="1" s="438">
      <c r="A24" s="71" t="n">
        <v>20</v>
      </c>
      <c r="B24" s="72" t="inlineStr">
        <is>
          <t>赤ウインナー</t>
        </is>
      </c>
      <c r="C24" s="75" t="inlineStr">
        <is>
          <t>釜②265ℓ</t>
        </is>
      </c>
      <c r="D24" s="538">
        <f>⑧原料費入力台帳!G25</f>
        <v/>
      </c>
      <c r="E24" s="538">
        <f>⑧原料費入力台帳!K25</f>
        <v/>
      </c>
      <c r="F24" s="539">
        <f>IF(OR(D24="",E24=""),"",E24-D24)</f>
        <v/>
      </c>
      <c r="G24" s="183">
        <f>⑧原料費入力台帳!H25</f>
        <v/>
      </c>
      <c r="H24" s="183">
        <f>⑧原料費入力台帳!L25</f>
        <v/>
      </c>
      <c r="I24" s="540">
        <f>⑧原料費入力台帳!N25</f>
        <v/>
      </c>
      <c r="J24" s="185">
        <f>IF(I24="","未入力",IF(I24&gt;=10000,"★★★ 最優先",IF(I24&gt;=5000,"★★ 優先",IF(I24&gt;=1000,"★ 要確認","○ 許容"))))</f>
        <v/>
      </c>
    </row>
    <row r="25" ht="17" customHeight="1" s="438">
      <c r="A25" s="66" t="n">
        <v>21</v>
      </c>
      <c r="B25" s="67" t="inlineStr">
        <is>
          <t>キンパ　肉</t>
        </is>
      </c>
      <c r="C25" s="76" t="inlineStr">
        <is>
          <t>釜②265ℓ</t>
        </is>
      </c>
      <c r="D25" s="535">
        <f>⑧原料費入力台帳!G26</f>
        <v/>
      </c>
      <c r="E25" s="535">
        <f>⑧原料費入力台帳!K26</f>
        <v/>
      </c>
      <c r="F25" s="536">
        <f>IF(OR(D25="",E25=""),"",E25-D25)</f>
        <v/>
      </c>
      <c r="G25" s="179">
        <f>⑧原料費入力台帳!H26</f>
        <v/>
      </c>
      <c r="H25" s="179">
        <f>⑧原料費入力台帳!L26</f>
        <v/>
      </c>
      <c r="I25" s="537">
        <f>⑧原料費入力台帳!N26</f>
        <v/>
      </c>
      <c r="J25" s="148">
        <f>IF(I25="","未入力",IF(I25&gt;=10000,"★★★ 最優先",IF(I25&gt;=5000,"★★ 優先",IF(I25&gt;=1000,"★ 要確認","○ 許容"))))</f>
        <v/>
      </c>
    </row>
    <row r="26" ht="17" customHeight="1" s="438">
      <c r="A26" s="71" t="n">
        <v>22</v>
      </c>
      <c r="B26" s="72" t="inlineStr">
        <is>
          <t>ビーフン　肉ボイル</t>
        </is>
      </c>
      <c r="C26" s="75" t="inlineStr">
        <is>
          <t>釜②265ℓ</t>
        </is>
      </c>
      <c r="D26" s="538">
        <f>⑧原料費入力台帳!G27</f>
        <v/>
      </c>
      <c r="E26" s="538">
        <f>⑧原料費入力台帳!K27</f>
        <v/>
      </c>
      <c r="F26" s="539">
        <f>IF(OR(D26="",E26=""),"",E26-D26)</f>
        <v/>
      </c>
      <c r="G26" s="183">
        <f>⑧原料費入力台帳!H27</f>
        <v/>
      </c>
      <c r="H26" s="183">
        <f>⑧原料費入力台帳!L27</f>
        <v/>
      </c>
      <c r="I26" s="540">
        <f>⑧原料費入力台帳!N27</f>
        <v/>
      </c>
      <c r="J26" s="185">
        <f>IF(I26="","未入力",IF(I26&gt;=10000,"★★★ 最優先",IF(I26&gt;=5000,"★★ 優先",IF(I26&gt;=1000,"★ 要確認","○ 許容"))))</f>
        <v/>
      </c>
    </row>
    <row r="27" ht="17" customHeight="1" s="438">
      <c r="A27" s="66" t="n">
        <v>23</v>
      </c>
      <c r="B27" s="67" t="inlineStr">
        <is>
          <t>ビーフン　きくらげ</t>
        </is>
      </c>
      <c r="C27" s="76" t="inlineStr">
        <is>
          <t>釜②265ℓ</t>
        </is>
      </c>
      <c r="D27" s="535">
        <f>⑧原料費入力台帳!G28</f>
        <v/>
      </c>
      <c r="E27" s="535">
        <f>⑧原料費入力台帳!K28</f>
        <v/>
      </c>
      <c r="F27" s="536">
        <f>IF(OR(D27="",E27=""),"",E27-D27)</f>
        <v/>
      </c>
      <c r="G27" s="179">
        <f>⑧原料費入力台帳!H28</f>
        <v/>
      </c>
      <c r="H27" s="179">
        <f>⑧原料費入力台帳!L28</f>
        <v/>
      </c>
      <c r="I27" s="537">
        <f>⑧原料費入力台帳!N28</f>
        <v/>
      </c>
      <c r="J27" s="148">
        <f>IF(I27="","未入力",IF(I27&gt;=10000,"★★★ 最優先",IF(I27&gt;=5000,"★★ 優先",IF(I27&gt;=1000,"★ 要確認","○ 許容"))))</f>
        <v/>
      </c>
    </row>
    <row r="28" ht="17" customHeight="1" s="438">
      <c r="A28" s="71" t="n">
        <v>24</v>
      </c>
      <c r="B28" s="72" t="inlineStr">
        <is>
          <t>牛焼肉マヨ</t>
        </is>
      </c>
      <c r="C28" s="75" t="inlineStr">
        <is>
          <t>釜②265ℓ</t>
        </is>
      </c>
      <c r="D28" s="538">
        <f>⑧原料費入力台帳!G29</f>
        <v/>
      </c>
      <c r="E28" s="538">
        <f>⑧原料費入力台帳!K29</f>
        <v/>
      </c>
      <c r="F28" s="539">
        <f>IF(OR(D28="",E28=""),"",E28-D28)</f>
        <v/>
      </c>
      <c r="G28" s="183">
        <f>⑧原料費入力台帳!H29</f>
        <v/>
      </c>
      <c r="H28" s="183">
        <f>⑧原料費入力台帳!L29</f>
        <v/>
      </c>
      <c r="I28" s="540">
        <f>⑧原料費入力台帳!N29</f>
        <v/>
      </c>
      <c r="J28" s="185">
        <f>IF(I28="","未入力",IF(I28&gt;=10000,"★★★ 最優先",IF(I28&gt;=5000,"★★ 優先",IF(I28&gt;=1000,"★ 要確認","○ 許容"))))</f>
        <v/>
      </c>
    </row>
    <row r="29" ht="17" customHeight="1" s="438">
      <c r="A29" s="66" t="n">
        <v>25</v>
      </c>
      <c r="B29" s="67" t="inlineStr">
        <is>
          <t>うどん　肉</t>
        </is>
      </c>
      <c r="C29" s="76" t="inlineStr">
        <is>
          <t>釜②265ℓ</t>
        </is>
      </c>
      <c r="D29" s="535">
        <f>⑧原料費入力台帳!G30</f>
        <v/>
      </c>
      <c r="E29" s="535">
        <f>⑧原料費入力台帳!K30</f>
        <v/>
      </c>
      <c r="F29" s="536">
        <f>IF(OR(D29="",E29=""),"",E29-D29)</f>
        <v/>
      </c>
      <c r="G29" s="179">
        <f>⑧原料費入力台帳!H30</f>
        <v/>
      </c>
      <c r="H29" s="179">
        <f>⑧原料費入力台帳!L30</f>
        <v/>
      </c>
      <c r="I29" s="537">
        <f>⑧原料費入力台帳!N30</f>
        <v/>
      </c>
      <c r="J29" s="148">
        <f>IF(I29="","未入力",IF(I29&gt;=10000,"★★★ 最優先",IF(I29&gt;=5000,"★★ 優先",IF(I29&gt;=1000,"★ 要確認","○ 許容"))))</f>
        <v/>
      </c>
    </row>
    <row r="30" ht="17" customHeight="1" s="438">
      <c r="A30" s="71" t="n">
        <v>26</v>
      </c>
      <c r="B30" s="72" t="inlineStr">
        <is>
          <t>うどん　ワカメ</t>
        </is>
      </c>
      <c r="C30" s="75" t="inlineStr">
        <is>
          <t>釜②265ℓ</t>
        </is>
      </c>
      <c r="D30" s="538">
        <f>⑧原料費入力台帳!G31</f>
        <v/>
      </c>
      <c r="E30" s="538">
        <f>⑧原料費入力台帳!K31</f>
        <v/>
      </c>
      <c r="F30" s="539">
        <f>IF(OR(D30="",E30=""),"",E30-D30)</f>
        <v/>
      </c>
      <c r="G30" s="183">
        <f>⑧原料費入力台帳!H31</f>
        <v/>
      </c>
      <c r="H30" s="183">
        <f>⑧原料費入力台帳!L31</f>
        <v/>
      </c>
      <c r="I30" s="540">
        <f>⑧原料費入力台帳!N31</f>
        <v/>
      </c>
      <c r="J30" s="185">
        <f>IF(I30="","未入力",IF(I30&gt;=10000,"★★★ 最優先",IF(I30&gt;=5000,"★★ 優先",IF(I30&gt;=1000,"★ 要確認","○ 許容"))))</f>
        <v/>
      </c>
    </row>
    <row r="31" ht="17" customHeight="1" s="438">
      <c r="A31" s="66" t="n">
        <v>27</v>
      </c>
      <c r="B31" s="67" t="inlineStr">
        <is>
          <t>コーン</t>
        </is>
      </c>
      <c r="C31" s="76" t="inlineStr">
        <is>
          <t>釜②265ℓ</t>
        </is>
      </c>
      <c r="D31" s="535">
        <f>⑧原料費入力台帳!G32</f>
        <v/>
      </c>
      <c r="E31" s="535">
        <f>⑧原料費入力台帳!K32</f>
        <v/>
      </c>
      <c r="F31" s="536">
        <f>IF(OR(D31="",E31=""),"",E31-D31)</f>
        <v/>
      </c>
      <c r="G31" s="179">
        <f>⑧原料費入力台帳!H32</f>
        <v/>
      </c>
      <c r="H31" s="179">
        <f>⑧原料費入力台帳!L32</f>
        <v/>
      </c>
      <c r="I31" s="537">
        <f>⑧原料費入力台帳!N32</f>
        <v/>
      </c>
      <c r="J31" s="148">
        <f>IF(I31="","未入力",IF(I31&gt;=10000,"★★★ 最優先",IF(I31&gt;=5000,"★★ 優先",IF(I31&gt;=1000,"★ 要確認","○ 許容"))))</f>
        <v/>
      </c>
    </row>
    <row r="32" ht="17" customHeight="1" s="438">
      <c r="A32" s="71" t="n">
        <v>28</v>
      </c>
      <c r="B32" s="72" t="inlineStr">
        <is>
          <t>焼うどん　野菜</t>
        </is>
      </c>
      <c r="C32" s="75" t="inlineStr">
        <is>
          <t>釜②265ℓ</t>
        </is>
      </c>
      <c r="D32" s="538">
        <f>⑧原料費入力台帳!G33</f>
        <v/>
      </c>
      <c r="E32" s="538">
        <f>⑧原料費入力台帳!K33</f>
        <v/>
      </c>
      <c r="F32" s="539">
        <f>IF(OR(D32="",E32=""),"",E32-D32)</f>
        <v/>
      </c>
      <c r="G32" s="183">
        <f>⑧原料費入力台帳!H33</f>
        <v/>
      </c>
      <c r="H32" s="183">
        <f>⑧原料費入力台帳!L33</f>
        <v/>
      </c>
      <c r="I32" s="540">
        <f>⑧原料費入力台帳!N33</f>
        <v/>
      </c>
      <c r="J32" s="185">
        <f>IF(I32="","未入力",IF(I32&gt;=10000,"★★★ 最優先",IF(I32&gt;=5000,"★★ 優先",IF(I32&gt;=1000,"★ 要確認","○ 許容"))))</f>
        <v/>
      </c>
    </row>
    <row r="33" ht="17" customHeight="1" s="438">
      <c r="A33" s="66" t="n">
        <v>29</v>
      </c>
      <c r="B33" s="67" t="inlineStr">
        <is>
          <t>ネギ塩カルビソース</t>
        </is>
      </c>
      <c r="C33" s="76" t="inlineStr">
        <is>
          <t>釜②265ℓ</t>
        </is>
      </c>
      <c r="D33" s="535">
        <f>⑧原料費入力台帳!G34</f>
        <v/>
      </c>
      <c r="E33" s="535">
        <f>⑧原料費入力台帳!K34</f>
        <v/>
      </c>
      <c r="F33" s="536">
        <f>IF(OR(D33="",E33=""),"",E33-D33)</f>
        <v/>
      </c>
      <c r="G33" s="179">
        <f>⑧原料費入力台帳!H34</f>
        <v/>
      </c>
      <c r="H33" s="179">
        <f>⑧原料費入力台帳!L34</f>
        <v/>
      </c>
      <c r="I33" s="537">
        <f>⑧原料費入力台帳!N34</f>
        <v/>
      </c>
      <c r="J33" s="148">
        <f>IF(I33="","未入力",IF(I33&gt;=10000,"★★★ 最優先",IF(I33&gt;=5000,"★★ 優先",IF(I33&gt;=1000,"★ 要確認","○ 許容"))))</f>
        <v/>
      </c>
    </row>
    <row r="34" ht="17" customHeight="1" s="438">
      <c r="A34" s="71" t="n">
        <v>30</v>
      </c>
      <c r="B34" s="72" t="inlineStr">
        <is>
          <t>チキナポソーセージ</t>
        </is>
      </c>
      <c r="C34" s="75" t="inlineStr">
        <is>
          <t>釜②265ℓ</t>
        </is>
      </c>
      <c r="D34" s="538">
        <f>⑧原料費入力台帳!G35</f>
        <v/>
      </c>
      <c r="E34" s="538">
        <f>⑧原料費入力台帳!K35</f>
        <v/>
      </c>
      <c r="F34" s="539">
        <f>IF(OR(D34="",E34=""),"",E34-D34)</f>
        <v/>
      </c>
      <c r="G34" s="183">
        <f>⑧原料費入力台帳!H35</f>
        <v/>
      </c>
      <c r="H34" s="183">
        <f>⑧原料費入力台帳!L35</f>
        <v/>
      </c>
      <c r="I34" s="540">
        <f>⑧原料費入力台帳!N35</f>
        <v/>
      </c>
      <c r="J34" s="185">
        <f>IF(I34="","未入力",IF(I34&gt;=10000,"★★★ 最優先",IF(I34&gt;=5000,"★★ 優先",IF(I34&gt;=1000,"★ 要確認","○ 許容"))))</f>
        <v/>
      </c>
    </row>
    <row r="35" ht="17" customHeight="1" s="438">
      <c r="A35" s="66" t="n">
        <v>31</v>
      </c>
      <c r="B35" s="67" t="inlineStr">
        <is>
          <t>塩豆大福</t>
        </is>
      </c>
      <c r="C35" s="76" t="inlineStr">
        <is>
          <t>釜②265ℓ</t>
        </is>
      </c>
      <c r="D35" s="535">
        <f>⑧原料費入力台帳!G36</f>
        <v/>
      </c>
      <c r="E35" s="535">
        <f>⑧原料費入力台帳!K36</f>
        <v/>
      </c>
      <c r="F35" s="536">
        <f>IF(OR(D35="",E35=""),"",E35-D35)</f>
        <v/>
      </c>
      <c r="G35" s="179">
        <f>⑧原料費入力台帳!H36</f>
        <v/>
      </c>
      <c r="H35" s="179">
        <f>⑧原料費入力台帳!L36</f>
        <v/>
      </c>
      <c r="I35" s="537">
        <f>⑧原料費入力台帳!N36</f>
        <v/>
      </c>
      <c r="J35" s="148">
        <f>IF(I35="","未入力",IF(I35&gt;=10000,"★★★ 最優先",IF(I35&gt;=5000,"★★ 優先",IF(I35&gt;=1000,"★ 要確認","○ 許容"))))</f>
        <v/>
      </c>
    </row>
    <row r="36" ht="17" customHeight="1" s="438">
      <c r="A36" s="71" t="n">
        <v>32</v>
      </c>
      <c r="B36" s="72" t="inlineStr">
        <is>
          <t>ナポリタン　KIT</t>
        </is>
      </c>
      <c r="C36" s="75" t="inlineStr">
        <is>
          <t>釜②265ℓ</t>
        </is>
      </c>
      <c r="D36" s="538">
        <f>⑧原料費入力台帳!G37</f>
        <v/>
      </c>
      <c r="E36" s="538">
        <f>⑧原料費入力台帳!K37</f>
        <v/>
      </c>
      <c r="F36" s="539">
        <f>IF(OR(D36="",E36=""),"",E36-D36)</f>
        <v/>
      </c>
      <c r="G36" s="183">
        <f>⑧原料費入力台帳!H37</f>
        <v/>
      </c>
      <c r="H36" s="183">
        <f>⑧原料費入力台帳!L37</f>
        <v/>
      </c>
      <c r="I36" s="540">
        <f>⑧原料費入力台帳!N37</f>
        <v/>
      </c>
      <c r="J36" s="185">
        <f>IF(I36="","未入力",IF(I36&gt;=10000,"★★★ 最優先",IF(I36&gt;=5000,"★★ 優先",IF(I36&gt;=1000,"★ 要確認","○ 許容"))))</f>
        <v/>
      </c>
    </row>
    <row r="37" ht="17" customHeight="1" s="438">
      <c r="A37" s="66" t="n">
        <v>33</v>
      </c>
      <c r="B37" s="67" t="inlineStr">
        <is>
          <t>ナポリタン　ピーマン</t>
        </is>
      </c>
      <c r="C37" s="76" t="inlineStr">
        <is>
          <t>釜②265ℓ</t>
        </is>
      </c>
      <c r="D37" s="535">
        <f>⑧原料費入力台帳!G38</f>
        <v/>
      </c>
      <c r="E37" s="535">
        <f>⑧原料費入力台帳!K38</f>
        <v/>
      </c>
      <c r="F37" s="536">
        <f>IF(OR(D37="",E37=""),"",E37-D37)</f>
        <v/>
      </c>
      <c r="G37" s="179">
        <f>⑧原料費入力台帳!H38</f>
        <v/>
      </c>
      <c r="H37" s="179">
        <f>⑧原料費入力台帳!L38</f>
        <v/>
      </c>
      <c r="I37" s="537">
        <f>⑧原料費入力台帳!N38</f>
        <v/>
      </c>
      <c r="J37" s="148">
        <f>IF(I37="","未入力",IF(I37&gt;=10000,"★★★ 最優先",IF(I37&gt;=5000,"★★ 優先",IF(I37&gt;=1000,"★ 要確認","○ 許容"))))</f>
        <v/>
      </c>
    </row>
    <row r="38" ht="17" customHeight="1" s="438">
      <c r="A38" s="71" t="n">
        <v>34</v>
      </c>
      <c r="B38" s="72" t="inlineStr">
        <is>
          <t>いんげんボイル</t>
        </is>
      </c>
      <c r="C38" s="75" t="inlineStr">
        <is>
          <t>釜②265ℓ</t>
        </is>
      </c>
      <c r="D38" s="538">
        <f>⑧原料費入力台帳!G39</f>
        <v/>
      </c>
      <c r="E38" s="538">
        <f>⑧原料費入力台帳!K39</f>
        <v/>
      </c>
      <c r="F38" s="539">
        <f>IF(OR(D38="",E38=""),"",E38-D38)</f>
        <v/>
      </c>
      <c r="G38" s="183">
        <f>⑧原料費入力台帳!H39</f>
        <v/>
      </c>
      <c r="H38" s="183">
        <f>⑧原料費入力台帳!L39</f>
        <v/>
      </c>
      <c r="I38" s="540">
        <f>⑧原料費入力台帳!N39</f>
        <v/>
      </c>
      <c r="J38" s="185">
        <f>IF(I38="","未入力",IF(I38&gt;=10000,"★★★ 最優先",IF(I38&gt;=5000,"★★ 優先",IF(I38&gt;=1000,"★ 要確認","○ 許容"))))</f>
        <v/>
      </c>
    </row>
    <row r="39" ht="17" customHeight="1" s="438">
      <c r="A39" s="66" t="n">
        <v>35</v>
      </c>
      <c r="B39" s="67" t="inlineStr">
        <is>
          <t>そうめん</t>
        </is>
      </c>
      <c r="C39" s="76" t="inlineStr">
        <is>
          <t>釜②265ℓ</t>
        </is>
      </c>
      <c r="D39" s="535">
        <f>⑧原料費入力台帳!G40</f>
        <v/>
      </c>
      <c r="E39" s="535">
        <f>⑧原料費入力台帳!K40</f>
        <v/>
      </c>
      <c r="F39" s="536">
        <f>IF(OR(D39="",E39=""),"",E39-D39)</f>
        <v/>
      </c>
      <c r="G39" s="179">
        <f>⑧原料費入力台帳!H40</f>
        <v/>
      </c>
      <c r="H39" s="179">
        <f>⑧原料費入力台帳!L40</f>
        <v/>
      </c>
      <c r="I39" s="537">
        <f>⑧原料費入力台帳!N40</f>
        <v/>
      </c>
      <c r="J39" s="148">
        <f>IF(I39="","未入力",IF(I39&gt;=10000,"★★★ 最優先",IF(I39&gt;=5000,"★★ 優先",IF(I39&gt;=1000,"★ 要確認","○ 許容"))))</f>
        <v/>
      </c>
    </row>
    <row r="40" ht="17" customHeight="1" s="438">
      <c r="A40" s="71" t="n">
        <v>36</v>
      </c>
      <c r="B40" s="72" t="inlineStr">
        <is>
          <t>キンパ　小松菜</t>
        </is>
      </c>
      <c r="C40" s="75" t="inlineStr">
        <is>
          <t>釜②265ℓ</t>
        </is>
      </c>
      <c r="D40" s="538">
        <f>⑧原料費入力台帳!G41</f>
        <v/>
      </c>
      <c r="E40" s="538">
        <f>⑧原料費入力台帳!K41</f>
        <v/>
      </c>
      <c r="F40" s="539">
        <f>IF(OR(D40="",E40=""),"",E40-D40)</f>
        <v/>
      </c>
      <c r="G40" s="183">
        <f>⑧原料費入力台帳!H41</f>
        <v/>
      </c>
      <c r="H40" s="183">
        <f>⑧原料費入力台帳!L41</f>
        <v/>
      </c>
      <c r="I40" s="540">
        <f>⑧原料費入力台帳!N41</f>
        <v/>
      </c>
      <c r="J40" s="185">
        <f>IF(I40="","未入力",IF(I40&gt;=10000,"★★★ 最優先",IF(I40&gt;=5000,"★★ 優先",IF(I40&gt;=1000,"★ 要確認","○ 許容"))))</f>
        <v/>
      </c>
    </row>
    <row r="41" ht="17" customHeight="1" s="438">
      <c r="A41" s="66" t="n">
        <v>37</v>
      </c>
      <c r="B41" s="67" t="inlineStr">
        <is>
          <t>春雨　小松菜</t>
        </is>
      </c>
      <c r="C41" s="76" t="inlineStr">
        <is>
          <t>釜②265ℓ</t>
        </is>
      </c>
      <c r="D41" s="535">
        <f>⑧原料費入力台帳!G42</f>
        <v/>
      </c>
      <c r="E41" s="535">
        <f>⑧原料費入力台帳!K42</f>
        <v/>
      </c>
      <c r="F41" s="536">
        <f>IF(OR(D41="",E41=""),"",E41-D41)</f>
        <v/>
      </c>
      <c r="G41" s="179">
        <f>⑧原料費入力台帳!H42</f>
        <v/>
      </c>
      <c r="H41" s="179">
        <f>⑧原料費入力台帳!L42</f>
        <v/>
      </c>
      <c r="I41" s="537">
        <f>⑧原料費入力台帳!N42</f>
        <v/>
      </c>
      <c r="J41" s="148">
        <f>IF(I41="","未入力",IF(I41&gt;=10000,"★★★ 最優先",IF(I41&gt;=5000,"★★ 優先",IF(I41&gt;=1000,"★ 要確認","○ 許容"))))</f>
        <v/>
      </c>
    </row>
    <row r="42" ht="17" customHeight="1" s="438">
      <c r="A42" s="71" t="n">
        <v>38</v>
      </c>
      <c r="B42" s="72" t="inlineStr">
        <is>
          <t>炊飯 とりミンチ</t>
        </is>
      </c>
      <c r="C42" s="75" t="inlineStr">
        <is>
          <t>釜②265ℓ</t>
        </is>
      </c>
      <c r="D42" s="538">
        <f>⑧原料費入力台帳!G43</f>
        <v/>
      </c>
      <c r="E42" s="538">
        <f>⑧原料費入力台帳!K43</f>
        <v/>
      </c>
      <c r="F42" s="539">
        <f>IF(OR(D42="",E42=""),"",E42-D42)</f>
        <v/>
      </c>
      <c r="G42" s="183">
        <f>⑧原料費入力台帳!H43</f>
        <v/>
      </c>
      <c r="H42" s="183">
        <f>⑧原料費入力台帳!L43</f>
        <v/>
      </c>
      <c r="I42" s="540">
        <f>⑧原料費入力台帳!N43</f>
        <v/>
      </c>
      <c r="J42" s="185">
        <f>IF(I42="","未入力",IF(I42&gt;=10000,"★★★ 最優先",IF(I42&gt;=5000,"★★ 優先",IF(I42&gt;=1000,"★ 要確認","○ 許容"))))</f>
        <v/>
      </c>
    </row>
    <row r="43" ht="17" customHeight="1" s="438">
      <c r="A43" s="66" t="n">
        <v>39</v>
      </c>
      <c r="B43" s="67" t="inlineStr">
        <is>
          <t>辛麺　肉みそ</t>
        </is>
      </c>
      <c r="C43" s="76" t="inlineStr">
        <is>
          <t>釜②265ℓ</t>
        </is>
      </c>
      <c r="D43" s="535">
        <f>⑧原料費入力台帳!G44</f>
        <v/>
      </c>
      <c r="E43" s="535">
        <f>⑧原料費入力台帳!K44</f>
        <v/>
      </c>
      <c r="F43" s="536">
        <f>IF(OR(D43="",E43=""),"",E43-D43)</f>
        <v/>
      </c>
      <c r="G43" s="179">
        <f>⑧原料費入力台帳!H44</f>
        <v/>
      </c>
      <c r="H43" s="179">
        <f>⑧原料費入力台帳!L44</f>
        <v/>
      </c>
      <c r="I43" s="537">
        <f>⑧原料費入力台帳!N44</f>
        <v/>
      </c>
      <c r="J43" s="148">
        <f>IF(I43="","未入力",IF(I43&gt;=10000,"★★★ 最優先",IF(I43&gt;=5000,"★★ 優先",IF(I43&gt;=1000,"★ 要確認","○ 許容"))))</f>
        <v/>
      </c>
    </row>
    <row r="44" ht="17" customHeight="1" s="438">
      <c r="A44" s="71" t="n">
        <v>40</v>
      </c>
      <c r="B44" s="72" t="inlineStr">
        <is>
          <t>ホルモン（焼）　ホルモン</t>
        </is>
      </c>
      <c r="C44" s="75" t="inlineStr">
        <is>
          <t>釜②265ℓ</t>
        </is>
      </c>
      <c r="D44" s="538">
        <f>⑧原料費入力台帳!G45</f>
        <v/>
      </c>
      <c r="E44" s="538">
        <f>⑧原料費入力台帳!K45</f>
        <v/>
      </c>
      <c r="F44" s="539">
        <f>IF(OR(D44="",E44=""),"",E44-D44)</f>
        <v/>
      </c>
      <c r="G44" s="183">
        <f>⑧原料費入力台帳!H45</f>
        <v/>
      </c>
      <c r="H44" s="183">
        <f>⑧原料費入力台帳!L45</f>
        <v/>
      </c>
      <c r="I44" s="540">
        <f>⑧原料費入力台帳!N45</f>
        <v/>
      </c>
      <c r="J44" s="185">
        <f>IF(I44="","未入力",IF(I44&gt;=10000,"★★★ 最優先",IF(I44&gt;=5000,"★★ 優先",IF(I44&gt;=1000,"★ 要確認","○ 許容"))))</f>
        <v/>
      </c>
    </row>
    <row r="45" ht="17" customHeight="1" s="438">
      <c r="A45" s="66" t="n">
        <v>41</v>
      </c>
      <c r="B45" s="67" t="inlineStr">
        <is>
          <t>皿うどんKIT（餡）</t>
        </is>
      </c>
      <c r="C45" s="76" t="inlineStr">
        <is>
          <t>釜②265ℓ</t>
        </is>
      </c>
      <c r="D45" s="535">
        <f>⑧原料費入力台帳!G46</f>
        <v/>
      </c>
      <c r="E45" s="535">
        <f>⑧原料費入力台帳!K46</f>
        <v/>
      </c>
      <c r="F45" s="536">
        <f>IF(OR(D45="",E45=""),"",E45-D45)</f>
        <v/>
      </c>
      <c r="G45" s="179">
        <f>⑧原料費入力台帳!H46</f>
        <v/>
      </c>
      <c r="H45" s="179">
        <f>⑧原料費入力台帳!L46</f>
        <v/>
      </c>
      <c r="I45" s="537">
        <f>⑧原料費入力台帳!N46</f>
        <v/>
      </c>
      <c r="J45" s="148">
        <f>IF(I45="","未入力",IF(I45&gt;=10000,"★★★ 最優先",IF(I45&gt;=5000,"★★ 優先",IF(I45&gt;=1000,"★ 要確認","○ 許容"))))</f>
        <v/>
      </c>
    </row>
    <row r="46" ht="17" customHeight="1" s="438">
      <c r="A46" s="71" t="n">
        <v>42</v>
      </c>
      <c r="B46" s="72" t="inlineStr">
        <is>
          <t>南瓜プリン</t>
        </is>
      </c>
      <c r="C46" s="75" t="inlineStr">
        <is>
          <t>釜②265ℓ</t>
        </is>
      </c>
      <c r="D46" s="538">
        <f>⑧原料費入力台帳!G47</f>
        <v/>
      </c>
      <c r="E46" s="538">
        <f>⑧原料費入力台帳!K47</f>
        <v/>
      </c>
      <c r="F46" s="539">
        <f>IF(OR(D46="",E46=""),"",E46-D46)</f>
        <v/>
      </c>
      <c r="G46" s="183">
        <f>⑧原料費入力台帳!H47</f>
        <v/>
      </c>
      <c r="H46" s="183">
        <f>⑧原料費入力台帳!L47</f>
        <v/>
      </c>
      <c r="I46" s="540">
        <f>⑧原料費入力台帳!N47</f>
        <v/>
      </c>
      <c r="J46" s="185">
        <f>IF(I46="","未入力",IF(I46&gt;=10000,"★★★ 最優先",IF(I46&gt;=5000,"★★ 優先",IF(I46&gt;=1000,"★ 要確認","○ 許容"))))</f>
        <v/>
      </c>
    </row>
    <row r="47" ht="17" customHeight="1" s="438">
      <c r="A47" s="66" t="n">
        <v>43</v>
      </c>
      <c r="B47" s="67" t="inlineStr">
        <is>
          <t>春雨　タレ</t>
        </is>
      </c>
      <c r="C47" s="76" t="inlineStr">
        <is>
          <t>釜②265ℓ</t>
        </is>
      </c>
      <c r="D47" s="535">
        <f>⑧原料費入力台帳!G48</f>
        <v/>
      </c>
      <c r="E47" s="535">
        <f>⑧原料費入力台帳!K48</f>
        <v/>
      </c>
      <c r="F47" s="536">
        <f>IF(OR(D47="",E47=""),"",E47-D47)</f>
        <v/>
      </c>
      <c r="G47" s="179">
        <f>⑧原料費入力台帳!H48</f>
        <v/>
      </c>
      <c r="H47" s="179">
        <f>⑧原料費入力台帳!L48</f>
        <v/>
      </c>
      <c r="I47" s="537">
        <f>⑧原料費入力台帳!N48</f>
        <v/>
      </c>
      <c r="J47" s="148">
        <f>IF(I47="","未入力",IF(I47&gt;=10000,"★★★ 最優先",IF(I47&gt;=5000,"★★ 優先",IF(I47&gt;=1000,"★ 要確認","○ 許容"))))</f>
        <v/>
      </c>
    </row>
    <row r="48" ht="17" customHeight="1" s="438">
      <c r="A48" s="71" t="n">
        <v>44</v>
      </c>
      <c r="B48" s="72" t="inlineStr">
        <is>
          <t>おはぎ</t>
        </is>
      </c>
      <c r="C48" s="77" t="inlineStr">
        <is>
          <t>釜③265ℓ</t>
        </is>
      </c>
      <c r="D48" s="538">
        <f>⑧原料費入力台帳!G49</f>
        <v/>
      </c>
      <c r="E48" s="538">
        <f>⑧原料費入力台帳!K49</f>
        <v/>
      </c>
      <c r="F48" s="539">
        <f>IF(OR(D48="",E48=""),"",E48-D48)</f>
        <v/>
      </c>
      <c r="G48" s="183">
        <f>⑧原料費入力台帳!H49</f>
        <v/>
      </c>
      <c r="H48" s="183">
        <f>⑧原料費入力台帳!L49</f>
        <v/>
      </c>
      <c r="I48" s="540">
        <f>⑧原料費入力台帳!N49</f>
        <v/>
      </c>
      <c r="J48" s="185">
        <f>IF(I48="","未入力",IF(I48&gt;=10000,"★★★ 最優先",IF(I48&gt;=5000,"★★ 優先",IF(I48&gt;=1000,"★ 要確認","○ 許容"))))</f>
        <v/>
      </c>
    </row>
    <row r="49" ht="17" customHeight="1" s="438">
      <c r="A49" s="66" t="n">
        <v>45</v>
      </c>
      <c r="B49" s="67" t="inlineStr">
        <is>
          <t>じゃがいもボイル(６０K)</t>
        </is>
      </c>
      <c r="C49" s="78" t="inlineStr">
        <is>
          <t>釜③265ℓ</t>
        </is>
      </c>
      <c r="D49" s="535">
        <f>⑧原料費入力台帳!G50</f>
        <v/>
      </c>
      <c r="E49" s="535">
        <f>⑧原料費入力台帳!K50</f>
        <v/>
      </c>
      <c r="F49" s="536">
        <f>IF(OR(D49="",E49=""),"",E49-D49)</f>
        <v/>
      </c>
      <c r="G49" s="179">
        <f>⑧原料費入力台帳!H50</f>
        <v/>
      </c>
      <c r="H49" s="179">
        <f>⑧原料費入力台帳!L50</f>
        <v/>
      </c>
      <c r="I49" s="537">
        <f>⑧原料費入力台帳!N50</f>
        <v/>
      </c>
      <c r="J49" s="148">
        <f>IF(I49="","未入力",IF(I49&gt;=10000,"★★★ 最優先",IF(I49&gt;=5000,"★★ 優先",IF(I49&gt;=1000,"★ 要確認","○ 許容"))))</f>
        <v/>
      </c>
    </row>
    <row r="50" ht="17" customHeight="1" s="438">
      <c r="A50" s="71" t="n">
        <v>46</v>
      </c>
      <c r="B50" s="72" t="inlineStr">
        <is>
          <t>モツ鍋　キャベツ</t>
        </is>
      </c>
      <c r="C50" s="77" t="inlineStr">
        <is>
          <t>釜③265ℓ</t>
        </is>
      </c>
      <c r="D50" s="538">
        <f>⑧原料費入力台帳!G51</f>
        <v/>
      </c>
      <c r="E50" s="538">
        <f>⑧原料費入力台帳!K51</f>
        <v/>
      </c>
      <c r="F50" s="539">
        <f>IF(OR(D50="",E50=""),"",E50-D50)</f>
        <v/>
      </c>
      <c r="G50" s="183">
        <f>⑧原料費入力台帳!H51</f>
        <v/>
      </c>
      <c r="H50" s="183">
        <f>⑧原料費入力台帳!L51</f>
        <v/>
      </c>
      <c r="I50" s="540">
        <f>⑧原料費入力台帳!N51</f>
        <v/>
      </c>
      <c r="J50" s="185">
        <f>IF(I50="","未入力",IF(I50&gt;=10000,"★★★ 最優先",IF(I50&gt;=5000,"★★ 優先",IF(I50&gt;=1000,"★ 要確認","○ 許容"))))</f>
        <v/>
      </c>
    </row>
    <row r="51" ht="17" customHeight="1" s="438">
      <c r="A51" s="66" t="n">
        <v>47</v>
      </c>
      <c r="B51" s="67" t="inlineStr">
        <is>
          <t>モツ鍋　もやし</t>
        </is>
      </c>
      <c r="C51" s="78" t="inlineStr">
        <is>
          <t>釜③265ℓ</t>
        </is>
      </c>
      <c r="D51" s="535">
        <f>⑧原料費入力台帳!G52</f>
        <v/>
      </c>
      <c r="E51" s="535">
        <f>⑧原料費入力台帳!K52</f>
        <v/>
      </c>
      <c r="F51" s="536">
        <f>IF(OR(D51="",E51=""),"",E51-D51)</f>
        <v/>
      </c>
      <c r="G51" s="179">
        <f>⑧原料費入力台帳!H52</f>
        <v/>
      </c>
      <c r="H51" s="179">
        <f>⑧原料費入力台帳!L52</f>
        <v/>
      </c>
      <c r="I51" s="537">
        <f>⑧原料費入力台帳!N52</f>
        <v/>
      </c>
      <c r="J51" s="148">
        <f>IF(I51="","未入力",IF(I51&gt;=10000,"★★★ 最優先",IF(I51&gt;=5000,"★★ 優先",IF(I51&gt;=1000,"★ 要確認","○ 許容"))))</f>
        <v/>
      </c>
    </row>
    <row r="52" ht="17" customHeight="1" s="438">
      <c r="A52" s="71" t="n">
        <v>48</v>
      </c>
      <c r="B52" s="72" t="inlineStr">
        <is>
          <t>モツ鍋　肉</t>
        </is>
      </c>
      <c r="C52" s="77" t="inlineStr">
        <is>
          <t>釜③265ℓ</t>
        </is>
      </c>
      <c r="D52" s="538">
        <f>⑧原料費入力台帳!G53</f>
        <v/>
      </c>
      <c r="E52" s="538">
        <f>⑧原料費入力台帳!K53</f>
        <v/>
      </c>
      <c r="F52" s="539">
        <f>IF(OR(D52="",E52=""),"",E52-D52)</f>
        <v/>
      </c>
      <c r="G52" s="183">
        <f>⑧原料費入力台帳!H53</f>
        <v/>
      </c>
      <c r="H52" s="183">
        <f>⑧原料費入力台帳!L53</f>
        <v/>
      </c>
      <c r="I52" s="540">
        <f>⑧原料費入力台帳!N53</f>
        <v/>
      </c>
      <c r="J52" s="185">
        <f>IF(I52="","未入力",IF(I52&gt;=10000,"★★★ 最優先",IF(I52&gt;=5000,"★★ 優先",IF(I52&gt;=1000,"★ 要確認","○ 許容"))))</f>
        <v/>
      </c>
    </row>
    <row r="53" ht="17" customHeight="1" s="438">
      <c r="A53" s="66" t="n">
        <v>49</v>
      </c>
      <c r="B53" s="67" t="inlineStr">
        <is>
          <t>モツ鍋　スープ</t>
        </is>
      </c>
      <c r="C53" s="78" t="inlineStr">
        <is>
          <t>釜③265ℓ</t>
        </is>
      </c>
      <c r="D53" s="535">
        <f>⑧原料費入力台帳!G54</f>
        <v/>
      </c>
      <c r="E53" s="535">
        <f>⑧原料費入力台帳!K54</f>
        <v/>
      </c>
      <c r="F53" s="536">
        <f>IF(OR(D53="",E53=""),"",E53-D53)</f>
        <v/>
      </c>
      <c r="G53" s="179">
        <f>⑧原料費入力台帳!H54</f>
        <v/>
      </c>
      <c r="H53" s="179">
        <f>⑧原料費入力台帳!L54</f>
        <v/>
      </c>
      <c r="I53" s="537">
        <f>⑧原料費入力台帳!N54</f>
        <v/>
      </c>
      <c r="J53" s="148">
        <f>IF(I53="","未入力",IF(I53&gt;=10000,"★★★ 最優先",IF(I53&gt;=5000,"★★ 優先",IF(I53&gt;=1000,"★ 要確認","○ 許容"))))</f>
        <v/>
      </c>
    </row>
    <row r="54" ht="17" customHeight="1" s="438">
      <c r="A54" s="71" t="n">
        <v>50</v>
      </c>
      <c r="B54" s="72" t="inlineStr">
        <is>
          <t>豚汁　野菜</t>
        </is>
      </c>
      <c r="C54" s="77" t="inlineStr">
        <is>
          <t>釜③265ℓ</t>
        </is>
      </c>
      <c r="D54" s="538">
        <f>⑧原料費入力台帳!G55</f>
        <v/>
      </c>
      <c r="E54" s="538">
        <f>⑧原料費入力台帳!K55</f>
        <v/>
      </c>
      <c r="F54" s="539">
        <f>IF(OR(D54="",E54=""),"",E54-D54)</f>
        <v/>
      </c>
      <c r="G54" s="183">
        <f>⑧原料費入力台帳!H55</f>
        <v/>
      </c>
      <c r="H54" s="183">
        <f>⑧原料費入力台帳!L55</f>
        <v/>
      </c>
      <c r="I54" s="540">
        <f>⑧原料費入力台帳!N55</f>
        <v/>
      </c>
      <c r="J54" s="185">
        <f>IF(I54="","未入力",IF(I54&gt;=10000,"★★★ 最優先",IF(I54&gt;=5000,"★★ 優先",IF(I54&gt;=1000,"★ 要確認","○ 許容"))))</f>
        <v/>
      </c>
    </row>
    <row r="55" ht="17" customHeight="1" s="438">
      <c r="A55" s="66" t="n">
        <v>51</v>
      </c>
      <c r="B55" s="67" t="inlineStr">
        <is>
          <t>うどん　出汁</t>
        </is>
      </c>
      <c r="C55" s="78" t="inlineStr">
        <is>
          <t>釜③265ℓ</t>
        </is>
      </c>
      <c r="D55" s="535">
        <f>⑧原料費入力台帳!G56</f>
        <v/>
      </c>
      <c r="E55" s="535">
        <f>⑧原料費入力台帳!K56</f>
        <v/>
      </c>
      <c r="F55" s="536">
        <f>IF(OR(D55="",E55=""),"",E55-D55)</f>
        <v/>
      </c>
      <c r="G55" s="179">
        <f>⑧原料費入力台帳!H56</f>
        <v/>
      </c>
      <c r="H55" s="179">
        <f>⑧原料費入力台帳!L56</f>
        <v/>
      </c>
      <c r="I55" s="537">
        <f>⑧原料費入力台帳!N56</f>
        <v/>
      </c>
      <c r="J55" s="148">
        <f>IF(I55="","未入力",IF(I55&gt;=10000,"★★★ 最優先",IF(I55&gt;=5000,"★★ 優先",IF(I55&gt;=1000,"★ 要確認","○ 許容"))))</f>
        <v/>
      </c>
    </row>
    <row r="56" ht="17" customHeight="1" s="438">
      <c r="A56" s="71" t="n">
        <v>52</v>
      </c>
      <c r="B56" s="72" t="inlineStr">
        <is>
          <t>春雨　スープ</t>
        </is>
      </c>
      <c r="C56" s="79" t="inlineStr">
        <is>
          <t>釜④265ℓ</t>
        </is>
      </c>
      <c r="D56" s="538">
        <f>⑧原料費入力台帳!G57</f>
        <v/>
      </c>
      <c r="E56" s="538">
        <f>⑧原料費入力台帳!K57</f>
        <v/>
      </c>
      <c r="F56" s="539">
        <f>IF(OR(D56="",E56=""),"",E56-D56)</f>
        <v/>
      </c>
      <c r="G56" s="183">
        <f>⑧原料費入力台帳!H57</f>
        <v/>
      </c>
      <c r="H56" s="183">
        <f>⑧原料費入力台帳!L57</f>
        <v/>
      </c>
      <c r="I56" s="540">
        <f>⑧原料費入力台帳!N57</f>
        <v/>
      </c>
      <c r="J56" s="185">
        <f>IF(I56="","未入力",IF(I56&gt;=10000,"★★★ 最優先",IF(I56&gt;=5000,"★★ 優先",IF(I56&gt;=1000,"★ 要確認","○ 許容"))))</f>
        <v/>
      </c>
    </row>
    <row r="57" ht="17" customHeight="1" s="438">
      <c r="A57" s="66" t="n">
        <v>53</v>
      </c>
      <c r="B57" s="67" t="inlineStr">
        <is>
          <t>春雨　野菜</t>
        </is>
      </c>
      <c r="C57" s="80" t="inlineStr">
        <is>
          <t>釜④265ℓ</t>
        </is>
      </c>
      <c r="D57" s="535">
        <f>⑧原料費入力台帳!G58</f>
        <v/>
      </c>
      <c r="E57" s="535">
        <f>⑧原料費入力台帳!K58</f>
        <v/>
      </c>
      <c r="F57" s="536">
        <f>IF(OR(D57="",E57=""),"",E57-D57)</f>
        <v/>
      </c>
      <c r="G57" s="179">
        <f>⑧原料費入力台帳!H58</f>
        <v/>
      </c>
      <c r="H57" s="179">
        <f>⑧原料費入力台帳!L58</f>
        <v/>
      </c>
      <c r="I57" s="537">
        <f>⑧原料費入力台帳!N58</f>
        <v/>
      </c>
      <c r="J57" s="148">
        <f>IF(I57="","未入力",IF(I57&gt;=10000,"★★★ 最優先",IF(I57&gt;=5000,"★★ 優先",IF(I57&gt;=1000,"★ 要確認","○ 許容"))))</f>
        <v/>
      </c>
    </row>
    <row r="58" ht="17" customHeight="1" s="438">
      <c r="A58" s="71" t="n">
        <v>54</v>
      </c>
      <c r="B58" s="72" t="inlineStr">
        <is>
          <t>にんにくラーメン　野菜</t>
        </is>
      </c>
      <c r="C58" s="79" t="inlineStr">
        <is>
          <t>釜④265ℓ</t>
        </is>
      </c>
      <c r="D58" s="538">
        <f>⑧原料費入力台帳!G59</f>
        <v/>
      </c>
      <c r="E58" s="538">
        <f>⑧原料費入力台帳!K59</f>
        <v/>
      </c>
      <c r="F58" s="539">
        <f>IF(OR(D58="",E58=""),"",E58-D58)</f>
        <v/>
      </c>
      <c r="G58" s="183">
        <f>⑧原料費入力台帳!H59</f>
        <v/>
      </c>
      <c r="H58" s="183">
        <f>⑧原料費入力台帳!L59</f>
        <v/>
      </c>
      <c r="I58" s="540">
        <f>⑧原料費入力台帳!N59</f>
        <v/>
      </c>
      <c r="J58" s="185">
        <f>IF(I58="","未入力",IF(I58&gt;=10000,"★★★ 最優先",IF(I58&gt;=5000,"★★ 優先",IF(I58&gt;=1000,"★ 要確認","○ 許容"))))</f>
        <v/>
      </c>
    </row>
    <row r="59" ht="17" customHeight="1" s="438">
      <c r="A59" s="66" t="n">
        <v>55</v>
      </c>
      <c r="B59" s="67" t="inlineStr">
        <is>
          <t>ホルモン（焼）　うどん</t>
        </is>
      </c>
      <c r="C59" s="80" t="inlineStr">
        <is>
          <t>釜④265ℓ</t>
        </is>
      </c>
      <c r="D59" s="535">
        <f>⑧原料費入力台帳!G60</f>
        <v/>
      </c>
      <c r="E59" s="535">
        <f>⑧原料費入力台帳!K60</f>
        <v/>
      </c>
      <c r="F59" s="536">
        <f>IF(OR(D59="",E59=""),"",E59-D59)</f>
        <v/>
      </c>
      <c r="G59" s="179">
        <f>⑧原料費入力台帳!H60</f>
        <v/>
      </c>
      <c r="H59" s="179">
        <f>⑧原料費入力台帳!L60</f>
        <v/>
      </c>
      <c r="I59" s="537">
        <f>⑧原料費入力台帳!N60</f>
        <v/>
      </c>
      <c r="J59" s="148">
        <f>IF(I59="","未入力",IF(I59&gt;=10000,"★★★ 最優先",IF(I59&gt;=5000,"★★ 優先",IF(I59&gt;=1000,"★ 要確認","○ 許容"))))</f>
        <v/>
      </c>
    </row>
    <row r="60" ht="17" customHeight="1" s="438">
      <c r="A60" s="71" t="n">
        <v>56</v>
      </c>
      <c r="B60" s="72" t="inlineStr">
        <is>
          <t>コーヒーゼリー</t>
        </is>
      </c>
      <c r="C60" s="79" t="inlineStr">
        <is>
          <t>釜④265ℓ</t>
        </is>
      </c>
      <c r="D60" s="538">
        <f>⑧原料費入力台帳!G61</f>
        <v/>
      </c>
      <c r="E60" s="538">
        <f>⑧原料費入力台帳!K61</f>
        <v/>
      </c>
      <c r="F60" s="539">
        <f>IF(OR(D60="",E60=""),"",E60-D60)</f>
        <v/>
      </c>
      <c r="G60" s="183">
        <f>⑧原料費入力台帳!H61</f>
        <v/>
      </c>
      <c r="H60" s="183">
        <f>⑧原料費入力台帳!L61</f>
        <v/>
      </c>
      <c r="I60" s="540">
        <f>⑧原料費入力台帳!N61</f>
        <v/>
      </c>
      <c r="J60" s="185">
        <f>IF(I60="","未入力",IF(I60&gt;=10000,"★★★ 最優先",IF(I60&gt;=5000,"★★ 優先",IF(I60&gt;=1000,"★ 要確認","○ 許容"))))</f>
        <v/>
      </c>
    </row>
    <row r="61" ht="17" customHeight="1" s="438">
      <c r="A61" s="66" t="n">
        <v>57</v>
      </c>
      <c r="B61" s="67" t="inlineStr">
        <is>
          <t>豚角煮</t>
        </is>
      </c>
      <c r="C61" s="80" t="inlineStr">
        <is>
          <t>釜④265ℓ</t>
        </is>
      </c>
      <c r="D61" s="535">
        <f>⑧原料費入力台帳!G62</f>
        <v/>
      </c>
      <c r="E61" s="535">
        <f>⑧原料費入力台帳!K62</f>
        <v/>
      </c>
      <c r="F61" s="536">
        <f>IF(OR(D61="",E61=""),"",E61-D61)</f>
        <v/>
      </c>
      <c r="G61" s="179">
        <f>⑧原料費入力台帳!H62</f>
        <v/>
      </c>
      <c r="H61" s="179">
        <f>⑧原料費入力台帳!L62</f>
        <v/>
      </c>
      <c r="I61" s="537">
        <f>⑧原料費入力台帳!N62</f>
        <v/>
      </c>
      <c r="J61" s="148">
        <f>IF(I61="","未入力",IF(I61&gt;=10000,"★★★ 最優先",IF(I61&gt;=5000,"★★ 優先",IF(I61&gt;=1000,"★ 要確認","○ 許容"))))</f>
        <v/>
      </c>
    </row>
    <row r="62" ht="17" customHeight="1" s="438">
      <c r="A62" s="71" t="n">
        <v>58</v>
      </c>
      <c r="B62" s="72" t="inlineStr">
        <is>
          <t>筑前煮（下地）</t>
        </is>
      </c>
      <c r="C62" s="81" t="inlineStr">
        <is>
          <t>釜⑤200ℓ</t>
        </is>
      </c>
      <c r="D62" s="538">
        <f>⑧原料費入力台帳!G63</f>
        <v/>
      </c>
      <c r="E62" s="538">
        <f>⑧原料費入力台帳!K63</f>
        <v/>
      </c>
      <c r="F62" s="539">
        <f>IF(OR(D62="",E62=""),"",E62-D62)</f>
        <v/>
      </c>
      <c r="G62" s="183">
        <f>⑧原料費入力台帳!H63</f>
        <v/>
      </c>
      <c r="H62" s="183">
        <f>⑧原料費入力台帳!L63</f>
        <v/>
      </c>
      <c r="I62" s="540">
        <f>⑧原料費入力台帳!N63</f>
        <v/>
      </c>
      <c r="J62" s="185">
        <f>IF(I62="","未入力",IF(I62&gt;=10000,"★★★ 最優先",IF(I62&gt;=5000,"★★ 優先",IF(I62&gt;=1000,"★ 要確認","○ 許容"))))</f>
        <v/>
      </c>
    </row>
    <row r="63" ht="17" customHeight="1" s="438">
      <c r="A63" s="66" t="n">
        <v>59</v>
      </c>
      <c r="B63" s="67" t="inlineStr">
        <is>
          <t>高菜炒め（おにぎり）</t>
        </is>
      </c>
      <c r="C63" s="82" t="inlineStr">
        <is>
          <t>釜⑤200ℓ</t>
        </is>
      </c>
      <c r="D63" s="535">
        <f>⑧原料費入力台帳!G64</f>
        <v/>
      </c>
      <c r="E63" s="535">
        <f>⑧原料費入力台帳!K64</f>
        <v/>
      </c>
      <c r="F63" s="536">
        <f>IF(OR(D63="",E63=""),"",E63-D63)</f>
        <v/>
      </c>
      <c r="G63" s="179">
        <f>⑧原料費入力台帳!H64</f>
        <v/>
      </c>
      <c r="H63" s="179">
        <f>⑧原料費入力台帳!L64</f>
        <v/>
      </c>
      <c r="I63" s="537">
        <f>⑧原料費入力台帳!N64</f>
        <v/>
      </c>
      <c r="J63" s="148">
        <f>IF(I63="","未入力",IF(I63&gt;=10000,"★★★ 最優先",IF(I63&gt;=5000,"★★ 優先",IF(I63&gt;=1000,"★ 要確認","○ 許容"))))</f>
        <v/>
      </c>
    </row>
    <row r="64" ht="17" customHeight="1" s="438">
      <c r="A64" s="71" t="n">
        <v>60</v>
      </c>
      <c r="B64" s="72" t="inlineStr">
        <is>
          <t>スパボイル（1.7mm）</t>
        </is>
      </c>
      <c r="C64" s="81" t="inlineStr">
        <is>
          <t>釜⑤200ℓ</t>
        </is>
      </c>
      <c r="D64" s="538">
        <f>⑧原料費入力台帳!G65</f>
        <v/>
      </c>
      <c r="E64" s="538">
        <f>⑧原料費入力台帳!K65</f>
        <v/>
      </c>
      <c r="F64" s="539">
        <f>IF(OR(D64="",E64=""),"",E64-D64)</f>
        <v/>
      </c>
      <c r="G64" s="183">
        <f>⑧原料費入力台帳!H65</f>
        <v/>
      </c>
      <c r="H64" s="183">
        <f>⑧原料費入力台帳!L65</f>
        <v/>
      </c>
      <c r="I64" s="540">
        <f>⑧原料費入力台帳!N65</f>
        <v/>
      </c>
      <c r="J64" s="185">
        <f>IF(I64="","未入力",IF(I64&gt;=10000,"★★★ 最優先",IF(I64&gt;=5000,"★★ 優先",IF(I64&gt;=1000,"★ 要確認","○ 許容"))))</f>
        <v/>
      </c>
    </row>
    <row r="65" ht="17" customHeight="1" s="438">
      <c r="A65" s="66" t="n">
        <v>61</v>
      </c>
      <c r="B65" s="67" t="inlineStr">
        <is>
          <t>スパサラボイル</t>
        </is>
      </c>
      <c r="C65" s="82" t="inlineStr">
        <is>
          <t>釜⑤200ℓ</t>
        </is>
      </c>
      <c r="D65" s="535">
        <f>⑧原料費入力台帳!G66</f>
        <v/>
      </c>
      <c r="E65" s="535">
        <f>⑧原料費入力台帳!K66</f>
        <v/>
      </c>
      <c r="F65" s="536">
        <f>IF(OR(D65="",E65=""),"",E65-D65)</f>
        <v/>
      </c>
      <c r="G65" s="179">
        <f>⑧原料費入力台帳!H66</f>
        <v/>
      </c>
      <c r="H65" s="179">
        <f>⑧原料費入力台帳!L66</f>
        <v/>
      </c>
      <c r="I65" s="537">
        <f>⑧原料費入力台帳!N66</f>
        <v/>
      </c>
      <c r="J65" s="148">
        <f>IF(I65="","未入力",IF(I65&gt;=10000,"★★★ 最優先",IF(I65&gt;=5000,"★★ 優先",IF(I65&gt;=1000,"★ 要確認","○ 許容"))))</f>
        <v/>
      </c>
    </row>
    <row r="66" ht="17" customHeight="1" s="438">
      <c r="A66" s="71" t="n">
        <v>62</v>
      </c>
      <c r="B66" s="72" t="inlineStr">
        <is>
          <t>五目チラシ　しめじ</t>
        </is>
      </c>
      <c r="C66" s="81" t="inlineStr">
        <is>
          <t>釜⑤200ℓ</t>
        </is>
      </c>
      <c r="D66" s="538">
        <f>⑧原料費入力台帳!G67</f>
        <v/>
      </c>
      <c r="E66" s="538">
        <f>⑧原料費入力台帳!K67</f>
        <v/>
      </c>
      <c r="F66" s="539">
        <f>IF(OR(D66="",E66=""),"",E66-D66)</f>
        <v/>
      </c>
      <c r="G66" s="183">
        <f>⑧原料費入力台帳!H67</f>
        <v/>
      </c>
      <c r="H66" s="183">
        <f>⑧原料費入力台帳!L67</f>
        <v/>
      </c>
      <c r="I66" s="540">
        <f>⑧原料費入力台帳!N67</f>
        <v/>
      </c>
      <c r="J66" s="185">
        <f>IF(I66="","未入力",IF(I66&gt;=10000,"★★★ 最優先",IF(I66&gt;=5000,"★★ 優先",IF(I66&gt;=1000,"★ 要確認","○ 許容"))))</f>
        <v/>
      </c>
    </row>
    <row r="67" ht="17" customHeight="1" s="438">
      <c r="A67" s="66" t="n">
        <v>63</v>
      </c>
      <c r="B67" s="67" t="inlineStr">
        <is>
          <t>レンコン煮</t>
        </is>
      </c>
      <c r="C67" s="82" t="inlineStr">
        <is>
          <t>釜⑤200ℓ</t>
        </is>
      </c>
      <c r="D67" s="535">
        <f>⑧原料費入力台帳!G68</f>
        <v/>
      </c>
      <c r="E67" s="535">
        <f>⑧原料費入力台帳!K68</f>
        <v/>
      </c>
      <c r="F67" s="536">
        <f>IF(OR(D67="",E67=""),"",E67-D67)</f>
        <v/>
      </c>
      <c r="G67" s="179">
        <f>⑧原料費入力台帳!H68</f>
        <v/>
      </c>
      <c r="H67" s="179">
        <f>⑧原料費入力台帳!L68</f>
        <v/>
      </c>
      <c r="I67" s="537">
        <f>⑧原料費入力台帳!N68</f>
        <v/>
      </c>
      <c r="J67" s="148">
        <f>IF(I67="","未入力",IF(I67&gt;=10000,"★★★ 最優先",IF(I67&gt;=5000,"★★ 優先",IF(I67&gt;=1000,"★ 要確認","○ 許容"))))</f>
        <v/>
      </c>
    </row>
    <row r="68" ht="17" customHeight="1" s="438">
      <c r="A68" s="71" t="n">
        <v>64</v>
      </c>
      <c r="B68" s="72" t="inlineStr">
        <is>
          <t>特製幕の内　小松菜</t>
        </is>
      </c>
      <c r="C68" s="81" t="inlineStr">
        <is>
          <t>釜⑤200ℓ</t>
        </is>
      </c>
      <c r="D68" s="538">
        <f>⑧原料費入力台帳!G69</f>
        <v/>
      </c>
      <c r="E68" s="538">
        <f>⑧原料費入力台帳!K69</f>
        <v/>
      </c>
      <c r="F68" s="539">
        <f>IF(OR(D68="",E68=""),"",E68-D68)</f>
        <v/>
      </c>
      <c r="G68" s="183">
        <f>⑧原料費入力台帳!H69</f>
        <v/>
      </c>
      <c r="H68" s="183">
        <f>⑧原料費入力台帳!L69</f>
        <v/>
      </c>
      <c r="I68" s="540">
        <f>⑧原料費入力台帳!N69</f>
        <v/>
      </c>
      <c r="J68" s="185">
        <f>IF(I68="","未入力",IF(I68&gt;=10000,"★★★ 最優先",IF(I68&gt;=5000,"★★ 優先",IF(I68&gt;=1000,"★ 要確認","○ 許容"))))</f>
        <v/>
      </c>
    </row>
    <row r="69" ht="17" customHeight="1" s="438">
      <c r="A69" s="66" t="n">
        <v>65</v>
      </c>
      <c r="B69" s="67" t="inlineStr">
        <is>
          <t>特製幕の内　タレ</t>
        </is>
      </c>
      <c r="C69" s="82" t="inlineStr">
        <is>
          <t>釜⑤200ℓ</t>
        </is>
      </c>
      <c r="D69" s="535">
        <f>⑧原料費入力台帳!G70</f>
        <v/>
      </c>
      <c r="E69" s="535">
        <f>⑧原料費入力台帳!K70</f>
        <v/>
      </c>
      <c r="F69" s="536">
        <f>IF(OR(D69="",E69=""),"",E69-D69)</f>
        <v/>
      </c>
      <c r="G69" s="179">
        <f>⑧原料費入力台帳!H70</f>
        <v/>
      </c>
      <c r="H69" s="179">
        <f>⑧原料費入力台帳!L70</f>
        <v/>
      </c>
      <c r="I69" s="537">
        <f>⑧原料費入力台帳!N70</f>
        <v/>
      </c>
      <c r="J69" s="148">
        <f>IF(I69="","未入力",IF(I69&gt;=10000,"★★★ 最優先",IF(I69&gt;=5000,"★★ 優先",IF(I69&gt;=1000,"★ 要確認","○ 許容"))))</f>
        <v/>
      </c>
    </row>
    <row r="70" ht="17" customHeight="1" s="438">
      <c r="A70" s="71" t="n">
        <v>66</v>
      </c>
      <c r="B70" s="72" t="inlineStr">
        <is>
          <t>タルタルソース（玉ねぎボイル）</t>
        </is>
      </c>
      <c r="C70" s="81" t="inlineStr">
        <is>
          <t>釜⑤200ℓ</t>
        </is>
      </c>
      <c r="D70" s="538">
        <f>⑧原料費入力台帳!G71</f>
        <v/>
      </c>
      <c r="E70" s="538">
        <f>⑧原料費入力台帳!K71</f>
        <v/>
      </c>
      <c r="F70" s="539">
        <f>IF(OR(D70="",E70=""),"",E70-D70)</f>
        <v/>
      </c>
      <c r="G70" s="183">
        <f>⑧原料費入力台帳!H71</f>
        <v/>
      </c>
      <c r="H70" s="183">
        <f>⑧原料費入力台帳!L71</f>
        <v/>
      </c>
      <c r="I70" s="540">
        <f>⑧原料費入力台帳!N71</f>
        <v/>
      </c>
      <c r="J70" s="185">
        <f>IF(I70="","未入力",IF(I70&gt;=10000,"★★★ 最優先",IF(I70&gt;=5000,"★★ 優先",IF(I70&gt;=1000,"★ 要確認","○ 許容"))))</f>
        <v/>
      </c>
    </row>
    <row r="71" ht="17" customHeight="1" s="438">
      <c r="A71" s="66" t="n">
        <v>67</v>
      </c>
      <c r="B71" s="67" t="inlineStr">
        <is>
          <t>辛麺　玉子</t>
        </is>
      </c>
      <c r="C71" s="82" t="inlineStr">
        <is>
          <t>釜⑤200ℓ</t>
        </is>
      </c>
      <c r="D71" s="535">
        <f>⑧原料費入力台帳!G72</f>
        <v/>
      </c>
      <c r="E71" s="535">
        <f>⑧原料費入力台帳!K72</f>
        <v/>
      </c>
      <c r="F71" s="536">
        <f>IF(OR(D71="",E71=""),"",E71-D71)</f>
        <v/>
      </c>
      <c r="G71" s="179">
        <f>⑧原料費入力台帳!H72</f>
        <v/>
      </c>
      <c r="H71" s="179">
        <f>⑧原料費入力台帳!L72</f>
        <v/>
      </c>
      <c r="I71" s="537">
        <f>⑧原料費入力台帳!N72</f>
        <v/>
      </c>
      <c r="J71" s="148">
        <f>IF(I71="","未入力",IF(I71&gt;=10000,"★★★ 最優先",IF(I71&gt;=5000,"★★ 優先",IF(I71&gt;=1000,"★ 要確認","○ 許容"))))</f>
        <v/>
      </c>
    </row>
    <row r="72" ht="17" customHeight="1" s="438">
      <c r="A72" s="71" t="n">
        <v>68</v>
      </c>
      <c r="B72" s="72" t="inlineStr">
        <is>
          <t>芋プリン</t>
        </is>
      </c>
      <c r="C72" s="81" t="inlineStr">
        <is>
          <t>釜⑤200ℓ</t>
        </is>
      </c>
      <c r="D72" s="538">
        <f>⑧原料費入力台帳!G73</f>
        <v/>
      </c>
      <c r="E72" s="538">
        <f>⑧原料費入力台帳!K73</f>
        <v/>
      </c>
      <c r="F72" s="539">
        <f>IF(OR(D72="",E72=""),"",E72-D72)</f>
        <v/>
      </c>
      <c r="G72" s="183">
        <f>⑧原料費入力台帳!H73</f>
        <v/>
      </c>
      <c r="H72" s="183">
        <f>⑧原料費入力台帳!L73</f>
        <v/>
      </c>
      <c r="I72" s="540">
        <f>⑧原料費入力台帳!N73</f>
        <v/>
      </c>
      <c r="J72" s="185">
        <f>IF(I72="","未入力",IF(I72&gt;=10000,"★★★ 最優先",IF(I72&gt;=5000,"★★ 優先",IF(I72&gt;=1000,"★ 要確認","○ 許容"))))</f>
        <v/>
      </c>
    </row>
    <row r="73" ht="17" customHeight="1" s="438">
      <c r="A73" s="66" t="n">
        <v>69</v>
      </c>
      <c r="B73" s="67" t="inlineStr">
        <is>
          <t>みたらし　タレ</t>
        </is>
      </c>
      <c r="C73" s="82" t="inlineStr">
        <is>
          <t>釜⑤200ℓ</t>
        </is>
      </c>
      <c r="D73" s="535">
        <f>⑧原料費入力台帳!G74</f>
        <v/>
      </c>
      <c r="E73" s="535">
        <f>⑧原料費入力台帳!K74</f>
        <v/>
      </c>
      <c r="F73" s="536">
        <f>IF(OR(D73="",E73=""),"",E73-D73)</f>
        <v/>
      </c>
      <c r="G73" s="179">
        <f>⑧原料費入力台帳!H74</f>
        <v/>
      </c>
      <c r="H73" s="179">
        <f>⑧原料費入力台帳!L74</f>
        <v/>
      </c>
      <c r="I73" s="537">
        <f>⑧原料費入力台帳!N74</f>
        <v/>
      </c>
      <c r="J73" s="148">
        <f>IF(I73="","未入力",IF(I73&gt;=10000,"★★★ 最優先",IF(I73&gt;=5000,"★★ 優先",IF(I73&gt;=1000,"★ 要確認","○ 許容"))))</f>
        <v/>
      </c>
    </row>
    <row r="74" ht="17" customHeight="1" s="438">
      <c r="A74" s="71" t="n">
        <v>70</v>
      </c>
      <c r="B74" s="72" t="inlineStr">
        <is>
          <t>梅ひじき</t>
        </is>
      </c>
      <c r="C74" s="81" t="inlineStr">
        <is>
          <t>釜⑤200ℓ</t>
        </is>
      </c>
      <c r="D74" s="538">
        <f>⑧原料費入力台帳!G75</f>
        <v/>
      </c>
      <c r="E74" s="538">
        <f>⑧原料費入力台帳!K75</f>
        <v/>
      </c>
      <c r="F74" s="539">
        <f>IF(OR(D74="",E74=""),"",E74-D74)</f>
        <v/>
      </c>
      <c r="G74" s="183">
        <f>⑧原料費入力台帳!H75</f>
        <v/>
      </c>
      <c r="H74" s="183">
        <f>⑧原料費入力台帳!L75</f>
        <v/>
      </c>
      <c r="I74" s="540">
        <f>⑧原料費入力台帳!N75</f>
        <v/>
      </c>
      <c r="J74" s="185">
        <f>IF(I74="","未入力",IF(I74&gt;=10000,"★★★ 最優先",IF(I74&gt;=5000,"★★ 優先",IF(I74&gt;=1000,"★ 要確認","○ 許容"))))</f>
        <v/>
      </c>
    </row>
    <row r="75" ht="17" customHeight="1" s="438">
      <c r="A75" s="66" t="n">
        <v>71</v>
      </c>
      <c r="B75" s="67" t="inlineStr">
        <is>
          <t>アジ南蛮</t>
        </is>
      </c>
      <c r="C75" s="82" t="inlineStr">
        <is>
          <t>釜⑤200ℓ</t>
        </is>
      </c>
      <c r="D75" s="535">
        <f>⑧原料費入力台帳!G76</f>
        <v/>
      </c>
      <c r="E75" s="535">
        <f>⑧原料費入力台帳!K76</f>
        <v/>
      </c>
      <c r="F75" s="536">
        <f>IF(OR(D75="",E75=""),"",E75-D75)</f>
        <v/>
      </c>
      <c r="G75" s="179">
        <f>⑧原料費入力台帳!H76</f>
        <v/>
      </c>
      <c r="H75" s="179">
        <f>⑧原料費入力台帳!L76</f>
        <v/>
      </c>
      <c r="I75" s="537">
        <f>⑧原料費入力台帳!N76</f>
        <v/>
      </c>
      <c r="J75" s="148">
        <f>IF(I75="","未入力",IF(I75&gt;=10000,"★★★ 最優先",IF(I75&gt;=5000,"★★ 優先",IF(I75&gt;=1000,"★ 要確認","○ 許容"))))</f>
        <v/>
      </c>
    </row>
    <row r="76" ht="17" customHeight="1" s="438">
      <c r="A76" s="71" t="n">
        <v>72</v>
      </c>
      <c r="B76" s="72" t="inlineStr">
        <is>
          <t>筑前煮（ごぼう）</t>
        </is>
      </c>
      <c r="C76" s="81" t="inlineStr">
        <is>
          <t>釜⑤200ℓ</t>
        </is>
      </c>
      <c r="D76" s="538">
        <f>⑧原料費入力台帳!G77</f>
        <v/>
      </c>
      <c r="E76" s="538">
        <f>⑧原料費入力台帳!K77</f>
        <v/>
      </c>
      <c r="F76" s="539">
        <f>IF(OR(D76="",E76=""),"",E76-D76)</f>
        <v/>
      </c>
      <c r="G76" s="183">
        <f>⑧原料費入力台帳!H77</f>
        <v/>
      </c>
      <c r="H76" s="183">
        <f>⑧原料費入力台帳!L77</f>
        <v/>
      </c>
      <c r="I76" s="540">
        <f>⑧原料費入力台帳!N77</f>
        <v/>
      </c>
      <c r="J76" s="185">
        <f>IF(I76="","未入力",IF(I76&gt;=10000,"★★★ 最優先",IF(I76&gt;=5000,"★★ 優先",IF(I76&gt;=1000,"★ 要確認","○ 許容"))))</f>
        <v/>
      </c>
    </row>
    <row r="77" ht="17" customHeight="1" s="438">
      <c r="A77" s="66" t="n">
        <v>73</v>
      </c>
      <c r="B77" s="67" t="inlineStr">
        <is>
          <t>バターチキンカレー</t>
        </is>
      </c>
      <c r="C77" s="83" t="inlineStr">
        <is>
          <t>スチコン①</t>
        </is>
      </c>
      <c r="D77" s="535">
        <f>⑧原料費入力台帳!G78</f>
        <v/>
      </c>
      <c r="E77" s="535">
        <f>⑧原料費入力台帳!K78</f>
        <v/>
      </c>
      <c r="F77" s="536">
        <f>IF(OR(D77="",E77=""),"",E77-D77)</f>
        <v/>
      </c>
      <c r="G77" s="179">
        <f>⑧原料費入力台帳!H78</f>
        <v/>
      </c>
      <c r="H77" s="179">
        <f>⑧原料費入力台帳!L78</f>
        <v/>
      </c>
      <c r="I77" s="537">
        <f>⑧原料費入力台帳!N78</f>
        <v/>
      </c>
      <c r="J77" s="148">
        <f>IF(I77="","未入力",IF(I77&gt;=10000,"★★★ 最優先",IF(I77&gt;=5000,"★★ 優先",IF(I77&gt;=1000,"★ 要確認","○ 許容"))))</f>
        <v/>
      </c>
    </row>
    <row r="78" ht="17" customHeight="1" s="438">
      <c r="A78" s="71" t="n">
        <v>74</v>
      </c>
      <c r="B78" s="72" t="inlineStr">
        <is>
          <t>ミートボール</t>
        </is>
      </c>
      <c r="C78" s="84" t="inlineStr">
        <is>
          <t>スチコン①</t>
        </is>
      </c>
      <c r="D78" s="538">
        <f>⑧原料費入力台帳!G79</f>
        <v/>
      </c>
      <c r="E78" s="538">
        <f>⑧原料費入力台帳!K79</f>
        <v/>
      </c>
      <c r="F78" s="539">
        <f>IF(OR(D78="",E78=""),"",E78-D78)</f>
        <v/>
      </c>
      <c r="G78" s="183">
        <f>⑧原料費入力台帳!H79</f>
        <v/>
      </c>
      <c r="H78" s="183">
        <f>⑧原料費入力台帳!L79</f>
        <v/>
      </c>
      <c r="I78" s="540">
        <f>⑧原料費入力台帳!N79</f>
        <v/>
      </c>
      <c r="J78" s="185">
        <f>IF(I78="","未入力",IF(I78&gt;=10000,"★★★ 最優先",IF(I78&gt;=5000,"★★ 優先",IF(I78&gt;=1000,"★ 要確認","○ 許容"))))</f>
        <v/>
      </c>
    </row>
    <row r="79" ht="17" customHeight="1" s="438">
      <c r="A79" s="66" t="n">
        <v>75</v>
      </c>
      <c r="B79" s="67" t="inlineStr">
        <is>
          <t>焼きそば</t>
        </is>
      </c>
      <c r="C79" s="83" t="inlineStr">
        <is>
          <t>スチコン①</t>
        </is>
      </c>
      <c r="D79" s="535">
        <f>⑧原料費入力台帳!G80</f>
        <v/>
      </c>
      <c r="E79" s="535">
        <f>⑧原料費入力台帳!K80</f>
        <v/>
      </c>
      <c r="F79" s="536">
        <f>IF(OR(D79="",E79=""),"",E79-D79)</f>
        <v/>
      </c>
      <c r="G79" s="179">
        <f>⑧原料費入力台帳!H80</f>
        <v/>
      </c>
      <c r="H79" s="179">
        <f>⑧原料費入力台帳!L80</f>
        <v/>
      </c>
      <c r="I79" s="537">
        <f>⑧原料費入力台帳!N80</f>
        <v/>
      </c>
      <c r="J79" s="148">
        <f>IF(I79="","未入力",IF(I79&gt;=10000,"★★★ 最優先",IF(I79&gt;=5000,"★★ 優先",IF(I79&gt;=1000,"★ 要確認","○ 許容"))))</f>
        <v/>
      </c>
    </row>
    <row r="80" ht="17" customHeight="1" s="438">
      <c r="A80" s="71" t="n">
        <v>76</v>
      </c>
      <c r="B80" s="72" t="inlineStr">
        <is>
          <t>玉子サンド</t>
        </is>
      </c>
      <c r="C80" s="84" t="inlineStr">
        <is>
          <t>スチコン①</t>
        </is>
      </c>
      <c r="D80" s="538">
        <f>⑧原料費入力台帳!G81</f>
        <v/>
      </c>
      <c r="E80" s="538">
        <f>⑧原料費入力台帳!K81</f>
        <v/>
      </c>
      <c r="F80" s="539">
        <f>IF(OR(D80="",E80=""),"",E80-D80)</f>
        <v/>
      </c>
      <c r="G80" s="183">
        <f>⑧原料費入力台帳!H81</f>
        <v/>
      </c>
      <c r="H80" s="183">
        <f>⑧原料費入力台帳!L81</f>
        <v/>
      </c>
      <c r="I80" s="540">
        <f>⑧原料費入力台帳!N81</f>
        <v/>
      </c>
      <c r="J80" s="185">
        <f>IF(I80="","未入力",IF(I80&gt;=10000,"★★★ 最優先",IF(I80&gt;=5000,"★★ 優先",IF(I80&gt;=1000,"★ 要確認","○ 許容"))))</f>
        <v/>
      </c>
    </row>
    <row r="81" ht="17" customHeight="1" s="438">
      <c r="A81" s="66" t="n">
        <v>77</v>
      </c>
      <c r="B81" s="67" t="inlineStr">
        <is>
          <t>焼きちゃんぽん野菜</t>
        </is>
      </c>
      <c r="C81" s="83" t="inlineStr">
        <is>
          <t>スチコン①</t>
        </is>
      </c>
      <c r="D81" s="535">
        <f>⑧原料費入力台帳!G82</f>
        <v/>
      </c>
      <c r="E81" s="535">
        <f>⑧原料費入力台帳!K82</f>
        <v/>
      </c>
      <c r="F81" s="536">
        <f>IF(OR(D81="",E81=""),"",E81-D81)</f>
        <v/>
      </c>
      <c r="G81" s="179">
        <f>⑧原料費入力台帳!H82</f>
        <v/>
      </c>
      <c r="H81" s="179">
        <f>⑧原料費入力台帳!L82</f>
        <v/>
      </c>
      <c r="I81" s="537">
        <f>⑧原料費入力台帳!N82</f>
        <v/>
      </c>
      <c r="J81" s="148">
        <f>IF(I81="","未入力",IF(I81&gt;=10000,"★★★ 最優先",IF(I81&gt;=5000,"★★ 優先",IF(I81&gt;=1000,"★ 要確認","○ 許容"))))</f>
        <v/>
      </c>
    </row>
    <row r="82" ht="17" customHeight="1" s="438">
      <c r="A82" s="71" t="n">
        <v>78</v>
      </c>
      <c r="B82" s="72" t="inlineStr">
        <is>
          <t>かぼちゃペースト</t>
        </is>
      </c>
      <c r="C82" s="84" t="inlineStr">
        <is>
          <t>スチコン①</t>
        </is>
      </c>
      <c r="D82" s="538">
        <f>⑧原料費入力台帳!G83</f>
        <v/>
      </c>
      <c r="E82" s="538">
        <f>⑧原料費入力台帳!K83</f>
        <v/>
      </c>
      <c r="F82" s="539">
        <f>IF(OR(D82="",E82=""),"",E82-D82)</f>
        <v/>
      </c>
      <c r="G82" s="183">
        <f>⑧原料費入力台帳!H83</f>
        <v/>
      </c>
      <c r="H82" s="183">
        <f>⑧原料費入力台帳!L83</f>
        <v/>
      </c>
      <c r="I82" s="540">
        <f>⑧原料費入力台帳!N83</f>
        <v/>
      </c>
      <c r="J82" s="185">
        <f>IF(I82="","未入力",IF(I82&gt;=10000,"★★★ 最優先",IF(I82&gt;=5000,"★★ 優先",IF(I82&gt;=1000,"★ 要確認","○ 許容"))))</f>
        <v/>
      </c>
    </row>
    <row r="83" ht="17" customHeight="1" s="438">
      <c r="A83" s="66" t="n">
        <v>79</v>
      </c>
      <c r="B83" s="67" t="inlineStr">
        <is>
          <t>いもペースト</t>
        </is>
      </c>
      <c r="C83" s="83" t="inlineStr">
        <is>
          <t>スチコン①</t>
        </is>
      </c>
      <c r="D83" s="535">
        <f>⑧原料費入力台帳!G84</f>
        <v/>
      </c>
      <c r="E83" s="535">
        <f>⑧原料費入力台帳!K84</f>
        <v/>
      </c>
      <c r="F83" s="536">
        <f>IF(OR(D83="",E83=""),"",E83-D83)</f>
        <v/>
      </c>
      <c r="G83" s="179">
        <f>⑧原料費入力台帳!H84</f>
        <v/>
      </c>
      <c r="H83" s="179">
        <f>⑧原料費入力台帳!L84</f>
        <v/>
      </c>
      <c r="I83" s="537">
        <f>⑧原料費入力台帳!N84</f>
        <v/>
      </c>
      <c r="J83" s="148">
        <f>IF(I83="","未入力",IF(I83&gt;=10000,"★★★ 最優先",IF(I83&gt;=5000,"★★ 優先",IF(I83&gt;=1000,"★ 要確認","○ 許容"))))</f>
        <v/>
      </c>
    </row>
    <row r="84" ht="17" customHeight="1" s="438">
      <c r="A84" s="71" t="n">
        <v>80</v>
      </c>
      <c r="B84" s="72" t="inlineStr">
        <is>
          <t>私の推しプリン</t>
        </is>
      </c>
      <c r="C84" s="84" t="inlineStr">
        <is>
          <t>スチコン①</t>
        </is>
      </c>
      <c r="D84" s="538">
        <f>⑧原料費入力台帳!G85</f>
        <v/>
      </c>
      <c r="E84" s="538">
        <f>⑧原料費入力台帳!K85</f>
        <v/>
      </c>
      <c r="F84" s="539">
        <f>IF(OR(D84="",E84=""),"",E84-D84)</f>
        <v/>
      </c>
      <c r="G84" s="183">
        <f>⑧原料費入力台帳!H85</f>
        <v/>
      </c>
      <c r="H84" s="183">
        <f>⑧原料費入力台帳!L85</f>
        <v/>
      </c>
      <c r="I84" s="540">
        <f>⑧原料費入力台帳!N85</f>
        <v/>
      </c>
      <c r="J84" s="185">
        <f>IF(I84="","未入力",IF(I84&gt;=10000,"★★★ 最優先",IF(I84&gt;=5000,"★★ 優先",IF(I84&gt;=1000,"★ 要確認","○ 許容"))))</f>
        <v/>
      </c>
    </row>
    <row r="85" ht="17" customHeight="1" s="438">
      <c r="A85" s="66" t="n">
        <v>81</v>
      </c>
      <c r="B85" s="67" t="inlineStr">
        <is>
          <t>よだれどり　タレ</t>
        </is>
      </c>
      <c r="C85" s="85" t="inlineStr">
        <is>
          <t>スチコン②</t>
        </is>
      </c>
      <c r="D85" s="535">
        <f>⑧原料費入力台帳!G86</f>
        <v/>
      </c>
      <c r="E85" s="535">
        <f>⑧原料費入力台帳!K86</f>
        <v/>
      </c>
      <c r="F85" s="536">
        <f>IF(OR(D85="",E85=""),"",E85-D85)</f>
        <v/>
      </c>
      <c r="G85" s="179">
        <f>⑧原料費入力台帳!H86</f>
        <v/>
      </c>
      <c r="H85" s="179">
        <f>⑧原料費入力台帳!L86</f>
        <v/>
      </c>
      <c r="I85" s="537">
        <f>⑧原料費入力台帳!N86</f>
        <v/>
      </c>
      <c r="J85" s="148">
        <f>IF(I85="","未入力",IF(I85&gt;=10000,"★★★ 最優先",IF(I85&gt;=5000,"★★ 優先",IF(I85&gt;=1000,"★ 要確認","○ 許容"))))</f>
        <v/>
      </c>
    </row>
    <row r="86" ht="17" customHeight="1" s="438">
      <c r="A86" s="71" t="n">
        <v>82</v>
      </c>
      <c r="B86" s="72" t="inlineStr">
        <is>
          <t>がんも</t>
        </is>
      </c>
      <c r="C86" s="86" t="inlineStr">
        <is>
          <t>スチコン②</t>
        </is>
      </c>
      <c r="D86" s="538">
        <f>⑧原料費入力台帳!G87</f>
        <v/>
      </c>
      <c r="E86" s="538">
        <f>⑧原料費入力台帳!K87</f>
        <v/>
      </c>
      <c r="F86" s="539">
        <f>IF(OR(D86="",E86=""),"",E86-D86)</f>
        <v/>
      </c>
      <c r="G86" s="183">
        <f>⑧原料費入力台帳!H87</f>
        <v/>
      </c>
      <c r="H86" s="183">
        <f>⑧原料費入力台帳!L87</f>
        <v/>
      </c>
      <c r="I86" s="540">
        <f>⑧原料費入力台帳!N87</f>
        <v/>
      </c>
      <c r="J86" s="185">
        <f>IF(I86="","未入力",IF(I86&gt;=10000,"★★★ 最優先",IF(I86&gt;=5000,"★★ 優先",IF(I86&gt;=1000,"★ 要確認","○ 許容"))))</f>
        <v/>
      </c>
    </row>
    <row r="87" ht="17" customHeight="1" s="438">
      <c r="A87" s="66" t="n">
        <v>83</v>
      </c>
      <c r="B87" s="67" t="inlineStr">
        <is>
          <t>焼きそば　野菜</t>
        </is>
      </c>
      <c r="C87" s="85" t="inlineStr">
        <is>
          <t>スチコン②</t>
        </is>
      </c>
      <c r="D87" s="535">
        <f>⑧原料費入力台帳!G88</f>
        <v/>
      </c>
      <c r="E87" s="535">
        <f>⑧原料費入力台帳!K88</f>
        <v/>
      </c>
      <c r="F87" s="536">
        <f>IF(OR(D87="",E87=""),"",E87-D87)</f>
        <v/>
      </c>
      <c r="G87" s="179">
        <f>⑧原料費入力台帳!H88</f>
        <v/>
      </c>
      <c r="H87" s="179">
        <f>⑧原料費入力台帳!L88</f>
        <v/>
      </c>
      <c r="I87" s="537">
        <f>⑧原料費入力台帳!N88</f>
        <v/>
      </c>
      <c r="J87" s="148">
        <f>IF(I87="","未入力",IF(I87&gt;=10000,"★★★ 最優先",IF(I87&gt;=5000,"★★ 優先",IF(I87&gt;=1000,"★ 要確認","○ 許容"))))</f>
        <v/>
      </c>
    </row>
    <row r="88" ht="17" customHeight="1" s="438">
      <c r="A88" s="71" t="n">
        <v>84</v>
      </c>
      <c r="B88" s="72" t="inlineStr">
        <is>
          <t>ポテトサラダ　人参</t>
        </is>
      </c>
      <c r="C88" s="86" t="inlineStr">
        <is>
          <t>スチコン②</t>
        </is>
      </c>
      <c r="D88" s="538">
        <f>⑧原料費入力台帳!G89</f>
        <v/>
      </c>
      <c r="E88" s="538">
        <f>⑧原料費入力台帳!K89</f>
        <v/>
      </c>
      <c r="F88" s="539">
        <f>IF(OR(D88="",E88=""),"",E88-D88)</f>
        <v/>
      </c>
      <c r="G88" s="183">
        <f>⑧原料費入力台帳!H89</f>
        <v/>
      </c>
      <c r="H88" s="183">
        <f>⑧原料費入力台帳!L89</f>
        <v/>
      </c>
      <c r="I88" s="540">
        <f>⑧原料費入力台帳!N89</f>
        <v/>
      </c>
      <c r="J88" s="185">
        <f>IF(I88="","未入力",IF(I88&gt;=10000,"★★★ 最優先",IF(I88&gt;=5000,"★★ 優先",IF(I88&gt;=1000,"★ 要確認","○ 許容"))))</f>
        <v/>
      </c>
    </row>
    <row r="89" ht="17" customHeight="1" s="438">
      <c r="A89" s="66" t="n">
        <v>85</v>
      </c>
      <c r="B89" s="67" t="inlineStr">
        <is>
          <t>ポテトサラダ　玉葱</t>
        </is>
      </c>
      <c r="C89" s="85" t="inlineStr">
        <is>
          <t>スチコン②</t>
        </is>
      </c>
      <c r="D89" s="535">
        <f>⑧原料費入力台帳!G90</f>
        <v/>
      </c>
      <c r="E89" s="535">
        <f>⑧原料費入力台帳!K90</f>
        <v/>
      </c>
      <c r="F89" s="536">
        <f>IF(OR(D89="",E89=""),"",E89-D89)</f>
        <v/>
      </c>
      <c r="G89" s="179">
        <f>⑧原料費入力台帳!H90</f>
        <v/>
      </c>
      <c r="H89" s="179">
        <f>⑧原料費入力台帳!L90</f>
        <v/>
      </c>
      <c r="I89" s="537">
        <f>⑧原料費入力台帳!N90</f>
        <v/>
      </c>
      <c r="J89" s="148">
        <f>IF(I89="","未入力",IF(I89&gt;=10000,"★★★ 最優先",IF(I89&gt;=5000,"★★ 優先",IF(I89&gt;=1000,"★ 要確認","○ 許容"))))</f>
        <v/>
      </c>
    </row>
    <row r="90" ht="17" customHeight="1" s="438">
      <c r="A90" s="71" t="n">
        <v>86</v>
      </c>
      <c r="B90" s="72" t="inlineStr">
        <is>
          <t>ナポリベーコン</t>
        </is>
      </c>
      <c r="C90" s="86" t="inlineStr">
        <is>
          <t>スチコン②</t>
        </is>
      </c>
      <c r="D90" s="538">
        <f>⑧原料費入力台帳!G91</f>
        <v/>
      </c>
      <c r="E90" s="538">
        <f>⑧原料費入力台帳!K91</f>
        <v/>
      </c>
      <c r="F90" s="539">
        <f>IF(OR(D90="",E90=""),"",E90-D90)</f>
        <v/>
      </c>
      <c r="G90" s="183">
        <f>⑧原料費入力台帳!H91</f>
        <v/>
      </c>
      <c r="H90" s="183">
        <f>⑧原料費入力台帳!L91</f>
        <v/>
      </c>
      <c r="I90" s="540">
        <f>⑧原料費入力台帳!N91</f>
        <v/>
      </c>
      <c r="J90" s="185">
        <f>IF(I90="","未入力",IF(I90&gt;=10000,"★★★ 最優先",IF(I90&gt;=5000,"★★ 優先",IF(I90&gt;=1000,"★ 要確認","○ 許容"))))</f>
        <v/>
      </c>
    </row>
    <row r="91" ht="17" customHeight="1" s="438">
      <c r="A91" s="66" t="n">
        <v>87</v>
      </c>
      <c r="B91" s="67" t="inlineStr">
        <is>
          <t>焼うどん</t>
        </is>
      </c>
      <c r="C91" s="85" t="inlineStr">
        <is>
          <t>スチコン②</t>
        </is>
      </c>
      <c r="D91" s="535">
        <f>⑧原料費入力台帳!G92</f>
        <v/>
      </c>
      <c r="E91" s="535">
        <f>⑧原料費入力台帳!K92</f>
        <v/>
      </c>
      <c r="F91" s="536">
        <f>IF(OR(D91="",E91=""),"",E91-D91)</f>
        <v/>
      </c>
      <c r="G91" s="179">
        <f>⑧原料費入力台帳!H92</f>
        <v/>
      </c>
      <c r="H91" s="179">
        <f>⑧原料費入力台帳!L92</f>
        <v/>
      </c>
      <c r="I91" s="537">
        <f>⑧原料費入力台帳!N92</f>
        <v/>
      </c>
      <c r="J91" s="148">
        <f>IF(I91="","未入力",IF(I91&gt;=10000,"★★★ 最優先",IF(I91&gt;=5000,"★★ 優先",IF(I91&gt;=1000,"★ 要確認","○ 許容"))))</f>
        <v/>
      </c>
    </row>
    <row r="92" ht="17" customHeight="1" s="438">
      <c r="A92" s="71" t="n">
        <v>88</v>
      </c>
      <c r="B92" s="72" t="inlineStr">
        <is>
          <t>焼ちゃんぽん</t>
        </is>
      </c>
      <c r="C92" s="86" t="inlineStr">
        <is>
          <t>スチコン②</t>
        </is>
      </c>
      <c r="D92" s="538">
        <f>⑧原料費入力台帳!G93</f>
        <v/>
      </c>
      <c r="E92" s="538">
        <f>⑧原料費入力台帳!K93</f>
        <v/>
      </c>
      <c r="F92" s="539">
        <f>IF(OR(D92="",E92=""),"",E92-D92)</f>
        <v/>
      </c>
      <c r="G92" s="183">
        <f>⑧原料費入力台帳!H93</f>
        <v/>
      </c>
      <c r="H92" s="183">
        <f>⑧原料費入力台帳!L93</f>
        <v/>
      </c>
      <c r="I92" s="540">
        <f>⑧原料費入力台帳!N93</f>
        <v/>
      </c>
      <c r="J92" s="185">
        <f>IF(I92="","未入力",IF(I92&gt;=10000,"★★★ 最優先",IF(I92&gt;=5000,"★★ 優先",IF(I92&gt;=1000,"★ 要確認","○ 許容"))))</f>
        <v/>
      </c>
    </row>
    <row r="93" ht="17" customHeight="1" s="438">
      <c r="A93" s="66" t="n">
        <v>89</v>
      </c>
      <c r="B93" s="67" t="inlineStr">
        <is>
          <t>麻婆丼（豆腐スチーム）</t>
        </is>
      </c>
      <c r="C93" s="85" t="inlineStr">
        <is>
          <t>スチコン②</t>
        </is>
      </c>
      <c r="D93" s="535">
        <f>⑧原料費入力台帳!G94</f>
        <v/>
      </c>
      <c r="E93" s="535">
        <f>⑧原料費入力台帳!K94</f>
        <v/>
      </c>
      <c r="F93" s="536">
        <f>IF(OR(D93="",E93=""),"",E93-D93)</f>
        <v/>
      </c>
      <c r="G93" s="179">
        <f>⑧原料費入力台帳!H94</f>
        <v/>
      </c>
      <c r="H93" s="179">
        <f>⑧原料費入力台帳!L94</f>
        <v/>
      </c>
      <c r="I93" s="537">
        <f>⑧原料費入力台帳!N94</f>
        <v/>
      </c>
      <c r="J93" s="148">
        <f>IF(I93="","未入力",IF(I93&gt;=10000,"★★★ 最優先",IF(I93&gt;=5000,"★★ 優先",IF(I93&gt;=1000,"★ 要確認","○ 許容"))))</f>
        <v/>
      </c>
    </row>
    <row r="94" ht="17" customHeight="1" s="438">
      <c r="A94" s="71" t="n">
        <v>90</v>
      </c>
      <c r="B94" s="72" t="inlineStr">
        <is>
          <t>麻婆丼（ねぎ焼き）</t>
        </is>
      </c>
      <c r="C94" s="86" t="inlineStr">
        <is>
          <t>スチコン②</t>
        </is>
      </c>
      <c r="D94" s="538">
        <f>⑧原料費入力台帳!G95</f>
        <v/>
      </c>
      <c r="E94" s="538">
        <f>⑧原料費入力台帳!K95</f>
        <v/>
      </c>
      <c r="F94" s="539">
        <f>IF(OR(D94="",E94=""),"",E94-D94)</f>
        <v/>
      </c>
      <c r="G94" s="183">
        <f>⑧原料費入力台帳!H95</f>
        <v/>
      </c>
      <c r="H94" s="183">
        <f>⑧原料費入力台帳!L95</f>
        <v/>
      </c>
      <c r="I94" s="540">
        <f>⑧原料費入力台帳!N95</f>
        <v/>
      </c>
      <c r="J94" s="185">
        <f>IF(I94="","未入力",IF(I94&gt;=10000,"★★★ 最優先",IF(I94&gt;=5000,"★★ 優先",IF(I94&gt;=1000,"★ 要確認","○ 許容"))))</f>
        <v/>
      </c>
    </row>
    <row r="95" ht="17" customHeight="1" s="438">
      <c r="A95" s="66" t="n">
        <v>91</v>
      </c>
      <c r="B95" s="67" t="inlineStr">
        <is>
          <t>麻婆丼</t>
        </is>
      </c>
      <c r="C95" s="85" t="inlineStr">
        <is>
          <t>スチコン②</t>
        </is>
      </c>
      <c r="D95" s="535">
        <f>⑧原料費入力台帳!G96</f>
        <v/>
      </c>
      <c r="E95" s="535">
        <f>⑧原料費入力台帳!K96</f>
        <v/>
      </c>
      <c r="F95" s="536">
        <f>IF(OR(D95="",E95=""),"",E95-D95)</f>
        <v/>
      </c>
      <c r="G95" s="179">
        <f>⑧原料費入力台帳!H96</f>
        <v/>
      </c>
      <c r="H95" s="179">
        <f>⑧原料費入力台帳!L96</f>
        <v/>
      </c>
      <c r="I95" s="537">
        <f>⑧原料費入力台帳!N96</f>
        <v/>
      </c>
      <c r="J95" s="148">
        <f>IF(I95="","未入力",IF(I95&gt;=10000,"★★★ 最優先",IF(I95&gt;=5000,"★★ 優先",IF(I95&gt;=1000,"★ 要確認","○ 許容"))))</f>
        <v/>
      </c>
    </row>
    <row r="96" ht="17" customHeight="1" s="438">
      <c r="A96" s="71" t="n">
        <v>92</v>
      </c>
      <c r="B96" s="72" t="inlineStr">
        <is>
          <t>オムライス玉子</t>
        </is>
      </c>
      <c r="C96" s="87" t="inlineStr">
        <is>
          <t>スチコン③</t>
        </is>
      </c>
      <c r="D96" s="538">
        <f>⑧原料費入力台帳!G97</f>
        <v/>
      </c>
      <c r="E96" s="538">
        <f>⑧原料費入力台帳!K97</f>
        <v/>
      </c>
      <c r="F96" s="539">
        <f>IF(OR(D96="",E96=""),"",E96-D96)</f>
        <v/>
      </c>
      <c r="G96" s="183">
        <f>⑧原料費入力台帳!H97</f>
        <v/>
      </c>
      <c r="H96" s="183">
        <f>⑧原料費入力台帳!L97</f>
        <v/>
      </c>
      <c r="I96" s="540">
        <f>⑧原料費入力台帳!N97</f>
        <v/>
      </c>
      <c r="J96" s="185">
        <f>IF(I96="","未入力",IF(I96&gt;=10000,"★★★ 最優先",IF(I96&gt;=5000,"★★ 優先",IF(I96&gt;=1000,"★ 要確認","○ 許容"))))</f>
        <v/>
      </c>
    </row>
    <row r="97" ht="17" customHeight="1" s="438">
      <c r="A97" s="66" t="n">
        <v>93</v>
      </c>
      <c r="B97" s="67" t="inlineStr">
        <is>
          <t>ピザカレー</t>
        </is>
      </c>
      <c r="C97" s="88" t="inlineStr">
        <is>
          <t>スチコン③</t>
        </is>
      </c>
      <c r="D97" s="535">
        <f>⑧原料費入力台帳!G98</f>
        <v/>
      </c>
      <c r="E97" s="535">
        <f>⑧原料費入力台帳!K98</f>
        <v/>
      </c>
      <c r="F97" s="536">
        <f>IF(OR(D97="",E97=""),"",E97-D97)</f>
        <v/>
      </c>
      <c r="G97" s="179">
        <f>⑧原料費入力台帳!H98</f>
        <v/>
      </c>
      <c r="H97" s="179">
        <f>⑧原料費入力台帳!L98</f>
        <v/>
      </c>
      <c r="I97" s="537">
        <f>⑧原料費入力台帳!N98</f>
        <v/>
      </c>
      <c r="J97" s="148">
        <f>IF(I97="","未入力",IF(I97&gt;=10000,"★★★ 最優先",IF(I97&gt;=5000,"★★ 優先",IF(I97&gt;=1000,"★ 要確認","○ 許容"))))</f>
        <v/>
      </c>
    </row>
    <row r="98" ht="17" customHeight="1" s="438">
      <c r="A98" s="71" t="n">
        <v>94</v>
      </c>
      <c r="B98" s="72" t="inlineStr">
        <is>
          <t>目玉焼き</t>
        </is>
      </c>
      <c r="C98" s="87" t="inlineStr">
        <is>
          <t>スチコン③</t>
        </is>
      </c>
      <c r="D98" s="538">
        <f>⑧原料費入力台帳!G99</f>
        <v/>
      </c>
      <c r="E98" s="538">
        <f>⑧原料費入力台帳!K99</f>
        <v/>
      </c>
      <c r="F98" s="539">
        <f>IF(OR(D98="",E98=""),"",E98-D98)</f>
        <v/>
      </c>
      <c r="G98" s="183">
        <f>⑧原料費入力台帳!H99</f>
        <v/>
      </c>
      <c r="H98" s="183">
        <f>⑧原料費入力台帳!L99</f>
        <v/>
      </c>
      <c r="I98" s="540">
        <f>⑧原料費入力台帳!N99</f>
        <v/>
      </c>
      <c r="J98" s="185">
        <f>IF(I98="","未入力",IF(I98&gt;=10000,"★★★ 最優先",IF(I98&gt;=5000,"★★ 優先",IF(I98&gt;=1000,"★ 要確認","○ 許容"))))</f>
        <v/>
      </c>
    </row>
    <row r="99" ht="17" customHeight="1" s="438">
      <c r="A99" s="66" t="n">
        <v>95</v>
      </c>
      <c r="B99" s="67" t="inlineStr">
        <is>
          <t>ロールケーキ</t>
        </is>
      </c>
      <c r="C99" s="80" t="inlineStr">
        <is>
          <t>スチコン④</t>
        </is>
      </c>
      <c r="D99" s="535">
        <f>⑧原料費入力台帳!G100</f>
        <v/>
      </c>
      <c r="E99" s="535">
        <f>⑧原料費入力台帳!K100</f>
        <v/>
      </c>
      <c r="F99" s="536">
        <f>IF(OR(D99="",E99=""),"",E99-D99)</f>
        <v/>
      </c>
      <c r="G99" s="179">
        <f>⑧原料費入力台帳!H100</f>
        <v/>
      </c>
      <c r="H99" s="179">
        <f>⑧原料費入力台帳!L100</f>
        <v/>
      </c>
      <c r="I99" s="537">
        <f>⑧原料費入力台帳!N100</f>
        <v/>
      </c>
      <c r="J99" s="148">
        <f>IF(I99="","未入力",IF(I99&gt;=10000,"★★★ 最優先",IF(I99&gt;=5000,"★★ 優先",IF(I99&gt;=1000,"★ 要確認","○ 許容"))))</f>
        <v/>
      </c>
    </row>
    <row r="100" ht="17" customHeight="1" s="438">
      <c r="A100" s="71" t="n">
        <v>96</v>
      </c>
      <c r="B100" s="72" t="inlineStr">
        <is>
          <t>わらび餅</t>
        </is>
      </c>
      <c r="C100" s="79" t="inlineStr">
        <is>
          <t>スチコン④</t>
        </is>
      </c>
      <c r="D100" s="538">
        <f>⑧原料費入力台帳!G101</f>
        <v/>
      </c>
      <c r="E100" s="538">
        <f>⑧原料費入力台帳!K101</f>
        <v/>
      </c>
      <c r="F100" s="539">
        <f>IF(OR(D100="",E100=""),"",E100-D100)</f>
        <v/>
      </c>
      <c r="G100" s="183">
        <f>⑧原料費入力台帳!H101</f>
        <v/>
      </c>
      <c r="H100" s="183">
        <f>⑧原料費入力台帳!L101</f>
        <v/>
      </c>
      <c r="I100" s="540">
        <f>⑧原料費入力台帳!N101</f>
        <v/>
      </c>
      <c r="J100" s="185">
        <f>IF(I100="","未入力",IF(I100&gt;=10000,"★★★ 最優先",IF(I100&gt;=5000,"★★ 優先",IF(I100&gt;=1000,"★ 要確認","○ 許容"))))</f>
        <v/>
      </c>
    </row>
    <row r="101" ht="17" customHeight="1" s="438">
      <c r="A101" s="66" t="n">
        <v>97</v>
      </c>
      <c r="B101" s="67" t="inlineStr">
        <is>
          <t>シュークリーム</t>
        </is>
      </c>
      <c r="C101" s="80" t="inlineStr">
        <is>
          <t>スチコン④</t>
        </is>
      </c>
      <c r="D101" s="535">
        <f>⑧原料費入力台帳!G102</f>
        <v/>
      </c>
      <c r="E101" s="535">
        <f>⑧原料費入力台帳!K102</f>
        <v/>
      </c>
      <c r="F101" s="536">
        <f>IF(OR(D101="",E101=""),"",E101-D101)</f>
        <v/>
      </c>
      <c r="G101" s="179">
        <f>⑧原料費入力台帳!H102</f>
        <v/>
      </c>
      <c r="H101" s="179">
        <f>⑧原料費入力台帳!L102</f>
        <v/>
      </c>
      <c r="I101" s="537">
        <f>⑧原料費入力台帳!N102</f>
        <v/>
      </c>
      <c r="J101" s="148">
        <f>IF(I101="","未入力",IF(I101&gt;=10000,"★★★ 最優先",IF(I101&gt;=5000,"★★ 優先",IF(I101&gt;=1000,"★ 要確認","○ 許容"))))</f>
        <v/>
      </c>
    </row>
    <row r="102" ht="17" customHeight="1" s="438">
      <c r="A102" s="71" t="n">
        <v>98</v>
      </c>
      <c r="B102" s="72" t="inlineStr">
        <is>
          <t>角煮まん</t>
        </is>
      </c>
      <c r="C102" s="79" t="inlineStr">
        <is>
          <t>スチコン④</t>
        </is>
      </c>
      <c r="D102" s="538">
        <f>⑧原料費入力台帳!G103</f>
        <v/>
      </c>
      <c r="E102" s="538">
        <f>⑧原料費入力台帳!K103</f>
        <v/>
      </c>
      <c r="F102" s="539">
        <f>IF(OR(D102="",E102=""),"",E102-D102)</f>
        <v/>
      </c>
      <c r="G102" s="183">
        <f>⑧原料費入力台帳!H103</f>
        <v/>
      </c>
      <c r="H102" s="183">
        <f>⑧原料費入力台帳!L103</f>
        <v/>
      </c>
      <c r="I102" s="540">
        <f>⑧原料費入力台帳!N103</f>
        <v/>
      </c>
      <c r="J102" s="185">
        <f>IF(I102="","未入力",IF(I102&gt;=10000,"★★★ 最優先",IF(I102&gt;=5000,"★★ 優先",IF(I102&gt;=1000,"★ 要確認","○ 許容"))))</f>
        <v/>
      </c>
    </row>
    <row r="103" ht="17" customHeight="1" s="438">
      <c r="A103" s="66" t="n">
        <v>99</v>
      </c>
      <c r="B103" s="67" t="inlineStr">
        <is>
          <t>ロールなプリン</t>
        </is>
      </c>
      <c r="C103" s="80" t="inlineStr">
        <is>
          <t>スチコン④</t>
        </is>
      </c>
      <c r="D103" s="535">
        <f>⑧原料費入力台帳!G104</f>
        <v/>
      </c>
      <c r="E103" s="535">
        <f>⑧原料費入力台帳!K104</f>
        <v/>
      </c>
      <c r="F103" s="536">
        <f>IF(OR(D103="",E103=""),"",E103-D103)</f>
        <v/>
      </c>
      <c r="G103" s="179">
        <f>⑧原料費入力台帳!H104</f>
        <v/>
      </c>
      <c r="H103" s="179">
        <f>⑧原料費入力台帳!L104</f>
        <v/>
      </c>
      <c r="I103" s="537">
        <f>⑧原料費入力台帳!N104</f>
        <v/>
      </c>
      <c r="J103" s="148">
        <f>IF(I103="","未入力",IF(I103&gt;=10000,"★★★ 最優先",IF(I103&gt;=5000,"★★ 優先",IF(I103&gt;=1000,"★ 要確認","○ 許容"))))</f>
        <v/>
      </c>
    </row>
    <row r="104" ht="17" customHeight="1" s="438">
      <c r="A104" s="71" t="n">
        <v>100</v>
      </c>
      <c r="B104" s="72" t="inlineStr">
        <is>
          <t>焼きうどん</t>
        </is>
      </c>
      <c r="C104" s="81" t="inlineStr">
        <is>
          <t>スチコン⑤</t>
        </is>
      </c>
      <c r="D104" s="538">
        <f>⑧原料費入力台帳!G105</f>
        <v/>
      </c>
      <c r="E104" s="538">
        <f>⑧原料費入力台帳!K105</f>
        <v/>
      </c>
      <c r="F104" s="539">
        <f>IF(OR(D104="",E104=""),"",E104-D104)</f>
        <v/>
      </c>
      <c r="G104" s="183">
        <f>⑧原料費入力台帳!H105</f>
        <v/>
      </c>
      <c r="H104" s="183">
        <f>⑧原料費入力台帳!L105</f>
        <v/>
      </c>
      <c r="I104" s="540">
        <f>⑧原料費入力台帳!N105</f>
        <v/>
      </c>
      <c r="J104" s="185">
        <f>IF(I104="","未入力",IF(I104&gt;=10000,"★★★ 最優先",IF(I104&gt;=5000,"★★ 優先",IF(I104&gt;=1000,"★ 要確認","○ 許容"))))</f>
        <v/>
      </c>
    </row>
    <row r="105" ht="17" customHeight="1" s="438">
      <c r="A105" s="66" t="n">
        <v>101</v>
      </c>
      <c r="B105" s="67" t="inlineStr">
        <is>
          <t>たまごサンド</t>
        </is>
      </c>
      <c r="C105" s="82" t="inlineStr">
        <is>
          <t>スチコン⑤</t>
        </is>
      </c>
      <c r="D105" s="535">
        <f>⑧原料費入力台帳!G106</f>
        <v/>
      </c>
      <c r="E105" s="535">
        <f>⑧原料費入力台帳!K106</f>
        <v/>
      </c>
      <c r="F105" s="536">
        <f>IF(OR(D105="",E105=""),"",E105-D105)</f>
        <v/>
      </c>
      <c r="G105" s="179">
        <f>⑧原料費入力台帳!H106</f>
        <v/>
      </c>
      <c r="H105" s="179">
        <f>⑧原料費入力台帳!L106</f>
        <v/>
      </c>
      <c r="I105" s="537">
        <f>⑧原料費入力台帳!N106</f>
        <v/>
      </c>
      <c r="J105" s="148">
        <f>IF(I105="","未入力",IF(I105&gt;=10000,"★★★ 最優先",IF(I105&gt;=5000,"★★ 優先",IF(I105&gt;=1000,"★ 要確認","○ 許容"))))</f>
        <v/>
      </c>
    </row>
    <row r="106" ht="17" customHeight="1" s="438">
      <c r="A106" s="71" t="n">
        <v>102</v>
      </c>
      <c r="B106" s="72" t="inlineStr">
        <is>
          <t>クランブル</t>
        </is>
      </c>
      <c r="C106" s="81" t="inlineStr">
        <is>
          <t>スチコン⑤</t>
        </is>
      </c>
      <c r="D106" s="538">
        <f>⑧原料費入力台帳!G107</f>
        <v/>
      </c>
      <c r="E106" s="538">
        <f>⑧原料費入力台帳!K107</f>
        <v/>
      </c>
      <c r="F106" s="539">
        <f>IF(OR(D106="",E106=""),"",E106-D106)</f>
        <v/>
      </c>
      <c r="G106" s="183">
        <f>⑧原料費入力台帳!H107</f>
        <v/>
      </c>
      <c r="H106" s="183">
        <f>⑧原料費入力台帳!L107</f>
        <v/>
      </c>
      <c r="I106" s="540">
        <f>⑧原料費入力台帳!N107</f>
        <v/>
      </c>
      <c r="J106" s="185">
        <f>IF(I106="","未入力",IF(I106&gt;=10000,"★★★ 最優先",IF(I106&gt;=5000,"★★ 優先",IF(I106&gt;=1000,"★ 要確認","○ 許容"))))</f>
        <v/>
      </c>
    </row>
    <row r="107" ht="17" customHeight="1" s="438">
      <c r="A107" s="66" t="n">
        <v>103</v>
      </c>
      <c r="B107" s="67" t="inlineStr">
        <is>
          <t>チーズケーキ</t>
        </is>
      </c>
      <c r="C107" s="82" t="inlineStr">
        <is>
          <t>スチコン⑤</t>
        </is>
      </c>
      <c r="D107" s="535">
        <f>⑧原料費入力台帳!G108</f>
        <v/>
      </c>
      <c r="E107" s="535">
        <f>⑧原料費入力台帳!K108</f>
        <v/>
      </c>
      <c r="F107" s="536">
        <f>IF(OR(D107="",E107=""),"",E107-D107)</f>
        <v/>
      </c>
      <c r="G107" s="179">
        <f>⑧原料費入力台帳!H108</f>
        <v/>
      </c>
      <c r="H107" s="179">
        <f>⑧原料費入力台帳!L108</f>
        <v/>
      </c>
      <c r="I107" s="537">
        <f>⑧原料費入力台帳!N108</f>
        <v/>
      </c>
      <c r="J107" s="148">
        <f>IF(I107="","未入力",IF(I107&gt;=10000,"★★★ 最優先",IF(I107&gt;=5000,"★★ 優先",IF(I107&gt;=1000,"★ 要確認","○ 許容"))))</f>
        <v/>
      </c>
    </row>
    <row r="108" ht="17" customHeight="1" s="438">
      <c r="A108" s="71" t="n">
        <v>104</v>
      </c>
      <c r="B108" s="72" t="inlineStr">
        <is>
          <t>ザクザクパイ</t>
        </is>
      </c>
      <c r="C108" s="81" t="inlineStr">
        <is>
          <t>スチコン⑤</t>
        </is>
      </c>
      <c r="D108" s="538">
        <f>⑧原料費入力台帳!G109</f>
        <v/>
      </c>
      <c r="E108" s="538">
        <f>⑧原料費入力台帳!K109</f>
        <v/>
      </c>
      <c r="F108" s="539">
        <f>IF(OR(D108="",E108=""),"",E108-D108)</f>
        <v/>
      </c>
      <c r="G108" s="183">
        <f>⑧原料費入力台帳!H109</f>
        <v/>
      </c>
      <c r="H108" s="183">
        <f>⑧原料費入力台帳!L109</f>
        <v/>
      </c>
      <c r="I108" s="540">
        <f>⑧原料費入力台帳!N109</f>
        <v/>
      </c>
      <c r="J108" s="185">
        <f>IF(I108="","未入力",IF(I108&gt;=10000,"★★★ 最優先",IF(I108&gt;=5000,"★★ 優先",IF(I108&gt;=1000,"★ 要確認","○ 許容"))))</f>
        <v/>
      </c>
    </row>
    <row r="109" ht="17" customHeight="1" s="438">
      <c r="A109" s="66" t="n">
        <v>105</v>
      </c>
      <c r="B109" s="67" t="inlineStr">
        <is>
          <t>プリン</t>
        </is>
      </c>
      <c r="C109" s="82" t="inlineStr">
        <is>
          <t>スチコン⑤</t>
        </is>
      </c>
      <c r="D109" s="535">
        <f>⑧原料費入力台帳!G110</f>
        <v/>
      </c>
      <c r="E109" s="535">
        <f>⑧原料費入力台帳!K110</f>
        <v/>
      </c>
      <c r="F109" s="536">
        <f>IF(OR(D109="",E109=""),"",E109-D109)</f>
        <v/>
      </c>
      <c r="G109" s="179">
        <f>⑧原料費入力台帳!H110</f>
        <v/>
      </c>
      <c r="H109" s="179">
        <f>⑧原料費入力台帳!L110</f>
        <v/>
      </c>
      <c r="I109" s="537">
        <f>⑧原料費入力台帳!N110</f>
        <v/>
      </c>
      <c r="J109" s="148">
        <f>IF(I109="","未入力",IF(I109&gt;=10000,"★★★ 最優先",IF(I109&gt;=5000,"★★ 優先",IF(I109&gt;=1000,"★ 要確認","○ 許容"))))</f>
        <v/>
      </c>
    </row>
    <row r="110" ht="22" customHeight="1" s="438">
      <c r="A110" s="469" t="inlineStr">
        <is>
          <t>合　計</t>
        </is>
      </c>
      <c r="B110" s="458" t="n"/>
      <c r="C110" s="459" t="n"/>
      <c r="D110" s="174" t="n"/>
      <c r="E110" s="174" t="n"/>
      <c r="F110" s="174" t="n"/>
      <c r="G110" s="175">
        <f>IFERROR(SUMIF(G5:G109,"&lt;&gt;"&amp;"",G5:G109),"")</f>
        <v/>
      </c>
      <c r="H110" s="175">
        <f>IFERROR(SUMIF(H5:H109,"&lt;&gt;"&amp;"",H5:H109),"")</f>
        <v/>
      </c>
      <c r="I110" s="534">
        <f>IFERROR(SUMIF(I5:I109,"&lt;&gt;"&amp;"",I5:I109),"")</f>
        <v/>
      </c>
      <c r="J110" s="174" t="n"/>
    </row>
    <row r="111" ht="20" customHeight="1" s="438">
      <c r="A111" s="472" t="inlineStr">
        <is>
          <t>💡 ヒント：「原料費乖離(円)」列を大きい順に並び替えると改善優先ターゲットが一目でわかります</t>
        </is>
      </c>
    </row>
  </sheetData>
  <mergeCells count="4">
    <mergeCell ref="A1:J1"/>
    <mergeCell ref="A111:J111"/>
    <mergeCell ref="A110:C110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AI300"/>
  <sheetViews>
    <sheetView showGridLines="0" workbookViewId="0">
      <pane xSplit="2" ySplit="4" topLeftCell="E72" activePane="bottomRight" state="frozen"/>
      <selection pane="topRight" activeCell="A1" sqref="A1"/>
      <selection pane="bottomLeft" activeCell="A1" sqref="A1"/>
      <selection pane="bottomRight" activeCell="J73" sqref="J73"/>
    </sheetView>
  </sheetViews>
  <sheetFormatPr baseColWidth="8" defaultRowHeight="13"/>
  <cols>
    <col width="5" customWidth="1" style="438" min="1" max="1"/>
    <col width="14" customWidth="1" style="438" min="2" max="2"/>
    <col width="26" customWidth="1" style="438" min="3" max="3"/>
    <col width="8" customWidth="1" style="438" min="4" max="5"/>
    <col width="9" customWidth="1" style="438" min="6" max="6"/>
    <col width="10" customWidth="1" style="438" min="7" max="7"/>
    <col width="10" customWidth="1" style="456" min="8" max="8"/>
    <col width="10.6328125" customWidth="1" style="456" min="9" max="9"/>
    <col width="10.6328125" customWidth="1" style="438" min="10" max="10"/>
    <col width="10.6328125" customWidth="1" style="456" min="11" max="11"/>
    <col width="10.6328125" customWidth="1" style="438" min="12" max="12"/>
    <col width="11" customWidth="1" style="438" min="13" max="13"/>
    <col width="8.6328125" customWidth="1" style="456" min="14" max="14"/>
    <col width="10" customWidth="1" style="438" min="15" max="16"/>
    <col width="16" customWidth="1" style="438" min="17" max="17"/>
    <col width="26" customWidth="1" style="438" min="18" max="23"/>
    <col width="14" customWidth="1" style="438" min="24" max="28"/>
    <col width="12" customWidth="1" style="438" min="30" max="35"/>
  </cols>
  <sheetData>
    <row r="1" ht="26" customHeight="1" s="438">
      <c r="A1" s="478" t="inlineStr">
        <is>
          <t>盛付梱包工程入力台帳　毎週更新　|　黄色セル★を更新してください</t>
        </is>
      </c>
    </row>
    <row r="2" ht="18" customHeight="1" s="438">
      <c r="A2" s="477" t="inlineStr">
        <is>
          <t>● 青字・黄背景 = 毎週更新する入力セル★　|　グレー = 自動計算（触らない）　|　300行目まで計算式入り（下の空き行に追加すれば⑤⑰⑳に自動反映）　|　205〜295行目＝⑳にあって記録がなかった商品（Q列★要入力）。開始・終了または実作業(分)・人数・個数を入れてください</t>
        </is>
      </c>
    </row>
    <row r="3" ht="8" customHeight="1" s="438"/>
    <row r="4" ht="32" customHeight="1" s="438">
      <c r="A4" s="187" t="inlineStr">
        <is>
          <t>No.</t>
        </is>
      </c>
      <c r="B4" s="187" t="inlineStr">
        <is>
          <t>ライン</t>
        </is>
      </c>
      <c r="C4" s="187" t="inlineStr">
        <is>
          <t>商品名★</t>
        </is>
      </c>
      <c r="D4" s="187" t="inlineStr">
        <is>
          <t>開始★</t>
        </is>
      </c>
      <c r="E4" s="187" t="inlineStr">
        <is>
          <t>終了★</t>
        </is>
      </c>
      <c r="F4" s="187" t="inlineStr">
        <is>
          <t>稼働(分)</t>
        </is>
      </c>
      <c r="G4" s="227" t="inlineStr">
        <is>
          <t>実作業(分)★</t>
        </is>
      </c>
      <c r="H4" s="336" t="inlineStr">
        <is>
          <t>人数★</t>
        </is>
      </c>
      <c r="I4" s="328" t="inlineStr">
        <is>
          <t>重量(kg)★
 kg入力欄</t>
        </is>
      </c>
      <c r="J4" s="187" t="inlineStr">
        <is>
          <t>個数(個)★
個入力欄</t>
        </is>
      </c>
      <c r="K4" s="327" t="inlineStr">
        <is>
          <t>生産性
(kg/h)</t>
        </is>
      </c>
      <c r="L4" s="187" t="inlineStr">
        <is>
          <t>生産性
(個/h)</t>
        </is>
      </c>
      <c r="M4" s="187" t="inlineStr">
        <is>
          <t>労務費
(円)</t>
        </is>
      </c>
      <c r="N4" s="327" t="inlineStr">
        <is>
          <t>円/kg</t>
        </is>
      </c>
      <c r="O4" s="187" t="inlineStr">
        <is>
          <t>円/個</t>
        </is>
      </c>
      <c r="P4" s="187" t="inlineStr">
        <is>
          <t>区分</t>
        </is>
      </c>
      <c r="Q4" s="187" t="inlineStr">
        <is>
          <t>備考</t>
        </is>
      </c>
      <c r="R4" t="inlineStr">
        <is>
          <t>★商品名①</t>
        </is>
      </c>
      <c r="S4" t="inlineStr">
        <is>
          <t>★商品名②</t>
        </is>
      </c>
      <c r="T4" t="inlineStr">
        <is>
          <t>★商品名③</t>
        </is>
      </c>
      <c r="U4" t="inlineStr">
        <is>
          <t>★商品名④</t>
        </is>
      </c>
      <c r="V4" t="inlineStr">
        <is>
          <t>★商品名⑤</t>
        </is>
      </c>
      <c r="W4" t="inlineStr">
        <is>
          <t>★商品名⑥</t>
        </is>
      </c>
      <c r="X4" t="inlineStr">
        <is>
          <t>振り分け数
自動</t>
        </is>
      </c>
      <c r="Y4" t="inlineStr">
        <is>
          <t>1商品あたり
労務費(等分・参考)</t>
        </is>
      </c>
      <c r="Z4" t="inlineStr">
        <is>
          <t>ひもづけ確認</t>
        </is>
      </c>
      <c r="AA4" t="inlineStr">
        <is>
          <t>選んだ商品の
食数合計</t>
        </is>
      </c>
      <c r="AB4" t="inlineStr">
        <is>
          <t>労務費(数値)</t>
        </is>
      </c>
      <c r="AC4" t="inlineStr">
        <is>
          <t>1商品あたり
食数</t>
        </is>
      </c>
      <c r="AD4" t="inlineStr">
        <is>
          <t>配分額①
(自動)</t>
        </is>
      </c>
      <c r="AE4" t="inlineStr">
        <is>
          <t>配分額②
(自動)</t>
        </is>
      </c>
      <c r="AF4" t="inlineStr">
        <is>
          <t>配分額③
(自動)</t>
        </is>
      </c>
      <c r="AG4" t="inlineStr">
        <is>
          <t>配分額④
(自動)</t>
        </is>
      </c>
      <c r="AH4" t="inlineStr">
        <is>
          <t>配分額⑤
(自動)</t>
        </is>
      </c>
      <c r="AI4" t="inlineStr">
        <is>
          <t>配分額⑥
(自動)</t>
        </is>
      </c>
    </row>
    <row r="5" hidden="1" ht="16" customHeight="1" s="438">
      <c r="A5" s="188" t="n">
        <v>1</v>
      </c>
      <c r="B5" s="189" t="inlineStr">
        <is>
          <t>盛付梱包</t>
        </is>
      </c>
      <c r="C5" s="229" t="inlineStr">
        <is>
          <t>盛付　梱包</t>
        </is>
      </c>
      <c r="D5" s="190" t="n"/>
      <c r="E5" s="190" t="n"/>
      <c r="F5" s="541">
        <f>IF(OR(D5="",E5=""),"",(E5-D5)*1440)</f>
        <v/>
      </c>
      <c r="G5" s="542" t="n"/>
      <c r="H5" s="542" t="n"/>
      <c r="I5" s="543" t="n"/>
      <c r="J5" s="192" t="n"/>
      <c r="K5" s="544">
        <f>IF(AND(ISNUMBER(F5),I5&gt;0),I5/(F5/60),"")</f>
        <v/>
      </c>
      <c r="L5" s="545" t="n">
        <v>1200</v>
      </c>
      <c r="M5" s="194">
        <f>IF(OR(ISNUMBER(SEARCH("サニテーション",C5)),ISNUMBER(SEARCH("客注",C5)),ISNUMBER(SEARCH("切り替え",C5)),ISNUMBER(SEARCH("切替",C5)),NOT(ISNUMBER(H5))),"",IF(ISNUMBER(G5),G5/60*H5*④前提設定!$B$4,IF(AND(G5="",ISNUMBER(F5)),F5/60*H5*④前提設定!$B$4,"")))</f>
        <v/>
      </c>
      <c r="N5" s="546">
        <f>IF(AND(I5&gt;0,ISNUMBER(M5)),M5/I5,"")</f>
        <v/>
      </c>
      <c r="O5" s="547">
        <f>IF(AND(J5&gt;0,ISNUMBER(M5)),M5/J5,"")</f>
        <v/>
      </c>
      <c r="P5" s="195" t="n"/>
      <c r="Q5" s="196" t="n"/>
      <c r="X5" s="334">
        <f>COUNTA(R5:W5)</f>
        <v/>
      </c>
      <c r="Y5" s="334">
        <f>IF(AND($X5&gt;0,ISNUMBER($M5)),$M5/$X5,"")</f>
        <v/>
      </c>
      <c r="Z5" s="334">
        <f>IF($X5=0,"",IF(COUNTIF(⑳商品別1食労務費!$C$5:$C$124,$R5)+COUNTIF(⑳商品別1食労務費!$C$5:$C$124,$S5)+COUNTIF(⑳商品別1食労務費!$C$5:$C$124,$T5)+COUNTIF(⑳商品別1食労務費!$C$5:$C$124,$U5)+COUNTIF(⑳商品別1食労務費!$C$5:$C$124,$V5)+COUNTIF(⑳商品別1食労務費!$C$5:$C$124,$W5)=$X5,"OK","⑳に無い商品名"))</f>
        <v/>
      </c>
      <c r="AA5" s="334">
        <f>SUMIF(⑳商品別1食労務費!$C$5:$C$124,$R5,⑳商品別1食労務費!$F$5:$F$124)+SUMIF(⑳商品別1食労務費!$C$5:$C$124,$S5,⑳商品別1食労務費!$F$5:$F$124)+SUMIF(⑳商品別1食労務費!$C$5:$C$124,$T5,⑳商品別1食労務費!$F$5:$F$124)+SUMIF(⑳商品別1食労務費!$C$5:$C$124,$U5,⑳商品別1食労務費!$F$5:$F$124)+SUMIF(⑳商品別1食労務費!$C$5:$C$124,$V5,⑳商品別1食労務費!$F$5:$F$124)+SUMIF(⑳商品別1食労務費!$C$5:$C$124,$W5,⑳商品別1食労務費!$F$5:$F$124)</f>
        <v/>
      </c>
      <c r="AB5" s="334">
        <f>IF(ISNUMBER($M5),$M5,0)</f>
        <v/>
      </c>
      <c r="AC5" s="334">
        <f>IF(AND($X5&gt;0,ISNUMBER($J5)),$J5/$X5,"")</f>
        <v/>
      </c>
      <c r="AD5" s="413">
        <f>IF($R5="",0,IF($AA5&gt;0,$AB5*SUMIF(⑳商品別1食労務費!$C$5:$C$124,$R5,⑳商品別1食労務費!$F$5:$F$124)/$AA5,$AB5/$X5))</f>
        <v/>
      </c>
      <c r="AE5" s="413">
        <f>IF($S5="",0,IF($AA5&gt;0,$AB5*SUMIF(⑳商品別1食労務費!$C$5:$C$124,$S5,⑳商品別1食労務費!$F$5:$F$124)/$AA5,$AB5/$X5))</f>
        <v/>
      </c>
      <c r="AF5" s="413">
        <f>IF($T5="",0,IF($AA5&gt;0,$AB5*SUMIF(⑳商品別1食労務費!$C$5:$C$124,$T5,⑳商品別1食労務費!$F$5:$F$124)/$AA5,$AB5/$X5))</f>
        <v/>
      </c>
      <c r="AG5" s="413">
        <f>IF($U5="",0,IF($AA5&gt;0,$AB5*SUMIF(⑳商品別1食労務費!$C$5:$C$124,$U5,⑳商品別1食労務費!$F$5:$F$124)/$AA5,$AB5/$X5))</f>
        <v/>
      </c>
      <c r="AH5" s="413">
        <f>IF($V5="",0,IF($AA5&gt;0,$AB5*SUMIF(⑳商品別1食労務費!$C$5:$C$124,$V5,⑳商品別1食労務費!$F$5:$F$124)/$AA5,$AB5/$X5))</f>
        <v/>
      </c>
      <c r="AI5" s="413">
        <f>IF($W5="",0,IF($AA5&gt;0,$AB5*SUMIF(⑳商品別1食労務費!$C$5:$C$124,$W5,⑳商品別1食労務費!$F$5:$F$124)/$AA5,$AB5/$X5))</f>
        <v/>
      </c>
    </row>
    <row r="6" hidden="1" ht="16" customHeight="1" s="438">
      <c r="A6" s="197" t="n">
        <v>2</v>
      </c>
      <c r="B6" s="198" t="inlineStr">
        <is>
          <t>盛付梱包</t>
        </is>
      </c>
      <c r="C6" s="229" t="inlineStr">
        <is>
          <t>クルンジ2個入れ</t>
        </is>
      </c>
      <c r="D6" s="190" t="n">
        <v>0.2916666666666667</v>
      </c>
      <c r="E6" s="190" t="n">
        <v>0.3208333333333334</v>
      </c>
      <c r="F6" s="541">
        <f>IF(OR(D6="",E6=""),"",(E6-D6)*1440)</f>
        <v/>
      </c>
      <c r="G6" s="542" t="n">
        <v>5</v>
      </c>
      <c r="H6" s="542" t="n">
        <v>1</v>
      </c>
      <c r="I6" s="543" t="n"/>
      <c r="J6" s="192" t="n">
        <v>207</v>
      </c>
      <c r="K6" s="544">
        <f>IF(AND(ISNUMBER(F6),I6&gt;0),I6/(F6/60),"")</f>
        <v/>
      </c>
      <c r="L6" s="545" t="n">
        <v>1000</v>
      </c>
      <c r="M6" s="194">
        <f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/>
      </c>
      <c r="N6" s="546">
        <f>IF(AND(I6&gt;0,ISNUMBER(M6)),M6/I6,"")</f>
        <v/>
      </c>
      <c r="O6" s="547">
        <f>IF(AND(J6&gt;0,ISNUMBER(M6)),M6/J6,"")</f>
        <v/>
      </c>
      <c r="P6" s="199" t="n"/>
      <c r="Q6" s="200" t="n"/>
      <c r="R6" t="inlineStr">
        <is>
          <t>クルンジ２個入</t>
        </is>
      </c>
      <c r="X6" s="334">
        <f>COUNTA(R6:W6)</f>
        <v/>
      </c>
      <c r="Y6" s="334">
        <f>IF(AND($X6&gt;0,ISNUMBER($M6)),$M6/$X6,"")</f>
        <v/>
      </c>
      <c r="Z6" s="334">
        <f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/>
      </c>
      <c r="AA6" s="334">
        <f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/>
      </c>
      <c r="AB6" s="334">
        <f>IF(ISNUMBER($M6),$M6,0)</f>
        <v/>
      </c>
      <c r="AC6" s="334">
        <f>IF(AND($X6&gt;0,ISNUMBER($J6)),$J6/$X6,"")</f>
        <v/>
      </c>
      <c r="AD6" s="413">
        <f>IF($R6="",0,IF($AA6&gt;0,$AB6*SUMIF(⑳商品別1食労務費!$C$5:$C$124,$R6,⑳商品別1食労務費!$F$5:$F$124)/$AA6,$AB6/$X6))</f>
        <v/>
      </c>
      <c r="AE6" s="413">
        <f>IF($S6="",0,IF($AA6&gt;0,$AB6*SUMIF(⑳商品別1食労務費!$C$5:$C$124,$S6,⑳商品別1食労務費!$F$5:$F$124)/$AA6,$AB6/$X6))</f>
        <v/>
      </c>
      <c r="AF6" s="413">
        <f>IF($T6="",0,IF($AA6&gt;0,$AB6*SUMIF(⑳商品別1食労務費!$C$5:$C$124,$T6,⑳商品別1食労務費!$F$5:$F$124)/$AA6,$AB6/$X6))</f>
        <v/>
      </c>
      <c r="AG6" s="413">
        <f>IF($U6="",0,IF($AA6&gt;0,$AB6*SUMIF(⑳商品別1食労務費!$C$5:$C$124,$U6,⑳商品別1食労務費!$F$5:$F$124)/$AA6,$AB6/$X6))</f>
        <v/>
      </c>
      <c r="AH6" s="413">
        <f>IF($V6="",0,IF($AA6&gt;0,$AB6*SUMIF(⑳商品別1食労務費!$C$5:$C$124,$V6,⑳商品別1食労務費!$F$5:$F$124)/$AA6,$AB6/$X6))</f>
        <v/>
      </c>
      <c r="AI6" s="413">
        <f>IF($W6="",0,IF($AA6&gt;0,$AB6*SUMIF(⑳商品別1食労務費!$C$5:$C$124,$W6,⑳商品別1食労務費!$F$5:$F$124)/$AA6,$AB6/$X6))</f>
        <v/>
      </c>
    </row>
    <row r="7" hidden="1" ht="16" customHeight="1" s="438">
      <c r="A7" s="188" t="n">
        <v>3</v>
      </c>
      <c r="B7" s="189" t="inlineStr">
        <is>
          <t>盛付梱包</t>
        </is>
      </c>
      <c r="C7" s="229" t="inlineStr">
        <is>
          <t>湯種ロール3個入り</t>
        </is>
      </c>
      <c r="D7" s="190" t="n">
        <v>0.3402777777777778</v>
      </c>
      <c r="E7" s="190" t="n">
        <v>0.3472222222222222</v>
      </c>
      <c r="F7" s="541">
        <f>IF(OR(D7="",E7=""),"",(E7-D7)*1440)</f>
        <v/>
      </c>
      <c r="G7" s="542" t="n">
        <v>5</v>
      </c>
      <c r="H7" s="542" t="n">
        <v>1</v>
      </c>
      <c r="I7" s="543" t="n"/>
      <c r="J7" s="192" t="n">
        <v>29</v>
      </c>
      <c r="K7" s="544">
        <f>IF(AND(ISNUMBER(F7),I7&gt;0),I7/(F7/60),"")</f>
        <v/>
      </c>
      <c r="L7" s="545" t="n">
        <v>1200</v>
      </c>
      <c r="M7" s="194">
        <f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546">
        <f>IF(AND(I7&gt;0,ISNUMBER(M7)),M7/I7,"")</f>
        <v/>
      </c>
      <c r="O7" s="547">
        <f>IF(AND(J7&gt;0,ISNUMBER(M7)),M7/J7,"")</f>
        <v/>
      </c>
      <c r="P7" s="195" t="n"/>
      <c r="Q7" s="196" t="n"/>
      <c r="R7" t="inlineStr">
        <is>
          <t>全粒粉入り湯種ロール３個</t>
        </is>
      </c>
      <c r="S7" t="inlineStr">
        <is>
          <t>全粒粉入り湯種ロール６個</t>
        </is>
      </c>
      <c r="T7" t="inlineStr">
        <is>
          <t>Ｓ全粒粉入り湯種ロール６個</t>
        </is>
      </c>
      <c r="X7" s="334">
        <f>COUNTA(R7:W7)</f>
        <v/>
      </c>
      <c r="Y7" s="334">
        <f>IF(AND($X7&gt;0,ISNUMBER($M7)),$M7/$X7,"")</f>
        <v/>
      </c>
      <c r="Z7" s="334">
        <f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/>
      </c>
      <c r="AA7" s="334">
        <f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/>
      </c>
      <c r="AB7" s="334">
        <f>IF(ISNUMBER($M7),$M7,0)</f>
        <v/>
      </c>
      <c r="AC7" s="334">
        <f>IF(AND($X7&gt;0,ISNUMBER($J7)),$J7/$X7,"")</f>
        <v/>
      </c>
      <c r="AD7" s="413">
        <f>IF($R7="",0,IF($AA7&gt;0,$AB7*SUMIF(⑳商品別1食労務費!$C$5:$C$124,$R7,⑳商品別1食労務費!$F$5:$F$124)/$AA7,$AB7/$X7))</f>
        <v/>
      </c>
      <c r="AE7" s="413">
        <f>IF($S7="",0,IF($AA7&gt;0,$AB7*SUMIF(⑳商品別1食労務費!$C$5:$C$124,$S7,⑳商品別1食労務費!$F$5:$F$124)/$AA7,$AB7/$X7))</f>
        <v/>
      </c>
      <c r="AF7" s="413">
        <f>IF($T7="",0,IF($AA7&gt;0,$AB7*SUMIF(⑳商品別1食労務費!$C$5:$C$124,$T7,⑳商品別1食労務費!$F$5:$F$124)/$AA7,$AB7/$X7))</f>
        <v/>
      </c>
      <c r="AG7" s="413">
        <f>IF($U7="",0,IF($AA7&gt;0,$AB7*SUMIF(⑳商品別1食労務費!$C$5:$C$124,$U7,⑳商品別1食労務費!$F$5:$F$124)/$AA7,$AB7/$X7))</f>
        <v/>
      </c>
      <c r="AH7" s="413">
        <f>IF($V7="",0,IF($AA7&gt;0,$AB7*SUMIF(⑳商品別1食労務費!$C$5:$C$124,$V7,⑳商品別1食労務費!$F$5:$F$124)/$AA7,$AB7/$X7))</f>
        <v/>
      </c>
      <c r="AI7" s="413">
        <f>IF($W7="",0,IF($AA7&gt;0,$AB7*SUMIF(⑳商品別1食労務費!$C$5:$C$124,$W7,⑳商品別1食労務費!$F$5:$F$124)/$AA7,$AB7/$X7))</f>
        <v/>
      </c>
    </row>
    <row r="8" hidden="1" ht="16" customHeight="1" s="438">
      <c r="A8" s="197" t="n">
        <v>4</v>
      </c>
      <c r="B8" s="198" t="inlineStr">
        <is>
          <t>盛付梱包</t>
        </is>
      </c>
      <c r="C8" s="229" t="inlineStr">
        <is>
          <t>湯種ロール6個入り</t>
        </is>
      </c>
      <c r="D8" s="190" t="n">
        <v>0.36875</v>
      </c>
      <c r="E8" s="190" t="n">
        <v>0.4423611111111111</v>
      </c>
      <c r="F8" s="541">
        <f>IF(OR(D8="",E8=""),"",(E8-D8)*1440)</f>
        <v/>
      </c>
      <c r="G8" s="542" t="n">
        <v>5</v>
      </c>
      <c r="H8" s="542" t="n">
        <v>1</v>
      </c>
      <c r="I8" s="543" t="n"/>
      <c r="J8" s="192" t="n">
        <v>345</v>
      </c>
      <c r="K8" s="544">
        <f>IF(AND(ISNUMBER(F8),I8&gt;0),I8/(F8/60),"")</f>
        <v/>
      </c>
      <c r="L8" s="545" t="n">
        <v>1400</v>
      </c>
      <c r="M8" s="194">
        <f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546">
        <f>IF(AND(I8&gt;0,ISNUMBER(M8)),M8/I8,"")</f>
        <v/>
      </c>
      <c r="O8" s="547">
        <f>IF(AND(J8&gt;0,ISNUMBER(M8)),M8/J8,"")</f>
        <v/>
      </c>
      <c r="P8" s="199" t="n"/>
      <c r="Q8" s="200" t="n"/>
      <c r="R8" t="inlineStr">
        <is>
          <t>全粒粉入り湯種ロール６個</t>
        </is>
      </c>
      <c r="S8" t="inlineStr">
        <is>
          <t>Ｓ全粒粉入り湯種ロール６個</t>
        </is>
      </c>
      <c r="T8" t="inlineStr">
        <is>
          <t>全粒粉入り湯種ロール３個</t>
        </is>
      </c>
      <c r="X8" s="334">
        <f>COUNTA(R8:W8)</f>
        <v/>
      </c>
      <c r="Y8" s="334">
        <f>IF(AND($X8&gt;0,ISNUMBER($M8)),$M8/$X8,"")</f>
        <v/>
      </c>
      <c r="Z8" s="334">
        <f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/>
      </c>
      <c r="AA8" s="334">
        <f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/>
      </c>
      <c r="AB8" s="334">
        <f>IF(ISNUMBER($M8),$M8,0)</f>
        <v/>
      </c>
      <c r="AC8" s="334">
        <f>IF(AND($X8&gt;0,ISNUMBER($J8)),$J8/$X8,"")</f>
        <v/>
      </c>
      <c r="AD8" s="413">
        <f>IF($R8="",0,IF($AA8&gt;0,$AB8*SUMIF(⑳商品別1食労務費!$C$5:$C$124,$R8,⑳商品別1食労務費!$F$5:$F$124)/$AA8,$AB8/$X8))</f>
        <v/>
      </c>
      <c r="AE8" s="413">
        <f>IF($S8="",0,IF($AA8&gt;0,$AB8*SUMIF(⑳商品別1食労務費!$C$5:$C$124,$S8,⑳商品別1食労務費!$F$5:$F$124)/$AA8,$AB8/$X8))</f>
        <v/>
      </c>
      <c r="AF8" s="413">
        <f>IF($T8="",0,IF($AA8&gt;0,$AB8*SUMIF(⑳商品別1食労務費!$C$5:$C$124,$T8,⑳商品別1食労務費!$F$5:$F$124)/$AA8,$AB8/$X8))</f>
        <v/>
      </c>
      <c r="AG8" s="413">
        <f>IF($U8="",0,IF($AA8&gt;0,$AB8*SUMIF(⑳商品別1食労務費!$C$5:$C$124,$U8,⑳商品別1食労務費!$F$5:$F$124)/$AA8,$AB8/$X8))</f>
        <v/>
      </c>
      <c r="AH8" s="413">
        <f>IF($V8="",0,IF($AA8&gt;0,$AB8*SUMIF(⑳商品別1食労務費!$C$5:$C$124,$V8,⑳商品別1食労務費!$F$5:$F$124)/$AA8,$AB8/$X8))</f>
        <v/>
      </c>
      <c r="AI8" s="413">
        <f>IF($W8="",0,IF($AA8&gt;0,$AB8*SUMIF(⑳商品別1食労務費!$C$5:$C$124,$W8,⑳商品別1食労務費!$F$5:$F$124)/$AA8,$AB8/$X8))</f>
        <v/>
      </c>
    </row>
    <row r="9" hidden="1" ht="16" customHeight="1" s="438">
      <c r="A9" s="188" t="n">
        <v>5</v>
      </c>
      <c r="B9" s="189" t="inlineStr">
        <is>
          <t>盛付梱包</t>
        </is>
      </c>
      <c r="C9" s="229" t="inlineStr">
        <is>
          <t>明太フランスKIT</t>
        </is>
      </c>
      <c r="D9" s="190" t="n">
        <v>0.3159722222222222</v>
      </c>
      <c r="E9" s="190" t="n">
        <v>0.3451388888888889</v>
      </c>
      <c r="F9" s="541">
        <f>IF(OR(D9="",E9=""),"",(E9-D9)*1440)</f>
        <v/>
      </c>
      <c r="G9" s="542" t="n">
        <v>5</v>
      </c>
      <c r="H9" s="542" t="n">
        <v>1</v>
      </c>
      <c r="I9" s="543" t="n"/>
      <c r="J9" s="192" t="n">
        <v>28</v>
      </c>
      <c r="K9" s="544">
        <f>IF(AND(ISNUMBER(F9),I9&gt;0),I9/(F9/60),"")</f>
        <v/>
      </c>
      <c r="L9" s="545" t="n">
        <v>1000</v>
      </c>
      <c r="M9" s="194">
        <f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546">
        <f>IF(AND(I9&gt;0,ISNUMBER(M9)),M9/I9,"")</f>
        <v/>
      </c>
      <c r="O9" s="547">
        <f>IF(AND(J9&gt;0,ISNUMBER(M9)),M9/J9,"")</f>
        <v/>
      </c>
      <c r="P9" s="195" t="n"/>
      <c r="Q9" s="196" t="n"/>
      <c r="R9" t="inlineStr">
        <is>
          <t>明太フランスパンＫＩＴ</t>
        </is>
      </c>
      <c r="X9" s="334">
        <f>COUNTA(R9:W9)</f>
        <v/>
      </c>
      <c r="Y9" s="334">
        <f>IF(AND($X9&gt;0,ISNUMBER($M9)),$M9/$X9,"")</f>
        <v/>
      </c>
      <c r="Z9" s="334">
        <f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/>
      </c>
      <c r="AA9" s="334">
        <f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/>
      </c>
      <c r="AB9" s="334">
        <f>IF(ISNUMBER($M9),$M9,0)</f>
        <v/>
      </c>
      <c r="AC9" s="334">
        <f>IF(AND($X9&gt;0,ISNUMBER($J9)),$J9/$X9,"")</f>
        <v/>
      </c>
      <c r="AD9" s="413">
        <f>IF($R9="",0,IF($AA9&gt;0,$AB9*SUMIF(⑳商品別1食労務費!$C$5:$C$124,$R9,⑳商品別1食労務費!$F$5:$F$124)/$AA9,$AB9/$X9))</f>
        <v/>
      </c>
      <c r="AE9" s="413">
        <f>IF($S9="",0,IF($AA9&gt;0,$AB9*SUMIF(⑳商品別1食労務費!$C$5:$C$124,$S9,⑳商品別1食労務費!$F$5:$F$124)/$AA9,$AB9/$X9))</f>
        <v/>
      </c>
      <c r="AF9" s="413">
        <f>IF($T9="",0,IF($AA9&gt;0,$AB9*SUMIF(⑳商品別1食労務費!$C$5:$C$124,$T9,⑳商品別1食労務費!$F$5:$F$124)/$AA9,$AB9/$X9))</f>
        <v/>
      </c>
      <c r="AG9" s="413">
        <f>IF($U9="",0,IF($AA9&gt;0,$AB9*SUMIF(⑳商品別1食労務費!$C$5:$C$124,$U9,⑳商品別1食労務費!$F$5:$F$124)/$AA9,$AB9/$X9))</f>
        <v/>
      </c>
      <c r="AH9" s="413">
        <f>IF($V9="",0,IF($AA9&gt;0,$AB9*SUMIF(⑳商品別1食労務費!$C$5:$C$124,$V9,⑳商品別1食労務費!$F$5:$F$124)/$AA9,$AB9/$X9))</f>
        <v/>
      </c>
      <c r="AI9" s="413">
        <f>IF($W9="",0,IF($AA9&gt;0,$AB9*SUMIF(⑳商品別1食労務費!$C$5:$C$124,$W9,⑳商品別1食労務費!$F$5:$F$124)/$AA9,$AB9/$X9))</f>
        <v/>
      </c>
    </row>
    <row r="10" hidden="1" ht="16" customHeight="1" s="438">
      <c r="A10" s="197" t="n">
        <v>6</v>
      </c>
      <c r="B10" s="198" t="inlineStr">
        <is>
          <t>盛付梱包</t>
        </is>
      </c>
      <c r="C10" s="229" t="inlineStr">
        <is>
          <t>ガーリックフランス</t>
        </is>
      </c>
      <c r="D10" s="190" t="n">
        <v>0.3513888888888889</v>
      </c>
      <c r="E10" s="190" t="n">
        <v>0.3659722222222222</v>
      </c>
      <c r="F10" s="541">
        <f>IF(OR(D10="",E10=""),"",(E10-D10)*1440)</f>
        <v/>
      </c>
      <c r="G10" s="542" t="n">
        <v>5</v>
      </c>
      <c r="H10" s="542" t="n">
        <v>1</v>
      </c>
      <c r="I10" s="543" t="n"/>
      <c r="J10" s="192" t="n">
        <v>43</v>
      </c>
      <c r="K10" s="544">
        <f>IF(AND(ISNUMBER(F10),I10&gt;0),I10/(F10/60),"")</f>
        <v/>
      </c>
      <c r="L10" s="545" t="n">
        <v>1200</v>
      </c>
      <c r="M10" s="194">
        <f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546">
        <f>IF(AND(I10&gt;0,ISNUMBER(M10)),M10/I10,"")</f>
        <v/>
      </c>
      <c r="O10" s="547">
        <f>IF(AND(J10&gt;0,ISNUMBER(M10)),M10/J10,"")</f>
        <v/>
      </c>
      <c r="P10" s="199" t="n"/>
      <c r="Q10" s="200" t="n"/>
      <c r="R10" t="inlineStr">
        <is>
          <t>ガーリックフランスＫＩＴ</t>
        </is>
      </c>
      <c r="X10" s="334">
        <f>COUNTA(R10:W10)</f>
        <v/>
      </c>
      <c r="Y10" s="334">
        <f>IF(AND($X10&gt;0,ISNUMBER($M10)),$M10/$X10,"")</f>
        <v/>
      </c>
      <c r="Z10" s="334">
        <f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/>
      </c>
      <c r="AA10" s="334">
        <f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/>
      </c>
      <c r="AB10" s="334">
        <f>IF(ISNUMBER($M10),$M10,0)</f>
        <v/>
      </c>
      <c r="AC10" s="334">
        <f>IF(AND($X10&gt;0,ISNUMBER($J10)),$J10/$X10,"")</f>
        <v/>
      </c>
      <c r="AD10" s="413">
        <f>IF($R10="",0,IF($AA10&gt;0,$AB10*SUMIF(⑳商品別1食労務費!$C$5:$C$124,$R10,⑳商品別1食労務費!$F$5:$F$124)/$AA10,$AB10/$X10))</f>
        <v/>
      </c>
      <c r="AE10" s="413">
        <f>IF($S10="",0,IF($AA10&gt;0,$AB10*SUMIF(⑳商品別1食労務費!$C$5:$C$124,$S10,⑳商品別1食労務費!$F$5:$F$124)/$AA10,$AB10/$X10))</f>
        <v/>
      </c>
      <c r="AF10" s="413">
        <f>IF($T10="",0,IF($AA10&gt;0,$AB10*SUMIF(⑳商品別1食労務費!$C$5:$C$124,$T10,⑳商品別1食労務費!$F$5:$F$124)/$AA10,$AB10/$X10))</f>
        <v/>
      </c>
      <c r="AG10" s="413">
        <f>IF($U10="",0,IF($AA10&gt;0,$AB10*SUMIF(⑳商品別1食労務費!$C$5:$C$124,$U10,⑳商品別1食労務費!$F$5:$F$124)/$AA10,$AB10/$X10))</f>
        <v/>
      </c>
      <c r="AH10" s="413">
        <f>IF($V10="",0,IF($AA10&gt;0,$AB10*SUMIF(⑳商品別1食労務費!$C$5:$C$124,$V10,⑳商品別1食労務費!$F$5:$F$124)/$AA10,$AB10/$X10))</f>
        <v/>
      </c>
      <c r="AI10" s="413">
        <f>IF($W10="",0,IF($AA10&gt;0,$AB10*SUMIF(⑳商品別1食労務費!$C$5:$C$124,$W10,⑳商品別1食労務費!$F$5:$F$124)/$AA10,$AB10/$X10))</f>
        <v/>
      </c>
    </row>
    <row r="11" hidden="1" ht="16" customHeight="1" s="438">
      <c r="A11" s="188" t="n">
        <v>7</v>
      </c>
      <c r="B11" s="189" t="inlineStr">
        <is>
          <t>盛付梱包</t>
        </is>
      </c>
      <c r="C11" s="229" t="inlineStr">
        <is>
          <t>バタール</t>
        </is>
      </c>
      <c r="D11" s="190" t="n">
        <v>0.3465277777777778</v>
      </c>
      <c r="E11" s="190" t="n">
        <v>0.3506944444444444</v>
      </c>
      <c r="F11" s="541">
        <f>IF(OR(D11="",E11=""),"",(E11-D11)*1440)</f>
        <v/>
      </c>
      <c r="G11" s="542" t="n">
        <v>5</v>
      </c>
      <c r="H11" s="542" t="n">
        <v>1</v>
      </c>
      <c r="I11" s="543" t="n"/>
      <c r="J11" s="192" t="n">
        <v>6</v>
      </c>
      <c r="K11" s="544">
        <f>IF(AND(ISNUMBER(F11),I11&gt;0),I11/(F11/60),"")</f>
        <v/>
      </c>
      <c r="L11" s="545" t="n">
        <v>1200</v>
      </c>
      <c r="M11" s="194">
        <f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546">
        <f>IF(AND(I11&gt;0,ISNUMBER(M11)),M11/I11,"")</f>
        <v/>
      </c>
      <c r="O11" s="547">
        <f>IF(AND(J11&gt;0,ISNUMBER(M11)),M11/J11,"")</f>
        <v/>
      </c>
      <c r="P11" s="195" t="n"/>
      <c r="Q11" s="196" t="n"/>
      <c r="R11" t="inlineStr">
        <is>
          <t>バタールＫＩＴ</t>
        </is>
      </c>
      <c r="X11" s="334">
        <f>COUNTA(R11:W11)</f>
        <v/>
      </c>
      <c r="Y11" s="334">
        <f>IF(AND($X11&gt;0,ISNUMBER($M11)),$M11/$X11,"")</f>
        <v/>
      </c>
      <c r="Z11" s="334">
        <f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/>
      </c>
      <c r="AA11" s="334">
        <f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/>
      </c>
      <c r="AB11" s="334">
        <f>IF(ISNUMBER($M11),$M11,0)</f>
        <v/>
      </c>
      <c r="AC11" s="334">
        <f>IF(AND($X11&gt;0,ISNUMBER($J11)),$J11/$X11,"")</f>
        <v/>
      </c>
      <c r="AD11" s="413">
        <f>IF($R11="",0,IF($AA11&gt;0,$AB11*SUMIF(⑳商品別1食労務費!$C$5:$C$124,$R11,⑳商品別1食労務費!$F$5:$F$124)/$AA11,$AB11/$X11))</f>
        <v/>
      </c>
      <c r="AE11" s="413">
        <f>IF($S11="",0,IF($AA11&gt;0,$AB11*SUMIF(⑳商品別1食労務費!$C$5:$C$124,$S11,⑳商品別1食労務費!$F$5:$F$124)/$AA11,$AB11/$X11))</f>
        <v/>
      </c>
      <c r="AF11" s="413">
        <f>IF($T11="",0,IF($AA11&gt;0,$AB11*SUMIF(⑳商品別1食労務費!$C$5:$C$124,$T11,⑳商品別1食労務費!$F$5:$F$124)/$AA11,$AB11/$X11))</f>
        <v/>
      </c>
      <c r="AG11" s="413">
        <f>IF($U11="",0,IF($AA11&gt;0,$AB11*SUMIF(⑳商品別1食労務費!$C$5:$C$124,$U11,⑳商品別1食労務費!$F$5:$F$124)/$AA11,$AB11/$X11))</f>
        <v/>
      </c>
      <c r="AH11" s="413">
        <f>IF($V11="",0,IF($AA11&gt;0,$AB11*SUMIF(⑳商品別1食労務費!$C$5:$C$124,$V11,⑳商品別1食労務費!$F$5:$F$124)/$AA11,$AB11/$X11))</f>
        <v/>
      </c>
      <c r="AI11" s="413">
        <f>IF($W11="",0,IF($AA11&gt;0,$AB11*SUMIF(⑳商品別1食労務費!$C$5:$C$124,$W11,⑳商品別1食労務費!$F$5:$F$124)/$AA11,$AB11/$X11))</f>
        <v/>
      </c>
    </row>
    <row r="12" hidden="1" ht="16" customHeight="1" s="438">
      <c r="A12" s="197" t="n">
        <v>8</v>
      </c>
      <c r="B12" s="198" t="inlineStr">
        <is>
          <t>盛付梱包</t>
        </is>
      </c>
      <c r="C12" s="229" t="inlineStr">
        <is>
          <t>ホテルブレッド生地</t>
        </is>
      </c>
      <c r="D12" s="190" t="n">
        <v>0.2222222222222222</v>
      </c>
      <c r="E12" s="190" t="n">
        <v>0.2361111111111111</v>
      </c>
      <c r="F12" s="541">
        <f>IF(OR(D12="",E12=""),"",(E12-D12)*1440)</f>
        <v/>
      </c>
      <c r="G12" s="542" t="n">
        <v>5</v>
      </c>
      <c r="H12" s="542" t="n">
        <v>1</v>
      </c>
      <c r="I12" s="543" t="n"/>
      <c r="J12" s="192" t="n">
        <v>15</v>
      </c>
      <c r="K12" s="544">
        <f>IF(AND(ISNUMBER(F12),I12&gt;0),I12/(F12/60),"")</f>
        <v/>
      </c>
      <c r="L12" s="545" t="n">
        <v>1200</v>
      </c>
      <c r="M12" s="194">
        <f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546">
        <f>IF(AND(I12&gt;0,ISNUMBER(M12)),M12/I12,"")</f>
        <v/>
      </c>
      <c r="O12" s="547">
        <f>IF(AND(J12&gt;0,ISNUMBER(M12)),M12/J12,"")</f>
        <v/>
      </c>
      <c r="P12" s="199" t="n"/>
      <c r="Q12" s="200" t="n"/>
      <c r="R12" t="inlineStr">
        <is>
          <t>ホテルブレッド生地ＫＩＴ</t>
        </is>
      </c>
      <c r="X12" s="334">
        <f>COUNTA(R12:W12)</f>
        <v/>
      </c>
      <c r="Y12" s="334">
        <f>IF(AND($X12&gt;0,ISNUMBER($M12)),$M12/$X12,"")</f>
        <v/>
      </c>
      <c r="Z12" s="334">
        <f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/>
      </c>
      <c r="AA12" s="334">
        <f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/>
      </c>
      <c r="AB12" s="334">
        <f>IF(ISNUMBER($M12),$M12,0)</f>
        <v/>
      </c>
      <c r="AC12" s="334">
        <f>IF(AND($X12&gt;0,ISNUMBER($J12)),$J12/$X12,"")</f>
        <v/>
      </c>
      <c r="AD12" s="413">
        <f>IF($R12="",0,IF($AA12&gt;0,$AB12*SUMIF(⑳商品別1食労務費!$C$5:$C$124,$R12,⑳商品別1食労務費!$F$5:$F$124)/$AA12,$AB12/$X12))</f>
        <v/>
      </c>
      <c r="AE12" s="413">
        <f>IF($S12="",0,IF($AA12&gt;0,$AB12*SUMIF(⑳商品別1食労務費!$C$5:$C$124,$S12,⑳商品別1食労務費!$F$5:$F$124)/$AA12,$AB12/$X12))</f>
        <v/>
      </c>
      <c r="AF12" s="413">
        <f>IF($T12="",0,IF($AA12&gt;0,$AB12*SUMIF(⑳商品別1食労務費!$C$5:$C$124,$T12,⑳商品別1食労務費!$F$5:$F$124)/$AA12,$AB12/$X12))</f>
        <v/>
      </c>
      <c r="AG12" s="413">
        <f>IF($U12="",0,IF($AA12&gt;0,$AB12*SUMIF(⑳商品別1食労務費!$C$5:$C$124,$U12,⑳商品別1食労務費!$F$5:$F$124)/$AA12,$AB12/$X12))</f>
        <v/>
      </c>
      <c r="AH12" s="413">
        <f>IF($V12="",0,IF($AA12&gt;0,$AB12*SUMIF(⑳商品別1食労務費!$C$5:$C$124,$V12,⑳商品別1食労務費!$F$5:$F$124)/$AA12,$AB12/$X12))</f>
        <v/>
      </c>
      <c r="AI12" s="413">
        <f>IF($W12="",0,IF($AA12&gt;0,$AB12*SUMIF(⑳商品別1食労務費!$C$5:$C$124,$W12,⑳商品別1食労務費!$F$5:$F$124)/$AA12,$AB12/$X12))</f>
        <v/>
      </c>
    </row>
    <row r="13" hidden="1" ht="16" customHeight="1" s="438">
      <c r="A13" s="188" t="n">
        <v>9</v>
      </c>
      <c r="B13" s="189" t="inlineStr">
        <is>
          <t>盛付梱包</t>
        </is>
      </c>
      <c r="C13" s="229" t="inlineStr">
        <is>
          <t>ホテルロール3個</t>
        </is>
      </c>
      <c r="D13" s="190" t="n">
        <v>0.3229166666666667</v>
      </c>
      <c r="E13" s="190" t="n">
        <v>0.3694444444444445</v>
      </c>
      <c r="F13" s="541">
        <f>IF(OR(D13="",E13=""),"",(E13-D13)*1440)</f>
        <v/>
      </c>
      <c r="G13" s="542" t="n">
        <v>5</v>
      </c>
      <c r="H13" s="542" t="n">
        <v>1</v>
      </c>
      <c r="I13" s="543" t="n"/>
      <c r="J13" s="192" t="n">
        <v>41</v>
      </c>
      <c r="K13" s="544">
        <f>IF(AND(ISNUMBER(F13),I13&gt;0),I13/(F13/60),"")</f>
        <v/>
      </c>
      <c r="L13" s="545" t="n">
        <v>1600</v>
      </c>
      <c r="M13" s="194">
        <f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546">
        <f>IF(AND(I13&gt;0,ISNUMBER(M13)),M13/I13,"")</f>
        <v/>
      </c>
      <c r="O13" s="547">
        <f>IF(AND(J13&gt;0,ISNUMBER(M13)),M13/J13,"")</f>
        <v/>
      </c>
      <c r="P13" s="195" t="n"/>
      <c r="Q13" s="196" t="n"/>
      <c r="R13" t="inlineStr">
        <is>
          <t>ふわもちホテルロール３個</t>
        </is>
      </c>
      <c r="S13" t="inlineStr">
        <is>
          <t>ホテルロールＫＩＴ　４０個</t>
        </is>
      </c>
      <c r="T13" t="inlineStr">
        <is>
          <t>ふわもちホテルロール８個入</t>
        </is>
      </c>
      <c r="X13" s="334">
        <f>COUNTA(R13:W13)</f>
        <v/>
      </c>
      <c r="Y13" s="334">
        <f>IF(AND($X13&gt;0,ISNUMBER($M13)),$M13/$X13,"")</f>
        <v/>
      </c>
      <c r="Z13" s="334">
        <f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/>
      </c>
      <c r="AA13" s="334">
        <f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/>
      </c>
      <c r="AB13" s="334">
        <f>IF(ISNUMBER($M13),$M13,0)</f>
        <v/>
      </c>
      <c r="AC13" s="334">
        <f>IF(AND($X13&gt;0,ISNUMBER($J13)),$J13/$X13,"")</f>
        <v/>
      </c>
      <c r="AD13" s="413">
        <f>IF($R13="",0,IF($AA13&gt;0,$AB13*SUMIF(⑳商品別1食労務費!$C$5:$C$124,$R13,⑳商品別1食労務費!$F$5:$F$124)/$AA13,$AB13/$X13))</f>
        <v/>
      </c>
      <c r="AE13" s="413">
        <f>IF($S13="",0,IF($AA13&gt;0,$AB13*SUMIF(⑳商品別1食労務費!$C$5:$C$124,$S13,⑳商品別1食労務費!$F$5:$F$124)/$AA13,$AB13/$X13))</f>
        <v/>
      </c>
      <c r="AF13" s="413">
        <f>IF($T13="",0,IF($AA13&gt;0,$AB13*SUMIF(⑳商品別1食労務費!$C$5:$C$124,$T13,⑳商品別1食労務費!$F$5:$F$124)/$AA13,$AB13/$X13))</f>
        <v/>
      </c>
      <c r="AG13" s="413">
        <f>IF($U13="",0,IF($AA13&gt;0,$AB13*SUMIF(⑳商品別1食労務費!$C$5:$C$124,$U13,⑳商品別1食労務費!$F$5:$F$124)/$AA13,$AB13/$X13))</f>
        <v/>
      </c>
      <c r="AH13" s="413">
        <f>IF($V13="",0,IF($AA13&gt;0,$AB13*SUMIF(⑳商品別1食労務費!$C$5:$C$124,$V13,⑳商品別1食労務費!$F$5:$F$124)/$AA13,$AB13/$X13))</f>
        <v/>
      </c>
      <c r="AI13" s="413">
        <f>IF($W13="",0,IF($AA13&gt;0,$AB13*SUMIF(⑳商品別1食労務費!$C$5:$C$124,$W13,⑳商品別1食労務費!$F$5:$F$124)/$AA13,$AB13/$X13))</f>
        <v/>
      </c>
    </row>
    <row r="14" hidden="1" ht="16" customHeight="1" s="438">
      <c r="A14" s="197" t="n">
        <v>10</v>
      </c>
      <c r="B14" s="198" t="inlineStr">
        <is>
          <t>盛付梱包</t>
        </is>
      </c>
      <c r="C14" s="229" t="inlineStr">
        <is>
          <t>ホテルロール8個</t>
        </is>
      </c>
      <c r="D14" s="190" t="n">
        <v>0.3701388888888889</v>
      </c>
      <c r="E14" s="190" t="n">
        <v>0.4090277777777778</v>
      </c>
      <c r="F14" s="541">
        <f>IF(OR(D14="",E14=""),"",(E14-D14)*1440)</f>
        <v/>
      </c>
      <c r="G14" s="542" t="n">
        <v>5</v>
      </c>
      <c r="H14" s="542" t="n">
        <v>1</v>
      </c>
      <c r="I14" s="543" t="n"/>
      <c r="J14" s="192" t="n">
        <v>362</v>
      </c>
      <c r="K14" s="544">
        <f>IF(AND(ISNUMBER(F14),I14&gt;0),I14/(F14/60),"")</f>
        <v/>
      </c>
      <c r="L14" s="545" t="n">
        <v>1000</v>
      </c>
      <c r="M14" s="194">
        <f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546">
        <f>IF(AND(I14&gt;0,ISNUMBER(M14)),M14/I14,"")</f>
        <v/>
      </c>
      <c r="O14" s="547">
        <f>IF(AND(J14&gt;0,ISNUMBER(M14)),M14/J14,"")</f>
        <v/>
      </c>
      <c r="P14" s="199" t="n"/>
      <c r="Q14" s="200" t="n"/>
      <c r="R14" t="inlineStr">
        <is>
          <t>ふわもちホテルロール８個入</t>
        </is>
      </c>
      <c r="S14" t="inlineStr">
        <is>
          <t>ホテルロールＫＩＴ　４０個</t>
        </is>
      </c>
      <c r="T14" t="inlineStr">
        <is>
          <t>ふわもちホテルロール３個</t>
        </is>
      </c>
      <c r="X14" s="334">
        <f>COUNTA(R14:W14)</f>
        <v/>
      </c>
      <c r="Y14" s="334">
        <f>IF(AND($X14&gt;0,ISNUMBER($M14)),$M14/$X14,"")</f>
        <v/>
      </c>
      <c r="Z14" s="334">
        <f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/>
      </c>
      <c r="AA14" s="334">
        <f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/>
      </c>
      <c r="AB14" s="334">
        <f>IF(ISNUMBER($M14),$M14,0)</f>
        <v/>
      </c>
      <c r="AC14" s="334">
        <f>IF(AND($X14&gt;0,ISNUMBER($J14)),$J14/$X14,"")</f>
        <v/>
      </c>
      <c r="AD14" s="413">
        <f>IF($R14="",0,IF($AA14&gt;0,$AB14*SUMIF(⑳商品別1食労務費!$C$5:$C$124,$R14,⑳商品別1食労務費!$F$5:$F$124)/$AA14,$AB14/$X14))</f>
        <v/>
      </c>
      <c r="AE14" s="413">
        <f>IF($S14="",0,IF($AA14&gt;0,$AB14*SUMIF(⑳商品別1食労務費!$C$5:$C$124,$S14,⑳商品別1食労務費!$F$5:$F$124)/$AA14,$AB14/$X14))</f>
        <v/>
      </c>
      <c r="AF14" s="413">
        <f>IF($T14="",0,IF($AA14&gt;0,$AB14*SUMIF(⑳商品別1食労務費!$C$5:$C$124,$T14,⑳商品別1食労務費!$F$5:$F$124)/$AA14,$AB14/$X14))</f>
        <v/>
      </c>
      <c r="AG14" s="413">
        <f>IF($U14="",0,IF($AA14&gt;0,$AB14*SUMIF(⑳商品別1食労務費!$C$5:$C$124,$U14,⑳商品別1食労務費!$F$5:$F$124)/$AA14,$AB14/$X14))</f>
        <v/>
      </c>
      <c r="AH14" s="413">
        <f>IF($V14="",0,IF($AA14&gt;0,$AB14*SUMIF(⑳商品別1食労務費!$C$5:$C$124,$V14,⑳商品別1食労務費!$F$5:$F$124)/$AA14,$AB14/$X14))</f>
        <v/>
      </c>
      <c r="AI14" s="413">
        <f>IF($W14="",0,IF($AA14&gt;0,$AB14*SUMIF(⑳商品別1食労務費!$C$5:$C$124,$W14,⑳商品別1食労務費!$F$5:$F$124)/$AA14,$AB14/$X14))</f>
        <v/>
      </c>
    </row>
    <row r="15" hidden="1" ht="16" customHeight="1" s="438">
      <c r="A15" s="188" t="n">
        <v>11</v>
      </c>
      <c r="B15" s="189" t="inlineStr">
        <is>
          <t>盛付梱包</t>
        </is>
      </c>
      <c r="C15" s="229" t="inlineStr">
        <is>
          <t>ホテルロール16個</t>
        </is>
      </c>
      <c r="D15" s="190" t="n">
        <v>0.4097222222222222</v>
      </c>
      <c r="E15" s="190" t="n">
        <v>0.6458333333333334</v>
      </c>
      <c r="F15" s="541">
        <f>IF(OR(D15="",E15=""),"",(E15-D15)*1440)</f>
        <v/>
      </c>
      <c r="G15" s="542" t="n">
        <v>5</v>
      </c>
      <c r="H15" s="542" t="n">
        <v>1</v>
      </c>
      <c r="I15" s="543" t="n"/>
      <c r="J15" s="192" t="n">
        <v>346</v>
      </c>
      <c r="K15" s="544">
        <f>IF(AND(ISNUMBER(F15),I15&gt;0),I15/(F15/60),"")</f>
        <v/>
      </c>
      <c r="L15" s="545" t="n">
        <v>1000</v>
      </c>
      <c r="M15" s="194">
        <f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546">
        <f>IF(AND(I15&gt;0,ISNUMBER(M15)),M15/I15,"")</f>
        <v/>
      </c>
      <c r="O15" s="547">
        <f>IF(AND(J15&gt;0,ISNUMBER(M15)),M15/J15,"")</f>
        <v/>
      </c>
      <c r="P15" s="195" t="n"/>
      <c r="Q15" s="196" t="n"/>
      <c r="R15" t="inlineStr">
        <is>
          <t>ふわもちホテルロール１６個</t>
        </is>
      </c>
      <c r="S15" t="inlineStr">
        <is>
          <t>ホテルロールＫＩＴ　４０個</t>
        </is>
      </c>
      <c r="T15" t="inlineStr">
        <is>
          <t>ふわもちホテルロール３個</t>
        </is>
      </c>
      <c r="X15" s="334">
        <f>COUNTA(R15:W15)</f>
        <v/>
      </c>
      <c r="Y15" s="334">
        <f>IF(AND($X15&gt;0,ISNUMBER($M15)),$M15/$X15,"")</f>
        <v/>
      </c>
      <c r="Z15" s="334">
        <f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 s="334">
        <f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/>
      </c>
      <c r="AB15" s="334">
        <f>IF(ISNUMBER($M15),$M15,0)</f>
        <v/>
      </c>
      <c r="AC15" s="334">
        <f>IF(AND($X15&gt;0,ISNUMBER($J15)),$J15/$X15,"")</f>
        <v/>
      </c>
      <c r="AD15" s="413">
        <f>IF($R15="",0,IF($AA15&gt;0,$AB15*SUMIF(⑳商品別1食労務費!$C$5:$C$124,$R15,⑳商品別1食労務費!$F$5:$F$124)/$AA15,$AB15/$X15))</f>
        <v/>
      </c>
      <c r="AE15" s="413">
        <f>IF($S15="",0,IF($AA15&gt;0,$AB15*SUMIF(⑳商品別1食労務費!$C$5:$C$124,$S15,⑳商品別1食労務費!$F$5:$F$124)/$AA15,$AB15/$X15))</f>
        <v/>
      </c>
      <c r="AF15" s="413">
        <f>IF($T15="",0,IF($AA15&gt;0,$AB15*SUMIF(⑳商品別1食労務費!$C$5:$C$124,$T15,⑳商品別1食労務費!$F$5:$F$124)/$AA15,$AB15/$X15))</f>
        <v/>
      </c>
      <c r="AG15" s="413">
        <f>IF($U15="",0,IF($AA15&gt;0,$AB15*SUMIF(⑳商品別1食労務費!$C$5:$C$124,$U15,⑳商品別1食労務費!$F$5:$F$124)/$AA15,$AB15/$X15))</f>
        <v/>
      </c>
      <c r="AH15" s="413">
        <f>IF($V15="",0,IF($AA15&gt;0,$AB15*SUMIF(⑳商品別1食労務費!$C$5:$C$124,$V15,⑳商品別1食労務費!$F$5:$F$124)/$AA15,$AB15/$X15))</f>
        <v/>
      </c>
      <c r="AI15" s="413">
        <f>IF($W15="",0,IF($AA15&gt;0,$AB15*SUMIF(⑳商品別1食労務費!$C$5:$C$124,$W15,⑳商品別1食労務費!$F$5:$F$124)/$AA15,$AB15/$X15))</f>
        <v/>
      </c>
    </row>
    <row r="16" hidden="1" ht="16" customHeight="1" s="438">
      <c r="A16" s="197" t="n">
        <v>12</v>
      </c>
      <c r="B16" s="198" t="inlineStr">
        <is>
          <t>盛付梱包</t>
        </is>
      </c>
      <c r="C16" s="229" t="inlineStr">
        <is>
          <t>ホテルロール40個</t>
        </is>
      </c>
      <c r="D16" s="190" t="n">
        <v>0.3326388888888889</v>
      </c>
      <c r="E16" s="190" t="n">
        <v>0.3368055555555556</v>
      </c>
      <c r="F16" s="541">
        <f>IF(OR(D16="",E16=""),"",(E16-D16)*1440)</f>
        <v/>
      </c>
      <c r="G16" s="542" t="n">
        <v>5</v>
      </c>
      <c r="H16" s="542" t="n">
        <v>1</v>
      </c>
      <c r="I16" s="543" t="n"/>
      <c r="J16" s="192" t="n">
        <v>2</v>
      </c>
      <c r="K16" s="544">
        <f>IF(AND(ISNUMBER(F16),I16&gt;0),I16/(F16/60),"")</f>
        <v/>
      </c>
      <c r="L16" s="545" t="n">
        <v>1200</v>
      </c>
      <c r="M16" s="194">
        <f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546">
        <f>IF(AND(I16&gt;0,ISNUMBER(M16)),M16/I16,"")</f>
        <v/>
      </c>
      <c r="O16" s="547">
        <f>IF(AND(J16&gt;0,ISNUMBER(M16)),M16/J16,"")</f>
        <v/>
      </c>
      <c r="P16" s="199" t="n"/>
      <c r="Q16" s="200" t="n"/>
      <c r="R16" t="inlineStr">
        <is>
          <t>ふわもちホテルロール３個</t>
        </is>
      </c>
      <c r="S16" t="inlineStr">
        <is>
          <t>ホテルロールＫＩＴ　４０個</t>
        </is>
      </c>
      <c r="T16" t="inlineStr">
        <is>
          <t>ふわもちホテルロール８個入</t>
        </is>
      </c>
      <c r="X16" s="334">
        <f>COUNTA(R16:W16)</f>
        <v/>
      </c>
      <c r="Y16" s="334">
        <f>IF(AND($X16&gt;0,ISNUMBER($M16)),$M16/$X16,"")</f>
        <v/>
      </c>
      <c r="Z16" s="334">
        <f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 s="334">
        <f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/>
      </c>
      <c r="AB16" s="334">
        <f>IF(ISNUMBER($M16),$M16,0)</f>
        <v/>
      </c>
      <c r="AC16" s="334">
        <f>IF(AND($X16&gt;0,ISNUMBER($J16)),$J16/$X16,"")</f>
        <v/>
      </c>
      <c r="AD16" s="413">
        <f>IF($R16="",0,IF($AA16&gt;0,$AB16*SUMIF(⑳商品別1食労務費!$C$5:$C$124,$R16,⑳商品別1食労務費!$F$5:$F$124)/$AA16,$AB16/$X16))</f>
        <v/>
      </c>
      <c r="AE16" s="413">
        <f>IF($S16="",0,IF($AA16&gt;0,$AB16*SUMIF(⑳商品別1食労務費!$C$5:$C$124,$S16,⑳商品別1食労務費!$F$5:$F$124)/$AA16,$AB16/$X16))</f>
        <v/>
      </c>
      <c r="AF16" s="413">
        <f>IF($T16="",0,IF($AA16&gt;0,$AB16*SUMIF(⑳商品別1食労務費!$C$5:$C$124,$T16,⑳商品別1食労務費!$F$5:$F$124)/$AA16,$AB16/$X16))</f>
        <v/>
      </c>
      <c r="AG16" s="413">
        <f>IF($U16="",0,IF($AA16&gt;0,$AB16*SUMIF(⑳商品別1食労務費!$C$5:$C$124,$U16,⑳商品別1食労務費!$F$5:$F$124)/$AA16,$AB16/$X16))</f>
        <v/>
      </c>
      <c r="AH16" s="413">
        <f>IF($V16="",0,IF($AA16&gt;0,$AB16*SUMIF(⑳商品別1食労務費!$C$5:$C$124,$V16,⑳商品別1食労務費!$F$5:$F$124)/$AA16,$AB16/$X16))</f>
        <v/>
      </c>
      <c r="AI16" s="413">
        <f>IF($W16="",0,IF($AA16&gt;0,$AB16*SUMIF(⑳商品別1食労務費!$C$5:$C$124,$W16,⑳商品別1食労務費!$F$5:$F$124)/$AA16,$AB16/$X16))</f>
        <v/>
      </c>
    </row>
    <row r="17" hidden="1" ht="16" customHeight="1" s="438">
      <c r="A17" s="188" t="n">
        <v>13</v>
      </c>
      <c r="B17" s="189" t="inlineStr">
        <is>
          <t>盛付梱包</t>
        </is>
      </c>
      <c r="C17" s="229" t="inlineStr">
        <is>
          <t>ソフトフランスパン</t>
        </is>
      </c>
      <c r="D17" s="190" t="n">
        <v>0.3298611111111111</v>
      </c>
      <c r="E17" s="190" t="n">
        <v>0.33125</v>
      </c>
      <c r="F17" s="541">
        <f>IF(OR(D17="",E17=""),"",(E17-D17)*1440)</f>
        <v/>
      </c>
      <c r="G17" s="542" t="n">
        <v>5</v>
      </c>
      <c r="H17" s="542" t="n">
        <v>1</v>
      </c>
      <c r="I17" s="543" t="n"/>
      <c r="J17" s="192" t="n">
        <v>1</v>
      </c>
      <c r="K17" s="544">
        <f>IF(AND(ISNUMBER(F17),I17&gt;0),I17/(F17/60),"")</f>
        <v/>
      </c>
      <c r="L17" s="545" t="n">
        <v>1000</v>
      </c>
      <c r="M17" s="194">
        <f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546">
        <f>IF(AND(I17&gt;0,ISNUMBER(M17)),M17/I17,"")</f>
        <v/>
      </c>
      <c r="O17" s="547">
        <f>IF(AND(J17&gt;0,ISNUMBER(M17)),M17/J17,"")</f>
        <v/>
      </c>
      <c r="P17" s="195" t="n"/>
      <c r="Q17" s="196" t="n"/>
      <c r="R17" t="inlineStr">
        <is>
          <t>ソフトフランスパンＫＩＴ</t>
        </is>
      </c>
      <c r="X17" s="334">
        <f>COUNTA(R17:W17)</f>
        <v/>
      </c>
      <c r="Y17" s="334">
        <f>IF(AND($X17&gt;0,ISNUMBER($M17)),$M17/$X17,"")</f>
        <v/>
      </c>
      <c r="Z17" s="334">
        <f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 s="334">
        <f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/>
      </c>
      <c r="AB17" s="334">
        <f>IF(ISNUMBER($M17),$M17,0)</f>
        <v/>
      </c>
      <c r="AC17" s="334">
        <f>IF(AND($X17&gt;0,ISNUMBER($J17)),$J17/$X17,"")</f>
        <v/>
      </c>
      <c r="AD17" s="413">
        <f>IF($R17="",0,IF($AA17&gt;0,$AB17*SUMIF(⑳商品別1食労務費!$C$5:$C$124,$R17,⑳商品別1食労務費!$F$5:$F$124)/$AA17,$AB17/$X17))</f>
        <v/>
      </c>
      <c r="AE17" s="413">
        <f>IF($S17="",0,IF($AA17&gt;0,$AB17*SUMIF(⑳商品別1食労務費!$C$5:$C$124,$S17,⑳商品別1食労務費!$F$5:$F$124)/$AA17,$AB17/$X17))</f>
        <v/>
      </c>
      <c r="AF17" s="413">
        <f>IF($T17="",0,IF($AA17&gt;0,$AB17*SUMIF(⑳商品別1食労務費!$C$5:$C$124,$T17,⑳商品別1食労務費!$F$5:$F$124)/$AA17,$AB17/$X17))</f>
        <v/>
      </c>
      <c r="AG17" s="413">
        <f>IF($U17="",0,IF($AA17&gt;0,$AB17*SUMIF(⑳商品別1食労務費!$C$5:$C$124,$U17,⑳商品別1食労務費!$F$5:$F$124)/$AA17,$AB17/$X17))</f>
        <v/>
      </c>
      <c r="AH17" s="413">
        <f>IF($V17="",0,IF($AA17&gt;0,$AB17*SUMIF(⑳商品別1食労務費!$C$5:$C$124,$V17,⑳商品別1食労務費!$F$5:$F$124)/$AA17,$AB17/$X17))</f>
        <v/>
      </c>
      <c r="AI17" s="413">
        <f>IF($W17="",0,IF($AA17&gt;0,$AB17*SUMIF(⑳商品別1食労務費!$C$5:$C$124,$W17,⑳商品別1食労務費!$F$5:$F$124)/$AA17,$AB17/$X17))</f>
        <v/>
      </c>
    </row>
    <row r="18" hidden="1" ht="16" customHeight="1" s="438">
      <c r="A18" s="197" t="n">
        <v>14</v>
      </c>
      <c r="B18" s="198" t="inlineStr">
        <is>
          <t>盛付梱包</t>
        </is>
      </c>
      <c r="C18" s="229" t="inlineStr">
        <is>
          <t>塩パン2個入り</t>
        </is>
      </c>
      <c r="D18" s="190" t="n">
        <v>0.5590277777777778</v>
      </c>
      <c r="E18" s="190" t="n">
        <v>0.5694444444444444</v>
      </c>
      <c r="F18" s="541">
        <f>IF(OR(D18="",E18=""),"",(E18-D18)*1440)</f>
        <v/>
      </c>
      <c r="G18" s="542" t="n">
        <v>5</v>
      </c>
      <c r="H18" s="542" t="n">
        <v>1</v>
      </c>
      <c r="I18" s="543" t="n"/>
      <c r="J18" s="192" t="n">
        <v>50</v>
      </c>
      <c r="K18" s="544">
        <f>IF(AND(ISNUMBER(F18),I18&gt;0),I18/(F18/60),"")</f>
        <v/>
      </c>
      <c r="L18" s="545" t="n">
        <v>1100</v>
      </c>
      <c r="M18" s="194">
        <f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546">
        <f>IF(AND(I18&gt;0,ISNUMBER(M18)),M18/I18,"")</f>
        <v/>
      </c>
      <c r="O18" s="547">
        <f>IF(AND(J18&gt;0,ISNUMBER(M18)),M18/J18,"")</f>
        <v/>
      </c>
      <c r="P18" s="199" t="n"/>
      <c r="Q18" s="200" t="n"/>
      <c r="R18" t="inlineStr">
        <is>
          <t>塩パン２個</t>
        </is>
      </c>
      <c r="X18" s="334">
        <f>COUNTA(R18:W18)</f>
        <v/>
      </c>
      <c r="Y18" s="334">
        <f>IF(AND($X18&gt;0,ISNUMBER($M18)),$M18/$X18,"")</f>
        <v/>
      </c>
      <c r="Z18" s="334">
        <f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 s="334">
        <f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/>
      </c>
      <c r="AB18" s="334">
        <f>IF(ISNUMBER($M18),$M18,0)</f>
        <v/>
      </c>
      <c r="AC18" s="334">
        <f>IF(AND($X18&gt;0,ISNUMBER($J18)),$J18/$X18,"")</f>
        <v/>
      </c>
      <c r="AD18" s="413">
        <f>IF($R18="",0,IF($AA18&gt;0,$AB18*SUMIF(⑳商品別1食労務費!$C$5:$C$124,$R18,⑳商品別1食労務費!$F$5:$F$124)/$AA18,$AB18/$X18))</f>
        <v/>
      </c>
      <c r="AE18" s="413">
        <f>IF($S18="",0,IF($AA18&gt;0,$AB18*SUMIF(⑳商品別1食労務費!$C$5:$C$124,$S18,⑳商品別1食労務費!$F$5:$F$124)/$AA18,$AB18/$X18))</f>
        <v/>
      </c>
      <c r="AF18" s="413">
        <f>IF($T18="",0,IF($AA18&gt;0,$AB18*SUMIF(⑳商品別1食労務費!$C$5:$C$124,$T18,⑳商品別1食労務費!$F$5:$F$124)/$AA18,$AB18/$X18))</f>
        <v/>
      </c>
      <c r="AG18" s="413">
        <f>IF($U18="",0,IF($AA18&gt;0,$AB18*SUMIF(⑳商品別1食労務費!$C$5:$C$124,$U18,⑳商品別1食労務費!$F$5:$F$124)/$AA18,$AB18/$X18))</f>
        <v/>
      </c>
      <c r="AH18" s="413">
        <f>IF($V18="",0,IF($AA18&gt;0,$AB18*SUMIF(⑳商品別1食労務費!$C$5:$C$124,$V18,⑳商品別1食労務費!$F$5:$F$124)/$AA18,$AB18/$X18))</f>
        <v/>
      </c>
      <c r="AI18" s="413">
        <f>IF($W18="",0,IF($AA18&gt;0,$AB18*SUMIF(⑳商品別1食労務費!$C$5:$C$124,$W18,⑳商品別1食労務費!$F$5:$F$124)/$AA18,$AB18/$X18))</f>
        <v/>
      </c>
    </row>
    <row r="19" hidden="1" ht="16" customHeight="1" s="438">
      <c r="A19" s="188" t="n">
        <v>15</v>
      </c>
      <c r="B19" s="189" t="inlineStr">
        <is>
          <t>盛付梱包</t>
        </is>
      </c>
      <c r="C19" s="229" t="inlineStr">
        <is>
          <t>塩パンKIT</t>
        </is>
      </c>
      <c r="D19" s="190" t="n">
        <v>0.5534722222222223</v>
      </c>
      <c r="E19" s="190" t="n">
        <v>0.6090277777777777</v>
      </c>
      <c r="F19" s="541">
        <f>IF(OR(D19="",E19=""),"",(E19-D19)*1440)</f>
        <v/>
      </c>
      <c r="G19" s="542" t="n">
        <v>5</v>
      </c>
      <c r="H19" s="542" t="n">
        <v>1</v>
      </c>
      <c r="I19" s="543" t="n"/>
      <c r="J19" s="192" t="n">
        <v>74</v>
      </c>
      <c r="K19" s="544">
        <f>IF(AND(ISNUMBER(F19),I19&gt;0),I19/(F19/60),"")</f>
        <v/>
      </c>
      <c r="L19" s="545" t="n">
        <v>1100</v>
      </c>
      <c r="M19" s="194">
        <f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546">
        <f>IF(AND(I19&gt;0,ISNUMBER(M19)),M19/I19,"")</f>
        <v/>
      </c>
      <c r="O19" s="547">
        <f>IF(AND(J19&gt;0,ISNUMBER(M19)),M19/J19,"")</f>
        <v/>
      </c>
      <c r="P19" s="195" t="n"/>
      <c r="Q19" s="196" t="n"/>
      <c r="R19" t="inlineStr">
        <is>
          <t>塩パンＫＩＴ</t>
        </is>
      </c>
      <c r="X19" s="334">
        <f>COUNTA(R19:W19)</f>
        <v/>
      </c>
      <c r="Y19" s="334">
        <f>IF(AND($X19&gt;0,ISNUMBER($M19)),$M19/$X19,"")</f>
        <v/>
      </c>
      <c r="Z19" s="334">
        <f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 s="334">
        <f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/>
      </c>
      <c r="AB19" s="334">
        <f>IF(ISNUMBER($M19),$M19,0)</f>
        <v/>
      </c>
      <c r="AC19" s="334">
        <f>IF(AND($X19&gt;0,ISNUMBER($J19)),$J19/$X19,"")</f>
        <v/>
      </c>
      <c r="AD19" s="413">
        <f>IF($R19="",0,IF($AA19&gt;0,$AB19*SUMIF(⑳商品別1食労務費!$C$5:$C$124,$R19,⑳商品別1食労務費!$F$5:$F$124)/$AA19,$AB19/$X19))</f>
        <v/>
      </c>
      <c r="AE19" s="413">
        <f>IF($S19="",0,IF($AA19&gt;0,$AB19*SUMIF(⑳商品別1食労務費!$C$5:$C$124,$S19,⑳商品別1食労務費!$F$5:$F$124)/$AA19,$AB19/$X19))</f>
        <v/>
      </c>
      <c r="AF19" s="413">
        <f>IF($T19="",0,IF($AA19&gt;0,$AB19*SUMIF(⑳商品別1食労務費!$C$5:$C$124,$T19,⑳商品別1食労務費!$F$5:$F$124)/$AA19,$AB19/$X19))</f>
        <v/>
      </c>
      <c r="AG19" s="413">
        <f>IF($U19="",0,IF($AA19&gt;0,$AB19*SUMIF(⑳商品別1食労務費!$C$5:$C$124,$U19,⑳商品別1食労務費!$F$5:$F$124)/$AA19,$AB19/$X19))</f>
        <v/>
      </c>
      <c r="AH19" s="413">
        <f>IF($V19="",0,IF($AA19&gt;0,$AB19*SUMIF(⑳商品別1食労務費!$C$5:$C$124,$V19,⑳商品別1食労務費!$F$5:$F$124)/$AA19,$AB19/$X19))</f>
        <v/>
      </c>
      <c r="AI19" s="413">
        <f>IF($W19="",0,IF($AA19&gt;0,$AB19*SUMIF(⑳商品別1食労務費!$C$5:$C$124,$W19,⑳商品別1食労務費!$F$5:$F$124)/$AA19,$AB19/$X19))</f>
        <v/>
      </c>
    </row>
    <row r="20" hidden="1" ht="16" customHeight="1" s="438">
      <c r="A20" s="197" t="n">
        <v>16</v>
      </c>
      <c r="B20" s="198" t="inlineStr">
        <is>
          <t>盛付梱包</t>
        </is>
      </c>
      <c r="C20" s="229" t="inlineStr">
        <is>
          <t>チーズ塩パン</t>
        </is>
      </c>
      <c r="D20" s="190" t="n">
        <v>0.5458333333333333</v>
      </c>
      <c r="E20" s="190" t="n">
        <v>0.5520833333333334</v>
      </c>
      <c r="F20" s="541">
        <f>IF(OR(D20="",E20=""),"",(E20-D20)*1440)</f>
        <v/>
      </c>
      <c r="G20" s="542" t="n">
        <v>5</v>
      </c>
      <c r="H20" s="542" t="n">
        <v>1</v>
      </c>
      <c r="I20" s="543" t="n"/>
      <c r="J20" s="192" t="n">
        <v>50</v>
      </c>
      <c r="K20" s="544">
        <f>IF(AND(ISNUMBER(F20),I20&gt;0),I20/(F20/60),"")</f>
        <v/>
      </c>
      <c r="L20" s="545" t="n">
        <v>825</v>
      </c>
      <c r="M20" s="194">
        <f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546">
        <f>IF(AND(I20&gt;0,ISNUMBER(M20)),M20/I20,"")</f>
        <v/>
      </c>
      <c r="O20" s="547">
        <f>IF(AND(J20&gt;0,ISNUMBER(M20)),M20/J20,"")</f>
        <v/>
      </c>
      <c r="P20" s="199" t="n"/>
      <c r="Q20" s="200" t="n"/>
      <c r="R20" t="inlineStr">
        <is>
          <t>チーズ塩パン２個</t>
        </is>
      </c>
      <c r="X20" s="334">
        <f>COUNTA(R20:W20)</f>
        <v/>
      </c>
      <c r="Y20" s="334">
        <f>IF(AND($X20&gt;0,ISNUMBER($M20)),$M20/$X20,"")</f>
        <v/>
      </c>
      <c r="Z20" s="334">
        <f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 s="334">
        <f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/>
      </c>
      <c r="AB20" s="334">
        <f>IF(ISNUMBER($M20),$M20,0)</f>
        <v/>
      </c>
      <c r="AC20" s="334">
        <f>IF(AND($X20&gt;0,ISNUMBER($J20)),$J20/$X20,"")</f>
        <v/>
      </c>
      <c r="AD20" s="413">
        <f>IF($R20="",0,IF($AA20&gt;0,$AB20*SUMIF(⑳商品別1食労務費!$C$5:$C$124,$R20,⑳商品別1食労務費!$F$5:$F$124)/$AA20,$AB20/$X20))</f>
        <v/>
      </c>
      <c r="AE20" s="413">
        <f>IF($S20="",0,IF($AA20&gt;0,$AB20*SUMIF(⑳商品別1食労務費!$C$5:$C$124,$S20,⑳商品別1食労務費!$F$5:$F$124)/$AA20,$AB20/$X20))</f>
        <v/>
      </c>
      <c r="AF20" s="413">
        <f>IF($T20="",0,IF($AA20&gt;0,$AB20*SUMIF(⑳商品別1食労務費!$C$5:$C$124,$T20,⑳商品別1食労務費!$F$5:$F$124)/$AA20,$AB20/$X20))</f>
        <v/>
      </c>
      <c r="AG20" s="413">
        <f>IF($U20="",0,IF($AA20&gt;0,$AB20*SUMIF(⑳商品別1食労務費!$C$5:$C$124,$U20,⑳商品別1食労務費!$F$5:$F$124)/$AA20,$AB20/$X20))</f>
        <v/>
      </c>
      <c r="AH20" s="413">
        <f>IF($V20="",0,IF($AA20&gt;0,$AB20*SUMIF(⑳商品別1食労務費!$C$5:$C$124,$V20,⑳商品別1食労務費!$F$5:$F$124)/$AA20,$AB20/$X20))</f>
        <v/>
      </c>
      <c r="AI20" s="413">
        <f>IF($W20="",0,IF($AA20&gt;0,$AB20*SUMIF(⑳商品別1食労務費!$C$5:$C$124,$W20,⑳商品別1食労務費!$F$5:$F$124)/$AA20,$AB20/$X20))</f>
        <v/>
      </c>
    </row>
    <row r="21" hidden="1" ht="16" customHeight="1" s="438">
      <c r="A21" s="188" t="n">
        <v>17</v>
      </c>
      <c r="B21" s="189" t="inlineStr">
        <is>
          <t>盛付梱包</t>
        </is>
      </c>
      <c r="C21" s="229" t="inlineStr">
        <is>
          <t>メロン塩パンKIT</t>
        </is>
      </c>
      <c r="D21" s="190" t="n">
        <v>0.4548611111111111</v>
      </c>
      <c r="E21" s="190" t="n">
        <v>0.4708333333333333</v>
      </c>
      <c r="F21" s="541">
        <f>IF(OR(D21="",E21=""),"",(E21-D21)*1440)</f>
        <v/>
      </c>
      <c r="G21" s="542" t="n">
        <v>5</v>
      </c>
      <c r="H21" s="542" t="n">
        <v>1</v>
      </c>
      <c r="I21" s="543" t="n"/>
      <c r="J21" s="192" t="n">
        <v>21</v>
      </c>
      <c r="K21" s="544">
        <f>IF(AND(ISNUMBER(F21),I21&gt;0),I21/(F21/60),"")</f>
        <v/>
      </c>
      <c r="L21" s="545" t="n">
        <v>2000</v>
      </c>
      <c r="M21" s="194">
        <f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546">
        <f>IF(AND(I21&gt;0,ISNUMBER(M21)),M21/I21,"")</f>
        <v/>
      </c>
      <c r="O21" s="547">
        <f>IF(AND(J21&gt;0,ISNUMBER(M21)),M21/J21,"")</f>
        <v/>
      </c>
      <c r="P21" s="195" t="n"/>
      <c r="Q21" s="196" t="n"/>
      <c r="R21" t="inlineStr">
        <is>
          <t>メロン塩パンＫＩＴ</t>
        </is>
      </c>
      <c r="S21" t="inlineStr">
        <is>
          <t>メロン塩パン２個入</t>
        </is>
      </c>
      <c r="X21" s="334">
        <f>COUNTA(R21:W21)</f>
        <v/>
      </c>
      <c r="Y21" s="334">
        <f>IF(AND($X21&gt;0,ISNUMBER($M21)),$M21/$X21,"")</f>
        <v/>
      </c>
      <c r="Z21" s="334">
        <f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 s="334">
        <f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/>
      </c>
      <c r="AB21" s="334">
        <f>IF(ISNUMBER($M21),$M21,0)</f>
        <v/>
      </c>
      <c r="AC21" s="334">
        <f>IF(AND($X21&gt;0,ISNUMBER($J21)),$J21/$X21,"")</f>
        <v/>
      </c>
      <c r="AD21" s="413">
        <f>IF($R21="",0,IF($AA21&gt;0,$AB21*SUMIF(⑳商品別1食労務費!$C$5:$C$124,$R21,⑳商品別1食労務費!$F$5:$F$124)/$AA21,$AB21/$X21))</f>
        <v/>
      </c>
      <c r="AE21" s="413">
        <f>IF($S21="",0,IF($AA21&gt;0,$AB21*SUMIF(⑳商品別1食労務費!$C$5:$C$124,$S21,⑳商品別1食労務費!$F$5:$F$124)/$AA21,$AB21/$X21))</f>
        <v/>
      </c>
      <c r="AF21" s="413">
        <f>IF($T21="",0,IF($AA21&gt;0,$AB21*SUMIF(⑳商品別1食労務費!$C$5:$C$124,$T21,⑳商品別1食労務費!$F$5:$F$124)/$AA21,$AB21/$X21))</f>
        <v/>
      </c>
      <c r="AG21" s="413">
        <f>IF($U21="",0,IF($AA21&gt;0,$AB21*SUMIF(⑳商品別1食労務費!$C$5:$C$124,$U21,⑳商品別1食労務費!$F$5:$F$124)/$AA21,$AB21/$X21))</f>
        <v/>
      </c>
      <c r="AH21" s="413">
        <f>IF($V21="",0,IF($AA21&gt;0,$AB21*SUMIF(⑳商品別1食労務費!$C$5:$C$124,$V21,⑳商品別1食労務費!$F$5:$F$124)/$AA21,$AB21/$X21))</f>
        <v/>
      </c>
      <c r="AI21" s="413">
        <f>IF($W21="",0,IF($AA21&gt;0,$AB21*SUMIF(⑳商品別1食労務費!$C$5:$C$124,$W21,⑳商品別1食労務費!$F$5:$F$124)/$AA21,$AB21/$X21))</f>
        <v/>
      </c>
    </row>
    <row r="22" hidden="1" ht="16" customHeight="1" s="438">
      <c r="A22" s="197" t="n">
        <v>18</v>
      </c>
      <c r="B22" s="198" t="inlineStr">
        <is>
          <t>盛付梱包</t>
        </is>
      </c>
      <c r="C22" s="229" t="inlineStr">
        <is>
          <t>メロン塩パン2個</t>
        </is>
      </c>
      <c r="D22" s="190" t="n">
        <v>0.4631944444444445</v>
      </c>
      <c r="E22" s="190" t="n">
        <v>0.5430555555555555</v>
      </c>
      <c r="F22" s="541">
        <f>IF(OR(D22="",E22=""),"",(E22-D22)*1440)</f>
        <v/>
      </c>
      <c r="G22" s="542" t="n">
        <v>5</v>
      </c>
      <c r="H22" s="542" t="n">
        <v>1</v>
      </c>
      <c r="I22" s="543" t="n"/>
      <c r="J22" s="192" t="n">
        <v>588</v>
      </c>
      <c r="K22" s="544">
        <f>IF(AND(ISNUMBER(F22),I22&gt;0),I22/(F22/60),"")</f>
        <v/>
      </c>
      <c r="L22" s="545" t="n">
        <v>2000</v>
      </c>
      <c r="M22" s="194">
        <f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546">
        <f>IF(AND(I22&gt;0,ISNUMBER(M22)),M22/I22,"")</f>
        <v/>
      </c>
      <c r="O22" s="547">
        <f>IF(AND(J22&gt;0,ISNUMBER(M22)),M22/J22,"")</f>
        <v/>
      </c>
      <c r="P22" s="199" t="n"/>
      <c r="Q22" s="200" t="n"/>
      <c r="R22" t="inlineStr">
        <is>
          <t>メロン塩パン２個入</t>
        </is>
      </c>
      <c r="S22" t="inlineStr">
        <is>
          <t>Ｓメロン塩パン２個入</t>
        </is>
      </c>
      <c r="X22" s="334">
        <f>COUNTA(R22:W22)</f>
        <v/>
      </c>
      <c r="Y22" s="334">
        <f>IF(AND($X22&gt;0,ISNUMBER($M22)),$M22/$X22,"")</f>
        <v/>
      </c>
      <c r="Z22" s="334">
        <f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 s="334">
        <f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/>
      </c>
      <c r="AB22" s="334">
        <f>IF(ISNUMBER($M22),$M22,0)</f>
        <v/>
      </c>
      <c r="AC22" s="334">
        <f>IF(AND($X22&gt;0,ISNUMBER($J22)),$J22/$X22,"")</f>
        <v/>
      </c>
      <c r="AD22" s="413">
        <f>IF($R22="",0,IF($AA22&gt;0,$AB22*SUMIF(⑳商品別1食労務費!$C$5:$C$124,$R22,⑳商品別1食労務費!$F$5:$F$124)/$AA22,$AB22/$X22))</f>
        <v/>
      </c>
      <c r="AE22" s="413">
        <f>IF($S22="",0,IF($AA22&gt;0,$AB22*SUMIF(⑳商品別1食労務費!$C$5:$C$124,$S22,⑳商品別1食労務費!$F$5:$F$124)/$AA22,$AB22/$X22))</f>
        <v/>
      </c>
      <c r="AF22" s="413">
        <f>IF($T22="",0,IF($AA22&gt;0,$AB22*SUMIF(⑳商品別1食労務費!$C$5:$C$124,$T22,⑳商品別1食労務費!$F$5:$F$124)/$AA22,$AB22/$X22))</f>
        <v/>
      </c>
      <c r="AG22" s="413">
        <f>IF($U22="",0,IF($AA22&gt;0,$AB22*SUMIF(⑳商品別1食労務費!$C$5:$C$124,$U22,⑳商品別1食労務費!$F$5:$F$124)/$AA22,$AB22/$X22))</f>
        <v/>
      </c>
      <c r="AH22" s="413">
        <f>IF($V22="",0,IF($AA22&gt;0,$AB22*SUMIF(⑳商品別1食労務費!$C$5:$C$124,$V22,⑳商品別1食労務費!$F$5:$F$124)/$AA22,$AB22/$X22))</f>
        <v/>
      </c>
      <c r="AI22" s="413">
        <f>IF($W22="",0,IF($AA22&gt;0,$AB22*SUMIF(⑳商品別1食労務費!$C$5:$C$124,$W22,⑳商品別1食労務費!$F$5:$F$124)/$AA22,$AB22/$X22))</f>
        <v/>
      </c>
    </row>
    <row r="23" hidden="1" ht="16" customHeight="1" s="438">
      <c r="A23" s="188" t="n">
        <v>19</v>
      </c>
      <c r="B23" s="189" t="inlineStr">
        <is>
          <t>盛り込み</t>
        </is>
      </c>
      <c r="C23" s="229" t="inlineStr">
        <is>
          <t>プリンロールケーキ（盛り込み）</t>
        </is>
      </c>
      <c r="D23" s="190" t="n"/>
      <c r="E23" s="190" t="n"/>
      <c r="F23" s="541">
        <f>IF(OR(D23="",E23=""),"",(E23-D23)*1440)</f>
        <v/>
      </c>
      <c r="G23" s="542" t="n">
        <v>19.8</v>
      </c>
      <c r="H23" s="542" t="n">
        <v>8</v>
      </c>
      <c r="I23" s="543" t="n"/>
      <c r="J23" s="192" t="n">
        <v>165</v>
      </c>
      <c r="K23" s="544">
        <f>IF(AND(ISNUMBER(F23),I23&gt;0),I23/(F23/60),"")</f>
        <v/>
      </c>
      <c r="L23" s="545" t="n">
        <v>2000</v>
      </c>
      <c r="M23" s="194">
        <f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546">
        <f>IF(AND(I23&gt;0,ISNUMBER(M23)),M23/I23,"")</f>
        <v/>
      </c>
      <c r="O23" s="547">
        <f>IF(AND(J23&gt;0,ISNUMBER(M23)),M23/J23,"")</f>
        <v/>
      </c>
      <c r="P23" s="195" t="inlineStr">
        <is>
          <t>前回資料</t>
        </is>
      </c>
      <c r="Q23" s="196" t="inlineStr">
        <is>
          <t>前回資料「益子生産性最新」から展開</t>
        </is>
      </c>
      <c r="R23" t="inlineStr">
        <is>
          <t>プリン！？なロールケーキ</t>
        </is>
      </c>
      <c r="X23" s="334">
        <f>COUNTA(R23:W23)</f>
        <v/>
      </c>
      <c r="Y23" s="334">
        <f>IF(AND($X23&gt;0,ISNUMBER($M23)),$M23/$X23,"")</f>
        <v/>
      </c>
      <c r="Z23" s="334">
        <f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 s="334">
        <f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/>
      </c>
      <c r="AB23" s="334">
        <f>IF(ISNUMBER($M23),$M23,0)</f>
        <v/>
      </c>
      <c r="AC23" s="334">
        <f>IF(AND($X23&gt;0,ISNUMBER($J23)),$J23/$X23,"")</f>
        <v/>
      </c>
      <c r="AD23" s="413">
        <f>IF($R23="",0,IF($AA23&gt;0,$AB23*SUMIF(⑳商品別1食労務費!$C$5:$C$124,$R23,⑳商品別1食労務費!$F$5:$F$124)/$AA23,$AB23/$X23))</f>
        <v/>
      </c>
      <c r="AE23" s="413">
        <f>IF($S23="",0,IF($AA23&gt;0,$AB23*SUMIF(⑳商品別1食労務費!$C$5:$C$124,$S23,⑳商品別1食労務費!$F$5:$F$124)/$AA23,$AB23/$X23))</f>
        <v/>
      </c>
      <c r="AF23" s="413">
        <f>IF($T23="",0,IF($AA23&gt;0,$AB23*SUMIF(⑳商品別1食労務費!$C$5:$C$124,$T23,⑳商品別1食労務費!$F$5:$F$124)/$AA23,$AB23/$X23))</f>
        <v/>
      </c>
      <c r="AG23" s="413">
        <f>IF($U23="",0,IF($AA23&gt;0,$AB23*SUMIF(⑳商品別1食労務費!$C$5:$C$124,$U23,⑳商品別1食労務費!$F$5:$F$124)/$AA23,$AB23/$X23))</f>
        <v/>
      </c>
      <c r="AH23" s="413">
        <f>IF($V23="",0,IF($AA23&gt;0,$AB23*SUMIF(⑳商品別1食労務費!$C$5:$C$124,$V23,⑳商品別1食労務費!$F$5:$F$124)/$AA23,$AB23/$X23))</f>
        <v/>
      </c>
      <c r="AI23" s="413">
        <f>IF($W23="",0,IF($AA23&gt;0,$AB23*SUMIF(⑳商品別1食労務費!$C$5:$C$124,$W23,⑳商品別1食労務費!$F$5:$F$124)/$AA23,$AB23/$X23))</f>
        <v/>
      </c>
    </row>
    <row r="24" hidden="1" ht="16" customHeight="1" s="438">
      <c r="A24" s="197" t="n">
        <v>20</v>
      </c>
      <c r="B24" s="198" t="inlineStr">
        <is>
          <t>盛り込み</t>
        </is>
      </c>
      <c r="C24" s="229" t="inlineStr">
        <is>
          <t>カスタード＆ホイップシュー（盛り込み）</t>
        </is>
      </c>
      <c r="D24" s="190" t="n"/>
      <c r="E24" s="190" t="n"/>
      <c r="F24" s="541">
        <f>IF(OR(D24="",E24=""),"",(E24-D24)*1440)</f>
        <v/>
      </c>
      <c r="G24" s="542" t="n">
        <v>149.9</v>
      </c>
      <c r="H24" s="542" t="n">
        <v>9</v>
      </c>
      <c r="I24" s="543" t="n"/>
      <c r="J24" s="192" t="n">
        <v>2999</v>
      </c>
      <c r="K24" s="544">
        <f>IF(AND(ISNUMBER(F24),I24&gt;0),I24/(F24/60),"")</f>
        <v/>
      </c>
      <c r="L24" s="545" t="n">
        <v>2000</v>
      </c>
      <c r="M24" s="194">
        <f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546">
        <f>IF(AND(I24&gt;0,ISNUMBER(M24)),M24/I24,"")</f>
        <v/>
      </c>
      <c r="O24" s="547">
        <f>IF(AND(J24&gt;0,ISNUMBER(M24)),M24/J24,"")</f>
        <v/>
      </c>
      <c r="P24" s="199" t="inlineStr">
        <is>
          <t>前回資料</t>
        </is>
      </c>
      <c r="Q24" s="200" t="inlineStr">
        <is>
          <t>前回資料「益子生産性最新」から展開</t>
        </is>
      </c>
      <c r="R24" t="inlineStr">
        <is>
          <t>Ｓカスタード＆ホイップシュ</t>
        </is>
      </c>
      <c r="S24" t="inlineStr">
        <is>
          <t>カスタード＆ホイップシュー</t>
        </is>
      </c>
      <c r="X24" s="334">
        <f>COUNTA(R24:W24)</f>
        <v/>
      </c>
      <c r="Y24" s="334">
        <f>IF(AND($X24&gt;0,ISNUMBER($M24)),$M24/$X24,"")</f>
        <v/>
      </c>
      <c r="Z24" s="334">
        <f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 s="334">
        <f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/>
      </c>
      <c r="AB24" s="334">
        <f>IF(ISNUMBER($M24),$M24,0)</f>
        <v/>
      </c>
      <c r="AC24" s="334">
        <f>IF(AND($X24&gt;0,ISNUMBER($J24)),$J24/$X24,"")</f>
        <v/>
      </c>
      <c r="AD24" s="413">
        <f>IF($R24="",0,IF($AA24&gt;0,$AB24*SUMIF(⑳商品別1食労務費!$C$5:$C$124,$R24,⑳商品別1食労務費!$F$5:$F$124)/$AA24,$AB24/$X24))</f>
        <v/>
      </c>
      <c r="AE24" s="413">
        <f>IF($S24="",0,IF($AA24&gt;0,$AB24*SUMIF(⑳商品別1食労務費!$C$5:$C$124,$S24,⑳商品別1食労務費!$F$5:$F$124)/$AA24,$AB24/$X24))</f>
        <v/>
      </c>
      <c r="AF24" s="413">
        <f>IF($T24="",0,IF($AA24&gt;0,$AB24*SUMIF(⑳商品別1食労務費!$C$5:$C$124,$T24,⑳商品別1食労務費!$F$5:$F$124)/$AA24,$AB24/$X24))</f>
        <v/>
      </c>
      <c r="AG24" s="413">
        <f>IF($U24="",0,IF($AA24&gt;0,$AB24*SUMIF(⑳商品別1食労務費!$C$5:$C$124,$U24,⑳商品別1食労務費!$F$5:$F$124)/$AA24,$AB24/$X24))</f>
        <v/>
      </c>
      <c r="AH24" s="413">
        <f>IF($V24="",0,IF($AA24&gt;0,$AB24*SUMIF(⑳商品別1食労務費!$C$5:$C$124,$V24,⑳商品別1食労務費!$F$5:$F$124)/$AA24,$AB24/$X24))</f>
        <v/>
      </c>
      <c r="AI24" s="413">
        <f>IF($W24="",0,IF($AA24&gt;0,$AB24*SUMIF(⑳商品別1食労務費!$C$5:$C$124,$W24,⑳商品別1食労務費!$F$5:$F$124)/$AA24,$AB24/$X24))</f>
        <v/>
      </c>
    </row>
    <row r="25" hidden="1" ht="16" customHeight="1" s="438">
      <c r="A25" s="188" t="n">
        <v>21</v>
      </c>
      <c r="B25" s="189" t="inlineStr">
        <is>
          <t>盛り込み</t>
        </is>
      </c>
      <c r="C25" s="229" t="inlineStr">
        <is>
          <t>スイートポテト大小（盛り込み）</t>
        </is>
      </c>
      <c r="D25" s="190" t="n"/>
      <c r="E25" s="190" t="n"/>
      <c r="F25" s="541">
        <f>IF(OR(D25="",E25=""),"",(E25-D25)*1440)</f>
        <v/>
      </c>
      <c r="G25" s="542" t="n">
        <v>14.1</v>
      </c>
      <c r="H25" s="542" t="n">
        <v>5</v>
      </c>
      <c r="I25" s="543" t="n"/>
      <c r="J25" s="192" t="n">
        <v>212</v>
      </c>
      <c r="K25" s="544">
        <f>IF(AND(ISNUMBER(F25),I25&gt;0),I25/(F25/60),"")</f>
        <v/>
      </c>
      <c r="L25" s="545" t="n">
        <v>1400</v>
      </c>
      <c r="M25" s="194">
        <f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546">
        <f>IF(AND(I25&gt;0,ISNUMBER(M25)),M25/I25,"")</f>
        <v/>
      </c>
      <c r="O25" s="547">
        <f>IF(AND(J25&gt;0,ISNUMBER(M25)),M25/J25,"")</f>
        <v/>
      </c>
      <c r="P25" s="195" t="inlineStr">
        <is>
          <t>前回資料</t>
        </is>
      </c>
      <c r="Q25" s="196" t="inlineStr">
        <is>
          <t>前回資料「益子生産性最新」から展開</t>
        </is>
      </c>
      <c r="R25" t="inlineStr">
        <is>
          <t>蜜いもスイートポテト（小）</t>
        </is>
      </c>
      <c r="X25" s="334">
        <f>COUNTA(R25:W25)</f>
        <v/>
      </c>
      <c r="Y25" s="334">
        <f>IF(AND($X25&gt;0,ISNUMBER($M25)),$M25/$X25,"")</f>
        <v/>
      </c>
      <c r="Z25" s="334">
        <f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 s="334">
        <f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/>
      </c>
      <c r="AB25" s="334">
        <f>IF(ISNUMBER($M25),$M25,0)</f>
        <v/>
      </c>
      <c r="AC25" s="334">
        <f>IF(AND($X25&gt;0,ISNUMBER($J25)),$J25/$X25,"")</f>
        <v/>
      </c>
      <c r="AD25" s="413">
        <f>IF($R25="",0,IF($AA25&gt;0,$AB25*SUMIF(⑳商品別1食労務費!$C$5:$C$124,$R25,⑳商品別1食労務費!$F$5:$F$124)/$AA25,$AB25/$X25))</f>
        <v/>
      </c>
      <c r="AE25" s="413">
        <f>IF($S25="",0,IF($AA25&gt;0,$AB25*SUMIF(⑳商品別1食労務費!$C$5:$C$124,$S25,⑳商品別1食労務費!$F$5:$F$124)/$AA25,$AB25/$X25))</f>
        <v/>
      </c>
      <c r="AF25" s="413">
        <f>IF($T25="",0,IF($AA25&gt;0,$AB25*SUMIF(⑳商品別1食労務費!$C$5:$C$124,$T25,⑳商品別1食労務費!$F$5:$F$124)/$AA25,$AB25/$X25))</f>
        <v/>
      </c>
      <c r="AG25" s="413">
        <f>IF($U25="",0,IF($AA25&gt;0,$AB25*SUMIF(⑳商品別1食労務費!$C$5:$C$124,$U25,⑳商品別1食労務費!$F$5:$F$124)/$AA25,$AB25/$X25))</f>
        <v/>
      </c>
      <c r="AH25" s="413">
        <f>IF($V25="",0,IF($AA25&gt;0,$AB25*SUMIF(⑳商品別1食労務費!$C$5:$C$124,$V25,⑳商品別1食労務費!$F$5:$F$124)/$AA25,$AB25/$X25))</f>
        <v/>
      </c>
      <c r="AI25" s="413">
        <f>IF($W25="",0,IF($AA25&gt;0,$AB25*SUMIF(⑳商品別1食労務費!$C$5:$C$124,$W25,⑳商品別1食労務費!$F$5:$F$124)/$AA25,$AB25/$X25))</f>
        <v/>
      </c>
    </row>
    <row r="26" hidden="1" ht="16" customHeight="1" s="438">
      <c r="A26" s="197" t="n">
        <v>292</v>
      </c>
      <c r="B26" s="198" t="n"/>
      <c r="C26" s="229" t="inlineStr">
        <is>
          <t>Ｓ素材を感じる焼き芋ロール</t>
        </is>
      </c>
      <c r="D26" s="190" t="n"/>
      <c r="E26" s="190" t="n"/>
      <c r="F26" s="541">
        <f>IF(OR(D26="",E26=""),"",(E26-D26)*1440)</f>
        <v/>
      </c>
      <c r="G26" s="542" t="n"/>
      <c r="H26" s="542" t="n"/>
      <c r="I26" s="543" t="n"/>
      <c r="J26" s="192" t="n"/>
      <c r="K26" s="544">
        <f>IF(AND(ISNUMBER(F26),I26&gt;0),I26/(F26/60),"")</f>
        <v/>
      </c>
      <c r="L26" s="545" t="n"/>
      <c r="M26" s="194">
        <f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546">
        <f>IF(AND(I26&gt;0,ISNUMBER(M26)),M26/I26,"")</f>
        <v/>
      </c>
      <c r="O26" s="547">
        <f>IF(AND(J26&gt;0,ISNUMBER(M26)),M26/J26,"")</f>
        <v/>
      </c>
      <c r="P26" s="199" t="n"/>
      <c r="Q26" s="200" t="inlineStr">
        <is>
          <t>★要入力（工程記録なし／実作業(分)・人数・個数を入れると⑳に自動反映）</t>
        </is>
      </c>
      <c r="R26" t="inlineStr">
        <is>
          <t>Ｓ素材を感じる焼き芋ロール</t>
        </is>
      </c>
      <c r="X26" s="334">
        <f>COUNTA(R26:W26)</f>
        <v/>
      </c>
      <c r="Y26" s="334">
        <f>IF(AND($X26&gt;0,ISNUMBER($M26)),$M26/$X26,"")</f>
        <v/>
      </c>
      <c r="Z26" s="334">
        <f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 s="334">
        <f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/>
      </c>
      <c r="AB26" s="334">
        <f>IF(ISNUMBER($M26),$M26,0)</f>
        <v/>
      </c>
      <c r="AC26" s="334">
        <f>IF(AND($X26&gt;0,ISNUMBER($J26)),$J26/$X26,"")</f>
        <v/>
      </c>
      <c r="AD26" s="413">
        <f>IF($R26="",0,IF($AA26&gt;0,$AB26*SUMIF(⑳商品別1食労務費!$C$5:$C$124,$R26,⑳商品別1食労務費!$F$5:$F$124)/$AA26,$AB26/$X26))</f>
        <v/>
      </c>
      <c r="AE26" s="413">
        <f>IF($S26="",0,IF($AA26&gt;0,$AB26*SUMIF(⑳商品別1食労務費!$C$5:$C$124,$S26,⑳商品別1食労務費!$F$5:$F$124)/$AA26,$AB26/$X26))</f>
        <v/>
      </c>
      <c r="AF26" s="413">
        <f>IF($T26="",0,IF($AA26&gt;0,$AB26*SUMIF(⑳商品別1食労務費!$C$5:$C$124,$T26,⑳商品別1食労務費!$F$5:$F$124)/$AA26,$AB26/$X26))</f>
        <v/>
      </c>
      <c r="AG26" s="413">
        <f>IF($U26="",0,IF($AA26&gt;0,$AB26*SUMIF(⑳商品別1食労務費!$C$5:$C$124,$U26,⑳商品別1食労務費!$F$5:$F$124)/$AA26,$AB26/$X26))</f>
        <v/>
      </c>
      <c r="AH26" s="413">
        <f>IF($V26="",0,IF($AA26&gt;0,$AB26*SUMIF(⑳商品別1食労務費!$C$5:$C$124,$V26,⑳商品別1食労務費!$F$5:$F$124)/$AA26,$AB26/$X26))</f>
        <v/>
      </c>
      <c r="AI26" s="413">
        <f>IF($W26="",0,IF($AA26&gt;0,$AB26*SUMIF(⑳商品別1食労務費!$C$5:$C$124,$W26,⑳商品別1食労務費!$F$5:$F$124)/$AA26,$AB26/$X26))</f>
        <v/>
      </c>
    </row>
    <row r="27" hidden="1" ht="16" customHeight="1" s="438">
      <c r="A27" s="188" t="n">
        <v>23</v>
      </c>
      <c r="B27" s="189" t="inlineStr">
        <is>
          <t>盛り</t>
        </is>
      </c>
      <c r="C27" s="229" t="inlineStr">
        <is>
          <t>シュー生地（盛り）</t>
        </is>
      </c>
      <c r="D27" s="190" t="n"/>
      <c r="E27" s="190" t="n"/>
      <c r="F27" s="541">
        <f>IF(OR(D27="",E27=""),"",(E27-D27)*1440)</f>
        <v/>
      </c>
      <c r="G27" s="542" t="n">
        <v>83.3</v>
      </c>
      <c r="H27" s="542" t="n">
        <v>1</v>
      </c>
      <c r="I27" s="543" t="n"/>
      <c r="J27" s="192" t="n">
        <v>1000</v>
      </c>
      <c r="K27" s="544">
        <f>IF(AND(ISNUMBER(F27),I27&gt;0),I27/(F27/60),"")</f>
        <v/>
      </c>
      <c r="L27" s="545" t="n">
        <v>2000</v>
      </c>
      <c r="M27" s="194">
        <f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546">
        <f>IF(AND(I27&gt;0,ISNUMBER(M27)),M27/I27,"")</f>
        <v/>
      </c>
      <c r="O27" s="547">
        <f>IF(AND(J27&gt;0,ISNUMBER(M27)),M27/J27,"")</f>
        <v/>
      </c>
      <c r="P27" s="195" t="inlineStr">
        <is>
          <t>前回資料</t>
        </is>
      </c>
      <c r="Q27" s="196" t="inlineStr">
        <is>
          <t>前回資料「益子生産性最新」から展開</t>
        </is>
      </c>
      <c r="R27" t="inlineStr">
        <is>
          <t>カスタード＆ホイップシュー</t>
        </is>
      </c>
      <c r="S27" t="inlineStr">
        <is>
          <t>Ｓカスタード＆ホイップシュ</t>
        </is>
      </c>
      <c r="X27" s="334">
        <f>COUNTA(R27:W27)</f>
        <v/>
      </c>
      <c r="Y27" s="334">
        <f>IF(AND($X27&gt;0,ISNUMBER($M27)),$M27/$X27,"")</f>
        <v/>
      </c>
      <c r="Z27" s="334">
        <f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 s="334">
        <f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/>
      </c>
      <c r="AB27" s="334">
        <f>IF(ISNUMBER($M27),$M27,0)</f>
        <v/>
      </c>
      <c r="AC27" s="334">
        <f>IF(AND($X27&gt;0,ISNUMBER($J27)),$J27/$X27,"")</f>
        <v/>
      </c>
      <c r="AD27" s="413">
        <f>IF($R27="",0,IF($AA27&gt;0,$AB27*SUMIF(⑳商品別1食労務費!$C$5:$C$124,$R27,⑳商品別1食労務費!$F$5:$F$124)/$AA27,$AB27/$X27))</f>
        <v/>
      </c>
      <c r="AE27" s="413">
        <f>IF($S27="",0,IF($AA27&gt;0,$AB27*SUMIF(⑳商品別1食労務費!$C$5:$C$124,$S27,⑳商品別1食労務費!$F$5:$F$124)/$AA27,$AB27/$X27))</f>
        <v/>
      </c>
      <c r="AF27" s="413">
        <f>IF($T27="",0,IF($AA27&gt;0,$AB27*SUMIF(⑳商品別1食労務費!$C$5:$C$124,$T27,⑳商品別1食労務費!$F$5:$F$124)/$AA27,$AB27/$X27))</f>
        <v/>
      </c>
      <c r="AG27" s="413">
        <f>IF($U27="",0,IF($AA27&gt;0,$AB27*SUMIF(⑳商品別1食労務費!$C$5:$C$124,$U27,⑳商品別1食労務費!$F$5:$F$124)/$AA27,$AB27/$X27))</f>
        <v/>
      </c>
      <c r="AH27" s="413">
        <f>IF($V27="",0,IF($AA27&gt;0,$AB27*SUMIF(⑳商品別1食労務費!$C$5:$C$124,$V27,⑳商品別1食労務費!$F$5:$F$124)/$AA27,$AB27/$X27))</f>
        <v/>
      </c>
      <c r="AI27" s="413">
        <f>IF($W27="",0,IF($AA27&gt;0,$AB27*SUMIF(⑳商品別1食労務費!$C$5:$C$124,$W27,⑳商品別1食労務費!$F$5:$F$124)/$AA27,$AB27/$X27))</f>
        <v/>
      </c>
    </row>
    <row r="28" hidden="1" ht="16" customHeight="1" s="438">
      <c r="A28" s="197" t="n">
        <v>24</v>
      </c>
      <c r="B28" s="198" t="inlineStr">
        <is>
          <t>盛り</t>
        </is>
      </c>
      <c r="C28" s="229" t="inlineStr">
        <is>
          <t>絞り（盛り）</t>
        </is>
      </c>
      <c r="D28" s="190" t="n"/>
      <c r="E28" s="190" t="n"/>
      <c r="F28" s="541">
        <f>IF(OR(D28="",E28=""),"",(E28-D28)*1440)</f>
        <v/>
      </c>
      <c r="G28" s="542" t="n">
        <v>116.1</v>
      </c>
      <c r="H28" s="542" t="n">
        <v>4.5</v>
      </c>
      <c r="I28" s="543" t="n"/>
      <c r="J28" s="192" t="n">
        <v>1000</v>
      </c>
      <c r="K28" s="544">
        <f>IF(AND(ISNUMBER(F28),I28&gt;0),I28/(F28/60),"")</f>
        <v/>
      </c>
      <c r="L28" s="545" t="n">
        <v>2000</v>
      </c>
      <c r="M28" s="194">
        <f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546">
        <f>IF(AND(I28&gt;0,ISNUMBER(M28)),M28/I28,"")</f>
        <v/>
      </c>
      <c r="O28" s="547">
        <f>IF(AND(J28&gt;0,ISNUMBER(M28)),M28/J28,"")</f>
        <v/>
      </c>
      <c r="P28" s="199" t="inlineStr">
        <is>
          <t>前回資料</t>
        </is>
      </c>
      <c r="Q28" s="200" t="inlineStr">
        <is>
          <t>前回資料「益子生産性最新」から展開</t>
        </is>
      </c>
      <c r="R28" t="inlineStr">
        <is>
          <t>カスタード＆ホイップシュー</t>
        </is>
      </c>
      <c r="S28" t="inlineStr">
        <is>
          <t>Ｓカスタード＆ホイップシュ</t>
        </is>
      </c>
      <c r="X28" s="334">
        <f>COUNTA(R28:W28)</f>
        <v/>
      </c>
      <c r="Y28" s="334">
        <f>IF(AND($X28&gt;0,ISNUMBER($M28)),$M28/$X28,"")</f>
        <v/>
      </c>
      <c r="Z28" s="334">
        <f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 s="334">
        <f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/>
      </c>
      <c r="AB28" s="334">
        <f>IF(ISNUMBER($M28),$M28,0)</f>
        <v/>
      </c>
      <c r="AC28" s="334">
        <f>IF(AND($X28&gt;0,ISNUMBER($J28)),$J28/$X28,"")</f>
        <v/>
      </c>
      <c r="AD28" s="413">
        <f>IF($R28="",0,IF($AA28&gt;0,$AB28*SUMIF(⑳商品別1食労務費!$C$5:$C$124,$R28,⑳商品別1食労務費!$F$5:$F$124)/$AA28,$AB28/$X28))</f>
        <v/>
      </c>
      <c r="AE28" s="413">
        <f>IF($S28="",0,IF($AA28&gt;0,$AB28*SUMIF(⑳商品別1食労務費!$C$5:$C$124,$S28,⑳商品別1食労務費!$F$5:$F$124)/$AA28,$AB28/$X28))</f>
        <v/>
      </c>
      <c r="AF28" s="413">
        <f>IF($T28="",0,IF($AA28&gt;0,$AB28*SUMIF(⑳商品別1食労務費!$C$5:$C$124,$T28,⑳商品別1食労務費!$F$5:$F$124)/$AA28,$AB28/$X28))</f>
        <v/>
      </c>
      <c r="AG28" s="413">
        <f>IF($U28="",0,IF($AA28&gt;0,$AB28*SUMIF(⑳商品別1食労務費!$C$5:$C$124,$U28,⑳商品別1食労務費!$F$5:$F$124)/$AA28,$AB28/$X28))</f>
        <v/>
      </c>
      <c r="AH28" s="413">
        <f>IF($V28="",0,IF($AA28&gt;0,$AB28*SUMIF(⑳商品別1食労務費!$C$5:$C$124,$V28,⑳商品別1食労務費!$F$5:$F$124)/$AA28,$AB28/$X28))</f>
        <v/>
      </c>
      <c r="AI28" s="413">
        <f>IF($W28="",0,IF($AA28&gt;0,$AB28*SUMIF(⑳商品別1食労務費!$C$5:$C$124,$W28,⑳商品別1食労務費!$F$5:$F$124)/$AA28,$AB28/$X28))</f>
        <v/>
      </c>
    </row>
    <row r="29" hidden="1" ht="16" customHeight="1" s="438">
      <c r="A29" s="188" t="n">
        <v>25</v>
      </c>
      <c r="B29" s="189" t="inlineStr">
        <is>
          <t>盛り</t>
        </is>
      </c>
      <c r="C29" s="229" t="inlineStr">
        <is>
          <t>焼成（盛り）</t>
        </is>
      </c>
      <c r="D29" s="190" t="n"/>
      <c r="E29" s="190" t="n"/>
      <c r="F29" s="541">
        <f>IF(OR(D29="",E29=""),"",(E29-D29)*1440)</f>
        <v/>
      </c>
      <c r="G29" s="542" t="n">
        <v>250</v>
      </c>
      <c r="H29" s="542" t="n">
        <v>0.1</v>
      </c>
      <c r="I29" s="543" t="n"/>
      <c r="J29" s="192" t="n">
        <v>1000</v>
      </c>
      <c r="K29" s="544">
        <f>IF(AND(ISNUMBER(F29),I29&gt;0),I29/(F29/60),"")</f>
        <v/>
      </c>
      <c r="L29" s="545" t="n">
        <v>1800</v>
      </c>
      <c r="M29" s="194">
        <f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546">
        <f>IF(AND(I29&gt;0,ISNUMBER(M29)),M29/I29,"")</f>
        <v/>
      </c>
      <c r="O29" s="547">
        <f>IF(AND(J29&gt;0,ISNUMBER(M29)),M29/J29,"")</f>
        <v/>
      </c>
      <c r="P29" s="195" t="inlineStr">
        <is>
          <t>前回資料</t>
        </is>
      </c>
      <c r="Q29" s="196" t="inlineStr">
        <is>
          <t>前回資料「益子生産性最新」から展開</t>
        </is>
      </c>
      <c r="R29" t="inlineStr">
        <is>
          <t>カスタード＆ホイップシュー</t>
        </is>
      </c>
      <c r="S29" t="inlineStr">
        <is>
          <t>Ｓカスタード＆ホイップシュ</t>
        </is>
      </c>
      <c r="X29" s="334">
        <f>COUNTA(R29:W29)</f>
        <v/>
      </c>
      <c r="Y29" s="334">
        <f>IF(AND($X29&gt;0,ISNUMBER($M29)),$M29/$X29,"")</f>
        <v/>
      </c>
      <c r="Z29" s="334">
        <f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 s="334">
        <f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/>
      </c>
      <c r="AB29" s="334">
        <f>IF(ISNUMBER($M29),$M29,0)</f>
        <v/>
      </c>
      <c r="AC29" s="334">
        <f>IF(AND($X29&gt;0,ISNUMBER($J29)),$J29/$X29,"")</f>
        <v/>
      </c>
      <c r="AD29" s="413">
        <f>IF($R29="",0,IF($AA29&gt;0,$AB29*SUMIF(⑳商品別1食労務費!$C$5:$C$124,$R29,⑳商品別1食労務費!$F$5:$F$124)/$AA29,$AB29/$X29))</f>
        <v/>
      </c>
      <c r="AE29" s="413">
        <f>IF($S29="",0,IF($AA29&gt;0,$AB29*SUMIF(⑳商品別1食労務費!$C$5:$C$124,$S29,⑳商品別1食労務費!$F$5:$F$124)/$AA29,$AB29/$X29))</f>
        <v/>
      </c>
      <c r="AF29" s="413">
        <f>IF($T29="",0,IF($AA29&gt;0,$AB29*SUMIF(⑳商品別1食労務費!$C$5:$C$124,$T29,⑳商品別1食労務費!$F$5:$F$124)/$AA29,$AB29/$X29))</f>
        <v/>
      </c>
      <c r="AG29" s="413">
        <f>IF($U29="",0,IF($AA29&gt;0,$AB29*SUMIF(⑳商品別1食労務費!$C$5:$C$124,$U29,⑳商品別1食労務費!$F$5:$F$124)/$AA29,$AB29/$X29))</f>
        <v/>
      </c>
      <c r="AH29" s="413">
        <f>IF($V29="",0,IF($AA29&gt;0,$AB29*SUMIF(⑳商品別1食労務費!$C$5:$C$124,$V29,⑳商品別1食労務費!$F$5:$F$124)/$AA29,$AB29/$X29))</f>
        <v/>
      </c>
      <c r="AI29" s="413">
        <f>IF($W29="",0,IF($AA29&gt;0,$AB29*SUMIF(⑳商品別1食労務費!$C$5:$C$124,$W29,⑳商品別1食労務費!$F$5:$F$124)/$AA29,$AB29/$X29))</f>
        <v/>
      </c>
    </row>
    <row r="30" hidden="1" ht="16" customHeight="1" s="438">
      <c r="A30" s="197" t="n">
        <v>26</v>
      </c>
      <c r="B30" s="198" t="inlineStr">
        <is>
          <t>盛り</t>
        </is>
      </c>
      <c r="C30" s="229" t="inlineStr">
        <is>
          <t>穴あけ（盛り）</t>
        </is>
      </c>
      <c r="D30" s="190" t="n"/>
      <c r="E30" s="190" t="n"/>
      <c r="F30" s="541">
        <f>IF(OR(D30="",E30=""),"",(E30-D30)*1440)</f>
        <v/>
      </c>
      <c r="G30" s="542" t="n">
        <v>34.8</v>
      </c>
      <c r="H30" s="542" t="n">
        <v>2</v>
      </c>
      <c r="I30" s="543" t="n"/>
      <c r="J30" s="192" t="n">
        <v>1000</v>
      </c>
      <c r="K30" s="544">
        <f>IF(AND(ISNUMBER(F30),I30&gt;0),I30/(F30/60),"")</f>
        <v/>
      </c>
      <c r="L30" s="545" t="n">
        <v>2000</v>
      </c>
      <c r="M30" s="194">
        <f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546">
        <f>IF(AND(I30&gt;0,ISNUMBER(M30)),M30/I30,"")</f>
        <v/>
      </c>
      <c r="O30" s="547">
        <f>IF(AND(J30&gt;0,ISNUMBER(M30)),M30/J30,"")</f>
        <v/>
      </c>
      <c r="P30" s="199" t="inlineStr">
        <is>
          <t>前回資料</t>
        </is>
      </c>
      <c r="Q30" s="200" t="inlineStr">
        <is>
          <t>前回資料「益子生産性最新」から展開</t>
        </is>
      </c>
      <c r="R30" t="inlineStr">
        <is>
          <t>カスタード＆ホイップシュー</t>
        </is>
      </c>
      <c r="S30" t="inlineStr">
        <is>
          <t>Ｓカスタード＆ホイップシュ</t>
        </is>
      </c>
      <c r="X30" s="334">
        <f>COUNTA(R30:W30)</f>
        <v/>
      </c>
      <c r="Y30" s="334">
        <f>IF(AND($X30&gt;0,ISNUMBER($M30)),$M30/$X30,"")</f>
        <v/>
      </c>
      <c r="Z30" s="334">
        <f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 s="334">
        <f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/>
      </c>
      <c r="AB30" s="334">
        <f>IF(ISNUMBER($M30),$M30,0)</f>
        <v/>
      </c>
      <c r="AC30" s="334">
        <f>IF(AND($X30&gt;0,ISNUMBER($J30)),$J30/$X30,"")</f>
        <v/>
      </c>
      <c r="AD30" s="413">
        <f>IF($R30="",0,IF($AA30&gt;0,$AB30*SUMIF(⑳商品別1食労務費!$C$5:$C$124,$R30,⑳商品別1食労務費!$F$5:$F$124)/$AA30,$AB30/$X30))</f>
        <v/>
      </c>
      <c r="AE30" s="413">
        <f>IF($S30="",0,IF($AA30&gt;0,$AB30*SUMIF(⑳商品別1食労務費!$C$5:$C$124,$S30,⑳商品別1食労務費!$F$5:$F$124)/$AA30,$AB30/$X30))</f>
        <v/>
      </c>
      <c r="AF30" s="413">
        <f>IF($T30="",0,IF($AA30&gt;0,$AB30*SUMIF(⑳商品別1食労務費!$C$5:$C$124,$T30,⑳商品別1食労務費!$F$5:$F$124)/$AA30,$AB30/$X30))</f>
        <v/>
      </c>
      <c r="AG30" s="413">
        <f>IF($U30="",0,IF($AA30&gt;0,$AB30*SUMIF(⑳商品別1食労務費!$C$5:$C$124,$U30,⑳商品別1食労務費!$F$5:$F$124)/$AA30,$AB30/$X30))</f>
        <v/>
      </c>
      <c r="AH30" s="413">
        <f>IF($V30="",0,IF($AA30&gt;0,$AB30*SUMIF(⑳商品別1食労務費!$C$5:$C$124,$V30,⑳商品別1食労務費!$F$5:$F$124)/$AA30,$AB30/$X30))</f>
        <v/>
      </c>
      <c r="AI30" s="413">
        <f>IF($W30="",0,IF($AA30&gt;0,$AB30*SUMIF(⑳商品別1食労務費!$C$5:$C$124,$W30,⑳商品別1食労務費!$F$5:$F$124)/$AA30,$AB30/$X30))</f>
        <v/>
      </c>
    </row>
    <row r="31" hidden="1" ht="16" customHeight="1" s="438">
      <c r="A31" s="188" t="n">
        <v>27</v>
      </c>
      <c r="B31" s="189" t="inlineStr">
        <is>
          <t>盛り</t>
        </is>
      </c>
      <c r="C31" s="229" t="inlineStr">
        <is>
          <t>クリーム入れ（盛り）</t>
        </is>
      </c>
      <c r="D31" s="190" t="n"/>
      <c r="E31" s="190" t="n"/>
      <c r="F31" s="541">
        <f>IF(OR(D31="",E31=""),"",(E31-D31)*1440)</f>
        <v/>
      </c>
      <c r="G31" s="542" t="n">
        <v>169.5</v>
      </c>
      <c r="H31" s="542" t="n">
        <v>4</v>
      </c>
      <c r="I31" s="543" t="n"/>
      <c r="J31" s="192" t="n">
        <v>1000</v>
      </c>
      <c r="K31" s="544">
        <f>IF(AND(ISNUMBER(F31),I31&gt;0),I31/(F31/60),"")</f>
        <v/>
      </c>
      <c r="L31" s="545" t="n">
        <v>2000</v>
      </c>
      <c r="M31" s="194">
        <f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546">
        <f>IF(AND(I31&gt;0,ISNUMBER(M31)),M31/I31,"")</f>
        <v/>
      </c>
      <c r="O31" s="547">
        <f>IF(AND(J31&gt;0,ISNUMBER(M31)),M31/J31,"")</f>
        <v/>
      </c>
      <c r="P31" s="195" t="inlineStr">
        <is>
          <t>前回資料</t>
        </is>
      </c>
      <c r="Q31" s="196" t="inlineStr">
        <is>
          <t>前回資料「益子生産性最新」から展開</t>
        </is>
      </c>
      <c r="R31" t="inlineStr">
        <is>
          <t>カスタード＆ホイップシュー</t>
        </is>
      </c>
      <c r="S31" t="inlineStr">
        <is>
          <t>Ｓカスタード＆ホイップシュ</t>
        </is>
      </c>
      <c r="X31" s="334">
        <f>COUNTA(R31:W31)</f>
        <v/>
      </c>
      <c r="Y31" s="334">
        <f>IF(AND($X31&gt;0,ISNUMBER($M31)),$M31/$X31,"")</f>
        <v/>
      </c>
      <c r="Z31" s="334">
        <f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 s="334">
        <f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/>
      </c>
      <c r="AB31" s="334">
        <f>IF(ISNUMBER($M31),$M31,0)</f>
        <v/>
      </c>
      <c r="AC31" s="334">
        <f>IF(AND($X31&gt;0,ISNUMBER($J31)),$J31/$X31,"")</f>
        <v/>
      </c>
      <c r="AD31" s="413">
        <f>IF($R31="",0,IF($AA31&gt;0,$AB31*SUMIF(⑳商品別1食労務費!$C$5:$C$124,$R31,⑳商品別1食労務費!$F$5:$F$124)/$AA31,$AB31/$X31))</f>
        <v/>
      </c>
      <c r="AE31" s="413">
        <f>IF($S31="",0,IF($AA31&gt;0,$AB31*SUMIF(⑳商品別1食労務費!$C$5:$C$124,$S31,⑳商品別1食労務費!$F$5:$F$124)/$AA31,$AB31/$X31))</f>
        <v/>
      </c>
      <c r="AF31" s="413">
        <f>IF($T31="",0,IF($AA31&gt;0,$AB31*SUMIF(⑳商品別1食労務費!$C$5:$C$124,$T31,⑳商品別1食労務費!$F$5:$F$124)/$AA31,$AB31/$X31))</f>
        <v/>
      </c>
      <c r="AG31" s="413">
        <f>IF($U31="",0,IF($AA31&gt;0,$AB31*SUMIF(⑳商品別1食労務費!$C$5:$C$124,$U31,⑳商品別1食労務費!$F$5:$F$124)/$AA31,$AB31/$X31))</f>
        <v/>
      </c>
      <c r="AH31" s="413">
        <f>IF($V31="",0,IF($AA31&gt;0,$AB31*SUMIF(⑳商品別1食労務費!$C$5:$C$124,$V31,⑳商品別1食労務費!$F$5:$F$124)/$AA31,$AB31/$X31))</f>
        <v/>
      </c>
      <c r="AI31" s="413">
        <f>IF($W31="",0,IF($AA31&gt;0,$AB31*SUMIF(⑳商品別1食労務費!$C$5:$C$124,$W31,⑳商品別1食労務費!$F$5:$F$124)/$AA31,$AB31/$X31))</f>
        <v/>
      </c>
    </row>
    <row r="32" hidden="1" ht="16" customHeight="1" s="438">
      <c r="A32" s="197" t="n">
        <v>293</v>
      </c>
      <c r="B32" s="198" t="inlineStr">
        <is>
          <t>盛り込み④</t>
        </is>
      </c>
      <c r="C32" s="229" t="inlineStr">
        <is>
          <t>Ｓもちっと芋の暴れん坊</t>
        </is>
      </c>
      <c r="D32" s="190" t="n"/>
      <c r="E32" s="190" t="n"/>
      <c r="F32" s="541">
        <f>IF(OR(D32="",E32=""),"",(E32-D32)*1440)</f>
        <v/>
      </c>
      <c r="G32" s="542" t="n"/>
      <c r="H32" s="542" t="n"/>
      <c r="I32" s="543" t="n"/>
      <c r="J32" s="192" t="n"/>
      <c r="K32" s="544">
        <f>IF(AND(ISNUMBER(F32),I32&gt;0),I32/(F32/60),"")</f>
        <v/>
      </c>
      <c r="L32" s="545" t="n">
        <v>1800</v>
      </c>
      <c r="M32" s="194">
        <f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546">
        <f>IF(AND(I32&gt;0,ISNUMBER(M32)),M32/I32,"")</f>
        <v/>
      </c>
      <c r="O32" s="547">
        <f>IF(AND(J32&gt;0,ISNUMBER(M32)),M32/J32,"")</f>
        <v/>
      </c>
      <c r="P32" s="199" t="n"/>
      <c r="Q32" s="200" t="inlineStr">
        <is>
          <t>★要入力（工程記録なし／実作業(分)・人数・個数を入れると⑳に自動反映）</t>
        </is>
      </c>
      <c r="R32" t="inlineStr">
        <is>
          <t>Ｓもちっと芋の暴れん坊</t>
        </is>
      </c>
      <c r="X32" s="334">
        <f>COUNTA(R32:W32)</f>
        <v/>
      </c>
      <c r="Y32" s="334">
        <f>IF(AND($X32&gt;0,ISNUMBER($M32)),$M32/$X32,"")</f>
        <v/>
      </c>
      <c r="Z32" s="334">
        <f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 s="334">
        <f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/>
      </c>
      <c r="AB32" s="334">
        <f>IF(ISNUMBER($M32),$M32,0)</f>
        <v/>
      </c>
      <c r="AC32" s="334">
        <f>IF(AND($X32&gt;0,ISNUMBER($J32)),$J32/$X32,"")</f>
        <v/>
      </c>
      <c r="AD32" s="413">
        <f>IF($R32="",0,IF($AA32&gt;0,$AB32*SUMIF(⑳商品別1食労務費!$C$5:$C$124,$R32,⑳商品別1食労務費!$F$5:$F$124)/$AA32,$AB32/$X32))</f>
        <v/>
      </c>
      <c r="AE32" s="413">
        <f>IF($S32="",0,IF($AA32&gt;0,$AB32*SUMIF(⑳商品別1食労務費!$C$5:$C$124,$S32,⑳商品別1食労務費!$F$5:$F$124)/$AA32,$AB32/$X32))</f>
        <v/>
      </c>
      <c r="AF32" s="413">
        <f>IF($T32="",0,IF($AA32&gt;0,$AB32*SUMIF(⑳商品別1食労務費!$C$5:$C$124,$T32,⑳商品別1食労務費!$F$5:$F$124)/$AA32,$AB32/$X32))</f>
        <v/>
      </c>
      <c r="AG32" s="413">
        <f>IF($U32="",0,IF($AA32&gt;0,$AB32*SUMIF(⑳商品別1食労務費!$C$5:$C$124,$U32,⑳商品別1食労務費!$F$5:$F$124)/$AA32,$AB32/$X32))</f>
        <v/>
      </c>
      <c r="AH32" s="413">
        <f>IF($V32="",0,IF($AA32&gt;0,$AB32*SUMIF(⑳商品別1食労務費!$C$5:$C$124,$V32,⑳商品別1食労務費!$F$5:$F$124)/$AA32,$AB32/$X32))</f>
        <v/>
      </c>
      <c r="AI32" s="413">
        <f>IF($W32="",0,IF($AA32&gt;0,$AB32*SUMIF(⑳商品別1食労務費!$C$5:$C$124,$W32,⑳商品別1食労務費!$F$5:$F$124)/$AA32,$AB32/$X32))</f>
        <v/>
      </c>
    </row>
    <row r="33" hidden="1" ht="16" customHeight="1" s="438">
      <c r="A33" s="197" t="n">
        <v>294</v>
      </c>
      <c r="B33" s="198" t="inlineStr">
        <is>
          <t>盛り込み④</t>
        </is>
      </c>
      <c r="C33" s="229" t="inlineStr">
        <is>
          <t>素材を感じる焼き芋ロール</t>
        </is>
      </c>
      <c r="D33" s="190" t="n"/>
      <c r="E33" s="190" t="n"/>
      <c r="F33" s="541">
        <f>IF(OR(D33="",E33=""),"",(E33-D33)*1440)</f>
        <v/>
      </c>
      <c r="G33" s="542" t="n"/>
      <c r="H33" s="542" t="n"/>
      <c r="I33" s="543" t="n"/>
      <c r="J33" s="192" t="n"/>
      <c r="K33" s="544">
        <f>IF(AND(ISNUMBER(F33),I33&gt;0),I33/(F33/60),"")</f>
        <v/>
      </c>
      <c r="L33" s="545" t="n">
        <v>2000</v>
      </c>
      <c r="M33" s="194">
        <f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546">
        <f>IF(AND(I33&gt;0,ISNUMBER(M33)),M33/I33,"")</f>
        <v/>
      </c>
      <c r="O33" s="547">
        <f>IF(AND(J33&gt;0,ISNUMBER(M33)),M33/J33,"")</f>
        <v/>
      </c>
      <c r="P33" s="199" t="n"/>
      <c r="Q33" s="200" t="inlineStr">
        <is>
          <t>★要入力（工程記録なし／実作業(分)・人数・個数を入れると⑳に自動反映）</t>
        </is>
      </c>
      <c r="R33" t="inlineStr">
        <is>
          <t>素材を感じる焼き芋ロール</t>
        </is>
      </c>
      <c r="X33" s="334">
        <f>COUNTA(R33:W33)</f>
        <v/>
      </c>
      <c r="Y33" s="334">
        <f>IF(AND($X33&gt;0,ISNUMBER($M33)),$M33/$X33,"")</f>
        <v/>
      </c>
      <c r="Z33" s="334">
        <f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 s="334">
        <f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/>
      </c>
      <c r="AB33" s="334">
        <f>IF(ISNUMBER($M33),$M33,0)</f>
        <v/>
      </c>
      <c r="AC33" s="334">
        <f>IF(AND($X33&gt;0,ISNUMBER($J33)),$J33/$X33,"")</f>
        <v/>
      </c>
      <c r="AD33" s="413">
        <f>IF($R33="",0,IF($AA33&gt;0,$AB33*SUMIF(⑳商品別1食労務費!$C$5:$C$124,$R33,⑳商品別1食労務費!$F$5:$F$124)/$AA33,$AB33/$X33))</f>
        <v/>
      </c>
      <c r="AE33" s="413">
        <f>IF($S33="",0,IF($AA33&gt;0,$AB33*SUMIF(⑳商品別1食労務費!$C$5:$C$124,$S33,⑳商品別1食労務費!$F$5:$F$124)/$AA33,$AB33/$X33))</f>
        <v/>
      </c>
      <c r="AF33" s="413">
        <f>IF($T33="",0,IF($AA33&gt;0,$AB33*SUMIF(⑳商品別1食労務費!$C$5:$C$124,$T33,⑳商品別1食労務費!$F$5:$F$124)/$AA33,$AB33/$X33))</f>
        <v/>
      </c>
      <c r="AG33" s="413">
        <f>IF($U33="",0,IF($AA33&gt;0,$AB33*SUMIF(⑳商品別1食労務費!$C$5:$C$124,$U33,⑳商品別1食労務費!$F$5:$F$124)/$AA33,$AB33/$X33))</f>
        <v/>
      </c>
      <c r="AH33" s="413">
        <f>IF($V33="",0,IF($AA33&gt;0,$AB33*SUMIF(⑳商品別1食労務費!$C$5:$C$124,$V33,⑳商品別1食労務費!$F$5:$F$124)/$AA33,$AB33/$X33))</f>
        <v/>
      </c>
      <c r="AI33" s="413">
        <f>IF($W33="",0,IF($AA33&gt;0,$AB33*SUMIF(⑳商品別1食労務費!$C$5:$C$124,$W33,⑳商品別1食労務費!$F$5:$F$124)/$AA33,$AB33/$X33))</f>
        <v/>
      </c>
    </row>
    <row r="34" hidden="1" ht="16" customHeight="1" s="438">
      <c r="A34" s="197" t="n">
        <v>295</v>
      </c>
      <c r="B34" s="198" t="inlineStr">
        <is>
          <t>盛り込み④</t>
        </is>
      </c>
      <c r="C34" s="229" t="inlineStr">
        <is>
          <t>自社製国産チキンカツむね２</t>
        </is>
      </c>
      <c r="D34" s="190" t="n"/>
      <c r="E34" s="190" t="n"/>
      <c r="F34" s="541">
        <f>IF(OR(D34="",E34=""),"",(E34-D34)*1440)</f>
        <v/>
      </c>
      <c r="G34" s="542" t="n"/>
      <c r="H34" s="542" t="n"/>
      <c r="I34" s="543" t="n"/>
      <c r="J34" s="192" t="n"/>
      <c r="K34" s="544">
        <f>IF(AND(ISNUMBER(F34),I34&gt;0),I34/(F34/60),"")</f>
        <v/>
      </c>
      <c r="L34" s="545" t="n">
        <v>2000</v>
      </c>
      <c r="M34" s="194">
        <f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546">
        <f>IF(AND(I34&gt;0,ISNUMBER(M34)),M34/I34,"")</f>
        <v/>
      </c>
      <c r="O34" s="547">
        <f>IF(AND(J34&gt;0,ISNUMBER(M34)),M34/J34,"")</f>
        <v/>
      </c>
      <c r="P34" s="199" t="n"/>
      <c r="Q34" s="200" t="inlineStr">
        <is>
          <t>★要入力（工程記録なし／実作業(分)・人数・個数を入れると⑳に自動反映）</t>
        </is>
      </c>
      <c r="R34" t="inlineStr">
        <is>
          <t>自社製国産チキンカツむね２</t>
        </is>
      </c>
      <c r="X34" s="334">
        <f>COUNTA(R34:W34)</f>
        <v/>
      </c>
      <c r="Y34" s="334">
        <f>IF(AND($X34&gt;0,ISNUMBER($M34)),$M34/$X34,"")</f>
        <v/>
      </c>
      <c r="Z34" s="334">
        <f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 s="334">
        <f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/>
      </c>
      <c r="AB34" s="334">
        <f>IF(ISNUMBER($M34),$M34,0)</f>
        <v/>
      </c>
      <c r="AC34" s="334">
        <f>IF(AND($X34&gt;0,ISNUMBER($J34)),$J34/$X34,"")</f>
        <v/>
      </c>
      <c r="AD34" s="413">
        <f>IF($R34="",0,IF($AA34&gt;0,$AB34*SUMIF(⑳商品別1食労務費!$C$5:$C$124,$R34,⑳商品別1食労務費!$F$5:$F$124)/$AA34,$AB34/$X34))</f>
        <v/>
      </c>
      <c r="AE34" s="413">
        <f>IF($S34="",0,IF($AA34&gt;0,$AB34*SUMIF(⑳商品別1食労務費!$C$5:$C$124,$S34,⑳商品別1食労務費!$F$5:$F$124)/$AA34,$AB34/$X34))</f>
        <v/>
      </c>
      <c r="AF34" s="413">
        <f>IF($T34="",0,IF($AA34&gt;0,$AB34*SUMIF(⑳商品別1食労務費!$C$5:$C$124,$T34,⑳商品別1食労務費!$F$5:$F$124)/$AA34,$AB34/$X34))</f>
        <v/>
      </c>
      <c r="AG34" s="413">
        <f>IF($U34="",0,IF($AA34&gt;0,$AB34*SUMIF(⑳商品別1食労務費!$C$5:$C$124,$U34,⑳商品別1食労務費!$F$5:$F$124)/$AA34,$AB34/$X34))</f>
        <v/>
      </c>
      <c r="AH34" s="413">
        <f>IF($V34="",0,IF($AA34&gt;0,$AB34*SUMIF(⑳商品別1食労務費!$C$5:$C$124,$V34,⑳商品別1食労務費!$F$5:$F$124)/$AA34,$AB34/$X34))</f>
        <v/>
      </c>
      <c r="AI34" s="413">
        <f>IF($W34="",0,IF($AA34&gt;0,$AB34*SUMIF(⑳商品別1食労務費!$C$5:$C$124,$W34,⑳商品別1食労務費!$F$5:$F$124)/$AA34,$AB34/$X34))</f>
        <v/>
      </c>
    </row>
    <row r="35" hidden="1" ht="16" customHeight="1" s="438">
      <c r="A35" s="197" t="n">
        <v>296</v>
      </c>
      <c r="B35" s="198" t="inlineStr">
        <is>
          <t>盛り込み④</t>
        </is>
      </c>
      <c r="C35" s="229" t="inlineStr">
        <is>
          <t>お芋ムースのパンナコッタ</t>
        </is>
      </c>
      <c r="D35" s="190" t="n"/>
      <c r="E35" s="190" t="n"/>
      <c r="F35" s="541">
        <f>IF(OR(D35="",E35=""),"",(E35-D35)*1440)</f>
        <v/>
      </c>
      <c r="G35" s="542" t="n"/>
      <c r="H35" s="542" t="n"/>
      <c r="I35" s="543" t="n"/>
      <c r="J35" s="192" t="n"/>
      <c r="K35" s="544">
        <f>IF(AND(ISNUMBER(F35),I35&gt;0),I35/(F35/60),"")</f>
        <v/>
      </c>
      <c r="L35" s="545" t="n">
        <v>2000</v>
      </c>
      <c r="M35" s="194">
        <f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546">
        <f>IF(AND(I35&gt;0,ISNUMBER(M35)),M35/I35,"")</f>
        <v/>
      </c>
      <c r="O35" s="547">
        <f>IF(AND(J35&gt;0,ISNUMBER(M35)),M35/J35,"")</f>
        <v/>
      </c>
      <c r="P35" s="199" t="n"/>
      <c r="Q35" s="200" t="inlineStr">
        <is>
          <t>★要入力（工程記録なし／実作業(分)・人数・個数を入れると⑳に自動反映）</t>
        </is>
      </c>
      <c r="R35" t="inlineStr">
        <is>
          <t>お芋ムースのパンナコッタ</t>
        </is>
      </c>
      <c r="X35" s="334">
        <f>COUNTA(R35:W35)</f>
        <v/>
      </c>
      <c r="Y35" s="334">
        <f>IF(AND($X35&gt;0,ISNUMBER($M35)),$M35/$X35,"")</f>
        <v/>
      </c>
      <c r="Z35" s="334">
        <f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 s="334">
        <f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/>
      </c>
      <c r="AB35" s="334">
        <f>IF(ISNUMBER($M35),$M35,0)</f>
        <v/>
      </c>
      <c r="AC35" s="334">
        <f>IF(AND($X35&gt;0,ISNUMBER($J35)),$J35/$X35,"")</f>
        <v/>
      </c>
      <c r="AD35" s="413">
        <f>IF($R35="",0,IF($AA35&gt;0,$AB35*SUMIF(⑳商品別1食労務費!$C$5:$C$124,$R35,⑳商品別1食労務費!$F$5:$F$124)/$AA35,$AB35/$X35))</f>
        <v/>
      </c>
      <c r="AE35" s="413">
        <f>IF($S35="",0,IF($AA35&gt;0,$AB35*SUMIF(⑳商品別1食労務費!$C$5:$C$124,$S35,⑳商品別1食労務費!$F$5:$F$124)/$AA35,$AB35/$X35))</f>
        <v/>
      </c>
      <c r="AF35" s="413">
        <f>IF($T35="",0,IF($AA35&gt;0,$AB35*SUMIF(⑳商品別1食労務費!$C$5:$C$124,$T35,⑳商品別1食労務費!$F$5:$F$124)/$AA35,$AB35/$X35))</f>
        <v/>
      </c>
      <c r="AG35" s="413">
        <f>IF($U35="",0,IF($AA35&gt;0,$AB35*SUMIF(⑳商品別1食労務費!$C$5:$C$124,$U35,⑳商品別1食労務費!$F$5:$F$124)/$AA35,$AB35/$X35))</f>
        <v/>
      </c>
      <c r="AH35" s="413">
        <f>IF($V35="",0,IF($AA35&gt;0,$AB35*SUMIF(⑳商品別1食労務費!$C$5:$C$124,$V35,⑳商品別1食労務費!$F$5:$F$124)/$AA35,$AB35/$X35))</f>
        <v/>
      </c>
      <c r="AI35" s="413">
        <f>IF($W35="",0,IF($AA35&gt;0,$AB35*SUMIF(⑳商品別1食労務費!$C$5:$C$124,$W35,⑳商品別1食労務費!$F$5:$F$124)/$AA35,$AB35/$X35))</f>
        <v/>
      </c>
    </row>
    <row r="36" hidden="1" ht="16" customHeight="1" s="438">
      <c r="A36" s="197" t="n">
        <v>297</v>
      </c>
      <c r="B36" s="198" t="inlineStr">
        <is>
          <t>盛り込み④</t>
        </is>
      </c>
      <c r="C36" s="229" t="inlineStr">
        <is>
          <t>パキっとろっお芋ティラミス</t>
        </is>
      </c>
      <c r="D36" s="190" t="n"/>
      <c r="E36" s="190" t="n"/>
      <c r="F36" s="541">
        <f>IF(OR(D36="",E36=""),"",(E36-D36)*1440)</f>
        <v/>
      </c>
      <c r="G36" s="542" t="n"/>
      <c r="H36" s="542" t="n"/>
      <c r="I36" s="543" t="n"/>
      <c r="J36" s="192" t="n"/>
      <c r="K36" s="544">
        <f>IF(AND(ISNUMBER(F36),I36&gt;0),I36/(F36/60),"")</f>
        <v/>
      </c>
      <c r="L36" s="545" t="n">
        <v>2000</v>
      </c>
      <c r="M36" s="194">
        <f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546">
        <f>IF(AND(I36&gt;0,ISNUMBER(M36)),M36/I36,"")</f>
        <v/>
      </c>
      <c r="O36" s="547">
        <f>IF(AND(J36&gt;0,ISNUMBER(M36)),M36/J36,"")</f>
        <v/>
      </c>
      <c r="P36" s="199" t="n"/>
      <c r="Q36" s="200" t="inlineStr">
        <is>
          <t>★要入力（工程記録なし／実作業(分)・人数・個数を入れると⑳に自動反映）</t>
        </is>
      </c>
      <c r="R36" t="inlineStr">
        <is>
          <t>パキっとろっお芋ティラミス</t>
        </is>
      </c>
      <c r="X36" s="334">
        <f>COUNTA(R36:W36)</f>
        <v/>
      </c>
      <c r="Y36" s="334">
        <f>IF(AND($X36&gt;0,ISNUMBER($M36)),$M36/$X36,"")</f>
        <v/>
      </c>
      <c r="Z36" s="334">
        <f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/>
      </c>
      <c r="AA36" s="334">
        <f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/>
      </c>
      <c r="AB36" s="334">
        <f>IF(ISNUMBER($M36),$M36,0)</f>
        <v/>
      </c>
      <c r="AC36" s="334">
        <f>IF(AND($X36&gt;0,ISNUMBER($J36)),$J36/$X36,"")</f>
        <v/>
      </c>
      <c r="AD36" s="413">
        <f>IF($R36="",0,IF($AA36&gt;0,$AB36*SUMIF(⑳商品別1食労務費!$C$5:$C$124,$R36,⑳商品別1食労務費!$F$5:$F$124)/$AA36,$AB36/$X36))</f>
        <v/>
      </c>
      <c r="AE36" s="413">
        <f>IF($S36="",0,IF($AA36&gt;0,$AB36*SUMIF(⑳商品別1食労務費!$C$5:$C$124,$S36,⑳商品別1食労務費!$F$5:$F$124)/$AA36,$AB36/$X36))</f>
        <v/>
      </c>
      <c r="AF36" s="413">
        <f>IF($T36="",0,IF($AA36&gt;0,$AB36*SUMIF(⑳商品別1食労務費!$C$5:$C$124,$T36,⑳商品別1食労務費!$F$5:$F$124)/$AA36,$AB36/$X36))</f>
        <v/>
      </c>
      <c r="AG36" s="413">
        <f>IF($U36="",0,IF($AA36&gt;0,$AB36*SUMIF(⑳商品別1食労務費!$C$5:$C$124,$U36,⑳商品別1食労務費!$F$5:$F$124)/$AA36,$AB36/$X36))</f>
        <v/>
      </c>
      <c r="AH36" s="413">
        <f>IF($V36="",0,IF($AA36&gt;0,$AB36*SUMIF(⑳商品別1食労務費!$C$5:$C$124,$V36,⑳商品別1食労務費!$F$5:$F$124)/$AA36,$AB36/$X36))</f>
        <v/>
      </c>
      <c r="AI36" s="413">
        <f>IF($W36="",0,IF($AA36&gt;0,$AB36*SUMIF(⑳商品別1食労務費!$C$5:$C$124,$W36,⑳商品別1食労務費!$F$5:$F$124)/$AA36,$AB36/$X36))</f>
        <v/>
      </c>
    </row>
    <row r="37" hidden="1" ht="16" customHeight="1" s="438">
      <c r="A37" s="197" t="n">
        <v>298</v>
      </c>
      <c r="B37" s="198" t="inlineStr">
        <is>
          <t>盛り込み⑤</t>
        </is>
      </c>
      <c r="C37" s="229" t="inlineStr">
        <is>
          <t>自社製キャベツメンチカツ２</t>
        </is>
      </c>
      <c r="D37" s="190" t="n"/>
      <c r="E37" s="190" t="n"/>
      <c r="F37" s="541">
        <f>IF(OR(D37="",E37=""),"",(E37-D37)*1440)</f>
        <v/>
      </c>
      <c r="G37" s="542" t="n"/>
      <c r="H37" s="542" t="n"/>
      <c r="I37" s="543" t="n"/>
      <c r="J37" s="192" t="n"/>
      <c r="K37" s="544">
        <f>IF(AND(ISNUMBER(F37),I37&gt;0),I37/(F37/60),"")</f>
        <v/>
      </c>
      <c r="L37" s="545" t="n">
        <v>1500</v>
      </c>
      <c r="M37" s="194">
        <f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546">
        <f>IF(AND(I37&gt;0,ISNUMBER(M37)),M37/I37,"")</f>
        <v/>
      </c>
      <c r="O37" s="547">
        <f>IF(AND(J37&gt;0,ISNUMBER(M37)),M37/J37,"")</f>
        <v/>
      </c>
      <c r="P37" s="199" t="n"/>
      <c r="Q37" s="200" t="inlineStr">
        <is>
          <t>★要入力（工程記録なし／実作業(分)・人数・個数を入れると⑳に自動反映）</t>
        </is>
      </c>
      <c r="R37" t="inlineStr">
        <is>
          <t>自社製キャベツメンチカツ２</t>
        </is>
      </c>
      <c r="X37" s="334">
        <f>COUNTA(R37:W37)</f>
        <v/>
      </c>
      <c r="Y37" s="334">
        <f>IF(AND($X37&gt;0,ISNUMBER($M37)),$M37/$X37,"")</f>
        <v/>
      </c>
      <c r="Z37" s="334">
        <f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/>
      </c>
      <c r="AA37" s="334">
        <f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/>
      </c>
      <c r="AB37" s="334">
        <f>IF(ISNUMBER($M37),$M37,0)</f>
        <v/>
      </c>
      <c r="AC37" s="334">
        <f>IF(AND($X37&gt;0,ISNUMBER($J37)),$J37/$X37,"")</f>
        <v/>
      </c>
      <c r="AD37" s="413">
        <f>IF($R37="",0,IF($AA37&gt;0,$AB37*SUMIF(⑳商品別1食労務費!$C$5:$C$124,$R37,⑳商品別1食労務費!$F$5:$F$124)/$AA37,$AB37/$X37))</f>
        <v/>
      </c>
      <c r="AE37" s="413">
        <f>IF($S37="",0,IF($AA37&gt;0,$AB37*SUMIF(⑳商品別1食労務費!$C$5:$C$124,$S37,⑳商品別1食労務費!$F$5:$F$124)/$AA37,$AB37/$X37))</f>
        <v/>
      </c>
      <c r="AF37" s="413">
        <f>IF($T37="",0,IF($AA37&gt;0,$AB37*SUMIF(⑳商品別1食労務費!$C$5:$C$124,$T37,⑳商品別1食労務費!$F$5:$F$124)/$AA37,$AB37/$X37))</f>
        <v/>
      </c>
      <c r="AG37" s="413">
        <f>IF($U37="",0,IF($AA37&gt;0,$AB37*SUMIF(⑳商品別1食労務費!$C$5:$C$124,$U37,⑳商品別1食労務費!$F$5:$F$124)/$AA37,$AB37/$X37))</f>
        <v/>
      </c>
      <c r="AH37" s="413">
        <f>IF($V37="",0,IF($AA37&gt;0,$AB37*SUMIF(⑳商品別1食労務費!$C$5:$C$124,$V37,⑳商品別1食労務費!$F$5:$F$124)/$AA37,$AB37/$X37))</f>
        <v/>
      </c>
      <c r="AI37" s="413">
        <f>IF($W37="",0,IF($AA37&gt;0,$AB37*SUMIF(⑳商品別1食労務費!$C$5:$C$124,$W37,⑳商品別1食労務費!$F$5:$F$124)/$AA37,$AB37/$X37))</f>
        <v/>
      </c>
    </row>
    <row r="38" hidden="1" ht="16" customHeight="1" s="438">
      <c r="A38" s="197" t="n">
        <v>299</v>
      </c>
      <c r="B38" s="198" t="inlineStr">
        <is>
          <t>盛り込み⑤</t>
        </is>
      </c>
      <c r="C38" s="229" t="inlineStr">
        <is>
          <t>国産とり天キット</t>
        </is>
      </c>
      <c r="D38" s="190" t="n"/>
      <c r="E38" s="190" t="n"/>
      <c r="F38" s="541">
        <f>IF(OR(D38="",E38=""),"",(E38-D38)*1440)</f>
        <v/>
      </c>
      <c r="G38" s="542" t="n"/>
      <c r="H38" s="542" t="n"/>
      <c r="I38" s="543" t="n"/>
      <c r="J38" s="192" t="n"/>
      <c r="K38" s="544">
        <f>IF(AND(ISNUMBER(F38),I38&gt;0),I38/(F38/60),"")</f>
        <v/>
      </c>
      <c r="L38" s="545" t="n">
        <v>1100</v>
      </c>
      <c r="M38" s="194">
        <f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546">
        <f>IF(AND(I38&gt;0,ISNUMBER(M38)),M38/I38,"")</f>
        <v/>
      </c>
      <c r="O38" s="547">
        <f>IF(AND(J38&gt;0,ISNUMBER(M38)),M38/J38,"")</f>
        <v/>
      </c>
      <c r="P38" s="199" t="n"/>
      <c r="Q38" s="200" t="inlineStr">
        <is>
          <t>★要入力（工程記録なし／実作業(分)・人数・個数を入れると⑳に自動反映）</t>
        </is>
      </c>
      <c r="R38" t="inlineStr">
        <is>
          <t>国産とり天キット</t>
        </is>
      </c>
      <c r="X38" s="334">
        <f>COUNTA(R38:W38)</f>
        <v/>
      </c>
      <c r="Y38" s="334">
        <f>IF(AND($X38&gt;0,ISNUMBER($M38)),$M38/$X38,"")</f>
        <v/>
      </c>
      <c r="Z38" s="334">
        <f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/>
      </c>
      <c r="AA38" s="334">
        <f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/>
      </c>
      <c r="AB38" s="334">
        <f>IF(ISNUMBER($M38),$M38,0)</f>
        <v/>
      </c>
      <c r="AC38" s="334">
        <f>IF(AND($X38&gt;0,ISNUMBER($J38)),$J38/$X38,"")</f>
        <v/>
      </c>
      <c r="AD38" s="413">
        <f>IF($R38="",0,IF($AA38&gt;0,$AB38*SUMIF(⑳商品別1食労務費!$C$5:$C$124,$R38,⑳商品別1食労務費!$F$5:$F$124)/$AA38,$AB38/$X38))</f>
        <v/>
      </c>
      <c r="AE38" s="413">
        <f>IF($S38="",0,IF($AA38&gt;0,$AB38*SUMIF(⑳商品別1食労務費!$C$5:$C$124,$S38,⑳商品別1食労務費!$F$5:$F$124)/$AA38,$AB38/$X38))</f>
        <v/>
      </c>
      <c r="AF38" s="413">
        <f>IF($T38="",0,IF($AA38&gt;0,$AB38*SUMIF(⑳商品別1食労務費!$C$5:$C$124,$T38,⑳商品別1食労務費!$F$5:$F$124)/$AA38,$AB38/$X38))</f>
        <v/>
      </c>
      <c r="AG38" s="413">
        <f>IF($U38="",0,IF($AA38&gt;0,$AB38*SUMIF(⑳商品別1食労務費!$C$5:$C$124,$U38,⑳商品別1食労務費!$F$5:$F$124)/$AA38,$AB38/$X38))</f>
        <v/>
      </c>
      <c r="AH38" s="413">
        <f>IF($V38="",0,IF($AA38&gt;0,$AB38*SUMIF(⑳商品別1食労務費!$C$5:$C$124,$V38,⑳商品別1食労務費!$F$5:$F$124)/$AA38,$AB38/$X38))</f>
        <v/>
      </c>
      <c r="AI38" s="413">
        <f>IF($W38="",0,IF($AA38&gt;0,$AB38*SUMIF(⑳商品別1食労務費!$C$5:$C$124,$W38,⑳商品別1食労務費!$F$5:$F$124)/$AA38,$AB38/$X38))</f>
        <v/>
      </c>
    </row>
    <row r="39" hidden="1" ht="16" customHeight="1" s="438">
      <c r="A39" s="197" t="n">
        <v>300</v>
      </c>
      <c r="B39" s="198" t="inlineStr">
        <is>
          <t>盛り込み⑤</t>
        </is>
      </c>
      <c r="C39" s="229" t="inlineStr">
        <is>
          <t>肉団子ＫＩＴ（４０個）３</t>
        </is>
      </c>
      <c r="D39" s="190" t="n"/>
      <c r="E39" s="190" t="n"/>
      <c r="F39" s="541">
        <f>IF(OR(D39="",E39=""),"",(E39-D39)*1440)</f>
        <v/>
      </c>
      <c r="G39" s="542" t="n"/>
      <c r="H39" s="542" t="n"/>
      <c r="I39" s="543" t="n"/>
      <c r="J39" s="192" t="n"/>
      <c r="K39" s="544">
        <f>IF(AND(ISNUMBER(F39),I39&gt;0),I39/(F39/60),"")</f>
        <v/>
      </c>
      <c r="L39" s="545" t="n">
        <v>1500</v>
      </c>
      <c r="M39" s="194">
        <f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546">
        <f>IF(AND(I39&gt;0,ISNUMBER(M39)),M39/I39,"")</f>
        <v/>
      </c>
      <c r="O39" s="547">
        <f>IF(AND(J39&gt;0,ISNUMBER(M39)),M39/J39,"")</f>
        <v/>
      </c>
      <c r="P39" s="199" t="n"/>
      <c r="Q39" s="200" t="inlineStr">
        <is>
          <t>★要入力（工程記録なし／実作業(分)・人数・個数を入れると⑳に自動反映）</t>
        </is>
      </c>
      <c r="R39" t="inlineStr">
        <is>
          <t>肉団子ＫＩＴ（４０個）３</t>
        </is>
      </c>
      <c r="X39" s="334">
        <f>COUNTA(R39:W39)</f>
        <v/>
      </c>
      <c r="Y39" s="334">
        <f>IF(AND($X39&gt;0,ISNUMBER($M39)),$M39/$X39,"")</f>
        <v/>
      </c>
      <c r="Z39" s="334">
        <f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/>
      </c>
      <c r="AA39" s="334">
        <f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/>
      </c>
      <c r="AB39" s="334">
        <f>IF(ISNUMBER($M39),$M39,0)</f>
        <v/>
      </c>
      <c r="AC39" s="334">
        <f>IF(AND($X39&gt;0,ISNUMBER($J39)),$J39/$X39,"")</f>
        <v/>
      </c>
      <c r="AD39" s="413">
        <f>IF($R39="",0,IF($AA39&gt;0,$AB39*SUMIF(⑳商品別1食労務費!$C$5:$C$124,$R39,⑳商品別1食労務費!$F$5:$F$124)/$AA39,$AB39/$X39))</f>
        <v/>
      </c>
      <c r="AE39" s="413">
        <f>IF($S39="",0,IF($AA39&gt;0,$AB39*SUMIF(⑳商品別1食労務費!$C$5:$C$124,$S39,⑳商品別1食労務費!$F$5:$F$124)/$AA39,$AB39/$X39))</f>
        <v/>
      </c>
      <c r="AF39" s="413">
        <f>IF($T39="",0,IF($AA39&gt;0,$AB39*SUMIF(⑳商品別1食労務費!$C$5:$C$124,$T39,⑳商品別1食労務費!$F$5:$F$124)/$AA39,$AB39/$X39))</f>
        <v/>
      </c>
      <c r="AG39" s="413">
        <f>IF($U39="",0,IF($AA39&gt;0,$AB39*SUMIF(⑳商品別1食労務費!$C$5:$C$124,$U39,⑳商品別1食労務費!$F$5:$F$124)/$AA39,$AB39/$X39))</f>
        <v/>
      </c>
      <c r="AH39" s="413">
        <f>IF($V39="",0,IF($AA39&gt;0,$AB39*SUMIF(⑳商品別1食労務費!$C$5:$C$124,$V39,⑳商品別1食労務費!$F$5:$F$124)/$AA39,$AB39/$X39))</f>
        <v/>
      </c>
      <c r="AI39" s="413">
        <f>IF($W39="",0,IF($AA39&gt;0,$AB39*SUMIF(⑳商品別1食労務費!$C$5:$C$124,$W39,⑳商品別1食労務費!$F$5:$F$124)/$AA39,$AB39/$X39))</f>
        <v/>
      </c>
    </row>
    <row r="40" hidden="1" ht="16" customHeight="1" s="438">
      <c r="A40" s="197" t="n">
        <v>301</v>
      </c>
      <c r="B40" s="198" t="inlineStr">
        <is>
          <t>盛り込み⑤</t>
        </is>
      </c>
      <c r="C40" s="229" t="inlineStr">
        <is>
          <t>もちっと芋の暴れん坊</t>
        </is>
      </c>
      <c r="D40" s="190" t="n"/>
      <c r="E40" s="190" t="n"/>
      <c r="F40" s="541">
        <f>IF(OR(D40="",E40=""),"",(E40-D40)*1440)</f>
        <v/>
      </c>
      <c r="G40" s="542" t="n"/>
      <c r="H40" s="542" t="n"/>
      <c r="I40" s="543" t="n"/>
      <c r="J40" s="192" t="n"/>
      <c r="K40" s="544">
        <f>IF(AND(ISNUMBER(F40),I40&gt;0),I40/(F40/60),"")</f>
        <v/>
      </c>
      <c r="L40" s="545" t="n">
        <v>1000</v>
      </c>
      <c r="M40" s="194">
        <f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546">
        <f>IF(AND(I40&gt;0,ISNUMBER(M40)),M40/I40,"")</f>
        <v/>
      </c>
      <c r="O40" s="547">
        <f>IF(AND(J40&gt;0,ISNUMBER(M40)),M40/J40,"")</f>
        <v/>
      </c>
      <c r="P40" s="199" t="n"/>
      <c r="Q40" s="200" t="inlineStr">
        <is>
          <t>★要入力（工程記録なし／実作業(分)・人数・個数を入れると⑳に自動反映）</t>
        </is>
      </c>
      <c r="R40" t="inlineStr">
        <is>
          <t>もちっと芋の暴れん坊</t>
        </is>
      </c>
      <c r="X40" s="334">
        <f>COUNTA(R40:W40)</f>
        <v/>
      </c>
      <c r="Y40" s="334">
        <f>IF(AND($X40&gt;0,ISNUMBER($M40)),$M40/$X40,"")</f>
        <v/>
      </c>
      <c r="Z40" s="334">
        <f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/>
      </c>
      <c r="AA40" s="334">
        <f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/>
      </c>
      <c r="AB40" s="334">
        <f>IF(ISNUMBER($M40),$M40,0)</f>
        <v/>
      </c>
      <c r="AC40" s="334">
        <f>IF(AND($X40&gt;0,ISNUMBER($J40)),$J40/$X40,"")</f>
        <v/>
      </c>
      <c r="AD40" s="413">
        <f>IF($R40="",0,IF($AA40&gt;0,$AB40*SUMIF(⑳商品別1食労務費!$C$5:$C$124,$R40,⑳商品別1食労務費!$F$5:$F$124)/$AA40,$AB40/$X40))</f>
        <v/>
      </c>
      <c r="AE40" s="413">
        <f>IF($S40="",0,IF($AA40&gt;0,$AB40*SUMIF(⑳商品別1食労務費!$C$5:$C$124,$S40,⑳商品別1食労務費!$F$5:$F$124)/$AA40,$AB40/$X40))</f>
        <v/>
      </c>
      <c r="AF40" s="413">
        <f>IF($T40="",0,IF($AA40&gt;0,$AB40*SUMIF(⑳商品別1食労務費!$C$5:$C$124,$T40,⑳商品別1食労務費!$F$5:$F$124)/$AA40,$AB40/$X40))</f>
        <v/>
      </c>
      <c r="AG40" s="413">
        <f>IF($U40="",0,IF($AA40&gt;0,$AB40*SUMIF(⑳商品別1食労務費!$C$5:$C$124,$U40,⑳商品別1食労務費!$F$5:$F$124)/$AA40,$AB40/$X40))</f>
        <v/>
      </c>
      <c r="AH40" s="413">
        <f>IF($V40="",0,IF($AA40&gt;0,$AB40*SUMIF(⑳商品別1食労務費!$C$5:$C$124,$V40,⑳商品別1食労務費!$F$5:$F$124)/$AA40,$AB40/$X40))</f>
        <v/>
      </c>
      <c r="AI40" s="413">
        <f>IF($W40="",0,IF($AA40&gt;0,$AB40*SUMIF(⑳商品別1食労務費!$C$5:$C$124,$W40,⑳商品別1食労務費!$F$5:$F$124)/$AA40,$AB40/$X40))</f>
        <v/>
      </c>
    </row>
    <row r="41" hidden="1" ht="16" customHeight="1" s="438">
      <c r="A41" s="197" t="n">
        <v>302</v>
      </c>
      <c r="B41" s="198" t="inlineStr">
        <is>
          <t>盛り込み⑤</t>
        </is>
      </c>
      <c r="C41" s="229" t="inlineStr">
        <is>
          <t>麹醤油からあげＫＩＴ５ｋ</t>
        </is>
      </c>
      <c r="D41" s="190" t="n"/>
      <c r="E41" s="190" t="n"/>
      <c r="F41" s="541">
        <f>IF(OR(D41="",E41=""),"",(E41-D41)*1440)</f>
        <v/>
      </c>
      <c r="G41" s="542" t="n"/>
      <c r="H41" s="542" t="n"/>
      <c r="I41" s="543" t="n"/>
      <c r="J41" s="192" t="n"/>
      <c r="K41" s="544">
        <f>IF(AND(ISNUMBER(F41),I41&gt;0),I41/(F41/60),"")</f>
        <v/>
      </c>
      <c r="L41" s="545" t="n">
        <v>1000</v>
      </c>
      <c r="M41" s="194">
        <f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546">
        <f>IF(AND(I41&gt;0,ISNUMBER(M41)),M41/I41,"")</f>
        <v/>
      </c>
      <c r="O41" s="547">
        <f>IF(AND(J41&gt;0,ISNUMBER(M41)),M41/J41,"")</f>
        <v/>
      </c>
      <c r="P41" s="199" t="n"/>
      <c r="Q41" s="200" t="inlineStr">
        <is>
          <t>★要入力（工程記録なし／実作業(分)・人数・個数を入れると⑳に自動反映）</t>
        </is>
      </c>
      <c r="R41" t="inlineStr">
        <is>
          <t>麹醤油からあげＫＩＴ５ｋ</t>
        </is>
      </c>
      <c r="X41" s="334">
        <f>COUNTA(R41:W41)</f>
        <v/>
      </c>
      <c r="Y41" s="334">
        <f>IF(AND($X41&gt;0,ISNUMBER($M41)),$M41/$X41,"")</f>
        <v/>
      </c>
      <c r="Z41" s="334">
        <f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/>
      </c>
      <c r="AA41" s="334">
        <f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/>
      </c>
      <c r="AB41" s="334">
        <f>IF(ISNUMBER($M41),$M41,0)</f>
        <v/>
      </c>
      <c r="AC41" s="334">
        <f>IF(AND($X41&gt;0,ISNUMBER($J41)),$J41/$X41,"")</f>
        <v/>
      </c>
      <c r="AD41" s="413">
        <f>IF($R41="",0,IF($AA41&gt;0,$AB41*SUMIF(⑳商品別1食労務費!$C$5:$C$124,$R41,⑳商品別1食労務費!$F$5:$F$124)/$AA41,$AB41/$X41))</f>
        <v/>
      </c>
      <c r="AE41" s="413">
        <f>IF($S41="",0,IF($AA41&gt;0,$AB41*SUMIF(⑳商品別1食労務費!$C$5:$C$124,$S41,⑳商品別1食労務費!$F$5:$F$124)/$AA41,$AB41/$X41))</f>
        <v/>
      </c>
      <c r="AF41" s="413">
        <f>IF($T41="",0,IF($AA41&gt;0,$AB41*SUMIF(⑳商品別1食労務費!$C$5:$C$124,$T41,⑳商品別1食労務費!$F$5:$F$124)/$AA41,$AB41/$X41))</f>
        <v/>
      </c>
      <c r="AG41" s="413">
        <f>IF($U41="",0,IF($AA41&gt;0,$AB41*SUMIF(⑳商品別1食労務費!$C$5:$C$124,$U41,⑳商品別1食労務費!$F$5:$F$124)/$AA41,$AB41/$X41))</f>
        <v/>
      </c>
      <c r="AH41" s="413">
        <f>IF($V41="",0,IF($AA41&gt;0,$AB41*SUMIF(⑳商品別1食労務費!$C$5:$C$124,$V41,⑳商品別1食労務費!$F$5:$F$124)/$AA41,$AB41/$X41))</f>
        <v/>
      </c>
      <c r="AI41" s="413">
        <f>IF($W41="",0,IF($AA41&gt;0,$AB41*SUMIF(⑳商品別1食労務費!$C$5:$C$124,$W41,⑳商品別1食労務費!$F$5:$F$124)/$AA41,$AB41/$X41))</f>
        <v/>
      </c>
    </row>
    <row r="42" hidden="1" ht="16" customHeight="1" s="438">
      <c r="A42" s="197" t="n">
        <v>303</v>
      </c>
      <c r="B42" s="198" t="inlineStr">
        <is>
          <t>盛り込み①</t>
        </is>
      </c>
      <c r="C42" s="229" t="inlineStr">
        <is>
          <t>鶏むね油淋鶏ＫＩＴ</t>
        </is>
      </c>
      <c r="D42" s="190" t="n"/>
      <c r="E42" s="190" t="n"/>
      <c r="F42" s="541">
        <f>IF(OR(D42="",E42=""),"",(E42-D42)*1440)</f>
        <v/>
      </c>
      <c r="G42" s="542" t="n"/>
      <c r="H42" s="542" t="n"/>
      <c r="I42" s="543" t="n"/>
      <c r="J42" s="192" t="n"/>
      <c r="K42" s="544">
        <f>IF(AND(ISNUMBER(F42),I42&gt;0),I42/(F42/60),"")</f>
        <v/>
      </c>
      <c r="L42" s="545" t="n">
        <v>1800</v>
      </c>
      <c r="M42" s="194">
        <f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546">
        <f>IF(AND(I42&gt;0,ISNUMBER(M42)),M42/I42,"")</f>
        <v/>
      </c>
      <c r="O42" s="547">
        <f>IF(AND(J42&gt;0,ISNUMBER(M42)),M42/J42,"")</f>
        <v/>
      </c>
      <c r="P42" s="199" t="n"/>
      <c r="Q42" s="200" t="inlineStr">
        <is>
          <t>★要入力（工程記録なし／実作業(分)・人数・個数を入れると⑳に自動反映）</t>
        </is>
      </c>
      <c r="R42" t="inlineStr">
        <is>
          <t>鶏むね油淋鶏ＫＩＴ</t>
        </is>
      </c>
      <c r="X42" s="334">
        <f>COUNTA(R42:W42)</f>
        <v/>
      </c>
      <c r="Y42" s="334">
        <f>IF(AND($X42&gt;0,ISNUMBER($M42)),$M42/$X42,"")</f>
        <v/>
      </c>
      <c r="Z42" s="334">
        <f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/>
      </c>
      <c r="AA42" s="334">
        <f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/>
      </c>
      <c r="AB42" s="334">
        <f>IF(ISNUMBER($M42),$M42,0)</f>
        <v/>
      </c>
      <c r="AC42" s="334">
        <f>IF(AND($X42&gt;0,ISNUMBER($J42)),$J42/$X42,"")</f>
        <v/>
      </c>
      <c r="AD42" s="413">
        <f>IF($R42="",0,IF($AA42&gt;0,$AB42*SUMIF(⑳商品別1食労務費!$C$5:$C$124,$R42,⑳商品別1食労務費!$F$5:$F$124)/$AA42,$AB42/$X42))</f>
        <v/>
      </c>
      <c r="AE42" s="413">
        <f>IF($S42="",0,IF($AA42&gt;0,$AB42*SUMIF(⑳商品別1食労務費!$C$5:$C$124,$S42,⑳商品別1食労務費!$F$5:$F$124)/$AA42,$AB42/$X42))</f>
        <v/>
      </c>
      <c r="AF42" s="413">
        <f>IF($T42="",0,IF($AA42&gt;0,$AB42*SUMIF(⑳商品別1食労務費!$C$5:$C$124,$T42,⑳商品別1食労務費!$F$5:$F$124)/$AA42,$AB42/$X42))</f>
        <v/>
      </c>
      <c r="AG42" s="413">
        <f>IF($U42="",0,IF($AA42&gt;0,$AB42*SUMIF(⑳商品別1食労務費!$C$5:$C$124,$U42,⑳商品別1食労務費!$F$5:$F$124)/$AA42,$AB42/$X42))</f>
        <v/>
      </c>
      <c r="AH42" s="413">
        <f>IF($V42="",0,IF($AA42&gt;0,$AB42*SUMIF(⑳商品別1食労務費!$C$5:$C$124,$V42,⑳商品別1食労務費!$F$5:$F$124)/$AA42,$AB42/$X42))</f>
        <v/>
      </c>
      <c r="AI42" s="413">
        <f>IF($W42="",0,IF($AA42&gt;0,$AB42*SUMIF(⑳商品別1食労務費!$C$5:$C$124,$W42,⑳商品別1食労務費!$F$5:$F$124)/$AA42,$AB42/$X42))</f>
        <v/>
      </c>
    </row>
    <row r="43" hidden="1" ht="16" customHeight="1" s="438">
      <c r="A43" s="197" t="n">
        <v>304</v>
      </c>
      <c r="B43" s="198" t="inlineStr">
        <is>
          <t>盛り込み①</t>
        </is>
      </c>
      <c r="C43" s="229" t="inlineStr">
        <is>
          <t>ミックスピザ４</t>
        </is>
      </c>
      <c r="D43" s="190" t="n"/>
      <c r="E43" s="190" t="n"/>
      <c r="F43" s="541">
        <f>IF(OR(D43="",E43=""),"",(E43-D43)*1440)</f>
        <v/>
      </c>
      <c r="G43" s="542" t="n"/>
      <c r="H43" s="542" t="n"/>
      <c r="I43" s="543" t="n"/>
      <c r="J43" s="192" t="n"/>
      <c r="K43" s="544">
        <f>IF(AND(ISNUMBER(F43),I43&gt;0),I43/(F43/60),"")</f>
        <v/>
      </c>
      <c r="L43" s="545" t="n">
        <v>1800</v>
      </c>
      <c r="M43" s="194">
        <f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546">
        <f>IF(AND(I43&gt;0,ISNUMBER(M43)),M43/I43,"")</f>
        <v/>
      </c>
      <c r="O43" s="547">
        <f>IF(AND(J43&gt;0,ISNUMBER(M43)),M43/J43,"")</f>
        <v/>
      </c>
      <c r="P43" s="199" t="n"/>
      <c r="Q43" s="200" t="inlineStr">
        <is>
          <t>★要入力（工程記録なし／実作業(分)・人数・個数を入れると⑳に自動反映）</t>
        </is>
      </c>
      <c r="R43" t="inlineStr">
        <is>
          <t>ミックスピザ４</t>
        </is>
      </c>
      <c r="X43" s="334">
        <f>COUNTA(R43:W43)</f>
        <v/>
      </c>
      <c r="Y43" s="334">
        <f>IF(AND($X43&gt;0,ISNUMBER($M43)),$M43/$X43,"")</f>
        <v/>
      </c>
      <c r="Z43" s="334">
        <f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/>
      </c>
      <c r="AA43" s="334">
        <f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/>
      </c>
      <c r="AB43" s="334">
        <f>IF(ISNUMBER($M43),$M43,0)</f>
        <v/>
      </c>
      <c r="AC43" s="334">
        <f>IF(AND($X43&gt;0,ISNUMBER($J43)),$J43/$X43,"")</f>
        <v/>
      </c>
      <c r="AD43" s="413">
        <f>IF($R43="",0,IF($AA43&gt;0,$AB43*SUMIF(⑳商品別1食労務費!$C$5:$C$124,$R43,⑳商品別1食労務費!$F$5:$F$124)/$AA43,$AB43/$X43))</f>
        <v/>
      </c>
      <c r="AE43" s="413">
        <f>IF($S43="",0,IF($AA43&gt;0,$AB43*SUMIF(⑳商品別1食労務費!$C$5:$C$124,$S43,⑳商品別1食労務費!$F$5:$F$124)/$AA43,$AB43/$X43))</f>
        <v/>
      </c>
      <c r="AF43" s="413">
        <f>IF($T43="",0,IF($AA43&gt;0,$AB43*SUMIF(⑳商品別1食労務費!$C$5:$C$124,$T43,⑳商品別1食労務費!$F$5:$F$124)/$AA43,$AB43/$X43))</f>
        <v/>
      </c>
      <c r="AG43" s="413">
        <f>IF($U43="",0,IF($AA43&gt;0,$AB43*SUMIF(⑳商品別1食労務費!$C$5:$C$124,$U43,⑳商品別1食労務費!$F$5:$F$124)/$AA43,$AB43/$X43))</f>
        <v/>
      </c>
      <c r="AH43" s="413">
        <f>IF($V43="",0,IF($AA43&gt;0,$AB43*SUMIF(⑳商品別1食労務費!$C$5:$C$124,$V43,⑳商品別1食労務費!$F$5:$F$124)/$AA43,$AB43/$X43))</f>
        <v/>
      </c>
      <c r="AI43" s="413">
        <f>IF($W43="",0,IF($AA43&gt;0,$AB43*SUMIF(⑳商品別1食労務費!$C$5:$C$124,$W43,⑳商品別1食労務費!$F$5:$F$124)/$AA43,$AB43/$X43))</f>
        <v/>
      </c>
    </row>
    <row r="44" hidden="1" ht="16" customHeight="1" s="438">
      <c r="A44" s="197" t="n">
        <v>305</v>
      </c>
      <c r="B44" s="198" t="inlineStr">
        <is>
          <t>盛り込み①</t>
        </is>
      </c>
      <c r="C44" s="229" t="inlineStr">
        <is>
          <t>チキン南蛮ＫＩＴ</t>
        </is>
      </c>
      <c r="D44" s="190" t="n"/>
      <c r="E44" s="190" t="n"/>
      <c r="F44" s="541">
        <f>IF(OR(D44="",E44=""),"",(E44-D44)*1440)</f>
        <v/>
      </c>
      <c r="G44" s="542" t="n"/>
      <c r="H44" s="542" t="n"/>
      <c r="I44" s="543" t="n"/>
      <c r="J44" s="192" t="n"/>
      <c r="K44" s="544">
        <f>IF(AND(ISNUMBER(F44),I44&gt;0),I44/(F44/60),"")</f>
        <v/>
      </c>
      <c r="L44" s="545" t="n">
        <v>1600</v>
      </c>
      <c r="M44" s="194">
        <f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546">
        <f>IF(AND(I44&gt;0,ISNUMBER(M44)),M44/I44,"")</f>
        <v/>
      </c>
      <c r="O44" s="547">
        <f>IF(AND(J44&gt;0,ISNUMBER(M44)),M44/J44,"")</f>
        <v/>
      </c>
      <c r="P44" s="199" t="n"/>
      <c r="Q44" s="200" t="inlineStr">
        <is>
          <t>★要入力（工程記録なし／実作業(分)・人数・個数を入れると⑳に自動反映）</t>
        </is>
      </c>
      <c r="R44" t="inlineStr">
        <is>
          <t>チキン南蛮ＫＩＴ</t>
        </is>
      </c>
      <c r="X44" s="334">
        <f>COUNTA(R44:W44)</f>
        <v/>
      </c>
      <c r="Y44" s="334">
        <f>IF(AND($X44&gt;0,ISNUMBER($M44)),$M44/$X44,"")</f>
        <v/>
      </c>
      <c r="Z44" s="334">
        <f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/>
      </c>
      <c r="AA44" s="334">
        <f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/>
      </c>
      <c r="AB44" s="334">
        <f>IF(ISNUMBER($M44),$M44,0)</f>
        <v/>
      </c>
      <c r="AC44" s="334">
        <f>IF(AND($X44&gt;0,ISNUMBER($J44)),$J44/$X44,"")</f>
        <v/>
      </c>
      <c r="AD44" s="413">
        <f>IF($R44="",0,IF($AA44&gt;0,$AB44*SUMIF(⑳商品別1食労務費!$C$5:$C$124,$R44,⑳商品別1食労務費!$F$5:$F$124)/$AA44,$AB44/$X44))</f>
        <v/>
      </c>
      <c r="AE44" s="413">
        <f>IF($S44="",0,IF($AA44&gt;0,$AB44*SUMIF(⑳商品別1食労務費!$C$5:$C$124,$S44,⑳商品別1食労務費!$F$5:$F$124)/$AA44,$AB44/$X44))</f>
        <v/>
      </c>
      <c r="AF44" s="413">
        <f>IF($T44="",0,IF($AA44&gt;0,$AB44*SUMIF(⑳商品別1食労務費!$C$5:$C$124,$T44,⑳商品別1食労務費!$F$5:$F$124)/$AA44,$AB44/$X44))</f>
        <v/>
      </c>
      <c r="AG44" s="413">
        <f>IF($U44="",0,IF($AA44&gt;0,$AB44*SUMIF(⑳商品別1食労務費!$C$5:$C$124,$U44,⑳商品別1食労務費!$F$5:$F$124)/$AA44,$AB44/$X44))</f>
        <v/>
      </c>
      <c r="AH44" s="413">
        <f>IF($V44="",0,IF($AA44&gt;0,$AB44*SUMIF(⑳商品別1食労務費!$C$5:$C$124,$V44,⑳商品別1食労務費!$F$5:$F$124)/$AA44,$AB44/$X44))</f>
        <v/>
      </c>
      <c r="AI44" s="413">
        <f>IF($W44="",0,IF($AA44&gt;0,$AB44*SUMIF(⑳商品別1食労務費!$C$5:$C$124,$W44,⑳商品別1食労務費!$F$5:$F$124)/$AA44,$AB44/$X44))</f>
        <v/>
      </c>
    </row>
    <row r="45" hidden="1" ht="16" customHeight="1" s="438">
      <c r="A45" s="197" t="n">
        <v>306</v>
      </c>
      <c r="B45" s="198" t="inlineStr">
        <is>
          <t>盛り込み①</t>
        </is>
      </c>
      <c r="C45" s="229" t="inlineStr">
        <is>
          <t>自社製白身フライ（バサ）４</t>
        </is>
      </c>
      <c r="D45" s="190" t="n"/>
      <c r="E45" s="190" t="n"/>
      <c r="F45" s="541">
        <f>IF(OR(D45="",E45=""),"",(E45-D45)*1440)</f>
        <v/>
      </c>
      <c r="G45" s="542" t="n"/>
      <c r="H45" s="542" t="n"/>
      <c r="I45" s="543" t="n"/>
      <c r="J45" s="192" t="n"/>
      <c r="K45" s="544">
        <f>IF(AND(ISNUMBER(F45),I45&gt;0),I45/(F45/60),"")</f>
        <v/>
      </c>
      <c r="L45" s="545" t="n">
        <v>1200</v>
      </c>
      <c r="M45" s="194">
        <f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546">
        <f>IF(AND(I45&gt;0,ISNUMBER(M45)),M45/I45,"")</f>
        <v/>
      </c>
      <c r="O45" s="547">
        <f>IF(AND(J45&gt;0,ISNUMBER(M45)),M45/J45,"")</f>
        <v/>
      </c>
      <c r="P45" s="199" t="n"/>
      <c r="Q45" s="200" t="inlineStr">
        <is>
          <t>★要入力（工程記録なし／実作業(分)・人数・個数を入れると⑳に自動反映）</t>
        </is>
      </c>
      <c r="R45" t="inlineStr">
        <is>
          <t>自社製白身フライ（バサ）４</t>
        </is>
      </c>
      <c r="X45" s="334">
        <f>COUNTA(R45:W45)</f>
        <v/>
      </c>
      <c r="Y45" s="334">
        <f>IF(AND($X45&gt;0,ISNUMBER($M45)),$M45/$X45,"")</f>
        <v/>
      </c>
      <c r="Z45" s="334">
        <f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 s="334">
        <f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/>
      </c>
      <c r="AB45" s="334">
        <f>IF(ISNUMBER($M45),$M45,0)</f>
        <v/>
      </c>
      <c r="AC45" s="334">
        <f>IF(AND($X45&gt;0,ISNUMBER($J45)),$J45/$X45,"")</f>
        <v/>
      </c>
      <c r="AD45" s="413">
        <f>IF($R45="",0,IF($AA45&gt;0,$AB45*SUMIF(⑳商品別1食労務費!$C$5:$C$124,$R45,⑳商品別1食労務費!$F$5:$F$124)/$AA45,$AB45/$X45))</f>
        <v/>
      </c>
      <c r="AE45" s="413">
        <f>IF($S45="",0,IF($AA45&gt;0,$AB45*SUMIF(⑳商品別1食労務費!$C$5:$C$124,$S45,⑳商品別1食労務費!$F$5:$F$124)/$AA45,$AB45/$X45))</f>
        <v/>
      </c>
      <c r="AF45" s="413">
        <f>IF($T45="",0,IF($AA45&gt;0,$AB45*SUMIF(⑳商品別1食労務費!$C$5:$C$124,$T45,⑳商品別1食労務費!$F$5:$F$124)/$AA45,$AB45/$X45))</f>
        <v/>
      </c>
      <c r="AG45" s="413">
        <f>IF($U45="",0,IF($AA45&gt;0,$AB45*SUMIF(⑳商品別1食労務費!$C$5:$C$124,$U45,⑳商品別1食労務費!$F$5:$F$124)/$AA45,$AB45/$X45))</f>
        <v/>
      </c>
      <c r="AH45" s="413">
        <f>IF($V45="",0,IF($AA45&gt;0,$AB45*SUMIF(⑳商品別1食労務費!$C$5:$C$124,$V45,⑳商品別1食労務費!$F$5:$F$124)/$AA45,$AB45/$X45))</f>
        <v/>
      </c>
      <c r="AI45" s="413">
        <f>IF($W45="",0,IF($AA45&gt;0,$AB45*SUMIF(⑳商品別1食労務費!$C$5:$C$124,$W45,⑳商品別1食労務費!$F$5:$F$124)/$AA45,$AB45/$X45))</f>
        <v/>
      </c>
    </row>
    <row r="46" hidden="1" ht="16" customHeight="1" s="438">
      <c r="A46" s="197" t="n">
        <v>307</v>
      </c>
      <c r="B46" s="198" t="inlineStr">
        <is>
          <t>盛り込み①</t>
        </is>
      </c>
      <c r="C46" s="229" t="inlineStr">
        <is>
          <t>【中華】ムネ唐揚げＫＩＴ</t>
        </is>
      </c>
      <c r="D46" s="190" t="n"/>
      <c r="E46" s="190" t="n"/>
      <c r="F46" s="541">
        <f>IF(OR(D46="",E46=""),"",(E46-D46)*1440)</f>
        <v/>
      </c>
      <c r="G46" s="542" t="n"/>
      <c r="H46" s="542" t="n"/>
      <c r="I46" s="543" t="n"/>
      <c r="J46" s="192" t="n"/>
      <c r="K46" s="544">
        <f>IF(AND(ISNUMBER(F46),I46&gt;0),I46/(F46/60),"")</f>
        <v/>
      </c>
      <c r="L46" s="545" t="n">
        <v>1800</v>
      </c>
      <c r="M46" s="194">
        <f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546">
        <f>IF(AND(I46&gt;0,ISNUMBER(M46)),M46/I46,"")</f>
        <v/>
      </c>
      <c r="O46" s="547">
        <f>IF(AND(J46&gt;0,ISNUMBER(M46)),M46/J46,"")</f>
        <v/>
      </c>
      <c r="P46" s="199" t="n"/>
      <c r="Q46" s="200" t="inlineStr">
        <is>
          <t>★要入力（工程記録なし／実作業(分)・人数・個数を入れると⑳に自動反映）</t>
        </is>
      </c>
      <c r="R46" t="inlineStr">
        <is>
          <t>【中華】ムネ唐揚げＫＩＴ</t>
        </is>
      </c>
      <c r="X46" s="334">
        <f>COUNTA(R46:W46)</f>
        <v/>
      </c>
      <c r="Y46" s="334">
        <f>IF(AND($X46&gt;0,ISNUMBER($M46)),$M46/$X46,"")</f>
        <v/>
      </c>
      <c r="Z46" s="334">
        <f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 s="334">
        <f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/>
      </c>
      <c r="AB46" s="334">
        <f>IF(ISNUMBER($M46),$M46,0)</f>
        <v/>
      </c>
      <c r="AC46" s="334">
        <f>IF(AND($X46&gt;0,ISNUMBER($J46)),$J46/$X46,"")</f>
        <v/>
      </c>
      <c r="AD46" s="413">
        <f>IF($R46="",0,IF($AA46&gt;0,$AB46*SUMIF(⑳商品別1食労務費!$C$5:$C$124,$R46,⑳商品別1食労務費!$F$5:$F$124)/$AA46,$AB46/$X46))</f>
        <v/>
      </c>
      <c r="AE46" s="413">
        <f>IF($S46="",0,IF($AA46&gt;0,$AB46*SUMIF(⑳商品別1食労務費!$C$5:$C$124,$S46,⑳商品別1食労務費!$F$5:$F$124)/$AA46,$AB46/$X46))</f>
        <v/>
      </c>
      <c r="AF46" s="413">
        <f>IF($T46="",0,IF($AA46&gt;0,$AB46*SUMIF(⑳商品別1食労務費!$C$5:$C$124,$T46,⑳商品別1食労務費!$F$5:$F$124)/$AA46,$AB46/$X46))</f>
        <v/>
      </c>
      <c r="AG46" s="413">
        <f>IF($U46="",0,IF($AA46&gt;0,$AB46*SUMIF(⑳商品別1食労務費!$C$5:$C$124,$U46,⑳商品別1食労務費!$F$5:$F$124)/$AA46,$AB46/$X46))</f>
        <v/>
      </c>
      <c r="AH46" s="413">
        <f>IF($V46="",0,IF($AA46&gt;0,$AB46*SUMIF(⑳商品別1食労務費!$C$5:$C$124,$V46,⑳商品別1食労務費!$F$5:$F$124)/$AA46,$AB46/$X46))</f>
        <v/>
      </c>
      <c r="AI46" s="413">
        <f>IF($W46="",0,IF($AA46&gt;0,$AB46*SUMIF(⑳商品別1食労務費!$C$5:$C$124,$W46,⑳商品別1食労務費!$F$5:$F$124)/$AA46,$AB46/$X46))</f>
        <v/>
      </c>
    </row>
    <row r="47" hidden="1" ht="16" customHeight="1" s="438">
      <c r="A47" s="197" t="n">
        <v>308</v>
      </c>
      <c r="B47" s="198" t="inlineStr">
        <is>
          <t>盛り込み②</t>
        </is>
      </c>
      <c r="C47" s="229" t="inlineStr">
        <is>
          <t>照り焼きチキンピザＫＩＴ４</t>
        </is>
      </c>
      <c r="D47" s="190" t="n"/>
      <c r="E47" s="190" t="n"/>
      <c r="F47" s="541">
        <f>IF(OR(D47="",E47=""),"",(E47-D47)*1440)</f>
        <v/>
      </c>
      <c r="G47" s="542" t="n"/>
      <c r="H47" s="542" t="n"/>
      <c r="I47" s="543" t="n"/>
      <c r="J47" s="192" t="n"/>
      <c r="K47" s="544">
        <f>IF(AND(ISNUMBER(F47),I47&gt;0),I47/(F47/60),"")</f>
        <v/>
      </c>
      <c r="L47" s="545" t="n">
        <v>240</v>
      </c>
      <c r="M47" s="194">
        <f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546">
        <f>IF(AND(I47&gt;0,ISNUMBER(M47)),M47/I47,"")</f>
        <v/>
      </c>
      <c r="O47" s="547">
        <f>IF(AND(J47&gt;0,ISNUMBER(M47)),M47/J47,"")</f>
        <v/>
      </c>
      <c r="P47" s="199" t="n"/>
      <c r="Q47" s="200" t="inlineStr">
        <is>
          <t>★要入力（工程記録なし／実作業(分)・人数・個数を入れると⑳に自動反映）</t>
        </is>
      </c>
      <c r="R47" t="inlineStr">
        <is>
          <t>照り焼きチキンピザＫＩＴ４</t>
        </is>
      </c>
      <c r="X47" s="334">
        <f>COUNTA(R47:W47)</f>
        <v/>
      </c>
      <c r="Y47" s="334">
        <f>IF(AND($X47&gt;0,ISNUMBER($M47)),$M47/$X47,"")</f>
        <v/>
      </c>
      <c r="Z47" s="334">
        <f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 s="334">
        <f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/>
      </c>
      <c r="AB47" s="334">
        <f>IF(ISNUMBER($M47),$M47,0)</f>
        <v/>
      </c>
      <c r="AC47" s="334">
        <f>IF(AND($X47&gt;0,ISNUMBER($J47)),$J47/$X47,"")</f>
        <v/>
      </c>
      <c r="AD47" s="413">
        <f>IF($R47="",0,IF($AA47&gt;0,$AB47*SUMIF(⑳商品別1食労務費!$C$5:$C$124,$R47,⑳商品別1食労務費!$F$5:$F$124)/$AA47,$AB47/$X47))</f>
        <v/>
      </c>
      <c r="AE47" s="413">
        <f>IF($S47="",0,IF($AA47&gt;0,$AB47*SUMIF(⑳商品別1食労務費!$C$5:$C$124,$S47,⑳商品別1食労務費!$F$5:$F$124)/$AA47,$AB47/$X47))</f>
        <v/>
      </c>
      <c r="AF47" s="413">
        <f>IF($T47="",0,IF($AA47&gt;0,$AB47*SUMIF(⑳商品別1食労務費!$C$5:$C$124,$T47,⑳商品別1食労務費!$F$5:$F$124)/$AA47,$AB47/$X47))</f>
        <v/>
      </c>
      <c r="AG47" s="413">
        <f>IF($U47="",0,IF($AA47&gt;0,$AB47*SUMIF(⑳商品別1食労務費!$C$5:$C$124,$U47,⑳商品別1食労務費!$F$5:$F$124)/$AA47,$AB47/$X47))</f>
        <v/>
      </c>
      <c r="AH47" s="413">
        <f>IF($V47="",0,IF($AA47&gt;0,$AB47*SUMIF(⑳商品別1食労務費!$C$5:$C$124,$V47,⑳商品別1食労務費!$F$5:$F$124)/$AA47,$AB47/$X47))</f>
        <v/>
      </c>
      <c r="AI47" s="413">
        <f>IF($W47="",0,IF($AA47&gt;0,$AB47*SUMIF(⑳商品別1食労務費!$C$5:$C$124,$W47,⑳商品別1食労務費!$F$5:$F$124)/$AA47,$AB47/$X47))</f>
        <v/>
      </c>
    </row>
    <row r="48" hidden="1" ht="16" customHeight="1" s="438">
      <c r="A48" s="197" t="n">
        <v>309</v>
      </c>
      <c r="B48" s="198" t="inlineStr">
        <is>
          <t>盛り込み②</t>
        </is>
      </c>
      <c r="C48" s="229" t="inlineStr">
        <is>
          <t>【店舗用】ブレンド米４Ｋ</t>
        </is>
      </c>
      <c r="D48" s="190" t="n"/>
      <c r="E48" s="190" t="n"/>
      <c r="F48" s="541">
        <f>IF(OR(D48="",E48=""),"",(E48-D48)*1440)</f>
        <v/>
      </c>
      <c r="G48" s="542" t="n"/>
      <c r="H48" s="542" t="n"/>
      <c r="I48" s="543" t="n"/>
      <c r="J48" s="192" t="n"/>
      <c r="K48" s="544">
        <f>IF(AND(ISNUMBER(F48),I48&gt;0),I48/(F48/60),"")</f>
        <v/>
      </c>
      <c r="L48" s="545" t="n">
        <v>800</v>
      </c>
      <c r="M48" s="194">
        <f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546">
        <f>IF(AND(I48&gt;0,ISNUMBER(M48)),M48/I48,"")</f>
        <v/>
      </c>
      <c r="O48" s="547">
        <f>IF(AND(J48&gt;0,ISNUMBER(M48)),M48/J48,"")</f>
        <v/>
      </c>
      <c r="P48" s="199" t="n"/>
      <c r="Q48" s="200" t="inlineStr">
        <is>
          <t>★要入力（工程記録なし／実作業(分)・人数・個数を入れると⑳に自動反映）</t>
        </is>
      </c>
      <c r="R48" t="inlineStr">
        <is>
          <t>【店舗用】ブレンド米４Ｋ</t>
        </is>
      </c>
      <c r="X48" s="334">
        <f>COUNTA(R48:W48)</f>
        <v/>
      </c>
      <c r="Y48" s="334">
        <f>IF(AND($X48&gt;0,ISNUMBER($M48)),$M48/$X48,"")</f>
        <v/>
      </c>
      <c r="Z48" s="334">
        <f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/>
      </c>
      <c r="AA48" s="334">
        <f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/>
      </c>
      <c r="AB48" s="334">
        <f>IF(ISNUMBER($M48),$M48,0)</f>
        <v/>
      </c>
      <c r="AC48" s="334">
        <f>IF(AND($X48&gt;0,ISNUMBER($J48)),$J48/$X48,"")</f>
        <v/>
      </c>
      <c r="AD48" s="413">
        <f>IF($R48="",0,IF($AA48&gt;0,$AB48*SUMIF(⑳商品別1食労務費!$C$5:$C$124,$R48,⑳商品別1食労務費!$F$5:$F$124)/$AA48,$AB48/$X48))</f>
        <v/>
      </c>
      <c r="AE48" s="413">
        <f>IF($S48="",0,IF($AA48&gt;0,$AB48*SUMIF(⑳商品別1食労務費!$C$5:$C$124,$S48,⑳商品別1食労務費!$F$5:$F$124)/$AA48,$AB48/$X48))</f>
        <v/>
      </c>
      <c r="AF48" s="413">
        <f>IF($T48="",0,IF($AA48&gt;0,$AB48*SUMIF(⑳商品別1食労務費!$C$5:$C$124,$T48,⑳商品別1食労務費!$F$5:$F$124)/$AA48,$AB48/$X48))</f>
        <v/>
      </c>
      <c r="AG48" s="413">
        <f>IF($U48="",0,IF($AA48&gt;0,$AB48*SUMIF(⑳商品別1食労務費!$C$5:$C$124,$U48,⑳商品別1食労務費!$F$5:$F$124)/$AA48,$AB48/$X48))</f>
        <v/>
      </c>
      <c r="AH48" s="413">
        <f>IF($V48="",0,IF($AA48&gt;0,$AB48*SUMIF(⑳商品別1食労務費!$C$5:$C$124,$V48,⑳商品別1食労務費!$F$5:$F$124)/$AA48,$AB48/$X48))</f>
        <v/>
      </c>
      <c r="AI48" s="413">
        <f>IF($W48="",0,IF($AA48&gt;0,$AB48*SUMIF(⑳商品別1食労務費!$C$5:$C$124,$W48,⑳商品別1食労務費!$F$5:$F$124)/$AA48,$AB48/$X48))</f>
        <v/>
      </c>
    </row>
    <row r="49" hidden="1" ht="16" customHeight="1" s="438">
      <c r="A49" s="197" t="n">
        <v>310</v>
      </c>
      <c r="B49" s="198" t="inlineStr">
        <is>
          <t>盛り込み②</t>
        </is>
      </c>
      <c r="C49" s="229" t="inlineStr">
        <is>
          <t>砂ずり唐揚げＫＩＴ</t>
        </is>
      </c>
      <c r="D49" s="190" t="n"/>
      <c r="E49" s="190" t="n"/>
      <c r="F49" s="541">
        <f>IF(OR(D49="",E49=""),"",(E49-D49)*1440)</f>
        <v/>
      </c>
      <c r="G49" s="542" t="n"/>
      <c r="H49" s="542" t="n"/>
      <c r="I49" s="543" t="n"/>
      <c r="J49" s="192" t="n"/>
      <c r="K49" s="544">
        <f>IF(AND(ISNUMBER(F49),I49&gt;0),I49/(F49/60),"")</f>
        <v/>
      </c>
      <c r="L49" s="545" t="n">
        <v>250</v>
      </c>
      <c r="M49" s="194">
        <f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546">
        <f>IF(AND(I49&gt;0,ISNUMBER(M49)),M49/I49,"")</f>
        <v/>
      </c>
      <c r="O49" s="547">
        <f>IF(AND(J49&gt;0,ISNUMBER(M49)),M49/J49,"")</f>
        <v/>
      </c>
      <c r="P49" s="199" t="n"/>
      <c r="Q49" s="200" t="inlineStr">
        <is>
          <t>★要入力（工程記録なし／実作業(分)・人数・個数を入れると⑳に自動反映）</t>
        </is>
      </c>
      <c r="R49" t="inlineStr">
        <is>
          <t>砂ずり唐揚げＫＩＴ</t>
        </is>
      </c>
      <c r="X49" s="334">
        <f>COUNTA(R49:W49)</f>
        <v/>
      </c>
      <c r="Y49" s="334">
        <f>IF(AND($X49&gt;0,ISNUMBER($M49)),$M49/$X49,"")</f>
        <v/>
      </c>
      <c r="Z49" s="334">
        <f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/>
      </c>
      <c r="AA49" s="334">
        <f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/>
      </c>
      <c r="AB49" s="334">
        <f>IF(ISNUMBER($M49),$M49,0)</f>
        <v/>
      </c>
      <c r="AC49" s="334">
        <f>IF(AND($X49&gt;0,ISNUMBER($J49)),$J49/$X49,"")</f>
        <v/>
      </c>
      <c r="AD49" s="413">
        <f>IF($R49="",0,IF($AA49&gt;0,$AB49*SUMIF(⑳商品別1食労務費!$C$5:$C$124,$R49,⑳商品別1食労務費!$F$5:$F$124)/$AA49,$AB49/$X49))</f>
        <v/>
      </c>
      <c r="AE49" s="413">
        <f>IF($S49="",0,IF($AA49&gt;0,$AB49*SUMIF(⑳商品別1食労務費!$C$5:$C$124,$S49,⑳商品別1食労務費!$F$5:$F$124)/$AA49,$AB49/$X49))</f>
        <v/>
      </c>
      <c r="AF49" s="413">
        <f>IF($T49="",0,IF($AA49&gt;0,$AB49*SUMIF(⑳商品別1食労務費!$C$5:$C$124,$T49,⑳商品別1食労務費!$F$5:$F$124)/$AA49,$AB49/$X49))</f>
        <v/>
      </c>
      <c r="AG49" s="413">
        <f>IF($U49="",0,IF($AA49&gt;0,$AB49*SUMIF(⑳商品別1食労務費!$C$5:$C$124,$U49,⑳商品別1食労務費!$F$5:$F$124)/$AA49,$AB49/$X49))</f>
        <v/>
      </c>
      <c r="AH49" s="413">
        <f>IF($V49="",0,IF($AA49&gt;0,$AB49*SUMIF(⑳商品別1食労務費!$C$5:$C$124,$V49,⑳商品別1食労務費!$F$5:$F$124)/$AA49,$AB49/$X49))</f>
        <v/>
      </c>
      <c r="AI49" s="413">
        <f>IF($W49="",0,IF($AA49&gt;0,$AB49*SUMIF(⑳商品別1食労務費!$C$5:$C$124,$W49,⑳商品別1食労務費!$F$5:$F$124)/$AA49,$AB49/$X49))</f>
        <v/>
      </c>
    </row>
    <row r="50" hidden="1" ht="16" customHeight="1" s="438">
      <c r="A50" s="197" t="n">
        <v>311</v>
      </c>
      <c r="B50" s="198" t="inlineStr">
        <is>
          <t>盛り込み②</t>
        </is>
      </c>
      <c r="C50" s="229" t="inlineStr">
        <is>
          <t>デカ麹醤油唐揚ＫＩＴ</t>
        </is>
      </c>
      <c r="D50" s="190" t="n"/>
      <c r="E50" s="190" t="n"/>
      <c r="F50" s="541">
        <f>IF(OR(D50="",E50=""),"",(E50-D50)*1440)</f>
        <v/>
      </c>
      <c r="G50" s="542" t="n"/>
      <c r="H50" s="542" t="n"/>
      <c r="I50" s="543" t="n"/>
      <c r="J50" s="192" t="n"/>
      <c r="K50" s="544">
        <f>IF(AND(ISNUMBER(F50),I50&gt;0),I50/(F50/60),"")</f>
        <v/>
      </c>
      <c r="L50" s="545" t="n">
        <v>1500</v>
      </c>
      <c r="M50" s="194">
        <f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546">
        <f>IF(AND(I50&gt;0,ISNUMBER(M50)),M50/I50,"")</f>
        <v/>
      </c>
      <c r="O50" s="547">
        <f>IF(AND(J50&gt;0,ISNUMBER(M50)),M50/J50,"")</f>
        <v/>
      </c>
      <c r="P50" s="199" t="n"/>
      <c r="Q50" s="200" t="inlineStr">
        <is>
          <t>★要入力（工程記録なし／実作業(分)・人数・個数を入れると⑳に自動反映）</t>
        </is>
      </c>
      <c r="R50" t="inlineStr">
        <is>
          <t>デカ麹醤油唐揚ＫＩＴ</t>
        </is>
      </c>
      <c r="X50" s="334">
        <f>COUNTA(R50:W50)</f>
        <v/>
      </c>
      <c r="Y50" s="334">
        <f>IF(AND($X50&gt;0,ISNUMBER($M50)),$M50/$X50,"")</f>
        <v/>
      </c>
      <c r="Z50" s="334">
        <f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/>
      </c>
      <c r="AA50" s="334">
        <f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/>
      </c>
      <c r="AB50" s="334">
        <f>IF(ISNUMBER($M50),$M50,0)</f>
        <v/>
      </c>
      <c r="AC50" s="334">
        <f>IF(AND($X50&gt;0,ISNUMBER($J50)),$J50/$X50,"")</f>
        <v/>
      </c>
      <c r="AD50" s="413">
        <f>IF($R50="",0,IF($AA50&gt;0,$AB50*SUMIF(⑳商品別1食労務費!$C$5:$C$124,$R50,⑳商品別1食労務費!$F$5:$F$124)/$AA50,$AB50/$X50))</f>
        <v/>
      </c>
      <c r="AE50" s="413">
        <f>IF($S50="",0,IF($AA50&gt;0,$AB50*SUMIF(⑳商品別1食労務費!$C$5:$C$124,$S50,⑳商品別1食労務費!$F$5:$F$124)/$AA50,$AB50/$X50))</f>
        <v/>
      </c>
      <c r="AF50" s="413">
        <f>IF($T50="",0,IF($AA50&gt;0,$AB50*SUMIF(⑳商品別1食労務費!$C$5:$C$124,$T50,⑳商品別1食労務費!$F$5:$F$124)/$AA50,$AB50/$X50))</f>
        <v/>
      </c>
      <c r="AG50" s="413">
        <f>IF($U50="",0,IF($AA50&gt;0,$AB50*SUMIF(⑳商品別1食労務費!$C$5:$C$124,$U50,⑳商品別1食労務費!$F$5:$F$124)/$AA50,$AB50/$X50))</f>
        <v/>
      </c>
      <c r="AH50" s="413">
        <f>IF($V50="",0,IF($AA50&gt;0,$AB50*SUMIF(⑳商品別1食労務費!$C$5:$C$124,$V50,⑳商品別1食労務費!$F$5:$F$124)/$AA50,$AB50/$X50))</f>
        <v/>
      </c>
      <c r="AI50" s="413">
        <f>IF($W50="",0,IF($AA50&gt;0,$AB50*SUMIF(⑳商品別1食労務費!$C$5:$C$124,$W50,⑳商品別1食労務費!$F$5:$F$124)/$AA50,$AB50/$X50))</f>
        <v/>
      </c>
    </row>
    <row r="51" hidden="1" ht="16" customHeight="1" s="438">
      <c r="A51" s="197" t="n">
        <v>312</v>
      </c>
      <c r="B51" s="198" t="inlineStr">
        <is>
          <t>盛り込み②</t>
        </is>
      </c>
      <c r="C51" s="229" t="inlineStr">
        <is>
          <t>ＳメンチカツＫＩＴ</t>
        </is>
      </c>
      <c r="D51" s="190" t="n"/>
      <c r="E51" s="190" t="n"/>
      <c r="F51" s="541">
        <f>IF(OR(D51="",E51=""),"",(E51-D51)*1440)</f>
        <v/>
      </c>
      <c r="G51" s="542" t="n"/>
      <c r="H51" s="542" t="n"/>
      <c r="I51" s="543" t="n"/>
      <c r="J51" s="192" t="n"/>
      <c r="K51" s="544">
        <f>IF(AND(ISNUMBER(F51),I51&gt;0),I51/(F51/60),"")</f>
        <v/>
      </c>
      <c r="L51" s="545" t="n">
        <v>1500</v>
      </c>
      <c r="M51" s="194">
        <f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546">
        <f>IF(AND(I51&gt;0,ISNUMBER(M51)),M51/I51,"")</f>
        <v/>
      </c>
      <c r="O51" s="547">
        <f>IF(AND(J51&gt;0,ISNUMBER(M51)),M51/J51,"")</f>
        <v/>
      </c>
      <c r="P51" s="199" t="n"/>
      <c r="Q51" s="200" t="inlineStr">
        <is>
          <t>★要入力（工程記録なし／実作業(分)・人数・個数を入れると⑳に自動反映）</t>
        </is>
      </c>
      <c r="R51" t="inlineStr">
        <is>
          <t>ＳメンチカツＫＩＴ</t>
        </is>
      </c>
      <c r="X51" s="334">
        <f>COUNTA(R51:W51)</f>
        <v/>
      </c>
      <c r="Y51" s="334">
        <f>IF(AND($X51&gt;0,ISNUMBER($M51)),$M51/$X51,"")</f>
        <v/>
      </c>
      <c r="Z51" s="334">
        <f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/>
      </c>
      <c r="AA51" s="334">
        <f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/>
      </c>
      <c r="AB51" s="334">
        <f>IF(ISNUMBER($M51),$M51,0)</f>
        <v/>
      </c>
      <c r="AC51" s="334">
        <f>IF(AND($X51&gt;0,ISNUMBER($J51)),$J51/$X51,"")</f>
        <v/>
      </c>
      <c r="AD51" s="413">
        <f>IF($R51="",0,IF($AA51&gt;0,$AB51*SUMIF(⑳商品別1食労務費!$C$5:$C$124,$R51,⑳商品別1食労務費!$F$5:$F$124)/$AA51,$AB51/$X51))</f>
        <v/>
      </c>
      <c r="AE51" s="413">
        <f>IF($S51="",0,IF($AA51&gt;0,$AB51*SUMIF(⑳商品別1食労務費!$C$5:$C$124,$S51,⑳商品別1食労務費!$F$5:$F$124)/$AA51,$AB51/$X51))</f>
        <v/>
      </c>
      <c r="AF51" s="413">
        <f>IF($T51="",0,IF($AA51&gt;0,$AB51*SUMIF(⑳商品別1食労務費!$C$5:$C$124,$T51,⑳商品別1食労務費!$F$5:$F$124)/$AA51,$AB51/$X51))</f>
        <v/>
      </c>
      <c r="AG51" s="413">
        <f>IF($U51="",0,IF($AA51&gt;0,$AB51*SUMIF(⑳商品別1食労務費!$C$5:$C$124,$U51,⑳商品別1食労務費!$F$5:$F$124)/$AA51,$AB51/$X51))</f>
        <v/>
      </c>
      <c r="AH51" s="413">
        <f>IF($V51="",0,IF($AA51&gt;0,$AB51*SUMIF(⑳商品別1食労務費!$C$5:$C$124,$V51,⑳商品別1食労務費!$F$5:$F$124)/$AA51,$AB51/$X51))</f>
        <v/>
      </c>
      <c r="AI51" s="413">
        <f>IF($W51="",0,IF($AA51&gt;0,$AB51*SUMIF(⑳商品別1食労務費!$C$5:$C$124,$W51,⑳商品別1食労務費!$F$5:$F$124)/$AA51,$AB51/$X51))</f>
        <v/>
      </c>
    </row>
    <row r="52" hidden="1" ht="16" customHeight="1" s="438">
      <c r="A52" s="197" t="n">
        <v>313</v>
      </c>
      <c r="B52" s="198" t="inlineStr">
        <is>
          <t>盛り込み②</t>
        </is>
      </c>
      <c r="C52" s="229" t="inlineStr">
        <is>
          <t>藻塩からあげＫＩＴ５Ｋ</t>
        </is>
      </c>
      <c r="D52" s="190" t="n"/>
      <c r="E52" s="190" t="n"/>
      <c r="F52" s="541">
        <f>IF(OR(D52="",E52=""),"",(E52-D52)*1440)</f>
        <v/>
      </c>
      <c r="G52" s="542" t="n"/>
      <c r="H52" s="542" t="n"/>
      <c r="I52" s="543" t="n"/>
      <c r="J52" s="192" t="n"/>
      <c r="K52" s="544">
        <f>IF(AND(ISNUMBER(F52),I52&gt;0),I52/(F52/60),"")</f>
        <v/>
      </c>
      <c r="L52" s="545" t="n">
        <v>1800</v>
      </c>
      <c r="M52" s="194">
        <f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546">
        <f>IF(AND(I52&gt;0,ISNUMBER(M52)),M52/I52,"")</f>
        <v/>
      </c>
      <c r="O52" s="547">
        <f>IF(AND(J52&gt;0,ISNUMBER(M52)),M52/J52,"")</f>
        <v/>
      </c>
      <c r="P52" s="199" t="n"/>
      <c r="Q52" s="200" t="inlineStr">
        <is>
          <t>★要入力（工程記録なし／実作業(分)・人数・個数を入れると⑳に自動反映）</t>
        </is>
      </c>
      <c r="R52" t="inlineStr">
        <is>
          <t>藻塩からあげＫＩＴ５Ｋ</t>
        </is>
      </c>
      <c r="X52" s="334">
        <f>COUNTA(R52:W52)</f>
        <v/>
      </c>
      <c r="Y52" s="334">
        <f>IF(AND($X52&gt;0,ISNUMBER($M52)),$M52/$X52,"")</f>
        <v/>
      </c>
      <c r="Z52" s="334">
        <f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/>
      </c>
      <c r="AA52" s="334">
        <f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/>
      </c>
      <c r="AB52" s="334">
        <f>IF(ISNUMBER($M52),$M52,0)</f>
        <v/>
      </c>
      <c r="AC52" s="334">
        <f>IF(AND($X52&gt;0,ISNUMBER($J52)),$J52/$X52,"")</f>
        <v/>
      </c>
      <c r="AD52" s="413">
        <f>IF($R52="",0,IF($AA52&gt;0,$AB52*SUMIF(⑳商品別1食労務費!$C$5:$C$124,$R52,⑳商品別1食労務費!$F$5:$F$124)/$AA52,$AB52/$X52))</f>
        <v/>
      </c>
      <c r="AE52" s="413">
        <f>IF($S52="",0,IF($AA52&gt;0,$AB52*SUMIF(⑳商品別1食労務費!$C$5:$C$124,$S52,⑳商品別1食労務費!$F$5:$F$124)/$AA52,$AB52/$X52))</f>
        <v/>
      </c>
      <c r="AF52" s="413">
        <f>IF($T52="",0,IF($AA52&gt;0,$AB52*SUMIF(⑳商品別1食労務費!$C$5:$C$124,$T52,⑳商品別1食労務費!$F$5:$F$124)/$AA52,$AB52/$X52))</f>
        <v/>
      </c>
      <c r="AG52" s="413">
        <f>IF($U52="",0,IF($AA52&gt;0,$AB52*SUMIF(⑳商品別1食労務費!$C$5:$C$124,$U52,⑳商品別1食労務費!$F$5:$F$124)/$AA52,$AB52/$X52))</f>
        <v/>
      </c>
      <c r="AH52" s="413">
        <f>IF($V52="",0,IF($AA52&gt;0,$AB52*SUMIF(⑳商品別1食労務費!$C$5:$C$124,$V52,⑳商品別1食労務費!$F$5:$F$124)/$AA52,$AB52/$X52))</f>
        <v/>
      </c>
      <c r="AI52" s="413">
        <f>IF($W52="",0,IF($AA52&gt;0,$AB52*SUMIF(⑳商品別1食労務費!$C$5:$C$124,$W52,⑳商品別1食労務費!$F$5:$F$124)/$AA52,$AB52/$X52))</f>
        <v/>
      </c>
    </row>
    <row r="53" hidden="1" ht="16" customHeight="1" s="438">
      <c r="A53" s="197" t="n">
        <v>314</v>
      </c>
      <c r="B53" s="198" t="inlineStr">
        <is>
          <t>盛り込み②</t>
        </is>
      </c>
      <c r="C53" s="229" t="inlineStr">
        <is>
          <t>Ｓチキンカツ（もも）ＫＩＴ</t>
        </is>
      </c>
      <c r="D53" s="190" t="n"/>
      <c r="E53" s="190" t="n"/>
      <c r="F53" s="541">
        <f>IF(OR(D53="",E53=""),"",(E53-D53)*1440)</f>
        <v/>
      </c>
      <c r="G53" s="542" t="n"/>
      <c r="H53" s="542" t="n"/>
      <c r="I53" s="543" t="n"/>
      <c r="J53" s="192" t="n"/>
      <c r="K53" s="544">
        <f>IF(AND(ISNUMBER(F53),I53&gt;0),I53/(F53/60),"")</f>
        <v/>
      </c>
      <c r="L53" s="545" t="n">
        <v>1800</v>
      </c>
      <c r="M53" s="194">
        <f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546">
        <f>IF(AND(I53&gt;0,ISNUMBER(M53)),M53/I53,"")</f>
        <v/>
      </c>
      <c r="O53" s="547">
        <f>IF(AND(J53&gt;0,ISNUMBER(M53)),M53/J53,"")</f>
        <v/>
      </c>
      <c r="P53" s="199" t="n"/>
      <c r="Q53" s="200" t="inlineStr">
        <is>
          <t>★要入力（工程記録なし／実作業(分)・人数・個数を入れると⑳に自動反映）</t>
        </is>
      </c>
      <c r="R53" t="inlineStr">
        <is>
          <t>Ｓチキンカツ（もも）ＫＩＴ</t>
        </is>
      </c>
      <c r="X53" s="334">
        <f>COUNTA(R53:W53)</f>
        <v/>
      </c>
      <c r="Y53" s="334">
        <f>IF(AND($X53&gt;0,ISNUMBER($M53)),$M53/$X53,"")</f>
        <v/>
      </c>
      <c r="Z53" s="334">
        <f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/>
      </c>
      <c r="AA53" s="334">
        <f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/>
      </c>
      <c r="AB53" s="334">
        <f>IF(ISNUMBER($M53),$M53,0)</f>
        <v/>
      </c>
      <c r="AC53" s="334">
        <f>IF(AND($X53&gt;0,ISNUMBER($J53)),$J53/$X53,"")</f>
        <v/>
      </c>
      <c r="AD53" s="413">
        <f>IF($R53="",0,IF($AA53&gt;0,$AB53*SUMIF(⑳商品別1食労務費!$C$5:$C$124,$R53,⑳商品別1食労務費!$F$5:$F$124)/$AA53,$AB53/$X53))</f>
        <v/>
      </c>
      <c r="AE53" s="413">
        <f>IF($S53="",0,IF($AA53&gt;0,$AB53*SUMIF(⑳商品別1食労務費!$C$5:$C$124,$S53,⑳商品別1食労務費!$F$5:$F$124)/$AA53,$AB53/$X53))</f>
        <v/>
      </c>
      <c r="AF53" s="413">
        <f>IF($T53="",0,IF($AA53&gt;0,$AB53*SUMIF(⑳商品別1食労務費!$C$5:$C$124,$T53,⑳商品別1食労務費!$F$5:$F$124)/$AA53,$AB53/$X53))</f>
        <v/>
      </c>
      <c r="AG53" s="413">
        <f>IF($U53="",0,IF($AA53&gt;0,$AB53*SUMIF(⑳商品別1食労務費!$C$5:$C$124,$U53,⑳商品別1食労務費!$F$5:$F$124)/$AA53,$AB53/$X53))</f>
        <v/>
      </c>
      <c r="AH53" s="413">
        <f>IF($V53="",0,IF($AA53&gt;0,$AB53*SUMIF(⑳商品別1食労務費!$C$5:$C$124,$V53,⑳商品別1食労務費!$F$5:$F$124)/$AA53,$AB53/$X53))</f>
        <v/>
      </c>
      <c r="AI53" s="413">
        <f>IF($W53="",0,IF($AA53&gt;0,$AB53*SUMIF(⑳商品別1食労務費!$C$5:$C$124,$W53,⑳商品別1食労務費!$F$5:$F$124)/$AA53,$AB53/$X53))</f>
        <v/>
      </c>
    </row>
    <row r="54" hidden="1" ht="16" customHeight="1" s="438" thickBot="1">
      <c r="A54" s="197" t="n">
        <v>315</v>
      </c>
      <c r="B54" s="198" t="inlineStr">
        <is>
          <t>盛り込み②</t>
        </is>
      </c>
      <c r="C54" s="229" t="inlineStr">
        <is>
          <t>鶏皮唐揚げＫＩＴ</t>
        </is>
      </c>
      <c r="D54" s="190" t="n"/>
      <c r="E54" s="190" t="n"/>
      <c r="F54" s="541">
        <f>IF(OR(D54="",E54=""),"",(E54-D54)*1440)</f>
        <v/>
      </c>
      <c r="G54" s="542" t="n"/>
      <c r="H54" s="542" t="n"/>
      <c r="I54" s="543" t="n"/>
      <c r="J54" s="192" t="n"/>
      <c r="K54" s="544">
        <f>IF(AND(ISNUMBER(F54),I54&gt;0),I54/(F54/60),"")</f>
        <v/>
      </c>
      <c r="L54" s="545" t="n">
        <v>800</v>
      </c>
      <c r="M54" s="194">
        <f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546">
        <f>IF(AND(I54&gt;0,ISNUMBER(M54)),M54/I54,"")</f>
        <v/>
      </c>
      <c r="O54" s="547">
        <f>IF(AND(J54&gt;0,ISNUMBER(M54)),M54/J54,"")</f>
        <v/>
      </c>
      <c r="P54" s="199" t="n"/>
      <c r="Q54" s="200" t="inlineStr">
        <is>
          <t>★要入力（工程記録なし／実作業(分)・人数・個数を入れると⑳に自動反映）</t>
        </is>
      </c>
      <c r="R54" t="inlineStr">
        <is>
          <t>鶏皮唐揚げＫＩＴ</t>
        </is>
      </c>
      <c r="X54" s="334">
        <f>COUNTA(R54:W54)</f>
        <v/>
      </c>
      <c r="Y54" s="334">
        <f>IF(AND($X54&gt;0,ISNUMBER($M54)),$M54/$X54,"")</f>
        <v/>
      </c>
      <c r="Z54" s="334">
        <f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/>
      </c>
      <c r="AA54" s="334">
        <f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/>
      </c>
      <c r="AB54" s="334">
        <f>IF(ISNUMBER($M54),$M54,0)</f>
        <v/>
      </c>
      <c r="AC54" s="334">
        <f>IF(AND($X54&gt;0,ISNUMBER($J54)),$J54/$X54,"")</f>
        <v/>
      </c>
      <c r="AD54" s="413">
        <f>IF($R54="",0,IF($AA54&gt;0,$AB54*SUMIF(⑳商品別1食労務費!$C$5:$C$124,$R54,⑳商品別1食労務費!$F$5:$F$124)/$AA54,$AB54/$X54))</f>
        <v/>
      </c>
      <c r="AE54" s="413">
        <f>IF($S54="",0,IF($AA54&gt;0,$AB54*SUMIF(⑳商品別1食労務費!$C$5:$C$124,$S54,⑳商品別1食労務費!$F$5:$F$124)/$AA54,$AB54/$X54))</f>
        <v/>
      </c>
      <c r="AF54" s="413">
        <f>IF($T54="",0,IF($AA54&gt;0,$AB54*SUMIF(⑳商品別1食労務費!$C$5:$C$124,$T54,⑳商品別1食労務費!$F$5:$F$124)/$AA54,$AB54/$X54))</f>
        <v/>
      </c>
      <c r="AG54" s="413">
        <f>IF($U54="",0,IF($AA54&gt;0,$AB54*SUMIF(⑳商品別1食労務費!$C$5:$C$124,$U54,⑳商品別1食労務費!$F$5:$F$124)/$AA54,$AB54/$X54))</f>
        <v/>
      </c>
      <c r="AH54" s="413">
        <f>IF($V54="",0,IF($AA54&gt;0,$AB54*SUMIF(⑳商品別1食労務費!$C$5:$C$124,$V54,⑳商品別1食労務費!$F$5:$F$124)/$AA54,$AB54/$X54))</f>
        <v/>
      </c>
      <c r="AI54" s="413">
        <f>IF($W54="",0,IF($AA54&gt;0,$AB54*SUMIF(⑳商品別1食労務費!$C$5:$C$124,$W54,⑳商品別1食労務費!$F$5:$F$124)/$AA54,$AB54/$X54))</f>
        <v/>
      </c>
    </row>
    <row r="55" hidden="1" ht="22" customHeight="1" s="438" thickBot="1">
      <c r="A55" s="473" t="n">
        <v>51</v>
      </c>
      <c r="B55" s="474" t="n"/>
      <c r="C55" s="475" t="n"/>
      <c r="D55" s="201" t="n"/>
      <c r="E55" s="201" t="n"/>
      <c r="F55" s="201">
        <f>IF(OR(D55="",E55=""),"",(E55-D55)*1440)</f>
        <v/>
      </c>
      <c r="G55" s="202" t="n"/>
      <c r="H55" s="202" t="n"/>
      <c r="I55" s="202" t="n"/>
      <c r="J55" s="202" t="n"/>
      <c r="K55" s="548">
        <f>IF(AND(ISNUMBER(F55),I55&gt;0),I55/(F55/60),"")</f>
        <v/>
      </c>
      <c r="L55" s="548" t="n">
        <v>8000</v>
      </c>
      <c r="M55" s="202">
        <f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548">
        <f>IF(AND(I55&gt;0,ISNUMBER(M55)),M55/I55,"")</f>
        <v/>
      </c>
      <c r="O55" s="548">
        <f>IF(AND(J55&gt;0,ISNUMBER(M55)),M55/J55,"")</f>
        <v/>
      </c>
      <c r="P55" s="201" t="n"/>
      <c r="Q55" s="201" t="n"/>
      <c r="X55" s="334">
        <f>COUNTA(R55:W55)</f>
        <v/>
      </c>
      <c r="Y55" s="334">
        <f>IF(AND($X55&gt;0,ISNUMBER($M55)),$M55/$X55,"")</f>
        <v/>
      </c>
      <c r="Z55" s="334">
        <f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 s="334">
        <f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/>
      </c>
      <c r="AB55" s="334">
        <f>IF(ISNUMBER($M55),$M55,0)</f>
        <v/>
      </c>
      <c r="AC55" s="334">
        <f>IF(AND($X55&gt;0,ISNUMBER($J55)),$J55/$X55,"")</f>
        <v/>
      </c>
      <c r="AD55" s="413">
        <f>IF($R55="",0,IF($AA55&gt;0,$AB55*SUMIF(⑳商品別1食労務費!$C$5:$C$124,$R55,⑳商品別1食労務費!$F$5:$F$124)/$AA55,$AB55/$X55))</f>
        <v/>
      </c>
      <c r="AE55" s="413">
        <f>IF($S55="",0,IF($AA55&gt;0,$AB55*SUMIF(⑳商品別1食労務費!$C$5:$C$124,$S55,⑳商品別1食労務費!$F$5:$F$124)/$AA55,$AB55/$X55))</f>
        <v/>
      </c>
      <c r="AF55" s="413">
        <f>IF($T55="",0,IF($AA55&gt;0,$AB55*SUMIF(⑳商品別1食労務費!$C$5:$C$124,$T55,⑳商品別1食労務費!$F$5:$F$124)/$AA55,$AB55/$X55))</f>
        <v/>
      </c>
      <c r="AG55" s="413">
        <f>IF($U55="",0,IF($AA55&gt;0,$AB55*SUMIF(⑳商品別1食労務費!$C$5:$C$124,$U55,⑳商品別1食労務費!$F$5:$F$124)/$AA55,$AB55/$X55))</f>
        <v/>
      </c>
      <c r="AH55" s="413">
        <f>IF($V55="",0,IF($AA55&gt;0,$AB55*SUMIF(⑳商品別1食労務費!$C$5:$C$124,$V55,⑳商品別1食労務費!$F$5:$F$124)/$AA55,$AB55/$X55))</f>
        <v/>
      </c>
      <c r="AI55" s="413">
        <f>IF($W55="",0,IF($AA55&gt;0,$AB55*SUMIF(⑳商品別1食労務費!$C$5:$C$124,$W55,⑳商品別1食労務費!$F$5:$F$124)/$AA55,$AB55/$X55))</f>
        <v/>
      </c>
    </row>
    <row r="56" hidden="1" s="438">
      <c r="A56" s="197" t="n">
        <v>316</v>
      </c>
      <c r="B56" s="198" t="inlineStr">
        <is>
          <t>盛り込み②</t>
        </is>
      </c>
      <c r="C56" s="229" t="inlineStr">
        <is>
          <t>照焼きチキンＫＩＴ２</t>
        </is>
      </c>
      <c r="D56" s="190" t="n"/>
      <c r="E56" s="190" t="n"/>
      <c r="F56" s="541">
        <f>IF(OR(D56="",E56=""),"",(E56-D56)*1440)</f>
        <v/>
      </c>
      <c r="G56" s="542" t="n"/>
      <c r="H56" s="542" t="n"/>
      <c r="I56" s="543" t="n"/>
      <c r="J56" s="192" t="n"/>
      <c r="K56" s="544">
        <f>IF(AND(ISNUMBER(F56),I56&gt;0),I56/(F56/60),"")</f>
        <v/>
      </c>
      <c r="L56" s="545" t="n">
        <v>250</v>
      </c>
      <c r="M56" s="194">
        <f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546">
        <f>IF(AND(I56&gt;0,ISNUMBER(M56)),M56/I56,"")</f>
        <v/>
      </c>
      <c r="O56" s="547">
        <f>IF(AND(J56&gt;0,ISNUMBER(M56)),M56/J56,"")</f>
        <v/>
      </c>
      <c r="P56" s="199" t="n"/>
      <c r="Q56" s="200" t="inlineStr">
        <is>
          <t>★要入力（工程記録なし／実作業(分)・人数・個数を入れると⑳に自動反映）</t>
        </is>
      </c>
      <c r="R56" t="inlineStr">
        <is>
          <t>照焼きチキンＫＩＴ２</t>
        </is>
      </c>
      <c r="X56" s="334">
        <f>COUNTA(R56:W56)</f>
        <v/>
      </c>
      <c r="Y56" s="334">
        <f>IF(AND($X56&gt;0,ISNUMBER($M56)),$M56/$X56,"")</f>
        <v/>
      </c>
      <c r="Z56" s="334">
        <f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/>
      </c>
      <c r="AA56" s="334">
        <f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/>
      </c>
      <c r="AB56" s="334">
        <f>IF(ISNUMBER($M56),$M56,0)</f>
        <v/>
      </c>
      <c r="AC56" s="334">
        <f>IF(AND($X56&gt;0,ISNUMBER($J56)),$J56/$X56,"")</f>
        <v/>
      </c>
      <c r="AD56" s="413">
        <f>IF($R56="",0,IF($AA56&gt;0,$AB56*SUMIF(⑳商品別1食労務費!$C$5:$C$124,$R56,⑳商品別1食労務費!$F$5:$F$124)/$AA56,$AB56/$X56))</f>
        <v/>
      </c>
      <c r="AE56" s="413">
        <f>IF($S56="",0,IF($AA56&gt;0,$AB56*SUMIF(⑳商品別1食労務費!$C$5:$C$124,$S56,⑳商品別1食労務費!$F$5:$F$124)/$AA56,$AB56/$X56))</f>
        <v/>
      </c>
      <c r="AF56" s="413">
        <f>IF($T56="",0,IF($AA56&gt;0,$AB56*SUMIF(⑳商品別1食労務費!$C$5:$C$124,$T56,⑳商品別1食労務費!$F$5:$F$124)/$AA56,$AB56/$X56))</f>
        <v/>
      </c>
      <c r="AG56" s="413">
        <f>IF($U56="",0,IF($AA56&gt;0,$AB56*SUMIF(⑳商品別1食労務費!$C$5:$C$124,$U56,⑳商品別1食労務費!$F$5:$F$124)/$AA56,$AB56/$X56))</f>
        <v/>
      </c>
      <c r="AH56" s="413">
        <f>IF($V56="",0,IF($AA56&gt;0,$AB56*SUMIF(⑳商品別1食労務費!$C$5:$C$124,$V56,⑳商品別1食労務費!$F$5:$F$124)/$AA56,$AB56/$X56))</f>
        <v/>
      </c>
      <c r="AI56" s="413">
        <f>IF($W56="",0,IF($AA56&gt;0,$AB56*SUMIF(⑳商品別1食労務費!$C$5:$C$124,$W56,⑳商品別1食労務費!$F$5:$F$124)/$AA56,$AB56/$X56))</f>
        <v/>
      </c>
    </row>
    <row r="57" hidden="1" ht="20" customHeight="1" s="438">
      <c r="A57" s="476" t="n">
        <v>53</v>
      </c>
      <c r="X57" s="334">
        <f>COUNTA(R57:W57)</f>
        <v/>
      </c>
      <c r="Y57" s="334">
        <f>IF(AND($X57&gt;0,ISNUMBER($M57)),$M57/$X57,"")</f>
        <v/>
      </c>
      <c r="Z57" s="334">
        <f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 s="334">
        <f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/>
      </c>
      <c r="AB57" s="334">
        <f>IF(ISNUMBER($M57),$M57,0)</f>
        <v/>
      </c>
      <c r="AC57" s="334">
        <f>IF(AND($X57&gt;0,ISNUMBER($J57)),$J57/$X57,"")</f>
        <v/>
      </c>
      <c r="AD57" s="413">
        <f>IF($R57="",0,IF($AA57&gt;0,$AB57*SUMIF(⑳商品別1食労務費!$C$5:$C$124,$R57,⑳商品別1食労務費!$F$5:$F$124)/$AA57,$AB57/$X57))</f>
        <v/>
      </c>
      <c r="AE57" s="413">
        <f>IF($S57="",0,IF($AA57&gt;0,$AB57*SUMIF(⑳商品別1食労務費!$C$5:$C$124,$S57,⑳商品別1食労務費!$F$5:$F$124)/$AA57,$AB57/$X57))</f>
        <v/>
      </c>
      <c r="AF57" s="413">
        <f>IF($T57="",0,IF($AA57&gt;0,$AB57*SUMIF(⑳商品別1食労務費!$C$5:$C$124,$T57,⑳商品別1食労務費!$F$5:$F$124)/$AA57,$AB57/$X57))</f>
        <v/>
      </c>
      <c r="AG57" s="413">
        <f>IF($U57="",0,IF($AA57&gt;0,$AB57*SUMIF(⑳商品別1食労務費!$C$5:$C$124,$U57,⑳商品別1食労務費!$F$5:$F$124)/$AA57,$AB57/$X57))</f>
        <v/>
      </c>
      <c r="AH57" s="413">
        <f>IF($V57="",0,IF($AA57&gt;0,$AB57*SUMIF(⑳商品別1食労務費!$C$5:$C$124,$V57,⑳商品別1食労務費!$F$5:$F$124)/$AA57,$AB57/$X57))</f>
        <v/>
      </c>
      <c r="AI57" s="413">
        <f>IF($W57="",0,IF($AA57&gt;0,$AB57*SUMIF(⑳商品別1食労務費!$C$5:$C$124,$W57,⑳商品別1食労務費!$F$5:$F$124)/$AA57,$AB57/$X57))</f>
        <v/>
      </c>
    </row>
    <row r="58" hidden="1" s="438">
      <c r="A58" s="197" t="n">
        <v>317</v>
      </c>
      <c r="B58" s="198" t="inlineStr">
        <is>
          <t>盛り込み②</t>
        </is>
      </c>
      <c r="C58" s="229" t="inlineStr">
        <is>
          <t>Ｓ砂ずり唐揚げＫＩＴブラ産</t>
        </is>
      </c>
      <c r="D58" s="190" t="n"/>
      <c r="E58" s="190" t="n"/>
      <c r="F58" s="541">
        <f>IF(OR(D58="",E58=""),"",(E58-D58)*1440)</f>
        <v/>
      </c>
      <c r="G58" s="542" t="n"/>
      <c r="H58" s="542" t="n"/>
      <c r="I58" s="543" t="n"/>
      <c r="J58" s="192" t="n"/>
      <c r="K58" s="544">
        <f>IF(AND(ISNUMBER(F58),I58&gt;0),I58/(F58/60),"")</f>
        <v/>
      </c>
      <c r="L58" s="545" t="n">
        <v>600</v>
      </c>
      <c r="M58" s="194">
        <f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/>
      </c>
      <c r="N58" s="546">
        <f>IF(AND(I58&gt;0,ISNUMBER(M58)),M58/I58,"")</f>
        <v/>
      </c>
      <c r="O58" s="547">
        <f>IF(AND(J58&gt;0,ISNUMBER(M58)),M58/J58,"")</f>
        <v/>
      </c>
      <c r="P58" s="199" t="n"/>
      <c r="Q58" s="200" t="inlineStr">
        <is>
          <t>★要入力（工程記録なし／実作業(分)・人数・個数を入れると⑳に自動反映）</t>
        </is>
      </c>
      <c r="R58" t="inlineStr">
        <is>
          <t>Ｓ砂ずり唐揚げＫＩＴブラ産</t>
        </is>
      </c>
      <c r="X58" s="334">
        <f>COUNTA(R58:W58)</f>
        <v/>
      </c>
      <c r="Y58" s="334">
        <f>IF(AND($X58&gt;0,ISNUMBER($M58)),$M58/$X58,"")</f>
        <v/>
      </c>
      <c r="Z58" s="334">
        <f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 s="334">
        <f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/>
      </c>
      <c r="AB58" s="334">
        <f>IF(ISNUMBER($M58),$M58,0)</f>
        <v/>
      </c>
      <c r="AC58" s="334">
        <f>IF(AND($X58&gt;0,ISNUMBER($J58)),$J58/$X58,"")</f>
        <v/>
      </c>
      <c r="AD58" s="413">
        <f>IF($R58="",0,IF($AA58&gt;0,$AB58*SUMIF(⑳商品別1食労務費!$C$5:$C$124,$R58,⑳商品別1食労務費!$F$5:$F$124)/$AA58,$AB58/$X58))</f>
        <v/>
      </c>
      <c r="AE58" s="413">
        <f>IF($S58="",0,IF($AA58&gt;0,$AB58*SUMIF(⑳商品別1食労務費!$C$5:$C$124,$S58,⑳商品別1食労務費!$F$5:$F$124)/$AA58,$AB58/$X58))</f>
        <v/>
      </c>
      <c r="AF58" s="413">
        <f>IF($T58="",0,IF($AA58&gt;0,$AB58*SUMIF(⑳商品別1食労務費!$C$5:$C$124,$T58,⑳商品別1食労務費!$F$5:$F$124)/$AA58,$AB58/$X58))</f>
        <v/>
      </c>
      <c r="AG58" s="413">
        <f>IF($U58="",0,IF($AA58&gt;0,$AB58*SUMIF(⑳商品別1食労務費!$C$5:$C$124,$U58,⑳商品別1食労務費!$F$5:$F$124)/$AA58,$AB58/$X58))</f>
        <v/>
      </c>
      <c r="AH58" s="413">
        <f>IF($V58="",0,IF($AA58&gt;0,$AB58*SUMIF(⑳商品別1食労務費!$C$5:$C$124,$V58,⑳商品別1食労務費!$F$5:$F$124)/$AA58,$AB58/$X58))</f>
        <v/>
      </c>
      <c r="AI58" s="413">
        <f>IF($W58="",0,IF($AA58&gt;0,$AB58*SUMIF(⑳商品別1食労務費!$C$5:$C$124,$W58,⑳商品別1食労務費!$F$5:$F$124)/$AA58,$AB58/$X58))</f>
        <v/>
      </c>
    </row>
    <row r="59" hidden="1" s="438">
      <c r="A59" s="197" t="n">
        <v>318</v>
      </c>
      <c r="B59" s="198" t="inlineStr">
        <is>
          <t>盛り込み②</t>
        </is>
      </c>
      <c r="C59" s="229" t="inlineStr">
        <is>
          <t>豚ももスライスＫＩＴ</t>
        </is>
      </c>
      <c r="D59" s="190" t="n"/>
      <c r="E59" s="190" t="n"/>
      <c r="F59" s="541">
        <f>IF(OR(D59="",E59=""),"",(E59-D59)*1440)</f>
        <v/>
      </c>
      <c r="G59" s="542" t="n"/>
      <c r="H59" s="542" t="n"/>
      <c r="I59" s="543" t="n"/>
      <c r="J59" s="192" t="n"/>
      <c r="K59" s="544">
        <f>IF(AND(ISNUMBER(F59),I59&gt;0),I59/(F59/60),"")</f>
        <v/>
      </c>
      <c r="L59" s="545" t="n">
        <v>800</v>
      </c>
      <c r="M59" s="194">
        <f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546">
        <f>IF(AND(I59&gt;0,ISNUMBER(M59)),M59/I59,"")</f>
        <v/>
      </c>
      <c r="O59" s="547">
        <f>IF(AND(J59&gt;0,ISNUMBER(M59)),M59/J59,"")</f>
        <v/>
      </c>
      <c r="P59" s="199" t="n"/>
      <c r="Q59" s="200" t="inlineStr">
        <is>
          <t>★要入力（工程記録なし／実作業(分)・人数・個数を入れると⑳に自動反映）</t>
        </is>
      </c>
      <c r="R59" t="inlineStr">
        <is>
          <t>豚ももスライスＫＩＴ</t>
        </is>
      </c>
      <c r="X59" s="334">
        <f>COUNTA(R59:W59)</f>
        <v/>
      </c>
      <c r="Y59" s="334">
        <f>IF(AND($X59&gt;0,ISNUMBER($M59)),$M59/$X59,"")</f>
        <v/>
      </c>
      <c r="Z59" s="334">
        <f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 s="334">
        <f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/>
      </c>
      <c r="AB59" s="334">
        <f>IF(ISNUMBER($M59),$M59,0)</f>
        <v/>
      </c>
      <c r="AC59" s="334">
        <f>IF(AND($X59&gt;0,ISNUMBER($J59)),$J59/$X59,"")</f>
        <v/>
      </c>
      <c r="AD59" s="413">
        <f>IF($R59="",0,IF($AA59&gt;0,$AB59*SUMIF(⑳商品別1食労務費!$C$5:$C$124,$R59,⑳商品別1食労務費!$F$5:$F$124)/$AA59,$AB59/$X59))</f>
        <v/>
      </c>
      <c r="AE59" s="413">
        <f>IF($S59="",0,IF($AA59&gt;0,$AB59*SUMIF(⑳商品別1食労務費!$C$5:$C$124,$S59,⑳商品別1食労務費!$F$5:$F$124)/$AA59,$AB59/$X59))</f>
        <v/>
      </c>
      <c r="AF59" s="413">
        <f>IF($T59="",0,IF($AA59&gt;0,$AB59*SUMIF(⑳商品別1食労務費!$C$5:$C$124,$T59,⑳商品別1食労務費!$F$5:$F$124)/$AA59,$AB59/$X59))</f>
        <v/>
      </c>
      <c r="AG59" s="413">
        <f>IF($U59="",0,IF($AA59&gt;0,$AB59*SUMIF(⑳商品別1食労務費!$C$5:$C$124,$U59,⑳商品別1食労務費!$F$5:$F$124)/$AA59,$AB59/$X59))</f>
        <v/>
      </c>
      <c r="AH59" s="413">
        <f>IF($V59="",0,IF($AA59&gt;0,$AB59*SUMIF(⑳商品別1食労務費!$C$5:$C$124,$V59,⑳商品別1食労務費!$F$5:$F$124)/$AA59,$AB59/$X59))</f>
        <v/>
      </c>
      <c r="AI59" s="413">
        <f>IF($W59="",0,IF($AA59&gt;0,$AB59*SUMIF(⑳商品別1食労務費!$C$5:$C$124,$W59,⑳商品別1食労務費!$F$5:$F$124)/$AA59,$AB59/$X59))</f>
        <v/>
      </c>
    </row>
    <row r="60" hidden="1" s="438">
      <c r="A60" s="197" t="n">
        <v>319</v>
      </c>
      <c r="B60" s="198" t="inlineStr">
        <is>
          <t>盛り込み②</t>
        </is>
      </c>
      <c r="C60" s="229" t="inlineStr">
        <is>
          <t>明太フィリングＫＩＴ</t>
        </is>
      </c>
      <c r="D60" s="190" t="n"/>
      <c r="E60" s="190" t="n"/>
      <c r="F60" s="541">
        <f>IF(OR(D60="",E60=""),"",(E60-D60)*1440)</f>
        <v/>
      </c>
      <c r="G60" s="542" t="n"/>
      <c r="H60" s="542" t="n"/>
      <c r="I60" s="543" t="n"/>
      <c r="J60" s="192" t="n"/>
      <c r="K60" s="544">
        <f>IF(AND(ISNUMBER(F60),I60&gt;0),I60/(F60/60),"")</f>
        <v/>
      </c>
      <c r="L60" s="545" t="n">
        <v>800</v>
      </c>
      <c r="M60" s="194">
        <f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546">
        <f>IF(AND(I60&gt;0,ISNUMBER(M60)),M60/I60,"")</f>
        <v/>
      </c>
      <c r="O60" s="547">
        <f>IF(AND(J60&gt;0,ISNUMBER(M60)),M60/J60,"")</f>
        <v/>
      </c>
      <c r="P60" s="199" t="n"/>
      <c r="Q60" s="200" t="inlineStr">
        <is>
          <t>★要入力（工程記録なし／実作業(分)・人数・個数を入れると⑳に自動反映）</t>
        </is>
      </c>
      <c r="R60" t="inlineStr">
        <is>
          <t>明太フィリングＫＩＴ</t>
        </is>
      </c>
      <c r="X60" s="334">
        <f>COUNTA(R60:W60)</f>
        <v/>
      </c>
      <c r="Y60" s="334">
        <f>IF(AND($X60&gt;0,ISNUMBER($M60)),$M60/$X60,"")</f>
        <v/>
      </c>
      <c r="Z60" s="334">
        <f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 s="334">
        <f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/>
      </c>
      <c r="AB60" s="334">
        <f>IF(ISNUMBER($M60),$M60,0)</f>
        <v/>
      </c>
      <c r="AC60" s="334">
        <f>IF(AND($X60&gt;0,ISNUMBER($J60)),$J60/$X60,"")</f>
        <v/>
      </c>
      <c r="AD60" s="413">
        <f>IF($R60="",0,IF($AA60&gt;0,$AB60*SUMIF(⑳商品別1食労務費!$C$5:$C$124,$R60,⑳商品別1食労務費!$F$5:$F$124)/$AA60,$AB60/$X60))</f>
        <v/>
      </c>
      <c r="AE60" s="413">
        <f>IF($S60="",0,IF($AA60&gt;0,$AB60*SUMIF(⑳商品別1食労務費!$C$5:$C$124,$S60,⑳商品別1食労務費!$F$5:$F$124)/$AA60,$AB60/$X60))</f>
        <v/>
      </c>
      <c r="AF60" s="413">
        <f>IF($T60="",0,IF($AA60&gt;0,$AB60*SUMIF(⑳商品別1食労務費!$C$5:$C$124,$T60,⑳商品別1食労務費!$F$5:$F$124)/$AA60,$AB60/$X60))</f>
        <v/>
      </c>
      <c r="AG60" s="413">
        <f>IF($U60="",0,IF($AA60&gt;0,$AB60*SUMIF(⑳商品別1食労務費!$C$5:$C$124,$U60,⑳商品別1食労務費!$F$5:$F$124)/$AA60,$AB60/$X60))</f>
        <v/>
      </c>
      <c r="AH60" s="413">
        <f>IF($V60="",0,IF($AA60&gt;0,$AB60*SUMIF(⑳商品別1食労務費!$C$5:$C$124,$V60,⑳商品別1食労務費!$F$5:$F$124)/$AA60,$AB60/$X60))</f>
        <v/>
      </c>
      <c r="AI60" s="413">
        <f>IF($W60="",0,IF($AA60&gt;0,$AB60*SUMIF(⑳商品別1食労務費!$C$5:$C$124,$W60,⑳商品別1食労務費!$F$5:$F$124)/$AA60,$AB60/$X60))</f>
        <v/>
      </c>
    </row>
    <row r="61" hidden="1" s="438">
      <c r="A61" s="197" t="n">
        <v>320</v>
      </c>
      <c r="B61" s="198" t="inlineStr">
        <is>
          <t>盛り込み②</t>
        </is>
      </c>
      <c r="C61" s="229" t="inlineStr">
        <is>
          <t>チキン南蛮用（むね肉）</t>
        </is>
      </c>
      <c r="D61" s="190" t="n"/>
      <c r="E61" s="190" t="n"/>
      <c r="F61" s="541">
        <f>IF(OR(D61="",E61=""),"",(E61-D61)*1440)</f>
        <v/>
      </c>
      <c r="G61" s="542" t="n"/>
      <c r="H61" s="542" t="n"/>
      <c r="I61" s="543" t="n"/>
      <c r="J61" s="192" t="n"/>
      <c r="K61" s="544">
        <f>IF(AND(ISNUMBER(F61),I61&gt;0),I61/(F61/60),"")</f>
        <v/>
      </c>
      <c r="L61" s="545" t="n">
        <v>1500</v>
      </c>
      <c r="M61" s="194">
        <f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546">
        <f>IF(AND(I61&gt;0,ISNUMBER(M61)),M61/I61,"")</f>
        <v/>
      </c>
      <c r="O61" s="547">
        <f>IF(AND(J61&gt;0,ISNUMBER(M61)),M61/J61,"")</f>
        <v/>
      </c>
      <c r="P61" s="199" t="n"/>
      <c r="Q61" s="200" t="inlineStr">
        <is>
          <t>★要入力（工程記録なし／実作業(分)・人数・個数を入れると⑳に自動反映）</t>
        </is>
      </c>
      <c r="R61" t="inlineStr">
        <is>
          <t>チキン南蛮用（むね肉）</t>
        </is>
      </c>
      <c r="X61" s="334">
        <f>COUNTA(R61:W61)</f>
        <v/>
      </c>
      <c r="Y61" s="334">
        <f>IF(AND($X61&gt;0,ISNUMBER($M61)),$M61/$X61,"")</f>
        <v/>
      </c>
      <c r="Z61" s="334">
        <f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 s="334">
        <f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/>
      </c>
      <c r="AB61" s="334">
        <f>IF(ISNUMBER($M61),$M61,0)</f>
        <v/>
      </c>
      <c r="AC61" s="334">
        <f>IF(AND($X61&gt;0,ISNUMBER($J61)),$J61/$X61,"")</f>
        <v/>
      </c>
      <c r="AD61" s="413">
        <f>IF($R61="",0,IF($AA61&gt;0,$AB61*SUMIF(⑳商品別1食労務費!$C$5:$C$124,$R61,⑳商品別1食労務費!$F$5:$F$124)/$AA61,$AB61/$X61))</f>
        <v/>
      </c>
      <c r="AE61" s="413">
        <f>IF($S61="",0,IF($AA61&gt;0,$AB61*SUMIF(⑳商品別1食労務費!$C$5:$C$124,$S61,⑳商品別1食労務費!$F$5:$F$124)/$AA61,$AB61/$X61))</f>
        <v/>
      </c>
      <c r="AF61" s="413">
        <f>IF($T61="",0,IF($AA61&gt;0,$AB61*SUMIF(⑳商品別1食労務費!$C$5:$C$124,$T61,⑳商品別1食労務費!$F$5:$F$124)/$AA61,$AB61/$X61))</f>
        <v/>
      </c>
      <c r="AG61" s="413">
        <f>IF($U61="",0,IF($AA61&gt;0,$AB61*SUMIF(⑳商品別1食労務費!$C$5:$C$124,$U61,⑳商品別1食労務費!$F$5:$F$124)/$AA61,$AB61/$X61))</f>
        <v/>
      </c>
      <c r="AH61" s="413">
        <f>IF($V61="",0,IF($AA61&gt;0,$AB61*SUMIF(⑳商品別1食労務費!$C$5:$C$124,$V61,⑳商品別1食労務費!$F$5:$F$124)/$AA61,$AB61/$X61))</f>
        <v/>
      </c>
      <c r="AI61" s="413">
        <f>IF($W61="",0,IF($AA61&gt;0,$AB61*SUMIF(⑳商品別1食労務費!$C$5:$C$124,$W61,⑳商品別1食労務費!$F$5:$F$124)/$AA61,$AB61/$X61))</f>
        <v/>
      </c>
    </row>
    <row r="62" hidden="1" s="438">
      <c r="A62" s="197" t="n">
        <v>321</v>
      </c>
      <c r="B62" s="198" t="inlineStr">
        <is>
          <t>盛り込み②</t>
        </is>
      </c>
      <c r="C62" s="229" t="inlineStr">
        <is>
          <t>自社製コロッケＫＩＴ４</t>
        </is>
      </c>
      <c r="D62" s="190" t="n"/>
      <c r="E62" s="190" t="n"/>
      <c r="F62" s="541">
        <f>IF(OR(D62="",E62=""),"",(E62-D62)*1440)</f>
        <v/>
      </c>
      <c r="G62" s="542" t="n"/>
      <c r="H62" s="542" t="n"/>
      <c r="I62" s="543" t="n"/>
      <c r="J62" s="192" t="n"/>
      <c r="K62" s="544">
        <f>IF(AND(ISNUMBER(F62),I62&gt;0),I62/(F62/60),"")</f>
        <v/>
      </c>
      <c r="L62" s="545" t="n">
        <v>1500</v>
      </c>
      <c r="M62" s="194">
        <f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546">
        <f>IF(AND(I62&gt;0,ISNUMBER(M62)),M62/I62,"")</f>
        <v/>
      </c>
      <c r="O62" s="547">
        <f>IF(AND(J62&gt;0,ISNUMBER(M62)),M62/J62,"")</f>
        <v/>
      </c>
      <c r="P62" s="199" t="n"/>
      <c r="Q62" s="200" t="inlineStr">
        <is>
          <t>★要入力（工程記録なし／実作業(分)・人数・個数を入れると⑳に自動反映）</t>
        </is>
      </c>
      <c r="R62" t="inlineStr">
        <is>
          <t>自社製コロッケＫＩＴ４</t>
        </is>
      </c>
      <c r="X62" s="334">
        <f>COUNTA(R62:W62)</f>
        <v/>
      </c>
      <c r="Y62" s="334">
        <f>IF(AND($X62&gt;0,ISNUMBER($M62)),$M62/$X62,"")</f>
        <v/>
      </c>
      <c r="Z62" s="334">
        <f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 s="334">
        <f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/>
      </c>
      <c r="AB62" s="334">
        <f>IF(ISNUMBER($M62),$M62,0)</f>
        <v/>
      </c>
      <c r="AC62" s="334">
        <f>IF(AND($X62&gt;0,ISNUMBER($J62)),$J62/$X62,"")</f>
        <v/>
      </c>
      <c r="AD62" s="413">
        <f>IF($R62="",0,IF($AA62&gt;0,$AB62*SUMIF(⑳商品別1食労務費!$C$5:$C$124,$R62,⑳商品別1食労務費!$F$5:$F$124)/$AA62,$AB62/$X62))</f>
        <v/>
      </c>
      <c r="AE62" s="413">
        <f>IF($S62="",0,IF($AA62&gt;0,$AB62*SUMIF(⑳商品別1食労務費!$C$5:$C$124,$S62,⑳商品別1食労務費!$F$5:$F$124)/$AA62,$AB62/$X62))</f>
        <v/>
      </c>
      <c r="AF62" s="413">
        <f>IF($T62="",0,IF($AA62&gt;0,$AB62*SUMIF(⑳商品別1食労務費!$C$5:$C$124,$T62,⑳商品別1食労務費!$F$5:$F$124)/$AA62,$AB62/$X62))</f>
        <v/>
      </c>
      <c r="AG62" s="413">
        <f>IF($U62="",0,IF($AA62&gt;0,$AB62*SUMIF(⑳商品別1食労務費!$C$5:$C$124,$U62,⑳商品別1食労務費!$F$5:$F$124)/$AA62,$AB62/$X62))</f>
        <v/>
      </c>
      <c r="AH62" s="413">
        <f>IF($V62="",0,IF($AA62&gt;0,$AB62*SUMIF(⑳商品別1食労務費!$C$5:$C$124,$V62,⑳商品別1食労務費!$F$5:$F$124)/$AA62,$AB62/$X62))</f>
        <v/>
      </c>
      <c r="AI62" s="413">
        <f>IF($W62="",0,IF($AA62&gt;0,$AB62*SUMIF(⑳商品別1食労務費!$C$5:$C$124,$W62,⑳商品別1食労務費!$F$5:$F$124)/$AA62,$AB62/$X62))</f>
        <v/>
      </c>
    </row>
    <row r="63" hidden="1" s="438">
      <c r="A63" s="197" t="n">
        <v>322</v>
      </c>
      <c r="B63" s="198" t="inlineStr">
        <is>
          <t>盛り込み②</t>
        </is>
      </c>
      <c r="C63" s="229" t="inlineStr">
        <is>
          <t>厚切りとんかつＫＩＴ２</t>
        </is>
      </c>
      <c r="D63" s="190" t="n"/>
      <c r="E63" s="190" t="n"/>
      <c r="F63" s="541">
        <f>IF(OR(D63="",E63=""),"",(E63-D63)*1440)</f>
        <v/>
      </c>
      <c r="G63" s="542" t="n"/>
      <c r="H63" s="542" t="n"/>
      <c r="I63" s="543" t="n"/>
      <c r="J63" s="192" t="n"/>
      <c r="K63" s="544">
        <f>IF(AND(ISNUMBER(F63),I63&gt;0),I63/(F63/60),"")</f>
        <v/>
      </c>
      <c r="L63" s="545" t="n">
        <v>1500</v>
      </c>
      <c r="M63" s="194">
        <f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546">
        <f>IF(AND(I63&gt;0,ISNUMBER(M63)),M63/I63,"")</f>
        <v/>
      </c>
      <c r="O63" s="547">
        <f>IF(AND(J63&gt;0,ISNUMBER(M63)),M63/J63,"")</f>
        <v/>
      </c>
      <c r="P63" s="199" t="n"/>
      <c r="Q63" s="200" t="inlineStr">
        <is>
          <t>★要入力（工程記録なし／実作業(分)・人数・個数を入れると⑳に自動反映）</t>
        </is>
      </c>
      <c r="R63" t="inlineStr">
        <is>
          <t>厚切りとんかつＫＩＴ２</t>
        </is>
      </c>
      <c r="X63" s="334">
        <f>COUNTA(R63:W63)</f>
        <v/>
      </c>
      <c r="Y63" s="334">
        <f>IF(AND($X63&gt;0,ISNUMBER($M63)),$M63/$X63,"")</f>
        <v/>
      </c>
      <c r="Z63" s="334">
        <f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 s="334">
        <f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/>
      </c>
      <c r="AB63" s="334">
        <f>IF(ISNUMBER($M63),$M63,0)</f>
        <v/>
      </c>
      <c r="AC63" s="334">
        <f>IF(AND($X63&gt;0,ISNUMBER($J63)),$J63/$X63,"")</f>
        <v/>
      </c>
      <c r="AD63" s="413">
        <f>IF($R63="",0,IF($AA63&gt;0,$AB63*SUMIF(⑳商品別1食労務費!$C$5:$C$124,$R63,⑳商品別1食労務費!$F$5:$F$124)/$AA63,$AB63/$X63))</f>
        <v/>
      </c>
      <c r="AE63" s="413">
        <f>IF($S63="",0,IF($AA63&gt;0,$AB63*SUMIF(⑳商品別1食労務費!$C$5:$C$124,$S63,⑳商品別1食労務費!$F$5:$F$124)/$AA63,$AB63/$X63))</f>
        <v/>
      </c>
      <c r="AF63" s="413">
        <f>IF($T63="",0,IF($AA63&gt;0,$AB63*SUMIF(⑳商品別1食労務費!$C$5:$C$124,$T63,⑳商品別1食労務費!$F$5:$F$124)/$AA63,$AB63/$X63))</f>
        <v/>
      </c>
      <c r="AG63" s="413">
        <f>IF($U63="",0,IF($AA63&gt;0,$AB63*SUMIF(⑳商品別1食労務費!$C$5:$C$124,$U63,⑳商品別1食労務費!$F$5:$F$124)/$AA63,$AB63/$X63))</f>
        <v/>
      </c>
      <c r="AH63" s="413">
        <f>IF($V63="",0,IF($AA63&gt;0,$AB63*SUMIF(⑳商品別1食労務費!$C$5:$C$124,$V63,⑳商品別1食労務費!$F$5:$F$124)/$AA63,$AB63/$X63))</f>
        <v/>
      </c>
      <c r="AI63" s="413">
        <f>IF($W63="",0,IF($AA63&gt;0,$AB63*SUMIF(⑳商品別1食労務費!$C$5:$C$124,$W63,⑳商品別1食労務費!$F$5:$F$124)/$AA63,$AB63/$X63))</f>
        <v/>
      </c>
    </row>
    <row r="64" hidden="1" s="438">
      <c r="A64" s="197" t="n">
        <v>323</v>
      </c>
      <c r="B64" s="198" t="inlineStr">
        <is>
          <t>盛り込み②</t>
        </is>
      </c>
      <c r="C64" s="229" t="inlineStr">
        <is>
          <t>串なし焼き鳥ＫＩＴ</t>
        </is>
      </c>
      <c r="D64" s="190" t="n"/>
      <c r="E64" s="190" t="n"/>
      <c r="F64" s="541">
        <f>IF(OR(D64="",E64=""),"",(E64-D64)*1440)</f>
        <v/>
      </c>
      <c r="G64" s="542" t="n"/>
      <c r="H64" s="542" t="n"/>
      <c r="I64" s="543" t="n"/>
      <c r="J64" s="192" t="n"/>
      <c r="K64" s="544">
        <f>IF(AND(ISNUMBER(F64),I64&gt;0),I64/(F64/60),"")</f>
        <v/>
      </c>
      <c r="L64" s="545" t="n">
        <v>1500</v>
      </c>
      <c r="M64" s="194">
        <f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546">
        <f>IF(AND(I64&gt;0,ISNUMBER(M64)),M64/I64,"")</f>
        <v/>
      </c>
      <c r="O64" s="547">
        <f>IF(AND(J64&gt;0,ISNUMBER(M64)),M64/J64,"")</f>
        <v/>
      </c>
      <c r="P64" s="199" t="n"/>
      <c r="Q64" s="200" t="inlineStr">
        <is>
          <t>★要入力（工程記録なし／実作業(分)・人数・個数を入れると⑳に自動反映）</t>
        </is>
      </c>
      <c r="R64" t="inlineStr">
        <is>
          <t>串なし焼き鳥ＫＩＴ</t>
        </is>
      </c>
      <c r="X64" s="334">
        <f>COUNTA(R64:W64)</f>
        <v/>
      </c>
      <c r="Y64" s="334">
        <f>IF(AND($X64&gt;0,ISNUMBER($M64)),$M64/$X64,"")</f>
        <v/>
      </c>
      <c r="Z64" s="334">
        <f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 s="334">
        <f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/>
      </c>
      <c r="AB64" s="334">
        <f>IF(ISNUMBER($M64),$M64,0)</f>
        <v/>
      </c>
      <c r="AC64" s="334">
        <f>IF(AND($X64&gt;0,ISNUMBER($J64)),$J64/$X64,"")</f>
        <v/>
      </c>
      <c r="AD64" s="413">
        <f>IF($R64="",0,IF($AA64&gt;0,$AB64*SUMIF(⑳商品別1食労務費!$C$5:$C$124,$R64,⑳商品別1食労務費!$F$5:$F$124)/$AA64,$AB64/$X64))</f>
        <v/>
      </c>
      <c r="AE64" s="413">
        <f>IF($S64="",0,IF($AA64&gt;0,$AB64*SUMIF(⑳商品別1食労務費!$C$5:$C$124,$S64,⑳商品別1食労務費!$F$5:$F$124)/$AA64,$AB64/$X64))</f>
        <v/>
      </c>
      <c r="AF64" s="413">
        <f>IF($T64="",0,IF($AA64&gt;0,$AB64*SUMIF(⑳商品別1食労務費!$C$5:$C$124,$T64,⑳商品別1食労務費!$F$5:$F$124)/$AA64,$AB64/$X64))</f>
        <v/>
      </c>
      <c r="AG64" s="413">
        <f>IF($U64="",0,IF($AA64&gt;0,$AB64*SUMIF(⑳商品別1食労務費!$C$5:$C$124,$U64,⑳商品別1食労務費!$F$5:$F$124)/$AA64,$AB64/$X64))</f>
        <v/>
      </c>
      <c r="AH64" s="413">
        <f>IF($V64="",0,IF($AA64&gt;0,$AB64*SUMIF(⑳商品別1食労務費!$C$5:$C$124,$V64,⑳商品別1食労務費!$F$5:$F$124)/$AA64,$AB64/$X64))</f>
        <v/>
      </c>
      <c r="AI64" s="413">
        <f>IF($W64="",0,IF($AA64&gt;0,$AB64*SUMIF(⑳商品別1食労務費!$C$5:$C$124,$W64,⑳商品別1食労務費!$F$5:$F$124)/$AA64,$AB64/$X64))</f>
        <v/>
      </c>
    </row>
    <row r="65" hidden="1" s="438">
      <c r="A65" s="197" t="n">
        <v>324</v>
      </c>
      <c r="B65" s="198" t="inlineStr">
        <is>
          <t>盛り込み③</t>
        </is>
      </c>
      <c r="C65" s="229" t="inlineStr">
        <is>
          <t>こはく本舗ハンバーグＫＩＴ</t>
        </is>
      </c>
      <c r="D65" s="190" t="n"/>
      <c r="E65" s="190" t="n"/>
      <c r="F65" s="541">
        <f>IF(OR(D65="",E65=""),"",(E65-D65)*1440)</f>
        <v/>
      </c>
      <c r="G65" s="542" t="n"/>
      <c r="H65" s="542" t="n"/>
      <c r="I65" s="543" t="n"/>
      <c r="J65" s="192" t="n"/>
      <c r="K65" s="544">
        <f>IF(AND(ISNUMBER(F65),I65&gt;0),I65/(F65/60),"")</f>
        <v/>
      </c>
      <c r="L65" s="545" t="n">
        <v>1200</v>
      </c>
      <c r="M65" s="194">
        <f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546">
        <f>IF(AND(I65&gt;0,ISNUMBER(M65)),M65/I65,"")</f>
        <v/>
      </c>
      <c r="O65" s="547">
        <f>IF(AND(J65&gt;0,ISNUMBER(M65)),M65/J65,"")</f>
        <v/>
      </c>
      <c r="P65" s="199" t="n"/>
      <c r="Q65" s="200" t="inlineStr">
        <is>
          <t>★要入力（工程記録なし／実作業(分)・人数・個数を入れると⑳に自動反映）</t>
        </is>
      </c>
      <c r="R65" t="inlineStr">
        <is>
          <t>こはく本舗ハンバーグＫＩＴ</t>
        </is>
      </c>
      <c r="X65" s="334">
        <f>COUNTA(R65:W65)</f>
        <v/>
      </c>
      <c r="Y65" s="334">
        <f>IF(AND($X65&gt;0,ISNUMBER($M65)),$M65/$X65,"")</f>
        <v/>
      </c>
      <c r="Z65" s="334">
        <f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 s="334">
        <f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/>
      </c>
      <c r="AB65" s="334">
        <f>IF(ISNUMBER($M65),$M65,0)</f>
        <v/>
      </c>
      <c r="AC65" s="334">
        <f>IF(AND($X65&gt;0,ISNUMBER($J65)),$J65/$X65,"")</f>
        <v/>
      </c>
      <c r="AD65" s="413">
        <f>IF($R65="",0,IF($AA65&gt;0,$AB65*SUMIF(⑳商品別1食労務費!$C$5:$C$124,$R65,⑳商品別1食労務費!$F$5:$F$124)/$AA65,$AB65/$X65))</f>
        <v/>
      </c>
      <c r="AE65" s="413">
        <f>IF($S65="",0,IF($AA65&gt;0,$AB65*SUMIF(⑳商品別1食労務費!$C$5:$C$124,$S65,⑳商品別1食労務費!$F$5:$F$124)/$AA65,$AB65/$X65))</f>
        <v/>
      </c>
      <c r="AF65" s="413">
        <f>IF($T65="",0,IF($AA65&gt;0,$AB65*SUMIF(⑳商品別1食労務費!$C$5:$C$124,$T65,⑳商品別1食労務費!$F$5:$F$124)/$AA65,$AB65/$X65))</f>
        <v/>
      </c>
      <c r="AG65" s="413">
        <f>IF($U65="",0,IF($AA65&gt;0,$AB65*SUMIF(⑳商品別1食労務費!$C$5:$C$124,$U65,⑳商品別1食労務費!$F$5:$F$124)/$AA65,$AB65/$X65))</f>
        <v/>
      </c>
      <c r="AH65" s="413">
        <f>IF($V65="",0,IF($AA65&gt;0,$AB65*SUMIF(⑳商品別1食労務費!$C$5:$C$124,$V65,⑳商品別1食労務費!$F$5:$F$124)/$AA65,$AB65/$X65))</f>
        <v/>
      </c>
      <c r="AI65" s="413">
        <f>IF($W65="",0,IF($AA65&gt;0,$AB65*SUMIF(⑳商品別1食労務費!$C$5:$C$124,$W65,⑳商品別1食労務費!$F$5:$F$124)/$AA65,$AB65/$X65))</f>
        <v/>
      </c>
    </row>
    <row r="66" hidden="1" s="438">
      <c r="A66" s="197" t="n">
        <v>325</v>
      </c>
      <c r="B66" s="198" t="inlineStr">
        <is>
          <t>盛り込み③</t>
        </is>
      </c>
      <c r="C66" s="229" t="inlineStr">
        <is>
          <t>あんこＫＩＴ　１ｋｇ</t>
        </is>
      </c>
      <c r="D66" s="190" t="n"/>
      <c r="E66" s="190" t="n"/>
      <c r="F66" s="541">
        <f>IF(OR(D66="",E66=""),"",(E66-D66)*1440)</f>
        <v/>
      </c>
      <c r="G66" s="542" t="n"/>
      <c r="H66" s="542" t="n"/>
      <c r="I66" s="543" t="n"/>
      <c r="J66" s="192" t="n"/>
      <c r="K66" s="544">
        <f>IF(AND(ISNUMBER(F66),I66&gt;0),I66/(F66/60),"")</f>
        <v/>
      </c>
      <c r="L66" s="545" t="n">
        <v>800</v>
      </c>
      <c r="M66" s="194">
        <f>IF(OR(ISNUMBER(SEARCH("サニテーション",C66)),ISNUMBER(SEARCH("客注",C66)),ISNUMBER(SEARCH("切り替え",C66)),ISNUMBER(SEARCH("切替",C66)),NOT(ISNUMBER(H66))),"",IF(ISNUMBER(G66),G66/60*H66*④前提設定!$B$4,IF(AND(G66="",ISNUMBER(F66)),F66/60*H66*④前提設定!$B$4,"")))</f>
        <v/>
      </c>
      <c r="N66" s="546">
        <f>IF(AND(I66&gt;0,ISNUMBER(M66)),M66/I66,"")</f>
        <v/>
      </c>
      <c r="O66" s="547">
        <f>IF(AND(J66&gt;0,ISNUMBER(M66)),M66/J66,"")</f>
        <v/>
      </c>
      <c r="P66" s="199" t="n"/>
      <c r="Q66" s="200" t="inlineStr">
        <is>
          <t>★要入力（工程記録なし／実作業(分)・人数・個数を入れると⑳に自動反映）</t>
        </is>
      </c>
      <c r="R66" t="inlineStr">
        <is>
          <t>あんこＫＩＴ　１ｋｇ</t>
        </is>
      </c>
      <c r="X66" s="334">
        <f>COUNTA(R66:W66)</f>
        <v/>
      </c>
      <c r="Y66" s="334">
        <f>IF(AND($X66&gt;0,ISNUMBER($M66)),$M66/$X66,"")</f>
        <v/>
      </c>
      <c r="Z66" s="334">
        <f>IF($X66=0,"",IF(COUNTIF(⑳商品別1食労務費!$C$5:$C$124,$R66)+COUNTIF(⑳商品別1食労務費!$C$5:$C$124,$S66)+COUNTIF(⑳商品別1食労務費!$C$5:$C$124,$T66)+COUNTIF(⑳商品別1食労務費!$C$5:$C$124,$U66)+COUNTIF(⑳商品別1食労務費!$C$5:$C$124,$V66)+COUNTIF(⑳商品別1食労務費!$C$5:$C$124,$W66)=$X66,"OK","⑳に無い商品名"))</f>
        <v/>
      </c>
      <c r="AA66" s="334">
        <f>SUMIF(⑳商品別1食労務費!$C$5:$C$124,$R66,⑳商品別1食労務費!$F$5:$F$124)+SUMIF(⑳商品別1食労務費!$C$5:$C$124,$S66,⑳商品別1食労務費!$F$5:$F$124)+SUMIF(⑳商品別1食労務費!$C$5:$C$124,$T66,⑳商品別1食労務費!$F$5:$F$124)+SUMIF(⑳商品別1食労務費!$C$5:$C$124,$U66,⑳商品別1食労務費!$F$5:$F$124)+SUMIF(⑳商品別1食労務費!$C$5:$C$124,$V66,⑳商品別1食労務費!$F$5:$F$124)+SUMIF(⑳商品別1食労務費!$C$5:$C$124,$W66,⑳商品別1食労務費!$F$5:$F$124)</f>
        <v/>
      </c>
      <c r="AB66" s="334">
        <f>IF(ISNUMBER($M66),$M66,0)</f>
        <v/>
      </c>
      <c r="AC66" s="334">
        <f>IF(AND($X66&gt;0,ISNUMBER($J66)),$J66/$X66,"")</f>
        <v/>
      </c>
      <c r="AD66" s="413">
        <f>IF($R66="",0,IF($AA66&gt;0,$AB66*SUMIF(⑳商品別1食労務費!$C$5:$C$124,$R66,⑳商品別1食労務費!$F$5:$F$124)/$AA66,$AB66/$X66))</f>
        <v/>
      </c>
      <c r="AE66" s="413">
        <f>IF($S66="",0,IF($AA66&gt;0,$AB66*SUMIF(⑳商品別1食労務費!$C$5:$C$124,$S66,⑳商品別1食労務費!$F$5:$F$124)/$AA66,$AB66/$X66))</f>
        <v/>
      </c>
      <c r="AF66" s="413">
        <f>IF($T66="",0,IF($AA66&gt;0,$AB66*SUMIF(⑳商品別1食労務費!$C$5:$C$124,$T66,⑳商品別1食労務費!$F$5:$F$124)/$AA66,$AB66/$X66))</f>
        <v/>
      </c>
      <c r="AG66" s="413">
        <f>IF($U66="",0,IF($AA66&gt;0,$AB66*SUMIF(⑳商品別1食労務費!$C$5:$C$124,$U66,⑳商品別1食労務費!$F$5:$F$124)/$AA66,$AB66/$X66))</f>
        <v/>
      </c>
      <c r="AH66" s="413">
        <f>IF($V66="",0,IF($AA66&gt;0,$AB66*SUMIF(⑳商品別1食労務費!$C$5:$C$124,$V66,⑳商品別1食労務費!$F$5:$F$124)/$AA66,$AB66/$X66))</f>
        <v/>
      </c>
      <c r="AI66" s="413">
        <f>IF($W66="",0,IF($AA66&gt;0,$AB66*SUMIF(⑳商品別1食労務費!$C$5:$C$124,$W66,⑳商品別1食労務費!$F$5:$F$124)/$AA66,$AB66/$X66))</f>
        <v/>
      </c>
    </row>
    <row r="67" hidden="1" s="438">
      <c r="A67" s="197" t="n">
        <v>326</v>
      </c>
      <c r="B67" s="198" t="inlineStr">
        <is>
          <t>盛り込み③</t>
        </is>
      </c>
      <c r="C67" s="229" t="inlineStr">
        <is>
          <t>国産フライドチキンＫＩＴ</t>
        </is>
      </c>
      <c r="D67" s="190" t="n"/>
      <c r="E67" s="190" t="n"/>
      <c r="F67" s="541">
        <f>IF(OR(D67="",E67=""),"",(E67-D67)*1440)</f>
        <v/>
      </c>
      <c r="G67" s="542" t="n"/>
      <c r="H67" s="542" t="n"/>
      <c r="I67" s="543" t="n"/>
      <c r="J67" s="192" t="n"/>
      <c r="K67" s="544">
        <f>IF(AND(ISNUMBER(F67),I67&gt;0),I67/(F67/60),"")</f>
        <v/>
      </c>
      <c r="L67" s="545" t="n">
        <v>800</v>
      </c>
      <c r="M67" s="194">
        <f>IF(OR(ISNUMBER(SEARCH("サニテーション",C67)),ISNUMBER(SEARCH("客注",C67)),ISNUMBER(SEARCH("切り替え",C67)),ISNUMBER(SEARCH("切替",C67)),NOT(ISNUMBER(H67))),"",IF(ISNUMBER(G67),G67/60*H67*④前提設定!$B$4,IF(AND(G67="",ISNUMBER(F67)),F67/60*H67*④前提設定!$B$4,"")))</f>
        <v/>
      </c>
      <c r="N67" s="546">
        <f>IF(AND(I67&gt;0,ISNUMBER(M67)),M67/I67,"")</f>
        <v/>
      </c>
      <c r="O67" s="547">
        <f>IF(AND(J67&gt;0,ISNUMBER(M67)),M67/J67,"")</f>
        <v/>
      </c>
      <c r="P67" s="199" t="n"/>
      <c r="Q67" s="200" t="inlineStr">
        <is>
          <t>★要入力（工程記録なし／実作業(分)・人数・個数を入れると⑳に自動反映）</t>
        </is>
      </c>
      <c r="R67" t="inlineStr">
        <is>
          <t>国産フライドチキンＫＩＴ</t>
        </is>
      </c>
      <c r="X67" s="334">
        <f>COUNTA(R67:W67)</f>
        <v/>
      </c>
      <c r="Y67" s="334">
        <f>IF(AND($X67&gt;0,ISNUMBER($M67)),$M67/$X67,"")</f>
        <v/>
      </c>
      <c r="Z67" s="334">
        <f>IF($X67=0,"",IF(COUNTIF(⑳商品別1食労務費!$C$5:$C$124,$R67)+COUNTIF(⑳商品別1食労務費!$C$5:$C$124,$S67)+COUNTIF(⑳商品別1食労務費!$C$5:$C$124,$T67)+COUNTIF(⑳商品別1食労務費!$C$5:$C$124,$U67)+COUNTIF(⑳商品別1食労務費!$C$5:$C$124,$V67)+COUNTIF(⑳商品別1食労務費!$C$5:$C$124,$W67)=$X67,"OK","⑳に無い商品名"))</f>
        <v/>
      </c>
      <c r="AA67" s="334">
        <f>SUMIF(⑳商品別1食労務費!$C$5:$C$124,$R67,⑳商品別1食労務費!$F$5:$F$124)+SUMIF(⑳商品別1食労務費!$C$5:$C$124,$S67,⑳商品別1食労務費!$F$5:$F$124)+SUMIF(⑳商品別1食労務費!$C$5:$C$124,$T67,⑳商品別1食労務費!$F$5:$F$124)+SUMIF(⑳商品別1食労務費!$C$5:$C$124,$U67,⑳商品別1食労務費!$F$5:$F$124)+SUMIF(⑳商品別1食労務費!$C$5:$C$124,$V67,⑳商品別1食労務費!$F$5:$F$124)+SUMIF(⑳商品別1食労務費!$C$5:$C$124,$W67,⑳商品別1食労務費!$F$5:$F$124)</f>
        <v/>
      </c>
      <c r="AB67" s="334">
        <f>IF(ISNUMBER($M67),$M67,0)</f>
        <v/>
      </c>
      <c r="AC67" s="334">
        <f>IF(AND($X67&gt;0,ISNUMBER($J67)),$J67/$X67,"")</f>
        <v/>
      </c>
      <c r="AD67" s="413">
        <f>IF($R67="",0,IF($AA67&gt;0,$AB67*SUMIF(⑳商品別1食労務費!$C$5:$C$124,$R67,⑳商品別1食労務費!$F$5:$F$124)/$AA67,$AB67/$X67))</f>
        <v/>
      </c>
      <c r="AE67" s="413">
        <f>IF($S67="",0,IF($AA67&gt;0,$AB67*SUMIF(⑳商品別1食労務費!$C$5:$C$124,$S67,⑳商品別1食労務費!$F$5:$F$124)/$AA67,$AB67/$X67))</f>
        <v/>
      </c>
      <c r="AF67" s="413">
        <f>IF($T67="",0,IF($AA67&gt;0,$AB67*SUMIF(⑳商品別1食労務費!$C$5:$C$124,$T67,⑳商品別1食労務費!$F$5:$F$124)/$AA67,$AB67/$X67))</f>
        <v/>
      </c>
      <c r="AG67" s="413">
        <f>IF($U67="",0,IF($AA67&gt;0,$AB67*SUMIF(⑳商品別1食労務費!$C$5:$C$124,$U67,⑳商品別1食労務費!$F$5:$F$124)/$AA67,$AB67/$X67))</f>
        <v/>
      </c>
      <c r="AH67" s="413">
        <f>IF($V67="",0,IF($AA67&gt;0,$AB67*SUMIF(⑳商品別1食労務費!$C$5:$C$124,$V67,⑳商品別1食労務費!$F$5:$F$124)/$AA67,$AB67/$X67))</f>
        <v/>
      </c>
      <c r="AI67" s="413">
        <f>IF($W67="",0,IF($AA67&gt;0,$AB67*SUMIF(⑳商品別1食労務費!$C$5:$C$124,$W67,⑳商品別1食労務費!$F$5:$F$124)/$AA67,$AB67/$X67))</f>
        <v/>
      </c>
    </row>
    <row r="68" hidden="1" s="438">
      <c r="A68" s="197" t="n">
        <v>327</v>
      </c>
      <c r="B68" s="198" t="inlineStr">
        <is>
          <t>盛り込み③</t>
        </is>
      </c>
      <c r="C68" s="229" t="inlineStr">
        <is>
          <t>ハンバーグキット１０００４</t>
        </is>
      </c>
      <c r="D68" s="190" t="n"/>
      <c r="E68" s="190" t="n"/>
      <c r="F68" s="541">
        <f>IF(OR(D68="",E68=""),"",(E68-D68)*1440)</f>
        <v/>
      </c>
      <c r="G68" s="542" t="n"/>
      <c r="H68" s="542" t="n"/>
      <c r="I68" s="543" t="n"/>
      <c r="J68" s="192" t="n"/>
      <c r="K68" s="544">
        <f>IF(AND(ISNUMBER(F68),I68&gt;0),I68/(F68/60),"")</f>
        <v/>
      </c>
      <c r="L68" s="545" t="n">
        <v>1000</v>
      </c>
      <c r="M68" s="194">
        <f>IF(OR(ISNUMBER(SEARCH("サニテーション",C68)),ISNUMBER(SEARCH("客注",C68)),ISNUMBER(SEARCH("切り替え",C68)),ISNUMBER(SEARCH("切替",C68)),NOT(ISNUMBER(H68))),"",IF(ISNUMBER(G68),G68/60*H68*④前提設定!$B$4,IF(AND(G68="",ISNUMBER(F68)),F68/60*H68*④前提設定!$B$4,"")))</f>
        <v/>
      </c>
      <c r="N68" s="546">
        <f>IF(AND(I68&gt;0,ISNUMBER(M68)),M68/I68,"")</f>
        <v/>
      </c>
      <c r="O68" s="547">
        <f>IF(AND(J68&gt;0,ISNUMBER(M68)),M68/J68,"")</f>
        <v/>
      </c>
      <c r="P68" s="199" t="n"/>
      <c r="Q68" s="200" t="inlineStr">
        <is>
          <t>★要入力（工程記録なし／実作業(分)・人数・個数を入れると⑳に自動反映）</t>
        </is>
      </c>
      <c r="R68" t="inlineStr">
        <is>
          <t>ハンバーグキット１０００４</t>
        </is>
      </c>
      <c r="X68" s="334">
        <f>COUNTA(R68:W68)</f>
        <v/>
      </c>
      <c r="Y68" s="334">
        <f>IF(AND($X68&gt;0,ISNUMBER($M68)),$M68/$X68,"")</f>
        <v/>
      </c>
      <c r="Z68" s="334">
        <f>IF($X68=0,"",IF(COUNTIF(⑳商品別1食労務費!$C$5:$C$124,$R68)+COUNTIF(⑳商品別1食労務費!$C$5:$C$124,$S68)+COUNTIF(⑳商品別1食労務費!$C$5:$C$124,$T68)+COUNTIF(⑳商品別1食労務費!$C$5:$C$124,$U68)+COUNTIF(⑳商品別1食労務費!$C$5:$C$124,$V68)+COUNTIF(⑳商品別1食労務費!$C$5:$C$124,$W68)=$X68,"OK","⑳に無い商品名"))</f>
        <v/>
      </c>
      <c r="AA68" s="334">
        <f>SUMIF(⑳商品別1食労務費!$C$5:$C$124,$R68,⑳商品別1食労務費!$F$5:$F$124)+SUMIF(⑳商品別1食労務費!$C$5:$C$124,$S68,⑳商品別1食労務費!$F$5:$F$124)+SUMIF(⑳商品別1食労務費!$C$5:$C$124,$T68,⑳商品別1食労務費!$F$5:$F$124)+SUMIF(⑳商品別1食労務費!$C$5:$C$124,$U68,⑳商品別1食労務費!$F$5:$F$124)+SUMIF(⑳商品別1食労務費!$C$5:$C$124,$V68,⑳商品別1食労務費!$F$5:$F$124)+SUMIF(⑳商品別1食労務費!$C$5:$C$124,$W68,⑳商品別1食労務費!$F$5:$F$124)</f>
        <v/>
      </c>
      <c r="AB68" s="334">
        <f>IF(ISNUMBER($M68),$M68,0)</f>
        <v/>
      </c>
      <c r="AC68" s="334">
        <f>IF(AND($X68&gt;0,ISNUMBER($J68)),$J68/$X68,"")</f>
        <v/>
      </c>
      <c r="AD68" s="413">
        <f>IF($R68="",0,IF($AA68&gt;0,$AB68*SUMIF(⑳商品別1食労務費!$C$5:$C$124,$R68,⑳商品別1食労務費!$F$5:$F$124)/$AA68,$AB68/$X68))</f>
        <v/>
      </c>
      <c r="AE68" s="413">
        <f>IF($S68="",0,IF($AA68&gt;0,$AB68*SUMIF(⑳商品別1食労務費!$C$5:$C$124,$S68,⑳商品別1食労務費!$F$5:$F$124)/$AA68,$AB68/$X68))</f>
        <v/>
      </c>
      <c r="AF68" s="413">
        <f>IF($T68="",0,IF($AA68&gt;0,$AB68*SUMIF(⑳商品別1食労務費!$C$5:$C$124,$T68,⑳商品別1食労務費!$F$5:$F$124)/$AA68,$AB68/$X68))</f>
        <v/>
      </c>
      <c r="AG68" s="413">
        <f>IF($U68="",0,IF($AA68&gt;0,$AB68*SUMIF(⑳商品別1食労務費!$C$5:$C$124,$U68,⑳商品別1食労務費!$F$5:$F$124)/$AA68,$AB68/$X68))</f>
        <v/>
      </c>
      <c r="AH68" s="413">
        <f>IF($V68="",0,IF($AA68&gt;0,$AB68*SUMIF(⑳商品別1食労務費!$C$5:$C$124,$V68,⑳商品別1食労務費!$F$5:$F$124)/$AA68,$AB68/$X68))</f>
        <v/>
      </c>
      <c r="AI68" s="413">
        <f>IF($W68="",0,IF($AA68&gt;0,$AB68*SUMIF(⑳商品別1食労務費!$C$5:$C$124,$W68,⑳商品別1食労務費!$F$5:$F$124)/$AA68,$AB68/$X68))</f>
        <v/>
      </c>
    </row>
    <row r="69" hidden="1" s="438">
      <c r="A69" s="197" t="n">
        <v>328</v>
      </c>
      <c r="B69" s="198" t="inlineStr">
        <is>
          <t>盛り込み③</t>
        </is>
      </c>
      <c r="C69" s="229" t="inlineStr">
        <is>
          <t>福島生姜焼きＫＩＴ</t>
        </is>
      </c>
      <c r="D69" s="190" t="n"/>
      <c r="E69" s="190" t="n"/>
      <c r="F69" s="541">
        <f>IF(OR(D69="",E69=""),"",(E69-D69)*1440)</f>
        <v/>
      </c>
      <c r="G69" s="542" t="n"/>
      <c r="H69" s="542" t="n"/>
      <c r="I69" s="543" t="n"/>
      <c r="J69" s="192" t="n"/>
      <c r="K69" s="544">
        <f>IF(AND(ISNUMBER(F69),I69&gt;0),I69/(F69/60),"")</f>
        <v/>
      </c>
      <c r="L69" s="545" t="n">
        <v>1200</v>
      </c>
      <c r="M69" s="194">
        <f>IF(OR(ISNUMBER(SEARCH("サニテーション",C69)),ISNUMBER(SEARCH("客注",C69)),ISNUMBER(SEARCH("切り替え",C69)),ISNUMBER(SEARCH("切替",C69)),NOT(ISNUMBER(H69))),"",IF(ISNUMBER(G69),G69/60*H69*④前提設定!$B$4,IF(AND(G69="",ISNUMBER(F69)),F69/60*H69*④前提設定!$B$4,"")))</f>
        <v/>
      </c>
      <c r="N69" s="546">
        <f>IF(AND(I69&gt;0,ISNUMBER(M69)),M69/I69,"")</f>
        <v/>
      </c>
      <c r="O69" s="547">
        <f>IF(AND(J69&gt;0,ISNUMBER(M69)),M69/J69,"")</f>
        <v/>
      </c>
      <c r="P69" s="199" t="n"/>
      <c r="Q69" s="200" t="inlineStr">
        <is>
          <t>★要入力（工程記録なし／実作業(分)・人数・個数を入れると⑳に自動反映）</t>
        </is>
      </c>
      <c r="R69" t="inlineStr">
        <is>
          <t>福島生姜焼きＫＩＴ</t>
        </is>
      </c>
      <c r="X69" s="334">
        <f>COUNTA(R69:W69)</f>
        <v/>
      </c>
      <c r="Y69" s="334">
        <f>IF(AND($X69&gt;0,ISNUMBER($M69)),$M69/$X69,"")</f>
        <v/>
      </c>
      <c r="Z69" s="334">
        <f>IF($X69=0,"",IF(COUNTIF(⑳商品別1食労務費!$C$5:$C$124,$R69)+COUNTIF(⑳商品別1食労務費!$C$5:$C$124,$S69)+COUNTIF(⑳商品別1食労務費!$C$5:$C$124,$T69)+COUNTIF(⑳商品別1食労務費!$C$5:$C$124,$U69)+COUNTIF(⑳商品別1食労務費!$C$5:$C$124,$V69)+COUNTIF(⑳商品別1食労務費!$C$5:$C$124,$W69)=$X69,"OK","⑳に無い商品名"))</f>
        <v/>
      </c>
      <c r="AA69" s="334">
        <f>SUMIF(⑳商品別1食労務費!$C$5:$C$124,$R69,⑳商品別1食労務費!$F$5:$F$124)+SUMIF(⑳商品別1食労務費!$C$5:$C$124,$S69,⑳商品別1食労務費!$F$5:$F$124)+SUMIF(⑳商品別1食労務費!$C$5:$C$124,$T69,⑳商品別1食労務費!$F$5:$F$124)+SUMIF(⑳商品別1食労務費!$C$5:$C$124,$U69,⑳商品別1食労務費!$F$5:$F$124)+SUMIF(⑳商品別1食労務費!$C$5:$C$124,$V69,⑳商品別1食労務費!$F$5:$F$124)+SUMIF(⑳商品別1食労務費!$C$5:$C$124,$W69,⑳商品別1食労務費!$F$5:$F$124)</f>
        <v/>
      </c>
      <c r="AB69" s="334">
        <f>IF(ISNUMBER($M69),$M69,0)</f>
        <v/>
      </c>
      <c r="AC69" s="334">
        <f>IF(AND($X69&gt;0,ISNUMBER($J69)),$J69/$X69,"")</f>
        <v/>
      </c>
      <c r="AD69" s="413">
        <f>IF($R69="",0,IF($AA69&gt;0,$AB69*SUMIF(⑳商品別1食労務費!$C$5:$C$124,$R69,⑳商品別1食労務費!$F$5:$F$124)/$AA69,$AB69/$X69))</f>
        <v/>
      </c>
      <c r="AE69" s="413">
        <f>IF($S69="",0,IF($AA69&gt;0,$AB69*SUMIF(⑳商品別1食労務費!$C$5:$C$124,$S69,⑳商品別1食労務費!$F$5:$F$124)/$AA69,$AB69/$X69))</f>
        <v/>
      </c>
      <c r="AF69" s="413">
        <f>IF($T69="",0,IF($AA69&gt;0,$AB69*SUMIF(⑳商品別1食労務費!$C$5:$C$124,$T69,⑳商品別1食労務費!$F$5:$F$124)/$AA69,$AB69/$X69))</f>
        <v/>
      </c>
      <c r="AG69" s="413">
        <f>IF($U69="",0,IF($AA69&gt;0,$AB69*SUMIF(⑳商品別1食労務費!$C$5:$C$124,$U69,⑳商品別1食労務費!$F$5:$F$124)/$AA69,$AB69/$X69))</f>
        <v/>
      </c>
      <c r="AH69" s="413">
        <f>IF($V69="",0,IF($AA69&gt;0,$AB69*SUMIF(⑳商品別1食労務費!$C$5:$C$124,$V69,⑳商品別1食労務費!$F$5:$F$124)/$AA69,$AB69/$X69))</f>
        <v/>
      </c>
      <c r="AI69" s="413">
        <f>IF($W69="",0,IF($AA69&gt;0,$AB69*SUMIF(⑳商品別1食労務費!$C$5:$C$124,$W69,⑳商品別1食労務費!$F$5:$F$124)/$AA69,$AB69/$X69))</f>
        <v/>
      </c>
    </row>
    <row r="70" hidden="1" s="438">
      <c r="A70" s="197" t="n">
        <v>329</v>
      </c>
      <c r="B70" s="198" t="inlineStr">
        <is>
          <t>盛り込み④</t>
        </is>
      </c>
      <c r="C70" s="229" t="inlineStr">
        <is>
          <t>たっぷりトマトピザＫＩＴ</t>
        </is>
      </c>
      <c r="D70" s="190" t="n"/>
      <c r="E70" s="190" t="n"/>
      <c r="F70" s="541">
        <f>IF(OR(D70="",E70=""),"",(E70-D70)*1440)</f>
        <v/>
      </c>
      <c r="G70" s="542" t="n"/>
      <c r="H70" s="542" t="n"/>
      <c r="I70" s="543" t="n"/>
      <c r="J70" s="192" t="n"/>
      <c r="K70" s="544">
        <f>IF(AND(ISNUMBER(F70),I70&gt;0),I70/(F70/60),"")</f>
        <v/>
      </c>
      <c r="L70" s="545" t="n">
        <v>1200</v>
      </c>
      <c r="M70" s="194">
        <f>IF(OR(ISNUMBER(SEARCH("サニテーション",C70)),ISNUMBER(SEARCH("客注",C70)),ISNUMBER(SEARCH("切り替え",C70)),ISNUMBER(SEARCH("切替",C70)),NOT(ISNUMBER(H70))),"",IF(ISNUMBER(G70),G70/60*H70*④前提設定!$B$4,IF(AND(G70="",ISNUMBER(F70)),F70/60*H70*④前提設定!$B$4,"")))</f>
        <v/>
      </c>
      <c r="N70" s="546">
        <f>IF(AND(I70&gt;0,ISNUMBER(M70)),M70/I70,"")</f>
        <v/>
      </c>
      <c r="O70" s="547">
        <f>IF(AND(J70&gt;0,ISNUMBER(M70)),M70/J70,"")</f>
        <v/>
      </c>
      <c r="P70" s="199" t="n"/>
      <c r="Q70" s="200" t="inlineStr">
        <is>
          <t>★要入力（工程記録なし／実作業(分)・人数・個数を入れると⑳に自動反映）</t>
        </is>
      </c>
      <c r="R70" t="inlineStr">
        <is>
          <t>たっぷりトマトピザＫＩＴ</t>
        </is>
      </c>
      <c r="X70" s="334">
        <f>COUNTA(R70:W70)</f>
        <v/>
      </c>
      <c r="Y70" s="334">
        <f>IF(AND($X70&gt;0,ISNUMBER($M70)),$M70/$X70,"")</f>
        <v/>
      </c>
      <c r="Z70" s="334">
        <f>IF($X70=0,"",IF(COUNTIF(⑳商品別1食労務費!$C$5:$C$124,$R70)+COUNTIF(⑳商品別1食労務費!$C$5:$C$124,$S70)+COUNTIF(⑳商品別1食労務費!$C$5:$C$124,$T70)+COUNTIF(⑳商品別1食労務費!$C$5:$C$124,$U70)+COUNTIF(⑳商品別1食労務費!$C$5:$C$124,$V70)+COUNTIF(⑳商品別1食労務費!$C$5:$C$124,$W70)=$X70,"OK","⑳に無い商品名"))</f>
        <v/>
      </c>
      <c r="AA70" s="334">
        <f>SUMIF(⑳商品別1食労務費!$C$5:$C$124,$R70,⑳商品別1食労務費!$F$5:$F$124)+SUMIF(⑳商品別1食労務費!$C$5:$C$124,$S70,⑳商品別1食労務費!$F$5:$F$124)+SUMIF(⑳商品別1食労務費!$C$5:$C$124,$T70,⑳商品別1食労務費!$F$5:$F$124)+SUMIF(⑳商品別1食労務費!$C$5:$C$124,$U70,⑳商品別1食労務費!$F$5:$F$124)+SUMIF(⑳商品別1食労務費!$C$5:$C$124,$V70,⑳商品別1食労務費!$F$5:$F$124)+SUMIF(⑳商品別1食労務費!$C$5:$C$124,$W70,⑳商品別1食労務費!$F$5:$F$124)</f>
        <v/>
      </c>
      <c r="AB70" s="334">
        <f>IF(ISNUMBER($M70),$M70,0)</f>
        <v/>
      </c>
      <c r="AC70" s="334">
        <f>IF(AND($X70&gt;0,ISNUMBER($J70)),$J70/$X70,"")</f>
        <v/>
      </c>
      <c r="AD70" s="413">
        <f>IF($R70="",0,IF($AA70&gt;0,$AB70*SUMIF(⑳商品別1食労務費!$C$5:$C$124,$R70,⑳商品別1食労務費!$F$5:$F$124)/$AA70,$AB70/$X70))</f>
        <v/>
      </c>
      <c r="AE70" s="413">
        <f>IF($S70="",0,IF($AA70&gt;0,$AB70*SUMIF(⑳商品別1食労務費!$C$5:$C$124,$S70,⑳商品別1食労務費!$F$5:$F$124)/$AA70,$AB70/$X70))</f>
        <v/>
      </c>
      <c r="AF70" s="413">
        <f>IF($T70="",0,IF($AA70&gt;0,$AB70*SUMIF(⑳商品別1食労務費!$C$5:$C$124,$T70,⑳商品別1食労務費!$F$5:$F$124)/$AA70,$AB70/$X70))</f>
        <v/>
      </c>
      <c r="AG70" s="413">
        <f>IF($U70="",0,IF($AA70&gt;0,$AB70*SUMIF(⑳商品別1食労務費!$C$5:$C$124,$U70,⑳商品別1食労務費!$F$5:$F$124)/$AA70,$AB70/$X70))</f>
        <v/>
      </c>
      <c r="AH70" s="413">
        <f>IF($V70="",0,IF($AA70&gt;0,$AB70*SUMIF(⑳商品別1食労務費!$C$5:$C$124,$V70,⑳商品別1食労務費!$F$5:$F$124)/$AA70,$AB70/$X70))</f>
        <v/>
      </c>
      <c r="AI70" s="413">
        <f>IF($W70="",0,IF($AA70&gt;0,$AB70*SUMIF(⑳商品別1食労務費!$C$5:$C$124,$W70,⑳商品別1食労務費!$F$5:$F$124)/$AA70,$AB70/$X70))</f>
        <v/>
      </c>
    </row>
    <row r="71" hidden="1" s="438">
      <c r="A71" s="197" t="n">
        <v>330</v>
      </c>
      <c r="B71" s="198" t="inlineStr">
        <is>
          <t>盛り込み④</t>
        </is>
      </c>
      <c r="C71" s="229" t="inlineStr">
        <is>
          <t>Ｃお芋ムースのパンナコッタ</t>
        </is>
      </c>
      <c r="D71" s="190" t="n"/>
      <c r="E71" s="190" t="n"/>
      <c r="F71" s="541">
        <f>IF(OR(D71="",E71=""),"",(E71-D71)*1440)</f>
        <v/>
      </c>
      <c r="G71" s="542" t="n"/>
      <c r="H71" s="542" t="n"/>
      <c r="I71" s="543" t="n"/>
      <c r="J71" s="192" t="n"/>
      <c r="K71" s="544">
        <f>IF(AND(ISNUMBER(F71),I71&gt;0),I71/(F71/60),"")</f>
        <v/>
      </c>
      <c r="L71" s="545" t="n">
        <v>1000</v>
      </c>
      <c r="M71" s="194">
        <f>IF(OR(ISNUMBER(SEARCH("サニテーション",C71)),ISNUMBER(SEARCH("客注",C71)),ISNUMBER(SEARCH("切り替え",C71)),ISNUMBER(SEARCH("切替",C71)),NOT(ISNUMBER(H71))),"",IF(ISNUMBER(G71),G71/60*H71*④前提設定!$B$4,IF(AND(G71="",ISNUMBER(F71)),F71/60*H71*④前提設定!$B$4,"")))</f>
        <v/>
      </c>
      <c r="N71" s="546">
        <f>IF(AND(I71&gt;0,ISNUMBER(M71)),M71/I71,"")</f>
        <v/>
      </c>
      <c r="O71" s="547">
        <f>IF(AND(J71&gt;0,ISNUMBER(M71)),M71/J71,"")</f>
        <v/>
      </c>
      <c r="P71" s="199" t="n"/>
      <c r="Q71" s="200" t="inlineStr">
        <is>
          <t>★要入力（工程記録なし／実作業(分)・人数・個数を入れると⑳に自動反映）</t>
        </is>
      </c>
      <c r="R71" t="inlineStr">
        <is>
          <t>Ｃお芋ムースのパンナコッタ</t>
        </is>
      </c>
      <c r="X71" s="334">
        <f>COUNTA(R71:W71)</f>
        <v/>
      </c>
      <c r="Y71" s="334">
        <f>IF(AND($X71&gt;0,ISNUMBER($M71)),$M71/$X71,"")</f>
        <v/>
      </c>
      <c r="Z71" s="334">
        <f>IF($X71=0,"",IF(COUNTIF(⑳商品別1食労務費!$C$5:$C$124,$R71)+COUNTIF(⑳商品別1食労務費!$C$5:$C$124,$S71)+COUNTIF(⑳商品別1食労務費!$C$5:$C$124,$T71)+COUNTIF(⑳商品別1食労務費!$C$5:$C$124,$U71)+COUNTIF(⑳商品別1食労務費!$C$5:$C$124,$V71)+COUNTIF(⑳商品別1食労務費!$C$5:$C$124,$W71)=$X71,"OK","⑳に無い商品名"))</f>
        <v/>
      </c>
      <c r="AA71" s="334">
        <f>SUMIF(⑳商品別1食労務費!$C$5:$C$124,$R71,⑳商品別1食労務費!$F$5:$F$124)+SUMIF(⑳商品別1食労務費!$C$5:$C$124,$S71,⑳商品別1食労務費!$F$5:$F$124)+SUMIF(⑳商品別1食労務費!$C$5:$C$124,$T71,⑳商品別1食労務費!$F$5:$F$124)+SUMIF(⑳商品別1食労務費!$C$5:$C$124,$U71,⑳商品別1食労務費!$F$5:$F$124)+SUMIF(⑳商品別1食労務費!$C$5:$C$124,$V71,⑳商品別1食労務費!$F$5:$F$124)+SUMIF(⑳商品別1食労務費!$C$5:$C$124,$W71,⑳商品別1食労務費!$F$5:$F$124)</f>
        <v/>
      </c>
      <c r="AB71" s="334">
        <f>IF(ISNUMBER($M71),$M71,0)</f>
        <v/>
      </c>
      <c r="AC71" s="334">
        <f>IF(AND($X71&gt;0,ISNUMBER($J71)),$J71/$X71,"")</f>
        <v/>
      </c>
      <c r="AD71" s="413">
        <f>IF($R71="",0,IF($AA71&gt;0,$AB71*SUMIF(⑳商品別1食労務費!$C$5:$C$124,$R71,⑳商品別1食労務費!$F$5:$F$124)/$AA71,$AB71/$X71))</f>
        <v/>
      </c>
      <c r="AE71" s="413">
        <f>IF($S71="",0,IF($AA71&gt;0,$AB71*SUMIF(⑳商品別1食労務費!$C$5:$C$124,$S71,⑳商品別1食労務費!$F$5:$F$124)/$AA71,$AB71/$X71))</f>
        <v/>
      </c>
      <c r="AF71" s="413">
        <f>IF($T71="",0,IF($AA71&gt;0,$AB71*SUMIF(⑳商品別1食労務費!$C$5:$C$124,$T71,⑳商品別1食労務費!$F$5:$F$124)/$AA71,$AB71/$X71))</f>
        <v/>
      </c>
      <c r="AG71" s="413">
        <f>IF($U71="",0,IF($AA71&gt;0,$AB71*SUMIF(⑳商品別1食労務費!$C$5:$C$124,$U71,⑳商品別1食労務費!$F$5:$F$124)/$AA71,$AB71/$X71))</f>
        <v/>
      </c>
      <c r="AH71" s="413">
        <f>IF($V71="",0,IF($AA71&gt;0,$AB71*SUMIF(⑳商品別1食労務費!$C$5:$C$124,$V71,⑳商品別1食労務費!$F$5:$F$124)/$AA71,$AB71/$X71))</f>
        <v/>
      </c>
      <c r="AI71" s="413">
        <f>IF($W71="",0,IF($AA71&gt;0,$AB71*SUMIF(⑳商品別1食労務費!$C$5:$C$124,$W71,⑳商品別1食労務費!$F$5:$F$124)/$AA71,$AB71/$X71))</f>
        <v/>
      </c>
    </row>
    <row r="72">
      <c r="A72" s="197" t="n">
        <v>331</v>
      </c>
      <c r="B72" s="198" t="inlineStr">
        <is>
          <t>盛り込み④</t>
        </is>
      </c>
      <c r="C72" s="229" t="inlineStr">
        <is>
          <t>Ｓ箸でつまんで抹茶わらび餅</t>
        </is>
      </c>
      <c r="D72" s="190" t="n"/>
      <c r="E72" s="190" t="n"/>
      <c r="F72" s="541">
        <f>IF(OR(D72="",E72=""),"",(E72-D72)*1440)</f>
        <v/>
      </c>
      <c r="G72" s="542" t="n"/>
      <c r="H72" s="542" t="n"/>
      <c r="I72" s="543" t="n"/>
      <c r="J72" s="192" t="n"/>
      <c r="K72" s="544">
        <f>IF(AND(ISNUMBER(F72),I72&gt;0),I72/(F72/60),"")</f>
        <v/>
      </c>
      <c r="L72" s="545" t="n">
        <v>1400</v>
      </c>
      <c r="M72" s="194">
        <f>IF(OR(ISNUMBER(SEARCH("サニテーション",C72)),ISNUMBER(SEARCH("客注",C72)),ISNUMBER(SEARCH("切り替え",C72)),ISNUMBER(SEARCH("切替",C72)),NOT(ISNUMBER(H72))),"",IF(ISNUMBER(G72),G72/60*H72*④前提設定!$B$4,IF(AND(G72="",ISNUMBER(F72)),F72/60*H72*④前提設定!$B$4,"")))</f>
        <v/>
      </c>
      <c r="N72" s="546">
        <f>IF(AND(I72&gt;0,ISNUMBER(M72)),M72/I72,"")</f>
        <v/>
      </c>
      <c r="O72" s="547">
        <f>IF(AND(J72&gt;0,ISNUMBER(M72)),M72/J72,"")</f>
        <v/>
      </c>
      <c r="P72" s="199" t="n"/>
      <c r="Q72" s="200" t="inlineStr">
        <is>
          <t>★要入力（工程記録なし／実作業(分)・人数・個数を入れると⑳に自動反映）</t>
        </is>
      </c>
      <c r="R72" t="inlineStr">
        <is>
          <t>Ｓ箸でつまんで抹茶わらび餅</t>
        </is>
      </c>
      <c r="X72" s="334">
        <f>COUNTA(R72:W72)</f>
        <v/>
      </c>
      <c r="Y72" s="334">
        <f>IF(AND($X72&gt;0,ISNUMBER($M72)),$M72/$X72,"")</f>
        <v/>
      </c>
      <c r="Z72" s="334">
        <f>IF($X72=0,"",IF(COUNTIF(⑳商品別1食労務費!$C$5:$C$124,$R72)+COUNTIF(⑳商品別1食労務費!$C$5:$C$124,$S72)+COUNTIF(⑳商品別1食労務費!$C$5:$C$124,$T72)+COUNTIF(⑳商品別1食労務費!$C$5:$C$124,$U72)+COUNTIF(⑳商品別1食労務費!$C$5:$C$124,$V72)+COUNTIF(⑳商品別1食労務費!$C$5:$C$124,$W72)=$X72,"OK","⑳に無い商品名"))</f>
        <v/>
      </c>
      <c r="AA72" s="334">
        <f>SUMIF(⑳商品別1食労務費!$C$5:$C$124,$R72,⑳商品別1食労務費!$F$5:$F$124)+SUMIF(⑳商品別1食労務費!$C$5:$C$124,$S72,⑳商品別1食労務費!$F$5:$F$124)+SUMIF(⑳商品別1食労務費!$C$5:$C$124,$T72,⑳商品別1食労務費!$F$5:$F$124)+SUMIF(⑳商品別1食労務費!$C$5:$C$124,$U72,⑳商品別1食労務費!$F$5:$F$124)+SUMIF(⑳商品別1食労務費!$C$5:$C$124,$V72,⑳商品別1食労務費!$F$5:$F$124)+SUMIF(⑳商品別1食労務費!$C$5:$C$124,$W72,⑳商品別1食労務費!$F$5:$F$124)</f>
        <v/>
      </c>
      <c r="AB72" s="334">
        <f>IF(ISNUMBER($M72),$M72,0)</f>
        <v/>
      </c>
      <c r="AC72" s="334">
        <f>IF(AND($X72&gt;0,ISNUMBER($J72)),$J72/$X72,"")</f>
        <v/>
      </c>
      <c r="AD72" s="413">
        <f>IF($R72="",0,IF($AA72&gt;0,$AB72*SUMIF(⑳商品別1食労務費!$C$5:$C$124,$R72,⑳商品別1食労務費!$F$5:$F$124)/$AA72,$AB72/$X72))</f>
        <v/>
      </c>
      <c r="AE72" s="413">
        <f>IF($S72="",0,IF($AA72&gt;0,$AB72*SUMIF(⑳商品別1食労務費!$C$5:$C$124,$S72,⑳商品別1食労務費!$F$5:$F$124)/$AA72,$AB72/$X72))</f>
        <v/>
      </c>
      <c r="AF72" s="413">
        <f>IF($T72="",0,IF($AA72&gt;0,$AB72*SUMIF(⑳商品別1食労務費!$C$5:$C$124,$T72,⑳商品別1食労務費!$F$5:$F$124)/$AA72,$AB72/$X72))</f>
        <v/>
      </c>
      <c r="AG72" s="413">
        <f>IF($U72="",0,IF($AA72&gt;0,$AB72*SUMIF(⑳商品別1食労務費!$C$5:$C$124,$U72,⑳商品別1食労務費!$F$5:$F$124)/$AA72,$AB72/$X72))</f>
        <v/>
      </c>
      <c r="AH72" s="413">
        <f>IF($V72="",0,IF($AA72&gt;0,$AB72*SUMIF(⑳商品別1食労務費!$C$5:$C$124,$V72,⑳商品別1食労務費!$F$5:$F$124)/$AA72,$AB72/$X72))</f>
        <v/>
      </c>
      <c r="AI72" s="413">
        <f>IF($W72="",0,IF($AA72&gt;0,$AB72*SUMIF(⑳商品別1食労務費!$C$5:$C$124,$W72,⑳商品別1食労務費!$F$5:$F$124)/$AA72,$AB72/$X72))</f>
        <v/>
      </c>
    </row>
    <row r="73">
      <c r="A73" s="197" t="n">
        <v>332</v>
      </c>
      <c r="B73" s="198" t="inlineStr">
        <is>
          <t>盛り込み④</t>
        </is>
      </c>
      <c r="C73" s="229" t="inlineStr">
        <is>
          <t>Ｃパキとろっお芋ティラミス</t>
        </is>
      </c>
      <c r="D73" s="190" t="n"/>
      <c r="E73" s="190" t="n"/>
      <c r="F73" s="541">
        <f>IF(OR(D73="",E73=""),"",(E73-D73)*1440)</f>
        <v/>
      </c>
      <c r="G73" s="542" t="n"/>
      <c r="H73" s="542" t="n"/>
      <c r="I73" s="543" t="n"/>
      <c r="J73" s="192" t="n"/>
      <c r="K73" s="544">
        <f>IF(AND(ISNUMBER(F73),I73&gt;0),I73/(F73/60),"")</f>
        <v/>
      </c>
      <c r="L73" s="545" t="n">
        <v>1400</v>
      </c>
      <c r="M73" s="194">
        <f>IF(OR(ISNUMBER(SEARCH("サニテーション",C73)),ISNUMBER(SEARCH("客注",C73)),ISNUMBER(SEARCH("切り替え",C73)),ISNUMBER(SEARCH("切替",C73)),NOT(ISNUMBER(H73))),"",IF(ISNUMBER(G73),G73/60*H73*④前提設定!$B$4,IF(AND(G73="",ISNUMBER(F73)),F73/60*H73*④前提設定!$B$4,"")))</f>
        <v/>
      </c>
      <c r="N73" s="546">
        <f>IF(AND(I73&gt;0,ISNUMBER(M73)),M73/I73,"")</f>
        <v/>
      </c>
      <c r="O73" s="547">
        <f>IF(AND(J73&gt;0,ISNUMBER(M73)),M73/J73,"")</f>
        <v/>
      </c>
      <c r="P73" s="199" t="n"/>
      <c r="Q73" s="200" t="inlineStr">
        <is>
          <t>★要入力（工程記録なし／実作業(分)・人数・個数を入れると⑳に自動反映）</t>
        </is>
      </c>
      <c r="R73" t="inlineStr">
        <is>
          <t>Ｃパキとろっお芋ティラミス</t>
        </is>
      </c>
      <c r="X73" s="334">
        <f>COUNTA(R73:W73)</f>
        <v/>
      </c>
      <c r="Y73" s="334">
        <f>IF(AND($X73&gt;0,ISNUMBER($M73)),$M73/$X73,"")</f>
        <v/>
      </c>
      <c r="Z73" s="334">
        <f>IF($X73=0,"",IF(COUNTIF(⑳商品別1食労務費!$C$5:$C$124,$R73)+COUNTIF(⑳商品別1食労務費!$C$5:$C$124,$S73)+COUNTIF(⑳商品別1食労務費!$C$5:$C$124,$T73)+COUNTIF(⑳商品別1食労務費!$C$5:$C$124,$U73)+COUNTIF(⑳商品別1食労務費!$C$5:$C$124,$V73)+COUNTIF(⑳商品別1食労務費!$C$5:$C$124,$W73)=$X73,"OK","⑳に無い商品名"))</f>
        <v/>
      </c>
      <c r="AA73" s="334">
        <f>SUMIF(⑳商品別1食労務費!$C$5:$C$124,$R73,⑳商品別1食労務費!$F$5:$F$124)+SUMIF(⑳商品別1食労務費!$C$5:$C$124,$S73,⑳商品別1食労務費!$F$5:$F$124)+SUMIF(⑳商品別1食労務費!$C$5:$C$124,$T73,⑳商品別1食労務費!$F$5:$F$124)+SUMIF(⑳商品別1食労務費!$C$5:$C$124,$U73,⑳商品別1食労務費!$F$5:$F$124)+SUMIF(⑳商品別1食労務費!$C$5:$C$124,$V73,⑳商品別1食労務費!$F$5:$F$124)+SUMIF(⑳商品別1食労務費!$C$5:$C$124,$W73,⑳商品別1食労務費!$F$5:$F$124)</f>
        <v/>
      </c>
      <c r="AB73" s="334">
        <f>IF(ISNUMBER($M73),$M73,0)</f>
        <v/>
      </c>
      <c r="AC73" s="334">
        <f>IF(AND($X73&gt;0,ISNUMBER($J73)),$J73/$X73,"")</f>
        <v/>
      </c>
      <c r="AD73" s="413">
        <f>IF($R73="",0,IF($AA73&gt;0,$AB73*SUMIF(⑳商品別1食労務費!$C$5:$C$124,$R73,⑳商品別1食労務費!$F$5:$F$124)/$AA73,$AB73/$X73))</f>
        <v/>
      </c>
      <c r="AE73" s="413">
        <f>IF($S73="",0,IF($AA73&gt;0,$AB73*SUMIF(⑳商品別1食労務費!$C$5:$C$124,$S73,⑳商品別1食労務費!$F$5:$F$124)/$AA73,$AB73/$X73))</f>
        <v/>
      </c>
      <c r="AF73" s="413">
        <f>IF($T73="",0,IF($AA73&gt;0,$AB73*SUMIF(⑳商品別1食労務費!$C$5:$C$124,$T73,⑳商品別1食労務費!$F$5:$F$124)/$AA73,$AB73/$X73))</f>
        <v/>
      </c>
      <c r="AG73" s="413">
        <f>IF($U73="",0,IF($AA73&gt;0,$AB73*SUMIF(⑳商品別1食労務費!$C$5:$C$124,$U73,⑳商品別1食労務費!$F$5:$F$124)/$AA73,$AB73/$X73))</f>
        <v/>
      </c>
      <c r="AH73" s="413">
        <f>IF($V73="",0,IF($AA73&gt;0,$AB73*SUMIF(⑳商品別1食労務費!$C$5:$C$124,$V73,⑳商品別1食労務費!$F$5:$F$124)/$AA73,$AB73/$X73))</f>
        <v/>
      </c>
      <c r="AI73" s="413">
        <f>IF($W73="",0,IF($AA73&gt;0,$AB73*SUMIF(⑳商品別1食労務費!$C$5:$C$124,$W73,⑳商品別1食労務費!$F$5:$F$124)/$AA73,$AB73/$X73))</f>
        <v/>
      </c>
    </row>
    <row r="74" hidden="1" s="438">
      <c r="A74" s="197" t="n">
        <v>333</v>
      </c>
      <c r="B74" s="198" t="inlineStr">
        <is>
          <t>盛り込み⑤</t>
        </is>
      </c>
      <c r="C74" s="229" t="inlineStr">
        <is>
          <t>Ｃもちっと芋の暴れん坊</t>
        </is>
      </c>
      <c r="D74" s="190" t="n"/>
      <c r="E74" s="190" t="n"/>
      <c r="F74" s="541">
        <f>IF(OR(D74="",E74=""),"",(E74-D74)*1440)</f>
        <v/>
      </c>
      <c r="G74" s="542" t="n"/>
      <c r="H74" s="542" t="n"/>
      <c r="I74" s="543" t="n"/>
      <c r="J74" s="192" t="n"/>
      <c r="K74" s="544">
        <f>IF(AND(ISNUMBER(F74),I74&gt;0),I74/(F74/60),"")</f>
        <v/>
      </c>
      <c r="L74" s="545" t="n">
        <v>900</v>
      </c>
      <c r="M74" s="194">
        <f>IF(OR(ISNUMBER(SEARCH("サニテーション",C74)),ISNUMBER(SEARCH("客注",C74)),ISNUMBER(SEARCH("切り替え",C74)),ISNUMBER(SEARCH("切替",C74)),NOT(ISNUMBER(H74))),"",IF(ISNUMBER(G74),G74/60*H74*④前提設定!$B$4,IF(AND(G74="",ISNUMBER(F74)),F74/60*H74*④前提設定!$B$4,"")))</f>
        <v/>
      </c>
      <c r="N74" s="546">
        <f>IF(AND(I74&gt;0,ISNUMBER(M74)),M74/I74,"")</f>
        <v/>
      </c>
      <c r="O74" s="547">
        <f>IF(AND(J74&gt;0,ISNUMBER(M74)),M74/J74,"")</f>
        <v/>
      </c>
      <c r="P74" s="199" t="n"/>
      <c r="Q74" s="200" t="inlineStr">
        <is>
          <t>★要入力（工程記録なし／実作業(分)・人数・個数を入れると⑳に自動反映）</t>
        </is>
      </c>
      <c r="R74" t="inlineStr">
        <is>
          <t>Ｃもちっと芋の暴れん坊</t>
        </is>
      </c>
      <c r="X74" s="334">
        <f>COUNTA(R74:W74)</f>
        <v/>
      </c>
      <c r="Y74" s="334">
        <f>IF(AND($X74&gt;0,ISNUMBER($M74)),$M74/$X74,"")</f>
        <v/>
      </c>
      <c r="Z74" s="334">
        <f>IF($X74=0,"",IF(COUNTIF(⑳商品別1食労務費!$C$5:$C$124,$R74)+COUNTIF(⑳商品別1食労務費!$C$5:$C$124,$S74)+COUNTIF(⑳商品別1食労務費!$C$5:$C$124,$T74)+COUNTIF(⑳商品別1食労務費!$C$5:$C$124,$U74)+COUNTIF(⑳商品別1食労務費!$C$5:$C$124,$V74)+COUNTIF(⑳商品別1食労務費!$C$5:$C$124,$W74)=$X74,"OK","⑳に無い商品名"))</f>
        <v/>
      </c>
      <c r="AA74" s="334">
        <f>SUMIF(⑳商品別1食労務費!$C$5:$C$124,$R74,⑳商品別1食労務費!$F$5:$F$124)+SUMIF(⑳商品別1食労務費!$C$5:$C$124,$S74,⑳商品別1食労務費!$F$5:$F$124)+SUMIF(⑳商品別1食労務費!$C$5:$C$124,$T74,⑳商品別1食労務費!$F$5:$F$124)+SUMIF(⑳商品別1食労務費!$C$5:$C$124,$U74,⑳商品別1食労務費!$F$5:$F$124)+SUMIF(⑳商品別1食労務費!$C$5:$C$124,$V74,⑳商品別1食労務費!$F$5:$F$124)+SUMIF(⑳商品別1食労務費!$C$5:$C$124,$W74,⑳商品別1食労務費!$F$5:$F$124)</f>
        <v/>
      </c>
      <c r="AB74" s="334">
        <f>IF(ISNUMBER($M74),$M74,0)</f>
        <v/>
      </c>
      <c r="AC74" s="334">
        <f>IF(AND($X74&gt;0,ISNUMBER($J74)),$J74/$X74,"")</f>
        <v/>
      </c>
      <c r="AD74" s="413">
        <f>IF($R74="",0,IF($AA74&gt;0,$AB74*SUMIF(⑳商品別1食労務費!$C$5:$C$124,$R74,⑳商品別1食労務費!$F$5:$F$124)/$AA74,$AB74/$X74))</f>
        <v/>
      </c>
      <c r="AE74" s="413">
        <f>IF($S74="",0,IF($AA74&gt;0,$AB74*SUMIF(⑳商品別1食労務費!$C$5:$C$124,$S74,⑳商品別1食労務費!$F$5:$F$124)/$AA74,$AB74/$X74))</f>
        <v/>
      </c>
      <c r="AF74" s="413">
        <f>IF($T74="",0,IF($AA74&gt;0,$AB74*SUMIF(⑳商品別1食労務費!$C$5:$C$124,$T74,⑳商品別1食労務費!$F$5:$F$124)/$AA74,$AB74/$X74))</f>
        <v/>
      </c>
      <c r="AG74" s="413">
        <f>IF($U74="",0,IF($AA74&gt;0,$AB74*SUMIF(⑳商品別1食労務費!$C$5:$C$124,$U74,⑳商品別1食労務費!$F$5:$F$124)/$AA74,$AB74/$X74))</f>
        <v/>
      </c>
      <c r="AH74" s="413">
        <f>IF($V74="",0,IF($AA74&gt;0,$AB74*SUMIF(⑳商品別1食労務費!$C$5:$C$124,$V74,⑳商品別1食労務費!$F$5:$F$124)/$AA74,$AB74/$X74))</f>
        <v/>
      </c>
      <c r="AI74" s="413">
        <f>IF($W74="",0,IF($AA74&gt;0,$AB74*SUMIF(⑳商品別1食労務費!$C$5:$C$124,$W74,⑳商品別1食労務費!$F$5:$F$124)/$AA74,$AB74/$X74))</f>
        <v/>
      </c>
    </row>
    <row r="75" hidden="1" s="438">
      <c r="A75" s="197" t="n">
        <v>334</v>
      </c>
      <c r="B75" s="198" t="inlineStr">
        <is>
          <t>盛り込み⑤</t>
        </is>
      </c>
      <c r="C75" s="229" t="inlineStr">
        <is>
          <t>Ｃ素材を感じる焼き芋ロール</t>
        </is>
      </c>
      <c r="D75" s="190" t="n"/>
      <c r="E75" s="190" t="n"/>
      <c r="F75" s="541">
        <f>IF(OR(D75="",E75=""),"",(E75-D75)*1440)</f>
        <v/>
      </c>
      <c r="G75" s="542" t="n"/>
      <c r="H75" s="542" t="n"/>
      <c r="I75" s="543" t="n"/>
      <c r="J75" s="192" t="n"/>
      <c r="K75" s="544">
        <f>IF(AND(ISNUMBER(F75),I75&gt;0),I75/(F75/60),"")</f>
        <v/>
      </c>
      <c r="L75" s="545" t="n">
        <v>600</v>
      </c>
      <c r="M75" s="194">
        <f>IF(OR(ISNUMBER(SEARCH("サニテーション",C75)),ISNUMBER(SEARCH("客注",C75)),ISNUMBER(SEARCH("切り替え",C75)),ISNUMBER(SEARCH("切替",C75)),NOT(ISNUMBER(H75))),"",IF(ISNUMBER(G75),G75/60*H75*④前提設定!$B$4,IF(AND(G75="",ISNUMBER(F75)),F75/60*H75*④前提設定!$B$4,"")))</f>
        <v/>
      </c>
      <c r="N75" s="546">
        <f>IF(AND(I75&gt;0,ISNUMBER(M75)),M75/I75,"")</f>
        <v/>
      </c>
      <c r="O75" s="547">
        <f>IF(AND(J75&gt;0,ISNUMBER(M75)),M75/J75,"")</f>
        <v/>
      </c>
      <c r="P75" s="199" t="n"/>
      <c r="Q75" s="200" t="inlineStr">
        <is>
          <t>★要入力（工程記録なし／実作業(分)・人数・個数を入れると⑳に自動反映）</t>
        </is>
      </c>
      <c r="R75" t="inlineStr">
        <is>
          <t>Ｃ素材を感じる焼き芋ロール</t>
        </is>
      </c>
      <c r="X75" s="334">
        <f>COUNTA(R75:W75)</f>
        <v/>
      </c>
      <c r="Y75" s="334">
        <f>IF(AND($X75&gt;0,ISNUMBER($M75)),$M75/$X75,"")</f>
        <v/>
      </c>
      <c r="Z75" s="334">
        <f>IF($X75=0,"",IF(COUNTIF(⑳商品別1食労務費!$C$5:$C$124,$R75)+COUNTIF(⑳商品別1食労務費!$C$5:$C$124,$S75)+COUNTIF(⑳商品別1食労務費!$C$5:$C$124,$T75)+COUNTIF(⑳商品別1食労務費!$C$5:$C$124,$U75)+COUNTIF(⑳商品別1食労務費!$C$5:$C$124,$V75)+COUNTIF(⑳商品別1食労務費!$C$5:$C$124,$W75)=$X75,"OK","⑳に無い商品名"))</f>
        <v/>
      </c>
      <c r="AA75" s="334">
        <f>SUMIF(⑳商品別1食労務費!$C$5:$C$124,$R75,⑳商品別1食労務費!$F$5:$F$124)+SUMIF(⑳商品別1食労務費!$C$5:$C$124,$S75,⑳商品別1食労務費!$F$5:$F$124)+SUMIF(⑳商品別1食労務費!$C$5:$C$124,$T75,⑳商品別1食労務費!$F$5:$F$124)+SUMIF(⑳商品別1食労務費!$C$5:$C$124,$U75,⑳商品別1食労務費!$F$5:$F$124)+SUMIF(⑳商品別1食労務費!$C$5:$C$124,$V75,⑳商品別1食労務費!$F$5:$F$124)+SUMIF(⑳商品別1食労務費!$C$5:$C$124,$W75,⑳商品別1食労務費!$F$5:$F$124)</f>
        <v/>
      </c>
      <c r="AB75" s="334">
        <f>IF(ISNUMBER($M75),$M75,0)</f>
        <v/>
      </c>
      <c r="AC75" s="334">
        <f>IF(AND($X75&gt;0,ISNUMBER($J75)),$J75/$X75,"")</f>
        <v/>
      </c>
      <c r="AD75" s="413">
        <f>IF($R75="",0,IF($AA75&gt;0,$AB75*SUMIF(⑳商品別1食労務費!$C$5:$C$124,$R75,⑳商品別1食労務費!$F$5:$F$124)/$AA75,$AB75/$X75))</f>
        <v/>
      </c>
      <c r="AE75" s="413">
        <f>IF($S75="",0,IF($AA75&gt;0,$AB75*SUMIF(⑳商品別1食労務費!$C$5:$C$124,$S75,⑳商品別1食労務費!$F$5:$F$124)/$AA75,$AB75/$X75))</f>
        <v/>
      </c>
      <c r="AF75" s="413">
        <f>IF($T75="",0,IF($AA75&gt;0,$AB75*SUMIF(⑳商品別1食労務費!$C$5:$C$124,$T75,⑳商品別1食労務費!$F$5:$F$124)/$AA75,$AB75/$X75))</f>
        <v/>
      </c>
      <c r="AG75" s="413">
        <f>IF($U75="",0,IF($AA75&gt;0,$AB75*SUMIF(⑳商品別1食労務費!$C$5:$C$124,$U75,⑳商品別1食労務費!$F$5:$F$124)/$AA75,$AB75/$X75))</f>
        <v/>
      </c>
      <c r="AH75" s="413">
        <f>IF($V75="",0,IF($AA75&gt;0,$AB75*SUMIF(⑳商品別1食労務費!$C$5:$C$124,$V75,⑳商品別1食労務費!$F$5:$F$124)/$AA75,$AB75/$X75))</f>
        <v/>
      </c>
      <c r="AI75" s="413">
        <f>IF($W75="",0,IF($AA75&gt;0,$AB75*SUMIF(⑳商品別1食労務費!$C$5:$C$124,$W75,⑳商品別1食労務費!$F$5:$F$124)/$AA75,$AB75/$X75))</f>
        <v/>
      </c>
    </row>
    <row r="76" hidden="1" s="438">
      <c r="A76" s="197" t="n">
        <v>335</v>
      </c>
      <c r="B76" s="198" t="inlineStr">
        <is>
          <t>盛り込み⑤</t>
        </is>
      </c>
      <c r="C76" s="229" t="inlineStr">
        <is>
          <t>パインコンポートＫＩＴ</t>
        </is>
      </c>
      <c r="D76" s="190" t="n"/>
      <c r="E76" s="190" t="n"/>
      <c r="F76" s="541">
        <f>IF(OR(D76="",E76=""),"",(E76-D76)*1440)</f>
        <v/>
      </c>
      <c r="G76" s="542" t="n"/>
      <c r="H76" s="542" t="n"/>
      <c r="I76" s="543" t="n"/>
      <c r="J76" s="192" t="n"/>
      <c r="K76" s="544">
        <f>IF(AND(ISNUMBER(F76),I76&gt;0),I76/(F76/60),"")</f>
        <v/>
      </c>
      <c r="L76" s="545" t="n">
        <v>1000</v>
      </c>
      <c r="M76" s="194">
        <f>IF(OR(ISNUMBER(SEARCH("サニテーション",C76)),ISNUMBER(SEARCH("客注",C76)),ISNUMBER(SEARCH("切り替え",C76)),ISNUMBER(SEARCH("切替",C76)),NOT(ISNUMBER(H76))),"",IF(ISNUMBER(G76),G76/60*H76*④前提設定!$B$4,IF(AND(G76="",ISNUMBER(F76)),F76/60*H76*④前提設定!$B$4,"")))</f>
        <v/>
      </c>
      <c r="N76" s="546">
        <f>IF(AND(I76&gt;0,ISNUMBER(M76)),M76/I76,"")</f>
        <v/>
      </c>
      <c r="O76" s="547">
        <f>IF(AND(J76&gt;0,ISNUMBER(M76)),M76/J76,"")</f>
        <v/>
      </c>
      <c r="P76" s="199" t="n"/>
      <c r="Q76" s="200" t="inlineStr">
        <is>
          <t>★要入力（工程記録なし／実作業(分)・人数・個数を入れると⑳に自動反映）</t>
        </is>
      </c>
      <c r="R76" t="inlineStr">
        <is>
          <t>パインコンポートＫＩＴ</t>
        </is>
      </c>
      <c r="X76" s="334">
        <f>COUNTA(R76:W76)</f>
        <v/>
      </c>
      <c r="Y76" s="334">
        <f>IF(AND($X76&gt;0,ISNUMBER($M76)),$M76/$X76,"")</f>
        <v/>
      </c>
      <c r="Z76" s="334">
        <f>IF($X76=0,"",IF(COUNTIF(⑳商品別1食労務費!$C$5:$C$124,$R76)+COUNTIF(⑳商品別1食労務費!$C$5:$C$124,$S76)+COUNTIF(⑳商品別1食労務費!$C$5:$C$124,$T76)+COUNTIF(⑳商品別1食労務費!$C$5:$C$124,$U76)+COUNTIF(⑳商品別1食労務費!$C$5:$C$124,$V76)+COUNTIF(⑳商品別1食労務費!$C$5:$C$124,$W76)=$X76,"OK","⑳に無い商品名"))</f>
        <v/>
      </c>
      <c r="AA76" s="334">
        <f>SUMIF(⑳商品別1食労務費!$C$5:$C$124,$R76,⑳商品別1食労務費!$F$5:$F$124)+SUMIF(⑳商品別1食労務費!$C$5:$C$124,$S76,⑳商品別1食労務費!$F$5:$F$124)+SUMIF(⑳商品別1食労務費!$C$5:$C$124,$T76,⑳商品別1食労務費!$F$5:$F$124)+SUMIF(⑳商品別1食労務費!$C$5:$C$124,$U76,⑳商品別1食労務費!$F$5:$F$124)+SUMIF(⑳商品別1食労務費!$C$5:$C$124,$V76,⑳商品別1食労務費!$F$5:$F$124)+SUMIF(⑳商品別1食労務費!$C$5:$C$124,$W76,⑳商品別1食労務費!$F$5:$F$124)</f>
        <v/>
      </c>
      <c r="AB76" s="334">
        <f>IF(ISNUMBER($M76),$M76,0)</f>
        <v/>
      </c>
      <c r="AC76" s="334">
        <f>IF(AND($X76&gt;0,ISNUMBER($J76)),$J76/$X76,"")</f>
        <v/>
      </c>
      <c r="AD76" s="413">
        <f>IF($R76="",0,IF($AA76&gt;0,$AB76*SUMIF(⑳商品別1食労務費!$C$5:$C$124,$R76,⑳商品別1食労務費!$F$5:$F$124)/$AA76,$AB76/$X76))</f>
        <v/>
      </c>
      <c r="AE76" s="413">
        <f>IF($S76="",0,IF($AA76&gt;0,$AB76*SUMIF(⑳商品別1食労務費!$C$5:$C$124,$S76,⑳商品別1食労務費!$F$5:$F$124)/$AA76,$AB76/$X76))</f>
        <v/>
      </c>
      <c r="AF76" s="413">
        <f>IF($T76="",0,IF($AA76&gt;0,$AB76*SUMIF(⑳商品別1食労務費!$C$5:$C$124,$T76,⑳商品別1食労務費!$F$5:$F$124)/$AA76,$AB76/$X76))</f>
        <v/>
      </c>
      <c r="AG76" s="413">
        <f>IF($U76="",0,IF($AA76&gt;0,$AB76*SUMIF(⑳商品別1食労務費!$C$5:$C$124,$U76,⑳商品別1食労務費!$F$5:$F$124)/$AA76,$AB76/$X76))</f>
        <v/>
      </c>
      <c r="AH76" s="413">
        <f>IF($V76="",0,IF($AA76&gt;0,$AB76*SUMIF(⑳商品別1食労務費!$C$5:$C$124,$V76,⑳商品別1食労務費!$F$5:$F$124)/$AA76,$AB76/$X76))</f>
        <v/>
      </c>
      <c r="AI76" s="413">
        <f>IF($W76="",0,IF($AA76&gt;0,$AB76*SUMIF(⑳商品別1食労務費!$C$5:$C$124,$W76,⑳商品別1食労務費!$F$5:$F$124)/$AA76,$AB76/$X76))</f>
        <v/>
      </c>
    </row>
    <row r="77" hidden="1" s="438">
      <c r="A77" s="197" t="n">
        <v>336</v>
      </c>
      <c r="B77" s="198" t="inlineStr">
        <is>
          <t>盛り込み⑤</t>
        </is>
      </c>
      <c r="C77" s="229" t="inlineStr">
        <is>
          <t>Ｓ２種柑橘の杏仁プリン</t>
        </is>
      </c>
      <c r="D77" s="190" t="n"/>
      <c r="E77" s="190" t="n"/>
      <c r="F77" s="541">
        <f>IF(OR(D77="",E77=""),"",(E77-D77)*1440)</f>
        <v/>
      </c>
      <c r="G77" s="542" t="n"/>
      <c r="H77" s="542" t="n"/>
      <c r="I77" s="543" t="n"/>
      <c r="J77" s="192" t="n"/>
      <c r="K77" s="544">
        <f>IF(AND(ISNUMBER(F77),I77&gt;0),I77/(F77/60),"")</f>
        <v/>
      </c>
      <c r="L77" s="545" t="n">
        <v>1000</v>
      </c>
      <c r="M77" s="194">
        <f>IF(OR(ISNUMBER(SEARCH("サニテーション",C77)),ISNUMBER(SEARCH("客注",C77)),ISNUMBER(SEARCH("切り替え",C77)),ISNUMBER(SEARCH("切替",C77)),NOT(ISNUMBER(H77))),"",IF(ISNUMBER(G77),G77/60*H77*④前提設定!$B$4,IF(AND(G77="",ISNUMBER(F77)),F77/60*H77*④前提設定!$B$4,"")))</f>
        <v/>
      </c>
      <c r="N77" s="546">
        <f>IF(AND(I77&gt;0,ISNUMBER(M77)),M77/I77,"")</f>
        <v/>
      </c>
      <c r="O77" s="547">
        <f>IF(AND(J77&gt;0,ISNUMBER(M77)),M77/J77,"")</f>
        <v/>
      </c>
      <c r="P77" s="199" t="n"/>
      <c r="Q77" s="200" t="inlineStr">
        <is>
          <t>★要入力（工程記録なし／実作業(分)・人数・個数を入れると⑳に自動反映）</t>
        </is>
      </c>
      <c r="R77" t="inlineStr">
        <is>
          <t>Ｓ２種柑橘の杏仁プリン</t>
        </is>
      </c>
      <c r="X77" s="334">
        <f>COUNTA(R77:W77)</f>
        <v/>
      </c>
      <c r="Y77" s="334">
        <f>IF(AND($X77&gt;0,ISNUMBER($M77)),$M77/$X77,"")</f>
        <v/>
      </c>
      <c r="Z77" s="334">
        <f>IF($X77=0,"",IF(COUNTIF(⑳商品別1食労務費!$C$5:$C$124,$R77)+COUNTIF(⑳商品別1食労務費!$C$5:$C$124,$S77)+COUNTIF(⑳商品別1食労務費!$C$5:$C$124,$T77)+COUNTIF(⑳商品別1食労務費!$C$5:$C$124,$U77)+COUNTIF(⑳商品別1食労務費!$C$5:$C$124,$V77)+COUNTIF(⑳商品別1食労務費!$C$5:$C$124,$W77)=$X77,"OK","⑳に無い商品名"))</f>
        <v/>
      </c>
      <c r="AA77" s="334">
        <f>SUMIF(⑳商品別1食労務費!$C$5:$C$124,$R77,⑳商品別1食労務費!$F$5:$F$124)+SUMIF(⑳商品別1食労務費!$C$5:$C$124,$S77,⑳商品別1食労務費!$F$5:$F$124)+SUMIF(⑳商品別1食労務費!$C$5:$C$124,$T77,⑳商品別1食労務費!$F$5:$F$124)+SUMIF(⑳商品別1食労務費!$C$5:$C$124,$U77,⑳商品別1食労務費!$F$5:$F$124)+SUMIF(⑳商品別1食労務費!$C$5:$C$124,$V77,⑳商品別1食労務費!$F$5:$F$124)+SUMIF(⑳商品別1食労務費!$C$5:$C$124,$W77,⑳商品別1食労務費!$F$5:$F$124)</f>
        <v/>
      </c>
      <c r="AB77" s="334">
        <f>IF(ISNUMBER($M77),$M77,0)</f>
        <v/>
      </c>
      <c r="AC77" s="334">
        <f>IF(AND($X77&gt;0,ISNUMBER($J77)),$J77/$X77,"")</f>
        <v/>
      </c>
      <c r="AD77" s="413">
        <f>IF($R77="",0,IF($AA77&gt;0,$AB77*SUMIF(⑳商品別1食労務費!$C$5:$C$124,$R77,⑳商品別1食労務費!$F$5:$F$124)/$AA77,$AB77/$X77))</f>
        <v/>
      </c>
      <c r="AE77" s="413">
        <f>IF($S77="",0,IF($AA77&gt;0,$AB77*SUMIF(⑳商品別1食労務費!$C$5:$C$124,$S77,⑳商品別1食労務費!$F$5:$F$124)/$AA77,$AB77/$X77))</f>
        <v/>
      </c>
      <c r="AF77" s="413">
        <f>IF($T77="",0,IF($AA77&gt;0,$AB77*SUMIF(⑳商品別1食労務費!$C$5:$C$124,$T77,⑳商品別1食労務費!$F$5:$F$124)/$AA77,$AB77/$X77))</f>
        <v/>
      </c>
      <c r="AG77" s="413">
        <f>IF($U77="",0,IF($AA77&gt;0,$AB77*SUMIF(⑳商品別1食労務費!$C$5:$C$124,$U77,⑳商品別1食労務費!$F$5:$F$124)/$AA77,$AB77/$X77))</f>
        <v/>
      </c>
      <c r="AH77" s="413">
        <f>IF($V77="",0,IF($AA77&gt;0,$AB77*SUMIF(⑳商品別1食労務費!$C$5:$C$124,$V77,⑳商品別1食労務費!$F$5:$F$124)/$AA77,$AB77/$X77))</f>
        <v/>
      </c>
      <c r="AI77" s="413">
        <f>IF($W77="",0,IF($AA77&gt;0,$AB77*SUMIF(⑳商品別1食労務費!$C$5:$C$124,$W77,⑳商品別1食労務費!$F$5:$F$124)/$AA77,$AB77/$X77))</f>
        <v/>
      </c>
    </row>
    <row r="78" hidden="1" s="438">
      <c r="A78" s="197" t="n">
        <v>337</v>
      </c>
      <c r="B78" s="198" t="inlineStr">
        <is>
          <t>盛り込み⑤</t>
        </is>
      </c>
      <c r="C78" s="229" t="inlineStr">
        <is>
          <t>Ｓホイップの苺プリン</t>
        </is>
      </c>
      <c r="D78" s="190" t="n"/>
      <c r="E78" s="190" t="n"/>
      <c r="F78" s="541">
        <f>IF(OR(D78="",E78=""),"",(E78-D78)*1440)</f>
        <v/>
      </c>
      <c r="G78" s="542" t="n"/>
      <c r="H78" s="542" t="n"/>
      <c r="I78" s="543" t="n"/>
      <c r="J78" s="192" t="n"/>
      <c r="K78" s="544">
        <f>IF(AND(ISNUMBER(F78),I78&gt;0),I78/(F78/60),"")</f>
        <v/>
      </c>
      <c r="L78" s="545" t="n">
        <v>900</v>
      </c>
      <c r="M78" s="194">
        <f>IF(OR(ISNUMBER(SEARCH("サニテーション",C78)),ISNUMBER(SEARCH("客注",C78)),ISNUMBER(SEARCH("切り替え",C78)),ISNUMBER(SEARCH("切替",C78)),NOT(ISNUMBER(H78))),"",IF(ISNUMBER(G78),G78/60*H78*④前提設定!$B$4,IF(AND(G78="",ISNUMBER(F78)),F78/60*H78*④前提設定!$B$4,"")))</f>
        <v/>
      </c>
      <c r="N78" s="546">
        <f>IF(AND(I78&gt;0,ISNUMBER(M78)),M78/I78,"")</f>
        <v/>
      </c>
      <c r="O78" s="547">
        <f>IF(AND(J78&gt;0,ISNUMBER(M78)),M78/J78,"")</f>
        <v/>
      </c>
      <c r="P78" s="199" t="n"/>
      <c r="Q78" s="200" t="inlineStr">
        <is>
          <t>★要入力（工程記録なし／実作業(分)・人数・個数を入れると⑳に自動反映）</t>
        </is>
      </c>
      <c r="R78" t="inlineStr">
        <is>
          <t>Ｓホイップの苺プリン</t>
        </is>
      </c>
      <c r="X78" s="334">
        <f>COUNTA(R78:W78)</f>
        <v/>
      </c>
      <c r="Y78" s="334">
        <f>IF(AND($X78&gt;0,ISNUMBER($M78)),$M78/$X78,"")</f>
        <v/>
      </c>
      <c r="Z78" s="334">
        <f>IF($X78=0,"",IF(COUNTIF(⑳商品別1食労務費!$C$5:$C$124,$R78)+COUNTIF(⑳商品別1食労務費!$C$5:$C$124,$S78)+COUNTIF(⑳商品別1食労務費!$C$5:$C$124,$T78)+COUNTIF(⑳商品別1食労務費!$C$5:$C$124,$U78)+COUNTIF(⑳商品別1食労務費!$C$5:$C$124,$V78)+COUNTIF(⑳商品別1食労務費!$C$5:$C$124,$W78)=$X78,"OK","⑳に無い商品名"))</f>
        <v/>
      </c>
      <c r="AA78" s="334">
        <f>SUMIF(⑳商品別1食労務費!$C$5:$C$124,$R78,⑳商品別1食労務費!$F$5:$F$124)+SUMIF(⑳商品別1食労務費!$C$5:$C$124,$S78,⑳商品別1食労務費!$F$5:$F$124)+SUMIF(⑳商品別1食労務費!$C$5:$C$124,$T78,⑳商品別1食労務費!$F$5:$F$124)+SUMIF(⑳商品別1食労務費!$C$5:$C$124,$U78,⑳商品別1食労務費!$F$5:$F$124)+SUMIF(⑳商品別1食労務費!$C$5:$C$124,$V78,⑳商品別1食労務費!$F$5:$F$124)+SUMIF(⑳商品別1食労務費!$C$5:$C$124,$W78,⑳商品別1食労務費!$F$5:$F$124)</f>
        <v/>
      </c>
      <c r="AB78" s="334">
        <f>IF(ISNUMBER($M78),$M78,0)</f>
        <v/>
      </c>
      <c r="AC78" s="334">
        <f>IF(AND($X78&gt;0,ISNUMBER($J78)),$J78/$X78,"")</f>
        <v/>
      </c>
      <c r="AD78" s="413">
        <f>IF($R78="",0,IF($AA78&gt;0,$AB78*SUMIF(⑳商品別1食労務費!$C$5:$C$124,$R78,⑳商品別1食労務費!$F$5:$F$124)/$AA78,$AB78/$X78))</f>
        <v/>
      </c>
      <c r="AE78" s="413">
        <f>IF($S78="",0,IF($AA78&gt;0,$AB78*SUMIF(⑳商品別1食労務費!$C$5:$C$124,$S78,⑳商品別1食労務費!$F$5:$F$124)/$AA78,$AB78/$X78))</f>
        <v/>
      </c>
      <c r="AF78" s="413">
        <f>IF($T78="",0,IF($AA78&gt;0,$AB78*SUMIF(⑳商品別1食労務費!$C$5:$C$124,$T78,⑳商品別1食労務費!$F$5:$F$124)/$AA78,$AB78/$X78))</f>
        <v/>
      </c>
      <c r="AG78" s="413">
        <f>IF($U78="",0,IF($AA78&gt;0,$AB78*SUMIF(⑳商品別1食労務費!$C$5:$C$124,$U78,⑳商品別1食労務費!$F$5:$F$124)/$AA78,$AB78/$X78))</f>
        <v/>
      </c>
      <c r="AH78" s="413">
        <f>IF($V78="",0,IF($AA78&gt;0,$AB78*SUMIF(⑳商品別1食労務費!$C$5:$C$124,$V78,⑳商品別1食労務費!$F$5:$F$124)/$AA78,$AB78/$X78))</f>
        <v/>
      </c>
      <c r="AI78" s="413">
        <f>IF($W78="",0,IF($AA78&gt;0,$AB78*SUMIF(⑳商品別1食労務費!$C$5:$C$124,$W78,⑳商品別1食労務費!$F$5:$F$124)/$AA78,$AB78/$X78))</f>
        <v/>
      </c>
    </row>
    <row r="79" hidden="1" s="438">
      <c r="A79" s="197" t="n">
        <v>338</v>
      </c>
      <c r="B79" s="198" t="inlineStr">
        <is>
          <t>盛り込み⑤</t>
        </is>
      </c>
      <c r="C79" s="229" t="inlineStr">
        <is>
          <t>Ｓもちっときなこプリン</t>
        </is>
      </c>
      <c r="D79" s="190" t="n"/>
      <c r="E79" s="190" t="n"/>
      <c r="F79" s="541">
        <f>IF(OR(D79="",E79=""),"",(E79-D79)*1440)</f>
        <v/>
      </c>
      <c r="G79" s="542" t="n"/>
      <c r="H79" s="542" t="n"/>
      <c r="I79" s="543" t="n"/>
      <c r="J79" s="192" t="n"/>
      <c r="K79" s="544">
        <f>IF(AND(ISNUMBER(F79),I79&gt;0),I79/(F79/60),"")</f>
        <v/>
      </c>
      <c r="L79" s="545" t="n">
        <v>900</v>
      </c>
      <c r="M79" s="194">
        <f>IF(OR(ISNUMBER(SEARCH("サニテーション",C79)),ISNUMBER(SEARCH("客注",C79)),ISNUMBER(SEARCH("切り替え",C79)),ISNUMBER(SEARCH("切替",C79)),NOT(ISNUMBER(H79))),"",IF(ISNUMBER(G79),G79/60*H79*④前提設定!$B$4,IF(AND(G79="",ISNUMBER(F79)),F79/60*H79*④前提設定!$B$4,"")))</f>
        <v/>
      </c>
      <c r="N79" s="546">
        <f>IF(AND(I79&gt;0,ISNUMBER(M79)),M79/I79,"")</f>
        <v/>
      </c>
      <c r="O79" s="547">
        <f>IF(AND(J79&gt;0,ISNUMBER(M79)),M79/J79,"")</f>
        <v/>
      </c>
      <c r="P79" s="199" t="n"/>
      <c r="Q79" s="200" t="inlineStr">
        <is>
          <t>★要入力（工程記録なし／実作業(分)・人数・個数を入れると⑳に自動反映）</t>
        </is>
      </c>
      <c r="R79" t="inlineStr">
        <is>
          <t>Ｓもちっときなこプリン</t>
        </is>
      </c>
      <c r="X79" s="334">
        <f>COUNTA(R79:W79)</f>
        <v/>
      </c>
      <c r="Y79" s="334">
        <f>IF(AND($X79&gt;0,ISNUMBER($M79)),$M79/$X79,"")</f>
        <v/>
      </c>
      <c r="Z79" s="334">
        <f>IF($X79=0,"",IF(COUNTIF(⑳商品別1食労務費!$C$5:$C$124,$R79)+COUNTIF(⑳商品別1食労務費!$C$5:$C$124,$S79)+COUNTIF(⑳商品別1食労務費!$C$5:$C$124,$T79)+COUNTIF(⑳商品別1食労務費!$C$5:$C$124,$U79)+COUNTIF(⑳商品別1食労務費!$C$5:$C$124,$V79)+COUNTIF(⑳商品別1食労務費!$C$5:$C$124,$W79)=$X79,"OK","⑳に無い商品名"))</f>
        <v/>
      </c>
      <c r="AA79" s="334">
        <f>SUMIF(⑳商品別1食労務費!$C$5:$C$124,$R79,⑳商品別1食労務費!$F$5:$F$124)+SUMIF(⑳商品別1食労務費!$C$5:$C$124,$S79,⑳商品別1食労務費!$F$5:$F$124)+SUMIF(⑳商品別1食労務費!$C$5:$C$124,$T79,⑳商品別1食労務費!$F$5:$F$124)+SUMIF(⑳商品別1食労務費!$C$5:$C$124,$U79,⑳商品別1食労務費!$F$5:$F$124)+SUMIF(⑳商品別1食労務費!$C$5:$C$124,$V79,⑳商品別1食労務費!$F$5:$F$124)+SUMIF(⑳商品別1食労務費!$C$5:$C$124,$W79,⑳商品別1食労務費!$F$5:$F$124)</f>
        <v/>
      </c>
      <c r="AB79" s="334">
        <f>IF(ISNUMBER($M79),$M79,0)</f>
        <v/>
      </c>
      <c r="AC79" s="334">
        <f>IF(AND($X79&gt;0,ISNUMBER($J79)),$J79/$X79,"")</f>
        <v/>
      </c>
      <c r="AD79" s="413">
        <f>IF($R79="",0,IF($AA79&gt;0,$AB79*SUMIF(⑳商品別1食労務費!$C$5:$C$124,$R79,⑳商品別1食労務費!$F$5:$F$124)/$AA79,$AB79/$X79))</f>
        <v/>
      </c>
      <c r="AE79" s="413">
        <f>IF($S79="",0,IF($AA79&gt;0,$AB79*SUMIF(⑳商品別1食労務費!$C$5:$C$124,$S79,⑳商品別1食労務費!$F$5:$F$124)/$AA79,$AB79/$X79))</f>
        <v/>
      </c>
      <c r="AF79" s="413">
        <f>IF($T79="",0,IF($AA79&gt;0,$AB79*SUMIF(⑳商品別1食労務費!$C$5:$C$124,$T79,⑳商品別1食労務費!$F$5:$F$124)/$AA79,$AB79/$X79))</f>
        <v/>
      </c>
      <c r="AG79" s="413">
        <f>IF($U79="",0,IF($AA79&gt;0,$AB79*SUMIF(⑳商品別1食労務費!$C$5:$C$124,$U79,⑳商品別1食労務費!$F$5:$F$124)/$AA79,$AB79/$X79))</f>
        <v/>
      </c>
      <c r="AH79" s="413">
        <f>IF($V79="",0,IF($AA79&gt;0,$AB79*SUMIF(⑳商品別1食労務費!$C$5:$C$124,$V79,⑳商品別1食労務費!$F$5:$F$124)/$AA79,$AB79/$X79))</f>
        <v/>
      </c>
      <c r="AI79" s="413">
        <f>IF($W79="",0,IF($AA79&gt;0,$AB79*SUMIF(⑳商品別1食労務費!$C$5:$C$124,$W79,⑳商品別1食労務費!$F$5:$F$124)/$AA79,$AB79/$X79))</f>
        <v/>
      </c>
    </row>
    <row r="80" hidden="1" s="438">
      <c r="A80" s="197" t="n">
        <v>339</v>
      </c>
      <c r="B80" s="198" t="inlineStr">
        <is>
          <t>盛り込み⑤</t>
        </is>
      </c>
      <c r="C80" s="229" t="inlineStr">
        <is>
          <t>チョコチップスコーン３個</t>
        </is>
      </c>
      <c r="D80" s="190" t="n"/>
      <c r="E80" s="190" t="n"/>
      <c r="F80" s="541">
        <f>IF(OR(D80="",E80=""),"",(E80-D80)*1440)</f>
        <v/>
      </c>
      <c r="G80" s="542" t="n"/>
      <c r="H80" s="542" t="n"/>
      <c r="I80" s="543" t="n"/>
      <c r="J80" s="192" t="n"/>
      <c r="K80" s="544">
        <f>IF(AND(ISNUMBER(F80),I80&gt;0),I80/(F80/60),"")</f>
        <v/>
      </c>
      <c r="L80" s="545" t="n">
        <v>950</v>
      </c>
      <c r="M80" s="194">
        <f>IF(OR(ISNUMBER(SEARCH("サニテーション",C80)),ISNUMBER(SEARCH("客注",C80)),ISNUMBER(SEARCH("切り替え",C80)),ISNUMBER(SEARCH("切替",C80)),NOT(ISNUMBER(H80))),"",IF(ISNUMBER(G80),G80/60*H80*④前提設定!$B$4,IF(AND(G80="",ISNUMBER(F80)),F80/60*H80*④前提設定!$B$4,"")))</f>
        <v/>
      </c>
      <c r="N80" s="546">
        <f>IF(AND(I80&gt;0,ISNUMBER(M80)),M80/I80,"")</f>
        <v/>
      </c>
      <c r="O80" s="547">
        <f>IF(AND(J80&gt;0,ISNUMBER(M80)),M80/J80,"")</f>
        <v/>
      </c>
      <c r="P80" s="199" t="n"/>
      <c r="Q80" s="200" t="inlineStr">
        <is>
          <t>★要入力（工程記録なし／実作業(分)・人数・個数を入れると⑳に自動反映）</t>
        </is>
      </c>
      <c r="R80" t="inlineStr">
        <is>
          <t>チョコチップスコーン３個</t>
        </is>
      </c>
      <c r="X80" s="334">
        <f>COUNTA(R80:W80)</f>
        <v/>
      </c>
      <c r="Y80" s="334">
        <f>IF(AND($X80&gt;0,ISNUMBER($M80)),$M80/$X80,"")</f>
        <v/>
      </c>
      <c r="Z80" s="334">
        <f>IF($X80=0,"",IF(COUNTIF(⑳商品別1食労務費!$C$5:$C$124,$R80)+COUNTIF(⑳商品別1食労務費!$C$5:$C$124,$S80)+COUNTIF(⑳商品別1食労務費!$C$5:$C$124,$T80)+COUNTIF(⑳商品別1食労務費!$C$5:$C$124,$U80)+COUNTIF(⑳商品別1食労務費!$C$5:$C$124,$V80)+COUNTIF(⑳商品別1食労務費!$C$5:$C$124,$W80)=$X80,"OK","⑳に無い商品名"))</f>
        <v/>
      </c>
      <c r="AA80" s="334">
        <f>SUMIF(⑳商品別1食労務費!$C$5:$C$124,$R80,⑳商品別1食労務費!$F$5:$F$124)+SUMIF(⑳商品別1食労務費!$C$5:$C$124,$S80,⑳商品別1食労務費!$F$5:$F$124)+SUMIF(⑳商品別1食労務費!$C$5:$C$124,$T80,⑳商品別1食労務費!$F$5:$F$124)+SUMIF(⑳商品別1食労務費!$C$5:$C$124,$U80,⑳商品別1食労務費!$F$5:$F$124)+SUMIF(⑳商品別1食労務費!$C$5:$C$124,$V80,⑳商品別1食労務費!$F$5:$F$124)+SUMIF(⑳商品別1食労務費!$C$5:$C$124,$W80,⑳商品別1食労務費!$F$5:$F$124)</f>
        <v/>
      </c>
      <c r="AB80" s="334">
        <f>IF(ISNUMBER($M80),$M80,0)</f>
        <v/>
      </c>
      <c r="AC80" s="334">
        <f>IF(AND($X80&gt;0,ISNUMBER($J80)),$J80/$X80,"")</f>
        <v/>
      </c>
      <c r="AD80" s="413">
        <f>IF($R80="",0,IF($AA80&gt;0,$AB80*SUMIF(⑳商品別1食労務費!$C$5:$C$124,$R80,⑳商品別1食労務費!$F$5:$F$124)/$AA80,$AB80/$X80))</f>
        <v/>
      </c>
      <c r="AE80" s="413">
        <f>IF($S80="",0,IF($AA80&gt;0,$AB80*SUMIF(⑳商品別1食労務費!$C$5:$C$124,$S80,⑳商品別1食労務費!$F$5:$F$124)/$AA80,$AB80/$X80))</f>
        <v/>
      </c>
      <c r="AF80" s="413">
        <f>IF($T80="",0,IF($AA80&gt;0,$AB80*SUMIF(⑳商品別1食労務費!$C$5:$C$124,$T80,⑳商品別1食労務費!$F$5:$F$124)/$AA80,$AB80/$X80))</f>
        <v/>
      </c>
      <c r="AG80" s="413">
        <f>IF($U80="",0,IF($AA80&gt;0,$AB80*SUMIF(⑳商品別1食労務費!$C$5:$C$124,$U80,⑳商品別1食労務費!$F$5:$F$124)/$AA80,$AB80/$X80))</f>
        <v/>
      </c>
      <c r="AH80" s="413">
        <f>IF($V80="",0,IF($AA80&gt;0,$AB80*SUMIF(⑳商品別1食労務費!$C$5:$C$124,$V80,⑳商品別1食労務費!$F$5:$F$124)/$AA80,$AB80/$X80))</f>
        <v/>
      </c>
      <c r="AI80" s="413">
        <f>IF($W80="",0,IF($AA80&gt;0,$AB80*SUMIF(⑳商品別1食労務費!$C$5:$C$124,$W80,⑳商品別1食労務費!$F$5:$F$124)/$AA80,$AB80/$X80))</f>
        <v/>
      </c>
    </row>
    <row r="81" hidden="1" s="438">
      <c r="A81" s="197" t="n">
        <v>340</v>
      </c>
      <c r="B81" s="198" t="inlineStr">
        <is>
          <t>盛り込み⑤</t>
        </is>
      </c>
      <c r="C81" s="229" t="inlineStr">
        <is>
          <t>Ｓハニーレモンマフィン１個</t>
        </is>
      </c>
      <c r="D81" s="190" t="n"/>
      <c r="E81" s="190" t="n"/>
      <c r="F81" s="541">
        <f>IF(OR(D81="",E81=""),"",(E81-D81)*1440)</f>
        <v/>
      </c>
      <c r="G81" s="542" t="n"/>
      <c r="H81" s="542" t="n"/>
      <c r="I81" s="543" t="n"/>
      <c r="J81" s="192" t="n"/>
      <c r="K81" s="544">
        <f>IF(AND(ISNUMBER(F81),I81&gt;0),I81/(F81/60),"")</f>
        <v/>
      </c>
      <c r="L81" s="545" t="n">
        <v>950</v>
      </c>
      <c r="M81" s="194">
        <f>IF(OR(ISNUMBER(SEARCH("サニテーション",C81)),ISNUMBER(SEARCH("客注",C81)),ISNUMBER(SEARCH("切り替え",C81)),ISNUMBER(SEARCH("切替",C81)),NOT(ISNUMBER(H81))),"",IF(ISNUMBER(G81),G81/60*H81*④前提設定!$B$4,IF(AND(G81="",ISNUMBER(F81)),F81/60*H81*④前提設定!$B$4,"")))</f>
        <v/>
      </c>
      <c r="N81" s="546">
        <f>IF(AND(I81&gt;0,ISNUMBER(M81)),M81/I81,"")</f>
        <v/>
      </c>
      <c r="O81" s="547">
        <f>IF(AND(J81&gt;0,ISNUMBER(M81)),M81/J81,"")</f>
        <v/>
      </c>
      <c r="P81" s="199" t="n"/>
      <c r="Q81" s="200" t="inlineStr">
        <is>
          <t>★要入力（工程記録なし／実作業(分)・人数・個数を入れると⑳に自動反映）</t>
        </is>
      </c>
      <c r="R81" t="inlineStr">
        <is>
          <t>Ｓハニーレモンマフィン１個</t>
        </is>
      </c>
      <c r="X81" s="334">
        <f>COUNTA(R81:W81)</f>
        <v/>
      </c>
      <c r="Y81" s="334">
        <f>IF(AND($X81&gt;0,ISNUMBER($M81)),$M81/$X81,"")</f>
        <v/>
      </c>
      <c r="Z81" s="334">
        <f>IF($X81=0,"",IF(COUNTIF(⑳商品別1食労務費!$C$5:$C$124,$R81)+COUNTIF(⑳商品別1食労務費!$C$5:$C$124,$S81)+COUNTIF(⑳商品別1食労務費!$C$5:$C$124,$T81)+COUNTIF(⑳商品別1食労務費!$C$5:$C$124,$U81)+COUNTIF(⑳商品別1食労務費!$C$5:$C$124,$V81)+COUNTIF(⑳商品別1食労務費!$C$5:$C$124,$W81)=$X81,"OK","⑳に無い商品名"))</f>
        <v/>
      </c>
      <c r="AA81" s="334">
        <f>SUMIF(⑳商品別1食労務費!$C$5:$C$124,$R81,⑳商品別1食労務費!$F$5:$F$124)+SUMIF(⑳商品別1食労務費!$C$5:$C$124,$S81,⑳商品別1食労務費!$F$5:$F$124)+SUMIF(⑳商品別1食労務費!$C$5:$C$124,$T81,⑳商品別1食労務費!$F$5:$F$124)+SUMIF(⑳商品別1食労務費!$C$5:$C$124,$U81,⑳商品別1食労務費!$F$5:$F$124)+SUMIF(⑳商品別1食労務費!$C$5:$C$124,$V81,⑳商品別1食労務費!$F$5:$F$124)+SUMIF(⑳商品別1食労務費!$C$5:$C$124,$W81,⑳商品別1食労務費!$F$5:$F$124)</f>
        <v/>
      </c>
      <c r="AB81" s="334">
        <f>IF(ISNUMBER($M81),$M81,0)</f>
        <v/>
      </c>
      <c r="AC81" s="334">
        <f>IF(AND($X81&gt;0,ISNUMBER($J81)),$J81/$X81,"")</f>
        <v/>
      </c>
      <c r="AD81" s="413">
        <f>IF($R81="",0,IF($AA81&gt;0,$AB81*SUMIF(⑳商品別1食労務費!$C$5:$C$124,$R81,⑳商品別1食労務費!$F$5:$F$124)/$AA81,$AB81/$X81))</f>
        <v/>
      </c>
      <c r="AE81" s="413">
        <f>IF($S81="",0,IF($AA81&gt;0,$AB81*SUMIF(⑳商品別1食労務費!$C$5:$C$124,$S81,⑳商品別1食労務費!$F$5:$F$124)/$AA81,$AB81/$X81))</f>
        <v/>
      </c>
      <c r="AF81" s="413">
        <f>IF($T81="",0,IF($AA81&gt;0,$AB81*SUMIF(⑳商品別1食労務費!$C$5:$C$124,$T81,⑳商品別1食労務費!$F$5:$F$124)/$AA81,$AB81/$X81))</f>
        <v/>
      </c>
      <c r="AG81" s="413">
        <f>IF($U81="",0,IF($AA81&gt;0,$AB81*SUMIF(⑳商品別1食労務費!$C$5:$C$124,$U81,⑳商品別1食労務費!$F$5:$F$124)/$AA81,$AB81/$X81))</f>
        <v/>
      </c>
      <c r="AH81" s="413">
        <f>IF($V81="",0,IF($AA81&gt;0,$AB81*SUMIF(⑳商品別1食労務費!$C$5:$C$124,$V81,⑳商品別1食労務費!$F$5:$F$124)/$AA81,$AB81/$X81))</f>
        <v/>
      </c>
      <c r="AI81" s="413">
        <f>IF($W81="",0,IF($AA81&gt;0,$AB81*SUMIF(⑳商品別1食労務費!$C$5:$C$124,$W81,⑳商品別1食労務費!$F$5:$F$124)/$AA81,$AB81/$X81))</f>
        <v/>
      </c>
    </row>
    <row r="82" hidden="1" s="438">
      <c r="A82" s="197" t="n">
        <v>341</v>
      </c>
      <c r="B82" s="198" t="inlineStr">
        <is>
          <t>盛り込み⑤</t>
        </is>
      </c>
      <c r="C82" s="229" t="inlineStr">
        <is>
          <t>Ｓブルーベリーマフィン１個</t>
        </is>
      </c>
      <c r="D82" s="190" t="n"/>
      <c r="E82" s="190" t="n"/>
      <c r="F82" s="541">
        <f>IF(OR(D82="",E82=""),"",(E82-D82)*1440)</f>
        <v/>
      </c>
      <c r="G82" s="542" t="n"/>
      <c r="H82" s="542" t="n"/>
      <c r="I82" s="543" t="n"/>
      <c r="J82" s="192" t="n"/>
      <c r="K82" s="544">
        <f>IF(AND(ISNUMBER(F82),I82&gt;0),I82/(F82/60),"")</f>
        <v/>
      </c>
      <c r="L82" s="545" t="n">
        <v>950</v>
      </c>
      <c r="M82" s="194">
        <f>IF(OR(ISNUMBER(SEARCH("サニテーション",C82)),ISNUMBER(SEARCH("客注",C82)),ISNUMBER(SEARCH("切り替え",C82)),ISNUMBER(SEARCH("切替",C82)),NOT(ISNUMBER(H82))),"",IF(ISNUMBER(G82),G82/60*H82*④前提設定!$B$4,IF(AND(G82="",ISNUMBER(F82)),F82/60*H82*④前提設定!$B$4,"")))</f>
        <v/>
      </c>
      <c r="N82" s="546">
        <f>IF(AND(I82&gt;0,ISNUMBER(M82)),M82/I82,"")</f>
        <v/>
      </c>
      <c r="O82" s="547">
        <f>IF(AND(J82&gt;0,ISNUMBER(M82)),M82/J82,"")</f>
        <v/>
      </c>
      <c r="P82" s="199" t="n"/>
      <c r="Q82" s="200" t="inlineStr">
        <is>
          <t>★要入力（工程記録なし／実作業(分)・人数・個数を入れると⑳に自動反映）</t>
        </is>
      </c>
      <c r="R82" t="inlineStr">
        <is>
          <t>Ｓブルーベリーマフィン１個</t>
        </is>
      </c>
      <c r="X82" s="334">
        <f>COUNTA(R82:W82)</f>
        <v/>
      </c>
      <c r="Y82" s="334">
        <f>IF(AND($X82&gt;0,ISNUMBER($M82)),$M82/$X82,"")</f>
        <v/>
      </c>
      <c r="Z82" s="334">
        <f>IF($X82=0,"",IF(COUNTIF(⑳商品別1食労務費!$C$5:$C$124,$R82)+COUNTIF(⑳商品別1食労務費!$C$5:$C$124,$S82)+COUNTIF(⑳商品別1食労務費!$C$5:$C$124,$T82)+COUNTIF(⑳商品別1食労務費!$C$5:$C$124,$U82)+COUNTIF(⑳商品別1食労務費!$C$5:$C$124,$V82)+COUNTIF(⑳商品別1食労務費!$C$5:$C$124,$W82)=$X82,"OK","⑳に無い商品名"))</f>
        <v/>
      </c>
      <c r="AA82" s="334">
        <f>SUMIF(⑳商品別1食労務費!$C$5:$C$124,$R82,⑳商品別1食労務費!$F$5:$F$124)+SUMIF(⑳商品別1食労務費!$C$5:$C$124,$S82,⑳商品別1食労務費!$F$5:$F$124)+SUMIF(⑳商品別1食労務費!$C$5:$C$124,$T82,⑳商品別1食労務費!$F$5:$F$124)+SUMIF(⑳商品別1食労務費!$C$5:$C$124,$U82,⑳商品別1食労務費!$F$5:$F$124)+SUMIF(⑳商品別1食労務費!$C$5:$C$124,$V82,⑳商品別1食労務費!$F$5:$F$124)+SUMIF(⑳商品別1食労務費!$C$5:$C$124,$W82,⑳商品別1食労務費!$F$5:$F$124)</f>
        <v/>
      </c>
      <c r="AB82" s="334">
        <f>IF(ISNUMBER($M82),$M82,0)</f>
        <v/>
      </c>
      <c r="AC82" s="334">
        <f>IF(AND($X82&gt;0,ISNUMBER($J82)),$J82/$X82,"")</f>
        <v/>
      </c>
      <c r="AD82" s="413">
        <f>IF($R82="",0,IF($AA82&gt;0,$AB82*SUMIF(⑳商品別1食労務費!$C$5:$C$124,$R82,⑳商品別1食労務費!$F$5:$F$124)/$AA82,$AB82/$X82))</f>
        <v/>
      </c>
      <c r="AE82" s="413">
        <f>IF($S82="",0,IF($AA82&gt;0,$AB82*SUMIF(⑳商品別1食労務費!$C$5:$C$124,$S82,⑳商品別1食労務費!$F$5:$F$124)/$AA82,$AB82/$X82))</f>
        <v/>
      </c>
      <c r="AF82" s="413">
        <f>IF($T82="",0,IF($AA82&gt;0,$AB82*SUMIF(⑳商品別1食労務費!$C$5:$C$124,$T82,⑳商品別1食労務費!$F$5:$F$124)/$AA82,$AB82/$X82))</f>
        <v/>
      </c>
      <c r="AG82" s="413">
        <f>IF($U82="",0,IF($AA82&gt;0,$AB82*SUMIF(⑳商品別1食労務費!$C$5:$C$124,$U82,⑳商品別1食労務費!$F$5:$F$124)/$AA82,$AB82/$X82))</f>
        <v/>
      </c>
      <c r="AH82" s="413">
        <f>IF($V82="",0,IF($AA82&gt;0,$AB82*SUMIF(⑳商品別1食労務費!$C$5:$C$124,$V82,⑳商品別1食労務費!$F$5:$F$124)/$AA82,$AB82/$X82))</f>
        <v/>
      </c>
      <c r="AI82" s="413">
        <f>IF($W82="",0,IF($AA82&gt;0,$AB82*SUMIF(⑳商品別1食労務費!$C$5:$C$124,$W82,⑳商品別1食労務費!$F$5:$F$124)/$AA82,$AB82/$X82))</f>
        <v/>
      </c>
    </row>
    <row r="83" hidden="1" s="438">
      <c r="A83" s="197" t="n">
        <v>342</v>
      </c>
      <c r="B83" s="198" t="inlineStr">
        <is>
          <t>盛り込み⑤</t>
        </is>
      </c>
      <c r="C83" s="229" t="inlineStr">
        <is>
          <t>２５自社製焼豚（生）ＫＩＴ</t>
        </is>
      </c>
      <c r="D83" s="190" t="n"/>
      <c r="E83" s="190" t="n"/>
      <c r="F83" s="541">
        <f>IF(OR(D83="",E83=""),"",(E83-D83)*1440)</f>
        <v/>
      </c>
      <c r="G83" s="542" t="n"/>
      <c r="H83" s="542" t="n"/>
      <c r="I83" s="543" t="n"/>
      <c r="J83" s="192" t="n"/>
      <c r="K83" s="544">
        <f>IF(AND(ISNUMBER(F83),I83&gt;0),I83/(F83/60),"")</f>
        <v/>
      </c>
      <c r="L83" s="545" t="n">
        <v>950</v>
      </c>
      <c r="M83" s="194">
        <f>IF(OR(ISNUMBER(SEARCH("サニテーション",C83)),ISNUMBER(SEARCH("客注",C83)),ISNUMBER(SEARCH("切り替え",C83)),ISNUMBER(SEARCH("切替",C83)),NOT(ISNUMBER(H83))),"",IF(ISNUMBER(G83),G83/60*H83*④前提設定!$B$4,IF(AND(G83="",ISNUMBER(F83)),F83/60*H83*④前提設定!$B$4,"")))</f>
        <v/>
      </c>
      <c r="N83" s="546">
        <f>IF(AND(I83&gt;0,ISNUMBER(M83)),M83/I83,"")</f>
        <v/>
      </c>
      <c r="O83" s="547">
        <f>IF(AND(J83&gt;0,ISNUMBER(M83)),M83/J83,"")</f>
        <v/>
      </c>
      <c r="P83" s="199" t="n"/>
      <c r="Q83" s="200" t="inlineStr">
        <is>
          <t>★要入力（工程記録なし／実作業(分)・人数・個数を入れると⑳に自動反映）</t>
        </is>
      </c>
      <c r="R83" t="inlineStr">
        <is>
          <t>２５自社製焼豚（生）ＫＩＴ</t>
        </is>
      </c>
      <c r="X83" s="334">
        <f>COUNTA(R83:W83)</f>
        <v/>
      </c>
      <c r="Y83" s="334">
        <f>IF(AND($X83&gt;0,ISNUMBER($M83)),$M83/$X83,"")</f>
        <v/>
      </c>
      <c r="Z83" s="334">
        <f>IF($X83=0,"",IF(COUNTIF(⑳商品別1食労務費!$C$5:$C$124,$R83)+COUNTIF(⑳商品別1食労務費!$C$5:$C$124,$S83)+COUNTIF(⑳商品別1食労務費!$C$5:$C$124,$T83)+COUNTIF(⑳商品別1食労務費!$C$5:$C$124,$U83)+COUNTIF(⑳商品別1食労務費!$C$5:$C$124,$V83)+COUNTIF(⑳商品別1食労務費!$C$5:$C$124,$W83)=$X83,"OK","⑳に無い商品名"))</f>
        <v/>
      </c>
      <c r="AA83" s="334">
        <f>SUMIF(⑳商品別1食労務費!$C$5:$C$124,$R83,⑳商品別1食労務費!$F$5:$F$124)+SUMIF(⑳商品別1食労務費!$C$5:$C$124,$S83,⑳商品別1食労務費!$F$5:$F$124)+SUMIF(⑳商品別1食労務費!$C$5:$C$124,$T83,⑳商品別1食労務費!$F$5:$F$124)+SUMIF(⑳商品別1食労務費!$C$5:$C$124,$U83,⑳商品別1食労務費!$F$5:$F$124)+SUMIF(⑳商品別1食労務費!$C$5:$C$124,$V83,⑳商品別1食労務費!$F$5:$F$124)+SUMIF(⑳商品別1食労務費!$C$5:$C$124,$W83,⑳商品別1食労務費!$F$5:$F$124)</f>
        <v/>
      </c>
      <c r="AB83" s="334">
        <f>IF(ISNUMBER($M83),$M83,0)</f>
        <v/>
      </c>
      <c r="AC83" s="334">
        <f>IF(AND($X83&gt;0,ISNUMBER($J83)),$J83/$X83,"")</f>
        <v/>
      </c>
      <c r="AD83" s="413">
        <f>IF($R83="",0,IF($AA83&gt;0,$AB83*SUMIF(⑳商品別1食労務費!$C$5:$C$124,$R83,⑳商品別1食労務費!$F$5:$F$124)/$AA83,$AB83/$X83))</f>
        <v/>
      </c>
      <c r="AE83" s="413">
        <f>IF($S83="",0,IF($AA83&gt;0,$AB83*SUMIF(⑳商品別1食労務費!$C$5:$C$124,$S83,⑳商品別1食労務費!$F$5:$F$124)/$AA83,$AB83/$X83))</f>
        <v/>
      </c>
      <c r="AF83" s="413">
        <f>IF($T83="",0,IF($AA83&gt;0,$AB83*SUMIF(⑳商品別1食労務費!$C$5:$C$124,$T83,⑳商品別1食労務費!$F$5:$F$124)/$AA83,$AB83/$X83))</f>
        <v/>
      </c>
      <c r="AG83" s="413">
        <f>IF($U83="",0,IF($AA83&gt;0,$AB83*SUMIF(⑳商品別1食労務費!$C$5:$C$124,$U83,⑳商品別1食労務費!$F$5:$F$124)/$AA83,$AB83/$X83))</f>
        <v/>
      </c>
      <c r="AH83" s="413">
        <f>IF($V83="",0,IF($AA83&gt;0,$AB83*SUMIF(⑳商品別1食労務費!$C$5:$C$124,$V83,⑳商品別1食労務費!$F$5:$F$124)/$AA83,$AB83/$X83))</f>
        <v/>
      </c>
      <c r="AI83" s="413">
        <f>IF($W83="",0,IF($AA83&gt;0,$AB83*SUMIF(⑳商品別1食労務費!$C$5:$C$124,$W83,⑳商品別1食労務費!$F$5:$F$124)/$AA83,$AB83/$X83))</f>
        <v/>
      </c>
    </row>
    <row r="84" hidden="1" s="438">
      <c r="A84" s="197" t="n">
        <v>343</v>
      </c>
      <c r="B84" s="198" t="inlineStr">
        <is>
          <t>盛り込み⑤</t>
        </is>
      </c>
      <c r="C84" s="229" t="inlineStr">
        <is>
          <t>スペアリブＫＩＴ</t>
        </is>
      </c>
      <c r="D84" s="190" t="n"/>
      <c r="E84" s="190" t="n"/>
      <c r="F84" s="541">
        <f>IF(OR(D84="",E84=""),"",(E84-D84)*1440)</f>
        <v/>
      </c>
      <c r="G84" s="542" t="n"/>
      <c r="H84" s="542" t="n"/>
      <c r="I84" s="543" t="n"/>
      <c r="J84" s="192" t="n"/>
      <c r="K84" s="544">
        <f>IF(AND(ISNUMBER(F84),I84&gt;0),I84/(F84/60),"")</f>
        <v/>
      </c>
      <c r="L84" s="545" t="n">
        <v>1200</v>
      </c>
      <c r="M84" s="194">
        <f>IF(OR(ISNUMBER(SEARCH("サニテーション",C84)),ISNUMBER(SEARCH("客注",C84)),ISNUMBER(SEARCH("切り替え",C84)),ISNUMBER(SEARCH("切替",C84)),NOT(ISNUMBER(H84))),"",IF(ISNUMBER(G84),G84/60*H84*④前提設定!$B$4,IF(AND(G84="",ISNUMBER(F84)),F84/60*H84*④前提設定!$B$4,"")))</f>
        <v/>
      </c>
      <c r="N84" s="546">
        <f>IF(AND(I84&gt;0,ISNUMBER(M84)),M84/I84,"")</f>
        <v/>
      </c>
      <c r="O84" s="547">
        <f>IF(AND(J84&gt;0,ISNUMBER(M84)),M84/J84,"")</f>
        <v/>
      </c>
      <c r="P84" s="199" t="n"/>
      <c r="Q84" s="200" t="inlineStr">
        <is>
          <t>★要入力（工程記録なし／実作業(分)・人数・個数を入れると⑳に自動反映）</t>
        </is>
      </c>
      <c r="R84" t="inlineStr">
        <is>
          <t>スペアリブＫＩＴ</t>
        </is>
      </c>
      <c r="X84" s="334">
        <f>COUNTA(R84:W84)</f>
        <v/>
      </c>
      <c r="Y84" s="334">
        <f>IF(AND($X84&gt;0,ISNUMBER($M84)),$M84/$X84,"")</f>
        <v/>
      </c>
      <c r="Z84" s="334">
        <f>IF($X84=0,"",IF(COUNTIF(⑳商品別1食労務費!$C$5:$C$124,$R84)+COUNTIF(⑳商品別1食労務費!$C$5:$C$124,$S84)+COUNTIF(⑳商品別1食労務費!$C$5:$C$124,$T84)+COUNTIF(⑳商品別1食労務費!$C$5:$C$124,$U84)+COUNTIF(⑳商品別1食労務費!$C$5:$C$124,$V84)+COUNTIF(⑳商品別1食労務費!$C$5:$C$124,$W84)=$X84,"OK","⑳に無い商品名"))</f>
        <v/>
      </c>
      <c r="AA84" s="334">
        <f>SUMIF(⑳商品別1食労務費!$C$5:$C$124,$R84,⑳商品別1食労務費!$F$5:$F$124)+SUMIF(⑳商品別1食労務費!$C$5:$C$124,$S84,⑳商品別1食労務費!$F$5:$F$124)+SUMIF(⑳商品別1食労務費!$C$5:$C$124,$T84,⑳商品別1食労務費!$F$5:$F$124)+SUMIF(⑳商品別1食労務費!$C$5:$C$124,$U84,⑳商品別1食労務費!$F$5:$F$124)+SUMIF(⑳商品別1食労務費!$C$5:$C$124,$V84,⑳商品別1食労務費!$F$5:$F$124)+SUMIF(⑳商品別1食労務費!$C$5:$C$124,$W84,⑳商品別1食労務費!$F$5:$F$124)</f>
        <v/>
      </c>
      <c r="AB84" s="334">
        <f>IF(ISNUMBER($M84),$M84,0)</f>
        <v/>
      </c>
      <c r="AC84" s="334">
        <f>IF(AND($X84&gt;0,ISNUMBER($J84)),$J84/$X84,"")</f>
        <v/>
      </c>
      <c r="AD84" s="413">
        <f>IF($R84="",0,IF($AA84&gt;0,$AB84*SUMIF(⑳商品別1食労務費!$C$5:$C$124,$R84,⑳商品別1食労務費!$F$5:$F$124)/$AA84,$AB84/$X84))</f>
        <v/>
      </c>
      <c r="AE84" s="413">
        <f>IF($S84="",0,IF($AA84&gt;0,$AB84*SUMIF(⑳商品別1食労務費!$C$5:$C$124,$S84,⑳商品別1食労務費!$F$5:$F$124)/$AA84,$AB84/$X84))</f>
        <v/>
      </c>
      <c r="AF84" s="413">
        <f>IF($T84="",0,IF($AA84&gt;0,$AB84*SUMIF(⑳商品別1食労務費!$C$5:$C$124,$T84,⑳商品別1食労務費!$F$5:$F$124)/$AA84,$AB84/$X84))</f>
        <v/>
      </c>
      <c r="AG84" s="413">
        <f>IF($U84="",0,IF($AA84&gt;0,$AB84*SUMIF(⑳商品別1食労務費!$C$5:$C$124,$U84,⑳商品別1食労務費!$F$5:$F$124)/$AA84,$AB84/$X84))</f>
        <v/>
      </c>
      <c r="AH84" s="413">
        <f>IF($V84="",0,IF($AA84&gt;0,$AB84*SUMIF(⑳商品別1食労務費!$C$5:$C$124,$V84,⑳商品別1食労務費!$F$5:$F$124)/$AA84,$AB84/$X84))</f>
        <v/>
      </c>
      <c r="AI84" s="413">
        <f>IF($W84="",0,IF($AA84&gt;0,$AB84*SUMIF(⑳商品別1食労務費!$C$5:$C$124,$W84,⑳商品別1食労務費!$F$5:$F$124)/$AA84,$AB84/$X84))</f>
        <v/>
      </c>
    </row>
    <row r="85" hidden="1" s="438">
      <c r="A85" s="197" t="n">
        <v>344</v>
      </c>
      <c r="B85" s="198" t="inlineStr">
        <is>
          <t>盛り込み⑤</t>
        </is>
      </c>
      <c r="C85" s="229" t="inlineStr">
        <is>
          <t>自社製白身フライ（バサ）２</t>
        </is>
      </c>
      <c r="D85" s="190" t="n"/>
      <c r="E85" s="190" t="n"/>
      <c r="F85" s="541">
        <f>IF(OR(D85="",E85=""),"",(E85-D85)*1440)</f>
        <v/>
      </c>
      <c r="G85" s="542" t="n"/>
      <c r="H85" s="542" t="n"/>
      <c r="I85" s="543" t="n"/>
      <c r="J85" s="192" t="n"/>
      <c r="K85" s="544">
        <f>IF(AND(ISNUMBER(F85),I85&gt;0),I85/(F85/60),"")</f>
        <v/>
      </c>
      <c r="L85" s="545" t="n">
        <v>1100</v>
      </c>
      <c r="M85" s="194">
        <f>IF(OR(ISNUMBER(SEARCH("サニテーション",C85)),ISNUMBER(SEARCH("客注",C85)),ISNUMBER(SEARCH("切り替え",C85)),ISNUMBER(SEARCH("切替",C85)),NOT(ISNUMBER(H85))),"",IF(ISNUMBER(G85),G85/60*H85*④前提設定!$B$4,IF(AND(G85="",ISNUMBER(F85)),F85/60*H85*④前提設定!$B$4,"")))</f>
        <v/>
      </c>
      <c r="N85" s="546">
        <f>IF(AND(I85&gt;0,ISNUMBER(M85)),M85/I85,"")</f>
        <v/>
      </c>
      <c r="O85" s="547">
        <f>IF(AND(J85&gt;0,ISNUMBER(M85)),M85/J85,"")</f>
        <v/>
      </c>
      <c r="P85" s="199" t="n"/>
      <c r="Q85" s="200" t="inlineStr">
        <is>
          <t>★要入力（工程記録なし／実作業(分)・人数・個数を入れると⑳に自動反映）</t>
        </is>
      </c>
      <c r="R85" t="inlineStr">
        <is>
          <t>自社製白身フライ（バサ）２</t>
        </is>
      </c>
      <c r="X85" s="334">
        <f>COUNTA(R85:W85)</f>
        <v/>
      </c>
      <c r="Y85" s="334">
        <f>IF(AND($X85&gt;0,ISNUMBER($M85)),$M85/$X85,"")</f>
        <v/>
      </c>
      <c r="Z85" s="334">
        <f>IF($X85=0,"",IF(COUNTIF(⑳商品別1食労務費!$C$5:$C$124,$R85)+COUNTIF(⑳商品別1食労務費!$C$5:$C$124,$S85)+COUNTIF(⑳商品別1食労務費!$C$5:$C$124,$T85)+COUNTIF(⑳商品別1食労務費!$C$5:$C$124,$U85)+COUNTIF(⑳商品別1食労務費!$C$5:$C$124,$V85)+COUNTIF(⑳商品別1食労務費!$C$5:$C$124,$W85)=$X85,"OK","⑳に無い商品名"))</f>
        <v/>
      </c>
      <c r="AA85" s="334">
        <f>SUMIF(⑳商品別1食労務費!$C$5:$C$124,$R85,⑳商品別1食労務費!$F$5:$F$124)+SUMIF(⑳商品別1食労務費!$C$5:$C$124,$S85,⑳商品別1食労務費!$F$5:$F$124)+SUMIF(⑳商品別1食労務費!$C$5:$C$124,$T85,⑳商品別1食労務費!$F$5:$F$124)+SUMIF(⑳商品別1食労務費!$C$5:$C$124,$U85,⑳商品別1食労務費!$F$5:$F$124)+SUMIF(⑳商品別1食労務費!$C$5:$C$124,$V85,⑳商品別1食労務費!$F$5:$F$124)+SUMIF(⑳商品別1食労務費!$C$5:$C$124,$W85,⑳商品別1食労務費!$F$5:$F$124)</f>
        <v/>
      </c>
      <c r="AB85" s="334">
        <f>IF(ISNUMBER($M85),$M85,0)</f>
        <v/>
      </c>
      <c r="AC85" s="334">
        <f>IF(AND($X85&gt;0,ISNUMBER($J85)),$J85/$X85,"")</f>
        <v/>
      </c>
      <c r="AD85" s="413">
        <f>IF($R85="",0,IF($AA85&gt;0,$AB85*SUMIF(⑳商品別1食労務費!$C$5:$C$124,$R85,⑳商品別1食労務費!$F$5:$F$124)/$AA85,$AB85/$X85))</f>
        <v/>
      </c>
      <c r="AE85" s="413">
        <f>IF($S85="",0,IF($AA85&gt;0,$AB85*SUMIF(⑳商品別1食労務費!$C$5:$C$124,$S85,⑳商品別1食労務費!$F$5:$F$124)/$AA85,$AB85/$X85))</f>
        <v/>
      </c>
      <c r="AF85" s="413">
        <f>IF($T85="",0,IF($AA85&gt;0,$AB85*SUMIF(⑳商品別1食労務費!$C$5:$C$124,$T85,⑳商品別1食労務費!$F$5:$F$124)/$AA85,$AB85/$X85))</f>
        <v/>
      </c>
      <c r="AG85" s="413">
        <f>IF($U85="",0,IF($AA85&gt;0,$AB85*SUMIF(⑳商品別1食労務費!$C$5:$C$124,$U85,⑳商品別1食労務費!$F$5:$F$124)/$AA85,$AB85/$X85))</f>
        <v/>
      </c>
      <c r="AH85" s="413">
        <f>IF($V85="",0,IF($AA85&gt;0,$AB85*SUMIF(⑳商品別1食労務費!$C$5:$C$124,$V85,⑳商品別1食労務費!$F$5:$F$124)/$AA85,$AB85/$X85))</f>
        <v/>
      </c>
      <c r="AI85" s="413">
        <f>IF($W85="",0,IF($AA85&gt;0,$AB85*SUMIF(⑳商品別1食労務費!$C$5:$C$124,$W85,⑳商品別1食労務費!$F$5:$F$124)/$AA85,$AB85/$X85))</f>
        <v/>
      </c>
    </row>
    <row r="86" hidden="1" s="438">
      <c r="A86" s="197" t="n">
        <v>345</v>
      </c>
      <c r="B86" s="198" t="inlineStr">
        <is>
          <t>盛り込み⑤</t>
        </is>
      </c>
      <c r="C86" s="229" t="inlineStr">
        <is>
          <t>鶏もも角切りＫＩＴ（塩胡椒</t>
        </is>
      </c>
      <c r="D86" s="190" t="n"/>
      <c r="E86" s="190" t="n"/>
      <c r="F86" s="541">
        <f>IF(OR(D86="",E86=""),"",(E86-D86)*1440)</f>
        <v/>
      </c>
      <c r="G86" s="542" t="n"/>
      <c r="H86" s="542" t="n"/>
      <c r="I86" s="543" t="n"/>
      <c r="J86" s="192" t="n"/>
      <c r="K86" s="544">
        <f>IF(AND(ISNUMBER(F86),I86&gt;0),I86/(F86/60),"")</f>
        <v/>
      </c>
      <c r="L86" s="545" t="n">
        <v>1300</v>
      </c>
      <c r="M86" s="194">
        <f>IF(OR(ISNUMBER(SEARCH("サニテーション",C86)),ISNUMBER(SEARCH("客注",C86)),ISNUMBER(SEARCH("切り替え",C86)),ISNUMBER(SEARCH("切替",C86)),NOT(ISNUMBER(H86))),"",IF(ISNUMBER(G86),G86/60*H86*④前提設定!$B$4,IF(AND(G86="",ISNUMBER(F86)),F86/60*H86*④前提設定!$B$4,"")))</f>
        <v/>
      </c>
      <c r="N86" s="546">
        <f>IF(AND(I86&gt;0,ISNUMBER(M86)),M86/I86,"")</f>
        <v/>
      </c>
      <c r="O86" s="547">
        <f>IF(AND(J86&gt;0,ISNUMBER(M86)),M86/J86,"")</f>
        <v/>
      </c>
      <c r="P86" s="199" t="n"/>
      <c r="Q86" s="200" t="inlineStr">
        <is>
          <t>★要入力（工程記録なし／実作業(分)・人数・個数を入れると⑳に自動反映）</t>
        </is>
      </c>
      <c r="R86" t="inlineStr">
        <is>
          <t>鶏もも角切りＫＩＴ（塩胡椒</t>
        </is>
      </c>
      <c r="X86" s="334">
        <f>COUNTA(R86:W86)</f>
        <v/>
      </c>
      <c r="Y86" s="334">
        <f>IF(AND($X86&gt;0,ISNUMBER($M86)),$M86/$X86,"")</f>
        <v/>
      </c>
      <c r="Z86" s="334">
        <f>IF($X86=0,"",IF(COUNTIF(⑳商品別1食労務費!$C$5:$C$124,$R86)+COUNTIF(⑳商品別1食労務費!$C$5:$C$124,$S86)+COUNTIF(⑳商品別1食労務費!$C$5:$C$124,$T86)+COUNTIF(⑳商品別1食労務費!$C$5:$C$124,$U86)+COUNTIF(⑳商品別1食労務費!$C$5:$C$124,$V86)+COUNTIF(⑳商品別1食労務費!$C$5:$C$124,$W86)=$X86,"OK","⑳に無い商品名"))</f>
        <v/>
      </c>
      <c r="AA86" s="334">
        <f>SUMIF(⑳商品別1食労務費!$C$5:$C$124,$R86,⑳商品別1食労務費!$F$5:$F$124)+SUMIF(⑳商品別1食労務費!$C$5:$C$124,$S86,⑳商品別1食労務費!$F$5:$F$124)+SUMIF(⑳商品別1食労務費!$C$5:$C$124,$T86,⑳商品別1食労務費!$F$5:$F$124)+SUMIF(⑳商品別1食労務費!$C$5:$C$124,$U86,⑳商品別1食労務費!$F$5:$F$124)+SUMIF(⑳商品別1食労務費!$C$5:$C$124,$V86,⑳商品別1食労務費!$F$5:$F$124)+SUMIF(⑳商品別1食労務費!$C$5:$C$124,$W86,⑳商品別1食労務費!$F$5:$F$124)</f>
        <v/>
      </c>
      <c r="AB86" s="334">
        <f>IF(ISNUMBER($M86),$M86,0)</f>
        <v/>
      </c>
      <c r="AC86" s="334">
        <f>IF(AND($X86&gt;0,ISNUMBER($J86)),$J86/$X86,"")</f>
        <v/>
      </c>
      <c r="AD86" s="413">
        <f>IF($R86="",0,IF($AA86&gt;0,$AB86*SUMIF(⑳商品別1食労務費!$C$5:$C$124,$R86,⑳商品別1食労務費!$F$5:$F$124)/$AA86,$AB86/$X86))</f>
        <v/>
      </c>
      <c r="AE86" s="413">
        <f>IF($S86="",0,IF($AA86&gt;0,$AB86*SUMIF(⑳商品別1食労務費!$C$5:$C$124,$S86,⑳商品別1食労務費!$F$5:$F$124)/$AA86,$AB86/$X86))</f>
        <v/>
      </c>
      <c r="AF86" s="413">
        <f>IF($T86="",0,IF($AA86&gt;0,$AB86*SUMIF(⑳商品別1食労務費!$C$5:$C$124,$T86,⑳商品別1食労務費!$F$5:$F$124)/$AA86,$AB86/$X86))</f>
        <v/>
      </c>
      <c r="AG86" s="413">
        <f>IF($U86="",0,IF($AA86&gt;0,$AB86*SUMIF(⑳商品別1食労務費!$C$5:$C$124,$U86,⑳商品別1食労務費!$F$5:$F$124)/$AA86,$AB86/$X86))</f>
        <v/>
      </c>
      <c r="AH86" s="413">
        <f>IF($V86="",0,IF($AA86&gt;0,$AB86*SUMIF(⑳商品別1食労務費!$C$5:$C$124,$V86,⑳商品別1食労務費!$F$5:$F$124)/$AA86,$AB86/$X86))</f>
        <v/>
      </c>
      <c r="AI86" s="413">
        <f>IF($W86="",0,IF($AA86&gt;0,$AB86*SUMIF(⑳商品別1食労務費!$C$5:$C$124,$W86,⑳商品別1食労務費!$F$5:$F$124)/$AA86,$AB86/$X86))</f>
        <v/>
      </c>
    </row>
    <row r="87">
      <c r="A87" s="197" t="n">
        <v>83</v>
      </c>
      <c r="B87" s="198" t="inlineStr">
        <is>
          <t>盛り込み⑤</t>
        </is>
      </c>
      <c r="C87" s="229" t="n"/>
      <c r="D87" s="190" t="n"/>
      <c r="E87" s="190" t="n"/>
      <c r="F87" s="541">
        <f>IF(OR(D87="",E87=""),"",(E87-D87)*1440)</f>
        <v/>
      </c>
      <c r="G87" s="542" t="n"/>
      <c r="H87" s="542" t="n"/>
      <c r="I87" s="543" t="n"/>
      <c r="J87" s="192" t="n"/>
      <c r="K87" s="544">
        <f>IF(AND(ISNUMBER(F87),I87&gt;0),I87/(F87/60),"")</f>
        <v/>
      </c>
      <c r="L87" s="545" t="n">
        <v>1400</v>
      </c>
      <c r="M87" s="194">
        <f>IF(OR(ISNUMBER(SEARCH("サニテーション",C87)),ISNUMBER(SEARCH("客注",C87)),ISNUMBER(SEARCH("切り替え",C87)),ISNUMBER(SEARCH("切替",C87)),NOT(ISNUMBER(H87))),"",IF(ISNUMBER(G87),G87/60*H87*④前提設定!$B$4,IF(AND(G87="",ISNUMBER(F87)),F87/60*H87*④前提設定!$B$4,"")))</f>
        <v/>
      </c>
      <c r="N87" s="546">
        <f>IF(AND(I87&gt;0,ISNUMBER(M87)),M87/I87,"")</f>
        <v/>
      </c>
      <c r="O87" s="547">
        <f>IF(AND(J87&gt;0,ISNUMBER(M87)),M87/J87,"")</f>
        <v/>
      </c>
      <c r="P87" s="199" t="n"/>
      <c r="Q87" s="200" t="n"/>
      <c r="X87" s="334">
        <f>COUNTA(R87:W87)</f>
        <v/>
      </c>
      <c r="Y87" s="334">
        <f>IF(AND($X87&gt;0,ISNUMBER($M87)),$M87/$X87,"")</f>
        <v/>
      </c>
      <c r="Z87" s="334">
        <f>IF($X87=0,"",IF(COUNTIF(⑳商品別1食労務費!$C$5:$C$124,$R87)+COUNTIF(⑳商品別1食労務費!$C$5:$C$124,$S87)+COUNTIF(⑳商品別1食労務費!$C$5:$C$124,$T87)+COUNTIF(⑳商品別1食労務費!$C$5:$C$124,$U87)+COUNTIF(⑳商品別1食労務費!$C$5:$C$124,$V87)+COUNTIF(⑳商品別1食労務費!$C$5:$C$124,$W87)=$X87,"OK","⑳に無い商品名"))</f>
        <v/>
      </c>
      <c r="AA87" s="334">
        <f>SUMIF(⑳商品別1食労務費!$C$5:$C$124,$R87,⑳商品別1食労務費!$F$5:$F$124)+SUMIF(⑳商品別1食労務費!$C$5:$C$124,$S87,⑳商品別1食労務費!$F$5:$F$124)+SUMIF(⑳商品別1食労務費!$C$5:$C$124,$T87,⑳商品別1食労務費!$F$5:$F$124)+SUMIF(⑳商品別1食労務費!$C$5:$C$124,$U87,⑳商品別1食労務費!$F$5:$F$124)+SUMIF(⑳商品別1食労務費!$C$5:$C$124,$V87,⑳商品別1食労務費!$F$5:$F$124)+SUMIF(⑳商品別1食労務費!$C$5:$C$124,$W87,⑳商品別1食労務費!$F$5:$F$124)</f>
        <v/>
      </c>
      <c r="AB87" s="334">
        <f>IF(ISNUMBER($M87),$M87,0)</f>
        <v/>
      </c>
      <c r="AC87" s="334">
        <f>IF(AND($X87&gt;0,ISNUMBER($J87)),$J87/$X87,"")</f>
        <v/>
      </c>
      <c r="AD87" s="413">
        <f>IF($R87="",0,IF($AA87&gt;0,$AB87*SUMIF(⑳商品別1食労務費!$C$5:$C$124,$R87,⑳商品別1食労務費!$F$5:$F$124)/$AA87,$AB87/$X87))</f>
        <v/>
      </c>
      <c r="AE87" s="413">
        <f>IF($S87="",0,IF($AA87&gt;0,$AB87*SUMIF(⑳商品別1食労務費!$C$5:$C$124,$S87,⑳商品別1食労務費!$F$5:$F$124)/$AA87,$AB87/$X87))</f>
        <v/>
      </c>
      <c r="AF87" s="413">
        <f>IF($T87="",0,IF($AA87&gt;0,$AB87*SUMIF(⑳商品別1食労務費!$C$5:$C$124,$T87,⑳商品別1食労務費!$F$5:$F$124)/$AA87,$AB87/$X87))</f>
        <v/>
      </c>
      <c r="AG87" s="413">
        <f>IF($U87="",0,IF($AA87&gt;0,$AB87*SUMIF(⑳商品別1食労務費!$C$5:$C$124,$U87,⑳商品別1食労務費!$F$5:$F$124)/$AA87,$AB87/$X87))</f>
        <v/>
      </c>
      <c r="AH87" s="413">
        <f>IF($V87="",0,IF($AA87&gt;0,$AB87*SUMIF(⑳商品別1食労務費!$C$5:$C$124,$V87,⑳商品別1食労務費!$F$5:$F$124)/$AA87,$AB87/$X87))</f>
        <v/>
      </c>
      <c r="AI87" s="413">
        <f>IF($W87="",0,IF($AA87&gt;0,$AB87*SUMIF(⑳商品別1食労務費!$C$5:$C$124,$W87,⑳商品別1食労務費!$F$5:$F$124)/$AA87,$AB87/$X87))</f>
        <v/>
      </c>
    </row>
    <row r="88" hidden="1" s="438">
      <c r="A88" s="188" t="n">
        <v>84</v>
      </c>
      <c r="B88" s="189" t="inlineStr">
        <is>
          <t>盛り込み⑤</t>
        </is>
      </c>
      <c r="C88" s="229" t="n"/>
      <c r="D88" s="190" t="n"/>
      <c r="E88" s="190" t="n"/>
      <c r="F88" s="541">
        <f>IF(OR(D88="",E88=""),"",(E88-D88)*1440)</f>
        <v/>
      </c>
      <c r="G88" s="542" t="n"/>
      <c r="H88" s="542" t="n"/>
      <c r="I88" s="543" t="n"/>
      <c r="J88" s="192" t="n"/>
      <c r="K88" s="544">
        <f>IF(AND(ISNUMBER(F88),I88&gt;0),I88/(F88/60),"")</f>
        <v/>
      </c>
      <c r="L88" s="545" t="n">
        <v>850</v>
      </c>
      <c r="M88" s="194">
        <f>IF(OR(ISNUMBER(SEARCH("サニテーション",C88)),ISNUMBER(SEARCH("客注",C88)),ISNUMBER(SEARCH("切り替え",C88)),ISNUMBER(SEARCH("切替",C88)),NOT(ISNUMBER(H88))),"",IF(ISNUMBER(G88),G88/60*H88*④前提設定!$B$4,IF(AND(G88="",ISNUMBER(F88)),F88/60*H88*④前提設定!$B$4,"")))</f>
        <v/>
      </c>
      <c r="N88" s="546">
        <f>IF(AND(I88&gt;0,ISNUMBER(M88)),M88/I88,"")</f>
        <v/>
      </c>
      <c r="O88" s="547">
        <f>IF(AND(J88&gt;0,ISNUMBER(M88)),M88/J88,"")</f>
        <v/>
      </c>
      <c r="P88" s="195" t="n"/>
      <c r="Q88" s="196" t="n"/>
      <c r="X88" s="334">
        <f>COUNTA(R88:W88)</f>
        <v/>
      </c>
      <c r="Y88" s="334">
        <f>IF(AND($X88&gt;0,ISNUMBER($M88)),$M88/$X88,"")</f>
        <v/>
      </c>
      <c r="Z88" s="334">
        <f>IF($X88=0,"",IF(COUNTIF(⑳商品別1食労務費!$C$5:$C$124,$R88)+COUNTIF(⑳商品別1食労務費!$C$5:$C$124,$S88)+COUNTIF(⑳商品別1食労務費!$C$5:$C$124,$T88)+COUNTIF(⑳商品別1食労務費!$C$5:$C$124,$U88)+COUNTIF(⑳商品別1食労務費!$C$5:$C$124,$V88)+COUNTIF(⑳商品別1食労務費!$C$5:$C$124,$W88)=$X88,"OK","⑳に無い商品名"))</f>
        <v/>
      </c>
      <c r="AA88" s="334">
        <f>SUMIF(⑳商品別1食労務費!$C$5:$C$124,$R88,⑳商品別1食労務費!$F$5:$F$124)+SUMIF(⑳商品別1食労務費!$C$5:$C$124,$S88,⑳商品別1食労務費!$F$5:$F$124)+SUMIF(⑳商品別1食労務費!$C$5:$C$124,$T88,⑳商品別1食労務費!$F$5:$F$124)+SUMIF(⑳商品別1食労務費!$C$5:$C$124,$U88,⑳商品別1食労務費!$F$5:$F$124)+SUMIF(⑳商品別1食労務費!$C$5:$C$124,$V88,⑳商品別1食労務費!$F$5:$F$124)+SUMIF(⑳商品別1食労務費!$C$5:$C$124,$W88,⑳商品別1食労務費!$F$5:$F$124)</f>
        <v/>
      </c>
      <c r="AB88" s="334">
        <f>IF(ISNUMBER($M88),$M88,0)</f>
        <v/>
      </c>
      <c r="AC88" s="334">
        <f>IF(AND($X88&gt;0,ISNUMBER($J88)),$J88/$X88,"")</f>
        <v/>
      </c>
      <c r="AD88" s="413">
        <f>IF($R88="",0,IF($AA88&gt;0,$AB88*SUMIF(⑳商品別1食労務費!$C$5:$C$124,$R88,⑳商品別1食労務費!$F$5:$F$124)/$AA88,$AB88/$X88))</f>
        <v/>
      </c>
      <c r="AE88" s="413">
        <f>IF($S88="",0,IF($AA88&gt;0,$AB88*SUMIF(⑳商品別1食労務費!$C$5:$C$124,$S88,⑳商品別1食労務費!$F$5:$F$124)/$AA88,$AB88/$X88))</f>
        <v/>
      </c>
      <c r="AF88" s="413">
        <f>IF($T88="",0,IF($AA88&gt;0,$AB88*SUMIF(⑳商品別1食労務費!$C$5:$C$124,$T88,⑳商品別1食労務費!$F$5:$F$124)/$AA88,$AB88/$X88))</f>
        <v/>
      </c>
      <c r="AG88" s="413">
        <f>IF($U88="",0,IF($AA88&gt;0,$AB88*SUMIF(⑳商品別1食労務費!$C$5:$C$124,$U88,⑳商品別1食労務費!$F$5:$F$124)/$AA88,$AB88/$X88))</f>
        <v/>
      </c>
      <c r="AH88" s="413">
        <f>IF($V88="",0,IF($AA88&gt;0,$AB88*SUMIF(⑳商品別1食労務費!$C$5:$C$124,$V88,⑳商品別1食労務費!$F$5:$F$124)/$AA88,$AB88/$X88))</f>
        <v/>
      </c>
      <c r="AI88" s="413">
        <f>IF($W88="",0,IF($AA88&gt;0,$AB88*SUMIF(⑳商品別1食労務費!$C$5:$C$124,$W88,⑳商品別1食労務費!$F$5:$F$124)/$AA88,$AB88/$X88))</f>
        <v/>
      </c>
    </row>
    <row r="89" hidden="1" s="438">
      <c r="A89" s="197" t="n">
        <v>85</v>
      </c>
      <c r="B89" s="198" t="inlineStr">
        <is>
          <t>盛り込み⑤</t>
        </is>
      </c>
      <c r="C89" s="229" t="n"/>
      <c r="D89" s="190" t="n"/>
      <c r="E89" s="190" t="n"/>
      <c r="F89" s="541">
        <f>IF(OR(D89="",E89=""),"",(E89-D89)*1440)</f>
        <v/>
      </c>
      <c r="G89" s="542" t="n"/>
      <c r="H89" s="542" t="n"/>
      <c r="I89" s="543" t="n"/>
      <c r="J89" s="192" t="n"/>
      <c r="K89" s="544">
        <f>IF(AND(ISNUMBER(F89),I89&gt;0),I89/(F89/60),"")</f>
        <v/>
      </c>
      <c r="L89" s="545" t="n">
        <v>1000</v>
      </c>
      <c r="M89" s="194">
        <f>IF(OR(ISNUMBER(SEARCH("サニテーション",C89)),ISNUMBER(SEARCH("客注",C89)),ISNUMBER(SEARCH("切り替え",C89)),ISNUMBER(SEARCH("切替",C89)),NOT(ISNUMBER(H89))),"",IF(ISNUMBER(G89),G89/60*H89*④前提設定!$B$4,IF(AND(G89="",ISNUMBER(F89)),F89/60*H89*④前提設定!$B$4,"")))</f>
        <v/>
      </c>
      <c r="N89" s="546">
        <f>IF(AND(I89&gt;0,ISNUMBER(M89)),M89/I89,"")</f>
        <v/>
      </c>
      <c r="O89" s="547">
        <f>IF(AND(J89&gt;0,ISNUMBER(M89)),M89/J89,"")</f>
        <v/>
      </c>
      <c r="P89" s="199" t="n"/>
      <c r="Q89" s="200" t="n"/>
      <c r="X89" s="334">
        <f>COUNTA(R89:W89)</f>
        <v/>
      </c>
      <c r="Y89" s="334">
        <f>IF(AND($X89&gt;0,ISNUMBER($M89)),$M89/$X89,"")</f>
        <v/>
      </c>
      <c r="Z89" s="334">
        <f>IF($X89=0,"",IF(COUNTIF(⑳商品別1食労務費!$C$5:$C$124,$R89)+COUNTIF(⑳商品別1食労務費!$C$5:$C$124,$S89)+COUNTIF(⑳商品別1食労務費!$C$5:$C$124,$T89)+COUNTIF(⑳商品別1食労務費!$C$5:$C$124,$U89)+COUNTIF(⑳商品別1食労務費!$C$5:$C$124,$V89)+COUNTIF(⑳商品別1食労務費!$C$5:$C$124,$W89)=$X89,"OK","⑳に無い商品名"))</f>
        <v/>
      </c>
      <c r="AA89" s="334">
        <f>SUMIF(⑳商品別1食労務費!$C$5:$C$124,$R89,⑳商品別1食労務費!$F$5:$F$124)+SUMIF(⑳商品別1食労務費!$C$5:$C$124,$S89,⑳商品別1食労務費!$F$5:$F$124)+SUMIF(⑳商品別1食労務費!$C$5:$C$124,$T89,⑳商品別1食労務費!$F$5:$F$124)+SUMIF(⑳商品別1食労務費!$C$5:$C$124,$U89,⑳商品別1食労務費!$F$5:$F$124)+SUMIF(⑳商品別1食労務費!$C$5:$C$124,$V89,⑳商品別1食労務費!$F$5:$F$124)+SUMIF(⑳商品別1食労務費!$C$5:$C$124,$W89,⑳商品別1食労務費!$F$5:$F$124)</f>
        <v/>
      </c>
      <c r="AB89" s="334">
        <f>IF(ISNUMBER($M89),$M89,0)</f>
        <v/>
      </c>
      <c r="AC89" s="334">
        <f>IF(AND($X89&gt;0,ISNUMBER($J89)),$J89/$X89,"")</f>
        <v/>
      </c>
      <c r="AD89" s="413">
        <f>IF($R89="",0,IF($AA89&gt;0,$AB89*SUMIF(⑳商品別1食労務費!$C$5:$C$124,$R89,⑳商品別1食労務費!$F$5:$F$124)/$AA89,$AB89/$X89))</f>
        <v/>
      </c>
      <c r="AE89" s="413">
        <f>IF($S89="",0,IF($AA89&gt;0,$AB89*SUMIF(⑳商品別1食労務費!$C$5:$C$124,$S89,⑳商品別1食労務費!$F$5:$F$124)/$AA89,$AB89/$X89))</f>
        <v/>
      </c>
      <c r="AF89" s="413">
        <f>IF($T89="",0,IF($AA89&gt;0,$AB89*SUMIF(⑳商品別1食労務費!$C$5:$C$124,$T89,⑳商品別1食労務費!$F$5:$F$124)/$AA89,$AB89/$X89))</f>
        <v/>
      </c>
      <c r="AG89" s="413">
        <f>IF($U89="",0,IF($AA89&gt;0,$AB89*SUMIF(⑳商品別1食労務費!$C$5:$C$124,$U89,⑳商品別1食労務費!$F$5:$F$124)/$AA89,$AB89/$X89))</f>
        <v/>
      </c>
      <c r="AH89" s="413">
        <f>IF($V89="",0,IF($AA89&gt;0,$AB89*SUMIF(⑳商品別1食労務費!$C$5:$C$124,$V89,⑳商品別1食労務費!$F$5:$F$124)/$AA89,$AB89/$X89))</f>
        <v/>
      </c>
      <c r="AI89" s="413">
        <f>IF($W89="",0,IF($AA89&gt;0,$AB89*SUMIF(⑳商品別1食労務費!$C$5:$C$124,$W89,⑳商品別1食労務費!$F$5:$F$124)/$AA89,$AB89/$X89))</f>
        <v/>
      </c>
    </row>
    <row r="90">
      <c r="A90" s="188" t="n">
        <v>86</v>
      </c>
      <c r="B90" s="189" t="inlineStr">
        <is>
          <t>盛り込み⑤</t>
        </is>
      </c>
      <c r="C90" s="229" t="n"/>
      <c r="D90" s="190" t="n"/>
      <c r="E90" s="190" t="n"/>
      <c r="F90" s="541">
        <f>IF(OR(D90="",E90=""),"",(E90-D90)*1440)</f>
        <v/>
      </c>
      <c r="G90" s="542" t="n"/>
      <c r="H90" s="542" t="n"/>
      <c r="I90" s="543" t="n"/>
      <c r="J90" s="192" t="n"/>
      <c r="K90" s="544">
        <f>IF(AND(ISNUMBER(F90),I90&gt;0),I90/(F90/60),"")</f>
        <v/>
      </c>
      <c r="L90" s="545" t="n">
        <v>700</v>
      </c>
      <c r="M90" s="194">
        <f>IF(OR(ISNUMBER(SEARCH("サニテーション",C90)),ISNUMBER(SEARCH("客注",C90)),ISNUMBER(SEARCH("切り替え",C90)),ISNUMBER(SEARCH("切替",C90)),NOT(ISNUMBER(H90))),"",IF(ISNUMBER(G90),G90/60*H90*④前提設定!$B$4,IF(AND(G90="",ISNUMBER(F90)),F90/60*H90*④前提設定!$B$4,"")))</f>
        <v/>
      </c>
      <c r="N90" s="546">
        <f>IF(AND(I90&gt;0,ISNUMBER(M90)),M90/I90,"")</f>
        <v/>
      </c>
      <c r="O90" s="547">
        <f>IF(AND(J90&gt;0,ISNUMBER(M90)),M90/J90,"")</f>
        <v/>
      </c>
      <c r="P90" s="195" t="n"/>
      <c r="Q90" s="196" t="n"/>
      <c r="X90" s="334">
        <f>COUNTA(R90:W90)</f>
        <v/>
      </c>
      <c r="Y90" s="334">
        <f>IF(AND($X90&gt;0,ISNUMBER($M90)),$M90/$X90,"")</f>
        <v/>
      </c>
      <c r="Z90" s="334">
        <f>IF($X90=0,"",IF(COUNTIF(⑳商品別1食労務費!$C$5:$C$124,$R90)+COUNTIF(⑳商品別1食労務費!$C$5:$C$124,$S90)+COUNTIF(⑳商品別1食労務費!$C$5:$C$124,$T90)+COUNTIF(⑳商品別1食労務費!$C$5:$C$124,$U90)+COUNTIF(⑳商品別1食労務費!$C$5:$C$124,$V90)+COUNTIF(⑳商品別1食労務費!$C$5:$C$124,$W90)=$X90,"OK","⑳に無い商品名"))</f>
        <v/>
      </c>
      <c r="AA90" s="334">
        <f>SUMIF(⑳商品別1食労務費!$C$5:$C$124,$R90,⑳商品別1食労務費!$F$5:$F$124)+SUMIF(⑳商品別1食労務費!$C$5:$C$124,$S90,⑳商品別1食労務費!$F$5:$F$124)+SUMIF(⑳商品別1食労務費!$C$5:$C$124,$T90,⑳商品別1食労務費!$F$5:$F$124)+SUMIF(⑳商品別1食労務費!$C$5:$C$124,$U90,⑳商品別1食労務費!$F$5:$F$124)+SUMIF(⑳商品別1食労務費!$C$5:$C$124,$V90,⑳商品別1食労務費!$F$5:$F$124)+SUMIF(⑳商品別1食労務費!$C$5:$C$124,$W90,⑳商品別1食労務費!$F$5:$F$124)</f>
        <v/>
      </c>
      <c r="AB90" s="334">
        <f>IF(ISNUMBER($M90),$M90,0)</f>
        <v/>
      </c>
      <c r="AC90" s="334">
        <f>IF(AND($X90&gt;0,ISNUMBER($J90)),$J90/$X90,"")</f>
        <v/>
      </c>
      <c r="AD90" s="413">
        <f>IF($R90="",0,IF($AA90&gt;0,$AB90*SUMIF(⑳商品別1食労務費!$C$5:$C$124,$R90,⑳商品別1食労務費!$F$5:$F$124)/$AA90,$AB90/$X90))</f>
        <v/>
      </c>
      <c r="AE90" s="413">
        <f>IF($S90="",0,IF($AA90&gt;0,$AB90*SUMIF(⑳商品別1食労務費!$C$5:$C$124,$S90,⑳商品別1食労務費!$F$5:$F$124)/$AA90,$AB90/$X90))</f>
        <v/>
      </c>
      <c r="AF90" s="413">
        <f>IF($T90="",0,IF($AA90&gt;0,$AB90*SUMIF(⑳商品別1食労務費!$C$5:$C$124,$T90,⑳商品別1食労務費!$F$5:$F$124)/$AA90,$AB90/$X90))</f>
        <v/>
      </c>
      <c r="AG90" s="413">
        <f>IF($U90="",0,IF($AA90&gt;0,$AB90*SUMIF(⑳商品別1食労務費!$C$5:$C$124,$U90,⑳商品別1食労務費!$F$5:$F$124)/$AA90,$AB90/$X90))</f>
        <v/>
      </c>
      <c r="AH90" s="413">
        <f>IF($V90="",0,IF($AA90&gt;0,$AB90*SUMIF(⑳商品別1食労務費!$C$5:$C$124,$V90,⑳商品別1食労務費!$F$5:$F$124)/$AA90,$AB90/$X90))</f>
        <v/>
      </c>
      <c r="AI90" s="413">
        <f>IF($W90="",0,IF($AA90&gt;0,$AB90*SUMIF(⑳商品別1食労務費!$C$5:$C$124,$W90,⑳商品別1食労務費!$F$5:$F$124)/$AA90,$AB90/$X90))</f>
        <v/>
      </c>
    </row>
    <row r="91" hidden="1" s="438">
      <c r="A91" s="197" t="n">
        <v>87</v>
      </c>
      <c r="B91" s="198" t="inlineStr">
        <is>
          <t>盛り込み⑤</t>
        </is>
      </c>
      <c r="C91" s="229" t="n"/>
      <c r="D91" s="190" t="n"/>
      <c r="E91" s="190" t="n"/>
      <c r="F91" s="541">
        <f>IF(OR(D91="",E91=""),"",(E91-D91)*1440)</f>
        <v/>
      </c>
      <c r="G91" s="542" t="n"/>
      <c r="H91" s="542" t="n"/>
      <c r="I91" s="543" t="n"/>
      <c r="J91" s="192" t="n"/>
      <c r="K91" s="544">
        <f>IF(AND(ISNUMBER(F91),I91&gt;0),I91/(F91/60),"")</f>
        <v/>
      </c>
      <c r="L91" s="545" t="n">
        <v>1200</v>
      </c>
      <c r="M91" s="194">
        <f>IF(OR(ISNUMBER(SEARCH("サニテーション",C91)),ISNUMBER(SEARCH("客注",C91)),ISNUMBER(SEARCH("切り替え",C91)),ISNUMBER(SEARCH("切替",C91)),NOT(ISNUMBER(H91))),"",IF(ISNUMBER(G91),G91/60*H91*④前提設定!$B$4,IF(AND(G91="",ISNUMBER(F91)),F91/60*H91*④前提設定!$B$4,"")))</f>
        <v/>
      </c>
      <c r="N91" s="546">
        <f>IF(AND(I91&gt;0,ISNUMBER(M91)),M91/I91,"")</f>
        <v/>
      </c>
      <c r="O91" s="547">
        <f>IF(AND(J91&gt;0,ISNUMBER(M91)),M91/J91,"")</f>
        <v/>
      </c>
      <c r="P91" s="199" t="n"/>
      <c r="Q91" s="200" t="n"/>
      <c r="X91" s="334">
        <f>COUNTA(R91:W91)</f>
        <v/>
      </c>
      <c r="Y91" s="334">
        <f>IF(AND($X91&gt;0,ISNUMBER($M91)),$M91/$X91,"")</f>
        <v/>
      </c>
      <c r="Z91" s="334">
        <f>IF($X91=0,"",IF(COUNTIF(⑳商品別1食労務費!$C$5:$C$124,$R91)+COUNTIF(⑳商品別1食労務費!$C$5:$C$124,$S91)+COUNTIF(⑳商品別1食労務費!$C$5:$C$124,$T91)+COUNTIF(⑳商品別1食労務費!$C$5:$C$124,$U91)+COUNTIF(⑳商品別1食労務費!$C$5:$C$124,$V91)+COUNTIF(⑳商品別1食労務費!$C$5:$C$124,$W91)=$X91,"OK","⑳に無い商品名"))</f>
        <v/>
      </c>
      <c r="AA91" s="334">
        <f>SUMIF(⑳商品別1食労務費!$C$5:$C$124,$R91,⑳商品別1食労務費!$F$5:$F$124)+SUMIF(⑳商品別1食労務費!$C$5:$C$124,$S91,⑳商品別1食労務費!$F$5:$F$124)+SUMIF(⑳商品別1食労務費!$C$5:$C$124,$T91,⑳商品別1食労務費!$F$5:$F$124)+SUMIF(⑳商品別1食労務費!$C$5:$C$124,$U91,⑳商品別1食労務費!$F$5:$F$124)+SUMIF(⑳商品別1食労務費!$C$5:$C$124,$V91,⑳商品別1食労務費!$F$5:$F$124)+SUMIF(⑳商品別1食労務費!$C$5:$C$124,$W91,⑳商品別1食労務費!$F$5:$F$124)</f>
        <v/>
      </c>
      <c r="AB91" s="334">
        <f>IF(ISNUMBER($M91),$M91,0)</f>
        <v/>
      </c>
      <c r="AC91" s="334">
        <f>IF(AND($X91&gt;0,ISNUMBER($J91)),$J91/$X91,"")</f>
        <v/>
      </c>
      <c r="AD91" s="413">
        <f>IF($R91="",0,IF($AA91&gt;0,$AB91*SUMIF(⑳商品別1食労務費!$C$5:$C$124,$R91,⑳商品別1食労務費!$F$5:$F$124)/$AA91,$AB91/$X91))</f>
        <v/>
      </c>
      <c r="AE91" s="413">
        <f>IF($S91="",0,IF($AA91&gt;0,$AB91*SUMIF(⑳商品別1食労務費!$C$5:$C$124,$S91,⑳商品別1食労務費!$F$5:$F$124)/$AA91,$AB91/$X91))</f>
        <v/>
      </c>
      <c r="AF91" s="413">
        <f>IF($T91="",0,IF($AA91&gt;0,$AB91*SUMIF(⑳商品別1食労務費!$C$5:$C$124,$T91,⑳商品別1食労務費!$F$5:$F$124)/$AA91,$AB91/$X91))</f>
        <v/>
      </c>
      <c r="AG91" s="413">
        <f>IF($U91="",0,IF($AA91&gt;0,$AB91*SUMIF(⑳商品別1食労務費!$C$5:$C$124,$U91,⑳商品別1食労務費!$F$5:$F$124)/$AA91,$AB91/$X91))</f>
        <v/>
      </c>
      <c r="AH91" s="413">
        <f>IF($V91="",0,IF($AA91&gt;0,$AB91*SUMIF(⑳商品別1食労務費!$C$5:$C$124,$V91,⑳商品別1食労務費!$F$5:$F$124)/$AA91,$AB91/$X91))</f>
        <v/>
      </c>
      <c r="AI91" s="413">
        <f>IF($W91="",0,IF($AA91&gt;0,$AB91*SUMIF(⑳商品別1食労務費!$C$5:$C$124,$W91,⑳商品別1食労務費!$F$5:$F$124)/$AA91,$AB91/$X91))</f>
        <v/>
      </c>
    </row>
    <row r="92" hidden="1" s="438">
      <c r="A92" s="188" t="n">
        <v>88</v>
      </c>
      <c r="B92" s="189" t="inlineStr">
        <is>
          <t>盛り込み⑤</t>
        </is>
      </c>
      <c r="C92" s="229" t="n"/>
      <c r="D92" s="190" t="n"/>
      <c r="E92" s="190" t="n"/>
      <c r="F92" s="541">
        <f>IF(OR(D92="",E92=""),"",(E92-D92)*1440)</f>
        <v/>
      </c>
      <c r="G92" s="542" t="n"/>
      <c r="H92" s="542" t="n"/>
      <c r="I92" s="543" t="n"/>
      <c r="J92" s="192" t="n"/>
      <c r="K92" s="544">
        <f>IF(AND(ISNUMBER(F92),I92&gt;0),I92/(F92/60),"")</f>
        <v/>
      </c>
      <c r="L92" s="545" t="n">
        <v>800</v>
      </c>
      <c r="M92" s="194">
        <f>IF(OR(ISNUMBER(SEARCH("サニテーション",C92)),ISNUMBER(SEARCH("客注",C92)),ISNUMBER(SEARCH("切り替え",C92)),ISNUMBER(SEARCH("切替",C92)),NOT(ISNUMBER(H92))),"",IF(ISNUMBER(G92),G92/60*H92*④前提設定!$B$4,IF(AND(G92="",ISNUMBER(F92)),F92/60*H92*④前提設定!$B$4,"")))</f>
        <v/>
      </c>
      <c r="N92" s="546">
        <f>IF(AND(I92&gt;0,ISNUMBER(M92)),M92/I92,"")</f>
        <v/>
      </c>
      <c r="O92" s="547">
        <f>IF(AND(J92&gt;0,ISNUMBER(M92)),M92/J92,"")</f>
        <v/>
      </c>
      <c r="P92" s="195" t="n"/>
      <c r="Q92" s="196" t="n"/>
      <c r="X92" s="334">
        <f>COUNTA(R92:W92)</f>
        <v/>
      </c>
      <c r="Y92" s="334">
        <f>IF(AND($X92&gt;0,ISNUMBER($M92)),$M92/$X92,"")</f>
        <v/>
      </c>
      <c r="Z92" s="334">
        <f>IF($X92=0,"",IF(COUNTIF(⑳商品別1食労務費!$C$5:$C$124,$R92)+COUNTIF(⑳商品別1食労務費!$C$5:$C$124,$S92)+COUNTIF(⑳商品別1食労務費!$C$5:$C$124,$T92)+COUNTIF(⑳商品別1食労務費!$C$5:$C$124,$U92)+COUNTIF(⑳商品別1食労務費!$C$5:$C$124,$V92)+COUNTIF(⑳商品別1食労務費!$C$5:$C$124,$W92)=$X92,"OK","⑳に無い商品名"))</f>
        <v/>
      </c>
      <c r="AA92" s="334">
        <f>SUMIF(⑳商品別1食労務費!$C$5:$C$124,$R92,⑳商品別1食労務費!$F$5:$F$124)+SUMIF(⑳商品別1食労務費!$C$5:$C$124,$S92,⑳商品別1食労務費!$F$5:$F$124)+SUMIF(⑳商品別1食労務費!$C$5:$C$124,$T92,⑳商品別1食労務費!$F$5:$F$124)+SUMIF(⑳商品別1食労務費!$C$5:$C$124,$U92,⑳商品別1食労務費!$F$5:$F$124)+SUMIF(⑳商品別1食労務費!$C$5:$C$124,$V92,⑳商品別1食労務費!$F$5:$F$124)+SUMIF(⑳商品別1食労務費!$C$5:$C$124,$W92,⑳商品別1食労務費!$F$5:$F$124)</f>
        <v/>
      </c>
      <c r="AB92" s="334">
        <f>IF(ISNUMBER($M92),$M92,0)</f>
        <v/>
      </c>
      <c r="AC92" s="334">
        <f>IF(AND($X92&gt;0,ISNUMBER($J92)),$J92/$X92,"")</f>
        <v/>
      </c>
      <c r="AD92" s="413">
        <f>IF($R92="",0,IF($AA92&gt;0,$AB92*SUMIF(⑳商品別1食労務費!$C$5:$C$124,$R92,⑳商品別1食労務費!$F$5:$F$124)/$AA92,$AB92/$X92))</f>
        <v/>
      </c>
      <c r="AE92" s="413">
        <f>IF($S92="",0,IF($AA92&gt;0,$AB92*SUMIF(⑳商品別1食労務費!$C$5:$C$124,$S92,⑳商品別1食労務費!$F$5:$F$124)/$AA92,$AB92/$X92))</f>
        <v/>
      </c>
      <c r="AF92" s="413">
        <f>IF($T92="",0,IF($AA92&gt;0,$AB92*SUMIF(⑳商品別1食労務費!$C$5:$C$124,$T92,⑳商品別1食労務費!$F$5:$F$124)/$AA92,$AB92/$X92))</f>
        <v/>
      </c>
      <c r="AG92" s="413">
        <f>IF($U92="",0,IF($AA92&gt;0,$AB92*SUMIF(⑳商品別1食労務費!$C$5:$C$124,$U92,⑳商品別1食労務費!$F$5:$F$124)/$AA92,$AB92/$X92))</f>
        <v/>
      </c>
      <c r="AH92" s="413">
        <f>IF($V92="",0,IF($AA92&gt;0,$AB92*SUMIF(⑳商品別1食労務費!$C$5:$C$124,$V92,⑳商品別1食労務費!$F$5:$F$124)/$AA92,$AB92/$X92))</f>
        <v/>
      </c>
      <c r="AI92" s="413">
        <f>IF($W92="",0,IF($AA92&gt;0,$AB92*SUMIF(⑳商品別1食労務費!$C$5:$C$124,$W92,⑳商品別1食労務費!$F$5:$F$124)/$AA92,$AB92/$X92))</f>
        <v/>
      </c>
    </row>
    <row r="93" hidden="1" s="438">
      <c r="A93" s="197" t="n">
        <v>89</v>
      </c>
      <c r="B93" s="198" t="inlineStr">
        <is>
          <t>盛り込み⑤</t>
        </is>
      </c>
      <c r="C93" s="229" t="n"/>
      <c r="D93" s="190" t="n"/>
      <c r="E93" s="190" t="n"/>
      <c r="F93" s="541">
        <f>IF(OR(D93="",E93=""),"",(E93-D93)*1440)</f>
        <v/>
      </c>
      <c r="G93" s="542" t="n"/>
      <c r="H93" s="542" t="n"/>
      <c r="I93" s="543" t="n"/>
      <c r="J93" s="192" t="n"/>
      <c r="K93" s="544">
        <f>IF(AND(ISNUMBER(F93),I93&gt;0),I93/(F93/60),"")</f>
        <v/>
      </c>
      <c r="L93" s="545" t="n">
        <v>1200</v>
      </c>
      <c r="M93" s="194">
        <f>IF(OR(ISNUMBER(SEARCH("サニテーション",C93)),ISNUMBER(SEARCH("客注",C93)),ISNUMBER(SEARCH("切り替え",C93)),ISNUMBER(SEARCH("切替",C93)),NOT(ISNUMBER(H93))),"",IF(ISNUMBER(G93),G93/60*H93*④前提設定!$B$4,IF(AND(G93="",ISNUMBER(F93)),F93/60*H93*④前提設定!$B$4,"")))</f>
        <v/>
      </c>
      <c r="N93" s="546">
        <f>IF(AND(I93&gt;0,ISNUMBER(M93)),M93/I93,"")</f>
        <v/>
      </c>
      <c r="O93" s="547">
        <f>IF(AND(J93&gt;0,ISNUMBER(M93)),M93/J93,"")</f>
        <v/>
      </c>
      <c r="P93" s="199" t="n"/>
      <c r="Q93" s="200" t="n"/>
      <c r="X93" s="334">
        <f>COUNTA(R93:W93)</f>
        <v/>
      </c>
      <c r="Y93" s="334">
        <f>IF(AND($X93&gt;0,ISNUMBER($M93)),$M93/$X93,"")</f>
        <v/>
      </c>
      <c r="Z93" s="334">
        <f>IF($X93=0,"",IF(COUNTIF(⑳商品別1食労務費!$C$5:$C$124,$R93)+COUNTIF(⑳商品別1食労務費!$C$5:$C$124,$S93)+COUNTIF(⑳商品別1食労務費!$C$5:$C$124,$T93)+COUNTIF(⑳商品別1食労務費!$C$5:$C$124,$U93)+COUNTIF(⑳商品別1食労務費!$C$5:$C$124,$V93)+COUNTIF(⑳商品別1食労務費!$C$5:$C$124,$W93)=$X93,"OK","⑳に無い商品名"))</f>
        <v/>
      </c>
      <c r="AA93" s="334">
        <f>SUMIF(⑳商品別1食労務費!$C$5:$C$124,$R93,⑳商品別1食労務費!$F$5:$F$124)+SUMIF(⑳商品別1食労務費!$C$5:$C$124,$S93,⑳商品別1食労務費!$F$5:$F$124)+SUMIF(⑳商品別1食労務費!$C$5:$C$124,$T93,⑳商品別1食労務費!$F$5:$F$124)+SUMIF(⑳商品別1食労務費!$C$5:$C$124,$U93,⑳商品別1食労務費!$F$5:$F$124)+SUMIF(⑳商品別1食労務費!$C$5:$C$124,$V93,⑳商品別1食労務費!$F$5:$F$124)+SUMIF(⑳商品別1食労務費!$C$5:$C$124,$W93,⑳商品別1食労務費!$F$5:$F$124)</f>
        <v/>
      </c>
      <c r="AB93" s="334">
        <f>IF(ISNUMBER($M93),$M93,0)</f>
        <v/>
      </c>
      <c r="AC93" s="334">
        <f>IF(AND($X93&gt;0,ISNUMBER($J93)),$J93/$X93,"")</f>
        <v/>
      </c>
      <c r="AD93" s="413">
        <f>IF($R93="",0,IF($AA93&gt;0,$AB93*SUMIF(⑳商品別1食労務費!$C$5:$C$124,$R93,⑳商品別1食労務費!$F$5:$F$124)/$AA93,$AB93/$X93))</f>
        <v/>
      </c>
      <c r="AE93" s="413">
        <f>IF($S93="",0,IF($AA93&gt;0,$AB93*SUMIF(⑳商品別1食労務費!$C$5:$C$124,$S93,⑳商品別1食労務費!$F$5:$F$124)/$AA93,$AB93/$X93))</f>
        <v/>
      </c>
      <c r="AF93" s="413">
        <f>IF($T93="",0,IF($AA93&gt;0,$AB93*SUMIF(⑳商品別1食労務費!$C$5:$C$124,$T93,⑳商品別1食労務費!$F$5:$F$124)/$AA93,$AB93/$X93))</f>
        <v/>
      </c>
      <c r="AG93" s="413">
        <f>IF($U93="",0,IF($AA93&gt;0,$AB93*SUMIF(⑳商品別1食労務費!$C$5:$C$124,$U93,⑳商品別1食労務費!$F$5:$F$124)/$AA93,$AB93/$X93))</f>
        <v/>
      </c>
      <c r="AH93" s="413">
        <f>IF($V93="",0,IF($AA93&gt;0,$AB93*SUMIF(⑳商品別1食労務費!$C$5:$C$124,$V93,⑳商品別1食労務費!$F$5:$F$124)/$AA93,$AB93/$X93))</f>
        <v/>
      </c>
      <c r="AI93" s="413">
        <f>IF($W93="",0,IF($AA93&gt;0,$AB93*SUMIF(⑳商品別1食労務費!$C$5:$C$124,$W93,⑳商品別1食労務費!$F$5:$F$124)/$AA93,$AB93/$X93))</f>
        <v/>
      </c>
    </row>
    <row r="94" hidden="1" s="438">
      <c r="A94" s="188" t="n">
        <v>90</v>
      </c>
      <c r="B94" s="189" t="inlineStr">
        <is>
          <t>盛り込み①</t>
        </is>
      </c>
      <c r="C94" s="229" t="n"/>
      <c r="D94" s="190" t="n"/>
      <c r="E94" s="190" t="n"/>
      <c r="F94" s="541">
        <f>IF(OR(D94="",E94=""),"",(E94-D94)*1440)</f>
        <v/>
      </c>
      <c r="G94" s="542" t="n"/>
      <c r="H94" s="542" t="n"/>
      <c r="I94" s="543" t="n"/>
      <c r="J94" s="192" t="n"/>
      <c r="K94" s="544">
        <f>IF(AND(ISNUMBER(F94),I94&gt;0),I94/(F94/60),"")</f>
        <v/>
      </c>
      <c r="L94" s="545" t="n">
        <v>1200</v>
      </c>
      <c r="M94" s="194">
        <f>IF(OR(ISNUMBER(SEARCH("サニテーション",C94)),ISNUMBER(SEARCH("客注",C94)),ISNUMBER(SEARCH("切り替え",C94)),ISNUMBER(SEARCH("切替",C94)),NOT(ISNUMBER(H94))),"",IF(ISNUMBER(G94),G94/60*H94*④前提設定!$B$4,IF(AND(G94="",ISNUMBER(F94)),F94/60*H94*④前提設定!$B$4,"")))</f>
        <v/>
      </c>
      <c r="N94" s="546">
        <f>IF(AND(I94&gt;0,ISNUMBER(M94)),M94/I94,"")</f>
        <v/>
      </c>
      <c r="O94" s="547">
        <f>IF(AND(J94&gt;0,ISNUMBER(M94)),M94/J94,"")</f>
        <v/>
      </c>
      <c r="P94" s="195" t="n"/>
      <c r="Q94" s="196" t="n"/>
      <c r="X94" s="334">
        <f>COUNTA(R94:W94)</f>
        <v/>
      </c>
      <c r="Y94" s="334">
        <f>IF(AND($X94&gt;0,ISNUMBER($M94)),$M94/$X94,"")</f>
        <v/>
      </c>
      <c r="Z94" s="334">
        <f>IF($X94=0,"",IF(COUNTIF(⑳商品別1食労務費!$C$5:$C$124,$R94)+COUNTIF(⑳商品別1食労務費!$C$5:$C$124,$S94)+COUNTIF(⑳商品別1食労務費!$C$5:$C$124,$T94)+COUNTIF(⑳商品別1食労務費!$C$5:$C$124,$U94)+COUNTIF(⑳商品別1食労務費!$C$5:$C$124,$V94)+COUNTIF(⑳商品別1食労務費!$C$5:$C$124,$W94)=$X94,"OK","⑳に無い商品名"))</f>
        <v/>
      </c>
      <c r="AA94" s="334">
        <f>SUMIF(⑳商品別1食労務費!$C$5:$C$124,$R94,⑳商品別1食労務費!$F$5:$F$124)+SUMIF(⑳商品別1食労務費!$C$5:$C$124,$S94,⑳商品別1食労務費!$F$5:$F$124)+SUMIF(⑳商品別1食労務費!$C$5:$C$124,$T94,⑳商品別1食労務費!$F$5:$F$124)+SUMIF(⑳商品別1食労務費!$C$5:$C$124,$U94,⑳商品別1食労務費!$F$5:$F$124)+SUMIF(⑳商品別1食労務費!$C$5:$C$124,$V94,⑳商品別1食労務費!$F$5:$F$124)+SUMIF(⑳商品別1食労務費!$C$5:$C$124,$W94,⑳商品別1食労務費!$F$5:$F$124)</f>
        <v/>
      </c>
      <c r="AB94" s="334">
        <f>IF(ISNUMBER($M94),$M94,0)</f>
        <v/>
      </c>
      <c r="AC94" s="334">
        <f>IF(AND($X94&gt;0,ISNUMBER($J94)),$J94/$X94,"")</f>
        <v/>
      </c>
      <c r="AD94" s="413">
        <f>IF($R94="",0,IF($AA94&gt;0,$AB94*SUMIF(⑳商品別1食労務費!$C$5:$C$124,$R94,⑳商品別1食労務費!$F$5:$F$124)/$AA94,$AB94/$X94))</f>
        <v/>
      </c>
      <c r="AE94" s="413">
        <f>IF($S94="",0,IF($AA94&gt;0,$AB94*SUMIF(⑳商品別1食労務費!$C$5:$C$124,$S94,⑳商品別1食労務費!$F$5:$F$124)/$AA94,$AB94/$X94))</f>
        <v/>
      </c>
      <c r="AF94" s="413">
        <f>IF($T94="",0,IF($AA94&gt;0,$AB94*SUMIF(⑳商品別1食労務費!$C$5:$C$124,$T94,⑳商品別1食労務費!$F$5:$F$124)/$AA94,$AB94/$X94))</f>
        <v/>
      </c>
      <c r="AG94" s="413">
        <f>IF($U94="",0,IF($AA94&gt;0,$AB94*SUMIF(⑳商品別1食労務費!$C$5:$C$124,$U94,⑳商品別1食労務費!$F$5:$F$124)/$AA94,$AB94/$X94))</f>
        <v/>
      </c>
      <c r="AH94" s="413">
        <f>IF($V94="",0,IF($AA94&gt;0,$AB94*SUMIF(⑳商品別1食労務費!$C$5:$C$124,$V94,⑳商品別1食労務費!$F$5:$F$124)/$AA94,$AB94/$X94))</f>
        <v/>
      </c>
      <c r="AI94" s="413">
        <f>IF($W94="",0,IF($AA94&gt;0,$AB94*SUMIF(⑳商品別1食労務費!$C$5:$C$124,$W94,⑳商品別1食労務費!$F$5:$F$124)/$AA94,$AB94/$X94))</f>
        <v/>
      </c>
    </row>
    <row r="95" hidden="1" s="438">
      <c r="A95" s="197" t="n">
        <v>91</v>
      </c>
      <c r="B95" s="198" t="inlineStr">
        <is>
          <t>盛り込み①</t>
        </is>
      </c>
      <c r="C95" s="229" t="n"/>
      <c r="D95" s="190" t="n"/>
      <c r="E95" s="190" t="n"/>
      <c r="F95" s="541">
        <f>IF(OR(D95="",E95=""),"",(E95-D95)*1440)</f>
        <v/>
      </c>
      <c r="G95" s="542" t="n"/>
      <c r="H95" s="542" t="n"/>
      <c r="I95" s="543" t="n"/>
      <c r="J95" s="192" t="n"/>
      <c r="K95" s="544">
        <f>IF(AND(ISNUMBER(F95),I95&gt;0),I95/(F95/60),"")</f>
        <v/>
      </c>
      <c r="L95" s="545" t="n">
        <v>1200</v>
      </c>
      <c r="M95" s="194">
        <f>IF(OR(ISNUMBER(SEARCH("サニテーション",C95)),ISNUMBER(SEARCH("客注",C95)),ISNUMBER(SEARCH("切り替え",C95)),ISNUMBER(SEARCH("切替",C95)),NOT(ISNUMBER(H95))),"",IF(ISNUMBER(G95),G95/60*H95*④前提設定!$B$4,IF(AND(G95="",ISNUMBER(F95)),F95/60*H95*④前提設定!$B$4,"")))</f>
        <v/>
      </c>
      <c r="N95" s="546">
        <f>IF(AND(I95&gt;0,ISNUMBER(M95)),M95/I95,"")</f>
        <v/>
      </c>
      <c r="O95" s="547">
        <f>IF(AND(J95&gt;0,ISNUMBER(M95)),M95/J95,"")</f>
        <v/>
      </c>
      <c r="P95" s="199" t="n"/>
      <c r="Q95" s="200" t="n"/>
      <c r="X95" s="334">
        <f>COUNTA(R95:W95)</f>
        <v/>
      </c>
      <c r="Y95" s="334">
        <f>IF(AND($X95&gt;0,ISNUMBER($M95)),$M95/$X95,"")</f>
        <v/>
      </c>
      <c r="Z95" s="334">
        <f>IF($X95=0,"",IF(COUNTIF(⑳商品別1食労務費!$C$5:$C$124,$R95)+COUNTIF(⑳商品別1食労務費!$C$5:$C$124,$S95)+COUNTIF(⑳商品別1食労務費!$C$5:$C$124,$T95)+COUNTIF(⑳商品別1食労務費!$C$5:$C$124,$U95)+COUNTIF(⑳商品別1食労務費!$C$5:$C$124,$V95)+COUNTIF(⑳商品別1食労務費!$C$5:$C$124,$W95)=$X95,"OK","⑳に無い商品名"))</f>
        <v/>
      </c>
      <c r="AA95" s="334">
        <f>SUMIF(⑳商品別1食労務費!$C$5:$C$124,$R95,⑳商品別1食労務費!$F$5:$F$124)+SUMIF(⑳商品別1食労務費!$C$5:$C$124,$S95,⑳商品別1食労務費!$F$5:$F$124)+SUMIF(⑳商品別1食労務費!$C$5:$C$124,$T95,⑳商品別1食労務費!$F$5:$F$124)+SUMIF(⑳商品別1食労務費!$C$5:$C$124,$U95,⑳商品別1食労務費!$F$5:$F$124)+SUMIF(⑳商品別1食労務費!$C$5:$C$124,$V95,⑳商品別1食労務費!$F$5:$F$124)+SUMIF(⑳商品別1食労務費!$C$5:$C$124,$W95,⑳商品別1食労務費!$F$5:$F$124)</f>
        <v/>
      </c>
      <c r="AB95" s="334">
        <f>IF(ISNUMBER($M95),$M95,0)</f>
        <v/>
      </c>
      <c r="AC95" s="334">
        <f>IF(AND($X95&gt;0,ISNUMBER($J95)),$J95/$X95,"")</f>
        <v/>
      </c>
      <c r="AD95" s="413">
        <f>IF($R95="",0,IF($AA95&gt;0,$AB95*SUMIF(⑳商品別1食労務費!$C$5:$C$124,$R95,⑳商品別1食労務費!$F$5:$F$124)/$AA95,$AB95/$X95))</f>
        <v/>
      </c>
      <c r="AE95" s="413">
        <f>IF($S95="",0,IF($AA95&gt;0,$AB95*SUMIF(⑳商品別1食労務費!$C$5:$C$124,$S95,⑳商品別1食労務費!$F$5:$F$124)/$AA95,$AB95/$X95))</f>
        <v/>
      </c>
      <c r="AF95" s="413">
        <f>IF($T95="",0,IF($AA95&gt;0,$AB95*SUMIF(⑳商品別1食労務費!$C$5:$C$124,$T95,⑳商品別1食労務費!$F$5:$F$124)/$AA95,$AB95/$X95))</f>
        <v/>
      </c>
      <c r="AG95" s="413">
        <f>IF($U95="",0,IF($AA95&gt;0,$AB95*SUMIF(⑳商品別1食労務費!$C$5:$C$124,$U95,⑳商品別1食労務費!$F$5:$F$124)/$AA95,$AB95/$X95))</f>
        <v/>
      </c>
      <c r="AH95" s="413">
        <f>IF($V95="",0,IF($AA95&gt;0,$AB95*SUMIF(⑳商品別1食労務費!$C$5:$C$124,$V95,⑳商品別1食労務費!$F$5:$F$124)/$AA95,$AB95/$X95))</f>
        <v/>
      </c>
      <c r="AI95" s="413">
        <f>IF($W95="",0,IF($AA95&gt;0,$AB95*SUMIF(⑳商品別1食労務費!$C$5:$C$124,$W95,⑳商品別1食労務費!$F$5:$F$124)/$AA95,$AB95/$X95))</f>
        <v/>
      </c>
    </row>
    <row r="96" hidden="1" s="438">
      <c r="A96" s="188" t="n">
        <v>92</v>
      </c>
      <c r="B96" s="189" t="inlineStr">
        <is>
          <t>盛り込み①</t>
        </is>
      </c>
      <c r="C96" s="229" t="n"/>
      <c r="D96" s="190" t="n"/>
      <c r="E96" s="190" t="n"/>
      <c r="F96" s="541">
        <f>IF(OR(D96="",E96=""),"",(E96-D96)*1440)</f>
        <v/>
      </c>
      <c r="G96" s="542" t="n"/>
      <c r="H96" s="542" t="n"/>
      <c r="I96" s="543" t="n"/>
      <c r="J96" s="192" t="n"/>
      <c r="K96" s="544">
        <f>IF(AND(ISNUMBER(F96),I96&gt;0),I96/(F96/60),"")</f>
        <v/>
      </c>
      <c r="L96" s="545" t="n">
        <v>1100</v>
      </c>
      <c r="M96" s="194">
        <f>IF(OR(ISNUMBER(SEARCH("サニテーション",C96)),ISNUMBER(SEARCH("客注",C96)),ISNUMBER(SEARCH("切り替え",C96)),ISNUMBER(SEARCH("切替",C96)),NOT(ISNUMBER(H96))),"",IF(ISNUMBER(G96),G96/60*H96*④前提設定!$B$4,IF(AND(G96="",ISNUMBER(F96)),F96/60*H96*④前提設定!$B$4,"")))</f>
        <v/>
      </c>
      <c r="N96" s="546">
        <f>IF(AND(I96&gt;0,ISNUMBER(M96)),M96/I96,"")</f>
        <v/>
      </c>
      <c r="O96" s="547">
        <f>IF(AND(J96&gt;0,ISNUMBER(M96)),M96/J96,"")</f>
        <v/>
      </c>
      <c r="P96" s="195" t="n"/>
      <c r="Q96" s="196" t="n"/>
      <c r="X96" s="334">
        <f>COUNTA(R96:W96)</f>
        <v/>
      </c>
      <c r="Y96" s="334">
        <f>IF(AND($X96&gt;0,ISNUMBER($M96)),$M96/$X96,"")</f>
        <v/>
      </c>
      <c r="Z96" s="334">
        <f>IF($X96=0,"",IF(COUNTIF(⑳商品別1食労務費!$C$5:$C$124,$R96)+COUNTIF(⑳商品別1食労務費!$C$5:$C$124,$S96)+COUNTIF(⑳商品別1食労務費!$C$5:$C$124,$T96)+COUNTIF(⑳商品別1食労務費!$C$5:$C$124,$U96)+COUNTIF(⑳商品別1食労務費!$C$5:$C$124,$V96)+COUNTIF(⑳商品別1食労務費!$C$5:$C$124,$W96)=$X96,"OK","⑳に無い商品名"))</f>
        <v/>
      </c>
      <c r="AA96" s="334">
        <f>SUMIF(⑳商品別1食労務費!$C$5:$C$124,$R96,⑳商品別1食労務費!$F$5:$F$124)+SUMIF(⑳商品別1食労務費!$C$5:$C$124,$S96,⑳商品別1食労務費!$F$5:$F$124)+SUMIF(⑳商品別1食労務費!$C$5:$C$124,$T96,⑳商品別1食労務費!$F$5:$F$124)+SUMIF(⑳商品別1食労務費!$C$5:$C$124,$U96,⑳商品別1食労務費!$F$5:$F$124)+SUMIF(⑳商品別1食労務費!$C$5:$C$124,$V96,⑳商品別1食労務費!$F$5:$F$124)+SUMIF(⑳商品別1食労務費!$C$5:$C$124,$W96,⑳商品別1食労務費!$F$5:$F$124)</f>
        <v/>
      </c>
      <c r="AB96" s="334">
        <f>IF(ISNUMBER($M96),$M96,0)</f>
        <v/>
      </c>
      <c r="AC96" s="334">
        <f>IF(AND($X96&gt;0,ISNUMBER($J96)),$J96/$X96,"")</f>
        <v/>
      </c>
      <c r="AD96" s="413">
        <f>IF($R96="",0,IF($AA96&gt;0,$AB96*SUMIF(⑳商品別1食労務費!$C$5:$C$124,$R96,⑳商品別1食労務費!$F$5:$F$124)/$AA96,$AB96/$X96))</f>
        <v/>
      </c>
      <c r="AE96" s="413">
        <f>IF($S96="",0,IF($AA96&gt;0,$AB96*SUMIF(⑳商品別1食労務費!$C$5:$C$124,$S96,⑳商品別1食労務費!$F$5:$F$124)/$AA96,$AB96/$X96))</f>
        <v/>
      </c>
      <c r="AF96" s="413">
        <f>IF($T96="",0,IF($AA96&gt;0,$AB96*SUMIF(⑳商品別1食労務費!$C$5:$C$124,$T96,⑳商品別1食労務費!$F$5:$F$124)/$AA96,$AB96/$X96))</f>
        <v/>
      </c>
      <c r="AG96" s="413">
        <f>IF($U96="",0,IF($AA96&gt;0,$AB96*SUMIF(⑳商品別1食労務費!$C$5:$C$124,$U96,⑳商品別1食労務費!$F$5:$F$124)/$AA96,$AB96/$X96))</f>
        <v/>
      </c>
      <c r="AH96" s="413">
        <f>IF($V96="",0,IF($AA96&gt;0,$AB96*SUMIF(⑳商品別1食労務費!$C$5:$C$124,$V96,⑳商品別1食労務費!$F$5:$F$124)/$AA96,$AB96/$X96))</f>
        <v/>
      </c>
      <c r="AI96" s="413">
        <f>IF($W96="",0,IF($AA96&gt;0,$AB96*SUMIF(⑳商品別1食労務費!$C$5:$C$124,$W96,⑳商品別1食労務費!$F$5:$F$124)/$AA96,$AB96/$X96))</f>
        <v/>
      </c>
    </row>
    <row r="97" hidden="1" s="438">
      <c r="A97" s="197" t="n">
        <v>93</v>
      </c>
      <c r="B97" s="198" t="inlineStr">
        <is>
          <t>盛り込み①</t>
        </is>
      </c>
      <c r="C97" s="229" t="n"/>
      <c r="D97" s="190" t="n"/>
      <c r="E97" s="190" t="n"/>
      <c r="F97" s="541">
        <f>IF(OR(D97="",E97=""),"",(E97-D97)*1440)</f>
        <v/>
      </c>
      <c r="G97" s="542" t="n"/>
      <c r="H97" s="542" t="n"/>
      <c r="I97" s="543" t="n"/>
      <c r="J97" s="192" t="n"/>
      <c r="K97" s="544">
        <f>IF(AND(ISNUMBER(F97),I97&gt;0),I97/(F97/60),"")</f>
        <v/>
      </c>
      <c r="L97" s="545" t="n">
        <v>1100</v>
      </c>
      <c r="M97" s="194">
        <f>IF(OR(ISNUMBER(SEARCH("サニテーション",C97)),ISNUMBER(SEARCH("客注",C97)),ISNUMBER(SEARCH("切り替え",C97)),ISNUMBER(SEARCH("切替",C97)),NOT(ISNUMBER(H97))),"",IF(ISNUMBER(G97),G97/60*H97*④前提設定!$B$4,IF(AND(G97="",ISNUMBER(F97)),F97/60*H97*④前提設定!$B$4,"")))</f>
        <v/>
      </c>
      <c r="N97" s="546">
        <f>IF(AND(I97&gt;0,ISNUMBER(M97)),M97/I97,"")</f>
        <v/>
      </c>
      <c r="O97" s="547">
        <f>IF(AND(J97&gt;0,ISNUMBER(M97)),M97/J97,"")</f>
        <v/>
      </c>
      <c r="P97" s="199" t="n"/>
      <c r="Q97" s="200" t="n"/>
      <c r="X97" s="334">
        <f>COUNTA(R97:W97)</f>
        <v/>
      </c>
      <c r="Y97" s="334">
        <f>IF(AND($X97&gt;0,ISNUMBER($M97)),$M97/$X97,"")</f>
        <v/>
      </c>
      <c r="Z97" s="334">
        <f>IF($X97=0,"",IF(COUNTIF(⑳商品別1食労務費!$C$5:$C$124,$R97)+COUNTIF(⑳商品別1食労務費!$C$5:$C$124,$S97)+COUNTIF(⑳商品別1食労務費!$C$5:$C$124,$T97)+COUNTIF(⑳商品別1食労務費!$C$5:$C$124,$U97)+COUNTIF(⑳商品別1食労務費!$C$5:$C$124,$V97)+COUNTIF(⑳商品別1食労務費!$C$5:$C$124,$W97)=$X97,"OK","⑳に無い商品名"))</f>
        <v/>
      </c>
      <c r="AA97" s="334">
        <f>SUMIF(⑳商品別1食労務費!$C$5:$C$124,$R97,⑳商品別1食労務費!$F$5:$F$124)+SUMIF(⑳商品別1食労務費!$C$5:$C$124,$S97,⑳商品別1食労務費!$F$5:$F$124)+SUMIF(⑳商品別1食労務費!$C$5:$C$124,$T97,⑳商品別1食労務費!$F$5:$F$124)+SUMIF(⑳商品別1食労務費!$C$5:$C$124,$U97,⑳商品別1食労務費!$F$5:$F$124)+SUMIF(⑳商品別1食労務費!$C$5:$C$124,$V97,⑳商品別1食労務費!$F$5:$F$124)+SUMIF(⑳商品別1食労務費!$C$5:$C$124,$W97,⑳商品別1食労務費!$F$5:$F$124)</f>
        <v/>
      </c>
      <c r="AB97" s="334">
        <f>IF(ISNUMBER($M97),$M97,0)</f>
        <v/>
      </c>
      <c r="AC97" s="334">
        <f>IF(AND($X97&gt;0,ISNUMBER($J97)),$J97/$X97,"")</f>
        <v/>
      </c>
      <c r="AD97" s="413">
        <f>IF($R97="",0,IF($AA97&gt;0,$AB97*SUMIF(⑳商品別1食労務費!$C$5:$C$124,$R97,⑳商品別1食労務費!$F$5:$F$124)/$AA97,$AB97/$X97))</f>
        <v/>
      </c>
      <c r="AE97" s="413">
        <f>IF($S97="",0,IF($AA97&gt;0,$AB97*SUMIF(⑳商品別1食労務費!$C$5:$C$124,$S97,⑳商品別1食労務費!$F$5:$F$124)/$AA97,$AB97/$X97))</f>
        <v/>
      </c>
      <c r="AF97" s="413">
        <f>IF($T97="",0,IF($AA97&gt;0,$AB97*SUMIF(⑳商品別1食労務費!$C$5:$C$124,$T97,⑳商品別1食労務費!$F$5:$F$124)/$AA97,$AB97/$X97))</f>
        <v/>
      </c>
      <c r="AG97" s="413">
        <f>IF($U97="",0,IF($AA97&gt;0,$AB97*SUMIF(⑳商品別1食労務費!$C$5:$C$124,$U97,⑳商品別1食労務費!$F$5:$F$124)/$AA97,$AB97/$X97))</f>
        <v/>
      </c>
      <c r="AH97" s="413">
        <f>IF($V97="",0,IF($AA97&gt;0,$AB97*SUMIF(⑳商品別1食労務費!$C$5:$C$124,$V97,⑳商品別1食労務費!$F$5:$F$124)/$AA97,$AB97/$X97))</f>
        <v/>
      </c>
      <c r="AI97" s="413">
        <f>IF($W97="",0,IF($AA97&gt;0,$AB97*SUMIF(⑳商品別1食労務費!$C$5:$C$124,$W97,⑳商品別1食労務費!$F$5:$F$124)/$AA97,$AB97/$X97))</f>
        <v/>
      </c>
    </row>
    <row r="98" hidden="1" s="438">
      <c r="A98" s="188" t="n">
        <v>94</v>
      </c>
      <c r="B98" s="189" t="inlineStr">
        <is>
          <t>盛り込み①</t>
        </is>
      </c>
      <c r="C98" s="229" t="n"/>
      <c r="D98" s="190" t="n"/>
      <c r="E98" s="190" t="n"/>
      <c r="F98" s="541">
        <f>IF(OR(D98="",E98=""),"",(E98-D98)*1440)</f>
        <v/>
      </c>
      <c r="G98" s="542" t="n"/>
      <c r="H98" s="542" t="n"/>
      <c r="I98" s="543" t="n"/>
      <c r="J98" s="192" t="n"/>
      <c r="K98" s="544">
        <f>IF(AND(ISNUMBER(F98),I98&gt;0),I98/(F98/60),"")</f>
        <v/>
      </c>
      <c r="L98" s="545" t="n">
        <v>900</v>
      </c>
      <c r="M98" s="194">
        <f>IF(OR(ISNUMBER(SEARCH("サニテーション",C98)),ISNUMBER(SEARCH("客注",C98)),ISNUMBER(SEARCH("切り替え",C98)),ISNUMBER(SEARCH("切替",C98)),NOT(ISNUMBER(H98))),"",IF(ISNUMBER(G98),G98/60*H98*④前提設定!$B$4,IF(AND(G98="",ISNUMBER(F98)),F98/60*H98*④前提設定!$B$4,"")))</f>
        <v/>
      </c>
      <c r="N98" s="546">
        <f>IF(AND(I98&gt;0,ISNUMBER(M98)),M98/I98,"")</f>
        <v/>
      </c>
      <c r="O98" s="547">
        <f>IF(AND(J98&gt;0,ISNUMBER(M98)),M98/J98,"")</f>
        <v/>
      </c>
      <c r="P98" s="195" t="n"/>
      <c r="Q98" s="196" t="n"/>
      <c r="X98" s="334">
        <f>COUNTA(R98:W98)</f>
        <v/>
      </c>
      <c r="Y98" s="334">
        <f>IF(AND($X98&gt;0,ISNUMBER($M98)),$M98/$X98,"")</f>
        <v/>
      </c>
      <c r="Z98" s="334">
        <f>IF($X98=0,"",IF(COUNTIF(⑳商品別1食労務費!$C$5:$C$124,$R98)+COUNTIF(⑳商品別1食労務費!$C$5:$C$124,$S98)+COUNTIF(⑳商品別1食労務費!$C$5:$C$124,$T98)+COUNTIF(⑳商品別1食労務費!$C$5:$C$124,$U98)+COUNTIF(⑳商品別1食労務費!$C$5:$C$124,$V98)+COUNTIF(⑳商品別1食労務費!$C$5:$C$124,$W98)=$X98,"OK","⑳に無い商品名"))</f>
        <v/>
      </c>
      <c r="AA98" s="334">
        <f>SUMIF(⑳商品別1食労務費!$C$5:$C$124,$R98,⑳商品別1食労務費!$F$5:$F$124)+SUMIF(⑳商品別1食労務費!$C$5:$C$124,$S98,⑳商品別1食労務費!$F$5:$F$124)+SUMIF(⑳商品別1食労務費!$C$5:$C$124,$T98,⑳商品別1食労務費!$F$5:$F$124)+SUMIF(⑳商品別1食労務費!$C$5:$C$124,$U98,⑳商品別1食労務費!$F$5:$F$124)+SUMIF(⑳商品別1食労務費!$C$5:$C$124,$V98,⑳商品別1食労務費!$F$5:$F$124)+SUMIF(⑳商品別1食労務費!$C$5:$C$124,$W98,⑳商品別1食労務費!$F$5:$F$124)</f>
        <v/>
      </c>
      <c r="AB98" s="334">
        <f>IF(ISNUMBER($M98),$M98,0)</f>
        <v/>
      </c>
      <c r="AC98" s="334">
        <f>IF(AND($X98&gt;0,ISNUMBER($J98)),$J98/$X98,"")</f>
        <v/>
      </c>
      <c r="AD98" s="413">
        <f>IF($R98="",0,IF($AA98&gt;0,$AB98*SUMIF(⑳商品別1食労務費!$C$5:$C$124,$R98,⑳商品別1食労務費!$F$5:$F$124)/$AA98,$AB98/$X98))</f>
        <v/>
      </c>
      <c r="AE98" s="413">
        <f>IF($S98="",0,IF($AA98&gt;0,$AB98*SUMIF(⑳商品別1食労務費!$C$5:$C$124,$S98,⑳商品別1食労務費!$F$5:$F$124)/$AA98,$AB98/$X98))</f>
        <v/>
      </c>
      <c r="AF98" s="413">
        <f>IF($T98="",0,IF($AA98&gt;0,$AB98*SUMIF(⑳商品別1食労務費!$C$5:$C$124,$T98,⑳商品別1食労務費!$F$5:$F$124)/$AA98,$AB98/$X98))</f>
        <v/>
      </c>
      <c r="AG98" s="413">
        <f>IF($U98="",0,IF($AA98&gt;0,$AB98*SUMIF(⑳商品別1食労務費!$C$5:$C$124,$U98,⑳商品別1食労務費!$F$5:$F$124)/$AA98,$AB98/$X98))</f>
        <v/>
      </c>
      <c r="AH98" s="413">
        <f>IF($V98="",0,IF($AA98&gt;0,$AB98*SUMIF(⑳商品別1食労務費!$C$5:$C$124,$V98,⑳商品別1食労務費!$F$5:$F$124)/$AA98,$AB98/$X98))</f>
        <v/>
      </c>
      <c r="AI98" s="413">
        <f>IF($W98="",0,IF($AA98&gt;0,$AB98*SUMIF(⑳商品別1食労務費!$C$5:$C$124,$W98,⑳商品別1食労務費!$F$5:$F$124)/$AA98,$AB98/$X98))</f>
        <v/>
      </c>
    </row>
    <row r="99" hidden="1" s="438">
      <c r="A99" s="197" t="n">
        <v>95</v>
      </c>
      <c r="B99" s="198" t="inlineStr">
        <is>
          <t>盛り込み①</t>
        </is>
      </c>
      <c r="C99" s="229" t="n"/>
      <c r="D99" s="190" t="n"/>
      <c r="E99" s="190" t="n"/>
      <c r="F99" s="541">
        <f>IF(OR(D99="",E99=""),"",(E99-D99)*1440)</f>
        <v/>
      </c>
      <c r="G99" s="542" t="n"/>
      <c r="H99" s="542" t="n"/>
      <c r="I99" s="543" t="n"/>
      <c r="J99" s="192" t="n"/>
      <c r="K99" s="544">
        <f>IF(AND(ISNUMBER(F99),I99&gt;0),I99/(F99/60),"")</f>
        <v/>
      </c>
      <c r="L99" s="545" t="n">
        <v>1000</v>
      </c>
      <c r="M99" s="194">
        <f>IF(OR(ISNUMBER(SEARCH("サニテーション",C99)),ISNUMBER(SEARCH("客注",C99)),ISNUMBER(SEARCH("切り替え",C99)),ISNUMBER(SEARCH("切替",C99)),NOT(ISNUMBER(H99))),"",IF(ISNUMBER(G99),G99/60*H99*④前提設定!$B$4,IF(AND(G99="",ISNUMBER(F99)),F99/60*H99*④前提設定!$B$4,"")))</f>
        <v/>
      </c>
      <c r="N99" s="546">
        <f>IF(AND(I99&gt;0,ISNUMBER(M99)),M99/I99,"")</f>
        <v/>
      </c>
      <c r="O99" s="547">
        <f>IF(AND(J99&gt;0,ISNUMBER(M99)),M99/J99,"")</f>
        <v/>
      </c>
      <c r="P99" s="199" t="n"/>
      <c r="Q99" s="200" t="n"/>
      <c r="X99" s="334">
        <f>COUNTA(R99:W99)</f>
        <v/>
      </c>
      <c r="Y99" s="334">
        <f>IF(AND($X99&gt;0,ISNUMBER($M99)),$M99/$X99,"")</f>
        <v/>
      </c>
      <c r="Z99" s="334">
        <f>IF($X99=0,"",IF(COUNTIF(⑳商品別1食労務費!$C$5:$C$124,$R99)+COUNTIF(⑳商品別1食労務費!$C$5:$C$124,$S99)+COUNTIF(⑳商品別1食労務費!$C$5:$C$124,$T99)+COUNTIF(⑳商品別1食労務費!$C$5:$C$124,$U99)+COUNTIF(⑳商品別1食労務費!$C$5:$C$124,$V99)+COUNTIF(⑳商品別1食労務費!$C$5:$C$124,$W99)=$X99,"OK","⑳に無い商品名"))</f>
        <v/>
      </c>
      <c r="AA99" s="334">
        <f>SUMIF(⑳商品別1食労務費!$C$5:$C$124,$R99,⑳商品別1食労務費!$F$5:$F$124)+SUMIF(⑳商品別1食労務費!$C$5:$C$124,$S99,⑳商品別1食労務費!$F$5:$F$124)+SUMIF(⑳商品別1食労務費!$C$5:$C$124,$T99,⑳商品別1食労務費!$F$5:$F$124)+SUMIF(⑳商品別1食労務費!$C$5:$C$124,$U99,⑳商品別1食労務費!$F$5:$F$124)+SUMIF(⑳商品別1食労務費!$C$5:$C$124,$V99,⑳商品別1食労務費!$F$5:$F$124)+SUMIF(⑳商品別1食労務費!$C$5:$C$124,$W99,⑳商品別1食労務費!$F$5:$F$124)</f>
        <v/>
      </c>
      <c r="AB99" s="334">
        <f>IF(ISNUMBER($M99),$M99,0)</f>
        <v/>
      </c>
      <c r="AC99" s="334">
        <f>IF(AND($X99&gt;0,ISNUMBER($J99)),$J99/$X99,"")</f>
        <v/>
      </c>
      <c r="AD99" s="413">
        <f>IF($R99="",0,IF($AA99&gt;0,$AB99*SUMIF(⑳商品別1食労務費!$C$5:$C$124,$R99,⑳商品別1食労務費!$F$5:$F$124)/$AA99,$AB99/$X99))</f>
        <v/>
      </c>
      <c r="AE99" s="413">
        <f>IF($S99="",0,IF($AA99&gt;0,$AB99*SUMIF(⑳商品別1食労務費!$C$5:$C$124,$S99,⑳商品別1食労務費!$F$5:$F$124)/$AA99,$AB99/$X99))</f>
        <v/>
      </c>
      <c r="AF99" s="413">
        <f>IF($T99="",0,IF($AA99&gt;0,$AB99*SUMIF(⑳商品別1食労務費!$C$5:$C$124,$T99,⑳商品別1食労務費!$F$5:$F$124)/$AA99,$AB99/$X99))</f>
        <v/>
      </c>
      <c r="AG99" s="413">
        <f>IF($U99="",0,IF($AA99&gt;0,$AB99*SUMIF(⑳商品別1食労務費!$C$5:$C$124,$U99,⑳商品別1食労務費!$F$5:$F$124)/$AA99,$AB99/$X99))</f>
        <v/>
      </c>
      <c r="AH99" s="413">
        <f>IF($V99="",0,IF($AA99&gt;0,$AB99*SUMIF(⑳商品別1食労務費!$C$5:$C$124,$V99,⑳商品別1食労務費!$F$5:$F$124)/$AA99,$AB99/$X99))</f>
        <v/>
      </c>
      <c r="AI99" s="413">
        <f>IF($W99="",0,IF($AA99&gt;0,$AB99*SUMIF(⑳商品別1食労務費!$C$5:$C$124,$W99,⑳商品別1食労務費!$F$5:$F$124)/$AA99,$AB99/$X99))</f>
        <v/>
      </c>
    </row>
    <row r="100" hidden="1" s="438">
      <c r="A100" s="188" t="n">
        <v>96</v>
      </c>
      <c r="B100" s="189" t="inlineStr">
        <is>
          <t>盛り込み①</t>
        </is>
      </c>
      <c r="C100" s="229" t="n"/>
      <c r="D100" s="190" t="n"/>
      <c r="E100" s="190" t="n"/>
      <c r="F100" s="541">
        <f>IF(OR(D100="",E100=""),"",(E100-D100)*1440)</f>
        <v/>
      </c>
      <c r="G100" s="542" t="n"/>
      <c r="H100" s="542" t="n"/>
      <c r="I100" s="543" t="n"/>
      <c r="J100" s="192" t="n"/>
      <c r="K100" s="544">
        <f>IF(AND(ISNUMBER(F100),I100&gt;0),I100/(F100/60),"")</f>
        <v/>
      </c>
      <c r="L100" s="545" t="n">
        <v>1000</v>
      </c>
      <c r="M100" s="194">
        <f>IF(OR(ISNUMBER(SEARCH("サニテーション",C100)),ISNUMBER(SEARCH("客注",C100)),ISNUMBER(SEARCH("切り替え",C100)),ISNUMBER(SEARCH("切替",C100)),NOT(ISNUMBER(H100))),"",IF(ISNUMBER(G100),G100/60*H100*④前提設定!$B$4,IF(AND(G100="",ISNUMBER(F100)),F100/60*H100*④前提設定!$B$4,"")))</f>
        <v/>
      </c>
      <c r="N100" s="546">
        <f>IF(AND(I100&gt;0,ISNUMBER(M100)),M100/I100,"")</f>
        <v/>
      </c>
      <c r="O100" s="547">
        <f>IF(AND(J100&gt;0,ISNUMBER(M100)),M100/J100,"")</f>
        <v/>
      </c>
      <c r="P100" s="195" t="n"/>
      <c r="Q100" s="196" t="n"/>
      <c r="X100" s="334">
        <f>COUNTA(R100:W100)</f>
        <v/>
      </c>
      <c r="Y100" s="334">
        <f>IF(AND($X100&gt;0,ISNUMBER($M100)),$M100/$X100,"")</f>
        <v/>
      </c>
      <c r="Z100" s="334">
        <f>IF($X100=0,"",IF(COUNTIF(⑳商品別1食労務費!$C$5:$C$124,$R100)+COUNTIF(⑳商品別1食労務費!$C$5:$C$124,$S100)+COUNTIF(⑳商品別1食労務費!$C$5:$C$124,$T100)+COUNTIF(⑳商品別1食労務費!$C$5:$C$124,$U100)+COUNTIF(⑳商品別1食労務費!$C$5:$C$124,$V100)+COUNTIF(⑳商品別1食労務費!$C$5:$C$124,$W100)=$X100,"OK","⑳に無い商品名"))</f>
        <v/>
      </c>
      <c r="AA100" s="334">
        <f>SUMIF(⑳商品別1食労務費!$C$5:$C$124,$R100,⑳商品別1食労務費!$F$5:$F$124)+SUMIF(⑳商品別1食労務費!$C$5:$C$124,$S100,⑳商品別1食労務費!$F$5:$F$124)+SUMIF(⑳商品別1食労務費!$C$5:$C$124,$T100,⑳商品別1食労務費!$F$5:$F$124)+SUMIF(⑳商品別1食労務費!$C$5:$C$124,$U100,⑳商品別1食労務費!$F$5:$F$124)+SUMIF(⑳商品別1食労務費!$C$5:$C$124,$V100,⑳商品別1食労務費!$F$5:$F$124)+SUMIF(⑳商品別1食労務費!$C$5:$C$124,$W100,⑳商品別1食労務費!$F$5:$F$124)</f>
        <v/>
      </c>
      <c r="AB100" s="334">
        <f>IF(ISNUMBER($M100),$M100,0)</f>
        <v/>
      </c>
      <c r="AC100" s="334">
        <f>IF(AND($X100&gt;0,ISNUMBER($J100)),$J100/$X100,"")</f>
        <v/>
      </c>
      <c r="AD100" s="413">
        <f>IF($R100="",0,IF($AA100&gt;0,$AB100*SUMIF(⑳商品別1食労務費!$C$5:$C$124,$R100,⑳商品別1食労務費!$F$5:$F$124)/$AA100,$AB100/$X100))</f>
        <v/>
      </c>
      <c r="AE100" s="413">
        <f>IF($S100="",0,IF($AA100&gt;0,$AB100*SUMIF(⑳商品別1食労務費!$C$5:$C$124,$S100,⑳商品別1食労務費!$F$5:$F$124)/$AA100,$AB100/$X100))</f>
        <v/>
      </c>
      <c r="AF100" s="413">
        <f>IF($T100="",0,IF($AA100&gt;0,$AB100*SUMIF(⑳商品別1食労務費!$C$5:$C$124,$T100,⑳商品別1食労務費!$F$5:$F$124)/$AA100,$AB100/$X100))</f>
        <v/>
      </c>
      <c r="AG100" s="413">
        <f>IF($U100="",0,IF($AA100&gt;0,$AB100*SUMIF(⑳商品別1食労務費!$C$5:$C$124,$U100,⑳商品別1食労務費!$F$5:$F$124)/$AA100,$AB100/$X100))</f>
        <v/>
      </c>
      <c r="AH100" s="413">
        <f>IF($V100="",0,IF($AA100&gt;0,$AB100*SUMIF(⑳商品別1食労務費!$C$5:$C$124,$V100,⑳商品別1食労務費!$F$5:$F$124)/$AA100,$AB100/$X100))</f>
        <v/>
      </c>
      <c r="AI100" s="413">
        <f>IF($W100="",0,IF($AA100&gt;0,$AB100*SUMIF(⑳商品別1食労務費!$C$5:$C$124,$W100,⑳商品別1食労務費!$F$5:$F$124)/$AA100,$AB100/$X100))</f>
        <v/>
      </c>
    </row>
    <row r="101" hidden="1" s="438">
      <c r="A101" s="197" t="n">
        <v>97</v>
      </c>
      <c r="B101" s="198" t="inlineStr">
        <is>
          <t>盛り込み①</t>
        </is>
      </c>
      <c r="C101" s="229" t="n"/>
      <c r="D101" s="190" t="n"/>
      <c r="E101" s="190" t="n"/>
      <c r="F101" s="541">
        <f>IF(OR(D101="",E101=""),"",(E101-D101)*1440)</f>
        <v/>
      </c>
      <c r="G101" s="542" t="n"/>
      <c r="H101" s="542" t="n"/>
      <c r="I101" s="543" t="n"/>
      <c r="J101" s="192" t="n"/>
      <c r="K101" s="544">
        <f>IF(AND(ISNUMBER(F101),I101&gt;0),I101/(F101/60),"")</f>
        <v/>
      </c>
      <c r="L101" s="545" t="n">
        <v>1000</v>
      </c>
      <c r="M101" s="194">
        <f>IF(OR(ISNUMBER(SEARCH("サニテーション",C101)),ISNUMBER(SEARCH("客注",C101)),ISNUMBER(SEARCH("切り替え",C101)),ISNUMBER(SEARCH("切替",C101)),NOT(ISNUMBER(H101))),"",IF(ISNUMBER(G101),G101/60*H101*④前提設定!$B$4,IF(AND(G101="",ISNUMBER(F101)),F101/60*H101*④前提設定!$B$4,"")))</f>
        <v/>
      </c>
      <c r="N101" s="546">
        <f>IF(AND(I101&gt;0,ISNUMBER(M101)),M101/I101,"")</f>
        <v/>
      </c>
      <c r="O101" s="547">
        <f>IF(AND(J101&gt;0,ISNUMBER(M101)),M101/J101,"")</f>
        <v/>
      </c>
      <c r="P101" s="199" t="n"/>
      <c r="Q101" s="200" t="n"/>
      <c r="X101" s="334">
        <f>COUNTA(R101:W101)</f>
        <v/>
      </c>
      <c r="Y101" s="334">
        <f>IF(AND($X101&gt;0,ISNUMBER($M101)),$M101/$X101,"")</f>
        <v/>
      </c>
      <c r="Z101" s="334">
        <f>IF($X101=0,"",IF(COUNTIF(⑳商品別1食労務費!$C$5:$C$124,$R101)+COUNTIF(⑳商品別1食労務費!$C$5:$C$124,$S101)+COUNTIF(⑳商品別1食労務費!$C$5:$C$124,$T101)+COUNTIF(⑳商品別1食労務費!$C$5:$C$124,$U101)+COUNTIF(⑳商品別1食労務費!$C$5:$C$124,$V101)+COUNTIF(⑳商品別1食労務費!$C$5:$C$124,$W101)=$X101,"OK","⑳に無い商品名"))</f>
        <v/>
      </c>
      <c r="AA101" s="334">
        <f>SUMIF(⑳商品別1食労務費!$C$5:$C$124,$R101,⑳商品別1食労務費!$F$5:$F$124)+SUMIF(⑳商品別1食労務費!$C$5:$C$124,$S101,⑳商品別1食労務費!$F$5:$F$124)+SUMIF(⑳商品別1食労務費!$C$5:$C$124,$T101,⑳商品別1食労務費!$F$5:$F$124)+SUMIF(⑳商品別1食労務費!$C$5:$C$124,$U101,⑳商品別1食労務費!$F$5:$F$124)+SUMIF(⑳商品別1食労務費!$C$5:$C$124,$V101,⑳商品別1食労務費!$F$5:$F$124)+SUMIF(⑳商品別1食労務費!$C$5:$C$124,$W101,⑳商品別1食労務費!$F$5:$F$124)</f>
        <v/>
      </c>
      <c r="AB101" s="334">
        <f>IF(ISNUMBER($M101),$M101,0)</f>
        <v/>
      </c>
      <c r="AC101" s="334">
        <f>IF(AND($X101&gt;0,ISNUMBER($J101)),$J101/$X101,"")</f>
        <v/>
      </c>
      <c r="AD101" s="413">
        <f>IF($R101="",0,IF($AA101&gt;0,$AB101*SUMIF(⑳商品別1食労務費!$C$5:$C$124,$R101,⑳商品別1食労務費!$F$5:$F$124)/$AA101,$AB101/$X101))</f>
        <v/>
      </c>
      <c r="AE101" s="413">
        <f>IF($S101="",0,IF($AA101&gt;0,$AB101*SUMIF(⑳商品別1食労務費!$C$5:$C$124,$S101,⑳商品別1食労務費!$F$5:$F$124)/$AA101,$AB101/$X101))</f>
        <v/>
      </c>
      <c r="AF101" s="413">
        <f>IF($T101="",0,IF($AA101&gt;0,$AB101*SUMIF(⑳商品別1食労務費!$C$5:$C$124,$T101,⑳商品別1食労務費!$F$5:$F$124)/$AA101,$AB101/$X101))</f>
        <v/>
      </c>
      <c r="AG101" s="413">
        <f>IF($U101="",0,IF($AA101&gt;0,$AB101*SUMIF(⑳商品別1食労務費!$C$5:$C$124,$U101,⑳商品別1食労務費!$F$5:$F$124)/$AA101,$AB101/$X101))</f>
        <v/>
      </c>
      <c r="AH101" s="413">
        <f>IF($V101="",0,IF($AA101&gt;0,$AB101*SUMIF(⑳商品別1食労務費!$C$5:$C$124,$V101,⑳商品別1食労務費!$F$5:$F$124)/$AA101,$AB101/$X101))</f>
        <v/>
      </c>
      <c r="AI101" s="413">
        <f>IF($W101="",0,IF($AA101&gt;0,$AB101*SUMIF(⑳商品別1食労務費!$C$5:$C$124,$W101,⑳商品別1食労務費!$F$5:$F$124)/$AA101,$AB101/$X101))</f>
        <v/>
      </c>
    </row>
    <row r="102" hidden="1" s="438">
      <c r="A102" s="188" t="n">
        <v>98</v>
      </c>
      <c r="B102" s="189" t="inlineStr">
        <is>
          <t>盛り込み①</t>
        </is>
      </c>
      <c r="C102" s="229" t="n"/>
      <c r="D102" s="190" t="n"/>
      <c r="E102" s="190" t="n"/>
      <c r="F102" s="541">
        <f>IF(OR(D102="",E102=""),"",(E102-D102)*1440)</f>
        <v/>
      </c>
      <c r="G102" s="542" t="n"/>
      <c r="H102" s="542" t="n"/>
      <c r="I102" s="543" t="n"/>
      <c r="J102" s="192" t="n"/>
      <c r="K102" s="544">
        <f>IF(AND(ISNUMBER(F102),I102&gt;0),I102/(F102/60),"")</f>
        <v/>
      </c>
      <c r="L102" s="545" t="n">
        <v>800</v>
      </c>
      <c r="M102" s="194">
        <f>IF(OR(ISNUMBER(SEARCH("サニテーション",C102)),ISNUMBER(SEARCH("客注",C102)),ISNUMBER(SEARCH("切り替え",C102)),ISNUMBER(SEARCH("切替",C102)),NOT(ISNUMBER(H102))),"",IF(ISNUMBER(G102),G102/60*H102*④前提設定!$B$4,IF(AND(G102="",ISNUMBER(F102)),F102/60*H102*④前提設定!$B$4,"")))</f>
        <v/>
      </c>
      <c r="N102" s="546">
        <f>IF(AND(I102&gt;0,ISNUMBER(M102)),M102/I102,"")</f>
        <v/>
      </c>
      <c r="O102" s="547">
        <f>IF(AND(J102&gt;0,ISNUMBER(M102)),M102/J102,"")</f>
        <v/>
      </c>
      <c r="P102" s="195" t="n"/>
      <c r="Q102" s="196" t="n"/>
      <c r="X102" s="334">
        <f>COUNTA(R102:W102)</f>
        <v/>
      </c>
      <c r="Y102" s="334">
        <f>IF(AND($X102&gt;0,ISNUMBER($M102)),$M102/$X102,"")</f>
        <v/>
      </c>
      <c r="Z102" s="334">
        <f>IF($X102=0,"",IF(COUNTIF(⑳商品別1食労務費!$C$5:$C$124,$R102)+COUNTIF(⑳商品別1食労務費!$C$5:$C$124,$S102)+COUNTIF(⑳商品別1食労務費!$C$5:$C$124,$T102)+COUNTIF(⑳商品別1食労務費!$C$5:$C$124,$U102)+COUNTIF(⑳商品別1食労務費!$C$5:$C$124,$V102)+COUNTIF(⑳商品別1食労務費!$C$5:$C$124,$W102)=$X102,"OK","⑳に無い商品名"))</f>
        <v/>
      </c>
      <c r="AA102" s="334">
        <f>SUMIF(⑳商品別1食労務費!$C$5:$C$124,$R102,⑳商品別1食労務費!$F$5:$F$124)+SUMIF(⑳商品別1食労務費!$C$5:$C$124,$S102,⑳商品別1食労務費!$F$5:$F$124)+SUMIF(⑳商品別1食労務費!$C$5:$C$124,$T102,⑳商品別1食労務費!$F$5:$F$124)+SUMIF(⑳商品別1食労務費!$C$5:$C$124,$U102,⑳商品別1食労務費!$F$5:$F$124)+SUMIF(⑳商品別1食労務費!$C$5:$C$124,$V102,⑳商品別1食労務費!$F$5:$F$124)+SUMIF(⑳商品別1食労務費!$C$5:$C$124,$W102,⑳商品別1食労務費!$F$5:$F$124)</f>
        <v/>
      </c>
      <c r="AB102" s="334">
        <f>IF(ISNUMBER($M102),$M102,0)</f>
        <v/>
      </c>
      <c r="AC102" s="334">
        <f>IF(AND($X102&gt;0,ISNUMBER($J102)),$J102/$X102,"")</f>
        <v/>
      </c>
      <c r="AD102" s="413">
        <f>IF($R102="",0,IF($AA102&gt;0,$AB102*SUMIF(⑳商品別1食労務費!$C$5:$C$124,$R102,⑳商品別1食労務費!$F$5:$F$124)/$AA102,$AB102/$X102))</f>
        <v/>
      </c>
      <c r="AE102" s="413">
        <f>IF($S102="",0,IF($AA102&gt;0,$AB102*SUMIF(⑳商品別1食労務費!$C$5:$C$124,$S102,⑳商品別1食労務費!$F$5:$F$124)/$AA102,$AB102/$X102))</f>
        <v/>
      </c>
      <c r="AF102" s="413">
        <f>IF($T102="",0,IF($AA102&gt;0,$AB102*SUMIF(⑳商品別1食労務費!$C$5:$C$124,$T102,⑳商品別1食労務費!$F$5:$F$124)/$AA102,$AB102/$X102))</f>
        <v/>
      </c>
      <c r="AG102" s="413">
        <f>IF($U102="",0,IF($AA102&gt;0,$AB102*SUMIF(⑳商品別1食労務費!$C$5:$C$124,$U102,⑳商品別1食労務費!$F$5:$F$124)/$AA102,$AB102/$X102))</f>
        <v/>
      </c>
      <c r="AH102" s="413">
        <f>IF($V102="",0,IF($AA102&gt;0,$AB102*SUMIF(⑳商品別1食労務費!$C$5:$C$124,$V102,⑳商品別1食労務費!$F$5:$F$124)/$AA102,$AB102/$X102))</f>
        <v/>
      </c>
      <c r="AI102" s="413">
        <f>IF($W102="",0,IF($AA102&gt;0,$AB102*SUMIF(⑳商品別1食労務費!$C$5:$C$124,$W102,⑳商品別1食労務費!$F$5:$F$124)/$AA102,$AB102/$X102))</f>
        <v/>
      </c>
    </row>
    <row r="103" hidden="1" s="438">
      <c r="A103" s="197" t="n">
        <v>99</v>
      </c>
      <c r="B103" s="198" t="inlineStr">
        <is>
          <t>盛り込み①</t>
        </is>
      </c>
      <c r="C103" s="229" t="n"/>
      <c r="D103" s="190" t="n"/>
      <c r="E103" s="190" t="n"/>
      <c r="F103" s="541">
        <f>IF(OR(D103="",E103=""),"",(E103-D103)*1440)</f>
        <v/>
      </c>
      <c r="G103" s="542" t="n"/>
      <c r="H103" s="542" t="n"/>
      <c r="I103" s="543" t="n"/>
      <c r="J103" s="192" t="n"/>
      <c r="K103" s="544">
        <f>IF(AND(ISNUMBER(F103),I103&gt;0),I103/(F103/60),"")</f>
        <v/>
      </c>
      <c r="L103" s="545" t="n">
        <v>1000</v>
      </c>
      <c r="M103" s="194">
        <f>IF(OR(ISNUMBER(SEARCH("サニテーション",C103)),ISNUMBER(SEARCH("客注",C103)),ISNUMBER(SEARCH("切り替え",C103)),ISNUMBER(SEARCH("切替",C103)),NOT(ISNUMBER(H103))),"",IF(ISNUMBER(G103),G103/60*H103*④前提設定!$B$4,IF(AND(G103="",ISNUMBER(F103)),F103/60*H103*④前提設定!$B$4,"")))</f>
        <v/>
      </c>
      <c r="N103" s="546">
        <f>IF(AND(I103&gt;0,ISNUMBER(M103)),M103/I103,"")</f>
        <v/>
      </c>
      <c r="O103" s="547">
        <f>IF(AND(J103&gt;0,ISNUMBER(M103)),M103/J103,"")</f>
        <v/>
      </c>
      <c r="P103" s="199" t="n"/>
      <c r="Q103" s="200" t="n"/>
      <c r="X103" s="334">
        <f>COUNTA(R103:W103)</f>
        <v/>
      </c>
      <c r="Y103" s="334">
        <f>IF(AND($X103&gt;0,ISNUMBER($M103)),$M103/$X103,"")</f>
        <v/>
      </c>
      <c r="Z103" s="334">
        <f>IF($X103=0,"",IF(COUNTIF(⑳商品別1食労務費!$C$5:$C$124,$R103)+COUNTIF(⑳商品別1食労務費!$C$5:$C$124,$S103)+COUNTIF(⑳商品別1食労務費!$C$5:$C$124,$T103)+COUNTIF(⑳商品別1食労務費!$C$5:$C$124,$U103)+COUNTIF(⑳商品別1食労務費!$C$5:$C$124,$V103)+COUNTIF(⑳商品別1食労務費!$C$5:$C$124,$W103)=$X103,"OK","⑳に無い商品名"))</f>
        <v/>
      </c>
      <c r="AA103" s="334">
        <f>SUMIF(⑳商品別1食労務費!$C$5:$C$124,$R103,⑳商品別1食労務費!$F$5:$F$124)+SUMIF(⑳商品別1食労務費!$C$5:$C$124,$S103,⑳商品別1食労務費!$F$5:$F$124)+SUMIF(⑳商品別1食労務費!$C$5:$C$124,$T103,⑳商品別1食労務費!$F$5:$F$124)+SUMIF(⑳商品別1食労務費!$C$5:$C$124,$U103,⑳商品別1食労務費!$F$5:$F$124)+SUMIF(⑳商品別1食労務費!$C$5:$C$124,$V103,⑳商品別1食労務費!$F$5:$F$124)+SUMIF(⑳商品別1食労務費!$C$5:$C$124,$W103,⑳商品別1食労務費!$F$5:$F$124)</f>
        <v/>
      </c>
      <c r="AB103" s="334">
        <f>IF(ISNUMBER($M103),$M103,0)</f>
        <v/>
      </c>
      <c r="AC103" s="334">
        <f>IF(AND($X103&gt;0,ISNUMBER($J103)),$J103/$X103,"")</f>
        <v/>
      </c>
      <c r="AD103" s="413">
        <f>IF($R103="",0,IF($AA103&gt;0,$AB103*SUMIF(⑳商品別1食労務費!$C$5:$C$124,$R103,⑳商品別1食労務費!$F$5:$F$124)/$AA103,$AB103/$X103))</f>
        <v/>
      </c>
      <c r="AE103" s="413">
        <f>IF($S103="",0,IF($AA103&gt;0,$AB103*SUMIF(⑳商品別1食労務費!$C$5:$C$124,$S103,⑳商品別1食労務費!$F$5:$F$124)/$AA103,$AB103/$X103))</f>
        <v/>
      </c>
      <c r="AF103" s="413">
        <f>IF($T103="",0,IF($AA103&gt;0,$AB103*SUMIF(⑳商品別1食労務費!$C$5:$C$124,$T103,⑳商品別1食労務費!$F$5:$F$124)/$AA103,$AB103/$X103))</f>
        <v/>
      </c>
      <c r="AG103" s="413">
        <f>IF($U103="",0,IF($AA103&gt;0,$AB103*SUMIF(⑳商品別1食労務費!$C$5:$C$124,$U103,⑳商品別1食労務費!$F$5:$F$124)/$AA103,$AB103/$X103))</f>
        <v/>
      </c>
      <c r="AH103" s="413">
        <f>IF($V103="",0,IF($AA103&gt;0,$AB103*SUMIF(⑳商品別1食労務費!$C$5:$C$124,$V103,⑳商品別1食労務費!$F$5:$F$124)/$AA103,$AB103/$X103))</f>
        <v/>
      </c>
      <c r="AI103" s="413">
        <f>IF($W103="",0,IF($AA103&gt;0,$AB103*SUMIF(⑳商品別1食労務費!$C$5:$C$124,$W103,⑳商品別1食労務費!$F$5:$F$124)/$AA103,$AB103/$X103))</f>
        <v/>
      </c>
    </row>
    <row r="104" hidden="1" s="438">
      <c r="A104" s="188" t="n">
        <v>100</v>
      </c>
      <c r="B104" s="189" t="inlineStr">
        <is>
          <t>盛り込み①</t>
        </is>
      </c>
      <c r="C104" s="229" t="n"/>
      <c r="D104" s="190" t="n"/>
      <c r="E104" s="190" t="n"/>
      <c r="F104" s="541">
        <f>IF(OR(D104="",E104=""),"",(E104-D104)*1440)</f>
        <v/>
      </c>
      <c r="G104" s="542" t="n"/>
      <c r="H104" s="542" t="n"/>
      <c r="I104" s="543" t="n"/>
      <c r="J104" s="192" t="n"/>
      <c r="K104" s="544">
        <f>IF(AND(ISNUMBER(F104),I104&gt;0),I104/(F104/60),"")</f>
        <v/>
      </c>
      <c r="L104" s="545" t="n">
        <v>1000</v>
      </c>
      <c r="M104" s="194">
        <f>IF(OR(ISNUMBER(SEARCH("サニテーション",C104)),ISNUMBER(SEARCH("客注",C104)),ISNUMBER(SEARCH("切り替え",C104)),ISNUMBER(SEARCH("切替",C104)),NOT(ISNUMBER(H104))),"",IF(ISNUMBER(G104),G104/60*H104*④前提設定!$B$4,IF(AND(G104="",ISNUMBER(F104)),F104/60*H104*④前提設定!$B$4,"")))</f>
        <v/>
      </c>
      <c r="N104" s="546">
        <f>IF(AND(I104&gt;0,ISNUMBER(M104)),M104/I104,"")</f>
        <v/>
      </c>
      <c r="O104" s="547">
        <f>IF(AND(J104&gt;0,ISNUMBER(M104)),M104/J104,"")</f>
        <v/>
      </c>
      <c r="P104" s="195" t="n"/>
      <c r="Q104" s="196" t="n"/>
      <c r="X104" s="334">
        <f>COUNTA(R104:W104)</f>
        <v/>
      </c>
      <c r="Y104" s="334">
        <f>IF(AND($X104&gt;0,ISNUMBER($M104)),$M104/$X104,"")</f>
        <v/>
      </c>
      <c r="Z104" s="334">
        <f>IF($X104=0,"",IF(COUNTIF(⑳商品別1食労務費!$C$5:$C$124,$R104)+COUNTIF(⑳商品別1食労務費!$C$5:$C$124,$S104)+COUNTIF(⑳商品別1食労務費!$C$5:$C$124,$T104)+COUNTIF(⑳商品別1食労務費!$C$5:$C$124,$U104)+COUNTIF(⑳商品別1食労務費!$C$5:$C$124,$V104)+COUNTIF(⑳商品別1食労務費!$C$5:$C$124,$W104)=$X104,"OK","⑳に無い商品名"))</f>
        <v/>
      </c>
      <c r="AA104" s="334">
        <f>SUMIF(⑳商品別1食労務費!$C$5:$C$124,$R104,⑳商品別1食労務費!$F$5:$F$124)+SUMIF(⑳商品別1食労務費!$C$5:$C$124,$S104,⑳商品別1食労務費!$F$5:$F$124)+SUMIF(⑳商品別1食労務費!$C$5:$C$124,$T104,⑳商品別1食労務費!$F$5:$F$124)+SUMIF(⑳商品別1食労務費!$C$5:$C$124,$U104,⑳商品別1食労務費!$F$5:$F$124)+SUMIF(⑳商品別1食労務費!$C$5:$C$124,$V104,⑳商品別1食労務費!$F$5:$F$124)+SUMIF(⑳商品別1食労務費!$C$5:$C$124,$W104,⑳商品別1食労務費!$F$5:$F$124)</f>
        <v/>
      </c>
      <c r="AB104" s="334">
        <f>IF(ISNUMBER($M104),$M104,0)</f>
        <v/>
      </c>
      <c r="AC104" s="334">
        <f>IF(AND($X104&gt;0,ISNUMBER($J104)),$J104/$X104,"")</f>
        <v/>
      </c>
      <c r="AD104" s="413">
        <f>IF($R104="",0,IF($AA104&gt;0,$AB104*SUMIF(⑳商品別1食労務費!$C$5:$C$124,$R104,⑳商品別1食労務費!$F$5:$F$124)/$AA104,$AB104/$X104))</f>
        <v/>
      </c>
      <c r="AE104" s="413">
        <f>IF($S104="",0,IF($AA104&gt;0,$AB104*SUMIF(⑳商品別1食労務費!$C$5:$C$124,$S104,⑳商品別1食労務費!$F$5:$F$124)/$AA104,$AB104/$X104))</f>
        <v/>
      </c>
      <c r="AF104" s="413">
        <f>IF($T104="",0,IF($AA104&gt;0,$AB104*SUMIF(⑳商品別1食労務費!$C$5:$C$124,$T104,⑳商品別1食労務費!$F$5:$F$124)/$AA104,$AB104/$X104))</f>
        <v/>
      </c>
      <c r="AG104" s="413">
        <f>IF($U104="",0,IF($AA104&gt;0,$AB104*SUMIF(⑳商品別1食労務費!$C$5:$C$124,$U104,⑳商品別1食労務費!$F$5:$F$124)/$AA104,$AB104/$X104))</f>
        <v/>
      </c>
      <c r="AH104" s="413">
        <f>IF($V104="",0,IF($AA104&gt;0,$AB104*SUMIF(⑳商品別1食労務費!$C$5:$C$124,$V104,⑳商品別1食労務費!$F$5:$F$124)/$AA104,$AB104/$X104))</f>
        <v/>
      </c>
      <c r="AI104" s="413">
        <f>IF($W104="",0,IF($AA104&gt;0,$AB104*SUMIF(⑳商品別1食労務費!$C$5:$C$124,$W104,⑳商品別1食労務費!$F$5:$F$124)/$AA104,$AB104/$X104))</f>
        <v/>
      </c>
    </row>
    <row r="105" hidden="1" s="438">
      <c r="A105" s="197" t="n">
        <v>101</v>
      </c>
      <c r="B105" s="198" t="inlineStr">
        <is>
          <t>盛り込み①</t>
        </is>
      </c>
      <c r="C105" s="229" t="n"/>
      <c r="D105" s="190" t="n"/>
      <c r="E105" s="190" t="n"/>
      <c r="F105" s="541">
        <f>IF(OR(D105="",E105=""),"",(E105-D105)*1440)</f>
        <v/>
      </c>
      <c r="G105" s="542" t="n"/>
      <c r="H105" s="542" t="n"/>
      <c r="I105" s="543" t="n"/>
      <c r="J105" s="192" t="n"/>
      <c r="K105" s="544">
        <f>IF(AND(ISNUMBER(F105),I105&gt;0),I105/(F105/60),"")</f>
        <v/>
      </c>
      <c r="L105" s="545" t="n">
        <v>1100</v>
      </c>
      <c r="M105" s="194">
        <f>IF(OR(ISNUMBER(SEARCH("サニテーション",C105)),ISNUMBER(SEARCH("客注",C105)),ISNUMBER(SEARCH("切り替え",C105)),ISNUMBER(SEARCH("切替",C105)),NOT(ISNUMBER(H105))),"",IF(ISNUMBER(G105),G105/60*H105*④前提設定!$B$4,IF(AND(G105="",ISNUMBER(F105)),F105/60*H105*④前提設定!$B$4,"")))</f>
        <v/>
      </c>
      <c r="N105" s="546">
        <f>IF(AND(I105&gt;0,ISNUMBER(M105)),M105/I105,"")</f>
        <v/>
      </c>
      <c r="O105" s="547">
        <f>IF(AND(J105&gt;0,ISNUMBER(M105)),M105/J105,"")</f>
        <v/>
      </c>
      <c r="P105" s="199" t="n"/>
      <c r="Q105" s="200" t="n"/>
      <c r="X105" s="334">
        <f>COUNTA(R105:W105)</f>
        <v/>
      </c>
      <c r="Y105" s="334">
        <f>IF(AND($X105&gt;0,ISNUMBER($M105)),$M105/$X105,"")</f>
        <v/>
      </c>
      <c r="Z105" s="334">
        <f>IF($X105=0,"",IF(COUNTIF(⑳商品別1食労務費!$C$5:$C$124,$R105)+COUNTIF(⑳商品別1食労務費!$C$5:$C$124,$S105)+COUNTIF(⑳商品別1食労務費!$C$5:$C$124,$T105)+COUNTIF(⑳商品別1食労務費!$C$5:$C$124,$U105)+COUNTIF(⑳商品別1食労務費!$C$5:$C$124,$V105)+COUNTIF(⑳商品別1食労務費!$C$5:$C$124,$W105)=$X105,"OK","⑳に無い商品名"))</f>
        <v/>
      </c>
      <c r="AA105" s="334">
        <f>SUMIF(⑳商品別1食労務費!$C$5:$C$124,$R105,⑳商品別1食労務費!$F$5:$F$124)+SUMIF(⑳商品別1食労務費!$C$5:$C$124,$S105,⑳商品別1食労務費!$F$5:$F$124)+SUMIF(⑳商品別1食労務費!$C$5:$C$124,$T105,⑳商品別1食労務費!$F$5:$F$124)+SUMIF(⑳商品別1食労務費!$C$5:$C$124,$U105,⑳商品別1食労務費!$F$5:$F$124)+SUMIF(⑳商品別1食労務費!$C$5:$C$124,$V105,⑳商品別1食労務費!$F$5:$F$124)+SUMIF(⑳商品別1食労務費!$C$5:$C$124,$W105,⑳商品別1食労務費!$F$5:$F$124)</f>
        <v/>
      </c>
      <c r="AB105" s="334">
        <f>IF(ISNUMBER($M105),$M105,0)</f>
        <v/>
      </c>
      <c r="AC105" s="334">
        <f>IF(AND($X105&gt;0,ISNUMBER($J105)),$J105/$X105,"")</f>
        <v/>
      </c>
      <c r="AD105" s="413">
        <f>IF($R105="",0,IF($AA105&gt;0,$AB105*SUMIF(⑳商品別1食労務費!$C$5:$C$124,$R105,⑳商品別1食労務費!$F$5:$F$124)/$AA105,$AB105/$X105))</f>
        <v/>
      </c>
      <c r="AE105" s="413">
        <f>IF($S105="",0,IF($AA105&gt;0,$AB105*SUMIF(⑳商品別1食労務費!$C$5:$C$124,$S105,⑳商品別1食労務費!$F$5:$F$124)/$AA105,$AB105/$X105))</f>
        <v/>
      </c>
      <c r="AF105" s="413">
        <f>IF($T105="",0,IF($AA105&gt;0,$AB105*SUMIF(⑳商品別1食労務費!$C$5:$C$124,$T105,⑳商品別1食労務費!$F$5:$F$124)/$AA105,$AB105/$X105))</f>
        <v/>
      </c>
      <c r="AG105" s="413">
        <f>IF($U105="",0,IF($AA105&gt;0,$AB105*SUMIF(⑳商品別1食労務費!$C$5:$C$124,$U105,⑳商品別1食労務費!$F$5:$F$124)/$AA105,$AB105/$X105))</f>
        <v/>
      </c>
      <c r="AH105" s="413">
        <f>IF($V105="",0,IF($AA105&gt;0,$AB105*SUMIF(⑳商品別1食労務費!$C$5:$C$124,$V105,⑳商品別1食労務費!$F$5:$F$124)/$AA105,$AB105/$X105))</f>
        <v/>
      </c>
      <c r="AI105" s="413">
        <f>IF($W105="",0,IF($AA105&gt;0,$AB105*SUMIF(⑳商品別1食労務費!$C$5:$C$124,$W105,⑳商品別1食労務費!$F$5:$F$124)/$AA105,$AB105/$X105))</f>
        <v/>
      </c>
    </row>
    <row r="106" hidden="1" s="438">
      <c r="A106" s="188" t="n">
        <v>102</v>
      </c>
      <c r="B106" s="189" t="inlineStr">
        <is>
          <t>盛り込み①</t>
        </is>
      </c>
      <c r="C106" s="229" t="n"/>
      <c r="D106" s="190" t="n"/>
      <c r="E106" s="190" t="n"/>
      <c r="F106" s="541">
        <f>IF(OR(D106="",E106=""),"",(E106-D106)*1440)</f>
        <v/>
      </c>
      <c r="G106" s="542" t="n"/>
      <c r="H106" s="542" t="n"/>
      <c r="I106" s="543" t="n"/>
      <c r="J106" s="192" t="n"/>
      <c r="K106" s="544">
        <f>IF(AND(ISNUMBER(F106),I106&gt;0),I106/(F106/60),"")</f>
        <v/>
      </c>
      <c r="L106" s="545" t="n">
        <v>1000</v>
      </c>
      <c r="M106" s="194">
        <f>IF(OR(ISNUMBER(SEARCH("サニテーション",C106)),ISNUMBER(SEARCH("客注",C106)),ISNUMBER(SEARCH("切り替え",C106)),ISNUMBER(SEARCH("切替",C106)),NOT(ISNUMBER(H106))),"",IF(ISNUMBER(G106),G106/60*H106*④前提設定!$B$4,IF(AND(G106="",ISNUMBER(F106)),F106/60*H106*④前提設定!$B$4,"")))</f>
        <v/>
      </c>
      <c r="N106" s="546">
        <f>IF(AND(I106&gt;0,ISNUMBER(M106)),M106/I106,"")</f>
        <v/>
      </c>
      <c r="O106" s="547">
        <f>IF(AND(J106&gt;0,ISNUMBER(M106)),M106/J106,"")</f>
        <v/>
      </c>
      <c r="P106" s="195" t="n"/>
      <c r="Q106" s="196" t="n"/>
      <c r="X106" s="334">
        <f>COUNTA(R106:W106)</f>
        <v/>
      </c>
      <c r="Y106" s="334">
        <f>IF(AND($X106&gt;0,ISNUMBER($M106)),$M106/$X106,"")</f>
        <v/>
      </c>
      <c r="Z106" s="334">
        <f>IF($X106=0,"",IF(COUNTIF(⑳商品別1食労務費!$C$5:$C$124,$R106)+COUNTIF(⑳商品別1食労務費!$C$5:$C$124,$S106)+COUNTIF(⑳商品別1食労務費!$C$5:$C$124,$T106)+COUNTIF(⑳商品別1食労務費!$C$5:$C$124,$U106)+COUNTIF(⑳商品別1食労務費!$C$5:$C$124,$V106)+COUNTIF(⑳商品別1食労務費!$C$5:$C$124,$W106)=$X106,"OK","⑳に無い商品名"))</f>
        <v/>
      </c>
      <c r="AA106" s="334">
        <f>SUMIF(⑳商品別1食労務費!$C$5:$C$124,$R106,⑳商品別1食労務費!$F$5:$F$124)+SUMIF(⑳商品別1食労務費!$C$5:$C$124,$S106,⑳商品別1食労務費!$F$5:$F$124)+SUMIF(⑳商品別1食労務費!$C$5:$C$124,$T106,⑳商品別1食労務費!$F$5:$F$124)+SUMIF(⑳商品別1食労務費!$C$5:$C$124,$U106,⑳商品別1食労務費!$F$5:$F$124)+SUMIF(⑳商品別1食労務費!$C$5:$C$124,$V106,⑳商品別1食労務費!$F$5:$F$124)+SUMIF(⑳商品別1食労務費!$C$5:$C$124,$W106,⑳商品別1食労務費!$F$5:$F$124)</f>
        <v/>
      </c>
      <c r="AB106" s="334">
        <f>IF(ISNUMBER($M106),$M106,0)</f>
        <v/>
      </c>
      <c r="AC106" s="334">
        <f>IF(AND($X106&gt;0,ISNUMBER($J106)),$J106/$X106,"")</f>
        <v/>
      </c>
      <c r="AD106" s="413">
        <f>IF($R106="",0,IF($AA106&gt;0,$AB106*SUMIF(⑳商品別1食労務費!$C$5:$C$124,$R106,⑳商品別1食労務費!$F$5:$F$124)/$AA106,$AB106/$X106))</f>
        <v/>
      </c>
      <c r="AE106" s="413">
        <f>IF($S106="",0,IF($AA106&gt;0,$AB106*SUMIF(⑳商品別1食労務費!$C$5:$C$124,$S106,⑳商品別1食労務費!$F$5:$F$124)/$AA106,$AB106/$X106))</f>
        <v/>
      </c>
      <c r="AF106" s="413">
        <f>IF($T106="",0,IF($AA106&gt;0,$AB106*SUMIF(⑳商品別1食労務費!$C$5:$C$124,$T106,⑳商品別1食労務費!$F$5:$F$124)/$AA106,$AB106/$X106))</f>
        <v/>
      </c>
      <c r="AG106" s="413">
        <f>IF($U106="",0,IF($AA106&gt;0,$AB106*SUMIF(⑳商品別1食労務費!$C$5:$C$124,$U106,⑳商品別1食労務費!$F$5:$F$124)/$AA106,$AB106/$X106))</f>
        <v/>
      </c>
      <c r="AH106" s="413">
        <f>IF($V106="",0,IF($AA106&gt;0,$AB106*SUMIF(⑳商品別1食労務費!$C$5:$C$124,$V106,⑳商品別1食労務費!$F$5:$F$124)/$AA106,$AB106/$X106))</f>
        <v/>
      </c>
      <c r="AI106" s="413">
        <f>IF($W106="",0,IF($AA106&gt;0,$AB106*SUMIF(⑳商品別1食労務費!$C$5:$C$124,$W106,⑳商品別1食労務費!$F$5:$F$124)/$AA106,$AB106/$X106))</f>
        <v/>
      </c>
    </row>
    <row r="107" hidden="1" s="438">
      <c r="A107" s="197" t="n">
        <v>103</v>
      </c>
      <c r="B107" s="198" t="inlineStr">
        <is>
          <t>盛り込み①</t>
        </is>
      </c>
      <c r="C107" s="229" t="n"/>
      <c r="D107" s="190" t="n"/>
      <c r="E107" s="190" t="n"/>
      <c r="F107" s="541">
        <f>IF(OR(D107="",E107=""),"",(E107-D107)*1440)</f>
        <v/>
      </c>
      <c r="G107" s="542" t="n"/>
      <c r="H107" s="542" t="n"/>
      <c r="I107" s="543" t="n"/>
      <c r="J107" s="192" t="n"/>
      <c r="K107" s="544">
        <f>IF(AND(ISNUMBER(F107),I107&gt;0),I107/(F107/60),"")</f>
        <v/>
      </c>
      <c r="L107" s="545" t="n">
        <v>900</v>
      </c>
      <c r="M107" s="194">
        <f>IF(OR(ISNUMBER(SEARCH("サニテーション",C107)),ISNUMBER(SEARCH("客注",C107)),ISNUMBER(SEARCH("切り替え",C107)),ISNUMBER(SEARCH("切替",C107)),NOT(ISNUMBER(H107))),"",IF(ISNUMBER(G107),G107/60*H107*④前提設定!$B$4,IF(AND(G107="",ISNUMBER(F107)),F107/60*H107*④前提設定!$B$4,"")))</f>
        <v/>
      </c>
      <c r="N107" s="546">
        <f>IF(AND(I107&gt;0,ISNUMBER(M107)),M107/I107,"")</f>
        <v/>
      </c>
      <c r="O107" s="547">
        <f>IF(AND(J107&gt;0,ISNUMBER(M107)),M107/J107,"")</f>
        <v/>
      </c>
      <c r="P107" s="199" t="n"/>
      <c r="Q107" s="200" t="n"/>
      <c r="X107" s="334">
        <f>COUNTA(R107:W107)</f>
        <v/>
      </c>
      <c r="Y107" s="334">
        <f>IF(AND($X107&gt;0,ISNUMBER($M107)),$M107/$X107,"")</f>
        <v/>
      </c>
      <c r="Z107" s="334">
        <f>IF($X107=0,"",IF(COUNTIF(⑳商品別1食労務費!$C$5:$C$124,$R107)+COUNTIF(⑳商品別1食労務費!$C$5:$C$124,$S107)+COUNTIF(⑳商品別1食労務費!$C$5:$C$124,$T107)+COUNTIF(⑳商品別1食労務費!$C$5:$C$124,$U107)+COUNTIF(⑳商品別1食労務費!$C$5:$C$124,$V107)+COUNTIF(⑳商品別1食労務費!$C$5:$C$124,$W107)=$X107,"OK","⑳に無い商品名"))</f>
        <v/>
      </c>
      <c r="AA107" s="334">
        <f>SUMIF(⑳商品別1食労務費!$C$5:$C$124,$R107,⑳商品別1食労務費!$F$5:$F$124)+SUMIF(⑳商品別1食労務費!$C$5:$C$124,$S107,⑳商品別1食労務費!$F$5:$F$124)+SUMIF(⑳商品別1食労務費!$C$5:$C$124,$T107,⑳商品別1食労務費!$F$5:$F$124)+SUMIF(⑳商品別1食労務費!$C$5:$C$124,$U107,⑳商品別1食労務費!$F$5:$F$124)+SUMIF(⑳商品別1食労務費!$C$5:$C$124,$V107,⑳商品別1食労務費!$F$5:$F$124)+SUMIF(⑳商品別1食労務費!$C$5:$C$124,$W107,⑳商品別1食労務費!$F$5:$F$124)</f>
        <v/>
      </c>
      <c r="AB107" s="334">
        <f>IF(ISNUMBER($M107),$M107,0)</f>
        <v/>
      </c>
      <c r="AC107" s="334">
        <f>IF(AND($X107&gt;0,ISNUMBER($J107)),$J107/$X107,"")</f>
        <v/>
      </c>
      <c r="AD107" s="413">
        <f>IF($R107="",0,IF($AA107&gt;0,$AB107*SUMIF(⑳商品別1食労務費!$C$5:$C$124,$R107,⑳商品別1食労務費!$F$5:$F$124)/$AA107,$AB107/$X107))</f>
        <v/>
      </c>
      <c r="AE107" s="413">
        <f>IF($S107="",0,IF($AA107&gt;0,$AB107*SUMIF(⑳商品別1食労務費!$C$5:$C$124,$S107,⑳商品別1食労務費!$F$5:$F$124)/$AA107,$AB107/$X107))</f>
        <v/>
      </c>
      <c r="AF107" s="413">
        <f>IF($T107="",0,IF($AA107&gt;0,$AB107*SUMIF(⑳商品別1食労務費!$C$5:$C$124,$T107,⑳商品別1食労務費!$F$5:$F$124)/$AA107,$AB107/$X107))</f>
        <v/>
      </c>
      <c r="AG107" s="413">
        <f>IF($U107="",0,IF($AA107&gt;0,$AB107*SUMIF(⑳商品別1食労務費!$C$5:$C$124,$U107,⑳商品別1食労務費!$F$5:$F$124)/$AA107,$AB107/$X107))</f>
        <v/>
      </c>
      <c r="AH107" s="413">
        <f>IF($V107="",0,IF($AA107&gt;0,$AB107*SUMIF(⑳商品別1食労務費!$C$5:$C$124,$V107,⑳商品別1食労務費!$F$5:$F$124)/$AA107,$AB107/$X107))</f>
        <v/>
      </c>
      <c r="AI107" s="413">
        <f>IF($W107="",0,IF($AA107&gt;0,$AB107*SUMIF(⑳商品別1食労務費!$C$5:$C$124,$W107,⑳商品別1食労務費!$F$5:$F$124)/$AA107,$AB107/$X107))</f>
        <v/>
      </c>
    </row>
    <row r="108" hidden="1" ht="13.5" customHeight="1" s="438" thickBot="1">
      <c r="A108" s="473" t="n">
        <v>104</v>
      </c>
      <c r="B108" s="474" t="n"/>
      <c r="C108" s="475" t="n"/>
      <c r="D108" s="201" t="n"/>
      <c r="E108" s="201" t="n"/>
      <c r="F108" s="201">
        <f>IF(OR(D108="",E108=""),"",(E108-D108)*1440)</f>
        <v/>
      </c>
      <c r="G108" s="202" t="n"/>
      <c r="H108" s="202" t="n"/>
      <c r="I108" s="202" t="n"/>
      <c r="J108" s="202" t="n"/>
      <c r="K108" s="548">
        <f>IF(AND(ISNUMBER(F108),I108&gt;0),I108/(F108/60),"")</f>
        <v/>
      </c>
      <c r="L108" s="548" t="n">
        <v>900</v>
      </c>
      <c r="M108" s="202">
        <f>IF(OR(ISNUMBER(SEARCH("サニテーション",C108)),ISNUMBER(SEARCH("客注",C108)),ISNUMBER(SEARCH("切り替え",C108)),ISNUMBER(SEARCH("切替",C108)),NOT(ISNUMBER(H108))),"",IF(ISNUMBER(G108),G108/60*H108*④前提設定!$B$4,IF(AND(G108="",ISNUMBER(F108)),F108/60*H108*④前提設定!$B$4,"")))</f>
        <v/>
      </c>
      <c r="N108" s="548">
        <f>IF(AND(I108&gt;0,ISNUMBER(M108)),M108/I108,"")</f>
        <v/>
      </c>
      <c r="O108" s="548">
        <f>IF(AND(J108&gt;0,ISNUMBER(M108)),M108/J108,"")</f>
        <v/>
      </c>
      <c r="P108" s="201" t="n"/>
      <c r="Q108" s="201" t="n"/>
      <c r="X108" s="334">
        <f>COUNTA(R108:W108)</f>
        <v/>
      </c>
      <c r="Y108" s="334">
        <f>IF(AND($X108&gt;0,ISNUMBER($M108)),$M108/$X108,"")</f>
        <v/>
      </c>
      <c r="Z108" s="334">
        <f>IF($X108=0,"",IF(COUNTIF(⑳商品別1食労務費!$C$5:$C$124,$R108)+COUNTIF(⑳商品別1食労務費!$C$5:$C$124,$S108)+COUNTIF(⑳商品別1食労務費!$C$5:$C$124,$T108)+COUNTIF(⑳商品別1食労務費!$C$5:$C$124,$U108)+COUNTIF(⑳商品別1食労務費!$C$5:$C$124,$V108)+COUNTIF(⑳商品別1食労務費!$C$5:$C$124,$W108)=$X108,"OK","⑳に無い商品名"))</f>
        <v/>
      </c>
      <c r="AA108" s="334">
        <f>SUMIF(⑳商品別1食労務費!$C$5:$C$124,$R108,⑳商品別1食労務費!$F$5:$F$124)+SUMIF(⑳商品別1食労務費!$C$5:$C$124,$S108,⑳商品別1食労務費!$F$5:$F$124)+SUMIF(⑳商品別1食労務費!$C$5:$C$124,$T108,⑳商品別1食労務費!$F$5:$F$124)+SUMIF(⑳商品別1食労務費!$C$5:$C$124,$U108,⑳商品別1食労務費!$F$5:$F$124)+SUMIF(⑳商品別1食労務費!$C$5:$C$124,$V108,⑳商品別1食労務費!$F$5:$F$124)+SUMIF(⑳商品別1食労務費!$C$5:$C$124,$W108,⑳商品別1食労務費!$F$5:$F$124)</f>
        <v/>
      </c>
      <c r="AB108" s="334">
        <f>IF(ISNUMBER($M108),$M108,0)</f>
        <v/>
      </c>
      <c r="AC108" s="334">
        <f>IF(AND($X108&gt;0,ISNUMBER($J108)),$J108/$X108,"")</f>
        <v/>
      </c>
      <c r="AD108" s="413">
        <f>IF($R108="",0,IF($AA108&gt;0,$AB108*SUMIF(⑳商品別1食労務費!$C$5:$C$124,$R108,⑳商品別1食労務費!$F$5:$F$124)/$AA108,$AB108/$X108))</f>
        <v/>
      </c>
      <c r="AE108" s="413">
        <f>IF($S108="",0,IF($AA108&gt;0,$AB108*SUMIF(⑳商品別1食労務費!$C$5:$C$124,$S108,⑳商品別1食労務費!$F$5:$F$124)/$AA108,$AB108/$X108))</f>
        <v/>
      </c>
      <c r="AF108" s="413">
        <f>IF($T108="",0,IF($AA108&gt;0,$AB108*SUMIF(⑳商品別1食労務費!$C$5:$C$124,$T108,⑳商品別1食労務費!$F$5:$F$124)/$AA108,$AB108/$X108))</f>
        <v/>
      </c>
      <c r="AG108" s="413">
        <f>IF($U108="",0,IF($AA108&gt;0,$AB108*SUMIF(⑳商品別1食労務費!$C$5:$C$124,$U108,⑳商品別1食労務費!$F$5:$F$124)/$AA108,$AB108/$X108))</f>
        <v/>
      </c>
      <c r="AH108" s="413">
        <f>IF($V108="",0,IF($AA108&gt;0,$AB108*SUMIF(⑳商品別1食労務費!$C$5:$C$124,$V108,⑳商品別1食労務費!$F$5:$F$124)/$AA108,$AB108/$X108))</f>
        <v/>
      </c>
      <c r="AI108" s="413">
        <f>IF($W108="",0,IF($AA108&gt;0,$AB108*SUMIF(⑳商品別1食労務費!$C$5:$C$124,$W108,⑳商品別1食労務費!$F$5:$F$124)/$AA108,$AB108/$X108))</f>
        <v/>
      </c>
    </row>
    <row r="109" hidden="1" s="438">
      <c r="A109" t="n">
        <v>105</v>
      </c>
      <c r="B109" t="inlineStr">
        <is>
          <t>盛り込み①</t>
        </is>
      </c>
      <c r="F109">
        <f>IF(OR(D109="",E109=""),"",(E109-D109)*1440)</f>
        <v/>
      </c>
      <c r="K109" s="517">
        <f>IF(AND(ISNUMBER(F109),I109&gt;0),I109/(F109/60),"")</f>
        <v/>
      </c>
      <c r="L109" s="549" t="n">
        <v>700</v>
      </c>
      <c r="M109" s="334">
        <f>IF(OR(ISNUMBER(SEARCH("サニテーション",C109)),ISNUMBER(SEARCH("客注",C109)),ISNUMBER(SEARCH("切り替え",C109)),ISNUMBER(SEARCH("切替",C109)),NOT(ISNUMBER(H109))),"",IF(ISNUMBER(G109),G109/60*H109*④前提設定!$B$4,IF(AND(G109="",ISNUMBER(F109)),F109/60*H109*④前提設定!$B$4,"")))</f>
        <v/>
      </c>
      <c r="N109" s="517">
        <f>IF(AND(I109&gt;0,ISNUMBER(M109)),M109/I109,"")</f>
        <v/>
      </c>
      <c r="O109" s="549">
        <f>IF(AND(J109&gt;0,ISNUMBER(M109)),M109/J109,"")</f>
        <v/>
      </c>
      <c r="X109" s="334">
        <f>COUNTA(R109:W109)</f>
        <v/>
      </c>
      <c r="Y109" s="334">
        <f>IF(AND($X109&gt;0,ISNUMBER($M109)),$M109/$X109,"")</f>
        <v/>
      </c>
      <c r="Z109" s="334">
        <f>IF($X109=0,"",IF(COUNTIF(⑳商品別1食労務費!$C$5:$C$124,$R109)+COUNTIF(⑳商品別1食労務費!$C$5:$C$124,$S109)+COUNTIF(⑳商品別1食労務費!$C$5:$C$124,$T109)+COUNTIF(⑳商品別1食労務費!$C$5:$C$124,$U109)+COUNTIF(⑳商品別1食労務費!$C$5:$C$124,$V109)+COUNTIF(⑳商品別1食労務費!$C$5:$C$124,$W109)=$X109,"OK","⑳に無い商品名"))</f>
        <v/>
      </c>
      <c r="AA109" s="334">
        <f>SUMIF(⑳商品別1食労務費!$C$5:$C$124,$R109,⑳商品別1食労務費!$F$5:$F$124)+SUMIF(⑳商品別1食労務費!$C$5:$C$124,$S109,⑳商品別1食労務費!$F$5:$F$124)+SUMIF(⑳商品別1食労務費!$C$5:$C$124,$T109,⑳商品別1食労務費!$F$5:$F$124)+SUMIF(⑳商品別1食労務費!$C$5:$C$124,$U109,⑳商品別1食労務費!$F$5:$F$124)+SUMIF(⑳商品別1食労務費!$C$5:$C$124,$V109,⑳商品別1食労務費!$F$5:$F$124)+SUMIF(⑳商品別1食労務費!$C$5:$C$124,$W109,⑳商品別1食労務費!$F$5:$F$124)</f>
        <v/>
      </c>
      <c r="AB109" s="334">
        <f>IF(ISNUMBER($M109),$M109,0)</f>
        <v/>
      </c>
      <c r="AC109" s="334">
        <f>IF(AND($X109&gt;0,ISNUMBER($J109)),$J109/$X109,"")</f>
        <v/>
      </c>
      <c r="AD109" s="413">
        <f>IF($R109="",0,IF($AA109&gt;0,$AB109*SUMIF(⑳商品別1食労務費!$C$5:$C$124,$R109,⑳商品別1食労務費!$F$5:$F$124)/$AA109,$AB109/$X109))</f>
        <v/>
      </c>
      <c r="AE109" s="413">
        <f>IF($S109="",0,IF($AA109&gt;0,$AB109*SUMIF(⑳商品別1食労務費!$C$5:$C$124,$S109,⑳商品別1食労務費!$F$5:$F$124)/$AA109,$AB109/$X109))</f>
        <v/>
      </c>
      <c r="AF109" s="413">
        <f>IF($T109="",0,IF($AA109&gt;0,$AB109*SUMIF(⑳商品別1食労務費!$C$5:$C$124,$T109,⑳商品別1食労務費!$F$5:$F$124)/$AA109,$AB109/$X109))</f>
        <v/>
      </c>
      <c r="AG109" s="413">
        <f>IF($U109="",0,IF($AA109&gt;0,$AB109*SUMIF(⑳商品別1食労務費!$C$5:$C$124,$U109,⑳商品別1食労務費!$F$5:$F$124)/$AA109,$AB109/$X109))</f>
        <v/>
      </c>
      <c r="AH109" s="413">
        <f>IF($V109="",0,IF($AA109&gt;0,$AB109*SUMIF(⑳商品別1食労務費!$C$5:$C$124,$V109,⑳商品別1食労務費!$F$5:$F$124)/$AA109,$AB109/$X109))</f>
        <v/>
      </c>
      <c r="AI109" s="413">
        <f>IF($W109="",0,IF($AA109&gt;0,$AB109*SUMIF(⑳商品別1食労務費!$C$5:$C$124,$W109,⑳商品別1食労務費!$F$5:$F$124)/$AA109,$AB109/$X109))</f>
        <v/>
      </c>
    </row>
    <row r="110" hidden="1" s="438">
      <c r="A110" s="188" t="n">
        <v>106</v>
      </c>
      <c r="B110" s="189" t="inlineStr">
        <is>
          <t>盛り込み①</t>
        </is>
      </c>
      <c r="C110" s="229" t="n"/>
      <c r="D110" s="190" t="n"/>
      <c r="E110" s="190" t="n"/>
      <c r="F110" s="541">
        <f>IF(OR(D110="",E110=""),"",(E110-D110)*1440)</f>
        <v/>
      </c>
      <c r="G110" s="542" t="n"/>
      <c r="H110" s="542" t="n"/>
      <c r="I110" s="543" t="n"/>
      <c r="J110" s="192" t="n"/>
      <c r="K110" s="544">
        <f>IF(AND(ISNUMBER(F110),I110&gt;0),I110/(F110/60),"")</f>
        <v/>
      </c>
      <c r="L110" s="545" t="n">
        <v>700</v>
      </c>
      <c r="M110" s="194">
        <f>IF(OR(ISNUMBER(SEARCH("サニテーション",C110)),ISNUMBER(SEARCH("客注",C110)),ISNUMBER(SEARCH("切り替え",C110)),ISNUMBER(SEARCH("切替",C110)),NOT(ISNUMBER(H110))),"",IF(ISNUMBER(G110),G110/60*H110*④前提設定!$B$4,IF(AND(G110="",ISNUMBER(F110)),F110/60*H110*④前提設定!$B$4,"")))</f>
        <v/>
      </c>
      <c r="N110" s="546">
        <f>IF(AND(I110&gt;0,ISNUMBER(M110)),M110/I110,"")</f>
        <v/>
      </c>
      <c r="O110" s="547">
        <f>IF(AND(J110&gt;0,ISNUMBER(M110)),M110/J110,"")</f>
        <v/>
      </c>
      <c r="P110" s="195" t="n"/>
      <c r="Q110" s="196" t="n"/>
      <c r="X110" s="334">
        <f>COUNTA(R110:W110)</f>
        <v/>
      </c>
      <c r="Y110" s="334">
        <f>IF(AND($X110&gt;0,ISNUMBER($M110)),$M110/$X110,"")</f>
        <v/>
      </c>
      <c r="Z110" s="334">
        <f>IF($X110=0,"",IF(COUNTIF(⑳商品別1食労務費!$C$5:$C$124,$R110)+COUNTIF(⑳商品別1食労務費!$C$5:$C$124,$S110)+COUNTIF(⑳商品別1食労務費!$C$5:$C$124,$T110)+COUNTIF(⑳商品別1食労務費!$C$5:$C$124,$U110)+COUNTIF(⑳商品別1食労務費!$C$5:$C$124,$V110)+COUNTIF(⑳商品別1食労務費!$C$5:$C$124,$W110)=$X110,"OK","⑳に無い商品名"))</f>
        <v/>
      </c>
      <c r="AA110" s="334">
        <f>SUMIF(⑳商品別1食労務費!$C$5:$C$124,$R110,⑳商品別1食労務費!$F$5:$F$124)+SUMIF(⑳商品別1食労務費!$C$5:$C$124,$S110,⑳商品別1食労務費!$F$5:$F$124)+SUMIF(⑳商品別1食労務費!$C$5:$C$124,$T110,⑳商品別1食労務費!$F$5:$F$124)+SUMIF(⑳商品別1食労務費!$C$5:$C$124,$U110,⑳商品別1食労務費!$F$5:$F$124)+SUMIF(⑳商品別1食労務費!$C$5:$C$124,$V110,⑳商品別1食労務費!$F$5:$F$124)+SUMIF(⑳商品別1食労務費!$C$5:$C$124,$W110,⑳商品別1食労務費!$F$5:$F$124)</f>
        <v/>
      </c>
      <c r="AB110" s="334">
        <f>IF(ISNUMBER($M110),$M110,0)</f>
        <v/>
      </c>
      <c r="AC110" s="334">
        <f>IF(AND($X110&gt;0,ISNUMBER($J110)),$J110/$X110,"")</f>
        <v/>
      </c>
      <c r="AD110" s="413">
        <f>IF($R110="",0,IF($AA110&gt;0,$AB110*SUMIF(⑳商品別1食労務費!$C$5:$C$124,$R110,⑳商品別1食労務費!$F$5:$F$124)/$AA110,$AB110/$X110))</f>
        <v/>
      </c>
      <c r="AE110" s="413">
        <f>IF($S110="",0,IF($AA110&gt;0,$AB110*SUMIF(⑳商品別1食労務費!$C$5:$C$124,$S110,⑳商品別1食労務費!$F$5:$F$124)/$AA110,$AB110/$X110))</f>
        <v/>
      </c>
      <c r="AF110" s="413">
        <f>IF($T110="",0,IF($AA110&gt;0,$AB110*SUMIF(⑳商品別1食労務費!$C$5:$C$124,$T110,⑳商品別1食労務費!$F$5:$F$124)/$AA110,$AB110/$X110))</f>
        <v/>
      </c>
      <c r="AG110" s="413">
        <f>IF($U110="",0,IF($AA110&gt;0,$AB110*SUMIF(⑳商品別1食労務費!$C$5:$C$124,$U110,⑳商品別1食労務費!$F$5:$F$124)/$AA110,$AB110/$X110))</f>
        <v/>
      </c>
      <c r="AH110" s="413">
        <f>IF($V110="",0,IF($AA110&gt;0,$AB110*SUMIF(⑳商品別1食労務費!$C$5:$C$124,$V110,⑳商品別1食労務費!$F$5:$F$124)/$AA110,$AB110/$X110))</f>
        <v/>
      </c>
      <c r="AI110" s="413">
        <f>IF($W110="",0,IF($AA110&gt;0,$AB110*SUMIF(⑳商品別1食労務費!$C$5:$C$124,$W110,⑳商品別1食労務費!$F$5:$F$124)/$AA110,$AB110/$X110))</f>
        <v/>
      </c>
    </row>
    <row r="111" hidden="1" s="438">
      <c r="A111" s="197" t="n">
        <v>107</v>
      </c>
      <c r="B111" s="198" t="inlineStr">
        <is>
          <t>盛り込み①</t>
        </is>
      </c>
      <c r="C111" s="229" t="n"/>
      <c r="D111" s="190" t="n"/>
      <c r="E111" s="190" t="n"/>
      <c r="F111" s="541">
        <f>IF(OR(D111="",E111=""),"",(E111-D111)*1440)</f>
        <v/>
      </c>
      <c r="G111" s="542" t="n"/>
      <c r="H111" s="542" t="n"/>
      <c r="I111" s="543" t="n"/>
      <c r="J111" s="192" t="n"/>
      <c r="K111" s="544">
        <f>IF(AND(ISNUMBER(F111),I111&gt;0),I111/(F111/60),"")</f>
        <v/>
      </c>
      <c r="L111" s="545" t="n">
        <v>1000</v>
      </c>
      <c r="M111" s="194">
        <f>IF(OR(ISNUMBER(SEARCH("サニテーション",C111)),ISNUMBER(SEARCH("客注",C111)),ISNUMBER(SEARCH("切り替え",C111)),ISNUMBER(SEARCH("切替",C111)),NOT(ISNUMBER(H111))),"",IF(ISNUMBER(G111),G111/60*H111*④前提設定!$B$4,IF(AND(G111="",ISNUMBER(F111)),F111/60*H111*④前提設定!$B$4,"")))</f>
        <v/>
      </c>
      <c r="N111" s="546">
        <f>IF(AND(I111&gt;0,ISNUMBER(M111)),M111/I111,"")</f>
        <v/>
      </c>
      <c r="O111" s="547">
        <f>IF(AND(J111&gt;0,ISNUMBER(M111)),M111/J111,"")</f>
        <v/>
      </c>
      <c r="P111" s="199" t="n"/>
      <c r="Q111" s="200" t="n"/>
      <c r="X111" s="334">
        <f>COUNTA(R111:W111)</f>
        <v/>
      </c>
      <c r="Y111" s="334">
        <f>IF(AND($X111&gt;0,ISNUMBER($M111)),$M111/$X111,"")</f>
        <v/>
      </c>
      <c r="Z111" s="334">
        <f>IF($X111=0,"",IF(COUNTIF(⑳商品別1食労務費!$C$5:$C$124,$R111)+COUNTIF(⑳商品別1食労務費!$C$5:$C$124,$S111)+COUNTIF(⑳商品別1食労務費!$C$5:$C$124,$T111)+COUNTIF(⑳商品別1食労務費!$C$5:$C$124,$U111)+COUNTIF(⑳商品別1食労務費!$C$5:$C$124,$V111)+COUNTIF(⑳商品別1食労務費!$C$5:$C$124,$W111)=$X111,"OK","⑳に無い商品名"))</f>
        <v/>
      </c>
      <c r="AA111" s="334">
        <f>SUMIF(⑳商品別1食労務費!$C$5:$C$124,$R111,⑳商品別1食労務費!$F$5:$F$124)+SUMIF(⑳商品別1食労務費!$C$5:$C$124,$S111,⑳商品別1食労務費!$F$5:$F$124)+SUMIF(⑳商品別1食労務費!$C$5:$C$124,$T111,⑳商品別1食労務費!$F$5:$F$124)+SUMIF(⑳商品別1食労務費!$C$5:$C$124,$U111,⑳商品別1食労務費!$F$5:$F$124)+SUMIF(⑳商品別1食労務費!$C$5:$C$124,$V111,⑳商品別1食労務費!$F$5:$F$124)+SUMIF(⑳商品別1食労務費!$C$5:$C$124,$W111,⑳商品別1食労務費!$F$5:$F$124)</f>
        <v/>
      </c>
      <c r="AB111" s="334">
        <f>IF(ISNUMBER($M111),$M111,0)</f>
        <v/>
      </c>
      <c r="AC111" s="334">
        <f>IF(AND($X111&gt;0,ISNUMBER($J111)),$J111/$X111,"")</f>
        <v/>
      </c>
      <c r="AD111" s="413">
        <f>IF($R111="",0,IF($AA111&gt;0,$AB111*SUMIF(⑳商品別1食労務費!$C$5:$C$124,$R111,⑳商品別1食労務費!$F$5:$F$124)/$AA111,$AB111/$X111))</f>
        <v/>
      </c>
      <c r="AE111" s="413">
        <f>IF($S111="",0,IF($AA111&gt;0,$AB111*SUMIF(⑳商品別1食労務費!$C$5:$C$124,$S111,⑳商品別1食労務費!$F$5:$F$124)/$AA111,$AB111/$X111))</f>
        <v/>
      </c>
      <c r="AF111" s="413">
        <f>IF($T111="",0,IF($AA111&gt;0,$AB111*SUMIF(⑳商品別1食労務費!$C$5:$C$124,$T111,⑳商品別1食労務費!$F$5:$F$124)/$AA111,$AB111/$X111))</f>
        <v/>
      </c>
      <c r="AG111" s="413">
        <f>IF($U111="",0,IF($AA111&gt;0,$AB111*SUMIF(⑳商品別1食労務費!$C$5:$C$124,$U111,⑳商品別1食労務費!$F$5:$F$124)/$AA111,$AB111/$X111))</f>
        <v/>
      </c>
      <c r="AH111" s="413">
        <f>IF($V111="",0,IF($AA111&gt;0,$AB111*SUMIF(⑳商品別1食労務費!$C$5:$C$124,$V111,⑳商品別1食労務費!$F$5:$F$124)/$AA111,$AB111/$X111))</f>
        <v/>
      </c>
      <c r="AI111" s="413">
        <f>IF($W111="",0,IF($AA111&gt;0,$AB111*SUMIF(⑳商品別1食労務費!$C$5:$C$124,$W111,⑳商品別1食労務費!$F$5:$F$124)/$AA111,$AB111/$X111))</f>
        <v/>
      </c>
    </row>
    <row r="112" hidden="1" s="438">
      <c r="A112" s="188" t="n">
        <v>108</v>
      </c>
      <c r="B112" s="189" t="inlineStr">
        <is>
          <t>盛り込み①</t>
        </is>
      </c>
      <c r="C112" s="229" t="n"/>
      <c r="D112" s="190" t="n"/>
      <c r="E112" s="190" t="n"/>
      <c r="F112" s="541">
        <f>IF(OR(D112="",E112=""),"",(E112-D112)*1440)</f>
        <v/>
      </c>
      <c r="G112" s="542" t="n"/>
      <c r="H112" s="542" t="n"/>
      <c r="I112" s="543" t="n"/>
      <c r="J112" s="192" t="n"/>
      <c r="K112" s="544">
        <f>IF(AND(ISNUMBER(F112),I112&gt;0),I112/(F112/60),"")</f>
        <v/>
      </c>
      <c r="L112" s="545" t="n">
        <v>900</v>
      </c>
      <c r="M112" s="194">
        <f>IF(OR(ISNUMBER(SEARCH("サニテーション",C112)),ISNUMBER(SEARCH("客注",C112)),ISNUMBER(SEARCH("切り替え",C112)),ISNUMBER(SEARCH("切替",C112)),NOT(ISNUMBER(H112))),"",IF(ISNUMBER(G112),G112/60*H112*④前提設定!$B$4,IF(AND(G112="",ISNUMBER(F112)),F112/60*H112*④前提設定!$B$4,"")))</f>
        <v/>
      </c>
      <c r="N112" s="546">
        <f>IF(AND(I112&gt;0,ISNUMBER(M112)),M112/I112,"")</f>
        <v/>
      </c>
      <c r="O112" s="547">
        <f>IF(AND(J112&gt;0,ISNUMBER(M112)),M112/J112,"")</f>
        <v/>
      </c>
      <c r="P112" s="195" t="n"/>
      <c r="Q112" s="196" t="n"/>
      <c r="X112" s="334">
        <f>COUNTA(R112:W112)</f>
        <v/>
      </c>
      <c r="Y112" s="334">
        <f>IF(AND($X112&gt;0,ISNUMBER($M112)),$M112/$X112,"")</f>
        <v/>
      </c>
      <c r="Z112" s="334">
        <f>IF($X112=0,"",IF(COUNTIF(⑳商品別1食労務費!$C$5:$C$124,$R112)+COUNTIF(⑳商品別1食労務費!$C$5:$C$124,$S112)+COUNTIF(⑳商品別1食労務費!$C$5:$C$124,$T112)+COUNTIF(⑳商品別1食労務費!$C$5:$C$124,$U112)+COUNTIF(⑳商品別1食労務費!$C$5:$C$124,$V112)+COUNTIF(⑳商品別1食労務費!$C$5:$C$124,$W112)=$X112,"OK","⑳に無い商品名"))</f>
        <v/>
      </c>
      <c r="AA112" s="334">
        <f>SUMIF(⑳商品別1食労務費!$C$5:$C$124,$R112,⑳商品別1食労務費!$F$5:$F$124)+SUMIF(⑳商品別1食労務費!$C$5:$C$124,$S112,⑳商品別1食労務費!$F$5:$F$124)+SUMIF(⑳商品別1食労務費!$C$5:$C$124,$T112,⑳商品別1食労務費!$F$5:$F$124)+SUMIF(⑳商品別1食労務費!$C$5:$C$124,$U112,⑳商品別1食労務費!$F$5:$F$124)+SUMIF(⑳商品別1食労務費!$C$5:$C$124,$V112,⑳商品別1食労務費!$F$5:$F$124)+SUMIF(⑳商品別1食労務費!$C$5:$C$124,$W112,⑳商品別1食労務費!$F$5:$F$124)</f>
        <v/>
      </c>
      <c r="AB112" s="334">
        <f>IF(ISNUMBER($M112),$M112,0)</f>
        <v/>
      </c>
      <c r="AC112" s="334">
        <f>IF(AND($X112&gt;0,ISNUMBER($J112)),$J112/$X112,"")</f>
        <v/>
      </c>
      <c r="AD112" s="413">
        <f>IF($R112="",0,IF($AA112&gt;0,$AB112*SUMIF(⑳商品別1食労務費!$C$5:$C$124,$R112,⑳商品別1食労務費!$F$5:$F$124)/$AA112,$AB112/$X112))</f>
        <v/>
      </c>
      <c r="AE112" s="413">
        <f>IF($S112="",0,IF($AA112&gt;0,$AB112*SUMIF(⑳商品別1食労務費!$C$5:$C$124,$S112,⑳商品別1食労務費!$F$5:$F$124)/$AA112,$AB112/$X112))</f>
        <v/>
      </c>
      <c r="AF112" s="413">
        <f>IF($T112="",0,IF($AA112&gt;0,$AB112*SUMIF(⑳商品別1食労務費!$C$5:$C$124,$T112,⑳商品別1食労務費!$F$5:$F$124)/$AA112,$AB112/$X112))</f>
        <v/>
      </c>
      <c r="AG112" s="413">
        <f>IF($U112="",0,IF($AA112&gt;0,$AB112*SUMIF(⑳商品別1食労務費!$C$5:$C$124,$U112,⑳商品別1食労務費!$F$5:$F$124)/$AA112,$AB112/$X112))</f>
        <v/>
      </c>
      <c r="AH112" s="413">
        <f>IF($V112="",0,IF($AA112&gt;0,$AB112*SUMIF(⑳商品別1食労務費!$C$5:$C$124,$V112,⑳商品別1食労務費!$F$5:$F$124)/$AA112,$AB112/$X112))</f>
        <v/>
      </c>
      <c r="AI112" s="413">
        <f>IF($W112="",0,IF($AA112&gt;0,$AB112*SUMIF(⑳商品別1食労務費!$C$5:$C$124,$W112,⑳商品別1食労務費!$F$5:$F$124)/$AA112,$AB112/$X112))</f>
        <v/>
      </c>
    </row>
    <row r="113">
      <c r="A113" s="197" t="n">
        <v>109</v>
      </c>
      <c r="B113" s="198" t="inlineStr">
        <is>
          <t>盛り込み①</t>
        </is>
      </c>
      <c r="C113" s="229" t="n"/>
      <c r="D113" s="190" t="n"/>
      <c r="E113" s="190" t="n"/>
      <c r="F113" s="541">
        <f>IF(OR(D113="",E113=""),"",(E113-D113)*1440)</f>
        <v/>
      </c>
      <c r="G113" s="542" t="n"/>
      <c r="H113" s="542" t="n"/>
      <c r="I113" s="543" t="n"/>
      <c r="J113" s="192" t="n"/>
      <c r="K113" s="544">
        <f>IF(AND(ISNUMBER(F113),I113&gt;0),I113/(F113/60),"")</f>
        <v/>
      </c>
      <c r="L113" s="545" t="n">
        <v>600</v>
      </c>
      <c r="M113" s="194">
        <f>IF(OR(ISNUMBER(SEARCH("サニテーション",C113)),ISNUMBER(SEARCH("客注",C113)),ISNUMBER(SEARCH("切り替え",C113)),ISNUMBER(SEARCH("切替",C113)),NOT(ISNUMBER(H113))),"",IF(ISNUMBER(G113),G113/60*H113*④前提設定!$B$4,IF(AND(G113="",ISNUMBER(F113)),F113/60*H113*④前提設定!$B$4,"")))</f>
        <v/>
      </c>
      <c r="N113" s="546">
        <f>IF(AND(I113&gt;0,ISNUMBER(M113)),M113/I113,"")</f>
        <v/>
      </c>
      <c r="O113" s="547">
        <f>IF(AND(J113&gt;0,ISNUMBER(M113)),M113/J113,"")</f>
        <v/>
      </c>
      <c r="P113" s="199" t="n"/>
      <c r="Q113" s="200" t="n"/>
      <c r="X113" s="334">
        <f>COUNTA(R113:W113)</f>
        <v/>
      </c>
      <c r="Y113" s="334">
        <f>IF(AND($X113&gt;0,ISNUMBER($M113)),$M113/$X113,"")</f>
        <v/>
      </c>
      <c r="Z113" s="334">
        <f>IF($X113=0,"",IF(COUNTIF(⑳商品別1食労務費!$C$5:$C$124,$R113)+COUNTIF(⑳商品別1食労務費!$C$5:$C$124,$S113)+COUNTIF(⑳商品別1食労務費!$C$5:$C$124,$T113)+COUNTIF(⑳商品別1食労務費!$C$5:$C$124,$U113)+COUNTIF(⑳商品別1食労務費!$C$5:$C$124,$V113)+COUNTIF(⑳商品別1食労務費!$C$5:$C$124,$W113)=$X113,"OK","⑳に無い商品名"))</f>
        <v/>
      </c>
      <c r="AA113" s="334">
        <f>SUMIF(⑳商品別1食労務費!$C$5:$C$124,$R113,⑳商品別1食労務費!$F$5:$F$124)+SUMIF(⑳商品別1食労務費!$C$5:$C$124,$S113,⑳商品別1食労務費!$F$5:$F$124)+SUMIF(⑳商品別1食労務費!$C$5:$C$124,$T113,⑳商品別1食労務費!$F$5:$F$124)+SUMIF(⑳商品別1食労務費!$C$5:$C$124,$U113,⑳商品別1食労務費!$F$5:$F$124)+SUMIF(⑳商品別1食労務費!$C$5:$C$124,$V113,⑳商品別1食労務費!$F$5:$F$124)+SUMIF(⑳商品別1食労務費!$C$5:$C$124,$W113,⑳商品別1食労務費!$F$5:$F$124)</f>
        <v/>
      </c>
      <c r="AB113" s="334">
        <f>IF(ISNUMBER($M113),$M113,0)</f>
        <v/>
      </c>
      <c r="AC113" s="334">
        <f>IF(AND($X113&gt;0,ISNUMBER($J113)),$J113/$X113,"")</f>
        <v/>
      </c>
      <c r="AD113" s="413">
        <f>IF($R113="",0,IF($AA113&gt;0,$AB113*SUMIF(⑳商品別1食労務費!$C$5:$C$124,$R113,⑳商品別1食労務費!$F$5:$F$124)/$AA113,$AB113/$X113))</f>
        <v/>
      </c>
      <c r="AE113" s="413">
        <f>IF($S113="",0,IF($AA113&gt;0,$AB113*SUMIF(⑳商品別1食労務費!$C$5:$C$124,$S113,⑳商品別1食労務費!$F$5:$F$124)/$AA113,$AB113/$X113))</f>
        <v/>
      </c>
      <c r="AF113" s="413">
        <f>IF($T113="",0,IF($AA113&gt;0,$AB113*SUMIF(⑳商品別1食労務費!$C$5:$C$124,$T113,⑳商品別1食労務費!$F$5:$F$124)/$AA113,$AB113/$X113))</f>
        <v/>
      </c>
      <c r="AG113" s="413">
        <f>IF($U113="",0,IF($AA113&gt;0,$AB113*SUMIF(⑳商品別1食労務費!$C$5:$C$124,$U113,⑳商品別1食労務費!$F$5:$F$124)/$AA113,$AB113/$X113))</f>
        <v/>
      </c>
      <c r="AH113" s="413">
        <f>IF($V113="",0,IF($AA113&gt;0,$AB113*SUMIF(⑳商品別1食労務費!$C$5:$C$124,$V113,⑳商品別1食労務費!$F$5:$F$124)/$AA113,$AB113/$X113))</f>
        <v/>
      </c>
      <c r="AI113" s="413">
        <f>IF($W113="",0,IF($AA113&gt;0,$AB113*SUMIF(⑳商品別1食労務費!$C$5:$C$124,$W113,⑳商品別1食労務費!$F$5:$F$124)/$AA113,$AB113/$X113))</f>
        <v/>
      </c>
    </row>
    <row r="114" hidden="1" s="438">
      <c r="A114" s="188" t="n">
        <v>110</v>
      </c>
      <c r="B114" s="189" t="inlineStr">
        <is>
          <t>盛り込み①</t>
        </is>
      </c>
      <c r="C114" s="229" t="n"/>
      <c r="D114" s="190" t="n"/>
      <c r="E114" s="190" t="n"/>
      <c r="F114" s="541">
        <f>IF(OR(D114="",E114=""),"",(E114-D114)*1440)</f>
        <v/>
      </c>
      <c r="G114" s="542" t="n"/>
      <c r="H114" s="542" t="n"/>
      <c r="I114" s="543" t="n"/>
      <c r="J114" s="192" t="n"/>
      <c r="K114" s="544">
        <f>IF(AND(ISNUMBER(F114),I114&gt;0),I114/(F114/60),"")</f>
        <v/>
      </c>
      <c r="L114" s="545" t="n">
        <v>1200</v>
      </c>
      <c r="M114" s="194">
        <f>IF(OR(ISNUMBER(SEARCH("サニテーション",C114)),ISNUMBER(SEARCH("客注",C114)),ISNUMBER(SEARCH("切り替え",C114)),ISNUMBER(SEARCH("切替",C114)),NOT(ISNUMBER(H114))),"",IF(ISNUMBER(G114),G114/60*H114*④前提設定!$B$4,IF(AND(G114="",ISNUMBER(F114)),F114/60*H114*④前提設定!$B$4,"")))</f>
        <v/>
      </c>
      <c r="N114" s="546">
        <f>IF(AND(I114&gt;0,ISNUMBER(M114)),M114/I114,"")</f>
        <v/>
      </c>
      <c r="O114" s="547">
        <f>IF(AND(J114&gt;0,ISNUMBER(M114)),M114/J114,"")</f>
        <v/>
      </c>
      <c r="P114" s="195" t="n"/>
      <c r="Q114" s="196" t="n"/>
      <c r="X114" s="334">
        <f>COUNTA(R114:W114)</f>
        <v/>
      </c>
      <c r="Y114" s="334">
        <f>IF(AND($X114&gt;0,ISNUMBER($M114)),$M114/$X114,"")</f>
        <v/>
      </c>
      <c r="Z114" s="334">
        <f>IF($X114=0,"",IF(COUNTIF(⑳商品別1食労務費!$C$5:$C$124,$R114)+COUNTIF(⑳商品別1食労務費!$C$5:$C$124,$S114)+COUNTIF(⑳商品別1食労務費!$C$5:$C$124,$T114)+COUNTIF(⑳商品別1食労務費!$C$5:$C$124,$U114)+COUNTIF(⑳商品別1食労務費!$C$5:$C$124,$V114)+COUNTIF(⑳商品別1食労務費!$C$5:$C$124,$W114)=$X114,"OK","⑳に無い商品名"))</f>
        <v/>
      </c>
      <c r="AA114" s="334">
        <f>SUMIF(⑳商品別1食労務費!$C$5:$C$124,$R114,⑳商品別1食労務費!$F$5:$F$124)+SUMIF(⑳商品別1食労務費!$C$5:$C$124,$S114,⑳商品別1食労務費!$F$5:$F$124)+SUMIF(⑳商品別1食労務費!$C$5:$C$124,$T114,⑳商品別1食労務費!$F$5:$F$124)+SUMIF(⑳商品別1食労務費!$C$5:$C$124,$U114,⑳商品別1食労務費!$F$5:$F$124)+SUMIF(⑳商品別1食労務費!$C$5:$C$124,$V114,⑳商品別1食労務費!$F$5:$F$124)+SUMIF(⑳商品別1食労務費!$C$5:$C$124,$W114,⑳商品別1食労務費!$F$5:$F$124)</f>
        <v/>
      </c>
      <c r="AB114" s="334">
        <f>IF(ISNUMBER($M114),$M114,0)</f>
        <v/>
      </c>
      <c r="AC114" s="334">
        <f>IF(AND($X114&gt;0,ISNUMBER($J114)),$J114/$X114,"")</f>
        <v/>
      </c>
      <c r="AD114" s="413">
        <f>IF($R114="",0,IF($AA114&gt;0,$AB114*SUMIF(⑳商品別1食労務費!$C$5:$C$124,$R114,⑳商品別1食労務費!$F$5:$F$124)/$AA114,$AB114/$X114))</f>
        <v/>
      </c>
      <c r="AE114" s="413">
        <f>IF($S114="",0,IF($AA114&gt;0,$AB114*SUMIF(⑳商品別1食労務費!$C$5:$C$124,$S114,⑳商品別1食労務費!$F$5:$F$124)/$AA114,$AB114/$X114))</f>
        <v/>
      </c>
      <c r="AF114" s="413">
        <f>IF($T114="",0,IF($AA114&gt;0,$AB114*SUMIF(⑳商品別1食労務費!$C$5:$C$124,$T114,⑳商品別1食労務費!$F$5:$F$124)/$AA114,$AB114/$X114))</f>
        <v/>
      </c>
      <c r="AG114" s="413">
        <f>IF($U114="",0,IF($AA114&gt;0,$AB114*SUMIF(⑳商品別1食労務費!$C$5:$C$124,$U114,⑳商品別1食労務費!$F$5:$F$124)/$AA114,$AB114/$X114))</f>
        <v/>
      </c>
      <c r="AH114" s="413">
        <f>IF($V114="",0,IF($AA114&gt;0,$AB114*SUMIF(⑳商品別1食労務費!$C$5:$C$124,$V114,⑳商品別1食労務費!$F$5:$F$124)/$AA114,$AB114/$X114))</f>
        <v/>
      </c>
      <c r="AI114" s="413">
        <f>IF($W114="",0,IF($AA114&gt;0,$AB114*SUMIF(⑳商品別1食労務費!$C$5:$C$124,$W114,⑳商品別1食労務費!$F$5:$F$124)/$AA114,$AB114/$X114))</f>
        <v/>
      </c>
    </row>
    <row r="115" hidden="1" s="438">
      <c r="A115" s="197" t="n">
        <v>111</v>
      </c>
      <c r="B115" s="198" t="inlineStr">
        <is>
          <t>盛り込み①</t>
        </is>
      </c>
      <c r="C115" s="229" t="n"/>
      <c r="D115" s="190" t="n"/>
      <c r="E115" s="190" t="n"/>
      <c r="F115" s="541">
        <f>IF(OR(D115="",E115=""),"",(E115-D115)*1440)</f>
        <v/>
      </c>
      <c r="G115" s="542" t="n"/>
      <c r="H115" s="542" t="n"/>
      <c r="I115" s="543" t="n"/>
      <c r="J115" s="192" t="n"/>
      <c r="K115" s="544">
        <f>IF(AND(ISNUMBER(F115),I115&gt;0),I115/(F115/60),"")</f>
        <v/>
      </c>
      <c r="L115" s="545" t="n">
        <v>900</v>
      </c>
      <c r="M115" s="194">
        <f>IF(OR(ISNUMBER(SEARCH("サニテーション",C115)),ISNUMBER(SEARCH("客注",C115)),ISNUMBER(SEARCH("切り替え",C115)),ISNUMBER(SEARCH("切替",C115)),NOT(ISNUMBER(H115))),"",IF(ISNUMBER(G115),G115/60*H115*④前提設定!$B$4,IF(AND(G115="",ISNUMBER(F115)),F115/60*H115*④前提設定!$B$4,"")))</f>
        <v/>
      </c>
      <c r="N115" s="546">
        <f>IF(AND(I115&gt;0,ISNUMBER(M115)),M115/I115,"")</f>
        <v/>
      </c>
      <c r="O115" s="547">
        <f>IF(AND(J115&gt;0,ISNUMBER(M115)),M115/J115,"")</f>
        <v/>
      </c>
      <c r="P115" s="199" t="n"/>
      <c r="Q115" s="200" t="n"/>
      <c r="X115" s="334">
        <f>COUNTA(R115:W115)</f>
        <v/>
      </c>
      <c r="Y115" s="334">
        <f>IF(AND($X115&gt;0,ISNUMBER($M115)),$M115/$X115,"")</f>
        <v/>
      </c>
      <c r="Z115" s="334">
        <f>IF($X115=0,"",IF(COUNTIF(⑳商品別1食労務費!$C$5:$C$124,$R115)+COUNTIF(⑳商品別1食労務費!$C$5:$C$124,$S115)+COUNTIF(⑳商品別1食労務費!$C$5:$C$124,$T115)+COUNTIF(⑳商品別1食労務費!$C$5:$C$124,$U115)+COUNTIF(⑳商品別1食労務費!$C$5:$C$124,$V115)+COUNTIF(⑳商品別1食労務費!$C$5:$C$124,$W115)=$X115,"OK","⑳に無い商品名"))</f>
        <v/>
      </c>
      <c r="AA115" s="334">
        <f>SUMIF(⑳商品別1食労務費!$C$5:$C$124,$R115,⑳商品別1食労務費!$F$5:$F$124)+SUMIF(⑳商品別1食労務費!$C$5:$C$124,$S115,⑳商品別1食労務費!$F$5:$F$124)+SUMIF(⑳商品別1食労務費!$C$5:$C$124,$T115,⑳商品別1食労務費!$F$5:$F$124)+SUMIF(⑳商品別1食労務費!$C$5:$C$124,$U115,⑳商品別1食労務費!$F$5:$F$124)+SUMIF(⑳商品別1食労務費!$C$5:$C$124,$V115,⑳商品別1食労務費!$F$5:$F$124)+SUMIF(⑳商品別1食労務費!$C$5:$C$124,$W115,⑳商品別1食労務費!$F$5:$F$124)</f>
        <v/>
      </c>
      <c r="AB115" s="334">
        <f>IF(ISNUMBER($M115),$M115,0)</f>
        <v/>
      </c>
      <c r="AC115" s="334">
        <f>IF(AND($X115&gt;0,ISNUMBER($J115)),$J115/$X115,"")</f>
        <v/>
      </c>
      <c r="AD115" s="413">
        <f>IF($R115="",0,IF($AA115&gt;0,$AB115*SUMIF(⑳商品別1食労務費!$C$5:$C$124,$R115,⑳商品別1食労務費!$F$5:$F$124)/$AA115,$AB115/$X115))</f>
        <v/>
      </c>
      <c r="AE115" s="413">
        <f>IF($S115="",0,IF($AA115&gt;0,$AB115*SUMIF(⑳商品別1食労務費!$C$5:$C$124,$S115,⑳商品別1食労務費!$F$5:$F$124)/$AA115,$AB115/$X115))</f>
        <v/>
      </c>
      <c r="AF115" s="413">
        <f>IF($T115="",0,IF($AA115&gt;0,$AB115*SUMIF(⑳商品別1食労務費!$C$5:$C$124,$T115,⑳商品別1食労務費!$F$5:$F$124)/$AA115,$AB115/$X115))</f>
        <v/>
      </c>
      <c r="AG115" s="413">
        <f>IF($U115="",0,IF($AA115&gt;0,$AB115*SUMIF(⑳商品別1食労務費!$C$5:$C$124,$U115,⑳商品別1食労務費!$F$5:$F$124)/$AA115,$AB115/$X115))</f>
        <v/>
      </c>
      <c r="AH115" s="413">
        <f>IF($V115="",0,IF($AA115&gt;0,$AB115*SUMIF(⑳商品別1食労務費!$C$5:$C$124,$V115,⑳商品別1食労務費!$F$5:$F$124)/$AA115,$AB115/$X115))</f>
        <v/>
      </c>
      <c r="AI115" s="413">
        <f>IF($W115="",0,IF($AA115&gt;0,$AB115*SUMIF(⑳商品別1食労務費!$C$5:$C$124,$W115,⑳商品別1食労務費!$F$5:$F$124)/$AA115,$AB115/$X115))</f>
        <v/>
      </c>
    </row>
    <row r="116" hidden="1" s="438">
      <c r="A116" s="188" t="n">
        <v>112</v>
      </c>
      <c r="B116" s="189" t="inlineStr">
        <is>
          <t>盛り込み①</t>
        </is>
      </c>
      <c r="C116" s="229" t="n"/>
      <c r="D116" s="190" t="n"/>
      <c r="E116" s="190" t="n"/>
      <c r="F116" s="541">
        <f>IF(OR(D116="",E116=""),"",(E116-D116)*1440)</f>
        <v/>
      </c>
      <c r="G116" s="542" t="n"/>
      <c r="H116" s="542" t="n"/>
      <c r="I116" s="543" t="n"/>
      <c r="J116" s="192" t="n"/>
      <c r="K116" s="544">
        <f>IF(AND(ISNUMBER(F116),I116&gt;0),I116/(F116/60),"")</f>
        <v/>
      </c>
      <c r="L116" s="545" t="n">
        <v>1100</v>
      </c>
      <c r="M116" s="194">
        <f>IF(OR(ISNUMBER(SEARCH("サニテーション",C116)),ISNUMBER(SEARCH("客注",C116)),ISNUMBER(SEARCH("切り替え",C116)),ISNUMBER(SEARCH("切替",C116)),NOT(ISNUMBER(H116))),"",IF(ISNUMBER(G116),G116/60*H116*④前提設定!$B$4,IF(AND(G116="",ISNUMBER(F116)),F116/60*H116*④前提設定!$B$4,"")))</f>
        <v/>
      </c>
      <c r="N116" s="546">
        <f>IF(AND(I116&gt;0,ISNUMBER(M116)),M116/I116,"")</f>
        <v/>
      </c>
      <c r="O116" s="547">
        <f>IF(AND(J116&gt;0,ISNUMBER(M116)),M116/J116,"")</f>
        <v/>
      </c>
      <c r="P116" s="195" t="n"/>
      <c r="Q116" s="196" t="n"/>
      <c r="X116" s="334">
        <f>COUNTA(R116:W116)</f>
        <v/>
      </c>
      <c r="Y116" s="334">
        <f>IF(AND($X116&gt;0,ISNUMBER($M116)),$M116/$X116,"")</f>
        <v/>
      </c>
      <c r="Z116" s="334">
        <f>IF($X116=0,"",IF(COUNTIF(⑳商品別1食労務費!$C$5:$C$124,$R116)+COUNTIF(⑳商品別1食労務費!$C$5:$C$124,$S116)+COUNTIF(⑳商品別1食労務費!$C$5:$C$124,$T116)+COUNTIF(⑳商品別1食労務費!$C$5:$C$124,$U116)+COUNTIF(⑳商品別1食労務費!$C$5:$C$124,$V116)+COUNTIF(⑳商品別1食労務費!$C$5:$C$124,$W116)=$X116,"OK","⑳に無い商品名"))</f>
        <v/>
      </c>
      <c r="AA116" s="334">
        <f>SUMIF(⑳商品別1食労務費!$C$5:$C$124,$R116,⑳商品別1食労務費!$F$5:$F$124)+SUMIF(⑳商品別1食労務費!$C$5:$C$124,$S116,⑳商品別1食労務費!$F$5:$F$124)+SUMIF(⑳商品別1食労務費!$C$5:$C$124,$T116,⑳商品別1食労務費!$F$5:$F$124)+SUMIF(⑳商品別1食労務費!$C$5:$C$124,$U116,⑳商品別1食労務費!$F$5:$F$124)+SUMIF(⑳商品別1食労務費!$C$5:$C$124,$V116,⑳商品別1食労務費!$F$5:$F$124)+SUMIF(⑳商品別1食労務費!$C$5:$C$124,$W116,⑳商品別1食労務費!$F$5:$F$124)</f>
        <v/>
      </c>
      <c r="AB116" s="334">
        <f>IF(ISNUMBER($M116),$M116,0)</f>
        <v/>
      </c>
      <c r="AC116" s="334">
        <f>IF(AND($X116&gt;0,ISNUMBER($J116)),$J116/$X116,"")</f>
        <v/>
      </c>
      <c r="AD116" s="413">
        <f>IF($R116="",0,IF($AA116&gt;0,$AB116*SUMIF(⑳商品別1食労務費!$C$5:$C$124,$R116,⑳商品別1食労務費!$F$5:$F$124)/$AA116,$AB116/$X116))</f>
        <v/>
      </c>
      <c r="AE116" s="413">
        <f>IF($S116="",0,IF($AA116&gt;0,$AB116*SUMIF(⑳商品別1食労務費!$C$5:$C$124,$S116,⑳商品別1食労務費!$F$5:$F$124)/$AA116,$AB116/$X116))</f>
        <v/>
      </c>
      <c r="AF116" s="413">
        <f>IF($T116="",0,IF($AA116&gt;0,$AB116*SUMIF(⑳商品別1食労務費!$C$5:$C$124,$T116,⑳商品別1食労務費!$F$5:$F$124)/$AA116,$AB116/$X116))</f>
        <v/>
      </c>
      <c r="AG116" s="413">
        <f>IF($U116="",0,IF($AA116&gt;0,$AB116*SUMIF(⑳商品別1食労務費!$C$5:$C$124,$U116,⑳商品別1食労務費!$F$5:$F$124)/$AA116,$AB116/$X116))</f>
        <v/>
      </c>
      <c r="AH116" s="413">
        <f>IF($V116="",0,IF($AA116&gt;0,$AB116*SUMIF(⑳商品別1食労務費!$C$5:$C$124,$V116,⑳商品別1食労務費!$F$5:$F$124)/$AA116,$AB116/$X116))</f>
        <v/>
      </c>
      <c r="AI116" s="413">
        <f>IF($W116="",0,IF($AA116&gt;0,$AB116*SUMIF(⑳商品別1食労務費!$C$5:$C$124,$W116,⑳商品別1食労務費!$F$5:$F$124)/$AA116,$AB116/$X116))</f>
        <v/>
      </c>
    </row>
    <row r="117" hidden="1" s="438">
      <c r="A117" s="197" t="n">
        <v>113</v>
      </c>
      <c r="B117" s="198" t="inlineStr">
        <is>
          <t>盛り込み①</t>
        </is>
      </c>
      <c r="C117" s="229" t="n"/>
      <c r="D117" s="190" t="n"/>
      <c r="E117" s="190" t="n"/>
      <c r="F117" s="541">
        <f>IF(OR(D117="",E117=""),"",(E117-D117)*1440)</f>
        <v/>
      </c>
      <c r="G117" s="542" t="n"/>
      <c r="H117" s="542" t="n"/>
      <c r="I117" s="543" t="n"/>
      <c r="J117" s="192" t="n"/>
      <c r="K117" s="544">
        <f>IF(AND(ISNUMBER(F117),I117&gt;0),I117/(F117/60),"")</f>
        <v/>
      </c>
      <c r="L117" s="545" t="n">
        <v>900</v>
      </c>
      <c r="M117" s="194">
        <f>IF(OR(ISNUMBER(SEARCH("サニテーション",C117)),ISNUMBER(SEARCH("客注",C117)),ISNUMBER(SEARCH("切り替え",C117)),ISNUMBER(SEARCH("切替",C117)),NOT(ISNUMBER(H117))),"",IF(ISNUMBER(G117),G117/60*H117*④前提設定!$B$4,IF(AND(G117="",ISNUMBER(F117)),F117/60*H117*④前提設定!$B$4,"")))</f>
        <v/>
      </c>
      <c r="N117" s="546">
        <f>IF(AND(I117&gt;0,ISNUMBER(M117)),M117/I117,"")</f>
        <v/>
      </c>
      <c r="O117" s="547">
        <f>IF(AND(J117&gt;0,ISNUMBER(M117)),M117/J117,"")</f>
        <v/>
      </c>
      <c r="P117" s="199" t="n"/>
      <c r="Q117" s="200" t="n"/>
      <c r="X117" s="334">
        <f>COUNTA(R117:W117)</f>
        <v/>
      </c>
      <c r="Y117" s="334">
        <f>IF(AND($X117&gt;0,ISNUMBER($M117)),$M117/$X117,"")</f>
        <v/>
      </c>
      <c r="Z117" s="334">
        <f>IF($X117=0,"",IF(COUNTIF(⑳商品別1食労務費!$C$5:$C$124,$R117)+COUNTIF(⑳商品別1食労務費!$C$5:$C$124,$S117)+COUNTIF(⑳商品別1食労務費!$C$5:$C$124,$T117)+COUNTIF(⑳商品別1食労務費!$C$5:$C$124,$U117)+COUNTIF(⑳商品別1食労務費!$C$5:$C$124,$V117)+COUNTIF(⑳商品別1食労務費!$C$5:$C$124,$W117)=$X117,"OK","⑳に無い商品名"))</f>
        <v/>
      </c>
      <c r="AA117" s="334">
        <f>SUMIF(⑳商品別1食労務費!$C$5:$C$124,$R117,⑳商品別1食労務費!$F$5:$F$124)+SUMIF(⑳商品別1食労務費!$C$5:$C$124,$S117,⑳商品別1食労務費!$F$5:$F$124)+SUMIF(⑳商品別1食労務費!$C$5:$C$124,$T117,⑳商品別1食労務費!$F$5:$F$124)+SUMIF(⑳商品別1食労務費!$C$5:$C$124,$U117,⑳商品別1食労務費!$F$5:$F$124)+SUMIF(⑳商品別1食労務費!$C$5:$C$124,$V117,⑳商品別1食労務費!$F$5:$F$124)+SUMIF(⑳商品別1食労務費!$C$5:$C$124,$W117,⑳商品別1食労務費!$F$5:$F$124)</f>
        <v/>
      </c>
      <c r="AB117" s="334">
        <f>IF(ISNUMBER($M117),$M117,0)</f>
        <v/>
      </c>
      <c r="AC117" s="334">
        <f>IF(AND($X117&gt;0,ISNUMBER($J117)),$J117/$X117,"")</f>
        <v/>
      </c>
      <c r="AD117" s="413">
        <f>IF($R117="",0,IF($AA117&gt;0,$AB117*SUMIF(⑳商品別1食労務費!$C$5:$C$124,$R117,⑳商品別1食労務費!$F$5:$F$124)/$AA117,$AB117/$X117))</f>
        <v/>
      </c>
      <c r="AE117" s="413">
        <f>IF($S117="",0,IF($AA117&gt;0,$AB117*SUMIF(⑳商品別1食労務費!$C$5:$C$124,$S117,⑳商品別1食労務費!$F$5:$F$124)/$AA117,$AB117/$X117))</f>
        <v/>
      </c>
      <c r="AF117" s="413">
        <f>IF($T117="",0,IF($AA117&gt;0,$AB117*SUMIF(⑳商品別1食労務費!$C$5:$C$124,$T117,⑳商品別1食労務費!$F$5:$F$124)/$AA117,$AB117/$X117))</f>
        <v/>
      </c>
      <c r="AG117" s="413">
        <f>IF($U117="",0,IF($AA117&gt;0,$AB117*SUMIF(⑳商品別1食労務費!$C$5:$C$124,$U117,⑳商品別1食労務費!$F$5:$F$124)/$AA117,$AB117/$X117))</f>
        <v/>
      </c>
      <c r="AH117" s="413">
        <f>IF($V117="",0,IF($AA117&gt;0,$AB117*SUMIF(⑳商品別1食労務費!$C$5:$C$124,$V117,⑳商品別1食労務費!$F$5:$F$124)/$AA117,$AB117/$X117))</f>
        <v/>
      </c>
      <c r="AI117" s="413">
        <f>IF($W117="",0,IF($AA117&gt;0,$AB117*SUMIF(⑳商品別1食労務費!$C$5:$C$124,$W117,⑳商品別1食労務費!$F$5:$F$124)/$AA117,$AB117/$X117))</f>
        <v/>
      </c>
    </row>
    <row r="118" hidden="1" s="438">
      <c r="A118" s="188" t="n">
        <v>114</v>
      </c>
      <c r="B118" s="189" t="inlineStr">
        <is>
          <t>盛り込み①</t>
        </is>
      </c>
      <c r="C118" s="229" t="n"/>
      <c r="D118" s="190" t="n"/>
      <c r="E118" s="190" t="n"/>
      <c r="F118" s="541">
        <f>IF(OR(D118="",E118=""),"",(E118-D118)*1440)</f>
        <v/>
      </c>
      <c r="G118" s="542" t="n"/>
      <c r="H118" s="542" t="n"/>
      <c r="I118" s="543" t="n"/>
      <c r="J118" s="192" t="n"/>
      <c r="K118" s="544">
        <f>IF(AND(ISNUMBER(F118),I118&gt;0),I118/(F118/60),"")</f>
        <v/>
      </c>
      <c r="L118" s="545" t="n">
        <v>1000</v>
      </c>
      <c r="M118" s="194">
        <f>IF(OR(ISNUMBER(SEARCH("サニテーション",C118)),ISNUMBER(SEARCH("客注",C118)),ISNUMBER(SEARCH("切り替え",C118)),ISNUMBER(SEARCH("切替",C118)),NOT(ISNUMBER(H118))),"",IF(ISNUMBER(G118),G118/60*H118*④前提設定!$B$4,IF(AND(G118="",ISNUMBER(F118)),F118/60*H118*④前提設定!$B$4,"")))</f>
        <v/>
      </c>
      <c r="N118" s="546">
        <f>IF(AND(I118&gt;0,ISNUMBER(M118)),M118/I118,"")</f>
        <v/>
      </c>
      <c r="O118" s="547">
        <f>IF(AND(J118&gt;0,ISNUMBER(M118)),M118/J118,"")</f>
        <v/>
      </c>
      <c r="P118" s="195" t="n"/>
      <c r="Q118" s="196" t="n"/>
      <c r="X118" s="334">
        <f>COUNTA(R118:W118)</f>
        <v/>
      </c>
      <c r="Y118" s="334">
        <f>IF(AND($X118&gt;0,ISNUMBER($M118)),$M118/$X118,"")</f>
        <v/>
      </c>
      <c r="Z118" s="334">
        <f>IF($X118=0,"",IF(COUNTIF(⑳商品別1食労務費!$C$5:$C$124,$R118)+COUNTIF(⑳商品別1食労務費!$C$5:$C$124,$S118)+COUNTIF(⑳商品別1食労務費!$C$5:$C$124,$T118)+COUNTIF(⑳商品別1食労務費!$C$5:$C$124,$U118)+COUNTIF(⑳商品別1食労務費!$C$5:$C$124,$V118)+COUNTIF(⑳商品別1食労務費!$C$5:$C$124,$W118)=$X118,"OK","⑳に無い商品名"))</f>
        <v/>
      </c>
      <c r="AA118" s="334">
        <f>SUMIF(⑳商品別1食労務費!$C$5:$C$124,$R118,⑳商品別1食労務費!$F$5:$F$124)+SUMIF(⑳商品別1食労務費!$C$5:$C$124,$S118,⑳商品別1食労務費!$F$5:$F$124)+SUMIF(⑳商品別1食労務費!$C$5:$C$124,$T118,⑳商品別1食労務費!$F$5:$F$124)+SUMIF(⑳商品別1食労務費!$C$5:$C$124,$U118,⑳商品別1食労務費!$F$5:$F$124)+SUMIF(⑳商品別1食労務費!$C$5:$C$124,$V118,⑳商品別1食労務費!$F$5:$F$124)+SUMIF(⑳商品別1食労務費!$C$5:$C$124,$W118,⑳商品別1食労務費!$F$5:$F$124)</f>
        <v/>
      </c>
      <c r="AB118" s="334">
        <f>IF(ISNUMBER($M118),$M118,0)</f>
        <v/>
      </c>
      <c r="AC118" s="334">
        <f>IF(AND($X118&gt;0,ISNUMBER($J118)),$J118/$X118,"")</f>
        <v/>
      </c>
      <c r="AD118" s="413">
        <f>IF($R118="",0,IF($AA118&gt;0,$AB118*SUMIF(⑳商品別1食労務費!$C$5:$C$124,$R118,⑳商品別1食労務費!$F$5:$F$124)/$AA118,$AB118/$X118))</f>
        <v/>
      </c>
      <c r="AE118" s="413">
        <f>IF($S118="",0,IF($AA118&gt;0,$AB118*SUMIF(⑳商品別1食労務費!$C$5:$C$124,$S118,⑳商品別1食労務費!$F$5:$F$124)/$AA118,$AB118/$X118))</f>
        <v/>
      </c>
      <c r="AF118" s="413">
        <f>IF($T118="",0,IF($AA118&gt;0,$AB118*SUMIF(⑳商品別1食労務費!$C$5:$C$124,$T118,⑳商品別1食労務費!$F$5:$F$124)/$AA118,$AB118/$X118))</f>
        <v/>
      </c>
      <c r="AG118" s="413">
        <f>IF($U118="",0,IF($AA118&gt;0,$AB118*SUMIF(⑳商品別1食労務費!$C$5:$C$124,$U118,⑳商品別1食労務費!$F$5:$F$124)/$AA118,$AB118/$X118))</f>
        <v/>
      </c>
      <c r="AH118" s="413">
        <f>IF($V118="",0,IF($AA118&gt;0,$AB118*SUMIF(⑳商品別1食労務費!$C$5:$C$124,$V118,⑳商品別1食労務費!$F$5:$F$124)/$AA118,$AB118/$X118))</f>
        <v/>
      </c>
      <c r="AI118" s="413">
        <f>IF($W118="",0,IF($AA118&gt;0,$AB118*SUMIF(⑳商品別1食労務費!$C$5:$C$124,$W118,⑳商品別1食労務費!$F$5:$F$124)/$AA118,$AB118/$X118))</f>
        <v/>
      </c>
    </row>
    <row r="119" hidden="1" s="438">
      <c r="A119" s="197" t="n">
        <v>115</v>
      </c>
      <c r="B119" s="198" t="inlineStr">
        <is>
          <t>盛り込み②</t>
        </is>
      </c>
      <c r="C119" s="229" t="n"/>
      <c r="D119" s="190" t="n"/>
      <c r="E119" s="190" t="n"/>
      <c r="F119" s="541">
        <f>IF(OR(D119="",E119=""),"",(E119-D119)*1440)</f>
        <v/>
      </c>
      <c r="G119" s="542" t="n"/>
      <c r="H119" s="542" t="n"/>
      <c r="I119" s="543" t="n"/>
      <c r="J119" s="192" t="n"/>
      <c r="K119" s="544">
        <f>IF(AND(ISNUMBER(F119),I119&gt;0),I119/(F119/60),"")</f>
        <v/>
      </c>
      <c r="L119" s="545" t="n">
        <v>900</v>
      </c>
      <c r="M119" s="194">
        <f>IF(OR(ISNUMBER(SEARCH("サニテーション",C119)),ISNUMBER(SEARCH("客注",C119)),ISNUMBER(SEARCH("切り替え",C119)),ISNUMBER(SEARCH("切替",C119)),NOT(ISNUMBER(H119))),"",IF(ISNUMBER(G119),G119/60*H119*④前提設定!$B$4,IF(AND(G119="",ISNUMBER(F119)),F119/60*H119*④前提設定!$B$4,"")))</f>
        <v/>
      </c>
      <c r="N119" s="546">
        <f>IF(AND(I119&gt;0,ISNUMBER(M119)),M119/I119,"")</f>
        <v/>
      </c>
      <c r="O119" s="547">
        <f>IF(AND(J119&gt;0,ISNUMBER(M119)),M119/J119,"")</f>
        <v/>
      </c>
      <c r="P119" s="199" t="n"/>
      <c r="Q119" s="200" t="n"/>
      <c r="X119" s="334">
        <f>COUNTA(R119:W119)</f>
        <v/>
      </c>
      <c r="Y119" s="334">
        <f>IF(AND($X119&gt;0,ISNUMBER($M119)),$M119/$X119,"")</f>
        <v/>
      </c>
      <c r="Z119" s="334">
        <f>IF($X119=0,"",IF(COUNTIF(⑳商品別1食労務費!$C$5:$C$124,$R119)+COUNTIF(⑳商品別1食労務費!$C$5:$C$124,$S119)+COUNTIF(⑳商品別1食労務費!$C$5:$C$124,$T119)+COUNTIF(⑳商品別1食労務費!$C$5:$C$124,$U119)+COUNTIF(⑳商品別1食労務費!$C$5:$C$124,$V119)+COUNTIF(⑳商品別1食労務費!$C$5:$C$124,$W119)=$X119,"OK","⑳に無い商品名"))</f>
        <v/>
      </c>
      <c r="AA119" s="334">
        <f>SUMIF(⑳商品別1食労務費!$C$5:$C$124,$R119,⑳商品別1食労務費!$F$5:$F$124)+SUMIF(⑳商品別1食労務費!$C$5:$C$124,$S119,⑳商品別1食労務費!$F$5:$F$124)+SUMIF(⑳商品別1食労務費!$C$5:$C$124,$T119,⑳商品別1食労務費!$F$5:$F$124)+SUMIF(⑳商品別1食労務費!$C$5:$C$124,$U119,⑳商品別1食労務費!$F$5:$F$124)+SUMIF(⑳商品別1食労務費!$C$5:$C$124,$V119,⑳商品別1食労務費!$F$5:$F$124)+SUMIF(⑳商品別1食労務費!$C$5:$C$124,$W119,⑳商品別1食労務費!$F$5:$F$124)</f>
        <v/>
      </c>
      <c r="AB119" s="334">
        <f>IF(ISNUMBER($M119),$M119,0)</f>
        <v/>
      </c>
      <c r="AC119" s="334">
        <f>IF(AND($X119&gt;0,ISNUMBER($J119)),$J119/$X119,"")</f>
        <v/>
      </c>
      <c r="AD119" s="413">
        <f>IF($R119="",0,IF($AA119&gt;0,$AB119*SUMIF(⑳商品別1食労務費!$C$5:$C$124,$R119,⑳商品別1食労務費!$F$5:$F$124)/$AA119,$AB119/$X119))</f>
        <v/>
      </c>
      <c r="AE119" s="413">
        <f>IF($S119="",0,IF($AA119&gt;0,$AB119*SUMIF(⑳商品別1食労務費!$C$5:$C$124,$S119,⑳商品別1食労務費!$F$5:$F$124)/$AA119,$AB119/$X119))</f>
        <v/>
      </c>
      <c r="AF119" s="413">
        <f>IF($T119="",0,IF($AA119&gt;0,$AB119*SUMIF(⑳商品別1食労務費!$C$5:$C$124,$T119,⑳商品別1食労務費!$F$5:$F$124)/$AA119,$AB119/$X119))</f>
        <v/>
      </c>
      <c r="AG119" s="413">
        <f>IF($U119="",0,IF($AA119&gt;0,$AB119*SUMIF(⑳商品別1食労務費!$C$5:$C$124,$U119,⑳商品別1食労務費!$F$5:$F$124)/$AA119,$AB119/$X119))</f>
        <v/>
      </c>
      <c r="AH119" s="413">
        <f>IF($V119="",0,IF($AA119&gt;0,$AB119*SUMIF(⑳商品別1食労務費!$C$5:$C$124,$V119,⑳商品別1食労務費!$F$5:$F$124)/$AA119,$AB119/$X119))</f>
        <v/>
      </c>
      <c r="AI119" s="413">
        <f>IF($W119="",0,IF($AA119&gt;0,$AB119*SUMIF(⑳商品別1食労務費!$C$5:$C$124,$W119,⑳商品別1食労務費!$F$5:$F$124)/$AA119,$AB119/$X119))</f>
        <v/>
      </c>
    </row>
    <row r="120" hidden="1" s="438">
      <c r="A120" s="188" t="n">
        <v>116</v>
      </c>
      <c r="B120" s="189" t="inlineStr">
        <is>
          <t>盛り込み②</t>
        </is>
      </c>
      <c r="C120" s="229" t="n"/>
      <c r="D120" s="190" t="n"/>
      <c r="E120" s="190" t="n"/>
      <c r="F120" s="541">
        <f>IF(OR(D120="",E120=""),"",(E120-D120)*1440)</f>
        <v/>
      </c>
      <c r="G120" s="542" t="n"/>
      <c r="H120" s="542" t="n"/>
      <c r="I120" s="543" t="n"/>
      <c r="J120" s="192" t="n"/>
      <c r="K120" s="544">
        <f>IF(AND(ISNUMBER(F120),I120&gt;0),I120/(F120/60),"")</f>
        <v/>
      </c>
      <c r="L120" s="545" t="n">
        <v>900</v>
      </c>
      <c r="M120" s="194">
        <f>IF(OR(ISNUMBER(SEARCH("サニテーション",C120)),ISNUMBER(SEARCH("客注",C120)),ISNUMBER(SEARCH("切り替え",C120)),ISNUMBER(SEARCH("切替",C120)),NOT(ISNUMBER(H120))),"",IF(ISNUMBER(G120),G120/60*H120*④前提設定!$B$4,IF(AND(G120="",ISNUMBER(F120)),F120/60*H120*④前提設定!$B$4,"")))</f>
        <v/>
      </c>
      <c r="N120" s="546">
        <f>IF(AND(I120&gt;0,ISNUMBER(M120)),M120/I120,"")</f>
        <v/>
      </c>
      <c r="O120" s="547">
        <f>IF(AND(J120&gt;0,ISNUMBER(M120)),M120/J120,"")</f>
        <v/>
      </c>
      <c r="P120" s="195" t="n"/>
      <c r="Q120" s="196" t="n"/>
      <c r="X120" s="334">
        <f>COUNTA(R120:W120)</f>
        <v/>
      </c>
      <c r="Y120" s="334">
        <f>IF(AND($X120&gt;0,ISNUMBER($M120)),$M120/$X120,"")</f>
        <v/>
      </c>
      <c r="Z120" s="334">
        <f>IF($X120=0,"",IF(COUNTIF(⑳商品別1食労務費!$C$5:$C$124,$R120)+COUNTIF(⑳商品別1食労務費!$C$5:$C$124,$S120)+COUNTIF(⑳商品別1食労務費!$C$5:$C$124,$T120)+COUNTIF(⑳商品別1食労務費!$C$5:$C$124,$U120)+COUNTIF(⑳商品別1食労務費!$C$5:$C$124,$V120)+COUNTIF(⑳商品別1食労務費!$C$5:$C$124,$W120)=$X120,"OK","⑳に無い商品名"))</f>
        <v/>
      </c>
      <c r="AA120" s="334">
        <f>SUMIF(⑳商品別1食労務費!$C$5:$C$124,$R120,⑳商品別1食労務費!$F$5:$F$124)+SUMIF(⑳商品別1食労務費!$C$5:$C$124,$S120,⑳商品別1食労務費!$F$5:$F$124)+SUMIF(⑳商品別1食労務費!$C$5:$C$124,$T120,⑳商品別1食労務費!$F$5:$F$124)+SUMIF(⑳商品別1食労務費!$C$5:$C$124,$U120,⑳商品別1食労務費!$F$5:$F$124)+SUMIF(⑳商品別1食労務費!$C$5:$C$124,$V120,⑳商品別1食労務費!$F$5:$F$124)+SUMIF(⑳商品別1食労務費!$C$5:$C$124,$W120,⑳商品別1食労務費!$F$5:$F$124)</f>
        <v/>
      </c>
      <c r="AB120" s="334">
        <f>IF(ISNUMBER($M120),$M120,0)</f>
        <v/>
      </c>
      <c r="AC120" s="334">
        <f>IF(AND($X120&gt;0,ISNUMBER($J120)),$J120/$X120,"")</f>
        <v/>
      </c>
      <c r="AD120" s="413">
        <f>IF($R120="",0,IF($AA120&gt;0,$AB120*SUMIF(⑳商品別1食労務費!$C$5:$C$124,$R120,⑳商品別1食労務費!$F$5:$F$124)/$AA120,$AB120/$X120))</f>
        <v/>
      </c>
      <c r="AE120" s="413">
        <f>IF($S120="",0,IF($AA120&gt;0,$AB120*SUMIF(⑳商品別1食労務費!$C$5:$C$124,$S120,⑳商品別1食労務費!$F$5:$F$124)/$AA120,$AB120/$X120))</f>
        <v/>
      </c>
      <c r="AF120" s="413">
        <f>IF($T120="",0,IF($AA120&gt;0,$AB120*SUMIF(⑳商品別1食労務費!$C$5:$C$124,$T120,⑳商品別1食労務費!$F$5:$F$124)/$AA120,$AB120/$X120))</f>
        <v/>
      </c>
      <c r="AG120" s="413">
        <f>IF($U120="",0,IF($AA120&gt;0,$AB120*SUMIF(⑳商品別1食労務費!$C$5:$C$124,$U120,⑳商品別1食労務費!$F$5:$F$124)/$AA120,$AB120/$X120))</f>
        <v/>
      </c>
      <c r="AH120" s="413">
        <f>IF($V120="",0,IF($AA120&gt;0,$AB120*SUMIF(⑳商品別1食労務費!$C$5:$C$124,$V120,⑳商品別1食労務費!$F$5:$F$124)/$AA120,$AB120/$X120))</f>
        <v/>
      </c>
      <c r="AI120" s="413">
        <f>IF($W120="",0,IF($AA120&gt;0,$AB120*SUMIF(⑳商品別1食労務費!$C$5:$C$124,$W120,⑳商品別1食労務費!$F$5:$F$124)/$AA120,$AB120/$X120))</f>
        <v/>
      </c>
    </row>
    <row r="121" hidden="1" s="438">
      <c r="A121" s="197" t="n">
        <v>117</v>
      </c>
      <c r="B121" s="198" t="inlineStr">
        <is>
          <t>盛り込み②</t>
        </is>
      </c>
      <c r="C121" s="229" t="n"/>
      <c r="D121" s="190" t="n"/>
      <c r="E121" s="190" t="n"/>
      <c r="F121" s="541">
        <f>IF(OR(D121="",E121=""),"",(E121-D121)*1440)</f>
        <v/>
      </c>
      <c r="G121" s="542" t="n"/>
      <c r="H121" s="542" t="n"/>
      <c r="I121" s="543" t="n"/>
      <c r="J121" s="192" t="n"/>
      <c r="K121" s="544">
        <f>IF(AND(ISNUMBER(F121),I121&gt;0),I121/(F121/60),"")</f>
        <v/>
      </c>
      <c r="L121" s="545" t="n">
        <v>900</v>
      </c>
      <c r="M121" s="194">
        <f>IF(OR(ISNUMBER(SEARCH("サニテーション",C121)),ISNUMBER(SEARCH("客注",C121)),ISNUMBER(SEARCH("切り替え",C121)),ISNUMBER(SEARCH("切替",C121)),NOT(ISNUMBER(H121))),"",IF(ISNUMBER(G121),G121/60*H121*④前提設定!$B$4,IF(AND(G121="",ISNUMBER(F121)),F121/60*H121*④前提設定!$B$4,"")))</f>
        <v/>
      </c>
      <c r="N121" s="546">
        <f>IF(AND(I121&gt;0,ISNUMBER(M121)),M121/I121,"")</f>
        <v/>
      </c>
      <c r="O121" s="547">
        <f>IF(AND(J121&gt;0,ISNUMBER(M121)),M121/J121,"")</f>
        <v/>
      </c>
      <c r="P121" s="199" t="n"/>
      <c r="Q121" s="200" t="n"/>
      <c r="X121" s="334">
        <f>COUNTA(R121:W121)</f>
        <v/>
      </c>
      <c r="Y121" s="334">
        <f>IF(AND($X121&gt;0,ISNUMBER($M121)),$M121/$X121,"")</f>
        <v/>
      </c>
      <c r="Z121" s="334">
        <f>IF($X121=0,"",IF(COUNTIF(⑳商品別1食労務費!$C$5:$C$124,$R121)+COUNTIF(⑳商品別1食労務費!$C$5:$C$124,$S121)+COUNTIF(⑳商品別1食労務費!$C$5:$C$124,$T121)+COUNTIF(⑳商品別1食労務費!$C$5:$C$124,$U121)+COUNTIF(⑳商品別1食労務費!$C$5:$C$124,$V121)+COUNTIF(⑳商品別1食労務費!$C$5:$C$124,$W121)=$X121,"OK","⑳に無い商品名"))</f>
        <v/>
      </c>
      <c r="AA121" s="334">
        <f>SUMIF(⑳商品別1食労務費!$C$5:$C$124,$R121,⑳商品別1食労務費!$F$5:$F$124)+SUMIF(⑳商品別1食労務費!$C$5:$C$124,$S121,⑳商品別1食労務費!$F$5:$F$124)+SUMIF(⑳商品別1食労務費!$C$5:$C$124,$T121,⑳商品別1食労務費!$F$5:$F$124)+SUMIF(⑳商品別1食労務費!$C$5:$C$124,$U121,⑳商品別1食労務費!$F$5:$F$124)+SUMIF(⑳商品別1食労務費!$C$5:$C$124,$V121,⑳商品別1食労務費!$F$5:$F$124)+SUMIF(⑳商品別1食労務費!$C$5:$C$124,$W121,⑳商品別1食労務費!$F$5:$F$124)</f>
        <v/>
      </c>
      <c r="AB121" s="334">
        <f>IF(ISNUMBER($M121),$M121,0)</f>
        <v/>
      </c>
      <c r="AC121" s="334">
        <f>IF(AND($X121&gt;0,ISNUMBER($J121)),$J121/$X121,"")</f>
        <v/>
      </c>
      <c r="AD121" s="413">
        <f>IF($R121="",0,IF($AA121&gt;0,$AB121*SUMIF(⑳商品別1食労務費!$C$5:$C$124,$R121,⑳商品別1食労務費!$F$5:$F$124)/$AA121,$AB121/$X121))</f>
        <v/>
      </c>
      <c r="AE121" s="413">
        <f>IF($S121="",0,IF($AA121&gt;0,$AB121*SUMIF(⑳商品別1食労務費!$C$5:$C$124,$S121,⑳商品別1食労務費!$F$5:$F$124)/$AA121,$AB121/$X121))</f>
        <v/>
      </c>
      <c r="AF121" s="413">
        <f>IF($T121="",0,IF($AA121&gt;0,$AB121*SUMIF(⑳商品別1食労務費!$C$5:$C$124,$T121,⑳商品別1食労務費!$F$5:$F$124)/$AA121,$AB121/$X121))</f>
        <v/>
      </c>
      <c r="AG121" s="413">
        <f>IF($U121="",0,IF($AA121&gt;0,$AB121*SUMIF(⑳商品別1食労務費!$C$5:$C$124,$U121,⑳商品別1食労務費!$F$5:$F$124)/$AA121,$AB121/$X121))</f>
        <v/>
      </c>
      <c r="AH121" s="413">
        <f>IF($V121="",0,IF($AA121&gt;0,$AB121*SUMIF(⑳商品別1食労務費!$C$5:$C$124,$V121,⑳商品別1食労務費!$F$5:$F$124)/$AA121,$AB121/$X121))</f>
        <v/>
      </c>
      <c r="AI121" s="413">
        <f>IF($W121="",0,IF($AA121&gt;0,$AB121*SUMIF(⑳商品別1食労務費!$C$5:$C$124,$W121,⑳商品別1食労務費!$F$5:$F$124)/$AA121,$AB121/$X121))</f>
        <v/>
      </c>
    </row>
    <row r="122" hidden="1" s="438">
      <c r="A122" s="188" t="n">
        <v>118</v>
      </c>
      <c r="B122" s="189" t="inlineStr">
        <is>
          <t>盛り込み②</t>
        </is>
      </c>
      <c r="C122" s="229" t="n"/>
      <c r="D122" s="190" t="n"/>
      <c r="E122" s="190" t="n"/>
      <c r="F122" s="541">
        <f>IF(OR(D122="",E122=""),"",(E122-D122)*1440)</f>
        <v/>
      </c>
      <c r="G122" s="542" t="n"/>
      <c r="H122" s="542" t="n"/>
      <c r="I122" s="543" t="n"/>
      <c r="J122" s="192" t="n"/>
      <c r="K122" s="544">
        <f>IF(AND(ISNUMBER(F122),I122&gt;0),I122/(F122/60),"")</f>
        <v/>
      </c>
      <c r="L122" s="545" t="n">
        <v>1800</v>
      </c>
      <c r="M122" s="194">
        <f>IF(OR(ISNUMBER(SEARCH("サニテーション",C122)),ISNUMBER(SEARCH("客注",C122)),ISNUMBER(SEARCH("切り替え",C122)),ISNUMBER(SEARCH("切替",C122)),NOT(ISNUMBER(H122))),"",IF(ISNUMBER(G122),G122/60*H122*④前提設定!$B$4,IF(AND(G122="",ISNUMBER(F122)),F122/60*H122*④前提設定!$B$4,"")))</f>
        <v/>
      </c>
      <c r="N122" s="546">
        <f>IF(AND(I122&gt;0,ISNUMBER(M122)),M122/I122,"")</f>
        <v/>
      </c>
      <c r="O122" s="547">
        <f>IF(AND(J122&gt;0,ISNUMBER(M122)),M122/J122,"")</f>
        <v/>
      </c>
      <c r="P122" s="195" t="n"/>
      <c r="Q122" s="196" t="n"/>
      <c r="X122" s="334">
        <f>COUNTA(R122:W122)</f>
        <v/>
      </c>
      <c r="Y122" s="334">
        <f>IF(AND($X122&gt;0,ISNUMBER($M122)),$M122/$X122,"")</f>
        <v/>
      </c>
      <c r="Z122" s="334">
        <f>IF($X122=0,"",IF(COUNTIF(⑳商品別1食労務費!$C$5:$C$124,$R122)+COUNTIF(⑳商品別1食労務費!$C$5:$C$124,$S122)+COUNTIF(⑳商品別1食労務費!$C$5:$C$124,$T122)+COUNTIF(⑳商品別1食労務費!$C$5:$C$124,$U122)+COUNTIF(⑳商品別1食労務費!$C$5:$C$124,$V122)+COUNTIF(⑳商品別1食労務費!$C$5:$C$124,$W122)=$X122,"OK","⑳に無い商品名"))</f>
        <v/>
      </c>
      <c r="AA122" s="334">
        <f>SUMIF(⑳商品別1食労務費!$C$5:$C$124,$R122,⑳商品別1食労務費!$F$5:$F$124)+SUMIF(⑳商品別1食労務費!$C$5:$C$124,$S122,⑳商品別1食労務費!$F$5:$F$124)+SUMIF(⑳商品別1食労務費!$C$5:$C$124,$T122,⑳商品別1食労務費!$F$5:$F$124)+SUMIF(⑳商品別1食労務費!$C$5:$C$124,$U122,⑳商品別1食労務費!$F$5:$F$124)+SUMIF(⑳商品別1食労務費!$C$5:$C$124,$V122,⑳商品別1食労務費!$F$5:$F$124)+SUMIF(⑳商品別1食労務費!$C$5:$C$124,$W122,⑳商品別1食労務費!$F$5:$F$124)</f>
        <v/>
      </c>
      <c r="AB122" s="334">
        <f>IF(ISNUMBER($M122),$M122,0)</f>
        <v/>
      </c>
      <c r="AC122" s="334">
        <f>IF(AND($X122&gt;0,ISNUMBER($J122)),$J122/$X122,"")</f>
        <v/>
      </c>
      <c r="AD122" s="413">
        <f>IF($R122="",0,IF($AA122&gt;0,$AB122*SUMIF(⑳商品別1食労務費!$C$5:$C$124,$R122,⑳商品別1食労務費!$F$5:$F$124)/$AA122,$AB122/$X122))</f>
        <v/>
      </c>
      <c r="AE122" s="413">
        <f>IF($S122="",0,IF($AA122&gt;0,$AB122*SUMIF(⑳商品別1食労務費!$C$5:$C$124,$S122,⑳商品別1食労務費!$F$5:$F$124)/$AA122,$AB122/$X122))</f>
        <v/>
      </c>
      <c r="AF122" s="413">
        <f>IF($T122="",0,IF($AA122&gt;0,$AB122*SUMIF(⑳商品別1食労務費!$C$5:$C$124,$T122,⑳商品別1食労務費!$F$5:$F$124)/$AA122,$AB122/$X122))</f>
        <v/>
      </c>
      <c r="AG122" s="413">
        <f>IF($U122="",0,IF($AA122&gt;0,$AB122*SUMIF(⑳商品別1食労務費!$C$5:$C$124,$U122,⑳商品別1食労務費!$F$5:$F$124)/$AA122,$AB122/$X122))</f>
        <v/>
      </c>
      <c r="AH122" s="413">
        <f>IF($V122="",0,IF($AA122&gt;0,$AB122*SUMIF(⑳商品別1食労務費!$C$5:$C$124,$V122,⑳商品別1食労務費!$F$5:$F$124)/$AA122,$AB122/$X122))</f>
        <v/>
      </c>
      <c r="AI122" s="413">
        <f>IF($W122="",0,IF($AA122&gt;0,$AB122*SUMIF(⑳商品別1食労務費!$C$5:$C$124,$W122,⑳商品別1食労務費!$F$5:$F$124)/$AA122,$AB122/$X122))</f>
        <v/>
      </c>
    </row>
    <row r="123" hidden="1" s="438">
      <c r="A123" s="197" t="n">
        <v>119</v>
      </c>
      <c r="B123" s="198" t="inlineStr">
        <is>
          <t>盛り込み②</t>
        </is>
      </c>
      <c r="C123" s="229" t="n"/>
      <c r="D123" s="190" t="n"/>
      <c r="E123" s="190" t="n"/>
      <c r="F123" s="541">
        <f>IF(OR(D123="",E123=""),"",(E123-D123)*1440)</f>
        <v/>
      </c>
      <c r="G123" s="542" t="n"/>
      <c r="H123" s="542" t="n"/>
      <c r="I123" s="543" t="n"/>
      <c r="J123" s="192" t="n"/>
      <c r="K123" s="544">
        <f>IF(AND(ISNUMBER(F123),I123&gt;0),I123/(F123/60),"")</f>
        <v/>
      </c>
      <c r="L123" s="545" t="n">
        <v>1800</v>
      </c>
      <c r="M123" s="194">
        <f>IF(OR(ISNUMBER(SEARCH("サニテーション",C123)),ISNUMBER(SEARCH("客注",C123)),ISNUMBER(SEARCH("切り替え",C123)),ISNUMBER(SEARCH("切替",C123)),NOT(ISNUMBER(H123))),"",IF(ISNUMBER(G123),G123/60*H123*④前提設定!$B$4,IF(AND(G123="",ISNUMBER(F123)),F123/60*H123*④前提設定!$B$4,"")))</f>
        <v/>
      </c>
      <c r="N123" s="546">
        <f>IF(AND(I123&gt;0,ISNUMBER(M123)),M123/I123,"")</f>
        <v/>
      </c>
      <c r="O123" s="547">
        <f>IF(AND(J123&gt;0,ISNUMBER(M123)),M123/J123,"")</f>
        <v/>
      </c>
      <c r="P123" s="199" t="n"/>
      <c r="Q123" s="200" t="n"/>
      <c r="X123" s="334">
        <f>COUNTA(R123:W123)</f>
        <v/>
      </c>
      <c r="Y123" s="334">
        <f>IF(AND($X123&gt;0,ISNUMBER($M123)),$M123/$X123,"")</f>
        <v/>
      </c>
      <c r="Z123" s="334">
        <f>IF($X123=0,"",IF(COUNTIF(⑳商品別1食労務費!$C$5:$C$124,$R123)+COUNTIF(⑳商品別1食労務費!$C$5:$C$124,$S123)+COUNTIF(⑳商品別1食労務費!$C$5:$C$124,$T123)+COUNTIF(⑳商品別1食労務費!$C$5:$C$124,$U123)+COUNTIF(⑳商品別1食労務費!$C$5:$C$124,$V123)+COUNTIF(⑳商品別1食労務費!$C$5:$C$124,$W123)=$X123,"OK","⑳に無い商品名"))</f>
        <v/>
      </c>
      <c r="AA123" s="334">
        <f>SUMIF(⑳商品別1食労務費!$C$5:$C$124,$R123,⑳商品別1食労務費!$F$5:$F$124)+SUMIF(⑳商品別1食労務費!$C$5:$C$124,$S123,⑳商品別1食労務費!$F$5:$F$124)+SUMIF(⑳商品別1食労務費!$C$5:$C$124,$T123,⑳商品別1食労務費!$F$5:$F$124)+SUMIF(⑳商品別1食労務費!$C$5:$C$124,$U123,⑳商品別1食労務費!$F$5:$F$124)+SUMIF(⑳商品別1食労務費!$C$5:$C$124,$V123,⑳商品別1食労務費!$F$5:$F$124)+SUMIF(⑳商品別1食労務費!$C$5:$C$124,$W123,⑳商品別1食労務費!$F$5:$F$124)</f>
        <v/>
      </c>
      <c r="AB123" s="334">
        <f>IF(ISNUMBER($M123),$M123,0)</f>
        <v/>
      </c>
      <c r="AC123" s="334">
        <f>IF(AND($X123&gt;0,ISNUMBER($J123)),$J123/$X123,"")</f>
        <v/>
      </c>
      <c r="AD123" s="413">
        <f>IF($R123="",0,IF($AA123&gt;0,$AB123*SUMIF(⑳商品別1食労務費!$C$5:$C$124,$R123,⑳商品別1食労務費!$F$5:$F$124)/$AA123,$AB123/$X123))</f>
        <v/>
      </c>
      <c r="AE123" s="413">
        <f>IF($S123="",0,IF($AA123&gt;0,$AB123*SUMIF(⑳商品別1食労務費!$C$5:$C$124,$S123,⑳商品別1食労務費!$F$5:$F$124)/$AA123,$AB123/$X123))</f>
        <v/>
      </c>
      <c r="AF123" s="413">
        <f>IF($T123="",0,IF($AA123&gt;0,$AB123*SUMIF(⑳商品別1食労務費!$C$5:$C$124,$T123,⑳商品別1食労務費!$F$5:$F$124)/$AA123,$AB123/$X123))</f>
        <v/>
      </c>
      <c r="AG123" s="413">
        <f>IF($U123="",0,IF($AA123&gt;0,$AB123*SUMIF(⑳商品別1食労務費!$C$5:$C$124,$U123,⑳商品別1食労務費!$F$5:$F$124)/$AA123,$AB123/$X123))</f>
        <v/>
      </c>
      <c r="AH123" s="413">
        <f>IF($V123="",0,IF($AA123&gt;0,$AB123*SUMIF(⑳商品別1食労務費!$C$5:$C$124,$V123,⑳商品別1食労務費!$F$5:$F$124)/$AA123,$AB123/$X123))</f>
        <v/>
      </c>
      <c r="AI123" s="413">
        <f>IF($W123="",0,IF($AA123&gt;0,$AB123*SUMIF(⑳商品別1食労務費!$C$5:$C$124,$W123,⑳商品別1食労務費!$F$5:$F$124)/$AA123,$AB123/$X123))</f>
        <v/>
      </c>
    </row>
    <row r="124" hidden="1" s="438">
      <c r="A124" s="188" t="n">
        <v>120</v>
      </c>
      <c r="B124" s="189" t="inlineStr">
        <is>
          <t>盛り込み②</t>
        </is>
      </c>
      <c r="C124" s="229" t="n"/>
      <c r="D124" s="190" t="n"/>
      <c r="E124" s="190" t="n"/>
      <c r="F124" s="541">
        <f>IF(OR(D124="",E124=""),"",(E124-D124)*1440)</f>
        <v/>
      </c>
      <c r="G124" s="542" t="n"/>
      <c r="H124" s="542" t="n"/>
      <c r="I124" s="543" t="n"/>
      <c r="J124" s="192" t="n"/>
      <c r="K124" s="544">
        <f>IF(AND(ISNUMBER(F124),I124&gt;0),I124/(F124/60),"")</f>
        <v/>
      </c>
      <c r="L124" s="545" t="n">
        <v>1500</v>
      </c>
      <c r="M124" s="194">
        <f>IF(OR(ISNUMBER(SEARCH("サニテーション",C124)),ISNUMBER(SEARCH("客注",C124)),ISNUMBER(SEARCH("切り替え",C124)),ISNUMBER(SEARCH("切替",C124)),NOT(ISNUMBER(H124))),"",IF(ISNUMBER(G124),G124/60*H124*④前提設定!$B$4,IF(AND(G124="",ISNUMBER(F124)),F124/60*H124*④前提設定!$B$4,"")))</f>
        <v/>
      </c>
      <c r="N124" s="546">
        <f>IF(AND(I124&gt;0,ISNUMBER(M124)),M124/I124,"")</f>
        <v/>
      </c>
      <c r="O124" s="547">
        <f>IF(AND(J124&gt;0,ISNUMBER(M124)),M124/J124,"")</f>
        <v/>
      </c>
      <c r="P124" s="195" t="n"/>
      <c r="Q124" s="196" t="n"/>
      <c r="X124" s="334">
        <f>COUNTA(R124:W124)</f>
        <v/>
      </c>
      <c r="Y124" s="334">
        <f>IF(AND($X124&gt;0,ISNUMBER($M124)),$M124/$X124,"")</f>
        <v/>
      </c>
      <c r="Z124" s="334">
        <f>IF($X124=0,"",IF(COUNTIF(⑳商品別1食労務費!$C$5:$C$124,$R124)+COUNTIF(⑳商品別1食労務費!$C$5:$C$124,$S124)+COUNTIF(⑳商品別1食労務費!$C$5:$C$124,$T124)+COUNTIF(⑳商品別1食労務費!$C$5:$C$124,$U124)+COUNTIF(⑳商品別1食労務費!$C$5:$C$124,$V124)+COUNTIF(⑳商品別1食労務費!$C$5:$C$124,$W124)=$X124,"OK","⑳に無い商品名"))</f>
        <v/>
      </c>
      <c r="AA124" s="334">
        <f>SUMIF(⑳商品別1食労務費!$C$5:$C$124,$R124,⑳商品別1食労務費!$F$5:$F$124)+SUMIF(⑳商品別1食労務費!$C$5:$C$124,$S124,⑳商品別1食労務費!$F$5:$F$124)+SUMIF(⑳商品別1食労務費!$C$5:$C$124,$T124,⑳商品別1食労務費!$F$5:$F$124)+SUMIF(⑳商品別1食労務費!$C$5:$C$124,$U124,⑳商品別1食労務費!$F$5:$F$124)+SUMIF(⑳商品別1食労務費!$C$5:$C$124,$V124,⑳商品別1食労務費!$F$5:$F$124)+SUMIF(⑳商品別1食労務費!$C$5:$C$124,$W124,⑳商品別1食労務費!$F$5:$F$124)</f>
        <v/>
      </c>
      <c r="AB124" s="334">
        <f>IF(ISNUMBER($M124),$M124,0)</f>
        <v/>
      </c>
      <c r="AC124" s="334">
        <f>IF(AND($X124&gt;0,ISNUMBER($J124)),$J124/$X124,"")</f>
        <v/>
      </c>
      <c r="AD124" s="413">
        <f>IF($R124="",0,IF($AA124&gt;0,$AB124*SUMIF(⑳商品別1食労務費!$C$5:$C$124,$R124,⑳商品別1食労務費!$F$5:$F$124)/$AA124,$AB124/$X124))</f>
        <v/>
      </c>
      <c r="AE124" s="413">
        <f>IF($S124="",0,IF($AA124&gt;0,$AB124*SUMIF(⑳商品別1食労務費!$C$5:$C$124,$S124,⑳商品別1食労務費!$F$5:$F$124)/$AA124,$AB124/$X124))</f>
        <v/>
      </c>
      <c r="AF124" s="413">
        <f>IF($T124="",0,IF($AA124&gt;0,$AB124*SUMIF(⑳商品別1食労務費!$C$5:$C$124,$T124,⑳商品別1食労務費!$F$5:$F$124)/$AA124,$AB124/$X124))</f>
        <v/>
      </c>
      <c r="AG124" s="413">
        <f>IF($U124="",0,IF($AA124&gt;0,$AB124*SUMIF(⑳商品別1食労務費!$C$5:$C$124,$U124,⑳商品別1食労務費!$F$5:$F$124)/$AA124,$AB124/$X124))</f>
        <v/>
      </c>
      <c r="AH124" s="413">
        <f>IF($V124="",0,IF($AA124&gt;0,$AB124*SUMIF(⑳商品別1食労務費!$C$5:$C$124,$V124,⑳商品別1食労務費!$F$5:$F$124)/$AA124,$AB124/$X124))</f>
        <v/>
      </c>
      <c r="AI124" s="413">
        <f>IF($W124="",0,IF($AA124&gt;0,$AB124*SUMIF(⑳商品別1食労務費!$C$5:$C$124,$W124,⑳商品別1食労務費!$F$5:$F$124)/$AA124,$AB124/$X124))</f>
        <v/>
      </c>
    </row>
    <row r="125" hidden="1" s="438">
      <c r="A125" s="197" t="n">
        <v>121</v>
      </c>
      <c r="B125" s="198" t="inlineStr">
        <is>
          <t>盛り込み②</t>
        </is>
      </c>
      <c r="C125" s="229" t="n"/>
      <c r="D125" s="190" t="n"/>
      <c r="E125" s="190" t="n"/>
      <c r="F125" s="541">
        <f>IF(OR(D125="",E125=""),"",(E125-D125)*1440)</f>
        <v/>
      </c>
      <c r="G125" s="542" t="n"/>
      <c r="H125" s="542" t="n"/>
      <c r="I125" s="543" t="n"/>
      <c r="J125" s="192" t="n"/>
      <c r="K125" s="544">
        <f>IF(AND(ISNUMBER(F125),I125&gt;0),I125/(F125/60),"")</f>
        <v/>
      </c>
      <c r="L125" s="545" t="n">
        <v>1500</v>
      </c>
      <c r="M125" s="194">
        <f>IF(OR(ISNUMBER(SEARCH("サニテーション",C125)),ISNUMBER(SEARCH("客注",C125)),ISNUMBER(SEARCH("切り替え",C125)),ISNUMBER(SEARCH("切替",C125)),NOT(ISNUMBER(H125))),"",IF(ISNUMBER(G125),G125/60*H125*④前提設定!$B$4,IF(AND(G125="",ISNUMBER(F125)),F125/60*H125*④前提設定!$B$4,"")))</f>
        <v/>
      </c>
      <c r="N125" s="546">
        <f>IF(AND(I125&gt;0,ISNUMBER(M125)),M125/I125,"")</f>
        <v/>
      </c>
      <c r="O125" s="547">
        <f>IF(AND(J125&gt;0,ISNUMBER(M125)),M125/J125,"")</f>
        <v/>
      </c>
      <c r="P125" s="199" t="n"/>
      <c r="Q125" s="200" t="n"/>
      <c r="X125" s="334">
        <f>COUNTA(R125:W125)</f>
        <v/>
      </c>
      <c r="Y125" s="334">
        <f>IF(AND($X125&gt;0,ISNUMBER($M125)),$M125/$X125,"")</f>
        <v/>
      </c>
      <c r="Z125" s="334">
        <f>IF($X125=0,"",IF(COUNTIF(⑳商品別1食労務費!$C$5:$C$124,$R125)+COUNTIF(⑳商品別1食労務費!$C$5:$C$124,$S125)+COUNTIF(⑳商品別1食労務費!$C$5:$C$124,$T125)+COUNTIF(⑳商品別1食労務費!$C$5:$C$124,$U125)+COUNTIF(⑳商品別1食労務費!$C$5:$C$124,$V125)+COUNTIF(⑳商品別1食労務費!$C$5:$C$124,$W125)=$X125,"OK","⑳に無い商品名"))</f>
        <v/>
      </c>
      <c r="AA125" s="334">
        <f>SUMIF(⑳商品別1食労務費!$C$5:$C$124,$R125,⑳商品別1食労務費!$F$5:$F$124)+SUMIF(⑳商品別1食労務費!$C$5:$C$124,$S125,⑳商品別1食労務費!$F$5:$F$124)+SUMIF(⑳商品別1食労務費!$C$5:$C$124,$T125,⑳商品別1食労務費!$F$5:$F$124)+SUMIF(⑳商品別1食労務費!$C$5:$C$124,$U125,⑳商品別1食労務費!$F$5:$F$124)+SUMIF(⑳商品別1食労務費!$C$5:$C$124,$V125,⑳商品別1食労務費!$F$5:$F$124)+SUMIF(⑳商品別1食労務費!$C$5:$C$124,$W125,⑳商品別1食労務費!$F$5:$F$124)</f>
        <v/>
      </c>
      <c r="AB125" s="334">
        <f>IF(ISNUMBER($M125),$M125,0)</f>
        <v/>
      </c>
      <c r="AC125" s="334">
        <f>IF(AND($X125&gt;0,ISNUMBER($J125)),$J125/$X125,"")</f>
        <v/>
      </c>
      <c r="AD125" s="413">
        <f>IF($R125="",0,IF($AA125&gt;0,$AB125*SUMIF(⑳商品別1食労務費!$C$5:$C$124,$R125,⑳商品別1食労務費!$F$5:$F$124)/$AA125,$AB125/$X125))</f>
        <v/>
      </c>
      <c r="AE125" s="413">
        <f>IF($S125="",0,IF($AA125&gt;0,$AB125*SUMIF(⑳商品別1食労務費!$C$5:$C$124,$S125,⑳商品別1食労務費!$F$5:$F$124)/$AA125,$AB125/$X125))</f>
        <v/>
      </c>
      <c r="AF125" s="413">
        <f>IF($T125="",0,IF($AA125&gt;0,$AB125*SUMIF(⑳商品別1食労務費!$C$5:$C$124,$T125,⑳商品別1食労務費!$F$5:$F$124)/$AA125,$AB125/$X125))</f>
        <v/>
      </c>
      <c r="AG125" s="413">
        <f>IF($U125="",0,IF($AA125&gt;0,$AB125*SUMIF(⑳商品別1食労務費!$C$5:$C$124,$U125,⑳商品別1食労務費!$F$5:$F$124)/$AA125,$AB125/$X125))</f>
        <v/>
      </c>
      <c r="AH125" s="413">
        <f>IF($V125="",0,IF($AA125&gt;0,$AB125*SUMIF(⑳商品別1食労務費!$C$5:$C$124,$V125,⑳商品別1食労務費!$F$5:$F$124)/$AA125,$AB125/$X125))</f>
        <v/>
      </c>
      <c r="AI125" s="413">
        <f>IF($W125="",0,IF($AA125&gt;0,$AB125*SUMIF(⑳商品別1食労務費!$C$5:$C$124,$W125,⑳商品別1食労務費!$F$5:$F$124)/$AA125,$AB125/$X125))</f>
        <v/>
      </c>
    </row>
    <row r="126" hidden="1" s="438">
      <c r="A126" s="188" t="n">
        <v>122</v>
      </c>
      <c r="B126" s="189" t="inlineStr">
        <is>
          <t>盛り込み②</t>
        </is>
      </c>
      <c r="C126" s="229" t="n"/>
      <c r="D126" s="190" t="n"/>
      <c r="E126" s="190" t="n"/>
      <c r="F126" s="541">
        <f>IF(OR(D126="",E126=""),"",(E126-D126)*1440)</f>
        <v/>
      </c>
      <c r="G126" s="542" t="n"/>
      <c r="H126" s="542" t="n"/>
      <c r="I126" s="543" t="n"/>
      <c r="J126" s="192" t="n"/>
      <c r="K126" s="544">
        <f>IF(AND(ISNUMBER(F126),I126&gt;0),I126/(F126/60),"")</f>
        <v/>
      </c>
      <c r="L126" s="545" t="n">
        <v>1400</v>
      </c>
      <c r="M126" s="194">
        <f>IF(OR(ISNUMBER(SEARCH("サニテーション",C126)),ISNUMBER(SEARCH("客注",C126)),ISNUMBER(SEARCH("切り替え",C126)),ISNUMBER(SEARCH("切替",C126)),NOT(ISNUMBER(H126))),"",IF(ISNUMBER(G126),G126/60*H126*④前提設定!$B$4,IF(AND(G126="",ISNUMBER(F126)),F126/60*H126*④前提設定!$B$4,"")))</f>
        <v/>
      </c>
      <c r="N126" s="546">
        <f>IF(AND(I126&gt;0,ISNUMBER(M126)),M126/I126,"")</f>
        <v/>
      </c>
      <c r="O126" s="547">
        <f>IF(AND(J126&gt;0,ISNUMBER(M126)),M126/J126,"")</f>
        <v/>
      </c>
      <c r="P126" s="195" t="n"/>
      <c r="Q126" s="196" t="n"/>
      <c r="X126" s="334">
        <f>COUNTA(R126:W126)</f>
        <v/>
      </c>
      <c r="Y126" s="334">
        <f>IF(AND($X126&gt;0,ISNUMBER($M126)),$M126/$X126,"")</f>
        <v/>
      </c>
      <c r="Z126" s="334">
        <f>IF($X126=0,"",IF(COUNTIF(⑳商品別1食労務費!$C$5:$C$124,$R126)+COUNTIF(⑳商品別1食労務費!$C$5:$C$124,$S126)+COUNTIF(⑳商品別1食労務費!$C$5:$C$124,$T126)+COUNTIF(⑳商品別1食労務費!$C$5:$C$124,$U126)+COUNTIF(⑳商品別1食労務費!$C$5:$C$124,$V126)+COUNTIF(⑳商品別1食労務費!$C$5:$C$124,$W126)=$X126,"OK","⑳に無い商品名"))</f>
        <v/>
      </c>
      <c r="AA126" s="334">
        <f>SUMIF(⑳商品別1食労務費!$C$5:$C$124,$R126,⑳商品別1食労務費!$F$5:$F$124)+SUMIF(⑳商品別1食労務費!$C$5:$C$124,$S126,⑳商品別1食労務費!$F$5:$F$124)+SUMIF(⑳商品別1食労務費!$C$5:$C$124,$T126,⑳商品別1食労務費!$F$5:$F$124)+SUMIF(⑳商品別1食労務費!$C$5:$C$124,$U126,⑳商品別1食労務費!$F$5:$F$124)+SUMIF(⑳商品別1食労務費!$C$5:$C$124,$V126,⑳商品別1食労務費!$F$5:$F$124)+SUMIF(⑳商品別1食労務費!$C$5:$C$124,$W126,⑳商品別1食労務費!$F$5:$F$124)</f>
        <v/>
      </c>
      <c r="AB126" s="334">
        <f>IF(ISNUMBER($M126),$M126,0)</f>
        <v/>
      </c>
      <c r="AC126" s="334">
        <f>IF(AND($X126&gt;0,ISNUMBER($J126)),$J126/$X126,"")</f>
        <v/>
      </c>
      <c r="AD126" s="413">
        <f>IF($R126="",0,IF($AA126&gt;0,$AB126*SUMIF(⑳商品別1食労務費!$C$5:$C$124,$R126,⑳商品別1食労務費!$F$5:$F$124)/$AA126,$AB126/$X126))</f>
        <v/>
      </c>
      <c r="AE126" s="413">
        <f>IF($S126="",0,IF($AA126&gt;0,$AB126*SUMIF(⑳商品別1食労務費!$C$5:$C$124,$S126,⑳商品別1食労務費!$F$5:$F$124)/$AA126,$AB126/$X126))</f>
        <v/>
      </c>
      <c r="AF126" s="413">
        <f>IF($T126="",0,IF($AA126&gt;0,$AB126*SUMIF(⑳商品別1食労務費!$C$5:$C$124,$T126,⑳商品別1食労務費!$F$5:$F$124)/$AA126,$AB126/$X126))</f>
        <v/>
      </c>
      <c r="AG126" s="413">
        <f>IF($U126="",0,IF($AA126&gt;0,$AB126*SUMIF(⑳商品別1食労務費!$C$5:$C$124,$U126,⑳商品別1食労務費!$F$5:$F$124)/$AA126,$AB126/$X126))</f>
        <v/>
      </c>
      <c r="AH126" s="413">
        <f>IF($V126="",0,IF($AA126&gt;0,$AB126*SUMIF(⑳商品別1食労務費!$C$5:$C$124,$V126,⑳商品別1食労務費!$F$5:$F$124)/$AA126,$AB126/$X126))</f>
        <v/>
      </c>
      <c r="AI126" s="413">
        <f>IF($W126="",0,IF($AA126&gt;0,$AB126*SUMIF(⑳商品別1食労務費!$C$5:$C$124,$W126,⑳商品別1食労務費!$F$5:$F$124)/$AA126,$AB126/$X126))</f>
        <v/>
      </c>
    </row>
    <row r="127" hidden="1" s="438">
      <c r="A127" s="197" t="n">
        <v>123</v>
      </c>
      <c r="B127" s="198" t="inlineStr">
        <is>
          <t>盛り込み②</t>
        </is>
      </c>
      <c r="C127" s="229" t="n"/>
      <c r="D127" s="190" t="n"/>
      <c r="E127" s="190" t="n"/>
      <c r="F127" s="541">
        <f>IF(OR(D127="",E127=""),"",(E127-D127)*1440)</f>
        <v/>
      </c>
      <c r="G127" s="542" t="n"/>
      <c r="H127" s="542" t="n"/>
      <c r="I127" s="543" t="n"/>
      <c r="J127" s="192" t="n"/>
      <c r="K127" s="544">
        <f>IF(AND(ISNUMBER(F127),I127&gt;0),I127/(F127/60),"")</f>
        <v/>
      </c>
      <c r="L127" s="545" t="n">
        <v>1400</v>
      </c>
      <c r="M127" s="194">
        <f>IF(OR(ISNUMBER(SEARCH("サニテーション",C127)),ISNUMBER(SEARCH("客注",C127)),ISNUMBER(SEARCH("切り替え",C127)),ISNUMBER(SEARCH("切替",C127)),NOT(ISNUMBER(H127))),"",IF(ISNUMBER(G127),G127/60*H127*④前提設定!$B$4,IF(AND(G127="",ISNUMBER(F127)),F127/60*H127*④前提設定!$B$4,"")))</f>
        <v/>
      </c>
      <c r="N127" s="546">
        <f>IF(AND(I127&gt;0,ISNUMBER(M127)),M127/I127,"")</f>
        <v/>
      </c>
      <c r="O127" s="547">
        <f>IF(AND(J127&gt;0,ISNUMBER(M127)),M127/J127,"")</f>
        <v/>
      </c>
      <c r="P127" s="199" t="n"/>
      <c r="Q127" s="200" t="n"/>
      <c r="X127" s="334">
        <f>COUNTA(R127:W127)</f>
        <v/>
      </c>
      <c r="Y127" s="334">
        <f>IF(AND($X127&gt;0,ISNUMBER($M127)),$M127/$X127,"")</f>
        <v/>
      </c>
      <c r="Z127" s="334">
        <f>IF($X127=0,"",IF(COUNTIF(⑳商品別1食労務費!$C$5:$C$124,$R127)+COUNTIF(⑳商品別1食労務費!$C$5:$C$124,$S127)+COUNTIF(⑳商品別1食労務費!$C$5:$C$124,$T127)+COUNTIF(⑳商品別1食労務費!$C$5:$C$124,$U127)+COUNTIF(⑳商品別1食労務費!$C$5:$C$124,$V127)+COUNTIF(⑳商品別1食労務費!$C$5:$C$124,$W127)=$X127,"OK","⑳に無い商品名"))</f>
        <v/>
      </c>
      <c r="AA127" s="334">
        <f>SUMIF(⑳商品別1食労務費!$C$5:$C$124,$R127,⑳商品別1食労務費!$F$5:$F$124)+SUMIF(⑳商品別1食労務費!$C$5:$C$124,$S127,⑳商品別1食労務費!$F$5:$F$124)+SUMIF(⑳商品別1食労務費!$C$5:$C$124,$T127,⑳商品別1食労務費!$F$5:$F$124)+SUMIF(⑳商品別1食労務費!$C$5:$C$124,$U127,⑳商品別1食労務費!$F$5:$F$124)+SUMIF(⑳商品別1食労務費!$C$5:$C$124,$V127,⑳商品別1食労務費!$F$5:$F$124)+SUMIF(⑳商品別1食労務費!$C$5:$C$124,$W127,⑳商品別1食労務費!$F$5:$F$124)</f>
        <v/>
      </c>
      <c r="AB127" s="334">
        <f>IF(ISNUMBER($M127),$M127,0)</f>
        <v/>
      </c>
      <c r="AC127" s="334">
        <f>IF(AND($X127&gt;0,ISNUMBER($J127)),$J127/$X127,"")</f>
        <v/>
      </c>
      <c r="AD127" s="413">
        <f>IF($R127="",0,IF($AA127&gt;0,$AB127*SUMIF(⑳商品別1食労務費!$C$5:$C$124,$R127,⑳商品別1食労務費!$F$5:$F$124)/$AA127,$AB127/$X127))</f>
        <v/>
      </c>
      <c r="AE127" s="413">
        <f>IF($S127="",0,IF($AA127&gt;0,$AB127*SUMIF(⑳商品別1食労務費!$C$5:$C$124,$S127,⑳商品別1食労務費!$F$5:$F$124)/$AA127,$AB127/$X127))</f>
        <v/>
      </c>
      <c r="AF127" s="413">
        <f>IF($T127="",0,IF($AA127&gt;0,$AB127*SUMIF(⑳商品別1食労務費!$C$5:$C$124,$T127,⑳商品別1食労務費!$F$5:$F$124)/$AA127,$AB127/$X127))</f>
        <v/>
      </c>
      <c r="AG127" s="413">
        <f>IF($U127="",0,IF($AA127&gt;0,$AB127*SUMIF(⑳商品別1食労務費!$C$5:$C$124,$U127,⑳商品別1食労務費!$F$5:$F$124)/$AA127,$AB127/$X127))</f>
        <v/>
      </c>
      <c r="AH127" s="413">
        <f>IF($V127="",0,IF($AA127&gt;0,$AB127*SUMIF(⑳商品別1食労務費!$C$5:$C$124,$V127,⑳商品別1食労務費!$F$5:$F$124)/$AA127,$AB127/$X127))</f>
        <v/>
      </c>
      <c r="AI127" s="413">
        <f>IF($W127="",0,IF($AA127&gt;0,$AB127*SUMIF(⑳商品別1食労務費!$C$5:$C$124,$W127,⑳商品別1食労務費!$F$5:$F$124)/$AA127,$AB127/$X127))</f>
        <v/>
      </c>
    </row>
    <row r="128" hidden="1" s="438">
      <c r="A128" s="188" t="n">
        <v>124</v>
      </c>
      <c r="B128" s="189" t="inlineStr">
        <is>
          <t>盛り込み②</t>
        </is>
      </c>
      <c r="C128" s="229" t="n"/>
      <c r="D128" s="190" t="n"/>
      <c r="E128" s="190" t="n"/>
      <c r="F128" s="541">
        <f>IF(OR(D128="",E128=""),"",(E128-D128)*1440)</f>
        <v/>
      </c>
      <c r="G128" s="542" t="n"/>
      <c r="H128" s="542" t="n"/>
      <c r="I128" s="543" t="n"/>
      <c r="J128" s="192" t="n"/>
      <c r="K128" s="544">
        <f>IF(AND(ISNUMBER(F128),I128&gt;0),I128/(F128/60),"")</f>
        <v/>
      </c>
      <c r="L128" s="545" t="n">
        <v>900</v>
      </c>
      <c r="M128" s="194">
        <f>IF(OR(ISNUMBER(SEARCH("サニテーション",C128)),ISNUMBER(SEARCH("客注",C128)),ISNUMBER(SEARCH("切り替え",C128)),ISNUMBER(SEARCH("切替",C128)),NOT(ISNUMBER(H128))),"",IF(ISNUMBER(G128),G128/60*H128*④前提設定!$B$4,IF(AND(G128="",ISNUMBER(F128)),F128/60*H128*④前提設定!$B$4,"")))</f>
        <v/>
      </c>
      <c r="N128" s="546">
        <f>IF(AND(I128&gt;0,ISNUMBER(M128)),M128/I128,"")</f>
        <v/>
      </c>
      <c r="O128" s="547">
        <f>IF(AND(J128&gt;0,ISNUMBER(M128)),M128/J128,"")</f>
        <v/>
      </c>
      <c r="P128" s="195" t="n"/>
      <c r="Q128" s="196" t="n"/>
      <c r="X128" s="334">
        <f>COUNTA(R128:W128)</f>
        <v/>
      </c>
      <c r="Y128" s="334">
        <f>IF(AND($X128&gt;0,ISNUMBER($M128)),$M128/$X128,"")</f>
        <v/>
      </c>
      <c r="Z128" s="334">
        <f>IF($X128=0,"",IF(COUNTIF(⑳商品別1食労務費!$C$5:$C$124,$R128)+COUNTIF(⑳商品別1食労務費!$C$5:$C$124,$S128)+COUNTIF(⑳商品別1食労務費!$C$5:$C$124,$T128)+COUNTIF(⑳商品別1食労務費!$C$5:$C$124,$U128)+COUNTIF(⑳商品別1食労務費!$C$5:$C$124,$V128)+COUNTIF(⑳商品別1食労務費!$C$5:$C$124,$W128)=$X128,"OK","⑳に無い商品名"))</f>
        <v/>
      </c>
      <c r="AA128" s="334">
        <f>SUMIF(⑳商品別1食労務費!$C$5:$C$124,$R128,⑳商品別1食労務費!$F$5:$F$124)+SUMIF(⑳商品別1食労務費!$C$5:$C$124,$S128,⑳商品別1食労務費!$F$5:$F$124)+SUMIF(⑳商品別1食労務費!$C$5:$C$124,$T128,⑳商品別1食労務費!$F$5:$F$124)+SUMIF(⑳商品別1食労務費!$C$5:$C$124,$U128,⑳商品別1食労務費!$F$5:$F$124)+SUMIF(⑳商品別1食労務費!$C$5:$C$124,$V128,⑳商品別1食労務費!$F$5:$F$124)+SUMIF(⑳商品別1食労務費!$C$5:$C$124,$W128,⑳商品別1食労務費!$F$5:$F$124)</f>
        <v/>
      </c>
      <c r="AB128" s="334">
        <f>IF(ISNUMBER($M128),$M128,0)</f>
        <v/>
      </c>
      <c r="AC128" s="334">
        <f>IF(AND($X128&gt;0,ISNUMBER($J128)),$J128/$X128,"")</f>
        <v/>
      </c>
      <c r="AD128" s="413">
        <f>IF($R128="",0,IF($AA128&gt;0,$AB128*SUMIF(⑳商品別1食労務費!$C$5:$C$124,$R128,⑳商品別1食労務費!$F$5:$F$124)/$AA128,$AB128/$X128))</f>
        <v/>
      </c>
      <c r="AE128" s="413">
        <f>IF($S128="",0,IF($AA128&gt;0,$AB128*SUMIF(⑳商品別1食労務費!$C$5:$C$124,$S128,⑳商品別1食労務費!$F$5:$F$124)/$AA128,$AB128/$X128))</f>
        <v/>
      </c>
      <c r="AF128" s="413">
        <f>IF($T128="",0,IF($AA128&gt;0,$AB128*SUMIF(⑳商品別1食労務費!$C$5:$C$124,$T128,⑳商品別1食労務費!$F$5:$F$124)/$AA128,$AB128/$X128))</f>
        <v/>
      </c>
      <c r="AG128" s="413">
        <f>IF($U128="",0,IF($AA128&gt;0,$AB128*SUMIF(⑳商品別1食労務費!$C$5:$C$124,$U128,⑳商品別1食労務費!$F$5:$F$124)/$AA128,$AB128/$X128))</f>
        <v/>
      </c>
      <c r="AH128" s="413">
        <f>IF($V128="",0,IF($AA128&gt;0,$AB128*SUMIF(⑳商品別1食労務費!$C$5:$C$124,$V128,⑳商品別1食労務費!$F$5:$F$124)/$AA128,$AB128/$X128))</f>
        <v/>
      </c>
      <c r="AI128" s="413">
        <f>IF($W128="",0,IF($AA128&gt;0,$AB128*SUMIF(⑳商品別1食労務費!$C$5:$C$124,$W128,⑳商品別1食労務費!$F$5:$F$124)/$AA128,$AB128/$X128))</f>
        <v/>
      </c>
    </row>
    <row r="129" hidden="1" s="438">
      <c r="A129" s="197" t="n">
        <v>125</v>
      </c>
      <c r="B129" s="198" t="inlineStr">
        <is>
          <t>盛り込み②</t>
        </is>
      </c>
      <c r="C129" s="229" t="n"/>
      <c r="D129" s="190" t="n"/>
      <c r="E129" s="190" t="n"/>
      <c r="F129" s="541">
        <f>IF(OR(D129="",E129=""),"",(E129-D129)*1440)</f>
        <v/>
      </c>
      <c r="G129" s="542" t="n"/>
      <c r="H129" s="542" t="n"/>
      <c r="I129" s="543" t="n"/>
      <c r="J129" s="192" t="n"/>
      <c r="K129" s="544">
        <f>IF(AND(ISNUMBER(F129),I129&gt;0),I129/(F129/60),"")</f>
        <v/>
      </c>
      <c r="L129" s="545" t="n">
        <v>800</v>
      </c>
      <c r="M129" s="194">
        <f>IF(OR(ISNUMBER(SEARCH("サニテーション",C129)),ISNUMBER(SEARCH("客注",C129)),ISNUMBER(SEARCH("切り替え",C129)),ISNUMBER(SEARCH("切替",C129)),NOT(ISNUMBER(H129))),"",IF(ISNUMBER(G129),G129/60*H129*④前提設定!$B$4,IF(AND(G129="",ISNUMBER(F129)),F129/60*H129*④前提設定!$B$4,"")))</f>
        <v/>
      </c>
      <c r="N129" s="546">
        <f>IF(AND(I129&gt;0,ISNUMBER(M129)),M129/I129,"")</f>
        <v/>
      </c>
      <c r="O129" s="547">
        <f>IF(AND(J129&gt;0,ISNUMBER(M129)),M129/J129,"")</f>
        <v/>
      </c>
      <c r="P129" s="199" t="n"/>
      <c r="Q129" s="200" t="n"/>
      <c r="X129" s="334">
        <f>COUNTA(R129:W129)</f>
        <v/>
      </c>
      <c r="Y129" s="334">
        <f>IF(AND($X129&gt;0,ISNUMBER($M129)),$M129/$X129,"")</f>
        <v/>
      </c>
      <c r="Z129" s="334">
        <f>IF($X129=0,"",IF(COUNTIF(⑳商品別1食労務費!$C$5:$C$124,$R129)+COUNTIF(⑳商品別1食労務費!$C$5:$C$124,$S129)+COUNTIF(⑳商品別1食労務費!$C$5:$C$124,$T129)+COUNTIF(⑳商品別1食労務費!$C$5:$C$124,$U129)+COUNTIF(⑳商品別1食労務費!$C$5:$C$124,$V129)+COUNTIF(⑳商品別1食労務費!$C$5:$C$124,$W129)=$X129,"OK","⑳に無い商品名"))</f>
        <v/>
      </c>
      <c r="AA129" s="334">
        <f>SUMIF(⑳商品別1食労務費!$C$5:$C$124,$R129,⑳商品別1食労務費!$F$5:$F$124)+SUMIF(⑳商品別1食労務費!$C$5:$C$124,$S129,⑳商品別1食労務費!$F$5:$F$124)+SUMIF(⑳商品別1食労務費!$C$5:$C$124,$T129,⑳商品別1食労務費!$F$5:$F$124)+SUMIF(⑳商品別1食労務費!$C$5:$C$124,$U129,⑳商品別1食労務費!$F$5:$F$124)+SUMIF(⑳商品別1食労務費!$C$5:$C$124,$V129,⑳商品別1食労務費!$F$5:$F$124)+SUMIF(⑳商品別1食労務費!$C$5:$C$124,$W129,⑳商品別1食労務費!$F$5:$F$124)</f>
        <v/>
      </c>
      <c r="AB129" s="334">
        <f>IF(ISNUMBER($M129),$M129,0)</f>
        <v/>
      </c>
      <c r="AC129" s="334">
        <f>IF(AND($X129&gt;0,ISNUMBER($J129)),$J129/$X129,"")</f>
        <v/>
      </c>
      <c r="AD129" s="413">
        <f>IF($R129="",0,IF($AA129&gt;0,$AB129*SUMIF(⑳商品別1食労務費!$C$5:$C$124,$R129,⑳商品別1食労務費!$F$5:$F$124)/$AA129,$AB129/$X129))</f>
        <v/>
      </c>
      <c r="AE129" s="413">
        <f>IF($S129="",0,IF($AA129&gt;0,$AB129*SUMIF(⑳商品別1食労務費!$C$5:$C$124,$S129,⑳商品別1食労務費!$F$5:$F$124)/$AA129,$AB129/$X129))</f>
        <v/>
      </c>
      <c r="AF129" s="413">
        <f>IF($T129="",0,IF($AA129&gt;0,$AB129*SUMIF(⑳商品別1食労務費!$C$5:$C$124,$T129,⑳商品別1食労務費!$F$5:$F$124)/$AA129,$AB129/$X129))</f>
        <v/>
      </c>
      <c r="AG129" s="413">
        <f>IF($U129="",0,IF($AA129&gt;0,$AB129*SUMIF(⑳商品別1食労務費!$C$5:$C$124,$U129,⑳商品別1食労務費!$F$5:$F$124)/$AA129,$AB129/$X129))</f>
        <v/>
      </c>
      <c r="AH129" s="413">
        <f>IF($V129="",0,IF($AA129&gt;0,$AB129*SUMIF(⑳商品別1食労務費!$C$5:$C$124,$V129,⑳商品別1食労務費!$F$5:$F$124)/$AA129,$AB129/$X129))</f>
        <v/>
      </c>
      <c r="AI129" s="413">
        <f>IF($W129="",0,IF($AA129&gt;0,$AB129*SUMIF(⑳商品別1食労務費!$C$5:$C$124,$W129,⑳商品別1食労務費!$F$5:$F$124)/$AA129,$AB129/$X129))</f>
        <v/>
      </c>
    </row>
    <row r="130" hidden="1" s="438">
      <c r="A130" s="188" t="n">
        <v>126</v>
      </c>
      <c r="B130" s="189" t="inlineStr">
        <is>
          <t>盛り込み③</t>
        </is>
      </c>
      <c r="C130" s="229" t="n"/>
      <c r="D130" s="190" t="n"/>
      <c r="E130" s="190" t="n"/>
      <c r="F130" s="541">
        <f>IF(OR(D130="",E130=""),"",(E130-D130)*1440)</f>
        <v/>
      </c>
      <c r="G130" s="542" t="n"/>
      <c r="H130" s="542" t="n"/>
      <c r="I130" s="543" t="n"/>
      <c r="J130" s="192" t="n"/>
      <c r="K130" s="544">
        <f>IF(AND(ISNUMBER(F130),I130&gt;0),I130/(F130/60),"")</f>
        <v/>
      </c>
      <c r="L130" s="545" t="n">
        <v>1100</v>
      </c>
      <c r="M130" s="194">
        <f>IF(OR(ISNUMBER(SEARCH("サニテーション",C130)),ISNUMBER(SEARCH("客注",C130)),ISNUMBER(SEARCH("切り替え",C130)),ISNUMBER(SEARCH("切替",C130)),NOT(ISNUMBER(H130))),"",IF(ISNUMBER(G130),G130/60*H130*④前提設定!$B$4,IF(AND(G130="",ISNUMBER(F130)),F130/60*H130*④前提設定!$B$4,"")))</f>
        <v/>
      </c>
      <c r="N130" s="546">
        <f>IF(AND(I130&gt;0,ISNUMBER(M130)),M130/I130,"")</f>
        <v/>
      </c>
      <c r="O130" s="547">
        <f>IF(AND(J130&gt;0,ISNUMBER(M130)),M130/J130,"")</f>
        <v/>
      </c>
      <c r="P130" s="195" t="n"/>
      <c r="Q130" s="196" t="n"/>
      <c r="X130" s="334">
        <f>COUNTA(R130:W130)</f>
        <v/>
      </c>
      <c r="Y130" s="334">
        <f>IF(AND($X130&gt;0,ISNUMBER($M130)),$M130/$X130,"")</f>
        <v/>
      </c>
      <c r="Z130" s="334">
        <f>IF($X130=0,"",IF(COUNTIF(⑳商品別1食労務費!$C$5:$C$124,$R130)+COUNTIF(⑳商品別1食労務費!$C$5:$C$124,$S130)+COUNTIF(⑳商品別1食労務費!$C$5:$C$124,$T130)+COUNTIF(⑳商品別1食労務費!$C$5:$C$124,$U130)+COUNTIF(⑳商品別1食労務費!$C$5:$C$124,$V130)+COUNTIF(⑳商品別1食労務費!$C$5:$C$124,$W130)=$X130,"OK","⑳に無い商品名"))</f>
        <v/>
      </c>
      <c r="AA130" s="334">
        <f>SUMIF(⑳商品別1食労務費!$C$5:$C$124,$R130,⑳商品別1食労務費!$F$5:$F$124)+SUMIF(⑳商品別1食労務費!$C$5:$C$124,$S130,⑳商品別1食労務費!$F$5:$F$124)+SUMIF(⑳商品別1食労務費!$C$5:$C$124,$T130,⑳商品別1食労務費!$F$5:$F$124)+SUMIF(⑳商品別1食労務費!$C$5:$C$124,$U130,⑳商品別1食労務費!$F$5:$F$124)+SUMIF(⑳商品別1食労務費!$C$5:$C$124,$V130,⑳商品別1食労務費!$F$5:$F$124)+SUMIF(⑳商品別1食労務費!$C$5:$C$124,$W130,⑳商品別1食労務費!$F$5:$F$124)</f>
        <v/>
      </c>
      <c r="AB130" s="334">
        <f>IF(ISNUMBER($M130),$M130,0)</f>
        <v/>
      </c>
      <c r="AC130" s="334">
        <f>IF(AND($X130&gt;0,ISNUMBER($J130)),$J130/$X130,"")</f>
        <v/>
      </c>
      <c r="AD130" s="413">
        <f>IF($R130="",0,IF($AA130&gt;0,$AB130*SUMIF(⑳商品別1食労務費!$C$5:$C$124,$R130,⑳商品別1食労務費!$F$5:$F$124)/$AA130,$AB130/$X130))</f>
        <v/>
      </c>
      <c r="AE130" s="413">
        <f>IF($S130="",0,IF($AA130&gt;0,$AB130*SUMIF(⑳商品別1食労務費!$C$5:$C$124,$S130,⑳商品別1食労務費!$F$5:$F$124)/$AA130,$AB130/$X130))</f>
        <v/>
      </c>
      <c r="AF130" s="413">
        <f>IF($T130="",0,IF($AA130&gt;0,$AB130*SUMIF(⑳商品別1食労務費!$C$5:$C$124,$T130,⑳商品別1食労務費!$F$5:$F$124)/$AA130,$AB130/$X130))</f>
        <v/>
      </c>
      <c r="AG130" s="413">
        <f>IF($U130="",0,IF($AA130&gt;0,$AB130*SUMIF(⑳商品別1食労務費!$C$5:$C$124,$U130,⑳商品別1食労務費!$F$5:$F$124)/$AA130,$AB130/$X130))</f>
        <v/>
      </c>
      <c r="AH130" s="413">
        <f>IF($V130="",0,IF($AA130&gt;0,$AB130*SUMIF(⑳商品別1食労務費!$C$5:$C$124,$V130,⑳商品別1食労務費!$F$5:$F$124)/$AA130,$AB130/$X130))</f>
        <v/>
      </c>
      <c r="AI130" s="413">
        <f>IF($W130="",0,IF($AA130&gt;0,$AB130*SUMIF(⑳商品別1食労務費!$C$5:$C$124,$W130,⑳商品別1食労務費!$F$5:$F$124)/$AA130,$AB130/$X130))</f>
        <v/>
      </c>
    </row>
    <row r="131" hidden="1" s="438">
      <c r="A131" s="197" t="n">
        <v>127</v>
      </c>
      <c r="B131" s="198" t="inlineStr">
        <is>
          <t>盛り込み③</t>
        </is>
      </c>
      <c r="C131" s="229" t="n"/>
      <c r="D131" s="190" t="n"/>
      <c r="E131" s="190" t="n"/>
      <c r="F131" s="541">
        <f>IF(OR(D131="",E131=""),"",(E131-D131)*1440)</f>
        <v/>
      </c>
      <c r="G131" s="542" t="n"/>
      <c r="H131" s="542" t="n"/>
      <c r="I131" s="543" t="n"/>
      <c r="J131" s="192" t="n"/>
      <c r="K131" s="544">
        <f>IF(AND(ISNUMBER(F131),I131&gt;0),I131/(F131/60),"")</f>
        <v/>
      </c>
      <c r="L131" s="545" t="n">
        <v>1100</v>
      </c>
      <c r="M131" s="194">
        <f>IF(OR(ISNUMBER(SEARCH("サニテーション",C131)),ISNUMBER(SEARCH("客注",C131)),ISNUMBER(SEARCH("切り替え",C131)),ISNUMBER(SEARCH("切替",C131)),NOT(ISNUMBER(H131))),"",IF(ISNUMBER(G131),G131/60*H131*④前提設定!$B$4,IF(AND(G131="",ISNUMBER(F131)),F131/60*H131*④前提設定!$B$4,"")))</f>
        <v/>
      </c>
      <c r="N131" s="546">
        <f>IF(AND(I131&gt;0,ISNUMBER(M131)),M131/I131,"")</f>
        <v/>
      </c>
      <c r="O131" s="547">
        <f>IF(AND(J131&gt;0,ISNUMBER(M131)),M131/J131,"")</f>
        <v/>
      </c>
      <c r="P131" s="199" t="n"/>
      <c r="Q131" s="200" t="n"/>
      <c r="X131" s="334">
        <f>COUNTA(R131:W131)</f>
        <v/>
      </c>
      <c r="Y131" s="334">
        <f>IF(AND($X131&gt;0,ISNUMBER($M131)),$M131/$X131,"")</f>
        <v/>
      </c>
      <c r="Z131" s="334">
        <f>IF($X131=0,"",IF(COUNTIF(⑳商品別1食労務費!$C$5:$C$124,$R131)+COUNTIF(⑳商品別1食労務費!$C$5:$C$124,$S131)+COUNTIF(⑳商品別1食労務費!$C$5:$C$124,$T131)+COUNTIF(⑳商品別1食労務費!$C$5:$C$124,$U131)+COUNTIF(⑳商品別1食労務費!$C$5:$C$124,$V131)+COUNTIF(⑳商品別1食労務費!$C$5:$C$124,$W131)=$X131,"OK","⑳に無い商品名"))</f>
        <v/>
      </c>
      <c r="AA131" s="334">
        <f>SUMIF(⑳商品別1食労務費!$C$5:$C$124,$R131,⑳商品別1食労務費!$F$5:$F$124)+SUMIF(⑳商品別1食労務費!$C$5:$C$124,$S131,⑳商品別1食労務費!$F$5:$F$124)+SUMIF(⑳商品別1食労務費!$C$5:$C$124,$T131,⑳商品別1食労務費!$F$5:$F$124)+SUMIF(⑳商品別1食労務費!$C$5:$C$124,$U131,⑳商品別1食労務費!$F$5:$F$124)+SUMIF(⑳商品別1食労務費!$C$5:$C$124,$V131,⑳商品別1食労務費!$F$5:$F$124)+SUMIF(⑳商品別1食労務費!$C$5:$C$124,$W131,⑳商品別1食労務費!$F$5:$F$124)</f>
        <v/>
      </c>
      <c r="AB131" s="334">
        <f>IF(ISNUMBER($M131),$M131,0)</f>
        <v/>
      </c>
      <c r="AC131" s="334">
        <f>IF(AND($X131&gt;0,ISNUMBER($J131)),$J131/$X131,"")</f>
        <v/>
      </c>
      <c r="AD131" s="413">
        <f>IF($R131="",0,IF($AA131&gt;0,$AB131*SUMIF(⑳商品別1食労務費!$C$5:$C$124,$R131,⑳商品別1食労務費!$F$5:$F$124)/$AA131,$AB131/$X131))</f>
        <v/>
      </c>
      <c r="AE131" s="413">
        <f>IF($S131="",0,IF($AA131&gt;0,$AB131*SUMIF(⑳商品別1食労務費!$C$5:$C$124,$S131,⑳商品別1食労務費!$F$5:$F$124)/$AA131,$AB131/$X131))</f>
        <v/>
      </c>
      <c r="AF131" s="413">
        <f>IF($T131="",0,IF($AA131&gt;0,$AB131*SUMIF(⑳商品別1食労務費!$C$5:$C$124,$T131,⑳商品別1食労務費!$F$5:$F$124)/$AA131,$AB131/$X131))</f>
        <v/>
      </c>
      <c r="AG131" s="413">
        <f>IF($U131="",0,IF($AA131&gt;0,$AB131*SUMIF(⑳商品別1食労務費!$C$5:$C$124,$U131,⑳商品別1食労務費!$F$5:$F$124)/$AA131,$AB131/$X131))</f>
        <v/>
      </c>
      <c r="AH131" s="413">
        <f>IF($V131="",0,IF($AA131&gt;0,$AB131*SUMIF(⑳商品別1食労務費!$C$5:$C$124,$V131,⑳商品別1食労務費!$F$5:$F$124)/$AA131,$AB131/$X131))</f>
        <v/>
      </c>
      <c r="AI131" s="413">
        <f>IF($W131="",0,IF($AA131&gt;0,$AB131*SUMIF(⑳商品別1食労務費!$C$5:$C$124,$W131,⑳商品別1食労務費!$F$5:$F$124)/$AA131,$AB131/$X131))</f>
        <v/>
      </c>
    </row>
    <row r="132" hidden="1" s="438">
      <c r="A132" s="188" t="n">
        <v>128</v>
      </c>
      <c r="B132" s="189" t="inlineStr">
        <is>
          <t>盛り込み③</t>
        </is>
      </c>
      <c r="C132" s="229" t="n"/>
      <c r="D132" s="190" t="n"/>
      <c r="E132" s="190" t="n"/>
      <c r="F132" s="541">
        <f>IF(OR(D132="",E132=""),"",(E132-D132)*1440)</f>
        <v/>
      </c>
      <c r="G132" s="542" t="n"/>
      <c r="H132" s="542" t="n"/>
      <c r="I132" s="543" t="n"/>
      <c r="J132" s="192" t="n"/>
      <c r="K132" s="544">
        <f>IF(AND(ISNUMBER(F132),I132&gt;0),I132/(F132/60),"")</f>
        <v/>
      </c>
      <c r="L132" s="545" t="n">
        <v>1000</v>
      </c>
      <c r="M132" s="194">
        <f>IF(OR(ISNUMBER(SEARCH("サニテーション",C132)),ISNUMBER(SEARCH("客注",C132)),ISNUMBER(SEARCH("切り替え",C132)),ISNUMBER(SEARCH("切替",C132)),NOT(ISNUMBER(H132))),"",IF(ISNUMBER(G132),G132/60*H132*④前提設定!$B$4,IF(AND(G132="",ISNUMBER(F132)),F132/60*H132*④前提設定!$B$4,"")))</f>
        <v/>
      </c>
      <c r="N132" s="546">
        <f>IF(AND(I132&gt;0,ISNUMBER(M132)),M132/I132,"")</f>
        <v/>
      </c>
      <c r="O132" s="547">
        <f>IF(AND(J132&gt;0,ISNUMBER(M132)),M132/J132,"")</f>
        <v/>
      </c>
      <c r="P132" s="195" t="n"/>
      <c r="Q132" s="196" t="n"/>
      <c r="X132" s="334">
        <f>COUNTA(R132:W132)</f>
        <v/>
      </c>
      <c r="Y132" s="334">
        <f>IF(AND($X132&gt;0,ISNUMBER($M132)),$M132/$X132,"")</f>
        <v/>
      </c>
      <c r="Z132" s="334">
        <f>IF($X132=0,"",IF(COUNTIF(⑳商品別1食労務費!$C$5:$C$124,$R132)+COUNTIF(⑳商品別1食労務費!$C$5:$C$124,$S132)+COUNTIF(⑳商品別1食労務費!$C$5:$C$124,$T132)+COUNTIF(⑳商品別1食労務費!$C$5:$C$124,$U132)+COUNTIF(⑳商品別1食労務費!$C$5:$C$124,$V132)+COUNTIF(⑳商品別1食労務費!$C$5:$C$124,$W132)=$X132,"OK","⑳に無い商品名"))</f>
        <v/>
      </c>
      <c r="AA132" s="334">
        <f>SUMIF(⑳商品別1食労務費!$C$5:$C$124,$R132,⑳商品別1食労務費!$F$5:$F$124)+SUMIF(⑳商品別1食労務費!$C$5:$C$124,$S132,⑳商品別1食労務費!$F$5:$F$124)+SUMIF(⑳商品別1食労務費!$C$5:$C$124,$T132,⑳商品別1食労務費!$F$5:$F$124)+SUMIF(⑳商品別1食労務費!$C$5:$C$124,$U132,⑳商品別1食労務費!$F$5:$F$124)+SUMIF(⑳商品別1食労務費!$C$5:$C$124,$V132,⑳商品別1食労務費!$F$5:$F$124)+SUMIF(⑳商品別1食労務費!$C$5:$C$124,$W132,⑳商品別1食労務費!$F$5:$F$124)</f>
        <v/>
      </c>
      <c r="AB132" s="334">
        <f>IF(ISNUMBER($M132),$M132,0)</f>
        <v/>
      </c>
      <c r="AC132" s="334">
        <f>IF(AND($X132&gt;0,ISNUMBER($J132)),$J132/$X132,"")</f>
        <v/>
      </c>
      <c r="AD132" s="413">
        <f>IF($R132="",0,IF($AA132&gt;0,$AB132*SUMIF(⑳商品別1食労務費!$C$5:$C$124,$R132,⑳商品別1食労務費!$F$5:$F$124)/$AA132,$AB132/$X132))</f>
        <v/>
      </c>
      <c r="AE132" s="413">
        <f>IF($S132="",0,IF($AA132&gt;0,$AB132*SUMIF(⑳商品別1食労務費!$C$5:$C$124,$S132,⑳商品別1食労務費!$F$5:$F$124)/$AA132,$AB132/$X132))</f>
        <v/>
      </c>
      <c r="AF132" s="413">
        <f>IF($T132="",0,IF($AA132&gt;0,$AB132*SUMIF(⑳商品別1食労務費!$C$5:$C$124,$T132,⑳商品別1食労務費!$F$5:$F$124)/$AA132,$AB132/$X132))</f>
        <v/>
      </c>
      <c r="AG132" s="413">
        <f>IF($U132="",0,IF($AA132&gt;0,$AB132*SUMIF(⑳商品別1食労務費!$C$5:$C$124,$U132,⑳商品別1食労務費!$F$5:$F$124)/$AA132,$AB132/$X132))</f>
        <v/>
      </c>
      <c r="AH132" s="413">
        <f>IF($V132="",0,IF($AA132&gt;0,$AB132*SUMIF(⑳商品別1食労務費!$C$5:$C$124,$V132,⑳商品別1食労務費!$F$5:$F$124)/$AA132,$AB132/$X132))</f>
        <v/>
      </c>
      <c r="AI132" s="413">
        <f>IF($W132="",0,IF($AA132&gt;0,$AB132*SUMIF(⑳商品別1食労務費!$C$5:$C$124,$W132,⑳商品別1食労務費!$F$5:$F$124)/$AA132,$AB132/$X132))</f>
        <v/>
      </c>
    </row>
    <row r="133" hidden="1" s="438">
      <c r="A133" s="197" t="n">
        <v>129</v>
      </c>
      <c r="B133" s="198" t="inlineStr">
        <is>
          <t>盛り込み③</t>
        </is>
      </c>
      <c r="C133" s="229" t="n"/>
      <c r="D133" s="190" t="n"/>
      <c r="E133" s="190" t="n"/>
      <c r="F133" s="541">
        <f>IF(OR(D133="",E133=""),"",(E133-D133)*1440)</f>
        <v/>
      </c>
      <c r="G133" s="542" t="n"/>
      <c r="H133" s="542" t="n"/>
      <c r="I133" s="543" t="n"/>
      <c r="J133" s="192" t="n"/>
      <c r="K133" s="544">
        <f>IF(AND(ISNUMBER(F133),I133&gt;0),I133/(F133/60),"")</f>
        <v/>
      </c>
      <c r="L133" s="545" t="n">
        <v>700</v>
      </c>
      <c r="M133" s="194">
        <f>IF(OR(ISNUMBER(SEARCH("サニテーション",C133)),ISNUMBER(SEARCH("客注",C133)),ISNUMBER(SEARCH("切り替え",C133)),ISNUMBER(SEARCH("切替",C133)),NOT(ISNUMBER(H133))),"",IF(ISNUMBER(G133),G133/60*H133*④前提設定!$B$4,IF(AND(G133="",ISNUMBER(F133)),F133/60*H133*④前提設定!$B$4,"")))</f>
        <v/>
      </c>
      <c r="N133" s="546">
        <f>IF(AND(I133&gt;0,ISNUMBER(M133)),M133/I133,"")</f>
        <v/>
      </c>
      <c r="O133" s="547">
        <f>IF(AND(J133&gt;0,ISNUMBER(M133)),M133/J133,"")</f>
        <v/>
      </c>
      <c r="P133" s="199" t="n"/>
      <c r="Q133" s="200" t="n"/>
      <c r="X133" s="334">
        <f>COUNTA(R133:W133)</f>
        <v/>
      </c>
      <c r="Y133" s="334">
        <f>IF(AND($X133&gt;0,ISNUMBER($M133)),$M133/$X133,"")</f>
        <v/>
      </c>
      <c r="Z133" s="334">
        <f>IF($X133=0,"",IF(COUNTIF(⑳商品別1食労務費!$C$5:$C$124,$R133)+COUNTIF(⑳商品別1食労務費!$C$5:$C$124,$S133)+COUNTIF(⑳商品別1食労務費!$C$5:$C$124,$T133)+COUNTIF(⑳商品別1食労務費!$C$5:$C$124,$U133)+COUNTIF(⑳商品別1食労務費!$C$5:$C$124,$V133)+COUNTIF(⑳商品別1食労務費!$C$5:$C$124,$W133)=$X133,"OK","⑳に無い商品名"))</f>
        <v/>
      </c>
      <c r="AA133" s="334">
        <f>SUMIF(⑳商品別1食労務費!$C$5:$C$124,$R133,⑳商品別1食労務費!$F$5:$F$124)+SUMIF(⑳商品別1食労務費!$C$5:$C$124,$S133,⑳商品別1食労務費!$F$5:$F$124)+SUMIF(⑳商品別1食労務費!$C$5:$C$124,$T133,⑳商品別1食労務費!$F$5:$F$124)+SUMIF(⑳商品別1食労務費!$C$5:$C$124,$U133,⑳商品別1食労務費!$F$5:$F$124)+SUMIF(⑳商品別1食労務費!$C$5:$C$124,$V133,⑳商品別1食労務費!$F$5:$F$124)+SUMIF(⑳商品別1食労務費!$C$5:$C$124,$W133,⑳商品別1食労務費!$F$5:$F$124)</f>
        <v/>
      </c>
      <c r="AB133" s="334">
        <f>IF(ISNUMBER($M133),$M133,0)</f>
        <v/>
      </c>
      <c r="AC133" s="334">
        <f>IF(AND($X133&gt;0,ISNUMBER($J133)),$J133/$X133,"")</f>
        <v/>
      </c>
      <c r="AD133" s="413">
        <f>IF($R133="",0,IF($AA133&gt;0,$AB133*SUMIF(⑳商品別1食労務費!$C$5:$C$124,$R133,⑳商品別1食労務費!$F$5:$F$124)/$AA133,$AB133/$X133))</f>
        <v/>
      </c>
      <c r="AE133" s="413">
        <f>IF($S133="",0,IF($AA133&gt;0,$AB133*SUMIF(⑳商品別1食労務費!$C$5:$C$124,$S133,⑳商品別1食労務費!$F$5:$F$124)/$AA133,$AB133/$X133))</f>
        <v/>
      </c>
      <c r="AF133" s="413">
        <f>IF($T133="",0,IF($AA133&gt;0,$AB133*SUMIF(⑳商品別1食労務費!$C$5:$C$124,$T133,⑳商品別1食労務費!$F$5:$F$124)/$AA133,$AB133/$X133))</f>
        <v/>
      </c>
      <c r="AG133" s="413">
        <f>IF($U133="",0,IF($AA133&gt;0,$AB133*SUMIF(⑳商品別1食労務費!$C$5:$C$124,$U133,⑳商品別1食労務費!$F$5:$F$124)/$AA133,$AB133/$X133))</f>
        <v/>
      </c>
      <c r="AH133" s="413">
        <f>IF($V133="",0,IF($AA133&gt;0,$AB133*SUMIF(⑳商品別1食労務費!$C$5:$C$124,$V133,⑳商品別1食労務費!$F$5:$F$124)/$AA133,$AB133/$X133))</f>
        <v/>
      </c>
      <c r="AI133" s="413">
        <f>IF($W133="",0,IF($AA133&gt;0,$AB133*SUMIF(⑳商品別1食労務費!$C$5:$C$124,$W133,⑳商品別1食労務費!$F$5:$F$124)/$AA133,$AB133/$X133))</f>
        <v/>
      </c>
    </row>
    <row r="134" hidden="1" s="438">
      <c r="A134" s="188" t="n">
        <v>130</v>
      </c>
      <c r="B134" s="189" t="inlineStr">
        <is>
          <t>盛り込み③</t>
        </is>
      </c>
      <c r="C134" s="229" t="n"/>
      <c r="D134" s="190" t="n"/>
      <c r="E134" s="190" t="n"/>
      <c r="F134" s="541">
        <f>IF(OR(D134="",E134=""),"",(E134-D134)*1440)</f>
        <v/>
      </c>
      <c r="G134" s="542" t="n"/>
      <c r="H134" s="542" t="n"/>
      <c r="I134" s="543" t="n"/>
      <c r="J134" s="192" t="n"/>
      <c r="K134" s="544">
        <f>IF(AND(ISNUMBER(F134),I134&gt;0),I134/(F134/60),"")</f>
        <v/>
      </c>
      <c r="L134" s="545" t="n">
        <v>1500</v>
      </c>
      <c r="M134" s="194">
        <f>IF(OR(ISNUMBER(SEARCH("サニテーション",C134)),ISNUMBER(SEARCH("客注",C134)),ISNUMBER(SEARCH("切り替え",C134)),ISNUMBER(SEARCH("切替",C134)),NOT(ISNUMBER(H134))),"",IF(ISNUMBER(G134),G134/60*H134*④前提設定!$B$4,IF(AND(G134="",ISNUMBER(F134)),F134/60*H134*④前提設定!$B$4,"")))</f>
        <v/>
      </c>
      <c r="N134" s="546">
        <f>IF(AND(I134&gt;0,ISNUMBER(M134)),M134/I134,"")</f>
        <v/>
      </c>
      <c r="O134" s="547">
        <f>IF(AND(J134&gt;0,ISNUMBER(M134)),M134/J134,"")</f>
        <v/>
      </c>
      <c r="P134" s="195" t="n"/>
      <c r="Q134" s="196" t="n"/>
      <c r="X134" s="334">
        <f>COUNTA(R134:W134)</f>
        <v/>
      </c>
      <c r="Y134" s="334">
        <f>IF(AND($X134&gt;0,ISNUMBER($M134)),$M134/$X134,"")</f>
        <v/>
      </c>
      <c r="Z134" s="334">
        <f>IF($X134=0,"",IF(COUNTIF(⑳商品別1食労務費!$C$5:$C$124,$R134)+COUNTIF(⑳商品別1食労務費!$C$5:$C$124,$S134)+COUNTIF(⑳商品別1食労務費!$C$5:$C$124,$T134)+COUNTIF(⑳商品別1食労務費!$C$5:$C$124,$U134)+COUNTIF(⑳商品別1食労務費!$C$5:$C$124,$V134)+COUNTIF(⑳商品別1食労務費!$C$5:$C$124,$W134)=$X134,"OK","⑳に無い商品名"))</f>
        <v/>
      </c>
      <c r="AA134" s="334">
        <f>SUMIF(⑳商品別1食労務費!$C$5:$C$124,$R134,⑳商品別1食労務費!$F$5:$F$124)+SUMIF(⑳商品別1食労務費!$C$5:$C$124,$S134,⑳商品別1食労務費!$F$5:$F$124)+SUMIF(⑳商品別1食労務費!$C$5:$C$124,$T134,⑳商品別1食労務費!$F$5:$F$124)+SUMIF(⑳商品別1食労務費!$C$5:$C$124,$U134,⑳商品別1食労務費!$F$5:$F$124)+SUMIF(⑳商品別1食労務費!$C$5:$C$124,$V134,⑳商品別1食労務費!$F$5:$F$124)+SUMIF(⑳商品別1食労務費!$C$5:$C$124,$W134,⑳商品別1食労務費!$F$5:$F$124)</f>
        <v/>
      </c>
      <c r="AB134" s="334">
        <f>IF(ISNUMBER($M134),$M134,0)</f>
        <v/>
      </c>
      <c r="AC134" s="334">
        <f>IF(AND($X134&gt;0,ISNUMBER($J134)),$J134/$X134,"")</f>
        <v/>
      </c>
      <c r="AD134" s="413">
        <f>IF($R134="",0,IF($AA134&gt;0,$AB134*SUMIF(⑳商品別1食労務費!$C$5:$C$124,$R134,⑳商品別1食労務費!$F$5:$F$124)/$AA134,$AB134/$X134))</f>
        <v/>
      </c>
      <c r="AE134" s="413">
        <f>IF($S134="",0,IF($AA134&gt;0,$AB134*SUMIF(⑳商品別1食労務費!$C$5:$C$124,$S134,⑳商品別1食労務費!$F$5:$F$124)/$AA134,$AB134/$X134))</f>
        <v/>
      </c>
      <c r="AF134" s="413">
        <f>IF($T134="",0,IF($AA134&gt;0,$AB134*SUMIF(⑳商品別1食労務費!$C$5:$C$124,$T134,⑳商品別1食労務費!$F$5:$F$124)/$AA134,$AB134/$X134))</f>
        <v/>
      </c>
      <c r="AG134" s="413">
        <f>IF($U134="",0,IF($AA134&gt;0,$AB134*SUMIF(⑳商品別1食労務費!$C$5:$C$124,$U134,⑳商品別1食労務費!$F$5:$F$124)/$AA134,$AB134/$X134))</f>
        <v/>
      </c>
      <c r="AH134" s="413">
        <f>IF($V134="",0,IF($AA134&gt;0,$AB134*SUMIF(⑳商品別1食労務費!$C$5:$C$124,$V134,⑳商品別1食労務費!$F$5:$F$124)/$AA134,$AB134/$X134))</f>
        <v/>
      </c>
      <c r="AI134" s="413">
        <f>IF($W134="",0,IF($AA134&gt;0,$AB134*SUMIF(⑳商品別1食労務費!$C$5:$C$124,$W134,⑳商品別1食労務費!$F$5:$F$124)/$AA134,$AB134/$X134))</f>
        <v/>
      </c>
    </row>
    <row r="135" hidden="1" s="438">
      <c r="A135" s="197" t="n">
        <v>131</v>
      </c>
      <c r="B135" s="198" t="inlineStr">
        <is>
          <t>盛り込み③</t>
        </is>
      </c>
      <c r="C135" s="229" t="n"/>
      <c r="D135" s="190" t="n"/>
      <c r="E135" s="190" t="n"/>
      <c r="F135" s="541">
        <f>IF(OR(D135="",E135=""),"",(E135-D135)*1440)</f>
        <v/>
      </c>
      <c r="G135" s="542" t="n"/>
      <c r="H135" s="542" t="n"/>
      <c r="I135" s="543" t="n"/>
      <c r="J135" s="192" t="n"/>
      <c r="K135" s="544">
        <f>IF(AND(ISNUMBER(F135),I135&gt;0),I135/(F135/60),"")</f>
        <v/>
      </c>
      <c r="L135" s="545" t="n">
        <v>1500</v>
      </c>
      <c r="M135" s="194">
        <f>IF(OR(ISNUMBER(SEARCH("サニテーション",C135)),ISNUMBER(SEARCH("客注",C135)),ISNUMBER(SEARCH("切り替え",C135)),ISNUMBER(SEARCH("切替",C135)),NOT(ISNUMBER(H135))),"",IF(ISNUMBER(G135),G135/60*H135*④前提設定!$B$4,IF(AND(G135="",ISNUMBER(F135)),F135/60*H135*④前提設定!$B$4,"")))</f>
        <v/>
      </c>
      <c r="N135" s="546">
        <f>IF(AND(I135&gt;0,ISNUMBER(M135)),M135/I135,"")</f>
        <v/>
      </c>
      <c r="O135" s="547">
        <f>IF(AND(J135&gt;0,ISNUMBER(M135)),M135/J135,"")</f>
        <v/>
      </c>
      <c r="P135" s="199" t="n"/>
      <c r="Q135" s="200" t="n"/>
      <c r="X135" s="334">
        <f>COUNTA(R135:W135)</f>
        <v/>
      </c>
      <c r="Y135" s="334">
        <f>IF(AND($X135&gt;0,ISNUMBER($M135)),$M135/$X135,"")</f>
        <v/>
      </c>
      <c r="Z135" s="334">
        <f>IF($X135=0,"",IF(COUNTIF(⑳商品別1食労務費!$C$5:$C$124,$R135)+COUNTIF(⑳商品別1食労務費!$C$5:$C$124,$S135)+COUNTIF(⑳商品別1食労務費!$C$5:$C$124,$T135)+COUNTIF(⑳商品別1食労務費!$C$5:$C$124,$U135)+COUNTIF(⑳商品別1食労務費!$C$5:$C$124,$V135)+COUNTIF(⑳商品別1食労務費!$C$5:$C$124,$W135)=$X135,"OK","⑳に無い商品名"))</f>
        <v/>
      </c>
      <c r="AA135" s="334">
        <f>SUMIF(⑳商品別1食労務費!$C$5:$C$124,$R135,⑳商品別1食労務費!$F$5:$F$124)+SUMIF(⑳商品別1食労務費!$C$5:$C$124,$S135,⑳商品別1食労務費!$F$5:$F$124)+SUMIF(⑳商品別1食労務費!$C$5:$C$124,$T135,⑳商品別1食労務費!$F$5:$F$124)+SUMIF(⑳商品別1食労務費!$C$5:$C$124,$U135,⑳商品別1食労務費!$F$5:$F$124)+SUMIF(⑳商品別1食労務費!$C$5:$C$124,$V135,⑳商品別1食労務費!$F$5:$F$124)+SUMIF(⑳商品別1食労務費!$C$5:$C$124,$W135,⑳商品別1食労務費!$F$5:$F$124)</f>
        <v/>
      </c>
      <c r="AB135" s="334">
        <f>IF(ISNUMBER($M135),$M135,0)</f>
        <v/>
      </c>
      <c r="AC135" s="334">
        <f>IF(AND($X135&gt;0,ISNUMBER($J135)),$J135/$X135,"")</f>
        <v/>
      </c>
      <c r="AD135" s="413">
        <f>IF($R135="",0,IF($AA135&gt;0,$AB135*SUMIF(⑳商品別1食労務費!$C$5:$C$124,$R135,⑳商品別1食労務費!$F$5:$F$124)/$AA135,$AB135/$X135))</f>
        <v/>
      </c>
      <c r="AE135" s="413">
        <f>IF($S135="",0,IF($AA135&gt;0,$AB135*SUMIF(⑳商品別1食労務費!$C$5:$C$124,$S135,⑳商品別1食労務費!$F$5:$F$124)/$AA135,$AB135/$X135))</f>
        <v/>
      </c>
      <c r="AF135" s="413">
        <f>IF($T135="",0,IF($AA135&gt;0,$AB135*SUMIF(⑳商品別1食労務費!$C$5:$C$124,$T135,⑳商品別1食労務費!$F$5:$F$124)/$AA135,$AB135/$X135))</f>
        <v/>
      </c>
      <c r="AG135" s="413">
        <f>IF($U135="",0,IF($AA135&gt;0,$AB135*SUMIF(⑳商品別1食労務費!$C$5:$C$124,$U135,⑳商品別1食労務費!$F$5:$F$124)/$AA135,$AB135/$X135))</f>
        <v/>
      </c>
      <c r="AH135" s="413">
        <f>IF($V135="",0,IF($AA135&gt;0,$AB135*SUMIF(⑳商品別1食労務費!$C$5:$C$124,$V135,⑳商品別1食労務費!$F$5:$F$124)/$AA135,$AB135/$X135))</f>
        <v/>
      </c>
      <c r="AI135" s="413">
        <f>IF($W135="",0,IF($AA135&gt;0,$AB135*SUMIF(⑳商品別1食労務費!$C$5:$C$124,$W135,⑳商品別1食労務費!$F$5:$F$124)/$AA135,$AB135/$X135))</f>
        <v/>
      </c>
    </row>
    <row r="136" hidden="1" s="438">
      <c r="A136" s="188" t="n">
        <v>132</v>
      </c>
      <c r="B136" s="189" t="inlineStr">
        <is>
          <t>盛り込み③</t>
        </is>
      </c>
      <c r="C136" s="229" t="n"/>
      <c r="D136" s="190" t="n"/>
      <c r="E136" s="190" t="n"/>
      <c r="F136" s="541">
        <f>IF(OR(D136="",E136=""),"",(E136-D136)*1440)</f>
        <v/>
      </c>
      <c r="G136" s="542" t="n"/>
      <c r="H136" s="542" t="n"/>
      <c r="I136" s="543" t="n"/>
      <c r="J136" s="192" t="n"/>
      <c r="K136" s="544">
        <f>IF(AND(ISNUMBER(F136),I136&gt;0),I136/(F136/60),"")</f>
        <v/>
      </c>
      <c r="L136" s="545" t="n">
        <v>1200</v>
      </c>
      <c r="M136" s="194">
        <f>IF(OR(ISNUMBER(SEARCH("サニテーション",C136)),ISNUMBER(SEARCH("客注",C136)),ISNUMBER(SEARCH("切り替え",C136)),ISNUMBER(SEARCH("切替",C136)),NOT(ISNUMBER(H136))),"",IF(ISNUMBER(G136),G136/60*H136*④前提設定!$B$4,IF(AND(G136="",ISNUMBER(F136)),F136/60*H136*④前提設定!$B$4,"")))</f>
        <v/>
      </c>
      <c r="N136" s="546">
        <f>IF(AND(I136&gt;0,ISNUMBER(M136)),M136/I136,"")</f>
        <v/>
      </c>
      <c r="O136" s="547">
        <f>IF(AND(J136&gt;0,ISNUMBER(M136)),M136/J136,"")</f>
        <v/>
      </c>
      <c r="P136" s="195" t="n"/>
      <c r="Q136" s="196" t="n"/>
      <c r="X136" s="334">
        <f>COUNTA(R136:W136)</f>
        <v/>
      </c>
      <c r="Y136" s="334">
        <f>IF(AND($X136&gt;0,ISNUMBER($M136)),$M136/$X136,"")</f>
        <v/>
      </c>
      <c r="Z136" s="334">
        <f>IF($X136=0,"",IF(COUNTIF(⑳商品別1食労務費!$C$5:$C$124,$R136)+COUNTIF(⑳商品別1食労務費!$C$5:$C$124,$S136)+COUNTIF(⑳商品別1食労務費!$C$5:$C$124,$T136)+COUNTIF(⑳商品別1食労務費!$C$5:$C$124,$U136)+COUNTIF(⑳商品別1食労務費!$C$5:$C$124,$V136)+COUNTIF(⑳商品別1食労務費!$C$5:$C$124,$W136)=$X136,"OK","⑳に無い商品名"))</f>
        <v/>
      </c>
      <c r="AA136" s="334">
        <f>SUMIF(⑳商品別1食労務費!$C$5:$C$124,$R136,⑳商品別1食労務費!$F$5:$F$124)+SUMIF(⑳商品別1食労務費!$C$5:$C$124,$S136,⑳商品別1食労務費!$F$5:$F$124)+SUMIF(⑳商品別1食労務費!$C$5:$C$124,$T136,⑳商品別1食労務費!$F$5:$F$124)+SUMIF(⑳商品別1食労務費!$C$5:$C$124,$U136,⑳商品別1食労務費!$F$5:$F$124)+SUMIF(⑳商品別1食労務費!$C$5:$C$124,$V136,⑳商品別1食労務費!$F$5:$F$124)+SUMIF(⑳商品別1食労務費!$C$5:$C$124,$W136,⑳商品別1食労務費!$F$5:$F$124)</f>
        <v/>
      </c>
      <c r="AB136" s="334">
        <f>IF(ISNUMBER($M136),$M136,0)</f>
        <v/>
      </c>
      <c r="AC136" s="334">
        <f>IF(AND($X136&gt;0,ISNUMBER($J136)),$J136/$X136,"")</f>
        <v/>
      </c>
      <c r="AD136" s="413">
        <f>IF($R136="",0,IF($AA136&gt;0,$AB136*SUMIF(⑳商品別1食労務費!$C$5:$C$124,$R136,⑳商品別1食労務費!$F$5:$F$124)/$AA136,$AB136/$X136))</f>
        <v/>
      </c>
      <c r="AE136" s="413">
        <f>IF($S136="",0,IF($AA136&gt;0,$AB136*SUMIF(⑳商品別1食労務費!$C$5:$C$124,$S136,⑳商品別1食労務費!$F$5:$F$124)/$AA136,$AB136/$X136))</f>
        <v/>
      </c>
      <c r="AF136" s="413">
        <f>IF($T136="",0,IF($AA136&gt;0,$AB136*SUMIF(⑳商品別1食労務費!$C$5:$C$124,$T136,⑳商品別1食労務費!$F$5:$F$124)/$AA136,$AB136/$X136))</f>
        <v/>
      </c>
      <c r="AG136" s="413">
        <f>IF($U136="",0,IF($AA136&gt;0,$AB136*SUMIF(⑳商品別1食労務費!$C$5:$C$124,$U136,⑳商品別1食労務費!$F$5:$F$124)/$AA136,$AB136/$X136))</f>
        <v/>
      </c>
      <c r="AH136" s="413">
        <f>IF($V136="",0,IF($AA136&gt;0,$AB136*SUMIF(⑳商品別1食労務費!$C$5:$C$124,$V136,⑳商品別1食労務費!$F$5:$F$124)/$AA136,$AB136/$X136))</f>
        <v/>
      </c>
      <c r="AI136" s="413">
        <f>IF($W136="",0,IF($AA136&gt;0,$AB136*SUMIF(⑳商品別1食労務費!$C$5:$C$124,$W136,⑳商品別1食労務費!$F$5:$F$124)/$AA136,$AB136/$X136))</f>
        <v/>
      </c>
    </row>
    <row r="137" hidden="1" s="438">
      <c r="A137" s="197" t="n">
        <v>133</v>
      </c>
      <c r="B137" s="198" t="inlineStr">
        <is>
          <t>盛り込み③</t>
        </is>
      </c>
      <c r="C137" s="229" t="n"/>
      <c r="D137" s="190" t="n"/>
      <c r="E137" s="190" t="n"/>
      <c r="F137" s="541">
        <f>IF(OR(D137="",E137=""),"",(E137-D137)*1440)</f>
        <v/>
      </c>
      <c r="G137" s="542" t="n"/>
      <c r="H137" s="542" t="n"/>
      <c r="I137" s="543" t="n"/>
      <c r="J137" s="192" t="n"/>
      <c r="K137" s="544">
        <f>IF(AND(ISNUMBER(F137),I137&gt;0),I137/(F137/60),"")</f>
        <v/>
      </c>
      <c r="L137" s="545" t="n">
        <v>1200</v>
      </c>
      <c r="M137" s="194">
        <f>IF(OR(ISNUMBER(SEARCH("サニテーション",C137)),ISNUMBER(SEARCH("客注",C137)),ISNUMBER(SEARCH("切り替え",C137)),ISNUMBER(SEARCH("切替",C137)),NOT(ISNUMBER(H137))),"",IF(ISNUMBER(G137),G137/60*H137*④前提設定!$B$4,IF(AND(G137="",ISNUMBER(F137)),F137/60*H137*④前提設定!$B$4,"")))</f>
        <v/>
      </c>
      <c r="N137" s="546">
        <f>IF(AND(I137&gt;0,ISNUMBER(M137)),M137/I137,"")</f>
        <v/>
      </c>
      <c r="O137" s="547">
        <f>IF(AND(J137&gt;0,ISNUMBER(M137)),M137/J137,"")</f>
        <v/>
      </c>
      <c r="P137" s="199" t="n"/>
      <c r="Q137" s="200" t="n"/>
      <c r="X137" s="334">
        <f>COUNTA(R137:W137)</f>
        <v/>
      </c>
      <c r="Y137" s="334">
        <f>IF(AND($X137&gt;0,ISNUMBER($M137)),$M137/$X137,"")</f>
        <v/>
      </c>
      <c r="Z137" s="334">
        <f>IF($X137=0,"",IF(COUNTIF(⑳商品別1食労務費!$C$5:$C$124,$R137)+COUNTIF(⑳商品別1食労務費!$C$5:$C$124,$S137)+COUNTIF(⑳商品別1食労務費!$C$5:$C$124,$T137)+COUNTIF(⑳商品別1食労務費!$C$5:$C$124,$U137)+COUNTIF(⑳商品別1食労務費!$C$5:$C$124,$V137)+COUNTIF(⑳商品別1食労務費!$C$5:$C$124,$W137)=$X137,"OK","⑳に無い商品名"))</f>
        <v/>
      </c>
      <c r="AA137" s="334">
        <f>SUMIF(⑳商品別1食労務費!$C$5:$C$124,$R137,⑳商品別1食労務費!$F$5:$F$124)+SUMIF(⑳商品別1食労務費!$C$5:$C$124,$S137,⑳商品別1食労務費!$F$5:$F$124)+SUMIF(⑳商品別1食労務費!$C$5:$C$124,$T137,⑳商品別1食労務費!$F$5:$F$124)+SUMIF(⑳商品別1食労務費!$C$5:$C$124,$U137,⑳商品別1食労務費!$F$5:$F$124)+SUMIF(⑳商品別1食労務費!$C$5:$C$124,$V137,⑳商品別1食労務費!$F$5:$F$124)+SUMIF(⑳商品別1食労務費!$C$5:$C$124,$W137,⑳商品別1食労務費!$F$5:$F$124)</f>
        <v/>
      </c>
      <c r="AB137" s="334">
        <f>IF(ISNUMBER($M137),$M137,0)</f>
        <v/>
      </c>
      <c r="AC137" s="334">
        <f>IF(AND($X137&gt;0,ISNUMBER($J137)),$J137/$X137,"")</f>
        <v/>
      </c>
      <c r="AD137" s="413">
        <f>IF($R137="",0,IF($AA137&gt;0,$AB137*SUMIF(⑳商品別1食労務費!$C$5:$C$124,$R137,⑳商品別1食労務費!$F$5:$F$124)/$AA137,$AB137/$X137))</f>
        <v/>
      </c>
      <c r="AE137" s="413">
        <f>IF($S137="",0,IF($AA137&gt;0,$AB137*SUMIF(⑳商品別1食労務費!$C$5:$C$124,$S137,⑳商品別1食労務費!$F$5:$F$124)/$AA137,$AB137/$X137))</f>
        <v/>
      </c>
      <c r="AF137" s="413">
        <f>IF($T137="",0,IF($AA137&gt;0,$AB137*SUMIF(⑳商品別1食労務費!$C$5:$C$124,$T137,⑳商品別1食労務費!$F$5:$F$124)/$AA137,$AB137/$X137))</f>
        <v/>
      </c>
      <c r="AG137" s="413">
        <f>IF($U137="",0,IF($AA137&gt;0,$AB137*SUMIF(⑳商品別1食労務費!$C$5:$C$124,$U137,⑳商品別1食労務費!$F$5:$F$124)/$AA137,$AB137/$X137))</f>
        <v/>
      </c>
      <c r="AH137" s="413">
        <f>IF($V137="",0,IF($AA137&gt;0,$AB137*SUMIF(⑳商品別1食労務費!$C$5:$C$124,$V137,⑳商品別1食労務費!$F$5:$F$124)/$AA137,$AB137/$X137))</f>
        <v/>
      </c>
      <c r="AI137" s="413">
        <f>IF($W137="",0,IF($AA137&gt;0,$AB137*SUMIF(⑳商品別1食労務費!$C$5:$C$124,$W137,⑳商品別1食労務費!$F$5:$F$124)/$AA137,$AB137/$X137))</f>
        <v/>
      </c>
    </row>
    <row r="138" hidden="1" s="438">
      <c r="A138" s="188" t="n">
        <v>134</v>
      </c>
      <c r="B138" s="189" t="inlineStr">
        <is>
          <t>盛り込み③</t>
        </is>
      </c>
      <c r="C138" s="229" t="n"/>
      <c r="D138" s="190" t="n"/>
      <c r="E138" s="190" t="n"/>
      <c r="F138" s="541">
        <f>IF(OR(D138="",E138=""),"",(E138-D138)*1440)</f>
        <v/>
      </c>
      <c r="G138" s="542" t="n"/>
      <c r="H138" s="542" t="n"/>
      <c r="I138" s="543" t="n"/>
      <c r="J138" s="192" t="n"/>
      <c r="K138" s="544">
        <f>IF(AND(ISNUMBER(F138),I138&gt;0),I138/(F138/60),"")</f>
        <v/>
      </c>
      <c r="L138" s="545" t="n">
        <v>1500</v>
      </c>
      <c r="M138" s="194">
        <f>IF(OR(ISNUMBER(SEARCH("サニテーション",C138)),ISNUMBER(SEARCH("客注",C138)),ISNUMBER(SEARCH("切り替え",C138)),ISNUMBER(SEARCH("切替",C138)),NOT(ISNUMBER(H138))),"",IF(ISNUMBER(G138),G138/60*H138*④前提設定!$B$4,IF(AND(G138="",ISNUMBER(F138)),F138/60*H138*④前提設定!$B$4,"")))</f>
        <v/>
      </c>
      <c r="N138" s="546">
        <f>IF(AND(I138&gt;0,ISNUMBER(M138)),M138/I138,"")</f>
        <v/>
      </c>
      <c r="O138" s="547">
        <f>IF(AND(J138&gt;0,ISNUMBER(M138)),M138/J138,"")</f>
        <v/>
      </c>
      <c r="P138" s="195" t="n"/>
      <c r="Q138" s="196" t="n"/>
      <c r="X138" s="334">
        <f>COUNTA(R138:W138)</f>
        <v/>
      </c>
      <c r="Y138" s="334">
        <f>IF(AND($X138&gt;0,ISNUMBER($M138)),$M138/$X138,"")</f>
        <v/>
      </c>
      <c r="Z138" s="334">
        <f>IF($X138=0,"",IF(COUNTIF(⑳商品別1食労務費!$C$5:$C$124,$R138)+COUNTIF(⑳商品別1食労務費!$C$5:$C$124,$S138)+COUNTIF(⑳商品別1食労務費!$C$5:$C$124,$T138)+COUNTIF(⑳商品別1食労務費!$C$5:$C$124,$U138)+COUNTIF(⑳商品別1食労務費!$C$5:$C$124,$V138)+COUNTIF(⑳商品別1食労務費!$C$5:$C$124,$W138)=$X138,"OK","⑳に無い商品名"))</f>
        <v/>
      </c>
      <c r="AA138" s="334">
        <f>SUMIF(⑳商品別1食労務費!$C$5:$C$124,$R138,⑳商品別1食労務費!$F$5:$F$124)+SUMIF(⑳商品別1食労務費!$C$5:$C$124,$S138,⑳商品別1食労務費!$F$5:$F$124)+SUMIF(⑳商品別1食労務費!$C$5:$C$124,$T138,⑳商品別1食労務費!$F$5:$F$124)+SUMIF(⑳商品別1食労務費!$C$5:$C$124,$U138,⑳商品別1食労務費!$F$5:$F$124)+SUMIF(⑳商品別1食労務費!$C$5:$C$124,$V138,⑳商品別1食労務費!$F$5:$F$124)+SUMIF(⑳商品別1食労務費!$C$5:$C$124,$W138,⑳商品別1食労務費!$F$5:$F$124)</f>
        <v/>
      </c>
      <c r="AB138" s="334">
        <f>IF(ISNUMBER($M138),$M138,0)</f>
        <v/>
      </c>
      <c r="AC138" s="334">
        <f>IF(AND($X138&gt;0,ISNUMBER($J138)),$J138/$X138,"")</f>
        <v/>
      </c>
      <c r="AD138" s="413">
        <f>IF($R138="",0,IF($AA138&gt;0,$AB138*SUMIF(⑳商品別1食労務費!$C$5:$C$124,$R138,⑳商品別1食労務費!$F$5:$F$124)/$AA138,$AB138/$X138))</f>
        <v/>
      </c>
      <c r="AE138" s="413">
        <f>IF($S138="",0,IF($AA138&gt;0,$AB138*SUMIF(⑳商品別1食労務費!$C$5:$C$124,$S138,⑳商品別1食労務費!$F$5:$F$124)/$AA138,$AB138/$X138))</f>
        <v/>
      </c>
      <c r="AF138" s="413">
        <f>IF($T138="",0,IF($AA138&gt;0,$AB138*SUMIF(⑳商品別1食労務費!$C$5:$C$124,$T138,⑳商品別1食労務費!$F$5:$F$124)/$AA138,$AB138/$X138))</f>
        <v/>
      </c>
      <c r="AG138" s="413">
        <f>IF($U138="",0,IF($AA138&gt;0,$AB138*SUMIF(⑳商品別1食労務費!$C$5:$C$124,$U138,⑳商品別1食労務費!$F$5:$F$124)/$AA138,$AB138/$X138))</f>
        <v/>
      </c>
      <c r="AH138" s="413">
        <f>IF($V138="",0,IF($AA138&gt;0,$AB138*SUMIF(⑳商品別1食労務費!$C$5:$C$124,$V138,⑳商品別1食労務費!$F$5:$F$124)/$AA138,$AB138/$X138))</f>
        <v/>
      </c>
      <c r="AI138" s="413">
        <f>IF($W138="",0,IF($AA138&gt;0,$AB138*SUMIF(⑳商品別1食労務費!$C$5:$C$124,$W138,⑳商品別1食労務費!$F$5:$F$124)/$AA138,$AB138/$X138))</f>
        <v/>
      </c>
    </row>
    <row r="139" hidden="1" s="438">
      <c r="A139" s="197" t="n">
        <v>135</v>
      </c>
      <c r="B139" s="198" t="inlineStr">
        <is>
          <t>盛り込み③</t>
        </is>
      </c>
      <c r="C139" s="229" t="n"/>
      <c r="D139" s="190" t="n"/>
      <c r="E139" s="190" t="n"/>
      <c r="F139" s="541">
        <f>IF(OR(D139="",E139=""),"",(E139-D139)*1440)</f>
        <v/>
      </c>
      <c r="G139" s="542" t="n"/>
      <c r="H139" s="542" t="n"/>
      <c r="I139" s="543" t="n"/>
      <c r="J139" s="192" t="n"/>
      <c r="K139" s="544">
        <f>IF(AND(ISNUMBER(F139),I139&gt;0),I139/(F139/60),"")</f>
        <v/>
      </c>
      <c r="L139" s="545" t="n">
        <v>1500</v>
      </c>
      <c r="M139" s="194">
        <f>IF(OR(ISNUMBER(SEARCH("サニテーション",C139)),ISNUMBER(SEARCH("客注",C139)),ISNUMBER(SEARCH("切り替え",C139)),ISNUMBER(SEARCH("切替",C139)),NOT(ISNUMBER(H139))),"",IF(ISNUMBER(G139),G139/60*H139*④前提設定!$B$4,IF(AND(G139="",ISNUMBER(F139)),F139/60*H139*④前提設定!$B$4,"")))</f>
        <v/>
      </c>
      <c r="N139" s="546">
        <f>IF(AND(I139&gt;0,ISNUMBER(M139)),M139/I139,"")</f>
        <v/>
      </c>
      <c r="O139" s="547">
        <f>IF(AND(J139&gt;0,ISNUMBER(M139)),M139/J139,"")</f>
        <v/>
      </c>
      <c r="P139" s="199" t="n"/>
      <c r="Q139" s="200" t="n"/>
      <c r="X139" s="334">
        <f>COUNTA(R139:W139)</f>
        <v/>
      </c>
      <c r="Y139" s="334">
        <f>IF(AND($X139&gt;0,ISNUMBER($M139)),$M139/$X139,"")</f>
        <v/>
      </c>
      <c r="Z139" s="334">
        <f>IF($X139=0,"",IF(COUNTIF(⑳商品別1食労務費!$C$5:$C$124,$R139)+COUNTIF(⑳商品別1食労務費!$C$5:$C$124,$S139)+COUNTIF(⑳商品別1食労務費!$C$5:$C$124,$T139)+COUNTIF(⑳商品別1食労務費!$C$5:$C$124,$U139)+COUNTIF(⑳商品別1食労務費!$C$5:$C$124,$V139)+COUNTIF(⑳商品別1食労務費!$C$5:$C$124,$W139)=$X139,"OK","⑳に無い商品名"))</f>
        <v/>
      </c>
      <c r="AA139" s="334">
        <f>SUMIF(⑳商品別1食労務費!$C$5:$C$124,$R139,⑳商品別1食労務費!$F$5:$F$124)+SUMIF(⑳商品別1食労務費!$C$5:$C$124,$S139,⑳商品別1食労務費!$F$5:$F$124)+SUMIF(⑳商品別1食労務費!$C$5:$C$124,$T139,⑳商品別1食労務費!$F$5:$F$124)+SUMIF(⑳商品別1食労務費!$C$5:$C$124,$U139,⑳商品別1食労務費!$F$5:$F$124)+SUMIF(⑳商品別1食労務費!$C$5:$C$124,$V139,⑳商品別1食労務費!$F$5:$F$124)+SUMIF(⑳商品別1食労務費!$C$5:$C$124,$W139,⑳商品別1食労務費!$F$5:$F$124)</f>
        <v/>
      </c>
      <c r="AB139" s="334">
        <f>IF(ISNUMBER($M139),$M139,0)</f>
        <v/>
      </c>
      <c r="AC139" s="334">
        <f>IF(AND($X139&gt;0,ISNUMBER($J139)),$J139/$X139,"")</f>
        <v/>
      </c>
      <c r="AD139" s="413">
        <f>IF($R139="",0,IF($AA139&gt;0,$AB139*SUMIF(⑳商品別1食労務費!$C$5:$C$124,$R139,⑳商品別1食労務費!$F$5:$F$124)/$AA139,$AB139/$X139))</f>
        <v/>
      </c>
      <c r="AE139" s="413">
        <f>IF($S139="",0,IF($AA139&gt;0,$AB139*SUMIF(⑳商品別1食労務費!$C$5:$C$124,$S139,⑳商品別1食労務費!$F$5:$F$124)/$AA139,$AB139/$X139))</f>
        <v/>
      </c>
      <c r="AF139" s="413">
        <f>IF($T139="",0,IF($AA139&gt;0,$AB139*SUMIF(⑳商品別1食労務費!$C$5:$C$124,$T139,⑳商品別1食労務費!$F$5:$F$124)/$AA139,$AB139/$X139))</f>
        <v/>
      </c>
      <c r="AG139" s="413">
        <f>IF($U139="",0,IF($AA139&gt;0,$AB139*SUMIF(⑳商品別1食労務費!$C$5:$C$124,$U139,⑳商品別1食労務費!$F$5:$F$124)/$AA139,$AB139/$X139))</f>
        <v/>
      </c>
      <c r="AH139" s="413">
        <f>IF($V139="",0,IF($AA139&gt;0,$AB139*SUMIF(⑳商品別1食労務費!$C$5:$C$124,$V139,⑳商品別1食労務費!$F$5:$F$124)/$AA139,$AB139/$X139))</f>
        <v/>
      </c>
      <c r="AI139" s="413">
        <f>IF($W139="",0,IF($AA139&gt;0,$AB139*SUMIF(⑳商品別1食労務費!$C$5:$C$124,$W139,⑳商品別1食労務費!$F$5:$F$124)/$AA139,$AB139/$X139))</f>
        <v/>
      </c>
    </row>
    <row r="140" hidden="1" s="438">
      <c r="A140" s="188" t="n">
        <v>136</v>
      </c>
      <c r="B140" s="189" t="inlineStr">
        <is>
          <t>盛り込み③</t>
        </is>
      </c>
      <c r="C140" s="229" t="n"/>
      <c r="D140" s="190" t="n"/>
      <c r="E140" s="190" t="n"/>
      <c r="F140" s="541">
        <f>IF(OR(D140="",E140=""),"",(E140-D140)*1440)</f>
        <v/>
      </c>
      <c r="G140" s="542" t="n"/>
      <c r="H140" s="542" t="n"/>
      <c r="I140" s="543" t="n"/>
      <c r="J140" s="192" t="n"/>
      <c r="K140" s="544">
        <f>IF(AND(ISNUMBER(F140),I140&gt;0),I140/(F140/60),"")</f>
        <v/>
      </c>
      <c r="L140" s="545" t="n">
        <v>1200</v>
      </c>
      <c r="M140" s="194">
        <f>IF(OR(ISNUMBER(SEARCH("サニテーション",C140)),ISNUMBER(SEARCH("客注",C140)),ISNUMBER(SEARCH("切り替え",C140)),ISNUMBER(SEARCH("切替",C140)),NOT(ISNUMBER(H140))),"",IF(ISNUMBER(G140),G140/60*H140*④前提設定!$B$4,IF(AND(G140="",ISNUMBER(F140)),F140/60*H140*④前提設定!$B$4,"")))</f>
        <v/>
      </c>
      <c r="N140" s="546">
        <f>IF(AND(I140&gt;0,ISNUMBER(M140)),M140/I140,"")</f>
        <v/>
      </c>
      <c r="O140" s="547">
        <f>IF(AND(J140&gt;0,ISNUMBER(M140)),M140/J140,"")</f>
        <v/>
      </c>
      <c r="P140" s="195" t="n"/>
      <c r="Q140" s="196" t="n"/>
      <c r="X140" s="334">
        <f>COUNTA(R140:W140)</f>
        <v/>
      </c>
      <c r="Y140" s="334">
        <f>IF(AND($X140&gt;0,ISNUMBER($M140)),$M140/$X140,"")</f>
        <v/>
      </c>
      <c r="Z140" s="334">
        <f>IF($X140=0,"",IF(COUNTIF(⑳商品別1食労務費!$C$5:$C$124,$R140)+COUNTIF(⑳商品別1食労務費!$C$5:$C$124,$S140)+COUNTIF(⑳商品別1食労務費!$C$5:$C$124,$T140)+COUNTIF(⑳商品別1食労務費!$C$5:$C$124,$U140)+COUNTIF(⑳商品別1食労務費!$C$5:$C$124,$V140)+COUNTIF(⑳商品別1食労務費!$C$5:$C$124,$W140)=$X140,"OK","⑳に無い商品名"))</f>
        <v/>
      </c>
      <c r="AA140" s="334">
        <f>SUMIF(⑳商品別1食労務費!$C$5:$C$124,$R140,⑳商品別1食労務費!$F$5:$F$124)+SUMIF(⑳商品別1食労務費!$C$5:$C$124,$S140,⑳商品別1食労務費!$F$5:$F$124)+SUMIF(⑳商品別1食労務費!$C$5:$C$124,$T140,⑳商品別1食労務費!$F$5:$F$124)+SUMIF(⑳商品別1食労務費!$C$5:$C$124,$U140,⑳商品別1食労務費!$F$5:$F$124)+SUMIF(⑳商品別1食労務費!$C$5:$C$124,$V140,⑳商品別1食労務費!$F$5:$F$124)+SUMIF(⑳商品別1食労務費!$C$5:$C$124,$W140,⑳商品別1食労務費!$F$5:$F$124)</f>
        <v/>
      </c>
      <c r="AB140" s="334">
        <f>IF(ISNUMBER($M140),$M140,0)</f>
        <v/>
      </c>
      <c r="AC140" s="334">
        <f>IF(AND($X140&gt;0,ISNUMBER($J140)),$J140/$X140,"")</f>
        <v/>
      </c>
      <c r="AD140" s="413">
        <f>IF($R140="",0,IF($AA140&gt;0,$AB140*SUMIF(⑳商品別1食労務費!$C$5:$C$124,$R140,⑳商品別1食労務費!$F$5:$F$124)/$AA140,$AB140/$X140))</f>
        <v/>
      </c>
      <c r="AE140" s="413">
        <f>IF($S140="",0,IF($AA140&gt;0,$AB140*SUMIF(⑳商品別1食労務費!$C$5:$C$124,$S140,⑳商品別1食労務費!$F$5:$F$124)/$AA140,$AB140/$X140))</f>
        <v/>
      </c>
      <c r="AF140" s="413">
        <f>IF($T140="",0,IF($AA140&gt;0,$AB140*SUMIF(⑳商品別1食労務費!$C$5:$C$124,$T140,⑳商品別1食労務費!$F$5:$F$124)/$AA140,$AB140/$X140))</f>
        <v/>
      </c>
      <c r="AG140" s="413">
        <f>IF($U140="",0,IF($AA140&gt;0,$AB140*SUMIF(⑳商品別1食労務費!$C$5:$C$124,$U140,⑳商品別1食労務費!$F$5:$F$124)/$AA140,$AB140/$X140))</f>
        <v/>
      </c>
      <c r="AH140" s="413">
        <f>IF($V140="",0,IF($AA140&gt;0,$AB140*SUMIF(⑳商品別1食労務費!$C$5:$C$124,$V140,⑳商品別1食労務費!$F$5:$F$124)/$AA140,$AB140/$X140))</f>
        <v/>
      </c>
      <c r="AI140" s="413">
        <f>IF($W140="",0,IF($AA140&gt;0,$AB140*SUMIF(⑳商品別1食労務費!$C$5:$C$124,$W140,⑳商品別1食労務費!$F$5:$F$124)/$AA140,$AB140/$X140))</f>
        <v/>
      </c>
    </row>
    <row r="141" hidden="1" s="438">
      <c r="A141" s="197" t="n">
        <v>137</v>
      </c>
      <c r="B141" s="198" t="inlineStr">
        <is>
          <t>盛り込み③</t>
        </is>
      </c>
      <c r="C141" s="229" t="n"/>
      <c r="D141" s="190" t="n"/>
      <c r="E141" s="190" t="n"/>
      <c r="F141" s="541">
        <f>IF(OR(D141="",E141=""),"",(E141-D141)*1440)</f>
        <v/>
      </c>
      <c r="G141" s="542" t="n"/>
      <c r="H141" s="542" t="n"/>
      <c r="I141" s="543" t="n"/>
      <c r="J141" s="192" t="n"/>
      <c r="K141" s="544">
        <f>IF(AND(ISNUMBER(F141),I141&gt;0),I141/(F141/60),"")</f>
        <v/>
      </c>
      <c r="L141" s="545" t="n">
        <v>1200</v>
      </c>
      <c r="M141" s="194">
        <f>IF(OR(ISNUMBER(SEARCH("サニテーション",C141)),ISNUMBER(SEARCH("客注",C141)),ISNUMBER(SEARCH("切り替え",C141)),ISNUMBER(SEARCH("切替",C141)),NOT(ISNUMBER(H141))),"",IF(ISNUMBER(G141),G141/60*H141*④前提設定!$B$4,IF(AND(G141="",ISNUMBER(F141)),F141/60*H141*④前提設定!$B$4,"")))</f>
        <v/>
      </c>
      <c r="N141" s="546">
        <f>IF(AND(I141&gt;0,ISNUMBER(M141)),M141/I141,"")</f>
        <v/>
      </c>
      <c r="O141" s="547">
        <f>IF(AND(J141&gt;0,ISNUMBER(M141)),M141/J141,"")</f>
        <v/>
      </c>
      <c r="P141" s="199" t="n"/>
      <c r="Q141" s="200" t="n"/>
      <c r="X141" s="334">
        <f>COUNTA(R141:W141)</f>
        <v/>
      </c>
      <c r="Y141" s="334">
        <f>IF(AND($X141&gt;0,ISNUMBER($M141)),$M141/$X141,"")</f>
        <v/>
      </c>
      <c r="Z141" s="334">
        <f>IF($X141=0,"",IF(COUNTIF(⑳商品別1食労務費!$C$5:$C$124,$R141)+COUNTIF(⑳商品別1食労務費!$C$5:$C$124,$S141)+COUNTIF(⑳商品別1食労務費!$C$5:$C$124,$T141)+COUNTIF(⑳商品別1食労務費!$C$5:$C$124,$U141)+COUNTIF(⑳商品別1食労務費!$C$5:$C$124,$V141)+COUNTIF(⑳商品別1食労務費!$C$5:$C$124,$W141)=$X141,"OK","⑳に無い商品名"))</f>
        <v/>
      </c>
      <c r="AA141" s="334">
        <f>SUMIF(⑳商品別1食労務費!$C$5:$C$124,$R141,⑳商品別1食労務費!$F$5:$F$124)+SUMIF(⑳商品別1食労務費!$C$5:$C$124,$S141,⑳商品別1食労務費!$F$5:$F$124)+SUMIF(⑳商品別1食労務費!$C$5:$C$124,$T141,⑳商品別1食労務費!$F$5:$F$124)+SUMIF(⑳商品別1食労務費!$C$5:$C$124,$U141,⑳商品別1食労務費!$F$5:$F$124)+SUMIF(⑳商品別1食労務費!$C$5:$C$124,$V141,⑳商品別1食労務費!$F$5:$F$124)+SUMIF(⑳商品別1食労務費!$C$5:$C$124,$W141,⑳商品別1食労務費!$F$5:$F$124)</f>
        <v/>
      </c>
      <c r="AB141" s="334">
        <f>IF(ISNUMBER($M141),$M141,0)</f>
        <v/>
      </c>
      <c r="AC141" s="334">
        <f>IF(AND($X141&gt;0,ISNUMBER($J141)),$J141/$X141,"")</f>
        <v/>
      </c>
      <c r="AD141" s="413">
        <f>IF($R141="",0,IF($AA141&gt;0,$AB141*SUMIF(⑳商品別1食労務費!$C$5:$C$124,$R141,⑳商品別1食労務費!$F$5:$F$124)/$AA141,$AB141/$X141))</f>
        <v/>
      </c>
      <c r="AE141" s="413">
        <f>IF($S141="",0,IF($AA141&gt;0,$AB141*SUMIF(⑳商品別1食労務費!$C$5:$C$124,$S141,⑳商品別1食労務費!$F$5:$F$124)/$AA141,$AB141/$X141))</f>
        <v/>
      </c>
      <c r="AF141" s="413">
        <f>IF($T141="",0,IF($AA141&gt;0,$AB141*SUMIF(⑳商品別1食労務費!$C$5:$C$124,$T141,⑳商品別1食労務費!$F$5:$F$124)/$AA141,$AB141/$X141))</f>
        <v/>
      </c>
      <c r="AG141" s="413">
        <f>IF($U141="",0,IF($AA141&gt;0,$AB141*SUMIF(⑳商品別1食労務費!$C$5:$C$124,$U141,⑳商品別1食労務費!$F$5:$F$124)/$AA141,$AB141/$X141))</f>
        <v/>
      </c>
      <c r="AH141" s="413">
        <f>IF($V141="",0,IF($AA141&gt;0,$AB141*SUMIF(⑳商品別1食労務費!$C$5:$C$124,$V141,⑳商品別1食労務費!$F$5:$F$124)/$AA141,$AB141/$X141))</f>
        <v/>
      </c>
      <c r="AI141" s="413">
        <f>IF($W141="",0,IF($AA141&gt;0,$AB141*SUMIF(⑳商品別1食労務費!$C$5:$C$124,$W141,⑳商品別1食労務費!$F$5:$F$124)/$AA141,$AB141/$X141))</f>
        <v/>
      </c>
    </row>
    <row r="142" hidden="1" s="438">
      <c r="A142" s="188" t="n">
        <v>138</v>
      </c>
      <c r="B142" s="189" t="inlineStr">
        <is>
          <t>盛り込み③</t>
        </is>
      </c>
      <c r="C142" s="229" t="n"/>
      <c r="D142" s="190" t="n"/>
      <c r="E142" s="190" t="n"/>
      <c r="F142" s="541">
        <f>IF(OR(D142="",E142=""),"",(E142-D142)*1440)</f>
        <v/>
      </c>
      <c r="G142" s="542" t="n"/>
      <c r="H142" s="542" t="n"/>
      <c r="I142" s="543" t="n"/>
      <c r="J142" s="192" t="n"/>
      <c r="K142" s="544">
        <f>IF(AND(ISNUMBER(F142),I142&gt;0),I142/(F142/60),"")</f>
        <v/>
      </c>
      <c r="L142" s="545" t="n">
        <v>1200</v>
      </c>
      <c r="M142" s="194">
        <f>IF(OR(ISNUMBER(SEARCH("サニテーション",C142)),ISNUMBER(SEARCH("客注",C142)),ISNUMBER(SEARCH("切り替え",C142)),ISNUMBER(SEARCH("切替",C142)),NOT(ISNUMBER(H142))),"",IF(ISNUMBER(G142),G142/60*H142*④前提設定!$B$4,IF(AND(G142="",ISNUMBER(F142)),F142/60*H142*④前提設定!$B$4,"")))</f>
        <v/>
      </c>
      <c r="N142" s="546">
        <f>IF(AND(I142&gt;0,ISNUMBER(M142)),M142/I142,"")</f>
        <v/>
      </c>
      <c r="O142" s="547">
        <f>IF(AND(J142&gt;0,ISNUMBER(M142)),M142/J142,"")</f>
        <v/>
      </c>
      <c r="P142" s="195" t="n"/>
      <c r="Q142" s="196" t="n"/>
      <c r="X142" s="334">
        <f>COUNTA(R142:W142)</f>
        <v/>
      </c>
      <c r="Y142" s="334">
        <f>IF(AND($X142&gt;0,ISNUMBER($M142)),$M142/$X142,"")</f>
        <v/>
      </c>
      <c r="Z142" s="334">
        <f>IF($X142=0,"",IF(COUNTIF(⑳商品別1食労務費!$C$5:$C$124,$R142)+COUNTIF(⑳商品別1食労務費!$C$5:$C$124,$S142)+COUNTIF(⑳商品別1食労務費!$C$5:$C$124,$T142)+COUNTIF(⑳商品別1食労務費!$C$5:$C$124,$U142)+COUNTIF(⑳商品別1食労務費!$C$5:$C$124,$V142)+COUNTIF(⑳商品別1食労務費!$C$5:$C$124,$W142)=$X142,"OK","⑳に無い商品名"))</f>
        <v/>
      </c>
      <c r="AA142" s="334">
        <f>SUMIF(⑳商品別1食労務費!$C$5:$C$124,$R142,⑳商品別1食労務費!$F$5:$F$124)+SUMIF(⑳商品別1食労務費!$C$5:$C$124,$S142,⑳商品別1食労務費!$F$5:$F$124)+SUMIF(⑳商品別1食労務費!$C$5:$C$124,$T142,⑳商品別1食労務費!$F$5:$F$124)+SUMIF(⑳商品別1食労務費!$C$5:$C$124,$U142,⑳商品別1食労務費!$F$5:$F$124)+SUMIF(⑳商品別1食労務費!$C$5:$C$124,$V142,⑳商品別1食労務費!$F$5:$F$124)+SUMIF(⑳商品別1食労務費!$C$5:$C$124,$W142,⑳商品別1食労務費!$F$5:$F$124)</f>
        <v/>
      </c>
      <c r="AB142" s="334">
        <f>IF(ISNUMBER($M142),$M142,0)</f>
        <v/>
      </c>
      <c r="AC142" s="334">
        <f>IF(AND($X142&gt;0,ISNUMBER($J142)),$J142/$X142,"")</f>
        <v/>
      </c>
      <c r="AD142" s="413">
        <f>IF($R142="",0,IF($AA142&gt;0,$AB142*SUMIF(⑳商品別1食労務費!$C$5:$C$124,$R142,⑳商品別1食労務費!$F$5:$F$124)/$AA142,$AB142/$X142))</f>
        <v/>
      </c>
      <c r="AE142" s="413">
        <f>IF($S142="",0,IF($AA142&gt;0,$AB142*SUMIF(⑳商品別1食労務費!$C$5:$C$124,$S142,⑳商品別1食労務費!$F$5:$F$124)/$AA142,$AB142/$X142))</f>
        <v/>
      </c>
      <c r="AF142" s="413">
        <f>IF($T142="",0,IF($AA142&gt;0,$AB142*SUMIF(⑳商品別1食労務費!$C$5:$C$124,$T142,⑳商品別1食労務費!$F$5:$F$124)/$AA142,$AB142/$X142))</f>
        <v/>
      </c>
      <c r="AG142" s="413">
        <f>IF($U142="",0,IF($AA142&gt;0,$AB142*SUMIF(⑳商品別1食労務費!$C$5:$C$124,$U142,⑳商品別1食労務費!$F$5:$F$124)/$AA142,$AB142/$X142))</f>
        <v/>
      </c>
      <c r="AH142" s="413">
        <f>IF($V142="",0,IF($AA142&gt;0,$AB142*SUMIF(⑳商品別1食労務費!$C$5:$C$124,$V142,⑳商品別1食労務費!$F$5:$F$124)/$AA142,$AB142/$X142))</f>
        <v/>
      </c>
      <c r="AI142" s="413">
        <f>IF($W142="",0,IF($AA142&gt;0,$AB142*SUMIF(⑳商品別1食労務費!$C$5:$C$124,$W142,⑳商品別1食労務費!$F$5:$F$124)/$AA142,$AB142/$X142))</f>
        <v/>
      </c>
    </row>
    <row r="143" hidden="1" s="438">
      <c r="A143" s="197" t="n">
        <v>139</v>
      </c>
      <c r="B143" s="198" t="inlineStr">
        <is>
          <t>盛り込み③</t>
        </is>
      </c>
      <c r="C143" s="229" t="n"/>
      <c r="D143" s="190" t="n"/>
      <c r="E143" s="190" t="n"/>
      <c r="F143" s="541">
        <f>IF(OR(D143="",E143=""),"",(E143-D143)*1440)</f>
        <v/>
      </c>
      <c r="G143" s="542" t="n"/>
      <c r="H143" s="542" t="n"/>
      <c r="I143" s="543" t="n"/>
      <c r="J143" s="192" t="n"/>
      <c r="K143" s="544">
        <f>IF(AND(ISNUMBER(F143),I143&gt;0),I143/(F143/60),"")</f>
        <v/>
      </c>
      <c r="L143" s="545" t="n">
        <v>1000</v>
      </c>
      <c r="M143" s="194">
        <f>IF(OR(ISNUMBER(SEARCH("サニテーション",C143)),ISNUMBER(SEARCH("客注",C143)),ISNUMBER(SEARCH("切り替え",C143)),ISNUMBER(SEARCH("切替",C143)),NOT(ISNUMBER(H143))),"",IF(ISNUMBER(G143),G143/60*H143*④前提設定!$B$4,IF(AND(G143="",ISNUMBER(F143)),F143/60*H143*④前提設定!$B$4,"")))</f>
        <v/>
      </c>
      <c r="N143" s="546">
        <f>IF(AND(I143&gt;0,ISNUMBER(M143)),M143/I143,"")</f>
        <v/>
      </c>
      <c r="O143" s="547">
        <f>IF(AND(J143&gt;0,ISNUMBER(M143)),M143/J143,"")</f>
        <v/>
      </c>
      <c r="P143" s="199" t="n"/>
      <c r="Q143" s="200" t="n"/>
      <c r="X143" s="334">
        <f>COUNTA(R143:W143)</f>
        <v/>
      </c>
      <c r="Y143" s="334">
        <f>IF(AND($X143&gt;0,ISNUMBER($M143)),$M143/$X143,"")</f>
        <v/>
      </c>
      <c r="Z143" s="334">
        <f>IF($X143=0,"",IF(COUNTIF(⑳商品別1食労務費!$C$5:$C$124,$R143)+COUNTIF(⑳商品別1食労務費!$C$5:$C$124,$S143)+COUNTIF(⑳商品別1食労務費!$C$5:$C$124,$T143)+COUNTIF(⑳商品別1食労務費!$C$5:$C$124,$U143)+COUNTIF(⑳商品別1食労務費!$C$5:$C$124,$V143)+COUNTIF(⑳商品別1食労務費!$C$5:$C$124,$W143)=$X143,"OK","⑳に無い商品名"))</f>
        <v/>
      </c>
      <c r="AA143" s="334">
        <f>SUMIF(⑳商品別1食労務費!$C$5:$C$124,$R143,⑳商品別1食労務費!$F$5:$F$124)+SUMIF(⑳商品別1食労務費!$C$5:$C$124,$S143,⑳商品別1食労務費!$F$5:$F$124)+SUMIF(⑳商品別1食労務費!$C$5:$C$124,$T143,⑳商品別1食労務費!$F$5:$F$124)+SUMIF(⑳商品別1食労務費!$C$5:$C$124,$U143,⑳商品別1食労務費!$F$5:$F$124)+SUMIF(⑳商品別1食労務費!$C$5:$C$124,$V143,⑳商品別1食労務費!$F$5:$F$124)+SUMIF(⑳商品別1食労務費!$C$5:$C$124,$W143,⑳商品別1食労務費!$F$5:$F$124)</f>
        <v/>
      </c>
      <c r="AB143" s="334">
        <f>IF(ISNUMBER($M143),$M143,0)</f>
        <v/>
      </c>
      <c r="AC143" s="334">
        <f>IF(AND($X143&gt;0,ISNUMBER($J143)),$J143/$X143,"")</f>
        <v/>
      </c>
      <c r="AD143" s="413">
        <f>IF($R143="",0,IF($AA143&gt;0,$AB143*SUMIF(⑳商品別1食労務費!$C$5:$C$124,$R143,⑳商品別1食労務費!$F$5:$F$124)/$AA143,$AB143/$X143))</f>
        <v/>
      </c>
      <c r="AE143" s="413">
        <f>IF($S143="",0,IF($AA143&gt;0,$AB143*SUMIF(⑳商品別1食労務費!$C$5:$C$124,$S143,⑳商品別1食労務費!$F$5:$F$124)/$AA143,$AB143/$X143))</f>
        <v/>
      </c>
      <c r="AF143" s="413">
        <f>IF($T143="",0,IF($AA143&gt;0,$AB143*SUMIF(⑳商品別1食労務費!$C$5:$C$124,$T143,⑳商品別1食労務費!$F$5:$F$124)/$AA143,$AB143/$X143))</f>
        <v/>
      </c>
      <c r="AG143" s="413">
        <f>IF($U143="",0,IF($AA143&gt;0,$AB143*SUMIF(⑳商品別1食労務費!$C$5:$C$124,$U143,⑳商品別1食労務費!$F$5:$F$124)/$AA143,$AB143/$X143))</f>
        <v/>
      </c>
      <c r="AH143" s="413">
        <f>IF($V143="",0,IF($AA143&gt;0,$AB143*SUMIF(⑳商品別1食労務費!$C$5:$C$124,$V143,⑳商品別1食労務費!$F$5:$F$124)/$AA143,$AB143/$X143))</f>
        <v/>
      </c>
      <c r="AI143" s="413">
        <f>IF($W143="",0,IF($AA143&gt;0,$AB143*SUMIF(⑳商品別1食労務費!$C$5:$C$124,$W143,⑳商品別1食労務費!$F$5:$F$124)/$AA143,$AB143/$X143))</f>
        <v/>
      </c>
    </row>
    <row r="144" hidden="1" s="438">
      <c r="A144" s="188" t="n">
        <v>140</v>
      </c>
      <c r="B144" s="189" t="inlineStr">
        <is>
          <t>盛り込み③</t>
        </is>
      </c>
      <c r="C144" s="229" t="n"/>
      <c r="D144" s="190" t="n"/>
      <c r="E144" s="190" t="n"/>
      <c r="F144" s="541">
        <f>IF(OR(D144="",E144=""),"",(E144-D144)*1440)</f>
        <v/>
      </c>
      <c r="G144" s="542" t="n"/>
      <c r="H144" s="542" t="n"/>
      <c r="I144" s="543" t="n"/>
      <c r="J144" s="192" t="n"/>
      <c r="K144" s="544">
        <f>IF(AND(ISNUMBER(F144),I144&gt;0),I144/(F144/60),"")</f>
        <v/>
      </c>
      <c r="L144" s="545" t="n">
        <v>950</v>
      </c>
      <c r="M144" s="194">
        <f>IF(OR(ISNUMBER(SEARCH("サニテーション",C144)),ISNUMBER(SEARCH("客注",C144)),ISNUMBER(SEARCH("切り替え",C144)),ISNUMBER(SEARCH("切替",C144)),NOT(ISNUMBER(H144))),"",IF(ISNUMBER(G144),G144/60*H144*④前提設定!$B$4,IF(AND(G144="",ISNUMBER(F144)),F144/60*H144*④前提設定!$B$4,"")))</f>
        <v/>
      </c>
      <c r="N144" s="546">
        <f>IF(AND(I144&gt;0,ISNUMBER(M144)),M144/I144,"")</f>
        <v/>
      </c>
      <c r="O144" s="547">
        <f>IF(AND(J144&gt;0,ISNUMBER(M144)),M144/J144,"")</f>
        <v/>
      </c>
      <c r="P144" s="195" t="n"/>
      <c r="Q144" s="196" t="n"/>
      <c r="X144" s="334">
        <f>COUNTA(R144:W144)</f>
        <v/>
      </c>
      <c r="Y144" s="334">
        <f>IF(AND($X144&gt;0,ISNUMBER($M144)),$M144/$X144,"")</f>
        <v/>
      </c>
      <c r="Z144" s="334">
        <f>IF($X144=0,"",IF(COUNTIF(⑳商品別1食労務費!$C$5:$C$124,$R144)+COUNTIF(⑳商品別1食労務費!$C$5:$C$124,$S144)+COUNTIF(⑳商品別1食労務費!$C$5:$C$124,$T144)+COUNTIF(⑳商品別1食労務費!$C$5:$C$124,$U144)+COUNTIF(⑳商品別1食労務費!$C$5:$C$124,$V144)+COUNTIF(⑳商品別1食労務費!$C$5:$C$124,$W144)=$X144,"OK","⑳に無い商品名"))</f>
        <v/>
      </c>
      <c r="AA144" s="334">
        <f>SUMIF(⑳商品別1食労務費!$C$5:$C$124,$R144,⑳商品別1食労務費!$F$5:$F$124)+SUMIF(⑳商品別1食労務費!$C$5:$C$124,$S144,⑳商品別1食労務費!$F$5:$F$124)+SUMIF(⑳商品別1食労務費!$C$5:$C$124,$T144,⑳商品別1食労務費!$F$5:$F$124)+SUMIF(⑳商品別1食労務費!$C$5:$C$124,$U144,⑳商品別1食労務費!$F$5:$F$124)+SUMIF(⑳商品別1食労務費!$C$5:$C$124,$V144,⑳商品別1食労務費!$F$5:$F$124)+SUMIF(⑳商品別1食労務費!$C$5:$C$124,$W144,⑳商品別1食労務費!$F$5:$F$124)</f>
        <v/>
      </c>
      <c r="AB144" s="334">
        <f>IF(ISNUMBER($M144),$M144,0)</f>
        <v/>
      </c>
      <c r="AC144" s="334">
        <f>IF(AND($X144&gt;0,ISNUMBER($J144)),$J144/$X144,"")</f>
        <v/>
      </c>
      <c r="AD144" s="413">
        <f>IF($R144="",0,IF($AA144&gt;0,$AB144*SUMIF(⑳商品別1食労務費!$C$5:$C$124,$R144,⑳商品別1食労務費!$F$5:$F$124)/$AA144,$AB144/$X144))</f>
        <v/>
      </c>
      <c r="AE144" s="413">
        <f>IF($S144="",0,IF($AA144&gt;0,$AB144*SUMIF(⑳商品別1食労務費!$C$5:$C$124,$S144,⑳商品別1食労務費!$F$5:$F$124)/$AA144,$AB144/$X144))</f>
        <v/>
      </c>
      <c r="AF144" s="413">
        <f>IF($T144="",0,IF($AA144&gt;0,$AB144*SUMIF(⑳商品別1食労務費!$C$5:$C$124,$T144,⑳商品別1食労務費!$F$5:$F$124)/$AA144,$AB144/$X144))</f>
        <v/>
      </c>
      <c r="AG144" s="413">
        <f>IF($U144="",0,IF($AA144&gt;0,$AB144*SUMIF(⑳商品別1食労務費!$C$5:$C$124,$U144,⑳商品別1食労務費!$F$5:$F$124)/$AA144,$AB144/$X144))</f>
        <v/>
      </c>
      <c r="AH144" s="413">
        <f>IF($V144="",0,IF($AA144&gt;0,$AB144*SUMIF(⑳商品別1食労務費!$C$5:$C$124,$V144,⑳商品別1食労務費!$F$5:$F$124)/$AA144,$AB144/$X144))</f>
        <v/>
      </c>
      <c r="AI144" s="413">
        <f>IF($W144="",0,IF($AA144&gt;0,$AB144*SUMIF(⑳商品別1食労務費!$C$5:$C$124,$W144,⑳商品別1食労務費!$F$5:$F$124)/$AA144,$AB144/$X144))</f>
        <v/>
      </c>
    </row>
    <row r="145" hidden="1" s="438">
      <c r="A145" s="197" t="n">
        <v>141</v>
      </c>
      <c r="B145" s="198" t="inlineStr">
        <is>
          <t>盛り込み③</t>
        </is>
      </c>
      <c r="C145" s="229" t="n"/>
      <c r="D145" s="190" t="n"/>
      <c r="E145" s="190" t="n"/>
      <c r="F145" s="541">
        <f>IF(OR(D145="",E145=""),"",(E145-D145)*1440)</f>
        <v/>
      </c>
      <c r="G145" s="542" t="n"/>
      <c r="H145" s="542" t="n"/>
      <c r="I145" s="543" t="n"/>
      <c r="J145" s="192" t="n"/>
      <c r="K145" s="544">
        <f>IF(AND(ISNUMBER(F145),I145&gt;0),I145/(F145/60),"")</f>
        <v/>
      </c>
      <c r="L145" s="545" t="n">
        <v>950</v>
      </c>
      <c r="M145" s="194">
        <f>IF(OR(ISNUMBER(SEARCH("サニテーション",C145)),ISNUMBER(SEARCH("客注",C145)),ISNUMBER(SEARCH("切り替え",C145)),ISNUMBER(SEARCH("切替",C145)),NOT(ISNUMBER(H145))),"",IF(ISNUMBER(G145),G145/60*H145*④前提設定!$B$4,IF(AND(G145="",ISNUMBER(F145)),F145/60*H145*④前提設定!$B$4,"")))</f>
        <v/>
      </c>
      <c r="N145" s="546">
        <f>IF(AND(I145&gt;0,ISNUMBER(M145)),M145/I145,"")</f>
        <v/>
      </c>
      <c r="O145" s="547">
        <f>IF(AND(J145&gt;0,ISNUMBER(M145)),M145/J145,"")</f>
        <v/>
      </c>
      <c r="P145" s="199" t="n"/>
      <c r="Q145" s="200" t="n"/>
      <c r="X145" s="334">
        <f>COUNTA(R145:W145)</f>
        <v/>
      </c>
      <c r="Y145" s="334">
        <f>IF(AND($X145&gt;0,ISNUMBER($M145)),$M145/$X145,"")</f>
        <v/>
      </c>
      <c r="Z145" s="334">
        <f>IF($X145=0,"",IF(COUNTIF(⑳商品別1食労務費!$C$5:$C$124,$R145)+COUNTIF(⑳商品別1食労務費!$C$5:$C$124,$S145)+COUNTIF(⑳商品別1食労務費!$C$5:$C$124,$T145)+COUNTIF(⑳商品別1食労務費!$C$5:$C$124,$U145)+COUNTIF(⑳商品別1食労務費!$C$5:$C$124,$V145)+COUNTIF(⑳商品別1食労務費!$C$5:$C$124,$W145)=$X145,"OK","⑳に無い商品名"))</f>
        <v/>
      </c>
      <c r="AA145" s="334">
        <f>SUMIF(⑳商品別1食労務費!$C$5:$C$124,$R145,⑳商品別1食労務費!$F$5:$F$124)+SUMIF(⑳商品別1食労務費!$C$5:$C$124,$S145,⑳商品別1食労務費!$F$5:$F$124)+SUMIF(⑳商品別1食労務費!$C$5:$C$124,$T145,⑳商品別1食労務費!$F$5:$F$124)+SUMIF(⑳商品別1食労務費!$C$5:$C$124,$U145,⑳商品別1食労務費!$F$5:$F$124)+SUMIF(⑳商品別1食労務費!$C$5:$C$124,$V145,⑳商品別1食労務費!$F$5:$F$124)+SUMIF(⑳商品別1食労務費!$C$5:$C$124,$W145,⑳商品別1食労務費!$F$5:$F$124)</f>
        <v/>
      </c>
      <c r="AB145" s="334">
        <f>IF(ISNUMBER($M145),$M145,0)</f>
        <v/>
      </c>
      <c r="AC145" s="334">
        <f>IF(AND($X145&gt;0,ISNUMBER($J145)),$J145/$X145,"")</f>
        <v/>
      </c>
      <c r="AD145" s="413">
        <f>IF($R145="",0,IF($AA145&gt;0,$AB145*SUMIF(⑳商品別1食労務費!$C$5:$C$124,$R145,⑳商品別1食労務費!$F$5:$F$124)/$AA145,$AB145/$X145))</f>
        <v/>
      </c>
      <c r="AE145" s="413">
        <f>IF($S145="",0,IF($AA145&gt;0,$AB145*SUMIF(⑳商品別1食労務費!$C$5:$C$124,$S145,⑳商品別1食労務費!$F$5:$F$124)/$AA145,$AB145/$X145))</f>
        <v/>
      </c>
      <c r="AF145" s="413">
        <f>IF($T145="",0,IF($AA145&gt;0,$AB145*SUMIF(⑳商品別1食労務費!$C$5:$C$124,$T145,⑳商品別1食労務費!$F$5:$F$124)/$AA145,$AB145/$X145))</f>
        <v/>
      </c>
      <c r="AG145" s="413">
        <f>IF($U145="",0,IF($AA145&gt;0,$AB145*SUMIF(⑳商品別1食労務費!$C$5:$C$124,$U145,⑳商品別1食労務費!$F$5:$F$124)/$AA145,$AB145/$X145))</f>
        <v/>
      </c>
      <c r="AH145" s="413">
        <f>IF($V145="",0,IF($AA145&gt;0,$AB145*SUMIF(⑳商品別1食労務費!$C$5:$C$124,$V145,⑳商品別1食労務費!$F$5:$F$124)/$AA145,$AB145/$X145))</f>
        <v/>
      </c>
      <c r="AI145" s="413">
        <f>IF($W145="",0,IF($AA145&gt;0,$AB145*SUMIF(⑳商品別1食労務費!$C$5:$C$124,$W145,⑳商品別1食労務費!$F$5:$F$124)/$AA145,$AB145/$X145))</f>
        <v/>
      </c>
    </row>
    <row r="146" hidden="1" s="438">
      <c r="A146" s="188" t="n">
        <v>142</v>
      </c>
      <c r="B146" s="189" t="inlineStr">
        <is>
          <t>盛り込み③</t>
        </is>
      </c>
      <c r="C146" s="229" t="n"/>
      <c r="D146" s="190" t="n"/>
      <c r="E146" s="190" t="n"/>
      <c r="F146" s="541">
        <f>IF(OR(D146="",E146=""),"",(E146-D146)*1440)</f>
        <v/>
      </c>
      <c r="G146" s="542" t="n"/>
      <c r="H146" s="542" t="n"/>
      <c r="I146" s="543" t="n"/>
      <c r="J146" s="192" t="n"/>
      <c r="K146" s="544">
        <f>IF(AND(ISNUMBER(F146),I146&gt;0),I146/(F146/60),"")</f>
        <v/>
      </c>
      <c r="L146" s="545" t="n">
        <v>800</v>
      </c>
      <c r="M146" s="194">
        <f>IF(OR(ISNUMBER(SEARCH("サニテーション",C146)),ISNUMBER(SEARCH("客注",C146)),ISNUMBER(SEARCH("切り替え",C146)),ISNUMBER(SEARCH("切替",C146)),NOT(ISNUMBER(H146))),"",IF(ISNUMBER(G146),G146/60*H146*④前提設定!$B$4,IF(AND(G146="",ISNUMBER(F146)),F146/60*H146*④前提設定!$B$4,"")))</f>
        <v/>
      </c>
      <c r="N146" s="546">
        <f>IF(AND(I146&gt;0,ISNUMBER(M146)),M146/I146,"")</f>
        <v/>
      </c>
      <c r="O146" s="547">
        <f>IF(AND(J146&gt;0,ISNUMBER(M146)),M146/J146,"")</f>
        <v/>
      </c>
      <c r="P146" s="195" t="n"/>
      <c r="Q146" s="196" t="n"/>
      <c r="X146" s="334">
        <f>COUNTA(R146:W146)</f>
        <v/>
      </c>
      <c r="Y146" s="334">
        <f>IF(AND($X146&gt;0,ISNUMBER($M146)),$M146/$X146,"")</f>
        <v/>
      </c>
      <c r="Z146" s="334">
        <f>IF($X146=0,"",IF(COUNTIF(⑳商品別1食労務費!$C$5:$C$124,$R146)+COUNTIF(⑳商品別1食労務費!$C$5:$C$124,$S146)+COUNTIF(⑳商品別1食労務費!$C$5:$C$124,$T146)+COUNTIF(⑳商品別1食労務費!$C$5:$C$124,$U146)+COUNTIF(⑳商品別1食労務費!$C$5:$C$124,$V146)+COUNTIF(⑳商品別1食労務費!$C$5:$C$124,$W146)=$X146,"OK","⑳に無い商品名"))</f>
        <v/>
      </c>
      <c r="AA146" s="334">
        <f>SUMIF(⑳商品別1食労務費!$C$5:$C$124,$R146,⑳商品別1食労務費!$F$5:$F$124)+SUMIF(⑳商品別1食労務費!$C$5:$C$124,$S146,⑳商品別1食労務費!$F$5:$F$124)+SUMIF(⑳商品別1食労務費!$C$5:$C$124,$T146,⑳商品別1食労務費!$F$5:$F$124)+SUMIF(⑳商品別1食労務費!$C$5:$C$124,$U146,⑳商品別1食労務費!$F$5:$F$124)+SUMIF(⑳商品別1食労務費!$C$5:$C$124,$V146,⑳商品別1食労務費!$F$5:$F$124)+SUMIF(⑳商品別1食労務費!$C$5:$C$124,$W146,⑳商品別1食労務費!$F$5:$F$124)</f>
        <v/>
      </c>
      <c r="AB146" s="334">
        <f>IF(ISNUMBER($M146),$M146,0)</f>
        <v/>
      </c>
      <c r="AC146" s="334">
        <f>IF(AND($X146&gt;0,ISNUMBER($J146)),$J146/$X146,"")</f>
        <v/>
      </c>
      <c r="AD146" s="413">
        <f>IF($R146="",0,IF($AA146&gt;0,$AB146*SUMIF(⑳商品別1食労務費!$C$5:$C$124,$R146,⑳商品別1食労務費!$F$5:$F$124)/$AA146,$AB146/$X146))</f>
        <v/>
      </c>
      <c r="AE146" s="413">
        <f>IF($S146="",0,IF($AA146&gt;0,$AB146*SUMIF(⑳商品別1食労務費!$C$5:$C$124,$S146,⑳商品別1食労務費!$F$5:$F$124)/$AA146,$AB146/$X146))</f>
        <v/>
      </c>
      <c r="AF146" s="413">
        <f>IF($T146="",0,IF($AA146&gt;0,$AB146*SUMIF(⑳商品別1食労務費!$C$5:$C$124,$T146,⑳商品別1食労務費!$F$5:$F$124)/$AA146,$AB146/$X146))</f>
        <v/>
      </c>
      <c r="AG146" s="413">
        <f>IF($U146="",0,IF($AA146&gt;0,$AB146*SUMIF(⑳商品別1食労務費!$C$5:$C$124,$U146,⑳商品別1食労務費!$F$5:$F$124)/$AA146,$AB146/$X146))</f>
        <v/>
      </c>
      <c r="AH146" s="413">
        <f>IF($V146="",0,IF($AA146&gt;0,$AB146*SUMIF(⑳商品別1食労務費!$C$5:$C$124,$V146,⑳商品別1食労務費!$F$5:$F$124)/$AA146,$AB146/$X146))</f>
        <v/>
      </c>
      <c r="AI146" s="413">
        <f>IF($W146="",0,IF($AA146&gt;0,$AB146*SUMIF(⑳商品別1食労務費!$C$5:$C$124,$W146,⑳商品別1食労務費!$F$5:$F$124)/$AA146,$AB146/$X146))</f>
        <v/>
      </c>
    </row>
    <row r="147" hidden="1" s="438">
      <c r="A147" s="197" t="n">
        <v>143</v>
      </c>
      <c r="B147" s="198" t="inlineStr">
        <is>
          <t>盛り込み③</t>
        </is>
      </c>
      <c r="C147" s="229" t="n"/>
      <c r="D147" s="190" t="n"/>
      <c r="E147" s="190" t="n"/>
      <c r="F147" s="541">
        <f>IF(OR(D147="",E147=""),"",(E147-D147)*1440)</f>
        <v/>
      </c>
      <c r="G147" s="542" t="n"/>
      <c r="H147" s="542" t="n"/>
      <c r="I147" s="543" t="n"/>
      <c r="J147" s="192" t="n"/>
      <c r="K147" s="544">
        <f>IF(AND(ISNUMBER(F147),I147&gt;0),I147/(F147/60),"")</f>
        <v/>
      </c>
      <c r="L147" s="545" t="n">
        <v>800</v>
      </c>
      <c r="M147" s="194">
        <f>IF(OR(ISNUMBER(SEARCH("サニテーション",C147)),ISNUMBER(SEARCH("客注",C147)),ISNUMBER(SEARCH("切り替え",C147)),ISNUMBER(SEARCH("切替",C147)),NOT(ISNUMBER(H147))),"",IF(ISNUMBER(G147),G147/60*H147*④前提設定!$B$4,IF(AND(G147="",ISNUMBER(F147)),F147/60*H147*④前提設定!$B$4,"")))</f>
        <v/>
      </c>
      <c r="N147" s="546">
        <f>IF(AND(I147&gt;0,ISNUMBER(M147)),M147/I147,"")</f>
        <v/>
      </c>
      <c r="O147" s="547">
        <f>IF(AND(J147&gt;0,ISNUMBER(M147)),M147/J147,"")</f>
        <v/>
      </c>
      <c r="P147" s="199" t="n"/>
      <c r="Q147" s="200" t="n"/>
      <c r="X147" s="334">
        <f>COUNTA(R147:W147)</f>
        <v/>
      </c>
      <c r="Y147" s="334">
        <f>IF(AND($X147&gt;0,ISNUMBER($M147)),$M147/$X147,"")</f>
        <v/>
      </c>
      <c r="Z147" s="334">
        <f>IF($X147=0,"",IF(COUNTIF(⑳商品別1食労務費!$C$5:$C$124,$R147)+COUNTIF(⑳商品別1食労務費!$C$5:$C$124,$S147)+COUNTIF(⑳商品別1食労務費!$C$5:$C$124,$T147)+COUNTIF(⑳商品別1食労務費!$C$5:$C$124,$U147)+COUNTIF(⑳商品別1食労務費!$C$5:$C$124,$V147)+COUNTIF(⑳商品別1食労務費!$C$5:$C$124,$W147)=$X147,"OK","⑳に無い商品名"))</f>
        <v/>
      </c>
      <c r="AA147" s="334">
        <f>SUMIF(⑳商品別1食労務費!$C$5:$C$124,$R147,⑳商品別1食労務費!$F$5:$F$124)+SUMIF(⑳商品別1食労務費!$C$5:$C$124,$S147,⑳商品別1食労務費!$F$5:$F$124)+SUMIF(⑳商品別1食労務費!$C$5:$C$124,$T147,⑳商品別1食労務費!$F$5:$F$124)+SUMIF(⑳商品別1食労務費!$C$5:$C$124,$U147,⑳商品別1食労務費!$F$5:$F$124)+SUMIF(⑳商品別1食労務費!$C$5:$C$124,$V147,⑳商品別1食労務費!$F$5:$F$124)+SUMIF(⑳商品別1食労務費!$C$5:$C$124,$W147,⑳商品別1食労務費!$F$5:$F$124)</f>
        <v/>
      </c>
      <c r="AB147" s="334">
        <f>IF(ISNUMBER($M147),$M147,0)</f>
        <v/>
      </c>
      <c r="AC147" s="334">
        <f>IF(AND($X147&gt;0,ISNUMBER($J147)),$J147/$X147,"")</f>
        <v/>
      </c>
      <c r="AD147" s="413">
        <f>IF($R147="",0,IF($AA147&gt;0,$AB147*SUMIF(⑳商品別1食労務費!$C$5:$C$124,$R147,⑳商品別1食労務費!$F$5:$F$124)/$AA147,$AB147/$X147))</f>
        <v/>
      </c>
      <c r="AE147" s="413">
        <f>IF($S147="",0,IF($AA147&gt;0,$AB147*SUMIF(⑳商品別1食労務費!$C$5:$C$124,$S147,⑳商品別1食労務費!$F$5:$F$124)/$AA147,$AB147/$X147))</f>
        <v/>
      </c>
      <c r="AF147" s="413">
        <f>IF($T147="",0,IF($AA147&gt;0,$AB147*SUMIF(⑳商品別1食労務費!$C$5:$C$124,$T147,⑳商品別1食労務費!$F$5:$F$124)/$AA147,$AB147/$X147))</f>
        <v/>
      </c>
      <c r="AG147" s="413">
        <f>IF($U147="",0,IF($AA147&gt;0,$AB147*SUMIF(⑳商品別1食労務費!$C$5:$C$124,$U147,⑳商品別1食労務費!$F$5:$F$124)/$AA147,$AB147/$X147))</f>
        <v/>
      </c>
      <c r="AH147" s="413">
        <f>IF($V147="",0,IF($AA147&gt;0,$AB147*SUMIF(⑳商品別1食労務費!$C$5:$C$124,$V147,⑳商品別1食労務費!$F$5:$F$124)/$AA147,$AB147/$X147))</f>
        <v/>
      </c>
      <c r="AI147" s="413">
        <f>IF($W147="",0,IF($AA147&gt;0,$AB147*SUMIF(⑳商品別1食労務費!$C$5:$C$124,$W147,⑳商品別1食労務費!$F$5:$F$124)/$AA147,$AB147/$X147))</f>
        <v/>
      </c>
    </row>
    <row r="148" hidden="1" s="438">
      <c r="A148" s="188" t="n">
        <v>144</v>
      </c>
      <c r="B148" s="189" t="inlineStr">
        <is>
          <t>盛り込み③</t>
        </is>
      </c>
      <c r="C148" s="229" t="n"/>
      <c r="D148" s="190" t="n"/>
      <c r="E148" s="190" t="n"/>
      <c r="F148" s="541">
        <f>IF(OR(D148="",E148=""),"",(E148-D148)*1440)</f>
        <v/>
      </c>
      <c r="G148" s="542" t="n"/>
      <c r="H148" s="542" t="n"/>
      <c r="I148" s="543" t="n"/>
      <c r="J148" s="192" t="n"/>
      <c r="K148" s="544">
        <f>IF(AND(ISNUMBER(F148),I148&gt;0),I148/(F148/60),"")</f>
        <v/>
      </c>
      <c r="L148" s="545" t="n">
        <v>850</v>
      </c>
      <c r="M148" s="194">
        <f>IF(OR(ISNUMBER(SEARCH("サニテーション",C148)),ISNUMBER(SEARCH("客注",C148)),ISNUMBER(SEARCH("切り替え",C148)),ISNUMBER(SEARCH("切替",C148)),NOT(ISNUMBER(H148))),"",IF(ISNUMBER(G148),G148/60*H148*④前提設定!$B$4,IF(AND(G148="",ISNUMBER(F148)),F148/60*H148*④前提設定!$B$4,"")))</f>
        <v/>
      </c>
      <c r="N148" s="546">
        <f>IF(AND(I148&gt;0,ISNUMBER(M148)),M148/I148,"")</f>
        <v/>
      </c>
      <c r="O148" s="547">
        <f>IF(AND(J148&gt;0,ISNUMBER(M148)),M148/J148,"")</f>
        <v/>
      </c>
      <c r="P148" s="195" t="n"/>
      <c r="Q148" s="196" t="n"/>
      <c r="X148" s="334">
        <f>COUNTA(R148:W148)</f>
        <v/>
      </c>
      <c r="Y148" s="334">
        <f>IF(AND($X148&gt;0,ISNUMBER($M148)),$M148/$X148,"")</f>
        <v/>
      </c>
      <c r="Z148" s="334">
        <f>IF($X148=0,"",IF(COUNTIF(⑳商品別1食労務費!$C$5:$C$124,$R148)+COUNTIF(⑳商品別1食労務費!$C$5:$C$124,$S148)+COUNTIF(⑳商品別1食労務費!$C$5:$C$124,$T148)+COUNTIF(⑳商品別1食労務費!$C$5:$C$124,$U148)+COUNTIF(⑳商品別1食労務費!$C$5:$C$124,$V148)+COUNTIF(⑳商品別1食労務費!$C$5:$C$124,$W148)=$X148,"OK","⑳に無い商品名"))</f>
        <v/>
      </c>
      <c r="AA148" s="334">
        <f>SUMIF(⑳商品別1食労務費!$C$5:$C$124,$R148,⑳商品別1食労務費!$F$5:$F$124)+SUMIF(⑳商品別1食労務費!$C$5:$C$124,$S148,⑳商品別1食労務費!$F$5:$F$124)+SUMIF(⑳商品別1食労務費!$C$5:$C$124,$T148,⑳商品別1食労務費!$F$5:$F$124)+SUMIF(⑳商品別1食労務費!$C$5:$C$124,$U148,⑳商品別1食労務費!$F$5:$F$124)+SUMIF(⑳商品別1食労務費!$C$5:$C$124,$V148,⑳商品別1食労務費!$F$5:$F$124)+SUMIF(⑳商品別1食労務費!$C$5:$C$124,$W148,⑳商品別1食労務費!$F$5:$F$124)</f>
        <v/>
      </c>
      <c r="AB148" s="334">
        <f>IF(ISNUMBER($M148),$M148,0)</f>
        <v/>
      </c>
      <c r="AC148" s="334">
        <f>IF(AND($X148&gt;0,ISNUMBER($J148)),$J148/$X148,"")</f>
        <v/>
      </c>
      <c r="AD148" s="413">
        <f>IF($R148="",0,IF($AA148&gt;0,$AB148*SUMIF(⑳商品別1食労務費!$C$5:$C$124,$R148,⑳商品別1食労務費!$F$5:$F$124)/$AA148,$AB148/$X148))</f>
        <v/>
      </c>
      <c r="AE148" s="413">
        <f>IF($S148="",0,IF($AA148&gt;0,$AB148*SUMIF(⑳商品別1食労務費!$C$5:$C$124,$S148,⑳商品別1食労務費!$F$5:$F$124)/$AA148,$AB148/$X148))</f>
        <v/>
      </c>
      <c r="AF148" s="413">
        <f>IF($T148="",0,IF($AA148&gt;0,$AB148*SUMIF(⑳商品別1食労務費!$C$5:$C$124,$T148,⑳商品別1食労務費!$F$5:$F$124)/$AA148,$AB148/$X148))</f>
        <v/>
      </c>
      <c r="AG148" s="413">
        <f>IF($U148="",0,IF($AA148&gt;0,$AB148*SUMIF(⑳商品別1食労務費!$C$5:$C$124,$U148,⑳商品別1食労務費!$F$5:$F$124)/$AA148,$AB148/$X148))</f>
        <v/>
      </c>
      <c r="AH148" s="413">
        <f>IF($V148="",0,IF($AA148&gt;0,$AB148*SUMIF(⑳商品別1食労務費!$C$5:$C$124,$V148,⑳商品別1食労務費!$F$5:$F$124)/$AA148,$AB148/$X148))</f>
        <v/>
      </c>
      <c r="AI148" s="413">
        <f>IF($W148="",0,IF($AA148&gt;0,$AB148*SUMIF(⑳商品別1食労務費!$C$5:$C$124,$W148,⑳商品別1食労務費!$F$5:$F$124)/$AA148,$AB148/$X148))</f>
        <v/>
      </c>
    </row>
    <row r="149" hidden="1" s="438">
      <c r="A149" s="197" t="n">
        <v>145</v>
      </c>
      <c r="B149" s="198" t="inlineStr">
        <is>
          <t>盛り込み③</t>
        </is>
      </c>
      <c r="C149" s="229" t="n"/>
      <c r="D149" s="190" t="n"/>
      <c r="E149" s="190" t="n"/>
      <c r="F149" s="541">
        <f>IF(OR(D149="",E149=""),"",(E149-D149)*1440)</f>
        <v/>
      </c>
      <c r="G149" s="542" t="n"/>
      <c r="H149" s="542" t="n"/>
      <c r="I149" s="543" t="n"/>
      <c r="J149" s="192" t="n"/>
      <c r="K149" s="544">
        <f>IF(AND(ISNUMBER(F149),I149&gt;0),I149/(F149/60),"")</f>
        <v/>
      </c>
      <c r="L149" s="545" t="n">
        <v>1000</v>
      </c>
      <c r="M149" s="194">
        <f>IF(OR(ISNUMBER(SEARCH("サニテーション",C149)),ISNUMBER(SEARCH("客注",C149)),ISNUMBER(SEARCH("切り替え",C149)),ISNUMBER(SEARCH("切替",C149)),NOT(ISNUMBER(H149))),"",IF(ISNUMBER(G149),G149/60*H149*④前提設定!$B$4,IF(AND(G149="",ISNUMBER(F149)),F149/60*H149*④前提設定!$B$4,"")))</f>
        <v/>
      </c>
      <c r="N149" s="546">
        <f>IF(AND(I149&gt;0,ISNUMBER(M149)),M149/I149,"")</f>
        <v/>
      </c>
      <c r="O149" s="547">
        <f>IF(AND(J149&gt;0,ISNUMBER(M149)),M149/J149,"")</f>
        <v/>
      </c>
      <c r="P149" s="199" t="n"/>
      <c r="Q149" s="200" t="n"/>
      <c r="X149" s="334">
        <f>COUNTA(R149:W149)</f>
        <v/>
      </c>
      <c r="Y149" s="334">
        <f>IF(AND($X149&gt;0,ISNUMBER($M149)),$M149/$X149,"")</f>
        <v/>
      </c>
      <c r="Z149" s="334">
        <f>IF($X149=0,"",IF(COUNTIF(⑳商品別1食労務費!$C$5:$C$124,$R149)+COUNTIF(⑳商品別1食労務費!$C$5:$C$124,$S149)+COUNTIF(⑳商品別1食労務費!$C$5:$C$124,$T149)+COUNTIF(⑳商品別1食労務費!$C$5:$C$124,$U149)+COUNTIF(⑳商品別1食労務費!$C$5:$C$124,$V149)+COUNTIF(⑳商品別1食労務費!$C$5:$C$124,$W149)=$X149,"OK","⑳に無い商品名"))</f>
        <v/>
      </c>
      <c r="AA149" s="334">
        <f>SUMIF(⑳商品別1食労務費!$C$5:$C$124,$R149,⑳商品別1食労務費!$F$5:$F$124)+SUMIF(⑳商品別1食労務費!$C$5:$C$124,$S149,⑳商品別1食労務費!$F$5:$F$124)+SUMIF(⑳商品別1食労務費!$C$5:$C$124,$T149,⑳商品別1食労務費!$F$5:$F$124)+SUMIF(⑳商品別1食労務費!$C$5:$C$124,$U149,⑳商品別1食労務費!$F$5:$F$124)+SUMIF(⑳商品別1食労務費!$C$5:$C$124,$V149,⑳商品別1食労務費!$F$5:$F$124)+SUMIF(⑳商品別1食労務費!$C$5:$C$124,$W149,⑳商品別1食労務費!$F$5:$F$124)</f>
        <v/>
      </c>
      <c r="AB149" s="334">
        <f>IF(ISNUMBER($M149),$M149,0)</f>
        <v/>
      </c>
      <c r="AC149" s="334">
        <f>IF(AND($X149&gt;0,ISNUMBER($J149)),$J149/$X149,"")</f>
        <v/>
      </c>
      <c r="AD149" s="413">
        <f>IF($R149="",0,IF($AA149&gt;0,$AB149*SUMIF(⑳商品別1食労務費!$C$5:$C$124,$R149,⑳商品別1食労務費!$F$5:$F$124)/$AA149,$AB149/$X149))</f>
        <v/>
      </c>
      <c r="AE149" s="413">
        <f>IF($S149="",0,IF($AA149&gt;0,$AB149*SUMIF(⑳商品別1食労務費!$C$5:$C$124,$S149,⑳商品別1食労務費!$F$5:$F$124)/$AA149,$AB149/$X149))</f>
        <v/>
      </c>
      <c r="AF149" s="413">
        <f>IF($T149="",0,IF($AA149&gt;0,$AB149*SUMIF(⑳商品別1食労務費!$C$5:$C$124,$T149,⑳商品別1食労務費!$F$5:$F$124)/$AA149,$AB149/$X149))</f>
        <v/>
      </c>
      <c r="AG149" s="413">
        <f>IF($U149="",0,IF($AA149&gt;0,$AB149*SUMIF(⑳商品別1食労務費!$C$5:$C$124,$U149,⑳商品別1食労務費!$F$5:$F$124)/$AA149,$AB149/$X149))</f>
        <v/>
      </c>
      <c r="AH149" s="413">
        <f>IF($V149="",0,IF($AA149&gt;0,$AB149*SUMIF(⑳商品別1食労務費!$C$5:$C$124,$V149,⑳商品別1食労務費!$F$5:$F$124)/$AA149,$AB149/$X149))</f>
        <v/>
      </c>
      <c r="AI149" s="413">
        <f>IF($W149="",0,IF($AA149&gt;0,$AB149*SUMIF(⑳商品別1食労務費!$C$5:$C$124,$W149,⑳商品別1食労務費!$F$5:$F$124)/$AA149,$AB149/$X149))</f>
        <v/>
      </c>
    </row>
    <row r="150" hidden="1" s="438">
      <c r="A150" s="188" t="n">
        <v>146</v>
      </c>
      <c r="B150" s="189" t="inlineStr">
        <is>
          <t>盛り込み③</t>
        </is>
      </c>
      <c r="C150" s="229" t="n"/>
      <c r="D150" s="190" t="n"/>
      <c r="E150" s="190" t="n"/>
      <c r="F150" s="541">
        <f>IF(OR(D150="",E150=""),"",(E150-D150)*1440)</f>
        <v/>
      </c>
      <c r="G150" s="542" t="n"/>
      <c r="H150" s="542" t="n"/>
      <c r="I150" s="543" t="n"/>
      <c r="J150" s="192" t="n"/>
      <c r="K150" s="544">
        <f>IF(AND(ISNUMBER(F150),I150&gt;0),I150/(F150/60),"")</f>
        <v/>
      </c>
      <c r="L150" s="545" t="n">
        <v>850</v>
      </c>
      <c r="M150" s="194">
        <f>IF(OR(ISNUMBER(SEARCH("サニテーション",C150)),ISNUMBER(SEARCH("客注",C150)),ISNUMBER(SEARCH("切り替え",C150)),ISNUMBER(SEARCH("切替",C150)),NOT(ISNUMBER(H150))),"",IF(ISNUMBER(G150),G150/60*H150*④前提設定!$B$4,IF(AND(G150="",ISNUMBER(F150)),F150/60*H150*④前提設定!$B$4,"")))</f>
        <v/>
      </c>
      <c r="N150" s="546">
        <f>IF(AND(I150&gt;0,ISNUMBER(M150)),M150/I150,"")</f>
        <v/>
      </c>
      <c r="O150" s="547">
        <f>IF(AND(J150&gt;0,ISNUMBER(M150)),M150/J150,"")</f>
        <v/>
      </c>
      <c r="P150" s="195" t="n"/>
      <c r="Q150" s="196" t="n"/>
      <c r="X150" s="334">
        <f>COUNTA(R150:W150)</f>
        <v/>
      </c>
      <c r="Y150" s="334">
        <f>IF(AND($X150&gt;0,ISNUMBER($M150)),$M150/$X150,"")</f>
        <v/>
      </c>
      <c r="Z150" s="334">
        <f>IF($X150=0,"",IF(COUNTIF(⑳商品別1食労務費!$C$5:$C$124,$R150)+COUNTIF(⑳商品別1食労務費!$C$5:$C$124,$S150)+COUNTIF(⑳商品別1食労務費!$C$5:$C$124,$T150)+COUNTIF(⑳商品別1食労務費!$C$5:$C$124,$U150)+COUNTIF(⑳商品別1食労務費!$C$5:$C$124,$V150)+COUNTIF(⑳商品別1食労務費!$C$5:$C$124,$W150)=$X150,"OK","⑳に無い商品名"))</f>
        <v/>
      </c>
      <c r="AA150" s="334">
        <f>SUMIF(⑳商品別1食労務費!$C$5:$C$124,$R150,⑳商品別1食労務費!$F$5:$F$124)+SUMIF(⑳商品別1食労務費!$C$5:$C$124,$S150,⑳商品別1食労務費!$F$5:$F$124)+SUMIF(⑳商品別1食労務費!$C$5:$C$124,$T150,⑳商品別1食労務費!$F$5:$F$124)+SUMIF(⑳商品別1食労務費!$C$5:$C$124,$U150,⑳商品別1食労務費!$F$5:$F$124)+SUMIF(⑳商品別1食労務費!$C$5:$C$124,$V150,⑳商品別1食労務費!$F$5:$F$124)+SUMIF(⑳商品別1食労務費!$C$5:$C$124,$W150,⑳商品別1食労務費!$F$5:$F$124)</f>
        <v/>
      </c>
      <c r="AB150" s="334">
        <f>IF(ISNUMBER($M150),$M150,0)</f>
        <v/>
      </c>
      <c r="AC150" s="334">
        <f>IF(AND($X150&gt;0,ISNUMBER($J150)),$J150/$X150,"")</f>
        <v/>
      </c>
      <c r="AD150" s="413">
        <f>IF($R150="",0,IF($AA150&gt;0,$AB150*SUMIF(⑳商品別1食労務費!$C$5:$C$124,$R150,⑳商品別1食労務費!$F$5:$F$124)/$AA150,$AB150/$X150))</f>
        <v/>
      </c>
      <c r="AE150" s="413">
        <f>IF($S150="",0,IF($AA150&gt;0,$AB150*SUMIF(⑳商品別1食労務費!$C$5:$C$124,$S150,⑳商品別1食労務費!$F$5:$F$124)/$AA150,$AB150/$X150))</f>
        <v/>
      </c>
      <c r="AF150" s="413">
        <f>IF($T150="",0,IF($AA150&gt;0,$AB150*SUMIF(⑳商品別1食労務費!$C$5:$C$124,$T150,⑳商品別1食労務費!$F$5:$F$124)/$AA150,$AB150/$X150))</f>
        <v/>
      </c>
      <c r="AG150" s="413">
        <f>IF($U150="",0,IF($AA150&gt;0,$AB150*SUMIF(⑳商品別1食労務費!$C$5:$C$124,$U150,⑳商品別1食労務費!$F$5:$F$124)/$AA150,$AB150/$X150))</f>
        <v/>
      </c>
      <c r="AH150" s="413">
        <f>IF($V150="",0,IF($AA150&gt;0,$AB150*SUMIF(⑳商品別1食労務費!$C$5:$C$124,$V150,⑳商品別1食労務費!$F$5:$F$124)/$AA150,$AB150/$X150))</f>
        <v/>
      </c>
      <c r="AI150" s="413">
        <f>IF($W150="",0,IF($AA150&gt;0,$AB150*SUMIF(⑳商品別1食労務費!$C$5:$C$124,$W150,⑳商品別1食労務費!$F$5:$F$124)/$AA150,$AB150/$X150))</f>
        <v/>
      </c>
    </row>
    <row r="151" hidden="1" s="438">
      <c r="A151" s="197" t="n">
        <v>147</v>
      </c>
      <c r="B151" s="198" t="inlineStr">
        <is>
          <t>盛り込み③</t>
        </is>
      </c>
      <c r="C151" s="229" t="n"/>
      <c r="D151" s="190" t="n"/>
      <c r="E151" s="190" t="n"/>
      <c r="F151" s="541">
        <f>IF(OR(D151="",E151=""),"",(E151-D151)*1440)</f>
        <v/>
      </c>
      <c r="G151" s="542" t="n"/>
      <c r="H151" s="542" t="n"/>
      <c r="I151" s="543" t="n"/>
      <c r="J151" s="192" t="n"/>
      <c r="K151" s="544">
        <f>IF(AND(ISNUMBER(F151),I151&gt;0),I151/(F151/60),"")</f>
        <v/>
      </c>
      <c r="L151" s="545" t="n">
        <v>1000</v>
      </c>
      <c r="M151" s="194">
        <f>IF(OR(ISNUMBER(SEARCH("サニテーション",C151)),ISNUMBER(SEARCH("客注",C151)),ISNUMBER(SEARCH("切り替え",C151)),ISNUMBER(SEARCH("切替",C151)),NOT(ISNUMBER(H151))),"",IF(ISNUMBER(G151),G151/60*H151*④前提設定!$B$4,IF(AND(G151="",ISNUMBER(F151)),F151/60*H151*④前提設定!$B$4,"")))</f>
        <v/>
      </c>
      <c r="N151" s="546">
        <f>IF(AND(I151&gt;0,ISNUMBER(M151)),M151/I151,"")</f>
        <v/>
      </c>
      <c r="O151" s="547">
        <f>IF(AND(J151&gt;0,ISNUMBER(M151)),M151/J151,"")</f>
        <v/>
      </c>
      <c r="P151" s="199" t="n"/>
      <c r="Q151" s="200" t="n"/>
      <c r="X151" s="334">
        <f>COUNTA(R151:W151)</f>
        <v/>
      </c>
      <c r="Y151" s="334">
        <f>IF(AND($X151&gt;0,ISNUMBER($M151)),$M151/$X151,"")</f>
        <v/>
      </c>
      <c r="Z151" s="334">
        <f>IF($X151=0,"",IF(COUNTIF(⑳商品別1食労務費!$C$5:$C$124,$R151)+COUNTIF(⑳商品別1食労務費!$C$5:$C$124,$S151)+COUNTIF(⑳商品別1食労務費!$C$5:$C$124,$T151)+COUNTIF(⑳商品別1食労務費!$C$5:$C$124,$U151)+COUNTIF(⑳商品別1食労務費!$C$5:$C$124,$V151)+COUNTIF(⑳商品別1食労務費!$C$5:$C$124,$W151)=$X151,"OK","⑳に無い商品名"))</f>
        <v/>
      </c>
      <c r="AA151" s="334">
        <f>SUMIF(⑳商品別1食労務費!$C$5:$C$124,$R151,⑳商品別1食労務費!$F$5:$F$124)+SUMIF(⑳商品別1食労務費!$C$5:$C$124,$S151,⑳商品別1食労務費!$F$5:$F$124)+SUMIF(⑳商品別1食労務費!$C$5:$C$124,$T151,⑳商品別1食労務費!$F$5:$F$124)+SUMIF(⑳商品別1食労務費!$C$5:$C$124,$U151,⑳商品別1食労務費!$F$5:$F$124)+SUMIF(⑳商品別1食労務費!$C$5:$C$124,$V151,⑳商品別1食労務費!$F$5:$F$124)+SUMIF(⑳商品別1食労務費!$C$5:$C$124,$W151,⑳商品別1食労務費!$F$5:$F$124)</f>
        <v/>
      </c>
      <c r="AB151" s="334">
        <f>IF(ISNUMBER($M151),$M151,0)</f>
        <v/>
      </c>
      <c r="AC151" s="334">
        <f>IF(AND($X151&gt;0,ISNUMBER($J151)),$J151/$X151,"")</f>
        <v/>
      </c>
      <c r="AD151" s="413">
        <f>IF($R151="",0,IF($AA151&gt;0,$AB151*SUMIF(⑳商品別1食労務費!$C$5:$C$124,$R151,⑳商品別1食労務費!$F$5:$F$124)/$AA151,$AB151/$X151))</f>
        <v/>
      </c>
      <c r="AE151" s="413">
        <f>IF($S151="",0,IF($AA151&gt;0,$AB151*SUMIF(⑳商品別1食労務費!$C$5:$C$124,$S151,⑳商品別1食労務費!$F$5:$F$124)/$AA151,$AB151/$X151))</f>
        <v/>
      </c>
      <c r="AF151" s="413">
        <f>IF($T151="",0,IF($AA151&gt;0,$AB151*SUMIF(⑳商品別1食労務費!$C$5:$C$124,$T151,⑳商品別1食労務費!$F$5:$F$124)/$AA151,$AB151/$X151))</f>
        <v/>
      </c>
      <c r="AG151" s="413">
        <f>IF($U151="",0,IF($AA151&gt;0,$AB151*SUMIF(⑳商品別1食労務費!$C$5:$C$124,$U151,⑳商品別1食労務費!$F$5:$F$124)/$AA151,$AB151/$X151))</f>
        <v/>
      </c>
      <c r="AH151" s="413">
        <f>IF($V151="",0,IF($AA151&gt;0,$AB151*SUMIF(⑳商品別1食労務費!$C$5:$C$124,$V151,⑳商品別1食労務費!$F$5:$F$124)/$AA151,$AB151/$X151))</f>
        <v/>
      </c>
      <c r="AI151" s="413">
        <f>IF($W151="",0,IF($AA151&gt;0,$AB151*SUMIF(⑳商品別1食労務費!$C$5:$C$124,$W151,⑳商品別1食労務費!$F$5:$F$124)/$AA151,$AB151/$X151))</f>
        <v/>
      </c>
    </row>
    <row r="152" hidden="1" s="438">
      <c r="A152" s="188" t="n">
        <v>148</v>
      </c>
      <c r="B152" s="189" t="inlineStr">
        <is>
          <t>盛り込み③</t>
        </is>
      </c>
      <c r="C152" s="229" t="n"/>
      <c r="D152" s="190" t="n"/>
      <c r="E152" s="190" t="n"/>
      <c r="F152" s="541">
        <f>IF(OR(D152="",E152=""),"",(E152-D152)*1440)</f>
        <v/>
      </c>
      <c r="G152" s="542" t="n"/>
      <c r="H152" s="542" t="n"/>
      <c r="I152" s="543" t="n"/>
      <c r="J152" s="192" t="n"/>
      <c r="K152" s="544">
        <f>IF(AND(ISNUMBER(F152),I152&gt;0),I152/(F152/60),"")</f>
        <v/>
      </c>
      <c r="L152" s="545" t="n">
        <v>1000</v>
      </c>
      <c r="M152" s="194">
        <f>IF(OR(ISNUMBER(SEARCH("サニテーション",C152)),ISNUMBER(SEARCH("客注",C152)),ISNUMBER(SEARCH("切り替え",C152)),ISNUMBER(SEARCH("切替",C152)),NOT(ISNUMBER(H152))),"",IF(ISNUMBER(G152),G152/60*H152*④前提設定!$B$4,IF(AND(G152="",ISNUMBER(F152)),F152/60*H152*④前提設定!$B$4,"")))</f>
        <v/>
      </c>
      <c r="N152" s="546">
        <f>IF(AND(I152&gt;0,ISNUMBER(M152)),M152/I152,"")</f>
        <v/>
      </c>
      <c r="O152" s="547">
        <f>IF(AND(J152&gt;0,ISNUMBER(M152)),M152/J152,"")</f>
        <v/>
      </c>
      <c r="P152" s="195" t="n"/>
      <c r="Q152" s="196" t="n"/>
      <c r="X152" s="334">
        <f>COUNTA(R152:W152)</f>
        <v/>
      </c>
      <c r="Y152" s="334">
        <f>IF(AND($X152&gt;0,ISNUMBER($M152)),$M152/$X152,"")</f>
        <v/>
      </c>
      <c r="Z152" s="334">
        <f>IF($X152=0,"",IF(COUNTIF(⑳商品別1食労務費!$C$5:$C$124,$R152)+COUNTIF(⑳商品別1食労務費!$C$5:$C$124,$S152)+COUNTIF(⑳商品別1食労務費!$C$5:$C$124,$T152)+COUNTIF(⑳商品別1食労務費!$C$5:$C$124,$U152)+COUNTIF(⑳商品別1食労務費!$C$5:$C$124,$V152)+COUNTIF(⑳商品別1食労務費!$C$5:$C$124,$W152)=$X152,"OK","⑳に無い商品名"))</f>
        <v/>
      </c>
      <c r="AA152" s="334">
        <f>SUMIF(⑳商品別1食労務費!$C$5:$C$124,$R152,⑳商品別1食労務費!$F$5:$F$124)+SUMIF(⑳商品別1食労務費!$C$5:$C$124,$S152,⑳商品別1食労務費!$F$5:$F$124)+SUMIF(⑳商品別1食労務費!$C$5:$C$124,$T152,⑳商品別1食労務費!$F$5:$F$124)+SUMIF(⑳商品別1食労務費!$C$5:$C$124,$U152,⑳商品別1食労務費!$F$5:$F$124)+SUMIF(⑳商品別1食労務費!$C$5:$C$124,$V152,⑳商品別1食労務費!$F$5:$F$124)+SUMIF(⑳商品別1食労務費!$C$5:$C$124,$W152,⑳商品別1食労務費!$F$5:$F$124)</f>
        <v/>
      </c>
      <c r="AB152" s="334">
        <f>IF(ISNUMBER($M152),$M152,0)</f>
        <v/>
      </c>
      <c r="AC152" s="334">
        <f>IF(AND($X152&gt;0,ISNUMBER($J152)),$J152/$X152,"")</f>
        <v/>
      </c>
      <c r="AD152" s="413">
        <f>IF($R152="",0,IF($AA152&gt;0,$AB152*SUMIF(⑳商品別1食労務費!$C$5:$C$124,$R152,⑳商品別1食労務費!$F$5:$F$124)/$AA152,$AB152/$X152))</f>
        <v/>
      </c>
      <c r="AE152" s="413">
        <f>IF($S152="",0,IF($AA152&gt;0,$AB152*SUMIF(⑳商品別1食労務費!$C$5:$C$124,$S152,⑳商品別1食労務費!$F$5:$F$124)/$AA152,$AB152/$X152))</f>
        <v/>
      </c>
      <c r="AF152" s="413">
        <f>IF($T152="",0,IF($AA152&gt;0,$AB152*SUMIF(⑳商品別1食労務費!$C$5:$C$124,$T152,⑳商品別1食労務費!$F$5:$F$124)/$AA152,$AB152/$X152))</f>
        <v/>
      </c>
      <c r="AG152" s="413">
        <f>IF($U152="",0,IF($AA152&gt;0,$AB152*SUMIF(⑳商品別1食労務費!$C$5:$C$124,$U152,⑳商品別1食労務費!$F$5:$F$124)/$AA152,$AB152/$X152))</f>
        <v/>
      </c>
      <c r="AH152" s="413">
        <f>IF($V152="",0,IF($AA152&gt;0,$AB152*SUMIF(⑳商品別1食労務費!$C$5:$C$124,$V152,⑳商品別1食労務費!$F$5:$F$124)/$AA152,$AB152/$X152))</f>
        <v/>
      </c>
      <c r="AI152" s="413">
        <f>IF($W152="",0,IF($AA152&gt;0,$AB152*SUMIF(⑳商品別1食労務費!$C$5:$C$124,$W152,⑳商品別1食労務費!$F$5:$F$124)/$AA152,$AB152/$X152))</f>
        <v/>
      </c>
    </row>
    <row r="153" hidden="1" s="438">
      <c r="A153" s="197" t="n">
        <v>149</v>
      </c>
      <c r="B153" s="198" t="inlineStr">
        <is>
          <t>盛り込み③</t>
        </is>
      </c>
      <c r="C153" s="229" t="n"/>
      <c r="D153" s="190" t="n"/>
      <c r="E153" s="190" t="n"/>
      <c r="F153" s="541">
        <f>IF(OR(D153="",E153=""),"",(E153-D153)*1440)</f>
        <v/>
      </c>
      <c r="G153" s="542" t="n"/>
      <c r="H153" s="542" t="n"/>
      <c r="I153" s="543" t="n"/>
      <c r="J153" s="192" t="n"/>
      <c r="K153" s="544">
        <f>IF(AND(ISNUMBER(F153),I153&gt;0),I153/(F153/60),"")</f>
        <v/>
      </c>
      <c r="L153" s="545" t="n">
        <v>1000</v>
      </c>
      <c r="M153" s="194">
        <f>IF(OR(ISNUMBER(SEARCH("サニテーション",C153)),ISNUMBER(SEARCH("客注",C153)),ISNUMBER(SEARCH("切り替え",C153)),ISNUMBER(SEARCH("切替",C153)),NOT(ISNUMBER(H153))),"",IF(ISNUMBER(G153),G153/60*H153*④前提設定!$B$4,IF(AND(G153="",ISNUMBER(F153)),F153/60*H153*④前提設定!$B$4,"")))</f>
        <v/>
      </c>
      <c r="N153" s="546">
        <f>IF(AND(I153&gt;0,ISNUMBER(M153)),M153/I153,"")</f>
        <v/>
      </c>
      <c r="O153" s="547">
        <f>IF(AND(J153&gt;0,ISNUMBER(M153)),M153/J153,"")</f>
        <v/>
      </c>
      <c r="P153" s="199" t="n"/>
      <c r="Q153" s="200" t="n"/>
      <c r="X153" s="334">
        <f>COUNTA(R153:W153)</f>
        <v/>
      </c>
      <c r="Y153" s="334">
        <f>IF(AND($X153&gt;0,ISNUMBER($M153)),$M153/$X153,"")</f>
        <v/>
      </c>
      <c r="Z153" s="334">
        <f>IF($X153=0,"",IF(COUNTIF(⑳商品別1食労務費!$C$5:$C$124,$R153)+COUNTIF(⑳商品別1食労務費!$C$5:$C$124,$S153)+COUNTIF(⑳商品別1食労務費!$C$5:$C$124,$T153)+COUNTIF(⑳商品別1食労務費!$C$5:$C$124,$U153)+COUNTIF(⑳商品別1食労務費!$C$5:$C$124,$V153)+COUNTIF(⑳商品別1食労務費!$C$5:$C$124,$W153)=$X153,"OK","⑳に無い商品名"))</f>
        <v/>
      </c>
      <c r="AA153" s="334">
        <f>SUMIF(⑳商品別1食労務費!$C$5:$C$124,$R153,⑳商品別1食労務費!$F$5:$F$124)+SUMIF(⑳商品別1食労務費!$C$5:$C$124,$S153,⑳商品別1食労務費!$F$5:$F$124)+SUMIF(⑳商品別1食労務費!$C$5:$C$124,$T153,⑳商品別1食労務費!$F$5:$F$124)+SUMIF(⑳商品別1食労務費!$C$5:$C$124,$U153,⑳商品別1食労務費!$F$5:$F$124)+SUMIF(⑳商品別1食労務費!$C$5:$C$124,$V153,⑳商品別1食労務費!$F$5:$F$124)+SUMIF(⑳商品別1食労務費!$C$5:$C$124,$W153,⑳商品別1食労務費!$F$5:$F$124)</f>
        <v/>
      </c>
      <c r="AB153" s="334">
        <f>IF(ISNUMBER($M153),$M153,0)</f>
        <v/>
      </c>
      <c r="AC153" s="334">
        <f>IF(AND($X153&gt;0,ISNUMBER($J153)),$J153/$X153,"")</f>
        <v/>
      </c>
      <c r="AD153" s="413">
        <f>IF($R153="",0,IF($AA153&gt;0,$AB153*SUMIF(⑳商品別1食労務費!$C$5:$C$124,$R153,⑳商品別1食労務費!$F$5:$F$124)/$AA153,$AB153/$X153))</f>
        <v/>
      </c>
      <c r="AE153" s="413">
        <f>IF($S153="",0,IF($AA153&gt;0,$AB153*SUMIF(⑳商品別1食労務費!$C$5:$C$124,$S153,⑳商品別1食労務費!$F$5:$F$124)/$AA153,$AB153/$X153))</f>
        <v/>
      </c>
      <c r="AF153" s="413">
        <f>IF($T153="",0,IF($AA153&gt;0,$AB153*SUMIF(⑳商品別1食労務費!$C$5:$C$124,$T153,⑳商品別1食労務費!$F$5:$F$124)/$AA153,$AB153/$X153))</f>
        <v/>
      </c>
      <c r="AG153" s="413">
        <f>IF($U153="",0,IF($AA153&gt;0,$AB153*SUMIF(⑳商品別1食労務費!$C$5:$C$124,$U153,⑳商品別1食労務費!$F$5:$F$124)/$AA153,$AB153/$X153))</f>
        <v/>
      </c>
      <c r="AH153" s="413">
        <f>IF($V153="",0,IF($AA153&gt;0,$AB153*SUMIF(⑳商品別1食労務費!$C$5:$C$124,$V153,⑳商品別1食労務費!$F$5:$F$124)/$AA153,$AB153/$X153))</f>
        <v/>
      </c>
      <c r="AI153" s="413">
        <f>IF($W153="",0,IF($AA153&gt;0,$AB153*SUMIF(⑳商品別1食労務費!$C$5:$C$124,$W153,⑳商品別1食労務費!$F$5:$F$124)/$AA153,$AB153/$X153))</f>
        <v/>
      </c>
    </row>
    <row r="154" hidden="1" s="438">
      <c r="A154" s="188" t="n">
        <v>150</v>
      </c>
      <c r="B154" s="189" t="inlineStr">
        <is>
          <t>盛り込み③</t>
        </is>
      </c>
      <c r="C154" s="229" t="n"/>
      <c r="D154" s="190" t="n"/>
      <c r="E154" s="190" t="n"/>
      <c r="F154" s="541">
        <f>IF(OR(D154="",E154=""),"",(E154-D154)*1440)</f>
        <v/>
      </c>
      <c r="G154" s="542" t="n"/>
      <c r="H154" s="542" t="n"/>
      <c r="I154" s="543" t="n"/>
      <c r="J154" s="192" t="n"/>
      <c r="K154" s="544">
        <f>IF(AND(ISNUMBER(F154),I154&gt;0),I154/(F154/60),"")</f>
        <v/>
      </c>
      <c r="L154" s="545" t="n">
        <v>1000</v>
      </c>
      <c r="M154" s="194">
        <f>IF(OR(ISNUMBER(SEARCH("サニテーション",C154)),ISNUMBER(SEARCH("客注",C154)),ISNUMBER(SEARCH("切り替え",C154)),ISNUMBER(SEARCH("切替",C154)),NOT(ISNUMBER(H154))),"",IF(ISNUMBER(G154),G154/60*H154*④前提設定!$B$4,IF(AND(G154="",ISNUMBER(F154)),F154/60*H154*④前提設定!$B$4,"")))</f>
        <v/>
      </c>
      <c r="N154" s="546">
        <f>IF(AND(I154&gt;0,ISNUMBER(M154)),M154/I154,"")</f>
        <v/>
      </c>
      <c r="O154" s="547">
        <f>IF(AND(J154&gt;0,ISNUMBER(M154)),M154/J154,"")</f>
        <v/>
      </c>
      <c r="P154" s="195" t="n"/>
      <c r="Q154" s="196" t="n"/>
      <c r="X154" s="334">
        <f>COUNTA(R154:W154)</f>
        <v/>
      </c>
      <c r="Y154" s="334">
        <f>IF(AND($X154&gt;0,ISNUMBER($M154)),$M154/$X154,"")</f>
        <v/>
      </c>
      <c r="Z154" s="334">
        <f>IF($X154=0,"",IF(COUNTIF(⑳商品別1食労務費!$C$5:$C$124,$R154)+COUNTIF(⑳商品別1食労務費!$C$5:$C$124,$S154)+COUNTIF(⑳商品別1食労務費!$C$5:$C$124,$T154)+COUNTIF(⑳商品別1食労務費!$C$5:$C$124,$U154)+COUNTIF(⑳商品別1食労務費!$C$5:$C$124,$V154)+COUNTIF(⑳商品別1食労務費!$C$5:$C$124,$W154)=$X154,"OK","⑳に無い商品名"))</f>
        <v/>
      </c>
      <c r="AA154" s="334">
        <f>SUMIF(⑳商品別1食労務費!$C$5:$C$124,$R154,⑳商品別1食労務費!$F$5:$F$124)+SUMIF(⑳商品別1食労務費!$C$5:$C$124,$S154,⑳商品別1食労務費!$F$5:$F$124)+SUMIF(⑳商品別1食労務費!$C$5:$C$124,$T154,⑳商品別1食労務費!$F$5:$F$124)+SUMIF(⑳商品別1食労務費!$C$5:$C$124,$U154,⑳商品別1食労務費!$F$5:$F$124)+SUMIF(⑳商品別1食労務費!$C$5:$C$124,$V154,⑳商品別1食労務費!$F$5:$F$124)+SUMIF(⑳商品別1食労務費!$C$5:$C$124,$W154,⑳商品別1食労務費!$F$5:$F$124)</f>
        <v/>
      </c>
      <c r="AB154" s="334">
        <f>IF(ISNUMBER($M154),$M154,0)</f>
        <v/>
      </c>
      <c r="AC154" s="334">
        <f>IF(AND($X154&gt;0,ISNUMBER($J154)),$J154/$X154,"")</f>
        <v/>
      </c>
      <c r="AD154" s="413">
        <f>IF($R154="",0,IF($AA154&gt;0,$AB154*SUMIF(⑳商品別1食労務費!$C$5:$C$124,$R154,⑳商品別1食労務費!$F$5:$F$124)/$AA154,$AB154/$X154))</f>
        <v/>
      </c>
      <c r="AE154" s="413">
        <f>IF($S154="",0,IF($AA154&gt;0,$AB154*SUMIF(⑳商品別1食労務費!$C$5:$C$124,$S154,⑳商品別1食労務費!$F$5:$F$124)/$AA154,$AB154/$X154))</f>
        <v/>
      </c>
      <c r="AF154" s="413">
        <f>IF($T154="",0,IF($AA154&gt;0,$AB154*SUMIF(⑳商品別1食労務費!$C$5:$C$124,$T154,⑳商品別1食労務費!$F$5:$F$124)/$AA154,$AB154/$X154))</f>
        <v/>
      </c>
      <c r="AG154" s="413">
        <f>IF($U154="",0,IF($AA154&gt;0,$AB154*SUMIF(⑳商品別1食労務費!$C$5:$C$124,$U154,⑳商品別1食労務費!$F$5:$F$124)/$AA154,$AB154/$X154))</f>
        <v/>
      </c>
      <c r="AH154" s="413">
        <f>IF($V154="",0,IF($AA154&gt;0,$AB154*SUMIF(⑳商品別1食労務費!$C$5:$C$124,$V154,⑳商品別1食労務費!$F$5:$F$124)/$AA154,$AB154/$X154))</f>
        <v/>
      </c>
      <c r="AI154" s="413">
        <f>IF($W154="",0,IF($AA154&gt;0,$AB154*SUMIF(⑳商品別1食労務費!$C$5:$C$124,$W154,⑳商品別1食労務費!$F$5:$F$124)/$AA154,$AB154/$X154))</f>
        <v/>
      </c>
    </row>
    <row r="155" hidden="1" s="438">
      <c r="A155" s="197" t="n">
        <v>151</v>
      </c>
      <c r="B155" s="198" t="inlineStr">
        <is>
          <t>盛り込み③</t>
        </is>
      </c>
      <c r="C155" s="229" t="n"/>
      <c r="D155" s="190" t="n"/>
      <c r="E155" s="190" t="n"/>
      <c r="F155" s="541">
        <f>IF(OR(D155="",E155=""),"",(E155-D155)*1440)</f>
        <v/>
      </c>
      <c r="G155" s="542" t="n"/>
      <c r="H155" s="542" t="n"/>
      <c r="I155" s="543" t="n"/>
      <c r="J155" s="192" t="n"/>
      <c r="K155" s="544">
        <f>IF(AND(ISNUMBER(F155),I155&gt;0),I155/(F155/60),"")</f>
        <v/>
      </c>
      <c r="L155" s="545" t="n">
        <v>800</v>
      </c>
      <c r="M155" s="194">
        <f>IF(OR(ISNUMBER(SEARCH("サニテーション",C155)),ISNUMBER(SEARCH("客注",C155)),ISNUMBER(SEARCH("切り替え",C155)),ISNUMBER(SEARCH("切替",C155)),NOT(ISNUMBER(H155))),"",IF(ISNUMBER(G155),G155/60*H155*④前提設定!$B$4,IF(AND(G155="",ISNUMBER(F155)),F155/60*H155*④前提設定!$B$4,"")))</f>
        <v/>
      </c>
      <c r="N155" s="546">
        <f>IF(AND(I155&gt;0,ISNUMBER(M155)),M155/I155,"")</f>
        <v/>
      </c>
      <c r="O155" s="547">
        <f>IF(AND(J155&gt;0,ISNUMBER(M155)),M155/J155,"")</f>
        <v/>
      </c>
      <c r="P155" s="199" t="n"/>
      <c r="Q155" s="200" t="n"/>
      <c r="X155" s="334">
        <f>COUNTA(R155:W155)</f>
        <v/>
      </c>
      <c r="Y155" s="334">
        <f>IF(AND($X155&gt;0,ISNUMBER($M155)),$M155/$X155,"")</f>
        <v/>
      </c>
      <c r="Z155" s="334">
        <f>IF($X155=0,"",IF(COUNTIF(⑳商品別1食労務費!$C$5:$C$124,$R155)+COUNTIF(⑳商品別1食労務費!$C$5:$C$124,$S155)+COUNTIF(⑳商品別1食労務費!$C$5:$C$124,$T155)+COUNTIF(⑳商品別1食労務費!$C$5:$C$124,$U155)+COUNTIF(⑳商品別1食労務費!$C$5:$C$124,$V155)+COUNTIF(⑳商品別1食労務費!$C$5:$C$124,$W155)=$X155,"OK","⑳に無い商品名"))</f>
        <v/>
      </c>
      <c r="AA155" s="334">
        <f>SUMIF(⑳商品別1食労務費!$C$5:$C$124,$R155,⑳商品別1食労務費!$F$5:$F$124)+SUMIF(⑳商品別1食労務費!$C$5:$C$124,$S155,⑳商品別1食労務費!$F$5:$F$124)+SUMIF(⑳商品別1食労務費!$C$5:$C$124,$T155,⑳商品別1食労務費!$F$5:$F$124)+SUMIF(⑳商品別1食労務費!$C$5:$C$124,$U155,⑳商品別1食労務費!$F$5:$F$124)+SUMIF(⑳商品別1食労務費!$C$5:$C$124,$V155,⑳商品別1食労務費!$F$5:$F$124)+SUMIF(⑳商品別1食労務費!$C$5:$C$124,$W155,⑳商品別1食労務費!$F$5:$F$124)</f>
        <v/>
      </c>
      <c r="AB155" s="334">
        <f>IF(ISNUMBER($M155),$M155,0)</f>
        <v/>
      </c>
      <c r="AC155" s="334">
        <f>IF(AND($X155&gt;0,ISNUMBER($J155)),$J155/$X155,"")</f>
        <v/>
      </c>
      <c r="AD155" s="413">
        <f>IF($R155="",0,IF($AA155&gt;0,$AB155*SUMIF(⑳商品別1食労務費!$C$5:$C$124,$R155,⑳商品別1食労務費!$F$5:$F$124)/$AA155,$AB155/$X155))</f>
        <v/>
      </c>
      <c r="AE155" s="413">
        <f>IF($S155="",0,IF($AA155&gt;0,$AB155*SUMIF(⑳商品別1食労務費!$C$5:$C$124,$S155,⑳商品別1食労務費!$F$5:$F$124)/$AA155,$AB155/$X155))</f>
        <v/>
      </c>
      <c r="AF155" s="413">
        <f>IF($T155="",0,IF($AA155&gt;0,$AB155*SUMIF(⑳商品別1食労務費!$C$5:$C$124,$T155,⑳商品別1食労務費!$F$5:$F$124)/$AA155,$AB155/$X155))</f>
        <v/>
      </c>
      <c r="AG155" s="413">
        <f>IF($U155="",0,IF($AA155&gt;0,$AB155*SUMIF(⑳商品別1食労務費!$C$5:$C$124,$U155,⑳商品別1食労務費!$F$5:$F$124)/$AA155,$AB155/$X155))</f>
        <v/>
      </c>
      <c r="AH155" s="413">
        <f>IF($V155="",0,IF($AA155&gt;0,$AB155*SUMIF(⑳商品別1食労務費!$C$5:$C$124,$V155,⑳商品別1食労務費!$F$5:$F$124)/$AA155,$AB155/$X155))</f>
        <v/>
      </c>
      <c r="AI155" s="413">
        <f>IF($W155="",0,IF($AA155&gt;0,$AB155*SUMIF(⑳商品別1食労務費!$C$5:$C$124,$W155,⑳商品別1食労務費!$F$5:$F$124)/$AA155,$AB155/$X155))</f>
        <v/>
      </c>
    </row>
    <row r="156" hidden="1" s="438">
      <c r="A156" s="188" t="n">
        <v>152</v>
      </c>
      <c r="B156" s="189" t="inlineStr">
        <is>
          <t>盛り込み③</t>
        </is>
      </c>
      <c r="C156" s="229" t="n"/>
      <c r="D156" s="190" t="n"/>
      <c r="E156" s="190" t="n"/>
      <c r="F156" s="541">
        <f>IF(OR(D156="",E156=""),"",(E156-D156)*1440)</f>
        <v/>
      </c>
      <c r="G156" s="542" t="n"/>
      <c r="H156" s="542" t="n"/>
      <c r="I156" s="543" t="n"/>
      <c r="J156" s="192" t="n"/>
      <c r="K156" s="544">
        <f>IF(AND(ISNUMBER(F156),I156&gt;0),I156/(F156/60),"")</f>
        <v/>
      </c>
      <c r="L156" s="545" t="n">
        <v>850</v>
      </c>
      <c r="M156" s="194">
        <f>IF(OR(ISNUMBER(SEARCH("サニテーション",C156)),ISNUMBER(SEARCH("客注",C156)),ISNUMBER(SEARCH("切り替え",C156)),ISNUMBER(SEARCH("切替",C156)),NOT(ISNUMBER(H156))),"",IF(ISNUMBER(G156),G156/60*H156*④前提設定!$B$4,IF(AND(G156="",ISNUMBER(F156)),F156/60*H156*④前提設定!$B$4,"")))</f>
        <v/>
      </c>
      <c r="N156" s="546">
        <f>IF(AND(I156&gt;0,ISNUMBER(M156)),M156/I156,"")</f>
        <v/>
      </c>
      <c r="O156" s="547">
        <f>IF(AND(J156&gt;0,ISNUMBER(M156)),M156/J156,"")</f>
        <v/>
      </c>
      <c r="P156" s="195" t="n"/>
      <c r="Q156" s="196" t="n"/>
      <c r="X156" s="334">
        <f>COUNTA(R156:W156)</f>
        <v/>
      </c>
      <c r="Y156" s="334">
        <f>IF(AND($X156&gt;0,ISNUMBER($M156)),$M156/$X156,"")</f>
        <v/>
      </c>
      <c r="Z156" s="334">
        <f>IF($X156=0,"",IF(COUNTIF(⑳商品別1食労務費!$C$5:$C$124,$R156)+COUNTIF(⑳商品別1食労務費!$C$5:$C$124,$S156)+COUNTIF(⑳商品別1食労務費!$C$5:$C$124,$T156)+COUNTIF(⑳商品別1食労務費!$C$5:$C$124,$U156)+COUNTIF(⑳商品別1食労務費!$C$5:$C$124,$V156)+COUNTIF(⑳商品別1食労務費!$C$5:$C$124,$W156)=$X156,"OK","⑳に無い商品名"))</f>
        <v/>
      </c>
      <c r="AA156" s="334">
        <f>SUMIF(⑳商品別1食労務費!$C$5:$C$124,$R156,⑳商品別1食労務費!$F$5:$F$124)+SUMIF(⑳商品別1食労務費!$C$5:$C$124,$S156,⑳商品別1食労務費!$F$5:$F$124)+SUMIF(⑳商品別1食労務費!$C$5:$C$124,$T156,⑳商品別1食労務費!$F$5:$F$124)+SUMIF(⑳商品別1食労務費!$C$5:$C$124,$U156,⑳商品別1食労務費!$F$5:$F$124)+SUMIF(⑳商品別1食労務費!$C$5:$C$124,$V156,⑳商品別1食労務費!$F$5:$F$124)+SUMIF(⑳商品別1食労務費!$C$5:$C$124,$W156,⑳商品別1食労務費!$F$5:$F$124)</f>
        <v/>
      </c>
      <c r="AB156" s="334">
        <f>IF(ISNUMBER($M156),$M156,0)</f>
        <v/>
      </c>
      <c r="AC156" s="334">
        <f>IF(AND($X156&gt;0,ISNUMBER($J156)),$J156/$X156,"")</f>
        <v/>
      </c>
      <c r="AD156" s="413">
        <f>IF($R156="",0,IF($AA156&gt;0,$AB156*SUMIF(⑳商品別1食労務費!$C$5:$C$124,$R156,⑳商品別1食労務費!$F$5:$F$124)/$AA156,$AB156/$X156))</f>
        <v/>
      </c>
      <c r="AE156" s="413">
        <f>IF($S156="",0,IF($AA156&gt;0,$AB156*SUMIF(⑳商品別1食労務費!$C$5:$C$124,$S156,⑳商品別1食労務費!$F$5:$F$124)/$AA156,$AB156/$X156))</f>
        <v/>
      </c>
      <c r="AF156" s="413">
        <f>IF($T156="",0,IF($AA156&gt;0,$AB156*SUMIF(⑳商品別1食労務費!$C$5:$C$124,$T156,⑳商品別1食労務費!$F$5:$F$124)/$AA156,$AB156/$X156))</f>
        <v/>
      </c>
      <c r="AG156" s="413">
        <f>IF($U156="",0,IF($AA156&gt;0,$AB156*SUMIF(⑳商品別1食労務費!$C$5:$C$124,$U156,⑳商品別1食労務費!$F$5:$F$124)/$AA156,$AB156/$X156))</f>
        <v/>
      </c>
      <c r="AH156" s="413">
        <f>IF($V156="",0,IF($AA156&gt;0,$AB156*SUMIF(⑳商品別1食労務費!$C$5:$C$124,$V156,⑳商品別1食労務費!$F$5:$F$124)/$AA156,$AB156/$X156))</f>
        <v/>
      </c>
      <c r="AI156" s="413">
        <f>IF($W156="",0,IF($AA156&gt;0,$AB156*SUMIF(⑳商品別1食労務費!$C$5:$C$124,$W156,⑳商品別1食労務費!$F$5:$F$124)/$AA156,$AB156/$X156))</f>
        <v/>
      </c>
    </row>
    <row r="157" hidden="1" s="438">
      <c r="A157" s="197" t="n">
        <v>153</v>
      </c>
      <c r="B157" s="198" t="inlineStr">
        <is>
          <t>盛り込み④</t>
        </is>
      </c>
      <c r="C157" s="229" t="n"/>
      <c r="D157" s="190" t="n"/>
      <c r="E157" s="190" t="n"/>
      <c r="F157" s="541">
        <f>IF(OR(D157="",E157=""),"",(E157-D157)*1440)</f>
        <v/>
      </c>
      <c r="G157" s="542" t="n"/>
      <c r="H157" s="542" t="n"/>
      <c r="I157" s="543" t="n"/>
      <c r="J157" s="192" t="n"/>
      <c r="K157" s="544">
        <f>IF(AND(ISNUMBER(F157),I157&gt;0),I157/(F157/60),"")</f>
        <v/>
      </c>
      <c r="L157" s="545" t="n">
        <v>2100</v>
      </c>
      <c r="M157" s="194">
        <f>IF(OR(ISNUMBER(SEARCH("サニテーション",C157)),ISNUMBER(SEARCH("客注",C157)),ISNUMBER(SEARCH("切り替え",C157)),ISNUMBER(SEARCH("切替",C157)),NOT(ISNUMBER(H157))),"",IF(ISNUMBER(G157),G157/60*H157*④前提設定!$B$4,IF(AND(G157="",ISNUMBER(F157)),F157/60*H157*④前提設定!$B$4,"")))</f>
        <v/>
      </c>
      <c r="N157" s="546">
        <f>IF(AND(I157&gt;0,ISNUMBER(M157)),M157/I157,"")</f>
        <v/>
      </c>
      <c r="O157" s="547">
        <f>IF(AND(J157&gt;0,ISNUMBER(M157)),M157/J157,"")</f>
        <v/>
      </c>
      <c r="P157" s="199" t="n"/>
      <c r="Q157" s="200" t="n"/>
      <c r="X157" s="334">
        <f>COUNTA(R157:W157)</f>
        <v/>
      </c>
      <c r="Y157" s="334">
        <f>IF(AND($X157&gt;0,ISNUMBER($M157)),$M157/$X157,"")</f>
        <v/>
      </c>
      <c r="Z157" s="334">
        <f>IF($X157=0,"",IF(COUNTIF(⑳商品別1食労務費!$C$5:$C$124,$R157)+COUNTIF(⑳商品別1食労務費!$C$5:$C$124,$S157)+COUNTIF(⑳商品別1食労務費!$C$5:$C$124,$T157)+COUNTIF(⑳商品別1食労務費!$C$5:$C$124,$U157)+COUNTIF(⑳商品別1食労務費!$C$5:$C$124,$V157)+COUNTIF(⑳商品別1食労務費!$C$5:$C$124,$W157)=$X157,"OK","⑳に無い商品名"))</f>
        <v/>
      </c>
      <c r="AA157" s="334">
        <f>SUMIF(⑳商品別1食労務費!$C$5:$C$124,$R157,⑳商品別1食労務費!$F$5:$F$124)+SUMIF(⑳商品別1食労務費!$C$5:$C$124,$S157,⑳商品別1食労務費!$F$5:$F$124)+SUMIF(⑳商品別1食労務費!$C$5:$C$124,$T157,⑳商品別1食労務費!$F$5:$F$124)+SUMIF(⑳商品別1食労務費!$C$5:$C$124,$U157,⑳商品別1食労務費!$F$5:$F$124)+SUMIF(⑳商品別1食労務費!$C$5:$C$124,$V157,⑳商品別1食労務費!$F$5:$F$124)+SUMIF(⑳商品別1食労務費!$C$5:$C$124,$W157,⑳商品別1食労務費!$F$5:$F$124)</f>
        <v/>
      </c>
      <c r="AB157" s="334">
        <f>IF(ISNUMBER($M157),$M157,0)</f>
        <v/>
      </c>
      <c r="AC157" s="334">
        <f>IF(AND($X157&gt;0,ISNUMBER($J157)),$J157/$X157,"")</f>
        <v/>
      </c>
      <c r="AD157" s="413">
        <f>IF($R157="",0,IF($AA157&gt;0,$AB157*SUMIF(⑳商品別1食労務費!$C$5:$C$124,$R157,⑳商品別1食労務費!$F$5:$F$124)/$AA157,$AB157/$X157))</f>
        <v/>
      </c>
      <c r="AE157" s="413">
        <f>IF($S157="",0,IF($AA157&gt;0,$AB157*SUMIF(⑳商品別1食労務費!$C$5:$C$124,$S157,⑳商品別1食労務費!$F$5:$F$124)/$AA157,$AB157/$X157))</f>
        <v/>
      </c>
      <c r="AF157" s="413">
        <f>IF($T157="",0,IF($AA157&gt;0,$AB157*SUMIF(⑳商品別1食労務費!$C$5:$C$124,$T157,⑳商品別1食労務費!$F$5:$F$124)/$AA157,$AB157/$X157))</f>
        <v/>
      </c>
      <c r="AG157" s="413">
        <f>IF($U157="",0,IF($AA157&gt;0,$AB157*SUMIF(⑳商品別1食労務費!$C$5:$C$124,$U157,⑳商品別1食労務費!$F$5:$F$124)/$AA157,$AB157/$X157))</f>
        <v/>
      </c>
      <c r="AH157" s="413">
        <f>IF($V157="",0,IF($AA157&gt;0,$AB157*SUMIF(⑳商品別1食労務費!$C$5:$C$124,$V157,⑳商品別1食労務費!$F$5:$F$124)/$AA157,$AB157/$X157))</f>
        <v/>
      </c>
      <c r="AI157" s="413">
        <f>IF($W157="",0,IF($AA157&gt;0,$AB157*SUMIF(⑳商品別1食労務費!$C$5:$C$124,$W157,⑳商品別1食労務費!$F$5:$F$124)/$AA157,$AB157/$X157))</f>
        <v/>
      </c>
    </row>
    <row r="158" hidden="1" s="438">
      <c r="A158" s="188" t="n">
        <v>154</v>
      </c>
      <c r="B158" s="189" t="inlineStr">
        <is>
          <t>盛り込み④</t>
        </is>
      </c>
      <c r="C158" s="229" t="n"/>
      <c r="D158" s="190" t="n"/>
      <c r="E158" s="190" t="n"/>
      <c r="F158" s="541">
        <f>IF(OR(D158="",E158=""),"",(E158-D158)*1440)</f>
        <v/>
      </c>
      <c r="G158" s="542" t="n"/>
      <c r="H158" s="542" t="n"/>
      <c r="I158" s="543" t="n"/>
      <c r="J158" s="192" t="n"/>
      <c r="K158" s="544">
        <f>IF(AND(ISNUMBER(F158),I158&gt;0),I158/(F158/60),"")</f>
        <v/>
      </c>
      <c r="L158" s="545" t="n">
        <v>350</v>
      </c>
      <c r="M158" s="194">
        <f>IF(OR(ISNUMBER(SEARCH("サニテーション",C158)),ISNUMBER(SEARCH("客注",C158)),ISNUMBER(SEARCH("切り替え",C158)),ISNUMBER(SEARCH("切替",C158)),NOT(ISNUMBER(H158))),"",IF(ISNUMBER(G158),G158/60*H158*④前提設定!$B$4,IF(AND(G158="",ISNUMBER(F158)),F158/60*H158*④前提設定!$B$4,"")))</f>
        <v/>
      </c>
      <c r="N158" s="546">
        <f>IF(AND(I158&gt;0,ISNUMBER(M158)),M158/I158,"")</f>
        <v/>
      </c>
      <c r="O158" s="547">
        <f>IF(AND(J158&gt;0,ISNUMBER(M158)),M158/J158,"")</f>
        <v/>
      </c>
      <c r="P158" s="195" t="n"/>
      <c r="Q158" s="196" t="n"/>
      <c r="X158" s="334">
        <f>COUNTA(R158:W158)</f>
        <v/>
      </c>
      <c r="Y158" s="334">
        <f>IF(AND($X158&gt;0,ISNUMBER($M158)),$M158/$X158,"")</f>
        <v/>
      </c>
      <c r="Z158" s="334">
        <f>IF($X158=0,"",IF(COUNTIF(⑳商品別1食労務費!$C$5:$C$124,$R158)+COUNTIF(⑳商品別1食労務費!$C$5:$C$124,$S158)+COUNTIF(⑳商品別1食労務費!$C$5:$C$124,$T158)+COUNTIF(⑳商品別1食労務費!$C$5:$C$124,$U158)+COUNTIF(⑳商品別1食労務費!$C$5:$C$124,$V158)+COUNTIF(⑳商品別1食労務費!$C$5:$C$124,$W158)=$X158,"OK","⑳に無い商品名"))</f>
        <v/>
      </c>
      <c r="AA158" s="334">
        <f>SUMIF(⑳商品別1食労務費!$C$5:$C$124,$R158,⑳商品別1食労務費!$F$5:$F$124)+SUMIF(⑳商品別1食労務費!$C$5:$C$124,$S158,⑳商品別1食労務費!$F$5:$F$124)+SUMIF(⑳商品別1食労務費!$C$5:$C$124,$T158,⑳商品別1食労務費!$F$5:$F$124)+SUMIF(⑳商品別1食労務費!$C$5:$C$124,$U158,⑳商品別1食労務費!$F$5:$F$124)+SUMIF(⑳商品別1食労務費!$C$5:$C$124,$V158,⑳商品別1食労務費!$F$5:$F$124)+SUMIF(⑳商品別1食労務費!$C$5:$C$124,$W158,⑳商品別1食労務費!$F$5:$F$124)</f>
        <v/>
      </c>
      <c r="AB158" s="334">
        <f>IF(ISNUMBER($M158),$M158,0)</f>
        <v/>
      </c>
      <c r="AC158" s="334">
        <f>IF(AND($X158&gt;0,ISNUMBER($J158)),$J158/$X158,"")</f>
        <v/>
      </c>
      <c r="AD158" s="413">
        <f>IF($R158="",0,IF($AA158&gt;0,$AB158*SUMIF(⑳商品別1食労務費!$C$5:$C$124,$R158,⑳商品別1食労務費!$F$5:$F$124)/$AA158,$AB158/$X158))</f>
        <v/>
      </c>
      <c r="AE158" s="413">
        <f>IF($S158="",0,IF($AA158&gt;0,$AB158*SUMIF(⑳商品別1食労務費!$C$5:$C$124,$S158,⑳商品別1食労務費!$F$5:$F$124)/$AA158,$AB158/$X158))</f>
        <v/>
      </c>
      <c r="AF158" s="413">
        <f>IF($T158="",0,IF($AA158&gt;0,$AB158*SUMIF(⑳商品別1食労務費!$C$5:$C$124,$T158,⑳商品別1食労務費!$F$5:$F$124)/$AA158,$AB158/$X158))</f>
        <v/>
      </c>
      <c r="AG158" s="413">
        <f>IF($U158="",0,IF($AA158&gt;0,$AB158*SUMIF(⑳商品別1食労務費!$C$5:$C$124,$U158,⑳商品別1食労務費!$F$5:$F$124)/$AA158,$AB158/$X158))</f>
        <v/>
      </c>
      <c r="AH158" s="413">
        <f>IF($V158="",0,IF($AA158&gt;0,$AB158*SUMIF(⑳商品別1食労務費!$C$5:$C$124,$V158,⑳商品別1食労務費!$F$5:$F$124)/$AA158,$AB158/$X158))</f>
        <v/>
      </c>
      <c r="AI158" s="413">
        <f>IF($W158="",0,IF($AA158&gt;0,$AB158*SUMIF(⑳商品別1食労務費!$C$5:$C$124,$W158,⑳商品別1食労務費!$F$5:$F$124)/$AA158,$AB158/$X158))</f>
        <v/>
      </c>
    </row>
    <row r="159" hidden="1" s="438">
      <c r="A159" s="197" t="n">
        <v>155</v>
      </c>
      <c r="B159" s="198" t="inlineStr">
        <is>
          <t>盛り込み④</t>
        </is>
      </c>
      <c r="C159" s="229" t="n"/>
      <c r="D159" s="190" t="n"/>
      <c r="E159" s="190" t="n"/>
      <c r="F159" s="541">
        <f>IF(OR(D159="",E159=""),"",(E159-D159)*1440)</f>
        <v/>
      </c>
      <c r="G159" s="542" t="n"/>
      <c r="H159" s="542" t="n"/>
      <c r="I159" s="543" t="n"/>
      <c r="J159" s="192" t="n"/>
      <c r="K159" s="544">
        <f>IF(AND(ISNUMBER(F159),I159&gt;0),I159/(F159/60),"")</f>
        <v/>
      </c>
      <c r="L159" s="545" t="n">
        <v>1300</v>
      </c>
      <c r="M159" s="194">
        <f>IF(OR(ISNUMBER(SEARCH("サニテーション",C159)),ISNUMBER(SEARCH("客注",C159)),ISNUMBER(SEARCH("切り替え",C159)),ISNUMBER(SEARCH("切替",C159)),NOT(ISNUMBER(H159))),"",IF(ISNUMBER(G159),G159/60*H159*④前提設定!$B$4,IF(AND(G159="",ISNUMBER(F159)),F159/60*H159*④前提設定!$B$4,"")))</f>
        <v/>
      </c>
      <c r="N159" s="546">
        <f>IF(AND(I159&gt;0,ISNUMBER(M159)),M159/I159,"")</f>
        <v/>
      </c>
      <c r="O159" s="547">
        <f>IF(AND(J159&gt;0,ISNUMBER(M159)),M159/J159,"")</f>
        <v/>
      </c>
      <c r="P159" s="199" t="n"/>
      <c r="Q159" s="200" t="n"/>
      <c r="X159" s="334">
        <f>COUNTA(R159:W159)</f>
        <v/>
      </c>
      <c r="Y159" s="334">
        <f>IF(AND($X159&gt;0,ISNUMBER($M159)),$M159/$X159,"")</f>
        <v/>
      </c>
      <c r="Z159" s="334">
        <f>IF($X159=0,"",IF(COUNTIF(⑳商品別1食労務費!$C$5:$C$124,$R159)+COUNTIF(⑳商品別1食労務費!$C$5:$C$124,$S159)+COUNTIF(⑳商品別1食労務費!$C$5:$C$124,$T159)+COUNTIF(⑳商品別1食労務費!$C$5:$C$124,$U159)+COUNTIF(⑳商品別1食労務費!$C$5:$C$124,$V159)+COUNTIF(⑳商品別1食労務費!$C$5:$C$124,$W159)=$X159,"OK","⑳に無い商品名"))</f>
        <v/>
      </c>
      <c r="AA159" s="334">
        <f>SUMIF(⑳商品別1食労務費!$C$5:$C$124,$R159,⑳商品別1食労務費!$F$5:$F$124)+SUMIF(⑳商品別1食労務費!$C$5:$C$124,$S159,⑳商品別1食労務費!$F$5:$F$124)+SUMIF(⑳商品別1食労務費!$C$5:$C$124,$T159,⑳商品別1食労務費!$F$5:$F$124)+SUMIF(⑳商品別1食労務費!$C$5:$C$124,$U159,⑳商品別1食労務費!$F$5:$F$124)+SUMIF(⑳商品別1食労務費!$C$5:$C$124,$V159,⑳商品別1食労務費!$F$5:$F$124)+SUMIF(⑳商品別1食労務費!$C$5:$C$124,$W159,⑳商品別1食労務費!$F$5:$F$124)</f>
        <v/>
      </c>
      <c r="AB159" s="334">
        <f>IF(ISNUMBER($M159),$M159,0)</f>
        <v/>
      </c>
      <c r="AC159" s="334">
        <f>IF(AND($X159&gt;0,ISNUMBER($J159)),$J159/$X159,"")</f>
        <v/>
      </c>
      <c r="AD159" s="413">
        <f>IF($R159="",0,IF($AA159&gt;0,$AB159*SUMIF(⑳商品別1食労務費!$C$5:$C$124,$R159,⑳商品別1食労務費!$F$5:$F$124)/$AA159,$AB159/$X159))</f>
        <v/>
      </c>
      <c r="AE159" s="413">
        <f>IF($S159="",0,IF($AA159&gt;0,$AB159*SUMIF(⑳商品別1食労務費!$C$5:$C$124,$S159,⑳商品別1食労務費!$F$5:$F$124)/$AA159,$AB159/$X159))</f>
        <v/>
      </c>
      <c r="AF159" s="413">
        <f>IF($T159="",0,IF($AA159&gt;0,$AB159*SUMIF(⑳商品別1食労務費!$C$5:$C$124,$T159,⑳商品別1食労務費!$F$5:$F$124)/$AA159,$AB159/$X159))</f>
        <v/>
      </c>
      <c r="AG159" s="413">
        <f>IF($U159="",0,IF($AA159&gt;0,$AB159*SUMIF(⑳商品別1食労務費!$C$5:$C$124,$U159,⑳商品別1食労務費!$F$5:$F$124)/$AA159,$AB159/$X159))</f>
        <v/>
      </c>
      <c r="AH159" s="413">
        <f>IF($V159="",0,IF($AA159&gt;0,$AB159*SUMIF(⑳商品別1食労務費!$C$5:$C$124,$V159,⑳商品別1食労務費!$F$5:$F$124)/$AA159,$AB159/$X159))</f>
        <v/>
      </c>
      <c r="AI159" s="413">
        <f>IF($W159="",0,IF($AA159&gt;0,$AB159*SUMIF(⑳商品別1食労務費!$C$5:$C$124,$W159,⑳商品別1食労務費!$F$5:$F$124)/$AA159,$AB159/$X159))</f>
        <v/>
      </c>
    </row>
    <row r="160" hidden="1" ht="13.5" customHeight="1" s="438" thickBot="1">
      <c r="A160" s="473" t="n">
        <v>156</v>
      </c>
      <c r="B160" s="474" t="n"/>
      <c r="C160" s="475" t="n"/>
      <c r="D160" s="201" t="n"/>
      <c r="E160" s="201" t="n"/>
      <c r="F160" s="201">
        <f>IF(OR(D160="",E160=""),"",(E160-D160)*1440)</f>
        <v/>
      </c>
      <c r="G160" s="202" t="n"/>
      <c r="H160" s="202" t="n"/>
      <c r="I160" s="202" t="n"/>
      <c r="J160" s="202" t="n"/>
      <c r="K160" s="548">
        <f>IF(AND(ISNUMBER(F160),I160&gt;0),I160/(F160/60),"")</f>
        <v/>
      </c>
      <c r="L160" s="548" t="n">
        <v>2100</v>
      </c>
      <c r="M160" s="202">
        <f>IF(OR(ISNUMBER(SEARCH("サニテーション",C160)),ISNUMBER(SEARCH("客注",C160)),ISNUMBER(SEARCH("切り替え",C160)),ISNUMBER(SEARCH("切替",C160)),NOT(ISNUMBER(H160))),"",IF(ISNUMBER(G160),G160/60*H160*④前提設定!$B$4,IF(AND(G160="",ISNUMBER(F160)),F160/60*H160*④前提設定!$B$4,"")))</f>
        <v/>
      </c>
      <c r="N160" s="548">
        <f>IF(AND(I160&gt;0,ISNUMBER(M160)),M160/I160,"")</f>
        <v/>
      </c>
      <c r="O160" s="548">
        <f>IF(AND(J160&gt;0,ISNUMBER(M160)),M160/J160,"")</f>
        <v/>
      </c>
      <c r="P160" s="201" t="n"/>
      <c r="Q160" s="201" t="n"/>
      <c r="X160" s="334">
        <f>COUNTA(R160:W160)</f>
        <v/>
      </c>
      <c r="Y160" s="334">
        <f>IF(AND($X160&gt;0,ISNUMBER($M160)),$M160/$X160,"")</f>
        <v/>
      </c>
      <c r="Z160" s="334">
        <f>IF($X160=0,"",IF(COUNTIF(⑳商品別1食労務費!$C$5:$C$124,$R160)+COUNTIF(⑳商品別1食労務費!$C$5:$C$124,$S160)+COUNTIF(⑳商品別1食労務費!$C$5:$C$124,$T160)+COUNTIF(⑳商品別1食労務費!$C$5:$C$124,$U160)+COUNTIF(⑳商品別1食労務費!$C$5:$C$124,$V160)+COUNTIF(⑳商品別1食労務費!$C$5:$C$124,$W160)=$X160,"OK","⑳に無い商品名"))</f>
        <v/>
      </c>
      <c r="AA160" s="334">
        <f>SUMIF(⑳商品別1食労務費!$C$5:$C$124,$R160,⑳商品別1食労務費!$F$5:$F$124)+SUMIF(⑳商品別1食労務費!$C$5:$C$124,$S160,⑳商品別1食労務費!$F$5:$F$124)+SUMIF(⑳商品別1食労務費!$C$5:$C$124,$T160,⑳商品別1食労務費!$F$5:$F$124)+SUMIF(⑳商品別1食労務費!$C$5:$C$124,$U160,⑳商品別1食労務費!$F$5:$F$124)+SUMIF(⑳商品別1食労務費!$C$5:$C$124,$V160,⑳商品別1食労務費!$F$5:$F$124)+SUMIF(⑳商品別1食労務費!$C$5:$C$124,$W160,⑳商品別1食労務費!$F$5:$F$124)</f>
        <v/>
      </c>
      <c r="AB160" s="334">
        <f>IF(ISNUMBER($M160),$M160,0)</f>
        <v/>
      </c>
      <c r="AC160" s="334">
        <f>IF(AND($X160&gt;0,ISNUMBER($J160)),$J160/$X160,"")</f>
        <v/>
      </c>
      <c r="AD160" s="413">
        <f>IF($R160="",0,IF($AA160&gt;0,$AB160*SUMIF(⑳商品別1食労務費!$C$5:$C$124,$R160,⑳商品別1食労務費!$F$5:$F$124)/$AA160,$AB160/$X160))</f>
        <v/>
      </c>
      <c r="AE160" s="413">
        <f>IF($S160="",0,IF($AA160&gt;0,$AB160*SUMIF(⑳商品別1食労務費!$C$5:$C$124,$S160,⑳商品別1食労務費!$F$5:$F$124)/$AA160,$AB160/$X160))</f>
        <v/>
      </c>
      <c r="AF160" s="413">
        <f>IF($T160="",0,IF($AA160&gt;0,$AB160*SUMIF(⑳商品別1食労務費!$C$5:$C$124,$T160,⑳商品別1食労務費!$F$5:$F$124)/$AA160,$AB160/$X160))</f>
        <v/>
      </c>
      <c r="AG160" s="413">
        <f>IF($U160="",0,IF($AA160&gt;0,$AB160*SUMIF(⑳商品別1食労務費!$C$5:$C$124,$U160,⑳商品別1食労務費!$F$5:$F$124)/$AA160,$AB160/$X160))</f>
        <v/>
      </c>
      <c r="AH160" s="413">
        <f>IF($V160="",0,IF($AA160&gt;0,$AB160*SUMIF(⑳商品別1食労務費!$C$5:$C$124,$V160,⑳商品別1食労務費!$F$5:$F$124)/$AA160,$AB160/$X160))</f>
        <v/>
      </c>
      <c r="AI160" s="413">
        <f>IF($W160="",0,IF($AA160&gt;0,$AB160*SUMIF(⑳商品別1食労務費!$C$5:$C$124,$W160,⑳商品別1食労務費!$F$5:$F$124)/$AA160,$AB160/$X160))</f>
        <v/>
      </c>
    </row>
    <row r="161" hidden="1" s="438">
      <c r="A161" t="n">
        <v>157</v>
      </c>
      <c r="B161" t="inlineStr">
        <is>
          <t>盛り込み④</t>
        </is>
      </c>
      <c r="F161">
        <f>IF(OR(D161="",E161=""),"",(E161-D161)*1440)</f>
        <v/>
      </c>
      <c r="K161" s="517">
        <f>IF(AND(ISNUMBER(F161),I161&gt;0),I161/(F161/60),"")</f>
        <v/>
      </c>
      <c r="L161" s="549" t="n">
        <v>1000</v>
      </c>
      <c r="M161" s="334">
        <f>IF(OR(ISNUMBER(SEARCH("サニテーション",C161)),ISNUMBER(SEARCH("客注",C161)),ISNUMBER(SEARCH("切り替え",C161)),ISNUMBER(SEARCH("切替",C161)),NOT(ISNUMBER(H161))),"",IF(ISNUMBER(G161),G161/60*H161*④前提設定!$B$4,IF(AND(G161="",ISNUMBER(F161)),F161/60*H161*④前提設定!$B$4,"")))</f>
        <v/>
      </c>
      <c r="N161" s="517">
        <f>IF(AND(I161&gt;0,ISNUMBER(M161)),M161/I161,"")</f>
        <v/>
      </c>
      <c r="O161" s="549">
        <f>IF(AND(J161&gt;0,ISNUMBER(M161)),M161/J161,"")</f>
        <v/>
      </c>
      <c r="X161" s="334">
        <f>COUNTA(R161:W161)</f>
        <v/>
      </c>
      <c r="Y161" s="334">
        <f>IF(AND($X161&gt;0,ISNUMBER($M161)),$M161/$X161,"")</f>
        <v/>
      </c>
      <c r="Z161" s="334">
        <f>IF($X161=0,"",IF(COUNTIF(⑳商品別1食労務費!$C$5:$C$124,$R161)+COUNTIF(⑳商品別1食労務費!$C$5:$C$124,$S161)+COUNTIF(⑳商品別1食労務費!$C$5:$C$124,$T161)+COUNTIF(⑳商品別1食労務費!$C$5:$C$124,$U161)+COUNTIF(⑳商品別1食労務費!$C$5:$C$124,$V161)+COUNTIF(⑳商品別1食労務費!$C$5:$C$124,$W161)=$X161,"OK","⑳に無い商品名"))</f>
        <v/>
      </c>
      <c r="AA161" s="334">
        <f>SUMIF(⑳商品別1食労務費!$C$5:$C$124,$R161,⑳商品別1食労務費!$F$5:$F$124)+SUMIF(⑳商品別1食労務費!$C$5:$C$124,$S161,⑳商品別1食労務費!$F$5:$F$124)+SUMIF(⑳商品別1食労務費!$C$5:$C$124,$T161,⑳商品別1食労務費!$F$5:$F$124)+SUMIF(⑳商品別1食労務費!$C$5:$C$124,$U161,⑳商品別1食労務費!$F$5:$F$124)+SUMIF(⑳商品別1食労務費!$C$5:$C$124,$V161,⑳商品別1食労務費!$F$5:$F$124)+SUMIF(⑳商品別1食労務費!$C$5:$C$124,$W161,⑳商品別1食労務費!$F$5:$F$124)</f>
        <v/>
      </c>
      <c r="AB161" s="334">
        <f>IF(ISNUMBER($M161),$M161,0)</f>
        <v/>
      </c>
      <c r="AC161" s="334">
        <f>IF(AND($X161&gt;0,ISNUMBER($J161)),$J161/$X161,"")</f>
        <v/>
      </c>
      <c r="AD161" s="413">
        <f>IF($R161="",0,IF($AA161&gt;0,$AB161*SUMIF(⑳商品別1食労務費!$C$5:$C$124,$R161,⑳商品別1食労務費!$F$5:$F$124)/$AA161,$AB161/$X161))</f>
        <v/>
      </c>
      <c r="AE161" s="413">
        <f>IF($S161="",0,IF($AA161&gt;0,$AB161*SUMIF(⑳商品別1食労務費!$C$5:$C$124,$S161,⑳商品別1食労務費!$F$5:$F$124)/$AA161,$AB161/$X161))</f>
        <v/>
      </c>
      <c r="AF161" s="413">
        <f>IF($T161="",0,IF($AA161&gt;0,$AB161*SUMIF(⑳商品別1食労務費!$C$5:$C$124,$T161,⑳商品別1食労務費!$F$5:$F$124)/$AA161,$AB161/$X161))</f>
        <v/>
      </c>
      <c r="AG161" s="413">
        <f>IF($U161="",0,IF($AA161&gt;0,$AB161*SUMIF(⑳商品別1食労務費!$C$5:$C$124,$U161,⑳商品別1食労務費!$F$5:$F$124)/$AA161,$AB161/$X161))</f>
        <v/>
      </c>
      <c r="AH161" s="413">
        <f>IF($V161="",0,IF($AA161&gt;0,$AB161*SUMIF(⑳商品別1食労務費!$C$5:$C$124,$V161,⑳商品別1食労務費!$F$5:$F$124)/$AA161,$AB161/$X161))</f>
        <v/>
      </c>
      <c r="AI161" s="413">
        <f>IF($W161="",0,IF($AA161&gt;0,$AB161*SUMIF(⑳商品別1食労務費!$C$5:$C$124,$W161,⑳商品別1食労務費!$F$5:$F$124)/$AA161,$AB161/$X161))</f>
        <v/>
      </c>
    </row>
    <row r="162" hidden="1" s="438">
      <c r="A162" s="188" t="n">
        <v>158</v>
      </c>
      <c r="B162" s="189" t="inlineStr">
        <is>
          <t>盛り込み④</t>
        </is>
      </c>
      <c r="C162" s="229" t="n"/>
      <c r="D162" s="190" t="n"/>
      <c r="E162" s="190" t="n"/>
      <c r="F162" s="541">
        <f>IF(OR(D162="",E162=""),"",(E162-D162)*1440)</f>
        <v/>
      </c>
      <c r="G162" s="542" t="n"/>
      <c r="H162" s="542" t="n"/>
      <c r="I162" s="543" t="n"/>
      <c r="J162" s="192" t="n"/>
      <c r="K162" s="544">
        <f>IF(AND(ISNUMBER(F162),I162&gt;0),I162/(F162/60),"")</f>
        <v/>
      </c>
      <c r="L162" s="545" t="n">
        <v>1300</v>
      </c>
      <c r="M162" s="194">
        <f>IF(OR(ISNUMBER(SEARCH("サニテーション",C162)),ISNUMBER(SEARCH("客注",C162)),ISNUMBER(SEARCH("切り替え",C162)),ISNUMBER(SEARCH("切替",C162)),NOT(ISNUMBER(H162))),"",IF(ISNUMBER(G162),G162/60*H162*④前提設定!$B$4,IF(AND(G162="",ISNUMBER(F162)),F162/60*H162*④前提設定!$B$4,"")))</f>
        <v/>
      </c>
      <c r="N162" s="546">
        <f>IF(AND(I162&gt;0,ISNUMBER(M162)),M162/I162,"")</f>
        <v/>
      </c>
      <c r="O162" s="547">
        <f>IF(AND(J162&gt;0,ISNUMBER(M162)),M162/J162,"")</f>
        <v/>
      </c>
      <c r="P162" s="195" t="n"/>
      <c r="Q162" s="196" t="n"/>
      <c r="X162" s="334">
        <f>COUNTA(R162:W162)</f>
        <v/>
      </c>
      <c r="Y162" s="334">
        <f>IF(AND($X162&gt;0,ISNUMBER($M162)),$M162/$X162,"")</f>
        <v/>
      </c>
      <c r="Z162" s="334">
        <f>IF($X162=0,"",IF(COUNTIF(⑳商品別1食労務費!$C$5:$C$124,$R162)+COUNTIF(⑳商品別1食労務費!$C$5:$C$124,$S162)+COUNTIF(⑳商品別1食労務費!$C$5:$C$124,$T162)+COUNTIF(⑳商品別1食労務費!$C$5:$C$124,$U162)+COUNTIF(⑳商品別1食労務費!$C$5:$C$124,$V162)+COUNTIF(⑳商品別1食労務費!$C$5:$C$124,$W162)=$X162,"OK","⑳に無い商品名"))</f>
        <v/>
      </c>
      <c r="AA162" s="334">
        <f>SUMIF(⑳商品別1食労務費!$C$5:$C$124,$R162,⑳商品別1食労務費!$F$5:$F$124)+SUMIF(⑳商品別1食労務費!$C$5:$C$124,$S162,⑳商品別1食労務費!$F$5:$F$124)+SUMIF(⑳商品別1食労務費!$C$5:$C$124,$T162,⑳商品別1食労務費!$F$5:$F$124)+SUMIF(⑳商品別1食労務費!$C$5:$C$124,$U162,⑳商品別1食労務費!$F$5:$F$124)+SUMIF(⑳商品別1食労務費!$C$5:$C$124,$V162,⑳商品別1食労務費!$F$5:$F$124)+SUMIF(⑳商品別1食労務費!$C$5:$C$124,$W162,⑳商品別1食労務費!$F$5:$F$124)</f>
        <v/>
      </c>
      <c r="AB162" s="334">
        <f>IF(ISNUMBER($M162),$M162,0)</f>
        <v/>
      </c>
      <c r="AC162" s="334">
        <f>IF(AND($X162&gt;0,ISNUMBER($J162)),$J162/$X162,"")</f>
        <v/>
      </c>
      <c r="AD162" s="413">
        <f>IF($R162="",0,IF($AA162&gt;0,$AB162*SUMIF(⑳商品別1食労務費!$C$5:$C$124,$R162,⑳商品別1食労務費!$F$5:$F$124)/$AA162,$AB162/$X162))</f>
        <v/>
      </c>
      <c r="AE162" s="413">
        <f>IF($S162="",0,IF($AA162&gt;0,$AB162*SUMIF(⑳商品別1食労務費!$C$5:$C$124,$S162,⑳商品別1食労務費!$F$5:$F$124)/$AA162,$AB162/$X162))</f>
        <v/>
      </c>
      <c r="AF162" s="413">
        <f>IF($T162="",0,IF($AA162&gt;0,$AB162*SUMIF(⑳商品別1食労務費!$C$5:$C$124,$T162,⑳商品別1食労務費!$F$5:$F$124)/$AA162,$AB162/$X162))</f>
        <v/>
      </c>
      <c r="AG162" s="413">
        <f>IF($U162="",0,IF($AA162&gt;0,$AB162*SUMIF(⑳商品別1食労務費!$C$5:$C$124,$U162,⑳商品別1食労務費!$F$5:$F$124)/$AA162,$AB162/$X162))</f>
        <v/>
      </c>
      <c r="AH162" s="413">
        <f>IF($V162="",0,IF($AA162&gt;0,$AB162*SUMIF(⑳商品別1食労務費!$C$5:$C$124,$V162,⑳商品別1食労務費!$F$5:$F$124)/$AA162,$AB162/$X162))</f>
        <v/>
      </c>
      <c r="AI162" s="413">
        <f>IF($W162="",0,IF($AA162&gt;0,$AB162*SUMIF(⑳商品別1食労務費!$C$5:$C$124,$W162,⑳商品別1食労務費!$F$5:$F$124)/$AA162,$AB162/$X162))</f>
        <v/>
      </c>
    </row>
    <row r="163" hidden="1" s="438">
      <c r="A163" s="197" t="n">
        <v>159</v>
      </c>
      <c r="B163" s="198" t="inlineStr">
        <is>
          <t>盛り込み④</t>
        </is>
      </c>
      <c r="C163" s="229" t="n"/>
      <c r="D163" s="190" t="n"/>
      <c r="E163" s="190" t="n"/>
      <c r="F163" s="541">
        <f>IF(OR(D163="",E163=""),"",(E163-D163)*1440)</f>
        <v/>
      </c>
      <c r="G163" s="542" t="n"/>
      <c r="H163" s="542" t="n"/>
      <c r="I163" s="543" t="n"/>
      <c r="J163" s="192" t="n"/>
      <c r="K163" s="544">
        <f>IF(AND(ISNUMBER(F163),I163&gt;0),I163/(F163/60),"")</f>
        <v/>
      </c>
      <c r="L163" s="545" t="n">
        <v>750</v>
      </c>
      <c r="M163" s="194">
        <f>IF(OR(ISNUMBER(SEARCH("サニテーション",C163)),ISNUMBER(SEARCH("客注",C163)),ISNUMBER(SEARCH("切り替え",C163)),ISNUMBER(SEARCH("切替",C163)),NOT(ISNUMBER(H163))),"",IF(ISNUMBER(G163),G163/60*H163*④前提設定!$B$4,IF(AND(G163="",ISNUMBER(F163)),F163/60*H163*④前提設定!$B$4,"")))</f>
        <v/>
      </c>
      <c r="N163" s="546">
        <f>IF(AND(I163&gt;0,ISNUMBER(M163)),M163/I163,"")</f>
        <v/>
      </c>
      <c r="O163" s="547">
        <f>IF(AND(J163&gt;0,ISNUMBER(M163)),M163/J163,"")</f>
        <v/>
      </c>
      <c r="P163" s="199" t="n"/>
      <c r="Q163" s="200" t="n"/>
      <c r="X163" s="334">
        <f>COUNTA(R163:W163)</f>
        <v/>
      </c>
      <c r="Y163" s="334">
        <f>IF(AND($X163&gt;0,ISNUMBER($M163)),$M163/$X163,"")</f>
        <v/>
      </c>
      <c r="Z163" s="334">
        <f>IF($X163=0,"",IF(COUNTIF(⑳商品別1食労務費!$C$5:$C$124,$R163)+COUNTIF(⑳商品別1食労務費!$C$5:$C$124,$S163)+COUNTIF(⑳商品別1食労務費!$C$5:$C$124,$T163)+COUNTIF(⑳商品別1食労務費!$C$5:$C$124,$U163)+COUNTIF(⑳商品別1食労務費!$C$5:$C$124,$V163)+COUNTIF(⑳商品別1食労務費!$C$5:$C$124,$W163)=$X163,"OK","⑳に無い商品名"))</f>
        <v/>
      </c>
      <c r="AA163" s="334">
        <f>SUMIF(⑳商品別1食労務費!$C$5:$C$124,$R163,⑳商品別1食労務費!$F$5:$F$124)+SUMIF(⑳商品別1食労務費!$C$5:$C$124,$S163,⑳商品別1食労務費!$F$5:$F$124)+SUMIF(⑳商品別1食労務費!$C$5:$C$124,$T163,⑳商品別1食労務費!$F$5:$F$124)+SUMIF(⑳商品別1食労務費!$C$5:$C$124,$U163,⑳商品別1食労務費!$F$5:$F$124)+SUMIF(⑳商品別1食労務費!$C$5:$C$124,$V163,⑳商品別1食労務費!$F$5:$F$124)+SUMIF(⑳商品別1食労務費!$C$5:$C$124,$W163,⑳商品別1食労務費!$F$5:$F$124)</f>
        <v/>
      </c>
      <c r="AB163" s="334">
        <f>IF(ISNUMBER($M163),$M163,0)</f>
        <v/>
      </c>
      <c r="AC163" s="334">
        <f>IF(AND($X163&gt;0,ISNUMBER($J163)),$J163/$X163,"")</f>
        <v/>
      </c>
      <c r="AD163" s="413">
        <f>IF($R163="",0,IF($AA163&gt;0,$AB163*SUMIF(⑳商品別1食労務費!$C$5:$C$124,$R163,⑳商品別1食労務費!$F$5:$F$124)/$AA163,$AB163/$X163))</f>
        <v/>
      </c>
      <c r="AE163" s="413">
        <f>IF($S163="",0,IF($AA163&gt;0,$AB163*SUMIF(⑳商品別1食労務費!$C$5:$C$124,$S163,⑳商品別1食労務費!$F$5:$F$124)/$AA163,$AB163/$X163))</f>
        <v/>
      </c>
      <c r="AF163" s="413">
        <f>IF($T163="",0,IF($AA163&gt;0,$AB163*SUMIF(⑳商品別1食労務費!$C$5:$C$124,$T163,⑳商品別1食労務費!$F$5:$F$124)/$AA163,$AB163/$X163))</f>
        <v/>
      </c>
      <c r="AG163" s="413">
        <f>IF($U163="",0,IF($AA163&gt;0,$AB163*SUMIF(⑳商品別1食労務費!$C$5:$C$124,$U163,⑳商品別1食労務費!$F$5:$F$124)/$AA163,$AB163/$X163))</f>
        <v/>
      </c>
      <c r="AH163" s="413">
        <f>IF($V163="",0,IF($AA163&gt;0,$AB163*SUMIF(⑳商品別1食労務費!$C$5:$C$124,$V163,⑳商品別1食労務費!$F$5:$F$124)/$AA163,$AB163/$X163))</f>
        <v/>
      </c>
      <c r="AI163" s="413">
        <f>IF($W163="",0,IF($AA163&gt;0,$AB163*SUMIF(⑳商品別1食労務費!$C$5:$C$124,$W163,⑳商品別1食労務費!$F$5:$F$124)/$AA163,$AB163/$X163))</f>
        <v/>
      </c>
    </row>
    <row r="164" hidden="1" s="438">
      <c r="A164" s="188" t="n">
        <v>160</v>
      </c>
      <c r="B164" s="189" t="inlineStr">
        <is>
          <t>盛り込み④</t>
        </is>
      </c>
      <c r="C164" s="229" t="n"/>
      <c r="D164" s="190" t="n"/>
      <c r="E164" s="190" t="n"/>
      <c r="F164" s="541">
        <f>IF(OR(D164="",E164=""),"",(E164-D164)*1440)</f>
        <v/>
      </c>
      <c r="G164" s="542" t="n"/>
      <c r="H164" s="542" t="n"/>
      <c r="I164" s="543" t="n"/>
      <c r="J164" s="192" t="n"/>
      <c r="K164" s="544">
        <f>IF(AND(ISNUMBER(F164),I164&gt;0),I164/(F164/60),"")</f>
        <v/>
      </c>
      <c r="L164" s="545" t="n">
        <v>500</v>
      </c>
      <c r="M164" s="194">
        <f>IF(OR(ISNUMBER(SEARCH("サニテーション",C164)),ISNUMBER(SEARCH("客注",C164)),ISNUMBER(SEARCH("切り替え",C164)),ISNUMBER(SEARCH("切替",C164)),NOT(ISNUMBER(H164))),"",IF(ISNUMBER(G164),G164/60*H164*④前提設定!$B$4,IF(AND(G164="",ISNUMBER(F164)),F164/60*H164*④前提設定!$B$4,"")))</f>
        <v/>
      </c>
      <c r="N164" s="546">
        <f>IF(AND(I164&gt;0,ISNUMBER(M164)),M164/I164,"")</f>
        <v/>
      </c>
      <c r="O164" s="547">
        <f>IF(AND(J164&gt;0,ISNUMBER(M164)),M164/J164,"")</f>
        <v/>
      </c>
      <c r="P164" s="195" t="n"/>
      <c r="Q164" s="196" t="n"/>
      <c r="X164" s="334">
        <f>COUNTA(R164:W164)</f>
        <v/>
      </c>
      <c r="Y164" s="334">
        <f>IF(AND($X164&gt;0,ISNUMBER($M164)),$M164/$X164,"")</f>
        <v/>
      </c>
      <c r="Z164" s="334">
        <f>IF($X164=0,"",IF(COUNTIF(⑳商品別1食労務費!$C$5:$C$124,$R164)+COUNTIF(⑳商品別1食労務費!$C$5:$C$124,$S164)+COUNTIF(⑳商品別1食労務費!$C$5:$C$124,$T164)+COUNTIF(⑳商品別1食労務費!$C$5:$C$124,$U164)+COUNTIF(⑳商品別1食労務費!$C$5:$C$124,$V164)+COUNTIF(⑳商品別1食労務費!$C$5:$C$124,$W164)=$X164,"OK","⑳に無い商品名"))</f>
        <v/>
      </c>
      <c r="AA164" s="334">
        <f>SUMIF(⑳商品別1食労務費!$C$5:$C$124,$R164,⑳商品別1食労務費!$F$5:$F$124)+SUMIF(⑳商品別1食労務費!$C$5:$C$124,$S164,⑳商品別1食労務費!$F$5:$F$124)+SUMIF(⑳商品別1食労務費!$C$5:$C$124,$T164,⑳商品別1食労務費!$F$5:$F$124)+SUMIF(⑳商品別1食労務費!$C$5:$C$124,$U164,⑳商品別1食労務費!$F$5:$F$124)+SUMIF(⑳商品別1食労務費!$C$5:$C$124,$V164,⑳商品別1食労務費!$F$5:$F$124)+SUMIF(⑳商品別1食労務費!$C$5:$C$124,$W164,⑳商品別1食労務費!$F$5:$F$124)</f>
        <v/>
      </c>
      <c r="AB164" s="334">
        <f>IF(ISNUMBER($M164),$M164,0)</f>
        <v/>
      </c>
      <c r="AC164" s="334">
        <f>IF(AND($X164&gt;0,ISNUMBER($J164)),$J164/$X164,"")</f>
        <v/>
      </c>
      <c r="AD164" s="413">
        <f>IF($R164="",0,IF($AA164&gt;0,$AB164*SUMIF(⑳商品別1食労務費!$C$5:$C$124,$R164,⑳商品別1食労務費!$F$5:$F$124)/$AA164,$AB164/$X164))</f>
        <v/>
      </c>
      <c r="AE164" s="413">
        <f>IF($S164="",0,IF($AA164&gt;0,$AB164*SUMIF(⑳商品別1食労務費!$C$5:$C$124,$S164,⑳商品別1食労務費!$F$5:$F$124)/$AA164,$AB164/$X164))</f>
        <v/>
      </c>
      <c r="AF164" s="413">
        <f>IF($T164="",0,IF($AA164&gt;0,$AB164*SUMIF(⑳商品別1食労務費!$C$5:$C$124,$T164,⑳商品別1食労務費!$F$5:$F$124)/$AA164,$AB164/$X164))</f>
        <v/>
      </c>
      <c r="AG164" s="413">
        <f>IF($U164="",0,IF($AA164&gt;0,$AB164*SUMIF(⑳商品別1食労務費!$C$5:$C$124,$U164,⑳商品別1食労務費!$F$5:$F$124)/$AA164,$AB164/$X164))</f>
        <v/>
      </c>
      <c r="AH164" s="413">
        <f>IF($V164="",0,IF($AA164&gt;0,$AB164*SUMIF(⑳商品別1食労務費!$C$5:$C$124,$V164,⑳商品別1食労務費!$F$5:$F$124)/$AA164,$AB164/$X164))</f>
        <v/>
      </c>
      <c r="AI164" s="413">
        <f>IF($W164="",0,IF($AA164&gt;0,$AB164*SUMIF(⑳商品別1食労務費!$C$5:$C$124,$W164,⑳商品別1食労務費!$F$5:$F$124)/$AA164,$AB164/$X164))</f>
        <v/>
      </c>
    </row>
    <row r="165" hidden="1" s="438">
      <c r="A165" s="197" t="n">
        <v>161</v>
      </c>
      <c r="B165" s="198" t="inlineStr">
        <is>
          <t>盛り込み④</t>
        </is>
      </c>
      <c r="C165" s="229" t="n"/>
      <c r="D165" s="190" t="n"/>
      <c r="E165" s="190" t="n"/>
      <c r="F165" s="541">
        <f>IF(OR(D165="",E165=""),"",(E165-D165)*1440)</f>
        <v/>
      </c>
      <c r="G165" s="542" t="n"/>
      <c r="H165" s="542" t="n"/>
      <c r="I165" s="543" t="n"/>
      <c r="J165" s="192" t="n"/>
      <c r="K165" s="544">
        <f>IF(AND(ISNUMBER(F165),I165&gt;0),I165/(F165/60),"")</f>
        <v/>
      </c>
      <c r="L165" s="545" t="n">
        <v>50</v>
      </c>
      <c r="M165" s="194">
        <f>IF(OR(ISNUMBER(SEARCH("サニテーション",C165)),ISNUMBER(SEARCH("客注",C165)),ISNUMBER(SEARCH("切り替え",C165)),ISNUMBER(SEARCH("切替",C165)),NOT(ISNUMBER(H165))),"",IF(ISNUMBER(G165),G165/60*H165*④前提設定!$B$4,IF(AND(G165="",ISNUMBER(F165)),F165/60*H165*④前提設定!$B$4,"")))</f>
        <v/>
      </c>
      <c r="N165" s="546">
        <f>IF(AND(I165&gt;0,ISNUMBER(M165)),M165/I165,"")</f>
        <v/>
      </c>
      <c r="O165" s="547">
        <f>IF(AND(J165&gt;0,ISNUMBER(M165)),M165/J165,"")</f>
        <v/>
      </c>
      <c r="P165" s="199" t="n"/>
      <c r="Q165" s="200" t="n"/>
      <c r="X165" s="334">
        <f>COUNTA(R165:W165)</f>
        <v/>
      </c>
      <c r="Y165" s="334">
        <f>IF(AND($X165&gt;0,ISNUMBER($M165)),$M165/$X165,"")</f>
        <v/>
      </c>
      <c r="Z165" s="334">
        <f>IF($X165=0,"",IF(COUNTIF(⑳商品別1食労務費!$C$5:$C$124,$R165)+COUNTIF(⑳商品別1食労務費!$C$5:$C$124,$S165)+COUNTIF(⑳商品別1食労務費!$C$5:$C$124,$T165)+COUNTIF(⑳商品別1食労務費!$C$5:$C$124,$U165)+COUNTIF(⑳商品別1食労務費!$C$5:$C$124,$V165)+COUNTIF(⑳商品別1食労務費!$C$5:$C$124,$W165)=$X165,"OK","⑳に無い商品名"))</f>
        <v/>
      </c>
      <c r="AA165" s="334">
        <f>SUMIF(⑳商品別1食労務費!$C$5:$C$124,$R165,⑳商品別1食労務費!$F$5:$F$124)+SUMIF(⑳商品別1食労務費!$C$5:$C$124,$S165,⑳商品別1食労務費!$F$5:$F$124)+SUMIF(⑳商品別1食労務費!$C$5:$C$124,$T165,⑳商品別1食労務費!$F$5:$F$124)+SUMIF(⑳商品別1食労務費!$C$5:$C$124,$U165,⑳商品別1食労務費!$F$5:$F$124)+SUMIF(⑳商品別1食労務費!$C$5:$C$124,$V165,⑳商品別1食労務費!$F$5:$F$124)+SUMIF(⑳商品別1食労務費!$C$5:$C$124,$W165,⑳商品別1食労務費!$F$5:$F$124)</f>
        <v/>
      </c>
      <c r="AB165" s="334">
        <f>IF(ISNUMBER($M165),$M165,0)</f>
        <v/>
      </c>
      <c r="AC165" s="334">
        <f>IF(AND($X165&gt;0,ISNUMBER($J165)),$J165/$X165,"")</f>
        <v/>
      </c>
      <c r="AD165" s="413">
        <f>IF($R165="",0,IF($AA165&gt;0,$AB165*SUMIF(⑳商品別1食労務費!$C$5:$C$124,$R165,⑳商品別1食労務費!$F$5:$F$124)/$AA165,$AB165/$X165))</f>
        <v/>
      </c>
      <c r="AE165" s="413">
        <f>IF($S165="",0,IF($AA165&gt;0,$AB165*SUMIF(⑳商品別1食労務費!$C$5:$C$124,$S165,⑳商品別1食労務費!$F$5:$F$124)/$AA165,$AB165/$X165))</f>
        <v/>
      </c>
      <c r="AF165" s="413">
        <f>IF($T165="",0,IF($AA165&gt;0,$AB165*SUMIF(⑳商品別1食労務費!$C$5:$C$124,$T165,⑳商品別1食労務費!$F$5:$F$124)/$AA165,$AB165/$X165))</f>
        <v/>
      </c>
      <c r="AG165" s="413">
        <f>IF($U165="",0,IF($AA165&gt;0,$AB165*SUMIF(⑳商品別1食労務費!$C$5:$C$124,$U165,⑳商品別1食労務費!$F$5:$F$124)/$AA165,$AB165/$X165))</f>
        <v/>
      </c>
      <c r="AH165" s="413">
        <f>IF($V165="",0,IF($AA165&gt;0,$AB165*SUMIF(⑳商品別1食労務費!$C$5:$C$124,$V165,⑳商品別1食労務費!$F$5:$F$124)/$AA165,$AB165/$X165))</f>
        <v/>
      </c>
      <c r="AI165" s="413">
        <f>IF($W165="",0,IF($AA165&gt;0,$AB165*SUMIF(⑳商品別1食労務費!$C$5:$C$124,$W165,⑳商品別1食労務費!$F$5:$F$124)/$AA165,$AB165/$X165))</f>
        <v/>
      </c>
    </row>
    <row r="166" hidden="1" s="438">
      <c r="A166" s="188" t="n">
        <v>162</v>
      </c>
      <c r="B166" s="189" t="inlineStr">
        <is>
          <t>盛り込み④</t>
        </is>
      </c>
      <c r="C166" s="229" t="n"/>
      <c r="D166" s="190" t="n"/>
      <c r="E166" s="190" t="n"/>
      <c r="F166" s="541">
        <f>IF(OR(D166="",E166=""),"",(E166-D166)*1440)</f>
        <v/>
      </c>
      <c r="G166" s="542" t="n"/>
      <c r="H166" s="542" t="n"/>
      <c r="I166" s="543" t="n"/>
      <c r="J166" s="192" t="n"/>
      <c r="K166" s="544">
        <f>IF(AND(ISNUMBER(F166),I166&gt;0),I166/(F166/60),"")</f>
        <v/>
      </c>
      <c r="L166" s="545" t="n">
        <v>600</v>
      </c>
      <c r="M166" s="194">
        <f>IF(OR(ISNUMBER(SEARCH("サニテーション",C166)),ISNUMBER(SEARCH("客注",C166)),ISNUMBER(SEARCH("切り替え",C166)),ISNUMBER(SEARCH("切替",C166)),NOT(ISNUMBER(H166))),"",IF(ISNUMBER(G166),G166/60*H166*④前提設定!$B$4,IF(AND(G166="",ISNUMBER(F166)),F166/60*H166*④前提設定!$B$4,"")))</f>
        <v/>
      </c>
      <c r="N166" s="546">
        <f>IF(AND(I166&gt;0,ISNUMBER(M166)),M166/I166,"")</f>
        <v/>
      </c>
      <c r="O166" s="547">
        <f>IF(AND(J166&gt;0,ISNUMBER(M166)),M166/J166,"")</f>
        <v/>
      </c>
      <c r="P166" s="195" t="n"/>
      <c r="Q166" s="196" t="n"/>
      <c r="X166" s="334">
        <f>COUNTA(R166:W166)</f>
        <v/>
      </c>
      <c r="Y166" s="334">
        <f>IF(AND($X166&gt;0,ISNUMBER($M166)),$M166/$X166,"")</f>
        <v/>
      </c>
      <c r="Z166" s="334">
        <f>IF($X166=0,"",IF(COUNTIF(⑳商品別1食労務費!$C$5:$C$124,$R166)+COUNTIF(⑳商品別1食労務費!$C$5:$C$124,$S166)+COUNTIF(⑳商品別1食労務費!$C$5:$C$124,$T166)+COUNTIF(⑳商品別1食労務費!$C$5:$C$124,$U166)+COUNTIF(⑳商品別1食労務費!$C$5:$C$124,$V166)+COUNTIF(⑳商品別1食労務費!$C$5:$C$124,$W166)=$X166,"OK","⑳に無い商品名"))</f>
        <v/>
      </c>
      <c r="AA166" s="334">
        <f>SUMIF(⑳商品別1食労務費!$C$5:$C$124,$R166,⑳商品別1食労務費!$F$5:$F$124)+SUMIF(⑳商品別1食労務費!$C$5:$C$124,$S166,⑳商品別1食労務費!$F$5:$F$124)+SUMIF(⑳商品別1食労務費!$C$5:$C$124,$T166,⑳商品別1食労務費!$F$5:$F$124)+SUMIF(⑳商品別1食労務費!$C$5:$C$124,$U166,⑳商品別1食労務費!$F$5:$F$124)+SUMIF(⑳商品別1食労務費!$C$5:$C$124,$V166,⑳商品別1食労務費!$F$5:$F$124)+SUMIF(⑳商品別1食労務費!$C$5:$C$124,$W166,⑳商品別1食労務費!$F$5:$F$124)</f>
        <v/>
      </c>
      <c r="AB166" s="334">
        <f>IF(ISNUMBER($M166),$M166,0)</f>
        <v/>
      </c>
      <c r="AC166" s="334">
        <f>IF(AND($X166&gt;0,ISNUMBER($J166)),$J166/$X166,"")</f>
        <v/>
      </c>
      <c r="AD166" s="413">
        <f>IF($R166="",0,IF($AA166&gt;0,$AB166*SUMIF(⑳商品別1食労務費!$C$5:$C$124,$R166,⑳商品別1食労務費!$F$5:$F$124)/$AA166,$AB166/$X166))</f>
        <v/>
      </c>
      <c r="AE166" s="413">
        <f>IF($S166="",0,IF($AA166&gt;0,$AB166*SUMIF(⑳商品別1食労務費!$C$5:$C$124,$S166,⑳商品別1食労務費!$F$5:$F$124)/$AA166,$AB166/$X166))</f>
        <v/>
      </c>
      <c r="AF166" s="413">
        <f>IF($T166="",0,IF($AA166&gt;0,$AB166*SUMIF(⑳商品別1食労務費!$C$5:$C$124,$T166,⑳商品別1食労務費!$F$5:$F$124)/$AA166,$AB166/$X166))</f>
        <v/>
      </c>
      <c r="AG166" s="413">
        <f>IF($U166="",0,IF($AA166&gt;0,$AB166*SUMIF(⑳商品別1食労務費!$C$5:$C$124,$U166,⑳商品別1食労務費!$F$5:$F$124)/$AA166,$AB166/$X166))</f>
        <v/>
      </c>
      <c r="AH166" s="413">
        <f>IF($V166="",0,IF($AA166&gt;0,$AB166*SUMIF(⑳商品別1食労務費!$C$5:$C$124,$V166,⑳商品別1食労務費!$F$5:$F$124)/$AA166,$AB166/$X166))</f>
        <v/>
      </c>
      <c r="AI166" s="413">
        <f>IF($W166="",0,IF($AA166&gt;0,$AB166*SUMIF(⑳商品別1食労務費!$C$5:$C$124,$W166,⑳商品別1食労務費!$F$5:$F$124)/$AA166,$AB166/$X166))</f>
        <v/>
      </c>
    </row>
    <row r="167" hidden="1" s="438">
      <c r="A167" s="197" t="n">
        <v>163</v>
      </c>
      <c r="B167" s="198" t="inlineStr">
        <is>
          <t>盛り込み④</t>
        </is>
      </c>
      <c r="C167" s="229" t="n"/>
      <c r="D167" s="190" t="n"/>
      <c r="E167" s="190" t="n"/>
      <c r="F167" s="541">
        <f>IF(OR(D167="",E167=""),"",(E167-D167)*1440)</f>
        <v/>
      </c>
      <c r="G167" s="542" t="n"/>
      <c r="H167" s="542" t="n"/>
      <c r="I167" s="543" t="n"/>
      <c r="J167" s="192" t="n"/>
      <c r="K167" s="544">
        <f>IF(AND(ISNUMBER(F167),I167&gt;0),I167/(F167/60),"")</f>
        <v/>
      </c>
      <c r="L167" s="545" t="n">
        <v>600</v>
      </c>
      <c r="M167" s="194">
        <f>IF(OR(ISNUMBER(SEARCH("サニテーション",C167)),ISNUMBER(SEARCH("客注",C167)),ISNUMBER(SEARCH("切り替え",C167)),ISNUMBER(SEARCH("切替",C167)),NOT(ISNUMBER(H167))),"",IF(ISNUMBER(G167),G167/60*H167*④前提設定!$B$4,IF(AND(G167="",ISNUMBER(F167)),F167/60*H167*④前提設定!$B$4,"")))</f>
        <v/>
      </c>
      <c r="N167" s="546">
        <f>IF(AND(I167&gt;0,ISNUMBER(M167)),M167/I167,"")</f>
        <v/>
      </c>
      <c r="O167" s="547">
        <f>IF(AND(J167&gt;0,ISNUMBER(M167)),M167/J167,"")</f>
        <v/>
      </c>
      <c r="P167" s="199" t="n"/>
      <c r="Q167" s="200" t="n"/>
      <c r="X167" s="334">
        <f>COUNTA(R167:W167)</f>
        <v/>
      </c>
      <c r="Y167" s="334">
        <f>IF(AND($X167&gt;0,ISNUMBER($M167)),$M167/$X167,"")</f>
        <v/>
      </c>
      <c r="Z167" s="334">
        <f>IF($X167=0,"",IF(COUNTIF(⑳商品別1食労務費!$C$5:$C$124,$R167)+COUNTIF(⑳商品別1食労務費!$C$5:$C$124,$S167)+COUNTIF(⑳商品別1食労務費!$C$5:$C$124,$T167)+COUNTIF(⑳商品別1食労務費!$C$5:$C$124,$U167)+COUNTIF(⑳商品別1食労務費!$C$5:$C$124,$V167)+COUNTIF(⑳商品別1食労務費!$C$5:$C$124,$W167)=$X167,"OK","⑳に無い商品名"))</f>
        <v/>
      </c>
      <c r="AA167" s="334">
        <f>SUMIF(⑳商品別1食労務費!$C$5:$C$124,$R167,⑳商品別1食労務費!$F$5:$F$124)+SUMIF(⑳商品別1食労務費!$C$5:$C$124,$S167,⑳商品別1食労務費!$F$5:$F$124)+SUMIF(⑳商品別1食労務費!$C$5:$C$124,$T167,⑳商品別1食労務費!$F$5:$F$124)+SUMIF(⑳商品別1食労務費!$C$5:$C$124,$U167,⑳商品別1食労務費!$F$5:$F$124)+SUMIF(⑳商品別1食労務費!$C$5:$C$124,$V167,⑳商品別1食労務費!$F$5:$F$124)+SUMIF(⑳商品別1食労務費!$C$5:$C$124,$W167,⑳商品別1食労務費!$F$5:$F$124)</f>
        <v/>
      </c>
      <c r="AB167" s="334">
        <f>IF(ISNUMBER($M167),$M167,0)</f>
        <v/>
      </c>
      <c r="AC167" s="334">
        <f>IF(AND($X167&gt;0,ISNUMBER($J167)),$J167/$X167,"")</f>
        <v/>
      </c>
      <c r="AD167" s="413">
        <f>IF($R167="",0,IF($AA167&gt;0,$AB167*SUMIF(⑳商品別1食労務費!$C$5:$C$124,$R167,⑳商品別1食労務費!$F$5:$F$124)/$AA167,$AB167/$X167))</f>
        <v/>
      </c>
      <c r="AE167" s="413">
        <f>IF($S167="",0,IF($AA167&gt;0,$AB167*SUMIF(⑳商品別1食労務費!$C$5:$C$124,$S167,⑳商品別1食労務費!$F$5:$F$124)/$AA167,$AB167/$X167))</f>
        <v/>
      </c>
      <c r="AF167" s="413">
        <f>IF($T167="",0,IF($AA167&gt;0,$AB167*SUMIF(⑳商品別1食労務費!$C$5:$C$124,$T167,⑳商品別1食労務費!$F$5:$F$124)/$AA167,$AB167/$X167))</f>
        <v/>
      </c>
      <c r="AG167" s="413">
        <f>IF($U167="",0,IF($AA167&gt;0,$AB167*SUMIF(⑳商品別1食労務費!$C$5:$C$124,$U167,⑳商品別1食労務費!$F$5:$F$124)/$AA167,$AB167/$X167))</f>
        <v/>
      </c>
      <c r="AH167" s="413">
        <f>IF($V167="",0,IF($AA167&gt;0,$AB167*SUMIF(⑳商品別1食労務費!$C$5:$C$124,$V167,⑳商品別1食労務費!$F$5:$F$124)/$AA167,$AB167/$X167))</f>
        <v/>
      </c>
      <c r="AI167" s="413">
        <f>IF($W167="",0,IF($AA167&gt;0,$AB167*SUMIF(⑳商品別1食労務費!$C$5:$C$124,$W167,⑳商品別1食労務費!$F$5:$F$124)/$AA167,$AB167/$X167))</f>
        <v/>
      </c>
    </row>
    <row r="168" hidden="1" s="438">
      <c r="A168" s="188" t="n">
        <v>164</v>
      </c>
      <c r="B168" s="189" t="inlineStr">
        <is>
          <t>盛り込み④</t>
        </is>
      </c>
      <c r="C168" s="229" t="n"/>
      <c r="D168" s="190" t="n"/>
      <c r="E168" s="190" t="n"/>
      <c r="F168" s="541">
        <f>IF(OR(D168="",E168=""),"",(E168-D168)*1440)</f>
        <v/>
      </c>
      <c r="G168" s="542" t="n"/>
      <c r="H168" s="542" t="n"/>
      <c r="I168" s="543" t="n"/>
      <c r="J168" s="192" t="n"/>
      <c r="K168" s="544">
        <f>IF(AND(ISNUMBER(F168),I168&gt;0),I168/(F168/60),"")</f>
        <v/>
      </c>
      <c r="L168" s="545" t="n">
        <v>800</v>
      </c>
      <c r="M168" s="194">
        <f>IF(OR(ISNUMBER(SEARCH("サニテーション",C168)),ISNUMBER(SEARCH("客注",C168)),ISNUMBER(SEARCH("切り替え",C168)),ISNUMBER(SEARCH("切替",C168)),NOT(ISNUMBER(H168))),"",IF(ISNUMBER(G168),G168/60*H168*④前提設定!$B$4,IF(AND(G168="",ISNUMBER(F168)),F168/60*H168*④前提設定!$B$4,"")))</f>
        <v/>
      </c>
      <c r="N168" s="546">
        <f>IF(AND(I168&gt;0,ISNUMBER(M168)),M168/I168,"")</f>
        <v/>
      </c>
      <c r="O168" s="547">
        <f>IF(AND(J168&gt;0,ISNUMBER(M168)),M168/J168,"")</f>
        <v/>
      </c>
      <c r="P168" s="195" t="n"/>
      <c r="Q168" s="196" t="n"/>
      <c r="X168" s="334">
        <f>COUNTA(R168:W168)</f>
        <v/>
      </c>
      <c r="Y168" s="334">
        <f>IF(AND($X168&gt;0,ISNUMBER($M168)),$M168/$X168,"")</f>
        <v/>
      </c>
      <c r="Z168" s="334">
        <f>IF($X168=0,"",IF(COUNTIF(⑳商品別1食労務費!$C$5:$C$124,$R168)+COUNTIF(⑳商品別1食労務費!$C$5:$C$124,$S168)+COUNTIF(⑳商品別1食労務費!$C$5:$C$124,$T168)+COUNTIF(⑳商品別1食労務費!$C$5:$C$124,$U168)+COUNTIF(⑳商品別1食労務費!$C$5:$C$124,$V168)+COUNTIF(⑳商品別1食労務費!$C$5:$C$124,$W168)=$X168,"OK","⑳に無い商品名"))</f>
        <v/>
      </c>
      <c r="AA168" s="334">
        <f>SUMIF(⑳商品別1食労務費!$C$5:$C$124,$R168,⑳商品別1食労務費!$F$5:$F$124)+SUMIF(⑳商品別1食労務費!$C$5:$C$124,$S168,⑳商品別1食労務費!$F$5:$F$124)+SUMIF(⑳商品別1食労務費!$C$5:$C$124,$T168,⑳商品別1食労務費!$F$5:$F$124)+SUMIF(⑳商品別1食労務費!$C$5:$C$124,$U168,⑳商品別1食労務費!$F$5:$F$124)+SUMIF(⑳商品別1食労務費!$C$5:$C$124,$V168,⑳商品別1食労務費!$F$5:$F$124)+SUMIF(⑳商品別1食労務費!$C$5:$C$124,$W168,⑳商品別1食労務費!$F$5:$F$124)</f>
        <v/>
      </c>
      <c r="AB168" s="334">
        <f>IF(ISNUMBER($M168),$M168,0)</f>
        <v/>
      </c>
      <c r="AC168" s="334">
        <f>IF(AND($X168&gt;0,ISNUMBER($J168)),$J168/$X168,"")</f>
        <v/>
      </c>
      <c r="AD168" s="413">
        <f>IF($R168="",0,IF($AA168&gt;0,$AB168*SUMIF(⑳商品別1食労務費!$C$5:$C$124,$R168,⑳商品別1食労務費!$F$5:$F$124)/$AA168,$AB168/$X168))</f>
        <v/>
      </c>
      <c r="AE168" s="413">
        <f>IF($S168="",0,IF($AA168&gt;0,$AB168*SUMIF(⑳商品別1食労務費!$C$5:$C$124,$S168,⑳商品別1食労務費!$F$5:$F$124)/$AA168,$AB168/$X168))</f>
        <v/>
      </c>
      <c r="AF168" s="413">
        <f>IF($T168="",0,IF($AA168&gt;0,$AB168*SUMIF(⑳商品別1食労務費!$C$5:$C$124,$T168,⑳商品別1食労務費!$F$5:$F$124)/$AA168,$AB168/$X168))</f>
        <v/>
      </c>
      <c r="AG168" s="413">
        <f>IF($U168="",0,IF($AA168&gt;0,$AB168*SUMIF(⑳商品別1食労務費!$C$5:$C$124,$U168,⑳商品別1食労務費!$F$5:$F$124)/$AA168,$AB168/$X168))</f>
        <v/>
      </c>
      <c r="AH168" s="413">
        <f>IF($V168="",0,IF($AA168&gt;0,$AB168*SUMIF(⑳商品別1食労務費!$C$5:$C$124,$V168,⑳商品別1食労務費!$F$5:$F$124)/$AA168,$AB168/$X168))</f>
        <v/>
      </c>
      <c r="AI168" s="413">
        <f>IF($W168="",0,IF($AA168&gt;0,$AB168*SUMIF(⑳商品別1食労務費!$C$5:$C$124,$W168,⑳商品別1食労務費!$F$5:$F$124)/$AA168,$AB168/$X168))</f>
        <v/>
      </c>
    </row>
    <row r="169" hidden="1" s="438">
      <c r="A169" s="197" t="n">
        <v>165</v>
      </c>
      <c r="B169" s="198" t="inlineStr">
        <is>
          <t>盛り込み④</t>
        </is>
      </c>
      <c r="C169" s="229" t="n"/>
      <c r="D169" s="190" t="n"/>
      <c r="E169" s="190" t="n"/>
      <c r="F169" s="541">
        <f>IF(OR(D169="",E169=""),"",(E169-D169)*1440)</f>
        <v/>
      </c>
      <c r="G169" s="542" t="n"/>
      <c r="H169" s="542" t="n"/>
      <c r="I169" s="543" t="n"/>
      <c r="J169" s="192" t="n"/>
      <c r="K169" s="544">
        <f>IF(AND(ISNUMBER(F169),I169&gt;0),I169/(F169/60),"")</f>
        <v/>
      </c>
      <c r="L169" s="545" t="n">
        <v>900</v>
      </c>
      <c r="M169" s="194">
        <f>IF(OR(ISNUMBER(SEARCH("サニテーション",C169)),ISNUMBER(SEARCH("客注",C169)),ISNUMBER(SEARCH("切り替え",C169)),ISNUMBER(SEARCH("切替",C169)),NOT(ISNUMBER(H169))),"",IF(ISNUMBER(G169),G169/60*H169*④前提設定!$B$4,IF(AND(G169="",ISNUMBER(F169)),F169/60*H169*④前提設定!$B$4,"")))</f>
        <v/>
      </c>
      <c r="N169" s="546">
        <f>IF(AND(I169&gt;0,ISNUMBER(M169)),M169/I169,"")</f>
        <v/>
      </c>
      <c r="O169" s="547">
        <f>IF(AND(J169&gt;0,ISNUMBER(M169)),M169/J169,"")</f>
        <v/>
      </c>
      <c r="P169" s="199" t="n"/>
      <c r="Q169" s="200" t="n"/>
      <c r="X169" s="334">
        <f>COUNTA(R169:W169)</f>
        <v/>
      </c>
      <c r="Y169" s="334">
        <f>IF(AND($X169&gt;0,ISNUMBER($M169)),$M169/$X169,"")</f>
        <v/>
      </c>
      <c r="Z169" s="334">
        <f>IF($X169=0,"",IF(COUNTIF(⑳商品別1食労務費!$C$5:$C$124,$R169)+COUNTIF(⑳商品別1食労務費!$C$5:$C$124,$S169)+COUNTIF(⑳商品別1食労務費!$C$5:$C$124,$T169)+COUNTIF(⑳商品別1食労務費!$C$5:$C$124,$U169)+COUNTIF(⑳商品別1食労務費!$C$5:$C$124,$V169)+COUNTIF(⑳商品別1食労務費!$C$5:$C$124,$W169)=$X169,"OK","⑳に無い商品名"))</f>
        <v/>
      </c>
      <c r="AA169" s="334">
        <f>SUMIF(⑳商品別1食労務費!$C$5:$C$124,$R169,⑳商品別1食労務費!$F$5:$F$124)+SUMIF(⑳商品別1食労務費!$C$5:$C$124,$S169,⑳商品別1食労務費!$F$5:$F$124)+SUMIF(⑳商品別1食労務費!$C$5:$C$124,$T169,⑳商品別1食労務費!$F$5:$F$124)+SUMIF(⑳商品別1食労務費!$C$5:$C$124,$U169,⑳商品別1食労務費!$F$5:$F$124)+SUMIF(⑳商品別1食労務費!$C$5:$C$124,$V169,⑳商品別1食労務費!$F$5:$F$124)+SUMIF(⑳商品別1食労務費!$C$5:$C$124,$W169,⑳商品別1食労務費!$F$5:$F$124)</f>
        <v/>
      </c>
      <c r="AB169" s="334">
        <f>IF(ISNUMBER($M169),$M169,0)</f>
        <v/>
      </c>
      <c r="AC169" s="334">
        <f>IF(AND($X169&gt;0,ISNUMBER($J169)),$J169/$X169,"")</f>
        <v/>
      </c>
      <c r="AD169" s="413">
        <f>IF($R169="",0,IF($AA169&gt;0,$AB169*SUMIF(⑳商品別1食労務費!$C$5:$C$124,$R169,⑳商品別1食労務費!$F$5:$F$124)/$AA169,$AB169/$X169))</f>
        <v/>
      </c>
      <c r="AE169" s="413">
        <f>IF($S169="",0,IF($AA169&gt;0,$AB169*SUMIF(⑳商品別1食労務費!$C$5:$C$124,$S169,⑳商品別1食労務費!$F$5:$F$124)/$AA169,$AB169/$X169))</f>
        <v/>
      </c>
      <c r="AF169" s="413">
        <f>IF($T169="",0,IF($AA169&gt;0,$AB169*SUMIF(⑳商品別1食労務費!$C$5:$C$124,$T169,⑳商品別1食労務費!$F$5:$F$124)/$AA169,$AB169/$X169))</f>
        <v/>
      </c>
      <c r="AG169" s="413">
        <f>IF($U169="",0,IF($AA169&gt;0,$AB169*SUMIF(⑳商品別1食労務費!$C$5:$C$124,$U169,⑳商品別1食労務費!$F$5:$F$124)/$AA169,$AB169/$X169))</f>
        <v/>
      </c>
      <c r="AH169" s="413">
        <f>IF($V169="",0,IF($AA169&gt;0,$AB169*SUMIF(⑳商品別1食労務費!$C$5:$C$124,$V169,⑳商品別1食労務費!$F$5:$F$124)/$AA169,$AB169/$X169))</f>
        <v/>
      </c>
      <c r="AI169" s="413">
        <f>IF($W169="",0,IF($AA169&gt;0,$AB169*SUMIF(⑳商品別1食労務費!$C$5:$C$124,$W169,⑳商品別1食労務費!$F$5:$F$124)/$AA169,$AB169/$X169))</f>
        <v/>
      </c>
    </row>
    <row r="170" hidden="1" s="438">
      <c r="A170" s="188" t="n">
        <v>166</v>
      </c>
      <c r="B170" s="189" t="inlineStr">
        <is>
          <t>盛り込み④</t>
        </is>
      </c>
      <c r="C170" s="229" t="n"/>
      <c r="D170" s="190" t="n"/>
      <c r="E170" s="190" t="n"/>
      <c r="F170" s="541">
        <f>IF(OR(D170="",E170=""),"",(E170-D170)*1440)</f>
        <v/>
      </c>
      <c r="G170" s="542" t="n"/>
      <c r="H170" s="542" t="n"/>
      <c r="I170" s="543" t="n"/>
      <c r="J170" s="192" t="n"/>
      <c r="K170" s="544">
        <f>IF(AND(ISNUMBER(F170),I170&gt;0),I170/(F170/60),"")</f>
        <v/>
      </c>
      <c r="L170" s="545" t="n">
        <v>850</v>
      </c>
      <c r="M170" s="194">
        <f>IF(OR(ISNUMBER(SEARCH("サニテーション",C170)),ISNUMBER(SEARCH("客注",C170)),ISNUMBER(SEARCH("切り替え",C170)),ISNUMBER(SEARCH("切替",C170)),NOT(ISNUMBER(H170))),"",IF(ISNUMBER(G170),G170/60*H170*④前提設定!$B$4,IF(AND(G170="",ISNUMBER(F170)),F170/60*H170*④前提設定!$B$4,"")))</f>
        <v/>
      </c>
      <c r="N170" s="546">
        <f>IF(AND(I170&gt;0,ISNUMBER(M170)),M170/I170,"")</f>
        <v/>
      </c>
      <c r="O170" s="547">
        <f>IF(AND(J170&gt;0,ISNUMBER(M170)),M170/J170,"")</f>
        <v/>
      </c>
      <c r="P170" s="195" t="n"/>
      <c r="Q170" s="196" t="n"/>
      <c r="X170" s="334">
        <f>COUNTA(R170:W170)</f>
        <v/>
      </c>
      <c r="Y170" s="334">
        <f>IF(AND($X170&gt;0,ISNUMBER($M170)),$M170/$X170,"")</f>
        <v/>
      </c>
      <c r="Z170" s="334">
        <f>IF($X170=0,"",IF(COUNTIF(⑳商品別1食労務費!$C$5:$C$124,$R170)+COUNTIF(⑳商品別1食労務費!$C$5:$C$124,$S170)+COUNTIF(⑳商品別1食労務費!$C$5:$C$124,$T170)+COUNTIF(⑳商品別1食労務費!$C$5:$C$124,$U170)+COUNTIF(⑳商品別1食労務費!$C$5:$C$124,$V170)+COUNTIF(⑳商品別1食労務費!$C$5:$C$124,$W170)=$X170,"OK","⑳に無い商品名"))</f>
        <v/>
      </c>
      <c r="AA170" s="334">
        <f>SUMIF(⑳商品別1食労務費!$C$5:$C$124,$R170,⑳商品別1食労務費!$F$5:$F$124)+SUMIF(⑳商品別1食労務費!$C$5:$C$124,$S170,⑳商品別1食労務費!$F$5:$F$124)+SUMIF(⑳商品別1食労務費!$C$5:$C$124,$T170,⑳商品別1食労務費!$F$5:$F$124)+SUMIF(⑳商品別1食労務費!$C$5:$C$124,$U170,⑳商品別1食労務費!$F$5:$F$124)+SUMIF(⑳商品別1食労務費!$C$5:$C$124,$V170,⑳商品別1食労務費!$F$5:$F$124)+SUMIF(⑳商品別1食労務費!$C$5:$C$124,$W170,⑳商品別1食労務費!$F$5:$F$124)</f>
        <v/>
      </c>
      <c r="AB170" s="334">
        <f>IF(ISNUMBER($M170),$M170,0)</f>
        <v/>
      </c>
      <c r="AC170" s="334">
        <f>IF(AND($X170&gt;0,ISNUMBER($J170)),$J170/$X170,"")</f>
        <v/>
      </c>
      <c r="AD170" s="413">
        <f>IF($R170="",0,IF($AA170&gt;0,$AB170*SUMIF(⑳商品別1食労務費!$C$5:$C$124,$R170,⑳商品別1食労務費!$F$5:$F$124)/$AA170,$AB170/$X170))</f>
        <v/>
      </c>
      <c r="AE170" s="413">
        <f>IF($S170="",0,IF($AA170&gt;0,$AB170*SUMIF(⑳商品別1食労務費!$C$5:$C$124,$S170,⑳商品別1食労務費!$F$5:$F$124)/$AA170,$AB170/$X170))</f>
        <v/>
      </c>
      <c r="AF170" s="413">
        <f>IF($T170="",0,IF($AA170&gt;0,$AB170*SUMIF(⑳商品別1食労務費!$C$5:$C$124,$T170,⑳商品別1食労務費!$F$5:$F$124)/$AA170,$AB170/$X170))</f>
        <v/>
      </c>
      <c r="AG170" s="413">
        <f>IF($U170="",0,IF($AA170&gt;0,$AB170*SUMIF(⑳商品別1食労務費!$C$5:$C$124,$U170,⑳商品別1食労務費!$F$5:$F$124)/$AA170,$AB170/$X170))</f>
        <v/>
      </c>
      <c r="AH170" s="413">
        <f>IF($V170="",0,IF($AA170&gt;0,$AB170*SUMIF(⑳商品別1食労務費!$C$5:$C$124,$V170,⑳商品別1食労務費!$F$5:$F$124)/$AA170,$AB170/$X170))</f>
        <v/>
      </c>
      <c r="AI170" s="413">
        <f>IF($W170="",0,IF($AA170&gt;0,$AB170*SUMIF(⑳商品別1食労務費!$C$5:$C$124,$W170,⑳商品別1食労務費!$F$5:$F$124)/$AA170,$AB170/$X170))</f>
        <v/>
      </c>
    </row>
    <row r="171" hidden="1" s="438">
      <c r="A171" s="197" t="n">
        <v>167</v>
      </c>
      <c r="B171" s="198" t="inlineStr">
        <is>
          <t>盛り込み④</t>
        </is>
      </c>
      <c r="C171" s="229" t="n"/>
      <c r="D171" s="190" t="n"/>
      <c r="E171" s="190" t="n"/>
      <c r="F171" s="541">
        <f>IF(OR(D171="",E171=""),"",(E171-D171)*1440)</f>
        <v/>
      </c>
      <c r="G171" s="542" t="n"/>
      <c r="H171" s="542" t="n"/>
      <c r="I171" s="543" t="n"/>
      <c r="J171" s="192" t="n"/>
      <c r="K171" s="544">
        <f>IF(AND(ISNUMBER(F171),I171&gt;0),I171/(F171/60),"")</f>
        <v/>
      </c>
      <c r="L171" s="545" t="n">
        <v>700</v>
      </c>
      <c r="M171" s="194">
        <f>IF(OR(ISNUMBER(SEARCH("サニテーション",C171)),ISNUMBER(SEARCH("客注",C171)),ISNUMBER(SEARCH("切り替え",C171)),ISNUMBER(SEARCH("切替",C171)),NOT(ISNUMBER(H171))),"",IF(ISNUMBER(G171),G171/60*H171*④前提設定!$B$4,IF(AND(G171="",ISNUMBER(F171)),F171/60*H171*④前提設定!$B$4,"")))</f>
        <v/>
      </c>
      <c r="N171" s="546">
        <f>IF(AND(I171&gt;0,ISNUMBER(M171)),M171/I171,"")</f>
        <v/>
      </c>
      <c r="O171" s="547">
        <f>IF(AND(J171&gt;0,ISNUMBER(M171)),M171/J171,"")</f>
        <v/>
      </c>
      <c r="P171" s="199" t="n"/>
      <c r="Q171" s="200" t="n"/>
      <c r="X171" s="334">
        <f>COUNTA(R171:W171)</f>
        <v/>
      </c>
      <c r="Y171" s="334">
        <f>IF(AND($X171&gt;0,ISNUMBER($M171)),$M171/$X171,"")</f>
        <v/>
      </c>
      <c r="Z171" s="334">
        <f>IF($X171=0,"",IF(COUNTIF(⑳商品別1食労務費!$C$5:$C$124,$R171)+COUNTIF(⑳商品別1食労務費!$C$5:$C$124,$S171)+COUNTIF(⑳商品別1食労務費!$C$5:$C$124,$T171)+COUNTIF(⑳商品別1食労務費!$C$5:$C$124,$U171)+COUNTIF(⑳商品別1食労務費!$C$5:$C$124,$V171)+COUNTIF(⑳商品別1食労務費!$C$5:$C$124,$W171)=$X171,"OK","⑳に無い商品名"))</f>
        <v/>
      </c>
      <c r="AA171" s="334">
        <f>SUMIF(⑳商品別1食労務費!$C$5:$C$124,$R171,⑳商品別1食労務費!$F$5:$F$124)+SUMIF(⑳商品別1食労務費!$C$5:$C$124,$S171,⑳商品別1食労務費!$F$5:$F$124)+SUMIF(⑳商品別1食労務費!$C$5:$C$124,$T171,⑳商品別1食労務費!$F$5:$F$124)+SUMIF(⑳商品別1食労務費!$C$5:$C$124,$U171,⑳商品別1食労務費!$F$5:$F$124)+SUMIF(⑳商品別1食労務費!$C$5:$C$124,$V171,⑳商品別1食労務費!$F$5:$F$124)+SUMIF(⑳商品別1食労務費!$C$5:$C$124,$W171,⑳商品別1食労務費!$F$5:$F$124)</f>
        <v/>
      </c>
      <c r="AB171" s="334">
        <f>IF(ISNUMBER($M171),$M171,0)</f>
        <v/>
      </c>
      <c r="AC171" s="334">
        <f>IF(AND($X171&gt;0,ISNUMBER($J171)),$J171/$X171,"")</f>
        <v/>
      </c>
      <c r="AD171" s="413">
        <f>IF($R171="",0,IF($AA171&gt;0,$AB171*SUMIF(⑳商品別1食労務費!$C$5:$C$124,$R171,⑳商品別1食労務費!$F$5:$F$124)/$AA171,$AB171/$X171))</f>
        <v/>
      </c>
      <c r="AE171" s="413">
        <f>IF($S171="",0,IF($AA171&gt;0,$AB171*SUMIF(⑳商品別1食労務費!$C$5:$C$124,$S171,⑳商品別1食労務費!$F$5:$F$124)/$AA171,$AB171/$X171))</f>
        <v/>
      </c>
      <c r="AF171" s="413">
        <f>IF($T171="",0,IF($AA171&gt;0,$AB171*SUMIF(⑳商品別1食労務費!$C$5:$C$124,$T171,⑳商品別1食労務費!$F$5:$F$124)/$AA171,$AB171/$X171))</f>
        <v/>
      </c>
      <c r="AG171" s="413">
        <f>IF($U171="",0,IF($AA171&gt;0,$AB171*SUMIF(⑳商品別1食労務費!$C$5:$C$124,$U171,⑳商品別1食労務費!$F$5:$F$124)/$AA171,$AB171/$X171))</f>
        <v/>
      </c>
      <c r="AH171" s="413">
        <f>IF($V171="",0,IF($AA171&gt;0,$AB171*SUMIF(⑳商品別1食労務費!$C$5:$C$124,$V171,⑳商品別1食労務費!$F$5:$F$124)/$AA171,$AB171/$X171))</f>
        <v/>
      </c>
      <c r="AI171" s="413">
        <f>IF($W171="",0,IF($AA171&gt;0,$AB171*SUMIF(⑳商品別1食労務費!$C$5:$C$124,$W171,⑳商品別1食労務費!$F$5:$F$124)/$AA171,$AB171/$X171))</f>
        <v/>
      </c>
    </row>
    <row r="172" hidden="1" s="438">
      <c r="A172" s="188" t="n">
        <v>168</v>
      </c>
      <c r="B172" s="189" t="inlineStr">
        <is>
          <t>盛り込み④</t>
        </is>
      </c>
      <c r="C172" s="229" t="n"/>
      <c r="D172" s="190" t="n"/>
      <c r="E172" s="190" t="n"/>
      <c r="F172" s="541">
        <f>IF(OR(D172="",E172=""),"",(E172-D172)*1440)</f>
        <v/>
      </c>
      <c r="G172" s="542" t="n"/>
      <c r="H172" s="542" t="n"/>
      <c r="I172" s="543" t="n"/>
      <c r="J172" s="192" t="n"/>
      <c r="K172" s="544">
        <f>IF(AND(ISNUMBER(F172),I172&gt;0),I172/(F172/60),"")</f>
        <v/>
      </c>
      <c r="L172" s="545" t="n">
        <v>1200</v>
      </c>
      <c r="M172" s="194">
        <f>IF(OR(ISNUMBER(SEARCH("サニテーション",C172)),ISNUMBER(SEARCH("客注",C172)),ISNUMBER(SEARCH("切り替え",C172)),ISNUMBER(SEARCH("切替",C172)),NOT(ISNUMBER(H172))),"",IF(ISNUMBER(G172),G172/60*H172*④前提設定!$B$4,IF(AND(G172="",ISNUMBER(F172)),F172/60*H172*④前提設定!$B$4,"")))</f>
        <v/>
      </c>
      <c r="N172" s="546">
        <f>IF(AND(I172&gt;0,ISNUMBER(M172)),M172/I172,"")</f>
        <v/>
      </c>
      <c r="O172" s="547">
        <f>IF(AND(J172&gt;0,ISNUMBER(M172)),M172/J172,"")</f>
        <v/>
      </c>
      <c r="P172" s="195" t="n"/>
      <c r="Q172" s="196" t="n"/>
      <c r="X172" s="334">
        <f>COUNTA(R172:W172)</f>
        <v/>
      </c>
      <c r="Y172" s="334">
        <f>IF(AND($X172&gt;0,ISNUMBER($M172)),$M172/$X172,"")</f>
        <v/>
      </c>
      <c r="Z172" s="334">
        <f>IF($X172=0,"",IF(COUNTIF(⑳商品別1食労務費!$C$5:$C$124,$R172)+COUNTIF(⑳商品別1食労務費!$C$5:$C$124,$S172)+COUNTIF(⑳商品別1食労務費!$C$5:$C$124,$T172)+COUNTIF(⑳商品別1食労務費!$C$5:$C$124,$U172)+COUNTIF(⑳商品別1食労務費!$C$5:$C$124,$V172)+COUNTIF(⑳商品別1食労務費!$C$5:$C$124,$W172)=$X172,"OK","⑳に無い商品名"))</f>
        <v/>
      </c>
      <c r="AA172" s="334">
        <f>SUMIF(⑳商品別1食労務費!$C$5:$C$124,$R172,⑳商品別1食労務費!$F$5:$F$124)+SUMIF(⑳商品別1食労務費!$C$5:$C$124,$S172,⑳商品別1食労務費!$F$5:$F$124)+SUMIF(⑳商品別1食労務費!$C$5:$C$124,$T172,⑳商品別1食労務費!$F$5:$F$124)+SUMIF(⑳商品別1食労務費!$C$5:$C$124,$U172,⑳商品別1食労務費!$F$5:$F$124)+SUMIF(⑳商品別1食労務費!$C$5:$C$124,$V172,⑳商品別1食労務費!$F$5:$F$124)+SUMIF(⑳商品別1食労務費!$C$5:$C$124,$W172,⑳商品別1食労務費!$F$5:$F$124)</f>
        <v/>
      </c>
      <c r="AB172" s="334">
        <f>IF(ISNUMBER($M172),$M172,0)</f>
        <v/>
      </c>
      <c r="AC172" s="334">
        <f>IF(AND($X172&gt;0,ISNUMBER($J172)),$J172/$X172,"")</f>
        <v/>
      </c>
      <c r="AD172" s="413">
        <f>IF($R172="",0,IF($AA172&gt;0,$AB172*SUMIF(⑳商品別1食労務費!$C$5:$C$124,$R172,⑳商品別1食労務費!$F$5:$F$124)/$AA172,$AB172/$X172))</f>
        <v/>
      </c>
      <c r="AE172" s="413">
        <f>IF($S172="",0,IF($AA172&gt;0,$AB172*SUMIF(⑳商品別1食労務費!$C$5:$C$124,$S172,⑳商品別1食労務費!$F$5:$F$124)/$AA172,$AB172/$X172))</f>
        <v/>
      </c>
      <c r="AF172" s="413">
        <f>IF($T172="",0,IF($AA172&gt;0,$AB172*SUMIF(⑳商品別1食労務費!$C$5:$C$124,$T172,⑳商品別1食労務費!$F$5:$F$124)/$AA172,$AB172/$X172))</f>
        <v/>
      </c>
      <c r="AG172" s="413">
        <f>IF($U172="",0,IF($AA172&gt;0,$AB172*SUMIF(⑳商品別1食労務費!$C$5:$C$124,$U172,⑳商品別1食労務費!$F$5:$F$124)/$AA172,$AB172/$X172))</f>
        <v/>
      </c>
      <c r="AH172" s="413">
        <f>IF($V172="",0,IF($AA172&gt;0,$AB172*SUMIF(⑳商品別1食労務費!$C$5:$C$124,$V172,⑳商品別1食労務費!$F$5:$F$124)/$AA172,$AB172/$X172))</f>
        <v/>
      </c>
      <c r="AI172" s="413">
        <f>IF($W172="",0,IF($AA172&gt;0,$AB172*SUMIF(⑳商品別1食労務費!$C$5:$C$124,$W172,⑳商品別1食労務費!$F$5:$F$124)/$AA172,$AB172/$X172))</f>
        <v/>
      </c>
    </row>
    <row r="173" hidden="1" s="438">
      <c r="A173" s="197" t="n">
        <v>169</v>
      </c>
      <c r="B173" s="198" t="inlineStr">
        <is>
          <t>盛り込み④</t>
        </is>
      </c>
      <c r="C173" s="229" t="n"/>
      <c r="D173" s="190" t="n"/>
      <c r="E173" s="190" t="n"/>
      <c r="F173" s="541">
        <f>IF(OR(D173="",E173=""),"",(E173-D173)*1440)</f>
        <v/>
      </c>
      <c r="G173" s="542" t="n"/>
      <c r="H173" s="542" t="n"/>
      <c r="I173" s="543" t="n"/>
      <c r="J173" s="192" t="n"/>
      <c r="K173" s="544">
        <f>IF(AND(ISNUMBER(F173),I173&gt;0),I173/(F173/60),"")</f>
        <v/>
      </c>
      <c r="L173" s="545" t="n">
        <v>500</v>
      </c>
      <c r="M173" s="194">
        <f>IF(OR(ISNUMBER(SEARCH("サニテーション",C173)),ISNUMBER(SEARCH("客注",C173)),ISNUMBER(SEARCH("切り替え",C173)),ISNUMBER(SEARCH("切替",C173)),NOT(ISNUMBER(H173))),"",IF(ISNUMBER(G173),G173/60*H173*④前提設定!$B$4,IF(AND(G173="",ISNUMBER(F173)),F173/60*H173*④前提設定!$B$4,"")))</f>
        <v/>
      </c>
      <c r="N173" s="546">
        <f>IF(AND(I173&gt;0,ISNUMBER(M173)),M173/I173,"")</f>
        <v/>
      </c>
      <c r="O173" s="547">
        <f>IF(AND(J173&gt;0,ISNUMBER(M173)),M173/J173,"")</f>
        <v/>
      </c>
      <c r="P173" s="199" t="n"/>
      <c r="Q173" s="200" t="n"/>
      <c r="X173" s="334">
        <f>COUNTA(R173:W173)</f>
        <v/>
      </c>
      <c r="Y173" s="334">
        <f>IF(AND($X173&gt;0,ISNUMBER($M173)),$M173/$X173,"")</f>
        <v/>
      </c>
      <c r="Z173" s="334">
        <f>IF($X173=0,"",IF(COUNTIF(⑳商品別1食労務費!$C$5:$C$124,$R173)+COUNTIF(⑳商品別1食労務費!$C$5:$C$124,$S173)+COUNTIF(⑳商品別1食労務費!$C$5:$C$124,$T173)+COUNTIF(⑳商品別1食労務費!$C$5:$C$124,$U173)+COUNTIF(⑳商品別1食労務費!$C$5:$C$124,$V173)+COUNTIF(⑳商品別1食労務費!$C$5:$C$124,$W173)=$X173,"OK","⑳に無い商品名"))</f>
        <v/>
      </c>
      <c r="AA173" s="334">
        <f>SUMIF(⑳商品別1食労務費!$C$5:$C$124,$R173,⑳商品別1食労務費!$F$5:$F$124)+SUMIF(⑳商品別1食労務費!$C$5:$C$124,$S173,⑳商品別1食労務費!$F$5:$F$124)+SUMIF(⑳商品別1食労務費!$C$5:$C$124,$T173,⑳商品別1食労務費!$F$5:$F$124)+SUMIF(⑳商品別1食労務費!$C$5:$C$124,$U173,⑳商品別1食労務費!$F$5:$F$124)+SUMIF(⑳商品別1食労務費!$C$5:$C$124,$V173,⑳商品別1食労務費!$F$5:$F$124)+SUMIF(⑳商品別1食労務費!$C$5:$C$124,$W173,⑳商品別1食労務費!$F$5:$F$124)</f>
        <v/>
      </c>
      <c r="AB173" s="334">
        <f>IF(ISNUMBER($M173),$M173,0)</f>
        <v/>
      </c>
      <c r="AC173" s="334">
        <f>IF(AND($X173&gt;0,ISNUMBER($J173)),$J173/$X173,"")</f>
        <v/>
      </c>
      <c r="AD173" s="413">
        <f>IF($R173="",0,IF($AA173&gt;0,$AB173*SUMIF(⑳商品別1食労務費!$C$5:$C$124,$R173,⑳商品別1食労務費!$F$5:$F$124)/$AA173,$AB173/$X173))</f>
        <v/>
      </c>
      <c r="AE173" s="413">
        <f>IF($S173="",0,IF($AA173&gt;0,$AB173*SUMIF(⑳商品別1食労務費!$C$5:$C$124,$S173,⑳商品別1食労務費!$F$5:$F$124)/$AA173,$AB173/$X173))</f>
        <v/>
      </c>
      <c r="AF173" s="413">
        <f>IF($T173="",0,IF($AA173&gt;0,$AB173*SUMIF(⑳商品別1食労務費!$C$5:$C$124,$T173,⑳商品別1食労務費!$F$5:$F$124)/$AA173,$AB173/$X173))</f>
        <v/>
      </c>
      <c r="AG173" s="413">
        <f>IF($U173="",0,IF($AA173&gt;0,$AB173*SUMIF(⑳商品別1食労務費!$C$5:$C$124,$U173,⑳商品別1食労務費!$F$5:$F$124)/$AA173,$AB173/$X173))</f>
        <v/>
      </c>
      <c r="AH173" s="413">
        <f>IF($V173="",0,IF($AA173&gt;0,$AB173*SUMIF(⑳商品別1食労務費!$C$5:$C$124,$V173,⑳商品別1食労務費!$F$5:$F$124)/$AA173,$AB173/$X173))</f>
        <v/>
      </c>
      <c r="AI173" s="413">
        <f>IF($W173="",0,IF($AA173&gt;0,$AB173*SUMIF(⑳商品別1食労務費!$C$5:$C$124,$W173,⑳商品別1食労務費!$F$5:$F$124)/$AA173,$AB173/$X173))</f>
        <v/>
      </c>
    </row>
    <row r="174" hidden="1" s="438">
      <c r="A174" s="188" t="n">
        <v>170</v>
      </c>
      <c r="B174" s="189" t="inlineStr">
        <is>
          <t>盛り込み④</t>
        </is>
      </c>
      <c r="C174" s="229" t="n"/>
      <c r="D174" s="190" t="n"/>
      <c r="E174" s="190" t="n"/>
      <c r="F174" s="541">
        <f>IF(OR(D174="",E174=""),"",(E174-D174)*1440)</f>
        <v/>
      </c>
      <c r="G174" s="542" t="n"/>
      <c r="H174" s="542" t="n"/>
      <c r="I174" s="543" t="n"/>
      <c r="J174" s="192" t="n"/>
      <c r="K174" s="544">
        <f>IF(AND(ISNUMBER(F174),I174&gt;0),I174/(F174/60),"")</f>
        <v/>
      </c>
      <c r="L174" s="545" t="n">
        <v>700</v>
      </c>
      <c r="M174" s="194">
        <f>IF(OR(ISNUMBER(SEARCH("サニテーション",C174)),ISNUMBER(SEARCH("客注",C174)),ISNUMBER(SEARCH("切り替え",C174)),ISNUMBER(SEARCH("切替",C174)),NOT(ISNUMBER(H174))),"",IF(ISNUMBER(G174),G174/60*H174*④前提設定!$B$4,IF(AND(G174="",ISNUMBER(F174)),F174/60*H174*④前提設定!$B$4,"")))</f>
        <v/>
      </c>
      <c r="N174" s="546">
        <f>IF(AND(I174&gt;0,ISNUMBER(M174)),M174/I174,"")</f>
        <v/>
      </c>
      <c r="O174" s="547">
        <f>IF(AND(J174&gt;0,ISNUMBER(M174)),M174/J174,"")</f>
        <v/>
      </c>
      <c r="P174" s="195" t="n"/>
      <c r="Q174" s="196" t="n"/>
      <c r="X174" s="334">
        <f>COUNTA(R174:W174)</f>
        <v/>
      </c>
      <c r="Y174" s="334">
        <f>IF(AND($X174&gt;0,ISNUMBER($M174)),$M174/$X174,"")</f>
        <v/>
      </c>
      <c r="Z174" s="334">
        <f>IF($X174=0,"",IF(COUNTIF(⑳商品別1食労務費!$C$5:$C$124,$R174)+COUNTIF(⑳商品別1食労務費!$C$5:$C$124,$S174)+COUNTIF(⑳商品別1食労務費!$C$5:$C$124,$T174)+COUNTIF(⑳商品別1食労務費!$C$5:$C$124,$U174)+COUNTIF(⑳商品別1食労務費!$C$5:$C$124,$V174)+COUNTIF(⑳商品別1食労務費!$C$5:$C$124,$W174)=$X174,"OK","⑳に無い商品名"))</f>
        <v/>
      </c>
      <c r="AA174" s="334">
        <f>SUMIF(⑳商品別1食労務費!$C$5:$C$124,$R174,⑳商品別1食労務費!$F$5:$F$124)+SUMIF(⑳商品別1食労務費!$C$5:$C$124,$S174,⑳商品別1食労務費!$F$5:$F$124)+SUMIF(⑳商品別1食労務費!$C$5:$C$124,$T174,⑳商品別1食労務費!$F$5:$F$124)+SUMIF(⑳商品別1食労務費!$C$5:$C$124,$U174,⑳商品別1食労務費!$F$5:$F$124)+SUMIF(⑳商品別1食労務費!$C$5:$C$124,$V174,⑳商品別1食労務費!$F$5:$F$124)+SUMIF(⑳商品別1食労務費!$C$5:$C$124,$W174,⑳商品別1食労務費!$F$5:$F$124)</f>
        <v/>
      </c>
      <c r="AB174" s="334">
        <f>IF(ISNUMBER($M174),$M174,0)</f>
        <v/>
      </c>
      <c r="AC174" s="334">
        <f>IF(AND($X174&gt;0,ISNUMBER($J174)),$J174/$X174,"")</f>
        <v/>
      </c>
      <c r="AD174" s="413">
        <f>IF($R174="",0,IF($AA174&gt;0,$AB174*SUMIF(⑳商品別1食労務費!$C$5:$C$124,$R174,⑳商品別1食労務費!$F$5:$F$124)/$AA174,$AB174/$X174))</f>
        <v/>
      </c>
      <c r="AE174" s="413">
        <f>IF($S174="",0,IF($AA174&gt;0,$AB174*SUMIF(⑳商品別1食労務費!$C$5:$C$124,$S174,⑳商品別1食労務費!$F$5:$F$124)/$AA174,$AB174/$X174))</f>
        <v/>
      </c>
      <c r="AF174" s="413">
        <f>IF($T174="",0,IF($AA174&gt;0,$AB174*SUMIF(⑳商品別1食労務費!$C$5:$C$124,$T174,⑳商品別1食労務費!$F$5:$F$124)/$AA174,$AB174/$X174))</f>
        <v/>
      </c>
      <c r="AG174" s="413">
        <f>IF($U174="",0,IF($AA174&gt;0,$AB174*SUMIF(⑳商品別1食労務費!$C$5:$C$124,$U174,⑳商品別1食労務費!$F$5:$F$124)/$AA174,$AB174/$X174))</f>
        <v/>
      </c>
      <c r="AH174" s="413">
        <f>IF($V174="",0,IF($AA174&gt;0,$AB174*SUMIF(⑳商品別1食労務費!$C$5:$C$124,$V174,⑳商品別1食労務費!$F$5:$F$124)/$AA174,$AB174/$X174))</f>
        <v/>
      </c>
      <c r="AI174" s="413">
        <f>IF($W174="",0,IF($AA174&gt;0,$AB174*SUMIF(⑳商品別1食労務費!$C$5:$C$124,$W174,⑳商品別1食労務費!$F$5:$F$124)/$AA174,$AB174/$X174))</f>
        <v/>
      </c>
    </row>
    <row r="175" hidden="1" s="438">
      <c r="A175" s="197" t="n">
        <v>171</v>
      </c>
      <c r="B175" s="198" t="inlineStr">
        <is>
          <t>盛り込み④</t>
        </is>
      </c>
      <c r="C175" s="229" t="n"/>
      <c r="D175" s="190" t="n"/>
      <c r="E175" s="190" t="n"/>
      <c r="F175" s="541">
        <f>IF(OR(D175="",E175=""),"",(E175-D175)*1440)</f>
        <v/>
      </c>
      <c r="G175" s="542" t="n"/>
      <c r="H175" s="542" t="n"/>
      <c r="I175" s="543" t="n"/>
      <c r="J175" s="192" t="n"/>
      <c r="K175" s="544">
        <f>IF(AND(ISNUMBER(F175),I175&gt;0),I175/(F175/60),"")</f>
        <v/>
      </c>
      <c r="L175" s="545" t="n">
        <v>600</v>
      </c>
      <c r="M175" s="194">
        <f>IF(OR(ISNUMBER(SEARCH("サニテーション",C175)),ISNUMBER(SEARCH("客注",C175)),ISNUMBER(SEARCH("切り替え",C175)),ISNUMBER(SEARCH("切替",C175)),NOT(ISNUMBER(H175))),"",IF(ISNUMBER(G175),G175/60*H175*④前提設定!$B$4,IF(AND(G175="",ISNUMBER(F175)),F175/60*H175*④前提設定!$B$4,"")))</f>
        <v/>
      </c>
      <c r="N175" s="546">
        <f>IF(AND(I175&gt;0,ISNUMBER(M175)),M175/I175,"")</f>
        <v/>
      </c>
      <c r="O175" s="547">
        <f>IF(AND(J175&gt;0,ISNUMBER(M175)),M175/J175,"")</f>
        <v/>
      </c>
      <c r="P175" s="199" t="n"/>
      <c r="Q175" s="200" t="n"/>
      <c r="X175" s="334">
        <f>COUNTA(R175:W175)</f>
        <v/>
      </c>
      <c r="Y175" s="334">
        <f>IF(AND($X175&gt;0,ISNUMBER($M175)),$M175/$X175,"")</f>
        <v/>
      </c>
      <c r="Z175" s="334">
        <f>IF($X175=0,"",IF(COUNTIF(⑳商品別1食労務費!$C$5:$C$124,$R175)+COUNTIF(⑳商品別1食労務費!$C$5:$C$124,$S175)+COUNTIF(⑳商品別1食労務費!$C$5:$C$124,$T175)+COUNTIF(⑳商品別1食労務費!$C$5:$C$124,$U175)+COUNTIF(⑳商品別1食労務費!$C$5:$C$124,$V175)+COUNTIF(⑳商品別1食労務費!$C$5:$C$124,$W175)=$X175,"OK","⑳に無い商品名"))</f>
        <v/>
      </c>
      <c r="AA175" s="334">
        <f>SUMIF(⑳商品別1食労務費!$C$5:$C$124,$R175,⑳商品別1食労務費!$F$5:$F$124)+SUMIF(⑳商品別1食労務費!$C$5:$C$124,$S175,⑳商品別1食労務費!$F$5:$F$124)+SUMIF(⑳商品別1食労務費!$C$5:$C$124,$T175,⑳商品別1食労務費!$F$5:$F$124)+SUMIF(⑳商品別1食労務費!$C$5:$C$124,$U175,⑳商品別1食労務費!$F$5:$F$124)+SUMIF(⑳商品別1食労務費!$C$5:$C$124,$V175,⑳商品別1食労務費!$F$5:$F$124)+SUMIF(⑳商品別1食労務費!$C$5:$C$124,$W175,⑳商品別1食労務費!$F$5:$F$124)</f>
        <v/>
      </c>
      <c r="AB175" s="334">
        <f>IF(ISNUMBER($M175),$M175,0)</f>
        <v/>
      </c>
      <c r="AC175" s="334">
        <f>IF(AND($X175&gt;0,ISNUMBER($J175)),$J175/$X175,"")</f>
        <v/>
      </c>
      <c r="AD175" s="413">
        <f>IF($R175="",0,IF($AA175&gt;0,$AB175*SUMIF(⑳商品別1食労務費!$C$5:$C$124,$R175,⑳商品別1食労務費!$F$5:$F$124)/$AA175,$AB175/$X175))</f>
        <v/>
      </c>
      <c r="AE175" s="413">
        <f>IF($S175="",0,IF($AA175&gt;0,$AB175*SUMIF(⑳商品別1食労務費!$C$5:$C$124,$S175,⑳商品別1食労務費!$F$5:$F$124)/$AA175,$AB175/$X175))</f>
        <v/>
      </c>
      <c r="AF175" s="413">
        <f>IF($T175="",0,IF($AA175&gt;0,$AB175*SUMIF(⑳商品別1食労務費!$C$5:$C$124,$T175,⑳商品別1食労務費!$F$5:$F$124)/$AA175,$AB175/$X175))</f>
        <v/>
      </c>
      <c r="AG175" s="413">
        <f>IF($U175="",0,IF($AA175&gt;0,$AB175*SUMIF(⑳商品別1食労務費!$C$5:$C$124,$U175,⑳商品別1食労務費!$F$5:$F$124)/$AA175,$AB175/$X175))</f>
        <v/>
      </c>
      <c r="AH175" s="413">
        <f>IF($V175="",0,IF($AA175&gt;0,$AB175*SUMIF(⑳商品別1食労務費!$C$5:$C$124,$V175,⑳商品別1食労務費!$F$5:$F$124)/$AA175,$AB175/$X175))</f>
        <v/>
      </c>
      <c r="AI175" s="413">
        <f>IF($W175="",0,IF($AA175&gt;0,$AB175*SUMIF(⑳商品別1食労務費!$C$5:$C$124,$W175,⑳商品別1食労務費!$F$5:$F$124)/$AA175,$AB175/$X175))</f>
        <v/>
      </c>
    </row>
    <row r="176" hidden="1" s="438">
      <c r="A176" s="188" t="n">
        <v>172</v>
      </c>
      <c r="B176" s="189" t="inlineStr">
        <is>
          <t>盛り込み④</t>
        </is>
      </c>
      <c r="C176" s="229" t="n"/>
      <c r="D176" s="190" t="n"/>
      <c r="E176" s="190" t="n"/>
      <c r="F176" s="541">
        <f>IF(OR(D176="",E176=""),"",(E176-D176)*1440)</f>
        <v/>
      </c>
      <c r="G176" s="542" t="n"/>
      <c r="H176" s="542" t="n"/>
      <c r="I176" s="543" t="n"/>
      <c r="J176" s="192" t="n"/>
      <c r="K176" s="544">
        <f>IF(AND(ISNUMBER(F176),I176&gt;0),I176/(F176/60),"")</f>
        <v/>
      </c>
      <c r="L176" s="545" t="n">
        <v>900</v>
      </c>
      <c r="M176" s="194">
        <f>IF(OR(ISNUMBER(SEARCH("サニテーション",C176)),ISNUMBER(SEARCH("客注",C176)),ISNUMBER(SEARCH("切り替え",C176)),ISNUMBER(SEARCH("切替",C176)),NOT(ISNUMBER(H176))),"",IF(ISNUMBER(G176),G176/60*H176*④前提設定!$B$4,IF(AND(G176="",ISNUMBER(F176)),F176/60*H176*④前提設定!$B$4,"")))</f>
        <v/>
      </c>
      <c r="N176" s="546">
        <f>IF(AND(I176&gt;0,ISNUMBER(M176)),M176/I176,"")</f>
        <v/>
      </c>
      <c r="O176" s="547">
        <f>IF(AND(J176&gt;0,ISNUMBER(M176)),M176/J176,"")</f>
        <v/>
      </c>
      <c r="P176" s="195" t="n"/>
      <c r="Q176" s="196" t="n"/>
      <c r="X176" s="334">
        <f>COUNTA(R176:W176)</f>
        <v/>
      </c>
      <c r="Y176" s="334">
        <f>IF(AND($X176&gt;0,ISNUMBER($M176)),$M176/$X176,"")</f>
        <v/>
      </c>
      <c r="Z176" s="334">
        <f>IF($X176=0,"",IF(COUNTIF(⑳商品別1食労務費!$C$5:$C$124,$R176)+COUNTIF(⑳商品別1食労務費!$C$5:$C$124,$S176)+COUNTIF(⑳商品別1食労務費!$C$5:$C$124,$T176)+COUNTIF(⑳商品別1食労務費!$C$5:$C$124,$U176)+COUNTIF(⑳商品別1食労務費!$C$5:$C$124,$V176)+COUNTIF(⑳商品別1食労務費!$C$5:$C$124,$W176)=$X176,"OK","⑳に無い商品名"))</f>
        <v/>
      </c>
      <c r="AA176" s="334">
        <f>SUMIF(⑳商品別1食労務費!$C$5:$C$124,$R176,⑳商品別1食労務費!$F$5:$F$124)+SUMIF(⑳商品別1食労務費!$C$5:$C$124,$S176,⑳商品別1食労務費!$F$5:$F$124)+SUMIF(⑳商品別1食労務費!$C$5:$C$124,$T176,⑳商品別1食労務費!$F$5:$F$124)+SUMIF(⑳商品別1食労務費!$C$5:$C$124,$U176,⑳商品別1食労務費!$F$5:$F$124)+SUMIF(⑳商品別1食労務費!$C$5:$C$124,$V176,⑳商品別1食労務費!$F$5:$F$124)+SUMIF(⑳商品別1食労務費!$C$5:$C$124,$W176,⑳商品別1食労務費!$F$5:$F$124)</f>
        <v/>
      </c>
      <c r="AB176" s="334">
        <f>IF(ISNUMBER($M176),$M176,0)</f>
        <v/>
      </c>
      <c r="AC176" s="334">
        <f>IF(AND($X176&gt;0,ISNUMBER($J176)),$J176/$X176,"")</f>
        <v/>
      </c>
      <c r="AD176" s="413">
        <f>IF($R176="",0,IF($AA176&gt;0,$AB176*SUMIF(⑳商品別1食労務費!$C$5:$C$124,$R176,⑳商品別1食労務費!$F$5:$F$124)/$AA176,$AB176/$X176))</f>
        <v/>
      </c>
      <c r="AE176" s="413">
        <f>IF($S176="",0,IF($AA176&gt;0,$AB176*SUMIF(⑳商品別1食労務費!$C$5:$C$124,$S176,⑳商品別1食労務費!$F$5:$F$124)/$AA176,$AB176/$X176))</f>
        <v/>
      </c>
      <c r="AF176" s="413">
        <f>IF($T176="",0,IF($AA176&gt;0,$AB176*SUMIF(⑳商品別1食労務費!$C$5:$C$124,$T176,⑳商品別1食労務費!$F$5:$F$124)/$AA176,$AB176/$X176))</f>
        <v/>
      </c>
      <c r="AG176" s="413">
        <f>IF($U176="",0,IF($AA176&gt;0,$AB176*SUMIF(⑳商品別1食労務費!$C$5:$C$124,$U176,⑳商品別1食労務費!$F$5:$F$124)/$AA176,$AB176/$X176))</f>
        <v/>
      </c>
      <c r="AH176" s="413">
        <f>IF($V176="",0,IF($AA176&gt;0,$AB176*SUMIF(⑳商品別1食労務費!$C$5:$C$124,$V176,⑳商品別1食労務費!$F$5:$F$124)/$AA176,$AB176/$X176))</f>
        <v/>
      </c>
      <c r="AI176" s="413">
        <f>IF($W176="",0,IF($AA176&gt;0,$AB176*SUMIF(⑳商品別1食労務費!$C$5:$C$124,$W176,⑳商品別1食労務費!$F$5:$F$124)/$AA176,$AB176/$X176))</f>
        <v/>
      </c>
    </row>
    <row r="177" hidden="1" s="438">
      <c r="A177" s="197" t="n">
        <v>173</v>
      </c>
      <c r="B177" s="198" t="inlineStr">
        <is>
          <t>盛り込み④</t>
        </is>
      </c>
      <c r="C177" s="229" t="n"/>
      <c r="D177" s="190" t="n"/>
      <c r="E177" s="190" t="n"/>
      <c r="F177" s="541">
        <f>IF(OR(D177="",E177=""),"",(E177-D177)*1440)</f>
        <v/>
      </c>
      <c r="G177" s="542" t="n"/>
      <c r="H177" s="542" t="n"/>
      <c r="I177" s="543" t="n"/>
      <c r="J177" s="192" t="n"/>
      <c r="K177" s="544">
        <f>IF(AND(ISNUMBER(F177),I177&gt;0),I177/(F177/60),"")</f>
        <v/>
      </c>
      <c r="L177" s="545" t="n">
        <v>1500</v>
      </c>
      <c r="M177" s="194">
        <f>IF(OR(ISNUMBER(SEARCH("サニテーション",C177)),ISNUMBER(SEARCH("客注",C177)),ISNUMBER(SEARCH("切り替え",C177)),ISNUMBER(SEARCH("切替",C177)),NOT(ISNUMBER(H177))),"",IF(ISNUMBER(G177),G177/60*H177*④前提設定!$B$4,IF(AND(G177="",ISNUMBER(F177)),F177/60*H177*④前提設定!$B$4,"")))</f>
        <v/>
      </c>
      <c r="N177" s="546">
        <f>IF(AND(I177&gt;0,ISNUMBER(M177)),M177/I177,"")</f>
        <v/>
      </c>
      <c r="O177" s="547">
        <f>IF(AND(J177&gt;0,ISNUMBER(M177)),M177/J177,"")</f>
        <v/>
      </c>
      <c r="P177" s="199" t="n"/>
      <c r="Q177" s="200" t="n"/>
      <c r="X177" s="334">
        <f>COUNTA(R177:W177)</f>
        <v/>
      </c>
      <c r="Y177" s="334">
        <f>IF(AND($X177&gt;0,ISNUMBER($M177)),$M177/$X177,"")</f>
        <v/>
      </c>
      <c r="Z177" s="334">
        <f>IF($X177=0,"",IF(COUNTIF(⑳商品別1食労務費!$C$5:$C$124,$R177)+COUNTIF(⑳商品別1食労務費!$C$5:$C$124,$S177)+COUNTIF(⑳商品別1食労務費!$C$5:$C$124,$T177)+COUNTIF(⑳商品別1食労務費!$C$5:$C$124,$U177)+COUNTIF(⑳商品別1食労務費!$C$5:$C$124,$V177)+COUNTIF(⑳商品別1食労務費!$C$5:$C$124,$W177)=$X177,"OK","⑳に無い商品名"))</f>
        <v/>
      </c>
      <c r="AA177" s="334">
        <f>SUMIF(⑳商品別1食労務費!$C$5:$C$124,$R177,⑳商品別1食労務費!$F$5:$F$124)+SUMIF(⑳商品別1食労務費!$C$5:$C$124,$S177,⑳商品別1食労務費!$F$5:$F$124)+SUMIF(⑳商品別1食労務費!$C$5:$C$124,$T177,⑳商品別1食労務費!$F$5:$F$124)+SUMIF(⑳商品別1食労務費!$C$5:$C$124,$U177,⑳商品別1食労務費!$F$5:$F$124)+SUMIF(⑳商品別1食労務費!$C$5:$C$124,$V177,⑳商品別1食労務費!$F$5:$F$124)+SUMIF(⑳商品別1食労務費!$C$5:$C$124,$W177,⑳商品別1食労務費!$F$5:$F$124)</f>
        <v/>
      </c>
      <c r="AB177" s="334">
        <f>IF(ISNUMBER($M177),$M177,0)</f>
        <v/>
      </c>
      <c r="AC177" s="334">
        <f>IF(AND($X177&gt;0,ISNUMBER($J177)),$J177/$X177,"")</f>
        <v/>
      </c>
      <c r="AD177" s="413">
        <f>IF($R177="",0,IF($AA177&gt;0,$AB177*SUMIF(⑳商品別1食労務費!$C$5:$C$124,$R177,⑳商品別1食労務費!$F$5:$F$124)/$AA177,$AB177/$X177))</f>
        <v/>
      </c>
      <c r="AE177" s="413">
        <f>IF($S177="",0,IF($AA177&gt;0,$AB177*SUMIF(⑳商品別1食労務費!$C$5:$C$124,$S177,⑳商品別1食労務費!$F$5:$F$124)/$AA177,$AB177/$X177))</f>
        <v/>
      </c>
      <c r="AF177" s="413">
        <f>IF($T177="",0,IF($AA177&gt;0,$AB177*SUMIF(⑳商品別1食労務費!$C$5:$C$124,$T177,⑳商品別1食労務費!$F$5:$F$124)/$AA177,$AB177/$X177))</f>
        <v/>
      </c>
      <c r="AG177" s="413">
        <f>IF($U177="",0,IF($AA177&gt;0,$AB177*SUMIF(⑳商品別1食労務費!$C$5:$C$124,$U177,⑳商品別1食労務費!$F$5:$F$124)/$AA177,$AB177/$X177))</f>
        <v/>
      </c>
      <c r="AH177" s="413">
        <f>IF($V177="",0,IF($AA177&gt;0,$AB177*SUMIF(⑳商品別1食労務費!$C$5:$C$124,$V177,⑳商品別1食労務費!$F$5:$F$124)/$AA177,$AB177/$X177))</f>
        <v/>
      </c>
      <c r="AI177" s="413">
        <f>IF($W177="",0,IF($AA177&gt;0,$AB177*SUMIF(⑳商品別1食労務費!$C$5:$C$124,$W177,⑳商品別1食労務費!$F$5:$F$124)/$AA177,$AB177/$X177))</f>
        <v/>
      </c>
    </row>
    <row r="178" hidden="1" s="438">
      <c r="A178" s="188" t="n">
        <v>174</v>
      </c>
      <c r="B178" s="189" t="inlineStr">
        <is>
          <t>盛り込み④</t>
        </is>
      </c>
      <c r="C178" s="229" t="n"/>
      <c r="D178" s="190" t="n"/>
      <c r="E178" s="190" t="n"/>
      <c r="F178" s="541">
        <f>IF(OR(D178="",E178=""),"",(E178-D178)*1440)</f>
        <v/>
      </c>
      <c r="G178" s="542" t="n"/>
      <c r="H178" s="542" t="n"/>
      <c r="I178" s="543" t="n"/>
      <c r="J178" s="192" t="n"/>
      <c r="K178" s="544">
        <f>IF(AND(ISNUMBER(F178),I178&gt;0),I178/(F178/60),"")</f>
        <v/>
      </c>
      <c r="L178" s="545" t="n">
        <v>1800</v>
      </c>
      <c r="M178" s="194">
        <f>IF(OR(ISNUMBER(SEARCH("サニテーション",C178)),ISNUMBER(SEARCH("客注",C178)),ISNUMBER(SEARCH("切り替え",C178)),ISNUMBER(SEARCH("切替",C178)),NOT(ISNUMBER(H178))),"",IF(ISNUMBER(G178),G178/60*H178*④前提設定!$B$4,IF(AND(G178="",ISNUMBER(F178)),F178/60*H178*④前提設定!$B$4,"")))</f>
        <v/>
      </c>
      <c r="N178" s="546">
        <f>IF(AND(I178&gt;0,ISNUMBER(M178)),M178/I178,"")</f>
        <v/>
      </c>
      <c r="O178" s="547">
        <f>IF(AND(J178&gt;0,ISNUMBER(M178)),M178/J178,"")</f>
        <v/>
      </c>
      <c r="P178" s="195" t="n"/>
      <c r="Q178" s="196" t="n"/>
      <c r="X178" s="334">
        <f>COUNTA(R178:W178)</f>
        <v/>
      </c>
      <c r="Y178" s="334">
        <f>IF(AND($X178&gt;0,ISNUMBER($M178)),$M178/$X178,"")</f>
        <v/>
      </c>
      <c r="Z178" s="334">
        <f>IF($X178=0,"",IF(COUNTIF(⑳商品別1食労務費!$C$5:$C$124,$R178)+COUNTIF(⑳商品別1食労務費!$C$5:$C$124,$S178)+COUNTIF(⑳商品別1食労務費!$C$5:$C$124,$T178)+COUNTIF(⑳商品別1食労務費!$C$5:$C$124,$U178)+COUNTIF(⑳商品別1食労務費!$C$5:$C$124,$V178)+COUNTIF(⑳商品別1食労務費!$C$5:$C$124,$W178)=$X178,"OK","⑳に無い商品名"))</f>
        <v/>
      </c>
      <c r="AA178" s="334">
        <f>SUMIF(⑳商品別1食労務費!$C$5:$C$124,$R178,⑳商品別1食労務費!$F$5:$F$124)+SUMIF(⑳商品別1食労務費!$C$5:$C$124,$S178,⑳商品別1食労務費!$F$5:$F$124)+SUMIF(⑳商品別1食労務費!$C$5:$C$124,$T178,⑳商品別1食労務費!$F$5:$F$124)+SUMIF(⑳商品別1食労務費!$C$5:$C$124,$U178,⑳商品別1食労務費!$F$5:$F$124)+SUMIF(⑳商品別1食労務費!$C$5:$C$124,$V178,⑳商品別1食労務費!$F$5:$F$124)+SUMIF(⑳商品別1食労務費!$C$5:$C$124,$W178,⑳商品別1食労務費!$F$5:$F$124)</f>
        <v/>
      </c>
      <c r="AB178" s="334">
        <f>IF(ISNUMBER($M178),$M178,0)</f>
        <v/>
      </c>
      <c r="AC178" s="334">
        <f>IF(AND($X178&gt;0,ISNUMBER($J178)),$J178/$X178,"")</f>
        <v/>
      </c>
      <c r="AD178" s="413">
        <f>IF($R178="",0,IF($AA178&gt;0,$AB178*SUMIF(⑳商品別1食労務費!$C$5:$C$124,$R178,⑳商品別1食労務費!$F$5:$F$124)/$AA178,$AB178/$X178))</f>
        <v/>
      </c>
      <c r="AE178" s="413">
        <f>IF($S178="",0,IF($AA178&gt;0,$AB178*SUMIF(⑳商品別1食労務費!$C$5:$C$124,$S178,⑳商品別1食労務費!$F$5:$F$124)/$AA178,$AB178/$X178))</f>
        <v/>
      </c>
      <c r="AF178" s="413">
        <f>IF($T178="",0,IF($AA178&gt;0,$AB178*SUMIF(⑳商品別1食労務費!$C$5:$C$124,$T178,⑳商品別1食労務費!$F$5:$F$124)/$AA178,$AB178/$X178))</f>
        <v/>
      </c>
      <c r="AG178" s="413">
        <f>IF($U178="",0,IF($AA178&gt;0,$AB178*SUMIF(⑳商品別1食労務費!$C$5:$C$124,$U178,⑳商品別1食労務費!$F$5:$F$124)/$AA178,$AB178/$X178))</f>
        <v/>
      </c>
      <c r="AH178" s="413">
        <f>IF($V178="",0,IF($AA178&gt;0,$AB178*SUMIF(⑳商品別1食労務費!$C$5:$C$124,$V178,⑳商品別1食労務費!$F$5:$F$124)/$AA178,$AB178/$X178))</f>
        <v/>
      </c>
      <c r="AI178" s="413">
        <f>IF($W178="",0,IF($AA178&gt;0,$AB178*SUMIF(⑳商品別1食労務費!$C$5:$C$124,$W178,⑳商品別1食労務費!$F$5:$F$124)/$AA178,$AB178/$X178))</f>
        <v/>
      </c>
    </row>
    <row r="179" hidden="1" s="438">
      <c r="A179" s="197" t="n">
        <v>175</v>
      </c>
      <c r="B179" s="198" t="inlineStr">
        <is>
          <t>盛り込み④</t>
        </is>
      </c>
      <c r="C179" s="229" t="n"/>
      <c r="D179" s="190" t="n"/>
      <c r="E179" s="190" t="n"/>
      <c r="F179" s="541">
        <f>IF(OR(D179="",E179=""),"",(E179-D179)*1440)</f>
        <v/>
      </c>
      <c r="G179" s="542" t="n"/>
      <c r="H179" s="542" t="n"/>
      <c r="I179" s="543" t="n"/>
      <c r="J179" s="192" t="n"/>
      <c r="K179" s="544">
        <f>IF(AND(ISNUMBER(F179),I179&gt;0),I179/(F179/60),"")</f>
        <v/>
      </c>
      <c r="L179" s="545" t="n">
        <v>1500</v>
      </c>
      <c r="M179" s="194">
        <f>IF(OR(ISNUMBER(SEARCH("サニテーション",C179)),ISNUMBER(SEARCH("客注",C179)),ISNUMBER(SEARCH("切り替え",C179)),ISNUMBER(SEARCH("切替",C179)),NOT(ISNUMBER(H179))),"",IF(ISNUMBER(G179),G179/60*H179*④前提設定!$B$4,IF(AND(G179="",ISNUMBER(F179)),F179/60*H179*④前提設定!$B$4,"")))</f>
        <v/>
      </c>
      <c r="N179" s="546">
        <f>IF(AND(I179&gt;0,ISNUMBER(M179)),M179/I179,"")</f>
        <v/>
      </c>
      <c r="O179" s="547">
        <f>IF(AND(J179&gt;0,ISNUMBER(M179)),M179/J179,"")</f>
        <v/>
      </c>
      <c r="P179" s="199" t="n"/>
      <c r="Q179" s="200" t="n"/>
      <c r="X179" s="334">
        <f>COUNTA(R179:W179)</f>
        <v/>
      </c>
      <c r="Y179" s="334">
        <f>IF(AND($X179&gt;0,ISNUMBER($M179)),$M179/$X179,"")</f>
        <v/>
      </c>
      <c r="Z179" s="334">
        <f>IF($X179=0,"",IF(COUNTIF(⑳商品別1食労務費!$C$5:$C$124,$R179)+COUNTIF(⑳商品別1食労務費!$C$5:$C$124,$S179)+COUNTIF(⑳商品別1食労務費!$C$5:$C$124,$T179)+COUNTIF(⑳商品別1食労務費!$C$5:$C$124,$U179)+COUNTIF(⑳商品別1食労務費!$C$5:$C$124,$V179)+COUNTIF(⑳商品別1食労務費!$C$5:$C$124,$W179)=$X179,"OK","⑳に無い商品名"))</f>
        <v/>
      </c>
      <c r="AA179" s="334">
        <f>SUMIF(⑳商品別1食労務費!$C$5:$C$124,$R179,⑳商品別1食労務費!$F$5:$F$124)+SUMIF(⑳商品別1食労務費!$C$5:$C$124,$S179,⑳商品別1食労務費!$F$5:$F$124)+SUMIF(⑳商品別1食労務費!$C$5:$C$124,$T179,⑳商品別1食労務費!$F$5:$F$124)+SUMIF(⑳商品別1食労務費!$C$5:$C$124,$U179,⑳商品別1食労務費!$F$5:$F$124)+SUMIF(⑳商品別1食労務費!$C$5:$C$124,$V179,⑳商品別1食労務費!$F$5:$F$124)+SUMIF(⑳商品別1食労務費!$C$5:$C$124,$W179,⑳商品別1食労務費!$F$5:$F$124)</f>
        <v/>
      </c>
      <c r="AB179" s="334">
        <f>IF(ISNUMBER($M179),$M179,0)</f>
        <v/>
      </c>
      <c r="AC179" s="334">
        <f>IF(AND($X179&gt;0,ISNUMBER($J179)),$J179/$X179,"")</f>
        <v/>
      </c>
      <c r="AD179" s="413">
        <f>IF($R179="",0,IF($AA179&gt;0,$AB179*SUMIF(⑳商品別1食労務費!$C$5:$C$124,$R179,⑳商品別1食労務費!$F$5:$F$124)/$AA179,$AB179/$X179))</f>
        <v/>
      </c>
      <c r="AE179" s="413">
        <f>IF($S179="",0,IF($AA179&gt;0,$AB179*SUMIF(⑳商品別1食労務費!$C$5:$C$124,$S179,⑳商品別1食労務費!$F$5:$F$124)/$AA179,$AB179/$X179))</f>
        <v/>
      </c>
      <c r="AF179" s="413">
        <f>IF($T179="",0,IF($AA179&gt;0,$AB179*SUMIF(⑳商品別1食労務費!$C$5:$C$124,$T179,⑳商品別1食労務費!$F$5:$F$124)/$AA179,$AB179/$X179))</f>
        <v/>
      </c>
      <c r="AG179" s="413">
        <f>IF($U179="",0,IF($AA179&gt;0,$AB179*SUMIF(⑳商品別1食労務費!$C$5:$C$124,$U179,⑳商品別1食労務費!$F$5:$F$124)/$AA179,$AB179/$X179))</f>
        <v/>
      </c>
      <c r="AH179" s="413">
        <f>IF($V179="",0,IF($AA179&gt;0,$AB179*SUMIF(⑳商品別1食労務費!$C$5:$C$124,$V179,⑳商品別1食労務費!$F$5:$F$124)/$AA179,$AB179/$X179))</f>
        <v/>
      </c>
      <c r="AI179" s="413">
        <f>IF($W179="",0,IF($AA179&gt;0,$AB179*SUMIF(⑳商品別1食労務費!$C$5:$C$124,$W179,⑳商品別1食労務費!$F$5:$F$124)/$AA179,$AB179/$X179))</f>
        <v/>
      </c>
    </row>
    <row r="180" hidden="1" s="438">
      <c r="A180" s="188" t="n">
        <v>176</v>
      </c>
      <c r="B180" s="189" t="inlineStr">
        <is>
          <t>盛り込み④</t>
        </is>
      </c>
      <c r="C180" s="229" t="n"/>
      <c r="D180" s="190" t="n"/>
      <c r="E180" s="190" t="n"/>
      <c r="F180" s="541">
        <f>IF(OR(D180="",E180=""),"",(E180-D180)*1440)</f>
        <v/>
      </c>
      <c r="G180" s="542" t="n"/>
      <c r="H180" s="542" t="n"/>
      <c r="I180" s="543" t="n"/>
      <c r="J180" s="192" t="n"/>
      <c r="K180" s="544">
        <f>IF(AND(ISNUMBER(F180),I180&gt;0),I180/(F180/60),"")</f>
        <v/>
      </c>
      <c r="L180" s="545" t="n">
        <v>900</v>
      </c>
      <c r="M180" s="194">
        <f>IF(OR(ISNUMBER(SEARCH("サニテーション",C180)),ISNUMBER(SEARCH("客注",C180)),ISNUMBER(SEARCH("切り替え",C180)),ISNUMBER(SEARCH("切替",C180)),NOT(ISNUMBER(H180))),"",IF(ISNUMBER(G180),G180/60*H180*④前提設定!$B$4,IF(AND(G180="",ISNUMBER(F180)),F180/60*H180*④前提設定!$B$4,"")))</f>
        <v/>
      </c>
      <c r="N180" s="546">
        <f>IF(AND(I180&gt;0,ISNUMBER(M180)),M180/I180,"")</f>
        <v/>
      </c>
      <c r="O180" s="547">
        <f>IF(AND(J180&gt;0,ISNUMBER(M180)),M180/J180,"")</f>
        <v/>
      </c>
      <c r="P180" s="195" t="n"/>
      <c r="Q180" s="196" t="n"/>
      <c r="X180" s="334">
        <f>COUNTA(R180:W180)</f>
        <v/>
      </c>
      <c r="Y180" s="334">
        <f>IF(AND($X180&gt;0,ISNUMBER($M180)),$M180/$X180,"")</f>
        <v/>
      </c>
      <c r="Z180" s="334">
        <f>IF($X180=0,"",IF(COUNTIF(⑳商品別1食労務費!$C$5:$C$124,$R180)+COUNTIF(⑳商品別1食労務費!$C$5:$C$124,$S180)+COUNTIF(⑳商品別1食労務費!$C$5:$C$124,$T180)+COUNTIF(⑳商品別1食労務費!$C$5:$C$124,$U180)+COUNTIF(⑳商品別1食労務費!$C$5:$C$124,$V180)+COUNTIF(⑳商品別1食労務費!$C$5:$C$124,$W180)=$X180,"OK","⑳に無い商品名"))</f>
        <v/>
      </c>
      <c r="AA180" s="334">
        <f>SUMIF(⑳商品別1食労務費!$C$5:$C$124,$R180,⑳商品別1食労務費!$F$5:$F$124)+SUMIF(⑳商品別1食労務費!$C$5:$C$124,$S180,⑳商品別1食労務費!$F$5:$F$124)+SUMIF(⑳商品別1食労務費!$C$5:$C$124,$T180,⑳商品別1食労務費!$F$5:$F$124)+SUMIF(⑳商品別1食労務費!$C$5:$C$124,$U180,⑳商品別1食労務費!$F$5:$F$124)+SUMIF(⑳商品別1食労務費!$C$5:$C$124,$V180,⑳商品別1食労務費!$F$5:$F$124)+SUMIF(⑳商品別1食労務費!$C$5:$C$124,$W180,⑳商品別1食労務費!$F$5:$F$124)</f>
        <v/>
      </c>
      <c r="AB180" s="334">
        <f>IF(ISNUMBER($M180),$M180,0)</f>
        <v/>
      </c>
      <c r="AC180" s="334">
        <f>IF(AND($X180&gt;0,ISNUMBER($J180)),$J180/$X180,"")</f>
        <v/>
      </c>
      <c r="AD180" s="413">
        <f>IF($R180="",0,IF($AA180&gt;0,$AB180*SUMIF(⑳商品別1食労務費!$C$5:$C$124,$R180,⑳商品別1食労務費!$F$5:$F$124)/$AA180,$AB180/$X180))</f>
        <v/>
      </c>
      <c r="AE180" s="413">
        <f>IF($S180="",0,IF($AA180&gt;0,$AB180*SUMIF(⑳商品別1食労務費!$C$5:$C$124,$S180,⑳商品別1食労務費!$F$5:$F$124)/$AA180,$AB180/$X180))</f>
        <v/>
      </c>
      <c r="AF180" s="413">
        <f>IF($T180="",0,IF($AA180&gt;0,$AB180*SUMIF(⑳商品別1食労務費!$C$5:$C$124,$T180,⑳商品別1食労務費!$F$5:$F$124)/$AA180,$AB180/$X180))</f>
        <v/>
      </c>
      <c r="AG180" s="413">
        <f>IF($U180="",0,IF($AA180&gt;0,$AB180*SUMIF(⑳商品別1食労務費!$C$5:$C$124,$U180,⑳商品別1食労務費!$F$5:$F$124)/$AA180,$AB180/$X180))</f>
        <v/>
      </c>
      <c r="AH180" s="413">
        <f>IF($V180="",0,IF($AA180&gt;0,$AB180*SUMIF(⑳商品別1食労務費!$C$5:$C$124,$V180,⑳商品別1食労務費!$F$5:$F$124)/$AA180,$AB180/$X180))</f>
        <v/>
      </c>
      <c r="AI180" s="413">
        <f>IF($W180="",0,IF($AA180&gt;0,$AB180*SUMIF(⑳商品別1食労務費!$C$5:$C$124,$W180,⑳商品別1食労務費!$F$5:$F$124)/$AA180,$AB180/$X180))</f>
        <v/>
      </c>
    </row>
    <row r="181" hidden="1" s="438">
      <c r="A181" s="197" t="n">
        <v>177</v>
      </c>
      <c r="B181" s="198" t="inlineStr">
        <is>
          <t>盛り込み④</t>
        </is>
      </c>
      <c r="C181" s="229" t="n"/>
      <c r="D181" s="190" t="n"/>
      <c r="E181" s="190" t="n"/>
      <c r="F181" s="541">
        <f>IF(OR(D181="",E181=""),"",(E181-D181)*1440)</f>
        <v/>
      </c>
      <c r="G181" s="542" t="n"/>
      <c r="H181" s="542" t="n"/>
      <c r="I181" s="543" t="n"/>
      <c r="J181" s="192" t="n"/>
      <c r="K181" s="544">
        <f>IF(AND(ISNUMBER(F181),I181&gt;0),I181/(F181/60),"")</f>
        <v/>
      </c>
      <c r="L181" s="545" t="n">
        <v>900</v>
      </c>
      <c r="M181" s="194">
        <f>IF(OR(ISNUMBER(SEARCH("サニテーション",C181)),ISNUMBER(SEARCH("客注",C181)),ISNUMBER(SEARCH("切り替え",C181)),ISNUMBER(SEARCH("切替",C181)),NOT(ISNUMBER(H181))),"",IF(ISNUMBER(G181),G181/60*H181*④前提設定!$B$4,IF(AND(G181="",ISNUMBER(F181)),F181/60*H181*④前提設定!$B$4,"")))</f>
        <v/>
      </c>
      <c r="N181" s="546">
        <f>IF(AND(I181&gt;0,ISNUMBER(M181)),M181/I181,"")</f>
        <v/>
      </c>
      <c r="O181" s="547">
        <f>IF(AND(J181&gt;0,ISNUMBER(M181)),M181/J181,"")</f>
        <v/>
      </c>
      <c r="P181" s="199" t="n"/>
      <c r="Q181" s="200" t="n"/>
      <c r="X181" s="334">
        <f>COUNTA(R181:W181)</f>
        <v/>
      </c>
      <c r="Y181" s="334">
        <f>IF(AND($X181&gt;0,ISNUMBER($M181)),$M181/$X181,"")</f>
        <v/>
      </c>
      <c r="Z181" s="334">
        <f>IF($X181=0,"",IF(COUNTIF(⑳商品別1食労務費!$C$5:$C$124,$R181)+COUNTIF(⑳商品別1食労務費!$C$5:$C$124,$S181)+COUNTIF(⑳商品別1食労務費!$C$5:$C$124,$T181)+COUNTIF(⑳商品別1食労務費!$C$5:$C$124,$U181)+COUNTIF(⑳商品別1食労務費!$C$5:$C$124,$V181)+COUNTIF(⑳商品別1食労務費!$C$5:$C$124,$W181)=$X181,"OK","⑳に無い商品名"))</f>
        <v/>
      </c>
      <c r="AA181" s="334">
        <f>SUMIF(⑳商品別1食労務費!$C$5:$C$124,$R181,⑳商品別1食労務費!$F$5:$F$124)+SUMIF(⑳商品別1食労務費!$C$5:$C$124,$S181,⑳商品別1食労務費!$F$5:$F$124)+SUMIF(⑳商品別1食労務費!$C$5:$C$124,$T181,⑳商品別1食労務費!$F$5:$F$124)+SUMIF(⑳商品別1食労務費!$C$5:$C$124,$U181,⑳商品別1食労務費!$F$5:$F$124)+SUMIF(⑳商品別1食労務費!$C$5:$C$124,$V181,⑳商品別1食労務費!$F$5:$F$124)+SUMIF(⑳商品別1食労務費!$C$5:$C$124,$W181,⑳商品別1食労務費!$F$5:$F$124)</f>
        <v/>
      </c>
      <c r="AB181" s="334">
        <f>IF(ISNUMBER($M181),$M181,0)</f>
        <v/>
      </c>
      <c r="AC181" s="334">
        <f>IF(AND($X181&gt;0,ISNUMBER($J181)),$J181/$X181,"")</f>
        <v/>
      </c>
      <c r="AD181" s="413">
        <f>IF($R181="",0,IF($AA181&gt;0,$AB181*SUMIF(⑳商品別1食労務費!$C$5:$C$124,$R181,⑳商品別1食労務費!$F$5:$F$124)/$AA181,$AB181/$X181))</f>
        <v/>
      </c>
      <c r="AE181" s="413">
        <f>IF($S181="",0,IF($AA181&gt;0,$AB181*SUMIF(⑳商品別1食労務費!$C$5:$C$124,$S181,⑳商品別1食労務費!$F$5:$F$124)/$AA181,$AB181/$X181))</f>
        <v/>
      </c>
      <c r="AF181" s="413">
        <f>IF($T181="",0,IF($AA181&gt;0,$AB181*SUMIF(⑳商品別1食労務費!$C$5:$C$124,$T181,⑳商品別1食労務費!$F$5:$F$124)/$AA181,$AB181/$X181))</f>
        <v/>
      </c>
      <c r="AG181" s="413">
        <f>IF($U181="",0,IF($AA181&gt;0,$AB181*SUMIF(⑳商品別1食労務費!$C$5:$C$124,$U181,⑳商品別1食労務費!$F$5:$F$124)/$AA181,$AB181/$X181))</f>
        <v/>
      </c>
      <c r="AH181" s="413">
        <f>IF($V181="",0,IF($AA181&gt;0,$AB181*SUMIF(⑳商品別1食労務費!$C$5:$C$124,$V181,⑳商品別1食労務費!$F$5:$F$124)/$AA181,$AB181/$X181))</f>
        <v/>
      </c>
      <c r="AI181" s="413">
        <f>IF($W181="",0,IF($AA181&gt;0,$AB181*SUMIF(⑳商品別1食労務費!$C$5:$C$124,$W181,⑳商品別1食労務費!$F$5:$F$124)/$AA181,$AB181/$X181))</f>
        <v/>
      </c>
    </row>
    <row r="182" hidden="1" s="438">
      <c r="A182" s="188" t="n">
        <v>178</v>
      </c>
      <c r="B182" s="189" t="inlineStr">
        <is>
          <t>盛り込み④</t>
        </is>
      </c>
      <c r="C182" s="229" t="n"/>
      <c r="D182" s="190" t="n"/>
      <c r="E182" s="190" t="n"/>
      <c r="F182" s="541">
        <f>IF(OR(D182="",E182=""),"",(E182-D182)*1440)</f>
        <v/>
      </c>
      <c r="G182" s="542" t="n"/>
      <c r="H182" s="542" t="n"/>
      <c r="I182" s="543" t="n"/>
      <c r="J182" s="192" t="n"/>
      <c r="K182" s="544">
        <f>IF(AND(ISNUMBER(F182),I182&gt;0),I182/(F182/60),"")</f>
        <v/>
      </c>
      <c r="L182" s="545" t="n">
        <v>1400</v>
      </c>
      <c r="M182" s="194">
        <f>IF(OR(ISNUMBER(SEARCH("サニテーション",C182)),ISNUMBER(SEARCH("客注",C182)),ISNUMBER(SEARCH("切り替え",C182)),ISNUMBER(SEARCH("切替",C182)),NOT(ISNUMBER(H182))),"",IF(ISNUMBER(G182),G182/60*H182*④前提設定!$B$4,IF(AND(G182="",ISNUMBER(F182)),F182/60*H182*④前提設定!$B$4,"")))</f>
        <v/>
      </c>
      <c r="N182" s="546">
        <f>IF(AND(I182&gt;0,ISNUMBER(M182)),M182/I182,"")</f>
        <v/>
      </c>
      <c r="O182" s="547">
        <f>IF(AND(J182&gt;0,ISNUMBER(M182)),M182/J182,"")</f>
        <v/>
      </c>
      <c r="P182" s="195" t="n"/>
      <c r="Q182" s="196" t="n"/>
      <c r="X182" s="334">
        <f>COUNTA(R182:W182)</f>
        <v/>
      </c>
      <c r="Y182" s="334">
        <f>IF(AND($X182&gt;0,ISNUMBER($M182)),$M182/$X182,"")</f>
        <v/>
      </c>
      <c r="Z182" s="334">
        <f>IF($X182=0,"",IF(COUNTIF(⑳商品別1食労務費!$C$5:$C$124,$R182)+COUNTIF(⑳商品別1食労務費!$C$5:$C$124,$S182)+COUNTIF(⑳商品別1食労務費!$C$5:$C$124,$T182)+COUNTIF(⑳商品別1食労務費!$C$5:$C$124,$U182)+COUNTIF(⑳商品別1食労務費!$C$5:$C$124,$V182)+COUNTIF(⑳商品別1食労務費!$C$5:$C$124,$W182)=$X182,"OK","⑳に無い商品名"))</f>
        <v/>
      </c>
      <c r="AA182" s="334">
        <f>SUMIF(⑳商品別1食労務費!$C$5:$C$124,$R182,⑳商品別1食労務費!$F$5:$F$124)+SUMIF(⑳商品別1食労務費!$C$5:$C$124,$S182,⑳商品別1食労務費!$F$5:$F$124)+SUMIF(⑳商品別1食労務費!$C$5:$C$124,$T182,⑳商品別1食労務費!$F$5:$F$124)+SUMIF(⑳商品別1食労務費!$C$5:$C$124,$U182,⑳商品別1食労務費!$F$5:$F$124)+SUMIF(⑳商品別1食労務費!$C$5:$C$124,$V182,⑳商品別1食労務費!$F$5:$F$124)+SUMIF(⑳商品別1食労務費!$C$5:$C$124,$W182,⑳商品別1食労務費!$F$5:$F$124)</f>
        <v/>
      </c>
      <c r="AB182" s="334">
        <f>IF(ISNUMBER($M182),$M182,0)</f>
        <v/>
      </c>
      <c r="AC182" s="334">
        <f>IF(AND($X182&gt;0,ISNUMBER($J182)),$J182/$X182,"")</f>
        <v/>
      </c>
      <c r="AD182" s="413">
        <f>IF($R182="",0,IF($AA182&gt;0,$AB182*SUMIF(⑳商品別1食労務費!$C$5:$C$124,$R182,⑳商品別1食労務費!$F$5:$F$124)/$AA182,$AB182/$X182))</f>
        <v/>
      </c>
      <c r="AE182" s="413">
        <f>IF($S182="",0,IF($AA182&gt;0,$AB182*SUMIF(⑳商品別1食労務費!$C$5:$C$124,$S182,⑳商品別1食労務費!$F$5:$F$124)/$AA182,$AB182/$X182))</f>
        <v/>
      </c>
      <c r="AF182" s="413">
        <f>IF($T182="",0,IF($AA182&gt;0,$AB182*SUMIF(⑳商品別1食労務費!$C$5:$C$124,$T182,⑳商品別1食労務費!$F$5:$F$124)/$AA182,$AB182/$X182))</f>
        <v/>
      </c>
      <c r="AG182" s="413">
        <f>IF($U182="",0,IF($AA182&gt;0,$AB182*SUMIF(⑳商品別1食労務費!$C$5:$C$124,$U182,⑳商品別1食労務費!$F$5:$F$124)/$AA182,$AB182/$X182))</f>
        <v/>
      </c>
      <c r="AH182" s="413">
        <f>IF($V182="",0,IF($AA182&gt;0,$AB182*SUMIF(⑳商品別1食労務費!$C$5:$C$124,$V182,⑳商品別1食労務費!$F$5:$F$124)/$AA182,$AB182/$X182))</f>
        <v/>
      </c>
      <c r="AI182" s="413">
        <f>IF($W182="",0,IF($AA182&gt;0,$AB182*SUMIF(⑳商品別1食労務費!$C$5:$C$124,$W182,⑳商品別1食労務費!$F$5:$F$124)/$AA182,$AB182/$X182))</f>
        <v/>
      </c>
    </row>
    <row r="183" hidden="1" s="438">
      <c r="A183" s="197" t="n">
        <v>179</v>
      </c>
      <c r="B183" s="198" t="inlineStr">
        <is>
          <t>盛り込み④</t>
        </is>
      </c>
      <c r="C183" s="229" t="n"/>
      <c r="D183" s="190" t="n"/>
      <c r="E183" s="190" t="n"/>
      <c r="F183" s="541">
        <f>IF(OR(D183="",E183=""),"",(E183-D183)*1440)</f>
        <v/>
      </c>
      <c r="G183" s="542" t="n"/>
      <c r="H183" s="542" t="n"/>
      <c r="I183" s="543" t="n"/>
      <c r="J183" s="192" t="n"/>
      <c r="K183" s="544">
        <f>IF(AND(ISNUMBER(F183),I183&gt;0),I183/(F183/60),"")</f>
        <v/>
      </c>
      <c r="L183" s="545" t="n">
        <v>1500</v>
      </c>
      <c r="M183" s="194">
        <f>IF(OR(ISNUMBER(SEARCH("サニテーション",C183)),ISNUMBER(SEARCH("客注",C183)),ISNUMBER(SEARCH("切り替え",C183)),ISNUMBER(SEARCH("切替",C183)),NOT(ISNUMBER(H183))),"",IF(ISNUMBER(G183),G183/60*H183*④前提設定!$B$4,IF(AND(G183="",ISNUMBER(F183)),F183/60*H183*④前提設定!$B$4,"")))</f>
        <v/>
      </c>
      <c r="N183" s="546">
        <f>IF(AND(I183&gt;0,ISNUMBER(M183)),M183/I183,"")</f>
        <v/>
      </c>
      <c r="O183" s="547">
        <f>IF(AND(J183&gt;0,ISNUMBER(M183)),M183/J183,"")</f>
        <v/>
      </c>
      <c r="P183" s="199" t="n"/>
      <c r="Q183" s="200" t="n"/>
      <c r="X183" s="334">
        <f>COUNTA(R183:W183)</f>
        <v/>
      </c>
      <c r="Y183" s="334">
        <f>IF(AND($X183&gt;0,ISNUMBER($M183)),$M183/$X183,"")</f>
        <v/>
      </c>
      <c r="Z183" s="334">
        <f>IF($X183=0,"",IF(COUNTIF(⑳商品別1食労務費!$C$5:$C$124,$R183)+COUNTIF(⑳商品別1食労務費!$C$5:$C$124,$S183)+COUNTIF(⑳商品別1食労務費!$C$5:$C$124,$T183)+COUNTIF(⑳商品別1食労務費!$C$5:$C$124,$U183)+COUNTIF(⑳商品別1食労務費!$C$5:$C$124,$V183)+COUNTIF(⑳商品別1食労務費!$C$5:$C$124,$W183)=$X183,"OK","⑳に無い商品名"))</f>
        <v/>
      </c>
      <c r="AA183" s="334">
        <f>SUMIF(⑳商品別1食労務費!$C$5:$C$124,$R183,⑳商品別1食労務費!$F$5:$F$124)+SUMIF(⑳商品別1食労務費!$C$5:$C$124,$S183,⑳商品別1食労務費!$F$5:$F$124)+SUMIF(⑳商品別1食労務費!$C$5:$C$124,$T183,⑳商品別1食労務費!$F$5:$F$124)+SUMIF(⑳商品別1食労務費!$C$5:$C$124,$U183,⑳商品別1食労務費!$F$5:$F$124)+SUMIF(⑳商品別1食労務費!$C$5:$C$124,$V183,⑳商品別1食労務費!$F$5:$F$124)+SUMIF(⑳商品別1食労務費!$C$5:$C$124,$W183,⑳商品別1食労務費!$F$5:$F$124)</f>
        <v/>
      </c>
      <c r="AB183" s="334">
        <f>IF(ISNUMBER($M183),$M183,0)</f>
        <v/>
      </c>
      <c r="AC183" s="334">
        <f>IF(AND($X183&gt;0,ISNUMBER($J183)),$J183/$X183,"")</f>
        <v/>
      </c>
      <c r="AD183" s="413">
        <f>IF($R183="",0,IF($AA183&gt;0,$AB183*SUMIF(⑳商品別1食労務費!$C$5:$C$124,$R183,⑳商品別1食労務費!$F$5:$F$124)/$AA183,$AB183/$X183))</f>
        <v/>
      </c>
      <c r="AE183" s="413">
        <f>IF($S183="",0,IF($AA183&gt;0,$AB183*SUMIF(⑳商品別1食労務費!$C$5:$C$124,$S183,⑳商品別1食労務費!$F$5:$F$124)/$AA183,$AB183/$X183))</f>
        <v/>
      </c>
      <c r="AF183" s="413">
        <f>IF($T183="",0,IF($AA183&gt;0,$AB183*SUMIF(⑳商品別1食労務費!$C$5:$C$124,$T183,⑳商品別1食労務費!$F$5:$F$124)/$AA183,$AB183/$X183))</f>
        <v/>
      </c>
      <c r="AG183" s="413">
        <f>IF($U183="",0,IF($AA183&gt;0,$AB183*SUMIF(⑳商品別1食労務費!$C$5:$C$124,$U183,⑳商品別1食労務費!$F$5:$F$124)/$AA183,$AB183/$X183))</f>
        <v/>
      </c>
      <c r="AH183" s="413">
        <f>IF($V183="",0,IF($AA183&gt;0,$AB183*SUMIF(⑳商品別1食労務費!$C$5:$C$124,$V183,⑳商品別1食労務費!$F$5:$F$124)/$AA183,$AB183/$X183))</f>
        <v/>
      </c>
      <c r="AI183" s="413">
        <f>IF($W183="",0,IF($AA183&gt;0,$AB183*SUMIF(⑳商品別1食労務費!$C$5:$C$124,$W183,⑳商品別1食労務費!$F$5:$F$124)/$AA183,$AB183/$X183))</f>
        <v/>
      </c>
    </row>
    <row r="184" hidden="1" s="438">
      <c r="A184" s="188" t="n">
        <v>180</v>
      </c>
      <c r="B184" s="189" t="inlineStr">
        <is>
          <t>盛り込み④</t>
        </is>
      </c>
      <c r="C184" s="229" t="n"/>
      <c r="D184" s="190" t="n"/>
      <c r="E184" s="190" t="n"/>
      <c r="F184" s="541">
        <f>IF(OR(D184="",E184=""),"",(E184-D184)*1440)</f>
        <v/>
      </c>
      <c r="G184" s="542" t="n"/>
      <c r="H184" s="542" t="n"/>
      <c r="I184" s="543" t="n"/>
      <c r="J184" s="192" t="n"/>
      <c r="K184" s="544">
        <f>IF(AND(ISNUMBER(F184),I184&gt;0),I184/(F184/60),"")</f>
        <v/>
      </c>
      <c r="L184" s="545" t="n">
        <v>700</v>
      </c>
      <c r="M184" s="194">
        <f>IF(OR(ISNUMBER(SEARCH("サニテーション",C184)),ISNUMBER(SEARCH("客注",C184)),ISNUMBER(SEARCH("切り替え",C184)),ISNUMBER(SEARCH("切替",C184)),NOT(ISNUMBER(H184))),"",IF(ISNUMBER(G184),G184/60*H184*④前提設定!$B$4,IF(AND(G184="",ISNUMBER(F184)),F184/60*H184*④前提設定!$B$4,"")))</f>
        <v/>
      </c>
      <c r="N184" s="546">
        <f>IF(AND(I184&gt;0,ISNUMBER(M184)),M184/I184,"")</f>
        <v/>
      </c>
      <c r="O184" s="547">
        <f>IF(AND(J184&gt;0,ISNUMBER(M184)),M184/J184,"")</f>
        <v/>
      </c>
      <c r="P184" s="195" t="n"/>
      <c r="Q184" s="196" t="n"/>
      <c r="X184" s="334">
        <f>COUNTA(R184:W184)</f>
        <v/>
      </c>
      <c r="Y184" s="334">
        <f>IF(AND($X184&gt;0,ISNUMBER($M184)),$M184/$X184,"")</f>
        <v/>
      </c>
      <c r="Z184" s="334">
        <f>IF($X184=0,"",IF(COUNTIF(⑳商品別1食労務費!$C$5:$C$124,$R184)+COUNTIF(⑳商品別1食労務費!$C$5:$C$124,$S184)+COUNTIF(⑳商品別1食労務費!$C$5:$C$124,$T184)+COUNTIF(⑳商品別1食労務費!$C$5:$C$124,$U184)+COUNTIF(⑳商品別1食労務費!$C$5:$C$124,$V184)+COUNTIF(⑳商品別1食労務費!$C$5:$C$124,$W184)=$X184,"OK","⑳に無い商品名"))</f>
        <v/>
      </c>
      <c r="AA184" s="334">
        <f>SUMIF(⑳商品別1食労務費!$C$5:$C$124,$R184,⑳商品別1食労務費!$F$5:$F$124)+SUMIF(⑳商品別1食労務費!$C$5:$C$124,$S184,⑳商品別1食労務費!$F$5:$F$124)+SUMIF(⑳商品別1食労務費!$C$5:$C$124,$T184,⑳商品別1食労務費!$F$5:$F$124)+SUMIF(⑳商品別1食労務費!$C$5:$C$124,$U184,⑳商品別1食労務費!$F$5:$F$124)+SUMIF(⑳商品別1食労務費!$C$5:$C$124,$V184,⑳商品別1食労務費!$F$5:$F$124)+SUMIF(⑳商品別1食労務費!$C$5:$C$124,$W184,⑳商品別1食労務費!$F$5:$F$124)</f>
        <v/>
      </c>
      <c r="AB184" s="334">
        <f>IF(ISNUMBER($M184),$M184,0)</f>
        <v/>
      </c>
      <c r="AC184" s="334">
        <f>IF(AND($X184&gt;0,ISNUMBER($J184)),$J184/$X184,"")</f>
        <v/>
      </c>
      <c r="AD184" s="413">
        <f>IF($R184="",0,IF($AA184&gt;0,$AB184*SUMIF(⑳商品別1食労務費!$C$5:$C$124,$R184,⑳商品別1食労務費!$F$5:$F$124)/$AA184,$AB184/$X184))</f>
        <v/>
      </c>
      <c r="AE184" s="413">
        <f>IF($S184="",0,IF($AA184&gt;0,$AB184*SUMIF(⑳商品別1食労務費!$C$5:$C$124,$S184,⑳商品別1食労務費!$F$5:$F$124)/$AA184,$AB184/$X184))</f>
        <v/>
      </c>
      <c r="AF184" s="413">
        <f>IF($T184="",0,IF($AA184&gt;0,$AB184*SUMIF(⑳商品別1食労務費!$C$5:$C$124,$T184,⑳商品別1食労務費!$F$5:$F$124)/$AA184,$AB184/$X184))</f>
        <v/>
      </c>
      <c r="AG184" s="413">
        <f>IF($U184="",0,IF($AA184&gt;0,$AB184*SUMIF(⑳商品別1食労務費!$C$5:$C$124,$U184,⑳商品別1食労務費!$F$5:$F$124)/$AA184,$AB184/$X184))</f>
        <v/>
      </c>
      <c r="AH184" s="413">
        <f>IF($V184="",0,IF($AA184&gt;0,$AB184*SUMIF(⑳商品別1食労務費!$C$5:$C$124,$V184,⑳商品別1食労務費!$F$5:$F$124)/$AA184,$AB184/$X184))</f>
        <v/>
      </c>
      <c r="AI184" s="413">
        <f>IF($W184="",0,IF($AA184&gt;0,$AB184*SUMIF(⑳商品別1食労務費!$C$5:$C$124,$W184,⑳商品別1食労務費!$F$5:$F$124)/$AA184,$AB184/$X184))</f>
        <v/>
      </c>
    </row>
    <row r="185" hidden="1" s="438">
      <c r="A185" s="197" t="n">
        <v>181</v>
      </c>
      <c r="B185" s="198" t="inlineStr">
        <is>
          <t>盛り込み⑤</t>
        </is>
      </c>
      <c r="C185" s="229" t="n"/>
      <c r="D185" s="190" t="n"/>
      <c r="E185" s="190" t="n"/>
      <c r="F185" s="541">
        <f>IF(OR(D185="",E185=""),"",(E185-D185)*1440)</f>
        <v/>
      </c>
      <c r="G185" s="542" t="n"/>
      <c r="H185" s="542" t="n"/>
      <c r="I185" s="543" t="n"/>
      <c r="J185" s="192" t="n"/>
      <c r="K185" s="544">
        <f>IF(AND(ISNUMBER(F185),I185&gt;0),I185/(F185/60),"")</f>
        <v/>
      </c>
      <c r="L185" s="545" t="n">
        <v>10</v>
      </c>
      <c r="M185" s="194">
        <f>IF(OR(ISNUMBER(SEARCH("サニテーション",C185)),ISNUMBER(SEARCH("客注",C185)),ISNUMBER(SEARCH("切り替え",C185)),ISNUMBER(SEARCH("切替",C185)),NOT(ISNUMBER(H185))),"",IF(ISNUMBER(G185),G185/60*H185*④前提設定!$B$4,IF(AND(G185="",ISNUMBER(F185)),F185/60*H185*④前提設定!$B$4,"")))</f>
        <v/>
      </c>
      <c r="N185" s="546">
        <f>IF(AND(I185&gt;0,ISNUMBER(M185)),M185/I185,"")</f>
        <v/>
      </c>
      <c r="O185" s="547">
        <f>IF(AND(J185&gt;0,ISNUMBER(M185)),M185/J185,"")</f>
        <v/>
      </c>
      <c r="P185" s="199" t="n"/>
      <c r="Q185" s="200" t="n"/>
      <c r="X185" s="334">
        <f>COUNTA(R185:W185)</f>
        <v/>
      </c>
      <c r="Y185" s="334">
        <f>IF(AND($X185&gt;0,ISNUMBER($M185)),$M185/$X185,"")</f>
        <v/>
      </c>
      <c r="Z185" s="334">
        <f>IF($X185=0,"",IF(COUNTIF(⑳商品別1食労務費!$C$5:$C$124,$R185)+COUNTIF(⑳商品別1食労務費!$C$5:$C$124,$S185)+COUNTIF(⑳商品別1食労務費!$C$5:$C$124,$T185)+COUNTIF(⑳商品別1食労務費!$C$5:$C$124,$U185)+COUNTIF(⑳商品別1食労務費!$C$5:$C$124,$V185)+COUNTIF(⑳商品別1食労務費!$C$5:$C$124,$W185)=$X185,"OK","⑳に無い商品名"))</f>
        <v/>
      </c>
      <c r="AA185" s="334">
        <f>SUMIF(⑳商品別1食労務費!$C$5:$C$124,$R185,⑳商品別1食労務費!$F$5:$F$124)+SUMIF(⑳商品別1食労務費!$C$5:$C$124,$S185,⑳商品別1食労務費!$F$5:$F$124)+SUMIF(⑳商品別1食労務費!$C$5:$C$124,$T185,⑳商品別1食労務費!$F$5:$F$124)+SUMIF(⑳商品別1食労務費!$C$5:$C$124,$U185,⑳商品別1食労務費!$F$5:$F$124)+SUMIF(⑳商品別1食労務費!$C$5:$C$124,$V185,⑳商品別1食労務費!$F$5:$F$124)+SUMIF(⑳商品別1食労務費!$C$5:$C$124,$W185,⑳商品別1食労務費!$F$5:$F$124)</f>
        <v/>
      </c>
      <c r="AB185" s="334">
        <f>IF(ISNUMBER($M185),$M185,0)</f>
        <v/>
      </c>
      <c r="AC185" s="334">
        <f>IF(AND($X185&gt;0,ISNUMBER($J185)),$J185/$X185,"")</f>
        <v/>
      </c>
      <c r="AD185" s="413">
        <f>IF($R185="",0,IF($AA185&gt;0,$AB185*SUMIF(⑳商品別1食労務費!$C$5:$C$124,$R185,⑳商品別1食労務費!$F$5:$F$124)/$AA185,$AB185/$X185))</f>
        <v/>
      </c>
      <c r="AE185" s="413">
        <f>IF($S185="",0,IF($AA185&gt;0,$AB185*SUMIF(⑳商品別1食労務費!$C$5:$C$124,$S185,⑳商品別1食労務費!$F$5:$F$124)/$AA185,$AB185/$X185))</f>
        <v/>
      </c>
      <c r="AF185" s="413">
        <f>IF($T185="",0,IF($AA185&gt;0,$AB185*SUMIF(⑳商品別1食労務費!$C$5:$C$124,$T185,⑳商品別1食労務費!$F$5:$F$124)/$AA185,$AB185/$X185))</f>
        <v/>
      </c>
      <c r="AG185" s="413">
        <f>IF($U185="",0,IF($AA185&gt;0,$AB185*SUMIF(⑳商品別1食労務費!$C$5:$C$124,$U185,⑳商品別1食労務費!$F$5:$F$124)/$AA185,$AB185/$X185))</f>
        <v/>
      </c>
      <c r="AH185" s="413">
        <f>IF($V185="",0,IF($AA185&gt;0,$AB185*SUMIF(⑳商品別1食労務費!$C$5:$C$124,$V185,⑳商品別1食労務費!$F$5:$F$124)/$AA185,$AB185/$X185))</f>
        <v/>
      </c>
      <c r="AI185" s="413">
        <f>IF($W185="",0,IF($AA185&gt;0,$AB185*SUMIF(⑳商品別1食労務費!$C$5:$C$124,$W185,⑳商品別1食労務費!$F$5:$F$124)/$AA185,$AB185/$X185))</f>
        <v/>
      </c>
    </row>
    <row r="186" hidden="1" s="438">
      <c r="A186" s="188" t="n">
        <v>182</v>
      </c>
      <c r="B186" s="189" t="inlineStr">
        <is>
          <t>盛り込み⑤</t>
        </is>
      </c>
      <c r="C186" s="229" t="n"/>
      <c r="D186" s="190" t="n"/>
      <c r="E186" s="190" t="n"/>
      <c r="F186" s="541">
        <f>IF(OR(D186="",E186=""),"",(E186-D186)*1440)</f>
        <v/>
      </c>
      <c r="G186" s="542" t="n"/>
      <c r="H186" s="542" t="n"/>
      <c r="I186" s="543" t="n"/>
      <c r="J186" s="192" t="n"/>
      <c r="K186" s="544">
        <f>IF(AND(ISNUMBER(F186),I186&gt;0),I186/(F186/60),"")</f>
        <v/>
      </c>
      <c r="L186" s="545" t="n">
        <v>500</v>
      </c>
      <c r="M186" s="194">
        <f>IF(OR(ISNUMBER(SEARCH("サニテーション",C186)),ISNUMBER(SEARCH("客注",C186)),ISNUMBER(SEARCH("切り替え",C186)),ISNUMBER(SEARCH("切替",C186)),NOT(ISNUMBER(H186))),"",IF(ISNUMBER(G186),G186/60*H186*④前提設定!$B$4,IF(AND(G186="",ISNUMBER(F186)),F186/60*H186*④前提設定!$B$4,"")))</f>
        <v/>
      </c>
      <c r="N186" s="546">
        <f>IF(AND(I186&gt;0,ISNUMBER(M186)),M186/I186,"")</f>
        <v/>
      </c>
      <c r="O186" s="547">
        <f>IF(AND(J186&gt;0,ISNUMBER(M186)),M186/J186,"")</f>
        <v/>
      </c>
      <c r="P186" s="195" t="n"/>
      <c r="Q186" s="196" t="n"/>
      <c r="X186" s="334">
        <f>COUNTA(R186:W186)</f>
        <v/>
      </c>
      <c r="Y186" s="334">
        <f>IF(AND($X186&gt;0,ISNUMBER($M186)),$M186/$X186,"")</f>
        <v/>
      </c>
      <c r="Z186" s="334">
        <f>IF($X186=0,"",IF(COUNTIF(⑳商品別1食労務費!$C$5:$C$124,$R186)+COUNTIF(⑳商品別1食労務費!$C$5:$C$124,$S186)+COUNTIF(⑳商品別1食労務費!$C$5:$C$124,$T186)+COUNTIF(⑳商品別1食労務費!$C$5:$C$124,$U186)+COUNTIF(⑳商品別1食労務費!$C$5:$C$124,$V186)+COUNTIF(⑳商品別1食労務費!$C$5:$C$124,$W186)=$X186,"OK","⑳に無い商品名"))</f>
        <v/>
      </c>
      <c r="AA186" s="334">
        <f>SUMIF(⑳商品別1食労務費!$C$5:$C$124,$R186,⑳商品別1食労務費!$F$5:$F$124)+SUMIF(⑳商品別1食労務費!$C$5:$C$124,$S186,⑳商品別1食労務費!$F$5:$F$124)+SUMIF(⑳商品別1食労務費!$C$5:$C$124,$T186,⑳商品別1食労務費!$F$5:$F$124)+SUMIF(⑳商品別1食労務費!$C$5:$C$124,$U186,⑳商品別1食労務費!$F$5:$F$124)+SUMIF(⑳商品別1食労務費!$C$5:$C$124,$V186,⑳商品別1食労務費!$F$5:$F$124)+SUMIF(⑳商品別1食労務費!$C$5:$C$124,$W186,⑳商品別1食労務費!$F$5:$F$124)</f>
        <v/>
      </c>
      <c r="AB186" s="334">
        <f>IF(ISNUMBER($M186),$M186,0)</f>
        <v/>
      </c>
      <c r="AC186" s="334">
        <f>IF(AND($X186&gt;0,ISNUMBER($J186)),$J186/$X186,"")</f>
        <v/>
      </c>
      <c r="AD186" s="413">
        <f>IF($R186="",0,IF($AA186&gt;0,$AB186*SUMIF(⑳商品別1食労務費!$C$5:$C$124,$R186,⑳商品別1食労務費!$F$5:$F$124)/$AA186,$AB186/$X186))</f>
        <v/>
      </c>
      <c r="AE186" s="413">
        <f>IF($S186="",0,IF($AA186&gt;0,$AB186*SUMIF(⑳商品別1食労務費!$C$5:$C$124,$S186,⑳商品別1食労務費!$F$5:$F$124)/$AA186,$AB186/$X186))</f>
        <v/>
      </c>
      <c r="AF186" s="413">
        <f>IF($T186="",0,IF($AA186&gt;0,$AB186*SUMIF(⑳商品別1食労務費!$C$5:$C$124,$T186,⑳商品別1食労務費!$F$5:$F$124)/$AA186,$AB186/$X186))</f>
        <v/>
      </c>
      <c r="AG186" s="413">
        <f>IF($U186="",0,IF($AA186&gt;0,$AB186*SUMIF(⑳商品別1食労務費!$C$5:$C$124,$U186,⑳商品別1食労務費!$F$5:$F$124)/$AA186,$AB186/$X186))</f>
        <v/>
      </c>
      <c r="AH186" s="413">
        <f>IF($V186="",0,IF($AA186&gt;0,$AB186*SUMIF(⑳商品別1食労務費!$C$5:$C$124,$V186,⑳商品別1食労務費!$F$5:$F$124)/$AA186,$AB186/$X186))</f>
        <v/>
      </c>
      <c r="AI186" s="413">
        <f>IF($W186="",0,IF($AA186&gt;0,$AB186*SUMIF(⑳商品別1食労務費!$C$5:$C$124,$W186,⑳商品別1食労務費!$F$5:$F$124)/$AA186,$AB186/$X186))</f>
        <v/>
      </c>
    </row>
    <row r="187" hidden="1" s="438">
      <c r="A187" s="197" t="n">
        <v>183</v>
      </c>
      <c r="B187" s="198" t="inlineStr">
        <is>
          <t>盛り込み⑤</t>
        </is>
      </c>
      <c r="C187" s="229" t="n"/>
      <c r="D187" s="190" t="n"/>
      <c r="E187" s="190" t="n"/>
      <c r="F187" s="541">
        <f>IF(OR(D187="",E187=""),"",(E187-D187)*1440)</f>
        <v/>
      </c>
      <c r="G187" s="542" t="n"/>
      <c r="H187" s="542" t="n"/>
      <c r="I187" s="543" t="n"/>
      <c r="J187" s="192" t="n"/>
      <c r="K187" s="544">
        <f>IF(AND(ISNUMBER(F187),I187&gt;0),I187/(F187/60),"")</f>
        <v/>
      </c>
      <c r="L187" s="545" t="n">
        <v>1200</v>
      </c>
      <c r="M187" s="194">
        <f>IF(OR(ISNUMBER(SEARCH("サニテーション",C187)),ISNUMBER(SEARCH("客注",C187)),ISNUMBER(SEARCH("切り替え",C187)),ISNUMBER(SEARCH("切替",C187)),NOT(ISNUMBER(H187))),"",IF(ISNUMBER(G187),G187/60*H187*④前提設定!$B$4,IF(AND(G187="",ISNUMBER(F187)),F187/60*H187*④前提設定!$B$4,"")))</f>
        <v/>
      </c>
      <c r="N187" s="546">
        <f>IF(AND(I187&gt;0,ISNUMBER(M187)),M187/I187,"")</f>
        <v/>
      </c>
      <c r="O187" s="547">
        <f>IF(AND(J187&gt;0,ISNUMBER(M187)),M187/J187,"")</f>
        <v/>
      </c>
      <c r="P187" s="199" t="n"/>
      <c r="Q187" s="200" t="n"/>
      <c r="X187" s="334">
        <f>COUNTA(R187:W187)</f>
        <v/>
      </c>
      <c r="Y187" s="334">
        <f>IF(AND($X187&gt;0,ISNUMBER($M187)),$M187/$X187,"")</f>
        <v/>
      </c>
      <c r="Z187" s="334">
        <f>IF($X187=0,"",IF(COUNTIF(⑳商品別1食労務費!$C$5:$C$124,$R187)+COUNTIF(⑳商品別1食労務費!$C$5:$C$124,$S187)+COUNTIF(⑳商品別1食労務費!$C$5:$C$124,$T187)+COUNTIF(⑳商品別1食労務費!$C$5:$C$124,$U187)+COUNTIF(⑳商品別1食労務費!$C$5:$C$124,$V187)+COUNTIF(⑳商品別1食労務費!$C$5:$C$124,$W187)=$X187,"OK","⑳に無い商品名"))</f>
        <v/>
      </c>
      <c r="AA187" s="334">
        <f>SUMIF(⑳商品別1食労務費!$C$5:$C$124,$R187,⑳商品別1食労務費!$F$5:$F$124)+SUMIF(⑳商品別1食労務費!$C$5:$C$124,$S187,⑳商品別1食労務費!$F$5:$F$124)+SUMIF(⑳商品別1食労務費!$C$5:$C$124,$T187,⑳商品別1食労務費!$F$5:$F$124)+SUMIF(⑳商品別1食労務費!$C$5:$C$124,$U187,⑳商品別1食労務費!$F$5:$F$124)+SUMIF(⑳商品別1食労務費!$C$5:$C$124,$V187,⑳商品別1食労務費!$F$5:$F$124)+SUMIF(⑳商品別1食労務費!$C$5:$C$124,$W187,⑳商品別1食労務費!$F$5:$F$124)</f>
        <v/>
      </c>
      <c r="AB187" s="334">
        <f>IF(ISNUMBER($M187),$M187,0)</f>
        <v/>
      </c>
      <c r="AC187" s="334">
        <f>IF(AND($X187&gt;0,ISNUMBER($J187)),$J187/$X187,"")</f>
        <v/>
      </c>
      <c r="AD187" s="413">
        <f>IF($R187="",0,IF($AA187&gt;0,$AB187*SUMIF(⑳商品別1食労務費!$C$5:$C$124,$R187,⑳商品別1食労務費!$F$5:$F$124)/$AA187,$AB187/$X187))</f>
        <v/>
      </c>
      <c r="AE187" s="413">
        <f>IF($S187="",0,IF($AA187&gt;0,$AB187*SUMIF(⑳商品別1食労務費!$C$5:$C$124,$S187,⑳商品別1食労務費!$F$5:$F$124)/$AA187,$AB187/$X187))</f>
        <v/>
      </c>
      <c r="AF187" s="413">
        <f>IF($T187="",0,IF($AA187&gt;0,$AB187*SUMIF(⑳商品別1食労務費!$C$5:$C$124,$T187,⑳商品別1食労務費!$F$5:$F$124)/$AA187,$AB187/$X187))</f>
        <v/>
      </c>
      <c r="AG187" s="413">
        <f>IF($U187="",0,IF($AA187&gt;0,$AB187*SUMIF(⑳商品別1食労務費!$C$5:$C$124,$U187,⑳商品別1食労務費!$F$5:$F$124)/$AA187,$AB187/$X187))</f>
        <v/>
      </c>
      <c r="AH187" s="413">
        <f>IF($V187="",0,IF($AA187&gt;0,$AB187*SUMIF(⑳商品別1食労務費!$C$5:$C$124,$V187,⑳商品別1食労務費!$F$5:$F$124)/$AA187,$AB187/$X187))</f>
        <v/>
      </c>
      <c r="AI187" s="413">
        <f>IF($W187="",0,IF($AA187&gt;0,$AB187*SUMIF(⑳商品別1食労務費!$C$5:$C$124,$W187,⑳商品別1食労務費!$F$5:$F$124)/$AA187,$AB187/$X187))</f>
        <v/>
      </c>
    </row>
    <row r="188" hidden="1" s="438">
      <c r="A188" s="188" t="n">
        <v>184</v>
      </c>
      <c r="B188" s="189" t="inlineStr">
        <is>
          <t>盛り込み⑤</t>
        </is>
      </c>
      <c r="C188" s="229" t="n"/>
      <c r="D188" s="190" t="n"/>
      <c r="E188" s="190" t="n"/>
      <c r="F188" s="541">
        <f>IF(OR(D188="",E188=""),"",(E188-D188)*1440)</f>
        <v/>
      </c>
      <c r="G188" s="542" t="n"/>
      <c r="H188" s="542" t="n"/>
      <c r="I188" s="543" t="n"/>
      <c r="J188" s="192" t="n"/>
      <c r="K188" s="544">
        <f>IF(AND(ISNUMBER(F188),I188&gt;0),I188/(F188/60),"")</f>
        <v/>
      </c>
      <c r="L188" s="545" t="n">
        <v>400</v>
      </c>
      <c r="M188" s="194">
        <f>IF(OR(ISNUMBER(SEARCH("サニテーション",C188)),ISNUMBER(SEARCH("客注",C188)),ISNUMBER(SEARCH("切り替え",C188)),ISNUMBER(SEARCH("切替",C188)),NOT(ISNUMBER(H188))),"",IF(ISNUMBER(G188),G188/60*H188*④前提設定!$B$4,IF(AND(G188="",ISNUMBER(F188)),F188/60*H188*④前提設定!$B$4,"")))</f>
        <v/>
      </c>
      <c r="N188" s="546">
        <f>IF(AND(I188&gt;0,ISNUMBER(M188)),M188/I188,"")</f>
        <v/>
      </c>
      <c r="O188" s="547">
        <f>IF(AND(J188&gt;0,ISNUMBER(M188)),M188/J188,"")</f>
        <v/>
      </c>
      <c r="P188" s="195" t="n"/>
      <c r="Q188" s="196" t="n"/>
      <c r="X188" s="334">
        <f>COUNTA(R188:W188)</f>
        <v/>
      </c>
      <c r="Y188" s="334">
        <f>IF(AND($X188&gt;0,ISNUMBER($M188)),$M188/$X188,"")</f>
        <v/>
      </c>
      <c r="Z188" s="334">
        <f>IF($X188=0,"",IF(COUNTIF(⑳商品別1食労務費!$C$5:$C$124,$R188)+COUNTIF(⑳商品別1食労務費!$C$5:$C$124,$S188)+COUNTIF(⑳商品別1食労務費!$C$5:$C$124,$T188)+COUNTIF(⑳商品別1食労務費!$C$5:$C$124,$U188)+COUNTIF(⑳商品別1食労務費!$C$5:$C$124,$V188)+COUNTIF(⑳商品別1食労務費!$C$5:$C$124,$W188)=$X188,"OK","⑳に無い商品名"))</f>
        <v/>
      </c>
      <c r="AA188" s="334">
        <f>SUMIF(⑳商品別1食労務費!$C$5:$C$124,$R188,⑳商品別1食労務費!$F$5:$F$124)+SUMIF(⑳商品別1食労務費!$C$5:$C$124,$S188,⑳商品別1食労務費!$F$5:$F$124)+SUMIF(⑳商品別1食労務費!$C$5:$C$124,$T188,⑳商品別1食労務費!$F$5:$F$124)+SUMIF(⑳商品別1食労務費!$C$5:$C$124,$U188,⑳商品別1食労務費!$F$5:$F$124)+SUMIF(⑳商品別1食労務費!$C$5:$C$124,$V188,⑳商品別1食労務費!$F$5:$F$124)+SUMIF(⑳商品別1食労務費!$C$5:$C$124,$W188,⑳商品別1食労務費!$F$5:$F$124)</f>
        <v/>
      </c>
      <c r="AB188" s="334">
        <f>IF(ISNUMBER($M188),$M188,0)</f>
        <v/>
      </c>
      <c r="AC188" s="334">
        <f>IF(AND($X188&gt;0,ISNUMBER($J188)),$J188/$X188,"")</f>
        <v/>
      </c>
      <c r="AD188" s="413">
        <f>IF($R188="",0,IF($AA188&gt;0,$AB188*SUMIF(⑳商品別1食労務費!$C$5:$C$124,$R188,⑳商品別1食労務費!$F$5:$F$124)/$AA188,$AB188/$X188))</f>
        <v/>
      </c>
      <c r="AE188" s="413">
        <f>IF($S188="",0,IF($AA188&gt;0,$AB188*SUMIF(⑳商品別1食労務費!$C$5:$C$124,$S188,⑳商品別1食労務費!$F$5:$F$124)/$AA188,$AB188/$X188))</f>
        <v/>
      </c>
      <c r="AF188" s="413">
        <f>IF($T188="",0,IF($AA188&gt;0,$AB188*SUMIF(⑳商品別1食労務費!$C$5:$C$124,$T188,⑳商品別1食労務費!$F$5:$F$124)/$AA188,$AB188/$X188))</f>
        <v/>
      </c>
      <c r="AG188" s="413">
        <f>IF($U188="",0,IF($AA188&gt;0,$AB188*SUMIF(⑳商品別1食労務費!$C$5:$C$124,$U188,⑳商品別1食労務費!$F$5:$F$124)/$AA188,$AB188/$X188))</f>
        <v/>
      </c>
      <c r="AH188" s="413">
        <f>IF($V188="",0,IF($AA188&gt;0,$AB188*SUMIF(⑳商品別1食労務費!$C$5:$C$124,$V188,⑳商品別1食労務費!$F$5:$F$124)/$AA188,$AB188/$X188))</f>
        <v/>
      </c>
      <c r="AI188" s="413">
        <f>IF($W188="",0,IF($AA188&gt;0,$AB188*SUMIF(⑳商品別1食労務費!$C$5:$C$124,$W188,⑳商品別1食労務費!$F$5:$F$124)/$AA188,$AB188/$X188))</f>
        <v/>
      </c>
    </row>
    <row r="189" hidden="1" s="438">
      <c r="A189" s="197" t="n">
        <v>185</v>
      </c>
      <c r="B189" s="198" t="inlineStr">
        <is>
          <t>盛り込み⑤</t>
        </is>
      </c>
      <c r="C189" s="229" t="n"/>
      <c r="D189" s="190" t="n"/>
      <c r="E189" s="190" t="n"/>
      <c r="F189" s="541">
        <f>IF(OR(D189="",E189=""),"",(E189-D189)*1440)</f>
        <v/>
      </c>
      <c r="G189" s="542" t="n"/>
      <c r="H189" s="542" t="n"/>
      <c r="I189" s="543" t="n"/>
      <c r="J189" s="192" t="n"/>
      <c r="K189" s="544">
        <f>IF(AND(ISNUMBER(F189),I189&gt;0),I189/(F189/60),"")</f>
        <v/>
      </c>
      <c r="L189" s="545" t="n">
        <v>650</v>
      </c>
      <c r="M189" s="194">
        <f>IF(OR(ISNUMBER(SEARCH("サニテーション",C189)),ISNUMBER(SEARCH("客注",C189)),ISNUMBER(SEARCH("切り替え",C189)),ISNUMBER(SEARCH("切替",C189)),NOT(ISNUMBER(H189))),"",IF(ISNUMBER(G189),G189/60*H189*④前提設定!$B$4,IF(AND(G189="",ISNUMBER(F189)),F189/60*H189*④前提設定!$B$4,"")))</f>
        <v/>
      </c>
      <c r="N189" s="546">
        <f>IF(AND(I189&gt;0,ISNUMBER(M189)),M189/I189,"")</f>
        <v/>
      </c>
      <c r="O189" s="547">
        <f>IF(AND(J189&gt;0,ISNUMBER(M189)),M189/J189,"")</f>
        <v/>
      </c>
      <c r="P189" s="199" t="n"/>
      <c r="Q189" s="200" t="n"/>
      <c r="X189" s="334">
        <f>COUNTA(R189:W189)</f>
        <v/>
      </c>
      <c r="Y189" s="334">
        <f>IF(AND($X189&gt;0,ISNUMBER($M189)),$M189/$X189,"")</f>
        <v/>
      </c>
      <c r="Z189" s="334">
        <f>IF($X189=0,"",IF(COUNTIF(⑳商品別1食労務費!$C$5:$C$124,$R189)+COUNTIF(⑳商品別1食労務費!$C$5:$C$124,$S189)+COUNTIF(⑳商品別1食労務費!$C$5:$C$124,$T189)+COUNTIF(⑳商品別1食労務費!$C$5:$C$124,$U189)+COUNTIF(⑳商品別1食労務費!$C$5:$C$124,$V189)+COUNTIF(⑳商品別1食労務費!$C$5:$C$124,$W189)=$X189,"OK","⑳に無い商品名"))</f>
        <v/>
      </c>
      <c r="AA189" s="334">
        <f>SUMIF(⑳商品別1食労務費!$C$5:$C$124,$R189,⑳商品別1食労務費!$F$5:$F$124)+SUMIF(⑳商品別1食労務費!$C$5:$C$124,$S189,⑳商品別1食労務費!$F$5:$F$124)+SUMIF(⑳商品別1食労務費!$C$5:$C$124,$T189,⑳商品別1食労務費!$F$5:$F$124)+SUMIF(⑳商品別1食労務費!$C$5:$C$124,$U189,⑳商品別1食労務費!$F$5:$F$124)+SUMIF(⑳商品別1食労務費!$C$5:$C$124,$V189,⑳商品別1食労務費!$F$5:$F$124)+SUMIF(⑳商品別1食労務費!$C$5:$C$124,$W189,⑳商品別1食労務費!$F$5:$F$124)</f>
        <v/>
      </c>
      <c r="AB189" s="334">
        <f>IF(ISNUMBER($M189),$M189,0)</f>
        <v/>
      </c>
      <c r="AC189" s="334">
        <f>IF(AND($X189&gt;0,ISNUMBER($J189)),$J189/$X189,"")</f>
        <v/>
      </c>
      <c r="AD189" s="413">
        <f>IF($R189="",0,IF($AA189&gt;0,$AB189*SUMIF(⑳商品別1食労務費!$C$5:$C$124,$R189,⑳商品別1食労務費!$F$5:$F$124)/$AA189,$AB189/$X189))</f>
        <v/>
      </c>
      <c r="AE189" s="413">
        <f>IF($S189="",0,IF($AA189&gt;0,$AB189*SUMIF(⑳商品別1食労務費!$C$5:$C$124,$S189,⑳商品別1食労務費!$F$5:$F$124)/$AA189,$AB189/$X189))</f>
        <v/>
      </c>
      <c r="AF189" s="413">
        <f>IF($T189="",0,IF($AA189&gt;0,$AB189*SUMIF(⑳商品別1食労務費!$C$5:$C$124,$T189,⑳商品別1食労務費!$F$5:$F$124)/$AA189,$AB189/$X189))</f>
        <v/>
      </c>
      <c r="AG189" s="413">
        <f>IF($U189="",0,IF($AA189&gt;0,$AB189*SUMIF(⑳商品別1食労務費!$C$5:$C$124,$U189,⑳商品別1食労務費!$F$5:$F$124)/$AA189,$AB189/$X189))</f>
        <v/>
      </c>
      <c r="AH189" s="413">
        <f>IF($V189="",0,IF($AA189&gt;0,$AB189*SUMIF(⑳商品別1食労務費!$C$5:$C$124,$V189,⑳商品別1食労務費!$F$5:$F$124)/$AA189,$AB189/$X189))</f>
        <v/>
      </c>
      <c r="AI189" s="413">
        <f>IF($W189="",0,IF($AA189&gt;0,$AB189*SUMIF(⑳商品別1食労務費!$C$5:$C$124,$W189,⑳商品別1食労務費!$F$5:$F$124)/$AA189,$AB189/$X189))</f>
        <v/>
      </c>
    </row>
    <row r="190" hidden="1" s="438">
      <c r="A190" s="188" t="n">
        <v>186</v>
      </c>
      <c r="B190" s="189" t="inlineStr">
        <is>
          <t>盛り込み⑤</t>
        </is>
      </c>
      <c r="C190" s="229" t="n"/>
      <c r="D190" s="190" t="n"/>
      <c r="E190" s="190" t="n"/>
      <c r="F190" s="541">
        <f>IF(OR(D190="",E190=""),"",(E190-D190)*1440)</f>
        <v/>
      </c>
      <c r="G190" s="542" t="n"/>
      <c r="H190" s="542" t="n"/>
      <c r="I190" s="543" t="n"/>
      <c r="J190" s="192" t="n"/>
      <c r="K190" s="544">
        <f>IF(AND(ISNUMBER(F190),I190&gt;0),I190/(F190/60),"")</f>
        <v/>
      </c>
      <c r="L190" s="545" t="n">
        <v>530</v>
      </c>
      <c r="M190" s="194">
        <f>IF(OR(ISNUMBER(SEARCH("サニテーション",C190)),ISNUMBER(SEARCH("客注",C190)),ISNUMBER(SEARCH("切り替え",C190)),ISNUMBER(SEARCH("切替",C190)),NOT(ISNUMBER(H190))),"",IF(ISNUMBER(G190),G190/60*H190*④前提設定!$B$4,IF(AND(G190="",ISNUMBER(F190)),F190/60*H190*④前提設定!$B$4,"")))</f>
        <v/>
      </c>
      <c r="N190" s="546">
        <f>IF(AND(I190&gt;0,ISNUMBER(M190)),M190/I190,"")</f>
        <v/>
      </c>
      <c r="O190" s="547">
        <f>IF(AND(J190&gt;0,ISNUMBER(M190)),M190/J190,"")</f>
        <v/>
      </c>
      <c r="P190" s="195" t="n"/>
      <c r="Q190" s="196" t="n"/>
      <c r="X190" s="334">
        <f>COUNTA(R190:W190)</f>
        <v/>
      </c>
      <c r="Y190" s="334">
        <f>IF(AND($X190&gt;0,ISNUMBER($M190)),$M190/$X190,"")</f>
        <v/>
      </c>
      <c r="Z190" s="334">
        <f>IF($X190=0,"",IF(COUNTIF(⑳商品別1食労務費!$C$5:$C$124,$R190)+COUNTIF(⑳商品別1食労務費!$C$5:$C$124,$S190)+COUNTIF(⑳商品別1食労務費!$C$5:$C$124,$T190)+COUNTIF(⑳商品別1食労務費!$C$5:$C$124,$U190)+COUNTIF(⑳商品別1食労務費!$C$5:$C$124,$V190)+COUNTIF(⑳商品別1食労務費!$C$5:$C$124,$W190)=$X190,"OK","⑳に無い商品名"))</f>
        <v/>
      </c>
      <c r="AA190" s="334">
        <f>SUMIF(⑳商品別1食労務費!$C$5:$C$124,$R190,⑳商品別1食労務費!$F$5:$F$124)+SUMIF(⑳商品別1食労務費!$C$5:$C$124,$S190,⑳商品別1食労務費!$F$5:$F$124)+SUMIF(⑳商品別1食労務費!$C$5:$C$124,$T190,⑳商品別1食労務費!$F$5:$F$124)+SUMIF(⑳商品別1食労務費!$C$5:$C$124,$U190,⑳商品別1食労務費!$F$5:$F$124)+SUMIF(⑳商品別1食労務費!$C$5:$C$124,$V190,⑳商品別1食労務費!$F$5:$F$124)+SUMIF(⑳商品別1食労務費!$C$5:$C$124,$W190,⑳商品別1食労務費!$F$5:$F$124)</f>
        <v/>
      </c>
      <c r="AB190" s="334">
        <f>IF(ISNUMBER($M190),$M190,0)</f>
        <v/>
      </c>
      <c r="AC190" s="334">
        <f>IF(AND($X190&gt;0,ISNUMBER($J190)),$J190/$X190,"")</f>
        <v/>
      </c>
      <c r="AD190" s="413">
        <f>IF($R190="",0,IF($AA190&gt;0,$AB190*SUMIF(⑳商品別1食労務費!$C$5:$C$124,$R190,⑳商品別1食労務費!$F$5:$F$124)/$AA190,$AB190/$X190))</f>
        <v/>
      </c>
      <c r="AE190" s="413">
        <f>IF($S190="",0,IF($AA190&gt;0,$AB190*SUMIF(⑳商品別1食労務費!$C$5:$C$124,$S190,⑳商品別1食労務費!$F$5:$F$124)/$AA190,$AB190/$X190))</f>
        <v/>
      </c>
      <c r="AF190" s="413">
        <f>IF($T190="",0,IF($AA190&gt;0,$AB190*SUMIF(⑳商品別1食労務費!$C$5:$C$124,$T190,⑳商品別1食労務費!$F$5:$F$124)/$AA190,$AB190/$X190))</f>
        <v/>
      </c>
      <c r="AG190" s="413">
        <f>IF($U190="",0,IF($AA190&gt;0,$AB190*SUMIF(⑳商品別1食労務費!$C$5:$C$124,$U190,⑳商品別1食労務費!$F$5:$F$124)/$AA190,$AB190/$X190))</f>
        <v/>
      </c>
      <c r="AH190" s="413">
        <f>IF($V190="",0,IF($AA190&gt;0,$AB190*SUMIF(⑳商品別1食労務費!$C$5:$C$124,$V190,⑳商品別1食労務費!$F$5:$F$124)/$AA190,$AB190/$X190))</f>
        <v/>
      </c>
      <c r="AI190" s="413">
        <f>IF($W190="",0,IF($AA190&gt;0,$AB190*SUMIF(⑳商品別1食労務費!$C$5:$C$124,$W190,⑳商品別1食労務費!$F$5:$F$124)/$AA190,$AB190/$X190))</f>
        <v/>
      </c>
    </row>
    <row r="191" hidden="1" s="438">
      <c r="A191" s="197" t="n">
        <v>187</v>
      </c>
      <c r="B191" s="198" t="inlineStr">
        <is>
          <t>盛り込み⑤</t>
        </is>
      </c>
      <c r="C191" s="229" t="n"/>
      <c r="D191" s="190" t="n"/>
      <c r="E191" s="190" t="n"/>
      <c r="F191" s="541">
        <f>IF(OR(D191="",E191=""),"",(E191-D191)*1440)</f>
        <v/>
      </c>
      <c r="G191" s="542" t="n"/>
      <c r="H191" s="542" t="n"/>
      <c r="I191" s="543" t="n"/>
      <c r="J191" s="192" t="n"/>
      <c r="K191" s="544">
        <f>IF(AND(ISNUMBER(F191),I191&gt;0),I191/(F191/60),"")</f>
        <v/>
      </c>
      <c r="L191" s="545" t="n">
        <v>1000</v>
      </c>
      <c r="M191" s="194">
        <f>IF(OR(ISNUMBER(SEARCH("サニテーション",C191)),ISNUMBER(SEARCH("客注",C191)),ISNUMBER(SEARCH("切り替え",C191)),ISNUMBER(SEARCH("切替",C191)),NOT(ISNUMBER(H191))),"",IF(ISNUMBER(G191),G191/60*H191*④前提設定!$B$4,IF(AND(G191="",ISNUMBER(F191)),F191/60*H191*④前提設定!$B$4,"")))</f>
        <v/>
      </c>
      <c r="N191" s="546">
        <f>IF(AND(I191&gt;0,ISNUMBER(M191)),M191/I191,"")</f>
        <v/>
      </c>
      <c r="O191" s="547">
        <f>IF(AND(J191&gt;0,ISNUMBER(M191)),M191/J191,"")</f>
        <v/>
      </c>
      <c r="P191" s="199" t="n"/>
      <c r="Q191" s="200" t="n"/>
      <c r="X191" s="334">
        <f>COUNTA(R191:W191)</f>
        <v/>
      </c>
      <c r="Y191" s="334">
        <f>IF(AND($X191&gt;0,ISNUMBER($M191)),$M191/$X191,"")</f>
        <v/>
      </c>
      <c r="Z191" s="334">
        <f>IF($X191=0,"",IF(COUNTIF(⑳商品別1食労務費!$C$5:$C$124,$R191)+COUNTIF(⑳商品別1食労務費!$C$5:$C$124,$S191)+COUNTIF(⑳商品別1食労務費!$C$5:$C$124,$T191)+COUNTIF(⑳商品別1食労務費!$C$5:$C$124,$U191)+COUNTIF(⑳商品別1食労務費!$C$5:$C$124,$V191)+COUNTIF(⑳商品別1食労務費!$C$5:$C$124,$W191)=$X191,"OK","⑳に無い商品名"))</f>
        <v/>
      </c>
      <c r="AA191" s="334">
        <f>SUMIF(⑳商品別1食労務費!$C$5:$C$124,$R191,⑳商品別1食労務費!$F$5:$F$124)+SUMIF(⑳商品別1食労務費!$C$5:$C$124,$S191,⑳商品別1食労務費!$F$5:$F$124)+SUMIF(⑳商品別1食労務費!$C$5:$C$124,$T191,⑳商品別1食労務費!$F$5:$F$124)+SUMIF(⑳商品別1食労務費!$C$5:$C$124,$U191,⑳商品別1食労務費!$F$5:$F$124)+SUMIF(⑳商品別1食労務費!$C$5:$C$124,$V191,⑳商品別1食労務費!$F$5:$F$124)+SUMIF(⑳商品別1食労務費!$C$5:$C$124,$W191,⑳商品別1食労務費!$F$5:$F$124)</f>
        <v/>
      </c>
      <c r="AB191" s="334">
        <f>IF(ISNUMBER($M191),$M191,0)</f>
        <v/>
      </c>
      <c r="AC191" s="334">
        <f>IF(AND($X191&gt;0,ISNUMBER($J191)),$J191/$X191,"")</f>
        <v/>
      </c>
      <c r="AD191" s="413">
        <f>IF($R191="",0,IF($AA191&gt;0,$AB191*SUMIF(⑳商品別1食労務費!$C$5:$C$124,$R191,⑳商品別1食労務費!$F$5:$F$124)/$AA191,$AB191/$X191))</f>
        <v/>
      </c>
      <c r="AE191" s="413">
        <f>IF($S191="",0,IF($AA191&gt;0,$AB191*SUMIF(⑳商品別1食労務費!$C$5:$C$124,$S191,⑳商品別1食労務費!$F$5:$F$124)/$AA191,$AB191/$X191))</f>
        <v/>
      </c>
      <c r="AF191" s="413">
        <f>IF($T191="",0,IF($AA191&gt;0,$AB191*SUMIF(⑳商品別1食労務費!$C$5:$C$124,$T191,⑳商品別1食労務費!$F$5:$F$124)/$AA191,$AB191/$X191))</f>
        <v/>
      </c>
      <c r="AG191" s="413">
        <f>IF($U191="",0,IF($AA191&gt;0,$AB191*SUMIF(⑳商品別1食労務費!$C$5:$C$124,$U191,⑳商品別1食労務費!$F$5:$F$124)/$AA191,$AB191/$X191))</f>
        <v/>
      </c>
      <c r="AH191" s="413">
        <f>IF($V191="",0,IF($AA191&gt;0,$AB191*SUMIF(⑳商品別1食労務費!$C$5:$C$124,$V191,⑳商品別1食労務費!$F$5:$F$124)/$AA191,$AB191/$X191))</f>
        <v/>
      </c>
      <c r="AI191" s="413">
        <f>IF($W191="",0,IF($AA191&gt;0,$AB191*SUMIF(⑳商品別1食労務費!$C$5:$C$124,$W191,⑳商品別1食労務費!$F$5:$F$124)/$AA191,$AB191/$X191))</f>
        <v/>
      </c>
    </row>
    <row r="192" hidden="1" s="438">
      <c r="A192" s="188" t="n">
        <v>188</v>
      </c>
      <c r="B192" s="189" t="inlineStr">
        <is>
          <t>盛り込み⑤</t>
        </is>
      </c>
      <c r="C192" s="229" t="n"/>
      <c r="D192" s="190" t="n"/>
      <c r="E192" s="190" t="n"/>
      <c r="F192" s="541">
        <f>IF(OR(D192="",E192=""),"",(E192-D192)*1440)</f>
        <v/>
      </c>
      <c r="G192" s="542" t="n"/>
      <c r="H192" s="542" t="n"/>
      <c r="I192" s="543" t="n"/>
      <c r="J192" s="192" t="n"/>
      <c r="K192" s="544">
        <f>IF(AND(ISNUMBER(F192),I192&gt;0),I192/(F192/60),"")</f>
        <v/>
      </c>
      <c r="L192" s="545" t="n">
        <v>600</v>
      </c>
      <c r="M192" s="194">
        <f>IF(OR(ISNUMBER(SEARCH("サニテーション",C192)),ISNUMBER(SEARCH("客注",C192)),ISNUMBER(SEARCH("切り替え",C192)),ISNUMBER(SEARCH("切替",C192)),NOT(ISNUMBER(H192))),"",IF(ISNUMBER(G192),G192/60*H192*④前提設定!$B$4,IF(AND(G192="",ISNUMBER(F192)),F192/60*H192*④前提設定!$B$4,"")))</f>
        <v/>
      </c>
      <c r="N192" s="546">
        <f>IF(AND(I192&gt;0,ISNUMBER(M192)),M192/I192,"")</f>
        <v/>
      </c>
      <c r="O192" s="547">
        <f>IF(AND(J192&gt;0,ISNUMBER(M192)),M192/J192,"")</f>
        <v/>
      </c>
      <c r="P192" s="195" t="n"/>
      <c r="Q192" s="196" t="n"/>
      <c r="X192" s="334">
        <f>COUNTA(R192:W192)</f>
        <v/>
      </c>
      <c r="Y192" s="334">
        <f>IF(AND($X192&gt;0,ISNUMBER($M192)),$M192/$X192,"")</f>
        <v/>
      </c>
      <c r="Z192" s="334">
        <f>IF($X192=0,"",IF(COUNTIF(⑳商品別1食労務費!$C$5:$C$124,$R192)+COUNTIF(⑳商品別1食労務費!$C$5:$C$124,$S192)+COUNTIF(⑳商品別1食労務費!$C$5:$C$124,$T192)+COUNTIF(⑳商品別1食労務費!$C$5:$C$124,$U192)+COUNTIF(⑳商品別1食労務費!$C$5:$C$124,$V192)+COUNTIF(⑳商品別1食労務費!$C$5:$C$124,$W192)=$X192,"OK","⑳に無い商品名"))</f>
        <v/>
      </c>
      <c r="AA192" s="334">
        <f>SUMIF(⑳商品別1食労務費!$C$5:$C$124,$R192,⑳商品別1食労務費!$F$5:$F$124)+SUMIF(⑳商品別1食労務費!$C$5:$C$124,$S192,⑳商品別1食労務費!$F$5:$F$124)+SUMIF(⑳商品別1食労務費!$C$5:$C$124,$T192,⑳商品別1食労務費!$F$5:$F$124)+SUMIF(⑳商品別1食労務費!$C$5:$C$124,$U192,⑳商品別1食労務費!$F$5:$F$124)+SUMIF(⑳商品別1食労務費!$C$5:$C$124,$V192,⑳商品別1食労務費!$F$5:$F$124)+SUMIF(⑳商品別1食労務費!$C$5:$C$124,$W192,⑳商品別1食労務費!$F$5:$F$124)</f>
        <v/>
      </c>
      <c r="AB192" s="334">
        <f>IF(ISNUMBER($M192),$M192,0)</f>
        <v/>
      </c>
      <c r="AC192" s="334">
        <f>IF(AND($X192&gt;0,ISNUMBER($J192)),$J192/$X192,"")</f>
        <v/>
      </c>
      <c r="AD192" s="413">
        <f>IF($R192="",0,IF($AA192&gt;0,$AB192*SUMIF(⑳商品別1食労務費!$C$5:$C$124,$R192,⑳商品別1食労務費!$F$5:$F$124)/$AA192,$AB192/$X192))</f>
        <v/>
      </c>
      <c r="AE192" s="413">
        <f>IF($S192="",0,IF($AA192&gt;0,$AB192*SUMIF(⑳商品別1食労務費!$C$5:$C$124,$S192,⑳商品別1食労務費!$F$5:$F$124)/$AA192,$AB192/$X192))</f>
        <v/>
      </c>
      <c r="AF192" s="413">
        <f>IF($T192="",0,IF($AA192&gt;0,$AB192*SUMIF(⑳商品別1食労務費!$C$5:$C$124,$T192,⑳商品別1食労務費!$F$5:$F$124)/$AA192,$AB192/$X192))</f>
        <v/>
      </c>
      <c r="AG192" s="413">
        <f>IF($U192="",0,IF($AA192&gt;0,$AB192*SUMIF(⑳商品別1食労務費!$C$5:$C$124,$U192,⑳商品別1食労務費!$F$5:$F$124)/$AA192,$AB192/$X192))</f>
        <v/>
      </c>
      <c r="AH192" s="413">
        <f>IF($V192="",0,IF($AA192&gt;0,$AB192*SUMIF(⑳商品別1食労務費!$C$5:$C$124,$V192,⑳商品別1食労務費!$F$5:$F$124)/$AA192,$AB192/$X192))</f>
        <v/>
      </c>
      <c r="AI192" s="413">
        <f>IF($W192="",0,IF($AA192&gt;0,$AB192*SUMIF(⑳商品別1食労務費!$C$5:$C$124,$W192,⑳商品別1食労務費!$F$5:$F$124)/$AA192,$AB192/$X192))</f>
        <v/>
      </c>
    </row>
    <row r="193" hidden="1" s="438">
      <c r="A193" s="197" t="n">
        <v>189</v>
      </c>
      <c r="B193" s="198" t="inlineStr">
        <is>
          <t>盛り込み⑤</t>
        </is>
      </c>
      <c r="C193" s="229" t="n"/>
      <c r="D193" s="190" t="n"/>
      <c r="E193" s="190" t="n"/>
      <c r="F193" s="541">
        <f>IF(OR(D193="",E193=""),"",(E193-D193)*1440)</f>
        <v/>
      </c>
      <c r="G193" s="542" t="n"/>
      <c r="H193" s="542" t="n"/>
      <c r="I193" s="543" t="n"/>
      <c r="J193" s="192" t="n"/>
      <c r="K193" s="544">
        <f>IF(AND(ISNUMBER(F193),I193&gt;0),I193/(F193/60),"")</f>
        <v/>
      </c>
      <c r="L193" s="545" t="n">
        <v>800</v>
      </c>
      <c r="M193" s="194">
        <f>IF(OR(ISNUMBER(SEARCH("サニテーション",C193)),ISNUMBER(SEARCH("客注",C193)),ISNUMBER(SEARCH("切り替え",C193)),ISNUMBER(SEARCH("切替",C193)),NOT(ISNUMBER(H193))),"",IF(ISNUMBER(G193),G193/60*H193*④前提設定!$B$4,IF(AND(G193="",ISNUMBER(F193)),F193/60*H193*④前提設定!$B$4,"")))</f>
        <v/>
      </c>
      <c r="N193" s="546">
        <f>IF(AND(I193&gt;0,ISNUMBER(M193)),M193/I193,"")</f>
        <v/>
      </c>
      <c r="O193" s="547">
        <f>IF(AND(J193&gt;0,ISNUMBER(M193)),M193/J193,"")</f>
        <v/>
      </c>
      <c r="P193" s="199" t="n"/>
      <c r="Q193" s="200" t="n"/>
      <c r="X193" s="334">
        <f>COUNTA(R193:W193)</f>
        <v/>
      </c>
      <c r="Y193" s="334">
        <f>IF(AND($X193&gt;0,ISNUMBER($M193)),$M193/$X193,"")</f>
        <v/>
      </c>
      <c r="Z193" s="334">
        <f>IF($X193=0,"",IF(COUNTIF(⑳商品別1食労務費!$C$5:$C$124,$R193)+COUNTIF(⑳商品別1食労務費!$C$5:$C$124,$S193)+COUNTIF(⑳商品別1食労務費!$C$5:$C$124,$T193)+COUNTIF(⑳商品別1食労務費!$C$5:$C$124,$U193)+COUNTIF(⑳商品別1食労務費!$C$5:$C$124,$V193)+COUNTIF(⑳商品別1食労務費!$C$5:$C$124,$W193)=$X193,"OK","⑳に無い商品名"))</f>
        <v/>
      </c>
      <c r="AA193" s="334">
        <f>SUMIF(⑳商品別1食労務費!$C$5:$C$124,$R193,⑳商品別1食労務費!$F$5:$F$124)+SUMIF(⑳商品別1食労務費!$C$5:$C$124,$S193,⑳商品別1食労務費!$F$5:$F$124)+SUMIF(⑳商品別1食労務費!$C$5:$C$124,$T193,⑳商品別1食労務費!$F$5:$F$124)+SUMIF(⑳商品別1食労務費!$C$5:$C$124,$U193,⑳商品別1食労務費!$F$5:$F$124)+SUMIF(⑳商品別1食労務費!$C$5:$C$124,$V193,⑳商品別1食労務費!$F$5:$F$124)+SUMIF(⑳商品別1食労務費!$C$5:$C$124,$W193,⑳商品別1食労務費!$F$5:$F$124)</f>
        <v/>
      </c>
      <c r="AB193" s="334">
        <f>IF(ISNUMBER($M193),$M193,0)</f>
        <v/>
      </c>
      <c r="AC193" s="334">
        <f>IF(AND($X193&gt;0,ISNUMBER($J193)),$J193/$X193,"")</f>
        <v/>
      </c>
      <c r="AD193" s="413">
        <f>IF($R193="",0,IF($AA193&gt;0,$AB193*SUMIF(⑳商品別1食労務費!$C$5:$C$124,$R193,⑳商品別1食労務費!$F$5:$F$124)/$AA193,$AB193/$X193))</f>
        <v/>
      </c>
      <c r="AE193" s="413">
        <f>IF($S193="",0,IF($AA193&gt;0,$AB193*SUMIF(⑳商品別1食労務費!$C$5:$C$124,$S193,⑳商品別1食労務費!$F$5:$F$124)/$AA193,$AB193/$X193))</f>
        <v/>
      </c>
      <c r="AF193" s="413">
        <f>IF($T193="",0,IF($AA193&gt;0,$AB193*SUMIF(⑳商品別1食労務費!$C$5:$C$124,$T193,⑳商品別1食労務費!$F$5:$F$124)/$AA193,$AB193/$X193))</f>
        <v/>
      </c>
      <c r="AG193" s="413">
        <f>IF($U193="",0,IF($AA193&gt;0,$AB193*SUMIF(⑳商品別1食労務費!$C$5:$C$124,$U193,⑳商品別1食労務費!$F$5:$F$124)/$AA193,$AB193/$X193))</f>
        <v/>
      </c>
      <c r="AH193" s="413">
        <f>IF($V193="",0,IF($AA193&gt;0,$AB193*SUMIF(⑳商品別1食労務費!$C$5:$C$124,$V193,⑳商品別1食労務費!$F$5:$F$124)/$AA193,$AB193/$X193))</f>
        <v/>
      </c>
      <c r="AI193" s="413">
        <f>IF($W193="",0,IF($AA193&gt;0,$AB193*SUMIF(⑳商品別1食労務費!$C$5:$C$124,$W193,⑳商品別1食労務費!$F$5:$F$124)/$AA193,$AB193/$X193))</f>
        <v/>
      </c>
    </row>
    <row r="194" hidden="1" s="438">
      <c r="A194" s="188" t="n">
        <v>190</v>
      </c>
      <c r="B194" s="189" t="inlineStr">
        <is>
          <t>盛り込み⑤</t>
        </is>
      </c>
      <c r="C194" s="229" t="n"/>
      <c r="D194" s="190" t="n"/>
      <c r="E194" s="190" t="n"/>
      <c r="F194" s="541">
        <f>IF(OR(D194="",E194=""),"",(E194-D194)*1440)</f>
        <v/>
      </c>
      <c r="G194" s="542" t="n"/>
      <c r="H194" s="542" t="n"/>
      <c r="I194" s="543" t="n"/>
      <c r="J194" s="192" t="n"/>
      <c r="K194" s="544">
        <f>IF(AND(ISNUMBER(F194),I194&gt;0),I194/(F194/60),"")</f>
        <v/>
      </c>
      <c r="L194" s="545" t="n">
        <v>800</v>
      </c>
      <c r="M194" s="194">
        <f>IF(OR(ISNUMBER(SEARCH("サニテーション",C194)),ISNUMBER(SEARCH("客注",C194)),ISNUMBER(SEARCH("切り替え",C194)),ISNUMBER(SEARCH("切替",C194)),NOT(ISNUMBER(H194))),"",IF(ISNUMBER(G194),G194/60*H194*④前提設定!$B$4,IF(AND(G194="",ISNUMBER(F194)),F194/60*H194*④前提設定!$B$4,"")))</f>
        <v/>
      </c>
      <c r="N194" s="546">
        <f>IF(AND(I194&gt;0,ISNUMBER(M194)),M194/I194,"")</f>
        <v/>
      </c>
      <c r="O194" s="547">
        <f>IF(AND(J194&gt;0,ISNUMBER(M194)),M194/J194,"")</f>
        <v/>
      </c>
      <c r="P194" s="195" t="n"/>
      <c r="Q194" s="196" t="n"/>
      <c r="X194" s="334">
        <f>COUNTA(R194:W194)</f>
        <v/>
      </c>
      <c r="Y194" s="334">
        <f>IF(AND($X194&gt;0,ISNUMBER($M194)),$M194/$X194,"")</f>
        <v/>
      </c>
      <c r="Z194" s="334">
        <f>IF($X194=0,"",IF(COUNTIF(⑳商品別1食労務費!$C$5:$C$124,$R194)+COUNTIF(⑳商品別1食労務費!$C$5:$C$124,$S194)+COUNTIF(⑳商品別1食労務費!$C$5:$C$124,$T194)+COUNTIF(⑳商品別1食労務費!$C$5:$C$124,$U194)+COUNTIF(⑳商品別1食労務費!$C$5:$C$124,$V194)+COUNTIF(⑳商品別1食労務費!$C$5:$C$124,$W194)=$X194,"OK","⑳に無い商品名"))</f>
        <v/>
      </c>
      <c r="AA194" s="334">
        <f>SUMIF(⑳商品別1食労務費!$C$5:$C$124,$R194,⑳商品別1食労務費!$F$5:$F$124)+SUMIF(⑳商品別1食労務費!$C$5:$C$124,$S194,⑳商品別1食労務費!$F$5:$F$124)+SUMIF(⑳商品別1食労務費!$C$5:$C$124,$T194,⑳商品別1食労務費!$F$5:$F$124)+SUMIF(⑳商品別1食労務費!$C$5:$C$124,$U194,⑳商品別1食労務費!$F$5:$F$124)+SUMIF(⑳商品別1食労務費!$C$5:$C$124,$V194,⑳商品別1食労務費!$F$5:$F$124)+SUMIF(⑳商品別1食労務費!$C$5:$C$124,$W194,⑳商品別1食労務費!$F$5:$F$124)</f>
        <v/>
      </c>
      <c r="AB194" s="334">
        <f>IF(ISNUMBER($M194),$M194,0)</f>
        <v/>
      </c>
      <c r="AC194" s="334">
        <f>IF(AND($X194&gt;0,ISNUMBER($J194)),$J194/$X194,"")</f>
        <v/>
      </c>
      <c r="AD194" s="413">
        <f>IF($R194="",0,IF($AA194&gt;0,$AB194*SUMIF(⑳商品別1食労務費!$C$5:$C$124,$R194,⑳商品別1食労務費!$F$5:$F$124)/$AA194,$AB194/$X194))</f>
        <v/>
      </c>
      <c r="AE194" s="413">
        <f>IF($S194="",0,IF($AA194&gt;0,$AB194*SUMIF(⑳商品別1食労務費!$C$5:$C$124,$S194,⑳商品別1食労務費!$F$5:$F$124)/$AA194,$AB194/$X194))</f>
        <v/>
      </c>
      <c r="AF194" s="413">
        <f>IF($T194="",0,IF($AA194&gt;0,$AB194*SUMIF(⑳商品別1食労務費!$C$5:$C$124,$T194,⑳商品別1食労務費!$F$5:$F$124)/$AA194,$AB194/$X194))</f>
        <v/>
      </c>
      <c r="AG194" s="413">
        <f>IF($U194="",0,IF($AA194&gt;0,$AB194*SUMIF(⑳商品別1食労務費!$C$5:$C$124,$U194,⑳商品別1食労務費!$F$5:$F$124)/$AA194,$AB194/$X194))</f>
        <v/>
      </c>
      <c r="AH194" s="413">
        <f>IF($V194="",0,IF($AA194&gt;0,$AB194*SUMIF(⑳商品別1食労務費!$C$5:$C$124,$V194,⑳商品別1食労務費!$F$5:$F$124)/$AA194,$AB194/$X194))</f>
        <v/>
      </c>
      <c r="AI194" s="413">
        <f>IF($W194="",0,IF($AA194&gt;0,$AB194*SUMIF(⑳商品別1食労務費!$C$5:$C$124,$W194,⑳商品別1食労務費!$F$5:$F$124)/$AA194,$AB194/$X194))</f>
        <v/>
      </c>
    </row>
    <row r="195" hidden="1" s="438">
      <c r="A195" s="197" t="n">
        <v>191</v>
      </c>
      <c r="B195" s="198" t="inlineStr">
        <is>
          <t>盛り込み⑤</t>
        </is>
      </c>
      <c r="C195" s="229" t="n"/>
      <c r="D195" s="190" t="n"/>
      <c r="E195" s="190" t="n"/>
      <c r="F195" s="541">
        <f>IF(OR(D195="",E195=""),"",(E195-D195)*1440)</f>
        <v/>
      </c>
      <c r="G195" s="542" t="n"/>
      <c r="H195" s="542" t="n"/>
      <c r="I195" s="543" t="n"/>
      <c r="J195" s="192" t="n"/>
      <c r="K195" s="544">
        <f>IF(AND(ISNUMBER(F195),I195&gt;0),I195/(F195/60),"")</f>
        <v/>
      </c>
      <c r="L195" s="545" t="n">
        <v>500</v>
      </c>
      <c r="M195" s="194">
        <f>IF(OR(ISNUMBER(SEARCH("サニテーション",C195)),ISNUMBER(SEARCH("客注",C195)),ISNUMBER(SEARCH("切り替え",C195)),ISNUMBER(SEARCH("切替",C195)),NOT(ISNUMBER(H195))),"",IF(ISNUMBER(G195),G195/60*H195*④前提設定!$B$4,IF(AND(G195="",ISNUMBER(F195)),F195/60*H195*④前提設定!$B$4,"")))</f>
        <v/>
      </c>
      <c r="N195" s="546">
        <f>IF(AND(I195&gt;0,ISNUMBER(M195)),M195/I195,"")</f>
        <v/>
      </c>
      <c r="O195" s="547">
        <f>IF(AND(J195&gt;0,ISNUMBER(M195)),M195/J195,"")</f>
        <v/>
      </c>
      <c r="P195" s="199" t="n"/>
      <c r="Q195" s="200" t="n"/>
      <c r="X195" s="334">
        <f>COUNTA(R195:W195)</f>
        <v/>
      </c>
      <c r="Y195" s="334">
        <f>IF(AND($X195&gt;0,ISNUMBER($M195)),$M195/$X195,"")</f>
        <v/>
      </c>
      <c r="Z195" s="334">
        <f>IF($X195=0,"",IF(COUNTIF(⑳商品別1食労務費!$C$5:$C$124,$R195)+COUNTIF(⑳商品別1食労務費!$C$5:$C$124,$S195)+COUNTIF(⑳商品別1食労務費!$C$5:$C$124,$T195)+COUNTIF(⑳商品別1食労務費!$C$5:$C$124,$U195)+COUNTIF(⑳商品別1食労務費!$C$5:$C$124,$V195)+COUNTIF(⑳商品別1食労務費!$C$5:$C$124,$W195)=$X195,"OK","⑳に無い商品名"))</f>
        <v/>
      </c>
      <c r="AA195" s="334">
        <f>SUMIF(⑳商品別1食労務費!$C$5:$C$124,$R195,⑳商品別1食労務費!$F$5:$F$124)+SUMIF(⑳商品別1食労務費!$C$5:$C$124,$S195,⑳商品別1食労務費!$F$5:$F$124)+SUMIF(⑳商品別1食労務費!$C$5:$C$124,$T195,⑳商品別1食労務費!$F$5:$F$124)+SUMIF(⑳商品別1食労務費!$C$5:$C$124,$U195,⑳商品別1食労務費!$F$5:$F$124)+SUMIF(⑳商品別1食労務費!$C$5:$C$124,$V195,⑳商品別1食労務費!$F$5:$F$124)+SUMIF(⑳商品別1食労務費!$C$5:$C$124,$W195,⑳商品別1食労務費!$F$5:$F$124)</f>
        <v/>
      </c>
      <c r="AB195" s="334">
        <f>IF(ISNUMBER($M195),$M195,0)</f>
        <v/>
      </c>
      <c r="AC195" s="334">
        <f>IF(AND($X195&gt;0,ISNUMBER($J195)),$J195/$X195,"")</f>
        <v/>
      </c>
      <c r="AD195" s="413">
        <f>IF($R195="",0,IF($AA195&gt;0,$AB195*SUMIF(⑳商品別1食労務費!$C$5:$C$124,$R195,⑳商品別1食労務費!$F$5:$F$124)/$AA195,$AB195/$X195))</f>
        <v/>
      </c>
      <c r="AE195" s="413">
        <f>IF($S195="",0,IF($AA195&gt;0,$AB195*SUMIF(⑳商品別1食労務費!$C$5:$C$124,$S195,⑳商品別1食労務費!$F$5:$F$124)/$AA195,$AB195/$X195))</f>
        <v/>
      </c>
      <c r="AF195" s="413">
        <f>IF($T195="",0,IF($AA195&gt;0,$AB195*SUMIF(⑳商品別1食労務費!$C$5:$C$124,$T195,⑳商品別1食労務費!$F$5:$F$124)/$AA195,$AB195/$X195))</f>
        <v/>
      </c>
      <c r="AG195" s="413">
        <f>IF($U195="",0,IF($AA195&gt;0,$AB195*SUMIF(⑳商品別1食労務費!$C$5:$C$124,$U195,⑳商品別1食労務費!$F$5:$F$124)/$AA195,$AB195/$X195))</f>
        <v/>
      </c>
      <c r="AH195" s="413">
        <f>IF($V195="",0,IF($AA195&gt;0,$AB195*SUMIF(⑳商品別1食労務費!$C$5:$C$124,$V195,⑳商品別1食労務費!$F$5:$F$124)/$AA195,$AB195/$X195))</f>
        <v/>
      </c>
      <c r="AI195" s="413">
        <f>IF($W195="",0,IF($AA195&gt;0,$AB195*SUMIF(⑳商品別1食労務費!$C$5:$C$124,$W195,⑳商品別1食労務費!$F$5:$F$124)/$AA195,$AB195/$X195))</f>
        <v/>
      </c>
    </row>
    <row r="196" hidden="1" s="438">
      <c r="A196" s="188" t="n">
        <v>192</v>
      </c>
      <c r="B196" s="189" t="inlineStr">
        <is>
          <t>盛り込み⑤</t>
        </is>
      </c>
      <c r="C196" s="229" t="n"/>
      <c r="D196" s="190" t="n"/>
      <c r="E196" s="190" t="n"/>
      <c r="F196" s="541">
        <f>IF(OR(D196="",E196=""),"",(E196-D196)*1440)</f>
        <v/>
      </c>
      <c r="G196" s="542" t="n"/>
      <c r="H196" s="542" t="n"/>
      <c r="I196" s="543" t="n"/>
      <c r="J196" s="192" t="n"/>
      <c r="K196" s="544">
        <f>IF(AND(ISNUMBER(F196),I196&gt;0),I196/(F196/60),"")</f>
        <v/>
      </c>
      <c r="L196" s="545" t="n">
        <v>500</v>
      </c>
      <c r="M196" s="194">
        <f>IF(OR(ISNUMBER(SEARCH("サニテーション",C196)),ISNUMBER(SEARCH("客注",C196)),ISNUMBER(SEARCH("切り替え",C196)),ISNUMBER(SEARCH("切替",C196)),NOT(ISNUMBER(H196))),"",IF(ISNUMBER(G196),G196/60*H196*④前提設定!$B$4,IF(AND(G196="",ISNUMBER(F196)),F196/60*H196*④前提設定!$B$4,"")))</f>
        <v/>
      </c>
      <c r="N196" s="546">
        <f>IF(AND(I196&gt;0,ISNUMBER(M196)),M196/I196,"")</f>
        <v/>
      </c>
      <c r="O196" s="547">
        <f>IF(AND(J196&gt;0,ISNUMBER(M196)),M196/J196,"")</f>
        <v/>
      </c>
      <c r="P196" s="195" t="n"/>
      <c r="Q196" s="196" t="n"/>
      <c r="X196" s="334">
        <f>COUNTA(R196:W196)</f>
        <v/>
      </c>
      <c r="Y196" s="334">
        <f>IF(AND($X196&gt;0,ISNUMBER($M196)),$M196/$X196,"")</f>
        <v/>
      </c>
      <c r="Z196" s="334">
        <f>IF($X196=0,"",IF(COUNTIF(⑳商品別1食労務費!$C$5:$C$124,$R196)+COUNTIF(⑳商品別1食労務費!$C$5:$C$124,$S196)+COUNTIF(⑳商品別1食労務費!$C$5:$C$124,$T196)+COUNTIF(⑳商品別1食労務費!$C$5:$C$124,$U196)+COUNTIF(⑳商品別1食労務費!$C$5:$C$124,$V196)+COUNTIF(⑳商品別1食労務費!$C$5:$C$124,$W196)=$X196,"OK","⑳に無い商品名"))</f>
        <v/>
      </c>
      <c r="AA196" s="334">
        <f>SUMIF(⑳商品別1食労務費!$C$5:$C$124,$R196,⑳商品別1食労務費!$F$5:$F$124)+SUMIF(⑳商品別1食労務費!$C$5:$C$124,$S196,⑳商品別1食労務費!$F$5:$F$124)+SUMIF(⑳商品別1食労務費!$C$5:$C$124,$T196,⑳商品別1食労務費!$F$5:$F$124)+SUMIF(⑳商品別1食労務費!$C$5:$C$124,$U196,⑳商品別1食労務費!$F$5:$F$124)+SUMIF(⑳商品別1食労務費!$C$5:$C$124,$V196,⑳商品別1食労務費!$F$5:$F$124)+SUMIF(⑳商品別1食労務費!$C$5:$C$124,$W196,⑳商品別1食労務費!$F$5:$F$124)</f>
        <v/>
      </c>
      <c r="AB196" s="334">
        <f>IF(ISNUMBER($M196),$M196,0)</f>
        <v/>
      </c>
      <c r="AC196" s="334">
        <f>IF(AND($X196&gt;0,ISNUMBER($J196)),$J196/$X196,"")</f>
        <v/>
      </c>
      <c r="AD196" s="413">
        <f>IF($R196="",0,IF($AA196&gt;0,$AB196*SUMIF(⑳商品別1食労務費!$C$5:$C$124,$R196,⑳商品別1食労務費!$F$5:$F$124)/$AA196,$AB196/$X196))</f>
        <v/>
      </c>
      <c r="AE196" s="413">
        <f>IF($S196="",0,IF($AA196&gt;0,$AB196*SUMIF(⑳商品別1食労務費!$C$5:$C$124,$S196,⑳商品別1食労務費!$F$5:$F$124)/$AA196,$AB196/$X196))</f>
        <v/>
      </c>
      <c r="AF196" s="413">
        <f>IF($T196="",0,IF($AA196&gt;0,$AB196*SUMIF(⑳商品別1食労務費!$C$5:$C$124,$T196,⑳商品別1食労務費!$F$5:$F$124)/$AA196,$AB196/$X196))</f>
        <v/>
      </c>
      <c r="AG196" s="413">
        <f>IF($U196="",0,IF($AA196&gt;0,$AB196*SUMIF(⑳商品別1食労務費!$C$5:$C$124,$U196,⑳商品別1食労務費!$F$5:$F$124)/$AA196,$AB196/$X196))</f>
        <v/>
      </c>
      <c r="AH196" s="413">
        <f>IF($V196="",0,IF($AA196&gt;0,$AB196*SUMIF(⑳商品別1食労務費!$C$5:$C$124,$V196,⑳商品別1食労務費!$F$5:$F$124)/$AA196,$AB196/$X196))</f>
        <v/>
      </c>
      <c r="AI196" s="413">
        <f>IF($W196="",0,IF($AA196&gt;0,$AB196*SUMIF(⑳商品別1食労務費!$C$5:$C$124,$W196,⑳商品別1食労務費!$F$5:$F$124)/$AA196,$AB196/$X196))</f>
        <v/>
      </c>
    </row>
    <row r="197" hidden="1" s="438">
      <c r="A197" s="197" t="n">
        <v>193</v>
      </c>
      <c r="B197" s="198" t="inlineStr">
        <is>
          <t>盛り込み⑤</t>
        </is>
      </c>
      <c r="C197" s="229" t="n"/>
      <c r="D197" s="190" t="n"/>
      <c r="E197" s="190" t="n"/>
      <c r="F197" s="541">
        <f>IF(OR(D197="",E197=""),"",(E197-D197)*1440)</f>
        <v/>
      </c>
      <c r="G197" s="542" t="n"/>
      <c r="H197" s="542" t="n"/>
      <c r="I197" s="543" t="n"/>
      <c r="J197" s="192" t="n"/>
      <c r="K197" s="544">
        <f>IF(AND(ISNUMBER(F197),I197&gt;0),I197/(F197/60),"")</f>
        <v/>
      </c>
      <c r="L197" s="545" t="n">
        <v>700</v>
      </c>
      <c r="M197" s="194">
        <f>IF(OR(ISNUMBER(SEARCH("サニテーション",C197)),ISNUMBER(SEARCH("客注",C197)),ISNUMBER(SEARCH("切り替え",C197)),ISNUMBER(SEARCH("切替",C197)),NOT(ISNUMBER(H197))),"",IF(ISNUMBER(G197),G197/60*H197*④前提設定!$B$4,IF(AND(G197="",ISNUMBER(F197)),F197/60*H197*④前提設定!$B$4,"")))</f>
        <v/>
      </c>
      <c r="N197" s="546">
        <f>IF(AND(I197&gt;0,ISNUMBER(M197)),M197/I197,"")</f>
        <v/>
      </c>
      <c r="O197" s="547">
        <f>IF(AND(J197&gt;0,ISNUMBER(M197)),M197/J197,"")</f>
        <v/>
      </c>
      <c r="P197" s="199" t="n"/>
      <c r="Q197" s="200" t="n"/>
      <c r="X197" s="334">
        <f>COUNTA(R197:W197)</f>
        <v/>
      </c>
      <c r="Y197" s="334">
        <f>IF(AND($X197&gt;0,ISNUMBER($M197)),$M197/$X197,"")</f>
        <v/>
      </c>
      <c r="Z197" s="334">
        <f>IF($X197=0,"",IF(COUNTIF(⑳商品別1食労務費!$C$5:$C$124,$R197)+COUNTIF(⑳商品別1食労務費!$C$5:$C$124,$S197)+COUNTIF(⑳商品別1食労務費!$C$5:$C$124,$T197)+COUNTIF(⑳商品別1食労務費!$C$5:$C$124,$U197)+COUNTIF(⑳商品別1食労務費!$C$5:$C$124,$V197)+COUNTIF(⑳商品別1食労務費!$C$5:$C$124,$W197)=$X197,"OK","⑳に無い商品名"))</f>
        <v/>
      </c>
      <c r="AA197" s="334">
        <f>SUMIF(⑳商品別1食労務費!$C$5:$C$124,$R197,⑳商品別1食労務費!$F$5:$F$124)+SUMIF(⑳商品別1食労務費!$C$5:$C$124,$S197,⑳商品別1食労務費!$F$5:$F$124)+SUMIF(⑳商品別1食労務費!$C$5:$C$124,$T197,⑳商品別1食労務費!$F$5:$F$124)+SUMIF(⑳商品別1食労務費!$C$5:$C$124,$U197,⑳商品別1食労務費!$F$5:$F$124)+SUMIF(⑳商品別1食労務費!$C$5:$C$124,$V197,⑳商品別1食労務費!$F$5:$F$124)+SUMIF(⑳商品別1食労務費!$C$5:$C$124,$W197,⑳商品別1食労務費!$F$5:$F$124)</f>
        <v/>
      </c>
      <c r="AB197" s="334">
        <f>IF(ISNUMBER($M197),$M197,0)</f>
        <v/>
      </c>
      <c r="AC197" s="334">
        <f>IF(AND($X197&gt;0,ISNUMBER($J197)),$J197/$X197,"")</f>
        <v/>
      </c>
      <c r="AD197" s="413">
        <f>IF($R197="",0,IF($AA197&gt;0,$AB197*SUMIF(⑳商品別1食労務費!$C$5:$C$124,$R197,⑳商品別1食労務費!$F$5:$F$124)/$AA197,$AB197/$X197))</f>
        <v/>
      </c>
      <c r="AE197" s="413">
        <f>IF($S197="",0,IF($AA197&gt;0,$AB197*SUMIF(⑳商品別1食労務費!$C$5:$C$124,$S197,⑳商品別1食労務費!$F$5:$F$124)/$AA197,$AB197/$X197))</f>
        <v/>
      </c>
      <c r="AF197" s="413">
        <f>IF($T197="",0,IF($AA197&gt;0,$AB197*SUMIF(⑳商品別1食労務費!$C$5:$C$124,$T197,⑳商品別1食労務費!$F$5:$F$124)/$AA197,$AB197/$X197))</f>
        <v/>
      </c>
      <c r="AG197" s="413">
        <f>IF($U197="",0,IF($AA197&gt;0,$AB197*SUMIF(⑳商品別1食労務費!$C$5:$C$124,$U197,⑳商品別1食労務費!$F$5:$F$124)/$AA197,$AB197/$X197))</f>
        <v/>
      </c>
      <c r="AH197" s="413">
        <f>IF($V197="",0,IF($AA197&gt;0,$AB197*SUMIF(⑳商品別1食労務費!$C$5:$C$124,$V197,⑳商品別1食労務費!$F$5:$F$124)/$AA197,$AB197/$X197))</f>
        <v/>
      </c>
      <c r="AI197" s="413">
        <f>IF($W197="",0,IF($AA197&gt;0,$AB197*SUMIF(⑳商品別1食労務費!$C$5:$C$124,$W197,⑳商品別1食労務費!$F$5:$F$124)/$AA197,$AB197/$X197))</f>
        <v/>
      </c>
    </row>
    <row r="198" hidden="1" s="438">
      <c r="A198" s="188" t="n">
        <v>194</v>
      </c>
      <c r="B198" s="189" t="inlineStr">
        <is>
          <t>盛り込み⑤</t>
        </is>
      </c>
      <c r="C198" s="229" t="n"/>
      <c r="D198" s="190" t="n"/>
      <c r="E198" s="190" t="n"/>
      <c r="F198" s="541">
        <f>IF(OR(D198="",E198=""),"",(E198-D198)*1440)</f>
        <v/>
      </c>
      <c r="G198" s="542" t="n"/>
      <c r="H198" s="542" t="n"/>
      <c r="I198" s="543" t="n"/>
      <c r="J198" s="192" t="n"/>
      <c r="K198" s="544">
        <f>IF(AND(ISNUMBER(F198),I198&gt;0),I198/(F198/60),"")</f>
        <v/>
      </c>
      <c r="L198" s="545" t="n">
        <v>600</v>
      </c>
      <c r="M198" s="194">
        <f>IF(OR(ISNUMBER(SEARCH("サニテーション",C198)),ISNUMBER(SEARCH("客注",C198)),ISNUMBER(SEARCH("切り替え",C198)),ISNUMBER(SEARCH("切替",C198)),NOT(ISNUMBER(H198))),"",IF(ISNUMBER(G198),G198/60*H198*④前提設定!$B$4,IF(AND(G198="",ISNUMBER(F198)),F198/60*H198*④前提設定!$B$4,"")))</f>
        <v/>
      </c>
      <c r="N198" s="546">
        <f>IF(AND(I198&gt;0,ISNUMBER(M198)),M198/I198,"")</f>
        <v/>
      </c>
      <c r="O198" s="547">
        <f>IF(AND(J198&gt;0,ISNUMBER(M198)),M198/J198,"")</f>
        <v/>
      </c>
      <c r="P198" s="195" t="n"/>
      <c r="Q198" s="196" t="n"/>
      <c r="X198" s="334">
        <f>COUNTA(R198:W198)</f>
        <v/>
      </c>
      <c r="Y198" s="334">
        <f>IF(AND($X198&gt;0,ISNUMBER($M198)),$M198/$X198,"")</f>
        <v/>
      </c>
      <c r="Z198" s="334">
        <f>IF($X198=0,"",IF(COUNTIF(⑳商品別1食労務費!$C$5:$C$124,$R198)+COUNTIF(⑳商品別1食労務費!$C$5:$C$124,$S198)+COUNTIF(⑳商品別1食労務費!$C$5:$C$124,$T198)+COUNTIF(⑳商品別1食労務費!$C$5:$C$124,$U198)+COUNTIF(⑳商品別1食労務費!$C$5:$C$124,$V198)+COUNTIF(⑳商品別1食労務費!$C$5:$C$124,$W198)=$X198,"OK","⑳に無い商品名"))</f>
        <v/>
      </c>
      <c r="AA198" s="334">
        <f>SUMIF(⑳商品別1食労務費!$C$5:$C$124,$R198,⑳商品別1食労務費!$F$5:$F$124)+SUMIF(⑳商品別1食労務費!$C$5:$C$124,$S198,⑳商品別1食労務費!$F$5:$F$124)+SUMIF(⑳商品別1食労務費!$C$5:$C$124,$T198,⑳商品別1食労務費!$F$5:$F$124)+SUMIF(⑳商品別1食労務費!$C$5:$C$124,$U198,⑳商品別1食労務費!$F$5:$F$124)+SUMIF(⑳商品別1食労務費!$C$5:$C$124,$V198,⑳商品別1食労務費!$F$5:$F$124)+SUMIF(⑳商品別1食労務費!$C$5:$C$124,$W198,⑳商品別1食労務費!$F$5:$F$124)</f>
        <v/>
      </c>
      <c r="AB198" s="334">
        <f>IF(ISNUMBER($M198),$M198,0)</f>
        <v/>
      </c>
      <c r="AC198" s="334">
        <f>IF(AND($X198&gt;0,ISNUMBER($J198)),$J198/$X198,"")</f>
        <v/>
      </c>
      <c r="AD198" s="413">
        <f>IF($R198="",0,IF($AA198&gt;0,$AB198*SUMIF(⑳商品別1食労務費!$C$5:$C$124,$R198,⑳商品別1食労務費!$F$5:$F$124)/$AA198,$AB198/$X198))</f>
        <v/>
      </c>
      <c r="AE198" s="413">
        <f>IF($S198="",0,IF($AA198&gt;0,$AB198*SUMIF(⑳商品別1食労務費!$C$5:$C$124,$S198,⑳商品別1食労務費!$F$5:$F$124)/$AA198,$AB198/$X198))</f>
        <v/>
      </c>
      <c r="AF198" s="413">
        <f>IF($T198="",0,IF($AA198&gt;0,$AB198*SUMIF(⑳商品別1食労務費!$C$5:$C$124,$T198,⑳商品別1食労務費!$F$5:$F$124)/$AA198,$AB198/$X198))</f>
        <v/>
      </c>
      <c r="AG198" s="413">
        <f>IF($U198="",0,IF($AA198&gt;0,$AB198*SUMIF(⑳商品別1食労務費!$C$5:$C$124,$U198,⑳商品別1食労務費!$F$5:$F$124)/$AA198,$AB198/$X198))</f>
        <v/>
      </c>
      <c r="AH198" s="413">
        <f>IF($V198="",0,IF($AA198&gt;0,$AB198*SUMIF(⑳商品別1食労務費!$C$5:$C$124,$V198,⑳商品別1食労務費!$F$5:$F$124)/$AA198,$AB198/$X198))</f>
        <v/>
      </c>
      <c r="AI198" s="413">
        <f>IF($W198="",0,IF($AA198&gt;0,$AB198*SUMIF(⑳商品別1食労務費!$C$5:$C$124,$W198,⑳商品別1食労務費!$F$5:$F$124)/$AA198,$AB198/$X198))</f>
        <v/>
      </c>
    </row>
    <row r="199" hidden="1" s="438">
      <c r="A199" s="197" t="n">
        <v>195</v>
      </c>
      <c r="B199" s="198" t="inlineStr">
        <is>
          <t>盛り込み⑤</t>
        </is>
      </c>
      <c r="C199" s="229" t="n"/>
      <c r="D199" s="190" t="n"/>
      <c r="E199" s="190" t="n"/>
      <c r="F199" s="541">
        <f>IF(OR(D199="",E199=""),"",(E199-D199)*1440)</f>
        <v/>
      </c>
      <c r="G199" s="542" t="n"/>
      <c r="H199" s="542" t="n"/>
      <c r="I199" s="543" t="n"/>
      <c r="J199" s="192" t="n"/>
      <c r="K199" s="544">
        <f>IF(AND(ISNUMBER(F199),I199&gt;0),I199/(F199/60),"")</f>
        <v/>
      </c>
      <c r="L199" s="545" t="n">
        <v>900</v>
      </c>
      <c r="M199" s="194">
        <f>IF(OR(ISNUMBER(SEARCH("サニテーション",C199)),ISNUMBER(SEARCH("客注",C199)),ISNUMBER(SEARCH("切り替え",C199)),ISNUMBER(SEARCH("切替",C199)),NOT(ISNUMBER(H199))),"",IF(ISNUMBER(G199),G199/60*H199*④前提設定!$B$4,IF(AND(G199="",ISNUMBER(F199)),F199/60*H199*④前提設定!$B$4,"")))</f>
        <v/>
      </c>
      <c r="N199" s="546">
        <f>IF(AND(I199&gt;0,ISNUMBER(M199)),M199/I199,"")</f>
        <v/>
      </c>
      <c r="O199" s="547">
        <f>IF(AND(J199&gt;0,ISNUMBER(M199)),M199/J199,"")</f>
        <v/>
      </c>
      <c r="P199" s="199" t="n"/>
      <c r="Q199" s="200" t="n"/>
      <c r="X199" s="334">
        <f>COUNTA(R199:W199)</f>
        <v/>
      </c>
      <c r="Y199" s="334">
        <f>IF(AND($X199&gt;0,ISNUMBER($M199)),$M199/$X199,"")</f>
        <v/>
      </c>
      <c r="Z199" s="334">
        <f>IF($X199=0,"",IF(COUNTIF(⑳商品別1食労務費!$C$5:$C$124,$R199)+COUNTIF(⑳商品別1食労務費!$C$5:$C$124,$S199)+COUNTIF(⑳商品別1食労務費!$C$5:$C$124,$T199)+COUNTIF(⑳商品別1食労務費!$C$5:$C$124,$U199)+COUNTIF(⑳商品別1食労務費!$C$5:$C$124,$V199)+COUNTIF(⑳商品別1食労務費!$C$5:$C$124,$W199)=$X199,"OK","⑳に無い商品名"))</f>
        <v/>
      </c>
      <c r="AA199" s="334">
        <f>SUMIF(⑳商品別1食労務費!$C$5:$C$124,$R199,⑳商品別1食労務費!$F$5:$F$124)+SUMIF(⑳商品別1食労務費!$C$5:$C$124,$S199,⑳商品別1食労務費!$F$5:$F$124)+SUMIF(⑳商品別1食労務費!$C$5:$C$124,$T199,⑳商品別1食労務費!$F$5:$F$124)+SUMIF(⑳商品別1食労務費!$C$5:$C$124,$U199,⑳商品別1食労務費!$F$5:$F$124)+SUMIF(⑳商品別1食労務費!$C$5:$C$124,$V199,⑳商品別1食労務費!$F$5:$F$124)+SUMIF(⑳商品別1食労務費!$C$5:$C$124,$W199,⑳商品別1食労務費!$F$5:$F$124)</f>
        <v/>
      </c>
      <c r="AB199" s="334">
        <f>IF(ISNUMBER($M199),$M199,0)</f>
        <v/>
      </c>
      <c r="AC199" s="334">
        <f>IF(AND($X199&gt;0,ISNUMBER($J199)),$J199/$X199,"")</f>
        <v/>
      </c>
      <c r="AD199" s="413">
        <f>IF($R199="",0,IF($AA199&gt;0,$AB199*SUMIF(⑳商品別1食労務費!$C$5:$C$124,$R199,⑳商品別1食労務費!$F$5:$F$124)/$AA199,$AB199/$X199))</f>
        <v/>
      </c>
      <c r="AE199" s="413">
        <f>IF($S199="",0,IF($AA199&gt;0,$AB199*SUMIF(⑳商品別1食労務費!$C$5:$C$124,$S199,⑳商品別1食労務費!$F$5:$F$124)/$AA199,$AB199/$X199))</f>
        <v/>
      </c>
      <c r="AF199" s="413">
        <f>IF($T199="",0,IF($AA199&gt;0,$AB199*SUMIF(⑳商品別1食労務費!$C$5:$C$124,$T199,⑳商品別1食労務費!$F$5:$F$124)/$AA199,$AB199/$X199))</f>
        <v/>
      </c>
      <c r="AG199" s="413">
        <f>IF($U199="",0,IF($AA199&gt;0,$AB199*SUMIF(⑳商品別1食労務費!$C$5:$C$124,$U199,⑳商品別1食労務費!$F$5:$F$124)/$AA199,$AB199/$X199))</f>
        <v/>
      </c>
      <c r="AH199" s="413">
        <f>IF($V199="",0,IF($AA199&gt;0,$AB199*SUMIF(⑳商品別1食労務費!$C$5:$C$124,$V199,⑳商品別1食労務費!$F$5:$F$124)/$AA199,$AB199/$X199))</f>
        <v/>
      </c>
      <c r="AI199" s="413">
        <f>IF($W199="",0,IF($AA199&gt;0,$AB199*SUMIF(⑳商品別1食労務費!$C$5:$C$124,$W199,⑳商品別1食労務費!$F$5:$F$124)/$AA199,$AB199/$X199))</f>
        <v/>
      </c>
    </row>
    <row r="200" hidden="1" s="438">
      <c r="A200" s="188" t="n">
        <v>196</v>
      </c>
      <c r="B200" s="189" t="inlineStr">
        <is>
          <t>盛り込み⑤</t>
        </is>
      </c>
      <c r="C200" s="229" t="n"/>
      <c r="D200" s="190" t="n"/>
      <c r="E200" s="190" t="n"/>
      <c r="F200" s="541">
        <f>IF(OR(D200="",E200=""),"",(E200-D200)*1440)</f>
        <v/>
      </c>
      <c r="G200" s="542" t="n"/>
      <c r="H200" s="542" t="n"/>
      <c r="I200" s="543" t="n"/>
      <c r="J200" s="192" t="n"/>
      <c r="K200" s="544">
        <f>IF(AND(ISNUMBER(F200),I200&gt;0),I200/(F200/60),"")</f>
        <v/>
      </c>
      <c r="L200" s="545" t="n">
        <v>700</v>
      </c>
      <c r="M200" s="194">
        <f>IF(OR(ISNUMBER(SEARCH("サニテーション",C200)),ISNUMBER(SEARCH("客注",C200)),ISNUMBER(SEARCH("切り替え",C200)),ISNUMBER(SEARCH("切替",C200)),NOT(ISNUMBER(H200))),"",IF(ISNUMBER(G200),G200/60*H200*④前提設定!$B$4,IF(AND(G200="",ISNUMBER(F200)),F200/60*H200*④前提設定!$B$4,"")))</f>
        <v/>
      </c>
      <c r="N200" s="546">
        <f>IF(AND(I200&gt;0,ISNUMBER(M200)),M200/I200,"")</f>
        <v/>
      </c>
      <c r="O200" s="547">
        <f>IF(AND(J200&gt;0,ISNUMBER(M200)),M200/J200,"")</f>
        <v/>
      </c>
      <c r="P200" s="195" t="n"/>
      <c r="Q200" s="196" t="n"/>
      <c r="X200" s="334">
        <f>COUNTA(R200:W200)</f>
        <v/>
      </c>
      <c r="Y200" s="334">
        <f>IF(AND($X200&gt;0,ISNUMBER($M200)),$M200/$X200,"")</f>
        <v/>
      </c>
      <c r="Z200" s="334">
        <f>IF($X200=0,"",IF(COUNTIF(⑳商品別1食労務費!$C$5:$C$124,$R200)+COUNTIF(⑳商品別1食労務費!$C$5:$C$124,$S200)+COUNTIF(⑳商品別1食労務費!$C$5:$C$124,$T200)+COUNTIF(⑳商品別1食労務費!$C$5:$C$124,$U200)+COUNTIF(⑳商品別1食労務費!$C$5:$C$124,$V200)+COUNTIF(⑳商品別1食労務費!$C$5:$C$124,$W200)=$X200,"OK","⑳に無い商品名"))</f>
        <v/>
      </c>
      <c r="AA200" s="334">
        <f>SUMIF(⑳商品別1食労務費!$C$5:$C$124,$R200,⑳商品別1食労務費!$F$5:$F$124)+SUMIF(⑳商品別1食労務費!$C$5:$C$124,$S200,⑳商品別1食労務費!$F$5:$F$124)+SUMIF(⑳商品別1食労務費!$C$5:$C$124,$T200,⑳商品別1食労務費!$F$5:$F$124)+SUMIF(⑳商品別1食労務費!$C$5:$C$124,$U200,⑳商品別1食労務費!$F$5:$F$124)+SUMIF(⑳商品別1食労務費!$C$5:$C$124,$V200,⑳商品別1食労務費!$F$5:$F$124)+SUMIF(⑳商品別1食労務費!$C$5:$C$124,$W200,⑳商品別1食労務費!$F$5:$F$124)</f>
        <v/>
      </c>
      <c r="AB200" s="334">
        <f>IF(ISNUMBER($M200),$M200,0)</f>
        <v/>
      </c>
      <c r="AC200" s="334">
        <f>IF(AND($X200&gt;0,ISNUMBER($J200)),$J200/$X200,"")</f>
        <v/>
      </c>
      <c r="AD200" s="413">
        <f>IF($R200="",0,IF($AA200&gt;0,$AB200*SUMIF(⑳商品別1食労務費!$C$5:$C$124,$R200,⑳商品別1食労務費!$F$5:$F$124)/$AA200,$AB200/$X200))</f>
        <v/>
      </c>
      <c r="AE200" s="413">
        <f>IF($S200="",0,IF($AA200&gt;0,$AB200*SUMIF(⑳商品別1食労務費!$C$5:$C$124,$S200,⑳商品別1食労務費!$F$5:$F$124)/$AA200,$AB200/$X200))</f>
        <v/>
      </c>
      <c r="AF200" s="413">
        <f>IF($T200="",0,IF($AA200&gt;0,$AB200*SUMIF(⑳商品別1食労務費!$C$5:$C$124,$T200,⑳商品別1食労務費!$F$5:$F$124)/$AA200,$AB200/$X200))</f>
        <v/>
      </c>
      <c r="AG200" s="413">
        <f>IF($U200="",0,IF($AA200&gt;0,$AB200*SUMIF(⑳商品別1食労務費!$C$5:$C$124,$U200,⑳商品別1食労務費!$F$5:$F$124)/$AA200,$AB200/$X200))</f>
        <v/>
      </c>
      <c r="AH200" s="413">
        <f>IF($V200="",0,IF($AA200&gt;0,$AB200*SUMIF(⑳商品別1食労務費!$C$5:$C$124,$V200,⑳商品別1食労務費!$F$5:$F$124)/$AA200,$AB200/$X200))</f>
        <v/>
      </c>
      <c r="AI200" s="413">
        <f>IF($W200="",0,IF($AA200&gt;0,$AB200*SUMIF(⑳商品別1食労務費!$C$5:$C$124,$W200,⑳商品別1食労務費!$F$5:$F$124)/$AA200,$AB200/$X200))</f>
        <v/>
      </c>
    </row>
    <row r="201" hidden="1" s="438">
      <c r="A201" s="197" t="n">
        <v>197</v>
      </c>
      <c r="B201" s="198" t="inlineStr">
        <is>
          <t>盛り込み⑤</t>
        </is>
      </c>
      <c r="C201" s="229" t="n"/>
      <c r="D201" s="190" t="n"/>
      <c r="E201" s="190" t="n"/>
      <c r="F201" s="541">
        <f>IF(OR(D201="",E201=""),"",(E201-D201)*1440)</f>
        <v/>
      </c>
      <c r="G201" s="542" t="n"/>
      <c r="H201" s="542" t="n"/>
      <c r="I201" s="543" t="n"/>
      <c r="J201" s="192" t="n"/>
      <c r="K201" s="544">
        <f>IF(AND(ISNUMBER(F201),I201&gt;0),I201/(F201/60),"")</f>
        <v/>
      </c>
      <c r="L201" s="545" t="n">
        <v>800</v>
      </c>
      <c r="M201" s="194">
        <f>IF(OR(ISNUMBER(SEARCH("サニテーション",C201)),ISNUMBER(SEARCH("客注",C201)),ISNUMBER(SEARCH("切り替え",C201)),ISNUMBER(SEARCH("切替",C201)),NOT(ISNUMBER(H201))),"",IF(ISNUMBER(G201),G201/60*H201*④前提設定!$B$4,IF(AND(G201="",ISNUMBER(F201)),F201/60*H201*④前提設定!$B$4,"")))</f>
        <v/>
      </c>
      <c r="N201" s="546">
        <f>IF(AND(I201&gt;0,ISNUMBER(M201)),M201/I201,"")</f>
        <v/>
      </c>
      <c r="O201" s="547">
        <f>IF(AND(J201&gt;0,ISNUMBER(M201)),M201/J201,"")</f>
        <v/>
      </c>
      <c r="P201" s="199" t="n"/>
      <c r="Q201" s="200" t="n"/>
      <c r="X201" s="334">
        <f>COUNTA(R201:W201)</f>
        <v/>
      </c>
      <c r="Y201" s="334">
        <f>IF(AND($X201&gt;0,ISNUMBER($M201)),$M201/$X201,"")</f>
        <v/>
      </c>
      <c r="Z201" s="334">
        <f>IF($X201=0,"",IF(COUNTIF(⑳商品別1食労務費!$C$5:$C$124,$R201)+COUNTIF(⑳商品別1食労務費!$C$5:$C$124,$S201)+COUNTIF(⑳商品別1食労務費!$C$5:$C$124,$T201)+COUNTIF(⑳商品別1食労務費!$C$5:$C$124,$U201)+COUNTIF(⑳商品別1食労務費!$C$5:$C$124,$V201)+COUNTIF(⑳商品別1食労務費!$C$5:$C$124,$W201)=$X201,"OK","⑳に無い商品名"))</f>
        <v/>
      </c>
      <c r="AA201" s="334">
        <f>SUMIF(⑳商品別1食労務費!$C$5:$C$124,$R201,⑳商品別1食労務費!$F$5:$F$124)+SUMIF(⑳商品別1食労務費!$C$5:$C$124,$S201,⑳商品別1食労務費!$F$5:$F$124)+SUMIF(⑳商品別1食労務費!$C$5:$C$124,$T201,⑳商品別1食労務費!$F$5:$F$124)+SUMIF(⑳商品別1食労務費!$C$5:$C$124,$U201,⑳商品別1食労務費!$F$5:$F$124)+SUMIF(⑳商品別1食労務費!$C$5:$C$124,$V201,⑳商品別1食労務費!$F$5:$F$124)+SUMIF(⑳商品別1食労務費!$C$5:$C$124,$W201,⑳商品別1食労務費!$F$5:$F$124)</f>
        <v/>
      </c>
      <c r="AB201" s="334">
        <f>IF(ISNUMBER($M201),$M201,0)</f>
        <v/>
      </c>
      <c r="AC201" s="334">
        <f>IF(AND($X201&gt;0,ISNUMBER($J201)),$J201/$X201,"")</f>
        <v/>
      </c>
      <c r="AD201" s="413">
        <f>IF($R201="",0,IF($AA201&gt;0,$AB201*SUMIF(⑳商品別1食労務費!$C$5:$C$124,$R201,⑳商品別1食労務費!$F$5:$F$124)/$AA201,$AB201/$X201))</f>
        <v/>
      </c>
      <c r="AE201" s="413">
        <f>IF($S201="",0,IF($AA201&gt;0,$AB201*SUMIF(⑳商品別1食労務費!$C$5:$C$124,$S201,⑳商品別1食労務費!$F$5:$F$124)/$AA201,$AB201/$X201))</f>
        <v/>
      </c>
      <c r="AF201" s="413">
        <f>IF($T201="",0,IF($AA201&gt;0,$AB201*SUMIF(⑳商品別1食労務費!$C$5:$C$124,$T201,⑳商品別1食労務費!$F$5:$F$124)/$AA201,$AB201/$X201))</f>
        <v/>
      </c>
      <c r="AG201" s="413">
        <f>IF($U201="",0,IF($AA201&gt;0,$AB201*SUMIF(⑳商品別1食労務費!$C$5:$C$124,$U201,⑳商品別1食労務費!$F$5:$F$124)/$AA201,$AB201/$X201))</f>
        <v/>
      </c>
      <c r="AH201" s="413">
        <f>IF($V201="",0,IF($AA201&gt;0,$AB201*SUMIF(⑳商品別1食労務費!$C$5:$C$124,$V201,⑳商品別1食労務費!$F$5:$F$124)/$AA201,$AB201/$X201))</f>
        <v/>
      </c>
      <c r="AI201" s="413">
        <f>IF($W201="",0,IF($AA201&gt;0,$AB201*SUMIF(⑳商品別1食労務費!$C$5:$C$124,$W201,⑳商品別1食労務費!$F$5:$F$124)/$AA201,$AB201/$X201))</f>
        <v/>
      </c>
    </row>
    <row r="202" hidden="1" s="438">
      <c r="A202" s="188" t="n">
        <v>198</v>
      </c>
      <c r="B202" s="189" t="inlineStr">
        <is>
          <t>盛り込み⑤</t>
        </is>
      </c>
      <c r="C202" s="229" t="n"/>
      <c r="D202" s="190" t="n"/>
      <c r="E202" s="190" t="n"/>
      <c r="F202" s="541">
        <f>IF(OR(D202="",E202=""),"",(E202-D202)*1440)</f>
        <v/>
      </c>
      <c r="G202" s="542" t="n"/>
      <c r="H202" s="542" t="n"/>
      <c r="I202" s="543" t="n"/>
      <c r="J202" s="192" t="n"/>
      <c r="K202" s="544">
        <f>IF(AND(ISNUMBER(F202),I202&gt;0),I202/(F202/60),"")</f>
        <v/>
      </c>
      <c r="L202" s="545" t="n">
        <v>700</v>
      </c>
      <c r="M202" s="194">
        <f>IF(OR(ISNUMBER(SEARCH("サニテーション",C202)),ISNUMBER(SEARCH("客注",C202)),ISNUMBER(SEARCH("切り替え",C202)),ISNUMBER(SEARCH("切替",C202)),NOT(ISNUMBER(H202))),"",IF(ISNUMBER(G202),G202/60*H202*④前提設定!$B$4,IF(AND(G202="",ISNUMBER(F202)),F202/60*H202*④前提設定!$B$4,"")))</f>
        <v/>
      </c>
      <c r="N202" s="546">
        <f>IF(AND(I202&gt;0,ISNUMBER(M202)),M202/I202,"")</f>
        <v/>
      </c>
      <c r="O202" s="547">
        <f>IF(AND(J202&gt;0,ISNUMBER(M202)),M202/J202,"")</f>
        <v/>
      </c>
      <c r="P202" s="195" t="n"/>
      <c r="Q202" s="196" t="n"/>
      <c r="X202" s="334">
        <f>COUNTA(R202:W202)</f>
        <v/>
      </c>
      <c r="Y202" s="334">
        <f>IF(AND($X202&gt;0,ISNUMBER($M202)),$M202/$X202,"")</f>
        <v/>
      </c>
      <c r="Z202" s="334">
        <f>IF($X202=0,"",IF(COUNTIF(⑳商品別1食労務費!$C$5:$C$124,$R202)+COUNTIF(⑳商品別1食労務費!$C$5:$C$124,$S202)+COUNTIF(⑳商品別1食労務費!$C$5:$C$124,$T202)+COUNTIF(⑳商品別1食労務費!$C$5:$C$124,$U202)+COUNTIF(⑳商品別1食労務費!$C$5:$C$124,$V202)+COUNTIF(⑳商品別1食労務費!$C$5:$C$124,$W202)=$X202,"OK","⑳に無い商品名"))</f>
        <v/>
      </c>
      <c r="AA202" s="334">
        <f>SUMIF(⑳商品別1食労務費!$C$5:$C$124,$R202,⑳商品別1食労務費!$F$5:$F$124)+SUMIF(⑳商品別1食労務費!$C$5:$C$124,$S202,⑳商品別1食労務費!$F$5:$F$124)+SUMIF(⑳商品別1食労務費!$C$5:$C$124,$T202,⑳商品別1食労務費!$F$5:$F$124)+SUMIF(⑳商品別1食労務費!$C$5:$C$124,$U202,⑳商品別1食労務費!$F$5:$F$124)+SUMIF(⑳商品別1食労務費!$C$5:$C$124,$V202,⑳商品別1食労務費!$F$5:$F$124)+SUMIF(⑳商品別1食労務費!$C$5:$C$124,$W202,⑳商品別1食労務費!$F$5:$F$124)</f>
        <v/>
      </c>
      <c r="AB202" s="334">
        <f>IF(ISNUMBER($M202),$M202,0)</f>
        <v/>
      </c>
      <c r="AC202" s="334">
        <f>IF(AND($X202&gt;0,ISNUMBER($J202)),$J202/$X202,"")</f>
        <v/>
      </c>
      <c r="AD202" s="413">
        <f>IF($R202="",0,IF($AA202&gt;0,$AB202*SUMIF(⑳商品別1食労務費!$C$5:$C$124,$R202,⑳商品別1食労務費!$F$5:$F$124)/$AA202,$AB202/$X202))</f>
        <v/>
      </c>
      <c r="AE202" s="413">
        <f>IF($S202="",0,IF($AA202&gt;0,$AB202*SUMIF(⑳商品別1食労務費!$C$5:$C$124,$S202,⑳商品別1食労務費!$F$5:$F$124)/$AA202,$AB202/$X202))</f>
        <v/>
      </c>
      <c r="AF202" s="413">
        <f>IF($T202="",0,IF($AA202&gt;0,$AB202*SUMIF(⑳商品別1食労務費!$C$5:$C$124,$T202,⑳商品別1食労務費!$F$5:$F$124)/$AA202,$AB202/$X202))</f>
        <v/>
      </c>
      <c r="AG202" s="413">
        <f>IF($U202="",0,IF($AA202&gt;0,$AB202*SUMIF(⑳商品別1食労務費!$C$5:$C$124,$U202,⑳商品別1食労務費!$F$5:$F$124)/$AA202,$AB202/$X202))</f>
        <v/>
      </c>
      <c r="AH202" s="413">
        <f>IF($V202="",0,IF($AA202&gt;0,$AB202*SUMIF(⑳商品別1食労務費!$C$5:$C$124,$V202,⑳商品別1食労務費!$F$5:$F$124)/$AA202,$AB202/$X202))</f>
        <v/>
      </c>
      <c r="AI202" s="413">
        <f>IF($W202="",0,IF($AA202&gt;0,$AB202*SUMIF(⑳商品別1食労務費!$C$5:$C$124,$W202,⑳商品別1食労務費!$F$5:$F$124)/$AA202,$AB202/$X202))</f>
        <v/>
      </c>
    </row>
    <row r="203" hidden="1" s="438">
      <c r="A203" s="197" t="n">
        <v>199</v>
      </c>
      <c r="B203" s="198" t="inlineStr">
        <is>
          <t>盛り込み⑤</t>
        </is>
      </c>
      <c r="C203" s="229" t="n"/>
      <c r="D203" s="190" t="n"/>
      <c r="E203" s="190" t="n"/>
      <c r="F203" s="541">
        <f>IF(OR(D203="",E203=""),"",(E203-D203)*1440)</f>
        <v/>
      </c>
      <c r="G203" s="542" t="n"/>
      <c r="H203" s="542" t="n"/>
      <c r="I203" s="543" t="n"/>
      <c r="J203" s="192" t="n"/>
      <c r="K203" s="544">
        <f>IF(AND(ISNUMBER(F203),I203&gt;0),I203/(F203/60),"")</f>
        <v/>
      </c>
      <c r="L203" s="545" t="n">
        <v>700</v>
      </c>
      <c r="M203" s="194">
        <f>IF(OR(ISNUMBER(SEARCH("サニテーション",C203)),ISNUMBER(SEARCH("客注",C203)),ISNUMBER(SEARCH("切り替え",C203)),ISNUMBER(SEARCH("切替",C203)),NOT(ISNUMBER(H203))),"",IF(ISNUMBER(G203),G203/60*H203*④前提設定!$B$4,IF(AND(G203="",ISNUMBER(F203)),F203/60*H203*④前提設定!$B$4,"")))</f>
        <v/>
      </c>
      <c r="N203" s="546">
        <f>IF(AND(I203&gt;0,ISNUMBER(M203)),M203/I203,"")</f>
        <v/>
      </c>
      <c r="O203" s="547">
        <f>IF(AND(J203&gt;0,ISNUMBER(M203)),M203/J203,"")</f>
        <v/>
      </c>
      <c r="P203" s="199" t="n"/>
      <c r="Q203" s="200" t="n"/>
      <c r="X203" s="334">
        <f>COUNTA(R203:W203)</f>
        <v/>
      </c>
      <c r="Y203" s="334">
        <f>IF(AND($X203&gt;0,ISNUMBER($M203)),$M203/$X203,"")</f>
        <v/>
      </c>
      <c r="Z203" s="334">
        <f>IF($X203=0,"",IF(COUNTIF(⑳商品別1食労務費!$C$5:$C$124,$R203)+COUNTIF(⑳商品別1食労務費!$C$5:$C$124,$S203)+COUNTIF(⑳商品別1食労務費!$C$5:$C$124,$T203)+COUNTIF(⑳商品別1食労務費!$C$5:$C$124,$U203)+COUNTIF(⑳商品別1食労務費!$C$5:$C$124,$V203)+COUNTIF(⑳商品別1食労務費!$C$5:$C$124,$W203)=$X203,"OK","⑳に無い商品名"))</f>
        <v/>
      </c>
      <c r="AA203" s="334">
        <f>SUMIF(⑳商品別1食労務費!$C$5:$C$124,$R203,⑳商品別1食労務費!$F$5:$F$124)+SUMIF(⑳商品別1食労務費!$C$5:$C$124,$S203,⑳商品別1食労務費!$F$5:$F$124)+SUMIF(⑳商品別1食労務費!$C$5:$C$124,$T203,⑳商品別1食労務費!$F$5:$F$124)+SUMIF(⑳商品別1食労務費!$C$5:$C$124,$U203,⑳商品別1食労務費!$F$5:$F$124)+SUMIF(⑳商品別1食労務費!$C$5:$C$124,$V203,⑳商品別1食労務費!$F$5:$F$124)+SUMIF(⑳商品別1食労務費!$C$5:$C$124,$W203,⑳商品別1食労務費!$F$5:$F$124)</f>
        <v/>
      </c>
      <c r="AB203" s="334">
        <f>IF(ISNUMBER($M203),$M203,0)</f>
        <v/>
      </c>
      <c r="AC203" s="334">
        <f>IF(AND($X203&gt;0,ISNUMBER($J203)),$J203/$X203,"")</f>
        <v/>
      </c>
      <c r="AD203" s="413">
        <f>IF($R203="",0,IF($AA203&gt;0,$AB203*SUMIF(⑳商品別1食労務費!$C$5:$C$124,$R203,⑳商品別1食労務費!$F$5:$F$124)/$AA203,$AB203/$X203))</f>
        <v/>
      </c>
      <c r="AE203" s="413">
        <f>IF($S203="",0,IF($AA203&gt;0,$AB203*SUMIF(⑳商品別1食労務費!$C$5:$C$124,$S203,⑳商品別1食労務費!$F$5:$F$124)/$AA203,$AB203/$X203))</f>
        <v/>
      </c>
      <c r="AF203" s="413">
        <f>IF($T203="",0,IF($AA203&gt;0,$AB203*SUMIF(⑳商品別1食労務費!$C$5:$C$124,$T203,⑳商品別1食労務費!$F$5:$F$124)/$AA203,$AB203/$X203))</f>
        <v/>
      </c>
      <c r="AG203" s="413">
        <f>IF($U203="",0,IF($AA203&gt;0,$AB203*SUMIF(⑳商品別1食労務費!$C$5:$C$124,$U203,⑳商品別1食労務費!$F$5:$F$124)/$AA203,$AB203/$X203))</f>
        <v/>
      </c>
      <c r="AH203" s="413">
        <f>IF($V203="",0,IF($AA203&gt;0,$AB203*SUMIF(⑳商品別1食労務費!$C$5:$C$124,$V203,⑳商品別1食労務費!$F$5:$F$124)/$AA203,$AB203/$X203))</f>
        <v/>
      </c>
      <c r="AI203" s="413">
        <f>IF($W203="",0,IF($AA203&gt;0,$AB203*SUMIF(⑳商品別1食労務費!$C$5:$C$124,$W203,⑳商品別1食労務費!$F$5:$F$124)/$AA203,$AB203/$X203))</f>
        <v/>
      </c>
    </row>
    <row r="204" hidden="1" s="438">
      <c r="A204" s="188" t="n">
        <v>200</v>
      </c>
      <c r="B204" s="189" t="inlineStr">
        <is>
          <t>盛り込み⑤</t>
        </is>
      </c>
      <c r="C204" s="229" t="n"/>
      <c r="D204" s="190" t="n"/>
      <c r="E204" s="190" t="n"/>
      <c r="F204" s="541">
        <f>IF(OR(D204="",E204=""),"",(E204-D204)*1440)</f>
        <v/>
      </c>
      <c r="G204" s="542" t="n"/>
      <c r="H204" s="542" t="n"/>
      <c r="I204" s="543" t="n"/>
      <c r="J204" s="192" t="n"/>
      <c r="K204" s="544">
        <f>IF(AND(ISNUMBER(F204),I204&gt;0),I204/(F204/60),"")</f>
        <v/>
      </c>
      <c r="L204" s="545" t="n">
        <v>250</v>
      </c>
      <c r="M204" s="194">
        <f>IF(OR(ISNUMBER(SEARCH("サニテーション",C204)),ISNUMBER(SEARCH("客注",C204)),ISNUMBER(SEARCH("切り替え",C204)),ISNUMBER(SEARCH("切替",C204)),NOT(ISNUMBER(H204))),"",IF(ISNUMBER(G204),G204/60*H204*④前提設定!$B$4,IF(AND(G204="",ISNUMBER(F204)),F204/60*H204*④前提設定!$B$4,"")))</f>
        <v/>
      </c>
      <c r="N204" s="546">
        <f>IF(AND(I204&gt;0,ISNUMBER(M204)),M204/I204,"")</f>
        <v/>
      </c>
      <c r="O204" s="547">
        <f>IF(AND(J204&gt;0,ISNUMBER(M204)),M204/J204,"")</f>
        <v/>
      </c>
      <c r="P204" s="195" t="n"/>
      <c r="Q204" s="196" t="n"/>
      <c r="X204" s="334">
        <f>COUNTA(R204:W204)</f>
        <v/>
      </c>
      <c r="Y204" s="334">
        <f>IF(AND($X204&gt;0,ISNUMBER($M204)),$M204/$X204,"")</f>
        <v/>
      </c>
      <c r="Z204" s="334">
        <f>IF($X204=0,"",IF(COUNTIF(⑳商品別1食労務費!$C$5:$C$124,$R204)+COUNTIF(⑳商品別1食労務費!$C$5:$C$124,$S204)+COUNTIF(⑳商品別1食労務費!$C$5:$C$124,$T204)+COUNTIF(⑳商品別1食労務費!$C$5:$C$124,$U204)+COUNTIF(⑳商品別1食労務費!$C$5:$C$124,$V204)+COUNTIF(⑳商品別1食労務費!$C$5:$C$124,$W204)=$X204,"OK","⑳に無い商品名"))</f>
        <v/>
      </c>
      <c r="AA204" s="334">
        <f>SUMIF(⑳商品別1食労務費!$C$5:$C$124,$R204,⑳商品別1食労務費!$F$5:$F$124)+SUMIF(⑳商品別1食労務費!$C$5:$C$124,$S204,⑳商品別1食労務費!$F$5:$F$124)+SUMIF(⑳商品別1食労務費!$C$5:$C$124,$T204,⑳商品別1食労務費!$F$5:$F$124)+SUMIF(⑳商品別1食労務費!$C$5:$C$124,$U204,⑳商品別1食労務費!$F$5:$F$124)+SUMIF(⑳商品別1食労務費!$C$5:$C$124,$V204,⑳商品別1食労務費!$F$5:$F$124)+SUMIF(⑳商品別1食労務費!$C$5:$C$124,$W204,⑳商品別1食労務費!$F$5:$F$124)</f>
        <v/>
      </c>
      <c r="AB204" s="334">
        <f>IF(ISNUMBER($M204),$M204,0)</f>
        <v/>
      </c>
      <c r="AC204" s="334">
        <f>IF(AND($X204&gt;0,ISNUMBER($J204)),$J204/$X204,"")</f>
        <v/>
      </c>
      <c r="AD204" s="413">
        <f>IF($R204="",0,IF($AA204&gt;0,$AB204*SUMIF(⑳商品別1食労務費!$C$5:$C$124,$R204,⑳商品別1食労務費!$F$5:$F$124)/$AA204,$AB204/$X204))</f>
        <v/>
      </c>
      <c r="AE204" s="413">
        <f>IF($S204="",0,IF($AA204&gt;0,$AB204*SUMIF(⑳商品別1食労務費!$C$5:$C$124,$S204,⑳商品別1食労務費!$F$5:$F$124)/$AA204,$AB204/$X204))</f>
        <v/>
      </c>
      <c r="AF204" s="413">
        <f>IF($T204="",0,IF($AA204&gt;0,$AB204*SUMIF(⑳商品別1食労務費!$C$5:$C$124,$T204,⑳商品別1食労務費!$F$5:$F$124)/$AA204,$AB204/$X204))</f>
        <v/>
      </c>
      <c r="AG204" s="413">
        <f>IF($U204="",0,IF($AA204&gt;0,$AB204*SUMIF(⑳商品別1食労務費!$C$5:$C$124,$U204,⑳商品別1食労務費!$F$5:$F$124)/$AA204,$AB204/$X204))</f>
        <v/>
      </c>
      <c r="AH204" s="413">
        <f>IF($V204="",0,IF($AA204&gt;0,$AB204*SUMIF(⑳商品別1食労務費!$C$5:$C$124,$V204,⑳商品別1食労務費!$F$5:$F$124)/$AA204,$AB204/$X204))</f>
        <v/>
      </c>
      <c r="AI204" s="413">
        <f>IF($W204="",0,IF($AA204&gt;0,$AB204*SUMIF(⑳商品別1食労務費!$C$5:$C$124,$W204,⑳商品別1食労務費!$F$5:$F$124)/$AA204,$AB204/$X204))</f>
        <v/>
      </c>
    </row>
    <row r="205">
      <c r="A205" s="197" t="n">
        <v>201</v>
      </c>
      <c r="B205" s="198" t="n"/>
      <c r="C205" s="229" t="n"/>
      <c r="D205" s="190" t="n"/>
      <c r="E205" s="190" t="n"/>
      <c r="F205" s="541">
        <f>IF(OR(D205="",E205=""),"",(E205-D205)*1440)</f>
        <v/>
      </c>
      <c r="G205" s="542" t="n"/>
      <c r="H205" s="542" t="n"/>
      <c r="I205" s="543" t="n"/>
      <c r="J205" s="192" t="n"/>
      <c r="K205" s="544">
        <f>IF(AND(ISNUMBER(F205),I205&gt;0),I205/(F205/60),"")</f>
        <v/>
      </c>
      <c r="L205" s="545" t="n"/>
      <c r="M205" s="194">
        <f>IF(OR(ISNUMBER(SEARCH("サニテーション",C205)),ISNUMBER(SEARCH("客注",C205)),ISNUMBER(SEARCH("切り替え",C205)),ISNUMBER(SEARCH("切替",C205)),NOT(ISNUMBER(H205))),"",IF(ISNUMBER(G205),G205/60*H205*④前提設定!$B$4,IF(AND(G205="",ISNUMBER(F205)),F205/60*H205*④前提設定!$B$4,"")))</f>
        <v/>
      </c>
      <c r="N205" s="546">
        <f>IF(AND(I205&gt;0,ISNUMBER(M205)),M205/I205,"")</f>
        <v/>
      </c>
      <c r="O205" s="547">
        <f>IF(AND(J205&gt;0,ISNUMBER(M205)),M205/J205,"")</f>
        <v/>
      </c>
      <c r="P205" s="199" t="n"/>
      <c r="Q205" s="200" t="n"/>
      <c r="X205" s="334">
        <f>COUNTA(R205:W205)</f>
        <v/>
      </c>
      <c r="Y205" s="334">
        <f>IF(AND($X205&gt;0,ISNUMBER($M205)),$M205/$X205,"")</f>
        <v/>
      </c>
      <c r="Z205" s="334">
        <f>IF($X205=0,"",IF(COUNTIF(⑳商品別1食労務費!$C$5:$C$124,$R205)+COUNTIF(⑳商品別1食労務費!$C$5:$C$124,$S205)+COUNTIF(⑳商品別1食労務費!$C$5:$C$124,$T205)+COUNTIF(⑳商品別1食労務費!$C$5:$C$124,$U205)+COUNTIF(⑳商品別1食労務費!$C$5:$C$124,$V205)+COUNTIF(⑳商品別1食労務費!$C$5:$C$124,$W205)=$X205,"OK","⑳に無い商品名"))</f>
        <v/>
      </c>
      <c r="AA205" s="334">
        <f>SUMIF(⑳商品別1食労務費!$C$5:$C$124,$R205,⑳商品別1食労務費!$F$5:$F$124)+SUMIF(⑳商品別1食労務費!$C$5:$C$124,$S205,⑳商品別1食労務費!$F$5:$F$124)+SUMIF(⑳商品別1食労務費!$C$5:$C$124,$T205,⑳商品別1食労務費!$F$5:$F$124)+SUMIF(⑳商品別1食労務費!$C$5:$C$124,$U205,⑳商品別1食労務費!$F$5:$F$124)+SUMIF(⑳商品別1食労務費!$C$5:$C$124,$V205,⑳商品別1食労務費!$F$5:$F$124)+SUMIF(⑳商品別1食労務費!$C$5:$C$124,$W205,⑳商品別1食労務費!$F$5:$F$124)</f>
        <v/>
      </c>
      <c r="AB205" s="334">
        <f>IF(ISNUMBER($M205),$M205,0)</f>
        <v/>
      </c>
      <c r="AC205" s="334">
        <f>IF(AND($X205&gt;0,ISNUMBER($J205)),$J205/$X205,"")</f>
        <v/>
      </c>
      <c r="AD205" s="413">
        <f>IF($R205="",0,IF($AA205&gt;0,$AB205*SUMIF(⑳商品別1食労務費!$C$5:$C$124,$R205,⑳商品別1食労務費!$F$5:$F$124)/$AA205,$AB205/$X205))</f>
        <v/>
      </c>
      <c r="AE205" s="413">
        <f>IF($S205="",0,IF($AA205&gt;0,$AB205*SUMIF(⑳商品別1食労務費!$C$5:$C$124,$S205,⑳商品別1食労務費!$F$5:$F$124)/$AA205,$AB205/$X205))</f>
        <v/>
      </c>
      <c r="AF205" s="413">
        <f>IF($T205="",0,IF($AA205&gt;0,$AB205*SUMIF(⑳商品別1食労務費!$C$5:$C$124,$T205,⑳商品別1食労務費!$F$5:$F$124)/$AA205,$AB205/$X205))</f>
        <v/>
      </c>
      <c r="AG205" s="413">
        <f>IF($U205="",0,IF($AA205&gt;0,$AB205*SUMIF(⑳商品別1食労務費!$C$5:$C$124,$U205,⑳商品別1食労務費!$F$5:$F$124)/$AA205,$AB205/$X205))</f>
        <v/>
      </c>
      <c r="AH205" s="413">
        <f>IF($V205="",0,IF($AA205&gt;0,$AB205*SUMIF(⑳商品別1食労務費!$C$5:$C$124,$V205,⑳商品別1食労務費!$F$5:$F$124)/$AA205,$AB205/$X205))</f>
        <v/>
      </c>
      <c r="AI205" s="413">
        <f>IF($W205="",0,IF($AA205&gt;0,$AB205*SUMIF(⑳商品別1食労務費!$C$5:$C$124,$W205,⑳商品別1食労務費!$F$5:$F$124)/$AA205,$AB205/$X205))</f>
        <v/>
      </c>
    </row>
    <row r="206">
      <c r="A206" s="188" t="n">
        <v>202</v>
      </c>
      <c r="B206" s="189" t="n"/>
      <c r="C206" s="229" t="n"/>
      <c r="D206" s="190" t="n"/>
      <c r="E206" s="190" t="n"/>
      <c r="F206" s="541">
        <f>IF(OR(D206="",E206=""),"",(E206-D206)*1440)</f>
        <v/>
      </c>
      <c r="G206" s="542" t="n"/>
      <c r="H206" s="542" t="n"/>
      <c r="I206" s="543" t="n"/>
      <c r="J206" s="192" t="n"/>
      <c r="K206" s="544">
        <f>IF(AND(ISNUMBER(F206),I206&gt;0),I206/(F206/60),"")</f>
        <v/>
      </c>
      <c r="L206" s="545" t="n"/>
      <c r="M206" s="194">
        <f>IF(OR(ISNUMBER(SEARCH("サニテーション",C206)),ISNUMBER(SEARCH("客注",C206)),ISNUMBER(SEARCH("切り替え",C206)),ISNUMBER(SEARCH("切替",C206)),NOT(ISNUMBER(H206))),"",IF(ISNUMBER(G206),G206/60*H206*④前提設定!$B$4,IF(AND(G206="",ISNUMBER(F206)),F206/60*H206*④前提設定!$B$4,"")))</f>
        <v/>
      </c>
      <c r="N206" s="546">
        <f>IF(AND(I206&gt;0,ISNUMBER(M206)),M206/I206,"")</f>
        <v/>
      </c>
      <c r="O206" s="547">
        <f>IF(AND(J206&gt;0,ISNUMBER(M206)),M206/J206,"")</f>
        <v/>
      </c>
      <c r="P206" s="195" t="n"/>
      <c r="Q206" s="196" t="n"/>
      <c r="X206" s="334">
        <f>COUNTA(R206:W206)</f>
        <v/>
      </c>
      <c r="Y206" s="334">
        <f>IF(AND($X206&gt;0,ISNUMBER($M206)),$M206/$X206,"")</f>
        <v/>
      </c>
      <c r="Z206" s="334">
        <f>IF($X206=0,"",IF(COUNTIF(⑳商品別1食労務費!$C$5:$C$124,$R206)+COUNTIF(⑳商品別1食労務費!$C$5:$C$124,$S206)+COUNTIF(⑳商品別1食労務費!$C$5:$C$124,$T206)+COUNTIF(⑳商品別1食労務費!$C$5:$C$124,$U206)+COUNTIF(⑳商品別1食労務費!$C$5:$C$124,$V206)+COUNTIF(⑳商品別1食労務費!$C$5:$C$124,$W206)=$X206,"OK","⑳に無い商品名"))</f>
        <v/>
      </c>
      <c r="AA206" s="334">
        <f>SUMIF(⑳商品別1食労務費!$C$5:$C$124,$R206,⑳商品別1食労務費!$F$5:$F$124)+SUMIF(⑳商品別1食労務費!$C$5:$C$124,$S206,⑳商品別1食労務費!$F$5:$F$124)+SUMIF(⑳商品別1食労務費!$C$5:$C$124,$T206,⑳商品別1食労務費!$F$5:$F$124)+SUMIF(⑳商品別1食労務費!$C$5:$C$124,$U206,⑳商品別1食労務費!$F$5:$F$124)+SUMIF(⑳商品別1食労務費!$C$5:$C$124,$V206,⑳商品別1食労務費!$F$5:$F$124)+SUMIF(⑳商品別1食労務費!$C$5:$C$124,$W206,⑳商品別1食労務費!$F$5:$F$124)</f>
        <v/>
      </c>
      <c r="AB206" s="334">
        <f>IF(ISNUMBER($M206),$M206,0)</f>
        <v/>
      </c>
      <c r="AC206" s="334">
        <f>IF(AND($X206&gt;0,ISNUMBER($J206)),$J206/$X206,"")</f>
        <v/>
      </c>
      <c r="AD206" s="413">
        <f>IF($R206="",0,IF($AA206&gt;0,$AB206*SUMIF(⑳商品別1食労務費!$C$5:$C$124,$R206,⑳商品別1食労務費!$F$5:$F$124)/$AA206,$AB206/$X206))</f>
        <v/>
      </c>
      <c r="AE206" s="413">
        <f>IF($S206="",0,IF($AA206&gt;0,$AB206*SUMIF(⑳商品別1食労務費!$C$5:$C$124,$S206,⑳商品別1食労務費!$F$5:$F$124)/$AA206,$AB206/$X206))</f>
        <v/>
      </c>
      <c r="AF206" s="413">
        <f>IF($T206="",0,IF($AA206&gt;0,$AB206*SUMIF(⑳商品別1食労務費!$C$5:$C$124,$T206,⑳商品別1食労務費!$F$5:$F$124)/$AA206,$AB206/$X206))</f>
        <v/>
      </c>
      <c r="AG206" s="413">
        <f>IF($U206="",0,IF($AA206&gt;0,$AB206*SUMIF(⑳商品別1食労務費!$C$5:$C$124,$U206,⑳商品別1食労務費!$F$5:$F$124)/$AA206,$AB206/$X206))</f>
        <v/>
      </c>
      <c r="AH206" s="413">
        <f>IF($V206="",0,IF($AA206&gt;0,$AB206*SUMIF(⑳商品別1食労務費!$C$5:$C$124,$V206,⑳商品別1食労務費!$F$5:$F$124)/$AA206,$AB206/$X206))</f>
        <v/>
      </c>
      <c r="AI206" s="413">
        <f>IF($W206="",0,IF($AA206&gt;0,$AB206*SUMIF(⑳商品別1食労務費!$C$5:$C$124,$W206,⑳商品別1食労務費!$F$5:$F$124)/$AA206,$AB206/$X206))</f>
        <v/>
      </c>
    </row>
    <row r="207">
      <c r="A207" s="197" t="n">
        <v>203</v>
      </c>
      <c r="B207" s="198" t="n"/>
      <c r="C207" s="229" t="n"/>
      <c r="D207" s="190" t="n"/>
      <c r="E207" s="190" t="n"/>
      <c r="F207" s="541">
        <f>IF(OR(D207="",E207=""),"",(E207-D207)*1440)</f>
        <v/>
      </c>
      <c r="G207" s="542" t="n"/>
      <c r="H207" s="542" t="n"/>
      <c r="I207" s="543" t="n"/>
      <c r="J207" s="192" t="n"/>
      <c r="K207" s="544">
        <f>IF(AND(ISNUMBER(F207),I207&gt;0),I207/(F207/60),"")</f>
        <v/>
      </c>
      <c r="L207" s="545" t="n"/>
      <c r="M207" s="194">
        <f>IF(OR(ISNUMBER(SEARCH("サニテーション",C207)),ISNUMBER(SEARCH("客注",C207)),ISNUMBER(SEARCH("切り替え",C207)),ISNUMBER(SEARCH("切替",C207)),NOT(ISNUMBER(H207))),"",IF(ISNUMBER(G207),G207/60*H207*④前提設定!$B$4,IF(AND(G207="",ISNUMBER(F207)),F207/60*H207*④前提設定!$B$4,"")))</f>
        <v/>
      </c>
      <c r="N207" s="546">
        <f>IF(AND(I207&gt;0,ISNUMBER(M207)),M207/I207,"")</f>
        <v/>
      </c>
      <c r="O207" s="547">
        <f>IF(AND(J207&gt;0,ISNUMBER(M207)),M207/J207,"")</f>
        <v/>
      </c>
      <c r="P207" s="199" t="n"/>
      <c r="Q207" s="200" t="n"/>
      <c r="X207" s="334">
        <f>COUNTA(R207:W207)</f>
        <v/>
      </c>
      <c r="Y207" s="334">
        <f>IF(AND($X207&gt;0,ISNUMBER($M207)),$M207/$X207,"")</f>
        <v/>
      </c>
      <c r="Z207" s="334">
        <f>IF($X207=0,"",IF(COUNTIF(⑳商品別1食労務費!$C$5:$C$124,$R207)+COUNTIF(⑳商品別1食労務費!$C$5:$C$124,$S207)+COUNTIF(⑳商品別1食労務費!$C$5:$C$124,$T207)+COUNTIF(⑳商品別1食労務費!$C$5:$C$124,$U207)+COUNTIF(⑳商品別1食労務費!$C$5:$C$124,$V207)+COUNTIF(⑳商品別1食労務費!$C$5:$C$124,$W207)=$X207,"OK","⑳に無い商品名"))</f>
        <v/>
      </c>
      <c r="AA207" s="334">
        <f>SUMIF(⑳商品別1食労務費!$C$5:$C$124,$R207,⑳商品別1食労務費!$F$5:$F$124)+SUMIF(⑳商品別1食労務費!$C$5:$C$124,$S207,⑳商品別1食労務費!$F$5:$F$124)+SUMIF(⑳商品別1食労務費!$C$5:$C$124,$T207,⑳商品別1食労務費!$F$5:$F$124)+SUMIF(⑳商品別1食労務費!$C$5:$C$124,$U207,⑳商品別1食労務費!$F$5:$F$124)+SUMIF(⑳商品別1食労務費!$C$5:$C$124,$V207,⑳商品別1食労務費!$F$5:$F$124)+SUMIF(⑳商品別1食労務費!$C$5:$C$124,$W207,⑳商品別1食労務費!$F$5:$F$124)</f>
        <v/>
      </c>
      <c r="AB207" s="334">
        <f>IF(ISNUMBER($M207),$M207,0)</f>
        <v/>
      </c>
      <c r="AC207" s="334">
        <f>IF(AND($X207&gt;0,ISNUMBER($J207)),$J207/$X207,"")</f>
        <v/>
      </c>
      <c r="AD207" s="413">
        <f>IF($R207="",0,IF($AA207&gt;0,$AB207*SUMIF(⑳商品別1食労務費!$C$5:$C$124,$R207,⑳商品別1食労務費!$F$5:$F$124)/$AA207,$AB207/$X207))</f>
        <v/>
      </c>
      <c r="AE207" s="413">
        <f>IF($S207="",0,IF($AA207&gt;0,$AB207*SUMIF(⑳商品別1食労務費!$C$5:$C$124,$S207,⑳商品別1食労務費!$F$5:$F$124)/$AA207,$AB207/$X207))</f>
        <v/>
      </c>
      <c r="AF207" s="413">
        <f>IF($T207="",0,IF($AA207&gt;0,$AB207*SUMIF(⑳商品別1食労務費!$C$5:$C$124,$T207,⑳商品別1食労務費!$F$5:$F$124)/$AA207,$AB207/$X207))</f>
        <v/>
      </c>
      <c r="AG207" s="413">
        <f>IF($U207="",0,IF($AA207&gt;0,$AB207*SUMIF(⑳商品別1食労務費!$C$5:$C$124,$U207,⑳商品別1食労務費!$F$5:$F$124)/$AA207,$AB207/$X207))</f>
        <v/>
      </c>
      <c r="AH207" s="413">
        <f>IF($V207="",0,IF($AA207&gt;0,$AB207*SUMIF(⑳商品別1食労務費!$C$5:$C$124,$V207,⑳商品別1食労務費!$F$5:$F$124)/$AA207,$AB207/$X207))</f>
        <v/>
      </c>
      <c r="AI207" s="413">
        <f>IF($W207="",0,IF($AA207&gt;0,$AB207*SUMIF(⑳商品別1食労務費!$C$5:$C$124,$W207,⑳商品別1食労務費!$F$5:$F$124)/$AA207,$AB207/$X207))</f>
        <v/>
      </c>
    </row>
    <row r="208">
      <c r="A208" s="188" t="n">
        <v>204</v>
      </c>
      <c r="B208" s="189" t="n"/>
      <c r="C208" s="229" t="n"/>
      <c r="D208" s="190" t="n"/>
      <c r="E208" s="190" t="n"/>
      <c r="F208" s="541">
        <f>IF(OR(D208="",E208=""),"",(E208-D208)*1440)</f>
        <v/>
      </c>
      <c r="G208" s="542" t="n"/>
      <c r="H208" s="542" t="n"/>
      <c r="I208" s="543" t="n"/>
      <c r="J208" s="192" t="n"/>
      <c r="K208" s="544">
        <f>IF(AND(ISNUMBER(F208),I208&gt;0),I208/(F208/60),"")</f>
        <v/>
      </c>
      <c r="L208" s="545" t="n"/>
      <c r="M208" s="194">
        <f>IF(OR(ISNUMBER(SEARCH("サニテーション",C208)),ISNUMBER(SEARCH("客注",C208)),ISNUMBER(SEARCH("切り替え",C208)),ISNUMBER(SEARCH("切替",C208)),NOT(ISNUMBER(H208))),"",IF(ISNUMBER(G208),G208/60*H208*④前提設定!$B$4,IF(AND(G208="",ISNUMBER(F208)),F208/60*H208*④前提設定!$B$4,"")))</f>
        <v/>
      </c>
      <c r="N208" s="546">
        <f>IF(AND(I208&gt;0,ISNUMBER(M208)),M208/I208,"")</f>
        <v/>
      </c>
      <c r="O208" s="547">
        <f>IF(AND(J208&gt;0,ISNUMBER(M208)),M208/J208,"")</f>
        <v/>
      </c>
      <c r="P208" s="195" t="n"/>
      <c r="Q208" s="196" t="n"/>
      <c r="X208" s="334">
        <f>COUNTA(R208:W208)</f>
        <v/>
      </c>
      <c r="Y208" s="334">
        <f>IF(AND($X208&gt;0,ISNUMBER($M208)),$M208/$X208,"")</f>
        <v/>
      </c>
      <c r="Z208" s="334">
        <f>IF($X208=0,"",IF(COUNTIF(⑳商品別1食労務費!$C$5:$C$124,$R208)+COUNTIF(⑳商品別1食労務費!$C$5:$C$124,$S208)+COUNTIF(⑳商品別1食労務費!$C$5:$C$124,$T208)+COUNTIF(⑳商品別1食労務費!$C$5:$C$124,$U208)+COUNTIF(⑳商品別1食労務費!$C$5:$C$124,$V208)+COUNTIF(⑳商品別1食労務費!$C$5:$C$124,$W208)=$X208,"OK","⑳に無い商品名"))</f>
        <v/>
      </c>
      <c r="AA208" s="334">
        <f>SUMIF(⑳商品別1食労務費!$C$5:$C$124,$R208,⑳商品別1食労務費!$F$5:$F$124)+SUMIF(⑳商品別1食労務費!$C$5:$C$124,$S208,⑳商品別1食労務費!$F$5:$F$124)+SUMIF(⑳商品別1食労務費!$C$5:$C$124,$T208,⑳商品別1食労務費!$F$5:$F$124)+SUMIF(⑳商品別1食労務費!$C$5:$C$124,$U208,⑳商品別1食労務費!$F$5:$F$124)+SUMIF(⑳商品別1食労務費!$C$5:$C$124,$V208,⑳商品別1食労務費!$F$5:$F$124)+SUMIF(⑳商品別1食労務費!$C$5:$C$124,$W208,⑳商品別1食労務費!$F$5:$F$124)</f>
        <v/>
      </c>
      <c r="AB208" s="334">
        <f>IF(ISNUMBER($M208),$M208,0)</f>
        <v/>
      </c>
      <c r="AC208" s="334">
        <f>IF(AND($X208&gt;0,ISNUMBER($J208)),$J208/$X208,"")</f>
        <v/>
      </c>
      <c r="AD208" s="413">
        <f>IF($R208="",0,IF($AA208&gt;0,$AB208*SUMIF(⑳商品別1食労務費!$C$5:$C$124,$R208,⑳商品別1食労務費!$F$5:$F$124)/$AA208,$AB208/$X208))</f>
        <v/>
      </c>
      <c r="AE208" s="413">
        <f>IF($S208="",0,IF($AA208&gt;0,$AB208*SUMIF(⑳商品別1食労務費!$C$5:$C$124,$S208,⑳商品別1食労務費!$F$5:$F$124)/$AA208,$AB208/$X208))</f>
        <v/>
      </c>
      <c r="AF208" s="413">
        <f>IF($T208="",0,IF($AA208&gt;0,$AB208*SUMIF(⑳商品別1食労務費!$C$5:$C$124,$T208,⑳商品別1食労務費!$F$5:$F$124)/$AA208,$AB208/$X208))</f>
        <v/>
      </c>
      <c r="AG208" s="413">
        <f>IF($U208="",0,IF($AA208&gt;0,$AB208*SUMIF(⑳商品別1食労務費!$C$5:$C$124,$U208,⑳商品別1食労務費!$F$5:$F$124)/$AA208,$AB208/$X208))</f>
        <v/>
      </c>
      <c r="AH208" s="413">
        <f>IF($V208="",0,IF($AA208&gt;0,$AB208*SUMIF(⑳商品別1食労務費!$C$5:$C$124,$V208,⑳商品別1食労務費!$F$5:$F$124)/$AA208,$AB208/$X208))</f>
        <v/>
      </c>
      <c r="AI208" s="413">
        <f>IF($W208="",0,IF($AA208&gt;0,$AB208*SUMIF(⑳商品別1食労務費!$C$5:$C$124,$W208,⑳商品別1食労務費!$F$5:$F$124)/$AA208,$AB208/$X208))</f>
        <v/>
      </c>
    </row>
    <row r="209">
      <c r="A209" s="197" t="n">
        <v>205</v>
      </c>
      <c r="B209" s="198" t="n"/>
      <c r="C209" s="229" t="n"/>
      <c r="D209" s="190" t="n"/>
      <c r="E209" s="190" t="n"/>
      <c r="F209" s="541">
        <f>IF(OR(D209="",E209=""),"",(E209-D209)*1440)</f>
        <v/>
      </c>
      <c r="G209" s="542" t="n"/>
      <c r="H209" s="542" t="n"/>
      <c r="I209" s="543" t="n"/>
      <c r="J209" s="192" t="n"/>
      <c r="K209" s="544">
        <f>IF(AND(ISNUMBER(F209),I209&gt;0),I209/(F209/60),"")</f>
        <v/>
      </c>
      <c r="L209" s="545" t="n"/>
      <c r="M209" s="194">
        <f>IF(OR(ISNUMBER(SEARCH("サニテーション",C209)),ISNUMBER(SEARCH("客注",C209)),ISNUMBER(SEARCH("切り替え",C209)),ISNUMBER(SEARCH("切替",C209)),NOT(ISNUMBER(H209))),"",IF(ISNUMBER(G209),G209/60*H209*④前提設定!$B$4,IF(AND(G209="",ISNUMBER(F209)),F209/60*H209*④前提設定!$B$4,"")))</f>
        <v/>
      </c>
      <c r="N209" s="546">
        <f>IF(AND(I209&gt;0,ISNUMBER(M209)),M209/I209,"")</f>
        <v/>
      </c>
      <c r="O209" s="547">
        <f>IF(AND(J209&gt;0,ISNUMBER(M209)),M209/J209,"")</f>
        <v/>
      </c>
      <c r="P209" s="199" t="n"/>
      <c r="Q209" s="200" t="n"/>
      <c r="X209" s="334">
        <f>COUNTA(R209:W209)</f>
        <v/>
      </c>
      <c r="Y209" s="334">
        <f>IF(AND($X209&gt;0,ISNUMBER($M209)),$M209/$X209,"")</f>
        <v/>
      </c>
      <c r="Z209" s="334">
        <f>IF($X209=0,"",IF(COUNTIF(⑳商品別1食労務費!$C$5:$C$124,$R209)+COUNTIF(⑳商品別1食労務費!$C$5:$C$124,$S209)+COUNTIF(⑳商品別1食労務費!$C$5:$C$124,$T209)+COUNTIF(⑳商品別1食労務費!$C$5:$C$124,$U209)+COUNTIF(⑳商品別1食労務費!$C$5:$C$124,$V209)+COUNTIF(⑳商品別1食労務費!$C$5:$C$124,$W209)=$X209,"OK","⑳に無い商品名"))</f>
        <v/>
      </c>
      <c r="AA209" s="334">
        <f>SUMIF(⑳商品別1食労務費!$C$5:$C$124,$R209,⑳商品別1食労務費!$F$5:$F$124)+SUMIF(⑳商品別1食労務費!$C$5:$C$124,$S209,⑳商品別1食労務費!$F$5:$F$124)+SUMIF(⑳商品別1食労務費!$C$5:$C$124,$T209,⑳商品別1食労務費!$F$5:$F$124)+SUMIF(⑳商品別1食労務費!$C$5:$C$124,$U209,⑳商品別1食労務費!$F$5:$F$124)+SUMIF(⑳商品別1食労務費!$C$5:$C$124,$V209,⑳商品別1食労務費!$F$5:$F$124)+SUMIF(⑳商品別1食労務費!$C$5:$C$124,$W209,⑳商品別1食労務費!$F$5:$F$124)</f>
        <v/>
      </c>
      <c r="AB209" s="334">
        <f>IF(ISNUMBER($M209),$M209,0)</f>
        <v/>
      </c>
      <c r="AC209" s="334">
        <f>IF(AND($X209&gt;0,ISNUMBER($J209)),$J209/$X209,"")</f>
        <v/>
      </c>
      <c r="AD209" s="413">
        <f>IF($R209="",0,IF($AA209&gt;0,$AB209*SUMIF(⑳商品別1食労務費!$C$5:$C$124,$R209,⑳商品別1食労務費!$F$5:$F$124)/$AA209,$AB209/$X209))</f>
        <v/>
      </c>
      <c r="AE209" s="413">
        <f>IF($S209="",0,IF($AA209&gt;0,$AB209*SUMIF(⑳商品別1食労務費!$C$5:$C$124,$S209,⑳商品別1食労務費!$F$5:$F$124)/$AA209,$AB209/$X209))</f>
        <v/>
      </c>
      <c r="AF209" s="413">
        <f>IF($T209="",0,IF($AA209&gt;0,$AB209*SUMIF(⑳商品別1食労務費!$C$5:$C$124,$T209,⑳商品別1食労務費!$F$5:$F$124)/$AA209,$AB209/$X209))</f>
        <v/>
      </c>
      <c r="AG209" s="413">
        <f>IF($U209="",0,IF($AA209&gt;0,$AB209*SUMIF(⑳商品別1食労務費!$C$5:$C$124,$U209,⑳商品別1食労務費!$F$5:$F$124)/$AA209,$AB209/$X209))</f>
        <v/>
      </c>
      <c r="AH209" s="413">
        <f>IF($V209="",0,IF($AA209&gt;0,$AB209*SUMIF(⑳商品別1食労務費!$C$5:$C$124,$V209,⑳商品別1食労務費!$F$5:$F$124)/$AA209,$AB209/$X209))</f>
        <v/>
      </c>
      <c r="AI209" s="413">
        <f>IF($W209="",0,IF($AA209&gt;0,$AB209*SUMIF(⑳商品別1食労務費!$C$5:$C$124,$W209,⑳商品別1食労務費!$F$5:$F$124)/$AA209,$AB209/$X209))</f>
        <v/>
      </c>
    </row>
    <row r="210">
      <c r="A210" s="188" t="n">
        <v>206</v>
      </c>
      <c r="B210" s="189" t="n"/>
      <c r="C210" s="229" t="n"/>
      <c r="D210" s="190" t="n"/>
      <c r="E210" s="190" t="n"/>
      <c r="F210" s="541">
        <f>IF(OR(D210="",E210=""),"",(E210-D210)*1440)</f>
        <v/>
      </c>
      <c r="G210" s="542" t="n"/>
      <c r="H210" s="542" t="n"/>
      <c r="I210" s="543" t="n"/>
      <c r="J210" s="192" t="n"/>
      <c r="K210" s="544">
        <f>IF(AND(ISNUMBER(F210),I210&gt;0),I210/(F210/60),"")</f>
        <v/>
      </c>
      <c r="L210" s="545" t="n"/>
      <c r="M210" s="194">
        <f>IF(OR(ISNUMBER(SEARCH("サニテーション",C210)),ISNUMBER(SEARCH("客注",C210)),ISNUMBER(SEARCH("切り替え",C210)),ISNUMBER(SEARCH("切替",C210)),NOT(ISNUMBER(H210))),"",IF(ISNUMBER(G210),G210/60*H210*④前提設定!$B$4,IF(AND(G210="",ISNUMBER(F210)),F210/60*H210*④前提設定!$B$4,"")))</f>
        <v/>
      </c>
      <c r="N210" s="546">
        <f>IF(AND(I210&gt;0,ISNUMBER(M210)),M210/I210,"")</f>
        <v/>
      </c>
      <c r="O210" s="547">
        <f>IF(AND(J210&gt;0,ISNUMBER(M210)),M210/J210,"")</f>
        <v/>
      </c>
      <c r="P210" s="195" t="n"/>
      <c r="Q210" s="196" t="n"/>
      <c r="X210" s="334">
        <f>COUNTA(R210:W210)</f>
        <v/>
      </c>
      <c r="Y210" s="334">
        <f>IF(AND($X210&gt;0,ISNUMBER($M210)),$M210/$X210,"")</f>
        <v/>
      </c>
      <c r="Z210" s="334">
        <f>IF($X210=0,"",IF(COUNTIF(⑳商品別1食労務費!$C$5:$C$124,$R210)+COUNTIF(⑳商品別1食労務費!$C$5:$C$124,$S210)+COUNTIF(⑳商品別1食労務費!$C$5:$C$124,$T210)+COUNTIF(⑳商品別1食労務費!$C$5:$C$124,$U210)+COUNTIF(⑳商品別1食労務費!$C$5:$C$124,$V210)+COUNTIF(⑳商品別1食労務費!$C$5:$C$124,$W210)=$X210,"OK","⑳に無い商品名"))</f>
        <v/>
      </c>
      <c r="AA210" s="334">
        <f>SUMIF(⑳商品別1食労務費!$C$5:$C$124,$R210,⑳商品別1食労務費!$F$5:$F$124)+SUMIF(⑳商品別1食労務費!$C$5:$C$124,$S210,⑳商品別1食労務費!$F$5:$F$124)+SUMIF(⑳商品別1食労務費!$C$5:$C$124,$T210,⑳商品別1食労務費!$F$5:$F$124)+SUMIF(⑳商品別1食労務費!$C$5:$C$124,$U210,⑳商品別1食労務費!$F$5:$F$124)+SUMIF(⑳商品別1食労務費!$C$5:$C$124,$V210,⑳商品別1食労務費!$F$5:$F$124)+SUMIF(⑳商品別1食労務費!$C$5:$C$124,$W210,⑳商品別1食労務費!$F$5:$F$124)</f>
        <v/>
      </c>
      <c r="AB210" s="334">
        <f>IF(ISNUMBER($M210),$M210,0)</f>
        <v/>
      </c>
      <c r="AC210" s="334">
        <f>IF(AND($X210&gt;0,ISNUMBER($J210)),$J210/$X210,"")</f>
        <v/>
      </c>
      <c r="AD210" s="413">
        <f>IF($R210="",0,IF($AA210&gt;0,$AB210*SUMIF(⑳商品別1食労務費!$C$5:$C$124,$R210,⑳商品別1食労務費!$F$5:$F$124)/$AA210,$AB210/$X210))</f>
        <v/>
      </c>
      <c r="AE210" s="413">
        <f>IF($S210="",0,IF($AA210&gt;0,$AB210*SUMIF(⑳商品別1食労務費!$C$5:$C$124,$S210,⑳商品別1食労務費!$F$5:$F$124)/$AA210,$AB210/$X210))</f>
        <v/>
      </c>
      <c r="AF210" s="413">
        <f>IF($T210="",0,IF($AA210&gt;0,$AB210*SUMIF(⑳商品別1食労務費!$C$5:$C$124,$T210,⑳商品別1食労務費!$F$5:$F$124)/$AA210,$AB210/$X210))</f>
        <v/>
      </c>
      <c r="AG210" s="413">
        <f>IF($U210="",0,IF($AA210&gt;0,$AB210*SUMIF(⑳商品別1食労務費!$C$5:$C$124,$U210,⑳商品別1食労務費!$F$5:$F$124)/$AA210,$AB210/$X210))</f>
        <v/>
      </c>
      <c r="AH210" s="413">
        <f>IF($V210="",0,IF($AA210&gt;0,$AB210*SUMIF(⑳商品別1食労務費!$C$5:$C$124,$V210,⑳商品別1食労務費!$F$5:$F$124)/$AA210,$AB210/$X210))</f>
        <v/>
      </c>
      <c r="AI210" s="413">
        <f>IF($W210="",0,IF($AA210&gt;0,$AB210*SUMIF(⑳商品別1食労務費!$C$5:$C$124,$W210,⑳商品別1食労務費!$F$5:$F$124)/$AA210,$AB210/$X210))</f>
        <v/>
      </c>
    </row>
    <row r="211">
      <c r="A211" s="197" t="n">
        <v>207</v>
      </c>
      <c r="B211" s="198" t="n"/>
      <c r="C211" s="229" t="n"/>
      <c r="D211" s="190" t="n"/>
      <c r="E211" s="190" t="n"/>
      <c r="F211" s="541">
        <f>IF(OR(D211="",E211=""),"",(E211-D211)*1440)</f>
        <v/>
      </c>
      <c r="G211" s="542" t="n"/>
      <c r="H211" s="542" t="n"/>
      <c r="I211" s="543" t="n"/>
      <c r="J211" s="192" t="n"/>
      <c r="K211" s="544">
        <f>IF(AND(ISNUMBER(F211),I211&gt;0),I211/(F211/60),"")</f>
        <v/>
      </c>
      <c r="L211" s="545" t="n"/>
      <c r="M211" s="194">
        <f>IF(OR(ISNUMBER(SEARCH("サニテーション",C211)),ISNUMBER(SEARCH("客注",C211)),ISNUMBER(SEARCH("切り替え",C211)),ISNUMBER(SEARCH("切替",C211)),NOT(ISNUMBER(H211))),"",IF(ISNUMBER(G211),G211/60*H211*④前提設定!$B$4,IF(AND(G211="",ISNUMBER(F211)),F211/60*H211*④前提設定!$B$4,"")))</f>
        <v/>
      </c>
      <c r="N211" s="546">
        <f>IF(AND(I211&gt;0,ISNUMBER(M211)),M211/I211,"")</f>
        <v/>
      </c>
      <c r="O211" s="547">
        <f>IF(AND(J211&gt;0,ISNUMBER(M211)),M211/J211,"")</f>
        <v/>
      </c>
      <c r="P211" s="199" t="n"/>
      <c r="Q211" s="200" t="n"/>
      <c r="X211" s="334">
        <f>COUNTA(R211:W211)</f>
        <v/>
      </c>
      <c r="Y211" s="334">
        <f>IF(AND($X211&gt;0,ISNUMBER($M211)),$M211/$X211,"")</f>
        <v/>
      </c>
      <c r="Z211" s="334">
        <f>IF($X211=0,"",IF(COUNTIF(⑳商品別1食労務費!$C$5:$C$124,$R211)+COUNTIF(⑳商品別1食労務費!$C$5:$C$124,$S211)+COUNTIF(⑳商品別1食労務費!$C$5:$C$124,$T211)+COUNTIF(⑳商品別1食労務費!$C$5:$C$124,$U211)+COUNTIF(⑳商品別1食労務費!$C$5:$C$124,$V211)+COUNTIF(⑳商品別1食労務費!$C$5:$C$124,$W211)=$X211,"OK","⑳に無い商品名"))</f>
        <v/>
      </c>
      <c r="AA211" s="334">
        <f>SUMIF(⑳商品別1食労務費!$C$5:$C$124,$R211,⑳商品別1食労務費!$F$5:$F$124)+SUMIF(⑳商品別1食労務費!$C$5:$C$124,$S211,⑳商品別1食労務費!$F$5:$F$124)+SUMIF(⑳商品別1食労務費!$C$5:$C$124,$T211,⑳商品別1食労務費!$F$5:$F$124)+SUMIF(⑳商品別1食労務費!$C$5:$C$124,$U211,⑳商品別1食労務費!$F$5:$F$124)+SUMIF(⑳商品別1食労務費!$C$5:$C$124,$V211,⑳商品別1食労務費!$F$5:$F$124)+SUMIF(⑳商品別1食労務費!$C$5:$C$124,$W211,⑳商品別1食労務費!$F$5:$F$124)</f>
        <v/>
      </c>
      <c r="AB211" s="334">
        <f>IF(ISNUMBER($M211),$M211,0)</f>
        <v/>
      </c>
      <c r="AC211" s="334">
        <f>IF(AND($X211&gt;0,ISNUMBER($J211)),$J211/$X211,"")</f>
        <v/>
      </c>
      <c r="AD211" s="413">
        <f>IF($R211="",0,IF($AA211&gt;0,$AB211*SUMIF(⑳商品別1食労務費!$C$5:$C$124,$R211,⑳商品別1食労務費!$F$5:$F$124)/$AA211,$AB211/$X211))</f>
        <v/>
      </c>
      <c r="AE211" s="413">
        <f>IF($S211="",0,IF($AA211&gt;0,$AB211*SUMIF(⑳商品別1食労務費!$C$5:$C$124,$S211,⑳商品別1食労務費!$F$5:$F$124)/$AA211,$AB211/$X211))</f>
        <v/>
      </c>
      <c r="AF211" s="413">
        <f>IF($T211="",0,IF($AA211&gt;0,$AB211*SUMIF(⑳商品別1食労務費!$C$5:$C$124,$T211,⑳商品別1食労務費!$F$5:$F$124)/$AA211,$AB211/$X211))</f>
        <v/>
      </c>
      <c r="AG211" s="413">
        <f>IF($U211="",0,IF($AA211&gt;0,$AB211*SUMIF(⑳商品別1食労務費!$C$5:$C$124,$U211,⑳商品別1食労務費!$F$5:$F$124)/$AA211,$AB211/$X211))</f>
        <v/>
      </c>
      <c r="AH211" s="413">
        <f>IF($V211="",0,IF($AA211&gt;0,$AB211*SUMIF(⑳商品別1食労務費!$C$5:$C$124,$V211,⑳商品別1食労務費!$F$5:$F$124)/$AA211,$AB211/$X211))</f>
        <v/>
      </c>
      <c r="AI211" s="413">
        <f>IF($W211="",0,IF($AA211&gt;0,$AB211*SUMIF(⑳商品別1食労務費!$C$5:$C$124,$W211,⑳商品別1食労務費!$F$5:$F$124)/$AA211,$AB211/$X211))</f>
        <v/>
      </c>
    </row>
    <row r="212">
      <c r="A212" s="188" t="n">
        <v>208</v>
      </c>
      <c r="B212" s="189" t="n"/>
      <c r="C212" s="229" t="n"/>
      <c r="D212" s="190" t="n"/>
      <c r="E212" s="190" t="n"/>
      <c r="F212" s="541">
        <f>IF(OR(D212="",E212=""),"",(E212-D212)*1440)</f>
        <v/>
      </c>
      <c r="G212" s="542" t="n"/>
      <c r="H212" s="542" t="n"/>
      <c r="I212" s="543" t="n"/>
      <c r="J212" s="192" t="n"/>
      <c r="K212" s="544">
        <f>IF(AND(ISNUMBER(F212),I212&gt;0),I212/(F212/60),"")</f>
        <v/>
      </c>
      <c r="L212" s="545" t="n"/>
      <c r="M212" s="194">
        <f>IF(OR(ISNUMBER(SEARCH("サニテーション",C212)),ISNUMBER(SEARCH("客注",C212)),ISNUMBER(SEARCH("切り替え",C212)),ISNUMBER(SEARCH("切替",C212)),NOT(ISNUMBER(H212))),"",IF(ISNUMBER(G212),G212/60*H212*④前提設定!$B$4,IF(AND(G212="",ISNUMBER(F212)),F212/60*H212*④前提設定!$B$4,"")))</f>
        <v/>
      </c>
      <c r="N212" s="546">
        <f>IF(AND(I212&gt;0,ISNUMBER(M212)),M212/I212,"")</f>
        <v/>
      </c>
      <c r="O212" s="547">
        <f>IF(AND(J212&gt;0,ISNUMBER(M212)),M212/J212,"")</f>
        <v/>
      </c>
      <c r="P212" s="195" t="n"/>
      <c r="Q212" s="196" t="n"/>
      <c r="X212" s="334">
        <f>COUNTA(R212:W212)</f>
        <v/>
      </c>
      <c r="Y212" s="334">
        <f>IF(AND($X212&gt;0,ISNUMBER($M212)),$M212/$X212,"")</f>
        <v/>
      </c>
      <c r="Z212" s="334">
        <f>IF($X212=0,"",IF(COUNTIF(⑳商品別1食労務費!$C$5:$C$124,$R212)+COUNTIF(⑳商品別1食労務費!$C$5:$C$124,$S212)+COUNTIF(⑳商品別1食労務費!$C$5:$C$124,$T212)+COUNTIF(⑳商品別1食労務費!$C$5:$C$124,$U212)+COUNTIF(⑳商品別1食労務費!$C$5:$C$124,$V212)+COUNTIF(⑳商品別1食労務費!$C$5:$C$124,$W212)=$X212,"OK","⑳に無い商品名"))</f>
        <v/>
      </c>
      <c r="AA212" s="334">
        <f>SUMIF(⑳商品別1食労務費!$C$5:$C$124,$R212,⑳商品別1食労務費!$F$5:$F$124)+SUMIF(⑳商品別1食労務費!$C$5:$C$124,$S212,⑳商品別1食労務費!$F$5:$F$124)+SUMIF(⑳商品別1食労務費!$C$5:$C$124,$T212,⑳商品別1食労務費!$F$5:$F$124)+SUMIF(⑳商品別1食労務費!$C$5:$C$124,$U212,⑳商品別1食労務費!$F$5:$F$124)+SUMIF(⑳商品別1食労務費!$C$5:$C$124,$V212,⑳商品別1食労務費!$F$5:$F$124)+SUMIF(⑳商品別1食労務費!$C$5:$C$124,$W212,⑳商品別1食労務費!$F$5:$F$124)</f>
        <v/>
      </c>
      <c r="AB212" s="334">
        <f>IF(ISNUMBER($M212),$M212,0)</f>
        <v/>
      </c>
      <c r="AC212" s="334">
        <f>IF(AND($X212&gt;0,ISNUMBER($J212)),$J212/$X212,"")</f>
        <v/>
      </c>
      <c r="AD212" s="413">
        <f>IF($R212="",0,IF($AA212&gt;0,$AB212*SUMIF(⑳商品別1食労務費!$C$5:$C$124,$R212,⑳商品別1食労務費!$F$5:$F$124)/$AA212,$AB212/$X212))</f>
        <v/>
      </c>
      <c r="AE212" s="413">
        <f>IF($S212="",0,IF($AA212&gt;0,$AB212*SUMIF(⑳商品別1食労務費!$C$5:$C$124,$S212,⑳商品別1食労務費!$F$5:$F$124)/$AA212,$AB212/$X212))</f>
        <v/>
      </c>
      <c r="AF212" s="413">
        <f>IF($T212="",0,IF($AA212&gt;0,$AB212*SUMIF(⑳商品別1食労務費!$C$5:$C$124,$T212,⑳商品別1食労務費!$F$5:$F$124)/$AA212,$AB212/$X212))</f>
        <v/>
      </c>
      <c r="AG212" s="413">
        <f>IF($U212="",0,IF($AA212&gt;0,$AB212*SUMIF(⑳商品別1食労務費!$C$5:$C$124,$U212,⑳商品別1食労務費!$F$5:$F$124)/$AA212,$AB212/$X212))</f>
        <v/>
      </c>
      <c r="AH212" s="413">
        <f>IF($V212="",0,IF($AA212&gt;0,$AB212*SUMIF(⑳商品別1食労務費!$C$5:$C$124,$V212,⑳商品別1食労務費!$F$5:$F$124)/$AA212,$AB212/$X212))</f>
        <v/>
      </c>
      <c r="AI212" s="413">
        <f>IF($W212="",0,IF($AA212&gt;0,$AB212*SUMIF(⑳商品別1食労務費!$C$5:$C$124,$W212,⑳商品別1食労務費!$F$5:$F$124)/$AA212,$AB212/$X212))</f>
        <v/>
      </c>
    </row>
    <row r="213">
      <c r="A213" s="197" t="n">
        <v>209</v>
      </c>
      <c r="B213" s="198" t="n"/>
      <c r="C213" s="229" t="n"/>
      <c r="D213" s="190" t="n"/>
      <c r="E213" s="190" t="n"/>
      <c r="F213" s="541">
        <f>IF(OR(D213="",E213=""),"",(E213-D213)*1440)</f>
        <v/>
      </c>
      <c r="G213" s="542" t="n"/>
      <c r="H213" s="542" t="n"/>
      <c r="I213" s="543" t="n"/>
      <c r="J213" s="192" t="n"/>
      <c r="K213" s="544">
        <f>IF(AND(ISNUMBER(F213),I213&gt;0),I213/(F213/60),"")</f>
        <v/>
      </c>
      <c r="L213" s="545" t="n"/>
      <c r="M213" s="194">
        <f>IF(OR(ISNUMBER(SEARCH("サニテーション",C213)),ISNUMBER(SEARCH("客注",C213)),ISNUMBER(SEARCH("切り替え",C213)),ISNUMBER(SEARCH("切替",C213)),NOT(ISNUMBER(H213))),"",IF(ISNUMBER(G213),G213/60*H213*④前提設定!$B$4,IF(AND(G213="",ISNUMBER(F213)),F213/60*H213*④前提設定!$B$4,"")))</f>
        <v/>
      </c>
      <c r="N213" s="546">
        <f>IF(AND(I213&gt;0,ISNUMBER(M213)),M213/I213,"")</f>
        <v/>
      </c>
      <c r="O213" s="547">
        <f>IF(AND(J213&gt;0,ISNUMBER(M213)),M213/J213,"")</f>
        <v/>
      </c>
      <c r="P213" s="199" t="n"/>
      <c r="Q213" s="200" t="n"/>
      <c r="X213" s="334">
        <f>COUNTA(R213:W213)</f>
        <v/>
      </c>
      <c r="Y213" s="334">
        <f>IF(AND($X213&gt;0,ISNUMBER($M213)),$M213/$X213,"")</f>
        <v/>
      </c>
      <c r="Z213" s="334">
        <f>IF($X213=0,"",IF(COUNTIF(⑳商品別1食労務費!$C$5:$C$124,$R213)+COUNTIF(⑳商品別1食労務費!$C$5:$C$124,$S213)+COUNTIF(⑳商品別1食労務費!$C$5:$C$124,$T213)+COUNTIF(⑳商品別1食労務費!$C$5:$C$124,$U213)+COUNTIF(⑳商品別1食労務費!$C$5:$C$124,$V213)+COUNTIF(⑳商品別1食労務費!$C$5:$C$124,$W213)=$X213,"OK","⑳に無い商品名"))</f>
        <v/>
      </c>
      <c r="AA213" s="334">
        <f>SUMIF(⑳商品別1食労務費!$C$5:$C$124,$R213,⑳商品別1食労務費!$F$5:$F$124)+SUMIF(⑳商品別1食労務費!$C$5:$C$124,$S213,⑳商品別1食労務費!$F$5:$F$124)+SUMIF(⑳商品別1食労務費!$C$5:$C$124,$T213,⑳商品別1食労務費!$F$5:$F$124)+SUMIF(⑳商品別1食労務費!$C$5:$C$124,$U213,⑳商品別1食労務費!$F$5:$F$124)+SUMIF(⑳商品別1食労務費!$C$5:$C$124,$V213,⑳商品別1食労務費!$F$5:$F$124)+SUMIF(⑳商品別1食労務費!$C$5:$C$124,$W213,⑳商品別1食労務費!$F$5:$F$124)</f>
        <v/>
      </c>
      <c r="AB213" s="334">
        <f>IF(ISNUMBER($M213),$M213,0)</f>
        <v/>
      </c>
      <c r="AC213" s="334">
        <f>IF(AND($X213&gt;0,ISNUMBER($J213)),$J213/$X213,"")</f>
        <v/>
      </c>
      <c r="AD213" s="413">
        <f>IF($R213="",0,IF($AA213&gt;0,$AB213*SUMIF(⑳商品別1食労務費!$C$5:$C$124,$R213,⑳商品別1食労務費!$F$5:$F$124)/$AA213,$AB213/$X213))</f>
        <v/>
      </c>
      <c r="AE213" s="413">
        <f>IF($S213="",0,IF($AA213&gt;0,$AB213*SUMIF(⑳商品別1食労務費!$C$5:$C$124,$S213,⑳商品別1食労務費!$F$5:$F$124)/$AA213,$AB213/$X213))</f>
        <v/>
      </c>
      <c r="AF213" s="413">
        <f>IF($T213="",0,IF($AA213&gt;0,$AB213*SUMIF(⑳商品別1食労務費!$C$5:$C$124,$T213,⑳商品別1食労務費!$F$5:$F$124)/$AA213,$AB213/$X213))</f>
        <v/>
      </c>
      <c r="AG213" s="413">
        <f>IF($U213="",0,IF($AA213&gt;0,$AB213*SUMIF(⑳商品別1食労務費!$C$5:$C$124,$U213,⑳商品別1食労務費!$F$5:$F$124)/$AA213,$AB213/$X213))</f>
        <v/>
      </c>
      <c r="AH213" s="413">
        <f>IF($V213="",0,IF($AA213&gt;0,$AB213*SUMIF(⑳商品別1食労務費!$C$5:$C$124,$V213,⑳商品別1食労務費!$F$5:$F$124)/$AA213,$AB213/$X213))</f>
        <v/>
      </c>
      <c r="AI213" s="413">
        <f>IF($W213="",0,IF($AA213&gt;0,$AB213*SUMIF(⑳商品別1食労務費!$C$5:$C$124,$W213,⑳商品別1食労務費!$F$5:$F$124)/$AA213,$AB213/$X213))</f>
        <v/>
      </c>
    </row>
    <row r="214">
      <c r="A214" s="188" t="n">
        <v>210</v>
      </c>
      <c r="B214" s="189" t="n"/>
      <c r="C214" s="229" t="n"/>
      <c r="D214" s="190" t="n"/>
      <c r="E214" s="190" t="n"/>
      <c r="F214" s="541">
        <f>IF(OR(D214="",E214=""),"",(E214-D214)*1440)</f>
        <v/>
      </c>
      <c r="G214" s="542" t="n"/>
      <c r="H214" s="542" t="n"/>
      <c r="I214" s="543" t="n"/>
      <c r="J214" s="192" t="n"/>
      <c r="K214" s="544">
        <f>IF(AND(ISNUMBER(F214),I214&gt;0),I214/(F214/60),"")</f>
        <v/>
      </c>
      <c r="L214" s="545" t="n"/>
      <c r="M214" s="194">
        <f>IF(OR(ISNUMBER(SEARCH("サニテーション",C214)),ISNUMBER(SEARCH("客注",C214)),ISNUMBER(SEARCH("切り替え",C214)),ISNUMBER(SEARCH("切替",C214)),NOT(ISNUMBER(H214))),"",IF(ISNUMBER(G214),G214/60*H214*④前提設定!$B$4,IF(AND(G214="",ISNUMBER(F214)),F214/60*H214*④前提設定!$B$4,"")))</f>
        <v/>
      </c>
      <c r="N214" s="546">
        <f>IF(AND(I214&gt;0,ISNUMBER(M214)),M214/I214,"")</f>
        <v/>
      </c>
      <c r="O214" s="547">
        <f>IF(AND(J214&gt;0,ISNUMBER(M214)),M214/J214,"")</f>
        <v/>
      </c>
      <c r="P214" s="195" t="n"/>
      <c r="Q214" s="196" t="n"/>
      <c r="X214" s="334">
        <f>COUNTA(R214:W214)</f>
        <v/>
      </c>
      <c r="Y214" s="334">
        <f>IF(AND($X214&gt;0,ISNUMBER($M214)),$M214/$X214,"")</f>
        <v/>
      </c>
      <c r="Z214" s="334">
        <f>IF($X214=0,"",IF(COUNTIF(⑳商品別1食労務費!$C$5:$C$124,$R214)+COUNTIF(⑳商品別1食労務費!$C$5:$C$124,$S214)+COUNTIF(⑳商品別1食労務費!$C$5:$C$124,$T214)+COUNTIF(⑳商品別1食労務費!$C$5:$C$124,$U214)+COUNTIF(⑳商品別1食労務費!$C$5:$C$124,$V214)+COUNTIF(⑳商品別1食労務費!$C$5:$C$124,$W214)=$X214,"OK","⑳に無い商品名"))</f>
        <v/>
      </c>
      <c r="AA214" s="334">
        <f>SUMIF(⑳商品別1食労務費!$C$5:$C$124,$R214,⑳商品別1食労務費!$F$5:$F$124)+SUMIF(⑳商品別1食労務費!$C$5:$C$124,$S214,⑳商品別1食労務費!$F$5:$F$124)+SUMIF(⑳商品別1食労務費!$C$5:$C$124,$T214,⑳商品別1食労務費!$F$5:$F$124)+SUMIF(⑳商品別1食労務費!$C$5:$C$124,$U214,⑳商品別1食労務費!$F$5:$F$124)+SUMIF(⑳商品別1食労務費!$C$5:$C$124,$V214,⑳商品別1食労務費!$F$5:$F$124)+SUMIF(⑳商品別1食労務費!$C$5:$C$124,$W214,⑳商品別1食労務費!$F$5:$F$124)</f>
        <v/>
      </c>
      <c r="AB214" s="334">
        <f>IF(ISNUMBER($M214),$M214,0)</f>
        <v/>
      </c>
      <c r="AC214" s="334">
        <f>IF(AND($X214&gt;0,ISNUMBER($J214)),$J214/$X214,"")</f>
        <v/>
      </c>
      <c r="AD214" s="413">
        <f>IF($R214="",0,IF($AA214&gt;0,$AB214*SUMIF(⑳商品別1食労務費!$C$5:$C$124,$R214,⑳商品別1食労務費!$F$5:$F$124)/$AA214,$AB214/$X214))</f>
        <v/>
      </c>
      <c r="AE214" s="413">
        <f>IF($S214="",0,IF($AA214&gt;0,$AB214*SUMIF(⑳商品別1食労務費!$C$5:$C$124,$S214,⑳商品別1食労務費!$F$5:$F$124)/$AA214,$AB214/$X214))</f>
        <v/>
      </c>
      <c r="AF214" s="413">
        <f>IF($T214="",0,IF($AA214&gt;0,$AB214*SUMIF(⑳商品別1食労務費!$C$5:$C$124,$T214,⑳商品別1食労務費!$F$5:$F$124)/$AA214,$AB214/$X214))</f>
        <v/>
      </c>
      <c r="AG214" s="413">
        <f>IF($U214="",0,IF($AA214&gt;0,$AB214*SUMIF(⑳商品別1食労務費!$C$5:$C$124,$U214,⑳商品別1食労務費!$F$5:$F$124)/$AA214,$AB214/$X214))</f>
        <v/>
      </c>
      <c r="AH214" s="413">
        <f>IF($V214="",0,IF($AA214&gt;0,$AB214*SUMIF(⑳商品別1食労務費!$C$5:$C$124,$V214,⑳商品別1食労務費!$F$5:$F$124)/$AA214,$AB214/$X214))</f>
        <v/>
      </c>
      <c r="AI214" s="413">
        <f>IF($W214="",0,IF($AA214&gt;0,$AB214*SUMIF(⑳商品別1食労務費!$C$5:$C$124,$W214,⑳商品別1食労務費!$F$5:$F$124)/$AA214,$AB214/$X214))</f>
        <v/>
      </c>
    </row>
    <row r="215">
      <c r="A215" s="197" t="n">
        <v>211</v>
      </c>
      <c r="B215" s="198" t="n"/>
      <c r="C215" s="229" t="n"/>
      <c r="D215" s="190" t="n"/>
      <c r="E215" s="190" t="n"/>
      <c r="F215" s="541">
        <f>IF(OR(D215="",E215=""),"",(E215-D215)*1440)</f>
        <v/>
      </c>
      <c r="G215" s="542" t="n"/>
      <c r="H215" s="542" t="n"/>
      <c r="I215" s="543" t="n"/>
      <c r="J215" s="192" t="n"/>
      <c r="K215" s="544">
        <f>IF(AND(ISNUMBER(F215),I215&gt;0),I215/(F215/60),"")</f>
        <v/>
      </c>
      <c r="L215" s="545" t="n"/>
      <c r="M215" s="194">
        <f>IF(OR(ISNUMBER(SEARCH("サニテーション",C215)),ISNUMBER(SEARCH("客注",C215)),ISNUMBER(SEARCH("切り替え",C215)),ISNUMBER(SEARCH("切替",C215)),NOT(ISNUMBER(H215))),"",IF(ISNUMBER(G215),G215/60*H215*④前提設定!$B$4,IF(AND(G215="",ISNUMBER(F215)),F215/60*H215*④前提設定!$B$4,"")))</f>
        <v/>
      </c>
      <c r="N215" s="546">
        <f>IF(AND(I215&gt;0,ISNUMBER(M215)),M215/I215,"")</f>
        <v/>
      </c>
      <c r="O215" s="547">
        <f>IF(AND(J215&gt;0,ISNUMBER(M215)),M215/J215,"")</f>
        <v/>
      </c>
      <c r="P215" s="199" t="n"/>
      <c r="Q215" s="200" t="n"/>
      <c r="X215" s="334">
        <f>COUNTA(R215:W215)</f>
        <v/>
      </c>
      <c r="Y215" s="334">
        <f>IF(AND($X215&gt;0,ISNUMBER($M215)),$M215/$X215,"")</f>
        <v/>
      </c>
      <c r="Z215" s="334">
        <f>IF($X215=0,"",IF(COUNTIF(⑳商品別1食労務費!$C$5:$C$124,$R215)+COUNTIF(⑳商品別1食労務費!$C$5:$C$124,$S215)+COUNTIF(⑳商品別1食労務費!$C$5:$C$124,$T215)+COUNTIF(⑳商品別1食労務費!$C$5:$C$124,$U215)+COUNTIF(⑳商品別1食労務費!$C$5:$C$124,$V215)+COUNTIF(⑳商品別1食労務費!$C$5:$C$124,$W215)=$X215,"OK","⑳に無い商品名"))</f>
        <v/>
      </c>
      <c r="AA215" s="334">
        <f>SUMIF(⑳商品別1食労務費!$C$5:$C$124,$R215,⑳商品別1食労務費!$F$5:$F$124)+SUMIF(⑳商品別1食労務費!$C$5:$C$124,$S215,⑳商品別1食労務費!$F$5:$F$124)+SUMIF(⑳商品別1食労務費!$C$5:$C$124,$T215,⑳商品別1食労務費!$F$5:$F$124)+SUMIF(⑳商品別1食労務費!$C$5:$C$124,$U215,⑳商品別1食労務費!$F$5:$F$124)+SUMIF(⑳商品別1食労務費!$C$5:$C$124,$V215,⑳商品別1食労務費!$F$5:$F$124)+SUMIF(⑳商品別1食労務費!$C$5:$C$124,$W215,⑳商品別1食労務費!$F$5:$F$124)</f>
        <v/>
      </c>
      <c r="AB215" s="334">
        <f>IF(ISNUMBER($M215),$M215,0)</f>
        <v/>
      </c>
      <c r="AC215" s="334">
        <f>IF(AND($X215&gt;0,ISNUMBER($J215)),$J215/$X215,"")</f>
        <v/>
      </c>
      <c r="AD215" s="413">
        <f>IF($R215="",0,IF($AA215&gt;0,$AB215*SUMIF(⑳商品別1食労務費!$C$5:$C$124,$R215,⑳商品別1食労務費!$F$5:$F$124)/$AA215,$AB215/$X215))</f>
        <v/>
      </c>
      <c r="AE215" s="413">
        <f>IF($S215="",0,IF($AA215&gt;0,$AB215*SUMIF(⑳商品別1食労務費!$C$5:$C$124,$S215,⑳商品別1食労務費!$F$5:$F$124)/$AA215,$AB215/$X215))</f>
        <v/>
      </c>
      <c r="AF215" s="413">
        <f>IF($T215="",0,IF($AA215&gt;0,$AB215*SUMIF(⑳商品別1食労務費!$C$5:$C$124,$T215,⑳商品別1食労務費!$F$5:$F$124)/$AA215,$AB215/$X215))</f>
        <v/>
      </c>
      <c r="AG215" s="413">
        <f>IF($U215="",0,IF($AA215&gt;0,$AB215*SUMIF(⑳商品別1食労務費!$C$5:$C$124,$U215,⑳商品別1食労務費!$F$5:$F$124)/$AA215,$AB215/$X215))</f>
        <v/>
      </c>
      <c r="AH215" s="413">
        <f>IF($V215="",0,IF($AA215&gt;0,$AB215*SUMIF(⑳商品別1食労務費!$C$5:$C$124,$V215,⑳商品別1食労務費!$F$5:$F$124)/$AA215,$AB215/$X215))</f>
        <v/>
      </c>
      <c r="AI215" s="413">
        <f>IF($W215="",0,IF($AA215&gt;0,$AB215*SUMIF(⑳商品別1食労務費!$C$5:$C$124,$W215,⑳商品別1食労務費!$F$5:$F$124)/$AA215,$AB215/$X215))</f>
        <v/>
      </c>
    </row>
    <row r="216">
      <c r="A216" s="188" t="n">
        <v>212</v>
      </c>
      <c r="B216" s="189" t="n"/>
      <c r="C216" s="229" t="n"/>
      <c r="D216" s="190" t="n"/>
      <c r="E216" s="190" t="n"/>
      <c r="F216" s="541">
        <f>IF(OR(D216="",E216=""),"",(E216-D216)*1440)</f>
        <v/>
      </c>
      <c r="G216" s="542" t="n"/>
      <c r="H216" s="542" t="n"/>
      <c r="I216" s="543" t="n"/>
      <c r="J216" s="192" t="n"/>
      <c r="K216" s="544">
        <f>IF(AND(ISNUMBER(F216),I216&gt;0),I216/(F216/60),"")</f>
        <v/>
      </c>
      <c r="L216" s="545" t="n"/>
      <c r="M216" s="194">
        <f>IF(OR(ISNUMBER(SEARCH("サニテーション",C216)),ISNUMBER(SEARCH("客注",C216)),ISNUMBER(SEARCH("切り替え",C216)),ISNUMBER(SEARCH("切替",C216)),NOT(ISNUMBER(H216))),"",IF(ISNUMBER(G216),G216/60*H216*④前提設定!$B$4,IF(AND(G216="",ISNUMBER(F216)),F216/60*H216*④前提設定!$B$4,"")))</f>
        <v/>
      </c>
      <c r="N216" s="546">
        <f>IF(AND(I216&gt;0,ISNUMBER(M216)),M216/I216,"")</f>
        <v/>
      </c>
      <c r="O216" s="547">
        <f>IF(AND(J216&gt;0,ISNUMBER(M216)),M216/J216,"")</f>
        <v/>
      </c>
      <c r="P216" s="195" t="n"/>
      <c r="Q216" s="196" t="n"/>
      <c r="X216" s="334">
        <f>COUNTA(R216:W216)</f>
        <v/>
      </c>
      <c r="Y216" s="334">
        <f>IF(AND($X216&gt;0,ISNUMBER($M216)),$M216/$X216,"")</f>
        <v/>
      </c>
      <c r="Z216" s="334">
        <f>IF($X216=0,"",IF(COUNTIF(⑳商品別1食労務費!$C$5:$C$124,$R216)+COUNTIF(⑳商品別1食労務費!$C$5:$C$124,$S216)+COUNTIF(⑳商品別1食労務費!$C$5:$C$124,$T216)+COUNTIF(⑳商品別1食労務費!$C$5:$C$124,$U216)+COUNTIF(⑳商品別1食労務費!$C$5:$C$124,$V216)+COUNTIF(⑳商品別1食労務費!$C$5:$C$124,$W216)=$X216,"OK","⑳に無い商品名"))</f>
        <v/>
      </c>
      <c r="AA216" s="334">
        <f>SUMIF(⑳商品別1食労務費!$C$5:$C$124,$R216,⑳商品別1食労務費!$F$5:$F$124)+SUMIF(⑳商品別1食労務費!$C$5:$C$124,$S216,⑳商品別1食労務費!$F$5:$F$124)+SUMIF(⑳商品別1食労務費!$C$5:$C$124,$T216,⑳商品別1食労務費!$F$5:$F$124)+SUMIF(⑳商品別1食労務費!$C$5:$C$124,$U216,⑳商品別1食労務費!$F$5:$F$124)+SUMIF(⑳商品別1食労務費!$C$5:$C$124,$V216,⑳商品別1食労務費!$F$5:$F$124)+SUMIF(⑳商品別1食労務費!$C$5:$C$124,$W216,⑳商品別1食労務費!$F$5:$F$124)</f>
        <v/>
      </c>
      <c r="AB216" s="334">
        <f>IF(ISNUMBER($M216),$M216,0)</f>
        <v/>
      </c>
      <c r="AC216" s="334">
        <f>IF(AND($X216&gt;0,ISNUMBER($J216)),$J216/$X216,"")</f>
        <v/>
      </c>
      <c r="AD216" s="413">
        <f>IF($R216="",0,IF($AA216&gt;0,$AB216*SUMIF(⑳商品別1食労務費!$C$5:$C$124,$R216,⑳商品別1食労務費!$F$5:$F$124)/$AA216,$AB216/$X216))</f>
        <v/>
      </c>
      <c r="AE216" s="413">
        <f>IF($S216="",0,IF($AA216&gt;0,$AB216*SUMIF(⑳商品別1食労務費!$C$5:$C$124,$S216,⑳商品別1食労務費!$F$5:$F$124)/$AA216,$AB216/$X216))</f>
        <v/>
      </c>
      <c r="AF216" s="413">
        <f>IF($T216="",0,IF($AA216&gt;0,$AB216*SUMIF(⑳商品別1食労務費!$C$5:$C$124,$T216,⑳商品別1食労務費!$F$5:$F$124)/$AA216,$AB216/$X216))</f>
        <v/>
      </c>
      <c r="AG216" s="413">
        <f>IF($U216="",0,IF($AA216&gt;0,$AB216*SUMIF(⑳商品別1食労務費!$C$5:$C$124,$U216,⑳商品別1食労務費!$F$5:$F$124)/$AA216,$AB216/$X216))</f>
        <v/>
      </c>
      <c r="AH216" s="413">
        <f>IF($V216="",0,IF($AA216&gt;0,$AB216*SUMIF(⑳商品別1食労務費!$C$5:$C$124,$V216,⑳商品別1食労務費!$F$5:$F$124)/$AA216,$AB216/$X216))</f>
        <v/>
      </c>
      <c r="AI216" s="413">
        <f>IF($W216="",0,IF($AA216&gt;0,$AB216*SUMIF(⑳商品別1食労務費!$C$5:$C$124,$W216,⑳商品別1食労務費!$F$5:$F$124)/$AA216,$AB216/$X216))</f>
        <v/>
      </c>
    </row>
    <row r="217">
      <c r="A217" s="197" t="n">
        <v>213</v>
      </c>
      <c r="B217" s="198" t="n"/>
      <c r="C217" s="229" t="n"/>
      <c r="D217" s="190" t="n"/>
      <c r="E217" s="190" t="n"/>
      <c r="F217" s="541">
        <f>IF(OR(D217="",E217=""),"",(E217-D217)*1440)</f>
        <v/>
      </c>
      <c r="G217" s="542" t="n"/>
      <c r="H217" s="542" t="n"/>
      <c r="I217" s="543" t="n"/>
      <c r="J217" s="192" t="n"/>
      <c r="K217" s="544">
        <f>IF(AND(ISNUMBER(F217),I217&gt;0),I217/(F217/60),"")</f>
        <v/>
      </c>
      <c r="L217" s="545" t="n"/>
      <c r="M217" s="194">
        <f>IF(OR(ISNUMBER(SEARCH("サニテーション",C217)),ISNUMBER(SEARCH("客注",C217)),ISNUMBER(SEARCH("切り替え",C217)),ISNUMBER(SEARCH("切替",C217)),NOT(ISNUMBER(H217))),"",IF(ISNUMBER(G217),G217/60*H217*④前提設定!$B$4,IF(AND(G217="",ISNUMBER(F217)),F217/60*H217*④前提設定!$B$4,"")))</f>
        <v/>
      </c>
      <c r="N217" s="546">
        <f>IF(AND(I217&gt;0,ISNUMBER(M217)),M217/I217,"")</f>
        <v/>
      </c>
      <c r="O217" s="547">
        <f>IF(AND(J217&gt;0,ISNUMBER(M217)),M217/J217,"")</f>
        <v/>
      </c>
      <c r="P217" s="199" t="n"/>
      <c r="Q217" s="200" t="n"/>
      <c r="X217" s="334">
        <f>COUNTA(R217:W217)</f>
        <v/>
      </c>
      <c r="Y217" s="334">
        <f>IF(AND($X217&gt;0,ISNUMBER($M217)),$M217/$X217,"")</f>
        <v/>
      </c>
      <c r="Z217" s="334">
        <f>IF($X217=0,"",IF(COUNTIF(⑳商品別1食労務費!$C$5:$C$124,$R217)+COUNTIF(⑳商品別1食労務費!$C$5:$C$124,$S217)+COUNTIF(⑳商品別1食労務費!$C$5:$C$124,$T217)+COUNTIF(⑳商品別1食労務費!$C$5:$C$124,$U217)+COUNTIF(⑳商品別1食労務費!$C$5:$C$124,$V217)+COUNTIF(⑳商品別1食労務費!$C$5:$C$124,$W217)=$X217,"OK","⑳に無い商品名"))</f>
        <v/>
      </c>
      <c r="AA217" s="334">
        <f>SUMIF(⑳商品別1食労務費!$C$5:$C$124,$R217,⑳商品別1食労務費!$F$5:$F$124)+SUMIF(⑳商品別1食労務費!$C$5:$C$124,$S217,⑳商品別1食労務費!$F$5:$F$124)+SUMIF(⑳商品別1食労務費!$C$5:$C$124,$T217,⑳商品別1食労務費!$F$5:$F$124)+SUMIF(⑳商品別1食労務費!$C$5:$C$124,$U217,⑳商品別1食労務費!$F$5:$F$124)+SUMIF(⑳商品別1食労務費!$C$5:$C$124,$V217,⑳商品別1食労務費!$F$5:$F$124)+SUMIF(⑳商品別1食労務費!$C$5:$C$124,$W217,⑳商品別1食労務費!$F$5:$F$124)</f>
        <v/>
      </c>
      <c r="AB217" s="334">
        <f>IF(ISNUMBER($M217),$M217,0)</f>
        <v/>
      </c>
      <c r="AC217" s="334">
        <f>IF(AND($X217&gt;0,ISNUMBER($J217)),$J217/$X217,"")</f>
        <v/>
      </c>
      <c r="AD217" s="413">
        <f>IF($R217="",0,IF($AA217&gt;0,$AB217*SUMIF(⑳商品別1食労務費!$C$5:$C$124,$R217,⑳商品別1食労務費!$F$5:$F$124)/$AA217,$AB217/$X217))</f>
        <v/>
      </c>
      <c r="AE217" s="413">
        <f>IF($S217="",0,IF($AA217&gt;0,$AB217*SUMIF(⑳商品別1食労務費!$C$5:$C$124,$S217,⑳商品別1食労務費!$F$5:$F$124)/$AA217,$AB217/$X217))</f>
        <v/>
      </c>
      <c r="AF217" s="413">
        <f>IF($T217="",0,IF($AA217&gt;0,$AB217*SUMIF(⑳商品別1食労務費!$C$5:$C$124,$T217,⑳商品別1食労務費!$F$5:$F$124)/$AA217,$AB217/$X217))</f>
        <v/>
      </c>
      <c r="AG217" s="413">
        <f>IF($U217="",0,IF($AA217&gt;0,$AB217*SUMIF(⑳商品別1食労務費!$C$5:$C$124,$U217,⑳商品別1食労務費!$F$5:$F$124)/$AA217,$AB217/$X217))</f>
        <v/>
      </c>
      <c r="AH217" s="413">
        <f>IF($V217="",0,IF($AA217&gt;0,$AB217*SUMIF(⑳商品別1食労務費!$C$5:$C$124,$V217,⑳商品別1食労務費!$F$5:$F$124)/$AA217,$AB217/$X217))</f>
        <v/>
      </c>
      <c r="AI217" s="413">
        <f>IF($W217="",0,IF($AA217&gt;0,$AB217*SUMIF(⑳商品別1食労務費!$C$5:$C$124,$W217,⑳商品別1食労務費!$F$5:$F$124)/$AA217,$AB217/$X217))</f>
        <v/>
      </c>
    </row>
    <row r="218">
      <c r="A218" s="188" t="n">
        <v>214</v>
      </c>
      <c r="B218" s="189" t="n"/>
      <c r="C218" s="229" t="n"/>
      <c r="D218" s="190" t="n"/>
      <c r="E218" s="190" t="n"/>
      <c r="F218" s="541">
        <f>IF(OR(D218="",E218=""),"",(E218-D218)*1440)</f>
        <v/>
      </c>
      <c r="G218" s="542" t="n"/>
      <c r="H218" s="542" t="n"/>
      <c r="I218" s="543" t="n"/>
      <c r="J218" s="192" t="n"/>
      <c r="K218" s="544">
        <f>IF(AND(ISNUMBER(F218),I218&gt;0),I218/(F218/60),"")</f>
        <v/>
      </c>
      <c r="L218" s="545" t="n"/>
      <c r="M218" s="194">
        <f>IF(OR(ISNUMBER(SEARCH("サニテーション",C218)),ISNUMBER(SEARCH("客注",C218)),ISNUMBER(SEARCH("切り替え",C218)),ISNUMBER(SEARCH("切替",C218)),NOT(ISNUMBER(H218))),"",IF(ISNUMBER(G218),G218/60*H218*④前提設定!$B$4,IF(AND(G218="",ISNUMBER(F218)),F218/60*H218*④前提設定!$B$4,"")))</f>
        <v/>
      </c>
      <c r="N218" s="546">
        <f>IF(AND(I218&gt;0,ISNUMBER(M218)),M218/I218,"")</f>
        <v/>
      </c>
      <c r="O218" s="547">
        <f>IF(AND(J218&gt;0,ISNUMBER(M218)),M218/J218,"")</f>
        <v/>
      </c>
      <c r="P218" s="195" t="n"/>
      <c r="Q218" s="196" t="n"/>
      <c r="X218" s="334">
        <f>COUNTA(R218:W218)</f>
        <v/>
      </c>
      <c r="Y218" s="334">
        <f>IF(AND($X218&gt;0,ISNUMBER($M218)),$M218/$X218,"")</f>
        <v/>
      </c>
      <c r="Z218" s="334">
        <f>IF($X218=0,"",IF(COUNTIF(⑳商品別1食労務費!$C$5:$C$124,$R218)+COUNTIF(⑳商品別1食労務費!$C$5:$C$124,$S218)+COUNTIF(⑳商品別1食労務費!$C$5:$C$124,$T218)+COUNTIF(⑳商品別1食労務費!$C$5:$C$124,$U218)+COUNTIF(⑳商品別1食労務費!$C$5:$C$124,$V218)+COUNTIF(⑳商品別1食労務費!$C$5:$C$124,$W218)=$X218,"OK","⑳に無い商品名"))</f>
        <v/>
      </c>
      <c r="AA218" s="334">
        <f>SUMIF(⑳商品別1食労務費!$C$5:$C$124,$R218,⑳商品別1食労務費!$F$5:$F$124)+SUMIF(⑳商品別1食労務費!$C$5:$C$124,$S218,⑳商品別1食労務費!$F$5:$F$124)+SUMIF(⑳商品別1食労務費!$C$5:$C$124,$T218,⑳商品別1食労務費!$F$5:$F$124)+SUMIF(⑳商品別1食労務費!$C$5:$C$124,$U218,⑳商品別1食労務費!$F$5:$F$124)+SUMIF(⑳商品別1食労務費!$C$5:$C$124,$V218,⑳商品別1食労務費!$F$5:$F$124)+SUMIF(⑳商品別1食労務費!$C$5:$C$124,$W218,⑳商品別1食労務費!$F$5:$F$124)</f>
        <v/>
      </c>
      <c r="AB218" s="334">
        <f>IF(ISNUMBER($M218),$M218,0)</f>
        <v/>
      </c>
      <c r="AC218" s="334">
        <f>IF(AND($X218&gt;0,ISNUMBER($J218)),$J218/$X218,"")</f>
        <v/>
      </c>
      <c r="AD218" s="413">
        <f>IF($R218="",0,IF($AA218&gt;0,$AB218*SUMIF(⑳商品別1食労務費!$C$5:$C$124,$R218,⑳商品別1食労務費!$F$5:$F$124)/$AA218,$AB218/$X218))</f>
        <v/>
      </c>
      <c r="AE218" s="413">
        <f>IF($S218="",0,IF($AA218&gt;0,$AB218*SUMIF(⑳商品別1食労務費!$C$5:$C$124,$S218,⑳商品別1食労務費!$F$5:$F$124)/$AA218,$AB218/$X218))</f>
        <v/>
      </c>
      <c r="AF218" s="413">
        <f>IF($T218="",0,IF($AA218&gt;0,$AB218*SUMIF(⑳商品別1食労務費!$C$5:$C$124,$T218,⑳商品別1食労務費!$F$5:$F$124)/$AA218,$AB218/$X218))</f>
        <v/>
      </c>
      <c r="AG218" s="413">
        <f>IF($U218="",0,IF($AA218&gt;0,$AB218*SUMIF(⑳商品別1食労務費!$C$5:$C$124,$U218,⑳商品別1食労務費!$F$5:$F$124)/$AA218,$AB218/$X218))</f>
        <v/>
      </c>
      <c r="AH218" s="413">
        <f>IF($V218="",0,IF($AA218&gt;0,$AB218*SUMIF(⑳商品別1食労務費!$C$5:$C$124,$V218,⑳商品別1食労務費!$F$5:$F$124)/$AA218,$AB218/$X218))</f>
        <v/>
      </c>
      <c r="AI218" s="413">
        <f>IF($W218="",0,IF($AA218&gt;0,$AB218*SUMIF(⑳商品別1食労務費!$C$5:$C$124,$W218,⑳商品別1食労務費!$F$5:$F$124)/$AA218,$AB218/$X218))</f>
        <v/>
      </c>
    </row>
    <row r="219">
      <c r="A219" s="197" t="n">
        <v>215</v>
      </c>
      <c r="B219" s="198" t="n"/>
      <c r="C219" s="229" t="n"/>
      <c r="D219" s="190" t="n"/>
      <c r="E219" s="190" t="n"/>
      <c r="F219" s="541">
        <f>IF(OR(D219="",E219=""),"",(E219-D219)*1440)</f>
        <v/>
      </c>
      <c r="G219" s="542" t="n"/>
      <c r="H219" s="542" t="n"/>
      <c r="I219" s="543" t="n"/>
      <c r="J219" s="192" t="n"/>
      <c r="K219" s="544">
        <f>IF(AND(ISNUMBER(F219),I219&gt;0),I219/(F219/60),"")</f>
        <v/>
      </c>
      <c r="L219" s="545" t="n"/>
      <c r="M219" s="194">
        <f>IF(OR(ISNUMBER(SEARCH("サニテーション",C219)),ISNUMBER(SEARCH("客注",C219)),ISNUMBER(SEARCH("切り替え",C219)),ISNUMBER(SEARCH("切替",C219)),NOT(ISNUMBER(H219))),"",IF(ISNUMBER(G219),G219/60*H219*④前提設定!$B$4,IF(AND(G219="",ISNUMBER(F219)),F219/60*H219*④前提設定!$B$4,"")))</f>
        <v/>
      </c>
      <c r="N219" s="546">
        <f>IF(AND(I219&gt;0,ISNUMBER(M219)),M219/I219,"")</f>
        <v/>
      </c>
      <c r="O219" s="547">
        <f>IF(AND(J219&gt;0,ISNUMBER(M219)),M219/J219,"")</f>
        <v/>
      </c>
      <c r="P219" s="199" t="n"/>
      <c r="Q219" s="200" t="n"/>
      <c r="X219" s="334">
        <f>COUNTA(R219:W219)</f>
        <v/>
      </c>
      <c r="Y219" s="334">
        <f>IF(AND($X219&gt;0,ISNUMBER($M219)),$M219/$X219,"")</f>
        <v/>
      </c>
      <c r="Z219" s="334">
        <f>IF($X219=0,"",IF(COUNTIF(⑳商品別1食労務費!$C$5:$C$124,$R219)+COUNTIF(⑳商品別1食労務費!$C$5:$C$124,$S219)+COUNTIF(⑳商品別1食労務費!$C$5:$C$124,$T219)+COUNTIF(⑳商品別1食労務費!$C$5:$C$124,$U219)+COUNTIF(⑳商品別1食労務費!$C$5:$C$124,$V219)+COUNTIF(⑳商品別1食労務費!$C$5:$C$124,$W219)=$X219,"OK","⑳に無い商品名"))</f>
        <v/>
      </c>
      <c r="AA219" s="334">
        <f>SUMIF(⑳商品別1食労務費!$C$5:$C$124,$R219,⑳商品別1食労務費!$F$5:$F$124)+SUMIF(⑳商品別1食労務費!$C$5:$C$124,$S219,⑳商品別1食労務費!$F$5:$F$124)+SUMIF(⑳商品別1食労務費!$C$5:$C$124,$T219,⑳商品別1食労務費!$F$5:$F$124)+SUMIF(⑳商品別1食労務費!$C$5:$C$124,$U219,⑳商品別1食労務費!$F$5:$F$124)+SUMIF(⑳商品別1食労務費!$C$5:$C$124,$V219,⑳商品別1食労務費!$F$5:$F$124)+SUMIF(⑳商品別1食労務費!$C$5:$C$124,$W219,⑳商品別1食労務費!$F$5:$F$124)</f>
        <v/>
      </c>
      <c r="AB219" s="334">
        <f>IF(ISNUMBER($M219),$M219,0)</f>
        <v/>
      </c>
      <c r="AC219" s="334">
        <f>IF(AND($X219&gt;0,ISNUMBER($J219)),$J219/$X219,"")</f>
        <v/>
      </c>
      <c r="AD219" s="413">
        <f>IF($R219="",0,IF($AA219&gt;0,$AB219*SUMIF(⑳商品別1食労務費!$C$5:$C$124,$R219,⑳商品別1食労務費!$F$5:$F$124)/$AA219,$AB219/$X219))</f>
        <v/>
      </c>
      <c r="AE219" s="413">
        <f>IF($S219="",0,IF($AA219&gt;0,$AB219*SUMIF(⑳商品別1食労務費!$C$5:$C$124,$S219,⑳商品別1食労務費!$F$5:$F$124)/$AA219,$AB219/$X219))</f>
        <v/>
      </c>
      <c r="AF219" s="413">
        <f>IF($T219="",0,IF($AA219&gt;0,$AB219*SUMIF(⑳商品別1食労務費!$C$5:$C$124,$T219,⑳商品別1食労務費!$F$5:$F$124)/$AA219,$AB219/$X219))</f>
        <v/>
      </c>
      <c r="AG219" s="413">
        <f>IF($U219="",0,IF($AA219&gt;0,$AB219*SUMIF(⑳商品別1食労務費!$C$5:$C$124,$U219,⑳商品別1食労務費!$F$5:$F$124)/$AA219,$AB219/$X219))</f>
        <v/>
      </c>
      <c r="AH219" s="413">
        <f>IF($V219="",0,IF($AA219&gt;0,$AB219*SUMIF(⑳商品別1食労務費!$C$5:$C$124,$V219,⑳商品別1食労務費!$F$5:$F$124)/$AA219,$AB219/$X219))</f>
        <v/>
      </c>
      <c r="AI219" s="413">
        <f>IF($W219="",0,IF($AA219&gt;0,$AB219*SUMIF(⑳商品別1食労務費!$C$5:$C$124,$W219,⑳商品別1食労務費!$F$5:$F$124)/$AA219,$AB219/$X219))</f>
        <v/>
      </c>
    </row>
    <row r="220">
      <c r="A220" s="188" t="n">
        <v>216</v>
      </c>
      <c r="B220" s="189" t="n"/>
      <c r="C220" s="229" t="n"/>
      <c r="D220" s="190" t="n"/>
      <c r="E220" s="190" t="n"/>
      <c r="F220" s="541">
        <f>IF(OR(D220="",E220=""),"",(E220-D220)*1440)</f>
        <v/>
      </c>
      <c r="G220" s="542" t="n"/>
      <c r="H220" s="542" t="n"/>
      <c r="I220" s="543" t="n"/>
      <c r="J220" s="192" t="n"/>
      <c r="K220" s="544">
        <f>IF(AND(ISNUMBER(F220),I220&gt;0),I220/(F220/60),"")</f>
        <v/>
      </c>
      <c r="L220" s="545" t="n"/>
      <c r="M220" s="194">
        <f>IF(OR(ISNUMBER(SEARCH("サニテーション",C220)),ISNUMBER(SEARCH("客注",C220)),ISNUMBER(SEARCH("切り替え",C220)),ISNUMBER(SEARCH("切替",C220)),NOT(ISNUMBER(H220))),"",IF(ISNUMBER(G220),G220/60*H220*④前提設定!$B$4,IF(AND(G220="",ISNUMBER(F220)),F220/60*H220*④前提設定!$B$4,"")))</f>
        <v/>
      </c>
      <c r="N220" s="546">
        <f>IF(AND(I220&gt;0,ISNUMBER(M220)),M220/I220,"")</f>
        <v/>
      </c>
      <c r="O220" s="547">
        <f>IF(AND(J220&gt;0,ISNUMBER(M220)),M220/J220,"")</f>
        <v/>
      </c>
      <c r="P220" s="195" t="n"/>
      <c r="Q220" s="196" t="n"/>
      <c r="X220" s="334">
        <f>COUNTA(R220:W220)</f>
        <v/>
      </c>
      <c r="Y220" s="334">
        <f>IF(AND($X220&gt;0,ISNUMBER($M220)),$M220/$X220,"")</f>
        <v/>
      </c>
      <c r="Z220" s="334">
        <f>IF($X220=0,"",IF(COUNTIF(⑳商品別1食労務費!$C$5:$C$124,$R220)+COUNTIF(⑳商品別1食労務費!$C$5:$C$124,$S220)+COUNTIF(⑳商品別1食労務費!$C$5:$C$124,$T220)+COUNTIF(⑳商品別1食労務費!$C$5:$C$124,$U220)+COUNTIF(⑳商品別1食労務費!$C$5:$C$124,$V220)+COUNTIF(⑳商品別1食労務費!$C$5:$C$124,$W220)=$X220,"OK","⑳に無い商品名"))</f>
        <v/>
      </c>
      <c r="AA220" s="334">
        <f>SUMIF(⑳商品別1食労務費!$C$5:$C$124,$R220,⑳商品別1食労務費!$F$5:$F$124)+SUMIF(⑳商品別1食労務費!$C$5:$C$124,$S220,⑳商品別1食労務費!$F$5:$F$124)+SUMIF(⑳商品別1食労務費!$C$5:$C$124,$T220,⑳商品別1食労務費!$F$5:$F$124)+SUMIF(⑳商品別1食労務費!$C$5:$C$124,$U220,⑳商品別1食労務費!$F$5:$F$124)+SUMIF(⑳商品別1食労務費!$C$5:$C$124,$V220,⑳商品別1食労務費!$F$5:$F$124)+SUMIF(⑳商品別1食労務費!$C$5:$C$124,$W220,⑳商品別1食労務費!$F$5:$F$124)</f>
        <v/>
      </c>
      <c r="AB220" s="334">
        <f>IF(ISNUMBER($M220),$M220,0)</f>
        <v/>
      </c>
      <c r="AC220" s="334">
        <f>IF(AND($X220&gt;0,ISNUMBER($J220)),$J220/$X220,"")</f>
        <v/>
      </c>
      <c r="AD220" s="413">
        <f>IF($R220="",0,IF($AA220&gt;0,$AB220*SUMIF(⑳商品別1食労務費!$C$5:$C$124,$R220,⑳商品別1食労務費!$F$5:$F$124)/$AA220,$AB220/$X220))</f>
        <v/>
      </c>
      <c r="AE220" s="413">
        <f>IF($S220="",0,IF($AA220&gt;0,$AB220*SUMIF(⑳商品別1食労務費!$C$5:$C$124,$S220,⑳商品別1食労務費!$F$5:$F$124)/$AA220,$AB220/$X220))</f>
        <v/>
      </c>
      <c r="AF220" s="413">
        <f>IF($T220="",0,IF($AA220&gt;0,$AB220*SUMIF(⑳商品別1食労務費!$C$5:$C$124,$T220,⑳商品別1食労務費!$F$5:$F$124)/$AA220,$AB220/$X220))</f>
        <v/>
      </c>
      <c r="AG220" s="413">
        <f>IF($U220="",0,IF($AA220&gt;0,$AB220*SUMIF(⑳商品別1食労務費!$C$5:$C$124,$U220,⑳商品別1食労務費!$F$5:$F$124)/$AA220,$AB220/$X220))</f>
        <v/>
      </c>
      <c r="AH220" s="413">
        <f>IF($V220="",0,IF($AA220&gt;0,$AB220*SUMIF(⑳商品別1食労務費!$C$5:$C$124,$V220,⑳商品別1食労務費!$F$5:$F$124)/$AA220,$AB220/$X220))</f>
        <v/>
      </c>
      <c r="AI220" s="413">
        <f>IF($W220="",0,IF($AA220&gt;0,$AB220*SUMIF(⑳商品別1食労務費!$C$5:$C$124,$W220,⑳商品別1食労務費!$F$5:$F$124)/$AA220,$AB220/$X220))</f>
        <v/>
      </c>
    </row>
    <row r="221">
      <c r="A221" s="197" t="n">
        <v>217</v>
      </c>
      <c r="B221" s="198" t="n"/>
      <c r="C221" s="229" t="n"/>
      <c r="D221" s="190" t="n"/>
      <c r="E221" s="190" t="n"/>
      <c r="F221" s="541">
        <f>IF(OR(D221="",E221=""),"",(E221-D221)*1440)</f>
        <v/>
      </c>
      <c r="G221" s="542" t="n"/>
      <c r="H221" s="542" t="n"/>
      <c r="I221" s="543" t="n"/>
      <c r="J221" s="192" t="n"/>
      <c r="K221" s="544">
        <f>IF(AND(ISNUMBER(F221),I221&gt;0),I221/(F221/60),"")</f>
        <v/>
      </c>
      <c r="L221" s="545" t="n"/>
      <c r="M221" s="194">
        <f>IF(OR(ISNUMBER(SEARCH("サニテーション",C221)),ISNUMBER(SEARCH("客注",C221)),ISNUMBER(SEARCH("切り替え",C221)),ISNUMBER(SEARCH("切替",C221)),NOT(ISNUMBER(H221))),"",IF(ISNUMBER(G221),G221/60*H221*④前提設定!$B$4,IF(AND(G221="",ISNUMBER(F221)),F221/60*H221*④前提設定!$B$4,"")))</f>
        <v/>
      </c>
      <c r="N221" s="546">
        <f>IF(AND(I221&gt;0,ISNUMBER(M221)),M221/I221,"")</f>
        <v/>
      </c>
      <c r="O221" s="547">
        <f>IF(AND(J221&gt;0,ISNUMBER(M221)),M221/J221,"")</f>
        <v/>
      </c>
      <c r="P221" s="199" t="n"/>
      <c r="Q221" s="200" t="n"/>
      <c r="X221" s="334">
        <f>COUNTA(R221:W221)</f>
        <v/>
      </c>
      <c r="Y221" s="334">
        <f>IF(AND($X221&gt;0,ISNUMBER($M221)),$M221/$X221,"")</f>
        <v/>
      </c>
      <c r="Z221" s="334">
        <f>IF($X221=0,"",IF(COUNTIF(⑳商品別1食労務費!$C$5:$C$124,$R221)+COUNTIF(⑳商品別1食労務費!$C$5:$C$124,$S221)+COUNTIF(⑳商品別1食労務費!$C$5:$C$124,$T221)+COUNTIF(⑳商品別1食労務費!$C$5:$C$124,$U221)+COUNTIF(⑳商品別1食労務費!$C$5:$C$124,$V221)+COUNTIF(⑳商品別1食労務費!$C$5:$C$124,$W221)=$X221,"OK","⑳に無い商品名"))</f>
        <v/>
      </c>
      <c r="AA221" s="334">
        <f>SUMIF(⑳商品別1食労務費!$C$5:$C$124,$R221,⑳商品別1食労務費!$F$5:$F$124)+SUMIF(⑳商品別1食労務費!$C$5:$C$124,$S221,⑳商品別1食労務費!$F$5:$F$124)+SUMIF(⑳商品別1食労務費!$C$5:$C$124,$T221,⑳商品別1食労務費!$F$5:$F$124)+SUMIF(⑳商品別1食労務費!$C$5:$C$124,$U221,⑳商品別1食労務費!$F$5:$F$124)+SUMIF(⑳商品別1食労務費!$C$5:$C$124,$V221,⑳商品別1食労務費!$F$5:$F$124)+SUMIF(⑳商品別1食労務費!$C$5:$C$124,$W221,⑳商品別1食労務費!$F$5:$F$124)</f>
        <v/>
      </c>
      <c r="AB221" s="334">
        <f>IF(ISNUMBER($M221),$M221,0)</f>
        <v/>
      </c>
      <c r="AC221" s="334">
        <f>IF(AND($X221&gt;0,ISNUMBER($J221)),$J221/$X221,"")</f>
        <v/>
      </c>
      <c r="AD221" s="413">
        <f>IF($R221="",0,IF($AA221&gt;0,$AB221*SUMIF(⑳商品別1食労務費!$C$5:$C$124,$R221,⑳商品別1食労務費!$F$5:$F$124)/$AA221,$AB221/$X221))</f>
        <v/>
      </c>
      <c r="AE221" s="413">
        <f>IF($S221="",0,IF($AA221&gt;0,$AB221*SUMIF(⑳商品別1食労務費!$C$5:$C$124,$S221,⑳商品別1食労務費!$F$5:$F$124)/$AA221,$AB221/$X221))</f>
        <v/>
      </c>
      <c r="AF221" s="413">
        <f>IF($T221="",0,IF($AA221&gt;0,$AB221*SUMIF(⑳商品別1食労務費!$C$5:$C$124,$T221,⑳商品別1食労務費!$F$5:$F$124)/$AA221,$AB221/$X221))</f>
        <v/>
      </c>
      <c r="AG221" s="413">
        <f>IF($U221="",0,IF($AA221&gt;0,$AB221*SUMIF(⑳商品別1食労務費!$C$5:$C$124,$U221,⑳商品別1食労務費!$F$5:$F$124)/$AA221,$AB221/$X221))</f>
        <v/>
      </c>
      <c r="AH221" s="413">
        <f>IF($V221="",0,IF($AA221&gt;0,$AB221*SUMIF(⑳商品別1食労務費!$C$5:$C$124,$V221,⑳商品別1食労務費!$F$5:$F$124)/$AA221,$AB221/$X221))</f>
        <v/>
      </c>
      <c r="AI221" s="413">
        <f>IF($W221="",0,IF($AA221&gt;0,$AB221*SUMIF(⑳商品別1食労務費!$C$5:$C$124,$W221,⑳商品別1食労務費!$F$5:$F$124)/$AA221,$AB221/$X221))</f>
        <v/>
      </c>
    </row>
    <row r="222">
      <c r="A222" s="188" t="n">
        <v>218</v>
      </c>
      <c r="B222" s="189" t="n"/>
      <c r="C222" s="229" t="n"/>
      <c r="D222" s="190" t="n"/>
      <c r="E222" s="190" t="n"/>
      <c r="F222" s="541">
        <f>IF(OR(D222="",E222=""),"",(E222-D222)*1440)</f>
        <v/>
      </c>
      <c r="G222" s="542" t="n"/>
      <c r="H222" s="542" t="n"/>
      <c r="I222" s="543" t="n"/>
      <c r="J222" s="192" t="n"/>
      <c r="K222" s="544">
        <f>IF(AND(ISNUMBER(F222),I222&gt;0),I222/(F222/60),"")</f>
        <v/>
      </c>
      <c r="L222" s="545" t="n"/>
      <c r="M222" s="194">
        <f>IF(OR(ISNUMBER(SEARCH("サニテーション",C222)),ISNUMBER(SEARCH("客注",C222)),ISNUMBER(SEARCH("切り替え",C222)),ISNUMBER(SEARCH("切替",C222)),NOT(ISNUMBER(H222))),"",IF(ISNUMBER(G222),G222/60*H222*④前提設定!$B$4,IF(AND(G222="",ISNUMBER(F222)),F222/60*H222*④前提設定!$B$4,"")))</f>
        <v/>
      </c>
      <c r="N222" s="546">
        <f>IF(AND(I222&gt;0,ISNUMBER(M222)),M222/I222,"")</f>
        <v/>
      </c>
      <c r="O222" s="547">
        <f>IF(AND(J222&gt;0,ISNUMBER(M222)),M222/J222,"")</f>
        <v/>
      </c>
      <c r="P222" s="195" t="n"/>
      <c r="Q222" s="196" t="n"/>
      <c r="X222" s="334">
        <f>COUNTA(R222:W222)</f>
        <v/>
      </c>
      <c r="Y222" s="334">
        <f>IF(AND($X222&gt;0,ISNUMBER($M222)),$M222/$X222,"")</f>
        <v/>
      </c>
      <c r="Z222" s="334">
        <f>IF($X222=0,"",IF(COUNTIF(⑳商品別1食労務費!$C$5:$C$124,$R222)+COUNTIF(⑳商品別1食労務費!$C$5:$C$124,$S222)+COUNTIF(⑳商品別1食労務費!$C$5:$C$124,$T222)+COUNTIF(⑳商品別1食労務費!$C$5:$C$124,$U222)+COUNTIF(⑳商品別1食労務費!$C$5:$C$124,$V222)+COUNTIF(⑳商品別1食労務費!$C$5:$C$124,$W222)=$X222,"OK","⑳に無い商品名"))</f>
        <v/>
      </c>
      <c r="AA222" s="334">
        <f>SUMIF(⑳商品別1食労務費!$C$5:$C$124,$R222,⑳商品別1食労務費!$F$5:$F$124)+SUMIF(⑳商品別1食労務費!$C$5:$C$124,$S222,⑳商品別1食労務費!$F$5:$F$124)+SUMIF(⑳商品別1食労務費!$C$5:$C$124,$T222,⑳商品別1食労務費!$F$5:$F$124)+SUMIF(⑳商品別1食労務費!$C$5:$C$124,$U222,⑳商品別1食労務費!$F$5:$F$124)+SUMIF(⑳商品別1食労務費!$C$5:$C$124,$V222,⑳商品別1食労務費!$F$5:$F$124)+SUMIF(⑳商品別1食労務費!$C$5:$C$124,$W222,⑳商品別1食労務費!$F$5:$F$124)</f>
        <v/>
      </c>
      <c r="AB222" s="334">
        <f>IF(ISNUMBER($M222),$M222,0)</f>
        <v/>
      </c>
      <c r="AC222" s="334">
        <f>IF(AND($X222&gt;0,ISNUMBER($J222)),$J222/$X222,"")</f>
        <v/>
      </c>
      <c r="AD222" s="413">
        <f>IF($R222="",0,IF($AA222&gt;0,$AB222*SUMIF(⑳商品別1食労務費!$C$5:$C$124,$R222,⑳商品別1食労務費!$F$5:$F$124)/$AA222,$AB222/$X222))</f>
        <v/>
      </c>
      <c r="AE222" s="413">
        <f>IF($S222="",0,IF($AA222&gt;0,$AB222*SUMIF(⑳商品別1食労務費!$C$5:$C$124,$S222,⑳商品別1食労務費!$F$5:$F$124)/$AA222,$AB222/$X222))</f>
        <v/>
      </c>
      <c r="AF222" s="413">
        <f>IF($T222="",0,IF($AA222&gt;0,$AB222*SUMIF(⑳商品別1食労務費!$C$5:$C$124,$T222,⑳商品別1食労務費!$F$5:$F$124)/$AA222,$AB222/$X222))</f>
        <v/>
      </c>
      <c r="AG222" s="413">
        <f>IF($U222="",0,IF($AA222&gt;0,$AB222*SUMIF(⑳商品別1食労務費!$C$5:$C$124,$U222,⑳商品別1食労務費!$F$5:$F$124)/$AA222,$AB222/$X222))</f>
        <v/>
      </c>
      <c r="AH222" s="413">
        <f>IF($V222="",0,IF($AA222&gt;0,$AB222*SUMIF(⑳商品別1食労務費!$C$5:$C$124,$V222,⑳商品別1食労務費!$F$5:$F$124)/$AA222,$AB222/$X222))</f>
        <v/>
      </c>
      <c r="AI222" s="413">
        <f>IF($W222="",0,IF($AA222&gt;0,$AB222*SUMIF(⑳商品別1食労務費!$C$5:$C$124,$W222,⑳商品別1食労務費!$F$5:$F$124)/$AA222,$AB222/$X222))</f>
        <v/>
      </c>
    </row>
    <row r="223">
      <c r="A223" s="197" t="n">
        <v>219</v>
      </c>
      <c r="B223" s="198" t="n"/>
      <c r="C223" s="229" t="n"/>
      <c r="D223" s="190" t="n"/>
      <c r="E223" s="190" t="n"/>
      <c r="F223" s="541">
        <f>IF(OR(D223="",E223=""),"",(E223-D223)*1440)</f>
        <v/>
      </c>
      <c r="G223" s="542" t="n"/>
      <c r="H223" s="542" t="n"/>
      <c r="I223" s="543" t="n"/>
      <c r="J223" s="192" t="n"/>
      <c r="K223" s="544">
        <f>IF(AND(ISNUMBER(F223),I223&gt;0),I223/(F223/60),"")</f>
        <v/>
      </c>
      <c r="L223" s="545" t="n"/>
      <c r="M223" s="194">
        <f>IF(OR(ISNUMBER(SEARCH("サニテーション",C223)),ISNUMBER(SEARCH("客注",C223)),ISNUMBER(SEARCH("切り替え",C223)),ISNUMBER(SEARCH("切替",C223)),NOT(ISNUMBER(H223))),"",IF(ISNUMBER(G223),G223/60*H223*④前提設定!$B$4,IF(AND(G223="",ISNUMBER(F223)),F223/60*H223*④前提設定!$B$4,"")))</f>
        <v/>
      </c>
      <c r="N223" s="546">
        <f>IF(AND(I223&gt;0,ISNUMBER(M223)),M223/I223,"")</f>
        <v/>
      </c>
      <c r="O223" s="547">
        <f>IF(AND(J223&gt;0,ISNUMBER(M223)),M223/J223,"")</f>
        <v/>
      </c>
      <c r="P223" s="199" t="n"/>
      <c r="Q223" s="200" t="n"/>
      <c r="X223" s="334">
        <f>COUNTA(R223:W223)</f>
        <v/>
      </c>
      <c r="Y223" s="334">
        <f>IF(AND($X223&gt;0,ISNUMBER($M223)),$M223/$X223,"")</f>
        <v/>
      </c>
      <c r="Z223" s="334">
        <f>IF($X223=0,"",IF(COUNTIF(⑳商品別1食労務費!$C$5:$C$124,$R223)+COUNTIF(⑳商品別1食労務費!$C$5:$C$124,$S223)+COUNTIF(⑳商品別1食労務費!$C$5:$C$124,$T223)+COUNTIF(⑳商品別1食労務費!$C$5:$C$124,$U223)+COUNTIF(⑳商品別1食労務費!$C$5:$C$124,$V223)+COUNTIF(⑳商品別1食労務費!$C$5:$C$124,$W223)=$X223,"OK","⑳に無い商品名"))</f>
        <v/>
      </c>
      <c r="AA223" s="334">
        <f>SUMIF(⑳商品別1食労務費!$C$5:$C$124,$R223,⑳商品別1食労務費!$F$5:$F$124)+SUMIF(⑳商品別1食労務費!$C$5:$C$124,$S223,⑳商品別1食労務費!$F$5:$F$124)+SUMIF(⑳商品別1食労務費!$C$5:$C$124,$T223,⑳商品別1食労務費!$F$5:$F$124)+SUMIF(⑳商品別1食労務費!$C$5:$C$124,$U223,⑳商品別1食労務費!$F$5:$F$124)+SUMIF(⑳商品別1食労務費!$C$5:$C$124,$V223,⑳商品別1食労務費!$F$5:$F$124)+SUMIF(⑳商品別1食労務費!$C$5:$C$124,$W223,⑳商品別1食労務費!$F$5:$F$124)</f>
        <v/>
      </c>
      <c r="AB223" s="334">
        <f>IF(ISNUMBER($M223),$M223,0)</f>
        <v/>
      </c>
      <c r="AC223" s="334">
        <f>IF(AND($X223&gt;0,ISNUMBER($J223)),$J223/$X223,"")</f>
        <v/>
      </c>
      <c r="AD223" s="413">
        <f>IF($R223="",0,IF($AA223&gt;0,$AB223*SUMIF(⑳商品別1食労務費!$C$5:$C$124,$R223,⑳商品別1食労務費!$F$5:$F$124)/$AA223,$AB223/$X223))</f>
        <v/>
      </c>
      <c r="AE223" s="413">
        <f>IF($S223="",0,IF($AA223&gt;0,$AB223*SUMIF(⑳商品別1食労務費!$C$5:$C$124,$S223,⑳商品別1食労務費!$F$5:$F$124)/$AA223,$AB223/$X223))</f>
        <v/>
      </c>
      <c r="AF223" s="413">
        <f>IF($T223="",0,IF($AA223&gt;0,$AB223*SUMIF(⑳商品別1食労務費!$C$5:$C$124,$T223,⑳商品別1食労務費!$F$5:$F$124)/$AA223,$AB223/$X223))</f>
        <v/>
      </c>
      <c r="AG223" s="413">
        <f>IF($U223="",0,IF($AA223&gt;0,$AB223*SUMIF(⑳商品別1食労務費!$C$5:$C$124,$U223,⑳商品別1食労務費!$F$5:$F$124)/$AA223,$AB223/$X223))</f>
        <v/>
      </c>
      <c r="AH223" s="413">
        <f>IF($V223="",0,IF($AA223&gt;0,$AB223*SUMIF(⑳商品別1食労務費!$C$5:$C$124,$V223,⑳商品別1食労務費!$F$5:$F$124)/$AA223,$AB223/$X223))</f>
        <v/>
      </c>
      <c r="AI223" s="413">
        <f>IF($W223="",0,IF($AA223&gt;0,$AB223*SUMIF(⑳商品別1食労務費!$C$5:$C$124,$W223,⑳商品別1食労務費!$F$5:$F$124)/$AA223,$AB223/$X223))</f>
        <v/>
      </c>
    </row>
    <row r="224">
      <c r="A224" s="188" t="n">
        <v>220</v>
      </c>
      <c r="B224" s="189" t="n"/>
      <c r="C224" s="229" t="n"/>
      <c r="D224" s="190" t="n"/>
      <c r="E224" s="190" t="n"/>
      <c r="F224" s="541">
        <f>IF(OR(D224="",E224=""),"",(E224-D224)*1440)</f>
        <v/>
      </c>
      <c r="G224" s="542" t="n"/>
      <c r="H224" s="542" t="n"/>
      <c r="I224" s="543" t="n"/>
      <c r="J224" s="192" t="n"/>
      <c r="K224" s="544">
        <f>IF(AND(ISNUMBER(F224),I224&gt;0),I224/(F224/60),"")</f>
        <v/>
      </c>
      <c r="L224" s="545" t="n"/>
      <c r="M224" s="194">
        <f>IF(OR(ISNUMBER(SEARCH("サニテーション",C224)),ISNUMBER(SEARCH("客注",C224)),ISNUMBER(SEARCH("切り替え",C224)),ISNUMBER(SEARCH("切替",C224)),NOT(ISNUMBER(H224))),"",IF(ISNUMBER(G224),G224/60*H224*④前提設定!$B$4,IF(AND(G224="",ISNUMBER(F224)),F224/60*H224*④前提設定!$B$4,"")))</f>
        <v/>
      </c>
      <c r="N224" s="546">
        <f>IF(AND(I224&gt;0,ISNUMBER(M224)),M224/I224,"")</f>
        <v/>
      </c>
      <c r="O224" s="547">
        <f>IF(AND(J224&gt;0,ISNUMBER(M224)),M224/J224,"")</f>
        <v/>
      </c>
      <c r="P224" s="195" t="n"/>
      <c r="Q224" s="196" t="n"/>
      <c r="X224" s="334">
        <f>COUNTA(R224:W224)</f>
        <v/>
      </c>
      <c r="Y224" s="334">
        <f>IF(AND($X224&gt;0,ISNUMBER($M224)),$M224/$X224,"")</f>
        <v/>
      </c>
      <c r="Z224" s="334">
        <f>IF($X224=0,"",IF(COUNTIF(⑳商品別1食労務費!$C$5:$C$124,$R224)+COUNTIF(⑳商品別1食労務費!$C$5:$C$124,$S224)+COUNTIF(⑳商品別1食労務費!$C$5:$C$124,$T224)+COUNTIF(⑳商品別1食労務費!$C$5:$C$124,$U224)+COUNTIF(⑳商品別1食労務費!$C$5:$C$124,$V224)+COUNTIF(⑳商品別1食労務費!$C$5:$C$124,$W224)=$X224,"OK","⑳に無い商品名"))</f>
        <v/>
      </c>
      <c r="AA224" s="334">
        <f>SUMIF(⑳商品別1食労務費!$C$5:$C$124,$R224,⑳商品別1食労務費!$F$5:$F$124)+SUMIF(⑳商品別1食労務費!$C$5:$C$124,$S224,⑳商品別1食労務費!$F$5:$F$124)+SUMIF(⑳商品別1食労務費!$C$5:$C$124,$T224,⑳商品別1食労務費!$F$5:$F$124)+SUMIF(⑳商品別1食労務費!$C$5:$C$124,$U224,⑳商品別1食労務費!$F$5:$F$124)+SUMIF(⑳商品別1食労務費!$C$5:$C$124,$V224,⑳商品別1食労務費!$F$5:$F$124)+SUMIF(⑳商品別1食労務費!$C$5:$C$124,$W224,⑳商品別1食労務費!$F$5:$F$124)</f>
        <v/>
      </c>
      <c r="AB224" s="334">
        <f>IF(ISNUMBER($M224),$M224,0)</f>
        <v/>
      </c>
      <c r="AC224" s="334">
        <f>IF(AND($X224&gt;0,ISNUMBER($J224)),$J224/$X224,"")</f>
        <v/>
      </c>
      <c r="AD224" s="413">
        <f>IF($R224="",0,IF($AA224&gt;0,$AB224*SUMIF(⑳商品別1食労務費!$C$5:$C$124,$R224,⑳商品別1食労務費!$F$5:$F$124)/$AA224,$AB224/$X224))</f>
        <v/>
      </c>
      <c r="AE224" s="413">
        <f>IF($S224="",0,IF($AA224&gt;0,$AB224*SUMIF(⑳商品別1食労務費!$C$5:$C$124,$S224,⑳商品別1食労務費!$F$5:$F$124)/$AA224,$AB224/$X224))</f>
        <v/>
      </c>
      <c r="AF224" s="413">
        <f>IF($T224="",0,IF($AA224&gt;0,$AB224*SUMIF(⑳商品別1食労務費!$C$5:$C$124,$T224,⑳商品別1食労務費!$F$5:$F$124)/$AA224,$AB224/$X224))</f>
        <v/>
      </c>
      <c r="AG224" s="413">
        <f>IF($U224="",0,IF($AA224&gt;0,$AB224*SUMIF(⑳商品別1食労務費!$C$5:$C$124,$U224,⑳商品別1食労務費!$F$5:$F$124)/$AA224,$AB224/$X224))</f>
        <v/>
      </c>
      <c r="AH224" s="413">
        <f>IF($V224="",0,IF($AA224&gt;0,$AB224*SUMIF(⑳商品別1食労務費!$C$5:$C$124,$V224,⑳商品別1食労務費!$F$5:$F$124)/$AA224,$AB224/$X224))</f>
        <v/>
      </c>
      <c r="AI224" s="413">
        <f>IF($W224="",0,IF($AA224&gt;0,$AB224*SUMIF(⑳商品別1食労務費!$C$5:$C$124,$W224,⑳商品別1食労務費!$F$5:$F$124)/$AA224,$AB224/$X224))</f>
        <v/>
      </c>
    </row>
    <row r="225">
      <c r="A225" s="197" t="n">
        <v>221</v>
      </c>
      <c r="B225" s="198" t="n"/>
      <c r="C225" s="229" t="n"/>
      <c r="D225" s="190" t="n"/>
      <c r="E225" s="190" t="n"/>
      <c r="F225" s="541">
        <f>IF(OR(D225="",E225=""),"",(E225-D225)*1440)</f>
        <v/>
      </c>
      <c r="G225" s="542" t="n"/>
      <c r="H225" s="542" t="n"/>
      <c r="I225" s="543" t="n"/>
      <c r="J225" s="192" t="n"/>
      <c r="K225" s="544">
        <f>IF(AND(ISNUMBER(F225),I225&gt;0),I225/(F225/60),"")</f>
        <v/>
      </c>
      <c r="L225" s="545" t="n"/>
      <c r="M225" s="194">
        <f>IF(OR(ISNUMBER(SEARCH("サニテーション",C225)),ISNUMBER(SEARCH("客注",C225)),ISNUMBER(SEARCH("切り替え",C225)),ISNUMBER(SEARCH("切替",C225)),NOT(ISNUMBER(H225))),"",IF(ISNUMBER(G225),G225/60*H225*④前提設定!$B$4,IF(AND(G225="",ISNUMBER(F225)),F225/60*H225*④前提設定!$B$4,"")))</f>
        <v/>
      </c>
      <c r="N225" s="546">
        <f>IF(AND(I225&gt;0,ISNUMBER(M225)),M225/I225,"")</f>
        <v/>
      </c>
      <c r="O225" s="547">
        <f>IF(AND(J225&gt;0,ISNUMBER(M225)),M225/J225,"")</f>
        <v/>
      </c>
      <c r="P225" s="199" t="n"/>
      <c r="Q225" s="200" t="n"/>
      <c r="X225" s="334">
        <f>COUNTA(R225:W225)</f>
        <v/>
      </c>
      <c r="Y225" s="334">
        <f>IF(AND($X225&gt;0,ISNUMBER($M225)),$M225/$X225,"")</f>
        <v/>
      </c>
      <c r="Z225" s="334">
        <f>IF($X225=0,"",IF(COUNTIF(⑳商品別1食労務費!$C$5:$C$124,$R225)+COUNTIF(⑳商品別1食労務費!$C$5:$C$124,$S225)+COUNTIF(⑳商品別1食労務費!$C$5:$C$124,$T225)+COUNTIF(⑳商品別1食労務費!$C$5:$C$124,$U225)+COUNTIF(⑳商品別1食労務費!$C$5:$C$124,$V225)+COUNTIF(⑳商品別1食労務費!$C$5:$C$124,$W225)=$X225,"OK","⑳に無い商品名"))</f>
        <v/>
      </c>
      <c r="AA225" s="334">
        <f>SUMIF(⑳商品別1食労務費!$C$5:$C$124,$R225,⑳商品別1食労務費!$F$5:$F$124)+SUMIF(⑳商品別1食労務費!$C$5:$C$124,$S225,⑳商品別1食労務費!$F$5:$F$124)+SUMIF(⑳商品別1食労務費!$C$5:$C$124,$T225,⑳商品別1食労務費!$F$5:$F$124)+SUMIF(⑳商品別1食労務費!$C$5:$C$124,$U225,⑳商品別1食労務費!$F$5:$F$124)+SUMIF(⑳商品別1食労務費!$C$5:$C$124,$V225,⑳商品別1食労務費!$F$5:$F$124)+SUMIF(⑳商品別1食労務費!$C$5:$C$124,$W225,⑳商品別1食労務費!$F$5:$F$124)</f>
        <v/>
      </c>
      <c r="AB225" s="334">
        <f>IF(ISNUMBER($M225),$M225,0)</f>
        <v/>
      </c>
      <c r="AC225" s="334">
        <f>IF(AND($X225&gt;0,ISNUMBER($J225)),$J225/$X225,"")</f>
        <v/>
      </c>
      <c r="AD225" s="413">
        <f>IF($R225="",0,IF($AA225&gt;0,$AB225*SUMIF(⑳商品別1食労務費!$C$5:$C$124,$R225,⑳商品別1食労務費!$F$5:$F$124)/$AA225,$AB225/$X225))</f>
        <v/>
      </c>
      <c r="AE225" s="413">
        <f>IF($S225="",0,IF($AA225&gt;0,$AB225*SUMIF(⑳商品別1食労務費!$C$5:$C$124,$S225,⑳商品別1食労務費!$F$5:$F$124)/$AA225,$AB225/$X225))</f>
        <v/>
      </c>
      <c r="AF225" s="413">
        <f>IF($T225="",0,IF($AA225&gt;0,$AB225*SUMIF(⑳商品別1食労務費!$C$5:$C$124,$T225,⑳商品別1食労務費!$F$5:$F$124)/$AA225,$AB225/$X225))</f>
        <v/>
      </c>
      <c r="AG225" s="413">
        <f>IF($U225="",0,IF($AA225&gt;0,$AB225*SUMIF(⑳商品別1食労務費!$C$5:$C$124,$U225,⑳商品別1食労務費!$F$5:$F$124)/$AA225,$AB225/$X225))</f>
        <v/>
      </c>
      <c r="AH225" s="413">
        <f>IF($V225="",0,IF($AA225&gt;0,$AB225*SUMIF(⑳商品別1食労務費!$C$5:$C$124,$V225,⑳商品別1食労務費!$F$5:$F$124)/$AA225,$AB225/$X225))</f>
        <v/>
      </c>
      <c r="AI225" s="413">
        <f>IF($W225="",0,IF($AA225&gt;0,$AB225*SUMIF(⑳商品別1食労務費!$C$5:$C$124,$W225,⑳商品別1食労務費!$F$5:$F$124)/$AA225,$AB225/$X225))</f>
        <v/>
      </c>
    </row>
    <row r="226">
      <c r="A226" s="188" t="n">
        <v>222</v>
      </c>
      <c r="B226" s="189" t="n"/>
      <c r="C226" s="229" t="n"/>
      <c r="D226" s="190" t="n"/>
      <c r="E226" s="190" t="n"/>
      <c r="F226" s="541">
        <f>IF(OR(D226="",E226=""),"",(E226-D226)*1440)</f>
        <v/>
      </c>
      <c r="G226" s="542" t="n"/>
      <c r="H226" s="542" t="n"/>
      <c r="I226" s="543" t="n"/>
      <c r="J226" s="192" t="n"/>
      <c r="K226" s="544">
        <f>IF(AND(ISNUMBER(F226),I226&gt;0),I226/(F226/60),"")</f>
        <v/>
      </c>
      <c r="L226" s="545" t="n"/>
      <c r="M226" s="194">
        <f>IF(OR(ISNUMBER(SEARCH("サニテーション",C226)),ISNUMBER(SEARCH("客注",C226)),ISNUMBER(SEARCH("切り替え",C226)),ISNUMBER(SEARCH("切替",C226)),NOT(ISNUMBER(H226))),"",IF(ISNUMBER(G226),G226/60*H226*④前提設定!$B$4,IF(AND(G226="",ISNUMBER(F226)),F226/60*H226*④前提設定!$B$4,"")))</f>
        <v/>
      </c>
      <c r="N226" s="546">
        <f>IF(AND(I226&gt;0,ISNUMBER(M226)),M226/I226,"")</f>
        <v/>
      </c>
      <c r="O226" s="547">
        <f>IF(AND(J226&gt;0,ISNUMBER(M226)),M226/J226,"")</f>
        <v/>
      </c>
      <c r="P226" s="195" t="n"/>
      <c r="Q226" s="196" t="n"/>
      <c r="X226" s="334">
        <f>COUNTA(R226:W226)</f>
        <v/>
      </c>
      <c r="Y226" s="334">
        <f>IF(AND($X226&gt;0,ISNUMBER($M226)),$M226/$X226,"")</f>
        <v/>
      </c>
      <c r="Z226" s="334">
        <f>IF($X226=0,"",IF(COUNTIF(⑳商品別1食労務費!$C$5:$C$124,$R226)+COUNTIF(⑳商品別1食労務費!$C$5:$C$124,$S226)+COUNTIF(⑳商品別1食労務費!$C$5:$C$124,$T226)+COUNTIF(⑳商品別1食労務費!$C$5:$C$124,$U226)+COUNTIF(⑳商品別1食労務費!$C$5:$C$124,$V226)+COUNTIF(⑳商品別1食労務費!$C$5:$C$124,$W226)=$X226,"OK","⑳に無い商品名"))</f>
        <v/>
      </c>
      <c r="AA226" s="334">
        <f>SUMIF(⑳商品別1食労務費!$C$5:$C$124,$R226,⑳商品別1食労務費!$F$5:$F$124)+SUMIF(⑳商品別1食労務費!$C$5:$C$124,$S226,⑳商品別1食労務費!$F$5:$F$124)+SUMIF(⑳商品別1食労務費!$C$5:$C$124,$T226,⑳商品別1食労務費!$F$5:$F$124)+SUMIF(⑳商品別1食労務費!$C$5:$C$124,$U226,⑳商品別1食労務費!$F$5:$F$124)+SUMIF(⑳商品別1食労務費!$C$5:$C$124,$V226,⑳商品別1食労務費!$F$5:$F$124)+SUMIF(⑳商品別1食労務費!$C$5:$C$124,$W226,⑳商品別1食労務費!$F$5:$F$124)</f>
        <v/>
      </c>
      <c r="AB226" s="334">
        <f>IF(ISNUMBER($M226),$M226,0)</f>
        <v/>
      </c>
      <c r="AC226" s="334">
        <f>IF(AND($X226&gt;0,ISNUMBER($J226)),$J226/$X226,"")</f>
        <v/>
      </c>
      <c r="AD226" s="413">
        <f>IF($R226="",0,IF($AA226&gt;0,$AB226*SUMIF(⑳商品別1食労務費!$C$5:$C$124,$R226,⑳商品別1食労務費!$F$5:$F$124)/$AA226,$AB226/$X226))</f>
        <v/>
      </c>
      <c r="AE226" s="413">
        <f>IF($S226="",0,IF($AA226&gt;0,$AB226*SUMIF(⑳商品別1食労務費!$C$5:$C$124,$S226,⑳商品別1食労務費!$F$5:$F$124)/$AA226,$AB226/$X226))</f>
        <v/>
      </c>
      <c r="AF226" s="413">
        <f>IF($T226="",0,IF($AA226&gt;0,$AB226*SUMIF(⑳商品別1食労務費!$C$5:$C$124,$T226,⑳商品別1食労務費!$F$5:$F$124)/$AA226,$AB226/$X226))</f>
        <v/>
      </c>
      <c r="AG226" s="413">
        <f>IF($U226="",0,IF($AA226&gt;0,$AB226*SUMIF(⑳商品別1食労務費!$C$5:$C$124,$U226,⑳商品別1食労務費!$F$5:$F$124)/$AA226,$AB226/$X226))</f>
        <v/>
      </c>
      <c r="AH226" s="413">
        <f>IF($V226="",0,IF($AA226&gt;0,$AB226*SUMIF(⑳商品別1食労務費!$C$5:$C$124,$V226,⑳商品別1食労務費!$F$5:$F$124)/$AA226,$AB226/$X226))</f>
        <v/>
      </c>
      <c r="AI226" s="413">
        <f>IF($W226="",0,IF($AA226&gt;0,$AB226*SUMIF(⑳商品別1食労務費!$C$5:$C$124,$W226,⑳商品別1食労務費!$F$5:$F$124)/$AA226,$AB226/$X226))</f>
        <v/>
      </c>
    </row>
    <row r="227">
      <c r="A227" s="197" t="n">
        <v>223</v>
      </c>
      <c r="B227" s="198" t="n"/>
      <c r="C227" s="229" t="n"/>
      <c r="D227" s="190" t="n"/>
      <c r="E227" s="190" t="n"/>
      <c r="F227" s="541">
        <f>IF(OR(D227="",E227=""),"",(E227-D227)*1440)</f>
        <v/>
      </c>
      <c r="G227" s="542" t="n"/>
      <c r="H227" s="542" t="n"/>
      <c r="I227" s="543" t="n"/>
      <c r="J227" s="192" t="n"/>
      <c r="K227" s="544">
        <f>IF(AND(ISNUMBER(F227),I227&gt;0),I227/(F227/60),"")</f>
        <v/>
      </c>
      <c r="L227" s="545" t="n"/>
      <c r="M227" s="194">
        <f>IF(OR(ISNUMBER(SEARCH("サニテーション",C227)),ISNUMBER(SEARCH("客注",C227)),ISNUMBER(SEARCH("切り替え",C227)),ISNUMBER(SEARCH("切替",C227)),NOT(ISNUMBER(H227))),"",IF(ISNUMBER(G227),G227/60*H227*④前提設定!$B$4,IF(AND(G227="",ISNUMBER(F227)),F227/60*H227*④前提設定!$B$4,"")))</f>
        <v/>
      </c>
      <c r="N227" s="546">
        <f>IF(AND(I227&gt;0,ISNUMBER(M227)),M227/I227,"")</f>
        <v/>
      </c>
      <c r="O227" s="547">
        <f>IF(AND(J227&gt;0,ISNUMBER(M227)),M227/J227,"")</f>
        <v/>
      </c>
      <c r="P227" s="199" t="n"/>
      <c r="Q227" s="200" t="n"/>
      <c r="X227" s="334">
        <f>COUNTA(R227:W227)</f>
        <v/>
      </c>
      <c r="Y227" s="334">
        <f>IF(AND($X227&gt;0,ISNUMBER($M227)),$M227/$X227,"")</f>
        <v/>
      </c>
      <c r="Z227" s="334">
        <f>IF($X227=0,"",IF(COUNTIF(⑳商品別1食労務費!$C$5:$C$124,$R227)+COUNTIF(⑳商品別1食労務費!$C$5:$C$124,$S227)+COUNTIF(⑳商品別1食労務費!$C$5:$C$124,$T227)+COUNTIF(⑳商品別1食労務費!$C$5:$C$124,$U227)+COUNTIF(⑳商品別1食労務費!$C$5:$C$124,$V227)+COUNTIF(⑳商品別1食労務費!$C$5:$C$124,$W227)=$X227,"OK","⑳に無い商品名"))</f>
        <v/>
      </c>
      <c r="AA227" s="334">
        <f>SUMIF(⑳商品別1食労務費!$C$5:$C$124,$R227,⑳商品別1食労務費!$F$5:$F$124)+SUMIF(⑳商品別1食労務費!$C$5:$C$124,$S227,⑳商品別1食労務費!$F$5:$F$124)+SUMIF(⑳商品別1食労務費!$C$5:$C$124,$T227,⑳商品別1食労務費!$F$5:$F$124)+SUMIF(⑳商品別1食労務費!$C$5:$C$124,$U227,⑳商品別1食労務費!$F$5:$F$124)+SUMIF(⑳商品別1食労務費!$C$5:$C$124,$V227,⑳商品別1食労務費!$F$5:$F$124)+SUMIF(⑳商品別1食労務費!$C$5:$C$124,$W227,⑳商品別1食労務費!$F$5:$F$124)</f>
        <v/>
      </c>
      <c r="AB227" s="334">
        <f>IF(ISNUMBER($M227),$M227,0)</f>
        <v/>
      </c>
      <c r="AC227" s="334">
        <f>IF(AND($X227&gt;0,ISNUMBER($J227)),$J227/$X227,"")</f>
        <v/>
      </c>
      <c r="AD227" s="413">
        <f>IF($R227="",0,IF($AA227&gt;0,$AB227*SUMIF(⑳商品別1食労務費!$C$5:$C$124,$R227,⑳商品別1食労務費!$F$5:$F$124)/$AA227,$AB227/$X227))</f>
        <v/>
      </c>
      <c r="AE227" s="413">
        <f>IF($S227="",0,IF($AA227&gt;0,$AB227*SUMIF(⑳商品別1食労務費!$C$5:$C$124,$S227,⑳商品別1食労務費!$F$5:$F$124)/$AA227,$AB227/$X227))</f>
        <v/>
      </c>
      <c r="AF227" s="413">
        <f>IF($T227="",0,IF($AA227&gt;0,$AB227*SUMIF(⑳商品別1食労務費!$C$5:$C$124,$T227,⑳商品別1食労務費!$F$5:$F$124)/$AA227,$AB227/$X227))</f>
        <v/>
      </c>
      <c r="AG227" s="413">
        <f>IF($U227="",0,IF($AA227&gt;0,$AB227*SUMIF(⑳商品別1食労務費!$C$5:$C$124,$U227,⑳商品別1食労務費!$F$5:$F$124)/$AA227,$AB227/$X227))</f>
        <v/>
      </c>
      <c r="AH227" s="413">
        <f>IF($V227="",0,IF($AA227&gt;0,$AB227*SUMIF(⑳商品別1食労務費!$C$5:$C$124,$V227,⑳商品別1食労務費!$F$5:$F$124)/$AA227,$AB227/$X227))</f>
        <v/>
      </c>
      <c r="AI227" s="413">
        <f>IF($W227="",0,IF($AA227&gt;0,$AB227*SUMIF(⑳商品別1食労務費!$C$5:$C$124,$W227,⑳商品別1食労務費!$F$5:$F$124)/$AA227,$AB227/$X227))</f>
        <v/>
      </c>
    </row>
    <row r="228">
      <c r="A228" s="188" t="n">
        <v>224</v>
      </c>
      <c r="B228" s="189" t="n"/>
      <c r="C228" s="229" t="n"/>
      <c r="D228" s="190" t="n"/>
      <c r="E228" s="190" t="n"/>
      <c r="F228" s="541">
        <f>IF(OR(D228="",E228=""),"",(E228-D228)*1440)</f>
        <v/>
      </c>
      <c r="G228" s="542" t="n"/>
      <c r="H228" s="542" t="n"/>
      <c r="I228" s="543" t="n"/>
      <c r="J228" s="192" t="n"/>
      <c r="K228" s="544">
        <f>IF(AND(ISNUMBER(F228),I228&gt;0),I228/(F228/60),"")</f>
        <v/>
      </c>
      <c r="L228" s="545" t="n"/>
      <c r="M228" s="194">
        <f>IF(OR(ISNUMBER(SEARCH("サニテーション",C228)),ISNUMBER(SEARCH("客注",C228)),ISNUMBER(SEARCH("切り替え",C228)),ISNUMBER(SEARCH("切替",C228)),NOT(ISNUMBER(H228))),"",IF(ISNUMBER(G228),G228/60*H228*④前提設定!$B$4,IF(AND(G228="",ISNUMBER(F228)),F228/60*H228*④前提設定!$B$4,"")))</f>
        <v/>
      </c>
      <c r="N228" s="546">
        <f>IF(AND(I228&gt;0,ISNUMBER(M228)),M228/I228,"")</f>
        <v/>
      </c>
      <c r="O228" s="547">
        <f>IF(AND(J228&gt;0,ISNUMBER(M228)),M228/J228,"")</f>
        <v/>
      </c>
      <c r="P228" s="195" t="n"/>
      <c r="Q228" s="196" t="n"/>
      <c r="X228" s="334">
        <f>COUNTA(R228:W228)</f>
        <v/>
      </c>
      <c r="Y228" s="334">
        <f>IF(AND($X228&gt;0,ISNUMBER($M228)),$M228/$X228,"")</f>
        <v/>
      </c>
      <c r="Z228" s="334">
        <f>IF($X228=0,"",IF(COUNTIF(⑳商品別1食労務費!$C$5:$C$124,$R228)+COUNTIF(⑳商品別1食労務費!$C$5:$C$124,$S228)+COUNTIF(⑳商品別1食労務費!$C$5:$C$124,$T228)+COUNTIF(⑳商品別1食労務費!$C$5:$C$124,$U228)+COUNTIF(⑳商品別1食労務費!$C$5:$C$124,$V228)+COUNTIF(⑳商品別1食労務費!$C$5:$C$124,$W228)=$X228,"OK","⑳に無い商品名"))</f>
        <v/>
      </c>
      <c r="AA228" s="334">
        <f>SUMIF(⑳商品別1食労務費!$C$5:$C$124,$R228,⑳商品別1食労務費!$F$5:$F$124)+SUMIF(⑳商品別1食労務費!$C$5:$C$124,$S228,⑳商品別1食労務費!$F$5:$F$124)+SUMIF(⑳商品別1食労務費!$C$5:$C$124,$T228,⑳商品別1食労務費!$F$5:$F$124)+SUMIF(⑳商品別1食労務費!$C$5:$C$124,$U228,⑳商品別1食労務費!$F$5:$F$124)+SUMIF(⑳商品別1食労務費!$C$5:$C$124,$V228,⑳商品別1食労務費!$F$5:$F$124)+SUMIF(⑳商品別1食労務費!$C$5:$C$124,$W228,⑳商品別1食労務費!$F$5:$F$124)</f>
        <v/>
      </c>
      <c r="AB228" s="334">
        <f>IF(ISNUMBER($M228),$M228,0)</f>
        <v/>
      </c>
      <c r="AC228" s="334">
        <f>IF(AND($X228&gt;0,ISNUMBER($J228)),$J228/$X228,"")</f>
        <v/>
      </c>
      <c r="AD228" s="413">
        <f>IF($R228="",0,IF($AA228&gt;0,$AB228*SUMIF(⑳商品別1食労務費!$C$5:$C$124,$R228,⑳商品別1食労務費!$F$5:$F$124)/$AA228,$AB228/$X228))</f>
        <v/>
      </c>
      <c r="AE228" s="413">
        <f>IF($S228="",0,IF($AA228&gt;0,$AB228*SUMIF(⑳商品別1食労務費!$C$5:$C$124,$S228,⑳商品別1食労務費!$F$5:$F$124)/$AA228,$AB228/$X228))</f>
        <v/>
      </c>
      <c r="AF228" s="413">
        <f>IF($T228="",0,IF($AA228&gt;0,$AB228*SUMIF(⑳商品別1食労務費!$C$5:$C$124,$T228,⑳商品別1食労務費!$F$5:$F$124)/$AA228,$AB228/$X228))</f>
        <v/>
      </c>
      <c r="AG228" s="413">
        <f>IF($U228="",0,IF($AA228&gt;0,$AB228*SUMIF(⑳商品別1食労務費!$C$5:$C$124,$U228,⑳商品別1食労務費!$F$5:$F$124)/$AA228,$AB228/$X228))</f>
        <v/>
      </c>
      <c r="AH228" s="413">
        <f>IF($V228="",0,IF($AA228&gt;0,$AB228*SUMIF(⑳商品別1食労務費!$C$5:$C$124,$V228,⑳商品別1食労務費!$F$5:$F$124)/$AA228,$AB228/$X228))</f>
        <v/>
      </c>
      <c r="AI228" s="413">
        <f>IF($W228="",0,IF($AA228&gt;0,$AB228*SUMIF(⑳商品別1食労務費!$C$5:$C$124,$W228,⑳商品別1食労務費!$F$5:$F$124)/$AA228,$AB228/$X228))</f>
        <v/>
      </c>
    </row>
    <row r="229">
      <c r="A229" s="197" t="n">
        <v>225</v>
      </c>
      <c r="B229" s="198" t="n"/>
      <c r="C229" s="229" t="n"/>
      <c r="D229" s="190" t="n"/>
      <c r="E229" s="190" t="n"/>
      <c r="F229" s="541">
        <f>IF(OR(D229="",E229=""),"",(E229-D229)*1440)</f>
        <v/>
      </c>
      <c r="G229" s="542" t="n"/>
      <c r="H229" s="542" t="n"/>
      <c r="I229" s="543" t="n"/>
      <c r="J229" s="192" t="n"/>
      <c r="K229" s="544">
        <f>IF(AND(ISNUMBER(F229),I229&gt;0),I229/(F229/60),"")</f>
        <v/>
      </c>
      <c r="L229" s="545" t="n"/>
      <c r="M229" s="194">
        <f>IF(OR(ISNUMBER(SEARCH("サニテーション",C229)),ISNUMBER(SEARCH("客注",C229)),ISNUMBER(SEARCH("切り替え",C229)),ISNUMBER(SEARCH("切替",C229)),NOT(ISNUMBER(H229))),"",IF(ISNUMBER(G229),G229/60*H229*④前提設定!$B$4,IF(AND(G229="",ISNUMBER(F229)),F229/60*H229*④前提設定!$B$4,"")))</f>
        <v/>
      </c>
      <c r="N229" s="546">
        <f>IF(AND(I229&gt;0,ISNUMBER(M229)),M229/I229,"")</f>
        <v/>
      </c>
      <c r="O229" s="547">
        <f>IF(AND(J229&gt;0,ISNUMBER(M229)),M229/J229,"")</f>
        <v/>
      </c>
      <c r="P229" s="199" t="n"/>
      <c r="Q229" s="200" t="n"/>
      <c r="X229" s="334">
        <f>COUNTA(R229:W229)</f>
        <v/>
      </c>
      <c r="Y229" s="334">
        <f>IF(AND($X229&gt;0,ISNUMBER($M229)),$M229/$X229,"")</f>
        <v/>
      </c>
      <c r="Z229" s="334">
        <f>IF($X229=0,"",IF(COUNTIF(⑳商品別1食労務費!$C$5:$C$124,$R229)+COUNTIF(⑳商品別1食労務費!$C$5:$C$124,$S229)+COUNTIF(⑳商品別1食労務費!$C$5:$C$124,$T229)+COUNTIF(⑳商品別1食労務費!$C$5:$C$124,$U229)+COUNTIF(⑳商品別1食労務費!$C$5:$C$124,$V229)+COUNTIF(⑳商品別1食労務費!$C$5:$C$124,$W229)=$X229,"OK","⑳に無い商品名"))</f>
        <v/>
      </c>
      <c r="AA229" s="334">
        <f>SUMIF(⑳商品別1食労務費!$C$5:$C$124,$R229,⑳商品別1食労務費!$F$5:$F$124)+SUMIF(⑳商品別1食労務費!$C$5:$C$124,$S229,⑳商品別1食労務費!$F$5:$F$124)+SUMIF(⑳商品別1食労務費!$C$5:$C$124,$T229,⑳商品別1食労務費!$F$5:$F$124)+SUMIF(⑳商品別1食労務費!$C$5:$C$124,$U229,⑳商品別1食労務費!$F$5:$F$124)+SUMIF(⑳商品別1食労務費!$C$5:$C$124,$V229,⑳商品別1食労務費!$F$5:$F$124)+SUMIF(⑳商品別1食労務費!$C$5:$C$124,$W229,⑳商品別1食労務費!$F$5:$F$124)</f>
        <v/>
      </c>
      <c r="AB229" s="334">
        <f>IF(ISNUMBER($M229),$M229,0)</f>
        <v/>
      </c>
      <c r="AC229" s="334">
        <f>IF(AND($X229&gt;0,ISNUMBER($J229)),$J229/$X229,"")</f>
        <v/>
      </c>
      <c r="AD229" s="413">
        <f>IF($R229="",0,IF($AA229&gt;0,$AB229*SUMIF(⑳商品別1食労務費!$C$5:$C$124,$R229,⑳商品別1食労務費!$F$5:$F$124)/$AA229,$AB229/$X229))</f>
        <v/>
      </c>
      <c r="AE229" s="413">
        <f>IF($S229="",0,IF($AA229&gt;0,$AB229*SUMIF(⑳商品別1食労務費!$C$5:$C$124,$S229,⑳商品別1食労務費!$F$5:$F$124)/$AA229,$AB229/$X229))</f>
        <v/>
      </c>
      <c r="AF229" s="413">
        <f>IF($T229="",0,IF($AA229&gt;0,$AB229*SUMIF(⑳商品別1食労務費!$C$5:$C$124,$T229,⑳商品別1食労務費!$F$5:$F$124)/$AA229,$AB229/$X229))</f>
        <v/>
      </c>
      <c r="AG229" s="413">
        <f>IF($U229="",0,IF($AA229&gt;0,$AB229*SUMIF(⑳商品別1食労務費!$C$5:$C$124,$U229,⑳商品別1食労務費!$F$5:$F$124)/$AA229,$AB229/$X229))</f>
        <v/>
      </c>
      <c r="AH229" s="413">
        <f>IF($V229="",0,IF($AA229&gt;0,$AB229*SUMIF(⑳商品別1食労務費!$C$5:$C$124,$V229,⑳商品別1食労務費!$F$5:$F$124)/$AA229,$AB229/$X229))</f>
        <v/>
      </c>
      <c r="AI229" s="413">
        <f>IF($W229="",0,IF($AA229&gt;0,$AB229*SUMIF(⑳商品別1食労務費!$C$5:$C$124,$W229,⑳商品別1食労務費!$F$5:$F$124)/$AA229,$AB229/$X229))</f>
        <v/>
      </c>
    </row>
    <row r="230">
      <c r="A230" s="188" t="n">
        <v>226</v>
      </c>
      <c r="B230" s="189" t="n"/>
      <c r="C230" s="229" t="n"/>
      <c r="D230" s="190" t="n"/>
      <c r="E230" s="190" t="n"/>
      <c r="F230" s="541">
        <f>IF(OR(D230="",E230=""),"",(E230-D230)*1440)</f>
        <v/>
      </c>
      <c r="G230" s="542" t="n"/>
      <c r="H230" s="542" t="n"/>
      <c r="I230" s="543" t="n"/>
      <c r="J230" s="192" t="n"/>
      <c r="K230" s="544">
        <f>IF(AND(ISNUMBER(F230),I230&gt;0),I230/(F230/60),"")</f>
        <v/>
      </c>
      <c r="L230" s="545" t="n"/>
      <c r="M230" s="194">
        <f>IF(OR(ISNUMBER(SEARCH("サニテーション",C230)),ISNUMBER(SEARCH("客注",C230)),ISNUMBER(SEARCH("切り替え",C230)),ISNUMBER(SEARCH("切替",C230)),NOT(ISNUMBER(H230))),"",IF(ISNUMBER(G230),G230/60*H230*④前提設定!$B$4,IF(AND(G230="",ISNUMBER(F230)),F230/60*H230*④前提設定!$B$4,"")))</f>
        <v/>
      </c>
      <c r="N230" s="546">
        <f>IF(AND(I230&gt;0,ISNUMBER(M230)),M230/I230,"")</f>
        <v/>
      </c>
      <c r="O230" s="547">
        <f>IF(AND(J230&gt;0,ISNUMBER(M230)),M230/J230,"")</f>
        <v/>
      </c>
      <c r="P230" s="195" t="n"/>
      <c r="Q230" s="196" t="n"/>
      <c r="X230" s="334">
        <f>COUNTA(R230:W230)</f>
        <v/>
      </c>
      <c r="Y230" s="334">
        <f>IF(AND($X230&gt;0,ISNUMBER($M230)),$M230/$X230,"")</f>
        <v/>
      </c>
      <c r="Z230" s="334">
        <f>IF($X230=0,"",IF(COUNTIF(⑳商品別1食労務費!$C$5:$C$124,$R230)+COUNTIF(⑳商品別1食労務費!$C$5:$C$124,$S230)+COUNTIF(⑳商品別1食労務費!$C$5:$C$124,$T230)+COUNTIF(⑳商品別1食労務費!$C$5:$C$124,$U230)+COUNTIF(⑳商品別1食労務費!$C$5:$C$124,$V230)+COUNTIF(⑳商品別1食労務費!$C$5:$C$124,$W230)=$X230,"OK","⑳に無い商品名"))</f>
        <v/>
      </c>
      <c r="AA230" s="334">
        <f>SUMIF(⑳商品別1食労務費!$C$5:$C$124,$R230,⑳商品別1食労務費!$F$5:$F$124)+SUMIF(⑳商品別1食労務費!$C$5:$C$124,$S230,⑳商品別1食労務費!$F$5:$F$124)+SUMIF(⑳商品別1食労務費!$C$5:$C$124,$T230,⑳商品別1食労務費!$F$5:$F$124)+SUMIF(⑳商品別1食労務費!$C$5:$C$124,$U230,⑳商品別1食労務費!$F$5:$F$124)+SUMIF(⑳商品別1食労務費!$C$5:$C$124,$V230,⑳商品別1食労務費!$F$5:$F$124)+SUMIF(⑳商品別1食労務費!$C$5:$C$124,$W230,⑳商品別1食労務費!$F$5:$F$124)</f>
        <v/>
      </c>
      <c r="AB230" s="334">
        <f>IF(ISNUMBER($M230),$M230,0)</f>
        <v/>
      </c>
      <c r="AC230" s="334">
        <f>IF(AND($X230&gt;0,ISNUMBER($J230)),$J230/$X230,"")</f>
        <v/>
      </c>
      <c r="AD230" s="413">
        <f>IF($R230="",0,IF($AA230&gt;0,$AB230*SUMIF(⑳商品別1食労務費!$C$5:$C$124,$R230,⑳商品別1食労務費!$F$5:$F$124)/$AA230,$AB230/$X230))</f>
        <v/>
      </c>
      <c r="AE230" s="413">
        <f>IF($S230="",0,IF($AA230&gt;0,$AB230*SUMIF(⑳商品別1食労務費!$C$5:$C$124,$S230,⑳商品別1食労務費!$F$5:$F$124)/$AA230,$AB230/$X230))</f>
        <v/>
      </c>
      <c r="AF230" s="413">
        <f>IF($T230="",0,IF($AA230&gt;0,$AB230*SUMIF(⑳商品別1食労務費!$C$5:$C$124,$T230,⑳商品別1食労務費!$F$5:$F$124)/$AA230,$AB230/$X230))</f>
        <v/>
      </c>
      <c r="AG230" s="413">
        <f>IF($U230="",0,IF($AA230&gt;0,$AB230*SUMIF(⑳商品別1食労務費!$C$5:$C$124,$U230,⑳商品別1食労務費!$F$5:$F$124)/$AA230,$AB230/$X230))</f>
        <v/>
      </c>
      <c r="AH230" s="413">
        <f>IF($V230="",0,IF($AA230&gt;0,$AB230*SUMIF(⑳商品別1食労務費!$C$5:$C$124,$V230,⑳商品別1食労務費!$F$5:$F$124)/$AA230,$AB230/$X230))</f>
        <v/>
      </c>
      <c r="AI230" s="413">
        <f>IF($W230="",0,IF($AA230&gt;0,$AB230*SUMIF(⑳商品別1食労務費!$C$5:$C$124,$W230,⑳商品別1食労務費!$F$5:$F$124)/$AA230,$AB230/$X230))</f>
        <v/>
      </c>
    </row>
    <row r="231">
      <c r="A231" s="197" t="n">
        <v>227</v>
      </c>
      <c r="B231" s="198" t="n"/>
      <c r="C231" s="229" t="n"/>
      <c r="D231" s="190" t="n"/>
      <c r="E231" s="190" t="n"/>
      <c r="F231" s="541">
        <f>IF(OR(D231="",E231=""),"",(E231-D231)*1440)</f>
        <v/>
      </c>
      <c r="G231" s="542" t="n"/>
      <c r="H231" s="542" t="n"/>
      <c r="I231" s="543" t="n"/>
      <c r="J231" s="192" t="n"/>
      <c r="K231" s="544">
        <f>IF(AND(ISNUMBER(F231),I231&gt;0),I231/(F231/60),"")</f>
        <v/>
      </c>
      <c r="L231" s="545" t="n"/>
      <c r="M231" s="194">
        <f>IF(OR(ISNUMBER(SEARCH("サニテーション",C231)),ISNUMBER(SEARCH("客注",C231)),ISNUMBER(SEARCH("切り替え",C231)),ISNUMBER(SEARCH("切替",C231)),NOT(ISNUMBER(H231))),"",IF(ISNUMBER(G231),G231/60*H231*④前提設定!$B$4,IF(AND(G231="",ISNUMBER(F231)),F231/60*H231*④前提設定!$B$4,"")))</f>
        <v/>
      </c>
      <c r="N231" s="546">
        <f>IF(AND(I231&gt;0,ISNUMBER(M231)),M231/I231,"")</f>
        <v/>
      </c>
      <c r="O231" s="547">
        <f>IF(AND(J231&gt;0,ISNUMBER(M231)),M231/J231,"")</f>
        <v/>
      </c>
      <c r="P231" s="199" t="n"/>
      <c r="Q231" s="200" t="n"/>
      <c r="X231" s="334">
        <f>COUNTA(R231:W231)</f>
        <v/>
      </c>
      <c r="Y231" s="334">
        <f>IF(AND($X231&gt;0,ISNUMBER($M231)),$M231/$X231,"")</f>
        <v/>
      </c>
      <c r="Z231" s="334">
        <f>IF($X231=0,"",IF(COUNTIF(⑳商品別1食労務費!$C$5:$C$124,$R231)+COUNTIF(⑳商品別1食労務費!$C$5:$C$124,$S231)+COUNTIF(⑳商品別1食労務費!$C$5:$C$124,$T231)+COUNTIF(⑳商品別1食労務費!$C$5:$C$124,$U231)+COUNTIF(⑳商品別1食労務費!$C$5:$C$124,$V231)+COUNTIF(⑳商品別1食労務費!$C$5:$C$124,$W231)=$X231,"OK","⑳に無い商品名"))</f>
        <v/>
      </c>
      <c r="AA231" s="334">
        <f>SUMIF(⑳商品別1食労務費!$C$5:$C$124,$R231,⑳商品別1食労務費!$F$5:$F$124)+SUMIF(⑳商品別1食労務費!$C$5:$C$124,$S231,⑳商品別1食労務費!$F$5:$F$124)+SUMIF(⑳商品別1食労務費!$C$5:$C$124,$T231,⑳商品別1食労務費!$F$5:$F$124)+SUMIF(⑳商品別1食労務費!$C$5:$C$124,$U231,⑳商品別1食労務費!$F$5:$F$124)+SUMIF(⑳商品別1食労務費!$C$5:$C$124,$V231,⑳商品別1食労務費!$F$5:$F$124)+SUMIF(⑳商品別1食労務費!$C$5:$C$124,$W231,⑳商品別1食労務費!$F$5:$F$124)</f>
        <v/>
      </c>
      <c r="AB231" s="334">
        <f>IF(ISNUMBER($M231),$M231,0)</f>
        <v/>
      </c>
      <c r="AC231" s="334">
        <f>IF(AND($X231&gt;0,ISNUMBER($J231)),$J231/$X231,"")</f>
        <v/>
      </c>
      <c r="AD231" s="413">
        <f>IF($R231="",0,IF($AA231&gt;0,$AB231*SUMIF(⑳商品別1食労務費!$C$5:$C$124,$R231,⑳商品別1食労務費!$F$5:$F$124)/$AA231,$AB231/$X231))</f>
        <v/>
      </c>
      <c r="AE231" s="413">
        <f>IF($S231="",0,IF($AA231&gt;0,$AB231*SUMIF(⑳商品別1食労務費!$C$5:$C$124,$S231,⑳商品別1食労務費!$F$5:$F$124)/$AA231,$AB231/$X231))</f>
        <v/>
      </c>
      <c r="AF231" s="413">
        <f>IF($T231="",0,IF($AA231&gt;0,$AB231*SUMIF(⑳商品別1食労務費!$C$5:$C$124,$T231,⑳商品別1食労務費!$F$5:$F$124)/$AA231,$AB231/$X231))</f>
        <v/>
      </c>
      <c r="AG231" s="413">
        <f>IF($U231="",0,IF($AA231&gt;0,$AB231*SUMIF(⑳商品別1食労務費!$C$5:$C$124,$U231,⑳商品別1食労務費!$F$5:$F$124)/$AA231,$AB231/$X231))</f>
        <v/>
      </c>
      <c r="AH231" s="413">
        <f>IF($V231="",0,IF($AA231&gt;0,$AB231*SUMIF(⑳商品別1食労務費!$C$5:$C$124,$V231,⑳商品別1食労務費!$F$5:$F$124)/$AA231,$AB231/$X231))</f>
        <v/>
      </c>
      <c r="AI231" s="413">
        <f>IF($W231="",0,IF($AA231&gt;0,$AB231*SUMIF(⑳商品別1食労務費!$C$5:$C$124,$W231,⑳商品別1食労務費!$F$5:$F$124)/$AA231,$AB231/$X231))</f>
        <v/>
      </c>
    </row>
    <row r="232">
      <c r="A232" s="188" t="n">
        <v>228</v>
      </c>
      <c r="B232" s="189" t="n"/>
      <c r="C232" s="229" t="n"/>
      <c r="D232" s="190" t="n"/>
      <c r="E232" s="190" t="n"/>
      <c r="F232" s="541">
        <f>IF(OR(D232="",E232=""),"",(E232-D232)*1440)</f>
        <v/>
      </c>
      <c r="G232" s="542" t="n"/>
      <c r="H232" s="542" t="n"/>
      <c r="I232" s="543" t="n"/>
      <c r="J232" s="192" t="n"/>
      <c r="K232" s="544">
        <f>IF(AND(ISNUMBER(F232),I232&gt;0),I232/(F232/60),"")</f>
        <v/>
      </c>
      <c r="L232" s="545" t="n"/>
      <c r="M232" s="194">
        <f>IF(OR(ISNUMBER(SEARCH("サニテーション",C232)),ISNUMBER(SEARCH("客注",C232)),ISNUMBER(SEARCH("切り替え",C232)),ISNUMBER(SEARCH("切替",C232)),NOT(ISNUMBER(H232))),"",IF(ISNUMBER(G232),G232/60*H232*④前提設定!$B$4,IF(AND(G232="",ISNUMBER(F232)),F232/60*H232*④前提設定!$B$4,"")))</f>
        <v/>
      </c>
      <c r="N232" s="546">
        <f>IF(AND(I232&gt;0,ISNUMBER(M232)),M232/I232,"")</f>
        <v/>
      </c>
      <c r="O232" s="547">
        <f>IF(AND(J232&gt;0,ISNUMBER(M232)),M232/J232,"")</f>
        <v/>
      </c>
      <c r="P232" s="195" t="n"/>
      <c r="Q232" s="196" t="n"/>
      <c r="X232" s="334">
        <f>COUNTA(R232:W232)</f>
        <v/>
      </c>
      <c r="Y232" s="334">
        <f>IF(AND($X232&gt;0,ISNUMBER($M232)),$M232/$X232,"")</f>
        <v/>
      </c>
      <c r="Z232" s="334">
        <f>IF($X232=0,"",IF(COUNTIF(⑳商品別1食労務費!$C$5:$C$124,$R232)+COUNTIF(⑳商品別1食労務費!$C$5:$C$124,$S232)+COUNTIF(⑳商品別1食労務費!$C$5:$C$124,$T232)+COUNTIF(⑳商品別1食労務費!$C$5:$C$124,$U232)+COUNTIF(⑳商品別1食労務費!$C$5:$C$124,$V232)+COUNTIF(⑳商品別1食労務費!$C$5:$C$124,$W232)=$X232,"OK","⑳に無い商品名"))</f>
        <v/>
      </c>
      <c r="AA232" s="334">
        <f>SUMIF(⑳商品別1食労務費!$C$5:$C$124,$R232,⑳商品別1食労務費!$F$5:$F$124)+SUMIF(⑳商品別1食労務費!$C$5:$C$124,$S232,⑳商品別1食労務費!$F$5:$F$124)+SUMIF(⑳商品別1食労務費!$C$5:$C$124,$T232,⑳商品別1食労務費!$F$5:$F$124)+SUMIF(⑳商品別1食労務費!$C$5:$C$124,$U232,⑳商品別1食労務費!$F$5:$F$124)+SUMIF(⑳商品別1食労務費!$C$5:$C$124,$V232,⑳商品別1食労務費!$F$5:$F$124)+SUMIF(⑳商品別1食労務費!$C$5:$C$124,$W232,⑳商品別1食労務費!$F$5:$F$124)</f>
        <v/>
      </c>
      <c r="AB232" s="334">
        <f>IF(ISNUMBER($M232),$M232,0)</f>
        <v/>
      </c>
      <c r="AC232" s="334">
        <f>IF(AND($X232&gt;0,ISNUMBER($J232)),$J232/$X232,"")</f>
        <v/>
      </c>
      <c r="AD232" s="413">
        <f>IF($R232="",0,IF($AA232&gt;0,$AB232*SUMIF(⑳商品別1食労務費!$C$5:$C$124,$R232,⑳商品別1食労務費!$F$5:$F$124)/$AA232,$AB232/$X232))</f>
        <v/>
      </c>
      <c r="AE232" s="413">
        <f>IF($S232="",0,IF($AA232&gt;0,$AB232*SUMIF(⑳商品別1食労務費!$C$5:$C$124,$S232,⑳商品別1食労務費!$F$5:$F$124)/$AA232,$AB232/$X232))</f>
        <v/>
      </c>
      <c r="AF232" s="413">
        <f>IF($T232="",0,IF($AA232&gt;0,$AB232*SUMIF(⑳商品別1食労務費!$C$5:$C$124,$T232,⑳商品別1食労務費!$F$5:$F$124)/$AA232,$AB232/$X232))</f>
        <v/>
      </c>
      <c r="AG232" s="413">
        <f>IF($U232="",0,IF($AA232&gt;0,$AB232*SUMIF(⑳商品別1食労務費!$C$5:$C$124,$U232,⑳商品別1食労務費!$F$5:$F$124)/$AA232,$AB232/$X232))</f>
        <v/>
      </c>
      <c r="AH232" s="413">
        <f>IF($V232="",0,IF($AA232&gt;0,$AB232*SUMIF(⑳商品別1食労務費!$C$5:$C$124,$V232,⑳商品別1食労務費!$F$5:$F$124)/$AA232,$AB232/$X232))</f>
        <v/>
      </c>
      <c r="AI232" s="413">
        <f>IF($W232="",0,IF($AA232&gt;0,$AB232*SUMIF(⑳商品別1食労務費!$C$5:$C$124,$W232,⑳商品別1食労務費!$F$5:$F$124)/$AA232,$AB232/$X232))</f>
        <v/>
      </c>
    </row>
    <row r="233">
      <c r="A233" s="197" t="n">
        <v>229</v>
      </c>
      <c r="B233" s="198" t="n"/>
      <c r="C233" s="229" t="n"/>
      <c r="D233" s="190" t="n"/>
      <c r="E233" s="190" t="n"/>
      <c r="F233" s="541">
        <f>IF(OR(D233="",E233=""),"",(E233-D233)*1440)</f>
        <v/>
      </c>
      <c r="G233" s="542" t="n"/>
      <c r="H233" s="542" t="n"/>
      <c r="I233" s="543" t="n"/>
      <c r="J233" s="192" t="n"/>
      <c r="K233" s="544">
        <f>IF(AND(ISNUMBER(F233),I233&gt;0),I233/(F233/60),"")</f>
        <v/>
      </c>
      <c r="L233" s="545" t="n"/>
      <c r="M233" s="194">
        <f>IF(OR(ISNUMBER(SEARCH("サニテーション",C233)),ISNUMBER(SEARCH("客注",C233)),ISNUMBER(SEARCH("切り替え",C233)),ISNUMBER(SEARCH("切替",C233)),NOT(ISNUMBER(H233))),"",IF(ISNUMBER(G233),G233/60*H233*④前提設定!$B$4,IF(AND(G233="",ISNUMBER(F233)),F233/60*H233*④前提設定!$B$4,"")))</f>
        <v/>
      </c>
      <c r="N233" s="546">
        <f>IF(AND(I233&gt;0,ISNUMBER(M233)),M233/I233,"")</f>
        <v/>
      </c>
      <c r="O233" s="547">
        <f>IF(AND(J233&gt;0,ISNUMBER(M233)),M233/J233,"")</f>
        <v/>
      </c>
      <c r="P233" s="199" t="n"/>
      <c r="Q233" s="200" t="n"/>
      <c r="X233" s="334">
        <f>COUNTA(R233:W233)</f>
        <v/>
      </c>
      <c r="Y233" s="334">
        <f>IF(AND($X233&gt;0,ISNUMBER($M233)),$M233/$X233,"")</f>
        <v/>
      </c>
      <c r="Z233" s="334">
        <f>IF($X233=0,"",IF(COUNTIF(⑳商品別1食労務費!$C$5:$C$124,$R233)+COUNTIF(⑳商品別1食労務費!$C$5:$C$124,$S233)+COUNTIF(⑳商品別1食労務費!$C$5:$C$124,$T233)+COUNTIF(⑳商品別1食労務費!$C$5:$C$124,$U233)+COUNTIF(⑳商品別1食労務費!$C$5:$C$124,$V233)+COUNTIF(⑳商品別1食労務費!$C$5:$C$124,$W233)=$X233,"OK","⑳に無い商品名"))</f>
        <v/>
      </c>
      <c r="AA233" s="334">
        <f>SUMIF(⑳商品別1食労務費!$C$5:$C$124,$R233,⑳商品別1食労務費!$F$5:$F$124)+SUMIF(⑳商品別1食労務費!$C$5:$C$124,$S233,⑳商品別1食労務費!$F$5:$F$124)+SUMIF(⑳商品別1食労務費!$C$5:$C$124,$T233,⑳商品別1食労務費!$F$5:$F$124)+SUMIF(⑳商品別1食労務費!$C$5:$C$124,$U233,⑳商品別1食労務費!$F$5:$F$124)+SUMIF(⑳商品別1食労務費!$C$5:$C$124,$V233,⑳商品別1食労務費!$F$5:$F$124)+SUMIF(⑳商品別1食労務費!$C$5:$C$124,$W233,⑳商品別1食労務費!$F$5:$F$124)</f>
        <v/>
      </c>
      <c r="AB233" s="334">
        <f>IF(ISNUMBER($M233),$M233,0)</f>
        <v/>
      </c>
      <c r="AC233" s="334">
        <f>IF(AND($X233&gt;0,ISNUMBER($J233)),$J233/$X233,"")</f>
        <v/>
      </c>
      <c r="AD233" s="413">
        <f>IF($R233="",0,IF($AA233&gt;0,$AB233*SUMIF(⑳商品別1食労務費!$C$5:$C$124,$R233,⑳商品別1食労務費!$F$5:$F$124)/$AA233,$AB233/$X233))</f>
        <v/>
      </c>
      <c r="AE233" s="413">
        <f>IF($S233="",0,IF($AA233&gt;0,$AB233*SUMIF(⑳商品別1食労務費!$C$5:$C$124,$S233,⑳商品別1食労務費!$F$5:$F$124)/$AA233,$AB233/$X233))</f>
        <v/>
      </c>
      <c r="AF233" s="413">
        <f>IF($T233="",0,IF($AA233&gt;0,$AB233*SUMIF(⑳商品別1食労務費!$C$5:$C$124,$T233,⑳商品別1食労務費!$F$5:$F$124)/$AA233,$AB233/$X233))</f>
        <v/>
      </c>
      <c r="AG233" s="413">
        <f>IF($U233="",0,IF($AA233&gt;0,$AB233*SUMIF(⑳商品別1食労務費!$C$5:$C$124,$U233,⑳商品別1食労務費!$F$5:$F$124)/$AA233,$AB233/$X233))</f>
        <v/>
      </c>
      <c r="AH233" s="413">
        <f>IF($V233="",0,IF($AA233&gt;0,$AB233*SUMIF(⑳商品別1食労務費!$C$5:$C$124,$V233,⑳商品別1食労務費!$F$5:$F$124)/$AA233,$AB233/$X233))</f>
        <v/>
      </c>
      <c r="AI233" s="413">
        <f>IF($W233="",0,IF($AA233&gt;0,$AB233*SUMIF(⑳商品別1食労務費!$C$5:$C$124,$W233,⑳商品別1食労務費!$F$5:$F$124)/$AA233,$AB233/$X233))</f>
        <v/>
      </c>
    </row>
    <row r="234">
      <c r="A234" s="188" t="n">
        <v>230</v>
      </c>
      <c r="B234" s="189" t="n"/>
      <c r="C234" s="229" t="n"/>
      <c r="D234" s="190" t="n"/>
      <c r="E234" s="190" t="n"/>
      <c r="F234" s="541">
        <f>IF(OR(D234="",E234=""),"",(E234-D234)*1440)</f>
        <v/>
      </c>
      <c r="G234" s="542" t="n"/>
      <c r="H234" s="542" t="n"/>
      <c r="I234" s="543" t="n"/>
      <c r="J234" s="192" t="n"/>
      <c r="K234" s="544">
        <f>IF(AND(ISNUMBER(F234),I234&gt;0),I234/(F234/60),"")</f>
        <v/>
      </c>
      <c r="L234" s="545" t="n"/>
      <c r="M234" s="194">
        <f>IF(OR(ISNUMBER(SEARCH("サニテーション",C234)),ISNUMBER(SEARCH("客注",C234)),ISNUMBER(SEARCH("切り替え",C234)),ISNUMBER(SEARCH("切替",C234)),NOT(ISNUMBER(H234))),"",IF(ISNUMBER(G234),G234/60*H234*④前提設定!$B$4,IF(AND(G234="",ISNUMBER(F234)),F234/60*H234*④前提設定!$B$4,"")))</f>
        <v/>
      </c>
      <c r="N234" s="546">
        <f>IF(AND(I234&gt;0,ISNUMBER(M234)),M234/I234,"")</f>
        <v/>
      </c>
      <c r="O234" s="547">
        <f>IF(AND(J234&gt;0,ISNUMBER(M234)),M234/J234,"")</f>
        <v/>
      </c>
      <c r="P234" s="195" t="n"/>
      <c r="Q234" s="196" t="n"/>
      <c r="X234" s="334">
        <f>COUNTA(R234:W234)</f>
        <v/>
      </c>
      <c r="Y234" s="334">
        <f>IF(AND($X234&gt;0,ISNUMBER($M234)),$M234/$X234,"")</f>
        <v/>
      </c>
      <c r="Z234" s="334">
        <f>IF($X234=0,"",IF(COUNTIF(⑳商品別1食労務費!$C$5:$C$124,$R234)+COUNTIF(⑳商品別1食労務費!$C$5:$C$124,$S234)+COUNTIF(⑳商品別1食労務費!$C$5:$C$124,$T234)+COUNTIF(⑳商品別1食労務費!$C$5:$C$124,$U234)+COUNTIF(⑳商品別1食労務費!$C$5:$C$124,$V234)+COUNTIF(⑳商品別1食労務費!$C$5:$C$124,$W234)=$X234,"OK","⑳に無い商品名"))</f>
        <v/>
      </c>
      <c r="AA234" s="334">
        <f>SUMIF(⑳商品別1食労務費!$C$5:$C$124,$R234,⑳商品別1食労務費!$F$5:$F$124)+SUMIF(⑳商品別1食労務費!$C$5:$C$124,$S234,⑳商品別1食労務費!$F$5:$F$124)+SUMIF(⑳商品別1食労務費!$C$5:$C$124,$T234,⑳商品別1食労務費!$F$5:$F$124)+SUMIF(⑳商品別1食労務費!$C$5:$C$124,$U234,⑳商品別1食労務費!$F$5:$F$124)+SUMIF(⑳商品別1食労務費!$C$5:$C$124,$V234,⑳商品別1食労務費!$F$5:$F$124)+SUMIF(⑳商品別1食労務費!$C$5:$C$124,$W234,⑳商品別1食労務費!$F$5:$F$124)</f>
        <v/>
      </c>
      <c r="AB234" s="334">
        <f>IF(ISNUMBER($M234),$M234,0)</f>
        <v/>
      </c>
      <c r="AC234" s="334">
        <f>IF(AND($X234&gt;0,ISNUMBER($J234)),$J234/$X234,"")</f>
        <v/>
      </c>
      <c r="AD234" s="413">
        <f>IF($R234="",0,IF($AA234&gt;0,$AB234*SUMIF(⑳商品別1食労務費!$C$5:$C$124,$R234,⑳商品別1食労務費!$F$5:$F$124)/$AA234,$AB234/$X234))</f>
        <v/>
      </c>
      <c r="AE234" s="413">
        <f>IF($S234="",0,IF($AA234&gt;0,$AB234*SUMIF(⑳商品別1食労務費!$C$5:$C$124,$S234,⑳商品別1食労務費!$F$5:$F$124)/$AA234,$AB234/$X234))</f>
        <v/>
      </c>
      <c r="AF234" s="413">
        <f>IF($T234="",0,IF($AA234&gt;0,$AB234*SUMIF(⑳商品別1食労務費!$C$5:$C$124,$T234,⑳商品別1食労務費!$F$5:$F$124)/$AA234,$AB234/$X234))</f>
        <v/>
      </c>
      <c r="AG234" s="413">
        <f>IF($U234="",0,IF($AA234&gt;0,$AB234*SUMIF(⑳商品別1食労務費!$C$5:$C$124,$U234,⑳商品別1食労務費!$F$5:$F$124)/$AA234,$AB234/$X234))</f>
        <v/>
      </c>
      <c r="AH234" s="413">
        <f>IF($V234="",0,IF($AA234&gt;0,$AB234*SUMIF(⑳商品別1食労務費!$C$5:$C$124,$V234,⑳商品別1食労務費!$F$5:$F$124)/$AA234,$AB234/$X234))</f>
        <v/>
      </c>
      <c r="AI234" s="413">
        <f>IF($W234="",0,IF($AA234&gt;0,$AB234*SUMIF(⑳商品別1食労務費!$C$5:$C$124,$W234,⑳商品別1食労務費!$F$5:$F$124)/$AA234,$AB234/$X234))</f>
        <v/>
      </c>
    </row>
    <row r="235">
      <c r="A235" s="197" t="n">
        <v>231</v>
      </c>
      <c r="B235" s="198" t="n"/>
      <c r="C235" s="229" t="n"/>
      <c r="D235" s="190" t="n"/>
      <c r="E235" s="190" t="n"/>
      <c r="F235" s="541">
        <f>IF(OR(D235="",E235=""),"",(E235-D235)*1440)</f>
        <v/>
      </c>
      <c r="G235" s="542" t="n"/>
      <c r="H235" s="542" t="n"/>
      <c r="I235" s="543" t="n"/>
      <c r="J235" s="192" t="n"/>
      <c r="K235" s="544">
        <f>IF(AND(ISNUMBER(F235),I235&gt;0),I235/(F235/60),"")</f>
        <v/>
      </c>
      <c r="L235" s="545" t="n"/>
      <c r="M235" s="194">
        <f>IF(OR(ISNUMBER(SEARCH("サニテーション",C235)),ISNUMBER(SEARCH("客注",C235)),ISNUMBER(SEARCH("切り替え",C235)),ISNUMBER(SEARCH("切替",C235)),NOT(ISNUMBER(H235))),"",IF(ISNUMBER(G235),G235/60*H235*④前提設定!$B$4,IF(AND(G235="",ISNUMBER(F235)),F235/60*H235*④前提設定!$B$4,"")))</f>
        <v/>
      </c>
      <c r="N235" s="546">
        <f>IF(AND(I235&gt;0,ISNUMBER(M235)),M235/I235,"")</f>
        <v/>
      </c>
      <c r="O235" s="547">
        <f>IF(AND(J235&gt;0,ISNUMBER(M235)),M235/J235,"")</f>
        <v/>
      </c>
      <c r="P235" s="199" t="n"/>
      <c r="Q235" s="200" t="n"/>
      <c r="X235" s="334">
        <f>COUNTA(R235:W235)</f>
        <v/>
      </c>
      <c r="Y235" s="334">
        <f>IF(AND($X235&gt;0,ISNUMBER($M235)),$M235/$X235,"")</f>
        <v/>
      </c>
      <c r="Z235" s="334">
        <f>IF($X235=0,"",IF(COUNTIF(⑳商品別1食労務費!$C$5:$C$124,$R235)+COUNTIF(⑳商品別1食労務費!$C$5:$C$124,$S235)+COUNTIF(⑳商品別1食労務費!$C$5:$C$124,$T235)+COUNTIF(⑳商品別1食労務費!$C$5:$C$124,$U235)+COUNTIF(⑳商品別1食労務費!$C$5:$C$124,$V235)+COUNTIF(⑳商品別1食労務費!$C$5:$C$124,$W235)=$X235,"OK","⑳に無い商品名"))</f>
        <v/>
      </c>
      <c r="AA235" s="334">
        <f>SUMIF(⑳商品別1食労務費!$C$5:$C$124,$R235,⑳商品別1食労務費!$F$5:$F$124)+SUMIF(⑳商品別1食労務費!$C$5:$C$124,$S235,⑳商品別1食労務費!$F$5:$F$124)+SUMIF(⑳商品別1食労務費!$C$5:$C$124,$T235,⑳商品別1食労務費!$F$5:$F$124)+SUMIF(⑳商品別1食労務費!$C$5:$C$124,$U235,⑳商品別1食労務費!$F$5:$F$124)+SUMIF(⑳商品別1食労務費!$C$5:$C$124,$V235,⑳商品別1食労務費!$F$5:$F$124)+SUMIF(⑳商品別1食労務費!$C$5:$C$124,$W235,⑳商品別1食労務費!$F$5:$F$124)</f>
        <v/>
      </c>
      <c r="AB235" s="334">
        <f>IF(ISNUMBER($M235),$M235,0)</f>
        <v/>
      </c>
      <c r="AC235" s="334">
        <f>IF(AND($X235&gt;0,ISNUMBER($J235)),$J235/$X235,"")</f>
        <v/>
      </c>
      <c r="AD235" s="413">
        <f>IF($R235="",0,IF($AA235&gt;0,$AB235*SUMIF(⑳商品別1食労務費!$C$5:$C$124,$R235,⑳商品別1食労務費!$F$5:$F$124)/$AA235,$AB235/$X235))</f>
        <v/>
      </c>
      <c r="AE235" s="413">
        <f>IF($S235="",0,IF($AA235&gt;0,$AB235*SUMIF(⑳商品別1食労務費!$C$5:$C$124,$S235,⑳商品別1食労務費!$F$5:$F$124)/$AA235,$AB235/$X235))</f>
        <v/>
      </c>
      <c r="AF235" s="413">
        <f>IF($T235="",0,IF($AA235&gt;0,$AB235*SUMIF(⑳商品別1食労務費!$C$5:$C$124,$T235,⑳商品別1食労務費!$F$5:$F$124)/$AA235,$AB235/$X235))</f>
        <v/>
      </c>
      <c r="AG235" s="413">
        <f>IF($U235="",0,IF($AA235&gt;0,$AB235*SUMIF(⑳商品別1食労務費!$C$5:$C$124,$U235,⑳商品別1食労務費!$F$5:$F$124)/$AA235,$AB235/$X235))</f>
        <v/>
      </c>
      <c r="AH235" s="413">
        <f>IF($V235="",0,IF($AA235&gt;0,$AB235*SUMIF(⑳商品別1食労務費!$C$5:$C$124,$V235,⑳商品別1食労務費!$F$5:$F$124)/$AA235,$AB235/$X235))</f>
        <v/>
      </c>
      <c r="AI235" s="413">
        <f>IF($W235="",0,IF($AA235&gt;0,$AB235*SUMIF(⑳商品別1食労務費!$C$5:$C$124,$W235,⑳商品別1食労務費!$F$5:$F$124)/$AA235,$AB235/$X235))</f>
        <v/>
      </c>
    </row>
    <row r="236">
      <c r="A236" s="188" t="n">
        <v>232</v>
      </c>
      <c r="B236" s="189" t="n"/>
      <c r="C236" s="229" t="n"/>
      <c r="D236" s="190" t="n"/>
      <c r="E236" s="190" t="n"/>
      <c r="F236" s="541">
        <f>IF(OR(D236="",E236=""),"",(E236-D236)*1440)</f>
        <v/>
      </c>
      <c r="G236" s="542" t="n"/>
      <c r="H236" s="542" t="n"/>
      <c r="I236" s="543" t="n"/>
      <c r="J236" s="192" t="n"/>
      <c r="K236" s="544">
        <f>IF(AND(ISNUMBER(F236),I236&gt;0),I236/(F236/60),"")</f>
        <v/>
      </c>
      <c r="L236" s="545" t="n"/>
      <c r="M236" s="194">
        <f>IF(OR(ISNUMBER(SEARCH("サニテーション",C236)),ISNUMBER(SEARCH("客注",C236)),ISNUMBER(SEARCH("切り替え",C236)),ISNUMBER(SEARCH("切替",C236)),NOT(ISNUMBER(H236))),"",IF(ISNUMBER(G236),G236/60*H236*④前提設定!$B$4,IF(AND(G236="",ISNUMBER(F236)),F236/60*H236*④前提設定!$B$4,"")))</f>
        <v/>
      </c>
      <c r="N236" s="546">
        <f>IF(AND(I236&gt;0,ISNUMBER(M236)),M236/I236,"")</f>
        <v/>
      </c>
      <c r="O236" s="547">
        <f>IF(AND(J236&gt;0,ISNUMBER(M236)),M236/J236,"")</f>
        <v/>
      </c>
      <c r="P236" s="195" t="n"/>
      <c r="Q236" s="196" t="n"/>
      <c r="X236" s="334">
        <f>COUNTA(R236:W236)</f>
        <v/>
      </c>
      <c r="Y236" s="334">
        <f>IF(AND($X236&gt;0,ISNUMBER($M236)),$M236/$X236,"")</f>
        <v/>
      </c>
      <c r="Z236" s="334">
        <f>IF($X236=0,"",IF(COUNTIF(⑳商品別1食労務費!$C$5:$C$124,$R236)+COUNTIF(⑳商品別1食労務費!$C$5:$C$124,$S236)+COUNTIF(⑳商品別1食労務費!$C$5:$C$124,$T236)+COUNTIF(⑳商品別1食労務費!$C$5:$C$124,$U236)+COUNTIF(⑳商品別1食労務費!$C$5:$C$124,$V236)+COUNTIF(⑳商品別1食労務費!$C$5:$C$124,$W236)=$X236,"OK","⑳に無い商品名"))</f>
        <v/>
      </c>
      <c r="AA236" s="334">
        <f>SUMIF(⑳商品別1食労務費!$C$5:$C$124,$R236,⑳商品別1食労務費!$F$5:$F$124)+SUMIF(⑳商品別1食労務費!$C$5:$C$124,$S236,⑳商品別1食労務費!$F$5:$F$124)+SUMIF(⑳商品別1食労務費!$C$5:$C$124,$T236,⑳商品別1食労務費!$F$5:$F$124)+SUMIF(⑳商品別1食労務費!$C$5:$C$124,$U236,⑳商品別1食労務費!$F$5:$F$124)+SUMIF(⑳商品別1食労務費!$C$5:$C$124,$V236,⑳商品別1食労務費!$F$5:$F$124)+SUMIF(⑳商品別1食労務費!$C$5:$C$124,$W236,⑳商品別1食労務費!$F$5:$F$124)</f>
        <v/>
      </c>
      <c r="AB236" s="334">
        <f>IF(ISNUMBER($M236),$M236,0)</f>
        <v/>
      </c>
      <c r="AC236" s="334">
        <f>IF(AND($X236&gt;0,ISNUMBER($J236)),$J236/$X236,"")</f>
        <v/>
      </c>
      <c r="AD236" s="413">
        <f>IF($R236="",0,IF($AA236&gt;0,$AB236*SUMIF(⑳商品別1食労務費!$C$5:$C$124,$R236,⑳商品別1食労務費!$F$5:$F$124)/$AA236,$AB236/$X236))</f>
        <v/>
      </c>
      <c r="AE236" s="413">
        <f>IF($S236="",0,IF($AA236&gt;0,$AB236*SUMIF(⑳商品別1食労務費!$C$5:$C$124,$S236,⑳商品別1食労務費!$F$5:$F$124)/$AA236,$AB236/$X236))</f>
        <v/>
      </c>
      <c r="AF236" s="413">
        <f>IF($T236="",0,IF($AA236&gt;0,$AB236*SUMIF(⑳商品別1食労務費!$C$5:$C$124,$T236,⑳商品別1食労務費!$F$5:$F$124)/$AA236,$AB236/$X236))</f>
        <v/>
      </c>
      <c r="AG236" s="413">
        <f>IF($U236="",0,IF($AA236&gt;0,$AB236*SUMIF(⑳商品別1食労務費!$C$5:$C$124,$U236,⑳商品別1食労務費!$F$5:$F$124)/$AA236,$AB236/$X236))</f>
        <v/>
      </c>
      <c r="AH236" s="413">
        <f>IF($V236="",0,IF($AA236&gt;0,$AB236*SUMIF(⑳商品別1食労務費!$C$5:$C$124,$V236,⑳商品別1食労務費!$F$5:$F$124)/$AA236,$AB236/$X236))</f>
        <v/>
      </c>
      <c r="AI236" s="413">
        <f>IF($W236="",0,IF($AA236&gt;0,$AB236*SUMIF(⑳商品別1食労務費!$C$5:$C$124,$W236,⑳商品別1食労務費!$F$5:$F$124)/$AA236,$AB236/$X236))</f>
        <v/>
      </c>
    </row>
    <row r="237">
      <c r="A237" s="197" t="n">
        <v>233</v>
      </c>
      <c r="B237" s="198" t="n"/>
      <c r="C237" s="229" t="n"/>
      <c r="D237" s="190" t="n"/>
      <c r="E237" s="190" t="n"/>
      <c r="F237" s="541">
        <f>IF(OR(D237="",E237=""),"",(E237-D237)*1440)</f>
        <v/>
      </c>
      <c r="G237" s="542" t="n"/>
      <c r="H237" s="542" t="n"/>
      <c r="I237" s="543" t="n"/>
      <c r="J237" s="192" t="n"/>
      <c r="K237" s="544">
        <f>IF(AND(ISNUMBER(F237),I237&gt;0),I237/(F237/60),"")</f>
        <v/>
      </c>
      <c r="L237" s="545" t="n"/>
      <c r="M237" s="194">
        <f>IF(OR(ISNUMBER(SEARCH("サニテーション",C237)),ISNUMBER(SEARCH("客注",C237)),ISNUMBER(SEARCH("切り替え",C237)),ISNUMBER(SEARCH("切替",C237)),NOT(ISNUMBER(H237))),"",IF(ISNUMBER(G237),G237/60*H237*④前提設定!$B$4,IF(AND(G237="",ISNUMBER(F237)),F237/60*H237*④前提設定!$B$4,"")))</f>
        <v/>
      </c>
      <c r="N237" s="546">
        <f>IF(AND(I237&gt;0,ISNUMBER(M237)),M237/I237,"")</f>
        <v/>
      </c>
      <c r="O237" s="547">
        <f>IF(AND(J237&gt;0,ISNUMBER(M237)),M237/J237,"")</f>
        <v/>
      </c>
      <c r="P237" s="199" t="n"/>
      <c r="Q237" s="200" t="n"/>
      <c r="X237" s="334">
        <f>COUNTA(R237:W237)</f>
        <v/>
      </c>
      <c r="Y237" s="334">
        <f>IF(AND($X237&gt;0,ISNUMBER($M237)),$M237/$X237,"")</f>
        <v/>
      </c>
      <c r="Z237" s="334">
        <f>IF($X237=0,"",IF(COUNTIF(⑳商品別1食労務費!$C$5:$C$124,$R237)+COUNTIF(⑳商品別1食労務費!$C$5:$C$124,$S237)+COUNTIF(⑳商品別1食労務費!$C$5:$C$124,$T237)+COUNTIF(⑳商品別1食労務費!$C$5:$C$124,$U237)+COUNTIF(⑳商品別1食労務費!$C$5:$C$124,$V237)+COUNTIF(⑳商品別1食労務費!$C$5:$C$124,$W237)=$X237,"OK","⑳に無い商品名"))</f>
        <v/>
      </c>
      <c r="AA237" s="334">
        <f>SUMIF(⑳商品別1食労務費!$C$5:$C$124,$R237,⑳商品別1食労務費!$F$5:$F$124)+SUMIF(⑳商品別1食労務費!$C$5:$C$124,$S237,⑳商品別1食労務費!$F$5:$F$124)+SUMIF(⑳商品別1食労務費!$C$5:$C$124,$T237,⑳商品別1食労務費!$F$5:$F$124)+SUMIF(⑳商品別1食労務費!$C$5:$C$124,$U237,⑳商品別1食労務費!$F$5:$F$124)+SUMIF(⑳商品別1食労務費!$C$5:$C$124,$V237,⑳商品別1食労務費!$F$5:$F$124)+SUMIF(⑳商品別1食労務費!$C$5:$C$124,$W237,⑳商品別1食労務費!$F$5:$F$124)</f>
        <v/>
      </c>
      <c r="AB237" s="334">
        <f>IF(ISNUMBER($M237),$M237,0)</f>
        <v/>
      </c>
      <c r="AC237" s="334">
        <f>IF(AND($X237&gt;0,ISNUMBER($J237)),$J237/$X237,"")</f>
        <v/>
      </c>
      <c r="AD237" s="413">
        <f>IF($R237="",0,IF($AA237&gt;0,$AB237*SUMIF(⑳商品別1食労務費!$C$5:$C$124,$R237,⑳商品別1食労務費!$F$5:$F$124)/$AA237,$AB237/$X237))</f>
        <v/>
      </c>
      <c r="AE237" s="413">
        <f>IF($S237="",0,IF($AA237&gt;0,$AB237*SUMIF(⑳商品別1食労務費!$C$5:$C$124,$S237,⑳商品別1食労務費!$F$5:$F$124)/$AA237,$AB237/$X237))</f>
        <v/>
      </c>
      <c r="AF237" s="413">
        <f>IF($T237="",0,IF($AA237&gt;0,$AB237*SUMIF(⑳商品別1食労務費!$C$5:$C$124,$T237,⑳商品別1食労務費!$F$5:$F$124)/$AA237,$AB237/$X237))</f>
        <v/>
      </c>
      <c r="AG237" s="413">
        <f>IF($U237="",0,IF($AA237&gt;0,$AB237*SUMIF(⑳商品別1食労務費!$C$5:$C$124,$U237,⑳商品別1食労務費!$F$5:$F$124)/$AA237,$AB237/$X237))</f>
        <v/>
      </c>
      <c r="AH237" s="413">
        <f>IF($V237="",0,IF($AA237&gt;0,$AB237*SUMIF(⑳商品別1食労務費!$C$5:$C$124,$V237,⑳商品別1食労務費!$F$5:$F$124)/$AA237,$AB237/$X237))</f>
        <v/>
      </c>
      <c r="AI237" s="413">
        <f>IF($W237="",0,IF($AA237&gt;0,$AB237*SUMIF(⑳商品別1食労務費!$C$5:$C$124,$W237,⑳商品別1食労務費!$F$5:$F$124)/$AA237,$AB237/$X237))</f>
        <v/>
      </c>
    </row>
    <row r="238">
      <c r="A238" s="188" t="n">
        <v>234</v>
      </c>
      <c r="B238" s="189" t="n"/>
      <c r="C238" s="229" t="n"/>
      <c r="D238" s="190" t="n"/>
      <c r="E238" s="190" t="n"/>
      <c r="F238" s="541">
        <f>IF(OR(D238="",E238=""),"",(E238-D238)*1440)</f>
        <v/>
      </c>
      <c r="G238" s="542" t="n"/>
      <c r="H238" s="542" t="n"/>
      <c r="I238" s="543" t="n"/>
      <c r="J238" s="192" t="n"/>
      <c r="K238" s="544">
        <f>IF(AND(ISNUMBER(F238),I238&gt;0),I238/(F238/60),"")</f>
        <v/>
      </c>
      <c r="L238" s="545" t="n"/>
      <c r="M238" s="194">
        <f>IF(OR(ISNUMBER(SEARCH("サニテーション",C238)),ISNUMBER(SEARCH("客注",C238)),ISNUMBER(SEARCH("切り替え",C238)),ISNUMBER(SEARCH("切替",C238)),NOT(ISNUMBER(H238))),"",IF(ISNUMBER(G238),G238/60*H238*④前提設定!$B$4,IF(AND(G238="",ISNUMBER(F238)),F238/60*H238*④前提設定!$B$4,"")))</f>
        <v/>
      </c>
      <c r="N238" s="546">
        <f>IF(AND(I238&gt;0,ISNUMBER(M238)),M238/I238,"")</f>
        <v/>
      </c>
      <c r="O238" s="547">
        <f>IF(AND(J238&gt;0,ISNUMBER(M238)),M238/J238,"")</f>
        <v/>
      </c>
      <c r="P238" s="195" t="n"/>
      <c r="Q238" s="196" t="n"/>
      <c r="X238" s="334">
        <f>COUNTA(R238:W238)</f>
        <v/>
      </c>
      <c r="Y238" s="334">
        <f>IF(AND($X238&gt;0,ISNUMBER($M238)),$M238/$X238,"")</f>
        <v/>
      </c>
      <c r="Z238" s="334">
        <f>IF($X238=0,"",IF(COUNTIF(⑳商品別1食労務費!$C$5:$C$124,$R238)+COUNTIF(⑳商品別1食労務費!$C$5:$C$124,$S238)+COUNTIF(⑳商品別1食労務費!$C$5:$C$124,$T238)+COUNTIF(⑳商品別1食労務費!$C$5:$C$124,$U238)+COUNTIF(⑳商品別1食労務費!$C$5:$C$124,$V238)+COUNTIF(⑳商品別1食労務費!$C$5:$C$124,$W238)=$X238,"OK","⑳に無い商品名"))</f>
        <v/>
      </c>
      <c r="AA238" s="334">
        <f>SUMIF(⑳商品別1食労務費!$C$5:$C$124,$R238,⑳商品別1食労務費!$F$5:$F$124)+SUMIF(⑳商品別1食労務費!$C$5:$C$124,$S238,⑳商品別1食労務費!$F$5:$F$124)+SUMIF(⑳商品別1食労務費!$C$5:$C$124,$T238,⑳商品別1食労務費!$F$5:$F$124)+SUMIF(⑳商品別1食労務費!$C$5:$C$124,$U238,⑳商品別1食労務費!$F$5:$F$124)+SUMIF(⑳商品別1食労務費!$C$5:$C$124,$V238,⑳商品別1食労務費!$F$5:$F$124)+SUMIF(⑳商品別1食労務費!$C$5:$C$124,$W238,⑳商品別1食労務費!$F$5:$F$124)</f>
        <v/>
      </c>
      <c r="AB238" s="334">
        <f>IF(ISNUMBER($M238),$M238,0)</f>
        <v/>
      </c>
      <c r="AC238" s="334">
        <f>IF(AND($X238&gt;0,ISNUMBER($J238)),$J238/$X238,"")</f>
        <v/>
      </c>
      <c r="AD238" s="413">
        <f>IF($R238="",0,IF($AA238&gt;0,$AB238*SUMIF(⑳商品別1食労務費!$C$5:$C$124,$R238,⑳商品別1食労務費!$F$5:$F$124)/$AA238,$AB238/$X238))</f>
        <v/>
      </c>
      <c r="AE238" s="413">
        <f>IF($S238="",0,IF($AA238&gt;0,$AB238*SUMIF(⑳商品別1食労務費!$C$5:$C$124,$S238,⑳商品別1食労務費!$F$5:$F$124)/$AA238,$AB238/$X238))</f>
        <v/>
      </c>
      <c r="AF238" s="413">
        <f>IF($T238="",0,IF($AA238&gt;0,$AB238*SUMIF(⑳商品別1食労務費!$C$5:$C$124,$T238,⑳商品別1食労務費!$F$5:$F$124)/$AA238,$AB238/$X238))</f>
        <v/>
      </c>
      <c r="AG238" s="413">
        <f>IF($U238="",0,IF($AA238&gt;0,$AB238*SUMIF(⑳商品別1食労務費!$C$5:$C$124,$U238,⑳商品別1食労務費!$F$5:$F$124)/$AA238,$AB238/$X238))</f>
        <v/>
      </c>
      <c r="AH238" s="413">
        <f>IF($V238="",0,IF($AA238&gt;0,$AB238*SUMIF(⑳商品別1食労務費!$C$5:$C$124,$V238,⑳商品別1食労務費!$F$5:$F$124)/$AA238,$AB238/$X238))</f>
        <v/>
      </c>
      <c r="AI238" s="413">
        <f>IF($W238="",0,IF($AA238&gt;0,$AB238*SUMIF(⑳商品別1食労務費!$C$5:$C$124,$W238,⑳商品別1食労務費!$F$5:$F$124)/$AA238,$AB238/$X238))</f>
        <v/>
      </c>
    </row>
    <row r="239">
      <c r="A239" s="197" t="n">
        <v>235</v>
      </c>
      <c r="B239" s="198" t="n"/>
      <c r="C239" s="229" t="n"/>
      <c r="D239" s="190" t="n"/>
      <c r="E239" s="190" t="n"/>
      <c r="F239" s="541">
        <f>IF(OR(D239="",E239=""),"",(E239-D239)*1440)</f>
        <v/>
      </c>
      <c r="G239" s="542" t="n"/>
      <c r="H239" s="542" t="n"/>
      <c r="I239" s="543" t="n"/>
      <c r="J239" s="192" t="n"/>
      <c r="K239" s="544">
        <f>IF(AND(ISNUMBER(F239),I239&gt;0),I239/(F239/60),"")</f>
        <v/>
      </c>
      <c r="L239" s="545" t="n"/>
      <c r="M239" s="194">
        <f>IF(OR(ISNUMBER(SEARCH("サニテーション",C239)),ISNUMBER(SEARCH("客注",C239)),ISNUMBER(SEARCH("切り替え",C239)),ISNUMBER(SEARCH("切替",C239)),NOT(ISNUMBER(H239))),"",IF(ISNUMBER(G239),G239/60*H239*④前提設定!$B$4,IF(AND(G239="",ISNUMBER(F239)),F239/60*H239*④前提設定!$B$4,"")))</f>
        <v/>
      </c>
      <c r="N239" s="546">
        <f>IF(AND(I239&gt;0,ISNUMBER(M239)),M239/I239,"")</f>
        <v/>
      </c>
      <c r="O239" s="547">
        <f>IF(AND(J239&gt;0,ISNUMBER(M239)),M239/J239,"")</f>
        <v/>
      </c>
      <c r="P239" s="199" t="n"/>
      <c r="Q239" s="200" t="n"/>
      <c r="X239" s="334">
        <f>COUNTA(R239:W239)</f>
        <v/>
      </c>
      <c r="Y239" s="334">
        <f>IF(AND($X239&gt;0,ISNUMBER($M239)),$M239/$X239,"")</f>
        <v/>
      </c>
      <c r="Z239" s="334">
        <f>IF($X239=0,"",IF(COUNTIF(⑳商品別1食労務費!$C$5:$C$124,$R239)+COUNTIF(⑳商品別1食労務費!$C$5:$C$124,$S239)+COUNTIF(⑳商品別1食労務費!$C$5:$C$124,$T239)+COUNTIF(⑳商品別1食労務費!$C$5:$C$124,$U239)+COUNTIF(⑳商品別1食労務費!$C$5:$C$124,$V239)+COUNTIF(⑳商品別1食労務費!$C$5:$C$124,$W239)=$X239,"OK","⑳に無い商品名"))</f>
        <v/>
      </c>
      <c r="AA239" s="334">
        <f>SUMIF(⑳商品別1食労務費!$C$5:$C$124,$R239,⑳商品別1食労務費!$F$5:$F$124)+SUMIF(⑳商品別1食労務費!$C$5:$C$124,$S239,⑳商品別1食労務費!$F$5:$F$124)+SUMIF(⑳商品別1食労務費!$C$5:$C$124,$T239,⑳商品別1食労務費!$F$5:$F$124)+SUMIF(⑳商品別1食労務費!$C$5:$C$124,$U239,⑳商品別1食労務費!$F$5:$F$124)+SUMIF(⑳商品別1食労務費!$C$5:$C$124,$V239,⑳商品別1食労務費!$F$5:$F$124)+SUMIF(⑳商品別1食労務費!$C$5:$C$124,$W239,⑳商品別1食労務費!$F$5:$F$124)</f>
        <v/>
      </c>
      <c r="AB239" s="334">
        <f>IF(ISNUMBER($M239),$M239,0)</f>
        <v/>
      </c>
      <c r="AC239" s="334">
        <f>IF(AND($X239&gt;0,ISNUMBER($J239)),$J239/$X239,"")</f>
        <v/>
      </c>
      <c r="AD239" s="413">
        <f>IF($R239="",0,IF($AA239&gt;0,$AB239*SUMIF(⑳商品別1食労務費!$C$5:$C$124,$R239,⑳商品別1食労務費!$F$5:$F$124)/$AA239,$AB239/$X239))</f>
        <v/>
      </c>
      <c r="AE239" s="413">
        <f>IF($S239="",0,IF($AA239&gt;0,$AB239*SUMIF(⑳商品別1食労務費!$C$5:$C$124,$S239,⑳商品別1食労務費!$F$5:$F$124)/$AA239,$AB239/$X239))</f>
        <v/>
      </c>
      <c r="AF239" s="413">
        <f>IF($T239="",0,IF($AA239&gt;0,$AB239*SUMIF(⑳商品別1食労務費!$C$5:$C$124,$T239,⑳商品別1食労務費!$F$5:$F$124)/$AA239,$AB239/$X239))</f>
        <v/>
      </c>
      <c r="AG239" s="413">
        <f>IF($U239="",0,IF($AA239&gt;0,$AB239*SUMIF(⑳商品別1食労務費!$C$5:$C$124,$U239,⑳商品別1食労務費!$F$5:$F$124)/$AA239,$AB239/$X239))</f>
        <v/>
      </c>
      <c r="AH239" s="413">
        <f>IF($V239="",0,IF($AA239&gt;0,$AB239*SUMIF(⑳商品別1食労務費!$C$5:$C$124,$V239,⑳商品別1食労務費!$F$5:$F$124)/$AA239,$AB239/$X239))</f>
        <v/>
      </c>
      <c r="AI239" s="413">
        <f>IF($W239="",0,IF($AA239&gt;0,$AB239*SUMIF(⑳商品別1食労務費!$C$5:$C$124,$W239,⑳商品別1食労務費!$F$5:$F$124)/$AA239,$AB239/$X239))</f>
        <v/>
      </c>
    </row>
    <row r="240">
      <c r="A240" s="188" t="n">
        <v>236</v>
      </c>
      <c r="B240" s="189" t="n"/>
      <c r="C240" s="229" t="n"/>
      <c r="D240" s="190" t="n"/>
      <c r="E240" s="190" t="n"/>
      <c r="F240" s="541">
        <f>IF(OR(D240="",E240=""),"",(E240-D240)*1440)</f>
        <v/>
      </c>
      <c r="G240" s="542" t="n"/>
      <c r="H240" s="542" t="n"/>
      <c r="I240" s="543" t="n"/>
      <c r="J240" s="192" t="n"/>
      <c r="K240" s="544">
        <f>IF(AND(ISNUMBER(F240),I240&gt;0),I240/(F240/60),"")</f>
        <v/>
      </c>
      <c r="L240" s="545" t="n"/>
      <c r="M240" s="194">
        <f>IF(OR(ISNUMBER(SEARCH("サニテーション",C240)),ISNUMBER(SEARCH("客注",C240)),ISNUMBER(SEARCH("切り替え",C240)),ISNUMBER(SEARCH("切替",C240)),NOT(ISNUMBER(H240))),"",IF(ISNUMBER(G240),G240/60*H240*④前提設定!$B$4,IF(AND(G240="",ISNUMBER(F240)),F240/60*H240*④前提設定!$B$4,"")))</f>
        <v/>
      </c>
      <c r="N240" s="546">
        <f>IF(AND(I240&gt;0,ISNUMBER(M240)),M240/I240,"")</f>
        <v/>
      </c>
      <c r="O240" s="547">
        <f>IF(AND(J240&gt;0,ISNUMBER(M240)),M240/J240,"")</f>
        <v/>
      </c>
      <c r="P240" s="195" t="n"/>
      <c r="Q240" s="196" t="n"/>
      <c r="X240" s="334">
        <f>COUNTA(R240:W240)</f>
        <v/>
      </c>
      <c r="Y240" s="334">
        <f>IF(AND($X240&gt;0,ISNUMBER($M240)),$M240/$X240,"")</f>
        <v/>
      </c>
      <c r="Z240" s="334">
        <f>IF($X240=0,"",IF(COUNTIF(⑳商品別1食労務費!$C$5:$C$124,$R240)+COUNTIF(⑳商品別1食労務費!$C$5:$C$124,$S240)+COUNTIF(⑳商品別1食労務費!$C$5:$C$124,$T240)+COUNTIF(⑳商品別1食労務費!$C$5:$C$124,$U240)+COUNTIF(⑳商品別1食労務費!$C$5:$C$124,$V240)+COUNTIF(⑳商品別1食労務費!$C$5:$C$124,$W240)=$X240,"OK","⑳に無い商品名"))</f>
        <v/>
      </c>
      <c r="AA240" s="334">
        <f>SUMIF(⑳商品別1食労務費!$C$5:$C$124,$R240,⑳商品別1食労務費!$F$5:$F$124)+SUMIF(⑳商品別1食労務費!$C$5:$C$124,$S240,⑳商品別1食労務費!$F$5:$F$124)+SUMIF(⑳商品別1食労務費!$C$5:$C$124,$T240,⑳商品別1食労務費!$F$5:$F$124)+SUMIF(⑳商品別1食労務費!$C$5:$C$124,$U240,⑳商品別1食労務費!$F$5:$F$124)+SUMIF(⑳商品別1食労務費!$C$5:$C$124,$V240,⑳商品別1食労務費!$F$5:$F$124)+SUMIF(⑳商品別1食労務費!$C$5:$C$124,$W240,⑳商品別1食労務費!$F$5:$F$124)</f>
        <v/>
      </c>
      <c r="AB240" s="334">
        <f>IF(ISNUMBER($M240),$M240,0)</f>
        <v/>
      </c>
      <c r="AC240" s="334">
        <f>IF(AND($X240&gt;0,ISNUMBER($J240)),$J240/$X240,"")</f>
        <v/>
      </c>
      <c r="AD240" s="413">
        <f>IF($R240="",0,IF($AA240&gt;0,$AB240*SUMIF(⑳商品別1食労務費!$C$5:$C$124,$R240,⑳商品別1食労務費!$F$5:$F$124)/$AA240,$AB240/$X240))</f>
        <v/>
      </c>
      <c r="AE240" s="413">
        <f>IF($S240="",0,IF($AA240&gt;0,$AB240*SUMIF(⑳商品別1食労務費!$C$5:$C$124,$S240,⑳商品別1食労務費!$F$5:$F$124)/$AA240,$AB240/$X240))</f>
        <v/>
      </c>
      <c r="AF240" s="413">
        <f>IF($T240="",0,IF($AA240&gt;0,$AB240*SUMIF(⑳商品別1食労務費!$C$5:$C$124,$T240,⑳商品別1食労務費!$F$5:$F$124)/$AA240,$AB240/$X240))</f>
        <v/>
      </c>
      <c r="AG240" s="413">
        <f>IF($U240="",0,IF($AA240&gt;0,$AB240*SUMIF(⑳商品別1食労務費!$C$5:$C$124,$U240,⑳商品別1食労務費!$F$5:$F$124)/$AA240,$AB240/$X240))</f>
        <v/>
      </c>
      <c r="AH240" s="413">
        <f>IF($V240="",0,IF($AA240&gt;0,$AB240*SUMIF(⑳商品別1食労務費!$C$5:$C$124,$V240,⑳商品別1食労務費!$F$5:$F$124)/$AA240,$AB240/$X240))</f>
        <v/>
      </c>
      <c r="AI240" s="413">
        <f>IF($W240="",0,IF($AA240&gt;0,$AB240*SUMIF(⑳商品別1食労務費!$C$5:$C$124,$W240,⑳商品別1食労務費!$F$5:$F$124)/$AA240,$AB240/$X240))</f>
        <v/>
      </c>
    </row>
    <row r="241">
      <c r="A241" s="197" t="n">
        <v>237</v>
      </c>
      <c r="B241" s="198" t="n"/>
      <c r="C241" s="229" t="n"/>
      <c r="D241" s="190" t="n"/>
      <c r="E241" s="190" t="n"/>
      <c r="F241" s="541">
        <f>IF(OR(D241="",E241=""),"",(E241-D241)*1440)</f>
        <v/>
      </c>
      <c r="G241" s="542" t="n"/>
      <c r="H241" s="542" t="n"/>
      <c r="I241" s="543" t="n"/>
      <c r="J241" s="192" t="n"/>
      <c r="K241" s="544">
        <f>IF(AND(ISNUMBER(F241),I241&gt;0),I241/(F241/60),"")</f>
        <v/>
      </c>
      <c r="L241" s="545" t="n"/>
      <c r="M241" s="194">
        <f>IF(OR(ISNUMBER(SEARCH("サニテーション",C241)),ISNUMBER(SEARCH("客注",C241)),ISNUMBER(SEARCH("切り替え",C241)),ISNUMBER(SEARCH("切替",C241)),NOT(ISNUMBER(H241))),"",IF(ISNUMBER(G241),G241/60*H241*④前提設定!$B$4,IF(AND(G241="",ISNUMBER(F241)),F241/60*H241*④前提設定!$B$4,"")))</f>
        <v/>
      </c>
      <c r="N241" s="546">
        <f>IF(AND(I241&gt;0,ISNUMBER(M241)),M241/I241,"")</f>
        <v/>
      </c>
      <c r="O241" s="547">
        <f>IF(AND(J241&gt;0,ISNUMBER(M241)),M241/J241,"")</f>
        <v/>
      </c>
      <c r="P241" s="199" t="n"/>
      <c r="Q241" s="200" t="n"/>
      <c r="X241" s="334">
        <f>COUNTA(R241:W241)</f>
        <v/>
      </c>
      <c r="Y241" s="334">
        <f>IF(AND($X241&gt;0,ISNUMBER($M241)),$M241/$X241,"")</f>
        <v/>
      </c>
      <c r="Z241" s="334">
        <f>IF($X241=0,"",IF(COUNTIF(⑳商品別1食労務費!$C$5:$C$124,$R241)+COUNTIF(⑳商品別1食労務費!$C$5:$C$124,$S241)+COUNTIF(⑳商品別1食労務費!$C$5:$C$124,$T241)+COUNTIF(⑳商品別1食労務費!$C$5:$C$124,$U241)+COUNTIF(⑳商品別1食労務費!$C$5:$C$124,$V241)+COUNTIF(⑳商品別1食労務費!$C$5:$C$124,$W241)=$X241,"OK","⑳に無い商品名"))</f>
        <v/>
      </c>
      <c r="AA241" s="334">
        <f>SUMIF(⑳商品別1食労務費!$C$5:$C$124,$R241,⑳商品別1食労務費!$F$5:$F$124)+SUMIF(⑳商品別1食労務費!$C$5:$C$124,$S241,⑳商品別1食労務費!$F$5:$F$124)+SUMIF(⑳商品別1食労務費!$C$5:$C$124,$T241,⑳商品別1食労務費!$F$5:$F$124)+SUMIF(⑳商品別1食労務費!$C$5:$C$124,$U241,⑳商品別1食労務費!$F$5:$F$124)+SUMIF(⑳商品別1食労務費!$C$5:$C$124,$V241,⑳商品別1食労務費!$F$5:$F$124)+SUMIF(⑳商品別1食労務費!$C$5:$C$124,$W241,⑳商品別1食労務費!$F$5:$F$124)</f>
        <v/>
      </c>
      <c r="AB241" s="334">
        <f>IF(ISNUMBER($M241),$M241,0)</f>
        <v/>
      </c>
      <c r="AC241" s="334">
        <f>IF(AND($X241&gt;0,ISNUMBER($J241)),$J241/$X241,"")</f>
        <v/>
      </c>
      <c r="AD241" s="413">
        <f>IF($R241="",0,IF($AA241&gt;0,$AB241*SUMIF(⑳商品別1食労務費!$C$5:$C$124,$R241,⑳商品別1食労務費!$F$5:$F$124)/$AA241,$AB241/$X241))</f>
        <v/>
      </c>
      <c r="AE241" s="413">
        <f>IF($S241="",0,IF($AA241&gt;0,$AB241*SUMIF(⑳商品別1食労務費!$C$5:$C$124,$S241,⑳商品別1食労務費!$F$5:$F$124)/$AA241,$AB241/$X241))</f>
        <v/>
      </c>
      <c r="AF241" s="413">
        <f>IF($T241="",0,IF($AA241&gt;0,$AB241*SUMIF(⑳商品別1食労務費!$C$5:$C$124,$T241,⑳商品別1食労務費!$F$5:$F$124)/$AA241,$AB241/$X241))</f>
        <v/>
      </c>
      <c r="AG241" s="413">
        <f>IF($U241="",0,IF($AA241&gt;0,$AB241*SUMIF(⑳商品別1食労務費!$C$5:$C$124,$U241,⑳商品別1食労務費!$F$5:$F$124)/$AA241,$AB241/$X241))</f>
        <v/>
      </c>
      <c r="AH241" s="413">
        <f>IF($V241="",0,IF($AA241&gt;0,$AB241*SUMIF(⑳商品別1食労務費!$C$5:$C$124,$V241,⑳商品別1食労務費!$F$5:$F$124)/$AA241,$AB241/$X241))</f>
        <v/>
      </c>
      <c r="AI241" s="413">
        <f>IF($W241="",0,IF($AA241&gt;0,$AB241*SUMIF(⑳商品別1食労務費!$C$5:$C$124,$W241,⑳商品別1食労務費!$F$5:$F$124)/$AA241,$AB241/$X241))</f>
        <v/>
      </c>
    </row>
    <row r="242">
      <c r="A242" s="188" t="n">
        <v>238</v>
      </c>
      <c r="B242" s="189" t="n"/>
      <c r="C242" s="229" t="n"/>
      <c r="D242" s="190" t="n"/>
      <c r="E242" s="190" t="n"/>
      <c r="F242" s="541">
        <f>IF(OR(D242="",E242=""),"",(E242-D242)*1440)</f>
        <v/>
      </c>
      <c r="G242" s="542" t="n"/>
      <c r="H242" s="542" t="n"/>
      <c r="I242" s="543" t="n"/>
      <c r="J242" s="192" t="n"/>
      <c r="K242" s="544">
        <f>IF(AND(ISNUMBER(F242),I242&gt;0),I242/(F242/60),"")</f>
        <v/>
      </c>
      <c r="L242" s="545" t="n"/>
      <c r="M242" s="194">
        <f>IF(OR(ISNUMBER(SEARCH("サニテーション",C242)),ISNUMBER(SEARCH("客注",C242)),ISNUMBER(SEARCH("切り替え",C242)),ISNUMBER(SEARCH("切替",C242)),NOT(ISNUMBER(H242))),"",IF(ISNUMBER(G242),G242/60*H242*④前提設定!$B$4,IF(AND(G242="",ISNUMBER(F242)),F242/60*H242*④前提設定!$B$4,"")))</f>
        <v/>
      </c>
      <c r="N242" s="546">
        <f>IF(AND(I242&gt;0,ISNUMBER(M242)),M242/I242,"")</f>
        <v/>
      </c>
      <c r="O242" s="547">
        <f>IF(AND(J242&gt;0,ISNUMBER(M242)),M242/J242,"")</f>
        <v/>
      </c>
      <c r="P242" s="195" t="n"/>
      <c r="Q242" s="196" t="n"/>
      <c r="X242" s="334">
        <f>COUNTA(R242:W242)</f>
        <v/>
      </c>
      <c r="Y242" s="334">
        <f>IF(AND($X242&gt;0,ISNUMBER($M242)),$M242/$X242,"")</f>
        <v/>
      </c>
      <c r="Z242" s="334">
        <f>IF($X242=0,"",IF(COUNTIF(⑳商品別1食労務費!$C$5:$C$124,$R242)+COUNTIF(⑳商品別1食労務費!$C$5:$C$124,$S242)+COUNTIF(⑳商品別1食労務費!$C$5:$C$124,$T242)+COUNTIF(⑳商品別1食労務費!$C$5:$C$124,$U242)+COUNTIF(⑳商品別1食労務費!$C$5:$C$124,$V242)+COUNTIF(⑳商品別1食労務費!$C$5:$C$124,$W242)=$X242,"OK","⑳に無い商品名"))</f>
        <v/>
      </c>
      <c r="AA242" s="334">
        <f>SUMIF(⑳商品別1食労務費!$C$5:$C$124,$R242,⑳商品別1食労務費!$F$5:$F$124)+SUMIF(⑳商品別1食労務費!$C$5:$C$124,$S242,⑳商品別1食労務費!$F$5:$F$124)+SUMIF(⑳商品別1食労務費!$C$5:$C$124,$T242,⑳商品別1食労務費!$F$5:$F$124)+SUMIF(⑳商品別1食労務費!$C$5:$C$124,$U242,⑳商品別1食労務費!$F$5:$F$124)+SUMIF(⑳商品別1食労務費!$C$5:$C$124,$V242,⑳商品別1食労務費!$F$5:$F$124)+SUMIF(⑳商品別1食労務費!$C$5:$C$124,$W242,⑳商品別1食労務費!$F$5:$F$124)</f>
        <v/>
      </c>
      <c r="AB242" s="334">
        <f>IF(ISNUMBER($M242),$M242,0)</f>
        <v/>
      </c>
      <c r="AC242" s="334">
        <f>IF(AND($X242&gt;0,ISNUMBER($J242)),$J242/$X242,"")</f>
        <v/>
      </c>
      <c r="AD242" s="413">
        <f>IF($R242="",0,IF($AA242&gt;0,$AB242*SUMIF(⑳商品別1食労務費!$C$5:$C$124,$R242,⑳商品別1食労務費!$F$5:$F$124)/$AA242,$AB242/$X242))</f>
        <v/>
      </c>
      <c r="AE242" s="413">
        <f>IF($S242="",0,IF($AA242&gt;0,$AB242*SUMIF(⑳商品別1食労務費!$C$5:$C$124,$S242,⑳商品別1食労務費!$F$5:$F$124)/$AA242,$AB242/$X242))</f>
        <v/>
      </c>
      <c r="AF242" s="413">
        <f>IF($T242="",0,IF($AA242&gt;0,$AB242*SUMIF(⑳商品別1食労務費!$C$5:$C$124,$T242,⑳商品別1食労務費!$F$5:$F$124)/$AA242,$AB242/$X242))</f>
        <v/>
      </c>
      <c r="AG242" s="413">
        <f>IF($U242="",0,IF($AA242&gt;0,$AB242*SUMIF(⑳商品別1食労務費!$C$5:$C$124,$U242,⑳商品別1食労務費!$F$5:$F$124)/$AA242,$AB242/$X242))</f>
        <v/>
      </c>
      <c r="AH242" s="413">
        <f>IF($V242="",0,IF($AA242&gt;0,$AB242*SUMIF(⑳商品別1食労務費!$C$5:$C$124,$V242,⑳商品別1食労務費!$F$5:$F$124)/$AA242,$AB242/$X242))</f>
        <v/>
      </c>
      <c r="AI242" s="413">
        <f>IF($W242="",0,IF($AA242&gt;0,$AB242*SUMIF(⑳商品別1食労務費!$C$5:$C$124,$W242,⑳商品別1食労務費!$F$5:$F$124)/$AA242,$AB242/$X242))</f>
        <v/>
      </c>
    </row>
    <row r="243">
      <c r="A243" s="197" t="n">
        <v>239</v>
      </c>
      <c r="B243" s="198" t="n"/>
      <c r="C243" s="229" t="n"/>
      <c r="D243" s="190" t="n"/>
      <c r="E243" s="190" t="n"/>
      <c r="F243" s="541">
        <f>IF(OR(D243="",E243=""),"",(E243-D243)*1440)</f>
        <v/>
      </c>
      <c r="G243" s="542" t="n"/>
      <c r="H243" s="542" t="n"/>
      <c r="I243" s="543" t="n"/>
      <c r="J243" s="192" t="n"/>
      <c r="K243" s="544">
        <f>IF(AND(ISNUMBER(F243),I243&gt;0),I243/(F243/60),"")</f>
        <v/>
      </c>
      <c r="L243" s="545" t="n"/>
      <c r="M243" s="194">
        <f>IF(OR(ISNUMBER(SEARCH("サニテーション",C243)),ISNUMBER(SEARCH("客注",C243)),ISNUMBER(SEARCH("切り替え",C243)),ISNUMBER(SEARCH("切替",C243)),NOT(ISNUMBER(H243))),"",IF(ISNUMBER(G243),G243/60*H243*④前提設定!$B$4,IF(AND(G243="",ISNUMBER(F243)),F243/60*H243*④前提設定!$B$4,"")))</f>
        <v/>
      </c>
      <c r="N243" s="546">
        <f>IF(AND(I243&gt;0,ISNUMBER(M243)),M243/I243,"")</f>
        <v/>
      </c>
      <c r="O243" s="547">
        <f>IF(AND(J243&gt;0,ISNUMBER(M243)),M243/J243,"")</f>
        <v/>
      </c>
      <c r="P243" s="199" t="n"/>
      <c r="Q243" s="200" t="n"/>
      <c r="X243" s="334">
        <f>COUNTA(R243:W243)</f>
        <v/>
      </c>
      <c r="Y243" s="334">
        <f>IF(AND($X243&gt;0,ISNUMBER($M243)),$M243/$X243,"")</f>
        <v/>
      </c>
      <c r="Z243" s="334">
        <f>IF($X243=0,"",IF(COUNTIF(⑳商品別1食労務費!$C$5:$C$124,$R243)+COUNTIF(⑳商品別1食労務費!$C$5:$C$124,$S243)+COUNTIF(⑳商品別1食労務費!$C$5:$C$124,$T243)+COUNTIF(⑳商品別1食労務費!$C$5:$C$124,$U243)+COUNTIF(⑳商品別1食労務費!$C$5:$C$124,$V243)+COUNTIF(⑳商品別1食労務費!$C$5:$C$124,$W243)=$X243,"OK","⑳に無い商品名"))</f>
        <v/>
      </c>
      <c r="AA243" s="334">
        <f>SUMIF(⑳商品別1食労務費!$C$5:$C$124,$R243,⑳商品別1食労務費!$F$5:$F$124)+SUMIF(⑳商品別1食労務費!$C$5:$C$124,$S243,⑳商品別1食労務費!$F$5:$F$124)+SUMIF(⑳商品別1食労務費!$C$5:$C$124,$T243,⑳商品別1食労務費!$F$5:$F$124)+SUMIF(⑳商品別1食労務費!$C$5:$C$124,$U243,⑳商品別1食労務費!$F$5:$F$124)+SUMIF(⑳商品別1食労務費!$C$5:$C$124,$V243,⑳商品別1食労務費!$F$5:$F$124)+SUMIF(⑳商品別1食労務費!$C$5:$C$124,$W243,⑳商品別1食労務費!$F$5:$F$124)</f>
        <v/>
      </c>
      <c r="AB243" s="334">
        <f>IF(ISNUMBER($M243),$M243,0)</f>
        <v/>
      </c>
      <c r="AC243" s="334">
        <f>IF(AND($X243&gt;0,ISNUMBER($J243)),$J243/$X243,"")</f>
        <v/>
      </c>
      <c r="AD243" s="413">
        <f>IF($R243="",0,IF($AA243&gt;0,$AB243*SUMIF(⑳商品別1食労務費!$C$5:$C$124,$R243,⑳商品別1食労務費!$F$5:$F$124)/$AA243,$AB243/$X243))</f>
        <v/>
      </c>
      <c r="AE243" s="413">
        <f>IF($S243="",0,IF($AA243&gt;0,$AB243*SUMIF(⑳商品別1食労務費!$C$5:$C$124,$S243,⑳商品別1食労務費!$F$5:$F$124)/$AA243,$AB243/$X243))</f>
        <v/>
      </c>
      <c r="AF243" s="413">
        <f>IF($T243="",0,IF($AA243&gt;0,$AB243*SUMIF(⑳商品別1食労務費!$C$5:$C$124,$T243,⑳商品別1食労務費!$F$5:$F$124)/$AA243,$AB243/$X243))</f>
        <v/>
      </c>
      <c r="AG243" s="413">
        <f>IF($U243="",0,IF($AA243&gt;0,$AB243*SUMIF(⑳商品別1食労務費!$C$5:$C$124,$U243,⑳商品別1食労務費!$F$5:$F$124)/$AA243,$AB243/$X243))</f>
        <v/>
      </c>
      <c r="AH243" s="413">
        <f>IF($V243="",0,IF($AA243&gt;0,$AB243*SUMIF(⑳商品別1食労務費!$C$5:$C$124,$V243,⑳商品別1食労務費!$F$5:$F$124)/$AA243,$AB243/$X243))</f>
        <v/>
      </c>
      <c r="AI243" s="413">
        <f>IF($W243="",0,IF($AA243&gt;0,$AB243*SUMIF(⑳商品別1食労務費!$C$5:$C$124,$W243,⑳商品別1食労務費!$F$5:$F$124)/$AA243,$AB243/$X243))</f>
        <v/>
      </c>
    </row>
    <row r="244">
      <c r="A244" s="188" t="n">
        <v>240</v>
      </c>
      <c r="B244" s="189" t="n"/>
      <c r="C244" s="229" t="n"/>
      <c r="D244" s="190" t="n"/>
      <c r="E244" s="190" t="n"/>
      <c r="F244" s="541">
        <f>IF(OR(D244="",E244=""),"",(E244-D244)*1440)</f>
        <v/>
      </c>
      <c r="G244" s="542" t="n"/>
      <c r="H244" s="542" t="n"/>
      <c r="I244" s="543" t="n"/>
      <c r="J244" s="192" t="n"/>
      <c r="K244" s="544">
        <f>IF(AND(ISNUMBER(F244),I244&gt;0),I244/(F244/60),"")</f>
        <v/>
      </c>
      <c r="L244" s="545" t="n"/>
      <c r="M244" s="194">
        <f>IF(OR(ISNUMBER(SEARCH("サニテーション",C244)),ISNUMBER(SEARCH("客注",C244)),ISNUMBER(SEARCH("切り替え",C244)),ISNUMBER(SEARCH("切替",C244)),NOT(ISNUMBER(H244))),"",IF(ISNUMBER(G244),G244/60*H244*④前提設定!$B$4,IF(AND(G244="",ISNUMBER(F244)),F244/60*H244*④前提設定!$B$4,"")))</f>
        <v/>
      </c>
      <c r="N244" s="546">
        <f>IF(AND(I244&gt;0,ISNUMBER(M244)),M244/I244,"")</f>
        <v/>
      </c>
      <c r="O244" s="547">
        <f>IF(AND(J244&gt;0,ISNUMBER(M244)),M244/J244,"")</f>
        <v/>
      </c>
      <c r="P244" s="195" t="n"/>
      <c r="Q244" s="196" t="n"/>
      <c r="X244" s="334">
        <f>COUNTA(R244:W244)</f>
        <v/>
      </c>
      <c r="Y244" s="334">
        <f>IF(AND($X244&gt;0,ISNUMBER($M244)),$M244/$X244,"")</f>
        <v/>
      </c>
      <c r="Z244" s="334">
        <f>IF($X244=0,"",IF(COUNTIF(⑳商品別1食労務費!$C$5:$C$124,$R244)+COUNTIF(⑳商品別1食労務費!$C$5:$C$124,$S244)+COUNTIF(⑳商品別1食労務費!$C$5:$C$124,$T244)+COUNTIF(⑳商品別1食労務費!$C$5:$C$124,$U244)+COUNTIF(⑳商品別1食労務費!$C$5:$C$124,$V244)+COUNTIF(⑳商品別1食労務費!$C$5:$C$124,$W244)=$X244,"OK","⑳に無い商品名"))</f>
        <v/>
      </c>
      <c r="AA244" s="334">
        <f>SUMIF(⑳商品別1食労務費!$C$5:$C$124,$R244,⑳商品別1食労務費!$F$5:$F$124)+SUMIF(⑳商品別1食労務費!$C$5:$C$124,$S244,⑳商品別1食労務費!$F$5:$F$124)+SUMIF(⑳商品別1食労務費!$C$5:$C$124,$T244,⑳商品別1食労務費!$F$5:$F$124)+SUMIF(⑳商品別1食労務費!$C$5:$C$124,$U244,⑳商品別1食労務費!$F$5:$F$124)+SUMIF(⑳商品別1食労務費!$C$5:$C$124,$V244,⑳商品別1食労務費!$F$5:$F$124)+SUMIF(⑳商品別1食労務費!$C$5:$C$124,$W244,⑳商品別1食労務費!$F$5:$F$124)</f>
        <v/>
      </c>
      <c r="AB244" s="334">
        <f>IF(ISNUMBER($M244),$M244,0)</f>
        <v/>
      </c>
      <c r="AC244" s="334">
        <f>IF(AND($X244&gt;0,ISNUMBER($J244)),$J244/$X244,"")</f>
        <v/>
      </c>
      <c r="AD244" s="413">
        <f>IF($R244="",0,IF($AA244&gt;0,$AB244*SUMIF(⑳商品別1食労務費!$C$5:$C$124,$R244,⑳商品別1食労務費!$F$5:$F$124)/$AA244,$AB244/$X244))</f>
        <v/>
      </c>
      <c r="AE244" s="413">
        <f>IF($S244="",0,IF($AA244&gt;0,$AB244*SUMIF(⑳商品別1食労務費!$C$5:$C$124,$S244,⑳商品別1食労務費!$F$5:$F$124)/$AA244,$AB244/$X244))</f>
        <v/>
      </c>
      <c r="AF244" s="413">
        <f>IF($T244="",0,IF($AA244&gt;0,$AB244*SUMIF(⑳商品別1食労務費!$C$5:$C$124,$T244,⑳商品別1食労務費!$F$5:$F$124)/$AA244,$AB244/$X244))</f>
        <v/>
      </c>
      <c r="AG244" s="413">
        <f>IF($U244="",0,IF($AA244&gt;0,$AB244*SUMIF(⑳商品別1食労務費!$C$5:$C$124,$U244,⑳商品別1食労務費!$F$5:$F$124)/$AA244,$AB244/$X244))</f>
        <v/>
      </c>
      <c r="AH244" s="413">
        <f>IF($V244="",0,IF($AA244&gt;0,$AB244*SUMIF(⑳商品別1食労務費!$C$5:$C$124,$V244,⑳商品別1食労務費!$F$5:$F$124)/$AA244,$AB244/$X244))</f>
        <v/>
      </c>
      <c r="AI244" s="413">
        <f>IF($W244="",0,IF($AA244&gt;0,$AB244*SUMIF(⑳商品別1食労務費!$C$5:$C$124,$W244,⑳商品別1食労務費!$F$5:$F$124)/$AA244,$AB244/$X244))</f>
        <v/>
      </c>
    </row>
    <row r="245">
      <c r="A245" s="197" t="n">
        <v>241</v>
      </c>
      <c r="B245" s="198" t="n"/>
      <c r="C245" s="229" t="n"/>
      <c r="D245" s="190" t="n"/>
      <c r="E245" s="190" t="n"/>
      <c r="F245" s="541">
        <f>IF(OR(D245="",E245=""),"",(E245-D245)*1440)</f>
        <v/>
      </c>
      <c r="G245" s="542" t="n"/>
      <c r="H245" s="542" t="n"/>
      <c r="I245" s="543" t="n"/>
      <c r="J245" s="192" t="n"/>
      <c r="K245" s="544">
        <f>IF(AND(ISNUMBER(F245),I245&gt;0),I245/(F245/60),"")</f>
        <v/>
      </c>
      <c r="L245" s="545" t="n"/>
      <c r="M245" s="194">
        <f>IF(OR(ISNUMBER(SEARCH("サニテーション",C245)),ISNUMBER(SEARCH("客注",C245)),ISNUMBER(SEARCH("切り替え",C245)),ISNUMBER(SEARCH("切替",C245)),NOT(ISNUMBER(H245))),"",IF(ISNUMBER(G245),G245/60*H245*④前提設定!$B$4,IF(AND(G245="",ISNUMBER(F245)),F245/60*H245*④前提設定!$B$4,"")))</f>
        <v/>
      </c>
      <c r="N245" s="546">
        <f>IF(AND(I245&gt;0,ISNUMBER(M245)),M245/I245,"")</f>
        <v/>
      </c>
      <c r="O245" s="547">
        <f>IF(AND(J245&gt;0,ISNUMBER(M245)),M245/J245,"")</f>
        <v/>
      </c>
      <c r="P245" s="199" t="n"/>
      <c r="Q245" s="200" t="n"/>
      <c r="X245" s="334">
        <f>COUNTA(R245:W245)</f>
        <v/>
      </c>
      <c r="Y245" s="334">
        <f>IF(AND($X245&gt;0,ISNUMBER($M245)),$M245/$X245,"")</f>
        <v/>
      </c>
      <c r="Z245" s="334">
        <f>IF($X245=0,"",IF(COUNTIF(⑳商品別1食労務費!$C$5:$C$124,$R245)+COUNTIF(⑳商品別1食労務費!$C$5:$C$124,$S245)+COUNTIF(⑳商品別1食労務費!$C$5:$C$124,$T245)+COUNTIF(⑳商品別1食労務費!$C$5:$C$124,$U245)+COUNTIF(⑳商品別1食労務費!$C$5:$C$124,$V245)+COUNTIF(⑳商品別1食労務費!$C$5:$C$124,$W245)=$X245,"OK","⑳に無い商品名"))</f>
        <v/>
      </c>
      <c r="AA245" s="334">
        <f>SUMIF(⑳商品別1食労務費!$C$5:$C$124,$R245,⑳商品別1食労務費!$F$5:$F$124)+SUMIF(⑳商品別1食労務費!$C$5:$C$124,$S245,⑳商品別1食労務費!$F$5:$F$124)+SUMIF(⑳商品別1食労務費!$C$5:$C$124,$T245,⑳商品別1食労務費!$F$5:$F$124)+SUMIF(⑳商品別1食労務費!$C$5:$C$124,$U245,⑳商品別1食労務費!$F$5:$F$124)+SUMIF(⑳商品別1食労務費!$C$5:$C$124,$V245,⑳商品別1食労務費!$F$5:$F$124)+SUMIF(⑳商品別1食労務費!$C$5:$C$124,$W245,⑳商品別1食労務費!$F$5:$F$124)</f>
        <v/>
      </c>
      <c r="AB245" s="334">
        <f>IF(ISNUMBER($M245),$M245,0)</f>
        <v/>
      </c>
      <c r="AC245" s="334">
        <f>IF(AND($X245&gt;0,ISNUMBER($J245)),$J245/$X245,"")</f>
        <v/>
      </c>
      <c r="AD245" s="413">
        <f>IF($R245="",0,IF($AA245&gt;0,$AB245*SUMIF(⑳商品別1食労務費!$C$5:$C$124,$R245,⑳商品別1食労務費!$F$5:$F$124)/$AA245,$AB245/$X245))</f>
        <v/>
      </c>
      <c r="AE245" s="413">
        <f>IF($S245="",0,IF($AA245&gt;0,$AB245*SUMIF(⑳商品別1食労務費!$C$5:$C$124,$S245,⑳商品別1食労務費!$F$5:$F$124)/$AA245,$AB245/$X245))</f>
        <v/>
      </c>
      <c r="AF245" s="413">
        <f>IF($T245="",0,IF($AA245&gt;0,$AB245*SUMIF(⑳商品別1食労務費!$C$5:$C$124,$T245,⑳商品別1食労務費!$F$5:$F$124)/$AA245,$AB245/$X245))</f>
        <v/>
      </c>
      <c r="AG245" s="413">
        <f>IF($U245="",0,IF($AA245&gt;0,$AB245*SUMIF(⑳商品別1食労務費!$C$5:$C$124,$U245,⑳商品別1食労務費!$F$5:$F$124)/$AA245,$AB245/$X245))</f>
        <v/>
      </c>
      <c r="AH245" s="413">
        <f>IF($V245="",0,IF($AA245&gt;0,$AB245*SUMIF(⑳商品別1食労務費!$C$5:$C$124,$V245,⑳商品別1食労務費!$F$5:$F$124)/$AA245,$AB245/$X245))</f>
        <v/>
      </c>
      <c r="AI245" s="413">
        <f>IF($W245="",0,IF($AA245&gt;0,$AB245*SUMIF(⑳商品別1食労務費!$C$5:$C$124,$W245,⑳商品別1食労務費!$F$5:$F$124)/$AA245,$AB245/$X245))</f>
        <v/>
      </c>
    </row>
    <row r="246">
      <c r="A246" s="188" t="n">
        <v>242</v>
      </c>
      <c r="B246" s="189" t="n"/>
      <c r="C246" s="229" t="n"/>
      <c r="D246" s="190" t="n"/>
      <c r="E246" s="190" t="n"/>
      <c r="F246" s="541">
        <f>IF(OR(D246="",E246=""),"",(E246-D246)*1440)</f>
        <v/>
      </c>
      <c r="G246" s="542" t="n"/>
      <c r="H246" s="542" t="n"/>
      <c r="I246" s="543" t="n"/>
      <c r="J246" s="192" t="n"/>
      <c r="K246" s="544">
        <f>IF(AND(ISNUMBER(F246),I246&gt;0),I246/(F246/60),"")</f>
        <v/>
      </c>
      <c r="L246" s="545" t="n"/>
      <c r="M246" s="194">
        <f>IF(OR(ISNUMBER(SEARCH("サニテーション",C246)),ISNUMBER(SEARCH("客注",C246)),ISNUMBER(SEARCH("切り替え",C246)),ISNUMBER(SEARCH("切替",C246)),NOT(ISNUMBER(H246))),"",IF(ISNUMBER(G246),G246/60*H246*④前提設定!$B$4,IF(AND(G246="",ISNUMBER(F246)),F246/60*H246*④前提設定!$B$4,"")))</f>
        <v/>
      </c>
      <c r="N246" s="546">
        <f>IF(AND(I246&gt;0,ISNUMBER(M246)),M246/I246,"")</f>
        <v/>
      </c>
      <c r="O246" s="547">
        <f>IF(AND(J246&gt;0,ISNUMBER(M246)),M246/J246,"")</f>
        <v/>
      </c>
      <c r="P246" s="195" t="n"/>
      <c r="Q246" s="196" t="n"/>
      <c r="X246" s="334">
        <f>COUNTA(R246:W246)</f>
        <v/>
      </c>
      <c r="Y246" s="334">
        <f>IF(AND($X246&gt;0,ISNUMBER($M246)),$M246/$X246,"")</f>
        <v/>
      </c>
      <c r="Z246" s="334">
        <f>IF($X246=0,"",IF(COUNTIF(⑳商品別1食労務費!$C$5:$C$124,$R246)+COUNTIF(⑳商品別1食労務費!$C$5:$C$124,$S246)+COUNTIF(⑳商品別1食労務費!$C$5:$C$124,$T246)+COUNTIF(⑳商品別1食労務費!$C$5:$C$124,$U246)+COUNTIF(⑳商品別1食労務費!$C$5:$C$124,$V246)+COUNTIF(⑳商品別1食労務費!$C$5:$C$124,$W246)=$X246,"OK","⑳に無い商品名"))</f>
        <v/>
      </c>
      <c r="AA246" s="334">
        <f>SUMIF(⑳商品別1食労務費!$C$5:$C$124,$R246,⑳商品別1食労務費!$F$5:$F$124)+SUMIF(⑳商品別1食労務費!$C$5:$C$124,$S246,⑳商品別1食労務費!$F$5:$F$124)+SUMIF(⑳商品別1食労務費!$C$5:$C$124,$T246,⑳商品別1食労務費!$F$5:$F$124)+SUMIF(⑳商品別1食労務費!$C$5:$C$124,$U246,⑳商品別1食労務費!$F$5:$F$124)+SUMIF(⑳商品別1食労務費!$C$5:$C$124,$V246,⑳商品別1食労務費!$F$5:$F$124)+SUMIF(⑳商品別1食労務費!$C$5:$C$124,$W246,⑳商品別1食労務費!$F$5:$F$124)</f>
        <v/>
      </c>
      <c r="AB246" s="334">
        <f>IF(ISNUMBER($M246),$M246,0)</f>
        <v/>
      </c>
      <c r="AC246" s="334">
        <f>IF(AND($X246&gt;0,ISNUMBER($J246)),$J246/$X246,"")</f>
        <v/>
      </c>
      <c r="AD246" s="413">
        <f>IF($R246="",0,IF($AA246&gt;0,$AB246*SUMIF(⑳商品別1食労務費!$C$5:$C$124,$R246,⑳商品別1食労務費!$F$5:$F$124)/$AA246,$AB246/$X246))</f>
        <v/>
      </c>
      <c r="AE246" s="413">
        <f>IF($S246="",0,IF($AA246&gt;0,$AB246*SUMIF(⑳商品別1食労務費!$C$5:$C$124,$S246,⑳商品別1食労務費!$F$5:$F$124)/$AA246,$AB246/$X246))</f>
        <v/>
      </c>
      <c r="AF246" s="413">
        <f>IF($T246="",0,IF($AA246&gt;0,$AB246*SUMIF(⑳商品別1食労務費!$C$5:$C$124,$T246,⑳商品別1食労務費!$F$5:$F$124)/$AA246,$AB246/$X246))</f>
        <v/>
      </c>
      <c r="AG246" s="413">
        <f>IF($U246="",0,IF($AA246&gt;0,$AB246*SUMIF(⑳商品別1食労務費!$C$5:$C$124,$U246,⑳商品別1食労務費!$F$5:$F$124)/$AA246,$AB246/$X246))</f>
        <v/>
      </c>
      <c r="AH246" s="413">
        <f>IF($V246="",0,IF($AA246&gt;0,$AB246*SUMIF(⑳商品別1食労務費!$C$5:$C$124,$V246,⑳商品別1食労務費!$F$5:$F$124)/$AA246,$AB246/$X246))</f>
        <v/>
      </c>
      <c r="AI246" s="413">
        <f>IF($W246="",0,IF($AA246&gt;0,$AB246*SUMIF(⑳商品別1食労務費!$C$5:$C$124,$W246,⑳商品別1食労務費!$F$5:$F$124)/$AA246,$AB246/$X246))</f>
        <v/>
      </c>
    </row>
    <row r="247">
      <c r="A247" s="197" t="n">
        <v>243</v>
      </c>
      <c r="B247" s="198" t="n"/>
      <c r="C247" s="229" t="n"/>
      <c r="D247" s="190" t="n"/>
      <c r="E247" s="190" t="n"/>
      <c r="F247" s="541">
        <f>IF(OR(D247="",E247=""),"",(E247-D247)*1440)</f>
        <v/>
      </c>
      <c r="G247" s="542" t="n"/>
      <c r="H247" s="542" t="n"/>
      <c r="I247" s="543" t="n"/>
      <c r="J247" s="192" t="n"/>
      <c r="K247" s="544">
        <f>IF(AND(ISNUMBER(F247),I247&gt;0),I247/(F247/60),"")</f>
        <v/>
      </c>
      <c r="L247" s="545" t="n"/>
      <c r="M247" s="194">
        <f>IF(OR(ISNUMBER(SEARCH("サニテーション",C247)),ISNUMBER(SEARCH("客注",C247)),ISNUMBER(SEARCH("切り替え",C247)),ISNUMBER(SEARCH("切替",C247)),NOT(ISNUMBER(H247))),"",IF(ISNUMBER(G247),G247/60*H247*④前提設定!$B$4,IF(AND(G247="",ISNUMBER(F247)),F247/60*H247*④前提設定!$B$4,"")))</f>
        <v/>
      </c>
      <c r="N247" s="546">
        <f>IF(AND(I247&gt;0,ISNUMBER(M247)),M247/I247,"")</f>
        <v/>
      </c>
      <c r="O247" s="547">
        <f>IF(AND(J247&gt;0,ISNUMBER(M247)),M247/J247,"")</f>
        <v/>
      </c>
      <c r="P247" s="199" t="n"/>
      <c r="Q247" s="200" t="n"/>
      <c r="X247" s="334">
        <f>COUNTA(R247:W247)</f>
        <v/>
      </c>
      <c r="Y247" s="334">
        <f>IF(AND($X247&gt;0,ISNUMBER($M247)),$M247/$X247,"")</f>
        <v/>
      </c>
      <c r="Z247" s="334">
        <f>IF($X247=0,"",IF(COUNTIF(⑳商品別1食労務費!$C$5:$C$124,$R247)+COUNTIF(⑳商品別1食労務費!$C$5:$C$124,$S247)+COUNTIF(⑳商品別1食労務費!$C$5:$C$124,$T247)+COUNTIF(⑳商品別1食労務費!$C$5:$C$124,$U247)+COUNTIF(⑳商品別1食労務費!$C$5:$C$124,$V247)+COUNTIF(⑳商品別1食労務費!$C$5:$C$124,$W247)=$X247,"OK","⑳に無い商品名"))</f>
        <v/>
      </c>
      <c r="AA247" s="334">
        <f>SUMIF(⑳商品別1食労務費!$C$5:$C$124,$R247,⑳商品別1食労務費!$F$5:$F$124)+SUMIF(⑳商品別1食労務費!$C$5:$C$124,$S247,⑳商品別1食労務費!$F$5:$F$124)+SUMIF(⑳商品別1食労務費!$C$5:$C$124,$T247,⑳商品別1食労務費!$F$5:$F$124)+SUMIF(⑳商品別1食労務費!$C$5:$C$124,$U247,⑳商品別1食労務費!$F$5:$F$124)+SUMIF(⑳商品別1食労務費!$C$5:$C$124,$V247,⑳商品別1食労務費!$F$5:$F$124)+SUMIF(⑳商品別1食労務費!$C$5:$C$124,$W247,⑳商品別1食労務費!$F$5:$F$124)</f>
        <v/>
      </c>
      <c r="AB247" s="334">
        <f>IF(ISNUMBER($M247),$M247,0)</f>
        <v/>
      </c>
      <c r="AC247" s="334">
        <f>IF(AND($X247&gt;0,ISNUMBER($J247)),$J247/$X247,"")</f>
        <v/>
      </c>
      <c r="AD247" s="413">
        <f>IF($R247="",0,IF($AA247&gt;0,$AB247*SUMIF(⑳商品別1食労務費!$C$5:$C$124,$R247,⑳商品別1食労務費!$F$5:$F$124)/$AA247,$AB247/$X247))</f>
        <v/>
      </c>
      <c r="AE247" s="413">
        <f>IF($S247="",0,IF($AA247&gt;0,$AB247*SUMIF(⑳商品別1食労務費!$C$5:$C$124,$S247,⑳商品別1食労務費!$F$5:$F$124)/$AA247,$AB247/$X247))</f>
        <v/>
      </c>
      <c r="AF247" s="413">
        <f>IF($T247="",0,IF($AA247&gt;0,$AB247*SUMIF(⑳商品別1食労務費!$C$5:$C$124,$T247,⑳商品別1食労務費!$F$5:$F$124)/$AA247,$AB247/$X247))</f>
        <v/>
      </c>
      <c r="AG247" s="413">
        <f>IF($U247="",0,IF($AA247&gt;0,$AB247*SUMIF(⑳商品別1食労務費!$C$5:$C$124,$U247,⑳商品別1食労務費!$F$5:$F$124)/$AA247,$AB247/$X247))</f>
        <v/>
      </c>
      <c r="AH247" s="413">
        <f>IF($V247="",0,IF($AA247&gt;0,$AB247*SUMIF(⑳商品別1食労務費!$C$5:$C$124,$V247,⑳商品別1食労務費!$F$5:$F$124)/$AA247,$AB247/$X247))</f>
        <v/>
      </c>
      <c r="AI247" s="413">
        <f>IF($W247="",0,IF($AA247&gt;0,$AB247*SUMIF(⑳商品別1食労務費!$C$5:$C$124,$W247,⑳商品別1食労務費!$F$5:$F$124)/$AA247,$AB247/$X247))</f>
        <v/>
      </c>
    </row>
    <row r="248">
      <c r="A248" s="188" t="n">
        <v>244</v>
      </c>
      <c r="B248" s="189" t="n"/>
      <c r="C248" s="229" t="n"/>
      <c r="D248" s="190" t="n"/>
      <c r="E248" s="190" t="n"/>
      <c r="F248" s="541">
        <f>IF(OR(D248="",E248=""),"",(E248-D248)*1440)</f>
        <v/>
      </c>
      <c r="G248" s="542" t="n"/>
      <c r="H248" s="542" t="n"/>
      <c r="I248" s="543" t="n"/>
      <c r="J248" s="192" t="n"/>
      <c r="K248" s="544">
        <f>IF(AND(ISNUMBER(F248),I248&gt;0),I248/(F248/60),"")</f>
        <v/>
      </c>
      <c r="L248" s="545" t="n"/>
      <c r="M248" s="194">
        <f>IF(OR(ISNUMBER(SEARCH("サニテーション",C248)),ISNUMBER(SEARCH("客注",C248)),ISNUMBER(SEARCH("切り替え",C248)),ISNUMBER(SEARCH("切替",C248)),NOT(ISNUMBER(H248))),"",IF(ISNUMBER(G248),G248/60*H248*④前提設定!$B$4,IF(AND(G248="",ISNUMBER(F248)),F248/60*H248*④前提設定!$B$4,"")))</f>
        <v/>
      </c>
      <c r="N248" s="546">
        <f>IF(AND(I248&gt;0,ISNUMBER(M248)),M248/I248,"")</f>
        <v/>
      </c>
      <c r="O248" s="547">
        <f>IF(AND(J248&gt;0,ISNUMBER(M248)),M248/J248,"")</f>
        <v/>
      </c>
      <c r="P248" s="195" t="n"/>
      <c r="Q248" s="196" t="n"/>
      <c r="X248" s="334">
        <f>COUNTA(R248:W248)</f>
        <v/>
      </c>
      <c r="Y248" s="334">
        <f>IF(AND($X248&gt;0,ISNUMBER($M248)),$M248/$X248,"")</f>
        <v/>
      </c>
      <c r="Z248" s="334">
        <f>IF($X248=0,"",IF(COUNTIF(⑳商品別1食労務費!$C$5:$C$124,$R248)+COUNTIF(⑳商品別1食労務費!$C$5:$C$124,$S248)+COUNTIF(⑳商品別1食労務費!$C$5:$C$124,$T248)+COUNTIF(⑳商品別1食労務費!$C$5:$C$124,$U248)+COUNTIF(⑳商品別1食労務費!$C$5:$C$124,$V248)+COUNTIF(⑳商品別1食労務費!$C$5:$C$124,$W248)=$X248,"OK","⑳に無い商品名"))</f>
        <v/>
      </c>
      <c r="AA248" s="334">
        <f>SUMIF(⑳商品別1食労務費!$C$5:$C$124,$R248,⑳商品別1食労務費!$F$5:$F$124)+SUMIF(⑳商品別1食労務費!$C$5:$C$124,$S248,⑳商品別1食労務費!$F$5:$F$124)+SUMIF(⑳商品別1食労務費!$C$5:$C$124,$T248,⑳商品別1食労務費!$F$5:$F$124)+SUMIF(⑳商品別1食労務費!$C$5:$C$124,$U248,⑳商品別1食労務費!$F$5:$F$124)+SUMIF(⑳商品別1食労務費!$C$5:$C$124,$V248,⑳商品別1食労務費!$F$5:$F$124)+SUMIF(⑳商品別1食労務費!$C$5:$C$124,$W248,⑳商品別1食労務費!$F$5:$F$124)</f>
        <v/>
      </c>
      <c r="AB248" s="334">
        <f>IF(ISNUMBER($M248),$M248,0)</f>
        <v/>
      </c>
      <c r="AC248" s="334">
        <f>IF(AND($X248&gt;0,ISNUMBER($J248)),$J248/$X248,"")</f>
        <v/>
      </c>
      <c r="AD248" s="413">
        <f>IF($R248="",0,IF($AA248&gt;0,$AB248*SUMIF(⑳商品別1食労務費!$C$5:$C$124,$R248,⑳商品別1食労務費!$F$5:$F$124)/$AA248,$AB248/$X248))</f>
        <v/>
      </c>
      <c r="AE248" s="413">
        <f>IF($S248="",0,IF($AA248&gt;0,$AB248*SUMIF(⑳商品別1食労務費!$C$5:$C$124,$S248,⑳商品別1食労務費!$F$5:$F$124)/$AA248,$AB248/$X248))</f>
        <v/>
      </c>
      <c r="AF248" s="413">
        <f>IF($T248="",0,IF($AA248&gt;0,$AB248*SUMIF(⑳商品別1食労務費!$C$5:$C$124,$T248,⑳商品別1食労務費!$F$5:$F$124)/$AA248,$AB248/$X248))</f>
        <v/>
      </c>
      <c r="AG248" s="413">
        <f>IF($U248="",0,IF($AA248&gt;0,$AB248*SUMIF(⑳商品別1食労務費!$C$5:$C$124,$U248,⑳商品別1食労務費!$F$5:$F$124)/$AA248,$AB248/$X248))</f>
        <v/>
      </c>
      <c r="AH248" s="413">
        <f>IF($V248="",0,IF($AA248&gt;0,$AB248*SUMIF(⑳商品別1食労務費!$C$5:$C$124,$V248,⑳商品別1食労務費!$F$5:$F$124)/$AA248,$AB248/$X248))</f>
        <v/>
      </c>
      <c r="AI248" s="413">
        <f>IF($W248="",0,IF($AA248&gt;0,$AB248*SUMIF(⑳商品別1食労務費!$C$5:$C$124,$W248,⑳商品別1食労務費!$F$5:$F$124)/$AA248,$AB248/$X248))</f>
        <v/>
      </c>
    </row>
    <row r="249">
      <c r="A249" s="197" t="n">
        <v>245</v>
      </c>
      <c r="B249" s="198" t="n"/>
      <c r="C249" s="229" t="n"/>
      <c r="D249" s="190" t="n"/>
      <c r="E249" s="190" t="n"/>
      <c r="F249" s="541">
        <f>IF(OR(D249="",E249=""),"",(E249-D249)*1440)</f>
        <v/>
      </c>
      <c r="G249" s="542" t="n"/>
      <c r="H249" s="542" t="n"/>
      <c r="I249" s="543" t="n"/>
      <c r="J249" s="192" t="n"/>
      <c r="K249" s="544">
        <f>IF(AND(ISNUMBER(F249),I249&gt;0),I249/(F249/60),"")</f>
        <v/>
      </c>
      <c r="L249" s="545" t="n"/>
      <c r="M249" s="194">
        <f>IF(OR(ISNUMBER(SEARCH("サニテーション",C249)),ISNUMBER(SEARCH("客注",C249)),ISNUMBER(SEARCH("切り替え",C249)),ISNUMBER(SEARCH("切替",C249)),NOT(ISNUMBER(H249))),"",IF(ISNUMBER(G249),G249/60*H249*④前提設定!$B$4,IF(AND(G249="",ISNUMBER(F249)),F249/60*H249*④前提設定!$B$4,"")))</f>
        <v/>
      </c>
      <c r="N249" s="546">
        <f>IF(AND(I249&gt;0,ISNUMBER(M249)),M249/I249,"")</f>
        <v/>
      </c>
      <c r="O249" s="547">
        <f>IF(AND(J249&gt;0,ISNUMBER(M249)),M249/J249,"")</f>
        <v/>
      </c>
      <c r="P249" s="199" t="n"/>
      <c r="Q249" s="200" t="n"/>
      <c r="X249" s="334">
        <f>COUNTA(R249:W249)</f>
        <v/>
      </c>
      <c r="Y249" s="334">
        <f>IF(AND($X249&gt;0,ISNUMBER($M249)),$M249/$X249,"")</f>
        <v/>
      </c>
      <c r="Z249" s="334">
        <f>IF($X249=0,"",IF(COUNTIF(⑳商品別1食労務費!$C$5:$C$124,$R249)+COUNTIF(⑳商品別1食労務費!$C$5:$C$124,$S249)+COUNTIF(⑳商品別1食労務費!$C$5:$C$124,$T249)+COUNTIF(⑳商品別1食労務費!$C$5:$C$124,$U249)+COUNTIF(⑳商品別1食労務費!$C$5:$C$124,$V249)+COUNTIF(⑳商品別1食労務費!$C$5:$C$124,$W249)=$X249,"OK","⑳に無い商品名"))</f>
        <v/>
      </c>
      <c r="AA249" s="334">
        <f>SUMIF(⑳商品別1食労務費!$C$5:$C$124,$R249,⑳商品別1食労務費!$F$5:$F$124)+SUMIF(⑳商品別1食労務費!$C$5:$C$124,$S249,⑳商品別1食労務費!$F$5:$F$124)+SUMIF(⑳商品別1食労務費!$C$5:$C$124,$T249,⑳商品別1食労務費!$F$5:$F$124)+SUMIF(⑳商品別1食労務費!$C$5:$C$124,$U249,⑳商品別1食労務費!$F$5:$F$124)+SUMIF(⑳商品別1食労務費!$C$5:$C$124,$V249,⑳商品別1食労務費!$F$5:$F$124)+SUMIF(⑳商品別1食労務費!$C$5:$C$124,$W249,⑳商品別1食労務費!$F$5:$F$124)</f>
        <v/>
      </c>
      <c r="AB249" s="334">
        <f>IF(ISNUMBER($M249),$M249,0)</f>
        <v/>
      </c>
      <c r="AC249" s="334">
        <f>IF(AND($X249&gt;0,ISNUMBER($J249)),$J249/$X249,"")</f>
        <v/>
      </c>
      <c r="AD249" s="413">
        <f>IF($R249="",0,IF($AA249&gt;0,$AB249*SUMIF(⑳商品別1食労務費!$C$5:$C$124,$R249,⑳商品別1食労務費!$F$5:$F$124)/$AA249,$AB249/$X249))</f>
        <v/>
      </c>
      <c r="AE249" s="413">
        <f>IF($S249="",0,IF($AA249&gt;0,$AB249*SUMIF(⑳商品別1食労務費!$C$5:$C$124,$S249,⑳商品別1食労務費!$F$5:$F$124)/$AA249,$AB249/$X249))</f>
        <v/>
      </c>
      <c r="AF249" s="413">
        <f>IF($T249="",0,IF($AA249&gt;0,$AB249*SUMIF(⑳商品別1食労務費!$C$5:$C$124,$T249,⑳商品別1食労務費!$F$5:$F$124)/$AA249,$AB249/$X249))</f>
        <v/>
      </c>
      <c r="AG249" s="413">
        <f>IF($U249="",0,IF($AA249&gt;0,$AB249*SUMIF(⑳商品別1食労務費!$C$5:$C$124,$U249,⑳商品別1食労務費!$F$5:$F$124)/$AA249,$AB249/$X249))</f>
        <v/>
      </c>
      <c r="AH249" s="413">
        <f>IF($V249="",0,IF($AA249&gt;0,$AB249*SUMIF(⑳商品別1食労務費!$C$5:$C$124,$V249,⑳商品別1食労務費!$F$5:$F$124)/$AA249,$AB249/$X249))</f>
        <v/>
      </c>
      <c r="AI249" s="413">
        <f>IF($W249="",0,IF($AA249&gt;0,$AB249*SUMIF(⑳商品別1食労務費!$C$5:$C$124,$W249,⑳商品別1食労務費!$F$5:$F$124)/$AA249,$AB249/$X249))</f>
        <v/>
      </c>
    </row>
    <row r="250">
      <c r="A250" s="188" t="n">
        <v>246</v>
      </c>
      <c r="B250" s="189" t="n"/>
      <c r="C250" s="229" t="n"/>
      <c r="D250" s="190" t="n"/>
      <c r="E250" s="190" t="n"/>
      <c r="F250" s="541">
        <f>IF(OR(D250="",E250=""),"",(E250-D250)*1440)</f>
        <v/>
      </c>
      <c r="G250" s="542" t="n"/>
      <c r="H250" s="542" t="n"/>
      <c r="I250" s="543" t="n"/>
      <c r="J250" s="192" t="n"/>
      <c r="K250" s="544">
        <f>IF(AND(ISNUMBER(F250),I250&gt;0),I250/(F250/60),"")</f>
        <v/>
      </c>
      <c r="L250" s="545" t="n"/>
      <c r="M250" s="194">
        <f>IF(OR(ISNUMBER(SEARCH("サニテーション",C250)),ISNUMBER(SEARCH("客注",C250)),ISNUMBER(SEARCH("切り替え",C250)),ISNUMBER(SEARCH("切替",C250)),NOT(ISNUMBER(H250))),"",IF(ISNUMBER(G250),G250/60*H250*④前提設定!$B$4,IF(AND(G250="",ISNUMBER(F250)),F250/60*H250*④前提設定!$B$4,"")))</f>
        <v/>
      </c>
      <c r="N250" s="546">
        <f>IF(AND(I250&gt;0,ISNUMBER(M250)),M250/I250,"")</f>
        <v/>
      </c>
      <c r="O250" s="547">
        <f>IF(AND(J250&gt;0,ISNUMBER(M250)),M250/J250,"")</f>
        <v/>
      </c>
      <c r="P250" s="195" t="n"/>
      <c r="Q250" s="196" t="n"/>
      <c r="X250" s="334">
        <f>COUNTA(R250:W250)</f>
        <v/>
      </c>
      <c r="Y250" s="334">
        <f>IF(AND($X250&gt;0,ISNUMBER($M250)),$M250/$X250,"")</f>
        <v/>
      </c>
      <c r="Z250" s="334">
        <f>IF($X250=0,"",IF(COUNTIF(⑳商品別1食労務費!$C$5:$C$124,$R250)+COUNTIF(⑳商品別1食労務費!$C$5:$C$124,$S250)+COUNTIF(⑳商品別1食労務費!$C$5:$C$124,$T250)+COUNTIF(⑳商品別1食労務費!$C$5:$C$124,$U250)+COUNTIF(⑳商品別1食労務費!$C$5:$C$124,$V250)+COUNTIF(⑳商品別1食労務費!$C$5:$C$124,$W250)=$X250,"OK","⑳に無い商品名"))</f>
        <v/>
      </c>
      <c r="AA250" s="334">
        <f>SUMIF(⑳商品別1食労務費!$C$5:$C$124,$R250,⑳商品別1食労務費!$F$5:$F$124)+SUMIF(⑳商品別1食労務費!$C$5:$C$124,$S250,⑳商品別1食労務費!$F$5:$F$124)+SUMIF(⑳商品別1食労務費!$C$5:$C$124,$T250,⑳商品別1食労務費!$F$5:$F$124)+SUMIF(⑳商品別1食労務費!$C$5:$C$124,$U250,⑳商品別1食労務費!$F$5:$F$124)+SUMIF(⑳商品別1食労務費!$C$5:$C$124,$V250,⑳商品別1食労務費!$F$5:$F$124)+SUMIF(⑳商品別1食労務費!$C$5:$C$124,$W250,⑳商品別1食労務費!$F$5:$F$124)</f>
        <v/>
      </c>
      <c r="AB250" s="334">
        <f>IF(ISNUMBER($M250),$M250,0)</f>
        <v/>
      </c>
      <c r="AC250" s="334">
        <f>IF(AND($X250&gt;0,ISNUMBER($J250)),$J250/$X250,"")</f>
        <v/>
      </c>
      <c r="AD250" s="413">
        <f>IF($R250="",0,IF($AA250&gt;0,$AB250*SUMIF(⑳商品別1食労務費!$C$5:$C$124,$R250,⑳商品別1食労務費!$F$5:$F$124)/$AA250,$AB250/$X250))</f>
        <v/>
      </c>
      <c r="AE250" s="413">
        <f>IF($S250="",0,IF($AA250&gt;0,$AB250*SUMIF(⑳商品別1食労務費!$C$5:$C$124,$S250,⑳商品別1食労務費!$F$5:$F$124)/$AA250,$AB250/$X250))</f>
        <v/>
      </c>
      <c r="AF250" s="413">
        <f>IF($T250="",0,IF($AA250&gt;0,$AB250*SUMIF(⑳商品別1食労務費!$C$5:$C$124,$T250,⑳商品別1食労務費!$F$5:$F$124)/$AA250,$AB250/$X250))</f>
        <v/>
      </c>
      <c r="AG250" s="413">
        <f>IF($U250="",0,IF($AA250&gt;0,$AB250*SUMIF(⑳商品別1食労務費!$C$5:$C$124,$U250,⑳商品別1食労務費!$F$5:$F$124)/$AA250,$AB250/$X250))</f>
        <v/>
      </c>
      <c r="AH250" s="413">
        <f>IF($V250="",0,IF($AA250&gt;0,$AB250*SUMIF(⑳商品別1食労務費!$C$5:$C$124,$V250,⑳商品別1食労務費!$F$5:$F$124)/$AA250,$AB250/$X250))</f>
        <v/>
      </c>
      <c r="AI250" s="413">
        <f>IF($W250="",0,IF($AA250&gt;0,$AB250*SUMIF(⑳商品別1食労務費!$C$5:$C$124,$W250,⑳商品別1食労務費!$F$5:$F$124)/$AA250,$AB250/$X250))</f>
        <v/>
      </c>
    </row>
    <row r="251">
      <c r="A251" s="197" t="n">
        <v>247</v>
      </c>
      <c r="B251" s="198" t="n"/>
      <c r="C251" s="229" t="n"/>
      <c r="D251" s="190" t="n"/>
      <c r="E251" s="190" t="n"/>
      <c r="F251" s="541">
        <f>IF(OR(D251="",E251=""),"",(E251-D251)*1440)</f>
        <v/>
      </c>
      <c r="G251" s="542" t="n"/>
      <c r="H251" s="542" t="n"/>
      <c r="I251" s="543" t="n"/>
      <c r="J251" s="192" t="n"/>
      <c r="K251" s="544">
        <f>IF(AND(ISNUMBER(F251),I251&gt;0),I251/(F251/60),"")</f>
        <v/>
      </c>
      <c r="L251" s="545" t="n"/>
      <c r="M251" s="194">
        <f>IF(OR(ISNUMBER(SEARCH("サニテーション",C251)),ISNUMBER(SEARCH("客注",C251)),ISNUMBER(SEARCH("切り替え",C251)),ISNUMBER(SEARCH("切替",C251)),NOT(ISNUMBER(H251))),"",IF(ISNUMBER(G251),G251/60*H251*④前提設定!$B$4,IF(AND(G251="",ISNUMBER(F251)),F251/60*H251*④前提設定!$B$4,"")))</f>
        <v/>
      </c>
      <c r="N251" s="546">
        <f>IF(AND(I251&gt;0,ISNUMBER(M251)),M251/I251,"")</f>
        <v/>
      </c>
      <c r="O251" s="547">
        <f>IF(AND(J251&gt;0,ISNUMBER(M251)),M251/J251,"")</f>
        <v/>
      </c>
      <c r="P251" s="199" t="n"/>
      <c r="Q251" s="200" t="n"/>
      <c r="X251" s="334">
        <f>COUNTA(R251:W251)</f>
        <v/>
      </c>
      <c r="Y251" s="334">
        <f>IF(AND($X251&gt;0,ISNUMBER($M251)),$M251/$X251,"")</f>
        <v/>
      </c>
      <c r="Z251" s="334">
        <f>IF($X251=0,"",IF(COUNTIF(⑳商品別1食労務費!$C$5:$C$124,$R251)+COUNTIF(⑳商品別1食労務費!$C$5:$C$124,$S251)+COUNTIF(⑳商品別1食労務費!$C$5:$C$124,$T251)+COUNTIF(⑳商品別1食労務費!$C$5:$C$124,$U251)+COUNTIF(⑳商品別1食労務費!$C$5:$C$124,$V251)+COUNTIF(⑳商品別1食労務費!$C$5:$C$124,$W251)=$X251,"OK","⑳に無い商品名"))</f>
        <v/>
      </c>
      <c r="AA251" s="334">
        <f>SUMIF(⑳商品別1食労務費!$C$5:$C$124,$R251,⑳商品別1食労務費!$F$5:$F$124)+SUMIF(⑳商品別1食労務費!$C$5:$C$124,$S251,⑳商品別1食労務費!$F$5:$F$124)+SUMIF(⑳商品別1食労務費!$C$5:$C$124,$T251,⑳商品別1食労務費!$F$5:$F$124)+SUMIF(⑳商品別1食労務費!$C$5:$C$124,$U251,⑳商品別1食労務費!$F$5:$F$124)+SUMIF(⑳商品別1食労務費!$C$5:$C$124,$V251,⑳商品別1食労務費!$F$5:$F$124)+SUMIF(⑳商品別1食労務費!$C$5:$C$124,$W251,⑳商品別1食労務費!$F$5:$F$124)</f>
        <v/>
      </c>
      <c r="AB251" s="334">
        <f>IF(ISNUMBER($M251),$M251,0)</f>
        <v/>
      </c>
      <c r="AC251" s="334">
        <f>IF(AND($X251&gt;0,ISNUMBER($J251)),$J251/$X251,"")</f>
        <v/>
      </c>
      <c r="AD251" s="413">
        <f>IF($R251="",0,IF($AA251&gt;0,$AB251*SUMIF(⑳商品別1食労務費!$C$5:$C$124,$R251,⑳商品別1食労務費!$F$5:$F$124)/$AA251,$AB251/$X251))</f>
        <v/>
      </c>
      <c r="AE251" s="413">
        <f>IF($S251="",0,IF($AA251&gt;0,$AB251*SUMIF(⑳商品別1食労務費!$C$5:$C$124,$S251,⑳商品別1食労務費!$F$5:$F$124)/$AA251,$AB251/$X251))</f>
        <v/>
      </c>
      <c r="AF251" s="413">
        <f>IF($T251="",0,IF($AA251&gt;0,$AB251*SUMIF(⑳商品別1食労務費!$C$5:$C$124,$T251,⑳商品別1食労務費!$F$5:$F$124)/$AA251,$AB251/$X251))</f>
        <v/>
      </c>
      <c r="AG251" s="413">
        <f>IF($U251="",0,IF($AA251&gt;0,$AB251*SUMIF(⑳商品別1食労務費!$C$5:$C$124,$U251,⑳商品別1食労務費!$F$5:$F$124)/$AA251,$AB251/$X251))</f>
        <v/>
      </c>
      <c r="AH251" s="413">
        <f>IF($V251="",0,IF($AA251&gt;0,$AB251*SUMIF(⑳商品別1食労務費!$C$5:$C$124,$V251,⑳商品別1食労務費!$F$5:$F$124)/$AA251,$AB251/$X251))</f>
        <v/>
      </c>
      <c r="AI251" s="413">
        <f>IF($W251="",0,IF($AA251&gt;0,$AB251*SUMIF(⑳商品別1食労務費!$C$5:$C$124,$W251,⑳商品別1食労務費!$F$5:$F$124)/$AA251,$AB251/$X251))</f>
        <v/>
      </c>
    </row>
    <row r="252">
      <c r="A252" s="188" t="n">
        <v>248</v>
      </c>
      <c r="B252" s="189" t="n"/>
      <c r="C252" s="229" t="n"/>
      <c r="D252" s="190" t="n"/>
      <c r="E252" s="190" t="n"/>
      <c r="F252" s="541">
        <f>IF(OR(D252="",E252=""),"",(E252-D252)*1440)</f>
        <v/>
      </c>
      <c r="G252" s="542" t="n"/>
      <c r="H252" s="542" t="n"/>
      <c r="I252" s="543" t="n"/>
      <c r="J252" s="192" t="n"/>
      <c r="K252" s="544">
        <f>IF(AND(ISNUMBER(F252),I252&gt;0),I252/(F252/60),"")</f>
        <v/>
      </c>
      <c r="L252" s="545" t="n"/>
      <c r="M252" s="194">
        <f>IF(OR(ISNUMBER(SEARCH("サニテーション",C252)),ISNUMBER(SEARCH("客注",C252)),ISNUMBER(SEARCH("切り替え",C252)),ISNUMBER(SEARCH("切替",C252)),NOT(ISNUMBER(H252))),"",IF(ISNUMBER(G252),G252/60*H252*④前提設定!$B$4,IF(AND(G252="",ISNUMBER(F252)),F252/60*H252*④前提設定!$B$4,"")))</f>
        <v/>
      </c>
      <c r="N252" s="546">
        <f>IF(AND(I252&gt;0,ISNUMBER(M252)),M252/I252,"")</f>
        <v/>
      </c>
      <c r="O252" s="547">
        <f>IF(AND(J252&gt;0,ISNUMBER(M252)),M252/J252,"")</f>
        <v/>
      </c>
      <c r="P252" s="195" t="n"/>
      <c r="Q252" s="196" t="n"/>
      <c r="X252" s="334">
        <f>COUNTA(R252:W252)</f>
        <v/>
      </c>
      <c r="Y252" s="334">
        <f>IF(AND($X252&gt;0,ISNUMBER($M252)),$M252/$X252,"")</f>
        <v/>
      </c>
      <c r="Z252" s="334">
        <f>IF($X252=0,"",IF(COUNTIF(⑳商品別1食労務費!$C$5:$C$124,$R252)+COUNTIF(⑳商品別1食労務費!$C$5:$C$124,$S252)+COUNTIF(⑳商品別1食労務費!$C$5:$C$124,$T252)+COUNTIF(⑳商品別1食労務費!$C$5:$C$124,$U252)+COUNTIF(⑳商品別1食労務費!$C$5:$C$124,$V252)+COUNTIF(⑳商品別1食労務費!$C$5:$C$124,$W252)=$X252,"OK","⑳に無い商品名"))</f>
        <v/>
      </c>
      <c r="AA252" s="334">
        <f>SUMIF(⑳商品別1食労務費!$C$5:$C$124,$R252,⑳商品別1食労務費!$F$5:$F$124)+SUMIF(⑳商品別1食労務費!$C$5:$C$124,$S252,⑳商品別1食労務費!$F$5:$F$124)+SUMIF(⑳商品別1食労務費!$C$5:$C$124,$T252,⑳商品別1食労務費!$F$5:$F$124)+SUMIF(⑳商品別1食労務費!$C$5:$C$124,$U252,⑳商品別1食労務費!$F$5:$F$124)+SUMIF(⑳商品別1食労務費!$C$5:$C$124,$V252,⑳商品別1食労務費!$F$5:$F$124)+SUMIF(⑳商品別1食労務費!$C$5:$C$124,$W252,⑳商品別1食労務費!$F$5:$F$124)</f>
        <v/>
      </c>
      <c r="AB252" s="334">
        <f>IF(ISNUMBER($M252),$M252,0)</f>
        <v/>
      </c>
      <c r="AC252" s="334">
        <f>IF(AND($X252&gt;0,ISNUMBER($J252)),$J252/$X252,"")</f>
        <v/>
      </c>
      <c r="AD252" s="413">
        <f>IF($R252="",0,IF($AA252&gt;0,$AB252*SUMIF(⑳商品別1食労務費!$C$5:$C$124,$R252,⑳商品別1食労務費!$F$5:$F$124)/$AA252,$AB252/$X252))</f>
        <v/>
      </c>
      <c r="AE252" s="413">
        <f>IF($S252="",0,IF($AA252&gt;0,$AB252*SUMIF(⑳商品別1食労務費!$C$5:$C$124,$S252,⑳商品別1食労務費!$F$5:$F$124)/$AA252,$AB252/$X252))</f>
        <v/>
      </c>
      <c r="AF252" s="413">
        <f>IF($T252="",0,IF($AA252&gt;0,$AB252*SUMIF(⑳商品別1食労務費!$C$5:$C$124,$T252,⑳商品別1食労務費!$F$5:$F$124)/$AA252,$AB252/$X252))</f>
        <v/>
      </c>
      <c r="AG252" s="413">
        <f>IF($U252="",0,IF($AA252&gt;0,$AB252*SUMIF(⑳商品別1食労務費!$C$5:$C$124,$U252,⑳商品別1食労務費!$F$5:$F$124)/$AA252,$AB252/$X252))</f>
        <v/>
      </c>
      <c r="AH252" s="413">
        <f>IF($V252="",0,IF($AA252&gt;0,$AB252*SUMIF(⑳商品別1食労務費!$C$5:$C$124,$V252,⑳商品別1食労務費!$F$5:$F$124)/$AA252,$AB252/$X252))</f>
        <v/>
      </c>
      <c r="AI252" s="413">
        <f>IF($W252="",0,IF($AA252&gt;0,$AB252*SUMIF(⑳商品別1食労務費!$C$5:$C$124,$W252,⑳商品別1食労務費!$F$5:$F$124)/$AA252,$AB252/$X252))</f>
        <v/>
      </c>
    </row>
    <row r="253">
      <c r="A253" s="197" t="n">
        <v>249</v>
      </c>
      <c r="B253" s="198" t="n"/>
      <c r="C253" s="229" t="n"/>
      <c r="D253" s="190" t="n"/>
      <c r="E253" s="190" t="n"/>
      <c r="F253" s="541">
        <f>IF(OR(D253="",E253=""),"",(E253-D253)*1440)</f>
        <v/>
      </c>
      <c r="G253" s="542" t="n"/>
      <c r="H253" s="542" t="n"/>
      <c r="I253" s="543" t="n"/>
      <c r="J253" s="192" t="n"/>
      <c r="K253" s="544">
        <f>IF(AND(ISNUMBER(F253),I253&gt;0),I253/(F253/60),"")</f>
        <v/>
      </c>
      <c r="L253" s="545" t="n"/>
      <c r="M253" s="194">
        <f>IF(OR(ISNUMBER(SEARCH("サニテーション",C253)),ISNUMBER(SEARCH("客注",C253)),ISNUMBER(SEARCH("切り替え",C253)),ISNUMBER(SEARCH("切替",C253)),NOT(ISNUMBER(H253))),"",IF(ISNUMBER(G253),G253/60*H253*④前提設定!$B$4,IF(AND(G253="",ISNUMBER(F253)),F253/60*H253*④前提設定!$B$4,"")))</f>
        <v/>
      </c>
      <c r="N253" s="546">
        <f>IF(AND(I253&gt;0,ISNUMBER(M253)),M253/I253,"")</f>
        <v/>
      </c>
      <c r="O253" s="547">
        <f>IF(AND(J253&gt;0,ISNUMBER(M253)),M253/J253,"")</f>
        <v/>
      </c>
      <c r="P253" s="199" t="n"/>
      <c r="Q253" s="200" t="n"/>
      <c r="X253" s="334">
        <f>COUNTA(R253:W253)</f>
        <v/>
      </c>
      <c r="Y253" s="334">
        <f>IF(AND($X253&gt;0,ISNUMBER($M253)),$M253/$X253,"")</f>
        <v/>
      </c>
      <c r="Z253" s="334">
        <f>IF($X253=0,"",IF(COUNTIF(⑳商品別1食労務費!$C$5:$C$124,$R253)+COUNTIF(⑳商品別1食労務費!$C$5:$C$124,$S253)+COUNTIF(⑳商品別1食労務費!$C$5:$C$124,$T253)+COUNTIF(⑳商品別1食労務費!$C$5:$C$124,$U253)+COUNTIF(⑳商品別1食労務費!$C$5:$C$124,$V253)+COUNTIF(⑳商品別1食労務費!$C$5:$C$124,$W253)=$X253,"OK","⑳に無い商品名"))</f>
        <v/>
      </c>
      <c r="AA253" s="334">
        <f>SUMIF(⑳商品別1食労務費!$C$5:$C$124,$R253,⑳商品別1食労務費!$F$5:$F$124)+SUMIF(⑳商品別1食労務費!$C$5:$C$124,$S253,⑳商品別1食労務費!$F$5:$F$124)+SUMIF(⑳商品別1食労務費!$C$5:$C$124,$T253,⑳商品別1食労務費!$F$5:$F$124)+SUMIF(⑳商品別1食労務費!$C$5:$C$124,$U253,⑳商品別1食労務費!$F$5:$F$124)+SUMIF(⑳商品別1食労務費!$C$5:$C$124,$V253,⑳商品別1食労務費!$F$5:$F$124)+SUMIF(⑳商品別1食労務費!$C$5:$C$124,$W253,⑳商品別1食労務費!$F$5:$F$124)</f>
        <v/>
      </c>
      <c r="AB253" s="334">
        <f>IF(ISNUMBER($M253),$M253,0)</f>
        <v/>
      </c>
      <c r="AC253" s="334">
        <f>IF(AND($X253&gt;0,ISNUMBER($J253)),$J253/$X253,"")</f>
        <v/>
      </c>
      <c r="AD253" s="413">
        <f>IF($R253="",0,IF($AA253&gt;0,$AB253*SUMIF(⑳商品別1食労務費!$C$5:$C$124,$R253,⑳商品別1食労務費!$F$5:$F$124)/$AA253,$AB253/$X253))</f>
        <v/>
      </c>
      <c r="AE253" s="413">
        <f>IF($S253="",0,IF($AA253&gt;0,$AB253*SUMIF(⑳商品別1食労務費!$C$5:$C$124,$S253,⑳商品別1食労務費!$F$5:$F$124)/$AA253,$AB253/$X253))</f>
        <v/>
      </c>
      <c r="AF253" s="413">
        <f>IF($T253="",0,IF($AA253&gt;0,$AB253*SUMIF(⑳商品別1食労務費!$C$5:$C$124,$T253,⑳商品別1食労務費!$F$5:$F$124)/$AA253,$AB253/$X253))</f>
        <v/>
      </c>
      <c r="AG253" s="413">
        <f>IF($U253="",0,IF($AA253&gt;0,$AB253*SUMIF(⑳商品別1食労務費!$C$5:$C$124,$U253,⑳商品別1食労務費!$F$5:$F$124)/$AA253,$AB253/$X253))</f>
        <v/>
      </c>
      <c r="AH253" s="413">
        <f>IF($V253="",0,IF($AA253&gt;0,$AB253*SUMIF(⑳商品別1食労務費!$C$5:$C$124,$V253,⑳商品別1食労務費!$F$5:$F$124)/$AA253,$AB253/$X253))</f>
        <v/>
      </c>
      <c r="AI253" s="413">
        <f>IF($W253="",0,IF($AA253&gt;0,$AB253*SUMIF(⑳商品別1食労務費!$C$5:$C$124,$W253,⑳商品別1食労務費!$F$5:$F$124)/$AA253,$AB253/$X253))</f>
        <v/>
      </c>
    </row>
    <row r="254">
      <c r="A254" s="188" t="n">
        <v>250</v>
      </c>
      <c r="B254" s="189" t="n"/>
      <c r="C254" s="229" t="n"/>
      <c r="D254" s="190" t="n"/>
      <c r="E254" s="190" t="n"/>
      <c r="F254" s="541">
        <f>IF(OR(D254="",E254=""),"",(E254-D254)*1440)</f>
        <v/>
      </c>
      <c r="G254" s="542" t="n"/>
      <c r="H254" s="542" t="n"/>
      <c r="I254" s="543" t="n"/>
      <c r="J254" s="192" t="n"/>
      <c r="K254" s="544">
        <f>IF(AND(ISNUMBER(F254),I254&gt;0),I254/(F254/60),"")</f>
        <v/>
      </c>
      <c r="L254" s="545" t="n"/>
      <c r="M254" s="194">
        <f>IF(OR(ISNUMBER(SEARCH("サニテーション",C254)),ISNUMBER(SEARCH("客注",C254)),ISNUMBER(SEARCH("切り替え",C254)),ISNUMBER(SEARCH("切替",C254)),NOT(ISNUMBER(H254))),"",IF(ISNUMBER(G254),G254/60*H254*④前提設定!$B$4,IF(AND(G254="",ISNUMBER(F254)),F254/60*H254*④前提設定!$B$4,"")))</f>
        <v/>
      </c>
      <c r="N254" s="546">
        <f>IF(AND(I254&gt;0,ISNUMBER(M254)),M254/I254,"")</f>
        <v/>
      </c>
      <c r="O254" s="547">
        <f>IF(AND(J254&gt;0,ISNUMBER(M254)),M254/J254,"")</f>
        <v/>
      </c>
      <c r="P254" s="195" t="n"/>
      <c r="Q254" s="196" t="n"/>
      <c r="X254" s="334">
        <f>COUNTA(R254:W254)</f>
        <v/>
      </c>
      <c r="Y254" s="334">
        <f>IF(AND($X254&gt;0,ISNUMBER($M254)),$M254/$X254,"")</f>
        <v/>
      </c>
      <c r="Z254" s="334">
        <f>IF($X254=0,"",IF(COUNTIF(⑳商品別1食労務費!$C$5:$C$124,$R254)+COUNTIF(⑳商品別1食労務費!$C$5:$C$124,$S254)+COUNTIF(⑳商品別1食労務費!$C$5:$C$124,$T254)+COUNTIF(⑳商品別1食労務費!$C$5:$C$124,$U254)+COUNTIF(⑳商品別1食労務費!$C$5:$C$124,$V254)+COUNTIF(⑳商品別1食労務費!$C$5:$C$124,$W254)=$X254,"OK","⑳に無い商品名"))</f>
        <v/>
      </c>
      <c r="AA254" s="334">
        <f>SUMIF(⑳商品別1食労務費!$C$5:$C$124,$R254,⑳商品別1食労務費!$F$5:$F$124)+SUMIF(⑳商品別1食労務費!$C$5:$C$124,$S254,⑳商品別1食労務費!$F$5:$F$124)+SUMIF(⑳商品別1食労務費!$C$5:$C$124,$T254,⑳商品別1食労務費!$F$5:$F$124)+SUMIF(⑳商品別1食労務費!$C$5:$C$124,$U254,⑳商品別1食労務費!$F$5:$F$124)+SUMIF(⑳商品別1食労務費!$C$5:$C$124,$V254,⑳商品別1食労務費!$F$5:$F$124)+SUMIF(⑳商品別1食労務費!$C$5:$C$124,$W254,⑳商品別1食労務費!$F$5:$F$124)</f>
        <v/>
      </c>
      <c r="AB254" s="334">
        <f>IF(ISNUMBER($M254),$M254,0)</f>
        <v/>
      </c>
      <c r="AC254" s="334">
        <f>IF(AND($X254&gt;0,ISNUMBER($J254)),$J254/$X254,"")</f>
        <v/>
      </c>
      <c r="AD254" s="413">
        <f>IF($R254="",0,IF($AA254&gt;0,$AB254*SUMIF(⑳商品別1食労務費!$C$5:$C$124,$R254,⑳商品別1食労務費!$F$5:$F$124)/$AA254,$AB254/$X254))</f>
        <v/>
      </c>
      <c r="AE254" s="413">
        <f>IF($S254="",0,IF($AA254&gt;0,$AB254*SUMIF(⑳商品別1食労務費!$C$5:$C$124,$S254,⑳商品別1食労務費!$F$5:$F$124)/$AA254,$AB254/$X254))</f>
        <v/>
      </c>
      <c r="AF254" s="413">
        <f>IF($T254="",0,IF($AA254&gt;0,$AB254*SUMIF(⑳商品別1食労務費!$C$5:$C$124,$T254,⑳商品別1食労務費!$F$5:$F$124)/$AA254,$AB254/$X254))</f>
        <v/>
      </c>
      <c r="AG254" s="413">
        <f>IF($U254="",0,IF($AA254&gt;0,$AB254*SUMIF(⑳商品別1食労務費!$C$5:$C$124,$U254,⑳商品別1食労務費!$F$5:$F$124)/$AA254,$AB254/$X254))</f>
        <v/>
      </c>
      <c r="AH254" s="413">
        <f>IF($V254="",0,IF($AA254&gt;0,$AB254*SUMIF(⑳商品別1食労務費!$C$5:$C$124,$V254,⑳商品別1食労務費!$F$5:$F$124)/$AA254,$AB254/$X254))</f>
        <v/>
      </c>
      <c r="AI254" s="413">
        <f>IF($W254="",0,IF($AA254&gt;0,$AB254*SUMIF(⑳商品別1食労務費!$C$5:$C$124,$W254,⑳商品別1食労務費!$F$5:$F$124)/$AA254,$AB254/$X254))</f>
        <v/>
      </c>
    </row>
    <row r="255">
      <c r="A255" s="197" t="n">
        <v>251</v>
      </c>
      <c r="B255" s="198" t="n"/>
      <c r="C255" s="229" t="n"/>
      <c r="D255" s="190" t="n"/>
      <c r="E255" s="190" t="n"/>
      <c r="F255" s="541">
        <f>IF(OR(D255="",E255=""),"",(E255-D255)*1440)</f>
        <v/>
      </c>
      <c r="G255" s="542" t="n"/>
      <c r="H255" s="542" t="n"/>
      <c r="I255" s="543" t="n"/>
      <c r="J255" s="192" t="n"/>
      <c r="K255" s="544">
        <f>IF(AND(ISNUMBER(F255),I255&gt;0),I255/(F255/60),"")</f>
        <v/>
      </c>
      <c r="L255" s="545" t="n"/>
      <c r="M255" s="194">
        <f>IF(OR(ISNUMBER(SEARCH("サニテーション",C255)),ISNUMBER(SEARCH("客注",C255)),ISNUMBER(SEARCH("切り替え",C255)),ISNUMBER(SEARCH("切替",C255)),NOT(ISNUMBER(H255))),"",IF(ISNUMBER(G255),G255/60*H255*④前提設定!$B$4,IF(AND(G255="",ISNUMBER(F255)),F255/60*H255*④前提設定!$B$4,"")))</f>
        <v/>
      </c>
      <c r="N255" s="546">
        <f>IF(AND(I255&gt;0,ISNUMBER(M255)),M255/I255,"")</f>
        <v/>
      </c>
      <c r="O255" s="547">
        <f>IF(AND(J255&gt;0,ISNUMBER(M255)),M255/J255,"")</f>
        <v/>
      </c>
      <c r="P255" s="199" t="n"/>
      <c r="Q255" s="200" t="n"/>
      <c r="X255" s="334">
        <f>COUNTA(R255:W255)</f>
        <v/>
      </c>
      <c r="Y255" s="334">
        <f>IF(AND($X255&gt;0,ISNUMBER($M255)),$M255/$X255,"")</f>
        <v/>
      </c>
      <c r="Z255" s="334">
        <f>IF($X255=0,"",IF(COUNTIF(⑳商品別1食労務費!$C$5:$C$124,$R255)+COUNTIF(⑳商品別1食労務費!$C$5:$C$124,$S255)+COUNTIF(⑳商品別1食労務費!$C$5:$C$124,$T255)+COUNTIF(⑳商品別1食労務費!$C$5:$C$124,$U255)+COUNTIF(⑳商品別1食労務費!$C$5:$C$124,$V255)+COUNTIF(⑳商品別1食労務費!$C$5:$C$124,$W255)=$X255,"OK","⑳に無い商品名"))</f>
        <v/>
      </c>
      <c r="AA255" s="334">
        <f>SUMIF(⑳商品別1食労務費!$C$5:$C$124,$R255,⑳商品別1食労務費!$F$5:$F$124)+SUMIF(⑳商品別1食労務費!$C$5:$C$124,$S255,⑳商品別1食労務費!$F$5:$F$124)+SUMIF(⑳商品別1食労務費!$C$5:$C$124,$T255,⑳商品別1食労務費!$F$5:$F$124)+SUMIF(⑳商品別1食労務費!$C$5:$C$124,$U255,⑳商品別1食労務費!$F$5:$F$124)+SUMIF(⑳商品別1食労務費!$C$5:$C$124,$V255,⑳商品別1食労務費!$F$5:$F$124)+SUMIF(⑳商品別1食労務費!$C$5:$C$124,$W255,⑳商品別1食労務費!$F$5:$F$124)</f>
        <v/>
      </c>
      <c r="AB255" s="334">
        <f>IF(ISNUMBER($M255),$M255,0)</f>
        <v/>
      </c>
      <c r="AC255" s="334">
        <f>IF(AND($X255&gt;0,ISNUMBER($J255)),$J255/$X255,"")</f>
        <v/>
      </c>
      <c r="AD255" s="413">
        <f>IF($R255="",0,IF($AA255&gt;0,$AB255*SUMIF(⑳商品別1食労務費!$C$5:$C$124,$R255,⑳商品別1食労務費!$F$5:$F$124)/$AA255,$AB255/$X255))</f>
        <v/>
      </c>
      <c r="AE255" s="413">
        <f>IF($S255="",0,IF($AA255&gt;0,$AB255*SUMIF(⑳商品別1食労務費!$C$5:$C$124,$S255,⑳商品別1食労務費!$F$5:$F$124)/$AA255,$AB255/$X255))</f>
        <v/>
      </c>
      <c r="AF255" s="413">
        <f>IF($T255="",0,IF($AA255&gt;0,$AB255*SUMIF(⑳商品別1食労務費!$C$5:$C$124,$T255,⑳商品別1食労務費!$F$5:$F$124)/$AA255,$AB255/$X255))</f>
        <v/>
      </c>
      <c r="AG255" s="413">
        <f>IF($U255="",0,IF($AA255&gt;0,$AB255*SUMIF(⑳商品別1食労務費!$C$5:$C$124,$U255,⑳商品別1食労務費!$F$5:$F$124)/$AA255,$AB255/$X255))</f>
        <v/>
      </c>
      <c r="AH255" s="413">
        <f>IF($V255="",0,IF($AA255&gt;0,$AB255*SUMIF(⑳商品別1食労務費!$C$5:$C$124,$V255,⑳商品別1食労務費!$F$5:$F$124)/$AA255,$AB255/$X255))</f>
        <v/>
      </c>
      <c r="AI255" s="413">
        <f>IF($W255="",0,IF($AA255&gt;0,$AB255*SUMIF(⑳商品別1食労務費!$C$5:$C$124,$W255,⑳商品別1食労務費!$F$5:$F$124)/$AA255,$AB255/$X255))</f>
        <v/>
      </c>
    </row>
    <row r="256">
      <c r="A256" s="188" t="n">
        <v>252</v>
      </c>
      <c r="B256" s="189" t="n"/>
      <c r="C256" s="229" t="n"/>
      <c r="D256" s="190" t="n"/>
      <c r="E256" s="190" t="n"/>
      <c r="F256" s="541">
        <f>IF(OR(D256="",E256=""),"",(E256-D256)*1440)</f>
        <v/>
      </c>
      <c r="G256" s="542" t="n"/>
      <c r="H256" s="542" t="n"/>
      <c r="I256" s="543" t="n"/>
      <c r="J256" s="192" t="n"/>
      <c r="K256" s="544">
        <f>IF(AND(ISNUMBER(F256),I256&gt;0),I256/(F256/60),"")</f>
        <v/>
      </c>
      <c r="L256" s="545" t="n"/>
      <c r="M256" s="194">
        <f>IF(OR(ISNUMBER(SEARCH("サニテーション",C256)),ISNUMBER(SEARCH("客注",C256)),ISNUMBER(SEARCH("切り替え",C256)),ISNUMBER(SEARCH("切替",C256)),NOT(ISNUMBER(H256))),"",IF(ISNUMBER(G256),G256/60*H256*④前提設定!$B$4,IF(AND(G256="",ISNUMBER(F256)),F256/60*H256*④前提設定!$B$4,"")))</f>
        <v/>
      </c>
      <c r="N256" s="546">
        <f>IF(AND(I256&gt;0,ISNUMBER(M256)),M256/I256,"")</f>
        <v/>
      </c>
      <c r="O256" s="547">
        <f>IF(AND(J256&gt;0,ISNUMBER(M256)),M256/J256,"")</f>
        <v/>
      </c>
      <c r="P256" s="195" t="n"/>
      <c r="Q256" s="196" t="n"/>
      <c r="X256" s="334">
        <f>COUNTA(R256:W256)</f>
        <v/>
      </c>
      <c r="Y256" s="334">
        <f>IF(AND($X256&gt;0,ISNUMBER($M256)),$M256/$X256,"")</f>
        <v/>
      </c>
      <c r="Z256" s="334">
        <f>IF($X256=0,"",IF(COUNTIF(⑳商品別1食労務費!$C$5:$C$124,$R256)+COUNTIF(⑳商品別1食労務費!$C$5:$C$124,$S256)+COUNTIF(⑳商品別1食労務費!$C$5:$C$124,$T256)+COUNTIF(⑳商品別1食労務費!$C$5:$C$124,$U256)+COUNTIF(⑳商品別1食労務費!$C$5:$C$124,$V256)+COUNTIF(⑳商品別1食労務費!$C$5:$C$124,$W256)=$X256,"OK","⑳に無い商品名"))</f>
        <v/>
      </c>
      <c r="AA256" s="334">
        <f>SUMIF(⑳商品別1食労務費!$C$5:$C$124,$R256,⑳商品別1食労務費!$F$5:$F$124)+SUMIF(⑳商品別1食労務費!$C$5:$C$124,$S256,⑳商品別1食労務費!$F$5:$F$124)+SUMIF(⑳商品別1食労務費!$C$5:$C$124,$T256,⑳商品別1食労務費!$F$5:$F$124)+SUMIF(⑳商品別1食労務費!$C$5:$C$124,$U256,⑳商品別1食労務費!$F$5:$F$124)+SUMIF(⑳商品別1食労務費!$C$5:$C$124,$V256,⑳商品別1食労務費!$F$5:$F$124)+SUMIF(⑳商品別1食労務費!$C$5:$C$124,$W256,⑳商品別1食労務費!$F$5:$F$124)</f>
        <v/>
      </c>
      <c r="AB256" s="334">
        <f>IF(ISNUMBER($M256),$M256,0)</f>
        <v/>
      </c>
      <c r="AC256" s="334">
        <f>IF(AND($X256&gt;0,ISNUMBER($J256)),$J256/$X256,"")</f>
        <v/>
      </c>
      <c r="AD256" s="413">
        <f>IF($R256="",0,IF($AA256&gt;0,$AB256*SUMIF(⑳商品別1食労務費!$C$5:$C$124,$R256,⑳商品別1食労務費!$F$5:$F$124)/$AA256,$AB256/$X256))</f>
        <v/>
      </c>
      <c r="AE256" s="413">
        <f>IF($S256="",0,IF($AA256&gt;0,$AB256*SUMIF(⑳商品別1食労務費!$C$5:$C$124,$S256,⑳商品別1食労務費!$F$5:$F$124)/$AA256,$AB256/$X256))</f>
        <v/>
      </c>
      <c r="AF256" s="413">
        <f>IF($T256="",0,IF($AA256&gt;0,$AB256*SUMIF(⑳商品別1食労務費!$C$5:$C$124,$T256,⑳商品別1食労務費!$F$5:$F$124)/$AA256,$AB256/$X256))</f>
        <v/>
      </c>
      <c r="AG256" s="413">
        <f>IF($U256="",0,IF($AA256&gt;0,$AB256*SUMIF(⑳商品別1食労務費!$C$5:$C$124,$U256,⑳商品別1食労務費!$F$5:$F$124)/$AA256,$AB256/$X256))</f>
        <v/>
      </c>
      <c r="AH256" s="413">
        <f>IF($V256="",0,IF($AA256&gt;0,$AB256*SUMIF(⑳商品別1食労務費!$C$5:$C$124,$V256,⑳商品別1食労務費!$F$5:$F$124)/$AA256,$AB256/$X256))</f>
        <v/>
      </c>
      <c r="AI256" s="413">
        <f>IF($W256="",0,IF($AA256&gt;0,$AB256*SUMIF(⑳商品別1食労務費!$C$5:$C$124,$W256,⑳商品別1食労務費!$F$5:$F$124)/$AA256,$AB256/$X256))</f>
        <v/>
      </c>
    </row>
    <row r="257">
      <c r="A257" s="197" t="n">
        <v>253</v>
      </c>
      <c r="B257" s="198" t="n"/>
      <c r="C257" s="229" t="n"/>
      <c r="D257" s="190" t="n"/>
      <c r="E257" s="190" t="n"/>
      <c r="F257" s="541">
        <f>IF(OR(D257="",E257=""),"",(E257-D257)*1440)</f>
        <v/>
      </c>
      <c r="G257" s="542" t="n"/>
      <c r="H257" s="542" t="n"/>
      <c r="I257" s="543" t="n"/>
      <c r="J257" s="192" t="n"/>
      <c r="K257" s="544">
        <f>IF(AND(ISNUMBER(F257),I257&gt;0),I257/(F257/60),"")</f>
        <v/>
      </c>
      <c r="L257" s="545" t="n"/>
      <c r="M257" s="194">
        <f>IF(OR(ISNUMBER(SEARCH("サニテーション",C257)),ISNUMBER(SEARCH("客注",C257)),ISNUMBER(SEARCH("切り替え",C257)),ISNUMBER(SEARCH("切替",C257)),NOT(ISNUMBER(H257))),"",IF(ISNUMBER(G257),G257/60*H257*④前提設定!$B$4,IF(AND(G257="",ISNUMBER(F257)),F257/60*H257*④前提設定!$B$4,"")))</f>
        <v/>
      </c>
      <c r="N257" s="546">
        <f>IF(AND(I257&gt;0,ISNUMBER(M257)),M257/I257,"")</f>
        <v/>
      </c>
      <c r="O257" s="547">
        <f>IF(AND(J257&gt;0,ISNUMBER(M257)),M257/J257,"")</f>
        <v/>
      </c>
      <c r="P257" s="199" t="n"/>
      <c r="Q257" s="200" t="n"/>
      <c r="X257" s="334">
        <f>COUNTA(R257:W257)</f>
        <v/>
      </c>
      <c r="Y257" s="334">
        <f>IF(AND($X257&gt;0,ISNUMBER($M257)),$M257/$X257,"")</f>
        <v/>
      </c>
      <c r="Z257" s="334">
        <f>IF($X257=0,"",IF(COUNTIF(⑳商品別1食労務費!$C$5:$C$124,$R257)+COUNTIF(⑳商品別1食労務費!$C$5:$C$124,$S257)+COUNTIF(⑳商品別1食労務費!$C$5:$C$124,$T257)+COUNTIF(⑳商品別1食労務費!$C$5:$C$124,$U257)+COUNTIF(⑳商品別1食労務費!$C$5:$C$124,$V257)+COUNTIF(⑳商品別1食労務費!$C$5:$C$124,$W257)=$X257,"OK","⑳に無い商品名"))</f>
        <v/>
      </c>
      <c r="AA257" s="334">
        <f>SUMIF(⑳商品別1食労務費!$C$5:$C$124,$R257,⑳商品別1食労務費!$F$5:$F$124)+SUMIF(⑳商品別1食労務費!$C$5:$C$124,$S257,⑳商品別1食労務費!$F$5:$F$124)+SUMIF(⑳商品別1食労務費!$C$5:$C$124,$T257,⑳商品別1食労務費!$F$5:$F$124)+SUMIF(⑳商品別1食労務費!$C$5:$C$124,$U257,⑳商品別1食労務費!$F$5:$F$124)+SUMIF(⑳商品別1食労務費!$C$5:$C$124,$V257,⑳商品別1食労務費!$F$5:$F$124)+SUMIF(⑳商品別1食労務費!$C$5:$C$124,$W257,⑳商品別1食労務費!$F$5:$F$124)</f>
        <v/>
      </c>
      <c r="AB257" s="334">
        <f>IF(ISNUMBER($M257),$M257,0)</f>
        <v/>
      </c>
      <c r="AC257" s="334">
        <f>IF(AND($X257&gt;0,ISNUMBER($J257)),$J257/$X257,"")</f>
        <v/>
      </c>
      <c r="AD257" s="413">
        <f>IF($R257="",0,IF($AA257&gt;0,$AB257*SUMIF(⑳商品別1食労務費!$C$5:$C$124,$R257,⑳商品別1食労務費!$F$5:$F$124)/$AA257,$AB257/$X257))</f>
        <v/>
      </c>
      <c r="AE257" s="413">
        <f>IF($S257="",0,IF($AA257&gt;0,$AB257*SUMIF(⑳商品別1食労務費!$C$5:$C$124,$S257,⑳商品別1食労務費!$F$5:$F$124)/$AA257,$AB257/$X257))</f>
        <v/>
      </c>
      <c r="AF257" s="413">
        <f>IF($T257="",0,IF($AA257&gt;0,$AB257*SUMIF(⑳商品別1食労務費!$C$5:$C$124,$T257,⑳商品別1食労務費!$F$5:$F$124)/$AA257,$AB257/$X257))</f>
        <v/>
      </c>
      <c r="AG257" s="413">
        <f>IF($U257="",0,IF($AA257&gt;0,$AB257*SUMIF(⑳商品別1食労務費!$C$5:$C$124,$U257,⑳商品別1食労務費!$F$5:$F$124)/$AA257,$AB257/$X257))</f>
        <v/>
      </c>
      <c r="AH257" s="413">
        <f>IF($V257="",0,IF($AA257&gt;0,$AB257*SUMIF(⑳商品別1食労務費!$C$5:$C$124,$V257,⑳商品別1食労務費!$F$5:$F$124)/$AA257,$AB257/$X257))</f>
        <v/>
      </c>
      <c r="AI257" s="413">
        <f>IF($W257="",0,IF($AA257&gt;0,$AB257*SUMIF(⑳商品別1食労務費!$C$5:$C$124,$W257,⑳商品別1食労務費!$F$5:$F$124)/$AA257,$AB257/$X257))</f>
        <v/>
      </c>
    </row>
    <row r="258">
      <c r="A258" s="188" t="n">
        <v>254</v>
      </c>
      <c r="B258" s="189" t="n"/>
      <c r="C258" s="229" t="n"/>
      <c r="D258" s="190" t="n"/>
      <c r="E258" s="190" t="n"/>
      <c r="F258" s="541">
        <f>IF(OR(D258="",E258=""),"",(E258-D258)*1440)</f>
        <v/>
      </c>
      <c r="G258" s="542" t="n"/>
      <c r="H258" s="542" t="n"/>
      <c r="I258" s="543" t="n"/>
      <c r="J258" s="192" t="n"/>
      <c r="K258" s="544">
        <f>IF(AND(ISNUMBER(F258),I258&gt;0),I258/(F258/60),"")</f>
        <v/>
      </c>
      <c r="L258" s="545" t="n"/>
      <c r="M258" s="194">
        <f>IF(OR(ISNUMBER(SEARCH("サニテーション",C258)),ISNUMBER(SEARCH("客注",C258)),ISNUMBER(SEARCH("切り替え",C258)),ISNUMBER(SEARCH("切替",C258)),NOT(ISNUMBER(H258))),"",IF(ISNUMBER(G258),G258/60*H258*④前提設定!$B$4,IF(AND(G258="",ISNUMBER(F258)),F258/60*H258*④前提設定!$B$4,"")))</f>
        <v/>
      </c>
      <c r="N258" s="546">
        <f>IF(AND(I258&gt;0,ISNUMBER(M258)),M258/I258,"")</f>
        <v/>
      </c>
      <c r="O258" s="547">
        <f>IF(AND(J258&gt;0,ISNUMBER(M258)),M258/J258,"")</f>
        <v/>
      </c>
      <c r="P258" s="195" t="n"/>
      <c r="Q258" s="196" t="n"/>
      <c r="X258" s="334">
        <f>COUNTA(R258:W258)</f>
        <v/>
      </c>
      <c r="Y258" s="334">
        <f>IF(AND($X258&gt;0,ISNUMBER($M258)),$M258/$X258,"")</f>
        <v/>
      </c>
      <c r="Z258" s="334">
        <f>IF($X258=0,"",IF(COUNTIF(⑳商品別1食労務費!$C$5:$C$124,$R258)+COUNTIF(⑳商品別1食労務費!$C$5:$C$124,$S258)+COUNTIF(⑳商品別1食労務費!$C$5:$C$124,$T258)+COUNTIF(⑳商品別1食労務費!$C$5:$C$124,$U258)+COUNTIF(⑳商品別1食労務費!$C$5:$C$124,$V258)+COUNTIF(⑳商品別1食労務費!$C$5:$C$124,$W258)=$X258,"OK","⑳に無い商品名"))</f>
        <v/>
      </c>
      <c r="AA258" s="334">
        <f>SUMIF(⑳商品別1食労務費!$C$5:$C$124,$R258,⑳商品別1食労務費!$F$5:$F$124)+SUMIF(⑳商品別1食労務費!$C$5:$C$124,$S258,⑳商品別1食労務費!$F$5:$F$124)+SUMIF(⑳商品別1食労務費!$C$5:$C$124,$T258,⑳商品別1食労務費!$F$5:$F$124)+SUMIF(⑳商品別1食労務費!$C$5:$C$124,$U258,⑳商品別1食労務費!$F$5:$F$124)+SUMIF(⑳商品別1食労務費!$C$5:$C$124,$V258,⑳商品別1食労務費!$F$5:$F$124)+SUMIF(⑳商品別1食労務費!$C$5:$C$124,$W258,⑳商品別1食労務費!$F$5:$F$124)</f>
        <v/>
      </c>
      <c r="AB258" s="334">
        <f>IF(ISNUMBER($M258),$M258,0)</f>
        <v/>
      </c>
      <c r="AC258" s="334">
        <f>IF(AND($X258&gt;0,ISNUMBER($J258)),$J258/$X258,"")</f>
        <v/>
      </c>
      <c r="AD258" s="413">
        <f>IF($R258="",0,IF($AA258&gt;0,$AB258*SUMIF(⑳商品別1食労務費!$C$5:$C$124,$R258,⑳商品別1食労務費!$F$5:$F$124)/$AA258,$AB258/$X258))</f>
        <v/>
      </c>
      <c r="AE258" s="413">
        <f>IF($S258="",0,IF($AA258&gt;0,$AB258*SUMIF(⑳商品別1食労務費!$C$5:$C$124,$S258,⑳商品別1食労務費!$F$5:$F$124)/$AA258,$AB258/$X258))</f>
        <v/>
      </c>
      <c r="AF258" s="413">
        <f>IF($T258="",0,IF($AA258&gt;0,$AB258*SUMIF(⑳商品別1食労務費!$C$5:$C$124,$T258,⑳商品別1食労務費!$F$5:$F$124)/$AA258,$AB258/$X258))</f>
        <v/>
      </c>
      <c r="AG258" s="413">
        <f>IF($U258="",0,IF($AA258&gt;0,$AB258*SUMIF(⑳商品別1食労務費!$C$5:$C$124,$U258,⑳商品別1食労務費!$F$5:$F$124)/$AA258,$AB258/$X258))</f>
        <v/>
      </c>
      <c r="AH258" s="413">
        <f>IF($V258="",0,IF($AA258&gt;0,$AB258*SUMIF(⑳商品別1食労務費!$C$5:$C$124,$V258,⑳商品別1食労務費!$F$5:$F$124)/$AA258,$AB258/$X258))</f>
        <v/>
      </c>
      <c r="AI258" s="413">
        <f>IF($W258="",0,IF($AA258&gt;0,$AB258*SUMIF(⑳商品別1食労務費!$C$5:$C$124,$W258,⑳商品別1食労務費!$F$5:$F$124)/$AA258,$AB258/$X258))</f>
        <v/>
      </c>
    </row>
    <row r="259">
      <c r="A259" s="197" t="n">
        <v>255</v>
      </c>
      <c r="B259" s="198" t="n"/>
      <c r="C259" s="229" t="n"/>
      <c r="D259" s="190" t="n"/>
      <c r="E259" s="190" t="n"/>
      <c r="F259" s="541">
        <f>IF(OR(D259="",E259=""),"",(E259-D259)*1440)</f>
        <v/>
      </c>
      <c r="G259" s="542" t="n"/>
      <c r="H259" s="542" t="n"/>
      <c r="I259" s="543" t="n"/>
      <c r="J259" s="192" t="n"/>
      <c r="K259" s="544">
        <f>IF(AND(ISNUMBER(F259),I259&gt;0),I259/(F259/60),"")</f>
        <v/>
      </c>
      <c r="L259" s="545" t="n"/>
      <c r="M259" s="194">
        <f>IF(OR(ISNUMBER(SEARCH("サニテーション",C259)),ISNUMBER(SEARCH("客注",C259)),ISNUMBER(SEARCH("切り替え",C259)),ISNUMBER(SEARCH("切替",C259)),NOT(ISNUMBER(H259))),"",IF(ISNUMBER(G259),G259/60*H259*④前提設定!$B$4,IF(AND(G259="",ISNUMBER(F259)),F259/60*H259*④前提設定!$B$4,"")))</f>
        <v/>
      </c>
      <c r="N259" s="546">
        <f>IF(AND(I259&gt;0,ISNUMBER(M259)),M259/I259,"")</f>
        <v/>
      </c>
      <c r="O259" s="547">
        <f>IF(AND(J259&gt;0,ISNUMBER(M259)),M259/J259,"")</f>
        <v/>
      </c>
      <c r="P259" s="199" t="n"/>
      <c r="Q259" s="200" t="n"/>
      <c r="X259" s="334">
        <f>COUNTA(R259:W259)</f>
        <v/>
      </c>
      <c r="Y259" s="334">
        <f>IF(AND($X259&gt;0,ISNUMBER($M259)),$M259/$X259,"")</f>
        <v/>
      </c>
      <c r="Z259" s="334">
        <f>IF($X259=0,"",IF(COUNTIF(⑳商品別1食労務費!$C$5:$C$124,$R259)+COUNTIF(⑳商品別1食労務費!$C$5:$C$124,$S259)+COUNTIF(⑳商品別1食労務費!$C$5:$C$124,$T259)+COUNTIF(⑳商品別1食労務費!$C$5:$C$124,$U259)+COUNTIF(⑳商品別1食労務費!$C$5:$C$124,$V259)+COUNTIF(⑳商品別1食労務費!$C$5:$C$124,$W259)=$X259,"OK","⑳に無い商品名"))</f>
        <v/>
      </c>
      <c r="AA259" s="334">
        <f>SUMIF(⑳商品別1食労務費!$C$5:$C$124,$R259,⑳商品別1食労務費!$F$5:$F$124)+SUMIF(⑳商品別1食労務費!$C$5:$C$124,$S259,⑳商品別1食労務費!$F$5:$F$124)+SUMIF(⑳商品別1食労務費!$C$5:$C$124,$T259,⑳商品別1食労務費!$F$5:$F$124)+SUMIF(⑳商品別1食労務費!$C$5:$C$124,$U259,⑳商品別1食労務費!$F$5:$F$124)+SUMIF(⑳商品別1食労務費!$C$5:$C$124,$V259,⑳商品別1食労務費!$F$5:$F$124)+SUMIF(⑳商品別1食労務費!$C$5:$C$124,$W259,⑳商品別1食労務費!$F$5:$F$124)</f>
        <v/>
      </c>
      <c r="AB259" s="334">
        <f>IF(ISNUMBER($M259),$M259,0)</f>
        <v/>
      </c>
      <c r="AC259" s="334">
        <f>IF(AND($X259&gt;0,ISNUMBER($J259)),$J259/$X259,"")</f>
        <v/>
      </c>
      <c r="AD259" s="413">
        <f>IF($R259="",0,IF($AA259&gt;0,$AB259*SUMIF(⑳商品別1食労務費!$C$5:$C$124,$R259,⑳商品別1食労務費!$F$5:$F$124)/$AA259,$AB259/$X259))</f>
        <v/>
      </c>
      <c r="AE259" s="413">
        <f>IF($S259="",0,IF($AA259&gt;0,$AB259*SUMIF(⑳商品別1食労務費!$C$5:$C$124,$S259,⑳商品別1食労務費!$F$5:$F$124)/$AA259,$AB259/$X259))</f>
        <v/>
      </c>
      <c r="AF259" s="413">
        <f>IF($T259="",0,IF($AA259&gt;0,$AB259*SUMIF(⑳商品別1食労務費!$C$5:$C$124,$T259,⑳商品別1食労務費!$F$5:$F$124)/$AA259,$AB259/$X259))</f>
        <v/>
      </c>
      <c r="AG259" s="413">
        <f>IF($U259="",0,IF($AA259&gt;0,$AB259*SUMIF(⑳商品別1食労務費!$C$5:$C$124,$U259,⑳商品別1食労務費!$F$5:$F$124)/$AA259,$AB259/$X259))</f>
        <v/>
      </c>
      <c r="AH259" s="413">
        <f>IF($V259="",0,IF($AA259&gt;0,$AB259*SUMIF(⑳商品別1食労務費!$C$5:$C$124,$V259,⑳商品別1食労務費!$F$5:$F$124)/$AA259,$AB259/$X259))</f>
        <v/>
      </c>
      <c r="AI259" s="413">
        <f>IF($W259="",0,IF($AA259&gt;0,$AB259*SUMIF(⑳商品別1食労務費!$C$5:$C$124,$W259,⑳商品別1食労務費!$F$5:$F$124)/$AA259,$AB259/$X259))</f>
        <v/>
      </c>
    </row>
    <row r="260">
      <c r="A260" s="188" t="n">
        <v>256</v>
      </c>
      <c r="B260" s="189" t="n"/>
      <c r="C260" s="229" t="n"/>
      <c r="D260" s="190" t="n"/>
      <c r="E260" s="190" t="n"/>
      <c r="F260" s="541">
        <f>IF(OR(D260="",E260=""),"",(E260-D260)*1440)</f>
        <v/>
      </c>
      <c r="G260" s="542" t="n"/>
      <c r="H260" s="542" t="n"/>
      <c r="I260" s="543" t="n"/>
      <c r="J260" s="192" t="n"/>
      <c r="K260" s="544">
        <f>IF(AND(ISNUMBER(F260),I260&gt;0),I260/(F260/60),"")</f>
        <v/>
      </c>
      <c r="L260" s="545" t="n"/>
      <c r="M260" s="194">
        <f>IF(OR(ISNUMBER(SEARCH("サニテーション",C260)),ISNUMBER(SEARCH("客注",C260)),ISNUMBER(SEARCH("切り替え",C260)),ISNUMBER(SEARCH("切替",C260)),NOT(ISNUMBER(H260))),"",IF(ISNUMBER(G260),G260/60*H260*④前提設定!$B$4,IF(AND(G260="",ISNUMBER(F260)),F260/60*H260*④前提設定!$B$4,"")))</f>
        <v/>
      </c>
      <c r="N260" s="546">
        <f>IF(AND(I260&gt;0,ISNUMBER(M260)),M260/I260,"")</f>
        <v/>
      </c>
      <c r="O260" s="547">
        <f>IF(AND(J260&gt;0,ISNUMBER(M260)),M260/J260,"")</f>
        <v/>
      </c>
      <c r="P260" s="195" t="n"/>
      <c r="Q260" s="196" t="n"/>
      <c r="X260" s="334">
        <f>COUNTA(R260:W260)</f>
        <v/>
      </c>
      <c r="Y260" s="334">
        <f>IF(AND($X260&gt;0,ISNUMBER($M260)),$M260/$X260,"")</f>
        <v/>
      </c>
      <c r="Z260" s="334">
        <f>IF($X260=0,"",IF(COUNTIF(⑳商品別1食労務費!$C$5:$C$124,$R260)+COUNTIF(⑳商品別1食労務費!$C$5:$C$124,$S260)+COUNTIF(⑳商品別1食労務費!$C$5:$C$124,$T260)+COUNTIF(⑳商品別1食労務費!$C$5:$C$124,$U260)+COUNTIF(⑳商品別1食労務費!$C$5:$C$124,$V260)+COUNTIF(⑳商品別1食労務費!$C$5:$C$124,$W260)=$X260,"OK","⑳に無い商品名"))</f>
        <v/>
      </c>
      <c r="AA260" s="334">
        <f>SUMIF(⑳商品別1食労務費!$C$5:$C$124,$R260,⑳商品別1食労務費!$F$5:$F$124)+SUMIF(⑳商品別1食労務費!$C$5:$C$124,$S260,⑳商品別1食労務費!$F$5:$F$124)+SUMIF(⑳商品別1食労務費!$C$5:$C$124,$T260,⑳商品別1食労務費!$F$5:$F$124)+SUMIF(⑳商品別1食労務費!$C$5:$C$124,$U260,⑳商品別1食労務費!$F$5:$F$124)+SUMIF(⑳商品別1食労務費!$C$5:$C$124,$V260,⑳商品別1食労務費!$F$5:$F$124)+SUMIF(⑳商品別1食労務費!$C$5:$C$124,$W260,⑳商品別1食労務費!$F$5:$F$124)</f>
        <v/>
      </c>
      <c r="AB260" s="334">
        <f>IF(ISNUMBER($M260),$M260,0)</f>
        <v/>
      </c>
      <c r="AC260" s="334">
        <f>IF(AND($X260&gt;0,ISNUMBER($J260)),$J260/$X260,"")</f>
        <v/>
      </c>
      <c r="AD260" s="413">
        <f>IF($R260="",0,IF($AA260&gt;0,$AB260*SUMIF(⑳商品別1食労務費!$C$5:$C$124,$R260,⑳商品別1食労務費!$F$5:$F$124)/$AA260,$AB260/$X260))</f>
        <v/>
      </c>
      <c r="AE260" s="413">
        <f>IF($S260="",0,IF($AA260&gt;0,$AB260*SUMIF(⑳商品別1食労務費!$C$5:$C$124,$S260,⑳商品別1食労務費!$F$5:$F$124)/$AA260,$AB260/$X260))</f>
        <v/>
      </c>
      <c r="AF260" s="413">
        <f>IF($T260="",0,IF($AA260&gt;0,$AB260*SUMIF(⑳商品別1食労務費!$C$5:$C$124,$T260,⑳商品別1食労務費!$F$5:$F$124)/$AA260,$AB260/$X260))</f>
        <v/>
      </c>
      <c r="AG260" s="413">
        <f>IF($U260="",0,IF($AA260&gt;0,$AB260*SUMIF(⑳商品別1食労務費!$C$5:$C$124,$U260,⑳商品別1食労務費!$F$5:$F$124)/$AA260,$AB260/$X260))</f>
        <v/>
      </c>
      <c r="AH260" s="413">
        <f>IF($V260="",0,IF($AA260&gt;0,$AB260*SUMIF(⑳商品別1食労務費!$C$5:$C$124,$V260,⑳商品別1食労務費!$F$5:$F$124)/$AA260,$AB260/$X260))</f>
        <v/>
      </c>
      <c r="AI260" s="413">
        <f>IF($W260="",0,IF($AA260&gt;0,$AB260*SUMIF(⑳商品別1食労務費!$C$5:$C$124,$W260,⑳商品別1食労務費!$F$5:$F$124)/$AA260,$AB260/$X260))</f>
        <v/>
      </c>
    </row>
    <row r="261">
      <c r="A261" s="197" t="n">
        <v>257</v>
      </c>
      <c r="B261" s="198" t="n"/>
      <c r="C261" s="229" t="n"/>
      <c r="D261" s="190" t="n"/>
      <c r="E261" s="190" t="n"/>
      <c r="F261" s="541">
        <f>IF(OR(D261="",E261=""),"",(E261-D261)*1440)</f>
        <v/>
      </c>
      <c r="G261" s="542" t="n"/>
      <c r="H261" s="542" t="n"/>
      <c r="I261" s="543" t="n"/>
      <c r="J261" s="192" t="n"/>
      <c r="K261" s="544">
        <f>IF(AND(ISNUMBER(F261),I261&gt;0),I261/(F261/60),"")</f>
        <v/>
      </c>
      <c r="L261" s="545" t="n"/>
      <c r="M261" s="194">
        <f>IF(OR(ISNUMBER(SEARCH("サニテーション",C261)),ISNUMBER(SEARCH("客注",C261)),ISNUMBER(SEARCH("切り替え",C261)),ISNUMBER(SEARCH("切替",C261)),NOT(ISNUMBER(H261))),"",IF(ISNUMBER(G261),G261/60*H261*④前提設定!$B$4,IF(AND(G261="",ISNUMBER(F261)),F261/60*H261*④前提設定!$B$4,"")))</f>
        <v/>
      </c>
      <c r="N261" s="546">
        <f>IF(AND(I261&gt;0,ISNUMBER(M261)),M261/I261,"")</f>
        <v/>
      </c>
      <c r="O261" s="547">
        <f>IF(AND(J261&gt;0,ISNUMBER(M261)),M261/J261,"")</f>
        <v/>
      </c>
      <c r="P261" s="199" t="n"/>
      <c r="Q261" s="200" t="n"/>
      <c r="X261" s="334">
        <f>COUNTA(R261:W261)</f>
        <v/>
      </c>
      <c r="Y261" s="334">
        <f>IF(AND($X261&gt;0,ISNUMBER($M261)),$M261/$X261,"")</f>
        <v/>
      </c>
      <c r="Z261" s="334">
        <f>IF($X261=0,"",IF(COUNTIF(⑳商品別1食労務費!$C$5:$C$124,$R261)+COUNTIF(⑳商品別1食労務費!$C$5:$C$124,$S261)+COUNTIF(⑳商品別1食労務費!$C$5:$C$124,$T261)+COUNTIF(⑳商品別1食労務費!$C$5:$C$124,$U261)+COUNTIF(⑳商品別1食労務費!$C$5:$C$124,$V261)+COUNTIF(⑳商品別1食労務費!$C$5:$C$124,$W261)=$X261,"OK","⑳に無い商品名"))</f>
        <v/>
      </c>
      <c r="AA261" s="334">
        <f>SUMIF(⑳商品別1食労務費!$C$5:$C$124,$R261,⑳商品別1食労務費!$F$5:$F$124)+SUMIF(⑳商品別1食労務費!$C$5:$C$124,$S261,⑳商品別1食労務費!$F$5:$F$124)+SUMIF(⑳商品別1食労務費!$C$5:$C$124,$T261,⑳商品別1食労務費!$F$5:$F$124)+SUMIF(⑳商品別1食労務費!$C$5:$C$124,$U261,⑳商品別1食労務費!$F$5:$F$124)+SUMIF(⑳商品別1食労務費!$C$5:$C$124,$V261,⑳商品別1食労務費!$F$5:$F$124)+SUMIF(⑳商品別1食労務費!$C$5:$C$124,$W261,⑳商品別1食労務費!$F$5:$F$124)</f>
        <v/>
      </c>
      <c r="AB261" s="334">
        <f>IF(ISNUMBER($M261),$M261,0)</f>
        <v/>
      </c>
      <c r="AC261" s="334">
        <f>IF(AND($X261&gt;0,ISNUMBER($J261)),$J261/$X261,"")</f>
        <v/>
      </c>
      <c r="AD261" s="413">
        <f>IF($R261="",0,IF($AA261&gt;0,$AB261*SUMIF(⑳商品別1食労務費!$C$5:$C$124,$R261,⑳商品別1食労務費!$F$5:$F$124)/$AA261,$AB261/$X261))</f>
        <v/>
      </c>
      <c r="AE261" s="413">
        <f>IF($S261="",0,IF($AA261&gt;0,$AB261*SUMIF(⑳商品別1食労務費!$C$5:$C$124,$S261,⑳商品別1食労務費!$F$5:$F$124)/$AA261,$AB261/$X261))</f>
        <v/>
      </c>
      <c r="AF261" s="413">
        <f>IF($T261="",0,IF($AA261&gt;0,$AB261*SUMIF(⑳商品別1食労務費!$C$5:$C$124,$T261,⑳商品別1食労務費!$F$5:$F$124)/$AA261,$AB261/$X261))</f>
        <v/>
      </c>
      <c r="AG261" s="413">
        <f>IF($U261="",0,IF($AA261&gt;0,$AB261*SUMIF(⑳商品別1食労務費!$C$5:$C$124,$U261,⑳商品別1食労務費!$F$5:$F$124)/$AA261,$AB261/$X261))</f>
        <v/>
      </c>
      <c r="AH261" s="413">
        <f>IF($V261="",0,IF($AA261&gt;0,$AB261*SUMIF(⑳商品別1食労務費!$C$5:$C$124,$V261,⑳商品別1食労務費!$F$5:$F$124)/$AA261,$AB261/$X261))</f>
        <v/>
      </c>
      <c r="AI261" s="413">
        <f>IF($W261="",0,IF($AA261&gt;0,$AB261*SUMIF(⑳商品別1食労務費!$C$5:$C$124,$W261,⑳商品別1食労務費!$F$5:$F$124)/$AA261,$AB261/$X261))</f>
        <v/>
      </c>
    </row>
    <row r="262">
      <c r="A262" s="188" t="n">
        <v>258</v>
      </c>
      <c r="B262" s="189" t="n"/>
      <c r="C262" s="229" t="n"/>
      <c r="D262" s="190" t="n"/>
      <c r="E262" s="190" t="n"/>
      <c r="F262" s="541">
        <f>IF(OR(D262="",E262=""),"",(E262-D262)*1440)</f>
        <v/>
      </c>
      <c r="G262" s="542" t="n"/>
      <c r="H262" s="542" t="n"/>
      <c r="I262" s="543" t="n"/>
      <c r="J262" s="192" t="n"/>
      <c r="K262" s="544">
        <f>IF(AND(ISNUMBER(F262),I262&gt;0),I262/(F262/60),"")</f>
        <v/>
      </c>
      <c r="L262" s="545" t="n"/>
      <c r="M262" s="194">
        <f>IF(OR(ISNUMBER(SEARCH("サニテーション",C262)),ISNUMBER(SEARCH("客注",C262)),ISNUMBER(SEARCH("切り替え",C262)),ISNUMBER(SEARCH("切替",C262)),NOT(ISNUMBER(H262))),"",IF(ISNUMBER(G262),G262/60*H262*④前提設定!$B$4,IF(AND(G262="",ISNUMBER(F262)),F262/60*H262*④前提設定!$B$4,"")))</f>
        <v/>
      </c>
      <c r="N262" s="546">
        <f>IF(AND(I262&gt;0,ISNUMBER(M262)),M262/I262,"")</f>
        <v/>
      </c>
      <c r="O262" s="547">
        <f>IF(AND(J262&gt;0,ISNUMBER(M262)),M262/J262,"")</f>
        <v/>
      </c>
      <c r="P262" s="195" t="n"/>
      <c r="Q262" s="196" t="n"/>
      <c r="X262" s="334">
        <f>COUNTA(R262:W262)</f>
        <v/>
      </c>
      <c r="Y262" s="334">
        <f>IF(AND($X262&gt;0,ISNUMBER($M262)),$M262/$X262,"")</f>
        <v/>
      </c>
      <c r="Z262" s="334">
        <f>IF($X262=0,"",IF(COUNTIF(⑳商品別1食労務費!$C$5:$C$124,$R262)+COUNTIF(⑳商品別1食労務費!$C$5:$C$124,$S262)+COUNTIF(⑳商品別1食労務費!$C$5:$C$124,$T262)+COUNTIF(⑳商品別1食労務費!$C$5:$C$124,$U262)+COUNTIF(⑳商品別1食労務費!$C$5:$C$124,$V262)+COUNTIF(⑳商品別1食労務費!$C$5:$C$124,$W262)=$X262,"OK","⑳に無い商品名"))</f>
        <v/>
      </c>
      <c r="AA262" s="334">
        <f>SUMIF(⑳商品別1食労務費!$C$5:$C$124,$R262,⑳商品別1食労務費!$F$5:$F$124)+SUMIF(⑳商品別1食労務費!$C$5:$C$124,$S262,⑳商品別1食労務費!$F$5:$F$124)+SUMIF(⑳商品別1食労務費!$C$5:$C$124,$T262,⑳商品別1食労務費!$F$5:$F$124)+SUMIF(⑳商品別1食労務費!$C$5:$C$124,$U262,⑳商品別1食労務費!$F$5:$F$124)+SUMIF(⑳商品別1食労務費!$C$5:$C$124,$V262,⑳商品別1食労務費!$F$5:$F$124)+SUMIF(⑳商品別1食労務費!$C$5:$C$124,$W262,⑳商品別1食労務費!$F$5:$F$124)</f>
        <v/>
      </c>
      <c r="AB262" s="334">
        <f>IF(ISNUMBER($M262),$M262,0)</f>
        <v/>
      </c>
      <c r="AC262" s="334">
        <f>IF(AND($X262&gt;0,ISNUMBER($J262)),$J262/$X262,"")</f>
        <v/>
      </c>
      <c r="AD262" s="413">
        <f>IF($R262="",0,IF($AA262&gt;0,$AB262*SUMIF(⑳商品別1食労務費!$C$5:$C$124,$R262,⑳商品別1食労務費!$F$5:$F$124)/$AA262,$AB262/$X262))</f>
        <v/>
      </c>
      <c r="AE262" s="413">
        <f>IF($S262="",0,IF($AA262&gt;0,$AB262*SUMIF(⑳商品別1食労務費!$C$5:$C$124,$S262,⑳商品別1食労務費!$F$5:$F$124)/$AA262,$AB262/$X262))</f>
        <v/>
      </c>
      <c r="AF262" s="413">
        <f>IF($T262="",0,IF($AA262&gt;0,$AB262*SUMIF(⑳商品別1食労務費!$C$5:$C$124,$T262,⑳商品別1食労務費!$F$5:$F$124)/$AA262,$AB262/$X262))</f>
        <v/>
      </c>
      <c r="AG262" s="413">
        <f>IF($U262="",0,IF($AA262&gt;0,$AB262*SUMIF(⑳商品別1食労務費!$C$5:$C$124,$U262,⑳商品別1食労務費!$F$5:$F$124)/$AA262,$AB262/$X262))</f>
        <v/>
      </c>
      <c r="AH262" s="413">
        <f>IF($V262="",0,IF($AA262&gt;0,$AB262*SUMIF(⑳商品別1食労務費!$C$5:$C$124,$V262,⑳商品別1食労務費!$F$5:$F$124)/$AA262,$AB262/$X262))</f>
        <v/>
      </c>
      <c r="AI262" s="413">
        <f>IF($W262="",0,IF($AA262&gt;0,$AB262*SUMIF(⑳商品別1食労務費!$C$5:$C$124,$W262,⑳商品別1食労務費!$F$5:$F$124)/$AA262,$AB262/$X262))</f>
        <v/>
      </c>
    </row>
    <row r="263">
      <c r="A263" s="197" t="n">
        <v>259</v>
      </c>
      <c r="B263" s="198" t="n"/>
      <c r="C263" s="229" t="n"/>
      <c r="D263" s="190" t="n"/>
      <c r="E263" s="190" t="n"/>
      <c r="F263" s="541">
        <f>IF(OR(D263="",E263=""),"",(E263-D263)*1440)</f>
        <v/>
      </c>
      <c r="G263" s="542" t="n"/>
      <c r="H263" s="542" t="n"/>
      <c r="I263" s="543" t="n"/>
      <c r="J263" s="192" t="n"/>
      <c r="K263" s="544">
        <f>IF(AND(ISNUMBER(F263),I263&gt;0),I263/(F263/60),"")</f>
        <v/>
      </c>
      <c r="L263" s="545" t="n"/>
      <c r="M263" s="194">
        <f>IF(OR(ISNUMBER(SEARCH("サニテーション",C263)),ISNUMBER(SEARCH("客注",C263)),ISNUMBER(SEARCH("切り替え",C263)),ISNUMBER(SEARCH("切替",C263)),NOT(ISNUMBER(H263))),"",IF(ISNUMBER(G263),G263/60*H263*④前提設定!$B$4,IF(AND(G263="",ISNUMBER(F263)),F263/60*H263*④前提設定!$B$4,"")))</f>
        <v/>
      </c>
      <c r="N263" s="546">
        <f>IF(AND(I263&gt;0,ISNUMBER(M263)),M263/I263,"")</f>
        <v/>
      </c>
      <c r="O263" s="547">
        <f>IF(AND(J263&gt;0,ISNUMBER(M263)),M263/J263,"")</f>
        <v/>
      </c>
      <c r="P263" s="199" t="n"/>
      <c r="Q263" s="200" t="n"/>
      <c r="X263" s="334">
        <f>COUNTA(R263:W263)</f>
        <v/>
      </c>
      <c r="Y263" s="334">
        <f>IF(AND($X263&gt;0,ISNUMBER($M263)),$M263/$X263,"")</f>
        <v/>
      </c>
      <c r="Z263" s="334">
        <f>IF($X263=0,"",IF(COUNTIF(⑳商品別1食労務費!$C$5:$C$124,$R263)+COUNTIF(⑳商品別1食労務費!$C$5:$C$124,$S263)+COUNTIF(⑳商品別1食労務費!$C$5:$C$124,$T263)+COUNTIF(⑳商品別1食労務費!$C$5:$C$124,$U263)+COUNTIF(⑳商品別1食労務費!$C$5:$C$124,$V263)+COUNTIF(⑳商品別1食労務費!$C$5:$C$124,$W263)=$X263,"OK","⑳に無い商品名"))</f>
        <v/>
      </c>
      <c r="AA263" s="334">
        <f>SUMIF(⑳商品別1食労務費!$C$5:$C$124,$R263,⑳商品別1食労務費!$F$5:$F$124)+SUMIF(⑳商品別1食労務費!$C$5:$C$124,$S263,⑳商品別1食労務費!$F$5:$F$124)+SUMIF(⑳商品別1食労務費!$C$5:$C$124,$T263,⑳商品別1食労務費!$F$5:$F$124)+SUMIF(⑳商品別1食労務費!$C$5:$C$124,$U263,⑳商品別1食労務費!$F$5:$F$124)+SUMIF(⑳商品別1食労務費!$C$5:$C$124,$V263,⑳商品別1食労務費!$F$5:$F$124)+SUMIF(⑳商品別1食労務費!$C$5:$C$124,$W263,⑳商品別1食労務費!$F$5:$F$124)</f>
        <v/>
      </c>
      <c r="AB263" s="334">
        <f>IF(ISNUMBER($M263),$M263,0)</f>
        <v/>
      </c>
      <c r="AC263" s="334">
        <f>IF(AND($X263&gt;0,ISNUMBER($J263)),$J263/$X263,"")</f>
        <v/>
      </c>
      <c r="AD263" s="413">
        <f>IF($R263="",0,IF($AA263&gt;0,$AB263*SUMIF(⑳商品別1食労務費!$C$5:$C$124,$R263,⑳商品別1食労務費!$F$5:$F$124)/$AA263,$AB263/$X263))</f>
        <v/>
      </c>
      <c r="AE263" s="413">
        <f>IF($S263="",0,IF($AA263&gt;0,$AB263*SUMIF(⑳商品別1食労務費!$C$5:$C$124,$S263,⑳商品別1食労務費!$F$5:$F$124)/$AA263,$AB263/$X263))</f>
        <v/>
      </c>
      <c r="AF263" s="413">
        <f>IF($T263="",0,IF($AA263&gt;0,$AB263*SUMIF(⑳商品別1食労務費!$C$5:$C$124,$T263,⑳商品別1食労務費!$F$5:$F$124)/$AA263,$AB263/$X263))</f>
        <v/>
      </c>
      <c r="AG263" s="413">
        <f>IF($U263="",0,IF($AA263&gt;0,$AB263*SUMIF(⑳商品別1食労務費!$C$5:$C$124,$U263,⑳商品別1食労務費!$F$5:$F$124)/$AA263,$AB263/$X263))</f>
        <v/>
      </c>
      <c r="AH263" s="413">
        <f>IF($V263="",0,IF($AA263&gt;0,$AB263*SUMIF(⑳商品別1食労務費!$C$5:$C$124,$V263,⑳商品別1食労務費!$F$5:$F$124)/$AA263,$AB263/$X263))</f>
        <v/>
      </c>
      <c r="AI263" s="413">
        <f>IF($W263="",0,IF($AA263&gt;0,$AB263*SUMIF(⑳商品別1食労務費!$C$5:$C$124,$W263,⑳商品別1食労務費!$F$5:$F$124)/$AA263,$AB263/$X263))</f>
        <v/>
      </c>
    </row>
    <row r="264">
      <c r="A264" s="188" t="n">
        <v>260</v>
      </c>
      <c r="B264" s="189" t="n"/>
      <c r="C264" s="229" t="n"/>
      <c r="D264" s="190" t="n"/>
      <c r="E264" s="190" t="n"/>
      <c r="F264" s="541">
        <f>IF(OR(D264="",E264=""),"",(E264-D264)*1440)</f>
        <v/>
      </c>
      <c r="G264" s="542" t="n"/>
      <c r="H264" s="542" t="n"/>
      <c r="I264" s="543" t="n"/>
      <c r="J264" s="192" t="n"/>
      <c r="K264" s="544">
        <f>IF(AND(ISNUMBER(F264),I264&gt;0),I264/(F264/60),"")</f>
        <v/>
      </c>
      <c r="L264" s="545" t="n"/>
      <c r="M264" s="194">
        <f>IF(OR(ISNUMBER(SEARCH("サニテーション",C264)),ISNUMBER(SEARCH("客注",C264)),ISNUMBER(SEARCH("切り替え",C264)),ISNUMBER(SEARCH("切替",C264)),NOT(ISNUMBER(H264))),"",IF(ISNUMBER(G264),G264/60*H264*④前提設定!$B$4,IF(AND(G264="",ISNUMBER(F264)),F264/60*H264*④前提設定!$B$4,"")))</f>
        <v/>
      </c>
      <c r="N264" s="546">
        <f>IF(AND(I264&gt;0,ISNUMBER(M264)),M264/I264,"")</f>
        <v/>
      </c>
      <c r="O264" s="547">
        <f>IF(AND(J264&gt;0,ISNUMBER(M264)),M264/J264,"")</f>
        <v/>
      </c>
      <c r="P264" s="195" t="n"/>
      <c r="Q264" s="196" t="n"/>
      <c r="X264" s="334">
        <f>COUNTA(R264:W264)</f>
        <v/>
      </c>
      <c r="Y264" s="334">
        <f>IF(AND($X264&gt;0,ISNUMBER($M264)),$M264/$X264,"")</f>
        <v/>
      </c>
      <c r="Z264" s="334">
        <f>IF($X264=0,"",IF(COUNTIF(⑳商品別1食労務費!$C$5:$C$124,$R264)+COUNTIF(⑳商品別1食労務費!$C$5:$C$124,$S264)+COUNTIF(⑳商品別1食労務費!$C$5:$C$124,$T264)+COUNTIF(⑳商品別1食労務費!$C$5:$C$124,$U264)+COUNTIF(⑳商品別1食労務費!$C$5:$C$124,$V264)+COUNTIF(⑳商品別1食労務費!$C$5:$C$124,$W264)=$X264,"OK","⑳に無い商品名"))</f>
        <v/>
      </c>
      <c r="AA264" s="334">
        <f>SUMIF(⑳商品別1食労務費!$C$5:$C$124,$R264,⑳商品別1食労務費!$F$5:$F$124)+SUMIF(⑳商品別1食労務費!$C$5:$C$124,$S264,⑳商品別1食労務費!$F$5:$F$124)+SUMIF(⑳商品別1食労務費!$C$5:$C$124,$T264,⑳商品別1食労務費!$F$5:$F$124)+SUMIF(⑳商品別1食労務費!$C$5:$C$124,$U264,⑳商品別1食労務費!$F$5:$F$124)+SUMIF(⑳商品別1食労務費!$C$5:$C$124,$V264,⑳商品別1食労務費!$F$5:$F$124)+SUMIF(⑳商品別1食労務費!$C$5:$C$124,$W264,⑳商品別1食労務費!$F$5:$F$124)</f>
        <v/>
      </c>
      <c r="AB264" s="334">
        <f>IF(ISNUMBER($M264),$M264,0)</f>
        <v/>
      </c>
      <c r="AC264" s="334">
        <f>IF(AND($X264&gt;0,ISNUMBER($J264)),$J264/$X264,"")</f>
        <v/>
      </c>
      <c r="AD264" s="413">
        <f>IF($R264="",0,IF($AA264&gt;0,$AB264*SUMIF(⑳商品別1食労務費!$C$5:$C$124,$R264,⑳商品別1食労務費!$F$5:$F$124)/$AA264,$AB264/$X264))</f>
        <v/>
      </c>
      <c r="AE264" s="413">
        <f>IF($S264="",0,IF($AA264&gt;0,$AB264*SUMIF(⑳商品別1食労務費!$C$5:$C$124,$S264,⑳商品別1食労務費!$F$5:$F$124)/$AA264,$AB264/$X264))</f>
        <v/>
      </c>
      <c r="AF264" s="413">
        <f>IF($T264="",0,IF($AA264&gt;0,$AB264*SUMIF(⑳商品別1食労務費!$C$5:$C$124,$T264,⑳商品別1食労務費!$F$5:$F$124)/$AA264,$AB264/$X264))</f>
        <v/>
      </c>
      <c r="AG264" s="413">
        <f>IF($U264="",0,IF($AA264&gt;0,$AB264*SUMIF(⑳商品別1食労務費!$C$5:$C$124,$U264,⑳商品別1食労務費!$F$5:$F$124)/$AA264,$AB264/$X264))</f>
        <v/>
      </c>
      <c r="AH264" s="413">
        <f>IF($V264="",0,IF($AA264&gt;0,$AB264*SUMIF(⑳商品別1食労務費!$C$5:$C$124,$V264,⑳商品別1食労務費!$F$5:$F$124)/$AA264,$AB264/$X264))</f>
        <v/>
      </c>
      <c r="AI264" s="413">
        <f>IF($W264="",0,IF($AA264&gt;0,$AB264*SUMIF(⑳商品別1食労務費!$C$5:$C$124,$W264,⑳商品別1食労務費!$F$5:$F$124)/$AA264,$AB264/$X264))</f>
        <v/>
      </c>
    </row>
    <row r="265">
      <c r="A265" s="197" t="n">
        <v>261</v>
      </c>
      <c r="B265" s="198" t="n"/>
      <c r="C265" s="229" t="n"/>
      <c r="D265" s="190" t="n"/>
      <c r="E265" s="190" t="n"/>
      <c r="F265" s="541">
        <f>IF(OR(D265="",E265=""),"",(E265-D265)*1440)</f>
        <v/>
      </c>
      <c r="G265" s="542" t="n"/>
      <c r="H265" s="542" t="n"/>
      <c r="I265" s="543" t="n"/>
      <c r="J265" s="192" t="n"/>
      <c r="K265" s="544">
        <f>IF(AND(ISNUMBER(F265),I265&gt;0),I265/(F265/60),"")</f>
        <v/>
      </c>
      <c r="L265" s="545" t="n"/>
      <c r="M265" s="194">
        <f>IF(OR(ISNUMBER(SEARCH("サニテーション",C265)),ISNUMBER(SEARCH("客注",C265)),ISNUMBER(SEARCH("切り替え",C265)),ISNUMBER(SEARCH("切替",C265)),NOT(ISNUMBER(H265))),"",IF(ISNUMBER(G265),G265/60*H265*④前提設定!$B$4,IF(AND(G265="",ISNUMBER(F265)),F265/60*H265*④前提設定!$B$4,"")))</f>
        <v/>
      </c>
      <c r="N265" s="546">
        <f>IF(AND(I265&gt;0,ISNUMBER(M265)),M265/I265,"")</f>
        <v/>
      </c>
      <c r="O265" s="547">
        <f>IF(AND(J265&gt;0,ISNUMBER(M265)),M265/J265,"")</f>
        <v/>
      </c>
      <c r="P265" s="199" t="n"/>
      <c r="Q265" s="200" t="n"/>
      <c r="X265" s="334">
        <f>COUNTA(R265:W265)</f>
        <v/>
      </c>
      <c r="Y265" s="334">
        <f>IF(AND($X265&gt;0,ISNUMBER($M265)),$M265/$X265,"")</f>
        <v/>
      </c>
      <c r="Z265" s="334">
        <f>IF($X265=0,"",IF(COUNTIF(⑳商品別1食労務費!$C$5:$C$124,$R265)+COUNTIF(⑳商品別1食労務費!$C$5:$C$124,$S265)+COUNTIF(⑳商品別1食労務費!$C$5:$C$124,$T265)+COUNTIF(⑳商品別1食労務費!$C$5:$C$124,$U265)+COUNTIF(⑳商品別1食労務費!$C$5:$C$124,$V265)+COUNTIF(⑳商品別1食労務費!$C$5:$C$124,$W265)=$X265,"OK","⑳に無い商品名"))</f>
        <v/>
      </c>
      <c r="AA265" s="334">
        <f>SUMIF(⑳商品別1食労務費!$C$5:$C$124,$R265,⑳商品別1食労務費!$F$5:$F$124)+SUMIF(⑳商品別1食労務費!$C$5:$C$124,$S265,⑳商品別1食労務費!$F$5:$F$124)+SUMIF(⑳商品別1食労務費!$C$5:$C$124,$T265,⑳商品別1食労務費!$F$5:$F$124)+SUMIF(⑳商品別1食労務費!$C$5:$C$124,$U265,⑳商品別1食労務費!$F$5:$F$124)+SUMIF(⑳商品別1食労務費!$C$5:$C$124,$V265,⑳商品別1食労務費!$F$5:$F$124)+SUMIF(⑳商品別1食労務費!$C$5:$C$124,$W265,⑳商品別1食労務費!$F$5:$F$124)</f>
        <v/>
      </c>
      <c r="AB265" s="334">
        <f>IF(ISNUMBER($M265),$M265,0)</f>
        <v/>
      </c>
      <c r="AC265" s="334">
        <f>IF(AND($X265&gt;0,ISNUMBER($J265)),$J265/$X265,"")</f>
        <v/>
      </c>
      <c r="AD265" s="413">
        <f>IF($R265="",0,IF($AA265&gt;0,$AB265*SUMIF(⑳商品別1食労務費!$C$5:$C$124,$R265,⑳商品別1食労務費!$F$5:$F$124)/$AA265,$AB265/$X265))</f>
        <v/>
      </c>
      <c r="AE265" s="413">
        <f>IF($S265="",0,IF($AA265&gt;0,$AB265*SUMIF(⑳商品別1食労務費!$C$5:$C$124,$S265,⑳商品別1食労務費!$F$5:$F$124)/$AA265,$AB265/$X265))</f>
        <v/>
      </c>
      <c r="AF265" s="413">
        <f>IF($T265="",0,IF($AA265&gt;0,$AB265*SUMIF(⑳商品別1食労務費!$C$5:$C$124,$T265,⑳商品別1食労務費!$F$5:$F$124)/$AA265,$AB265/$X265))</f>
        <v/>
      </c>
      <c r="AG265" s="413">
        <f>IF($U265="",0,IF($AA265&gt;0,$AB265*SUMIF(⑳商品別1食労務費!$C$5:$C$124,$U265,⑳商品別1食労務費!$F$5:$F$124)/$AA265,$AB265/$X265))</f>
        <v/>
      </c>
      <c r="AH265" s="413">
        <f>IF($V265="",0,IF($AA265&gt;0,$AB265*SUMIF(⑳商品別1食労務費!$C$5:$C$124,$V265,⑳商品別1食労務費!$F$5:$F$124)/$AA265,$AB265/$X265))</f>
        <v/>
      </c>
      <c r="AI265" s="413">
        <f>IF($W265="",0,IF($AA265&gt;0,$AB265*SUMIF(⑳商品別1食労務費!$C$5:$C$124,$W265,⑳商品別1食労務費!$F$5:$F$124)/$AA265,$AB265/$X265))</f>
        <v/>
      </c>
    </row>
    <row r="266">
      <c r="A266" s="188" t="n">
        <v>262</v>
      </c>
      <c r="B266" s="189" t="n"/>
      <c r="C266" s="229" t="n"/>
      <c r="D266" s="190" t="n"/>
      <c r="E266" s="190" t="n"/>
      <c r="F266" s="541">
        <f>IF(OR(D266="",E266=""),"",(E266-D266)*1440)</f>
        <v/>
      </c>
      <c r="G266" s="542" t="n"/>
      <c r="H266" s="542" t="n"/>
      <c r="I266" s="543" t="n"/>
      <c r="J266" s="192" t="n"/>
      <c r="K266" s="544">
        <f>IF(AND(ISNUMBER(F266),I266&gt;0),I266/(F266/60),"")</f>
        <v/>
      </c>
      <c r="L266" s="545" t="n"/>
      <c r="M266" s="194">
        <f>IF(OR(ISNUMBER(SEARCH("サニテーション",C266)),ISNUMBER(SEARCH("客注",C266)),ISNUMBER(SEARCH("切り替え",C266)),ISNUMBER(SEARCH("切替",C266)),NOT(ISNUMBER(H266))),"",IF(ISNUMBER(G266),G266/60*H266*④前提設定!$B$4,IF(AND(G266="",ISNUMBER(F266)),F266/60*H266*④前提設定!$B$4,"")))</f>
        <v/>
      </c>
      <c r="N266" s="546">
        <f>IF(AND(I266&gt;0,ISNUMBER(M266)),M266/I266,"")</f>
        <v/>
      </c>
      <c r="O266" s="547">
        <f>IF(AND(J266&gt;0,ISNUMBER(M266)),M266/J266,"")</f>
        <v/>
      </c>
      <c r="P266" s="195" t="n"/>
      <c r="Q266" s="196" t="n"/>
      <c r="X266" s="334">
        <f>COUNTA(R266:W266)</f>
        <v/>
      </c>
      <c r="Y266" s="334">
        <f>IF(AND($X266&gt;0,ISNUMBER($M266)),$M266/$X266,"")</f>
        <v/>
      </c>
      <c r="Z266" s="334">
        <f>IF($X266=0,"",IF(COUNTIF(⑳商品別1食労務費!$C$5:$C$124,$R266)+COUNTIF(⑳商品別1食労務費!$C$5:$C$124,$S266)+COUNTIF(⑳商品別1食労務費!$C$5:$C$124,$T266)+COUNTIF(⑳商品別1食労務費!$C$5:$C$124,$U266)+COUNTIF(⑳商品別1食労務費!$C$5:$C$124,$V266)+COUNTIF(⑳商品別1食労務費!$C$5:$C$124,$W266)=$X266,"OK","⑳に無い商品名"))</f>
        <v/>
      </c>
      <c r="AA266" s="334">
        <f>SUMIF(⑳商品別1食労務費!$C$5:$C$124,$R266,⑳商品別1食労務費!$F$5:$F$124)+SUMIF(⑳商品別1食労務費!$C$5:$C$124,$S266,⑳商品別1食労務費!$F$5:$F$124)+SUMIF(⑳商品別1食労務費!$C$5:$C$124,$T266,⑳商品別1食労務費!$F$5:$F$124)+SUMIF(⑳商品別1食労務費!$C$5:$C$124,$U266,⑳商品別1食労務費!$F$5:$F$124)+SUMIF(⑳商品別1食労務費!$C$5:$C$124,$V266,⑳商品別1食労務費!$F$5:$F$124)+SUMIF(⑳商品別1食労務費!$C$5:$C$124,$W266,⑳商品別1食労務費!$F$5:$F$124)</f>
        <v/>
      </c>
      <c r="AB266" s="334">
        <f>IF(ISNUMBER($M266),$M266,0)</f>
        <v/>
      </c>
      <c r="AC266" s="334">
        <f>IF(AND($X266&gt;0,ISNUMBER($J266)),$J266/$X266,"")</f>
        <v/>
      </c>
      <c r="AD266" s="413">
        <f>IF($R266="",0,IF($AA266&gt;0,$AB266*SUMIF(⑳商品別1食労務費!$C$5:$C$124,$R266,⑳商品別1食労務費!$F$5:$F$124)/$AA266,$AB266/$X266))</f>
        <v/>
      </c>
      <c r="AE266" s="413">
        <f>IF($S266="",0,IF($AA266&gt;0,$AB266*SUMIF(⑳商品別1食労務費!$C$5:$C$124,$S266,⑳商品別1食労務費!$F$5:$F$124)/$AA266,$AB266/$X266))</f>
        <v/>
      </c>
      <c r="AF266" s="413">
        <f>IF($T266="",0,IF($AA266&gt;0,$AB266*SUMIF(⑳商品別1食労務費!$C$5:$C$124,$T266,⑳商品別1食労務費!$F$5:$F$124)/$AA266,$AB266/$X266))</f>
        <v/>
      </c>
      <c r="AG266" s="413">
        <f>IF($U266="",0,IF($AA266&gt;0,$AB266*SUMIF(⑳商品別1食労務費!$C$5:$C$124,$U266,⑳商品別1食労務費!$F$5:$F$124)/$AA266,$AB266/$X266))</f>
        <v/>
      </c>
      <c r="AH266" s="413">
        <f>IF($V266="",0,IF($AA266&gt;0,$AB266*SUMIF(⑳商品別1食労務費!$C$5:$C$124,$V266,⑳商品別1食労務費!$F$5:$F$124)/$AA266,$AB266/$X266))</f>
        <v/>
      </c>
      <c r="AI266" s="413">
        <f>IF($W266="",0,IF($AA266&gt;0,$AB266*SUMIF(⑳商品別1食労務費!$C$5:$C$124,$W266,⑳商品別1食労務費!$F$5:$F$124)/$AA266,$AB266/$X266))</f>
        <v/>
      </c>
    </row>
    <row r="267">
      <c r="A267" s="197" t="n">
        <v>263</v>
      </c>
      <c r="B267" s="198" t="n"/>
      <c r="C267" s="229" t="n"/>
      <c r="D267" s="190" t="n"/>
      <c r="E267" s="190" t="n"/>
      <c r="F267" s="541">
        <f>IF(OR(D267="",E267=""),"",(E267-D267)*1440)</f>
        <v/>
      </c>
      <c r="G267" s="542" t="n"/>
      <c r="H267" s="542" t="n"/>
      <c r="I267" s="543" t="n"/>
      <c r="J267" s="192" t="n"/>
      <c r="K267" s="544">
        <f>IF(AND(ISNUMBER(F267),I267&gt;0),I267/(F267/60),"")</f>
        <v/>
      </c>
      <c r="L267" s="545" t="n"/>
      <c r="M267" s="194">
        <f>IF(OR(ISNUMBER(SEARCH("サニテーション",C267)),ISNUMBER(SEARCH("客注",C267)),ISNUMBER(SEARCH("切り替え",C267)),ISNUMBER(SEARCH("切替",C267)),NOT(ISNUMBER(H267))),"",IF(ISNUMBER(G267),G267/60*H267*④前提設定!$B$4,IF(AND(G267="",ISNUMBER(F267)),F267/60*H267*④前提設定!$B$4,"")))</f>
        <v/>
      </c>
      <c r="N267" s="546">
        <f>IF(AND(I267&gt;0,ISNUMBER(M267)),M267/I267,"")</f>
        <v/>
      </c>
      <c r="O267" s="547">
        <f>IF(AND(J267&gt;0,ISNUMBER(M267)),M267/J267,"")</f>
        <v/>
      </c>
      <c r="P267" s="199" t="n"/>
      <c r="Q267" s="200" t="n"/>
      <c r="X267" s="334">
        <f>COUNTA(R267:W267)</f>
        <v/>
      </c>
      <c r="Y267" s="334">
        <f>IF(AND($X267&gt;0,ISNUMBER($M267)),$M267/$X267,"")</f>
        <v/>
      </c>
      <c r="Z267" s="334">
        <f>IF($X267=0,"",IF(COUNTIF(⑳商品別1食労務費!$C$5:$C$124,$R267)+COUNTIF(⑳商品別1食労務費!$C$5:$C$124,$S267)+COUNTIF(⑳商品別1食労務費!$C$5:$C$124,$T267)+COUNTIF(⑳商品別1食労務費!$C$5:$C$124,$U267)+COUNTIF(⑳商品別1食労務費!$C$5:$C$124,$V267)+COUNTIF(⑳商品別1食労務費!$C$5:$C$124,$W267)=$X267,"OK","⑳に無い商品名"))</f>
        <v/>
      </c>
      <c r="AA267" s="334">
        <f>SUMIF(⑳商品別1食労務費!$C$5:$C$124,$R267,⑳商品別1食労務費!$F$5:$F$124)+SUMIF(⑳商品別1食労務費!$C$5:$C$124,$S267,⑳商品別1食労務費!$F$5:$F$124)+SUMIF(⑳商品別1食労務費!$C$5:$C$124,$T267,⑳商品別1食労務費!$F$5:$F$124)+SUMIF(⑳商品別1食労務費!$C$5:$C$124,$U267,⑳商品別1食労務費!$F$5:$F$124)+SUMIF(⑳商品別1食労務費!$C$5:$C$124,$V267,⑳商品別1食労務費!$F$5:$F$124)+SUMIF(⑳商品別1食労務費!$C$5:$C$124,$W267,⑳商品別1食労務費!$F$5:$F$124)</f>
        <v/>
      </c>
      <c r="AB267" s="334">
        <f>IF(ISNUMBER($M267),$M267,0)</f>
        <v/>
      </c>
      <c r="AC267" s="334">
        <f>IF(AND($X267&gt;0,ISNUMBER($J267)),$J267/$X267,"")</f>
        <v/>
      </c>
      <c r="AD267" s="413">
        <f>IF($R267="",0,IF($AA267&gt;0,$AB267*SUMIF(⑳商品別1食労務費!$C$5:$C$124,$R267,⑳商品別1食労務費!$F$5:$F$124)/$AA267,$AB267/$X267))</f>
        <v/>
      </c>
      <c r="AE267" s="413">
        <f>IF($S267="",0,IF($AA267&gt;0,$AB267*SUMIF(⑳商品別1食労務費!$C$5:$C$124,$S267,⑳商品別1食労務費!$F$5:$F$124)/$AA267,$AB267/$X267))</f>
        <v/>
      </c>
      <c r="AF267" s="413">
        <f>IF($T267="",0,IF($AA267&gt;0,$AB267*SUMIF(⑳商品別1食労務費!$C$5:$C$124,$T267,⑳商品別1食労務費!$F$5:$F$124)/$AA267,$AB267/$X267))</f>
        <v/>
      </c>
      <c r="AG267" s="413">
        <f>IF($U267="",0,IF($AA267&gt;0,$AB267*SUMIF(⑳商品別1食労務費!$C$5:$C$124,$U267,⑳商品別1食労務費!$F$5:$F$124)/$AA267,$AB267/$X267))</f>
        <v/>
      </c>
      <c r="AH267" s="413">
        <f>IF($V267="",0,IF($AA267&gt;0,$AB267*SUMIF(⑳商品別1食労務費!$C$5:$C$124,$V267,⑳商品別1食労務費!$F$5:$F$124)/$AA267,$AB267/$X267))</f>
        <v/>
      </c>
      <c r="AI267" s="413">
        <f>IF($W267="",0,IF($AA267&gt;0,$AB267*SUMIF(⑳商品別1食労務費!$C$5:$C$124,$W267,⑳商品別1食労務費!$F$5:$F$124)/$AA267,$AB267/$X267))</f>
        <v/>
      </c>
    </row>
    <row r="268">
      <c r="A268" s="188" t="n">
        <v>264</v>
      </c>
      <c r="B268" s="189" t="n"/>
      <c r="C268" s="229" t="n"/>
      <c r="D268" s="190" t="n"/>
      <c r="E268" s="190" t="n"/>
      <c r="F268" s="541">
        <f>IF(OR(D268="",E268=""),"",(E268-D268)*1440)</f>
        <v/>
      </c>
      <c r="G268" s="542" t="n"/>
      <c r="H268" s="542" t="n"/>
      <c r="I268" s="543" t="n"/>
      <c r="J268" s="192" t="n"/>
      <c r="K268" s="544">
        <f>IF(AND(ISNUMBER(F268),I268&gt;0),I268/(F268/60),"")</f>
        <v/>
      </c>
      <c r="L268" s="545" t="n"/>
      <c r="M268" s="194">
        <f>IF(OR(ISNUMBER(SEARCH("サニテーション",C268)),ISNUMBER(SEARCH("客注",C268)),ISNUMBER(SEARCH("切り替え",C268)),ISNUMBER(SEARCH("切替",C268)),NOT(ISNUMBER(H268))),"",IF(ISNUMBER(G268),G268/60*H268*④前提設定!$B$4,IF(AND(G268="",ISNUMBER(F268)),F268/60*H268*④前提設定!$B$4,"")))</f>
        <v/>
      </c>
      <c r="N268" s="546">
        <f>IF(AND(I268&gt;0,ISNUMBER(M268)),M268/I268,"")</f>
        <v/>
      </c>
      <c r="O268" s="547">
        <f>IF(AND(J268&gt;0,ISNUMBER(M268)),M268/J268,"")</f>
        <v/>
      </c>
      <c r="P268" s="195" t="n"/>
      <c r="Q268" s="196" t="n"/>
      <c r="X268" s="334">
        <f>COUNTA(R268:W268)</f>
        <v/>
      </c>
      <c r="Y268" s="334">
        <f>IF(AND($X268&gt;0,ISNUMBER($M268)),$M268/$X268,"")</f>
        <v/>
      </c>
      <c r="Z268" s="334">
        <f>IF($X268=0,"",IF(COUNTIF(⑳商品別1食労務費!$C$5:$C$124,$R268)+COUNTIF(⑳商品別1食労務費!$C$5:$C$124,$S268)+COUNTIF(⑳商品別1食労務費!$C$5:$C$124,$T268)+COUNTIF(⑳商品別1食労務費!$C$5:$C$124,$U268)+COUNTIF(⑳商品別1食労務費!$C$5:$C$124,$V268)+COUNTIF(⑳商品別1食労務費!$C$5:$C$124,$W268)=$X268,"OK","⑳に無い商品名"))</f>
        <v/>
      </c>
      <c r="AA268" s="334">
        <f>SUMIF(⑳商品別1食労務費!$C$5:$C$124,$R268,⑳商品別1食労務費!$F$5:$F$124)+SUMIF(⑳商品別1食労務費!$C$5:$C$124,$S268,⑳商品別1食労務費!$F$5:$F$124)+SUMIF(⑳商品別1食労務費!$C$5:$C$124,$T268,⑳商品別1食労務費!$F$5:$F$124)+SUMIF(⑳商品別1食労務費!$C$5:$C$124,$U268,⑳商品別1食労務費!$F$5:$F$124)+SUMIF(⑳商品別1食労務費!$C$5:$C$124,$V268,⑳商品別1食労務費!$F$5:$F$124)+SUMIF(⑳商品別1食労務費!$C$5:$C$124,$W268,⑳商品別1食労務費!$F$5:$F$124)</f>
        <v/>
      </c>
      <c r="AB268" s="334">
        <f>IF(ISNUMBER($M268),$M268,0)</f>
        <v/>
      </c>
      <c r="AC268" s="334">
        <f>IF(AND($X268&gt;0,ISNUMBER($J268)),$J268/$X268,"")</f>
        <v/>
      </c>
      <c r="AD268" s="413">
        <f>IF($R268="",0,IF($AA268&gt;0,$AB268*SUMIF(⑳商品別1食労務費!$C$5:$C$124,$R268,⑳商品別1食労務費!$F$5:$F$124)/$AA268,$AB268/$X268))</f>
        <v/>
      </c>
      <c r="AE268" s="413">
        <f>IF($S268="",0,IF($AA268&gt;0,$AB268*SUMIF(⑳商品別1食労務費!$C$5:$C$124,$S268,⑳商品別1食労務費!$F$5:$F$124)/$AA268,$AB268/$X268))</f>
        <v/>
      </c>
      <c r="AF268" s="413">
        <f>IF($T268="",0,IF($AA268&gt;0,$AB268*SUMIF(⑳商品別1食労務費!$C$5:$C$124,$T268,⑳商品別1食労務費!$F$5:$F$124)/$AA268,$AB268/$X268))</f>
        <v/>
      </c>
      <c r="AG268" s="413">
        <f>IF($U268="",0,IF($AA268&gt;0,$AB268*SUMIF(⑳商品別1食労務費!$C$5:$C$124,$U268,⑳商品別1食労務費!$F$5:$F$124)/$AA268,$AB268/$X268))</f>
        <v/>
      </c>
      <c r="AH268" s="413">
        <f>IF($V268="",0,IF($AA268&gt;0,$AB268*SUMIF(⑳商品別1食労務費!$C$5:$C$124,$V268,⑳商品別1食労務費!$F$5:$F$124)/$AA268,$AB268/$X268))</f>
        <v/>
      </c>
      <c r="AI268" s="413">
        <f>IF($W268="",0,IF($AA268&gt;0,$AB268*SUMIF(⑳商品別1食労務費!$C$5:$C$124,$W268,⑳商品別1食労務費!$F$5:$F$124)/$AA268,$AB268/$X268))</f>
        <v/>
      </c>
    </row>
    <row r="269">
      <c r="A269" s="197" t="n">
        <v>265</v>
      </c>
      <c r="B269" s="198" t="n"/>
      <c r="C269" s="229" t="n"/>
      <c r="D269" s="190" t="n"/>
      <c r="E269" s="190" t="n"/>
      <c r="F269" s="541">
        <f>IF(OR(D269="",E269=""),"",(E269-D269)*1440)</f>
        <v/>
      </c>
      <c r="G269" s="542" t="n"/>
      <c r="H269" s="542" t="n"/>
      <c r="I269" s="543" t="n"/>
      <c r="J269" s="192" t="n"/>
      <c r="K269" s="544">
        <f>IF(AND(ISNUMBER(F269),I269&gt;0),I269/(F269/60),"")</f>
        <v/>
      </c>
      <c r="L269" s="545" t="n"/>
      <c r="M269" s="194">
        <f>IF(OR(ISNUMBER(SEARCH("サニテーション",C269)),ISNUMBER(SEARCH("客注",C269)),ISNUMBER(SEARCH("切り替え",C269)),ISNUMBER(SEARCH("切替",C269)),NOT(ISNUMBER(H269))),"",IF(ISNUMBER(G269),G269/60*H269*④前提設定!$B$4,IF(AND(G269="",ISNUMBER(F269)),F269/60*H269*④前提設定!$B$4,"")))</f>
        <v/>
      </c>
      <c r="N269" s="546">
        <f>IF(AND(I269&gt;0,ISNUMBER(M269)),M269/I269,"")</f>
        <v/>
      </c>
      <c r="O269" s="547">
        <f>IF(AND(J269&gt;0,ISNUMBER(M269)),M269/J269,"")</f>
        <v/>
      </c>
      <c r="P269" s="199" t="n"/>
      <c r="Q269" s="200" t="n"/>
      <c r="X269" s="334">
        <f>COUNTA(R269:W269)</f>
        <v/>
      </c>
      <c r="Y269" s="334">
        <f>IF(AND($X269&gt;0,ISNUMBER($M269)),$M269/$X269,"")</f>
        <v/>
      </c>
      <c r="Z269" s="334">
        <f>IF($X269=0,"",IF(COUNTIF(⑳商品別1食労務費!$C$5:$C$124,$R269)+COUNTIF(⑳商品別1食労務費!$C$5:$C$124,$S269)+COUNTIF(⑳商品別1食労務費!$C$5:$C$124,$T269)+COUNTIF(⑳商品別1食労務費!$C$5:$C$124,$U269)+COUNTIF(⑳商品別1食労務費!$C$5:$C$124,$V269)+COUNTIF(⑳商品別1食労務費!$C$5:$C$124,$W269)=$X269,"OK","⑳に無い商品名"))</f>
        <v/>
      </c>
      <c r="AA269" s="334">
        <f>SUMIF(⑳商品別1食労務費!$C$5:$C$124,$R269,⑳商品別1食労務費!$F$5:$F$124)+SUMIF(⑳商品別1食労務費!$C$5:$C$124,$S269,⑳商品別1食労務費!$F$5:$F$124)+SUMIF(⑳商品別1食労務費!$C$5:$C$124,$T269,⑳商品別1食労務費!$F$5:$F$124)+SUMIF(⑳商品別1食労務費!$C$5:$C$124,$U269,⑳商品別1食労務費!$F$5:$F$124)+SUMIF(⑳商品別1食労務費!$C$5:$C$124,$V269,⑳商品別1食労務費!$F$5:$F$124)+SUMIF(⑳商品別1食労務費!$C$5:$C$124,$W269,⑳商品別1食労務費!$F$5:$F$124)</f>
        <v/>
      </c>
      <c r="AB269" s="334">
        <f>IF(ISNUMBER($M269),$M269,0)</f>
        <v/>
      </c>
      <c r="AC269" s="334">
        <f>IF(AND($X269&gt;0,ISNUMBER($J269)),$J269/$X269,"")</f>
        <v/>
      </c>
      <c r="AD269" s="413">
        <f>IF($R269="",0,IF($AA269&gt;0,$AB269*SUMIF(⑳商品別1食労務費!$C$5:$C$124,$R269,⑳商品別1食労務費!$F$5:$F$124)/$AA269,$AB269/$X269))</f>
        <v/>
      </c>
      <c r="AE269" s="413">
        <f>IF($S269="",0,IF($AA269&gt;0,$AB269*SUMIF(⑳商品別1食労務費!$C$5:$C$124,$S269,⑳商品別1食労務費!$F$5:$F$124)/$AA269,$AB269/$X269))</f>
        <v/>
      </c>
      <c r="AF269" s="413">
        <f>IF($T269="",0,IF($AA269&gt;0,$AB269*SUMIF(⑳商品別1食労務費!$C$5:$C$124,$T269,⑳商品別1食労務費!$F$5:$F$124)/$AA269,$AB269/$X269))</f>
        <v/>
      </c>
      <c r="AG269" s="413">
        <f>IF($U269="",0,IF($AA269&gt;0,$AB269*SUMIF(⑳商品別1食労務費!$C$5:$C$124,$U269,⑳商品別1食労務費!$F$5:$F$124)/$AA269,$AB269/$X269))</f>
        <v/>
      </c>
      <c r="AH269" s="413">
        <f>IF($V269="",0,IF($AA269&gt;0,$AB269*SUMIF(⑳商品別1食労務費!$C$5:$C$124,$V269,⑳商品別1食労務費!$F$5:$F$124)/$AA269,$AB269/$X269))</f>
        <v/>
      </c>
      <c r="AI269" s="413">
        <f>IF($W269="",0,IF($AA269&gt;0,$AB269*SUMIF(⑳商品別1食労務費!$C$5:$C$124,$W269,⑳商品別1食労務費!$F$5:$F$124)/$AA269,$AB269/$X269))</f>
        <v/>
      </c>
    </row>
    <row r="270">
      <c r="A270" s="188" t="n">
        <v>266</v>
      </c>
      <c r="B270" s="189" t="n"/>
      <c r="C270" s="229" t="n"/>
      <c r="D270" s="190" t="n"/>
      <c r="E270" s="190" t="n"/>
      <c r="F270" s="541">
        <f>IF(OR(D270="",E270=""),"",(E270-D270)*1440)</f>
        <v/>
      </c>
      <c r="G270" s="542" t="n"/>
      <c r="H270" s="542" t="n"/>
      <c r="I270" s="543" t="n"/>
      <c r="J270" s="192" t="n"/>
      <c r="K270" s="544">
        <f>IF(AND(ISNUMBER(F270),I270&gt;0),I270/(F270/60),"")</f>
        <v/>
      </c>
      <c r="L270" s="545" t="n"/>
      <c r="M270" s="194">
        <f>IF(OR(ISNUMBER(SEARCH("サニテーション",C270)),ISNUMBER(SEARCH("客注",C270)),ISNUMBER(SEARCH("切り替え",C270)),ISNUMBER(SEARCH("切替",C270)),NOT(ISNUMBER(H270))),"",IF(ISNUMBER(G270),G270/60*H270*④前提設定!$B$4,IF(AND(G270="",ISNUMBER(F270)),F270/60*H270*④前提設定!$B$4,"")))</f>
        <v/>
      </c>
      <c r="N270" s="546">
        <f>IF(AND(I270&gt;0,ISNUMBER(M270)),M270/I270,"")</f>
        <v/>
      </c>
      <c r="O270" s="547">
        <f>IF(AND(J270&gt;0,ISNUMBER(M270)),M270/J270,"")</f>
        <v/>
      </c>
      <c r="P270" s="195" t="n"/>
      <c r="Q270" s="196" t="n"/>
      <c r="X270" s="334">
        <f>COUNTA(R270:W270)</f>
        <v/>
      </c>
      <c r="Y270" s="334">
        <f>IF(AND($X270&gt;0,ISNUMBER($M270)),$M270/$X270,"")</f>
        <v/>
      </c>
      <c r="Z270" s="334">
        <f>IF($X270=0,"",IF(COUNTIF(⑳商品別1食労務費!$C$5:$C$124,$R270)+COUNTIF(⑳商品別1食労務費!$C$5:$C$124,$S270)+COUNTIF(⑳商品別1食労務費!$C$5:$C$124,$T270)+COUNTIF(⑳商品別1食労務費!$C$5:$C$124,$U270)+COUNTIF(⑳商品別1食労務費!$C$5:$C$124,$V270)+COUNTIF(⑳商品別1食労務費!$C$5:$C$124,$W270)=$X270,"OK","⑳に無い商品名"))</f>
        <v/>
      </c>
      <c r="AA270" s="334">
        <f>SUMIF(⑳商品別1食労務費!$C$5:$C$124,$R270,⑳商品別1食労務費!$F$5:$F$124)+SUMIF(⑳商品別1食労務費!$C$5:$C$124,$S270,⑳商品別1食労務費!$F$5:$F$124)+SUMIF(⑳商品別1食労務費!$C$5:$C$124,$T270,⑳商品別1食労務費!$F$5:$F$124)+SUMIF(⑳商品別1食労務費!$C$5:$C$124,$U270,⑳商品別1食労務費!$F$5:$F$124)+SUMIF(⑳商品別1食労務費!$C$5:$C$124,$V270,⑳商品別1食労務費!$F$5:$F$124)+SUMIF(⑳商品別1食労務費!$C$5:$C$124,$W270,⑳商品別1食労務費!$F$5:$F$124)</f>
        <v/>
      </c>
      <c r="AB270" s="334">
        <f>IF(ISNUMBER($M270),$M270,0)</f>
        <v/>
      </c>
      <c r="AC270" s="334">
        <f>IF(AND($X270&gt;0,ISNUMBER($J270)),$J270/$X270,"")</f>
        <v/>
      </c>
      <c r="AD270" s="413">
        <f>IF($R270="",0,IF($AA270&gt;0,$AB270*SUMIF(⑳商品別1食労務費!$C$5:$C$124,$R270,⑳商品別1食労務費!$F$5:$F$124)/$AA270,$AB270/$X270))</f>
        <v/>
      </c>
      <c r="AE270" s="413">
        <f>IF($S270="",0,IF($AA270&gt;0,$AB270*SUMIF(⑳商品別1食労務費!$C$5:$C$124,$S270,⑳商品別1食労務費!$F$5:$F$124)/$AA270,$AB270/$X270))</f>
        <v/>
      </c>
      <c r="AF270" s="413">
        <f>IF($T270="",0,IF($AA270&gt;0,$AB270*SUMIF(⑳商品別1食労務費!$C$5:$C$124,$T270,⑳商品別1食労務費!$F$5:$F$124)/$AA270,$AB270/$X270))</f>
        <v/>
      </c>
      <c r="AG270" s="413">
        <f>IF($U270="",0,IF($AA270&gt;0,$AB270*SUMIF(⑳商品別1食労務費!$C$5:$C$124,$U270,⑳商品別1食労務費!$F$5:$F$124)/$AA270,$AB270/$X270))</f>
        <v/>
      </c>
      <c r="AH270" s="413">
        <f>IF($V270="",0,IF($AA270&gt;0,$AB270*SUMIF(⑳商品別1食労務費!$C$5:$C$124,$V270,⑳商品別1食労務費!$F$5:$F$124)/$AA270,$AB270/$X270))</f>
        <v/>
      </c>
      <c r="AI270" s="413">
        <f>IF($W270="",0,IF($AA270&gt;0,$AB270*SUMIF(⑳商品別1食労務費!$C$5:$C$124,$W270,⑳商品別1食労務費!$F$5:$F$124)/$AA270,$AB270/$X270))</f>
        <v/>
      </c>
    </row>
    <row r="271">
      <c r="A271" s="197" t="n">
        <v>267</v>
      </c>
      <c r="B271" s="198" t="n"/>
      <c r="C271" s="229" t="n"/>
      <c r="D271" s="190" t="n"/>
      <c r="E271" s="190" t="n"/>
      <c r="F271" s="541">
        <f>IF(OR(D271="",E271=""),"",(E271-D271)*1440)</f>
        <v/>
      </c>
      <c r="G271" s="542" t="n"/>
      <c r="H271" s="542" t="n"/>
      <c r="I271" s="543" t="n"/>
      <c r="J271" s="192" t="n"/>
      <c r="K271" s="544">
        <f>IF(AND(ISNUMBER(F271),I271&gt;0),I271/(F271/60),"")</f>
        <v/>
      </c>
      <c r="L271" s="545" t="n"/>
      <c r="M271" s="194">
        <f>IF(OR(ISNUMBER(SEARCH("サニテーション",C271)),ISNUMBER(SEARCH("客注",C271)),ISNUMBER(SEARCH("切り替え",C271)),ISNUMBER(SEARCH("切替",C271)),NOT(ISNUMBER(H271))),"",IF(ISNUMBER(G271),G271/60*H271*④前提設定!$B$4,IF(AND(G271="",ISNUMBER(F271)),F271/60*H271*④前提設定!$B$4,"")))</f>
        <v/>
      </c>
      <c r="N271" s="546">
        <f>IF(AND(I271&gt;0,ISNUMBER(M271)),M271/I271,"")</f>
        <v/>
      </c>
      <c r="O271" s="547">
        <f>IF(AND(J271&gt;0,ISNUMBER(M271)),M271/J271,"")</f>
        <v/>
      </c>
      <c r="P271" s="199" t="n"/>
      <c r="Q271" s="200" t="n"/>
      <c r="X271" s="334">
        <f>COUNTA(R271:W271)</f>
        <v/>
      </c>
      <c r="Y271" s="334">
        <f>IF(AND($X271&gt;0,ISNUMBER($M271)),$M271/$X271,"")</f>
        <v/>
      </c>
      <c r="Z271" s="334">
        <f>IF($X271=0,"",IF(COUNTIF(⑳商品別1食労務費!$C$5:$C$124,$R271)+COUNTIF(⑳商品別1食労務費!$C$5:$C$124,$S271)+COUNTIF(⑳商品別1食労務費!$C$5:$C$124,$T271)+COUNTIF(⑳商品別1食労務費!$C$5:$C$124,$U271)+COUNTIF(⑳商品別1食労務費!$C$5:$C$124,$V271)+COUNTIF(⑳商品別1食労務費!$C$5:$C$124,$W271)=$X271,"OK","⑳に無い商品名"))</f>
        <v/>
      </c>
      <c r="AA271" s="334">
        <f>SUMIF(⑳商品別1食労務費!$C$5:$C$124,$R271,⑳商品別1食労務費!$F$5:$F$124)+SUMIF(⑳商品別1食労務費!$C$5:$C$124,$S271,⑳商品別1食労務費!$F$5:$F$124)+SUMIF(⑳商品別1食労務費!$C$5:$C$124,$T271,⑳商品別1食労務費!$F$5:$F$124)+SUMIF(⑳商品別1食労務費!$C$5:$C$124,$U271,⑳商品別1食労務費!$F$5:$F$124)+SUMIF(⑳商品別1食労務費!$C$5:$C$124,$V271,⑳商品別1食労務費!$F$5:$F$124)+SUMIF(⑳商品別1食労務費!$C$5:$C$124,$W271,⑳商品別1食労務費!$F$5:$F$124)</f>
        <v/>
      </c>
      <c r="AB271" s="334">
        <f>IF(ISNUMBER($M271),$M271,0)</f>
        <v/>
      </c>
      <c r="AC271" s="334">
        <f>IF(AND($X271&gt;0,ISNUMBER($J271)),$J271/$X271,"")</f>
        <v/>
      </c>
      <c r="AD271" s="413">
        <f>IF($R271="",0,IF($AA271&gt;0,$AB271*SUMIF(⑳商品別1食労務費!$C$5:$C$124,$R271,⑳商品別1食労務費!$F$5:$F$124)/$AA271,$AB271/$X271))</f>
        <v/>
      </c>
      <c r="AE271" s="413">
        <f>IF($S271="",0,IF($AA271&gt;0,$AB271*SUMIF(⑳商品別1食労務費!$C$5:$C$124,$S271,⑳商品別1食労務費!$F$5:$F$124)/$AA271,$AB271/$X271))</f>
        <v/>
      </c>
      <c r="AF271" s="413">
        <f>IF($T271="",0,IF($AA271&gt;0,$AB271*SUMIF(⑳商品別1食労務費!$C$5:$C$124,$T271,⑳商品別1食労務費!$F$5:$F$124)/$AA271,$AB271/$X271))</f>
        <v/>
      </c>
      <c r="AG271" s="413">
        <f>IF($U271="",0,IF($AA271&gt;0,$AB271*SUMIF(⑳商品別1食労務費!$C$5:$C$124,$U271,⑳商品別1食労務費!$F$5:$F$124)/$AA271,$AB271/$X271))</f>
        <v/>
      </c>
      <c r="AH271" s="413">
        <f>IF($V271="",0,IF($AA271&gt;0,$AB271*SUMIF(⑳商品別1食労務費!$C$5:$C$124,$V271,⑳商品別1食労務費!$F$5:$F$124)/$AA271,$AB271/$X271))</f>
        <v/>
      </c>
      <c r="AI271" s="413">
        <f>IF($W271="",0,IF($AA271&gt;0,$AB271*SUMIF(⑳商品別1食労務費!$C$5:$C$124,$W271,⑳商品別1食労務費!$F$5:$F$124)/$AA271,$AB271/$X271))</f>
        <v/>
      </c>
    </row>
    <row r="272">
      <c r="A272" s="188" t="n">
        <v>268</v>
      </c>
      <c r="B272" s="189" t="n"/>
      <c r="C272" s="229" t="n"/>
      <c r="D272" s="190" t="n"/>
      <c r="E272" s="190" t="n"/>
      <c r="F272" s="541">
        <f>IF(OR(D272="",E272=""),"",(E272-D272)*1440)</f>
        <v/>
      </c>
      <c r="G272" s="542" t="n"/>
      <c r="H272" s="542" t="n"/>
      <c r="I272" s="543" t="n"/>
      <c r="J272" s="192" t="n"/>
      <c r="K272" s="544">
        <f>IF(AND(ISNUMBER(F272),I272&gt;0),I272/(F272/60),"")</f>
        <v/>
      </c>
      <c r="L272" s="545" t="n"/>
      <c r="M272" s="194">
        <f>IF(OR(ISNUMBER(SEARCH("サニテーション",C272)),ISNUMBER(SEARCH("客注",C272)),ISNUMBER(SEARCH("切り替え",C272)),ISNUMBER(SEARCH("切替",C272)),NOT(ISNUMBER(H272))),"",IF(ISNUMBER(G272),G272/60*H272*④前提設定!$B$4,IF(AND(G272="",ISNUMBER(F272)),F272/60*H272*④前提設定!$B$4,"")))</f>
        <v/>
      </c>
      <c r="N272" s="546">
        <f>IF(AND(I272&gt;0,ISNUMBER(M272)),M272/I272,"")</f>
        <v/>
      </c>
      <c r="O272" s="547">
        <f>IF(AND(J272&gt;0,ISNUMBER(M272)),M272/J272,"")</f>
        <v/>
      </c>
      <c r="P272" s="195" t="n"/>
      <c r="Q272" s="196" t="n"/>
      <c r="X272" s="334">
        <f>COUNTA(R272:W272)</f>
        <v/>
      </c>
      <c r="Y272" s="334">
        <f>IF(AND($X272&gt;0,ISNUMBER($M272)),$M272/$X272,"")</f>
        <v/>
      </c>
      <c r="Z272" s="334">
        <f>IF($X272=0,"",IF(COUNTIF(⑳商品別1食労務費!$C$5:$C$124,$R272)+COUNTIF(⑳商品別1食労務費!$C$5:$C$124,$S272)+COUNTIF(⑳商品別1食労務費!$C$5:$C$124,$T272)+COUNTIF(⑳商品別1食労務費!$C$5:$C$124,$U272)+COUNTIF(⑳商品別1食労務費!$C$5:$C$124,$V272)+COUNTIF(⑳商品別1食労務費!$C$5:$C$124,$W272)=$X272,"OK","⑳に無い商品名"))</f>
        <v/>
      </c>
      <c r="AA272" s="334">
        <f>SUMIF(⑳商品別1食労務費!$C$5:$C$124,$R272,⑳商品別1食労務費!$F$5:$F$124)+SUMIF(⑳商品別1食労務費!$C$5:$C$124,$S272,⑳商品別1食労務費!$F$5:$F$124)+SUMIF(⑳商品別1食労務費!$C$5:$C$124,$T272,⑳商品別1食労務費!$F$5:$F$124)+SUMIF(⑳商品別1食労務費!$C$5:$C$124,$U272,⑳商品別1食労務費!$F$5:$F$124)+SUMIF(⑳商品別1食労務費!$C$5:$C$124,$V272,⑳商品別1食労務費!$F$5:$F$124)+SUMIF(⑳商品別1食労務費!$C$5:$C$124,$W272,⑳商品別1食労務費!$F$5:$F$124)</f>
        <v/>
      </c>
      <c r="AB272" s="334">
        <f>IF(ISNUMBER($M272),$M272,0)</f>
        <v/>
      </c>
      <c r="AC272" s="334">
        <f>IF(AND($X272&gt;0,ISNUMBER($J272)),$J272/$X272,"")</f>
        <v/>
      </c>
      <c r="AD272" s="413">
        <f>IF($R272="",0,IF($AA272&gt;0,$AB272*SUMIF(⑳商品別1食労務費!$C$5:$C$124,$R272,⑳商品別1食労務費!$F$5:$F$124)/$AA272,$AB272/$X272))</f>
        <v/>
      </c>
      <c r="AE272" s="413">
        <f>IF($S272="",0,IF($AA272&gt;0,$AB272*SUMIF(⑳商品別1食労務費!$C$5:$C$124,$S272,⑳商品別1食労務費!$F$5:$F$124)/$AA272,$AB272/$X272))</f>
        <v/>
      </c>
      <c r="AF272" s="413">
        <f>IF($T272="",0,IF($AA272&gt;0,$AB272*SUMIF(⑳商品別1食労務費!$C$5:$C$124,$T272,⑳商品別1食労務費!$F$5:$F$124)/$AA272,$AB272/$X272))</f>
        <v/>
      </c>
      <c r="AG272" s="413">
        <f>IF($U272="",0,IF($AA272&gt;0,$AB272*SUMIF(⑳商品別1食労務費!$C$5:$C$124,$U272,⑳商品別1食労務費!$F$5:$F$124)/$AA272,$AB272/$X272))</f>
        <v/>
      </c>
      <c r="AH272" s="413">
        <f>IF($V272="",0,IF($AA272&gt;0,$AB272*SUMIF(⑳商品別1食労務費!$C$5:$C$124,$V272,⑳商品別1食労務費!$F$5:$F$124)/$AA272,$AB272/$X272))</f>
        <v/>
      </c>
      <c r="AI272" s="413">
        <f>IF($W272="",0,IF($AA272&gt;0,$AB272*SUMIF(⑳商品別1食労務費!$C$5:$C$124,$W272,⑳商品別1食労務費!$F$5:$F$124)/$AA272,$AB272/$X272))</f>
        <v/>
      </c>
    </row>
    <row r="273">
      <c r="A273" s="197" t="n">
        <v>269</v>
      </c>
      <c r="B273" s="198" t="n"/>
      <c r="C273" s="229" t="n"/>
      <c r="D273" s="190" t="n"/>
      <c r="E273" s="190" t="n"/>
      <c r="F273" s="541">
        <f>IF(OR(D273="",E273=""),"",(E273-D273)*1440)</f>
        <v/>
      </c>
      <c r="G273" s="542" t="n"/>
      <c r="H273" s="542" t="n"/>
      <c r="I273" s="543" t="n"/>
      <c r="J273" s="192" t="n"/>
      <c r="K273" s="544">
        <f>IF(AND(ISNUMBER(F273),I273&gt;0),I273/(F273/60),"")</f>
        <v/>
      </c>
      <c r="L273" s="545" t="n"/>
      <c r="M273" s="194">
        <f>IF(OR(ISNUMBER(SEARCH("サニテーション",C273)),ISNUMBER(SEARCH("客注",C273)),ISNUMBER(SEARCH("切り替え",C273)),ISNUMBER(SEARCH("切替",C273)),NOT(ISNUMBER(H273))),"",IF(ISNUMBER(G273),G273/60*H273*④前提設定!$B$4,IF(AND(G273="",ISNUMBER(F273)),F273/60*H273*④前提設定!$B$4,"")))</f>
        <v/>
      </c>
      <c r="N273" s="546">
        <f>IF(AND(I273&gt;0,ISNUMBER(M273)),M273/I273,"")</f>
        <v/>
      </c>
      <c r="O273" s="547">
        <f>IF(AND(J273&gt;0,ISNUMBER(M273)),M273/J273,"")</f>
        <v/>
      </c>
      <c r="P273" s="199" t="n"/>
      <c r="Q273" s="200" t="n"/>
      <c r="X273" s="334">
        <f>COUNTA(R273:W273)</f>
        <v/>
      </c>
      <c r="Y273" s="334">
        <f>IF(AND($X273&gt;0,ISNUMBER($M273)),$M273/$X273,"")</f>
        <v/>
      </c>
      <c r="Z273" s="334">
        <f>IF($X273=0,"",IF(COUNTIF(⑳商品別1食労務費!$C$5:$C$124,$R273)+COUNTIF(⑳商品別1食労務費!$C$5:$C$124,$S273)+COUNTIF(⑳商品別1食労務費!$C$5:$C$124,$T273)+COUNTIF(⑳商品別1食労務費!$C$5:$C$124,$U273)+COUNTIF(⑳商品別1食労務費!$C$5:$C$124,$V273)+COUNTIF(⑳商品別1食労務費!$C$5:$C$124,$W273)=$X273,"OK","⑳に無い商品名"))</f>
        <v/>
      </c>
      <c r="AA273" s="334">
        <f>SUMIF(⑳商品別1食労務費!$C$5:$C$124,$R273,⑳商品別1食労務費!$F$5:$F$124)+SUMIF(⑳商品別1食労務費!$C$5:$C$124,$S273,⑳商品別1食労務費!$F$5:$F$124)+SUMIF(⑳商品別1食労務費!$C$5:$C$124,$T273,⑳商品別1食労務費!$F$5:$F$124)+SUMIF(⑳商品別1食労務費!$C$5:$C$124,$U273,⑳商品別1食労務費!$F$5:$F$124)+SUMIF(⑳商品別1食労務費!$C$5:$C$124,$V273,⑳商品別1食労務費!$F$5:$F$124)+SUMIF(⑳商品別1食労務費!$C$5:$C$124,$W273,⑳商品別1食労務費!$F$5:$F$124)</f>
        <v/>
      </c>
      <c r="AB273" s="334">
        <f>IF(ISNUMBER($M273),$M273,0)</f>
        <v/>
      </c>
      <c r="AC273" s="334">
        <f>IF(AND($X273&gt;0,ISNUMBER($J273)),$J273/$X273,"")</f>
        <v/>
      </c>
      <c r="AD273" s="413">
        <f>IF($R273="",0,IF($AA273&gt;0,$AB273*SUMIF(⑳商品別1食労務費!$C$5:$C$124,$R273,⑳商品別1食労務費!$F$5:$F$124)/$AA273,$AB273/$X273))</f>
        <v/>
      </c>
      <c r="AE273" s="413">
        <f>IF($S273="",0,IF($AA273&gt;0,$AB273*SUMIF(⑳商品別1食労務費!$C$5:$C$124,$S273,⑳商品別1食労務費!$F$5:$F$124)/$AA273,$AB273/$X273))</f>
        <v/>
      </c>
      <c r="AF273" s="413">
        <f>IF($T273="",0,IF($AA273&gt;0,$AB273*SUMIF(⑳商品別1食労務費!$C$5:$C$124,$T273,⑳商品別1食労務費!$F$5:$F$124)/$AA273,$AB273/$X273))</f>
        <v/>
      </c>
      <c r="AG273" s="413">
        <f>IF($U273="",0,IF($AA273&gt;0,$AB273*SUMIF(⑳商品別1食労務費!$C$5:$C$124,$U273,⑳商品別1食労務費!$F$5:$F$124)/$AA273,$AB273/$X273))</f>
        <v/>
      </c>
      <c r="AH273" s="413">
        <f>IF($V273="",0,IF($AA273&gt;0,$AB273*SUMIF(⑳商品別1食労務費!$C$5:$C$124,$V273,⑳商品別1食労務費!$F$5:$F$124)/$AA273,$AB273/$X273))</f>
        <v/>
      </c>
      <c r="AI273" s="413">
        <f>IF($W273="",0,IF($AA273&gt;0,$AB273*SUMIF(⑳商品別1食労務費!$C$5:$C$124,$W273,⑳商品別1食労務費!$F$5:$F$124)/$AA273,$AB273/$X273))</f>
        <v/>
      </c>
    </row>
    <row r="274">
      <c r="A274" s="188" t="n">
        <v>270</v>
      </c>
      <c r="B274" s="189" t="n"/>
      <c r="C274" s="229" t="n"/>
      <c r="D274" s="190" t="n"/>
      <c r="E274" s="190" t="n"/>
      <c r="F274" s="541">
        <f>IF(OR(D274="",E274=""),"",(E274-D274)*1440)</f>
        <v/>
      </c>
      <c r="G274" s="542" t="n"/>
      <c r="H274" s="542" t="n"/>
      <c r="I274" s="543" t="n"/>
      <c r="J274" s="192" t="n"/>
      <c r="K274" s="544">
        <f>IF(AND(ISNUMBER(F274),I274&gt;0),I274/(F274/60),"")</f>
        <v/>
      </c>
      <c r="L274" s="545" t="n"/>
      <c r="M274" s="194">
        <f>IF(OR(ISNUMBER(SEARCH("サニテーション",C274)),ISNUMBER(SEARCH("客注",C274)),ISNUMBER(SEARCH("切り替え",C274)),ISNUMBER(SEARCH("切替",C274)),NOT(ISNUMBER(H274))),"",IF(ISNUMBER(G274),G274/60*H274*④前提設定!$B$4,IF(AND(G274="",ISNUMBER(F274)),F274/60*H274*④前提設定!$B$4,"")))</f>
        <v/>
      </c>
      <c r="N274" s="546">
        <f>IF(AND(I274&gt;0,ISNUMBER(M274)),M274/I274,"")</f>
        <v/>
      </c>
      <c r="O274" s="547">
        <f>IF(AND(J274&gt;0,ISNUMBER(M274)),M274/J274,"")</f>
        <v/>
      </c>
      <c r="P274" s="195" t="n"/>
      <c r="Q274" s="196" t="n"/>
      <c r="X274" s="334">
        <f>COUNTA(R274:W274)</f>
        <v/>
      </c>
      <c r="Y274" s="334">
        <f>IF(AND($X274&gt;0,ISNUMBER($M274)),$M274/$X274,"")</f>
        <v/>
      </c>
      <c r="Z274" s="334">
        <f>IF($X274=0,"",IF(COUNTIF(⑳商品別1食労務費!$C$5:$C$124,$R274)+COUNTIF(⑳商品別1食労務費!$C$5:$C$124,$S274)+COUNTIF(⑳商品別1食労務費!$C$5:$C$124,$T274)+COUNTIF(⑳商品別1食労務費!$C$5:$C$124,$U274)+COUNTIF(⑳商品別1食労務費!$C$5:$C$124,$V274)+COUNTIF(⑳商品別1食労務費!$C$5:$C$124,$W274)=$X274,"OK","⑳に無い商品名"))</f>
        <v/>
      </c>
      <c r="AA274" s="334">
        <f>SUMIF(⑳商品別1食労務費!$C$5:$C$124,$R274,⑳商品別1食労務費!$F$5:$F$124)+SUMIF(⑳商品別1食労務費!$C$5:$C$124,$S274,⑳商品別1食労務費!$F$5:$F$124)+SUMIF(⑳商品別1食労務費!$C$5:$C$124,$T274,⑳商品別1食労務費!$F$5:$F$124)+SUMIF(⑳商品別1食労務費!$C$5:$C$124,$U274,⑳商品別1食労務費!$F$5:$F$124)+SUMIF(⑳商品別1食労務費!$C$5:$C$124,$V274,⑳商品別1食労務費!$F$5:$F$124)+SUMIF(⑳商品別1食労務費!$C$5:$C$124,$W274,⑳商品別1食労務費!$F$5:$F$124)</f>
        <v/>
      </c>
      <c r="AB274" s="334">
        <f>IF(ISNUMBER($M274),$M274,0)</f>
        <v/>
      </c>
      <c r="AC274" s="334">
        <f>IF(AND($X274&gt;0,ISNUMBER($J274)),$J274/$X274,"")</f>
        <v/>
      </c>
      <c r="AD274" s="413">
        <f>IF($R274="",0,IF($AA274&gt;0,$AB274*SUMIF(⑳商品別1食労務費!$C$5:$C$124,$R274,⑳商品別1食労務費!$F$5:$F$124)/$AA274,$AB274/$X274))</f>
        <v/>
      </c>
      <c r="AE274" s="413">
        <f>IF($S274="",0,IF($AA274&gt;0,$AB274*SUMIF(⑳商品別1食労務費!$C$5:$C$124,$S274,⑳商品別1食労務費!$F$5:$F$124)/$AA274,$AB274/$X274))</f>
        <v/>
      </c>
      <c r="AF274" s="413">
        <f>IF($T274="",0,IF($AA274&gt;0,$AB274*SUMIF(⑳商品別1食労務費!$C$5:$C$124,$T274,⑳商品別1食労務費!$F$5:$F$124)/$AA274,$AB274/$X274))</f>
        <v/>
      </c>
      <c r="AG274" s="413">
        <f>IF($U274="",0,IF($AA274&gt;0,$AB274*SUMIF(⑳商品別1食労務費!$C$5:$C$124,$U274,⑳商品別1食労務費!$F$5:$F$124)/$AA274,$AB274/$X274))</f>
        <v/>
      </c>
      <c r="AH274" s="413">
        <f>IF($V274="",0,IF($AA274&gt;0,$AB274*SUMIF(⑳商品別1食労務費!$C$5:$C$124,$V274,⑳商品別1食労務費!$F$5:$F$124)/$AA274,$AB274/$X274))</f>
        <v/>
      </c>
      <c r="AI274" s="413">
        <f>IF($W274="",0,IF($AA274&gt;0,$AB274*SUMIF(⑳商品別1食労務費!$C$5:$C$124,$W274,⑳商品別1食労務費!$F$5:$F$124)/$AA274,$AB274/$X274))</f>
        <v/>
      </c>
    </row>
    <row r="275">
      <c r="A275" s="197" t="n">
        <v>271</v>
      </c>
      <c r="B275" s="198" t="n"/>
      <c r="C275" s="229" t="n"/>
      <c r="D275" s="190" t="n"/>
      <c r="E275" s="190" t="n"/>
      <c r="F275" s="541">
        <f>IF(OR(D275="",E275=""),"",(E275-D275)*1440)</f>
        <v/>
      </c>
      <c r="G275" s="542" t="n"/>
      <c r="H275" s="542" t="n"/>
      <c r="I275" s="543" t="n"/>
      <c r="J275" s="192" t="n"/>
      <c r="K275" s="544">
        <f>IF(AND(ISNUMBER(F275),I275&gt;0),I275/(F275/60),"")</f>
        <v/>
      </c>
      <c r="L275" s="545" t="n"/>
      <c r="M275" s="194">
        <f>IF(OR(ISNUMBER(SEARCH("サニテーション",C275)),ISNUMBER(SEARCH("客注",C275)),ISNUMBER(SEARCH("切り替え",C275)),ISNUMBER(SEARCH("切替",C275)),NOT(ISNUMBER(H275))),"",IF(ISNUMBER(G275),G275/60*H275*④前提設定!$B$4,IF(AND(G275="",ISNUMBER(F275)),F275/60*H275*④前提設定!$B$4,"")))</f>
        <v/>
      </c>
      <c r="N275" s="546">
        <f>IF(AND(I275&gt;0,ISNUMBER(M275)),M275/I275,"")</f>
        <v/>
      </c>
      <c r="O275" s="547">
        <f>IF(AND(J275&gt;0,ISNUMBER(M275)),M275/J275,"")</f>
        <v/>
      </c>
      <c r="P275" s="199" t="n"/>
      <c r="Q275" s="200" t="n"/>
      <c r="X275" s="334">
        <f>COUNTA(R275:W275)</f>
        <v/>
      </c>
      <c r="Y275" s="334">
        <f>IF(AND($X275&gt;0,ISNUMBER($M275)),$M275/$X275,"")</f>
        <v/>
      </c>
      <c r="Z275" s="334">
        <f>IF($X275=0,"",IF(COUNTIF(⑳商品別1食労務費!$C$5:$C$124,$R275)+COUNTIF(⑳商品別1食労務費!$C$5:$C$124,$S275)+COUNTIF(⑳商品別1食労務費!$C$5:$C$124,$T275)+COUNTIF(⑳商品別1食労務費!$C$5:$C$124,$U275)+COUNTIF(⑳商品別1食労務費!$C$5:$C$124,$V275)+COUNTIF(⑳商品別1食労務費!$C$5:$C$124,$W275)=$X275,"OK","⑳に無い商品名"))</f>
        <v/>
      </c>
      <c r="AA275" s="334">
        <f>SUMIF(⑳商品別1食労務費!$C$5:$C$124,$R275,⑳商品別1食労務費!$F$5:$F$124)+SUMIF(⑳商品別1食労務費!$C$5:$C$124,$S275,⑳商品別1食労務費!$F$5:$F$124)+SUMIF(⑳商品別1食労務費!$C$5:$C$124,$T275,⑳商品別1食労務費!$F$5:$F$124)+SUMIF(⑳商品別1食労務費!$C$5:$C$124,$U275,⑳商品別1食労務費!$F$5:$F$124)+SUMIF(⑳商品別1食労務費!$C$5:$C$124,$V275,⑳商品別1食労務費!$F$5:$F$124)+SUMIF(⑳商品別1食労務費!$C$5:$C$124,$W275,⑳商品別1食労務費!$F$5:$F$124)</f>
        <v/>
      </c>
      <c r="AB275" s="334">
        <f>IF(ISNUMBER($M275),$M275,0)</f>
        <v/>
      </c>
      <c r="AC275" s="334">
        <f>IF(AND($X275&gt;0,ISNUMBER($J275)),$J275/$X275,"")</f>
        <v/>
      </c>
      <c r="AD275" s="413">
        <f>IF($R275="",0,IF($AA275&gt;0,$AB275*SUMIF(⑳商品別1食労務費!$C$5:$C$124,$R275,⑳商品別1食労務費!$F$5:$F$124)/$AA275,$AB275/$X275))</f>
        <v/>
      </c>
      <c r="AE275" s="413">
        <f>IF($S275="",0,IF($AA275&gt;0,$AB275*SUMIF(⑳商品別1食労務費!$C$5:$C$124,$S275,⑳商品別1食労務費!$F$5:$F$124)/$AA275,$AB275/$X275))</f>
        <v/>
      </c>
      <c r="AF275" s="413">
        <f>IF($T275="",0,IF($AA275&gt;0,$AB275*SUMIF(⑳商品別1食労務費!$C$5:$C$124,$T275,⑳商品別1食労務費!$F$5:$F$124)/$AA275,$AB275/$X275))</f>
        <v/>
      </c>
      <c r="AG275" s="413">
        <f>IF($U275="",0,IF($AA275&gt;0,$AB275*SUMIF(⑳商品別1食労務費!$C$5:$C$124,$U275,⑳商品別1食労務費!$F$5:$F$124)/$AA275,$AB275/$X275))</f>
        <v/>
      </c>
      <c r="AH275" s="413">
        <f>IF($V275="",0,IF($AA275&gt;0,$AB275*SUMIF(⑳商品別1食労務費!$C$5:$C$124,$V275,⑳商品別1食労務費!$F$5:$F$124)/$AA275,$AB275/$X275))</f>
        <v/>
      </c>
      <c r="AI275" s="413">
        <f>IF($W275="",0,IF($AA275&gt;0,$AB275*SUMIF(⑳商品別1食労務費!$C$5:$C$124,$W275,⑳商品別1食労務費!$F$5:$F$124)/$AA275,$AB275/$X275))</f>
        <v/>
      </c>
    </row>
    <row r="276">
      <c r="A276" s="188" t="n">
        <v>272</v>
      </c>
      <c r="B276" s="189" t="n"/>
      <c r="C276" s="229" t="n"/>
      <c r="D276" s="190" t="n"/>
      <c r="E276" s="190" t="n"/>
      <c r="F276" s="541">
        <f>IF(OR(D276="",E276=""),"",(E276-D276)*1440)</f>
        <v/>
      </c>
      <c r="G276" s="542" t="n"/>
      <c r="H276" s="542" t="n"/>
      <c r="I276" s="543" t="n"/>
      <c r="J276" s="192" t="n"/>
      <c r="K276" s="544">
        <f>IF(AND(ISNUMBER(F276),I276&gt;0),I276/(F276/60),"")</f>
        <v/>
      </c>
      <c r="L276" s="545" t="n"/>
      <c r="M276" s="194">
        <f>IF(OR(ISNUMBER(SEARCH("サニテーション",C276)),ISNUMBER(SEARCH("客注",C276)),ISNUMBER(SEARCH("切り替え",C276)),ISNUMBER(SEARCH("切替",C276)),NOT(ISNUMBER(H276))),"",IF(ISNUMBER(G276),G276/60*H276*④前提設定!$B$4,IF(AND(G276="",ISNUMBER(F276)),F276/60*H276*④前提設定!$B$4,"")))</f>
        <v/>
      </c>
      <c r="N276" s="546">
        <f>IF(AND(I276&gt;0,ISNUMBER(M276)),M276/I276,"")</f>
        <v/>
      </c>
      <c r="O276" s="547">
        <f>IF(AND(J276&gt;0,ISNUMBER(M276)),M276/J276,"")</f>
        <v/>
      </c>
      <c r="P276" s="195" t="n"/>
      <c r="Q276" s="196" t="n"/>
      <c r="X276" s="334">
        <f>COUNTA(R276:W276)</f>
        <v/>
      </c>
      <c r="Y276" s="334">
        <f>IF(AND($X276&gt;0,ISNUMBER($M276)),$M276/$X276,"")</f>
        <v/>
      </c>
      <c r="Z276" s="334">
        <f>IF($X276=0,"",IF(COUNTIF(⑳商品別1食労務費!$C$5:$C$124,$R276)+COUNTIF(⑳商品別1食労務費!$C$5:$C$124,$S276)+COUNTIF(⑳商品別1食労務費!$C$5:$C$124,$T276)+COUNTIF(⑳商品別1食労務費!$C$5:$C$124,$U276)+COUNTIF(⑳商品別1食労務費!$C$5:$C$124,$V276)+COUNTIF(⑳商品別1食労務費!$C$5:$C$124,$W276)=$X276,"OK","⑳に無い商品名"))</f>
        <v/>
      </c>
      <c r="AA276" s="334">
        <f>SUMIF(⑳商品別1食労務費!$C$5:$C$124,$R276,⑳商品別1食労務費!$F$5:$F$124)+SUMIF(⑳商品別1食労務費!$C$5:$C$124,$S276,⑳商品別1食労務費!$F$5:$F$124)+SUMIF(⑳商品別1食労務費!$C$5:$C$124,$T276,⑳商品別1食労務費!$F$5:$F$124)+SUMIF(⑳商品別1食労務費!$C$5:$C$124,$U276,⑳商品別1食労務費!$F$5:$F$124)+SUMIF(⑳商品別1食労務費!$C$5:$C$124,$V276,⑳商品別1食労務費!$F$5:$F$124)+SUMIF(⑳商品別1食労務費!$C$5:$C$124,$W276,⑳商品別1食労務費!$F$5:$F$124)</f>
        <v/>
      </c>
      <c r="AB276" s="334">
        <f>IF(ISNUMBER($M276),$M276,0)</f>
        <v/>
      </c>
      <c r="AC276" s="334">
        <f>IF(AND($X276&gt;0,ISNUMBER($J276)),$J276/$X276,"")</f>
        <v/>
      </c>
      <c r="AD276" s="413">
        <f>IF($R276="",0,IF($AA276&gt;0,$AB276*SUMIF(⑳商品別1食労務費!$C$5:$C$124,$R276,⑳商品別1食労務費!$F$5:$F$124)/$AA276,$AB276/$X276))</f>
        <v/>
      </c>
      <c r="AE276" s="413">
        <f>IF($S276="",0,IF($AA276&gt;0,$AB276*SUMIF(⑳商品別1食労務費!$C$5:$C$124,$S276,⑳商品別1食労務費!$F$5:$F$124)/$AA276,$AB276/$X276))</f>
        <v/>
      </c>
      <c r="AF276" s="413">
        <f>IF($T276="",0,IF($AA276&gt;0,$AB276*SUMIF(⑳商品別1食労務費!$C$5:$C$124,$T276,⑳商品別1食労務費!$F$5:$F$124)/$AA276,$AB276/$X276))</f>
        <v/>
      </c>
      <c r="AG276" s="413">
        <f>IF($U276="",0,IF($AA276&gt;0,$AB276*SUMIF(⑳商品別1食労務費!$C$5:$C$124,$U276,⑳商品別1食労務費!$F$5:$F$124)/$AA276,$AB276/$X276))</f>
        <v/>
      </c>
      <c r="AH276" s="413">
        <f>IF($V276="",0,IF($AA276&gt;0,$AB276*SUMIF(⑳商品別1食労務費!$C$5:$C$124,$V276,⑳商品別1食労務費!$F$5:$F$124)/$AA276,$AB276/$X276))</f>
        <v/>
      </c>
      <c r="AI276" s="413">
        <f>IF($W276="",0,IF($AA276&gt;0,$AB276*SUMIF(⑳商品別1食労務費!$C$5:$C$124,$W276,⑳商品別1食労務費!$F$5:$F$124)/$AA276,$AB276/$X276))</f>
        <v/>
      </c>
    </row>
    <row r="277">
      <c r="A277" s="197" t="n">
        <v>273</v>
      </c>
      <c r="B277" s="198" t="n"/>
      <c r="C277" s="229" t="n"/>
      <c r="D277" s="190" t="n"/>
      <c r="E277" s="190" t="n"/>
      <c r="F277" s="541">
        <f>IF(OR(D277="",E277=""),"",(E277-D277)*1440)</f>
        <v/>
      </c>
      <c r="G277" s="542" t="n"/>
      <c r="H277" s="542" t="n"/>
      <c r="I277" s="543" t="n"/>
      <c r="J277" s="192" t="n"/>
      <c r="K277" s="544">
        <f>IF(AND(ISNUMBER(F277),I277&gt;0),I277/(F277/60),"")</f>
        <v/>
      </c>
      <c r="L277" s="545" t="n"/>
      <c r="M277" s="194">
        <f>IF(OR(ISNUMBER(SEARCH("サニテーション",C277)),ISNUMBER(SEARCH("客注",C277)),ISNUMBER(SEARCH("切り替え",C277)),ISNUMBER(SEARCH("切替",C277)),NOT(ISNUMBER(H277))),"",IF(ISNUMBER(G277),G277/60*H277*④前提設定!$B$4,IF(AND(G277="",ISNUMBER(F277)),F277/60*H277*④前提設定!$B$4,"")))</f>
        <v/>
      </c>
      <c r="N277" s="546">
        <f>IF(AND(I277&gt;0,ISNUMBER(M277)),M277/I277,"")</f>
        <v/>
      </c>
      <c r="O277" s="547">
        <f>IF(AND(J277&gt;0,ISNUMBER(M277)),M277/J277,"")</f>
        <v/>
      </c>
      <c r="P277" s="199" t="n"/>
      <c r="Q277" s="200" t="n"/>
      <c r="X277" s="334">
        <f>COUNTA(R277:W277)</f>
        <v/>
      </c>
      <c r="Y277" s="334">
        <f>IF(AND($X277&gt;0,ISNUMBER($M277)),$M277/$X277,"")</f>
        <v/>
      </c>
      <c r="Z277" s="334">
        <f>IF($X277=0,"",IF(COUNTIF(⑳商品別1食労務費!$C$5:$C$124,$R277)+COUNTIF(⑳商品別1食労務費!$C$5:$C$124,$S277)+COUNTIF(⑳商品別1食労務費!$C$5:$C$124,$T277)+COUNTIF(⑳商品別1食労務費!$C$5:$C$124,$U277)+COUNTIF(⑳商品別1食労務費!$C$5:$C$124,$V277)+COUNTIF(⑳商品別1食労務費!$C$5:$C$124,$W277)=$X277,"OK","⑳に無い商品名"))</f>
        <v/>
      </c>
      <c r="AA277" s="334">
        <f>SUMIF(⑳商品別1食労務費!$C$5:$C$124,$R277,⑳商品別1食労務費!$F$5:$F$124)+SUMIF(⑳商品別1食労務費!$C$5:$C$124,$S277,⑳商品別1食労務費!$F$5:$F$124)+SUMIF(⑳商品別1食労務費!$C$5:$C$124,$T277,⑳商品別1食労務費!$F$5:$F$124)+SUMIF(⑳商品別1食労務費!$C$5:$C$124,$U277,⑳商品別1食労務費!$F$5:$F$124)+SUMIF(⑳商品別1食労務費!$C$5:$C$124,$V277,⑳商品別1食労務費!$F$5:$F$124)+SUMIF(⑳商品別1食労務費!$C$5:$C$124,$W277,⑳商品別1食労務費!$F$5:$F$124)</f>
        <v/>
      </c>
      <c r="AB277" s="334">
        <f>IF(ISNUMBER($M277),$M277,0)</f>
        <v/>
      </c>
      <c r="AC277" s="334">
        <f>IF(AND($X277&gt;0,ISNUMBER($J277)),$J277/$X277,"")</f>
        <v/>
      </c>
      <c r="AD277" s="413">
        <f>IF($R277="",0,IF($AA277&gt;0,$AB277*SUMIF(⑳商品別1食労務費!$C$5:$C$124,$R277,⑳商品別1食労務費!$F$5:$F$124)/$AA277,$AB277/$X277))</f>
        <v/>
      </c>
      <c r="AE277" s="413">
        <f>IF($S277="",0,IF($AA277&gt;0,$AB277*SUMIF(⑳商品別1食労務費!$C$5:$C$124,$S277,⑳商品別1食労務費!$F$5:$F$124)/$AA277,$AB277/$X277))</f>
        <v/>
      </c>
      <c r="AF277" s="413">
        <f>IF($T277="",0,IF($AA277&gt;0,$AB277*SUMIF(⑳商品別1食労務費!$C$5:$C$124,$T277,⑳商品別1食労務費!$F$5:$F$124)/$AA277,$AB277/$X277))</f>
        <v/>
      </c>
      <c r="AG277" s="413">
        <f>IF($U277="",0,IF($AA277&gt;0,$AB277*SUMIF(⑳商品別1食労務費!$C$5:$C$124,$U277,⑳商品別1食労務費!$F$5:$F$124)/$AA277,$AB277/$X277))</f>
        <v/>
      </c>
      <c r="AH277" s="413">
        <f>IF($V277="",0,IF($AA277&gt;0,$AB277*SUMIF(⑳商品別1食労務費!$C$5:$C$124,$V277,⑳商品別1食労務費!$F$5:$F$124)/$AA277,$AB277/$X277))</f>
        <v/>
      </c>
      <c r="AI277" s="413">
        <f>IF($W277="",0,IF($AA277&gt;0,$AB277*SUMIF(⑳商品別1食労務費!$C$5:$C$124,$W277,⑳商品別1食労務費!$F$5:$F$124)/$AA277,$AB277/$X277))</f>
        <v/>
      </c>
    </row>
    <row r="278">
      <c r="A278" s="188" t="n">
        <v>274</v>
      </c>
      <c r="B278" s="189" t="n"/>
      <c r="C278" s="229" t="n"/>
      <c r="D278" s="190" t="n"/>
      <c r="E278" s="190" t="n"/>
      <c r="F278" s="541">
        <f>IF(OR(D278="",E278=""),"",(E278-D278)*1440)</f>
        <v/>
      </c>
      <c r="G278" s="542" t="n"/>
      <c r="H278" s="542" t="n"/>
      <c r="I278" s="543" t="n"/>
      <c r="J278" s="192" t="n"/>
      <c r="K278" s="544">
        <f>IF(AND(ISNUMBER(F278),I278&gt;0),I278/(F278/60),"")</f>
        <v/>
      </c>
      <c r="L278" s="545" t="n"/>
      <c r="M278" s="194">
        <f>IF(OR(ISNUMBER(SEARCH("サニテーション",C278)),ISNUMBER(SEARCH("客注",C278)),ISNUMBER(SEARCH("切り替え",C278)),ISNUMBER(SEARCH("切替",C278)),NOT(ISNUMBER(H278))),"",IF(ISNUMBER(G278),G278/60*H278*④前提設定!$B$4,IF(AND(G278="",ISNUMBER(F278)),F278/60*H278*④前提設定!$B$4,"")))</f>
        <v/>
      </c>
      <c r="N278" s="546">
        <f>IF(AND(I278&gt;0,ISNUMBER(M278)),M278/I278,"")</f>
        <v/>
      </c>
      <c r="O278" s="547">
        <f>IF(AND(J278&gt;0,ISNUMBER(M278)),M278/J278,"")</f>
        <v/>
      </c>
      <c r="P278" s="195" t="n"/>
      <c r="Q278" s="196" t="n"/>
      <c r="X278" s="334">
        <f>COUNTA(R278:W278)</f>
        <v/>
      </c>
      <c r="Y278" s="334">
        <f>IF(AND($X278&gt;0,ISNUMBER($M278)),$M278/$X278,"")</f>
        <v/>
      </c>
      <c r="Z278" s="334">
        <f>IF($X278=0,"",IF(COUNTIF(⑳商品別1食労務費!$C$5:$C$124,$R278)+COUNTIF(⑳商品別1食労務費!$C$5:$C$124,$S278)+COUNTIF(⑳商品別1食労務費!$C$5:$C$124,$T278)+COUNTIF(⑳商品別1食労務費!$C$5:$C$124,$U278)+COUNTIF(⑳商品別1食労務費!$C$5:$C$124,$V278)+COUNTIF(⑳商品別1食労務費!$C$5:$C$124,$W278)=$X278,"OK","⑳に無い商品名"))</f>
        <v/>
      </c>
      <c r="AA278" s="334">
        <f>SUMIF(⑳商品別1食労務費!$C$5:$C$124,$R278,⑳商品別1食労務費!$F$5:$F$124)+SUMIF(⑳商品別1食労務費!$C$5:$C$124,$S278,⑳商品別1食労務費!$F$5:$F$124)+SUMIF(⑳商品別1食労務費!$C$5:$C$124,$T278,⑳商品別1食労務費!$F$5:$F$124)+SUMIF(⑳商品別1食労務費!$C$5:$C$124,$U278,⑳商品別1食労務費!$F$5:$F$124)+SUMIF(⑳商品別1食労務費!$C$5:$C$124,$V278,⑳商品別1食労務費!$F$5:$F$124)+SUMIF(⑳商品別1食労務費!$C$5:$C$124,$W278,⑳商品別1食労務費!$F$5:$F$124)</f>
        <v/>
      </c>
      <c r="AB278" s="334">
        <f>IF(ISNUMBER($M278),$M278,0)</f>
        <v/>
      </c>
      <c r="AC278" s="334">
        <f>IF(AND($X278&gt;0,ISNUMBER($J278)),$J278/$X278,"")</f>
        <v/>
      </c>
      <c r="AD278" s="413">
        <f>IF($R278="",0,IF($AA278&gt;0,$AB278*SUMIF(⑳商品別1食労務費!$C$5:$C$124,$R278,⑳商品別1食労務費!$F$5:$F$124)/$AA278,$AB278/$X278))</f>
        <v/>
      </c>
      <c r="AE278" s="413">
        <f>IF($S278="",0,IF($AA278&gt;0,$AB278*SUMIF(⑳商品別1食労務費!$C$5:$C$124,$S278,⑳商品別1食労務費!$F$5:$F$124)/$AA278,$AB278/$X278))</f>
        <v/>
      </c>
      <c r="AF278" s="413">
        <f>IF($T278="",0,IF($AA278&gt;0,$AB278*SUMIF(⑳商品別1食労務費!$C$5:$C$124,$T278,⑳商品別1食労務費!$F$5:$F$124)/$AA278,$AB278/$X278))</f>
        <v/>
      </c>
      <c r="AG278" s="413">
        <f>IF($U278="",0,IF($AA278&gt;0,$AB278*SUMIF(⑳商品別1食労務費!$C$5:$C$124,$U278,⑳商品別1食労務費!$F$5:$F$124)/$AA278,$AB278/$X278))</f>
        <v/>
      </c>
      <c r="AH278" s="413">
        <f>IF($V278="",0,IF($AA278&gt;0,$AB278*SUMIF(⑳商品別1食労務費!$C$5:$C$124,$V278,⑳商品別1食労務費!$F$5:$F$124)/$AA278,$AB278/$X278))</f>
        <v/>
      </c>
      <c r="AI278" s="413">
        <f>IF($W278="",0,IF($AA278&gt;0,$AB278*SUMIF(⑳商品別1食労務費!$C$5:$C$124,$W278,⑳商品別1食労務費!$F$5:$F$124)/$AA278,$AB278/$X278))</f>
        <v/>
      </c>
    </row>
    <row r="279">
      <c r="A279" s="197" t="n">
        <v>275</v>
      </c>
      <c r="B279" s="198" t="n"/>
      <c r="C279" s="229" t="n"/>
      <c r="D279" s="190" t="n"/>
      <c r="E279" s="190" t="n"/>
      <c r="F279" s="541">
        <f>IF(OR(D279="",E279=""),"",(E279-D279)*1440)</f>
        <v/>
      </c>
      <c r="G279" s="542" t="n"/>
      <c r="H279" s="542" t="n"/>
      <c r="I279" s="543" t="n"/>
      <c r="J279" s="192" t="n"/>
      <c r="K279" s="544">
        <f>IF(AND(ISNUMBER(F279),I279&gt;0),I279/(F279/60),"")</f>
        <v/>
      </c>
      <c r="L279" s="545" t="n"/>
      <c r="M279" s="194">
        <f>IF(OR(ISNUMBER(SEARCH("サニテーション",C279)),ISNUMBER(SEARCH("客注",C279)),ISNUMBER(SEARCH("切り替え",C279)),ISNUMBER(SEARCH("切替",C279)),NOT(ISNUMBER(H279))),"",IF(ISNUMBER(G279),G279/60*H279*④前提設定!$B$4,IF(AND(G279="",ISNUMBER(F279)),F279/60*H279*④前提設定!$B$4,"")))</f>
        <v/>
      </c>
      <c r="N279" s="546">
        <f>IF(AND(I279&gt;0,ISNUMBER(M279)),M279/I279,"")</f>
        <v/>
      </c>
      <c r="O279" s="547">
        <f>IF(AND(J279&gt;0,ISNUMBER(M279)),M279/J279,"")</f>
        <v/>
      </c>
      <c r="P279" s="199" t="n"/>
      <c r="Q279" s="200" t="n"/>
      <c r="X279" s="334">
        <f>COUNTA(R279:W279)</f>
        <v/>
      </c>
      <c r="Y279" s="334">
        <f>IF(AND($X279&gt;0,ISNUMBER($M279)),$M279/$X279,"")</f>
        <v/>
      </c>
      <c r="Z279" s="334">
        <f>IF($X279=0,"",IF(COUNTIF(⑳商品別1食労務費!$C$5:$C$124,$R279)+COUNTIF(⑳商品別1食労務費!$C$5:$C$124,$S279)+COUNTIF(⑳商品別1食労務費!$C$5:$C$124,$T279)+COUNTIF(⑳商品別1食労務費!$C$5:$C$124,$U279)+COUNTIF(⑳商品別1食労務費!$C$5:$C$124,$V279)+COUNTIF(⑳商品別1食労務費!$C$5:$C$124,$W279)=$X279,"OK","⑳に無い商品名"))</f>
        <v/>
      </c>
      <c r="AA279" s="334">
        <f>SUMIF(⑳商品別1食労務費!$C$5:$C$124,$R279,⑳商品別1食労務費!$F$5:$F$124)+SUMIF(⑳商品別1食労務費!$C$5:$C$124,$S279,⑳商品別1食労務費!$F$5:$F$124)+SUMIF(⑳商品別1食労務費!$C$5:$C$124,$T279,⑳商品別1食労務費!$F$5:$F$124)+SUMIF(⑳商品別1食労務費!$C$5:$C$124,$U279,⑳商品別1食労務費!$F$5:$F$124)+SUMIF(⑳商品別1食労務費!$C$5:$C$124,$V279,⑳商品別1食労務費!$F$5:$F$124)+SUMIF(⑳商品別1食労務費!$C$5:$C$124,$W279,⑳商品別1食労務費!$F$5:$F$124)</f>
        <v/>
      </c>
      <c r="AB279" s="334">
        <f>IF(ISNUMBER($M279),$M279,0)</f>
        <v/>
      </c>
      <c r="AC279" s="334">
        <f>IF(AND($X279&gt;0,ISNUMBER($J279)),$J279/$X279,"")</f>
        <v/>
      </c>
      <c r="AD279" s="413">
        <f>IF($R279="",0,IF($AA279&gt;0,$AB279*SUMIF(⑳商品別1食労務費!$C$5:$C$124,$R279,⑳商品別1食労務費!$F$5:$F$124)/$AA279,$AB279/$X279))</f>
        <v/>
      </c>
      <c r="AE279" s="413">
        <f>IF($S279="",0,IF($AA279&gt;0,$AB279*SUMIF(⑳商品別1食労務費!$C$5:$C$124,$S279,⑳商品別1食労務費!$F$5:$F$124)/$AA279,$AB279/$X279))</f>
        <v/>
      </c>
      <c r="AF279" s="413">
        <f>IF($T279="",0,IF($AA279&gt;0,$AB279*SUMIF(⑳商品別1食労務費!$C$5:$C$124,$T279,⑳商品別1食労務費!$F$5:$F$124)/$AA279,$AB279/$X279))</f>
        <v/>
      </c>
      <c r="AG279" s="413">
        <f>IF($U279="",0,IF($AA279&gt;0,$AB279*SUMIF(⑳商品別1食労務費!$C$5:$C$124,$U279,⑳商品別1食労務費!$F$5:$F$124)/$AA279,$AB279/$X279))</f>
        <v/>
      </c>
      <c r="AH279" s="413">
        <f>IF($V279="",0,IF($AA279&gt;0,$AB279*SUMIF(⑳商品別1食労務費!$C$5:$C$124,$V279,⑳商品別1食労務費!$F$5:$F$124)/$AA279,$AB279/$X279))</f>
        <v/>
      </c>
      <c r="AI279" s="413">
        <f>IF($W279="",0,IF($AA279&gt;0,$AB279*SUMIF(⑳商品別1食労務費!$C$5:$C$124,$W279,⑳商品別1食労務費!$F$5:$F$124)/$AA279,$AB279/$X279))</f>
        <v/>
      </c>
    </row>
    <row r="280">
      <c r="A280" s="188" t="n">
        <v>276</v>
      </c>
      <c r="B280" s="189" t="n"/>
      <c r="C280" s="229" t="n"/>
      <c r="D280" s="190" t="n"/>
      <c r="E280" s="190" t="n"/>
      <c r="F280" s="541">
        <f>IF(OR(D280="",E280=""),"",(E280-D280)*1440)</f>
        <v/>
      </c>
      <c r="G280" s="542" t="n"/>
      <c r="H280" s="542" t="n"/>
      <c r="I280" s="543" t="n"/>
      <c r="J280" s="192" t="n"/>
      <c r="K280" s="544">
        <f>IF(AND(ISNUMBER(F280),I280&gt;0),I280/(F280/60),"")</f>
        <v/>
      </c>
      <c r="L280" s="545" t="n"/>
      <c r="M280" s="194">
        <f>IF(OR(ISNUMBER(SEARCH("サニテーション",C280)),ISNUMBER(SEARCH("客注",C280)),ISNUMBER(SEARCH("切り替え",C280)),ISNUMBER(SEARCH("切替",C280)),NOT(ISNUMBER(H280))),"",IF(ISNUMBER(G280),G280/60*H280*④前提設定!$B$4,IF(AND(G280="",ISNUMBER(F280)),F280/60*H280*④前提設定!$B$4,"")))</f>
        <v/>
      </c>
      <c r="N280" s="546">
        <f>IF(AND(I280&gt;0,ISNUMBER(M280)),M280/I280,"")</f>
        <v/>
      </c>
      <c r="O280" s="547">
        <f>IF(AND(J280&gt;0,ISNUMBER(M280)),M280/J280,"")</f>
        <v/>
      </c>
      <c r="P280" s="195" t="n"/>
      <c r="Q280" s="196" t="n"/>
      <c r="X280" s="334">
        <f>COUNTA(R280:W280)</f>
        <v/>
      </c>
      <c r="Y280" s="334">
        <f>IF(AND($X280&gt;0,ISNUMBER($M280)),$M280/$X280,"")</f>
        <v/>
      </c>
      <c r="Z280" s="334">
        <f>IF($X280=0,"",IF(COUNTIF(⑳商品別1食労務費!$C$5:$C$124,$R280)+COUNTIF(⑳商品別1食労務費!$C$5:$C$124,$S280)+COUNTIF(⑳商品別1食労務費!$C$5:$C$124,$T280)+COUNTIF(⑳商品別1食労務費!$C$5:$C$124,$U280)+COUNTIF(⑳商品別1食労務費!$C$5:$C$124,$V280)+COUNTIF(⑳商品別1食労務費!$C$5:$C$124,$W280)=$X280,"OK","⑳に無い商品名"))</f>
        <v/>
      </c>
      <c r="AA280" s="334">
        <f>SUMIF(⑳商品別1食労務費!$C$5:$C$124,$R280,⑳商品別1食労務費!$F$5:$F$124)+SUMIF(⑳商品別1食労務費!$C$5:$C$124,$S280,⑳商品別1食労務費!$F$5:$F$124)+SUMIF(⑳商品別1食労務費!$C$5:$C$124,$T280,⑳商品別1食労務費!$F$5:$F$124)+SUMIF(⑳商品別1食労務費!$C$5:$C$124,$U280,⑳商品別1食労務費!$F$5:$F$124)+SUMIF(⑳商品別1食労務費!$C$5:$C$124,$V280,⑳商品別1食労務費!$F$5:$F$124)+SUMIF(⑳商品別1食労務費!$C$5:$C$124,$W280,⑳商品別1食労務費!$F$5:$F$124)</f>
        <v/>
      </c>
      <c r="AB280" s="334">
        <f>IF(ISNUMBER($M280),$M280,0)</f>
        <v/>
      </c>
      <c r="AC280" s="334">
        <f>IF(AND($X280&gt;0,ISNUMBER($J280)),$J280/$X280,"")</f>
        <v/>
      </c>
      <c r="AD280" s="413">
        <f>IF($R280="",0,IF($AA280&gt;0,$AB280*SUMIF(⑳商品別1食労務費!$C$5:$C$124,$R280,⑳商品別1食労務費!$F$5:$F$124)/$AA280,$AB280/$X280))</f>
        <v/>
      </c>
      <c r="AE280" s="413">
        <f>IF($S280="",0,IF($AA280&gt;0,$AB280*SUMIF(⑳商品別1食労務費!$C$5:$C$124,$S280,⑳商品別1食労務費!$F$5:$F$124)/$AA280,$AB280/$X280))</f>
        <v/>
      </c>
      <c r="AF280" s="413">
        <f>IF($T280="",0,IF($AA280&gt;0,$AB280*SUMIF(⑳商品別1食労務費!$C$5:$C$124,$T280,⑳商品別1食労務費!$F$5:$F$124)/$AA280,$AB280/$X280))</f>
        <v/>
      </c>
      <c r="AG280" s="413">
        <f>IF($U280="",0,IF($AA280&gt;0,$AB280*SUMIF(⑳商品別1食労務費!$C$5:$C$124,$U280,⑳商品別1食労務費!$F$5:$F$124)/$AA280,$AB280/$X280))</f>
        <v/>
      </c>
      <c r="AH280" s="413">
        <f>IF($V280="",0,IF($AA280&gt;0,$AB280*SUMIF(⑳商品別1食労務費!$C$5:$C$124,$V280,⑳商品別1食労務費!$F$5:$F$124)/$AA280,$AB280/$X280))</f>
        <v/>
      </c>
      <c r="AI280" s="413">
        <f>IF($W280="",0,IF($AA280&gt;0,$AB280*SUMIF(⑳商品別1食労務費!$C$5:$C$124,$W280,⑳商品別1食労務費!$F$5:$F$124)/$AA280,$AB280/$X280))</f>
        <v/>
      </c>
    </row>
    <row r="281">
      <c r="A281" s="197" t="n">
        <v>277</v>
      </c>
      <c r="B281" s="198" t="n"/>
      <c r="C281" s="229" t="n"/>
      <c r="D281" s="190" t="n"/>
      <c r="E281" s="190" t="n"/>
      <c r="F281" s="541">
        <f>IF(OR(D281="",E281=""),"",(E281-D281)*1440)</f>
        <v/>
      </c>
      <c r="G281" s="542" t="n"/>
      <c r="H281" s="542" t="n"/>
      <c r="I281" s="543" t="n"/>
      <c r="J281" s="192" t="n"/>
      <c r="K281" s="544">
        <f>IF(AND(ISNUMBER(F281),I281&gt;0),I281/(F281/60),"")</f>
        <v/>
      </c>
      <c r="L281" s="545" t="n"/>
      <c r="M281" s="194">
        <f>IF(OR(ISNUMBER(SEARCH("サニテーション",C281)),ISNUMBER(SEARCH("客注",C281)),ISNUMBER(SEARCH("切り替え",C281)),ISNUMBER(SEARCH("切替",C281)),NOT(ISNUMBER(H281))),"",IF(ISNUMBER(G281),G281/60*H281*④前提設定!$B$4,IF(AND(G281="",ISNUMBER(F281)),F281/60*H281*④前提設定!$B$4,"")))</f>
        <v/>
      </c>
      <c r="N281" s="546">
        <f>IF(AND(I281&gt;0,ISNUMBER(M281)),M281/I281,"")</f>
        <v/>
      </c>
      <c r="O281" s="547">
        <f>IF(AND(J281&gt;0,ISNUMBER(M281)),M281/J281,"")</f>
        <v/>
      </c>
      <c r="P281" s="199" t="n"/>
      <c r="Q281" s="200" t="n"/>
      <c r="X281" s="334">
        <f>COUNTA(R281:W281)</f>
        <v/>
      </c>
      <c r="Y281" s="334">
        <f>IF(AND($X281&gt;0,ISNUMBER($M281)),$M281/$X281,"")</f>
        <v/>
      </c>
      <c r="Z281" s="334">
        <f>IF($X281=0,"",IF(COUNTIF(⑳商品別1食労務費!$C$5:$C$124,$R281)+COUNTIF(⑳商品別1食労務費!$C$5:$C$124,$S281)+COUNTIF(⑳商品別1食労務費!$C$5:$C$124,$T281)+COUNTIF(⑳商品別1食労務費!$C$5:$C$124,$U281)+COUNTIF(⑳商品別1食労務費!$C$5:$C$124,$V281)+COUNTIF(⑳商品別1食労務費!$C$5:$C$124,$W281)=$X281,"OK","⑳に無い商品名"))</f>
        <v/>
      </c>
      <c r="AA281" s="334">
        <f>SUMIF(⑳商品別1食労務費!$C$5:$C$124,$R281,⑳商品別1食労務費!$F$5:$F$124)+SUMIF(⑳商品別1食労務費!$C$5:$C$124,$S281,⑳商品別1食労務費!$F$5:$F$124)+SUMIF(⑳商品別1食労務費!$C$5:$C$124,$T281,⑳商品別1食労務費!$F$5:$F$124)+SUMIF(⑳商品別1食労務費!$C$5:$C$124,$U281,⑳商品別1食労務費!$F$5:$F$124)+SUMIF(⑳商品別1食労務費!$C$5:$C$124,$V281,⑳商品別1食労務費!$F$5:$F$124)+SUMIF(⑳商品別1食労務費!$C$5:$C$124,$W281,⑳商品別1食労務費!$F$5:$F$124)</f>
        <v/>
      </c>
      <c r="AB281" s="334">
        <f>IF(ISNUMBER($M281),$M281,0)</f>
        <v/>
      </c>
      <c r="AC281" s="334">
        <f>IF(AND($X281&gt;0,ISNUMBER($J281)),$J281/$X281,"")</f>
        <v/>
      </c>
      <c r="AD281" s="413">
        <f>IF($R281="",0,IF($AA281&gt;0,$AB281*SUMIF(⑳商品別1食労務費!$C$5:$C$124,$R281,⑳商品別1食労務費!$F$5:$F$124)/$AA281,$AB281/$X281))</f>
        <v/>
      </c>
      <c r="AE281" s="413">
        <f>IF($S281="",0,IF($AA281&gt;0,$AB281*SUMIF(⑳商品別1食労務費!$C$5:$C$124,$S281,⑳商品別1食労務費!$F$5:$F$124)/$AA281,$AB281/$X281))</f>
        <v/>
      </c>
      <c r="AF281" s="413">
        <f>IF($T281="",0,IF($AA281&gt;0,$AB281*SUMIF(⑳商品別1食労務費!$C$5:$C$124,$T281,⑳商品別1食労務費!$F$5:$F$124)/$AA281,$AB281/$X281))</f>
        <v/>
      </c>
      <c r="AG281" s="413">
        <f>IF($U281="",0,IF($AA281&gt;0,$AB281*SUMIF(⑳商品別1食労務費!$C$5:$C$124,$U281,⑳商品別1食労務費!$F$5:$F$124)/$AA281,$AB281/$X281))</f>
        <v/>
      </c>
      <c r="AH281" s="413">
        <f>IF($V281="",0,IF($AA281&gt;0,$AB281*SUMIF(⑳商品別1食労務費!$C$5:$C$124,$V281,⑳商品別1食労務費!$F$5:$F$124)/$AA281,$AB281/$X281))</f>
        <v/>
      </c>
      <c r="AI281" s="413">
        <f>IF($W281="",0,IF($AA281&gt;0,$AB281*SUMIF(⑳商品別1食労務費!$C$5:$C$124,$W281,⑳商品別1食労務費!$F$5:$F$124)/$AA281,$AB281/$X281))</f>
        <v/>
      </c>
    </row>
    <row r="282">
      <c r="A282" s="188" t="n">
        <v>278</v>
      </c>
      <c r="B282" s="189" t="n"/>
      <c r="C282" s="229" t="n"/>
      <c r="D282" s="190" t="n"/>
      <c r="E282" s="190" t="n"/>
      <c r="F282" s="541">
        <f>IF(OR(D282="",E282=""),"",(E282-D282)*1440)</f>
        <v/>
      </c>
      <c r="G282" s="542" t="n"/>
      <c r="H282" s="542" t="n"/>
      <c r="I282" s="543" t="n"/>
      <c r="J282" s="192" t="n"/>
      <c r="K282" s="544">
        <f>IF(AND(ISNUMBER(F282),I282&gt;0),I282/(F282/60),"")</f>
        <v/>
      </c>
      <c r="L282" s="545" t="n"/>
      <c r="M282" s="194">
        <f>IF(OR(ISNUMBER(SEARCH("サニテーション",C282)),ISNUMBER(SEARCH("客注",C282)),ISNUMBER(SEARCH("切り替え",C282)),ISNUMBER(SEARCH("切替",C282)),NOT(ISNUMBER(H282))),"",IF(ISNUMBER(G282),G282/60*H282*④前提設定!$B$4,IF(AND(G282="",ISNUMBER(F282)),F282/60*H282*④前提設定!$B$4,"")))</f>
        <v/>
      </c>
      <c r="N282" s="546">
        <f>IF(AND(I282&gt;0,ISNUMBER(M282)),M282/I282,"")</f>
        <v/>
      </c>
      <c r="O282" s="547">
        <f>IF(AND(J282&gt;0,ISNUMBER(M282)),M282/J282,"")</f>
        <v/>
      </c>
      <c r="P282" s="195" t="n"/>
      <c r="Q282" s="196" t="n"/>
      <c r="X282" s="334">
        <f>COUNTA(R282:W282)</f>
        <v/>
      </c>
      <c r="Y282" s="334">
        <f>IF(AND($X282&gt;0,ISNUMBER($M282)),$M282/$X282,"")</f>
        <v/>
      </c>
      <c r="Z282" s="334">
        <f>IF($X282=0,"",IF(COUNTIF(⑳商品別1食労務費!$C$5:$C$124,$R282)+COUNTIF(⑳商品別1食労務費!$C$5:$C$124,$S282)+COUNTIF(⑳商品別1食労務費!$C$5:$C$124,$T282)+COUNTIF(⑳商品別1食労務費!$C$5:$C$124,$U282)+COUNTIF(⑳商品別1食労務費!$C$5:$C$124,$V282)+COUNTIF(⑳商品別1食労務費!$C$5:$C$124,$W282)=$X282,"OK","⑳に無い商品名"))</f>
        <v/>
      </c>
      <c r="AA282" s="334">
        <f>SUMIF(⑳商品別1食労務費!$C$5:$C$124,$R282,⑳商品別1食労務費!$F$5:$F$124)+SUMIF(⑳商品別1食労務費!$C$5:$C$124,$S282,⑳商品別1食労務費!$F$5:$F$124)+SUMIF(⑳商品別1食労務費!$C$5:$C$124,$T282,⑳商品別1食労務費!$F$5:$F$124)+SUMIF(⑳商品別1食労務費!$C$5:$C$124,$U282,⑳商品別1食労務費!$F$5:$F$124)+SUMIF(⑳商品別1食労務費!$C$5:$C$124,$V282,⑳商品別1食労務費!$F$5:$F$124)+SUMIF(⑳商品別1食労務費!$C$5:$C$124,$W282,⑳商品別1食労務費!$F$5:$F$124)</f>
        <v/>
      </c>
      <c r="AB282" s="334">
        <f>IF(ISNUMBER($M282),$M282,0)</f>
        <v/>
      </c>
      <c r="AC282" s="334">
        <f>IF(AND($X282&gt;0,ISNUMBER($J282)),$J282/$X282,"")</f>
        <v/>
      </c>
      <c r="AD282" s="413">
        <f>IF($R282="",0,IF($AA282&gt;0,$AB282*SUMIF(⑳商品別1食労務費!$C$5:$C$124,$R282,⑳商品別1食労務費!$F$5:$F$124)/$AA282,$AB282/$X282))</f>
        <v/>
      </c>
      <c r="AE282" s="413">
        <f>IF($S282="",0,IF($AA282&gt;0,$AB282*SUMIF(⑳商品別1食労務費!$C$5:$C$124,$S282,⑳商品別1食労務費!$F$5:$F$124)/$AA282,$AB282/$X282))</f>
        <v/>
      </c>
      <c r="AF282" s="413">
        <f>IF($T282="",0,IF($AA282&gt;0,$AB282*SUMIF(⑳商品別1食労務費!$C$5:$C$124,$T282,⑳商品別1食労務費!$F$5:$F$124)/$AA282,$AB282/$X282))</f>
        <v/>
      </c>
      <c r="AG282" s="413">
        <f>IF($U282="",0,IF($AA282&gt;0,$AB282*SUMIF(⑳商品別1食労務費!$C$5:$C$124,$U282,⑳商品別1食労務費!$F$5:$F$124)/$AA282,$AB282/$X282))</f>
        <v/>
      </c>
      <c r="AH282" s="413">
        <f>IF($V282="",0,IF($AA282&gt;0,$AB282*SUMIF(⑳商品別1食労務費!$C$5:$C$124,$V282,⑳商品別1食労務費!$F$5:$F$124)/$AA282,$AB282/$X282))</f>
        <v/>
      </c>
      <c r="AI282" s="413">
        <f>IF($W282="",0,IF($AA282&gt;0,$AB282*SUMIF(⑳商品別1食労務費!$C$5:$C$124,$W282,⑳商品別1食労務費!$F$5:$F$124)/$AA282,$AB282/$X282))</f>
        <v/>
      </c>
    </row>
    <row r="283">
      <c r="A283" s="197" t="n">
        <v>279</v>
      </c>
      <c r="B283" s="198" t="n"/>
      <c r="C283" s="229" t="n"/>
      <c r="D283" s="190" t="n"/>
      <c r="E283" s="190" t="n"/>
      <c r="F283" s="541">
        <f>IF(OR(D283="",E283=""),"",(E283-D283)*1440)</f>
        <v/>
      </c>
      <c r="G283" s="542" t="n"/>
      <c r="H283" s="542" t="n"/>
      <c r="I283" s="543" t="n"/>
      <c r="J283" s="192" t="n"/>
      <c r="K283" s="544">
        <f>IF(AND(ISNUMBER(F283),I283&gt;0),I283/(F283/60),"")</f>
        <v/>
      </c>
      <c r="L283" s="545" t="n"/>
      <c r="M283" s="194">
        <f>IF(OR(ISNUMBER(SEARCH("サニテーション",C283)),ISNUMBER(SEARCH("客注",C283)),ISNUMBER(SEARCH("切り替え",C283)),ISNUMBER(SEARCH("切替",C283)),NOT(ISNUMBER(H283))),"",IF(ISNUMBER(G283),G283/60*H283*④前提設定!$B$4,IF(AND(G283="",ISNUMBER(F283)),F283/60*H283*④前提設定!$B$4,"")))</f>
        <v/>
      </c>
      <c r="N283" s="546">
        <f>IF(AND(I283&gt;0,ISNUMBER(M283)),M283/I283,"")</f>
        <v/>
      </c>
      <c r="O283" s="547">
        <f>IF(AND(J283&gt;0,ISNUMBER(M283)),M283/J283,"")</f>
        <v/>
      </c>
      <c r="P283" s="199" t="n"/>
      <c r="Q283" s="200" t="n"/>
      <c r="X283" s="334">
        <f>COUNTA(R283:W283)</f>
        <v/>
      </c>
      <c r="Y283" s="334">
        <f>IF(AND($X283&gt;0,ISNUMBER($M283)),$M283/$X283,"")</f>
        <v/>
      </c>
      <c r="Z283" s="334">
        <f>IF($X283=0,"",IF(COUNTIF(⑳商品別1食労務費!$C$5:$C$124,$R283)+COUNTIF(⑳商品別1食労務費!$C$5:$C$124,$S283)+COUNTIF(⑳商品別1食労務費!$C$5:$C$124,$T283)+COUNTIF(⑳商品別1食労務費!$C$5:$C$124,$U283)+COUNTIF(⑳商品別1食労務費!$C$5:$C$124,$V283)+COUNTIF(⑳商品別1食労務費!$C$5:$C$124,$W283)=$X283,"OK","⑳に無い商品名"))</f>
        <v/>
      </c>
      <c r="AA283" s="334">
        <f>SUMIF(⑳商品別1食労務費!$C$5:$C$124,$R283,⑳商品別1食労務費!$F$5:$F$124)+SUMIF(⑳商品別1食労務費!$C$5:$C$124,$S283,⑳商品別1食労務費!$F$5:$F$124)+SUMIF(⑳商品別1食労務費!$C$5:$C$124,$T283,⑳商品別1食労務費!$F$5:$F$124)+SUMIF(⑳商品別1食労務費!$C$5:$C$124,$U283,⑳商品別1食労務費!$F$5:$F$124)+SUMIF(⑳商品別1食労務費!$C$5:$C$124,$V283,⑳商品別1食労務費!$F$5:$F$124)+SUMIF(⑳商品別1食労務費!$C$5:$C$124,$W283,⑳商品別1食労務費!$F$5:$F$124)</f>
        <v/>
      </c>
      <c r="AB283" s="334">
        <f>IF(ISNUMBER($M283),$M283,0)</f>
        <v/>
      </c>
      <c r="AC283" s="334">
        <f>IF(AND($X283&gt;0,ISNUMBER($J283)),$J283/$X283,"")</f>
        <v/>
      </c>
      <c r="AD283" s="413">
        <f>IF($R283="",0,IF($AA283&gt;0,$AB283*SUMIF(⑳商品別1食労務費!$C$5:$C$124,$R283,⑳商品別1食労務費!$F$5:$F$124)/$AA283,$AB283/$X283))</f>
        <v/>
      </c>
      <c r="AE283" s="413">
        <f>IF($S283="",0,IF($AA283&gt;0,$AB283*SUMIF(⑳商品別1食労務費!$C$5:$C$124,$S283,⑳商品別1食労務費!$F$5:$F$124)/$AA283,$AB283/$X283))</f>
        <v/>
      </c>
      <c r="AF283" s="413">
        <f>IF($T283="",0,IF($AA283&gt;0,$AB283*SUMIF(⑳商品別1食労務費!$C$5:$C$124,$T283,⑳商品別1食労務費!$F$5:$F$124)/$AA283,$AB283/$X283))</f>
        <v/>
      </c>
      <c r="AG283" s="413">
        <f>IF($U283="",0,IF($AA283&gt;0,$AB283*SUMIF(⑳商品別1食労務費!$C$5:$C$124,$U283,⑳商品別1食労務費!$F$5:$F$124)/$AA283,$AB283/$X283))</f>
        <v/>
      </c>
      <c r="AH283" s="413">
        <f>IF($V283="",0,IF($AA283&gt;0,$AB283*SUMIF(⑳商品別1食労務費!$C$5:$C$124,$V283,⑳商品別1食労務費!$F$5:$F$124)/$AA283,$AB283/$X283))</f>
        <v/>
      </c>
      <c r="AI283" s="413">
        <f>IF($W283="",0,IF($AA283&gt;0,$AB283*SUMIF(⑳商品別1食労務費!$C$5:$C$124,$W283,⑳商品別1食労務費!$F$5:$F$124)/$AA283,$AB283/$X283))</f>
        <v/>
      </c>
    </row>
    <row r="284">
      <c r="A284" s="188" t="n">
        <v>280</v>
      </c>
      <c r="B284" s="189" t="n"/>
      <c r="C284" s="229" t="n"/>
      <c r="D284" s="190" t="n"/>
      <c r="E284" s="190" t="n"/>
      <c r="F284" s="541">
        <f>IF(OR(D284="",E284=""),"",(E284-D284)*1440)</f>
        <v/>
      </c>
      <c r="G284" s="542" t="n"/>
      <c r="H284" s="542" t="n"/>
      <c r="I284" s="543" t="n"/>
      <c r="J284" s="192" t="n"/>
      <c r="K284" s="544">
        <f>IF(AND(ISNUMBER(F284),I284&gt;0),I284/(F284/60),"")</f>
        <v/>
      </c>
      <c r="L284" s="545" t="n"/>
      <c r="M284" s="194">
        <f>IF(OR(ISNUMBER(SEARCH("サニテーション",C284)),ISNUMBER(SEARCH("客注",C284)),ISNUMBER(SEARCH("切り替え",C284)),ISNUMBER(SEARCH("切替",C284)),NOT(ISNUMBER(H284))),"",IF(ISNUMBER(G284),G284/60*H284*④前提設定!$B$4,IF(AND(G284="",ISNUMBER(F284)),F284/60*H284*④前提設定!$B$4,"")))</f>
        <v/>
      </c>
      <c r="N284" s="546">
        <f>IF(AND(I284&gt;0,ISNUMBER(M284)),M284/I284,"")</f>
        <v/>
      </c>
      <c r="O284" s="547">
        <f>IF(AND(J284&gt;0,ISNUMBER(M284)),M284/J284,"")</f>
        <v/>
      </c>
      <c r="P284" s="195" t="n"/>
      <c r="Q284" s="196" t="n"/>
      <c r="X284" s="334">
        <f>COUNTA(R284:W284)</f>
        <v/>
      </c>
      <c r="Y284" s="334">
        <f>IF(AND($X284&gt;0,ISNUMBER($M284)),$M284/$X284,"")</f>
        <v/>
      </c>
      <c r="Z284" s="334">
        <f>IF($X284=0,"",IF(COUNTIF(⑳商品別1食労務費!$C$5:$C$124,$R284)+COUNTIF(⑳商品別1食労務費!$C$5:$C$124,$S284)+COUNTIF(⑳商品別1食労務費!$C$5:$C$124,$T284)+COUNTIF(⑳商品別1食労務費!$C$5:$C$124,$U284)+COUNTIF(⑳商品別1食労務費!$C$5:$C$124,$V284)+COUNTIF(⑳商品別1食労務費!$C$5:$C$124,$W284)=$X284,"OK","⑳に無い商品名"))</f>
        <v/>
      </c>
      <c r="AA284" s="334">
        <f>SUMIF(⑳商品別1食労務費!$C$5:$C$124,$R284,⑳商品別1食労務費!$F$5:$F$124)+SUMIF(⑳商品別1食労務費!$C$5:$C$124,$S284,⑳商品別1食労務費!$F$5:$F$124)+SUMIF(⑳商品別1食労務費!$C$5:$C$124,$T284,⑳商品別1食労務費!$F$5:$F$124)+SUMIF(⑳商品別1食労務費!$C$5:$C$124,$U284,⑳商品別1食労務費!$F$5:$F$124)+SUMIF(⑳商品別1食労務費!$C$5:$C$124,$V284,⑳商品別1食労務費!$F$5:$F$124)+SUMIF(⑳商品別1食労務費!$C$5:$C$124,$W284,⑳商品別1食労務費!$F$5:$F$124)</f>
        <v/>
      </c>
      <c r="AB284" s="334">
        <f>IF(ISNUMBER($M284),$M284,0)</f>
        <v/>
      </c>
      <c r="AC284" s="334">
        <f>IF(AND($X284&gt;0,ISNUMBER($J284)),$J284/$X284,"")</f>
        <v/>
      </c>
      <c r="AD284" s="413">
        <f>IF($R284="",0,IF($AA284&gt;0,$AB284*SUMIF(⑳商品別1食労務費!$C$5:$C$124,$R284,⑳商品別1食労務費!$F$5:$F$124)/$AA284,$AB284/$X284))</f>
        <v/>
      </c>
      <c r="AE284" s="413">
        <f>IF($S284="",0,IF($AA284&gt;0,$AB284*SUMIF(⑳商品別1食労務費!$C$5:$C$124,$S284,⑳商品別1食労務費!$F$5:$F$124)/$AA284,$AB284/$X284))</f>
        <v/>
      </c>
      <c r="AF284" s="413">
        <f>IF($T284="",0,IF($AA284&gt;0,$AB284*SUMIF(⑳商品別1食労務費!$C$5:$C$124,$T284,⑳商品別1食労務費!$F$5:$F$124)/$AA284,$AB284/$X284))</f>
        <v/>
      </c>
      <c r="AG284" s="413">
        <f>IF($U284="",0,IF($AA284&gt;0,$AB284*SUMIF(⑳商品別1食労務費!$C$5:$C$124,$U284,⑳商品別1食労務費!$F$5:$F$124)/$AA284,$AB284/$X284))</f>
        <v/>
      </c>
      <c r="AH284" s="413">
        <f>IF($V284="",0,IF($AA284&gt;0,$AB284*SUMIF(⑳商品別1食労務費!$C$5:$C$124,$V284,⑳商品別1食労務費!$F$5:$F$124)/$AA284,$AB284/$X284))</f>
        <v/>
      </c>
      <c r="AI284" s="413">
        <f>IF($W284="",0,IF($AA284&gt;0,$AB284*SUMIF(⑳商品別1食労務費!$C$5:$C$124,$W284,⑳商品別1食労務費!$F$5:$F$124)/$AA284,$AB284/$X284))</f>
        <v/>
      </c>
    </row>
    <row r="285">
      <c r="A285" s="197" t="n">
        <v>281</v>
      </c>
      <c r="B285" s="198" t="n"/>
      <c r="C285" s="229" t="n"/>
      <c r="D285" s="190" t="n"/>
      <c r="E285" s="190" t="n"/>
      <c r="F285" s="541">
        <f>IF(OR(D285="",E285=""),"",(E285-D285)*1440)</f>
        <v/>
      </c>
      <c r="G285" s="542" t="n"/>
      <c r="H285" s="542" t="n"/>
      <c r="I285" s="543" t="n"/>
      <c r="J285" s="192" t="n"/>
      <c r="K285" s="544">
        <f>IF(AND(ISNUMBER(F285),I285&gt;0),I285/(F285/60),"")</f>
        <v/>
      </c>
      <c r="L285" s="545" t="n"/>
      <c r="M285" s="194">
        <f>IF(OR(ISNUMBER(SEARCH("サニテーション",C285)),ISNUMBER(SEARCH("客注",C285)),ISNUMBER(SEARCH("切り替え",C285)),ISNUMBER(SEARCH("切替",C285)),NOT(ISNUMBER(H285))),"",IF(ISNUMBER(G285),G285/60*H285*④前提設定!$B$4,IF(AND(G285="",ISNUMBER(F285)),F285/60*H285*④前提設定!$B$4,"")))</f>
        <v/>
      </c>
      <c r="N285" s="546">
        <f>IF(AND(I285&gt;0,ISNUMBER(M285)),M285/I285,"")</f>
        <v/>
      </c>
      <c r="O285" s="547">
        <f>IF(AND(J285&gt;0,ISNUMBER(M285)),M285/J285,"")</f>
        <v/>
      </c>
      <c r="P285" s="199" t="n"/>
      <c r="Q285" s="200" t="n"/>
      <c r="X285" s="334">
        <f>COUNTA(R285:W285)</f>
        <v/>
      </c>
      <c r="Y285" s="334">
        <f>IF(AND($X285&gt;0,ISNUMBER($M285)),$M285/$X285,"")</f>
        <v/>
      </c>
      <c r="Z285" s="334">
        <f>IF($X285=0,"",IF(COUNTIF(⑳商品別1食労務費!$C$5:$C$124,$R285)+COUNTIF(⑳商品別1食労務費!$C$5:$C$124,$S285)+COUNTIF(⑳商品別1食労務費!$C$5:$C$124,$T285)+COUNTIF(⑳商品別1食労務費!$C$5:$C$124,$U285)+COUNTIF(⑳商品別1食労務費!$C$5:$C$124,$V285)+COUNTIF(⑳商品別1食労務費!$C$5:$C$124,$W285)=$X285,"OK","⑳に無い商品名"))</f>
        <v/>
      </c>
      <c r="AA285" s="334">
        <f>SUMIF(⑳商品別1食労務費!$C$5:$C$124,$R285,⑳商品別1食労務費!$F$5:$F$124)+SUMIF(⑳商品別1食労務費!$C$5:$C$124,$S285,⑳商品別1食労務費!$F$5:$F$124)+SUMIF(⑳商品別1食労務費!$C$5:$C$124,$T285,⑳商品別1食労務費!$F$5:$F$124)+SUMIF(⑳商品別1食労務費!$C$5:$C$124,$U285,⑳商品別1食労務費!$F$5:$F$124)+SUMIF(⑳商品別1食労務費!$C$5:$C$124,$V285,⑳商品別1食労務費!$F$5:$F$124)+SUMIF(⑳商品別1食労務費!$C$5:$C$124,$W285,⑳商品別1食労務費!$F$5:$F$124)</f>
        <v/>
      </c>
      <c r="AB285" s="334">
        <f>IF(ISNUMBER($M285),$M285,0)</f>
        <v/>
      </c>
      <c r="AC285" s="334">
        <f>IF(AND($X285&gt;0,ISNUMBER($J285)),$J285/$X285,"")</f>
        <v/>
      </c>
      <c r="AD285" s="413">
        <f>IF($R285="",0,IF($AA285&gt;0,$AB285*SUMIF(⑳商品別1食労務費!$C$5:$C$124,$R285,⑳商品別1食労務費!$F$5:$F$124)/$AA285,$AB285/$X285))</f>
        <v/>
      </c>
      <c r="AE285" s="413">
        <f>IF($S285="",0,IF($AA285&gt;0,$AB285*SUMIF(⑳商品別1食労務費!$C$5:$C$124,$S285,⑳商品別1食労務費!$F$5:$F$124)/$AA285,$AB285/$X285))</f>
        <v/>
      </c>
      <c r="AF285" s="413">
        <f>IF($T285="",0,IF($AA285&gt;0,$AB285*SUMIF(⑳商品別1食労務費!$C$5:$C$124,$T285,⑳商品別1食労務費!$F$5:$F$124)/$AA285,$AB285/$X285))</f>
        <v/>
      </c>
      <c r="AG285" s="413">
        <f>IF($U285="",0,IF($AA285&gt;0,$AB285*SUMIF(⑳商品別1食労務費!$C$5:$C$124,$U285,⑳商品別1食労務費!$F$5:$F$124)/$AA285,$AB285/$X285))</f>
        <v/>
      </c>
      <c r="AH285" s="413">
        <f>IF($V285="",0,IF($AA285&gt;0,$AB285*SUMIF(⑳商品別1食労務費!$C$5:$C$124,$V285,⑳商品別1食労務費!$F$5:$F$124)/$AA285,$AB285/$X285))</f>
        <v/>
      </c>
      <c r="AI285" s="413">
        <f>IF($W285="",0,IF($AA285&gt;0,$AB285*SUMIF(⑳商品別1食労務費!$C$5:$C$124,$W285,⑳商品別1食労務費!$F$5:$F$124)/$AA285,$AB285/$X285))</f>
        <v/>
      </c>
    </row>
    <row r="286">
      <c r="A286" s="188" t="n">
        <v>282</v>
      </c>
      <c r="B286" s="189" t="n"/>
      <c r="C286" s="229" t="n"/>
      <c r="D286" s="190" t="n"/>
      <c r="E286" s="190" t="n"/>
      <c r="F286" s="541">
        <f>IF(OR(D286="",E286=""),"",(E286-D286)*1440)</f>
        <v/>
      </c>
      <c r="G286" s="542" t="n"/>
      <c r="H286" s="542" t="n"/>
      <c r="I286" s="543" t="n"/>
      <c r="J286" s="192" t="n"/>
      <c r="K286" s="544">
        <f>IF(AND(ISNUMBER(F286),I286&gt;0),I286/(F286/60),"")</f>
        <v/>
      </c>
      <c r="L286" s="545" t="n"/>
      <c r="M286" s="194">
        <f>IF(OR(ISNUMBER(SEARCH("サニテーション",C286)),ISNUMBER(SEARCH("客注",C286)),ISNUMBER(SEARCH("切り替え",C286)),ISNUMBER(SEARCH("切替",C286)),NOT(ISNUMBER(H286))),"",IF(ISNUMBER(G286),G286/60*H286*④前提設定!$B$4,IF(AND(G286="",ISNUMBER(F286)),F286/60*H286*④前提設定!$B$4,"")))</f>
        <v/>
      </c>
      <c r="N286" s="546">
        <f>IF(AND(I286&gt;0,ISNUMBER(M286)),M286/I286,"")</f>
        <v/>
      </c>
      <c r="O286" s="547">
        <f>IF(AND(J286&gt;0,ISNUMBER(M286)),M286/J286,"")</f>
        <v/>
      </c>
      <c r="P286" s="195" t="n"/>
      <c r="Q286" s="196" t="n"/>
      <c r="X286" s="334">
        <f>COUNTA(R286:W286)</f>
        <v/>
      </c>
      <c r="Y286" s="334">
        <f>IF(AND($X286&gt;0,ISNUMBER($M286)),$M286/$X286,"")</f>
        <v/>
      </c>
      <c r="Z286" s="334">
        <f>IF($X286=0,"",IF(COUNTIF(⑳商品別1食労務費!$C$5:$C$124,$R286)+COUNTIF(⑳商品別1食労務費!$C$5:$C$124,$S286)+COUNTIF(⑳商品別1食労務費!$C$5:$C$124,$T286)+COUNTIF(⑳商品別1食労務費!$C$5:$C$124,$U286)+COUNTIF(⑳商品別1食労務費!$C$5:$C$124,$V286)+COUNTIF(⑳商品別1食労務費!$C$5:$C$124,$W286)=$X286,"OK","⑳に無い商品名"))</f>
        <v/>
      </c>
      <c r="AA286" s="334">
        <f>SUMIF(⑳商品別1食労務費!$C$5:$C$124,$R286,⑳商品別1食労務費!$F$5:$F$124)+SUMIF(⑳商品別1食労務費!$C$5:$C$124,$S286,⑳商品別1食労務費!$F$5:$F$124)+SUMIF(⑳商品別1食労務費!$C$5:$C$124,$T286,⑳商品別1食労務費!$F$5:$F$124)+SUMIF(⑳商品別1食労務費!$C$5:$C$124,$U286,⑳商品別1食労務費!$F$5:$F$124)+SUMIF(⑳商品別1食労務費!$C$5:$C$124,$V286,⑳商品別1食労務費!$F$5:$F$124)+SUMIF(⑳商品別1食労務費!$C$5:$C$124,$W286,⑳商品別1食労務費!$F$5:$F$124)</f>
        <v/>
      </c>
      <c r="AB286" s="334">
        <f>IF(ISNUMBER($M286),$M286,0)</f>
        <v/>
      </c>
      <c r="AC286" s="334">
        <f>IF(AND($X286&gt;0,ISNUMBER($J286)),$J286/$X286,"")</f>
        <v/>
      </c>
      <c r="AD286" s="413">
        <f>IF($R286="",0,IF($AA286&gt;0,$AB286*SUMIF(⑳商品別1食労務費!$C$5:$C$124,$R286,⑳商品別1食労務費!$F$5:$F$124)/$AA286,$AB286/$X286))</f>
        <v/>
      </c>
      <c r="AE286" s="413">
        <f>IF($S286="",0,IF($AA286&gt;0,$AB286*SUMIF(⑳商品別1食労務費!$C$5:$C$124,$S286,⑳商品別1食労務費!$F$5:$F$124)/$AA286,$AB286/$X286))</f>
        <v/>
      </c>
      <c r="AF286" s="413">
        <f>IF($T286="",0,IF($AA286&gt;0,$AB286*SUMIF(⑳商品別1食労務費!$C$5:$C$124,$T286,⑳商品別1食労務費!$F$5:$F$124)/$AA286,$AB286/$X286))</f>
        <v/>
      </c>
      <c r="AG286" s="413">
        <f>IF($U286="",0,IF($AA286&gt;0,$AB286*SUMIF(⑳商品別1食労務費!$C$5:$C$124,$U286,⑳商品別1食労務費!$F$5:$F$124)/$AA286,$AB286/$X286))</f>
        <v/>
      </c>
      <c r="AH286" s="413">
        <f>IF($V286="",0,IF($AA286&gt;0,$AB286*SUMIF(⑳商品別1食労務費!$C$5:$C$124,$V286,⑳商品別1食労務費!$F$5:$F$124)/$AA286,$AB286/$X286))</f>
        <v/>
      </c>
      <c r="AI286" s="413">
        <f>IF($W286="",0,IF($AA286&gt;0,$AB286*SUMIF(⑳商品別1食労務費!$C$5:$C$124,$W286,⑳商品別1食労務費!$F$5:$F$124)/$AA286,$AB286/$X286))</f>
        <v/>
      </c>
    </row>
    <row r="287">
      <c r="A287" s="197" t="n">
        <v>283</v>
      </c>
      <c r="B287" s="198" t="n"/>
      <c r="C287" s="229" t="n"/>
      <c r="D287" s="190" t="n"/>
      <c r="E287" s="190" t="n"/>
      <c r="F287" s="541">
        <f>IF(OR(D287="",E287=""),"",(E287-D287)*1440)</f>
        <v/>
      </c>
      <c r="G287" s="542" t="n"/>
      <c r="H287" s="542" t="n"/>
      <c r="I287" s="543" t="n"/>
      <c r="J287" s="192" t="n"/>
      <c r="K287" s="544">
        <f>IF(AND(ISNUMBER(F287),I287&gt;0),I287/(F287/60),"")</f>
        <v/>
      </c>
      <c r="L287" s="545" t="n"/>
      <c r="M287" s="194">
        <f>IF(OR(ISNUMBER(SEARCH("サニテーション",C287)),ISNUMBER(SEARCH("客注",C287)),ISNUMBER(SEARCH("切り替え",C287)),ISNUMBER(SEARCH("切替",C287)),NOT(ISNUMBER(H287))),"",IF(ISNUMBER(G287),G287/60*H287*④前提設定!$B$4,IF(AND(G287="",ISNUMBER(F287)),F287/60*H287*④前提設定!$B$4,"")))</f>
        <v/>
      </c>
      <c r="N287" s="546">
        <f>IF(AND(I287&gt;0,ISNUMBER(M287)),M287/I287,"")</f>
        <v/>
      </c>
      <c r="O287" s="547">
        <f>IF(AND(J287&gt;0,ISNUMBER(M287)),M287/J287,"")</f>
        <v/>
      </c>
      <c r="P287" s="199" t="n"/>
      <c r="Q287" s="200" t="n"/>
      <c r="X287" s="334">
        <f>COUNTA(R287:W287)</f>
        <v/>
      </c>
      <c r="Y287" s="334">
        <f>IF(AND($X287&gt;0,ISNUMBER($M287)),$M287/$X287,"")</f>
        <v/>
      </c>
      <c r="Z287" s="334">
        <f>IF($X287=0,"",IF(COUNTIF(⑳商品別1食労務費!$C$5:$C$124,$R287)+COUNTIF(⑳商品別1食労務費!$C$5:$C$124,$S287)+COUNTIF(⑳商品別1食労務費!$C$5:$C$124,$T287)+COUNTIF(⑳商品別1食労務費!$C$5:$C$124,$U287)+COUNTIF(⑳商品別1食労務費!$C$5:$C$124,$V287)+COUNTIF(⑳商品別1食労務費!$C$5:$C$124,$W287)=$X287,"OK","⑳に無い商品名"))</f>
        <v/>
      </c>
      <c r="AA287" s="334">
        <f>SUMIF(⑳商品別1食労務費!$C$5:$C$124,$R287,⑳商品別1食労務費!$F$5:$F$124)+SUMIF(⑳商品別1食労務費!$C$5:$C$124,$S287,⑳商品別1食労務費!$F$5:$F$124)+SUMIF(⑳商品別1食労務費!$C$5:$C$124,$T287,⑳商品別1食労務費!$F$5:$F$124)+SUMIF(⑳商品別1食労務費!$C$5:$C$124,$U287,⑳商品別1食労務費!$F$5:$F$124)+SUMIF(⑳商品別1食労務費!$C$5:$C$124,$V287,⑳商品別1食労務費!$F$5:$F$124)+SUMIF(⑳商品別1食労務費!$C$5:$C$124,$W287,⑳商品別1食労務費!$F$5:$F$124)</f>
        <v/>
      </c>
      <c r="AB287" s="334">
        <f>IF(ISNUMBER($M287),$M287,0)</f>
        <v/>
      </c>
      <c r="AC287" s="334">
        <f>IF(AND($X287&gt;0,ISNUMBER($J287)),$J287/$X287,"")</f>
        <v/>
      </c>
      <c r="AD287" s="413">
        <f>IF($R287="",0,IF($AA287&gt;0,$AB287*SUMIF(⑳商品別1食労務費!$C$5:$C$124,$R287,⑳商品別1食労務費!$F$5:$F$124)/$AA287,$AB287/$X287))</f>
        <v/>
      </c>
      <c r="AE287" s="413">
        <f>IF($S287="",0,IF($AA287&gt;0,$AB287*SUMIF(⑳商品別1食労務費!$C$5:$C$124,$S287,⑳商品別1食労務費!$F$5:$F$124)/$AA287,$AB287/$X287))</f>
        <v/>
      </c>
      <c r="AF287" s="413">
        <f>IF($T287="",0,IF($AA287&gt;0,$AB287*SUMIF(⑳商品別1食労務費!$C$5:$C$124,$T287,⑳商品別1食労務費!$F$5:$F$124)/$AA287,$AB287/$X287))</f>
        <v/>
      </c>
      <c r="AG287" s="413">
        <f>IF($U287="",0,IF($AA287&gt;0,$AB287*SUMIF(⑳商品別1食労務費!$C$5:$C$124,$U287,⑳商品別1食労務費!$F$5:$F$124)/$AA287,$AB287/$X287))</f>
        <v/>
      </c>
      <c r="AH287" s="413">
        <f>IF($V287="",0,IF($AA287&gt;0,$AB287*SUMIF(⑳商品別1食労務費!$C$5:$C$124,$V287,⑳商品別1食労務費!$F$5:$F$124)/$AA287,$AB287/$X287))</f>
        <v/>
      </c>
      <c r="AI287" s="413">
        <f>IF($W287="",0,IF($AA287&gt;0,$AB287*SUMIF(⑳商品別1食労務費!$C$5:$C$124,$W287,⑳商品別1食労務費!$F$5:$F$124)/$AA287,$AB287/$X287))</f>
        <v/>
      </c>
    </row>
    <row r="288">
      <c r="A288" s="188" t="n">
        <v>284</v>
      </c>
      <c r="B288" s="189" t="n"/>
      <c r="C288" s="229" t="n"/>
      <c r="D288" s="190" t="n"/>
      <c r="E288" s="190" t="n"/>
      <c r="F288" s="541">
        <f>IF(OR(D288="",E288=""),"",(E288-D288)*1440)</f>
        <v/>
      </c>
      <c r="G288" s="542" t="n"/>
      <c r="H288" s="542" t="n"/>
      <c r="I288" s="543" t="n"/>
      <c r="J288" s="192" t="n"/>
      <c r="K288" s="544">
        <f>IF(AND(ISNUMBER(F288),I288&gt;0),I288/(F288/60),"")</f>
        <v/>
      </c>
      <c r="L288" s="545" t="n"/>
      <c r="M288" s="194">
        <f>IF(OR(ISNUMBER(SEARCH("サニテーション",C288)),ISNUMBER(SEARCH("客注",C288)),ISNUMBER(SEARCH("切り替え",C288)),ISNUMBER(SEARCH("切替",C288)),NOT(ISNUMBER(H288))),"",IF(ISNUMBER(G288),G288/60*H288*④前提設定!$B$4,IF(AND(G288="",ISNUMBER(F288)),F288/60*H288*④前提設定!$B$4,"")))</f>
        <v/>
      </c>
      <c r="N288" s="546">
        <f>IF(AND(I288&gt;0,ISNUMBER(M288)),M288/I288,"")</f>
        <v/>
      </c>
      <c r="O288" s="547">
        <f>IF(AND(J288&gt;0,ISNUMBER(M288)),M288/J288,"")</f>
        <v/>
      </c>
      <c r="P288" s="195" t="n"/>
      <c r="Q288" s="196" t="n"/>
      <c r="X288" s="334">
        <f>COUNTA(R288:W288)</f>
        <v/>
      </c>
      <c r="Y288" s="334">
        <f>IF(AND($X288&gt;0,ISNUMBER($M288)),$M288/$X288,"")</f>
        <v/>
      </c>
      <c r="Z288" s="334">
        <f>IF($X288=0,"",IF(COUNTIF(⑳商品別1食労務費!$C$5:$C$124,$R288)+COUNTIF(⑳商品別1食労務費!$C$5:$C$124,$S288)+COUNTIF(⑳商品別1食労務費!$C$5:$C$124,$T288)+COUNTIF(⑳商品別1食労務費!$C$5:$C$124,$U288)+COUNTIF(⑳商品別1食労務費!$C$5:$C$124,$V288)+COUNTIF(⑳商品別1食労務費!$C$5:$C$124,$W288)=$X288,"OK","⑳に無い商品名"))</f>
        <v/>
      </c>
      <c r="AA288" s="334">
        <f>SUMIF(⑳商品別1食労務費!$C$5:$C$124,$R288,⑳商品別1食労務費!$F$5:$F$124)+SUMIF(⑳商品別1食労務費!$C$5:$C$124,$S288,⑳商品別1食労務費!$F$5:$F$124)+SUMIF(⑳商品別1食労務費!$C$5:$C$124,$T288,⑳商品別1食労務費!$F$5:$F$124)+SUMIF(⑳商品別1食労務費!$C$5:$C$124,$U288,⑳商品別1食労務費!$F$5:$F$124)+SUMIF(⑳商品別1食労務費!$C$5:$C$124,$V288,⑳商品別1食労務費!$F$5:$F$124)+SUMIF(⑳商品別1食労務費!$C$5:$C$124,$W288,⑳商品別1食労務費!$F$5:$F$124)</f>
        <v/>
      </c>
      <c r="AB288" s="334">
        <f>IF(ISNUMBER($M288),$M288,0)</f>
        <v/>
      </c>
      <c r="AC288" s="334">
        <f>IF(AND($X288&gt;0,ISNUMBER($J288)),$J288/$X288,"")</f>
        <v/>
      </c>
      <c r="AD288" s="413">
        <f>IF($R288="",0,IF($AA288&gt;0,$AB288*SUMIF(⑳商品別1食労務費!$C$5:$C$124,$R288,⑳商品別1食労務費!$F$5:$F$124)/$AA288,$AB288/$X288))</f>
        <v/>
      </c>
      <c r="AE288" s="413">
        <f>IF($S288="",0,IF($AA288&gt;0,$AB288*SUMIF(⑳商品別1食労務費!$C$5:$C$124,$S288,⑳商品別1食労務費!$F$5:$F$124)/$AA288,$AB288/$X288))</f>
        <v/>
      </c>
      <c r="AF288" s="413">
        <f>IF($T288="",0,IF($AA288&gt;0,$AB288*SUMIF(⑳商品別1食労務費!$C$5:$C$124,$T288,⑳商品別1食労務費!$F$5:$F$124)/$AA288,$AB288/$X288))</f>
        <v/>
      </c>
      <c r="AG288" s="413">
        <f>IF($U288="",0,IF($AA288&gt;0,$AB288*SUMIF(⑳商品別1食労務費!$C$5:$C$124,$U288,⑳商品別1食労務費!$F$5:$F$124)/$AA288,$AB288/$X288))</f>
        <v/>
      </c>
      <c r="AH288" s="413">
        <f>IF($V288="",0,IF($AA288&gt;0,$AB288*SUMIF(⑳商品別1食労務費!$C$5:$C$124,$V288,⑳商品別1食労務費!$F$5:$F$124)/$AA288,$AB288/$X288))</f>
        <v/>
      </c>
      <c r="AI288" s="413">
        <f>IF($W288="",0,IF($AA288&gt;0,$AB288*SUMIF(⑳商品別1食労務費!$C$5:$C$124,$W288,⑳商品別1食労務費!$F$5:$F$124)/$AA288,$AB288/$X288))</f>
        <v/>
      </c>
    </row>
    <row r="289">
      <c r="A289" s="197" t="n">
        <v>285</v>
      </c>
      <c r="B289" s="198" t="n"/>
      <c r="C289" s="229" t="n"/>
      <c r="D289" s="190" t="n"/>
      <c r="E289" s="190" t="n"/>
      <c r="F289" s="541">
        <f>IF(OR(D289="",E289=""),"",(E289-D289)*1440)</f>
        <v/>
      </c>
      <c r="G289" s="542" t="n"/>
      <c r="H289" s="542" t="n"/>
      <c r="I289" s="543" t="n"/>
      <c r="J289" s="192" t="n"/>
      <c r="K289" s="544">
        <f>IF(AND(ISNUMBER(F289),I289&gt;0),I289/(F289/60),"")</f>
        <v/>
      </c>
      <c r="L289" s="545" t="n"/>
      <c r="M289" s="194">
        <f>IF(OR(ISNUMBER(SEARCH("サニテーション",C289)),ISNUMBER(SEARCH("客注",C289)),ISNUMBER(SEARCH("切り替え",C289)),ISNUMBER(SEARCH("切替",C289)),NOT(ISNUMBER(H289))),"",IF(ISNUMBER(G289),G289/60*H289*④前提設定!$B$4,IF(AND(G289="",ISNUMBER(F289)),F289/60*H289*④前提設定!$B$4,"")))</f>
        <v/>
      </c>
      <c r="N289" s="546">
        <f>IF(AND(I289&gt;0,ISNUMBER(M289)),M289/I289,"")</f>
        <v/>
      </c>
      <c r="O289" s="547">
        <f>IF(AND(J289&gt;0,ISNUMBER(M289)),M289/J289,"")</f>
        <v/>
      </c>
      <c r="P289" s="199" t="n"/>
      <c r="Q289" s="200" t="n"/>
      <c r="X289" s="334">
        <f>COUNTA(R289:W289)</f>
        <v/>
      </c>
      <c r="Y289" s="334">
        <f>IF(AND($X289&gt;0,ISNUMBER($M289)),$M289/$X289,"")</f>
        <v/>
      </c>
      <c r="Z289" s="334">
        <f>IF($X289=0,"",IF(COUNTIF(⑳商品別1食労務費!$C$5:$C$124,$R289)+COUNTIF(⑳商品別1食労務費!$C$5:$C$124,$S289)+COUNTIF(⑳商品別1食労務費!$C$5:$C$124,$T289)+COUNTIF(⑳商品別1食労務費!$C$5:$C$124,$U289)+COUNTIF(⑳商品別1食労務費!$C$5:$C$124,$V289)+COUNTIF(⑳商品別1食労務費!$C$5:$C$124,$W289)=$X289,"OK","⑳に無い商品名"))</f>
        <v/>
      </c>
      <c r="AA289" s="334">
        <f>SUMIF(⑳商品別1食労務費!$C$5:$C$124,$R289,⑳商品別1食労務費!$F$5:$F$124)+SUMIF(⑳商品別1食労務費!$C$5:$C$124,$S289,⑳商品別1食労務費!$F$5:$F$124)+SUMIF(⑳商品別1食労務費!$C$5:$C$124,$T289,⑳商品別1食労務費!$F$5:$F$124)+SUMIF(⑳商品別1食労務費!$C$5:$C$124,$U289,⑳商品別1食労務費!$F$5:$F$124)+SUMIF(⑳商品別1食労務費!$C$5:$C$124,$V289,⑳商品別1食労務費!$F$5:$F$124)+SUMIF(⑳商品別1食労務費!$C$5:$C$124,$W289,⑳商品別1食労務費!$F$5:$F$124)</f>
        <v/>
      </c>
      <c r="AB289" s="334">
        <f>IF(ISNUMBER($M289),$M289,0)</f>
        <v/>
      </c>
      <c r="AC289" s="334">
        <f>IF(AND($X289&gt;0,ISNUMBER($J289)),$J289/$X289,"")</f>
        <v/>
      </c>
      <c r="AD289" s="413">
        <f>IF($R289="",0,IF($AA289&gt;0,$AB289*SUMIF(⑳商品別1食労務費!$C$5:$C$124,$R289,⑳商品別1食労務費!$F$5:$F$124)/$AA289,$AB289/$X289))</f>
        <v/>
      </c>
      <c r="AE289" s="413">
        <f>IF($S289="",0,IF($AA289&gt;0,$AB289*SUMIF(⑳商品別1食労務費!$C$5:$C$124,$S289,⑳商品別1食労務費!$F$5:$F$124)/$AA289,$AB289/$X289))</f>
        <v/>
      </c>
      <c r="AF289" s="413">
        <f>IF($T289="",0,IF($AA289&gt;0,$AB289*SUMIF(⑳商品別1食労務費!$C$5:$C$124,$T289,⑳商品別1食労務費!$F$5:$F$124)/$AA289,$AB289/$X289))</f>
        <v/>
      </c>
      <c r="AG289" s="413">
        <f>IF($U289="",0,IF($AA289&gt;0,$AB289*SUMIF(⑳商品別1食労務費!$C$5:$C$124,$U289,⑳商品別1食労務費!$F$5:$F$124)/$AA289,$AB289/$X289))</f>
        <v/>
      </c>
      <c r="AH289" s="413">
        <f>IF($V289="",0,IF($AA289&gt;0,$AB289*SUMIF(⑳商品別1食労務費!$C$5:$C$124,$V289,⑳商品別1食労務費!$F$5:$F$124)/$AA289,$AB289/$X289))</f>
        <v/>
      </c>
      <c r="AI289" s="413">
        <f>IF($W289="",0,IF($AA289&gt;0,$AB289*SUMIF(⑳商品別1食労務費!$C$5:$C$124,$W289,⑳商品別1食労務費!$F$5:$F$124)/$AA289,$AB289/$X289))</f>
        <v/>
      </c>
    </row>
    <row r="290">
      <c r="A290" s="188" t="n">
        <v>286</v>
      </c>
      <c r="B290" s="189" t="n"/>
      <c r="C290" s="229" t="n"/>
      <c r="D290" s="190" t="n"/>
      <c r="E290" s="190" t="n"/>
      <c r="F290" s="541">
        <f>IF(OR(D290="",E290=""),"",(E290-D290)*1440)</f>
        <v/>
      </c>
      <c r="G290" s="542" t="n"/>
      <c r="H290" s="542" t="n"/>
      <c r="I290" s="543" t="n"/>
      <c r="J290" s="192" t="n"/>
      <c r="K290" s="544">
        <f>IF(AND(ISNUMBER(F290),I290&gt;0),I290/(F290/60),"")</f>
        <v/>
      </c>
      <c r="L290" s="545" t="n"/>
      <c r="M290" s="194">
        <f>IF(OR(ISNUMBER(SEARCH("サニテーション",C290)),ISNUMBER(SEARCH("客注",C290)),ISNUMBER(SEARCH("切り替え",C290)),ISNUMBER(SEARCH("切替",C290)),NOT(ISNUMBER(H290))),"",IF(ISNUMBER(G290),G290/60*H290*④前提設定!$B$4,IF(AND(G290="",ISNUMBER(F290)),F290/60*H290*④前提設定!$B$4,"")))</f>
        <v/>
      </c>
      <c r="N290" s="546">
        <f>IF(AND(I290&gt;0,ISNUMBER(M290)),M290/I290,"")</f>
        <v/>
      </c>
      <c r="O290" s="547">
        <f>IF(AND(J290&gt;0,ISNUMBER(M290)),M290/J290,"")</f>
        <v/>
      </c>
      <c r="P290" s="195" t="n"/>
      <c r="Q290" s="196" t="n"/>
      <c r="X290" s="334">
        <f>COUNTA(R290:W290)</f>
        <v/>
      </c>
      <c r="Y290" s="334">
        <f>IF(AND($X290&gt;0,ISNUMBER($M290)),$M290/$X290,"")</f>
        <v/>
      </c>
      <c r="Z290" s="334">
        <f>IF($X290=0,"",IF(COUNTIF(⑳商品別1食労務費!$C$5:$C$124,$R290)+COUNTIF(⑳商品別1食労務費!$C$5:$C$124,$S290)+COUNTIF(⑳商品別1食労務費!$C$5:$C$124,$T290)+COUNTIF(⑳商品別1食労務費!$C$5:$C$124,$U290)+COUNTIF(⑳商品別1食労務費!$C$5:$C$124,$V290)+COUNTIF(⑳商品別1食労務費!$C$5:$C$124,$W290)=$X290,"OK","⑳に無い商品名"))</f>
        <v/>
      </c>
      <c r="AA290" s="334">
        <f>SUMIF(⑳商品別1食労務費!$C$5:$C$124,$R290,⑳商品別1食労務費!$F$5:$F$124)+SUMIF(⑳商品別1食労務費!$C$5:$C$124,$S290,⑳商品別1食労務費!$F$5:$F$124)+SUMIF(⑳商品別1食労務費!$C$5:$C$124,$T290,⑳商品別1食労務費!$F$5:$F$124)+SUMIF(⑳商品別1食労務費!$C$5:$C$124,$U290,⑳商品別1食労務費!$F$5:$F$124)+SUMIF(⑳商品別1食労務費!$C$5:$C$124,$V290,⑳商品別1食労務費!$F$5:$F$124)+SUMIF(⑳商品別1食労務費!$C$5:$C$124,$W290,⑳商品別1食労務費!$F$5:$F$124)</f>
        <v/>
      </c>
      <c r="AB290" s="334">
        <f>IF(ISNUMBER($M290),$M290,0)</f>
        <v/>
      </c>
      <c r="AC290" s="334">
        <f>IF(AND($X290&gt;0,ISNUMBER($J290)),$J290/$X290,"")</f>
        <v/>
      </c>
      <c r="AD290" s="413">
        <f>IF($R290="",0,IF($AA290&gt;0,$AB290*SUMIF(⑳商品別1食労務費!$C$5:$C$124,$R290,⑳商品別1食労務費!$F$5:$F$124)/$AA290,$AB290/$X290))</f>
        <v/>
      </c>
      <c r="AE290" s="413">
        <f>IF($S290="",0,IF($AA290&gt;0,$AB290*SUMIF(⑳商品別1食労務費!$C$5:$C$124,$S290,⑳商品別1食労務費!$F$5:$F$124)/$AA290,$AB290/$X290))</f>
        <v/>
      </c>
      <c r="AF290" s="413">
        <f>IF($T290="",0,IF($AA290&gt;0,$AB290*SUMIF(⑳商品別1食労務費!$C$5:$C$124,$T290,⑳商品別1食労務費!$F$5:$F$124)/$AA290,$AB290/$X290))</f>
        <v/>
      </c>
      <c r="AG290" s="413">
        <f>IF($U290="",0,IF($AA290&gt;0,$AB290*SUMIF(⑳商品別1食労務費!$C$5:$C$124,$U290,⑳商品別1食労務費!$F$5:$F$124)/$AA290,$AB290/$X290))</f>
        <v/>
      </c>
      <c r="AH290" s="413">
        <f>IF($V290="",0,IF($AA290&gt;0,$AB290*SUMIF(⑳商品別1食労務費!$C$5:$C$124,$V290,⑳商品別1食労務費!$F$5:$F$124)/$AA290,$AB290/$X290))</f>
        <v/>
      </c>
      <c r="AI290" s="413">
        <f>IF($W290="",0,IF($AA290&gt;0,$AB290*SUMIF(⑳商品別1食労務費!$C$5:$C$124,$W290,⑳商品別1食労務費!$F$5:$F$124)/$AA290,$AB290/$X290))</f>
        <v/>
      </c>
    </row>
    <row r="291">
      <c r="A291" s="197" t="n">
        <v>287</v>
      </c>
      <c r="B291" s="198" t="n"/>
      <c r="C291" s="229" t="n"/>
      <c r="D291" s="190" t="n"/>
      <c r="E291" s="190" t="n"/>
      <c r="F291" s="541">
        <f>IF(OR(D291="",E291=""),"",(E291-D291)*1440)</f>
        <v/>
      </c>
      <c r="G291" s="542" t="n"/>
      <c r="H291" s="542" t="n"/>
      <c r="I291" s="543" t="n"/>
      <c r="J291" s="192" t="n"/>
      <c r="K291" s="544">
        <f>IF(AND(ISNUMBER(F291),I291&gt;0),I291/(F291/60),"")</f>
        <v/>
      </c>
      <c r="L291" s="545" t="n"/>
      <c r="M291" s="194">
        <f>IF(OR(ISNUMBER(SEARCH("サニテーション",C291)),ISNUMBER(SEARCH("客注",C291)),ISNUMBER(SEARCH("切り替え",C291)),ISNUMBER(SEARCH("切替",C291)),NOT(ISNUMBER(H291))),"",IF(ISNUMBER(G291),G291/60*H291*④前提設定!$B$4,IF(AND(G291="",ISNUMBER(F291)),F291/60*H291*④前提設定!$B$4,"")))</f>
        <v/>
      </c>
      <c r="N291" s="546">
        <f>IF(AND(I291&gt;0,ISNUMBER(M291)),M291/I291,"")</f>
        <v/>
      </c>
      <c r="O291" s="547">
        <f>IF(AND(J291&gt;0,ISNUMBER(M291)),M291/J291,"")</f>
        <v/>
      </c>
      <c r="P291" s="199" t="n"/>
      <c r="Q291" s="200" t="n"/>
      <c r="X291" s="334">
        <f>COUNTA(R291:W291)</f>
        <v/>
      </c>
      <c r="Y291" s="334">
        <f>IF(AND($X291&gt;0,ISNUMBER($M291)),$M291/$X291,"")</f>
        <v/>
      </c>
      <c r="Z291" s="334">
        <f>IF($X291=0,"",IF(COUNTIF(⑳商品別1食労務費!$C$5:$C$124,$R291)+COUNTIF(⑳商品別1食労務費!$C$5:$C$124,$S291)+COUNTIF(⑳商品別1食労務費!$C$5:$C$124,$T291)+COUNTIF(⑳商品別1食労務費!$C$5:$C$124,$U291)+COUNTIF(⑳商品別1食労務費!$C$5:$C$124,$V291)+COUNTIF(⑳商品別1食労務費!$C$5:$C$124,$W291)=$X291,"OK","⑳に無い商品名"))</f>
        <v/>
      </c>
      <c r="AA291" s="334">
        <f>SUMIF(⑳商品別1食労務費!$C$5:$C$124,$R291,⑳商品別1食労務費!$F$5:$F$124)+SUMIF(⑳商品別1食労務費!$C$5:$C$124,$S291,⑳商品別1食労務費!$F$5:$F$124)+SUMIF(⑳商品別1食労務費!$C$5:$C$124,$T291,⑳商品別1食労務費!$F$5:$F$124)+SUMIF(⑳商品別1食労務費!$C$5:$C$124,$U291,⑳商品別1食労務費!$F$5:$F$124)+SUMIF(⑳商品別1食労務費!$C$5:$C$124,$V291,⑳商品別1食労務費!$F$5:$F$124)+SUMIF(⑳商品別1食労務費!$C$5:$C$124,$W291,⑳商品別1食労務費!$F$5:$F$124)</f>
        <v/>
      </c>
      <c r="AB291" s="334">
        <f>IF(ISNUMBER($M291),$M291,0)</f>
        <v/>
      </c>
      <c r="AC291" s="334">
        <f>IF(AND($X291&gt;0,ISNUMBER($J291)),$J291/$X291,"")</f>
        <v/>
      </c>
      <c r="AD291" s="413">
        <f>IF($R291="",0,IF($AA291&gt;0,$AB291*SUMIF(⑳商品別1食労務費!$C$5:$C$124,$R291,⑳商品別1食労務費!$F$5:$F$124)/$AA291,$AB291/$X291))</f>
        <v/>
      </c>
      <c r="AE291" s="413">
        <f>IF($S291="",0,IF($AA291&gt;0,$AB291*SUMIF(⑳商品別1食労務費!$C$5:$C$124,$S291,⑳商品別1食労務費!$F$5:$F$124)/$AA291,$AB291/$X291))</f>
        <v/>
      </c>
      <c r="AF291" s="413">
        <f>IF($T291="",0,IF($AA291&gt;0,$AB291*SUMIF(⑳商品別1食労務費!$C$5:$C$124,$T291,⑳商品別1食労務費!$F$5:$F$124)/$AA291,$AB291/$X291))</f>
        <v/>
      </c>
      <c r="AG291" s="413">
        <f>IF($U291="",0,IF($AA291&gt;0,$AB291*SUMIF(⑳商品別1食労務費!$C$5:$C$124,$U291,⑳商品別1食労務費!$F$5:$F$124)/$AA291,$AB291/$X291))</f>
        <v/>
      </c>
      <c r="AH291" s="413">
        <f>IF($V291="",0,IF($AA291&gt;0,$AB291*SUMIF(⑳商品別1食労務費!$C$5:$C$124,$V291,⑳商品別1食労務費!$F$5:$F$124)/$AA291,$AB291/$X291))</f>
        <v/>
      </c>
      <c r="AI291" s="413">
        <f>IF($W291="",0,IF($AA291&gt;0,$AB291*SUMIF(⑳商品別1食労務費!$C$5:$C$124,$W291,⑳商品別1食労務費!$F$5:$F$124)/$AA291,$AB291/$X291))</f>
        <v/>
      </c>
    </row>
    <row r="292">
      <c r="A292" s="188" t="n">
        <v>288</v>
      </c>
      <c r="B292" s="189" t="n"/>
      <c r="C292" s="229" t="n"/>
      <c r="D292" s="190" t="n"/>
      <c r="E292" s="190" t="n"/>
      <c r="F292" s="541">
        <f>IF(OR(D292="",E292=""),"",(E292-D292)*1440)</f>
        <v/>
      </c>
      <c r="G292" s="542" t="n"/>
      <c r="H292" s="542" t="n"/>
      <c r="I292" s="543" t="n"/>
      <c r="J292" s="192" t="n"/>
      <c r="K292" s="544">
        <f>IF(AND(ISNUMBER(F292),I292&gt;0),I292/(F292/60),"")</f>
        <v/>
      </c>
      <c r="L292" s="545" t="n"/>
      <c r="M292" s="194">
        <f>IF(OR(ISNUMBER(SEARCH("サニテーション",C292)),ISNUMBER(SEARCH("客注",C292)),ISNUMBER(SEARCH("切り替え",C292)),ISNUMBER(SEARCH("切替",C292)),NOT(ISNUMBER(H292))),"",IF(ISNUMBER(G292),G292/60*H292*④前提設定!$B$4,IF(AND(G292="",ISNUMBER(F292)),F292/60*H292*④前提設定!$B$4,"")))</f>
        <v/>
      </c>
      <c r="N292" s="546">
        <f>IF(AND(I292&gt;0,ISNUMBER(M292)),M292/I292,"")</f>
        <v/>
      </c>
      <c r="O292" s="547">
        <f>IF(AND(J292&gt;0,ISNUMBER(M292)),M292/J292,"")</f>
        <v/>
      </c>
      <c r="P292" s="195" t="n"/>
      <c r="Q292" s="196" t="n"/>
      <c r="X292" s="334">
        <f>COUNTA(R292:W292)</f>
        <v/>
      </c>
      <c r="Y292" s="334">
        <f>IF(AND($X292&gt;0,ISNUMBER($M292)),$M292/$X292,"")</f>
        <v/>
      </c>
      <c r="Z292" s="334">
        <f>IF($X292=0,"",IF(COUNTIF(⑳商品別1食労務費!$C$5:$C$124,$R292)+COUNTIF(⑳商品別1食労務費!$C$5:$C$124,$S292)+COUNTIF(⑳商品別1食労務費!$C$5:$C$124,$T292)+COUNTIF(⑳商品別1食労務費!$C$5:$C$124,$U292)+COUNTIF(⑳商品別1食労務費!$C$5:$C$124,$V292)+COUNTIF(⑳商品別1食労務費!$C$5:$C$124,$W292)=$X292,"OK","⑳に無い商品名"))</f>
        <v/>
      </c>
      <c r="AA292" s="334">
        <f>SUMIF(⑳商品別1食労務費!$C$5:$C$124,$R292,⑳商品別1食労務費!$F$5:$F$124)+SUMIF(⑳商品別1食労務費!$C$5:$C$124,$S292,⑳商品別1食労務費!$F$5:$F$124)+SUMIF(⑳商品別1食労務費!$C$5:$C$124,$T292,⑳商品別1食労務費!$F$5:$F$124)+SUMIF(⑳商品別1食労務費!$C$5:$C$124,$U292,⑳商品別1食労務費!$F$5:$F$124)+SUMIF(⑳商品別1食労務費!$C$5:$C$124,$V292,⑳商品別1食労務費!$F$5:$F$124)+SUMIF(⑳商品別1食労務費!$C$5:$C$124,$W292,⑳商品別1食労務費!$F$5:$F$124)</f>
        <v/>
      </c>
      <c r="AB292" s="334">
        <f>IF(ISNUMBER($M292),$M292,0)</f>
        <v/>
      </c>
      <c r="AC292" s="334">
        <f>IF(AND($X292&gt;0,ISNUMBER($J292)),$J292/$X292,"")</f>
        <v/>
      </c>
      <c r="AD292" s="413">
        <f>IF($R292="",0,IF($AA292&gt;0,$AB292*SUMIF(⑳商品別1食労務費!$C$5:$C$124,$R292,⑳商品別1食労務費!$F$5:$F$124)/$AA292,$AB292/$X292))</f>
        <v/>
      </c>
      <c r="AE292" s="413">
        <f>IF($S292="",0,IF($AA292&gt;0,$AB292*SUMIF(⑳商品別1食労務費!$C$5:$C$124,$S292,⑳商品別1食労務費!$F$5:$F$124)/$AA292,$AB292/$X292))</f>
        <v/>
      </c>
      <c r="AF292" s="413">
        <f>IF($T292="",0,IF($AA292&gt;0,$AB292*SUMIF(⑳商品別1食労務費!$C$5:$C$124,$T292,⑳商品別1食労務費!$F$5:$F$124)/$AA292,$AB292/$X292))</f>
        <v/>
      </c>
      <c r="AG292" s="413">
        <f>IF($U292="",0,IF($AA292&gt;0,$AB292*SUMIF(⑳商品別1食労務費!$C$5:$C$124,$U292,⑳商品別1食労務費!$F$5:$F$124)/$AA292,$AB292/$X292))</f>
        <v/>
      </c>
      <c r="AH292" s="413">
        <f>IF($V292="",0,IF($AA292&gt;0,$AB292*SUMIF(⑳商品別1食労務費!$C$5:$C$124,$V292,⑳商品別1食労務費!$F$5:$F$124)/$AA292,$AB292/$X292))</f>
        <v/>
      </c>
      <c r="AI292" s="413">
        <f>IF($W292="",0,IF($AA292&gt;0,$AB292*SUMIF(⑳商品別1食労務費!$C$5:$C$124,$W292,⑳商品別1食労務費!$F$5:$F$124)/$AA292,$AB292/$X292))</f>
        <v/>
      </c>
    </row>
    <row r="293">
      <c r="A293" s="197" t="n">
        <v>289</v>
      </c>
      <c r="B293" s="198" t="n"/>
      <c r="C293" s="229" t="n"/>
      <c r="D293" s="190" t="n"/>
      <c r="E293" s="190" t="n"/>
      <c r="F293" s="541">
        <f>IF(OR(D293="",E293=""),"",(E293-D293)*1440)</f>
        <v/>
      </c>
      <c r="G293" s="542" t="n"/>
      <c r="H293" s="542" t="n"/>
      <c r="I293" s="543" t="n"/>
      <c r="J293" s="192" t="n"/>
      <c r="K293" s="544">
        <f>IF(AND(ISNUMBER(F293),I293&gt;0),I293/(F293/60),"")</f>
        <v/>
      </c>
      <c r="L293" s="545" t="n"/>
      <c r="M293" s="194">
        <f>IF(OR(ISNUMBER(SEARCH("サニテーション",C293)),ISNUMBER(SEARCH("客注",C293)),ISNUMBER(SEARCH("切り替え",C293)),ISNUMBER(SEARCH("切替",C293)),NOT(ISNUMBER(H293))),"",IF(ISNUMBER(G293),G293/60*H293*④前提設定!$B$4,IF(AND(G293="",ISNUMBER(F293)),F293/60*H293*④前提設定!$B$4,"")))</f>
        <v/>
      </c>
      <c r="N293" s="546">
        <f>IF(AND(I293&gt;0,ISNUMBER(M293)),M293/I293,"")</f>
        <v/>
      </c>
      <c r="O293" s="547">
        <f>IF(AND(J293&gt;0,ISNUMBER(M293)),M293/J293,"")</f>
        <v/>
      </c>
      <c r="P293" s="199" t="n"/>
      <c r="Q293" s="200" t="n"/>
      <c r="X293" s="334">
        <f>COUNTA(R293:W293)</f>
        <v/>
      </c>
      <c r="Y293" s="334">
        <f>IF(AND($X293&gt;0,ISNUMBER($M293)),$M293/$X293,"")</f>
        <v/>
      </c>
      <c r="Z293" s="334">
        <f>IF($X293=0,"",IF(COUNTIF(⑳商品別1食労務費!$C$5:$C$124,$R293)+COUNTIF(⑳商品別1食労務費!$C$5:$C$124,$S293)+COUNTIF(⑳商品別1食労務費!$C$5:$C$124,$T293)+COUNTIF(⑳商品別1食労務費!$C$5:$C$124,$U293)+COUNTIF(⑳商品別1食労務費!$C$5:$C$124,$V293)+COUNTIF(⑳商品別1食労務費!$C$5:$C$124,$W293)=$X293,"OK","⑳に無い商品名"))</f>
        <v/>
      </c>
      <c r="AA293" s="334">
        <f>SUMIF(⑳商品別1食労務費!$C$5:$C$124,$R293,⑳商品別1食労務費!$F$5:$F$124)+SUMIF(⑳商品別1食労務費!$C$5:$C$124,$S293,⑳商品別1食労務費!$F$5:$F$124)+SUMIF(⑳商品別1食労務費!$C$5:$C$124,$T293,⑳商品別1食労務費!$F$5:$F$124)+SUMIF(⑳商品別1食労務費!$C$5:$C$124,$U293,⑳商品別1食労務費!$F$5:$F$124)+SUMIF(⑳商品別1食労務費!$C$5:$C$124,$V293,⑳商品別1食労務費!$F$5:$F$124)+SUMIF(⑳商品別1食労務費!$C$5:$C$124,$W293,⑳商品別1食労務費!$F$5:$F$124)</f>
        <v/>
      </c>
      <c r="AB293" s="334">
        <f>IF(ISNUMBER($M293),$M293,0)</f>
        <v/>
      </c>
      <c r="AC293" s="334">
        <f>IF(AND($X293&gt;0,ISNUMBER($J293)),$J293/$X293,"")</f>
        <v/>
      </c>
      <c r="AD293" s="413">
        <f>IF($R293="",0,IF($AA293&gt;0,$AB293*SUMIF(⑳商品別1食労務費!$C$5:$C$124,$R293,⑳商品別1食労務費!$F$5:$F$124)/$AA293,$AB293/$X293))</f>
        <v/>
      </c>
      <c r="AE293" s="413">
        <f>IF($S293="",0,IF($AA293&gt;0,$AB293*SUMIF(⑳商品別1食労務費!$C$5:$C$124,$S293,⑳商品別1食労務費!$F$5:$F$124)/$AA293,$AB293/$X293))</f>
        <v/>
      </c>
      <c r="AF293" s="413">
        <f>IF($T293="",0,IF($AA293&gt;0,$AB293*SUMIF(⑳商品別1食労務費!$C$5:$C$124,$T293,⑳商品別1食労務費!$F$5:$F$124)/$AA293,$AB293/$X293))</f>
        <v/>
      </c>
      <c r="AG293" s="413">
        <f>IF($U293="",0,IF($AA293&gt;0,$AB293*SUMIF(⑳商品別1食労務費!$C$5:$C$124,$U293,⑳商品別1食労務費!$F$5:$F$124)/$AA293,$AB293/$X293))</f>
        <v/>
      </c>
      <c r="AH293" s="413">
        <f>IF($V293="",0,IF($AA293&gt;0,$AB293*SUMIF(⑳商品別1食労務費!$C$5:$C$124,$V293,⑳商品別1食労務費!$F$5:$F$124)/$AA293,$AB293/$X293))</f>
        <v/>
      </c>
      <c r="AI293" s="413">
        <f>IF($W293="",0,IF($AA293&gt;0,$AB293*SUMIF(⑳商品別1食労務費!$C$5:$C$124,$W293,⑳商品別1食労務費!$F$5:$F$124)/$AA293,$AB293/$X293))</f>
        <v/>
      </c>
    </row>
    <row r="294">
      <c r="A294" s="188" t="n">
        <v>290</v>
      </c>
      <c r="B294" s="189" t="n"/>
      <c r="C294" s="229" t="n"/>
      <c r="D294" s="190" t="n"/>
      <c r="E294" s="190" t="n"/>
      <c r="F294" s="541">
        <f>IF(OR(D294="",E294=""),"",(E294-D294)*1440)</f>
        <v/>
      </c>
      <c r="G294" s="542" t="n"/>
      <c r="H294" s="542" t="n"/>
      <c r="I294" s="543" t="n"/>
      <c r="J294" s="192" t="n"/>
      <c r="K294" s="544">
        <f>IF(AND(ISNUMBER(F294),I294&gt;0),I294/(F294/60),"")</f>
        <v/>
      </c>
      <c r="L294" s="545" t="n"/>
      <c r="M294" s="194">
        <f>IF(OR(ISNUMBER(SEARCH("サニテーション",C294)),ISNUMBER(SEARCH("客注",C294)),ISNUMBER(SEARCH("切り替え",C294)),ISNUMBER(SEARCH("切替",C294)),NOT(ISNUMBER(H294))),"",IF(ISNUMBER(G294),G294/60*H294*④前提設定!$B$4,IF(AND(G294="",ISNUMBER(F294)),F294/60*H294*④前提設定!$B$4,"")))</f>
        <v/>
      </c>
      <c r="N294" s="546">
        <f>IF(AND(I294&gt;0,ISNUMBER(M294)),M294/I294,"")</f>
        <v/>
      </c>
      <c r="O294" s="547">
        <f>IF(AND(J294&gt;0,ISNUMBER(M294)),M294/J294,"")</f>
        <v/>
      </c>
      <c r="P294" s="195" t="n"/>
      <c r="Q294" s="196" t="n"/>
      <c r="X294" s="334">
        <f>COUNTA(R294:W294)</f>
        <v/>
      </c>
      <c r="Y294" s="334">
        <f>IF(AND($X294&gt;0,ISNUMBER($M294)),$M294/$X294,"")</f>
        <v/>
      </c>
      <c r="Z294" s="334">
        <f>IF($X294=0,"",IF(COUNTIF(⑳商品別1食労務費!$C$5:$C$124,$R294)+COUNTIF(⑳商品別1食労務費!$C$5:$C$124,$S294)+COUNTIF(⑳商品別1食労務費!$C$5:$C$124,$T294)+COUNTIF(⑳商品別1食労務費!$C$5:$C$124,$U294)+COUNTIF(⑳商品別1食労務費!$C$5:$C$124,$V294)+COUNTIF(⑳商品別1食労務費!$C$5:$C$124,$W294)=$X294,"OK","⑳に無い商品名"))</f>
        <v/>
      </c>
      <c r="AA294" s="334">
        <f>SUMIF(⑳商品別1食労務費!$C$5:$C$124,$R294,⑳商品別1食労務費!$F$5:$F$124)+SUMIF(⑳商品別1食労務費!$C$5:$C$124,$S294,⑳商品別1食労務費!$F$5:$F$124)+SUMIF(⑳商品別1食労務費!$C$5:$C$124,$T294,⑳商品別1食労務費!$F$5:$F$124)+SUMIF(⑳商品別1食労務費!$C$5:$C$124,$U294,⑳商品別1食労務費!$F$5:$F$124)+SUMIF(⑳商品別1食労務費!$C$5:$C$124,$V294,⑳商品別1食労務費!$F$5:$F$124)+SUMIF(⑳商品別1食労務費!$C$5:$C$124,$W294,⑳商品別1食労務費!$F$5:$F$124)</f>
        <v/>
      </c>
      <c r="AB294" s="334">
        <f>IF(ISNUMBER($M294),$M294,0)</f>
        <v/>
      </c>
      <c r="AC294" s="334">
        <f>IF(AND($X294&gt;0,ISNUMBER($J294)),$J294/$X294,"")</f>
        <v/>
      </c>
      <c r="AD294" s="413">
        <f>IF($R294="",0,IF($AA294&gt;0,$AB294*SUMIF(⑳商品別1食労務費!$C$5:$C$124,$R294,⑳商品別1食労務費!$F$5:$F$124)/$AA294,$AB294/$X294))</f>
        <v/>
      </c>
      <c r="AE294" s="413">
        <f>IF($S294="",0,IF($AA294&gt;0,$AB294*SUMIF(⑳商品別1食労務費!$C$5:$C$124,$S294,⑳商品別1食労務費!$F$5:$F$124)/$AA294,$AB294/$X294))</f>
        <v/>
      </c>
      <c r="AF294" s="413">
        <f>IF($T294="",0,IF($AA294&gt;0,$AB294*SUMIF(⑳商品別1食労務費!$C$5:$C$124,$T294,⑳商品別1食労務費!$F$5:$F$124)/$AA294,$AB294/$X294))</f>
        <v/>
      </c>
      <c r="AG294" s="413">
        <f>IF($U294="",0,IF($AA294&gt;0,$AB294*SUMIF(⑳商品別1食労務費!$C$5:$C$124,$U294,⑳商品別1食労務費!$F$5:$F$124)/$AA294,$AB294/$X294))</f>
        <v/>
      </c>
      <c r="AH294" s="413">
        <f>IF($V294="",0,IF($AA294&gt;0,$AB294*SUMIF(⑳商品別1食労務費!$C$5:$C$124,$V294,⑳商品別1食労務費!$F$5:$F$124)/$AA294,$AB294/$X294))</f>
        <v/>
      </c>
      <c r="AI294" s="413">
        <f>IF($W294="",0,IF($AA294&gt;0,$AB294*SUMIF(⑳商品別1食労務費!$C$5:$C$124,$W294,⑳商品別1食労務費!$F$5:$F$124)/$AA294,$AB294/$X294))</f>
        <v/>
      </c>
    </row>
    <row r="295">
      <c r="A295" s="197" t="n">
        <v>291</v>
      </c>
      <c r="B295" s="198" t="n"/>
      <c r="C295" s="229" t="n"/>
      <c r="D295" s="190" t="n"/>
      <c r="E295" s="190" t="n"/>
      <c r="F295" s="541">
        <f>IF(OR(D295="",E295=""),"",(E295-D295)*1440)</f>
        <v/>
      </c>
      <c r="G295" s="542" t="n"/>
      <c r="H295" s="542" t="n"/>
      <c r="I295" s="543" t="n"/>
      <c r="J295" s="192" t="n"/>
      <c r="K295" s="544">
        <f>IF(AND(ISNUMBER(F295),I295&gt;0),I295/(F295/60),"")</f>
        <v/>
      </c>
      <c r="L295" s="545" t="n"/>
      <c r="M295" s="194">
        <f>IF(OR(ISNUMBER(SEARCH("サニテーション",C295)),ISNUMBER(SEARCH("客注",C295)),ISNUMBER(SEARCH("切り替え",C295)),ISNUMBER(SEARCH("切替",C295)),NOT(ISNUMBER(H295))),"",IF(ISNUMBER(G295),G295/60*H295*④前提設定!$B$4,IF(AND(G295="",ISNUMBER(F295)),F295/60*H295*④前提設定!$B$4,"")))</f>
        <v/>
      </c>
      <c r="N295" s="546">
        <f>IF(AND(I295&gt;0,ISNUMBER(M295)),M295/I295,"")</f>
        <v/>
      </c>
      <c r="O295" s="547">
        <f>IF(AND(J295&gt;0,ISNUMBER(M295)),M295/J295,"")</f>
        <v/>
      </c>
      <c r="P295" s="199" t="n"/>
      <c r="Q295" s="200" t="n"/>
      <c r="X295" s="334">
        <f>COUNTA(R295:W295)</f>
        <v/>
      </c>
      <c r="Y295" s="334">
        <f>IF(AND($X295&gt;0,ISNUMBER($M295)),$M295/$X295,"")</f>
        <v/>
      </c>
      <c r="Z295" s="334">
        <f>IF($X295=0,"",IF(COUNTIF(⑳商品別1食労務費!$C$5:$C$124,$R295)+COUNTIF(⑳商品別1食労務費!$C$5:$C$124,$S295)+COUNTIF(⑳商品別1食労務費!$C$5:$C$124,$T295)+COUNTIF(⑳商品別1食労務費!$C$5:$C$124,$U295)+COUNTIF(⑳商品別1食労務費!$C$5:$C$124,$V295)+COUNTIF(⑳商品別1食労務費!$C$5:$C$124,$W295)=$X295,"OK","⑳に無い商品名"))</f>
        <v/>
      </c>
      <c r="AA295" s="334">
        <f>SUMIF(⑳商品別1食労務費!$C$5:$C$124,$R295,⑳商品別1食労務費!$F$5:$F$124)+SUMIF(⑳商品別1食労務費!$C$5:$C$124,$S295,⑳商品別1食労務費!$F$5:$F$124)+SUMIF(⑳商品別1食労務費!$C$5:$C$124,$T295,⑳商品別1食労務費!$F$5:$F$124)+SUMIF(⑳商品別1食労務費!$C$5:$C$124,$U295,⑳商品別1食労務費!$F$5:$F$124)+SUMIF(⑳商品別1食労務費!$C$5:$C$124,$V295,⑳商品別1食労務費!$F$5:$F$124)+SUMIF(⑳商品別1食労務費!$C$5:$C$124,$W295,⑳商品別1食労務費!$F$5:$F$124)</f>
        <v/>
      </c>
      <c r="AB295" s="334">
        <f>IF(ISNUMBER($M295),$M295,0)</f>
        <v/>
      </c>
      <c r="AC295" s="334">
        <f>IF(AND($X295&gt;0,ISNUMBER($J295)),$J295/$X295,"")</f>
        <v/>
      </c>
      <c r="AD295" s="413">
        <f>IF($R295="",0,IF($AA295&gt;0,$AB295*SUMIF(⑳商品別1食労務費!$C$5:$C$124,$R295,⑳商品別1食労務費!$F$5:$F$124)/$AA295,$AB295/$X295))</f>
        <v/>
      </c>
      <c r="AE295" s="413">
        <f>IF($S295="",0,IF($AA295&gt;0,$AB295*SUMIF(⑳商品別1食労務費!$C$5:$C$124,$S295,⑳商品別1食労務費!$F$5:$F$124)/$AA295,$AB295/$X295))</f>
        <v/>
      </c>
      <c r="AF295" s="413">
        <f>IF($T295="",0,IF($AA295&gt;0,$AB295*SUMIF(⑳商品別1食労務費!$C$5:$C$124,$T295,⑳商品別1食労務費!$F$5:$F$124)/$AA295,$AB295/$X295))</f>
        <v/>
      </c>
      <c r="AG295" s="413">
        <f>IF($U295="",0,IF($AA295&gt;0,$AB295*SUMIF(⑳商品別1食労務費!$C$5:$C$124,$U295,⑳商品別1食労務費!$F$5:$F$124)/$AA295,$AB295/$X295))</f>
        <v/>
      </c>
      <c r="AH295" s="413">
        <f>IF($V295="",0,IF($AA295&gt;0,$AB295*SUMIF(⑳商品別1食労務費!$C$5:$C$124,$V295,⑳商品別1食労務費!$F$5:$F$124)/$AA295,$AB295/$X295))</f>
        <v/>
      </c>
      <c r="AI295" s="413">
        <f>IF($W295="",0,IF($AA295&gt;0,$AB295*SUMIF(⑳商品別1食労務費!$C$5:$C$124,$W295,⑳商品別1食労務費!$F$5:$F$124)/$AA295,$AB295/$X295))</f>
        <v/>
      </c>
    </row>
    <row r="296">
      <c r="A296" s="188" t="n"/>
      <c r="B296" s="189" t="n"/>
      <c r="C296" s="229" t="n"/>
      <c r="D296" s="190" t="n"/>
      <c r="E296" s="190" t="n"/>
      <c r="F296" s="541">
        <f>IF(OR(D296="",E296=""),"",(E296-D296)*1440)</f>
        <v/>
      </c>
      <c r="G296" s="542" t="n"/>
      <c r="H296" s="542" t="n"/>
      <c r="I296" s="543" t="n"/>
      <c r="J296" s="192" t="n"/>
      <c r="K296" s="544">
        <f>IF(AND(ISNUMBER(F296),I296&gt;0),I296/(F296/60),"")</f>
        <v/>
      </c>
      <c r="L296" s="545" t="n"/>
      <c r="M296" s="194">
        <f>IF(OR(ISNUMBER(SEARCH("サニテーション",C296)),ISNUMBER(SEARCH("客注",C296)),ISNUMBER(SEARCH("切り替え",C296)),ISNUMBER(SEARCH("切替",C296)),NOT(ISNUMBER(H296))),"",IF(ISNUMBER(G296),G296/60*H296*④前提設定!$B$4,IF(AND(G296="",ISNUMBER(F296)),F296/60*H296*④前提設定!$B$4,"")))</f>
        <v/>
      </c>
      <c r="N296" s="546">
        <f>IF(AND(I296&gt;0,ISNUMBER(M296)),M296/I296,"")</f>
        <v/>
      </c>
      <c r="O296" s="547">
        <f>IF(AND(J296&gt;0,ISNUMBER(M296)),M296/J296,"")</f>
        <v/>
      </c>
      <c r="P296" s="195" t="n"/>
      <c r="Q296" s="196" t="n"/>
      <c r="X296" s="334">
        <f>COUNTA(R296:W296)</f>
        <v/>
      </c>
      <c r="Y296" s="334">
        <f>IF(AND($X296&gt;0,ISNUMBER($M296)),$M296/$X296,"")</f>
        <v/>
      </c>
      <c r="Z296" s="334">
        <f>IF($X296=0,"",IF(COUNTIF(⑳商品別1食労務費!$C$5:$C$124,$R296)+COUNTIF(⑳商品別1食労務費!$C$5:$C$124,$S296)+COUNTIF(⑳商品別1食労務費!$C$5:$C$124,$T296)+COUNTIF(⑳商品別1食労務費!$C$5:$C$124,$U296)+COUNTIF(⑳商品別1食労務費!$C$5:$C$124,$V296)+COUNTIF(⑳商品別1食労務費!$C$5:$C$124,$W296)=$X296,"OK","⑳に無い商品名"))</f>
        <v/>
      </c>
      <c r="AA296" s="334">
        <f>SUMIF(⑳商品別1食労務費!$C$5:$C$124,$R296,⑳商品別1食労務費!$F$5:$F$124)+SUMIF(⑳商品別1食労務費!$C$5:$C$124,$S296,⑳商品別1食労務費!$F$5:$F$124)+SUMIF(⑳商品別1食労務費!$C$5:$C$124,$T296,⑳商品別1食労務費!$F$5:$F$124)+SUMIF(⑳商品別1食労務費!$C$5:$C$124,$U296,⑳商品別1食労務費!$F$5:$F$124)+SUMIF(⑳商品別1食労務費!$C$5:$C$124,$V296,⑳商品別1食労務費!$F$5:$F$124)+SUMIF(⑳商品別1食労務費!$C$5:$C$124,$W296,⑳商品別1食労務費!$F$5:$F$124)</f>
        <v/>
      </c>
      <c r="AB296" s="334">
        <f>IF(ISNUMBER($M296),$M296,0)</f>
        <v/>
      </c>
      <c r="AC296" s="334">
        <f>IF(AND($X296&gt;0,ISNUMBER($J296)),$J296/$X296,"")</f>
        <v/>
      </c>
      <c r="AD296" s="413">
        <f>IF($R296="",0,IF($AA296&gt;0,$AB296*SUMIF(⑳商品別1食労務費!$C$5:$C$124,$R296,⑳商品別1食労務費!$F$5:$F$124)/$AA296,$AB296/$X296))</f>
        <v/>
      </c>
      <c r="AE296" s="413">
        <f>IF($S296="",0,IF($AA296&gt;0,$AB296*SUMIF(⑳商品別1食労務費!$C$5:$C$124,$S296,⑳商品別1食労務費!$F$5:$F$124)/$AA296,$AB296/$X296))</f>
        <v/>
      </c>
      <c r="AF296" s="413">
        <f>IF($T296="",0,IF($AA296&gt;0,$AB296*SUMIF(⑳商品別1食労務費!$C$5:$C$124,$T296,⑳商品別1食労務費!$F$5:$F$124)/$AA296,$AB296/$X296))</f>
        <v/>
      </c>
      <c r="AG296" s="413">
        <f>IF($U296="",0,IF($AA296&gt;0,$AB296*SUMIF(⑳商品別1食労務費!$C$5:$C$124,$U296,⑳商品別1食労務費!$F$5:$F$124)/$AA296,$AB296/$X296))</f>
        <v/>
      </c>
      <c r="AH296" s="413">
        <f>IF($V296="",0,IF($AA296&gt;0,$AB296*SUMIF(⑳商品別1食労務費!$C$5:$C$124,$V296,⑳商品別1食労務費!$F$5:$F$124)/$AA296,$AB296/$X296))</f>
        <v/>
      </c>
      <c r="AI296" s="413">
        <f>IF($W296="",0,IF($AA296&gt;0,$AB296*SUMIF(⑳商品別1食労務費!$C$5:$C$124,$W296,⑳商品別1食労務費!$F$5:$F$124)/$AA296,$AB296/$X296))</f>
        <v/>
      </c>
    </row>
    <row r="297">
      <c r="A297" s="197" t="n"/>
      <c r="B297" s="198" t="n"/>
      <c r="C297" s="229" t="n"/>
      <c r="D297" s="190" t="n"/>
      <c r="E297" s="190" t="n"/>
      <c r="F297" s="541">
        <f>IF(OR(D297="",E297=""),"",(E297-D297)*1440)</f>
        <v/>
      </c>
      <c r="G297" s="542" t="n"/>
      <c r="H297" s="542" t="n"/>
      <c r="I297" s="543" t="n"/>
      <c r="J297" s="192" t="n"/>
      <c r="K297" s="544">
        <f>IF(AND(ISNUMBER(F297),I297&gt;0),I297/(F297/60),"")</f>
        <v/>
      </c>
      <c r="L297" s="545" t="n"/>
      <c r="M297" s="194">
        <f>IF(OR(ISNUMBER(SEARCH("サニテーション",C297)),ISNUMBER(SEARCH("客注",C297)),ISNUMBER(SEARCH("切り替え",C297)),ISNUMBER(SEARCH("切替",C297)),NOT(ISNUMBER(H297))),"",IF(ISNUMBER(G297),G297/60*H297*④前提設定!$B$4,IF(AND(G297="",ISNUMBER(F297)),F297/60*H297*④前提設定!$B$4,"")))</f>
        <v/>
      </c>
      <c r="N297" s="546">
        <f>IF(AND(I297&gt;0,ISNUMBER(M297)),M297/I297,"")</f>
        <v/>
      </c>
      <c r="O297" s="547">
        <f>IF(AND(J297&gt;0,ISNUMBER(M297)),M297/J297,"")</f>
        <v/>
      </c>
      <c r="P297" s="199" t="n"/>
      <c r="Q297" s="200" t="n"/>
      <c r="X297" s="334">
        <f>COUNTA(R297:W297)</f>
        <v/>
      </c>
      <c r="Y297" s="334">
        <f>IF(AND($X297&gt;0,ISNUMBER($M297)),$M297/$X297,"")</f>
        <v/>
      </c>
      <c r="Z297" s="334">
        <f>IF($X297=0,"",IF(COUNTIF(⑳商品別1食労務費!$C$5:$C$124,$R297)+COUNTIF(⑳商品別1食労務費!$C$5:$C$124,$S297)+COUNTIF(⑳商品別1食労務費!$C$5:$C$124,$T297)+COUNTIF(⑳商品別1食労務費!$C$5:$C$124,$U297)+COUNTIF(⑳商品別1食労務費!$C$5:$C$124,$V297)+COUNTIF(⑳商品別1食労務費!$C$5:$C$124,$W297)=$X297,"OK","⑳に無い商品名"))</f>
        <v/>
      </c>
      <c r="AA297" s="334">
        <f>SUMIF(⑳商品別1食労務費!$C$5:$C$124,$R297,⑳商品別1食労務費!$F$5:$F$124)+SUMIF(⑳商品別1食労務費!$C$5:$C$124,$S297,⑳商品別1食労務費!$F$5:$F$124)+SUMIF(⑳商品別1食労務費!$C$5:$C$124,$T297,⑳商品別1食労務費!$F$5:$F$124)+SUMIF(⑳商品別1食労務費!$C$5:$C$124,$U297,⑳商品別1食労務費!$F$5:$F$124)+SUMIF(⑳商品別1食労務費!$C$5:$C$124,$V297,⑳商品別1食労務費!$F$5:$F$124)+SUMIF(⑳商品別1食労務費!$C$5:$C$124,$W297,⑳商品別1食労務費!$F$5:$F$124)</f>
        <v/>
      </c>
      <c r="AB297" s="334">
        <f>IF(ISNUMBER($M297),$M297,0)</f>
        <v/>
      </c>
      <c r="AC297" s="334">
        <f>IF(AND($X297&gt;0,ISNUMBER($J297)),$J297/$X297,"")</f>
        <v/>
      </c>
      <c r="AD297" s="413">
        <f>IF($R297="",0,IF($AA297&gt;0,$AB297*SUMIF(⑳商品別1食労務費!$C$5:$C$124,$R297,⑳商品別1食労務費!$F$5:$F$124)/$AA297,$AB297/$X297))</f>
        <v/>
      </c>
      <c r="AE297" s="413">
        <f>IF($S297="",0,IF($AA297&gt;0,$AB297*SUMIF(⑳商品別1食労務費!$C$5:$C$124,$S297,⑳商品別1食労務費!$F$5:$F$124)/$AA297,$AB297/$X297))</f>
        <v/>
      </c>
      <c r="AF297" s="413">
        <f>IF($T297="",0,IF($AA297&gt;0,$AB297*SUMIF(⑳商品別1食労務費!$C$5:$C$124,$T297,⑳商品別1食労務費!$F$5:$F$124)/$AA297,$AB297/$X297))</f>
        <v/>
      </c>
      <c r="AG297" s="413">
        <f>IF($U297="",0,IF($AA297&gt;0,$AB297*SUMIF(⑳商品別1食労務費!$C$5:$C$124,$U297,⑳商品別1食労務費!$F$5:$F$124)/$AA297,$AB297/$X297))</f>
        <v/>
      </c>
      <c r="AH297" s="413">
        <f>IF($V297="",0,IF($AA297&gt;0,$AB297*SUMIF(⑳商品別1食労務費!$C$5:$C$124,$V297,⑳商品別1食労務費!$F$5:$F$124)/$AA297,$AB297/$X297))</f>
        <v/>
      </c>
      <c r="AI297" s="413">
        <f>IF($W297="",0,IF($AA297&gt;0,$AB297*SUMIF(⑳商品別1食労務費!$C$5:$C$124,$W297,⑳商品別1食労務費!$F$5:$F$124)/$AA297,$AB297/$X297))</f>
        <v/>
      </c>
    </row>
    <row r="298">
      <c r="A298" s="188" t="n"/>
      <c r="B298" s="189" t="n"/>
      <c r="C298" s="229" t="n"/>
      <c r="D298" s="190" t="n"/>
      <c r="E298" s="190" t="n"/>
      <c r="F298" s="541">
        <f>IF(OR(D298="",E298=""),"",(E298-D298)*1440)</f>
        <v/>
      </c>
      <c r="G298" s="542" t="n"/>
      <c r="H298" s="542" t="n"/>
      <c r="I298" s="543" t="n"/>
      <c r="J298" s="192" t="n"/>
      <c r="K298" s="544">
        <f>IF(AND(ISNUMBER(F298),I298&gt;0),I298/(F298/60),"")</f>
        <v/>
      </c>
      <c r="L298" s="545" t="n"/>
      <c r="M298" s="194">
        <f>IF(OR(ISNUMBER(SEARCH("サニテーション",C298)),ISNUMBER(SEARCH("客注",C298)),ISNUMBER(SEARCH("切り替え",C298)),ISNUMBER(SEARCH("切替",C298)),NOT(ISNUMBER(H298))),"",IF(ISNUMBER(G298),G298/60*H298*④前提設定!$B$4,IF(AND(G298="",ISNUMBER(F298)),F298/60*H298*④前提設定!$B$4,"")))</f>
        <v/>
      </c>
      <c r="N298" s="546">
        <f>IF(AND(I298&gt;0,ISNUMBER(M298)),M298/I298,"")</f>
        <v/>
      </c>
      <c r="O298" s="547">
        <f>IF(AND(J298&gt;0,ISNUMBER(M298)),M298/J298,"")</f>
        <v/>
      </c>
      <c r="P298" s="195" t="n"/>
      <c r="Q298" s="196" t="n"/>
      <c r="X298" s="334">
        <f>COUNTA(R298:W298)</f>
        <v/>
      </c>
      <c r="Y298" s="334">
        <f>IF(AND($X298&gt;0,ISNUMBER($M298)),$M298/$X298,"")</f>
        <v/>
      </c>
      <c r="Z298" s="334">
        <f>IF($X298=0,"",IF(COUNTIF(⑳商品別1食労務費!$C$5:$C$124,$R298)+COUNTIF(⑳商品別1食労務費!$C$5:$C$124,$S298)+COUNTIF(⑳商品別1食労務費!$C$5:$C$124,$T298)+COUNTIF(⑳商品別1食労務費!$C$5:$C$124,$U298)+COUNTIF(⑳商品別1食労務費!$C$5:$C$124,$V298)+COUNTIF(⑳商品別1食労務費!$C$5:$C$124,$W298)=$X298,"OK","⑳に無い商品名"))</f>
        <v/>
      </c>
      <c r="AA298" s="334">
        <f>SUMIF(⑳商品別1食労務費!$C$5:$C$124,$R298,⑳商品別1食労務費!$F$5:$F$124)+SUMIF(⑳商品別1食労務費!$C$5:$C$124,$S298,⑳商品別1食労務費!$F$5:$F$124)+SUMIF(⑳商品別1食労務費!$C$5:$C$124,$T298,⑳商品別1食労務費!$F$5:$F$124)+SUMIF(⑳商品別1食労務費!$C$5:$C$124,$U298,⑳商品別1食労務費!$F$5:$F$124)+SUMIF(⑳商品別1食労務費!$C$5:$C$124,$V298,⑳商品別1食労務費!$F$5:$F$124)+SUMIF(⑳商品別1食労務費!$C$5:$C$124,$W298,⑳商品別1食労務費!$F$5:$F$124)</f>
        <v/>
      </c>
      <c r="AB298" s="334">
        <f>IF(ISNUMBER($M298),$M298,0)</f>
        <v/>
      </c>
      <c r="AC298" s="334">
        <f>IF(AND($X298&gt;0,ISNUMBER($J298)),$J298/$X298,"")</f>
        <v/>
      </c>
      <c r="AD298" s="413">
        <f>IF($R298="",0,IF($AA298&gt;0,$AB298*SUMIF(⑳商品別1食労務費!$C$5:$C$124,$R298,⑳商品別1食労務費!$F$5:$F$124)/$AA298,$AB298/$X298))</f>
        <v/>
      </c>
      <c r="AE298" s="413">
        <f>IF($S298="",0,IF($AA298&gt;0,$AB298*SUMIF(⑳商品別1食労務費!$C$5:$C$124,$S298,⑳商品別1食労務費!$F$5:$F$124)/$AA298,$AB298/$X298))</f>
        <v/>
      </c>
      <c r="AF298" s="413">
        <f>IF($T298="",0,IF($AA298&gt;0,$AB298*SUMIF(⑳商品別1食労務費!$C$5:$C$124,$T298,⑳商品別1食労務費!$F$5:$F$124)/$AA298,$AB298/$X298))</f>
        <v/>
      </c>
      <c r="AG298" s="413">
        <f>IF($U298="",0,IF($AA298&gt;0,$AB298*SUMIF(⑳商品別1食労務費!$C$5:$C$124,$U298,⑳商品別1食労務費!$F$5:$F$124)/$AA298,$AB298/$X298))</f>
        <v/>
      </c>
      <c r="AH298" s="413">
        <f>IF($V298="",0,IF($AA298&gt;0,$AB298*SUMIF(⑳商品別1食労務費!$C$5:$C$124,$V298,⑳商品別1食労務費!$F$5:$F$124)/$AA298,$AB298/$X298))</f>
        <v/>
      </c>
      <c r="AI298" s="413">
        <f>IF($W298="",0,IF($AA298&gt;0,$AB298*SUMIF(⑳商品別1食労務費!$C$5:$C$124,$W298,⑳商品別1食労務費!$F$5:$F$124)/$AA298,$AB298/$X298))</f>
        <v/>
      </c>
    </row>
    <row r="299">
      <c r="A299" s="197" t="n"/>
      <c r="B299" s="198" t="n"/>
      <c r="C299" s="229" t="n"/>
      <c r="D299" s="190" t="n"/>
      <c r="E299" s="190" t="n"/>
      <c r="F299" s="541">
        <f>IF(OR(D299="",E299=""),"",(E299-D299)*1440)</f>
        <v/>
      </c>
      <c r="G299" s="542" t="n"/>
      <c r="H299" s="542" t="n"/>
      <c r="I299" s="543" t="n"/>
      <c r="J299" s="192" t="n"/>
      <c r="K299" s="544">
        <f>IF(AND(ISNUMBER(F299),I299&gt;0),I299/(F299/60),"")</f>
        <v/>
      </c>
      <c r="L299" s="545" t="n"/>
      <c r="M299" s="194">
        <f>IF(OR(ISNUMBER(SEARCH("サニテーション",C299)),ISNUMBER(SEARCH("客注",C299)),ISNUMBER(SEARCH("切り替え",C299)),ISNUMBER(SEARCH("切替",C299)),NOT(ISNUMBER(H299))),"",IF(ISNUMBER(G299),G299/60*H299*④前提設定!$B$4,IF(AND(G299="",ISNUMBER(F299)),F299/60*H299*④前提設定!$B$4,"")))</f>
        <v/>
      </c>
      <c r="N299" s="546">
        <f>IF(AND(I299&gt;0,ISNUMBER(M299)),M299/I299,"")</f>
        <v/>
      </c>
      <c r="O299" s="547">
        <f>IF(AND(J299&gt;0,ISNUMBER(M299)),M299/J299,"")</f>
        <v/>
      </c>
      <c r="P299" s="199" t="n"/>
      <c r="Q299" s="200" t="n"/>
      <c r="X299" s="334">
        <f>COUNTA(R299:W299)</f>
        <v/>
      </c>
      <c r="Y299" s="334">
        <f>IF(AND($X299&gt;0,ISNUMBER($M299)),$M299/$X299,"")</f>
        <v/>
      </c>
      <c r="Z299" s="334">
        <f>IF($X299=0,"",IF(COUNTIF(⑳商品別1食労務費!$C$5:$C$124,$R299)+COUNTIF(⑳商品別1食労務費!$C$5:$C$124,$S299)+COUNTIF(⑳商品別1食労務費!$C$5:$C$124,$T299)+COUNTIF(⑳商品別1食労務費!$C$5:$C$124,$U299)+COUNTIF(⑳商品別1食労務費!$C$5:$C$124,$V299)+COUNTIF(⑳商品別1食労務費!$C$5:$C$124,$W299)=$X299,"OK","⑳に無い商品名"))</f>
        <v/>
      </c>
      <c r="AA299" s="334">
        <f>SUMIF(⑳商品別1食労務費!$C$5:$C$124,$R299,⑳商品別1食労務費!$F$5:$F$124)+SUMIF(⑳商品別1食労務費!$C$5:$C$124,$S299,⑳商品別1食労務費!$F$5:$F$124)+SUMIF(⑳商品別1食労務費!$C$5:$C$124,$T299,⑳商品別1食労務費!$F$5:$F$124)+SUMIF(⑳商品別1食労務費!$C$5:$C$124,$U299,⑳商品別1食労務費!$F$5:$F$124)+SUMIF(⑳商品別1食労務費!$C$5:$C$124,$V299,⑳商品別1食労務費!$F$5:$F$124)+SUMIF(⑳商品別1食労務費!$C$5:$C$124,$W299,⑳商品別1食労務費!$F$5:$F$124)</f>
        <v/>
      </c>
      <c r="AB299" s="334">
        <f>IF(ISNUMBER($M299),$M299,0)</f>
        <v/>
      </c>
      <c r="AC299" s="334">
        <f>IF(AND($X299&gt;0,ISNUMBER($J299)),$J299/$X299,"")</f>
        <v/>
      </c>
      <c r="AD299" s="413">
        <f>IF($R299="",0,IF($AA299&gt;0,$AB299*SUMIF(⑳商品別1食労務費!$C$5:$C$124,$R299,⑳商品別1食労務費!$F$5:$F$124)/$AA299,$AB299/$X299))</f>
        <v/>
      </c>
      <c r="AE299" s="413">
        <f>IF($S299="",0,IF($AA299&gt;0,$AB299*SUMIF(⑳商品別1食労務費!$C$5:$C$124,$S299,⑳商品別1食労務費!$F$5:$F$124)/$AA299,$AB299/$X299))</f>
        <v/>
      </c>
      <c r="AF299" s="413">
        <f>IF($T299="",0,IF($AA299&gt;0,$AB299*SUMIF(⑳商品別1食労務費!$C$5:$C$124,$T299,⑳商品別1食労務費!$F$5:$F$124)/$AA299,$AB299/$X299))</f>
        <v/>
      </c>
      <c r="AG299" s="413">
        <f>IF($U299="",0,IF($AA299&gt;0,$AB299*SUMIF(⑳商品別1食労務費!$C$5:$C$124,$U299,⑳商品別1食労務費!$F$5:$F$124)/$AA299,$AB299/$X299))</f>
        <v/>
      </c>
      <c r="AH299" s="413">
        <f>IF($V299="",0,IF($AA299&gt;0,$AB299*SUMIF(⑳商品別1食労務費!$C$5:$C$124,$V299,⑳商品別1食労務費!$F$5:$F$124)/$AA299,$AB299/$X299))</f>
        <v/>
      </c>
      <c r="AI299" s="413">
        <f>IF($W299="",0,IF($AA299&gt;0,$AB299*SUMIF(⑳商品別1食労務費!$C$5:$C$124,$W299,⑳商品別1食労務費!$F$5:$F$124)/$AA299,$AB299/$X299))</f>
        <v/>
      </c>
    </row>
    <row r="300">
      <c r="A300" s="188" t="n"/>
      <c r="B300" s="189" t="n"/>
      <c r="C300" s="229" t="n"/>
      <c r="D300" s="190" t="n"/>
      <c r="E300" s="190" t="n"/>
      <c r="F300" s="541">
        <f>IF(OR(D300="",E300=""),"",(E300-D300)*1440)</f>
        <v/>
      </c>
      <c r="G300" s="542" t="n"/>
      <c r="H300" s="542" t="n"/>
      <c r="I300" s="543" t="n"/>
      <c r="J300" s="192" t="n"/>
      <c r="K300" s="544">
        <f>IF(AND(ISNUMBER(F300),I300&gt;0),I300/(F300/60),"")</f>
        <v/>
      </c>
      <c r="L300" s="545" t="n"/>
      <c r="M300" s="194">
        <f>IF(OR(ISNUMBER(SEARCH("サニテーション",C300)),ISNUMBER(SEARCH("客注",C300)),ISNUMBER(SEARCH("切り替え",C300)),ISNUMBER(SEARCH("切替",C300)),NOT(ISNUMBER(H300))),"",IF(ISNUMBER(G300),G300/60*H300*④前提設定!$B$4,IF(AND(G300="",ISNUMBER(F300)),F300/60*H300*④前提設定!$B$4,"")))</f>
        <v/>
      </c>
      <c r="N300" s="546">
        <f>IF(AND(I300&gt;0,ISNUMBER(M300)),M300/I300,"")</f>
        <v/>
      </c>
      <c r="O300" s="547">
        <f>IF(AND(J300&gt;0,ISNUMBER(M300)),M300/J300,"")</f>
        <v/>
      </c>
      <c r="P300" s="195" t="n"/>
      <c r="Q300" s="196" t="n"/>
      <c r="X300" s="334">
        <f>COUNTA(R300:W300)</f>
        <v/>
      </c>
      <c r="Y300" s="334">
        <f>IF(AND($X300&gt;0,ISNUMBER($M300)),$M300/$X300,"")</f>
        <v/>
      </c>
      <c r="Z300" s="334">
        <f>IF($X300=0,"",IF(COUNTIF(⑳商品別1食労務費!$C$5:$C$124,$R300)+COUNTIF(⑳商品別1食労務費!$C$5:$C$124,$S300)+COUNTIF(⑳商品別1食労務費!$C$5:$C$124,$T300)+COUNTIF(⑳商品別1食労務費!$C$5:$C$124,$U300)+COUNTIF(⑳商品別1食労務費!$C$5:$C$124,$V300)+COUNTIF(⑳商品別1食労務費!$C$5:$C$124,$W300)=$X300,"OK","⑳に無い商品名"))</f>
        <v/>
      </c>
      <c r="AA300" s="334">
        <f>SUMIF(⑳商品別1食労務費!$C$5:$C$124,$R300,⑳商品別1食労務費!$F$5:$F$124)+SUMIF(⑳商品別1食労務費!$C$5:$C$124,$S300,⑳商品別1食労務費!$F$5:$F$124)+SUMIF(⑳商品別1食労務費!$C$5:$C$124,$T300,⑳商品別1食労務費!$F$5:$F$124)+SUMIF(⑳商品別1食労務費!$C$5:$C$124,$U300,⑳商品別1食労務費!$F$5:$F$124)+SUMIF(⑳商品別1食労務費!$C$5:$C$124,$V300,⑳商品別1食労務費!$F$5:$F$124)+SUMIF(⑳商品別1食労務費!$C$5:$C$124,$W300,⑳商品別1食労務費!$F$5:$F$124)</f>
        <v/>
      </c>
      <c r="AB300" s="334">
        <f>IF(ISNUMBER($M300),$M300,0)</f>
        <v/>
      </c>
      <c r="AC300" s="334">
        <f>IF(AND($X300&gt;0,ISNUMBER($J300)),$J300/$X300,"")</f>
        <v/>
      </c>
      <c r="AD300" s="413">
        <f>IF($R300="",0,IF($AA300&gt;0,$AB300*SUMIF(⑳商品別1食労務費!$C$5:$C$124,$R300,⑳商品別1食労務費!$F$5:$F$124)/$AA300,$AB300/$X300))</f>
        <v/>
      </c>
      <c r="AE300" s="413">
        <f>IF($S300="",0,IF($AA300&gt;0,$AB300*SUMIF(⑳商品別1食労務費!$C$5:$C$124,$S300,⑳商品別1食労務費!$F$5:$F$124)/$AA300,$AB300/$X300))</f>
        <v/>
      </c>
      <c r="AF300" s="413">
        <f>IF($T300="",0,IF($AA300&gt;0,$AB300*SUMIF(⑳商品別1食労務費!$C$5:$C$124,$T300,⑳商品別1食労務費!$F$5:$F$124)/$AA300,$AB300/$X300))</f>
        <v/>
      </c>
      <c r="AG300" s="413">
        <f>IF($U300="",0,IF($AA300&gt;0,$AB300*SUMIF(⑳商品別1食労務費!$C$5:$C$124,$U300,⑳商品別1食労務費!$F$5:$F$124)/$AA300,$AB300/$X300))</f>
        <v/>
      </c>
      <c r="AH300" s="413">
        <f>IF($V300="",0,IF($AA300&gt;0,$AB300*SUMIF(⑳商品別1食労務費!$C$5:$C$124,$V300,⑳商品別1食労務費!$F$5:$F$124)/$AA300,$AB300/$X300))</f>
        <v/>
      </c>
      <c r="AI300" s="413">
        <f>IF($W300="",0,IF($AA300&gt;0,$AB300*SUMIF(⑳商品別1食労務費!$C$5:$C$124,$W300,⑳商品別1食労務費!$F$5:$F$124)/$AA300,$AB300/$X300))</f>
        <v/>
      </c>
    </row>
  </sheetData>
  <autoFilter ref="A4:Q300">
    <filterColumn colId="2" hiddenButton="0" showButton="1">
      <filters>
        <filter val="２６特製冷やし中華２"/>
        <filter val="特製のり弁当６"/>
        <filter val="特製のり弁当Ｂ６"/>
        <filter val="特製幕の内弁当２"/>
      </filters>
    </filterColumn>
  </autoFilter>
  <mergeCells count="6">
    <mergeCell ref="A160:C160"/>
    <mergeCell ref="A108:C108"/>
    <mergeCell ref="A57:Q57"/>
    <mergeCell ref="A2:Q2"/>
    <mergeCell ref="A55:C5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8"/>
  <sheetViews>
    <sheetView showGridLines="0" workbookViewId="0">
      <pane xSplit="2" ySplit="4" topLeftCell="C18" activePane="bottomRight" state="frozen"/>
      <selection pane="topRight" activeCell="A1" sqref="A1"/>
      <selection pane="bottomLeft" activeCell="A1" sqref="A1"/>
      <selection pane="bottomRight" activeCell="G25" sqref="G25"/>
    </sheetView>
  </sheetViews>
  <sheetFormatPr baseColWidth="8" defaultRowHeight="13"/>
  <cols>
    <col width="5" customWidth="1" style="438" min="1" max="1"/>
    <col width="12" customWidth="1" style="438" min="2" max="2"/>
    <col width="22" customWidth="1" style="438" min="3" max="3"/>
    <col width="8" customWidth="1" style="438" min="4" max="5"/>
    <col width="9" customWidth="1" style="438" min="6" max="6"/>
    <col width="10" customWidth="1" style="438" min="7" max="7"/>
    <col width="10" customWidth="1" style="456" min="8" max="8"/>
    <col width="12" customWidth="1" style="438" min="9" max="13"/>
    <col width="10" customWidth="1" style="438" min="14" max="16"/>
    <col width="14" customWidth="1" style="438" min="17" max="17"/>
    <col width="26" customWidth="1" style="438" min="18" max="23"/>
    <col width="14" customWidth="1" style="438" min="24" max="28"/>
    <col width="12" customWidth="1" style="438" min="30" max="35"/>
  </cols>
  <sheetData>
    <row r="1" ht="26" customHeight="1" s="438">
      <c r="A1" s="484" t="inlineStr">
        <is>
          <t>⑪ZEN工程入力台帳　毎週更新　|　重量(kg)・個数(個)どちらに入力しても生産性・労務費が自動計算</t>
        </is>
      </c>
    </row>
    <row r="2" ht="18" customHeight="1" s="438">
      <c r="A2" s="483" t="inlineStr">
        <is>
          <t>● 黄色セル★ = 毎週入力　|　H列(kg)またはI列(個)のどちらかを入力 → J・K・L・M・N列が自動計算　|　★R列で中間品名を選ぶと、中間品JAN（S列）で⑱〜⑳に労務費がひもづきます</t>
        </is>
      </c>
    </row>
    <row r="3" ht="8" customHeight="1" s="438"/>
    <row r="4" ht="22" customHeight="1" s="438">
      <c r="A4" s="479" t="inlineStr">
        <is>
          <t>基本情報</t>
        </is>
      </c>
      <c r="C4" s="481" t="inlineStr">
        <is>
          <t>商品名★</t>
        </is>
      </c>
      <c r="D4" s="485" t="inlineStr">
        <is>
          <t>時間・作業</t>
        </is>
      </c>
      <c r="I4" s="480" t="inlineStr">
        <is>
          <t>生産量★（どちらかを入力）</t>
        </is>
      </c>
      <c r="K4" s="481" t="inlineStr">
        <is>
          <t>生産性（自動計算）</t>
        </is>
      </c>
      <c r="M4" s="482" t="inlineStr">
        <is>
          <t>労務費（自動計算）</t>
        </is>
      </c>
      <c r="P4" s="479" t="inlineStr">
        <is>
          <t>その他</t>
        </is>
      </c>
      <c r="R4" s="482" t="inlineStr">
        <is>
          <t>中間品ひもづけ</t>
        </is>
      </c>
    </row>
    <row r="5" ht="36" customHeight="1" s="438">
      <c r="A5" s="234" t="inlineStr">
        <is>
          <t>No.</t>
        </is>
      </c>
      <c r="B5" s="234" t="inlineStr">
        <is>
          <t>機器</t>
        </is>
      </c>
      <c r="C5" s="235" t="inlineStr">
        <is>
          <t>商品名★</t>
        </is>
      </c>
      <c r="D5" s="236" t="inlineStr">
        <is>
          <t>開始★</t>
        </is>
      </c>
      <c r="E5" s="236" t="inlineStr">
        <is>
          <t>終了★</t>
        </is>
      </c>
      <c r="F5" s="550" t="inlineStr">
        <is>
          <t>稼働(分)</t>
        </is>
      </c>
      <c r="G5" s="238" t="inlineStr">
        <is>
          <t>実作業(分)★</t>
        </is>
      </c>
      <c r="H5" s="337" t="inlineStr">
        <is>
          <t>人数★</t>
        </is>
      </c>
      <c r="I5" s="551" t="inlineStr">
        <is>
          <t>重量(kg)★
kg入力欄</t>
        </is>
      </c>
      <c r="J5" s="551" t="inlineStr">
        <is>
          <t>個数(個)★
個入力欄</t>
        </is>
      </c>
      <c r="K5" s="240" t="inlineStr">
        <is>
          <t>生産性
(kg/h)</t>
        </is>
      </c>
      <c r="L5" s="552" t="inlineStr">
        <is>
          <t>生産性
(個/h)</t>
        </is>
      </c>
      <c r="M5" s="242" t="inlineStr">
        <is>
          <t>労務費(円)</t>
        </is>
      </c>
      <c r="N5" s="242" t="inlineStr">
        <is>
          <t>円/kg</t>
        </is>
      </c>
      <c r="O5" s="242" t="inlineStr">
        <is>
          <t>円/個</t>
        </is>
      </c>
      <c r="P5" s="234" t="inlineStr">
        <is>
          <t>区分</t>
        </is>
      </c>
      <c r="Q5" s="234" t="inlineStr">
        <is>
          <t>備考</t>
        </is>
      </c>
      <c r="R5" s="235" t="inlineStr">
        <is>
          <t>★商品名①</t>
        </is>
      </c>
      <c r="S5" s="235" t="inlineStr">
        <is>
          <t>★商品名②</t>
        </is>
      </c>
      <c r="T5" s="235" t="inlineStr">
        <is>
          <t>★商品名③</t>
        </is>
      </c>
      <c r="U5" s="235" t="inlineStr">
        <is>
          <t>★商品名④</t>
        </is>
      </c>
      <c r="V5" s="235" t="inlineStr">
        <is>
          <t>★商品名⑤</t>
        </is>
      </c>
      <c r="W5" s="235" t="inlineStr">
        <is>
          <t>★商品名⑥</t>
        </is>
      </c>
      <c r="X5" s="235" t="inlineStr">
        <is>
          <t>振り分け数
自動</t>
        </is>
      </c>
      <c r="Y5" s="235" t="inlineStr">
        <is>
          <t>1商品あたり
労務費(等分・参考)</t>
        </is>
      </c>
      <c r="Z5" s="235" t="inlineStr">
        <is>
          <t>ひもづけ確認</t>
        </is>
      </c>
      <c r="AA5" s="235" t="inlineStr">
        <is>
          <t>選んだ商品の
食数合計</t>
        </is>
      </c>
      <c r="AB5" s="235" t="inlineStr">
        <is>
          <t>労務費(数値)</t>
        </is>
      </c>
      <c r="AD5" s="235" t="inlineStr">
        <is>
          <t>配分額①
(自動)</t>
        </is>
      </c>
      <c r="AE5" s="235" t="inlineStr">
        <is>
          <t>配分額②
(自動)</t>
        </is>
      </c>
      <c r="AF5" s="235" t="inlineStr">
        <is>
          <t>配分額③
(自動)</t>
        </is>
      </c>
      <c r="AG5" s="235" t="inlineStr">
        <is>
          <t>配分額④
(自動)</t>
        </is>
      </c>
      <c r="AH5" s="235" t="inlineStr">
        <is>
          <t>配分額⑤
(自動)</t>
        </is>
      </c>
      <c r="AI5" s="235" t="inlineStr">
        <is>
          <t>配分額⑥
(自動)</t>
        </is>
      </c>
    </row>
    <row r="6" ht="16" customHeight="1" s="438">
      <c r="A6" s="243" t="n">
        <v>1</v>
      </c>
      <c r="B6" s="243" t="inlineStr">
        <is>
          <t>ZEN</t>
        </is>
      </c>
      <c r="C6" s="340" t="inlineStr">
        <is>
          <t>プリンロール</t>
        </is>
      </c>
      <c r="D6" s="339" t="n">
        <v>0.1819444444444444</v>
      </c>
      <c r="E6" s="339" t="n">
        <v>0.1979166666666667</v>
      </c>
      <c r="F6" s="243" t="n">
        <v>23</v>
      </c>
      <c r="G6" s="243" t="n">
        <v>23</v>
      </c>
      <c r="H6" s="243" t="n">
        <v>1</v>
      </c>
      <c r="I6" s="243" t="n">
        <v>40</v>
      </c>
      <c r="J6" s="243" t="n"/>
      <c r="K6" s="243">
        <f>IF(AND(I6&gt;0,ISNUMBER(F6)),I6/(F6/60),"")</f>
        <v/>
      </c>
      <c r="L6" s="243">
        <f>IF(AND(J6&gt;0,ISNUMBER(F6)),J6/(F6/60),"")</f>
        <v/>
      </c>
      <c r="M6" s="243">
        <f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/>
      </c>
      <c r="N6" s="243">
        <f>IF(AND(I6&gt;0,ISNUMBER(M6)),M6/I6,"")</f>
        <v/>
      </c>
      <c r="O6" s="243">
        <f>IF(AND(J6&gt;0,ISNUMBER(M6)),M6/J6,"")</f>
        <v/>
      </c>
      <c r="P6" s="243" t="n"/>
      <c r="Q6" s="243" t="n"/>
      <c r="R6" s="340" t="inlineStr">
        <is>
          <t>Ｓホイップの卵プリン</t>
        </is>
      </c>
      <c r="S6" s="340" t="inlineStr">
        <is>
          <t>ホイップの卵プリン</t>
        </is>
      </c>
      <c r="T6" s="340" t="n"/>
      <c r="U6" s="340" t="n"/>
      <c r="V6" s="340" t="n"/>
      <c r="W6" s="340" t="n"/>
      <c r="X6">
        <f>COUNTA(R6:W6)</f>
        <v/>
      </c>
      <c r="Y6">
        <f>IF(AND($X6&gt;0,ISNUMBER($M6)),$M6/$X6,"")</f>
        <v/>
      </c>
      <c r="Z6">
        <f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/>
      </c>
      <c r="AA6">
        <f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/>
      </c>
      <c r="AB6">
        <f>IF(ISNUMBER($M6),$M6,0)</f>
        <v/>
      </c>
      <c r="AD6" s="413">
        <f>IF($R6="",0,IF($AA6&gt;0,$AB6*SUMIF(⑳商品別1食労務費!$C$5:$C$124,$R6,⑳商品別1食労務費!$F$5:$F$124)/$AA6,$AB6/$X6))</f>
        <v/>
      </c>
      <c r="AE6" s="413">
        <f>IF($S6="",0,IF($AA6&gt;0,$AB6*SUMIF(⑳商品別1食労務費!$C$5:$C$124,$S6,⑳商品別1食労務費!$F$5:$F$124)/$AA6,$AB6/$X6))</f>
        <v/>
      </c>
      <c r="AF6" s="413">
        <f>IF($T6="",0,IF($AA6&gt;0,$AB6*SUMIF(⑳商品別1食労務費!$C$5:$C$124,$T6,⑳商品別1食労務費!$F$5:$F$124)/$AA6,$AB6/$X6))</f>
        <v/>
      </c>
      <c r="AG6" s="413">
        <f>IF($U6="",0,IF($AA6&gt;0,$AB6*SUMIF(⑳商品別1食労務費!$C$5:$C$124,$U6,⑳商品別1食労務費!$F$5:$F$124)/$AA6,$AB6/$X6))</f>
        <v/>
      </c>
      <c r="AH6" s="413">
        <f>IF($V6="",0,IF($AA6&gt;0,$AB6*SUMIF(⑳商品別1食労務費!$C$5:$C$124,$V6,⑳商品別1食労務費!$F$5:$F$124)/$AA6,$AB6/$X6))</f>
        <v/>
      </c>
      <c r="AI6" s="413">
        <f>IF($W6="",0,IF($AA6&gt;0,$AB6*SUMIF(⑳商品別1食労務費!$C$5:$C$124,$W6,⑳商品別1食労務費!$F$5:$F$124)/$AA6,$AB6/$X6))</f>
        <v/>
      </c>
    </row>
    <row r="7" ht="16" customHeight="1" s="438">
      <c r="A7" s="243" t="n">
        <v>2</v>
      </c>
      <c r="B7" s="243" t="inlineStr">
        <is>
          <t>ZEN</t>
        </is>
      </c>
      <c r="C7" s="340" t="inlineStr">
        <is>
          <t>シュー生地</t>
        </is>
      </c>
      <c r="D7" s="339" t="n">
        <v>0.2402777777777778</v>
      </c>
      <c r="E7" s="339" t="n">
        <v>0.3923611111111111</v>
      </c>
      <c r="F7" s="243">
        <f>IF(OR(D7="",E7=""),"",(E7-D7)*1440)</f>
        <v/>
      </c>
      <c r="G7" s="243" t="n">
        <v>198</v>
      </c>
      <c r="H7" s="243" t="n">
        <v>1</v>
      </c>
      <c r="I7" s="243" t="n">
        <v>12</v>
      </c>
      <c r="J7" s="243" t="n"/>
      <c r="K7" s="243">
        <f>IF(AND(I7&gt;0,ISNUMBER(F7)),I7/(F7/60),"")</f>
        <v/>
      </c>
      <c r="L7" s="243">
        <f>IF(AND(J7&gt;0,ISNUMBER(F7)),J7/(F7/60),"")</f>
        <v/>
      </c>
      <c r="M7" s="243">
        <f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243">
        <f>IF(AND(I7&gt;0,ISNUMBER(M7)),M7/I7,"")</f>
        <v/>
      </c>
      <c r="O7" s="243">
        <f>IF(AND(J7&gt;0,ISNUMBER(M7)),M7/J7,"")</f>
        <v/>
      </c>
      <c r="P7" s="243" t="n"/>
      <c r="Q7" s="243" t="n"/>
      <c r="R7" s="340" t="inlineStr">
        <is>
          <t>ミニシューＢＯＸ</t>
        </is>
      </c>
      <c r="S7" s="340" t="inlineStr">
        <is>
          <t>たっぷりシェアシュー１８</t>
        </is>
      </c>
      <c r="T7" s="340" t="n"/>
      <c r="U7" s="340" t="n"/>
      <c r="V7" s="340" t="n"/>
      <c r="W7" s="340" t="n"/>
      <c r="X7">
        <f>COUNTA(R7:W7)</f>
        <v/>
      </c>
      <c r="Y7">
        <f>IF(AND($X7&gt;0,ISNUMBER($M7)),$M7/$X7,"")</f>
        <v/>
      </c>
      <c r="Z7">
        <f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/>
      </c>
      <c r="AA7">
        <f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/>
      </c>
      <c r="AB7">
        <f>IF(ISNUMBER($M7),$M7,0)</f>
        <v/>
      </c>
      <c r="AD7" s="413">
        <f>IF($R7="",0,IF($AA7&gt;0,$AB7*SUMIF(⑳商品別1食労務費!$C$5:$C$124,$R7,⑳商品別1食労務費!$F$5:$F$124)/$AA7,$AB7/$X7))</f>
        <v/>
      </c>
      <c r="AE7" s="413">
        <f>IF($S7="",0,IF($AA7&gt;0,$AB7*SUMIF(⑳商品別1食労務費!$C$5:$C$124,$S7,⑳商品別1食労務費!$F$5:$F$124)/$AA7,$AB7/$X7))</f>
        <v/>
      </c>
      <c r="AF7" s="413">
        <f>IF($T7="",0,IF($AA7&gt;0,$AB7*SUMIF(⑳商品別1食労務費!$C$5:$C$124,$T7,⑳商品別1食労務費!$F$5:$F$124)/$AA7,$AB7/$X7))</f>
        <v/>
      </c>
      <c r="AG7" s="413">
        <f>IF($U7="",0,IF($AA7&gt;0,$AB7*SUMIF(⑳商品別1食労務費!$C$5:$C$124,$U7,⑳商品別1食労務費!$F$5:$F$124)/$AA7,$AB7/$X7))</f>
        <v/>
      </c>
      <c r="AH7" s="413">
        <f>IF($V7="",0,IF($AA7&gt;0,$AB7*SUMIF(⑳商品別1食労務費!$C$5:$C$124,$V7,⑳商品別1食労務費!$F$5:$F$124)/$AA7,$AB7/$X7))</f>
        <v/>
      </c>
      <c r="AI7" s="413">
        <f>IF($W7="",0,IF($AA7&gt;0,$AB7*SUMIF(⑳商品別1食労務費!$C$5:$C$124,$W7,⑳商品別1食労務費!$F$5:$F$124)/$AA7,$AB7/$X7))</f>
        <v/>
      </c>
    </row>
    <row r="8" ht="16" customHeight="1" s="438">
      <c r="A8" s="243" t="n">
        <v>3</v>
      </c>
      <c r="B8" s="243" t="inlineStr">
        <is>
          <t>ZEN</t>
        </is>
      </c>
      <c r="C8" s="340" t="inlineStr">
        <is>
          <t>シュー生地</t>
        </is>
      </c>
      <c r="D8" s="339" t="n"/>
      <c r="E8" s="339" t="n"/>
      <c r="F8" s="243">
        <f>IF(OR(D8="",E8=""),"",(E8-D8)*1440)</f>
        <v/>
      </c>
      <c r="G8" s="243" t="n"/>
      <c r="H8" s="243" t="n">
        <v>1</v>
      </c>
      <c r="I8" s="243" t="n">
        <v>12</v>
      </c>
      <c r="J8" s="243" t="n"/>
      <c r="K8" s="243">
        <f>IF(AND(I8&gt;0,ISNUMBER(F8)),I8/(F8/60),"")</f>
        <v/>
      </c>
      <c r="L8" s="243">
        <f>IF(AND(J8&gt;0,ISNUMBER(F8)),J8/(F8/60),"")</f>
        <v/>
      </c>
      <c r="M8" s="243">
        <f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243">
        <f>IF(AND(I8&gt;0,ISNUMBER(M8)),M8/I8,"")</f>
        <v/>
      </c>
      <c r="O8" s="243">
        <f>IF(AND(J8&gt;0,ISNUMBER(M8)),M8/J8,"")</f>
        <v/>
      </c>
      <c r="P8" s="243" t="n"/>
      <c r="Q8" s="243" t="n"/>
      <c r="R8" s="340" t="inlineStr">
        <is>
          <t>ミニシューＢＯＸ</t>
        </is>
      </c>
      <c r="S8" s="340" t="inlineStr">
        <is>
          <t>たっぷりシェアシュー１８</t>
        </is>
      </c>
      <c r="T8" s="340" t="n"/>
      <c r="U8" s="340" t="n"/>
      <c r="V8" s="340" t="n"/>
      <c r="W8" s="340" t="n"/>
      <c r="X8">
        <f>COUNTA(R8:W8)</f>
        <v/>
      </c>
      <c r="Y8">
        <f>IF(AND($X8&gt;0,ISNUMBER($M8)),$M8/$X8,"")</f>
        <v/>
      </c>
      <c r="Z8">
        <f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/>
      </c>
      <c r="AA8">
        <f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/>
      </c>
      <c r="AB8">
        <f>IF(ISNUMBER($M8),$M8,0)</f>
        <v/>
      </c>
      <c r="AD8" s="413">
        <f>IF($R8="",0,IF($AA8&gt;0,$AB8*SUMIF(⑳商品別1食労務費!$C$5:$C$124,$R8,⑳商品別1食労務費!$F$5:$F$124)/$AA8,$AB8/$X8))</f>
        <v/>
      </c>
      <c r="AE8" s="413">
        <f>IF($S8="",0,IF($AA8&gt;0,$AB8*SUMIF(⑳商品別1食労務費!$C$5:$C$124,$S8,⑳商品別1食労務費!$F$5:$F$124)/$AA8,$AB8/$X8))</f>
        <v/>
      </c>
      <c r="AF8" s="413">
        <f>IF($T8="",0,IF($AA8&gt;0,$AB8*SUMIF(⑳商品別1食労務費!$C$5:$C$124,$T8,⑳商品別1食労務費!$F$5:$F$124)/$AA8,$AB8/$X8))</f>
        <v/>
      </c>
      <c r="AG8" s="413">
        <f>IF($U8="",0,IF($AA8&gt;0,$AB8*SUMIF(⑳商品別1食労務費!$C$5:$C$124,$U8,⑳商品別1食労務費!$F$5:$F$124)/$AA8,$AB8/$X8))</f>
        <v/>
      </c>
      <c r="AH8" s="413">
        <f>IF($V8="",0,IF($AA8&gt;0,$AB8*SUMIF(⑳商品別1食労務費!$C$5:$C$124,$V8,⑳商品別1食労務費!$F$5:$F$124)/$AA8,$AB8/$X8))</f>
        <v/>
      </c>
      <c r="AI8" s="413">
        <f>IF($W8="",0,IF($AA8&gt;0,$AB8*SUMIF(⑳商品別1食労務費!$C$5:$C$124,$W8,⑳商品別1食労務費!$F$5:$F$124)/$AA8,$AB8/$X8))</f>
        <v/>
      </c>
    </row>
    <row r="9" ht="16" customHeight="1" s="438">
      <c r="A9" s="243" t="n">
        <v>4</v>
      </c>
      <c r="B9" s="243" t="inlineStr">
        <is>
          <t>ZEN</t>
        </is>
      </c>
      <c r="C9" s="340" t="inlineStr">
        <is>
          <t>シュー生地</t>
        </is>
      </c>
      <c r="D9" s="339" t="n"/>
      <c r="E9" s="339" t="n"/>
      <c r="F9" s="243">
        <f>IF(OR(D9="",E9=""),"",(E9-D9)*1440)</f>
        <v/>
      </c>
      <c r="G9" s="243" t="n"/>
      <c r="H9" s="243" t="n">
        <v>1</v>
      </c>
      <c r="I9" s="243" t="n">
        <v>12</v>
      </c>
      <c r="J9" s="243" t="n"/>
      <c r="K9" s="243">
        <f>IF(AND(I9&gt;0,ISNUMBER(F9)),I9/(F9/60),"")</f>
        <v/>
      </c>
      <c r="L9" s="243">
        <f>IF(AND(J9&gt;0,ISNUMBER(F9)),J9/(F9/60),"")</f>
        <v/>
      </c>
      <c r="M9" s="243">
        <f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243">
        <f>IF(AND(I9&gt;0,ISNUMBER(M9)),M9/I9,"")</f>
        <v/>
      </c>
      <c r="O9" s="243">
        <f>IF(AND(J9&gt;0,ISNUMBER(M9)),M9/J9,"")</f>
        <v/>
      </c>
      <c r="P9" s="243" t="n"/>
      <c r="Q9" s="243" t="n"/>
      <c r="R9" s="340" t="inlineStr">
        <is>
          <t>ミニシューＢＯＸ</t>
        </is>
      </c>
      <c r="S9" s="340" t="inlineStr">
        <is>
          <t>たっぷりシェアシュー１８</t>
        </is>
      </c>
      <c r="T9" s="340" t="n"/>
      <c r="U9" s="340" t="n"/>
      <c r="V9" s="340" t="n"/>
      <c r="W9" s="340" t="n"/>
      <c r="X9">
        <f>COUNTA(R9:W9)</f>
        <v/>
      </c>
      <c r="Y9">
        <f>IF(AND($X9&gt;0,ISNUMBER($M9)),$M9/$X9,"")</f>
        <v/>
      </c>
      <c r="Z9">
        <f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/>
      </c>
      <c r="AA9">
        <f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/>
      </c>
      <c r="AB9">
        <f>IF(ISNUMBER($M9),$M9,0)</f>
        <v/>
      </c>
      <c r="AD9" s="413">
        <f>IF($R9="",0,IF($AA9&gt;0,$AB9*SUMIF(⑳商品別1食労務費!$C$5:$C$124,$R9,⑳商品別1食労務費!$F$5:$F$124)/$AA9,$AB9/$X9))</f>
        <v/>
      </c>
      <c r="AE9" s="413">
        <f>IF($S9="",0,IF($AA9&gt;0,$AB9*SUMIF(⑳商品別1食労務費!$C$5:$C$124,$S9,⑳商品別1食労務費!$F$5:$F$124)/$AA9,$AB9/$X9))</f>
        <v/>
      </c>
      <c r="AF9" s="413">
        <f>IF($T9="",0,IF($AA9&gt;0,$AB9*SUMIF(⑳商品別1食労務費!$C$5:$C$124,$T9,⑳商品別1食労務費!$F$5:$F$124)/$AA9,$AB9/$X9))</f>
        <v/>
      </c>
      <c r="AG9" s="413">
        <f>IF($U9="",0,IF($AA9&gt;0,$AB9*SUMIF(⑳商品別1食労務費!$C$5:$C$124,$U9,⑳商品別1食労務費!$F$5:$F$124)/$AA9,$AB9/$X9))</f>
        <v/>
      </c>
      <c r="AH9" s="413">
        <f>IF($V9="",0,IF($AA9&gt;0,$AB9*SUMIF(⑳商品別1食労務費!$C$5:$C$124,$V9,⑳商品別1食労務費!$F$5:$F$124)/$AA9,$AB9/$X9))</f>
        <v/>
      </c>
      <c r="AI9" s="413">
        <f>IF($W9="",0,IF($AA9&gt;0,$AB9*SUMIF(⑳商品別1食労務費!$C$5:$C$124,$W9,⑳商品別1食労務費!$F$5:$F$124)/$AA9,$AB9/$X9))</f>
        <v/>
      </c>
    </row>
    <row r="10" ht="16" customHeight="1" s="438">
      <c r="A10" s="243" t="n">
        <v>5</v>
      </c>
      <c r="B10" s="243" t="inlineStr">
        <is>
          <t>ZEN</t>
        </is>
      </c>
      <c r="C10" s="340" t="inlineStr">
        <is>
          <t>シュー生地</t>
        </is>
      </c>
      <c r="D10" s="339" t="n"/>
      <c r="E10" s="339" t="n"/>
      <c r="F10" s="243">
        <f>IF(OR(D10="",E10=""),"",(E10-D10)*1440)</f>
        <v/>
      </c>
      <c r="G10" s="243" t="n"/>
      <c r="H10" s="243" t="n">
        <v>1</v>
      </c>
      <c r="I10" s="243" t="n">
        <v>12</v>
      </c>
      <c r="J10" s="243" t="n"/>
      <c r="K10" s="243">
        <f>IF(AND(I10&gt;0,ISNUMBER(F10)),I10/(F10/60),"")</f>
        <v/>
      </c>
      <c r="L10" s="243">
        <f>IF(AND(J10&gt;0,ISNUMBER(F10)),J10/(F10/60),"")</f>
        <v/>
      </c>
      <c r="M10" s="243">
        <f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243">
        <f>IF(AND(I10&gt;0,ISNUMBER(M10)),M10/I10,"")</f>
        <v/>
      </c>
      <c r="O10" s="243">
        <f>IF(AND(J10&gt;0,ISNUMBER(M10)),M10/J10,"")</f>
        <v/>
      </c>
      <c r="P10" s="243" t="n"/>
      <c r="Q10" s="243" t="n"/>
      <c r="R10" s="340" t="inlineStr">
        <is>
          <t>ミニシューＢＯＸ</t>
        </is>
      </c>
      <c r="S10" s="340" t="inlineStr">
        <is>
          <t>たっぷりシェアシュー１８</t>
        </is>
      </c>
      <c r="T10" s="340" t="n"/>
      <c r="U10" s="340" t="n"/>
      <c r="V10" s="340" t="n"/>
      <c r="W10" s="340" t="n"/>
      <c r="X10">
        <f>COUNTA(R10:W10)</f>
        <v/>
      </c>
      <c r="Y10">
        <f>IF(AND($X10&gt;0,ISNUMBER($M10)),$M10/$X10,"")</f>
        <v/>
      </c>
      <c r="Z10">
        <f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/>
      </c>
      <c r="AA10">
        <f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/>
      </c>
      <c r="AB10">
        <f>IF(ISNUMBER($M10),$M10,0)</f>
        <v/>
      </c>
      <c r="AD10" s="413">
        <f>IF($R10="",0,IF($AA10&gt;0,$AB10*SUMIF(⑳商品別1食労務費!$C$5:$C$124,$R10,⑳商品別1食労務費!$F$5:$F$124)/$AA10,$AB10/$X10))</f>
        <v/>
      </c>
      <c r="AE10" s="413">
        <f>IF($S10="",0,IF($AA10&gt;0,$AB10*SUMIF(⑳商品別1食労務費!$C$5:$C$124,$S10,⑳商品別1食労務費!$F$5:$F$124)/$AA10,$AB10/$X10))</f>
        <v/>
      </c>
      <c r="AF10" s="413">
        <f>IF($T10="",0,IF($AA10&gt;0,$AB10*SUMIF(⑳商品別1食労務費!$C$5:$C$124,$T10,⑳商品別1食労務費!$F$5:$F$124)/$AA10,$AB10/$X10))</f>
        <v/>
      </c>
      <c r="AG10" s="413">
        <f>IF($U10="",0,IF($AA10&gt;0,$AB10*SUMIF(⑳商品別1食労務費!$C$5:$C$124,$U10,⑳商品別1食労務費!$F$5:$F$124)/$AA10,$AB10/$X10))</f>
        <v/>
      </c>
      <c r="AH10" s="413">
        <f>IF($V10="",0,IF($AA10&gt;0,$AB10*SUMIF(⑳商品別1食労務費!$C$5:$C$124,$V10,⑳商品別1食労務費!$F$5:$F$124)/$AA10,$AB10/$X10))</f>
        <v/>
      </c>
      <c r="AI10" s="413">
        <f>IF($W10="",0,IF($AA10&gt;0,$AB10*SUMIF(⑳商品別1食労務費!$C$5:$C$124,$W10,⑳商品別1食労務費!$F$5:$F$124)/$AA10,$AB10/$X10))</f>
        <v/>
      </c>
    </row>
    <row r="11" ht="16" customHeight="1" s="438">
      <c r="A11" s="243" t="n">
        <v>6</v>
      </c>
      <c r="B11" s="243" t="inlineStr">
        <is>
          <t>ZEN</t>
        </is>
      </c>
      <c r="C11" s="340" t="inlineStr">
        <is>
          <t>シュー生地</t>
        </is>
      </c>
      <c r="D11" s="339" t="n"/>
      <c r="E11" s="339" t="n"/>
      <c r="F11" s="243">
        <f>IF(OR(D11="",E11=""),"",(E11-D11)*1440)</f>
        <v/>
      </c>
      <c r="G11" s="243" t="n"/>
      <c r="H11" s="243" t="n">
        <v>1</v>
      </c>
      <c r="I11" s="243" t="n"/>
      <c r="J11" s="243" t="n"/>
      <c r="K11" s="243">
        <f>IF(AND(I11&gt;0,ISNUMBER(F11)),I11/(F11/60),"")</f>
        <v/>
      </c>
      <c r="L11" s="243">
        <f>IF(AND(J11&gt;0,ISNUMBER(F11)),J11/(F11/60),"")</f>
        <v/>
      </c>
      <c r="M11" s="243">
        <f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243">
        <f>IF(AND(I11&gt;0,ISNUMBER(M11)),M11/I11,"")</f>
        <v/>
      </c>
      <c r="O11" s="243">
        <f>IF(AND(J11&gt;0,ISNUMBER(M11)),M11/J11,"")</f>
        <v/>
      </c>
      <c r="P11" s="243" t="n"/>
      <c r="Q11" s="243" t="n"/>
      <c r="R11" s="340" t="inlineStr">
        <is>
          <t>ミニシューＢＯＸ</t>
        </is>
      </c>
      <c r="S11" s="340" t="inlineStr">
        <is>
          <t>たっぷりシェアシュー１８</t>
        </is>
      </c>
      <c r="T11" s="340" t="n"/>
      <c r="U11" s="340" t="n"/>
      <c r="V11" s="340" t="n"/>
      <c r="W11" s="340" t="n"/>
      <c r="X11">
        <f>COUNTA(R11:W11)</f>
        <v/>
      </c>
      <c r="Y11">
        <f>IF(AND($X11&gt;0,ISNUMBER($M11)),$M11/$X11,"")</f>
        <v/>
      </c>
      <c r="Z11">
        <f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/>
      </c>
      <c r="AA11">
        <f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/>
      </c>
      <c r="AB11">
        <f>IF(ISNUMBER($M11),$M11,0)</f>
        <v/>
      </c>
      <c r="AD11" s="413">
        <f>IF($R11="",0,IF($AA11&gt;0,$AB11*SUMIF(⑳商品別1食労務費!$C$5:$C$124,$R11,⑳商品別1食労務費!$F$5:$F$124)/$AA11,$AB11/$X11))</f>
        <v/>
      </c>
      <c r="AE11" s="413">
        <f>IF($S11="",0,IF($AA11&gt;0,$AB11*SUMIF(⑳商品別1食労務費!$C$5:$C$124,$S11,⑳商品別1食労務費!$F$5:$F$124)/$AA11,$AB11/$X11))</f>
        <v/>
      </c>
      <c r="AF11" s="413">
        <f>IF($T11="",0,IF($AA11&gt;0,$AB11*SUMIF(⑳商品別1食労務費!$C$5:$C$124,$T11,⑳商品別1食労務費!$F$5:$F$124)/$AA11,$AB11/$X11))</f>
        <v/>
      </c>
      <c r="AG11" s="413">
        <f>IF($U11="",0,IF($AA11&gt;0,$AB11*SUMIF(⑳商品別1食労務費!$C$5:$C$124,$U11,⑳商品別1食労務費!$F$5:$F$124)/$AA11,$AB11/$X11))</f>
        <v/>
      </c>
      <c r="AH11" s="413">
        <f>IF($V11="",0,IF($AA11&gt;0,$AB11*SUMIF(⑳商品別1食労務費!$C$5:$C$124,$V11,⑳商品別1食労務費!$F$5:$F$124)/$AA11,$AB11/$X11))</f>
        <v/>
      </c>
      <c r="AI11" s="413">
        <f>IF($W11="",0,IF($AA11&gt;0,$AB11*SUMIF(⑳商品別1食労務費!$C$5:$C$124,$W11,⑳商品別1食労務費!$F$5:$F$124)/$AA11,$AB11/$X11))</f>
        <v/>
      </c>
    </row>
    <row r="12" ht="16" customHeight="1" s="438">
      <c r="A12" s="243" t="n">
        <v>7</v>
      </c>
      <c r="B12" s="243" t="inlineStr">
        <is>
          <t>ZEN</t>
        </is>
      </c>
      <c r="C12" s="340" t="inlineStr">
        <is>
          <t>ベイクドチーズケーキ</t>
        </is>
      </c>
      <c r="D12" s="339" t="n">
        <v>0.3770833333333333</v>
      </c>
      <c r="E12" s="339" t="n">
        <v>0.4006944444444445</v>
      </c>
      <c r="F12" s="243">
        <f>IF(OR(D12="",E12=""),"",(E12-D12)*1440)</f>
        <v/>
      </c>
      <c r="G12" s="243" t="n">
        <v>34</v>
      </c>
      <c r="H12" s="243" t="n">
        <v>1</v>
      </c>
      <c r="I12" s="243" t="n">
        <v>16</v>
      </c>
      <c r="J12" s="243" t="n"/>
      <c r="K12" s="243">
        <f>IF(AND(I12&gt;0,ISNUMBER(F12)),I12/(F12/60),"")</f>
        <v/>
      </c>
      <c r="L12" s="243">
        <f>IF(AND(J12&gt;0,ISNUMBER(F12)),J12/(F12/60),"")</f>
        <v/>
      </c>
      <c r="M12" s="243">
        <f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243">
        <f>IF(AND(I12&gt;0,ISNUMBER(M12)),M12/I12,"")</f>
        <v/>
      </c>
      <c r="O12" s="243">
        <f>IF(AND(J12&gt;0,ISNUMBER(M12)),M12/J12,"")</f>
        <v/>
      </c>
      <c r="P12" s="243" t="n"/>
      <c r="Q12" s="243" t="n"/>
      <c r="R12" s="340" t="inlineStr">
        <is>
          <t>２層仕立てのチーズケーキ</t>
        </is>
      </c>
      <c r="S12" s="340" t="inlineStr">
        <is>
          <t>Ｓ２層仕立てのチーズケーキ</t>
        </is>
      </c>
      <c r="T12" s="340" t="n"/>
      <c r="U12" s="340" t="n"/>
      <c r="V12" s="340" t="n"/>
      <c r="W12" s="340" t="n"/>
      <c r="X12">
        <f>COUNTA(R12:W12)</f>
        <v/>
      </c>
      <c r="Y12">
        <f>IF(AND($X12&gt;0,ISNUMBER($M12)),$M12/$X12,"")</f>
        <v/>
      </c>
      <c r="Z12">
        <f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/>
      </c>
      <c r="AA12">
        <f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/>
      </c>
      <c r="AB12">
        <f>IF(ISNUMBER($M12),$M12,0)</f>
        <v/>
      </c>
      <c r="AD12" s="413">
        <f>IF($R12="",0,IF($AA12&gt;0,$AB12*SUMIF(⑳商品別1食労務費!$C$5:$C$124,$R12,⑳商品別1食労務費!$F$5:$F$124)/$AA12,$AB12/$X12))</f>
        <v/>
      </c>
      <c r="AE12" s="413">
        <f>IF($S12="",0,IF($AA12&gt;0,$AB12*SUMIF(⑳商品別1食労務費!$C$5:$C$124,$S12,⑳商品別1食労務費!$F$5:$F$124)/$AA12,$AB12/$X12))</f>
        <v/>
      </c>
      <c r="AF12" s="413">
        <f>IF($T12="",0,IF($AA12&gt;0,$AB12*SUMIF(⑳商品別1食労務費!$C$5:$C$124,$T12,⑳商品別1食労務費!$F$5:$F$124)/$AA12,$AB12/$X12))</f>
        <v/>
      </c>
      <c r="AG12" s="413">
        <f>IF($U12="",0,IF($AA12&gt;0,$AB12*SUMIF(⑳商品別1食労務費!$C$5:$C$124,$U12,⑳商品別1食労務費!$F$5:$F$124)/$AA12,$AB12/$X12))</f>
        <v/>
      </c>
      <c r="AH12" s="413">
        <f>IF($V12="",0,IF($AA12&gt;0,$AB12*SUMIF(⑳商品別1食労務費!$C$5:$C$124,$V12,⑳商品別1食労務費!$F$5:$F$124)/$AA12,$AB12/$X12))</f>
        <v/>
      </c>
      <c r="AI12" s="413">
        <f>IF($W12="",0,IF($AA12&gt;0,$AB12*SUMIF(⑳商品別1食労務費!$C$5:$C$124,$W12,⑳商品別1食労務費!$F$5:$F$124)/$AA12,$AB12/$X12))</f>
        <v/>
      </c>
    </row>
    <row r="13" ht="16" customHeight="1" s="438">
      <c r="A13" s="243" t="n">
        <v>8</v>
      </c>
      <c r="B13" s="243" t="inlineStr">
        <is>
          <t>ZEN</t>
        </is>
      </c>
      <c r="C13" s="340" t="inlineStr">
        <is>
          <t>スイートポテト</t>
        </is>
      </c>
      <c r="D13" s="339" t="n">
        <v>0.3993055555555556</v>
      </c>
      <c r="E13" s="339" t="n">
        <v>0.4513888888888889</v>
      </c>
      <c r="F13" s="243">
        <f>IF(OR(D13="",E13=""),"",(E13-D13)*1440)</f>
        <v/>
      </c>
      <c r="G13" s="243" t="n">
        <v>75</v>
      </c>
      <c r="H13" s="243" t="n">
        <v>1</v>
      </c>
      <c r="I13" s="243" t="n">
        <v>36</v>
      </c>
      <c r="J13" s="243" t="n"/>
      <c r="K13" s="243">
        <f>IF(AND(I13&gt;0,ISNUMBER(F13)),I13/(F13/60),"")</f>
        <v/>
      </c>
      <c r="L13" s="243">
        <f>IF(AND(J13&gt;0,ISNUMBER(F13)),J13/(F13/60),"")</f>
        <v/>
      </c>
      <c r="M13" s="243">
        <f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243">
        <f>IF(AND(I13&gt;0,ISNUMBER(M13)),M13/I13,"")</f>
        <v/>
      </c>
      <c r="O13" s="243">
        <f>IF(AND(J13&gt;0,ISNUMBER(M13)),M13/J13,"")</f>
        <v/>
      </c>
      <c r="P13" s="243" t="n"/>
      <c r="Q13" s="243" t="n"/>
      <c r="R13" s="340" t="inlineStr">
        <is>
          <t>蜜いもスイートポテト</t>
        </is>
      </c>
      <c r="S13" s="340" t="inlineStr">
        <is>
          <t>Ｓ蜜いもスイートポテト</t>
        </is>
      </c>
      <c r="T13" s="340" t="inlineStr">
        <is>
          <t>Ｓ蜜いもスイートポテト小</t>
        </is>
      </c>
      <c r="U13" s="340" t="n"/>
      <c r="V13" s="340" t="n"/>
      <c r="W13" s="340" t="n"/>
      <c r="X13">
        <f>COUNTA(R13:W13)</f>
        <v/>
      </c>
      <c r="Y13">
        <f>IF(AND($X13&gt;0,ISNUMBER($M13)),$M13/$X13,"")</f>
        <v/>
      </c>
      <c r="Z13">
        <f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/>
      </c>
      <c r="AA13">
        <f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/>
      </c>
      <c r="AB13">
        <f>IF(ISNUMBER($M13),$M13,0)</f>
        <v/>
      </c>
      <c r="AD13" s="413">
        <f>IF($R13="",0,IF($AA13&gt;0,$AB13*SUMIF(⑳商品別1食労務費!$C$5:$C$124,$R13,⑳商品別1食労務費!$F$5:$F$124)/$AA13,$AB13/$X13))</f>
        <v/>
      </c>
      <c r="AE13" s="413">
        <f>IF($S13="",0,IF($AA13&gt;0,$AB13*SUMIF(⑳商品別1食労務費!$C$5:$C$124,$S13,⑳商品別1食労務費!$F$5:$F$124)/$AA13,$AB13/$X13))</f>
        <v/>
      </c>
      <c r="AF13" s="413">
        <f>IF($T13="",0,IF($AA13&gt;0,$AB13*SUMIF(⑳商品別1食労務費!$C$5:$C$124,$T13,⑳商品別1食労務費!$F$5:$F$124)/$AA13,$AB13/$X13))</f>
        <v/>
      </c>
      <c r="AG13" s="413">
        <f>IF($U13="",0,IF($AA13&gt;0,$AB13*SUMIF(⑳商品別1食労務費!$C$5:$C$124,$U13,⑳商品別1食労務費!$F$5:$F$124)/$AA13,$AB13/$X13))</f>
        <v/>
      </c>
      <c r="AH13" s="413">
        <f>IF($V13="",0,IF($AA13&gt;0,$AB13*SUMIF(⑳商品別1食労務費!$C$5:$C$124,$V13,⑳商品別1食労務費!$F$5:$F$124)/$AA13,$AB13/$X13))</f>
        <v/>
      </c>
      <c r="AI13" s="413">
        <f>IF($W13="",0,IF($AA13&gt;0,$AB13*SUMIF(⑳商品別1食労務費!$C$5:$C$124,$W13,⑳商品別1食労務費!$F$5:$F$124)/$AA13,$AB13/$X13))</f>
        <v/>
      </c>
    </row>
    <row r="14" ht="16" customHeight="1" s="438">
      <c r="A14" s="243" t="n">
        <v>9</v>
      </c>
      <c r="B14" s="243" t="inlineStr">
        <is>
          <t>ZEN</t>
        </is>
      </c>
      <c r="C14" s="340" t="inlineStr">
        <is>
          <t>スイートポテト</t>
        </is>
      </c>
      <c r="D14" s="339" t="n"/>
      <c r="E14" s="339" t="n"/>
      <c r="F14" s="243">
        <f>IF(OR(D14="",E14=""),"",(E14-D14)*1440)</f>
        <v/>
      </c>
      <c r="G14" s="243" t="n"/>
      <c r="H14" s="243" t="n">
        <v>1</v>
      </c>
      <c r="I14" s="243" t="n"/>
      <c r="J14" s="243" t="n"/>
      <c r="K14" s="243">
        <f>IF(AND(I14&gt;0,ISNUMBER(F14)),I14/(F14/60),"")</f>
        <v/>
      </c>
      <c r="L14" s="243">
        <f>IF(AND(J14&gt;0,ISNUMBER(F14)),J14/(F14/60),"")</f>
        <v/>
      </c>
      <c r="M14" s="243">
        <f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243">
        <f>IF(AND(I14&gt;0,ISNUMBER(M14)),M14/I14,"")</f>
        <v/>
      </c>
      <c r="O14" s="243">
        <f>IF(AND(J14&gt;0,ISNUMBER(M14)),M14/J14,"")</f>
        <v/>
      </c>
      <c r="P14" s="243" t="n"/>
      <c r="Q14" s="243" t="n"/>
      <c r="R14" s="340" t="inlineStr">
        <is>
          <t>蜜いもスイートポテト</t>
        </is>
      </c>
      <c r="S14" s="340" t="inlineStr">
        <is>
          <t>Ｓ蜜いもスイートポテト</t>
        </is>
      </c>
      <c r="T14" s="340" t="inlineStr">
        <is>
          <t>Ｓ蜜いもスイートポテト小</t>
        </is>
      </c>
      <c r="U14" s="340" t="n"/>
      <c r="V14" s="340" t="n"/>
      <c r="W14" s="340" t="n"/>
      <c r="X14">
        <f>COUNTA(R14:W14)</f>
        <v/>
      </c>
      <c r="Y14">
        <f>IF(AND($X14&gt;0,ISNUMBER($M14)),$M14/$X14,"")</f>
        <v/>
      </c>
      <c r="Z14">
        <f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/>
      </c>
      <c r="AA14">
        <f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/>
      </c>
      <c r="AB14">
        <f>IF(ISNUMBER($M14),$M14,0)</f>
        <v/>
      </c>
      <c r="AD14" s="413">
        <f>IF($R14="",0,IF($AA14&gt;0,$AB14*SUMIF(⑳商品別1食労務費!$C$5:$C$124,$R14,⑳商品別1食労務費!$F$5:$F$124)/$AA14,$AB14/$X14))</f>
        <v/>
      </c>
      <c r="AE14" s="413">
        <f>IF($S14="",0,IF($AA14&gt;0,$AB14*SUMIF(⑳商品別1食労務費!$C$5:$C$124,$S14,⑳商品別1食労務費!$F$5:$F$124)/$AA14,$AB14/$X14))</f>
        <v/>
      </c>
      <c r="AF14" s="413">
        <f>IF($T14="",0,IF($AA14&gt;0,$AB14*SUMIF(⑳商品別1食労務費!$C$5:$C$124,$T14,⑳商品別1食労務費!$F$5:$F$124)/$AA14,$AB14/$X14))</f>
        <v/>
      </c>
      <c r="AG14" s="413">
        <f>IF($U14="",0,IF($AA14&gt;0,$AB14*SUMIF(⑳商品別1食労務費!$C$5:$C$124,$U14,⑳商品別1食労務費!$F$5:$F$124)/$AA14,$AB14/$X14))</f>
        <v/>
      </c>
      <c r="AH14" s="413">
        <f>IF($V14="",0,IF($AA14&gt;0,$AB14*SUMIF(⑳商品別1食労務費!$C$5:$C$124,$V14,⑳商品別1食労務費!$F$5:$F$124)/$AA14,$AB14/$X14))</f>
        <v/>
      </c>
      <c r="AI14" s="413">
        <f>IF($W14="",0,IF($AA14&gt;0,$AB14*SUMIF(⑳商品別1食労務費!$C$5:$C$124,$W14,⑳商品別1食労務費!$F$5:$F$124)/$AA14,$AB14/$X14))</f>
        <v/>
      </c>
    </row>
    <row r="15" ht="16" customHeight="1" s="438">
      <c r="A15" s="243" t="n">
        <v>10</v>
      </c>
      <c r="B15" s="243" t="inlineStr">
        <is>
          <t>ZEN</t>
        </is>
      </c>
      <c r="C15" s="340" t="inlineStr">
        <is>
          <t>自社製ホイップの卵プリン</t>
        </is>
      </c>
      <c r="D15" s="339" t="n">
        <v>0.5138888888888888</v>
      </c>
      <c r="E15" s="339" t="n">
        <v>0.6638888888888889</v>
      </c>
      <c r="F15" s="243">
        <f>IF(OR(D15="",E15=""),"",(E15-D15)*1440)</f>
        <v/>
      </c>
      <c r="G15" s="243" t="n">
        <v>198</v>
      </c>
      <c r="H15" s="243" t="n">
        <v>2</v>
      </c>
      <c r="I15" s="243" t="n">
        <v>44</v>
      </c>
      <c r="J15" s="243" t="n"/>
      <c r="K15" s="243">
        <f>IF(AND(I15&gt;0,ISNUMBER(F15)),I15/(F15/60),"")</f>
        <v/>
      </c>
      <c r="L15" s="243">
        <f>IF(AND(J15&gt;0,ISNUMBER(F15)),J15/(F15/60),"")</f>
        <v/>
      </c>
      <c r="M15" s="243">
        <f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243">
        <f>IF(AND(I15&gt;0,ISNUMBER(M15)),M15/I15,"")</f>
        <v/>
      </c>
      <c r="O15" s="243">
        <f>IF(AND(J15&gt;0,ISNUMBER(M15)),M15/J15,"")</f>
        <v/>
      </c>
      <c r="P15" s="243" t="n"/>
      <c r="Q15" s="243" t="n"/>
      <c r="R15" s="340" t="inlineStr">
        <is>
          <t>自社製ホイップの卵プリン</t>
        </is>
      </c>
      <c r="S15" s="340" t="inlineStr">
        <is>
          <t>Ｓホイップの卵プリン</t>
        </is>
      </c>
      <c r="T15" s="340" t="inlineStr">
        <is>
          <t>ホイップの卵プリン</t>
        </is>
      </c>
      <c r="U15" s="340" t="n"/>
      <c r="V15" s="340" t="n"/>
      <c r="W15" s="340" t="n"/>
      <c r="X15">
        <f>COUNTA(R15:W15)</f>
        <v/>
      </c>
      <c r="Y15">
        <f>IF(AND($X15&gt;0,ISNUMBER($M15)),$M15/$X15,"")</f>
        <v/>
      </c>
      <c r="Z15">
        <f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>
        <f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/>
      </c>
      <c r="AB15">
        <f>IF(ISNUMBER($M15),$M15,0)</f>
        <v/>
      </c>
      <c r="AD15" s="413">
        <f>IF($R15="",0,IF($AA15&gt;0,$AB15*SUMIF(⑳商品別1食労務費!$C$5:$C$124,$R15,⑳商品別1食労務費!$F$5:$F$124)/$AA15,$AB15/$X15))</f>
        <v/>
      </c>
      <c r="AE15" s="413">
        <f>IF($S15="",0,IF($AA15&gt;0,$AB15*SUMIF(⑳商品別1食労務費!$C$5:$C$124,$S15,⑳商品別1食労務費!$F$5:$F$124)/$AA15,$AB15/$X15))</f>
        <v/>
      </c>
      <c r="AF15" s="413">
        <f>IF($T15="",0,IF($AA15&gt;0,$AB15*SUMIF(⑳商品別1食労務費!$C$5:$C$124,$T15,⑳商品別1食労務費!$F$5:$F$124)/$AA15,$AB15/$X15))</f>
        <v/>
      </c>
      <c r="AG15" s="413">
        <f>IF($U15="",0,IF($AA15&gt;0,$AB15*SUMIF(⑳商品別1食労務費!$C$5:$C$124,$U15,⑳商品別1食労務費!$F$5:$F$124)/$AA15,$AB15/$X15))</f>
        <v/>
      </c>
      <c r="AH15" s="413">
        <f>IF($V15="",0,IF($AA15&gt;0,$AB15*SUMIF(⑳商品別1食労務費!$C$5:$C$124,$V15,⑳商品別1食労務費!$F$5:$F$124)/$AA15,$AB15/$X15))</f>
        <v/>
      </c>
      <c r="AI15" s="413">
        <f>IF($W15="",0,IF($AA15&gt;0,$AB15*SUMIF(⑳商品別1食労務費!$C$5:$C$124,$W15,⑳商品別1食労務費!$F$5:$F$124)/$AA15,$AB15/$X15))</f>
        <v/>
      </c>
    </row>
    <row r="16" ht="16" customHeight="1" s="438">
      <c r="A16" s="243" t="n">
        <v>11</v>
      </c>
      <c r="B16" s="243" t="inlineStr">
        <is>
          <t>ZEN</t>
        </is>
      </c>
      <c r="C16" s="340" t="inlineStr">
        <is>
          <t>自社製ホイップの卵プリン</t>
        </is>
      </c>
      <c r="D16" s="339" t="n"/>
      <c r="E16" s="339" t="n"/>
      <c r="F16" s="243">
        <f>IF(OR(D16="",E16=""),"",(E16-D16)*1440)</f>
        <v/>
      </c>
      <c r="G16" s="243" t="n"/>
      <c r="H16" s="243" t="n">
        <v>2</v>
      </c>
      <c r="I16" s="243" t="n">
        <v>44</v>
      </c>
      <c r="J16" s="243" t="n"/>
      <c r="K16" s="243">
        <f>IF(AND(I16&gt;0,ISNUMBER(F16)),I16/(F16/60),"")</f>
        <v/>
      </c>
      <c r="L16" s="243">
        <f>IF(AND(J16&gt;0,ISNUMBER(F16)),J16/(F16/60),"")</f>
        <v/>
      </c>
      <c r="M16" s="243">
        <f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243">
        <f>IF(AND(I16&gt;0,ISNUMBER(M16)),M16/I16,"")</f>
        <v/>
      </c>
      <c r="O16" s="243">
        <f>IF(AND(J16&gt;0,ISNUMBER(M16)),M16/J16,"")</f>
        <v/>
      </c>
      <c r="P16" s="243" t="n"/>
      <c r="Q16" s="243" t="n"/>
      <c r="R16" s="340" t="inlineStr">
        <is>
          <t>自社製ホイップの卵プリン</t>
        </is>
      </c>
      <c r="S16" s="340" t="inlineStr">
        <is>
          <t>Ｓホイップの卵プリン</t>
        </is>
      </c>
      <c r="T16" s="340" t="inlineStr">
        <is>
          <t>ホイップの卵プリン</t>
        </is>
      </c>
      <c r="U16" s="340" t="n"/>
      <c r="V16" s="340" t="n"/>
      <c r="W16" s="340" t="n"/>
      <c r="X16">
        <f>COUNTA(R16:W16)</f>
        <v/>
      </c>
      <c r="Y16">
        <f>IF(AND($X16&gt;0,ISNUMBER($M16)),$M16/$X16,"")</f>
        <v/>
      </c>
      <c r="Z16">
        <f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>
        <f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/>
      </c>
      <c r="AB16">
        <f>IF(ISNUMBER($M16),$M16,0)</f>
        <v/>
      </c>
      <c r="AD16" s="413">
        <f>IF($R16="",0,IF($AA16&gt;0,$AB16*SUMIF(⑳商品別1食労務費!$C$5:$C$124,$R16,⑳商品別1食労務費!$F$5:$F$124)/$AA16,$AB16/$X16))</f>
        <v/>
      </c>
      <c r="AE16" s="413">
        <f>IF($S16="",0,IF($AA16&gt;0,$AB16*SUMIF(⑳商品別1食労務費!$C$5:$C$124,$S16,⑳商品別1食労務費!$F$5:$F$124)/$AA16,$AB16/$X16))</f>
        <v/>
      </c>
      <c r="AF16" s="413">
        <f>IF($T16="",0,IF($AA16&gt;0,$AB16*SUMIF(⑳商品別1食労務費!$C$5:$C$124,$T16,⑳商品別1食労務費!$F$5:$F$124)/$AA16,$AB16/$X16))</f>
        <v/>
      </c>
      <c r="AG16" s="413">
        <f>IF($U16="",0,IF($AA16&gt;0,$AB16*SUMIF(⑳商品別1食労務費!$C$5:$C$124,$U16,⑳商品別1食労務費!$F$5:$F$124)/$AA16,$AB16/$X16))</f>
        <v/>
      </c>
      <c r="AH16" s="413">
        <f>IF($V16="",0,IF($AA16&gt;0,$AB16*SUMIF(⑳商品別1食労務費!$C$5:$C$124,$V16,⑳商品別1食労務費!$F$5:$F$124)/$AA16,$AB16/$X16))</f>
        <v/>
      </c>
      <c r="AI16" s="413">
        <f>IF($W16="",0,IF($AA16&gt;0,$AB16*SUMIF(⑳商品別1食労務費!$C$5:$C$124,$W16,⑳商品別1食労務費!$F$5:$F$124)/$AA16,$AB16/$X16))</f>
        <v/>
      </c>
    </row>
    <row r="17" ht="16" customHeight="1" s="438">
      <c r="A17" s="243" t="n">
        <v>12</v>
      </c>
      <c r="B17" s="243" t="inlineStr">
        <is>
          <t>ZEN</t>
        </is>
      </c>
      <c r="C17" s="340" t="inlineStr">
        <is>
          <t>自社製ホイップの卵プリン</t>
        </is>
      </c>
      <c r="D17" s="339" t="n"/>
      <c r="E17" s="339" t="n"/>
      <c r="F17" s="243">
        <f>IF(OR(D17="",E17=""),"",(E17-D17)*1440)</f>
        <v/>
      </c>
      <c r="G17" s="243" t="n"/>
      <c r="H17" s="243" t="n">
        <v>2</v>
      </c>
      <c r="I17" s="243" t="n">
        <v>44</v>
      </c>
      <c r="J17" s="243" t="n"/>
      <c r="K17" s="243">
        <f>IF(AND(I17&gt;0,ISNUMBER(F17)),I17/(F17/60),"")</f>
        <v/>
      </c>
      <c r="L17" s="243">
        <f>IF(AND(J17&gt;0,ISNUMBER(F17)),J17/(F17/60),"")</f>
        <v/>
      </c>
      <c r="M17" s="243">
        <f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243">
        <f>IF(AND(I17&gt;0,ISNUMBER(M17)),M17/I17,"")</f>
        <v/>
      </c>
      <c r="O17" s="243">
        <f>IF(AND(J17&gt;0,ISNUMBER(M17)),M17/J17,"")</f>
        <v/>
      </c>
      <c r="P17" s="243" t="n"/>
      <c r="Q17" s="243" t="n"/>
      <c r="R17" s="340" t="inlineStr">
        <is>
          <t>自社製ホイップの卵プリン</t>
        </is>
      </c>
      <c r="S17" s="340" t="inlineStr">
        <is>
          <t>Ｓホイップの卵プリン</t>
        </is>
      </c>
      <c r="T17" s="340" t="inlineStr">
        <is>
          <t>ホイップの卵プリン</t>
        </is>
      </c>
      <c r="U17" s="340" t="n"/>
      <c r="V17" s="340" t="n"/>
      <c r="W17" s="340" t="n"/>
      <c r="X17">
        <f>COUNTA(R17:W17)</f>
        <v/>
      </c>
      <c r="Y17">
        <f>IF(AND($X17&gt;0,ISNUMBER($M17)),$M17/$X17,"")</f>
        <v/>
      </c>
      <c r="Z17">
        <f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>
        <f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/>
      </c>
      <c r="AB17">
        <f>IF(ISNUMBER($M17),$M17,0)</f>
        <v/>
      </c>
      <c r="AD17" s="413">
        <f>IF($R17="",0,IF($AA17&gt;0,$AB17*SUMIF(⑳商品別1食労務費!$C$5:$C$124,$R17,⑳商品別1食労務費!$F$5:$F$124)/$AA17,$AB17/$X17))</f>
        <v/>
      </c>
      <c r="AE17" s="413">
        <f>IF($S17="",0,IF($AA17&gt;0,$AB17*SUMIF(⑳商品別1食労務費!$C$5:$C$124,$S17,⑳商品別1食労務費!$F$5:$F$124)/$AA17,$AB17/$X17))</f>
        <v/>
      </c>
      <c r="AF17" s="413">
        <f>IF($T17="",0,IF($AA17&gt;0,$AB17*SUMIF(⑳商品別1食労務費!$C$5:$C$124,$T17,⑳商品別1食労務費!$F$5:$F$124)/$AA17,$AB17/$X17))</f>
        <v/>
      </c>
      <c r="AG17" s="413">
        <f>IF($U17="",0,IF($AA17&gt;0,$AB17*SUMIF(⑳商品別1食労務費!$C$5:$C$124,$U17,⑳商品別1食労務費!$F$5:$F$124)/$AA17,$AB17/$X17))</f>
        <v/>
      </c>
      <c r="AH17" s="413">
        <f>IF($V17="",0,IF($AA17&gt;0,$AB17*SUMIF(⑳商品別1食労務費!$C$5:$C$124,$V17,⑳商品別1食労務費!$F$5:$F$124)/$AA17,$AB17/$X17))</f>
        <v/>
      </c>
      <c r="AI17" s="413">
        <f>IF($W17="",0,IF($AA17&gt;0,$AB17*SUMIF(⑳商品別1食労務費!$C$5:$C$124,$W17,⑳商品別1食労務費!$F$5:$F$124)/$AA17,$AB17/$X17))</f>
        <v/>
      </c>
    </row>
    <row r="18" ht="16" customHeight="1" s="438">
      <c r="A18" s="243" t="n">
        <v>13</v>
      </c>
      <c r="B18" s="243" t="inlineStr">
        <is>
          <t>ZEN</t>
        </is>
      </c>
      <c r="C18" s="340" t="inlineStr">
        <is>
          <t>自社製ホイップの卵プリン</t>
        </is>
      </c>
      <c r="D18" s="339" t="n"/>
      <c r="E18" s="339" t="n"/>
      <c r="F18" s="243">
        <f>IF(OR(D18="",E18=""),"",(E18-D18)*1440)</f>
        <v/>
      </c>
      <c r="G18" s="243" t="n"/>
      <c r="H18" s="243" t="n">
        <v>2</v>
      </c>
      <c r="I18" s="243" t="n">
        <v>44</v>
      </c>
      <c r="J18" s="243" t="n"/>
      <c r="K18" s="243">
        <f>IF(AND(I18&gt;0,ISNUMBER(F18)),I18/(F18/60),"")</f>
        <v/>
      </c>
      <c r="L18" s="243">
        <f>IF(AND(J18&gt;0,ISNUMBER(F18)),J18/(F18/60),"")</f>
        <v/>
      </c>
      <c r="M18" s="243">
        <f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243">
        <f>IF(AND(I18&gt;0,ISNUMBER(M18)),M18/I18,"")</f>
        <v/>
      </c>
      <c r="O18" s="243">
        <f>IF(AND(J18&gt;0,ISNUMBER(M18)),M18/J18,"")</f>
        <v/>
      </c>
      <c r="P18" s="243" t="n"/>
      <c r="Q18" s="243" t="n"/>
      <c r="R18" s="340" t="inlineStr">
        <is>
          <t>自社製ホイップの卵プリン</t>
        </is>
      </c>
      <c r="S18" s="340" t="inlineStr">
        <is>
          <t>Ｓホイップの卵プリン</t>
        </is>
      </c>
      <c r="T18" s="340" t="inlineStr">
        <is>
          <t>ホイップの卵プリン</t>
        </is>
      </c>
      <c r="U18" s="340" t="n"/>
      <c r="V18" s="340" t="n"/>
      <c r="W18" s="340" t="n"/>
      <c r="X18">
        <f>COUNTA(R18:W18)</f>
        <v/>
      </c>
      <c r="Y18">
        <f>IF(AND($X18&gt;0,ISNUMBER($M18)),$M18/$X18,"")</f>
        <v/>
      </c>
      <c r="Z18">
        <f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>
        <f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/>
      </c>
      <c r="AB18">
        <f>IF(ISNUMBER($M18),$M18,0)</f>
        <v/>
      </c>
      <c r="AD18" s="413">
        <f>IF($R18="",0,IF($AA18&gt;0,$AB18*SUMIF(⑳商品別1食労務費!$C$5:$C$124,$R18,⑳商品別1食労務費!$F$5:$F$124)/$AA18,$AB18/$X18))</f>
        <v/>
      </c>
      <c r="AE18" s="413">
        <f>IF($S18="",0,IF($AA18&gt;0,$AB18*SUMIF(⑳商品別1食労務費!$C$5:$C$124,$S18,⑳商品別1食労務費!$F$5:$F$124)/$AA18,$AB18/$X18))</f>
        <v/>
      </c>
      <c r="AF18" s="413">
        <f>IF($T18="",0,IF($AA18&gt;0,$AB18*SUMIF(⑳商品別1食労務費!$C$5:$C$124,$T18,⑳商品別1食労務費!$F$5:$F$124)/$AA18,$AB18/$X18))</f>
        <v/>
      </c>
      <c r="AG18" s="413">
        <f>IF($U18="",0,IF($AA18&gt;0,$AB18*SUMIF(⑳商品別1食労務費!$C$5:$C$124,$U18,⑳商品別1食労務費!$F$5:$F$124)/$AA18,$AB18/$X18))</f>
        <v/>
      </c>
      <c r="AH18" s="413">
        <f>IF($V18="",0,IF($AA18&gt;0,$AB18*SUMIF(⑳商品別1食労務費!$C$5:$C$124,$V18,⑳商品別1食労務費!$F$5:$F$124)/$AA18,$AB18/$X18))</f>
        <v/>
      </c>
      <c r="AI18" s="413">
        <f>IF($W18="",0,IF($AA18&gt;0,$AB18*SUMIF(⑳商品別1食労務費!$C$5:$C$124,$W18,⑳商品別1食労務費!$F$5:$F$124)/$AA18,$AB18/$X18))</f>
        <v/>
      </c>
    </row>
    <row r="19" ht="16" customHeight="1" s="438">
      <c r="A19" s="243" t="n">
        <v>14</v>
      </c>
      <c r="B19" s="243" t="inlineStr">
        <is>
          <t>ZEN</t>
        </is>
      </c>
      <c r="C19" s="340" t="inlineStr">
        <is>
          <t>成型</t>
        </is>
      </c>
      <c r="D19" s="339" t="n"/>
      <c r="E19" s="339" t="n"/>
      <c r="F19" s="243">
        <f>IF(OR(D19="",E19=""),"",(E19-D19)*1440)</f>
        <v/>
      </c>
      <c r="G19" s="243" t="n"/>
      <c r="H19" s="243" t="n"/>
      <c r="I19" s="243" t="n"/>
      <c r="J19" s="243" t="n"/>
      <c r="K19" s="243">
        <f>IF(AND(I19&gt;0,ISNUMBER(F19)),I19/(F19/60),"")</f>
        <v/>
      </c>
      <c r="L19" s="243">
        <f>IF(AND(J19&gt;0,ISNUMBER(F19)),J19/(F19/60),"")</f>
        <v/>
      </c>
      <c r="M19" s="243">
        <f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243">
        <f>IF(AND(I19&gt;0,ISNUMBER(M19)),M19/I19,"")</f>
        <v/>
      </c>
      <c r="O19" s="243">
        <f>IF(AND(J19&gt;0,ISNUMBER(M19)),M19/J19,"")</f>
        <v/>
      </c>
      <c r="P19" s="243" t="n"/>
      <c r="Q19" s="243" t="n"/>
      <c r="R19" s="340" t="n"/>
      <c r="S19" s="340" t="n"/>
      <c r="T19" s="340" t="n"/>
      <c r="U19" s="340" t="n"/>
      <c r="V19" s="340" t="n"/>
      <c r="W19" s="340" t="n"/>
      <c r="X19">
        <f>COUNTA(R19:W19)</f>
        <v/>
      </c>
      <c r="Y19">
        <f>IF(AND($X19&gt;0,ISNUMBER($M19)),$M19/$X19,"")</f>
        <v/>
      </c>
      <c r="Z19">
        <f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>
        <f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/>
      </c>
      <c r="AB19">
        <f>IF(ISNUMBER($M19),$M19,0)</f>
        <v/>
      </c>
      <c r="AD19" s="413">
        <f>IF($R19="",0,IF($AA19&gt;0,$AB19*SUMIF(⑳商品別1食労務費!$C$5:$C$124,$R19,⑳商品別1食労務費!$F$5:$F$124)/$AA19,$AB19/$X19))</f>
        <v/>
      </c>
      <c r="AE19" s="413">
        <f>IF($S19="",0,IF($AA19&gt;0,$AB19*SUMIF(⑳商品別1食労務費!$C$5:$C$124,$S19,⑳商品別1食労務費!$F$5:$F$124)/$AA19,$AB19/$X19))</f>
        <v/>
      </c>
      <c r="AF19" s="413">
        <f>IF($T19="",0,IF($AA19&gt;0,$AB19*SUMIF(⑳商品別1食労務費!$C$5:$C$124,$T19,⑳商品別1食労務費!$F$5:$F$124)/$AA19,$AB19/$X19))</f>
        <v/>
      </c>
      <c r="AG19" s="413">
        <f>IF($U19="",0,IF($AA19&gt;0,$AB19*SUMIF(⑳商品別1食労務費!$C$5:$C$124,$U19,⑳商品別1食労務費!$F$5:$F$124)/$AA19,$AB19/$X19))</f>
        <v/>
      </c>
      <c r="AH19" s="413">
        <f>IF($V19="",0,IF($AA19&gt;0,$AB19*SUMIF(⑳商品別1食労務費!$C$5:$C$124,$V19,⑳商品別1食労務費!$F$5:$F$124)/$AA19,$AB19/$X19))</f>
        <v/>
      </c>
      <c r="AI19" s="413">
        <f>IF($W19="",0,IF($AA19&gt;0,$AB19*SUMIF(⑳商品別1食労務費!$C$5:$C$124,$W19,⑳商品別1食労務費!$F$5:$F$124)/$AA19,$AB19/$X19))</f>
        <v/>
      </c>
    </row>
    <row r="20" ht="16" customHeight="1" s="438">
      <c r="A20" s="243" t="n">
        <v>15</v>
      </c>
      <c r="B20" s="243" t="inlineStr">
        <is>
          <t>ZEN</t>
        </is>
      </c>
      <c r="C20" s="340" t="inlineStr">
        <is>
          <t>カスタード＆ホイップシュー（ZEN）</t>
        </is>
      </c>
      <c r="D20" s="339" t="n"/>
      <c r="E20" s="339" t="n"/>
      <c r="F20" s="243">
        <f>IF(OR(D20="",E20=""),"",(E20-D20)*1440)</f>
        <v/>
      </c>
      <c r="G20" s="243" t="n">
        <v>999.7</v>
      </c>
      <c r="H20" s="243" t="n">
        <v>1</v>
      </c>
      <c r="I20" s="243" t="n"/>
      <c r="J20" s="243" t="n">
        <v>2999</v>
      </c>
      <c r="K20" s="243">
        <f>IF(AND(I20&gt;0,ISNUMBER(F20)),I20/(F20/60),"")</f>
        <v/>
      </c>
      <c r="L20" s="243">
        <f>IF(AND(J20&gt;0,ISNUMBER(F20)),J20/(F20/60),"")</f>
        <v/>
      </c>
      <c r="M20" s="243">
        <f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243">
        <f>IF(AND(I20&gt;0,ISNUMBER(M20)),M20/I20,"")</f>
        <v/>
      </c>
      <c r="O20" s="243">
        <f>IF(AND(J20&gt;0,ISNUMBER(M20)),M20/J20,"")</f>
        <v/>
      </c>
      <c r="P20" s="243" t="inlineStr">
        <is>
          <t>前回資料</t>
        </is>
      </c>
      <c r="Q20" s="243" t="inlineStr">
        <is>
          <t>前回資料「益子生産性最新」から展開</t>
        </is>
      </c>
      <c r="R20" s="340" t="inlineStr">
        <is>
          <t>Ｓカスタード＆ホイップシュ</t>
        </is>
      </c>
      <c r="S20" s="340" t="inlineStr">
        <is>
          <t>カスタード＆ホイップシュー</t>
        </is>
      </c>
      <c r="T20" s="340" t="n"/>
      <c r="U20" s="340" t="n"/>
      <c r="V20" s="340" t="n"/>
      <c r="W20" s="340" t="n"/>
      <c r="X20">
        <f>COUNTA(R20:W20)</f>
        <v/>
      </c>
      <c r="Y20">
        <f>IF(AND($X20&gt;0,ISNUMBER($M20)),$M20/$X20,"")</f>
        <v/>
      </c>
      <c r="Z20">
        <f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>
        <f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/>
      </c>
      <c r="AB20">
        <f>IF(ISNUMBER($M20),$M20,0)</f>
        <v/>
      </c>
      <c r="AD20" s="413">
        <f>IF($R20="",0,IF($AA20&gt;0,$AB20*SUMIF(⑳商品別1食労務費!$C$5:$C$124,$R20,⑳商品別1食労務費!$F$5:$F$124)/$AA20,$AB20/$X20))</f>
        <v/>
      </c>
      <c r="AE20" s="413">
        <f>IF($S20="",0,IF($AA20&gt;0,$AB20*SUMIF(⑳商品別1食労務費!$C$5:$C$124,$S20,⑳商品別1食労務費!$F$5:$F$124)/$AA20,$AB20/$X20))</f>
        <v/>
      </c>
      <c r="AF20" s="413">
        <f>IF($T20="",0,IF($AA20&gt;0,$AB20*SUMIF(⑳商品別1食労務費!$C$5:$C$124,$T20,⑳商品別1食労務費!$F$5:$F$124)/$AA20,$AB20/$X20))</f>
        <v/>
      </c>
      <c r="AG20" s="413">
        <f>IF($U20="",0,IF($AA20&gt;0,$AB20*SUMIF(⑳商品別1食労務費!$C$5:$C$124,$U20,⑳商品別1食労務費!$F$5:$F$124)/$AA20,$AB20/$X20))</f>
        <v/>
      </c>
      <c r="AH20" s="413">
        <f>IF($V20="",0,IF($AA20&gt;0,$AB20*SUMIF(⑳商品別1食労務費!$C$5:$C$124,$V20,⑳商品別1食労務費!$F$5:$F$124)/$AA20,$AB20/$X20))</f>
        <v/>
      </c>
      <c r="AI20" s="413">
        <f>IF($W20="",0,IF($AA20&gt;0,$AB20*SUMIF(⑳商品別1食労務費!$C$5:$C$124,$W20,⑳商品別1食労務費!$F$5:$F$124)/$AA20,$AB20/$X20))</f>
        <v/>
      </c>
    </row>
    <row r="21" ht="16" customHeight="1" s="438">
      <c r="A21" s="243" t="n">
        <v>16</v>
      </c>
      <c r="B21" s="243" t="inlineStr">
        <is>
          <t>ZEN</t>
        </is>
      </c>
      <c r="C21" s="340" t="inlineStr">
        <is>
          <t>スイートポテト大小（ZEN）</t>
        </is>
      </c>
      <c r="D21" s="339" t="n"/>
      <c r="E21" s="339" t="n"/>
      <c r="F21" s="243">
        <f>IF(OR(D21="",E21=""),"",(E21-D21)*1440)</f>
        <v/>
      </c>
      <c r="G21" s="243" t="n">
        <v>12.7</v>
      </c>
      <c r="H21" s="243" t="n">
        <v>1</v>
      </c>
      <c r="I21" s="243" t="n"/>
      <c r="J21" s="243" t="n">
        <v>212</v>
      </c>
      <c r="K21" s="243">
        <f>IF(AND(I21&gt;0,ISNUMBER(F21)),I21/(F21/60),"")</f>
        <v/>
      </c>
      <c r="L21" s="243">
        <f>IF(AND(J21&gt;0,ISNUMBER(F21)),J21/(F21/60),"")</f>
        <v/>
      </c>
      <c r="M21" s="243">
        <f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243">
        <f>IF(AND(I21&gt;0,ISNUMBER(M21)),M21/I21,"")</f>
        <v/>
      </c>
      <c r="O21" s="243">
        <f>IF(AND(J21&gt;0,ISNUMBER(M21)),M21/J21,"")</f>
        <v/>
      </c>
      <c r="P21" s="243" t="inlineStr">
        <is>
          <t>前回資料</t>
        </is>
      </c>
      <c r="Q21" s="243" t="inlineStr">
        <is>
          <t>前回資料「益子生産性最新」から展開</t>
        </is>
      </c>
      <c r="R21" s="340" t="inlineStr">
        <is>
          <t>蜜いもスイートポテト（小）</t>
        </is>
      </c>
      <c r="S21" s="340" t="n"/>
      <c r="T21" s="340" t="n"/>
      <c r="U21" s="340" t="n"/>
      <c r="V21" s="340" t="n"/>
      <c r="W21" s="340" t="n"/>
      <c r="X21">
        <f>COUNTA(R21:W21)</f>
        <v/>
      </c>
      <c r="Y21">
        <f>IF(AND($X21&gt;0,ISNUMBER($M21)),$M21/$X21,"")</f>
        <v/>
      </c>
      <c r="Z21">
        <f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>
        <f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/>
      </c>
      <c r="AB21">
        <f>IF(ISNUMBER($M21),$M21,0)</f>
        <v/>
      </c>
      <c r="AD21" s="413">
        <f>IF($R21="",0,IF($AA21&gt;0,$AB21*SUMIF(⑳商品別1食労務費!$C$5:$C$124,$R21,⑳商品別1食労務費!$F$5:$F$124)/$AA21,$AB21/$X21))</f>
        <v/>
      </c>
      <c r="AE21" s="413">
        <f>IF($S21="",0,IF($AA21&gt;0,$AB21*SUMIF(⑳商品別1食労務費!$C$5:$C$124,$S21,⑳商品別1食労務費!$F$5:$F$124)/$AA21,$AB21/$X21))</f>
        <v/>
      </c>
      <c r="AF21" s="413">
        <f>IF($T21="",0,IF($AA21&gt;0,$AB21*SUMIF(⑳商品別1食労務費!$C$5:$C$124,$T21,⑳商品別1食労務費!$F$5:$F$124)/$AA21,$AB21/$X21))</f>
        <v/>
      </c>
      <c r="AG21" s="413">
        <f>IF($U21="",0,IF($AA21&gt;0,$AB21*SUMIF(⑳商品別1食労務費!$C$5:$C$124,$U21,⑳商品別1食労務費!$F$5:$F$124)/$AA21,$AB21/$X21))</f>
        <v/>
      </c>
      <c r="AH21" s="413">
        <f>IF($V21="",0,IF($AA21&gt;0,$AB21*SUMIF(⑳商品別1食労務費!$C$5:$C$124,$V21,⑳商品別1食労務費!$F$5:$F$124)/$AA21,$AB21/$X21))</f>
        <v/>
      </c>
      <c r="AI21" s="413">
        <f>IF($W21="",0,IF($AA21&gt;0,$AB21*SUMIF(⑳商品別1食労務費!$C$5:$C$124,$W21,⑳商品別1食労務費!$F$5:$F$124)/$AA21,$AB21/$X21))</f>
        <v/>
      </c>
    </row>
    <row r="22" ht="16" customHeight="1" s="438">
      <c r="A22" s="243" t="n">
        <v>17</v>
      </c>
      <c r="B22" s="243" t="inlineStr">
        <is>
          <t>フライヤー②</t>
        </is>
      </c>
      <c r="C22" s="340" t="n"/>
      <c r="D22" s="339" t="n"/>
      <c r="E22" s="339" t="n"/>
      <c r="F22" s="243">
        <f>IF(OR(D22="",E22=""),"",(E22-D22)*1440)</f>
        <v/>
      </c>
      <c r="G22" s="243" t="n"/>
      <c r="H22" s="243" t="n"/>
      <c r="I22" s="243" t="n"/>
      <c r="J22" s="243" t="n"/>
      <c r="K22" s="243">
        <f>IF(AND(I22&gt;0,ISNUMBER(F22)),I22/(F22/60),"")</f>
        <v/>
      </c>
      <c r="L22" s="243">
        <f>IF(AND(J22&gt;0,ISNUMBER(F22)),J22/(F22/60),"")</f>
        <v/>
      </c>
      <c r="M22" s="243">
        <f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243">
        <f>IF(AND(I22&gt;0,ISNUMBER(M22)),M22/I22,"")</f>
        <v/>
      </c>
      <c r="O22" s="243">
        <f>IF(AND(J22&gt;0,ISNUMBER(M22)),M22/J22,"")</f>
        <v/>
      </c>
      <c r="P22" s="243" t="n"/>
      <c r="Q22" s="243" t="n"/>
      <c r="R22" s="340" t="n"/>
      <c r="S22" s="340" t="n"/>
      <c r="T22" s="340" t="n"/>
      <c r="U22" s="340" t="n"/>
      <c r="V22" s="340" t="n"/>
      <c r="W22" s="340" t="n"/>
      <c r="X22">
        <f>COUNTA(R22:W22)</f>
        <v/>
      </c>
      <c r="Y22">
        <f>IF(AND($X22&gt;0,ISNUMBER($M22)),$M22/$X22,"")</f>
        <v/>
      </c>
      <c r="Z22">
        <f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>
        <f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/>
      </c>
      <c r="AB22">
        <f>IF(ISNUMBER($M22),$M22,0)</f>
        <v/>
      </c>
      <c r="AD22" s="413">
        <f>IF($R22="",0,IF($AA22&gt;0,$AB22*SUMIF(⑳商品別1食労務費!$C$5:$C$124,$R22,⑳商品別1食労務費!$F$5:$F$124)/$AA22,$AB22/$X22))</f>
        <v/>
      </c>
      <c r="AE22" s="413">
        <f>IF($S22="",0,IF($AA22&gt;0,$AB22*SUMIF(⑳商品別1食労務費!$C$5:$C$124,$S22,⑳商品別1食労務費!$F$5:$F$124)/$AA22,$AB22/$X22))</f>
        <v/>
      </c>
      <c r="AF22" s="413">
        <f>IF($T22="",0,IF($AA22&gt;0,$AB22*SUMIF(⑳商品別1食労務費!$C$5:$C$124,$T22,⑳商品別1食労務費!$F$5:$F$124)/$AA22,$AB22/$X22))</f>
        <v/>
      </c>
      <c r="AG22" s="413">
        <f>IF($U22="",0,IF($AA22&gt;0,$AB22*SUMIF(⑳商品別1食労務費!$C$5:$C$124,$U22,⑳商品別1食労務費!$F$5:$F$124)/$AA22,$AB22/$X22))</f>
        <v/>
      </c>
      <c r="AH22" s="413">
        <f>IF($V22="",0,IF($AA22&gt;0,$AB22*SUMIF(⑳商品別1食労務費!$C$5:$C$124,$V22,⑳商品別1食労務費!$F$5:$F$124)/$AA22,$AB22/$X22))</f>
        <v/>
      </c>
      <c r="AI22" s="413">
        <f>IF($W22="",0,IF($AA22&gt;0,$AB22*SUMIF(⑳商品別1食労務費!$C$5:$C$124,$W22,⑳商品別1食労務費!$F$5:$F$124)/$AA22,$AB22/$X22))</f>
        <v/>
      </c>
    </row>
    <row r="23" ht="16" customHeight="1" s="438">
      <c r="A23" s="243" t="n">
        <v>18</v>
      </c>
      <c r="B23" s="243" t="inlineStr">
        <is>
          <t>フライヤー②</t>
        </is>
      </c>
      <c r="C23" s="340" t="n"/>
      <c r="D23" s="339" t="n"/>
      <c r="E23" s="339" t="n"/>
      <c r="F23" s="243">
        <f>IF(OR(D23="",E23=""),"",(E23-D23)*1440)</f>
        <v/>
      </c>
      <c r="G23" s="243" t="n"/>
      <c r="H23" s="243" t="n"/>
      <c r="I23" s="243" t="n"/>
      <c r="J23" s="243" t="n"/>
      <c r="K23" s="243">
        <f>IF(AND(I23&gt;0,ISNUMBER(F23)),I23/(F23/60),"")</f>
        <v/>
      </c>
      <c r="L23" s="243">
        <f>IF(AND(J23&gt;0,ISNUMBER(F23)),J23/(F23/60),"")</f>
        <v/>
      </c>
      <c r="M23" s="243">
        <f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243">
        <f>IF(AND(I23&gt;0,ISNUMBER(M23)),M23/I23,"")</f>
        <v/>
      </c>
      <c r="O23" s="243">
        <f>IF(AND(J23&gt;0,ISNUMBER(M23)),M23/J23,"")</f>
        <v/>
      </c>
      <c r="P23" s="243" t="n"/>
      <c r="Q23" s="243" t="n"/>
      <c r="R23" s="340" t="n"/>
      <c r="S23" s="340" t="n"/>
      <c r="T23" s="340" t="n"/>
      <c r="U23" s="340" t="n"/>
      <c r="V23" s="340" t="n"/>
      <c r="W23" s="340" t="n"/>
      <c r="X23">
        <f>COUNTA(R23:W23)</f>
        <v/>
      </c>
      <c r="Y23">
        <f>IF(AND($X23&gt;0,ISNUMBER($M23)),$M23/$X23,"")</f>
        <v/>
      </c>
      <c r="Z23">
        <f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>
        <f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/>
      </c>
      <c r="AB23">
        <f>IF(ISNUMBER($M23),$M23,0)</f>
        <v/>
      </c>
      <c r="AD23" s="413">
        <f>IF($R23="",0,IF($AA23&gt;0,$AB23*SUMIF(⑳商品別1食労務費!$C$5:$C$124,$R23,⑳商品別1食労務費!$F$5:$F$124)/$AA23,$AB23/$X23))</f>
        <v/>
      </c>
      <c r="AE23" s="413">
        <f>IF($S23="",0,IF($AA23&gt;0,$AB23*SUMIF(⑳商品別1食労務費!$C$5:$C$124,$S23,⑳商品別1食労務費!$F$5:$F$124)/$AA23,$AB23/$X23))</f>
        <v/>
      </c>
      <c r="AF23" s="413">
        <f>IF($T23="",0,IF($AA23&gt;0,$AB23*SUMIF(⑳商品別1食労務費!$C$5:$C$124,$T23,⑳商品別1食労務費!$F$5:$F$124)/$AA23,$AB23/$X23))</f>
        <v/>
      </c>
      <c r="AG23" s="413">
        <f>IF($U23="",0,IF($AA23&gt;0,$AB23*SUMIF(⑳商品別1食労務費!$C$5:$C$124,$U23,⑳商品別1食労務費!$F$5:$F$124)/$AA23,$AB23/$X23))</f>
        <v/>
      </c>
      <c r="AH23" s="413">
        <f>IF($V23="",0,IF($AA23&gt;0,$AB23*SUMIF(⑳商品別1食労務費!$C$5:$C$124,$V23,⑳商品別1食労務費!$F$5:$F$124)/$AA23,$AB23/$X23))</f>
        <v/>
      </c>
      <c r="AI23" s="413">
        <f>IF($W23="",0,IF($AA23&gt;0,$AB23*SUMIF(⑳商品別1食労務費!$C$5:$C$124,$W23,⑳商品別1食労務費!$F$5:$F$124)/$AA23,$AB23/$X23))</f>
        <v/>
      </c>
    </row>
    <row r="24" ht="16" customHeight="1" s="438">
      <c r="A24" s="243" t="n">
        <v>19</v>
      </c>
      <c r="B24" s="243" t="inlineStr">
        <is>
          <t>フライヤー②</t>
        </is>
      </c>
      <c r="C24" s="340" t="n"/>
      <c r="D24" s="339" t="n"/>
      <c r="E24" s="339" t="n"/>
      <c r="F24" s="243">
        <f>IF(OR(D24="",E24=""),"",(E24-D24)*1440)</f>
        <v/>
      </c>
      <c r="G24" s="243" t="n"/>
      <c r="H24" s="243" t="n"/>
      <c r="I24" s="243" t="n"/>
      <c r="J24" s="243" t="n"/>
      <c r="K24" s="243">
        <f>IF(AND(I24&gt;0,ISNUMBER(F24)),I24/(F24/60),"")</f>
        <v/>
      </c>
      <c r="L24" s="243">
        <f>IF(AND(J24&gt;0,ISNUMBER(F24)),J24/(F24/60),"")</f>
        <v/>
      </c>
      <c r="M24" s="243">
        <f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243">
        <f>IF(AND(I24&gt;0,ISNUMBER(M24)),M24/I24,"")</f>
        <v/>
      </c>
      <c r="O24" s="243">
        <f>IF(AND(J24&gt;0,ISNUMBER(M24)),M24/J24,"")</f>
        <v/>
      </c>
      <c r="P24" s="243" t="n"/>
      <c r="Q24" s="243" t="n"/>
      <c r="R24" s="340" t="n"/>
      <c r="S24" s="340" t="n"/>
      <c r="T24" s="340" t="n"/>
      <c r="U24" s="340" t="n"/>
      <c r="V24" s="340" t="n"/>
      <c r="W24" s="340" t="n"/>
      <c r="X24">
        <f>COUNTA(R24:W24)</f>
        <v/>
      </c>
      <c r="Y24">
        <f>IF(AND($X24&gt;0,ISNUMBER($M24)),$M24/$X24,"")</f>
        <v/>
      </c>
      <c r="Z24">
        <f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>
        <f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/>
      </c>
      <c r="AB24">
        <f>IF(ISNUMBER($M24),$M24,0)</f>
        <v/>
      </c>
      <c r="AD24" s="413">
        <f>IF($R24="",0,IF($AA24&gt;0,$AB24*SUMIF(⑳商品別1食労務費!$C$5:$C$124,$R24,⑳商品別1食労務費!$F$5:$F$124)/$AA24,$AB24/$X24))</f>
        <v/>
      </c>
      <c r="AE24" s="413">
        <f>IF($S24="",0,IF($AA24&gt;0,$AB24*SUMIF(⑳商品別1食労務費!$C$5:$C$124,$S24,⑳商品別1食労務費!$F$5:$F$124)/$AA24,$AB24/$X24))</f>
        <v/>
      </c>
      <c r="AF24" s="413">
        <f>IF($T24="",0,IF($AA24&gt;0,$AB24*SUMIF(⑳商品別1食労務費!$C$5:$C$124,$T24,⑳商品別1食労務費!$F$5:$F$124)/$AA24,$AB24/$X24))</f>
        <v/>
      </c>
      <c r="AG24" s="413">
        <f>IF($U24="",0,IF($AA24&gt;0,$AB24*SUMIF(⑳商品別1食労務費!$C$5:$C$124,$U24,⑳商品別1食労務費!$F$5:$F$124)/$AA24,$AB24/$X24))</f>
        <v/>
      </c>
      <c r="AH24" s="413">
        <f>IF($V24="",0,IF($AA24&gt;0,$AB24*SUMIF(⑳商品別1食労務費!$C$5:$C$124,$V24,⑳商品別1食労務費!$F$5:$F$124)/$AA24,$AB24/$X24))</f>
        <v/>
      </c>
      <c r="AI24" s="413">
        <f>IF($W24="",0,IF($AA24&gt;0,$AB24*SUMIF(⑳商品別1食労務費!$C$5:$C$124,$W24,⑳商品別1食労務費!$F$5:$F$124)/$AA24,$AB24/$X24))</f>
        <v/>
      </c>
    </row>
    <row r="25" ht="16" customHeight="1" s="438">
      <c r="A25" s="243" t="n">
        <v>20</v>
      </c>
      <c r="B25" s="243" t="inlineStr">
        <is>
          <t>フライヤー②</t>
        </is>
      </c>
      <c r="C25" s="340" t="n"/>
      <c r="D25" s="339" t="n"/>
      <c r="E25" s="339" t="n"/>
      <c r="F25" s="243">
        <f>IF(OR(D25="",E25=""),"",(E25-D25)*1440)</f>
        <v/>
      </c>
      <c r="G25" s="243" t="n"/>
      <c r="H25" s="243" t="n"/>
      <c r="I25" s="243" t="n"/>
      <c r="J25" s="243" t="n"/>
      <c r="K25" s="243">
        <f>IF(AND(I25&gt;0,ISNUMBER(F25)),I25/(F25/60),"")</f>
        <v/>
      </c>
      <c r="L25" s="243">
        <f>IF(AND(J25&gt;0,ISNUMBER(F25)),J25/(F25/60),"")</f>
        <v/>
      </c>
      <c r="M25" s="243">
        <f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243">
        <f>IF(AND(I25&gt;0,ISNUMBER(M25)),M25/I25,"")</f>
        <v/>
      </c>
      <c r="O25" s="243">
        <f>IF(AND(J25&gt;0,ISNUMBER(M25)),M25/J25,"")</f>
        <v/>
      </c>
      <c r="P25" s="243" t="n"/>
      <c r="Q25" s="243" t="n"/>
      <c r="R25" s="340" t="n"/>
      <c r="S25" s="340" t="n"/>
      <c r="T25" s="340" t="n"/>
      <c r="U25" s="340" t="n"/>
      <c r="V25" s="340" t="n"/>
      <c r="W25" s="340" t="n"/>
      <c r="X25">
        <f>COUNTA(R25:W25)</f>
        <v/>
      </c>
      <c r="Y25">
        <f>IF(AND($X25&gt;0,ISNUMBER($M25)),$M25/$X25,"")</f>
        <v/>
      </c>
      <c r="Z25">
        <f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>
        <f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/>
      </c>
      <c r="AB25">
        <f>IF(ISNUMBER($M25),$M25,0)</f>
        <v/>
      </c>
      <c r="AD25" s="413">
        <f>IF($R25="",0,IF($AA25&gt;0,$AB25*SUMIF(⑳商品別1食労務費!$C$5:$C$124,$R25,⑳商品別1食労務費!$F$5:$F$124)/$AA25,$AB25/$X25))</f>
        <v/>
      </c>
      <c r="AE25" s="413">
        <f>IF($S25="",0,IF($AA25&gt;0,$AB25*SUMIF(⑳商品別1食労務費!$C$5:$C$124,$S25,⑳商品別1食労務費!$F$5:$F$124)/$AA25,$AB25/$X25))</f>
        <v/>
      </c>
      <c r="AF25" s="413">
        <f>IF($T25="",0,IF($AA25&gt;0,$AB25*SUMIF(⑳商品別1食労務費!$C$5:$C$124,$T25,⑳商品別1食労務費!$F$5:$F$124)/$AA25,$AB25/$X25))</f>
        <v/>
      </c>
      <c r="AG25" s="413">
        <f>IF($U25="",0,IF($AA25&gt;0,$AB25*SUMIF(⑳商品別1食労務費!$C$5:$C$124,$U25,⑳商品別1食労務費!$F$5:$F$124)/$AA25,$AB25/$X25))</f>
        <v/>
      </c>
      <c r="AH25" s="413">
        <f>IF($V25="",0,IF($AA25&gt;0,$AB25*SUMIF(⑳商品別1食労務費!$C$5:$C$124,$V25,⑳商品別1食労務費!$F$5:$F$124)/$AA25,$AB25/$X25))</f>
        <v/>
      </c>
      <c r="AI25" s="413">
        <f>IF($W25="",0,IF($AA25&gt;0,$AB25*SUMIF(⑳商品別1食労務費!$C$5:$C$124,$W25,⑳商品別1食労務費!$F$5:$F$124)/$AA25,$AB25/$X25))</f>
        <v/>
      </c>
    </row>
    <row r="26" ht="16" customHeight="1" s="438">
      <c r="A26" s="243" t="n">
        <v>21</v>
      </c>
      <c r="B26" s="243" t="inlineStr">
        <is>
          <t>フライヤー③</t>
        </is>
      </c>
      <c r="C26" s="340" t="n"/>
      <c r="D26" s="339" t="n"/>
      <c r="E26" s="339" t="n"/>
      <c r="F26" s="243">
        <f>IF(OR(D26="",E26=""),"",(E26-D26)*1440)</f>
        <v/>
      </c>
      <c r="G26" s="243" t="n"/>
      <c r="H26" s="243" t="n"/>
      <c r="I26" s="243" t="n"/>
      <c r="J26" s="243" t="n"/>
      <c r="K26" s="243">
        <f>IF(AND(I26&gt;0,ISNUMBER(F26)),I26/(F26/60),"")</f>
        <v/>
      </c>
      <c r="L26" s="243">
        <f>IF(AND(J26&gt;0,ISNUMBER(F26)),J26/(F26/60),"")</f>
        <v/>
      </c>
      <c r="M26" s="243">
        <f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243">
        <f>IF(AND(I26&gt;0,ISNUMBER(M26)),M26/I26,"")</f>
        <v/>
      </c>
      <c r="O26" s="243">
        <f>IF(AND(J26&gt;0,ISNUMBER(M26)),M26/J26,"")</f>
        <v/>
      </c>
      <c r="P26" s="243" t="n"/>
      <c r="Q26" s="243" t="n"/>
      <c r="R26" s="340" t="n"/>
      <c r="S26" s="340" t="n"/>
      <c r="T26" s="340" t="n"/>
      <c r="U26" s="340" t="n"/>
      <c r="V26" s="340" t="n"/>
      <c r="W26" s="340" t="n"/>
      <c r="X26">
        <f>COUNTA(R26:W26)</f>
        <v/>
      </c>
      <c r="Y26">
        <f>IF(AND($X26&gt;0,ISNUMBER($M26)),$M26/$X26,"")</f>
        <v/>
      </c>
      <c r="Z26">
        <f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>
        <f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/>
      </c>
      <c r="AB26">
        <f>IF(ISNUMBER($M26),$M26,0)</f>
        <v/>
      </c>
      <c r="AD26" s="413">
        <f>IF($R26="",0,IF($AA26&gt;0,$AB26*SUMIF(⑳商品別1食労務費!$C$5:$C$124,$R26,⑳商品別1食労務費!$F$5:$F$124)/$AA26,$AB26/$X26))</f>
        <v/>
      </c>
      <c r="AE26" s="413">
        <f>IF($S26="",0,IF($AA26&gt;0,$AB26*SUMIF(⑳商品別1食労務費!$C$5:$C$124,$S26,⑳商品別1食労務費!$F$5:$F$124)/$AA26,$AB26/$X26))</f>
        <v/>
      </c>
      <c r="AF26" s="413">
        <f>IF($T26="",0,IF($AA26&gt;0,$AB26*SUMIF(⑳商品別1食労務費!$C$5:$C$124,$T26,⑳商品別1食労務費!$F$5:$F$124)/$AA26,$AB26/$X26))</f>
        <v/>
      </c>
      <c r="AG26" s="413">
        <f>IF($U26="",0,IF($AA26&gt;0,$AB26*SUMIF(⑳商品別1食労務費!$C$5:$C$124,$U26,⑳商品別1食労務費!$F$5:$F$124)/$AA26,$AB26/$X26))</f>
        <v/>
      </c>
      <c r="AH26" s="413">
        <f>IF($V26="",0,IF($AA26&gt;0,$AB26*SUMIF(⑳商品別1食労務費!$C$5:$C$124,$V26,⑳商品別1食労務費!$F$5:$F$124)/$AA26,$AB26/$X26))</f>
        <v/>
      </c>
      <c r="AI26" s="413">
        <f>IF($W26="",0,IF($AA26&gt;0,$AB26*SUMIF(⑳商品別1食労務費!$C$5:$C$124,$W26,⑳商品別1食労務費!$F$5:$F$124)/$AA26,$AB26/$X26))</f>
        <v/>
      </c>
    </row>
    <row r="27" ht="16" customHeight="1" s="438">
      <c r="A27" s="243" t="n">
        <v>22</v>
      </c>
      <c r="B27" s="243" t="inlineStr">
        <is>
          <t>フライヤー③</t>
        </is>
      </c>
      <c r="C27" s="340" t="n"/>
      <c r="D27" s="339" t="n"/>
      <c r="E27" s="339" t="n"/>
      <c r="F27" s="243">
        <f>IF(OR(D27="",E27=""),"",(E27-D27)*1440)</f>
        <v/>
      </c>
      <c r="G27" s="243" t="n"/>
      <c r="H27" s="243" t="n"/>
      <c r="I27" s="243" t="n"/>
      <c r="J27" s="243" t="n"/>
      <c r="K27" s="243">
        <f>IF(AND(I27&gt;0,ISNUMBER(F27)),I27/(F27/60),"")</f>
        <v/>
      </c>
      <c r="L27" s="243">
        <f>IF(AND(J27&gt;0,ISNUMBER(F27)),J27/(F27/60),"")</f>
        <v/>
      </c>
      <c r="M27" s="243">
        <f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243">
        <f>IF(AND(I27&gt;0,ISNUMBER(M27)),M27/I27,"")</f>
        <v/>
      </c>
      <c r="O27" s="243">
        <f>IF(AND(J27&gt;0,ISNUMBER(M27)),M27/J27,"")</f>
        <v/>
      </c>
      <c r="P27" s="243" t="n"/>
      <c r="Q27" s="243" t="n"/>
      <c r="R27" s="340" t="n"/>
      <c r="S27" s="340" t="n"/>
      <c r="T27" s="340" t="n"/>
      <c r="U27" s="340" t="n"/>
      <c r="V27" s="340" t="n"/>
      <c r="W27" s="340" t="n"/>
      <c r="X27">
        <f>COUNTA(R27:W27)</f>
        <v/>
      </c>
      <c r="Y27">
        <f>IF(AND($X27&gt;0,ISNUMBER($M27)),$M27/$X27,"")</f>
        <v/>
      </c>
      <c r="Z27">
        <f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>
        <f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/>
      </c>
      <c r="AB27">
        <f>IF(ISNUMBER($M27),$M27,0)</f>
        <v/>
      </c>
      <c r="AD27" s="413">
        <f>IF($R27="",0,IF($AA27&gt;0,$AB27*SUMIF(⑳商品別1食労務費!$C$5:$C$124,$R27,⑳商品別1食労務費!$F$5:$F$124)/$AA27,$AB27/$X27))</f>
        <v/>
      </c>
      <c r="AE27" s="413">
        <f>IF($S27="",0,IF($AA27&gt;0,$AB27*SUMIF(⑳商品別1食労務費!$C$5:$C$124,$S27,⑳商品別1食労務費!$F$5:$F$124)/$AA27,$AB27/$X27))</f>
        <v/>
      </c>
      <c r="AF27" s="413">
        <f>IF($T27="",0,IF($AA27&gt;0,$AB27*SUMIF(⑳商品別1食労務費!$C$5:$C$124,$T27,⑳商品別1食労務費!$F$5:$F$124)/$AA27,$AB27/$X27))</f>
        <v/>
      </c>
      <c r="AG27" s="413">
        <f>IF($U27="",0,IF($AA27&gt;0,$AB27*SUMIF(⑳商品別1食労務費!$C$5:$C$124,$U27,⑳商品別1食労務費!$F$5:$F$124)/$AA27,$AB27/$X27))</f>
        <v/>
      </c>
      <c r="AH27" s="413">
        <f>IF($V27="",0,IF($AA27&gt;0,$AB27*SUMIF(⑳商品別1食労務費!$C$5:$C$124,$V27,⑳商品別1食労務費!$F$5:$F$124)/$AA27,$AB27/$X27))</f>
        <v/>
      </c>
      <c r="AI27" s="413">
        <f>IF($W27="",0,IF($AA27&gt;0,$AB27*SUMIF(⑳商品別1食労務費!$C$5:$C$124,$W27,⑳商品別1食労務費!$F$5:$F$124)/$AA27,$AB27/$X27))</f>
        <v/>
      </c>
    </row>
    <row r="28" ht="16" customHeight="1" s="438">
      <c r="A28" s="243" t="n">
        <v>23</v>
      </c>
      <c r="B28" s="243" t="inlineStr">
        <is>
          <t>フライヤー③</t>
        </is>
      </c>
      <c r="C28" s="340" t="n"/>
      <c r="D28" s="339" t="n"/>
      <c r="E28" s="339" t="n"/>
      <c r="F28" s="243">
        <f>IF(OR(D28="",E28=""),"",(E28-D28)*1440)</f>
        <v/>
      </c>
      <c r="G28" s="243" t="n"/>
      <c r="H28" s="243" t="n"/>
      <c r="I28" s="243" t="n"/>
      <c r="J28" s="243" t="n"/>
      <c r="K28" s="243">
        <f>IF(AND(I28&gt;0,ISNUMBER(F28)),I28/(F28/60),"")</f>
        <v/>
      </c>
      <c r="L28" s="243">
        <f>IF(AND(J28&gt;0,ISNUMBER(F28)),J28/(F28/60),"")</f>
        <v/>
      </c>
      <c r="M28" s="243">
        <f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243">
        <f>IF(AND(I28&gt;0,ISNUMBER(M28)),M28/I28,"")</f>
        <v/>
      </c>
      <c r="O28" s="243">
        <f>IF(AND(J28&gt;0,ISNUMBER(M28)),M28/J28,"")</f>
        <v/>
      </c>
      <c r="P28" s="243" t="n"/>
      <c r="Q28" s="243" t="n"/>
      <c r="R28" s="340" t="n"/>
      <c r="S28" s="340" t="n"/>
      <c r="T28" s="340" t="n"/>
      <c r="U28" s="340" t="n"/>
      <c r="V28" s="340" t="n"/>
      <c r="W28" s="340" t="n"/>
      <c r="X28">
        <f>COUNTA(R28:W28)</f>
        <v/>
      </c>
      <c r="Y28">
        <f>IF(AND($X28&gt;0,ISNUMBER($M28)),$M28/$X28,"")</f>
        <v/>
      </c>
      <c r="Z28">
        <f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>
        <f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/>
      </c>
      <c r="AB28">
        <f>IF(ISNUMBER($M28),$M28,0)</f>
        <v/>
      </c>
      <c r="AD28" s="413">
        <f>IF($R28="",0,IF($AA28&gt;0,$AB28*SUMIF(⑳商品別1食労務費!$C$5:$C$124,$R28,⑳商品別1食労務費!$F$5:$F$124)/$AA28,$AB28/$X28))</f>
        <v/>
      </c>
      <c r="AE28" s="413">
        <f>IF($S28="",0,IF($AA28&gt;0,$AB28*SUMIF(⑳商品別1食労務費!$C$5:$C$124,$S28,⑳商品別1食労務費!$F$5:$F$124)/$AA28,$AB28/$X28))</f>
        <v/>
      </c>
      <c r="AF28" s="413">
        <f>IF($T28="",0,IF($AA28&gt;0,$AB28*SUMIF(⑳商品別1食労務費!$C$5:$C$124,$T28,⑳商品別1食労務費!$F$5:$F$124)/$AA28,$AB28/$X28))</f>
        <v/>
      </c>
      <c r="AG28" s="413">
        <f>IF($U28="",0,IF($AA28&gt;0,$AB28*SUMIF(⑳商品別1食労務費!$C$5:$C$124,$U28,⑳商品別1食労務費!$F$5:$F$124)/$AA28,$AB28/$X28))</f>
        <v/>
      </c>
      <c r="AH28" s="413">
        <f>IF($V28="",0,IF($AA28&gt;0,$AB28*SUMIF(⑳商品別1食労務費!$C$5:$C$124,$V28,⑳商品別1食労務費!$F$5:$F$124)/$AA28,$AB28/$X28))</f>
        <v/>
      </c>
      <c r="AI28" s="413">
        <f>IF($W28="",0,IF($AA28&gt;0,$AB28*SUMIF(⑳商品別1食労務費!$C$5:$C$124,$W28,⑳商品別1食労務費!$F$5:$F$124)/$AA28,$AB28/$X28))</f>
        <v/>
      </c>
    </row>
    <row r="29" ht="16" customHeight="1" s="438">
      <c r="A29" s="243" t="n">
        <v>24</v>
      </c>
      <c r="B29" s="243" t="inlineStr">
        <is>
          <t>フライヤー③</t>
        </is>
      </c>
      <c r="C29" s="340" t="n"/>
      <c r="D29" s="339" t="n"/>
      <c r="E29" s="339" t="n"/>
      <c r="F29" s="243">
        <f>IF(OR(D29="",E29=""),"",(E29-D29)*1440)</f>
        <v/>
      </c>
      <c r="G29" s="243" t="n"/>
      <c r="H29" s="243" t="n"/>
      <c r="I29" s="243" t="n"/>
      <c r="J29" s="243" t="n"/>
      <c r="K29" s="243">
        <f>IF(AND(I29&gt;0,ISNUMBER(F29)),I29/(F29/60),"")</f>
        <v/>
      </c>
      <c r="L29" s="243">
        <f>IF(AND(J29&gt;0,ISNUMBER(F29)),J29/(F29/60),"")</f>
        <v/>
      </c>
      <c r="M29" s="243">
        <f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243">
        <f>IF(AND(I29&gt;0,ISNUMBER(M29)),M29/I29,"")</f>
        <v/>
      </c>
      <c r="O29" s="243">
        <f>IF(AND(J29&gt;0,ISNUMBER(M29)),M29/J29,"")</f>
        <v/>
      </c>
      <c r="P29" s="243" t="n"/>
      <c r="Q29" s="243" t="n"/>
      <c r="R29" s="340" t="n"/>
      <c r="S29" s="340" t="n"/>
      <c r="T29" s="340" t="n"/>
      <c r="U29" s="340" t="n"/>
      <c r="V29" s="340" t="n"/>
      <c r="W29" s="340" t="n"/>
      <c r="X29">
        <f>COUNTA(R29:W29)</f>
        <v/>
      </c>
      <c r="Y29">
        <f>IF(AND($X29&gt;0,ISNUMBER($M29)),$M29/$X29,"")</f>
        <v/>
      </c>
      <c r="Z29">
        <f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>
        <f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/>
      </c>
      <c r="AB29">
        <f>IF(ISNUMBER($M29),$M29,0)</f>
        <v/>
      </c>
      <c r="AD29" s="413">
        <f>IF($R29="",0,IF($AA29&gt;0,$AB29*SUMIF(⑳商品別1食労務費!$C$5:$C$124,$R29,⑳商品別1食労務費!$F$5:$F$124)/$AA29,$AB29/$X29))</f>
        <v/>
      </c>
      <c r="AE29" s="413">
        <f>IF($S29="",0,IF($AA29&gt;0,$AB29*SUMIF(⑳商品別1食労務費!$C$5:$C$124,$S29,⑳商品別1食労務費!$F$5:$F$124)/$AA29,$AB29/$X29))</f>
        <v/>
      </c>
      <c r="AF29" s="413">
        <f>IF($T29="",0,IF($AA29&gt;0,$AB29*SUMIF(⑳商品別1食労務費!$C$5:$C$124,$T29,⑳商品別1食労務費!$F$5:$F$124)/$AA29,$AB29/$X29))</f>
        <v/>
      </c>
      <c r="AG29" s="413">
        <f>IF($U29="",0,IF($AA29&gt;0,$AB29*SUMIF(⑳商品別1食労務費!$C$5:$C$124,$U29,⑳商品別1食労務費!$F$5:$F$124)/$AA29,$AB29/$X29))</f>
        <v/>
      </c>
      <c r="AH29" s="413">
        <f>IF($V29="",0,IF($AA29&gt;0,$AB29*SUMIF(⑳商品別1食労務費!$C$5:$C$124,$V29,⑳商品別1食労務費!$F$5:$F$124)/$AA29,$AB29/$X29))</f>
        <v/>
      </c>
      <c r="AI29" s="413">
        <f>IF($W29="",0,IF($AA29&gt;0,$AB29*SUMIF(⑳商品別1食労務費!$C$5:$C$124,$W29,⑳商品別1食労務費!$F$5:$F$124)/$AA29,$AB29/$X29))</f>
        <v/>
      </c>
    </row>
    <row r="30" ht="16" customHeight="1" s="438">
      <c r="A30" s="243" t="n">
        <v>25</v>
      </c>
      <c r="B30" s="243" t="inlineStr">
        <is>
          <t>フライヤー③</t>
        </is>
      </c>
      <c r="C30" s="340" t="n"/>
      <c r="D30" s="339" t="n"/>
      <c r="E30" s="339" t="n"/>
      <c r="F30" s="243">
        <f>IF(OR(D30="",E30=""),"",(E30-D30)*1440)</f>
        <v/>
      </c>
      <c r="G30" s="243" t="n"/>
      <c r="H30" s="243" t="n"/>
      <c r="I30" s="243" t="n"/>
      <c r="J30" s="243" t="n"/>
      <c r="K30" s="243">
        <f>IF(AND(I30&gt;0,ISNUMBER(F30)),I30/(F30/60),"")</f>
        <v/>
      </c>
      <c r="L30" s="243">
        <f>IF(AND(J30&gt;0,ISNUMBER(F30)),J30/(F30/60),"")</f>
        <v/>
      </c>
      <c r="M30" s="243">
        <f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243">
        <f>IF(AND(I30&gt;0,ISNUMBER(M30)),M30/I30,"")</f>
        <v/>
      </c>
      <c r="O30" s="243">
        <f>IF(AND(J30&gt;0,ISNUMBER(M30)),M30/J30,"")</f>
        <v/>
      </c>
      <c r="P30" s="243" t="n"/>
      <c r="Q30" s="243" t="n"/>
      <c r="R30" s="340" t="n"/>
      <c r="S30" s="340" t="n"/>
      <c r="T30" s="340" t="n"/>
      <c r="U30" s="340" t="n"/>
      <c r="V30" s="340" t="n"/>
      <c r="W30" s="340" t="n"/>
      <c r="X30">
        <f>COUNTA(R30:W30)</f>
        <v/>
      </c>
      <c r="Y30">
        <f>IF(AND($X30&gt;0,ISNUMBER($M30)),$M30/$X30,"")</f>
        <v/>
      </c>
      <c r="Z30">
        <f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>
        <f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/>
      </c>
      <c r="AB30">
        <f>IF(ISNUMBER($M30),$M30,0)</f>
        <v/>
      </c>
      <c r="AD30" s="413">
        <f>IF($R30="",0,IF($AA30&gt;0,$AB30*SUMIF(⑳商品別1食労務費!$C$5:$C$124,$R30,⑳商品別1食労務費!$F$5:$F$124)/$AA30,$AB30/$X30))</f>
        <v/>
      </c>
      <c r="AE30" s="413">
        <f>IF($S30="",0,IF($AA30&gt;0,$AB30*SUMIF(⑳商品別1食労務費!$C$5:$C$124,$S30,⑳商品別1食労務費!$F$5:$F$124)/$AA30,$AB30/$X30))</f>
        <v/>
      </c>
      <c r="AF30" s="413">
        <f>IF($T30="",0,IF($AA30&gt;0,$AB30*SUMIF(⑳商品別1食労務費!$C$5:$C$124,$T30,⑳商品別1食労務費!$F$5:$F$124)/$AA30,$AB30/$X30))</f>
        <v/>
      </c>
      <c r="AG30" s="413">
        <f>IF($U30="",0,IF($AA30&gt;0,$AB30*SUMIF(⑳商品別1食労務費!$C$5:$C$124,$U30,⑳商品別1食労務費!$F$5:$F$124)/$AA30,$AB30/$X30))</f>
        <v/>
      </c>
      <c r="AH30" s="413">
        <f>IF($V30="",0,IF($AA30&gt;0,$AB30*SUMIF(⑳商品別1食労務費!$C$5:$C$124,$V30,⑳商品別1食労務費!$F$5:$F$124)/$AA30,$AB30/$X30))</f>
        <v/>
      </c>
      <c r="AI30" s="413">
        <f>IF($W30="",0,IF($AA30&gt;0,$AB30*SUMIF(⑳商品別1食労務費!$C$5:$C$124,$W30,⑳商品別1食労務費!$F$5:$F$124)/$AA30,$AB30/$X30))</f>
        <v/>
      </c>
    </row>
    <row r="31" ht="16" customHeight="1" s="438">
      <c r="A31" s="243" t="n">
        <v>26</v>
      </c>
      <c r="B31" s="243" t="inlineStr">
        <is>
          <t>フライヤー③</t>
        </is>
      </c>
      <c r="C31" s="243" t="n"/>
      <c r="D31" s="243" t="n"/>
      <c r="E31" s="243" t="n"/>
      <c r="F31" s="243">
        <f>IF(OR(D31="",E31=""),"",(E31-D31)*1440)</f>
        <v/>
      </c>
      <c r="G31" s="243" t="n"/>
      <c r="H31" s="243" t="n"/>
      <c r="I31" s="243" t="n"/>
      <c r="J31" s="243" t="n"/>
      <c r="K31" s="243">
        <f>IF(AND(I31&gt;0,ISNUMBER(F31)),I31/(F31/60),"")</f>
        <v/>
      </c>
      <c r="L31" s="243">
        <f>IF(AND(J31&gt;0,ISNUMBER(F31)),J31/(F31/60),"")</f>
        <v/>
      </c>
      <c r="M31" s="243">
        <f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243">
        <f>IF(AND(I31&gt;0,ISNUMBER(M31)),M31/I31,"")</f>
        <v/>
      </c>
      <c r="O31" s="243">
        <f>IF(AND(J31&gt;0,ISNUMBER(M31)),M31/J31,"")</f>
        <v/>
      </c>
      <c r="P31" s="243" t="n"/>
      <c r="Q31" s="243" t="n"/>
      <c r="R31" s="340" t="n"/>
      <c r="S31" s="340" t="n"/>
      <c r="T31" s="340" t="n"/>
      <c r="U31" s="340" t="n"/>
      <c r="V31" s="340" t="n"/>
      <c r="W31" s="340" t="n"/>
      <c r="X31">
        <f>COUNTA(R31:W31)</f>
        <v/>
      </c>
      <c r="Y31">
        <f>IF(AND($X31&gt;0,ISNUMBER($M31)),$M31/$X31,"")</f>
        <v/>
      </c>
      <c r="Z31">
        <f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>
        <f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/>
      </c>
      <c r="AB31">
        <f>IF(ISNUMBER($M31),$M31,0)</f>
        <v/>
      </c>
      <c r="AD31" s="413">
        <f>IF($R31="",0,IF($AA31&gt;0,$AB31*SUMIF(⑳商品別1食労務費!$C$5:$C$124,$R31,⑳商品別1食労務費!$F$5:$F$124)/$AA31,$AB31/$X31))</f>
        <v/>
      </c>
      <c r="AE31" s="413">
        <f>IF($S31="",0,IF($AA31&gt;0,$AB31*SUMIF(⑳商品別1食労務費!$C$5:$C$124,$S31,⑳商品別1食労務費!$F$5:$F$124)/$AA31,$AB31/$X31))</f>
        <v/>
      </c>
      <c r="AF31" s="413">
        <f>IF($T31="",0,IF($AA31&gt;0,$AB31*SUMIF(⑳商品別1食労務費!$C$5:$C$124,$T31,⑳商品別1食労務費!$F$5:$F$124)/$AA31,$AB31/$X31))</f>
        <v/>
      </c>
      <c r="AG31" s="413">
        <f>IF($U31="",0,IF($AA31&gt;0,$AB31*SUMIF(⑳商品別1食労務費!$C$5:$C$124,$U31,⑳商品別1食労務費!$F$5:$F$124)/$AA31,$AB31/$X31))</f>
        <v/>
      </c>
      <c r="AH31" s="413">
        <f>IF($V31="",0,IF($AA31&gt;0,$AB31*SUMIF(⑳商品別1食労務費!$C$5:$C$124,$V31,⑳商品別1食労務費!$F$5:$F$124)/$AA31,$AB31/$X31))</f>
        <v/>
      </c>
      <c r="AI31" s="413">
        <f>IF($W31="",0,IF($AA31&gt;0,$AB31*SUMIF(⑳商品別1食労務費!$C$5:$C$124,$W31,⑳商品別1食労務費!$F$5:$F$124)/$AA31,$AB31/$X31))</f>
        <v/>
      </c>
    </row>
    <row r="32" ht="16" customHeight="1" s="438">
      <c r="A32" s="243" t="n">
        <v>27</v>
      </c>
      <c r="B32" s="243" t="inlineStr">
        <is>
          <t>フライヤー③</t>
        </is>
      </c>
      <c r="C32" s="243" t="n"/>
      <c r="D32" s="243" t="n"/>
      <c r="E32" s="243" t="n"/>
      <c r="F32" s="243">
        <f>IF(OR(D32="",E32=""),"",(E32-D32)*1440)</f>
        <v/>
      </c>
      <c r="G32" s="243" t="n"/>
      <c r="H32" s="243" t="n"/>
      <c r="I32" s="243" t="n"/>
      <c r="J32" s="243" t="n"/>
      <c r="K32" s="243">
        <f>IF(AND(I32&gt;0,ISNUMBER(F32)),I32/(F32/60),"")</f>
        <v/>
      </c>
      <c r="L32" s="243">
        <f>IF(AND(J32&gt;0,ISNUMBER(F32)),J32/(F32/60),"")</f>
        <v/>
      </c>
      <c r="M32" s="243">
        <f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243">
        <f>IF(AND(I32&gt;0,ISNUMBER(M32)),M32/I32,"")</f>
        <v/>
      </c>
      <c r="O32" s="243">
        <f>IF(AND(J32&gt;0,ISNUMBER(M32)),M32/J32,"")</f>
        <v/>
      </c>
      <c r="P32" s="243" t="n"/>
      <c r="Q32" s="243" t="n"/>
      <c r="R32" s="340" t="n"/>
      <c r="S32" s="340" t="n"/>
      <c r="T32" s="340" t="n"/>
      <c r="U32" s="340" t="n"/>
      <c r="V32" s="340" t="n"/>
      <c r="W32" s="340" t="n"/>
      <c r="X32">
        <f>COUNTA(R32:W32)</f>
        <v/>
      </c>
      <c r="Y32">
        <f>IF(AND($X32&gt;0,ISNUMBER($M32)),$M32/$X32,"")</f>
        <v/>
      </c>
      <c r="Z32">
        <f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>
        <f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/>
      </c>
      <c r="AB32">
        <f>IF(ISNUMBER($M32),$M32,0)</f>
        <v/>
      </c>
      <c r="AD32" s="413">
        <f>IF($R32="",0,IF($AA32&gt;0,$AB32*SUMIF(⑳商品別1食労務費!$C$5:$C$124,$R32,⑳商品別1食労務費!$F$5:$F$124)/$AA32,$AB32/$X32))</f>
        <v/>
      </c>
      <c r="AE32" s="413">
        <f>IF($S32="",0,IF($AA32&gt;0,$AB32*SUMIF(⑳商品別1食労務費!$C$5:$C$124,$S32,⑳商品別1食労務費!$F$5:$F$124)/$AA32,$AB32/$X32))</f>
        <v/>
      </c>
      <c r="AF32" s="413">
        <f>IF($T32="",0,IF($AA32&gt;0,$AB32*SUMIF(⑳商品別1食労務費!$C$5:$C$124,$T32,⑳商品別1食労務費!$F$5:$F$124)/$AA32,$AB32/$X32))</f>
        <v/>
      </c>
      <c r="AG32" s="413">
        <f>IF($U32="",0,IF($AA32&gt;0,$AB32*SUMIF(⑳商品別1食労務費!$C$5:$C$124,$U32,⑳商品別1食労務費!$F$5:$F$124)/$AA32,$AB32/$X32))</f>
        <v/>
      </c>
      <c r="AH32" s="413">
        <f>IF($V32="",0,IF($AA32&gt;0,$AB32*SUMIF(⑳商品別1食労務費!$C$5:$C$124,$V32,⑳商品別1食労務費!$F$5:$F$124)/$AA32,$AB32/$X32))</f>
        <v/>
      </c>
      <c r="AI32" s="413">
        <f>IF($W32="",0,IF($AA32&gt;0,$AB32*SUMIF(⑳商品別1食労務費!$C$5:$C$124,$W32,⑳商品別1食労務費!$F$5:$F$124)/$AA32,$AB32/$X32))</f>
        <v/>
      </c>
    </row>
    <row r="33" ht="16" customHeight="1" s="438">
      <c r="A33" s="243" t="n">
        <v>28</v>
      </c>
      <c r="B33" s="243" t="inlineStr">
        <is>
          <t>フライヤー③</t>
        </is>
      </c>
      <c r="C33" s="243" t="n"/>
      <c r="D33" s="243" t="n"/>
      <c r="E33" s="243" t="n"/>
      <c r="F33" s="243">
        <f>IF(OR(D33="",E33=""),"",(E33-D33)*1440)</f>
        <v/>
      </c>
      <c r="G33" s="243" t="n"/>
      <c r="H33" s="243" t="n"/>
      <c r="I33" s="243" t="n"/>
      <c r="J33" s="243" t="n"/>
      <c r="K33" s="243">
        <f>IF(AND(I33&gt;0,ISNUMBER(F33)),I33/(F33/60),"")</f>
        <v/>
      </c>
      <c r="L33" s="243">
        <f>IF(AND(J33&gt;0,ISNUMBER(F33)),J33/(F33/60),"")</f>
        <v/>
      </c>
      <c r="M33" s="243">
        <f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243">
        <f>IF(AND(I33&gt;0,ISNUMBER(M33)),M33/I33,"")</f>
        <v/>
      </c>
      <c r="O33" s="243">
        <f>IF(AND(J33&gt;0,ISNUMBER(M33)),M33/J33,"")</f>
        <v/>
      </c>
      <c r="P33" s="243" t="n"/>
      <c r="Q33" s="243" t="n"/>
      <c r="R33" s="340" t="n"/>
      <c r="S33" s="340" t="n"/>
      <c r="T33" s="340" t="n"/>
      <c r="U33" s="340" t="n"/>
      <c r="V33" s="340" t="n"/>
      <c r="W33" s="340" t="n"/>
      <c r="X33">
        <f>COUNTA(R33:W33)</f>
        <v/>
      </c>
      <c r="Y33">
        <f>IF(AND($X33&gt;0,ISNUMBER($M33)),$M33/$X33,"")</f>
        <v/>
      </c>
      <c r="Z33">
        <f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>
        <f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/>
      </c>
      <c r="AB33">
        <f>IF(ISNUMBER($M33),$M33,0)</f>
        <v/>
      </c>
      <c r="AD33" s="413">
        <f>IF($R33="",0,IF($AA33&gt;0,$AB33*SUMIF(⑳商品別1食労務費!$C$5:$C$124,$R33,⑳商品別1食労務費!$F$5:$F$124)/$AA33,$AB33/$X33))</f>
        <v/>
      </c>
      <c r="AE33" s="413">
        <f>IF($S33="",0,IF($AA33&gt;0,$AB33*SUMIF(⑳商品別1食労務費!$C$5:$C$124,$S33,⑳商品別1食労務費!$F$5:$F$124)/$AA33,$AB33/$X33))</f>
        <v/>
      </c>
      <c r="AF33" s="413">
        <f>IF($T33="",0,IF($AA33&gt;0,$AB33*SUMIF(⑳商品別1食労務費!$C$5:$C$124,$T33,⑳商品別1食労務費!$F$5:$F$124)/$AA33,$AB33/$X33))</f>
        <v/>
      </c>
      <c r="AG33" s="413">
        <f>IF($U33="",0,IF($AA33&gt;0,$AB33*SUMIF(⑳商品別1食労務費!$C$5:$C$124,$U33,⑳商品別1食労務費!$F$5:$F$124)/$AA33,$AB33/$X33))</f>
        <v/>
      </c>
      <c r="AH33" s="413">
        <f>IF($V33="",0,IF($AA33&gt;0,$AB33*SUMIF(⑳商品別1食労務費!$C$5:$C$124,$V33,⑳商品別1食労務費!$F$5:$F$124)/$AA33,$AB33/$X33))</f>
        <v/>
      </c>
      <c r="AI33" s="413">
        <f>IF($W33="",0,IF($AA33&gt;0,$AB33*SUMIF(⑳商品別1食労務費!$C$5:$C$124,$W33,⑳商品別1食労務費!$F$5:$F$124)/$AA33,$AB33/$X33))</f>
        <v/>
      </c>
    </row>
    <row r="34" ht="16" customHeight="1" s="438">
      <c r="A34" s="243" t="n">
        <v>29</v>
      </c>
      <c r="B34" s="243" t="inlineStr">
        <is>
          <t>フライヤー③</t>
        </is>
      </c>
      <c r="C34" s="243" t="n"/>
      <c r="D34" s="243" t="n"/>
      <c r="E34" s="243" t="n"/>
      <c r="F34" s="243">
        <f>IF(OR(D34="",E34=""),"",(E34-D34)*1440)</f>
        <v/>
      </c>
      <c r="G34" s="243" t="n"/>
      <c r="H34" s="243" t="n"/>
      <c r="I34" s="243" t="n"/>
      <c r="J34" s="243" t="n"/>
      <c r="K34" s="243">
        <f>IF(AND(I34&gt;0,ISNUMBER(F34)),I34/(F34/60),"")</f>
        <v/>
      </c>
      <c r="L34" s="243">
        <f>IF(AND(J34&gt;0,ISNUMBER(F34)),J34/(F34/60),"")</f>
        <v/>
      </c>
      <c r="M34" s="243">
        <f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243">
        <f>IF(AND(I34&gt;0,ISNUMBER(M34)),M34/I34,"")</f>
        <v/>
      </c>
      <c r="O34" s="243">
        <f>IF(AND(J34&gt;0,ISNUMBER(M34)),M34/J34,"")</f>
        <v/>
      </c>
      <c r="P34" s="243" t="n"/>
      <c r="Q34" s="243" t="n"/>
      <c r="R34" s="340" t="n"/>
      <c r="S34" s="340" t="n"/>
      <c r="T34" s="340" t="n"/>
      <c r="U34" s="340" t="n"/>
      <c r="V34" s="340" t="n"/>
      <c r="W34" s="340" t="n"/>
      <c r="X34">
        <f>COUNTA(R34:W34)</f>
        <v/>
      </c>
      <c r="Y34">
        <f>IF(AND($X34&gt;0,ISNUMBER($M34)),$M34/$X34,"")</f>
        <v/>
      </c>
      <c r="Z34">
        <f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>
        <f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/>
      </c>
      <c r="AB34">
        <f>IF(ISNUMBER($M34),$M34,0)</f>
        <v/>
      </c>
      <c r="AD34" s="413">
        <f>IF($R34="",0,IF($AA34&gt;0,$AB34*SUMIF(⑳商品別1食労務費!$C$5:$C$124,$R34,⑳商品別1食労務費!$F$5:$F$124)/$AA34,$AB34/$X34))</f>
        <v/>
      </c>
      <c r="AE34" s="413">
        <f>IF($S34="",0,IF($AA34&gt;0,$AB34*SUMIF(⑳商品別1食労務費!$C$5:$C$124,$S34,⑳商品別1食労務費!$F$5:$F$124)/$AA34,$AB34/$X34))</f>
        <v/>
      </c>
      <c r="AF34" s="413">
        <f>IF($T34="",0,IF($AA34&gt;0,$AB34*SUMIF(⑳商品別1食労務費!$C$5:$C$124,$T34,⑳商品別1食労務費!$F$5:$F$124)/$AA34,$AB34/$X34))</f>
        <v/>
      </c>
      <c r="AG34" s="413">
        <f>IF($U34="",0,IF($AA34&gt;0,$AB34*SUMIF(⑳商品別1食労務費!$C$5:$C$124,$U34,⑳商品別1食労務費!$F$5:$F$124)/$AA34,$AB34/$X34))</f>
        <v/>
      </c>
      <c r="AH34" s="413">
        <f>IF($V34="",0,IF($AA34&gt;0,$AB34*SUMIF(⑳商品別1食労務費!$C$5:$C$124,$V34,⑳商品別1食労務費!$F$5:$F$124)/$AA34,$AB34/$X34))</f>
        <v/>
      </c>
      <c r="AI34" s="413">
        <f>IF($W34="",0,IF($AA34&gt;0,$AB34*SUMIF(⑳商品別1食労務費!$C$5:$C$124,$W34,⑳商品別1食労務費!$F$5:$F$124)/$AA34,$AB34/$X34))</f>
        <v/>
      </c>
    </row>
    <row r="35" ht="16" customHeight="1" s="438">
      <c r="A35" s="243" t="n">
        <v>30</v>
      </c>
      <c r="B35" s="243" t="inlineStr">
        <is>
          <t>フライヤー③</t>
        </is>
      </c>
      <c r="C35" s="243" t="n"/>
      <c r="D35" s="243" t="n"/>
      <c r="E35" s="243" t="n"/>
      <c r="F35" s="243">
        <f>IF(OR(D35="",E35=""),"",(E35-D35)*1440)</f>
        <v/>
      </c>
      <c r="G35" s="243" t="n"/>
      <c r="H35" s="243" t="n"/>
      <c r="I35" s="243" t="n"/>
      <c r="J35" s="243" t="n"/>
      <c r="K35" s="243">
        <f>IF(AND(I35&gt;0,ISNUMBER(F35)),I35/(F35/60),"")</f>
        <v/>
      </c>
      <c r="L35" s="243">
        <f>IF(AND(J35&gt;0,ISNUMBER(F35)),J35/(F35/60),"")</f>
        <v/>
      </c>
      <c r="M35" s="243">
        <f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243">
        <f>IF(AND(I35&gt;0,ISNUMBER(M35)),M35/I35,"")</f>
        <v/>
      </c>
      <c r="O35" s="243">
        <f>IF(AND(J35&gt;0,ISNUMBER(M35)),M35/J35,"")</f>
        <v/>
      </c>
      <c r="P35" s="243" t="n"/>
      <c r="Q35" s="243" t="n"/>
      <c r="R35" s="340" t="n"/>
      <c r="S35" s="340" t="n"/>
      <c r="T35" s="340" t="n"/>
      <c r="U35" s="340" t="n"/>
      <c r="V35" s="340" t="n"/>
      <c r="W35" s="340" t="n"/>
      <c r="X35">
        <f>COUNTA(R35:W35)</f>
        <v/>
      </c>
      <c r="Y35">
        <f>IF(AND($X35&gt;0,ISNUMBER($M35)),$M35/$X35,"")</f>
        <v/>
      </c>
      <c r="Z35">
        <f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>
        <f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/>
      </c>
      <c r="AB35">
        <f>IF(ISNUMBER($M35),$M35,0)</f>
        <v/>
      </c>
      <c r="AD35" s="413">
        <f>IF($R35="",0,IF($AA35&gt;0,$AB35*SUMIF(⑳商品別1食労務費!$C$5:$C$124,$R35,⑳商品別1食労務費!$F$5:$F$124)/$AA35,$AB35/$X35))</f>
        <v/>
      </c>
      <c r="AE35" s="413">
        <f>IF($S35="",0,IF($AA35&gt;0,$AB35*SUMIF(⑳商品別1食労務費!$C$5:$C$124,$S35,⑳商品別1食労務費!$F$5:$F$124)/$AA35,$AB35/$X35))</f>
        <v/>
      </c>
      <c r="AF35" s="413">
        <f>IF($T35="",0,IF($AA35&gt;0,$AB35*SUMIF(⑳商品別1食労務費!$C$5:$C$124,$T35,⑳商品別1食労務費!$F$5:$F$124)/$AA35,$AB35/$X35))</f>
        <v/>
      </c>
      <c r="AG35" s="413">
        <f>IF($U35="",0,IF($AA35&gt;0,$AB35*SUMIF(⑳商品別1食労務費!$C$5:$C$124,$U35,⑳商品別1食労務費!$F$5:$F$124)/$AA35,$AB35/$X35))</f>
        <v/>
      </c>
      <c r="AH35" s="413">
        <f>IF($V35="",0,IF($AA35&gt;0,$AB35*SUMIF(⑳商品別1食労務費!$C$5:$C$124,$V35,⑳商品別1食労務費!$F$5:$F$124)/$AA35,$AB35/$X35))</f>
        <v/>
      </c>
      <c r="AI35" s="413">
        <f>IF($W35="",0,IF($AA35&gt;0,$AB35*SUMIF(⑳商品別1食労務費!$C$5:$C$124,$W35,⑳商品別1食労務費!$F$5:$F$124)/$AA35,$AB35/$X35))</f>
        <v/>
      </c>
    </row>
    <row r="36" ht="22" customHeight="1" s="438">
      <c r="A36" s="244" t="inlineStr">
        <is>
          <t>合計/平均</t>
        </is>
      </c>
      <c r="B36" s="244" t="n"/>
      <c r="C36" s="244" t="n"/>
      <c r="D36" s="244" t="n"/>
      <c r="E36" s="244" t="n"/>
      <c r="F36" s="244" t="n"/>
      <c r="G36" s="244" t="n"/>
      <c r="H36" s="244" t="n">
        <v>2</v>
      </c>
      <c r="I36" s="244" t="n"/>
      <c r="J36" s="244" t="n"/>
      <c r="K36" s="244">
        <f>IFERROR(AVERAGEIF(K6:K35,"&gt;0"),"-")</f>
        <v/>
      </c>
      <c r="L36" s="244">
        <f>IFERROR(AVERAGEIF(L6:L35,"&gt;0"),"-")</f>
        <v/>
      </c>
      <c r="M36" s="244">
        <f>SUM(M6:M35)</f>
        <v/>
      </c>
      <c r="N36" s="244">
        <f>IFERROR(AVERAGEIF(N6:N35,"&gt;0"),"-")</f>
        <v/>
      </c>
      <c r="O36" s="244">
        <f>IFERROR(AVERAGEIF(O6:O35,"&gt;0"),"-")</f>
        <v/>
      </c>
      <c r="P36" s="244" t="n"/>
      <c r="Q36" s="244" t="n"/>
    </row>
    <row r="37">
      <c r="H37" t="n">
        <v>2</v>
      </c>
      <c r="M37">
        <f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</row>
    <row r="38" ht="22" customHeight="1" s="438">
      <c r="A38" t="inlineStr">
        <is>
          <t>💡 H列（重量kg）・I列（個数）はどちらに入力しても自動計算されます　|　両方入力も可　|　J列=kg/h　K列=個/h　L列=労務費　M列=円/kg　N列=円/個　|　稼働時間はD〜E列の開始・終了から自動計算</t>
        </is>
      </c>
      <c r="H38" t="n">
        <v>2</v>
      </c>
      <c r="M38">
        <f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</row>
  </sheetData>
  <mergeCells count="10">
    <mergeCell ref="A4:B4"/>
    <mergeCell ref="P4:Q4"/>
    <mergeCell ref="I4:J4"/>
    <mergeCell ref="C4"/>
    <mergeCell ref="M4:O4"/>
    <mergeCell ref="A2:Q2"/>
    <mergeCell ref="K4:L4"/>
    <mergeCell ref="R4:S4"/>
    <mergeCell ref="A1:Q1"/>
    <mergeCell ref="D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6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L7" sqref="L7"/>
    </sheetView>
  </sheetViews>
  <sheetFormatPr baseColWidth="8" defaultRowHeight="13"/>
  <cols>
    <col width="5" customWidth="1" style="438" min="1" max="1"/>
    <col width="12" customWidth="1" style="438" min="2" max="2"/>
    <col width="22" customWidth="1" style="438" min="3" max="3"/>
    <col width="8" customWidth="1" style="438" min="4" max="5"/>
    <col width="9" customWidth="1" style="438" min="6" max="6"/>
    <col width="10" customWidth="1" style="438" min="7" max="7"/>
    <col width="10" customWidth="1" style="456" min="8" max="8"/>
    <col width="12" customWidth="1" style="438" min="9" max="13"/>
    <col width="10" customWidth="1" style="438" min="14" max="16"/>
    <col width="14" customWidth="1" style="438" min="17" max="17"/>
    <col width="26" customWidth="1" style="438" min="18" max="23"/>
    <col width="14" customWidth="1" style="438" min="24" max="28"/>
    <col width="12" customWidth="1" style="438" min="30" max="35"/>
  </cols>
  <sheetData>
    <row r="1" ht="26" customHeight="1" s="438">
      <c r="A1" s="487" t="inlineStr">
        <is>
          <t>⑫ミキサー工程入力台帳　毎週更新　|　重量(kg)・個数(個)どちらに入力しても生産性・労務費が自動計算</t>
        </is>
      </c>
    </row>
    <row r="2" ht="18" customHeight="1" s="438">
      <c r="A2" s="483" t="inlineStr">
        <is>
          <t>● 黄色セル★ = 毎週入力　|　H列(kg)またはI列(個)のどちらかを入力 → J・K・L・M・N列が自動計算　|　★R列で中間品名を選ぶと、中間品JAN（S列）で⑱〜⑳に労務費がひもづきます</t>
        </is>
      </c>
    </row>
    <row r="3" ht="8" customHeight="1" s="438"/>
    <row r="4" ht="22" customHeight="1" s="438">
      <c r="A4" s="479" t="inlineStr">
        <is>
          <t>基本情報</t>
        </is>
      </c>
      <c r="C4" s="486" t="inlineStr">
        <is>
          <t>商品名★</t>
        </is>
      </c>
      <c r="D4" s="485" t="inlineStr">
        <is>
          <t>時間・作業</t>
        </is>
      </c>
      <c r="I4" s="480" t="inlineStr">
        <is>
          <t>生産量★（どちらかを入力）</t>
        </is>
      </c>
      <c r="K4" s="486" t="inlineStr">
        <is>
          <t>生産性（自動計算）</t>
        </is>
      </c>
      <c r="M4" s="482" t="inlineStr">
        <is>
          <t>労務費（自動計算）</t>
        </is>
      </c>
      <c r="P4" s="479" t="inlineStr">
        <is>
          <t>その他</t>
        </is>
      </c>
      <c r="R4" s="482" t="inlineStr">
        <is>
          <t>中間品ひもづけ</t>
        </is>
      </c>
    </row>
    <row r="5" ht="36" customHeight="1" s="438">
      <c r="A5" s="234" t="inlineStr">
        <is>
          <t>No.</t>
        </is>
      </c>
      <c r="B5" s="234" t="inlineStr">
        <is>
          <t>機器</t>
        </is>
      </c>
      <c r="C5" s="245" t="inlineStr">
        <is>
          <t>商品名★</t>
        </is>
      </c>
      <c r="D5" s="236" t="inlineStr">
        <is>
          <t>開始★</t>
        </is>
      </c>
      <c r="E5" s="236" t="inlineStr">
        <is>
          <t>終了★</t>
        </is>
      </c>
      <c r="F5" s="550" t="inlineStr">
        <is>
          <t>稼働(分)</t>
        </is>
      </c>
      <c r="G5" s="238" t="inlineStr">
        <is>
          <t>実作業(分)★</t>
        </is>
      </c>
      <c r="H5" s="337" t="inlineStr">
        <is>
          <t>人数★</t>
        </is>
      </c>
      <c r="I5" s="551" t="inlineStr">
        <is>
          <t>重量(kg)★
kg入力欄</t>
        </is>
      </c>
      <c r="J5" s="551" t="inlineStr">
        <is>
          <t>個数(個)★
個入力欄</t>
        </is>
      </c>
      <c r="K5" s="246" t="inlineStr">
        <is>
          <t>生産性
(kg/h)</t>
        </is>
      </c>
      <c r="L5" s="553" t="inlineStr">
        <is>
          <t>生産性
(個/h)</t>
        </is>
      </c>
      <c r="M5" s="242" t="inlineStr">
        <is>
          <t>労務費(円)</t>
        </is>
      </c>
      <c r="N5" s="242" t="inlineStr">
        <is>
          <t>円/kg</t>
        </is>
      </c>
      <c r="O5" s="242" t="inlineStr">
        <is>
          <t>円/個</t>
        </is>
      </c>
      <c r="P5" s="234" t="inlineStr">
        <is>
          <t>区分</t>
        </is>
      </c>
      <c r="Q5" s="234" t="inlineStr">
        <is>
          <t>備考</t>
        </is>
      </c>
      <c r="R5" s="245" t="inlineStr">
        <is>
          <t>★商品名①</t>
        </is>
      </c>
      <c r="S5" s="245" t="inlineStr">
        <is>
          <t>★商品名②</t>
        </is>
      </c>
      <c r="T5" s="245" t="inlineStr">
        <is>
          <t>★商品名③</t>
        </is>
      </c>
      <c r="U5" s="245" t="inlineStr">
        <is>
          <t>★商品名④</t>
        </is>
      </c>
      <c r="V5" s="245" t="inlineStr">
        <is>
          <t>★商品名⑤</t>
        </is>
      </c>
      <c r="W5" s="245" t="inlineStr">
        <is>
          <t>★商品名⑥</t>
        </is>
      </c>
      <c r="X5" s="245" t="inlineStr">
        <is>
          <t>振り分け数
自動</t>
        </is>
      </c>
      <c r="Y5" s="245" t="inlineStr">
        <is>
          <t>1商品あたり
労務費(等分・参考)</t>
        </is>
      </c>
      <c r="Z5" s="245" t="inlineStr">
        <is>
          <t>ひもづけ確認</t>
        </is>
      </c>
      <c r="AA5" s="245" t="inlineStr">
        <is>
          <t>選んだ商品の
食数合計</t>
        </is>
      </c>
      <c r="AB5" s="245" t="inlineStr">
        <is>
          <t>労務費(数値)</t>
        </is>
      </c>
      <c r="AD5" s="245" t="inlineStr">
        <is>
          <t>配分額①
(自動)</t>
        </is>
      </c>
      <c r="AE5" s="245" t="inlineStr">
        <is>
          <t>配分額②
(自動)</t>
        </is>
      </c>
      <c r="AF5" s="245" t="inlineStr">
        <is>
          <t>配分額③
(自動)</t>
        </is>
      </c>
      <c r="AG5" s="245" t="inlineStr">
        <is>
          <t>配分額④
(自動)</t>
        </is>
      </c>
      <c r="AH5" s="245" t="inlineStr">
        <is>
          <t>配分額⑤
(自動)</t>
        </is>
      </c>
      <c r="AI5" s="245" t="inlineStr">
        <is>
          <t>配分額⑥
(自動)</t>
        </is>
      </c>
    </row>
    <row r="6" ht="16" customHeight="1" s="438">
      <c r="A6" s="243" t="n">
        <v>1</v>
      </c>
      <c r="B6" s="243" t="inlineStr">
        <is>
          <t>ミキサー</t>
        </is>
      </c>
      <c r="C6" s="340" t="inlineStr">
        <is>
          <t>黒クランブル</t>
        </is>
      </c>
      <c r="D6" s="339" t="n">
        <v>0.02430555555555556</v>
      </c>
      <c r="E6" s="339" t="n">
        <v>0.04166666666666666</v>
      </c>
      <c r="F6" s="243">
        <f>IF(OR(D6="",E6=""),"",(E6-D6)*1440)</f>
        <v/>
      </c>
      <c r="G6" s="243" t="n">
        <v>15</v>
      </c>
      <c r="H6" s="243" t="n">
        <v>1</v>
      </c>
      <c r="I6" s="243" t="n">
        <v>10</v>
      </c>
      <c r="J6" s="243" t="n"/>
      <c r="K6" s="243">
        <f>IF(AND(I6&gt;0,ISNUMBER(F6)),I6/(F6/60),"")</f>
        <v/>
      </c>
      <c r="L6" s="243">
        <f>IF(AND(J6&gt;0,ISNUMBER(F6)),J6/(F6/60),"")</f>
        <v/>
      </c>
      <c r="M6" s="243">
        <f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/>
      </c>
      <c r="N6" s="243">
        <f>IF(AND(I6&gt;0,ISNUMBER(M6)),M6/I6,"")</f>
        <v/>
      </c>
      <c r="O6" s="243">
        <f>IF(AND(J6&gt;0,ISNUMBER(M6)),M6/J6,"")</f>
        <v/>
      </c>
      <c r="P6" s="243" t="n"/>
      <c r="Q6" s="243" t="n"/>
      <c r="R6" s="340" t="inlineStr">
        <is>
          <t>Ｓ２層仕立てのチーズケーキ</t>
        </is>
      </c>
      <c r="S6" s="340" t="inlineStr">
        <is>
          <t>２層仕立てのチーズケーキ</t>
        </is>
      </c>
      <c r="T6" s="340" t="n"/>
      <c r="U6" s="340" t="n"/>
      <c r="V6" s="340" t="n"/>
      <c r="W6" s="340" t="n"/>
      <c r="X6">
        <f>COUNTA(R6:W6)</f>
        <v/>
      </c>
      <c r="Y6">
        <f>IF(AND($X6&gt;0,ISNUMBER($M6)),$M6/$X6,"")</f>
        <v/>
      </c>
      <c r="Z6">
        <f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/>
      </c>
      <c r="AA6">
        <f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/>
      </c>
      <c r="AB6">
        <f>IF(ISNUMBER($M6),$M6,0)</f>
        <v/>
      </c>
      <c r="AD6" s="413">
        <f>IF($R6="",0,IF($AA6&gt;0,$AB6*SUMIF(⑳商品別1食労務費!$C$5:$C$124,$R6,⑳商品別1食労務費!$F$5:$F$124)/$AA6,$AB6/$X6))</f>
        <v/>
      </c>
      <c r="AE6" s="413">
        <f>IF($S6="",0,IF($AA6&gt;0,$AB6*SUMIF(⑳商品別1食労務費!$C$5:$C$124,$S6,⑳商品別1食労務費!$F$5:$F$124)/$AA6,$AB6/$X6))</f>
        <v/>
      </c>
      <c r="AF6" s="413">
        <f>IF($T6="",0,IF($AA6&gt;0,$AB6*SUMIF(⑳商品別1食労務費!$C$5:$C$124,$T6,⑳商品別1食労務費!$F$5:$F$124)/$AA6,$AB6/$X6))</f>
        <v/>
      </c>
      <c r="AG6" s="413">
        <f>IF($U6="",0,IF($AA6&gt;0,$AB6*SUMIF(⑳商品別1食労務費!$C$5:$C$124,$U6,⑳商品別1食労務費!$F$5:$F$124)/$AA6,$AB6/$X6))</f>
        <v/>
      </c>
      <c r="AH6" s="413">
        <f>IF($V6="",0,IF($AA6&gt;0,$AB6*SUMIF(⑳商品別1食労務費!$C$5:$C$124,$V6,⑳商品別1食労務費!$F$5:$F$124)/$AA6,$AB6/$X6))</f>
        <v/>
      </c>
      <c r="AI6" s="413">
        <f>IF($W6="",0,IF($AA6&gt;0,$AB6*SUMIF(⑳商品別1食労務費!$C$5:$C$124,$W6,⑳商品別1食労務費!$F$5:$F$124)/$AA6,$AB6/$X6))</f>
        <v/>
      </c>
    </row>
    <row r="7" ht="16" customHeight="1" s="438">
      <c r="A7" s="243" t="n">
        <v>2</v>
      </c>
      <c r="B7" s="243" t="inlineStr">
        <is>
          <t>ミキサー</t>
        </is>
      </c>
      <c r="C7" s="340" t="inlineStr">
        <is>
          <t>わらび餅</t>
        </is>
      </c>
      <c r="D7" s="339" t="n">
        <v>0.0763888888888889</v>
      </c>
      <c r="E7" s="339" t="n">
        <v>0.15625</v>
      </c>
      <c r="F7" s="243" t="n">
        <v>115</v>
      </c>
      <c r="G7" s="243" t="n">
        <v>90</v>
      </c>
      <c r="H7" s="243" t="n">
        <v>2</v>
      </c>
      <c r="I7" s="243" t="n">
        <v>58</v>
      </c>
      <c r="J7" s="243" t="n"/>
      <c r="K7" s="243">
        <f>IF(AND(I7&gt;0,ISNUMBER(F7)),I7/(F7/60),"")</f>
        <v/>
      </c>
      <c r="L7" s="243">
        <f>IF(AND(J7&gt;0,ISNUMBER(F7)),J7/(F7/60),"")</f>
        <v/>
      </c>
      <c r="M7" s="243">
        <f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243">
        <f>IF(AND(I7&gt;0,ISNUMBER(M7)),M7/I7,"")</f>
        <v/>
      </c>
      <c r="O7" s="243">
        <f>IF(AND(J7&gt;0,ISNUMBER(M7)),M7/J7,"")</f>
        <v/>
      </c>
      <c r="P7" s="243" t="n"/>
      <c r="Q7" s="243" t="n"/>
      <c r="R7" s="340" t="inlineStr">
        <is>
          <t>お箸でつまんでわらび餅小</t>
        </is>
      </c>
      <c r="S7" s="340" t="inlineStr">
        <is>
          <t>Ｓお箸でつまんでわらび餅小</t>
        </is>
      </c>
      <c r="T7" s="340" t="n"/>
      <c r="U7" s="340" t="n"/>
      <c r="V7" s="340" t="n"/>
      <c r="W7" s="340" t="n"/>
      <c r="X7">
        <f>COUNTA(R7:W7)</f>
        <v/>
      </c>
      <c r="Y7">
        <f>IF(AND($X7&gt;0,ISNUMBER($M7)),$M7/$X7,"")</f>
        <v/>
      </c>
      <c r="Z7">
        <f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/>
      </c>
      <c r="AA7">
        <f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/>
      </c>
      <c r="AB7">
        <f>IF(ISNUMBER($M7),$M7,0)</f>
        <v/>
      </c>
      <c r="AD7" s="413">
        <f>IF($R7="",0,IF($AA7&gt;0,$AB7*SUMIF(⑳商品別1食労務費!$C$5:$C$124,$R7,⑳商品別1食労務費!$F$5:$F$124)/$AA7,$AB7/$X7))</f>
        <v/>
      </c>
      <c r="AE7" s="413">
        <f>IF($S7="",0,IF($AA7&gt;0,$AB7*SUMIF(⑳商品別1食労務費!$C$5:$C$124,$S7,⑳商品別1食労務費!$F$5:$F$124)/$AA7,$AB7/$X7))</f>
        <v/>
      </c>
      <c r="AF7" s="413">
        <f>IF($T7="",0,IF($AA7&gt;0,$AB7*SUMIF(⑳商品別1食労務費!$C$5:$C$124,$T7,⑳商品別1食労務費!$F$5:$F$124)/$AA7,$AB7/$X7))</f>
        <v/>
      </c>
      <c r="AG7" s="413">
        <f>IF($U7="",0,IF($AA7&gt;0,$AB7*SUMIF(⑳商品別1食労務費!$C$5:$C$124,$U7,⑳商品別1食労務費!$F$5:$F$124)/$AA7,$AB7/$X7))</f>
        <v/>
      </c>
      <c r="AH7" s="413">
        <f>IF($V7="",0,IF($AA7&gt;0,$AB7*SUMIF(⑳商品別1食労務費!$C$5:$C$124,$V7,⑳商品別1食労務費!$F$5:$F$124)/$AA7,$AB7/$X7))</f>
        <v/>
      </c>
      <c r="AI7" s="413">
        <f>IF($W7="",0,IF($AA7&gt;0,$AB7*SUMIF(⑳商品別1食労務費!$C$5:$C$124,$W7,⑳商品別1食労務費!$F$5:$F$124)/$AA7,$AB7/$X7))</f>
        <v/>
      </c>
    </row>
    <row r="8" ht="16" customHeight="1" s="438">
      <c r="A8" s="243" t="n">
        <v>3</v>
      </c>
      <c r="B8" s="243" t="inlineStr">
        <is>
          <t>ミキサー</t>
        </is>
      </c>
      <c r="C8" s="340" t="inlineStr">
        <is>
          <t>わらび餅</t>
        </is>
      </c>
      <c r="D8" s="339" t="n"/>
      <c r="E8" s="339" t="n"/>
      <c r="F8" s="243">
        <f>IF(OR(D8="",E8=""),"",(E8-D8)*1440)</f>
        <v/>
      </c>
      <c r="G8" s="243" t="n"/>
      <c r="H8" s="243" t="n">
        <v>2</v>
      </c>
      <c r="I8" s="243" t="n"/>
      <c r="J8" s="243" t="n"/>
      <c r="K8" s="243">
        <f>IF(AND(I8&gt;0,ISNUMBER(F8)),I8/(F8/60),"")</f>
        <v/>
      </c>
      <c r="L8" s="243">
        <f>IF(AND(J8&gt;0,ISNUMBER(F8)),J8/(F8/60),"")</f>
        <v/>
      </c>
      <c r="M8" s="243">
        <f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243">
        <f>IF(AND(I8&gt;0,ISNUMBER(M8)),M8/I8,"")</f>
        <v/>
      </c>
      <c r="O8" s="243">
        <f>IF(AND(J8&gt;0,ISNUMBER(M8)),M8/J8,"")</f>
        <v/>
      </c>
      <c r="P8" s="243" t="n"/>
      <c r="Q8" s="243" t="n"/>
      <c r="R8" s="340" t="inlineStr">
        <is>
          <t>お箸でつまんでわらび餅小</t>
        </is>
      </c>
      <c r="S8" s="340" t="inlineStr">
        <is>
          <t>Ｓお箸でつまんでわらび餅小</t>
        </is>
      </c>
      <c r="T8" s="340" t="n"/>
      <c r="U8" s="340" t="n"/>
      <c r="V8" s="340" t="n"/>
      <c r="W8" s="340" t="n"/>
      <c r="X8">
        <f>COUNTA(R8:W8)</f>
        <v/>
      </c>
      <c r="Y8">
        <f>IF(AND($X8&gt;0,ISNUMBER($M8)),$M8/$X8,"")</f>
        <v/>
      </c>
      <c r="Z8">
        <f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/>
      </c>
      <c r="AA8">
        <f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/>
      </c>
      <c r="AB8">
        <f>IF(ISNUMBER($M8),$M8,0)</f>
        <v/>
      </c>
      <c r="AD8" s="413">
        <f>IF($R8="",0,IF($AA8&gt;0,$AB8*SUMIF(⑳商品別1食労務費!$C$5:$C$124,$R8,⑳商品別1食労務費!$F$5:$F$124)/$AA8,$AB8/$X8))</f>
        <v/>
      </c>
      <c r="AE8" s="413">
        <f>IF($S8="",0,IF($AA8&gt;0,$AB8*SUMIF(⑳商品別1食労務費!$C$5:$C$124,$S8,⑳商品別1食労務費!$F$5:$F$124)/$AA8,$AB8/$X8))</f>
        <v/>
      </c>
      <c r="AF8" s="413">
        <f>IF($T8="",0,IF($AA8&gt;0,$AB8*SUMIF(⑳商品別1食労務費!$C$5:$C$124,$T8,⑳商品別1食労務費!$F$5:$F$124)/$AA8,$AB8/$X8))</f>
        <v/>
      </c>
      <c r="AG8" s="413">
        <f>IF($U8="",0,IF($AA8&gt;0,$AB8*SUMIF(⑳商品別1食労務費!$C$5:$C$124,$U8,⑳商品別1食労務費!$F$5:$F$124)/$AA8,$AB8/$X8))</f>
        <v/>
      </c>
      <c r="AH8" s="413">
        <f>IF($V8="",0,IF($AA8&gt;0,$AB8*SUMIF(⑳商品別1食労務費!$C$5:$C$124,$V8,⑳商品別1食労務費!$F$5:$F$124)/$AA8,$AB8/$X8))</f>
        <v/>
      </c>
      <c r="AI8" s="413">
        <f>IF($W8="",0,IF($AA8&gt;0,$AB8*SUMIF(⑳商品別1食労務費!$C$5:$C$124,$W8,⑳商品別1食労務費!$F$5:$F$124)/$AA8,$AB8/$X8))</f>
        <v/>
      </c>
    </row>
    <row r="9" ht="16" customHeight="1" s="438">
      <c r="A9" s="243" t="n">
        <v>4</v>
      </c>
      <c r="B9" s="243" t="inlineStr">
        <is>
          <t>ミキサー</t>
        </is>
      </c>
      <c r="C9" s="340" t="inlineStr">
        <is>
          <t>わらび餅</t>
        </is>
      </c>
      <c r="D9" s="339" t="n"/>
      <c r="E9" s="339" t="n"/>
      <c r="F9" s="243">
        <f>IF(OR(D9="",E9=""),"",(E9-D9)*1440)</f>
        <v/>
      </c>
      <c r="G9" s="243" t="n"/>
      <c r="H9" s="243" t="n">
        <v>2</v>
      </c>
      <c r="I9" s="243" t="n"/>
      <c r="J9" s="243" t="n"/>
      <c r="K9" s="243">
        <f>IF(AND(I9&gt;0,ISNUMBER(F9)),I9/(F9/60),"")</f>
        <v/>
      </c>
      <c r="L9" s="243">
        <f>IF(AND(J9&gt;0,ISNUMBER(F9)),J9/(F9/60),"")</f>
        <v/>
      </c>
      <c r="M9" s="243">
        <f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243">
        <f>IF(AND(I9&gt;0,ISNUMBER(M9)),M9/I9,"")</f>
        <v/>
      </c>
      <c r="O9" s="243">
        <f>IF(AND(J9&gt;0,ISNUMBER(M9)),M9/J9,"")</f>
        <v/>
      </c>
      <c r="P9" s="243" t="n"/>
      <c r="Q9" s="243" t="n"/>
      <c r="R9" s="340" t="inlineStr">
        <is>
          <t>お箸でつまんでわらび餅小</t>
        </is>
      </c>
      <c r="S9" s="340" t="inlineStr">
        <is>
          <t>Ｓお箸でつまんでわらび餅小</t>
        </is>
      </c>
      <c r="T9" s="340" t="n"/>
      <c r="U9" s="340" t="n"/>
      <c r="V9" s="340" t="n"/>
      <c r="W9" s="340" t="n"/>
      <c r="X9">
        <f>COUNTA(R9:W9)</f>
        <v/>
      </c>
      <c r="Y9">
        <f>IF(AND($X9&gt;0,ISNUMBER($M9)),$M9/$X9,"")</f>
        <v/>
      </c>
      <c r="Z9">
        <f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/>
      </c>
      <c r="AA9">
        <f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/>
      </c>
      <c r="AB9">
        <f>IF(ISNUMBER($M9),$M9,0)</f>
        <v/>
      </c>
      <c r="AD9" s="413">
        <f>IF($R9="",0,IF($AA9&gt;0,$AB9*SUMIF(⑳商品別1食労務費!$C$5:$C$124,$R9,⑳商品別1食労務費!$F$5:$F$124)/$AA9,$AB9/$X9))</f>
        <v/>
      </c>
      <c r="AE9" s="413">
        <f>IF($S9="",0,IF($AA9&gt;0,$AB9*SUMIF(⑳商品別1食労務費!$C$5:$C$124,$S9,⑳商品別1食労務費!$F$5:$F$124)/$AA9,$AB9/$X9))</f>
        <v/>
      </c>
      <c r="AF9" s="413">
        <f>IF($T9="",0,IF($AA9&gt;0,$AB9*SUMIF(⑳商品別1食労務費!$C$5:$C$124,$T9,⑳商品別1食労務費!$F$5:$F$124)/$AA9,$AB9/$X9))</f>
        <v/>
      </c>
      <c r="AG9" s="413">
        <f>IF($U9="",0,IF($AA9&gt;0,$AB9*SUMIF(⑳商品別1食労務費!$C$5:$C$124,$U9,⑳商品別1食労務費!$F$5:$F$124)/$AA9,$AB9/$X9))</f>
        <v/>
      </c>
      <c r="AH9" s="413">
        <f>IF($V9="",0,IF($AA9&gt;0,$AB9*SUMIF(⑳商品別1食労務費!$C$5:$C$124,$V9,⑳商品別1食労務費!$F$5:$F$124)/$AA9,$AB9/$X9))</f>
        <v/>
      </c>
      <c r="AI9" s="413">
        <f>IF($W9="",0,IF($AA9&gt;0,$AB9*SUMIF(⑳商品別1食労務費!$C$5:$C$124,$W9,⑳商品別1食労務費!$F$5:$F$124)/$AA9,$AB9/$X9))</f>
        <v/>
      </c>
    </row>
    <row r="10" ht="16" customHeight="1" s="438">
      <c r="A10" s="243" t="n">
        <v>5</v>
      </c>
      <c r="B10" s="243" t="inlineStr">
        <is>
          <t>ミキサー</t>
        </is>
      </c>
      <c r="C10" s="340" t="inlineStr">
        <is>
          <t>わらび餅</t>
        </is>
      </c>
      <c r="D10" s="339" t="n"/>
      <c r="E10" s="339" t="n"/>
      <c r="F10" s="243">
        <f>IF(OR(D10="",E10=""),"",(E10-D10)*1440)</f>
        <v/>
      </c>
      <c r="G10" s="243" t="n"/>
      <c r="H10" s="243" t="n">
        <v>2</v>
      </c>
      <c r="I10" s="243" t="n"/>
      <c r="J10" s="243" t="n"/>
      <c r="K10" s="243">
        <f>IF(AND(I10&gt;0,ISNUMBER(F10)),I10/(F10/60),"")</f>
        <v/>
      </c>
      <c r="L10" s="243">
        <f>IF(AND(J10&gt;0,ISNUMBER(F10)),J10/(F10/60),"")</f>
        <v/>
      </c>
      <c r="M10" s="243">
        <f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243">
        <f>IF(AND(I10&gt;0,ISNUMBER(M10)),M10/I10,"")</f>
        <v/>
      </c>
      <c r="O10" s="243">
        <f>IF(AND(J10&gt;0,ISNUMBER(M10)),M10/J10,"")</f>
        <v/>
      </c>
      <c r="P10" s="243" t="n"/>
      <c r="Q10" s="243" t="n"/>
      <c r="R10" s="340" t="inlineStr">
        <is>
          <t>お箸でつまんでわらび餅小</t>
        </is>
      </c>
      <c r="S10" s="340" t="inlineStr">
        <is>
          <t>Ｓお箸でつまんでわらび餅小</t>
        </is>
      </c>
      <c r="T10" s="340" t="n"/>
      <c r="U10" s="340" t="n"/>
      <c r="V10" s="340" t="n"/>
      <c r="W10" s="340" t="n"/>
      <c r="X10">
        <f>COUNTA(R10:W10)</f>
        <v/>
      </c>
      <c r="Y10">
        <f>IF(AND($X10&gt;0,ISNUMBER($M10)),$M10/$X10,"")</f>
        <v/>
      </c>
      <c r="Z10">
        <f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/>
      </c>
      <c r="AA10">
        <f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/>
      </c>
      <c r="AB10">
        <f>IF(ISNUMBER($M10),$M10,0)</f>
        <v/>
      </c>
      <c r="AD10" s="413">
        <f>IF($R10="",0,IF($AA10&gt;0,$AB10*SUMIF(⑳商品別1食労務費!$C$5:$C$124,$R10,⑳商品別1食労務費!$F$5:$F$124)/$AA10,$AB10/$X10))</f>
        <v/>
      </c>
      <c r="AE10" s="413">
        <f>IF($S10="",0,IF($AA10&gt;0,$AB10*SUMIF(⑳商品別1食労務費!$C$5:$C$124,$S10,⑳商品別1食労務費!$F$5:$F$124)/$AA10,$AB10/$X10))</f>
        <v/>
      </c>
      <c r="AF10" s="413">
        <f>IF($T10="",0,IF($AA10&gt;0,$AB10*SUMIF(⑳商品別1食労務費!$C$5:$C$124,$T10,⑳商品別1食労務費!$F$5:$F$124)/$AA10,$AB10/$X10))</f>
        <v/>
      </c>
      <c r="AG10" s="413">
        <f>IF($U10="",0,IF($AA10&gt;0,$AB10*SUMIF(⑳商品別1食労務費!$C$5:$C$124,$U10,⑳商品別1食労務費!$F$5:$F$124)/$AA10,$AB10/$X10))</f>
        <v/>
      </c>
      <c r="AH10" s="413">
        <f>IF($V10="",0,IF($AA10&gt;0,$AB10*SUMIF(⑳商品別1食労務費!$C$5:$C$124,$V10,⑳商品別1食労務費!$F$5:$F$124)/$AA10,$AB10/$X10))</f>
        <v/>
      </c>
      <c r="AI10" s="413">
        <f>IF($W10="",0,IF($AA10&gt;0,$AB10*SUMIF(⑳商品別1食労務費!$C$5:$C$124,$W10,⑳商品別1食労務費!$F$5:$F$124)/$AA10,$AB10/$X10))</f>
        <v/>
      </c>
    </row>
    <row r="11" ht="16" customHeight="1" s="438">
      <c r="A11" s="243" t="n">
        <v>6</v>
      </c>
      <c r="B11" s="243" t="inlineStr">
        <is>
          <t>ミキサー</t>
        </is>
      </c>
      <c r="C11" s="340" t="inlineStr">
        <is>
          <t>バナナロール生地</t>
        </is>
      </c>
      <c r="D11" s="339" t="n">
        <v>0.05555555555555555</v>
      </c>
      <c r="E11" s="339" t="n">
        <v>0.1666666666666667</v>
      </c>
      <c r="F11" s="243">
        <f>IF(OR(D11="",E11=""),"",(E11-D11)*1440)</f>
        <v/>
      </c>
      <c r="G11" s="243" t="n">
        <v>100</v>
      </c>
      <c r="H11" s="243" t="n">
        <v>2</v>
      </c>
      <c r="I11" s="243" t="n">
        <v>50</v>
      </c>
      <c r="J11" s="243" t="n"/>
      <c r="K11" s="243">
        <f>IF(AND(I11&gt;0,ISNUMBER(F11)),I11/(F11/60),"")</f>
        <v/>
      </c>
      <c r="L11" s="243">
        <f>IF(AND(J11&gt;0,ISNUMBER(F11)),J11/(F11/60),"")</f>
        <v/>
      </c>
      <c r="M11" s="243">
        <f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243">
        <f>IF(AND(I11&gt;0,ISNUMBER(M11)),M11/I11,"")</f>
        <v/>
      </c>
      <c r="O11" s="243">
        <f>IF(AND(J11&gt;0,ISNUMBER(M11)),M11/J11,"")</f>
        <v/>
      </c>
      <c r="P11" s="243" t="n"/>
      <c r="Q11" s="243" t="n"/>
      <c r="R11" s="340" t="inlineStr">
        <is>
          <t>バナナのふんわりロール２</t>
        </is>
      </c>
      <c r="S11" s="340" t="inlineStr">
        <is>
          <t>Ｓバナナのふんわりロール２</t>
        </is>
      </c>
      <c r="T11" s="340" t="n"/>
      <c r="U11" s="340" t="n"/>
      <c r="V11" s="340" t="n"/>
      <c r="W11" s="340" t="n"/>
      <c r="X11">
        <f>COUNTA(R11:W11)</f>
        <v/>
      </c>
      <c r="Y11">
        <f>IF(AND($X11&gt;0,ISNUMBER($M11)),$M11/$X11,"")</f>
        <v/>
      </c>
      <c r="Z11">
        <f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/>
      </c>
      <c r="AA11">
        <f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/>
      </c>
      <c r="AB11">
        <f>IF(ISNUMBER($M11),$M11,0)</f>
        <v/>
      </c>
      <c r="AD11" s="413">
        <f>IF($R11="",0,IF($AA11&gt;0,$AB11*SUMIF(⑳商品別1食労務費!$C$5:$C$124,$R11,⑳商品別1食労務費!$F$5:$F$124)/$AA11,$AB11/$X11))</f>
        <v/>
      </c>
      <c r="AE11" s="413">
        <f>IF($S11="",0,IF($AA11&gt;0,$AB11*SUMIF(⑳商品別1食労務費!$C$5:$C$124,$S11,⑳商品別1食労務費!$F$5:$F$124)/$AA11,$AB11/$X11))</f>
        <v/>
      </c>
      <c r="AF11" s="413">
        <f>IF($T11="",0,IF($AA11&gt;0,$AB11*SUMIF(⑳商品別1食労務費!$C$5:$C$124,$T11,⑳商品別1食労務費!$F$5:$F$124)/$AA11,$AB11/$X11))</f>
        <v/>
      </c>
      <c r="AG11" s="413">
        <f>IF($U11="",0,IF($AA11&gt;0,$AB11*SUMIF(⑳商品別1食労務費!$C$5:$C$124,$U11,⑳商品別1食労務費!$F$5:$F$124)/$AA11,$AB11/$X11))</f>
        <v/>
      </c>
      <c r="AH11" s="413">
        <f>IF($V11="",0,IF($AA11&gt;0,$AB11*SUMIF(⑳商品別1食労務費!$C$5:$C$124,$V11,⑳商品別1食労務費!$F$5:$F$124)/$AA11,$AB11/$X11))</f>
        <v/>
      </c>
      <c r="AI11" s="413">
        <f>IF($W11="",0,IF($AA11&gt;0,$AB11*SUMIF(⑳商品別1食労務費!$C$5:$C$124,$W11,⑳商品別1食労務費!$F$5:$F$124)/$AA11,$AB11/$X11))</f>
        <v/>
      </c>
    </row>
    <row r="12" ht="16" customHeight="1" s="438">
      <c r="A12" s="243" t="n">
        <v>7</v>
      </c>
      <c r="B12" s="243" t="inlineStr">
        <is>
          <t>ミキサー</t>
        </is>
      </c>
      <c r="C12" s="340" t="inlineStr">
        <is>
          <t>ロールケーキ生地</t>
        </is>
      </c>
      <c r="D12" s="339" t="n">
        <v>0.1770833333333333</v>
      </c>
      <c r="E12" s="339" t="n">
        <v>0.2083333333333333</v>
      </c>
      <c r="F12" s="243">
        <f>IF(OR(D12="",E12=""),"",(E12-D12)*1440)</f>
        <v/>
      </c>
      <c r="G12" s="243" t="n">
        <v>45</v>
      </c>
      <c r="H12" s="243" t="n">
        <v>2</v>
      </c>
      <c r="I12" s="243" t="n">
        <v>50</v>
      </c>
      <c r="J12" s="243" t="n"/>
      <c r="K12" s="243">
        <f>IF(AND(I12&gt;0,ISNUMBER(F12)),I12/(F12/60),"")</f>
        <v/>
      </c>
      <c r="L12" s="243">
        <f>IF(AND(J12&gt;0,ISNUMBER(F12)),J12/(F12/60),"")</f>
        <v/>
      </c>
      <c r="M12" s="243">
        <f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243">
        <f>IF(AND(I12&gt;0,ISNUMBER(M12)),M12/I12,"")</f>
        <v/>
      </c>
      <c r="O12" s="243">
        <f>IF(AND(J12&gt;0,ISNUMBER(M12)),M12/J12,"")</f>
        <v/>
      </c>
      <c r="P12" s="243" t="n"/>
      <c r="Q12" s="243" t="n"/>
      <c r="R12" s="340" t="inlineStr">
        <is>
          <t>クリーム爆盛ロールケーキ小</t>
        </is>
      </c>
      <c r="S12" s="340" t="inlineStr">
        <is>
          <t>クリーム爆盛ロールケーキ大</t>
        </is>
      </c>
      <c r="T12" s="340" t="inlineStr">
        <is>
          <t>Ｓクリーム爆盛ロールケキ小</t>
        </is>
      </c>
      <c r="U12" s="340" t="n"/>
      <c r="V12" s="340" t="n"/>
      <c r="W12" s="340" t="n"/>
      <c r="X12">
        <f>COUNTA(R12:W12)</f>
        <v/>
      </c>
      <c r="Y12">
        <f>IF(AND($X12&gt;0,ISNUMBER($M12)),$M12/$X12,"")</f>
        <v/>
      </c>
      <c r="Z12">
        <f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/>
      </c>
      <c r="AA12">
        <f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/>
      </c>
      <c r="AB12">
        <f>IF(ISNUMBER($M12),$M12,0)</f>
        <v/>
      </c>
      <c r="AD12" s="413">
        <f>IF($R12="",0,IF($AA12&gt;0,$AB12*SUMIF(⑳商品別1食労務費!$C$5:$C$124,$R12,⑳商品別1食労務費!$F$5:$F$124)/$AA12,$AB12/$X12))</f>
        <v/>
      </c>
      <c r="AE12" s="413">
        <f>IF($S12="",0,IF($AA12&gt;0,$AB12*SUMIF(⑳商品別1食労務費!$C$5:$C$124,$S12,⑳商品別1食労務費!$F$5:$F$124)/$AA12,$AB12/$X12))</f>
        <v/>
      </c>
      <c r="AF12" s="413">
        <f>IF($T12="",0,IF($AA12&gt;0,$AB12*SUMIF(⑳商品別1食労務費!$C$5:$C$124,$T12,⑳商品別1食労務費!$F$5:$F$124)/$AA12,$AB12/$X12))</f>
        <v/>
      </c>
      <c r="AG12" s="413">
        <f>IF($U12="",0,IF($AA12&gt;0,$AB12*SUMIF(⑳商品別1食労務費!$C$5:$C$124,$U12,⑳商品別1食労務費!$F$5:$F$124)/$AA12,$AB12/$X12))</f>
        <v/>
      </c>
      <c r="AH12" s="413">
        <f>IF($V12="",0,IF($AA12&gt;0,$AB12*SUMIF(⑳商品別1食労務費!$C$5:$C$124,$V12,⑳商品別1食労務費!$F$5:$F$124)/$AA12,$AB12/$X12))</f>
        <v/>
      </c>
      <c r="AI12" s="413">
        <f>IF($W12="",0,IF($AA12&gt;0,$AB12*SUMIF(⑳商品別1食労務費!$C$5:$C$124,$W12,⑳商品別1食労務費!$F$5:$F$124)/$AA12,$AB12/$X12))</f>
        <v/>
      </c>
    </row>
    <row r="13" ht="16" customHeight="1" s="438">
      <c r="A13" s="243" t="n">
        <v>8</v>
      </c>
      <c r="B13" s="243" t="inlineStr">
        <is>
          <t>ミキサー</t>
        </is>
      </c>
      <c r="C13" s="340" t="inlineStr">
        <is>
          <t>レアチーズケーキ生地</t>
        </is>
      </c>
      <c r="D13" s="339" t="n">
        <v>0.2847222222222222</v>
      </c>
      <c r="E13" s="339" t="n">
        <v>0.3090277777777778</v>
      </c>
      <c r="F13" s="243">
        <f>IF(OR(D13="",E13=""),"",(E13-D13)*1440)</f>
        <v/>
      </c>
      <c r="G13" s="243" t="n">
        <v>35</v>
      </c>
      <c r="H13" s="243" t="n">
        <v>2</v>
      </c>
      <c r="I13" s="243" t="n">
        <v>50</v>
      </c>
      <c r="J13" s="243" t="n"/>
      <c r="K13" s="243">
        <f>IF(AND(I13&gt;0,ISNUMBER(F13)),I13/(F13/60),"")</f>
        <v/>
      </c>
      <c r="L13" s="243">
        <f>IF(AND(J13&gt;0,ISNUMBER(F13)),J13/(F13/60),"")</f>
        <v/>
      </c>
      <c r="M13" s="243">
        <f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243">
        <f>IF(AND(I13&gt;0,ISNUMBER(M13)),M13/I13,"")</f>
        <v/>
      </c>
      <c r="O13" s="243">
        <f>IF(AND(J13&gt;0,ISNUMBER(M13)),M13/J13,"")</f>
        <v/>
      </c>
      <c r="P13" s="243" t="n"/>
      <c r="Q13" s="243" t="n"/>
      <c r="R13" s="340" t="inlineStr">
        <is>
          <t>２層仕立てのチーズケーキ</t>
        </is>
      </c>
      <c r="S13" s="340" t="inlineStr">
        <is>
          <t>Ｓ２層仕立てのチーズケーキ</t>
        </is>
      </c>
      <c r="T13" s="340" t="n"/>
      <c r="U13" s="340" t="n"/>
      <c r="V13" s="340" t="n"/>
      <c r="W13" s="340" t="n"/>
      <c r="X13">
        <f>COUNTA(R13:W13)</f>
        <v/>
      </c>
      <c r="Y13">
        <f>IF(AND($X13&gt;0,ISNUMBER($M13)),$M13/$X13,"")</f>
        <v/>
      </c>
      <c r="Z13">
        <f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/>
      </c>
      <c r="AA13">
        <f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/>
      </c>
      <c r="AB13">
        <f>IF(ISNUMBER($M13),$M13,0)</f>
        <v/>
      </c>
      <c r="AD13" s="413">
        <f>IF($R13="",0,IF($AA13&gt;0,$AB13*SUMIF(⑳商品別1食労務費!$C$5:$C$124,$R13,⑳商品別1食労務費!$F$5:$F$124)/$AA13,$AB13/$X13))</f>
        <v/>
      </c>
      <c r="AE13" s="413">
        <f>IF($S13="",0,IF($AA13&gt;0,$AB13*SUMIF(⑳商品別1食労務費!$C$5:$C$124,$S13,⑳商品別1食労務費!$F$5:$F$124)/$AA13,$AB13/$X13))</f>
        <v/>
      </c>
      <c r="AF13" s="413">
        <f>IF($T13="",0,IF($AA13&gt;0,$AB13*SUMIF(⑳商品別1食労務費!$C$5:$C$124,$T13,⑳商品別1食労務費!$F$5:$F$124)/$AA13,$AB13/$X13))</f>
        <v/>
      </c>
      <c r="AG13" s="413">
        <f>IF($U13="",0,IF($AA13&gt;0,$AB13*SUMIF(⑳商品別1食労務費!$C$5:$C$124,$U13,⑳商品別1食労務費!$F$5:$F$124)/$AA13,$AB13/$X13))</f>
        <v/>
      </c>
      <c r="AH13" s="413">
        <f>IF($V13="",0,IF($AA13&gt;0,$AB13*SUMIF(⑳商品別1食労務費!$C$5:$C$124,$V13,⑳商品別1食労務費!$F$5:$F$124)/$AA13,$AB13/$X13))</f>
        <v/>
      </c>
      <c r="AI13" s="413">
        <f>IF($W13="",0,IF($AA13&gt;0,$AB13*SUMIF(⑳商品別1食労務費!$C$5:$C$124,$W13,⑳商品別1食労務費!$F$5:$F$124)/$AA13,$AB13/$X13))</f>
        <v/>
      </c>
    </row>
    <row r="14" ht="16" customHeight="1" s="438">
      <c r="A14" s="243" t="n">
        <v>9</v>
      </c>
      <c r="B14" s="243" t="inlineStr">
        <is>
          <t>ミキサー</t>
        </is>
      </c>
      <c r="C14" s="340" t="inlineStr">
        <is>
          <t>スイートポテト</t>
        </is>
      </c>
      <c r="D14" s="339" t="n">
        <v>0.3333333333333333</v>
      </c>
      <c r="E14" s="339" t="n">
        <v>0.4027777777777778</v>
      </c>
      <c r="F14" s="243">
        <f>IF(OR(D14="",E14=""),"",(E14-D14)*1440)</f>
        <v/>
      </c>
      <c r="G14" s="243" t="n">
        <v>80</v>
      </c>
      <c r="H14" s="243" t="n">
        <v>2</v>
      </c>
      <c r="I14" s="243" t="n">
        <v>50</v>
      </c>
      <c r="J14" s="243" t="n"/>
      <c r="K14" s="243">
        <f>IF(AND(I14&gt;0,ISNUMBER(F14)),I14/(F14/60),"")</f>
        <v/>
      </c>
      <c r="L14" s="243">
        <f>IF(AND(J14&gt;0,ISNUMBER(F14)),J14/(F14/60),"")</f>
        <v/>
      </c>
      <c r="M14" s="243">
        <f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243">
        <f>IF(AND(I14&gt;0,ISNUMBER(M14)),M14/I14,"")</f>
        <v/>
      </c>
      <c r="O14" s="243">
        <f>IF(AND(J14&gt;0,ISNUMBER(M14)),M14/J14,"")</f>
        <v/>
      </c>
      <c r="P14" s="243" t="n"/>
      <c r="Q14" s="243" t="n"/>
      <c r="R14" s="340" t="inlineStr">
        <is>
          <t>蜜いもスイートポテト</t>
        </is>
      </c>
      <c r="S14" s="340" t="inlineStr">
        <is>
          <t>Ｓ蜜いもスイートポテト</t>
        </is>
      </c>
      <c r="T14" s="340" t="inlineStr">
        <is>
          <t>Ｓ蜜いもスイートポテト小</t>
        </is>
      </c>
      <c r="U14" s="340" t="n"/>
      <c r="V14" s="340" t="n"/>
      <c r="W14" s="340" t="n"/>
      <c r="X14">
        <f>COUNTA(R14:W14)</f>
        <v/>
      </c>
      <c r="Y14">
        <f>IF(AND($X14&gt;0,ISNUMBER($M14)),$M14/$X14,"")</f>
        <v/>
      </c>
      <c r="Z14">
        <f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/>
      </c>
      <c r="AA14">
        <f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/>
      </c>
      <c r="AB14">
        <f>IF(ISNUMBER($M14),$M14,0)</f>
        <v/>
      </c>
      <c r="AD14" s="413">
        <f>IF($R14="",0,IF($AA14&gt;0,$AB14*SUMIF(⑳商品別1食労務費!$C$5:$C$124,$R14,⑳商品別1食労務費!$F$5:$F$124)/$AA14,$AB14/$X14))</f>
        <v/>
      </c>
      <c r="AE14" s="413">
        <f>IF($S14="",0,IF($AA14&gt;0,$AB14*SUMIF(⑳商品別1食労務費!$C$5:$C$124,$S14,⑳商品別1食労務費!$F$5:$F$124)/$AA14,$AB14/$X14))</f>
        <v/>
      </c>
      <c r="AF14" s="413">
        <f>IF($T14="",0,IF($AA14&gt;0,$AB14*SUMIF(⑳商品別1食労務費!$C$5:$C$124,$T14,⑳商品別1食労務費!$F$5:$F$124)/$AA14,$AB14/$X14))</f>
        <v/>
      </c>
      <c r="AG14" s="413">
        <f>IF($U14="",0,IF($AA14&gt;0,$AB14*SUMIF(⑳商品別1食労務費!$C$5:$C$124,$U14,⑳商品別1食労務費!$F$5:$F$124)/$AA14,$AB14/$X14))</f>
        <v/>
      </c>
      <c r="AH14" s="413">
        <f>IF($V14="",0,IF($AA14&gt;0,$AB14*SUMIF(⑳商品別1食労務費!$C$5:$C$124,$V14,⑳商品別1食労務費!$F$5:$F$124)/$AA14,$AB14/$X14))</f>
        <v/>
      </c>
      <c r="AI14" s="413">
        <f>IF($W14="",0,IF($AA14&gt;0,$AB14*SUMIF(⑳商品別1食労務費!$C$5:$C$124,$W14,⑳商品別1食労務費!$F$5:$F$124)/$AA14,$AB14/$X14))</f>
        <v/>
      </c>
    </row>
    <row r="15" ht="16" customHeight="1" s="438">
      <c r="A15" s="243" t="n">
        <v>10</v>
      </c>
      <c r="B15" s="243" t="inlineStr">
        <is>
          <t>ミキサー</t>
        </is>
      </c>
      <c r="C15" s="340" t="inlineStr">
        <is>
          <t>スイートポテト</t>
        </is>
      </c>
      <c r="D15" s="339" t="n"/>
      <c r="E15" s="339" t="n"/>
      <c r="F15" s="243">
        <f>IF(OR(D15="",E15=""),"",(E15-D15)*1440)</f>
        <v/>
      </c>
      <c r="G15" s="243" t="n"/>
      <c r="H15" s="243" t="n">
        <v>2</v>
      </c>
      <c r="I15" s="243" t="n"/>
      <c r="J15" s="243" t="n"/>
      <c r="K15" s="243">
        <f>IF(AND(I15&gt;0,ISNUMBER(F15)),I15/(F15/60),"")</f>
        <v/>
      </c>
      <c r="L15" s="243">
        <f>IF(AND(J15&gt;0,ISNUMBER(F15)),J15/(F15/60),"")</f>
        <v/>
      </c>
      <c r="M15" s="243">
        <f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243">
        <f>IF(AND(I15&gt;0,ISNUMBER(M15)),M15/I15,"")</f>
        <v/>
      </c>
      <c r="O15" s="243">
        <f>IF(AND(J15&gt;0,ISNUMBER(M15)),M15/J15,"")</f>
        <v/>
      </c>
      <c r="P15" s="243" t="n"/>
      <c r="Q15" s="243" t="n"/>
      <c r="R15" s="340" t="inlineStr">
        <is>
          <t>蜜いもスイートポテト</t>
        </is>
      </c>
      <c r="S15" s="340" t="inlineStr">
        <is>
          <t>Ｓ蜜いもスイートポテト</t>
        </is>
      </c>
      <c r="T15" s="340" t="inlineStr">
        <is>
          <t>Ｓ蜜いもスイートポテト小</t>
        </is>
      </c>
      <c r="U15" s="340" t="n"/>
      <c r="V15" s="340" t="n"/>
      <c r="W15" s="340" t="n"/>
      <c r="X15">
        <f>COUNTA(R15:W15)</f>
        <v/>
      </c>
      <c r="Y15">
        <f>IF(AND($X15&gt;0,ISNUMBER($M15)),$M15/$X15,"")</f>
        <v/>
      </c>
      <c r="Z15">
        <f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>
        <f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/>
      </c>
      <c r="AB15">
        <f>IF(ISNUMBER($M15),$M15,0)</f>
        <v/>
      </c>
      <c r="AD15" s="413">
        <f>IF($R15="",0,IF($AA15&gt;0,$AB15*SUMIF(⑳商品別1食労務費!$C$5:$C$124,$R15,⑳商品別1食労務費!$F$5:$F$124)/$AA15,$AB15/$X15))</f>
        <v/>
      </c>
      <c r="AE15" s="413">
        <f>IF($S15="",0,IF($AA15&gt;0,$AB15*SUMIF(⑳商品別1食労務費!$C$5:$C$124,$S15,⑳商品別1食労務費!$F$5:$F$124)/$AA15,$AB15/$X15))</f>
        <v/>
      </c>
      <c r="AF15" s="413">
        <f>IF($T15="",0,IF($AA15&gt;0,$AB15*SUMIF(⑳商品別1食労務費!$C$5:$C$124,$T15,⑳商品別1食労務費!$F$5:$F$124)/$AA15,$AB15/$X15))</f>
        <v/>
      </c>
      <c r="AG15" s="413">
        <f>IF($U15="",0,IF($AA15&gt;0,$AB15*SUMIF(⑳商品別1食労務費!$C$5:$C$124,$U15,⑳商品別1食労務費!$F$5:$F$124)/$AA15,$AB15/$X15))</f>
        <v/>
      </c>
      <c r="AH15" s="413">
        <f>IF($V15="",0,IF($AA15&gt;0,$AB15*SUMIF(⑳商品別1食労務費!$C$5:$C$124,$V15,⑳商品別1食労務費!$F$5:$F$124)/$AA15,$AB15/$X15))</f>
        <v/>
      </c>
      <c r="AI15" s="413">
        <f>IF($W15="",0,IF($AA15&gt;0,$AB15*SUMIF(⑳商品別1食労務費!$C$5:$C$124,$W15,⑳商品別1食労務費!$F$5:$F$124)/$AA15,$AB15/$X15))</f>
        <v/>
      </c>
    </row>
    <row r="16" ht="16" customHeight="1" s="438">
      <c r="A16" s="243" t="n">
        <v>11</v>
      </c>
      <c r="B16" s="243" t="inlineStr">
        <is>
          <t>ミキサー</t>
        </is>
      </c>
      <c r="C16" s="340" t="inlineStr">
        <is>
          <t>ごま団子</t>
        </is>
      </c>
      <c r="D16" s="339" t="n">
        <v>0.4305555555555556</v>
      </c>
      <c r="E16" s="339" t="n">
        <v>0.4479166666666667</v>
      </c>
      <c r="F16" s="243">
        <f>IF(OR(D16="",E16=""),"",(E16-D16)*1440)</f>
        <v/>
      </c>
      <c r="G16" s="243" t="n">
        <v>10</v>
      </c>
      <c r="H16" s="243" t="n">
        <v>1</v>
      </c>
      <c r="I16" s="243" t="n">
        <v>15</v>
      </c>
      <c r="J16" s="243" t="n"/>
      <c r="K16" s="243">
        <f>IF(AND(I16&gt;0,ISNUMBER(F16)),I16/(F16/60),"")</f>
        <v/>
      </c>
      <c r="L16" s="243">
        <f>IF(AND(J16&gt;0,ISNUMBER(F16)),J16/(F16/60),"")</f>
        <v/>
      </c>
      <c r="M16" s="243">
        <f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243">
        <f>IF(AND(I16&gt;0,ISNUMBER(M16)),M16/I16,"")</f>
        <v/>
      </c>
      <c r="O16" s="243">
        <f>IF(AND(J16&gt;0,ISNUMBER(M16)),M16/J16,"")</f>
        <v/>
      </c>
      <c r="P16" s="243" t="n"/>
      <c r="Q16" s="243" t="n"/>
      <c r="R16" s="340" t="inlineStr">
        <is>
          <t>ごま団子ＫＩＴ</t>
        </is>
      </c>
      <c r="S16" s="340" t="n"/>
      <c r="T16" s="340" t="n"/>
      <c r="U16" s="340" t="n"/>
      <c r="V16" s="340" t="n"/>
      <c r="W16" s="340" t="n"/>
      <c r="X16">
        <f>COUNTA(R16:W16)</f>
        <v/>
      </c>
      <c r="Y16">
        <f>IF(AND($X16&gt;0,ISNUMBER($M16)),$M16/$X16,"")</f>
        <v/>
      </c>
      <c r="Z16">
        <f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>
        <f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/>
      </c>
      <c r="AB16">
        <f>IF(ISNUMBER($M16),$M16,0)</f>
        <v/>
      </c>
      <c r="AD16" s="413">
        <f>IF($R16="",0,IF($AA16&gt;0,$AB16*SUMIF(⑳商品別1食労務費!$C$5:$C$124,$R16,⑳商品別1食労務費!$F$5:$F$124)/$AA16,$AB16/$X16))</f>
        <v/>
      </c>
      <c r="AE16" s="413">
        <f>IF($S16="",0,IF($AA16&gt;0,$AB16*SUMIF(⑳商品別1食労務費!$C$5:$C$124,$S16,⑳商品別1食労務費!$F$5:$F$124)/$AA16,$AB16/$X16))</f>
        <v/>
      </c>
      <c r="AF16" s="413">
        <f>IF($T16="",0,IF($AA16&gt;0,$AB16*SUMIF(⑳商品別1食労務費!$C$5:$C$124,$T16,⑳商品別1食労務費!$F$5:$F$124)/$AA16,$AB16/$X16))</f>
        <v/>
      </c>
      <c r="AG16" s="413">
        <f>IF($U16="",0,IF($AA16&gt;0,$AB16*SUMIF(⑳商品別1食労務費!$C$5:$C$124,$U16,⑳商品別1食労務費!$F$5:$F$124)/$AA16,$AB16/$X16))</f>
        <v/>
      </c>
      <c r="AH16" s="413">
        <f>IF($V16="",0,IF($AA16&gt;0,$AB16*SUMIF(⑳商品別1食労務費!$C$5:$C$124,$V16,⑳商品別1食労務費!$F$5:$F$124)/$AA16,$AB16/$X16))</f>
        <v/>
      </c>
      <c r="AI16" s="413">
        <f>IF($W16="",0,IF($AA16&gt;0,$AB16*SUMIF(⑳商品別1食労務費!$C$5:$C$124,$W16,⑳商品別1食労務費!$F$5:$F$124)/$AA16,$AB16/$X16))</f>
        <v/>
      </c>
    </row>
    <row r="17" ht="16" customHeight="1" s="438">
      <c r="A17" s="243" t="n">
        <v>12</v>
      </c>
      <c r="B17" s="243" t="inlineStr">
        <is>
          <t>ミキサー</t>
        </is>
      </c>
      <c r="C17" s="340" t="inlineStr">
        <is>
          <t>オーブン</t>
        </is>
      </c>
      <c r="D17" s="339" t="n"/>
      <c r="E17" s="339" t="n"/>
      <c r="F17" s="243">
        <f>IF(OR(D17="",E17=""),"",(E17-D17)*1440)</f>
        <v/>
      </c>
      <c r="G17" s="243" t="n"/>
      <c r="H17" s="243" t="n"/>
      <c r="I17" s="243" t="n"/>
      <c r="J17" s="243" t="n"/>
      <c r="K17" s="243">
        <f>IF(AND(I17&gt;0,ISNUMBER(F17)),I17/(F17/60),"")</f>
        <v/>
      </c>
      <c r="L17" s="243">
        <f>IF(AND(J17&gt;0,ISNUMBER(F17)),J17/(F17/60),"")</f>
        <v/>
      </c>
      <c r="M17" s="243">
        <f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243">
        <f>IF(AND(I17&gt;0,ISNUMBER(M17)),M17/I17,"")</f>
        <v/>
      </c>
      <c r="O17" s="243">
        <f>IF(AND(J17&gt;0,ISNUMBER(M17)),M17/J17,"")</f>
        <v/>
      </c>
      <c r="P17" s="243" t="n"/>
      <c r="Q17" s="243" t="n"/>
      <c r="R17" s="340" t="n"/>
      <c r="S17" s="340" t="n"/>
      <c r="T17" s="340" t="n"/>
      <c r="U17" s="340" t="n"/>
      <c r="V17" s="340" t="n"/>
      <c r="W17" s="340" t="n"/>
      <c r="X17">
        <f>COUNTA(R17:W17)</f>
        <v/>
      </c>
      <c r="Y17">
        <f>IF(AND($X17&gt;0,ISNUMBER($M17)),$M17/$X17,"")</f>
        <v/>
      </c>
      <c r="Z17">
        <f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>
        <f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/>
      </c>
      <c r="AB17">
        <f>IF(ISNUMBER($M17),$M17,0)</f>
        <v/>
      </c>
      <c r="AD17" s="413">
        <f>IF($R17="",0,IF($AA17&gt;0,$AB17*SUMIF(⑳商品別1食労務費!$C$5:$C$124,$R17,⑳商品別1食労務費!$F$5:$F$124)/$AA17,$AB17/$X17))</f>
        <v/>
      </c>
      <c r="AE17" s="413">
        <f>IF($S17="",0,IF($AA17&gt;0,$AB17*SUMIF(⑳商品別1食労務費!$C$5:$C$124,$S17,⑳商品別1食労務費!$F$5:$F$124)/$AA17,$AB17/$X17))</f>
        <v/>
      </c>
      <c r="AF17" s="413">
        <f>IF($T17="",0,IF($AA17&gt;0,$AB17*SUMIF(⑳商品別1食労務費!$C$5:$C$124,$T17,⑳商品別1食労務費!$F$5:$F$124)/$AA17,$AB17/$X17))</f>
        <v/>
      </c>
      <c r="AG17" s="413">
        <f>IF($U17="",0,IF($AA17&gt;0,$AB17*SUMIF(⑳商品別1食労務費!$C$5:$C$124,$U17,⑳商品別1食労務費!$F$5:$F$124)/$AA17,$AB17/$X17))</f>
        <v/>
      </c>
      <c r="AH17" s="413">
        <f>IF($V17="",0,IF($AA17&gt;0,$AB17*SUMIF(⑳商品別1食労務費!$C$5:$C$124,$V17,⑳商品別1食労務費!$F$5:$F$124)/$AA17,$AB17/$X17))</f>
        <v/>
      </c>
      <c r="AI17" s="413">
        <f>IF($W17="",0,IF($AA17&gt;0,$AB17*SUMIF(⑳商品別1食労務費!$C$5:$C$124,$W17,⑳商品別1食労務費!$F$5:$F$124)/$AA17,$AB17/$X17))</f>
        <v/>
      </c>
    </row>
    <row r="18" ht="16" customHeight="1" s="438">
      <c r="A18" s="243" t="n">
        <v>13</v>
      </c>
      <c r="B18" s="243" t="inlineStr">
        <is>
          <t>ミキサー</t>
        </is>
      </c>
      <c r="C18" s="340" t="inlineStr">
        <is>
          <t>クルンジ</t>
        </is>
      </c>
      <c r="D18" s="339" t="n">
        <v>0.08333333333333333</v>
      </c>
      <c r="E18" s="339" t="n">
        <v>0.09722222222222222</v>
      </c>
      <c r="F18" s="243">
        <f>IF(OR(D18="",E18=""),"",(E18-D18)*1440)</f>
        <v/>
      </c>
      <c r="G18" s="243" t="n">
        <v>20</v>
      </c>
      <c r="H18" s="243" t="n">
        <v>1</v>
      </c>
      <c r="I18" s="243" t="n">
        <v>128</v>
      </c>
      <c r="J18" s="243" t="n"/>
      <c r="K18" s="243">
        <f>IF(AND(I18&gt;0,ISNUMBER(F18)),I18/(F18/60),"")</f>
        <v/>
      </c>
      <c r="L18" s="243">
        <f>IF(AND(J18&gt;0,ISNUMBER(F18)),J18/(F18/60),"")</f>
        <v/>
      </c>
      <c r="M18" s="243">
        <f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243">
        <f>IF(AND(I18&gt;0,ISNUMBER(M18)),M18/I18,"")</f>
        <v/>
      </c>
      <c r="O18" s="243">
        <f>IF(AND(J18&gt;0,ISNUMBER(M18)),M18/J18,"")</f>
        <v/>
      </c>
      <c r="P18" s="243" t="n"/>
      <c r="Q18" s="243" t="n"/>
      <c r="R18" s="340" t="inlineStr">
        <is>
          <t>クルンジ２個入</t>
        </is>
      </c>
      <c r="S18" s="340" t="n"/>
      <c r="T18" s="340" t="n"/>
      <c r="U18" s="340" t="n"/>
      <c r="V18" s="340" t="n"/>
      <c r="W18" s="340" t="n"/>
      <c r="X18">
        <f>COUNTA(R18:W18)</f>
        <v/>
      </c>
      <c r="Y18">
        <f>IF(AND($X18&gt;0,ISNUMBER($M18)),$M18/$X18,"")</f>
        <v/>
      </c>
      <c r="Z18">
        <f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>
        <f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/>
      </c>
      <c r="AB18">
        <f>IF(ISNUMBER($M18),$M18,0)</f>
        <v/>
      </c>
      <c r="AD18" s="413">
        <f>IF($R18="",0,IF($AA18&gt;0,$AB18*SUMIF(⑳商品別1食労務費!$C$5:$C$124,$R18,⑳商品別1食労務費!$F$5:$F$124)/$AA18,$AB18/$X18))</f>
        <v/>
      </c>
      <c r="AE18" s="413">
        <f>IF($S18="",0,IF($AA18&gt;0,$AB18*SUMIF(⑳商品別1食労務費!$C$5:$C$124,$S18,⑳商品別1食労務費!$F$5:$F$124)/$AA18,$AB18/$X18))</f>
        <v/>
      </c>
      <c r="AF18" s="413">
        <f>IF($T18="",0,IF($AA18&gt;0,$AB18*SUMIF(⑳商品別1食労務費!$C$5:$C$124,$T18,⑳商品別1食労務費!$F$5:$F$124)/$AA18,$AB18/$X18))</f>
        <v/>
      </c>
      <c r="AG18" s="413">
        <f>IF($U18="",0,IF($AA18&gt;0,$AB18*SUMIF(⑳商品別1食労務費!$C$5:$C$124,$U18,⑳商品別1食労務費!$F$5:$F$124)/$AA18,$AB18/$X18))</f>
        <v/>
      </c>
      <c r="AH18" s="413">
        <f>IF($V18="",0,IF($AA18&gt;0,$AB18*SUMIF(⑳商品別1食労務費!$C$5:$C$124,$V18,⑳商品別1食労務費!$F$5:$F$124)/$AA18,$AB18/$X18))</f>
        <v/>
      </c>
      <c r="AI18" s="413">
        <f>IF($W18="",0,IF($AA18&gt;0,$AB18*SUMIF(⑳商品別1食労務費!$C$5:$C$124,$W18,⑳商品別1食労務費!$F$5:$F$124)/$AA18,$AB18/$X18))</f>
        <v/>
      </c>
    </row>
    <row r="19" ht="16" customHeight="1" s="438">
      <c r="A19" s="243" t="n">
        <v>14</v>
      </c>
      <c r="B19" s="243" t="inlineStr">
        <is>
          <t>ミキサー</t>
        </is>
      </c>
      <c r="C19" s="340" t="inlineStr">
        <is>
          <t>クルンジ</t>
        </is>
      </c>
      <c r="D19" s="339" t="n">
        <v>0.09722222222222222</v>
      </c>
      <c r="E19" s="339" t="n">
        <v>0.1111111111111111</v>
      </c>
      <c r="F19" s="243">
        <f>IF(OR(D19="",E19=""),"",(E19-D19)*1440)</f>
        <v/>
      </c>
      <c r="G19" s="338" t="n">
        <v>20</v>
      </c>
      <c r="H19" s="243" t="n">
        <v>2</v>
      </c>
      <c r="I19" s="243" t="n">
        <v>128</v>
      </c>
      <c r="J19" s="243" t="n"/>
      <c r="K19" s="243">
        <f>IF(AND(I19&gt;0,ISNUMBER(F19)),I19/(F19/60),"")</f>
        <v/>
      </c>
      <c r="L19" s="243">
        <f>IF(AND(J19&gt;0,ISNUMBER(F19)),J19/(F19/60),"")</f>
        <v/>
      </c>
      <c r="M19" s="243">
        <f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243">
        <f>IF(AND(I19&gt;0,ISNUMBER(M19)),M19/I19,"")</f>
        <v/>
      </c>
      <c r="O19" s="243">
        <f>IF(AND(J19&gt;0,ISNUMBER(M19)),M19/J19,"")</f>
        <v/>
      </c>
      <c r="P19" s="243" t="n"/>
      <c r="Q19" s="243" t="n"/>
      <c r="R19" s="340" t="inlineStr">
        <is>
          <t>クルンジ２個入</t>
        </is>
      </c>
      <c r="S19" s="340" t="n"/>
      <c r="T19" s="340" t="n"/>
      <c r="U19" s="340" t="n"/>
      <c r="V19" s="340" t="n"/>
      <c r="W19" s="340" t="n"/>
      <c r="X19">
        <f>COUNTA(R19:W19)</f>
        <v/>
      </c>
      <c r="Y19">
        <f>IF(AND($X19&gt;0,ISNUMBER($M19)),$M19/$X19,"")</f>
        <v/>
      </c>
      <c r="Z19">
        <f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>
        <f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/>
      </c>
      <c r="AB19">
        <f>IF(ISNUMBER($M19),$M19,0)</f>
        <v/>
      </c>
      <c r="AD19" s="413">
        <f>IF($R19="",0,IF($AA19&gt;0,$AB19*SUMIF(⑳商品別1食労務費!$C$5:$C$124,$R19,⑳商品別1食労務費!$F$5:$F$124)/$AA19,$AB19/$X19))</f>
        <v/>
      </c>
      <c r="AE19" s="413">
        <f>IF($S19="",0,IF($AA19&gt;0,$AB19*SUMIF(⑳商品別1食労務費!$C$5:$C$124,$S19,⑳商品別1食労務費!$F$5:$F$124)/$AA19,$AB19/$X19))</f>
        <v/>
      </c>
      <c r="AF19" s="413">
        <f>IF($T19="",0,IF($AA19&gt;0,$AB19*SUMIF(⑳商品別1食労務費!$C$5:$C$124,$T19,⑳商品別1食労務費!$F$5:$F$124)/$AA19,$AB19/$X19))</f>
        <v/>
      </c>
      <c r="AG19" s="413">
        <f>IF($U19="",0,IF($AA19&gt;0,$AB19*SUMIF(⑳商品別1食労務費!$C$5:$C$124,$U19,⑳商品別1食労務費!$F$5:$F$124)/$AA19,$AB19/$X19))</f>
        <v/>
      </c>
      <c r="AH19" s="413">
        <f>IF($V19="",0,IF($AA19&gt;0,$AB19*SUMIF(⑳商品別1食労務費!$C$5:$C$124,$V19,⑳商品別1食労務費!$F$5:$F$124)/$AA19,$AB19/$X19))</f>
        <v/>
      </c>
      <c r="AI19" s="413">
        <f>IF($W19="",0,IF($AA19&gt;0,$AB19*SUMIF(⑳商品別1食労務費!$C$5:$C$124,$W19,⑳商品別1食労務費!$F$5:$F$124)/$AA19,$AB19/$X19))</f>
        <v/>
      </c>
    </row>
    <row r="20" ht="16" customHeight="1" s="438">
      <c r="A20" s="243" t="n">
        <v>15</v>
      </c>
      <c r="B20" s="243" t="inlineStr">
        <is>
          <t>ミキサー</t>
        </is>
      </c>
      <c r="C20" s="340" t="inlineStr">
        <is>
          <t>湯種ロール</t>
        </is>
      </c>
      <c r="D20" s="339" t="n">
        <v>0.1111111111111111</v>
      </c>
      <c r="E20" s="339" t="n">
        <v>0.125</v>
      </c>
      <c r="F20" s="243">
        <f>IF(OR(D20="",E20=""),"",(E20-D20)*1440)</f>
        <v/>
      </c>
      <c r="G20" s="243" t="n">
        <v>20</v>
      </c>
      <c r="H20" s="243" t="n">
        <v>2</v>
      </c>
      <c r="I20" s="243" t="n">
        <v>432</v>
      </c>
      <c r="J20" s="243" t="n"/>
      <c r="K20" s="243">
        <f>IF(AND(I20&gt;0,ISNUMBER(F20)),I20/(F20/60),"")</f>
        <v/>
      </c>
      <c r="L20" s="243">
        <f>IF(AND(J20&gt;0,ISNUMBER(F20)),J20/(F20/60),"")</f>
        <v/>
      </c>
      <c r="M20" s="243">
        <f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243">
        <f>IF(AND(I20&gt;0,ISNUMBER(M20)),M20/I20,"")</f>
        <v/>
      </c>
      <c r="O20" s="243">
        <f>IF(AND(J20&gt;0,ISNUMBER(M20)),M20/J20,"")</f>
        <v/>
      </c>
      <c r="P20" s="243" t="n"/>
      <c r="Q20" s="243" t="n"/>
      <c r="R20" s="340" t="inlineStr">
        <is>
          <t>全粒粉入り湯種ロール６個</t>
        </is>
      </c>
      <c r="S20" s="340" t="inlineStr">
        <is>
          <t>全粒粉入り湯種ロール３個</t>
        </is>
      </c>
      <c r="T20" s="340" t="inlineStr">
        <is>
          <t>Ｓ全粒粉入り湯種ロール６個</t>
        </is>
      </c>
      <c r="U20" s="340" t="n"/>
      <c r="V20" s="340" t="n"/>
      <c r="W20" s="340" t="n"/>
      <c r="X20">
        <f>COUNTA(R20:W20)</f>
        <v/>
      </c>
      <c r="Y20">
        <f>IF(AND($X20&gt;0,ISNUMBER($M20)),$M20/$X20,"")</f>
        <v/>
      </c>
      <c r="Z20">
        <f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>
        <f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/>
      </c>
      <c r="AB20">
        <f>IF(ISNUMBER($M20),$M20,0)</f>
        <v/>
      </c>
      <c r="AD20" s="413">
        <f>IF($R20="",0,IF($AA20&gt;0,$AB20*SUMIF(⑳商品別1食労務費!$C$5:$C$124,$R20,⑳商品別1食労務費!$F$5:$F$124)/$AA20,$AB20/$X20))</f>
        <v/>
      </c>
      <c r="AE20" s="413">
        <f>IF($S20="",0,IF($AA20&gt;0,$AB20*SUMIF(⑳商品別1食労務費!$C$5:$C$124,$S20,⑳商品別1食労務費!$F$5:$F$124)/$AA20,$AB20/$X20))</f>
        <v/>
      </c>
      <c r="AF20" s="413">
        <f>IF($T20="",0,IF($AA20&gt;0,$AB20*SUMIF(⑳商品別1食労務費!$C$5:$C$124,$T20,⑳商品別1食労務費!$F$5:$F$124)/$AA20,$AB20/$X20))</f>
        <v/>
      </c>
      <c r="AG20" s="413">
        <f>IF($U20="",0,IF($AA20&gt;0,$AB20*SUMIF(⑳商品別1食労務費!$C$5:$C$124,$U20,⑳商品別1食労務費!$F$5:$F$124)/$AA20,$AB20/$X20))</f>
        <v/>
      </c>
      <c r="AH20" s="413">
        <f>IF($V20="",0,IF($AA20&gt;0,$AB20*SUMIF(⑳商品別1食労務費!$C$5:$C$124,$V20,⑳商品別1食労務費!$F$5:$F$124)/$AA20,$AB20/$X20))</f>
        <v/>
      </c>
      <c r="AI20" s="413">
        <f>IF($W20="",0,IF($AA20&gt;0,$AB20*SUMIF(⑳商品別1食労務費!$C$5:$C$124,$W20,⑳商品別1食労務費!$F$5:$F$124)/$AA20,$AB20/$X20))</f>
        <v/>
      </c>
    </row>
    <row r="21" ht="16" customHeight="1" s="438">
      <c r="A21" s="243" t="n">
        <v>16</v>
      </c>
      <c r="B21" s="243" t="inlineStr">
        <is>
          <t>ミキサー</t>
        </is>
      </c>
      <c r="C21" s="340" t="inlineStr">
        <is>
          <t>湯種ロール</t>
        </is>
      </c>
      <c r="D21" s="339" t="n">
        <v>0.125</v>
      </c>
      <c r="E21" s="339" t="n">
        <v>0.1388888888888889</v>
      </c>
      <c r="F21" s="243">
        <f>IF(OR(D21="",E21=""),"",(E21-D21)*1440)</f>
        <v/>
      </c>
      <c r="G21" s="243" t="n">
        <v>20</v>
      </c>
      <c r="H21" s="243" t="n">
        <v>2</v>
      </c>
      <c r="I21" s="243" t="n">
        <v>432</v>
      </c>
      <c r="J21" s="243" t="n"/>
      <c r="K21" s="243">
        <f>IF(AND(I21&gt;0,ISNUMBER(F21)),I21/(F21/60),"")</f>
        <v/>
      </c>
      <c r="L21" s="243">
        <f>IF(AND(J21&gt;0,ISNUMBER(F21)),J21/(F21/60),"")</f>
        <v/>
      </c>
      <c r="M21" s="243">
        <f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243">
        <f>IF(AND(I21&gt;0,ISNUMBER(M21)),M21/I21,"")</f>
        <v/>
      </c>
      <c r="O21" s="243">
        <f>IF(AND(J21&gt;0,ISNUMBER(M21)),M21/J21,"")</f>
        <v/>
      </c>
      <c r="P21" s="243" t="n"/>
      <c r="Q21" s="243" t="n"/>
      <c r="R21" s="340" t="inlineStr">
        <is>
          <t>全粒粉入り湯種ロール６個</t>
        </is>
      </c>
      <c r="S21" s="340" t="inlineStr">
        <is>
          <t>全粒粉入り湯種ロール３個</t>
        </is>
      </c>
      <c r="T21" s="340" t="inlineStr">
        <is>
          <t>Ｓ全粒粉入り湯種ロール６個</t>
        </is>
      </c>
      <c r="U21" s="340" t="n"/>
      <c r="V21" s="340" t="n"/>
      <c r="W21" s="340" t="n"/>
      <c r="X21">
        <f>COUNTA(R21:W21)</f>
        <v/>
      </c>
      <c r="Y21">
        <f>IF(AND($X21&gt;0,ISNUMBER($M21)),$M21/$X21,"")</f>
        <v/>
      </c>
      <c r="Z21">
        <f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>
        <f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/>
      </c>
      <c r="AB21">
        <f>IF(ISNUMBER($M21),$M21,0)</f>
        <v/>
      </c>
      <c r="AD21" s="413">
        <f>IF($R21="",0,IF($AA21&gt;0,$AB21*SUMIF(⑳商品別1食労務費!$C$5:$C$124,$R21,⑳商品別1食労務費!$F$5:$F$124)/$AA21,$AB21/$X21))</f>
        <v/>
      </c>
      <c r="AE21" s="413">
        <f>IF($S21="",0,IF($AA21&gt;0,$AB21*SUMIF(⑳商品別1食労務費!$C$5:$C$124,$S21,⑳商品別1食労務費!$F$5:$F$124)/$AA21,$AB21/$X21))</f>
        <v/>
      </c>
      <c r="AF21" s="413">
        <f>IF($T21="",0,IF($AA21&gt;0,$AB21*SUMIF(⑳商品別1食労務費!$C$5:$C$124,$T21,⑳商品別1食労務費!$F$5:$F$124)/$AA21,$AB21/$X21))</f>
        <v/>
      </c>
      <c r="AG21" s="413">
        <f>IF($U21="",0,IF($AA21&gt;0,$AB21*SUMIF(⑳商品別1食労務費!$C$5:$C$124,$U21,⑳商品別1食労務費!$F$5:$F$124)/$AA21,$AB21/$X21))</f>
        <v/>
      </c>
      <c r="AH21" s="413">
        <f>IF($V21="",0,IF($AA21&gt;0,$AB21*SUMIF(⑳商品別1食労務費!$C$5:$C$124,$V21,⑳商品別1食労務費!$F$5:$F$124)/$AA21,$AB21/$X21))</f>
        <v/>
      </c>
      <c r="AI21" s="413">
        <f>IF($W21="",0,IF($AA21&gt;0,$AB21*SUMIF(⑳商品別1食労務費!$C$5:$C$124,$W21,⑳商品別1食労務費!$F$5:$F$124)/$AA21,$AB21/$X21))</f>
        <v/>
      </c>
    </row>
    <row r="22" ht="16" customHeight="1" s="438">
      <c r="A22" s="243" t="n">
        <v>17</v>
      </c>
      <c r="B22" s="243" t="inlineStr">
        <is>
          <t>ミキサー</t>
        </is>
      </c>
      <c r="C22" s="340" t="inlineStr">
        <is>
          <t>湯種ロール</t>
        </is>
      </c>
      <c r="D22" s="339" t="n">
        <v>0.1388888888888889</v>
      </c>
      <c r="E22" s="339" t="n">
        <v>0.1527777777777778</v>
      </c>
      <c r="F22" s="243">
        <f>IF(OR(D22="",E22=""),"",(E22-D22)*1440)</f>
        <v/>
      </c>
      <c r="G22" s="243" t="n">
        <v>20</v>
      </c>
      <c r="H22" s="243" t="n">
        <v>2</v>
      </c>
      <c r="I22" s="243" t="n">
        <v>432</v>
      </c>
      <c r="J22" s="243" t="n"/>
      <c r="K22" s="243">
        <f>IF(AND(I22&gt;0,ISNUMBER(F22)),I22/(F22/60),"")</f>
        <v/>
      </c>
      <c r="L22" s="243">
        <f>IF(AND(J22&gt;0,ISNUMBER(F22)),J22/(F22/60),"")</f>
        <v/>
      </c>
      <c r="M22" s="243">
        <f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243">
        <f>IF(AND(I22&gt;0,ISNUMBER(M22)),M22/I22,"")</f>
        <v/>
      </c>
      <c r="O22" s="243">
        <f>IF(AND(J22&gt;0,ISNUMBER(M22)),M22/J22,"")</f>
        <v/>
      </c>
      <c r="P22" s="243" t="n"/>
      <c r="Q22" s="243" t="n"/>
      <c r="R22" s="340" t="inlineStr">
        <is>
          <t>全粒粉入り湯種ロール６個</t>
        </is>
      </c>
      <c r="S22" s="340" t="inlineStr">
        <is>
          <t>全粒粉入り湯種ロール３個</t>
        </is>
      </c>
      <c r="T22" s="340" t="inlineStr">
        <is>
          <t>Ｓ全粒粉入り湯種ロール６個</t>
        </is>
      </c>
      <c r="U22" s="340" t="n"/>
      <c r="V22" s="340" t="n"/>
      <c r="W22" s="340" t="n"/>
      <c r="X22">
        <f>COUNTA(R22:W22)</f>
        <v/>
      </c>
      <c r="Y22">
        <f>IF(AND($X22&gt;0,ISNUMBER($M22)),$M22/$X22,"")</f>
        <v/>
      </c>
      <c r="Z22">
        <f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>
        <f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/>
      </c>
      <c r="AB22">
        <f>IF(ISNUMBER($M22),$M22,0)</f>
        <v/>
      </c>
      <c r="AD22" s="413">
        <f>IF($R22="",0,IF($AA22&gt;0,$AB22*SUMIF(⑳商品別1食労務費!$C$5:$C$124,$R22,⑳商品別1食労務費!$F$5:$F$124)/$AA22,$AB22/$X22))</f>
        <v/>
      </c>
      <c r="AE22" s="413">
        <f>IF($S22="",0,IF($AA22&gt;0,$AB22*SUMIF(⑳商品別1食労務費!$C$5:$C$124,$S22,⑳商品別1食労務費!$F$5:$F$124)/$AA22,$AB22/$X22))</f>
        <v/>
      </c>
      <c r="AF22" s="413">
        <f>IF($T22="",0,IF($AA22&gt;0,$AB22*SUMIF(⑳商品別1食労務費!$C$5:$C$124,$T22,⑳商品別1食労務費!$F$5:$F$124)/$AA22,$AB22/$X22))</f>
        <v/>
      </c>
      <c r="AG22" s="413">
        <f>IF($U22="",0,IF($AA22&gt;0,$AB22*SUMIF(⑳商品別1食労務費!$C$5:$C$124,$U22,⑳商品別1食労務費!$F$5:$F$124)/$AA22,$AB22/$X22))</f>
        <v/>
      </c>
      <c r="AH22" s="413">
        <f>IF($V22="",0,IF($AA22&gt;0,$AB22*SUMIF(⑳商品別1食労務費!$C$5:$C$124,$V22,⑳商品別1食労務費!$F$5:$F$124)/$AA22,$AB22/$X22))</f>
        <v/>
      </c>
      <c r="AI22" s="413">
        <f>IF($W22="",0,IF($AA22&gt;0,$AB22*SUMIF(⑳商品別1食労務費!$C$5:$C$124,$W22,⑳商品別1食労務費!$F$5:$F$124)/$AA22,$AB22/$X22))</f>
        <v/>
      </c>
    </row>
    <row r="23" ht="16" customHeight="1" s="438">
      <c r="A23" s="243" t="n">
        <v>18</v>
      </c>
      <c r="B23" s="243" t="inlineStr">
        <is>
          <t>ミキサー</t>
        </is>
      </c>
      <c r="C23" s="340" t="inlineStr">
        <is>
          <t>ガーリックフランス</t>
        </is>
      </c>
      <c r="D23" s="339" t="n">
        <v>0.1527777777777778</v>
      </c>
      <c r="E23" s="339" t="n">
        <v>0.1666666666666667</v>
      </c>
      <c r="F23" s="243">
        <f>IF(OR(D23="",E23=""),"",(E23-D23)*1440)</f>
        <v/>
      </c>
      <c r="G23" s="243" t="n">
        <v>20</v>
      </c>
      <c r="H23" s="243" t="n">
        <v>2</v>
      </c>
      <c r="I23" s="243" t="n">
        <v>60</v>
      </c>
      <c r="J23" s="243" t="n"/>
      <c r="K23" s="243">
        <f>IF(AND(I23&gt;0,ISNUMBER(F23)),I23/(F23/60),"")</f>
        <v/>
      </c>
      <c r="L23" s="243">
        <f>IF(AND(J23&gt;0,ISNUMBER(F23)),J23/(F23/60),"")</f>
        <v/>
      </c>
      <c r="M23" s="243">
        <f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243">
        <f>IF(AND(I23&gt;0,ISNUMBER(M23)),M23/I23,"")</f>
        <v/>
      </c>
      <c r="O23" s="243">
        <f>IF(AND(J23&gt;0,ISNUMBER(M23)),M23/J23,"")</f>
        <v/>
      </c>
      <c r="P23" s="243" t="n"/>
      <c r="Q23" s="243" t="n"/>
      <c r="R23" s="340" t="inlineStr">
        <is>
          <t>ガーリックフランスＫＩＴ</t>
        </is>
      </c>
      <c r="S23" s="340" t="n"/>
      <c r="T23" s="340" t="n"/>
      <c r="U23" s="340" t="n"/>
      <c r="V23" s="340" t="n"/>
      <c r="W23" s="340" t="n"/>
      <c r="X23">
        <f>COUNTA(R23:W23)</f>
        <v/>
      </c>
      <c r="Y23">
        <f>IF(AND($X23&gt;0,ISNUMBER($M23)),$M23/$X23,"")</f>
        <v/>
      </c>
      <c r="Z23">
        <f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>
        <f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/>
      </c>
      <c r="AB23">
        <f>IF(ISNUMBER($M23),$M23,0)</f>
        <v/>
      </c>
      <c r="AD23" s="413">
        <f>IF($R23="",0,IF($AA23&gt;0,$AB23*SUMIF(⑳商品別1食労務費!$C$5:$C$124,$R23,⑳商品別1食労務費!$F$5:$F$124)/$AA23,$AB23/$X23))</f>
        <v/>
      </c>
      <c r="AE23" s="413">
        <f>IF($S23="",0,IF($AA23&gt;0,$AB23*SUMIF(⑳商品別1食労務費!$C$5:$C$124,$S23,⑳商品別1食労務費!$F$5:$F$124)/$AA23,$AB23/$X23))</f>
        <v/>
      </c>
      <c r="AF23" s="413">
        <f>IF($T23="",0,IF($AA23&gt;0,$AB23*SUMIF(⑳商品別1食労務費!$C$5:$C$124,$T23,⑳商品別1食労務費!$F$5:$F$124)/$AA23,$AB23/$X23))</f>
        <v/>
      </c>
      <c r="AG23" s="413">
        <f>IF($U23="",0,IF($AA23&gt;0,$AB23*SUMIF(⑳商品別1食労務費!$C$5:$C$124,$U23,⑳商品別1食労務費!$F$5:$F$124)/$AA23,$AB23/$X23))</f>
        <v/>
      </c>
      <c r="AH23" s="413">
        <f>IF($V23="",0,IF($AA23&gt;0,$AB23*SUMIF(⑳商品別1食労務費!$C$5:$C$124,$V23,⑳商品別1食労務費!$F$5:$F$124)/$AA23,$AB23/$X23))</f>
        <v/>
      </c>
      <c r="AI23" s="413">
        <f>IF($W23="",0,IF($AA23&gt;0,$AB23*SUMIF(⑳商品別1食労務費!$C$5:$C$124,$W23,⑳商品別1食労務費!$F$5:$F$124)/$AA23,$AB23/$X23))</f>
        <v/>
      </c>
    </row>
    <row r="24" ht="16" customHeight="1" s="438">
      <c r="A24" s="243" t="n">
        <v>19</v>
      </c>
      <c r="B24" s="243" t="inlineStr">
        <is>
          <t>ミキサー</t>
        </is>
      </c>
      <c r="C24" s="243" t="inlineStr">
        <is>
          <t>ガーリックフランス</t>
        </is>
      </c>
      <c r="D24" s="412" t="n">
        <v>0.1666666666666667</v>
      </c>
      <c r="E24" s="412" t="n">
        <v>0.1805555555555556</v>
      </c>
      <c r="F24" s="243">
        <f>IF(OR(D24="",E24=""),"",(E24-D24)*1440)</f>
        <v/>
      </c>
      <c r="G24" s="243" t="n">
        <v>20</v>
      </c>
      <c r="H24" s="243" t="n">
        <v>2</v>
      </c>
      <c r="I24" s="243" t="n">
        <v>60</v>
      </c>
      <c r="J24" s="243" t="n"/>
      <c r="K24" s="243">
        <f>IF(AND(I24&gt;0,ISNUMBER(F24)),I24/(F24/60),"")</f>
        <v/>
      </c>
      <c r="L24" s="243">
        <f>IF(AND(J24&gt;0,ISNUMBER(F24)),J24/(F24/60),"")</f>
        <v/>
      </c>
      <c r="M24" s="243">
        <f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243">
        <f>IF(AND(I24&gt;0,ISNUMBER(M24)),M24/I24,"")</f>
        <v/>
      </c>
      <c r="O24" s="243">
        <f>IF(AND(J24&gt;0,ISNUMBER(M24)),M24/J24,"")</f>
        <v/>
      </c>
      <c r="P24" s="243" t="n"/>
      <c r="Q24" s="243" t="n"/>
      <c r="R24" s="340" t="inlineStr">
        <is>
          <t>ガーリックフランスＫＩＴ</t>
        </is>
      </c>
      <c r="S24" s="340" t="n"/>
      <c r="T24" s="340" t="n"/>
      <c r="U24" s="340" t="n"/>
      <c r="V24" s="340" t="n"/>
      <c r="W24" s="340" t="n"/>
      <c r="X24">
        <f>COUNTA(R24:W24)</f>
        <v/>
      </c>
      <c r="Y24">
        <f>IF(AND($X24&gt;0,ISNUMBER($M24)),$M24/$X24,"")</f>
        <v/>
      </c>
      <c r="Z24">
        <f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>
        <f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/>
      </c>
      <c r="AB24">
        <f>IF(ISNUMBER($M24),$M24,0)</f>
        <v/>
      </c>
      <c r="AD24" s="413">
        <f>IF($R24="",0,IF($AA24&gt;0,$AB24*SUMIF(⑳商品別1食労務費!$C$5:$C$124,$R24,⑳商品別1食労務費!$F$5:$F$124)/$AA24,$AB24/$X24))</f>
        <v/>
      </c>
      <c r="AE24" s="413">
        <f>IF($S24="",0,IF($AA24&gt;0,$AB24*SUMIF(⑳商品別1食労務費!$C$5:$C$124,$S24,⑳商品別1食労務費!$F$5:$F$124)/$AA24,$AB24/$X24))</f>
        <v/>
      </c>
      <c r="AF24" s="413">
        <f>IF($T24="",0,IF($AA24&gt;0,$AB24*SUMIF(⑳商品別1食労務費!$C$5:$C$124,$T24,⑳商品別1食労務費!$F$5:$F$124)/$AA24,$AB24/$X24))</f>
        <v/>
      </c>
      <c r="AG24" s="413">
        <f>IF($U24="",0,IF($AA24&gt;0,$AB24*SUMIF(⑳商品別1食労務費!$C$5:$C$124,$U24,⑳商品別1食労務費!$F$5:$F$124)/$AA24,$AB24/$X24))</f>
        <v/>
      </c>
      <c r="AH24" s="413">
        <f>IF($V24="",0,IF($AA24&gt;0,$AB24*SUMIF(⑳商品別1食労務費!$C$5:$C$124,$V24,⑳商品別1食労務費!$F$5:$F$124)/$AA24,$AB24/$X24))</f>
        <v/>
      </c>
      <c r="AI24" s="413">
        <f>IF($W24="",0,IF($AA24&gt;0,$AB24*SUMIF(⑳商品別1食労務費!$C$5:$C$124,$W24,⑳商品別1食労務費!$F$5:$F$124)/$AA24,$AB24/$X24))</f>
        <v/>
      </c>
    </row>
    <row r="25" ht="16" customHeight="1" s="438">
      <c r="A25" s="243" t="n">
        <v>20</v>
      </c>
      <c r="B25" s="243" t="inlineStr">
        <is>
          <t>ミキサー</t>
        </is>
      </c>
      <c r="C25" s="243" t="inlineStr">
        <is>
          <t>ガーリックフランス</t>
        </is>
      </c>
      <c r="D25" s="412" t="n">
        <v>0.1805555555555556</v>
      </c>
      <c r="E25" s="412" t="n">
        <v>0.1944444444444444</v>
      </c>
      <c r="F25" s="243">
        <f>IF(OR(D25="",E25=""),"",(E25-D25)*1440)</f>
        <v/>
      </c>
      <c r="G25" s="243" t="n">
        <v>20</v>
      </c>
      <c r="H25" s="243" t="n">
        <v>2</v>
      </c>
      <c r="I25" s="243" t="n">
        <v>60</v>
      </c>
      <c r="J25" s="243" t="n"/>
      <c r="K25" s="243">
        <f>IF(AND(I25&gt;0,ISNUMBER(F25)),I25/(F25/60),"")</f>
        <v/>
      </c>
      <c r="L25" s="243">
        <f>IF(AND(J25&gt;0,ISNUMBER(F25)),J25/(F25/60),"")</f>
        <v/>
      </c>
      <c r="M25" s="243">
        <f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243">
        <f>IF(AND(I25&gt;0,ISNUMBER(M25)),M25/I25,"")</f>
        <v/>
      </c>
      <c r="O25" s="243">
        <f>IF(AND(J25&gt;0,ISNUMBER(M25)),M25/J25,"")</f>
        <v/>
      </c>
      <c r="P25" s="243" t="n"/>
      <c r="Q25" s="243" t="n"/>
      <c r="R25" s="340" t="inlineStr">
        <is>
          <t>ガーリックフランスＫＩＴ</t>
        </is>
      </c>
      <c r="S25" s="340" t="n"/>
      <c r="T25" s="340" t="n"/>
      <c r="U25" s="340" t="n"/>
      <c r="V25" s="340" t="n"/>
      <c r="W25" s="340" t="n"/>
      <c r="X25">
        <f>COUNTA(R25:W25)</f>
        <v/>
      </c>
      <c r="Y25">
        <f>IF(AND($X25&gt;0,ISNUMBER($M25)),$M25/$X25,"")</f>
        <v/>
      </c>
      <c r="Z25">
        <f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>
        <f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/>
      </c>
      <c r="AB25">
        <f>IF(ISNUMBER($M25),$M25,0)</f>
        <v/>
      </c>
      <c r="AD25" s="413">
        <f>IF($R25="",0,IF($AA25&gt;0,$AB25*SUMIF(⑳商品別1食労務費!$C$5:$C$124,$R25,⑳商品別1食労務費!$F$5:$F$124)/$AA25,$AB25/$X25))</f>
        <v/>
      </c>
      <c r="AE25" s="413">
        <f>IF($S25="",0,IF($AA25&gt;0,$AB25*SUMIF(⑳商品別1食労務費!$C$5:$C$124,$S25,⑳商品別1食労務費!$F$5:$F$124)/$AA25,$AB25/$X25))</f>
        <v/>
      </c>
      <c r="AF25" s="413">
        <f>IF($T25="",0,IF($AA25&gt;0,$AB25*SUMIF(⑳商品別1食労務費!$C$5:$C$124,$T25,⑳商品別1食労務費!$F$5:$F$124)/$AA25,$AB25/$X25))</f>
        <v/>
      </c>
      <c r="AG25" s="413">
        <f>IF($U25="",0,IF($AA25&gt;0,$AB25*SUMIF(⑳商品別1食労務費!$C$5:$C$124,$U25,⑳商品別1食労務費!$F$5:$F$124)/$AA25,$AB25/$X25))</f>
        <v/>
      </c>
      <c r="AH25" s="413">
        <f>IF($V25="",0,IF($AA25&gt;0,$AB25*SUMIF(⑳商品別1食労務費!$C$5:$C$124,$V25,⑳商品別1食労務費!$F$5:$F$124)/$AA25,$AB25/$X25))</f>
        <v/>
      </c>
      <c r="AI25" s="413">
        <f>IF($W25="",0,IF($AA25&gt;0,$AB25*SUMIF(⑳商品別1食労務費!$C$5:$C$124,$W25,⑳商品別1食労務費!$F$5:$F$124)/$AA25,$AB25/$X25))</f>
        <v/>
      </c>
    </row>
    <row r="26" ht="16" customHeight="1" s="438">
      <c r="A26" s="243" t="n">
        <v>21</v>
      </c>
      <c r="B26" s="243" t="inlineStr">
        <is>
          <t>ミキサー</t>
        </is>
      </c>
      <c r="C26" s="243" t="inlineStr">
        <is>
          <t>明太フランス</t>
        </is>
      </c>
      <c r="D26" s="412" t="n">
        <v>0.1944444444444444</v>
      </c>
      <c r="E26" s="412" t="n">
        <v>0.2083333333333333</v>
      </c>
      <c r="F26" s="243">
        <f>IF(OR(D26="",E26=""),"",(E26-D26)*1440)</f>
        <v/>
      </c>
      <c r="G26" s="243" t="n">
        <v>20</v>
      </c>
      <c r="H26" s="243" t="n">
        <v>2</v>
      </c>
      <c r="I26" s="243" t="n">
        <v>80</v>
      </c>
      <c r="J26" s="243" t="n"/>
      <c r="K26" s="243">
        <f>IF(AND(I26&gt;0,ISNUMBER(F26)),I26/(F26/60),"")</f>
        <v/>
      </c>
      <c r="L26" s="243">
        <f>IF(AND(J26&gt;0,ISNUMBER(F26)),J26/(F26/60),"")</f>
        <v/>
      </c>
      <c r="M26" s="243">
        <f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243">
        <f>IF(AND(I26&gt;0,ISNUMBER(M26)),M26/I26,"")</f>
        <v/>
      </c>
      <c r="O26" s="243">
        <f>IF(AND(J26&gt;0,ISNUMBER(M26)),M26/J26,"")</f>
        <v/>
      </c>
      <c r="P26" s="243" t="n"/>
      <c r="Q26" s="243" t="n"/>
      <c r="R26" s="340" t="inlineStr">
        <is>
          <t>明太フランスパンＫＩＴ</t>
        </is>
      </c>
      <c r="S26" s="340" t="n"/>
      <c r="T26" s="340" t="n"/>
      <c r="U26" s="340" t="n"/>
      <c r="V26" s="340" t="n"/>
      <c r="W26" s="340" t="n"/>
      <c r="X26">
        <f>COUNTA(R26:W26)</f>
        <v/>
      </c>
      <c r="Y26">
        <f>IF(AND($X26&gt;0,ISNUMBER($M26)),$M26/$X26,"")</f>
        <v/>
      </c>
      <c r="Z26">
        <f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>
        <f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/>
      </c>
      <c r="AB26">
        <f>IF(ISNUMBER($M26),$M26,0)</f>
        <v/>
      </c>
      <c r="AD26" s="413">
        <f>IF($R26="",0,IF($AA26&gt;0,$AB26*SUMIF(⑳商品別1食労務費!$C$5:$C$124,$R26,⑳商品別1食労務費!$F$5:$F$124)/$AA26,$AB26/$X26))</f>
        <v/>
      </c>
      <c r="AE26" s="413">
        <f>IF($S26="",0,IF($AA26&gt;0,$AB26*SUMIF(⑳商品別1食労務費!$C$5:$C$124,$S26,⑳商品別1食労務費!$F$5:$F$124)/$AA26,$AB26/$X26))</f>
        <v/>
      </c>
      <c r="AF26" s="413">
        <f>IF($T26="",0,IF($AA26&gt;0,$AB26*SUMIF(⑳商品別1食労務費!$C$5:$C$124,$T26,⑳商品別1食労務費!$F$5:$F$124)/$AA26,$AB26/$X26))</f>
        <v/>
      </c>
      <c r="AG26" s="413">
        <f>IF($U26="",0,IF($AA26&gt;0,$AB26*SUMIF(⑳商品別1食労務費!$C$5:$C$124,$U26,⑳商品別1食労務費!$F$5:$F$124)/$AA26,$AB26/$X26))</f>
        <v/>
      </c>
      <c r="AH26" s="413">
        <f>IF($V26="",0,IF($AA26&gt;0,$AB26*SUMIF(⑳商品別1食労務費!$C$5:$C$124,$V26,⑳商品別1食労務費!$F$5:$F$124)/$AA26,$AB26/$X26))</f>
        <v/>
      </c>
      <c r="AI26" s="413">
        <f>IF($W26="",0,IF($AA26&gt;0,$AB26*SUMIF(⑳商品別1食労務費!$C$5:$C$124,$W26,⑳商品別1食労務費!$F$5:$F$124)/$AA26,$AB26/$X26))</f>
        <v/>
      </c>
    </row>
    <row r="27" ht="16" customHeight="1" s="438">
      <c r="A27" s="243" t="n">
        <v>22</v>
      </c>
      <c r="B27" s="243" t="inlineStr">
        <is>
          <t>ミキサー</t>
        </is>
      </c>
      <c r="C27" s="243" t="inlineStr">
        <is>
          <t>明太フランス</t>
        </is>
      </c>
      <c r="D27" s="412" t="n">
        <v>0.2083333333333333</v>
      </c>
      <c r="E27" s="412" t="n">
        <v>0.2222222222222222</v>
      </c>
      <c r="F27" s="243">
        <f>IF(OR(D27="",E27=""),"",(E27-D27)*1440)</f>
        <v/>
      </c>
      <c r="G27" s="243" t="n">
        <v>20</v>
      </c>
      <c r="H27" s="243" t="n">
        <v>2</v>
      </c>
      <c r="I27" s="243" t="n">
        <v>80</v>
      </c>
      <c r="J27" s="243" t="n"/>
      <c r="K27" s="243">
        <f>IF(AND(I27&gt;0,ISNUMBER(F27)),I27/(F27/60),"")</f>
        <v/>
      </c>
      <c r="L27" s="243">
        <f>IF(AND(J27&gt;0,ISNUMBER(F27)),J27/(F27/60),"")</f>
        <v/>
      </c>
      <c r="M27" s="243">
        <f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243">
        <f>IF(AND(I27&gt;0,ISNUMBER(M27)),M27/I27,"")</f>
        <v/>
      </c>
      <c r="O27" s="243">
        <f>IF(AND(J27&gt;0,ISNUMBER(M27)),M27/J27,"")</f>
        <v/>
      </c>
      <c r="P27" s="243" t="n"/>
      <c r="Q27" s="243" t="n"/>
      <c r="R27" s="340" t="inlineStr">
        <is>
          <t>明太フランスパンＫＩＴ</t>
        </is>
      </c>
      <c r="S27" s="340" t="n"/>
      <c r="T27" s="340" t="n"/>
      <c r="U27" s="340" t="n"/>
      <c r="V27" s="340" t="n"/>
      <c r="W27" s="340" t="n"/>
      <c r="X27">
        <f>COUNTA(R27:W27)</f>
        <v/>
      </c>
      <c r="Y27">
        <f>IF(AND($X27&gt;0,ISNUMBER($M27)),$M27/$X27,"")</f>
        <v/>
      </c>
      <c r="Z27">
        <f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>
        <f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/>
      </c>
      <c r="AB27">
        <f>IF(ISNUMBER($M27),$M27,0)</f>
        <v/>
      </c>
      <c r="AD27" s="413">
        <f>IF($R27="",0,IF($AA27&gt;0,$AB27*SUMIF(⑳商品別1食労務費!$C$5:$C$124,$R27,⑳商品別1食労務費!$F$5:$F$124)/$AA27,$AB27/$X27))</f>
        <v/>
      </c>
      <c r="AE27" s="413">
        <f>IF($S27="",0,IF($AA27&gt;0,$AB27*SUMIF(⑳商品別1食労務費!$C$5:$C$124,$S27,⑳商品別1食労務費!$F$5:$F$124)/$AA27,$AB27/$X27))</f>
        <v/>
      </c>
      <c r="AF27" s="413">
        <f>IF($T27="",0,IF($AA27&gt;0,$AB27*SUMIF(⑳商品別1食労務費!$C$5:$C$124,$T27,⑳商品別1食労務費!$F$5:$F$124)/$AA27,$AB27/$X27))</f>
        <v/>
      </c>
      <c r="AG27" s="413">
        <f>IF($U27="",0,IF($AA27&gt;0,$AB27*SUMIF(⑳商品別1食労務費!$C$5:$C$124,$U27,⑳商品別1食労務費!$F$5:$F$124)/$AA27,$AB27/$X27))</f>
        <v/>
      </c>
      <c r="AH27" s="413">
        <f>IF($V27="",0,IF($AA27&gt;0,$AB27*SUMIF(⑳商品別1食労務費!$C$5:$C$124,$V27,⑳商品別1食労務費!$F$5:$F$124)/$AA27,$AB27/$X27))</f>
        <v/>
      </c>
      <c r="AI27" s="413">
        <f>IF($W27="",0,IF($AA27&gt;0,$AB27*SUMIF(⑳商品別1食労務費!$C$5:$C$124,$W27,⑳商品別1食労務費!$F$5:$F$124)/$AA27,$AB27/$X27))</f>
        <v/>
      </c>
    </row>
    <row r="28" ht="16" customHeight="1" s="438">
      <c r="A28" s="243" t="n">
        <v>23</v>
      </c>
      <c r="B28" s="243" t="inlineStr">
        <is>
          <t>ミキサー</t>
        </is>
      </c>
      <c r="C28" s="243" t="inlineStr">
        <is>
          <t>ホテルロール</t>
        </is>
      </c>
      <c r="D28" s="412" t="n">
        <v>0.2222222222222222</v>
      </c>
      <c r="E28" s="412" t="n">
        <v>0.2361111111111111</v>
      </c>
      <c r="F28" s="243">
        <f>IF(OR(D28="",E28=""),"",(E28-D28)*1440)</f>
        <v/>
      </c>
      <c r="G28" s="243" t="n">
        <v>20</v>
      </c>
      <c r="H28" s="243" t="n">
        <v>2</v>
      </c>
      <c r="I28" s="243" t="n">
        <v>640</v>
      </c>
      <c r="J28" s="243" t="n"/>
      <c r="K28" s="243">
        <f>IF(AND(I28&gt;0,ISNUMBER(F28)),I28/(F28/60),"")</f>
        <v/>
      </c>
      <c r="L28" s="243">
        <f>IF(AND(J28&gt;0,ISNUMBER(F28)),J28/(F28/60),"")</f>
        <v/>
      </c>
      <c r="M28" s="243">
        <f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243">
        <f>IF(AND(I28&gt;0,ISNUMBER(M28)),M28/I28,"")</f>
        <v/>
      </c>
      <c r="O28" s="243">
        <f>IF(AND(J28&gt;0,ISNUMBER(M28)),M28/J28,"")</f>
        <v/>
      </c>
      <c r="P28" s="243" t="n"/>
      <c r="Q28" s="243" t="n"/>
      <c r="R28" s="340" t="inlineStr">
        <is>
          <t>ふわもちホテルロール３個</t>
        </is>
      </c>
      <c r="S28" s="340" t="inlineStr">
        <is>
          <t>ふわもちホテルロール８個入</t>
        </is>
      </c>
      <c r="T28" s="340" t="inlineStr">
        <is>
          <t>ふわもちホテルロール１６個</t>
        </is>
      </c>
      <c r="U28" s="340" t="inlineStr">
        <is>
          <t>Ｓふわもちホテルロール８個</t>
        </is>
      </c>
      <c r="V28" s="340" t="inlineStr">
        <is>
          <t>Ｓふわもちホテルロール１６</t>
        </is>
      </c>
      <c r="W28" s="340" t="inlineStr">
        <is>
          <t>ホテルロールＫＩＴ　４０個</t>
        </is>
      </c>
      <c r="X28">
        <f>COUNTA(R28:W28)</f>
        <v/>
      </c>
      <c r="Y28">
        <f>IF(AND($X28&gt;0,ISNUMBER($M28)),$M28/$X28,"")</f>
        <v/>
      </c>
      <c r="Z28">
        <f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>
        <f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/>
      </c>
      <c r="AB28">
        <f>IF(ISNUMBER($M28),$M28,0)</f>
        <v/>
      </c>
      <c r="AD28" s="413">
        <f>IF($R28="",0,IF($AA28&gt;0,$AB28*SUMIF(⑳商品別1食労務費!$C$5:$C$124,$R28,⑳商品別1食労務費!$F$5:$F$124)/$AA28,$AB28/$X28))</f>
        <v/>
      </c>
      <c r="AE28" s="413">
        <f>IF($S28="",0,IF($AA28&gt;0,$AB28*SUMIF(⑳商品別1食労務費!$C$5:$C$124,$S28,⑳商品別1食労務費!$F$5:$F$124)/$AA28,$AB28/$X28))</f>
        <v/>
      </c>
      <c r="AF28" s="413">
        <f>IF($T28="",0,IF($AA28&gt;0,$AB28*SUMIF(⑳商品別1食労務費!$C$5:$C$124,$T28,⑳商品別1食労務費!$F$5:$F$124)/$AA28,$AB28/$X28))</f>
        <v/>
      </c>
      <c r="AG28" s="413">
        <f>IF($U28="",0,IF($AA28&gt;0,$AB28*SUMIF(⑳商品別1食労務費!$C$5:$C$124,$U28,⑳商品別1食労務費!$F$5:$F$124)/$AA28,$AB28/$X28))</f>
        <v/>
      </c>
      <c r="AH28" s="413">
        <f>IF($V28="",0,IF($AA28&gt;0,$AB28*SUMIF(⑳商品別1食労務費!$C$5:$C$124,$V28,⑳商品別1食労務費!$F$5:$F$124)/$AA28,$AB28/$X28))</f>
        <v/>
      </c>
      <c r="AI28" s="413">
        <f>IF($W28="",0,IF($AA28&gt;0,$AB28*SUMIF(⑳商品別1食労務費!$C$5:$C$124,$W28,⑳商品別1食労務費!$F$5:$F$124)/$AA28,$AB28/$X28))</f>
        <v/>
      </c>
    </row>
    <row r="29" ht="16" customHeight="1" s="438">
      <c r="A29" s="243" t="n">
        <v>24</v>
      </c>
      <c r="B29" s="243" t="inlineStr">
        <is>
          <t>ミキサー</t>
        </is>
      </c>
      <c r="C29" s="243" t="inlineStr">
        <is>
          <t>ホテルロール</t>
        </is>
      </c>
      <c r="D29" s="412" t="n">
        <v>0.2361111111111111</v>
      </c>
      <c r="E29" s="412" t="n">
        <v>0.25</v>
      </c>
      <c r="F29" s="243">
        <f>IF(OR(D29="",E29=""),"",(E29-D29)*1440)</f>
        <v/>
      </c>
      <c r="G29" s="243" t="n">
        <v>20</v>
      </c>
      <c r="H29" s="243" t="n">
        <v>2</v>
      </c>
      <c r="I29" s="243" t="n">
        <v>640</v>
      </c>
      <c r="J29" s="243" t="n"/>
      <c r="K29" s="243">
        <f>IF(AND(I29&gt;0,ISNUMBER(F29)),I29/(F29/60),"")</f>
        <v/>
      </c>
      <c r="L29" s="243">
        <f>IF(AND(J29&gt;0,ISNUMBER(F29)),J29/(F29/60),"")</f>
        <v/>
      </c>
      <c r="M29" s="243">
        <f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243">
        <f>IF(AND(I29&gt;0,ISNUMBER(M29)),M29/I29,"")</f>
        <v/>
      </c>
      <c r="O29" s="243">
        <f>IF(AND(J29&gt;0,ISNUMBER(M29)),M29/J29,"")</f>
        <v/>
      </c>
      <c r="P29" s="243" t="n"/>
      <c r="Q29" s="243" t="n"/>
      <c r="R29" s="340" t="inlineStr">
        <is>
          <t>ふわもちホテルロール３個</t>
        </is>
      </c>
      <c r="S29" s="340" t="inlineStr">
        <is>
          <t>ふわもちホテルロール８個入</t>
        </is>
      </c>
      <c r="T29" s="340" t="inlineStr">
        <is>
          <t>ふわもちホテルロール１６個</t>
        </is>
      </c>
      <c r="U29" s="340" t="inlineStr">
        <is>
          <t>Ｓふわもちホテルロール８個</t>
        </is>
      </c>
      <c r="V29" s="340" t="inlineStr">
        <is>
          <t>Ｓふわもちホテルロール１６</t>
        </is>
      </c>
      <c r="W29" s="340" t="inlineStr">
        <is>
          <t>ホテルロールＫＩＴ　４０個</t>
        </is>
      </c>
      <c r="X29">
        <f>COUNTA(R29:W29)</f>
        <v/>
      </c>
      <c r="Y29">
        <f>IF(AND($X29&gt;0,ISNUMBER($M29)),$M29/$X29,"")</f>
        <v/>
      </c>
      <c r="Z29">
        <f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>
        <f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/>
      </c>
      <c r="AB29">
        <f>IF(ISNUMBER($M29),$M29,0)</f>
        <v/>
      </c>
      <c r="AD29" s="413">
        <f>IF($R29="",0,IF($AA29&gt;0,$AB29*SUMIF(⑳商品別1食労務費!$C$5:$C$124,$R29,⑳商品別1食労務費!$F$5:$F$124)/$AA29,$AB29/$X29))</f>
        <v/>
      </c>
      <c r="AE29" s="413">
        <f>IF($S29="",0,IF($AA29&gt;0,$AB29*SUMIF(⑳商品別1食労務費!$C$5:$C$124,$S29,⑳商品別1食労務費!$F$5:$F$124)/$AA29,$AB29/$X29))</f>
        <v/>
      </c>
      <c r="AF29" s="413">
        <f>IF($T29="",0,IF($AA29&gt;0,$AB29*SUMIF(⑳商品別1食労務費!$C$5:$C$124,$T29,⑳商品別1食労務費!$F$5:$F$124)/$AA29,$AB29/$X29))</f>
        <v/>
      </c>
      <c r="AG29" s="413">
        <f>IF($U29="",0,IF($AA29&gt;0,$AB29*SUMIF(⑳商品別1食労務費!$C$5:$C$124,$U29,⑳商品別1食労務費!$F$5:$F$124)/$AA29,$AB29/$X29))</f>
        <v/>
      </c>
      <c r="AH29" s="413">
        <f>IF($V29="",0,IF($AA29&gt;0,$AB29*SUMIF(⑳商品別1食労務費!$C$5:$C$124,$V29,⑳商品別1食労務費!$F$5:$F$124)/$AA29,$AB29/$X29))</f>
        <v/>
      </c>
      <c r="AI29" s="413">
        <f>IF($W29="",0,IF($AA29&gt;0,$AB29*SUMIF(⑳商品別1食労務費!$C$5:$C$124,$W29,⑳商品別1食労務費!$F$5:$F$124)/$AA29,$AB29/$X29))</f>
        <v/>
      </c>
    </row>
    <row r="30" ht="16" customHeight="1" s="438">
      <c r="A30" s="243" t="n">
        <v>25</v>
      </c>
      <c r="B30" s="243" t="inlineStr">
        <is>
          <t>ミキサー</t>
        </is>
      </c>
      <c r="C30" s="243" t="inlineStr">
        <is>
          <t>ホテルロール</t>
        </is>
      </c>
      <c r="D30" s="412" t="n">
        <v>0.25</v>
      </c>
      <c r="E30" s="412" t="n">
        <v>0.2638888888888889</v>
      </c>
      <c r="F30" s="243">
        <f>IF(OR(D30="",E30=""),"",(E30-D30)*1440)</f>
        <v/>
      </c>
      <c r="G30" s="243" t="n">
        <v>20</v>
      </c>
      <c r="H30" s="243" t="n">
        <v>2</v>
      </c>
      <c r="I30" s="243" t="n">
        <v>640</v>
      </c>
      <c r="J30" s="243" t="n"/>
      <c r="K30" s="243">
        <f>IF(AND(I30&gt;0,ISNUMBER(F30)),I30/(F30/60),"")</f>
        <v/>
      </c>
      <c r="L30" s="243">
        <f>IF(AND(J30&gt;0,ISNUMBER(F30)),J30/(F30/60),"")</f>
        <v/>
      </c>
      <c r="M30" s="243">
        <f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243">
        <f>IF(AND(I30&gt;0,ISNUMBER(M30)),M30/I30,"")</f>
        <v/>
      </c>
      <c r="O30" s="243">
        <f>IF(AND(J30&gt;0,ISNUMBER(M30)),M30/J30,"")</f>
        <v/>
      </c>
      <c r="P30" s="243" t="n"/>
      <c r="Q30" s="243" t="n"/>
      <c r="R30" s="340" t="inlineStr">
        <is>
          <t>ふわもちホテルロール３個</t>
        </is>
      </c>
      <c r="S30" s="340" t="inlineStr">
        <is>
          <t>ふわもちホテルロール８個入</t>
        </is>
      </c>
      <c r="T30" s="340" t="inlineStr">
        <is>
          <t>ふわもちホテルロール１６個</t>
        </is>
      </c>
      <c r="U30" s="340" t="inlineStr">
        <is>
          <t>Ｓふわもちホテルロール８個</t>
        </is>
      </c>
      <c r="V30" s="340" t="inlineStr">
        <is>
          <t>Ｓふわもちホテルロール１６</t>
        </is>
      </c>
      <c r="W30" s="340" t="inlineStr">
        <is>
          <t>ホテルロールＫＩＴ　４０個</t>
        </is>
      </c>
      <c r="X30">
        <f>COUNTA(R30:W30)</f>
        <v/>
      </c>
      <c r="Y30">
        <f>IF(AND($X30&gt;0,ISNUMBER($M30)),$M30/$X30,"")</f>
        <v/>
      </c>
      <c r="Z30">
        <f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>
        <f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/>
      </c>
      <c r="AB30">
        <f>IF(ISNUMBER($M30),$M30,0)</f>
        <v/>
      </c>
      <c r="AD30" s="413">
        <f>IF($R30="",0,IF($AA30&gt;0,$AB30*SUMIF(⑳商品別1食労務費!$C$5:$C$124,$R30,⑳商品別1食労務費!$F$5:$F$124)/$AA30,$AB30/$X30))</f>
        <v/>
      </c>
      <c r="AE30" s="413">
        <f>IF($S30="",0,IF($AA30&gt;0,$AB30*SUMIF(⑳商品別1食労務費!$C$5:$C$124,$S30,⑳商品別1食労務費!$F$5:$F$124)/$AA30,$AB30/$X30))</f>
        <v/>
      </c>
      <c r="AF30" s="413">
        <f>IF($T30="",0,IF($AA30&gt;0,$AB30*SUMIF(⑳商品別1食労務費!$C$5:$C$124,$T30,⑳商品別1食労務費!$F$5:$F$124)/$AA30,$AB30/$X30))</f>
        <v/>
      </c>
      <c r="AG30" s="413">
        <f>IF($U30="",0,IF($AA30&gt;0,$AB30*SUMIF(⑳商品別1食労務費!$C$5:$C$124,$U30,⑳商品別1食労務費!$F$5:$F$124)/$AA30,$AB30/$X30))</f>
        <v/>
      </c>
      <c r="AH30" s="413">
        <f>IF($V30="",0,IF($AA30&gt;0,$AB30*SUMIF(⑳商品別1食労務費!$C$5:$C$124,$V30,⑳商品別1食労務費!$F$5:$F$124)/$AA30,$AB30/$X30))</f>
        <v/>
      </c>
      <c r="AI30" s="413">
        <f>IF($W30="",0,IF($AA30&gt;0,$AB30*SUMIF(⑳商品別1食労務費!$C$5:$C$124,$W30,⑳商品別1食労務費!$F$5:$F$124)/$AA30,$AB30/$X30))</f>
        <v/>
      </c>
    </row>
    <row r="31" ht="16" customHeight="1" s="438">
      <c r="A31" s="243" t="n">
        <v>26</v>
      </c>
      <c r="B31" s="243" t="inlineStr">
        <is>
          <t>ミキサー</t>
        </is>
      </c>
      <c r="C31" s="243" t="inlineStr">
        <is>
          <t>ホテルロール</t>
        </is>
      </c>
      <c r="D31" s="412" t="n">
        <v>0.2638888888888889</v>
      </c>
      <c r="E31" s="412" t="n">
        <v>0.2777777777777778</v>
      </c>
      <c r="F31" s="243">
        <f>IF(OR(D31="",E31=""),"",(E31-D31)*1440)</f>
        <v/>
      </c>
      <c r="G31" s="243" t="n">
        <v>20</v>
      </c>
      <c r="H31" s="243" t="n">
        <v>2</v>
      </c>
      <c r="I31" s="243" t="n">
        <v>640</v>
      </c>
      <c r="J31" s="243" t="n"/>
      <c r="K31" s="243">
        <f>IF(AND(I31&gt;0,ISNUMBER(F31)),I31/(F31/60),"")</f>
        <v/>
      </c>
      <c r="L31" s="243">
        <f>IF(AND(J31&gt;0,ISNUMBER(F31)),J31/(F31/60),"")</f>
        <v/>
      </c>
      <c r="M31" s="243">
        <f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243">
        <f>IF(AND(I31&gt;0,ISNUMBER(M31)),M31/I31,"")</f>
        <v/>
      </c>
      <c r="O31" s="243">
        <f>IF(AND(J31&gt;0,ISNUMBER(M31)),M31/J31,"")</f>
        <v/>
      </c>
      <c r="P31" s="243" t="n"/>
      <c r="Q31" s="243" t="n"/>
      <c r="R31" s="340" t="inlineStr">
        <is>
          <t>ふわもちホテルロール３個</t>
        </is>
      </c>
      <c r="S31" s="340" t="inlineStr">
        <is>
          <t>ふわもちホテルロール８個入</t>
        </is>
      </c>
      <c r="T31" s="340" t="inlineStr">
        <is>
          <t>ふわもちホテルロール１６個</t>
        </is>
      </c>
      <c r="U31" s="340" t="inlineStr">
        <is>
          <t>Ｓふわもちホテルロール８個</t>
        </is>
      </c>
      <c r="V31" s="340" t="inlineStr">
        <is>
          <t>Ｓふわもちホテルロール１６</t>
        </is>
      </c>
      <c r="W31" s="340" t="inlineStr">
        <is>
          <t>ホテルロールＫＩＴ　４０個</t>
        </is>
      </c>
      <c r="X31">
        <f>COUNTA(R31:W31)</f>
        <v/>
      </c>
      <c r="Y31">
        <f>IF(AND($X31&gt;0,ISNUMBER($M31)),$M31/$X31,"")</f>
        <v/>
      </c>
      <c r="Z31">
        <f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>
        <f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/>
      </c>
      <c r="AB31">
        <f>IF(ISNUMBER($M31),$M31,0)</f>
        <v/>
      </c>
      <c r="AD31" s="413">
        <f>IF($R31="",0,IF($AA31&gt;0,$AB31*SUMIF(⑳商品別1食労務費!$C$5:$C$124,$R31,⑳商品別1食労務費!$F$5:$F$124)/$AA31,$AB31/$X31))</f>
        <v/>
      </c>
      <c r="AE31" s="413">
        <f>IF($S31="",0,IF($AA31&gt;0,$AB31*SUMIF(⑳商品別1食労務費!$C$5:$C$124,$S31,⑳商品別1食労務費!$F$5:$F$124)/$AA31,$AB31/$X31))</f>
        <v/>
      </c>
      <c r="AF31" s="413">
        <f>IF($T31="",0,IF($AA31&gt;0,$AB31*SUMIF(⑳商品別1食労務費!$C$5:$C$124,$T31,⑳商品別1食労務費!$F$5:$F$124)/$AA31,$AB31/$X31))</f>
        <v/>
      </c>
      <c r="AG31" s="413">
        <f>IF($U31="",0,IF($AA31&gt;0,$AB31*SUMIF(⑳商品別1食労務費!$C$5:$C$124,$U31,⑳商品別1食労務費!$F$5:$F$124)/$AA31,$AB31/$X31))</f>
        <v/>
      </c>
      <c r="AH31" s="413">
        <f>IF($V31="",0,IF($AA31&gt;0,$AB31*SUMIF(⑳商品別1食労務費!$C$5:$C$124,$V31,⑳商品別1食労務費!$F$5:$F$124)/$AA31,$AB31/$X31))</f>
        <v/>
      </c>
      <c r="AI31" s="413">
        <f>IF($W31="",0,IF($AA31&gt;0,$AB31*SUMIF(⑳商品別1食労務費!$C$5:$C$124,$W31,⑳商品別1食労務費!$F$5:$F$124)/$AA31,$AB31/$X31))</f>
        <v/>
      </c>
    </row>
    <row r="32" ht="16" customHeight="1" s="438">
      <c r="A32" s="243" t="n">
        <v>27</v>
      </c>
      <c r="B32" s="243" t="inlineStr">
        <is>
          <t>ミキサー</t>
        </is>
      </c>
      <c r="C32" s="243" t="inlineStr">
        <is>
          <t>ホテルロール</t>
        </is>
      </c>
      <c r="D32" s="412" t="n">
        <v>0.2777777777777778</v>
      </c>
      <c r="E32" s="412" t="n">
        <v>0.2916666666666667</v>
      </c>
      <c r="F32" s="243">
        <f>IF(OR(D32="",E32=""),"",(E32-D32)*1440)</f>
        <v/>
      </c>
      <c r="G32" s="243" t="n">
        <v>20</v>
      </c>
      <c r="H32" s="243" t="n">
        <v>2</v>
      </c>
      <c r="I32" s="243" t="n">
        <v>640</v>
      </c>
      <c r="J32" s="243" t="n"/>
      <c r="K32" s="243">
        <f>IF(AND(I32&gt;0,ISNUMBER(F32)),I32/(F32/60),"")</f>
        <v/>
      </c>
      <c r="L32" s="243">
        <f>IF(AND(J32&gt;0,ISNUMBER(F32)),J32/(F32/60),"")</f>
        <v/>
      </c>
      <c r="M32" s="243">
        <f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243">
        <f>IF(AND(I32&gt;0,ISNUMBER(M32)),M32/I32,"")</f>
        <v/>
      </c>
      <c r="O32" s="243">
        <f>IF(AND(J32&gt;0,ISNUMBER(M32)),M32/J32,"")</f>
        <v/>
      </c>
      <c r="P32" s="243" t="n"/>
      <c r="Q32" s="243" t="n"/>
      <c r="R32" s="340" t="inlineStr">
        <is>
          <t>ふわもちホテルロール３個</t>
        </is>
      </c>
      <c r="S32" s="340" t="inlineStr">
        <is>
          <t>ふわもちホテルロール８個入</t>
        </is>
      </c>
      <c r="T32" s="340" t="inlineStr">
        <is>
          <t>ふわもちホテルロール１６個</t>
        </is>
      </c>
      <c r="U32" s="340" t="inlineStr">
        <is>
          <t>Ｓふわもちホテルロール８個</t>
        </is>
      </c>
      <c r="V32" s="340" t="inlineStr">
        <is>
          <t>Ｓふわもちホテルロール１６</t>
        </is>
      </c>
      <c r="W32" s="340" t="inlineStr">
        <is>
          <t>ホテルロールＫＩＴ　４０個</t>
        </is>
      </c>
      <c r="X32">
        <f>COUNTA(R32:W32)</f>
        <v/>
      </c>
      <c r="Y32">
        <f>IF(AND($X32&gt;0,ISNUMBER($M32)),$M32/$X32,"")</f>
        <v/>
      </c>
      <c r="Z32">
        <f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>
        <f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/>
      </c>
      <c r="AB32">
        <f>IF(ISNUMBER($M32),$M32,0)</f>
        <v/>
      </c>
      <c r="AD32" s="413">
        <f>IF($R32="",0,IF($AA32&gt;0,$AB32*SUMIF(⑳商品別1食労務費!$C$5:$C$124,$R32,⑳商品別1食労務費!$F$5:$F$124)/$AA32,$AB32/$X32))</f>
        <v/>
      </c>
      <c r="AE32" s="413">
        <f>IF($S32="",0,IF($AA32&gt;0,$AB32*SUMIF(⑳商品別1食労務費!$C$5:$C$124,$S32,⑳商品別1食労務費!$F$5:$F$124)/$AA32,$AB32/$X32))</f>
        <v/>
      </c>
      <c r="AF32" s="413">
        <f>IF($T32="",0,IF($AA32&gt;0,$AB32*SUMIF(⑳商品別1食労務費!$C$5:$C$124,$T32,⑳商品別1食労務費!$F$5:$F$124)/$AA32,$AB32/$X32))</f>
        <v/>
      </c>
      <c r="AG32" s="413">
        <f>IF($U32="",0,IF($AA32&gt;0,$AB32*SUMIF(⑳商品別1食労務費!$C$5:$C$124,$U32,⑳商品別1食労務費!$F$5:$F$124)/$AA32,$AB32/$X32))</f>
        <v/>
      </c>
      <c r="AH32" s="413">
        <f>IF($V32="",0,IF($AA32&gt;0,$AB32*SUMIF(⑳商品別1食労務費!$C$5:$C$124,$V32,⑳商品別1食労務費!$F$5:$F$124)/$AA32,$AB32/$X32))</f>
        <v/>
      </c>
      <c r="AI32" s="413">
        <f>IF($W32="",0,IF($AA32&gt;0,$AB32*SUMIF(⑳商品別1食労務費!$C$5:$C$124,$W32,⑳商品別1食労務費!$F$5:$F$124)/$AA32,$AB32/$X32))</f>
        <v/>
      </c>
    </row>
    <row r="33" ht="16" customHeight="1" s="438">
      <c r="A33" s="243" t="n">
        <v>28</v>
      </c>
      <c r="B33" s="243" t="inlineStr">
        <is>
          <t>ミキサー</t>
        </is>
      </c>
      <c r="C33" s="243" t="inlineStr">
        <is>
          <t>ホテルロール</t>
        </is>
      </c>
      <c r="D33" s="412" t="n">
        <v>0.2916666666666667</v>
      </c>
      <c r="E33" s="412" t="n">
        <v>0.3055555555555556</v>
      </c>
      <c r="F33" s="243">
        <f>IF(OR(D33="",E33=""),"",(E33-D33)*1440)</f>
        <v/>
      </c>
      <c r="G33" s="243" t="n">
        <v>20</v>
      </c>
      <c r="H33" s="243" t="n">
        <v>2</v>
      </c>
      <c r="I33" s="243" t="n">
        <v>640</v>
      </c>
      <c r="J33" s="243" t="n"/>
      <c r="K33" s="243">
        <f>IF(AND(I33&gt;0,ISNUMBER(F33)),I33/(F33/60),"")</f>
        <v/>
      </c>
      <c r="L33" s="243">
        <f>IF(AND(J33&gt;0,ISNUMBER(F33)),J33/(F33/60),"")</f>
        <v/>
      </c>
      <c r="M33" s="243">
        <f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243">
        <f>IF(AND(I33&gt;0,ISNUMBER(M33)),M33/I33,"")</f>
        <v/>
      </c>
      <c r="O33" s="243">
        <f>IF(AND(J33&gt;0,ISNUMBER(M33)),M33/J33,"")</f>
        <v/>
      </c>
      <c r="P33" s="243" t="n"/>
      <c r="Q33" s="243" t="n"/>
      <c r="R33" s="340" t="inlineStr">
        <is>
          <t>ふわもちホテルロール３個</t>
        </is>
      </c>
      <c r="S33" s="340" t="inlineStr">
        <is>
          <t>ふわもちホテルロール８個入</t>
        </is>
      </c>
      <c r="T33" s="340" t="inlineStr">
        <is>
          <t>ふわもちホテルロール１６個</t>
        </is>
      </c>
      <c r="U33" s="340" t="inlineStr">
        <is>
          <t>Ｓふわもちホテルロール８個</t>
        </is>
      </c>
      <c r="V33" s="340" t="inlineStr">
        <is>
          <t>Ｓふわもちホテルロール１６</t>
        </is>
      </c>
      <c r="W33" s="340" t="inlineStr">
        <is>
          <t>ホテルロールＫＩＴ　４０個</t>
        </is>
      </c>
      <c r="X33">
        <f>COUNTA(R33:W33)</f>
        <v/>
      </c>
      <c r="Y33">
        <f>IF(AND($X33&gt;0,ISNUMBER($M33)),$M33/$X33,"")</f>
        <v/>
      </c>
      <c r="Z33">
        <f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>
        <f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/>
      </c>
      <c r="AB33">
        <f>IF(ISNUMBER($M33),$M33,0)</f>
        <v/>
      </c>
      <c r="AD33" s="413">
        <f>IF($R33="",0,IF($AA33&gt;0,$AB33*SUMIF(⑳商品別1食労務費!$C$5:$C$124,$R33,⑳商品別1食労務費!$F$5:$F$124)/$AA33,$AB33/$X33))</f>
        <v/>
      </c>
      <c r="AE33" s="413">
        <f>IF($S33="",0,IF($AA33&gt;0,$AB33*SUMIF(⑳商品別1食労務費!$C$5:$C$124,$S33,⑳商品別1食労務費!$F$5:$F$124)/$AA33,$AB33/$X33))</f>
        <v/>
      </c>
      <c r="AF33" s="413">
        <f>IF($T33="",0,IF($AA33&gt;0,$AB33*SUMIF(⑳商品別1食労務費!$C$5:$C$124,$T33,⑳商品別1食労務費!$F$5:$F$124)/$AA33,$AB33/$X33))</f>
        <v/>
      </c>
      <c r="AG33" s="413">
        <f>IF($U33="",0,IF($AA33&gt;0,$AB33*SUMIF(⑳商品別1食労務費!$C$5:$C$124,$U33,⑳商品別1食労務費!$F$5:$F$124)/$AA33,$AB33/$X33))</f>
        <v/>
      </c>
      <c r="AH33" s="413">
        <f>IF($V33="",0,IF($AA33&gt;0,$AB33*SUMIF(⑳商品別1食労務費!$C$5:$C$124,$V33,⑳商品別1食労務費!$F$5:$F$124)/$AA33,$AB33/$X33))</f>
        <v/>
      </c>
      <c r="AI33" s="413">
        <f>IF($W33="",0,IF($AA33&gt;0,$AB33*SUMIF(⑳商品別1食労務費!$C$5:$C$124,$W33,⑳商品別1食労務費!$F$5:$F$124)/$AA33,$AB33/$X33))</f>
        <v/>
      </c>
    </row>
    <row r="34" ht="16" customHeight="1" s="438">
      <c r="A34" s="243" t="n">
        <v>29</v>
      </c>
      <c r="B34" s="243" t="inlineStr">
        <is>
          <t>ミキサー</t>
        </is>
      </c>
      <c r="C34" s="243" t="inlineStr">
        <is>
          <t>ホテルロール</t>
        </is>
      </c>
      <c r="D34" s="412" t="n">
        <v>0.3055555555555556</v>
      </c>
      <c r="E34" s="412" t="n">
        <v>0.3194444444444444</v>
      </c>
      <c r="F34" s="243">
        <f>IF(OR(D34="",E34=""),"",(E34-D34)*1440)</f>
        <v/>
      </c>
      <c r="G34" s="243" t="n">
        <v>20</v>
      </c>
      <c r="H34" s="243" t="n">
        <v>2</v>
      </c>
      <c r="I34" s="243" t="n">
        <v>640</v>
      </c>
      <c r="J34" s="243" t="n"/>
      <c r="K34" s="243">
        <f>IF(AND(I34&gt;0,ISNUMBER(F34)),I34/(F34/60),"")</f>
        <v/>
      </c>
      <c r="L34" s="243">
        <f>IF(AND(J34&gt;0,ISNUMBER(F34)),J34/(F34/60),"")</f>
        <v/>
      </c>
      <c r="M34" s="243">
        <f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243">
        <f>IF(AND(I34&gt;0,ISNUMBER(M34)),M34/I34,"")</f>
        <v/>
      </c>
      <c r="O34" s="243">
        <f>IF(AND(J34&gt;0,ISNUMBER(M34)),M34/J34,"")</f>
        <v/>
      </c>
      <c r="P34" s="243" t="n"/>
      <c r="Q34" s="243" t="n"/>
      <c r="R34" s="340" t="inlineStr">
        <is>
          <t>ふわもちホテルロール３個</t>
        </is>
      </c>
      <c r="S34" s="340" t="inlineStr">
        <is>
          <t>ふわもちホテルロール８個入</t>
        </is>
      </c>
      <c r="T34" s="340" t="inlineStr">
        <is>
          <t>ふわもちホテルロール１６個</t>
        </is>
      </c>
      <c r="U34" s="340" t="inlineStr">
        <is>
          <t>Ｓふわもちホテルロール８個</t>
        </is>
      </c>
      <c r="V34" s="340" t="inlineStr">
        <is>
          <t>Ｓふわもちホテルロール１６</t>
        </is>
      </c>
      <c r="W34" s="340" t="inlineStr">
        <is>
          <t>ホテルロールＫＩＴ　４０個</t>
        </is>
      </c>
      <c r="X34">
        <f>COUNTA(R34:W34)</f>
        <v/>
      </c>
      <c r="Y34">
        <f>IF(AND($X34&gt;0,ISNUMBER($M34)),$M34/$X34,"")</f>
        <v/>
      </c>
      <c r="Z34">
        <f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>
        <f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/>
      </c>
      <c r="AB34">
        <f>IF(ISNUMBER($M34),$M34,0)</f>
        <v/>
      </c>
      <c r="AD34" s="413">
        <f>IF($R34="",0,IF($AA34&gt;0,$AB34*SUMIF(⑳商品別1食労務費!$C$5:$C$124,$R34,⑳商品別1食労務費!$F$5:$F$124)/$AA34,$AB34/$X34))</f>
        <v/>
      </c>
      <c r="AE34" s="413">
        <f>IF($S34="",0,IF($AA34&gt;0,$AB34*SUMIF(⑳商品別1食労務費!$C$5:$C$124,$S34,⑳商品別1食労務費!$F$5:$F$124)/$AA34,$AB34/$X34))</f>
        <v/>
      </c>
      <c r="AF34" s="413">
        <f>IF($T34="",0,IF($AA34&gt;0,$AB34*SUMIF(⑳商品別1食労務費!$C$5:$C$124,$T34,⑳商品別1食労務費!$F$5:$F$124)/$AA34,$AB34/$X34))</f>
        <v/>
      </c>
      <c r="AG34" s="413">
        <f>IF($U34="",0,IF($AA34&gt;0,$AB34*SUMIF(⑳商品別1食労務費!$C$5:$C$124,$U34,⑳商品別1食労務費!$F$5:$F$124)/$AA34,$AB34/$X34))</f>
        <v/>
      </c>
      <c r="AH34" s="413">
        <f>IF($V34="",0,IF($AA34&gt;0,$AB34*SUMIF(⑳商品別1食労務費!$C$5:$C$124,$V34,⑳商品別1食労務費!$F$5:$F$124)/$AA34,$AB34/$X34))</f>
        <v/>
      </c>
      <c r="AI34" s="413">
        <f>IF($W34="",0,IF($AA34&gt;0,$AB34*SUMIF(⑳商品別1食労務費!$C$5:$C$124,$W34,⑳商品別1食労務費!$F$5:$F$124)/$AA34,$AB34/$X34))</f>
        <v/>
      </c>
    </row>
    <row r="35" ht="16" customHeight="1" s="438">
      <c r="A35" s="243" t="n">
        <v>30</v>
      </c>
      <c r="B35" s="243" t="inlineStr">
        <is>
          <t>ミキサー</t>
        </is>
      </c>
      <c r="C35" s="243" t="inlineStr">
        <is>
          <t>ホテルロール</t>
        </is>
      </c>
      <c r="D35" s="412" t="n">
        <v>0.3194444444444444</v>
      </c>
      <c r="E35" s="412" t="n">
        <v>0.3333333333333333</v>
      </c>
      <c r="F35" s="243">
        <f>IF(OR(D35="",E35=""),"",(E35-D35)*1440)</f>
        <v/>
      </c>
      <c r="G35" s="243" t="n">
        <v>20</v>
      </c>
      <c r="H35" s="243" t="n">
        <v>2</v>
      </c>
      <c r="I35" s="243" t="n">
        <v>640</v>
      </c>
      <c r="J35" s="243" t="n"/>
      <c r="K35" s="243">
        <f>IF(AND(I35&gt;0,ISNUMBER(F35)),I35/(F35/60),"")</f>
        <v/>
      </c>
      <c r="L35" s="243">
        <f>IF(AND(J35&gt;0,ISNUMBER(F35)),J35/(F35/60),"")</f>
        <v/>
      </c>
      <c r="M35" s="243">
        <f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243">
        <f>IF(AND(I35&gt;0,ISNUMBER(M35)),M35/I35,"")</f>
        <v/>
      </c>
      <c r="O35" s="243">
        <f>IF(AND(J35&gt;0,ISNUMBER(M35)),M35/J35,"")</f>
        <v/>
      </c>
      <c r="P35" s="243" t="n"/>
      <c r="Q35" s="243" t="n"/>
      <c r="R35" s="340" t="inlineStr">
        <is>
          <t>ふわもちホテルロール３個</t>
        </is>
      </c>
      <c r="S35" s="340" t="inlineStr">
        <is>
          <t>ふわもちホテルロール８個入</t>
        </is>
      </c>
      <c r="T35" s="340" t="inlineStr">
        <is>
          <t>ふわもちホテルロール１６個</t>
        </is>
      </c>
      <c r="U35" s="340" t="inlineStr">
        <is>
          <t>Ｓふわもちホテルロール８個</t>
        </is>
      </c>
      <c r="V35" s="340" t="inlineStr">
        <is>
          <t>Ｓふわもちホテルロール１６</t>
        </is>
      </c>
      <c r="W35" s="340" t="inlineStr">
        <is>
          <t>ホテルロールＫＩＴ　４０個</t>
        </is>
      </c>
      <c r="X35">
        <f>COUNTA(R35:W35)</f>
        <v/>
      </c>
      <c r="Y35">
        <f>IF(AND($X35&gt;0,ISNUMBER($M35)),$M35/$X35,"")</f>
        <v/>
      </c>
      <c r="Z35">
        <f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>
        <f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/>
      </c>
      <c r="AB35">
        <f>IF(ISNUMBER($M35),$M35,0)</f>
        <v/>
      </c>
      <c r="AD35" s="413">
        <f>IF($R35="",0,IF($AA35&gt;0,$AB35*SUMIF(⑳商品別1食労務費!$C$5:$C$124,$R35,⑳商品別1食労務費!$F$5:$F$124)/$AA35,$AB35/$X35))</f>
        <v/>
      </c>
      <c r="AE35" s="413">
        <f>IF($S35="",0,IF($AA35&gt;0,$AB35*SUMIF(⑳商品別1食労務費!$C$5:$C$124,$S35,⑳商品別1食労務費!$F$5:$F$124)/$AA35,$AB35/$X35))</f>
        <v/>
      </c>
      <c r="AF35" s="413">
        <f>IF($T35="",0,IF($AA35&gt;0,$AB35*SUMIF(⑳商品別1食労務費!$C$5:$C$124,$T35,⑳商品別1食労務費!$F$5:$F$124)/$AA35,$AB35/$X35))</f>
        <v/>
      </c>
      <c r="AG35" s="413">
        <f>IF($U35="",0,IF($AA35&gt;0,$AB35*SUMIF(⑳商品別1食労務費!$C$5:$C$124,$U35,⑳商品別1食労務費!$F$5:$F$124)/$AA35,$AB35/$X35))</f>
        <v/>
      </c>
      <c r="AH35" s="413">
        <f>IF($V35="",0,IF($AA35&gt;0,$AB35*SUMIF(⑳商品別1食労務費!$C$5:$C$124,$V35,⑳商品別1食労務費!$F$5:$F$124)/$AA35,$AB35/$X35))</f>
        <v/>
      </c>
      <c r="AI35" s="413">
        <f>IF($W35="",0,IF($AA35&gt;0,$AB35*SUMIF(⑳商品別1食労務費!$C$5:$C$124,$W35,⑳商品別1食労務費!$F$5:$F$124)/$AA35,$AB35/$X35))</f>
        <v/>
      </c>
    </row>
    <row r="36" ht="16" customHeight="1" s="438">
      <c r="A36" s="243" t="n"/>
      <c r="B36" s="243" t="inlineStr">
        <is>
          <t>ミキサー</t>
        </is>
      </c>
      <c r="C36" s="340" t="inlineStr">
        <is>
          <t>ホテルロール</t>
        </is>
      </c>
      <c r="D36" s="339" t="n">
        <v>0.3333333333333333</v>
      </c>
      <c r="E36" s="339" t="n">
        <v>0.3472222222222222</v>
      </c>
      <c r="F36" s="243">
        <f>IF(OR(D36="",E36=""),"",(E36-D36)*1440)</f>
        <v/>
      </c>
      <c r="G36" s="243" t="n">
        <v>20</v>
      </c>
      <c r="H36" s="243" t="n">
        <v>2</v>
      </c>
      <c r="I36" s="243" t="n">
        <v>640</v>
      </c>
      <c r="J36" s="243" t="n"/>
      <c r="K36" s="243">
        <f>IF(AND(I36&gt;0,ISNUMBER(F36)),I36/(F36/60),"")</f>
        <v/>
      </c>
      <c r="L36" s="243">
        <f>IF(AND(J36&gt;0,ISNUMBER(F36)),J36/(F36/60),"")</f>
        <v/>
      </c>
      <c r="M36" s="243">
        <f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243">
        <f>IF(AND(I36&gt;0,ISNUMBER(M36)),M36/I36,"")</f>
        <v/>
      </c>
      <c r="O36" s="243">
        <f>IF(AND(J36&gt;0,ISNUMBER(M36)),M36/J36,"")</f>
        <v/>
      </c>
      <c r="P36" s="243" t="n"/>
      <c r="Q36" s="243" t="n"/>
      <c r="R36" s="340" t="inlineStr">
        <is>
          <t>ふわもちホテルロール３個</t>
        </is>
      </c>
      <c r="S36" s="340" t="inlineStr">
        <is>
          <t>ふわもちホテルロール８個入</t>
        </is>
      </c>
      <c r="T36" s="340" t="inlineStr">
        <is>
          <t>ふわもちホテルロール１６個</t>
        </is>
      </c>
      <c r="U36" s="340" t="inlineStr">
        <is>
          <t>Ｓふわもちホテルロール８個</t>
        </is>
      </c>
      <c r="V36" s="340" t="inlineStr">
        <is>
          <t>Ｓふわもちホテルロール１６</t>
        </is>
      </c>
      <c r="W36" s="340" t="inlineStr">
        <is>
          <t>ホテルロールＫＩＴ　４０個</t>
        </is>
      </c>
      <c r="X36">
        <f>COUNTA(R36:W36)</f>
        <v/>
      </c>
      <c r="Y36">
        <f>IF(AND($X36&gt;0,ISNUMBER($M36)),$M36/$X36,"")</f>
        <v/>
      </c>
      <c r="Z36">
        <f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/>
      </c>
      <c r="AA36">
        <f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/>
      </c>
      <c r="AB36">
        <f>IF(ISNUMBER($M36),$M36,0)</f>
        <v/>
      </c>
      <c r="AD36" s="413">
        <f>IF($R36="",0,IF($AA36&gt;0,$AB36*SUMIF(⑳商品別1食労務費!$C$5:$C$124,$R36,⑳商品別1食労務費!$F$5:$F$124)/$AA36,$AB36/$X36))</f>
        <v/>
      </c>
      <c r="AE36" s="413">
        <f>IF($S36="",0,IF($AA36&gt;0,$AB36*SUMIF(⑳商品別1食労務費!$C$5:$C$124,$S36,⑳商品別1食労務費!$F$5:$F$124)/$AA36,$AB36/$X36))</f>
        <v/>
      </c>
      <c r="AF36" s="413">
        <f>IF($T36="",0,IF($AA36&gt;0,$AB36*SUMIF(⑳商品別1食労務費!$C$5:$C$124,$T36,⑳商品別1食労務費!$F$5:$F$124)/$AA36,$AB36/$X36))</f>
        <v/>
      </c>
      <c r="AG36" s="413">
        <f>IF($U36="",0,IF($AA36&gt;0,$AB36*SUMIF(⑳商品別1食労務費!$C$5:$C$124,$U36,⑳商品別1食労務費!$F$5:$F$124)/$AA36,$AB36/$X36))</f>
        <v/>
      </c>
      <c r="AH36" s="413">
        <f>IF($V36="",0,IF($AA36&gt;0,$AB36*SUMIF(⑳商品別1食労務費!$C$5:$C$124,$V36,⑳商品別1食労務費!$F$5:$F$124)/$AA36,$AB36/$X36))</f>
        <v/>
      </c>
      <c r="AI36" s="413">
        <f>IF($W36="",0,IF($AA36&gt;0,$AB36*SUMIF(⑳商品別1食労務費!$C$5:$C$124,$W36,⑳商品別1食労務費!$F$5:$F$124)/$AA36,$AB36/$X36))</f>
        <v/>
      </c>
    </row>
    <row r="37" ht="16" customHeight="1" s="438">
      <c r="A37" s="243" t="n"/>
      <c r="B37" s="243" t="inlineStr">
        <is>
          <t>ミキサー</t>
        </is>
      </c>
      <c r="C37" s="340" t="inlineStr">
        <is>
          <t>メロン塩パン</t>
        </is>
      </c>
      <c r="D37" s="339" t="n">
        <v>0.3472222222222222</v>
      </c>
      <c r="E37" s="339" t="n">
        <v>0.3645833333333333</v>
      </c>
      <c r="F37" s="243">
        <f>IF(OR(D37="",E37=""),"",(E37-D37)*1440)</f>
        <v/>
      </c>
      <c r="G37" s="243" t="n">
        <v>25</v>
      </c>
      <c r="H37" s="243" t="n">
        <v>2</v>
      </c>
      <c r="I37" s="243" t="n">
        <v>240</v>
      </c>
      <c r="J37" s="243" t="n"/>
      <c r="K37" s="243">
        <f>IF(AND(I37&gt;0,ISNUMBER(F37)),I37/(F37/60),"")</f>
        <v/>
      </c>
      <c r="L37" s="243">
        <f>IF(AND(J37&gt;0,ISNUMBER(F37)),J37/(F37/60),"")</f>
        <v/>
      </c>
      <c r="M37" s="243">
        <f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243">
        <f>IF(AND(I37&gt;0,ISNUMBER(M37)),M37/I37,"")</f>
        <v/>
      </c>
      <c r="O37" s="243">
        <f>IF(AND(J37&gt;0,ISNUMBER(M37)),M37/J37,"")</f>
        <v/>
      </c>
      <c r="P37" s="243" t="n"/>
      <c r="Q37" s="243" t="n"/>
      <c r="R37" s="340" t="inlineStr">
        <is>
          <t>メロン塩パンＫＩＴ</t>
        </is>
      </c>
      <c r="S37" s="340" t="inlineStr">
        <is>
          <t>メロン塩パン２個入</t>
        </is>
      </c>
      <c r="T37" s="340" t="inlineStr">
        <is>
          <t>Ｓメロン塩パン２個入</t>
        </is>
      </c>
      <c r="U37" s="340" t="n"/>
      <c r="V37" s="340" t="n"/>
      <c r="W37" s="340" t="n"/>
      <c r="X37">
        <f>COUNTA(R37:W37)</f>
        <v/>
      </c>
      <c r="Y37">
        <f>IF(AND($X37&gt;0,ISNUMBER($M37)),$M37/$X37,"")</f>
        <v/>
      </c>
      <c r="Z37">
        <f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/>
      </c>
      <c r="AA37">
        <f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/>
      </c>
      <c r="AB37">
        <f>IF(ISNUMBER($M37),$M37,0)</f>
        <v/>
      </c>
      <c r="AD37" s="413">
        <f>IF($R37="",0,IF($AA37&gt;0,$AB37*SUMIF(⑳商品別1食労務費!$C$5:$C$124,$R37,⑳商品別1食労務費!$F$5:$F$124)/$AA37,$AB37/$X37))</f>
        <v/>
      </c>
      <c r="AE37" s="413">
        <f>IF($S37="",0,IF($AA37&gt;0,$AB37*SUMIF(⑳商品別1食労務費!$C$5:$C$124,$S37,⑳商品別1食労務費!$F$5:$F$124)/$AA37,$AB37/$X37))</f>
        <v/>
      </c>
      <c r="AF37" s="413">
        <f>IF($T37="",0,IF($AA37&gt;0,$AB37*SUMIF(⑳商品別1食労務費!$C$5:$C$124,$T37,⑳商品別1食労務費!$F$5:$F$124)/$AA37,$AB37/$X37))</f>
        <v/>
      </c>
      <c r="AG37" s="413">
        <f>IF($U37="",0,IF($AA37&gt;0,$AB37*SUMIF(⑳商品別1食労務費!$C$5:$C$124,$U37,⑳商品別1食労務費!$F$5:$F$124)/$AA37,$AB37/$X37))</f>
        <v/>
      </c>
      <c r="AH37" s="413">
        <f>IF($V37="",0,IF($AA37&gt;0,$AB37*SUMIF(⑳商品別1食労務費!$C$5:$C$124,$V37,⑳商品別1食労務費!$F$5:$F$124)/$AA37,$AB37/$X37))</f>
        <v/>
      </c>
      <c r="AI37" s="413">
        <f>IF($W37="",0,IF($AA37&gt;0,$AB37*SUMIF(⑳商品別1食労務費!$C$5:$C$124,$W37,⑳商品別1食労務費!$F$5:$F$124)/$AA37,$AB37/$X37))</f>
        <v/>
      </c>
    </row>
    <row r="38" ht="16" customHeight="1" s="438">
      <c r="A38" s="243" t="n"/>
      <c r="B38" s="243" t="inlineStr">
        <is>
          <t>ミキサー</t>
        </is>
      </c>
      <c r="C38" s="340" t="inlineStr">
        <is>
          <t>メロン塩パン</t>
        </is>
      </c>
      <c r="D38" s="339" t="n">
        <v>0.3645833333333333</v>
      </c>
      <c r="E38" s="339" t="n">
        <v>0.3819444444444444</v>
      </c>
      <c r="F38" s="243">
        <f>IF(OR(D38="",E38=""),"",(E38-D38)*1440)</f>
        <v/>
      </c>
      <c r="G38" s="243" t="n">
        <v>25</v>
      </c>
      <c r="H38" s="243" t="n">
        <v>2</v>
      </c>
      <c r="I38" s="243" t="n">
        <v>240</v>
      </c>
      <c r="J38" s="243" t="n"/>
      <c r="K38" s="243">
        <f>IF(AND(I38&gt;0,ISNUMBER(F38)),I38/(F38/60),"")</f>
        <v/>
      </c>
      <c r="L38" s="243">
        <f>IF(AND(J38&gt;0,ISNUMBER(F38)),J38/(F38/60),"")</f>
        <v/>
      </c>
      <c r="M38" s="243">
        <f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243">
        <f>IF(AND(I38&gt;0,ISNUMBER(M38)),M38/I38,"")</f>
        <v/>
      </c>
      <c r="O38" s="243">
        <f>IF(AND(J38&gt;0,ISNUMBER(M38)),M38/J38,"")</f>
        <v/>
      </c>
      <c r="P38" s="243" t="n"/>
      <c r="Q38" s="243" t="n"/>
      <c r="R38" s="340" t="inlineStr">
        <is>
          <t>メロン塩パンＫＩＴ</t>
        </is>
      </c>
      <c r="S38" s="340" t="inlineStr">
        <is>
          <t>メロン塩パン２個入</t>
        </is>
      </c>
      <c r="T38" s="340" t="inlineStr">
        <is>
          <t>Ｓメロン塩パン２個入</t>
        </is>
      </c>
      <c r="U38" s="340" t="n"/>
      <c r="V38" s="340" t="n"/>
      <c r="W38" s="340" t="n"/>
      <c r="X38">
        <f>COUNTA(R38:W38)</f>
        <v/>
      </c>
      <c r="Y38">
        <f>IF(AND($X38&gt;0,ISNUMBER($M38)),$M38/$X38,"")</f>
        <v/>
      </c>
      <c r="Z38">
        <f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/>
      </c>
      <c r="AA38">
        <f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/>
      </c>
      <c r="AB38">
        <f>IF(ISNUMBER($M38),$M38,0)</f>
        <v/>
      </c>
      <c r="AD38" s="413">
        <f>IF($R38="",0,IF($AA38&gt;0,$AB38*SUMIF(⑳商品別1食労務費!$C$5:$C$124,$R38,⑳商品別1食労務費!$F$5:$F$124)/$AA38,$AB38/$X38))</f>
        <v/>
      </c>
      <c r="AE38" s="413">
        <f>IF($S38="",0,IF($AA38&gt;0,$AB38*SUMIF(⑳商品別1食労務費!$C$5:$C$124,$S38,⑳商品別1食労務費!$F$5:$F$124)/$AA38,$AB38/$X38))</f>
        <v/>
      </c>
      <c r="AF38" s="413">
        <f>IF($T38="",0,IF($AA38&gt;0,$AB38*SUMIF(⑳商品別1食労務費!$C$5:$C$124,$T38,⑳商品別1食労務費!$F$5:$F$124)/$AA38,$AB38/$X38))</f>
        <v/>
      </c>
      <c r="AG38" s="413">
        <f>IF($U38="",0,IF($AA38&gt;0,$AB38*SUMIF(⑳商品別1食労務費!$C$5:$C$124,$U38,⑳商品別1食労務費!$F$5:$F$124)/$AA38,$AB38/$X38))</f>
        <v/>
      </c>
      <c r="AH38" s="413">
        <f>IF($V38="",0,IF($AA38&gt;0,$AB38*SUMIF(⑳商品別1食労務費!$C$5:$C$124,$V38,⑳商品別1食労務費!$F$5:$F$124)/$AA38,$AB38/$X38))</f>
        <v/>
      </c>
      <c r="AI38" s="413">
        <f>IF($W38="",0,IF($AA38&gt;0,$AB38*SUMIF(⑳商品別1食労務費!$C$5:$C$124,$W38,⑳商品別1食労務費!$F$5:$F$124)/$AA38,$AB38/$X38))</f>
        <v/>
      </c>
    </row>
    <row r="39" ht="16" customHeight="1" s="438">
      <c r="A39" s="243" t="n"/>
      <c r="B39" s="243" t="inlineStr">
        <is>
          <t>ミキサー</t>
        </is>
      </c>
      <c r="C39" s="340" t="inlineStr">
        <is>
          <t>メロン塩パン</t>
        </is>
      </c>
      <c r="D39" s="339" t="n">
        <v>0.3819444444444444</v>
      </c>
      <c r="E39" s="339" t="n">
        <v>0.3993055555555556</v>
      </c>
      <c r="F39" s="243">
        <f>IF(OR(D39="",E39=""),"",(E39-D39)*1440)</f>
        <v/>
      </c>
      <c r="G39" s="243" t="n">
        <v>25</v>
      </c>
      <c r="H39" s="243" t="n">
        <v>2</v>
      </c>
      <c r="I39" s="243" t="n">
        <v>240</v>
      </c>
      <c r="J39" s="243" t="n"/>
      <c r="K39" s="243">
        <f>IF(AND(I39&gt;0,ISNUMBER(F39)),I39/(F39/60),"")</f>
        <v/>
      </c>
      <c r="L39" s="243">
        <f>IF(AND(J39&gt;0,ISNUMBER(F39)),J39/(F39/60),"")</f>
        <v/>
      </c>
      <c r="M39" s="243">
        <f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243">
        <f>IF(AND(I39&gt;0,ISNUMBER(M39)),M39/I39,"")</f>
        <v/>
      </c>
      <c r="O39" s="243">
        <f>IF(AND(J39&gt;0,ISNUMBER(M39)),M39/J39,"")</f>
        <v/>
      </c>
      <c r="P39" s="243" t="n"/>
      <c r="Q39" s="243" t="n"/>
      <c r="R39" s="340" t="inlineStr">
        <is>
          <t>メロン塩パンＫＩＴ</t>
        </is>
      </c>
      <c r="S39" s="340" t="inlineStr">
        <is>
          <t>メロン塩パン２個入</t>
        </is>
      </c>
      <c r="T39" s="340" t="inlineStr">
        <is>
          <t>Ｓメロン塩パン２個入</t>
        </is>
      </c>
      <c r="U39" s="340" t="n"/>
      <c r="V39" s="340" t="n"/>
      <c r="W39" s="340" t="n"/>
      <c r="X39">
        <f>COUNTA(R39:W39)</f>
        <v/>
      </c>
      <c r="Y39">
        <f>IF(AND($X39&gt;0,ISNUMBER($M39)),$M39/$X39,"")</f>
        <v/>
      </c>
      <c r="Z39">
        <f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/>
      </c>
      <c r="AA39">
        <f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/>
      </c>
      <c r="AB39">
        <f>IF(ISNUMBER($M39),$M39,0)</f>
        <v/>
      </c>
      <c r="AD39" s="413">
        <f>IF($R39="",0,IF($AA39&gt;0,$AB39*SUMIF(⑳商品別1食労務費!$C$5:$C$124,$R39,⑳商品別1食労務費!$F$5:$F$124)/$AA39,$AB39/$X39))</f>
        <v/>
      </c>
      <c r="AE39" s="413">
        <f>IF($S39="",0,IF($AA39&gt;0,$AB39*SUMIF(⑳商品別1食労務費!$C$5:$C$124,$S39,⑳商品別1食労務費!$F$5:$F$124)/$AA39,$AB39/$X39))</f>
        <v/>
      </c>
      <c r="AF39" s="413">
        <f>IF($T39="",0,IF($AA39&gt;0,$AB39*SUMIF(⑳商品別1食労務費!$C$5:$C$124,$T39,⑳商品別1食労務費!$F$5:$F$124)/$AA39,$AB39/$X39))</f>
        <v/>
      </c>
      <c r="AG39" s="413">
        <f>IF($U39="",0,IF($AA39&gt;0,$AB39*SUMIF(⑳商品別1食労務費!$C$5:$C$124,$U39,⑳商品別1食労務費!$F$5:$F$124)/$AA39,$AB39/$X39))</f>
        <v/>
      </c>
      <c r="AH39" s="413">
        <f>IF($V39="",0,IF($AA39&gt;0,$AB39*SUMIF(⑳商品別1食労務費!$C$5:$C$124,$V39,⑳商品別1食労務費!$F$5:$F$124)/$AA39,$AB39/$X39))</f>
        <v/>
      </c>
      <c r="AI39" s="413">
        <f>IF($W39="",0,IF($AA39&gt;0,$AB39*SUMIF(⑳商品別1食労務費!$C$5:$C$124,$W39,⑳商品別1食労務費!$F$5:$F$124)/$AA39,$AB39/$X39))</f>
        <v/>
      </c>
    </row>
    <row r="40" ht="16" customHeight="1" s="438">
      <c r="A40" s="243" t="n"/>
      <c r="B40" s="243" t="inlineStr">
        <is>
          <t>ミキサー</t>
        </is>
      </c>
      <c r="C40" s="340" t="inlineStr">
        <is>
          <t>メロン塩パン</t>
        </is>
      </c>
      <c r="D40" s="339" t="n">
        <v>0.3993055555555556</v>
      </c>
      <c r="E40" s="339" t="n">
        <v>0.4166666666666667</v>
      </c>
      <c r="F40" s="243">
        <f>IF(OR(D40="",E40=""),"",(E40-D40)*1440)</f>
        <v/>
      </c>
      <c r="G40" s="243" t="n">
        <v>25</v>
      </c>
      <c r="H40" s="243" t="n">
        <v>2</v>
      </c>
      <c r="I40" s="243" t="n">
        <v>240</v>
      </c>
      <c r="J40" s="243" t="n"/>
      <c r="K40" s="243">
        <f>IF(AND(I40&gt;0,ISNUMBER(F40)),I40/(F40/60),"")</f>
        <v/>
      </c>
      <c r="L40" s="243">
        <f>IF(AND(J40&gt;0,ISNUMBER(F40)),J40/(F40/60),"")</f>
        <v/>
      </c>
      <c r="M40" s="243">
        <f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243">
        <f>IF(AND(I40&gt;0,ISNUMBER(M40)),M40/I40,"")</f>
        <v/>
      </c>
      <c r="O40" s="243">
        <f>IF(AND(J40&gt;0,ISNUMBER(M40)),M40/J40,"")</f>
        <v/>
      </c>
      <c r="P40" s="243" t="n"/>
      <c r="Q40" s="243" t="n"/>
      <c r="R40" s="340" t="inlineStr">
        <is>
          <t>メロン塩パンＫＩＴ</t>
        </is>
      </c>
      <c r="S40" s="340" t="inlineStr">
        <is>
          <t>メロン塩パン２個入</t>
        </is>
      </c>
      <c r="T40" s="340" t="inlineStr">
        <is>
          <t>Ｓメロン塩パン２個入</t>
        </is>
      </c>
      <c r="U40" s="340" t="n"/>
      <c r="V40" s="340" t="n"/>
      <c r="W40" s="340" t="n"/>
      <c r="X40">
        <f>COUNTA(R40:W40)</f>
        <v/>
      </c>
      <c r="Y40">
        <f>IF(AND($X40&gt;0,ISNUMBER($M40)),$M40/$X40,"")</f>
        <v/>
      </c>
      <c r="Z40">
        <f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/>
      </c>
      <c r="AA40">
        <f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/>
      </c>
      <c r="AB40">
        <f>IF(ISNUMBER($M40),$M40,0)</f>
        <v/>
      </c>
      <c r="AD40" s="413">
        <f>IF($R40="",0,IF($AA40&gt;0,$AB40*SUMIF(⑳商品別1食労務費!$C$5:$C$124,$R40,⑳商品別1食労務費!$F$5:$F$124)/$AA40,$AB40/$X40))</f>
        <v/>
      </c>
      <c r="AE40" s="413">
        <f>IF($S40="",0,IF($AA40&gt;0,$AB40*SUMIF(⑳商品別1食労務費!$C$5:$C$124,$S40,⑳商品別1食労務費!$F$5:$F$124)/$AA40,$AB40/$X40))</f>
        <v/>
      </c>
      <c r="AF40" s="413">
        <f>IF($T40="",0,IF($AA40&gt;0,$AB40*SUMIF(⑳商品別1食労務費!$C$5:$C$124,$T40,⑳商品別1食労務費!$F$5:$F$124)/$AA40,$AB40/$X40))</f>
        <v/>
      </c>
      <c r="AG40" s="413">
        <f>IF($U40="",0,IF($AA40&gt;0,$AB40*SUMIF(⑳商品別1食労務費!$C$5:$C$124,$U40,⑳商品別1食労務費!$F$5:$F$124)/$AA40,$AB40/$X40))</f>
        <v/>
      </c>
      <c r="AH40" s="413">
        <f>IF($V40="",0,IF($AA40&gt;0,$AB40*SUMIF(⑳商品別1食労務費!$C$5:$C$124,$V40,⑳商品別1食労務費!$F$5:$F$124)/$AA40,$AB40/$X40))</f>
        <v/>
      </c>
      <c r="AI40" s="413">
        <f>IF($W40="",0,IF($AA40&gt;0,$AB40*SUMIF(⑳商品別1食労務費!$C$5:$C$124,$W40,⑳商品別1食労務費!$F$5:$F$124)/$AA40,$AB40/$X40))</f>
        <v/>
      </c>
    </row>
    <row r="41" ht="16" customHeight="1" s="438">
      <c r="A41" s="243" t="n"/>
      <c r="B41" s="243" t="inlineStr">
        <is>
          <t>ミキサー</t>
        </is>
      </c>
      <c r="C41" s="340" t="inlineStr">
        <is>
          <t>塩パン</t>
        </is>
      </c>
      <c r="D41" s="339" t="n">
        <v>0.4166666666666667</v>
      </c>
      <c r="E41" s="339" t="n">
        <v>0.4340277777777778</v>
      </c>
      <c r="F41" s="243">
        <f>IF(OR(D41="",E41=""),"",(E41-D41)*1440)</f>
        <v/>
      </c>
      <c r="G41" s="243" t="n">
        <v>25</v>
      </c>
      <c r="H41" s="243" t="n">
        <v>2</v>
      </c>
      <c r="I41" s="243" t="n">
        <v>300</v>
      </c>
      <c r="J41" s="243" t="n"/>
      <c r="K41" s="243">
        <f>IF(AND(I41&gt;0,ISNUMBER(F41)),I41/(F41/60),"")</f>
        <v/>
      </c>
      <c r="L41" s="243">
        <f>IF(AND(J41&gt;0,ISNUMBER(F41)),J41/(F41/60),"")</f>
        <v/>
      </c>
      <c r="M41" s="243">
        <f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243">
        <f>IF(AND(I41&gt;0,ISNUMBER(M41)),M41/I41,"")</f>
        <v/>
      </c>
      <c r="O41" s="243">
        <f>IF(AND(J41&gt;0,ISNUMBER(M41)),M41/J41,"")</f>
        <v/>
      </c>
      <c r="P41" s="243" t="n"/>
      <c r="Q41" s="243" t="n"/>
      <c r="R41" s="340" t="inlineStr">
        <is>
          <t>塩パン２個</t>
        </is>
      </c>
      <c r="S41" s="340" t="inlineStr">
        <is>
          <t>塩パンＫＩＴ</t>
        </is>
      </c>
      <c r="T41" s="340" t="inlineStr">
        <is>
          <t>メロン塩パン２個入</t>
        </is>
      </c>
      <c r="U41" s="340" t="inlineStr">
        <is>
          <t>Ｓメロン塩パン２個入</t>
        </is>
      </c>
      <c r="V41" s="340" t="inlineStr">
        <is>
          <t>メロン塩パンＫＩＴ</t>
        </is>
      </c>
      <c r="W41" s="340" t="inlineStr">
        <is>
          <t>チーズ塩パン２個</t>
        </is>
      </c>
      <c r="X41">
        <f>COUNTA(R41:W41)</f>
        <v/>
      </c>
      <c r="Y41">
        <f>IF(AND($X41&gt;0,ISNUMBER($M41)),$M41/$X41,"")</f>
        <v/>
      </c>
      <c r="Z41">
        <f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/>
      </c>
      <c r="AA41">
        <f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/>
      </c>
      <c r="AB41">
        <f>IF(ISNUMBER($M41),$M41,0)</f>
        <v/>
      </c>
      <c r="AD41" s="413">
        <f>IF($R41="",0,IF($AA41&gt;0,$AB41*SUMIF(⑳商品別1食労務費!$C$5:$C$124,$R41,⑳商品別1食労務費!$F$5:$F$124)/$AA41,$AB41/$X41))</f>
        <v/>
      </c>
      <c r="AE41" s="413">
        <f>IF($S41="",0,IF($AA41&gt;0,$AB41*SUMIF(⑳商品別1食労務費!$C$5:$C$124,$S41,⑳商品別1食労務費!$F$5:$F$124)/$AA41,$AB41/$X41))</f>
        <v/>
      </c>
      <c r="AF41" s="413">
        <f>IF($T41="",0,IF($AA41&gt;0,$AB41*SUMIF(⑳商品別1食労務費!$C$5:$C$124,$T41,⑳商品別1食労務費!$F$5:$F$124)/$AA41,$AB41/$X41))</f>
        <v/>
      </c>
      <c r="AG41" s="413">
        <f>IF($U41="",0,IF($AA41&gt;0,$AB41*SUMIF(⑳商品別1食労務費!$C$5:$C$124,$U41,⑳商品別1食労務費!$F$5:$F$124)/$AA41,$AB41/$X41))</f>
        <v/>
      </c>
      <c r="AH41" s="413">
        <f>IF($V41="",0,IF($AA41&gt;0,$AB41*SUMIF(⑳商品別1食労務費!$C$5:$C$124,$V41,⑳商品別1食労務費!$F$5:$F$124)/$AA41,$AB41/$X41))</f>
        <v/>
      </c>
      <c r="AI41" s="413">
        <f>IF($W41="",0,IF($AA41&gt;0,$AB41*SUMIF(⑳商品別1食労務費!$C$5:$C$124,$W41,⑳商品別1食労務費!$F$5:$F$124)/$AA41,$AB41/$X41))</f>
        <v/>
      </c>
    </row>
    <row r="42" ht="16" customHeight="1" s="438">
      <c r="A42" s="243" t="n"/>
      <c r="B42" s="243" t="inlineStr">
        <is>
          <t>ミキサー</t>
        </is>
      </c>
      <c r="C42" s="340" t="inlineStr">
        <is>
          <t>塩パン</t>
        </is>
      </c>
      <c r="D42" s="339" t="n">
        <v>0.4340277777777778</v>
      </c>
      <c r="E42" s="339" t="n">
        <v>0.4513888888888889</v>
      </c>
      <c r="F42" s="243">
        <f>IF(OR(D42="",E42=""),"",(E42-D42)*1440)</f>
        <v/>
      </c>
      <c r="G42" s="243" t="n">
        <v>25</v>
      </c>
      <c r="H42" s="243" t="n">
        <v>2</v>
      </c>
      <c r="I42" s="243" t="n">
        <v>300</v>
      </c>
      <c r="J42" s="243" t="n"/>
      <c r="K42" s="243">
        <f>IF(AND(I42&gt;0,ISNUMBER(F42)),I42/(F42/60),"")</f>
        <v/>
      </c>
      <c r="L42" s="243">
        <f>IF(AND(J42&gt;0,ISNUMBER(F42)),J42/(F42/60),"")</f>
        <v/>
      </c>
      <c r="M42" s="243">
        <f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243">
        <f>IF(AND(I42&gt;0,ISNUMBER(M42)),M42/I42,"")</f>
        <v/>
      </c>
      <c r="O42" s="243">
        <f>IF(AND(J42&gt;0,ISNUMBER(M42)),M42/J42,"")</f>
        <v/>
      </c>
      <c r="P42" s="243" t="n"/>
      <c r="Q42" s="243" t="n"/>
      <c r="R42" s="340" t="inlineStr">
        <is>
          <t>塩パン２個</t>
        </is>
      </c>
      <c r="S42" s="340" t="inlineStr">
        <is>
          <t>塩パンＫＩＴ</t>
        </is>
      </c>
      <c r="T42" s="340" t="inlineStr">
        <is>
          <t>メロン塩パン２個入</t>
        </is>
      </c>
      <c r="U42" s="340" t="inlineStr">
        <is>
          <t>Ｓメロン塩パン２個入</t>
        </is>
      </c>
      <c r="V42" s="340" t="inlineStr">
        <is>
          <t>メロン塩パンＫＩＴ</t>
        </is>
      </c>
      <c r="W42" s="340" t="inlineStr">
        <is>
          <t>チーズ塩パン２個</t>
        </is>
      </c>
      <c r="X42">
        <f>COUNTA(R42:W42)</f>
        <v/>
      </c>
      <c r="Y42">
        <f>IF(AND($X42&gt;0,ISNUMBER($M42)),$M42/$X42,"")</f>
        <v/>
      </c>
      <c r="Z42">
        <f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/>
      </c>
      <c r="AA42">
        <f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/>
      </c>
      <c r="AB42">
        <f>IF(ISNUMBER($M42),$M42,0)</f>
        <v/>
      </c>
      <c r="AD42" s="413">
        <f>IF($R42="",0,IF($AA42&gt;0,$AB42*SUMIF(⑳商品別1食労務費!$C$5:$C$124,$R42,⑳商品別1食労務費!$F$5:$F$124)/$AA42,$AB42/$X42))</f>
        <v/>
      </c>
      <c r="AE42" s="413">
        <f>IF($S42="",0,IF($AA42&gt;0,$AB42*SUMIF(⑳商品別1食労務費!$C$5:$C$124,$S42,⑳商品別1食労務費!$F$5:$F$124)/$AA42,$AB42/$X42))</f>
        <v/>
      </c>
      <c r="AF42" s="413">
        <f>IF($T42="",0,IF($AA42&gt;0,$AB42*SUMIF(⑳商品別1食労務費!$C$5:$C$124,$T42,⑳商品別1食労務費!$F$5:$F$124)/$AA42,$AB42/$X42))</f>
        <v/>
      </c>
      <c r="AG42" s="413">
        <f>IF($U42="",0,IF($AA42&gt;0,$AB42*SUMIF(⑳商品別1食労務費!$C$5:$C$124,$U42,⑳商品別1食労務費!$F$5:$F$124)/$AA42,$AB42/$X42))</f>
        <v/>
      </c>
      <c r="AH42" s="413">
        <f>IF($V42="",0,IF($AA42&gt;0,$AB42*SUMIF(⑳商品別1食労務費!$C$5:$C$124,$V42,⑳商品別1食労務費!$F$5:$F$124)/$AA42,$AB42/$X42))</f>
        <v/>
      </c>
      <c r="AI42" s="413">
        <f>IF($W42="",0,IF($AA42&gt;0,$AB42*SUMIF(⑳商品別1食労務費!$C$5:$C$124,$W42,⑳商品別1食労務費!$F$5:$F$124)/$AA42,$AB42/$X42))</f>
        <v/>
      </c>
    </row>
    <row r="43" ht="16" customHeight="1" s="438">
      <c r="A43" s="243" t="n"/>
      <c r="B43" s="243" t="inlineStr">
        <is>
          <t>ミキサー</t>
        </is>
      </c>
      <c r="C43" s="340" t="inlineStr">
        <is>
          <t>塩パン</t>
        </is>
      </c>
      <c r="D43" s="339" t="n">
        <v>0.4513888888888889</v>
      </c>
      <c r="E43" s="339" t="n">
        <v>0.46875</v>
      </c>
      <c r="F43" s="243">
        <f>IF(OR(D43="",E43=""),"",(E43-D43)*1440)</f>
        <v/>
      </c>
      <c r="G43" s="243" t="n">
        <v>25</v>
      </c>
      <c r="H43" s="243" t="n">
        <v>2</v>
      </c>
      <c r="I43" s="243" t="n">
        <v>300</v>
      </c>
      <c r="J43" s="243" t="n"/>
      <c r="K43" s="243">
        <f>IF(AND(I43&gt;0,ISNUMBER(F43)),I43/(F43/60),"")</f>
        <v/>
      </c>
      <c r="L43" s="243">
        <f>IF(AND(J43&gt;0,ISNUMBER(F43)),J43/(F43/60),"")</f>
        <v/>
      </c>
      <c r="M43" s="243">
        <f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243">
        <f>IF(AND(I43&gt;0,ISNUMBER(M43)),M43/I43,"")</f>
        <v/>
      </c>
      <c r="O43" s="243">
        <f>IF(AND(J43&gt;0,ISNUMBER(M43)),M43/J43,"")</f>
        <v/>
      </c>
      <c r="P43" s="243" t="n"/>
      <c r="Q43" s="243" t="n"/>
      <c r="R43" s="340" t="inlineStr">
        <is>
          <t>塩パン２個</t>
        </is>
      </c>
      <c r="S43" s="340" t="inlineStr">
        <is>
          <t>塩パンＫＩＴ</t>
        </is>
      </c>
      <c r="T43" s="340" t="inlineStr">
        <is>
          <t>メロン塩パン２個入</t>
        </is>
      </c>
      <c r="U43" s="340" t="inlineStr">
        <is>
          <t>Ｓメロン塩パン２個入</t>
        </is>
      </c>
      <c r="V43" s="340" t="inlineStr">
        <is>
          <t>メロン塩パンＫＩＴ</t>
        </is>
      </c>
      <c r="W43" s="340" t="inlineStr">
        <is>
          <t>チーズ塩パン２個</t>
        </is>
      </c>
      <c r="X43">
        <f>COUNTA(R43:W43)</f>
        <v/>
      </c>
      <c r="Y43">
        <f>IF(AND($X43&gt;0,ISNUMBER($M43)),$M43/$X43,"")</f>
        <v/>
      </c>
      <c r="Z43">
        <f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/>
      </c>
      <c r="AA43">
        <f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/>
      </c>
      <c r="AB43">
        <f>IF(ISNUMBER($M43),$M43,0)</f>
        <v/>
      </c>
      <c r="AD43" s="413">
        <f>IF($R43="",0,IF($AA43&gt;0,$AB43*SUMIF(⑳商品別1食労務費!$C$5:$C$124,$R43,⑳商品別1食労務費!$F$5:$F$124)/$AA43,$AB43/$X43))</f>
        <v/>
      </c>
      <c r="AE43" s="413">
        <f>IF($S43="",0,IF($AA43&gt;0,$AB43*SUMIF(⑳商品別1食労務費!$C$5:$C$124,$S43,⑳商品別1食労務費!$F$5:$F$124)/$AA43,$AB43/$X43))</f>
        <v/>
      </c>
      <c r="AF43" s="413">
        <f>IF($T43="",0,IF($AA43&gt;0,$AB43*SUMIF(⑳商品別1食労務費!$C$5:$C$124,$T43,⑳商品別1食労務費!$F$5:$F$124)/$AA43,$AB43/$X43))</f>
        <v/>
      </c>
      <c r="AG43" s="413">
        <f>IF($U43="",0,IF($AA43&gt;0,$AB43*SUMIF(⑳商品別1食労務費!$C$5:$C$124,$U43,⑳商品別1食労務費!$F$5:$F$124)/$AA43,$AB43/$X43))</f>
        <v/>
      </c>
      <c r="AH43" s="413">
        <f>IF($V43="",0,IF($AA43&gt;0,$AB43*SUMIF(⑳商品別1食労務費!$C$5:$C$124,$V43,⑳商品別1食労務費!$F$5:$F$124)/$AA43,$AB43/$X43))</f>
        <v/>
      </c>
      <c r="AI43" s="413">
        <f>IF($W43="",0,IF($AA43&gt;0,$AB43*SUMIF(⑳商品別1食労務費!$C$5:$C$124,$W43,⑳商品別1食労務費!$F$5:$F$124)/$AA43,$AB43/$X43))</f>
        <v/>
      </c>
    </row>
    <row r="44" ht="16" customHeight="1" s="438">
      <c r="A44" s="243" t="n"/>
      <c r="B44" s="243" t="inlineStr">
        <is>
          <t>ミキサー</t>
        </is>
      </c>
      <c r="C44" s="340" t="inlineStr">
        <is>
          <t>塩パン</t>
        </is>
      </c>
      <c r="D44" s="339" t="n">
        <v>0.46875</v>
      </c>
      <c r="E44" s="339" t="n">
        <v>0.4861111111111111</v>
      </c>
      <c r="F44" s="243">
        <f>IF(OR(D44="",E44=""),"",(E44-D44)*1440)</f>
        <v/>
      </c>
      <c r="G44" s="243" t="n">
        <v>25</v>
      </c>
      <c r="H44" s="243" t="n">
        <v>2</v>
      </c>
      <c r="I44" s="243" t="n">
        <v>300</v>
      </c>
      <c r="J44" s="243" t="n"/>
      <c r="K44" s="243">
        <f>IF(AND(I44&gt;0,ISNUMBER(F44)),I44/(F44/60),"")</f>
        <v/>
      </c>
      <c r="L44" s="243">
        <f>IF(AND(J44&gt;0,ISNUMBER(F44)),J44/(F44/60),"")</f>
        <v/>
      </c>
      <c r="M44" s="243">
        <f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243">
        <f>IF(AND(I44&gt;0,ISNUMBER(M44)),M44/I44,"")</f>
        <v/>
      </c>
      <c r="O44" s="243">
        <f>IF(AND(J44&gt;0,ISNUMBER(M44)),M44/J44,"")</f>
        <v/>
      </c>
      <c r="P44" s="243" t="n"/>
      <c r="Q44" s="243" t="n"/>
      <c r="R44" s="340" t="inlineStr">
        <is>
          <t>塩パン２個</t>
        </is>
      </c>
      <c r="S44" s="340" t="inlineStr">
        <is>
          <t>塩パンＫＩＴ</t>
        </is>
      </c>
      <c r="T44" s="340" t="inlineStr">
        <is>
          <t>メロン塩パン２個入</t>
        </is>
      </c>
      <c r="U44" s="340" t="inlineStr">
        <is>
          <t>Ｓメロン塩パン２個入</t>
        </is>
      </c>
      <c r="V44" s="340" t="inlineStr">
        <is>
          <t>メロン塩パンＫＩＴ</t>
        </is>
      </c>
      <c r="W44" s="340" t="inlineStr">
        <is>
          <t>チーズ塩パン２個</t>
        </is>
      </c>
      <c r="X44">
        <f>COUNTA(R44:W44)</f>
        <v/>
      </c>
      <c r="Y44">
        <f>IF(AND($X44&gt;0,ISNUMBER($M44)),$M44/$X44,"")</f>
        <v/>
      </c>
      <c r="Z44">
        <f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/>
      </c>
      <c r="AA44">
        <f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/>
      </c>
      <c r="AB44">
        <f>IF(ISNUMBER($M44),$M44,0)</f>
        <v/>
      </c>
      <c r="AD44" s="413">
        <f>IF($R44="",0,IF($AA44&gt;0,$AB44*SUMIF(⑳商品別1食労務費!$C$5:$C$124,$R44,⑳商品別1食労務費!$F$5:$F$124)/$AA44,$AB44/$X44))</f>
        <v/>
      </c>
      <c r="AE44" s="413">
        <f>IF($S44="",0,IF($AA44&gt;0,$AB44*SUMIF(⑳商品別1食労務費!$C$5:$C$124,$S44,⑳商品別1食労務費!$F$5:$F$124)/$AA44,$AB44/$X44))</f>
        <v/>
      </c>
      <c r="AF44" s="413">
        <f>IF($T44="",0,IF($AA44&gt;0,$AB44*SUMIF(⑳商品別1食労務費!$C$5:$C$124,$T44,⑳商品別1食労務費!$F$5:$F$124)/$AA44,$AB44/$X44))</f>
        <v/>
      </c>
      <c r="AG44" s="413">
        <f>IF($U44="",0,IF($AA44&gt;0,$AB44*SUMIF(⑳商品別1食労務費!$C$5:$C$124,$U44,⑳商品別1食労務費!$F$5:$F$124)/$AA44,$AB44/$X44))</f>
        <v/>
      </c>
      <c r="AH44" s="413">
        <f>IF($V44="",0,IF($AA44&gt;0,$AB44*SUMIF(⑳商品別1食労務費!$C$5:$C$124,$V44,⑳商品別1食労務費!$F$5:$F$124)/$AA44,$AB44/$X44))</f>
        <v/>
      </c>
      <c r="AI44" s="413">
        <f>IF($W44="",0,IF($AA44&gt;0,$AB44*SUMIF(⑳商品別1食労務費!$C$5:$C$124,$W44,⑳商品別1食労務費!$F$5:$F$124)/$AA44,$AB44/$X44))</f>
        <v/>
      </c>
    </row>
    <row r="45" ht="16" customHeight="1" s="438">
      <c r="A45" s="243" t="n"/>
      <c r="B45" s="243" t="inlineStr">
        <is>
          <t>ミキサー</t>
        </is>
      </c>
      <c r="C45" s="340" t="inlineStr">
        <is>
          <t>塩パン</t>
        </is>
      </c>
      <c r="D45" s="339" t="n">
        <v>0.4861111111111111</v>
      </c>
      <c r="E45" s="339" t="n">
        <v>0.5034722222222222</v>
      </c>
      <c r="F45" s="243">
        <f>IF(OR(D45="",E45=""),"",(E45-D45)*1440)</f>
        <v/>
      </c>
      <c r="G45" s="243" t="n">
        <v>25</v>
      </c>
      <c r="H45" s="243" t="n">
        <v>2</v>
      </c>
      <c r="I45" s="243" t="n">
        <v>300</v>
      </c>
      <c r="J45" s="243" t="n"/>
      <c r="K45" s="243">
        <f>IF(AND(I45&gt;0,ISNUMBER(F45)),I45/(F45/60),"")</f>
        <v/>
      </c>
      <c r="L45" s="243">
        <f>IF(AND(J45&gt;0,ISNUMBER(F45)),J45/(F45/60),"")</f>
        <v/>
      </c>
      <c r="M45" s="243">
        <f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243">
        <f>IF(AND(I45&gt;0,ISNUMBER(M45)),M45/I45,"")</f>
        <v/>
      </c>
      <c r="O45" s="243">
        <f>IF(AND(J45&gt;0,ISNUMBER(M45)),M45/J45,"")</f>
        <v/>
      </c>
      <c r="P45" s="243" t="n"/>
      <c r="Q45" s="243" t="n"/>
      <c r="R45" s="340" t="inlineStr">
        <is>
          <t>塩パン２個</t>
        </is>
      </c>
      <c r="S45" s="340" t="inlineStr">
        <is>
          <t>塩パンＫＩＴ</t>
        </is>
      </c>
      <c r="T45" s="340" t="inlineStr">
        <is>
          <t>メロン塩パン２個入</t>
        </is>
      </c>
      <c r="U45" s="340" t="inlineStr">
        <is>
          <t>Ｓメロン塩パン２個入</t>
        </is>
      </c>
      <c r="V45" s="340" t="inlineStr">
        <is>
          <t>メロン塩パンＫＩＴ</t>
        </is>
      </c>
      <c r="W45" s="340" t="inlineStr">
        <is>
          <t>チーズ塩パン２個</t>
        </is>
      </c>
      <c r="X45">
        <f>COUNTA(R45:W45)</f>
        <v/>
      </c>
      <c r="Y45">
        <f>IF(AND($X45&gt;0,ISNUMBER($M45)),$M45/$X45,"")</f>
        <v/>
      </c>
      <c r="Z45">
        <f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>
        <f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/>
      </c>
      <c r="AB45">
        <f>IF(ISNUMBER($M45),$M45,0)</f>
        <v/>
      </c>
      <c r="AD45" s="413">
        <f>IF($R45="",0,IF($AA45&gt;0,$AB45*SUMIF(⑳商品別1食労務費!$C$5:$C$124,$R45,⑳商品別1食労務費!$F$5:$F$124)/$AA45,$AB45/$X45))</f>
        <v/>
      </c>
      <c r="AE45" s="413">
        <f>IF($S45="",0,IF($AA45&gt;0,$AB45*SUMIF(⑳商品別1食労務費!$C$5:$C$124,$S45,⑳商品別1食労務費!$F$5:$F$124)/$AA45,$AB45/$X45))</f>
        <v/>
      </c>
      <c r="AF45" s="413">
        <f>IF($T45="",0,IF($AA45&gt;0,$AB45*SUMIF(⑳商品別1食労務費!$C$5:$C$124,$T45,⑳商品別1食労務費!$F$5:$F$124)/$AA45,$AB45/$X45))</f>
        <v/>
      </c>
      <c r="AG45" s="413">
        <f>IF($U45="",0,IF($AA45&gt;0,$AB45*SUMIF(⑳商品別1食労務費!$C$5:$C$124,$U45,⑳商品別1食労務費!$F$5:$F$124)/$AA45,$AB45/$X45))</f>
        <v/>
      </c>
      <c r="AH45" s="413">
        <f>IF($V45="",0,IF($AA45&gt;0,$AB45*SUMIF(⑳商品別1食労務費!$C$5:$C$124,$V45,⑳商品別1食労務費!$F$5:$F$124)/$AA45,$AB45/$X45))</f>
        <v/>
      </c>
      <c r="AI45" s="413">
        <f>IF($W45="",0,IF($AA45&gt;0,$AB45*SUMIF(⑳商品別1食労務費!$C$5:$C$124,$W45,⑳商品別1食労務費!$F$5:$F$124)/$AA45,$AB45/$X45))</f>
        <v/>
      </c>
    </row>
    <row r="46" ht="16" customHeight="1" s="438">
      <c r="A46" s="243" t="n"/>
      <c r="B46" s="243" t="n"/>
      <c r="C46" s="340" t="n"/>
      <c r="D46" s="339" t="n"/>
      <c r="E46" s="339" t="n"/>
      <c r="F46" s="243" t="n"/>
      <c r="G46" s="243" t="n"/>
      <c r="H46" s="243" t="n"/>
      <c r="I46" s="243" t="n"/>
      <c r="J46" s="243" t="n"/>
      <c r="K46" s="243" t="n"/>
      <c r="L46" s="243" t="n"/>
      <c r="M46" s="243" t="n"/>
      <c r="N46" s="243" t="n"/>
      <c r="O46" s="243" t="n"/>
      <c r="P46" s="243" t="n"/>
      <c r="Q46" s="243" t="n"/>
      <c r="R46" s="340" t="n"/>
      <c r="S46" s="340" t="n"/>
      <c r="T46" s="340" t="n"/>
      <c r="U46" s="340" t="n"/>
      <c r="V46" s="340" t="n"/>
      <c r="W46" s="340" t="n"/>
      <c r="X46">
        <f>COUNTA(R46:W46)</f>
        <v/>
      </c>
      <c r="Y46">
        <f>IF(AND($X46&gt;0,ISNUMBER($M46)),$M46/$X46,"")</f>
        <v/>
      </c>
      <c r="Z46">
        <f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>
        <f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/>
      </c>
      <c r="AB46">
        <f>IF(ISNUMBER($M46),$M46,0)</f>
        <v/>
      </c>
      <c r="AD46" s="413">
        <f>IF($R46="",0,IF($AA46&gt;0,$AB46*SUMIF(⑳商品別1食労務費!$C$5:$C$124,$R46,⑳商品別1食労務費!$F$5:$F$124)/$AA46,$AB46/$X46))</f>
        <v/>
      </c>
      <c r="AE46" s="413">
        <f>IF($S46="",0,IF($AA46&gt;0,$AB46*SUMIF(⑳商品別1食労務費!$C$5:$C$124,$S46,⑳商品別1食労務費!$F$5:$F$124)/$AA46,$AB46/$X46))</f>
        <v/>
      </c>
      <c r="AF46" s="413">
        <f>IF($T46="",0,IF($AA46&gt;0,$AB46*SUMIF(⑳商品別1食労務費!$C$5:$C$124,$T46,⑳商品別1食労務費!$F$5:$F$124)/$AA46,$AB46/$X46))</f>
        <v/>
      </c>
      <c r="AG46" s="413">
        <f>IF($U46="",0,IF($AA46&gt;0,$AB46*SUMIF(⑳商品別1食労務費!$C$5:$C$124,$U46,⑳商品別1食労務費!$F$5:$F$124)/$AA46,$AB46/$X46))</f>
        <v/>
      </c>
      <c r="AH46" s="413">
        <f>IF($V46="",0,IF($AA46&gt;0,$AB46*SUMIF(⑳商品別1食労務費!$C$5:$C$124,$V46,⑳商品別1食労務費!$F$5:$F$124)/$AA46,$AB46/$X46))</f>
        <v/>
      </c>
      <c r="AI46" s="413">
        <f>IF($W46="",0,IF($AA46&gt;0,$AB46*SUMIF(⑳商品別1食労務費!$C$5:$C$124,$W46,⑳商品別1食労務費!$F$5:$F$124)/$AA46,$AB46/$X46))</f>
        <v/>
      </c>
    </row>
    <row r="47" ht="16" customHeight="1" s="438">
      <c r="A47" s="243" t="n"/>
      <c r="B47" s="243" t="n"/>
      <c r="C47" s="340" t="n"/>
      <c r="D47" s="339" t="n"/>
      <c r="E47" s="339" t="n"/>
      <c r="F47" s="243">
        <f>IF(OR(D47="",E47=""),"",(E47-D47)*1440)</f>
        <v/>
      </c>
      <c r="G47" s="243" t="n"/>
      <c r="H47" s="243" t="n"/>
      <c r="I47" s="243" t="n"/>
      <c r="J47" s="243" t="n"/>
      <c r="K47" s="243">
        <f>IF(AND(I47&gt;0,ISNUMBER(F47)),I47/(F47/60),"")</f>
        <v/>
      </c>
      <c r="L47" s="243">
        <f>IF(AND(J47&gt;0,ISNUMBER(F47)),J47/(F47/60),"")</f>
        <v/>
      </c>
      <c r="M47" s="243">
        <f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243">
        <f>IF(AND(I47&gt;0,ISNUMBER(M47)),M47/I47,"")</f>
        <v/>
      </c>
      <c r="O47" s="243">
        <f>IF(AND(J47&gt;0,ISNUMBER(M47)),M47/J47,"")</f>
        <v/>
      </c>
      <c r="P47" s="243" t="n"/>
      <c r="Q47" s="243" t="n"/>
      <c r="R47" s="340" t="n"/>
      <c r="S47" s="340" t="n"/>
      <c r="T47" s="340" t="n"/>
      <c r="U47" s="340" t="n"/>
      <c r="V47" s="340" t="n"/>
      <c r="W47" s="340" t="n"/>
      <c r="X47">
        <f>COUNTA(R47:W47)</f>
        <v/>
      </c>
      <c r="Y47">
        <f>IF(AND($X47&gt;0,ISNUMBER($M47)),$M47/$X47,"")</f>
        <v/>
      </c>
      <c r="Z47">
        <f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>
        <f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/>
      </c>
      <c r="AB47">
        <f>IF(ISNUMBER($M47),$M47,0)</f>
        <v/>
      </c>
      <c r="AD47" s="413">
        <f>IF($R47="",0,IF($AA47&gt;0,$AB47*SUMIF(⑳商品別1食労務費!$C$5:$C$124,$R47,⑳商品別1食労務費!$F$5:$F$124)/$AA47,$AB47/$X47))</f>
        <v/>
      </c>
      <c r="AE47" s="413">
        <f>IF($S47="",0,IF($AA47&gt;0,$AB47*SUMIF(⑳商品別1食労務費!$C$5:$C$124,$S47,⑳商品別1食労務費!$F$5:$F$124)/$AA47,$AB47/$X47))</f>
        <v/>
      </c>
      <c r="AF47" s="413">
        <f>IF($T47="",0,IF($AA47&gt;0,$AB47*SUMIF(⑳商品別1食労務費!$C$5:$C$124,$T47,⑳商品別1食労務費!$F$5:$F$124)/$AA47,$AB47/$X47))</f>
        <v/>
      </c>
      <c r="AG47" s="413">
        <f>IF($U47="",0,IF($AA47&gt;0,$AB47*SUMIF(⑳商品別1食労務費!$C$5:$C$124,$U47,⑳商品別1食労務費!$F$5:$F$124)/$AA47,$AB47/$X47))</f>
        <v/>
      </c>
      <c r="AH47" s="413">
        <f>IF($V47="",0,IF($AA47&gt;0,$AB47*SUMIF(⑳商品別1食労務費!$C$5:$C$124,$V47,⑳商品別1食労務費!$F$5:$F$124)/$AA47,$AB47/$X47))</f>
        <v/>
      </c>
      <c r="AI47" s="413">
        <f>IF($W47="",0,IF($AA47&gt;0,$AB47*SUMIF(⑳商品別1食労務費!$C$5:$C$124,$W47,⑳商品別1食労務費!$F$5:$F$124)/$AA47,$AB47/$X47))</f>
        <v/>
      </c>
    </row>
    <row r="48" ht="16" customHeight="1" s="438">
      <c r="A48" s="243" t="n"/>
      <c r="B48" s="243" t="n"/>
      <c r="C48" s="340" t="n"/>
      <c r="D48" s="339" t="n"/>
      <c r="E48" s="339" t="n"/>
      <c r="F48" s="243">
        <f>IF(OR(D48="",E48=""),"",(E48-D48)*1440)</f>
        <v/>
      </c>
      <c r="G48" s="243" t="n"/>
      <c r="H48" s="243" t="n"/>
      <c r="I48" s="243" t="n"/>
      <c r="J48" s="243" t="n"/>
      <c r="K48" s="243">
        <f>IF(AND(I48&gt;0,ISNUMBER(F48)),I48/(F48/60),"")</f>
        <v/>
      </c>
      <c r="L48" s="243">
        <f>IF(AND(J48&gt;0,ISNUMBER(F48)),J48/(F48/60),"")</f>
        <v/>
      </c>
      <c r="M48" s="243">
        <f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243">
        <f>IF(AND(I48&gt;0,ISNUMBER(M48)),M48/I48,"")</f>
        <v/>
      </c>
      <c r="O48" s="243">
        <f>IF(AND(J48&gt;0,ISNUMBER(M48)),M48/J48,"")</f>
        <v/>
      </c>
      <c r="P48" s="243" t="n"/>
      <c r="Q48" s="243" t="n"/>
      <c r="R48" s="340" t="n"/>
      <c r="S48" s="340" t="n"/>
      <c r="T48" s="340" t="n"/>
      <c r="U48" s="340" t="n"/>
      <c r="V48" s="340" t="n"/>
      <c r="W48" s="340" t="n"/>
      <c r="X48">
        <f>COUNTA(R48:W48)</f>
        <v/>
      </c>
      <c r="Y48">
        <f>IF(AND($X48&gt;0,ISNUMBER($M48)),$M48/$X48,"")</f>
        <v/>
      </c>
      <c r="Z48">
        <f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/>
      </c>
      <c r="AA48">
        <f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/>
      </c>
      <c r="AB48">
        <f>IF(ISNUMBER($M48),$M48,0)</f>
        <v/>
      </c>
      <c r="AD48" s="413">
        <f>IF($R48="",0,IF($AA48&gt;0,$AB48*SUMIF(⑳商品別1食労務費!$C$5:$C$124,$R48,⑳商品別1食労務費!$F$5:$F$124)/$AA48,$AB48/$X48))</f>
        <v/>
      </c>
      <c r="AE48" s="413">
        <f>IF($S48="",0,IF($AA48&gt;0,$AB48*SUMIF(⑳商品別1食労務費!$C$5:$C$124,$S48,⑳商品別1食労務費!$F$5:$F$124)/$AA48,$AB48/$X48))</f>
        <v/>
      </c>
      <c r="AF48" s="413">
        <f>IF($T48="",0,IF($AA48&gt;0,$AB48*SUMIF(⑳商品別1食労務費!$C$5:$C$124,$T48,⑳商品別1食労務費!$F$5:$F$124)/$AA48,$AB48/$X48))</f>
        <v/>
      </c>
      <c r="AG48" s="413">
        <f>IF($U48="",0,IF($AA48&gt;0,$AB48*SUMIF(⑳商品別1食労務費!$C$5:$C$124,$U48,⑳商品別1食労務費!$F$5:$F$124)/$AA48,$AB48/$X48))</f>
        <v/>
      </c>
      <c r="AH48" s="413">
        <f>IF($V48="",0,IF($AA48&gt;0,$AB48*SUMIF(⑳商品別1食労務費!$C$5:$C$124,$V48,⑳商品別1食労務費!$F$5:$F$124)/$AA48,$AB48/$X48))</f>
        <v/>
      </c>
      <c r="AI48" s="413">
        <f>IF($W48="",0,IF($AA48&gt;0,$AB48*SUMIF(⑳商品別1食労務費!$C$5:$C$124,$W48,⑳商品別1食労務費!$F$5:$F$124)/$AA48,$AB48/$X48))</f>
        <v/>
      </c>
    </row>
    <row r="49" ht="16" customHeight="1" s="438">
      <c r="A49" s="243" t="n"/>
      <c r="B49" s="243" t="n"/>
      <c r="C49" s="340" t="n"/>
      <c r="D49" s="339" t="n"/>
      <c r="E49" s="339" t="n"/>
      <c r="F49" s="243">
        <f>IF(OR(D49="",E49=""),"",(E49-D49)*1440)</f>
        <v/>
      </c>
      <c r="G49" s="243" t="n"/>
      <c r="H49" s="243" t="n"/>
      <c r="I49" s="243" t="n"/>
      <c r="J49" s="243" t="n"/>
      <c r="K49" s="243">
        <f>IF(AND(I49&gt;0,ISNUMBER(F49)),I49/(F49/60),"")</f>
        <v/>
      </c>
      <c r="L49" s="243">
        <f>IF(AND(J49&gt;0,ISNUMBER(F49)),J49/(F49/60),"")</f>
        <v/>
      </c>
      <c r="M49" s="243">
        <f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243">
        <f>IF(AND(I49&gt;0,ISNUMBER(M49)),M49/I49,"")</f>
        <v/>
      </c>
      <c r="O49" s="243">
        <f>IF(AND(J49&gt;0,ISNUMBER(M49)),M49/J49,"")</f>
        <v/>
      </c>
      <c r="P49" s="243" t="n"/>
      <c r="Q49" s="243" t="n"/>
      <c r="R49" s="340" t="n"/>
      <c r="S49" s="340" t="n"/>
      <c r="T49" s="340" t="n"/>
      <c r="U49" s="340" t="n"/>
      <c r="V49" s="340" t="n"/>
      <c r="W49" s="340" t="n"/>
      <c r="X49">
        <f>COUNTA(R49:W49)</f>
        <v/>
      </c>
      <c r="Y49">
        <f>IF(AND($X49&gt;0,ISNUMBER($M49)),$M49/$X49,"")</f>
        <v/>
      </c>
      <c r="Z49">
        <f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/>
      </c>
      <c r="AA49">
        <f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/>
      </c>
      <c r="AB49">
        <f>IF(ISNUMBER($M49),$M49,0)</f>
        <v/>
      </c>
      <c r="AD49" s="413">
        <f>IF($R49="",0,IF($AA49&gt;0,$AB49*SUMIF(⑳商品別1食労務費!$C$5:$C$124,$R49,⑳商品別1食労務費!$F$5:$F$124)/$AA49,$AB49/$X49))</f>
        <v/>
      </c>
      <c r="AE49" s="413">
        <f>IF($S49="",0,IF($AA49&gt;0,$AB49*SUMIF(⑳商品別1食労務費!$C$5:$C$124,$S49,⑳商品別1食労務費!$F$5:$F$124)/$AA49,$AB49/$X49))</f>
        <v/>
      </c>
      <c r="AF49" s="413">
        <f>IF($T49="",0,IF($AA49&gt;0,$AB49*SUMIF(⑳商品別1食労務費!$C$5:$C$124,$T49,⑳商品別1食労務費!$F$5:$F$124)/$AA49,$AB49/$X49))</f>
        <v/>
      </c>
      <c r="AG49" s="413">
        <f>IF($U49="",0,IF($AA49&gt;0,$AB49*SUMIF(⑳商品別1食労務費!$C$5:$C$124,$U49,⑳商品別1食労務費!$F$5:$F$124)/$AA49,$AB49/$X49))</f>
        <v/>
      </c>
      <c r="AH49" s="413">
        <f>IF($V49="",0,IF($AA49&gt;0,$AB49*SUMIF(⑳商品別1食労務費!$C$5:$C$124,$V49,⑳商品別1食労務費!$F$5:$F$124)/$AA49,$AB49/$X49))</f>
        <v/>
      </c>
      <c r="AI49" s="413">
        <f>IF($W49="",0,IF($AA49&gt;0,$AB49*SUMIF(⑳商品別1食労務費!$C$5:$C$124,$W49,⑳商品別1食労務費!$F$5:$F$124)/$AA49,$AB49/$X49))</f>
        <v/>
      </c>
    </row>
    <row r="50" ht="16" customHeight="1" s="438">
      <c r="A50" s="243" t="n"/>
      <c r="B50" s="243" t="n"/>
      <c r="C50" s="340" t="n"/>
      <c r="D50" s="339" t="n"/>
      <c r="E50" s="339" t="n"/>
      <c r="F50" s="243">
        <f>IF(OR(D50="",E50=""),"",(E50-D50)*1440)</f>
        <v/>
      </c>
      <c r="G50" s="243" t="n"/>
      <c r="H50" s="243" t="n"/>
      <c r="I50" s="243" t="n"/>
      <c r="J50" s="243" t="n"/>
      <c r="K50" s="243">
        <f>IF(AND(I50&gt;0,ISNUMBER(F50)),I50/(F50/60),"")</f>
        <v/>
      </c>
      <c r="L50" s="243">
        <f>IF(AND(J50&gt;0,ISNUMBER(F50)),J50/(F50/60),"")</f>
        <v/>
      </c>
      <c r="M50" s="243">
        <f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243">
        <f>IF(AND(I50&gt;0,ISNUMBER(M50)),M50/I50,"")</f>
        <v/>
      </c>
      <c r="O50" s="243">
        <f>IF(AND(J50&gt;0,ISNUMBER(M50)),M50/J50,"")</f>
        <v/>
      </c>
      <c r="P50" s="243" t="n"/>
      <c r="Q50" s="243" t="n"/>
      <c r="R50" s="340" t="n"/>
      <c r="S50" s="340" t="n"/>
      <c r="T50" s="340" t="n"/>
      <c r="U50" s="340" t="n"/>
      <c r="V50" s="340" t="n"/>
      <c r="W50" s="340" t="n"/>
      <c r="X50">
        <f>COUNTA(R50:W50)</f>
        <v/>
      </c>
      <c r="Y50">
        <f>IF(AND($X50&gt;0,ISNUMBER($M50)),$M50/$X50,"")</f>
        <v/>
      </c>
      <c r="Z50">
        <f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/>
      </c>
      <c r="AA50">
        <f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/>
      </c>
      <c r="AB50">
        <f>IF(ISNUMBER($M50),$M50,0)</f>
        <v/>
      </c>
      <c r="AD50" s="413">
        <f>IF($R50="",0,IF($AA50&gt;0,$AB50*SUMIF(⑳商品別1食労務費!$C$5:$C$124,$R50,⑳商品別1食労務費!$F$5:$F$124)/$AA50,$AB50/$X50))</f>
        <v/>
      </c>
      <c r="AE50" s="413">
        <f>IF($S50="",0,IF($AA50&gt;0,$AB50*SUMIF(⑳商品別1食労務費!$C$5:$C$124,$S50,⑳商品別1食労務費!$F$5:$F$124)/$AA50,$AB50/$X50))</f>
        <v/>
      </c>
      <c r="AF50" s="413">
        <f>IF($T50="",0,IF($AA50&gt;0,$AB50*SUMIF(⑳商品別1食労務費!$C$5:$C$124,$T50,⑳商品別1食労務費!$F$5:$F$124)/$AA50,$AB50/$X50))</f>
        <v/>
      </c>
      <c r="AG50" s="413">
        <f>IF($U50="",0,IF($AA50&gt;0,$AB50*SUMIF(⑳商品別1食労務費!$C$5:$C$124,$U50,⑳商品別1食労務費!$F$5:$F$124)/$AA50,$AB50/$X50))</f>
        <v/>
      </c>
      <c r="AH50" s="413">
        <f>IF($V50="",0,IF($AA50&gt;0,$AB50*SUMIF(⑳商品別1食労務費!$C$5:$C$124,$V50,⑳商品別1食労務費!$F$5:$F$124)/$AA50,$AB50/$X50))</f>
        <v/>
      </c>
      <c r="AI50" s="413">
        <f>IF($W50="",0,IF($AA50&gt;0,$AB50*SUMIF(⑳商品別1食労務費!$C$5:$C$124,$W50,⑳商品別1食労務費!$F$5:$F$124)/$AA50,$AB50/$X50))</f>
        <v/>
      </c>
    </row>
    <row r="51" ht="16" customHeight="1" s="438">
      <c r="A51" s="243" t="n"/>
      <c r="B51" s="243" t="n"/>
      <c r="C51" s="340" t="n"/>
      <c r="D51" s="339" t="n"/>
      <c r="E51" s="339" t="n"/>
      <c r="F51" s="243">
        <f>IF(OR(D51="",E51=""),"",(E51-D51)*1440)</f>
        <v/>
      </c>
      <c r="G51" s="243" t="n"/>
      <c r="H51" s="243" t="n"/>
      <c r="I51" s="243" t="n"/>
      <c r="J51" s="243" t="n"/>
      <c r="K51" s="243">
        <f>IF(AND(I51&gt;0,ISNUMBER(F51)),I51/(F51/60),"")</f>
        <v/>
      </c>
      <c r="L51" s="243">
        <f>IF(AND(J51&gt;0,ISNUMBER(F51)),J51/(F51/60),"")</f>
        <v/>
      </c>
      <c r="M51" s="243">
        <f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243">
        <f>IF(AND(I51&gt;0,ISNUMBER(M51)),M51/I51,"")</f>
        <v/>
      </c>
      <c r="O51" s="243">
        <f>IF(AND(J51&gt;0,ISNUMBER(M51)),M51/J51,"")</f>
        <v/>
      </c>
      <c r="P51" s="243" t="n"/>
      <c r="Q51" s="243" t="n"/>
      <c r="R51" s="340" t="n"/>
      <c r="S51" s="340" t="n"/>
      <c r="T51" s="340" t="n"/>
      <c r="U51" s="340" t="n"/>
      <c r="V51" s="340" t="n"/>
      <c r="W51" s="340" t="n"/>
      <c r="X51">
        <f>COUNTA(R51:W51)</f>
        <v/>
      </c>
      <c r="Y51">
        <f>IF(AND($X51&gt;0,ISNUMBER($M51)),$M51/$X51,"")</f>
        <v/>
      </c>
      <c r="Z51">
        <f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/>
      </c>
      <c r="AA51">
        <f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/>
      </c>
      <c r="AB51">
        <f>IF(ISNUMBER($M51),$M51,0)</f>
        <v/>
      </c>
      <c r="AD51" s="413">
        <f>IF($R51="",0,IF($AA51&gt;0,$AB51*SUMIF(⑳商品別1食労務費!$C$5:$C$124,$R51,⑳商品別1食労務費!$F$5:$F$124)/$AA51,$AB51/$X51))</f>
        <v/>
      </c>
      <c r="AE51" s="413">
        <f>IF($S51="",0,IF($AA51&gt;0,$AB51*SUMIF(⑳商品別1食労務費!$C$5:$C$124,$S51,⑳商品別1食労務費!$F$5:$F$124)/$AA51,$AB51/$X51))</f>
        <v/>
      </c>
      <c r="AF51" s="413">
        <f>IF($T51="",0,IF($AA51&gt;0,$AB51*SUMIF(⑳商品別1食労務費!$C$5:$C$124,$T51,⑳商品別1食労務費!$F$5:$F$124)/$AA51,$AB51/$X51))</f>
        <v/>
      </c>
      <c r="AG51" s="413">
        <f>IF($U51="",0,IF($AA51&gt;0,$AB51*SUMIF(⑳商品別1食労務費!$C$5:$C$124,$U51,⑳商品別1食労務費!$F$5:$F$124)/$AA51,$AB51/$X51))</f>
        <v/>
      </c>
      <c r="AH51" s="413">
        <f>IF($V51="",0,IF($AA51&gt;0,$AB51*SUMIF(⑳商品別1食労務費!$C$5:$C$124,$V51,⑳商品別1食労務費!$F$5:$F$124)/$AA51,$AB51/$X51))</f>
        <v/>
      </c>
      <c r="AI51" s="413">
        <f>IF($W51="",0,IF($AA51&gt;0,$AB51*SUMIF(⑳商品別1食労務費!$C$5:$C$124,$W51,⑳商品別1食労務費!$F$5:$F$124)/$AA51,$AB51/$X51))</f>
        <v/>
      </c>
    </row>
    <row r="52" ht="16" customHeight="1" s="438">
      <c r="A52" s="243" t="n"/>
      <c r="B52" s="243" t="n"/>
      <c r="C52" s="340" t="n"/>
      <c r="D52" s="339" t="n"/>
      <c r="E52" s="339" t="n"/>
      <c r="F52" s="243">
        <f>IF(OR(D52="",E52=""),"",(E52-D52)*1440)</f>
        <v/>
      </c>
      <c r="G52" s="243" t="n"/>
      <c r="H52" s="243" t="n"/>
      <c r="I52" s="243" t="n"/>
      <c r="J52" s="243" t="n"/>
      <c r="K52" s="243">
        <f>IF(AND(I52&gt;0,ISNUMBER(F52)),I52/(F52/60),"")</f>
        <v/>
      </c>
      <c r="L52" s="243">
        <f>IF(AND(J52&gt;0,ISNUMBER(F52)),J52/(F52/60),"")</f>
        <v/>
      </c>
      <c r="M52" s="243">
        <f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243">
        <f>IF(AND(I52&gt;0,ISNUMBER(M52)),M52/I52,"")</f>
        <v/>
      </c>
      <c r="O52" s="243">
        <f>IF(AND(J52&gt;0,ISNUMBER(M52)),M52/J52,"")</f>
        <v/>
      </c>
      <c r="P52" s="243" t="n"/>
      <c r="Q52" s="243" t="n"/>
      <c r="R52" s="340" t="n"/>
      <c r="S52" s="340" t="n"/>
      <c r="T52" s="340" t="n"/>
      <c r="U52" s="340" t="n"/>
      <c r="V52" s="340" t="n"/>
      <c r="W52" s="340" t="n"/>
      <c r="X52">
        <f>COUNTA(R52:W52)</f>
        <v/>
      </c>
      <c r="Y52">
        <f>IF(AND($X52&gt;0,ISNUMBER($M52)),$M52/$X52,"")</f>
        <v/>
      </c>
      <c r="Z52">
        <f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/>
      </c>
      <c r="AA52">
        <f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/>
      </c>
      <c r="AB52">
        <f>IF(ISNUMBER($M52),$M52,0)</f>
        <v/>
      </c>
      <c r="AD52" s="413">
        <f>IF($R52="",0,IF($AA52&gt;0,$AB52*SUMIF(⑳商品別1食労務費!$C$5:$C$124,$R52,⑳商品別1食労務費!$F$5:$F$124)/$AA52,$AB52/$X52))</f>
        <v/>
      </c>
      <c r="AE52" s="413">
        <f>IF($S52="",0,IF($AA52&gt;0,$AB52*SUMIF(⑳商品別1食労務費!$C$5:$C$124,$S52,⑳商品別1食労務費!$F$5:$F$124)/$AA52,$AB52/$X52))</f>
        <v/>
      </c>
      <c r="AF52" s="413">
        <f>IF($T52="",0,IF($AA52&gt;0,$AB52*SUMIF(⑳商品別1食労務費!$C$5:$C$124,$T52,⑳商品別1食労務費!$F$5:$F$124)/$AA52,$AB52/$X52))</f>
        <v/>
      </c>
      <c r="AG52" s="413">
        <f>IF($U52="",0,IF($AA52&gt;0,$AB52*SUMIF(⑳商品別1食労務費!$C$5:$C$124,$U52,⑳商品別1食労務費!$F$5:$F$124)/$AA52,$AB52/$X52))</f>
        <v/>
      </c>
      <c r="AH52" s="413">
        <f>IF($V52="",0,IF($AA52&gt;0,$AB52*SUMIF(⑳商品別1食労務費!$C$5:$C$124,$V52,⑳商品別1食労務費!$F$5:$F$124)/$AA52,$AB52/$X52))</f>
        <v/>
      </c>
      <c r="AI52" s="413">
        <f>IF($W52="",0,IF($AA52&gt;0,$AB52*SUMIF(⑳商品別1食労務費!$C$5:$C$124,$W52,⑳商品別1食労務費!$F$5:$F$124)/$AA52,$AB52/$X52))</f>
        <v/>
      </c>
    </row>
    <row r="53" ht="16" customHeight="1" s="438">
      <c r="A53" s="243" t="n"/>
      <c r="B53" s="243" t="n"/>
      <c r="C53" s="340" t="n"/>
      <c r="D53" s="339" t="n"/>
      <c r="E53" s="339" t="n"/>
      <c r="F53" s="243">
        <f>IF(OR(D53="",E53=""),"",(E53-D53)*1440)</f>
        <v/>
      </c>
      <c r="G53" s="243" t="n"/>
      <c r="H53" s="243" t="n"/>
      <c r="I53" s="243" t="n"/>
      <c r="J53" s="243" t="n"/>
      <c r="K53" s="243">
        <f>IF(AND(I53&gt;0,ISNUMBER(F53)),I53/(F53/60),"")</f>
        <v/>
      </c>
      <c r="L53" s="243">
        <f>IF(AND(J53&gt;0,ISNUMBER(F53)),J53/(F53/60),"")</f>
        <v/>
      </c>
      <c r="M53" s="243">
        <f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243">
        <f>IF(AND(I53&gt;0,ISNUMBER(M53)),M53/I53,"")</f>
        <v/>
      </c>
      <c r="O53" s="243">
        <f>IF(AND(J53&gt;0,ISNUMBER(M53)),M53/J53,"")</f>
        <v/>
      </c>
      <c r="P53" s="243" t="n"/>
      <c r="Q53" s="243" t="n"/>
      <c r="R53" s="340" t="n"/>
      <c r="S53" s="340" t="n"/>
      <c r="T53" s="340" t="n"/>
      <c r="U53" s="340" t="n"/>
      <c r="V53" s="340" t="n"/>
      <c r="W53" s="340" t="n"/>
      <c r="X53">
        <f>COUNTA(R53:W53)</f>
        <v/>
      </c>
      <c r="Y53">
        <f>IF(AND($X53&gt;0,ISNUMBER($M53)),$M53/$X53,"")</f>
        <v/>
      </c>
      <c r="Z53">
        <f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/>
      </c>
      <c r="AA53">
        <f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/>
      </c>
      <c r="AB53">
        <f>IF(ISNUMBER($M53),$M53,0)</f>
        <v/>
      </c>
      <c r="AD53" s="413">
        <f>IF($R53="",0,IF($AA53&gt;0,$AB53*SUMIF(⑳商品別1食労務費!$C$5:$C$124,$R53,⑳商品別1食労務費!$F$5:$F$124)/$AA53,$AB53/$X53))</f>
        <v/>
      </c>
      <c r="AE53" s="413">
        <f>IF($S53="",0,IF($AA53&gt;0,$AB53*SUMIF(⑳商品別1食労務費!$C$5:$C$124,$S53,⑳商品別1食労務費!$F$5:$F$124)/$AA53,$AB53/$X53))</f>
        <v/>
      </c>
      <c r="AF53" s="413">
        <f>IF($T53="",0,IF($AA53&gt;0,$AB53*SUMIF(⑳商品別1食労務費!$C$5:$C$124,$T53,⑳商品別1食労務費!$F$5:$F$124)/$AA53,$AB53/$X53))</f>
        <v/>
      </c>
      <c r="AG53" s="413">
        <f>IF($U53="",0,IF($AA53&gt;0,$AB53*SUMIF(⑳商品別1食労務費!$C$5:$C$124,$U53,⑳商品別1食労務費!$F$5:$F$124)/$AA53,$AB53/$X53))</f>
        <v/>
      </c>
      <c r="AH53" s="413">
        <f>IF($V53="",0,IF($AA53&gt;0,$AB53*SUMIF(⑳商品別1食労務費!$C$5:$C$124,$V53,⑳商品別1食労務費!$F$5:$F$124)/$AA53,$AB53/$X53))</f>
        <v/>
      </c>
      <c r="AI53" s="413">
        <f>IF($W53="",0,IF($AA53&gt;0,$AB53*SUMIF(⑳商品別1食労務費!$C$5:$C$124,$W53,⑳商品別1食労務費!$F$5:$F$124)/$AA53,$AB53/$X53))</f>
        <v/>
      </c>
    </row>
    <row r="54" ht="16" customHeight="1" s="438">
      <c r="A54" s="243" t="n"/>
      <c r="B54" s="243" t="n"/>
      <c r="C54" s="340" t="n"/>
      <c r="D54" s="339" t="n"/>
      <c r="E54" s="339" t="n"/>
      <c r="F54" s="243">
        <f>IF(OR(D54="",E54=""),"",(E54-D54)*1440)</f>
        <v/>
      </c>
      <c r="G54" s="243" t="n"/>
      <c r="H54" s="243" t="n"/>
      <c r="I54" s="243" t="n"/>
      <c r="J54" s="243" t="n"/>
      <c r="K54" s="243">
        <f>IF(AND(I54&gt;0,ISNUMBER(F54)),I54/(F54/60),"")</f>
        <v/>
      </c>
      <c r="L54" s="243">
        <f>IF(AND(J54&gt;0,ISNUMBER(F54)),J54/(F54/60),"")</f>
        <v/>
      </c>
      <c r="M54" s="243">
        <f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243">
        <f>IF(AND(I54&gt;0,ISNUMBER(M54)),M54/I54,"")</f>
        <v/>
      </c>
      <c r="O54" s="243">
        <f>IF(AND(J54&gt;0,ISNUMBER(M54)),M54/J54,"")</f>
        <v/>
      </c>
      <c r="P54" s="243" t="n"/>
      <c r="Q54" s="243" t="n"/>
      <c r="R54" s="340" t="n"/>
      <c r="S54" s="340" t="n"/>
      <c r="T54" s="340" t="n"/>
      <c r="U54" s="340" t="n"/>
      <c r="V54" s="340" t="n"/>
      <c r="W54" s="340" t="n"/>
      <c r="X54">
        <f>COUNTA(R54:W54)</f>
        <v/>
      </c>
      <c r="Y54">
        <f>IF(AND($X54&gt;0,ISNUMBER($M54)),$M54/$X54,"")</f>
        <v/>
      </c>
      <c r="Z54">
        <f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/>
      </c>
      <c r="AA54">
        <f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/>
      </c>
      <c r="AB54">
        <f>IF(ISNUMBER($M54),$M54,0)</f>
        <v/>
      </c>
      <c r="AD54" s="413">
        <f>IF($R54="",0,IF($AA54&gt;0,$AB54*SUMIF(⑳商品別1食労務費!$C$5:$C$124,$R54,⑳商品別1食労務費!$F$5:$F$124)/$AA54,$AB54/$X54))</f>
        <v/>
      </c>
      <c r="AE54" s="413">
        <f>IF($S54="",0,IF($AA54&gt;0,$AB54*SUMIF(⑳商品別1食労務費!$C$5:$C$124,$S54,⑳商品別1食労務費!$F$5:$F$124)/$AA54,$AB54/$X54))</f>
        <v/>
      </c>
      <c r="AF54" s="413">
        <f>IF($T54="",0,IF($AA54&gt;0,$AB54*SUMIF(⑳商品別1食労務費!$C$5:$C$124,$T54,⑳商品別1食労務費!$F$5:$F$124)/$AA54,$AB54/$X54))</f>
        <v/>
      </c>
      <c r="AG54" s="413">
        <f>IF($U54="",0,IF($AA54&gt;0,$AB54*SUMIF(⑳商品別1食労務費!$C$5:$C$124,$U54,⑳商品別1食労務費!$F$5:$F$124)/$AA54,$AB54/$X54))</f>
        <v/>
      </c>
      <c r="AH54" s="413">
        <f>IF($V54="",0,IF($AA54&gt;0,$AB54*SUMIF(⑳商品別1食労務費!$C$5:$C$124,$V54,⑳商品別1食労務費!$F$5:$F$124)/$AA54,$AB54/$X54))</f>
        <v/>
      </c>
      <c r="AI54" s="413">
        <f>IF($W54="",0,IF($AA54&gt;0,$AB54*SUMIF(⑳商品別1食労務費!$C$5:$C$124,$W54,⑳商品別1食労務費!$F$5:$F$124)/$AA54,$AB54/$X54))</f>
        <v/>
      </c>
    </row>
    <row r="55" ht="16" customHeight="1" s="438">
      <c r="A55" s="243" t="n"/>
      <c r="B55" s="243" t="n"/>
      <c r="C55" s="340" t="n"/>
      <c r="D55" s="339" t="n"/>
      <c r="E55" s="339" t="n"/>
      <c r="F55" s="243">
        <f>IF(OR(D55="",E55=""),"",(E55-D55)*1440)</f>
        <v/>
      </c>
      <c r="G55" s="243" t="n"/>
      <c r="H55" s="243" t="n"/>
      <c r="I55" s="243" t="n"/>
      <c r="J55" s="243" t="n"/>
      <c r="K55" s="243">
        <f>IF(AND(I55&gt;0,ISNUMBER(F55)),I55/(F55/60),"")</f>
        <v/>
      </c>
      <c r="L55" s="243">
        <f>IF(AND(J55&gt;0,ISNUMBER(F55)),J55/(F55/60),"")</f>
        <v/>
      </c>
      <c r="M55" s="243">
        <f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243">
        <f>IF(AND(I55&gt;0,ISNUMBER(M55)),M55/I55,"")</f>
        <v/>
      </c>
      <c r="O55" s="243">
        <f>IF(AND(J55&gt;0,ISNUMBER(M55)),M55/J55,"")</f>
        <v/>
      </c>
      <c r="P55" s="243" t="n"/>
      <c r="Q55" s="243" t="n"/>
      <c r="R55" s="340" t="n"/>
      <c r="S55" s="340" t="n"/>
      <c r="T55" s="340" t="n"/>
      <c r="U55" s="340" t="n"/>
      <c r="V55" s="340" t="n"/>
      <c r="W55" s="340" t="n"/>
      <c r="X55">
        <f>COUNTA(R55:W55)</f>
        <v/>
      </c>
      <c r="Y55">
        <f>IF(AND($X55&gt;0,ISNUMBER($M55)),$M55/$X55,"")</f>
        <v/>
      </c>
      <c r="Z55">
        <f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>
        <f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/>
      </c>
      <c r="AB55">
        <f>IF(ISNUMBER($M55),$M55,0)</f>
        <v/>
      </c>
      <c r="AD55" s="413">
        <f>IF($R55="",0,IF($AA55&gt;0,$AB55*SUMIF(⑳商品別1食労務費!$C$5:$C$124,$R55,⑳商品別1食労務費!$F$5:$F$124)/$AA55,$AB55/$X55))</f>
        <v/>
      </c>
      <c r="AE55" s="413">
        <f>IF($S55="",0,IF($AA55&gt;0,$AB55*SUMIF(⑳商品別1食労務費!$C$5:$C$124,$S55,⑳商品別1食労務費!$F$5:$F$124)/$AA55,$AB55/$X55))</f>
        <v/>
      </c>
      <c r="AF55" s="413">
        <f>IF($T55="",0,IF($AA55&gt;0,$AB55*SUMIF(⑳商品別1食労務費!$C$5:$C$124,$T55,⑳商品別1食労務費!$F$5:$F$124)/$AA55,$AB55/$X55))</f>
        <v/>
      </c>
      <c r="AG55" s="413">
        <f>IF($U55="",0,IF($AA55&gt;0,$AB55*SUMIF(⑳商品別1食労務費!$C$5:$C$124,$U55,⑳商品別1食労務費!$F$5:$F$124)/$AA55,$AB55/$X55))</f>
        <v/>
      </c>
      <c r="AH55" s="413">
        <f>IF($V55="",0,IF($AA55&gt;0,$AB55*SUMIF(⑳商品別1食労務費!$C$5:$C$124,$V55,⑳商品別1食労務費!$F$5:$F$124)/$AA55,$AB55/$X55))</f>
        <v/>
      </c>
      <c r="AI55" s="413">
        <f>IF($W55="",0,IF($AA55&gt;0,$AB55*SUMIF(⑳商品別1食労務費!$C$5:$C$124,$W55,⑳商品別1食労務費!$F$5:$F$124)/$AA55,$AB55/$X55))</f>
        <v/>
      </c>
    </row>
    <row r="56" ht="16" customHeight="1" s="438">
      <c r="A56" s="243" t="n"/>
      <c r="B56" s="243" t="n"/>
      <c r="C56" s="340" t="n"/>
      <c r="D56" s="339" t="n"/>
      <c r="E56" s="339" t="n"/>
      <c r="F56" s="243">
        <f>IF(OR(D56="",E56=""),"",(E56-D56)*1440)</f>
        <v/>
      </c>
      <c r="G56" s="243" t="n"/>
      <c r="H56" s="243" t="n"/>
      <c r="I56" s="243" t="n"/>
      <c r="J56" s="243" t="n"/>
      <c r="K56" s="243">
        <f>IF(AND(I56&gt;0,ISNUMBER(F56)),I56/(F56/60),"")</f>
        <v/>
      </c>
      <c r="L56" s="243">
        <f>IF(AND(J56&gt;0,ISNUMBER(F56)),J56/(F56/60),"")</f>
        <v/>
      </c>
      <c r="M56" s="243">
        <f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243">
        <f>IF(AND(I56&gt;0,ISNUMBER(M56)),M56/I56,"")</f>
        <v/>
      </c>
      <c r="O56" s="243">
        <f>IF(AND(J56&gt;0,ISNUMBER(M56)),M56/J56,"")</f>
        <v/>
      </c>
      <c r="P56" s="243" t="n"/>
      <c r="Q56" s="243" t="n"/>
      <c r="R56" s="340" t="n"/>
      <c r="S56" s="340" t="n"/>
      <c r="T56" s="340" t="n"/>
      <c r="U56" s="340" t="n"/>
      <c r="V56" s="340" t="n"/>
      <c r="W56" s="340" t="n"/>
      <c r="X56">
        <f>COUNTA(R56:W56)</f>
        <v/>
      </c>
      <c r="Y56">
        <f>IF(AND($X56&gt;0,ISNUMBER($M56)),$M56/$X56,"")</f>
        <v/>
      </c>
      <c r="Z56">
        <f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/>
      </c>
      <c r="AA56">
        <f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/>
      </c>
      <c r="AB56">
        <f>IF(ISNUMBER($M56),$M56,0)</f>
        <v/>
      </c>
      <c r="AD56" s="413">
        <f>IF($R56="",0,IF($AA56&gt;0,$AB56*SUMIF(⑳商品別1食労務費!$C$5:$C$124,$R56,⑳商品別1食労務費!$F$5:$F$124)/$AA56,$AB56/$X56))</f>
        <v/>
      </c>
      <c r="AE56" s="413">
        <f>IF($S56="",0,IF($AA56&gt;0,$AB56*SUMIF(⑳商品別1食労務費!$C$5:$C$124,$S56,⑳商品別1食労務費!$F$5:$F$124)/$AA56,$AB56/$X56))</f>
        <v/>
      </c>
      <c r="AF56" s="413">
        <f>IF($T56="",0,IF($AA56&gt;0,$AB56*SUMIF(⑳商品別1食労務費!$C$5:$C$124,$T56,⑳商品別1食労務費!$F$5:$F$124)/$AA56,$AB56/$X56))</f>
        <v/>
      </c>
      <c r="AG56" s="413">
        <f>IF($U56="",0,IF($AA56&gt;0,$AB56*SUMIF(⑳商品別1食労務費!$C$5:$C$124,$U56,⑳商品別1食労務費!$F$5:$F$124)/$AA56,$AB56/$X56))</f>
        <v/>
      </c>
      <c r="AH56" s="413">
        <f>IF($V56="",0,IF($AA56&gt;0,$AB56*SUMIF(⑳商品別1食労務費!$C$5:$C$124,$V56,⑳商品別1食労務費!$F$5:$F$124)/$AA56,$AB56/$X56))</f>
        <v/>
      </c>
      <c r="AI56" s="413">
        <f>IF($W56="",0,IF($AA56&gt;0,$AB56*SUMIF(⑳商品別1食労務費!$C$5:$C$124,$W56,⑳商品別1食労務費!$F$5:$F$124)/$AA56,$AB56/$X56))</f>
        <v/>
      </c>
    </row>
    <row r="57" ht="16" customHeight="1" s="438">
      <c r="A57" s="243" t="n"/>
      <c r="B57" s="243" t="n"/>
      <c r="C57" s="340" t="n"/>
      <c r="D57" s="339" t="n"/>
      <c r="E57" s="339" t="n"/>
      <c r="F57" s="243">
        <f>IF(OR(D57="",E57=""),"",(E57-D57)*1440)</f>
        <v/>
      </c>
      <c r="G57" s="243" t="n"/>
      <c r="H57" s="243" t="n"/>
      <c r="I57" s="243" t="n"/>
      <c r="J57" s="243" t="n"/>
      <c r="K57" s="243">
        <f>IF(AND(I57&gt;0,ISNUMBER(F57)),I57/(F57/60),"")</f>
        <v/>
      </c>
      <c r="L57" s="243">
        <f>IF(AND(J57&gt;0,ISNUMBER(F57)),J57/(F57/60),"")</f>
        <v/>
      </c>
      <c r="M57" s="243">
        <f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/>
      </c>
      <c r="N57" s="243">
        <f>IF(AND(I57&gt;0,ISNUMBER(M57)),M57/I57,"")</f>
        <v/>
      </c>
      <c r="O57" s="243">
        <f>IF(AND(J57&gt;0,ISNUMBER(M57)),M57/J57,"")</f>
        <v/>
      </c>
      <c r="P57" s="243" t="n"/>
      <c r="Q57" s="243" t="n"/>
      <c r="R57" s="340" t="n"/>
      <c r="S57" s="340" t="n"/>
      <c r="T57" s="340" t="n"/>
      <c r="U57" s="340" t="n"/>
      <c r="V57" s="340" t="n"/>
      <c r="W57" s="340" t="n"/>
      <c r="X57">
        <f>COUNTA(R57:W57)</f>
        <v/>
      </c>
      <c r="Y57">
        <f>IF(AND($X57&gt;0,ISNUMBER($M57)),$M57/$X57,"")</f>
        <v/>
      </c>
      <c r="Z57">
        <f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>
        <f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/>
      </c>
      <c r="AB57">
        <f>IF(ISNUMBER($M57),$M57,0)</f>
        <v/>
      </c>
      <c r="AD57" s="413">
        <f>IF($R57="",0,IF($AA57&gt;0,$AB57*SUMIF(⑳商品別1食労務費!$C$5:$C$124,$R57,⑳商品別1食労務費!$F$5:$F$124)/$AA57,$AB57/$X57))</f>
        <v/>
      </c>
      <c r="AE57" s="413">
        <f>IF($S57="",0,IF($AA57&gt;0,$AB57*SUMIF(⑳商品別1食労務費!$C$5:$C$124,$S57,⑳商品別1食労務費!$F$5:$F$124)/$AA57,$AB57/$X57))</f>
        <v/>
      </c>
      <c r="AF57" s="413">
        <f>IF($T57="",0,IF($AA57&gt;0,$AB57*SUMIF(⑳商品別1食労務費!$C$5:$C$124,$T57,⑳商品別1食労務費!$F$5:$F$124)/$AA57,$AB57/$X57))</f>
        <v/>
      </c>
      <c r="AG57" s="413">
        <f>IF($U57="",0,IF($AA57&gt;0,$AB57*SUMIF(⑳商品別1食労務費!$C$5:$C$124,$U57,⑳商品別1食労務費!$F$5:$F$124)/$AA57,$AB57/$X57))</f>
        <v/>
      </c>
      <c r="AH57" s="413">
        <f>IF($V57="",0,IF($AA57&gt;0,$AB57*SUMIF(⑳商品別1食労務費!$C$5:$C$124,$V57,⑳商品別1食労務費!$F$5:$F$124)/$AA57,$AB57/$X57))</f>
        <v/>
      </c>
      <c r="AI57" s="413">
        <f>IF($W57="",0,IF($AA57&gt;0,$AB57*SUMIF(⑳商品別1食労務費!$C$5:$C$124,$W57,⑳商品別1食労務費!$F$5:$F$124)/$AA57,$AB57/$X57))</f>
        <v/>
      </c>
    </row>
    <row r="58" ht="16" customHeight="1" s="438">
      <c r="A58" s="243" t="n"/>
      <c r="B58" s="243" t="n"/>
      <c r="C58" s="340" t="n"/>
      <c r="D58" s="339" t="n"/>
      <c r="E58" s="339" t="n"/>
      <c r="F58" s="243">
        <f>IF(OR(D58="",E58=""),"",(E58-D58)*1440)</f>
        <v/>
      </c>
      <c r="G58" s="243" t="n"/>
      <c r="H58" s="243" t="n"/>
      <c r="I58" s="243" t="n"/>
      <c r="J58" s="243" t="n"/>
      <c r="K58" s="243">
        <f>IF(AND(I58&gt;0,ISNUMBER(F58)),I58/(F58/60),"")</f>
        <v/>
      </c>
      <c r="L58" s="243">
        <f>IF(AND(J58&gt;0,ISNUMBER(F58)),J58/(F58/60),"")</f>
        <v/>
      </c>
      <c r="M58" s="243">
        <f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/>
      </c>
      <c r="N58" s="243">
        <f>IF(AND(I58&gt;0,ISNUMBER(M58)),M58/I58,"")</f>
        <v/>
      </c>
      <c r="O58" s="243">
        <f>IF(AND(J58&gt;0,ISNUMBER(M58)),M58/J58,"")</f>
        <v/>
      </c>
      <c r="P58" s="243" t="n"/>
      <c r="Q58" s="243" t="n"/>
      <c r="R58" s="340" t="n"/>
      <c r="S58" s="340" t="n"/>
      <c r="T58" s="340" t="n"/>
      <c r="U58" s="340" t="n"/>
      <c r="V58" s="340" t="n"/>
      <c r="W58" s="340" t="n"/>
      <c r="X58">
        <f>COUNTA(R58:W58)</f>
        <v/>
      </c>
      <c r="Y58">
        <f>IF(AND($X58&gt;0,ISNUMBER($M58)),$M58/$X58,"")</f>
        <v/>
      </c>
      <c r="Z58">
        <f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>
        <f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/>
      </c>
      <c r="AB58">
        <f>IF(ISNUMBER($M58),$M58,0)</f>
        <v/>
      </c>
      <c r="AD58" s="413">
        <f>IF($R58="",0,IF($AA58&gt;0,$AB58*SUMIF(⑳商品別1食労務費!$C$5:$C$124,$R58,⑳商品別1食労務費!$F$5:$F$124)/$AA58,$AB58/$X58))</f>
        <v/>
      </c>
      <c r="AE58" s="413">
        <f>IF($S58="",0,IF($AA58&gt;0,$AB58*SUMIF(⑳商品別1食労務費!$C$5:$C$124,$S58,⑳商品別1食労務費!$F$5:$F$124)/$AA58,$AB58/$X58))</f>
        <v/>
      </c>
      <c r="AF58" s="413">
        <f>IF($T58="",0,IF($AA58&gt;0,$AB58*SUMIF(⑳商品別1食労務費!$C$5:$C$124,$T58,⑳商品別1食労務費!$F$5:$F$124)/$AA58,$AB58/$X58))</f>
        <v/>
      </c>
      <c r="AG58" s="413">
        <f>IF($U58="",0,IF($AA58&gt;0,$AB58*SUMIF(⑳商品別1食労務費!$C$5:$C$124,$U58,⑳商品別1食労務費!$F$5:$F$124)/$AA58,$AB58/$X58))</f>
        <v/>
      </c>
      <c r="AH58" s="413">
        <f>IF($V58="",0,IF($AA58&gt;0,$AB58*SUMIF(⑳商品別1食労務費!$C$5:$C$124,$V58,⑳商品別1食労務費!$F$5:$F$124)/$AA58,$AB58/$X58))</f>
        <v/>
      </c>
      <c r="AI58" s="413">
        <f>IF($W58="",0,IF($AA58&gt;0,$AB58*SUMIF(⑳商品別1食労務費!$C$5:$C$124,$W58,⑳商品別1食労務費!$F$5:$F$124)/$AA58,$AB58/$X58))</f>
        <v/>
      </c>
    </row>
    <row r="59" ht="16" customHeight="1" s="438">
      <c r="A59" s="243" t="n"/>
      <c r="B59" s="243" t="n"/>
      <c r="C59" s="340" t="n"/>
      <c r="D59" s="339" t="n"/>
      <c r="E59" s="339" t="n"/>
      <c r="F59" s="243">
        <f>IF(OR(D59="",E59=""),"",(E59-D59)*1440)</f>
        <v/>
      </c>
      <c r="G59" s="243" t="n"/>
      <c r="H59" s="243" t="n"/>
      <c r="I59" s="243" t="n"/>
      <c r="J59" s="243" t="n"/>
      <c r="K59" s="243">
        <f>IF(AND(I59&gt;0,ISNUMBER(F59)),I59/(F59/60),"")</f>
        <v/>
      </c>
      <c r="L59" s="243">
        <f>IF(AND(J59&gt;0,ISNUMBER(F59)),J59/(F59/60),"")</f>
        <v/>
      </c>
      <c r="M59" s="243">
        <f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243">
        <f>IF(AND(I59&gt;0,ISNUMBER(M59)),M59/I59,"")</f>
        <v/>
      </c>
      <c r="O59" s="243">
        <f>IF(AND(J59&gt;0,ISNUMBER(M59)),M59/J59,"")</f>
        <v/>
      </c>
      <c r="P59" s="243" t="n"/>
      <c r="Q59" s="243" t="n"/>
      <c r="R59" s="340" t="n"/>
      <c r="S59" s="340" t="n"/>
      <c r="T59" s="340" t="n"/>
      <c r="U59" s="340" t="n"/>
      <c r="V59" s="340" t="n"/>
      <c r="W59" s="340" t="n"/>
      <c r="X59">
        <f>COUNTA(R59:W59)</f>
        <v/>
      </c>
      <c r="Y59">
        <f>IF(AND($X59&gt;0,ISNUMBER($M59)),$M59/$X59,"")</f>
        <v/>
      </c>
      <c r="Z59">
        <f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>
        <f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/>
      </c>
      <c r="AB59">
        <f>IF(ISNUMBER($M59),$M59,0)</f>
        <v/>
      </c>
      <c r="AD59" s="413">
        <f>IF($R59="",0,IF($AA59&gt;0,$AB59*SUMIF(⑳商品別1食労務費!$C$5:$C$124,$R59,⑳商品別1食労務費!$F$5:$F$124)/$AA59,$AB59/$X59))</f>
        <v/>
      </c>
      <c r="AE59" s="413">
        <f>IF($S59="",0,IF($AA59&gt;0,$AB59*SUMIF(⑳商品別1食労務費!$C$5:$C$124,$S59,⑳商品別1食労務費!$F$5:$F$124)/$AA59,$AB59/$X59))</f>
        <v/>
      </c>
      <c r="AF59" s="413">
        <f>IF($T59="",0,IF($AA59&gt;0,$AB59*SUMIF(⑳商品別1食労務費!$C$5:$C$124,$T59,⑳商品別1食労務費!$F$5:$F$124)/$AA59,$AB59/$X59))</f>
        <v/>
      </c>
      <c r="AG59" s="413">
        <f>IF($U59="",0,IF($AA59&gt;0,$AB59*SUMIF(⑳商品別1食労務費!$C$5:$C$124,$U59,⑳商品別1食労務費!$F$5:$F$124)/$AA59,$AB59/$X59))</f>
        <v/>
      </c>
      <c r="AH59" s="413">
        <f>IF($V59="",0,IF($AA59&gt;0,$AB59*SUMIF(⑳商品別1食労務費!$C$5:$C$124,$V59,⑳商品別1食労務費!$F$5:$F$124)/$AA59,$AB59/$X59))</f>
        <v/>
      </c>
      <c r="AI59" s="413">
        <f>IF($W59="",0,IF($AA59&gt;0,$AB59*SUMIF(⑳商品別1食労務費!$C$5:$C$124,$W59,⑳商品別1食労務費!$F$5:$F$124)/$AA59,$AB59/$X59))</f>
        <v/>
      </c>
    </row>
    <row r="60" ht="16" customHeight="1" s="438">
      <c r="A60" s="243" t="n"/>
      <c r="B60" s="243" t="n"/>
      <c r="C60" s="340" t="n"/>
      <c r="D60" s="339" t="n"/>
      <c r="E60" s="339" t="n"/>
      <c r="F60" s="243">
        <f>IF(OR(D60="",E60=""),"",(E60-D60)*1440)</f>
        <v/>
      </c>
      <c r="G60" s="243" t="n"/>
      <c r="H60" s="243" t="n"/>
      <c r="I60" s="243" t="n"/>
      <c r="J60" s="243" t="n"/>
      <c r="K60" s="243">
        <f>IF(AND(I60&gt;0,ISNUMBER(F60)),I60/(F60/60),"")</f>
        <v/>
      </c>
      <c r="L60" s="243">
        <f>IF(AND(J60&gt;0,ISNUMBER(F60)),J60/(F60/60),"")</f>
        <v/>
      </c>
      <c r="M60" s="243">
        <f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243">
        <f>IF(AND(I60&gt;0,ISNUMBER(M60)),M60/I60,"")</f>
        <v/>
      </c>
      <c r="O60" s="243">
        <f>IF(AND(J60&gt;0,ISNUMBER(M60)),M60/J60,"")</f>
        <v/>
      </c>
      <c r="P60" s="243" t="n"/>
      <c r="Q60" s="243" t="n"/>
      <c r="R60" s="340" t="n"/>
      <c r="S60" s="340" t="n"/>
      <c r="T60" s="340" t="n"/>
      <c r="U60" s="340" t="n"/>
      <c r="V60" s="340" t="n"/>
      <c r="W60" s="340" t="n"/>
      <c r="X60">
        <f>COUNTA(R60:W60)</f>
        <v/>
      </c>
      <c r="Y60">
        <f>IF(AND($X60&gt;0,ISNUMBER($M60)),$M60/$X60,"")</f>
        <v/>
      </c>
      <c r="Z60">
        <f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>
        <f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/>
      </c>
      <c r="AB60">
        <f>IF(ISNUMBER($M60),$M60,0)</f>
        <v/>
      </c>
      <c r="AD60" s="413">
        <f>IF($R60="",0,IF($AA60&gt;0,$AB60*SUMIF(⑳商品別1食労務費!$C$5:$C$124,$R60,⑳商品別1食労務費!$F$5:$F$124)/$AA60,$AB60/$X60))</f>
        <v/>
      </c>
      <c r="AE60" s="413">
        <f>IF($S60="",0,IF($AA60&gt;0,$AB60*SUMIF(⑳商品別1食労務費!$C$5:$C$124,$S60,⑳商品別1食労務費!$F$5:$F$124)/$AA60,$AB60/$X60))</f>
        <v/>
      </c>
      <c r="AF60" s="413">
        <f>IF($T60="",0,IF($AA60&gt;0,$AB60*SUMIF(⑳商品別1食労務費!$C$5:$C$124,$T60,⑳商品別1食労務費!$F$5:$F$124)/$AA60,$AB60/$X60))</f>
        <v/>
      </c>
      <c r="AG60" s="413">
        <f>IF($U60="",0,IF($AA60&gt;0,$AB60*SUMIF(⑳商品別1食労務費!$C$5:$C$124,$U60,⑳商品別1食労務費!$F$5:$F$124)/$AA60,$AB60/$X60))</f>
        <v/>
      </c>
      <c r="AH60" s="413">
        <f>IF($V60="",0,IF($AA60&gt;0,$AB60*SUMIF(⑳商品別1食労務費!$C$5:$C$124,$V60,⑳商品別1食労務費!$F$5:$F$124)/$AA60,$AB60/$X60))</f>
        <v/>
      </c>
      <c r="AI60" s="413">
        <f>IF($W60="",0,IF($AA60&gt;0,$AB60*SUMIF(⑳商品別1食労務費!$C$5:$C$124,$W60,⑳商品別1食労務費!$F$5:$F$124)/$AA60,$AB60/$X60))</f>
        <v/>
      </c>
    </row>
    <row r="61" ht="16" customHeight="1" s="438">
      <c r="A61" s="243" t="n"/>
      <c r="B61" s="243" t="n"/>
      <c r="C61" s="340" t="n"/>
      <c r="D61" s="339" t="n"/>
      <c r="E61" s="339" t="n"/>
      <c r="F61" s="243">
        <f>IF(OR(D61="",E61=""),"",(E61-D61)*1440)</f>
        <v/>
      </c>
      <c r="G61" s="243" t="n"/>
      <c r="H61" s="243" t="n"/>
      <c r="I61" s="243" t="n"/>
      <c r="J61" s="243" t="n"/>
      <c r="K61" s="243">
        <f>IF(AND(I61&gt;0,ISNUMBER(F61)),I61/(F61/60),"")</f>
        <v/>
      </c>
      <c r="L61" s="243">
        <f>IF(AND(J61&gt;0,ISNUMBER(F61)),J61/(F61/60),"")</f>
        <v/>
      </c>
      <c r="M61" s="243">
        <f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243">
        <f>IF(AND(I61&gt;0,ISNUMBER(M61)),M61/I61,"")</f>
        <v/>
      </c>
      <c r="O61" s="243">
        <f>IF(AND(J61&gt;0,ISNUMBER(M61)),M61/J61,"")</f>
        <v/>
      </c>
      <c r="P61" s="243" t="n"/>
      <c r="Q61" s="243" t="n"/>
      <c r="R61" s="340" t="n"/>
      <c r="S61" s="340" t="n"/>
      <c r="T61" s="340" t="n"/>
      <c r="U61" s="340" t="n"/>
      <c r="V61" s="340" t="n"/>
      <c r="W61" s="340" t="n"/>
      <c r="X61">
        <f>COUNTA(R61:W61)</f>
        <v/>
      </c>
      <c r="Y61">
        <f>IF(AND($X61&gt;0,ISNUMBER($M61)),$M61/$X61,"")</f>
        <v/>
      </c>
      <c r="Z61">
        <f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>
        <f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/>
      </c>
      <c r="AB61">
        <f>IF(ISNUMBER($M61),$M61,0)</f>
        <v/>
      </c>
      <c r="AD61" s="413">
        <f>IF($R61="",0,IF($AA61&gt;0,$AB61*SUMIF(⑳商品別1食労務費!$C$5:$C$124,$R61,⑳商品別1食労務費!$F$5:$F$124)/$AA61,$AB61/$X61))</f>
        <v/>
      </c>
      <c r="AE61" s="413">
        <f>IF($S61="",0,IF($AA61&gt;0,$AB61*SUMIF(⑳商品別1食労務費!$C$5:$C$124,$S61,⑳商品別1食労務費!$F$5:$F$124)/$AA61,$AB61/$X61))</f>
        <v/>
      </c>
      <c r="AF61" s="413">
        <f>IF($T61="",0,IF($AA61&gt;0,$AB61*SUMIF(⑳商品別1食労務費!$C$5:$C$124,$T61,⑳商品別1食労務費!$F$5:$F$124)/$AA61,$AB61/$X61))</f>
        <v/>
      </c>
      <c r="AG61" s="413">
        <f>IF($U61="",0,IF($AA61&gt;0,$AB61*SUMIF(⑳商品別1食労務費!$C$5:$C$124,$U61,⑳商品別1食労務費!$F$5:$F$124)/$AA61,$AB61/$X61))</f>
        <v/>
      </c>
      <c r="AH61" s="413">
        <f>IF($V61="",0,IF($AA61&gt;0,$AB61*SUMIF(⑳商品別1食労務費!$C$5:$C$124,$V61,⑳商品別1食労務費!$F$5:$F$124)/$AA61,$AB61/$X61))</f>
        <v/>
      </c>
      <c r="AI61" s="413">
        <f>IF($W61="",0,IF($AA61&gt;0,$AB61*SUMIF(⑳商品別1食労務費!$C$5:$C$124,$W61,⑳商品別1食労務費!$F$5:$F$124)/$AA61,$AB61/$X61))</f>
        <v/>
      </c>
    </row>
    <row r="62" ht="16" customHeight="1" s="438">
      <c r="A62" s="243" t="n"/>
      <c r="B62" s="243" t="n"/>
      <c r="C62" s="340" t="n"/>
      <c r="D62" s="339" t="n"/>
      <c r="E62" s="339" t="n"/>
      <c r="F62" s="243">
        <f>IF(OR(D62="",E62=""),"",(E62-D62)*1440)</f>
        <v/>
      </c>
      <c r="G62" s="243" t="n"/>
      <c r="H62" s="243" t="n"/>
      <c r="I62" s="243" t="n"/>
      <c r="J62" s="243" t="n"/>
      <c r="K62" s="243">
        <f>IF(AND(I62&gt;0,ISNUMBER(F62)),I62/(F62/60),"")</f>
        <v/>
      </c>
      <c r="L62" s="243">
        <f>IF(AND(J62&gt;0,ISNUMBER(F62)),J62/(F62/60),"")</f>
        <v/>
      </c>
      <c r="M62" s="243">
        <f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243">
        <f>IF(AND(I62&gt;0,ISNUMBER(M62)),M62/I62,"")</f>
        <v/>
      </c>
      <c r="O62" s="243">
        <f>IF(AND(J62&gt;0,ISNUMBER(M62)),M62/J62,"")</f>
        <v/>
      </c>
      <c r="P62" s="243" t="n"/>
      <c r="Q62" s="243" t="n"/>
      <c r="R62" s="340" t="n"/>
      <c r="S62" s="340" t="n"/>
      <c r="T62" s="340" t="n"/>
      <c r="U62" s="340" t="n"/>
      <c r="V62" s="340" t="n"/>
      <c r="W62" s="340" t="n"/>
      <c r="X62">
        <f>COUNTA(R62:W62)</f>
        <v/>
      </c>
      <c r="Y62">
        <f>IF(AND($X62&gt;0,ISNUMBER($M62)),$M62/$X62,"")</f>
        <v/>
      </c>
      <c r="Z62">
        <f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>
        <f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/>
      </c>
      <c r="AB62">
        <f>IF(ISNUMBER($M62),$M62,0)</f>
        <v/>
      </c>
      <c r="AD62" s="413">
        <f>IF($R62="",0,IF($AA62&gt;0,$AB62*SUMIF(⑳商品別1食労務費!$C$5:$C$124,$R62,⑳商品別1食労務費!$F$5:$F$124)/$AA62,$AB62/$X62))</f>
        <v/>
      </c>
      <c r="AE62" s="413">
        <f>IF($S62="",0,IF($AA62&gt;0,$AB62*SUMIF(⑳商品別1食労務費!$C$5:$C$124,$S62,⑳商品別1食労務費!$F$5:$F$124)/$AA62,$AB62/$X62))</f>
        <v/>
      </c>
      <c r="AF62" s="413">
        <f>IF($T62="",0,IF($AA62&gt;0,$AB62*SUMIF(⑳商品別1食労務費!$C$5:$C$124,$T62,⑳商品別1食労務費!$F$5:$F$124)/$AA62,$AB62/$X62))</f>
        <v/>
      </c>
      <c r="AG62" s="413">
        <f>IF($U62="",0,IF($AA62&gt;0,$AB62*SUMIF(⑳商品別1食労務費!$C$5:$C$124,$U62,⑳商品別1食労務費!$F$5:$F$124)/$AA62,$AB62/$X62))</f>
        <v/>
      </c>
      <c r="AH62" s="413">
        <f>IF($V62="",0,IF($AA62&gt;0,$AB62*SUMIF(⑳商品別1食労務費!$C$5:$C$124,$V62,⑳商品別1食労務費!$F$5:$F$124)/$AA62,$AB62/$X62))</f>
        <v/>
      </c>
      <c r="AI62" s="413">
        <f>IF($W62="",0,IF($AA62&gt;0,$AB62*SUMIF(⑳商品別1食労務費!$C$5:$C$124,$W62,⑳商品別1食労務費!$F$5:$F$124)/$AA62,$AB62/$X62))</f>
        <v/>
      </c>
    </row>
    <row r="63" ht="16" customHeight="1" s="438">
      <c r="A63" s="243" t="n"/>
      <c r="B63" s="243" t="n"/>
      <c r="C63" s="340" t="n"/>
      <c r="D63" s="339" t="n"/>
      <c r="E63" s="339" t="n"/>
      <c r="F63" s="243">
        <f>IF(OR(D63="",E63=""),"",(E63-D63)*1440)</f>
        <v/>
      </c>
      <c r="G63" s="243" t="n"/>
      <c r="H63" s="243" t="n"/>
      <c r="I63" s="243" t="n"/>
      <c r="J63" s="243" t="n"/>
      <c r="K63" s="243">
        <f>IF(AND(I63&gt;0,ISNUMBER(F63)),I63/(F63/60),"")</f>
        <v/>
      </c>
      <c r="L63" s="243">
        <f>IF(AND(J63&gt;0,ISNUMBER(F63)),J63/(F63/60),"")</f>
        <v/>
      </c>
      <c r="M63" s="243">
        <f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243">
        <f>IF(AND(I63&gt;0,ISNUMBER(M63)),M63/I63,"")</f>
        <v/>
      </c>
      <c r="O63" s="243">
        <f>IF(AND(J63&gt;0,ISNUMBER(M63)),M63/J63,"")</f>
        <v/>
      </c>
      <c r="P63" s="243" t="n"/>
      <c r="Q63" s="243" t="n"/>
      <c r="R63" s="340" t="n"/>
      <c r="S63" s="340" t="n"/>
      <c r="T63" s="340" t="n"/>
      <c r="U63" s="340" t="n"/>
      <c r="V63" s="340" t="n"/>
      <c r="W63" s="340" t="n"/>
      <c r="X63">
        <f>COUNTA(R63:W63)</f>
        <v/>
      </c>
      <c r="Y63">
        <f>IF(AND($X63&gt;0,ISNUMBER($M63)),$M63/$X63,"")</f>
        <v/>
      </c>
      <c r="Z63">
        <f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>
        <f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/>
      </c>
      <c r="AB63">
        <f>IF(ISNUMBER($M63),$M63,0)</f>
        <v/>
      </c>
      <c r="AD63" s="413">
        <f>IF($R63="",0,IF($AA63&gt;0,$AB63*SUMIF(⑳商品別1食労務費!$C$5:$C$124,$R63,⑳商品別1食労務費!$F$5:$F$124)/$AA63,$AB63/$X63))</f>
        <v/>
      </c>
      <c r="AE63" s="413">
        <f>IF($S63="",0,IF($AA63&gt;0,$AB63*SUMIF(⑳商品別1食労務費!$C$5:$C$124,$S63,⑳商品別1食労務費!$F$5:$F$124)/$AA63,$AB63/$X63))</f>
        <v/>
      </c>
      <c r="AF63" s="413">
        <f>IF($T63="",0,IF($AA63&gt;0,$AB63*SUMIF(⑳商品別1食労務費!$C$5:$C$124,$T63,⑳商品別1食労務費!$F$5:$F$124)/$AA63,$AB63/$X63))</f>
        <v/>
      </c>
      <c r="AG63" s="413">
        <f>IF($U63="",0,IF($AA63&gt;0,$AB63*SUMIF(⑳商品別1食労務費!$C$5:$C$124,$U63,⑳商品別1食労務費!$F$5:$F$124)/$AA63,$AB63/$X63))</f>
        <v/>
      </c>
      <c r="AH63" s="413">
        <f>IF($V63="",0,IF($AA63&gt;0,$AB63*SUMIF(⑳商品別1食労務費!$C$5:$C$124,$V63,⑳商品別1食労務費!$F$5:$F$124)/$AA63,$AB63/$X63))</f>
        <v/>
      </c>
      <c r="AI63" s="413">
        <f>IF($W63="",0,IF($AA63&gt;0,$AB63*SUMIF(⑳商品別1食労務費!$C$5:$C$124,$W63,⑳商品別1食労務費!$F$5:$F$124)/$AA63,$AB63/$X63))</f>
        <v/>
      </c>
    </row>
    <row r="64" ht="16" customHeight="1" s="438">
      <c r="A64" s="243" t="n"/>
      <c r="B64" s="243" t="n"/>
      <c r="C64" s="340" t="n"/>
      <c r="D64" s="339" t="n"/>
      <c r="E64" s="339" t="n"/>
      <c r="F64" s="243">
        <f>IF(OR(D64="",E64=""),"",(E64-D64)*1440)</f>
        <v/>
      </c>
      <c r="G64" s="243" t="n"/>
      <c r="H64" s="243" t="n"/>
      <c r="I64" s="243" t="n"/>
      <c r="J64" s="243" t="n"/>
      <c r="K64" s="243">
        <f>IF(AND(I64&gt;0,ISNUMBER(F64)),I64/(F64/60),"")</f>
        <v/>
      </c>
      <c r="L64" s="243">
        <f>IF(AND(J64&gt;0,ISNUMBER(F64)),J64/(F64/60),"")</f>
        <v/>
      </c>
      <c r="M64" s="243">
        <f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243">
        <f>IF(AND(I64&gt;0,ISNUMBER(M64)),M64/I64,"")</f>
        <v/>
      </c>
      <c r="O64" s="243">
        <f>IF(AND(J64&gt;0,ISNUMBER(M64)),M64/J64,"")</f>
        <v/>
      </c>
      <c r="P64" s="243" t="n"/>
      <c r="Q64" s="243" t="n"/>
      <c r="R64" s="340" t="n"/>
      <c r="S64" s="340" t="n"/>
      <c r="T64" s="340" t="n"/>
      <c r="U64" s="340" t="n"/>
      <c r="V64" s="340" t="n"/>
      <c r="W64" s="340" t="n"/>
      <c r="X64">
        <f>COUNTA(R64:W64)</f>
        <v/>
      </c>
      <c r="Y64">
        <f>IF(AND($X64&gt;0,ISNUMBER($M64)),$M64/$X64,"")</f>
        <v/>
      </c>
      <c r="Z64">
        <f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>
        <f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/>
      </c>
      <c r="AB64">
        <f>IF(ISNUMBER($M64),$M64,0)</f>
        <v/>
      </c>
      <c r="AD64" s="413">
        <f>IF($R64="",0,IF($AA64&gt;0,$AB64*SUMIF(⑳商品別1食労務費!$C$5:$C$124,$R64,⑳商品別1食労務費!$F$5:$F$124)/$AA64,$AB64/$X64))</f>
        <v/>
      </c>
      <c r="AE64" s="413">
        <f>IF($S64="",0,IF($AA64&gt;0,$AB64*SUMIF(⑳商品別1食労務費!$C$5:$C$124,$S64,⑳商品別1食労務費!$F$5:$F$124)/$AA64,$AB64/$X64))</f>
        <v/>
      </c>
      <c r="AF64" s="413">
        <f>IF($T64="",0,IF($AA64&gt;0,$AB64*SUMIF(⑳商品別1食労務費!$C$5:$C$124,$T64,⑳商品別1食労務費!$F$5:$F$124)/$AA64,$AB64/$X64))</f>
        <v/>
      </c>
      <c r="AG64" s="413">
        <f>IF($U64="",0,IF($AA64&gt;0,$AB64*SUMIF(⑳商品別1食労務費!$C$5:$C$124,$U64,⑳商品別1食労務費!$F$5:$F$124)/$AA64,$AB64/$X64))</f>
        <v/>
      </c>
      <c r="AH64" s="413">
        <f>IF($V64="",0,IF($AA64&gt;0,$AB64*SUMIF(⑳商品別1食労務費!$C$5:$C$124,$V64,⑳商品別1食労務費!$F$5:$F$124)/$AA64,$AB64/$X64))</f>
        <v/>
      </c>
      <c r="AI64" s="413">
        <f>IF($W64="",0,IF($AA64&gt;0,$AB64*SUMIF(⑳商品別1食労務費!$C$5:$C$124,$W64,⑳商品別1食労務費!$F$5:$F$124)/$AA64,$AB64/$X64))</f>
        <v/>
      </c>
    </row>
    <row r="65" ht="16" customHeight="1" s="438">
      <c r="A65" s="243" t="n"/>
      <c r="B65" s="243" t="n"/>
      <c r="C65" s="340" t="n"/>
      <c r="D65" s="339" t="n"/>
      <c r="E65" s="339" t="n"/>
      <c r="F65" s="243">
        <f>IF(OR(D65="",E65=""),"",(E65-D65)*1440)</f>
        <v/>
      </c>
      <c r="G65" s="243" t="n"/>
      <c r="H65" s="243" t="n"/>
      <c r="I65" s="243" t="n"/>
      <c r="J65" s="243" t="n"/>
      <c r="K65" s="243">
        <f>IF(AND(I65&gt;0,ISNUMBER(F65)),I65/(F65/60),"")</f>
        <v/>
      </c>
      <c r="L65" s="243">
        <f>IF(AND(J65&gt;0,ISNUMBER(F65)),J65/(F65/60),"")</f>
        <v/>
      </c>
      <c r="M65" s="243">
        <f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243">
        <f>IF(AND(I65&gt;0,ISNUMBER(M65)),M65/I65,"")</f>
        <v/>
      </c>
      <c r="O65" s="243">
        <f>IF(AND(J65&gt;0,ISNUMBER(M65)),M65/J65,"")</f>
        <v/>
      </c>
      <c r="P65" s="243" t="n"/>
      <c r="Q65" s="243" t="n"/>
      <c r="R65" s="340" t="n"/>
      <c r="S65" s="340" t="n"/>
      <c r="T65" s="340" t="n"/>
      <c r="U65" s="340" t="n"/>
      <c r="V65" s="340" t="n"/>
      <c r="W65" s="340" t="n"/>
      <c r="X65">
        <f>COUNTA(R65:W65)</f>
        <v/>
      </c>
      <c r="Y65">
        <f>IF(AND($X65&gt;0,ISNUMBER($M65)),$M65/$X65,"")</f>
        <v/>
      </c>
      <c r="Z65">
        <f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>
        <f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/>
      </c>
      <c r="AB65">
        <f>IF(ISNUMBER($M65),$M65,0)</f>
        <v/>
      </c>
      <c r="AD65" s="413">
        <f>IF($R65="",0,IF($AA65&gt;0,$AB65*SUMIF(⑳商品別1食労務費!$C$5:$C$124,$R65,⑳商品別1食労務費!$F$5:$F$124)/$AA65,$AB65/$X65))</f>
        <v/>
      </c>
      <c r="AE65" s="413">
        <f>IF($S65="",0,IF($AA65&gt;0,$AB65*SUMIF(⑳商品別1食労務費!$C$5:$C$124,$S65,⑳商品別1食労務費!$F$5:$F$124)/$AA65,$AB65/$X65))</f>
        <v/>
      </c>
      <c r="AF65" s="413">
        <f>IF($T65="",0,IF($AA65&gt;0,$AB65*SUMIF(⑳商品別1食労務費!$C$5:$C$124,$T65,⑳商品別1食労務費!$F$5:$F$124)/$AA65,$AB65/$X65))</f>
        <v/>
      </c>
      <c r="AG65" s="413">
        <f>IF($U65="",0,IF($AA65&gt;0,$AB65*SUMIF(⑳商品別1食労務費!$C$5:$C$124,$U65,⑳商品別1食労務費!$F$5:$F$124)/$AA65,$AB65/$X65))</f>
        <v/>
      </c>
      <c r="AH65" s="413">
        <f>IF($V65="",0,IF($AA65&gt;0,$AB65*SUMIF(⑳商品別1食労務費!$C$5:$C$124,$V65,⑳商品別1食労務費!$F$5:$F$124)/$AA65,$AB65/$X65))</f>
        <v/>
      </c>
      <c r="AI65" s="413">
        <f>IF($W65="",0,IF($AA65&gt;0,$AB65*SUMIF(⑳商品別1食労務費!$C$5:$C$124,$W65,⑳商品別1食労務費!$F$5:$F$124)/$AA65,$AB65/$X65))</f>
        <v/>
      </c>
    </row>
    <row r="66" ht="22" customHeight="1" s="438">
      <c r="A66" s="248" t="inlineStr">
        <is>
          <t>合計/平均</t>
        </is>
      </c>
      <c r="B66" s="248" t="n"/>
      <c r="C66" s="248" t="n"/>
      <c r="D66" s="248" t="n"/>
      <c r="E66" s="248" t="n"/>
      <c r="F66" s="248" t="n"/>
      <c r="G66" s="248" t="n"/>
      <c r="H66" s="248" t="n"/>
      <c r="I66" s="248">
        <f>SUM(I6:I65)</f>
        <v/>
      </c>
      <c r="J66" s="248">
        <f>SUM(J6:J65)</f>
        <v/>
      </c>
      <c r="K66" s="248">
        <f>IFERROR(AVERAGEIF(K6:K65,"&gt;0"),"-")</f>
        <v/>
      </c>
      <c r="L66" s="248">
        <f>IFERROR(AVERAGEIF(L6:L65,"&gt;0"),"-")</f>
        <v/>
      </c>
      <c r="M66" s="248">
        <f>SUM(M6:M65)</f>
        <v/>
      </c>
      <c r="N66" s="248">
        <f>IFERROR(AVERAGEIF(N6:N65,"&gt;0"),"-")</f>
        <v/>
      </c>
      <c r="O66" s="248">
        <f>IFERROR(AVERAGEIF(O6:O65,"&gt;0"),"-")</f>
        <v/>
      </c>
      <c r="P66" s="248" t="n"/>
      <c r="Q66" s="248" t="n"/>
    </row>
  </sheetData>
  <mergeCells count="10">
    <mergeCell ref="A4:B4"/>
    <mergeCell ref="P4:Q4"/>
    <mergeCell ref="I4:J4"/>
    <mergeCell ref="C4"/>
    <mergeCell ref="M4:O4"/>
    <mergeCell ref="A2:Q2"/>
    <mergeCell ref="K4:L4"/>
    <mergeCell ref="R4:S4"/>
    <mergeCell ref="A1:Q1"/>
    <mergeCell ref="D4:G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6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G11" sqref="G11"/>
    </sheetView>
  </sheetViews>
  <sheetFormatPr baseColWidth="8" defaultColWidth="26" defaultRowHeight="13"/>
  <cols>
    <col width="5" customWidth="1" style="456" min="1" max="1"/>
    <col width="12" customWidth="1" style="456" min="2" max="2"/>
    <col width="62.1796875" bestFit="1" customWidth="1" style="456" min="3" max="3"/>
    <col width="8" customWidth="1" style="456" min="4" max="5"/>
    <col width="9" customWidth="1" style="456" min="6" max="6"/>
    <col width="10" customWidth="1" style="456" min="7" max="8"/>
    <col width="12" customWidth="1" style="456" min="9" max="13"/>
    <col width="10" customWidth="1" style="456" min="14" max="16"/>
    <col width="14" customWidth="1" style="456" min="17" max="17"/>
    <col width="26" customWidth="1" style="456" min="18" max="18"/>
    <col width="26" customWidth="1" style="438" min="19" max="19"/>
    <col width="26" customWidth="1" style="456" min="20" max="20"/>
    <col width="26" customWidth="1" style="438" min="21" max="23"/>
    <col width="14" customWidth="1" style="438" min="24" max="28"/>
    <col width="26" customWidth="1" style="456" min="29" max="29"/>
    <col width="12" customWidth="1" style="438" min="30" max="35"/>
    <col width="26" customWidth="1" style="456" min="36" max="39"/>
    <col width="26" customWidth="1" style="456" min="40" max="16384"/>
  </cols>
  <sheetData>
    <row r="1" ht="26" customHeight="1" s="438">
      <c r="A1" s="493" t="inlineStr">
        <is>
          <t>⑬計量工程入力台帳　毎週更新　|　重量(kg)・個数(個)どちらに入力しても生産性・労務費が自動計算</t>
        </is>
      </c>
    </row>
    <row r="2" ht="18" customHeight="1" s="438">
      <c r="A2" s="491" t="inlineStr">
        <is>
          <t>● 黄色セル★ = 毎週入力　|　H列(kg)またはI列(個)のどちらかを入力 → J・K・L・M・N列が自動計算　|　★R列で中間品名を選ぶと、中間品JAN（S列）で⑱〜⑳に労務費がひもづきます</t>
        </is>
      </c>
    </row>
    <row r="3" ht="8" customHeight="1" s="438"/>
    <row r="4" ht="22" customHeight="1" s="438">
      <c r="A4" s="488" t="inlineStr">
        <is>
          <t>基本情報</t>
        </is>
      </c>
      <c r="C4" s="492" t="inlineStr">
        <is>
          <t>商品名★</t>
        </is>
      </c>
      <c r="D4" s="494" t="inlineStr">
        <is>
          <t>時間・作業</t>
        </is>
      </c>
      <c r="I4" s="489" t="inlineStr">
        <is>
          <t>生産量★（どちらかを入力）</t>
        </is>
      </c>
      <c r="K4" s="492" t="inlineStr">
        <is>
          <t>生産性（自動計算）</t>
        </is>
      </c>
      <c r="M4" s="490" t="inlineStr">
        <is>
          <t>労務費（自動計算）</t>
        </is>
      </c>
      <c r="P4" s="488" t="inlineStr">
        <is>
          <t>その他</t>
        </is>
      </c>
      <c r="R4" s="490" t="inlineStr">
        <is>
          <t>中間品ひもづけ</t>
        </is>
      </c>
    </row>
    <row r="5" ht="36" customHeight="1" s="438">
      <c r="A5" s="294" t="inlineStr">
        <is>
          <t>No.</t>
        </is>
      </c>
      <c r="B5" s="294" t="inlineStr">
        <is>
          <t>機器</t>
        </is>
      </c>
      <c r="C5" s="295" t="inlineStr">
        <is>
          <t>商品名★</t>
        </is>
      </c>
      <c r="D5" s="296" t="inlineStr">
        <is>
          <t>開始★</t>
        </is>
      </c>
      <c r="E5" s="296" t="inlineStr">
        <is>
          <t>終了★</t>
        </is>
      </c>
      <c r="F5" s="554" t="inlineStr">
        <is>
          <t>稼働(分)</t>
        </is>
      </c>
      <c r="G5" s="298" t="inlineStr">
        <is>
          <t>実作業(分)★</t>
        </is>
      </c>
      <c r="H5" s="298" t="inlineStr">
        <is>
          <t>人数★</t>
        </is>
      </c>
      <c r="I5" s="555" t="inlineStr">
        <is>
          <t>重量(kg)★
kg入力欄</t>
        </is>
      </c>
      <c r="J5" s="555" t="inlineStr">
        <is>
          <t>個数(個)★
個入力欄</t>
        </is>
      </c>
      <c r="K5" s="300" t="inlineStr">
        <is>
          <t>生産性
(kg/h)</t>
        </is>
      </c>
      <c r="L5" s="556" t="inlineStr">
        <is>
          <t>生産性
(個/h)</t>
        </is>
      </c>
      <c r="M5" s="302" t="inlineStr">
        <is>
          <t>労務費(円)</t>
        </is>
      </c>
      <c r="N5" s="302" t="inlineStr">
        <is>
          <t>円/kg</t>
        </is>
      </c>
      <c r="O5" s="302" t="inlineStr">
        <is>
          <t>円/個</t>
        </is>
      </c>
      <c r="P5" s="294" t="inlineStr">
        <is>
          <t>区分</t>
        </is>
      </c>
      <c r="Q5" s="294" t="inlineStr">
        <is>
          <t>備考</t>
        </is>
      </c>
      <c r="R5" s="295" t="inlineStr">
        <is>
          <t>★商品名①</t>
        </is>
      </c>
      <c r="S5" s="295" t="inlineStr">
        <is>
          <t>★商品名②</t>
        </is>
      </c>
      <c r="T5" s="295" t="inlineStr">
        <is>
          <t>★商品名③</t>
        </is>
      </c>
      <c r="U5" s="295" t="inlineStr">
        <is>
          <t>★商品名④</t>
        </is>
      </c>
      <c r="V5" s="295" t="inlineStr">
        <is>
          <t>★商品名⑤</t>
        </is>
      </c>
      <c r="W5" s="295" t="inlineStr">
        <is>
          <t>★商品名⑥</t>
        </is>
      </c>
      <c r="X5" s="295" t="inlineStr">
        <is>
          <t>振り分け数
自動</t>
        </is>
      </c>
      <c r="Y5" s="295" t="inlineStr">
        <is>
          <t>1商品あたり
労務費(等分・参考)</t>
        </is>
      </c>
      <c r="Z5" s="295" t="inlineStr">
        <is>
          <t>ひもづけ確認</t>
        </is>
      </c>
      <c r="AA5" s="295" t="inlineStr">
        <is>
          <t>選んだ商品の
食数合計</t>
        </is>
      </c>
      <c r="AB5" s="295" t="inlineStr">
        <is>
          <t>労務費(数値)</t>
        </is>
      </c>
      <c r="AD5" s="295" t="inlineStr">
        <is>
          <t>配分額①
(自動)</t>
        </is>
      </c>
      <c r="AE5" s="295" t="inlineStr">
        <is>
          <t>配分額②
(自動)</t>
        </is>
      </c>
      <c r="AF5" s="295" t="inlineStr">
        <is>
          <t>配分額③
(自動)</t>
        </is>
      </c>
      <c r="AG5" s="295" t="inlineStr">
        <is>
          <t>配分額④
(自動)</t>
        </is>
      </c>
      <c r="AH5" s="295" t="inlineStr">
        <is>
          <t>配分額⑤
(自動)</t>
        </is>
      </c>
      <c r="AI5" s="295" t="inlineStr">
        <is>
          <t>配分額⑥
(自動)</t>
        </is>
      </c>
    </row>
    <row r="6" ht="16" customHeight="1" s="438">
      <c r="A6" s="303" t="n">
        <v>1</v>
      </c>
      <c r="B6" s="303" t="inlineStr">
        <is>
          <t>計量</t>
        </is>
      </c>
      <c r="C6" s="340" t="inlineStr">
        <is>
          <t>ロールケーキの割卵</t>
        </is>
      </c>
      <c r="D6" s="339" t="n">
        <v>0.02083333333333333</v>
      </c>
      <c r="E6" s="339" t="n">
        <v>0.09027777777777778</v>
      </c>
      <c r="F6" s="557">
        <f>IF(OR(D6="",E6=""),"",(E6-D6)*1440)</f>
        <v/>
      </c>
      <c r="G6" s="303" t="n">
        <v>100</v>
      </c>
      <c r="H6" s="303" t="n">
        <v>1</v>
      </c>
      <c r="I6" s="303" t="n"/>
      <c r="J6" s="303" t="n"/>
      <c r="K6" s="303">
        <f>IF(AND(I6&gt;0,ISNUMBER(F6)),I6/(F6/60),"")</f>
        <v/>
      </c>
      <c r="L6" s="303">
        <f>IF(AND(J6&gt;0,ISNUMBER(F6)),J6/(F6/60),"")</f>
        <v/>
      </c>
      <c r="M6" s="303">
        <f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/>
      </c>
      <c r="N6" s="303">
        <f>IF(AND(I6&gt;0,ISNUMBER(M6)),M6/I6,"")</f>
        <v/>
      </c>
      <c r="O6" s="303">
        <f>IF(AND(J6&gt;0,ISNUMBER(M6)),M6/J6,"")</f>
        <v/>
      </c>
      <c r="P6" s="303" t="n"/>
      <c r="Q6" s="303" t="n"/>
      <c r="R6" s="340" t="inlineStr">
        <is>
          <t>クリーム爆盛ロールケーキ小</t>
        </is>
      </c>
      <c r="S6" s="340" t="inlineStr">
        <is>
          <t>クリーム爆盛ロールケーキ大</t>
        </is>
      </c>
      <c r="T6" s="340" t="inlineStr">
        <is>
          <t>Ｓクリーム爆盛ロールケキ小</t>
        </is>
      </c>
      <c r="U6" s="340" t="n"/>
      <c r="V6" s="340" t="n"/>
      <c r="W6" s="340" t="n"/>
      <c r="X6">
        <f>COUNTA(R6:W6)</f>
        <v/>
      </c>
      <c r="Y6">
        <f>IF(AND($X6&gt;0,ISNUMBER($M6)),$M6/$X6,"")</f>
        <v/>
      </c>
      <c r="Z6">
        <f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/>
      </c>
      <c r="AA6">
        <f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/>
      </c>
      <c r="AB6">
        <f>IF(ISNUMBER($M6),$M6,0)</f>
        <v/>
      </c>
      <c r="AD6" s="413">
        <f>IF($R6="",0,IF($AA6&gt;0,$AB6*SUMIF(⑳商品別1食労務費!$C$5:$C$124,$R6,⑳商品別1食労務費!$F$5:$F$124)/$AA6,$AB6/$X6))</f>
        <v/>
      </c>
      <c r="AE6" s="413">
        <f>IF($S6="",0,IF($AA6&gt;0,$AB6*SUMIF(⑳商品別1食労務費!$C$5:$C$124,$S6,⑳商品別1食労務費!$F$5:$F$124)/$AA6,$AB6/$X6))</f>
        <v/>
      </c>
      <c r="AF6" s="413">
        <f>IF($T6="",0,IF($AA6&gt;0,$AB6*SUMIF(⑳商品別1食労務費!$C$5:$C$124,$T6,⑳商品別1食労務費!$F$5:$F$124)/$AA6,$AB6/$X6))</f>
        <v/>
      </c>
      <c r="AG6" s="413">
        <f>IF($U6="",0,IF($AA6&gt;0,$AB6*SUMIF(⑳商品別1食労務費!$C$5:$C$124,$U6,⑳商品別1食労務費!$F$5:$F$124)/$AA6,$AB6/$X6))</f>
        <v/>
      </c>
      <c r="AH6" s="413">
        <f>IF($V6="",0,IF($AA6&gt;0,$AB6*SUMIF(⑳商品別1食労務費!$C$5:$C$124,$V6,⑳商品別1食労務費!$F$5:$F$124)/$AA6,$AB6/$X6))</f>
        <v/>
      </c>
      <c r="AI6" s="413">
        <f>IF($W6="",0,IF($AA6&gt;0,$AB6*SUMIF(⑳商品別1食労務費!$C$5:$C$124,$W6,⑳商品別1食労務費!$F$5:$F$124)/$AA6,$AB6/$X6))</f>
        <v/>
      </c>
    </row>
    <row r="7" ht="16" customHeight="1" s="438">
      <c r="A7" s="303" t="n">
        <v>2</v>
      </c>
      <c r="B7" s="303" t="inlineStr">
        <is>
          <t>計量</t>
        </is>
      </c>
      <c r="C7" s="340" t="inlineStr">
        <is>
          <t>チーズケーキ、プリンの割卵</t>
        </is>
      </c>
      <c r="D7" s="339" t="n">
        <v>0.04166666666666666</v>
      </c>
      <c r="E7" s="339" t="n">
        <v>0.09722222222222222</v>
      </c>
      <c r="F7" s="557">
        <f>IF(OR(D7="",E7=""),"",(E7-D7)*1440)</f>
        <v/>
      </c>
      <c r="G7" s="303" t="n">
        <v>80</v>
      </c>
      <c r="H7" s="303" t="n">
        <v>1</v>
      </c>
      <c r="I7" s="303" t="n"/>
      <c r="J7" s="303" t="n"/>
      <c r="K7" s="303">
        <f>IF(AND(I7&gt;0,ISNUMBER(F7)),I7/(F7/60),"")</f>
        <v/>
      </c>
      <c r="L7" s="303">
        <f>IF(AND(J7&gt;0,ISNUMBER(F7)),J7/(F7/60),"")</f>
        <v/>
      </c>
      <c r="M7" s="303">
        <f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303">
        <f>IF(AND(I7&gt;0,ISNUMBER(M7)),M7/I7,"")</f>
        <v/>
      </c>
      <c r="O7" s="303">
        <f>IF(AND(J7&gt;0,ISNUMBER(M7)),M7/J7,"")</f>
        <v/>
      </c>
      <c r="P7" s="303" t="n"/>
      <c r="Q7" s="303" t="n"/>
      <c r="R7" s="340" t="inlineStr">
        <is>
          <t>２層仕立てのチーズケーキ</t>
        </is>
      </c>
      <c r="S7" s="340" t="inlineStr">
        <is>
          <t>Ｓ２層仕立てのチーズケーキ</t>
        </is>
      </c>
      <c r="T7" s="340" t="n"/>
      <c r="U7" s="340" t="n"/>
      <c r="V7" s="340" t="n"/>
      <c r="W7" s="340" t="n"/>
      <c r="X7">
        <f>COUNTA(R7:W7)</f>
        <v/>
      </c>
      <c r="Y7">
        <f>IF(AND($X7&gt;0,ISNUMBER($M7)),$M7/$X7,"")</f>
        <v/>
      </c>
      <c r="Z7">
        <f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/>
      </c>
      <c r="AA7">
        <f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/>
      </c>
      <c r="AB7">
        <f>IF(ISNUMBER($M7),$M7,0)</f>
        <v/>
      </c>
      <c r="AD7" s="413">
        <f>IF($R7="",0,IF($AA7&gt;0,$AB7*SUMIF(⑳商品別1食労務費!$C$5:$C$124,$R7,⑳商品別1食労務費!$F$5:$F$124)/$AA7,$AB7/$X7))</f>
        <v/>
      </c>
      <c r="AE7" s="413">
        <f>IF($S7="",0,IF($AA7&gt;0,$AB7*SUMIF(⑳商品別1食労務費!$C$5:$C$124,$S7,⑳商品別1食労務費!$F$5:$F$124)/$AA7,$AB7/$X7))</f>
        <v/>
      </c>
      <c r="AF7" s="413">
        <f>IF($T7="",0,IF($AA7&gt;0,$AB7*SUMIF(⑳商品別1食労務費!$C$5:$C$124,$T7,⑳商品別1食労務費!$F$5:$F$124)/$AA7,$AB7/$X7))</f>
        <v/>
      </c>
      <c r="AG7" s="413">
        <f>IF($U7="",0,IF($AA7&gt;0,$AB7*SUMIF(⑳商品別1食労務費!$C$5:$C$124,$U7,⑳商品別1食労務費!$F$5:$F$124)/$AA7,$AB7/$X7))</f>
        <v/>
      </c>
      <c r="AH7" s="413">
        <f>IF($V7="",0,IF($AA7&gt;0,$AB7*SUMIF(⑳商品別1食労務費!$C$5:$C$124,$V7,⑳商品別1食労務費!$F$5:$F$124)/$AA7,$AB7/$X7))</f>
        <v/>
      </c>
      <c r="AI7" s="413">
        <f>IF($W7="",0,IF($AA7&gt;0,$AB7*SUMIF(⑳商品別1食労務費!$C$5:$C$124,$W7,⑳商品別1食労務費!$F$5:$F$124)/$AA7,$AB7/$X7))</f>
        <v/>
      </c>
    </row>
    <row r="8" ht="16" customHeight="1" s="438">
      <c r="A8" s="303" t="n">
        <v>4</v>
      </c>
      <c r="B8" s="303" t="inlineStr">
        <is>
          <t>計量</t>
        </is>
      </c>
      <c r="C8" s="340" t="inlineStr">
        <is>
          <t>スイートポテトの割卵</t>
        </is>
      </c>
      <c r="D8" s="339" t="n">
        <v>0.1458333333333333</v>
      </c>
      <c r="E8" s="339" t="n">
        <v>0.15625</v>
      </c>
      <c r="F8" s="557">
        <f>IF(OR(D8="",E8=""),"",(E8-D8)*1440)</f>
        <v/>
      </c>
      <c r="G8" s="303" t="n">
        <v>15</v>
      </c>
      <c r="H8" s="303" t="n">
        <v>1</v>
      </c>
      <c r="I8" s="303" t="n"/>
      <c r="J8" s="303" t="n"/>
      <c r="K8" s="303">
        <f>IF(AND(I8&gt;0,ISNUMBER(F8)),I8/(F8/60),"")</f>
        <v/>
      </c>
      <c r="L8" s="303">
        <f>IF(AND(J8&gt;0,ISNUMBER(F8)),J8/(F8/60),"")</f>
        <v/>
      </c>
      <c r="M8" s="303">
        <f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303">
        <f>IF(AND(I8&gt;0,ISNUMBER(M8)),M8/I8,"")</f>
        <v/>
      </c>
      <c r="O8" s="303">
        <f>IF(AND(J8&gt;0,ISNUMBER(M8)),M8/J8,"")</f>
        <v/>
      </c>
      <c r="P8" s="303" t="n"/>
      <c r="Q8" s="303" t="n"/>
      <c r="R8" s="340" t="inlineStr">
        <is>
          <t>蜜いもスイートポテト</t>
        </is>
      </c>
      <c r="S8" s="340" t="inlineStr">
        <is>
          <t>Ｓ蜜いもスイートポテト</t>
        </is>
      </c>
      <c r="T8" s="340" t="inlineStr">
        <is>
          <t>Ｓ蜜いもスイートポテト小</t>
        </is>
      </c>
      <c r="U8" s="340" t="n"/>
      <c r="V8" s="340" t="n"/>
      <c r="W8" s="340" t="n"/>
      <c r="X8">
        <f>COUNTA(R8:W8)</f>
        <v/>
      </c>
      <c r="Y8">
        <f>IF(AND($X8&gt;0,ISNUMBER($M8)),$M8/$X8,"")</f>
        <v/>
      </c>
      <c r="Z8">
        <f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/>
      </c>
      <c r="AA8">
        <f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/>
      </c>
      <c r="AB8">
        <f>IF(ISNUMBER($M8),$M8,0)</f>
        <v/>
      </c>
      <c r="AD8" s="413">
        <f>IF($R8="",0,IF($AA8&gt;0,$AB8*SUMIF(⑳商品別1食労務費!$C$5:$C$124,$R8,⑳商品別1食労務費!$F$5:$F$124)/$AA8,$AB8/$X8))</f>
        <v/>
      </c>
      <c r="AE8" s="413">
        <f>IF($S8="",0,IF($AA8&gt;0,$AB8*SUMIF(⑳商品別1食労務費!$C$5:$C$124,$S8,⑳商品別1食労務費!$F$5:$F$124)/$AA8,$AB8/$X8))</f>
        <v/>
      </c>
      <c r="AF8" s="413">
        <f>IF($T8="",0,IF($AA8&gt;0,$AB8*SUMIF(⑳商品別1食労務費!$C$5:$C$124,$T8,⑳商品別1食労務費!$F$5:$F$124)/$AA8,$AB8/$X8))</f>
        <v/>
      </c>
      <c r="AG8" s="413">
        <f>IF($U8="",0,IF($AA8&gt;0,$AB8*SUMIF(⑳商品別1食労務費!$C$5:$C$124,$U8,⑳商品別1食労務費!$F$5:$F$124)/$AA8,$AB8/$X8))</f>
        <v/>
      </c>
      <c r="AH8" s="413">
        <f>IF($V8="",0,IF($AA8&gt;0,$AB8*SUMIF(⑳商品別1食労務費!$C$5:$C$124,$V8,⑳商品別1食労務費!$F$5:$F$124)/$AA8,$AB8/$X8))</f>
        <v/>
      </c>
      <c r="AI8" s="413">
        <f>IF($W8="",0,IF($AA8&gt;0,$AB8*SUMIF(⑳商品別1食労務費!$C$5:$C$124,$W8,⑳商品別1食労務費!$F$5:$F$124)/$AA8,$AB8/$X8))</f>
        <v/>
      </c>
    </row>
    <row r="9" ht="16" customHeight="1" s="438">
      <c r="A9" s="303" t="n">
        <v>5</v>
      </c>
      <c r="B9" s="303" t="inlineStr">
        <is>
          <t>計量</t>
        </is>
      </c>
      <c r="C9" s="340" t="inlineStr">
        <is>
          <t>シュー生地の割卵</t>
        </is>
      </c>
      <c r="D9" s="339" t="n">
        <v>0.1458333333333333</v>
      </c>
      <c r="E9" s="339" t="n">
        <v>0.15625</v>
      </c>
      <c r="F9" s="557">
        <f>IF(OR(D9="",E9=""),"",(E9-D9)*1440)</f>
        <v/>
      </c>
      <c r="G9" s="303" t="n">
        <v>15</v>
      </c>
      <c r="H9" s="303" t="n">
        <v>1</v>
      </c>
      <c r="I9" s="303" t="n"/>
      <c r="J9" s="303" t="n"/>
      <c r="K9" s="303">
        <f>IF(AND(I9&gt;0,ISNUMBER(F9)),I9/(F9/60),"")</f>
        <v/>
      </c>
      <c r="L9" s="303">
        <f>IF(AND(J9&gt;0,ISNUMBER(F9)),J9/(F9/60),"")</f>
        <v/>
      </c>
      <c r="M9" s="303">
        <f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303">
        <f>IF(AND(I9&gt;0,ISNUMBER(M9)),M9/I9,"")</f>
        <v/>
      </c>
      <c r="O9" s="303">
        <f>IF(AND(J9&gt;0,ISNUMBER(M9)),M9/J9,"")</f>
        <v/>
      </c>
      <c r="P9" s="303" t="n"/>
      <c r="Q9" s="303" t="n"/>
      <c r="R9" s="340" t="inlineStr">
        <is>
          <t>ミニシューＢＯＸ</t>
        </is>
      </c>
      <c r="S9" s="340" t="n"/>
      <c r="T9" s="340" t="n"/>
      <c r="U9" s="340" t="n"/>
      <c r="V9" s="340" t="n"/>
      <c r="W9" s="340" t="n"/>
      <c r="X9">
        <f>COUNTA(R9:W9)</f>
        <v/>
      </c>
      <c r="Y9">
        <f>IF(AND($X9&gt;0,ISNUMBER($M9)),$M9/$X9,"")</f>
        <v/>
      </c>
      <c r="Z9">
        <f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/>
      </c>
      <c r="AA9">
        <f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/>
      </c>
      <c r="AB9">
        <f>IF(ISNUMBER($M9),$M9,0)</f>
        <v/>
      </c>
      <c r="AD9" s="413">
        <f>IF($R9="",0,IF($AA9&gt;0,$AB9*SUMIF(⑳商品別1食労務費!$C$5:$C$124,$R9,⑳商品別1食労務費!$F$5:$F$124)/$AA9,$AB9/$X9))</f>
        <v/>
      </c>
      <c r="AE9" s="413">
        <f>IF($S9="",0,IF($AA9&gt;0,$AB9*SUMIF(⑳商品別1食労務費!$C$5:$C$124,$S9,⑳商品別1食労務費!$F$5:$F$124)/$AA9,$AB9/$X9))</f>
        <v/>
      </c>
      <c r="AF9" s="413">
        <f>IF($T9="",0,IF($AA9&gt;0,$AB9*SUMIF(⑳商品別1食労務費!$C$5:$C$124,$T9,⑳商品別1食労務費!$F$5:$F$124)/$AA9,$AB9/$X9))</f>
        <v/>
      </c>
      <c r="AG9" s="413">
        <f>IF($U9="",0,IF($AA9&gt;0,$AB9*SUMIF(⑳商品別1食労務費!$C$5:$C$124,$U9,⑳商品別1食労務費!$F$5:$F$124)/$AA9,$AB9/$X9))</f>
        <v/>
      </c>
      <c r="AH9" s="413">
        <f>IF($V9="",0,IF($AA9&gt;0,$AB9*SUMIF(⑳商品別1食労務費!$C$5:$C$124,$V9,⑳商品別1食労務費!$F$5:$F$124)/$AA9,$AB9/$X9))</f>
        <v/>
      </c>
      <c r="AI9" s="413">
        <f>IF($W9="",0,IF($AA9&gt;0,$AB9*SUMIF(⑳商品別1食労務費!$C$5:$C$124,$W9,⑳商品別1食労務費!$F$5:$F$124)/$AA9,$AB9/$X9))</f>
        <v/>
      </c>
    </row>
    <row r="10" ht="16" customHeight="1" s="438">
      <c r="A10" s="303" t="n">
        <v>6</v>
      </c>
      <c r="B10" s="303" t="inlineStr">
        <is>
          <t>計量</t>
        </is>
      </c>
      <c r="C10" s="340" t="inlineStr">
        <is>
          <t>きな粉</t>
        </is>
      </c>
      <c r="D10" s="339" t="n">
        <v>0.1888888888888889</v>
      </c>
      <c r="E10" s="339" t="n">
        <v>0.2222222222222222</v>
      </c>
      <c r="F10" s="557">
        <f>IF(OR(D10="",E10=""),"",(E10-D10)*1440)</f>
        <v/>
      </c>
      <c r="G10" s="303" t="n">
        <v>48</v>
      </c>
      <c r="H10" s="303" t="n">
        <v>1</v>
      </c>
      <c r="I10" s="303" t="n"/>
      <c r="J10" s="303" t="n"/>
      <c r="K10" s="303">
        <f>IF(AND(I10&gt;0,ISNUMBER(F10)),I10/(F10/60),"")</f>
        <v/>
      </c>
      <c r="L10" s="303">
        <f>IF(AND(J10&gt;0,ISNUMBER(F10)),J10/(F10/60),"")</f>
        <v/>
      </c>
      <c r="M10" s="303">
        <f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303">
        <f>IF(AND(I10&gt;0,ISNUMBER(M10)),M10/I10,"")</f>
        <v/>
      </c>
      <c r="O10" s="303">
        <f>IF(AND(J10&gt;0,ISNUMBER(M10)),M10/J10,"")</f>
        <v/>
      </c>
      <c r="P10" s="303" t="n"/>
      <c r="Q10" s="303" t="n"/>
      <c r="R10" s="340" t="inlineStr">
        <is>
          <t>Ｓお箸でつまんでわらび餅小</t>
        </is>
      </c>
      <c r="S10" s="340" t="inlineStr">
        <is>
          <t>お箸でつまんでわらび餅小</t>
        </is>
      </c>
      <c r="T10" s="340" t="n"/>
      <c r="U10" s="340" t="n"/>
      <c r="V10" s="340" t="n"/>
      <c r="W10" s="340" t="n"/>
      <c r="X10">
        <f>COUNTA(R10:W10)</f>
        <v/>
      </c>
      <c r="Y10">
        <f>IF(AND($X10&gt;0,ISNUMBER($M10)),$M10/$X10,"")</f>
        <v/>
      </c>
      <c r="Z10">
        <f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/>
      </c>
      <c r="AA10">
        <f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/>
      </c>
      <c r="AB10">
        <f>IF(ISNUMBER($M10),$M10,0)</f>
        <v/>
      </c>
      <c r="AD10" s="413">
        <f>IF($R10="",0,IF($AA10&gt;0,$AB10*SUMIF(⑳商品別1食労務費!$C$5:$C$124,$R10,⑳商品別1食労務費!$F$5:$F$124)/$AA10,$AB10/$X10))</f>
        <v/>
      </c>
      <c r="AE10" s="413">
        <f>IF($S10="",0,IF($AA10&gt;0,$AB10*SUMIF(⑳商品別1食労務費!$C$5:$C$124,$S10,⑳商品別1食労務費!$F$5:$F$124)/$AA10,$AB10/$X10))</f>
        <v/>
      </c>
      <c r="AF10" s="413">
        <f>IF($T10="",0,IF($AA10&gt;0,$AB10*SUMIF(⑳商品別1食労務費!$C$5:$C$124,$T10,⑳商品別1食労務費!$F$5:$F$124)/$AA10,$AB10/$X10))</f>
        <v/>
      </c>
      <c r="AG10" s="413">
        <f>IF($U10="",0,IF($AA10&gt;0,$AB10*SUMIF(⑳商品別1食労務費!$C$5:$C$124,$U10,⑳商品別1食労務費!$F$5:$F$124)/$AA10,$AB10/$X10))</f>
        <v/>
      </c>
      <c r="AH10" s="413">
        <f>IF($V10="",0,IF($AA10&gt;0,$AB10*SUMIF(⑳商品別1食労務費!$C$5:$C$124,$V10,⑳商品別1食労務費!$F$5:$F$124)/$AA10,$AB10/$X10))</f>
        <v/>
      </c>
      <c r="AI10" s="413">
        <f>IF($W10="",0,IF($AA10&gt;0,$AB10*SUMIF(⑳商品別1食労務費!$C$5:$C$124,$W10,⑳商品別1食労務費!$F$5:$F$124)/$AA10,$AB10/$X10))</f>
        <v/>
      </c>
    </row>
    <row r="11" ht="16" customHeight="1" s="438">
      <c r="A11" s="303" t="n">
        <v>7</v>
      </c>
      <c r="B11" s="303" t="inlineStr">
        <is>
          <t>計量</t>
        </is>
      </c>
      <c r="C11" s="340" t="inlineStr">
        <is>
          <t>シュー生地</t>
        </is>
      </c>
      <c r="D11" s="339" t="n">
        <v>0.2847222222222222</v>
      </c>
      <c r="E11" s="339" t="n">
        <v>0.375</v>
      </c>
      <c r="F11" s="557">
        <f>IF(OR(D11="",E11=""),"",(E11-D11)*1440)</f>
        <v/>
      </c>
      <c r="G11" s="303" t="n">
        <v>130</v>
      </c>
      <c r="H11" s="303" t="n">
        <v>1</v>
      </c>
      <c r="I11" s="303" t="n"/>
      <c r="J11" s="303" t="n"/>
      <c r="K11" s="303">
        <f>IF(AND(I11&gt;0,ISNUMBER(F11)),I11/(F11/60),"")</f>
        <v/>
      </c>
      <c r="L11" s="303">
        <f>IF(AND(J11&gt;0,ISNUMBER(F11)),J11/(F11/60),"")</f>
        <v/>
      </c>
      <c r="M11" s="303">
        <f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303">
        <f>IF(AND(I11&gt;0,ISNUMBER(M11)),M11/I11,"")</f>
        <v/>
      </c>
      <c r="O11" s="303">
        <f>IF(AND(J11&gt;0,ISNUMBER(M11)),M11/J11,"")</f>
        <v/>
      </c>
      <c r="P11" s="303" t="n"/>
      <c r="Q11" s="303" t="n"/>
      <c r="R11" s="340" t="inlineStr">
        <is>
          <t>ミニシューＢＯＸ</t>
        </is>
      </c>
      <c r="S11" s="340" t="inlineStr">
        <is>
          <t>たっぷりシェアシュー１８</t>
        </is>
      </c>
      <c r="T11" s="340" t="n"/>
      <c r="U11" s="340" t="n"/>
      <c r="V11" s="340" t="n"/>
      <c r="W11" s="340" t="n"/>
      <c r="X11">
        <f>COUNTA(R11:W11)</f>
        <v/>
      </c>
      <c r="Y11">
        <f>IF(AND($X11&gt;0,ISNUMBER($M11)),$M11/$X11,"")</f>
        <v/>
      </c>
      <c r="Z11">
        <f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/>
      </c>
      <c r="AA11">
        <f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/>
      </c>
      <c r="AB11">
        <f>IF(ISNUMBER($M11),$M11,0)</f>
        <v/>
      </c>
      <c r="AD11" s="413">
        <f>IF($R11="",0,IF($AA11&gt;0,$AB11*SUMIF(⑳商品別1食労務費!$C$5:$C$124,$R11,⑳商品別1食労務費!$F$5:$F$124)/$AA11,$AB11/$X11))</f>
        <v/>
      </c>
      <c r="AE11" s="413">
        <f>IF($S11="",0,IF($AA11&gt;0,$AB11*SUMIF(⑳商品別1食労務費!$C$5:$C$124,$S11,⑳商品別1食労務費!$F$5:$F$124)/$AA11,$AB11/$X11))</f>
        <v/>
      </c>
      <c r="AF11" s="413">
        <f>IF($T11="",0,IF($AA11&gt;0,$AB11*SUMIF(⑳商品別1食労務費!$C$5:$C$124,$T11,⑳商品別1食労務費!$F$5:$F$124)/$AA11,$AB11/$X11))</f>
        <v/>
      </c>
      <c r="AG11" s="413">
        <f>IF($U11="",0,IF($AA11&gt;0,$AB11*SUMIF(⑳商品別1食労務費!$C$5:$C$124,$U11,⑳商品別1食労務費!$F$5:$F$124)/$AA11,$AB11/$X11))</f>
        <v/>
      </c>
      <c r="AH11" s="413">
        <f>IF($V11="",0,IF($AA11&gt;0,$AB11*SUMIF(⑳商品別1食労務費!$C$5:$C$124,$V11,⑳商品別1食労務費!$F$5:$F$124)/$AA11,$AB11/$X11))</f>
        <v/>
      </c>
      <c r="AI11" s="413">
        <f>IF($W11="",0,IF($AA11&gt;0,$AB11*SUMIF(⑳商品別1食労務費!$C$5:$C$124,$W11,⑳商品別1食労務費!$F$5:$F$124)/$AA11,$AB11/$X11))</f>
        <v/>
      </c>
    </row>
    <row r="12" ht="16" customHeight="1" s="438">
      <c r="A12" s="303" t="n">
        <v>8</v>
      </c>
      <c r="B12" s="303" t="inlineStr">
        <is>
          <t>計量</t>
        </is>
      </c>
      <c r="C12" s="340" t="inlineStr">
        <is>
          <t>ロールケーキ生地</t>
        </is>
      </c>
      <c r="D12" s="339" t="n">
        <v>0.2916666666666667</v>
      </c>
      <c r="E12" s="339" t="n">
        <v>0.3465277777777778</v>
      </c>
      <c r="F12" s="557">
        <f>IF(OR(D12="",E12=""),"",(E12-D12)*1440)</f>
        <v/>
      </c>
      <c r="G12" s="303" t="n">
        <v>79</v>
      </c>
      <c r="H12" s="303" t="n">
        <v>1</v>
      </c>
      <c r="I12" s="303" t="n"/>
      <c r="J12" s="303" t="n"/>
      <c r="K12" s="303">
        <f>IF(AND(I12&gt;0,ISNUMBER(F12)),I12/(F12/60),"")</f>
        <v/>
      </c>
      <c r="L12" s="303">
        <f>IF(AND(J12&gt;0,ISNUMBER(F12)),J12/(F12/60),"")</f>
        <v/>
      </c>
      <c r="M12" s="303">
        <f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303">
        <f>IF(AND(I12&gt;0,ISNUMBER(M12)),M12/I12,"")</f>
        <v/>
      </c>
      <c r="O12" s="303">
        <f>IF(AND(J12&gt;0,ISNUMBER(M12)),M12/J12,"")</f>
        <v/>
      </c>
      <c r="P12" s="303" t="n"/>
      <c r="Q12" s="303" t="n"/>
      <c r="R12" s="340" t="inlineStr">
        <is>
          <t>クリーム爆盛ロールケーキ小</t>
        </is>
      </c>
      <c r="S12" s="340" t="inlineStr">
        <is>
          <t>クリーム爆盛ロールケーキ大</t>
        </is>
      </c>
      <c r="T12" s="340" t="inlineStr">
        <is>
          <t>Ｓクリーム爆盛ロールケキ小</t>
        </is>
      </c>
      <c r="U12" s="340" t="n"/>
      <c r="V12" s="340" t="n"/>
      <c r="W12" s="340" t="n"/>
      <c r="X12">
        <f>COUNTA(R12:W12)</f>
        <v/>
      </c>
      <c r="Y12">
        <f>IF(AND($X12&gt;0,ISNUMBER($M12)),$M12/$X12,"")</f>
        <v/>
      </c>
      <c r="Z12">
        <f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/>
      </c>
      <c r="AA12">
        <f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/>
      </c>
      <c r="AB12">
        <f>IF(ISNUMBER($M12),$M12,0)</f>
        <v/>
      </c>
      <c r="AD12" s="413">
        <f>IF($R12="",0,IF($AA12&gt;0,$AB12*SUMIF(⑳商品別1食労務費!$C$5:$C$124,$R12,⑳商品別1食労務費!$F$5:$F$124)/$AA12,$AB12/$X12))</f>
        <v/>
      </c>
      <c r="AE12" s="413">
        <f>IF($S12="",0,IF($AA12&gt;0,$AB12*SUMIF(⑳商品別1食労務費!$C$5:$C$124,$S12,⑳商品別1食労務費!$F$5:$F$124)/$AA12,$AB12/$X12))</f>
        <v/>
      </c>
      <c r="AF12" s="413">
        <f>IF($T12="",0,IF($AA12&gt;0,$AB12*SUMIF(⑳商品別1食労務費!$C$5:$C$124,$T12,⑳商品別1食労務費!$F$5:$F$124)/$AA12,$AB12/$X12))</f>
        <v/>
      </c>
      <c r="AG12" s="413">
        <f>IF($U12="",0,IF($AA12&gt;0,$AB12*SUMIF(⑳商品別1食労務費!$C$5:$C$124,$U12,⑳商品別1食労務費!$F$5:$F$124)/$AA12,$AB12/$X12))</f>
        <v/>
      </c>
      <c r="AH12" s="413">
        <f>IF($V12="",0,IF($AA12&gt;0,$AB12*SUMIF(⑳商品別1食労務費!$C$5:$C$124,$V12,⑳商品別1食労務費!$F$5:$F$124)/$AA12,$AB12/$X12))</f>
        <v/>
      </c>
      <c r="AI12" s="413">
        <f>IF($W12="",0,IF($AA12&gt;0,$AB12*SUMIF(⑳商品別1食労務費!$C$5:$C$124,$W12,⑳商品別1食労務費!$F$5:$F$124)/$AA12,$AB12/$X12))</f>
        <v/>
      </c>
    </row>
    <row r="13" ht="16" customHeight="1" s="438">
      <c r="A13" s="303" t="n">
        <v>9</v>
      </c>
      <c r="B13" s="303" t="inlineStr">
        <is>
          <t>計量</t>
        </is>
      </c>
      <c r="C13" s="340" t="inlineStr">
        <is>
          <t>わらび餅</t>
        </is>
      </c>
      <c r="D13" s="339" t="n">
        <v>0.3402777777777778</v>
      </c>
      <c r="E13" s="339" t="n">
        <v>0.3888888888888889</v>
      </c>
      <c r="F13" s="557">
        <f>IF(OR(D13="",E13=""),"",(E13-D13)*1440)</f>
        <v/>
      </c>
      <c r="G13" s="303" t="n">
        <v>70</v>
      </c>
      <c r="H13" s="303" t="n">
        <v>1</v>
      </c>
      <c r="I13" s="303" t="n"/>
      <c r="J13" s="303" t="n"/>
      <c r="K13" s="303">
        <f>IF(AND(I13&gt;0,ISNUMBER(F13)),I13/(F13/60),"")</f>
        <v/>
      </c>
      <c r="L13" s="303">
        <f>IF(AND(J13&gt;0,ISNUMBER(F13)),J13/(F13/60),"")</f>
        <v/>
      </c>
      <c r="M13" s="303">
        <f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303">
        <f>IF(AND(I13&gt;0,ISNUMBER(M13)),M13/I13,"")</f>
        <v/>
      </c>
      <c r="O13" s="303">
        <f>IF(AND(J13&gt;0,ISNUMBER(M13)),M13/J13,"")</f>
        <v/>
      </c>
      <c r="P13" s="303" t="n"/>
      <c r="Q13" s="303" t="n"/>
      <c r="R13" s="340" t="inlineStr">
        <is>
          <t>お箸でつまんでわらび餅小</t>
        </is>
      </c>
      <c r="S13" s="340" t="inlineStr">
        <is>
          <t>Ｓお箸でつまんでわらび餅小</t>
        </is>
      </c>
      <c r="T13" s="340" t="n"/>
      <c r="U13" s="340" t="n"/>
      <c r="V13" s="340" t="n"/>
      <c r="W13" s="340" t="n"/>
      <c r="X13">
        <f>COUNTA(R13:W13)</f>
        <v/>
      </c>
      <c r="Y13">
        <f>IF(AND($X13&gt;0,ISNUMBER($M13)),$M13/$X13,"")</f>
        <v/>
      </c>
      <c r="Z13">
        <f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/>
      </c>
      <c r="AA13">
        <f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/>
      </c>
      <c r="AB13">
        <f>IF(ISNUMBER($M13),$M13,0)</f>
        <v/>
      </c>
      <c r="AD13" s="413">
        <f>IF($R13="",0,IF($AA13&gt;0,$AB13*SUMIF(⑳商品別1食労務費!$C$5:$C$124,$R13,⑳商品別1食労務費!$F$5:$F$124)/$AA13,$AB13/$X13))</f>
        <v/>
      </c>
      <c r="AE13" s="413">
        <f>IF($S13="",0,IF($AA13&gt;0,$AB13*SUMIF(⑳商品別1食労務費!$C$5:$C$124,$S13,⑳商品別1食労務費!$F$5:$F$124)/$AA13,$AB13/$X13))</f>
        <v/>
      </c>
      <c r="AF13" s="413">
        <f>IF($T13="",0,IF($AA13&gt;0,$AB13*SUMIF(⑳商品別1食労務費!$C$5:$C$124,$T13,⑳商品別1食労務費!$F$5:$F$124)/$AA13,$AB13/$X13))</f>
        <v/>
      </c>
      <c r="AG13" s="413">
        <f>IF($U13="",0,IF($AA13&gt;0,$AB13*SUMIF(⑳商品別1食労務費!$C$5:$C$124,$U13,⑳商品別1食労務費!$F$5:$F$124)/$AA13,$AB13/$X13))</f>
        <v/>
      </c>
      <c r="AH13" s="413">
        <f>IF($V13="",0,IF($AA13&gt;0,$AB13*SUMIF(⑳商品別1食労務費!$C$5:$C$124,$V13,⑳商品別1食労務費!$F$5:$F$124)/$AA13,$AB13/$X13))</f>
        <v/>
      </c>
      <c r="AI13" s="413">
        <f>IF($W13="",0,IF($AA13&gt;0,$AB13*SUMIF(⑳商品別1食労務費!$C$5:$C$124,$W13,⑳商品別1食労務費!$F$5:$F$124)/$AA13,$AB13/$X13))</f>
        <v/>
      </c>
    </row>
    <row r="14" ht="16" customHeight="1" s="438">
      <c r="A14" s="303" t="n">
        <v>10</v>
      </c>
      <c r="B14" s="303" t="inlineStr">
        <is>
          <t>計量</t>
        </is>
      </c>
      <c r="C14" s="340" t="inlineStr">
        <is>
          <t>チーズケーキ</t>
        </is>
      </c>
      <c r="D14" s="339" t="n">
        <v>0.4513888888888889</v>
      </c>
      <c r="E14" s="339" t="n">
        <v>0.4618055555555556</v>
      </c>
      <c r="F14" s="557">
        <f>IF(OR(D14="",E14=""),"",(E14-D14)*1440)</f>
        <v/>
      </c>
      <c r="G14" s="303" t="n">
        <v>15</v>
      </c>
      <c r="H14" s="303" t="n">
        <v>1</v>
      </c>
      <c r="I14" s="303" t="n"/>
      <c r="J14" s="303" t="n"/>
      <c r="K14" s="303">
        <f>IF(AND(I14&gt;0,ISNUMBER(F14)),I14/(F14/60),"")</f>
        <v/>
      </c>
      <c r="L14" s="303">
        <f>IF(AND(J14&gt;0,ISNUMBER(F14)),J14/(F14/60),"")</f>
        <v/>
      </c>
      <c r="M14" s="303">
        <f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303">
        <f>IF(AND(I14&gt;0,ISNUMBER(M14)),M14/I14,"")</f>
        <v/>
      </c>
      <c r="O14" s="303">
        <f>IF(AND(J14&gt;0,ISNUMBER(M14)),M14/J14,"")</f>
        <v/>
      </c>
      <c r="P14" s="303" t="n"/>
      <c r="Q14" s="303" t="n"/>
      <c r="R14" s="340" t="inlineStr">
        <is>
          <t>２層仕立てのチーズケーキ</t>
        </is>
      </c>
      <c r="S14" s="340" t="inlineStr">
        <is>
          <t>Ｓ２層仕立てのチーズケーキ</t>
        </is>
      </c>
      <c r="T14" s="340" t="n"/>
      <c r="U14" s="340" t="n"/>
      <c r="V14" s="340" t="n"/>
      <c r="W14" s="340" t="n"/>
      <c r="X14">
        <f>COUNTA(R14:W14)</f>
        <v/>
      </c>
      <c r="Y14">
        <f>IF(AND($X14&gt;0,ISNUMBER($M14)),$M14/$X14,"")</f>
        <v/>
      </c>
      <c r="Z14">
        <f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/>
      </c>
      <c r="AA14">
        <f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/>
      </c>
      <c r="AB14">
        <f>IF(ISNUMBER($M14),$M14,0)</f>
        <v/>
      </c>
      <c r="AD14" s="413">
        <f>IF($R14="",0,IF($AA14&gt;0,$AB14*SUMIF(⑳商品別1食労務費!$C$5:$C$124,$R14,⑳商品別1食労務費!$F$5:$F$124)/$AA14,$AB14/$X14))</f>
        <v/>
      </c>
      <c r="AE14" s="413">
        <f>IF($S14="",0,IF($AA14&gt;0,$AB14*SUMIF(⑳商品別1食労務費!$C$5:$C$124,$S14,⑳商品別1食労務費!$F$5:$F$124)/$AA14,$AB14/$X14))</f>
        <v/>
      </c>
      <c r="AF14" s="413">
        <f>IF($T14="",0,IF($AA14&gt;0,$AB14*SUMIF(⑳商品別1食労務費!$C$5:$C$124,$T14,⑳商品別1食労務費!$F$5:$F$124)/$AA14,$AB14/$X14))</f>
        <v/>
      </c>
      <c r="AG14" s="413">
        <f>IF($U14="",0,IF($AA14&gt;0,$AB14*SUMIF(⑳商品別1食労務費!$C$5:$C$124,$U14,⑳商品別1食労務費!$F$5:$F$124)/$AA14,$AB14/$X14))</f>
        <v/>
      </c>
      <c r="AH14" s="413">
        <f>IF($V14="",0,IF($AA14&gt;0,$AB14*SUMIF(⑳商品別1食労務費!$C$5:$C$124,$V14,⑳商品別1食労務費!$F$5:$F$124)/$AA14,$AB14/$X14))</f>
        <v/>
      </c>
      <c r="AI14" s="413">
        <f>IF($W14="",0,IF($AA14&gt;0,$AB14*SUMIF(⑳商品別1食労務費!$C$5:$C$124,$W14,⑳商品別1食労務費!$F$5:$F$124)/$AA14,$AB14/$X14))</f>
        <v/>
      </c>
    </row>
    <row r="15" ht="16" customHeight="1" s="438">
      <c r="A15" s="303" t="n">
        <v>11</v>
      </c>
      <c r="B15" s="303" t="inlineStr">
        <is>
          <t>計量</t>
        </is>
      </c>
      <c r="C15" s="340" t="inlineStr">
        <is>
          <t>スイートポテト</t>
        </is>
      </c>
      <c r="D15" s="339" t="n">
        <v>0.3055555555555556</v>
      </c>
      <c r="E15" s="339" t="n">
        <v>0.3333333333333333</v>
      </c>
      <c r="F15" s="557">
        <f>IF(OR(D15="",E15=""),"",(E15-D15)*1440)</f>
        <v/>
      </c>
      <c r="G15" s="303" t="n">
        <v>40</v>
      </c>
      <c r="H15" s="303" t="n">
        <v>1</v>
      </c>
      <c r="I15" s="303" t="n"/>
      <c r="J15" s="303" t="n"/>
      <c r="K15" s="303">
        <f>IF(AND(I15&gt;0,ISNUMBER(F15)),I15/(F15/60),"")</f>
        <v/>
      </c>
      <c r="L15" s="303">
        <f>IF(AND(J15&gt;0,ISNUMBER(F15)),J15/(F15/60),"")</f>
        <v/>
      </c>
      <c r="M15" s="303">
        <f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303">
        <f>IF(AND(I15&gt;0,ISNUMBER(M15)),M15/I15,"")</f>
        <v/>
      </c>
      <c r="O15" s="303">
        <f>IF(AND(J15&gt;0,ISNUMBER(M15)),M15/J15,"")</f>
        <v/>
      </c>
      <c r="P15" s="303" t="n"/>
      <c r="Q15" s="303" t="n"/>
      <c r="R15" s="340" t="inlineStr">
        <is>
          <t>蜜いもスイートポテト</t>
        </is>
      </c>
      <c r="S15" s="340" t="inlineStr">
        <is>
          <t>Ｓ蜜いもスイートポテト</t>
        </is>
      </c>
      <c r="T15" s="340" t="inlineStr">
        <is>
          <t>Ｓ蜜いもスイートポテト小</t>
        </is>
      </c>
      <c r="U15" s="340" t="n"/>
      <c r="V15" s="340" t="n"/>
      <c r="W15" s="340" t="n"/>
      <c r="X15">
        <f>COUNTA(R15:W15)</f>
        <v/>
      </c>
      <c r="Y15">
        <f>IF(AND($X15&gt;0,ISNUMBER($M15)),$M15/$X15,"")</f>
        <v/>
      </c>
      <c r="Z15">
        <f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>
        <f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/>
      </c>
      <c r="AB15">
        <f>IF(ISNUMBER($M15),$M15,0)</f>
        <v/>
      </c>
      <c r="AD15" s="413">
        <f>IF($R15="",0,IF($AA15&gt;0,$AB15*SUMIF(⑳商品別1食労務費!$C$5:$C$124,$R15,⑳商品別1食労務費!$F$5:$F$124)/$AA15,$AB15/$X15))</f>
        <v/>
      </c>
      <c r="AE15" s="413">
        <f>IF($S15="",0,IF($AA15&gt;0,$AB15*SUMIF(⑳商品別1食労務費!$C$5:$C$124,$S15,⑳商品別1食労務費!$F$5:$F$124)/$AA15,$AB15/$X15))</f>
        <v/>
      </c>
      <c r="AF15" s="413">
        <f>IF($T15="",0,IF($AA15&gt;0,$AB15*SUMIF(⑳商品別1食労務費!$C$5:$C$124,$T15,⑳商品別1食労務費!$F$5:$F$124)/$AA15,$AB15/$X15))</f>
        <v/>
      </c>
      <c r="AG15" s="413">
        <f>IF($U15="",0,IF($AA15&gt;0,$AB15*SUMIF(⑳商品別1食労務費!$C$5:$C$124,$U15,⑳商品別1食労務費!$F$5:$F$124)/$AA15,$AB15/$X15))</f>
        <v/>
      </c>
      <c r="AH15" s="413">
        <f>IF($V15="",0,IF($AA15&gt;0,$AB15*SUMIF(⑳商品別1食労務費!$C$5:$C$124,$V15,⑳商品別1食労務費!$F$5:$F$124)/$AA15,$AB15/$X15))</f>
        <v/>
      </c>
      <c r="AI15" s="413">
        <f>IF($W15="",0,IF($AA15&gt;0,$AB15*SUMIF(⑳商品別1食労務費!$C$5:$C$124,$W15,⑳商品別1食労務費!$F$5:$F$124)/$AA15,$AB15/$X15))</f>
        <v/>
      </c>
    </row>
    <row r="16" ht="16" customHeight="1" s="438">
      <c r="A16" s="303" t="n">
        <v>12</v>
      </c>
      <c r="B16" s="303" t="inlineStr">
        <is>
          <t>計量</t>
        </is>
      </c>
      <c r="C16" s="340" t="inlineStr">
        <is>
          <t>抹茶わらび餅</t>
        </is>
      </c>
      <c r="D16" s="339" t="n">
        <v>0.4930555555555556</v>
      </c>
      <c r="E16" s="339" t="n">
        <v>0.5694444444444444</v>
      </c>
      <c r="F16" s="557">
        <f>IF(OR(D16="",E16=""),"",(E16-D16)*1440)</f>
        <v/>
      </c>
      <c r="G16" s="303" t="n">
        <v>110</v>
      </c>
      <c r="H16" s="303" t="n">
        <v>1</v>
      </c>
      <c r="I16" s="303" t="n"/>
      <c r="J16" s="303" t="n"/>
      <c r="K16" s="303">
        <f>IF(AND(I16&gt;0,ISNUMBER(F16)),I16/(F16/60),"")</f>
        <v/>
      </c>
      <c r="L16" s="303">
        <f>IF(AND(J16&gt;0,ISNUMBER(F16)),J16/(F16/60),"")</f>
        <v/>
      </c>
      <c r="M16" s="303">
        <f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303">
        <f>IF(AND(I16&gt;0,ISNUMBER(M16)),M16/I16,"")</f>
        <v/>
      </c>
      <c r="O16" s="303">
        <f>IF(AND(J16&gt;0,ISNUMBER(M16)),M16/J16,"")</f>
        <v/>
      </c>
      <c r="P16" s="303" t="n"/>
      <c r="Q16" s="303" t="n"/>
      <c r="R16" s="340" t="inlineStr">
        <is>
          <t>お箸でつまんでわらび餅小</t>
        </is>
      </c>
      <c r="S16" s="340" t="inlineStr">
        <is>
          <t>Ｓお箸でつまんでわらび餅小</t>
        </is>
      </c>
      <c r="T16" s="340" t="n"/>
      <c r="U16" s="340" t="n"/>
      <c r="V16" s="340" t="n"/>
      <c r="W16" s="340" t="n"/>
      <c r="X16">
        <f>COUNTA(R16:W16)</f>
        <v/>
      </c>
      <c r="Y16">
        <f>IF(AND($X16&gt;0,ISNUMBER($M16)),$M16/$X16,"")</f>
        <v/>
      </c>
      <c r="Z16">
        <f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>
        <f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/>
      </c>
      <c r="AB16">
        <f>IF(ISNUMBER($M16),$M16,0)</f>
        <v/>
      </c>
      <c r="AD16" s="413">
        <f>IF($R16="",0,IF($AA16&gt;0,$AB16*SUMIF(⑳商品別1食労務費!$C$5:$C$124,$R16,⑳商品別1食労務費!$F$5:$F$124)/$AA16,$AB16/$X16))</f>
        <v/>
      </c>
      <c r="AE16" s="413">
        <f>IF($S16="",0,IF($AA16&gt;0,$AB16*SUMIF(⑳商品別1食労務費!$C$5:$C$124,$S16,⑳商品別1食労務費!$F$5:$F$124)/$AA16,$AB16/$X16))</f>
        <v/>
      </c>
      <c r="AF16" s="413">
        <f>IF($T16="",0,IF($AA16&gt;0,$AB16*SUMIF(⑳商品別1食労務費!$C$5:$C$124,$T16,⑳商品別1食労務費!$F$5:$F$124)/$AA16,$AB16/$X16))</f>
        <v/>
      </c>
      <c r="AG16" s="413">
        <f>IF($U16="",0,IF($AA16&gt;0,$AB16*SUMIF(⑳商品別1食労務費!$C$5:$C$124,$U16,⑳商品別1食労務費!$F$5:$F$124)/$AA16,$AB16/$X16))</f>
        <v/>
      </c>
      <c r="AH16" s="413">
        <f>IF($V16="",0,IF($AA16&gt;0,$AB16*SUMIF(⑳商品別1食労務費!$C$5:$C$124,$V16,⑳商品別1食労務費!$F$5:$F$124)/$AA16,$AB16/$X16))</f>
        <v/>
      </c>
      <c r="AI16" s="413">
        <f>IF($W16="",0,IF($AA16&gt;0,$AB16*SUMIF(⑳商品別1食労務費!$C$5:$C$124,$W16,⑳商品別1食労務費!$F$5:$F$124)/$AA16,$AB16/$X16))</f>
        <v/>
      </c>
    </row>
    <row r="17" ht="16" customHeight="1" s="438">
      <c r="A17" s="303" t="n">
        <v>13</v>
      </c>
      <c r="B17" s="303" t="inlineStr">
        <is>
          <t>計量</t>
        </is>
      </c>
      <c r="C17" s="340" t="inlineStr">
        <is>
          <t>オーブン</t>
        </is>
      </c>
      <c r="D17" s="339" t="n"/>
      <c r="E17" s="339" t="n"/>
      <c r="F17" s="557">
        <f>IF(OR(D17="",E17=""),"",(E17-D17)*1440)</f>
        <v/>
      </c>
      <c r="G17" s="303" t="n"/>
      <c r="H17" s="303" t="n"/>
      <c r="I17" s="303" t="n"/>
      <c r="J17" s="303" t="n"/>
      <c r="K17" s="303">
        <f>IF(AND(I17&gt;0,ISNUMBER(F17)),I17/(F17/60),"")</f>
        <v/>
      </c>
      <c r="L17" s="303">
        <f>IF(AND(J17&gt;0,ISNUMBER(F17)),J17/(F17/60),"")</f>
        <v/>
      </c>
      <c r="M17" s="303">
        <f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303">
        <f>IF(AND(I17&gt;0,ISNUMBER(M17)),M17/I17,"")</f>
        <v/>
      </c>
      <c r="O17" s="303">
        <f>IF(AND(J17&gt;0,ISNUMBER(M17)),M17/J17,"")</f>
        <v/>
      </c>
      <c r="P17" s="303" t="n"/>
      <c r="Q17" s="303" t="n"/>
      <c r="R17" s="340" t="n"/>
      <c r="S17" s="340" t="n"/>
      <c r="T17" s="340" t="n"/>
      <c r="U17" s="340" t="n"/>
      <c r="V17" s="340" t="n"/>
      <c r="W17" s="340" t="n"/>
      <c r="X17">
        <f>COUNTA(R17:W17)</f>
        <v/>
      </c>
      <c r="Y17">
        <f>IF(AND($X17&gt;0,ISNUMBER($M17)),$M17/$X17,"")</f>
        <v/>
      </c>
      <c r="Z17">
        <f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>
        <f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/>
      </c>
      <c r="AB17">
        <f>IF(ISNUMBER($M17),$M17,0)</f>
        <v/>
      </c>
      <c r="AD17" s="413">
        <f>IF($R17="",0,IF($AA17&gt;0,$AB17*SUMIF(⑳商品別1食労務費!$C$5:$C$124,$R17,⑳商品別1食労務費!$F$5:$F$124)/$AA17,$AB17/$X17))</f>
        <v/>
      </c>
      <c r="AE17" s="413">
        <f>IF($S17="",0,IF($AA17&gt;0,$AB17*SUMIF(⑳商品別1食労務費!$C$5:$C$124,$S17,⑳商品別1食労務費!$F$5:$F$124)/$AA17,$AB17/$X17))</f>
        <v/>
      </c>
      <c r="AF17" s="413">
        <f>IF($T17="",0,IF($AA17&gt;0,$AB17*SUMIF(⑳商品別1食労務費!$C$5:$C$124,$T17,⑳商品別1食労務費!$F$5:$F$124)/$AA17,$AB17/$X17))</f>
        <v/>
      </c>
      <c r="AG17" s="413">
        <f>IF($U17="",0,IF($AA17&gt;0,$AB17*SUMIF(⑳商品別1食労務費!$C$5:$C$124,$U17,⑳商品別1食労務費!$F$5:$F$124)/$AA17,$AB17/$X17))</f>
        <v/>
      </c>
      <c r="AH17" s="413">
        <f>IF($V17="",0,IF($AA17&gt;0,$AB17*SUMIF(⑳商品別1食労務費!$C$5:$C$124,$V17,⑳商品別1食労務費!$F$5:$F$124)/$AA17,$AB17/$X17))</f>
        <v/>
      </c>
      <c r="AI17" s="413">
        <f>IF($W17="",0,IF($AA17&gt;0,$AB17*SUMIF(⑳商品別1食労務費!$C$5:$C$124,$W17,⑳商品別1食労務費!$F$5:$F$124)/$AA17,$AB17/$X17))</f>
        <v/>
      </c>
    </row>
    <row r="18" ht="16" customHeight="1" s="438">
      <c r="A18" s="303" t="n">
        <v>14</v>
      </c>
      <c r="B18" s="303" t="inlineStr">
        <is>
          <t>計量</t>
        </is>
      </c>
      <c r="C18" s="340" t="inlineStr">
        <is>
          <t>クルンジ</t>
        </is>
      </c>
      <c r="D18" s="339" t="n">
        <v>0.08333333333333333</v>
      </c>
      <c r="E18" s="339" t="n">
        <v>0.09722222222222222</v>
      </c>
      <c r="F18" s="557">
        <f>IF(OR(D18="",E18=""),"",(E18-D18)*1440)</f>
        <v/>
      </c>
      <c r="G18" s="303" t="n">
        <v>20</v>
      </c>
      <c r="H18" s="303" t="n">
        <v>1</v>
      </c>
      <c r="I18" s="303" t="n">
        <v>128</v>
      </c>
      <c r="J18" s="303" t="n"/>
      <c r="K18" s="303">
        <f>IF(AND(I18&gt;0,ISNUMBER(F18)),I18/(F18/60),"")</f>
        <v/>
      </c>
      <c r="L18" s="303">
        <f>IF(AND(J18&gt;0,ISNUMBER(F18)),J18/(F18/60),"")</f>
        <v/>
      </c>
      <c r="M18" s="303">
        <f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303">
        <f>IF(AND(I18&gt;0,ISNUMBER(M18)),M18/I18,"")</f>
        <v/>
      </c>
      <c r="O18" s="303">
        <f>IF(AND(J18&gt;0,ISNUMBER(M18)),M18/J18,"")</f>
        <v/>
      </c>
      <c r="P18" s="303" t="n"/>
      <c r="Q18" s="303" t="n"/>
      <c r="R18" s="340" t="inlineStr">
        <is>
          <t>クルンジ２個入</t>
        </is>
      </c>
      <c r="S18" s="340" t="n"/>
      <c r="T18" s="340" t="n"/>
      <c r="U18" s="340" t="n"/>
      <c r="V18" s="340" t="n"/>
      <c r="W18" s="340" t="n"/>
      <c r="X18">
        <f>COUNTA(R18:W18)</f>
        <v/>
      </c>
      <c r="Y18">
        <f>IF(AND($X18&gt;0,ISNUMBER($M18)),$M18/$X18,"")</f>
        <v/>
      </c>
      <c r="Z18">
        <f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>
        <f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/>
      </c>
      <c r="AB18">
        <f>IF(ISNUMBER($M18),$M18,0)</f>
        <v/>
      </c>
      <c r="AD18" s="413">
        <f>IF($R18="",0,IF($AA18&gt;0,$AB18*SUMIF(⑳商品別1食労務費!$C$5:$C$124,$R18,⑳商品別1食労務費!$F$5:$F$124)/$AA18,$AB18/$X18))</f>
        <v/>
      </c>
      <c r="AE18" s="413">
        <f>IF($S18="",0,IF($AA18&gt;0,$AB18*SUMIF(⑳商品別1食労務費!$C$5:$C$124,$S18,⑳商品別1食労務費!$F$5:$F$124)/$AA18,$AB18/$X18))</f>
        <v/>
      </c>
      <c r="AF18" s="413">
        <f>IF($T18="",0,IF($AA18&gt;0,$AB18*SUMIF(⑳商品別1食労務費!$C$5:$C$124,$T18,⑳商品別1食労務費!$F$5:$F$124)/$AA18,$AB18/$X18))</f>
        <v/>
      </c>
      <c r="AG18" s="413">
        <f>IF($U18="",0,IF($AA18&gt;0,$AB18*SUMIF(⑳商品別1食労務費!$C$5:$C$124,$U18,⑳商品別1食労務費!$F$5:$F$124)/$AA18,$AB18/$X18))</f>
        <v/>
      </c>
      <c r="AH18" s="413">
        <f>IF($V18="",0,IF($AA18&gt;0,$AB18*SUMIF(⑳商品別1食労務費!$C$5:$C$124,$V18,⑳商品別1食労務費!$F$5:$F$124)/$AA18,$AB18/$X18))</f>
        <v/>
      </c>
      <c r="AI18" s="413">
        <f>IF($W18="",0,IF($AA18&gt;0,$AB18*SUMIF(⑳商品別1食労務費!$C$5:$C$124,$W18,⑳商品別1食労務費!$F$5:$F$124)/$AA18,$AB18/$X18))</f>
        <v/>
      </c>
    </row>
    <row r="19" ht="16" customHeight="1" s="438">
      <c r="A19" s="303" t="n">
        <v>15</v>
      </c>
      <c r="B19" s="303" t="inlineStr">
        <is>
          <t>計量</t>
        </is>
      </c>
      <c r="C19" s="340" t="inlineStr">
        <is>
          <t>クルンジ</t>
        </is>
      </c>
      <c r="D19" s="339" t="n">
        <v>0.09722222222222222</v>
      </c>
      <c r="E19" s="339" t="n">
        <v>0.1111111111111111</v>
      </c>
      <c r="F19" s="557">
        <f>IF(OR(D19="",E19=""),"",(E19-D19)*1440)</f>
        <v/>
      </c>
      <c r="G19" s="303" t="n">
        <v>20</v>
      </c>
      <c r="H19" s="303" t="n">
        <v>1</v>
      </c>
      <c r="I19" s="303" t="n">
        <v>128</v>
      </c>
      <c r="J19" s="303" t="n"/>
      <c r="K19" s="303">
        <f>IF(AND(I19&gt;0,ISNUMBER(F19)),I19/(F19/60),"")</f>
        <v/>
      </c>
      <c r="L19" s="303">
        <f>IF(AND(J19&gt;0,ISNUMBER(F19)),J19/(F19/60),"")</f>
        <v/>
      </c>
      <c r="M19" s="303">
        <f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303">
        <f>IF(AND(I19&gt;0,ISNUMBER(M19)),M19/I19,"")</f>
        <v/>
      </c>
      <c r="O19" s="303">
        <f>IF(AND(J19&gt;0,ISNUMBER(M19)),M19/J19,"")</f>
        <v/>
      </c>
      <c r="P19" s="303" t="n"/>
      <c r="Q19" s="303" t="n"/>
      <c r="R19" s="340" t="inlineStr">
        <is>
          <t>クルンジ２個入</t>
        </is>
      </c>
      <c r="S19" s="340" t="n"/>
      <c r="T19" s="340" t="n"/>
      <c r="U19" s="340" t="n"/>
      <c r="V19" s="340" t="n"/>
      <c r="W19" s="340" t="n"/>
      <c r="X19">
        <f>COUNTA(R19:W19)</f>
        <v/>
      </c>
      <c r="Y19">
        <f>IF(AND($X19&gt;0,ISNUMBER($M19)),$M19/$X19,"")</f>
        <v/>
      </c>
      <c r="Z19">
        <f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>
        <f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/>
      </c>
      <c r="AB19">
        <f>IF(ISNUMBER($M19),$M19,0)</f>
        <v/>
      </c>
      <c r="AD19" s="413">
        <f>IF($R19="",0,IF($AA19&gt;0,$AB19*SUMIF(⑳商品別1食労務費!$C$5:$C$124,$R19,⑳商品別1食労務費!$F$5:$F$124)/$AA19,$AB19/$X19))</f>
        <v/>
      </c>
      <c r="AE19" s="413">
        <f>IF($S19="",0,IF($AA19&gt;0,$AB19*SUMIF(⑳商品別1食労務費!$C$5:$C$124,$S19,⑳商品別1食労務費!$F$5:$F$124)/$AA19,$AB19/$X19))</f>
        <v/>
      </c>
      <c r="AF19" s="413">
        <f>IF($T19="",0,IF($AA19&gt;0,$AB19*SUMIF(⑳商品別1食労務費!$C$5:$C$124,$T19,⑳商品別1食労務費!$F$5:$F$124)/$AA19,$AB19/$X19))</f>
        <v/>
      </c>
      <c r="AG19" s="413">
        <f>IF($U19="",0,IF($AA19&gt;0,$AB19*SUMIF(⑳商品別1食労務費!$C$5:$C$124,$U19,⑳商品別1食労務費!$F$5:$F$124)/$AA19,$AB19/$X19))</f>
        <v/>
      </c>
      <c r="AH19" s="413">
        <f>IF($V19="",0,IF($AA19&gt;0,$AB19*SUMIF(⑳商品別1食労務費!$C$5:$C$124,$V19,⑳商品別1食労務費!$F$5:$F$124)/$AA19,$AB19/$X19))</f>
        <v/>
      </c>
      <c r="AI19" s="413">
        <f>IF($W19="",0,IF($AA19&gt;0,$AB19*SUMIF(⑳商品別1食労務費!$C$5:$C$124,$W19,⑳商品別1食労務費!$F$5:$F$124)/$AA19,$AB19/$X19))</f>
        <v/>
      </c>
    </row>
    <row r="20" ht="16" customHeight="1" s="438">
      <c r="A20" s="303" t="n">
        <v>16</v>
      </c>
      <c r="B20" s="303" t="inlineStr">
        <is>
          <t>計量</t>
        </is>
      </c>
      <c r="C20" s="340" t="inlineStr">
        <is>
          <t>湯種ロール</t>
        </is>
      </c>
      <c r="D20" s="339" t="n">
        <v>0.1111111111111111</v>
      </c>
      <c r="E20" s="339" t="n">
        <v>0.125</v>
      </c>
      <c r="F20" s="557">
        <f>IF(OR(D20="",E20=""),"",(E20-D20)*1440)</f>
        <v/>
      </c>
      <c r="G20" s="303" t="n">
        <v>20</v>
      </c>
      <c r="H20" s="303" t="n">
        <v>1</v>
      </c>
      <c r="I20" s="303" t="n">
        <v>432</v>
      </c>
      <c r="J20" s="303" t="n"/>
      <c r="K20" s="303">
        <f>IF(AND(I20&gt;0,ISNUMBER(F20)),I20/(F20/60),"")</f>
        <v/>
      </c>
      <c r="L20" s="303">
        <f>IF(AND(J20&gt;0,ISNUMBER(F20)),J20/(F20/60),"")</f>
        <v/>
      </c>
      <c r="M20" s="303">
        <f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303">
        <f>IF(AND(I20&gt;0,ISNUMBER(M20)),M20/I20,"")</f>
        <v/>
      </c>
      <c r="O20" s="303">
        <f>IF(AND(J20&gt;0,ISNUMBER(M20)),M20/J20,"")</f>
        <v/>
      </c>
      <c r="P20" s="303" t="n"/>
      <c r="Q20" s="303" t="n"/>
      <c r="R20" s="340" t="inlineStr">
        <is>
          <t>全粒粉入り湯種ロール６個</t>
        </is>
      </c>
      <c r="S20" s="340" t="inlineStr">
        <is>
          <t>全粒粉入り湯種ロール３個</t>
        </is>
      </c>
      <c r="T20" s="340" t="inlineStr">
        <is>
          <t>Ｓ全粒粉入り湯種ロール６個</t>
        </is>
      </c>
      <c r="U20" s="340" t="n"/>
      <c r="V20" s="340" t="n"/>
      <c r="W20" s="340" t="n"/>
      <c r="X20">
        <f>COUNTA(R20:W20)</f>
        <v/>
      </c>
      <c r="Y20">
        <f>IF(AND($X20&gt;0,ISNUMBER($M20)),$M20/$X20,"")</f>
        <v/>
      </c>
      <c r="Z20">
        <f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>
        <f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/>
      </c>
      <c r="AB20">
        <f>IF(ISNUMBER($M20),$M20,0)</f>
        <v/>
      </c>
      <c r="AD20" s="413">
        <f>IF($R20="",0,IF($AA20&gt;0,$AB20*SUMIF(⑳商品別1食労務費!$C$5:$C$124,$R20,⑳商品別1食労務費!$F$5:$F$124)/$AA20,$AB20/$X20))</f>
        <v/>
      </c>
      <c r="AE20" s="413">
        <f>IF($S20="",0,IF($AA20&gt;0,$AB20*SUMIF(⑳商品別1食労務費!$C$5:$C$124,$S20,⑳商品別1食労務費!$F$5:$F$124)/$AA20,$AB20/$X20))</f>
        <v/>
      </c>
      <c r="AF20" s="413">
        <f>IF($T20="",0,IF($AA20&gt;0,$AB20*SUMIF(⑳商品別1食労務費!$C$5:$C$124,$T20,⑳商品別1食労務費!$F$5:$F$124)/$AA20,$AB20/$X20))</f>
        <v/>
      </c>
      <c r="AG20" s="413">
        <f>IF($U20="",0,IF($AA20&gt;0,$AB20*SUMIF(⑳商品別1食労務費!$C$5:$C$124,$U20,⑳商品別1食労務費!$F$5:$F$124)/$AA20,$AB20/$X20))</f>
        <v/>
      </c>
      <c r="AH20" s="413">
        <f>IF($V20="",0,IF($AA20&gt;0,$AB20*SUMIF(⑳商品別1食労務費!$C$5:$C$124,$V20,⑳商品別1食労務費!$F$5:$F$124)/$AA20,$AB20/$X20))</f>
        <v/>
      </c>
      <c r="AI20" s="413">
        <f>IF($W20="",0,IF($AA20&gt;0,$AB20*SUMIF(⑳商品別1食労務費!$C$5:$C$124,$W20,⑳商品別1食労務費!$F$5:$F$124)/$AA20,$AB20/$X20))</f>
        <v/>
      </c>
    </row>
    <row r="21" ht="16" customHeight="1" s="438">
      <c r="A21" s="303" t="n">
        <v>17</v>
      </c>
      <c r="B21" s="303" t="inlineStr">
        <is>
          <t>計量</t>
        </is>
      </c>
      <c r="C21" s="340" t="inlineStr">
        <is>
          <t>湯種ロール</t>
        </is>
      </c>
      <c r="D21" s="339" t="n">
        <v>0.125</v>
      </c>
      <c r="E21" s="339" t="n">
        <v>0.1388888888888889</v>
      </c>
      <c r="F21" s="557">
        <f>IF(OR(D21="",E21=""),"",(E21-D21)*1440)</f>
        <v/>
      </c>
      <c r="G21" s="303" t="n">
        <v>20</v>
      </c>
      <c r="H21" s="303" t="n">
        <v>1</v>
      </c>
      <c r="I21" s="303" t="n">
        <v>432</v>
      </c>
      <c r="J21" s="303" t="n"/>
      <c r="K21" s="303">
        <f>IF(AND(I21&gt;0,ISNUMBER(F21)),I21/(F21/60),"")</f>
        <v/>
      </c>
      <c r="L21" s="303">
        <f>IF(AND(J21&gt;0,ISNUMBER(F21)),J21/(F21/60),"")</f>
        <v/>
      </c>
      <c r="M21" s="303">
        <f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303">
        <f>IF(AND(I21&gt;0,ISNUMBER(M21)),M21/I21,"")</f>
        <v/>
      </c>
      <c r="O21" s="303">
        <f>IF(AND(J21&gt;0,ISNUMBER(M21)),M21/J21,"")</f>
        <v/>
      </c>
      <c r="P21" s="303" t="n"/>
      <c r="Q21" s="303" t="n"/>
      <c r="R21" s="340" t="inlineStr">
        <is>
          <t>全粒粉入り湯種ロール６個</t>
        </is>
      </c>
      <c r="S21" s="340" t="inlineStr">
        <is>
          <t>全粒粉入り湯種ロール３個</t>
        </is>
      </c>
      <c r="T21" s="340" t="inlineStr">
        <is>
          <t>Ｓ全粒粉入り湯種ロール６個</t>
        </is>
      </c>
      <c r="U21" s="340" t="n"/>
      <c r="V21" s="340" t="n"/>
      <c r="W21" s="340" t="n"/>
      <c r="X21">
        <f>COUNTA(R21:W21)</f>
        <v/>
      </c>
      <c r="Y21">
        <f>IF(AND($X21&gt;0,ISNUMBER($M21)),$M21/$X21,"")</f>
        <v/>
      </c>
      <c r="Z21">
        <f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>
        <f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/>
      </c>
      <c r="AB21">
        <f>IF(ISNUMBER($M21),$M21,0)</f>
        <v/>
      </c>
      <c r="AD21" s="413">
        <f>IF($R21="",0,IF($AA21&gt;0,$AB21*SUMIF(⑳商品別1食労務費!$C$5:$C$124,$R21,⑳商品別1食労務費!$F$5:$F$124)/$AA21,$AB21/$X21))</f>
        <v/>
      </c>
      <c r="AE21" s="413">
        <f>IF($S21="",0,IF($AA21&gt;0,$AB21*SUMIF(⑳商品別1食労務費!$C$5:$C$124,$S21,⑳商品別1食労務費!$F$5:$F$124)/$AA21,$AB21/$X21))</f>
        <v/>
      </c>
      <c r="AF21" s="413">
        <f>IF($T21="",0,IF($AA21&gt;0,$AB21*SUMIF(⑳商品別1食労務費!$C$5:$C$124,$T21,⑳商品別1食労務費!$F$5:$F$124)/$AA21,$AB21/$X21))</f>
        <v/>
      </c>
      <c r="AG21" s="413">
        <f>IF($U21="",0,IF($AA21&gt;0,$AB21*SUMIF(⑳商品別1食労務費!$C$5:$C$124,$U21,⑳商品別1食労務費!$F$5:$F$124)/$AA21,$AB21/$X21))</f>
        <v/>
      </c>
      <c r="AH21" s="413">
        <f>IF($V21="",0,IF($AA21&gt;0,$AB21*SUMIF(⑳商品別1食労務費!$C$5:$C$124,$V21,⑳商品別1食労務費!$F$5:$F$124)/$AA21,$AB21/$X21))</f>
        <v/>
      </c>
      <c r="AI21" s="413">
        <f>IF($W21="",0,IF($AA21&gt;0,$AB21*SUMIF(⑳商品別1食労務費!$C$5:$C$124,$W21,⑳商品別1食労務費!$F$5:$F$124)/$AA21,$AB21/$X21))</f>
        <v/>
      </c>
    </row>
    <row r="22" ht="16" customHeight="1" s="438">
      <c r="A22" s="303" t="n">
        <v>18</v>
      </c>
      <c r="B22" s="303" t="inlineStr">
        <is>
          <t>計量</t>
        </is>
      </c>
      <c r="C22" s="340" t="inlineStr">
        <is>
          <t>湯種ロール</t>
        </is>
      </c>
      <c r="D22" s="339" t="n">
        <v>0.1388888888888889</v>
      </c>
      <c r="E22" s="339" t="n">
        <v>0.1527777777777778</v>
      </c>
      <c r="F22" s="557">
        <f>IF(OR(D22="",E22=""),"",(E22-D22)*1440)</f>
        <v/>
      </c>
      <c r="G22" s="303" t="n">
        <v>20</v>
      </c>
      <c r="H22" s="303" t="n">
        <v>1</v>
      </c>
      <c r="I22" s="303" t="n">
        <v>432</v>
      </c>
      <c r="J22" s="303" t="n"/>
      <c r="K22" s="303">
        <f>IF(AND(I22&gt;0,ISNUMBER(F22)),I22/(F22/60),"")</f>
        <v/>
      </c>
      <c r="L22" s="303">
        <f>IF(AND(J22&gt;0,ISNUMBER(F22)),J22/(F22/60),"")</f>
        <v/>
      </c>
      <c r="M22" s="303">
        <f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303">
        <f>IF(AND(I22&gt;0,ISNUMBER(M22)),M22/I22,"")</f>
        <v/>
      </c>
      <c r="O22" s="303">
        <f>IF(AND(J22&gt;0,ISNUMBER(M22)),M22/J22,"")</f>
        <v/>
      </c>
      <c r="P22" s="303" t="n"/>
      <c r="Q22" s="303" t="n"/>
      <c r="R22" s="340" t="inlineStr">
        <is>
          <t>全粒粉入り湯種ロール６個</t>
        </is>
      </c>
      <c r="S22" s="340" t="inlineStr">
        <is>
          <t>全粒粉入り湯種ロール３個</t>
        </is>
      </c>
      <c r="T22" s="340" t="inlineStr">
        <is>
          <t>Ｓ全粒粉入り湯種ロール６個</t>
        </is>
      </c>
      <c r="U22" s="340" t="n"/>
      <c r="V22" s="340" t="n"/>
      <c r="W22" s="340" t="n"/>
      <c r="X22">
        <f>COUNTA(R22:W22)</f>
        <v/>
      </c>
      <c r="Y22">
        <f>IF(AND($X22&gt;0,ISNUMBER($M22)),$M22/$X22,"")</f>
        <v/>
      </c>
      <c r="Z22">
        <f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>
        <f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/>
      </c>
      <c r="AB22">
        <f>IF(ISNUMBER($M22),$M22,0)</f>
        <v/>
      </c>
      <c r="AD22" s="413">
        <f>IF($R22="",0,IF($AA22&gt;0,$AB22*SUMIF(⑳商品別1食労務費!$C$5:$C$124,$R22,⑳商品別1食労務費!$F$5:$F$124)/$AA22,$AB22/$X22))</f>
        <v/>
      </c>
      <c r="AE22" s="413">
        <f>IF($S22="",0,IF($AA22&gt;0,$AB22*SUMIF(⑳商品別1食労務費!$C$5:$C$124,$S22,⑳商品別1食労務費!$F$5:$F$124)/$AA22,$AB22/$X22))</f>
        <v/>
      </c>
      <c r="AF22" s="413">
        <f>IF($T22="",0,IF($AA22&gt;0,$AB22*SUMIF(⑳商品別1食労務費!$C$5:$C$124,$T22,⑳商品別1食労務費!$F$5:$F$124)/$AA22,$AB22/$X22))</f>
        <v/>
      </c>
      <c r="AG22" s="413">
        <f>IF($U22="",0,IF($AA22&gt;0,$AB22*SUMIF(⑳商品別1食労務費!$C$5:$C$124,$U22,⑳商品別1食労務費!$F$5:$F$124)/$AA22,$AB22/$X22))</f>
        <v/>
      </c>
      <c r="AH22" s="413">
        <f>IF($V22="",0,IF($AA22&gt;0,$AB22*SUMIF(⑳商品別1食労務費!$C$5:$C$124,$V22,⑳商品別1食労務費!$F$5:$F$124)/$AA22,$AB22/$X22))</f>
        <v/>
      </c>
      <c r="AI22" s="413">
        <f>IF($W22="",0,IF($AA22&gt;0,$AB22*SUMIF(⑳商品別1食労務費!$C$5:$C$124,$W22,⑳商品別1食労務費!$F$5:$F$124)/$AA22,$AB22/$X22))</f>
        <v/>
      </c>
    </row>
    <row r="23" ht="16" customHeight="1" s="438">
      <c r="A23" s="303" t="n">
        <v>19</v>
      </c>
      <c r="B23" s="303" t="inlineStr">
        <is>
          <t>計量</t>
        </is>
      </c>
      <c r="C23" s="340" t="inlineStr">
        <is>
          <t>湯種ロール</t>
        </is>
      </c>
      <c r="D23" s="339" t="n">
        <v>0.1527777777777778</v>
      </c>
      <c r="E23" s="339" t="n">
        <v>0.1666666666666667</v>
      </c>
      <c r="F23" s="557">
        <f>IF(OR(D23="",E23=""),"",(E23-D23)*1440)</f>
        <v/>
      </c>
      <c r="G23" s="303" t="n">
        <v>20</v>
      </c>
      <c r="H23" s="303" t="n">
        <v>1</v>
      </c>
      <c r="I23" s="303" t="n">
        <v>60</v>
      </c>
      <c r="J23" s="303" t="n"/>
      <c r="K23" s="303">
        <f>IF(AND(I23&gt;0,ISNUMBER(F23)),I23/(F23/60),"")</f>
        <v/>
      </c>
      <c r="L23" s="303">
        <f>IF(AND(J23&gt;0,ISNUMBER(F23)),J23/(F23/60),"")</f>
        <v/>
      </c>
      <c r="M23" s="303">
        <f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303">
        <f>IF(AND(I23&gt;0,ISNUMBER(M23)),M23/I23,"")</f>
        <v/>
      </c>
      <c r="O23" s="303">
        <f>IF(AND(J23&gt;0,ISNUMBER(M23)),M23/J23,"")</f>
        <v/>
      </c>
      <c r="P23" s="303" t="n"/>
      <c r="Q23" s="303" t="n"/>
      <c r="R23" s="340" t="inlineStr">
        <is>
          <t>全粒粉入り湯種ロール６個</t>
        </is>
      </c>
      <c r="S23" s="340" t="inlineStr">
        <is>
          <t>全粒粉入り湯種ロール３個</t>
        </is>
      </c>
      <c r="T23" s="340" t="inlineStr">
        <is>
          <t>Ｓ全粒粉入り湯種ロール６個</t>
        </is>
      </c>
      <c r="U23" s="340" t="n"/>
      <c r="V23" s="340" t="n"/>
      <c r="W23" s="340" t="n"/>
      <c r="X23">
        <f>COUNTA(R23:W23)</f>
        <v/>
      </c>
      <c r="Y23">
        <f>IF(AND($X23&gt;0,ISNUMBER($M23)),$M23/$X23,"")</f>
        <v/>
      </c>
      <c r="Z23">
        <f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>
        <f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/>
      </c>
      <c r="AB23">
        <f>IF(ISNUMBER($M23),$M23,0)</f>
        <v/>
      </c>
      <c r="AD23" s="413">
        <f>IF($R23="",0,IF($AA23&gt;0,$AB23*SUMIF(⑳商品別1食労務費!$C$5:$C$124,$R23,⑳商品別1食労務費!$F$5:$F$124)/$AA23,$AB23/$X23))</f>
        <v/>
      </c>
      <c r="AE23" s="413">
        <f>IF($S23="",0,IF($AA23&gt;0,$AB23*SUMIF(⑳商品別1食労務費!$C$5:$C$124,$S23,⑳商品別1食労務費!$F$5:$F$124)/$AA23,$AB23/$X23))</f>
        <v/>
      </c>
      <c r="AF23" s="413">
        <f>IF($T23="",0,IF($AA23&gt;0,$AB23*SUMIF(⑳商品別1食労務費!$C$5:$C$124,$T23,⑳商品別1食労務費!$F$5:$F$124)/$AA23,$AB23/$X23))</f>
        <v/>
      </c>
      <c r="AG23" s="413">
        <f>IF($U23="",0,IF($AA23&gt;0,$AB23*SUMIF(⑳商品別1食労務費!$C$5:$C$124,$U23,⑳商品別1食労務費!$F$5:$F$124)/$AA23,$AB23/$X23))</f>
        <v/>
      </c>
      <c r="AH23" s="413">
        <f>IF($V23="",0,IF($AA23&gt;0,$AB23*SUMIF(⑳商品別1食労務費!$C$5:$C$124,$V23,⑳商品別1食労務費!$F$5:$F$124)/$AA23,$AB23/$X23))</f>
        <v/>
      </c>
      <c r="AI23" s="413">
        <f>IF($W23="",0,IF($AA23&gt;0,$AB23*SUMIF(⑳商品別1食労務費!$C$5:$C$124,$W23,⑳商品別1食労務費!$F$5:$F$124)/$AA23,$AB23/$X23))</f>
        <v/>
      </c>
    </row>
    <row r="24" ht="16" customHeight="1" s="438">
      <c r="A24" s="303" t="n">
        <v>20</v>
      </c>
      <c r="B24" s="303" t="inlineStr">
        <is>
          <t>計量</t>
        </is>
      </c>
      <c r="C24" s="340" t="inlineStr">
        <is>
          <t>ガーリックフランス</t>
        </is>
      </c>
      <c r="D24" s="339" t="n">
        <v>0.1666666666666667</v>
      </c>
      <c r="E24" s="339" t="n">
        <v>0.1805555555555556</v>
      </c>
      <c r="F24" s="557">
        <f>IF(OR(D24="",E24=""),"",(E24-D24)*1440)</f>
        <v/>
      </c>
      <c r="G24" s="303" t="n">
        <v>20</v>
      </c>
      <c r="H24" s="303" t="n">
        <v>1</v>
      </c>
      <c r="I24" s="303" t="n">
        <v>60</v>
      </c>
      <c r="J24" s="303" t="n"/>
      <c r="K24" s="303">
        <f>IF(AND(I24&gt;0,ISNUMBER(F24)),I24/(F24/60),"")</f>
        <v/>
      </c>
      <c r="L24" s="303">
        <f>IF(AND(J24&gt;0,ISNUMBER(F24)),J24/(F24/60),"")</f>
        <v/>
      </c>
      <c r="M24" s="303">
        <f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303">
        <f>IF(AND(I24&gt;0,ISNUMBER(M24)),M24/I24,"")</f>
        <v/>
      </c>
      <c r="O24" s="303">
        <f>IF(AND(J24&gt;0,ISNUMBER(M24)),M24/J24,"")</f>
        <v/>
      </c>
      <c r="P24" s="303" t="n"/>
      <c r="Q24" s="303" t="n"/>
      <c r="R24" s="340" t="inlineStr">
        <is>
          <t>ガーリックフランスＫＩＴ</t>
        </is>
      </c>
      <c r="S24" s="340" t="n"/>
      <c r="T24" s="340" t="n"/>
      <c r="U24" s="340" t="n"/>
      <c r="V24" s="340" t="n"/>
      <c r="W24" s="340" t="n"/>
      <c r="X24">
        <f>COUNTA(R24:W24)</f>
        <v/>
      </c>
      <c r="Y24">
        <f>IF(AND($X24&gt;0,ISNUMBER($M24)),$M24/$X24,"")</f>
        <v/>
      </c>
      <c r="Z24">
        <f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>
        <f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/>
      </c>
      <c r="AB24">
        <f>IF(ISNUMBER($M24),$M24,0)</f>
        <v/>
      </c>
      <c r="AD24" s="413">
        <f>IF($R24="",0,IF($AA24&gt;0,$AB24*SUMIF(⑳商品別1食労務費!$C$5:$C$124,$R24,⑳商品別1食労務費!$F$5:$F$124)/$AA24,$AB24/$X24))</f>
        <v/>
      </c>
      <c r="AE24" s="413">
        <f>IF($S24="",0,IF($AA24&gt;0,$AB24*SUMIF(⑳商品別1食労務費!$C$5:$C$124,$S24,⑳商品別1食労務費!$F$5:$F$124)/$AA24,$AB24/$X24))</f>
        <v/>
      </c>
      <c r="AF24" s="413">
        <f>IF($T24="",0,IF($AA24&gt;0,$AB24*SUMIF(⑳商品別1食労務費!$C$5:$C$124,$T24,⑳商品別1食労務費!$F$5:$F$124)/$AA24,$AB24/$X24))</f>
        <v/>
      </c>
      <c r="AG24" s="413">
        <f>IF($U24="",0,IF($AA24&gt;0,$AB24*SUMIF(⑳商品別1食労務費!$C$5:$C$124,$U24,⑳商品別1食労務費!$F$5:$F$124)/$AA24,$AB24/$X24))</f>
        <v/>
      </c>
      <c r="AH24" s="413">
        <f>IF($V24="",0,IF($AA24&gt;0,$AB24*SUMIF(⑳商品別1食労務費!$C$5:$C$124,$V24,⑳商品別1食労務費!$F$5:$F$124)/$AA24,$AB24/$X24))</f>
        <v/>
      </c>
      <c r="AI24" s="413">
        <f>IF($W24="",0,IF($AA24&gt;0,$AB24*SUMIF(⑳商品別1食労務費!$C$5:$C$124,$W24,⑳商品別1食労務費!$F$5:$F$124)/$AA24,$AB24/$X24))</f>
        <v/>
      </c>
    </row>
    <row r="25" ht="16" customHeight="1" s="438">
      <c r="A25" s="303" t="n">
        <v>21</v>
      </c>
      <c r="B25" s="303" t="inlineStr">
        <is>
          <t>計量</t>
        </is>
      </c>
      <c r="C25" s="340" t="inlineStr">
        <is>
          <t>ガーリックフランス</t>
        </is>
      </c>
      <c r="D25" s="339" t="n">
        <v>0.1805555555555556</v>
      </c>
      <c r="E25" s="339" t="n">
        <v>0.1944444444444444</v>
      </c>
      <c r="F25" s="557">
        <f>IF(OR(D25="",E25=""),"",(E25-D25)*1440)</f>
        <v/>
      </c>
      <c r="G25" s="303" t="n">
        <v>20</v>
      </c>
      <c r="H25" s="303" t="n">
        <v>1</v>
      </c>
      <c r="I25" s="303" t="n">
        <v>60</v>
      </c>
      <c r="J25" s="303" t="n"/>
      <c r="K25" s="303">
        <f>IF(AND(I25&gt;0,ISNUMBER(F25)),I25/(F25/60),"")</f>
        <v/>
      </c>
      <c r="L25" s="303">
        <f>IF(AND(J25&gt;0,ISNUMBER(F25)),J25/(F25/60),"")</f>
        <v/>
      </c>
      <c r="M25" s="303">
        <f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303">
        <f>IF(AND(I25&gt;0,ISNUMBER(M25)),M25/I25,"")</f>
        <v/>
      </c>
      <c r="O25" s="303">
        <f>IF(AND(J25&gt;0,ISNUMBER(M25)),M25/J25,"")</f>
        <v/>
      </c>
      <c r="P25" s="303" t="n"/>
      <c r="Q25" s="303" t="n"/>
      <c r="R25" s="340" t="inlineStr">
        <is>
          <t>ガーリックフランスＫＩＴ</t>
        </is>
      </c>
      <c r="S25" s="340" t="n"/>
      <c r="T25" s="340" t="n"/>
      <c r="U25" s="340" t="n"/>
      <c r="V25" s="340" t="n"/>
      <c r="W25" s="340" t="n"/>
      <c r="X25">
        <f>COUNTA(R25:W25)</f>
        <v/>
      </c>
      <c r="Y25">
        <f>IF(AND($X25&gt;0,ISNUMBER($M25)),$M25/$X25,"")</f>
        <v/>
      </c>
      <c r="Z25">
        <f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>
        <f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/>
      </c>
      <c r="AB25">
        <f>IF(ISNUMBER($M25),$M25,0)</f>
        <v/>
      </c>
      <c r="AD25" s="413">
        <f>IF($R25="",0,IF($AA25&gt;0,$AB25*SUMIF(⑳商品別1食労務費!$C$5:$C$124,$R25,⑳商品別1食労務費!$F$5:$F$124)/$AA25,$AB25/$X25))</f>
        <v/>
      </c>
      <c r="AE25" s="413">
        <f>IF($S25="",0,IF($AA25&gt;0,$AB25*SUMIF(⑳商品別1食労務費!$C$5:$C$124,$S25,⑳商品別1食労務費!$F$5:$F$124)/$AA25,$AB25/$X25))</f>
        <v/>
      </c>
      <c r="AF25" s="413">
        <f>IF($T25="",0,IF($AA25&gt;0,$AB25*SUMIF(⑳商品別1食労務費!$C$5:$C$124,$T25,⑳商品別1食労務費!$F$5:$F$124)/$AA25,$AB25/$X25))</f>
        <v/>
      </c>
      <c r="AG25" s="413">
        <f>IF($U25="",0,IF($AA25&gt;0,$AB25*SUMIF(⑳商品別1食労務費!$C$5:$C$124,$U25,⑳商品別1食労務費!$F$5:$F$124)/$AA25,$AB25/$X25))</f>
        <v/>
      </c>
      <c r="AH25" s="413">
        <f>IF($V25="",0,IF($AA25&gt;0,$AB25*SUMIF(⑳商品別1食労務費!$C$5:$C$124,$V25,⑳商品別1食労務費!$F$5:$F$124)/$AA25,$AB25/$X25))</f>
        <v/>
      </c>
      <c r="AI25" s="413">
        <f>IF($W25="",0,IF($AA25&gt;0,$AB25*SUMIF(⑳商品別1食労務費!$C$5:$C$124,$W25,⑳商品別1食労務費!$F$5:$F$124)/$AA25,$AB25/$X25))</f>
        <v/>
      </c>
    </row>
    <row r="26" ht="16" customHeight="1" s="438">
      <c r="A26" s="303" t="n">
        <v>22</v>
      </c>
      <c r="B26" s="303" t="inlineStr">
        <is>
          <t>計量</t>
        </is>
      </c>
      <c r="C26" s="340" t="inlineStr">
        <is>
          <t>明太フランス</t>
        </is>
      </c>
      <c r="D26" s="339" t="n">
        <v>0.1944444444444444</v>
      </c>
      <c r="E26" s="339" t="n">
        <v>0.2083333333333333</v>
      </c>
      <c r="F26" s="557">
        <f>IF(OR(D26="",E26=""),"",(E26-D26)*1440)</f>
        <v/>
      </c>
      <c r="G26" s="303" t="n">
        <v>20</v>
      </c>
      <c r="H26" s="303" t="n">
        <v>1</v>
      </c>
      <c r="I26" s="303" t="n">
        <v>80</v>
      </c>
      <c r="J26" s="303" t="n"/>
      <c r="K26" s="303">
        <f>IF(AND(I26&gt;0,ISNUMBER(F26)),I26/(F26/60),"")</f>
        <v/>
      </c>
      <c r="L26" s="303">
        <f>IF(AND(J26&gt;0,ISNUMBER(F26)),J26/(F26/60),"")</f>
        <v/>
      </c>
      <c r="M26" s="303">
        <f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303">
        <f>IF(AND(I26&gt;0,ISNUMBER(M26)),M26/I26,"")</f>
        <v/>
      </c>
      <c r="O26" s="303">
        <f>IF(AND(J26&gt;0,ISNUMBER(M26)),M26/J26,"")</f>
        <v/>
      </c>
      <c r="P26" s="303" t="n"/>
      <c r="Q26" s="303" t="n"/>
      <c r="R26" s="340" t="inlineStr">
        <is>
          <t>明太フランスパンＫＩＴ</t>
        </is>
      </c>
      <c r="S26" s="340" t="n"/>
      <c r="T26" s="340" t="n"/>
      <c r="U26" s="340" t="n"/>
      <c r="V26" s="340" t="n"/>
      <c r="W26" s="340" t="n"/>
      <c r="X26">
        <f>COUNTA(R26:W26)</f>
        <v/>
      </c>
      <c r="Y26">
        <f>IF(AND($X26&gt;0,ISNUMBER($M26)),$M26/$X26,"")</f>
        <v/>
      </c>
      <c r="Z26">
        <f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>
        <f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/>
      </c>
      <c r="AB26">
        <f>IF(ISNUMBER($M26),$M26,0)</f>
        <v/>
      </c>
      <c r="AD26" s="413">
        <f>IF($R26="",0,IF($AA26&gt;0,$AB26*SUMIF(⑳商品別1食労務費!$C$5:$C$124,$R26,⑳商品別1食労務費!$F$5:$F$124)/$AA26,$AB26/$X26))</f>
        <v/>
      </c>
      <c r="AE26" s="413">
        <f>IF($S26="",0,IF($AA26&gt;0,$AB26*SUMIF(⑳商品別1食労務費!$C$5:$C$124,$S26,⑳商品別1食労務費!$F$5:$F$124)/$AA26,$AB26/$X26))</f>
        <v/>
      </c>
      <c r="AF26" s="413">
        <f>IF($T26="",0,IF($AA26&gt;0,$AB26*SUMIF(⑳商品別1食労務費!$C$5:$C$124,$T26,⑳商品別1食労務費!$F$5:$F$124)/$AA26,$AB26/$X26))</f>
        <v/>
      </c>
      <c r="AG26" s="413">
        <f>IF($U26="",0,IF($AA26&gt;0,$AB26*SUMIF(⑳商品別1食労務費!$C$5:$C$124,$U26,⑳商品別1食労務費!$F$5:$F$124)/$AA26,$AB26/$X26))</f>
        <v/>
      </c>
      <c r="AH26" s="413">
        <f>IF($V26="",0,IF($AA26&gt;0,$AB26*SUMIF(⑳商品別1食労務費!$C$5:$C$124,$V26,⑳商品別1食労務費!$F$5:$F$124)/$AA26,$AB26/$X26))</f>
        <v/>
      </c>
      <c r="AI26" s="413">
        <f>IF($W26="",0,IF($AA26&gt;0,$AB26*SUMIF(⑳商品別1食労務費!$C$5:$C$124,$W26,⑳商品別1食労務費!$F$5:$F$124)/$AA26,$AB26/$X26))</f>
        <v/>
      </c>
    </row>
    <row r="27" ht="16" customHeight="1" s="438">
      <c r="A27" s="303" t="n">
        <v>23</v>
      </c>
      <c r="B27" s="303" t="inlineStr">
        <is>
          <t>計量</t>
        </is>
      </c>
      <c r="C27" s="340" t="inlineStr">
        <is>
          <t>明太フランス</t>
        </is>
      </c>
      <c r="D27" s="339" t="n">
        <v>0.2083333333333333</v>
      </c>
      <c r="E27" s="339" t="n">
        <v>0.2222222222222222</v>
      </c>
      <c r="F27" s="557">
        <f>IF(OR(D27="",E27=""),"",(E27-D27)*1440)</f>
        <v/>
      </c>
      <c r="G27" s="303" t="n">
        <v>20</v>
      </c>
      <c r="H27" s="303" t="n">
        <v>1</v>
      </c>
      <c r="I27" s="303" t="n">
        <v>80</v>
      </c>
      <c r="J27" s="303" t="n"/>
      <c r="K27" s="303">
        <f>IF(AND(I27&gt;0,ISNUMBER(F27)),I27/(F27/60),"")</f>
        <v/>
      </c>
      <c r="L27" s="303">
        <f>IF(AND(J27&gt;0,ISNUMBER(F27)),J27/(F27/60),"")</f>
        <v/>
      </c>
      <c r="M27" s="303">
        <f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303">
        <f>IF(AND(I27&gt;0,ISNUMBER(M27)),M27/I27,"")</f>
        <v/>
      </c>
      <c r="O27" s="303">
        <f>IF(AND(J27&gt;0,ISNUMBER(M27)),M27/J27,"")</f>
        <v/>
      </c>
      <c r="P27" s="303" t="n"/>
      <c r="Q27" s="303" t="n"/>
      <c r="R27" s="340" t="inlineStr">
        <is>
          <t>明太フランスパンＫＩＴ</t>
        </is>
      </c>
      <c r="S27" s="340" t="n"/>
      <c r="T27" s="340" t="n"/>
      <c r="U27" s="340" t="n"/>
      <c r="V27" s="340" t="n"/>
      <c r="W27" s="340" t="n"/>
      <c r="X27">
        <f>COUNTA(R27:W27)</f>
        <v/>
      </c>
      <c r="Y27">
        <f>IF(AND($X27&gt;0,ISNUMBER($M27)),$M27/$X27,"")</f>
        <v/>
      </c>
      <c r="Z27">
        <f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>
        <f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/>
      </c>
      <c r="AB27">
        <f>IF(ISNUMBER($M27),$M27,0)</f>
        <v/>
      </c>
      <c r="AD27" s="413">
        <f>IF($R27="",0,IF($AA27&gt;0,$AB27*SUMIF(⑳商品別1食労務費!$C$5:$C$124,$R27,⑳商品別1食労務費!$F$5:$F$124)/$AA27,$AB27/$X27))</f>
        <v/>
      </c>
      <c r="AE27" s="413">
        <f>IF($S27="",0,IF($AA27&gt;0,$AB27*SUMIF(⑳商品別1食労務費!$C$5:$C$124,$S27,⑳商品別1食労務費!$F$5:$F$124)/$AA27,$AB27/$X27))</f>
        <v/>
      </c>
      <c r="AF27" s="413">
        <f>IF($T27="",0,IF($AA27&gt;0,$AB27*SUMIF(⑳商品別1食労務費!$C$5:$C$124,$T27,⑳商品別1食労務費!$F$5:$F$124)/$AA27,$AB27/$X27))</f>
        <v/>
      </c>
      <c r="AG27" s="413">
        <f>IF($U27="",0,IF($AA27&gt;0,$AB27*SUMIF(⑳商品別1食労務費!$C$5:$C$124,$U27,⑳商品別1食労務費!$F$5:$F$124)/$AA27,$AB27/$X27))</f>
        <v/>
      </c>
      <c r="AH27" s="413">
        <f>IF($V27="",0,IF($AA27&gt;0,$AB27*SUMIF(⑳商品別1食労務費!$C$5:$C$124,$V27,⑳商品別1食労務費!$F$5:$F$124)/$AA27,$AB27/$X27))</f>
        <v/>
      </c>
      <c r="AI27" s="413">
        <f>IF($W27="",0,IF($AA27&gt;0,$AB27*SUMIF(⑳商品別1食労務費!$C$5:$C$124,$W27,⑳商品別1食労務費!$F$5:$F$124)/$AA27,$AB27/$X27))</f>
        <v/>
      </c>
    </row>
    <row r="28" ht="16" customHeight="1" s="438">
      <c r="A28" s="303" t="n">
        <v>24</v>
      </c>
      <c r="B28" s="303" t="inlineStr">
        <is>
          <t>計量</t>
        </is>
      </c>
      <c r="C28" s="340" t="inlineStr">
        <is>
          <t>ホテルロール</t>
        </is>
      </c>
      <c r="D28" s="339" t="n">
        <v>0.2222222222222222</v>
      </c>
      <c r="E28" s="339" t="n">
        <v>0.2361111111111111</v>
      </c>
      <c r="F28" s="557">
        <f>IF(OR(D28="",E28=""),"",(E28-D28)*1440)</f>
        <v/>
      </c>
      <c r="G28" s="303" t="n">
        <v>18</v>
      </c>
      <c r="H28" s="303" t="n">
        <v>1</v>
      </c>
      <c r="I28" s="303" t="n">
        <v>640</v>
      </c>
      <c r="J28" s="303" t="n"/>
      <c r="K28" s="303">
        <f>IF(AND(I28&gt;0,ISNUMBER(F28)),I28/(F28/60),"")</f>
        <v/>
      </c>
      <c r="L28" s="303">
        <f>IF(AND(J28&gt;0,ISNUMBER(F28)),J28/(F28/60),"")</f>
        <v/>
      </c>
      <c r="M28" s="303">
        <f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303">
        <f>IF(AND(I28&gt;0,ISNUMBER(M28)),M28/I28,"")</f>
        <v/>
      </c>
      <c r="O28" s="303">
        <f>IF(AND(J28&gt;0,ISNUMBER(M28)),M28/J28,"")</f>
        <v/>
      </c>
      <c r="P28" s="303" t="n"/>
      <c r="Q28" s="303" t="n"/>
      <c r="R28" s="340" t="inlineStr">
        <is>
          <t>ふわもちホテルロール３個</t>
        </is>
      </c>
      <c r="S28" s="340" t="inlineStr">
        <is>
          <t>ふわもちホテルロール８個入</t>
        </is>
      </c>
      <c r="T28" s="340" t="inlineStr">
        <is>
          <t>ふわもちホテルロール１６個</t>
        </is>
      </c>
      <c r="U28" s="340" t="inlineStr">
        <is>
          <t>Ｓふわもちホテルロール８個</t>
        </is>
      </c>
      <c r="V28" s="340" t="inlineStr">
        <is>
          <t>Ｓふわもちホテルロール１６</t>
        </is>
      </c>
      <c r="W28" s="340" t="inlineStr">
        <is>
          <t>ホテルロールＫＩＴ　４０個</t>
        </is>
      </c>
      <c r="X28">
        <f>COUNTA(R28:W28)</f>
        <v/>
      </c>
      <c r="Y28">
        <f>IF(AND($X28&gt;0,ISNUMBER($M28)),$M28/$X28,"")</f>
        <v/>
      </c>
      <c r="Z28">
        <f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>
        <f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/>
      </c>
      <c r="AB28">
        <f>IF(ISNUMBER($M28),$M28,0)</f>
        <v/>
      </c>
      <c r="AD28" s="413">
        <f>IF($R28="",0,IF($AA28&gt;0,$AB28*SUMIF(⑳商品別1食労務費!$C$5:$C$124,$R28,⑳商品別1食労務費!$F$5:$F$124)/$AA28,$AB28/$X28))</f>
        <v/>
      </c>
      <c r="AE28" s="413">
        <f>IF($S28="",0,IF($AA28&gt;0,$AB28*SUMIF(⑳商品別1食労務費!$C$5:$C$124,$S28,⑳商品別1食労務費!$F$5:$F$124)/$AA28,$AB28/$X28))</f>
        <v/>
      </c>
      <c r="AF28" s="413">
        <f>IF($T28="",0,IF($AA28&gt;0,$AB28*SUMIF(⑳商品別1食労務費!$C$5:$C$124,$T28,⑳商品別1食労務費!$F$5:$F$124)/$AA28,$AB28/$X28))</f>
        <v/>
      </c>
      <c r="AG28" s="413">
        <f>IF($U28="",0,IF($AA28&gt;0,$AB28*SUMIF(⑳商品別1食労務費!$C$5:$C$124,$U28,⑳商品別1食労務費!$F$5:$F$124)/$AA28,$AB28/$X28))</f>
        <v/>
      </c>
      <c r="AH28" s="413">
        <f>IF($V28="",0,IF($AA28&gt;0,$AB28*SUMIF(⑳商品別1食労務費!$C$5:$C$124,$V28,⑳商品別1食労務費!$F$5:$F$124)/$AA28,$AB28/$X28))</f>
        <v/>
      </c>
      <c r="AI28" s="413">
        <f>IF($W28="",0,IF($AA28&gt;0,$AB28*SUMIF(⑳商品別1食労務費!$C$5:$C$124,$W28,⑳商品別1食労務費!$F$5:$F$124)/$AA28,$AB28/$X28))</f>
        <v/>
      </c>
    </row>
    <row r="29" ht="16" customHeight="1" s="438">
      <c r="A29" s="303" t="n">
        <v>25</v>
      </c>
      <c r="B29" s="303" t="inlineStr">
        <is>
          <t>計量</t>
        </is>
      </c>
      <c r="C29" s="340" t="inlineStr">
        <is>
          <t>ホテルロール</t>
        </is>
      </c>
      <c r="D29" s="339" t="n">
        <v>0.2361111111111111</v>
      </c>
      <c r="E29" s="339" t="n">
        <v>0.25</v>
      </c>
      <c r="F29" s="557">
        <f>IF(OR(D29="",E29=""),"",(E29-D29)*1440)</f>
        <v/>
      </c>
      <c r="G29" s="303" t="n">
        <v>18</v>
      </c>
      <c r="H29" s="303" t="n">
        <v>2</v>
      </c>
      <c r="I29" s="303" t="n">
        <v>640</v>
      </c>
      <c r="J29" s="303" t="n"/>
      <c r="K29" s="303">
        <f>IF(AND(I29&gt;0,ISNUMBER(F29)),I29/(F29/60),"")</f>
        <v/>
      </c>
      <c r="L29" s="303">
        <f>IF(AND(J29&gt;0,ISNUMBER(F29)),J29/(F29/60),"")</f>
        <v/>
      </c>
      <c r="M29" s="303">
        <f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303">
        <f>IF(AND(I29&gt;0,ISNUMBER(M29)),M29/I29,"")</f>
        <v/>
      </c>
      <c r="O29" s="303">
        <f>IF(AND(J29&gt;0,ISNUMBER(M29)),M29/J29,"")</f>
        <v/>
      </c>
      <c r="P29" s="303" t="n"/>
      <c r="Q29" s="303" t="n"/>
      <c r="R29" s="340" t="inlineStr">
        <is>
          <t>ふわもちホテルロール３個</t>
        </is>
      </c>
      <c r="S29" s="340" t="inlineStr">
        <is>
          <t>ふわもちホテルロール８個入</t>
        </is>
      </c>
      <c r="T29" s="340" t="inlineStr">
        <is>
          <t>ふわもちホテルロール１６個</t>
        </is>
      </c>
      <c r="U29" s="340" t="inlineStr">
        <is>
          <t>Ｓふわもちホテルロール８個</t>
        </is>
      </c>
      <c r="V29" s="340" t="inlineStr">
        <is>
          <t>Ｓふわもちホテルロール１６</t>
        </is>
      </c>
      <c r="W29" s="340" t="inlineStr">
        <is>
          <t>ホテルロールＫＩＴ　４０個</t>
        </is>
      </c>
      <c r="X29">
        <f>COUNTA(R29:W29)</f>
        <v/>
      </c>
      <c r="Y29">
        <f>IF(AND($X29&gt;0,ISNUMBER($M29)),$M29/$X29,"")</f>
        <v/>
      </c>
      <c r="Z29">
        <f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>
        <f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/>
      </c>
      <c r="AB29">
        <f>IF(ISNUMBER($M29),$M29,0)</f>
        <v/>
      </c>
      <c r="AD29" s="413">
        <f>IF($R29="",0,IF($AA29&gt;0,$AB29*SUMIF(⑳商品別1食労務費!$C$5:$C$124,$R29,⑳商品別1食労務費!$F$5:$F$124)/$AA29,$AB29/$X29))</f>
        <v/>
      </c>
      <c r="AE29" s="413">
        <f>IF($S29="",0,IF($AA29&gt;0,$AB29*SUMIF(⑳商品別1食労務費!$C$5:$C$124,$S29,⑳商品別1食労務費!$F$5:$F$124)/$AA29,$AB29/$X29))</f>
        <v/>
      </c>
      <c r="AF29" s="413">
        <f>IF($T29="",0,IF($AA29&gt;0,$AB29*SUMIF(⑳商品別1食労務費!$C$5:$C$124,$T29,⑳商品別1食労務費!$F$5:$F$124)/$AA29,$AB29/$X29))</f>
        <v/>
      </c>
      <c r="AG29" s="413">
        <f>IF($U29="",0,IF($AA29&gt;0,$AB29*SUMIF(⑳商品別1食労務費!$C$5:$C$124,$U29,⑳商品別1食労務費!$F$5:$F$124)/$AA29,$AB29/$X29))</f>
        <v/>
      </c>
      <c r="AH29" s="413">
        <f>IF($V29="",0,IF($AA29&gt;0,$AB29*SUMIF(⑳商品別1食労務費!$C$5:$C$124,$V29,⑳商品別1食労務費!$F$5:$F$124)/$AA29,$AB29/$X29))</f>
        <v/>
      </c>
      <c r="AI29" s="413">
        <f>IF($W29="",0,IF($AA29&gt;0,$AB29*SUMIF(⑳商品別1食労務費!$C$5:$C$124,$W29,⑳商品別1食労務費!$F$5:$F$124)/$AA29,$AB29/$X29))</f>
        <v/>
      </c>
    </row>
    <row r="30" ht="16" customHeight="1" s="438">
      <c r="A30" s="303" t="n">
        <v>26</v>
      </c>
      <c r="B30" s="303" t="inlineStr">
        <is>
          <t>計量</t>
        </is>
      </c>
      <c r="C30" s="340" t="inlineStr">
        <is>
          <t>ホテルロール</t>
        </is>
      </c>
      <c r="D30" s="339" t="n">
        <v>0.25</v>
      </c>
      <c r="E30" s="339" t="n">
        <v>0.2638888888888889</v>
      </c>
      <c r="F30" s="557">
        <f>IF(OR(D30="",E30=""),"",(E30-D30)*1440)</f>
        <v/>
      </c>
      <c r="G30" s="303" t="n">
        <v>18</v>
      </c>
      <c r="H30" s="303" t="n">
        <v>3</v>
      </c>
      <c r="I30" s="303" t="n">
        <v>640</v>
      </c>
      <c r="J30" s="303" t="n"/>
      <c r="K30" s="303">
        <f>IF(AND(I30&gt;0,ISNUMBER(F30)),I30/(F30/60),"")</f>
        <v/>
      </c>
      <c r="L30" s="303">
        <f>IF(AND(J30&gt;0,ISNUMBER(F30)),J30/(F30/60),"")</f>
        <v/>
      </c>
      <c r="M30" s="303">
        <f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303">
        <f>IF(AND(I30&gt;0,ISNUMBER(M30)),M30/I30,"")</f>
        <v/>
      </c>
      <c r="O30" s="303">
        <f>IF(AND(J30&gt;0,ISNUMBER(M30)),M30/J30,"")</f>
        <v/>
      </c>
      <c r="P30" s="303" t="n"/>
      <c r="Q30" s="303" t="n"/>
      <c r="R30" s="340" t="inlineStr">
        <is>
          <t>ふわもちホテルロール３個</t>
        </is>
      </c>
      <c r="S30" s="340" t="inlineStr">
        <is>
          <t>ふわもちホテルロール８個入</t>
        </is>
      </c>
      <c r="T30" s="340" t="inlineStr">
        <is>
          <t>ふわもちホテルロール１６個</t>
        </is>
      </c>
      <c r="U30" s="340" t="inlineStr">
        <is>
          <t>Ｓふわもちホテルロール８個</t>
        </is>
      </c>
      <c r="V30" s="340" t="inlineStr">
        <is>
          <t>Ｓふわもちホテルロール１６</t>
        </is>
      </c>
      <c r="W30" s="340" t="inlineStr">
        <is>
          <t>ホテルロールＫＩＴ　４０個</t>
        </is>
      </c>
      <c r="X30">
        <f>COUNTA(R30:W30)</f>
        <v/>
      </c>
      <c r="Y30">
        <f>IF(AND($X30&gt;0,ISNUMBER($M30)),$M30/$X30,"")</f>
        <v/>
      </c>
      <c r="Z30">
        <f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>
        <f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/>
      </c>
      <c r="AB30">
        <f>IF(ISNUMBER($M30),$M30,0)</f>
        <v/>
      </c>
      <c r="AD30" s="413">
        <f>IF($R30="",0,IF($AA30&gt;0,$AB30*SUMIF(⑳商品別1食労務費!$C$5:$C$124,$R30,⑳商品別1食労務費!$F$5:$F$124)/$AA30,$AB30/$X30))</f>
        <v/>
      </c>
      <c r="AE30" s="413">
        <f>IF($S30="",0,IF($AA30&gt;0,$AB30*SUMIF(⑳商品別1食労務費!$C$5:$C$124,$S30,⑳商品別1食労務費!$F$5:$F$124)/$AA30,$AB30/$X30))</f>
        <v/>
      </c>
      <c r="AF30" s="413">
        <f>IF($T30="",0,IF($AA30&gt;0,$AB30*SUMIF(⑳商品別1食労務費!$C$5:$C$124,$T30,⑳商品別1食労務費!$F$5:$F$124)/$AA30,$AB30/$X30))</f>
        <v/>
      </c>
      <c r="AG30" s="413">
        <f>IF($U30="",0,IF($AA30&gt;0,$AB30*SUMIF(⑳商品別1食労務費!$C$5:$C$124,$U30,⑳商品別1食労務費!$F$5:$F$124)/$AA30,$AB30/$X30))</f>
        <v/>
      </c>
      <c r="AH30" s="413">
        <f>IF($V30="",0,IF($AA30&gt;0,$AB30*SUMIF(⑳商品別1食労務費!$C$5:$C$124,$V30,⑳商品別1食労務費!$F$5:$F$124)/$AA30,$AB30/$X30))</f>
        <v/>
      </c>
      <c r="AI30" s="413">
        <f>IF($W30="",0,IF($AA30&gt;0,$AB30*SUMIF(⑳商品別1食労務費!$C$5:$C$124,$W30,⑳商品別1食労務費!$F$5:$F$124)/$AA30,$AB30/$X30))</f>
        <v/>
      </c>
    </row>
    <row r="31" ht="16" customHeight="1" s="438">
      <c r="A31" s="303" t="n">
        <v>27</v>
      </c>
      <c r="B31" s="303" t="inlineStr">
        <is>
          <t>計量</t>
        </is>
      </c>
      <c r="C31" s="340" t="inlineStr">
        <is>
          <t>ホテルロール</t>
        </is>
      </c>
      <c r="D31" s="339" t="n">
        <v>0.2638888888888889</v>
      </c>
      <c r="E31" s="339" t="n">
        <v>0.2777777777777778</v>
      </c>
      <c r="F31" s="557">
        <f>IF(OR(D31="",E31=""),"",(E31-D31)*1440)</f>
        <v/>
      </c>
      <c r="G31" s="303" t="n">
        <v>18</v>
      </c>
      <c r="H31" s="303" t="n">
        <v>4</v>
      </c>
      <c r="I31" s="303" t="n">
        <v>640</v>
      </c>
      <c r="J31" s="303" t="n"/>
      <c r="K31" s="303">
        <f>IF(AND(I31&gt;0,ISNUMBER(F31)),I31/(F31/60),"")</f>
        <v/>
      </c>
      <c r="L31" s="303">
        <f>IF(AND(J31&gt;0,ISNUMBER(F31)),J31/(F31/60),"")</f>
        <v/>
      </c>
      <c r="M31" s="303">
        <f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303">
        <f>IF(AND(I31&gt;0,ISNUMBER(M31)),M31/I31,"")</f>
        <v/>
      </c>
      <c r="O31" s="303">
        <f>IF(AND(J31&gt;0,ISNUMBER(M31)),M31/J31,"")</f>
        <v/>
      </c>
      <c r="P31" s="303" t="n"/>
      <c r="Q31" s="303" t="n"/>
      <c r="R31" s="340" t="inlineStr">
        <is>
          <t>ふわもちホテルロール３個</t>
        </is>
      </c>
      <c r="S31" s="340" t="inlineStr">
        <is>
          <t>ふわもちホテルロール８個入</t>
        </is>
      </c>
      <c r="T31" s="340" t="inlineStr">
        <is>
          <t>ふわもちホテルロール１６個</t>
        </is>
      </c>
      <c r="U31" s="340" t="inlineStr">
        <is>
          <t>Ｓふわもちホテルロール８個</t>
        </is>
      </c>
      <c r="V31" s="340" t="inlineStr">
        <is>
          <t>Ｓふわもちホテルロール１６</t>
        </is>
      </c>
      <c r="W31" s="340" t="inlineStr">
        <is>
          <t>ホテルロールＫＩＴ　４０個</t>
        </is>
      </c>
      <c r="X31">
        <f>COUNTA(R31:W31)</f>
        <v/>
      </c>
      <c r="Y31">
        <f>IF(AND($X31&gt;0,ISNUMBER($M31)),$M31/$X31,"")</f>
        <v/>
      </c>
      <c r="Z31">
        <f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>
        <f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/>
      </c>
      <c r="AB31">
        <f>IF(ISNUMBER($M31),$M31,0)</f>
        <v/>
      </c>
      <c r="AD31" s="413">
        <f>IF($R31="",0,IF($AA31&gt;0,$AB31*SUMIF(⑳商品別1食労務費!$C$5:$C$124,$R31,⑳商品別1食労務費!$F$5:$F$124)/$AA31,$AB31/$X31))</f>
        <v/>
      </c>
      <c r="AE31" s="413">
        <f>IF($S31="",0,IF($AA31&gt;0,$AB31*SUMIF(⑳商品別1食労務費!$C$5:$C$124,$S31,⑳商品別1食労務費!$F$5:$F$124)/$AA31,$AB31/$X31))</f>
        <v/>
      </c>
      <c r="AF31" s="413">
        <f>IF($T31="",0,IF($AA31&gt;0,$AB31*SUMIF(⑳商品別1食労務費!$C$5:$C$124,$T31,⑳商品別1食労務費!$F$5:$F$124)/$AA31,$AB31/$X31))</f>
        <v/>
      </c>
      <c r="AG31" s="413">
        <f>IF($U31="",0,IF($AA31&gt;0,$AB31*SUMIF(⑳商品別1食労務費!$C$5:$C$124,$U31,⑳商品別1食労務費!$F$5:$F$124)/$AA31,$AB31/$X31))</f>
        <v/>
      </c>
      <c r="AH31" s="413">
        <f>IF($V31="",0,IF($AA31&gt;0,$AB31*SUMIF(⑳商品別1食労務費!$C$5:$C$124,$V31,⑳商品別1食労務費!$F$5:$F$124)/$AA31,$AB31/$X31))</f>
        <v/>
      </c>
      <c r="AI31" s="413">
        <f>IF($W31="",0,IF($AA31&gt;0,$AB31*SUMIF(⑳商品別1食労務費!$C$5:$C$124,$W31,⑳商品別1食労務費!$F$5:$F$124)/$AA31,$AB31/$X31))</f>
        <v/>
      </c>
    </row>
    <row r="32" ht="16" customHeight="1" s="438">
      <c r="A32" s="303" t="n">
        <v>28</v>
      </c>
      <c r="B32" s="303" t="inlineStr">
        <is>
          <t>計量</t>
        </is>
      </c>
      <c r="C32" s="340" t="inlineStr">
        <is>
          <t>ホテルロール</t>
        </is>
      </c>
      <c r="D32" s="339" t="n">
        <v>0.2777777777777778</v>
      </c>
      <c r="E32" s="339" t="n">
        <v>0.2916666666666667</v>
      </c>
      <c r="F32" s="557">
        <f>IF(OR(D32="",E32=""),"",(E32-D32)*1440)</f>
        <v/>
      </c>
      <c r="G32" s="303" t="n">
        <v>18</v>
      </c>
      <c r="H32" s="303" t="n">
        <v>5</v>
      </c>
      <c r="I32" s="303" t="n">
        <v>640</v>
      </c>
      <c r="J32" s="303" t="n"/>
      <c r="K32" s="303">
        <f>IF(AND(I32&gt;0,ISNUMBER(F32)),I32/(F32/60),"")</f>
        <v/>
      </c>
      <c r="L32" s="303">
        <f>IF(AND(J32&gt;0,ISNUMBER(F32)),J32/(F32/60),"")</f>
        <v/>
      </c>
      <c r="M32" s="303">
        <f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303">
        <f>IF(AND(I32&gt;0,ISNUMBER(M32)),M32/I32,"")</f>
        <v/>
      </c>
      <c r="O32" s="303">
        <f>IF(AND(J32&gt;0,ISNUMBER(M32)),M32/J32,"")</f>
        <v/>
      </c>
      <c r="P32" s="303" t="n"/>
      <c r="Q32" s="303" t="n"/>
      <c r="R32" s="340" t="inlineStr">
        <is>
          <t>ふわもちホテルロール３個</t>
        </is>
      </c>
      <c r="S32" s="340" t="inlineStr">
        <is>
          <t>ふわもちホテルロール８個入</t>
        </is>
      </c>
      <c r="T32" s="340" t="inlineStr">
        <is>
          <t>ふわもちホテルロール１６個</t>
        </is>
      </c>
      <c r="U32" s="340" t="inlineStr">
        <is>
          <t>Ｓふわもちホテルロール８個</t>
        </is>
      </c>
      <c r="V32" s="340" t="inlineStr">
        <is>
          <t>Ｓふわもちホテルロール１６</t>
        </is>
      </c>
      <c r="W32" s="340" t="inlineStr">
        <is>
          <t>ホテルロールＫＩＴ　４０個</t>
        </is>
      </c>
      <c r="X32">
        <f>COUNTA(R32:W32)</f>
        <v/>
      </c>
      <c r="Y32">
        <f>IF(AND($X32&gt;0,ISNUMBER($M32)),$M32/$X32,"")</f>
        <v/>
      </c>
      <c r="Z32">
        <f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>
        <f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/>
      </c>
      <c r="AB32">
        <f>IF(ISNUMBER($M32),$M32,0)</f>
        <v/>
      </c>
      <c r="AD32" s="413">
        <f>IF($R32="",0,IF($AA32&gt;0,$AB32*SUMIF(⑳商品別1食労務費!$C$5:$C$124,$R32,⑳商品別1食労務費!$F$5:$F$124)/$AA32,$AB32/$X32))</f>
        <v/>
      </c>
      <c r="AE32" s="413">
        <f>IF($S32="",0,IF($AA32&gt;0,$AB32*SUMIF(⑳商品別1食労務費!$C$5:$C$124,$S32,⑳商品別1食労務費!$F$5:$F$124)/$AA32,$AB32/$X32))</f>
        <v/>
      </c>
      <c r="AF32" s="413">
        <f>IF($T32="",0,IF($AA32&gt;0,$AB32*SUMIF(⑳商品別1食労務費!$C$5:$C$124,$T32,⑳商品別1食労務費!$F$5:$F$124)/$AA32,$AB32/$X32))</f>
        <v/>
      </c>
      <c r="AG32" s="413">
        <f>IF($U32="",0,IF($AA32&gt;0,$AB32*SUMIF(⑳商品別1食労務費!$C$5:$C$124,$U32,⑳商品別1食労務費!$F$5:$F$124)/$AA32,$AB32/$X32))</f>
        <v/>
      </c>
      <c r="AH32" s="413">
        <f>IF($V32="",0,IF($AA32&gt;0,$AB32*SUMIF(⑳商品別1食労務費!$C$5:$C$124,$V32,⑳商品別1食労務費!$F$5:$F$124)/$AA32,$AB32/$X32))</f>
        <v/>
      </c>
      <c r="AI32" s="413">
        <f>IF($W32="",0,IF($AA32&gt;0,$AB32*SUMIF(⑳商品別1食労務費!$C$5:$C$124,$W32,⑳商品別1食労務費!$F$5:$F$124)/$AA32,$AB32/$X32))</f>
        <v/>
      </c>
    </row>
    <row r="33" ht="16" customHeight="1" s="438" thickBot="1">
      <c r="A33" s="303" t="n">
        <v>29</v>
      </c>
      <c r="B33" s="303" t="inlineStr">
        <is>
          <t>計量</t>
        </is>
      </c>
      <c r="C33" s="340" t="inlineStr">
        <is>
          <t>ホテルロール</t>
        </is>
      </c>
      <c r="D33" s="339" t="n">
        <v>0.2916666666666667</v>
      </c>
      <c r="E33" s="339" t="n">
        <v>0.3055555555555556</v>
      </c>
      <c r="F33" s="557">
        <f>IF(OR(D33="",E33=""),"",(E33-D33)*1440)</f>
        <v/>
      </c>
      <c r="G33" s="303" t="n">
        <v>18</v>
      </c>
      <c r="H33" s="303" t="n">
        <v>6</v>
      </c>
      <c r="I33" s="303" t="n">
        <v>640</v>
      </c>
      <c r="J33" s="303" t="n"/>
      <c r="K33" s="303">
        <f>IF(AND(I33&gt;0,ISNUMBER(F33)),I33/(F33/60),"")</f>
        <v/>
      </c>
      <c r="L33" s="303">
        <f>IF(AND(J33&gt;0,ISNUMBER(F33)),J33/(F33/60),"")</f>
        <v/>
      </c>
      <c r="M33" s="303">
        <f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303">
        <f>IF(AND(I33&gt;0,ISNUMBER(M33)),M33/I33,"")</f>
        <v/>
      </c>
      <c r="O33" s="303">
        <f>IF(AND(J33&gt;0,ISNUMBER(M33)),M33/J33,"")</f>
        <v/>
      </c>
      <c r="P33" s="303" t="n"/>
      <c r="Q33" s="303" t="n"/>
      <c r="R33" s="340" t="inlineStr">
        <is>
          <t>ふわもちホテルロール３個</t>
        </is>
      </c>
      <c r="S33" s="340" t="inlineStr">
        <is>
          <t>ふわもちホテルロール８個入</t>
        </is>
      </c>
      <c r="T33" s="340" t="inlineStr">
        <is>
          <t>ふわもちホテルロール１６個</t>
        </is>
      </c>
      <c r="U33" s="340" t="inlineStr">
        <is>
          <t>Ｓふわもちホテルロール８個</t>
        </is>
      </c>
      <c r="V33" s="340" t="inlineStr">
        <is>
          <t>Ｓふわもちホテルロール１６</t>
        </is>
      </c>
      <c r="W33" s="340" t="inlineStr">
        <is>
          <t>ホテルロールＫＩＴ　４０個</t>
        </is>
      </c>
      <c r="X33">
        <f>COUNTA(R33:W33)</f>
        <v/>
      </c>
      <c r="Y33">
        <f>IF(AND($X33&gt;0,ISNUMBER($M33)),$M33/$X33,"")</f>
        <v/>
      </c>
      <c r="Z33">
        <f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>
        <f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/>
      </c>
      <c r="AB33">
        <f>IF(ISNUMBER($M33),$M33,0)</f>
        <v/>
      </c>
      <c r="AD33" s="413">
        <f>IF($R33="",0,IF($AA33&gt;0,$AB33*SUMIF(⑳商品別1食労務費!$C$5:$C$124,$R33,⑳商品別1食労務費!$F$5:$F$124)/$AA33,$AB33/$X33))</f>
        <v/>
      </c>
      <c r="AE33" s="413">
        <f>IF($S33="",0,IF($AA33&gt;0,$AB33*SUMIF(⑳商品別1食労務費!$C$5:$C$124,$S33,⑳商品別1食労務費!$F$5:$F$124)/$AA33,$AB33/$X33))</f>
        <v/>
      </c>
      <c r="AF33" s="413">
        <f>IF($T33="",0,IF($AA33&gt;0,$AB33*SUMIF(⑳商品別1食労務費!$C$5:$C$124,$T33,⑳商品別1食労務費!$F$5:$F$124)/$AA33,$AB33/$X33))</f>
        <v/>
      </c>
      <c r="AG33" s="413">
        <f>IF($U33="",0,IF($AA33&gt;0,$AB33*SUMIF(⑳商品別1食労務費!$C$5:$C$124,$U33,⑳商品別1食労務費!$F$5:$F$124)/$AA33,$AB33/$X33))</f>
        <v/>
      </c>
      <c r="AH33" s="413">
        <f>IF($V33="",0,IF($AA33&gt;0,$AB33*SUMIF(⑳商品別1食労務費!$C$5:$C$124,$V33,⑳商品別1食労務費!$F$5:$F$124)/$AA33,$AB33/$X33))</f>
        <v/>
      </c>
      <c r="AI33" s="413">
        <f>IF($W33="",0,IF($AA33&gt;0,$AB33*SUMIF(⑳商品別1食労務費!$C$5:$C$124,$W33,⑳商品別1食労務費!$F$5:$F$124)/$AA33,$AB33/$X33))</f>
        <v/>
      </c>
    </row>
    <row r="34" ht="16" customHeight="1" s="438" thickBot="1">
      <c r="A34" s="303" t="n">
        <v>30</v>
      </c>
      <c r="B34" s="303" t="inlineStr">
        <is>
          <t>計量</t>
        </is>
      </c>
      <c r="C34" s="340" t="inlineStr">
        <is>
          <t>ホテルロール</t>
        </is>
      </c>
      <c r="D34" s="339" t="n">
        <v>0.3055555555555556</v>
      </c>
      <c r="E34" s="339" t="n">
        <v>0.3194444444444444</v>
      </c>
      <c r="F34" s="557">
        <f>IF(OR(D34="",E34=""),"",(E34-D34)*1440)</f>
        <v/>
      </c>
      <c r="G34" s="303" t="n">
        <v>18</v>
      </c>
      <c r="H34" s="303" t="n">
        <v>7</v>
      </c>
      <c r="I34" s="303" t="n">
        <v>640</v>
      </c>
      <c r="J34" s="303" t="n"/>
      <c r="K34" s="303">
        <f>IF(AND(I34&gt;0,ISNUMBER(F34)),I34/(F34/60),"")</f>
        <v/>
      </c>
      <c r="L34" s="303">
        <f>IF(AND(J34&gt;0,ISNUMBER(F34)),J34/(F34/60),"")</f>
        <v/>
      </c>
      <c r="M34" s="303">
        <f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303">
        <f>IF(AND(I34&gt;0,ISNUMBER(M34)),M34/I34,"")</f>
        <v/>
      </c>
      <c r="O34" s="303">
        <f>IF(AND(J34&gt;0,ISNUMBER(M34)),M34/J34,"")</f>
        <v/>
      </c>
      <c r="P34" s="303" t="n"/>
      <c r="Q34" s="303" t="n"/>
      <c r="R34" s="340" t="inlineStr">
        <is>
          <t>ふわもちホテルロール３個</t>
        </is>
      </c>
      <c r="S34" s="340" t="inlineStr">
        <is>
          <t>ふわもちホテルロール８個入</t>
        </is>
      </c>
      <c r="T34" s="340" t="inlineStr">
        <is>
          <t>ふわもちホテルロール１６個</t>
        </is>
      </c>
      <c r="U34" s="340" t="inlineStr">
        <is>
          <t>Ｓふわもちホテルロール８個</t>
        </is>
      </c>
      <c r="V34" s="340" t="inlineStr">
        <is>
          <t>Ｓふわもちホテルロール１６</t>
        </is>
      </c>
      <c r="W34" s="340" t="inlineStr">
        <is>
          <t>ホテルロールＫＩＴ　４０個</t>
        </is>
      </c>
      <c r="X34">
        <f>COUNTA(R34:W34)</f>
        <v/>
      </c>
      <c r="Y34">
        <f>IF(AND($X34&gt;0,ISNUMBER($M34)),$M34/$X34,"")</f>
        <v/>
      </c>
      <c r="Z34">
        <f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>
        <f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/>
      </c>
      <c r="AB34">
        <f>IF(ISNUMBER($M34),$M34,0)</f>
        <v/>
      </c>
      <c r="AD34" s="413">
        <f>IF($R34="",0,IF($AA34&gt;0,$AB34*SUMIF(⑳商品別1食労務費!$C$5:$C$124,$R34,⑳商品別1食労務費!$F$5:$F$124)/$AA34,$AB34/$X34))</f>
        <v/>
      </c>
      <c r="AE34" s="413">
        <f>IF($S34="",0,IF($AA34&gt;0,$AB34*SUMIF(⑳商品別1食労務費!$C$5:$C$124,$S34,⑳商品別1食労務費!$F$5:$F$124)/$AA34,$AB34/$X34))</f>
        <v/>
      </c>
      <c r="AF34" s="413">
        <f>IF($T34="",0,IF($AA34&gt;0,$AB34*SUMIF(⑳商品別1食労務費!$C$5:$C$124,$T34,⑳商品別1食労務費!$F$5:$F$124)/$AA34,$AB34/$X34))</f>
        <v/>
      </c>
      <c r="AG34" s="413">
        <f>IF($U34="",0,IF($AA34&gt;0,$AB34*SUMIF(⑳商品別1食労務費!$C$5:$C$124,$U34,⑳商品別1食労務費!$F$5:$F$124)/$AA34,$AB34/$X34))</f>
        <v/>
      </c>
      <c r="AH34" s="413">
        <f>IF($V34="",0,IF($AA34&gt;0,$AB34*SUMIF(⑳商品別1食労務費!$C$5:$C$124,$V34,⑳商品別1食労務費!$F$5:$F$124)/$AA34,$AB34/$X34))</f>
        <v/>
      </c>
      <c r="AI34" s="413">
        <f>IF($W34="",0,IF($AA34&gt;0,$AB34*SUMIF(⑳商品別1食労務費!$C$5:$C$124,$W34,⑳商品別1食労務費!$F$5:$F$124)/$AA34,$AB34/$X34))</f>
        <v/>
      </c>
    </row>
    <row r="35" ht="16" customHeight="1" s="438">
      <c r="A35" s="303" t="n"/>
      <c r="B35" s="303" t="inlineStr">
        <is>
          <t>計量</t>
        </is>
      </c>
      <c r="C35" s="340" t="inlineStr">
        <is>
          <t>ホテルロール</t>
        </is>
      </c>
      <c r="D35" s="339" t="n">
        <v>0.3194444444444444</v>
      </c>
      <c r="E35" s="339" t="n">
        <v>0.3333333333333333</v>
      </c>
      <c r="F35" s="557">
        <f>IF(OR(D35="",E35=""),"",(E35-D35)*1440)</f>
        <v/>
      </c>
      <c r="G35" s="303" t="n">
        <v>18</v>
      </c>
      <c r="H35" s="303" t="n">
        <v>8</v>
      </c>
      <c r="I35" s="303" t="n">
        <v>640</v>
      </c>
      <c r="J35" s="303" t="n"/>
      <c r="K35" s="303">
        <f>IF(AND(I35&gt;0,ISNUMBER(F35)),I35/(F35/60),"")</f>
        <v/>
      </c>
      <c r="L35" s="303">
        <f>IF(AND(J35&gt;0,ISNUMBER(F35)),J35/(F35/60),"")</f>
        <v/>
      </c>
      <c r="M35" s="303">
        <f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303">
        <f>IF(AND(I35&gt;0,ISNUMBER(M35)),M35/I35,"")</f>
        <v/>
      </c>
      <c r="O35" s="303">
        <f>IF(AND(J35&gt;0,ISNUMBER(M35)),M35/J35,"")</f>
        <v/>
      </c>
      <c r="P35" s="303" t="n"/>
      <c r="Q35" s="303" t="n"/>
      <c r="R35" s="340" t="inlineStr">
        <is>
          <t>ふわもちホテルロール３個</t>
        </is>
      </c>
      <c r="S35" s="340" t="inlineStr">
        <is>
          <t>ふわもちホテルロール８個入</t>
        </is>
      </c>
      <c r="T35" s="340" t="inlineStr">
        <is>
          <t>ふわもちホテルロール１６個</t>
        </is>
      </c>
      <c r="U35" s="340" t="inlineStr">
        <is>
          <t>Ｓふわもちホテルロール８個</t>
        </is>
      </c>
      <c r="V35" s="340" t="inlineStr">
        <is>
          <t>Ｓふわもちホテルロール１６</t>
        </is>
      </c>
      <c r="W35" s="340" t="inlineStr">
        <is>
          <t>ホテルロールＫＩＴ　４０個</t>
        </is>
      </c>
      <c r="X35">
        <f>COUNTA(R35:W35)</f>
        <v/>
      </c>
      <c r="Y35">
        <f>IF(AND($X35&gt;0,ISNUMBER($M35)),$M35/$X35,"")</f>
        <v/>
      </c>
      <c r="Z35">
        <f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>
        <f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/>
      </c>
      <c r="AB35">
        <f>IF(ISNUMBER($M35),$M35,0)</f>
        <v/>
      </c>
      <c r="AD35" s="413">
        <f>IF($R35="",0,IF($AA35&gt;0,$AB35*SUMIF(⑳商品別1食労務費!$C$5:$C$124,$R35,⑳商品別1食労務費!$F$5:$F$124)/$AA35,$AB35/$X35))</f>
        <v/>
      </c>
      <c r="AE35" s="413">
        <f>IF($S35="",0,IF($AA35&gt;0,$AB35*SUMIF(⑳商品別1食労務費!$C$5:$C$124,$S35,⑳商品別1食労務費!$F$5:$F$124)/$AA35,$AB35/$X35))</f>
        <v/>
      </c>
      <c r="AF35" s="413">
        <f>IF($T35="",0,IF($AA35&gt;0,$AB35*SUMIF(⑳商品別1食労務費!$C$5:$C$124,$T35,⑳商品別1食労務費!$F$5:$F$124)/$AA35,$AB35/$X35))</f>
        <v/>
      </c>
      <c r="AG35" s="413">
        <f>IF($U35="",0,IF($AA35&gt;0,$AB35*SUMIF(⑳商品別1食労務費!$C$5:$C$124,$U35,⑳商品別1食労務費!$F$5:$F$124)/$AA35,$AB35/$X35))</f>
        <v/>
      </c>
      <c r="AH35" s="413">
        <f>IF($V35="",0,IF($AA35&gt;0,$AB35*SUMIF(⑳商品別1食労務費!$C$5:$C$124,$V35,⑳商品別1食労務費!$F$5:$F$124)/$AA35,$AB35/$X35))</f>
        <v/>
      </c>
      <c r="AI35" s="413">
        <f>IF($W35="",0,IF($AA35&gt;0,$AB35*SUMIF(⑳商品別1食労務費!$C$5:$C$124,$W35,⑳商品別1食労務費!$F$5:$F$124)/$AA35,$AB35/$X35))</f>
        <v/>
      </c>
    </row>
    <row r="36" ht="16" customHeight="1" s="438">
      <c r="A36" s="303" t="n"/>
      <c r="B36" s="303" t="inlineStr">
        <is>
          <t>計量</t>
        </is>
      </c>
      <c r="C36" s="340" t="inlineStr">
        <is>
          <t>メロン塩パン</t>
        </is>
      </c>
      <c r="D36" s="339" t="n">
        <v>0.3333333333333333</v>
      </c>
      <c r="E36" s="339" t="n">
        <v>0.3472222222222222</v>
      </c>
      <c r="F36" s="557">
        <f>IF(OR(D36="",E36=""),"",(E36-D36)*1440)</f>
        <v/>
      </c>
      <c r="G36" s="303" t="n">
        <v>18</v>
      </c>
      <c r="H36" s="303" t="n">
        <v>9</v>
      </c>
      <c r="I36" s="303" t="n">
        <v>240</v>
      </c>
      <c r="J36" s="303" t="n"/>
      <c r="K36" s="303">
        <f>IF(AND(I36&gt;0,ISNUMBER(F36)),I36/(F36/60),"")</f>
        <v/>
      </c>
      <c r="L36" s="303">
        <f>IF(AND(J36&gt;0,ISNUMBER(F36)),J36/(F36/60),"")</f>
        <v/>
      </c>
      <c r="M36" s="303">
        <f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303">
        <f>IF(AND(I36&gt;0,ISNUMBER(M36)),M36/I36,"")</f>
        <v/>
      </c>
      <c r="O36" s="303">
        <f>IF(AND(J36&gt;0,ISNUMBER(M36)),M36/J36,"")</f>
        <v/>
      </c>
      <c r="P36" s="303" t="n"/>
      <c r="Q36" s="303" t="n"/>
      <c r="R36" s="340" t="inlineStr">
        <is>
          <t>メロン塩パンＫＩＴ</t>
        </is>
      </c>
      <c r="S36" s="340" t="inlineStr">
        <is>
          <t>メロン塩パン２個入</t>
        </is>
      </c>
      <c r="T36" s="340" t="inlineStr">
        <is>
          <t>Ｓメロン塩パン２個入</t>
        </is>
      </c>
      <c r="U36" s="340" t="n"/>
      <c r="V36" s="340" t="n"/>
      <c r="W36" s="340" t="n"/>
      <c r="X36">
        <f>COUNTA(R36:W36)</f>
        <v/>
      </c>
      <c r="Y36">
        <f>IF(AND($X36&gt;0,ISNUMBER($M36)),$M36/$X36,"")</f>
        <v/>
      </c>
      <c r="Z36">
        <f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/>
      </c>
      <c r="AA36">
        <f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/>
      </c>
      <c r="AB36">
        <f>IF(ISNUMBER($M36),$M36,0)</f>
        <v/>
      </c>
      <c r="AD36" s="413">
        <f>IF($R36="",0,IF($AA36&gt;0,$AB36*SUMIF(⑳商品別1食労務費!$C$5:$C$124,$R36,⑳商品別1食労務費!$F$5:$F$124)/$AA36,$AB36/$X36))</f>
        <v/>
      </c>
      <c r="AE36" s="413">
        <f>IF($S36="",0,IF($AA36&gt;0,$AB36*SUMIF(⑳商品別1食労務費!$C$5:$C$124,$S36,⑳商品別1食労務費!$F$5:$F$124)/$AA36,$AB36/$X36))</f>
        <v/>
      </c>
      <c r="AF36" s="413">
        <f>IF($T36="",0,IF($AA36&gt;0,$AB36*SUMIF(⑳商品別1食労務費!$C$5:$C$124,$T36,⑳商品別1食労務費!$F$5:$F$124)/$AA36,$AB36/$X36))</f>
        <v/>
      </c>
      <c r="AG36" s="413">
        <f>IF($U36="",0,IF($AA36&gt;0,$AB36*SUMIF(⑳商品別1食労務費!$C$5:$C$124,$U36,⑳商品別1食労務費!$F$5:$F$124)/$AA36,$AB36/$X36))</f>
        <v/>
      </c>
      <c r="AH36" s="413">
        <f>IF($V36="",0,IF($AA36&gt;0,$AB36*SUMIF(⑳商品別1食労務費!$C$5:$C$124,$V36,⑳商品別1食労務費!$F$5:$F$124)/$AA36,$AB36/$X36))</f>
        <v/>
      </c>
      <c r="AI36" s="413">
        <f>IF($W36="",0,IF($AA36&gt;0,$AB36*SUMIF(⑳商品別1食労務費!$C$5:$C$124,$W36,⑳商品別1食労務費!$F$5:$F$124)/$AA36,$AB36/$X36))</f>
        <v/>
      </c>
    </row>
    <row r="37" ht="16" customHeight="1" s="438">
      <c r="A37" s="303" t="n"/>
      <c r="B37" s="303" t="inlineStr">
        <is>
          <t>計量</t>
        </is>
      </c>
      <c r="C37" s="340" t="inlineStr">
        <is>
          <t>メロン塩パン</t>
        </is>
      </c>
      <c r="D37" s="339" t="n">
        <v>0.3472222222222222</v>
      </c>
      <c r="E37" s="339" t="n">
        <v>0.3645833333333333</v>
      </c>
      <c r="F37" s="557">
        <f>IF(OR(D37="",E37=""),"",(E37-D37)*1440)</f>
        <v/>
      </c>
      <c r="G37" s="303" t="n">
        <v>25</v>
      </c>
      <c r="H37" s="303" t="n">
        <v>10</v>
      </c>
      <c r="I37" s="303" t="n">
        <v>240</v>
      </c>
      <c r="J37" s="303" t="n"/>
      <c r="K37" s="303">
        <f>IF(AND(I37&gt;0,ISNUMBER(F37)),I37/(F37/60),"")</f>
        <v/>
      </c>
      <c r="L37" s="303">
        <f>IF(AND(J37&gt;0,ISNUMBER(F37)),J37/(F37/60),"")</f>
        <v/>
      </c>
      <c r="M37" s="303">
        <f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303">
        <f>IF(AND(I37&gt;0,ISNUMBER(M37)),M37/I37,"")</f>
        <v/>
      </c>
      <c r="O37" s="303">
        <f>IF(AND(J37&gt;0,ISNUMBER(M37)),M37/J37,"")</f>
        <v/>
      </c>
      <c r="P37" s="303" t="n"/>
      <c r="Q37" s="303" t="n"/>
      <c r="R37" s="340" t="inlineStr">
        <is>
          <t>メロン塩パンＫＩＴ</t>
        </is>
      </c>
      <c r="S37" s="340" t="inlineStr">
        <is>
          <t>メロン塩パン２個入</t>
        </is>
      </c>
      <c r="T37" s="340" t="inlineStr">
        <is>
          <t>Ｓメロン塩パン２個入</t>
        </is>
      </c>
      <c r="U37" s="340" t="n"/>
      <c r="V37" s="340" t="n"/>
      <c r="W37" s="340" t="n"/>
      <c r="X37">
        <f>COUNTA(R37:W37)</f>
        <v/>
      </c>
      <c r="Y37">
        <f>IF(AND($X37&gt;0,ISNUMBER($M37)),$M37/$X37,"")</f>
        <v/>
      </c>
      <c r="Z37">
        <f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/>
      </c>
      <c r="AA37">
        <f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/>
      </c>
      <c r="AB37">
        <f>IF(ISNUMBER($M37),$M37,0)</f>
        <v/>
      </c>
      <c r="AD37" s="413">
        <f>IF($R37="",0,IF($AA37&gt;0,$AB37*SUMIF(⑳商品別1食労務費!$C$5:$C$124,$R37,⑳商品別1食労務費!$F$5:$F$124)/$AA37,$AB37/$X37))</f>
        <v/>
      </c>
      <c r="AE37" s="413">
        <f>IF($S37="",0,IF($AA37&gt;0,$AB37*SUMIF(⑳商品別1食労務費!$C$5:$C$124,$S37,⑳商品別1食労務費!$F$5:$F$124)/$AA37,$AB37/$X37))</f>
        <v/>
      </c>
      <c r="AF37" s="413">
        <f>IF($T37="",0,IF($AA37&gt;0,$AB37*SUMIF(⑳商品別1食労務費!$C$5:$C$124,$T37,⑳商品別1食労務費!$F$5:$F$124)/$AA37,$AB37/$X37))</f>
        <v/>
      </c>
      <c r="AG37" s="413">
        <f>IF($U37="",0,IF($AA37&gt;0,$AB37*SUMIF(⑳商品別1食労務費!$C$5:$C$124,$U37,⑳商品別1食労務費!$F$5:$F$124)/$AA37,$AB37/$X37))</f>
        <v/>
      </c>
      <c r="AH37" s="413">
        <f>IF($V37="",0,IF($AA37&gt;0,$AB37*SUMIF(⑳商品別1食労務費!$C$5:$C$124,$V37,⑳商品別1食労務費!$F$5:$F$124)/$AA37,$AB37/$X37))</f>
        <v/>
      </c>
      <c r="AI37" s="413">
        <f>IF($W37="",0,IF($AA37&gt;0,$AB37*SUMIF(⑳商品別1食労務費!$C$5:$C$124,$W37,⑳商品別1食労務費!$F$5:$F$124)/$AA37,$AB37/$X37))</f>
        <v/>
      </c>
    </row>
    <row r="38" ht="16" customHeight="1" s="438">
      <c r="A38" s="303" t="n"/>
      <c r="B38" s="303" t="inlineStr">
        <is>
          <t>計量</t>
        </is>
      </c>
      <c r="C38" s="340" t="inlineStr">
        <is>
          <t>メロン塩パン</t>
        </is>
      </c>
      <c r="D38" s="339" t="n">
        <v>0.3645833333333333</v>
      </c>
      <c r="E38" s="339" t="n">
        <v>0.3819444444444444</v>
      </c>
      <c r="F38" s="557">
        <f>IF(OR(D38="",E38=""),"",(E38-D38)*1440)</f>
        <v/>
      </c>
      <c r="G38" s="303" t="n">
        <v>25</v>
      </c>
      <c r="H38" s="303" t="n">
        <v>11</v>
      </c>
      <c r="I38" s="303" t="n">
        <v>240</v>
      </c>
      <c r="J38" s="303" t="n"/>
      <c r="K38" s="303">
        <f>IF(AND(I38&gt;0,ISNUMBER(F38)),I38/(F38/60),"")</f>
        <v/>
      </c>
      <c r="L38" s="303">
        <f>IF(AND(J38&gt;0,ISNUMBER(F38)),J38/(F38/60),"")</f>
        <v/>
      </c>
      <c r="M38" s="303">
        <f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303">
        <f>IF(AND(I38&gt;0,ISNUMBER(M38)),M38/I38,"")</f>
        <v/>
      </c>
      <c r="O38" s="303">
        <f>IF(AND(J38&gt;0,ISNUMBER(M38)),M38/J38,"")</f>
        <v/>
      </c>
      <c r="P38" s="303" t="n"/>
      <c r="Q38" s="303" t="n"/>
      <c r="R38" s="340" t="inlineStr">
        <is>
          <t>メロン塩パンＫＩＴ</t>
        </is>
      </c>
      <c r="S38" s="340" t="inlineStr">
        <is>
          <t>メロン塩パン２個入</t>
        </is>
      </c>
      <c r="T38" s="340" t="inlineStr">
        <is>
          <t>Ｓメロン塩パン２個入</t>
        </is>
      </c>
      <c r="U38" s="340" t="n"/>
      <c r="V38" s="340" t="n"/>
      <c r="W38" s="340" t="n"/>
      <c r="X38">
        <f>COUNTA(R38:W38)</f>
        <v/>
      </c>
      <c r="Y38">
        <f>IF(AND($X38&gt;0,ISNUMBER($M38)),$M38/$X38,"")</f>
        <v/>
      </c>
      <c r="Z38">
        <f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/>
      </c>
      <c r="AA38">
        <f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/>
      </c>
      <c r="AB38">
        <f>IF(ISNUMBER($M38),$M38,0)</f>
        <v/>
      </c>
      <c r="AD38" s="413">
        <f>IF($R38="",0,IF($AA38&gt;0,$AB38*SUMIF(⑳商品別1食労務費!$C$5:$C$124,$R38,⑳商品別1食労務費!$F$5:$F$124)/$AA38,$AB38/$X38))</f>
        <v/>
      </c>
      <c r="AE38" s="413">
        <f>IF($S38="",0,IF($AA38&gt;0,$AB38*SUMIF(⑳商品別1食労務費!$C$5:$C$124,$S38,⑳商品別1食労務費!$F$5:$F$124)/$AA38,$AB38/$X38))</f>
        <v/>
      </c>
      <c r="AF38" s="413">
        <f>IF($T38="",0,IF($AA38&gt;0,$AB38*SUMIF(⑳商品別1食労務費!$C$5:$C$124,$T38,⑳商品別1食労務費!$F$5:$F$124)/$AA38,$AB38/$X38))</f>
        <v/>
      </c>
      <c r="AG38" s="413">
        <f>IF($U38="",0,IF($AA38&gt;0,$AB38*SUMIF(⑳商品別1食労務費!$C$5:$C$124,$U38,⑳商品別1食労務費!$F$5:$F$124)/$AA38,$AB38/$X38))</f>
        <v/>
      </c>
      <c r="AH38" s="413">
        <f>IF($V38="",0,IF($AA38&gt;0,$AB38*SUMIF(⑳商品別1食労務費!$C$5:$C$124,$V38,⑳商品別1食労務費!$F$5:$F$124)/$AA38,$AB38/$X38))</f>
        <v/>
      </c>
      <c r="AI38" s="413">
        <f>IF($W38="",0,IF($AA38&gt;0,$AB38*SUMIF(⑳商品別1食労務費!$C$5:$C$124,$W38,⑳商品別1食労務費!$F$5:$F$124)/$AA38,$AB38/$X38))</f>
        <v/>
      </c>
    </row>
    <row r="39" ht="16" customHeight="1" s="438">
      <c r="A39" s="303" t="n"/>
      <c r="B39" s="303" t="inlineStr">
        <is>
          <t>計量</t>
        </is>
      </c>
      <c r="C39" s="340" t="inlineStr">
        <is>
          <t>メロン塩パン</t>
        </is>
      </c>
      <c r="D39" s="339" t="n">
        <v>0.3819444444444444</v>
      </c>
      <c r="E39" s="339" t="n">
        <v>0.3993055555555556</v>
      </c>
      <c r="F39" s="557">
        <f>IF(OR(D39="",E39=""),"",(E39-D39)*1440)</f>
        <v/>
      </c>
      <c r="G39" s="303" t="n">
        <v>25</v>
      </c>
      <c r="H39" s="303" t="n">
        <v>12</v>
      </c>
      <c r="I39" s="303" t="n">
        <v>240</v>
      </c>
      <c r="J39" s="303" t="n"/>
      <c r="K39" s="303">
        <f>IF(AND(I39&gt;0,ISNUMBER(F39)),I39/(F39/60),"")</f>
        <v/>
      </c>
      <c r="L39" s="303">
        <f>IF(AND(J39&gt;0,ISNUMBER(F39)),J39/(F39/60),"")</f>
        <v/>
      </c>
      <c r="M39" s="303">
        <f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303">
        <f>IF(AND(I39&gt;0,ISNUMBER(M39)),M39/I39,"")</f>
        <v/>
      </c>
      <c r="O39" s="303">
        <f>IF(AND(J39&gt;0,ISNUMBER(M39)),M39/J39,"")</f>
        <v/>
      </c>
      <c r="P39" s="303" t="n"/>
      <c r="Q39" s="303" t="n"/>
      <c r="R39" s="340" t="inlineStr">
        <is>
          <t>メロン塩パンＫＩＴ</t>
        </is>
      </c>
      <c r="S39" s="340" t="inlineStr">
        <is>
          <t>メロン塩パン２個入</t>
        </is>
      </c>
      <c r="T39" s="340" t="inlineStr">
        <is>
          <t>Ｓメロン塩パン２個入</t>
        </is>
      </c>
      <c r="U39" s="340" t="n"/>
      <c r="V39" s="340" t="n"/>
      <c r="W39" s="340" t="n"/>
      <c r="X39">
        <f>COUNTA(R39:W39)</f>
        <v/>
      </c>
      <c r="Y39">
        <f>IF(AND($X39&gt;0,ISNUMBER($M39)),$M39/$X39,"")</f>
        <v/>
      </c>
      <c r="Z39">
        <f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/>
      </c>
      <c r="AA39">
        <f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/>
      </c>
      <c r="AB39">
        <f>IF(ISNUMBER($M39),$M39,0)</f>
        <v/>
      </c>
      <c r="AD39" s="413">
        <f>IF($R39="",0,IF($AA39&gt;0,$AB39*SUMIF(⑳商品別1食労務費!$C$5:$C$124,$R39,⑳商品別1食労務費!$F$5:$F$124)/$AA39,$AB39/$X39))</f>
        <v/>
      </c>
      <c r="AE39" s="413">
        <f>IF($S39="",0,IF($AA39&gt;0,$AB39*SUMIF(⑳商品別1食労務費!$C$5:$C$124,$S39,⑳商品別1食労務費!$F$5:$F$124)/$AA39,$AB39/$X39))</f>
        <v/>
      </c>
      <c r="AF39" s="413">
        <f>IF($T39="",0,IF($AA39&gt;0,$AB39*SUMIF(⑳商品別1食労務費!$C$5:$C$124,$T39,⑳商品別1食労務費!$F$5:$F$124)/$AA39,$AB39/$X39))</f>
        <v/>
      </c>
      <c r="AG39" s="413">
        <f>IF($U39="",0,IF($AA39&gt;0,$AB39*SUMIF(⑳商品別1食労務費!$C$5:$C$124,$U39,⑳商品別1食労務費!$F$5:$F$124)/$AA39,$AB39/$X39))</f>
        <v/>
      </c>
      <c r="AH39" s="413">
        <f>IF($V39="",0,IF($AA39&gt;0,$AB39*SUMIF(⑳商品別1食労務費!$C$5:$C$124,$V39,⑳商品別1食労務費!$F$5:$F$124)/$AA39,$AB39/$X39))</f>
        <v/>
      </c>
      <c r="AI39" s="413">
        <f>IF($W39="",0,IF($AA39&gt;0,$AB39*SUMIF(⑳商品別1食労務費!$C$5:$C$124,$W39,⑳商品別1食労務費!$F$5:$F$124)/$AA39,$AB39/$X39))</f>
        <v/>
      </c>
    </row>
    <row r="40" ht="16" customHeight="1" s="438">
      <c r="A40" s="303" t="n"/>
      <c r="B40" s="303" t="inlineStr">
        <is>
          <t>計量</t>
        </is>
      </c>
      <c r="C40" s="340" t="inlineStr">
        <is>
          <t>塩パン</t>
        </is>
      </c>
      <c r="D40" s="339" t="n">
        <v>0.3993055555555556</v>
      </c>
      <c r="E40" s="339" t="n">
        <v>0.4166666666666667</v>
      </c>
      <c r="F40" s="557">
        <f>IF(OR(D40="",E40=""),"",(E40-D40)*1440)</f>
        <v/>
      </c>
      <c r="G40" s="303" t="n">
        <v>25</v>
      </c>
      <c r="H40" s="303" t="n">
        <v>13</v>
      </c>
      <c r="I40" s="303" t="n">
        <v>300</v>
      </c>
      <c r="J40" s="303" t="n"/>
      <c r="K40" s="303">
        <f>IF(AND(I40&gt;0,ISNUMBER(F40)),I40/(F40/60),"")</f>
        <v/>
      </c>
      <c r="L40" s="303">
        <f>IF(AND(J40&gt;0,ISNUMBER(F40)),J40/(F40/60),"")</f>
        <v/>
      </c>
      <c r="M40" s="303">
        <f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303">
        <f>IF(AND(I40&gt;0,ISNUMBER(M40)),M40/I40,"")</f>
        <v/>
      </c>
      <c r="O40" s="303">
        <f>IF(AND(J40&gt;0,ISNUMBER(M40)),M40/J40,"")</f>
        <v/>
      </c>
      <c r="P40" s="303" t="n"/>
      <c r="Q40" s="303" t="n"/>
      <c r="R40" s="340" t="inlineStr">
        <is>
          <t>塩パン２個</t>
        </is>
      </c>
      <c r="S40" s="340" t="inlineStr">
        <is>
          <t>塩パンＫＩＴ</t>
        </is>
      </c>
      <c r="T40" s="340" t="inlineStr">
        <is>
          <t>メロン塩パン２個入</t>
        </is>
      </c>
      <c r="U40" s="340" t="inlineStr">
        <is>
          <t>Ｓメロン塩パン２個入</t>
        </is>
      </c>
      <c r="V40" s="340" t="inlineStr">
        <is>
          <t>メロン塩パンＫＩＴ</t>
        </is>
      </c>
      <c r="W40" s="340" t="inlineStr">
        <is>
          <t>チーズ塩パン２個</t>
        </is>
      </c>
      <c r="X40">
        <f>COUNTA(R40:W40)</f>
        <v/>
      </c>
      <c r="Y40">
        <f>IF(AND($X40&gt;0,ISNUMBER($M40)),$M40/$X40,"")</f>
        <v/>
      </c>
      <c r="Z40">
        <f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/>
      </c>
      <c r="AA40">
        <f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/>
      </c>
      <c r="AB40">
        <f>IF(ISNUMBER($M40),$M40,0)</f>
        <v/>
      </c>
      <c r="AD40" s="413">
        <f>IF($R40="",0,IF($AA40&gt;0,$AB40*SUMIF(⑳商品別1食労務費!$C$5:$C$124,$R40,⑳商品別1食労務費!$F$5:$F$124)/$AA40,$AB40/$X40))</f>
        <v/>
      </c>
      <c r="AE40" s="413">
        <f>IF($S40="",0,IF($AA40&gt;0,$AB40*SUMIF(⑳商品別1食労務費!$C$5:$C$124,$S40,⑳商品別1食労務費!$F$5:$F$124)/$AA40,$AB40/$X40))</f>
        <v/>
      </c>
      <c r="AF40" s="413">
        <f>IF($T40="",0,IF($AA40&gt;0,$AB40*SUMIF(⑳商品別1食労務費!$C$5:$C$124,$T40,⑳商品別1食労務費!$F$5:$F$124)/$AA40,$AB40/$X40))</f>
        <v/>
      </c>
      <c r="AG40" s="413">
        <f>IF($U40="",0,IF($AA40&gt;0,$AB40*SUMIF(⑳商品別1食労務費!$C$5:$C$124,$U40,⑳商品別1食労務費!$F$5:$F$124)/$AA40,$AB40/$X40))</f>
        <v/>
      </c>
      <c r="AH40" s="413">
        <f>IF($V40="",0,IF($AA40&gt;0,$AB40*SUMIF(⑳商品別1食労務費!$C$5:$C$124,$V40,⑳商品別1食労務費!$F$5:$F$124)/$AA40,$AB40/$X40))</f>
        <v/>
      </c>
      <c r="AI40" s="413">
        <f>IF($W40="",0,IF($AA40&gt;0,$AB40*SUMIF(⑳商品別1食労務費!$C$5:$C$124,$W40,⑳商品別1食労務費!$F$5:$F$124)/$AA40,$AB40/$X40))</f>
        <v/>
      </c>
    </row>
    <row r="41" ht="16" customHeight="1" s="438">
      <c r="A41" s="303" t="n"/>
      <c r="B41" s="303" t="inlineStr">
        <is>
          <t>計量</t>
        </is>
      </c>
      <c r="C41" s="340" t="inlineStr">
        <is>
          <t>塩パン</t>
        </is>
      </c>
      <c r="D41" s="339" t="n">
        <v>0.4166666666666667</v>
      </c>
      <c r="E41" s="339" t="n">
        <v>0.4340277777777778</v>
      </c>
      <c r="F41" s="557">
        <f>IF(OR(D41="",E41=""),"",(E41-D41)*1440)</f>
        <v/>
      </c>
      <c r="G41" s="303" t="n">
        <v>25</v>
      </c>
      <c r="H41" s="303" t="n">
        <v>14</v>
      </c>
      <c r="I41" s="303" t="n">
        <v>300</v>
      </c>
      <c r="J41" s="303" t="n"/>
      <c r="K41" s="303">
        <f>IF(AND(I41&gt;0,ISNUMBER(F41)),I41/(F41/60),"")</f>
        <v/>
      </c>
      <c r="L41" s="303">
        <f>IF(AND(J41&gt;0,ISNUMBER(F41)),J41/(F41/60),"")</f>
        <v/>
      </c>
      <c r="M41" s="303">
        <f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303">
        <f>IF(AND(I41&gt;0,ISNUMBER(M41)),M41/I41,"")</f>
        <v/>
      </c>
      <c r="O41" s="303">
        <f>IF(AND(J41&gt;0,ISNUMBER(M41)),M41/J41,"")</f>
        <v/>
      </c>
      <c r="P41" s="303" t="n"/>
      <c r="Q41" s="303" t="n"/>
      <c r="R41" s="340" t="inlineStr">
        <is>
          <t>塩パン２個</t>
        </is>
      </c>
      <c r="S41" s="340" t="inlineStr">
        <is>
          <t>塩パンＫＩＴ</t>
        </is>
      </c>
      <c r="T41" s="340" t="inlineStr">
        <is>
          <t>メロン塩パン２個入</t>
        </is>
      </c>
      <c r="U41" s="340" t="inlineStr">
        <is>
          <t>Ｓメロン塩パン２個入</t>
        </is>
      </c>
      <c r="V41" s="340" t="inlineStr">
        <is>
          <t>メロン塩パンＫＩＴ</t>
        </is>
      </c>
      <c r="W41" s="340" t="inlineStr">
        <is>
          <t>チーズ塩パン２個</t>
        </is>
      </c>
      <c r="X41">
        <f>COUNTA(R41:W41)</f>
        <v/>
      </c>
      <c r="Y41">
        <f>IF(AND($X41&gt;0,ISNUMBER($M41)),$M41/$X41,"")</f>
        <v/>
      </c>
      <c r="Z41">
        <f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/>
      </c>
      <c r="AA41">
        <f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/>
      </c>
      <c r="AB41">
        <f>IF(ISNUMBER($M41),$M41,0)</f>
        <v/>
      </c>
      <c r="AD41" s="413">
        <f>IF($R41="",0,IF($AA41&gt;0,$AB41*SUMIF(⑳商品別1食労務費!$C$5:$C$124,$R41,⑳商品別1食労務費!$F$5:$F$124)/$AA41,$AB41/$X41))</f>
        <v/>
      </c>
      <c r="AE41" s="413">
        <f>IF($S41="",0,IF($AA41&gt;0,$AB41*SUMIF(⑳商品別1食労務費!$C$5:$C$124,$S41,⑳商品別1食労務費!$F$5:$F$124)/$AA41,$AB41/$X41))</f>
        <v/>
      </c>
      <c r="AF41" s="413">
        <f>IF($T41="",0,IF($AA41&gt;0,$AB41*SUMIF(⑳商品別1食労務費!$C$5:$C$124,$T41,⑳商品別1食労務費!$F$5:$F$124)/$AA41,$AB41/$X41))</f>
        <v/>
      </c>
      <c r="AG41" s="413">
        <f>IF($U41="",0,IF($AA41&gt;0,$AB41*SUMIF(⑳商品別1食労務費!$C$5:$C$124,$U41,⑳商品別1食労務費!$F$5:$F$124)/$AA41,$AB41/$X41))</f>
        <v/>
      </c>
      <c r="AH41" s="413">
        <f>IF($V41="",0,IF($AA41&gt;0,$AB41*SUMIF(⑳商品別1食労務費!$C$5:$C$124,$V41,⑳商品別1食労務費!$F$5:$F$124)/$AA41,$AB41/$X41))</f>
        <v/>
      </c>
      <c r="AI41" s="413">
        <f>IF($W41="",0,IF($AA41&gt;0,$AB41*SUMIF(⑳商品別1食労務費!$C$5:$C$124,$W41,⑳商品別1食労務費!$F$5:$F$124)/$AA41,$AB41/$X41))</f>
        <v/>
      </c>
    </row>
    <row r="42" ht="16" customHeight="1" s="438">
      <c r="A42" s="303" t="n"/>
      <c r="B42" s="303" t="inlineStr">
        <is>
          <t>計量</t>
        </is>
      </c>
      <c r="C42" s="340" t="inlineStr">
        <is>
          <t>塩パン</t>
        </is>
      </c>
      <c r="D42" s="339" t="n">
        <v>0.4340277777777778</v>
      </c>
      <c r="E42" s="339" t="n">
        <v>0.4513888888888889</v>
      </c>
      <c r="F42" s="557">
        <f>IF(OR(D42="",E42=""),"",(E42-D42)*1440)</f>
        <v/>
      </c>
      <c r="G42" s="303" t="n">
        <v>25</v>
      </c>
      <c r="H42" s="303" t="n">
        <v>15</v>
      </c>
      <c r="I42" s="303" t="n">
        <v>300</v>
      </c>
      <c r="J42" s="303" t="n"/>
      <c r="K42" s="303">
        <f>IF(AND(I42&gt;0,ISNUMBER(F42)),I42/(F42/60),"")</f>
        <v/>
      </c>
      <c r="L42" s="303">
        <f>IF(AND(J42&gt;0,ISNUMBER(F42)),J42/(F42/60),"")</f>
        <v/>
      </c>
      <c r="M42" s="303">
        <f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303">
        <f>IF(AND(I42&gt;0,ISNUMBER(M42)),M42/I42,"")</f>
        <v/>
      </c>
      <c r="O42" s="303">
        <f>IF(AND(J42&gt;0,ISNUMBER(M42)),M42/J42,"")</f>
        <v/>
      </c>
      <c r="P42" s="303" t="n"/>
      <c r="Q42" s="303" t="n"/>
      <c r="R42" s="340" t="inlineStr">
        <is>
          <t>塩パン２個</t>
        </is>
      </c>
      <c r="S42" s="340" t="inlineStr">
        <is>
          <t>塩パンＫＩＴ</t>
        </is>
      </c>
      <c r="T42" s="340" t="inlineStr">
        <is>
          <t>メロン塩パン２個入</t>
        </is>
      </c>
      <c r="U42" s="340" t="inlineStr">
        <is>
          <t>Ｓメロン塩パン２個入</t>
        </is>
      </c>
      <c r="V42" s="340" t="inlineStr">
        <is>
          <t>メロン塩パンＫＩＴ</t>
        </is>
      </c>
      <c r="W42" s="340" t="inlineStr">
        <is>
          <t>チーズ塩パン２個</t>
        </is>
      </c>
      <c r="X42">
        <f>COUNTA(R42:W42)</f>
        <v/>
      </c>
      <c r="Y42">
        <f>IF(AND($X42&gt;0,ISNUMBER($M42)),$M42/$X42,"")</f>
        <v/>
      </c>
      <c r="Z42">
        <f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/>
      </c>
      <c r="AA42">
        <f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/>
      </c>
      <c r="AB42">
        <f>IF(ISNUMBER($M42),$M42,0)</f>
        <v/>
      </c>
      <c r="AD42" s="413">
        <f>IF($R42="",0,IF($AA42&gt;0,$AB42*SUMIF(⑳商品別1食労務費!$C$5:$C$124,$R42,⑳商品別1食労務費!$F$5:$F$124)/$AA42,$AB42/$X42))</f>
        <v/>
      </c>
      <c r="AE42" s="413">
        <f>IF($S42="",0,IF($AA42&gt;0,$AB42*SUMIF(⑳商品別1食労務費!$C$5:$C$124,$S42,⑳商品別1食労務費!$F$5:$F$124)/$AA42,$AB42/$X42))</f>
        <v/>
      </c>
      <c r="AF42" s="413">
        <f>IF($T42="",0,IF($AA42&gt;0,$AB42*SUMIF(⑳商品別1食労務費!$C$5:$C$124,$T42,⑳商品別1食労務費!$F$5:$F$124)/$AA42,$AB42/$X42))</f>
        <v/>
      </c>
      <c r="AG42" s="413">
        <f>IF($U42="",0,IF($AA42&gt;0,$AB42*SUMIF(⑳商品別1食労務費!$C$5:$C$124,$U42,⑳商品別1食労務費!$F$5:$F$124)/$AA42,$AB42/$X42))</f>
        <v/>
      </c>
      <c r="AH42" s="413">
        <f>IF($V42="",0,IF($AA42&gt;0,$AB42*SUMIF(⑳商品別1食労務費!$C$5:$C$124,$V42,⑳商品別1食労務費!$F$5:$F$124)/$AA42,$AB42/$X42))</f>
        <v/>
      </c>
      <c r="AI42" s="413">
        <f>IF($W42="",0,IF($AA42&gt;0,$AB42*SUMIF(⑳商品別1食労務費!$C$5:$C$124,$W42,⑳商品別1食労務費!$F$5:$F$124)/$AA42,$AB42/$X42))</f>
        <v/>
      </c>
    </row>
    <row r="43" ht="16" customHeight="1" s="438">
      <c r="A43" s="303" t="n"/>
      <c r="B43" s="303" t="inlineStr">
        <is>
          <t>計量</t>
        </is>
      </c>
      <c r="C43" s="340" t="inlineStr">
        <is>
          <t>塩パン</t>
        </is>
      </c>
      <c r="D43" s="339" t="n">
        <v>0.4513888888888889</v>
      </c>
      <c r="E43" s="339" t="n">
        <v>0.46875</v>
      </c>
      <c r="F43" s="557">
        <f>IF(OR(D43="",E43=""),"",(E43-D43)*1440)</f>
        <v/>
      </c>
      <c r="G43" s="303" t="n">
        <v>25</v>
      </c>
      <c r="H43" s="303" t="n">
        <v>16</v>
      </c>
      <c r="I43" s="303" t="n">
        <v>300</v>
      </c>
      <c r="J43" s="303" t="n"/>
      <c r="K43" s="303">
        <f>IF(AND(I43&gt;0,ISNUMBER(F43)),I43/(F43/60),"")</f>
        <v/>
      </c>
      <c r="L43" s="303">
        <f>IF(AND(J43&gt;0,ISNUMBER(F43)),J43/(F43/60),"")</f>
        <v/>
      </c>
      <c r="M43" s="303">
        <f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303">
        <f>IF(AND(I43&gt;0,ISNUMBER(M43)),M43/I43,"")</f>
        <v/>
      </c>
      <c r="O43" s="303">
        <f>IF(AND(J43&gt;0,ISNUMBER(M43)),M43/J43,"")</f>
        <v/>
      </c>
      <c r="P43" s="303" t="n"/>
      <c r="Q43" s="303" t="n"/>
      <c r="R43" s="340" t="inlineStr">
        <is>
          <t>塩パン２個</t>
        </is>
      </c>
      <c r="S43" s="340" t="inlineStr">
        <is>
          <t>塩パンＫＩＴ</t>
        </is>
      </c>
      <c r="T43" s="340" t="inlineStr">
        <is>
          <t>メロン塩パン２個入</t>
        </is>
      </c>
      <c r="U43" s="340" t="inlineStr">
        <is>
          <t>Ｓメロン塩パン２個入</t>
        </is>
      </c>
      <c r="V43" s="340" t="inlineStr">
        <is>
          <t>メロン塩パンＫＩＴ</t>
        </is>
      </c>
      <c r="W43" s="340" t="inlineStr">
        <is>
          <t>チーズ塩パン２個</t>
        </is>
      </c>
      <c r="X43">
        <f>COUNTA(R43:W43)</f>
        <v/>
      </c>
      <c r="Y43">
        <f>IF(AND($X43&gt;0,ISNUMBER($M43)),$M43/$X43,"")</f>
        <v/>
      </c>
      <c r="Z43">
        <f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/>
      </c>
      <c r="AA43">
        <f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/>
      </c>
      <c r="AB43">
        <f>IF(ISNUMBER($M43),$M43,0)</f>
        <v/>
      </c>
      <c r="AD43" s="413">
        <f>IF($R43="",0,IF($AA43&gt;0,$AB43*SUMIF(⑳商品別1食労務費!$C$5:$C$124,$R43,⑳商品別1食労務費!$F$5:$F$124)/$AA43,$AB43/$X43))</f>
        <v/>
      </c>
      <c r="AE43" s="413">
        <f>IF($S43="",0,IF($AA43&gt;0,$AB43*SUMIF(⑳商品別1食労務費!$C$5:$C$124,$S43,⑳商品別1食労務費!$F$5:$F$124)/$AA43,$AB43/$X43))</f>
        <v/>
      </c>
      <c r="AF43" s="413">
        <f>IF($T43="",0,IF($AA43&gt;0,$AB43*SUMIF(⑳商品別1食労務費!$C$5:$C$124,$T43,⑳商品別1食労務費!$F$5:$F$124)/$AA43,$AB43/$X43))</f>
        <v/>
      </c>
      <c r="AG43" s="413">
        <f>IF($U43="",0,IF($AA43&gt;0,$AB43*SUMIF(⑳商品別1食労務費!$C$5:$C$124,$U43,⑳商品別1食労務費!$F$5:$F$124)/$AA43,$AB43/$X43))</f>
        <v/>
      </c>
      <c r="AH43" s="413">
        <f>IF($V43="",0,IF($AA43&gt;0,$AB43*SUMIF(⑳商品別1食労務費!$C$5:$C$124,$V43,⑳商品別1食労務費!$F$5:$F$124)/$AA43,$AB43/$X43))</f>
        <v/>
      </c>
      <c r="AI43" s="413">
        <f>IF($W43="",0,IF($AA43&gt;0,$AB43*SUMIF(⑳商品別1食労務費!$C$5:$C$124,$W43,⑳商品別1食労務費!$F$5:$F$124)/$AA43,$AB43/$X43))</f>
        <v/>
      </c>
    </row>
    <row r="44" ht="16" customHeight="1" s="438">
      <c r="A44" s="303" t="n"/>
      <c r="B44" s="303" t="inlineStr">
        <is>
          <t>計量</t>
        </is>
      </c>
      <c r="C44" s="340" t="inlineStr">
        <is>
          <t>塩パン</t>
        </is>
      </c>
      <c r="D44" s="339" t="n">
        <v>0.46875</v>
      </c>
      <c r="E44" s="339" t="n">
        <v>0.4861111111111111</v>
      </c>
      <c r="F44" s="557">
        <f>IF(OR(D44="",E44=""),"",(E44-D44)*1440)</f>
        <v/>
      </c>
      <c r="G44" s="303" t="n">
        <v>25</v>
      </c>
      <c r="H44" s="303" t="n">
        <v>17</v>
      </c>
      <c r="I44" s="303" t="n">
        <v>300</v>
      </c>
      <c r="J44" s="303" t="n"/>
      <c r="K44" s="303">
        <f>IF(AND(I44&gt;0,ISNUMBER(F44)),I44/(F44/60),"")</f>
        <v/>
      </c>
      <c r="L44" s="303">
        <f>IF(AND(J44&gt;0,ISNUMBER(F44)),J44/(F44/60),"")</f>
        <v/>
      </c>
      <c r="M44" s="303">
        <f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303">
        <f>IF(AND(I44&gt;0,ISNUMBER(M44)),M44/I44,"")</f>
        <v/>
      </c>
      <c r="O44" s="303">
        <f>IF(AND(J44&gt;0,ISNUMBER(M44)),M44/J44,"")</f>
        <v/>
      </c>
      <c r="P44" s="303" t="n"/>
      <c r="Q44" s="303" t="n"/>
      <c r="R44" s="340" t="inlineStr">
        <is>
          <t>塩パン２個</t>
        </is>
      </c>
      <c r="S44" s="340" t="inlineStr">
        <is>
          <t>塩パンＫＩＴ</t>
        </is>
      </c>
      <c r="T44" s="340" t="inlineStr">
        <is>
          <t>メロン塩パン２個入</t>
        </is>
      </c>
      <c r="U44" s="340" t="inlineStr">
        <is>
          <t>Ｓメロン塩パン２個入</t>
        </is>
      </c>
      <c r="V44" s="340" t="inlineStr">
        <is>
          <t>メロン塩パンＫＩＴ</t>
        </is>
      </c>
      <c r="W44" s="340" t="inlineStr">
        <is>
          <t>チーズ塩パン２個</t>
        </is>
      </c>
      <c r="X44">
        <f>COUNTA(R44:W44)</f>
        <v/>
      </c>
      <c r="Y44">
        <f>IF(AND($X44&gt;0,ISNUMBER($M44)),$M44/$X44,"")</f>
        <v/>
      </c>
      <c r="Z44">
        <f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/>
      </c>
      <c r="AA44">
        <f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/>
      </c>
      <c r="AB44">
        <f>IF(ISNUMBER($M44),$M44,0)</f>
        <v/>
      </c>
      <c r="AD44" s="413">
        <f>IF($R44="",0,IF($AA44&gt;0,$AB44*SUMIF(⑳商品別1食労務費!$C$5:$C$124,$R44,⑳商品別1食労務費!$F$5:$F$124)/$AA44,$AB44/$X44))</f>
        <v/>
      </c>
      <c r="AE44" s="413">
        <f>IF($S44="",0,IF($AA44&gt;0,$AB44*SUMIF(⑳商品別1食労務費!$C$5:$C$124,$S44,⑳商品別1食労務費!$F$5:$F$124)/$AA44,$AB44/$X44))</f>
        <v/>
      </c>
      <c r="AF44" s="413">
        <f>IF($T44="",0,IF($AA44&gt;0,$AB44*SUMIF(⑳商品別1食労務費!$C$5:$C$124,$T44,⑳商品別1食労務費!$F$5:$F$124)/$AA44,$AB44/$X44))</f>
        <v/>
      </c>
      <c r="AG44" s="413">
        <f>IF($U44="",0,IF($AA44&gt;0,$AB44*SUMIF(⑳商品別1食労務費!$C$5:$C$124,$U44,⑳商品別1食労務費!$F$5:$F$124)/$AA44,$AB44/$X44))</f>
        <v/>
      </c>
      <c r="AH44" s="413">
        <f>IF($V44="",0,IF($AA44&gt;0,$AB44*SUMIF(⑳商品別1食労務費!$C$5:$C$124,$V44,⑳商品別1食労務費!$F$5:$F$124)/$AA44,$AB44/$X44))</f>
        <v/>
      </c>
      <c r="AI44" s="413">
        <f>IF($W44="",0,IF($AA44&gt;0,$AB44*SUMIF(⑳商品別1食労務費!$C$5:$C$124,$W44,⑳商品別1食労務費!$F$5:$F$124)/$AA44,$AB44/$X44))</f>
        <v/>
      </c>
    </row>
    <row r="45" ht="16" customHeight="1" s="438">
      <c r="A45" s="303" t="n"/>
      <c r="B45" s="303" t="n"/>
      <c r="C45" s="340" t="n"/>
      <c r="D45" s="339" t="n"/>
      <c r="E45" s="339" t="n"/>
      <c r="F45" s="557">
        <f>IF(OR(D45="",E45=""),"",(E45-D45)*1440)</f>
        <v/>
      </c>
      <c r="G45" s="303" t="n"/>
      <c r="H45" s="303" t="n"/>
      <c r="I45" s="303" t="n"/>
      <c r="J45" s="303" t="n"/>
      <c r="K45" s="303">
        <f>IF(AND(I45&gt;0,ISNUMBER(F45)),I45/(F45/60),"")</f>
        <v/>
      </c>
      <c r="L45" s="303">
        <f>IF(AND(J45&gt;0,ISNUMBER(F45)),J45/(F45/60),"")</f>
        <v/>
      </c>
      <c r="M45" s="303">
        <f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303">
        <f>IF(AND(I45&gt;0,ISNUMBER(M45)),M45/I45,"")</f>
        <v/>
      </c>
      <c r="O45" s="303">
        <f>IF(AND(J45&gt;0,ISNUMBER(M45)),M45/J45,"")</f>
        <v/>
      </c>
      <c r="P45" s="303" t="n"/>
      <c r="Q45" s="303" t="n"/>
      <c r="R45" s="340" t="n"/>
      <c r="S45" s="340" t="n"/>
      <c r="T45" s="340" t="n"/>
      <c r="U45" s="340" t="n"/>
      <c r="V45" s="340" t="n"/>
      <c r="W45" s="340" t="n"/>
      <c r="X45">
        <f>COUNTA(R45:W45)</f>
        <v/>
      </c>
      <c r="Y45">
        <f>IF(AND($X45&gt;0,ISNUMBER($M45)),$M45/$X45,"")</f>
        <v/>
      </c>
      <c r="Z45">
        <f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>
        <f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/>
      </c>
      <c r="AB45">
        <f>IF(ISNUMBER($M45),$M45,0)</f>
        <v/>
      </c>
      <c r="AD45" s="413">
        <f>IF($R45="",0,IF($AA45&gt;0,$AB45*SUMIF(⑳商品別1食労務費!$C$5:$C$124,$R45,⑳商品別1食労務費!$F$5:$F$124)/$AA45,$AB45/$X45))</f>
        <v/>
      </c>
      <c r="AE45" s="413">
        <f>IF($S45="",0,IF($AA45&gt;0,$AB45*SUMIF(⑳商品別1食労務費!$C$5:$C$124,$S45,⑳商品別1食労務費!$F$5:$F$124)/$AA45,$AB45/$X45))</f>
        <v/>
      </c>
      <c r="AF45" s="413">
        <f>IF($T45="",0,IF($AA45&gt;0,$AB45*SUMIF(⑳商品別1食労務費!$C$5:$C$124,$T45,⑳商品別1食労務費!$F$5:$F$124)/$AA45,$AB45/$X45))</f>
        <v/>
      </c>
      <c r="AG45" s="413">
        <f>IF($U45="",0,IF($AA45&gt;0,$AB45*SUMIF(⑳商品別1食労務費!$C$5:$C$124,$U45,⑳商品別1食労務費!$F$5:$F$124)/$AA45,$AB45/$X45))</f>
        <v/>
      </c>
      <c r="AH45" s="413">
        <f>IF($V45="",0,IF($AA45&gt;0,$AB45*SUMIF(⑳商品別1食労務費!$C$5:$C$124,$V45,⑳商品別1食労務費!$F$5:$F$124)/$AA45,$AB45/$X45))</f>
        <v/>
      </c>
      <c r="AI45" s="413">
        <f>IF($W45="",0,IF($AA45&gt;0,$AB45*SUMIF(⑳商品別1食労務費!$C$5:$C$124,$W45,⑳商品別1食労務費!$F$5:$F$124)/$AA45,$AB45/$X45))</f>
        <v/>
      </c>
    </row>
    <row r="46" ht="16" customHeight="1" s="438">
      <c r="A46" s="303" t="n"/>
      <c r="B46" s="303" t="n"/>
      <c r="C46" s="340" t="n"/>
      <c r="D46" s="339" t="n"/>
      <c r="E46" s="339" t="n"/>
      <c r="F46" s="557">
        <f>IF(OR(D46="",E46=""),"",(E46-D46)*1440)</f>
        <v/>
      </c>
      <c r="G46" s="303" t="n"/>
      <c r="H46" s="303" t="n"/>
      <c r="I46" s="303" t="n"/>
      <c r="J46" s="303" t="n"/>
      <c r="K46" s="303">
        <f>IF(AND(I46&gt;0,ISNUMBER(F46)),I46/(F46/60),"")</f>
        <v/>
      </c>
      <c r="L46" s="303">
        <f>IF(AND(J46&gt;0,ISNUMBER(F46)),J46/(F46/60),"")</f>
        <v/>
      </c>
      <c r="M46" s="303">
        <f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303">
        <f>IF(AND(I46&gt;0,ISNUMBER(M46)),M46/I46,"")</f>
        <v/>
      </c>
      <c r="O46" s="303">
        <f>IF(AND(J46&gt;0,ISNUMBER(M46)),M46/J46,"")</f>
        <v/>
      </c>
      <c r="P46" s="303" t="n"/>
      <c r="Q46" s="303" t="n"/>
      <c r="R46" s="340" t="n"/>
      <c r="S46" s="340" t="n"/>
      <c r="T46" s="340" t="n"/>
      <c r="U46" s="340" t="n"/>
      <c r="V46" s="340" t="n"/>
      <c r="W46" s="340" t="n"/>
      <c r="X46">
        <f>COUNTA(R46:W46)</f>
        <v/>
      </c>
      <c r="Y46">
        <f>IF(AND($X46&gt;0,ISNUMBER($M46)),$M46/$X46,"")</f>
        <v/>
      </c>
      <c r="Z46">
        <f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>
        <f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/>
      </c>
      <c r="AB46">
        <f>IF(ISNUMBER($M46),$M46,0)</f>
        <v/>
      </c>
      <c r="AD46" s="413">
        <f>IF($R46="",0,IF($AA46&gt;0,$AB46*SUMIF(⑳商品別1食労務費!$C$5:$C$124,$R46,⑳商品別1食労務費!$F$5:$F$124)/$AA46,$AB46/$X46))</f>
        <v/>
      </c>
      <c r="AE46" s="413">
        <f>IF($S46="",0,IF($AA46&gt;0,$AB46*SUMIF(⑳商品別1食労務費!$C$5:$C$124,$S46,⑳商品別1食労務費!$F$5:$F$124)/$AA46,$AB46/$X46))</f>
        <v/>
      </c>
      <c r="AF46" s="413">
        <f>IF($T46="",0,IF($AA46&gt;0,$AB46*SUMIF(⑳商品別1食労務費!$C$5:$C$124,$T46,⑳商品別1食労務費!$F$5:$F$124)/$AA46,$AB46/$X46))</f>
        <v/>
      </c>
      <c r="AG46" s="413">
        <f>IF($U46="",0,IF($AA46&gt;0,$AB46*SUMIF(⑳商品別1食労務費!$C$5:$C$124,$U46,⑳商品別1食労務費!$F$5:$F$124)/$AA46,$AB46/$X46))</f>
        <v/>
      </c>
      <c r="AH46" s="413">
        <f>IF($V46="",0,IF($AA46&gt;0,$AB46*SUMIF(⑳商品別1食労務費!$C$5:$C$124,$V46,⑳商品別1食労務費!$F$5:$F$124)/$AA46,$AB46/$X46))</f>
        <v/>
      </c>
      <c r="AI46" s="413">
        <f>IF($W46="",0,IF($AA46&gt;0,$AB46*SUMIF(⑳商品別1食労務費!$C$5:$C$124,$W46,⑳商品別1食労務費!$F$5:$F$124)/$AA46,$AB46/$X46))</f>
        <v/>
      </c>
    </row>
    <row r="47" ht="16" customHeight="1" s="438">
      <c r="A47" s="303" t="n"/>
      <c r="B47" s="303" t="n"/>
      <c r="C47" s="340" t="n"/>
      <c r="D47" s="339" t="n"/>
      <c r="E47" s="339" t="n"/>
      <c r="F47" s="557">
        <f>IF(OR(D47="",E47=""),"",(E47-D47)*1440)</f>
        <v/>
      </c>
      <c r="G47" s="303" t="n"/>
      <c r="H47" s="303" t="n"/>
      <c r="I47" s="303" t="n"/>
      <c r="J47" s="303" t="n"/>
      <c r="K47" s="303">
        <f>IF(AND(I47&gt;0,ISNUMBER(F47)),I47/(F47/60),"")</f>
        <v/>
      </c>
      <c r="L47" s="303">
        <f>IF(AND(J47&gt;0,ISNUMBER(F47)),J47/(F47/60),"")</f>
        <v/>
      </c>
      <c r="M47" s="303">
        <f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303">
        <f>IF(AND(I47&gt;0,ISNUMBER(M47)),M47/I47,"")</f>
        <v/>
      </c>
      <c r="O47" s="303">
        <f>IF(AND(J47&gt;0,ISNUMBER(M47)),M47/J47,"")</f>
        <v/>
      </c>
      <c r="P47" s="303" t="n"/>
      <c r="Q47" s="303" t="n"/>
      <c r="R47" s="340" t="n"/>
      <c r="S47" s="340" t="n"/>
      <c r="T47" s="340" t="n"/>
      <c r="U47" s="340" t="n"/>
      <c r="V47" s="340" t="n"/>
      <c r="W47" s="340" t="n"/>
      <c r="X47">
        <f>COUNTA(R47:W47)</f>
        <v/>
      </c>
      <c r="Y47">
        <f>IF(AND($X47&gt;0,ISNUMBER($M47)),$M47/$X47,"")</f>
        <v/>
      </c>
      <c r="Z47">
        <f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>
        <f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/>
      </c>
      <c r="AB47">
        <f>IF(ISNUMBER($M47),$M47,0)</f>
        <v/>
      </c>
      <c r="AD47" s="413">
        <f>IF($R47="",0,IF($AA47&gt;0,$AB47*SUMIF(⑳商品別1食労務費!$C$5:$C$124,$R47,⑳商品別1食労務費!$F$5:$F$124)/$AA47,$AB47/$X47))</f>
        <v/>
      </c>
      <c r="AE47" s="413">
        <f>IF($S47="",0,IF($AA47&gt;0,$AB47*SUMIF(⑳商品別1食労務費!$C$5:$C$124,$S47,⑳商品別1食労務費!$F$5:$F$124)/$AA47,$AB47/$X47))</f>
        <v/>
      </c>
      <c r="AF47" s="413">
        <f>IF($T47="",0,IF($AA47&gt;0,$AB47*SUMIF(⑳商品別1食労務費!$C$5:$C$124,$T47,⑳商品別1食労務費!$F$5:$F$124)/$AA47,$AB47/$X47))</f>
        <v/>
      </c>
      <c r="AG47" s="413">
        <f>IF($U47="",0,IF($AA47&gt;0,$AB47*SUMIF(⑳商品別1食労務費!$C$5:$C$124,$U47,⑳商品別1食労務費!$F$5:$F$124)/$AA47,$AB47/$X47))</f>
        <v/>
      </c>
      <c r="AH47" s="413">
        <f>IF($V47="",0,IF($AA47&gt;0,$AB47*SUMIF(⑳商品別1食労務費!$C$5:$C$124,$V47,⑳商品別1食労務費!$F$5:$F$124)/$AA47,$AB47/$X47))</f>
        <v/>
      </c>
      <c r="AI47" s="413">
        <f>IF($W47="",0,IF($AA47&gt;0,$AB47*SUMIF(⑳商品別1食労務費!$C$5:$C$124,$W47,⑳商品別1食労務費!$F$5:$F$124)/$AA47,$AB47/$X47))</f>
        <v/>
      </c>
    </row>
    <row r="48" ht="16" customHeight="1" s="438">
      <c r="A48" s="303" t="n"/>
      <c r="B48" s="303" t="n"/>
      <c r="C48" s="340" t="n"/>
      <c r="D48" s="339" t="n"/>
      <c r="E48" s="339" t="n"/>
      <c r="F48" s="557">
        <f>IF(OR(D48="",E48=""),"",(E48-D48)*1440)</f>
        <v/>
      </c>
      <c r="G48" s="303" t="n"/>
      <c r="H48" s="303" t="n"/>
      <c r="I48" s="303" t="n"/>
      <c r="J48" s="303" t="n"/>
      <c r="K48" s="303">
        <f>IF(AND(I48&gt;0,ISNUMBER(F48)),I48/(F48/60),"")</f>
        <v/>
      </c>
      <c r="L48" s="303">
        <f>IF(AND(J48&gt;0,ISNUMBER(F48)),J48/(F48/60),"")</f>
        <v/>
      </c>
      <c r="M48" s="303">
        <f>IF(OR(ISNUMBER(SEARCH("サニテーション",C48)),ISNUMBER(SEARCH("客注",C48)),ISNUMBER(SEARCH("切り替え",C48)),ISNUMBER(SEARCH("切替",C48)),NOT(ISNUMBER(H48))),"",IF(ISNUMBER(G48),G48/60*H48*④前提設定!$B$4,IF(AND(G48="",ISNUMBER(F48)),F48/60*H48*④前提設定!$B$4,"")))</f>
        <v/>
      </c>
      <c r="N48" s="303">
        <f>IF(AND(I48&gt;0,ISNUMBER(M48)),M48/I48,"")</f>
        <v/>
      </c>
      <c r="O48" s="303">
        <f>IF(AND(J48&gt;0,ISNUMBER(M48)),M48/J48,"")</f>
        <v/>
      </c>
      <c r="P48" s="303" t="n"/>
      <c r="Q48" s="303" t="n"/>
      <c r="R48" s="340" t="n"/>
      <c r="S48" s="340" t="n"/>
      <c r="T48" s="340" t="n"/>
      <c r="U48" s="340" t="n"/>
      <c r="V48" s="340" t="n"/>
      <c r="W48" s="340" t="n"/>
      <c r="X48">
        <f>COUNTA(R48:W48)</f>
        <v/>
      </c>
      <c r="Y48">
        <f>IF(AND($X48&gt;0,ISNUMBER($M48)),$M48/$X48,"")</f>
        <v/>
      </c>
      <c r="Z48">
        <f>IF($X48=0,"",IF(COUNTIF(⑳商品別1食労務費!$C$5:$C$124,$R48)+COUNTIF(⑳商品別1食労務費!$C$5:$C$124,$S48)+COUNTIF(⑳商品別1食労務費!$C$5:$C$124,$T48)+COUNTIF(⑳商品別1食労務費!$C$5:$C$124,$U48)+COUNTIF(⑳商品別1食労務費!$C$5:$C$124,$V48)+COUNTIF(⑳商品別1食労務費!$C$5:$C$124,$W48)=$X48,"OK","⑳に無い商品名"))</f>
        <v/>
      </c>
      <c r="AA48">
        <f>SUMIF(⑳商品別1食労務費!$C$5:$C$124,$R48,⑳商品別1食労務費!$F$5:$F$124)+SUMIF(⑳商品別1食労務費!$C$5:$C$124,$S48,⑳商品別1食労務費!$F$5:$F$124)+SUMIF(⑳商品別1食労務費!$C$5:$C$124,$T48,⑳商品別1食労務費!$F$5:$F$124)+SUMIF(⑳商品別1食労務費!$C$5:$C$124,$U48,⑳商品別1食労務費!$F$5:$F$124)+SUMIF(⑳商品別1食労務費!$C$5:$C$124,$V48,⑳商品別1食労務費!$F$5:$F$124)+SUMIF(⑳商品別1食労務費!$C$5:$C$124,$W48,⑳商品別1食労務費!$F$5:$F$124)</f>
        <v/>
      </c>
      <c r="AB48">
        <f>IF(ISNUMBER($M48),$M48,0)</f>
        <v/>
      </c>
      <c r="AD48" s="413">
        <f>IF($R48="",0,IF($AA48&gt;0,$AB48*SUMIF(⑳商品別1食労務費!$C$5:$C$124,$R48,⑳商品別1食労務費!$F$5:$F$124)/$AA48,$AB48/$X48))</f>
        <v/>
      </c>
      <c r="AE48" s="413">
        <f>IF($S48="",0,IF($AA48&gt;0,$AB48*SUMIF(⑳商品別1食労務費!$C$5:$C$124,$S48,⑳商品別1食労務費!$F$5:$F$124)/$AA48,$AB48/$X48))</f>
        <v/>
      </c>
      <c r="AF48" s="413">
        <f>IF($T48="",0,IF($AA48&gt;0,$AB48*SUMIF(⑳商品別1食労務費!$C$5:$C$124,$T48,⑳商品別1食労務費!$F$5:$F$124)/$AA48,$AB48/$X48))</f>
        <v/>
      </c>
      <c r="AG48" s="413">
        <f>IF($U48="",0,IF($AA48&gt;0,$AB48*SUMIF(⑳商品別1食労務費!$C$5:$C$124,$U48,⑳商品別1食労務費!$F$5:$F$124)/$AA48,$AB48/$X48))</f>
        <v/>
      </c>
      <c r="AH48" s="413">
        <f>IF($V48="",0,IF($AA48&gt;0,$AB48*SUMIF(⑳商品別1食労務費!$C$5:$C$124,$V48,⑳商品別1食労務費!$F$5:$F$124)/$AA48,$AB48/$X48))</f>
        <v/>
      </c>
      <c r="AI48" s="413">
        <f>IF($W48="",0,IF($AA48&gt;0,$AB48*SUMIF(⑳商品別1食労務費!$C$5:$C$124,$W48,⑳商品別1食労務費!$F$5:$F$124)/$AA48,$AB48/$X48))</f>
        <v/>
      </c>
    </row>
    <row r="49" ht="16" customHeight="1" s="438">
      <c r="A49" s="303" t="n"/>
      <c r="B49" s="303" t="n"/>
      <c r="C49" s="340" t="n"/>
      <c r="D49" s="339" t="n"/>
      <c r="E49" s="339" t="n"/>
      <c r="F49" s="557">
        <f>IF(OR(D49="",E49=""),"",(E49-D49)*1440)</f>
        <v/>
      </c>
      <c r="G49" s="303" t="n"/>
      <c r="H49" s="303" t="n"/>
      <c r="I49" s="303" t="n"/>
      <c r="J49" s="303" t="n"/>
      <c r="K49" s="303">
        <f>IF(AND(I49&gt;0,ISNUMBER(F49)),I49/(F49/60),"")</f>
        <v/>
      </c>
      <c r="L49" s="303">
        <f>IF(AND(J49&gt;0,ISNUMBER(F49)),J49/(F49/60),"")</f>
        <v/>
      </c>
      <c r="M49" s="303">
        <f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  <c r="N49" s="303">
        <f>IF(AND(I49&gt;0,ISNUMBER(M49)),M49/I49,"")</f>
        <v/>
      </c>
      <c r="O49" s="303">
        <f>IF(AND(J49&gt;0,ISNUMBER(M49)),M49/J49,"")</f>
        <v/>
      </c>
      <c r="P49" s="303" t="n"/>
      <c r="Q49" s="303" t="n"/>
      <c r="R49" s="340" t="n"/>
      <c r="S49" s="340" t="n"/>
      <c r="T49" s="340" t="n"/>
      <c r="U49" s="340" t="n"/>
      <c r="V49" s="340" t="n"/>
      <c r="W49" s="340" t="n"/>
      <c r="X49">
        <f>COUNTA(R49:W49)</f>
        <v/>
      </c>
      <c r="Y49">
        <f>IF(AND($X49&gt;0,ISNUMBER($M49)),$M49/$X49,"")</f>
        <v/>
      </c>
      <c r="Z49">
        <f>IF($X49=0,"",IF(COUNTIF(⑳商品別1食労務費!$C$5:$C$124,$R49)+COUNTIF(⑳商品別1食労務費!$C$5:$C$124,$S49)+COUNTIF(⑳商品別1食労務費!$C$5:$C$124,$T49)+COUNTIF(⑳商品別1食労務費!$C$5:$C$124,$U49)+COUNTIF(⑳商品別1食労務費!$C$5:$C$124,$V49)+COUNTIF(⑳商品別1食労務費!$C$5:$C$124,$W49)=$X49,"OK","⑳に無い商品名"))</f>
        <v/>
      </c>
      <c r="AA49">
        <f>SUMIF(⑳商品別1食労務費!$C$5:$C$124,$R49,⑳商品別1食労務費!$F$5:$F$124)+SUMIF(⑳商品別1食労務費!$C$5:$C$124,$S49,⑳商品別1食労務費!$F$5:$F$124)+SUMIF(⑳商品別1食労務費!$C$5:$C$124,$T49,⑳商品別1食労務費!$F$5:$F$124)+SUMIF(⑳商品別1食労務費!$C$5:$C$124,$U49,⑳商品別1食労務費!$F$5:$F$124)+SUMIF(⑳商品別1食労務費!$C$5:$C$124,$V49,⑳商品別1食労務費!$F$5:$F$124)+SUMIF(⑳商品別1食労務費!$C$5:$C$124,$W49,⑳商品別1食労務費!$F$5:$F$124)</f>
        <v/>
      </c>
      <c r="AB49">
        <f>IF(ISNUMBER($M49),$M49,0)</f>
        <v/>
      </c>
      <c r="AD49" s="413">
        <f>IF($R49="",0,IF($AA49&gt;0,$AB49*SUMIF(⑳商品別1食労務費!$C$5:$C$124,$R49,⑳商品別1食労務費!$F$5:$F$124)/$AA49,$AB49/$X49))</f>
        <v/>
      </c>
      <c r="AE49" s="413">
        <f>IF($S49="",0,IF($AA49&gt;0,$AB49*SUMIF(⑳商品別1食労務費!$C$5:$C$124,$S49,⑳商品別1食労務費!$F$5:$F$124)/$AA49,$AB49/$X49))</f>
        <v/>
      </c>
      <c r="AF49" s="413">
        <f>IF($T49="",0,IF($AA49&gt;0,$AB49*SUMIF(⑳商品別1食労務費!$C$5:$C$124,$T49,⑳商品別1食労務費!$F$5:$F$124)/$AA49,$AB49/$X49))</f>
        <v/>
      </c>
      <c r="AG49" s="413">
        <f>IF($U49="",0,IF($AA49&gt;0,$AB49*SUMIF(⑳商品別1食労務費!$C$5:$C$124,$U49,⑳商品別1食労務費!$F$5:$F$124)/$AA49,$AB49/$X49))</f>
        <v/>
      </c>
      <c r="AH49" s="413">
        <f>IF($V49="",0,IF($AA49&gt;0,$AB49*SUMIF(⑳商品別1食労務費!$C$5:$C$124,$V49,⑳商品別1食労務費!$F$5:$F$124)/$AA49,$AB49/$X49))</f>
        <v/>
      </c>
      <c r="AI49" s="413">
        <f>IF($W49="",0,IF($AA49&gt;0,$AB49*SUMIF(⑳商品別1食労務費!$C$5:$C$124,$W49,⑳商品別1食労務費!$F$5:$F$124)/$AA49,$AB49/$X49))</f>
        <v/>
      </c>
    </row>
    <row r="50" ht="16" customHeight="1" s="438">
      <c r="A50" s="303" t="n"/>
      <c r="B50" s="303" t="n"/>
      <c r="C50" s="340" t="n"/>
      <c r="D50" s="339" t="n"/>
      <c r="E50" s="339" t="n"/>
      <c r="F50" s="557">
        <f>IF(OR(D50="",E50=""),"",(E50-D50)*1440)</f>
        <v/>
      </c>
      <c r="G50" s="303" t="n"/>
      <c r="H50" s="303" t="n"/>
      <c r="I50" s="303" t="n"/>
      <c r="J50" s="303" t="n"/>
      <c r="K50" s="303">
        <f>IF(AND(I50&gt;0,ISNUMBER(F50)),I50/(F50/60),"")</f>
        <v/>
      </c>
      <c r="L50" s="303">
        <f>IF(AND(J50&gt;0,ISNUMBER(F50)),J50/(F50/60),"")</f>
        <v/>
      </c>
      <c r="M50" s="303">
        <f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  <c r="N50" s="303">
        <f>IF(AND(I50&gt;0,ISNUMBER(M50)),M50/I50,"")</f>
        <v/>
      </c>
      <c r="O50" s="303">
        <f>IF(AND(J50&gt;0,ISNUMBER(M50)),M50/J50,"")</f>
        <v/>
      </c>
      <c r="P50" s="303" t="n"/>
      <c r="Q50" s="303" t="n"/>
      <c r="R50" s="340" t="n"/>
      <c r="S50" s="340" t="n"/>
      <c r="T50" s="340" t="n"/>
      <c r="U50" s="340" t="n"/>
      <c r="V50" s="340" t="n"/>
      <c r="W50" s="340" t="n"/>
      <c r="X50">
        <f>COUNTA(R50:W50)</f>
        <v/>
      </c>
      <c r="Y50">
        <f>IF(AND($X50&gt;0,ISNUMBER($M50)),$M50/$X50,"")</f>
        <v/>
      </c>
      <c r="Z50">
        <f>IF($X50=0,"",IF(COUNTIF(⑳商品別1食労務費!$C$5:$C$124,$R50)+COUNTIF(⑳商品別1食労務費!$C$5:$C$124,$S50)+COUNTIF(⑳商品別1食労務費!$C$5:$C$124,$T50)+COUNTIF(⑳商品別1食労務費!$C$5:$C$124,$U50)+COUNTIF(⑳商品別1食労務費!$C$5:$C$124,$V50)+COUNTIF(⑳商品別1食労務費!$C$5:$C$124,$W50)=$X50,"OK","⑳に無い商品名"))</f>
        <v/>
      </c>
      <c r="AA50">
        <f>SUMIF(⑳商品別1食労務費!$C$5:$C$124,$R50,⑳商品別1食労務費!$F$5:$F$124)+SUMIF(⑳商品別1食労務費!$C$5:$C$124,$S50,⑳商品別1食労務費!$F$5:$F$124)+SUMIF(⑳商品別1食労務費!$C$5:$C$124,$T50,⑳商品別1食労務費!$F$5:$F$124)+SUMIF(⑳商品別1食労務費!$C$5:$C$124,$U50,⑳商品別1食労務費!$F$5:$F$124)+SUMIF(⑳商品別1食労務費!$C$5:$C$124,$V50,⑳商品別1食労務費!$F$5:$F$124)+SUMIF(⑳商品別1食労務費!$C$5:$C$124,$W50,⑳商品別1食労務費!$F$5:$F$124)</f>
        <v/>
      </c>
      <c r="AB50">
        <f>IF(ISNUMBER($M50),$M50,0)</f>
        <v/>
      </c>
      <c r="AD50" s="413">
        <f>IF($R50="",0,IF($AA50&gt;0,$AB50*SUMIF(⑳商品別1食労務費!$C$5:$C$124,$R50,⑳商品別1食労務費!$F$5:$F$124)/$AA50,$AB50/$X50))</f>
        <v/>
      </c>
      <c r="AE50" s="413">
        <f>IF($S50="",0,IF($AA50&gt;0,$AB50*SUMIF(⑳商品別1食労務費!$C$5:$C$124,$S50,⑳商品別1食労務費!$F$5:$F$124)/$AA50,$AB50/$X50))</f>
        <v/>
      </c>
      <c r="AF50" s="413">
        <f>IF($T50="",0,IF($AA50&gt;0,$AB50*SUMIF(⑳商品別1食労務費!$C$5:$C$124,$T50,⑳商品別1食労務費!$F$5:$F$124)/$AA50,$AB50/$X50))</f>
        <v/>
      </c>
      <c r="AG50" s="413">
        <f>IF($U50="",0,IF($AA50&gt;0,$AB50*SUMIF(⑳商品別1食労務費!$C$5:$C$124,$U50,⑳商品別1食労務費!$F$5:$F$124)/$AA50,$AB50/$X50))</f>
        <v/>
      </c>
      <c r="AH50" s="413">
        <f>IF($V50="",0,IF($AA50&gt;0,$AB50*SUMIF(⑳商品別1食労務費!$C$5:$C$124,$V50,⑳商品別1食労務費!$F$5:$F$124)/$AA50,$AB50/$X50))</f>
        <v/>
      </c>
      <c r="AI50" s="413">
        <f>IF($W50="",0,IF($AA50&gt;0,$AB50*SUMIF(⑳商品別1食労務費!$C$5:$C$124,$W50,⑳商品別1食労務費!$F$5:$F$124)/$AA50,$AB50/$X50))</f>
        <v/>
      </c>
    </row>
    <row r="51" ht="16" customHeight="1" s="438">
      <c r="A51" s="303" t="n"/>
      <c r="B51" s="303" t="n"/>
      <c r="C51" s="340" t="n"/>
      <c r="D51" s="339" t="n"/>
      <c r="E51" s="339" t="n"/>
      <c r="F51" s="557">
        <f>IF(OR(D51="",E51=""),"",(E51-D51)*1440)</f>
        <v/>
      </c>
      <c r="G51" s="303" t="n"/>
      <c r="H51" s="303" t="n"/>
      <c r="I51" s="303" t="n"/>
      <c r="J51" s="303" t="n"/>
      <c r="K51" s="303">
        <f>IF(AND(I51&gt;0,ISNUMBER(F51)),I51/(F51/60),"")</f>
        <v/>
      </c>
      <c r="L51" s="303">
        <f>IF(AND(J51&gt;0,ISNUMBER(F51)),J51/(F51/60),"")</f>
        <v/>
      </c>
      <c r="M51" s="303">
        <f>IF(OR(ISNUMBER(SEARCH("サニテーション",C51)),ISNUMBER(SEARCH("客注",C51)),ISNUMBER(SEARCH("切り替え",C51)),ISNUMBER(SEARCH("切替",C51)),NOT(ISNUMBER(H51))),"",IF(ISNUMBER(G51),G51/60*H51*④前提設定!$B$4,IF(AND(G51="",ISNUMBER(F51)),F51/60*H51*④前提設定!$B$4,"")))</f>
        <v/>
      </c>
      <c r="N51" s="303">
        <f>IF(AND(I51&gt;0,ISNUMBER(M51)),M51/I51,"")</f>
        <v/>
      </c>
      <c r="O51" s="303">
        <f>IF(AND(J51&gt;0,ISNUMBER(M51)),M51/J51,"")</f>
        <v/>
      </c>
      <c r="P51" s="303" t="n"/>
      <c r="Q51" s="303" t="n"/>
      <c r="R51" s="340" t="n"/>
      <c r="S51" s="340" t="n"/>
      <c r="T51" s="340" t="n"/>
      <c r="U51" s="340" t="n"/>
      <c r="V51" s="340" t="n"/>
      <c r="W51" s="340" t="n"/>
      <c r="X51">
        <f>COUNTA(R51:W51)</f>
        <v/>
      </c>
      <c r="Y51">
        <f>IF(AND($X51&gt;0,ISNUMBER($M51)),$M51/$X51,"")</f>
        <v/>
      </c>
      <c r="Z51">
        <f>IF($X51=0,"",IF(COUNTIF(⑳商品別1食労務費!$C$5:$C$124,$R51)+COUNTIF(⑳商品別1食労務費!$C$5:$C$124,$S51)+COUNTIF(⑳商品別1食労務費!$C$5:$C$124,$T51)+COUNTIF(⑳商品別1食労務費!$C$5:$C$124,$U51)+COUNTIF(⑳商品別1食労務費!$C$5:$C$124,$V51)+COUNTIF(⑳商品別1食労務費!$C$5:$C$124,$W51)=$X51,"OK","⑳に無い商品名"))</f>
        <v/>
      </c>
      <c r="AA51">
        <f>SUMIF(⑳商品別1食労務費!$C$5:$C$124,$R51,⑳商品別1食労務費!$F$5:$F$124)+SUMIF(⑳商品別1食労務費!$C$5:$C$124,$S51,⑳商品別1食労務費!$F$5:$F$124)+SUMIF(⑳商品別1食労務費!$C$5:$C$124,$T51,⑳商品別1食労務費!$F$5:$F$124)+SUMIF(⑳商品別1食労務費!$C$5:$C$124,$U51,⑳商品別1食労務費!$F$5:$F$124)+SUMIF(⑳商品別1食労務費!$C$5:$C$124,$V51,⑳商品別1食労務費!$F$5:$F$124)+SUMIF(⑳商品別1食労務費!$C$5:$C$124,$W51,⑳商品別1食労務費!$F$5:$F$124)</f>
        <v/>
      </c>
      <c r="AB51">
        <f>IF(ISNUMBER($M51),$M51,0)</f>
        <v/>
      </c>
      <c r="AD51" s="413">
        <f>IF($R51="",0,IF($AA51&gt;0,$AB51*SUMIF(⑳商品別1食労務費!$C$5:$C$124,$R51,⑳商品別1食労務費!$F$5:$F$124)/$AA51,$AB51/$X51))</f>
        <v/>
      </c>
      <c r="AE51" s="413">
        <f>IF($S51="",0,IF($AA51&gt;0,$AB51*SUMIF(⑳商品別1食労務費!$C$5:$C$124,$S51,⑳商品別1食労務費!$F$5:$F$124)/$AA51,$AB51/$X51))</f>
        <v/>
      </c>
      <c r="AF51" s="413">
        <f>IF($T51="",0,IF($AA51&gt;0,$AB51*SUMIF(⑳商品別1食労務費!$C$5:$C$124,$T51,⑳商品別1食労務費!$F$5:$F$124)/$AA51,$AB51/$X51))</f>
        <v/>
      </c>
      <c r="AG51" s="413">
        <f>IF($U51="",0,IF($AA51&gt;0,$AB51*SUMIF(⑳商品別1食労務費!$C$5:$C$124,$U51,⑳商品別1食労務費!$F$5:$F$124)/$AA51,$AB51/$X51))</f>
        <v/>
      </c>
      <c r="AH51" s="413">
        <f>IF($V51="",0,IF($AA51&gt;0,$AB51*SUMIF(⑳商品別1食労務費!$C$5:$C$124,$V51,⑳商品別1食労務費!$F$5:$F$124)/$AA51,$AB51/$X51))</f>
        <v/>
      </c>
      <c r="AI51" s="413">
        <f>IF($W51="",0,IF($AA51&gt;0,$AB51*SUMIF(⑳商品別1食労務費!$C$5:$C$124,$W51,⑳商品別1食労務費!$F$5:$F$124)/$AA51,$AB51/$X51))</f>
        <v/>
      </c>
    </row>
    <row r="52" ht="16" customHeight="1" s="438">
      <c r="A52" s="303" t="n"/>
      <c r="B52" s="303" t="n"/>
      <c r="C52" s="340" t="n"/>
      <c r="D52" s="339" t="n"/>
      <c r="E52" s="339" t="n"/>
      <c r="F52" s="557">
        <f>IF(OR(D52="",E52=""),"",(E52-D52)*1440)</f>
        <v/>
      </c>
      <c r="G52" s="303" t="n"/>
      <c r="H52" s="303" t="n"/>
      <c r="I52" s="303" t="n"/>
      <c r="J52" s="303" t="n"/>
      <c r="K52" s="303">
        <f>IF(AND(I52&gt;0,ISNUMBER(F52)),I52/(F52/60),"")</f>
        <v/>
      </c>
      <c r="L52" s="303">
        <f>IF(AND(J52&gt;0,ISNUMBER(F52)),J52/(F52/60),"")</f>
        <v/>
      </c>
      <c r="M52" s="303">
        <f>IF(OR(ISNUMBER(SEARCH("サニテーション",C52)),ISNUMBER(SEARCH("客注",C52)),ISNUMBER(SEARCH("切り替え",C52)),ISNUMBER(SEARCH("切替",C52)),NOT(ISNUMBER(H52))),"",IF(ISNUMBER(G52),G52/60*H52*④前提設定!$B$4,IF(AND(G52="",ISNUMBER(F52)),F52/60*H52*④前提設定!$B$4,"")))</f>
        <v/>
      </c>
      <c r="N52" s="303">
        <f>IF(AND(I52&gt;0,ISNUMBER(M52)),M52/I52,"")</f>
        <v/>
      </c>
      <c r="O52" s="303">
        <f>IF(AND(J52&gt;0,ISNUMBER(M52)),M52/J52,"")</f>
        <v/>
      </c>
      <c r="P52" s="303" t="n"/>
      <c r="Q52" s="303" t="n"/>
      <c r="R52" s="340" t="n"/>
      <c r="S52" s="340" t="n"/>
      <c r="T52" s="340" t="n"/>
      <c r="U52" s="340" t="n"/>
      <c r="V52" s="340" t="n"/>
      <c r="W52" s="340" t="n"/>
      <c r="X52">
        <f>COUNTA(R52:W52)</f>
        <v/>
      </c>
      <c r="Y52">
        <f>IF(AND($X52&gt;0,ISNUMBER($M52)),$M52/$X52,"")</f>
        <v/>
      </c>
      <c r="Z52">
        <f>IF($X52=0,"",IF(COUNTIF(⑳商品別1食労務費!$C$5:$C$124,$R52)+COUNTIF(⑳商品別1食労務費!$C$5:$C$124,$S52)+COUNTIF(⑳商品別1食労務費!$C$5:$C$124,$T52)+COUNTIF(⑳商品別1食労務費!$C$5:$C$124,$U52)+COUNTIF(⑳商品別1食労務費!$C$5:$C$124,$V52)+COUNTIF(⑳商品別1食労務費!$C$5:$C$124,$W52)=$X52,"OK","⑳に無い商品名"))</f>
        <v/>
      </c>
      <c r="AA52">
        <f>SUMIF(⑳商品別1食労務費!$C$5:$C$124,$R52,⑳商品別1食労務費!$F$5:$F$124)+SUMIF(⑳商品別1食労務費!$C$5:$C$124,$S52,⑳商品別1食労務費!$F$5:$F$124)+SUMIF(⑳商品別1食労務費!$C$5:$C$124,$T52,⑳商品別1食労務費!$F$5:$F$124)+SUMIF(⑳商品別1食労務費!$C$5:$C$124,$U52,⑳商品別1食労務費!$F$5:$F$124)+SUMIF(⑳商品別1食労務費!$C$5:$C$124,$V52,⑳商品別1食労務費!$F$5:$F$124)+SUMIF(⑳商品別1食労務費!$C$5:$C$124,$W52,⑳商品別1食労務費!$F$5:$F$124)</f>
        <v/>
      </c>
      <c r="AB52">
        <f>IF(ISNUMBER($M52),$M52,0)</f>
        <v/>
      </c>
      <c r="AD52" s="413">
        <f>IF($R52="",0,IF($AA52&gt;0,$AB52*SUMIF(⑳商品別1食労務費!$C$5:$C$124,$R52,⑳商品別1食労務費!$F$5:$F$124)/$AA52,$AB52/$X52))</f>
        <v/>
      </c>
      <c r="AE52" s="413">
        <f>IF($S52="",0,IF($AA52&gt;0,$AB52*SUMIF(⑳商品別1食労務費!$C$5:$C$124,$S52,⑳商品別1食労務費!$F$5:$F$124)/$AA52,$AB52/$X52))</f>
        <v/>
      </c>
      <c r="AF52" s="413">
        <f>IF($T52="",0,IF($AA52&gt;0,$AB52*SUMIF(⑳商品別1食労務費!$C$5:$C$124,$T52,⑳商品別1食労務費!$F$5:$F$124)/$AA52,$AB52/$X52))</f>
        <v/>
      </c>
      <c r="AG52" s="413">
        <f>IF($U52="",0,IF($AA52&gt;0,$AB52*SUMIF(⑳商品別1食労務費!$C$5:$C$124,$U52,⑳商品別1食労務費!$F$5:$F$124)/$AA52,$AB52/$X52))</f>
        <v/>
      </c>
      <c r="AH52" s="413">
        <f>IF($V52="",0,IF($AA52&gt;0,$AB52*SUMIF(⑳商品別1食労務費!$C$5:$C$124,$V52,⑳商品別1食労務費!$F$5:$F$124)/$AA52,$AB52/$X52))</f>
        <v/>
      </c>
      <c r="AI52" s="413">
        <f>IF($W52="",0,IF($AA52&gt;0,$AB52*SUMIF(⑳商品別1食労務費!$C$5:$C$124,$W52,⑳商品別1食労務費!$F$5:$F$124)/$AA52,$AB52/$X52))</f>
        <v/>
      </c>
    </row>
    <row r="53" ht="16" customHeight="1" s="438">
      <c r="A53" s="303" t="n"/>
      <c r="B53" s="303" t="n"/>
      <c r="C53" s="340" t="n"/>
      <c r="D53" s="339" t="n"/>
      <c r="E53" s="339" t="n"/>
      <c r="F53" s="557">
        <f>IF(OR(D53="",E53=""),"",(E53-D53)*1440)</f>
        <v/>
      </c>
      <c r="G53" s="303" t="n"/>
      <c r="H53" s="303" t="n"/>
      <c r="I53" s="303" t="n"/>
      <c r="J53" s="303" t="n"/>
      <c r="K53" s="303">
        <f>IF(AND(I53&gt;0,ISNUMBER(F53)),I53/(F53/60),"")</f>
        <v/>
      </c>
      <c r="L53" s="303">
        <f>IF(AND(J53&gt;0,ISNUMBER(F53)),J53/(F53/60),"")</f>
        <v/>
      </c>
      <c r="M53" s="303">
        <f>IF(OR(ISNUMBER(SEARCH("サニテーション",C53)),ISNUMBER(SEARCH("客注",C53)),ISNUMBER(SEARCH("切り替え",C53)),ISNUMBER(SEARCH("切替",C53)),NOT(ISNUMBER(H53))),"",IF(ISNUMBER(G53),G53/60*H53*④前提設定!$B$4,IF(AND(G53="",ISNUMBER(F53)),F53/60*H53*④前提設定!$B$4,"")))</f>
        <v/>
      </c>
      <c r="N53" s="303">
        <f>IF(AND(I53&gt;0,ISNUMBER(M53)),M53/I53,"")</f>
        <v/>
      </c>
      <c r="O53" s="303">
        <f>IF(AND(J53&gt;0,ISNUMBER(M53)),M53/J53,"")</f>
        <v/>
      </c>
      <c r="P53" s="303" t="n"/>
      <c r="Q53" s="303" t="n"/>
      <c r="R53" s="340" t="n"/>
      <c r="S53" s="340" t="n"/>
      <c r="T53" s="340" t="n"/>
      <c r="U53" s="340" t="n"/>
      <c r="V53" s="340" t="n"/>
      <c r="W53" s="340" t="n"/>
      <c r="X53">
        <f>COUNTA(R53:W53)</f>
        <v/>
      </c>
      <c r="Y53">
        <f>IF(AND($X53&gt;0,ISNUMBER($M53)),$M53/$X53,"")</f>
        <v/>
      </c>
      <c r="Z53">
        <f>IF($X53=0,"",IF(COUNTIF(⑳商品別1食労務費!$C$5:$C$124,$R53)+COUNTIF(⑳商品別1食労務費!$C$5:$C$124,$S53)+COUNTIF(⑳商品別1食労務費!$C$5:$C$124,$T53)+COUNTIF(⑳商品別1食労務費!$C$5:$C$124,$U53)+COUNTIF(⑳商品別1食労務費!$C$5:$C$124,$V53)+COUNTIF(⑳商品別1食労務費!$C$5:$C$124,$W53)=$X53,"OK","⑳に無い商品名"))</f>
        <v/>
      </c>
      <c r="AA53">
        <f>SUMIF(⑳商品別1食労務費!$C$5:$C$124,$R53,⑳商品別1食労務費!$F$5:$F$124)+SUMIF(⑳商品別1食労務費!$C$5:$C$124,$S53,⑳商品別1食労務費!$F$5:$F$124)+SUMIF(⑳商品別1食労務費!$C$5:$C$124,$T53,⑳商品別1食労務費!$F$5:$F$124)+SUMIF(⑳商品別1食労務費!$C$5:$C$124,$U53,⑳商品別1食労務費!$F$5:$F$124)+SUMIF(⑳商品別1食労務費!$C$5:$C$124,$V53,⑳商品別1食労務費!$F$5:$F$124)+SUMIF(⑳商品別1食労務費!$C$5:$C$124,$W53,⑳商品別1食労務費!$F$5:$F$124)</f>
        <v/>
      </c>
      <c r="AB53">
        <f>IF(ISNUMBER($M53),$M53,0)</f>
        <v/>
      </c>
      <c r="AD53" s="413">
        <f>IF($R53="",0,IF($AA53&gt;0,$AB53*SUMIF(⑳商品別1食労務費!$C$5:$C$124,$R53,⑳商品別1食労務費!$F$5:$F$124)/$AA53,$AB53/$X53))</f>
        <v/>
      </c>
      <c r="AE53" s="413">
        <f>IF($S53="",0,IF($AA53&gt;0,$AB53*SUMIF(⑳商品別1食労務費!$C$5:$C$124,$S53,⑳商品別1食労務費!$F$5:$F$124)/$AA53,$AB53/$X53))</f>
        <v/>
      </c>
      <c r="AF53" s="413">
        <f>IF($T53="",0,IF($AA53&gt;0,$AB53*SUMIF(⑳商品別1食労務費!$C$5:$C$124,$T53,⑳商品別1食労務費!$F$5:$F$124)/$AA53,$AB53/$X53))</f>
        <v/>
      </c>
      <c r="AG53" s="413">
        <f>IF($U53="",0,IF($AA53&gt;0,$AB53*SUMIF(⑳商品別1食労務費!$C$5:$C$124,$U53,⑳商品別1食労務費!$F$5:$F$124)/$AA53,$AB53/$X53))</f>
        <v/>
      </c>
      <c r="AH53" s="413">
        <f>IF($V53="",0,IF($AA53&gt;0,$AB53*SUMIF(⑳商品別1食労務費!$C$5:$C$124,$V53,⑳商品別1食労務費!$F$5:$F$124)/$AA53,$AB53/$X53))</f>
        <v/>
      </c>
      <c r="AI53" s="413">
        <f>IF($W53="",0,IF($AA53&gt;0,$AB53*SUMIF(⑳商品別1食労務費!$C$5:$C$124,$W53,⑳商品別1食労務費!$F$5:$F$124)/$AA53,$AB53/$X53))</f>
        <v/>
      </c>
    </row>
    <row r="54" ht="16" customHeight="1" s="438">
      <c r="A54" s="303" t="n"/>
      <c r="B54" s="303" t="n"/>
      <c r="C54" s="340" t="n"/>
      <c r="D54" s="339" t="n"/>
      <c r="E54" s="339" t="n"/>
      <c r="F54" s="557">
        <f>IF(OR(D54="",E54=""),"",(E54-D54)*1440)</f>
        <v/>
      </c>
      <c r="G54" s="303" t="n"/>
      <c r="H54" s="303" t="n"/>
      <c r="I54" s="303" t="n"/>
      <c r="J54" s="303" t="n"/>
      <c r="K54" s="303">
        <f>IF(AND(I54&gt;0,ISNUMBER(F54)),I54/(F54/60),"")</f>
        <v/>
      </c>
      <c r="L54" s="303">
        <f>IF(AND(J54&gt;0,ISNUMBER(F54)),J54/(F54/60),"")</f>
        <v/>
      </c>
      <c r="M54" s="303">
        <f>IF(OR(ISNUMBER(SEARCH("サニテーション",C54)),ISNUMBER(SEARCH("客注",C54)),ISNUMBER(SEARCH("切り替え",C54)),ISNUMBER(SEARCH("切替",C54)),NOT(ISNUMBER(H54))),"",IF(ISNUMBER(G54),G54/60*H54*④前提設定!$B$4,IF(AND(G54="",ISNUMBER(F54)),F54/60*H54*④前提設定!$B$4,"")))</f>
        <v/>
      </c>
      <c r="N54" s="303">
        <f>IF(AND(I54&gt;0,ISNUMBER(M54)),M54/I54,"")</f>
        <v/>
      </c>
      <c r="O54" s="303">
        <f>IF(AND(J54&gt;0,ISNUMBER(M54)),M54/J54,"")</f>
        <v/>
      </c>
      <c r="P54" s="303" t="n"/>
      <c r="Q54" s="303" t="n"/>
      <c r="R54" s="340" t="n"/>
      <c r="S54" s="340" t="n"/>
      <c r="T54" s="340" t="n"/>
      <c r="U54" s="340" t="n"/>
      <c r="V54" s="340" t="n"/>
      <c r="W54" s="340" t="n"/>
      <c r="X54">
        <f>COUNTA(R54:W54)</f>
        <v/>
      </c>
      <c r="Y54">
        <f>IF(AND($X54&gt;0,ISNUMBER($M54)),$M54/$X54,"")</f>
        <v/>
      </c>
      <c r="Z54">
        <f>IF($X54=0,"",IF(COUNTIF(⑳商品別1食労務費!$C$5:$C$124,$R54)+COUNTIF(⑳商品別1食労務費!$C$5:$C$124,$S54)+COUNTIF(⑳商品別1食労務費!$C$5:$C$124,$T54)+COUNTIF(⑳商品別1食労務費!$C$5:$C$124,$U54)+COUNTIF(⑳商品別1食労務費!$C$5:$C$124,$V54)+COUNTIF(⑳商品別1食労務費!$C$5:$C$124,$W54)=$X54,"OK","⑳に無い商品名"))</f>
        <v/>
      </c>
      <c r="AA54">
        <f>SUMIF(⑳商品別1食労務費!$C$5:$C$124,$R54,⑳商品別1食労務費!$F$5:$F$124)+SUMIF(⑳商品別1食労務費!$C$5:$C$124,$S54,⑳商品別1食労務費!$F$5:$F$124)+SUMIF(⑳商品別1食労務費!$C$5:$C$124,$T54,⑳商品別1食労務費!$F$5:$F$124)+SUMIF(⑳商品別1食労務費!$C$5:$C$124,$U54,⑳商品別1食労務費!$F$5:$F$124)+SUMIF(⑳商品別1食労務費!$C$5:$C$124,$V54,⑳商品別1食労務費!$F$5:$F$124)+SUMIF(⑳商品別1食労務費!$C$5:$C$124,$W54,⑳商品別1食労務費!$F$5:$F$124)</f>
        <v/>
      </c>
      <c r="AB54">
        <f>IF(ISNUMBER($M54),$M54,0)</f>
        <v/>
      </c>
      <c r="AD54" s="413">
        <f>IF($R54="",0,IF($AA54&gt;0,$AB54*SUMIF(⑳商品別1食労務費!$C$5:$C$124,$R54,⑳商品別1食労務費!$F$5:$F$124)/$AA54,$AB54/$X54))</f>
        <v/>
      </c>
      <c r="AE54" s="413">
        <f>IF($S54="",0,IF($AA54&gt;0,$AB54*SUMIF(⑳商品別1食労務費!$C$5:$C$124,$S54,⑳商品別1食労務費!$F$5:$F$124)/$AA54,$AB54/$X54))</f>
        <v/>
      </c>
      <c r="AF54" s="413">
        <f>IF($T54="",0,IF($AA54&gt;0,$AB54*SUMIF(⑳商品別1食労務費!$C$5:$C$124,$T54,⑳商品別1食労務費!$F$5:$F$124)/$AA54,$AB54/$X54))</f>
        <v/>
      </c>
      <c r="AG54" s="413">
        <f>IF($U54="",0,IF($AA54&gt;0,$AB54*SUMIF(⑳商品別1食労務費!$C$5:$C$124,$U54,⑳商品別1食労務費!$F$5:$F$124)/$AA54,$AB54/$X54))</f>
        <v/>
      </c>
      <c r="AH54" s="413">
        <f>IF($V54="",0,IF($AA54&gt;0,$AB54*SUMIF(⑳商品別1食労務費!$C$5:$C$124,$V54,⑳商品別1食労務費!$F$5:$F$124)/$AA54,$AB54/$X54))</f>
        <v/>
      </c>
      <c r="AI54" s="413">
        <f>IF($W54="",0,IF($AA54&gt;0,$AB54*SUMIF(⑳商品別1食労務費!$C$5:$C$124,$W54,⑳商品別1食労務費!$F$5:$F$124)/$AA54,$AB54/$X54))</f>
        <v/>
      </c>
    </row>
    <row r="55" ht="16" customHeight="1" s="438">
      <c r="A55" s="303" t="n"/>
      <c r="B55" s="303" t="n"/>
      <c r="C55" s="340" t="n"/>
      <c r="D55" s="339" t="n"/>
      <c r="E55" s="339" t="n"/>
      <c r="F55" s="557">
        <f>IF(OR(D55="",E55=""),"",(E55-D55)*1440)</f>
        <v/>
      </c>
      <c r="G55" s="303" t="n"/>
      <c r="H55" s="303" t="n"/>
      <c r="I55" s="303" t="n"/>
      <c r="J55" s="303" t="n"/>
      <c r="K55" s="303">
        <f>IF(AND(I55&gt;0,ISNUMBER(F55)),I55/(F55/60),"")</f>
        <v/>
      </c>
      <c r="L55" s="303">
        <f>IF(AND(J55&gt;0,ISNUMBER(F55)),J55/(F55/60),"")</f>
        <v/>
      </c>
      <c r="M55" s="303">
        <f>IF(OR(ISNUMBER(SEARCH("サニテーション",C55)),ISNUMBER(SEARCH("客注",C55)),ISNUMBER(SEARCH("切り替え",C55)),ISNUMBER(SEARCH("切替",C55)),NOT(ISNUMBER(H55))),"",IF(ISNUMBER(G55),G55/60*H55*④前提設定!$B$4,IF(AND(G55="",ISNUMBER(F55)),F55/60*H55*④前提設定!$B$4,"")))</f>
        <v/>
      </c>
      <c r="N55" s="303">
        <f>IF(AND(I55&gt;0,ISNUMBER(M55)),M55/I55,"")</f>
        <v/>
      </c>
      <c r="O55" s="303">
        <f>IF(AND(J55&gt;0,ISNUMBER(M55)),M55/J55,"")</f>
        <v/>
      </c>
      <c r="P55" s="303" t="n"/>
      <c r="Q55" s="303" t="n"/>
      <c r="R55" s="340" t="n"/>
      <c r="S55" s="340" t="n"/>
      <c r="T55" s="340" t="n"/>
      <c r="U55" s="340" t="n"/>
      <c r="V55" s="340" t="n"/>
      <c r="W55" s="340" t="n"/>
      <c r="X55">
        <f>COUNTA(R55:W55)</f>
        <v/>
      </c>
      <c r="Y55">
        <f>IF(AND($X55&gt;0,ISNUMBER($M55)),$M55/$X55,"")</f>
        <v/>
      </c>
      <c r="Z55">
        <f>IF($X55=0,"",IF(COUNTIF(⑳商品別1食労務費!$C$5:$C$124,$R55)+COUNTIF(⑳商品別1食労務費!$C$5:$C$124,$S55)+COUNTIF(⑳商品別1食労務費!$C$5:$C$124,$T55)+COUNTIF(⑳商品別1食労務費!$C$5:$C$124,$U55)+COUNTIF(⑳商品別1食労務費!$C$5:$C$124,$V55)+COUNTIF(⑳商品別1食労務費!$C$5:$C$124,$W55)=$X55,"OK","⑳に無い商品名"))</f>
        <v/>
      </c>
      <c r="AA55">
        <f>SUMIF(⑳商品別1食労務費!$C$5:$C$124,$R55,⑳商品別1食労務費!$F$5:$F$124)+SUMIF(⑳商品別1食労務費!$C$5:$C$124,$S55,⑳商品別1食労務費!$F$5:$F$124)+SUMIF(⑳商品別1食労務費!$C$5:$C$124,$T55,⑳商品別1食労務費!$F$5:$F$124)+SUMIF(⑳商品別1食労務費!$C$5:$C$124,$U55,⑳商品別1食労務費!$F$5:$F$124)+SUMIF(⑳商品別1食労務費!$C$5:$C$124,$V55,⑳商品別1食労務費!$F$5:$F$124)+SUMIF(⑳商品別1食労務費!$C$5:$C$124,$W55,⑳商品別1食労務費!$F$5:$F$124)</f>
        <v/>
      </c>
      <c r="AB55">
        <f>IF(ISNUMBER($M55),$M55,0)</f>
        <v/>
      </c>
      <c r="AD55" s="413">
        <f>IF($R55="",0,IF($AA55&gt;0,$AB55*SUMIF(⑳商品別1食労務費!$C$5:$C$124,$R55,⑳商品別1食労務費!$F$5:$F$124)/$AA55,$AB55/$X55))</f>
        <v/>
      </c>
      <c r="AE55" s="413">
        <f>IF($S55="",0,IF($AA55&gt;0,$AB55*SUMIF(⑳商品別1食労務費!$C$5:$C$124,$S55,⑳商品別1食労務費!$F$5:$F$124)/$AA55,$AB55/$X55))</f>
        <v/>
      </c>
      <c r="AF55" s="413">
        <f>IF($T55="",0,IF($AA55&gt;0,$AB55*SUMIF(⑳商品別1食労務費!$C$5:$C$124,$T55,⑳商品別1食労務費!$F$5:$F$124)/$AA55,$AB55/$X55))</f>
        <v/>
      </c>
      <c r="AG55" s="413">
        <f>IF($U55="",0,IF($AA55&gt;0,$AB55*SUMIF(⑳商品別1食労務費!$C$5:$C$124,$U55,⑳商品別1食労務費!$F$5:$F$124)/$AA55,$AB55/$X55))</f>
        <v/>
      </c>
      <c r="AH55" s="413">
        <f>IF($V55="",0,IF($AA55&gt;0,$AB55*SUMIF(⑳商品別1食労務費!$C$5:$C$124,$V55,⑳商品別1食労務費!$F$5:$F$124)/$AA55,$AB55/$X55))</f>
        <v/>
      </c>
      <c r="AI55" s="413">
        <f>IF($W55="",0,IF($AA55&gt;0,$AB55*SUMIF(⑳商品別1食労務費!$C$5:$C$124,$W55,⑳商品別1食労務費!$F$5:$F$124)/$AA55,$AB55/$X55))</f>
        <v/>
      </c>
    </row>
    <row r="56" ht="16" customHeight="1" s="438">
      <c r="A56" s="303" t="n"/>
      <c r="B56" s="303" t="n"/>
      <c r="C56" s="340" t="n"/>
      <c r="D56" s="339" t="n"/>
      <c r="E56" s="339" t="n"/>
      <c r="F56" s="557">
        <f>IF(OR(D56="",E56=""),"",(E56-D56)*1440)</f>
        <v/>
      </c>
      <c r="G56" s="303" t="n"/>
      <c r="H56" s="303" t="n"/>
      <c r="I56" s="303" t="n"/>
      <c r="J56" s="303" t="n"/>
      <c r="K56" s="303">
        <f>IF(AND(I56&gt;0,ISNUMBER(F56)),I56/(F56/60),"")</f>
        <v/>
      </c>
      <c r="L56" s="303">
        <f>IF(AND(J56&gt;0,ISNUMBER(F56)),J56/(F56/60),"")</f>
        <v/>
      </c>
      <c r="M56" s="303">
        <f>IF(OR(ISNUMBER(SEARCH("サニテーション",C56)),ISNUMBER(SEARCH("客注",C56)),ISNUMBER(SEARCH("切り替え",C56)),ISNUMBER(SEARCH("切替",C56)),NOT(ISNUMBER(H56))),"",IF(ISNUMBER(G56),G56/60*H56*④前提設定!$B$4,IF(AND(G56="",ISNUMBER(F56)),F56/60*H56*④前提設定!$B$4,"")))</f>
        <v/>
      </c>
      <c r="N56" s="303">
        <f>IF(AND(I56&gt;0,ISNUMBER(M56)),M56/I56,"")</f>
        <v/>
      </c>
      <c r="O56" s="303">
        <f>IF(AND(J56&gt;0,ISNUMBER(M56)),M56/J56,"")</f>
        <v/>
      </c>
      <c r="P56" s="303" t="n"/>
      <c r="Q56" s="303" t="n"/>
      <c r="R56" s="340" t="n"/>
      <c r="S56" s="340" t="n"/>
      <c r="T56" s="340" t="n"/>
      <c r="U56" s="340" t="n"/>
      <c r="V56" s="340" t="n"/>
      <c r="W56" s="340" t="n"/>
      <c r="X56">
        <f>COUNTA(R56:W56)</f>
        <v/>
      </c>
      <c r="Y56">
        <f>IF(AND($X56&gt;0,ISNUMBER($M56)),$M56/$X56,"")</f>
        <v/>
      </c>
      <c r="Z56">
        <f>IF($X56=0,"",IF(COUNTIF(⑳商品別1食労務費!$C$5:$C$124,$R56)+COUNTIF(⑳商品別1食労務費!$C$5:$C$124,$S56)+COUNTIF(⑳商品別1食労務費!$C$5:$C$124,$T56)+COUNTIF(⑳商品別1食労務費!$C$5:$C$124,$U56)+COUNTIF(⑳商品別1食労務費!$C$5:$C$124,$V56)+COUNTIF(⑳商品別1食労務費!$C$5:$C$124,$W56)=$X56,"OK","⑳に無い商品名"))</f>
        <v/>
      </c>
      <c r="AA56">
        <f>SUMIF(⑳商品別1食労務費!$C$5:$C$124,$R56,⑳商品別1食労務費!$F$5:$F$124)+SUMIF(⑳商品別1食労務費!$C$5:$C$124,$S56,⑳商品別1食労務費!$F$5:$F$124)+SUMIF(⑳商品別1食労務費!$C$5:$C$124,$T56,⑳商品別1食労務費!$F$5:$F$124)+SUMIF(⑳商品別1食労務費!$C$5:$C$124,$U56,⑳商品別1食労務費!$F$5:$F$124)+SUMIF(⑳商品別1食労務費!$C$5:$C$124,$V56,⑳商品別1食労務費!$F$5:$F$124)+SUMIF(⑳商品別1食労務費!$C$5:$C$124,$W56,⑳商品別1食労務費!$F$5:$F$124)</f>
        <v/>
      </c>
      <c r="AB56">
        <f>IF(ISNUMBER($M56),$M56,0)</f>
        <v/>
      </c>
      <c r="AD56" s="413">
        <f>IF($R56="",0,IF($AA56&gt;0,$AB56*SUMIF(⑳商品別1食労務費!$C$5:$C$124,$R56,⑳商品別1食労務費!$F$5:$F$124)/$AA56,$AB56/$X56))</f>
        <v/>
      </c>
      <c r="AE56" s="413">
        <f>IF($S56="",0,IF($AA56&gt;0,$AB56*SUMIF(⑳商品別1食労務費!$C$5:$C$124,$S56,⑳商品別1食労務費!$F$5:$F$124)/$AA56,$AB56/$X56))</f>
        <v/>
      </c>
      <c r="AF56" s="413">
        <f>IF($T56="",0,IF($AA56&gt;0,$AB56*SUMIF(⑳商品別1食労務費!$C$5:$C$124,$T56,⑳商品別1食労務費!$F$5:$F$124)/$AA56,$AB56/$X56))</f>
        <v/>
      </c>
      <c r="AG56" s="413">
        <f>IF($U56="",0,IF($AA56&gt;0,$AB56*SUMIF(⑳商品別1食労務費!$C$5:$C$124,$U56,⑳商品別1食労務費!$F$5:$F$124)/$AA56,$AB56/$X56))</f>
        <v/>
      </c>
      <c r="AH56" s="413">
        <f>IF($V56="",0,IF($AA56&gt;0,$AB56*SUMIF(⑳商品別1食労務費!$C$5:$C$124,$V56,⑳商品別1食労務費!$F$5:$F$124)/$AA56,$AB56/$X56))</f>
        <v/>
      </c>
      <c r="AI56" s="413">
        <f>IF($W56="",0,IF($AA56&gt;0,$AB56*SUMIF(⑳商品別1食労務費!$C$5:$C$124,$W56,⑳商品別1食労務費!$F$5:$F$124)/$AA56,$AB56/$X56))</f>
        <v/>
      </c>
    </row>
    <row r="57" ht="16" customHeight="1" s="438">
      <c r="A57" s="303" t="n"/>
      <c r="B57" s="303" t="n"/>
      <c r="C57" s="340" t="n"/>
      <c r="D57" s="339" t="n"/>
      <c r="E57" s="339" t="n"/>
      <c r="F57" s="557">
        <f>IF(OR(D57="",E57=""),"",(E57-D57)*1440)</f>
        <v/>
      </c>
      <c r="G57" s="303" t="n"/>
      <c r="H57" s="303" t="n"/>
      <c r="I57" s="303" t="n"/>
      <c r="J57" s="303" t="n"/>
      <c r="K57" s="303">
        <f>IF(AND(I57&gt;0,ISNUMBER(F57)),I57/(F57/60),"")</f>
        <v/>
      </c>
      <c r="L57" s="303">
        <f>IF(AND(J57&gt;0,ISNUMBER(F57)),J57/(F57/60),"")</f>
        <v/>
      </c>
      <c r="M57" s="303">
        <f>IF(OR(ISNUMBER(SEARCH("サニテーション",C57)),ISNUMBER(SEARCH("客注",C57)),ISNUMBER(SEARCH("切り替え",C57)),ISNUMBER(SEARCH("切替",C57)),NOT(ISNUMBER(H57))),"",IF(ISNUMBER(G57),G57/60*H57*④前提設定!$B$4,IF(AND(G57="",ISNUMBER(F57)),F57/60*H57*④前提設定!$B$4,"")))</f>
        <v/>
      </c>
      <c r="N57" s="303">
        <f>IF(AND(I57&gt;0,ISNUMBER(M57)),M57/I57,"")</f>
        <v/>
      </c>
      <c r="O57" s="303">
        <f>IF(AND(J57&gt;0,ISNUMBER(M57)),M57/J57,"")</f>
        <v/>
      </c>
      <c r="P57" s="303" t="n"/>
      <c r="Q57" s="303" t="n"/>
      <c r="R57" s="340" t="n"/>
      <c r="S57" s="340" t="n"/>
      <c r="T57" s="340" t="n"/>
      <c r="U57" s="340" t="n"/>
      <c r="V57" s="340" t="n"/>
      <c r="W57" s="340" t="n"/>
      <c r="X57">
        <f>COUNTA(R57:W57)</f>
        <v/>
      </c>
      <c r="Y57">
        <f>IF(AND($X57&gt;0,ISNUMBER($M57)),$M57/$X57,"")</f>
        <v/>
      </c>
      <c r="Z57">
        <f>IF($X57=0,"",IF(COUNTIF(⑳商品別1食労務費!$C$5:$C$124,$R57)+COUNTIF(⑳商品別1食労務費!$C$5:$C$124,$S57)+COUNTIF(⑳商品別1食労務費!$C$5:$C$124,$T57)+COUNTIF(⑳商品別1食労務費!$C$5:$C$124,$U57)+COUNTIF(⑳商品別1食労務費!$C$5:$C$124,$V57)+COUNTIF(⑳商品別1食労務費!$C$5:$C$124,$W57)=$X57,"OK","⑳に無い商品名"))</f>
        <v/>
      </c>
      <c r="AA57">
        <f>SUMIF(⑳商品別1食労務費!$C$5:$C$124,$R57,⑳商品別1食労務費!$F$5:$F$124)+SUMIF(⑳商品別1食労務費!$C$5:$C$124,$S57,⑳商品別1食労務費!$F$5:$F$124)+SUMIF(⑳商品別1食労務費!$C$5:$C$124,$T57,⑳商品別1食労務費!$F$5:$F$124)+SUMIF(⑳商品別1食労務費!$C$5:$C$124,$U57,⑳商品別1食労務費!$F$5:$F$124)+SUMIF(⑳商品別1食労務費!$C$5:$C$124,$V57,⑳商品別1食労務費!$F$5:$F$124)+SUMIF(⑳商品別1食労務費!$C$5:$C$124,$W57,⑳商品別1食労務費!$F$5:$F$124)</f>
        <v/>
      </c>
      <c r="AB57">
        <f>IF(ISNUMBER($M57),$M57,0)</f>
        <v/>
      </c>
      <c r="AD57" s="413">
        <f>IF($R57="",0,IF($AA57&gt;0,$AB57*SUMIF(⑳商品別1食労務費!$C$5:$C$124,$R57,⑳商品別1食労務費!$F$5:$F$124)/$AA57,$AB57/$X57))</f>
        <v/>
      </c>
      <c r="AE57" s="413">
        <f>IF($S57="",0,IF($AA57&gt;0,$AB57*SUMIF(⑳商品別1食労務費!$C$5:$C$124,$S57,⑳商品別1食労務費!$F$5:$F$124)/$AA57,$AB57/$X57))</f>
        <v/>
      </c>
      <c r="AF57" s="413">
        <f>IF($T57="",0,IF($AA57&gt;0,$AB57*SUMIF(⑳商品別1食労務費!$C$5:$C$124,$T57,⑳商品別1食労務費!$F$5:$F$124)/$AA57,$AB57/$X57))</f>
        <v/>
      </c>
      <c r="AG57" s="413">
        <f>IF($U57="",0,IF($AA57&gt;0,$AB57*SUMIF(⑳商品別1食労務費!$C$5:$C$124,$U57,⑳商品別1食労務費!$F$5:$F$124)/$AA57,$AB57/$X57))</f>
        <v/>
      </c>
      <c r="AH57" s="413">
        <f>IF($V57="",0,IF($AA57&gt;0,$AB57*SUMIF(⑳商品別1食労務費!$C$5:$C$124,$V57,⑳商品別1食労務費!$F$5:$F$124)/$AA57,$AB57/$X57))</f>
        <v/>
      </c>
      <c r="AI57" s="413">
        <f>IF($W57="",0,IF($AA57&gt;0,$AB57*SUMIF(⑳商品別1食労務費!$C$5:$C$124,$W57,⑳商品別1食労務費!$F$5:$F$124)/$AA57,$AB57/$X57))</f>
        <v/>
      </c>
    </row>
    <row r="58" ht="16" customHeight="1" s="438">
      <c r="A58" s="303" t="n"/>
      <c r="B58" s="303" t="n"/>
      <c r="C58" s="340" t="n"/>
      <c r="D58" s="339" t="n"/>
      <c r="E58" s="339" t="n"/>
      <c r="F58" s="557">
        <f>IF(OR(D58="",E58=""),"",(E58-D58)*1440)</f>
        <v/>
      </c>
      <c r="G58" s="303" t="n"/>
      <c r="H58" s="303" t="n"/>
      <c r="I58" s="303" t="n"/>
      <c r="J58" s="303" t="n"/>
      <c r="K58" s="303">
        <f>IF(AND(I58&gt;0,ISNUMBER(F58)),I58/(F58/60),"")</f>
        <v/>
      </c>
      <c r="L58" s="303">
        <f>IF(AND(J58&gt;0,ISNUMBER(F58)),J58/(F58/60),"")</f>
        <v/>
      </c>
      <c r="M58" s="303">
        <f>IF(OR(ISNUMBER(SEARCH("サニテーション",C58)),ISNUMBER(SEARCH("客注",C58)),ISNUMBER(SEARCH("切り替え",C58)),ISNUMBER(SEARCH("切替",C58)),NOT(ISNUMBER(H58))),"",IF(ISNUMBER(G58),G58/60*H58*④前提設定!$B$4,IF(AND(G58="",ISNUMBER(F58)),F58/60*H58*④前提設定!$B$4,"")))</f>
        <v/>
      </c>
      <c r="N58" s="303">
        <f>IF(AND(I58&gt;0,ISNUMBER(M58)),M58/I58,"")</f>
        <v/>
      </c>
      <c r="O58" s="303">
        <f>IF(AND(J58&gt;0,ISNUMBER(M58)),M58/J58,"")</f>
        <v/>
      </c>
      <c r="P58" s="303" t="n"/>
      <c r="Q58" s="303" t="n"/>
      <c r="R58" s="340" t="n"/>
      <c r="S58" s="340" t="n"/>
      <c r="T58" s="340" t="n"/>
      <c r="U58" s="340" t="n"/>
      <c r="V58" s="340" t="n"/>
      <c r="W58" s="340" t="n"/>
      <c r="X58">
        <f>COUNTA(R58:W58)</f>
        <v/>
      </c>
      <c r="Y58">
        <f>IF(AND($X58&gt;0,ISNUMBER($M58)),$M58/$X58,"")</f>
        <v/>
      </c>
      <c r="Z58">
        <f>IF($X58=0,"",IF(COUNTIF(⑳商品別1食労務費!$C$5:$C$124,$R58)+COUNTIF(⑳商品別1食労務費!$C$5:$C$124,$S58)+COUNTIF(⑳商品別1食労務費!$C$5:$C$124,$T58)+COUNTIF(⑳商品別1食労務費!$C$5:$C$124,$U58)+COUNTIF(⑳商品別1食労務費!$C$5:$C$124,$V58)+COUNTIF(⑳商品別1食労務費!$C$5:$C$124,$W58)=$X58,"OK","⑳に無い商品名"))</f>
        <v/>
      </c>
      <c r="AA58">
        <f>SUMIF(⑳商品別1食労務費!$C$5:$C$124,$R58,⑳商品別1食労務費!$F$5:$F$124)+SUMIF(⑳商品別1食労務費!$C$5:$C$124,$S58,⑳商品別1食労務費!$F$5:$F$124)+SUMIF(⑳商品別1食労務費!$C$5:$C$124,$T58,⑳商品別1食労務費!$F$5:$F$124)+SUMIF(⑳商品別1食労務費!$C$5:$C$124,$U58,⑳商品別1食労務費!$F$5:$F$124)+SUMIF(⑳商品別1食労務費!$C$5:$C$124,$V58,⑳商品別1食労務費!$F$5:$F$124)+SUMIF(⑳商品別1食労務費!$C$5:$C$124,$W58,⑳商品別1食労務費!$F$5:$F$124)</f>
        <v/>
      </c>
      <c r="AB58">
        <f>IF(ISNUMBER($M58),$M58,0)</f>
        <v/>
      </c>
      <c r="AD58" s="413">
        <f>IF($R58="",0,IF($AA58&gt;0,$AB58*SUMIF(⑳商品別1食労務費!$C$5:$C$124,$R58,⑳商品別1食労務費!$F$5:$F$124)/$AA58,$AB58/$X58))</f>
        <v/>
      </c>
      <c r="AE58" s="413">
        <f>IF($S58="",0,IF($AA58&gt;0,$AB58*SUMIF(⑳商品別1食労務費!$C$5:$C$124,$S58,⑳商品別1食労務費!$F$5:$F$124)/$AA58,$AB58/$X58))</f>
        <v/>
      </c>
      <c r="AF58" s="413">
        <f>IF($T58="",0,IF($AA58&gt;0,$AB58*SUMIF(⑳商品別1食労務費!$C$5:$C$124,$T58,⑳商品別1食労務費!$F$5:$F$124)/$AA58,$AB58/$X58))</f>
        <v/>
      </c>
      <c r="AG58" s="413">
        <f>IF($U58="",0,IF($AA58&gt;0,$AB58*SUMIF(⑳商品別1食労務費!$C$5:$C$124,$U58,⑳商品別1食労務費!$F$5:$F$124)/$AA58,$AB58/$X58))</f>
        <v/>
      </c>
      <c r="AH58" s="413">
        <f>IF($V58="",0,IF($AA58&gt;0,$AB58*SUMIF(⑳商品別1食労務費!$C$5:$C$124,$V58,⑳商品別1食労務費!$F$5:$F$124)/$AA58,$AB58/$X58))</f>
        <v/>
      </c>
      <c r="AI58" s="413">
        <f>IF($W58="",0,IF($AA58&gt;0,$AB58*SUMIF(⑳商品別1食労務費!$C$5:$C$124,$W58,⑳商品別1食労務費!$F$5:$F$124)/$AA58,$AB58/$X58))</f>
        <v/>
      </c>
    </row>
    <row r="59" ht="16" customHeight="1" s="438">
      <c r="A59" s="303" t="n"/>
      <c r="B59" s="303" t="n"/>
      <c r="C59" s="340" t="n"/>
      <c r="D59" s="339" t="n"/>
      <c r="E59" s="339" t="n"/>
      <c r="F59" s="557">
        <f>IF(OR(D59="",E59=""),"",(E59-D59)*1440)</f>
        <v/>
      </c>
      <c r="G59" s="303" t="n"/>
      <c r="H59" s="303" t="n"/>
      <c r="I59" s="303" t="n"/>
      <c r="J59" s="303" t="n"/>
      <c r="K59" s="303">
        <f>IF(AND(I59&gt;0,ISNUMBER(F59)),I59/(F59/60),"")</f>
        <v/>
      </c>
      <c r="L59" s="303">
        <f>IF(AND(J59&gt;0,ISNUMBER(F59)),J59/(F59/60),"")</f>
        <v/>
      </c>
      <c r="M59" s="303">
        <f>IF(OR(ISNUMBER(SEARCH("サニテーション",C59)),ISNUMBER(SEARCH("客注",C59)),ISNUMBER(SEARCH("切り替え",C59)),ISNUMBER(SEARCH("切替",C59)),NOT(ISNUMBER(H59))),"",IF(ISNUMBER(G59),G59/60*H59*④前提設定!$B$4,IF(AND(G59="",ISNUMBER(F59)),F59/60*H59*④前提設定!$B$4,"")))</f>
        <v/>
      </c>
      <c r="N59" s="303">
        <f>IF(AND(I59&gt;0,ISNUMBER(M59)),M59/I59,"")</f>
        <v/>
      </c>
      <c r="O59" s="303">
        <f>IF(AND(J59&gt;0,ISNUMBER(M59)),M59/J59,"")</f>
        <v/>
      </c>
      <c r="P59" s="303" t="n"/>
      <c r="Q59" s="303" t="n"/>
      <c r="R59" s="340" t="n"/>
      <c r="S59" s="340" t="n"/>
      <c r="T59" s="340" t="n"/>
      <c r="U59" s="340" t="n"/>
      <c r="V59" s="340" t="n"/>
      <c r="W59" s="340" t="n"/>
      <c r="X59">
        <f>COUNTA(R59:W59)</f>
        <v/>
      </c>
      <c r="Y59">
        <f>IF(AND($X59&gt;0,ISNUMBER($M59)),$M59/$X59,"")</f>
        <v/>
      </c>
      <c r="Z59">
        <f>IF($X59=0,"",IF(COUNTIF(⑳商品別1食労務費!$C$5:$C$124,$R59)+COUNTIF(⑳商品別1食労務費!$C$5:$C$124,$S59)+COUNTIF(⑳商品別1食労務費!$C$5:$C$124,$T59)+COUNTIF(⑳商品別1食労務費!$C$5:$C$124,$U59)+COUNTIF(⑳商品別1食労務費!$C$5:$C$124,$V59)+COUNTIF(⑳商品別1食労務費!$C$5:$C$124,$W59)=$X59,"OK","⑳に無い商品名"))</f>
        <v/>
      </c>
      <c r="AA59">
        <f>SUMIF(⑳商品別1食労務費!$C$5:$C$124,$R59,⑳商品別1食労務費!$F$5:$F$124)+SUMIF(⑳商品別1食労務費!$C$5:$C$124,$S59,⑳商品別1食労務費!$F$5:$F$124)+SUMIF(⑳商品別1食労務費!$C$5:$C$124,$T59,⑳商品別1食労務費!$F$5:$F$124)+SUMIF(⑳商品別1食労務費!$C$5:$C$124,$U59,⑳商品別1食労務費!$F$5:$F$124)+SUMIF(⑳商品別1食労務費!$C$5:$C$124,$V59,⑳商品別1食労務費!$F$5:$F$124)+SUMIF(⑳商品別1食労務費!$C$5:$C$124,$W59,⑳商品別1食労務費!$F$5:$F$124)</f>
        <v/>
      </c>
      <c r="AB59">
        <f>IF(ISNUMBER($M59),$M59,0)</f>
        <v/>
      </c>
      <c r="AD59" s="413">
        <f>IF($R59="",0,IF($AA59&gt;0,$AB59*SUMIF(⑳商品別1食労務費!$C$5:$C$124,$R59,⑳商品別1食労務費!$F$5:$F$124)/$AA59,$AB59/$X59))</f>
        <v/>
      </c>
      <c r="AE59" s="413">
        <f>IF($S59="",0,IF($AA59&gt;0,$AB59*SUMIF(⑳商品別1食労務費!$C$5:$C$124,$S59,⑳商品別1食労務費!$F$5:$F$124)/$AA59,$AB59/$X59))</f>
        <v/>
      </c>
      <c r="AF59" s="413">
        <f>IF($T59="",0,IF($AA59&gt;0,$AB59*SUMIF(⑳商品別1食労務費!$C$5:$C$124,$T59,⑳商品別1食労務費!$F$5:$F$124)/$AA59,$AB59/$X59))</f>
        <v/>
      </c>
      <c r="AG59" s="413">
        <f>IF($U59="",0,IF($AA59&gt;0,$AB59*SUMIF(⑳商品別1食労務費!$C$5:$C$124,$U59,⑳商品別1食労務費!$F$5:$F$124)/$AA59,$AB59/$X59))</f>
        <v/>
      </c>
      <c r="AH59" s="413">
        <f>IF($V59="",0,IF($AA59&gt;0,$AB59*SUMIF(⑳商品別1食労務費!$C$5:$C$124,$V59,⑳商品別1食労務費!$F$5:$F$124)/$AA59,$AB59/$X59))</f>
        <v/>
      </c>
      <c r="AI59" s="413">
        <f>IF($W59="",0,IF($AA59&gt;0,$AB59*SUMIF(⑳商品別1食労務費!$C$5:$C$124,$W59,⑳商品別1食労務費!$F$5:$F$124)/$AA59,$AB59/$X59))</f>
        <v/>
      </c>
    </row>
    <row r="60" ht="16" customHeight="1" s="438">
      <c r="A60" s="303" t="n"/>
      <c r="B60" s="303" t="n"/>
      <c r="C60" s="340" t="n"/>
      <c r="D60" s="339" t="n"/>
      <c r="E60" s="339" t="n"/>
      <c r="F60" s="557">
        <f>IF(OR(D60="",E60=""),"",(E60-D60)*1440)</f>
        <v/>
      </c>
      <c r="G60" s="303" t="n"/>
      <c r="H60" s="303" t="n"/>
      <c r="I60" s="303" t="n"/>
      <c r="J60" s="303" t="n"/>
      <c r="K60" s="303">
        <f>IF(AND(I60&gt;0,ISNUMBER(F60)),I60/(F60/60),"")</f>
        <v/>
      </c>
      <c r="L60" s="303">
        <f>IF(AND(J60&gt;0,ISNUMBER(F60)),J60/(F60/60),"")</f>
        <v/>
      </c>
      <c r="M60" s="303">
        <f>IF(OR(ISNUMBER(SEARCH("サニテーション",C60)),ISNUMBER(SEARCH("客注",C60)),ISNUMBER(SEARCH("切り替え",C60)),ISNUMBER(SEARCH("切替",C60)),NOT(ISNUMBER(H60))),"",IF(ISNUMBER(G60),G60/60*H60*④前提設定!$B$4,IF(AND(G60="",ISNUMBER(F60)),F60/60*H60*④前提設定!$B$4,"")))</f>
        <v/>
      </c>
      <c r="N60" s="303">
        <f>IF(AND(I60&gt;0,ISNUMBER(M60)),M60/I60,"")</f>
        <v/>
      </c>
      <c r="O60" s="303">
        <f>IF(AND(J60&gt;0,ISNUMBER(M60)),M60/J60,"")</f>
        <v/>
      </c>
      <c r="P60" s="303" t="n"/>
      <c r="Q60" s="303" t="n"/>
      <c r="R60" s="340" t="n"/>
      <c r="S60" s="340" t="n"/>
      <c r="T60" s="340" t="n"/>
      <c r="U60" s="340" t="n"/>
      <c r="V60" s="340" t="n"/>
      <c r="W60" s="340" t="n"/>
      <c r="X60">
        <f>COUNTA(R60:W60)</f>
        <v/>
      </c>
      <c r="Y60">
        <f>IF(AND($X60&gt;0,ISNUMBER($M60)),$M60/$X60,"")</f>
        <v/>
      </c>
      <c r="Z60">
        <f>IF($X60=0,"",IF(COUNTIF(⑳商品別1食労務費!$C$5:$C$124,$R60)+COUNTIF(⑳商品別1食労務費!$C$5:$C$124,$S60)+COUNTIF(⑳商品別1食労務費!$C$5:$C$124,$T60)+COUNTIF(⑳商品別1食労務費!$C$5:$C$124,$U60)+COUNTIF(⑳商品別1食労務費!$C$5:$C$124,$V60)+COUNTIF(⑳商品別1食労務費!$C$5:$C$124,$W60)=$X60,"OK","⑳に無い商品名"))</f>
        <v/>
      </c>
      <c r="AA60">
        <f>SUMIF(⑳商品別1食労務費!$C$5:$C$124,$R60,⑳商品別1食労務費!$F$5:$F$124)+SUMIF(⑳商品別1食労務費!$C$5:$C$124,$S60,⑳商品別1食労務費!$F$5:$F$124)+SUMIF(⑳商品別1食労務費!$C$5:$C$124,$T60,⑳商品別1食労務費!$F$5:$F$124)+SUMIF(⑳商品別1食労務費!$C$5:$C$124,$U60,⑳商品別1食労務費!$F$5:$F$124)+SUMIF(⑳商品別1食労務費!$C$5:$C$124,$V60,⑳商品別1食労務費!$F$5:$F$124)+SUMIF(⑳商品別1食労務費!$C$5:$C$124,$W60,⑳商品別1食労務費!$F$5:$F$124)</f>
        <v/>
      </c>
      <c r="AB60">
        <f>IF(ISNUMBER($M60),$M60,0)</f>
        <v/>
      </c>
      <c r="AD60" s="413">
        <f>IF($R60="",0,IF($AA60&gt;0,$AB60*SUMIF(⑳商品別1食労務費!$C$5:$C$124,$R60,⑳商品別1食労務費!$F$5:$F$124)/$AA60,$AB60/$X60))</f>
        <v/>
      </c>
      <c r="AE60" s="413">
        <f>IF($S60="",0,IF($AA60&gt;0,$AB60*SUMIF(⑳商品別1食労務費!$C$5:$C$124,$S60,⑳商品別1食労務費!$F$5:$F$124)/$AA60,$AB60/$X60))</f>
        <v/>
      </c>
      <c r="AF60" s="413">
        <f>IF($T60="",0,IF($AA60&gt;0,$AB60*SUMIF(⑳商品別1食労務費!$C$5:$C$124,$T60,⑳商品別1食労務費!$F$5:$F$124)/$AA60,$AB60/$X60))</f>
        <v/>
      </c>
      <c r="AG60" s="413">
        <f>IF($U60="",0,IF($AA60&gt;0,$AB60*SUMIF(⑳商品別1食労務費!$C$5:$C$124,$U60,⑳商品別1食労務費!$F$5:$F$124)/$AA60,$AB60/$X60))</f>
        <v/>
      </c>
      <c r="AH60" s="413">
        <f>IF($V60="",0,IF($AA60&gt;0,$AB60*SUMIF(⑳商品別1食労務費!$C$5:$C$124,$V60,⑳商品別1食労務費!$F$5:$F$124)/$AA60,$AB60/$X60))</f>
        <v/>
      </c>
      <c r="AI60" s="413">
        <f>IF($W60="",0,IF($AA60&gt;0,$AB60*SUMIF(⑳商品別1食労務費!$C$5:$C$124,$W60,⑳商品別1食労務費!$F$5:$F$124)/$AA60,$AB60/$X60))</f>
        <v/>
      </c>
    </row>
    <row r="61" ht="16" customHeight="1" s="438">
      <c r="A61" s="303" t="n"/>
      <c r="B61" s="303" t="n"/>
      <c r="C61" s="340" t="n"/>
      <c r="D61" s="339" t="n"/>
      <c r="E61" s="339" t="n"/>
      <c r="F61" s="557">
        <f>IF(OR(D61="",E61=""),"",(E61-D61)*1440)</f>
        <v/>
      </c>
      <c r="G61" s="303" t="n"/>
      <c r="H61" s="303" t="n"/>
      <c r="I61" s="303" t="n"/>
      <c r="J61" s="303" t="n"/>
      <c r="K61" s="303">
        <f>IF(AND(I61&gt;0,ISNUMBER(F61)),I61/(F61/60),"")</f>
        <v/>
      </c>
      <c r="L61" s="303">
        <f>IF(AND(J61&gt;0,ISNUMBER(F61)),J61/(F61/60),"")</f>
        <v/>
      </c>
      <c r="M61" s="303">
        <f>IF(OR(ISNUMBER(SEARCH("サニテーション",C61)),ISNUMBER(SEARCH("客注",C61)),ISNUMBER(SEARCH("切り替え",C61)),ISNUMBER(SEARCH("切替",C61)),NOT(ISNUMBER(H61))),"",IF(ISNUMBER(G61),G61/60*H61*④前提設定!$B$4,IF(AND(G61="",ISNUMBER(F61)),F61/60*H61*④前提設定!$B$4,"")))</f>
        <v/>
      </c>
      <c r="N61" s="303">
        <f>IF(AND(I61&gt;0,ISNUMBER(M61)),M61/I61,"")</f>
        <v/>
      </c>
      <c r="O61" s="303">
        <f>IF(AND(J61&gt;0,ISNUMBER(M61)),M61/J61,"")</f>
        <v/>
      </c>
      <c r="P61" s="303" t="n"/>
      <c r="Q61" s="303" t="n"/>
      <c r="R61" s="340" t="n"/>
      <c r="S61" s="340" t="n"/>
      <c r="T61" s="340" t="n"/>
      <c r="U61" s="340" t="n"/>
      <c r="V61" s="340" t="n"/>
      <c r="W61" s="340" t="n"/>
      <c r="X61">
        <f>COUNTA(R61:W61)</f>
        <v/>
      </c>
      <c r="Y61">
        <f>IF(AND($X61&gt;0,ISNUMBER($M61)),$M61/$X61,"")</f>
        <v/>
      </c>
      <c r="Z61">
        <f>IF($X61=0,"",IF(COUNTIF(⑳商品別1食労務費!$C$5:$C$124,$R61)+COUNTIF(⑳商品別1食労務費!$C$5:$C$124,$S61)+COUNTIF(⑳商品別1食労務費!$C$5:$C$124,$T61)+COUNTIF(⑳商品別1食労務費!$C$5:$C$124,$U61)+COUNTIF(⑳商品別1食労務費!$C$5:$C$124,$V61)+COUNTIF(⑳商品別1食労務費!$C$5:$C$124,$W61)=$X61,"OK","⑳に無い商品名"))</f>
        <v/>
      </c>
      <c r="AA61">
        <f>SUMIF(⑳商品別1食労務費!$C$5:$C$124,$R61,⑳商品別1食労務費!$F$5:$F$124)+SUMIF(⑳商品別1食労務費!$C$5:$C$124,$S61,⑳商品別1食労務費!$F$5:$F$124)+SUMIF(⑳商品別1食労務費!$C$5:$C$124,$T61,⑳商品別1食労務費!$F$5:$F$124)+SUMIF(⑳商品別1食労務費!$C$5:$C$124,$U61,⑳商品別1食労務費!$F$5:$F$124)+SUMIF(⑳商品別1食労務費!$C$5:$C$124,$V61,⑳商品別1食労務費!$F$5:$F$124)+SUMIF(⑳商品別1食労務費!$C$5:$C$124,$W61,⑳商品別1食労務費!$F$5:$F$124)</f>
        <v/>
      </c>
      <c r="AB61">
        <f>IF(ISNUMBER($M61),$M61,0)</f>
        <v/>
      </c>
      <c r="AD61" s="413">
        <f>IF($R61="",0,IF($AA61&gt;0,$AB61*SUMIF(⑳商品別1食労務費!$C$5:$C$124,$R61,⑳商品別1食労務費!$F$5:$F$124)/$AA61,$AB61/$X61))</f>
        <v/>
      </c>
      <c r="AE61" s="413">
        <f>IF($S61="",0,IF($AA61&gt;0,$AB61*SUMIF(⑳商品別1食労務費!$C$5:$C$124,$S61,⑳商品別1食労務費!$F$5:$F$124)/$AA61,$AB61/$X61))</f>
        <v/>
      </c>
      <c r="AF61" s="413">
        <f>IF($T61="",0,IF($AA61&gt;0,$AB61*SUMIF(⑳商品別1食労務費!$C$5:$C$124,$T61,⑳商品別1食労務費!$F$5:$F$124)/$AA61,$AB61/$X61))</f>
        <v/>
      </c>
      <c r="AG61" s="413">
        <f>IF($U61="",0,IF($AA61&gt;0,$AB61*SUMIF(⑳商品別1食労務費!$C$5:$C$124,$U61,⑳商品別1食労務費!$F$5:$F$124)/$AA61,$AB61/$X61))</f>
        <v/>
      </c>
      <c r="AH61" s="413">
        <f>IF($V61="",0,IF($AA61&gt;0,$AB61*SUMIF(⑳商品別1食労務費!$C$5:$C$124,$V61,⑳商品別1食労務費!$F$5:$F$124)/$AA61,$AB61/$X61))</f>
        <v/>
      </c>
      <c r="AI61" s="413">
        <f>IF($W61="",0,IF($AA61&gt;0,$AB61*SUMIF(⑳商品別1食労務費!$C$5:$C$124,$W61,⑳商品別1食労務費!$F$5:$F$124)/$AA61,$AB61/$X61))</f>
        <v/>
      </c>
    </row>
    <row r="62" ht="16" customHeight="1" s="438">
      <c r="A62" s="303" t="n"/>
      <c r="B62" s="303" t="n"/>
      <c r="C62" s="340" t="n"/>
      <c r="D62" s="339" t="n"/>
      <c r="E62" s="339" t="n"/>
      <c r="F62" s="557">
        <f>IF(OR(D62="",E62=""),"",(E62-D62)*1440)</f>
        <v/>
      </c>
      <c r="G62" s="303" t="n"/>
      <c r="H62" s="303" t="n"/>
      <c r="I62" s="303" t="n"/>
      <c r="J62" s="303" t="n"/>
      <c r="K62" s="303">
        <f>IF(AND(I62&gt;0,ISNUMBER(F62)),I62/(F62/60),"")</f>
        <v/>
      </c>
      <c r="L62" s="303">
        <f>IF(AND(J62&gt;0,ISNUMBER(F62)),J62/(F62/60),"")</f>
        <v/>
      </c>
      <c r="M62" s="303">
        <f>IF(OR(ISNUMBER(SEARCH("サニテーション",C62)),ISNUMBER(SEARCH("客注",C62)),ISNUMBER(SEARCH("切り替え",C62)),ISNUMBER(SEARCH("切替",C62)),NOT(ISNUMBER(H62))),"",IF(ISNUMBER(G62),G62/60*H62*④前提設定!$B$4,IF(AND(G62="",ISNUMBER(F62)),F62/60*H62*④前提設定!$B$4,"")))</f>
        <v/>
      </c>
      <c r="N62" s="303">
        <f>IF(AND(I62&gt;0,ISNUMBER(M62)),M62/I62,"")</f>
        <v/>
      </c>
      <c r="O62" s="303">
        <f>IF(AND(J62&gt;0,ISNUMBER(M62)),M62/J62,"")</f>
        <v/>
      </c>
      <c r="P62" s="303" t="n"/>
      <c r="Q62" s="303" t="n"/>
      <c r="R62" s="340" t="n"/>
      <c r="S62" s="340" t="n"/>
      <c r="T62" s="340" t="n"/>
      <c r="U62" s="340" t="n"/>
      <c r="V62" s="340" t="n"/>
      <c r="W62" s="340" t="n"/>
      <c r="X62">
        <f>COUNTA(R62:W62)</f>
        <v/>
      </c>
      <c r="Y62">
        <f>IF(AND($X62&gt;0,ISNUMBER($M62)),$M62/$X62,"")</f>
        <v/>
      </c>
      <c r="Z62">
        <f>IF($X62=0,"",IF(COUNTIF(⑳商品別1食労務費!$C$5:$C$124,$R62)+COUNTIF(⑳商品別1食労務費!$C$5:$C$124,$S62)+COUNTIF(⑳商品別1食労務費!$C$5:$C$124,$T62)+COUNTIF(⑳商品別1食労務費!$C$5:$C$124,$U62)+COUNTIF(⑳商品別1食労務費!$C$5:$C$124,$V62)+COUNTIF(⑳商品別1食労務費!$C$5:$C$124,$W62)=$X62,"OK","⑳に無い商品名"))</f>
        <v/>
      </c>
      <c r="AA62">
        <f>SUMIF(⑳商品別1食労務費!$C$5:$C$124,$R62,⑳商品別1食労務費!$F$5:$F$124)+SUMIF(⑳商品別1食労務費!$C$5:$C$124,$S62,⑳商品別1食労務費!$F$5:$F$124)+SUMIF(⑳商品別1食労務費!$C$5:$C$124,$T62,⑳商品別1食労務費!$F$5:$F$124)+SUMIF(⑳商品別1食労務費!$C$5:$C$124,$U62,⑳商品別1食労務費!$F$5:$F$124)+SUMIF(⑳商品別1食労務費!$C$5:$C$124,$V62,⑳商品別1食労務費!$F$5:$F$124)+SUMIF(⑳商品別1食労務費!$C$5:$C$124,$W62,⑳商品別1食労務費!$F$5:$F$124)</f>
        <v/>
      </c>
      <c r="AB62">
        <f>IF(ISNUMBER($M62),$M62,0)</f>
        <v/>
      </c>
      <c r="AD62" s="413">
        <f>IF($R62="",0,IF($AA62&gt;0,$AB62*SUMIF(⑳商品別1食労務費!$C$5:$C$124,$R62,⑳商品別1食労務費!$F$5:$F$124)/$AA62,$AB62/$X62))</f>
        <v/>
      </c>
      <c r="AE62" s="413">
        <f>IF($S62="",0,IF($AA62&gt;0,$AB62*SUMIF(⑳商品別1食労務費!$C$5:$C$124,$S62,⑳商品別1食労務費!$F$5:$F$124)/$AA62,$AB62/$X62))</f>
        <v/>
      </c>
      <c r="AF62" s="413">
        <f>IF($T62="",0,IF($AA62&gt;0,$AB62*SUMIF(⑳商品別1食労務費!$C$5:$C$124,$T62,⑳商品別1食労務費!$F$5:$F$124)/$AA62,$AB62/$X62))</f>
        <v/>
      </c>
      <c r="AG62" s="413">
        <f>IF($U62="",0,IF($AA62&gt;0,$AB62*SUMIF(⑳商品別1食労務費!$C$5:$C$124,$U62,⑳商品別1食労務費!$F$5:$F$124)/$AA62,$AB62/$X62))</f>
        <v/>
      </c>
      <c r="AH62" s="413">
        <f>IF($V62="",0,IF($AA62&gt;0,$AB62*SUMIF(⑳商品別1食労務費!$C$5:$C$124,$V62,⑳商品別1食労務費!$F$5:$F$124)/$AA62,$AB62/$X62))</f>
        <v/>
      </c>
      <c r="AI62" s="413">
        <f>IF($W62="",0,IF($AA62&gt;0,$AB62*SUMIF(⑳商品別1食労務費!$C$5:$C$124,$W62,⑳商品別1食労務費!$F$5:$F$124)/$AA62,$AB62/$X62))</f>
        <v/>
      </c>
    </row>
    <row r="63" ht="16" customHeight="1" s="438">
      <c r="A63" s="303" t="n"/>
      <c r="B63" s="303" t="n"/>
      <c r="C63" s="340" t="n"/>
      <c r="D63" s="339" t="n"/>
      <c r="E63" s="339" t="n"/>
      <c r="F63" s="557">
        <f>IF(OR(D63="",E63=""),"",(E63-D63)*1440)</f>
        <v/>
      </c>
      <c r="G63" s="303" t="n"/>
      <c r="H63" s="303" t="n"/>
      <c r="I63" s="303" t="n"/>
      <c r="J63" s="303" t="n"/>
      <c r="K63" s="303">
        <f>IF(AND(I63&gt;0,ISNUMBER(F63)),I63/(F63/60),"")</f>
        <v/>
      </c>
      <c r="L63" s="303">
        <f>IF(AND(J63&gt;0,ISNUMBER(F63)),J63/(F63/60),"")</f>
        <v/>
      </c>
      <c r="M63" s="303">
        <f>IF(OR(ISNUMBER(SEARCH("サニテーション",C63)),ISNUMBER(SEARCH("客注",C63)),ISNUMBER(SEARCH("切り替え",C63)),ISNUMBER(SEARCH("切替",C63)),NOT(ISNUMBER(H63))),"",IF(ISNUMBER(G63),G63/60*H63*④前提設定!$B$4,IF(AND(G63="",ISNUMBER(F63)),F63/60*H63*④前提設定!$B$4,"")))</f>
        <v/>
      </c>
      <c r="N63" s="303">
        <f>IF(AND(I63&gt;0,ISNUMBER(M63)),M63/I63,"")</f>
        <v/>
      </c>
      <c r="O63" s="303">
        <f>IF(AND(J63&gt;0,ISNUMBER(M63)),M63/J63,"")</f>
        <v/>
      </c>
      <c r="P63" s="303" t="n"/>
      <c r="Q63" s="303" t="n"/>
      <c r="R63" s="340" t="n"/>
      <c r="S63" s="340" t="n"/>
      <c r="T63" s="340" t="n"/>
      <c r="U63" s="340" t="n"/>
      <c r="V63" s="340" t="n"/>
      <c r="W63" s="340" t="n"/>
      <c r="X63">
        <f>COUNTA(R63:W63)</f>
        <v/>
      </c>
      <c r="Y63">
        <f>IF(AND($X63&gt;0,ISNUMBER($M63)),$M63/$X63,"")</f>
        <v/>
      </c>
      <c r="Z63">
        <f>IF($X63=0,"",IF(COUNTIF(⑳商品別1食労務費!$C$5:$C$124,$R63)+COUNTIF(⑳商品別1食労務費!$C$5:$C$124,$S63)+COUNTIF(⑳商品別1食労務費!$C$5:$C$124,$T63)+COUNTIF(⑳商品別1食労務費!$C$5:$C$124,$U63)+COUNTIF(⑳商品別1食労務費!$C$5:$C$124,$V63)+COUNTIF(⑳商品別1食労務費!$C$5:$C$124,$W63)=$X63,"OK","⑳に無い商品名"))</f>
        <v/>
      </c>
      <c r="AA63">
        <f>SUMIF(⑳商品別1食労務費!$C$5:$C$124,$R63,⑳商品別1食労務費!$F$5:$F$124)+SUMIF(⑳商品別1食労務費!$C$5:$C$124,$S63,⑳商品別1食労務費!$F$5:$F$124)+SUMIF(⑳商品別1食労務費!$C$5:$C$124,$T63,⑳商品別1食労務費!$F$5:$F$124)+SUMIF(⑳商品別1食労務費!$C$5:$C$124,$U63,⑳商品別1食労務費!$F$5:$F$124)+SUMIF(⑳商品別1食労務費!$C$5:$C$124,$V63,⑳商品別1食労務費!$F$5:$F$124)+SUMIF(⑳商品別1食労務費!$C$5:$C$124,$W63,⑳商品別1食労務費!$F$5:$F$124)</f>
        <v/>
      </c>
      <c r="AB63">
        <f>IF(ISNUMBER($M63),$M63,0)</f>
        <v/>
      </c>
      <c r="AD63" s="413">
        <f>IF($R63="",0,IF($AA63&gt;0,$AB63*SUMIF(⑳商品別1食労務費!$C$5:$C$124,$R63,⑳商品別1食労務費!$F$5:$F$124)/$AA63,$AB63/$X63))</f>
        <v/>
      </c>
      <c r="AE63" s="413">
        <f>IF($S63="",0,IF($AA63&gt;0,$AB63*SUMIF(⑳商品別1食労務費!$C$5:$C$124,$S63,⑳商品別1食労務費!$F$5:$F$124)/$AA63,$AB63/$X63))</f>
        <v/>
      </c>
      <c r="AF63" s="413">
        <f>IF($T63="",0,IF($AA63&gt;0,$AB63*SUMIF(⑳商品別1食労務費!$C$5:$C$124,$T63,⑳商品別1食労務費!$F$5:$F$124)/$AA63,$AB63/$X63))</f>
        <v/>
      </c>
      <c r="AG63" s="413">
        <f>IF($U63="",0,IF($AA63&gt;0,$AB63*SUMIF(⑳商品別1食労務費!$C$5:$C$124,$U63,⑳商品別1食労務費!$F$5:$F$124)/$AA63,$AB63/$X63))</f>
        <v/>
      </c>
      <c r="AH63" s="413">
        <f>IF($V63="",0,IF($AA63&gt;0,$AB63*SUMIF(⑳商品別1食労務費!$C$5:$C$124,$V63,⑳商品別1食労務費!$F$5:$F$124)/$AA63,$AB63/$X63))</f>
        <v/>
      </c>
      <c r="AI63" s="413">
        <f>IF($W63="",0,IF($AA63&gt;0,$AB63*SUMIF(⑳商品別1食労務費!$C$5:$C$124,$W63,⑳商品別1食労務費!$F$5:$F$124)/$AA63,$AB63/$X63))</f>
        <v/>
      </c>
    </row>
    <row r="64" ht="16" customHeight="1" s="438">
      <c r="A64" s="303" t="n"/>
      <c r="B64" s="303" t="n"/>
      <c r="C64" s="340" t="n"/>
      <c r="D64" s="339" t="n"/>
      <c r="E64" s="339" t="n"/>
      <c r="F64" s="557">
        <f>IF(OR(D64="",E64=""),"",(E64-D64)*1440)</f>
        <v/>
      </c>
      <c r="G64" s="303" t="n"/>
      <c r="H64" s="303" t="n"/>
      <c r="I64" s="303" t="n"/>
      <c r="J64" s="303" t="n"/>
      <c r="K64" s="303">
        <f>IF(AND(I64&gt;0,ISNUMBER(F64)),I64/(F64/60),"")</f>
        <v/>
      </c>
      <c r="L64" s="303">
        <f>IF(AND(J64&gt;0,ISNUMBER(F64)),J64/(F64/60),"")</f>
        <v/>
      </c>
      <c r="M64" s="303">
        <f>IF(OR(ISNUMBER(SEARCH("サニテーション",C64)),ISNUMBER(SEARCH("客注",C64)),ISNUMBER(SEARCH("切り替え",C64)),ISNUMBER(SEARCH("切替",C64)),NOT(ISNUMBER(H64))),"",IF(ISNUMBER(G64),G64/60*H64*④前提設定!$B$4,IF(AND(G64="",ISNUMBER(F64)),F64/60*H64*④前提設定!$B$4,"")))</f>
        <v/>
      </c>
      <c r="N64" s="303">
        <f>IF(AND(I64&gt;0,ISNUMBER(M64)),M64/I64,"")</f>
        <v/>
      </c>
      <c r="O64" s="303">
        <f>IF(AND(J64&gt;0,ISNUMBER(M64)),M64/J64,"")</f>
        <v/>
      </c>
      <c r="P64" s="303" t="n"/>
      <c r="Q64" s="303" t="n"/>
      <c r="R64" s="340" t="n"/>
      <c r="S64" s="340" t="n"/>
      <c r="T64" s="340" t="n"/>
      <c r="U64" s="340" t="n"/>
      <c r="V64" s="340" t="n"/>
      <c r="W64" s="340" t="n"/>
      <c r="X64">
        <f>COUNTA(R64:W64)</f>
        <v/>
      </c>
      <c r="Y64">
        <f>IF(AND($X64&gt;0,ISNUMBER($M64)),$M64/$X64,"")</f>
        <v/>
      </c>
      <c r="Z64">
        <f>IF($X64=0,"",IF(COUNTIF(⑳商品別1食労務費!$C$5:$C$124,$R64)+COUNTIF(⑳商品別1食労務費!$C$5:$C$124,$S64)+COUNTIF(⑳商品別1食労務費!$C$5:$C$124,$T64)+COUNTIF(⑳商品別1食労務費!$C$5:$C$124,$U64)+COUNTIF(⑳商品別1食労務費!$C$5:$C$124,$V64)+COUNTIF(⑳商品別1食労務費!$C$5:$C$124,$W64)=$X64,"OK","⑳に無い商品名"))</f>
        <v/>
      </c>
      <c r="AA64">
        <f>SUMIF(⑳商品別1食労務費!$C$5:$C$124,$R64,⑳商品別1食労務費!$F$5:$F$124)+SUMIF(⑳商品別1食労務費!$C$5:$C$124,$S64,⑳商品別1食労務費!$F$5:$F$124)+SUMIF(⑳商品別1食労務費!$C$5:$C$124,$T64,⑳商品別1食労務費!$F$5:$F$124)+SUMIF(⑳商品別1食労務費!$C$5:$C$124,$U64,⑳商品別1食労務費!$F$5:$F$124)+SUMIF(⑳商品別1食労務費!$C$5:$C$124,$V64,⑳商品別1食労務費!$F$5:$F$124)+SUMIF(⑳商品別1食労務費!$C$5:$C$124,$W64,⑳商品別1食労務費!$F$5:$F$124)</f>
        <v/>
      </c>
      <c r="AB64">
        <f>IF(ISNUMBER($M64),$M64,0)</f>
        <v/>
      </c>
      <c r="AD64" s="413">
        <f>IF($R64="",0,IF($AA64&gt;0,$AB64*SUMIF(⑳商品別1食労務費!$C$5:$C$124,$R64,⑳商品別1食労務費!$F$5:$F$124)/$AA64,$AB64/$X64))</f>
        <v/>
      </c>
      <c r="AE64" s="413">
        <f>IF($S64="",0,IF($AA64&gt;0,$AB64*SUMIF(⑳商品別1食労務費!$C$5:$C$124,$S64,⑳商品別1食労務費!$F$5:$F$124)/$AA64,$AB64/$X64))</f>
        <v/>
      </c>
      <c r="AF64" s="413">
        <f>IF($T64="",0,IF($AA64&gt;0,$AB64*SUMIF(⑳商品別1食労務費!$C$5:$C$124,$T64,⑳商品別1食労務費!$F$5:$F$124)/$AA64,$AB64/$X64))</f>
        <v/>
      </c>
      <c r="AG64" s="413">
        <f>IF($U64="",0,IF($AA64&gt;0,$AB64*SUMIF(⑳商品別1食労務費!$C$5:$C$124,$U64,⑳商品別1食労務費!$F$5:$F$124)/$AA64,$AB64/$X64))</f>
        <v/>
      </c>
      <c r="AH64" s="413">
        <f>IF($V64="",0,IF($AA64&gt;0,$AB64*SUMIF(⑳商品別1食労務費!$C$5:$C$124,$V64,⑳商品別1食労務費!$F$5:$F$124)/$AA64,$AB64/$X64))</f>
        <v/>
      </c>
      <c r="AI64" s="413">
        <f>IF($W64="",0,IF($AA64&gt;0,$AB64*SUMIF(⑳商品別1食労務費!$C$5:$C$124,$W64,⑳商品別1食労務費!$F$5:$F$124)/$AA64,$AB64/$X64))</f>
        <v/>
      </c>
    </row>
    <row r="65" ht="16" customHeight="1" s="438">
      <c r="A65" s="303" t="n"/>
      <c r="B65" s="303" t="n"/>
      <c r="C65" s="340" t="n"/>
      <c r="D65" s="339" t="n"/>
      <c r="E65" s="339" t="n"/>
      <c r="F65" s="557">
        <f>IF(OR(D65="",E65=""),"",(E65-D65)*1440)</f>
        <v/>
      </c>
      <c r="G65" s="303" t="n"/>
      <c r="H65" s="303" t="n"/>
      <c r="I65" s="303" t="n"/>
      <c r="J65" s="303" t="n"/>
      <c r="K65" s="303">
        <f>IF(AND(I65&gt;0,ISNUMBER(F65)),I65/(F65/60),"")</f>
        <v/>
      </c>
      <c r="L65" s="303">
        <f>IF(AND(J65&gt;0,ISNUMBER(F65)),J65/(F65/60),"")</f>
        <v/>
      </c>
      <c r="M65" s="303">
        <f>IF(OR(ISNUMBER(SEARCH("サニテーション",C65)),ISNUMBER(SEARCH("客注",C65)),ISNUMBER(SEARCH("切り替え",C65)),ISNUMBER(SEARCH("切替",C65)),NOT(ISNUMBER(H65))),"",IF(ISNUMBER(G65),G65/60*H65*④前提設定!$B$4,IF(AND(G65="",ISNUMBER(F65)),F65/60*H65*④前提設定!$B$4,"")))</f>
        <v/>
      </c>
      <c r="N65" s="303">
        <f>IF(AND(I65&gt;0,ISNUMBER(M65)),M65/I65,"")</f>
        <v/>
      </c>
      <c r="O65" s="303">
        <f>IF(AND(J65&gt;0,ISNUMBER(M65)),M65/J65,"")</f>
        <v/>
      </c>
      <c r="P65" s="303" t="n"/>
      <c r="Q65" s="303" t="n"/>
      <c r="R65" s="340" t="n"/>
      <c r="S65" s="340" t="n"/>
      <c r="T65" s="340" t="n"/>
      <c r="U65" s="340" t="n"/>
      <c r="V65" s="340" t="n"/>
      <c r="W65" s="340" t="n"/>
      <c r="X65">
        <f>COUNTA(R65:W65)</f>
        <v/>
      </c>
      <c r="Y65">
        <f>IF(AND($X65&gt;0,ISNUMBER($M65)),$M65/$X65,"")</f>
        <v/>
      </c>
      <c r="Z65">
        <f>IF($X65=0,"",IF(COUNTIF(⑳商品別1食労務費!$C$5:$C$124,$R65)+COUNTIF(⑳商品別1食労務費!$C$5:$C$124,$S65)+COUNTIF(⑳商品別1食労務費!$C$5:$C$124,$T65)+COUNTIF(⑳商品別1食労務費!$C$5:$C$124,$U65)+COUNTIF(⑳商品別1食労務費!$C$5:$C$124,$V65)+COUNTIF(⑳商品別1食労務費!$C$5:$C$124,$W65)=$X65,"OK","⑳に無い商品名"))</f>
        <v/>
      </c>
      <c r="AA65">
        <f>SUMIF(⑳商品別1食労務費!$C$5:$C$124,$R65,⑳商品別1食労務費!$F$5:$F$124)+SUMIF(⑳商品別1食労務費!$C$5:$C$124,$S65,⑳商品別1食労務費!$F$5:$F$124)+SUMIF(⑳商品別1食労務費!$C$5:$C$124,$T65,⑳商品別1食労務費!$F$5:$F$124)+SUMIF(⑳商品別1食労務費!$C$5:$C$124,$U65,⑳商品別1食労務費!$F$5:$F$124)+SUMIF(⑳商品別1食労務費!$C$5:$C$124,$V65,⑳商品別1食労務費!$F$5:$F$124)+SUMIF(⑳商品別1食労務費!$C$5:$C$124,$W65,⑳商品別1食労務費!$F$5:$F$124)</f>
        <v/>
      </c>
      <c r="AB65">
        <f>IF(ISNUMBER($M65),$M65,0)</f>
        <v/>
      </c>
      <c r="AD65" s="413">
        <f>IF($R65="",0,IF($AA65&gt;0,$AB65*SUMIF(⑳商品別1食労務費!$C$5:$C$124,$R65,⑳商品別1食労務費!$F$5:$F$124)/$AA65,$AB65/$X65))</f>
        <v/>
      </c>
      <c r="AE65" s="413">
        <f>IF($S65="",0,IF($AA65&gt;0,$AB65*SUMIF(⑳商品別1食労務費!$C$5:$C$124,$S65,⑳商品別1食労務費!$F$5:$F$124)/$AA65,$AB65/$X65))</f>
        <v/>
      </c>
      <c r="AF65" s="413">
        <f>IF($T65="",0,IF($AA65&gt;0,$AB65*SUMIF(⑳商品別1食労務費!$C$5:$C$124,$T65,⑳商品別1食労務費!$F$5:$F$124)/$AA65,$AB65/$X65))</f>
        <v/>
      </c>
      <c r="AG65" s="413">
        <f>IF($U65="",0,IF($AA65&gt;0,$AB65*SUMIF(⑳商品別1食労務費!$C$5:$C$124,$U65,⑳商品別1食労務費!$F$5:$F$124)/$AA65,$AB65/$X65))</f>
        <v/>
      </c>
      <c r="AH65" s="413">
        <f>IF($V65="",0,IF($AA65&gt;0,$AB65*SUMIF(⑳商品別1食労務費!$C$5:$C$124,$V65,⑳商品別1食労務費!$F$5:$F$124)/$AA65,$AB65/$X65))</f>
        <v/>
      </c>
      <c r="AI65" s="413">
        <f>IF($W65="",0,IF($AA65&gt;0,$AB65*SUMIF(⑳商品別1食労務費!$C$5:$C$124,$W65,⑳商品別1食労務費!$F$5:$F$124)/$AA65,$AB65/$X65))</f>
        <v/>
      </c>
    </row>
    <row r="66" ht="22" customHeight="1" s="438">
      <c r="A66" s="304" t="inlineStr">
        <is>
          <t>合計/平均</t>
        </is>
      </c>
      <c r="B66" s="304" t="n"/>
      <c r="C66" s="304" t="n"/>
      <c r="D66" s="339" t="n"/>
      <c r="E66" s="339" t="n"/>
      <c r="F66" s="557" t="n"/>
      <c r="G66" s="304" t="n"/>
      <c r="H66" s="304" t="n"/>
      <c r="I66" s="304">
        <f>SUM(I6:I65)</f>
        <v/>
      </c>
      <c r="J66" s="304">
        <f>SUM(J6:J65)</f>
        <v/>
      </c>
      <c r="K66" s="304">
        <f>IFERROR(AVERAGEIF(K6:K65,"&gt;0"),"-")</f>
        <v/>
      </c>
      <c r="L66" s="304">
        <f>IFERROR(AVERAGEIF(L6:L65,"&gt;0"),"-")</f>
        <v/>
      </c>
      <c r="M66" s="304">
        <f>SUM(M6:M65)</f>
        <v/>
      </c>
      <c r="N66" s="304">
        <f>IFERROR(AVERAGEIF(N6:N65,"&gt;0"),"-")</f>
        <v/>
      </c>
      <c r="O66" s="304">
        <f>IFERROR(AVERAGEIF(O6:O65,"&gt;0"),"-")</f>
        <v/>
      </c>
      <c r="P66" s="304" t="n"/>
      <c r="Q66" s="304" t="n"/>
    </row>
  </sheetData>
  <mergeCells count="9">
    <mergeCell ref="A4:B4"/>
    <mergeCell ref="P4:Q4"/>
    <mergeCell ref="I4:J4"/>
    <mergeCell ref="M4:O4"/>
    <mergeCell ref="A2:Q2"/>
    <mergeCell ref="K4:L4"/>
    <mergeCell ref="A1:Q1"/>
    <mergeCell ref="R4:S4"/>
    <mergeCell ref="D4:G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0"/>
  <sheetViews>
    <sheetView showGridLines="0" workbookViewId="0">
      <pane xSplit="2" ySplit="4" topLeftCell="C10" activePane="bottomRight" state="frozen"/>
      <selection pane="topRight" activeCell="A1" sqref="A1"/>
      <selection pane="bottomLeft" activeCell="A1" sqref="A1"/>
      <selection pane="bottomRight" activeCell="H25" sqref="H25"/>
    </sheetView>
  </sheetViews>
  <sheetFormatPr baseColWidth="8" defaultColWidth="26" defaultRowHeight="13"/>
  <cols>
    <col width="5" customWidth="1" style="456" min="1" max="1"/>
    <col width="12" customWidth="1" style="456" min="2" max="2"/>
    <col width="50.1796875" bestFit="1" customWidth="1" style="456" min="3" max="3"/>
    <col width="8" customWidth="1" style="456" min="4" max="5"/>
    <col width="9" customWidth="1" style="456" min="6" max="6"/>
    <col width="10" customWidth="1" style="456" min="7" max="8"/>
    <col width="12" customWidth="1" style="456" min="9" max="13"/>
    <col width="10" customWidth="1" style="456" min="14" max="16"/>
    <col width="14" customWidth="1" style="456" min="17" max="17"/>
    <col width="26" customWidth="1" style="456" min="18" max="18"/>
    <col width="26" customWidth="1" style="438" min="19" max="19"/>
    <col width="26" customWidth="1" style="456" min="20" max="20"/>
    <col width="26" customWidth="1" style="438" min="21" max="23"/>
    <col width="14" customWidth="1" style="438" min="24" max="28"/>
    <col width="26" customWidth="1" style="456" min="29" max="29"/>
    <col width="12" customWidth="1" style="438" min="30" max="35"/>
    <col width="26" customWidth="1" style="456" min="36" max="39"/>
    <col width="26" customWidth="1" style="456" min="40" max="16384"/>
  </cols>
  <sheetData>
    <row r="1" ht="26" customHeight="1" s="438">
      <c r="A1" s="496" t="inlineStr">
        <is>
          <t>⑭手動工程入力台帳　毎週更新　|　重量(kg)・個数(個)どちらに入力しても生産性・労務費が自動計算</t>
        </is>
      </c>
    </row>
    <row r="2" ht="18" customHeight="1" s="438">
      <c r="A2" s="491" t="inlineStr">
        <is>
          <t>● 黄色セル★ = 毎週入力　|　H列(kg)またはI列(個)のどちらかを入力 → J・K・L・M・N列が自動計算　|　★R列で中間品名を選ぶと、中間品JAN（S列）で⑱〜⑳に労務費がひもづきます</t>
        </is>
      </c>
    </row>
    <row r="3" ht="8" customHeight="1" s="438"/>
    <row r="4" ht="22" customHeight="1" s="438">
      <c r="A4" s="488" t="inlineStr">
        <is>
          <t>基本情報</t>
        </is>
      </c>
      <c r="C4" s="495" t="inlineStr">
        <is>
          <t>商品名★</t>
        </is>
      </c>
      <c r="D4" s="494" t="inlineStr">
        <is>
          <t>時間・作業</t>
        </is>
      </c>
      <c r="I4" s="489" t="inlineStr">
        <is>
          <t>生産量★（どちらかを入力）</t>
        </is>
      </c>
      <c r="K4" s="495" t="inlineStr">
        <is>
          <t>生産性（自動計算）</t>
        </is>
      </c>
      <c r="M4" s="490" t="inlineStr">
        <is>
          <t>労務費（自動計算）</t>
        </is>
      </c>
      <c r="P4" s="488" t="inlineStr">
        <is>
          <t>その他</t>
        </is>
      </c>
      <c r="R4" s="490" t="inlineStr">
        <is>
          <t>中間品ひもづけ</t>
        </is>
      </c>
    </row>
    <row r="5" ht="36" customHeight="1" s="438">
      <c r="A5" s="294" t="inlineStr">
        <is>
          <t>No.</t>
        </is>
      </c>
      <c r="B5" s="294" t="inlineStr">
        <is>
          <t>ライン</t>
        </is>
      </c>
      <c r="C5" s="306" t="inlineStr">
        <is>
          <t>商品名★</t>
        </is>
      </c>
      <c r="D5" s="296" t="inlineStr">
        <is>
          <t>開始★</t>
        </is>
      </c>
      <c r="E5" s="296" t="inlineStr">
        <is>
          <t>終了★</t>
        </is>
      </c>
      <c r="F5" s="554" t="inlineStr">
        <is>
          <t>稼働(分)</t>
        </is>
      </c>
      <c r="G5" s="298" t="inlineStr">
        <is>
          <t>実作業(分)★</t>
        </is>
      </c>
      <c r="H5" s="298" t="inlineStr">
        <is>
          <t>人数★</t>
        </is>
      </c>
      <c r="I5" s="307" t="inlineStr">
        <is>
          <t>重量(kg)★
kg入力欄</t>
        </is>
      </c>
      <c r="J5" s="307" t="inlineStr">
        <is>
          <t>個数(個)★
個入力欄</t>
        </is>
      </c>
      <c r="K5" s="558" t="inlineStr">
        <is>
          <t>生産性
(kg/h)</t>
        </is>
      </c>
      <c r="L5" s="309" t="inlineStr">
        <is>
          <t>生産性
(個/h)</t>
        </is>
      </c>
      <c r="M5" s="310" t="inlineStr">
        <is>
          <t>労務費(円)</t>
        </is>
      </c>
      <c r="N5" s="302" t="inlineStr">
        <is>
          <t>円/kg</t>
        </is>
      </c>
      <c r="O5" s="302" t="inlineStr">
        <is>
          <t>円/個</t>
        </is>
      </c>
      <c r="P5" s="294" t="inlineStr">
        <is>
          <t>区分</t>
        </is>
      </c>
      <c r="Q5" s="294" t="inlineStr">
        <is>
          <t>備考</t>
        </is>
      </c>
      <c r="R5" s="306" t="inlineStr">
        <is>
          <t>★商品名①</t>
        </is>
      </c>
      <c r="S5" s="306" t="inlineStr">
        <is>
          <t>★商品名②</t>
        </is>
      </c>
      <c r="T5" s="306" t="inlineStr">
        <is>
          <t>★商品名③</t>
        </is>
      </c>
      <c r="U5" s="306" t="inlineStr">
        <is>
          <t>★商品名④</t>
        </is>
      </c>
      <c r="V5" s="306" t="inlineStr">
        <is>
          <t>★商品名⑤</t>
        </is>
      </c>
      <c r="W5" s="306" t="inlineStr">
        <is>
          <t>★商品名⑥</t>
        </is>
      </c>
      <c r="X5" s="306" t="inlineStr">
        <is>
          <t>振り分け数
自動</t>
        </is>
      </c>
      <c r="Y5" s="306" t="inlineStr">
        <is>
          <t>1商品あたり
労務費(等分・参考)</t>
        </is>
      </c>
      <c r="Z5" s="306" t="inlineStr">
        <is>
          <t>ひもづけ確認</t>
        </is>
      </c>
      <c r="AA5" s="306" t="inlineStr">
        <is>
          <t>選んだ商品の
食数合計</t>
        </is>
      </c>
      <c r="AB5" s="306" t="inlineStr">
        <is>
          <t>労務費(数値)</t>
        </is>
      </c>
      <c r="AD5" s="306" t="inlineStr">
        <is>
          <t>配分額①
(自動)</t>
        </is>
      </c>
      <c r="AE5" s="306" t="inlineStr">
        <is>
          <t>配分額②
(自動)</t>
        </is>
      </c>
      <c r="AF5" s="306" t="inlineStr">
        <is>
          <t>配分額③
(自動)</t>
        </is>
      </c>
      <c r="AG5" s="306" t="inlineStr">
        <is>
          <t>配分額④
(自動)</t>
        </is>
      </c>
      <c r="AH5" s="306" t="inlineStr">
        <is>
          <t>配分額⑤
(自動)</t>
        </is>
      </c>
      <c r="AI5" s="306" t="inlineStr">
        <is>
          <t>配分額⑥
(自動)</t>
        </is>
      </c>
    </row>
    <row r="6" ht="16" customHeight="1" s="438">
      <c r="A6" s="303" t="n">
        <v>1</v>
      </c>
      <c r="B6" s="303" t="inlineStr">
        <is>
          <t>手動</t>
        </is>
      </c>
      <c r="C6" s="340" t="inlineStr">
        <is>
          <t>黒クランブル</t>
        </is>
      </c>
      <c r="D6" s="339" t="n">
        <v>0.04722222222222222</v>
      </c>
      <c r="E6" s="339" t="n">
        <v>0.05555555555555555</v>
      </c>
      <c r="F6" s="303">
        <f>IF(OR(D6="",E6=""),"",(E6-D6)*1440)</f>
        <v/>
      </c>
      <c r="G6" s="303" t="n">
        <v>12</v>
      </c>
      <c r="H6" s="303" t="n">
        <v>2</v>
      </c>
      <c r="I6" s="303" t="n"/>
      <c r="J6" s="303" t="n"/>
      <c r="K6" s="303">
        <f>IF(AND(I6&gt;0,ISNUMBER(F6)),I6/(F6/60),"")</f>
        <v/>
      </c>
      <c r="L6" s="303">
        <f>IF(AND(J6&gt;0,ISNUMBER(F6)),J6/(F6/60),"")</f>
        <v/>
      </c>
      <c r="M6" s="303">
        <f>IF(OR(ISNUMBER(SEARCH("サニテーション",C6)),ISNUMBER(SEARCH("客注",C6)),ISNUMBER(SEARCH("切り替え",C6)),ISNUMBER(SEARCH("切替",C6)),NOT(ISNUMBER(H6))),"",IF(ISNUMBER(G6),G6/60*H6*④前提設定!$B$4,IF(AND(G6="",ISNUMBER(F6)),F6/60*H6*④前提設定!$B$4,"")))</f>
        <v/>
      </c>
      <c r="N6" s="303">
        <f>IF(AND(I6&gt;0,ISNUMBER(M6)),M6/I6,"")</f>
        <v/>
      </c>
      <c r="O6" s="303">
        <f>IF(AND(J6&gt;0,ISNUMBER(M6)),M6/J6,"")</f>
        <v/>
      </c>
      <c r="P6" s="303" t="n"/>
      <c r="Q6" s="303" t="n"/>
      <c r="R6" s="340" t="inlineStr">
        <is>
          <t>Ｓ２層仕立てのチーズケーキ</t>
        </is>
      </c>
      <c r="S6" s="340" t="inlineStr">
        <is>
          <t>２層仕立てのチーズケーキ</t>
        </is>
      </c>
      <c r="T6" s="340" t="n"/>
      <c r="U6" s="340" t="n"/>
      <c r="V6" s="340" t="n"/>
      <c r="W6" s="340" t="n"/>
      <c r="X6">
        <f>COUNTA(R6:W6)</f>
        <v/>
      </c>
      <c r="Y6">
        <f>IF(AND($X6&gt;0,ISNUMBER($M6)),$M6/$X6,"")</f>
        <v/>
      </c>
      <c r="Z6">
        <f>IF($X6=0,"",IF(COUNTIF(⑳商品別1食労務費!$C$5:$C$124,$R6)+COUNTIF(⑳商品別1食労務費!$C$5:$C$124,$S6)+COUNTIF(⑳商品別1食労務費!$C$5:$C$124,$T6)+COUNTIF(⑳商品別1食労務費!$C$5:$C$124,$U6)+COUNTIF(⑳商品別1食労務費!$C$5:$C$124,$V6)+COUNTIF(⑳商品別1食労務費!$C$5:$C$124,$W6)=$X6,"OK","⑳に無い商品名"))</f>
        <v/>
      </c>
      <c r="AA6">
        <f>SUMIF(⑳商品別1食労務費!$C$5:$C$124,$R6,⑳商品別1食労務費!$F$5:$F$124)+SUMIF(⑳商品別1食労務費!$C$5:$C$124,$S6,⑳商品別1食労務費!$F$5:$F$124)+SUMIF(⑳商品別1食労務費!$C$5:$C$124,$T6,⑳商品別1食労務費!$F$5:$F$124)+SUMIF(⑳商品別1食労務費!$C$5:$C$124,$U6,⑳商品別1食労務費!$F$5:$F$124)+SUMIF(⑳商品別1食労務費!$C$5:$C$124,$V6,⑳商品別1食労務費!$F$5:$F$124)+SUMIF(⑳商品別1食労務費!$C$5:$C$124,$W6,⑳商品別1食労務費!$F$5:$F$124)</f>
        <v/>
      </c>
      <c r="AB6">
        <f>IF(ISNUMBER($M6),$M6,0)</f>
        <v/>
      </c>
      <c r="AD6" s="413">
        <f>IF($R6="",0,IF($AA6&gt;0,$AB6*SUMIF(⑳商品別1食労務費!$C$5:$C$124,$R6,⑳商品別1食労務費!$F$5:$F$124)/$AA6,$AB6/$X6))</f>
        <v/>
      </c>
      <c r="AE6" s="413">
        <f>IF($S6="",0,IF($AA6&gt;0,$AB6*SUMIF(⑳商品別1食労務費!$C$5:$C$124,$S6,⑳商品別1食労務費!$F$5:$F$124)/$AA6,$AB6/$X6))</f>
        <v/>
      </c>
      <c r="AF6" s="413">
        <f>IF($T6="",0,IF($AA6&gt;0,$AB6*SUMIF(⑳商品別1食労務費!$C$5:$C$124,$T6,⑳商品別1食労務費!$F$5:$F$124)/$AA6,$AB6/$X6))</f>
        <v/>
      </c>
      <c r="AG6" s="413">
        <f>IF($U6="",0,IF($AA6&gt;0,$AB6*SUMIF(⑳商品別1食労務費!$C$5:$C$124,$U6,⑳商品別1食労務費!$F$5:$F$124)/$AA6,$AB6/$X6))</f>
        <v/>
      </c>
      <c r="AH6" s="413">
        <f>IF($V6="",0,IF($AA6&gt;0,$AB6*SUMIF(⑳商品別1食労務費!$C$5:$C$124,$V6,⑳商品別1食労務費!$F$5:$F$124)/$AA6,$AB6/$X6))</f>
        <v/>
      </c>
      <c r="AI6" s="413">
        <f>IF($W6="",0,IF($AA6&gt;0,$AB6*SUMIF(⑳商品別1食労務費!$C$5:$C$124,$W6,⑳商品別1食労務費!$F$5:$F$124)/$AA6,$AB6/$X6))</f>
        <v/>
      </c>
    </row>
    <row r="7" ht="16" customHeight="1" s="438">
      <c r="A7" s="303" t="n">
        <v>2</v>
      </c>
      <c r="B7" s="303" t="inlineStr">
        <is>
          <t>手動</t>
        </is>
      </c>
      <c r="C7" s="340" t="inlineStr">
        <is>
          <t>抹茶わらび餅手動</t>
        </is>
      </c>
      <c r="D7" s="339" t="n">
        <v>0.03472222222222222</v>
      </c>
      <c r="E7" s="339" t="n">
        <v>0.0763888888888889</v>
      </c>
      <c r="F7" s="303">
        <f>IF(OR(D7="",E7=""),"",(E7-D7)*1440)</f>
        <v/>
      </c>
      <c r="G7" s="303" t="n">
        <v>60</v>
      </c>
      <c r="H7" s="303" t="n">
        <v>2</v>
      </c>
      <c r="I7" s="303" t="n"/>
      <c r="J7" s="303" t="n"/>
      <c r="K7" s="303">
        <f>IF(AND(I7&gt;0,ISNUMBER(F7)),I7/(F7/60),"")</f>
        <v/>
      </c>
      <c r="L7" s="303">
        <f>IF(AND(J7&gt;0,ISNUMBER(F7)),J7/(F7/60),"")</f>
        <v/>
      </c>
      <c r="M7" s="303">
        <f>IF(OR(ISNUMBER(SEARCH("サニテーション",C7)),ISNUMBER(SEARCH("客注",C7)),ISNUMBER(SEARCH("切り替え",C7)),ISNUMBER(SEARCH("切替",C7)),NOT(ISNUMBER(H7))),"",IF(ISNUMBER(G7),G7/60*H7*④前提設定!$B$4,IF(AND(G7="",ISNUMBER(F7)),F7/60*H7*④前提設定!$B$4,"")))</f>
        <v/>
      </c>
      <c r="N7" s="303">
        <f>IF(AND(I7&gt;0,ISNUMBER(M7)),M7/I7,"")</f>
        <v/>
      </c>
      <c r="O7" s="303">
        <f>IF(AND(J7&gt;0,ISNUMBER(M7)),M7/J7,"")</f>
        <v/>
      </c>
      <c r="P7" s="303" t="n"/>
      <c r="Q7" s="303" t="n"/>
      <c r="R7" s="340" t="inlineStr">
        <is>
          <t>お箸でつまんでわらび餅小</t>
        </is>
      </c>
      <c r="S7" s="340" t="inlineStr">
        <is>
          <t>Ｓお箸でつまんでわらび餅小</t>
        </is>
      </c>
      <c r="T7" s="340" t="n"/>
      <c r="U7" s="340" t="n"/>
      <c r="V7" s="340" t="n"/>
      <c r="W7" s="340" t="n"/>
      <c r="X7">
        <f>COUNTA(R7:W7)</f>
        <v/>
      </c>
      <c r="Y7">
        <f>IF(AND($X7&gt;0,ISNUMBER($M7)),$M7/$X7,"")</f>
        <v/>
      </c>
      <c r="Z7">
        <f>IF($X7=0,"",IF(COUNTIF(⑳商品別1食労務費!$C$5:$C$124,$R7)+COUNTIF(⑳商品別1食労務費!$C$5:$C$124,$S7)+COUNTIF(⑳商品別1食労務費!$C$5:$C$124,$T7)+COUNTIF(⑳商品別1食労務費!$C$5:$C$124,$U7)+COUNTIF(⑳商品別1食労務費!$C$5:$C$124,$V7)+COUNTIF(⑳商品別1食労務費!$C$5:$C$124,$W7)=$X7,"OK","⑳に無い商品名"))</f>
        <v/>
      </c>
      <c r="AA7">
        <f>SUMIF(⑳商品別1食労務費!$C$5:$C$124,$R7,⑳商品別1食労務費!$F$5:$F$124)+SUMIF(⑳商品別1食労務費!$C$5:$C$124,$S7,⑳商品別1食労務費!$F$5:$F$124)+SUMIF(⑳商品別1食労務費!$C$5:$C$124,$T7,⑳商品別1食労務費!$F$5:$F$124)+SUMIF(⑳商品別1食労務費!$C$5:$C$124,$U7,⑳商品別1食労務費!$F$5:$F$124)+SUMIF(⑳商品別1食労務費!$C$5:$C$124,$V7,⑳商品別1食労務費!$F$5:$F$124)+SUMIF(⑳商品別1食労務費!$C$5:$C$124,$W7,⑳商品別1食労務費!$F$5:$F$124)</f>
        <v/>
      </c>
      <c r="AB7">
        <f>IF(ISNUMBER($M7),$M7,0)</f>
        <v/>
      </c>
      <c r="AD7" s="413">
        <f>IF($R7="",0,IF($AA7&gt;0,$AB7*SUMIF(⑳商品別1食労務費!$C$5:$C$124,$R7,⑳商品別1食労務費!$F$5:$F$124)/$AA7,$AB7/$X7))</f>
        <v/>
      </c>
      <c r="AE7" s="413">
        <f>IF($S7="",0,IF($AA7&gt;0,$AB7*SUMIF(⑳商品別1食労務費!$C$5:$C$124,$S7,⑳商品別1食労務費!$F$5:$F$124)/$AA7,$AB7/$X7))</f>
        <v/>
      </c>
      <c r="AF7" s="413">
        <f>IF($T7="",0,IF($AA7&gt;0,$AB7*SUMIF(⑳商品別1食労務費!$C$5:$C$124,$T7,⑳商品別1食労務費!$F$5:$F$124)/$AA7,$AB7/$X7))</f>
        <v/>
      </c>
      <c r="AG7" s="413">
        <f>IF($U7="",0,IF($AA7&gt;0,$AB7*SUMIF(⑳商品別1食労務費!$C$5:$C$124,$U7,⑳商品別1食労務費!$F$5:$F$124)/$AA7,$AB7/$X7))</f>
        <v/>
      </c>
      <c r="AH7" s="413">
        <f>IF($V7="",0,IF($AA7&gt;0,$AB7*SUMIF(⑳商品別1食労務費!$C$5:$C$124,$V7,⑳商品別1食労務費!$F$5:$F$124)/$AA7,$AB7/$X7))</f>
        <v/>
      </c>
      <c r="AI7" s="413">
        <f>IF($W7="",0,IF($AA7&gt;0,$AB7*SUMIF(⑳商品別1食労務費!$C$5:$C$124,$W7,⑳商品別1食労務費!$F$5:$F$124)/$AA7,$AB7/$X7))</f>
        <v/>
      </c>
    </row>
    <row r="8" ht="16" customHeight="1" s="438">
      <c r="A8" s="303" t="n">
        <v>3</v>
      </c>
      <c r="B8" s="303" t="inlineStr">
        <is>
          <t>手動</t>
        </is>
      </c>
      <c r="C8" s="340" t="inlineStr">
        <is>
          <t>バナナロール生地</t>
        </is>
      </c>
      <c r="D8" s="339" t="n">
        <v>0.08333333333333333</v>
      </c>
      <c r="E8" s="339" t="n">
        <v>0.1631944444444444</v>
      </c>
      <c r="F8" s="303">
        <f>IF(OR(D8="",E8=""),"",(E8-D8)*1440)</f>
        <v/>
      </c>
      <c r="G8" s="303" t="n">
        <v>195</v>
      </c>
      <c r="H8" s="303" t="n">
        <v>2</v>
      </c>
      <c r="I8" s="303" t="n"/>
      <c r="J8" s="303" t="n"/>
      <c r="K8" s="303">
        <f>IF(AND(I8&gt;0,ISNUMBER(F8)),I8/(F8/60),"")</f>
        <v/>
      </c>
      <c r="L8" s="303">
        <f>IF(AND(J8&gt;0,ISNUMBER(F8)),J8/(F8/60),"")</f>
        <v/>
      </c>
      <c r="M8" s="303">
        <f>IF(OR(ISNUMBER(SEARCH("サニテーション",C8)),ISNUMBER(SEARCH("客注",C8)),ISNUMBER(SEARCH("切り替え",C8)),ISNUMBER(SEARCH("切替",C8)),NOT(ISNUMBER(H8))),"",IF(ISNUMBER(G8),G8/60*H8*④前提設定!$B$4,IF(AND(G8="",ISNUMBER(F8)),F8/60*H8*④前提設定!$B$4,"")))</f>
        <v/>
      </c>
      <c r="N8" s="303">
        <f>IF(AND(I8&gt;0,ISNUMBER(M8)),M8/I8,"")</f>
        <v/>
      </c>
      <c r="O8" s="303">
        <f>IF(AND(J8&gt;0,ISNUMBER(M8)),M8/J8,"")</f>
        <v/>
      </c>
      <c r="P8" s="303" t="n"/>
      <c r="Q8" s="303" t="n"/>
      <c r="R8" s="340" t="inlineStr">
        <is>
          <t>バナナのふんわりロール２</t>
        </is>
      </c>
      <c r="S8" s="340" t="inlineStr">
        <is>
          <t>Ｓバナナのふんわりロール２</t>
        </is>
      </c>
      <c r="T8" s="340" t="n"/>
      <c r="U8" s="340" t="n"/>
      <c r="V8" s="340" t="n"/>
      <c r="W8" s="340" t="n"/>
      <c r="X8">
        <f>COUNTA(R8:W8)</f>
        <v/>
      </c>
      <c r="Y8">
        <f>IF(AND($X8&gt;0,ISNUMBER($M8)),$M8/$X8,"")</f>
        <v/>
      </c>
      <c r="Z8">
        <f>IF($X8=0,"",IF(COUNTIF(⑳商品別1食労務費!$C$5:$C$124,$R8)+COUNTIF(⑳商品別1食労務費!$C$5:$C$124,$S8)+COUNTIF(⑳商品別1食労務費!$C$5:$C$124,$T8)+COUNTIF(⑳商品別1食労務費!$C$5:$C$124,$U8)+COUNTIF(⑳商品別1食労務費!$C$5:$C$124,$V8)+COUNTIF(⑳商品別1食労務費!$C$5:$C$124,$W8)=$X8,"OK","⑳に無い商品名"))</f>
        <v/>
      </c>
      <c r="AA8">
        <f>SUMIF(⑳商品別1食労務費!$C$5:$C$124,$R8,⑳商品別1食労務費!$F$5:$F$124)+SUMIF(⑳商品別1食労務費!$C$5:$C$124,$S8,⑳商品別1食労務費!$F$5:$F$124)+SUMIF(⑳商品別1食労務費!$C$5:$C$124,$T8,⑳商品別1食労務費!$F$5:$F$124)+SUMIF(⑳商品別1食労務費!$C$5:$C$124,$U8,⑳商品別1食労務費!$F$5:$F$124)+SUMIF(⑳商品別1食労務費!$C$5:$C$124,$V8,⑳商品別1食労務費!$F$5:$F$124)+SUMIF(⑳商品別1食労務費!$C$5:$C$124,$W8,⑳商品別1食労務費!$F$5:$F$124)</f>
        <v/>
      </c>
      <c r="AB8">
        <f>IF(ISNUMBER($M8),$M8,0)</f>
        <v/>
      </c>
      <c r="AD8" s="413">
        <f>IF($R8="",0,IF($AA8&gt;0,$AB8*SUMIF(⑳商品別1食労務費!$C$5:$C$124,$R8,⑳商品別1食労務費!$F$5:$F$124)/$AA8,$AB8/$X8))</f>
        <v/>
      </c>
      <c r="AE8" s="413">
        <f>IF($S8="",0,IF($AA8&gt;0,$AB8*SUMIF(⑳商品別1食労務費!$C$5:$C$124,$S8,⑳商品別1食労務費!$F$5:$F$124)/$AA8,$AB8/$X8))</f>
        <v/>
      </c>
      <c r="AF8" s="413">
        <f>IF($T8="",0,IF($AA8&gt;0,$AB8*SUMIF(⑳商品別1食労務費!$C$5:$C$124,$T8,⑳商品別1食労務費!$F$5:$F$124)/$AA8,$AB8/$X8))</f>
        <v/>
      </c>
      <c r="AG8" s="413">
        <f>IF($U8="",0,IF($AA8&gt;0,$AB8*SUMIF(⑳商品別1食労務費!$C$5:$C$124,$U8,⑳商品別1食労務費!$F$5:$F$124)/$AA8,$AB8/$X8))</f>
        <v/>
      </c>
      <c r="AH8" s="413">
        <f>IF($V8="",0,IF($AA8&gt;0,$AB8*SUMIF(⑳商品別1食労務費!$C$5:$C$124,$V8,⑳商品別1食労務費!$F$5:$F$124)/$AA8,$AB8/$X8))</f>
        <v/>
      </c>
      <c r="AI8" s="413">
        <f>IF($W8="",0,IF($AA8&gt;0,$AB8*SUMIF(⑳商品別1食労務費!$C$5:$C$124,$W8,⑳商品別1食労務費!$F$5:$F$124)/$AA8,$AB8/$X8))</f>
        <v/>
      </c>
    </row>
    <row r="9" ht="16" customHeight="1" s="438">
      <c r="A9" s="303" t="n">
        <v>4</v>
      </c>
      <c r="B9" s="303" t="inlineStr">
        <is>
          <t>手動</t>
        </is>
      </c>
      <c r="C9" s="340" t="inlineStr">
        <is>
          <t>バナナロール生地</t>
        </is>
      </c>
      <c r="D9" s="339" t="n"/>
      <c r="E9" s="339" t="n"/>
      <c r="F9" s="303">
        <f>IF(OR(D9="",E9=""),"",(E9-D9)*1440)</f>
        <v/>
      </c>
      <c r="G9" s="303" t="n"/>
      <c r="H9" s="303" t="n"/>
      <c r="I9" s="303" t="n"/>
      <c r="J9" s="303" t="n"/>
      <c r="K9" s="303">
        <f>IF(AND(I9&gt;0,ISNUMBER(F9)),I9/(F9/60),"")</f>
        <v/>
      </c>
      <c r="L9" s="303">
        <f>IF(AND(J9&gt;0,ISNUMBER(F9)),J9/(F9/60),"")</f>
        <v/>
      </c>
      <c r="M9" s="303">
        <f>IF(OR(ISNUMBER(SEARCH("サニテーション",C9)),ISNUMBER(SEARCH("客注",C9)),ISNUMBER(SEARCH("切り替え",C9)),ISNUMBER(SEARCH("切替",C9)),NOT(ISNUMBER(H9))),"",IF(ISNUMBER(G9),G9/60*H9*④前提設定!$B$4,IF(AND(G9="",ISNUMBER(F9)),F9/60*H9*④前提設定!$B$4,"")))</f>
        <v/>
      </c>
      <c r="N9" s="303">
        <f>IF(AND(I9&gt;0,ISNUMBER(M9)),M9/I9,"")</f>
        <v/>
      </c>
      <c r="O9" s="303">
        <f>IF(AND(J9&gt;0,ISNUMBER(M9)),M9/J9,"")</f>
        <v/>
      </c>
      <c r="P9" s="303" t="n"/>
      <c r="Q9" s="303" t="n"/>
      <c r="R9" s="340" t="inlineStr">
        <is>
          <t>バナナのふんわりロール２</t>
        </is>
      </c>
      <c r="S9" s="340" t="inlineStr">
        <is>
          <t>Ｓバナナのふんわりロール２</t>
        </is>
      </c>
      <c r="T9" s="340" t="n"/>
      <c r="U9" s="340" t="n"/>
      <c r="V9" s="340" t="n"/>
      <c r="W9" s="340" t="n"/>
      <c r="X9">
        <f>COUNTA(R9:W9)</f>
        <v/>
      </c>
      <c r="Y9">
        <f>IF(AND($X9&gt;0,ISNUMBER($M9)),$M9/$X9,"")</f>
        <v/>
      </c>
      <c r="Z9">
        <f>IF($X9=0,"",IF(COUNTIF(⑳商品別1食労務費!$C$5:$C$124,$R9)+COUNTIF(⑳商品別1食労務費!$C$5:$C$124,$S9)+COUNTIF(⑳商品別1食労務費!$C$5:$C$124,$T9)+COUNTIF(⑳商品別1食労務費!$C$5:$C$124,$U9)+COUNTIF(⑳商品別1食労務費!$C$5:$C$124,$V9)+COUNTIF(⑳商品別1食労務費!$C$5:$C$124,$W9)=$X9,"OK","⑳に無い商品名"))</f>
        <v/>
      </c>
      <c r="AA9">
        <f>SUMIF(⑳商品別1食労務費!$C$5:$C$124,$R9,⑳商品別1食労務費!$F$5:$F$124)+SUMIF(⑳商品別1食労務費!$C$5:$C$124,$S9,⑳商品別1食労務費!$F$5:$F$124)+SUMIF(⑳商品別1食労務費!$C$5:$C$124,$T9,⑳商品別1食労務費!$F$5:$F$124)+SUMIF(⑳商品別1食労務費!$C$5:$C$124,$U9,⑳商品別1食労務費!$F$5:$F$124)+SUMIF(⑳商品別1食労務費!$C$5:$C$124,$V9,⑳商品別1食労務費!$F$5:$F$124)+SUMIF(⑳商品別1食労務費!$C$5:$C$124,$W9,⑳商品別1食労務費!$F$5:$F$124)</f>
        <v/>
      </c>
      <c r="AB9">
        <f>IF(ISNUMBER($M9),$M9,0)</f>
        <v/>
      </c>
      <c r="AD9" s="413">
        <f>IF($R9="",0,IF($AA9&gt;0,$AB9*SUMIF(⑳商品別1食労務費!$C$5:$C$124,$R9,⑳商品別1食労務費!$F$5:$F$124)/$AA9,$AB9/$X9))</f>
        <v/>
      </c>
      <c r="AE9" s="413">
        <f>IF($S9="",0,IF($AA9&gt;0,$AB9*SUMIF(⑳商品別1食労務費!$C$5:$C$124,$S9,⑳商品別1食労務費!$F$5:$F$124)/$AA9,$AB9/$X9))</f>
        <v/>
      </c>
      <c r="AF9" s="413">
        <f>IF($T9="",0,IF($AA9&gt;0,$AB9*SUMIF(⑳商品別1食労務費!$C$5:$C$124,$T9,⑳商品別1食労務費!$F$5:$F$124)/$AA9,$AB9/$X9))</f>
        <v/>
      </c>
      <c r="AG9" s="413">
        <f>IF($U9="",0,IF($AA9&gt;0,$AB9*SUMIF(⑳商品別1食労務費!$C$5:$C$124,$U9,⑳商品別1食労務費!$F$5:$F$124)/$AA9,$AB9/$X9))</f>
        <v/>
      </c>
      <c r="AH9" s="413">
        <f>IF($V9="",0,IF($AA9&gt;0,$AB9*SUMIF(⑳商品別1食労務費!$C$5:$C$124,$V9,⑳商品別1食労務費!$F$5:$F$124)/$AA9,$AB9/$X9))</f>
        <v/>
      </c>
      <c r="AI9" s="413">
        <f>IF($W9="",0,IF($AA9&gt;0,$AB9*SUMIF(⑳商品別1食労務費!$C$5:$C$124,$W9,⑳商品別1食労務費!$F$5:$F$124)/$AA9,$AB9/$X9))</f>
        <v/>
      </c>
    </row>
    <row r="10" ht="16" customHeight="1" s="438">
      <c r="A10" s="303" t="n">
        <v>5</v>
      </c>
      <c r="B10" s="303" t="inlineStr">
        <is>
          <t>手動</t>
        </is>
      </c>
      <c r="C10" s="340" t="inlineStr">
        <is>
          <t>わらび餅</t>
        </is>
      </c>
      <c r="D10" s="339" t="n">
        <v>0.1041666666666667</v>
      </c>
      <c r="E10" s="339" t="n">
        <v>0.1840277777777778</v>
      </c>
      <c r="F10" s="303">
        <f>IF(OR(D10="",E10=""),"",(E10-D10)*1440)</f>
        <v/>
      </c>
      <c r="G10" s="303" t="n">
        <v>195</v>
      </c>
      <c r="H10" s="303" t="n">
        <v>2</v>
      </c>
      <c r="I10" s="303" t="n"/>
      <c r="J10" s="303" t="n"/>
      <c r="K10" s="303">
        <f>IF(AND(I10&gt;0,ISNUMBER(F10)),I10/(F10/60),"")</f>
        <v/>
      </c>
      <c r="L10" s="303">
        <f>IF(AND(J10&gt;0,ISNUMBER(F10)),J10/(F10/60),"")</f>
        <v/>
      </c>
      <c r="M10" s="303">
        <f>IF(OR(ISNUMBER(SEARCH("サニテーション",C10)),ISNUMBER(SEARCH("客注",C10)),ISNUMBER(SEARCH("切り替え",C10)),ISNUMBER(SEARCH("切替",C10)),NOT(ISNUMBER(H10))),"",IF(ISNUMBER(G10),G10/60*H10*④前提設定!$B$4,IF(AND(G10="",ISNUMBER(F10)),F10/60*H10*④前提設定!$B$4,"")))</f>
        <v/>
      </c>
      <c r="N10" s="303">
        <f>IF(AND(I10&gt;0,ISNUMBER(M10)),M10/I10,"")</f>
        <v/>
      </c>
      <c r="O10" s="303">
        <f>IF(AND(J10&gt;0,ISNUMBER(M10)),M10/J10,"")</f>
        <v/>
      </c>
      <c r="P10" s="303" t="n"/>
      <c r="Q10" s="303" t="n"/>
      <c r="R10" s="340" t="inlineStr">
        <is>
          <t>お箸でつまんでわらび餅小</t>
        </is>
      </c>
      <c r="S10" s="340" t="inlineStr">
        <is>
          <t>Ｓお箸でつまんでわらび餅小</t>
        </is>
      </c>
      <c r="T10" s="340" t="n"/>
      <c r="U10" s="340" t="n"/>
      <c r="V10" s="340" t="n"/>
      <c r="W10" s="340" t="n"/>
      <c r="X10">
        <f>COUNTA(R10:W10)</f>
        <v/>
      </c>
      <c r="Y10">
        <f>IF(AND($X10&gt;0,ISNUMBER($M10)),$M10/$X10,"")</f>
        <v/>
      </c>
      <c r="Z10">
        <f>IF($X10=0,"",IF(COUNTIF(⑳商品別1食労務費!$C$5:$C$124,$R10)+COUNTIF(⑳商品別1食労務費!$C$5:$C$124,$S10)+COUNTIF(⑳商品別1食労務費!$C$5:$C$124,$T10)+COUNTIF(⑳商品別1食労務費!$C$5:$C$124,$U10)+COUNTIF(⑳商品別1食労務費!$C$5:$C$124,$V10)+COUNTIF(⑳商品別1食労務費!$C$5:$C$124,$W10)=$X10,"OK","⑳に無い商品名"))</f>
        <v/>
      </c>
      <c r="AA10">
        <f>SUMIF(⑳商品別1食労務費!$C$5:$C$124,$R10,⑳商品別1食労務費!$F$5:$F$124)+SUMIF(⑳商品別1食労務費!$C$5:$C$124,$S10,⑳商品別1食労務費!$F$5:$F$124)+SUMIF(⑳商品別1食労務費!$C$5:$C$124,$T10,⑳商品別1食労務費!$F$5:$F$124)+SUMIF(⑳商品別1食労務費!$C$5:$C$124,$U10,⑳商品別1食労務費!$F$5:$F$124)+SUMIF(⑳商品別1食労務費!$C$5:$C$124,$V10,⑳商品別1食労務費!$F$5:$F$124)+SUMIF(⑳商品別1食労務費!$C$5:$C$124,$W10,⑳商品別1食労務費!$F$5:$F$124)</f>
        <v/>
      </c>
      <c r="AB10">
        <f>IF(ISNUMBER($M10),$M10,0)</f>
        <v/>
      </c>
      <c r="AD10" s="413">
        <f>IF($R10="",0,IF($AA10&gt;0,$AB10*SUMIF(⑳商品別1食労務費!$C$5:$C$124,$R10,⑳商品別1食労務費!$F$5:$F$124)/$AA10,$AB10/$X10))</f>
        <v/>
      </c>
      <c r="AE10" s="413">
        <f>IF($S10="",0,IF($AA10&gt;0,$AB10*SUMIF(⑳商品別1食労務費!$C$5:$C$124,$S10,⑳商品別1食労務費!$F$5:$F$124)/$AA10,$AB10/$X10))</f>
        <v/>
      </c>
      <c r="AF10" s="413">
        <f>IF($T10="",0,IF($AA10&gt;0,$AB10*SUMIF(⑳商品別1食労務費!$C$5:$C$124,$T10,⑳商品別1食労務費!$F$5:$F$124)/$AA10,$AB10/$X10))</f>
        <v/>
      </c>
      <c r="AG10" s="413">
        <f>IF($U10="",0,IF($AA10&gt;0,$AB10*SUMIF(⑳商品別1食労務費!$C$5:$C$124,$U10,⑳商品別1食労務費!$F$5:$F$124)/$AA10,$AB10/$X10))</f>
        <v/>
      </c>
      <c r="AH10" s="413">
        <f>IF($V10="",0,IF($AA10&gt;0,$AB10*SUMIF(⑳商品別1食労務費!$C$5:$C$124,$V10,⑳商品別1食労務費!$F$5:$F$124)/$AA10,$AB10/$X10))</f>
        <v/>
      </c>
      <c r="AI10" s="413">
        <f>IF($W10="",0,IF($AA10&gt;0,$AB10*SUMIF(⑳商品別1食労務費!$C$5:$C$124,$W10,⑳商品別1食労務費!$F$5:$F$124)/$AA10,$AB10/$X10))</f>
        <v/>
      </c>
    </row>
    <row r="11" ht="16" customHeight="1" s="438">
      <c r="A11" s="303" t="n">
        <v>6</v>
      </c>
      <c r="B11" s="303" t="inlineStr">
        <is>
          <t>手動</t>
        </is>
      </c>
      <c r="C11" s="340" t="inlineStr">
        <is>
          <t>まっしろミルクプリン</t>
        </is>
      </c>
      <c r="D11" s="339" t="n">
        <v>0.1666666666666667</v>
      </c>
      <c r="E11" s="339" t="n">
        <v>0.2708333333333333</v>
      </c>
      <c r="F11" s="303">
        <f>IF(OR(D11="",E11=""),"",(E11-D11)*1440)</f>
        <v/>
      </c>
      <c r="G11" s="303" t="n">
        <v>150</v>
      </c>
      <c r="H11" s="303" t="n">
        <v>2</v>
      </c>
      <c r="I11" s="303" t="n"/>
      <c r="J11" s="303" t="n"/>
      <c r="K11" s="303">
        <f>IF(AND(I11&gt;0,ISNUMBER(F11)),I11/(F11/60),"")</f>
        <v/>
      </c>
      <c r="L11" s="303">
        <f>IF(AND(J11&gt;0,ISNUMBER(F11)),J11/(F11/60),"")</f>
        <v/>
      </c>
      <c r="M11" s="303">
        <f>IF(OR(ISNUMBER(SEARCH("サニテーション",C11)),ISNUMBER(SEARCH("客注",C11)),ISNUMBER(SEARCH("切り替え",C11)),ISNUMBER(SEARCH("切替",C11)),NOT(ISNUMBER(H11))),"",IF(ISNUMBER(G11),G11/60*H11*④前提設定!$B$4,IF(AND(G11="",ISNUMBER(F11)),F11/60*H11*④前提設定!$B$4,"")))</f>
        <v/>
      </c>
      <c r="N11" s="303">
        <f>IF(AND(I11&gt;0,ISNUMBER(M11)),M11/I11,"")</f>
        <v/>
      </c>
      <c r="O11" s="303">
        <f>IF(AND(J11&gt;0,ISNUMBER(M11)),M11/J11,"")</f>
        <v/>
      </c>
      <c r="P11" s="303" t="n"/>
      <c r="Q11" s="303" t="n"/>
      <c r="R11" s="340" t="inlineStr">
        <is>
          <t>まっしろミルクプリン３</t>
        </is>
      </c>
      <c r="S11" s="340" t="inlineStr">
        <is>
          <t>Ｓまっしろミルクプリン小３</t>
        </is>
      </c>
      <c r="T11" s="340" t="n"/>
      <c r="U11" s="340" t="n"/>
      <c r="V11" s="340" t="n"/>
      <c r="W11" s="340" t="n"/>
      <c r="X11">
        <f>COUNTA(R11:W11)</f>
        <v/>
      </c>
      <c r="Y11">
        <f>IF(AND($X11&gt;0,ISNUMBER($M11)),$M11/$X11,"")</f>
        <v/>
      </c>
      <c r="Z11">
        <f>IF($X11=0,"",IF(COUNTIF(⑳商品別1食労務費!$C$5:$C$124,$R11)+COUNTIF(⑳商品別1食労務費!$C$5:$C$124,$S11)+COUNTIF(⑳商品別1食労務費!$C$5:$C$124,$T11)+COUNTIF(⑳商品別1食労務費!$C$5:$C$124,$U11)+COUNTIF(⑳商品別1食労務費!$C$5:$C$124,$V11)+COUNTIF(⑳商品別1食労務費!$C$5:$C$124,$W11)=$X11,"OK","⑳に無い商品名"))</f>
        <v/>
      </c>
      <c r="AA11">
        <f>SUMIF(⑳商品別1食労務費!$C$5:$C$124,$R11,⑳商品別1食労務費!$F$5:$F$124)+SUMIF(⑳商品別1食労務費!$C$5:$C$124,$S11,⑳商品別1食労務費!$F$5:$F$124)+SUMIF(⑳商品別1食労務費!$C$5:$C$124,$T11,⑳商品別1食労務費!$F$5:$F$124)+SUMIF(⑳商品別1食労務費!$C$5:$C$124,$U11,⑳商品別1食労務費!$F$5:$F$124)+SUMIF(⑳商品別1食労務費!$C$5:$C$124,$V11,⑳商品別1食労務費!$F$5:$F$124)+SUMIF(⑳商品別1食労務費!$C$5:$C$124,$W11,⑳商品別1食労務費!$F$5:$F$124)</f>
        <v/>
      </c>
      <c r="AB11">
        <f>IF(ISNUMBER($M11),$M11,0)</f>
        <v/>
      </c>
      <c r="AD11" s="413">
        <f>IF($R11="",0,IF($AA11&gt;0,$AB11*SUMIF(⑳商品別1食労務費!$C$5:$C$124,$R11,⑳商品別1食労務費!$F$5:$F$124)/$AA11,$AB11/$X11))</f>
        <v/>
      </c>
      <c r="AE11" s="413">
        <f>IF($S11="",0,IF($AA11&gt;0,$AB11*SUMIF(⑳商品別1食労務費!$C$5:$C$124,$S11,⑳商品別1食労務費!$F$5:$F$124)/$AA11,$AB11/$X11))</f>
        <v/>
      </c>
      <c r="AF11" s="413">
        <f>IF($T11="",0,IF($AA11&gt;0,$AB11*SUMIF(⑳商品別1食労務費!$C$5:$C$124,$T11,⑳商品別1食労務費!$F$5:$F$124)/$AA11,$AB11/$X11))</f>
        <v/>
      </c>
      <c r="AG11" s="413">
        <f>IF($U11="",0,IF($AA11&gt;0,$AB11*SUMIF(⑳商品別1食労務費!$C$5:$C$124,$U11,⑳商品別1食労務費!$F$5:$F$124)/$AA11,$AB11/$X11))</f>
        <v/>
      </c>
      <c r="AH11" s="413">
        <f>IF($V11="",0,IF($AA11&gt;0,$AB11*SUMIF(⑳商品別1食労務費!$C$5:$C$124,$V11,⑳商品別1食労務費!$F$5:$F$124)/$AA11,$AB11/$X11))</f>
        <v/>
      </c>
      <c r="AI11" s="413">
        <f>IF($W11="",0,IF($AA11&gt;0,$AB11*SUMIF(⑳商品別1食労務費!$C$5:$C$124,$W11,⑳商品別1食労務費!$F$5:$F$124)/$AA11,$AB11/$X11))</f>
        <v/>
      </c>
    </row>
    <row r="12" ht="16" customHeight="1" s="438">
      <c r="A12" s="303" t="n">
        <v>7</v>
      </c>
      <c r="B12" s="303" t="inlineStr">
        <is>
          <t>手動</t>
        </is>
      </c>
      <c r="C12" s="340" t="inlineStr">
        <is>
          <t>まっしろミルクプリン</t>
        </is>
      </c>
      <c r="D12" s="339" t="n"/>
      <c r="E12" s="339" t="n"/>
      <c r="F12" s="303">
        <f>IF(OR(D12="",E12=""),"",(E12-D12)*1440)</f>
        <v/>
      </c>
      <c r="G12" s="303" t="n"/>
      <c r="H12" s="303" t="n"/>
      <c r="I12" s="303" t="n"/>
      <c r="J12" s="303" t="n"/>
      <c r="K12" s="303">
        <f>IF(AND(I12&gt;0,ISNUMBER(F12)),I12/(F12/60),"")</f>
        <v/>
      </c>
      <c r="L12" s="303">
        <f>IF(AND(J12&gt;0,ISNUMBER(F12)),J12/(F12/60),"")</f>
        <v/>
      </c>
      <c r="M12" s="303">
        <f>IF(OR(ISNUMBER(SEARCH("サニテーション",C12)),ISNUMBER(SEARCH("客注",C12)),ISNUMBER(SEARCH("切り替え",C12)),ISNUMBER(SEARCH("切替",C12)),NOT(ISNUMBER(H12))),"",IF(ISNUMBER(G12),G12/60*H12*④前提設定!$B$4,IF(AND(G12="",ISNUMBER(F12)),F12/60*H12*④前提設定!$B$4,"")))</f>
        <v/>
      </c>
      <c r="N12" s="303">
        <f>IF(AND(I12&gt;0,ISNUMBER(M12)),M12/I12,"")</f>
        <v/>
      </c>
      <c r="O12" s="303">
        <f>IF(AND(J12&gt;0,ISNUMBER(M12)),M12/J12,"")</f>
        <v/>
      </c>
      <c r="P12" s="303" t="n"/>
      <c r="Q12" s="303" t="n"/>
      <c r="R12" s="340" t="inlineStr">
        <is>
          <t>まっしろミルクプリン３</t>
        </is>
      </c>
      <c r="S12" s="340" t="inlineStr">
        <is>
          <t>Ｓまっしろミルクプリン小３</t>
        </is>
      </c>
      <c r="T12" s="340" t="n"/>
      <c r="U12" s="340" t="n"/>
      <c r="V12" s="340" t="n"/>
      <c r="W12" s="340" t="n"/>
      <c r="X12">
        <f>COUNTA(R12:W12)</f>
        <v/>
      </c>
      <c r="Y12">
        <f>IF(AND($X12&gt;0,ISNUMBER($M12)),$M12/$X12,"")</f>
        <v/>
      </c>
      <c r="Z12">
        <f>IF($X12=0,"",IF(COUNTIF(⑳商品別1食労務費!$C$5:$C$124,$R12)+COUNTIF(⑳商品別1食労務費!$C$5:$C$124,$S12)+COUNTIF(⑳商品別1食労務費!$C$5:$C$124,$T12)+COUNTIF(⑳商品別1食労務費!$C$5:$C$124,$U12)+COUNTIF(⑳商品別1食労務費!$C$5:$C$124,$V12)+COUNTIF(⑳商品別1食労務費!$C$5:$C$124,$W12)=$X12,"OK","⑳に無い商品名"))</f>
        <v/>
      </c>
      <c r="AA12">
        <f>SUMIF(⑳商品別1食労務費!$C$5:$C$124,$R12,⑳商品別1食労務費!$F$5:$F$124)+SUMIF(⑳商品別1食労務費!$C$5:$C$124,$S12,⑳商品別1食労務費!$F$5:$F$124)+SUMIF(⑳商品別1食労務費!$C$5:$C$124,$T12,⑳商品別1食労務費!$F$5:$F$124)+SUMIF(⑳商品別1食労務費!$C$5:$C$124,$U12,⑳商品別1食労務費!$F$5:$F$124)+SUMIF(⑳商品別1食労務費!$C$5:$C$124,$V12,⑳商品別1食労務費!$F$5:$F$124)+SUMIF(⑳商品別1食労務費!$C$5:$C$124,$W12,⑳商品別1食労務費!$F$5:$F$124)</f>
        <v/>
      </c>
      <c r="AB12">
        <f>IF(ISNUMBER($M12),$M12,0)</f>
        <v/>
      </c>
      <c r="AD12" s="413">
        <f>IF($R12="",0,IF($AA12&gt;0,$AB12*SUMIF(⑳商品別1食労務費!$C$5:$C$124,$R12,⑳商品別1食労務費!$F$5:$F$124)/$AA12,$AB12/$X12))</f>
        <v/>
      </c>
      <c r="AE12" s="413">
        <f>IF($S12="",0,IF($AA12&gt;0,$AB12*SUMIF(⑳商品別1食労務費!$C$5:$C$124,$S12,⑳商品別1食労務費!$F$5:$F$124)/$AA12,$AB12/$X12))</f>
        <v/>
      </c>
      <c r="AF12" s="413">
        <f>IF($T12="",0,IF($AA12&gt;0,$AB12*SUMIF(⑳商品別1食労務費!$C$5:$C$124,$T12,⑳商品別1食労務費!$F$5:$F$124)/$AA12,$AB12/$X12))</f>
        <v/>
      </c>
      <c r="AG12" s="413">
        <f>IF($U12="",0,IF($AA12&gt;0,$AB12*SUMIF(⑳商品別1食労務費!$C$5:$C$124,$U12,⑳商品別1食労務費!$F$5:$F$124)/$AA12,$AB12/$X12))</f>
        <v/>
      </c>
      <c r="AH12" s="413">
        <f>IF($V12="",0,IF($AA12&gt;0,$AB12*SUMIF(⑳商品別1食労務費!$C$5:$C$124,$V12,⑳商品別1食労務費!$F$5:$F$124)/$AA12,$AB12/$X12))</f>
        <v/>
      </c>
      <c r="AI12" s="413">
        <f>IF($W12="",0,IF($AA12&gt;0,$AB12*SUMIF(⑳商品別1食労務費!$C$5:$C$124,$W12,⑳商品別1食労務費!$F$5:$F$124)/$AA12,$AB12/$X12))</f>
        <v/>
      </c>
    </row>
    <row r="13" ht="16" customHeight="1" s="438">
      <c r="A13" s="303" t="n">
        <v>8</v>
      </c>
      <c r="B13" s="303" t="inlineStr">
        <is>
          <t>プリン</t>
        </is>
      </c>
      <c r="C13" s="340" t="inlineStr">
        <is>
          <t>プリンロールケーキ（プリン）</t>
        </is>
      </c>
      <c r="D13" s="339" t="n"/>
      <c r="E13" s="339" t="n"/>
      <c r="F13" s="303">
        <f>IF(OR(D13="",E13=""),"",(E13-D13)*1440)</f>
        <v/>
      </c>
      <c r="G13" s="303" t="n">
        <v>12.4</v>
      </c>
      <c r="H13" s="303" t="n">
        <v>1</v>
      </c>
      <c r="I13" s="303" t="n"/>
      <c r="J13" s="303" t="n">
        <v>165</v>
      </c>
      <c r="K13" s="303">
        <f>IF(AND(I13&gt;0,ISNUMBER(F13)),I13/(F13/60),"")</f>
        <v/>
      </c>
      <c r="L13" s="303">
        <f>IF(AND(J13&gt;0,ISNUMBER(F13)),J13/(F13/60),"")</f>
        <v/>
      </c>
      <c r="M13" s="303">
        <f>IF(OR(ISNUMBER(SEARCH("サニテーション",C13)),ISNUMBER(SEARCH("客注",C13)),ISNUMBER(SEARCH("切り替え",C13)),ISNUMBER(SEARCH("切替",C13)),NOT(ISNUMBER(H13))),"",IF(ISNUMBER(G13),G13/60*H13*④前提設定!$B$4,IF(AND(G13="",ISNUMBER(F13)),F13/60*H13*④前提設定!$B$4,"")))</f>
        <v/>
      </c>
      <c r="N13" s="303">
        <f>IF(AND(I13&gt;0,ISNUMBER(M13)),M13/I13,"")</f>
        <v/>
      </c>
      <c r="O13" s="303">
        <f>IF(AND(J13&gt;0,ISNUMBER(M13)),M13/J13,"")</f>
        <v/>
      </c>
      <c r="P13" s="303" t="inlineStr">
        <is>
          <t>前回資料</t>
        </is>
      </c>
      <c r="Q13" s="303" t="inlineStr">
        <is>
          <t>前回資料「益子生産性最新」から展開</t>
        </is>
      </c>
      <c r="R13" s="340" t="inlineStr">
        <is>
          <t>プリン！？なロールケーキ</t>
        </is>
      </c>
      <c r="S13" s="340" t="n"/>
      <c r="T13" s="340" t="n"/>
      <c r="U13" s="340" t="n"/>
      <c r="V13" s="340" t="n"/>
      <c r="W13" s="340" t="n"/>
      <c r="X13">
        <f>COUNTA(R13:W13)</f>
        <v/>
      </c>
      <c r="Y13">
        <f>IF(AND($X13&gt;0,ISNUMBER($M13)),$M13/$X13,"")</f>
        <v/>
      </c>
      <c r="Z13">
        <f>IF($X13=0,"",IF(COUNTIF(⑳商品別1食労務費!$C$5:$C$124,$R13)+COUNTIF(⑳商品別1食労務費!$C$5:$C$124,$S13)+COUNTIF(⑳商品別1食労務費!$C$5:$C$124,$T13)+COUNTIF(⑳商品別1食労務費!$C$5:$C$124,$U13)+COUNTIF(⑳商品別1食労務費!$C$5:$C$124,$V13)+COUNTIF(⑳商品別1食労務費!$C$5:$C$124,$W13)=$X13,"OK","⑳に無い商品名"))</f>
        <v/>
      </c>
      <c r="AA13">
        <f>SUMIF(⑳商品別1食労務費!$C$5:$C$124,$R13,⑳商品別1食労務費!$F$5:$F$124)+SUMIF(⑳商品別1食労務費!$C$5:$C$124,$S13,⑳商品別1食労務費!$F$5:$F$124)+SUMIF(⑳商品別1食労務費!$C$5:$C$124,$T13,⑳商品別1食労務費!$F$5:$F$124)+SUMIF(⑳商品別1食労務費!$C$5:$C$124,$U13,⑳商品別1食労務費!$F$5:$F$124)+SUMIF(⑳商品別1食労務費!$C$5:$C$124,$V13,⑳商品別1食労務費!$F$5:$F$124)+SUMIF(⑳商品別1食労務費!$C$5:$C$124,$W13,⑳商品別1食労務費!$F$5:$F$124)</f>
        <v/>
      </c>
      <c r="AB13">
        <f>IF(ISNUMBER($M13),$M13,0)</f>
        <v/>
      </c>
      <c r="AD13" s="413">
        <f>IF($R13="",0,IF($AA13&gt;0,$AB13*SUMIF(⑳商品別1食労務費!$C$5:$C$124,$R13,⑳商品別1食労務費!$F$5:$F$124)/$AA13,$AB13/$X13))</f>
        <v/>
      </c>
      <c r="AE13" s="413">
        <f>IF($S13="",0,IF($AA13&gt;0,$AB13*SUMIF(⑳商品別1食労務費!$C$5:$C$124,$S13,⑳商品別1食労務費!$F$5:$F$124)/$AA13,$AB13/$X13))</f>
        <v/>
      </c>
      <c r="AF13" s="413">
        <f>IF($T13="",0,IF($AA13&gt;0,$AB13*SUMIF(⑳商品別1食労務費!$C$5:$C$124,$T13,⑳商品別1食労務費!$F$5:$F$124)/$AA13,$AB13/$X13))</f>
        <v/>
      </c>
      <c r="AG13" s="413">
        <f>IF($U13="",0,IF($AA13&gt;0,$AB13*SUMIF(⑳商品別1食労務費!$C$5:$C$124,$U13,⑳商品別1食労務費!$F$5:$F$124)/$AA13,$AB13/$X13))</f>
        <v/>
      </c>
      <c r="AH13" s="413">
        <f>IF($V13="",0,IF($AA13&gt;0,$AB13*SUMIF(⑳商品別1食労務費!$C$5:$C$124,$V13,⑳商品別1食労務費!$F$5:$F$124)/$AA13,$AB13/$X13))</f>
        <v/>
      </c>
      <c r="AI13" s="413">
        <f>IF($W13="",0,IF($AA13&gt;0,$AB13*SUMIF(⑳商品別1食労務費!$C$5:$C$124,$W13,⑳商品別1食労務費!$F$5:$F$124)/$AA13,$AB13/$X13))</f>
        <v/>
      </c>
    </row>
    <row r="14" ht="16" customHeight="1" s="438">
      <c r="A14" s="303" t="n">
        <v>9</v>
      </c>
      <c r="B14" s="303" t="inlineStr">
        <is>
          <t>太巻き細巻きカット</t>
        </is>
      </c>
      <c r="C14" s="340" t="inlineStr">
        <is>
          <t>プリンロールケーキ（太巻き細巻きカット）</t>
        </is>
      </c>
      <c r="D14" s="339" t="n"/>
      <c r="E14" s="339" t="n"/>
      <c r="F14" s="303">
        <f>IF(OR(D14="",E14=""),"",(E14-D14)*1440)</f>
        <v/>
      </c>
      <c r="G14" s="303" t="n">
        <v>3.1</v>
      </c>
      <c r="H14" s="303" t="n">
        <v>2</v>
      </c>
      <c r="I14" s="303" t="n"/>
      <c r="J14" s="303" t="n">
        <v>165</v>
      </c>
      <c r="K14" s="303">
        <f>IF(AND(I14&gt;0,ISNUMBER(F14)),I14/(F14/60),"")</f>
        <v/>
      </c>
      <c r="L14" s="303">
        <f>IF(AND(J14&gt;0,ISNUMBER(F14)),J14/(F14/60),"")</f>
        <v/>
      </c>
      <c r="M14" s="303">
        <f>IF(OR(ISNUMBER(SEARCH("サニテーション",C14)),ISNUMBER(SEARCH("客注",C14)),ISNUMBER(SEARCH("切り替え",C14)),ISNUMBER(SEARCH("切替",C14)),NOT(ISNUMBER(H14))),"",IF(ISNUMBER(G14),G14/60*H14*④前提設定!$B$4,IF(AND(G14="",ISNUMBER(F14)),F14/60*H14*④前提設定!$B$4,"")))</f>
        <v/>
      </c>
      <c r="N14" s="303">
        <f>IF(AND(I14&gt;0,ISNUMBER(M14)),M14/I14,"")</f>
        <v/>
      </c>
      <c r="O14" s="303">
        <f>IF(AND(J14&gt;0,ISNUMBER(M14)),M14/J14,"")</f>
        <v/>
      </c>
      <c r="P14" s="303" t="inlineStr">
        <is>
          <t>前回資料</t>
        </is>
      </c>
      <c r="Q14" s="303" t="inlineStr">
        <is>
          <t>前回資料「益子生産性最新」から展開</t>
        </is>
      </c>
      <c r="R14" s="340" t="inlineStr">
        <is>
          <t>プリン！？なロールケーキ</t>
        </is>
      </c>
      <c r="S14" s="340" t="n"/>
      <c r="T14" s="340" t="n"/>
      <c r="U14" s="340" t="n"/>
      <c r="V14" s="340" t="n"/>
      <c r="W14" s="340" t="n"/>
      <c r="X14">
        <f>COUNTA(R14:W14)</f>
        <v/>
      </c>
      <c r="Y14">
        <f>IF(AND($X14&gt;0,ISNUMBER($M14)),$M14/$X14,"")</f>
        <v/>
      </c>
      <c r="Z14">
        <f>IF($X14=0,"",IF(COUNTIF(⑳商品別1食労務費!$C$5:$C$124,$R14)+COUNTIF(⑳商品別1食労務費!$C$5:$C$124,$S14)+COUNTIF(⑳商品別1食労務費!$C$5:$C$124,$T14)+COUNTIF(⑳商品別1食労務費!$C$5:$C$124,$U14)+COUNTIF(⑳商品別1食労務費!$C$5:$C$124,$V14)+COUNTIF(⑳商品別1食労務費!$C$5:$C$124,$W14)=$X14,"OK","⑳に無い商品名"))</f>
        <v/>
      </c>
      <c r="AA14">
        <f>SUMIF(⑳商品別1食労務費!$C$5:$C$124,$R14,⑳商品別1食労務費!$F$5:$F$124)+SUMIF(⑳商品別1食労務費!$C$5:$C$124,$S14,⑳商品別1食労務費!$F$5:$F$124)+SUMIF(⑳商品別1食労務費!$C$5:$C$124,$T14,⑳商品別1食労務費!$F$5:$F$124)+SUMIF(⑳商品別1食労務費!$C$5:$C$124,$U14,⑳商品別1食労務費!$F$5:$F$124)+SUMIF(⑳商品別1食労務費!$C$5:$C$124,$V14,⑳商品別1食労務費!$F$5:$F$124)+SUMIF(⑳商品別1食労務費!$C$5:$C$124,$W14,⑳商品別1食労務費!$F$5:$F$124)</f>
        <v/>
      </c>
      <c r="AB14">
        <f>IF(ISNUMBER($M14),$M14,0)</f>
        <v/>
      </c>
      <c r="AD14" s="413">
        <f>IF($R14="",0,IF($AA14&gt;0,$AB14*SUMIF(⑳商品別1食労務費!$C$5:$C$124,$R14,⑳商品別1食労務費!$F$5:$F$124)/$AA14,$AB14/$X14))</f>
        <v/>
      </c>
      <c r="AE14" s="413">
        <f>IF($S14="",0,IF($AA14&gt;0,$AB14*SUMIF(⑳商品別1食労務費!$C$5:$C$124,$S14,⑳商品別1食労務費!$F$5:$F$124)/$AA14,$AB14/$X14))</f>
        <v/>
      </c>
      <c r="AF14" s="413">
        <f>IF($T14="",0,IF($AA14&gt;0,$AB14*SUMIF(⑳商品別1食労務費!$C$5:$C$124,$T14,⑳商品別1食労務費!$F$5:$F$124)/$AA14,$AB14/$X14))</f>
        <v/>
      </c>
      <c r="AG14" s="413">
        <f>IF($U14="",0,IF($AA14&gt;0,$AB14*SUMIF(⑳商品別1食労務費!$C$5:$C$124,$U14,⑳商品別1食労務費!$F$5:$F$124)/$AA14,$AB14/$X14))</f>
        <v/>
      </c>
      <c r="AH14" s="413">
        <f>IF($V14="",0,IF($AA14&gt;0,$AB14*SUMIF(⑳商品別1食労務費!$C$5:$C$124,$V14,⑳商品別1食労務費!$F$5:$F$124)/$AA14,$AB14/$X14))</f>
        <v/>
      </c>
      <c r="AI14" s="413">
        <f>IF($W14="",0,IF($AA14&gt;0,$AB14*SUMIF(⑳商品別1食労務費!$C$5:$C$124,$W14,⑳商品別1食労務費!$F$5:$F$124)/$AA14,$AB14/$X14))</f>
        <v/>
      </c>
    </row>
    <row r="15" ht="16" customHeight="1" s="438">
      <c r="A15" s="303" t="n">
        <v>10</v>
      </c>
      <c r="B15" s="303" t="inlineStr">
        <is>
          <t>製菓①</t>
        </is>
      </c>
      <c r="C15" s="340" t="n"/>
      <c r="D15" s="339" t="n"/>
      <c r="E15" s="339" t="n"/>
      <c r="F15" s="303">
        <f>IF(OR(D15="",E15=""),"",(E15-D15)*1440)</f>
        <v/>
      </c>
      <c r="G15" s="303" t="n"/>
      <c r="H15" s="303" t="n"/>
      <c r="I15" s="303" t="n"/>
      <c r="J15" s="303" t="n"/>
      <c r="K15" s="303">
        <f>IF(AND(I15&gt;0,ISNUMBER(F15)),I15/(F15/60),"")</f>
        <v/>
      </c>
      <c r="L15" s="303">
        <f>IF(AND(J15&gt;0,ISNUMBER(F15)),J15/(F15/60),"")</f>
        <v/>
      </c>
      <c r="M15" s="303">
        <f>IF(OR(ISNUMBER(SEARCH("サニテーション",C15)),ISNUMBER(SEARCH("客注",C15)),ISNUMBER(SEARCH("切り替え",C15)),ISNUMBER(SEARCH("切替",C15)),NOT(ISNUMBER(H15))),"",IF(ISNUMBER(G15),G15/60*H15*④前提設定!$B$4,IF(AND(G15="",ISNUMBER(F15)),F15/60*H15*④前提設定!$B$4,"")))</f>
        <v/>
      </c>
      <c r="N15" s="303">
        <f>IF(AND(I15&gt;0,ISNUMBER(M15)),M15/I15,"")</f>
        <v/>
      </c>
      <c r="O15" s="303">
        <f>IF(AND(J15&gt;0,ISNUMBER(M15)),M15/J15,"")</f>
        <v/>
      </c>
      <c r="P15" s="303" t="n"/>
      <c r="Q15" s="303" t="n"/>
      <c r="R15" s="340" t="n"/>
      <c r="S15" s="340" t="n"/>
      <c r="T15" s="340" t="n"/>
      <c r="U15" s="340" t="n"/>
      <c r="V15" s="340" t="n"/>
      <c r="W15" s="340" t="n"/>
      <c r="X15">
        <f>COUNTA(R15:W15)</f>
        <v/>
      </c>
      <c r="Y15">
        <f>IF(AND($X15&gt;0,ISNUMBER($M15)),$M15/$X15,"")</f>
        <v/>
      </c>
      <c r="Z15">
        <f>IF($X15=0,"",IF(COUNTIF(⑳商品別1食労務費!$C$5:$C$124,$R15)+COUNTIF(⑳商品別1食労務費!$C$5:$C$124,$S15)+COUNTIF(⑳商品別1食労務費!$C$5:$C$124,$T15)+COUNTIF(⑳商品別1食労務費!$C$5:$C$124,$U15)+COUNTIF(⑳商品別1食労務費!$C$5:$C$124,$V15)+COUNTIF(⑳商品別1食労務費!$C$5:$C$124,$W15)=$X15,"OK","⑳に無い商品名"))</f>
        <v/>
      </c>
      <c r="AA15">
        <f>SUMIF(⑳商品別1食労務費!$C$5:$C$124,$R15,⑳商品別1食労務費!$F$5:$F$124)+SUMIF(⑳商品別1食労務費!$C$5:$C$124,$S15,⑳商品別1食労務費!$F$5:$F$124)+SUMIF(⑳商品別1食労務費!$C$5:$C$124,$T15,⑳商品別1食労務費!$F$5:$F$124)+SUMIF(⑳商品別1食労務費!$C$5:$C$124,$U15,⑳商品別1食労務費!$F$5:$F$124)+SUMIF(⑳商品別1食労務費!$C$5:$C$124,$V15,⑳商品別1食労務費!$F$5:$F$124)+SUMIF(⑳商品別1食労務費!$C$5:$C$124,$W15,⑳商品別1食労務費!$F$5:$F$124)</f>
        <v/>
      </c>
      <c r="AB15">
        <f>IF(ISNUMBER($M15),$M15,0)</f>
        <v/>
      </c>
      <c r="AD15" s="413">
        <f>IF($R15="",0,IF($AA15&gt;0,$AB15*SUMIF(⑳商品別1食労務費!$C$5:$C$124,$R15,⑳商品別1食労務費!$F$5:$F$124)/$AA15,$AB15/$X15))</f>
        <v/>
      </c>
      <c r="AE15" s="413">
        <f>IF($S15="",0,IF($AA15&gt;0,$AB15*SUMIF(⑳商品別1食労務費!$C$5:$C$124,$S15,⑳商品別1食労務費!$F$5:$F$124)/$AA15,$AB15/$X15))</f>
        <v/>
      </c>
      <c r="AF15" s="413">
        <f>IF($T15="",0,IF($AA15&gt;0,$AB15*SUMIF(⑳商品別1食労務費!$C$5:$C$124,$T15,⑳商品別1食労務費!$F$5:$F$124)/$AA15,$AB15/$X15))</f>
        <v/>
      </c>
      <c r="AG15" s="413">
        <f>IF($U15="",0,IF($AA15&gt;0,$AB15*SUMIF(⑳商品別1食労務費!$C$5:$C$124,$U15,⑳商品別1食労務費!$F$5:$F$124)/$AA15,$AB15/$X15))</f>
        <v/>
      </c>
      <c r="AH15" s="413">
        <f>IF($V15="",0,IF($AA15&gt;0,$AB15*SUMIF(⑳商品別1食労務費!$C$5:$C$124,$V15,⑳商品別1食労務費!$F$5:$F$124)/$AA15,$AB15/$X15))</f>
        <v/>
      </c>
      <c r="AI15" s="413">
        <f>IF($W15="",0,IF($AA15&gt;0,$AB15*SUMIF(⑳商品別1食労務費!$C$5:$C$124,$W15,⑳商品別1食労務費!$F$5:$F$124)/$AA15,$AB15/$X15))</f>
        <v/>
      </c>
    </row>
    <row r="16" ht="16" customHeight="1" s="438">
      <c r="A16" s="303" t="n">
        <v>11</v>
      </c>
      <c r="B16" s="303" t="inlineStr">
        <is>
          <t>製菓②</t>
        </is>
      </c>
      <c r="C16" s="340" t="n"/>
      <c r="D16" s="339" t="n"/>
      <c r="E16" s="339" t="n"/>
      <c r="F16" s="303">
        <f>IF(OR(D16="",E16=""),"",(E16-D16)*1440)</f>
        <v/>
      </c>
      <c r="G16" s="303" t="n"/>
      <c r="H16" s="303" t="n"/>
      <c r="I16" s="303" t="n"/>
      <c r="J16" s="303" t="n"/>
      <c r="K16" s="303">
        <f>IF(AND(I16&gt;0,ISNUMBER(F16)),I16/(F16/60),"")</f>
        <v/>
      </c>
      <c r="L16" s="303">
        <f>IF(AND(J16&gt;0,ISNUMBER(F16)),J16/(F16/60),"")</f>
        <v/>
      </c>
      <c r="M16" s="303">
        <f>IF(OR(ISNUMBER(SEARCH("サニテーション",C16)),ISNUMBER(SEARCH("客注",C16)),ISNUMBER(SEARCH("切り替え",C16)),ISNUMBER(SEARCH("切替",C16)),NOT(ISNUMBER(H16))),"",IF(ISNUMBER(G16),G16/60*H16*④前提設定!$B$4,IF(AND(G16="",ISNUMBER(F16)),F16/60*H16*④前提設定!$B$4,"")))</f>
        <v/>
      </c>
      <c r="N16" s="303">
        <f>IF(AND(I16&gt;0,ISNUMBER(M16)),M16/I16,"")</f>
        <v/>
      </c>
      <c r="O16" s="303">
        <f>IF(AND(J16&gt;0,ISNUMBER(M16)),M16/J16,"")</f>
        <v/>
      </c>
      <c r="P16" s="303" t="n"/>
      <c r="Q16" s="303" t="n"/>
      <c r="R16" s="340" t="n"/>
      <c r="S16" s="340" t="n"/>
      <c r="T16" s="340" t="n"/>
      <c r="U16" s="340" t="n"/>
      <c r="V16" s="340" t="n"/>
      <c r="W16" s="340" t="n"/>
      <c r="X16">
        <f>COUNTA(R16:W16)</f>
        <v/>
      </c>
      <c r="Y16">
        <f>IF(AND($X16&gt;0,ISNUMBER($M16)),$M16/$X16,"")</f>
        <v/>
      </c>
      <c r="Z16">
        <f>IF($X16=0,"",IF(COUNTIF(⑳商品別1食労務費!$C$5:$C$124,$R16)+COUNTIF(⑳商品別1食労務費!$C$5:$C$124,$S16)+COUNTIF(⑳商品別1食労務費!$C$5:$C$124,$T16)+COUNTIF(⑳商品別1食労務費!$C$5:$C$124,$U16)+COUNTIF(⑳商品別1食労務費!$C$5:$C$124,$V16)+COUNTIF(⑳商品別1食労務費!$C$5:$C$124,$W16)=$X16,"OK","⑳に無い商品名"))</f>
        <v/>
      </c>
      <c r="AA16">
        <f>SUMIF(⑳商品別1食労務費!$C$5:$C$124,$R16,⑳商品別1食労務費!$F$5:$F$124)+SUMIF(⑳商品別1食労務費!$C$5:$C$124,$S16,⑳商品別1食労務費!$F$5:$F$124)+SUMIF(⑳商品別1食労務費!$C$5:$C$124,$T16,⑳商品別1食労務費!$F$5:$F$124)+SUMIF(⑳商品別1食労務費!$C$5:$C$124,$U16,⑳商品別1食労務費!$F$5:$F$124)+SUMIF(⑳商品別1食労務費!$C$5:$C$124,$V16,⑳商品別1食労務費!$F$5:$F$124)+SUMIF(⑳商品別1食労務費!$C$5:$C$124,$W16,⑳商品別1食労務費!$F$5:$F$124)</f>
        <v/>
      </c>
      <c r="AB16">
        <f>IF(ISNUMBER($M16),$M16,0)</f>
        <v/>
      </c>
      <c r="AD16" s="413">
        <f>IF($R16="",0,IF($AA16&gt;0,$AB16*SUMIF(⑳商品別1食労務費!$C$5:$C$124,$R16,⑳商品別1食労務費!$F$5:$F$124)/$AA16,$AB16/$X16))</f>
        <v/>
      </c>
      <c r="AE16" s="413">
        <f>IF($S16="",0,IF($AA16&gt;0,$AB16*SUMIF(⑳商品別1食労務費!$C$5:$C$124,$S16,⑳商品別1食労務費!$F$5:$F$124)/$AA16,$AB16/$X16))</f>
        <v/>
      </c>
      <c r="AF16" s="413">
        <f>IF($T16="",0,IF($AA16&gt;0,$AB16*SUMIF(⑳商品別1食労務費!$C$5:$C$124,$T16,⑳商品別1食労務費!$F$5:$F$124)/$AA16,$AB16/$X16))</f>
        <v/>
      </c>
      <c r="AG16" s="413">
        <f>IF($U16="",0,IF($AA16&gt;0,$AB16*SUMIF(⑳商品別1食労務費!$C$5:$C$124,$U16,⑳商品別1食労務費!$F$5:$F$124)/$AA16,$AB16/$X16))</f>
        <v/>
      </c>
      <c r="AH16" s="413">
        <f>IF($V16="",0,IF($AA16&gt;0,$AB16*SUMIF(⑳商品別1食労務費!$C$5:$C$124,$V16,⑳商品別1食労務費!$F$5:$F$124)/$AA16,$AB16/$X16))</f>
        <v/>
      </c>
      <c r="AI16" s="413">
        <f>IF($W16="",0,IF($AA16&gt;0,$AB16*SUMIF(⑳商品別1食労務費!$C$5:$C$124,$W16,⑳商品別1食労務費!$F$5:$F$124)/$AA16,$AB16/$X16))</f>
        <v/>
      </c>
    </row>
    <row r="17" ht="16" customHeight="1" s="438">
      <c r="A17" s="303" t="n">
        <v>15</v>
      </c>
      <c r="B17" s="303" t="inlineStr">
        <is>
          <t>製菓②</t>
        </is>
      </c>
      <c r="C17" s="340" t="n"/>
      <c r="D17" s="339" t="n"/>
      <c r="E17" s="339" t="n"/>
      <c r="F17" s="303">
        <f>IF(OR(D17="",E17=""),"",(E17-D17)*1440)</f>
        <v/>
      </c>
      <c r="G17" s="303" t="n"/>
      <c r="H17" s="303" t="n"/>
      <c r="I17" s="303" t="n"/>
      <c r="J17" s="303" t="n"/>
      <c r="K17" s="303">
        <f>IF(AND(I17&gt;0,ISNUMBER(F17)),I17/(F17/60),"")</f>
        <v/>
      </c>
      <c r="L17" s="303">
        <f>IF(AND(J17&gt;0,ISNUMBER(F17)),J17/(F17/60),"")</f>
        <v/>
      </c>
      <c r="M17" s="303">
        <f>IF(OR(ISNUMBER(SEARCH("サニテーション",C17)),ISNUMBER(SEARCH("客注",C17)),ISNUMBER(SEARCH("切り替え",C17)),ISNUMBER(SEARCH("切替",C17)),NOT(ISNUMBER(H17))),"",IF(ISNUMBER(G17),G17/60*H17*④前提設定!$B$4,IF(AND(G17="",ISNUMBER(F17)),F17/60*H17*④前提設定!$B$4,"")))</f>
        <v/>
      </c>
      <c r="N17" s="303">
        <f>IF(AND(I17&gt;0,ISNUMBER(M17)),M17/I17,"")</f>
        <v/>
      </c>
      <c r="O17" s="303">
        <f>IF(AND(J17&gt;0,ISNUMBER(M17)),M17/J17,"")</f>
        <v/>
      </c>
      <c r="P17" s="303" t="n"/>
      <c r="Q17" s="303" t="n"/>
      <c r="R17" s="340" t="n"/>
      <c r="S17" s="340" t="n"/>
      <c r="T17" s="340" t="n"/>
      <c r="U17" s="340" t="n"/>
      <c r="V17" s="340" t="n"/>
      <c r="W17" s="340" t="n"/>
      <c r="X17">
        <f>COUNTA(R17:W17)</f>
        <v/>
      </c>
      <c r="Y17">
        <f>IF(AND($X17&gt;0,ISNUMBER($M17)),$M17/$X17,"")</f>
        <v/>
      </c>
      <c r="Z17">
        <f>IF($X17=0,"",IF(COUNTIF(⑳商品別1食労務費!$C$5:$C$124,$R17)+COUNTIF(⑳商品別1食労務費!$C$5:$C$124,$S17)+COUNTIF(⑳商品別1食労務費!$C$5:$C$124,$T17)+COUNTIF(⑳商品別1食労務費!$C$5:$C$124,$U17)+COUNTIF(⑳商品別1食労務費!$C$5:$C$124,$V17)+COUNTIF(⑳商品別1食労務費!$C$5:$C$124,$W17)=$X17,"OK","⑳に無い商品名"))</f>
        <v/>
      </c>
      <c r="AA17">
        <f>SUMIF(⑳商品別1食労務費!$C$5:$C$124,$R17,⑳商品別1食労務費!$F$5:$F$124)+SUMIF(⑳商品別1食労務費!$C$5:$C$124,$S17,⑳商品別1食労務費!$F$5:$F$124)+SUMIF(⑳商品別1食労務費!$C$5:$C$124,$T17,⑳商品別1食労務費!$F$5:$F$124)+SUMIF(⑳商品別1食労務費!$C$5:$C$124,$U17,⑳商品別1食労務費!$F$5:$F$124)+SUMIF(⑳商品別1食労務費!$C$5:$C$124,$V17,⑳商品別1食労務費!$F$5:$F$124)+SUMIF(⑳商品別1食労務費!$C$5:$C$124,$W17,⑳商品別1食労務費!$F$5:$F$124)</f>
        <v/>
      </c>
      <c r="AB17">
        <f>IF(ISNUMBER($M17),$M17,0)</f>
        <v/>
      </c>
      <c r="AD17" s="413">
        <f>IF($R17="",0,IF($AA17&gt;0,$AB17*SUMIF(⑳商品別1食労務費!$C$5:$C$124,$R17,⑳商品別1食労務費!$F$5:$F$124)/$AA17,$AB17/$X17))</f>
        <v/>
      </c>
      <c r="AE17" s="413">
        <f>IF($S17="",0,IF($AA17&gt;0,$AB17*SUMIF(⑳商品別1食労務費!$C$5:$C$124,$S17,⑳商品別1食労務費!$F$5:$F$124)/$AA17,$AB17/$X17))</f>
        <v/>
      </c>
      <c r="AF17" s="413">
        <f>IF($T17="",0,IF($AA17&gt;0,$AB17*SUMIF(⑳商品別1食労務費!$C$5:$C$124,$T17,⑳商品別1食労務費!$F$5:$F$124)/$AA17,$AB17/$X17))</f>
        <v/>
      </c>
      <c r="AG17" s="413">
        <f>IF($U17="",0,IF($AA17&gt;0,$AB17*SUMIF(⑳商品別1食労務費!$C$5:$C$124,$U17,⑳商品別1食労務費!$F$5:$F$124)/$AA17,$AB17/$X17))</f>
        <v/>
      </c>
      <c r="AH17" s="413">
        <f>IF($V17="",0,IF($AA17&gt;0,$AB17*SUMIF(⑳商品別1食労務費!$C$5:$C$124,$V17,⑳商品別1食労務費!$F$5:$F$124)/$AA17,$AB17/$X17))</f>
        <v/>
      </c>
      <c r="AI17" s="413">
        <f>IF($W17="",0,IF($AA17&gt;0,$AB17*SUMIF(⑳商品別1食労務費!$C$5:$C$124,$W17,⑳商品別1食労務費!$F$5:$F$124)/$AA17,$AB17/$X17))</f>
        <v/>
      </c>
    </row>
    <row r="18" ht="16" customHeight="1" s="438">
      <c r="A18" s="303" t="n">
        <v>16</v>
      </c>
      <c r="B18" s="303" t="inlineStr">
        <is>
          <t>製菓②</t>
        </is>
      </c>
      <c r="C18" s="340" t="n"/>
      <c r="D18" s="339" t="n"/>
      <c r="E18" s="339" t="n"/>
      <c r="F18" s="303">
        <f>IF(OR(D18="",E18=""),"",(E18-D18)*1440)</f>
        <v/>
      </c>
      <c r="G18" s="303" t="n"/>
      <c r="H18" s="303" t="n"/>
      <c r="I18" s="303" t="n"/>
      <c r="J18" s="303" t="n"/>
      <c r="K18" s="303">
        <f>IF(AND(I18&gt;0,ISNUMBER(F18)),I18/(F18/60),"")</f>
        <v/>
      </c>
      <c r="L18" s="303">
        <f>IF(AND(J18&gt;0,ISNUMBER(F18)),J18/(F18/60),"")</f>
        <v/>
      </c>
      <c r="M18" s="303">
        <f>IF(OR(ISNUMBER(SEARCH("サニテーション",C18)),ISNUMBER(SEARCH("客注",C18)),ISNUMBER(SEARCH("切り替え",C18)),ISNUMBER(SEARCH("切替",C18)),NOT(ISNUMBER(H18))),"",IF(ISNUMBER(G18),G18/60*H18*④前提設定!$B$4,IF(AND(G18="",ISNUMBER(F18)),F18/60*H18*④前提設定!$B$4,"")))</f>
        <v/>
      </c>
      <c r="N18" s="303">
        <f>IF(AND(I18&gt;0,ISNUMBER(M18)),M18/I18,"")</f>
        <v/>
      </c>
      <c r="O18" s="303">
        <f>IF(AND(J18&gt;0,ISNUMBER(M18)),M18/J18,"")</f>
        <v/>
      </c>
      <c r="P18" s="303" t="n"/>
      <c r="Q18" s="303" t="n"/>
      <c r="R18" s="340" t="n"/>
      <c r="S18" s="340" t="n"/>
      <c r="T18" s="340" t="n"/>
      <c r="U18" s="340" t="n"/>
      <c r="V18" s="340" t="n"/>
      <c r="W18" s="340" t="n"/>
      <c r="X18">
        <f>COUNTA(R18:W18)</f>
        <v/>
      </c>
      <c r="Y18">
        <f>IF(AND($X18&gt;0,ISNUMBER($M18)),$M18/$X18,"")</f>
        <v/>
      </c>
      <c r="Z18">
        <f>IF($X18=0,"",IF(COUNTIF(⑳商品別1食労務費!$C$5:$C$124,$R18)+COUNTIF(⑳商品別1食労務費!$C$5:$C$124,$S18)+COUNTIF(⑳商品別1食労務費!$C$5:$C$124,$T18)+COUNTIF(⑳商品別1食労務費!$C$5:$C$124,$U18)+COUNTIF(⑳商品別1食労務費!$C$5:$C$124,$V18)+COUNTIF(⑳商品別1食労務費!$C$5:$C$124,$W18)=$X18,"OK","⑳に無い商品名"))</f>
        <v/>
      </c>
      <c r="AA18">
        <f>SUMIF(⑳商品別1食労務費!$C$5:$C$124,$R18,⑳商品別1食労務費!$F$5:$F$124)+SUMIF(⑳商品別1食労務費!$C$5:$C$124,$S18,⑳商品別1食労務費!$F$5:$F$124)+SUMIF(⑳商品別1食労務費!$C$5:$C$124,$T18,⑳商品別1食労務費!$F$5:$F$124)+SUMIF(⑳商品別1食労務費!$C$5:$C$124,$U18,⑳商品別1食労務費!$F$5:$F$124)+SUMIF(⑳商品別1食労務費!$C$5:$C$124,$V18,⑳商品別1食労務費!$F$5:$F$124)+SUMIF(⑳商品別1食労務費!$C$5:$C$124,$W18,⑳商品別1食労務費!$F$5:$F$124)</f>
        <v/>
      </c>
      <c r="AB18">
        <f>IF(ISNUMBER($M18),$M18,0)</f>
        <v/>
      </c>
      <c r="AD18" s="413">
        <f>IF($R18="",0,IF($AA18&gt;0,$AB18*SUMIF(⑳商品別1食労務費!$C$5:$C$124,$R18,⑳商品別1食労務費!$F$5:$F$124)/$AA18,$AB18/$X18))</f>
        <v/>
      </c>
      <c r="AE18" s="413">
        <f>IF($S18="",0,IF($AA18&gt;0,$AB18*SUMIF(⑳商品別1食労務費!$C$5:$C$124,$S18,⑳商品別1食労務費!$F$5:$F$124)/$AA18,$AB18/$X18))</f>
        <v/>
      </c>
      <c r="AF18" s="413">
        <f>IF($T18="",0,IF($AA18&gt;0,$AB18*SUMIF(⑳商品別1食労務費!$C$5:$C$124,$T18,⑳商品別1食労務費!$F$5:$F$124)/$AA18,$AB18/$X18))</f>
        <v/>
      </c>
      <c r="AG18" s="413">
        <f>IF($U18="",0,IF($AA18&gt;0,$AB18*SUMIF(⑳商品別1食労務費!$C$5:$C$124,$U18,⑳商品別1食労務費!$F$5:$F$124)/$AA18,$AB18/$X18))</f>
        <v/>
      </c>
      <c r="AH18" s="413">
        <f>IF($V18="",0,IF($AA18&gt;0,$AB18*SUMIF(⑳商品別1食労務費!$C$5:$C$124,$V18,⑳商品別1食労務費!$F$5:$F$124)/$AA18,$AB18/$X18))</f>
        <v/>
      </c>
      <c r="AI18" s="413">
        <f>IF($W18="",0,IF($AA18&gt;0,$AB18*SUMIF(⑳商品別1食労務費!$C$5:$C$124,$W18,⑳商品別1食労務費!$F$5:$F$124)/$AA18,$AB18/$X18))</f>
        <v/>
      </c>
    </row>
    <row r="19" ht="16" customHeight="1" s="438">
      <c r="A19" s="303" t="n">
        <v>17</v>
      </c>
      <c r="B19" s="303" t="inlineStr">
        <is>
          <t>製菓②</t>
        </is>
      </c>
      <c r="C19" s="340" t="n"/>
      <c r="D19" s="339" t="n"/>
      <c r="E19" s="339" t="n"/>
      <c r="F19" s="303">
        <f>IF(OR(D19="",E19=""),"",(E19-D19)*1440)</f>
        <v/>
      </c>
      <c r="G19" s="303" t="n"/>
      <c r="H19" s="303" t="n"/>
      <c r="I19" s="303" t="n"/>
      <c r="J19" s="303" t="n"/>
      <c r="K19" s="303">
        <f>IF(AND(I19&gt;0,ISNUMBER(F19)),I19/(F19/60),"")</f>
        <v/>
      </c>
      <c r="L19" s="303">
        <f>IF(AND(J19&gt;0,ISNUMBER(F19)),J19/(F19/60),"")</f>
        <v/>
      </c>
      <c r="M19" s="303">
        <f>IF(OR(ISNUMBER(SEARCH("サニテーション",C19)),ISNUMBER(SEARCH("客注",C19)),ISNUMBER(SEARCH("切り替え",C19)),ISNUMBER(SEARCH("切替",C19)),NOT(ISNUMBER(H19))),"",IF(ISNUMBER(G19),G19/60*H19*④前提設定!$B$4,IF(AND(G19="",ISNUMBER(F19)),F19/60*H19*④前提設定!$B$4,"")))</f>
        <v/>
      </c>
      <c r="N19" s="303">
        <f>IF(AND(I19&gt;0,ISNUMBER(M19)),M19/I19,"")</f>
        <v/>
      </c>
      <c r="O19" s="303">
        <f>IF(AND(J19&gt;0,ISNUMBER(M19)),M19/J19,"")</f>
        <v/>
      </c>
      <c r="P19" s="303" t="n"/>
      <c r="Q19" s="303" t="n"/>
      <c r="R19" s="340" t="n"/>
      <c r="S19" s="340" t="n"/>
      <c r="T19" s="340" t="n"/>
      <c r="U19" s="340" t="n"/>
      <c r="V19" s="340" t="n"/>
      <c r="W19" s="340" t="n"/>
      <c r="X19">
        <f>COUNTA(R19:W19)</f>
        <v/>
      </c>
      <c r="Y19">
        <f>IF(AND($X19&gt;0,ISNUMBER($M19)),$M19/$X19,"")</f>
        <v/>
      </c>
      <c r="Z19">
        <f>IF($X19=0,"",IF(COUNTIF(⑳商品別1食労務費!$C$5:$C$124,$R19)+COUNTIF(⑳商品別1食労務費!$C$5:$C$124,$S19)+COUNTIF(⑳商品別1食労務費!$C$5:$C$124,$T19)+COUNTIF(⑳商品別1食労務費!$C$5:$C$124,$U19)+COUNTIF(⑳商品別1食労務費!$C$5:$C$124,$V19)+COUNTIF(⑳商品別1食労務費!$C$5:$C$124,$W19)=$X19,"OK","⑳に無い商品名"))</f>
        <v/>
      </c>
      <c r="AA19">
        <f>SUMIF(⑳商品別1食労務費!$C$5:$C$124,$R19,⑳商品別1食労務費!$F$5:$F$124)+SUMIF(⑳商品別1食労務費!$C$5:$C$124,$S19,⑳商品別1食労務費!$F$5:$F$124)+SUMIF(⑳商品別1食労務費!$C$5:$C$124,$T19,⑳商品別1食労務費!$F$5:$F$124)+SUMIF(⑳商品別1食労務費!$C$5:$C$124,$U19,⑳商品別1食労務費!$F$5:$F$124)+SUMIF(⑳商品別1食労務費!$C$5:$C$124,$V19,⑳商品別1食労務費!$F$5:$F$124)+SUMIF(⑳商品別1食労務費!$C$5:$C$124,$W19,⑳商品別1食労務費!$F$5:$F$124)</f>
        <v/>
      </c>
      <c r="AB19">
        <f>IF(ISNUMBER($M19),$M19,0)</f>
        <v/>
      </c>
      <c r="AD19" s="413">
        <f>IF($R19="",0,IF($AA19&gt;0,$AB19*SUMIF(⑳商品別1食労務費!$C$5:$C$124,$R19,⑳商品別1食労務費!$F$5:$F$124)/$AA19,$AB19/$X19))</f>
        <v/>
      </c>
      <c r="AE19" s="413">
        <f>IF($S19="",0,IF($AA19&gt;0,$AB19*SUMIF(⑳商品別1食労務費!$C$5:$C$124,$S19,⑳商品別1食労務費!$F$5:$F$124)/$AA19,$AB19/$X19))</f>
        <v/>
      </c>
      <c r="AF19" s="413">
        <f>IF($T19="",0,IF($AA19&gt;0,$AB19*SUMIF(⑳商品別1食労務費!$C$5:$C$124,$T19,⑳商品別1食労務費!$F$5:$F$124)/$AA19,$AB19/$X19))</f>
        <v/>
      </c>
      <c r="AG19" s="413">
        <f>IF($U19="",0,IF($AA19&gt;0,$AB19*SUMIF(⑳商品別1食労務費!$C$5:$C$124,$U19,⑳商品別1食労務費!$F$5:$F$124)/$AA19,$AB19/$X19))</f>
        <v/>
      </c>
      <c r="AH19" s="413">
        <f>IF($V19="",0,IF($AA19&gt;0,$AB19*SUMIF(⑳商品別1食労務費!$C$5:$C$124,$V19,⑳商品別1食労務費!$F$5:$F$124)/$AA19,$AB19/$X19))</f>
        <v/>
      </c>
      <c r="AI19" s="413">
        <f>IF($W19="",0,IF($AA19&gt;0,$AB19*SUMIF(⑳商品別1食労務費!$C$5:$C$124,$W19,⑳商品別1食労務費!$F$5:$F$124)/$AA19,$AB19/$X19))</f>
        <v/>
      </c>
    </row>
    <row r="20" ht="16" customHeight="1" s="438">
      <c r="A20" s="303" t="n">
        <v>18</v>
      </c>
      <c r="B20" s="303" t="inlineStr">
        <is>
          <t>製菓②</t>
        </is>
      </c>
      <c r="C20" s="340" t="n"/>
      <c r="D20" s="339" t="n"/>
      <c r="E20" s="339" t="n"/>
      <c r="F20" s="303">
        <f>IF(OR(D20="",E20=""),"",(E20-D20)*1440)</f>
        <v/>
      </c>
      <c r="G20" s="303" t="n"/>
      <c r="H20" s="303" t="n"/>
      <c r="I20" s="303" t="n"/>
      <c r="J20" s="303" t="n"/>
      <c r="K20" s="303">
        <f>IF(AND(I20&gt;0,ISNUMBER(F20)),I20/(F20/60),"")</f>
        <v/>
      </c>
      <c r="L20" s="303">
        <f>IF(AND(J20&gt;0,ISNUMBER(F20)),J20/(F20/60),"")</f>
        <v/>
      </c>
      <c r="M20" s="303">
        <f>IF(OR(ISNUMBER(SEARCH("サニテーション",C20)),ISNUMBER(SEARCH("客注",C20)),ISNUMBER(SEARCH("切り替え",C20)),ISNUMBER(SEARCH("切替",C20)),NOT(ISNUMBER(H20))),"",IF(ISNUMBER(G20),G20/60*H20*④前提設定!$B$4,IF(AND(G20="",ISNUMBER(F20)),F20/60*H20*④前提設定!$B$4,"")))</f>
        <v/>
      </c>
      <c r="N20" s="303">
        <f>IF(AND(I20&gt;0,ISNUMBER(M20)),M20/I20,"")</f>
        <v/>
      </c>
      <c r="O20" s="303">
        <f>IF(AND(J20&gt;0,ISNUMBER(M20)),M20/J20,"")</f>
        <v/>
      </c>
      <c r="P20" s="303" t="n"/>
      <c r="Q20" s="303" t="n"/>
      <c r="R20" s="340" t="n"/>
      <c r="S20" s="340" t="n"/>
      <c r="T20" s="340" t="n"/>
      <c r="U20" s="340" t="n"/>
      <c r="V20" s="340" t="n"/>
      <c r="W20" s="340" t="n"/>
      <c r="X20">
        <f>COUNTA(R20:W20)</f>
        <v/>
      </c>
      <c r="Y20">
        <f>IF(AND($X20&gt;0,ISNUMBER($M20)),$M20/$X20,"")</f>
        <v/>
      </c>
      <c r="Z20">
        <f>IF($X20=0,"",IF(COUNTIF(⑳商品別1食労務費!$C$5:$C$124,$R20)+COUNTIF(⑳商品別1食労務費!$C$5:$C$124,$S20)+COUNTIF(⑳商品別1食労務費!$C$5:$C$124,$T20)+COUNTIF(⑳商品別1食労務費!$C$5:$C$124,$U20)+COUNTIF(⑳商品別1食労務費!$C$5:$C$124,$V20)+COUNTIF(⑳商品別1食労務費!$C$5:$C$124,$W20)=$X20,"OK","⑳に無い商品名"))</f>
        <v/>
      </c>
      <c r="AA20">
        <f>SUMIF(⑳商品別1食労務費!$C$5:$C$124,$R20,⑳商品別1食労務費!$F$5:$F$124)+SUMIF(⑳商品別1食労務費!$C$5:$C$124,$S20,⑳商品別1食労務費!$F$5:$F$124)+SUMIF(⑳商品別1食労務費!$C$5:$C$124,$T20,⑳商品別1食労務費!$F$5:$F$124)+SUMIF(⑳商品別1食労務費!$C$5:$C$124,$U20,⑳商品別1食労務費!$F$5:$F$124)+SUMIF(⑳商品別1食労務費!$C$5:$C$124,$V20,⑳商品別1食労務費!$F$5:$F$124)+SUMIF(⑳商品別1食労務費!$C$5:$C$124,$W20,⑳商品別1食労務費!$F$5:$F$124)</f>
        <v/>
      </c>
      <c r="AB20">
        <f>IF(ISNUMBER($M20),$M20,0)</f>
        <v/>
      </c>
      <c r="AD20" s="413">
        <f>IF($R20="",0,IF($AA20&gt;0,$AB20*SUMIF(⑳商品別1食労務費!$C$5:$C$124,$R20,⑳商品別1食労務費!$F$5:$F$124)/$AA20,$AB20/$X20))</f>
        <v/>
      </c>
      <c r="AE20" s="413">
        <f>IF($S20="",0,IF($AA20&gt;0,$AB20*SUMIF(⑳商品別1食労務費!$C$5:$C$124,$S20,⑳商品別1食労務費!$F$5:$F$124)/$AA20,$AB20/$X20))</f>
        <v/>
      </c>
      <c r="AF20" s="413">
        <f>IF($T20="",0,IF($AA20&gt;0,$AB20*SUMIF(⑳商品別1食労務費!$C$5:$C$124,$T20,⑳商品別1食労務費!$F$5:$F$124)/$AA20,$AB20/$X20))</f>
        <v/>
      </c>
      <c r="AG20" s="413">
        <f>IF($U20="",0,IF($AA20&gt;0,$AB20*SUMIF(⑳商品別1食労務費!$C$5:$C$124,$U20,⑳商品別1食労務費!$F$5:$F$124)/$AA20,$AB20/$X20))</f>
        <v/>
      </c>
      <c r="AH20" s="413">
        <f>IF($V20="",0,IF($AA20&gt;0,$AB20*SUMIF(⑳商品別1食労務費!$C$5:$C$124,$V20,⑳商品別1食労務費!$F$5:$F$124)/$AA20,$AB20/$X20))</f>
        <v/>
      </c>
      <c r="AI20" s="413">
        <f>IF($W20="",0,IF($AA20&gt;0,$AB20*SUMIF(⑳商品別1食労務費!$C$5:$C$124,$W20,⑳商品別1食労務費!$F$5:$F$124)/$AA20,$AB20/$X20))</f>
        <v/>
      </c>
    </row>
    <row r="21" ht="16" customHeight="1" s="438">
      <c r="A21" s="303" t="n">
        <v>19</v>
      </c>
      <c r="B21" s="303" t="inlineStr">
        <is>
          <t>製菓②</t>
        </is>
      </c>
      <c r="C21" s="340" t="n"/>
      <c r="D21" s="339" t="n"/>
      <c r="E21" s="339" t="n"/>
      <c r="F21" s="303">
        <f>IF(OR(D21="",E21=""),"",(E21-D21)*1440)</f>
        <v/>
      </c>
      <c r="G21" s="303" t="n"/>
      <c r="H21" s="303" t="n"/>
      <c r="I21" s="303" t="n"/>
      <c r="J21" s="303" t="n"/>
      <c r="K21" s="303">
        <f>IF(AND(I21&gt;0,ISNUMBER(F21)),I21/(F21/60),"")</f>
        <v/>
      </c>
      <c r="L21" s="303">
        <f>IF(AND(J21&gt;0,ISNUMBER(F21)),J21/(F21/60),"")</f>
        <v/>
      </c>
      <c r="M21" s="303">
        <f>IF(OR(ISNUMBER(SEARCH("サニテーション",C21)),ISNUMBER(SEARCH("客注",C21)),ISNUMBER(SEARCH("切り替え",C21)),ISNUMBER(SEARCH("切替",C21)),NOT(ISNUMBER(H21))),"",IF(ISNUMBER(G21),G21/60*H21*④前提設定!$B$4,IF(AND(G21="",ISNUMBER(F21)),F21/60*H21*④前提設定!$B$4,"")))</f>
        <v/>
      </c>
      <c r="N21" s="303">
        <f>IF(AND(I21&gt;0,ISNUMBER(M21)),M21/I21,"")</f>
        <v/>
      </c>
      <c r="O21" s="303">
        <f>IF(AND(J21&gt;0,ISNUMBER(M21)),M21/J21,"")</f>
        <v/>
      </c>
      <c r="P21" s="303" t="n"/>
      <c r="Q21" s="303" t="n"/>
      <c r="R21" s="340" t="n"/>
      <c r="S21" s="340" t="n"/>
      <c r="T21" s="340" t="n"/>
      <c r="U21" s="340" t="n"/>
      <c r="V21" s="340" t="n"/>
      <c r="W21" s="340" t="n"/>
      <c r="X21">
        <f>COUNTA(R21:W21)</f>
        <v/>
      </c>
      <c r="Y21">
        <f>IF(AND($X21&gt;0,ISNUMBER($M21)),$M21/$X21,"")</f>
        <v/>
      </c>
      <c r="Z21">
        <f>IF($X21=0,"",IF(COUNTIF(⑳商品別1食労務費!$C$5:$C$124,$R21)+COUNTIF(⑳商品別1食労務費!$C$5:$C$124,$S21)+COUNTIF(⑳商品別1食労務費!$C$5:$C$124,$T21)+COUNTIF(⑳商品別1食労務費!$C$5:$C$124,$U21)+COUNTIF(⑳商品別1食労務費!$C$5:$C$124,$V21)+COUNTIF(⑳商品別1食労務費!$C$5:$C$124,$W21)=$X21,"OK","⑳に無い商品名"))</f>
        <v/>
      </c>
      <c r="AA21">
        <f>SUMIF(⑳商品別1食労務費!$C$5:$C$124,$R21,⑳商品別1食労務費!$F$5:$F$124)+SUMIF(⑳商品別1食労務費!$C$5:$C$124,$S21,⑳商品別1食労務費!$F$5:$F$124)+SUMIF(⑳商品別1食労務費!$C$5:$C$124,$T21,⑳商品別1食労務費!$F$5:$F$124)+SUMIF(⑳商品別1食労務費!$C$5:$C$124,$U21,⑳商品別1食労務費!$F$5:$F$124)+SUMIF(⑳商品別1食労務費!$C$5:$C$124,$V21,⑳商品別1食労務費!$F$5:$F$124)+SUMIF(⑳商品別1食労務費!$C$5:$C$124,$W21,⑳商品別1食労務費!$F$5:$F$124)</f>
        <v/>
      </c>
      <c r="AB21">
        <f>IF(ISNUMBER($M21),$M21,0)</f>
        <v/>
      </c>
      <c r="AD21" s="413">
        <f>IF($R21="",0,IF($AA21&gt;0,$AB21*SUMIF(⑳商品別1食労務費!$C$5:$C$124,$R21,⑳商品別1食労務費!$F$5:$F$124)/$AA21,$AB21/$X21))</f>
        <v/>
      </c>
      <c r="AE21" s="413">
        <f>IF($S21="",0,IF($AA21&gt;0,$AB21*SUMIF(⑳商品別1食労務費!$C$5:$C$124,$S21,⑳商品別1食労務費!$F$5:$F$124)/$AA21,$AB21/$X21))</f>
        <v/>
      </c>
      <c r="AF21" s="413">
        <f>IF($T21="",0,IF($AA21&gt;0,$AB21*SUMIF(⑳商品別1食労務費!$C$5:$C$124,$T21,⑳商品別1食労務費!$F$5:$F$124)/$AA21,$AB21/$X21))</f>
        <v/>
      </c>
      <c r="AG21" s="413">
        <f>IF($U21="",0,IF($AA21&gt;0,$AB21*SUMIF(⑳商品別1食労務費!$C$5:$C$124,$U21,⑳商品別1食労務費!$F$5:$F$124)/$AA21,$AB21/$X21))</f>
        <v/>
      </c>
      <c r="AH21" s="413">
        <f>IF($V21="",0,IF($AA21&gt;0,$AB21*SUMIF(⑳商品別1食労務費!$C$5:$C$124,$V21,⑳商品別1食労務費!$F$5:$F$124)/$AA21,$AB21/$X21))</f>
        <v/>
      </c>
      <c r="AI21" s="413">
        <f>IF($W21="",0,IF($AA21&gt;0,$AB21*SUMIF(⑳商品別1食労務費!$C$5:$C$124,$W21,⑳商品別1食労務費!$F$5:$F$124)/$AA21,$AB21/$X21))</f>
        <v/>
      </c>
    </row>
    <row r="22" ht="16" customHeight="1" s="438">
      <c r="A22" s="303" t="n">
        <v>20</v>
      </c>
      <c r="B22" s="303" t="inlineStr">
        <is>
          <t>製菓②</t>
        </is>
      </c>
      <c r="C22" s="340" t="n"/>
      <c r="D22" s="339" t="n"/>
      <c r="E22" s="339" t="n"/>
      <c r="F22" s="303">
        <f>IF(OR(D22="",E22=""),"",(E22-D22)*1440)</f>
        <v/>
      </c>
      <c r="G22" s="303" t="n"/>
      <c r="H22" s="303" t="n"/>
      <c r="I22" s="303" t="n"/>
      <c r="J22" s="303" t="n"/>
      <c r="K22" s="303">
        <f>IF(AND(I22&gt;0,ISNUMBER(F22)),I22/(F22/60),"")</f>
        <v/>
      </c>
      <c r="L22" s="303">
        <f>IF(AND(J22&gt;0,ISNUMBER(F22)),J22/(F22/60),"")</f>
        <v/>
      </c>
      <c r="M22" s="303">
        <f>IF(OR(ISNUMBER(SEARCH("サニテーション",C22)),ISNUMBER(SEARCH("客注",C22)),ISNUMBER(SEARCH("切り替え",C22)),ISNUMBER(SEARCH("切替",C22)),NOT(ISNUMBER(H22))),"",IF(ISNUMBER(G22),G22/60*H22*④前提設定!$B$4,IF(AND(G22="",ISNUMBER(F22)),F22/60*H22*④前提設定!$B$4,"")))</f>
        <v/>
      </c>
      <c r="N22" s="303">
        <f>IF(AND(I22&gt;0,ISNUMBER(M22)),M22/I22,"")</f>
        <v/>
      </c>
      <c r="O22" s="303">
        <f>IF(AND(J22&gt;0,ISNUMBER(M22)),M22/J22,"")</f>
        <v/>
      </c>
      <c r="P22" s="303" t="n"/>
      <c r="Q22" s="303" t="n"/>
      <c r="R22" s="340" t="n"/>
      <c r="S22" s="340" t="n"/>
      <c r="T22" s="340" t="n"/>
      <c r="U22" s="340" t="n"/>
      <c r="V22" s="340" t="n"/>
      <c r="W22" s="340" t="n"/>
      <c r="X22">
        <f>COUNTA(R22:W22)</f>
        <v/>
      </c>
      <c r="Y22">
        <f>IF(AND($X22&gt;0,ISNUMBER($M22)),$M22/$X22,"")</f>
        <v/>
      </c>
      <c r="Z22">
        <f>IF($X22=0,"",IF(COUNTIF(⑳商品別1食労務費!$C$5:$C$124,$R22)+COUNTIF(⑳商品別1食労務費!$C$5:$C$124,$S22)+COUNTIF(⑳商品別1食労務費!$C$5:$C$124,$T22)+COUNTIF(⑳商品別1食労務費!$C$5:$C$124,$U22)+COUNTIF(⑳商品別1食労務費!$C$5:$C$124,$V22)+COUNTIF(⑳商品別1食労務費!$C$5:$C$124,$W22)=$X22,"OK","⑳に無い商品名"))</f>
        <v/>
      </c>
      <c r="AA22">
        <f>SUMIF(⑳商品別1食労務費!$C$5:$C$124,$R22,⑳商品別1食労務費!$F$5:$F$124)+SUMIF(⑳商品別1食労務費!$C$5:$C$124,$S22,⑳商品別1食労務費!$F$5:$F$124)+SUMIF(⑳商品別1食労務費!$C$5:$C$124,$T22,⑳商品別1食労務費!$F$5:$F$124)+SUMIF(⑳商品別1食労務費!$C$5:$C$124,$U22,⑳商品別1食労務費!$F$5:$F$124)+SUMIF(⑳商品別1食労務費!$C$5:$C$124,$V22,⑳商品別1食労務費!$F$5:$F$124)+SUMIF(⑳商品別1食労務費!$C$5:$C$124,$W22,⑳商品別1食労務費!$F$5:$F$124)</f>
        <v/>
      </c>
      <c r="AB22">
        <f>IF(ISNUMBER($M22),$M22,0)</f>
        <v/>
      </c>
      <c r="AD22" s="413">
        <f>IF($R22="",0,IF($AA22&gt;0,$AB22*SUMIF(⑳商品別1食労務費!$C$5:$C$124,$R22,⑳商品別1食労務費!$F$5:$F$124)/$AA22,$AB22/$X22))</f>
        <v/>
      </c>
      <c r="AE22" s="413">
        <f>IF($S22="",0,IF($AA22&gt;0,$AB22*SUMIF(⑳商品別1食労務費!$C$5:$C$124,$S22,⑳商品別1食労務費!$F$5:$F$124)/$AA22,$AB22/$X22))</f>
        <v/>
      </c>
      <c r="AF22" s="413">
        <f>IF($T22="",0,IF($AA22&gt;0,$AB22*SUMIF(⑳商品別1食労務費!$C$5:$C$124,$T22,⑳商品別1食労務費!$F$5:$F$124)/$AA22,$AB22/$X22))</f>
        <v/>
      </c>
      <c r="AG22" s="413">
        <f>IF($U22="",0,IF($AA22&gt;0,$AB22*SUMIF(⑳商品別1食労務費!$C$5:$C$124,$U22,⑳商品別1食労務費!$F$5:$F$124)/$AA22,$AB22/$X22))</f>
        <v/>
      </c>
      <c r="AH22" s="413">
        <f>IF($V22="",0,IF($AA22&gt;0,$AB22*SUMIF(⑳商品別1食労務費!$C$5:$C$124,$V22,⑳商品別1食労務費!$F$5:$F$124)/$AA22,$AB22/$X22))</f>
        <v/>
      </c>
      <c r="AI22" s="413">
        <f>IF($W22="",0,IF($AA22&gt;0,$AB22*SUMIF(⑳商品別1食労務費!$C$5:$C$124,$W22,⑳商品別1食労務費!$F$5:$F$124)/$AA22,$AB22/$X22))</f>
        <v/>
      </c>
    </row>
    <row r="23" ht="16" customHeight="1" s="438">
      <c r="A23" s="303" t="n">
        <v>21</v>
      </c>
      <c r="B23" s="303" t="inlineStr">
        <is>
          <t>製菓③</t>
        </is>
      </c>
      <c r="C23" s="340" t="n"/>
      <c r="D23" s="339" t="n"/>
      <c r="E23" s="339" t="n"/>
      <c r="F23" s="303">
        <f>IF(OR(D23="",E23=""),"",(E23-D23)*1440)</f>
        <v/>
      </c>
      <c r="G23" s="303" t="n"/>
      <c r="H23" s="303" t="n"/>
      <c r="I23" s="303" t="n"/>
      <c r="J23" s="303" t="n"/>
      <c r="K23" s="303">
        <f>IF(AND(I23&gt;0,ISNUMBER(F23)),I23/(F23/60),"")</f>
        <v/>
      </c>
      <c r="L23" s="303">
        <f>IF(AND(J23&gt;0,ISNUMBER(F23)),J23/(F23/60),"")</f>
        <v/>
      </c>
      <c r="M23" s="303">
        <f>IF(OR(ISNUMBER(SEARCH("サニテーション",C23)),ISNUMBER(SEARCH("客注",C23)),ISNUMBER(SEARCH("切り替え",C23)),ISNUMBER(SEARCH("切替",C23)),NOT(ISNUMBER(H23))),"",IF(ISNUMBER(G23),G23/60*H23*④前提設定!$B$4,IF(AND(G23="",ISNUMBER(F23)),F23/60*H23*④前提設定!$B$4,"")))</f>
        <v/>
      </c>
      <c r="N23" s="303">
        <f>IF(AND(I23&gt;0,ISNUMBER(M23)),M23/I23,"")</f>
        <v/>
      </c>
      <c r="O23" s="303">
        <f>IF(AND(J23&gt;0,ISNUMBER(M23)),M23/J23,"")</f>
        <v/>
      </c>
      <c r="P23" s="303" t="n"/>
      <c r="Q23" s="303" t="n"/>
      <c r="R23" s="340" t="n"/>
      <c r="S23" s="340" t="n"/>
      <c r="T23" s="340" t="n"/>
      <c r="U23" s="340" t="n"/>
      <c r="V23" s="340" t="n"/>
      <c r="W23" s="340" t="n"/>
      <c r="X23">
        <f>COUNTA(R23:W23)</f>
        <v/>
      </c>
      <c r="Y23">
        <f>IF(AND($X23&gt;0,ISNUMBER($M23)),$M23/$X23,"")</f>
        <v/>
      </c>
      <c r="Z23">
        <f>IF($X23=0,"",IF(COUNTIF(⑳商品別1食労務費!$C$5:$C$124,$R23)+COUNTIF(⑳商品別1食労務費!$C$5:$C$124,$S23)+COUNTIF(⑳商品別1食労務費!$C$5:$C$124,$T23)+COUNTIF(⑳商品別1食労務費!$C$5:$C$124,$U23)+COUNTIF(⑳商品別1食労務費!$C$5:$C$124,$V23)+COUNTIF(⑳商品別1食労務費!$C$5:$C$124,$W23)=$X23,"OK","⑳に無い商品名"))</f>
        <v/>
      </c>
      <c r="AA23">
        <f>SUMIF(⑳商品別1食労務費!$C$5:$C$124,$R23,⑳商品別1食労務費!$F$5:$F$124)+SUMIF(⑳商品別1食労務費!$C$5:$C$124,$S23,⑳商品別1食労務費!$F$5:$F$124)+SUMIF(⑳商品別1食労務費!$C$5:$C$124,$T23,⑳商品別1食労務費!$F$5:$F$124)+SUMIF(⑳商品別1食労務費!$C$5:$C$124,$U23,⑳商品別1食労務費!$F$5:$F$124)+SUMIF(⑳商品別1食労務費!$C$5:$C$124,$V23,⑳商品別1食労務費!$F$5:$F$124)+SUMIF(⑳商品別1食労務費!$C$5:$C$124,$W23,⑳商品別1食労務費!$F$5:$F$124)</f>
        <v/>
      </c>
      <c r="AB23">
        <f>IF(ISNUMBER($M23),$M23,0)</f>
        <v/>
      </c>
      <c r="AD23" s="413">
        <f>IF($R23="",0,IF($AA23&gt;0,$AB23*SUMIF(⑳商品別1食労務費!$C$5:$C$124,$R23,⑳商品別1食労務費!$F$5:$F$124)/$AA23,$AB23/$X23))</f>
        <v/>
      </c>
      <c r="AE23" s="413">
        <f>IF($S23="",0,IF($AA23&gt;0,$AB23*SUMIF(⑳商品別1食労務費!$C$5:$C$124,$S23,⑳商品別1食労務費!$F$5:$F$124)/$AA23,$AB23/$X23))</f>
        <v/>
      </c>
      <c r="AF23" s="413">
        <f>IF($T23="",0,IF($AA23&gt;0,$AB23*SUMIF(⑳商品別1食労務費!$C$5:$C$124,$T23,⑳商品別1食労務費!$F$5:$F$124)/$AA23,$AB23/$X23))</f>
        <v/>
      </c>
      <c r="AG23" s="413">
        <f>IF($U23="",0,IF($AA23&gt;0,$AB23*SUMIF(⑳商品別1食労務費!$C$5:$C$124,$U23,⑳商品別1食労務費!$F$5:$F$124)/$AA23,$AB23/$X23))</f>
        <v/>
      </c>
      <c r="AH23" s="413">
        <f>IF($V23="",0,IF($AA23&gt;0,$AB23*SUMIF(⑳商品別1食労務費!$C$5:$C$124,$V23,⑳商品別1食労務費!$F$5:$F$124)/$AA23,$AB23/$X23))</f>
        <v/>
      </c>
      <c r="AI23" s="413">
        <f>IF($W23="",0,IF($AA23&gt;0,$AB23*SUMIF(⑳商品別1食労務費!$C$5:$C$124,$W23,⑳商品別1食労務費!$F$5:$F$124)/$AA23,$AB23/$X23))</f>
        <v/>
      </c>
    </row>
    <row r="24" ht="16" customHeight="1" s="438">
      <c r="A24" s="303" t="n">
        <v>22</v>
      </c>
      <c r="B24" s="303" t="inlineStr">
        <is>
          <t>製菓③</t>
        </is>
      </c>
      <c r="C24" s="340" t="n"/>
      <c r="D24" s="339" t="n"/>
      <c r="E24" s="339" t="n"/>
      <c r="F24" s="303">
        <f>IF(OR(D24="",E24=""),"",(E24-D24)*1440)</f>
        <v/>
      </c>
      <c r="G24" s="303" t="n"/>
      <c r="H24" s="303" t="n"/>
      <c r="I24" s="303" t="n"/>
      <c r="J24" s="303" t="n"/>
      <c r="K24" s="303">
        <f>IF(AND(I24&gt;0,ISNUMBER(F24)),I24/(F24/60),"")</f>
        <v/>
      </c>
      <c r="L24" s="303">
        <f>IF(AND(J24&gt;0,ISNUMBER(F24)),J24/(F24/60),"")</f>
        <v/>
      </c>
      <c r="M24" s="303">
        <f>IF(OR(ISNUMBER(SEARCH("サニテーション",C24)),ISNUMBER(SEARCH("客注",C24)),ISNUMBER(SEARCH("切り替え",C24)),ISNUMBER(SEARCH("切替",C24)),NOT(ISNUMBER(H24))),"",IF(ISNUMBER(G24),G24/60*H24*④前提設定!$B$4,IF(AND(G24="",ISNUMBER(F24)),F24/60*H24*④前提設定!$B$4,"")))</f>
        <v/>
      </c>
      <c r="N24" s="303">
        <f>IF(AND(I24&gt;0,ISNUMBER(M24)),M24/I24,"")</f>
        <v/>
      </c>
      <c r="O24" s="303">
        <f>IF(AND(J24&gt;0,ISNUMBER(M24)),M24/J24,"")</f>
        <v/>
      </c>
      <c r="P24" s="303" t="n"/>
      <c r="Q24" s="303" t="n"/>
      <c r="R24" s="340" t="n"/>
      <c r="S24" s="340" t="n"/>
      <c r="T24" s="340" t="n"/>
      <c r="U24" s="340" t="n"/>
      <c r="V24" s="340" t="n"/>
      <c r="W24" s="340" t="n"/>
      <c r="X24">
        <f>COUNTA(R24:W24)</f>
        <v/>
      </c>
      <c r="Y24">
        <f>IF(AND($X24&gt;0,ISNUMBER($M24)),$M24/$X24,"")</f>
        <v/>
      </c>
      <c r="Z24">
        <f>IF($X24=0,"",IF(COUNTIF(⑳商品別1食労務費!$C$5:$C$124,$R24)+COUNTIF(⑳商品別1食労務費!$C$5:$C$124,$S24)+COUNTIF(⑳商品別1食労務費!$C$5:$C$124,$T24)+COUNTIF(⑳商品別1食労務費!$C$5:$C$124,$U24)+COUNTIF(⑳商品別1食労務費!$C$5:$C$124,$V24)+COUNTIF(⑳商品別1食労務費!$C$5:$C$124,$W24)=$X24,"OK","⑳に無い商品名"))</f>
        <v/>
      </c>
      <c r="AA24">
        <f>SUMIF(⑳商品別1食労務費!$C$5:$C$124,$R24,⑳商品別1食労務費!$F$5:$F$124)+SUMIF(⑳商品別1食労務費!$C$5:$C$124,$S24,⑳商品別1食労務費!$F$5:$F$124)+SUMIF(⑳商品別1食労務費!$C$5:$C$124,$T24,⑳商品別1食労務費!$F$5:$F$124)+SUMIF(⑳商品別1食労務費!$C$5:$C$124,$U24,⑳商品別1食労務費!$F$5:$F$124)+SUMIF(⑳商品別1食労務費!$C$5:$C$124,$V24,⑳商品別1食労務費!$F$5:$F$124)+SUMIF(⑳商品別1食労務費!$C$5:$C$124,$W24,⑳商品別1食労務費!$F$5:$F$124)</f>
        <v/>
      </c>
      <c r="AB24">
        <f>IF(ISNUMBER($M24),$M24,0)</f>
        <v/>
      </c>
      <c r="AD24" s="413">
        <f>IF($R24="",0,IF($AA24&gt;0,$AB24*SUMIF(⑳商品別1食労務費!$C$5:$C$124,$R24,⑳商品別1食労務費!$F$5:$F$124)/$AA24,$AB24/$X24))</f>
        <v/>
      </c>
      <c r="AE24" s="413">
        <f>IF($S24="",0,IF($AA24&gt;0,$AB24*SUMIF(⑳商品別1食労務費!$C$5:$C$124,$S24,⑳商品別1食労務費!$F$5:$F$124)/$AA24,$AB24/$X24))</f>
        <v/>
      </c>
      <c r="AF24" s="413">
        <f>IF($T24="",0,IF($AA24&gt;0,$AB24*SUMIF(⑳商品別1食労務費!$C$5:$C$124,$T24,⑳商品別1食労務費!$F$5:$F$124)/$AA24,$AB24/$X24))</f>
        <v/>
      </c>
      <c r="AG24" s="413">
        <f>IF($U24="",0,IF($AA24&gt;0,$AB24*SUMIF(⑳商品別1食労務費!$C$5:$C$124,$U24,⑳商品別1食労務費!$F$5:$F$124)/$AA24,$AB24/$X24))</f>
        <v/>
      </c>
      <c r="AH24" s="413">
        <f>IF($V24="",0,IF($AA24&gt;0,$AB24*SUMIF(⑳商品別1食労務費!$C$5:$C$124,$V24,⑳商品別1食労務費!$F$5:$F$124)/$AA24,$AB24/$X24))</f>
        <v/>
      </c>
      <c r="AI24" s="413">
        <f>IF($W24="",0,IF($AA24&gt;0,$AB24*SUMIF(⑳商品別1食労務費!$C$5:$C$124,$W24,⑳商品別1食労務費!$F$5:$F$124)/$AA24,$AB24/$X24))</f>
        <v/>
      </c>
    </row>
    <row r="25" ht="16" customHeight="1" s="438">
      <c r="A25" s="303" t="n">
        <v>23</v>
      </c>
      <c r="B25" s="303" t="inlineStr">
        <is>
          <t>製菓③</t>
        </is>
      </c>
      <c r="C25" s="340" t="n"/>
      <c r="D25" s="339" t="n"/>
      <c r="E25" s="339" t="n"/>
      <c r="F25" s="303">
        <f>IF(OR(D25="",E25=""),"",(E25-D25)*1440)</f>
        <v/>
      </c>
      <c r="G25" s="303" t="n"/>
      <c r="H25" s="303" t="n"/>
      <c r="I25" s="303" t="n"/>
      <c r="J25" s="303" t="n"/>
      <c r="K25" s="303">
        <f>IF(AND(I25&gt;0,ISNUMBER(F25)),I25/(F25/60),"")</f>
        <v/>
      </c>
      <c r="L25" s="303">
        <f>IF(AND(J25&gt;0,ISNUMBER(F25)),J25/(F25/60),"")</f>
        <v/>
      </c>
      <c r="M25" s="303">
        <f>IF(OR(ISNUMBER(SEARCH("サニテーション",C25)),ISNUMBER(SEARCH("客注",C25)),ISNUMBER(SEARCH("切り替え",C25)),ISNUMBER(SEARCH("切替",C25)),NOT(ISNUMBER(H25))),"",IF(ISNUMBER(G25),G25/60*H25*④前提設定!$B$4,IF(AND(G25="",ISNUMBER(F25)),F25/60*H25*④前提設定!$B$4,"")))</f>
        <v/>
      </c>
      <c r="N25" s="303">
        <f>IF(AND(I25&gt;0,ISNUMBER(M25)),M25/I25,"")</f>
        <v/>
      </c>
      <c r="O25" s="303">
        <f>IF(AND(J25&gt;0,ISNUMBER(M25)),M25/J25,"")</f>
        <v/>
      </c>
      <c r="P25" s="303" t="n"/>
      <c r="Q25" s="303" t="n"/>
      <c r="R25" s="340" t="n"/>
      <c r="S25" s="340" t="n"/>
      <c r="T25" s="340" t="n"/>
      <c r="U25" s="340" t="n"/>
      <c r="V25" s="340" t="n"/>
      <c r="W25" s="340" t="n"/>
      <c r="X25">
        <f>COUNTA(R25:W25)</f>
        <v/>
      </c>
      <c r="Y25">
        <f>IF(AND($X25&gt;0,ISNUMBER($M25)),$M25/$X25,"")</f>
        <v/>
      </c>
      <c r="Z25">
        <f>IF($X25=0,"",IF(COUNTIF(⑳商品別1食労務費!$C$5:$C$124,$R25)+COUNTIF(⑳商品別1食労務費!$C$5:$C$124,$S25)+COUNTIF(⑳商品別1食労務費!$C$5:$C$124,$T25)+COUNTIF(⑳商品別1食労務費!$C$5:$C$124,$U25)+COUNTIF(⑳商品別1食労務費!$C$5:$C$124,$V25)+COUNTIF(⑳商品別1食労務費!$C$5:$C$124,$W25)=$X25,"OK","⑳に無い商品名"))</f>
        <v/>
      </c>
      <c r="AA25">
        <f>SUMIF(⑳商品別1食労務費!$C$5:$C$124,$R25,⑳商品別1食労務費!$F$5:$F$124)+SUMIF(⑳商品別1食労務費!$C$5:$C$124,$S25,⑳商品別1食労務費!$F$5:$F$124)+SUMIF(⑳商品別1食労務費!$C$5:$C$124,$T25,⑳商品別1食労務費!$F$5:$F$124)+SUMIF(⑳商品別1食労務費!$C$5:$C$124,$U25,⑳商品別1食労務費!$F$5:$F$124)+SUMIF(⑳商品別1食労務費!$C$5:$C$124,$V25,⑳商品別1食労務費!$F$5:$F$124)+SUMIF(⑳商品別1食労務費!$C$5:$C$124,$W25,⑳商品別1食労務費!$F$5:$F$124)</f>
        <v/>
      </c>
      <c r="AB25">
        <f>IF(ISNUMBER($M25),$M25,0)</f>
        <v/>
      </c>
      <c r="AD25" s="413">
        <f>IF($R25="",0,IF($AA25&gt;0,$AB25*SUMIF(⑳商品別1食労務費!$C$5:$C$124,$R25,⑳商品別1食労務費!$F$5:$F$124)/$AA25,$AB25/$X25))</f>
        <v/>
      </c>
      <c r="AE25" s="413">
        <f>IF($S25="",0,IF($AA25&gt;0,$AB25*SUMIF(⑳商品別1食労務費!$C$5:$C$124,$S25,⑳商品別1食労務費!$F$5:$F$124)/$AA25,$AB25/$X25))</f>
        <v/>
      </c>
      <c r="AF25" s="413">
        <f>IF($T25="",0,IF($AA25&gt;0,$AB25*SUMIF(⑳商品別1食労務費!$C$5:$C$124,$T25,⑳商品別1食労務費!$F$5:$F$124)/$AA25,$AB25/$X25))</f>
        <v/>
      </c>
      <c r="AG25" s="413">
        <f>IF($U25="",0,IF($AA25&gt;0,$AB25*SUMIF(⑳商品別1食労務費!$C$5:$C$124,$U25,⑳商品別1食労務費!$F$5:$F$124)/$AA25,$AB25/$X25))</f>
        <v/>
      </c>
      <c r="AH25" s="413">
        <f>IF($V25="",0,IF($AA25&gt;0,$AB25*SUMIF(⑳商品別1食労務費!$C$5:$C$124,$V25,⑳商品別1食労務費!$F$5:$F$124)/$AA25,$AB25/$X25))</f>
        <v/>
      </c>
      <c r="AI25" s="413">
        <f>IF($W25="",0,IF($AA25&gt;0,$AB25*SUMIF(⑳商品別1食労務費!$C$5:$C$124,$W25,⑳商品別1食労務費!$F$5:$F$124)/$AA25,$AB25/$X25))</f>
        <v/>
      </c>
    </row>
    <row r="26" ht="16" customHeight="1" s="438">
      <c r="A26" s="303" t="n">
        <v>24</v>
      </c>
      <c r="B26" s="303" t="inlineStr">
        <is>
          <t>製菓③</t>
        </is>
      </c>
      <c r="C26" s="340" t="n"/>
      <c r="D26" s="339" t="n"/>
      <c r="E26" s="339" t="n"/>
      <c r="F26" s="303">
        <f>IF(OR(D26="",E26=""),"",(E26-D26)*1440)</f>
        <v/>
      </c>
      <c r="G26" s="303" t="n"/>
      <c r="H26" s="303" t="n"/>
      <c r="I26" s="303" t="n"/>
      <c r="J26" s="303" t="n"/>
      <c r="K26" s="303">
        <f>IF(AND(I26&gt;0,ISNUMBER(F26)),I26/(F26/60),"")</f>
        <v/>
      </c>
      <c r="L26" s="303">
        <f>IF(AND(J26&gt;0,ISNUMBER(F26)),J26/(F26/60),"")</f>
        <v/>
      </c>
      <c r="M26" s="303">
        <f>IF(OR(ISNUMBER(SEARCH("サニテーション",C26)),ISNUMBER(SEARCH("客注",C26)),ISNUMBER(SEARCH("切り替え",C26)),ISNUMBER(SEARCH("切替",C26)),NOT(ISNUMBER(H26))),"",IF(ISNUMBER(G26),G26/60*H26*④前提設定!$B$4,IF(AND(G26="",ISNUMBER(F26)),F26/60*H26*④前提設定!$B$4,"")))</f>
        <v/>
      </c>
      <c r="N26" s="303">
        <f>IF(AND(I26&gt;0,ISNUMBER(M26)),M26/I26,"")</f>
        <v/>
      </c>
      <c r="O26" s="303">
        <f>IF(AND(J26&gt;0,ISNUMBER(M26)),M26/J26,"")</f>
        <v/>
      </c>
      <c r="P26" s="303" t="n"/>
      <c r="Q26" s="303" t="n"/>
      <c r="R26" s="340" t="n"/>
      <c r="S26" s="340" t="n"/>
      <c r="T26" s="340" t="n"/>
      <c r="U26" s="340" t="n"/>
      <c r="V26" s="340" t="n"/>
      <c r="W26" s="340" t="n"/>
      <c r="X26">
        <f>COUNTA(R26:W26)</f>
        <v/>
      </c>
      <c r="Y26">
        <f>IF(AND($X26&gt;0,ISNUMBER($M26)),$M26/$X26,"")</f>
        <v/>
      </c>
      <c r="Z26">
        <f>IF($X26=0,"",IF(COUNTIF(⑳商品別1食労務費!$C$5:$C$124,$R26)+COUNTIF(⑳商品別1食労務費!$C$5:$C$124,$S26)+COUNTIF(⑳商品別1食労務費!$C$5:$C$124,$T26)+COUNTIF(⑳商品別1食労務費!$C$5:$C$124,$U26)+COUNTIF(⑳商品別1食労務費!$C$5:$C$124,$V26)+COUNTIF(⑳商品別1食労務費!$C$5:$C$124,$W26)=$X26,"OK","⑳に無い商品名"))</f>
        <v/>
      </c>
      <c r="AA26">
        <f>SUMIF(⑳商品別1食労務費!$C$5:$C$124,$R26,⑳商品別1食労務費!$F$5:$F$124)+SUMIF(⑳商品別1食労務費!$C$5:$C$124,$S26,⑳商品別1食労務費!$F$5:$F$124)+SUMIF(⑳商品別1食労務費!$C$5:$C$124,$T26,⑳商品別1食労務費!$F$5:$F$124)+SUMIF(⑳商品別1食労務費!$C$5:$C$124,$U26,⑳商品別1食労務費!$F$5:$F$124)+SUMIF(⑳商品別1食労務費!$C$5:$C$124,$V26,⑳商品別1食労務費!$F$5:$F$124)+SUMIF(⑳商品別1食労務費!$C$5:$C$124,$W26,⑳商品別1食労務費!$F$5:$F$124)</f>
        <v/>
      </c>
      <c r="AB26">
        <f>IF(ISNUMBER($M26),$M26,0)</f>
        <v/>
      </c>
      <c r="AD26" s="413">
        <f>IF($R26="",0,IF($AA26&gt;0,$AB26*SUMIF(⑳商品別1食労務費!$C$5:$C$124,$R26,⑳商品別1食労務費!$F$5:$F$124)/$AA26,$AB26/$X26))</f>
        <v/>
      </c>
      <c r="AE26" s="413">
        <f>IF($S26="",0,IF($AA26&gt;0,$AB26*SUMIF(⑳商品別1食労務費!$C$5:$C$124,$S26,⑳商品別1食労務費!$F$5:$F$124)/$AA26,$AB26/$X26))</f>
        <v/>
      </c>
      <c r="AF26" s="413">
        <f>IF($T26="",0,IF($AA26&gt;0,$AB26*SUMIF(⑳商品別1食労務費!$C$5:$C$124,$T26,⑳商品別1食労務費!$F$5:$F$124)/$AA26,$AB26/$X26))</f>
        <v/>
      </c>
      <c r="AG26" s="413">
        <f>IF($U26="",0,IF($AA26&gt;0,$AB26*SUMIF(⑳商品別1食労務費!$C$5:$C$124,$U26,⑳商品別1食労務費!$F$5:$F$124)/$AA26,$AB26/$X26))</f>
        <v/>
      </c>
      <c r="AH26" s="413">
        <f>IF($V26="",0,IF($AA26&gt;0,$AB26*SUMIF(⑳商品別1食労務費!$C$5:$C$124,$V26,⑳商品別1食労務費!$F$5:$F$124)/$AA26,$AB26/$X26))</f>
        <v/>
      </c>
      <c r="AI26" s="413">
        <f>IF($W26="",0,IF($AA26&gt;0,$AB26*SUMIF(⑳商品別1食労務費!$C$5:$C$124,$W26,⑳商品別1食労務費!$F$5:$F$124)/$AA26,$AB26/$X26))</f>
        <v/>
      </c>
    </row>
    <row r="27" ht="16" customHeight="1" s="438">
      <c r="A27" s="303" t="n">
        <v>25</v>
      </c>
      <c r="B27" s="303" t="inlineStr">
        <is>
          <t>製菓③</t>
        </is>
      </c>
      <c r="C27" s="340" t="n"/>
      <c r="D27" s="339" t="n"/>
      <c r="E27" s="339" t="n"/>
      <c r="F27" s="303">
        <f>IF(OR(D27="",E27=""),"",(E27-D27)*1440)</f>
        <v/>
      </c>
      <c r="G27" s="303" t="n"/>
      <c r="H27" s="303" t="n"/>
      <c r="I27" s="303" t="n"/>
      <c r="J27" s="303" t="n"/>
      <c r="K27" s="303">
        <f>IF(AND(I27&gt;0,ISNUMBER(F27)),I27/(F27/60),"")</f>
        <v/>
      </c>
      <c r="L27" s="303">
        <f>IF(AND(J27&gt;0,ISNUMBER(F27)),J27/(F27/60),"")</f>
        <v/>
      </c>
      <c r="M27" s="303">
        <f>IF(OR(ISNUMBER(SEARCH("サニテーション",C27)),ISNUMBER(SEARCH("客注",C27)),ISNUMBER(SEARCH("切り替え",C27)),ISNUMBER(SEARCH("切替",C27)),NOT(ISNUMBER(H27))),"",IF(ISNUMBER(G27),G27/60*H27*④前提設定!$B$4,IF(AND(G27="",ISNUMBER(F27)),F27/60*H27*④前提設定!$B$4,"")))</f>
        <v/>
      </c>
      <c r="N27" s="303">
        <f>IF(AND(I27&gt;0,ISNUMBER(M27)),M27/I27,"")</f>
        <v/>
      </c>
      <c r="O27" s="303">
        <f>IF(AND(J27&gt;0,ISNUMBER(M27)),M27/J27,"")</f>
        <v/>
      </c>
      <c r="P27" s="303" t="n"/>
      <c r="Q27" s="303" t="n"/>
      <c r="R27" s="340" t="n"/>
      <c r="S27" s="340" t="n"/>
      <c r="T27" s="340" t="n"/>
      <c r="U27" s="340" t="n"/>
      <c r="V27" s="340" t="n"/>
      <c r="W27" s="340" t="n"/>
      <c r="X27">
        <f>COUNTA(R27:W27)</f>
        <v/>
      </c>
      <c r="Y27">
        <f>IF(AND($X27&gt;0,ISNUMBER($M27)),$M27/$X27,"")</f>
        <v/>
      </c>
      <c r="Z27">
        <f>IF($X27=0,"",IF(COUNTIF(⑳商品別1食労務費!$C$5:$C$124,$R27)+COUNTIF(⑳商品別1食労務費!$C$5:$C$124,$S27)+COUNTIF(⑳商品別1食労務費!$C$5:$C$124,$T27)+COUNTIF(⑳商品別1食労務費!$C$5:$C$124,$U27)+COUNTIF(⑳商品別1食労務費!$C$5:$C$124,$V27)+COUNTIF(⑳商品別1食労務費!$C$5:$C$124,$W27)=$X27,"OK","⑳に無い商品名"))</f>
        <v/>
      </c>
      <c r="AA27">
        <f>SUMIF(⑳商品別1食労務費!$C$5:$C$124,$R27,⑳商品別1食労務費!$F$5:$F$124)+SUMIF(⑳商品別1食労務費!$C$5:$C$124,$S27,⑳商品別1食労務費!$F$5:$F$124)+SUMIF(⑳商品別1食労務費!$C$5:$C$124,$T27,⑳商品別1食労務費!$F$5:$F$124)+SUMIF(⑳商品別1食労務費!$C$5:$C$124,$U27,⑳商品別1食労務費!$F$5:$F$124)+SUMIF(⑳商品別1食労務費!$C$5:$C$124,$V27,⑳商品別1食労務費!$F$5:$F$124)+SUMIF(⑳商品別1食労務費!$C$5:$C$124,$W27,⑳商品別1食労務費!$F$5:$F$124)</f>
        <v/>
      </c>
      <c r="AB27">
        <f>IF(ISNUMBER($M27),$M27,0)</f>
        <v/>
      </c>
      <c r="AD27" s="413">
        <f>IF($R27="",0,IF($AA27&gt;0,$AB27*SUMIF(⑳商品別1食労務費!$C$5:$C$124,$R27,⑳商品別1食労務費!$F$5:$F$124)/$AA27,$AB27/$X27))</f>
        <v/>
      </c>
      <c r="AE27" s="413">
        <f>IF($S27="",0,IF($AA27&gt;0,$AB27*SUMIF(⑳商品別1食労務費!$C$5:$C$124,$S27,⑳商品別1食労務費!$F$5:$F$124)/$AA27,$AB27/$X27))</f>
        <v/>
      </c>
      <c r="AF27" s="413">
        <f>IF($T27="",0,IF($AA27&gt;0,$AB27*SUMIF(⑳商品別1食労務費!$C$5:$C$124,$T27,⑳商品別1食労務費!$F$5:$F$124)/$AA27,$AB27/$X27))</f>
        <v/>
      </c>
      <c r="AG27" s="413">
        <f>IF($U27="",0,IF($AA27&gt;0,$AB27*SUMIF(⑳商品別1食労務費!$C$5:$C$124,$U27,⑳商品別1食労務費!$F$5:$F$124)/$AA27,$AB27/$X27))</f>
        <v/>
      </c>
      <c r="AH27" s="413">
        <f>IF($V27="",0,IF($AA27&gt;0,$AB27*SUMIF(⑳商品別1食労務費!$C$5:$C$124,$V27,⑳商品別1食労務費!$F$5:$F$124)/$AA27,$AB27/$X27))</f>
        <v/>
      </c>
      <c r="AI27" s="413">
        <f>IF($W27="",0,IF($AA27&gt;0,$AB27*SUMIF(⑳商品別1食労務費!$C$5:$C$124,$W27,⑳商品別1食労務費!$F$5:$F$124)/$AA27,$AB27/$X27))</f>
        <v/>
      </c>
    </row>
    <row r="28" ht="16" customHeight="1" s="438">
      <c r="A28" s="303" t="n">
        <v>26</v>
      </c>
      <c r="B28" s="303" t="inlineStr">
        <is>
          <t>製菓③</t>
        </is>
      </c>
      <c r="C28" s="340" t="n"/>
      <c r="D28" s="339" t="n"/>
      <c r="E28" s="339" t="n"/>
      <c r="F28" s="303">
        <f>IF(OR(D28="",E28=""),"",(E28-D28)*1440)</f>
        <v/>
      </c>
      <c r="G28" s="303" t="n"/>
      <c r="H28" s="303" t="n"/>
      <c r="I28" s="303" t="n"/>
      <c r="J28" s="303" t="n"/>
      <c r="K28" s="303">
        <f>IF(AND(I28&gt;0,ISNUMBER(F28)),I28/(F28/60),"")</f>
        <v/>
      </c>
      <c r="L28" s="303">
        <f>IF(AND(J28&gt;0,ISNUMBER(F28)),J28/(F28/60),"")</f>
        <v/>
      </c>
      <c r="M28" s="303">
        <f>IF(OR(ISNUMBER(SEARCH("サニテーション",C28)),ISNUMBER(SEARCH("客注",C28)),ISNUMBER(SEARCH("切り替え",C28)),ISNUMBER(SEARCH("切替",C28)),NOT(ISNUMBER(H28))),"",IF(ISNUMBER(G28),G28/60*H28*④前提設定!$B$4,IF(AND(G28="",ISNUMBER(F28)),F28/60*H28*④前提設定!$B$4,"")))</f>
        <v/>
      </c>
      <c r="N28" s="303">
        <f>IF(AND(I28&gt;0,ISNUMBER(M28)),M28/I28,"")</f>
        <v/>
      </c>
      <c r="O28" s="303">
        <f>IF(AND(J28&gt;0,ISNUMBER(M28)),M28/J28,"")</f>
        <v/>
      </c>
      <c r="P28" s="303" t="n"/>
      <c r="Q28" s="303" t="n"/>
      <c r="R28" s="340" t="n"/>
      <c r="S28" s="340" t="n"/>
      <c r="T28" s="340" t="n"/>
      <c r="U28" s="340" t="n"/>
      <c r="V28" s="340" t="n"/>
      <c r="W28" s="340" t="n"/>
      <c r="X28">
        <f>COUNTA(R28:W28)</f>
        <v/>
      </c>
      <c r="Y28">
        <f>IF(AND($X28&gt;0,ISNUMBER($M28)),$M28/$X28,"")</f>
        <v/>
      </c>
      <c r="Z28">
        <f>IF($X28=0,"",IF(COUNTIF(⑳商品別1食労務費!$C$5:$C$124,$R28)+COUNTIF(⑳商品別1食労務費!$C$5:$C$124,$S28)+COUNTIF(⑳商品別1食労務費!$C$5:$C$124,$T28)+COUNTIF(⑳商品別1食労務費!$C$5:$C$124,$U28)+COUNTIF(⑳商品別1食労務費!$C$5:$C$124,$V28)+COUNTIF(⑳商品別1食労務費!$C$5:$C$124,$W28)=$X28,"OK","⑳に無い商品名"))</f>
        <v/>
      </c>
      <c r="AA28">
        <f>SUMIF(⑳商品別1食労務費!$C$5:$C$124,$R28,⑳商品別1食労務費!$F$5:$F$124)+SUMIF(⑳商品別1食労務費!$C$5:$C$124,$S28,⑳商品別1食労務費!$F$5:$F$124)+SUMIF(⑳商品別1食労務費!$C$5:$C$124,$T28,⑳商品別1食労務費!$F$5:$F$124)+SUMIF(⑳商品別1食労務費!$C$5:$C$124,$U28,⑳商品別1食労務費!$F$5:$F$124)+SUMIF(⑳商品別1食労務費!$C$5:$C$124,$V28,⑳商品別1食労務費!$F$5:$F$124)+SUMIF(⑳商品別1食労務費!$C$5:$C$124,$W28,⑳商品別1食労務費!$F$5:$F$124)</f>
        <v/>
      </c>
      <c r="AB28">
        <f>IF(ISNUMBER($M28),$M28,0)</f>
        <v/>
      </c>
      <c r="AD28" s="413">
        <f>IF($R28="",0,IF($AA28&gt;0,$AB28*SUMIF(⑳商品別1食労務費!$C$5:$C$124,$R28,⑳商品別1食労務費!$F$5:$F$124)/$AA28,$AB28/$X28))</f>
        <v/>
      </c>
      <c r="AE28" s="413">
        <f>IF($S28="",0,IF($AA28&gt;0,$AB28*SUMIF(⑳商品別1食労務費!$C$5:$C$124,$S28,⑳商品別1食労務費!$F$5:$F$124)/$AA28,$AB28/$X28))</f>
        <v/>
      </c>
      <c r="AF28" s="413">
        <f>IF($T28="",0,IF($AA28&gt;0,$AB28*SUMIF(⑳商品別1食労務費!$C$5:$C$124,$T28,⑳商品別1食労務費!$F$5:$F$124)/$AA28,$AB28/$X28))</f>
        <v/>
      </c>
      <c r="AG28" s="413">
        <f>IF($U28="",0,IF($AA28&gt;0,$AB28*SUMIF(⑳商品別1食労務費!$C$5:$C$124,$U28,⑳商品別1食労務費!$F$5:$F$124)/$AA28,$AB28/$X28))</f>
        <v/>
      </c>
      <c r="AH28" s="413">
        <f>IF($V28="",0,IF($AA28&gt;0,$AB28*SUMIF(⑳商品別1食労務費!$C$5:$C$124,$V28,⑳商品別1食労務費!$F$5:$F$124)/$AA28,$AB28/$X28))</f>
        <v/>
      </c>
      <c r="AI28" s="413">
        <f>IF($W28="",0,IF($AA28&gt;0,$AB28*SUMIF(⑳商品別1食労務費!$C$5:$C$124,$W28,⑳商品別1食労務費!$F$5:$F$124)/$AA28,$AB28/$X28))</f>
        <v/>
      </c>
    </row>
    <row r="29" ht="16" customHeight="1" s="438">
      <c r="A29" s="303" t="n">
        <v>27</v>
      </c>
      <c r="B29" s="303" t="inlineStr">
        <is>
          <t>製菓③</t>
        </is>
      </c>
      <c r="C29" s="340" t="n"/>
      <c r="D29" s="339" t="n"/>
      <c r="E29" s="339" t="n"/>
      <c r="F29" s="303">
        <f>IF(OR(D29="",E29=""),"",(E29-D29)*1440)</f>
        <v/>
      </c>
      <c r="G29" s="303" t="n"/>
      <c r="H29" s="303" t="n"/>
      <c r="I29" s="303" t="n"/>
      <c r="J29" s="303" t="n"/>
      <c r="K29" s="303">
        <f>IF(AND(I29&gt;0,ISNUMBER(F29)),I29/(F29/60),"")</f>
        <v/>
      </c>
      <c r="L29" s="303">
        <f>IF(AND(J29&gt;0,ISNUMBER(F29)),J29/(F29/60),"")</f>
        <v/>
      </c>
      <c r="M29" s="303">
        <f>IF(OR(ISNUMBER(SEARCH("サニテーション",C29)),ISNUMBER(SEARCH("客注",C29)),ISNUMBER(SEARCH("切り替え",C29)),ISNUMBER(SEARCH("切替",C29)),NOT(ISNUMBER(H29))),"",IF(ISNUMBER(G29),G29/60*H29*④前提設定!$B$4,IF(AND(G29="",ISNUMBER(F29)),F29/60*H29*④前提設定!$B$4,"")))</f>
        <v/>
      </c>
      <c r="N29" s="303">
        <f>IF(AND(I29&gt;0,ISNUMBER(M29)),M29/I29,"")</f>
        <v/>
      </c>
      <c r="O29" s="303">
        <f>IF(AND(J29&gt;0,ISNUMBER(M29)),M29/J29,"")</f>
        <v/>
      </c>
      <c r="P29" s="303" t="n"/>
      <c r="Q29" s="303" t="n"/>
      <c r="R29" s="340" t="n"/>
      <c r="S29" s="340" t="n"/>
      <c r="T29" s="340" t="n"/>
      <c r="U29" s="340" t="n"/>
      <c r="V29" s="340" t="n"/>
      <c r="W29" s="340" t="n"/>
      <c r="X29">
        <f>COUNTA(R29:W29)</f>
        <v/>
      </c>
      <c r="Y29">
        <f>IF(AND($X29&gt;0,ISNUMBER($M29)),$M29/$X29,"")</f>
        <v/>
      </c>
      <c r="Z29">
        <f>IF($X29=0,"",IF(COUNTIF(⑳商品別1食労務費!$C$5:$C$124,$R29)+COUNTIF(⑳商品別1食労務費!$C$5:$C$124,$S29)+COUNTIF(⑳商品別1食労務費!$C$5:$C$124,$T29)+COUNTIF(⑳商品別1食労務費!$C$5:$C$124,$U29)+COUNTIF(⑳商品別1食労務費!$C$5:$C$124,$V29)+COUNTIF(⑳商品別1食労務費!$C$5:$C$124,$W29)=$X29,"OK","⑳に無い商品名"))</f>
        <v/>
      </c>
      <c r="AA29">
        <f>SUMIF(⑳商品別1食労務費!$C$5:$C$124,$R29,⑳商品別1食労務費!$F$5:$F$124)+SUMIF(⑳商品別1食労務費!$C$5:$C$124,$S29,⑳商品別1食労務費!$F$5:$F$124)+SUMIF(⑳商品別1食労務費!$C$5:$C$124,$T29,⑳商品別1食労務費!$F$5:$F$124)+SUMIF(⑳商品別1食労務費!$C$5:$C$124,$U29,⑳商品別1食労務費!$F$5:$F$124)+SUMIF(⑳商品別1食労務費!$C$5:$C$124,$V29,⑳商品別1食労務費!$F$5:$F$124)+SUMIF(⑳商品別1食労務費!$C$5:$C$124,$W29,⑳商品別1食労務費!$F$5:$F$124)</f>
        <v/>
      </c>
      <c r="AB29">
        <f>IF(ISNUMBER($M29),$M29,0)</f>
        <v/>
      </c>
      <c r="AD29" s="413">
        <f>IF($R29="",0,IF($AA29&gt;0,$AB29*SUMIF(⑳商品別1食労務費!$C$5:$C$124,$R29,⑳商品別1食労務費!$F$5:$F$124)/$AA29,$AB29/$X29))</f>
        <v/>
      </c>
      <c r="AE29" s="413">
        <f>IF($S29="",0,IF($AA29&gt;0,$AB29*SUMIF(⑳商品別1食労務費!$C$5:$C$124,$S29,⑳商品別1食労務費!$F$5:$F$124)/$AA29,$AB29/$X29))</f>
        <v/>
      </c>
      <c r="AF29" s="413">
        <f>IF($T29="",0,IF($AA29&gt;0,$AB29*SUMIF(⑳商品別1食労務費!$C$5:$C$124,$T29,⑳商品別1食労務費!$F$5:$F$124)/$AA29,$AB29/$X29))</f>
        <v/>
      </c>
      <c r="AG29" s="413">
        <f>IF($U29="",0,IF($AA29&gt;0,$AB29*SUMIF(⑳商品別1食労務費!$C$5:$C$124,$U29,⑳商品別1食労務費!$F$5:$F$124)/$AA29,$AB29/$X29))</f>
        <v/>
      </c>
      <c r="AH29" s="413">
        <f>IF($V29="",0,IF($AA29&gt;0,$AB29*SUMIF(⑳商品別1食労務費!$C$5:$C$124,$V29,⑳商品別1食労務費!$F$5:$F$124)/$AA29,$AB29/$X29))</f>
        <v/>
      </c>
      <c r="AI29" s="413">
        <f>IF($W29="",0,IF($AA29&gt;0,$AB29*SUMIF(⑳商品別1食労務費!$C$5:$C$124,$W29,⑳商品別1食労務費!$F$5:$F$124)/$AA29,$AB29/$X29))</f>
        <v/>
      </c>
    </row>
    <row r="30" ht="16" customHeight="1" s="438">
      <c r="A30" s="303" t="n">
        <v>28</v>
      </c>
      <c r="B30" s="303" t="inlineStr">
        <is>
          <t>製菓③</t>
        </is>
      </c>
      <c r="C30" s="340" t="n"/>
      <c r="D30" s="339" t="n"/>
      <c r="E30" s="339" t="n"/>
      <c r="F30" s="303">
        <f>IF(OR(D30="",E30=""),"",(E30-D30)*1440)</f>
        <v/>
      </c>
      <c r="G30" s="303" t="n"/>
      <c r="H30" s="303" t="n"/>
      <c r="I30" s="303" t="n"/>
      <c r="J30" s="303" t="n"/>
      <c r="K30" s="303">
        <f>IF(AND(I30&gt;0,ISNUMBER(F30)),I30/(F30/60),"")</f>
        <v/>
      </c>
      <c r="L30" s="303">
        <f>IF(AND(J30&gt;0,ISNUMBER(F30)),J30/(F30/60),"")</f>
        <v/>
      </c>
      <c r="M30" s="303">
        <f>IF(OR(ISNUMBER(SEARCH("サニテーション",C30)),ISNUMBER(SEARCH("客注",C30)),ISNUMBER(SEARCH("切り替え",C30)),ISNUMBER(SEARCH("切替",C30)),NOT(ISNUMBER(H30))),"",IF(ISNUMBER(G30),G30/60*H30*④前提設定!$B$4,IF(AND(G30="",ISNUMBER(F30)),F30/60*H30*④前提設定!$B$4,"")))</f>
        <v/>
      </c>
      <c r="N30" s="303">
        <f>IF(AND(I30&gt;0,ISNUMBER(M30)),M30/I30,"")</f>
        <v/>
      </c>
      <c r="O30" s="303">
        <f>IF(AND(J30&gt;0,ISNUMBER(M30)),M30/J30,"")</f>
        <v/>
      </c>
      <c r="P30" s="303" t="n"/>
      <c r="Q30" s="303" t="n"/>
      <c r="R30" s="340" t="n"/>
      <c r="S30" s="340" t="n"/>
      <c r="T30" s="340" t="n"/>
      <c r="U30" s="340" t="n"/>
      <c r="V30" s="340" t="n"/>
      <c r="W30" s="340" t="n"/>
      <c r="X30">
        <f>COUNTA(R30:W30)</f>
        <v/>
      </c>
      <c r="Y30">
        <f>IF(AND($X30&gt;0,ISNUMBER($M30)),$M30/$X30,"")</f>
        <v/>
      </c>
      <c r="Z30">
        <f>IF($X30=0,"",IF(COUNTIF(⑳商品別1食労務費!$C$5:$C$124,$R30)+COUNTIF(⑳商品別1食労務費!$C$5:$C$124,$S30)+COUNTIF(⑳商品別1食労務費!$C$5:$C$124,$T30)+COUNTIF(⑳商品別1食労務費!$C$5:$C$124,$U30)+COUNTIF(⑳商品別1食労務費!$C$5:$C$124,$V30)+COUNTIF(⑳商品別1食労務費!$C$5:$C$124,$W30)=$X30,"OK","⑳に無い商品名"))</f>
        <v/>
      </c>
      <c r="AA30">
        <f>SUMIF(⑳商品別1食労務費!$C$5:$C$124,$R30,⑳商品別1食労務費!$F$5:$F$124)+SUMIF(⑳商品別1食労務費!$C$5:$C$124,$S30,⑳商品別1食労務費!$F$5:$F$124)+SUMIF(⑳商品別1食労務費!$C$5:$C$124,$T30,⑳商品別1食労務費!$F$5:$F$124)+SUMIF(⑳商品別1食労務費!$C$5:$C$124,$U30,⑳商品別1食労務費!$F$5:$F$124)+SUMIF(⑳商品別1食労務費!$C$5:$C$124,$V30,⑳商品別1食労務費!$F$5:$F$124)+SUMIF(⑳商品別1食労務費!$C$5:$C$124,$W30,⑳商品別1食労務費!$F$5:$F$124)</f>
        <v/>
      </c>
      <c r="AB30">
        <f>IF(ISNUMBER($M30),$M30,0)</f>
        <v/>
      </c>
      <c r="AD30" s="413">
        <f>IF($R30="",0,IF($AA30&gt;0,$AB30*SUMIF(⑳商品別1食労務費!$C$5:$C$124,$R30,⑳商品別1食労務費!$F$5:$F$124)/$AA30,$AB30/$X30))</f>
        <v/>
      </c>
      <c r="AE30" s="413">
        <f>IF($S30="",0,IF($AA30&gt;0,$AB30*SUMIF(⑳商品別1食労務費!$C$5:$C$124,$S30,⑳商品別1食労務費!$F$5:$F$124)/$AA30,$AB30/$X30))</f>
        <v/>
      </c>
      <c r="AF30" s="413">
        <f>IF($T30="",0,IF($AA30&gt;0,$AB30*SUMIF(⑳商品別1食労務費!$C$5:$C$124,$T30,⑳商品別1食労務費!$F$5:$F$124)/$AA30,$AB30/$X30))</f>
        <v/>
      </c>
      <c r="AG30" s="413">
        <f>IF($U30="",0,IF($AA30&gt;0,$AB30*SUMIF(⑳商品別1食労務費!$C$5:$C$124,$U30,⑳商品別1食労務費!$F$5:$F$124)/$AA30,$AB30/$X30))</f>
        <v/>
      </c>
      <c r="AH30" s="413">
        <f>IF($V30="",0,IF($AA30&gt;0,$AB30*SUMIF(⑳商品別1食労務費!$C$5:$C$124,$V30,⑳商品別1食労務費!$F$5:$F$124)/$AA30,$AB30/$X30))</f>
        <v/>
      </c>
      <c r="AI30" s="413">
        <f>IF($W30="",0,IF($AA30&gt;0,$AB30*SUMIF(⑳商品別1食労務費!$C$5:$C$124,$W30,⑳商品別1食労務費!$F$5:$F$124)/$AA30,$AB30/$X30))</f>
        <v/>
      </c>
    </row>
    <row r="31" ht="16" customHeight="1" s="438">
      <c r="A31" s="303" t="n">
        <v>29</v>
      </c>
      <c r="B31" s="303" t="inlineStr">
        <is>
          <t>製菓③</t>
        </is>
      </c>
      <c r="C31" s="340" t="n"/>
      <c r="D31" s="339" t="n"/>
      <c r="E31" s="339" t="n"/>
      <c r="F31" s="303">
        <f>IF(OR(D31="",E31=""),"",(E31-D31)*1440)</f>
        <v/>
      </c>
      <c r="G31" s="303" t="n"/>
      <c r="H31" s="303" t="n"/>
      <c r="I31" s="303" t="n"/>
      <c r="J31" s="303" t="n"/>
      <c r="K31" s="303">
        <f>IF(AND(I31&gt;0,ISNUMBER(F31)),I31/(F31/60),"")</f>
        <v/>
      </c>
      <c r="L31" s="303">
        <f>IF(AND(J31&gt;0,ISNUMBER(F31)),J31/(F31/60),"")</f>
        <v/>
      </c>
      <c r="M31" s="303">
        <f>IF(OR(ISNUMBER(SEARCH("サニテーション",C31)),ISNUMBER(SEARCH("客注",C31)),ISNUMBER(SEARCH("切り替え",C31)),ISNUMBER(SEARCH("切替",C31)),NOT(ISNUMBER(H31))),"",IF(ISNUMBER(G31),G31/60*H31*④前提設定!$B$4,IF(AND(G31="",ISNUMBER(F31)),F31/60*H31*④前提設定!$B$4,"")))</f>
        <v/>
      </c>
      <c r="N31" s="303">
        <f>IF(AND(I31&gt;0,ISNUMBER(M31)),M31/I31,"")</f>
        <v/>
      </c>
      <c r="O31" s="303">
        <f>IF(AND(J31&gt;0,ISNUMBER(M31)),M31/J31,"")</f>
        <v/>
      </c>
      <c r="P31" s="303" t="n"/>
      <c r="Q31" s="303" t="n"/>
      <c r="R31" s="340" t="n"/>
      <c r="S31" s="340" t="n"/>
      <c r="T31" s="340" t="n"/>
      <c r="U31" s="340" t="n"/>
      <c r="V31" s="340" t="n"/>
      <c r="W31" s="340" t="n"/>
      <c r="X31">
        <f>COUNTA(R31:W31)</f>
        <v/>
      </c>
      <c r="Y31">
        <f>IF(AND($X31&gt;0,ISNUMBER($M31)),$M31/$X31,"")</f>
        <v/>
      </c>
      <c r="Z31">
        <f>IF($X31=0,"",IF(COUNTIF(⑳商品別1食労務費!$C$5:$C$124,$R31)+COUNTIF(⑳商品別1食労務費!$C$5:$C$124,$S31)+COUNTIF(⑳商品別1食労務費!$C$5:$C$124,$T31)+COUNTIF(⑳商品別1食労務費!$C$5:$C$124,$U31)+COUNTIF(⑳商品別1食労務費!$C$5:$C$124,$V31)+COUNTIF(⑳商品別1食労務費!$C$5:$C$124,$W31)=$X31,"OK","⑳に無い商品名"))</f>
        <v/>
      </c>
      <c r="AA31">
        <f>SUMIF(⑳商品別1食労務費!$C$5:$C$124,$R31,⑳商品別1食労務費!$F$5:$F$124)+SUMIF(⑳商品別1食労務費!$C$5:$C$124,$S31,⑳商品別1食労務費!$F$5:$F$124)+SUMIF(⑳商品別1食労務費!$C$5:$C$124,$T31,⑳商品別1食労務費!$F$5:$F$124)+SUMIF(⑳商品別1食労務費!$C$5:$C$124,$U31,⑳商品別1食労務費!$F$5:$F$124)+SUMIF(⑳商品別1食労務費!$C$5:$C$124,$V31,⑳商品別1食労務費!$F$5:$F$124)+SUMIF(⑳商品別1食労務費!$C$5:$C$124,$W31,⑳商品別1食労務費!$F$5:$F$124)</f>
        <v/>
      </c>
      <c r="AB31">
        <f>IF(ISNUMBER($M31),$M31,0)</f>
        <v/>
      </c>
      <c r="AD31" s="413">
        <f>IF($R31="",0,IF($AA31&gt;0,$AB31*SUMIF(⑳商品別1食労務費!$C$5:$C$124,$R31,⑳商品別1食労務費!$F$5:$F$124)/$AA31,$AB31/$X31))</f>
        <v/>
      </c>
      <c r="AE31" s="413">
        <f>IF($S31="",0,IF($AA31&gt;0,$AB31*SUMIF(⑳商品別1食労務費!$C$5:$C$124,$S31,⑳商品別1食労務費!$F$5:$F$124)/$AA31,$AB31/$X31))</f>
        <v/>
      </c>
      <c r="AF31" s="413">
        <f>IF($T31="",0,IF($AA31&gt;0,$AB31*SUMIF(⑳商品別1食労務費!$C$5:$C$124,$T31,⑳商品別1食労務費!$F$5:$F$124)/$AA31,$AB31/$X31))</f>
        <v/>
      </c>
      <c r="AG31" s="413">
        <f>IF($U31="",0,IF($AA31&gt;0,$AB31*SUMIF(⑳商品別1食労務費!$C$5:$C$124,$U31,⑳商品別1食労務費!$F$5:$F$124)/$AA31,$AB31/$X31))</f>
        <v/>
      </c>
      <c r="AH31" s="413">
        <f>IF($V31="",0,IF($AA31&gt;0,$AB31*SUMIF(⑳商品別1食労務費!$C$5:$C$124,$V31,⑳商品別1食労務費!$F$5:$F$124)/$AA31,$AB31/$X31))</f>
        <v/>
      </c>
      <c r="AI31" s="413">
        <f>IF($W31="",0,IF($AA31&gt;0,$AB31*SUMIF(⑳商品別1食労務費!$C$5:$C$124,$W31,⑳商品別1食労務費!$F$5:$F$124)/$AA31,$AB31/$X31))</f>
        <v/>
      </c>
    </row>
    <row r="32" ht="16" customHeight="1" s="438">
      <c r="A32" s="303" t="n">
        <v>30</v>
      </c>
      <c r="B32" s="303" t="inlineStr">
        <is>
          <t>製菓③</t>
        </is>
      </c>
      <c r="C32" s="340" t="n"/>
      <c r="D32" s="339" t="n"/>
      <c r="E32" s="339" t="n"/>
      <c r="F32" s="303">
        <f>IF(OR(D32="",E32=""),"",(E32-D32)*1440)</f>
        <v/>
      </c>
      <c r="G32" s="303" t="n"/>
      <c r="H32" s="303" t="n"/>
      <c r="I32" s="303" t="n"/>
      <c r="J32" s="303" t="n"/>
      <c r="K32" s="303">
        <f>IF(AND(I32&gt;0,ISNUMBER(F32)),I32/(F32/60),"")</f>
        <v/>
      </c>
      <c r="L32" s="303">
        <f>IF(AND(J32&gt;0,ISNUMBER(F32)),J32/(F32/60),"")</f>
        <v/>
      </c>
      <c r="M32" s="303">
        <f>IF(OR(ISNUMBER(SEARCH("サニテーション",C32)),ISNUMBER(SEARCH("客注",C32)),ISNUMBER(SEARCH("切り替え",C32)),ISNUMBER(SEARCH("切替",C32)),NOT(ISNUMBER(H32))),"",IF(ISNUMBER(G32),G32/60*H32*④前提設定!$B$4,IF(AND(G32="",ISNUMBER(F32)),F32/60*H32*④前提設定!$B$4,"")))</f>
        <v/>
      </c>
      <c r="N32" s="303">
        <f>IF(AND(I32&gt;0,ISNUMBER(M32)),M32/I32,"")</f>
        <v/>
      </c>
      <c r="O32" s="303">
        <f>IF(AND(J32&gt;0,ISNUMBER(M32)),M32/J32,"")</f>
        <v/>
      </c>
      <c r="P32" s="303" t="n"/>
      <c r="Q32" s="303" t="n"/>
      <c r="R32" s="340" t="n"/>
      <c r="S32" s="340" t="n"/>
      <c r="T32" s="340" t="n"/>
      <c r="U32" s="340" t="n"/>
      <c r="V32" s="340" t="n"/>
      <c r="W32" s="340" t="n"/>
      <c r="X32">
        <f>COUNTA(R32:W32)</f>
        <v/>
      </c>
      <c r="Y32">
        <f>IF(AND($X32&gt;0,ISNUMBER($M32)),$M32/$X32,"")</f>
        <v/>
      </c>
      <c r="Z32">
        <f>IF($X32=0,"",IF(COUNTIF(⑳商品別1食労務費!$C$5:$C$124,$R32)+COUNTIF(⑳商品別1食労務費!$C$5:$C$124,$S32)+COUNTIF(⑳商品別1食労務費!$C$5:$C$124,$T32)+COUNTIF(⑳商品別1食労務費!$C$5:$C$124,$U32)+COUNTIF(⑳商品別1食労務費!$C$5:$C$124,$V32)+COUNTIF(⑳商品別1食労務費!$C$5:$C$124,$W32)=$X32,"OK","⑳に無い商品名"))</f>
        <v/>
      </c>
      <c r="AA32">
        <f>SUMIF(⑳商品別1食労務費!$C$5:$C$124,$R32,⑳商品別1食労務費!$F$5:$F$124)+SUMIF(⑳商品別1食労務費!$C$5:$C$124,$S32,⑳商品別1食労務費!$F$5:$F$124)+SUMIF(⑳商品別1食労務費!$C$5:$C$124,$T32,⑳商品別1食労務費!$F$5:$F$124)+SUMIF(⑳商品別1食労務費!$C$5:$C$124,$U32,⑳商品別1食労務費!$F$5:$F$124)+SUMIF(⑳商品別1食労務費!$C$5:$C$124,$V32,⑳商品別1食労務費!$F$5:$F$124)+SUMIF(⑳商品別1食労務費!$C$5:$C$124,$W32,⑳商品別1食労務費!$F$5:$F$124)</f>
        <v/>
      </c>
      <c r="AB32">
        <f>IF(ISNUMBER($M32),$M32,0)</f>
        <v/>
      </c>
      <c r="AD32" s="413">
        <f>IF($R32="",0,IF($AA32&gt;0,$AB32*SUMIF(⑳商品別1食労務費!$C$5:$C$124,$R32,⑳商品別1食労務費!$F$5:$F$124)/$AA32,$AB32/$X32))</f>
        <v/>
      </c>
      <c r="AE32" s="413">
        <f>IF($S32="",0,IF($AA32&gt;0,$AB32*SUMIF(⑳商品別1食労務費!$C$5:$C$124,$S32,⑳商品別1食労務費!$F$5:$F$124)/$AA32,$AB32/$X32))</f>
        <v/>
      </c>
      <c r="AF32" s="413">
        <f>IF($T32="",0,IF($AA32&gt;0,$AB32*SUMIF(⑳商品別1食労務費!$C$5:$C$124,$T32,⑳商品別1食労務費!$F$5:$F$124)/$AA32,$AB32/$X32))</f>
        <v/>
      </c>
      <c r="AG32" s="413">
        <f>IF($U32="",0,IF($AA32&gt;0,$AB32*SUMIF(⑳商品別1食労務費!$C$5:$C$124,$U32,⑳商品別1食労務費!$F$5:$F$124)/$AA32,$AB32/$X32))</f>
        <v/>
      </c>
      <c r="AH32" s="413">
        <f>IF($V32="",0,IF($AA32&gt;0,$AB32*SUMIF(⑳商品別1食労務費!$C$5:$C$124,$V32,⑳商品別1食労務費!$F$5:$F$124)/$AA32,$AB32/$X32))</f>
        <v/>
      </c>
      <c r="AI32" s="413">
        <f>IF($W32="",0,IF($AA32&gt;0,$AB32*SUMIF(⑳商品別1食労務費!$C$5:$C$124,$W32,⑳商品別1食労務費!$F$5:$F$124)/$AA32,$AB32/$X32))</f>
        <v/>
      </c>
    </row>
    <row r="33" ht="16" customHeight="1" s="438">
      <c r="A33" s="303" t="n">
        <v>25</v>
      </c>
      <c r="B33" s="303" t="inlineStr">
        <is>
          <t>製菓③</t>
        </is>
      </c>
      <c r="C33" s="340" t="n"/>
      <c r="D33" s="339" t="n"/>
      <c r="E33" s="339" t="n"/>
      <c r="F33" s="303" t="n">
        <v>20</v>
      </c>
      <c r="G33" s="303" t="n"/>
      <c r="H33" s="303" t="n"/>
      <c r="I33" s="303" t="n"/>
      <c r="J33" s="303" t="n"/>
      <c r="K33" s="303">
        <f>IF(AND(I33&gt;0,ISNUMBER(F33)),I33/(F33/60),"")</f>
        <v/>
      </c>
      <c r="L33" s="303">
        <f>IF(AND(J33&gt;0,ISNUMBER(F33)),J33/(F33/60),"")</f>
        <v/>
      </c>
      <c r="M33" s="303">
        <f>IF(OR(ISNUMBER(SEARCH("サニテーション",C33)),ISNUMBER(SEARCH("客注",C33)),ISNUMBER(SEARCH("切り替え",C33)),ISNUMBER(SEARCH("切替",C33)),NOT(ISNUMBER(H33))),"",IF(ISNUMBER(G33),G33/60*H33*④前提設定!$B$4,IF(AND(G33="",ISNUMBER(F33)),F33/60*H33*④前提設定!$B$4,"")))</f>
        <v/>
      </c>
      <c r="N33" s="303">
        <f>IF(AND(I33&gt;0,ISNUMBER(M33)),M33/I33,"")</f>
        <v/>
      </c>
      <c r="O33" s="303">
        <f>IF(AND(J33&gt;0,ISNUMBER(M33)),M33/J33,"")</f>
        <v/>
      </c>
      <c r="P33" s="303" t="n"/>
      <c r="Q33" s="303" t="n"/>
      <c r="R33" s="340" t="n"/>
      <c r="S33" s="340" t="n"/>
      <c r="T33" s="340" t="n"/>
      <c r="U33" s="340" t="n"/>
      <c r="V33" s="340" t="n"/>
      <c r="W33" s="340" t="n"/>
      <c r="X33">
        <f>COUNTA(R33:W33)</f>
        <v/>
      </c>
      <c r="Y33">
        <f>IF(AND($X33&gt;0,ISNUMBER($M33)),$M33/$X33,"")</f>
        <v/>
      </c>
      <c r="Z33">
        <f>IF($X33=0,"",IF(COUNTIF(⑳商品別1食労務費!$C$5:$C$124,$R33)+COUNTIF(⑳商品別1食労務費!$C$5:$C$124,$S33)+COUNTIF(⑳商品別1食労務費!$C$5:$C$124,$T33)+COUNTIF(⑳商品別1食労務費!$C$5:$C$124,$U33)+COUNTIF(⑳商品別1食労務費!$C$5:$C$124,$V33)+COUNTIF(⑳商品別1食労務費!$C$5:$C$124,$W33)=$X33,"OK","⑳に無い商品名"))</f>
        <v/>
      </c>
      <c r="AA33">
        <f>SUMIF(⑳商品別1食労務費!$C$5:$C$124,$R33,⑳商品別1食労務費!$F$5:$F$124)+SUMIF(⑳商品別1食労務費!$C$5:$C$124,$S33,⑳商品別1食労務費!$F$5:$F$124)+SUMIF(⑳商品別1食労務費!$C$5:$C$124,$T33,⑳商品別1食労務費!$F$5:$F$124)+SUMIF(⑳商品別1食労務費!$C$5:$C$124,$U33,⑳商品別1食労務費!$F$5:$F$124)+SUMIF(⑳商品別1食労務費!$C$5:$C$124,$V33,⑳商品別1食労務費!$F$5:$F$124)+SUMIF(⑳商品別1食労務費!$C$5:$C$124,$W33,⑳商品別1食労務費!$F$5:$F$124)</f>
        <v/>
      </c>
      <c r="AB33">
        <f>IF(ISNUMBER($M33),$M33,0)</f>
        <v/>
      </c>
      <c r="AD33" s="413">
        <f>IF($R33="",0,IF($AA33&gt;0,$AB33*SUMIF(⑳商品別1食労務費!$C$5:$C$124,$R33,⑳商品別1食労務費!$F$5:$F$124)/$AA33,$AB33/$X33))</f>
        <v/>
      </c>
      <c r="AE33" s="413">
        <f>IF($S33="",0,IF($AA33&gt;0,$AB33*SUMIF(⑳商品別1食労務費!$C$5:$C$124,$S33,⑳商品別1食労務費!$F$5:$F$124)/$AA33,$AB33/$X33))</f>
        <v/>
      </c>
      <c r="AF33" s="413">
        <f>IF($T33="",0,IF($AA33&gt;0,$AB33*SUMIF(⑳商品別1食労務費!$C$5:$C$124,$T33,⑳商品別1食労務費!$F$5:$F$124)/$AA33,$AB33/$X33))</f>
        <v/>
      </c>
      <c r="AG33" s="413">
        <f>IF($U33="",0,IF($AA33&gt;0,$AB33*SUMIF(⑳商品別1食労務費!$C$5:$C$124,$U33,⑳商品別1食労務費!$F$5:$F$124)/$AA33,$AB33/$X33))</f>
        <v/>
      </c>
      <c r="AH33" s="413">
        <f>IF($V33="",0,IF($AA33&gt;0,$AB33*SUMIF(⑳商品別1食労務費!$C$5:$C$124,$V33,⑳商品別1食労務費!$F$5:$F$124)/$AA33,$AB33/$X33))</f>
        <v/>
      </c>
      <c r="AI33" s="413">
        <f>IF($W33="",0,IF($AA33&gt;0,$AB33*SUMIF(⑳商品別1食労務費!$C$5:$C$124,$W33,⑳商品別1食労務費!$F$5:$F$124)/$AA33,$AB33/$X33))</f>
        <v/>
      </c>
    </row>
    <row r="34" ht="16" customHeight="1" s="438">
      <c r="A34" s="303" t="n">
        <v>26</v>
      </c>
      <c r="B34" s="303" t="inlineStr">
        <is>
          <t>製菓③</t>
        </is>
      </c>
      <c r="C34" s="340" t="n"/>
      <c r="D34" s="339" t="n"/>
      <c r="E34" s="339" t="n"/>
      <c r="F34" s="303">
        <f>IF(OR(D34="",E34=""),"",(E34-D34)*1440)</f>
        <v/>
      </c>
      <c r="G34" s="303" t="n"/>
      <c r="H34" s="303" t="n"/>
      <c r="I34" s="303" t="n"/>
      <c r="J34" s="303" t="n"/>
      <c r="K34" s="303">
        <f>IF(AND(I34&gt;0,ISNUMBER(F34)),I34/(F34/60),"")</f>
        <v/>
      </c>
      <c r="L34" s="303">
        <f>IF(AND(J34&gt;0,ISNUMBER(F34)),J34/(F34/60),"")</f>
        <v/>
      </c>
      <c r="M34" s="303">
        <f>IF(OR(ISNUMBER(SEARCH("サニテーション",C34)),ISNUMBER(SEARCH("客注",C34)),ISNUMBER(SEARCH("切り替え",C34)),ISNUMBER(SEARCH("切替",C34)),NOT(ISNUMBER(H34))),"",IF(ISNUMBER(G34),G34/60*H34*④前提設定!$B$4,IF(AND(G34="",ISNUMBER(F34)),F34/60*H34*④前提設定!$B$4,"")))</f>
        <v/>
      </c>
      <c r="N34" s="303">
        <f>IF(AND(I34&gt;0,ISNUMBER(M34)),M34/I34,"")</f>
        <v/>
      </c>
      <c r="O34" s="303">
        <f>IF(AND(J34&gt;0,ISNUMBER(M34)),M34/J34,"")</f>
        <v/>
      </c>
      <c r="P34" s="303" t="n"/>
      <c r="Q34" s="303" t="n"/>
      <c r="R34" s="340" t="n"/>
      <c r="S34" s="340" t="n"/>
      <c r="T34" s="340" t="n"/>
      <c r="U34" s="340" t="n"/>
      <c r="V34" s="340" t="n"/>
      <c r="W34" s="340" t="n"/>
      <c r="X34">
        <f>COUNTA(R34:W34)</f>
        <v/>
      </c>
      <c r="Y34">
        <f>IF(AND($X34&gt;0,ISNUMBER($M34)),$M34/$X34,"")</f>
        <v/>
      </c>
      <c r="Z34">
        <f>IF($X34=0,"",IF(COUNTIF(⑳商品別1食労務費!$C$5:$C$124,$R34)+COUNTIF(⑳商品別1食労務費!$C$5:$C$124,$S34)+COUNTIF(⑳商品別1食労務費!$C$5:$C$124,$T34)+COUNTIF(⑳商品別1食労務費!$C$5:$C$124,$U34)+COUNTIF(⑳商品別1食労務費!$C$5:$C$124,$V34)+COUNTIF(⑳商品別1食労務費!$C$5:$C$124,$W34)=$X34,"OK","⑳に無い商品名"))</f>
        <v/>
      </c>
      <c r="AA34">
        <f>SUMIF(⑳商品別1食労務費!$C$5:$C$124,$R34,⑳商品別1食労務費!$F$5:$F$124)+SUMIF(⑳商品別1食労務費!$C$5:$C$124,$S34,⑳商品別1食労務費!$F$5:$F$124)+SUMIF(⑳商品別1食労務費!$C$5:$C$124,$T34,⑳商品別1食労務費!$F$5:$F$124)+SUMIF(⑳商品別1食労務費!$C$5:$C$124,$U34,⑳商品別1食労務費!$F$5:$F$124)+SUMIF(⑳商品別1食労務費!$C$5:$C$124,$V34,⑳商品別1食労務費!$F$5:$F$124)+SUMIF(⑳商品別1食労務費!$C$5:$C$124,$W34,⑳商品別1食労務費!$F$5:$F$124)</f>
        <v/>
      </c>
      <c r="AB34">
        <f>IF(ISNUMBER($M34),$M34,0)</f>
        <v/>
      </c>
      <c r="AD34" s="413">
        <f>IF($R34="",0,IF($AA34&gt;0,$AB34*SUMIF(⑳商品別1食労務費!$C$5:$C$124,$R34,⑳商品別1食労務費!$F$5:$F$124)/$AA34,$AB34/$X34))</f>
        <v/>
      </c>
      <c r="AE34" s="413">
        <f>IF($S34="",0,IF($AA34&gt;0,$AB34*SUMIF(⑳商品別1食労務費!$C$5:$C$124,$S34,⑳商品別1食労務費!$F$5:$F$124)/$AA34,$AB34/$X34))</f>
        <v/>
      </c>
      <c r="AF34" s="413">
        <f>IF($T34="",0,IF($AA34&gt;0,$AB34*SUMIF(⑳商品別1食労務費!$C$5:$C$124,$T34,⑳商品別1食労務費!$F$5:$F$124)/$AA34,$AB34/$X34))</f>
        <v/>
      </c>
      <c r="AG34" s="413">
        <f>IF($U34="",0,IF($AA34&gt;0,$AB34*SUMIF(⑳商品別1食労務費!$C$5:$C$124,$U34,⑳商品別1食労務費!$F$5:$F$124)/$AA34,$AB34/$X34))</f>
        <v/>
      </c>
      <c r="AH34" s="413">
        <f>IF($V34="",0,IF($AA34&gt;0,$AB34*SUMIF(⑳商品別1食労務費!$C$5:$C$124,$V34,⑳商品別1食労務費!$F$5:$F$124)/$AA34,$AB34/$X34))</f>
        <v/>
      </c>
      <c r="AI34" s="413">
        <f>IF($W34="",0,IF($AA34&gt;0,$AB34*SUMIF(⑳商品別1食労務費!$C$5:$C$124,$W34,⑳商品別1食労務費!$F$5:$F$124)/$AA34,$AB34/$X34))</f>
        <v/>
      </c>
    </row>
    <row r="35" ht="16" customHeight="1" s="438">
      <c r="A35" s="303" t="n">
        <v>28</v>
      </c>
      <c r="B35" s="303" t="inlineStr">
        <is>
          <t>製菓③</t>
        </is>
      </c>
      <c r="C35" s="340" t="n"/>
      <c r="D35" s="339" t="n"/>
      <c r="E35" s="339" t="n"/>
      <c r="F35" s="303">
        <f>IF(OR(D35="",E35=""),"",(E35-D35)*1440)</f>
        <v/>
      </c>
      <c r="G35" s="303" t="n"/>
      <c r="H35" s="303" t="n"/>
      <c r="I35" s="303" t="n"/>
      <c r="J35" s="303" t="n"/>
      <c r="K35" s="303">
        <f>IF(AND(I35&gt;0,ISNUMBER(F35)),I35/(F35/60),"")</f>
        <v/>
      </c>
      <c r="L35" s="303">
        <f>IF(AND(J35&gt;0,ISNUMBER(F35)),J35/(F35/60),"")</f>
        <v/>
      </c>
      <c r="M35" s="303">
        <f>IF(OR(ISNUMBER(SEARCH("サニテーション",C35)),ISNUMBER(SEARCH("客注",C35)),ISNUMBER(SEARCH("切り替え",C35)),ISNUMBER(SEARCH("切替",C35)),NOT(ISNUMBER(H35))),"",IF(ISNUMBER(G35),G35/60*H35*④前提設定!$B$4,IF(AND(G35="",ISNUMBER(F35)),F35/60*H35*④前提設定!$B$4,"")))</f>
        <v/>
      </c>
      <c r="N35" s="303">
        <f>IF(AND(I35&gt;0,ISNUMBER(M35)),M35/I35,"")</f>
        <v/>
      </c>
      <c r="O35" s="303">
        <f>IF(AND(J35&gt;0,ISNUMBER(M35)),M35/J35,"")</f>
        <v/>
      </c>
      <c r="P35" s="303" t="n"/>
      <c r="Q35" s="303" t="n"/>
      <c r="R35" s="340" t="n"/>
      <c r="S35" s="340" t="n"/>
      <c r="T35" s="340" t="n"/>
      <c r="U35" s="340" t="n"/>
      <c r="V35" s="340" t="n"/>
      <c r="W35" s="340" t="n"/>
      <c r="X35">
        <f>COUNTA(R35:W35)</f>
        <v/>
      </c>
      <c r="Y35">
        <f>IF(AND($X35&gt;0,ISNUMBER($M35)),$M35/$X35,"")</f>
        <v/>
      </c>
      <c r="Z35">
        <f>IF($X35=0,"",IF(COUNTIF(⑳商品別1食労務費!$C$5:$C$124,$R35)+COUNTIF(⑳商品別1食労務費!$C$5:$C$124,$S35)+COUNTIF(⑳商品別1食労務費!$C$5:$C$124,$T35)+COUNTIF(⑳商品別1食労務費!$C$5:$C$124,$U35)+COUNTIF(⑳商品別1食労務費!$C$5:$C$124,$V35)+COUNTIF(⑳商品別1食労務費!$C$5:$C$124,$W35)=$X35,"OK","⑳に無い商品名"))</f>
        <v/>
      </c>
      <c r="AA35">
        <f>SUMIF(⑳商品別1食労務費!$C$5:$C$124,$R35,⑳商品別1食労務費!$F$5:$F$124)+SUMIF(⑳商品別1食労務費!$C$5:$C$124,$S35,⑳商品別1食労務費!$F$5:$F$124)+SUMIF(⑳商品別1食労務費!$C$5:$C$124,$T35,⑳商品別1食労務費!$F$5:$F$124)+SUMIF(⑳商品別1食労務費!$C$5:$C$124,$U35,⑳商品別1食労務費!$F$5:$F$124)+SUMIF(⑳商品別1食労務費!$C$5:$C$124,$V35,⑳商品別1食労務費!$F$5:$F$124)+SUMIF(⑳商品別1食労務費!$C$5:$C$124,$W35,⑳商品別1食労務費!$F$5:$F$124)</f>
        <v/>
      </c>
      <c r="AB35">
        <f>IF(ISNUMBER($M35),$M35,0)</f>
        <v/>
      </c>
      <c r="AD35" s="413">
        <f>IF($R35="",0,IF($AA35&gt;0,$AB35*SUMIF(⑳商品別1食労務費!$C$5:$C$124,$R35,⑳商品別1食労務費!$F$5:$F$124)/$AA35,$AB35/$X35))</f>
        <v/>
      </c>
      <c r="AE35" s="413">
        <f>IF($S35="",0,IF($AA35&gt;0,$AB35*SUMIF(⑳商品別1食労務費!$C$5:$C$124,$S35,⑳商品別1食労務費!$F$5:$F$124)/$AA35,$AB35/$X35))</f>
        <v/>
      </c>
      <c r="AF35" s="413">
        <f>IF($T35="",0,IF($AA35&gt;0,$AB35*SUMIF(⑳商品別1食労務費!$C$5:$C$124,$T35,⑳商品別1食労務費!$F$5:$F$124)/$AA35,$AB35/$X35))</f>
        <v/>
      </c>
      <c r="AG35" s="413">
        <f>IF($U35="",0,IF($AA35&gt;0,$AB35*SUMIF(⑳商品別1食労務費!$C$5:$C$124,$U35,⑳商品別1食労務費!$F$5:$F$124)/$AA35,$AB35/$X35))</f>
        <v/>
      </c>
      <c r="AH35" s="413">
        <f>IF($V35="",0,IF($AA35&gt;0,$AB35*SUMIF(⑳商品別1食労務費!$C$5:$C$124,$V35,⑳商品別1食労務費!$F$5:$F$124)/$AA35,$AB35/$X35))</f>
        <v/>
      </c>
      <c r="AI35" s="413">
        <f>IF($W35="",0,IF($AA35&gt;0,$AB35*SUMIF(⑳商品別1食労務費!$C$5:$C$124,$W35,⑳商品別1食労務費!$F$5:$F$124)/$AA35,$AB35/$X35))</f>
        <v/>
      </c>
    </row>
    <row r="36" ht="16" customHeight="1" s="438">
      <c r="A36" s="303" t="n">
        <v>29</v>
      </c>
      <c r="B36" s="303" t="inlineStr">
        <is>
          <t>製菓③</t>
        </is>
      </c>
      <c r="C36" s="340" t="n"/>
      <c r="D36" s="339" t="n"/>
      <c r="E36" s="339" t="n"/>
      <c r="F36" s="303" t="n">
        <v>60</v>
      </c>
      <c r="G36" s="303" t="n"/>
      <c r="H36" s="303" t="n"/>
      <c r="I36" s="303" t="n"/>
      <c r="J36" s="303" t="n"/>
      <c r="K36" s="303">
        <f>IF(AND(I36&gt;0,ISNUMBER(F36)),I36/(F36/60),"")</f>
        <v/>
      </c>
      <c r="L36" s="303">
        <f>IF(AND(J36&gt;0,ISNUMBER(F36)),J36/(F36/60),"")</f>
        <v/>
      </c>
      <c r="M36" s="303">
        <f>IF(OR(ISNUMBER(SEARCH("サニテーション",C36)),ISNUMBER(SEARCH("客注",C36)),ISNUMBER(SEARCH("切り替え",C36)),ISNUMBER(SEARCH("切替",C36)),NOT(ISNUMBER(H36))),"",IF(ISNUMBER(G36),G36/60*H36*④前提設定!$B$4,IF(AND(G36="",ISNUMBER(F36)),F36/60*H36*④前提設定!$B$4,"")))</f>
        <v/>
      </c>
      <c r="N36" s="303">
        <f>IF(AND(I36&gt;0,ISNUMBER(M36)),M36/I36,"")</f>
        <v/>
      </c>
      <c r="O36" s="303">
        <f>IF(AND(J36&gt;0,ISNUMBER(M36)),M36/J36,"")</f>
        <v/>
      </c>
      <c r="P36" s="303" t="n"/>
      <c r="Q36" s="303" t="n"/>
      <c r="R36" s="340" t="n"/>
      <c r="S36" s="340" t="n"/>
      <c r="T36" s="340" t="n"/>
      <c r="U36" s="340" t="n"/>
      <c r="V36" s="340" t="n"/>
      <c r="W36" s="340" t="n"/>
      <c r="X36">
        <f>COUNTA(R36:W36)</f>
        <v/>
      </c>
      <c r="Y36">
        <f>IF(AND($X36&gt;0,ISNUMBER($M36)),$M36/$X36,"")</f>
        <v/>
      </c>
      <c r="Z36">
        <f>IF($X36=0,"",IF(COUNTIF(⑳商品別1食労務費!$C$5:$C$124,$R36)+COUNTIF(⑳商品別1食労務費!$C$5:$C$124,$S36)+COUNTIF(⑳商品別1食労務費!$C$5:$C$124,$T36)+COUNTIF(⑳商品別1食労務費!$C$5:$C$124,$U36)+COUNTIF(⑳商品別1食労務費!$C$5:$C$124,$V36)+COUNTIF(⑳商品別1食労務費!$C$5:$C$124,$W36)=$X36,"OK","⑳に無い商品名"))</f>
        <v/>
      </c>
      <c r="AA36">
        <f>SUMIF(⑳商品別1食労務費!$C$5:$C$124,$R36,⑳商品別1食労務費!$F$5:$F$124)+SUMIF(⑳商品別1食労務費!$C$5:$C$124,$S36,⑳商品別1食労務費!$F$5:$F$124)+SUMIF(⑳商品別1食労務費!$C$5:$C$124,$T36,⑳商品別1食労務費!$F$5:$F$124)+SUMIF(⑳商品別1食労務費!$C$5:$C$124,$U36,⑳商品別1食労務費!$F$5:$F$124)+SUMIF(⑳商品別1食労務費!$C$5:$C$124,$V36,⑳商品別1食労務費!$F$5:$F$124)+SUMIF(⑳商品別1食労務費!$C$5:$C$124,$W36,⑳商品別1食労務費!$F$5:$F$124)</f>
        <v/>
      </c>
      <c r="AB36">
        <f>IF(ISNUMBER($M36),$M36,0)</f>
        <v/>
      </c>
      <c r="AD36" s="413">
        <f>IF($R36="",0,IF($AA36&gt;0,$AB36*SUMIF(⑳商品別1食労務費!$C$5:$C$124,$R36,⑳商品別1食労務費!$F$5:$F$124)/$AA36,$AB36/$X36))</f>
        <v/>
      </c>
      <c r="AE36" s="413">
        <f>IF($S36="",0,IF($AA36&gt;0,$AB36*SUMIF(⑳商品別1食労務費!$C$5:$C$124,$S36,⑳商品別1食労務費!$F$5:$F$124)/$AA36,$AB36/$X36))</f>
        <v/>
      </c>
      <c r="AF36" s="413">
        <f>IF($T36="",0,IF($AA36&gt;0,$AB36*SUMIF(⑳商品別1食労務費!$C$5:$C$124,$T36,⑳商品別1食労務費!$F$5:$F$124)/$AA36,$AB36/$X36))</f>
        <v/>
      </c>
      <c r="AG36" s="413">
        <f>IF($U36="",0,IF($AA36&gt;0,$AB36*SUMIF(⑳商品別1食労務費!$C$5:$C$124,$U36,⑳商品別1食労務費!$F$5:$F$124)/$AA36,$AB36/$X36))</f>
        <v/>
      </c>
      <c r="AH36" s="413">
        <f>IF($V36="",0,IF($AA36&gt;0,$AB36*SUMIF(⑳商品別1食労務費!$C$5:$C$124,$V36,⑳商品別1食労務費!$F$5:$F$124)/$AA36,$AB36/$X36))</f>
        <v/>
      </c>
      <c r="AI36" s="413">
        <f>IF($W36="",0,IF($AA36&gt;0,$AB36*SUMIF(⑳商品別1食労務費!$C$5:$C$124,$W36,⑳商品別1食労務費!$F$5:$F$124)/$AA36,$AB36/$X36))</f>
        <v/>
      </c>
    </row>
    <row r="37" ht="16" customHeight="1" s="438">
      <c r="A37" s="303" t="n">
        <v>30</v>
      </c>
      <c r="B37" s="303" t="inlineStr">
        <is>
          <t>製菓③</t>
        </is>
      </c>
      <c r="C37" s="340" t="n"/>
      <c r="D37" s="339" t="n"/>
      <c r="E37" s="339" t="n"/>
      <c r="F37" s="303">
        <f>IF(OR(D37="",E37=""),"",(E37-D37)*1440)</f>
        <v/>
      </c>
      <c r="G37" s="303" t="n"/>
      <c r="H37" s="303" t="n"/>
      <c r="I37" s="303" t="n"/>
      <c r="J37" s="303" t="n"/>
      <c r="K37" s="303">
        <f>IF(AND(I37&gt;0,ISNUMBER(F37)),I37/(F37/60),"")</f>
        <v/>
      </c>
      <c r="L37" s="303">
        <f>IF(AND(J37&gt;0,ISNUMBER(F37)),J37/(F37/60),"")</f>
        <v/>
      </c>
      <c r="M37" s="303">
        <f>IF(OR(ISNUMBER(SEARCH("サニテーション",C37)),ISNUMBER(SEARCH("客注",C37)),ISNUMBER(SEARCH("切り替え",C37)),ISNUMBER(SEARCH("切替",C37)),NOT(ISNUMBER(H37))),"",IF(ISNUMBER(G37),G37/60*H37*④前提設定!$B$4,IF(AND(G37="",ISNUMBER(F37)),F37/60*H37*④前提設定!$B$4,"")))</f>
        <v/>
      </c>
      <c r="N37" s="303">
        <f>IF(AND(I37&gt;0,ISNUMBER(M37)),M37/I37,"")</f>
        <v/>
      </c>
      <c r="O37" s="303">
        <f>IF(AND(J37&gt;0,ISNUMBER(M37)),M37/J37,"")</f>
        <v/>
      </c>
      <c r="P37" s="303" t="n"/>
      <c r="Q37" s="303" t="n"/>
      <c r="R37" s="340" t="n"/>
      <c r="S37" s="340" t="n"/>
      <c r="T37" s="340" t="n"/>
      <c r="U37" s="340" t="n"/>
      <c r="V37" s="340" t="n"/>
      <c r="W37" s="340" t="n"/>
      <c r="X37">
        <f>COUNTA(R37:W37)</f>
        <v/>
      </c>
      <c r="Y37">
        <f>IF(AND($X37&gt;0,ISNUMBER($M37)),$M37/$X37,"")</f>
        <v/>
      </c>
      <c r="Z37">
        <f>IF($X37=0,"",IF(COUNTIF(⑳商品別1食労務費!$C$5:$C$124,$R37)+COUNTIF(⑳商品別1食労務費!$C$5:$C$124,$S37)+COUNTIF(⑳商品別1食労務費!$C$5:$C$124,$T37)+COUNTIF(⑳商品別1食労務費!$C$5:$C$124,$U37)+COUNTIF(⑳商品別1食労務費!$C$5:$C$124,$V37)+COUNTIF(⑳商品別1食労務費!$C$5:$C$124,$W37)=$X37,"OK","⑳に無い商品名"))</f>
        <v/>
      </c>
      <c r="AA37">
        <f>SUMIF(⑳商品別1食労務費!$C$5:$C$124,$R37,⑳商品別1食労務費!$F$5:$F$124)+SUMIF(⑳商品別1食労務費!$C$5:$C$124,$S37,⑳商品別1食労務費!$F$5:$F$124)+SUMIF(⑳商品別1食労務費!$C$5:$C$124,$T37,⑳商品別1食労務費!$F$5:$F$124)+SUMIF(⑳商品別1食労務費!$C$5:$C$124,$U37,⑳商品別1食労務費!$F$5:$F$124)+SUMIF(⑳商品別1食労務費!$C$5:$C$124,$V37,⑳商品別1食労務費!$F$5:$F$124)+SUMIF(⑳商品別1食労務費!$C$5:$C$124,$W37,⑳商品別1食労務費!$F$5:$F$124)</f>
        <v/>
      </c>
      <c r="AB37">
        <f>IF(ISNUMBER($M37),$M37,0)</f>
        <v/>
      </c>
      <c r="AD37" s="413">
        <f>IF($R37="",0,IF($AA37&gt;0,$AB37*SUMIF(⑳商品別1食労務費!$C$5:$C$124,$R37,⑳商品別1食労務費!$F$5:$F$124)/$AA37,$AB37/$X37))</f>
        <v/>
      </c>
      <c r="AE37" s="413">
        <f>IF($S37="",0,IF($AA37&gt;0,$AB37*SUMIF(⑳商品別1食労務費!$C$5:$C$124,$S37,⑳商品別1食労務費!$F$5:$F$124)/$AA37,$AB37/$X37))</f>
        <v/>
      </c>
      <c r="AF37" s="413">
        <f>IF($T37="",0,IF($AA37&gt;0,$AB37*SUMIF(⑳商品別1食労務費!$C$5:$C$124,$T37,⑳商品別1食労務費!$F$5:$F$124)/$AA37,$AB37/$X37))</f>
        <v/>
      </c>
      <c r="AG37" s="413">
        <f>IF($U37="",0,IF($AA37&gt;0,$AB37*SUMIF(⑳商品別1食労務費!$C$5:$C$124,$U37,⑳商品別1食労務費!$F$5:$F$124)/$AA37,$AB37/$X37))</f>
        <v/>
      </c>
      <c r="AH37" s="413">
        <f>IF($V37="",0,IF($AA37&gt;0,$AB37*SUMIF(⑳商品別1食労務費!$C$5:$C$124,$V37,⑳商品別1食労務費!$F$5:$F$124)/$AA37,$AB37/$X37))</f>
        <v/>
      </c>
      <c r="AI37" s="413">
        <f>IF($W37="",0,IF($AA37&gt;0,$AB37*SUMIF(⑳商品別1食労務費!$C$5:$C$124,$W37,⑳商品別1食労務費!$F$5:$F$124)/$AA37,$AB37/$X37))</f>
        <v/>
      </c>
    </row>
    <row r="38" ht="16" customHeight="1" s="438">
      <c r="A38" s="303" t="n">
        <v>31</v>
      </c>
      <c r="B38" s="303" t="inlineStr">
        <is>
          <t>製菓③</t>
        </is>
      </c>
      <c r="C38" s="340" t="n"/>
      <c r="D38" s="339" t="n"/>
      <c r="E38" s="339" t="n"/>
      <c r="F38" s="303">
        <f>IF(OR(D38="",E38=""),"",(E38-D38)*1440)</f>
        <v/>
      </c>
      <c r="G38" s="303" t="n"/>
      <c r="H38" s="303" t="n"/>
      <c r="I38" s="303" t="n"/>
      <c r="J38" s="303" t="n"/>
      <c r="K38" s="303">
        <f>IF(AND(I38&gt;0,ISNUMBER(F38)),I38/(F38/60),"")</f>
        <v/>
      </c>
      <c r="L38" s="303">
        <f>IF(AND(J38&gt;0,ISNUMBER(F38)),J38/(F38/60),"")</f>
        <v/>
      </c>
      <c r="M38" s="303">
        <f>IF(OR(ISNUMBER(SEARCH("サニテーション",C38)),ISNUMBER(SEARCH("客注",C38)),ISNUMBER(SEARCH("切り替え",C38)),ISNUMBER(SEARCH("切替",C38)),NOT(ISNUMBER(H38))),"",IF(ISNUMBER(G38),G38/60*H38*④前提設定!$B$4,IF(AND(G38="",ISNUMBER(F38)),F38/60*H38*④前提設定!$B$4,"")))</f>
        <v/>
      </c>
      <c r="N38" s="303">
        <f>IF(AND(I38&gt;0,ISNUMBER(M38)),M38/I38,"")</f>
        <v/>
      </c>
      <c r="O38" s="303">
        <f>IF(AND(J38&gt;0,ISNUMBER(M38)),M38/J38,"")</f>
        <v/>
      </c>
      <c r="P38" s="303" t="n"/>
      <c r="Q38" s="303" t="n"/>
      <c r="R38" s="340" t="n"/>
      <c r="S38" s="340" t="n"/>
      <c r="T38" s="340" t="n"/>
      <c r="U38" s="340" t="n"/>
      <c r="V38" s="340" t="n"/>
      <c r="W38" s="340" t="n"/>
      <c r="X38">
        <f>COUNTA(R38:W38)</f>
        <v/>
      </c>
      <c r="Y38">
        <f>IF(AND($X38&gt;0,ISNUMBER($M38)),$M38/$X38,"")</f>
        <v/>
      </c>
      <c r="Z38">
        <f>IF($X38=0,"",IF(COUNTIF(⑳商品別1食労務費!$C$5:$C$124,$R38)+COUNTIF(⑳商品別1食労務費!$C$5:$C$124,$S38)+COUNTIF(⑳商品別1食労務費!$C$5:$C$124,$T38)+COUNTIF(⑳商品別1食労務費!$C$5:$C$124,$U38)+COUNTIF(⑳商品別1食労務費!$C$5:$C$124,$V38)+COUNTIF(⑳商品別1食労務費!$C$5:$C$124,$W38)=$X38,"OK","⑳に無い商品名"))</f>
        <v/>
      </c>
      <c r="AA38">
        <f>SUMIF(⑳商品別1食労務費!$C$5:$C$124,$R38,⑳商品別1食労務費!$F$5:$F$124)+SUMIF(⑳商品別1食労務費!$C$5:$C$124,$S38,⑳商品別1食労務費!$F$5:$F$124)+SUMIF(⑳商品別1食労務費!$C$5:$C$124,$T38,⑳商品別1食労務費!$F$5:$F$124)+SUMIF(⑳商品別1食労務費!$C$5:$C$124,$U38,⑳商品別1食労務費!$F$5:$F$124)+SUMIF(⑳商品別1食労務費!$C$5:$C$124,$V38,⑳商品別1食労務費!$F$5:$F$124)+SUMIF(⑳商品別1食労務費!$C$5:$C$124,$W38,⑳商品別1食労務費!$F$5:$F$124)</f>
        <v/>
      </c>
      <c r="AB38">
        <f>IF(ISNUMBER($M38),$M38,0)</f>
        <v/>
      </c>
      <c r="AD38" s="413">
        <f>IF($R38="",0,IF($AA38&gt;0,$AB38*SUMIF(⑳商品別1食労務費!$C$5:$C$124,$R38,⑳商品別1食労務費!$F$5:$F$124)/$AA38,$AB38/$X38))</f>
        <v/>
      </c>
      <c r="AE38" s="413">
        <f>IF($S38="",0,IF($AA38&gt;0,$AB38*SUMIF(⑳商品別1食労務費!$C$5:$C$124,$S38,⑳商品別1食労務費!$F$5:$F$124)/$AA38,$AB38/$X38))</f>
        <v/>
      </c>
      <c r="AF38" s="413">
        <f>IF($T38="",0,IF($AA38&gt;0,$AB38*SUMIF(⑳商品別1食労務費!$C$5:$C$124,$T38,⑳商品別1食労務費!$F$5:$F$124)/$AA38,$AB38/$X38))</f>
        <v/>
      </c>
      <c r="AG38" s="413">
        <f>IF($U38="",0,IF($AA38&gt;0,$AB38*SUMIF(⑳商品別1食労務費!$C$5:$C$124,$U38,⑳商品別1食労務費!$F$5:$F$124)/$AA38,$AB38/$X38))</f>
        <v/>
      </c>
      <c r="AH38" s="413">
        <f>IF($V38="",0,IF($AA38&gt;0,$AB38*SUMIF(⑳商品別1食労務費!$C$5:$C$124,$V38,⑳商品別1食労務費!$F$5:$F$124)/$AA38,$AB38/$X38))</f>
        <v/>
      </c>
      <c r="AI38" s="413">
        <f>IF($W38="",0,IF($AA38&gt;0,$AB38*SUMIF(⑳商品別1食労務費!$C$5:$C$124,$W38,⑳商品別1食労務費!$F$5:$F$124)/$AA38,$AB38/$X38))</f>
        <v/>
      </c>
    </row>
    <row r="39" ht="16" customHeight="1" s="438">
      <c r="A39" s="303" t="n">
        <v>32</v>
      </c>
      <c r="B39" s="303" t="inlineStr">
        <is>
          <t>製菓③</t>
        </is>
      </c>
      <c r="C39" s="340" t="n"/>
      <c r="D39" s="339" t="n"/>
      <c r="E39" s="339" t="n"/>
      <c r="F39" s="303">
        <f>IF(OR(D39="",E39=""),"",(E39-D39)*1440)</f>
        <v/>
      </c>
      <c r="G39" s="303" t="n"/>
      <c r="H39" s="303" t="n"/>
      <c r="I39" s="303" t="n"/>
      <c r="J39" s="303" t="n"/>
      <c r="K39" s="303">
        <f>IF(AND(I39&gt;0,ISNUMBER(F39)),I39/(F39/60),"")</f>
        <v/>
      </c>
      <c r="L39" s="303">
        <f>IF(AND(J39&gt;0,ISNUMBER(F39)),J39/(F39/60),"")</f>
        <v/>
      </c>
      <c r="M39" s="303">
        <f>IF(OR(ISNUMBER(SEARCH("サニテーション",C39)),ISNUMBER(SEARCH("客注",C39)),ISNUMBER(SEARCH("切り替え",C39)),ISNUMBER(SEARCH("切替",C39)),NOT(ISNUMBER(H39))),"",IF(ISNUMBER(G39),G39/60*H39*④前提設定!$B$4,IF(AND(G39="",ISNUMBER(F39)),F39/60*H39*④前提設定!$B$4,"")))</f>
        <v/>
      </c>
      <c r="N39" s="303">
        <f>IF(AND(I39&gt;0,ISNUMBER(M39)),M39/I39,"")</f>
        <v/>
      </c>
      <c r="O39" s="303">
        <f>IF(AND(J39&gt;0,ISNUMBER(M39)),M39/J39,"")</f>
        <v/>
      </c>
      <c r="P39" s="303" t="n"/>
      <c r="Q39" s="303" t="n"/>
      <c r="R39" s="340" t="n"/>
      <c r="S39" s="340" t="n"/>
      <c r="T39" s="340" t="n"/>
      <c r="U39" s="340" t="n"/>
      <c r="V39" s="340" t="n"/>
      <c r="W39" s="340" t="n"/>
      <c r="X39">
        <f>COUNTA(R39:W39)</f>
        <v/>
      </c>
      <c r="Y39">
        <f>IF(AND($X39&gt;0,ISNUMBER($M39)),$M39/$X39,"")</f>
        <v/>
      </c>
      <c r="Z39">
        <f>IF($X39=0,"",IF(COUNTIF(⑳商品別1食労務費!$C$5:$C$124,$R39)+COUNTIF(⑳商品別1食労務費!$C$5:$C$124,$S39)+COUNTIF(⑳商品別1食労務費!$C$5:$C$124,$T39)+COUNTIF(⑳商品別1食労務費!$C$5:$C$124,$U39)+COUNTIF(⑳商品別1食労務費!$C$5:$C$124,$V39)+COUNTIF(⑳商品別1食労務費!$C$5:$C$124,$W39)=$X39,"OK","⑳に無い商品名"))</f>
        <v/>
      </c>
      <c r="AA39">
        <f>SUMIF(⑳商品別1食労務費!$C$5:$C$124,$R39,⑳商品別1食労務費!$F$5:$F$124)+SUMIF(⑳商品別1食労務費!$C$5:$C$124,$S39,⑳商品別1食労務費!$F$5:$F$124)+SUMIF(⑳商品別1食労務費!$C$5:$C$124,$T39,⑳商品別1食労務費!$F$5:$F$124)+SUMIF(⑳商品別1食労務費!$C$5:$C$124,$U39,⑳商品別1食労務費!$F$5:$F$124)+SUMIF(⑳商品別1食労務費!$C$5:$C$124,$V39,⑳商品別1食労務費!$F$5:$F$124)+SUMIF(⑳商品別1食労務費!$C$5:$C$124,$W39,⑳商品別1食労務費!$F$5:$F$124)</f>
        <v/>
      </c>
      <c r="AB39">
        <f>IF(ISNUMBER($M39),$M39,0)</f>
        <v/>
      </c>
      <c r="AD39" s="413">
        <f>IF($R39="",0,IF($AA39&gt;0,$AB39*SUMIF(⑳商品別1食労務費!$C$5:$C$124,$R39,⑳商品別1食労務費!$F$5:$F$124)/$AA39,$AB39/$X39))</f>
        <v/>
      </c>
      <c r="AE39" s="413">
        <f>IF($S39="",0,IF($AA39&gt;0,$AB39*SUMIF(⑳商品別1食労務費!$C$5:$C$124,$S39,⑳商品別1食労務費!$F$5:$F$124)/$AA39,$AB39/$X39))</f>
        <v/>
      </c>
      <c r="AF39" s="413">
        <f>IF($T39="",0,IF($AA39&gt;0,$AB39*SUMIF(⑳商品別1食労務費!$C$5:$C$124,$T39,⑳商品別1食労務費!$F$5:$F$124)/$AA39,$AB39/$X39))</f>
        <v/>
      </c>
      <c r="AG39" s="413">
        <f>IF($U39="",0,IF($AA39&gt;0,$AB39*SUMIF(⑳商品別1食労務費!$C$5:$C$124,$U39,⑳商品別1食労務費!$F$5:$F$124)/$AA39,$AB39/$X39))</f>
        <v/>
      </c>
      <c r="AH39" s="413">
        <f>IF($V39="",0,IF($AA39&gt;0,$AB39*SUMIF(⑳商品別1食労務費!$C$5:$C$124,$V39,⑳商品別1食労務費!$F$5:$F$124)/$AA39,$AB39/$X39))</f>
        <v/>
      </c>
      <c r="AI39" s="413">
        <f>IF($W39="",0,IF($AA39&gt;0,$AB39*SUMIF(⑳商品別1食労務費!$C$5:$C$124,$W39,⑳商品別1食労務費!$F$5:$F$124)/$AA39,$AB39/$X39))</f>
        <v/>
      </c>
    </row>
    <row r="40" ht="16" customHeight="1" s="438">
      <c r="A40" s="303" t="n">
        <v>33</v>
      </c>
      <c r="B40" s="303" t="inlineStr">
        <is>
          <t>製菓③</t>
        </is>
      </c>
      <c r="C40" s="340" t="n"/>
      <c r="D40" s="339" t="n"/>
      <c r="E40" s="339" t="n"/>
      <c r="F40" s="303">
        <f>IF(OR(D40="",E40=""),"",(E40-D40)*1440)</f>
        <v/>
      </c>
      <c r="G40" s="303" t="n"/>
      <c r="H40" s="303" t="n"/>
      <c r="I40" s="303" t="n"/>
      <c r="J40" s="303" t="n"/>
      <c r="K40" s="303">
        <f>IF(AND(I40&gt;0,ISNUMBER(F40)),I40/(F40/60),"")</f>
        <v/>
      </c>
      <c r="L40" s="303">
        <f>IF(AND(J40&gt;0,ISNUMBER(F40)),J40/(F40/60),"")</f>
        <v/>
      </c>
      <c r="M40" s="303">
        <f>IF(OR(ISNUMBER(SEARCH("サニテーション",C40)),ISNUMBER(SEARCH("客注",C40)),ISNUMBER(SEARCH("切り替え",C40)),ISNUMBER(SEARCH("切替",C40)),NOT(ISNUMBER(H40))),"",IF(ISNUMBER(G40),G40/60*H40*④前提設定!$B$4,IF(AND(G40="",ISNUMBER(F40)),F40/60*H40*④前提設定!$B$4,"")))</f>
        <v/>
      </c>
      <c r="N40" s="303">
        <f>IF(AND(I40&gt;0,ISNUMBER(M40)),M40/I40,"")</f>
        <v/>
      </c>
      <c r="O40" s="303">
        <f>IF(AND(J40&gt;0,ISNUMBER(M40)),M40/J40,"")</f>
        <v/>
      </c>
      <c r="P40" s="303" t="n"/>
      <c r="Q40" s="303" t="n"/>
      <c r="R40" s="340" t="n"/>
      <c r="S40" s="340" t="n"/>
      <c r="T40" s="340" t="n"/>
      <c r="U40" s="340" t="n"/>
      <c r="V40" s="340" t="n"/>
      <c r="W40" s="340" t="n"/>
      <c r="X40">
        <f>COUNTA(R40:W40)</f>
        <v/>
      </c>
      <c r="Y40">
        <f>IF(AND($X40&gt;0,ISNUMBER($M40)),$M40/$X40,"")</f>
        <v/>
      </c>
      <c r="Z40">
        <f>IF($X40=0,"",IF(COUNTIF(⑳商品別1食労務費!$C$5:$C$124,$R40)+COUNTIF(⑳商品別1食労務費!$C$5:$C$124,$S40)+COUNTIF(⑳商品別1食労務費!$C$5:$C$124,$T40)+COUNTIF(⑳商品別1食労務費!$C$5:$C$124,$U40)+COUNTIF(⑳商品別1食労務費!$C$5:$C$124,$V40)+COUNTIF(⑳商品別1食労務費!$C$5:$C$124,$W40)=$X40,"OK","⑳に無い商品名"))</f>
        <v/>
      </c>
      <c r="AA40">
        <f>SUMIF(⑳商品別1食労務費!$C$5:$C$124,$R40,⑳商品別1食労務費!$F$5:$F$124)+SUMIF(⑳商品別1食労務費!$C$5:$C$124,$S40,⑳商品別1食労務費!$F$5:$F$124)+SUMIF(⑳商品別1食労務費!$C$5:$C$124,$T40,⑳商品別1食労務費!$F$5:$F$124)+SUMIF(⑳商品別1食労務費!$C$5:$C$124,$U40,⑳商品別1食労務費!$F$5:$F$124)+SUMIF(⑳商品別1食労務費!$C$5:$C$124,$V40,⑳商品別1食労務費!$F$5:$F$124)+SUMIF(⑳商品別1食労務費!$C$5:$C$124,$W40,⑳商品別1食労務費!$F$5:$F$124)</f>
        <v/>
      </c>
      <c r="AB40">
        <f>IF(ISNUMBER($M40),$M40,0)</f>
        <v/>
      </c>
      <c r="AD40" s="413">
        <f>IF($R40="",0,IF($AA40&gt;0,$AB40*SUMIF(⑳商品別1食労務費!$C$5:$C$124,$R40,⑳商品別1食労務費!$F$5:$F$124)/$AA40,$AB40/$X40))</f>
        <v/>
      </c>
      <c r="AE40" s="413">
        <f>IF($S40="",0,IF($AA40&gt;0,$AB40*SUMIF(⑳商品別1食労務費!$C$5:$C$124,$S40,⑳商品別1食労務費!$F$5:$F$124)/$AA40,$AB40/$X40))</f>
        <v/>
      </c>
      <c r="AF40" s="413">
        <f>IF($T40="",0,IF($AA40&gt;0,$AB40*SUMIF(⑳商品別1食労務費!$C$5:$C$124,$T40,⑳商品別1食労務費!$F$5:$F$124)/$AA40,$AB40/$X40))</f>
        <v/>
      </c>
      <c r="AG40" s="413">
        <f>IF($U40="",0,IF($AA40&gt;0,$AB40*SUMIF(⑳商品別1食労務費!$C$5:$C$124,$U40,⑳商品別1食労務費!$F$5:$F$124)/$AA40,$AB40/$X40))</f>
        <v/>
      </c>
      <c r="AH40" s="413">
        <f>IF($V40="",0,IF($AA40&gt;0,$AB40*SUMIF(⑳商品別1食労務費!$C$5:$C$124,$V40,⑳商品別1食労務費!$F$5:$F$124)/$AA40,$AB40/$X40))</f>
        <v/>
      </c>
      <c r="AI40" s="413">
        <f>IF($W40="",0,IF($AA40&gt;0,$AB40*SUMIF(⑳商品別1食労務費!$C$5:$C$124,$W40,⑳商品別1食労務費!$F$5:$F$124)/$AA40,$AB40/$X40))</f>
        <v/>
      </c>
    </row>
    <row r="41" ht="16" customHeight="1" s="438">
      <c r="A41" s="303" t="n">
        <v>34</v>
      </c>
      <c r="B41" s="303" t="inlineStr">
        <is>
          <t>製菓③</t>
        </is>
      </c>
      <c r="C41" s="340" t="n"/>
      <c r="D41" s="339" t="n"/>
      <c r="E41" s="339" t="n"/>
      <c r="F41" s="303">
        <f>IF(OR(D41="",E41=""),"",(E41-D41)*1440)</f>
        <v/>
      </c>
      <c r="G41" s="303" t="n"/>
      <c r="H41" s="303" t="n"/>
      <c r="I41" s="303" t="n"/>
      <c r="J41" s="303" t="n"/>
      <c r="K41" s="303">
        <f>IF(AND(I41&gt;0,ISNUMBER(F41)),I41/(F41/60),"")</f>
        <v/>
      </c>
      <c r="L41" s="303">
        <f>IF(AND(J41&gt;0,ISNUMBER(F41)),J41/(F41/60),"")</f>
        <v/>
      </c>
      <c r="M41" s="303">
        <f>IF(OR(ISNUMBER(SEARCH("サニテーション",C41)),ISNUMBER(SEARCH("客注",C41)),ISNUMBER(SEARCH("切り替え",C41)),ISNUMBER(SEARCH("切替",C41)),NOT(ISNUMBER(H41))),"",IF(ISNUMBER(G41),G41/60*H41*④前提設定!$B$4,IF(AND(G41="",ISNUMBER(F41)),F41/60*H41*④前提設定!$B$4,"")))</f>
        <v/>
      </c>
      <c r="N41" s="303">
        <f>IF(AND(I41&gt;0,ISNUMBER(M41)),M41/I41,"")</f>
        <v/>
      </c>
      <c r="O41" s="303">
        <f>IF(AND(J41&gt;0,ISNUMBER(M41)),M41/J41,"")</f>
        <v/>
      </c>
      <c r="P41" s="303" t="n"/>
      <c r="Q41" s="303" t="n"/>
      <c r="R41" s="340" t="n"/>
      <c r="S41" s="340" t="n"/>
      <c r="T41" s="340" t="n"/>
      <c r="U41" s="340" t="n"/>
      <c r="V41" s="340" t="n"/>
      <c r="W41" s="340" t="n"/>
      <c r="X41">
        <f>COUNTA(R41:W41)</f>
        <v/>
      </c>
      <c r="Y41">
        <f>IF(AND($X41&gt;0,ISNUMBER($M41)),$M41/$X41,"")</f>
        <v/>
      </c>
      <c r="Z41">
        <f>IF($X41=0,"",IF(COUNTIF(⑳商品別1食労務費!$C$5:$C$124,$R41)+COUNTIF(⑳商品別1食労務費!$C$5:$C$124,$S41)+COUNTIF(⑳商品別1食労務費!$C$5:$C$124,$T41)+COUNTIF(⑳商品別1食労務費!$C$5:$C$124,$U41)+COUNTIF(⑳商品別1食労務費!$C$5:$C$124,$V41)+COUNTIF(⑳商品別1食労務費!$C$5:$C$124,$W41)=$X41,"OK","⑳に無い商品名"))</f>
        <v/>
      </c>
      <c r="AA41">
        <f>SUMIF(⑳商品別1食労務費!$C$5:$C$124,$R41,⑳商品別1食労務費!$F$5:$F$124)+SUMIF(⑳商品別1食労務費!$C$5:$C$124,$S41,⑳商品別1食労務費!$F$5:$F$124)+SUMIF(⑳商品別1食労務費!$C$5:$C$124,$T41,⑳商品別1食労務費!$F$5:$F$124)+SUMIF(⑳商品別1食労務費!$C$5:$C$124,$U41,⑳商品別1食労務費!$F$5:$F$124)+SUMIF(⑳商品別1食労務費!$C$5:$C$124,$V41,⑳商品別1食労務費!$F$5:$F$124)+SUMIF(⑳商品別1食労務費!$C$5:$C$124,$W41,⑳商品別1食労務費!$F$5:$F$124)</f>
        <v/>
      </c>
      <c r="AB41">
        <f>IF(ISNUMBER($M41),$M41,0)</f>
        <v/>
      </c>
      <c r="AD41" s="413">
        <f>IF($R41="",0,IF($AA41&gt;0,$AB41*SUMIF(⑳商品別1食労務費!$C$5:$C$124,$R41,⑳商品別1食労務費!$F$5:$F$124)/$AA41,$AB41/$X41))</f>
        <v/>
      </c>
      <c r="AE41" s="413">
        <f>IF($S41="",0,IF($AA41&gt;0,$AB41*SUMIF(⑳商品別1食労務費!$C$5:$C$124,$S41,⑳商品別1食労務費!$F$5:$F$124)/$AA41,$AB41/$X41))</f>
        <v/>
      </c>
      <c r="AF41" s="413">
        <f>IF($T41="",0,IF($AA41&gt;0,$AB41*SUMIF(⑳商品別1食労務費!$C$5:$C$124,$T41,⑳商品別1食労務費!$F$5:$F$124)/$AA41,$AB41/$X41))</f>
        <v/>
      </c>
      <c r="AG41" s="413">
        <f>IF($U41="",0,IF($AA41&gt;0,$AB41*SUMIF(⑳商品別1食労務費!$C$5:$C$124,$U41,⑳商品別1食労務費!$F$5:$F$124)/$AA41,$AB41/$X41))</f>
        <v/>
      </c>
      <c r="AH41" s="413">
        <f>IF($V41="",0,IF($AA41&gt;0,$AB41*SUMIF(⑳商品別1食労務費!$C$5:$C$124,$V41,⑳商品別1食労務費!$F$5:$F$124)/$AA41,$AB41/$X41))</f>
        <v/>
      </c>
      <c r="AI41" s="413">
        <f>IF($W41="",0,IF($AA41&gt;0,$AB41*SUMIF(⑳商品別1食労務費!$C$5:$C$124,$W41,⑳商品別1食労務費!$F$5:$F$124)/$AA41,$AB41/$X41))</f>
        <v/>
      </c>
    </row>
    <row r="42" ht="16" customHeight="1" s="438">
      <c r="A42" s="303" t="n">
        <v>35</v>
      </c>
      <c r="B42" s="303" t="inlineStr">
        <is>
          <t>製菓③</t>
        </is>
      </c>
      <c r="C42" s="340" t="n"/>
      <c r="D42" s="339" t="n"/>
      <c r="E42" s="339" t="n"/>
      <c r="F42" s="303">
        <f>IF(OR(D42="",E42=""),"",(E42-D42)*1440)</f>
        <v/>
      </c>
      <c r="G42" s="303" t="n"/>
      <c r="H42" s="303" t="n"/>
      <c r="I42" s="303" t="n"/>
      <c r="J42" s="303" t="n"/>
      <c r="K42" s="303">
        <f>IF(AND(I42&gt;0,ISNUMBER(F42)),I42/(F42/60),"")</f>
        <v/>
      </c>
      <c r="L42" s="303">
        <f>IF(AND(J42&gt;0,ISNUMBER(F42)),J42/(F42/60),"")</f>
        <v/>
      </c>
      <c r="M42" s="303">
        <f>IF(OR(ISNUMBER(SEARCH("サニテーション",C42)),ISNUMBER(SEARCH("客注",C42)),ISNUMBER(SEARCH("切り替え",C42)),ISNUMBER(SEARCH("切替",C42)),NOT(ISNUMBER(H42))),"",IF(ISNUMBER(G42),G42/60*H42*④前提設定!$B$4,IF(AND(G42="",ISNUMBER(F42)),F42/60*H42*④前提設定!$B$4,"")))</f>
        <v/>
      </c>
      <c r="N42" s="303">
        <f>IF(AND(I42&gt;0,ISNUMBER(M42)),M42/I42,"")</f>
        <v/>
      </c>
      <c r="O42" s="303">
        <f>IF(AND(J42&gt;0,ISNUMBER(M42)),M42/J42,"")</f>
        <v/>
      </c>
      <c r="P42" s="303" t="n"/>
      <c r="Q42" s="303" t="n"/>
      <c r="R42" s="340" t="n"/>
      <c r="S42" s="340" t="n"/>
      <c r="T42" s="340" t="n"/>
      <c r="U42" s="340" t="n"/>
      <c r="V42" s="340" t="n"/>
      <c r="W42" s="340" t="n"/>
      <c r="X42">
        <f>COUNTA(R42:W42)</f>
        <v/>
      </c>
      <c r="Y42">
        <f>IF(AND($X42&gt;0,ISNUMBER($M42)),$M42/$X42,"")</f>
        <v/>
      </c>
      <c r="Z42">
        <f>IF($X42=0,"",IF(COUNTIF(⑳商品別1食労務費!$C$5:$C$124,$R42)+COUNTIF(⑳商品別1食労務費!$C$5:$C$124,$S42)+COUNTIF(⑳商品別1食労務費!$C$5:$C$124,$T42)+COUNTIF(⑳商品別1食労務費!$C$5:$C$124,$U42)+COUNTIF(⑳商品別1食労務費!$C$5:$C$124,$V42)+COUNTIF(⑳商品別1食労務費!$C$5:$C$124,$W42)=$X42,"OK","⑳に無い商品名"))</f>
        <v/>
      </c>
      <c r="AA42">
        <f>SUMIF(⑳商品別1食労務費!$C$5:$C$124,$R42,⑳商品別1食労務費!$F$5:$F$124)+SUMIF(⑳商品別1食労務費!$C$5:$C$124,$S42,⑳商品別1食労務費!$F$5:$F$124)+SUMIF(⑳商品別1食労務費!$C$5:$C$124,$T42,⑳商品別1食労務費!$F$5:$F$124)+SUMIF(⑳商品別1食労務費!$C$5:$C$124,$U42,⑳商品別1食労務費!$F$5:$F$124)+SUMIF(⑳商品別1食労務費!$C$5:$C$124,$V42,⑳商品別1食労務費!$F$5:$F$124)+SUMIF(⑳商品別1食労務費!$C$5:$C$124,$W42,⑳商品別1食労務費!$F$5:$F$124)</f>
        <v/>
      </c>
      <c r="AB42">
        <f>IF(ISNUMBER($M42),$M42,0)</f>
        <v/>
      </c>
      <c r="AD42" s="413">
        <f>IF($R42="",0,IF($AA42&gt;0,$AB42*SUMIF(⑳商品別1食労務費!$C$5:$C$124,$R42,⑳商品別1食労務費!$F$5:$F$124)/$AA42,$AB42/$X42))</f>
        <v/>
      </c>
      <c r="AE42" s="413">
        <f>IF($S42="",0,IF($AA42&gt;0,$AB42*SUMIF(⑳商品別1食労務費!$C$5:$C$124,$S42,⑳商品別1食労務費!$F$5:$F$124)/$AA42,$AB42/$X42))</f>
        <v/>
      </c>
      <c r="AF42" s="413">
        <f>IF($T42="",0,IF($AA42&gt;0,$AB42*SUMIF(⑳商品別1食労務費!$C$5:$C$124,$T42,⑳商品別1食労務費!$F$5:$F$124)/$AA42,$AB42/$X42))</f>
        <v/>
      </c>
      <c r="AG42" s="413">
        <f>IF($U42="",0,IF($AA42&gt;0,$AB42*SUMIF(⑳商品別1食労務費!$C$5:$C$124,$U42,⑳商品別1食労務費!$F$5:$F$124)/$AA42,$AB42/$X42))</f>
        <v/>
      </c>
      <c r="AH42" s="413">
        <f>IF($V42="",0,IF($AA42&gt;0,$AB42*SUMIF(⑳商品別1食労務費!$C$5:$C$124,$V42,⑳商品別1食労務費!$F$5:$F$124)/$AA42,$AB42/$X42))</f>
        <v/>
      </c>
      <c r="AI42" s="413">
        <f>IF($W42="",0,IF($AA42&gt;0,$AB42*SUMIF(⑳商品別1食労務費!$C$5:$C$124,$W42,⑳商品別1食労務費!$F$5:$F$124)/$AA42,$AB42/$X42))</f>
        <v/>
      </c>
    </row>
    <row r="43" ht="16" customHeight="1" s="438">
      <c r="A43" s="303" t="n">
        <v>36</v>
      </c>
      <c r="B43" s="303" t="inlineStr">
        <is>
          <t>製菓③</t>
        </is>
      </c>
      <c r="C43" s="340" t="n"/>
      <c r="D43" s="339" t="n"/>
      <c r="E43" s="339" t="n"/>
      <c r="F43" s="303">
        <f>IF(OR(D43="",E43=""),"",(E43-D43)*1440)</f>
        <v/>
      </c>
      <c r="G43" s="303" t="n"/>
      <c r="H43" s="303" t="n"/>
      <c r="I43" s="303" t="n"/>
      <c r="J43" s="303" t="n"/>
      <c r="K43" s="303">
        <f>IF(AND(I43&gt;0,ISNUMBER(F43)),I43/(F43/60),"")</f>
        <v/>
      </c>
      <c r="L43" s="303">
        <f>IF(AND(J43&gt;0,ISNUMBER(F43)),J43/(F43/60),"")</f>
        <v/>
      </c>
      <c r="M43" s="303">
        <f>IF(OR(ISNUMBER(SEARCH("サニテーション",C43)),ISNUMBER(SEARCH("客注",C43)),ISNUMBER(SEARCH("切り替え",C43)),ISNUMBER(SEARCH("切替",C43)),NOT(ISNUMBER(H43))),"",IF(ISNUMBER(G43),G43/60*H43*④前提設定!$B$4,IF(AND(G43="",ISNUMBER(F43)),F43/60*H43*④前提設定!$B$4,"")))</f>
        <v/>
      </c>
      <c r="N43" s="303">
        <f>IF(AND(I43&gt;0,ISNUMBER(M43)),M43/I43,"")</f>
        <v/>
      </c>
      <c r="O43" s="303">
        <f>IF(AND(J43&gt;0,ISNUMBER(M43)),M43/J43,"")</f>
        <v/>
      </c>
      <c r="P43" s="303" t="n"/>
      <c r="Q43" s="303" t="n"/>
      <c r="R43" s="340" t="n"/>
      <c r="S43" s="340" t="n"/>
      <c r="T43" s="340" t="n"/>
      <c r="U43" s="340" t="n"/>
      <c r="V43" s="340" t="n"/>
      <c r="W43" s="340" t="n"/>
      <c r="X43">
        <f>COUNTA(R43:W43)</f>
        <v/>
      </c>
      <c r="Y43">
        <f>IF(AND($X43&gt;0,ISNUMBER($M43)),$M43/$X43,"")</f>
        <v/>
      </c>
      <c r="Z43">
        <f>IF($X43=0,"",IF(COUNTIF(⑳商品別1食労務費!$C$5:$C$124,$R43)+COUNTIF(⑳商品別1食労務費!$C$5:$C$124,$S43)+COUNTIF(⑳商品別1食労務費!$C$5:$C$124,$T43)+COUNTIF(⑳商品別1食労務費!$C$5:$C$124,$U43)+COUNTIF(⑳商品別1食労務費!$C$5:$C$124,$V43)+COUNTIF(⑳商品別1食労務費!$C$5:$C$124,$W43)=$X43,"OK","⑳に無い商品名"))</f>
        <v/>
      </c>
      <c r="AA43">
        <f>SUMIF(⑳商品別1食労務費!$C$5:$C$124,$R43,⑳商品別1食労務費!$F$5:$F$124)+SUMIF(⑳商品別1食労務費!$C$5:$C$124,$S43,⑳商品別1食労務費!$F$5:$F$124)+SUMIF(⑳商品別1食労務費!$C$5:$C$124,$T43,⑳商品別1食労務費!$F$5:$F$124)+SUMIF(⑳商品別1食労務費!$C$5:$C$124,$U43,⑳商品別1食労務費!$F$5:$F$124)+SUMIF(⑳商品別1食労務費!$C$5:$C$124,$V43,⑳商品別1食労務費!$F$5:$F$124)+SUMIF(⑳商品別1食労務費!$C$5:$C$124,$W43,⑳商品別1食労務費!$F$5:$F$124)</f>
        <v/>
      </c>
      <c r="AB43">
        <f>IF(ISNUMBER($M43),$M43,0)</f>
        <v/>
      </c>
      <c r="AD43" s="413">
        <f>IF($R43="",0,IF($AA43&gt;0,$AB43*SUMIF(⑳商品別1食労務費!$C$5:$C$124,$R43,⑳商品別1食労務費!$F$5:$F$124)/$AA43,$AB43/$X43))</f>
        <v/>
      </c>
      <c r="AE43" s="413">
        <f>IF($S43="",0,IF($AA43&gt;0,$AB43*SUMIF(⑳商品別1食労務費!$C$5:$C$124,$S43,⑳商品別1食労務費!$F$5:$F$124)/$AA43,$AB43/$X43))</f>
        <v/>
      </c>
      <c r="AF43" s="413">
        <f>IF($T43="",0,IF($AA43&gt;0,$AB43*SUMIF(⑳商品別1食労務費!$C$5:$C$124,$T43,⑳商品別1食労務費!$F$5:$F$124)/$AA43,$AB43/$X43))</f>
        <v/>
      </c>
      <c r="AG43" s="413">
        <f>IF($U43="",0,IF($AA43&gt;0,$AB43*SUMIF(⑳商品別1食労務費!$C$5:$C$124,$U43,⑳商品別1食労務費!$F$5:$F$124)/$AA43,$AB43/$X43))</f>
        <v/>
      </c>
      <c r="AH43" s="413">
        <f>IF($V43="",0,IF($AA43&gt;0,$AB43*SUMIF(⑳商品別1食労務費!$C$5:$C$124,$V43,⑳商品別1食労務費!$F$5:$F$124)/$AA43,$AB43/$X43))</f>
        <v/>
      </c>
      <c r="AI43" s="413">
        <f>IF($W43="",0,IF($AA43&gt;0,$AB43*SUMIF(⑳商品別1食労務費!$C$5:$C$124,$W43,⑳商品別1食労務費!$F$5:$F$124)/$AA43,$AB43/$X43))</f>
        <v/>
      </c>
    </row>
    <row r="44" ht="16" customHeight="1" s="438">
      <c r="A44" s="303" t="n">
        <v>37</v>
      </c>
      <c r="B44" s="303" t="inlineStr">
        <is>
          <t>製菓③</t>
        </is>
      </c>
      <c r="C44" s="340" t="n"/>
      <c r="D44" s="339" t="n"/>
      <c r="E44" s="339" t="n"/>
      <c r="F44" s="303" t="n">
        <v>20</v>
      </c>
      <c r="G44" s="303" t="n"/>
      <c r="H44" s="303" t="n"/>
      <c r="I44" s="303" t="n"/>
      <c r="J44" s="303" t="n"/>
      <c r="K44" s="303">
        <f>IF(AND(I44&gt;0,ISNUMBER(F44)),I44/(F44/60),"")</f>
        <v/>
      </c>
      <c r="L44" s="303">
        <f>IF(AND(J44&gt;0,ISNUMBER(F44)),J44/(F44/60),"")</f>
        <v/>
      </c>
      <c r="M44" s="303">
        <f>IF(OR(ISNUMBER(SEARCH("サニテーション",C44)),ISNUMBER(SEARCH("客注",C44)),ISNUMBER(SEARCH("切り替え",C44)),ISNUMBER(SEARCH("切替",C44)),NOT(ISNUMBER(H44))),"",IF(ISNUMBER(G44),G44/60*H44*④前提設定!$B$4,IF(AND(G44="",ISNUMBER(F44)),F44/60*H44*④前提設定!$B$4,"")))</f>
        <v/>
      </c>
      <c r="N44" s="303">
        <f>IF(AND(I44&gt;0,ISNUMBER(M44)),M44/I44,"")</f>
        <v/>
      </c>
      <c r="O44" s="303">
        <f>IF(AND(J44&gt;0,ISNUMBER(M44)),M44/J44,"")</f>
        <v/>
      </c>
      <c r="P44" s="303" t="n"/>
      <c r="Q44" s="303" t="n"/>
      <c r="R44" s="340" t="n"/>
      <c r="S44" s="340" t="n"/>
      <c r="T44" s="340" t="n"/>
      <c r="U44" s="340" t="n"/>
      <c r="V44" s="340" t="n"/>
      <c r="W44" s="340" t="n"/>
      <c r="X44">
        <f>COUNTA(R44:W44)</f>
        <v/>
      </c>
      <c r="Y44">
        <f>IF(AND($X44&gt;0,ISNUMBER($M44)),$M44/$X44,"")</f>
        <v/>
      </c>
      <c r="Z44">
        <f>IF($X44=0,"",IF(COUNTIF(⑳商品別1食労務費!$C$5:$C$124,$R44)+COUNTIF(⑳商品別1食労務費!$C$5:$C$124,$S44)+COUNTIF(⑳商品別1食労務費!$C$5:$C$124,$T44)+COUNTIF(⑳商品別1食労務費!$C$5:$C$124,$U44)+COUNTIF(⑳商品別1食労務費!$C$5:$C$124,$V44)+COUNTIF(⑳商品別1食労務費!$C$5:$C$124,$W44)=$X44,"OK","⑳に無い商品名"))</f>
        <v/>
      </c>
      <c r="AA44">
        <f>SUMIF(⑳商品別1食労務費!$C$5:$C$124,$R44,⑳商品別1食労務費!$F$5:$F$124)+SUMIF(⑳商品別1食労務費!$C$5:$C$124,$S44,⑳商品別1食労務費!$F$5:$F$124)+SUMIF(⑳商品別1食労務費!$C$5:$C$124,$T44,⑳商品別1食労務費!$F$5:$F$124)+SUMIF(⑳商品別1食労務費!$C$5:$C$124,$U44,⑳商品別1食労務費!$F$5:$F$124)+SUMIF(⑳商品別1食労務費!$C$5:$C$124,$V44,⑳商品別1食労務費!$F$5:$F$124)+SUMIF(⑳商品別1食労務費!$C$5:$C$124,$W44,⑳商品別1食労務費!$F$5:$F$124)</f>
        <v/>
      </c>
      <c r="AB44">
        <f>IF(ISNUMBER($M44),$M44,0)</f>
        <v/>
      </c>
      <c r="AD44" s="413">
        <f>IF($R44="",0,IF($AA44&gt;0,$AB44*SUMIF(⑳商品別1食労務費!$C$5:$C$124,$R44,⑳商品別1食労務費!$F$5:$F$124)/$AA44,$AB44/$X44))</f>
        <v/>
      </c>
      <c r="AE44" s="413">
        <f>IF($S44="",0,IF($AA44&gt;0,$AB44*SUMIF(⑳商品別1食労務費!$C$5:$C$124,$S44,⑳商品別1食労務費!$F$5:$F$124)/$AA44,$AB44/$X44))</f>
        <v/>
      </c>
      <c r="AF44" s="413">
        <f>IF($T44="",0,IF($AA44&gt;0,$AB44*SUMIF(⑳商品別1食労務費!$C$5:$C$124,$T44,⑳商品別1食労務費!$F$5:$F$124)/$AA44,$AB44/$X44))</f>
        <v/>
      </c>
      <c r="AG44" s="413">
        <f>IF($U44="",0,IF($AA44&gt;0,$AB44*SUMIF(⑳商品別1食労務費!$C$5:$C$124,$U44,⑳商品別1食労務費!$F$5:$F$124)/$AA44,$AB44/$X44))</f>
        <v/>
      </c>
      <c r="AH44" s="413">
        <f>IF($V44="",0,IF($AA44&gt;0,$AB44*SUMIF(⑳商品別1食労務費!$C$5:$C$124,$V44,⑳商品別1食労務費!$F$5:$F$124)/$AA44,$AB44/$X44))</f>
        <v/>
      </c>
      <c r="AI44" s="413">
        <f>IF($W44="",0,IF($AA44&gt;0,$AB44*SUMIF(⑳商品別1食労務費!$C$5:$C$124,$W44,⑳商品別1食労務費!$F$5:$F$124)/$AA44,$AB44/$X44))</f>
        <v/>
      </c>
    </row>
    <row r="45" ht="16" customHeight="1" s="438">
      <c r="A45" s="303" t="n">
        <v>38</v>
      </c>
      <c r="B45" s="303" t="inlineStr">
        <is>
          <t>製菓③</t>
        </is>
      </c>
      <c r="C45" s="340" t="n"/>
      <c r="D45" s="339" t="n"/>
      <c r="E45" s="339" t="n"/>
      <c r="F45" s="303" t="n">
        <v>20</v>
      </c>
      <c r="G45" s="303" t="n"/>
      <c r="H45" s="303" t="n"/>
      <c r="I45" s="303" t="n"/>
      <c r="J45" s="303" t="n"/>
      <c r="K45" s="303">
        <f>IF(AND(I45&gt;0,ISNUMBER(F45)),I45/(F45/60),"")</f>
        <v/>
      </c>
      <c r="L45" s="303">
        <f>IF(AND(J45&gt;0,ISNUMBER(F45)),J45/(F45/60),"")</f>
        <v/>
      </c>
      <c r="M45" s="303">
        <f>IF(OR(ISNUMBER(SEARCH("サニテーション",C45)),ISNUMBER(SEARCH("客注",C45)),ISNUMBER(SEARCH("切り替え",C45)),ISNUMBER(SEARCH("切替",C45)),NOT(ISNUMBER(H45))),"",IF(ISNUMBER(G45),G45/60*H45*④前提設定!$B$4,IF(AND(G45="",ISNUMBER(F45)),F45/60*H45*④前提設定!$B$4,"")))</f>
        <v/>
      </c>
      <c r="N45" s="303">
        <f>IF(AND(I45&gt;0,ISNUMBER(M45)),M45/I45,"")</f>
        <v/>
      </c>
      <c r="O45" s="303">
        <f>IF(AND(J45&gt;0,ISNUMBER(M45)),M45/J45,"")</f>
        <v/>
      </c>
      <c r="P45" s="303" t="n"/>
      <c r="Q45" s="303" t="n"/>
      <c r="R45" s="340" t="n"/>
      <c r="S45" s="340" t="n"/>
      <c r="T45" s="340" t="n"/>
      <c r="U45" s="340" t="n"/>
      <c r="V45" s="340" t="n"/>
      <c r="W45" s="340" t="n"/>
      <c r="X45">
        <f>COUNTA(R45:W45)</f>
        <v/>
      </c>
      <c r="Y45">
        <f>IF(AND($X45&gt;0,ISNUMBER($M45)),$M45/$X45,"")</f>
        <v/>
      </c>
      <c r="Z45">
        <f>IF($X45=0,"",IF(COUNTIF(⑳商品別1食労務費!$C$5:$C$124,$R45)+COUNTIF(⑳商品別1食労務費!$C$5:$C$124,$S45)+COUNTIF(⑳商品別1食労務費!$C$5:$C$124,$T45)+COUNTIF(⑳商品別1食労務費!$C$5:$C$124,$U45)+COUNTIF(⑳商品別1食労務費!$C$5:$C$124,$V45)+COUNTIF(⑳商品別1食労務費!$C$5:$C$124,$W45)=$X45,"OK","⑳に無い商品名"))</f>
        <v/>
      </c>
      <c r="AA45">
        <f>SUMIF(⑳商品別1食労務費!$C$5:$C$124,$R45,⑳商品別1食労務費!$F$5:$F$124)+SUMIF(⑳商品別1食労務費!$C$5:$C$124,$S45,⑳商品別1食労務費!$F$5:$F$124)+SUMIF(⑳商品別1食労務費!$C$5:$C$124,$T45,⑳商品別1食労務費!$F$5:$F$124)+SUMIF(⑳商品別1食労務費!$C$5:$C$124,$U45,⑳商品別1食労務費!$F$5:$F$124)+SUMIF(⑳商品別1食労務費!$C$5:$C$124,$V45,⑳商品別1食労務費!$F$5:$F$124)+SUMIF(⑳商品別1食労務費!$C$5:$C$124,$W45,⑳商品別1食労務費!$F$5:$F$124)</f>
        <v/>
      </c>
      <c r="AB45">
        <f>IF(ISNUMBER($M45),$M45,0)</f>
        <v/>
      </c>
      <c r="AD45" s="413">
        <f>IF($R45="",0,IF($AA45&gt;0,$AB45*SUMIF(⑳商品別1食労務費!$C$5:$C$124,$R45,⑳商品別1食労務費!$F$5:$F$124)/$AA45,$AB45/$X45))</f>
        <v/>
      </c>
      <c r="AE45" s="413">
        <f>IF($S45="",0,IF($AA45&gt;0,$AB45*SUMIF(⑳商品別1食労務費!$C$5:$C$124,$S45,⑳商品別1食労務費!$F$5:$F$124)/$AA45,$AB45/$X45))</f>
        <v/>
      </c>
      <c r="AF45" s="413">
        <f>IF($T45="",0,IF($AA45&gt;0,$AB45*SUMIF(⑳商品別1食労務費!$C$5:$C$124,$T45,⑳商品別1食労務費!$F$5:$F$124)/$AA45,$AB45/$X45))</f>
        <v/>
      </c>
      <c r="AG45" s="413">
        <f>IF($U45="",0,IF($AA45&gt;0,$AB45*SUMIF(⑳商品別1食労務費!$C$5:$C$124,$U45,⑳商品別1食労務費!$F$5:$F$124)/$AA45,$AB45/$X45))</f>
        <v/>
      </c>
      <c r="AH45" s="413">
        <f>IF($V45="",0,IF($AA45&gt;0,$AB45*SUMIF(⑳商品別1食労務費!$C$5:$C$124,$V45,⑳商品別1食労務費!$F$5:$F$124)/$AA45,$AB45/$X45))</f>
        <v/>
      </c>
      <c r="AI45" s="413">
        <f>IF($W45="",0,IF($AA45&gt;0,$AB45*SUMIF(⑳商品別1食労務費!$C$5:$C$124,$W45,⑳商品別1食労務費!$F$5:$F$124)/$AA45,$AB45/$X45))</f>
        <v/>
      </c>
    </row>
    <row r="46" ht="16" customHeight="1" s="438">
      <c r="A46" s="303" t="n">
        <v>39</v>
      </c>
      <c r="B46" s="303" t="inlineStr">
        <is>
          <t>製菓③</t>
        </is>
      </c>
      <c r="C46" s="340" t="n"/>
      <c r="D46" s="339" t="n"/>
      <c r="E46" s="339" t="n"/>
      <c r="F46" s="303" t="n">
        <v>40</v>
      </c>
      <c r="G46" s="303" t="n"/>
      <c r="H46" s="303" t="n"/>
      <c r="I46" s="303" t="n"/>
      <c r="J46" s="303" t="n"/>
      <c r="K46" s="303">
        <f>IF(AND(I46&gt;0,ISNUMBER(F46)),I46/(F46/60),"")</f>
        <v/>
      </c>
      <c r="L46" s="303">
        <f>IF(AND(J46&gt;0,ISNUMBER(F46)),J46/(F46/60),"")</f>
        <v/>
      </c>
      <c r="M46" s="303">
        <f>IF(OR(ISNUMBER(SEARCH("サニテーション",C46)),ISNUMBER(SEARCH("客注",C46)),ISNUMBER(SEARCH("切り替え",C46)),ISNUMBER(SEARCH("切替",C46)),NOT(ISNUMBER(H46))),"",IF(ISNUMBER(G46),G46/60*H46*④前提設定!$B$4,IF(AND(G46="",ISNUMBER(F46)),F46/60*H46*④前提設定!$B$4,"")))</f>
        <v/>
      </c>
      <c r="N46" s="303">
        <f>IF(AND(I46&gt;0,ISNUMBER(M46)),M46/I46,"")</f>
        <v/>
      </c>
      <c r="O46" s="303">
        <f>IF(AND(J46&gt;0,ISNUMBER(M46)),M46/J46,"")</f>
        <v/>
      </c>
      <c r="P46" s="303" t="n"/>
      <c r="Q46" s="303" t="n"/>
      <c r="R46" s="340" t="n"/>
      <c r="S46" s="340" t="n"/>
      <c r="T46" s="340" t="n"/>
      <c r="U46" s="340" t="n"/>
      <c r="V46" s="340" t="n"/>
      <c r="W46" s="340" t="n"/>
      <c r="X46">
        <f>COUNTA(R46:W46)</f>
        <v/>
      </c>
      <c r="Y46">
        <f>IF(AND($X46&gt;0,ISNUMBER($M46)),$M46/$X46,"")</f>
        <v/>
      </c>
      <c r="Z46">
        <f>IF($X46=0,"",IF(COUNTIF(⑳商品別1食労務費!$C$5:$C$124,$R46)+COUNTIF(⑳商品別1食労務費!$C$5:$C$124,$S46)+COUNTIF(⑳商品別1食労務費!$C$5:$C$124,$T46)+COUNTIF(⑳商品別1食労務費!$C$5:$C$124,$U46)+COUNTIF(⑳商品別1食労務費!$C$5:$C$124,$V46)+COUNTIF(⑳商品別1食労務費!$C$5:$C$124,$W46)=$X46,"OK","⑳に無い商品名"))</f>
        <v/>
      </c>
      <c r="AA46">
        <f>SUMIF(⑳商品別1食労務費!$C$5:$C$124,$R46,⑳商品別1食労務費!$F$5:$F$124)+SUMIF(⑳商品別1食労務費!$C$5:$C$124,$S46,⑳商品別1食労務費!$F$5:$F$124)+SUMIF(⑳商品別1食労務費!$C$5:$C$124,$T46,⑳商品別1食労務費!$F$5:$F$124)+SUMIF(⑳商品別1食労務費!$C$5:$C$124,$U46,⑳商品別1食労務費!$F$5:$F$124)+SUMIF(⑳商品別1食労務費!$C$5:$C$124,$V46,⑳商品別1食労務費!$F$5:$F$124)+SUMIF(⑳商品別1食労務費!$C$5:$C$124,$W46,⑳商品別1食労務費!$F$5:$F$124)</f>
        <v/>
      </c>
      <c r="AB46">
        <f>IF(ISNUMBER($M46),$M46,0)</f>
        <v/>
      </c>
      <c r="AD46" s="413">
        <f>IF($R46="",0,IF($AA46&gt;0,$AB46*SUMIF(⑳商品別1食労務費!$C$5:$C$124,$R46,⑳商品別1食労務費!$F$5:$F$124)/$AA46,$AB46/$X46))</f>
        <v/>
      </c>
      <c r="AE46" s="413">
        <f>IF($S46="",0,IF($AA46&gt;0,$AB46*SUMIF(⑳商品別1食労務費!$C$5:$C$124,$S46,⑳商品別1食労務費!$F$5:$F$124)/$AA46,$AB46/$X46))</f>
        <v/>
      </c>
      <c r="AF46" s="413">
        <f>IF($T46="",0,IF($AA46&gt;0,$AB46*SUMIF(⑳商品別1食労務費!$C$5:$C$124,$T46,⑳商品別1食労務費!$F$5:$F$124)/$AA46,$AB46/$X46))</f>
        <v/>
      </c>
      <c r="AG46" s="413">
        <f>IF($U46="",0,IF($AA46&gt;0,$AB46*SUMIF(⑳商品別1食労務費!$C$5:$C$124,$U46,⑳商品別1食労務費!$F$5:$F$124)/$AA46,$AB46/$X46))</f>
        <v/>
      </c>
      <c r="AH46" s="413">
        <f>IF($V46="",0,IF($AA46&gt;0,$AB46*SUMIF(⑳商品別1食労務費!$C$5:$C$124,$V46,⑳商品別1食労務費!$F$5:$F$124)/$AA46,$AB46/$X46))</f>
        <v/>
      </c>
      <c r="AI46" s="413">
        <f>IF($W46="",0,IF($AA46&gt;0,$AB46*SUMIF(⑳商品別1食労務費!$C$5:$C$124,$W46,⑳商品別1食労務費!$F$5:$F$124)/$AA46,$AB46/$X46))</f>
        <v/>
      </c>
    </row>
    <row r="47" ht="16" customHeight="1" s="438" thickBot="1">
      <c r="A47" s="303" t="n">
        <v>40</v>
      </c>
      <c r="B47" s="303" t="inlineStr">
        <is>
          <t>製菓③</t>
        </is>
      </c>
      <c r="C47" s="340" t="n"/>
      <c r="D47" s="339" t="n"/>
      <c r="E47" s="339" t="n"/>
      <c r="F47" s="303" t="n">
        <v>5</v>
      </c>
      <c r="G47" s="303" t="n"/>
      <c r="H47" s="303" t="n"/>
      <c r="I47" s="303" t="n"/>
      <c r="J47" s="303" t="n"/>
      <c r="K47" s="303">
        <f>IF(AND(I47&gt;0,ISNUMBER(F47)),I47/(F47/60),"")</f>
        <v/>
      </c>
      <c r="L47" s="303">
        <f>IF(AND(J47&gt;0,ISNUMBER(F47)),J47/(F47/60),"")</f>
        <v/>
      </c>
      <c r="M47" s="303">
        <f>IF(OR(ISNUMBER(SEARCH("サニテーション",C47)),ISNUMBER(SEARCH("客注",C47)),ISNUMBER(SEARCH("切り替え",C47)),ISNUMBER(SEARCH("切替",C47)),NOT(ISNUMBER(H47))),"",IF(ISNUMBER(G47),G47/60*H47*④前提設定!$B$4,IF(AND(G47="",ISNUMBER(F47)),F47/60*H47*④前提設定!$B$4,"")))</f>
        <v/>
      </c>
      <c r="N47" s="303">
        <f>IF(AND(I47&gt;0,ISNUMBER(M47)),M47/I47,"")</f>
        <v/>
      </c>
      <c r="O47" s="303">
        <f>IF(AND(J47&gt;0,ISNUMBER(M47)),M47/J47,"")</f>
        <v/>
      </c>
      <c r="P47" s="303" t="n"/>
      <c r="Q47" s="303" t="n"/>
      <c r="R47" s="340" t="n"/>
      <c r="S47" s="340" t="n"/>
      <c r="T47" s="340" t="n"/>
      <c r="U47" s="340" t="n"/>
      <c r="V47" s="340" t="n"/>
      <c r="W47" s="340" t="n"/>
      <c r="X47">
        <f>COUNTA(R47:W47)</f>
        <v/>
      </c>
      <c r="Y47">
        <f>IF(AND($X47&gt;0,ISNUMBER($M47)),$M47/$X47,"")</f>
        <v/>
      </c>
      <c r="Z47">
        <f>IF($X47=0,"",IF(COUNTIF(⑳商品別1食労務費!$C$5:$C$124,$R47)+COUNTIF(⑳商品別1食労務費!$C$5:$C$124,$S47)+COUNTIF(⑳商品別1食労務費!$C$5:$C$124,$T47)+COUNTIF(⑳商品別1食労務費!$C$5:$C$124,$U47)+COUNTIF(⑳商品別1食労務費!$C$5:$C$124,$V47)+COUNTIF(⑳商品別1食労務費!$C$5:$C$124,$W47)=$X47,"OK","⑳に無い商品名"))</f>
        <v/>
      </c>
      <c r="AA47">
        <f>SUMIF(⑳商品別1食労務費!$C$5:$C$124,$R47,⑳商品別1食労務費!$F$5:$F$124)+SUMIF(⑳商品別1食労務費!$C$5:$C$124,$S47,⑳商品別1食労務費!$F$5:$F$124)+SUMIF(⑳商品別1食労務費!$C$5:$C$124,$T47,⑳商品別1食労務費!$F$5:$F$124)+SUMIF(⑳商品別1食労務費!$C$5:$C$124,$U47,⑳商品別1食労務費!$F$5:$F$124)+SUMIF(⑳商品別1食労務費!$C$5:$C$124,$V47,⑳商品別1食労務費!$F$5:$F$124)+SUMIF(⑳商品別1食労務費!$C$5:$C$124,$W47,⑳商品別1食労務費!$F$5:$F$124)</f>
        <v/>
      </c>
      <c r="AB47">
        <f>IF(ISNUMBER($M47),$M47,0)</f>
        <v/>
      </c>
      <c r="AD47" s="413">
        <f>IF($R47="",0,IF($AA47&gt;0,$AB47*SUMIF(⑳商品別1食労務費!$C$5:$C$124,$R47,⑳商品別1食労務費!$F$5:$F$124)/$AA47,$AB47/$X47))</f>
        <v/>
      </c>
      <c r="AE47" s="413">
        <f>IF($S47="",0,IF($AA47&gt;0,$AB47*SUMIF(⑳商品別1食労務費!$C$5:$C$124,$S47,⑳商品別1食労務費!$F$5:$F$124)/$AA47,$AB47/$X47))</f>
        <v/>
      </c>
      <c r="AF47" s="413">
        <f>IF($T47="",0,IF($AA47&gt;0,$AB47*SUMIF(⑳商品別1食労務費!$C$5:$C$124,$T47,⑳商品別1食労務費!$F$5:$F$124)/$AA47,$AB47/$X47))</f>
        <v/>
      </c>
      <c r="AG47" s="413">
        <f>IF($U47="",0,IF($AA47&gt;0,$AB47*SUMIF(⑳商品別1食労務費!$C$5:$C$124,$U47,⑳商品別1食労務費!$F$5:$F$124)/$AA47,$AB47/$X47))</f>
        <v/>
      </c>
      <c r="AH47" s="413">
        <f>IF($V47="",0,IF($AA47&gt;0,$AB47*SUMIF(⑳商品別1食労務費!$C$5:$C$124,$V47,⑳商品別1食労務費!$F$5:$F$124)/$AA47,$AB47/$X47))</f>
        <v/>
      </c>
      <c r="AI47" s="413">
        <f>IF($W47="",0,IF($AA47&gt;0,$AB47*SUMIF(⑳商品別1食労務費!$C$5:$C$124,$W47,⑳商品別1食労務費!$F$5:$F$124)/$AA47,$AB47/$X47))</f>
        <v/>
      </c>
    </row>
    <row r="48" ht="22" customHeight="1" s="438" thickBot="1">
      <c r="A48" s="311" t="inlineStr">
        <is>
          <t>合計/平均</t>
        </is>
      </c>
      <c r="B48" s="311" t="n"/>
      <c r="C48" s="311" t="n"/>
      <c r="D48" s="311" t="n"/>
      <c r="E48" s="311" t="n"/>
      <c r="F48" s="311" t="n"/>
      <c r="G48" s="311" t="n"/>
      <c r="H48" s="311" t="n">
        <v>3</v>
      </c>
      <c r="I48" s="311">
        <f>SUM(I6:I47)</f>
        <v/>
      </c>
      <c r="J48" s="311">
        <f>SUM(J6:J47)</f>
        <v/>
      </c>
      <c r="K48" s="311">
        <f>IFERROR(AVERAGEIF(K6:K47,"&gt;0"),"-")</f>
        <v/>
      </c>
      <c r="L48" s="311">
        <f>IFERROR(AVERAGEIF(L6:L47,"&gt;0"),"-")</f>
        <v/>
      </c>
      <c r="M48" s="311">
        <f>SUM(M6:M47)</f>
        <v/>
      </c>
      <c r="N48" s="311">
        <f>IFERROR(AVERAGEIF(N6:N47,"&gt;0"),"-")</f>
        <v/>
      </c>
      <c r="O48" s="311">
        <f>IFERROR(AVERAGEIF(O6:O47,"&gt;0"),"-")</f>
        <v/>
      </c>
      <c r="P48" s="311" t="n"/>
      <c r="Q48" s="311" t="n"/>
    </row>
    <row r="49">
      <c r="H49" s="456" t="n">
        <v>3</v>
      </c>
      <c r="M49" s="456">
        <f>IF(OR(ISNUMBER(SEARCH("サニテーション",C49)),ISNUMBER(SEARCH("客注",C49)),ISNUMBER(SEARCH("切り替え",C49)),ISNUMBER(SEARCH("切替",C49)),NOT(ISNUMBER(H49))),"",IF(ISNUMBER(G49),G49/60*H49*④前提設定!$B$4,IF(AND(G49="",ISNUMBER(F49)),F49/60*H49*④前提設定!$B$4,"")))</f>
        <v/>
      </c>
    </row>
    <row r="50" ht="22" customHeight="1" s="438">
      <c r="A50" s="456" t="inlineStr">
        <is>
          <t>💡 H列（重量kg）・I列（個数）はどちらに入力しても自動計算されます　|　両方入力も可　|　J列=kg/h　K列=個/h　L列=労務費　M列=円/kg　N列=円/個　|　稼働時間はD〜E列の開始・終了から自動計算</t>
        </is>
      </c>
      <c r="H50" s="456" t="n">
        <v>3</v>
      </c>
      <c r="M50" s="456">
        <f>IF(OR(ISNUMBER(SEARCH("サニテーション",C50)),ISNUMBER(SEARCH("客注",C50)),ISNUMBER(SEARCH("切り替え",C50)),ISNUMBER(SEARCH("切替",C50)),NOT(ISNUMBER(H50))),"",IF(ISNUMBER(G50),G50/60*H50*④前提設定!$B$4,IF(AND(G50="",ISNUMBER(F50)),F50/60*H50*④前提設定!$B$4,"")))</f>
        <v/>
      </c>
    </row>
  </sheetData>
  <mergeCells count="9">
    <mergeCell ref="A4:B4"/>
    <mergeCell ref="P4:Q4"/>
    <mergeCell ref="I4:J4"/>
    <mergeCell ref="M4:O4"/>
    <mergeCell ref="A2:Q2"/>
    <mergeCell ref="K4:L4"/>
    <mergeCell ref="A1:Q1"/>
    <mergeCell ref="R4:S4"/>
    <mergeCell ref="D4:G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0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AD1"/>
    </sheetView>
  </sheetViews>
  <sheetFormatPr baseColWidth="8" defaultRowHeight="13"/>
  <cols>
    <col width="12" customWidth="1" style="438" min="1" max="1"/>
    <col width="7" customWidth="1" style="438" min="2" max="2"/>
    <col width="11" customWidth="1" style="438" min="3" max="3"/>
    <col width="10" customWidth="1" style="438" min="4" max="4"/>
    <col width="11" customWidth="1" style="438" min="5" max="5"/>
    <col width="10" customWidth="1" style="438" min="6" max="6"/>
    <col width="11" customWidth="1" style="438" min="7" max="7"/>
    <col width="10" customWidth="1" style="438" min="8" max="8"/>
    <col width="11" customWidth="1" style="438" min="9" max="9"/>
    <col width="10" customWidth="1" style="438" min="10" max="10"/>
    <col width="11" customWidth="1" style="438" min="11" max="11"/>
    <col width="10" customWidth="1" style="438" min="12" max="12"/>
    <col width="11" customWidth="1" style="438" min="13" max="13"/>
    <col width="10" customWidth="1" style="438" min="14" max="14"/>
    <col width="11" customWidth="1" style="438" min="15" max="15"/>
    <col width="10" customWidth="1" style="438" min="16" max="16"/>
    <col width="11" customWidth="1" style="438" min="17" max="17"/>
    <col width="10" customWidth="1" style="438" min="18" max="18"/>
    <col width="11" customWidth="1" style="438" min="19" max="19"/>
    <col width="10" customWidth="1" style="438" min="20" max="20"/>
    <col width="11" customWidth="1" style="438" min="21" max="21"/>
    <col width="10" customWidth="1" style="438" min="22" max="22"/>
    <col width="11" customWidth="1" style="438" min="23" max="23"/>
    <col width="10" customWidth="1" style="438" min="24" max="24"/>
    <col width="11" customWidth="1" style="438" min="25" max="25"/>
    <col width="10" customWidth="1" style="438" min="26" max="26"/>
    <col width="11" customWidth="1" style="438" min="27" max="27"/>
    <col width="10" customWidth="1" style="438" min="28" max="28"/>
    <col width="11" customWidth="1" style="438" min="29" max="29"/>
    <col width="10" customWidth="1" style="438" min="30" max="30"/>
  </cols>
  <sheetData>
    <row r="1" ht="28" customHeight="1" s="438">
      <c r="A1" s="505" t="inlineStr">
        <is>
          <t>益子工場　日次生産性記録　（Claudeが毎日自動追記）</t>
        </is>
      </c>
    </row>
    <row r="2" ht="16" customHeight="1" s="438">
      <c r="A2" s="504" t="inlineStr">
        <is>
          <t>毎日：各工程シートに入力 → ファイルをClaudeに送って「今日の実績を記録して」と言うだけで自動追記</t>
        </is>
      </c>
    </row>
    <row r="3" ht="8" customHeight="1" s="438"/>
    <row r="4" ht="22" customHeight="1" s="438">
      <c r="A4" s="499" t="inlineStr">
        <is>
          <t>日付</t>
        </is>
      </c>
      <c r="B4" s="499" t="inlineStr">
        <is>
          <t>曜日</t>
        </is>
      </c>
      <c r="C4" s="501" t="inlineStr">
        <is>
          <t>釜</t>
        </is>
      </c>
      <c r="G4" s="502" t="inlineStr">
        <is>
          <t>スチコン</t>
        </is>
      </c>
      <c r="K4" s="497" t="inlineStr">
        <is>
          <t>盛り込み</t>
        </is>
      </c>
      <c r="O4" s="498" t="inlineStr">
        <is>
          <t>フライヤー</t>
        </is>
      </c>
      <c r="S4" s="500" t="inlineStr">
        <is>
          <t>ジェット</t>
        </is>
      </c>
      <c r="W4" s="502" t="inlineStr">
        <is>
          <t>カット</t>
        </is>
      </c>
      <c r="AA4" s="503" t="inlineStr">
        <is>
          <t>製菓</t>
        </is>
      </c>
    </row>
    <row r="5" ht="32" customHeight="1" s="438">
      <c r="C5" s="204" t="inlineStr">
        <is>
          <t>平均生産性
(kg/h)</t>
        </is>
      </c>
      <c r="D5" s="204" t="inlineStr">
        <is>
          <t>総量
(kg)</t>
        </is>
      </c>
      <c r="E5" s="204" t="inlineStr">
        <is>
          <t>労務費
(円)</t>
        </is>
      </c>
      <c r="F5" s="204" t="inlineStr">
        <is>
          <t>実作業
(分)</t>
        </is>
      </c>
      <c r="G5" s="205" t="inlineStr">
        <is>
          <t>平均生産性
(kg/h)</t>
        </is>
      </c>
      <c r="H5" s="205" t="inlineStr">
        <is>
          <t>総量
(kg)</t>
        </is>
      </c>
      <c r="I5" s="205" t="inlineStr">
        <is>
          <t>労務費
(円)</t>
        </is>
      </c>
      <c r="J5" s="205" t="inlineStr">
        <is>
          <t>実作業
(分)</t>
        </is>
      </c>
      <c r="K5" s="206" t="inlineStr">
        <is>
          <t>平均生産性
(個/h)</t>
        </is>
      </c>
      <c r="L5" s="206" t="inlineStr">
        <is>
          <t>総量
(個)</t>
        </is>
      </c>
      <c r="M5" s="206" t="inlineStr">
        <is>
          <t>労務費
(円)</t>
        </is>
      </c>
      <c r="N5" s="206" t="inlineStr">
        <is>
          <t>実作業
(分)</t>
        </is>
      </c>
      <c r="O5" s="207" t="inlineStr">
        <is>
          <t>平均生産性
(kg/h)</t>
        </is>
      </c>
      <c r="P5" s="207" t="inlineStr">
        <is>
          <t>総量
(kg)</t>
        </is>
      </c>
      <c r="Q5" s="207" t="inlineStr">
        <is>
          <t>労務費
(円)</t>
        </is>
      </c>
      <c r="R5" s="207" t="inlineStr">
        <is>
          <t>実作業
(分)</t>
        </is>
      </c>
      <c r="S5" s="208" t="inlineStr">
        <is>
          <t>平均生産性
(kg/h)</t>
        </is>
      </c>
      <c r="T5" s="208" t="inlineStr">
        <is>
          <t>総量
(kg)</t>
        </is>
      </c>
      <c r="U5" s="208" t="inlineStr">
        <is>
          <t>労務費
(円)</t>
        </is>
      </c>
      <c r="V5" s="208" t="inlineStr">
        <is>
          <t>実作業
(分)</t>
        </is>
      </c>
      <c r="W5" s="205" t="inlineStr">
        <is>
          <t>平均生産性
(kg/h)</t>
        </is>
      </c>
      <c r="X5" s="205" t="inlineStr">
        <is>
          <t>総量
(kg)</t>
        </is>
      </c>
      <c r="Y5" s="205" t="inlineStr">
        <is>
          <t>労務費
(円)</t>
        </is>
      </c>
      <c r="Z5" s="205" t="inlineStr">
        <is>
          <t>実作業
(分)</t>
        </is>
      </c>
      <c r="AA5" s="209" t="inlineStr">
        <is>
          <t>平均生産性
(個/h)</t>
        </is>
      </c>
      <c r="AB5" s="209" t="inlineStr">
        <is>
          <t>総量
(個)</t>
        </is>
      </c>
      <c r="AC5" s="209" t="inlineStr">
        <is>
          <t>労務費
(円)</t>
        </is>
      </c>
      <c r="AD5" s="209" t="inlineStr">
        <is>
          <t>実作業
(分)</t>
        </is>
      </c>
    </row>
    <row r="6" ht="15" customHeight="1" s="438">
      <c r="A6" s="210" t="n"/>
      <c r="B6" s="211">
        <f>IF(A6="","",TEXT(A6,"aaa"))</f>
        <v/>
      </c>
      <c r="C6" s="559" t="n"/>
      <c r="D6" s="559" t="n"/>
      <c r="E6" s="213" t="n"/>
      <c r="F6" s="213" t="n"/>
      <c r="G6" s="560" t="n"/>
      <c r="H6" s="560" t="n"/>
      <c r="I6" s="215" t="n"/>
      <c r="J6" s="215" t="n"/>
      <c r="K6" s="561" t="n"/>
      <c r="L6" s="561" t="n"/>
      <c r="M6" s="217" t="n"/>
      <c r="N6" s="217" t="n"/>
      <c r="O6" s="562" t="n"/>
      <c r="P6" s="562" t="n"/>
      <c r="Q6" s="219" t="n"/>
      <c r="R6" s="219" t="n"/>
      <c r="S6" s="563" t="n"/>
      <c r="T6" s="563" t="n"/>
      <c r="U6" s="221" t="n"/>
      <c r="V6" s="221" t="n"/>
      <c r="W6" s="564" t="n"/>
      <c r="X6" s="564" t="n"/>
      <c r="Y6" s="223" t="n"/>
      <c r="Z6" s="223" t="n"/>
      <c r="AA6" s="565" t="n"/>
      <c r="AB6" s="565" t="n"/>
      <c r="AC6" s="225" t="n"/>
      <c r="AD6" s="225" t="n"/>
    </row>
    <row r="7" ht="15" customHeight="1" s="438">
      <c r="A7" s="210" t="n"/>
      <c r="B7" s="226">
        <f>IF(A7="","",TEXT(A7,"aaa"))</f>
        <v/>
      </c>
      <c r="C7" s="559" t="n"/>
      <c r="D7" s="559" t="n"/>
      <c r="E7" s="213" t="n"/>
      <c r="F7" s="213" t="n"/>
      <c r="G7" s="560" t="n"/>
      <c r="H7" s="560" t="n"/>
      <c r="I7" s="215" t="n"/>
      <c r="J7" s="215" t="n"/>
      <c r="K7" s="561" t="n"/>
      <c r="L7" s="561" t="n"/>
      <c r="M7" s="217" t="n"/>
      <c r="N7" s="217" t="n"/>
      <c r="O7" s="562" t="n"/>
      <c r="P7" s="562" t="n"/>
      <c r="Q7" s="219" t="n"/>
      <c r="R7" s="219" t="n"/>
      <c r="S7" s="563" t="n"/>
      <c r="T7" s="563" t="n"/>
      <c r="U7" s="221" t="n"/>
      <c r="V7" s="221" t="n"/>
      <c r="W7" s="564" t="n"/>
      <c r="X7" s="564" t="n"/>
      <c r="Y7" s="223" t="n"/>
      <c r="Z7" s="223" t="n"/>
      <c r="AA7" s="565" t="n"/>
      <c r="AB7" s="565" t="n"/>
      <c r="AC7" s="225" t="n"/>
      <c r="AD7" s="225" t="n"/>
    </row>
    <row r="8" ht="15" customHeight="1" s="438">
      <c r="A8" s="210" t="n"/>
      <c r="B8" s="211">
        <f>IF(A8="","",TEXT(A8,"aaa"))</f>
        <v/>
      </c>
      <c r="C8" s="559" t="n"/>
      <c r="D8" s="559" t="n"/>
      <c r="E8" s="213" t="n"/>
      <c r="F8" s="213" t="n"/>
      <c r="G8" s="560" t="n"/>
      <c r="H8" s="560" t="n"/>
      <c r="I8" s="215" t="n"/>
      <c r="J8" s="215" t="n"/>
      <c r="K8" s="561" t="n"/>
      <c r="L8" s="561" t="n"/>
      <c r="M8" s="217" t="n"/>
      <c r="N8" s="217" t="n"/>
      <c r="O8" s="562" t="n"/>
      <c r="P8" s="562" t="n"/>
      <c r="Q8" s="219" t="n"/>
      <c r="R8" s="219" t="n"/>
      <c r="S8" s="563" t="n"/>
      <c r="T8" s="563" t="n"/>
      <c r="U8" s="221" t="n"/>
      <c r="V8" s="221" t="n"/>
      <c r="W8" s="564" t="n"/>
      <c r="X8" s="564" t="n"/>
      <c r="Y8" s="223" t="n"/>
      <c r="Z8" s="223" t="n"/>
      <c r="AA8" s="565" t="n"/>
      <c r="AB8" s="565" t="n"/>
      <c r="AC8" s="225" t="n"/>
      <c r="AD8" s="225" t="n"/>
    </row>
    <row r="9" ht="15" customHeight="1" s="438">
      <c r="A9" s="210" t="n"/>
      <c r="B9" s="226">
        <f>IF(A9="","",TEXT(A9,"aaa"))</f>
        <v/>
      </c>
      <c r="C9" s="559" t="n"/>
      <c r="D9" s="559" t="n"/>
      <c r="E9" s="213" t="n"/>
      <c r="F9" s="213" t="n"/>
      <c r="G9" s="560" t="n"/>
      <c r="H9" s="560" t="n"/>
      <c r="I9" s="215" t="n"/>
      <c r="J9" s="215" t="n"/>
      <c r="K9" s="561" t="n"/>
      <c r="L9" s="561" t="n"/>
      <c r="M9" s="217" t="n"/>
      <c r="N9" s="217" t="n"/>
      <c r="O9" s="562" t="n"/>
      <c r="P9" s="562" t="n"/>
      <c r="Q9" s="219" t="n"/>
      <c r="R9" s="219" t="n"/>
      <c r="S9" s="563" t="n"/>
      <c r="T9" s="563" t="n"/>
      <c r="U9" s="221" t="n"/>
      <c r="V9" s="221" t="n"/>
      <c r="W9" s="564" t="n"/>
      <c r="X9" s="564" t="n"/>
      <c r="Y9" s="223" t="n"/>
      <c r="Z9" s="223" t="n"/>
      <c r="AA9" s="565" t="n"/>
      <c r="AB9" s="565" t="n"/>
      <c r="AC9" s="225" t="n"/>
      <c r="AD9" s="225" t="n"/>
    </row>
    <row r="10" ht="15" customHeight="1" s="438">
      <c r="A10" s="210" t="n"/>
      <c r="B10" s="211">
        <f>IF(A10="","",TEXT(A10,"aaa"))</f>
        <v/>
      </c>
      <c r="C10" s="559" t="n"/>
      <c r="D10" s="559" t="n"/>
      <c r="E10" s="213" t="n"/>
      <c r="F10" s="213" t="n"/>
      <c r="G10" s="560" t="n"/>
      <c r="H10" s="560" t="n"/>
      <c r="I10" s="215" t="n"/>
      <c r="J10" s="215" t="n"/>
      <c r="K10" s="561" t="n"/>
      <c r="L10" s="561" t="n"/>
      <c r="M10" s="217" t="n"/>
      <c r="N10" s="217" t="n"/>
      <c r="O10" s="562" t="n"/>
      <c r="P10" s="562" t="n"/>
      <c r="Q10" s="219" t="n"/>
      <c r="R10" s="219" t="n"/>
      <c r="S10" s="563" t="n"/>
      <c r="T10" s="563" t="n"/>
      <c r="U10" s="221" t="n"/>
      <c r="V10" s="221" t="n"/>
      <c r="W10" s="564" t="n"/>
      <c r="X10" s="564" t="n"/>
      <c r="Y10" s="223" t="n"/>
      <c r="Z10" s="223" t="n"/>
      <c r="AA10" s="565" t="n"/>
      <c r="AB10" s="565" t="n"/>
      <c r="AC10" s="225" t="n"/>
      <c r="AD10" s="225" t="n"/>
    </row>
    <row r="11" ht="15" customHeight="1" s="438">
      <c r="A11" s="210" t="n"/>
      <c r="B11" s="226">
        <f>IF(A11="","",TEXT(A11,"aaa"))</f>
        <v/>
      </c>
      <c r="C11" s="559" t="n"/>
      <c r="D11" s="559" t="n"/>
      <c r="E11" s="213" t="n"/>
      <c r="F11" s="213" t="n"/>
      <c r="G11" s="560" t="n"/>
      <c r="H11" s="560" t="n"/>
      <c r="I11" s="215" t="n"/>
      <c r="J11" s="215" t="n"/>
      <c r="K11" s="561" t="n"/>
      <c r="L11" s="561" t="n"/>
      <c r="M11" s="217" t="n"/>
      <c r="N11" s="217" t="n"/>
      <c r="O11" s="562" t="n"/>
      <c r="P11" s="562" t="n"/>
      <c r="Q11" s="219" t="n"/>
      <c r="R11" s="219" t="n"/>
      <c r="S11" s="563" t="n"/>
      <c r="T11" s="563" t="n"/>
      <c r="U11" s="221" t="n"/>
      <c r="V11" s="221" t="n"/>
      <c r="W11" s="564" t="n"/>
      <c r="X11" s="564" t="n"/>
      <c r="Y11" s="223" t="n"/>
      <c r="Z11" s="223" t="n"/>
      <c r="AA11" s="565" t="n"/>
      <c r="AB11" s="565" t="n"/>
      <c r="AC11" s="225" t="n"/>
      <c r="AD11" s="225" t="n"/>
    </row>
    <row r="12" ht="15" customHeight="1" s="438">
      <c r="A12" s="210" t="n"/>
      <c r="B12" s="211">
        <f>IF(A12="","",TEXT(A12,"aaa"))</f>
        <v/>
      </c>
      <c r="C12" s="559" t="n"/>
      <c r="D12" s="559" t="n"/>
      <c r="E12" s="213" t="n"/>
      <c r="F12" s="213" t="n"/>
      <c r="G12" s="560" t="n"/>
      <c r="H12" s="560" t="n"/>
      <c r="I12" s="215" t="n"/>
      <c r="J12" s="215" t="n"/>
      <c r="K12" s="561" t="n"/>
      <c r="L12" s="561" t="n"/>
      <c r="M12" s="217" t="n"/>
      <c r="N12" s="217" t="n"/>
      <c r="O12" s="562" t="n"/>
      <c r="P12" s="562" t="n"/>
      <c r="Q12" s="219" t="n"/>
      <c r="R12" s="219" t="n"/>
      <c r="S12" s="563" t="n"/>
      <c r="T12" s="563" t="n"/>
      <c r="U12" s="221" t="n"/>
      <c r="V12" s="221" t="n"/>
      <c r="W12" s="564" t="n"/>
      <c r="X12" s="564" t="n"/>
      <c r="Y12" s="223" t="n"/>
      <c r="Z12" s="223" t="n"/>
      <c r="AA12" s="565" t="n"/>
      <c r="AB12" s="565" t="n"/>
      <c r="AC12" s="225" t="n"/>
      <c r="AD12" s="225" t="n"/>
    </row>
    <row r="13" ht="15" customHeight="1" s="438">
      <c r="A13" s="210" t="n"/>
      <c r="B13" s="226">
        <f>IF(A13="","",TEXT(A13,"aaa"))</f>
        <v/>
      </c>
      <c r="C13" s="559" t="n"/>
      <c r="D13" s="559" t="n"/>
      <c r="E13" s="213" t="n"/>
      <c r="F13" s="213" t="n"/>
      <c r="G13" s="560" t="n"/>
      <c r="H13" s="560" t="n"/>
      <c r="I13" s="215" t="n"/>
      <c r="J13" s="215" t="n"/>
      <c r="K13" s="561" t="n"/>
      <c r="L13" s="561" t="n"/>
      <c r="M13" s="217" t="n"/>
      <c r="N13" s="217" t="n"/>
      <c r="O13" s="562" t="n"/>
      <c r="P13" s="562" t="n"/>
      <c r="Q13" s="219" t="n"/>
      <c r="R13" s="219" t="n"/>
      <c r="S13" s="563" t="n"/>
      <c r="T13" s="563" t="n"/>
      <c r="U13" s="221" t="n"/>
      <c r="V13" s="221" t="n"/>
      <c r="W13" s="564" t="n"/>
      <c r="X13" s="564" t="n"/>
      <c r="Y13" s="223" t="n"/>
      <c r="Z13" s="223" t="n"/>
      <c r="AA13" s="565" t="n"/>
      <c r="AB13" s="565" t="n"/>
      <c r="AC13" s="225" t="n"/>
      <c r="AD13" s="225" t="n"/>
    </row>
    <row r="14" ht="15" customHeight="1" s="438">
      <c r="A14" s="210" t="n"/>
      <c r="B14" s="211">
        <f>IF(A14="","",TEXT(A14,"aaa"))</f>
        <v/>
      </c>
      <c r="C14" s="559" t="n"/>
      <c r="D14" s="559" t="n"/>
      <c r="E14" s="213" t="n"/>
      <c r="F14" s="213" t="n"/>
      <c r="G14" s="560" t="n"/>
      <c r="H14" s="560" t="n"/>
      <c r="I14" s="215" t="n"/>
      <c r="J14" s="215" t="n"/>
      <c r="K14" s="561" t="n"/>
      <c r="L14" s="561" t="n"/>
      <c r="M14" s="217" t="n"/>
      <c r="N14" s="217" t="n"/>
      <c r="O14" s="562" t="n"/>
      <c r="P14" s="562" t="n"/>
      <c r="Q14" s="219" t="n"/>
      <c r="R14" s="219" t="n"/>
      <c r="S14" s="563" t="n"/>
      <c r="T14" s="563" t="n"/>
      <c r="U14" s="221" t="n"/>
      <c r="V14" s="221" t="n"/>
      <c r="W14" s="564" t="n"/>
      <c r="X14" s="564" t="n"/>
      <c r="Y14" s="223" t="n"/>
      <c r="Z14" s="223" t="n"/>
      <c r="AA14" s="565" t="n"/>
      <c r="AB14" s="565" t="n"/>
      <c r="AC14" s="225" t="n"/>
      <c r="AD14" s="225" t="n"/>
    </row>
    <row r="15" ht="15" customHeight="1" s="438">
      <c r="A15" s="210" t="n"/>
      <c r="B15" s="226">
        <f>IF(A15="","",TEXT(A15,"aaa"))</f>
        <v/>
      </c>
      <c r="C15" s="559" t="n"/>
      <c r="D15" s="559" t="n"/>
      <c r="E15" s="213" t="n"/>
      <c r="F15" s="213" t="n"/>
      <c r="G15" s="560" t="n"/>
      <c r="H15" s="560" t="n"/>
      <c r="I15" s="215" t="n"/>
      <c r="J15" s="215" t="n"/>
      <c r="K15" s="561" t="n"/>
      <c r="L15" s="561" t="n"/>
      <c r="M15" s="217" t="n"/>
      <c r="N15" s="217" t="n"/>
      <c r="O15" s="562" t="n"/>
      <c r="P15" s="562" t="n"/>
      <c r="Q15" s="219" t="n"/>
      <c r="R15" s="219" t="n"/>
      <c r="S15" s="563" t="n"/>
      <c r="T15" s="563" t="n"/>
      <c r="U15" s="221" t="n"/>
      <c r="V15" s="221" t="n"/>
      <c r="W15" s="564" t="n"/>
      <c r="X15" s="564" t="n"/>
      <c r="Y15" s="223" t="n"/>
      <c r="Z15" s="223" t="n"/>
      <c r="AA15" s="565" t="n"/>
      <c r="AB15" s="565" t="n"/>
      <c r="AC15" s="225" t="n"/>
      <c r="AD15" s="225" t="n"/>
    </row>
    <row r="16" ht="15" customHeight="1" s="438">
      <c r="A16" s="210" t="n"/>
      <c r="B16" s="211">
        <f>IF(A16="","",TEXT(A16,"aaa"))</f>
        <v/>
      </c>
      <c r="C16" s="559" t="n"/>
      <c r="D16" s="559" t="n"/>
      <c r="E16" s="213" t="n"/>
      <c r="F16" s="213" t="n"/>
      <c r="G16" s="560" t="n"/>
      <c r="H16" s="560" t="n"/>
      <c r="I16" s="215" t="n"/>
      <c r="J16" s="215" t="n"/>
      <c r="K16" s="561" t="n"/>
      <c r="L16" s="561" t="n"/>
      <c r="M16" s="217" t="n"/>
      <c r="N16" s="217" t="n"/>
      <c r="O16" s="562" t="n"/>
      <c r="P16" s="562" t="n"/>
      <c r="Q16" s="219" t="n"/>
      <c r="R16" s="219" t="n"/>
      <c r="S16" s="563" t="n"/>
      <c r="T16" s="563" t="n"/>
      <c r="U16" s="221" t="n"/>
      <c r="V16" s="221" t="n"/>
      <c r="W16" s="564" t="n"/>
      <c r="X16" s="564" t="n"/>
      <c r="Y16" s="223" t="n"/>
      <c r="Z16" s="223" t="n"/>
      <c r="AA16" s="565" t="n"/>
      <c r="AB16" s="565" t="n"/>
      <c r="AC16" s="225" t="n"/>
      <c r="AD16" s="225" t="n"/>
    </row>
    <row r="17" ht="15" customHeight="1" s="438">
      <c r="A17" s="210" t="n"/>
      <c r="B17" s="226">
        <f>IF(A17="","",TEXT(A17,"aaa"))</f>
        <v/>
      </c>
      <c r="C17" s="559" t="n"/>
      <c r="D17" s="559" t="n"/>
      <c r="E17" s="213" t="n"/>
      <c r="F17" s="213" t="n"/>
      <c r="G17" s="560" t="n"/>
      <c r="H17" s="560" t="n"/>
      <c r="I17" s="215" t="n"/>
      <c r="J17" s="215" t="n"/>
      <c r="K17" s="561" t="n"/>
      <c r="L17" s="561" t="n"/>
      <c r="M17" s="217" t="n"/>
      <c r="N17" s="217" t="n"/>
      <c r="O17" s="562" t="n"/>
      <c r="P17" s="562" t="n"/>
      <c r="Q17" s="219" t="n"/>
      <c r="R17" s="219" t="n"/>
      <c r="S17" s="563" t="n"/>
      <c r="T17" s="563" t="n"/>
      <c r="U17" s="221" t="n"/>
      <c r="V17" s="221" t="n"/>
      <c r="W17" s="564" t="n"/>
      <c r="X17" s="564" t="n"/>
      <c r="Y17" s="223" t="n"/>
      <c r="Z17" s="223" t="n"/>
      <c r="AA17" s="565" t="n"/>
      <c r="AB17" s="565" t="n"/>
      <c r="AC17" s="225" t="n"/>
      <c r="AD17" s="225" t="n"/>
    </row>
    <row r="18" ht="15" customHeight="1" s="438">
      <c r="A18" s="210" t="n"/>
      <c r="B18" s="211">
        <f>IF(A18="","",TEXT(A18,"aaa"))</f>
        <v/>
      </c>
      <c r="C18" s="559" t="n"/>
      <c r="D18" s="559" t="n"/>
      <c r="E18" s="213" t="n"/>
      <c r="F18" s="213" t="n"/>
      <c r="G18" s="560" t="n"/>
      <c r="H18" s="560" t="n"/>
      <c r="I18" s="215" t="n"/>
      <c r="J18" s="215" t="n"/>
      <c r="K18" s="561" t="n"/>
      <c r="L18" s="561" t="n"/>
      <c r="M18" s="217" t="n"/>
      <c r="N18" s="217" t="n"/>
      <c r="O18" s="562" t="n"/>
      <c r="P18" s="562" t="n"/>
      <c r="Q18" s="219" t="n"/>
      <c r="R18" s="219" t="n"/>
      <c r="S18" s="563" t="n"/>
      <c r="T18" s="563" t="n"/>
      <c r="U18" s="221" t="n"/>
      <c r="V18" s="221" t="n"/>
      <c r="W18" s="564" t="n"/>
      <c r="X18" s="564" t="n"/>
      <c r="Y18" s="223" t="n"/>
      <c r="Z18" s="223" t="n"/>
      <c r="AA18" s="565" t="n"/>
      <c r="AB18" s="565" t="n"/>
      <c r="AC18" s="225" t="n"/>
      <c r="AD18" s="225" t="n"/>
    </row>
    <row r="19" ht="15" customHeight="1" s="438">
      <c r="A19" s="210" t="n"/>
      <c r="B19" s="226">
        <f>IF(A19="","",TEXT(A19,"aaa"))</f>
        <v/>
      </c>
      <c r="C19" s="559" t="n"/>
      <c r="D19" s="559" t="n"/>
      <c r="E19" s="213" t="n"/>
      <c r="F19" s="213" t="n"/>
      <c r="G19" s="560" t="n"/>
      <c r="H19" s="560" t="n"/>
      <c r="I19" s="215" t="n"/>
      <c r="J19" s="215" t="n"/>
      <c r="K19" s="561" t="n"/>
      <c r="L19" s="561" t="n"/>
      <c r="M19" s="217" t="n"/>
      <c r="N19" s="217" t="n"/>
      <c r="O19" s="562" t="n"/>
      <c r="P19" s="562" t="n"/>
      <c r="Q19" s="219" t="n"/>
      <c r="R19" s="219" t="n"/>
      <c r="S19" s="563" t="n"/>
      <c r="T19" s="563" t="n"/>
      <c r="U19" s="221" t="n"/>
      <c r="V19" s="221" t="n"/>
      <c r="W19" s="564" t="n"/>
      <c r="X19" s="564" t="n"/>
      <c r="Y19" s="223" t="n"/>
      <c r="Z19" s="223" t="n"/>
      <c r="AA19" s="565" t="n"/>
      <c r="AB19" s="565" t="n"/>
      <c r="AC19" s="225" t="n"/>
      <c r="AD19" s="225" t="n"/>
    </row>
    <row r="20" ht="15" customHeight="1" s="438">
      <c r="A20" s="210" t="n"/>
      <c r="B20" s="211">
        <f>IF(A20="","",TEXT(A20,"aaa"))</f>
        <v/>
      </c>
      <c r="C20" s="559" t="n"/>
      <c r="D20" s="559" t="n"/>
      <c r="E20" s="213" t="n"/>
      <c r="F20" s="213" t="n"/>
      <c r="G20" s="560" t="n"/>
      <c r="H20" s="560" t="n"/>
      <c r="I20" s="215" t="n"/>
      <c r="J20" s="215" t="n"/>
      <c r="K20" s="561" t="n"/>
      <c r="L20" s="561" t="n"/>
      <c r="M20" s="217" t="n"/>
      <c r="N20" s="217" t="n"/>
      <c r="O20" s="562" t="n"/>
      <c r="P20" s="562" t="n"/>
      <c r="Q20" s="219" t="n"/>
      <c r="R20" s="219" t="n"/>
      <c r="S20" s="563" t="n"/>
      <c r="T20" s="563" t="n"/>
      <c r="U20" s="221" t="n"/>
      <c r="V20" s="221" t="n"/>
      <c r="W20" s="564" t="n"/>
      <c r="X20" s="564" t="n"/>
      <c r="Y20" s="223" t="n"/>
      <c r="Z20" s="223" t="n"/>
      <c r="AA20" s="565" t="n"/>
      <c r="AB20" s="565" t="n"/>
      <c r="AC20" s="225" t="n"/>
      <c r="AD20" s="225" t="n"/>
    </row>
    <row r="21" ht="15" customHeight="1" s="438">
      <c r="A21" s="210" t="n"/>
      <c r="B21" s="226">
        <f>IF(A21="","",TEXT(A21,"aaa"))</f>
        <v/>
      </c>
      <c r="C21" s="559" t="n"/>
      <c r="D21" s="559" t="n"/>
      <c r="E21" s="213" t="n"/>
      <c r="F21" s="213" t="n"/>
      <c r="G21" s="560" t="n"/>
      <c r="H21" s="560" t="n"/>
      <c r="I21" s="215" t="n"/>
      <c r="J21" s="215" t="n"/>
      <c r="K21" s="561" t="n"/>
      <c r="L21" s="561" t="n"/>
      <c r="M21" s="217" t="n"/>
      <c r="N21" s="217" t="n"/>
      <c r="O21" s="562" t="n"/>
      <c r="P21" s="562" t="n"/>
      <c r="Q21" s="219" t="n"/>
      <c r="R21" s="219" t="n"/>
      <c r="S21" s="563" t="n"/>
      <c r="T21" s="563" t="n"/>
      <c r="U21" s="221" t="n"/>
      <c r="V21" s="221" t="n"/>
      <c r="W21" s="564" t="n"/>
      <c r="X21" s="564" t="n"/>
      <c r="Y21" s="223" t="n"/>
      <c r="Z21" s="223" t="n"/>
      <c r="AA21" s="565" t="n"/>
      <c r="AB21" s="565" t="n"/>
      <c r="AC21" s="225" t="n"/>
      <c r="AD21" s="225" t="n"/>
    </row>
    <row r="22" ht="15" customHeight="1" s="438">
      <c r="A22" s="210" t="n"/>
      <c r="B22" s="211">
        <f>IF(A22="","",TEXT(A22,"aaa"))</f>
        <v/>
      </c>
      <c r="C22" s="559" t="n"/>
      <c r="D22" s="559" t="n"/>
      <c r="E22" s="213" t="n"/>
      <c r="F22" s="213" t="n"/>
      <c r="G22" s="560" t="n"/>
      <c r="H22" s="560" t="n"/>
      <c r="I22" s="215" t="n"/>
      <c r="J22" s="215" t="n"/>
      <c r="K22" s="561" t="n"/>
      <c r="L22" s="561" t="n"/>
      <c r="M22" s="217" t="n"/>
      <c r="N22" s="217" t="n"/>
      <c r="O22" s="562" t="n"/>
      <c r="P22" s="562" t="n"/>
      <c r="Q22" s="219" t="n"/>
      <c r="R22" s="219" t="n"/>
      <c r="S22" s="563" t="n"/>
      <c r="T22" s="563" t="n"/>
      <c r="U22" s="221" t="n"/>
      <c r="V22" s="221" t="n"/>
      <c r="W22" s="564" t="n"/>
      <c r="X22" s="564" t="n"/>
      <c r="Y22" s="223" t="n"/>
      <c r="Z22" s="223" t="n"/>
      <c r="AA22" s="565" t="n"/>
      <c r="AB22" s="565" t="n"/>
      <c r="AC22" s="225" t="n"/>
      <c r="AD22" s="225" t="n"/>
    </row>
    <row r="23" ht="15" customHeight="1" s="438">
      <c r="A23" s="210" t="n"/>
      <c r="B23" s="226">
        <f>IF(A23="","",TEXT(A23,"aaa"))</f>
        <v/>
      </c>
      <c r="C23" s="559" t="n"/>
      <c r="D23" s="559" t="n"/>
      <c r="E23" s="213" t="n"/>
      <c r="F23" s="213" t="n"/>
      <c r="G23" s="560" t="n"/>
      <c r="H23" s="560" t="n"/>
      <c r="I23" s="215" t="n"/>
      <c r="J23" s="215" t="n"/>
      <c r="K23" s="561" t="n"/>
      <c r="L23" s="561" t="n"/>
      <c r="M23" s="217" t="n"/>
      <c r="N23" s="217" t="n"/>
      <c r="O23" s="562" t="n"/>
      <c r="P23" s="562" t="n"/>
      <c r="Q23" s="219" t="n"/>
      <c r="R23" s="219" t="n"/>
      <c r="S23" s="563" t="n"/>
      <c r="T23" s="563" t="n"/>
      <c r="U23" s="221" t="n"/>
      <c r="V23" s="221" t="n"/>
      <c r="W23" s="564" t="n"/>
      <c r="X23" s="564" t="n"/>
      <c r="Y23" s="223" t="n"/>
      <c r="Z23" s="223" t="n"/>
      <c r="AA23" s="565" t="n"/>
      <c r="AB23" s="565" t="n"/>
      <c r="AC23" s="225" t="n"/>
      <c r="AD23" s="225" t="n"/>
    </row>
    <row r="24" ht="15" customHeight="1" s="438">
      <c r="A24" s="210" t="n"/>
      <c r="B24" s="211">
        <f>IF(A24="","",TEXT(A24,"aaa"))</f>
        <v/>
      </c>
      <c r="C24" s="559" t="n"/>
      <c r="D24" s="559" t="n"/>
      <c r="E24" s="213" t="n"/>
      <c r="F24" s="213" t="n"/>
      <c r="G24" s="560" t="n"/>
      <c r="H24" s="560" t="n"/>
      <c r="I24" s="215" t="n"/>
      <c r="J24" s="215" t="n"/>
      <c r="K24" s="561" t="n"/>
      <c r="L24" s="561" t="n"/>
      <c r="M24" s="217" t="n"/>
      <c r="N24" s="217" t="n"/>
      <c r="O24" s="562" t="n"/>
      <c r="P24" s="562" t="n"/>
      <c r="Q24" s="219" t="n"/>
      <c r="R24" s="219" t="n"/>
      <c r="S24" s="563" t="n"/>
      <c r="T24" s="563" t="n"/>
      <c r="U24" s="221" t="n"/>
      <c r="V24" s="221" t="n"/>
      <c r="W24" s="564" t="n"/>
      <c r="X24" s="564" t="n"/>
      <c r="Y24" s="223" t="n"/>
      <c r="Z24" s="223" t="n"/>
      <c r="AA24" s="565" t="n"/>
      <c r="AB24" s="565" t="n"/>
      <c r="AC24" s="225" t="n"/>
      <c r="AD24" s="225" t="n"/>
    </row>
    <row r="25" ht="15" customHeight="1" s="438">
      <c r="A25" s="210" t="n"/>
      <c r="B25" s="226">
        <f>IF(A25="","",TEXT(A25,"aaa"))</f>
        <v/>
      </c>
      <c r="C25" s="559" t="n"/>
      <c r="D25" s="559" t="n"/>
      <c r="E25" s="213" t="n"/>
      <c r="F25" s="213" t="n"/>
      <c r="G25" s="560" t="n"/>
      <c r="H25" s="560" t="n"/>
      <c r="I25" s="215" t="n"/>
      <c r="J25" s="215" t="n"/>
      <c r="K25" s="561" t="n"/>
      <c r="L25" s="561" t="n"/>
      <c r="M25" s="217" t="n"/>
      <c r="N25" s="217" t="n"/>
      <c r="O25" s="562" t="n"/>
      <c r="P25" s="562" t="n"/>
      <c r="Q25" s="219" t="n"/>
      <c r="R25" s="219" t="n"/>
      <c r="S25" s="563" t="n"/>
      <c r="T25" s="563" t="n"/>
      <c r="U25" s="221" t="n"/>
      <c r="V25" s="221" t="n"/>
      <c r="W25" s="564" t="n"/>
      <c r="X25" s="564" t="n"/>
      <c r="Y25" s="223" t="n"/>
      <c r="Z25" s="223" t="n"/>
      <c r="AA25" s="565" t="n"/>
      <c r="AB25" s="565" t="n"/>
      <c r="AC25" s="225" t="n"/>
      <c r="AD25" s="225" t="n"/>
    </row>
    <row r="26" ht="15" customHeight="1" s="438">
      <c r="A26" s="210" t="n"/>
      <c r="B26" s="211">
        <f>IF(A26="","",TEXT(A26,"aaa"))</f>
        <v/>
      </c>
      <c r="C26" s="559" t="n"/>
      <c r="D26" s="559" t="n"/>
      <c r="E26" s="213" t="n"/>
      <c r="F26" s="213" t="n"/>
      <c r="G26" s="560" t="n"/>
      <c r="H26" s="560" t="n"/>
      <c r="I26" s="215" t="n"/>
      <c r="J26" s="215" t="n"/>
      <c r="K26" s="561" t="n"/>
      <c r="L26" s="561" t="n"/>
      <c r="M26" s="217" t="n"/>
      <c r="N26" s="217" t="n"/>
      <c r="O26" s="562" t="n"/>
      <c r="P26" s="562" t="n"/>
      <c r="Q26" s="219" t="n"/>
      <c r="R26" s="219" t="n"/>
      <c r="S26" s="563" t="n"/>
      <c r="T26" s="563" t="n"/>
      <c r="U26" s="221" t="n"/>
      <c r="V26" s="221" t="n"/>
      <c r="W26" s="564" t="n"/>
      <c r="X26" s="564" t="n"/>
      <c r="Y26" s="223" t="n"/>
      <c r="Z26" s="223" t="n"/>
      <c r="AA26" s="565" t="n"/>
      <c r="AB26" s="565" t="n"/>
      <c r="AC26" s="225" t="n"/>
      <c r="AD26" s="225" t="n"/>
    </row>
    <row r="27" ht="15" customHeight="1" s="438">
      <c r="A27" s="210" t="n"/>
      <c r="B27" s="226">
        <f>IF(A27="","",TEXT(A27,"aaa"))</f>
        <v/>
      </c>
      <c r="C27" s="559" t="n"/>
      <c r="D27" s="559" t="n"/>
      <c r="E27" s="213" t="n"/>
      <c r="F27" s="213" t="n"/>
      <c r="G27" s="560" t="n"/>
      <c r="H27" s="560" t="n"/>
      <c r="I27" s="215" t="n"/>
      <c r="J27" s="215" t="n"/>
      <c r="K27" s="561" t="n"/>
      <c r="L27" s="561" t="n"/>
      <c r="M27" s="217" t="n"/>
      <c r="N27" s="217" t="n"/>
      <c r="O27" s="562" t="n"/>
      <c r="P27" s="562" t="n"/>
      <c r="Q27" s="219" t="n"/>
      <c r="R27" s="219" t="n"/>
      <c r="S27" s="563" t="n"/>
      <c r="T27" s="563" t="n"/>
      <c r="U27" s="221" t="n"/>
      <c r="V27" s="221" t="n"/>
      <c r="W27" s="564" t="n"/>
      <c r="X27" s="564" t="n"/>
      <c r="Y27" s="223" t="n"/>
      <c r="Z27" s="223" t="n"/>
      <c r="AA27" s="565" t="n"/>
      <c r="AB27" s="565" t="n"/>
      <c r="AC27" s="225" t="n"/>
      <c r="AD27" s="225" t="n"/>
    </row>
    <row r="28" ht="15" customHeight="1" s="438">
      <c r="A28" s="210" t="n"/>
      <c r="B28" s="211">
        <f>IF(A28="","",TEXT(A28,"aaa"))</f>
        <v/>
      </c>
      <c r="C28" s="559" t="n"/>
      <c r="D28" s="559" t="n"/>
      <c r="E28" s="213" t="n"/>
      <c r="F28" s="213" t="n"/>
      <c r="G28" s="560" t="n"/>
      <c r="H28" s="560" t="n"/>
      <c r="I28" s="215" t="n"/>
      <c r="J28" s="215" t="n"/>
      <c r="K28" s="561" t="n"/>
      <c r="L28" s="561" t="n"/>
      <c r="M28" s="217" t="n"/>
      <c r="N28" s="217" t="n"/>
      <c r="O28" s="562" t="n"/>
      <c r="P28" s="562" t="n"/>
      <c r="Q28" s="219" t="n"/>
      <c r="R28" s="219" t="n"/>
      <c r="S28" s="563" t="n"/>
      <c r="T28" s="563" t="n"/>
      <c r="U28" s="221" t="n"/>
      <c r="V28" s="221" t="n"/>
      <c r="W28" s="564" t="n"/>
      <c r="X28" s="564" t="n"/>
      <c r="Y28" s="223" t="n"/>
      <c r="Z28" s="223" t="n"/>
      <c r="AA28" s="565" t="n"/>
      <c r="AB28" s="565" t="n"/>
      <c r="AC28" s="225" t="n"/>
      <c r="AD28" s="225" t="n"/>
    </row>
    <row r="29" ht="15" customHeight="1" s="438">
      <c r="A29" s="210" t="n"/>
      <c r="B29" s="226">
        <f>IF(A29="","",TEXT(A29,"aaa"))</f>
        <v/>
      </c>
      <c r="C29" s="559" t="n"/>
      <c r="D29" s="559" t="n"/>
      <c r="E29" s="213" t="n"/>
      <c r="F29" s="213" t="n"/>
      <c r="G29" s="560" t="n"/>
      <c r="H29" s="560" t="n"/>
      <c r="I29" s="215" t="n"/>
      <c r="J29" s="215" t="n"/>
      <c r="K29" s="561" t="n"/>
      <c r="L29" s="561" t="n"/>
      <c r="M29" s="217" t="n"/>
      <c r="N29" s="217" t="n"/>
      <c r="O29" s="562" t="n"/>
      <c r="P29" s="562" t="n"/>
      <c r="Q29" s="219" t="n"/>
      <c r="R29" s="219" t="n"/>
      <c r="S29" s="563" t="n"/>
      <c r="T29" s="563" t="n"/>
      <c r="U29" s="221" t="n"/>
      <c r="V29" s="221" t="n"/>
      <c r="W29" s="564" t="n"/>
      <c r="X29" s="564" t="n"/>
      <c r="Y29" s="223" t="n"/>
      <c r="Z29" s="223" t="n"/>
      <c r="AA29" s="565" t="n"/>
      <c r="AB29" s="565" t="n"/>
      <c r="AC29" s="225" t="n"/>
      <c r="AD29" s="225" t="n"/>
    </row>
    <row r="30" ht="15" customHeight="1" s="438">
      <c r="A30" s="210" t="n"/>
      <c r="B30" s="211">
        <f>IF(A30="","",TEXT(A30,"aaa"))</f>
        <v/>
      </c>
      <c r="C30" s="559" t="n"/>
      <c r="D30" s="559" t="n"/>
      <c r="E30" s="213" t="n"/>
      <c r="F30" s="213" t="n"/>
      <c r="G30" s="560" t="n"/>
      <c r="H30" s="560" t="n"/>
      <c r="I30" s="215" t="n"/>
      <c r="J30" s="215" t="n"/>
      <c r="K30" s="561" t="n"/>
      <c r="L30" s="561" t="n"/>
      <c r="M30" s="217" t="n"/>
      <c r="N30" s="217" t="n"/>
      <c r="O30" s="562" t="n"/>
      <c r="P30" s="562" t="n"/>
      <c r="Q30" s="219" t="n"/>
      <c r="R30" s="219" t="n"/>
      <c r="S30" s="563" t="n"/>
      <c r="T30" s="563" t="n"/>
      <c r="U30" s="221" t="n"/>
      <c r="V30" s="221" t="n"/>
      <c r="W30" s="564" t="n"/>
      <c r="X30" s="564" t="n"/>
      <c r="Y30" s="223" t="n"/>
      <c r="Z30" s="223" t="n"/>
      <c r="AA30" s="565" t="n"/>
      <c r="AB30" s="565" t="n"/>
      <c r="AC30" s="225" t="n"/>
      <c r="AD30" s="225" t="n"/>
    </row>
    <row r="31" ht="15" customHeight="1" s="438">
      <c r="A31" s="210" t="n"/>
      <c r="B31" s="226">
        <f>IF(A31="","",TEXT(A31,"aaa"))</f>
        <v/>
      </c>
      <c r="C31" s="559" t="n"/>
      <c r="D31" s="559" t="n"/>
      <c r="E31" s="213" t="n"/>
      <c r="F31" s="213" t="n"/>
      <c r="G31" s="560" t="n"/>
      <c r="H31" s="560" t="n"/>
      <c r="I31" s="215" t="n"/>
      <c r="J31" s="215" t="n"/>
      <c r="K31" s="561" t="n"/>
      <c r="L31" s="561" t="n"/>
      <c r="M31" s="217" t="n"/>
      <c r="N31" s="217" t="n"/>
      <c r="O31" s="562" t="n"/>
      <c r="P31" s="562" t="n"/>
      <c r="Q31" s="219" t="n"/>
      <c r="R31" s="219" t="n"/>
      <c r="S31" s="563" t="n"/>
      <c r="T31" s="563" t="n"/>
      <c r="U31" s="221" t="n"/>
      <c r="V31" s="221" t="n"/>
      <c r="W31" s="564" t="n"/>
      <c r="X31" s="564" t="n"/>
      <c r="Y31" s="223" t="n"/>
      <c r="Z31" s="223" t="n"/>
      <c r="AA31" s="565" t="n"/>
      <c r="AB31" s="565" t="n"/>
      <c r="AC31" s="225" t="n"/>
      <c r="AD31" s="225" t="n"/>
    </row>
    <row r="32" ht="15" customHeight="1" s="438">
      <c r="A32" s="210" t="n"/>
      <c r="B32" s="211">
        <f>IF(A32="","",TEXT(A32,"aaa"))</f>
        <v/>
      </c>
      <c r="C32" s="559" t="n"/>
      <c r="D32" s="559" t="n"/>
      <c r="E32" s="213" t="n"/>
      <c r="F32" s="213" t="n"/>
      <c r="G32" s="560" t="n"/>
      <c r="H32" s="560" t="n"/>
      <c r="I32" s="215" t="n"/>
      <c r="J32" s="215" t="n"/>
      <c r="K32" s="561" t="n"/>
      <c r="L32" s="561" t="n"/>
      <c r="M32" s="217" t="n"/>
      <c r="N32" s="217" t="n"/>
      <c r="O32" s="562" t="n"/>
      <c r="P32" s="562" t="n"/>
      <c r="Q32" s="219" t="n"/>
      <c r="R32" s="219" t="n"/>
      <c r="S32" s="563" t="n"/>
      <c r="T32" s="563" t="n"/>
      <c r="U32" s="221" t="n"/>
      <c r="V32" s="221" t="n"/>
      <c r="W32" s="564" t="n"/>
      <c r="X32" s="564" t="n"/>
      <c r="Y32" s="223" t="n"/>
      <c r="Z32" s="223" t="n"/>
      <c r="AA32" s="565" t="n"/>
      <c r="AB32" s="565" t="n"/>
      <c r="AC32" s="225" t="n"/>
      <c r="AD32" s="225" t="n"/>
    </row>
    <row r="33" ht="15" customHeight="1" s="438">
      <c r="A33" s="210" t="n"/>
      <c r="B33" s="226">
        <f>IF(A33="","",TEXT(A33,"aaa"))</f>
        <v/>
      </c>
      <c r="C33" s="559" t="n"/>
      <c r="D33" s="559" t="n"/>
      <c r="E33" s="213" t="n"/>
      <c r="F33" s="213" t="n"/>
      <c r="G33" s="560" t="n"/>
      <c r="H33" s="560" t="n"/>
      <c r="I33" s="215" t="n"/>
      <c r="J33" s="215" t="n"/>
      <c r="K33" s="561" t="n"/>
      <c r="L33" s="561" t="n"/>
      <c r="M33" s="217" t="n"/>
      <c r="N33" s="217" t="n"/>
      <c r="O33" s="562" t="n"/>
      <c r="P33" s="562" t="n"/>
      <c r="Q33" s="219" t="n"/>
      <c r="R33" s="219" t="n"/>
      <c r="S33" s="563" t="n"/>
      <c r="T33" s="563" t="n"/>
      <c r="U33" s="221" t="n"/>
      <c r="V33" s="221" t="n"/>
      <c r="W33" s="564" t="n"/>
      <c r="X33" s="564" t="n"/>
      <c r="Y33" s="223" t="n"/>
      <c r="Z33" s="223" t="n"/>
      <c r="AA33" s="565" t="n"/>
      <c r="AB33" s="565" t="n"/>
      <c r="AC33" s="225" t="n"/>
      <c r="AD33" s="225" t="n"/>
    </row>
    <row r="34" ht="15" customHeight="1" s="438">
      <c r="A34" s="210" t="n"/>
      <c r="B34" s="211">
        <f>IF(A34="","",TEXT(A34,"aaa"))</f>
        <v/>
      </c>
      <c r="C34" s="559" t="n"/>
      <c r="D34" s="559" t="n"/>
      <c r="E34" s="213" t="n"/>
      <c r="F34" s="213" t="n"/>
      <c r="G34" s="560" t="n"/>
      <c r="H34" s="560" t="n"/>
      <c r="I34" s="215" t="n"/>
      <c r="J34" s="215" t="n"/>
      <c r="K34" s="561" t="n"/>
      <c r="L34" s="561" t="n"/>
      <c r="M34" s="217" t="n"/>
      <c r="N34" s="217" t="n"/>
      <c r="O34" s="562" t="n"/>
      <c r="P34" s="562" t="n"/>
      <c r="Q34" s="219" t="n"/>
      <c r="R34" s="219" t="n"/>
      <c r="S34" s="563" t="n"/>
      <c r="T34" s="563" t="n"/>
      <c r="U34" s="221" t="n"/>
      <c r="V34" s="221" t="n"/>
      <c r="W34" s="564" t="n"/>
      <c r="X34" s="564" t="n"/>
      <c r="Y34" s="223" t="n"/>
      <c r="Z34" s="223" t="n"/>
      <c r="AA34" s="565" t="n"/>
      <c r="AB34" s="565" t="n"/>
      <c r="AC34" s="225" t="n"/>
      <c r="AD34" s="225" t="n"/>
    </row>
    <row r="35" ht="15" customHeight="1" s="438">
      <c r="A35" s="210" t="n"/>
      <c r="B35" s="226">
        <f>IF(A35="","",TEXT(A35,"aaa"))</f>
        <v/>
      </c>
      <c r="C35" s="559" t="n"/>
      <c r="D35" s="559" t="n"/>
      <c r="E35" s="213" t="n"/>
      <c r="F35" s="213" t="n"/>
      <c r="G35" s="560" t="n"/>
      <c r="H35" s="560" t="n"/>
      <c r="I35" s="215" t="n"/>
      <c r="J35" s="215" t="n"/>
      <c r="K35" s="561" t="n"/>
      <c r="L35" s="561" t="n"/>
      <c r="M35" s="217" t="n"/>
      <c r="N35" s="217" t="n"/>
      <c r="O35" s="562" t="n"/>
      <c r="P35" s="562" t="n"/>
      <c r="Q35" s="219" t="n"/>
      <c r="R35" s="219" t="n"/>
      <c r="S35" s="563" t="n"/>
      <c r="T35" s="563" t="n"/>
      <c r="U35" s="221" t="n"/>
      <c r="V35" s="221" t="n"/>
      <c r="W35" s="564" t="n"/>
      <c r="X35" s="564" t="n"/>
      <c r="Y35" s="223" t="n"/>
      <c r="Z35" s="223" t="n"/>
      <c r="AA35" s="565" t="n"/>
      <c r="AB35" s="565" t="n"/>
      <c r="AC35" s="225" t="n"/>
      <c r="AD35" s="225" t="n"/>
    </row>
    <row r="36" ht="15" customHeight="1" s="438">
      <c r="A36" s="210" t="n"/>
      <c r="B36" s="211">
        <f>IF(A36="","",TEXT(A36,"aaa"))</f>
        <v/>
      </c>
      <c r="C36" s="559" t="n"/>
      <c r="D36" s="559" t="n"/>
      <c r="E36" s="213" t="n"/>
      <c r="F36" s="213" t="n"/>
      <c r="G36" s="560" t="n"/>
      <c r="H36" s="560" t="n"/>
      <c r="I36" s="215" t="n"/>
      <c r="J36" s="215" t="n"/>
      <c r="K36" s="561" t="n"/>
      <c r="L36" s="561" t="n"/>
      <c r="M36" s="217" t="n"/>
      <c r="N36" s="217" t="n"/>
      <c r="O36" s="562" t="n"/>
      <c r="P36" s="562" t="n"/>
      <c r="Q36" s="219" t="n"/>
      <c r="R36" s="219" t="n"/>
      <c r="S36" s="563" t="n"/>
      <c r="T36" s="563" t="n"/>
      <c r="U36" s="221" t="n"/>
      <c r="V36" s="221" t="n"/>
      <c r="W36" s="564" t="n"/>
      <c r="X36" s="564" t="n"/>
      <c r="Y36" s="223" t="n"/>
      <c r="Z36" s="223" t="n"/>
      <c r="AA36" s="565" t="n"/>
      <c r="AB36" s="565" t="n"/>
      <c r="AC36" s="225" t="n"/>
      <c r="AD36" s="225" t="n"/>
    </row>
    <row r="37" ht="15" customHeight="1" s="438">
      <c r="A37" s="210" t="n"/>
      <c r="B37" s="226">
        <f>IF(A37="","",TEXT(A37,"aaa"))</f>
        <v/>
      </c>
      <c r="C37" s="559" t="n"/>
      <c r="D37" s="559" t="n"/>
      <c r="E37" s="213" t="n"/>
      <c r="F37" s="213" t="n"/>
      <c r="G37" s="560" t="n"/>
      <c r="H37" s="560" t="n"/>
      <c r="I37" s="215" t="n"/>
      <c r="J37" s="215" t="n"/>
      <c r="K37" s="561" t="n"/>
      <c r="L37" s="561" t="n"/>
      <c r="M37" s="217" t="n"/>
      <c r="N37" s="217" t="n"/>
      <c r="O37" s="562" t="n"/>
      <c r="P37" s="562" t="n"/>
      <c r="Q37" s="219" t="n"/>
      <c r="R37" s="219" t="n"/>
      <c r="S37" s="563" t="n"/>
      <c r="T37" s="563" t="n"/>
      <c r="U37" s="221" t="n"/>
      <c r="V37" s="221" t="n"/>
      <c r="W37" s="564" t="n"/>
      <c r="X37" s="564" t="n"/>
      <c r="Y37" s="223" t="n"/>
      <c r="Z37" s="223" t="n"/>
      <c r="AA37" s="565" t="n"/>
      <c r="AB37" s="565" t="n"/>
      <c r="AC37" s="225" t="n"/>
      <c r="AD37" s="225" t="n"/>
    </row>
    <row r="38" ht="15" customHeight="1" s="438">
      <c r="A38" s="210" t="n"/>
      <c r="B38" s="211">
        <f>IF(A38="","",TEXT(A38,"aaa"))</f>
        <v/>
      </c>
      <c r="C38" s="559" t="n"/>
      <c r="D38" s="559" t="n"/>
      <c r="E38" s="213" t="n"/>
      <c r="F38" s="213" t="n"/>
      <c r="G38" s="560" t="n"/>
      <c r="H38" s="560" t="n"/>
      <c r="I38" s="215" t="n"/>
      <c r="J38" s="215" t="n"/>
      <c r="K38" s="561" t="n"/>
      <c r="L38" s="561" t="n"/>
      <c r="M38" s="217" t="n"/>
      <c r="N38" s="217" t="n"/>
      <c r="O38" s="562" t="n"/>
      <c r="P38" s="562" t="n"/>
      <c r="Q38" s="219" t="n"/>
      <c r="R38" s="219" t="n"/>
      <c r="S38" s="563" t="n"/>
      <c r="T38" s="563" t="n"/>
      <c r="U38" s="221" t="n"/>
      <c r="V38" s="221" t="n"/>
      <c r="W38" s="564" t="n"/>
      <c r="X38" s="564" t="n"/>
      <c r="Y38" s="223" t="n"/>
      <c r="Z38" s="223" t="n"/>
      <c r="AA38" s="565" t="n"/>
      <c r="AB38" s="565" t="n"/>
      <c r="AC38" s="225" t="n"/>
      <c r="AD38" s="225" t="n"/>
    </row>
    <row r="39" ht="15" customHeight="1" s="438">
      <c r="A39" s="210" t="n"/>
      <c r="B39" s="226">
        <f>IF(A39="","",TEXT(A39,"aaa"))</f>
        <v/>
      </c>
      <c r="C39" s="559" t="n"/>
      <c r="D39" s="559" t="n"/>
      <c r="E39" s="213" t="n"/>
      <c r="F39" s="213" t="n"/>
      <c r="G39" s="560" t="n"/>
      <c r="H39" s="560" t="n"/>
      <c r="I39" s="215" t="n"/>
      <c r="J39" s="215" t="n"/>
      <c r="K39" s="561" t="n"/>
      <c r="L39" s="561" t="n"/>
      <c r="M39" s="217" t="n"/>
      <c r="N39" s="217" t="n"/>
      <c r="O39" s="562" t="n"/>
      <c r="P39" s="562" t="n"/>
      <c r="Q39" s="219" t="n"/>
      <c r="R39" s="219" t="n"/>
      <c r="S39" s="563" t="n"/>
      <c r="T39" s="563" t="n"/>
      <c r="U39" s="221" t="n"/>
      <c r="V39" s="221" t="n"/>
      <c r="W39" s="564" t="n"/>
      <c r="X39" s="564" t="n"/>
      <c r="Y39" s="223" t="n"/>
      <c r="Z39" s="223" t="n"/>
      <c r="AA39" s="565" t="n"/>
      <c r="AB39" s="565" t="n"/>
      <c r="AC39" s="225" t="n"/>
      <c r="AD39" s="225" t="n"/>
    </row>
    <row r="40" ht="15" customHeight="1" s="438">
      <c r="A40" s="210" t="n"/>
      <c r="B40" s="211">
        <f>IF(A40="","",TEXT(A40,"aaa"))</f>
        <v/>
      </c>
      <c r="C40" s="559" t="n"/>
      <c r="D40" s="559" t="n"/>
      <c r="E40" s="213" t="n"/>
      <c r="F40" s="213" t="n"/>
      <c r="G40" s="560" t="n"/>
      <c r="H40" s="560" t="n"/>
      <c r="I40" s="215" t="n"/>
      <c r="J40" s="215" t="n"/>
      <c r="K40" s="561" t="n"/>
      <c r="L40" s="561" t="n"/>
      <c r="M40" s="217" t="n"/>
      <c r="N40" s="217" t="n"/>
      <c r="O40" s="562" t="n"/>
      <c r="P40" s="562" t="n"/>
      <c r="Q40" s="219" t="n"/>
      <c r="R40" s="219" t="n"/>
      <c r="S40" s="563" t="n"/>
      <c r="T40" s="563" t="n"/>
      <c r="U40" s="221" t="n"/>
      <c r="V40" s="221" t="n"/>
      <c r="W40" s="564" t="n"/>
      <c r="X40" s="564" t="n"/>
      <c r="Y40" s="223" t="n"/>
      <c r="Z40" s="223" t="n"/>
      <c r="AA40" s="565" t="n"/>
      <c r="AB40" s="565" t="n"/>
      <c r="AC40" s="225" t="n"/>
      <c r="AD40" s="225" t="n"/>
    </row>
    <row r="41" ht="15" customHeight="1" s="438">
      <c r="A41" s="210" t="n"/>
      <c r="B41" s="226">
        <f>IF(A41="","",TEXT(A41,"aaa"))</f>
        <v/>
      </c>
      <c r="C41" s="559" t="n"/>
      <c r="D41" s="559" t="n"/>
      <c r="E41" s="213" t="n"/>
      <c r="F41" s="213" t="n"/>
      <c r="G41" s="560" t="n"/>
      <c r="H41" s="560" t="n"/>
      <c r="I41" s="215" t="n"/>
      <c r="J41" s="215" t="n"/>
      <c r="K41" s="561" t="n"/>
      <c r="L41" s="561" t="n"/>
      <c r="M41" s="217" t="n"/>
      <c r="N41" s="217" t="n"/>
      <c r="O41" s="562" t="n"/>
      <c r="P41" s="562" t="n"/>
      <c r="Q41" s="219" t="n"/>
      <c r="R41" s="219" t="n"/>
      <c r="S41" s="563" t="n"/>
      <c r="T41" s="563" t="n"/>
      <c r="U41" s="221" t="n"/>
      <c r="V41" s="221" t="n"/>
      <c r="W41" s="564" t="n"/>
      <c r="X41" s="564" t="n"/>
      <c r="Y41" s="223" t="n"/>
      <c r="Z41" s="223" t="n"/>
      <c r="AA41" s="565" t="n"/>
      <c r="AB41" s="565" t="n"/>
      <c r="AC41" s="225" t="n"/>
      <c r="AD41" s="225" t="n"/>
    </row>
    <row r="42" ht="15" customHeight="1" s="438">
      <c r="A42" s="210" t="n"/>
      <c r="B42" s="211">
        <f>IF(A42="","",TEXT(A42,"aaa"))</f>
        <v/>
      </c>
      <c r="C42" s="559" t="n"/>
      <c r="D42" s="559" t="n"/>
      <c r="E42" s="213" t="n"/>
      <c r="F42" s="213" t="n"/>
      <c r="G42" s="560" t="n"/>
      <c r="H42" s="560" t="n"/>
      <c r="I42" s="215" t="n"/>
      <c r="J42" s="215" t="n"/>
      <c r="K42" s="561" t="n"/>
      <c r="L42" s="561" t="n"/>
      <c r="M42" s="217" t="n"/>
      <c r="N42" s="217" t="n"/>
      <c r="O42" s="562" t="n"/>
      <c r="P42" s="562" t="n"/>
      <c r="Q42" s="219" t="n"/>
      <c r="R42" s="219" t="n"/>
      <c r="S42" s="563" t="n"/>
      <c r="T42" s="563" t="n"/>
      <c r="U42" s="221" t="n"/>
      <c r="V42" s="221" t="n"/>
      <c r="W42" s="564" t="n"/>
      <c r="X42" s="564" t="n"/>
      <c r="Y42" s="223" t="n"/>
      <c r="Z42" s="223" t="n"/>
      <c r="AA42" s="565" t="n"/>
      <c r="AB42" s="565" t="n"/>
      <c r="AC42" s="225" t="n"/>
      <c r="AD42" s="225" t="n"/>
    </row>
    <row r="43" ht="15" customHeight="1" s="438">
      <c r="A43" s="210" t="n"/>
      <c r="B43" s="226">
        <f>IF(A43="","",TEXT(A43,"aaa"))</f>
        <v/>
      </c>
      <c r="C43" s="559" t="n"/>
      <c r="D43" s="559" t="n"/>
      <c r="E43" s="213" t="n"/>
      <c r="F43" s="213" t="n"/>
      <c r="G43" s="560" t="n"/>
      <c r="H43" s="560" t="n"/>
      <c r="I43" s="215" t="n"/>
      <c r="J43" s="215" t="n"/>
      <c r="K43" s="561" t="n"/>
      <c r="L43" s="561" t="n"/>
      <c r="M43" s="217" t="n"/>
      <c r="N43" s="217" t="n"/>
      <c r="O43" s="562" t="n"/>
      <c r="P43" s="562" t="n"/>
      <c r="Q43" s="219" t="n"/>
      <c r="R43" s="219" t="n"/>
      <c r="S43" s="563" t="n"/>
      <c r="T43" s="563" t="n"/>
      <c r="U43" s="221" t="n"/>
      <c r="V43" s="221" t="n"/>
      <c r="W43" s="564" t="n"/>
      <c r="X43" s="564" t="n"/>
      <c r="Y43" s="223" t="n"/>
      <c r="Z43" s="223" t="n"/>
      <c r="AA43" s="565" t="n"/>
      <c r="AB43" s="565" t="n"/>
      <c r="AC43" s="225" t="n"/>
      <c r="AD43" s="225" t="n"/>
    </row>
    <row r="44" ht="15" customHeight="1" s="438">
      <c r="A44" s="210" t="n"/>
      <c r="B44" s="211">
        <f>IF(A44="","",TEXT(A44,"aaa"))</f>
        <v/>
      </c>
      <c r="C44" s="559" t="n"/>
      <c r="D44" s="559" t="n"/>
      <c r="E44" s="213" t="n"/>
      <c r="F44" s="213" t="n"/>
      <c r="G44" s="560" t="n"/>
      <c r="H44" s="560" t="n"/>
      <c r="I44" s="215" t="n"/>
      <c r="J44" s="215" t="n"/>
      <c r="K44" s="561" t="n"/>
      <c r="L44" s="561" t="n"/>
      <c r="M44" s="217" t="n"/>
      <c r="N44" s="217" t="n"/>
      <c r="O44" s="562" t="n"/>
      <c r="P44" s="562" t="n"/>
      <c r="Q44" s="219" t="n"/>
      <c r="R44" s="219" t="n"/>
      <c r="S44" s="563" t="n"/>
      <c r="T44" s="563" t="n"/>
      <c r="U44" s="221" t="n"/>
      <c r="V44" s="221" t="n"/>
      <c r="W44" s="564" t="n"/>
      <c r="X44" s="564" t="n"/>
      <c r="Y44" s="223" t="n"/>
      <c r="Z44" s="223" t="n"/>
      <c r="AA44" s="565" t="n"/>
      <c r="AB44" s="565" t="n"/>
      <c r="AC44" s="225" t="n"/>
      <c r="AD44" s="225" t="n"/>
    </row>
    <row r="45" ht="15" customHeight="1" s="438">
      <c r="A45" s="210" t="n"/>
      <c r="B45" s="226">
        <f>IF(A45="","",TEXT(A45,"aaa"))</f>
        <v/>
      </c>
      <c r="C45" s="559" t="n"/>
      <c r="D45" s="559" t="n"/>
      <c r="E45" s="213" t="n"/>
      <c r="F45" s="213" t="n"/>
      <c r="G45" s="560" t="n"/>
      <c r="H45" s="560" t="n"/>
      <c r="I45" s="215" t="n"/>
      <c r="J45" s="215" t="n"/>
      <c r="K45" s="561" t="n"/>
      <c r="L45" s="561" t="n"/>
      <c r="M45" s="217" t="n"/>
      <c r="N45" s="217" t="n"/>
      <c r="O45" s="562" t="n"/>
      <c r="P45" s="562" t="n"/>
      <c r="Q45" s="219" t="n"/>
      <c r="R45" s="219" t="n"/>
      <c r="S45" s="563" t="n"/>
      <c r="T45" s="563" t="n"/>
      <c r="U45" s="221" t="n"/>
      <c r="V45" s="221" t="n"/>
      <c r="W45" s="564" t="n"/>
      <c r="X45" s="564" t="n"/>
      <c r="Y45" s="223" t="n"/>
      <c r="Z45" s="223" t="n"/>
      <c r="AA45" s="565" t="n"/>
      <c r="AB45" s="565" t="n"/>
      <c r="AC45" s="225" t="n"/>
      <c r="AD45" s="225" t="n"/>
    </row>
    <row r="46" ht="15" customHeight="1" s="438">
      <c r="A46" s="210" t="n"/>
      <c r="B46" s="211">
        <f>IF(A46="","",TEXT(A46,"aaa"))</f>
        <v/>
      </c>
      <c r="C46" s="559" t="n"/>
      <c r="D46" s="559" t="n"/>
      <c r="E46" s="213" t="n"/>
      <c r="F46" s="213" t="n"/>
      <c r="G46" s="560" t="n"/>
      <c r="H46" s="560" t="n"/>
      <c r="I46" s="215" t="n"/>
      <c r="J46" s="215" t="n"/>
      <c r="K46" s="561" t="n"/>
      <c r="L46" s="561" t="n"/>
      <c r="M46" s="217" t="n"/>
      <c r="N46" s="217" t="n"/>
      <c r="O46" s="562" t="n"/>
      <c r="P46" s="562" t="n"/>
      <c r="Q46" s="219" t="n"/>
      <c r="R46" s="219" t="n"/>
      <c r="S46" s="563" t="n"/>
      <c r="T46" s="563" t="n"/>
      <c r="U46" s="221" t="n"/>
      <c r="V46" s="221" t="n"/>
      <c r="W46" s="564" t="n"/>
      <c r="X46" s="564" t="n"/>
      <c r="Y46" s="223" t="n"/>
      <c r="Z46" s="223" t="n"/>
      <c r="AA46" s="565" t="n"/>
      <c r="AB46" s="565" t="n"/>
      <c r="AC46" s="225" t="n"/>
      <c r="AD46" s="225" t="n"/>
    </row>
    <row r="47" ht="15" customHeight="1" s="438">
      <c r="A47" s="210" t="n"/>
      <c r="B47" s="226">
        <f>IF(A47="","",TEXT(A47,"aaa"))</f>
        <v/>
      </c>
      <c r="C47" s="559" t="n"/>
      <c r="D47" s="559" t="n"/>
      <c r="E47" s="213" t="n"/>
      <c r="F47" s="213" t="n"/>
      <c r="G47" s="560" t="n"/>
      <c r="H47" s="560" t="n"/>
      <c r="I47" s="215" t="n"/>
      <c r="J47" s="215" t="n"/>
      <c r="K47" s="561" t="n"/>
      <c r="L47" s="561" t="n"/>
      <c r="M47" s="217" t="n"/>
      <c r="N47" s="217" t="n"/>
      <c r="O47" s="562" t="n"/>
      <c r="P47" s="562" t="n"/>
      <c r="Q47" s="219" t="n"/>
      <c r="R47" s="219" t="n"/>
      <c r="S47" s="563" t="n"/>
      <c r="T47" s="563" t="n"/>
      <c r="U47" s="221" t="n"/>
      <c r="V47" s="221" t="n"/>
      <c r="W47" s="564" t="n"/>
      <c r="X47" s="564" t="n"/>
      <c r="Y47" s="223" t="n"/>
      <c r="Z47" s="223" t="n"/>
      <c r="AA47" s="565" t="n"/>
      <c r="AB47" s="565" t="n"/>
      <c r="AC47" s="225" t="n"/>
      <c r="AD47" s="225" t="n"/>
    </row>
    <row r="48" ht="15" customHeight="1" s="438">
      <c r="A48" s="210" t="n"/>
      <c r="B48" s="211">
        <f>IF(A48="","",TEXT(A48,"aaa"))</f>
        <v/>
      </c>
      <c r="C48" s="559" t="n"/>
      <c r="D48" s="559" t="n"/>
      <c r="E48" s="213" t="n"/>
      <c r="F48" s="213" t="n"/>
      <c r="G48" s="560" t="n"/>
      <c r="H48" s="560" t="n"/>
      <c r="I48" s="215" t="n"/>
      <c r="J48" s="215" t="n"/>
      <c r="K48" s="561" t="n"/>
      <c r="L48" s="561" t="n"/>
      <c r="M48" s="217" t="n"/>
      <c r="N48" s="217" t="n"/>
      <c r="O48" s="562" t="n"/>
      <c r="P48" s="562" t="n"/>
      <c r="Q48" s="219" t="n"/>
      <c r="R48" s="219" t="n"/>
      <c r="S48" s="563" t="n"/>
      <c r="T48" s="563" t="n"/>
      <c r="U48" s="221" t="n"/>
      <c r="V48" s="221" t="n"/>
      <c r="W48" s="564" t="n"/>
      <c r="X48" s="564" t="n"/>
      <c r="Y48" s="223" t="n"/>
      <c r="Z48" s="223" t="n"/>
      <c r="AA48" s="565" t="n"/>
      <c r="AB48" s="565" t="n"/>
      <c r="AC48" s="225" t="n"/>
      <c r="AD48" s="225" t="n"/>
    </row>
    <row r="49" ht="15" customHeight="1" s="438">
      <c r="A49" s="210" t="n"/>
      <c r="B49" s="226">
        <f>IF(A49="","",TEXT(A49,"aaa"))</f>
        <v/>
      </c>
      <c r="C49" s="559" t="n"/>
      <c r="D49" s="559" t="n"/>
      <c r="E49" s="213" t="n"/>
      <c r="F49" s="213" t="n"/>
      <c r="G49" s="560" t="n"/>
      <c r="H49" s="560" t="n"/>
      <c r="I49" s="215" t="n"/>
      <c r="J49" s="215" t="n"/>
      <c r="K49" s="561" t="n"/>
      <c r="L49" s="561" t="n"/>
      <c r="M49" s="217" t="n"/>
      <c r="N49" s="217" t="n"/>
      <c r="O49" s="562" t="n"/>
      <c r="P49" s="562" t="n"/>
      <c r="Q49" s="219" t="n"/>
      <c r="R49" s="219" t="n"/>
      <c r="S49" s="563" t="n"/>
      <c r="T49" s="563" t="n"/>
      <c r="U49" s="221" t="n"/>
      <c r="V49" s="221" t="n"/>
      <c r="W49" s="564" t="n"/>
      <c r="X49" s="564" t="n"/>
      <c r="Y49" s="223" t="n"/>
      <c r="Z49" s="223" t="n"/>
      <c r="AA49" s="565" t="n"/>
      <c r="AB49" s="565" t="n"/>
      <c r="AC49" s="225" t="n"/>
      <c r="AD49" s="225" t="n"/>
    </row>
    <row r="50" ht="15" customHeight="1" s="438">
      <c r="A50" s="210" t="n"/>
      <c r="B50" s="211">
        <f>IF(A50="","",TEXT(A50,"aaa"))</f>
        <v/>
      </c>
      <c r="C50" s="559" t="n"/>
      <c r="D50" s="559" t="n"/>
      <c r="E50" s="213" t="n"/>
      <c r="F50" s="213" t="n"/>
      <c r="G50" s="560" t="n"/>
      <c r="H50" s="560" t="n"/>
      <c r="I50" s="215" t="n"/>
      <c r="J50" s="215" t="n"/>
      <c r="K50" s="561" t="n"/>
      <c r="L50" s="561" t="n"/>
      <c r="M50" s="217" t="n"/>
      <c r="N50" s="217" t="n"/>
      <c r="O50" s="562" t="n"/>
      <c r="P50" s="562" t="n"/>
      <c r="Q50" s="219" t="n"/>
      <c r="R50" s="219" t="n"/>
      <c r="S50" s="563" t="n"/>
      <c r="T50" s="563" t="n"/>
      <c r="U50" s="221" t="n"/>
      <c r="V50" s="221" t="n"/>
      <c r="W50" s="564" t="n"/>
      <c r="X50" s="564" t="n"/>
      <c r="Y50" s="223" t="n"/>
      <c r="Z50" s="223" t="n"/>
      <c r="AA50" s="565" t="n"/>
      <c r="AB50" s="565" t="n"/>
      <c r="AC50" s="225" t="n"/>
      <c r="AD50" s="225" t="n"/>
    </row>
    <row r="51" ht="15" customHeight="1" s="438">
      <c r="A51" s="210" t="n"/>
      <c r="B51" s="226">
        <f>IF(A51="","",TEXT(A51,"aaa"))</f>
        <v/>
      </c>
      <c r="C51" s="559" t="n"/>
      <c r="D51" s="559" t="n"/>
      <c r="E51" s="213" t="n"/>
      <c r="F51" s="213" t="n"/>
      <c r="G51" s="560" t="n"/>
      <c r="H51" s="560" t="n"/>
      <c r="I51" s="215" t="n"/>
      <c r="J51" s="215" t="n"/>
      <c r="K51" s="561" t="n"/>
      <c r="L51" s="561" t="n"/>
      <c r="M51" s="217" t="n"/>
      <c r="N51" s="217" t="n"/>
      <c r="O51" s="562" t="n"/>
      <c r="P51" s="562" t="n"/>
      <c r="Q51" s="219" t="n"/>
      <c r="R51" s="219" t="n"/>
      <c r="S51" s="563" t="n"/>
      <c r="T51" s="563" t="n"/>
      <c r="U51" s="221" t="n"/>
      <c r="V51" s="221" t="n"/>
      <c r="W51" s="564" t="n"/>
      <c r="X51" s="564" t="n"/>
      <c r="Y51" s="223" t="n"/>
      <c r="Z51" s="223" t="n"/>
      <c r="AA51" s="565" t="n"/>
      <c r="AB51" s="565" t="n"/>
      <c r="AC51" s="225" t="n"/>
      <c r="AD51" s="225" t="n"/>
    </row>
    <row r="52" ht="15" customHeight="1" s="438">
      <c r="A52" s="210" t="n"/>
      <c r="B52" s="211">
        <f>IF(A52="","",TEXT(A52,"aaa"))</f>
        <v/>
      </c>
      <c r="C52" s="559" t="n"/>
      <c r="D52" s="559" t="n"/>
      <c r="E52" s="213" t="n"/>
      <c r="F52" s="213" t="n"/>
      <c r="G52" s="560" t="n"/>
      <c r="H52" s="560" t="n"/>
      <c r="I52" s="215" t="n"/>
      <c r="J52" s="215" t="n"/>
      <c r="K52" s="561" t="n"/>
      <c r="L52" s="561" t="n"/>
      <c r="M52" s="217" t="n"/>
      <c r="N52" s="217" t="n"/>
      <c r="O52" s="562" t="n"/>
      <c r="P52" s="562" t="n"/>
      <c r="Q52" s="219" t="n"/>
      <c r="R52" s="219" t="n"/>
      <c r="S52" s="563" t="n"/>
      <c r="T52" s="563" t="n"/>
      <c r="U52" s="221" t="n"/>
      <c r="V52" s="221" t="n"/>
      <c r="W52" s="564" t="n"/>
      <c r="X52" s="564" t="n"/>
      <c r="Y52" s="223" t="n"/>
      <c r="Z52" s="223" t="n"/>
      <c r="AA52" s="565" t="n"/>
      <c r="AB52" s="565" t="n"/>
      <c r="AC52" s="225" t="n"/>
      <c r="AD52" s="225" t="n"/>
    </row>
    <row r="53" ht="15" customHeight="1" s="438">
      <c r="A53" s="210" t="n"/>
      <c r="B53" s="226">
        <f>IF(A53="","",TEXT(A53,"aaa"))</f>
        <v/>
      </c>
      <c r="C53" s="559" t="n"/>
      <c r="D53" s="559" t="n"/>
      <c r="E53" s="213" t="n"/>
      <c r="F53" s="213" t="n"/>
      <c r="G53" s="560" t="n"/>
      <c r="H53" s="560" t="n"/>
      <c r="I53" s="215" t="n"/>
      <c r="J53" s="215" t="n"/>
      <c r="K53" s="561" t="n"/>
      <c r="L53" s="561" t="n"/>
      <c r="M53" s="217" t="n"/>
      <c r="N53" s="217" t="n"/>
      <c r="O53" s="562" t="n"/>
      <c r="P53" s="562" t="n"/>
      <c r="Q53" s="219" t="n"/>
      <c r="R53" s="219" t="n"/>
      <c r="S53" s="563" t="n"/>
      <c r="T53" s="563" t="n"/>
      <c r="U53" s="221" t="n"/>
      <c r="V53" s="221" t="n"/>
      <c r="W53" s="564" t="n"/>
      <c r="X53" s="564" t="n"/>
      <c r="Y53" s="223" t="n"/>
      <c r="Z53" s="223" t="n"/>
      <c r="AA53" s="565" t="n"/>
      <c r="AB53" s="565" t="n"/>
      <c r="AC53" s="225" t="n"/>
      <c r="AD53" s="225" t="n"/>
    </row>
    <row r="54" ht="15" customHeight="1" s="438">
      <c r="A54" s="210" t="n"/>
      <c r="B54" s="211">
        <f>IF(A54="","",TEXT(A54,"aaa"))</f>
        <v/>
      </c>
      <c r="C54" s="559" t="n"/>
      <c r="D54" s="559" t="n"/>
      <c r="E54" s="213" t="n"/>
      <c r="F54" s="213" t="n"/>
      <c r="G54" s="560" t="n"/>
      <c r="H54" s="560" t="n"/>
      <c r="I54" s="215" t="n"/>
      <c r="J54" s="215" t="n"/>
      <c r="K54" s="561" t="n"/>
      <c r="L54" s="561" t="n"/>
      <c r="M54" s="217" t="n"/>
      <c r="N54" s="217" t="n"/>
      <c r="O54" s="562" t="n"/>
      <c r="P54" s="562" t="n"/>
      <c r="Q54" s="219" t="n"/>
      <c r="R54" s="219" t="n"/>
      <c r="S54" s="563" t="n"/>
      <c r="T54" s="563" t="n"/>
      <c r="U54" s="221" t="n"/>
      <c r="V54" s="221" t="n"/>
      <c r="W54" s="564" t="n"/>
      <c r="X54" s="564" t="n"/>
      <c r="Y54" s="223" t="n"/>
      <c r="Z54" s="223" t="n"/>
      <c r="AA54" s="565" t="n"/>
      <c r="AB54" s="565" t="n"/>
      <c r="AC54" s="225" t="n"/>
      <c r="AD54" s="225" t="n"/>
    </row>
    <row r="55" ht="15" customHeight="1" s="438">
      <c r="A55" s="210" t="n"/>
      <c r="B55" s="226">
        <f>IF(A55="","",TEXT(A55,"aaa"))</f>
        <v/>
      </c>
      <c r="C55" s="559" t="n"/>
      <c r="D55" s="559" t="n"/>
      <c r="E55" s="213" t="n"/>
      <c r="F55" s="213" t="n"/>
      <c r="G55" s="560" t="n"/>
      <c r="H55" s="560" t="n"/>
      <c r="I55" s="215" t="n"/>
      <c r="J55" s="215" t="n"/>
      <c r="K55" s="561" t="n"/>
      <c r="L55" s="561" t="n"/>
      <c r="M55" s="217" t="n"/>
      <c r="N55" s="217" t="n"/>
      <c r="O55" s="562" t="n"/>
      <c r="P55" s="562" t="n"/>
      <c r="Q55" s="219" t="n"/>
      <c r="R55" s="219" t="n"/>
      <c r="S55" s="563" t="n"/>
      <c r="T55" s="563" t="n"/>
      <c r="U55" s="221" t="n"/>
      <c r="V55" s="221" t="n"/>
      <c r="W55" s="564" t="n"/>
      <c r="X55" s="564" t="n"/>
      <c r="Y55" s="223" t="n"/>
      <c r="Z55" s="223" t="n"/>
      <c r="AA55" s="565" t="n"/>
      <c r="AB55" s="565" t="n"/>
      <c r="AC55" s="225" t="n"/>
      <c r="AD55" s="225" t="n"/>
    </row>
    <row r="56" ht="15" customHeight="1" s="438">
      <c r="A56" s="210" t="n"/>
      <c r="B56" s="211">
        <f>IF(A56="","",TEXT(A56,"aaa"))</f>
        <v/>
      </c>
      <c r="C56" s="559" t="n"/>
      <c r="D56" s="559" t="n"/>
      <c r="E56" s="213" t="n"/>
      <c r="F56" s="213" t="n"/>
      <c r="G56" s="560" t="n"/>
      <c r="H56" s="560" t="n"/>
      <c r="I56" s="215" t="n"/>
      <c r="J56" s="215" t="n"/>
      <c r="K56" s="561" t="n"/>
      <c r="L56" s="561" t="n"/>
      <c r="M56" s="217" t="n"/>
      <c r="N56" s="217" t="n"/>
      <c r="O56" s="562" t="n"/>
      <c r="P56" s="562" t="n"/>
      <c r="Q56" s="219" t="n"/>
      <c r="R56" s="219" t="n"/>
      <c r="S56" s="563" t="n"/>
      <c r="T56" s="563" t="n"/>
      <c r="U56" s="221" t="n"/>
      <c r="V56" s="221" t="n"/>
      <c r="W56" s="564" t="n"/>
      <c r="X56" s="564" t="n"/>
      <c r="Y56" s="223" t="n"/>
      <c r="Z56" s="223" t="n"/>
      <c r="AA56" s="565" t="n"/>
      <c r="AB56" s="565" t="n"/>
      <c r="AC56" s="225" t="n"/>
      <c r="AD56" s="225" t="n"/>
    </row>
    <row r="57" ht="15" customHeight="1" s="438">
      <c r="A57" s="210" t="n"/>
      <c r="B57" s="226">
        <f>IF(A57="","",TEXT(A57,"aaa"))</f>
        <v/>
      </c>
      <c r="C57" s="559" t="n"/>
      <c r="D57" s="559" t="n"/>
      <c r="E57" s="213" t="n"/>
      <c r="F57" s="213" t="n"/>
      <c r="G57" s="560" t="n"/>
      <c r="H57" s="560" t="n"/>
      <c r="I57" s="215" t="n"/>
      <c r="J57" s="215" t="n"/>
      <c r="K57" s="561" t="n"/>
      <c r="L57" s="561" t="n"/>
      <c r="M57" s="217" t="n"/>
      <c r="N57" s="217" t="n"/>
      <c r="O57" s="562" t="n"/>
      <c r="P57" s="562" t="n"/>
      <c r="Q57" s="219" t="n"/>
      <c r="R57" s="219" t="n"/>
      <c r="S57" s="563" t="n"/>
      <c r="T57" s="563" t="n"/>
      <c r="U57" s="221" t="n"/>
      <c r="V57" s="221" t="n"/>
      <c r="W57" s="564" t="n"/>
      <c r="X57" s="564" t="n"/>
      <c r="Y57" s="223" t="n"/>
      <c r="Z57" s="223" t="n"/>
      <c r="AA57" s="565" t="n"/>
      <c r="AB57" s="565" t="n"/>
      <c r="AC57" s="225" t="n"/>
      <c r="AD57" s="225" t="n"/>
    </row>
    <row r="58" ht="15" customHeight="1" s="438">
      <c r="A58" s="210" t="n"/>
      <c r="B58" s="211">
        <f>IF(A58="","",TEXT(A58,"aaa"))</f>
        <v/>
      </c>
      <c r="C58" s="559" t="n"/>
      <c r="D58" s="559" t="n"/>
      <c r="E58" s="213" t="n"/>
      <c r="F58" s="213" t="n"/>
      <c r="G58" s="560" t="n"/>
      <c r="H58" s="560" t="n"/>
      <c r="I58" s="215" t="n"/>
      <c r="J58" s="215" t="n"/>
      <c r="K58" s="561" t="n"/>
      <c r="L58" s="561" t="n"/>
      <c r="M58" s="217" t="n"/>
      <c r="N58" s="217" t="n"/>
      <c r="O58" s="562" t="n"/>
      <c r="P58" s="562" t="n"/>
      <c r="Q58" s="219" t="n"/>
      <c r="R58" s="219" t="n"/>
      <c r="S58" s="563" t="n"/>
      <c r="T58" s="563" t="n"/>
      <c r="U58" s="221" t="n"/>
      <c r="V58" s="221" t="n"/>
      <c r="W58" s="564" t="n"/>
      <c r="X58" s="564" t="n"/>
      <c r="Y58" s="223" t="n"/>
      <c r="Z58" s="223" t="n"/>
      <c r="AA58" s="565" t="n"/>
      <c r="AB58" s="565" t="n"/>
      <c r="AC58" s="225" t="n"/>
      <c r="AD58" s="225" t="n"/>
    </row>
    <row r="59" ht="15" customHeight="1" s="438">
      <c r="A59" s="210" t="n"/>
      <c r="B59" s="226">
        <f>IF(A59="","",TEXT(A59,"aaa"))</f>
        <v/>
      </c>
      <c r="C59" s="559" t="n"/>
      <c r="D59" s="559" t="n"/>
      <c r="E59" s="213" t="n"/>
      <c r="F59" s="213" t="n"/>
      <c r="G59" s="560" t="n"/>
      <c r="H59" s="560" t="n"/>
      <c r="I59" s="215" t="n"/>
      <c r="J59" s="215" t="n"/>
      <c r="K59" s="561" t="n"/>
      <c r="L59" s="561" t="n"/>
      <c r="M59" s="217" t="n"/>
      <c r="N59" s="217" t="n"/>
      <c r="O59" s="562" t="n"/>
      <c r="P59" s="562" t="n"/>
      <c r="Q59" s="219" t="n"/>
      <c r="R59" s="219" t="n"/>
      <c r="S59" s="563" t="n"/>
      <c r="T59" s="563" t="n"/>
      <c r="U59" s="221" t="n"/>
      <c r="V59" s="221" t="n"/>
      <c r="W59" s="564" t="n"/>
      <c r="X59" s="564" t="n"/>
      <c r="Y59" s="223" t="n"/>
      <c r="Z59" s="223" t="n"/>
      <c r="AA59" s="565" t="n"/>
      <c r="AB59" s="565" t="n"/>
      <c r="AC59" s="225" t="n"/>
      <c r="AD59" s="225" t="n"/>
    </row>
    <row r="60" ht="15" customHeight="1" s="438">
      <c r="A60" s="210" t="n"/>
      <c r="B60" s="211">
        <f>IF(A60="","",TEXT(A60,"aaa"))</f>
        <v/>
      </c>
      <c r="C60" s="559" t="n"/>
      <c r="D60" s="559" t="n"/>
      <c r="E60" s="213" t="n"/>
      <c r="F60" s="213" t="n"/>
      <c r="G60" s="560" t="n"/>
      <c r="H60" s="560" t="n"/>
      <c r="I60" s="215" t="n"/>
      <c r="J60" s="215" t="n"/>
      <c r="K60" s="561" t="n"/>
      <c r="L60" s="561" t="n"/>
      <c r="M60" s="217" t="n"/>
      <c r="N60" s="217" t="n"/>
      <c r="O60" s="562" t="n"/>
      <c r="P60" s="562" t="n"/>
      <c r="Q60" s="219" t="n"/>
      <c r="R60" s="219" t="n"/>
      <c r="S60" s="563" t="n"/>
      <c r="T60" s="563" t="n"/>
      <c r="U60" s="221" t="n"/>
      <c r="V60" s="221" t="n"/>
      <c r="W60" s="564" t="n"/>
      <c r="X60" s="564" t="n"/>
      <c r="Y60" s="223" t="n"/>
      <c r="Z60" s="223" t="n"/>
      <c r="AA60" s="565" t="n"/>
      <c r="AB60" s="565" t="n"/>
      <c r="AC60" s="225" t="n"/>
      <c r="AD60" s="225" t="n"/>
    </row>
    <row r="61" ht="15" customHeight="1" s="438">
      <c r="A61" s="210" t="n"/>
      <c r="B61" s="226">
        <f>IF(A61="","",TEXT(A61,"aaa"))</f>
        <v/>
      </c>
      <c r="C61" s="559" t="n"/>
      <c r="D61" s="559" t="n"/>
      <c r="E61" s="213" t="n"/>
      <c r="F61" s="213" t="n"/>
      <c r="G61" s="560" t="n"/>
      <c r="H61" s="560" t="n"/>
      <c r="I61" s="215" t="n"/>
      <c r="J61" s="215" t="n"/>
      <c r="K61" s="561" t="n"/>
      <c r="L61" s="561" t="n"/>
      <c r="M61" s="217" t="n"/>
      <c r="N61" s="217" t="n"/>
      <c r="O61" s="562" t="n"/>
      <c r="P61" s="562" t="n"/>
      <c r="Q61" s="219" t="n"/>
      <c r="R61" s="219" t="n"/>
      <c r="S61" s="563" t="n"/>
      <c r="T61" s="563" t="n"/>
      <c r="U61" s="221" t="n"/>
      <c r="V61" s="221" t="n"/>
      <c r="W61" s="564" t="n"/>
      <c r="X61" s="564" t="n"/>
      <c r="Y61" s="223" t="n"/>
      <c r="Z61" s="223" t="n"/>
      <c r="AA61" s="565" t="n"/>
      <c r="AB61" s="565" t="n"/>
      <c r="AC61" s="225" t="n"/>
      <c r="AD61" s="225" t="n"/>
    </row>
    <row r="62" ht="15" customHeight="1" s="438">
      <c r="A62" s="210" t="n"/>
      <c r="B62" s="211">
        <f>IF(A62="","",TEXT(A62,"aaa"))</f>
        <v/>
      </c>
      <c r="C62" s="559" t="n"/>
      <c r="D62" s="559" t="n"/>
      <c r="E62" s="213" t="n"/>
      <c r="F62" s="213" t="n"/>
      <c r="G62" s="560" t="n"/>
      <c r="H62" s="560" t="n"/>
      <c r="I62" s="215" t="n"/>
      <c r="J62" s="215" t="n"/>
      <c r="K62" s="561" t="n"/>
      <c r="L62" s="561" t="n"/>
      <c r="M62" s="217" t="n"/>
      <c r="N62" s="217" t="n"/>
      <c r="O62" s="562" t="n"/>
      <c r="P62" s="562" t="n"/>
      <c r="Q62" s="219" t="n"/>
      <c r="R62" s="219" t="n"/>
      <c r="S62" s="563" t="n"/>
      <c r="T62" s="563" t="n"/>
      <c r="U62" s="221" t="n"/>
      <c r="V62" s="221" t="n"/>
      <c r="W62" s="564" t="n"/>
      <c r="X62" s="564" t="n"/>
      <c r="Y62" s="223" t="n"/>
      <c r="Z62" s="223" t="n"/>
      <c r="AA62" s="565" t="n"/>
      <c r="AB62" s="565" t="n"/>
      <c r="AC62" s="225" t="n"/>
      <c r="AD62" s="225" t="n"/>
    </row>
    <row r="63" ht="15" customHeight="1" s="438">
      <c r="A63" s="210" t="n"/>
      <c r="B63" s="226">
        <f>IF(A63="","",TEXT(A63,"aaa"))</f>
        <v/>
      </c>
      <c r="C63" s="559" t="n"/>
      <c r="D63" s="559" t="n"/>
      <c r="E63" s="213" t="n"/>
      <c r="F63" s="213" t="n"/>
      <c r="G63" s="560" t="n"/>
      <c r="H63" s="560" t="n"/>
      <c r="I63" s="215" t="n"/>
      <c r="J63" s="215" t="n"/>
      <c r="K63" s="561" t="n"/>
      <c r="L63" s="561" t="n"/>
      <c r="M63" s="217" t="n"/>
      <c r="N63" s="217" t="n"/>
      <c r="O63" s="562" t="n"/>
      <c r="P63" s="562" t="n"/>
      <c r="Q63" s="219" t="n"/>
      <c r="R63" s="219" t="n"/>
      <c r="S63" s="563" t="n"/>
      <c r="T63" s="563" t="n"/>
      <c r="U63" s="221" t="n"/>
      <c r="V63" s="221" t="n"/>
      <c r="W63" s="564" t="n"/>
      <c r="X63" s="564" t="n"/>
      <c r="Y63" s="223" t="n"/>
      <c r="Z63" s="223" t="n"/>
      <c r="AA63" s="565" t="n"/>
      <c r="AB63" s="565" t="n"/>
      <c r="AC63" s="225" t="n"/>
      <c r="AD63" s="225" t="n"/>
    </row>
    <row r="64" ht="15" customHeight="1" s="438">
      <c r="A64" s="210" t="n"/>
      <c r="B64" s="211">
        <f>IF(A64="","",TEXT(A64,"aaa"))</f>
        <v/>
      </c>
      <c r="C64" s="559" t="n"/>
      <c r="D64" s="559" t="n"/>
      <c r="E64" s="213" t="n"/>
      <c r="F64" s="213" t="n"/>
      <c r="G64" s="560" t="n"/>
      <c r="H64" s="560" t="n"/>
      <c r="I64" s="215" t="n"/>
      <c r="J64" s="215" t="n"/>
      <c r="K64" s="561" t="n"/>
      <c r="L64" s="561" t="n"/>
      <c r="M64" s="217" t="n"/>
      <c r="N64" s="217" t="n"/>
      <c r="O64" s="562" t="n"/>
      <c r="P64" s="562" t="n"/>
      <c r="Q64" s="219" t="n"/>
      <c r="R64" s="219" t="n"/>
      <c r="S64" s="563" t="n"/>
      <c r="T64" s="563" t="n"/>
      <c r="U64" s="221" t="n"/>
      <c r="V64" s="221" t="n"/>
      <c r="W64" s="564" t="n"/>
      <c r="X64" s="564" t="n"/>
      <c r="Y64" s="223" t="n"/>
      <c r="Z64" s="223" t="n"/>
      <c r="AA64" s="565" t="n"/>
      <c r="AB64" s="565" t="n"/>
      <c r="AC64" s="225" t="n"/>
      <c r="AD64" s="225" t="n"/>
    </row>
    <row r="65" ht="15" customHeight="1" s="438">
      <c r="A65" s="210" t="n"/>
      <c r="B65" s="226">
        <f>IF(A65="","",TEXT(A65,"aaa"))</f>
        <v/>
      </c>
      <c r="C65" s="559" t="n"/>
      <c r="D65" s="559" t="n"/>
      <c r="E65" s="213" t="n"/>
      <c r="F65" s="213" t="n"/>
      <c r="G65" s="560" t="n"/>
      <c r="H65" s="560" t="n"/>
      <c r="I65" s="215" t="n"/>
      <c r="J65" s="215" t="n"/>
      <c r="K65" s="561" t="n"/>
      <c r="L65" s="561" t="n"/>
      <c r="M65" s="217" t="n"/>
      <c r="N65" s="217" t="n"/>
      <c r="O65" s="562" t="n"/>
      <c r="P65" s="562" t="n"/>
      <c r="Q65" s="219" t="n"/>
      <c r="R65" s="219" t="n"/>
      <c r="S65" s="563" t="n"/>
      <c r="T65" s="563" t="n"/>
      <c r="U65" s="221" t="n"/>
      <c r="V65" s="221" t="n"/>
      <c r="W65" s="564" t="n"/>
      <c r="X65" s="564" t="n"/>
      <c r="Y65" s="223" t="n"/>
      <c r="Z65" s="223" t="n"/>
      <c r="AA65" s="565" t="n"/>
      <c r="AB65" s="565" t="n"/>
      <c r="AC65" s="225" t="n"/>
      <c r="AD65" s="225" t="n"/>
    </row>
    <row r="66" ht="15" customHeight="1" s="438">
      <c r="A66" s="210" t="n"/>
      <c r="B66" s="211">
        <f>IF(A66="","",TEXT(A66,"aaa"))</f>
        <v/>
      </c>
      <c r="C66" s="559" t="n"/>
      <c r="D66" s="559" t="n"/>
      <c r="E66" s="213" t="n"/>
      <c r="F66" s="213" t="n"/>
      <c r="G66" s="560" t="n"/>
      <c r="H66" s="560" t="n"/>
      <c r="I66" s="215" t="n"/>
      <c r="J66" s="215" t="n"/>
      <c r="K66" s="561" t="n"/>
      <c r="L66" s="561" t="n"/>
      <c r="M66" s="217" t="n"/>
      <c r="N66" s="217" t="n"/>
      <c r="O66" s="562" t="n"/>
      <c r="P66" s="562" t="n"/>
      <c r="Q66" s="219" t="n"/>
      <c r="R66" s="219" t="n"/>
      <c r="S66" s="563" t="n"/>
      <c r="T66" s="563" t="n"/>
      <c r="U66" s="221" t="n"/>
      <c r="V66" s="221" t="n"/>
      <c r="W66" s="564" t="n"/>
      <c r="X66" s="564" t="n"/>
      <c r="Y66" s="223" t="n"/>
      <c r="Z66" s="223" t="n"/>
      <c r="AA66" s="565" t="n"/>
      <c r="AB66" s="565" t="n"/>
      <c r="AC66" s="225" t="n"/>
      <c r="AD66" s="225" t="n"/>
    </row>
    <row r="67" ht="15" customHeight="1" s="438">
      <c r="A67" s="210" t="n"/>
      <c r="B67" s="226">
        <f>IF(A67="","",TEXT(A67,"aaa"))</f>
        <v/>
      </c>
      <c r="C67" s="559" t="n"/>
      <c r="D67" s="559" t="n"/>
      <c r="E67" s="213" t="n"/>
      <c r="F67" s="213" t="n"/>
      <c r="G67" s="560" t="n"/>
      <c r="H67" s="560" t="n"/>
      <c r="I67" s="215" t="n"/>
      <c r="J67" s="215" t="n"/>
      <c r="K67" s="561" t="n"/>
      <c r="L67" s="561" t="n"/>
      <c r="M67" s="217" t="n"/>
      <c r="N67" s="217" t="n"/>
      <c r="O67" s="562" t="n"/>
      <c r="P67" s="562" t="n"/>
      <c r="Q67" s="219" t="n"/>
      <c r="R67" s="219" t="n"/>
      <c r="S67" s="563" t="n"/>
      <c r="T67" s="563" t="n"/>
      <c r="U67" s="221" t="n"/>
      <c r="V67" s="221" t="n"/>
      <c r="W67" s="564" t="n"/>
      <c r="X67" s="564" t="n"/>
      <c r="Y67" s="223" t="n"/>
      <c r="Z67" s="223" t="n"/>
      <c r="AA67" s="565" t="n"/>
      <c r="AB67" s="565" t="n"/>
      <c r="AC67" s="225" t="n"/>
      <c r="AD67" s="225" t="n"/>
    </row>
    <row r="68" ht="15" customHeight="1" s="438">
      <c r="A68" s="210" t="n"/>
      <c r="B68" s="211">
        <f>IF(A68="","",TEXT(A68,"aaa"))</f>
        <v/>
      </c>
      <c r="C68" s="559" t="n"/>
      <c r="D68" s="559" t="n"/>
      <c r="E68" s="213" t="n"/>
      <c r="F68" s="213" t="n"/>
      <c r="G68" s="560" t="n"/>
      <c r="H68" s="560" t="n"/>
      <c r="I68" s="215" t="n"/>
      <c r="J68" s="215" t="n"/>
      <c r="K68" s="561" t="n"/>
      <c r="L68" s="561" t="n"/>
      <c r="M68" s="217" t="n"/>
      <c r="N68" s="217" t="n"/>
      <c r="O68" s="562" t="n"/>
      <c r="P68" s="562" t="n"/>
      <c r="Q68" s="219" t="n"/>
      <c r="R68" s="219" t="n"/>
      <c r="S68" s="563" t="n"/>
      <c r="T68" s="563" t="n"/>
      <c r="U68" s="221" t="n"/>
      <c r="V68" s="221" t="n"/>
      <c r="W68" s="564" t="n"/>
      <c r="X68" s="564" t="n"/>
      <c r="Y68" s="223" t="n"/>
      <c r="Z68" s="223" t="n"/>
      <c r="AA68" s="565" t="n"/>
      <c r="AB68" s="565" t="n"/>
      <c r="AC68" s="225" t="n"/>
      <c r="AD68" s="225" t="n"/>
    </row>
    <row r="69" ht="15" customHeight="1" s="438">
      <c r="A69" s="210" t="n"/>
      <c r="B69" s="226">
        <f>IF(A69="","",TEXT(A69,"aaa"))</f>
        <v/>
      </c>
      <c r="C69" s="559" t="n"/>
      <c r="D69" s="559" t="n"/>
      <c r="E69" s="213" t="n"/>
      <c r="F69" s="213" t="n"/>
      <c r="G69" s="560" t="n"/>
      <c r="H69" s="560" t="n"/>
      <c r="I69" s="215" t="n"/>
      <c r="J69" s="215" t="n"/>
      <c r="K69" s="561" t="n"/>
      <c r="L69" s="561" t="n"/>
      <c r="M69" s="217" t="n"/>
      <c r="N69" s="217" t="n"/>
      <c r="O69" s="562" t="n"/>
      <c r="P69" s="562" t="n"/>
      <c r="Q69" s="219" t="n"/>
      <c r="R69" s="219" t="n"/>
      <c r="S69" s="563" t="n"/>
      <c r="T69" s="563" t="n"/>
      <c r="U69" s="221" t="n"/>
      <c r="V69" s="221" t="n"/>
      <c r="W69" s="564" t="n"/>
      <c r="X69" s="564" t="n"/>
      <c r="Y69" s="223" t="n"/>
      <c r="Z69" s="223" t="n"/>
      <c r="AA69" s="565" t="n"/>
      <c r="AB69" s="565" t="n"/>
      <c r="AC69" s="225" t="n"/>
      <c r="AD69" s="225" t="n"/>
    </row>
    <row r="70" ht="15" customHeight="1" s="438">
      <c r="A70" s="210" t="n"/>
      <c r="B70" s="211">
        <f>IF(A70="","",TEXT(A70,"aaa"))</f>
        <v/>
      </c>
      <c r="C70" s="559" t="n"/>
      <c r="D70" s="559" t="n"/>
      <c r="E70" s="213" t="n"/>
      <c r="F70" s="213" t="n"/>
      <c r="G70" s="560" t="n"/>
      <c r="H70" s="560" t="n"/>
      <c r="I70" s="215" t="n"/>
      <c r="J70" s="215" t="n"/>
      <c r="K70" s="561" t="n"/>
      <c r="L70" s="561" t="n"/>
      <c r="M70" s="217" t="n"/>
      <c r="N70" s="217" t="n"/>
      <c r="O70" s="562" t="n"/>
      <c r="P70" s="562" t="n"/>
      <c r="Q70" s="219" t="n"/>
      <c r="R70" s="219" t="n"/>
      <c r="S70" s="563" t="n"/>
      <c r="T70" s="563" t="n"/>
      <c r="U70" s="221" t="n"/>
      <c r="V70" s="221" t="n"/>
      <c r="W70" s="564" t="n"/>
      <c r="X70" s="564" t="n"/>
      <c r="Y70" s="223" t="n"/>
      <c r="Z70" s="223" t="n"/>
      <c r="AA70" s="565" t="n"/>
      <c r="AB70" s="565" t="n"/>
      <c r="AC70" s="225" t="n"/>
      <c r="AD70" s="225" t="n"/>
    </row>
    <row r="71" ht="15" customHeight="1" s="438">
      <c r="A71" s="210" t="n"/>
      <c r="B71" s="226">
        <f>IF(A71="","",TEXT(A71,"aaa"))</f>
        <v/>
      </c>
      <c r="C71" s="559" t="n"/>
      <c r="D71" s="559" t="n"/>
      <c r="E71" s="213" t="n"/>
      <c r="F71" s="213" t="n"/>
      <c r="G71" s="560" t="n"/>
      <c r="H71" s="560" t="n"/>
      <c r="I71" s="215" t="n"/>
      <c r="J71" s="215" t="n"/>
      <c r="K71" s="561" t="n"/>
      <c r="L71" s="561" t="n"/>
      <c r="M71" s="217" t="n"/>
      <c r="N71" s="217" t="n"/>
      <c r="O71" s="562" t="n"/>
      <c r="P71" s="562" t="n"/>
      <c r="Q71" s="219" t="n"/>
      <c r="R71" s="219" t="n"/>
      <c r="S71" s="563" t="n"/>
      <c r="T71" s="563" t="n"/>
      <c r="U71" s="221" t="n"/>
      <c r="V71" s="221" t="n"/>
      <c r="W71" s="564" t="n"/>
      <c r="X71" s="564" t="n"/>
      <c r="Y71" s="223" t="n"/>
      <c r="Z71" s="223" t="n"/>
      <c r="AA71" s="565" t="n"/>
      <c r="AB71" s="565" t="n"/>
      <c r="AC71" s="225" t="n"/>
      <c r="AD71" s="225" t="n"/>
    </row>
    <row r="72" ht="15" customHeight="1" s="438">
      <c r="A72" s="210" t="n"/>
      <c r="B72" s="211">
        <f>IF(A72="","",TEXT(A72,"aaa"))</f>
        <v/>
      </c>
      <c r="C72" s="559" t="n"/>
      <c r="D72" s="559" t="n"/>
      <c r="E72" s="213" t="n"/>
      <c r="F72" s="213" t="n"/>
      <c r="G72" s="560" t="n"/>
      <c r="H72" s="560" t="n"/>
      <c r="I72" s="215" t="n"/>
      <c r="J72" s="215" t="n"/>
      <c r="K72" s="561" t="n"/>
      <c r="L72" s="561" t="n"/>
      <c r="M72" s="217" t="n"/>
      <c r="N72" s="217" t="n"/>
      <c r="O72" s="562" t="n"/>
      <c r="P72" s="562" t="n"/>
      <c r="Q72" s="219" t="n"/>
      <c r="R72" s="219" t="n"/>
      <c r="S72" s="563" t="n"/>
      <c r="T72" s="563" t="n"/>
      <c r="U72" s="221" t="n"/>
      <c r="V72" s="221" t="n"/>
      <c r="W72" s="564" t="n"/>
      <c r="X72" s="564" t="n"/>
      <c r="Y72" s="223" t="n"/>
      <c r="Z72" s="223" t="n"/>
      <c r="AA72" s="565" t="n"/>
      <c r="AB72" s="565" t="n"/>
      <c r="AC72" s="225" t="n"/>
      <c r="AD72" s="225" t="n"/>
    </row>
    <row r="73" ht="15" customHeight="1" s="438">
      <c r="A73" s="210" t="n"/>
      <c r="B73" s="226">
        <f>IF(A73="","",TEXT(A73,"aaa"))</f>
        <v/>
      </c>
      <c r="C73" s="559" t="n"/>
      <c r="D73" s="559" t="n"/>
      <c r="E73" s="213" t="n"/>
      <c r="F73" s="213" t="n"/>
      <c r="G73" s="560" t="n"/>
      <c r="H73" s="560" t="n"/>
      <c r="I73" s="215" t="n"/>
      <c r="J73" s="215" t="n"/>
      <c r="K73" s="561" t="n"/>
      <c r="L73" s="561" t="n"/>
      <c r="M73" s="217" t="n"/>
      <c r="N73" s="217" t="n"/>
      <c r="O73" s="562" t="n"/>
      <c r="P73" s="562" t="n"/>
      <c r="Q73" s="219" t="n"/>
      <c r="R73" s="219" t="n"/>
      <c r="S73" s="563" t="n"/>
      <c r="T73" s="563" t="n"/>
      <c r="U73" s="221" t="n"/>
      <c r="V73" s="221" t="n"/>
      <c r="W73" s="564" t="n"/>
      <c r="X73" s="564" t="n"/>
      <c r="Y73" s="223" t="n"/>
      <c r="Z73" s="223" t="n"/>
      <c r="AA73" s="565" t="n"/>
      <c r="AB73" s="565" t="n"/>
      <c r="AC73" s="225" t="n"/>
      <c r="AD73" s="225" t="n"/>
    </row>
    <row r="74" ht="15" customHeight="1" s="438">
      <c r="A74" s="210" t="n"/>
      <c r="B74" s="211">
        <f>IF(A74="","",TEXT(A74,"aaa"))</f>
        <v/>
      </c>
      <c r="C74" s="559" t="n"/>
      <c r="D74" s="559" t="n"/>
      <c r="E74" s="213" t="n"/>
      <c r="F74" s="213" t="n"/>
      <c r="G74" s="560" t="n"/>
      <c r="H74" s="560" t="n"/>
      <c r="I74" s="215" t="n"/>
      <c r="J74" s="215" t="n"/>
      <c r="K74" s="561" t="n"/>
      <c r="L74" s="561" t="n"/>
      <c r="M74" s="217" t="n"/>
      <c r="N74" s="217" t="n"/>
      <c r="O74" s="562" t="n"/>
      <c r="P74" s="562" t="n"/>
      <c r="Q74" s="219" t="n"/>
      <c r="R74" s="219" t="n"/>
      <c r="S74" s="563" t="n"/>
      <c r="T74" s="563" t="n"/>
      <c r="U74" s="221" t="n"/>
      <c r="V74" s="221" t="n"/>
      <c r="W74" s="564" t="n"/>
      <c r="X74" s="564" t="n"/>
      <c r="Y74" s="223" t="n"/>
      <c r="Z74" s="223" t="n"/>
      <c r="AA74" s="565" t="n"/>
      <c r="AB74" s="565" t="n"/>
      <c r="AC74" s="225" t="n"/>
      <c r="AD74" s="225" t="n"/>
    </row>
    <row r="75" ht="15" customHeight="1" s="438">
      <c r="A75" s="210" t="n"/>
      <c r="B75" s="226">
        <f>IF(A75="","",TEXT(A75,"aaa"))</f>
        <v/>
      </c>
      <c r="C75" s="559" t="n"/>
      <c r="D75" s="559" t="n"/>
      <c r="E75" s="213" t="n"/>
      <c r="F75" s="213" t="n"/>
      <c r="G75" s="560" t="n"/>
      <c r="H75" s="560" t="n"/>
      <c r="I75" s="215" t="n"/>
      <c r="J75" s="215" t="n"/>
      <c r="K75" s="561" t="n"/>
      <c r="L75" s="561" t="n"/>
      <c r="M75" s="217" t="n"/>
      <c r="N75" s="217" t="n"/>
      <c r="O75" s="562" t="n"/>
      <c r="P75" s="562" t="n"/>
      <c r="Q75" s="219" t="n"/>
      <c r="R75" s="219" t="n"/>
      <c r="S75" s="563" t="n"/>
      <c r="T75" s="563" t="n"/>
      <c r="U75" s="221" t="n"/>
      <c r="V75" s="221" t="n"/>
      <c r="W75" s="564" t="n"/>
      <c r="X75" s="564" t="n"/>
      <c r="Y75" s="223" t="n"/>
      <c r="Z75" s="223" t="n"/>
      <c r="AA75" s="565" t="n"/>
      <c r="AB75" s="565" t="n"/>
      <c r="AC75" s="225" t="n"/>
      <c r="AD75" s="225" t="n"/>
    </row>
    <row r="76" ht="15" customHeight="1" s="438">
      <c r="A76" s="210" t="n"/>
      <c r="B76" s="211">
        <f>IF(A76="","",TEXT(A76,"aaa"))</f>
        <v/>
      </c>
      <c r="C76" s="559" t="n"/>
      <c r="D76" s="559" t="n"/>
      <c r="E76" s="213" t="n"/>
      <c r="F76" s="213" t="n"/>
      <c r="G76" s="560" t="n"/>
      <c r="H76" s="560" t="n"/>
      <c r="I76" s="215" t="n"/>
      <c r="J76" s="215" t="n"/>
      <c r="K76" s="561" t="n"/>
      <c r="L76" s="561" t="n"/>
      <c r="M76" s="217" t="n"/>
      <c r="N76" s="217" t="n"/>
      <c r="O76" s="562" t="n"/>
      <c r="P76" s="562" t="n"/>
      <c r="Q76" s="219" t="n"/>
      <c r="R76" s="219" t="n"/>
      <c r="S76" s="563" t="n"/>
      <c r="T76" s="563" t="n"/>
      <c r="U76" s="221" t="n"/>
      <c r="V76" s="221" t="n"/>
      <c r="W76" s="564" t="n"/>
      <c r="X76" s="564" t="n"/>
      <c r="Y76" s="223" t="n"/>
      <c r="Z76" s="223" t="n"/>
      <c r="AA76" s="565" t="n"/>
      <c r="AB76" s="565" t="n"/>
      <c r="AC76" s="225" t="n"/>
      <c r="AD76" s="225" t="n"/>
    </row>
    <row r="77" ht="15" customHeight="1" s="438">
      <c r="A77" s="210" t="n"/>
      <c r="B77" s="226">
        <f>IF(A77="","",TEXT(A77,"aaa"))</f>
        <v/>
      </c>
      <c r="C77" s="559" t="n"/>
      <c r="D77" s="559" t="n"/>
      <c r="E77" s="213" t="n"/>
      <c r="F77" s="213" t="n"/>
      <c r="G77" s="560" t="n"/>
      <c r="H77" s="560" t="n"/>
      <c r="I77" s="215" t="n"/>
      <c r="J77" s="215" t="n"/>
      <c r="K77" s="561" t="n"/>
      <c r="L77" s="561" t="n"/>
      <c r="M77" s="217" t="n"/>
      <c r="N77" s="217" t="n"/>
      <c r="O77" s="562" t="n"/>
      <c r="P77" s="562" t="n"/>
      <c r="Q77" s="219" t="n"/>
      <c r="R77" s="219" t="n"/>
      <c r="S77" s="563" t="n"/>
      <c r="T77" s="563" t="n"/>
      <c r="U77" s="221" t="n"/>
      <c r="V77" s="221" t="n"/>
      <c r="W77" s="564" t="n"/>
      <c r="X77" s="564" t="n"/>
      <c r="Y77" s="223" t="n"/>
      <c r="Z77" s="223" t="n"/>
      <c r="AA77" s="565" t="n"/>
      <c r="AB77" s="565" t="n"/>
      <c r="AC77" s="225" t="n"/>
      <c r="AD77" s="225" t="n"/>
    </row>
    <row r="78" ht="15" customHeight="1" s="438">
      <c r="A78" s="210" t="n"/>
      <c r="B78" s="211">
        <f>IF(A78="","",TEXT(A78,"aaa"))</f>
        <v/>
      </c>
      <c r="C78" s="559" t="n"/>
      <c r="D78" s="559" t="n"/>
      <c r="E78" s="213" t="n"/>
      <c r="F78" s="213" t="n"/>
      <c r="G78" s="560" t="n"/>
      <c r="H78" s="560" t="n"/>
      <c r="I78" s="215" t="n"/>
      <c r="J78" s="215" t="n"/>
      <c r="K78" s="561" t="n"/>
      <c r="L78" s="561" t="n"/>
      <c r="M78" s="217" t="n"/>
      <c r="N78" s="217" t="n"/>
      <c r="O78" s="562" t="n"/>
      <c r="P78" s="562" t="n"/>
      <c r="Q78" s="219" t="n"/>
      <c r="R78" s="219" t="n"/>
      <c r="S78" s="563" t="n"/>
      <c r="T78" s="563" t="n"/>
      <c r="U78" s="221" t="n"/>
      <c r="V78" s="221" t="n"/>
      <c r="W78" s="564" t="n"/>
      <c r="X78" s="564" t="n"/>
      <c r="Y78" s="223" t="n"/>
      <c r="Z78" s="223" t="n"/>
      <c r="AA78" s="565" t="n"/>
      <c r="AB78" s="565" t="n"/>
      <c r="AC78" s="225" t="n"/>
      <c r="AD78" s="225" t="n"/>
    </row>
    <row r="79" ht="15" customHeight="1" s="438">
      <c r="A79" s="210" t="n"/>
      <c r="B79" s="226">
        <f>IF(A79="","",TEXT(A79,"aaa"))</f>
        <v/>
      </c>
      <c r="C79" s="559" t="n"/>
      <c r="D79" s="559" t="n"/>
      <c r="E79" s="213" t="n"/>
      <c r="F79" s="213" t="n"/>
      <c r="G79" s="560" t="n"/>
      <c r="H79" s="560" t="n"/>
      <c r="I79" s="215" t="n"/>
      <c r="J79" s="215" t="n"/>
      <c r="K79" s="561" t="n"/>
      <c r="L79" s="561" t="n"/>
      <c r="M79" s="217" t="n"/>
      <c r="N79" s="217" t="n"/>
      <c r="O79" s="562" t="n"/>
      <c r="P79" s="562" t="n"/>
      <c r="Q79" s="219" t="n"/>
      <c r="R79" s="219" t="n"/>
      <c r="S79" s="563" t="n"/>
      <c r="T79" s="563" t="n"/>
      <c r="U79" s="221" t="n"/>
      <c r="V79" s="221" t="n"/>
      <c r="W79" s="564" t="n"/>
      <c r="X79" s="564" t="n"/>
      <c r="Y79" s="223" t="n"/>
      <c r="Z79" s="223" t="n"/>
      <c r="AA79" s="565" t="n"/>
      <c r="AB79" s="565" t="n"/>
      <c r="AC79" s="225" t="n"/>
      <c r="AD79" s="225" t="n"/>
    </row>
    <row r="80" ht="15" customHeight="1" s="438">
      <c r="A80" s="210" t="n"/>
      <c r="B80" s="211">
        <f>IF(A80="","",TEXT(A80,"aaa"))</f>
        <v/>
      </c>
      <c r="C80" s="559" t="n"/>
      <c r="D80" s="559" t="n"/>
      <c r="E80" s="213" t="n"/>
      <c r="F80" s="213" t="n"/>
      <c r="G80" s="560" t="n"/>
      <c r="H80" s="560" t="n"/>
      <c r="I80" s="215" t="n"/>
      <c r="J80" s="215" t="n"/>
      <c r="K80" s="561" t="n"/>
      <c r="L80" s="561" t="n"/>
      <c r="M80" s="217" t="n"/>
      <c r="N80" s="217" t="n"/>
      <c r="O80" s="562" t="n"/>
      <c r="P80" s="562" t="n"/>
      <c r="Q80" s="219" t="n"/>
      <c r="R80" s="219" t="n"/>
      <c r="S80" s="563" t="n"/>
      <c r="T80" s="563" t="n"/>
      <c r="U80" s="221" t="n"/>
      <c r="V80" s="221" t="n"/>
      <c r="W80" s="564" t="n"/>
      <c r="X80" s="564" t="n"/>
      <c r="Y80" s="223" t="n"/>
      <c r="Z80" s="223" t="n"/>
      <c r="AA80" s="565" t="n"/>
      <c r="AB80" s="565" t="n"/>
      <c r="AC80" s="225" t="n"/>
      <c r="AD80" s="225" t="n"/>
    </row>
    <row r="81" ht="15" customHeight="1" s="438">
      <c r="A81" s="210" t="n"/>
      <c r="B81" s="226">
        <f>IF(A81="","",TEXT(A81,"aaa"))</f>
        <v/>
      </c>
      <c r="C81" s="559" t="n"/>
      <c r="D81" s="559" t="n"/>
      <c r="E81" s="213" t="n"/>
      <c r="F81" s="213" t="n"/>
      <c r="G81" s="560" t="n"/>
      <c r="H81" s="560" t="n"/>
      <c r="I81" s="215" t="n"/>
      <c r="J81" s="215" t="n"/>
      <c r="K81" s="561" t="n"/>
      <c r="L81" s="561" t="n"/>
      <c r="M81" s="217" t="n"/>
      <c r="N81" s="217" t="n"/>
      <c r="O81" s="562" t="n"/>
      <c r="P81" s="562" t="n"/>
      <c r="Q81" s="219" t="n"/>
      <c r="R81" s="219" t="n"/>
      <c r="S81" s="563" t="n"/>
      <c r="T81" s="563" t="n"/>
      <c r="U81" s="221" t="n"/>
      <c r="V81" s="221" t="n"/>
      <c r="W81" s="564" t="n"/>
      <c r="X81" s="564" t="n"/>
      <c r="Y81" s="223" t="n"/>
      <c r="Z81" s="223" t="n"/>
      <c r="AA81" s="565" t="n"/>
      <c r="AB81" s="565" t="n"/>
      <c r="AC81" s="225" t="n"/>
      <c r="AD81" s="225" t="n"/>
    </row>
    <row r="82" ht="15" customHeight="1" s="438">
      <c r="A82" s="210" t="n"/>
      <c r="B82" s="211">
        <f>IF(A82="","",TEXT(A82,"aaa"))</f>
        <v/>
      </c>
      <c r="C82" s="559" t="n"/>
      <c r="D82" s="559" t="n"/>
      <c r="E82" s="213" t="n"/>
      <c r="F82" s="213" t="n"/>
      <c r="G82" s="560" t="n"/>
      <c r="H82" s="560" t="n"/>
      <c r="I82" s="215" t="n"/>
      <c r="J82" s="215" t="n"/>
      <c r="K82" s="561" t="n"/>
      <c r="L82" s="561" t="n"/>
      <c r="M82" s="217" t="n"/>
      <c r="N82" s="217" t="n"/>
      <c r="O82" s="562" t="n"/>
      <c r="P82" s="562" t="n"/>
      <c r="Q82" s="219" t="n"/>
      <c r="R82" s="219" t="n"/>
      <c r="S82" s="563" t="n"/>
      <c r="T82" s="563" t="n"/>
      <c r="U82" s="221" t="n"/>
      <c r="V82" s="221" t="n"/>
      <c r="W82" s="564" t="n"/>
      <c r="X82" s="564" t="n"/>
      <c r="Y82" s="223" t="n"/>
      <c r="Z82" s="223" t="n"/>
      <c r="AA82" s="565" t="n"/>
      <c r="AB82" s="565" t="n"/>
      <c r="AC82" s="225" t="n"/>
      <c r="AD82" s="225" t="n"/>
    </row>
    <row r="83" ht="15" customHeight="1" s="438">
      <c r="A83" s="210" t="n"/>
      <c r="B83" s="226">
        <f>IF(A83="","",TEXT(A83,"aaa"))</f>
        <v/>
      </c>
      <c r="C83" s="559" t="n"/>
      <c r="D83" s="559" t="n"/>
      <c r="E83" s="213" t="n"/>
      <c r="F83" s="213" t="n"/>
      <c r="G83" s="560" t="n"/>
      <c r="H83" s="560" t="n"/>
      <c r="I83" s="215" t="n"/>
      <c r="J83" s="215" t="n"/>
      <c r="K83" s="561" t="n"/>
      <c r="L83" s="561" t="n"/>
      <c r="M83" s="217" t="n"/>
      <c r="N83" s="217" t="n"/>
      <c r="O83" s="562" t="n"/>
      <c r="P83" s="562" t="n"/>
      <c r="Q83" s="219" t="n"/>
      <c r="R83" s="219" t="n"/>
      <c r="S83" s="563" t="n"/>
      <c r="T83" s="563" t="n"/>
      <c r="U83" s="221" t="n"/>
      <c r="V83" s="221" t="n"/>
      <c r="W83" s="564" t="n"/>
      <c r="X83" s="564" t="n"/>
      <c r="Y83" s="223" t="n"/>
      <c r="Z83" s="223" t="n"/>
      <c r="AA83" s="565" t="n"/>
      <c r="AB83" s="565" t="n"/>
      <c r="AC83" s="225" t="n"/>
      <c r="AD83" s="225" t="n"/>
    </row>
    <row r="84" ht="15" customHeight="1" s="438">
      <c r="A84" s="210" t="n"/>
      <c r="B84" s="211">
        <f>IF(A84="","",TEXT(A84,"aaa"))</f>
        <v/>
      </c>
      <c r="C84" s="559" t="n"/>
      <c r="D84" s="559" t="n"/>
      <c r="E84" s="213" t="n"/>
      <c r="F84" s="213" t="n"/>
      <c r="G84" s="560" t="n"/>
      <c r="H84" s="560" t="n"/>
      <c r="I84" s="215" t="n"/>
      <c r="J84" s="215" t="n"/>
      <c r="K84" s="561" t="n"/>
      <c r="L84" s="561" t="n"/>
      <c r="M84" s="217" t="n"/>
      <c r="N84" s="217" t="n"/>
      <c r="O84" s="562" t="n"/>
      <c r="P84" s="562" t="n"/>
      <c r="Q84" s="219" t="n"/>
      <c r="R84" s="219" t="n"/>
      <c r="S84" s="563" t="n"/>
      <c r="T84" s="563" t="n"/>
      <c r="U84" s="221" t="n"/>
      <c r="V84" s="221" t="n"/>
      <c r="W84" s="564" t="n"/>
      <c r="X84" s="564" t="n"/>
      <c r="Y84" s="223" t="n"/>
      <c r="Z84" s="223" t="n"/>
      <c r="AA84" s="565" t="n"/>
      <c r="AB84" s="565" t="n"/>
      <c r="AC84" s="225" t="n"/>
      <c r="AD84" s="225" t="n"/>
    </row>
    <row r="85" ht="15" customHeight="1" s="438">
      <c r="A85" s="210" t="n"/>
      <c r="B85" s="226">
        <f>IF(A85="","",TEXT(A85,"aaa"))</f>
        <v/>
      </c>
      <c r="C85" s="559" t="n"/>
      <c r="D85" s="559" t="n"/>
      <c r="E85" s="213" t="n"/>
      <c r="F85" s="213" t="n"/>
      <c r="G85" s="560" t="n"/>
      <c r="H85" s="560" t="n"/>
      <c r="I85" s="215" t="n"/>
      <c r="J85" s="215" t="n"/>
      <c r="K85" s="561" t="n"/>
      <c r="L85" s="561" t="n"/>
      <c r="M85" s="217" t="n"/>
      <c r="N85" s="217" t="n"/>
      <c r="O85" s="562" t="n"/>
      <c r="P85" s="562" t="n"/>
      <c r="Q85" s="219" t="n"/>
      <c r="R85" s="219" t="n"/>
      <c r="S85" s="563" t="n"/>
      <c r="T85" s="563" t="n"/>
      <c r="U85" s="221" t="n"/>
      <c r="V85" s="221" t="n"/>
      <c r="W85" s="564" t="n"/>
      <c r="X85" s="564" t="n"/>
      <c r="Y85" s="223" t="n"/>
      <c r="Z85" s="223" t="n"/>
      <c r="AA85" s="565" t="n"/>
      <c r="AB85" s="565" t="n"/>
      <c r="AC85" s="225" t="n"/>
      <c r="AD85" s="225" t="n"/>
    </row>
    <row r="86" ht="15" customHeight="1" s="438">
      <c r="A86" s="210" t="n"/>
      <c r="B86" s="211">
        <f>IF(A86="","",TEXT(A86,"aaa"))</f>
        <v/>
      </c>
      <c r="C86" s="559" t="n"/>
      <c r="D86" s="559" t="n"/>
      <c r="E86" s="213" t="n"/>
      <c r="F86" s="213" t="n"/>
      <c r="G86" s="560" t="n"/>
      <c r="H86" s="560" t="n"/>
      <c r="I86" s="215" t="n"/>
      <c r="J86" s="215" t="n"/>
      <c r="K86" s="561" t="n"/>
      <c r="L86" s="561" t="n"/>
      <c r="M86" s="217" t="n"/>
      <c r="N86" s="217" t="n"/>
      <c r="O86" s="562" t="n"/>
      <c r="P86" s="562" t="n"/>
      <c r="Q86" s="219" t="n"/>
      <c r="R86" s="219" t="n"/>
      <c r="S86" s="563" t="n"/>
      <c r="T86" s="563" t="n"/>
      <c r="U86" s="221" t="n"/>
      <c r="V86" s="221" t="n"/>
      <c r="W86" s="564" t="n"/>
      <c r="X86" s="564" t="n"/>
      <c r="Y86" s="223" t="n"/>
      <c r="Z86" s="223" t="n"/>
      <c r="AA86" s="565" t="n"/>
      <c r="AB86" s="565" t="n"/>
      <c r="AC86" s="225" t="n"/>
      <c r="AD86" s="225" t="n"/>
    </row>
    <row r="87" ht="15" customHeight="1" s="438">
      <c r="A87" s="210" t="n"/>
      <c r="B87" s="226">
        <f>IF(A87="","",TEXT(A87,"aaa"))</f>
        <v/>
      </c>
      <c r="C87" s="559" t="n"/>
      <c r="D87" s="559" t="n"/>
      <c r="E87" s="213" t="n"/>
      <c r="F87" s="213" t="n"/>
      <c r="G87" s="560" t="n"/>
      <c r="H87" s="560" t="n"/>
      <c r="I87" s="215" t="n"/>
      <c r="J87" s="215" t="n"/>
      <c r="K87" s="561" t="n"/>
      <c r="L87" s="561" t="n"/>
      <c r="M87" s="217" t="n"/>
      <c r="N87" s="217" t="n"/>
      <c r="O87" s="562" t="n"/>
      <c r="P87" s="562" t="n"/>
      <c r="Q87" s="219" t="n"/>
      <c r="R87" s="219" t="n"/>
      <c r="S87" s="563" t="n"/>
      <c r="T87" s="563" t="n"/>
      <c r="U87" s="221" t="n"/>
      <c r="V87" s="221" t="n"/>
      <c r="W87" s="564" t="n"/>
      <c r="X87" s="564" t="n"/>
      <c r="Y87" s="223" t="n"/>
      <c r="Z87" s="223" t="n"/>
      <c r="AA87" s="565" t="n"/>
      <c r="AB87" s="565" t="n"/>
      <c r="AC87" s="225" t="n"/>
      <c r="AD87" s="225" t="n"/>
    </row>
    <row r="88" ht="15" customHeight="1" s="438">
      <c r="A88" s="210" t="n"/>
      <c r="B88" s="211">
        <f>IF(A88="","",TEXT(A88,"aaa"))</f>
        <v/>
      </c>
      <c r="C88" s="559" t="n"/>
      <c r="D88" s="559" t="n"/>
      <c r="E88" s="213" t="n"/>
      <c r="F88" s="213" t="n"/>
      <c r="G88" s="560" t="n"/>
      <c r="H88" s="560" t="n"/>
      <c r="I88" s="215" t="n"/>
      <c r="J88" s="215" t="n"/>
      <c r="K88" s="561" t="n"/>
      <c r="L88" s="561" t="n"/>
      <c r="M88" s="217" t="n"/>
      <c r="N88" s="217" t="n"/>
      <c r="O88" s="562" t="n"/>
      <c r="P88" s="562" t="n"/>
      <c r="Q88" s="219" t="n"/>
      <c r="R88" s="219" t="n"/>
      <c r="S88" s="563" t="n"/>
      <c r="T88" s="563" t="n"/>
      <c r="U88" s="221" t="n"/>
      <c r="V88" s="221" t="n"/>
      <c r="W88" s="564" t="n"/>
      <c r="X88" s="564" t="n"/>
      <c r="Y88" s="223" t="n"/>
      <c r="Z88" s="223" t="n"/>
      <c r="AA88" s="565" t="n"/>
      <c r="AB88" s="565" t="n"/>
      <c r="AC88" s="225" t="n"/>
      <c r="AD88" s="225" t="n"/>
    </row>
    <row r="89" ht="15" customHeight="1" s="438">
      <c r="A89" s="210" t="n"/>
      <c r="B89" s="226">
        <f>IF(A89="","",TEXT(A89,"aaa"))</f>
        <v/>
      </c>
      <c r="C89" s="559" t="n"/>
      <c r="D89" s="559" t="n"/>
      <c r="E89" s="213" t="n"/>
      <c r="F89" s="213" t="n"/>
      <c r="G89" s="560" t="n"/>
      <c r="H89" s="560" t="n"/>
      <c r="I89" s="215" t="n"/>
      <c r="J89" s="215" t="n"/>
      <c r="K89" s="561" t="n"/>
      <c r="L89" s="561" t="n"/>
      <c r="M89" s="217" t="n"/>
      <c r="N89" s="217" t="n"/>
      <c r="O89" s="562" t="n"/>
      <c r="P89" s="562" t="n"/>
      <c r="Q89" s="219" t="n"/>
      <c r="R89" s="219" t="n"/>
      <c r="S89" s="563" t="n"/>
      <c r="T89" s="563" t="n"/>
      <c r="U89" s="221" t="n"/>
      <c r="V89" s="221" t="n"/>
      <c r="W89" s="564" t="n"/>
      <c r="X89" s="564" t="n"/>
      <c r="Y89" s="223" t="n"/>
      <c r="Z89" s="223" t="n"/>
      <c r="AA89" s="565" t="n"/>
      <c r="AB89" s="565" t="n"/>
      <c r="AC89" s="225" t="n"/>
      <c r="AD89" s="225" t="n"/>
    </row>
    <row r="90" ht="15" customHeight="1" s="438">
      <c r="A90" s="210" t="n"/>
      <c r="B90" s="211">
        <f>IF(A90="","",TEXT(A90,"aaa"))</f>
        <v/>
      </c>
      <c r="C90" s="559" t="n"/>
      <c r="D90" s="559" t="n"/>
      <c r="E90" s="213" t="n"/>
      <c r="F90" s="213" t="n"/>
      <c r="G90" s="560" t="n"/>
      <c r="H90" s="560" t="n"/>
      <c r="I90" s="215" t="n"/>
      <c r="J90" s="215" t="n"/>
      <c r="K90" s="561" t="n"/>
      <c r="L90" s="561" t="n"/>
      <c r="M90" s="217" t="n"/>
      <c r="N90" s="217" t="n"/>
      <c r="O90" s="562" t="n"/>
      <c r="P90" s="562" t="n"/>
      <c r="Q90" s="219" t="n"/>
      <c r="R90" s="219" t="n"/>
      <c r="S90" s="563" t="n"/>
      <c r="T90" s="563" t="n"/>
      <c r="U90" s="221" t="n"/>
      <c r="V90" s="221" t="n"/>
      <c r="W90" s="564" t="n"/>
      <c r="X90" s="564" t="n"/>
      <c r="Y90" s="223" t="n"/>
      <c r="Z90" s="223" t="n"/>
      <c r="AA90" s="565" t="n"/>
      <c r="AB90" s="565" t="n"/>
      <c r="AC90" s="225" t="n"/>
      <c r="AD90" s="225" t="n"/>
    </row>
    <row r="91" ht="15" customHeight="1" s="438">
      <c r="A91" s="210" t="n"/>
      <c r="B91" s="226">
        <f>IF(A91="","",TEXT(A91,"aaa"))</f>
        <v/>
      </c>
      <c r="C91" s="559" t="n"/>
      <c r="D91" s="559" t="n"/>
      <c r="E91" s="213" t="n"/>
      <c r="F91" s="213" t="n"/>
      <c r="G91" s="560" t="n"/>
      <c r="H91" s="560" t="n"/>
      <c r="I91" s="215" t="n"/>
      <c r="J91" s="215" t="n"/>
      <c r="K91" s="561" t="n"/>
      <c r="L91" s="561" t="n"/>
      <c r="M91" s="217" t="n"/>
      <c r="N91" s="217" t="n"/>
      <c r="O91" s="562" t="n"/>
      <c r="P91" s="562" t="n"/>
      <c r="Q91" s="219" t="n"/>
      <c r="R91" s="219" t="n"/>
      <c r="S91" s="563" t="n"/>
      <c r="T91" s="563" t="n"/>
      <c r="U91" s="221" t="n"/>
      <c r="V91" s="221" t="n"/>
      <c r="W91" s="564" t="n"/>
      <c r="X91" s="564" t="n"/>
      <c r="Y91" s="223" t="n"/>
      <c r="Z91" s="223" t="n"/>
      <c r="AA91" s="565" t="n"/>
      <c r="AB91" s="565" t="n"/>
      <c r="AC91" s="225" t="n"/>
      <c r="AD91" s="225" t="n"/>
    </row>
    <row r="92" ht="15" customHeight="1" s="438">
      <c r="A92" s="210" t="n"/>
      <c r="B92" s="211">
        <f>IF(A92="","",TEXT(A92,"aaa"))</f>
        <v/>
      </c>
      <c r="C92" s="559" t="n"/>
      <c r="D92" s="559" t="n"/>
      <c r="E92" s="213" t="n"/>
      <c r="F92" s="213" t="n"/>
      <c r="G92" s="560" t="n"/>
      <c r="H92" s="560" t="n"/>
      <c r="I92" s="215" t="n"/>
      <c r="J92" s="215" t="n"/>
      <c r="K92" s="561" t="n"/>
      <c r="L92" s="561" t="n"/>
      <c r="M92" s="217" t="n"/>
      <c r="N92" s="217" t="n"/>
      <c r="O92" s="562" t="n"/>
      <c r="P92" s="562" t="n"/>
      <c r="Q92" s="219" t="n"/>
      <c r="R92" s="219" t="n"/>
      <c r="S92" s="563" t="n"/>
      <c r="T92" s="563" t="n"/>
      <c r="U92" s="221" t="n"/>
      <c r="V92" s="221" t="n"/>
      <c r="W92" s="564" t="n"/>
      <c r="X92" s="564" t="n"/>
      <c r="Y92" s="223" t="n"/>
      <c r="Z92" s="223" t="n"/>
      <c r="AA92" s="565" t="n"/>
      <c r="AB92" s="565" t="n"/>
      <c r="AC92" s="225" t="n"/>
      <c r="AD92" s="225" t="n"/>
    </row>
    <row r="93" ht="15" customHeight="1" s="438">
      <c r="A93" s="210" t="n"/>
      <c r="B93" s="226">
        <f>IF(A93="","",TEXT(A93,"aaa"))</f>
        <v/>
      </c>
      <c r="C93" s="559" t="n"/>
      <c r="D93" s="559" t="n"/>
      <c r="E93" s="213" t="n"/>
      <c r="F93" s="213" t="n"/>
      <c r="G93" s="560" t="n"/>
      <c r="H93" s="560" t="n"/>
      <c r="I93" s="215" t="n"/>
      <c r="J93" s="215" t="n"/>
      <c r="K93" s="561" t="n"/>
      <c r="L93" s="561" t="n"/>
      <c r="M93" s="217" t="n"/>
      <c r="N93" s="217" t="n"/>
      <c r="O93" s="562" t="n"/>
      <c r="P93" s="562" t="n"/>
      <c r="Q93" s="219" t="n"/>
      <c r="R93" s="219" t="n"/>
      <c r="S93" s="563" t="n"/>
      <c r="T93" s="563" t="n"/>
      <c r="U93" s="221" t="n"/>
      <c r="V93" s="221" t="n"/>
      <c r="W93" s="564" t="n"/>
      <c r="X93" s="564" t="n"/>
      <c r="Y93" s="223" t="n"/>
      <c r="Z93" s="223" t="n"/>
      <c r="AA93" s="565" t="n"/>
      <c r="AB93" s="565" t="n"/>
      <c r="AC93" s="225" t="n"/>
      <c r="AD93" s="225" t="n"/>
    </row>
    <row r="94" ht="15" customHeight="1" s="438">
      <c r="A94" s="210" t="n"/>
      <c r="B94" s="211">
        <f>IF(A94="","",TEXT(A94,"aaa"))</f>
        <v/>
      </c>
      <c r="C94" s="559" t="n"/>
      <c r="D94" s="559" t="n"/>
      <c r="E94" s="213" t="n"/>
      <c r="F94" s="213" t="n"/>
      <c r="G94" s="560" t="n"/>
      <c r="H94" s="560" t="n"/>
      <c r="I94" s="215" t="n"/>
      <c r="J94" s="215" t="n"/>
      <c r="K94" s="561" t="n"/>
      <c r="L94" s="561" t="n"/>
      <c r="M94" s="217" t="n"/>
      <c r="N94" s="217" t="n"/>
      <c r="O94" s="562" t="n"/>
      <c r="P94" s="562" t="n"/>
      <c r="Q94" s="219" t="n"/>
      <c r="R94" s="219" t="n"/>
      <c r="S94" s="563" t="n"/>
      <c r="T94" s="563" t="n"/>
      <c r="U94" s="221" t="n"/>
      <c r="V94" s="221" t="n"/>
      <c r="W94" s="564" t="n"/>
      <c r="X94" s="564" t="n"/>
      <c r="Y94" s="223" t="n"/>
      <c r="Z94" s="223" t="n"/>
      <c r="AA94" s="565" t="n"/>
      <c r="AB94" s="565" t="n"/>
      <c r="AC94" s="225" t="n"/>
      <c r="AD94" s="225" t="n"/>
    </row>
    <row r="95" ht="15" customHeight="1" s="438">
      <c r="A95" s="210" t="n"/>
      <c r="B95" s="226">
        <f>IF(A95="","",TEXT(A95,"aaa"))</f>
        <v/>
      </c>
      <c r="C95" s="559" t="n"/>
      <c r="D95" s="559" t="n"/>
      <c r="E95" s="213" t="n"/>
      <c r="F95" s="213" t="n"/>
      <c r="G95" s="560" t="n"/>
      <c r="H95" s="560" t="n"/>
      <c r="I95" s="215" t="n"/>
      <c r="J95" s="215" t="n"/>
      <c r="K95" s="561" t="n"/>
      <c r="L95" s="561" t="n"/>
      <c r="M95" s="217" t="n"/>
      <c r="N95" s="217" t="n"/>
      <c r="O95" s="562" t="n"/>
      <c r="P95" s="562" t="n"/>
      <c r="Q95" s="219" t="n"/>
      <c r="R95" s="219" t="n"/>
      <c r="S95" s="563" t="n"/>
      <c r="T95" s="563" t="n"/>
      <c r="U95" s="221" t="n"/>
      <c r="V95" s="221" t="n"/>
      <c r="W95" s="564" t="n"/>
      <c r="X95" s="564" t="n"/>
      <c r="Y95" s="223" t="n"/>
      <c r="Z95" s="223" t="n"/>
      <c r="AA95" s="565" t="n"/>
      <c r="AB95" s="565" t="n"/>
      <c r="AC95" s="225" t="n"/>
      <c r="AD95" s="225" t="n"/>
    </row>
    <row r="96" ht="15" customHeight="1" s="438">
      <c r="A96" s="210" t="n"/>
      <c r="B96" s="211">
        <f>IF(A96="","",TEXT(A96,"aaa"))</f>
        <v/>
      </c>
      <c r="C96" s="559" t="n"/>
      <c r="D96" s="559" t="n"/>
      <c r="E96" s="213" t="n"/>
      <c r="F96" s="213" t="n"/>
      <c r="G96" s="560" t="n"/>
      <c r="H96" s="560" t="n"/>
      <c r="I96" s="215" t="n"/>
      <c r="J96" s="215" t="n"/>
      <c r="K96" s="561" t="n"/>
      <c r="L96" s="561" t="n"/>
      <c r="M96" s="217" t="n"/>
      <c r="N96" s="217" t="n"/>
      <c r="O96" s="562" t="n"/>
      <c r="P96" s="562" t="n"/>
      <c r="Q96" s="219" t="n"/>
      <c r="R96" s="219" t="n"/>
      <c r="S96" s="563" t="n"/>
      <c r="T96" s="563" t="n"/>
      <c r="U96" s="221" t="n"/>
      <c r="V96" s="221" t="n"/>
      <c r="W96" s="564" t="n"/>
      <c r="X96" s="564" t="n"/>
      <c r="Y96" s="223" t="n"/>
      <c r="Z96" s="223" t="n"/>
      <c r="AA96" s="565" t="n"/>
      <c r="AB96" s="565" t="n"/>
      <c r="AC96" s="225" t="n"/>
      <c r="AD96" s="225" t="n"/>
    </row>
    <row r="97" ht="15" customHeight="1" s="438">
      <c r="A97" s="210" t="n"/>
      <c r="B97" s="226">
        <f>IF(A97="","",TEXT(A97,"aaa"))</f>
        <v/>
      </c>
      <c r="C97" s="559" t="n"/>
      <c r="D97" s="559" t="n"/>
      <c r="E97" s="213" t="n"/>
      <c r="F97" s="213" t="n"/>
      <c r="G97" s="560" t="n"/>
      <c r="H97" s="560" t="n"/>
      <c r="I97" s="215" t="n"/>
      <c r="J97" s="215" t="n"/>
      <c r="K97" s="561" t="n"/>
      <c r="L97" s="561" t="n"/>
      <c r="M97" s="217" t="n"/>
      <c r="N97" s="217" t="n"/>
      <c r="O97" s="562" t="n"/>
      <c r="P97" s="562" t="n"/>
      <c r="Q97" s="219" t="n"/>
      <c r="R97" s="219" t="n"/>
      <c r="S97" s="563" t="n"/>
      <c r="T97" s="563" t="n"/>
      <c r="U97" s="221" t="n"/>
      <c r="V97" s="221" t="n"/>
      <c r="W97" s="564" t="n"/>
      <c r="X97" s="564" t="n"/>
      <c r="Y97" s="223" t="n"/>
      <c r="Z97" s="223" t="n"/>
      <c r="AA97" s="565" t="n"/>
      <c r="AB97" s="565" t="n"/>
      <c r="AC97" s="225" t="n"/>
      <c r="AD97" s="225" t="n"/>
    </row>
    <row r="98" ht="15" customHeight="1" s="438">
      <c r="A98" s="210" t="n"/>
      <c r="B98" s="211">
        <f>IF(A98="","",TEXT(A98,"aaa"))</f>
        <v/>
      </c>
      <c r="C98" s="559" t="n"/>
      <c r="D98" s="559" t="n"/>
      <c r="E98" s="213" t="n"/>
      <c r="F98" s="213" t="n"/>
      <c r="G98" s="560" t="n"/>
      <c r="H98" s="560" t="n"/>
      <c r="I98" s="215" t="n"/>
      <c r="J98" s="215" t="n"/>
      <c r="K98" s="561" t="n"/>
      <c r="L98" s="561" t="n"/>
      <c r="M98" s="217" t="n"/>
      <c r="N98" s="217" t="n"/>
      <c r="O98" s="562" t="n"/>
      <c r="P98" s="562" t="n"/>
      <c r="Q98" s="219" t="n"/>
      <c r="R98" s="219" t="n"/>
      <c r="S98" s="563" t="n"/>
      <c r="T98" s="563" t="n"/>
      <c r="U98" s="221" t="n"/>
      <c r="V98" s="221" t="n"/>
      <c r="W98" s="564" t="n"/>
      <c r="X98" s="564" t="n"/>
      <c r="Y98" s="223" t="n"/>
      <c r="Z98" s="223" t="n"/>
      <c r="AA98" s="565" t="n"/>
      <c r="AB98" s="565" t="n"/>
      <c r="AC98" s="225" t="n"/>
      <c r="AD98" s="225" t="n"/>
    </row>
    <row r="99" ht="15" customHeight="1" s="438">
      <c r="A99" s="210" t="n"/>
      <c r="B99" s="226">
        <f>IF(A99="","",TEXT(A99,"aaa"))</f>
        <v/>
      </c>
      <c r="C99" s="559" t="n"/>
      <c r="D99" s="559" t="n"/>
      <c r="E99" s="213" t="n"/>
      <c r="F99" s="213" t="n"/>
      <c r="G99" s="560" t="n"/>
      <c r="H99" s="560" t="n"/>
      <c r="I99" s="215" t="n"/>
      <c r="J99" s="215" t="n"/>
      <c r="K99" s="561" t="n"/>
      <c r="L99" s="561" t="n"/>
      <c r="M99" s="217" t="n"/>
      <c r="N99" s="217" t="n"/>
      <c r="O99" s="562" t="n"/>
      <c r="P99" s="562" t="n"/>
      <c r="Q99" s="219" t="n"/>
      <c r="R99" s="219" t="n"/>
      <c r="S99" s="563" t="n"/>
      <c r="T99" s="563" t="n"/>
      <c r="U99" s="221" t="n"/>
      <c r="V99" s="221" t="n"/>
      <c r="W99" s="564" t="n"/>
      <c r="X99" s="564" t="n"/>
      <c r="Y99" s="223" t="n"/>
      <c r="Z99" s="223" t="n"/>
      <c r="AA99" s="565" t="n"/>
      <c r="AB99" s="565" t="n"/>
      <c r="AC99" s="225" t="n"/>
      <c r="AD99" s="225" t="n"/>
    </row>
    <row r="100" ht="15" customHeight="1" s="438">
      <c r="A100" s="210" t="n"/>
      <c r="B100" s="211">
        <f>IF(A100="","",TEXT(A100,"aaa"))</f>
        <v/>
      </c>
      <c r="C100" s="559" t="n"/>
      <c r="D100" s="559" t="n"/>
      <c r="E100" s="213" t="n"/>
      <c r="F100" s="213" t="n"/>
      <c r="G100" s="560" t="n"/>
      <c r="H100" s="560" t="n"/>
      <c r="I100" s="215" t="n"/>
      <c r="J100" s="215" t="n"/>
      <c r="K100" s="561" t="n"/>
      <c r="L100" s="561" t="n"/>
      <c r="M100" s="217" t="n"/>
      <c r="N100" s="217" t="n"/>
      <c r="O100" s="562" t="n"/>
      <c r="P100" s="562" t="n"/>
      <c r="Q100" s="219" t="n"/>
      <c r="R100" s="219" t="n"/>
      <c r="S100" s="563" t="n"/>
      <c r="T100" s="563" t="n"/>
      <c r="U100" s="221" t="n"/>
      <c r="V100" s="221" t="n"/>
      <c r="W100" s="564" t="n"/>
      <c r="X100" s="564" t="n"/>
      <c r="Y100" s="223" t="n"/>
      <c r="Z100" s="223" t="n"/>
      <c r="AA100" s="565" t="n"/>
      <c r="AB100" s="565" t="n"/>
      <c r="AC100" s="225" t="n"/>
      <c r="AD100" s="225" t="n"/>
    </row>
    <row r="101" ht="15" customHeight="1" s="438">
      <c r="A101" s="210" t="n"/>
      <c r="B101" s="226">
        <f>IF(A101="","",TEXT(A101,"aaa"))</f>
        <v/>
      </c>
      <c r="C101" s="559" t="n"/>
      <c r="D101" s="559" t="n"/>
      <c r="E101" s="213" t="n"/>
      <c r="F101" s="213" t="n"/>
      <c r="G101" s="560" t="n"/>
      <c r="H101" s="560" t="n"/>
      <c r="I101" s="215" t="n"/>
      <c r="J101" s="215" t="n"/>
      <c r="K101" s="561" t="n"/>
      <c r="L101" s="561" t="n"/>
      <c r="M101" s="217" t="n"/>
      <c r="N101" s="217" t="n"/>
      <c r="O101" s="562" t="n"/>
      <c r="P101" s="562" t="n"/>
      <c r="Q101" s="219" t="n"/>
      <c r="R101" s="219" t="n"/>
      <c r="S101" s="563" t="n"/>
      <c r="T101" s="563" t="n"/>
      <c r="U101" s="221" t="n"/>
      <c r="V101" s="221" t="n"/>
      <c r="W101" s="564" t="n"/>
      <c r="X101" s="564" t="n"/>
      <c r="Y101" s="223" t="n"/>
      <c r="Z101" s="223" t="n"/>
      <c r="AA101" s="565" t="n"/>
      <c r="AB101" s="565" t="n"/>
      <c r="AC101" s="225" t="n"/>
      <c r="AD101" s="225" t="n"/>
    </row>
    <row r="102" ht="15" customHeight="1" s="438">
      <c r="A102" s="210" t="n"/>
      <c r="B102" s="211">
        <f>IF(A102="","",TEXT(A102,"aaa"))</f>
        <v/>
      </c>
      <c r="C102" s="559" t="n"/>
      <c r="D102" s="559" t="n"/>
      <c r="E102" s="213" t="n"/>
      <c r="F102" s="213" t="n"/>
      <c r="G102" s="560" t="n"/>
      <c r="H102" s="560" t="n"/>
      <c r="I102" s="215" t="n"/>
      <c r="J102" s="215" t="n"/>
      <c r="K102" s="561" t="n"/>
      <c r="L102" s="561" t="n"/>
      <c r="M102" s="217" t="n"/>
      <c r="N102" s="217" t="n"/>
      <c r="O102" s="562" t="n"/>
      <c r="P102" s="562" t="n"/>
      <c r="Q102" s="219" t="n"/>
      <c r="R102" s="219" t="n"/>
      <c r="S102" s="563" t="n"/>
      <c r="T102" s="563" t="n"/>
      <c r="U102" s="221" t="n"/>
      <c r="V102" s="221" t="n"/>
      <c r="W102" s="564" t="n"/>
      <c r="X102" s="564" t="n"/>
      <c r="Y102" s="223" t="n"/>
      <c r="Z102" s="223" t="n"/>
      <c r="AA102" s="565" t="n"/>
      <c r="AB102" s="565" t="n"/>
      <c r="AC102" s="225" t="n"/>
      <c r="AD102" s="225" t="n"/>
    </row>
    <row r="103" ht="15" customHeight="1" s="438">
      <c r="A103" s="210" t="n"/>
      <c r="B103" s="226">
        <f>IF(A103="","",TEXT(A103,"aaa"))</f>
        <v/>
      </c>
      <c r="C103" s="559" t="n"/>
      <c r="D103" s="559" t="n"/>
      <c r="E103" s="213" t="n"/>
      <c r="F103" s="213" t="n"/>
      <c r="G103" s="560" t="n"/>
      <c r="H103" s="560" t="n"/>
      <c r="I103" s="215" t="n"/>
      <c r="J103" s="215" t="n"/>
      <c r="K103" s="561" t="n"/>
      <c r="L103" s="561" t="n"/>
      <c r="M103" s="217" t="n"/>
      <c r="N103" s="217" t="n"/>
      <c r="O103" s="562" t="n"/>
      <c r="P103" s="562" t="n"/>
      <c r="Q103" s="219" t="n"/>
      <c r="R103" s="219" t="n"/>
      <c r="S103" s="563" t="n"/>
      <c r="T103" s="563" t="n"/>
      <c r="U103" s="221" t="n"/>
      <c r="V103" s="221" t="n"/>
      <c r="W103" s="564" t="n"/>
      <c r="X103" s="564" t="n"/>
      <c r="Y103" s="223" t="n"/>
      <c r="Z103" s="223" t="n"/>
      <c r="AA103" s="565" t="n"/>
      <c r="AB103" s="565" t="n"/>
      <c r="AC103" s="225" t="n"/>
      <c r="AD103" s="225" t="n"/>
    </row>
    <row r="104" ht="15" customHeight="1" s="438">
      <c r="A104" s="210" t="n"/>
      <c r="B104" s="211">
        <f>IF(A104="","",TEXT(A104,"aaa"))</f>
        <v/>
      </c>
      <c r="C104" s="559" t="n"/>
      <c r="D104" s="559" t="n"/>
      <c r="E104" s="213" t="n"/>
      <c r="F104" s="213" t="n"/>
      <c r="G104" s="560" t="n"/>
      <c r="H104" s="560" t="n"/>
      <c r="I104" s="215" t="n"/>
      <c r="J104" s="215" t="n"/>
      <c r="K104" s="561" t="n"/>
      <c r="L104" s="561" t="n"/>
      <c r="M104" s="217" t="n"/>
      <c r="N104" s="217" t="n"/>
      <c r="O104" s="562" t="n"/>
      <c r="P104" s="562" t="n"/>
      <c r="Q104" s="219" t="n"/>
      <c r="R104" s="219" t="n"/>
      <c r="S104" s="563" t="n"/>
      <c r="T104" s="563" t="n"/>
      <c r="U104" s="221" t="n"/>
      <c r="V104" s="221" t="n"/>
      <c r="W104" s="564" t="n"/>
      <c r="X104" s="564" t="n"/>
      <c r="Y104" s="223" t="n"/>
      <c r="Z104" s="223" t="n"/>
      <c r="AA104" s="565" t="n"/>
      <c r="AB104" s="565" t="n"/>
      <c r="AC104" s="225" t="n"/>
      <c r="AD104" s="225" t="n"/>
    </row>
    <row r="105" ht="15" customHeight="1" s="438">
      <c r="A105" s="210" t="n"/>
      <c r="B105" s="226">
        <f>IF(A105="","",TEXT(A105,"aaa"))</f>
        <v/>
      </c>
      <c r="C105" s="559" t="n"/>
      <c r="D105" s="559" t="n"/>
      <c r="E105" s="213" t="n"/>
      <c r="F105" s="213" t="n"/>
      <c r="G105" s="560" t="n"/>
      <c r="H105" s="560" t="n"/>
      <c r="I105" s="215" t="n"/>
      <c r="J105" s="215" t="n"/>
      <c r="K105" s="561" t="n"/>
      <c r="L105" s="561" t="n"/>
      <c r="M105" s="217" t="n"/>
      <c r="N105" s="217" t="n"/>
      <c r="O105" s="562" t="n"/>
      <c r="P105" s="562" t="n"/>
      <c r="Q105" s="219" t="n"/>
      <c r="R105" s="219" t="n"/>
      <c r="S105" s="563" t="n"/>
      <c r="T105" s="563" t="n"/>
      <c r="U105" s="221" t="n"/>
      <c r="V105" s="221" t="n"/>
      <c r="W105" s="564" t="n"/>
      <c r="X105" s="564" t="n"/>
      <c r="Y105" s="223" t="n"/>
      <c r="Z105" s="223" t="n"/>
      <c r="AA105" s="565" t="n"/>
      <c r="AB105" s="565" t="n"/>
      <c r="AC105" s="225" t="n"/>
      <c r="AD105" s="225" t="n"/>
    </row>
  </sheetData>
  <mergeCells count="11">
    <mergeCell ref="K4:N4"/>
    <mergeCell ref="O4:R4"/>
    <mergeCell ref="B4:B5"/>
    <mergeCell ref="S4:V4"/>
    <mergeCell ref="A4:A5"/>
    <mergeCell ref="C4:F4"/>
    <mergeCell ref="W4:Z4"/>
    <mergeCell ref="G4:J4"/>
    <mergeCell ref="AA4:AD4"/>
    <mergeCell ref="A2:AD2"/>
    <mergeCell ref="A1:A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selection activeCell="A1" sqref="A1"/>
    </sheetView>
  </sheetViews>
  <sheetFormatPr baseColWidth="8" defaultRowHeight="13"/>
  <cols>
    <col width="2" customWidth="1" style="438" min="1" max="1"/>
    <col width="16" customWidth="1" style="438" min="2" max="2"/>
    <col width="14" customWidth="1" style="438" min="3" max="3"/>
    <col width="12" customWidth="1" style="438" min="4" max="13"/>
    <col width="2" customWidth="1" style="438" min="14" max="14"/>
  </cols>
  <sheetData>
    <row r="1" ht="36" customHeight="1" s="438">
      <c r="B1" s="511" t="inlineStr">
        <is>
          <t>益子工場　生産性・損益分解ダッシュボード</t>
        </is>
      </c>
    </row>
    <row r="2" ht="18" customHeight="1" s="438">
      <c r="B2" s="506" t="inlineStr">
        <is>
          <t>④前提設定の時給・人数・目標生産性を変更すると全項目が自動更新されます</t>
        </is>
      </c>
    </row>
    <row r="3" ht="12" customHeight="1" s="438"/>
    <row r="4" ht="26" customHeight="1" s="438">
      <c r="B4" s="510" t="inlineStr">
        <is>
          <t>■ 前提設定（④前提設定シートで変更）</t>
        </is>
      </c>
    </row>
    <row r="5" ht="22" customHeight="1" s="438">
      <c r="B5" s="255" t="inlineStr">
        <is>
          <t>時給(円/h)</t>
        </is>
      </c>
      <c r="C5" s="255" t="inlineStr">
        <is>
          <t>固定費/月(円)</t>
        </is>
      </c>
      <c r="D5" s="255" t="inlineStr">
        <is>
          <t>ロス率(%)</t>
        </is>
      </c>
      <c r="E5" s="255" t="inlineStr">
        <is>
          <t>稼働日数/月</t>
        </is>
      </c>
    </row>
    <row r="6" ht="28" customHeight="1" s="438">
      <c r="B6" s="256">
        <f>④前提設定!B4</f>
        <v/>
      </c>
      <c r="C6" s="256">
        <f>④前提設定!B5</f>
        <v/>
      </c>
      <c r="D6" s="566">
        <f>④前提設定!B7</f>
        <v/>
      </c>
      <c r="E6" s="256">
        <f>④前提設定!B8</f>
        <v/>
      </c>
    </row>
    <row r="7" ht="12" customHeight="1" s="438"/>
    <row r="8" ht="26" customHeight="1" s="438">
      <c r="B8" s="510" t="inlineStr">
        <is>
          <t>■ 工程別　人時生産性・損益分解（週次更新）</t>
        </is>
      </c>
    </row>
    <row r="9" ht="36" customHeight="1" s="438">
      <c r="B9" s="258" t="inlineStr">
        <is>
          <t>工程</t>
        </is>
      </c>
      <c r="C9" s="258" t="inlineStr">
        <is>
          <t>設定人数
(人)</t>
        </is>
      </c>
      <c r="D9" s="258" t="inlineStr">
        <is>
          <t>時給
(円/h)</t>
        </is>
      </c>
      <c r="E9" s="258" t="inlineStr">
        <is>
          <t>実績生産性
(kg or 個/h)</t>
        </is>
      </c>
      <c r="F9" s="258" t="inlineStr">
        <is>
          <t>目標生産性</t>
        </is>
      </c>
      <c r="G9" s="258" t="inlineStr">
        <is>
          <t>達成率(%)</t>
        </is>
      </c>
      <c r="H9" s="258" t="inlineStr">
        <is>
          <t>人時生産性
(kg or 個/人時)</t>
        </is>
      </c>
      <c r="I9" s="258" t="inlineStr">
        <is>
          <t>1人あたり
時間労務費</t>
        </is>
      </c>
      <c r="J9" s="258" t="inlineStr">
        <is>
          <t>労務費率
(%目安)</t>
        </is>
      </c>
      <c r="K9" s="258" t="inlineStr">
        <is>
          <t>月間想定
生産量</t>
        </is>
      </c>
      <c r="L9" s="258" t="inlineStr">
        <is>
          <t>月間
労務費(円)</t>
        </is>
      </c>
      <c r="M9" s="258" t="inlineStr">
        <is>
          <t>判定</t>
        </is>
      </c>
    </row>
    <row r="10" ht="24" customHeight="1" s="438">
      <c r="B10" s="259" t="inlineStr">
        <is>
          <t>釜</t>
        </is>
      </c>
      <c r="C10" s="260">
        <f>④前提設定!B12</f>
        <v/>
      </c>
      <c r="D10" s="261">
        <f>④前提設定!B4</f>
        <v/>
      </c>
      <c r="E10" s="567">
        <f>IFERROR(AVERAGEIF(②釜工程入力!K6:'②釜工程入力'!K200,"&gt;0"),"-")</f>
        <v/>
      </c>
      <c r="F10" s="263">
        <f>④前提設定!C12</f>
        <v/>
      </c>
      <c r="G10" s="568">
        <f>IF(OR(E10="-",F10=0),"",E10/F10*100)</f>
        <v/>
      </c>
      <c r="H10" s="569">
        <f>IF(E10="-","",E10*C10)</f>
        <v/>
      </c>
      <c r="I10" s="266">
        <f>D10*C10</f>
        <v/>
      </c>
      <c r="J10" s="267" t="inlineStr">
        <is>
          <t>売価入力待</t>
        </is>
      </c>
      <c r="K10" s="261">
        <f>IF(E10="-","",E10*C10*8*④前提設定!B8)</f>
        <v/>
      </c>
      <c r="L10" s="268">
        <f>D10*C10*8*④前提設定!B8</f>
        <v/>
      </c>
      <c r="M10" s="269">
        <f>IF(G10="","未入力",IF(G10&gt;=100,"◎ 達成",IF(G10&gt;=80,"○ 概達",IF(G10&gt;=60,"△ 注意","✕ 未達"))))</f>
        <v/>
      </c>
    </row>
    <row r="11" ht="24" customHeight="1" s="438">
      <c r="B11" s="270" t="inlineStr">
        <is>
          <t>スチコン</t>
        </is>
      </c>
      <c r="C11" s="260">
        <f>④前提設定!B13</f>
        <v/>
      </c>
      <c r="D11" s="261">
        <f>④前提設定!B4</f>
        <v/>
      </c>
      <c r="E11" s="570">
        <f>IFERROR(AVERAGEIF(③スチコン工程入力!K6:'③スチコン工程入力'!K200,"&gt;0"),"-")</f>
        <v/>
      </c>
      <c r="F11" s="263">
        <f>④前提設定!C13</f>
        <v/>
      </c>
      <c r="G11" s="571">
        <f>IF(OR(E11="-",F11=0),"",E11/F11*100)</f>
        <v/>
      </c>
      <c r="H11" s="572">
        <f>IF(E11="-","",E11*C11)</f>
        <v/>
      </c>
      <c r="I11" s="266">
        <f>D11*C11</f>
        <v/>
      </c>
      <c r="J11" s="267" t="inlineStr">
        <is>
          <t>売価入力待</t>
        </is>
      </c>
      <c r="K11" s="274">
        <f>IF(E11="-","",E11*C11*8*④前提設定!B8)</f>
        <v/>
      </c>
      <c r="L11" s="268">
        <f>D11*C11*8*④前提設定!B8</f>
        <v/>
      </c>
      <c r="M11" s="275">
        <f>IF(G11="","未入力",IF(G11&gt;=100,"◎ 達成",IF(G11&gt;=80,"○ 概達",IF(G11&gt;=60,"△ 注意","✕ 未達"))))</f>
        <v/>
      </c>
    </row>
    <row r="12" ht="24" customHeight="1" s="438">
      <c r="B12" s="276" t="inlineStr">
        <is>
          <t>盛り込み</t>
        </is>
      </c>
      <c r="C12" s="260">
        <f>④前提設定!B14</f>
        <v/>
      </c>
      <c r="D12" s="261">
        <f>④前提設定!B4</f>
        <v/>
      </c>
      <c r="E12" s="573">
        <f>IFERROR(AVERAGEIF(⑩盛付梱包工程入力!L6:'⑩盛付梱包工程入力'!L220,"&gt;0"),"-")</f>
        <v/>
      </c>
      <c r="F12" s="263">
        <f>④前提設定!C14</f>
        <v/>
      </c>
      <c r="G12" s="568">
        <f>IF(OR(E12="-",F12=0),"",E12/F12*100)</f>
        <v/>
      </c>
      <c r="H12" s="569">
        <f>IF(E12="-","",E12*C12)</f>
        <v/>
      </c>
      <c r="I12" s="266">
        <f>D12*C12</f>
        <v/>
      </c>
      <c r="J12" s="267" t="inlineStr">
        <is>
          <t>売価入力待</t>
        </is>
      </c>
      <c r="K12" s="261">
        <f>IF(E12="-","",E12*C12*8*④前提設定!B8)</f>
        <v/>
      </c>
      <c r="L12" s="268">
        <f>D12*C12*8*④前提設定!B8</f>
        <v/>
      </c>
      <c r="M12" s="269">
        <f>IF(G12="","未入力",IF(G12&gt;=100,"◎ 達成",IF(G12&gt;=80,"○ 概達",IF(G12&gt;=60,"△ 注意","✕ 未達"))))</f>
        <v/>
      </c>
    </row>
    <row r="13" ht="24" customHeight="1" s="438">
      <c r="B13" s="278" t="inlineStr">
        <is>
          <t>フライヤー</t>
        </is>
      </c>
      <c r="C13" s="260">
        <f>④前提設定!B15</f>
        <v/>
      </c>
      <c r="D13" s="261">
        <f>④前提設定!B4</f>
        <v/>
      </c>
      <c r="E13" s="574">
        <f>IFERROR(AVERAGEIF(⑪ZEN工程入力!K6:'⑪ZEN工程入力'!K200,"&gt;0"),"-")</f>
        <v/>
      </c>
      <c r="F13" s="263">
        <f>④前提設定!C15</f>
        <v/>
      </c>
      <c r="G13" s="571">
        <f>IF(OR(E13="-",F13=0),"",E13/F13*100)</f>
        <v/>
      </c>
      <c r="H13" s="572">
        <f>IF(E13="-","",E13*C13)</f>
        <v/>
      </c>
      <c r="I13" s="266">
        <f>D13*C13</f>
        <v/>
      </c>
      <c r="J13" s="267" t="inlineStr">
        <is>
          <t>売価入力待</t>
        </is>
      </c>
      <c r="K13" s="274">
        <f>IF(E13="-","",E13*C13*8*④前提設定!B8)</f>
        <v/>
      </c>
      <c r="L13" s="268">
        <f>D13*C13*8*④前提設定!B8</f>
        <v/>
      </c>
      <c r="M13" s="275">
        <f>IF(G13="","未入力",IF(G13&gt;=100,"◎ 達成",IF(G13&gt;=80,"○ 概達",IF(G13&gt;=60,"△ 注意","✕ 未達"))))</f>
        <v/>
      </c>
    </row>
    <row r="14" ht="24" customHeight="1" s="438">
      <c r="B14" s="280" t="inlineStr">
        <is>
          <t>ジェット</t>
        </is>
      </c>
      <c r="C14" s="260">
        <f>④前提設定!B16</f>
        <v/>
      </c>
      <c r="D14" s="261">
        <f>④前提設定!B4</f>
        <v/>
      </c>
      <c r="E14" s="575">
        <f>IFERROR(AVERAGEIF(⑫ミキサー工程入力!K6:'⑫ミキサー工程入力'!K200,"&gt;0"),"-")</f>
        <v/>
      </c>
      <c r="F14" s="263">
        <f>④前提設定!C16</f>
        <v/>
      </c>
      <c r="G14" s="568">
        <f>IF(OR(E14="-",F14=0),"",E14/F14*100)</f>
        <v/>
      </c>
      <c r="H14" s="569">
        <f>IF(E14="-","",E14*C14)</f>
        <v/>
      </c>
      <c r="I14" s="266">
        <f>D14*C14</f>
        <v/>
      </c>
      <c r="J14" s="267" t="inlineStr">
        <is>
          <t>売価入力待</t>
        </is>
      </c>
      <c r="K14" s="261">
        <f>IF(E14="-","",E14*C14*8*④前提設定!B8)</f>
        <v/>
      </c>
      <c r="L14" s="268">
        <f>D14*C14*8*④前提設定!B8</f>
        <v/>
      </c>
      <c r="M14" s="269">
        <f>IF(G14="","未入力",IF(G14&gt;=100,"◎ 達成",IF(G14&gt;=80,"○ 概達",IF(G14&gt;=60,"△ 注意","✕ 未達"))))</f>
        <v/>
      </c>
    </row>
    <row r="15" ht="24" customHeight="1" s="438">
      <c r="B15" s="270" t="inlineStr">
        <is>
          <t>カット</t>
        </is>
      </c>
      <c r="C15" s="260">
        <f>④前提設定!B17</f>
        <v/>
      </c>
      <c r="D15" s="261">
        <f>④前提設定!B4</f>
        <v/>
      </c>
      <c r="E15" s="570">
        <f>IFERROR(AVERAGEIF(⑬計量工程入力!K6:'⑬計量工程入力'!K199,"&gt;0"),"-")</f>
        <v/>
      </c>
      <c r="F15" s="263">
        <f>④前提設定!C17</f>
        <v/>
      </c>
      <c r="G15" s="571">
        <f>IF(OR(E15="-",F15=0),"",E15/F15*100)</f>
        <v/>
      </c>
      <c r="H15" s="572">
        <f>IF(E15="-","",E15*C15)</f>
        <v/>
      </c>
      <c r="I15" s="266">
        <f>D15*C15</f>
        <v/>
      </c>
      <c r="J15" s="267" t="inlineStr">
        <is>
          <t>売価入力待</t>
        </is>
      </c>
      <c r="K15" s="274">
        <f>IF(E15="-","",E15*C15*8*④前提設定!B8)</f>
        <v/>
      </c>
      <c r="L15" s="268">
        <f>D15*C15*8*④前提設定!B8</f>
        <v/>
      </c>
      <c r="M15" s="275">
        <f>IF(G15="","未入力",IF(G15&gt;=100,"◎ 達成",IF(G15&gt;=80,"○ 概達",IF(G15&gt;=60,"△ 注意","✕ 未達"))))</f>
        <v/>
      </c>
    </row>
    <row r="16" ht="24" customHeight="1" s="438">
      <c r="B16" s="282" t="inlineStr">
        <is>
          <t>製菓</t>
        </is>
      </c>
      <c r="C16" s="260">
        <f>④前提設定!B18</f>
        <v/>
      </c>
      <c r="D16" s="261">
        <f>④前提設定!B4</f>
        <v/>
      </c>
      <c r="E16" s="576">
        <f>IFERROR(AVERAGEIF(⑭手動工程入力!K6:'⑭手動工程入力'!K196,"&gt;0"),"-")</f>
        <v/>
      </c>
      <c r="F16" s="263">
        <f>④前提設定!C18</f>
        <v/>
      </c>
      <c r="G16" s="568">
        <f>IF(OR(E16="-",F16=0),"",E16/F16*100)</f>
        <v/>
      </c>
      <c r="H16" s="569">
        <f>IF(E16="-","",E16*C16)</f>
        <v/>
      </c>
      <c r="I16" s="266">
        <f>D16*C16</f>
        <v/>
      </c>
      <c r="J16" s="267" t="inlineStr">
        <is>
          <t>売価入力待</t>
        </is>
      </c>
      <c r="K16" s="261">
        <f>IF(E16="-","",E16*C16*8*④前提設定!B8)</f>
        <v/>
      </c>
      <c r="L16" s="268">
        <f>D16*C16*8*④前提設定!B8</f>
        <v/>
      </c>
      <c r="M16" s="269">
        <f>IF(G16="","未入力",IF(G16&gt;=100,"◎ 達成",IF(G16&gt;=80,"○ 概達",IF(G16&gt;=60,"△ 注意","✕ 未達"))))</f>
        <v/>
      </c>
    </row>
    <row r="17" ht="12" customHeight="1" s="438"/>
    <row r="18"/>
    <row r="19" ht="26" customHeight="1" s="438">
      <c r="B19" s="507" t="inlineStr">
        <is>
          <t>■ 損益シミュレーター（人数・時給・生産性を変えると即反映）</t>
        </is>
      </c>
    </row>
    <row r="20" ht="30" customHeight="1" s="438">
      <c r="B20" s="508" t="inlineStr">
        <is>
          <t>💡 使い方：下の黄色セル（人数・時給・生産性）を変えると右の損益が即時変わります
　　　　　基本的には④前提設定の値が自動で入ります。個別に変えたい場合は直接入力してください。</t>
        </is>
      </c>
    </row>
    <row r="21" ht="32" customHeight="1" s="438">
      <c r="B21" s="284" t="inlineStr">
        <is>
          <t>工程</t>
        </is>
      </c>
      <c r="C21" s="284" t="inlineStr">
        <is>
          <t>★人数
(人)</t>
        </is>
      </c>
      <c r="D21" s="284" t="inlineStr">
        <is>
          <t>★時給
(円)</t>
        </is>
      </c>
      <c r="E21" s="284" t="inlineStr">
        <is>
          <t>★生産性
(kg/h or 個/h)</t>
        </is>
      </c>
      <c r="F21" s="284" t="inlineStr">
        <is>
          <t>1時間の
生産量</t>
        </is>
      </c>
      <c r="G21" s="284" t="inlineStr">
        <is>
          <t>1時間の
労務費(円)</t>
        </is>
      </c>
      <c r="H21" s="284" t="inlineStr">
        <is>
          <t>1単位(kg/個)
あたり労務費</t>
        </is>
      </c>
      <c r="I21" s="284" t="inlineStr">
        <is>
          <t>月間生産量</t>
        </is>
      </c>
      <c r="J21" s="284" t="inlineStr">
        <is>
          <t>月間労務費
(円)</t>
        </is>
      </c>
      <c r="K21" s="284" t="inlineStr">
        <is>
          <t>日間労務費
(円)</t>
        </is>
      </c>
    </row>
    <row r="22" ht="24" customHeight="1" s="438">
      <c r="B22" s="259" t="inlineStr">
        <is>
          <t>釜</t>
        </is>
      </c>
      <c r="C22" s="260">
        <f>C10</f>
        <v/>
      </c>
      <c r="D22" s="260">
        <f>D10</f>
        <v/>
      </c>
      <c r="E22" s="577">
        <f>IF(E10="-",0,E10)</f>
        <v/>
      </c>
      <c r="F22" s="578">
        <f>E22*C22</f>
        <v/>
      </c>
      <c r="G22" s="287">
        <f>D22*C22</f>
        <v/>
      </c>
      <c r="H22" s="288">
        <f>IF(E22=0,"",D22/E22)</f>
        <v/>
      </c>
      <c r="I22" s="287">
        <f>IF(E22=0,"",E22*C22*8*④前提設定!B8)</f>
        <v/>
      </c>
      <c r="J22" s="268">
        <f>D22*C22*8*④前提設定!B8</f>
        <v/>
      </c>
      <c r="K22" s="287">
        <f>D22*C22*8</f>
        <v/>
      </c>
    </row>
    <row r="23" ht="24" customHeight="1" s="438">
      <c r="B23" s="270" t="inlineStr">
        <is>
          <t>スチコン</t>
        </is>
      </c>
      <c r="C23" s="260">
        <f>C11</f>
        <v/>
      </c>
      <c r="D23" s="260">
        <f>D11</f>
        <v/>
      </c>
      <c r="E23" s="577">
        <f>IF(E11="-",0,E11)</f>
        <v/>
      </c>
      <c r="F23" s="579">
        <f>E23*C23</f>
        <v/>
      </c>
      <c r="G23" s="287">
        <f>D23*C23</f>
        <v/>
      </c>
      <c r="H23" s="288">
        <f>IF(E23=0,"",D23/E23)</f>
        <v/>
      </c>
      <c r="I23" s="274">
        <f>IF(E23=0,"",E23*C23*8*④前提設定!B8)</f>
        <v/>
      </c>
      <c r="J23" s="268">
        <f>D23*C23*8*④前提設定!B8</f>
        <v/>
      </c>
      <c r="K23" s="287">
        <f>D23*C23*8</f>
        <v/>
      </c>
    </row>
    <row r="24" ht="24" customHeight="1" s="438">
      <c r="B24" s="276" t="inlineStr">
        <is>
          <t>盛り込み</t>
        </is>
      </c>
      <c r="C24" s="260">
        <f>C12</f>
        <v/>
      </c>
      <c r="D24" s="260">
        <f>D12</f>
        <v/>
      </c>
      <c r="E24" s="577">
        <f>IF(E12="-",0,E12)</f>
        <v/>
      </c>
      <c r="F24" s="578">
        <f>E24*C24</f>
        <v/>
      </c>
      <c r="G24" s="287">
        <f>D24*C24</f>
        <v/>
      </c>
      <c r="H24" s="288">
        <f>IF(E24=0,"",D24/E24)</f>
        <v/>
      </c>
      <c r="I24" s="287">
        <f>IF(E24=0,"",E24*C24*8*④前提設定!B8)</f>
        <v/>
      </c>
      <c r="J24" s="268">
        <f>D24*C24*8*④前提設定!B8</f>
        <v/>
      </c>
      <c r="K24" s="287">
        <f>D24*C24*8</f>
        <v/>
      </c>
    </row>
    <row r="25" ht="24" customHeight="1" s="438">
      <c r="B25" s="278" t="inlineStr">
        <is>
          <t>フライヤー</t>
        </is>
      </c>
      <c r="C25" s="260">
        <f>C13</f>
        <v/>
      </c>
      <c r="D25" s="260">
        <f>D13</f>
        <v/>
      </c>
      <c r="E25" s="577">
        <f>IF(E13="-",0,E13)</f>
        <v/>
      </c>
      <c r="F25" s="579">
        <f>E25*C25</f>
        <v/>
      </c>
      <c r="G25" s="287">
        <f>D25*C25</f>
        <v/>
      </c>
      <c r="H25" s="288">
        <f>IF(E25=0,"",D25/E25)</f>
        <v/>
      </c>
      <c r="I25" s="274">
        <f>IF(E25=0,"",E25*C25*8*④前提設定!B8)</f>
        <v/>
      </c>
      <c r="J25" s="268">
        <f>D25*C25*8*④前提設定!B8</f>
        <v/>
      </c>
      <c r="K25" s="287">
        <f>D25*C25*8</f>
        <v/>
      </c>
    </row>
    <row r="26" ht="24" customHeight="1" s="438">
      <c r="B26" s="280" t="inlineStr">
        <is>
          <t>ジェット</t>
        </is>
      </c>
      <c r="C26" s="260">
        <f>C14</f>
        <v/>
      </c>
      <c r="D26" s="260">
        <f>D14</f>
        <v/>
      </c>
      <c r="E26" s="577">
        <f>IF(E14="-",0,E14)</f>
        <v/>
      </c>
      <c r="F26" s="578">
        <f>E26*C26</f>
        <v/>
      </c>
      <c r="G26" s="287">
        <f>D26*C26</f>
        <v/>
      </c>
      <c r="H26" s="288">
        <f>IF(E26=0,"",D26/E26)</f>
        <v/>
      </c>
      <c r="I26" s="287">
        <f>IF(E26=0,"",E26*C26*8*④前提設定!B8)</f>
        <v/>
      </c>
      <c r="J26" s="268">
        <f>D26*C26*8*④前提設定!B8</f>
        <v/>
      </c>
      <c r="K26" s="287">
        <f>D26*C26*8</f>
        <v/>
      </c>
    </row>
    <row r="27" ht="24" customHeight="1" s="438">
      <c r="B27" s="270" t="inlineStr">
        <is>
          <t>カット</t>
        </is>
      </c>
      <c r="C27" s="260">
        <f>C15</f>
        <v/>
      </c>
      <c r="D27" s="260">
        <f>D15</f>
        <v/>
      </c>
      <c r="E27" s="577">
        <f>IF(E15="-",0,E15)</f>
        <v/>
      </c>
      <c r="F27" s="579">
        <f>E27*C27</f>
        <v/>
      </c>
      <c r="G27" s="287">
        <f>D27*C27</f>
        <v/>
      </c>
      <c r="H27" s="288">
        <f>IF(E27=0,"",D27/E27)</f>
        <v/>
      </c>
      <c r="I27" s="274">
        <f>IF(E27=0,"",E27*C27*8*④前提設定!B8)</f>
        <v/>
      </c>
      <c r="J27" s="268">
        <f>D27*C27*8*④前提設定!B8</f>
        <v/>
      </c>
      <c r="K27" s="287">
        <f>D27*C27*8</f>
        <v/>
      </c>
    </row>
    <row r="28" ht="24" customHeight="1" s="438">
      <c r="B28" s="282" t="inlineStr">
        <is>
          <t>製菓</t>
        </is>
      </c>
      <c r="C28" s="260">
        <f>C16</f>
        <v/>
      </c>
      <c r="D28" s="260">
        <f>D16</f>
        <v/>
      </c>
      <c r="E28" s="577">
        <f>IF(E16="-",0,E16)</f>
        <v/>
      </c>
      <c r="F28" s="578">
        <f>E28*C28</f>
        <v/>
      </c>
      <c r="G28" s="287">
        <f>D28*C28</f>
        <v/>
      </c>
      <c r="H28" s="288">
        <f>IF(E28=0,"",D28/E28)</f>
        <v/>
      </c>
      <c r="I28" s="287">
        <f>IF(E28=0,"",E28*C28*8*④前提設定!B8)</f>
        <v/>
      </c>
      <c r="J28" s="268">
        <f>D28*C28*8*④前提設定!B8</f>
        <v/>
      </c>
      <c r="K28" s="287">
        <f>D28*C28*8</f>
        <v/>
      </c>
    </row>
    <row r="29" ht="26" customHeight="1" s="438">
      <c r="B29" s="512" t="inlineStr">
        <is>
          <t>全工程合計</t>
        </is>
      </c>
      <c r="C29" s="458" t="n"/>
      <c r="D29" s="459" t="n"/>
      <c r="E29" s="290" t="n"/>
      <c r="F29" s="290" t="n"/>
      <c r="G29" s="290" t="n"/>
      <c r="H29" s="290" t="n"/>
      <c r="I29" s="290" t="n"/>
      <c r="J29" s="291">
        <f>SUM(J22:J28)</f>
        <v/>
      </c>
      <c r="K29" s="291">
        <f>SUM(K22:K28)</f>
        <v/>
      </c>
    </row>
    <row r="30"/>
    <row r="31" ht="40" customHeight="1" s="438">
      <c r="B31" s="509" t="inlineStr">
        <is>
          <t>【更新方法】週次：各工程シートの商品名★・時間★・重量/個数★を更新 → このシートが自動更新
【★黄色セル】人数・時給・目標生産性は④前提設定で一括変更、またはこのシートで個別変更可
【達成率判定】◎100%以上　○80%以上　△60%以上　✕60%未満</t>
        </is>
      </c>
    </row>
  </sheetData>
  <mergeCells count="8">
    <mergeCell ref="B2:M2"/>
    <mergeCell ref="B19:M19"/>
    <mergeCell ref="B20:M20"/>
    <mergeCell ref="B31:M31"/>
    <mergeCell ref="B8:M8"/>
    <mergeCell ref="B1:M1"/>
    <mergeCell ref="B29:D29"/>
    <mergeCell ref="B4:M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3"/>
  <cols>
    <col width="22.6328125" customWidth="1" style="438" min="2" max="2"/>
    <col width="18.6328125" customWidth="1" style="438" min="3" max="3"/>
    <col width="16.6328125" customWidth="1" style="438" min="4" max="5"/>
    <col width="40.6328125" customWidth="1" style="438" min="6" max="6"/>
  </cols>
  <sheetData>
    <row r="1" ht="14" customHeight="1" s="438">
      <c r="B1" s="314" t="inlineStr">
        <is>
          <t>拠点比較（週次・月次）　※益子工場は自動反映、他拠点は黄色セルに手入力</t>
        </is>
      </c>
    </row>
    <row r="2">
      <c r="B2" t="inlineStr">
        <is>
          <t>青字・黄背景 = 入力セル　|　益子工場の値は④前提設定・⑯ダッシュボードから自動反映　|　労務費と稼働人時は円・人時ベースなので拠点間で単純比較可（生産量は商品構成が拠点ごとに異なるため合算せず、各拠点のダッシュボードで確認）</t>
        </is>
      </c>
    </row>
    <row r="3"/>
    <row r="4">
      <c r="B4" s="312" t="inlineStr">
        <is>
          <t>■ 月次比較（拠点別）</t>
        </is>
      </c>
      <c r="C4" s="313" t="n"/>
      <c r="D4" s="313" t="n"/>
      <c r="E4" s="313" t="n"/>
      <c r="F4" s="313" t="n"/>
    </row>
    <row r="5">
      <c r="B5" s="315" t="inlineStr">
        <is>
          <t>拠点名</t>
        </is>
      </c>
      <c r="C5" s="315" t="inlineStr">
        <is>
          <t>総稼働人時(人時/月)</t>
        </is>
      </c>
      <c r="D5" s="315" t="inlineStr">
        <is>
          <t>総労務費(円/月)</t>
        </is>
      </c>
      <c r="E5" s="315" t="inlineStr">
        <is>
          <t>人時単価(円/人時)</t>
        </is>
      </c>
      <c r="F5" s="315" t="inlineStr">
        <is>
          <t>備考</t>
        </is>
      </c>
    </row>
    <row r="6">
      <c r="B6" s="316" t="inlineStr">
        <is>
          <t>益子工場</t>
        </is>
      </c>
      <c r="C6" s="317">
        <f>SUM(⑯ダッシュボード!L10:L16)/④前提設定!B4</f>
        <v/>
      </c>
      <c r="D6" s="317">
        <f>SUM(⑯ダッシュボード!L10:L16)</f>
        <v/>
      </c>
      <c r="E6" s="317">
        <f>④前提設定!B4</f>
        <v/>
      </c>
      <c r="F6" s="316" t="inlineStr">
        <is>
          <t>自動反映（本ファイルの⑯ダッシュボードより）</t>
        </is>
      </c>
    </row>
    <row r="7">
      <c r="B7" s="318" t="inlineStr">
        <is>
          <t>拠点B（例：他CK）</t>
        </is>
      </c>
      <c r="C7" s="319" t="n"/>
      <c r="D7" s="319" t="n"/>
      <c r="E7" s="317">
        <f>IF(AND(C7&gt;0,D7&gt;0),D7/C7,"")</f>
        <v/>
      </c>
      <c r="F7" s="316" t="inlineStr">
        <is>
          <t>手入力してください（総稼働人時・総労務費）</t>
        </is>
      </c>
    </row>
    <row r="8">
      <c r="B8" s="318" t="inlineStr">
        <is>
          <t>拠点C</t>
        </is>
      </c>
      <c r="C8" s="319" t="n"/>
      <c r="D8" s="319" t="n"/>
      <c r="E8" s="317">
        <f>IF(AND(C8&gt;0,D8&gt;0),D8/C8,"")</f>
        <v/>
      </c>
      <c r="F8" s="316" t="inlineStr">
        <is>
          <t>手入力してください（総稼働人時・総労務費）</t>
        </is>
      </c>
    </row>
    <row r="9">
      <c r="B9" s="318" t="inlineStr">
        <is>
          <t>拠点D</t>
        </is>
      </c>
      <c r="C9" s="319" t="n"/>
      <c r="D9" s="319" t="n"/>
      <c r="E9" s="317">
        <f>IF(AND(C9&gt;0,D9&gt;0),D9/C9,"")</f>
        <v/>
      </c>
      <c r="F9" s="316" t="inlineStr">
        <is>
          <t>手入力してください（総稼働人時・総労務費）</t>
        </is>
      </c>
    </row>
    <row r="10">
      <c r="B10" s="318" t="inlineStr">
        <is>
          <t>拠点E</t>
        </is>
      </c>
      <c r="C10" s="319" t="n"/>
      <c r="D10" s="319" t="n"/>
      <c r="E10" s="317">
        <f>IF(AND(C10&gt;0,D10&gt;0),D10/C10,"")</f>
        <v/>
      </c>
      <c r="F10" s="316" t="inlineStr">
        <is>
          <t>手入力してください（総稼働人時・総労務費）</t>
        </is>
      </c>
    </row>
    <row r="11">
      <c r="B11" s="316" t="n"/>
      <c r="C11" s="317" t="n"/>
      <c r="D11" s="317" t="n"/>
      <c r="E11" s="316" t="n"/>
      <c r="F11" s="316" t="n"/>
    </row>
    <row r="12">
      <c r="B12" s="312" t="inlineStr">
        <is>
          <t>■ 週次比較（拠点別・月次からの概算：稼働日数/月 ÷ 7 で換算）</t>
        </is>
      </c>
    </row>
    <row r="13">
      <c r="B13" s="315" t="inlineStr">
        <is>
          <t>拠点名</t>
        </is>
      </c>
      <c r="C13" s="315" t="inlineStr">
        <is>
          <t>総稼働人時(人時/週)</t>
        </is>
      </c>
      <c r="D13" s="315" t="inlineStr">
        <is>
          <t>総労務費(円/週)</t>
        </is>
      </c>
      <c r="E13" s="315" t="inlineStr">
        <is>
          <t>人時単価(円/人時)</t>
        </is>
      </c>
      <c r="F13" s="315" t="inlineStr">
        <is>
          <t>備考</t>
        </is>
      </c>
    </row>
    <row r="14">
      <c r="B14" s="316" t="inlineStr">
        <is>
          <t>益子工場</t>
        </is>
      </c>
      <c r="C14" s="317">
        <f>C6/(④前提設定!B8/7)</f>
        <v/>
      </c>
      <c r="D14" s="317">
        <f>D6/(④前提設定!B8/7)</f>
        <v/>
      </c>
      <c r="E14" s="317">
        <f>E6</f>
        <v/>
      </c>
      <c r="F14" s="316" t="inlineStr">
        <is>
          <t>月次実績を週あたりに換算（稼働日数/月÷7）</t>
        </is>
      </c>
    </row>
    <row r="15">
      <c r="B15" s="318" t="inlineStr">
        <is>
          <t>拠点B（例：他CK）</t>
        </is>
      </c>
      <c r="C15" s="320" t="n"/>
      <c r="D15" s="320" t="n"/>
      <c r="E15" s="317">
        <f>IF(AND(C15&gt;0,D15&gt;0),D15/C15,"")</f>
        <v/>
      </c>
      <c r="F15" s="316" t="inlineStr">
        <is>
          <t>手入力してください（週次の総稼働人時・総労務費）</t>
        </is>
      </c>
    </row>
    <row r="16">
      <c r="B16" s="318" t="inlineStr">
        <is>
          <t>拠点C</t>
        </is>
      </c>
      <c r="C16" s="320" t="n"/>
      <c r="D16" s="320" t="n"/>
      <c r="E16" s="317">
        <f>IF(AND(C16&gt;0,D16&gt;0),D16/C16,"")</f>
        <v/>
      </c>
      <c r="F16" s="316" t="inlineStr">
        <is>
          <t>手入力してください（週次の総稼働人時・総労務費）</t>
        </is>
      </c>
    </row>
    <row r="17">
      <c r="B17" s="318" t="inlineStr">
        <is>
          <t>拠点D</t>
        </is>
      </c>
      <c r="C17" s="320" t="n"/>
      <c r="D17" s="320" t="n"/>
      <c r="E17" s="317">
        <f>IF(AND(C17&gt;0,D17&gt;0),D17/C17,"")</f>
        <v/>
      </c>
      <c r="F17" s="316" t="inlineStr">
        <is>
          <t>手入力してください（週次の総稼働人時・総労務費）</t>
        </is>
      </c>
    </row>
    <row r="18">
      <c r="B18" s="318" t="inlineStr">
        <is>
          <t>拠点E</t>
        </is>
      </c>
      <c r="C18" s="320" t="n"/>
      <c r="D18" s="320" t="n"/>
      <c r="E18" s="317">
        <f>IF(AND(C18&gt;0,D18&gt;0),D18/C18,"")</f>
        <v/>
      </c>
      <c r="F18" s="316" t="inlineStr">
        <is>
          <t>手入力してください（週次の総稼働人時・総労務費）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1299"/>
  <sheetViews>
    <sheetView zoomScale="85" zoomScaleNormal="85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baseColWidth="8" defaultColWidth="8.81640625" defaultRowHeight="18"/>
  <cols>
    <col width="17.453125" bestFit="1" customWidth="1" style="344" min="1" max="1"/>
    <col width="18.6328125" bestFit="1" customWidth="1" style="344" min="2" max="2"/>
    <col width="11.1796875" bestFit="1" customWidth="1" style="344" min="3" max="3"/>
    <col width="29.1796875" bestFit="1" customWidth="1" style="344" min="4" max="4"/>
    <col width="17.453125" customWidth="1" style="354" min="5" max="5"/>
    <col width="51.1796875" customWidth="1" style="344" min="6" max="6"/>
    <col width="37.81640625" bestFit="1" customWidth="1" style="344" min="7" max="7"/>
    <col width="16.08984375" bestFit="1" customWidth="1" style="344" min="8" max="8"/>
    <col width="16.08984375" customWidth="1" style="344" min="9" max="10"/>
    <col width="16.1796875" customWidth="1" style="354" min="11" max="11"/>
    <col width="53.1796875" bestFit="1" customWidth="1" style="354" min="12" max="12"/>
    <col width="29.81640625" customWidth="1" style="344" min="13" max="13"/>
    <col width="8.81640625" customWidth="1" style="344" min="14" max="18"/>
    <col width="8.81640625" customWidth="1" style="344" min="19" max="16384"/>
  </cols>
  <sheetData>
    <row r="1">
      <c r="A1" s="580" t="inlineStr">
        <is>
          <t>カテゴリー</t>
        </is>
      </c>
      <c r="B1" s="580" t="inlineStr">
        <is>
          <t>商品JAN</t>
        </is>
      </c>
      <c r="C1" s="343" t="inlineStr">
        <is>
          <t>品番</t>
        </is>
      </c>
      <c r="D1" s="343" t="inlineStr">
        <is>
          <t>商品名</t>
        </is>
      </c>
      <c r="E1" s="580" t="inlineStr">
        <is>
          <t>中間品JAN</t>
        </is>
      </c>
      <c r="F1" s="343" t="inlineStr">
        <is>
          <t>中間品名</t>
        </is>
      </c>
      <c r="G1" s="343" t="inlineStr">
        <is>
          <t>手配内容</t>
        </is>
      </c>
      <c r="H1" s="343" t="inlineStr">
        <is>
          <t>中間品単位</t>
        </is>
      </c>
      <c r="I1" s="343" t="inlineStr">
        <is>
          <t>中間品金額</t>
        </is>
      </c>
      <c r="J1" s="343" t="inlineStr">
        <is>
          <t>使用量</t>
        </is>
      </c>
      <c r="K1" s="343" t="inlineStr">
        <is>
          <t>重複確認</t>
        </is>
      </c>
      <c r="L1" s="343" t="inlineStr">
        <is>
          <t>レシピパス</t>
        </is>
      </c>
      <c r="M1" s="343" t="inlineStr">
        <is>
          <t>メモ</t>
        </is>
      </c>
    </row>
    <row r="2">
      <c r="A2" s="345" t="inlineStr">
        <is>
          <t>※ 益子のレシピが用意できたら、ここに貼り付けてください。</t>
        </is>
      </c>
      <c r="B2" s="581" t="n"/>
      <c r="C2" s="582" t="n"/>
      <c r="D2" s="583" t="n"/>
      <c r="E2" s="584" t="n"/>
      <c r="F2" s="350" t="n"/>
      <c r="G2" s="350" t="n"/>
      <c r="H2" s="350" t="n"/>
      <c r="I2" s="350" t="n"/>
      <c r="J2" s="350" t="n"/>
      <c r="K2" s="351" t="n"/>
      <c r="L2" s="350" t="n"/>
      <c r="M2" s="350" t="n"/>
    </row>
    <row r="3">
      <c r="A3" s="345" t="n"/>
      <c r="B3" s="581" t="n"/>
      <c r="C3" s="582" t="n"/>
      <c r="D3" s="583" t="n"/>
      <c r="E3" s="584" t="n"/>
      <c r="F3" s="350" t="n"/>
      <c r="G3" s="350" t="n"/>
      <c r="H3" s="350" t="n"/>
      <c r="I3" s="350" t="n"/>
      <c r="J3" s="350" t="n"/>
      <c r="K3" s="351" t="n"/>
      <c r="L3" s="350" t="n"/>
      <c r="M3" s="350" t="n"/>
    </row>
    <row r="4">
      <c r="A4" s="345" t="n"/>
      <c r="B4" s="581" t="n"/>
      <c r="C4" s="582" t="n"/>
      <c r="D4" s="583" t="n"/>
      <c r="E4" s="584" t="n"/>
      <c r="F4" s="350" t="n"/>
      <c r="G4" s="350" t="n"/>
      <c r="H4" s="350" t="n"/>
      <c r="I4" s="350" t="n"/>
      <c r="J4" s="350" t="n"/>
      <c r="K4" s="351" t="n"/>
      <c r="L4" s="350" t="n"/>
      <c r="M4" s="350" t="n"/>
    </row>
    <row r="5">
      <c r="A5" s="345" t="n"/>
      <c r="B5" s="581" t="n"/>
      <c r="C5" s="582" t="n"/>
      <c r="D5" s="583" t="n"/>
      <c r="E5" s="584" t="n"/>
      <c r="F5" s="350" t="n"/>
      <c r="G5" s="350" t="n"/>
      <c r="H5" s="350" t="n"/>
      <c r="I5" s="350" t="n"/>
      <c r="J5" s="350" t="n"/>
      <c r="K5" s="351" t="n"/>
      <c r="L5" s="350" t="n"/>
      <c r="M5" s="350" t="n"/>
    </row>
    <row r="6">
      <c r="A6" s="345" t="n"/>
      <c r="B6" s="581" t="n"/>
      <c r="C6" s="582" t="n"/>
      <c r="D6" s="583" t="n"/>
      <c r="E6" s="584" t="n"/>
      <c r="F6" s="350" t="n"/>
      <c r="G6" s="350" t="n"/>
      <c r="H6" s="350" t="n"/>
      <c r="I6" s="350" t="n"/>
      <c r="J6" s="350" t="n"/>
      <c r="K6" s="351" t="n"/>
      <c r="L6" s="350" t="n"/>
      <c r="M6" s="350" t="n"/>
    </row>
    <row r="7">
      <c r="A7" s="345" t="n"/>
      <c r="B7" s="581" t="n"/>
      <c r="C7" s="582" t="n"/>
      <c r="D7" s="583" t="n"/>
      <c r="E7" s="584" t="n"/>
      <c r="F7" s="350" t="n"/>
      <c r="G7" s="350" t="n"/>
      <c r="H7" s="350" t="n"/>
      <c r="I7" s="350" t="n"/>
      <c r="J7" s="350" t="n"/>
      <c r="K7" s="351" t="n"/>
      <c r="L7" s="350" t="n"/>
      <c r="M7" s="350" t="n"/>
    </row>
    <row r="8">
      <c r="A8" s="345" t="n"/>
      <c r="B8" s="581" t="n"/>
      <c r="C8" s="582" t="n"/>
      <c r="D8" s="583" t="n"/>
      <c r="E8" s="584" t="n"/>
      <c r="F8" s="350" t="n"/>
      <c r="G8" s="350" t="n"/>
      <c r="H8" s="350" t="n"/>
      <c r="I8" s="350" t="n"/>
      <c r="J8" s="350" t="n"/>
      <c r="K8" s="351" t="n"/>
      <c r="L8" s="350" t="n"/>
      <c r="M8" s="350" t="n"/>
    </row>
    <row r="9">
      <c r="A9" s="345" t="n"/>
      <c r="B9" s="581" t="n"/>
      <c r="C9" s="582" t="n"/>
      <c r="D9" s="583" t="n"/>
      <c r="E9" s="584" t="n"/>
      <c r="F9" s="350" t="n"/>
      <c r="G9" s="350" t="n"/>
      <c r="H9" s="350" t="n"/>
      <c r="I9" s="350" t="n"/>
      <c r="J9" s="350" t="n"/>
      <c r="K9" s="351" t="n"/>
      <c r="L9" s="350" t="n"/>
      <c r="M9" s="350" t="n"/>
    </row>
    <row r="10">
      <c r="A10" s="345" t="n"/>
      <c r="B10" s="581" t="n"/>
      <c r="C10" s="582" t="n"/>
      <c r="D10" s="583" t="n"/>
      <c r="E10" s="584" t="n"/>
      <c r="F10" s="350" t="n"/>
      <c r="G10" s="350" t="n"/>
      <c r="H10" s="350" t="n"/>
      <c r="I10" s="350" t="n"/>
      <c r="J10" s="350" t="n"/>
      <c r="K10" s="351" t="n"/>
      <c r="L10" s="350" t="n"/>
      <c r="M10" s="350" t="n"/>
    </row>
    <row r="11" customFormat="1" s="354">
      <c r="A11" s="345" t="n"/>
      <c r="B11" s="585" t="n"/>
      <c r="C11" s="582" t="n"/>
      <c r="D11" s="586" t="n"/>
      <c r="E11" s="584" t="n"/>
      <c r="F11" s="350" t="n"/>
      <c r="G11" s="350" t="n"/>
      <c r="H11" s="350" t="n"/>
      <c r="I11" s="350" t="n"/>
      <c r="J11" s="350" t="n"/>
      <c r="K11" s="351" t="n"/>
      <c r="L11" s="350" t="n"/>
      <c r="M11" s="350" t="n"/>
      <c r="N11" s="344" t="n"/>
      <c r="O11" s="344" t="n"/>
      <c r="P11" s="344" t="n"/>
      <c r="Q11" s="344" t="n"/>
      <c r="R11" s="344" t="n"/>
      <c r="S11" s="344" t="n"/>
      <c r="T11" s="344" t="n"/>
      <c r="U11" s="344" t="n"/>
      <c r="V11" s="344" t="n"/>
      <c r="W11" s="344" t="n"/>
    </row>
    <row r="12" customFormat="1" s="354">
      <c r="A12" s="345" t="n"/>
      <c r="B12" s="581" t="n"/>
      <c r="C12" s="582" t="n"/>
      <c r="D12" s="583" t="n"/>
      <c r="E12" s="584" t="n"/>
      <c r="F12" s="350" t="n"/>
      <c r="G12" s="350" t="n"/>
      <c r="H12" s="350" t="n"/>
      <c r="I12" s="350" t="n"/>
      <c r="J12" s="350" t="n"/>
      <c r="K12" s="351" t="n"/>
      <c r="L12" s="350" t="n"/>
      <c r="M12" s="350" t="n"/>
      <c r="N12" s="344" t="n"/>
      <c r="O12" s="344" t="n"/>
      <c r="P12" s="344" t="n"/>
      <c r="Q12" s="344" t="n"/>
      <c r="R12" s="344" t="n"/>
      <c r="S12" s="344" t="n"/>
      <c r="T12" s="344" t="n"/>
      <c r="U12" s="344" t="n"/>
      <c r="V12" s="344" t="n"/>
      <c r="W12" s="344" t="n"/>
    </row>
    <row r="13" customFormat="1" s="354">
      <c r="A13" s="345" t="n"/>
      <c r="B13" s="581" t="n"/>
      <c r="C13" s="582" t="n"/>
      <c r="D13" s="583" t="n"/>
      <c r="E13" s="584" t="n"/>
      <c r="F13" s="350" t="n"/>
      <c r="G13" s="350" t="n"/>
      <c r="H13" s="350" t="n"/>
      <c r="I13" s="350" t="n"/>
      <c r="J13" s="350" t="n"/>
      <c r="K13" s="351" t="n"/>
      <c r="L13" s="350" t="n"/>
      <c r="M13" s="350" t="n"/>
      <c r="N13" s="344" t="n"/>
      <c r="O13" s="344" t="n"/>
      <c r="P13" s="344" t="n"/>
      <c r="Q13" s="344" t="n"/>
      <c r="R13" s="344" t="n"/>
      <c r="S13" s="344" t="n"/>
      <c r="T13" s="344" t="n"/>
      <c r="U13" s="344" t="n"/>
      <c r="V13" s="344" t="n"/>
      <c r="W13" s="344" t="n"/>
    </row>
    <row r="14" customFormat="1" s="354">
      <c r="A14" s="345" t="n"/>
      <c r="B14" s="585" t="n"/>
      <c r="C14" s="582" t="n"/>
      <c r="D14" s="586" t="n"/>
      <c r="E14" s="584" t="n"/>
      <c r="F14" s="350" t="n"/>
      <c r="G14" s="350" t="n"/>
      <c r="H14" s="350" t="n"/>
      <c r="I14" s="350" t="n"/>
      <c r="J14" s="350" t="n"/>
      <c r="K14" s="351" t="n"/>
      <c r="L14" s="350" t="n"/>
      <c r="M14" s="350" t="n"/>
      <c r="N14" s="344" t="n"/>
      <c r="O14" s="344" t="n"/>
      <c r="P14" s="344" t="n"/>
      <c r="Q14" s="344" t="n"/>
      <c r="R14" s="344" t="n"/>
      <c r="S14" s="344" t="n"/>
      <c r="T14" s="344" t="n"/>
      <c r="U14" s="344" t="n"/>
      <c r="V14" s="344" t="n"/>
      <c r="W14" s="344" t="n"/>
    </row>
    <row r="15" customFormat="1" s="354">
      <c r="A15" s="345" t="n"/>
      <c r="B15" s="581" t="n"/>
      <c r="C15" s="582" t="n"/>
      <c r="D15" s="583" t="n"/>
      <c r="E15" s="584" t="n"/>
      <c r="F15" s="350" t="n"/>
      <c r="G15" s="350" t="n"/>
      <c r="H15" s="350" t="n"/>
      <c r="I15" s="350" t="n"/>
      <c r="J15" s="350" t="n"/>
      <c r="K15" s="351" t="n"/>
      <c r="L15" s="350" t="n"/>
      <c r="M15" s="350" t="n"/>
      <c r="N15" s="344" t="n"/>
      <c r="O15" s="344" t="n"/>
      <c r="P15" s="344" t="n"/>
      <c r="Q15" s="344" t="n"/>
      <c r="R15" s="344" t="n"/>
      <c r="S15" s="344" t="n"/>
      <c r="T15" s="344" t="n"/>
      <c r="U15" s="344" t="n"/>
      <c r="V15" s="344" t="n"/>
      <c r="W15" s="344" t="n"/>
    </row>
    <row r="16" customFormat="1" s="354">
      <c r="A16" s="345" t="n"/>
      <c r="B16" s="581" t="n"/>
      <c r="C16" s="582" t="n"/>
      <c r="D16" s="583" t="n"/>
      <c r="E16" s="584" t="n"/>
      <c r="F16" s="350" t="n"/>
      <c r="G16" s="350" t="n"/>
      <c r="H16" s="350" t="n"/>
      <c r="I16" s="350" t="n"/>
      <c r="J16" s="350" t="n"/>
      <c r="K16" s="351" t="n"/>
      <c r="L16" s="350" t="n"/>
      <c r="M16" s="350" t="n"/>
      <c r="N16" s="344" t="n"/>
      <c r="O16" s="344" t="n"/>
      <c r="P16" s="344" t="n"/>
      <c r="Q16" s="344" t="n"/>
      <c r="R16" s="344" t="n"/>
      <c r="S16" s="344" t="n"/>
      <c r="T16" s="344" t="n"/>
      <c r="U16" s="344" t="n"/>
      <c r="V16" s="344" t="n"/>
      <c r="W16" s="344" t="n"/>
    </row>
    <row r="17" customFormat="1" s="354">
      <c r="A17" s="345" t="n"/>
      <c r="B17" s="585" t="n"/>
      <c r="C17" s="582" t="n"/>
      <c r="D17" s="586" t="n"/>
      <c r="E17" s="584" t="n"/>
      <c r="F17" s="350" t="n"/>
      <c r="G17" s="350" t="n"/>
      <c r="H17" s="350" t="n"/>
      <c r="I17" s="350" t="n"/>
      <c r="J17" s="350" t="n"/>
      <c r="K17" s="351" t="n"/>
      <c r="L17" s="350" t="n"/>
      <c r="M17" s="350" t="n"/>
      <c r="N17" s="344" t="n"/>
      <c r="O17" s="344" t="n"/>
      <c r="P17" s="344" t="n"/>
      <c r="Q17" s="344" t="n"/>
      <c r="R17" s="344" t="n"/>
      <c r="S17" s="344" t="n"/>
      <c r="T17" s="344" t="n"/>
      <c r="U17" s="344" t="n"/>
      <c r="V17" s="344" t="n"/>
      <c r="W17" s="344" t="n"/>
    </row>
    <row r="18" customFormat="1" s="354">
      <c r="A18" s="345" t="n"/>
      <c r="B18" s="581" t="n"/>
      <c r="C18" s="582" t="n"/>
      <c r="D18" s="583" t="n"/>
      <c r="E18" s="584" t="n"/>
      <c r="F18" s="350" t="n"/>
      <c r="G18" s="350" t="n"/>
      <c r="H18" s="350" t="n"/>
      <c r="I18" s="350" t="n"/>
      <c r="J18" s="350" t="n"/>
      <c r="K18" s="351" t="n"/>
      <c r="L18" s="350" t="n"/>
      <c r="M18" s="350" t="n"/>
      <c r="N18" s="344" t="n"/>
      <c r="O18" s="344" t="n"/>
      <c r="P18" s="344" t="n"/>
      <c r="Q18" s="344" t="n"/>
      <c r="R18" s="344" t="n"/>
      <c r="S18" s="344" t="n"/>
      <c r="T18" s="344" t="n"/>
      <c r="U18" s="344" t="n"/>
      <c r="V18" s="344" t="n"/>
      <c r="W18" s="344" t="n"/>
    </row>
    <row r="19" customFormat="1" s="354">
      <c r="A19" s="345" t="n"/>
      <c r="B19" s="581" t="n"/>
      <c r="C19" s="582" t="n"/>
      <c r="D19" s="583" t="n"/>
      <c r="E19" s="584" t="n"/>
      <c r="F19" s="350" t="n"/>
      <c r="G19" s="350" t="n"/>
      <c r="H19" s="350" t="n"/>
      <c r="I19" s="350" t="n"/>
      <c r="J19" s="350" t="n"/>
      <c r="K19" s="351" t="n"/>
      <c r="L19" s="350" t="n"/>
      <c r="M19" s="350" t="n"/>
      <c r="N19" s="344" t="n"/>
      <c r="O19" s="344" t="n"/>
      <c r="P19" s="344" t="n"/>
      <c r="Q19" s="344" t="n"/>
      <c r="R19" s="344" t="n"/>
      <c r="S19" s="344" t="n"/>
      <c r="T19" s="344" t="n"/>
      <c r="U19" s="344" t="n"/>
      <c r="V19" s="344" t="n"/>
      <c r="W19" s="344" t="n"/>
    </row>
    <row r="20" customFormat="1" s="354">
      <c r="A20" s="345" t="n"/>
      <c r="B20" s="581" t="n"/>
      <c r="C20" s="582" t="n"/>
      <c r="D20" s="583" t="n"/>
      <c r="E20" s="584" t="n"/>
      <c r="F20" s="350" t="n"/>
      <c r="G20" s="350" t="n"/>
      <c r="H20" s="350" t="n"/>
      <c r="I20" s="350" t="n"/>
      <c r="J20" s="350" t="n"/>
      <c r="K20" s="351" t="n"/>
      <c r="L20" s="355" t="inlineStr">
        <is>
          <t>2841000197998_【ＱＣＳ】酢飯（ガス炊飯）.xlsx</t>
        </is>
      </c>
      <c r="M20" s="350" t="n"/>
      <c r="N20" s="344" t="n"/>
      <c r="O20" s="344" t="n"/>
      <c r="P20" s="344" t="n"/>
      <c r="Q20" s="344" t="n"/>
      <c r="R20" s="344" t="n"/>
      <c r="S20" s="344" t="n"/>
      <c r="T20" s="344" t="n"/>
      <c r="U20" s="344" t="n"/>
      <c r="V20" s="344" t="n"/>
      <c r="W20" s="344" t="n"/>
    </row>
    <row r="21" customFormat="1" s="354">
      <c r="A21" s="345" t="n"/>
      <c r="B21" s="581" t="n"/>
      <c r="C21" s="582" t="n"/>
      <c r="D21" s="583" t="n"/>
      <c r="E21" s="584" t="n"/>
      <c r="F21" s="350" t="n"/>
      <c r="G21" s="350" t="n"/>
      <c r="H21" s="350" t="n"/>
      <c r="I21" s="350" t="n"/>
      <c r="J21" s="350" t="n"/>
      <c r="K21" s="351" t="n"/>
      <c r="L21" s="355" t="inlineStr">
        <is>
          <t>2841000194812_【ＱＣＳ】五目ちらし.xlsx</t>
        </is>
      </c>
      <c r="M21" s="350" t="n"/>
      <c r="N21" s="344" t="n"/>
      <c r="O21" s="344" t="n"/>
      <c r="P21" s="344" t="n"/>
      <c r="Q21" s="344" t="n"/>
      <c r="R21" s="344" t="n"/>
      <c r="S21" s="344" t="n"/>
      <c r="T21" s="344" t="n"/>
      <c r="U21" s="344" t="n"/>
      <c r="V21" s="344" t="n"/>
      <c r="W21" s="344" t="n"/>
    </row>
    <row r="22" customFormat="1" s="354">
      <c r="A22" s="345" t="n"/>
      <c r="B22" s="581" t="n"/>
      <c r="C22" s="582" t="n"/>
      <c r="D22" s="583" t="n"/>
      <c r="E22" s="584" t="n"/>
      <c r="F22" s="350" t="n"/>
      <c r="G22" s="350" t="n"/>
      <c r="H22" s="350" t="n"/>
      <c r="I22" s="350" t="n"/>
      <c r="J22" s="350" t="n"/>
      <c r="K22" s="351" t="n"/>
      <c r="L22" s="587" t="inlineStr">
        <is>
          <t>../../../../〇商品部/▲白鳥CK/CK手順書/2026年/8月21日/規格書　五目ジャンボいなり（シールと売価変更）.xlsx</t>
        </is>
      </c>
      <c r="M22" s="350" t="n"/>
      <c r="N22" s="344" t="n"/>
      <c r="O22" s="344" t="n"/>
      <c r="P22" s="344" t="n"/>
      <c r="Q22" s="344" t="n"/>
      <c r="R22" s="344" t="n"/>
      <c r="S22" s="344" t="n"/>
      <c r="T22" s="344" t="n"/>
      <c r="U22" s="344" t="n"/>
      <c r="V22" s="344" t="n"/>
      <c r="W22" s="344" t="n"/>
    </row>
    <row r="23" customFormat="1" s="354">
      <c r="A23" s="345" t="n"/>
      <c r="B23" s="581" t="n"/>
      <c r="C23" s="582" t="n"/>
      <c r="D23" s="583" t="n"/>
      <c r="E23" s="584" t="n"/>
      <c r="F23" s="350" t="n"/>
      <c r="G23" s="350" t="n"/>
      <c r="H23" s="350" t="n"/>
      <c r="I23" s="350" t="n"/>
      <c r="J23" s="350" t="n"/>
      <c r="K23" s="351" t="n"/>
      <c r="L23" s="587" t="inlineStr">
        <is>
          <t>../../../../〇商品部/▲白鳥CK/CK手順書/2026年/8月21日/規格書　五目ジャンボいなり（シールと売価変更）.xlsx</t>
        </is>
      </c>
      <c r="M23" s="350" t="n"/>
      <c r="N23" s="344" t="n"/>
      <c r="O23" s="344" t="n"/>
      <c r="P23" s="344" t="n"/>
      <c r="Q23" s="344" t="n"/>
      <c r="R23" s="344" t="n"/>
      <c r="S23" s="344" t="n"/>
      <c r="T23" s="344" t="n"/>
      <c r="U23" s="344" t="n"/>
      <c r="V23" s="344" t="n"/>
      <c r="W23" s="344" t="n"/>
    </row>
    <row r="24" customFormat="1" s="354">
      <c r="A24" s="345" t="n"/>
      <c r="B24" s="581" t="n"/>
      <c r="C24" s="582" t="n"/>
      <c r="D24" s="583" t="n"/>
      <c r="E24" s="584" t="n"/>
      <c r="F24" s="350" t="n"/>
      <c r="G24" s="350" t="n"/>
      <c r="H24" s="350" t="n"/>
      <c r="I24" s="350" t="n"/>
      <c r="J24" s="350" t="n"/>
      <c r="K24" s="351" t="n"/>
      <c r="L24" s="587" t="inlineStr">
        <is>
          <t>../../../../〇商品部/▲白鳥CK/CK手順書/2026年/8月21日/規格書　五目ジャンボいなり（シールと売価変更）.xlsx</t>
        </is>
      </c>
      <c r="M24" s="350" t="n"/>
      <c r="N24" s="344" t="n"/>
      <c r="O24" s="344" t="n"/>
      <c r="P24" s="344" t="n"/>
      <c r="Q24" s="344" t="n"/>
      <c r="R24" s="344" t="n"/>
      <c r="S24" s="344" t="n"/>
      <c r="T24" s="344" t="n"/>
      <c r="U24" s="344" t="n"/>
      <c r="V24" s="344" t="n"/>
      <c r="W24" s="344" t="n"/>
    </row>
    <row r="25" customFormat="1" s="354">
      <c r="A25" s="357" t="n"/>
      <c r="B25" s="581" t="n"/>
      <c r="C25" s="582" t="n"/>
      <c r="D25" s="583" t="n"/>
      <c r="E25" s="584" t="n"/>
      <c r="F25" s="350" t="n"/>
      <c r="G25" s="350" t="n"/>
      <c r="H25" s="350" t="n"/>
      <c r="I25" s="350" t="n"/>
      <c r="J25" s="350" t="n"/>
      <c r="K25" s="351" t="n"/>
      <c r="L25" s="350" t="n"/>
      <c r="M25" s="350" t="n"/>
      <c r="N25" s="344" t="n"/>
      <c r="O25" s="344" t="n"/>
      <c r="P25" s="344" t="n"/>
      <c r="Q25" s="344" t="n"/>
      <c r="R25" s="344" t="n"/>
      <c r="S25" s="344" t="n"/>
      <c r="T25" s="344" t="n"/>
      <c r="U25" s="344" t="n"/>
      <c r="V25" s="344" t="n"/>
      <c r="W25" s="344" t="n"/>
    </row>
    <row r="26" customFormat="1" s="354">
      <c r="A26" s="345" t="n"/>
      <c r="B26" s="581" t="n"/>
      <c r="C26" s="582" t="n"/>
      <c r="D26" s="583" t="n"/>
      <c r="E26" s="584" t="n"/>
      <c r="F26" s="350" t="n"/>
      <c r="G26" s="350" t="n"/>
      <c r="H26" s="350" t="n"/>
      <c r="I26" s="350" t="n"/>
      <c r="J26" s="350" t="n"/>
      <c r="K26" s="351" t="n"/>
      <c r="L26" s="350" t="n"/>
      <c r="M26" s="350" t="n"/>
      <c r="N26" s="344" t="n"/>
      <c r="O26" s="344" t="n"/>
      <c r="P26" s="344" t="n"/>
      <c r="Q26" s="344" t="n"/>
      <c r="R26" s="344" t="n"/>
      <c r="S26" s="344" t="n"/>
      <c r="T26" s="344" t="n"/>
      <c r="U26" s="344" t="n"/>
      <c r="V26" s="344" t="n"/>
      <c r="W26" s="344" t="n"/>
    </row>
    <row r="27" customFormat="1" s="354">
      <c r="A27" s="345" t="n"/>
      <c r="B27" s="581" t="n"/>
      <c r="C27" s="582" t="n"/>
      <c r="D27" s="583" t="n"/>
      <c r="E27" s="584" t="n"/>
      <c r="F27" s="350" t="n"/>
      <c r="G27" s="350" t="n"/>
      <c r="H27" s="350" t="n"/>
      <c r="I27" s="350" t="n"/>
      <c r="J27" s="350" t="n"/>
      <c r="K27" s="351" t="n"/>
      <c r="L27" s="350" t="n"/>
      <c r="M27" s="350" t="n"/>
      <c r="N27" s="344" t="n"/>
      <c r="O27" s="344" t="n"/>
      <c r="P27" s="344" t="n"/>
      <c r="Q27" s="344" t="n"/>
      <c r="R27" s="344" t="n"/>
      <c r="S27" s="344" t="n"/>
      <c r="T27" s="344" t="n"/>
      <c r="U27" s="344" t="n"/>
      <c r="V27" s="344" t="n"/>
      <c r="W27" s="344" t="n"/>
    </row>
    <row r="28" customFormat="1" s="354">
      <c r="A28" s="345" t="n"/>
      <c r="B28" s="581" t="n"/>
      <c r="C28" s="582" t="n"/>
      <c r="D28" s="583" t="n"/>
      <c r="E28" s="584" t="n"/>
      <c r="F28" s="350" t="n"/>
      <c r="G28" s="350" t="n"/>
      <c r="H28" s="350" t="n"/>
      <c r="I28" s="350" t="n"/>
      <c r="J28" s="350" t="n"/>
      <c r="K28" s="351" t="n"/>
      <c r="L28" s="355" t="inlineStr">
        <is>
          <t>2841000195468_【ＱＣＳ】極み焼き玉子太巻き２.xlsx</t>
        </is>
      </c>
      <c r="M28" s="350" t="n"/>
      <c r="N28" s="344" t="n"/>
      <c r="O28" s="344" t="n"/>
      <c r="P28" s="344" t="n"/>
      <c r="Q28" s="344" t="n"/>
      <c r="R28" s="344" t="n"/>
      <c r="S28" s="344" t="n"/>
      <c r="T28" s="344" t="n"/>
      <c r="U28" s="344" t="n"/>
      <c r="V28" s="344" t="n"/>
      <c r="W28" s="344" t="n"/>
    </row>
    <row r="29" customFormat="1" s="354">
      <c r="A29" s="357" t="n"/>
      <c r="B29" s="581" t="n"/>
      <c r="C29" s="582" t="n"/>
      <c r="D29" s="583" t="n"/>
      <c r="E29" s="584" t="n"/>
      <c r="F29" s="350" t="n"/>
      <c r="G29" s="350" t="n"/>
      <c r="H29" s="350" t="n"/>
      <c r="I29" s="350" t="n"/>
      <c r="J29" s="350" t="n"/>
      <c r="K29" s="351" t="n"/>
      <c r="L29" s="350" t="n"/>
      <c r="M29" s="350" t="n"/>
      <c r="N29" s="344" t="n"/>
      <c r="O29" s="344" t="n"/>
      <c r="P29" s="344" t="n"/>
      <c r="Q29" s="344" t="n"/>
      <c r="R29" s="344" t="n"/>
      <c r="S29" s="344" t="n"/>
      <c r="T29" s="344" t="n"/>
      <c r="U29" s="344" t="n"/>
      <c r="V29" s="344" t="n"/>
      <c r="W29" s="344" t="n"/>
    </row>
    <row r="30" customFormat="1" s="354">
      <c r="A30" s="345" t="n"/>
      <c r="B30" s="581" t="n"/>
      <c r="C30" s="582" t="n"/>
      <c r="D30" s="583" t="n"/>
      <c r="E30" s="584" t="n"/>
      <c r="F30" s="350" t="n"/>
      <c r="G30" s="350" t="n"/>
      <c r="H30" s="350" t="n"/>
      <c r="I30" s="350" t="n"/>
      <c r="J30" s="350" t="n"/>
      <c r="K30" s="351" t="n"/>
      <c r="L30" s="350" t="n"/>
      <c r="M30" s="350" t="n"/>
      <c r="N30" s="344" t="n"/>
      <c r="O30" s="344" t="n"/>
      <c r="P30" s="344" t="n"/>
      <c r="Q30" s="344" t="n"/>
      <c r="R30" s="344" t="n"/>
      <c r="S30" s="344" t="n"/>
      <c r="T30" s="344" t="n"/>
      <c r="U30" s="344" t="n"/>
      <c r="V30" s="344" t="n"/>
      <c r="W30" s="344" t="n"/>
    </row>
    <row r="31" customFormat="1" s="354">
      <c r="A31" s="345" t="n"/>
      <c r="B31" s="581" t="n"/>
      <c r="C31" s="582" t="n"/>
      <c r="D31" s="583" t="n"/>
      <c r="E31" s="584" t="n"/>
      <c r="F31" s="350" t="n"/>
      <c r="G31" s="350" t="n"/>
      <c r="H31" s="350" t="n"/>
      <c r="I31" s="350" t="n"/>
      <c r="J31" s="350" t="n"/>
      <c r="K31" s="351" t="n"/>
      <c r="L31" s="350" t="n"/>
      <c r="M31" s="350" t="n"/>
      <c r="N31" s="344" t="n"/>
      <c r="O31" s="344" t="n"/>
      <c r="P31" s="344" t="n"/>
      <c r="Q31" s="344" t="n"/>
      <c r="R31" s="344" t="n"/>
      <c r="S31" s="344" t="n"/>
      <c r="T31" s="344" t="n"/>
      <c r="U31" s="344" t="n"/>
      <c r="V31" s="344" t="n"/>
      <c r="W31" s="344" t="n"/>
    </row>
    <row r="32" customFormat="1" s="354">
      <c r="A32" s="345" t="n"/>
      <c r="B32" s="581" t="n"/>
      <c r="C32" s="582" t="n"/>
      <c r="D32" s="583" t="n"/>
      <c r="E32" s="584" t="n"/>
      <c r="F32" s="350" t="n"/>
      <c r="G32" s="350" t="n"/>
      <c r="H32" s="350" t="n"/>
      <c r="I32" s="350" t="n"/>
      <c r="J32" s="350" t="n"/>
      <c r="K32" s="351" t="n"/>
      <c r="L32" s="355" t="inlineStr">
        <is>
          <t>2841000195468_【ＱＣＳ】極み焼き玉子太巻き２.xlsx</t>
        </is>
      </c>
      <c r="M32" s="350" t="n"/>
      <c r="N32" s="344" t="n"/>
      <c r="O32" s="344" t="n"/>
      <c r="P32" s="344" t="n"/>
      <c r="Q32" s="344" t="n"/>
      <c r="R32" s="344" t="n"/>
      <c r="S32" s="344" t="n"/>
      <c r="T32" s="344" t="n"/>
      <c r="U32" s="344" t="n"/>
      <c r="V32" s="344" t="n"/>
      <c r="W32" s="344" t="n"/>
    </row>
    <row r="33" customFormat="1" s="354">
      <c r="A33" s="345" t="n"/>
      <c r="B33" s="581" t="n"/>
      <c r="C33" s="582" t="n"/>
      <c r="D33" s="583" t="n"/>
      <c r="E33" s="584" t="n"/>
      <c r="F33" s="350" t="n"/>
      <c r="G33" s="350" t="n"/>
      <c r="H33" s="350" t="n"/>
      <c r="I33" s="350" t="n"/>
      <c r="J33" s="350" t="n"/>
      <c r="K33" s="351" t="n"/>
      <c r="L33" s="350" t="n"/>
      <c r="M33" s="350" t="n"/>
      <c r="N33" s="344" t="n"/>
      <c r="O33" s="344" t="n"/>
      <c r="P33" s="344" t="n"/>
      <c r="Q33" s="344" t="n"/>
      <c r="R33" s="344" t="n"/>
      <c r="S33" s="344" t="n"/>
      <c r="T33" s="344" t="n"/>
      <c r="U33" s="344" t="n"/>
      <c r="V33" s="344" t="n"/>
      <c r="W33" s="344" t="n"/>
    </row>
    <row r="34" customFormat="1" s="354">
      <c r="A34" s="345" t="n"/>
      <c r="B34" s="581" t="n"/>
      <c r="C34" s="582" t="n"/>
      <c r="D34" s="583" t="n"/>
      <c r="E34" s="584" t="n"/>
      <c r="F34" s="350" t="n"/>
      <c r="G34" s="350" t="n"/>
      <c r="H34" s="350" t="n"/>
      <c r="I34" s="350" t="n"/>
      <c r="J34" s="350" t="n"/>
      <c r="K34" s="351" t="n"/>
      <c r="L34" s="350" t="n"/>
      <c r="M34" s="350" t="n"/>
      <c r="N34" s="344" t="n"/>
      <c r="O34" s="344" t="n"/>
      <c r="P34" s="344" t="n"/>
      <c r="Q34" s="344" t="n"/>
      <c r="R34" s="344" t="n"/>
      <c r="S34" s="344" t="n"/>
      <c r="T34" s="344" t="n"/>
      <c r="U34" s="344" t="n"/>
      <c r="V34" s="344" t="n"/>
      <c r="W34" s="344" t="n"/>
    </row>
    <row r="35" customFormat="1" s="354">
      <c r="A35" s="345" t="n"/>
      <c r="B35" s="581" t="n"/>
      <c r="C35" s="582" t="n"/>
      <c r="D35" s="583" t="n"/>
      <c r="E35" s="584" t="n"/>
      <c r="F35" s="350" t="n"/>
      <c r="G35" s="350" t="n"/>
      <c r="H35" s="350" t="n"/>
      <c r="I35" s="350" t="n"/>
      <c r="J35" s="350" t="n"/>
      <c r="K35" s="351" t="n"/>
      <c r="L35" s="355" t="inlineStr">
        <is>
          <t>2841000197998_【ＱＣＳ】酢飯（ガス炊飯）.xlsx</t>
        </is>
      </c>
      <c r="M35" s="350" t="n"/>
      <c r="N35" s="344" t="n"/>
      <c r="O35" s="344" t="n"/>
      <c r="P35" s="344" t="n"/>
      <c r="Q35" s="344" t="n"/>
      <c r="R35" s="344" t="n"/>
      <c r="S35" s="344" t="n"/>
      <c r="T35" s="344" t="n"/>
      <c r="U35" s="344" t="n"/>
      <c r="V35" s="344" t="n"/>
      <c r="W35" s="344" t="n"/>
    </row>
    <row r="36" customFormat="1" s="354">
      <c r="A36" s="345" t="n"/>
      <c r="B36" s="581" t="n"/>
      <c r="C36" s="582" t="n"/>
      <c r="D36" s="583" t="n"/>
      <c r="E36" s="584" t="n"/>
      <c r="F36" s="350" t="n"/>
      <c r="G36" s="350" t="n"/>
      <c r="H36" s="350" t="n"/>
      <c r="I36" s="350" t="n"/>
      <c r="J36" s="350" t="n"/>
      <c r="K36" s="351" t="n"/>
      <c r="L36" s="355" t="inlineStr">
        <is>
          <t>2841000194812_【ＱＣＳ】五目ちらし.xlsx</t>
        </is>
      </c>
      <c r="M36" s="350" t="n"/>
      <c r="N36" s="344" t="n"/>
      <c r="O36" s="344" t="n"/>
      <c r="P36" s="344" t="n"/>
      <c r="Q36" s="344" t="n"/>
      <c r="R36" s="344" t="n"/>
      <c r="S36" s="344" t="n"/>
      <c r="T36" s="344" t="n"/>
      <c r="U36" s="344" t="n"/>
      <c r="V36" s="344" t="n"/>
      <c r="W36" s="344" t="n"/>
    </row>
    <row r="37" customFormat="1" s="354">
      <c r="A37" s="345" t="n"/>
      <c r="B37" s="581" t="n"/>
      <c r="C37" s="582" t="n"/>
      <c r="D37" s="583" t="n"/>
      <c r="E37" s="584" t="n"/>
      <c r="F37" s="350" t="n"/>
      <c r="G37" s="350" t="n"/>
      <c r="H37" s="350" t="n"/>
      <c r="I37" s="350" t="n"/>
      <c r="J37" s="350" t="n"/>
      <c r="K37" s="351" t="n"/>
      <c r="L37" s="350" t="n"/>
      <c r="M37" s="350" t="n"/>
      <c r="N37" s="344" t="n"/>
      <c r="O37" s="344" t="n"/>
      <c r="P37" s="344" t="n"/>
      <c r="Q37" s="344" t="n"/>
      <c r="R37" s="344" t="n"/>
      <c r="S37" s="344" t="n"/>
      <c r="T37" s="344" t="n"/>
      <c r="U37" s="344" t="n"/>
      <c r="V37" s="344" t="n"/>
      <c r="W37" s="344" t="n"/>
    </row>
    <row r="38" customFormat="1" s="354">
      <c r="A38" s="345" t="n"/>
      <c r="B38" s="581" t="n"/>
      <c r="C38" s="582" t="n"/>
      <c r="D38" s="583" t="n"/>
      <c r="E38" s="584" t="n"/>
      <c r="F38" s="350" t="n"/>
      <c r="G38" s="350" t="n"/>
      <c r="H38" s="350" t="n"/>
      <c r="I38" s="350" t="n"/>
      <c r="J38" s="350" t="n"/>
      <c r="K38" s="351" t="n"/>
      <c r="L38" s="350" t="n"/>
      <c r="M38" s="350" t="n"/>
      <c r="N38" s="344" t="n"/>
      <c r="O38" s="344" t="n"/>
      <c r="P38" s="344" t="n"/>
      <c r="Q38" s="344" t="n"/>
      <c r="R38" s="344" t="n"/>
      <c r="S38" s="344" t="n"/>
      <c r="T38" s="344" t="n"/>
      <c r="U38" s="344" t="n"/>
      <c r="V38" s="344" t="n"/>
      <c r="W38" s="344" t="n"/>
    </row>
    <row r="39" customFormat="1" s="354">
      <c r="A39" s="357" t="n"/>
      <c r="B39" s="581" t="n"/>
      <c r="C39" s="582" t="n"/>
      <c r="D39" s="583" t="n"/>
      <c r="E39" s="584" t="n"/>
      <c r="F39" s="350" t="n"/>
      <c r="G39" s="350" t="n"/>
      <c r="H39" s="350" t="n"/>
      <c r="I39" s="350" t="n"/>
      <c r="J39" s="350" t="n"/>
      <c r="K39" s="351" t="n"/>
      <c r="L39" s="350" t="n"/>
      <c r="M39" s="350" t="n"/>
      <c r="N39" s="344" t="n"/>
      <c r="O39" s="344" t="n"/>
      <c r="P39" s="344" t="n"/>
      <c r="Q39" s="344" t="n"/>
      <c r="R39" s="344" t="n"/>
      <c r="S39" s="344" t="n"/>
      <c r="T39" s="344" t="n"/>
      <c r="U39" s="344" t="n"/>
      <c r="V39" s="344" t="n"/>
      <c r="W39" s="344" t="n"/>
    </row>
    <row r="40" customFormat="1" s="354">
      <c r="A40" s="345" t="n"/>
      <c r="B40" s="581" t="n"/>
      <c r="C40" s="582" t="n"/>
      <c r="D40" s="583" t="n"/>
      <c r="E40" s="584" t="n"/>
      <c r="F40" s="350" t="n"/>
      <c r="G40" s="350" t="n"/>
      <c r="H40" s="350" t="n"/>
      <c r="I40" s="350" t="n"/>
      <c r="J40" s="350" t="n"/>
      <c r="K40" s="351" t="n"/>
      <c r="L40" s="355" t="inlineStr">
        <is>
          <t>2841000195468_【ＱＣＳ】極み焼き玉子太巻き２.xlsx</t>
        </is>
      </c>
      <c r="M40" s="350" t="n"/>
      <c r="N40" s="344" t="n"/>
      <c r="O40" s="344" t="n"/>
      <c r="P40" s="344" t="n"/>
      <c r="Q40" s="344" t="n"/>
      <c r="R40" s="344" t="n"/>
      <c r="S40" s="344" t="n"/>
      <c r="T40" s="344" t="n"/>
      <c r="U40" s="344" t="n"/>
      <c r="V40" s="344" t="n"/>
      <c r="W40" s="344" t="n"/>
    </row>
    <row r="41" customFormat="1" s="354">
      <c r="A41" s="345" t="n"/>
      <c r="B41" s="581" t="n"/>
      <c r="C41" s="582" t="n"/>
      <c r="D41" s="583" t="n"/>
      <c r="E41" s="584" t="n"/>
      <c r="F41" s="350" t="n"/>
      <c r="G41" s="350" t="n"/>
      <c r="H41" s="350" t="n"/>
      <c r="I41" s="350" t="n"/>
      <c r="J41" s="350" t="n"/>
      <c r="K41" s="351" t="n"/>
      <c r="L41" s="355" t="inlineStr">
        <is>
          <t>2841000195468_【ＱＣＳ】極み焼き玉子太巻き２.xlsx</t>
        </is>
      </c>
      <c r="M41" s="350" t="n"/>
      <c r="N41" s="344" t="n"/>
      <c r="O41" s="344" t="n"/>
      <c r="P41" s="344" t="n"/>
      <c r="Q41" s="344" t="n"/>
      <c r="R41" s="344" t="n"/>
      <c r="S41" s="344" t="n"/>
      <c r="T41" s="344" t="n"/>
      <c r="U41" s="344" t="n"/>
      <c r="V41" s="344" t="n"/>
      <c r="W41" s="344" t="n"/>
    </row>
    <row r="42" customFormat="1" s="354">
      <c r="A42" s="345" t="n"/>
      <c r="B42" s="581" t="n"/>
      <c r="C42" s="582" t="n"/>
      <c r="D42" s="583" t="n"/>
      <c r="E42" s="584" t="n"/>
      <c r="F42" s="350" t="n"/>
      <c r="G42" s="350" t="n"/>
      <c r="H42" s="350" t="n"/>
      <c r="I42" s="350" t="n"/>
      <c r="J42" s="350" t="n"/>
      <c r="K42" s="351" t="n"/>
      <c r="L42" s="350" t="n"/>
      <c r="M42" s="350" t="n"/>
      <c r="N42" s="344" t="n"/>
      <c r="O42" s="344" t="n"/>
      <c r="P42" s="344" t="n"/>
      <c r="Q42" s="344" t="n"/>
      <c r="R42" s="344" t="n"/>
      <c r="S42" s="344" t="n"/>
      <c r="T42" s="344" t="n"/>
      <c r="U42" s="344" t="n"/>
      <c r="V42" s="344" t="n"/>
      <c r="W42" s="344" t="n"/>
    </row>
    <row r="43" customFormat="1" s="354">
      <c r="A43" s="357" t="n"/>
      <c r="B43" s="581" t="n"/>
      <c r="C43" s="582" t="n"/>
      <c r="D43" s="583" t="n"/>
      <c r="E43" s="584" t="n"/>
      <c r="F43" s="350" t="n"/>
      <c r="G43" s="350" t="n"/>
      <c r="H43" s="350" t="n"/>
      <c r="I43" s="350" t="n"/>
      <c r="J43" s="350" t="n"/>
      <c r="K43" s="351" t="n"/>
      <c r="L43" s="350" t="n"/>
      <c r="M43" s="350" t="n"/>
      <c r="N43" s="344" t="n"/>
      <c r="O43" s="344" t="n"/>
      <c r="P43" s="344" t="n"/>
      <c r="Q43" s="344" t="n"/>
      <c r="R43" s="344" t="n"/>
      <c r="S43" s="344" t="n"/>
      <c r="T43" s="344" t="n"/>
      <c r="U43" s="344" t="n"/>
      <c r="V43" s="344" t="n"/>
      <c r="W43" s="344" t="n"/>
    </row>
    <row r="44" customFormat="1" s="354">
      <c r="A44" s="345" t="n"/>
      <c r="B44" s="581" t="n"/>
      <c r="C44" s="582" t="n"/>
      <c r="D44" s="583" t="n"/>
      <c r="E44" s="584" t="n"/>
      <c r="F44" s="350" t="n"/>
      <c r="G44" s="350" t="n"/>
      <c r="H44" s="350" t="n"/>
      <c r="I44" s="350" t="n"/>
      <c r="J44" s="350" t="n"/>
      <c r="K44" s="351" t="n"/>
      <c r="L44" s="350" t="n"/>
      <c r="M44" s="350" t="n"/>
      <c r="N44" s="344" t="n"/>
      <c r="O44" s="344" t="n"/>
      <c r="P44" s="344" t="n"/>
      <c r="Q44" s="344" t="n"/>
      <c r="R44" s="344" t="n"/>
      <c r="S44" s="344" t="n"/>
      <c r="T44" s="344" t="n"/>
      <c r="U44" s="344" t="n"/>
      <c r="V44" s="344" t="n"/>
      <c r="W44" s="344" t="n"/>
    </row>
    <row r="45" customFormat="1" s="354">
      <c r="A45" s="345" t="n"/>
      <c r="B45" s="581" t="n"/>
      <c r="C45" s="582" t="n"/>
      <c r="D45" s="583" t="n"/>
      <c r="E45" s="584" t="n"/>
      <c r="F45" s="350" t="n"/>
      <c r="G45" s="350" t="n"/>
      <c r="H45" s="350" t="n"/>
      <c r="I45" s="350" t="n"/>
      <c r="J45" s="350" t="n"/>
      <c r="K45" s="351" t="n"/>
      <c r="L45" s="355" t="inlineStr">
        <is>
          <t>2841000195468_【ＱＣＳ】極み焼き玉子太巻き２.xlsx</t>
        </is>
      </c>
      <c r="M45" s="350" t="n"/>
      <c r="N45" s="344" t="n"/>
      <c r="O45" s="344" t="n"/>
      <c r="P45" s="344" t="n"/>
      <c r="Q45" s="344" t="n"/>
      <c r="R45" s="344" t="n"/>
      <c r="S45" s="344" t="n"/>
      <c r="T45" s="344" t="n"/>
      <c r="U45" s="344" t="n"/>
      <c r="V45" s="344" t="n"/>
      <c r="W45" s="344" t="n"/>
    </row>
    <row r="46" customFormat="1" s="354">
      <c r="A46" s="345" t="n"/>
      <c r="B46" s="581" t="n"/>
      <c r="C46" s="582" t="n"/>
      <c r="D46" s="583" t="n"/>
      <c r="E46" s="584" t="n"/>
      <c r="F46" s="350" t="n"/>
      <c r="G46" s="350" t="n"/>
      <c r="H46" s="350" t="n"/>
      <c r="I46" s="350" t="n"/>
      <c r="J46" s="350" t="n"/>
      <c r="K46" s="351" t="n"/>
      <c r="L46" s="350" t="n"/>
      <c r="M46" s="350" t="n"/>
      <c r="N46" s="344" t="n"/>
      <c r="O46" s="344" t="n"/>
      <c r="P46" s="344" t="n"/>
      <c r="Q46" s="344" t="n"/>
      <c r="R46" s="344" t="n"/>
      <c r="S46" s="344" t="n"/>
      <c r="T46" s="344" t="n"/>
      <c r="U46" s="344" t="n"/>
      <c r="V46" s="344" t="n"/>
      <c r="W46" s="344" t="n"/>
    </row>
    <row r="47" customFormat="1" s="354">
      <c r="A47" s="345" t="n"/>
      <c r="B47" s="581" t="n"/>
      <c r="C47" s="582" t="n"/>
      <c r="D47" s="583" t="n"/>
      <c r="E47" s="584" t="n"/>
      <c r="F47" s="350" t="n"/>
      <c r="G47" s="350" t="n"/>
      <c r="H47" s="350" t="n"/>
      <c r="I47" s="350" t="n"/>
      <c r="J47" s="350" t="n"/>
      <c r="K47" s="351" t="n"/>
      <c r="L47" s="350" t="n"/>
      <c r="M47" s="350" t="n"/>
      <c r="N47" s="344" t="n"/>
      <c r="O47" s="344" t="n"/>
      <c r="P47" s="344" t="n"/>
      <c r="Q47" s="344" t="n"/>
      <c r="R47" s="344" t="n"/>
      <c r="S47" s="344" t="n"/>
      <c r="T47" s="344" t="n"/>
      <c r="U47" s="344" t="n"/>
      <c r="V47" s="344" t="n"/>
      <c r="W47" s="344" t="n"/>
    </row>
    <row r="48" customFormat="1" s="354">
      <c r="A48" s="345" t="n"/>
      <c r="B48" s="581" t="n"/>
      <c r="C48" s="582" t="n"/>
      <c r="D48" s="583" t="n"/>
      <c r="E48" s="584" t="n"/>
      <c r="F48" s="350" t="n"/>
      <c r="G48" s="350" t="n"/>
      <c r="H48" s="350" t="n"/>
      <c r="I48" s="350" t="n"/>
      <c r="J48" s="350" t="n"/>
      <c r="K48" s="351" t="n"/>
      <c r="L48" s="355" t="inlineStr">
        <is>
          <t>2841000191408_【ＱＣＳ】サラダ巻き（錦糸）２.xlsx</t>
        </is>
      </c>
      <c r="M48" s="350" t="n"/>
      <c r="N48" s="344" t="n"/>
      <c r="O48" s="344" t="n"/>
      <c r="P48" s="344" t="n"/>
      <c r="Q48" s="344" t="n"/>
      <c r="R48" s="344" t="n"/>
      <c r="S48" s="344" t="n"/>
      <c r="T48" s="344" t="n"/>
      <c r="U48" s="344" t="n"/>
      <c r="V48" s="344" t="n"/>
      <c r="W48" s="344" t="n"/>
    </row>
    <row r="49" customFormat="1" s="354">
      <c r="A49" s="345" t="n"/>
      <c r="B49" s="581" t="n"/>
      <c r="C49" s="582" t="n"/>
      <c r="D49" s="583" t="n"/>
      <c r="E49" s="584" t="n"/>
      <c r="F49" s="350" t="n"/>
      <c r="G49" s="350" t="n"/>
      <c r="H49" s="350" t="n"/>
      <c r="I49" s="350" t="n"/>
      <c r="J49" s="350" t="n"/>
      <c r="K49" s="351" t="n"/>
      <c r="L49" s="350" t="n"/>
      <c r="M49" s="350" t="n"/>
      <c r="N49" s="344" t="n"/>
      <c r="O49" s="344" t="n"/>
      <c r="P49" s="344" t="n"/>
      <c r="Q49" s="344" t="n"/>
      <c r="R49" s="344" t="n"/>
      <c r="S49" s="344" t="n"/>
      <c r="T49" s="344" t="n"/>
      <c r="U49" s="344" t="n"/>
      <c r="V49" s="344" t="n"/>
      <c r="W49" s="344" t="n"/>
    </row>
    <row r="50" customFormat="1" s="354">
      <c r="A50" s="345" t="n"/>
      <c r="B50" s="581" t="n"/>
      <c r="C50" s="582" t="n"/>
      <c r="D50" s="583" t="n"/>
      <c r="E50" s="584" t="n"/>
      <c r="F50" s="350" t="n"/>
      <c r="G50" s="350" t="n"/>
      <c r="H50" s="350" t="n"/>
      <c r="I50" s="350" t="n"/>
      <c r="J50" s="350" t="n"/>
      <c r="K50" s="351" t="n"/>
      <c r="L50" s="350" t="n"/>
      <c r="M50" s="350" t="n"/>
      <c r="N50" s="344" t="n"/>
      <c r="O50" s="344" t="n"/>
      <c r="P50" s="344" t="n"/>
      <c r="Q50" s="344" t="n"/>
      <c r="R50" s="344" t="n"/>
      <c r="S50" s="344" t="n"/>
      <c r="T50" s="344" t="n"/>
      <c r="U50" s="344" t="n"/>
      <c r="V50" s="344" t="n"/>
      <c r="W50" s="344" t="n"/>
    </row>
    <row r="51" customFormat="1" s="354">
      <c r="A51" s="345" t="n"/>
      <c r="B51" s="581" t="n"/>
      <c r="C51" s="582" t="n"/>
      <c r="D51" s="583" t="n"/>
      <c r="E51" s="584" t="n"/>
      <c r="F51" s="350" t="n"/>
      <c r="G51" s="350" t="n"/>
      <c r="H51" s="350" t="n"/>
      <c r="I51" s="350" t="n"/>
      <c r="J51" s="350" t="n"/>
      <c r="K51" s="351" t="n"/>
      <c r="L51" s="350" t="n"/>
      <c r="M51" s="350" t="n"/>
      <c r="N51" s="344" t="n"/>
      <c r="O51" s="344" t="n"/>
      <c r="P51" s="344" t="n"/>
      <c r="Q51" s="344" t="n"/>
      <c r="R51" s="344" t="n"/>
      <c r="S51" s="344" t="n"/>
      <c r="T51" s="344" t="n"/>
      <c r="U51" s="344" t="n"/>
      <c r="V51" s="344" t="n"/>
      <c r="W51" s="344" t="n"/>
    </row>
    <row r="52" customFormat="1" s="354">
      <c r="A52" s="345" t="n"/>
      <c r="B52" s="581" t="n"/>
      <c r="C52" s="582" t="n"/>
      <c r="D52" s="583" t="n"/>
      <c r="E52" s="584" t="n"/>
      <c r="F52" s="350" t="n"/>
      <c r="G52" s="350" t="n"/>
      <c r="H52" s="350" t="n"/>
      <c r="I52" s="350" t="n"/>
      <c r="J52" s="350" t="n"/>
      <c r="K52" s="351" t="n"/>
      <c r="L52" s="350" t="n"/>
      <c r="M52" s="350" t="n"/>
      <c r="N52" s="344" t="n"/>
      <c r="O52" s="344" t="n"/>
      <c r="P52" s="344" t="n"/>
      <c r="Q52" s="344" t="n"/>
      <c r="R52" s="344" t="n"/>
      <c r="S52" s="344" t="n"/>
      <c r="T52" s="344" t="n"/>
      <c r="U52" s="344" t="n"/>
      <c r="V52" s="344" t="n"/>
      <c r="W52" s="344" t="n"/>
    </row>
    <row r="53" customFormat="1" s="354">
      <c r="A53" s="345" t="n"/>
      <c r="B53" s="581" t="n"/>
      <c r="C53" s="582" t="n"/>
      <c r="D53" s="583" t="n"/>
      <c r="E53" s="584" t="n"/>
      <c r="F53" s="350" t="n"/>
      <c r="G53" s="350" t="n"/>
      <c r="H53" s="350" t="n"/>
      <c r="I53" s="350" t="n"/>
      <c r="J53" s="350" t="n"/>
      <c r="K53" s="351" t="n"/>
      <c r="L53" s="350" t="n"/>
      <c r="M53" s="350" t="n"/>
      <c r="N53" s="344" t="n"/>
      <c r="O53" s="344" t="n"/>
      <c r="P53" s="344" t="n"/>
      <c r="Q53" s="344" t="n"/>
      <c r="R53" s="344" t="n"/>
      <c r="S53" s="344" t="n"/>
      <c r="T53" s="344" t="n"/>
      <c r="U53" s="344" t="n"/>
      <c r="V53" s="344" t="n"/>
      <c r="W53" s="344" t="n"/>
    </row>
    <row r="54" customFormat="1" s="354">
      <c r="A54" s="345" t="n"/>
      <c r="B54" s="581" t="n"/>
      <c r="C54" s="582" t="n"/>
      <c r="D54" s="583" t="n"/>
      <c r="E54" s="584" t="n"/>
      <c r="F54" s="350" t="n"/>
      <c r="G54" s="350" t="n"/>
      <c r="H54" s="350" t="n"/>
      <c r="I54" s="350" t="n"/>
      <c r="J54" s="350" t="n"/>
      <c r="K54" s="351" t="n"/>
      <c r="L54" s="350" t="n"/>
      <c r="M54" s="350" t="n"/>
      <c r="N54" s="344" t="n"/>
      <c r="O54" s="344" t="n"/>
      <c r="P54" s="344" t="n"/>
      <c r="Q54" s="344" t="n"/>
      <c r="R54" s="344" t="n"/>
      <c r="S54" s="344" t="n"/>
      <c r="T54" s="344" t="n"/>
      <c r="U54" s="344" t="n"/>
      <c r="V54" s="344" t="n"/>
      <c r="W54" s="344" t="n"/>
    </row>
    <row r="55" customFormat="1" s="354">
      <c r="A55" s="345" t="n"/>
      <c r="B55" s="581" t="n"/>
      <c r="C55" s="582" t="n"/>
      <c r="D55" s="583" t="n"/>
      <c r="E55" s="584" t="n"/>
      <c r="F55" s="350" t="n"/>
      <c r="G55" s="350" t="n"/>
      <c r="H55" s="350" t="n"/>
      <c r="I55" s="350" t="n"/>
      <c r="J55" s="350" t="n"/>
      <c r="K55" s="351" t="n"/>
      <c r="L55" s="355" t="inlineStr">
        <is>
          <t>2841000174821_【ＱＣＳ】牛バラスライス焼成.xlsx</t>
        </is>
      </c>
      <c r="M55" s="350" t="n"/>
      <c r="N55" s="344" t="n"/>
      <c r="O55" s="344" t="n"/>
      <c r="P55" s="344" t="n"/>
      <c r="Q55" s="344" t="n"/>
      <c r="R55" s="344" t="n"/>
      <c r="S55" s="344" t="n"/>
      <c r="T55" s="344" t="n"/>
      <c r="U55" s="344" t="n"/>
      <c r="V55" s="344" t="n"/>
      <c r="W55" s="344" t="n"/>
    </row>
    <row r="56" customFormat="1" s="354">
      <c r="A56" s="345" t="n"/>
      <c r="B56" s="581" t="n"/>
      <c r="C56" s="582" t="n"/>
      <c r="D56" s="583" t="n"/>
      <c r="E56" s="584" t="n"/>
      <c r="F56" s="350" t="n"/>
      <c r="G56" s="350" t="n"/>
      <c r="H56" s="350" t="n"/>
      <c r="I56" s="350" t="n"/>
      <c r="J56" s="350" t="n"/>
      <c r="K56" s="351" t="n"/>
      <c r="L56" s="355" t="inlineStr">
        <is>
          <t>2841000189306_【ＱＣＳ】千切り沢庵ざるきり.xlsx</t>
        </is>
      </c>
      <c r="M56" s="350" t="n"/>
      <c r="N56" s="344" t="n"/>
      <c r="O56" s="344" t="n"/>
      <c r="P56" s="344" t="n"/>
      <c r="Q56" s="344" t="n"/>
      <c r="R56" s="344" t="n"/>
      <c r="S56" s="344" t="n"/>
      <c r="T56" s="344" t="n"/>
      <c r="U56" s="344" t="n"/>
      <c r="V56" s="344" t="n"/>
      <c r="W56" s="344" t="n"/>
    </row>
    <row r="57" customFormat="1" s="354">
      <c r="A57" s="345" t="n"/>
      <c r="B57" s="581" t="n"/>
      <c r="C57" s="582" t="n"/>
      <c r="D57" s="583" t="n"/>
      <c r="E57" s="584" t="n"/>
      <c r="F57" s="350" t="n"/>
      <c r="G57" s="350" t="n"/>
      <c r="H57" s="350" t="n"/>
      <c r="I57" s="350" t="n"/>
      <c r="J57" s="350" t="n"/>
      <c r="K57" s="351" t="n"/>
      <c r="L57" s="355" t="inlineStr">
        <is>
          <t>2841000189313_【ＱＣＳ】キンパの人参ナムル.xlsx</t>
        </is>
      </c>
      <c r="M57" s="358" t="n"/>
      <c r="N57" s="344" t="n"/>
      <c r="O57" s="344" t="n"/>
      <c r="P57" s="344" t="n"/>
      <c r="Q57" s="344" t="n"/>
      <c r="R57" s="344" t="n"/>
      <c r="S57" s="344" t="n"/>
      <c r="T57" s="344" t="n"/>
      <c r="U57" s="344" t="n"/>
      <c r="V57" s="344" t="n"/>
      <c r="W57" s="344" t="n"/>
    </row>
    <row r="58" customFormat="1" s="354">
      <c r="A58" s="345" t="n"/>
      <c r="B58" s="581" t="n"/>
      <c r="C58" s="582" t="n"/>
      <c r="D58" s="583" t="n"/>
      <c r="E58" s="584" t="n"/>
      <c r="F58" s="350" t="n"/>
      <c r="G58" s="350" t="n"/>
      <c r="H58" s="350" t="n"/>
      <c r="I58" s="350" t="n"/>
      <c r="J58" s="350" t="n"/>
      <c r="K58" s="351" t="n"/>
      <c r="L58" s="355" t="inlineStr">
        <is>
          <t>2841000189290_【ＱＣＳ】小松菜ごま油和え.xlsx</t>
        </is>
      </c>
      <c r="M58" s="350" t="n"/>
      <c r="N58" s="344" t="n"/>
      <c r="O58" s="344" t="n"/>
      <c r="P58" s="344" t="n"/>
      <c r="Q58" s="344" t="n"/>
      <c r="R58" s="344" t="n"/>
      <c r="S58" s="344" t="n"/>
      <c r="T58" s="344" t="n"/>
      <c r="U58" s="344" t="n"/>
      <c r="V58" s="344" t="n"/>
      <c r="W58" s="344" t="n"/>
    </row>
    <row r="59" customFormat="1" s="354">
      <c r="A59" s="345" t="n"/>
      <c r="B59" s="581" t="n"/>
      <c r="C59" s="582" t="n"/>
      <c r="D59" s="583" t="n"/>
      <c r="E59" s="584" t="n"/>
      <c r="F59" s="350" t="n"/>
      <c r="G59" s="350" t="n"/>
      <c r="H59" s="350" t="n"/>
      <c r="I59" s="350" t="n"/>
      <c r="J59" s="350" t="n"/>
      <c r="K59" s="351" t="n"/>
      <c r="L59" s="355" t="inlineStr">
        <is>
          <t>2841000189290_【ＱＣＳ】小松菜ごま油和え.xlsx</t>
        </is>
      </c>
      <c r="M59" s="350" t="n"/>
      <c r="N59" s="344" t="n"/>
      <c r="O59" s="344" t="n"/>
      <c r="P59" s="344" t="n"/>
      <c r="Q59" s="344" t="n"/>
      <c r="R59" s="344" t="n"/>
      <c r="S59" s="344" t="n"/>
      <c r="T59" s="344" t="n"/>
      <c r="U59" s="344" t="n"/>
      <c r="V59" s="344" t="n"/>
      <c r="W59" s="344" t="n"/>
    </row>
    <row r="60" customFormat="1" s="354">
      <c r="A60" s="345" t="n"/>
      <c r="B60" s="581" t="n"/>
      <c r="C60" s="582" t="n"/>
      <c r="D60" s="583" t="n"/>
      <c r="E60" s="584" t="n"/>
      <c r="F60" s="350" t="n"/>
      <c r="G60" s="350" t="n"/>
      <c r="H60" s="350" t="n"/>
      <c r="I60" s="350" t="n"/>
      <c r="J60" s="350" t="n"/>
      <c r="K60" s="351" t="n"/>
      <c r="L60" s="355" t="inlineStr">
        <is>
          <t>2841000189290_【ＱＣＳ】小松菜ごま油和え.xlsx</t>
        </is>
      </c>
      <c r="M60" s="350" t="n"/>
      <c r="N60" s="344" t="n"/>
      <c r="O60" s="344" t="n"/>
      <c r="P60" s="344" t="n"/>
      <c r="Q60" s="344" t="n"/>
      <c r="R60" s="344" t="n"/>
      <c r="S60" s="344" t="n"/>
      <c r="T60" s="344" t="n"/>
      <c r="U60" s="344" t="n"/>
      <c r="V60" s="344" t="n"/>
      <c r="W60" s="344" t="n"/>
    </row>
    <row r="61" customFormat="1" s="354">
      <c r="A61" s="345" t="n"/>
      <c r="B61" s="581" t="n"/>
      <c r="C61" s="582" t="n"/>
      <c r="D61" s="583" t="n"/>
      <c r="E61" s="584" t="n"/>
      <c r="F61" s="350" t="n"/>
      <c r="G61" s="350" t="n"/>
      <c r="H61" s="350" t="n"/>
      <c r="I61" s="350" t="n"/>
      <c r="J61" s="350" t="n"/>
      <c r="K61" s="351" t="n"/>
      <c r="L61" s="355" t="inlineStr">
        <is>
          <t>2841000189740_【ＱＣＳ】キンパご飯.xlsx</t>
        </is>
      </c>
      <c r="M61" s="350" t="n"/>
      <c r="N61" s="344" t="n"/>
      <c r="O61" s="344" t="n"/>
      <c r="P61" s="344" t="n"/>
      <c r="Q61" s="344" t="n"/>
      <c r="R61" s="344" t="n"/>
      <c r="S61" s="344" t="n"/>
      <c r="T61" s="344" t="n"/>
      <c r="U61" s="344" t="n"/>
      <c r="V61" s="344" t="n"/>
      <c r="W61" s="344" t="n"/>
    </row>
    <row r="62" customFormat="1" s="354">
      <c r="A62" s="345" t="n"/>
      <c r="B62" s="581" t="n"/>
      <c r="C62" s="582" t="n"/>
      <c r="D62" s="583" t="n"/>
      <c r="E62" s="584" t="n"/>
      <c r="F62" s="350" t="n"/>
      <c r="G62" s="350" t="n"/>
      <c r="H62" s="350" t="n"/>
      <c r="I62" s="350" t="n"/>
      <c r="J62" s="350" t="n"/>
      <c r="K62" s="351" t="n"/>
      <c r="L62" s="355" t="inlineStr">
        <is>
          <t>2841000189283_【ＱＣＳ】塩飯（釜炊飯）.xlsx</t>
        </is>
      </c>
      <c r="M62" s="350" t="n"/>
      <c r="N62" s="344" t="n"/>
      <c r="O62" s="344" t="n"/>
      <c r="P62" s="344" t="n"/>
      <c r="Q62" s="344" t="n"/>
      <c r="R62" s="344" t="n"/>
      <c r="S62" s="344" t="n"/>
      <c r="T62" s="344" t="n"/>
      <c r="U62" s="344" t="n"/>
      <c r="V62" s="344" t="n"/>
      <c r="W62" s="344" t="n"/>
    </row>
    <row r="63" customFormat="1" s="354">
      <c r="A63" s="345" t="n"/>
      <c r="B63" s="585" t="n"/>
      <c r="C63" s="582" t="n"/>
      <c r="D63" s="586" t="n"/>
      <c r="E63" s="584" t="n"/>
      <c r="F63" s="350" t="n"/>
      <c r="G63" s="350" t="n"/>
      <c r="H63" s="350" t="n"/>
      <c r="I63" s="350" t="n"/>
      <c r="J63" s="350" t="n"/>
      <c r="K63" s="351" t="n"/>
      <c r="L63" s="350" t="n"/>
      <c r="M63" s="350" t="n"/>
      <c r="N63" s="344" t="n"/>
      <c r="O63" s="344" t="n"/>
      <c r="P63" s="344" t="n"/>
      <c r="Q63" s="344" t="n"/>
      <c r="R63" s="344" t="n"/>
      <c r="S63" s="344" t="n"/>
      <c r="T63" s="344" t="n"/>
      <c r="U63" s="344" t="n"/>
      <c r="V63" s="344" t="n"/>
      <c r="W63" s="344" t="n"/>
    </row>
    <row r="64" customFormat="1" s="354">
      <c r="A64" s="345" t="n"/>
      <c r="B64" s="581" t="n"/>
      <c r="C64" s="582" t="n"/>
      <c r="D64" s="583" t="n"/>
      <c r="E64" s="584" t="n"/>
      <c r="F64" s="350" t="n"/>
      <c r="G64" s="350" t="n"/>
      <c r="H64" s="350" t="n"/>
      <c r="I64" s="350" t="n"/>
      <c r="J64" s="350" t="n"/>
      <c r="K64" s="351" t="n"/>
      <c r="L64" s="355" t="inlineStr">
        <is>
          <t>2841000195468_【ＱＣＳ】極み焼き玉子太巻き２.xlsx</t>
        </is>
      </c>
      <c r="M64" s="350" t="n"/>
      <c r="N64" s="344" t="n"/>
      <c r="O64" s="344" t="n"/>
      <c r="P64" s="344" t="n"/>
      <c r="Q64" s="344" t="n"/>
      <c r="R64" s="344" t="n"/>
      <c r="S64" s="344" t="n"/>
      <c r="T64" s="344" t="n"/>
      <c r="U64" s="344" t="n"/>
      <c r="V64" s="344" t="n"/>
      <c r="W64" s="344" t="n"/>
    </row>
    <row r="65" customFormat="1" s="354">
      <c r="A65" s="345" t="n"/>
      <c r="B65" s="581" t="n"/>
      <c r="C65" s="582" t="n"/>
      <c r="D65" s="583" t="n"/>
      <c r="E65" s="584" t="n"/>
      <c r="F65" s="350" t="n"/>
      <c r="G65" s="350" t="n"/>
      <c r="H65" s="350" t="n"/>
      <c r="I65" s="350" t="n"/>
      <c r="J65" s="350" t="n"/>
      <c r="K65" s="351" t="n"/>
      <c r="L65" s="355" t="inlineStr">
        <is>
          <t>2841000195468_【ＱＣＳ】極み焼き玉子太巻き２.xlsx</t>
        </is>
      </c>
      <c r="M65" s="350" t="n"/>
      <c r="N65" s="344" t="n"/>
      <c r="O65" s="344" t="n"/>
      <c r="P65" s="344" t="n"/>
      <c r="Q65" s="344" t="n"/>
      <c r="R65" s="344" t="n"/>
      <c r="S65" s="344" t="n"/>
      <c r="T65" s="344" t="n"/>
      <c r="U65" s="344" t="n"/>
      <c r="V65" s="344" t="n"/>
      <c r="W65" s="344" t="n"/>
    </row>
    <row r="66" customFormat="1" s="354">
      <c r="A66" s="345" t="n"/>
      <c r="B66" s="581" t="n"/>
      <c r="C66" s="582" t="n"/>
      <c r="D66" s="583" t="n"/>
      <c r="E66" s="584" t="n"/>
      <c r="F66" s="350" t="n"/>
      <c r="G66" s="350" t="n"/>
      <c r="H66" s="350" t="n"/>
      <c r="I66" s="350" t="n"/>
      <c r="J66" s="350" t="n"/>
      <c r="K66" s="351" t="n"/>
      <c r="L66" s="350" t="n"/>
      <c r="M66" s="350" t="n"/>
      <c r="N66" s="344" t="n"/>
      <c r="O66" s="344" t="n"/>
      <c r="P66" s="344" t="n"/>
      <c r="Q66" s="344" t="n"/>
      <c r="R66" s="344" t="n"/>
      <c r="S66" s="344" t="n"/>
      <c r="T66" s="344" t="n"/>
      <c r="U66" s="344" t="n"/>
      <c r="V66" s="344" t="n"/>
      <c r="W66" s="344" t="n"/>
    </row>
    <row r="67" customFormat="1" s="354">
      <c r="A67" s="345" t="n"/>
      <c r="B67" s="585" t="n"/>
      <c r="C67" s="582" t="n"/>
      <c r="D67" s="586" t="n"/>
      <c r="E67" s="584" t="n"/>
      <c r="F67" s="350" t="n"/>
      <c r="G67" s="350" t="n"/>
      <c r="H67" s="350" t="n"/>
      <c r="I67" s="350" t="n"/>
      <c r="J67" s="350" t="n"/>
      <c r="K67" s="351" t="n"/>
      <c r="L67" s="350" t="n"/>
      <c r="M67" s="350" t="n"/>
      <c r="N67" s="344" t="n"/>
      <c r="O67" s="344" t="n"/>
      <c r="P67" s="344" t="n"/>
      <c r="Q67" s="344" t="n"/>
      <c r="R67" s="344" t="n"/>
      <c r="S67" s="344" t="n"/>
      <c r="T67" s="344" t="n"/>
      <c r="U67" s="344" t="n"/>
      <c r="V67" s="344" t="n"/>
      <c r="W67" s="344" t="n"/>
    </row>
    <row r="68" customFormat="1" s="354">
      <c r="A68" s="345" t="n"/>
      <c r="B68" s="581" t="n"/>
      <c r="C68" s="582" t="n"/>
      <c r="D68" s="583" t="n"/>
      <c r="E68" s="584" t="n"/>
      <c r="F68" s="350" t="n"/>
      <c r="G68" s="350" t="n"/>
      <c r="H68" s="350" t="n"/>
      <c r="I68" s="350" t="n"/>
      <c r="J68" s="350" t="n"/>
      <c r="K68" s="351" t="n"/>
      <c r="L68" s="350" t="n"/>
      <c r="M68" s="350" t="n"/>
      <c r="N68" s="344" t="n"/>
      <c r="O68" s="344" t="n"/>
      <c r="P68" s="344" t="n"/>
      <c r="Q68" s="344" t="n"/>
      <c r="R68" s="344" t="n"/>
      <c r="S68" s="344" t="n"/>
      <c r="T68" s="344" t="n"/>
      <c r="U68" s="344" t="n"/>
      <c r="V68" s="344" t="n"/>
      <c r="W68" s="344" t="n"/>
    </row>
    <row r="69" customFormat="1" s="354">
      <c r="A69" s="345" t="n"/>
      <c r="B69" s="581" t="n"/>
      <c r="C69" s="582" t="n"/>
      <c r="D69" s="583" t="n"/>
      <c r="E69" s="584" t="n"/>
      <c r="F69" s="350" t="n"/>
      <c r="G69" s="350" t="n"/>
      <c r="H69" s="350" t="n"/>
      <c r="I69" s="350" t="n"/>
      <c r="J69" s="350" t="n"/>
      <c r="K69" s="351" t="n"/>
      <c r="L69" s="355" t="inlineStr">
        <is>
          <t>2841000195468_【ＱＣＳ】極み焼き玉子太巻き２.xlsx</t>
        </is>
      </c>
      <c r="M69" s="350" t="n"/>
      <c r="N69" s="344" t="n"/>
      <c r="O69" s="344" t="n"/>
      <c r="P69" s="344" t="n"/>
      <c r="Q69" s="344" t="n"/>
      <c r="R69" s="344" t="n"/>
      <c r="S69" s="344" t="n"/>
      <c r="T69" s="344" t="n"/>
      <c r="U69" s="344" t="n"/>
      <c r="V69" s="344" t="n"/>
      <c r="W69" s="344" t="n"/>
    </row>
    <row r="70" customFormat="1" s="354">
      <c r="A70" s="345" t="n"/>
      <c r="B70" s="581" t="n"/>
      <c r="C70" s="582" t="n"/>
      <c r="D70" s="583" t="n"/>
      <c r="E70" s="584" t="n"/>
      <c r="F70" s="350" t="n"/>
      <c r="G70" s="350" t="n"/>
      <c r="H70" s="350" t="n"/>
      <c r="I70" s="350" t="n"/>
      <c r="J70" s="350" t="n"/>
      <c r="K70" s="351" t="n"/>
      <c r="L70" s="350" t="n"/>
      <c r="M70" s="350" t="n"/>
      <c r="N70" s="344" t="n"/>
      <c r="O70" s="344" t="n"/>
      <c r="P70" s="344" t="n"/>
      <c r="Q70" s="344" t="n"/>
      <c r="R70" s="344" t="n"/>
      <c r="S70" s="344" t="n"/>
      <c r="T70" s="344" t="n"/>
      <c r="U70" s="344" t="n"/>
      <c r="V70" s="344" t="n"/>
      <c r="W70" s="344" t="n"/>
    </row>
    <row r="71" customFormat="1" s="354">
      <c r="A71" s="345" t="n"/>
      <c r="B71" s="585" t="n"/>
      <c r="C71" s="582" t="n"/>
      <c r="D71" s="586" t="n"/>
      <c r="E71" s="584" t="n"/>
      <c r="F71" s="350" t="n"/>
      <c r="G71" s="350" t="n"/>
      <c r="H71" s="350" t="n"/>
      <c r="I71" s="350" t="n"/>
      <c r="J71" s="350" t="n"/>
      <c r="K71" s="351" t="n"/>
      <c r="L71" s="350" t="n"/>
      <c r="M71" s="350" t="n"/>
      <c r="N71" s="344" t="n"/>
      <c r="O71" s="344" t="n"/>
      <c r="P71" s="344" t="n"/>
      <c r="Q71" s="344" t="n"/>
      <c r="R71" s="344" t="n"/>
      <c r="S71" s="344" t="n"/>
      <c r="T71" s="344" t="n"/>
      <c r="U71" s="344" t="n"/>
      <c r="V71" s="344" t="n"/>
      <c r="W71" s="344" t="n"/>
    </row>
    <row r="72" customFormat="1" s="354">
      <c r="A72" s="345" t="n"/>
      <c r="B72" s="581" t="n"/>
      <c r="C72" s="582" t="n"/>
      <c r="D72" s="583" t="n"/>
      <c r="E72" s="584" t="n"/>
      <c r="F72" s="350" t="n"/>
      <c r="G72" s="350" t="n"/>
      <c r="H72" s="350" t="n"/>
      <c r="I72" s="350" t="n"/>
      <c r="J72" s="350" t="n"/>
      <c r="K72" s="351" t="n"/>
      <c r="L72" s="355" t="inlineStr">
        <is>
          <t>2841000191408_【ＱＣＳ】サラダ巻き（錦糸）２.xlsx</t>
        </is>
      </c>
      <c r="M72" s="350" t="n"/>
      <c r="N72" s="344" t="n"/>
      <c r="O72" s="344" t="n"/>
      <c r="P72" s="344" t="n"/>
      <c r="Q72" s="344" t="n"/>
      <c r="R72" s="344" t="n"/>
      <c r="S72" s="344" t="n"/>
      <c r="T72" s="344" t="n"/>
      <c r="U72" s="344" t="n"/>
      <c r="V72" s="344" t="n"/>
      <c r="W72" s="344" t="n"/>
    </row>
    <row r="73" customFormat="1" s="354">
      <c r="A73" s="345" t="n"/>
      <c r="B73" s="581" t="n"/>
      <c r="C73" s="582" t="n"/>
      <c r="D73" s="583" t="n"/>
      <c r="E73" s="584" t="n"/>
      <c r="F73" s="350" t="n"/>
      <c r="G73" s="350" t="n"/>
      <c r="H73" s="350" t="n"/>
      <c r="I73" s="350" t="n"/>
      <c r="J73" s="350" t="n"/>
      <c r="K73" s="351" t="n"/>
      <c r="L73" s="350" t="n"/>
      <c r="M73" s="350" t="n"/>
      <c r="N73" s="344" t="n"/>
      <c r="O73" s="344" t="n"/>
      <c r="P73" s="344" t="n"/>
      <c r="Q73" s="344" t="n"/>
      <c r="R73" s="344" t="n"/>
      <c r="S73" s="344" t="n"/>
      <c r="T73" s="344" t="n"/>
      <c r="U73" s="344" t="n"/>
      <c r="V73" s="344" t="n"/>
      <c r="W73" s="344" t="n"/>
    </row>
    <row r="74" customFormat="1" s="354">
      <c r="A74" s="345" t="n"/>
      <c r="B74" s="585" t="n"/>
      <c r="C74" s="582" t="n"/>
      <c r="D74" s="586" t="n"/>
      <c r="E74" s="584" t="n"/>
      <c r="F74" s="350" t="n"/>
      <c r="G74" s="350" t="n"/>
      <c r="H74" s="350" t="n"/>
      <c r="I74" s="350" t="n"/>
      <c r="J74" s="350" t="n"/>
      <c r="K74" s="351" t="n"/>
      <c r="L74" s="350" t="n"/>
      <c r="M74" s="350" t="n"/>
      <c r="N74" s="344" t="n"/>
      <c r="O74" s="344" t="n"/>
      <c r="P74" s="344" t="n"/>
      <c r="Q74" s="344" t="n"/>
      <c r="R74" s="344" t="n"/>
      <c r="S74" s="344" t="n"/>
      <c r="T74" s="344" t="n"/>
      <c r="U74" s="344" t="n"/>
      <c r="V74" s="344" t="n"/>
      <c r="W74" s="344" t="n"/>
    </row>
    <row r="75" customFormat="1" s="354">
      <c r="A75" s="345" t="n"/>
      <c r="B75" s="581" t="n"/>
      <c r="C75" s="582" t="n"/>
      <c r="D75" s="583" t="n"/>
      <c r="E75" s="584" t="n"/>
      <c r="F75" s="350" t="n"/>
      <c r="G75" s="350" t="n"/>
      <c r="H75" s="350" t="n"/>
      <c r="I75" s="350" t="n"/>
      <c r="J75" s="350" t="n"/>
      <c r="K75" s="351" t="n"/>
      <c r="L75" s="350" t="n"/>
      <c r="M75" s="350" t="n"/>
      <c r="N75" s="344" t="n"/>
      <c r="O75" s="344" t="n"/>
      <c r="P75" s="344" t="n"/>
      <c r="Q75" s="344" t="n"/>
      <c r="R75" s="344" t="n"/>
      <c r="S75" s="344" t="n"/>
      <c r="T75" s="344" t="n"/>
      <c r="U75" s="344" t="n"/>
      <c r="V75" s="344" t="n"/>
      <c r="W75" s="344" t="n"/>
    </row>
    <row r="76" customFormat="1" s="354">
      <c r="A76" s="345" t="n"/>
      <c r="B76" s="581" t="n"/>
      <c r="C76" s="582" t="n"/>
      <c r="D76" s="583" t="n"/>
      <c r="E76" s="584" t="n"/>
      <c r="F76" s="350" t="n"/>
      <c r="G76" s="350" t="n"/>
      <c r="H76" s="350" t="n"/>
      <c r="I76" s="350" t="n"/>
      <c r="J76" s="350" t="n"/>
      <c r="K76" s="351" t="n"/>
      <c r="L76" s="350" t="n"/>
      <c r="M76" s="350" t="n"/>
      <c r="N76" s="344" t="n"/>
      <c r="O76" s="344" t="n"/>
      <c r="P76" s="344" t="n"/>
      <c r="Q76" s="344" t="n"/>
      <c r="R76" s="344" t="n"/>
      <c r="S76" s="344" t="n"/>
      <c r="T76" s="344" t="n"/>
      <c r="U76" s="344" t="n"/>
      <c r="V76" s="344" t="n"/>
      <c r="W76" s="344" t="n"/>
    </row>
    <row r="77" customFormat="1" s="354">
      <c r="A77" s="357" t="n"/>
      <c r="B77" s="581" t="n"/>
      <c r="C77" s="582" t="n"/>
      <c r="D77" s="583" t="n"/>
      <c r="E77" s="584" t="n"/>
      <c r="F77" s="350" t="n"/>
      <c r="G77" s="350" t="n"/>
      <c r="H77" s="350" t="n"/>
      <c r="I77" s="350" t="n"/>
      <c r="J77" s="350" t="n"/>
      <c r="K77" s="351" t="n"/>
      <c r="L77" s="350" t="n"/>
      <c r="M77" s="350" t="n"/>
      <c r="N77" s="344" t="n"/>
      <c r="O77" s="344" t="n"/>
      <c r="P77" s="344" t="n"/>
      <c r="Q77" s="344" t="n"/>
      <c r="R77" s="344" t="n"/>
      <c r="S77" s="344" t="n"/>
      <c r="T77" s="344" t="n"/>
      <c r="U77" s="344" t="n"/>
      <c r="V77" s="344" t="n"/>
      <c r="W77" s="344" t="n"/>
    </row>
    <row r="78" customFormat="1" s="354">
      <c r="A78" s="357" t="n"/>
      <c r="B78" s="581" t="n"/>
      <c r="C78" s="582" t="n"/>
      <c r="D78" s="583" t="n"/>
      <c r="E78" s="584" t="n"/>
      <c r="F78" s="350" t="n"/>
      <c r="G78" s="350" t="n"/>
      <c r="H78" s="350" t="n"/>
      <c r="I78" s="350" t="n"/>
      <c r="J78" s="350" t="n"/>
      <c r="K78" s="351" t="n"/>
      <c r="L78" s="350" t="n"/>
      <c r="M78" s="350" t="n"/>
      <c r="N78" s="344" t="n"/>
      <c r="O78" s="344" t="n"/>
      <c r="P78" s="344" t="n"/>
      <c r="Q78" s="344" t="n"/>
      <c r="R78" s="344" t="n"/>
      <c r="S78" s="344" t="n"/>
      <c r="T78" s="344" t="n"/>
      <c r="U78" s="344" t="n"/>
      <c r="V78" s="344" t="n"/>
      <c r="W78" s="344" t="n"/>
    </row>
    <row r="79" customFormat="1" s="354">
      <c r="A79" s="357" t="n"/>
      <c r="B79" s="581" t="n"/>
      <c r="C79" s="582" t="n"/>
      <c r="D79" s="583" t="n"/>
      <c r="E79" s="584" t="n"/>
      <c r="F79" s="350" t="n"/>
      <c r="G79" s="350" t="n"/>
      <c r="H79" s="350" t="n"/>
      <c r="I79" s="350" t="n"/>
      <c r="J79" s="350" t="n"/>
      <c r="K79" s="351" t="n"/>
      <c r="L79" s="350" t="n"/>
      <c r="M79" s="350" t="n"/>
      <c r="N79" s="344" t="n"/>
      <c r="O79" s="344" t="n"/>
      <c r="P79" s="344" t="n"/>
      <c r="Q79" s="344" t="n"/>
      <c r="R79" s="344" t="n"/>
      <c r="S79" s="344" t="n"/>
      <c r="T79" s="344" t="n"/>
      <c r="U79" s="344" t="n"/>
      <c r="V79" s="344" t="n"/>
      <c r="W79" s="344" t="n"/>
    </row>
    <row r="80" customFormat="1" s="354">
      <c r="A80" s="357" t="n"/>
      <c r="B80" s="581" t="n"/>
      <c r="C80" s="582" t="n"/>
      <c r="D80" s="583" t="n"/>
      <c r="E80" s="584" t="n"/>
      <c r="F80" s="350" t="n"/>
      <c r="G80" s="350" t="n"/>
      <c r="H80" s="350" t="n"/>
      <c r="I80" s="350" t="n"/>
      <c r="J80" s="350" t="n"/>
      <c r="K80" s="351" t="n"/>
      <c r="L80" s="355" t="inlineStr">
        <is>
          <t>2841000195468_【ＱＣＳ】極み焼き玉子太巻き２.xlsx</t>
        </is>
      </c>
      <c r="M80" s="350" t="n"/>
      <c r="N80" s="344" t="n"/>
      <c r="O80" s="344" t="n"/>
      <c r="P80" s="344" t="n"/>
      <c r="Q80" s="344" t="n"/>
      <c r="R80" s="344" t="n"/>
      <c r="S80" s="344" t="n"/>
      <c r="T80" s="344" t="n"/>
      <c r="U80" s="344" t="n"/>
      <c r="V80" s="344" t="n"/>
      <c r="W80" s="344" t="n"/>
    </row>
    <row r="81" customFormat="1" s="354">
      <c r="A81" s="345" t="n"/>
      <c r="B81" s="581" t="n"/>
      <c r="C81" s="582" t="n"/>
      <c r="D81" s="583" t="n"/>
      <c r="E81" s="584" t="n"/>
      <c r="F81" s="350" t="n"/>
      <c r="G81" s="350" t="n"/>
      <c r="H81" s="350" t="n"/>
      <c r="I81" s="350" t="n"/>
      <c r="J81" s="350" t="n"/>
      <c r="K81" s="351" t="n"/>
      <c r="L81" s="350" t="n"/>
      <c r="M81" s="350" t="n"/>
      <c r="N81" s="344" t="n"/>
      <c r="O81" s="344" t="n"/>
      <c r="P81" s="344" t="n"/>
      <c r="Q81" s="344" t="n"/>
      <c r="R81" s="344" t="n"/>
      <c r="S81" s="344" t="n"/>
      <c r="T81" s="344" t="n"/>
      <c r="U81" s="344" t="n"/>
      <c r="V81" s="344" t="n"/>
      <c r="W81" s="344" t="n"/>
    </row>
    <row r="82" customFormat="1" s="354">
      <c r="A82" s="345" t="n"/>
      <c r="B82" s="581" t="n"/>
      <c r="C82" s="582" t="n"/>
      <c r="D82" s="583" t="n"/>
      <c r="E82" s="584" t="n"/>
      <c r="F82" s="350" t="n"/>
      <c r="G82" s="350" t="n"/>
      <c r="H82" s="350" t="n"/>
      <c r="I82" s="350" t="n"/>
      <c r="J82" s="350" t="n"/>
      <c r="K82" s="351" t="n"/>
      <c r="L82" s="350" t="n"/>
      <c r="M82" s="350" t="n"/>
      <c r="N82" s="344" t="n"/>
      <c r="O82" s="344" t="n"/>
      <c r="P82" s="344" t="n"/>
      <c r="Q82" s="344" t="n"/>
      <c r="R82" s="344" t="n"/>
      <c r="S82" s="344" t="n"/>
      <c r="T82" s="344" t="n"/>
      <c r="U82" s="344" t="n"/>
      <c r="V82" s="344" t="n"/>
      <c r="W82" s="344" t="n"/>
    </row>
    <row r="83" customFormat="1" s="354">
      <c r="A83" s="345" t="n"/>
      <c r="B83" s="581" t="n"/>
      <c r="C83" s="582" t="n"/>
      <c r="D83" s="583" t="n"/>
      <c r="E83" s="584" t="n"/>
      <c r="F83" s="350" t="n"/>
      <c r="G83" s="350" t="n"/>
      <c r="H83" s="350" t="n"/>
      <c r="I83" s="350" t="n"/>
      <c r="J83" s="350" t="n"/>
      <c r="K83" s="351" t="n"/>
      <c r="L83" s="350" t="n"/>
      <c r="M83" s="350" t="n"/>
      <c r="N83" s="344" t="n"/>
      <c r="O83" s="344" t="n"/>
      <c r="P83" s="344" t="n"/>
      <c r="Q83" s="344" t="n"/>
      <c r="R83" s="344" t="n"/>
      <c r="S83" s="344" t="n"/>
      <c r="T83" s="344" t="n"/>
      <c r="U83" s="344" t="n"/>
      <c r="V83" s="344" t="n"/>
      <c r="W83" s="344" t="n"/>
    </row>
    <row r="84" customFormat="1" s="354">
      <c r="A84" s="345" t="n"/>
      <c r="B84" s="581" t="n"/>
      <c r="C84" s="582" t="n"/>
      <c r="D84" s="583" t="n"/>
      <c r="E84" s="584" t="n"/>
      <c r="F84" s="350" t="n"/>
      <c r="G84" s="350" t="n"/>
      <c r="H84" s="350" t="n"/>
      <c r="I84" s="350" t="n"/>
      <c r="J84" s="350" t="n"/>
      <c r="K84" s="351" t="n"/>
      <c r="L84" s="350" t="n"/>
      <c r="M84" s="350" t="n"/>
      <c r="N84" s="344" t="n"/>
      <c r="O84" s="344" t="n"/>
      <c r="P84" s="344" t="n"/>
      <c r="Q84" s="344" t="n"/>
      <c r="R84" s="344" t="n"/>
      <c r="S84" s="344" t="n"/>
      <c r="T84" s="344" t="n"/>
      <c r="U84" s="344" t="n"/>
      <c r="V84" s="344" t="n"/>
      <c r="W84" s="344" t="n"/>
    </row>
    <row r="85" customFormat="1" s="354">
      <c r="A85" s="345" t="n"/>
      <c r="B85" s="581" t="n"/>
      <c r="C85" s="582" t="n"/>
      <c r="D85" s="583" t="n"/>
      <c r="E85" s="584" t="n"/>
      <c r="F85" s="350" t="n"/>
      <c r="G85" s="350" t="n"/>
      <c r="H85" s="350" t="n"/>
      <c r="I85" s="350" t="n"/>
      <c r="J85" s="350" t="n"/>
      <c r="K85" s="351" t="n"/>
      <c r="L85" s="350" t="n"/>
      <c r="M85" s="350" t="n"/>
      <c r="N85" s="344" t="n"/>
      <c r="O85" s="344" t="n"/>
      <c r="P85" s="344" t="n"/>
      <c r="Q85" s="344" t="n"/>
      <c r="R85" s="344" t="n"/>
      <c r="S85" s="344" t="n"/>
      <c r="T85" s="344" t="n"/>
      <c r="U85" s="344" t="n"/>
      <c r="V85" s="344" t="n"/>
      <c r="W85" s="344" t="n"/>
    </row>
    <row r="86" customFormat="1" s="354">
      <c r="A86" s="345" t="n"/>
      <c r="B86" s="581" t="n"/>
      <c r="C86" s="582" t="n"/>
      <c r="D86" s="583" t="n"/>
      <c r="E86" s="584" t="n"/>
      <c r="F86" s="350" t="n"/>
      <c r="G86" s="350" t="n"/>
      <c r="H86" s="350" t="n"/>
      <c r="I86" s="350" t="n"/>
      <c r="J86" s="350" t="n"/>
      <c r="K86" s="351" t="n"/>
      <c r="L86" s="350" t="n"/>
      <c r="M86" s="350" t="n"/>
      <c r="N86" s="344" t="n"/>
      <c r="O86" s="344" t="n"/>
      <c r="P86" s="344" t="n"/>
      <c r="Q86" s="344" t="n"/>
      <c r="R86" s="344" t="n"/>
      <c r="S86" s="344" t="n"/>
      <c r="T86" s="344" t="n"/>
      <c r="U86" s="344" t="n"/>
      <c r="V86" s="344" t="n"/>
      <c r="W86" s="344" t="n"/>
    </row>
    <row r="87" customFormat="1" s="354">
      <c r="A87" s="345" t="n"/>
      <c r="B87" s="581" t="n"/>
      <c r="C87" s="582" t="n"/>
      <c r="D87" s="583" t="n"/>
      <c r="E87" s="584" t="n"/>
      <c r="F87" s="350" t="n"/>
      <c r="G87" s="350" t="n"/>
      <c r="H87" s="350" t="n"/>
      <c r="I87" s="350" t="n"/>
      <c r="J87" s="350" t="n"/>
      <c r="K87" s="351" t="n"/>
      <c r="L87" s="350" t="n"/>
      <c r="M87" s="350" t="n"/>
      <c r="N87" s="344" t="n"/>
      <c r="O87" s="344" t="n"/>
      <c r="P87" s="344" t="n"/>
      <c r="Q87" s="344" t="n"/>
      <c r="R87" s="344" t="n"/>
      <c r="S87" s="344" t="n"/>
      <c r="T87" s="344" t="n"/>
      <c r="U87" s="344" t="n"/>
      <c r="V87" s="344" t="n"/>
      <c r="W87" s="344" t="n"/>
    </row>
    <row r="88" customFormat="1" s="354">
      <c r="A88" s="345" t="n"/>
      <c r="B88" s="581" t="n"/>
      <c r="C88" s="582" t="n"/>
      <c r="D88" s="583" t="n"/>
      <c r="E88" s="584" t="n"/>
      <c r="F88" s="350" t="n"/>
      <c r="G88" s="350" t="n"/>
      <c r="H88" s="350" t="n"/>
      <c r="I88" s="350" t="n"/>
      <c r="J88" s="350" t="n"/>
      <c r="K88" s="351" t="n"/>
      <c r="L88" s="350" t="n"/>
      <c r="M88" s="350" t="n"/>
      <c r="N88" s="344" t="n"/>
      <c r="O88" s="344" t="n"/>
      <c r="P88" s="344" t="n"/>
      <c r="Q88" s="344" t="n"/>
      <c r="R88" s="344" t="n"/>
      <c r="S88" s="344" t="n"/>
      <c r="T88" s="344" t="n"/>
      <c r="U88" s="344" t="n"/>
      <c r="V88" s="344" t="n"/>
      <c r="W88" s="344" t="n"/>
    </row>
    <row r="89" customFormat="1" s="354">
      <c r="A89" s="345" t="n"/>
      <c r="B89" s="581" t="n"/>
      <c r="C89" s="582" t="n"/>
      <c r="D89" s="583" t="n"/>
      <c r="E89" s="584" t="n"/>
      <c r="F89" s="350" t="n"/>
      <c r="G89" s="350" t="n"/>
      <c r="H89" s="350" t="n"/>
      <c r="I89" s="350" t="n"/>
      <c r="J89" s="350" t="n"/>
      <c r="K89" s="351" t="n"/>
      <c r="L89" s="350" t="n"/>
      <c r="M89" s="350" t="n"/>
      <c r="N89" s="344" t="n"/>
      <c r="O89" s="344" t="n"/>
      <c r="P89" s="344" t="n"/>
      <c r="Q89" s="344" t="n"/>
      <c r="R89" s="344" t="n"/>
      <c r="S89" s="344" t="n"/>
      <c r="T89" s="344" t="n"/>
      <c r="U89" s="344" t="n"/>
      <c r="V89" s="344" t="n"/>
      <c r="W89" s="344" t="n"/>
    </row>
    <row r="90" customFormat="1" s="354">
      <c r="A90" s="345" t="n"/>
      <c r="B90" s="581" t="n"/>
      <c r="C90" s="582" t="n"/>
      <c r="D90" s="583" t="n"/>
      <c r="E90" s="584" t="n"/>
      <c r="F90" s="350" t="n"/>
      <c r="G90" s="350" t="n"/>
      <c r="H90" s="350" t="n"/>
      <c r="I90" s="350" t="n"/>
      <c r="J90" s="350" t="n"/>
      <c r="K90" s="351" t="n"/>
      <c r="L90" s="350" t="n"/>
      <c r="M90" s="350" t="n"/>
      <c r="N90" s="344" t="n"/>
      <c r="O90" s="344" t="n"/>
      <c r="P90" s="344" t="n"/>
      <c r="Q90" s="344" t="n"/>
      <c r="R90" s="344" t="n"/>
      <c r="S90" s="344" t="n"/>
      <c r="T90" s="344" t="n"/>
      <c r="U90" s="344" t="n"/>
      <c r="V90" s="344" t="n"/>
      <c r="W90" s="344" t="n"/>
    </row>
    <row r="91" customFormat="1" s="354">
      <c r="A91" s="345" t="n"/>
      <c r="B91" s="581" t="n"/>
      <c r="C91" s="582" t="n"/>
      <c r="D91" s="583" t="n"/>
      <c r="E91" s="584" t="n"/>
      <c r="F91" s="350" t="n"/>
      <c r="G91" s="350" t="n"/>
      <c r="H91" s="350" t="n"/>
      <c r="I91" s="350" t="n"/>
      <c r="J91" s="350" t="n"/>
      <c r="K91" s="351" t="n"/>
      <c r="L91" s="350" t="n"/>
      <c r="M91" s="350" t="n"/>
      <c r="N91" s="344" t="n"/>
      <c r="O91" s="344" t="n"/>
      <c r="P91" s="344" t="n"/>
      <c r="Q91" s="344" t="n"/>
      <c r="R91" s="344" t="n"/>
      <c r="S91" s="344" t="n"/>
      <c r="T91" s="344" t="n"/>
      <c r="U91" s="344" t="n"/>
      <c r="V91" s="344" t="n"/>
      <c r="W91" s="344" t="n"/>
    </row>
    <row r="92" customFormat="1" s="354">
      <c r="A92" s="345" t="n"/>
      <c r="B92" s="581" t="n"/>
      <c r="C92" s="582" t="n"/>
      <c r="D92" s="583" t="n"/>
      <c r="E92" s="584" t="n"/>
      <c r="F92" s="350" t="n"/>
      <c r="G92" s="350" t="n"/>
      <c r="H92" s="350" t="n"/>
      <c r="I92" s="350" t="n"/>
      <c r="J92" s="350" t="n"/>
      <c r="K92" s="351" t="n"/>
      <c r="L92" s="350" t="n"/>
      <c r="M92" s="350" t="n"/>
      <c r="N92" s="344" t="n"/>
      <c r="O92" s="344" t="n"/>
      <c r="P92" s="344" t="n"/>
      <c r="Q92" s="344" t="n"/>
      <c r="R92" s="344" t="n"/>
      <c r="S92" s="344" t="n"/>
      <c r="T92" s="344" t="n"/>
      <c r="U92" s="344" t="n"/>
      <c r="V92" s="344" t="n"/>
      <c r="W92" s="344" t="n"/>
    </row>
    <row r="93" customFormat="1" s="354">
      <c r="A93" s="345" t="n"/>
      <c r="B93" s="581" t="n"/>
      <c r="C93" s="582" t="n"/>
      <c r="D93" s="583" t="n"/>
      <c r="E93" s="584" t="n"/>
      <c r="F93" s="350" t="n"/>
      <c r="G93" s="350" t="n"/>
      <c r="H93" s="350" t="n"/>
      <c r="I93" s="350" t="n"/>
      <c r="J93" s="350" t="n"/>
      <c r="K93" s="351" t="n"/>
      <c r="L93" s="355" t="inlineStr">
        <is>
          <t>2841000195468_【ＱＣＳ】極み焼き玉子太巻き２.xlsx</t>
        </is>
      </c>
      <c r="M93" s="350" t="n"/>
      <c r="N93" s="344" t="n"/>
      <c r="O93" s="344" t="n"/>
      <c r="P93" s="344" t="n"/>
      <c r="Q93" s="344" t="n"/>
      <c r="R93" s="344" t="n"/>
      <c r="S93" s="344" t="n"/>
      <c r="T93" s="344" t="n"/>
      <c r="U93" s="344" t="n"/>
      <c r="V93" s="344" t="n"/>
      <c r="W93" s="344" t="n"/>
    </row>
    <row r="94" customFormat="1" s="354">
      <c r="A94" s="345" t="n"/>
      <c r="B94" s="581" t="n"/>
      <c r="C94" s="582" t="n"/>
      <c r="D94" s="583" t="n"/>
      <c r="E94" s="584" t="n"/>
      <c r="F94" s="350" t="n"/>
      <c r="G94" s="350" t="n"/>
      <c r="H94" s="350" t="n"/>
      <c r="I94" s="350" t="n"/>
      <c r="J94" s="350" t="n"/>
      <c r="K94" s="351" t="n"/>
      <c r="L94" s="350" t="n"/>
      <c r="M94" s="350" t="n"/>
      <c r="N94" s="344" t="n"/>
      <c r="O94" s="344" t="n"/>
      <c r="P94" s="344" t="n"/>
      <c r="Q94" s="344" t="n"/>
      <c r="R94" s="344" t="n"/>
      <c r="S94" s="344" t="n"/>
      <c r="T94" s="344" t="n"/>
      <c r="U94" s="344" t="n"/>
      <c r="V94" s="344" t="n"/>
      <c r="W94" s="344" t="n"/>
    </row>
    <row r="95" customFormat="1" s="354">
      <c r="A95" s="345" t="n"/>
      <c r="B95" s="581" t="n"/>
      <c r="C95" s="582" t="n"/>
      <c r="D95" s="583" t="n"/>
      <c r="E95" s="584" t="n"/>
      <c r="F95" s="350" t="n"/>
      <c r="G95" s="350" t="n"/>
      <c r="H95" s="350" t="n"/>
      <c r="I95" s="350" t="n"/>
      <c r="J95" s="350" t="n"/>
      <c r="K95" s="351" t="n"/>
      <c r="L95" s="350" t="n"/>
      <c r="M95" s="350" t="n"/>
      <c r="N95" s="344" t="n"/>
      <c r="O95" s="344" t="n"/>
      <c r="P95" s="344" t="n"/>
      <c r="Q95" s="344" t="n"/>
      <c r="R95" s="344" t="n"/>
      <c r="S95" s="344" t="n"/>
      <c r="T95" s="344" t="n"/>
      <c r="U95" s="344" t="n"/>
      <c r="V95" s="344" t="n"/>
      <c r="W95" s="344" t="n"/>
    </row>
    <row r="96" customFormat="1" s="354">
      <c r="A96" s="345" t="n"/>
      <c r="B96" s="581" t="n"/>
      <c r="C96" s="582" t="n"/>
      <c r="D96" s="583" t="n"/>
      <c r="E96" s="584" t="n"/>
      <c r="F96" s="350" t="n"/>
      <c r="G96" s="350" t="n"/>
      <c r="H96" s="350" t="n"/>
      <c r="I96" s="350" t="n"/>
      <c r="J96" s="350" t="n"/>
      <c r="K96" s="351" t="n"/>
      <c r="L96" s="350" t="n"/>
      <c r="M96" s="350" t="n"/>
      <c r="N96" s="344" t="n"/>
      <c r="O96" s="344" t="n"/>
      <c r="P96" s="344" t="n"/>
      <c r="Q96" s="344" t="n"/>
      <c r="R96" s="344" t="n"/>
      <c r="S96" s="344" t="n"/>
      <c r="T96" s="344" t="n"/>
      <c r="U96" s="344" t="n"/>
      <c r="V96" s="344" t="n"/>
      <c r="W96" s="344" t="n"/>
    </row>
    <row r="97" customFormat="1" s="354">
      <c r="A97" s="345" t="n"/>
      <c r="B97" s="581" t="n"/>
      <c r="C97" s="582" t="n"/>
      <c r="D97" s="583" t="n"/>
      <c r="E97" s="584" t="n"/>
      <c r="F97" s="350" t="n"/>
      <c r="G97" s="350" t="n"/>
      <c r="H97" s="350" t="n"/>
      <c r="I97" s="350" t="n"/>
      <c r="J97" s="350" t="n"/>
      <c r="K97" s="351" t="n"/>
      <c r="L97" s="350" t="n"/>
      <c r="M97" s="350" t="n"/>
      <c r="N97" s="344" t="n"/>
      <c r="O97" s="344" t="n"/>
      <c r="P97" s="344" t="n"/>
      <c r="Q97" s="344" t="n"/>
      <c r="R97" s="344" t="n"/>
      <c r="S97" s="344" t="n"/>
      <c r="T97" s="344" t="n"/>
      <c r="U97" s="344" t="n"/>
      <c r="V97" s="344" t="n"/>
      <c r="W97" s="344" t="n"/>
    </row>
    <row r="98" customFormat="1" s="354">
      <c r="A98" s="345" t="n"/>
      <c r="B98" s="581" t="n"/>
      <c r="C98" s="582" t="n"/>
      <c r="D98" s="583" t="n"/>
      <c r="E98" s="584" t="n"/>
      <c r="F98" s="350" t="n"/>
      <c r="G98" s="350" t="n"/>
      <c r="H98" s="350" t="n"/>
      <c r="I98" s="350" t="n"/>
      <c r="J98" s="350" t="n"/>
      <c r="K98" s="351" t="n"/>
      <c r="L98" s="350" t="n"/>
      <c r="M98" s="350" t="n"/>
      <c r="N98" s="344" t="n"/>
      <c r="O98" s="344" t="n"/>
      <c r="P98" s="344" t="n"/>
      <c r="Q98" s="344" t="n"/>
      <c r="R98" s="344" t="n"/>
      <c r="S98" s="344" t="n"/>
      <c r="T98" s="344" t="n"/>
      <c r="U98" s="344" t="n"/>
      <c r="V98" s="344" t="n"/>
      <c r="W98" s="344" t="n"/>
    </row>
    <row r="99" customFormat="1" s="354">
      <c r="A99" s="345" t="n"/>
      <c r="B99" s="581" t="n"/>
      <c r="C99" s="582" t="n"/>
      <c r="D99" s="583" t="n"/>
      <c r="E99" s="584" t="n"/>
      <c r="F99" s="350" t="n"/>
      <c r="G99" s="350" t="n"/>
      <c r="H99" s="350" t="n"/>
      <c r="I99" s="350" t="n"/>
      <c r="J99" s="350" t="n"/>
      <c r="K99" s="351" t="n"/>
      <c r="L99" s="355" t="inlineStr">
        <is>
          <t>2841000175316_【ＱＣＳ】ちくわ磯部揚げ衣.xlsx</t>
        </is>
      </c>
      <c r="M99" s="350" t="n"/>
      <c r="N99" s="344" t="n"/>
      <c r="O99" s="344" t="n"/>
      <c r="P99" s="344" t="n"/>
      <c r="Q99" s="344" t="n"/>
      <c r="R99" s="344" t="n"/>
      <c r="S99" s="344" t="n"/>
      <c r="T99" s="344" t="n"/>
      <c r="U99" s="344" t="n"/>
      <c r="V99" s="344" t="n"/>
      <c r="W99" s="344" t="n"/>
    </row>
    <row r="100" customFormat="1" s="354">
      <c r="A100" s="345" t="n"/>
      <c r="B100" s="581" t="n"/>
      <c r="C100" s="582" t="n"/>
      <c r="D100" s="583" t="n"/>
      <c r="E100" s="584" t="n"/>
      <c r="F100" s="350" t="n"/>
      <c r="G100" s="350" t="n"/>
      <c r="H100" s="350" t="n"/>
      <c r="I100" s="350" t="n"/>
      <c r="J100" s="350" t="n"/>
      <c r="K100" s="351" t="n"/>
      <c r="L100" s="350" t="n"/>
      <c r="M100" s="350" t="n"/>
      <c r="N100" s="344" t="n"/>
      <c r="O100" s="344" t="n"/>
      <c r="P100" s="344" t="n"/>
      <c r="Q100" s="344" t="n"/>
      <c r="R100" s="344" t="n"/>
      <c r="S100" s="344" t="n"/>
      <c r="T100" s="344" t="n"/>
      <c r="U100" s="344" t="n"/>
      <c r="V100" s="344" t="n"/>
      <c r="W100" s="344" t="n"/>
    </row>
    <row r="101" customFormat="1" s="354">
      <c r="A101" s="345" t="n"/>
      <c r="B101" s="581" t="n"/>
      <c r="C101" s="582" t="n"/>
      <c r="D101" s="583" t="n"/>
      <c r="E101" s="588" t="n"/>
      <c r="F101" s="350" t="n"/>
      <c r="G101" s="350" t="n"/>
      <c r="H101" s="350" t="n"/>
      <c r="I101" s="350" t="n"/>
      <c r="J101" s="350" t="n"/>
      <c r="K101" s="351" t="n"/>
      <c r="L101" s="350" t="n"/>
      <c r="M101" s="350" t="n"/>
      <c r="N101" s="344" t="n"/>
      <c r="O101" s="344" t="n"/>
      <c r="P101" s="344" t="n"/>
      <c r="Q101" s="344" t="n"/>
      <c r="R101" s="344" t="n"/>
      <c r="S101" s="344" t="n"/>
      <c r="T101" s="344" t="n"/>
      <c r="U101" s="344" t="n"/>
      <c r="V101" s="344" t="n"/>
      <c r="W101" s="344" t="n"/>
    </row>
    <row r="102" customFormat="1" s="354">
      <c r="A102" s="345" t="n"/>
      <c r="B102" s="581" t="n"/>
      <c r="C102" s="582" t="n"/>
      <c r="D102" s="583" t="n"/>
      <c r="E102" s="584" t="n"/>
      <c r="F102" s="350" t="n"/>
      <c r="G102" s="350" t="n"/>
      <c r="H102" s="350" t="n"/>
      <c r="I102" s="350" t="n"/>
      <c r="J102" s="350" t="n"/>
      <c r="K102" s="351" t="n"/>
      <c r="L102" s="350" t="n"/>
      <c r="M102" s="350" t="n"/>
      <c r="N102" s="344" t="n"/>
      <c r="O102" s="344" t="n"/>
      <c r="P102" s="344" t="n"/>
      <c r="Q102" s="344" t="n"/>
      <c r="R102" s="344" t="n"/>
      <c r="S102" s="344" t="n"/>
      <c r="T102" s="344" t="n"/>
      <c r="U102" s="344" t="n"/>
      <c r="V102" s="344" t="n"/>
      <c r="W102" s="344" t="n"/>
    </row>
    <row r="103" customFormat="1" s="354">
      <c r="A103" s="345" t="n"/>
      <c r="B103" s="581" t="n"/>
      <c r="C103" s="582" t="n"/>
      <c r="D103" s="583" t="n"/>
      <c r="E103" s="584" t="n"/>
      <c r="F103" s="350" t="n"/>
      <c r="G103" s="350" t="n"/>
      <c r="H103" s="350" t="n"/>
      <c r="I103" s="350" t="n"/>
      <c r="J103" s="350" t="n"/>
      <c r="K103" s="351" t="n"/>
      <c r="L103" s="350" t="n"/>
      <c r="M103" s="350" t="n"/>
      <c r="N103" s="344" t="n"/>
      <c r="O103" s="344" t="n"/>
      <c r="P103" s="344" t="n"/>
      <c r="Q103" s="344" t="n"/>
      <c r="R103" s="344" t="n"/>
      <c r="S103" s="344" t="n"/>
      <c r="T103" s="344" t="n"/>
      <c r="U103" s="344" t="n"/>
      <c r="V103" s="344" t="n"/>
      <c r="W103" s="344" t="n"/>
    </row>
    <row r="104" customFormat="1" s="354">
      <c r="A104" s="345" t="n"/>
      <c r="B104" s="581" t="n"/>
      <c r="C104" s="582" t="n"/>
      <c r="D104" s="583" t="n"/>
      <c r="E104" s="584" t="n"/>
      <c r="F104" s="350" t="n"/>
      <c r="G104" s="350" t="n"/>
      <c r="H104" s="350" t="n"/>
      <c r="I104" s="350" t="n"/>
      <c r="J104" s="350" t="n"/>
      <c r="K104" s="351" t="n"/>
      <c r="L104" s="350" t="n"/>
      <c r="M104" s="350" t="n"/>
      <c r="N104" s="344" t="n"/>
      <c r="O104" s="344" t="n"/>
      <c r="P104" s="344" t="n"/>
      <c r="Q104" s="344" t="n"/>
      <c r="R104" s="344" t="n"/>
      <c r="S104" s="344" t="n"/>
      <c r="T104" s="344" t="n"/>
      <c r="U104" s="344" t="n"/>
      <c r="V104" s="344" t="n"/>
      <c r="W104" s="344" t="n"/>
    </row>
    <row r="105" customFormat="1" s="354">
      <c r="A105" s="345" t="n"/>
      <c r="B105" s="581" t="n"/>
      <c r="C105" s="582" t="n"/>
      <c r="D105" s="583" t="n"/>
      <c r="E105" s="584" t="n"/>
      <c r="F105" s="350" t="n"/>
      <c r="G105" s="350" t="n"/>
      <c r="H105" s="350" t="n"/>
      <c r="I105" s="350" t="n"/>
      <c r="J105" s="350" t="n"/>
      <c r="K105" s="351" t="n"/>
      <c r="L105" s="350" t="n"/>
      <c r="M105" s="350" t="n"/>
      <c r="N105" s="344" t="n"/>
      <c r="O105" s="344" t="n"/>
      <c r="P105" s="344" t="n"/>
      <c r="Q105" s="344" t="n"/>
      <c r="R105" s="344" t="n"/>
      <c r="S105" s="344" t="n"/>
      <c r="T105" s="344" t="n"/>
      <c r="U105" s="344" t="n"/>
      <c r="V105" s="344" t="n"/>
      <c r="W105" s="344" t="n"/>
    </row>
    <row r="106" customFormat="1" s="354">
      <c r="A106" s="345" t="n"/>
      <c r="B106" s="581" t="n"/>
      <c r="C106" s="582" t="n"/>
      <c r="D106" s="583" t="n"/>
      <c r="E106" s="584" t="n"/>
      <c r="F106" s="350" t="n"/>
      <c r="G106" s="350" t="n"/>
      <c r="H106" s="350" t="n"/>
      <c r="I106" s="350" t="n"/>
      <c r="J106" s="350" t="n"/>
      <c r="K106" s="351" t="n"/>
      <c r="L106" s="350" t="n"/>
      <c r="M106" s="350" t="n"/>
      <c r="N106" s="344" t="n"/>
      <c r="O106" s="344" t="n"/>
      <c r="P106" s="344" t="n"/>
      <c r="Q106" s="344" t="n"/>
      <c r="R106" s="344" t="n"/>
      <c r="S106" s="344" t="n"/>
      <c r="T106" s="344" t="n"/>
      <c r="U106" s="344" t="n"/>
      <c r="V106" s="344" t="n"/>
      <c r="W106" s="344" t="n"/>
    </row>
    <row r="107" customFormat="1" s="354">
      <c r="A107" s="345" t="n"/>
      <c r="B107" s="581" t="n"/>
      <c r="C107" s="582" t="n"/>
      <c r="D107" s="583" t="n"/>
      <c r="E107" s="584" t="n"/>
      <c r="F107" s="350" t="n"/>
      <c r="G107" s="350" t="n"/>
      <c r="H107" s="350" t="n"/>
      <c r="I107" s="350" t="n"/>
      <c r="J107" s="350" t="n"/>
      <c r="K107" s="351" t="n"/>
      <c r="L107" s="350" t="n"/>
      <c r="M107" s="350" t="n"/>
      <c r="N107" s="344" t="n"/>
      <c r="O107" s="344" t="n"/>
      <c r="P107" s="344" t="n"/>
      <c r="Q107" s="344" t="n"/>
      <c r="R107" s="344" t="n"/>
      <c r="S107" s="344" t="n"/>
      <c r="T107" s="344" t="n"/>
      <c r="U107" s="344" t="n"/>
      <c r="V107" s="344" t="n"/>
      <c r="W107" s="344" t="n"/>
    </row>
    <row r="108" customFormat="1" s="354">
      <c r="A108" s="345" t="n"/>
      <c r="B108" s="581" t="n"/>
      <c r="C108" s="582" t="n"/>
      <c r="D108" s="583" t="n"/>
      <c r="E108" s="584" t="n"/>
      <c r="F108" s="350" t="n"/>
      <c r="G108" s="350" t="n"/>
      <c r="H108" s="350" t="n"/>
      <c r="I108" s="350" t="n"/>
      <c r="J108" s="350" t="n"/>
      <c r="K108" s="351" t="n"/>
      <c r="L108" s="355" t="inlineStr">
        <is>
          <t>2841000195468_【ＱＣＳ】極み焼き玉子太巻き２.xlsx</t>
        </is>
      </c>
      <c r="M108" s="350" t="n"/>
      <c r="N108" s="344" t="n"/>
      <c r="O108" s="344" t="n"/>
      <c r="P108" s="344" t="n"/>
      <c r="Q108" s="344" t="n"/>
      <c r="R108" s="344" t="n"/>
      <c r="S108" s="344" t="n"/>
      <c r="T108" s="344" t="n"/>
      <c r="U108" s="344" t="n"/>
      <c r="V108" s="344" t="n"/>
      <c r="W108" s="344" t="n"/>
    </row>
    <row r="109" customFormat="1" s="354">
      <c r="A109" s="345" t="n"/>
      <c r="B109" s="581" t="n"/>
      <c r="C109" s="582" t="n"/>
      <c r="D109" s="583" t="n"/>
      <c r="E109" s="584" t="n"/>
      <c r="F109" s="350" t="n"/>
      <c r="G109" s="350" t="n"/>
      <c r="H109" s="350" t="n"/>
      <c r="I109" s="350" t="n"/>
      <c r="J109" s="350" t="n"/>
      <c r="K109" s="351" t="n"/>
      <c r="L109" s="350" t="n"/>
      <c r="M109" s="350" t="n"/>
      <c r="N109" s="344" t="n"/>
      <c r="O109" s="344" t="n"/>
      <c r="P109" s="344" t="n"/>
      <c r="Q109" s="344" t="n"/>
      <c r="R109" s="344" t="n"/>
      <c r="S109" s="344" t="n"/>
      <c r="T109" s="344" t="n"/>
      <c r="U109" s="344" t="n"/>
      <c r="V109" s="344" t="n"/>
      <c r="W109" s="344" t="n"/>
    </row>
    <row r="110" customFormat="1" s="354">
      <c r="A110" s="345" t="n"/>
      <c r="B110" s="581" t="n"/>
      <c r="C110" s="582" t="n"/>
      <c r="D110" s="583" t="n"/>
      <c r="E110" s="584" t="n"/>
      <c r="F110" s="350" t="n"/>
      <c r="G110" s="350" t="n"/>
      <c r="H110" s="350" t="n"/>
      <c r="I110" s="350" t="n"/>
      <c r="J110" s="350" t="n"/>
      <c r="K110" s="351" t="n"/>
      <c r="L110" s="350" t="n"/>
      <c r="M110" s="350" t="n"/>
      <c r="N110" s="344" t="n"/>
      <c r="O110" s="344" t="n"/>
      <c r="P110" s="344" t="n"/>
      <c r="Q110" s="344" t="n"/>
      <c r="R110" s="344" t="n"/>
      <c r="S110" s="344" t="n"/>
      <c r="T110" s="344" t="n"/>
      <c r="U110" s="344" t="n"/>
      <c r="V110" s="344" t="n"/>
      <c r="W110" s="344" t="n"/>
    </row>
    <row r="111" customFormat="1" s="354">
      <c r="A111" s="345" t="n"/>
      <c r="B111" s="581" t="n"/>
      <c r="C111" s="582" t="n"/>
      <c r="D111" s="583" t="n"/>
      <c r="E111" s="584" t="n"/>
      <c r="F111" s="350" t="n"/>
      <c r="G111" s="350" t="n"/>
      <c r="H111" s="350" t="n"/>
      <c r="I111" s="350" t="n"/>
      <c r="J111" s="350" t="n"/>
      <c r="K111" s="351" t="n"/>
      <c r="L111" s="350" t="n"/>
      <c r="M111" s="350" t="n"/>
      <c r="N111" s="344" t="n"/>
      <c r="O111" s="344" t="n"/>
      <c r="P111" s="344" t="n"/>
      <c r="Q111" s="344" t="n"/>
      <c r="R111" s="344" t="n"/>
      <c r="S111" s="344" t="n"/>
      <c r="T111" s="344" t="n"/>
      <c r="U111" s="344" t="n"/>
      <c r="V111" s="344" t="n"/>
      <c r="W111" s="344" t="n"/>
    </row>
    <row r="112" customFormat="1" s="354">
      <c r="A112" s="345" t="n"/>
      <c r="B112" s="581" t="n"/>
      <c r="C112" s="582" t="n"/>
      <c r="D112" s="583" t="n"/>
      <c r="E112" s="584" t="n"/>
      <c r="F112" s="350" t="n"/>
      <c r="G112" s="350" t="n"/>
      <c r="H112" s="350" t="n"/>
      <c r="I112" s="350" t="n"/>
      <c r="J112" s="350" t="n"/>
      <c r="K112" s="351" t="n"/>
      <c r="L112" s="350" t="n"/>
      <c r="M112" s="350" t="n"/>
      <c r="N112" s="344" t="n"/>
      <c r="O112" s="344" t="n"/>
      <c r="P112" s="344" t="n"/>
      <c r="Q112" s="344" t="n"/>
      <c r="R112" s="344" t="n"/>
      <c r="S112" s="344" t="n"/>
      <c r="T112" s="344" t="n"/>
      <c r="U112" s="344" t="n"/>
      <c r="V112" s="344" t="n"/>
      <c r="W112" s="344" t="n"/>
    </row>
    <row r="113" customFormat="1" s="354">
      <c r="A113" s="345" t="n"/>
      <c r="B113" s="581" t="n"/>
      <c r="C113" s="582" t="n"/>
      <c r="D113" s="583" t="n"/>
      <c r="E113" s="584" t="n"/>
      <c r="F113" s="350" t="n"/>
      <c r="G113" s="350" t="n"/>
      <c r="H113" s="350" t="n"/>
      <c r="I113" s="350" t="n"/>
      <c r="J113" s="350" t="n"/>
      <c r="K113" s="351" t="n"/>
      <c r="L113" s="350" t="n"/>
      <c r="M113" s="350" t="n"/>
      <c r="N113" s="344" t="n"/>
      <c r="O113" s="344" t="n"/>
      <c r="P113" s="344" t="n"/>
      <c r="Q113" s="344" t="n"/>
      <c r="R113" s="344" t="n"/>
      <c r="S113" s="344" t="n"/>
      <c r="T113" s="344" t="n"/>
      <c r="U113" s="344" t="n"/>
      <c r="V113" s="344" t="n"/>
      <c r="W113" s="344" t="n"/>
    </row>
    <row r="114" customFormat="1" s="354">
      <c r="A114" s="345" t="n"/>
      <c r="B114" s="581" t="n"/>
      <c r="C114" s="582" t="n"/>
      <c r="D114" s="583" t="n"/>
      <c r="E114" s="584" t="n"/>
      <c r="F114" s="350" t="n"/>
      <c r="G114" s="350" t="n"/>
      <c r="H114" s="350" t="n"/>
      <c r="I114" s="350" t="n"/>
      <c r="J114" s="350" t="n"/>
      <c r="K114" s="351" t="n"/>
      <c r="L114" s="350" t="n"/>
      <c r="M114" s="350" t="n"/>
      <c r="N114" s="344" t="n"/>
      <c r="O114" s="344" t="n"/>
      <c r="P114" s="344" t="n"/>
      <c r="Q114" s="344" t="n"/>
      <c r="R114" s="344" t="n"/>
      <c r="S114" s="344" t="n"/>
      <c r="T114" s="344" t="n"/>
      <c r="U114" s="344" t="n"/>
      <c r="V114" s="344" t="n"/>
      <c r="W114" s="344" t="n"/>
    </row>
    <row r="115" customFormat="1" s="354">
      <c r="A115" s="345" t="n"/>
      <c r="B115" s="585" t="n"/>
      <c r="C115" s="582" t="n"/>
      <c r="D115" s="586" t="n"/>
      <c r="E115" s="584" t="n"/>
      <c r="F115" s="350" t="n"/>
      <c r="G115" s="350" t="n"/>
      <c r="H115" s="350" t="n"/>
      <c r="I115" s="350" t="n"/>
      <c r="J115" s="350" t="n"/>
      <c r="K115" s="351" t="n"/>
      <c r="L115" s="350" t="n"/>
      <c r="M115" s="350" t="n"/>
      <c r="N115" s="344" t="n"/>
      <c r="O115" s="344" t="n"/>
      <c r="P115" s="344" t="n"/>
      <c r="Q115" s="344" t="n"/>
      <c r="R115" s="344" t="n"/>
      <c r="S115" s="344" t="n"/>
      <c r="T115" s="344" t="n"/>
      <c r="U115" s="344" t="n"/>
      <c r="V115" s="344" t="n"/>
      <c r="W115" s="344" t="n"/>
    </row>
    <row r="116" customFormat="1" s="354">
      <c r="A116" s="345" t="n"/>
      <c r="B116" s="585" t="n"/>
      <c r="C116" s="582" t="n"/>
      <c r="D116" s="586" t="n"/>
      <c r="E116" s="584" t="n"/>
      <c r="F116" s="350" t="n"/>
      <c r="G116" s="350" t="n"/>
      <c r="H116" s="350" t="n"/>
      <c r="I116" s="350" t="n"/>
      <c r="J116" s="350" t="n"/>
      <c r="K116" s="351" t="n"/>
      <c r="L116" s="350" t="n"/>
      <c r="M116" s="350" t="n"/>
      <c r="N116" s="344" t="n"/>
      <c r="O116" s="344" t="n"/>
      <c r="P116" s="344" t="n"/>
      <c r="Q116" s="344" t="n"/>
      <c r="R116" s="344" t="n"/>
      <c r="S116" s="344" t="n"/>
      <c r="T116" s="344" t="n"/>
      <c r="U116" s="344" t="n"/>
      <c r="V116" s="344" t="n"/>
      <c r="W116" s="344" t="n"/>
    </row>
    <row r="117" customFormat="1" s="354">
      <c r="A117" s="345" t="n"/>
      <c r="B117" s="585" t="n"/>
      <c r="C117" s="582" t="n"/>
      <c r="D117" s="586" t="n"/>
      <c r="E117" s="584" t="n"/>
      <c r="F117" s="350" t="n"/>
      <c r="G117" s="350" t="n"/>
      <c r="H117" s="350" t="n"/>
      <c r="I117" s="350" t="n"/>
      <c r="J117" s="350" t="n"/>
      <c r="K117" s="351" t="n"/>
      <c r="L117" s="350" t="n"/>
      <c r="M117" s="350" t="n"/>
      <c r="N117" s="344" t="n"/>
      <c r="O117" s="344" t="n"/>
      <c r="P117" s="344" t="n"/>
      <c r="Q117" s="344" t="n"/>
      <c r="R117" s="344" t="n"/>
      <c r="S117" s="344" t="n"/>
      <c r="T117" s="344" t="n"/>
      <c r="U117" s="344" t="n"/>
      <c r="V117" s="344" t="n"/>
      <c r="W117" s="344" t="n"/>
    </row>
    <row r="118" customFormat="1" s="354">
      <c r="A118" s="345" t="n"/>
      <c r="B118" s="585" t="n"/>
      <c r="C118" s="582" t="n"/>
      <c r="D118" s="586" t="n"/>
      <c r="E118" s="584" t="n"/>
      <c r="F118" s="350" t="n"/>
      <c r="G118" s="350" t="n"/>
      <c r="H118" s="350" t="n"/>
      <c r="I118" s="350" t="n"/>
      <c r="J118" s="350" t="n"/>
      <c r="K118" s="351" t="n"/>
      <c r="L118" s="355" t="inlineStr">
        <is>
          <t>2841000195468_【ＱＣＳ】極み焼き玉子太巻き２.xlsx</t>
        </is>
      </c>
      <c r="M118" s="350" t="n"/>
      <c r="N118" s="344" t="n"/>
      <c r="O118" s="344" t="n"/>
      <c r="P118" s="344" t="n"/>
      <c r="Q118" s="344" t="n"/>
      <c r="R118" s="344" t="n"/>
      <c r="S118" s="344" t="n"/>
      <c r="T118" s="344" t="n"/>
      <c r="U118" s="344" t="n"/>
      <c r="V118" s="344" t="n"/>
      <c r="W118" s="344" t="n"/>
    </row>
    <row r="119" customFormat="1" s="354">
      <c r="A119" s="345" t="n"/>
      <c r="B119" s="585" t="n"/>
      <c r="C119" s="582" t="n"/>
      <c r="D119" s="586" t="n"/>
      <c r="E119" s="584" t="n"/>
      <c r="F119" s="350" t="n"/>
      <c r="G119" s="350" t="n"/>
      <c r="H119" s="350" t="n"/>
      <c r="I119" s="350" t="n"/>
      <c r="J119" s="350" t="n"/>
      <c r="K119" s="351" t="n"/>
      <c r="L119" s="350" t="n"/>
      <c r="M119" s="350" t="n"/>
      <c r="N119" s="344" t="n"/>
      <c r="O119" s="344" t="n"/>
      <c r="P119" s="344" t="n"/>
      <c r="Q119" s="344" t="n"/>
      <c r="R119" s="344" t="n"/>
      <c r="S119" s="344" t="n"/>
      <c r="T119" s="344" t="n"/>
      <c r="U119" s="344" t="n"/>
      <c r="V119" s="344" t="n"/>
      <c r="W119" s="344" t="n"/>
    </row>
    <row r="120" customFormat="1" s="354">
      <c r="A120" s="345" t="n"/>
      <c r="B120" s="585" t="n"/>
      <c r="C120" s="582" t="n"/>
      <c r="D120" s="586" t="n"/>
      <c r="E120" s="584" t="n"/>
      <c r="F120" s="350" t="n"/>
      <c r="G120" s="350" t="n"/>
      <c r="H120" s="350" t="n"/>
      <c r="I120" s="350" t="n"/>
      <c r="J120" s="350" t="n"/>
      <c r="K120" s="351" t="n"/>
      <c r="L120" s="350" t="n"/>
      <c r="M120" s="350" t="n"/>
      <c r="N120" s="344" t="n"/>
      <c r="O120" s="344" t="n"/>
      <c r="P120" s="344" t="n"/>
      <c r="Q120" s="344" t="n"/>
      <c r="R120" s="344" t="n"/>
      <c r="S120" s="344" t="n"/>
      <c r="T120" s="344" t="n"/>
      <c r="U120" s="344" t="n"/>
      <c r="V120" s="344" t="n"/>
      <c r="W120" s="344" t="n"/>
    </row>
    <row r="121" customFormat="1" s="354">
      <c r="A121" s="345" t="n"/>
      <c r="B121" s="585" t="n"/>
      <c r="C121" s="582" t="n"/>
      <c r="D121" s="586" t="n"/>
      <c r="E121" s="584" t="n"/>
      <c r="F121" s="350" t="n"/>
      <c r="G121" s="350" t="n"/>
      <c r="H121" s="350" t="n"/>
      <c r="I121" s="350" t="n"/>
      <c r="J121" s="350" t="n"/>
      <c r="K121" s="351" t="n"/>
      <c r="L121" s="350" t="n"/>
      <c r="M121" s="350" t="n"/>
      <c r="N121" s="344" t="n"/>
      <c r="O121" s="344" t="n"/>
      <c r="P121" s="344" t="n"/>
      <c r="Q121" s="344" t="n"/>
      <c r="R121" s="344" t="n"/>
      <c r="S121" s="344" t="n"/>
      <c r="T121" s="344" t="n"/>
      <c r="U121" s="344" t="n"/>
      <c r="V121" s="344" t="n"/>
      <c r="W121" s="344" t="n"/>
    </row>
    <row r="122" customFormat="1" s="354">
      <c r="A122" s="345" t="n"/>
      <c r="B122" s="582" t="n"/>
      <c r="C122" s="582" t="n"/>
      <c r="D122" s="586" t="n"/>
      <c r="E122" s="584" t="n"/>
      <c r="F122" s="350" t="n"/>
      <c r="G122" s="350" t="n"/>
      <c r="H122" s="350" t="n"/>
      <c r="I122" s="350" t="n"/>
      <c r="J122" s="350" t="n"/>
      <c r="K122" s="351" t="n"/>
      <c r="L122" s="350" t="n"/>
      <c r="M122" s="350" t="n"/>
      <c r="N122" s="344" t="n"/>
      <c r="O122" s="344" t="n"/>
      <c r="P122" s="344" t="n"/>
      <c r="Q122" s="344" t="n"/>
      <c r="R122" s="344" t="n"/>
      <c r="S122" s="344" t="n"/>
      <c r="T122" s="344" t="n"/>
      <c r="U122" s="344" t="n"/>
      <c r="V122" s="344" t="n"/>
      <c r="W122" s="344" t="n"/>
    </row>
    <row r="123" customFormat="1" s="354">
      <c r="A123" s="345" t="n"/>
      <c r="B123" s="582" t="n"/>
      <c r="C123" s="582" t="n"/>
      <c r="D123" s="586" t="n"/>
      <c r="E123" s="584" t="n"/>
      <c r="F123" s="350" t="n"/>
      <c r="G123" s="350" t="n"/>
      <c r="H123" s="350" t="n"/>
      <c r="I123" s="350" t="n"/>
      <c r="J123" s="350" t="n"/>
      <c r="K123" s="351" t="n"/>
      <c r="L123" s="350" t="n"/>
      <c r="M123" s="350" t="n"/>
      <c r="N123" s="344" t="n"/>
      <c r="O123" s="344" t="n"/>
      <c r="P123" s="344" t="n"/>
      <c r="Q123" s="344" t="n"/>
      <c r="R123" s="344" t="n"/>
      <c r="S123" s="344" t="n"/>
      <c r="T123" s="344" t="n"/>
      <c r="U123" s="344" t="n"/>
      <c r="V123" s="344" t="n"/>
      <c r="W123" s="344" t="n"/>
    </row>
    <row r="124" customFormat="1" s="354">
      <c r="A124" s="345" t="n"/>
      <c r="B124" s="582" t="n"/>
      <c r="C124" s="582" t="n"/>
      <c r="D124" s="586" t="n"/>
      <c r="E124" s="584" t="n"/>
      <c r="F124" s="350" t="n"/>
      <c r="G124" s="350" t="n"/>
      <c r="H124" s="350" t="n"/>
      <c r="I124" s="350" t="n"/>
      <c r="J124" s="350" t="n"/>
      <c r="K124" s="351" t="n"/>
      <c r="L124" s="350" t="n"/>
      <c r="M124" s="350" t="n"/>
      <c r="N124" s="344" t="n"/>
      <c r="O124" s="344" t="n"/>
      <c r="P124" s="344" t="n"/>
      <c r="Q124" s="344" t="n"/>
      <c r="R124" s="344" t="n"/>
      <c r="S124" s="344" t="n"/>
      <c r="T124" s="344" t="n"/>
      <c r="U124" s="344" t="n"/>
      <c r="V124" s="344" t="n"/>
      <c r="W124" s="344" t="n"/>
    </row>
    <row r="125" customFormat="1" s="354">
      <c r="A125" s="345" t="n"/>
      <c r="B125" s="582" t="n"/>
      <c r="C125" s="582" t="n"/>
      <c r="D125" s="586" t="n"/>
      <c r="E125" s="584" t="n"/>
      <c r="F125" s="350" t="n"/>
      <c r="G125" s="350" t="n"/>
      <c r="H125" s="350" t="n"/>
      <c r="I125" s="350" t="n"/>
      <c r="J125" s="350" t="n"/>
      <c r="K125" s="351" t="n"/>
      <c r="L125" s="350" t="n"/>
      <c r="M125" s="350" t="n"/>
      <c r="N125" s="344" t="n"/>
      <c r="O125" s="344" t="n"/>
      <c r="P125" s="344" t="n"/>
      <c r="Q125" s="344" t="n"/>
      <c r="R125" s="344" t="n"/>
      <c r="S125" s="344" t="n"/>
      <c r="T125" s="344" t="n"/>
      <c r="U125" s="344" t="n"/>
      <c r="V125" s="344" t="n"/>
      <c r="W125" s="344" t="n"/>
    </row>
    <row r="126" customFormat="1" s="354">
      <c r="A126" s="345" t="n"/>
      <c r="B126" s="582" t="n"/>
      <c r="C126" s="582" t="n"/>
      <c r="D126" s="586" t="n"/>
      <c r="E126" s="584" t="n"/>
      <c r="F126" s="350" t="n"/>
      <c r="G126" s="350" t="n"/>
      <c r="H126" s="350" t="n"/>
      <c r="I126" s="350" t="n"/>
      <c r="J126" s="350" t="n"/>
      <c r="K126" s="351" t="n"/>
      <c r="L126" s="350" t="n"/>
      <c r="M126" s="350" t="n"/>
      <c r="N126" s="344" t="n"/>
      <c r="O126" s="344" t="n"/>
      <c r="P126" s="344" t="n"/>
      <c r="Q126" s="344" t="n"/>
      <c r="R126" s="344" t="n"/>
      <c r="S126" s="344" t="n"/>
      <c r="T126" s="344" t="n"/>
      <c r="U126" s="344" t="n"/>
      <c r="V126" s="344" t="n"/>
      <c r="W126" s="344" t="n"/>
    </row>
    <row r="127" customFormat="1" s="354">
      <c r="A127" s="345" t="n"/>
      <c r="B127" s="582" t="n"/>
      <c r="C127" s="582" t="n"/>
      <c r="D127" s="586" t="n"/>
      <c r="E127" s="584" t="n"/>
      <c r="F127" s="350" t="n"/>
      <c r="G127" s="350" t="n"/>
      <c r="H127" s="350" t="n"/>
      <c r="I127" s="350" t="n"/>
      <c r="J127" s="350" t="n"/>
      <c r="K127" s="351" t="n"/>
      <c r="L127" s="350" t="n"/>
      <c r="M127" s="350" t="n"/>
      <c r="N127" s="344" t="n"/>
      <c r="O127" s="344" t="n"/>
      <c r="P127" s="344" t="n"/>
      <c r="Q127" s="344" t="n"/>
      <c r="R127" s="344" t="n"/>
      <c r="S127" s="344" t="n"/>
      <c r="T127" s="344" t="n"/>
      <c r="U127" s="344" t="n"/>
      <c r="V127" s="344" t="n"/>
      <c r="W127" s="344" t="n"/>
    </row>
    <row r="128" customFormat="1" s="354">
      <c r="A128" s="345" t="n"/>
      <c r="B128" s="582" t="n"/>
      <c r="C128" s="582" t="n"/>
      <c r="D128" s="586" t="n"/>
      <c r="E128" s="584" t="n"/>
      <c r="F128" s="350" t="n"/>
      <c r="G128" s="350" t="n"/>
      <c r="H128" s="350" t="n"/>
      <c r="I128" s="350" t="n"/>
      <c r="J128" s="350" t="n"/>
      <c r="K128" s="351" t="n"/>
      <c r="L128" s="355" t="inlineStr">
        <is>
          <t>2841000195468_【ＱＣＳ】極み焼き玉子太巻き２.xlsx</t>
        </is>
      </c>
      <c r="M128" s="350" t="n"/>
      <c r="N128" s="344" t="n"/>
      <c r="O128" s="344" t="n"/>
      <c r="P128" s="344" t="n"/>
      <c r="Q128" s="344" t="n"/>
      <c r="R128" s="344" t="n"/>
      <c r="S128" s="344" t="n"/>
      <c r="T128" s="344" t="n"/>
      <c r="U128" s="344" t="n"/>
      <c r="V128" s="344" t="n"/>
      <c r="W128" s="344" t="n"/>
    </row>
    <row r="129" customFormat="1" s="354">
      <c r="A129" s="345" t="n"/>
      <c r="B129" s="582" t="n"/>
      <c r="C129" s="582" t="n"/>
      <c r="D129" s="586" t="n"/>
      <c r="E129" s="584" t="n"/>
      <c r="F129" s="350" t="n"/>
      <c r="G129" s="350" t="n"/>
      <c r="H129" s="350" t="n"/>
      <c r="I129" s="350" t="n"/>
      <c r="J129" s="350" t="n"/>
      <c r="K129" s="351" t="n"/>
      <c r="L129" s="355" t="n"/>
      <c r="M129" s="350" t="n"/>
      <c r="N129" s="344" t="n"/>
      <c r="O129" s="344" t="n"/>
      <c r="P129" s="344" t="n"/>
      <c r="Q129" s="344" t="n"/>
      <c r="R129" s="344" t="n"/>
      <c r="S129" s="344" t="n"/>
      <c r="T129" s="344" t="n"/>
      <c r="U129" s="344" t="n"/>
      <c r="V129" s="344" t="n"/>
      <c r="W129" s="344" t="n"/>
    </row>
    <row r="130" customFormat="1" s="354">
      <c r="A130" s="345" t="n"/>
      <c r="B130" s="582" t="n"/>
      <c r="C130" s="582" t="n"/>
      <c r="D130" s="586" t="n"/>
      <c r="E130" s="584" t="n"/>
      <c r="F130" s="350" t="n"/>
      <c r="G130" s="350" t="n"/>
      <c r="H130" s="350" t="n"/>
      <c r="I130" s="350" t="n"/>
      <c r="J130" s="350" t="n"/>
      <c r="K130" s="351" t="n"/>
      <c r="L130" s="355" t="inlineStr">
        <is>
          <t>2841000177938_【ＱＣＳ】うどん麺.xlsx</t>
        </is>
      </c>
      <c r="M130" s="350" t="n"/>
      <c r="N130" s="344" t="n"/>
      <c r="O130" s="344" t="n"/>
      <c r="P130" s="344" t="n"/>
      <c r="Q130" s="344" t="n"/>
      <c r="R130" s="344" t="n"/>
      <c r="S130" s="344" t="n"/>
      <c r="T130" s="344" t="n"/>
      <c r="U130" s="344" t="n"/>
      <c r="V130" s="344" t="n"/>
      <c r="W130" s="344" t="n"/>
    </row>
    <row r="131" customFormat="1" s="354">
      <c r="A131" s="345" t="n"/>
      <c r="B131" s="582" t="n"/>
      <c r="C131" s="582" t="n"/>
      <c r="D131" s="586" t="n"/>
      <c r="E131" s="584" t="n"/>
      <c r="F131" s="350" t="n"/>
      <c r="G131" s="350" t="n"/>
      <c r="H131" s="350" t="n"/>
      <c r="I131" s="350" t="n"/>
      <c r="J131" s="350" t="n"/>
      <c r="K131" s="351" t="n"/>
      <c r="L131" s="355" t="inlineStr">
        <is>
          <t>2841000177938_【ＱＣＳ】うどん麺.xlsx</t>
        </is>
      </c>
      <c r="M131" s="350" t="n"/>
      <c r="N131" s="344" t="n"/>
      <c r="O131" s="344" t="n"/>
      <c r="P131" s="344" t="n"/>
      <c r="Q131" s="344" t="n"/>
      <c r="R131" s="344" t="n"/>
      <c r="S131" s="344" t="n"/>
      <c r="T131" s="344" t="n"/>
      <c r="U131" s="344" t="n"/>
      <c r="V131" s="344" t="n"/>
      <c r="W131" s="344" t="n"/>
    </row>
    <row r="132" customFormat="1" s="354">
      <c r="A132" s="345" t="n"/>
      <c r="B132" s="582" t="n"/>
      <c r="C132" s="582" t="n"/>
      <c r="D132" s="586" t="n"/>
      <c r="E132" s="584" t="n"/>
      <c r="F132" s="350" t="n"/>
      <c r="G132" s="350" t="n"/>
      <c r="H132" s="350" t="n"/>
      <c r="I132" s="350" t="n"/>
      <c r="J132" s="350" t="n"/>
      <c r="K132" s="351" t="n"/>
      <c r="L132" s="355" t="inlineStr">
        <is>
          <t>2841000174418_【ＱＣＳ】殺菌青ネギ（次亜使用）.xlsx</t>
        </is>
      </c>
      <c r="M132" s="350" t="n"/>
      <c r="N132" s="344" t="n"/>
      <c r="O132" s="344" t="n"/>
      <c r="P132" s="344" t="n"/>
      <c r="Q132" s="344" t="n"/>
      <c r="R132" s="344" t="n"/>
      <c r="S132" s="344" t="n"/>
      <c r="T132" s="344" t="n"/>
      <c r="U132" s="344" t="n"/>
      <c r="V132" s="344" t="n"/>
      <c r="W132" s="344" t="n"/>
    </row>
    <row r="133" customFormat="1" s="354">
      <c r="A133" s="345" t="n"/>
      <c r="B133" s="582" t="n"/>
      <c r="C133" s="582" t="n"/>
      <c r="D133" s="586" t="n"/>
      <c r="E133" s="584" t="n"/>
      <c r="F133" s="350" t="n"/>
      <c r="G133" s="350" t="n"/>
      <c r="H133" s="350" t="n"/>
      <c r="I133" s="350" t="n"/>
      <c r="J133" s="350" t="n"/>
      <c r="K133" s="351" t="n"/>
      <c r="L133" s="355" t="inlineStr">
        <is>
          <t>2841000174418_【ＱＣＳ】殺菌青ネギ（次亜使用）.xlsx</t>
        </is>
      </c>
      <c r="M133" s="350" t="n"/>
      <c r="N133" s="344" t="n"/>
      <c r="O133" s="344" t="n"/>
      <c r="P133" s="344" t="n"/>
      <c r="Q133" s="344" t="n"/>
      <c r="R133" s="344" t="n"/>
      <c r="S133" s="344" t="n"/>
      <c r="T133" s="344" t="n"/>
      <c r="U133" s="344" t="n"/>
      <c r="V133" s="344" t="n"/>
      <c r="W133" s="344" t="n"/>
    </row>
    <row r="134" customFormat="1" s="354">
      <c r="A134" s="345" t="n"/>
      <c r="B134" s="582" t="n"/>
      <c r="C134" s="582" t="n"/>
      <c r="D134" s="586" t="n"/>
      <c r="E134" s="584" t="n"/>
      <c r="F134" s="350" t="n"/>
      <c r="G134" s="350" t="n"/>
      <c r="H134" s="350" t="n"/>
      <c r="I134" s="350" t="n"/>
      <c r="J134" s="350" t="n"/>
      <c r="K134" s="351" t="n"/>
      <c r="L134" s="355" t="inlineStr">
        <is>
          <t>2841000174418_【ＱＣＳ】殺菌青ネギ（次亜使用）.xlsx</t>
        </is>
      </c>
      <c r="M134" s="350" t="n"/>
      <c r="N134" s="344" t="n"/>
      <c r="O134" s="344" t="n"/>
      <c r="P134" s="344" t="n"/>
      <c r="Q134" s="344" t="n"/>
      <c r="R134" s="344" t="n"/>
      <c r="S134" s="344" t="n"/>
      <c r="T134" s="344" t="n"/>
      <c r="U134" s="344" t="n"/>
      <c r="V134" s="344" t="n"/>
      <c r="W134" s="344" t="n"/>
    </row>
    <row r="135" customFormat="1" s="354">
      <c r="A135" s="345" t="n"/>
      <c r="B135" s="582" t="n"/>
      <c r="C135" s="582" t="n"/>
      <c r="D135" s="586" t="n"/>
      <c r="E135" s="584" t="n"/>
      <c r="F135" s="350" t="n"/>
      <c r="G135" s="350" t="n"/>
      <c r="H135" s="350" t="n"/>
      <c r="I135" s="350" t="n"/>
      <c r="J135" s="350" t="n"/>
      <c r="K135" s="351" t="n"/>
      <c r="L135" s="355" t="inlineStr">
        <is>
          <t>2841000174418_【ＱＣＳ】殺菌青ネギ（次亜使用）.xlsx</t>
        </is>
      </c>
      <c r="M135" s="350" t="n"/>
      <c r="N135" s="344" t="n"/>
      <c r="O135" s="344" t="n"/>
      <c r="P135" s="344" t="n"/>
      <c r="Q135" s="344" t="n"/>
      <c r="R135" s="344" t="n"/>
      <c r="S135" s="344" t="n"/>
      <c r="T135" s="344" t="n"/>
      <c r="U135" s="344" t="n"/>
      <c r="V135" s="344" t="n"/>
      <c r="W135" s="344" t="n"/>
    </row>
    <row r="136" customFormat="1" s="354">
      <c r="A136" s="345" t="n"/>
      <c r="B136" s="585" t="n"/>
      <c r="C136" s="582" t="n"/>
      <c r="D136" s="586" t="n"/>
      <c r="E136" s="584" t="n"/>
      <c r="F136" s="350" t="n"/>
      <c r="G136" s="350" t="n"/>
      <c r="H136" s="350" t="n"/>
      <c r="I136" s="350" t="n"/>
      <c r="J136" s="350" t="n"/>
      <c r="K136" s="351" t="n"/>
      <c r="L136" s="350" t="n"/>
      <c r="M136" s="350" t="n"/>
      <c r="N136" s="344" t="n"/>
      <c r="O136" s="344" t="n"/>
      <c r="P136" s="344" t="n"/>
      <c r="Q136" s="344" t="n"/>
      <c r="R136" s="344" t="n"/>
      <c r="S136" s="344" t="n"/>
      <c r="T136" s="344" t="n"/>
      <c r="U136" s="344" t="n"/>
      <c r="V136" s="344" t="n"/>
      <c r="W136" s="344" t="n"/>
    </row>
    <row r="137" customFormat="1" s="354">
      <c r="A137" s="345" t="n"/>
      <c r="B137" s="585" t="n"/>
      <c r="C137" s="582" t="n"/>
      <c r="D137" s="586" t="n"/>
      <c r="E137" s="584" t="n"/>
      <c r="F137" s="350" t="n"/>
      <c r="G137" s="350" t="n"/>
      <c r="H137" s="350" t="n"/>
      <c r="I137" s="350" t="n"/>
      <c r="J137" s="350" t="n"/>
      <c r="K137" s="351" t="n"/>
      <c r="L137" s="350" t="n"/>
      <c r="M137" s="350" t="n"/>
      <c r="N137" s="344" t="n"/>
      <c r="O137" s="344" t="n"/>
      <c r="P137" s="344" t="n"/>
      <c r="Q137" s="344" t="n"/>
      <c r="R137" s="344" t="n"/>
      <c r="S137" s="344" t="n"/>
      <c r="T137" s="344" t="n"/>
      <c r="U137" s="344" t="n"/>
      <c r="V137" s="344" t="n"/>
      <c r="W137" s="344" t="n"/>
    </row>
    <row r="138" customFormat="1" s="354">
      <c r="A138" s="345" t="n"/>
      <c r="B138" s="585" t="n"/>
      <c r="C138" s="582" t="n"/>
      <c r="D138" s="586" t="n"/>
      <c r="E138" s="584" t="n"/>
      <c r="F138" s="350" t="n"/>
      <c r="G138" s="350" t="n"/>
      <c r="H138" s="350" t="n"/>
      <c r="I138" s="350" t="n"/>
      <c r="J138" s="350" t="n"/>
      <c r="K138" s="351" t="n"/>
      <c r="L138" s="350" t="n"/>
      <c r="M138" s="350" t="n"/>
      <c r="N138" s="344" t="n"/>
      <c r="O138" s="344" t="n"/>
      <c r="P138" s="344" t="n"/>
      <c r="Q138" s="344" t="n"/>
      <c r="R138" s="344" t="n"/>
      <c r="S138" s="344" t="n"/>
      <c r="T138" s="344" t="n"/>
      <c r="U138" s="344" t="n"/>
      <c r="V138" s="344" t="n"/>
      <c r="W138" s="344" t="n"/>
    </row>
    <row r="139" customFormat="1" s="354">
      <c r="A139" s="345" t="n"/>
      <c r="B139" s="585" t="n"/>
      <c r="C139" s="582" t="n"/>
      <c r="D139" s="586" t="n"/>
      <c r="E139" s="584" t="n"/>
      <c r="F139" s="350" t="n"/>
      <c r="G139" s="350" t="n"/>
      <c r="H139" s="350" t="n"/>
      <c r="I139" s="350" t="n"/>
      <c r="J139" s="350" t="n"/>
      <c r="K139" s="351" t="n"/>
      <c r="L139" s="355" t="inlineStr">
        <is>
          <t>2841000195468_【ＱＣＳ】極み焼き玉子太巻き２.xlsx</t>
        </is>
      </c>
      <c r="M139" s="350" t="n"/>
      <c r="N139" s="344" t="n"/>
      <c r="O139" s="344" t="n"/>
      <c r="P139" s="344" t="n"/>
      <c r="Q139" s="344" t="n"/>
      <c r="R139" s="344" t="n"/>
      <c r="S139" s="344" t="n"/>
      <c r="T139" s="344" t="n"/>
      <c r="U139" s="344" t="n"/>
      <c r="V139" s="344" t="n"/>
      <c r="W139" s="344" t="n"/>
    </row>
    <row r="140" customFormat="1" s="354">
      <c r="A140" s="345" t="n"/>
      <c r="B140" s="581" t="n"/>
      <c r="C140" s="582" t="n"/>
      <c r="D140" s="586" t="n"/>
      <c r="E140" s="584" t="n"/>
      <c r="F140" s="350" t="n"/>
      <c r="G140" s="350" t="n"/>
      <c r="H140" s="350" t="n"/>
      <c r="I140" s="350" t="n"/>
      <c r="J140" s="350" t="n"/>
      <c r="K140" s="351" t="n"/>
      <c r="L140" s="350" t="n"/>
      <c r="M140" s="350" t="n"/>
      <c r="N140" s="344" t="n"/>
      <c r="O140" s="344" t="n"/>
      <c r="P140" s="344" t="n"/>
      <c r="Q140" s="344" t="n"/>
      <c r="R140" s="344" t="n"/>
      <c r="S140" s="344" t="n"/>
      <c r="T140" s="344" t="n"/>
      <c r="U140" s="344" t="n"/>
      <c r="V140" s="344" t="n"/>
      <c r="W140" s="344" t="n"/>
    </row>
    <row r="141" customFormat="1" s="354">
      <c r="A141" s="345" t="n"/>
      <c r="B141" s="581" t="n"/>
      <c r="C141" s="582" t="n"/>
      <c r="D141" s="586" t="n"/>
      <c r="E141" s="584" t="n"/>
      <c r="F141" s="350" t="n"/>
      <c r="G141" s="350" t="n"/>
      <c r="H141" s="350" t="n"/>
      <c r="I141" s="350" t="n"/>
      <c r="J141" s="350" t="n"/>
      <c r="K141" s="351" t="n"/>
      <c r="L141" s="350" t="n"/>
      <c r="M141" s="350" t="n"/>
      <c r="N141" s="344" t="n"/>
      <c r="O141" s="344" t="n"/>
      <c r="P141" s="344" t="n"/>
      <c r="Q141" s="344" t="n"/>
      <c r="R141" s="344" t="n"/>
      <c r="S141" s="344" t="n"/>
      <c r="T141" s="344" t="n"/>
      <c r="U141" s="344" t="n"/>
      <c r="V141" s="344" t="n"/>
      <c r="W141" s="344" t="n"/>
    </row>
    <row r="142" customFormat="1" s="354">
      <c r="A142" s="345" t="n"/>
      <c r="B142" s="581" t="n"/>
      <c r="C142" s="582" t="n"/>
      <c r="D142" s="586" t="n"/>
      <c r="E142" s="584" t="n"/>
      <c r="F142" s="350" t="n"/>
      <c r="G142" s="350" t="n"/>
      <c r="H142" s="350" t="n"/>
      <c r="I142" s="350" t="n"/>
      <c r="J142" s="350" t="n"/>
      <c r="K142" s="351" t="n"/>
      <c r="L142" s="350" t="n"/>
      <c r="M142" s="350" t="n"/>
      <c r="N142" s="344" t="n"/>
      <c r="O142" s="344" t="n"/>
      <c r="P142" s="344" t="n"/>
      <c r="Q142" s="344" t="n"/>
      <c r="R142" s="344" t="n"/>
      <c r="S142" s="344" t="n"/>
      <c r="T142" s="344" t="n"/>
      <c r="U142" s="344" t="n"/>
      <c r="V142" s="344" t="n"/>
      <c r="W142" s="344" t="n"/>
    </row>
    <row r="143" customFormat="1" s="354">
      <c r="A143" s="345" t="n"/>
      <c r="B143" s="585" t="n"/>
      <c r="C143" s="582" t="n"/>
      <c r="D143" s="586" t="n"/>
      <c r="E143" s="584" t="n"/>
      <c r="F143" s="350" t="n"/>
      <c r="G143" s="350" t="n"/>
      <c r="H143" s="350" t="n"/>
      <c r="I143" s="350" t="n"/>
      <c r="J143" s="350" t="n"/>
      <c r="K143" s="351" t="n"/>
      <c r="L143" s="350" t="n"/>
      <c r="M143" s="350" t="n"/>
      <c r="N143" s="344" t="n"/>
      <c r="O143" s="344" t="n"/>
      <c r="P143" s="344" t="n"/>
      <c r="Q143" s="344" t="n"/>
      <c r="R143" s="344" t="n"/>
      <c r="S143" s="344" t="n"/>
      <c r="T143" s="344" t="n"/>
      <c r="U143" s="344" t="n"/>
      <c r="V143" s="344" t="n"/>
      <c r="W143" s="344" t="n"/>
    </row>
    <row r="144" customFormat="1" s="354">
      <c r="A144" s="345" t="n"/>
      <c r="B144" s="585" t="n"/>
      <c r="C144" s="582" t="n"/>
      <c r="D144" s="586" t="n"/>
      <c r="E144" s="584" t="n"/>
      <c r="F144" s="350" t="n"/>
      <c r="G144" s="350" t="n"/>
      <c r="H144" s="350" t="n"/>
      <c r="I144" s="350" t="n"/>
      <c r="J144" s="350" t="n"/>
      <c r="K144" s="351" t="n"/>
      <c r="L144" s="350" t="n"/>
      <c r="M144" s="350" t="n"/>
      <c r="N144" s="344" t="n"/>
      <c r="O144" s="344" t="n"/>
      <c r="P144" s="344" t="n"/>
      <c r="Q144" s="344" t="n"/>
      <c r="R144" s="344" t="n"/>
      <c r="S144" s="344" t="n"/>
      <c r="T144" s="344" t="n"/>
      <c r="U144" s="344" t="n"/>
      <c r="V144" s="344" t="n"/>
      <c r="W144" s="344" t="n"/>
    </row>
    <row r="145" customFormat="1" s="354">
      <c r="A145" s="345" t="n"/>
      <c r="B145" s="585" t="n"/>
      <c r="C145" s="582" t="n"/>
      <c r="D145" s="586" t="n"/>
      <c r="E145" s="584" t="n"/>
      <c r="F145" s="350" t="n"/>
      <c r="G145" s="350" t="n"/>
      <c r="H145" s="350" t="n"/>
      <c r="I145" s="350" t="n"/>
      <c r="J145" s="350" t="n"/>
      <c r="K145" s="351" t="n"/>
      <c r="L145" s="350" t="n"/>
      <c r="M145" s="350" t="n"/>
      <c r="N145" s="344" t="n"/>
      <c r="O145" s="344" t="n"/>
      <c r="P145" s="344" t="n"/>
      <c r="Q145" s="344" t="n"/>
      <c r="R145" s="344" t="n"/>
      <c r="S145" s="344" t="n"/>
      <c r="T145" s="344" t="n"/>
      <c r="U145" s="344" t="n"/>
      <c r="V145" s="344" t="n"/>
      <c r="W145" s="344" t="n"/>
    </row>
    <row r="146" customFormat="1" s="354">
      <c r="A146" s="345" t="n"/>
      <c r="B146" s="581" t="n"/>
      <c r="C146" s="582" t="n"/>
      <c r="D146" s="583" t="n"/>
      <c r="E146" s="584" t="n"/>
      <c r="F146" s="350" t="n"/>
      <c r="G146" s="350" t="n"/>
      <c r="H146" s="350" t="n"/>
      <c r="I146" s="350" t="n"/>
      <c r="J146" s="350" t="n"/>
      <c r="K146" s="351" t="n"/>
      <c r="L146" s="350" t="n"/>
      <c r="M146" s="350" t="n"/>
      <c r="N146" s="344" t="n"/>
      <c r="O146" s="344" t="n"/>
      <c r="P146" s="344" t="n"/>
      <c r="Q146" s="344" t="n"/>
      <c r="R146" s="344" t="n"/>
      <c r="S146" s="344" t="n"/>
      <c r="T146" s="344" t="n"/>
      <c r="U146" s="344" t="n"/>
      <c r="V146" s="344" t="n"/>
      <c r="W146" s="344" t="n"/>
    </row>
    <row r="147" customFormat="1" s="354">
      <c r="A147" s="345" t="n"/>
      <c r="B147" s="581" t="n"/>
      <c r="C147" s="582" t="n"/>
      <c r="D147" s="583" t="n"/>
      <c r="E147" s="584" t="n"/>
      <c r="F147" s="350" t="n"/>
      <c r="G147" s="350" t="n"/>
      <c r="H147" s="350" t="n"/>
      <c r="I147" s="350" t="n"/>
      <c r="J147" s="350" t="n"/>
      <c r="K147" s="351" t="n"/>
      <c r="L147" s="350" t="n"/>
      <c r="M147" s="350" t="n"/>
      <c r="N147" s="344" t="n"/>
      <c r="O147" s="344" t="n"/>
      <c r="P147" s="344" t="n"/>
      <c r="Q147" s="344" t="n"/>
      <c r="R147" s="344" t="n"/>
      <c r="S147" s="344" t="n"/>
      <c r="T147" s="344" t="n"/>
      <c r="U147" s="344" t="n"/>
      <c r="V147" s="344" t="n"/>
      <c r="W147" s="344" t="n"/>
    </row>
    <row r="148" customFormat="1" s="354">
      <c r="A148" s="345" t="n"/>
      <c r="B148" s="581" t="n"/>
      <c r="C148" s="582" t="n"/>
      <c r="D148" s="583" t="n"/>
      <c r="E148" s="584" t="n"/>
      <c r="F148" s="350" t="n"/>
      <c r="G148" s="350" t="n"/>
      <c r="H148" s="350" t="n"/>
      <c r="I148" s="350" t="n"/>
      <c r="J148" s="350" t="n"/>
      <c r="K148" s="351" t="n"/>
      <c r="L148" s="350" t="n"/>
      <c r="M148" s="350" t="n"/>
      <c r="N148" s="344" t="n"/>
      <c r="O148" s="344" t="n"/>
      <c r="P148" s="344" t="n"/>
      <c r="Q148" s="344" t="n"/>
      <c r="R148" s="344" t="n"/>
      <c r="S148" s="344" t="n"/>
      <c r="T148" s="344" t="n"/>
      <c r="U148" s="344" t="n"/>
      <c r="V148" s="344" t="n"/>
      <c r="W148" s="344" t="n"/>
    </row>
    <row r="149" customFormat="1" s="354">
      <c r="A149" s="345" t="n"/>
      <c r="B149" s="589" t="n"/>
      <c r="C149" s="582" t="n"/>
      <c r="D149" s="590" t="n"/>
      <c r="E149" s="584" t="n"/>
      <c r="F149" s="350" t="n"/>
      <c r="G149" s="350" t="n"/>
      <c r="H149" s="350" t="n"/>
      <c r="I149" s="350" t="n"/>
      <c r="J149" s="350" t="n"/>
      <c r="K149" s="351" t="n"/>
      <c r="L149" s="350" t="n"/>
      <c r="M149" s="350" t="n"/>
      <c r="N149" s="344" t="n"/>
      <c r="O149" s="344" t="n"/>
      <c r="P149" s="344" t="n"/>
      <c r="Q149" s="344" t="n"/>
      <c r="R149" s="344" t="n"/>
      <c r="S149" s="344" t="n"/>
      <c r="T149" s="344" t="n"/>
      <c r="U149" s="344" t="n"/>
      <c r="V149" s="344" t="n"/>
      <c r="W149" s="344" t="n"/>
    </row>
    <row r="150" customFormat="1" s="354">
      <c r="A150" s="345" t="n"/>
      <c r="B150" s="589" t="n"/>
      <c r="C150" s="582" t="n"/>
      <c r="D150" s="590" t="n"/>
      <c r="E150" s="584" t="n"/>
      <c r="F150" s="350" t="n"/>
      <c r="G150" s="350" t="n"/>
      <c r="H150" s="350" t="n"/>
      <c r="I150" s="350" t="n"/>
      <c r="J150" s="350" t="n"/>
      <c r="K150" s="351" t="n"/>
      <c r="L150" s="350" t="n"/>
      <c r="M150" s="350" t="n"/>
      <c r="N150" s="344" t="n"/>
      <c r="O150" s="344" t="n"/>
      <c r="P150" s="344" t="n"/>
      <c r="Q150" s="344" t="n"/>
      <c r="R150" s="344" t="n"/>
      <c r="S150" s="344" t="n"/>
      <c r="T150" s="344" t="n"/>
      <c r="U150" s="344" t="n"/>
      <c r="V150" s="344" t="n"/>
      <c r="W150" s="344" t="n"/>
    </row>
    <row r="151" customFormat="1" s="354">
      <c r="A151" s="345" t="n"/>
      <c r="B151" s="589" t="n"/>
      <c r="C151" s="582" t="n"/>
      <c r="D151" s="590" t="n"/>
      <c r="E151" s="584" t="n"/>
      <c r="F151" s="350" t="n"/>
      <c r="G151" s="350" t="n"/>
      <c r="H151" s="350" t="n"/>
      <c r="I151" s="350" t="n"/>
      <c r="J151" s="350" t="n"/>
      <c r="K151" s="351" t="n"/>
      <c r="L151" s="350" t="n"/>
      <c r="M151" s="350" t="n"/>
      <c r="N151" s="344" t="n"/>
      <c r="O151" s="344" t="n"/>
      <c r="P151" s="344" t="n"/>
      <c r="Q151" s="344" t="n"/>
      <c r="R151" s="344" t="n"/>
      <c r="S151" s="344" t="n"/>
      <c r="T151" s="344" t="n"/>
      <c r="U151" s="344" t="n"/>
      <c r="V151" s="344" t="n"/>
      <c r="W151" s="344" t="n"/>
    </row>
    <row r="152" customFormat="1" s="354">
      <c r="A152" s="345" t="n"/>
      <c r="B152" s="589" t="n"/>
      <c r="C152" s="582" t="n"/>
      <c r="D152" s="590" t="n"/>
      <c r="E152" s="584" t="n"/>
      <c r="F152" s="350" t="n"/>
      <c r="G152" s="350" t="n"/>
      <c r="H152" s="350" t="n"/>
      <c r="I152" s="350" t="n"/>
      <c r="J152" s="350" t="n"/>
      <c r="K152" s="351" t="n"/>
      <c r="L152" s="355" t="inlineStr">
        <is>
          <t>2841000195468_【ＱＣＳ】極み焼き玉子太巻き２.xlsx</t>
        </is>
      </c>
      <c r="M152" s="350" t="n"/>
      <c r="N152" s="344" t="n"/>
      <c r="O152" s="344" t="n"/>
      <c r="P152" s="344" t="n"/>
      <c r="Q152" s="344" t="n"/>
      <c r="R152" s="344" t="n"/>
      <c r="S152" s="344" t="n"/>
      <c r="T152" s="344" t="n"/>
      <c r="U152" s="344" t="n"/>
      <c r="V152" s="344" t="n"/>
      <c r="W152" s="344" t="n"/>
    </row>
    <row r="153" customFormat="1" s="354">
      <c r="A153" s="345" t="n"/>
      <c r="B153" s="581" t="n"/>
      <c r="C153" s="582" t="n"/>
      <c r="D153" s="583" t="n"/>
      <c r="E153" s="584" t="n"/>
      <c r="F153" s="350" t="n"/>
      <c r="G153" s="350" t="n"/>
      <c r="H153" s="350" t="n"/>
      <c r="I153" s="350" t="n"/>
      <c r="J153" s="350" t="n"/>
      <c r="K153" s="351" t="n"/>
      <c r="L153" s="350" t="n"/>
      <c r="M153" s="350" t="n"/>
      <c r="N153" s="344" t="n"/>
      <c r="O153" s="344" t="n"/>
      <c r="P153" s="344" t="n"/>
      <c r="Q153" s="344" t="n"/>
      <c r="R153" s="344" t="n"/>
      <c r="S153" s="344" t="n"/>
      <c r="T153" s="344" t="n"/>
      <c r="U153" s="344" t="n"/>
      <c r="V153" s="344" t="n"/>
      <c r="W153" s="344" t="n"/>
    </row>
    <row r="154" customFormat="1" s="354">
      <c r="A154" s="345" t="n"/>
      <c r="B154" s="581" t="n"/>
      <c r="C154" s="582" t="n"/>
      <c r="D154" s="583" t="n"/>
      <c r="E154" s="584" t="n"/>
      <c r="F154" s="350" t="n"/>
      <c r="G154" s="350" t="n"/>
      <c r="H154" s="350" t="n"/>
      <c r="I154" s="350" t="n"/>
      <c r="J154" s="350" t="n"/>
      <c r="K154" s="351" t="n"/>
      <c r="L154" s="350" t="n"/>
      <c r="M154" s="350" t="n"/>
      <c r="N154" s="344" t="n"/>
      <c r="O154" s="344" t="n"/>
      <c r="P154" s="344" t="n"/>
      <c r="Q154" s="344" t="n"/>
      <c r="R154" s="344" t="n"/>
      <c r="S154" s="344" t="n"/>
      <c r="T154" s="344" t="n"/>
      <c r="U154" s="344" t="n"/>
      <c r="V154" s="344" t="n"/>
      <c r="W154" s="344" t="n"/>
    </row>
    <row r="155" customFormat="1" s="354">
      <c r="A155" s="345" t="n"/>
      <c r="B155" s="581" t="n"/>
      <c r="C155" s="582" t="n"/>
      <c r="D155" s="583" t="n"/>
      <c r="E155" s="584" t="n"/>
      <c r="F155" s="350" t="n"/>
      <c r="G155" s="350" t="n"/>
      <c r="H155" s="350" t="n"/>
      <c r="I155" s="350" t="n"/>
      <c r="J155" s="350" t="n"/>
      <c r="K155" s="351" t="n"/>
      <c r="L155" s="350" t="n"/>
      <c r="M155" s="350" t="n"/>
      <c r="N155" s="344" t="n"/>
      <c r="O155" s="344" t="n"/>
      <c r="P155" s="344" t="n"/>
      <c r="Q155" s="344" t="n"/>
      <c r="R155" s="344" t="n"/>
      <c r="S155" s="344" t="n"/>
      <c r="T155" s="344" t="n"/>
      <c r="U155" s="344" t="n"/>
      <c r="V155" s="344" t="n"/>
      <c r="W155" s="344" t="n"/>
    </row>
    <row r="156" customFormat="1" s="354">
      <c r="A156" s="345" t="n"/>
      <c r="B156" s="581" t="n"/>
      <c r="C156" s="582" t="n"/>
      <c r="D156" s="583" t="n"/>
      <c r="E156" s="584" t="n"/>
      <c r="F156" s="350" t="n"/>
      <c r="G156" s="350" t="n"/>
      <c r="H156" s="350" t="n"/>
      <c r="I156" s="350" t="n"/>
      <c r="J156" s="350" t="n"/>
      <c r="K156" s="351" t="n"/>
      <c r="L156" s="350" t="n"/>
      <c r="M156" s="350" t="n"/>
      <c r="N156" s="344" t="n"/>
      <c r="O156" s="344" t="n"/>
      <c r="P156" s="344" t="n"/>
      <c r="Q156" s="344" t="n"/>
      <c r="R156" s="344" t="n"/>
      <c r="S156" s="344" t="n"/>
      <c r="T156" s="344" t="n"/>
      <c r="U156" s="344" t="n"/>
      <c r="V156" s="344" t="n"/>
      <c r="W156" s="344" t="n"/>
    </row>
    <row r="157" customFormat="1" s="354">
      <c r="A157" s="345" t="n"/>
      <c r="B157" s="581" t="n"/>
      <c r="C157" s="582" t="n"/>
      <c r="D157" s="583" t="n"/>
      <c r="E157" s="584" t="n"/>
      <c r="F157" s="350" t="n"/>
      <c r="G157" s="350" t="n"/>
      <c r="H157" s="350" t="n"/>
      <c r="I157" s="350" t="n"/>
      <c r="J157" s="350" t="n"/>
      <c r="K157" s="351" t="n"/>
      <c r="L157" s="350" t="n"/>
      <c r="M157" s="350" t="n"/>
      <c r="N157" s="344" t="n"/>
      <c r="O157" s="344" t="n"/>
      <c r="P157" s="344" t="n"/>
      <c r="Q157" s="344" t="n"/>
      <c r="R157" s="344" t="n"/>
      <c r="S157" s="344" t="n"/>
      <c r="T157" s="344" t="n"/>
      <c r="U157" s="344" t="n"/>
      <c r="V157" s="344" t="n"/>
      <c r="W157" s="344" t="n"/>
    </row>
    <row r="158" customFormat="1" s="354">
      <c r="A158" s="345" t="n"/>
      <c r="B158" s="581" t="n"/>
      <c r="C158" s="582" t="n"/>
      <c r="D158" s="583" t="n"/>
      <c r="E158" s="584" t="n"/>
      <c r="F158" s="350" t="n"/>
      <c r="G158" s="350" t="n"/>
      <c r="H158" s="350" t="n"/>
      <c r="I158" s="350" t="n"/>
      <c r="J158" s="350" t="n"/>
      <c r="K158" s="351" t="n"/>
      <c r="L158" s="355" t="inlineStr">
        <is>
          <t>2841000175316_【ＱＣＳ】ちくわ磯部揚げ衣.xlsx</t>
        </is>
      </c>
      <c r="M158" s="350" t="n"/>
      <c r="N158" s="344" t="n"/>
      <c r="O158" s="344" t="n"/>
      <c r="P158" s="344" t="n"/>
      <c r="Q158" s="344" t="n"/>
      <c r="R158" s="344" t="n"/>
      <c r="S158" s="344" t="n"/>
      <c r="T158" s="344" t="n"/>
      <c r="U158" s="344" t="n"/>
      <c r="V158" s="344" t="n"/>
      <c r="W158" s="344" t="n"/>
    </row>
    <row r="159" customFormat="1" s="354">
      <c r="A159" s="345" t="n"/>
      <c r="B159" s="581" t="n"/>
      <c r="C159" s="582" t="n"/>
      <c r="D159" s="583" t="n"/>
      <c r="E159" s="584" t="n"/>
      <c r="F159" s="350" t="n"/>
      <c r="G159" s="350" t="n"/>
      <c r="H159" s="350" t="n"/>
      <c r="I159" s="350" t="n"/>
      <c r="J159" s="350" t="n"/>
      <c r="K159" s="351" t="n"/>
      <c r="L159" s="350" t="n"/>
      <c r="M159" s="350" t="n"/>
      <c r="N159" s="344" t="n"/>
      <c r="O159" s="344" t="n"/>
      <c r="P159" s="344" t="n"/>
      <c r="Q159" s="344" t="n"/>
      <c r="R159" s="344" t="n"/>
      <c r="S159" s="344" t="n"/>
      <c r="T159" s="344" t="n"/>
      <c r="U159" s="344" t="n"/>
      <c r="V159" s="344" t="n"/>
      <c r="W159" s="344" t="n"/>
    </row>
    <row r="160" customFormat="1" s="354">
      <c r="A160" s="345" t="n"/>
      <c r="B160" s="581" t="n"/>
      <c r="C160" s="582" t="n"/>
      <c r="D160" s="583" t="n"/>
      <c r="E160" s="588" t="n"/>
      <c r="F160" s="350" t="n"/>
      <c r="G160" s="350" t="n"/>
      <c r="H160" s="350" t="n"/>
      <c r="I160" s="350" t="n"/>
      <c r="J160" s="350" t="n"/>
      <c r="K160" s="351" t="n"/>
      <c r="L160" s="350" t="n"/>
      <c r="M160" s="350" t="n"/>
      <c r="N160" s="344" t="n"/>
      <c r="O160" s="344" t="n"/>
      <c r="P160" s="344" t="n"/>
      <c r="Q160" s="344" t="n"/>
      <c r="R160" s="344" t="n"/>
      <c r="S160" s="344" t="n"/>
      <c r="T160" s="344" t="n"/>
      <c r="U160" s="344" t="n"/>
      <c r="V160" s="344" t="n"/>
      <c r="W160" s="344" t="n"/>
    </row>
    <row r="161" customFormat="1" s="354">
      <c r="A161" s="345" t="n"/>
      <c r="B161" s="581" t="n"/>
      <c r="C161" s="582" t="n"/>
      <c r="D161" s="583" t="n"/>
      <c r="E161" s="584" t="n"/>
      <c r="F161" s="350" t="n"/>
      <c r="G161" s="350" t="n"/>
      <c r="H161" s="350" t="n"/>
      <c r="I161" s="350" t="n"/>
      <c r="J161" s="350" t="n"/>
      <c r="K161" s="351" t="n"/>
      <c r="L161" s="350" t="n"/>
      <c r="M161" s="350" t="n"/>
      <c r="N161" s="344" t="n"/>
      <c r="O161" s="344" t="n"/>
      <c r="P161" s="344" t="n"/>
      <c r="Q161" s="344" t="n"/>
      <c r="R161" s="344" t="n"/>
      <c r="S161" s="344" t="n"/>
      <c r="T161" s="344" t="n"/>
      <c r="U161" s="344" t="n"/>
      <c r="V161" s="344" t="n"/>
      <c r="W161" s="344" t="n"/>
    </row>
    <row r="162" customFormat="1" s="354">
      <c r="A162" s="345" t="n"/>
      <c r="B162" s="581" t="n"/>
      <c r="C162" s="582" t="n"/>
      <c r="D162" s="583" t="n"/>
      <c r="E162" s="584" t="n"/>
      <c r="F162" s="350" t="n"/>
      <c r="G162" s="350" t="n"/>
      <c r="H162" s="350" t="n"/>
      <c r="I162" s="350" t="n"/>
      <c r="J162" s="350" t="n"/>
      <c r="K162" s="351" t="n"/>
      <c r="L162" s="350" t="n"/>
      <c r="M162" s="350" t="n"/>
      <c r="N162" s="344" t="n"/>
      <c r="O162" s="344" t="n"/>
      <c r="P162" s="344" t="n"/>
      <c r="Q162" s="344" t="n"/>
      <c r="R162" s="344" t="n"/>
      <c r="S162" s="344" t="n"/>
      <c r="T162" s="344" t="n"/>
      <c r="U162" s="344" t="n"/>
      <c r="V162" s="344" t="n"/>
      <c r="W162" s="344" t="n"/>
    </row>
    <row r="163" customFormat="1" s="354">
      <c r="A163" s="345" t="n"/>
      <c r="B163" s="581" t="n"/>
      <c r="C163" s="582" t="n"/>
      <c r="D163" s="583" t="n"/>
      <c r="E163" s="584" t="n"/>
      <c r="F163" s="350" t="n"/>
      <c r="G163" s="350" t="n"/>
      <c r="H163" s="350" t="n"/>
      <c r="I163" s="350" t="n"/>
      <c r="J163" s="350" t="n"/>
      <c r="K163" s="351" t="n"/>
      <c r="L163" s="350" t="n"/>
      <c r="M163" s="350" t="n"/>
      <c r="N163" s="344" t="n"/>
      <c r="O163" s="344" t="n"/>
      <c r="P163" s="344" t="n"/>
      <c r="Q163" s="344" t="n"/>
      <c r="R163" s="344" t="n"/>
      <c r="S163" s="344" t="n"/>
      <c r="T163" s="344" t="n"/>
      <c r="U163" s="344" t="n"/>
      <c r="V163" s="344" t="n"/>
      <c r="W163" s="344" t="n"/>
    </row>
    <row r="164" customFormat="1" s="354">
      <c r="A164" s="345" t="n"/>
      <c r="B164" s="589" t="n"/>
      <c r="C164" s="582" t="n"/>
      <c r="D164" s="590" t="n"/>
      <c r="E164" s="584" t="n"/>
      <c r="F164" s="350" t="n"/>
      <c r="G164" s="350" t="n"/>
      <c r="H164" s="350" t="n"/>
      <c r="I164" s="350" t="n"/>
      <c r="J164" s="350" t="n"/>
      <c r="K164" s="351" t="n"/>
      <c r="L164" s="350" t="n"/>
      <c r="M164" s="350" t="n"/>
      <c r="N164" s="344" t="n"/>
      <c r="O164" s="344" t="n"/>
      <c r="P164" s="344" t="n"/>
      <c r="Q164" s="344" t="n"/>
      <c r="R164" s="344" t="n"/>
      <c r="S164" s="344" t="n"/>
      <c r="T164" s="344" t="n"/>
      <c r="U164" s="344" t="n"/>
      <c r="V164" s="344" t="n"/>
      <c r="W164" s="344" t="n"/>
    </row>
    <row r="165" customFormat="1" s="354">
      <c r="A165" s="345" t="n"/>
      <c r="B165" s="589" t="n"/>
      <c r="C165" s="582" t="n"/>
      <c r="D165" s="590" t="n"/>
      <c r="E165" s="584" t="n"/>
      <c r="F165" s="350" t="n"/>
      <c r="G165" s="350" t="n"/>
      <c r="H165" s="350" t="n"/>
      <c r="I165" s="350" t="n"/>
      <c r="J165" s="350" t="n"/>
      <c r="K165" s="351" t="n"/>
      <c r="L165" s="350" t="n"/>
      <c r="M165" s="350" t="n"/>
      <c r="N165" s="344" t="n"/>
      <c r="O165" s="344" t="n"/>
      <c r="P165" s="344" t="n"/>
      <c r="Q165" s="344" t="n"/>
      <c r="R165" s="344" t="n"/>
      <c r="S165" s="344" t="n"/>
      <c r="T165" s="344" t="n"/>
      <c r="U165" s="344" t="n"/>
      <c r="V165" s="344" t="n"/>
      <c r="W165" s="344" t="n"/>
    </row>
    <row r="166" customFormat="1" s="354">
      <c r="A166" s="345" t="n"/>
      <c r="B166" s="589" t="n"/>
      <c r="C166" s="582" t="n"/>
      <c r="D166" s="590" t="n"/>
      <c r="E166" s="584" t="n"/>
      <c r="F166" s="350" t="n"/>
      <c r="G166" s="350" t="n"/>
      <c r="H166" s="350" t="n"/>
      <c r="I166" s="350" t="n"/>
      <c r="J166" s="350" t="n"/>
      <c r="K166" s="351" t="n"/>
      <c r="L166" s="350" t="n"/>
      <c r="M166" s="350" t="n"/>
      <c r="N166" s="344" t="n"/>
      <c r="O166" s="344" t="n"/>
      <c r="P166" s="344" t="n"/>
      <c r="Q166" s="344" t="n"/>
      <c r="R166" s="344" t="n"/>
      <c r="S166" s="344" t="n"/>
      <c r="T166" s="344" t="n"/>
      <c r="U166" s="344" t="n"/>
      <c r="V166" s="344" t="n"/>
      <c r="W166" s="344" t="n"/>
    </row>
    <row r="167" customFormat="1" s="354">
      <c r="A167" s="345" t="n"/>
      <c r="B167" s="589" t="n"/>
      <c r="C167" s="582" t="n"/>
      <c r="D167" s="590" t="n"/>
      <c r="E167" s="584" t="n"/>
      <c r="F167" s="350" t="n"/>
      <c r="G167" s="350" t="n"/>
      <c r="H167" s="350" t="n"/>
      <c r="I167" s="350" t="n"/>
      <c r="J167" s="350" t="n"/>
      <c r="K167" s="351" t="n"/>
      <c r="L167" s="355" t="inlineStr">
        <is>
          <t>2841000195468_【ＱＣＳ】極み焼き玉子太巻き２.xlsx</t>
        </is>
      </c>
      <c r="M167" s="350" t="n"/>
      <c r="N167" s="344" t="n"/>
      <c r="O167" s="344" t="n"/>
      <c r="P167" s="344" t="n"/>
      <c r="Q167" s="344" t="n"/>
      <c r="R167" s="344" t="n"/>
      <c r="S167" s="344" t="n"/>
      <c r="T167" s="344" t="n"/>
      <c r="U167" s="344" t="n"/>
      <c r="V167" s="344" t="n"/>
      <c r="W167" s="344" t="n"/>
    </row>
    <row r="168" customFormat="1" s="354">
      <c r="A168" s="345" t="n"/>
      <c r="B168" s="581" t="n"/>
      <c r="C168" s="582" t="n"/>
      <c r="D168" s="583" t="n"/>
      <c r="E168" s="584" t="n"/>
      <c r="F168" s="350" t="n"/>
      <c r="G168" s="350" t="n"/>
      <c r="H168" s="350" t="n"/>
      <c r="I168" s="350" t="n"/>
      <c r="J168" s="350" t="n"/>
      <c r="K168" s="351" t="n"/>
      <c r="L168" s="350" t="n"/>
      <c r="M168" s="350" t="n"/>
      <c r="N168" s="344" t="n"/>
      <c r="O168" s="344" t="n"/>
      <c r="P168" s="344" t="n"/>
      <c r="Q168" s="344" t="n"/>
      <c r="R168" s="344" t="n"/>
      <c r="S168" s="344" t="n"/>
      <c r="T168" s="344" t="n"/>
      <c r="U168" s="344" t="n"/>
      <c r="V168" s="344" t="n"/>
      <c r="W168" s="344" t="n"/>
    </row>
    <row r="169" customFormat="1" s="354">
      <c r="A169" s="345" t="n"/>
      <c r="B169" s="581" t="n"/>
      <c r="C169" s="582" t="n"/>
      <c r="D169" s="583" t="n"/>
      <c r="E169" s="584" t="n"/>
      <c r="F169" s="350" t="n"/>
      <c r="G169" s="350" t="n"/>
      <c r="H169" s="350" t="n"/>
      <c r="I169" s="350" t="n"/>
      <c r="J169" s="350" t="n"/>
      <c r="K169" s="351" t="n"/>
      <c r="L169" s="350" t="n"/>
      <c r="M169" s="350" t="n"/>
      <c r="N169" s="344" t="n"/>
      <c r="O169" s="344" t="n"/>
      <c r="P169" s="344" t="n"/>
      <c r="Q169" s="344" t="n"/>
      <c r="R169" s="344" t="n"/>
      <c r="S169" s="344" t="n"/>
      <c r="T169" s="344" t="n"/>
      <c r="U169" s="344" t="n"/>
      <c r="V169" s="344" t="n"/>
      <c r="W169" s="344" t="n"/>
    </row>
    <row r="170" customFormat="1" s="354">
      <c r="A170" s="345" t="n"/>
      <c r="B170" s="581" t="n"/>
      <c r="C170" s="582" t="n"/>
      <c r="D170" s="583" t="n"/>
      <c r="E170" s="584" t="n"/>
      <c r="F170" s="350" t="n"/>
      <c r="G170" s="350" t="n"/>
      <c r="H170" s="350" t="n"/>
      <c r="I170" s="350" t="n"/>
      <c r="J170" s="350" t="n"/>
      <c r="K170" s="351" t="n"/>
      <c r="L170" s="350" t="n"/>
      <c r="M170" s="350" t="n"/>
      <c r="N170" s="344" t="n"/>
      <c r="O170" s="344" t="n"/>
      <c r="P170" s="344" t="n"/>
      <c r="Q170" s="344" t="n"/>
      <c r="R170" s="344" t="n"/>
      <c r="S170" s="344" t="n"/>
      <c r="T170" s="344" t="n"/>
      <c r="U170" s="344" t="n"/>
      <c r="V170" s="344" t="n"/>
      <c r="W170" s="344" t="n"/>
    </row>
    <row r="171" customFormat="1" s="354">
      <c r="A171" s="345" t="n"/>
      <c r="B171" s="581" t="n"/>
      <c r="C171" s="582" t="n"/>
      <c r="D171" s="583" t="n"/>
      <c r="E171" s="584" t="n"/>
      <c r="F171" s="350" t="n"/>
      <c r="G171" s="350" t="n"/>
      <c r="H171" s="350" t="n"/>
      <c r="I171" s="350" t="n"/>
      <c r="J171" s="350" t="n"/>
      <c r="K171" s="351" t="n"/>
      <c r="L171" s="350" t="n"/>
      <c r="M171" s="350" t="n"/>
      <c r="N171" s="344" t="n"/>
      <c r="O171" s="344" t="n"/>
      <c r="P171" s="344" t="n"/>
      <c r="Q171" s="344" t="n"/>
      <c r="R171" s="344" t="n"/>
      <c r="S171" s="344" t="n"/>
      <c r="T171" s="344" t="n"/>
      <c r="U171" s="344" t="n"/>
      <c r="V171" s="344" t="n"/>
      <c r="W171" s="344" t="n"/>
    </row>
    <row r="172" customFormat="1" s="354">
      <c r="A172" s="345" t="n"/>
      <c r="B172" s="581" t="n"/>
      <c r="C172" s="582" t="n"/>
      <c r="D172" s="583" t="n"/>
      <c r="E172" s="584" t="n"/>
      <c r="F172" s="350" t="n"/>
      <c r="G172" s="350" t="n"/>
      <c r="H172" s="350" t="n"/>
      <c r="I172" s="350" t="n"/>
      <c r="J172" s="350" t="n"/>
      <c r="K172" s="351" t="n"/>
      <c r="L172" s="350" t="n"/>
      <c r="M172" s="350" t="n"/>
      <c r="N172" s="344" t="n"/>
      <c r="O172" s="344" t="n"/>
      <c r="P172" s="344" t="n"/>
      <c r="Q172" s="344" t="n"/>
      <c r="R172" s="344" t="n"/>
      <c r="S172" s="344" t="n"/>
      <c r="T172" s="344" t="n"/>
      <c r="U172" s="344" t="n"/>
      <c r="V172" s="344" t="n"/>
      <c r="W172" s="344" t="n"/>
    </row>
    <row r="173" customFormat="1" s="354">
      <c r="A173" s="345" t="n"/>
      <c r="B173" s="581" t="n"/>
      <c r="C173" s="582" t="n"/>
      <c r="D173" s="583" t="n"/>
      <c r="E173" s="584" t="n"/>
      <c r="F173" s="350" t="n"/>
      <c r="G173" s="350" t="n"/>
      <c r="H173" s="350" t="n"/>
      <c r="I173" s="350" t="n"/>
      <c r="J173" s="350" t="n"/>
      <c r="K173" s="351" t="n"/>
      <c r="L173" s="355" t="inlineStr">
        <is>
          <t>2841000175316_【ＱＣＳ】ちくわ磯部揚げ衣.xlsx</t>
        </is>
      </c>
      <c r="M173" s="350" t="n"/>
      <c r="N173" s="344" t="n"/>
      <c r="O173" s="344" t="n"/>
      <c r="P173" s="344" t="n"/>
      <c r="Q173" s="344" t="n"/>
      <c r="R173" s="344" t="n"/>
      <c r="S173" s="344" t="n"/>
      <c r="T173" s="344" t="n"/>
      <c r="U173" s="344" t="n"/>
      <c r="V173" s="344" t="n"/>
      <c r="W173" s="344" t="n"/>
    </row>
    <row r="174" customFormat="1" s="354">
      <c r="A174" s="345" t="n"/>
      <c r="B174" s="581" t="n"/>
      <c r="C174" s="582" t="n"/>
      <c r="D174" s="583" t="n"/>
      <c r="E174" s="584" t="n"/>
      <c r="F174" s="350" t="n"/>
      <c r="G174" s="350" t="n"/>
      <c r="H174" s="350" t="n"/>
      <c r="I174" s="350" t="n"/>
      <c r="J174" s="350" t="n"/>
      <c r="K174" s="351" t="n"/>
      <c r="L174" s="350" t="n"/>
      <c r="M174" s="350" t="n"/>
      <c r="N174" s="344" t="n"/>
      <c r="O174" s="344" t="n"/>
      <c r="P174" s="344" t="n"/>
      <c r="Q174" s="344" t="n"/>
      <c r="R174" s="344" t="n"/>
      <c r="S174" s="344" t="n"/>
      <c r="T174" s="344" t="n"/>
      <c r="U174" s="344" t="n"/>
      <c r="V174" s="344" t="n"/>
      <c r="W174" s="344" t="n"/>
    </row>
    <row r="175" customFormat="1" s="354">
      <c r="A175" s="345" t="n"/>
      <c r="B175" s="581" t="n"/>
      <c r="C175" s="582" t="n"/>
      <c r="D175" s="583" t="n"/>
      <c r="E175" s="584" t="n"/>
      <c r="F175" s="350" t="n"/>
      <c r="G175" s="350" t="n"/>
      <c r="H175" s="350" t="n"/>
      <c r="I175" s="350" t="n"/>
      <c r="J175" s="350" t="n"/>
      <c r="K175" s="351" t="n"/>
      <c r="L175" s="350" t="n"/>
      <c r="M175" s="350" t="n"/>
      <c r="N175" s="344" t="n"/>
      <c r="O175" s="344" t="n"/>
      <c r="P175" s="344" t="n"/>
      <c r="Q175" s="344" t="n"/>
      <c r="R175" s="344" t="n"/>
      <c r="S175" s="344" t="n"/>
      <c r="T175" s="344" t="n"/>
      <c r="U175" s="344" t="n"/>
      <c r="V175" s="344" t="n"/>
      <c r="W175" s="344" t="n"/>
    </row>
    <row r="176" customFormat="1" s="354">
      <c r="A176" s="345" t="n"/>
      <c r="B176" s="581" t="n"/>
      <c r="C176" s="582" t="n"/>
      <c r="D176" s="583" t="n"/>
      <c r="E176" s="584" t="n"/>
      <c r="F176" s="350" t="n"/>
      <c r="G176" s="350" t="n"/>
      <c r="H176" s="350" t="n"/>
      <c r="I176" s="350" t="n"/>
      <c r="J176" s="350" t="n"/>
      <c r="K176" s="351" t="n"/>
      <c r="L176" s="350" t="n"/>
      <c r="M176" s="350" t="n"/>
      <c r="N176" s="344" t="n"/>
      <c r="O176" s="344" t="n"/>
      <c r="P176" s="344" t="n"/>
      <c r="Q176" s="344" t="n"/>
      <c r="R176" s="344" t="n"/>
      <c r="S176" s="344" t="n"/>
      <c r="T176" s="344" t="n"/>
      <c r="U176" s="344" t="n"/>
      <c r="V176" s="344" t="n"/>
      <c r="W176" s="344" t="n"/>
    </row>
    <row r="177" customFormat="1" s="354">
      <c r="A177" s="345" t="n"/>
      <c r="B177" s="589" t="n"/>
      <c r="C177" s="582" t="n"/>
      <c r="D177" s="590" t="n"/>
      <c r="E177" s="584" t="n"/>
      <c r="F177" s="350" t="n"/>
      <c r="G177" s="350" t="n"/>
      <c r="H177" s="350" t="n"/>
      <c r="I177" s="350" t="n"/>
      <c r="J177" s="350" t="n"/>
      <c r="K177" s="351" t="n"/>
      <c r="L177" s="350" t="n"/>
      <c r="M177" s="350" t="n"/>
      <c r="N177" s="344" t="n"/>
      <c r="O177" s="344" t="n"/>
      <c r="P177" s="344" t="n"/>
      <c r="Q177" s="344" t="n"/>
      <c r="R177" s="344" t="n"/>
      <c r="S177" s="344" t="n"/>
      <c r="T177" s="344" t="n"/>
      <c r="U177" s="344" t="n"/>
      <c r="V177" s="344" t="n"/>
      <c r="W177" s="344" t="n"/>
    </row>
    <row r="178" customFormat="1" s="354">
      <c r="A178" s="345" t="n"/>
      <c r="B178" s="589" t="n"/>
      <c r="C178" s="582" t="n"/>
      <c r="D178" s="590" t="n"/>
      <c r="E178" s="584" t="n"/>
      <c r="F178" s="350" t="n"/>
      <c r="G178" s="350" t="n"/>
      <c r="H178" s="350" t="n"/>
      <c r="I178" s="350" t="n"/>
      <c r="J178" s="350" t="n"/>
      <c r="K178" s="351" t="n"/>
      <c r="L178" s="350" t="n"/>
      <c r="M178" s="350" t="n"/>
      <c r="N178" s="344" t="n"/>
      <c r="O178" s="344" t="n"/>
      <c r="P178" s="344" t="n"/>
      <c r="Q178" s="344" t="n"/>
      <c r="R178" s="344" t="n"/>
      <c r="S178" s="344" t="n"/>
      <c r="T178" s="344" t="n"/>
      <c r="U178" s="344" t="n"/>
      <c r="V178" s="344" t="n"/>
      <c r="W178" s="344" t="n"/>
    </row>
    <row r="179" customFormat="1" s="354">
      <c r="A179" s="345" t="n"/>
      <c r="B179" s="589" t="n"/>
      <c r="C179" s="582" t="n"/>
      <c r="D179" s="590" t="n"/>
      <c r="E179" s="584" t="n"/>
      <c r="F179" s="350" t="n"/>
      <c r="G179" s="350" t="n"/>
      <c r="H179" s="350" t="n"/>
      <c r="I179" s="350" t="n"/>
      <c r="J179" s="350" t="n"/>
      <c r="K179" s="351" t="n"/>
      <c r="L179" s="350" t="n"/>
      <c r="M179" s="350" t="n"/>
      <c r="N179" s="344" t="n"/>
      <c r="O179" s="344" t="n"/>
      <c r="P179" s="344" t="n"/>
      <c r="Q179" s="344" t="n"/>
      <c r="R179" s="344" t="n"/>
      <c r="S179" s="344" t="n"/>
      <c r="T179" s="344" t="n"/>
      <c r="U179" s="344" t="n"/>
      <c r="V179" s="344" t="n"/>
      <c r="W179" s="344" t="n"/>
    </row>
    <row r="180" customFormat="1" s="354">
      <c r="A180" s="345" t="n"/>
      <c r="B180" s="589" t="n"/>
      <c r="C180" s="582" t="n"/>
      <c r="D180" s="590" t="n"/>
      <c r="E180" s="584" t="n"/>
      <c r="F180" s="350" t="n"/>
      <c r="G180" s="350" t="n"/>
      <c r="H180" s="350" t="n"/>
      <c r="I180" s="350" t="n"/>
      <c r="J180" s="350" t="n"/>
      <c r="K180" s="351" t="n"/>
      <c r="L180" s="355" t="inlineStr">
        <is>
          <t>2841000195468_【ＱＣＳ】極み焼き玉子太巻き２.xlsx</t>
        </is>
      </c>
      <c r="M180" s="350" t="n"/>
      <c r="N180" s="344" t="n"/>
      <c r="O180" s="344" t="n"/>
      <c r="P180" s="344" t="n"/>
      <c r="Q180" s="344" t="n"/>
      <c r="R180" s="344" t="n"/>
      <c r="S180" s="344" t="n"/>
      <c r="T180" s="344" t="n"/>
      <c r="U180" s="344" t="n"/>
      <c r="V180" s="344" t="n"/>
      <c r="W180" s="344" t="n"/>
    </row>
    <row r="181" customFormat="1" s="354">
      <c r="A181" s="345" t="n"/>
      <c r="B181" s="589" t="n"/>
      <c r="C181" s="582" t="n"/>
      <c r="D181" s="590" t="n"/>
      <c r="E181" s="584" t="n"/>
      <c r="F181" s="350" t="n"/>
      <c r="G181" s="350" t="n"/>
      <c r="H181" s="350" t="n"/>
      <c r="I181" s="350" t="n"/>
      <c r="J181" s="350" t="n"/>
      <c r="K181" s="351" t="n"/>
      <c r="L181" s="350" t="n"/>
      <c r="M181" s="350" t="n"/>
      <c r="N181" s="344" t="n"/>
      <c r="O181" s="344" t="n"/>
      <c r="P181" s="344" t="n"/>
      <c r="Q181" s="344" t="n"/>
      <c r="R181" s="344" t="n"/>
      <c r="S181" s="344" t="n"/>
      <c r="T181" s="344" t="n"/>
      <c r="U181" s="344" t="n"/>
      <c r="V181" s="344" t="n"/>
      <c r="W181" s="344" t="n"/>
    </row>
    <row r="182" customFormat="1" s="354">
      <c r="A182" s="345" t="n"/>
      <c r="B182" s="589" t="n"/>
      <c r="C182" s="582" t="n"/>
      <c r="D182" s="590" t="n"/>
      <c r="E182" s="584" t="n"/>
      <c r="F182" s="350" t="n"/>
      <c r="G182" s="350" t="n"/>
      <c r="H182" s="350" t="n"/>
      <c r="I182" s="350" t="n"/>
      <c r="J182" s="350" t="n"/>
      <c r="K182" s="351" t="n"/>
      <c r="L182" s="350" t="n"/>
      <c r="M182" s="350" t="n"/>
      <c r="N182" s="344" t="n"/>
      <c r="O182" s="344" t="n"/>
      <c r="P182" s="344" t="n"/>
      <c r="Q182" s="344" t="n"/>
      <c r="R182" s="344" t="n"/>
      <c r="S182" s="344" t="n"/>
      <c r="T182" s="344" t="n"/>
      <c r="U182" s="344" t="n"/>
      <c r="V182" s="344" t="n"/>
      <c r="W182" s="344" t="n"/>
    </row>
    <row r="183" customFormat="1" s="354">
      <c r="A183" s="345" t="n"/>
      <c r="B183" s="589" t="n"/>
      <c r="C183" s="582" t="n"/>
      <c r="D183" s="590" t="n"/>
      <c r="E183" s="584" t="n"/>
      <c r="F183" s="350" t="n"/>
      <c r="G183" s="350" t="n"/>
      <c r="H183" s="350" t="n"/>
      <c r="I183" s="350" t="n"/>
      <c r="J183" s="350" t="n"/>
      <c r="K183" s="351" t="n"/>
      <c r="L183" s="350" t="n"/>
      <c r="M183" s="350" t="n"/>
      <c r="N183" s="344" t="n"/>
      <c r="O183" s="344" t="n"/>
      <c r="P183" s="344" t="n"/>
      <c r="Q183" s="344" t="n"/>
      <c r="R183" s="344" t="n"/>
      <c r="S183" s="344" t="n"/>
      <c r="T183" s="344" t="n"/>
      <c r="U183" s="344" t="n"/>
      <c r="V183" s="344" t="n"/>
      <c r="W183" s="344" t="n"/>
    </row>
    <row r="184" customFormat="1" s="354">
      <c r="A184" s="357" t="n"/>
      <c r="B184" s="581" t="n"/>
      <c r="C184" s="582" t="n"/>
      <c r="D184" s="583" t="n"/>
      <c r="E184" s="584" t="n"/>
      <c r="F184" s="350" t="n"/>
      <c r="G184" s="350" t="n"/>
      <c r="H184" s="350" t="n"/>
      <c r="I184" s="350" t="n"/>
      <c r="J184" s="350" t="n"/>
      <c r="K184" s="351" t="n"/>
      <c r="L184" s="350" t="n"/>
      <c r="M184" s="350" t="n"/>
      <c r="N184" s="344" t="n"/>
      <c r="O184" s="344" t="n"/>
      <c r="P184" s="344" t="n"/>
      <c r="Q184" s="344" t="n"/>
      <c r="R184" s="344" t="n"/>
      <c r="S184" s="344" t="n"/>
      <c r="T184" s="344" t="n"/>
      <c r="U184" s="344" t="n"/>
      <c r="V184" s="344" t="n"/>
      <c r="W184" s="344" t="n"/>
    </row>
    <row r="185" customFormat="1" s="354">
      <c r="A185" s="345" t="n"/>
      <c r="B185" s="581" t="n"/>
      <c r="C185" s="582" t="n"/>
      <c r="D185" s="583" t="n"/>
      <c r="E185" s="584" t="n"/>
      <c r="F185" s="350" t="n"/>
      <c r="G185" s="350" t="n"/>
      <c r="H185" s="350" t="n"/>
      <c r="I185" s="350" t="n"/>
      <c r="J185" s="350" t="n"/>
      <c r="K185" s="351" t="n"/>
      <c r="L185" s="350" t="n"/>
      <c r="M185" s="350" t="n"/>
      <c r="N185" s="344" t="n"/>
      <c r="O185" s="344" t="n"/>
      <c r="P185" s="344" t="n"/>
      <c r="Q185" s="344" t="n"/>
      <c r="R185" s="344" t="n"/>
      <c r="S185" s="344" t="n"/>
      <c r="T185" s="344" t="n"/>
      <c r="U185" s="344" t="n"/>
      <c r="V185" s="344" t="n"/>
      <c r="W185" s="344" t="n"/>
    </row>
    <row r="186" customFormat="1" s="354">
      <c r="A186" s="345" t="n"/>
      <c r="B186" s="581" t="n"/>
      <c r="C186" s="582" t="n"/>
      <c r="D186" s="583" t="n"/>
      <c r="E186" s="584" t="n"/>
      <c r="F186" s="350" t="n"/>
      <c r="G186" s="350" t="n"/>
      <c r="H186" s="350" t="n"/>
      <c r="I186" s="350" t="n"/>
      <c r="J186" s="350" t="n"/>
      <c r="K186" s="351" t="n"/>
      <c r="L186" s="350" t="n"/>
      <c r="M186" s="350" t="n"/>
      <c r="N186" s="344" t="n"/>
      <c r="O186" s="344" t="n"/>
      <c r="P186" s="344" t="n"/>
      <c r="Q186" s="344" t="n"/>
      <c r="R186" s="344" t="n"/>
      <c r="S186" s="344" t="n"/>
      <c r="T186" s="344" t="n"/>
      <c r="U186" s="344" t="n"/>
      <c r="V186" s="344" t="n"/>
      <c r="W186" s="344" t="n"/>
    </row>
    <row r="187" customFormat="1" s="354">
      <c r="A187" s="345" t="n"/>
      <c r="B187" s="581" t="n"/>
      <c r="C187" s="582" t="n"/>
      <c r="D187" s="583" t="n"/>
      <c r="E187" s="584" t="n"/>
      <c r="F187" s="350" t="n"/>
      <c r="G187" s="350" t="n"/>
      <c r="H187" s="350" t="n"/>
      <c r="I187" s="350" t="n"/>
      <c r="J187" s="350" t="n"/>
      <c r="K187" s="351" t="n"/>
      <c r="L187" s="350" t="n"/>
      <c r="M187" s="350" t="n"/>
      <c r="N187" s="344" t="n"/>
      <c r="O187" s="344" t="n"/>
      <c r="P187" s="344" t="n"/>
      <c r="Q187" s="344" t="n"/>
      <c r="R187" s="344" t="n"/>
      <c r="S187" s="344" t="n"/>
      <c r="T187" s="344" t="n"/>
      <c r="U187" s="344" t="n"/>
      <c r="V187" s="344" t="n"/>
      <c r="W187" s="344" t="n"/>
    </row>
    <row r="188" customFormat="1" s="354">
      <c r="A188" s="345" t="n"/>
      <c r="B188" s="581" t="n"/>
      <c r="C188" s="582" t="n"/>
      <c r="D188" s="583" t="n"/>
      <c r="E188" s="584" t="n"/>
      <c r="F188" s="350" t="n"/>
      <c r="G188" s="350" t="n"/>
      <c r="H188" s="350" t="n"/>
      <c r="I188" s="350" t="n"/>
      <c r="J188" s="350" t="n"/>
      <c r="K188" s="351" t="n"/>
      <c r="L188" s="350" t="n"/>
      <c r="M188" s="350" t="n"/>
      <c r="N188" s="344" t="n"/>
      <c r="O188" s="344" t="n"/>
      <c r="P188" s="344" t="n"/>
      <c r="Q188" s="344" t="n"/>
      <c r="R188" s="344" t="n"/>
      <c r="S188" s="344" t="n"/>
      <c r="T188" s="344" t="n"/>
      <c r="U188" s="344" t="n"/>
      <c r="V188" s="344" t="n"/>
      <c r="W188" s="344" t="n"/>
    </row>
    <row r="189" customFormat="1" s="354">
      <c r="A189" s="345" t="n"/>
      <c r="B189" s="581" t="n"/>
      <c r="C189" s="582" t="n"/>
      <c r="D189" s="583" t="n"/>
      <c r="E189" s="584" t="n"/>
      <c r="F189" s="350" t="n"/>
      <c r="G189" s="350" t="n"/>
      <c r="H189" s="350" t="n"/>
      <c r="I189" s="350" t="n"/>
      <c r="J189" s="350" t="n"/>
      <c r="K189" s="351" t="n"/>
      <c r="L189" s="350" t="n"/>
      <c r="M189" s="350" t="n"/>
      <c r="N189" s="344" t="n"/>
      <c r="O189" s="344" t="n"/>
      <c r="P189" s="344" t="n"/>
      <c r="Q189" s="344" t="n"/>
      <c r="R189" s="344" t="n"/>
      <c r="S189" s="344" t="n"/>
      <c r="T189" s="344" t="n"/>
      <c r="U189" s="344" t="n"/>
      <c r="V189" s="344" t="n"/>
      <c r="W189" s="344" t="n"/>
    </row>
    <row r="190" customFormat="1" s="354">
      <c r="A190" s="345" t="n"/>
      <c r="B190" s="581" t="n"/>
      <c r="C190" s="582" t="n"/>
      <c r="D190" s="583" t="n"/>
      <c r="E190" s="584" t="n"/>
      <c r="F190" s="350" t="n"/>
      <c r="G190" s="350" t="n"/>
      <c r="H190" s="350" t="n"/>
      <c r="I190" s="350" t="n"/>
      <c r="J190" s="350" t="n"/>
      <c r="K190" s="351" t="n"/>
      <c r="L190" s="350" t="n"/>
      <c r="M190" s="350" t="n"/>
      <c r="N190" s="344" t="n"/>
      <c r="O190" s="344" t="n"/>
      <c r="P190" s="344" t="n"/>
      <c r="Q190" s="344" t="n"/>
      <c r="R190" s="344" t="n"/>
      <c r="S190" s="344" t="n"/>
      <c r="T190" s="344" t="n"/>
      <c r="U190" s="344" t="n"/>
      <c r="V190" s="344" t="n"/>
      <c r="W190" s="344" t="n"/>
    </row>
    <row r="191" customFormat="1" s="354">
      <c r="A191" s="345" t="n"/>
      <c r="B191" s="581" t="n"/>
      <c r="C191" s="582" t="n"/>
      <c r="D191" s="583" t="n"/>
      <c r="E191" s="584" t="n"/>
      <c r="F191" s="350" t="n"/>
      <c r="G191" s="350" t="n"/>
      <c r="H191" s="350" t="n"/>
      <c r="I191" s="350" t="n"/>
      <c r="J191" s="350" t="n"/>
      <c r="K191" s="351" t="n"/>
      <c r="L191" s="350" t="n"/>
      <c r="M191" s="350" t="n"/>
      <c r="N191" s="344" t="n"/>
      <c r="O191" s="344" t="n"/>
      <c r="P191" s="344" t="n"/>
      <c r="Q191" s="344" t="n"/>
      <c r="R191" s="344" t="n"/>
      <c r="S191" s="344" t="n"/>
      <c r="T191" s="344" t="n"/>
      <c r="U191" s="344" t="n"/>
      <c r="V191" s="344" t="n"/>
      <c r="W191" s="344" t="n"/>
    </row>
    <row r="192" customFormat="1" s="354">
      <c r="A192" s="345" t="n"/>
      <c r="B192" s="581" t="n"/>
      <c r="C192" s="582" t="n"/>
      <c r="D192" s="583" t="n"/>
      <c r="E192" s="584" t="n"/>
      <c r="F192" s="350" t="n"/>
      <c r="G192" s="350" t="n"/>
      <c r="H192" s="350" t="n"/>
      <c r="I192" s="350" t="n"/>
      <c r="J192" s="350" t="n"/>
      <c r="K192" s="351" t="n"/>
      <c r="L192" s="350" t="n"/>
      <c r="M192" s="350" t="n"/>
      <c r="N192" s="344" t="n"/>
      <c r="O192" s="344" t="n"/>
      <c r="P192" s="344" t="n"/>
      <c r="Q192" s="344" t="n"/>
      <c r="R192" s="344" t="n"/>
      <c r="S192" s="344" t="n"/>
      <c r="T192" s="344" t="n"/>
      <c r="U192" s="344" t="n"/>
      <c r="V192" s="344" t="n"/>
      <c r="W192" s="344" t="n"/>
    </row>
    <row r="193" customFormat="1" s="354">
      <c r="A193" s="345" t="n"/>
      <c r="B193" s="581" t="n"/>
      <c r="C193" s="582" t="n"/>
      <c r="D193" s="583" t="n"/>
      <c r="E193" s="584" t="n"/>
      <c r="F193" s="350" t="n"/>
      <c r="G193" s="350" t="n"/>
      <c r="H193" s="350" t="n"/>
      <c r="I193" s="350" t="n"/>
      <c r="J193" s="350" t="n"/>
      <c r="K193" s="351" t="n"/>
      <c r="L193" s="350" t="n"/>
      <c r="M193" s="350" t="n"/>
      <c r="N193" s="344" t="n"/>
      <c r="O193" s="344" t="n"/>
      <c r="P193" s="344" t="n"/>
      <c r="Q193" s="344" t="n"/>
      <c r="R193" s="344" t="n"/>
      <c r="S193" s="344" t="n"/>
      <c r="T193" s="344" t="n"/>
      <c r="U193" s="344" t="n"/>
      <c r="V193" s="344" t="n"/>
      <c r="W193" s="344" t="n"/>
    </row>
    <row r="194" customFormat="1" s="354">
      <c r="A194" s="345" t="n"/>
      <c r="B194" s="581" t="n"/>
      <c r="C194" s="582" t="n"/>
      <c r="D194" s="583" t="n"/>
      <c r="E194" s="584" t="n"/>
      <c r="F194" s="350" t="n"/>
      <c r="G194" s="350" t="n"/>
      <c r="H194" s="350" t="n"/>
      <c r="I194" s="350" t="n"/>
      <c r="J194" s="350" t="n"/>
      <c r="K194" s="351" t="n"/>
      <c r="L194" s="350" t="n"/>
      <c r="M194" s="350" t="n"/>
      <c r="N194" s="344" t="n"/>
      <c r="O194" s="344" t="n"/>
      <c r="P194" s="344" t="n"/>
      <c r="Q194" s="344" t="n"/>
      <c r="R194" s="344" t="n"/>
      <c r="S194" s="344" t="n"/>
      <c r="T194" s="344" t="n"/>
      <c r="U194" s="344" t="n"/>
      <c r="V194" s="344" t="n"/>
      <c r="W194" s="344" t="n"/>
    </row>
    <row r="195" customFormat="1" s="354">
      <c r="A195" s="345" t="n"/>
      <c r="B195" s="581" t="n"/>
      <c r="C195" s="582" t="n"/>
      <c r="D195" s="583" t="n"/>
      <c r="E195" s="584" t="n"/>
      <c r="F195" s="350" t="n"/>
      <c r="G195" s="350" t="n"/>
      <c r="H195" s="350" t="n"/>
      <c r="I195" s="350" t="n"/>
      <c r="J195" s="350" t="n"/>
      <c r="K195" s="351" t="n"/>
      <c r="L195" s="355" t="inlineStr">
        <is>
          <t>2841000195468_【ＱＣＳ】極み焼き玉子太巻き２.xlsx</t>
        </is>
      </c>
      <c r="M195" s="350" t="n"/>
      <c r="N195" s="344" t="n"/>
      <c r="O195" s="344" t="n"/>
      <c r="P195" s="344" t="n"/>
      <c r="Q195" s="344" t="n"/>
      <c r="R195" s="344" t="n"/>
      <c r="S195" s="344" t="n"/>
      <c r="T195" s="344" t="n"/>
      <c r="U195" s="344" t="n"/>
      <c r="V195" s="344" t="n"/>
      <c r="W195" s="344" t="n"/>
    </row>
    <row r="196" customFormat="1" s="354">
      <c r="A196" s="357" t="n"/>
      <c r="B196" s="581" t="n"/>
      <c r="C196" s="582" t="n"/>
      <c r="D196" s="583" t="n"/>
      <c r="E196" s="584" t="n"/>
      <c r="F196" s="350" t="n"/>
      <c r="G196" s="350" t="n"/>
      <c r="H196" s="350" t="n"/>
      <c r="I196" s="350" t="n"/>
      <c r="J196" s="350" t="n"/>
      <c r="K196" s="351" t="n"/>
      <c r="L196" s="350" t="n"/>
      <c r="M196" s="350" t="n"/>
      <c r="N196" s="344" t="n"/>
      <c r="O196" s="344" t="n"/>
      <c r="P196" s="344" t="n"/>
      <c r="Q196" s="344" t="n"/>
      <c r="R196" s="344" t="n"/>
      <c r="S196" s="344" t="n"/>
      <c r="T196" s="344" t="n"/>
      <c r="U196" s="344" t="n"/>
      <c r="V196" s="344" t="n"/>
      <c r="W196" s="344" t="n"/>
    </row>
    <row r="197" customFormat="1" s="354">
      <c r="A197" s="357" t="n"/>
      <c r="B197" s="581" t="n"/>
      <c r="C197" s="582" t="n"/>
      <c r="D197" s="583" t="n"/>
      <c r="E197" s="584" t="n"/>
      <c r="F197" s="350" t="n"/>
      <c r="G197" s="350" t="n"/>
      <c r="H197" s="350" t="n"/>
      <c r="I197" s="350" t="n"/>
      <c r="J197" s="350" t="n"/>
      <c r="K197" s="351" t="n"/>
      <c r="L197" s="350" t="n"/>
      <c r="M197" s="350" t="n"/>
      <c r="N197" s="344" t="n"/>
      <c r="O197" s="344" t="n"/>
      <c r="P197" s="344" t="n"/>
      <c r="Q197" s="344" t="n"/>
      <c r="R197" s="344" t="n"/>
      <c r="S197" s="344" t="n"/>
      <c r="T197" s="344" t="n"/>
      <c r="U197" s="344" t="n"/>
      <c r="V197" s="344" t="n"/>
      <c r="W197" s="344" t="n"/>
    </row>
    <row r="198" customFormat="1" s="354">
      <c r="A198" s="357" t="n"/>
      <c r="B198" s="581" t="n"/>
      <c r="C198" s="582" t="n"/>
      <c r="D198" s="583" t="n"/>
      <c r="E198" s="584" t="n"/>
      <c r="F198" s="350" t="n"/>
      <c r="G198" s="350" t="n"/>
      <c r="H198" s="350" t="n"/>
      <c r="I198" s="350" t="n"/>
      <c r="J198" s="350" t="n"/>
      <c r="K198" s="351" t="n"/>
      <c r="L198" s="350" t="n"/>
      <c r="M198" s="350" t="n"/>
      <c r="N198" s="344" t="n"/>
      <c r="O198" s="344" t="n"/>
      <c r="P198" s="344" t="n"/>
      <c r="Q198" s="344" t="n"/>
      <c r="R198" s="344" t="n"/>
      <c r="S198" s="344" t="n"/>
      <c r="T198" s="344" t="n"/>
      <c r="U198" s="344" t="n"/>
      <c r="V198" s="344" t="n"/>
      <c r="W198" s="344" t="n"/>
    </row>
    <row r="199" customFormat="1" s="354">
      <c r="A199" s="345" t="n"/>
      <c r="B199" s="581" t="n"/>
      <c r="C199" s="582" t="n"/>
      <c r="D199" s="583" t="n"/>
      <c r="E199" s="584" t="n"/>
      <c r="F199" s="350" t="n"/>
      <c r="G199" s="350" t="n"/>
      <c r="H199" s="350" t="n"/>
      <c r="I199" s="350" t="n"/>
      <c r="J199" s="350" t="n"/>
      <c r="K199" s="351" t="n"/>
      <c r="L199" s="350" t="n"/>
      <c r="M199" s="350" t="n"/>
      <c r="N199" s="344" t="n"/>
      <c r="O199" s="344" t="n"/>
      <c r="P199" s="344" t="n"/>
      <c r="Q199" s="344" t="n"/>
      <c r="R199" s="344" t="n"/>
      <c r="S199" s="344" t="n"/>
      <c r="T199" s="344" t="n"/>
      <c r="U199" s="344" t="n"/>
      <c r="V199" s="344" t="n"/>
      <c r="W199" s="344" t="n"/>
    </row>
    <row r="200" customFormat="1" s="354">
      <c r="A200" s="345" t="n"/>
      <c r="B200" s="581" t="n"/>
      <c r="C200" s="582" t="n"/>
      <c r="D200" s="583" t="n"/>
      <c r="E200" s="584" t="n"/>
      <c r="F200" s="350" t="n"/>
      <c r="G200" s="350" t="n"/>
      <c r="H200" s="350" t="n"/>
      <c r="I200" s="350" t="n"/>
      <c r="J200" s="350" t="n"/>
      <c r="K200" s="351" t="n"/>
      <c r="L200" s="350" t="n"/>
      <c r="M200" s="350" t="n"/>
      <c r="N200" s="344" t="n"/>
      <c r="O200" s="344" t="n"/>
      <c r="P200" s="344" t="n"/>
      <c r="Q200" s="344" t="n"/>
      <c r="R200" s="344" t="n"/>
      <c r="S200" s="344" t="n"/>
      <c r="T200" s="344" t="n"/>
      <c r="U200" s="344" t="n"/>
      <c r="V200" s="344" t="n"/>
      <c r="W200" s="344" t="n"/>
    </row>
    <row r="201" customFormat="1" s="354">
      <c r="A201" s="345" t="n"/>
      <c r="B201" s="581" t="n"/>
      <c r="C201" s="582" t="n"/>
      <c r="D201" s="583" t="n"/>
      <c r="E201" s="584" t="n"/>
      <c r="F201" s="350" t="n"/>
      <c r="G201" s="350" t="n"/>
      <c r="H201" s="350" t="n"/>
      <c r="I201" s="350" t="n"/>
      <c r="J201" s="350" t="n"/>
      <c r="K201" s="351" t="n"/>
      <c r="L201" s="350" t="n"/>
      <c r="M201" s="350" t="n"/>
      <c r="N201" s="344" t="n"/>
      <c r="O201" s="344" t="n"/>
      <c r="P201" s="344" t="n"/>
      <c r="Q201" s="344" t="n"/>
      <c r="R201" s="344" t="n"/>
      <c r="S201" s="344" t="n"/>
      <c r="T201" s="344" t="n"/>
      <c r="U201" s="344" t="n"/>
      <c r="V201" s="344" t="n"/>
      <c r="W201" s="344" t="n"/>
    </row>
    <row r="202" customFormat="1" s="354">
      <c r="A202" s="345" t="n"/>
      <c r="B202" s="581" t="n"/>
      <c r="C202" s="582" t="n"/>
      <c r="D202" s="583" t="n"/>
      <c r="E202" s="584" t="n"/>
      <c r="F202" s="350" t="n"/>
      <c r="G202" s="350" t="n"/>
      <c r="H202" s="350" t="n"/>
      <c r="I202" s="350" t="n"/>
      <c r="J202" s="350" t="n"/>
      <c r="K202" s="351" t="n"/>
      <c r="L202" s="350" t="n"/>
      <c r="M202" s="350" t="n"/>
      <c r="N202" s="344" t="n"/>
      <c r="O202" s="344" t="n"/>
      <c r="P202" s="344" t="n"/>
      <c r="Q202" s="344" t="n"/>
      <c r="R202" s="344" t="n"/>
      <c r="S202" s="344" t="n"/>
      <c r="T202" s="344" t="n"/>
      <c r="U202" s="344" t="n"/>
      <c r="V202" s="344" t="n"/>
      <c r="W202" s="344" t="n"/>
    </row>
    <row r="203" customFormat="1" s="354">
      <c r="A203" s="345" t="n"/>
      <c r="B203" s="581" t="n"/>
      <c r="C203" s="582" t="n"/>
      <c r="D203" s="583" t="n"/>
      <c r="E203" s="584" t="n"/>
      <c r="F203" s="350" t="n"/>
      <c r="G203" s="350" t="n"/>
      <c r="H203" s="350" t="n"/>
      <c r="I203" s="350" t="n"/>
      <c r="J203" s="350" t="n"/>
      <c r="K203" s="351" t="n"/>
      <c r="L203" s="350" t="n"/>
      <c r="M203" s="350" t="n"/>
      <c r="N203" s="344" t="n"/>
      <c r="O203" s="344" t="n"/>
      <c r="P203" s="344" t="n"/>
      <c r="Q203" s="344" t="n"/>
      <c r="R203" s="344" t="n"/>
      <c r="S203" s="344" t="n"/>
      <c r="T203" s="344" t="n"/>
      <c r="U203" s="344" t="n"/>
      <c r="V203" s="344" t="n"/>
      <c r="W203" s="344" t="n"/>
    </row>
    <row r="204" customFormat="1" s="354">
      <c r="A204" s="345" t="n"/>
      <c r="B204" s="581" t="n"/>
      <c r="C204" s="582" t="n"/>
      <c r="D204" s="583" t="n"/>
      <c r="E204" s="584" t="n"/>
      <c r="F204" s="350" t="n"/>
      <c r="G204" s="350" t="n"/>
      <c r="H204" s="350" t="n"/>
      <c r="I204" s="350" t="n"/>
      <c r="J204" s="350" t="n"/>
      <c r="K204" s="351" t="n"/>
      <c r="L204" s="350" t="n"/>
      <c r="M204" s="350" t="n"/>
      <c r="N204" s="344" t="n"/>
      <c r="O204" s="344" t="n"/>
      <c r="P204" s="344" t="n"/>
      <c r="Q204" s="344" t="n"/>
      <c r="R204" s="344" t="n"/>
      <c r="S204" s="344" t="n"/>
      <c r="T204" s="344" t="n"/>
      <c r="U204" s="344" t="n"/>
      <c r="V204" s="344" t="n"/>
      <c r="W204" s="344" t="n"/>
    </row>
    <row r="205" customFormat="1" s="354">
      <c r="A205" s="345" t="n"/>
      <c r="B205" s="581" t="n"/>
      <c r="C205" s="582" t="n"/>
      <c r="D205" s="583" t="n"/>
      <c r="E205" s="584" t="n"/>
      <c r="F205" s="350" t="n"/>
      <c r="G205" s="350" t="n"/>
      <c r="H205" s="350" t="n"/>
      <c r="I205" s="350" t="n"/>
      <c r="J205" s="350" t="n"/>
      <c r="K205" s="351" t="n"/>
      <c r="L205" s="350" t="n"/>
      <c r="M205" s="350" t="n"/>
      <c r="N205" s="344" t="n"/>
      <c r="O205" s="344" t="n"/>
      <c r="P205" s="344" t="n"/>
      <c r="Q205" s="344" t="n"/>
      <c r="R205" s="344" t="n"/>
      <c r="S205" s="344" t="n"/>
      <c r="T205" s="344" t="n"/>
      <c r="U205" s="344" t="n"/>
      <c r="V205" s="344" t="n"/>
      <c r="W205" s="344" t="n"/>
    </row>
    <row r="206" customFormat="1" s="354">
      <c r="A206" s="345" t="n"/>
      <c r="B206" s="581" t="n"/>
      <c r="C206" s="582" t="n"/>
      <c r="D206" s="583" t="n"/>
      <c r="E206" s="584" t="n"/>
      <c r="F206" s="350" t="n"/>
      <c r="G206" s="350" t="n"/>
      <c r="H206" s="350" t="n"/>
      <c r="I206" s="350" t="n"/>
      <c r="J206" s="350" t="n"/>
      <c r="K206" s="351" t="n"/>
      <c r="L206" s="350" t="n"/>
      <c r="M206" s="350" t="n"/>
      <c r="N206" s="344" t="n"/>
      <c r="O206" s="344" t="n"/>
      <c r="P206" s="344" t="n"/>
      <c r="Q206" s="344" t="n"/>
      <c r="R206" s="344" t="n"/>
      <c r="S206" s="344" t="n"/>
      <c r="T206" s="344" t="n"/>
      <c r="U206" s="344" t="n"/>
      <c r="V206" s="344" t="n"/>
      <c r="W206" s="344" t="n"/>
    </row>
    <row r="207" customFormat="1" s="354">
      <c r="A207" s="345" t="n"/>
      <c r="B207" s="581" t="n"/>
      <c r="C207" s="582" t="n"/>
      <c r="D207" s="583" t="n"/>
      <c r="E207" s="584" t="n"/>
      <c r="F207" s="350" t="n"/>
      <c r="G207" s="350" t="n"/>
      <c r="H207" s="350" t="n"/>
      <c r="I207" s="350" t="n"/>
      <c r="J207" s="350" t="n"/>
      <c r="K207" s="351" t="n"/>
      <c r="L207" s="350" t="n"/>
      <c r="M207" s="350" t="n"/>
      <c r="N207" s="344" t="n"/>
      <c r="O207" s="344" t="n"/>
      <c r="P207" s="344" t="n"/>
      <c r="Q207" s="344" t="n"/>
      <c r="R207" s="344" t="n"/>
      <c r="S207" s="344" t="n"/>
      <c r="T207" s="344" t="n"/>
      <c r="U207" s="344" t="n"/>
      <c r="V207" s="344" t="n"/>
      <c r="W207" s="344" t="n"/>
    </row>
    <row r="208" customFormat="1" s="354">
      <c r="A208" s="345" t="n"/>
      <c r="B208" s="581" t="n"/>
      <c r="C208" s="582" t="n"/>
      <c r="D208" s="583" t="n"/>
      <c r="E208" s="584" t="n"/>
      <c r="F208" s="350" t="n"/>
      <c r="G208" s="350" t="n"/>
      <c r="H208" s="350" t="n"/>
      <c r="I208" s="350" t="n"/>
      <c r="J208" s="350" t="n"/>
      <c r="K208" s="351" t="n"/>
      <c r="L208" s="350" t="n"/>
      <c r="M208" s="350" t="n"/>
      <c r="N208" s="344" t="n"/>
      <c r="O208" s="344" t="n"/>
      <c r="P208" s="344" t="n"/>
      <c r="Q208" s="344" t="n"/>
      <c r="R208" s="344" t="n"/>
      <c r="S208" s="344" t="n"/>
      <c r="T208" s="344" t="n"/>
      <c r="U208" s="344" t="n"/>
      <c r="V208" s="344" t="n"/>
      <c r="W208" s="344" t="n"/>
    </row>
    <row r="209" customFormat="1" s="354">
      <c r="A209" s="345" t="n"/>
      <c r="B209" s="581" t="n"/>
      <c r="C209" s="582" t="n"/>
      <c r="D209" s="583" t="n"/>
      <c r="E209" s="584" t="n"/>
      <c r="F209" s="350" t="n"/>
      <c r="G209" s="350" t="n"/>
      <c r="H209" s="350" t="n"/>
      <c r="I209" s="350" t="n"/>
      <c r="J209" s="350" t="n"/>
      <c r="K209" s="351" t="n"/>
      <c r="L209" s="350" t="n"/>
      <c r="M209" s="350" t="n"/>
      <c r="N209" s="344" t="n"/>
      <c r="O209" s="344" t="n"/>
      <c r="P209" s="344" t="n"/>
      <c r="Q209" s="344" t="n"/>
      <c r="R209" s="344" t="n"/>
      <c r="S209" s="344" t="n"/>
      <c r="T209" s="344" t="n"/>
      <c r="U209" s="344" t="n"/>
      <c r="V209" s="344" t="n"/>
      <c r="W209" s="344" t="n"/>
    </row>
    <row r="210" customFormat="1" s="354">
      <c r="A210" s="345" t="n"/>
      <c r="B210" s="581" t="n"/>
      <c r="C210" s="582" t="n"/>
      <c r="D210" s="583" t="n"/>
      <c r="E210" s="584" t="n"/>
      <c r="F210" s="350" t="n"/>
      <c r="G210" s="350" t="n"/>
      <c r="H210" s="350" t="n"/>
      <c r="I210" s="350" t="n"/>
      <c r="J210" s="350" t="n"/>
      <c r="K210" s="351" t="n"/>
      <c r="L210" s="350" t="n"/>
      <c r="M210" s="350" t="n"/>
      <c r="N210" s="344" t="n"/>
      <c r="O210" s="344" t="n"/>
      <c r="P210" s="344" t="n"/>
      <c r="Q210" s="344" t="n"/>
      <c r="R210" s="344" t="n"/>
      <c r="S210" s="344" t="n"/>
      <c r="T210" s="344" t="n"/>
      <c r="U210" s="344" t="n"/>
      <c r="V210" s="344" t="n"/>
      <c r="W210" s="344" t="n"/>
    </row>
    <row r="211" customFormat="1" s="354">
      <c r="A211" s="345" t="n"/>
      <c r="B211" s="581" t="n"/>
      <c r="C211" s="582" t="n"/>
      <c r="D211" s="583" t="n"/>
      <c r="E211" s="584" t="n"/>
      <c r="F211" s="350" t="n"/>
      <c r="G211" s="350" t="n"/>
      <c r="H211" s="350" t="n"/>
      <c r="I211" s="350" t="n"/>
      <c r="J211" s="350" t="n"/>
      <c r="K211" s="351" t="n"/>
      <c r="L211" s="355" t="inlineStr">
        <is>
          <t>2841000184141_【ＱＣＳ】レモンカット１／３２.xlsx</t>
        </is>
      </c>
      <c r="M211" s="350" t="n"/>
      <c r="N211" s="344" t="n"/>
      <c r="O211" s="344" t="n"/>
      <c r="P211" s="344" t="n"/>
      <c r="Q211" s="344" t="n"/>
      <c r="R211" s="344" t="n"/>
      <c r="S211" s="344" t="n"/>
      <c r="T211" s="344" t="n"/>
      <c r="U211" s="344" t="n"/>
      <c r="V211" s="344" t="n"/>
      <c r="W211" s="344" t="n"/>
    </row>
    <row r="212" customFormat="1" s="354">
      <c r="A212" s="345" t="n"/>
      <c r="B212" s="585" t="n"/>
      <c r="C212" s="582" t="n"/>
      <c r="D212" s="586" t="n"/>
      <c r="E212" s="584" t="n"/>
      <c r="F212" s="350" t="n"/>
      <c r="G212" s="350" t="n"/>
      <c r="H212" s="350" t="n"/>
      <c r="I212" s="350" t="n"/>
      <c r="J212" s="350" t="n"/>
      <c r="K212" s="351" t="n"/>
      <c r="L212" s="350" t="n"/>
      <c r="M212" s="350" t="n"/>
      <c r="N212" s="344" t="n"/>
      <c r="O212" s="344" t="n"/>
      <c r="P212" s="344" t="n"/>
      <c r="Q212" s="344" t="n"/>
      <c r="R212" s="344" t="n"/>
      <c r="S212" s="344" t="n"/>
      <c r="T212" s="344" t="n"/>
      <c r="U212" s="344" t="n"/>
      <c r="V212" s="344" t="n"/>
      <c r="W212" s="344" t="n"/>
    </row>
    <row r="213" customFormat="1" s="354">
      <c r="A213" s="345" t="n"/>
      <c r="B213" s="585" t="n"/>
      <c r="C213" s="582" t="n"/>
      <c r="D213" s="586" t="n"/>
      <c r="E213" s="584" t="n"/>
      <c r="F213" s="350" t="n"/>
      <c r="G213" s="350" t="n"/>
      <c r="H213" s="350" t="n"/>
      <c r="I213" s="350" t="n"/>
      <c r="J213" s="350" t="n"/>
      <c r="K213" s="351" t="n"/>
      <c r="L213" s="350" t="n"/>
      <c r="M213" s="350" t="n"/>
      <c r="N213" s="344" t="n"/>
      <c r="O213" s="344" t="n"/>
      <c r="P213" s="344" t="n"/>
      <c r="Q213" s="344" t="n"/>
      <c r="R213" s="344" t="n"/>
      <c r="S213" s="344" t="n"/>
      <c r="T213" s="344" t="n"/>
      <c r="U213" s="344" t="n"/>
      <c r="V213" s="344" t="n"/>
      <c r="W213" s="344" t="n"/>
    </row>
    <row r="214" customFormat="1" s="354">
      <c r="A214" s="345" t="n"/>
      <c r="B214" s="585" t="n"/>
      <c r="C214" s="582" t="n"/>
      <c r="D214" s="586" t="n"/>
      <c r="E214" s="584" t="n"/>
      <c r="F214" s="350" t="n"/>
      <c r="G214" s="350" t="n"/>
      <c r="H214" s="350" t="n"/>
      <c r="I214" s="350" t="n"/>
      <c r="J214" s="350" t="n"/>
      <c r="K214" s="351" t="n"/>
      <c r="L214" s="350" t="n"/>
      <c r="M214" s="350" t="n"/>
      <c r="N214" s="344" t="n"/>
      <c r="O214" s="344" t="n"/>
      <c r="P214" s="344" t="n"/>
      <c r="Q214" s="344" t="n"/>
      <c r="R214" s="344" t="n"/>
      <c r="S214" s="344" t="n"/>
      <c r="T214" s="344" t="n"/>
      <c r="U214" s="344" t="n"/>
      <c r="V214" s="344" t="n"/>
      <c r="W214" s="344" t="n"/>
    </row>
    <row r="215" customFormat="1" s="354">
      <c r="A215" s="345" t="n"/>
      <c r="B215" s="581" t="n"/>
      <c r="C215" s="582" t="n"/>
      <c r="D215" s="583" t="n"/>
      <c r="E215" s="584" t="n"/>
      <c r="F215" s="350" t="n"/>
      <c r="G215" s="350" t="n"/>
      <c r="H215" s="350" t="n"/>
      <c r="I215" s="350" t="n"/>
      <c r="J215" s="350" t="n"/>
      <c r="K215" s="351" t="n"/>
      <c r="L215" s="350" t="n"/>
      <c r="M215" s="350" t="n"/>
      <c r="N215" s="344" t="n"/>
      <c r="O215" s="344" t="n"/>
      <c r="P215" s="344" t="n"/>
      <c r="Q215" s="344" t="n"/>
      <c r="R215" s="344" t="n"/>
      <c r="S215" s="344" t="n"/>
      <c r="T215" s="344" t="n"/>
      <c r="U215" s="344" t="n"/>
      <c r="V215" s="344" t="n"/>
      <c r="W215" s="344" t="n"/>
    </row>
    <row r="216" customFormat="1" s="354">
      <c r="A216" s="345" t="n"/>
      <c r="B216" s="581" t="n"/>
      <c r="C216" s="582" t="n"/>
      <c r="D216" s="583" t="n"/>
      <c r="E216" s="584" t="n"/>
      <c r="F216" s="350" t="n"/>
      <c r="G216" s="350" t="n"/>
      <c r="H216" s="350" t="n"/>
      <c r="I216" s="350" t="n"/>
      <c r="J216" s="350" t="n"/>
      <c r="K216" s="351" t="n"/>
      <c r="L216" s="350" t="n"/>
      <c r="M216" s="350" t="n"/>
      <c r="N216" s="344" t="n"/>
      <c r="O216" s="344" t="n"/>
      <c r="P216" s="344" t="n"/>
      <c r="Q216" s="344" t="n"/>
      <c r="R216" s="344" t="n"/>
      <c r="S216" s="344" t="n"/>
      <c r="T216" s="344" t="n"/>
      <c r="U216" s="344" t="n"/>
      <c r="V216" s="344" t="n"/>
      <c r="W216" s="344" t="n"/>
    </row>
    <row r="217" customFormat="1" s="354">
      <c r="A217" s="345" t="n"/>
      <c r="B217" s="581" t="n"/>
      <c r="C217" s="582" t="n"/>
      <c r="D217" s="583" t="n"/>
      <c r="E217" s="584" t="n"/>
      <c r="F217" s="350" t="n"/>
      <c r="G217" s="350" t="n"/>
      <c r="H217" s="350" t="n"/>
      <c r="I217" s="350" t="n"/>
      <c r="J217" s="350" t="n"/>
      <c r="K217" s="351" t="n"/>
      <c r="L217" s="350" t="n"/>
      <c r="M217" s="350" t="n"/>
      <c r="N217" s="344" t="n"/>
      <c r="O217" s="344" t="n"/>
      <c r="P217" s="344" t="n"/>
      <c r="Q217" s="344" t="n"/>
      <c r="R217" s="344" t="n"/>
      <c r="S217" s="344" t="n"/>
      <c r="T217" s="344" t="n"/>
      <c r="U217" s="344" t="n"/>
      <c r="V217" s="344" t="n"/>
      <c r="W217" s="344" t="n"/>
    </row>
    <row r="218" customFormat="1" s="354">
      <c r="A218" s="345" t="n"/>
      <c r="B218" s="581" t="n"/>
      <c r="C218" s="582" t="n"/>
      <c r="D218" s="583" t="n"/>
      <c r="E218" s="584" t="n"/>
      <c r="F218" s="350" t="n"/>
      <c r="G218" s="350" t="n"/>
      <c r="H218" s="350" t="n"/>
      <c r="I218" s="350" t="n"/>
      <c r="J218" s="350" t="n"/>
      <c r="K218" s="351" t="n"/>
      <c r="L218" s="350" t="n"/>
      <c r="M218" s="350" t="n"/>
      <c r="N218" s="344" t="n"/>
      <c r="O218" s="344" t="n"/>
      <c r="P218" s="344" t="n"/>
      <c r="Q218" s="344" t="n"/>
      <c r="R218" s="344" t="n"/>
      <c r="S218" s="344" t="n"/>
      <c r="T218" s="344" t="n"/>
      <c r="U218" s="344" t="n"/>
      <c r="V218" s="344" t="n"/>
      <c r="W218" s="344" t="n"/>
    </row>
    <row r="219" customFormat="1" s="354">
      <c r="A219" s="345" t="n"/>
      <c r="B219" s="581" t="n"/>
      <c r="C219" s="582" t="n"/>
      <c r="D219" s="583" t="n"/>
      <c r="E219" s="584" t="n"/>
      <c r="F219" s="350" t="n"/>
      <c r="G219" s="350" t="n"/>
      <c r="H219" s="350" t="n"/>
      <c r="I219" s="350" t="n"/>
      <c r="J219" s="350" t="n"/>
      <c r="K219" s="351" t="n"/>
      <c r="L219" s="350" t="n"/>
      <c r="M219" s="350" t="n"/>
      <c r="N219" s="344" t="n"/>
      <c r="O219" s="344" t="n"/>
      <c r="P219" s="344" t="n"/>
      <c r="Q219" s="344" t="n"/>
      <c r="R219" s="344" t="n"/>
      <c r="S219" s="344" t="n"/>
      <c r="T219" s="344" t="n"/>
      <c r="U219" s="344" t="n"/>
      <c r="V219" s="344" t="n"/>
      <c r="W219" s="344" t="n"/>
    </row>
    <row r="220" customFormat="1" s="354">
      <c r="A220" s="345" t="n"/>
      <c r="B220" s="581" t="n"/>
      <c r="C220" s="582" t="n"/>
      <c r="D220" s="583" t="n"/>
      <c r="E220" s="584" t="n"/>
      <c r="F220" s="350" t="n"/>
      <c r="G220" s="350" t="n"/>
      <c r="H220" s="350" t="n"/>
      <c r="I220" s="350" t="n"/>
      <c r="J220" s="350" t="n"/>
      <c r="K220" s="351" t="n"/>
      <c r="L220" s="350" t="n"/>
      <c r="M220" s="350" t="n"/>
      <c r="N220" s="344" t="n"/>
      <c r="O220" s="344" t="n"/>
      <c r="P220" s="344" t="n"/>
      <c r="Q220" s="344" t="n"/>
      <c r="R220" s="344" t="n"/>
      <c r="S220" s="344" t="n"/>
      <c r="T220" s="344" t="n"/>
      <c r="U220" s="344" t="n"/>
      <c r="V220" s="344" t="n"/>
      <c r="W220" s="344" t="n"/>
    </row>
    <row r="221" customFormat="1" s="354">
      <c r="A221" s="345" t="n"/>
      <c r="B221" s="581" t="n"/>
      <c r="C221" s="582" t="n"/>
      <c r="D221" s="583" t="n"/>
      <c r="E221" s="584" t="n"/>
      <c r="F221" s="350" t="n"/>
      <c r="G221" s="350" t="n"/>
      <c r="H221" s="350" t="n"/>
      <c r="I221" s="350" t="n"/>
      <c r="J221" s="350" t="n"/>
      <c r="K221" s="351" t="n"/>
      <c r="L221" s="350" t="n"/>
      <c r="M221" s="350" t="n"/>
      <c r="N221" s="344" t="n"/>
      <c r="O221" s="344" t="n"/>
      <c r="P221" s="344" t="n"/>
      <c r="Q221" s="344" t="n"/>
      <c r="R221" s="344" t="n"/>
      <c r="S221" s="344" t="n"/>
      <c r="T221" s="344" t="n"/>
      <c r="U221" s="344" t="n"/>
      <c r="V221" s="344" t="n"/>
      <c r="W221" s="344" t="n"/>
    </row>
    <row r="222" customFormat="1" s="354">
      <c r="A222" s="345" t="n"/>
      <c r="B222" s="581" t="n"/>
      <c r="C222" s="582" t="n"/>
      <c r="D222" s="583" t="n"/>
      <c r="E222" s="584" t="n"/>
      <c r="F222" s="350" t="n"/>
      <c r="G222" s="350" t="n"/>
      <c r="H222" s="350" t="n"/>
      <c r="I222" s="350" t="n"/>
      <c r="J222" s="350" t="n"/>
      <c r="K222" s="351" t="n"/>
      <c r="L222" s="350" t="n"/>
      <c r="M222" s="350" t="n"/>
      <c r="N222" s="344" t="n"/>
      <c r="O222" s="344" t="n"/>
      <c r="P222" s="344" t="n"/>
      <c r="Q222" s="344" t="n"/>
      <c r="R222" s="344" t="n"/>
      <c r="S222" s="344" t="n"/>
      <c r="T222" s="344" t="n"/>
      <c r="U222" s="344" t="n"/>
      <c r="V222" s="344" t="n"/>
      <c r="W222" s="344" t="n"/>
    </row>
    <row r="223" customFormat="1" s="354">
      <c r="A223" s="345" t="n"/>
      <c r="B223" s="581" t="n"/>
      <c r="C223" s="582" t="n"/>
      <c r="D223" s="583" t="n"/>
      <c r="E223" s="584" t="n"/>
      <c r="F223" s="350" t="n"/>
      <c r="G223" s="350" t="n"/>
      <c r="H223" s="350" t="n"/>
      <c r="I223" s="350" t="n"/>
      <c r="J223" s="350" t="n"/>
      <c r="K223" s="351" t="n"/>
      <c r="L223" s="350" t="n"/>
      <c r="M223" s="350" t="n"/>
      <c r="N223" s="344" t="n"/>
      <c r="O223" s="344" t="n"/>
      <c r="P223" s="344" t="n"/>
      <c r="Q223" s="344" t="n"/>
      <c r="R223" s="344" t="n"/>
      <c r="S223" s="344" t="n"/>
      <c r="T223" s="344" t="n"/>
      <c r="U223" s="344" t="n"/>
      <c r="V223" s="344" t="n"/>
      <c r="W223" s="344" t="n"/>
    </row>
    <row r="224" customFormat="1" s="354">
      <c r="A224" s="345" t="n"/>
      <c r="B224" s="581" t="n"/>
      <c r="C224" s="582" t="n"/>
      <c r="D224" s="583" t="n"/>
      <c r="E224" s="584" t="n"/>
      <c r="F224" s="350" t="n"/>
      <c r="G224" s="350" t="n"/>
      <c r="H224" s="350" t="n"/>
      <c r="I224" s="350" t="n"/>
      <c r="J224" s="350" t="n"/>
      <c r="K224" s="351" t="n"/>
      <c r="L224" s="350" t="n"/>
      <c r="M224" s="350" t="n"/>
      <c r="N224" s="344" t="n"/>
      <c r="O224" s="344" t="n"/>
      <c r="P224" s="344" t="n"/>
      <c r="Q224" s="344" t="n"/>
      <c r="R224" s="344" t="n"/>
      <c r="S224" s="344" t="n"/>
      <c r="T224" s="344" t="n"/>
      <c r="U224" s="344" t="n"/>
      <c r="V224" s="344" t="n"/>
      <c r="W224" s="344" t="n"/>
    </row>
    <row r="225" customFormat="1" s="354">
      <c r="A225" s="345" t="n"/>
      <c r="B225" s="581" t="n"/>
      <c r="C225" s="582" t="n"/>
      <c r="D225" s="583" t="n"/>
      <c r="E225" s="584" t="n"/>
      <c r="F225" s="350" t="n"/>
      <c r="G225" s="350" t="n"/>
      <c r="H225" s="350" t="n"/>
      <c r="I225" s="350" t="n"/>
      <c r="J225" s="350" t="n"/>
      <c r="K225" s="351" t="n"/>
      <c r="L225" s="350" t="n"/>
      <c r="M225" s="350" t="n"/>
      <c r="N225" s="344" t="n"/>
      <c r="O225" s="344" t="n"/>
      <c r="P225" s="344" t="n"/>
      <c r="Q225" s="344" t="n"/>
      <c r="R225" s="344" t="n"/>
      <c r="S225" s="344" t="n"/>
      <c r="T225" s="344" t="n"/>
      <c r="U225" s="344" t="n"/>
      <c r="V225" s="344" t="n"/>
      <c r="W225" s="344" t="n"/>
    </row>
    <row r="226" customFormat="1" s="354">
      <c r="A226" s="345" t="n"/>
      <c r="B226" s="581" t="n"/>
      <c r="C226" s="582" t="n"/>
      <c r="D226" s="583" t="n"/>
      <c r="E226" s="584" t="n"/>
      <c r="F226" s="350" t="n"/>
      <c r="G226" s="350" t="n"/>
      <c r="H226" s="350" t="n"/>
      <c r="I226" s="350" t="n"/>
      <c r="J226" s="350" t="n"/>
      <c r="K226" s="351" t="n"/>
      <c r="L226" s="350" t="n"/>
      <c r="M226" s="350" t="n"/>
      <c r="N226" s="344" t="n"/>
      <c r="O226" s="344" t="n"/>
      <c r="P226" s="344" t="n"/>
      <c r="Q226" s="344" t="n"/>
      <c r="R226" s="344" t="n"/>
      <c r="S226" s="344" t="n"/>
      <c r="T226" s="344" t="n"/>
      <c r="U226" s="344" t="n"/>
      <c r="V226" s="344" t="n"/>
      <c r="W226" s="344" t="n"/>
    </row>
    <row r="227" customFormat="1" s="354">
      <c r="A227" s="345" t="n"/>
      <c r="B227" s="581" t="n"/>
      <c r="C227" s="582" t="n"/>
      <c r="D227" s="583" t="n"/>
      <c r="E227" s="584" t="n"/>
      <c r="F227" s="350" t="n"/>
      <c r="G227" s="350" t="n"/>
      <c r="H227" s="350" t="n"/>
      <c r="I227" s="350" t="n"/>
      <c r="J227" s="350" t="n"/>
      <c r="K227" s="351" t="n"/>
      <c r="L227" s="355" t="inlineStr">
        <is>
          <t>2841000184141_【ＱＣＳ】レモンカット１／３２.xlsx</t>
        </is>
      </c>
      <c r="M227" s="350" t="n"/>
      <c r="N227" s="344" t="n"/>
      <c r="O227" s="344" t="n"/>
      <c r="P227" s="344" t="n"/>
      <c r="Q227" s="344" t="n"/>
      <c r="R227" s="344" t="n"/>
      <c r="S227" s="344" t="n"/>
      <c r="T227" s="344" t="n"/>
      <c r="U227" s="344" t="n"/>
      <c r="V227" s="344" t="n"/>
      <c r="W227" s="344" t="n"/>
    </row>
    <row r="228" customFormat="1" s="354">
      <c r="A228" s="345" t="n"/>
      <c r="B228" s="581" t="n"/>
      <c r="C228" s="582" t="n"/>
      <c r="D228" s="583" t="n"/>
      <c r="E228" s="584" t="n"/>
      <c r="F228" s="350" t="n"/>
      <c r="G228" s="350" t="n"/>
      <c r="H228" s="350" t="n"/>
      <c r="I228" s="350" t="n"/>
      <c r="J228" s="350" t="n"/>
      <c r="K228" s="351" t="n"/>
      <c r="L228" s="350" t="n"/>
      <c r="M228" s="350" t="n"/>
      <c r="N228" s="344" t="n"/>
      <c r="O228" s="344" t="n"/>
      <c r="P228" s="344" t="n"/>
      <c r="Q228" s="344" t="n"/>
      <c r="R228" s="344" t="n"/>
      <c r="S228" s="344" t="n"/>
      <c r="T228" s="344" t="n"/>
      <c r="U228" s="344" t="n"/>
      <c r="V228" s="344" t="n"/>
      <c r="W228" s="344" t="n"/>
    </row>
    <row r="229" customFormat="1" s="354">
      <c r="A229" s="345" t="n"/>
      <c r="B229" s="581" t="n"/>
      <c r="C229" s="582" t="n"/>
      <c r="D229" s="583" t="n"/>
      <c r="E229" s="584" t="n"/>
      <c r="F229" s="350" t="n"/>
      <c r="G229" s="350" t="n"/>
      <c r="H229" s="350" t="n"/>
      <c r="I229" s="350" t="n"/>
      <c r="J229" s="350" t="n"/>
      <c r="K229" s="351" t="n"/>
      <c r="L229" s="350" t="n"/>
      <c r="M229" s="350" t="n"/>
      <c r="N229" s="344" t="n"/>
      <c r="O229" s="344" t="n"/>
      <c r="P229" s="344" t="n"/>
      <c r="Q229" s="344" t="n"/>
      <c r="R229" s="344" t="n"/>
      <c r="S229" s="344" t="n"/>
      <c r="T229" s="344" t="n"/>
      <c r="U229" s="344" t="n"/>
      <c r="V229" s="344" t="n"/>
      <c r="W229" s="344" t="n"/>
    </row>
    <row r="230" customFormat="1" s="354">
      <c r="A230" s="345" t="n"/>
      <c r="B230" s="581" t="n"/>
      <c r="C230" s="582" t="n"/>
      <c r="D230" s="583" t="n"/>
      <c r="E230" s="584" t="n"/>
      <c r="F230" s="350" t="n"/>
      <c r="G230" s="350" t="n"/>
      <c r="H230" s="350" t="n"/>
      <c r="I230" s="350" t="n"/>
      <c r="J230" s="350" t="n"/>
      <c r="K230" s="351" t="n"/>
      <c r="L230" s="350" t="n"/>
      <c r="M230" s="350" t="n"/>
      <c r="N230" s="344" t="n"/>
      <c r="O230" s="344" t="n"/>
      <c r="P230" s="344" t="n"/>
      <c r="Q230" s="344" t="n"/>
      <c r="R230" s="344" t="n"/>
      <c r="S230" s="344" t="n"/>
      <c r="T230" s="344" t="n"/>
      <c r="U230" s="344" t="n"/>
      <c r="V230" s="344" t="n"/>
      <c r="W230" s="344" t="n"/>
    </row>
    <row r="231" customFormat="1" s="354">
      <c r="A231" s="345" t="n"/>
      <c r="B231" s="581" t="n"/>
      <c r="C231" s="582" t="n"/>
      <c r="D231" s="583" t="n"/>
      <c r="E231" s="584" t="n"/>
      <c r="F231" s="350" t="n"/>
      <c r="G231" s="350" t="n"/>
      <c r="H231" s="350" t="n"/>
      <c r="I231" s="350" t="n"/>
      <c r="J231" s="350" t="n"/>
      <c r="K231" s="351" t="n"/>
      <c r="L231" s="350" t="n"/>
      <c r="M231" s="350" t="n"/>
      <c r="N231" s="344" t="n"/>
      <c r="O231" s="344" t="n"/>
      <c r="P231" s="344" t="n"/>
      <c r="Q231" s="344" t="n"/>
      <c r="R231" s="344" t="n"/>
      <c r="S231" s="344" t="n"/>
      <c r="T231" s="344" t="n"/>
      <c r="U231" s="344" t="n"/>
      <c r="V231" s="344" t="n"/>
      <c r="W231" s="344" t="n"/>
    </row>
    <row r="232" customFormat="1" s="354">
      <c r="A232" s="345" t="n"/>
      <c r="B232" s="581" t="n"/>
      <c r="C232" s="582" t="n"/>
      <c r="D232" s="583" t="n"/>
      <c r="E232" s="584" t="n"/>
      <c r="F232" s="350" t="n"/>
      <c r="G232" s="350" t="n"/>
      <c r="H232" s="350" t="n"/>
      <c r="I232" s="350" t="n"/>
      <c r="J232" s="350" t="n"/>
      <c r="K232" s="351" t="n"/>
      <c r="L232" s="350" t="n"/>
      <c r="M232" s="350" t="n"/>
      <c r="N232" s="344" t="n"/>
      <c r="O232" s="344" t="n"/>
      <c r="P232" s="344" t="n"/>
      <c r="Q232" s="344" t="n"/>
      <c r="R232" s="344" t="n"/>
      <c r="S232" s="344" t="n"/>
      <c r="T232" s="344" t="n"/>
      <c r="U232" s="344" t="n"/>
      <c r="V232" s="344" t="n"/>
      <c r="W232" s="344" t="n"/>
    </row>
    <row r="233" customFormat="1" s="354">
      <c r="A233" s="345" t="n"/>
      <c r="B233" s="581" t="n"/>
      <c r="C233" s="582" t="n"/>
      <c r="D233" s="583" t="n"/>
      <c r="E233" s="584" t="n"/>
      <c r="F233" s="350" t="n"/>
      <c r="G233" s="350" t="n"/>
      <c r="H233" s="350" t="n"/>
      <c r="I233" s="350" t="n"/>
      <c r="J233" s="350" t="n"/>
      <c r="K233" s="351" t="n"/>
      <c r="L233" s="350" t="n"/>
      <c r="M233" s="350" t="n"/>
      <c r="N233" s="344" t="n"/>
      <c r="O233" s="344" t="n"/>
      <c r="P233" s="344" t="n"/>
      <c r="Q233" s="344" t="n"/>
      <c r="R233" s="344" t="n"/>
      <c r="S233" s="344" t="n"/>
      <c r="T233" s="344" t="n"/>
      <c r="U233" s="344" t="n"/>
      <c r="V233" s="344" t="n"/>
      <c r="W233" s="344" t="n"/>
    </row>
    <row r="234" customFormat="1" s="354">
      <c r="A234" s="345" t="n"/>
      <c r="B234" s="581" t="n"/>
      <c r="C234" s="582" t="n"/>
      <c r="D234" s="583" t="n"/>
      <c r="E234" s="584" t="n"/>
      <c r="F234" s="350" t="n"/>
      <c r="G234" s="350" t="n"/>
      <c r="H234" s="350" t="n"/>
      <c r="I234" s="350" t="n"/>
      <c r="J234" s="350" t="n"/>
      <c r="K234" s="351" t="n"/>
      <c r="L234" s="355" t="inlineStr">
        <is>
          <t>2841000195468_【ＱＣＳ】極み焼き玉子太巻き２.xlsx</t>
        </is>
      </c>
      <c r="M234" s="350" t="n"/>
      <c r="N234" s="344" t="n"/>
      <c r="O234" s="344" t="n"/>
      <c r="P234" s="344" t="n"/>
      <c r="Q234" s="344" t="n"/>
      <c r="R234" s="344" t="n"/>
      <c r="S234" s="344" t="n"/>
      <c r="T234" s="344" t="n"/>
      <c r="U234" s="344" t="n"/>
      <c r="V234" s="344" t="n"/>
      <c r="W234" s="344" t="n"/>
    </row>
    <row r="235" customFormat="1" s="354">
      <c r="A235" s="345" t="n"/>
      <c r="B235" s="581" t="n"/>
      <c r="C235" s="582" t="n"/>
      <c r="D235" s="583" t="n"/>
      <c r="E235" s="584" t="n"/>
      <c r="F235" s="350" t="n"/>
      <c r="G235" s="350" t="n"/>
      <c r="H235" s="350" t="n"/>
      <c r="I235" s="350" t="n"/>
      <c r="J235" s="350" t="n"/>
      <c r="K235" s="351" t="n"/>
      <c r="L235" s="350" t="n"/>
      <c r="M235" s="350" t="n"/>
      <c r="N235" s="344" t="n"/>
      <c r="O235" s="344" t="n"/>
      <c r="P235" s="344" t="n"/>
      <c r="Q235" s="344" t="n"/>
      <c r="R235" s="344" t="n"/>
      <c r="S235" s="344" t="n"/>
      <c r="T235" s="344" t="n"/>
      <c r="U235" s="344" t="n"/>
      <c r="V235" s="344" t="n"/>
      <c r="W235" s="344" t="n"/>
    </row>
    <row r="236" customFormat="1" s="354">
      <c r="A236" s="345" t="n"/>
      <c r="B236" s="581" t="n"/>
      <c r="C236" s="582" t="n"/>
      <c r="D236" s="583" t="n"/>
      <c r="E236" s="584" t="n"/>
      <c r="F236" s="350" t="n"/>
      <c r="G236" s="350" t="n"/>
      <c r="H236" s="350" t="n"/>
      <c r="I236" s="350" t="n"/>
      <c r="J236" s="350" t="n"/>
      <c r="K236" s="351" t="n"/>
      <c r="L236" s="350" t="n"/>
      <c r="M236" s="350" t="n"/>
      <c r="N236" s="344" t="n"/>
      <c r="O236" s="344" t="n"/>
      <c r="P236" s="344" t="n"/>
      <c r="Q236" s="344" t="n"/>
      <c r="R236" s="344" t="n"/>
      <c r="S236" s="344" t="n"/>
      <c r="T236" s="344" t="n"/>
      <c r="U236" s="344" t="n"/>
      <c r="V236" s="344" t="n"/>
      <c r="W236" s="344" t="n"/>
    </row>
    <row r="237" customFormat="1" s="354">
      <c r="A237" s="345" t="n"/>
      <c r="B237" s="581" t="n"/>
      <c r="C237" s="582" t="n"/>
      <c r="D237" s="583" t="n"/>
      <c r="E237" s="584" t="n"/>
      <c r="F237" s="350" t="n"/>
      <c r="G237" s="350" t="n"/>
      <c r="H237" s="350" t="n"/>
      <c r="I237" s="350" t="n"/>
      <c r="J237" s="350" t="n"/>
      <c r="K237" s="351" t="n"/>
      <c r="L237" s="350" t="n"/>
      <c r="M237" s="350" t="n"/>
      <c r="N237" s="344" t="n"/>
      <c r="O237" s="344" t="n"/>
      <c r="P237" s="344" t="n"/>
      <c r="Q237" s="344" t="n"/>
      <c r="R237" s="344" t="n"/>
      <c r="S237" s="344" t="n"/>
      <c r="T237" s="344" t="n"/>
      <c r="U237" s="344" t="n"/>
      <c r="V237" s="344" t="n"/>
      <c r="W237" s="344" t="n"/>
    </row>
    <row r="238" customFormat="1" s="354">
      <c r="A238" s="345" t="n"/>
      <c r="B238" s="581" t="n"/>
      <c r="C238" s="582" t="n"/>
      <c r="D238" s="583" t="n"/>
      <c r="E238" s="584" t="n"/>
      <c r="F238" s="350" t="n"/>
      <c r="G238" s="350" t="n"/>
      <c r="H238" s="350" t="n"/>
      <c r="I238" s="350" t="n"/>
      <c r="J238" s="350" t="n"/>
      <c r="K238" s="351" t="n"/>
      <c r="L238" s="350" t="n"/>
      <c r="M238" s="350" t="n"/>
      <c r="N238" s="344" t="n"/>
      <c r="O238" s="344" t="n"/>
      <c r="P238" s="344" t="n"/>
      <c r="Q238" s="344" t="n"/>
      <c r="R238" s="344" t="n"/>
      <c r="S238" s="344" t="n"/>
      <c r="T238" s="344" t="n"/>
      <c r="U238" s="344" t="n"/>
      <c r="V238" s="344" t="n"/>
      <c r="W238" s="344" t="n"/>
    </row>
    <row r="239" customFormat="1" s="354">
      <c r="A239" s="345" t="n"/>
      <c r="B239" s="581" t="n"/>
      <c r="C239" s="582" t="n"/>
      <c r="D239" s="583" t="n"/>
      <c r="E239" s="584" t="n"/>
      <c r="F239" s="350" t="n"/>
      <c r="G239" s="350" t="n"/>
      <c r="H239" s="350" t="n"/>
      <c r="I239" s="350" t="n"/>
      <c r="J239" s="350" t="n"/>
      <c r="K239" s="351" t="n"/>
      <c r="L239" s="350" t="n"/>
      <c r="M239" s="350" t="n"/>
      <c r="N239" s="344" t="n"/>
      <c r="O239" s="344" t="n"/>
      <c r="P239" s="344" t="n"/>
      <c r="Q239" s="344" t="n"/>
      <c r="R239" s="344" t="n"/>
      <c r="S239" s="344" t="n"/>
      <c r="T239" s="344" t="n"/>
      <c r="U239" s="344" t="n"/>
      <c r="V239" s="344" t="n"/>
      <c r="W239" s="344" t="n"/>
    </row>
    <row r="240" customFormat="1" s="354">
      <c r="A240" s="345" t="n"/>
      <c r="B240" s="581" t="n"/>
      <c r="C240" s="582" t="n"/>
      <c r="D240" s="583" t="n"/>
      <c r="E240" s="584" t="n"/>
      <c r="F240" s="350" t="n"/>
      <c r="G240" s="350" t="n"/>
      <c r="H240" s="350" t="n"/>
      <c r="I240" s="350" t="n"/>
      <c r="J240" s="350" t="n"/>
      <c r="K240" s="351" t="n"/>
      <c r="L240" s="350" t="n"/>
      <c r="M240" s="350" t="n"/>
      <c r="N240" s="344" t="n"/>
      <c r="O240" s="344" t="n"/>
      <c r="P240" s="344" t="n"/>
      <c r="Q240" s="344" t="n"/>
      <c r="R240" s="344" t="n"/>
      <c r="S240" s="344" t="n"/>
      <c r="T240" s="344" t="n"/>
      <c r="U240" s="344" t="n"/>
      <c r="V240" s="344" t="n"/>
      <c r="W240" s="344" t="n"/>
    </row>
    <row r="241" customFormat="1" s="354">
      <c r="A241" s="345" t="n"/>
      <c r="B241" s="581" t="n"/>
      <c r="C241" s="582" t="n"/>
      <c r="D241" s="583" t="n"/>
      <c r="E241" s="584" t="n"/>
      <c r="F241" s="350" t="n"/>
      <c r="G241" s="350" t="n"/>
      <c r="H241" s="350" t="n"/>
      <c r="I241" s="350" t="n"/>
      <c r="J241" s="350" t="n"/>
      <c r="K241" s="351" t="n"/>
      <c r="L241" s="350" t="n"/>
      <c r="M241" s="350" t="n"/>
      <c r="N241" s="344" t="n"/>
      <c r="O241" s="344" t="n"/>
      <c r="P241" s="344" t="n"/>
      <c r="Q241" s="344" t="n"/>
      <c r="R241" s="344" t="n"/>
      <c r="S241" s="344" t="n"/>
      <c r="T241" s="344" t="n"/>
      <c r="U241" s="344" t="n"/>
      <c r="V241" s="344" t="n"/>
      <c r="W241" s="344" t="n"/>
    </row>
    <row r="242" customFormat="1" s="354">
      <c r="A242" s="345" t="n"/>
      <c r="B242" s="581" t="n"/>
      <c r="C242" s="582" t="n"/>
      <c r="D242" s="583" t="n"/>
      <c r="E242" s="584" t="n"/>
      <c r="F242" s="350" t="n"/>
      <c r="G242" s="350" t="n"/>
      <c r="H242" s="350" t="n"/>
      <c r="I242" s="350" t="n"/>
      <c r="J242" s="350" t="n"/>
      <c r="K242" s="351" t="n"/>
      <c r="L242" s="350" t="n"/>
      <c r="M242" s="350" t="n"/>
      <c r="N242" s="344" t="n"/>
      <c r="O242" s="344" t="n"/>
      <c r="P242" s="344" t="n"/>
      <c r="Q242" s="344" t="n"/>
      <c r="R242" s="344" t="n"/>
      <c r="S242" s="344" t="n"/>
      <c r="T242" s="344" t="n"/>
      <c r="U242" s="344" t="n"/>
      <c r="V242" s="344" t="n"/>
      <c r="W242" s="344" t="n"/>
    </row>
    <row r="243" customFormat="1" s="354">
      <c r="A243" s="345" t="n"/>
      <c r="B243" s="581" t="n"/>
      <c r="C243" s="582" t="n"/>
      <c r="D243" s="583" t="n"/>
      <c r="E243" s="584" t="n"/>
      <c r="F243" s="350" t="n"/>
      <c r="G243" s="350" t="n"/>
      <c r="H243" s="350" t="n"/>
      <c r="I243" s="350" t="n"/>
      <c r="J243" s="350" t="n"/>
      <c r="K243" s="351" t="n"/>
      <c r="L243" s="350" t="n"/>
      <c r="M243" s="350" t="n"/>
      <c r="N243" s="344" t="n"/>
      <c r="O243" s="344" t="n"/>
      <c r="P243" s="344" t="n"/>
      <c r="Q243" s="344" t="n"/>
      <c r="R243" s="344" t="n"/>
      <c r="S243" s="344" t="n"/>
      <c r="T243" s="344" t="n"/>
      <c r="U243" s="344" t="n"/>
      <c r="V243" s="344" t="n"/>
      <c r="W243" s="344" t="n"/>
    </row>
    <row r="244" customFormat="1" s="354">
      <c r="A244" s="345" t="n"/>
      <c r="B244" s="581" t="n"/>
      <c r="C244" s="582" t="n"/>
      <c r="D244" s="583" t="n"/>
      <c r="E244" s="584" t="n"/>
      <c r="F244" s="350" t="n"/>
      <c r="G244" s="350" t="n"/>
      <c r="H244" s="350" t="n"/>
      <c r="I244" s="350" t="n"/>
      <c r="J244" s="350" t="n"/>
      <c r="K244" s="351" t="n"/>
      <c r="L244" s="350" t="n"/>
      <c r="M244" s="350" t="n"/>
      <c r="N244" s="344" t="n"/>
      <c r="O244" s="344" t="n"/>
      <c r="P244" s="344" t="n"/>
      <c r="Q244" s="344" t="n"/>
      <c r="R244" s="344" t="n"/>
      <c r="S244" s="344" t="n"/>
      <c r="T244" s="344" t="n"/>
      <c r="U244" s="344" t="n"/>
      <c r="V244" s="344" t="n"/>
      <c r="W244" s="344" t="n"/>
    </row>
    <row r="245" customFormat="1" s="354">
      <c r="A245" s="345" t="n"/>
      <c r="B245" s="581" t="n"/>
      <c r="C245" s="582" t="n"/>
      <c r="D245" s="583" t="n"/>
      <c r="E245" s="584" t="n"/>
      <c r="F245" s="350" t="n"/>
      <c r="G245" s="350" t="n"/>
      <c r="H245" s="350" t="n"/>
      <c r="I245" s="350" t="n"/>
      <c r="J245" s="350" t="n"/>
      <c r="K245" s="351" t="n"/>
      <c r="L245" s="350" t="n"/>
      <c r="M245" s="350" t="n"/>
      <c r="N245" s="344" t="n"/>
      <c r="O245" s="344" t="n"/>
      <c r="P245" s="344" t="n"/>
      <c r="Q245" s="344" t="n"/>
      <c r="R245" s="344" t="n"/>
      <c r="S245" s="344" t="n"/>
      <c r="T245" s="344" t="n"/>
      <c r="U245" s="344" t="n"/>
      <c r="V245" s="344" t="n"/>
      <c r="W245" s="344" t="n"/>
    </row>
    <row r="246" customFormat="1" s="354">
      <c r="A246" s="345" t="n"/>
      <c r="B246" s="581" t="n"/>
      <c r="C246" s="582" t="n"/>
      <c r="D246" s="583" t="n"/>
      <c r="E246" s="584" t="n"/>
      <c r="F246" s="350" t="n"/>
      <c r="G246" s="350" t="n"/>
      <c r="H246" s="350" t="n"/>
      <c r="I246" s="350" t="n"/>
      <c r="J246" s="350" t="n"/>
      <c r="K246" s="351" t="n"/>
      <c r="L246" s="350" t="n"/>
      <c r="M246" s="350" t="n"/>
      <c r="N246" s="344" t="n"/>
      <c r="O246" s="344" t="n"/>
      <c r="P246" s="344" t="n"/>
      <c r="Q246" s="344" t="n"/>
      <c r="R246" s="344" t="n"/>
      <c r="S246" s="344" t="n"/>
      <c r="T246" s="344" t="n"/>
      <c r="U246" s="344" t="n"/>
      <c r="V246" s="344" t="n"/>
      <c r="W246" s="344" t="n"/>
    </row>
    <row r="247" customFormat="1" s="354">
      <c r="A247" s="345" t="n"/>
      <c r="B247" s="581" t="n"/>
      <c r="C247" s="582" t="n"/>
      <c r="D247" s="583" t="n"/>
      <c r="E247" s="584" t="n"/>
      <c r="F247" s="350" t="n"/>
      <c r="G247" s="350" t="n"/>
      <c r="H247" s="350" t="n"/>
      <c r="I247" s="350" t="n"/>
      <c r="J247" s="350" t="n"/>
      <c r="K247" s="351" t="n"/>
      <c r="L247" s="350" t="n"/>
      <c r="M247" s="350" t="n"/>
      <c r="N247" s="344" t="n"/>
      <c r="O247" s="344" t="n"/>
      <c r="P247" s="344" t="n"/>
      <c r="Q247" s="344" t="n"/>
      <c r="R247" s="344" t="n"/>
      <c r="S247" s="344" t="n"/>
      <c r="T247" s="344" t="n"/>
      <c r="U247" s="344" t="n"/>
      <c r="V247" s="344" t="n"/>
      <c r="W247" s="344" t="n"/>
    </row>
    <row r="248" customFormat="1" s="354">
      <c r="A248" s="345" t="n"/>
      <c r="B248" s="581" t="n"/>
      <c r="C248" s="582" t="n"/>
      <c r="D248" s="583" t="n"/>
      <c r="E248" s="584" t="n"/>
      <c r="F248" s="350" t="n"/>
      <c r="G248" s="350" t="n"/>
      <c r="H248" s="350" t="n"/>
      <c r="I248" s="350" t="n"/>
      <c r="J248" s="350" t="n"/>
      <c r="K248" s="351" t="n"/>
      <c r="L248" s="350" t="n"/>
      <c r="M248" s="350" t="n"/>
      <c r="N248" s="344" t="n"/>
      <c r="O248" s="344" t="n"/>
      <c r="P248" s="344" t="n"/>
      <c r="Q248" s="344" t="n"/>
      <c r="R248" s="344" t="n"/>
      <c r="S248" s="344" t="n"/>
      <c r="T248" s="344" t="n"/>
      <c r="U248" s="344" t="n"/>
      <c r="V248" s="344" t="n"/>
      <c r="W248" s="344" t="n"/>
    </row>
    <row r="249" customFormat="1" s="354">
      <c r="A249" s="345" t="n"/>
      <c r="B249" s="581" t="n"/>
      <c r="C249" s="582" t="n"/>
      <c r="D249" s="583" t="n"/>
      <c r="E249" s="584" t="n"/>
      <c r="F249" s="350" t="n"/>
      <c r="G249" s="350" t="n"/>
      <c r="H249" s="350" t="n"/>
      <c r="I249" s="350" t="n"/>
      <c r="J249" s="350" t="n"/>
      <c r="K249" s="351" t="n"/>
      <c r="L249" s="350" t="n"/>
      <c r="M249" s="350" t="n"/>
      <c r="N249" s="344" t="n"/>
      <c r="O249" s="344" t="n"/>
      <c r="P249" s="344" t="n"/>
      <c r="Q249" s="344" t="n"/>
      <c r="R249" s="344" t="n"/>
      <c r="S249" s="344" t="n"/>
      <c r="T249" s="344" t="n"/>
      <c r="U249" s="344" t="n"/>
      <c r="V249" s="344" t="n"/>
      <c r="W249" s="344" t="n"/>
    </row>
    <row r="250" customFormat="1" s="354">
      <c r="A250" s="345" t="n"/>
      <c r="B250" s="581" t="n"/>
      <c r="C250" s="582" t="n"/>
      <c r="D250" s="583" t="n"/>
      <c r="E250" s="584" t="n"/>
      <c r="F250" s="350" t="n"/>
      <c r="G250" s="350" t="n"/>
      <c r="H250" s="350" t="n"/>
      <c r="I250" s="350" t="n"/>
      <c r="J250" s="350" t="n"/>
      <c r="K250" s="351" t="n"/>
      <c r="L250" s="350" t="n"/>
      <c r="M250" s="350" t="n"/>
      <c r="N250" s="344" t="n"/>
      <c r="O250" s="344" t="n"/>
      <c r="P250" s="344" t="n"/>
      <c r="Q250" s="344" t="n"/>
      <c r="R250" s="344" t="n"/>
      <c r="S250" s="344" t="n"/>
      <c r="T250" s="344" t="n"/>
      <c r="U250" s="344" t="n"/>
      <c r="V250" s="344" t="n"/>
      <c r="W250" s="344" t="n"/>
    </row>
    <row r="251" customFormat="1" s="354">
      <c r="A251" s="345" t="n"/>
      <c r="B251" s="581" t="n"/>
      <c r="C251" s="582" t="n"/>
      <c r="D251" s="583" t="n"/>
      <c r="E251" s="584" t="n"/>
      <c r="F251" s="350" t="n"/>
      <c r="G251" s="350" t="n"/>
      <c r="H251" s="350" t="n"/>
      <c r="I251" s="350" t="n"/>
      <c r="J251" s="350" t="n"/>
      <c r="K251" s="351" t="n"/>
      <c r="L251" s="350" t="n"/>
      <c r="M251" s="350" t="n"/>
      <c r="N251" s="344" t="n"/>
      <c r="O251" s="344" t="n"/>
      <c r="P251" s="344" t="n"/>
      <c r="Q251" s="344" t="n"/>
      <c r="R251" s="344" t="n"/>
      <c r="S251" s="344" t="n"/>
      <c r="T251" s="344" t="n"/>
      <c r="U251" s="344" t="n"/>
      <c r="V251" s="344" t="n"/>
      <c r="W251" s="344" t="n"/>
    </row>
    <row r="252" customFormat="1" s="354">
      <c r="A252" s="345" t="n"/>
      <c r="B252" s="581" t="n"/>
      <c r="C252" s="582" t="n"/>
      <c r="D252" s="583" t="n"/>
      <c r="E252" s="584" t="n"/>
      <c r="F252" s="350" t="n"/>
      <c r="G252" s="350" t="n"/>
      <c r="H252" s="350" t="n"/>
      <c r="I252" s="350" t="n"/>
      <c r="J252" s="350" t="n"/>
      <c r="K252" s="351" t="n"/>
      <c r="L252" s="350" t="n"/>
      <c r="M252" s="350" t="n"/>
      <c r="N252" s="344" t="n"/>
      <c r="O252" s="344" t="n"/>
      <c r="P252" s="344" t="n"/>
      <c r="Q252" s="344" t="n"/>
      <c r="R252" s="344" t="n"/>
      <c r="S252" s="344" t="n"/>
      <c r="T252" s="344" t="n"/>
      <c r="U252" s="344" t="n"/>
      <c r="V252" s="344" t="n"/>
      <c r="W252" s="344" t="n"/>
    </row>
    <row r="253" customFormat="1" s="354">
      <c r="A253" s="345" t="n"/>
      <c r="B253" s="581" t="n"/>
      <c r="C253" s="582" t="n"/>
      <c r="D253" s="583" t="n"/>
      <c r="E253" s="584" t="n"/>
      <c r="F253" s="350" t="n"/>
      <c r="G253" s="350" t="n"/>
      <c r="H253" s="350" t="n"/>
      <c r="I253" s="350" t="n"/>
      <c r="J253" s="350" t="n"/>
      <c r="K253" s="351" t="n"/>
      <c r="L253" s="350" t="n"/>
      <c r="M253" s="350" t="n"/>
      <c r="N253" s="344" t="n"/>
      <c r="O253" s="344" t="n"/>
      <c r="P253" s="344" t="n"/>
      <c r="Q253" s="344" t="n"/>
      <c r="R253" s="344" t="n"/>
      <c r="S253" s="344" t="n"/>
      <c r="T253" s="344" t="n"/>
      <c r="U253" s="344" t="n"/>
      <c r="V253" s="344" t="n"/>
      <c r="W253" s="344" t="n"/>
    </row>
    <row r="254" customFormat="1" s="354">
      <c r="A254" s="345" t="n"/>
      <c r="B254" s="581" t="n"/>
      <c r="C254" s="582" t="n"/>
      <c r="D254" s="583" t="n"/>
      <c r="E254" s="584" t="n"/>
      <c r="F254" s="350" t="n"/>
      <c r="G254" s="350" t="n"/>
      <c r="H254" s="350" t="n"/>
      <c r="I254" s="350" t="n"/>
      <c r="J254" s="350" t="n"/>
      <c r="K254" s="351" t="n"/>
      <c r="L254" s="350" t="n"/>
      <c r="M254" s="350" t="n"/>
      <c r="N254" s="344" t="n"/>
      <c r="O254" s="344" t="n"/>
      <c r="P254" s="344" t="n"/>
      <c r="Q254" s="344" t="n"/>
      <c r="R254" s="344" t="n"/>
      <c r="S254" s="344" t="n"/>
      <c r="T254" s="344" t="n"/>
      <c r="U254" s="344" t="n"/>
      <c r="V254" s="344" t="n"/>
      <c r="W254" s="344" t="n"/>
    </row>
    <row r="255" customFormat="1" s="354">
      <c r="A255" s="345" t="n"/>
      <c r="B255" s="581" t="n"/>
      <c r="C255" s="582" t="n"/>
      <c r="D255" s="583" t="n"/>
      <c r="E255" s="584" t="n"/>
      <c r="F255" s="350" t="n"/>
      <c r="G255" s="350" t="n"/>
      <c r="H255" s="350" t="n"/>
      <c r="I255" s="350" t="n"/>
      <c r="J255" s="350" t="n"/>
      <c r="K255" s="351" t="n"/>
      <c r="L255" s="350" t="n"/>
      <c r="M255" s="350" t="n"/>
      <c r="N255" s="344" t="n"/>
      <c r="O255" s="344" t="n"/>
      <c r="P255" s="344" t="n"/>
      <c r="Q255" s="344" t="n"/>
      <c r="R255" s="344" t="n"/>
      <c r="S255" s="344" t="n"/>
      <c r="T255" s="344" t="n"/>
      <c r="U255" s="344" t="n"/>
      <c r="V255" s="344" t="n"/>
      <c r="W255" s="344" t="n"/>
    </row>
    <row r="256" customFormat="1" s="354">
      <c r="A256" s="345" t="n"/>
      <c r="B256" s="581" t="n"/>
      <c r="C256" s="582" t="n"/>
      <c r="D256" s="583" t="n"/>
      <c r="E256" s="584" t="n"/>
      <c r="F256" s="350" t="n"/>
      <c r="G256" s="350" t="n"/>
      <c r="H256" s="350" t="n"/>
      <c r="I256" s="350" t="n"/>
      <c r="J256" s="350" t="n"/>
      <c r="K256" s="351" t="n"/>
      <c r="L256" s="355" t="inlineStr">
        <is>
          <t>2841000195468_【ＱＣＳ】極み焼き玉子太巻き２.xlsx</t>
        </is>
      </c>
      <c r="M256" s="350" t="n"/>
      <c r="N256" s="344" t="n"/>
      <c r="O256" s="344" t="n"/>
      <c r="P256" s="344" t="n"/>
      <c r="Q256" s="344" t="n"/>
      <c r="R256" s="344" t="n"/>
      <c r="S256" s="344" t="n"/>
      <c r="T256" s="344" t="n"/>
      <c r="U256" s="344" t="n"/>
      <c r="V256" s="344" t="n"/>
      <c r="W256" s="344" t="n"/>
    </row>
    <row r="257" customFormat="1" s="354">
      <c r="A257" s="345" t="n"/>
      <c r="B257" s="581" t="n"/>
      <c r="C257" s="582" t="n"/>
      <c r="D257" s="583" t="n"/>
      <c r="E257" s="584" t="n"/>
      <c r="F257" s="350" t="n"/>
      <c r="G257" s="350" t="n"/>
      <c r="H257" s="350" t="n"/>
      <c r="I257" s="350" t="n"/>
      <c r="J257" s="350" t="n"/>
      <c r="K257" s="351" t="n"/>
      <c r="L257" s="350" t="n"/>
      <c r="M257" s="350" t="n"/>
      <c r="N257" s="344" t="n"/>
      <c r="O257" s="344" t="n"/>
      <c r="P257" s="344" t="n"/>
      <c r="Q257" s="344" t="n"/>
      <c r="R257" s="344" t="n"/>
      <c r="S257" s="344" t="n"/>
      <c r="T257" s="344" t="n"/>
      <c r="U257" s="344" t="n"/>
      <c r="V257" s="344" t="n"/>
      <c r="W257" s="344" t="n"/>
    </row>
    <row r="258" customFormat="1" s="354">
      <c r="A258" s="345" t="n"/>
      <c r="B258" s="581" t="n"/>
      <c r="C258" s="582" t="n"/>
      <c r="D258" s="583" t="n"/>
      <c r="E258" s="584" t="n"/>
      <c r="F258" s="350" t="n"/>
      <c r="G258" s="350" t="n"/>
      <c r="H258" s="350" t="n"/>
      <c r="I258" s="350" t="n"/>
      <c r="J258" s="350" t="n"/>
      <c r="K258" s="351" t="n"/>
      <c r="L258" s="350" t="n"/>
      <c r="M258" s="350" t="n"/>
      <c r="N258" s="344" t="n"/>
      <c r="O258" s="344" t="n"/>
      <c r="P258" s="344" t="n"/>
      <c r="Q258" s="344" t="n"/>
      <c r="R258" s="344" t="n"/>
      <c r="S258" s="344" t="n"/>
      <c r="T258" s="344" t="n"/>
      <c r="U258" s="344" t="n"/>
      <c r="V258" s="344" t="n"/>
      <c r="W258" s="344" t="n"/>
    </row>
    <row r="259" customFormat="1" s="354">
      <c r="A259" s="345" t="n"/>
      <c r="B259" s="581" t="n"/>
      <c r="C259" s="582" t="n"/>
      <c r="D259" s="583" t="n"/>
      <c r="E259" s="584" t="n"/>
      <c r="F259" s="350" t="n"/>
      <c r="G259" s="350" t="n"/>
      <c r="H259" s="350" t="n"/>
      <c r="I259" s="350" t="n"/>
      <c r="J259" s="350" t="n"/>
      <c r="K259" s="351" t="n"/>
      <c r="L259" s="350" t="n"/>
      <c r="M259" s="350" t="n"/>
      <c r="N259" s="344" t="n"/>
      <c r="O259" s="344" t="n"/>
      <c r="P259" s="344" t="n"/>
      <c r="Q259" s="344" t="n"/>
      <c r="R259" s="344" t="n"/>
      <c r="S259" s="344" t="n"/>
      <c r="T259" s="344" t="n"/>
      <c r="U259" s="344" t="n"/>
      <c r="V259" s="344" t="n"/>
      <c r="W259" s="344" t="n"/>
    </row>
    <row r="260" customFormat="1" s="354">
      <c r="A260" s="345" t="n"/>
      <c r="B260" s="581" t="n"/>
      <c r="C260" s="582" t="n"/>
      <c r="D260" s="583" t="n"/>
      <c r="E260" s="584" t="n"/>
      <c r="F260" s="350" t="n"/>
      <c r="G260" s="350" t="n"/>
      <c r="H260" s="350" t="n"/>
      <c r="I260" s="350" t="n"/>
      <c r="J260" s="350" t="n"/>
      <c r="K260" s="351" t="n"/>
      <c r="L260" s="350" t="n"/>
      <c r="M260" s="350" t="n"/>
      <c r="N260" s="344" t="n"/>
      <c r="O260" s="344" t="n"/>
      <c r="P260" s="344" t="n"/>
      <c r="Q260" s="344" t="n"/>
      <c r="R260" s="344" t="n"/>
      <c r="S260" s="344" t="n"/>
      <c r="T260" s="344" t="n"/>
      <c r="U260" s="344" t="n"/>
      <c r="V260" s="344" t="n"/>
      <c r="W260" s="344" t="n"/>
    </row>
    <row r="261" customFormat="1" s="354">
      <c r="A261" s="345" t="n"/>
      <c r="B261" s="581" t="n"/>
      <c r="C261" s="582" t="n"/>
      <c r="D261" s="583" t="n"/>
      <c r="E261" s="584" t="n"/>
      <c r="F261" s="350" t="n"/>
      <c r="G261" s="350" t="n"/>
      <c r="H261" s="350" t="n"/>
      <c r="I261" s="350" t="n"/>
      <c r="J261" s="350" t="n"/>
      <c r="K261" s="351" t="n"/>
      <c r="L261" s="350" t="n"/>
      <c r="M261" s="350" t="n"/>
      <c r="N261" s="344" t="n"/>
      <c r="O261" s="344" t="n"/>
      <c r="P261" s="344" t="n"/>
      <c r="Q261" s="344" t="n"/>
      <c r="R261" s="344" t="n"/>
      <c r="S261" s="344" t="n"/>
      <c r="T261" s="344" t="n"/>
      <c r="U261" s="344" t="n"/>
      <c r="V261" s="344" t="n"/>
      <c r="W261" s="344" t="n"/>
    </row>
    <row r="262" customFormat="1" s="354">
      <c r="A262" s="345" t="n"/>
      <c r="B262" s="581" t="n"/>
      <c r="C262" s="582" t="n"/>
      <c r="D262" s="583" t="n"/>
      <c r="E262" s="584" t="n"/>
      <c r="F262" s="350" t="n"/>
      <c r="G262" s="350" t="n"/>
      <c r="H262" s="350" t="n"/>
      <c r="I262" s="350" t="n"/>
      <c r="J262" s="350" t="n"/>
      <c r="K262" s="351" t="n"/>
      <c r="L262" s="587" t="inlineStr">
        <is>
          <t>寿司満足セット３握り.xlsx</t>
        </is>
      </c>
      <c r="M262" s="350" t="n"/>
      <c r="N262" s="344" t="n"/>
      <c r="O262" s="344" t="n"/>
      <c r="P262" s="344" t="n"/>
      <c r="Q262" s="344" t="n"/>
      <c r="R262" s="344" t="n"/>
      <c r="S262" s="344" t="n"/>
      <c r="T262" s="344" t="n"/>
      <c r="U262" s="344" t="n"/>
      <c r="V262" s="344" t="n"/>
      <c r="W262" s="344" t="n"/>
    </row>
    <row r="263" customFormat="1" s="354">
      <c r="A263" s="345" t="n"/>
      <c r="B263" s="581" t="n"/>
      <c r="C263" s="582" t="n"/>
      <c r="D263" s="583" t="n"/>
      <c r="E263" s="584" t="n"/>
      <c r="F263" s="350" t="n"/>
      <c r="G263" s="350" t="n"/>
      <c r="H263" s="350" t="n"/>
      <c r="I263" s="350" t="n"/>
      <c r="J263" s="350" t="n"/>
      <c r="K263" s="351" t="n"/>
      <c r="L263" s="350" t="n"/>
      <c r="M263" s="350" t="n"/>
      <c r="N263" s="344" t="n"/>
      <c r="O263" s="344" t="n"/>
      <c r="P263" s="344" t="n"/>
      <c r="Q263" s="344" t="n"/>
      <c r="R263" s="344" t="n"/>
      <c r="S263" s="344" t="n"/>
      <c r="T263" s="344" t="n"/>
      <c r="U263" s="344" t="n"/>
      <c r="V263" s="344" t="n"/>
      <c r="W263" s="344" t="n"/>
    </row>
    <row r="264" customFormat="1" s="354">
      <c r="A264" s="345" t="n"/>
      <c r="B264" s="581" t="n"/>
      <c r="C264" s="582" t="n"/>
      <c r="D264" s="583" t="n"/>
      <c r="E264" s="584" t="n"/>
      <c r="F264" s="350" t="n"/>
      <c r="G264" s="350" t="n"/>
      <c r="H264" s="350" t="n"/>
      <c r="I264" s="350" t="n"/>
      <c r="J264" s="350" t="n"/>
      <c r="K264" s="351" t="n"/>
      <c r="L264" s="350" t="n"/>
      <c r="M264" s="350" t="n"/>
      <c r="N264" s="344" t="n"/>
      <c r="O264" s="344" t="n"/>
      <c r="P264" s="344" t="n"/>
      <c r="Q264" s="344" t="n"/>
      <c r="R264" s="344" t="n"/>
      <c r="S264" s="344" t="n"/>
      <c r="T264" s="344" t="n"/>
      <c r="U264" s="344" t="n"/>
      <c r="V264" s="344" t="n"/>
      <c r="W264" s="344" t="n"/>
    </row>
    <row r="265" customFormat="1" s="354">
      <c r="A265" s="345" t="n"/>
      <c r="B265" s="581" t="n"/>
      <c r="C265" s="582" t="n"/>
      <c r="D265" s="583" t="n"/>
      <c r="E265" s="584" t="n"/>
      <c r="F265" s="350" t="n"/>
      <c r="G265" s="350" t="n"/>
      <c r="H265" s="350" t="n"/>
      <c r="I265" s="350" t="n"/>
      <c r="J265" s="350" t="n"/>
      <c r="K265" s="351" t="n"/>
      <c r="L265" s="350" t="n"/>
      <c r="M265" s="350" t="n"/>
      <c r="N265" s="344" t="n"/>
      <c r="O265" s="344" t="n"/>
      <c r="P265" s="344" t="n"/>
      <c r="Q265" s="344" t="n"/>
      <c r="R265" s="344" t="n"/>
      <c r="S265" s="344" t="n"/>
      <c r="T265" s="344" t="n"/>
      <c r="U265" s="344" t="n"/>
      <c r="V265" s="344" t="n"/>
      <c r="W265" s="344" t="n"/>
    </row>
    <row r="266" customFormat="1" s="354">
      <c r="A266" s="345" t="n"/>
      <c r="B266" s="581" t="n"/>
      <c r="C266" s="582" t="n"/>
      <c r="D266" s="583" t="n"/>
      <c r="E266" s="584" t="n"/>
      <c r="F266" s="350" t="n"/>
      <c r="G266" s="350" t="n"/>
      <c r="H266" s="350" t="n"/>
      <c r="I266" s="350" t="n"/>
      <c r="J266" s="350" t="n"/>
      <c r="K266" s="351" t="n"/>
      <c r="L266" s="350" t="n"/>
      <c r="M266" s="350" t="n"/>
      <c r="N266" s="344" t="n"/>
      <c r="O266" s="344" t="n"/>
      <c r="P266" s="344" t="n"/>
      <c r="Q266" s="344" t="n"/>
      <c r="R266" s="344" t="n"/>
      <c r="S266" s="344" t="n"/>
      <c r="T266" s="344" t="n"/>
      <c r="U266" s="344" t="n"/>
      <c r="V266" s="344" t="n"/>
      <c r="W266" s="344" t="n"/>
    </row>
    <row r="267" customFormat="1" s="354">
      <c r="A267" s="345" t="n"/>
      <c r="B267" s="581" t="n"/>
      <c r="C267" s="582" t="n"/>
      <c r="D267" s="583" t="n"/>
      <c r="E267" s="584" t="n"/>
      <c r="F267" s="350" t="n"/>
      <c r="G267" s="350" t="n"/>
      <c r="H267" s="350" t="n"/>
      <c r="I267" s="350" t="n"/>
      <c r="J267" s="350" t="n"/>
      <c r="K267" s="351" t="n"/>
      <c r="L267" s="350" t="n"/>
      <c r="M267" s="350" t="n"/>
      <c r="N267" s="344" t="n"/>
      <c r="O267" s="344" t="n"/>
      <c r="P267" s="344" t="n"/>
      <c r="Q267" s="344" t="n"/>
      <c r="R267" s="344" t="n"/>
      <c r="S267" s="344" t="n"/>
      <c r="T267" s="344" t="n"/>
      <c r="U267" s="344" t="n"/>
      <c r="V267" s="344" t="n"/>
      <c r="W267" s="344" t="n"/>
    </row>
    <row r="268" customFormat="1" s="354">
      <c r="A268" s="345" t="n"/>
      <c r="B268" s="581" t="n"/>
      <c r="C268" s="582" t="n"/>
      <c r="D268" s="583" t="n"/>
      <c r="E268" s="584" t="n"/>
      <c r="F268" s="350" t="n"/>
      <c r="G268" s="350" t="n"/>
      <c r="H268" s="350" t="n"/>
      <c r="I268" s="350" t="n"/>
      <c r="J268" s="350" t="n"/>
      <c r="K268" s="351" t="n"/>
      <c r="L268" s="350" t="n"/>
      <c r="M268" s="350" t="n"/>
      <c r="N268" s="344" t="n"/>
      <c r="O268" s="344" t="n"/>
      <c r="P268" s="344" t="n"/>
      <c r="Q268" s="344" t="n"/>
      <c r="R268" s="344" t="n"/>
      <c r="S268" s="344" t="n"/>
      <c r="T268" s="344" t="n"/>
      <c r="U268" s="344" t="n"/>
      <c r="V268" s="344" t="n"/>
      <c r="W268" s="344" t="n"/>
    </row>
    <row r="269" customFormat="1" s="354">
      <c r="A269" s="345" t="n"/>
      <c r="B269" s="581" t="n"/>
      <c r="C269" s="582" t="n"/>
      <c r="D269" s="583" t="n"/>
      <c r="E269" s="584" t="n"/>
      <c r="F269" s="350" t="n"/>
      <c r="G269" s="350" t="n"/>
      <c r="H269" s="350" t="n"/>
      <c r="I269" s="350" t="n"/>
      <c r="J269" s="350" t="n"/>
      <c r="K269" s="351" t="n"/>
      <c r="L269" s="350" t="n"/>
      <c r="M269" s="350" t="n"/>
      <c r="N269" s="344" t="n"/>
      <c r="O269" s="344" t="n"/>
      <c r="P269" s="344" t="n"/>
      <c r="Q269" s="344" t="n"/>
      <c r="R269" s="344" t="n"/>
      <c r="S269" s="344" t="n"/>
      <c r="T269" s="344" t="n"/>
      <c r="U269" s="344" t="n"/>
      <c r="V269" s="344" t="n"/>
      <c r="W269" s="344" t="n"/>
    </row>
    <row r="270" customFormat="1" s="354">
      <c r="A270" s="345" t="n"/>
      <c r="B270" s="581" t="n"/>
      <c r="C270" s="582" t="n"/>
      <c r="D270" s="583" t="n"/>
      <c r="E270" s="584" t="n"/>
      <c r="F270" s="350" t="n"/>
      <c r="G270" s="350" t="n"/>
      <c r="H270" s="350" t="n"/>
      <c r="I270" s="350" t="n"/>
      <c r="J270" s="350" t="n"/>
      <c r="K270" s="351" t="n"/>
      <c r="L270" s="350" t="n"/>
      <c r="M270" s="350" t="n"/>
      <c r="N270" s="344" t="n"/>
      <c r="O270" s="344" t="n"/>
      <c r="P270" s="344" t="n"/>
      <c r="Q270" s="344" t="n"/>
      <c r="R270" s="344" t="n"/>
      <c r="S270" s="344" t="n"/>
      <c r="T270" s="344" t="n"/>
      <c r="U270" s="344" t="n"/>
      <c r="V270" s="344" t="n"/>
      <c r="W270" s="344" t="n"/>
    </row>
    <row r="271" customFormat="1" s="354">
      <c r="A271" s="345" t="n"/>
      <c r="B271" s="581" t="n"/>
      <c r="C271" s="582" t="n"/>
      <c r="D271" s="583" t="n"/>
      <c r="E271" s="584" t="n"/>
      <c r="F271" s="350" t="n"/>
      <c r="G271" s="350" t="n"/>
      <c r="H271" s="350" t="n"/>
      <c r="I271" s="350" t="n"/>
      <c r="J271" s="350" t="n"/>
      <c r="K271" s="351" t="n"/>
      <c r="L271" s="350" t="n"/>
      <c r="M271" s="350" t="n"/>
      <c r="N271" s="344" t="n"/>
      <c r="O271" s="344" t="n"/>
      <c r="P271" s="344" t="n"/>
      <c r="Q271" s="344" t="n"/>
      <c r="R271" s="344" t="n"/>
      <c r="S271" s="344" t="n"/>
      <c r="T271" s="344" t="n"/>
      <c r="U271" s="344" t="n"/>
      <c r="V271" s="344" t="n"/>
      <c r="W271" s="344" t="n"/>
    </row>
    <row r="272" customFormat="1" s="354">
      <c r="A272" s="345" t="n"/>
      <c r="B272" s="581" t="n"/>
      <c r="C272" s="582" t="n"/>
      <c r="D272" s="583" t="n"/>
      <c r="E272" s="584" t="n"/>
      <c r="F272" s="350" t="n"/>
      <c r="G272" s="350" t="n"/>
      <c r="H272" s="350" t="n"/>
      <c r="I272" s="350" t="n"/>
      <c r="J272" s="350" t="n"/>
      <c r="K272" s="351" t="n"/>
      <c r="L272" s="350" t="n"/>
      <c r="M272" s="350" t="n"/>
      <c r="N272" s="344" t="n"/>
      <c r="O272" s="344" t="n"/>
      <c r="P272" s="344" t="n"/>
      <c r="Q272" s="344" t="n"/>
      <c r="R272" s="344" t="n"/>
      <c r="S272" s="344" t="n"/>
      <c r="T272" s="344" t="n"/>
      <c r="U272" s="344" t="n"/>
      <c r="V272" s="344" t="n"/>
      <c r="W272" s="344" t="n"/>
    </row>
    <row r="273" customFormat="1" s="354">
      <c r="A273" s="345" t="n"/>
      <c r="B273" s="581" t="n"/>
      <c r="C273" s="582" t="n"/>
      <c r="D273" s="583" t="n"/>
      <c r="E273" s="584" t="n"/>
      <c r="F273" s="350" t="n"/>
      <c r="G273" s="350" t="n"/>
      <c r="H273" s="350" t="n"/>
      <c r="I273" s="350" t="n"/>
      <c r="J273" s="350" t="n"/>
      <c r="K273" s="351" t="n"/>
      <c r="L273" s="350" t="n"/>
      <c r="M273" s="350" t="n"/>
      <c r="N273" s="344" t="n"/>
      <c r="O273" s="344" t="n"/>
      <c r="P273" s="344" t="n"/>
      <c r="Q273" s="344" t="n"/>
      <c r="R273" s="344" t="n"/>
      <c r="S273" s="344" t="n"/>
      <c r="T273" s="344" t="n"/>
      <c r="U273" s="344" t="n"/>
      <c r="V273" s="344" t="n"/>
      <c r="W273" s="344" t="n"/>
    </row>
    <row r="274" customFormat="1" s="354">
      <c r="A274" s="345" t="n"/>
      <c r="B274" s="581" t="n"/>
      <c r="C274" s="582" t="n"/>
      <c r="D274" s="583" t="n"/>
      <c r="E274" s="584" t="n"/>
      <c r="F274" s="350" t="n"/>
      <c r="G274" s="350" t="n"/>
      <c r="H274" s="350" t="n"/>
      <c r="I274" s="350" t="n"/>
      <c r="J274" s="350" t="n"/>
      <c r="K274" s="351" t="n"/>
      <c r="L274" s="350" t="n"/>
      <c r="M274" s="350" t="n"/>
      <c r="N274" s="344" t="n"/>
      <c r="O274" s="344" t="n"/>
      <c r="P274" s="344" t="n"/>
      <c r="Q274" s="344" t="n"/>
      <c r="R274" s="344" t="n"/>
      <c r="S274" s="344" t="n"/>
      <c r="T274" s="344" t="n"/>
      <c r="U274" s="344" t="n"/>
      <c r="V274" s="344" t="n"/>
      <c r="W274" s="344" t="n"/>
    </row>
    <row r="275" customFormat="1" s="354">
      <c r="A275" s="345" t="n"/>
      <c r="B275" s="581" t="n"/>
      <c r="C275" s="582" t="n"/>
      <c r="D275" s="583" t="n"/>
      <c r="E275" s="584" t="n"/>
      <c r="F275" s="350" t="n"/>
      <c r="G275" s="350" t="n"/>
      <c r="H275" s="350" t="n"/>
      <c r="I275" s="350" t="n"/>
      <c r="J275" s="350" t="n"/>
      <c r="K275" s="351" t="n"/>
      <c r="L275" s="355" t="inlineStr">
        <is>
          <t>2841000195468_【ＱＣＳ】極み焼き玉子太巻き２.xlsx</t>
        </is>
      </c>
      <c r="M275" s="350" t="n"/>
      <c r="N275" s="344" t="n"/>
      <c r="O275" s="344" t="n"/>
      <c r="P275" s="344" t="n"/>
      <c r="Q275" s="344" t="n"/>
      <c r="R275" s="344" t="n"/>
      <c r="S275" s="344" t="n"/>
      <c r="T275" s="344" t="n"/>
      <c r="U275" s="344" t="n"/>
      <c r="V275" s="344" t="n"/>
      <c r="W275" s="344" t="n"/>
    </row>
    <row r="276" customFormat="1" s="354">
      <c r="A276" s="345" t="n"/>
      <c r="B276" s="581" t="n"/>
      <c r="C276" s="582" t="n"/>
      <c r="D276" s="583" t="n"/>
      <c r="E276" s="584" t="n"/>
      <c r="F276" s="350" t="n"/>
      <c r="G276" s="350" t="n"/>
      <c r="H276" s="350" t="n"/>
      <c r="I276" s="350" t="n"/>
      <c r="J276" s="350" t="n"/>
      <c r="K276" s="351" t="n"/>
      <c r="L276" s="350" t="n"/>
      <c r="M276" s="350" t="n"/>
      <c r="N276" s="344" t="n"/>
      <c r="O276" s="344" t="n"/>
      <c r="P276" s="344" t="n"/>
      <c r="Q276" s="344" t="n"/>
      <c r="R276" s="344" t="n"/>
      <c r="S276" s="344" t="n"/>
      <c r="T276" s="344" t="n"/>
      <c r="U276" s="344" t="n"/>
      <c r="V276" s="344" t="n"/>
      <c r="W276" s="344" t="n"/>
    </row>
    <row r="277" customFormat="1" s="354">
      <c r="A277" s="345" t="n"/>
      <c r="B277" s="581" t="n"/>
      <c r="C277" s="582" t="n"/>
      <c r="D277" s="583" t="n"/>
      <c r="E277" s="584" t="n"/>
      <c r="F277" s="350" t="n"/>
      <c r="G277" s="350" t="n"/>
      <c r="H277" s="350" t="n"/>
      <c r="I277" s="350" t="n"/>
      <c r="J277" s="350" t="n"/>
      <c r="K277" s="351" t="n"/>
      <c r="L277" s="350" t="n"/>
      <c r="M277" s="350" t="n"/>
      <c r="N277" s="344" t="n"/>
      <c r="O277" s="344" t="n"/>
      <c r="P277" s="344" t="n"/>
      <c r="Q277" s="344" t="n"/>
      <c r="R277" s="344" t="n"/>
      <c r="S277" s="344" t="n"/>
      <c r="T277" s="344" t="n"/>
      <c r="U277" s="344" t="n"/>
      <c r="V277" s="344" t="n"/>
      <c r="W277" s="344" t="n"/>
    </row>
    <row r="278" customFormat="1" s="354">
      <c r="A278" s="345" t="n"/>
      <c r="B278" s="581" t="n"/>
      <c r="C278" s="582" t="n"/>
      <c r="D278" s="583" t="n"/>
      <c r="E278" s="584" t="n"/>
      <c r="F278" s="350" t="n"/>
      <c r="G278" s="350" t="n"/>
      <c r="H278" s="350" t="n"/>
      <c r="I278" s="350" t="n"/>
      <c r="J278" s="350" t="n"/>
      <c r="K278" s="351" t="n"/>
      <c r="L278" s="350" t="n"/>
      <c r="M278" s="350" t="n"/>
      <c r="N278" s="344" t="n"/>
      <c r="O278" s="344" t="n"/>
      <c r="P278" s="344" t="n"/>
      <c r="Q278" s="344" t="n"/>
      <c r="R278" s="344" t="n"/>
      <c r="S278" s="344" t="n"/>
      <c r="T278" s="344" t="n"/>
      <c r="U278" s="344" t="n"/>
      <c r="V278" s="344" t="n"/>
      <c r="W278" s="344" t="n"/>
    </row>
    <row r="279" customFormat="1" s="354">
      <c r="A279" s="345" t="n"/>
      <c r="B279" s="581" t="n"/>
      <c r="C279" s="582" t="n"/>
      <c r="D279" s="583" t="n"/>
      <c r="E279" s="584" t="n"/>
      <c r="F279" s="350" t="n"/>
      <c r="G279" s="350" t="n"/>
      <c r="H279" s="350" t="n"/>
      <c r="I279" s="350" t="n"/>
      <c r="J279" s="350" t="n"/>
      <c r="K279" s="351" t="n"/>
      <c r="L279" s="350" t="n"/>
      <c r="M279" s="350" t="n"/>
      <c r="N279" s="344" t="n"/>
      <c r="O279" s="344" t="n"/>
      <c r="P279" s="344" t="n"/>
      <c r="Q279" s="344" t="n"/>
      <c r="R279" s="344" t="n"/>
      <c r="S279" s="344" t="n"/>
      <c r="T279" s="344" t="n"/>
      <c r="U279" s="344" t="n"/>
      <c r="V279" s="344" t="n"/>
      <c r="W279" s="344" t="n"/>
    </row>
    <row r="280" customFormat="1" s="354">
      <c r="A280" s="345" t="n"/>
      <c r="B280" s="581" t="n"/>
      <c r="C280" s="582" t="n"/>
      <c r="D280" s="583" t="n"/>
      <c r="E280" s="584" t="n"/>
      <c r="F280" s="350" t="n"/>
      <c r="G280" s="350" t="n"/>
      <c r="H280" s="350" t="n"/>
      <c r="I280" s="350" t="n"/>
      <c r="J280" s="350" t="n"/>
      <c r="K280" s="351" t="n"/>
      <c r="L280" s="350" t="n"/>
      <c r="M280" s="350" t="n"/>
      <c r="N280" s="344" t="n"/>
      <c r="O280" s="344" t="n"/>
      <c r="P280" s="344" t="n"/>
      <c r="Q280" s="344" t="n"/>
      <c r="R280" s="344" t="n"/>
      <c r="S280" s="344" t="n"/>
      <c r="T280" s="344" t="n"/>
      <c r="U280" s="344" t="n"/>
      <c r="V280" s="344" t="n"/>
      <c r="W280" s="344" t="n"/>
    </row>
    <row r="281" customFormat="1" s="354">
      <c r="A281" s="345" t="n"/>
      <c r="B281" s="581" t="n"/>
      <c r="C281" s="582" t="n"/>
      <c r="D281" s="583" t="n"/>
      <c r="E281" s="584" t="n"/>
      <c r="F281" s="350" t="n"/>
      <c r="G281" s="350" t="n"/>
      <c r="H281" s="350" t="n"/>
      <c r="I281" s="350" t="n"/>
      <c r="J281" s="350" t="n"/>
      <c r="K281" s="351" t="n"/>
      <c r="L281" s="350" t="n"/>
      <c r="M281" s="350" t="n"/>
      <c r="N281" s="344" t="n"/>
      <c r="O281" s="344" t="n"/>
      <c r="P281" s="344" t="n"/>
      <c r="Q281" s="344" t="n"/>
      <c r="R281" s="344" t="n"/>
      <c r="S281" s="344" t="n"/>
      <c r="T281" s="344" t="n"/>
      <c r="U281" s="344" t="n"/>
      <c r="V281" s="344" t="n"/>
      <c r="W281" s="344" t="n"/>
    </row>
    <row r="282" customFormat="1" s="354">
      <c r="A282" s="345" t="n"/>
      <c r="B282" s="581" t="n"/>
      <c r="C282" s="582" t="n"/>
      <c r="D282" s="583" t="n"/>
      <c r="E282" s="584" t="n"/>
      <c r="F282" s="350" t="n"/>
      <c r="G282" s="350" t="n"/>
      <c r="H282" s="350" t="n"/>
      <c r="I282" s="350" t="n"/>
      <c r="J282" s="350" t="n"/>
      <c r="K282" s="351" t="n"/>
      <c r="L282" s="350" t="n"/>
      <c r="M282" s="350" t="n"/>
      <c r="N282" s="344" t="n"/>
      <c r="O282" s="344" t="n"/>
      <c r="P282" s="344" t="n"/>
      <c r="Q282" s="344" t="n"/>
      <c r="R282" s="344" t="n"/>
      <c r="S282" s="344" t="n"/>
      <c r="T282" s="344" t="n"/>
      <c r="U282" s="344" t="n"/>
      <c r="V282" s="344" t="n"/>
      <c r="W282" s="344" t="n"/>
    </row>
    <row r="283" customFormat="1" s="354">
      <c r="A283" s="345" t="n"/>
      <c r="B283" s="581" t="n"/>
      <c r="C283" s="582" t="n"/>
      <c r="D283" s="583" t="n"/>
      <c r="E283" s="584" t="n"/>
      <c r="F283" s="350" t="n"/>
      <c r="G283" s="350" t="n"/>
      <c r="H283" s="350" t="n"/>
      <c r="I283" s="350" t="n"/>
      <c r="J283" s="350" t="n"/>
      <c r="K283" s="351" t="n"/>
      <c r="L283" s="350" t="n"/>
      <c r="M283" s="350" t="n"/>
      <c r="N283" s="344" t="n"/>
      <c r="O283" s="344" t="n"/>
      <c r="P283" s="344" t="n"/>
      <c r="Q283" s="344" t="n"/>
      <c r="R283" s="344" t="n"/>
      <c r="S283" s="344" t="n"/>
      <c r="T283" s="344" t="n"/>
      <c r="U283" s="344" t="n"/>
      <c r="V283" s="344" t="n"/>
      <c r="W283" s="344" t="n"/>
    </row>
    <row r="284" customFormat="1" s="354">
      <c r="A284" s="345" t="n"/>
      <c r="B284" s="581" t="n"/>
      <c r="C284" s="582" t="n"/>
      <c r="D284" s="583" t="n"/>
      <c r="E284" s="584" t="n"/>
      <c r="F284" s="350" t="n"/>
      <c r="G284" s="350" t="n"/>
      <c r="H284" s="350" t="n"/>
      <c r="I284" s="350" t="n"/>
      <c r="J284" s="350" t="n"/>
      <c r="K284" s="351" t="n"/>
      <c r="L284" s="350" t="n"/>
      <c r="M284" s="350" t="n"/>
      <c r="N284" s="344" t="n"/>
      <c r="O284" s="344" t="n"/>
      <c r="P284" s="344" t="n"/>
      <c r="Q284" s="344" t="n"/>
      <c r="R284" s="344" t="n"/>
      <c r="S284" s="344" t="n"/>
      <c r="T284" s="344" t="n"/>
      <c r="U284" s="344" t="n"/>
      <c r="V284" s="344" t="n"/>
      <c r="W284" s="344" t="n"/>
    </row>
    <row r="285" customFormat="1" s="354">
      <c r="A285" s="345" t="n"/>
      <c r="B285" s="581" t="n"/>
      <c r="C285" s="582" t="n"/>
      <c r="D285" s="583" t="n"/>
      <c r="E285" s="584" t="n"/>
      <c r="F285" s="350" t="n"/>
      <c r="G285" s="350" t="n"/>
      <c r="H285" s="350" t="n"/>
      <c r="I285" s="350" t="n"/>
      <c r="J285" s="350" t="n"/>
      <c r="K285" s="351" t="n"/>
      <c r="L285" s="350" t="n"/>
      <c r="M285" s="350" t="n"/>
      <c r="N285" s="344" t="n"/>
      <c r="O285" s="344" t="n"/>
      <c r="P285" s="344" t="n"/>
      <c r="Q285" s="344" t="n"/>
      <c r="R285" s="344" t="n"/>
      <c r="S285" s="344" t="n"/>
      <c r="T285" s="344" t="n"/>
      <c r="U285" s="344" t="n"/>
      <c r="V285" s="344" t="n"/>
      <c r="W285" s="344" t="n"/>
    </row>
    <row r="286" customFormat="1" s="354">
      <c r="A286" s="345" t="n"/>
      <c r="B286" s="581" t="n"/>
      <c r="C286" s="582" t="n"/>
      <c r="D286" s="583" t="n"/>
      <c r="E286" s="584" t="n"/>
      <c r="F286" s="350" t="n"/>
      <c r="G286" s="350" t="n"/>
      <c r="H286" s="350" t="n"/>
      <c r="I286" s="350" t="n"/>
      <c r="J286" s="350" t="n"/>
      <c r="K286" s="351" t="n"/>
      <c r="L286" s="350" t="n"/>
      <c r="M286" s="350" t="n"/>
      <c r="N286" s="344" t="n"/>
      <c r="O286" s="344" t="n"/>
      <c r="P286" s="344" t="n"/>
      <c r="Q286" s="344" t="n"/>
      <c r="R286" s="344" t="n"/>
      <c r="S286" s="344" t="n"/>
      <c r="T286" s="344" t="n"/>
      <c r="U286" s="344" t="n"/>
      <c r="V286" s="344" t="n"/>
      <c r="W286" s="344" t="n"/>
    </row>
    <row r="287" customFormat="1" s="354">
      <c r="A287" s="345" t="n"/>
      <c r="B287" s="581" t="n"/>
      <c r="C287" s="582" t="n"/>
      <c r="D287" s="583" t="n"/>
      <c r="E287" s="584" t="n"/>
      <c r="F287" s="350" t="n"/>
      <c r="G287" s="350" t="n"/>
      <c r="H287" s="350" t="n"/>
      <c r="I287" s="350" t="n"/>
      <c r="J287" s="350" t="n"/>
      <c r="K287" s="351" t="n"/>
      <c r="L287" s="350" t="n"/>
      <c r="M287" s="350" t="n"/>
      <c r="N287" s="344" t="n"/>
      <c r="O287" s="344" t="n"/>
      <c r="P287" s="344" t="n"/>
      <c r="Q287" s="344" t="n"/>
      <c r="R287" s="344" t="n"/>
      <c r="S287" s="344" t="n"/>
      <c r="T287" s="344" t="n"/>
      <c r="U287" s="344" t="n"/>
      <c r="V287" s="344" t="n"/>
      <c r="W287" s="344" t="n"/>
    </row>
    <row r="288" customFormat="1" s="354">
      <c r="A288" s="345" t="n"/>
      <c r="B288" s="581" t="n"/>
      <c r="C288" s="582" t="n"/>
      <c r="D288" s="583" t="n"/>
      <c r="E288" s="584" t="n"/>
      <c r="F288" s="350" t="n"/>
      <c r="G288" s="350" t="n"/>
      <c r="H288" s="350" t="n"/>
      <c r="I288" s="350" t="n"/>
      <c r="J288" s="350" t="n"/>
      <c r="K288" s="351" t="n"/>
      <c r="L288" s="350" t="n"/>
      <c r="M288" s="350" t="n"/>
      <c r="N288" s="344" t="n"/>
      <c r="O288" s="344" t="n"/>
      <c r="P288" s="344" t="n"/>
      <c r="Q288" s="344" t="n"/>
      <c r="R288" s="344" t="n"/>
      <c r="S288" s="344" t="n"/>
      <c r="T288" s="344" t="n"/>
      <c r="U288" s="344" t="n"/>
      <c r="V288" s="344" t="n"/>
      <c r="W288" s="344" t="n"/>
    </row>
    <row r="289" customFormat="1" s="354">
      <c r="A289" s="345" t="n"/>
      <c r="B289" s="581" t="n"/>
      <c r="C289" s="582" t="n"/>
      <c r="D289" s="583" t="n"/>
      <c r="E289" s="584" t="n"/>
      <c r="F289" s="350" t="n"/>
      <c r="G289" s="350" t="n"/>
      <c r="H289" s="350" t="n"/>
      <c r="I289" s="350" t="n"/>
      <c r="J289" s="350" t="n"/>
      <c r="K289" s="351" t="n"/>
      <c r="L289" s="350" t="n"/>
      <c r="M289" s="350" t="n"/>
      <c r="N289" s="344" t="n"/>
      <c r="O289" s="344" t="n"/>
      <c r="P289" s="344" t="n"/>
      <c r="Q289" s="344" t="n"/>
      <c r="R289" s="344" t="n"/>
      <c r="S289" s="344" t="n"/>
      <c r="T289" s="344" t="n"/>
      <c r="U289" s="344" t="n"/>
      <c r="V289" s="344" t="n"/>
      <c r="W289" s="344" t="n"/>
    </row>
    <row r="290" customFormat="1" s="354">
      <c r="A290" s="345" t="n"/>
      <c r="B290" s="581" t="n"/>
      <c r="C290" s="582" t="n"/>
      <c r="D290" s="583" t="n"/>
      <c r="E290" s="584" t="n"/>
      <c r="F290" s="350" t="n"/>
      <c r="G290" s="350" t="n"/>
      <c r="H290" s="350" t="n"/>
      <c r="I290" s="350" t="n"/>
      <c r="J290" s="350" t="n"/>
      <c r="K290" s="351" t="n"/>
      <c r="L290" s="350" t="n"/>
      <c r="M290" s="350" t="n"/>
      <c r="N290" s="344" t="n"/>
      <c r="O290" s="344" t="n"/>
      <c r="P290" s="344" t="n"/>
      <c r="Q290" s="344" t="n"/>
      <c r="R290" s="344" t="n"/>
      <c r="S290" s="344" t="n"/>
      <c r="T290" s="344" t="n"/>
      <c r="U290" s="344" t="n"/>
      <c r="V290" s="344" t="n"/>
      <c r="W290" s="344" t="n"/>
    </row>
    <row r="291" customFormat="1" s="354">
      <c r="A291" s="345" t="n"/>
      <c r="B291" s="581" t="n"/>
      <c r="C291" s="582" t="n"/>
      <c r="D291" s="583" t="n"/>
      <c r="E291" s="584" t="n"/>
      <c r="F291" s="350" t="n"/>
      <c r="G291" s="350" t="n"/>
      <c r="H291" s="350" t="n"/>
      <c r="I291" s="350" t="n"/>
      <c r="J291" s="350" t="n"/>
      <c r="K291" s="351" t="n"/>
      <c r="L291" s="350" t="n"/>
      <c r="M291" s="350" t="n"/>
      <c r="N291" s="344" t="n"/>
      <c r="O291" s="344" t="n"/>
      <c r="P291" s="344" t="n"/>
      <c r="Q291" s="344" t="n"/>
      <c r="R291" s="344" t="n"/>
      <c r="S291" s="344" t="n"/>
      <c r="T291" s="344" t="n"/>
      <c r="U291" s="344" t="n"/>
      <c r="V291" s="344" t="n"/>
      <c r="W291" s="344" t="n"/>
    </row>
    <row r="292" customFormat="1" s="354">
      <c r="A292" s="345" t="n"/>
      <c r="B292" s="581" t="n"/>
      <c r="C292" s="582" t="n"/>
      <c r="D292" s="583" t="n"/>
      <c r="E292" s="584" t="n"/>
      <c r="F292" s="350" t="n"/>
      <c r="G292" s="350" t="n"/>
      <c r="H292" s="350" t="n"/>
      <c r="I292" s="350" t="n"/>
      <c r="J292" s="350" t="n"/>
      <c r="K292" s="351" t="n"/>
      <c r="L292" s="350" t="n"/>
      <c r="M292" s="350" t="n"/>
      <c r="N292" s="344" t="n"/>
      <c r="O292" s="344" t="n"/>
      <c r="P292" s="344" t="n"/>
      <c r="Q292" s="344" t="n"/>
      <c r="R292" s="344" t="n"/>
      <c r="S292" s="344" t="n"/>
      <c r="T292" s="344" t="n"/>
      <c r="U292" s="344" t="n"/>
      <c r="V292" s="344" t="n"/>
      <c r="W292" s="344" t="n"/>
    </row>
    <row r="293" customFormat="1" s="354">
      <c r="A293" s="345" t="n"/>
      <c r="B293" s="581" t="n"/>
      <c r="C293" s="582" t="n"/>
      <c r="D293" s="583" t="n"/>
      <c r="E293" s="584" t="n"/>
      <c r="F293" s="350" t="n"/>
      <c r="G293" s="350" t="n"/>
      <c r="H293" s="350" t="n"/>
      <c r="I293" s="350" t="n"/>
      <c r="J293" s="350" t="n"/>
      <c r="K293" s="351" t="n"/>
      <c r="L293" s="350" t="n"/>
      <c r="M293" s="350" t="n"/>
      <c r="N293" s="344" t="n"/>
      <c r="O293" s="344" t="n"/>
      <c r="P293" s="344" t="n"/>
      <c r="Q293" s="344" t="n"/>
      <c r="R293" s="344" t="n"/>
      <c r="S293" s="344" t="n"/>
      <c r="T293" s="344" t="n"/>
      <c r="U293" s="344" t="n"/>
      <c r="V293" s="344" t="n"/>
      <c r="W293" s="344" t="n"/>
    </row>
    <row r="294" customFormat="1" s="354">
      <c r="A294" s="345" t="n"/>
      <c r="B294" s="581" t="n"/>
      <c r="C294" s="582" t="n"/>
      <c r="D294" s="583" t="n"/>
      <c r="E294" s="584" t="n"/>
      <c r="F294" s="350" t="n"/>
      <c r="G294" s="350" t="n"/>
      <c r="H294" s="350" t="n"/>
      <c r="I294" s="350" t="n"/>
      <c r="J294" s="350" t="n"/>
      <c r="K294" s="351" t="n"/>
      <c r="L294" s="350" t="n"/>
      <c r="M294" s="350" t="n"/>
      <c r="N294" s="344" t="n"/>
      <c r="O294" s="344" t="n"/>
      <c r="P294" s="344" t="n"/>
      <c r="Q294" s="344" t="n"/>
      <c r="R294" s="344" t="n"/>
      <c r="S294" s="344" t="n"/>
      <c r="T294" s="344" t="n"/>
      <c r="U294" s="344" t="n"/>
      <c r="V294" s="344" t="n"/>
      <c r="W294" s="344" t="n"/>
    </row>
    <row r="295" customFormat="1" s="354">
      <c r="A295" s="345" t="n"/>
      <c r="B295" s="581" t="n"/>
      <c r="C295" s="582" t="n"/>
      <c r="D295" s="583" t="n"/>
      <c r="E295" s="584" t="n"/>
      <c r="F295" s="350" t="n"/>
      <c r="G295" s="350" t="n"/>
      <c r="H295" s="350" t="n"/>
      <c r="I295" s="350" t="n"/>
      <c r="J295" s="350" t="n"/>
      <c r="K295" s="351" t="n"/>
      <c r="L295" s="350" t="n"/>
      <c r="M295" s="350" t="n"/>
      <c r="N295" s="344" t="n"/>
      <c r="O295" s="344" t="n"/>
      <c r="P295" s="344" t="n"/>
      <c r="Q295" s="344" t="n"/>
      <c r="R295" s="344" t="n"/>
      <c r="S295" s="344" t="n"/>
      <c r="T295" s="344" t="n"/>
      <c r="U295" s="344" t="n"/>
      <c r="V295" s="344" t="n"/>
      <c r="W295" s="344" t="n"/>
    </row>
    <row r="296" customFormat="1" s="354">
      <c r="A296" s="345" t="n"/>
      <c r="B296" s="581" t="n"/>
      <c r="C296" s="582" t="n"/>
      <c r="D296" s="583" t="n"/>
      <c r="E296" s="584" t="n"/>
      <c r="F296" s="350" t="n"/>
      <c r="G296" s="350" t="n"/>
      <c r="H296" s="350" t="n"/>
      <c r="I296" s="350" t="n"/>
      <c r="J296" s="350" t="n"/>
      <c r="K296" s="351" t="n"/>
      <c r="L296" s="350" t="n"/>
      <c r="M296" s="350" t="n"/>
      <c r="N296" s="344" t="n"/>
      <c r="O296" s="344" t="n"/>
      <c r="P296" s="344" t="n"/>
      <c r="Q296" s="344" t="n"/>
      <c r="R296" s="344" t="n"/>
      <c r="S296" s="344" t="n"/>
      <c r="T296" s="344" t="n"/>
      <c r="U296" s="344" t="n"/>
      <c r="V296" s="344" t="n"/>
      <c r="W296" s="344" t="n"/>
    </row>
    <row r="297" customFormat="1" s="354">
      <c r="A297" s="345" t="n"/>
      <c r="B297" s="581" t="n"/>
      <c r="C297" s="582" t="n"/>
      <c r="D297" s="583" t="n"/>
      <c r="E297" s="584" t="n"/>
      <c r="F297" s="350" t="n"/>
      <c r="G297" s="350" t="n"/>
      <c r="H297" s="350" t="n"/>
      <c r="I297" s="350" t="n"/>
      <c r="J297" s="350" t="n"/>
      <c r="K297" s="351" t="n"/>
      <c r="L297" s="355" t="inlineStr">
        <is>
          <t>2841000195468_【ＱＣＳ】極み焼き玉子太巻き２.xlsx</t>
        </is>
      </c>
      <c r="M297" s="350" t="n"/>
      <c r="N297" s="344" t="n"/>
      <c r="O297" s="344" t="n"/>
      <c r="P297" s="344" t="n"/>
      <c r="Q297" s="344" t="n"/>
      <c r="R297" s="344" t="n"/>
      <c r="S297" s="344" t="n"/>
      <c r="T297" s="344" t="n"/>
      <c r="U297" s="344" t="n"/>
      <c r="V297" s="344" t="n"/>
      <c r="W297" s="344" t="n"/>
    </row>
    <row r="298" customFormat="1" s="354">
      <c r="A298" s="345" t="n"/>
      <c r="B298" s="581" t="n"/>
      <c r="C298" s="582" t="n"/>
      <c r="D298" s="583" t="n"/>
      <c r="E298" s="584" t="n"/>
      <c r="F298" s="350" t="n"/>
      <c r="G298" s="350" t="n"/>
      <c r="H298" s="350" t="n"/>
      <c r="I298" s="350" t="n"/>
      <c r="J298" s="350" t="n"/>
      <c r="K298" s="351" t="n"/>
      <c r="L298" s="350" t="n"/>
      <c r="M298" s="350" t="n"/>
      <c r="N298" s="344" t="n"/>
      <c r="O298" s="344" t="n"/>
      <c r="P298" s="344" t="n"/>
      <c r="Q298" s="344" t="n"/>
      <c r="R298" s="344" t="n"/>
      <c r="S298" s="344" t="n"/>
      <c r="T298" s="344" t="n"/>
      <c r="U298" s="344" t="n"/>
      <c r="V298" s="344" t="n"/>
      <c r="W298" s="344" t="n"/>
    </row>
    <row r="299" customFormat="1" s="354">
      <c r="A299" s="345" t="n"/>
      <c r="B299" s="581" t="n"/>
      <c r="C299" s="582" t="n"/>
      <c r="D299" s="583" t="n"/>
      <c r="E299" s="584" t="n"/>
      <c r="F299" s="350" t="n"/>
      <c r="G299" s="350" t="n"/>
      <c r="H299" s="350" t="n"/>
      <c r="I299" s="350" t="n"/>
      <c r="J299" s="350" t="n"/>
      <c r="K299" s="351" t="n"/>
      <c r="L299" s="350" t="n"/>
      <c r="M299" s="350" t="n"/>
      <c r="N299" s="344" t="n"/>
      <c r="O299" s="344" t="n"/>
      <c r="P299" s="344" t="n"/>
      <c r="Q299" s="344" t="n"/>
      <c r="R299" s="344" t="n"/>
      <c r="S299" s="344" t="n"/>
      <c r="T299" s="344" t="n"/>
      <c r="U299" s="344" t="n"/>
      <c r="V299" s="344" t="n"/>
      <c r="W299" s="344" t="n"/>
    </row>
    <row r="300" customFormat="1" s="354">
      <c r="A300" s="345" t="n"/>
      <c r="B300" s="581" t="n"/>
      <c r="C300" s="582" t="n"/>
      <c r="D300" s="583" t="n"/>
      <c r="E300" s="584" t="n"/>
      <c r="F300" s="350" t="n"/>
      <c r="G300" s="350" t="n"/>
      <c r="H300" s="350" t="n"/>
      <c r="I300" s="350" t="n"/>
      <c r="J300" s="350" t="n"/>
      <c r="K300" s="351" t="n"/>
      <c r="L300" s="350" t="n"/>
      <c r="M300" s="350" t="n"/>
      <c r="N300" s="344" t="n"/>
      <c r="O300" s="344" t="n"/>
      <c r="P300" s="344" t="n"/>
      <c r="Q300" s="344" t="n"/>
      <c r="R300" s="344" t="n"/>
      <c r="S300" s="344" t="n"/>
      <c r="T300" s="344" t="n"/>
      <c r="U300" s="344" t="n"/>
      <c r="V300" s="344" t="n"/>
      <c r="W300" s="344" t="n"/>
    </row>
    <row r="301" customFormat="1" s="354">
      <c r="A301" s="345" t="n"/>
      <c r="B301" s="581" t="n"/>
      <c r="C301" s="582" t="n"/>
      <c r="D301" s="583" t="n"/>
      <c r="E301" s="584" t="n"/>
      <c r="F301" s="350" t="n"/>
      <c r="G301" s="350" t="n"/>
      <c r="H301" s="350" t="n"/>
      <c r="I301" s="350" t="n"/>
      <c r="J301" s="350" t="n"/>
      <c r="K301" s="351" t="n"/>
      <c r="L301" s="350" t="n"/>
      <c r="M301" s="350" t="n"/>
      <c r="N301" s="344" t="n"/>
      <c r="O301" s="344" t="n"/>
      <c r="P301" s="344" t="n"/>
      <c r="Q301" s="344" t="n"/>
      <c r="R301" s="344" t="n"/>
      <c r="S301" s="344" t="n"/>
      <c r="T301" s="344" t="n"/>
      <c r="U301" s="344" t="n"/>
      <c r="V301" s="344" t="n"/>
      <c r="W301" s="344" t="n"/>
    </row>
    <row r="302" customFormat="1" s="354">
      <c r="A302" s="345" t="n"/>
      <c r="B302" s="581" t="n"/>
      <c r="C302" s="582" t="n"/>
      <c r="D302" s="583" t="n"/>
      <c r="E302" s="584" t="n"/>
      <c r="F302" s="350" t="n"/>
      <c r="G302" s="350" t="n"/>
      <c r="H302" s="350" t="n"/>
      <c r="I302" s="350" t="n"/>
      <c r="J302" s="350" t="n"/>
      <c r="K302" s="351" t="n"/>
      <c r="L302" s="350" t="n"/>
      <c r="M302" s="350" t="n"/>
      <c r="N302" s="344" t="n"/>
      <c r="O302" s="344" t="n"/>
      <c r="P302" s="344" t="n"/>
      <c r="Q302" s="344" t="n"/>
      <c r="R302" s="344" t="n"/>
      <c r="S302" s="344" t="n"/>
      <c r="T302" s="344" t="n"/>
      <c r="U302" s="344" t="n"/>
      <c r="V302" s="344" t="n"/>
      <c r="W302" s="344" t="n"/>
    </row>
    <row r="303" customFormat="1" s="354">
      <c r="A303" s="345" t="n"/>
      <c r="B303" s="581" t="n"/>
      <c r="C303" s="582" t="n"/>
      <c r="D303" s="583" t="n"/>
      <c r="E303" s="584" t="n"/>
      <c r="F303" s="350" t="n"/>
      <c r="G303" s="350" t="n"/>
      <c r="H303" s="350" t="n"/>
      <c r="I303" s="350" t="n"/>
      <c r="J303" s="350" t="n"/>
      <c r="K303" s="351" t="n"/>
      <c r="L303" s="350" t="n"/>
      <c r="M303" s="350" t="n"/>
      <c r="N303" s="344" t="n"/>
      <c r="O303" s="344" t="n"/>
      <c r="P303" s="344" t="n"/>
      <c r="Q303" s="344" t="n"/>
      <c r="R303" s="344" t="n"/>
      <c r="S303" s="344" t="n"/>
      <c r="T303" s="344" t="n"/>
      <c r="U303" s="344" t="n"/>
      <c r="V303" s="344" t="n"/>
      <c r="W303" s="344" t="n"/>
    </row>
    <row r="304" customFormat="1" s="354">
      <c r="A304" s="345" t="n"/>
      <c r="B304" s="581" t="n"/>
      <c r="C304" s="582" t="n"/>
      <c r="D304" s="583" t="n"/>
      <c r="E304" s="584" t="n"/>
      <c r="F304" s="350" t="n"/>
      <c r="G304" s="350" t="n"/>
      <c r="H304" s="350" t="n"/>
      <c r="I304" s="350" t="n"/>
      <c r="J304" s="350" t="n"/>
      <c r="K304" s="351" t="n"/>
      <c r="L304" s="350" t="n"/>
      <c r="M304" s="350" t="n"/>
      <c r="N304" s="344" t="n"/>
      <c r="O304" s="344" t="n"/>
      <c r="P304" s="344" t="n"/>
      <c r="Q304" s="344" t="n"/>
      <c r="R304" s="344" t="n"/>
      <c r="S304" s="344" t="n"/>
      <c r="T304" s="344" t="n"/>
      <c r="U304" s="344" t="n"/>
      <c r="V304" s="344" t="n"/>
      <c r="W304" s="344" t="n"/>
    </row>
    <row r="305" customFormat="1" s="354">
      <c r="A305" s="345" t="n"/>
      <c r="B305" s="581" t="n"/>
      <c r="C305" s="582" t="n"/>
      <c r="D305" s="583" t="n"/>
      <c r="E305" s="584" t="n"/>
      <c r="F305" s="350" t="n"/>
      <c r="G305" s="350" t="n"/>
      <c r="H305" s="350" t="n"/>
      <c r="I305" s="350" t="n"/>
      <c r="J305" s="350" t="n"/>
      <c r="K305" s="351" t="n"/>
      <c r="L305" s="350" t="n"/>
      <c r="M305" s="350" t="n"/>
      <c r="N305" s="344" t="n"/>
      <c r="O305" s="344" t="n"/>
      <c r="P305" s="344" t="n"/>
      <c r="Q305" s="344" t="n"/>
      <c r="R305" s="344" t="n"/>
      <c r="S305" s="344" t="n"/>
      <c r="T305" s="344" t="n"/>
      <c r="U305" s="344" t="n"/>
      <c r="V305" s="344" t="n"/>
      <c r="W305" s="344" t="n"/>
    </row>
    <row r="306" customFormat="1" s="354">
      <c r="A306" s="345" t="n"/>
      <c r="B306" s="581" t="n"/>
      <c r="C306" s="582" t="n"/>
      <c r="D306" s="583" t="n"/>
      <c r="E306" s="584" t="n"/>
      <c r="F306" s="350" t="n"/>
      <c r="G306" s="350" t="n"/>
      <c r="H306" s="350" t="n"/>
      <c r="I306" s="350" t="n"/>
      <c r="J306" s="350" t="n"/>
      <c r="K306" s="351" t="n"/>
      <c r="L306" s="350" t="n"/>
      <c r="M306" s="350" t="n"/>
      <c r="N306" s="344" t="n"/>
      <c r="O306" s="344" t="n"/>
      <c r="P306" s="344" t="n"/>
      <c r="Q306" s="344" t="n"/>
      <c r="R306" s="344" t="n"/>
      <c r="S306" s="344" t="n"/>
      <c r="T306" s="344" t="n"/>
      <c r="U306" s="344" t="n"/>
      <c r="V306" s="344" t="n"/>
      <c r="W306" s="344" t="n"/>
    </row>
    <row r="307" customFormat="1" s="354">
      <c r="A307" s="345" t="n"/>
      <c r="B307" s="581" t="n"/>
      <c r="C307" s="582" t="n"/>
      <c r="D307" s="583" t="n"/>
      <c r="E307" s="584" t="n"/>
      <c r="F307" s="350" t="n"/>
      <c r="G307" s="350" t="n"/>
      <c r="H307" s="350" t="n"/>
      <c r="I307" s="350" t="n"/>
      <c r="J307" s="350" t="n"/>
      <c r="K307" s="351" t="n"/>
      <c r="L307" s="350" t="n"/>
      <c r="M307" s="350" t="n"/>
      <c r="N307" s="344" t="n"/>
      <c r="O307" s="344" t="n"/>
      <c r="P307" s="344" t="n"/>
      <c r="Q307" s="344" t="n"/>
      <c r="R307" s="344" t="n"/>
      <c r="S307" s="344" t="n"/>
      <c r="T307" s="344" t="n"/>
      <c r="U307" s="344" t="n"/>
      <c r="V307" s="344" t="n"/>
      <c r="W307" s="344" t="n"/>
    </row>
    <row r="308" customFormat="1" s="354">
      <c r="A308" s="345" t="n"/>
      <c r="B308" s="581" t="n"/>
      <c r="C308" s="582" t="n"/>
      <c r="D308" s="583" t="n"/>
      <c r="E308" s="584" t="n"/>
      <c r="F308" s="350" t="n"/>
      <c r="G308" s="350" t="n"/>
      <c r="H308" s="350" t="n"/>
      <c r="I308" s="350" t="n"/>
      <c r="J308" s="350" t="n"/>
      <c r="K308" s="351" t="n"/>
      <c r="L308" s="350" t="n"/>
      <c r="M308" s="350" t="n"/>
      <c r="N308" s="344" t="n"/>
      <c r="O308" s="344" t="n"/>
      <c r="P308" s="344" t="n"/>
      <c r="Q308" s="344" t="n"/>
      <c r="R308" s="344" t="n"/>
      <c r="S308" s="344" t="n"/>
      <c r="T308" s="344" t="n"/>
      <c r="U308" s="344" t="n"/>
      <c r="V308" s="344" t="n"/>
      <c r="W308" s="344" t="n"/>
    </row>
    <row r="309" customFormat="1" s="354">
      <c r="A309" s="345" t="n"/>
      <c r="B309" s="581" t="n"/>
      <c r="C309" s="582" t="n"/>
      <c r="D309" s="583" t="n"/>
      <c r="E309" s="584" t="n"/>
      <c r="F309" s="350" t="n"/>
      <c r="G309" s="350" t="n"/>
      <c r="H309" s="350" t="n"/>
      <c r="I309" s="350" t="n"/>
      <c r="J309" s="350" t="n"/>
      <c r="K309" s="351" t="n"/>
      <c r="L309" s="350" t="n"/>
      <c r="M309" s="350" t="n"/>
      <c r="N309" s="344" t="n"/>
      <c r="O309" s="344" t="n"/>
      <c r="P309" s="344" t="n"/>
      <c r="Q309" s="344" t="n"/>
      <c r="R309" s="344" t="n"/>
      <c r="S309" s="344" t="n"/>
      <c r="T309" s="344" t="n"/>
      <c r="U309" s="344" t="n"/>
      <c r="V309" s="344" t="n"/>
      <c r="W309" s="344" t="n"/>
    </row>
    <row r="310" customFormat="1" s="354">
      <c r="A310" s="345" t="n"/>
      <c r="B310" s="581" t="n"/>
      <c r="C310" s="582" t="n"/>
      <c r="D310" s="583" t="n"/>
      <c r="E310" s="584" t="n"/>
      <c r="F310" s="350" t="n"/>
      <c r="G310" s="350" t="n"/>
      <c r="H310" s="350" t="n"/>
      <c r="I310" s="350" t="n"/>
      <c r="J310" s="350" t="n"/>
      <c r="K310" s="351" t="n"/>
      <c r="L310" s="350" t="n"/>
      <c r="M310" s="350" t="n"/>
      <c r="N310" s="344" t="n"/>
      <c r="O310" s="344" t="n"/>
      <c r="P310" s="344" t="n"/>
      <c r="Q310" s="344" t="n"/>
      <c r="R310" s="344" t="n"/>
      <c r="S310" s="344" t="n"/>
      <c r="T310" s="344" t="n"/>
      <c r="U310" s="344" t="n"/>
      <c r="V310" s="344" t="n"/>
      <c r="W310" s="344" t="n"/>
    </row>
    <row r="311" customFormat="1" s="354">
      <c r="A311" s="345" t="n"/>
      <c r="B311" s="581" t="n"/>
      <c r="C311" s="582" t="n"/>
      <c r="D311" s="583" t="n"/>
      <c r="E311" s="584" t="n"/>
      <c r="F311" s="350" t="n"/>
      <c r="G311" s="350" t="n"/>
      <c r="H311" s="350" t="n"/>
      <c r="I311" s="350" t="n"/>
      <c r="J311" s="350" t="n"/>
      <c r="K311" s="351" t="n"/>
      <c r="L311" s="350" t="n"/>
      <c r="M311" s="350" t="n"/>
      <c r="N311" s="344" t="n"/>
      <c r="O311" s="344" t="n"/>
      <c r="P311" s="344" t="n"/>
      <c r="Q311" s="344" t="n"/>
      <c r="R311" s="344" t="n"/>
      <c r="S311" s="344" t="n"/>
      <c r="T311" s="344" t="n"/>
      <c r="U311" s="344" t="n"/>
      <c r="V311" s="344" t="n"/>
      <c r="W311" s="344" t="n"/>
    </row>
    <row r="312" customFormat="1" s="354">
      <c r="A312" s="345" t="n"/>
      <c r="B312" s="581" t="n"/>
      <c r="C312" s="582" t="n"/>
      <c r="D312" s="583" t="n"/>
      <c r="E312" s="584" t="n"/>
      <c r="F312" s="350" t="n"/>
      <c r="G312" s="350" t="n"/>
      <c r="H312" s="350" t="n"/>
      <c r="I312" s="350" t="n"/>
      <c r="J312" s="350" t="n"/>
      <c r="K312" s="351" t="n"/>
      <c r="L312" s="350" t="n"/>
      <c r="M312" s="350" t="n"/>
      <c r="N312" s="344" t="n"/>
      <c r="O312" s="344" t="n"/>
      <c r="P312" s="344" t="n"/>
      <c r="Q312" s="344" t="n"/>
      <c r="R312" s="344" t="n"/>
      <c r="S312" s="344" t="n"/>
      <c r="T312" s="344" t="n"/>
      <c r="U312" s="344" t="n"/>
      <c r="V312" s="344" t="n"/>
      <c r="W312" s="344" t="n"/>
    </row>
    <row r="313" customFormat="1" s="354">
      <c r="A313" s="345" t="n"/>
      <c r="B313" s="581" t="n"/>
      <c r="C313" s="582" t="n"/>
      <c r="D313" s="583" t="n"/>
      <c r="E313" s="584" t="n"/>
      <c r="F313" s="350" t="n"/>
      <c r="G313" s="350" t="n"/>
      <c r="H313" s="350" t="n"/>
      <c r="I313" s="350" t="n"/>
      <c r="J313" s="350" t="n"/>
      <c r="K313" s="351" t="n"/>
      <c r="L313" s="350" t="n"/>
      <c r="M313" s="350" t="n"/>
      <c r="N313" s="344" t="n"/>
      <c r="O313" s="344" t="n"/>
      <c r="P313" s="344" t="n"/>
      <c r="Q313" s="344" t="n"/>
      <c r="R313" s="344" t="n"/>
      <c r="S313" s="344" t="n"/>
      <c r="T313" s="344" t="n"/>
      <c r="U313" s="344" t="n"/>
      <c r="V313" s="344" t="n"/>
      <c r="W313" s="344" t="n"/>
    </row>
    <row r="314" customFormat="1" s="354">
      <c r="A314" s="345" t="n"/>
      <c r="B314" s="581" t="n"/>
      <c r="C314" s="582" t="n"/>
      <c r="D314" s="583" t="n"/>
      <c r="E314" s="584" t="n"/>
      <c r="F314" s="350" t="n"/>
      <c r="G314" s="350" t="n"/>
      <c r="H314" s="350" t="n"/>
      <c r="I314" s="350" t="n"/>
      <c r="J314" s="350" t="n"/>
      <c r="K314" s="351" t="n"/>
      <c r="L314" s="350" t="n"/>
      <c r="M314" s="350" t="n"/>
      <c r="N314" s="344" t="n"/>
      <c r="O314" s="344" t="n"/>
      <c r="P314" s="344" t="n"/>
      <c r="Q314" s="344" t="n"/>
      <c r="R314" s="344" t="n"/>
      <c r="S314" s="344" t="n"/>
      <c r="T314" s="344" t="n"/>
      <c r="U314" s="344" t="n"/>
      <c r="V314" s="344" t="n"/>
      <c r="W314" s="344" t="n"/>
    </row>
    <row r="315" customFormat="1" s="354">
      <c r="A315" s="345" t="n"/>
      <c r="B315" s="581" t="n"/>
      <c r="C315" s="582" t="n"/>
      <c r="D315" s="583" t="n"/>
      <c r="E315" s="584" t="n"/>
      <c r="F315" s="350" t="n"/>
      <c r="G315" s="350" t="n"/>
      <c r="H315" s="350" t="n"/>
      <c r="I315" s="350" t="n"/>
      <c r="J315" s="350" t="n"/>
      <c r="K315" s="351" t="n"/>
      <c r="L315" s="350" t="n"/>
      <c r="M315" s="350" t="n"/>
      <c r="N315" s="344" t="n"/>
      <c r="O315" s="344" t="n"/>
      <c r="P315" s="344" t="n"/>
      <c r="Q315" s="344" t="n"/>
      <c r="R315" s="344" t="n"/>
      <c r="S315" s="344" t="n"/>
      <c r="T315" s="344" t="n"/>
      <c r="U315" s="344" t="n"/>
      <c r="V315" s="344" t="n"/>
      <c r="W315" s="344" t="n"/>
    </row>
    <row r="316" customFormat="1" s="354">
      <c r="A316" s="345" t="n"/>
      <c r="B316" s="581" t="n"/>
      <c r="C316" s="582" t="n"/>
      <c r="D316" s="583" t="n"/>
      <c r="E316" s="584" t="n"/>
      <c r="F316" s="350" t="n"/>
      <c r="G316" s="350" t="n"/>
      <c r="H316" s="350" t="n"/>
      <c r="I316" s="350" t="n"/>
      <c r="J316" s="350" t="n"/>
      <c r="K316" s="351" t="n"/>
      <c r="L316" s="350" t="n"/>
      <c r="M316" s="350" t="n"/>
      <c r="N316" s="344" t="n"/>
      <c r="O316" s="344" t="n"/>
      <c r="P316" s="344" t="n"/>
      <c r="Q316" s="344" t="n"/>
      <c r="R316" s="344" t="n"/>
      <c r="S316" s="344" t="n"/>
      <c r="T316" s="344" t="n"/>
      <c r="U316" s="344" t="n"/>
      <c r="V316" s="344" t="n"/>
      <c r="W316" s="344" t="n"/>
    </row>
    <row r="317" customFormat="1" s="354">
      <c r="A317" s="345" t="n"/>
      <c r="B317" s="581" t="n"/>
      <c r="C317" s="582" t="n"/>
      <c r="D317" s="583" t="n"/>
      <c r="E317" s="584" t="n"/>
      <c r="F317" s="350" t="n"/>
      <c r="G317" s="350" t="n"/>
      <c r="H317" s="350" t="n"/>
      <c r="I317" s="350" t="n"/>
      <c r="J317" s="350" t="n"/>
      <c r="K317" s="351" t="n"/>
      <c r="L317" s="350" t="n"/>
      <c r="M317" s="350" t="n"/>
      <c r="N317" s="344" t="n"/>
      <c r="O317" s="344" t="n"/>
      <c r="P317" s="344" t="n"/>
      <c r="Q317" s="344" t="n"/>
      <c r="R317" s="344" t="n"/>
      <c r="S317" s="344" t="n"/>
      <c r="T317" s="344" t="n"/>
      <c r="U317" s="344" t="n"/>
      <c r="V317" s="344" t="n"/>
      <c r="W317" s="344" t="n"/>
    </row>
    <row r="318" customFormat="1" s="354">
      <c r="A318" s="345" t="n"/>
      <c r="B318" s="581" t="n"/>
      <c r="C318" s="582" t="n"/>
      <c r="D318" s="583" t="n"/>
      <c r="E318" s="584" t="n"/>
      <c r="F318" s="350" t="n"/>
      <c r="G318" s="350" t="n"/>
      <c r="H318" s="350" t="n"/>
      <c r="I318" s="350" t="n"/>
      <c r="J318" s="350" t="n"/>
      <c r="K318" s="351" t="n"/>
      <c r="L318" s="350" t="n"/>
      <c r="M318" s="350" t="n"/>
      <c r="N318" s="344" t="n"/>
      <c r="O318" s="344" t="n"/>
      <c r="P318" s="344" t="n"/>
      <c r="Q318" s="344" t="n"/>
      <c r="R318" s="344" t="n"/>
      <c r="S318" s="344" t="n"/>
      <c r="T318" s="344" t="n"/>
      <c r="U318" s="344" t="n"/>
      <c r="V318" s="344" t="n"/>
      <c r="W318" s="344" t="n"/>
    </row>
    <row r="319" customFormat="1" s="354">
      <c r="A319" s="345" t="n"/>
      <c r="B319" s="581" t="n"/>
      <c r="C319" s="582" t="n"/>
      <c r="D319" s="583" t="n"/>
      <c r="E319" s="584" t="n"/>
      <c r="F319" s="350" t="n"/>
      <c r="G319" s="350" t="n"/>
      <c r="H319" s="350" t="n"/>
      <c r="I319" s="350" t="n"/>
      <c r="J319" s="350" t="n"/>
      <c r="K319" s="351" t="n"/>
      <c r="L319" s="350" t="n"/>
      <c r="M319" s="350" t="n"/>
      <c r="N319" s="344" t="n"/>
      <c r="O319" s="344" t="n"/>
      <c r="P319" s="344" t="n"/>
      <c r="Q319" s="344" t="n"/>
      <c r="R319" s="344" t="n"/>
      <c r="S319" s="344" t="n"/>
      <c r="T319" s="344" t="n"/>
      <c r="U319" s="344" t="n"/>
      <c r="V319" s="344" t="n"/>
      <c r="W319" s="344" t="n"/>
    </row>
    <row r="320" customFormat="1" s="354">
      <c r="A320" s="345" t="n"/>
      <c r="B320" s="581" t="n"/>
      <c r="C320" s="582" t="n"/>
      <c r="D320" s="583" t="n"/>
      <c r="E320" s="584" t="n"/>
      <c r="F320" s="350" t="n"/>
      <c r="G320" s="350" t="n"/>
      <c r="H320" s="350" t="n"/>
      <c r="I320" s="350" t="n"/>
      <c r="J320" s="350" t="n"/>
      <c r="K320" s="351" t="n"/>
      <c r="L320" s="350" t="n"/>
      <c r="M320" s="350" t="n"/>
      <c r="N320" s="344" t="n"/>
      <c r="O320" s="344" t="n"/>
      <c r="P320" s="344" t="n"/>
      <c r="Q320" s="344" t="n"/>
      <c r="R320" s="344" t="n"/>
      <c r="S320" s="344" t="n"/>
      <c r="T320" s="344" t="n"/>
      <c r="U320" s="344" t="n"/>
      <c r="V320" s="344" t="n"/>
      <c r="W320" s="344" t="n"/>
    </row>
    <row r="321" customFormat="1" s="354">
      <c r="A321" s="345" t="n"/>
      <c r="B321" s="581" t="n"/>
      <c r="C321" s="582" t="n"/>
      <c r="D321" s="583" t="n"/>
      <c r="E321" s="584" t="n"/>
      <c r="F321" s="350" t="n"/>
      <c r="G321" s="350" t="n"/>
      <c r="H321" s="350" t="n"/>
      <c r="I321" s="350" t="n"/>
      <c r="J321" s="350" t="n"/>
      <c r="K321" s="351" t="n"/>
      <c r="L321" s="350" t="n"/>
      <c r="M321" s="350" t="n"/>
      <c r="N321" s="344" t="n"/>
      <c r="O321" s="344" t="n"/>
      <c r="P321" s="344" t="n"/>
      <c r="Q321" s="344" t="n"/>
      <c r="R321" s="344" t="n"/>
      <c r="S321" s="344" t="n"/>
      <c r="T321" s="344" t="n"/>
      <c r="U321" s="344" t="n"/>
      <c r="V321" s="344" t="n"/>
      <c r="W321" s="344" t="n"/>
    </row>
    <row r="322" customFormat="1" s="354">
      <c r="A322" s="345" t="n"/>
      <c r="B322" s="581" t="n"/>
      <c r="C322" s="582" t="n"/>
      <c r="D322" s="583" t="n"/>
      <c r="E322" s="584" t="n"/>
      <c r="F322" s="350" t="n"/>
      <c r="G322" s="350" t="n"/>
      <c r="H322" s="350" t="n"/>
      <c r="I322" s="350" t="n"/>
      <c r="J322" s="350" t="n"/>
      <c r="K322" s="351" t="n"/>
      <c r="L322" s="350" t="n"/>
      <c r="M322" s="350" t="n"/>
      <c r="N322" s="344" t="n"/>
      <c r="O322" s="344" t="n"/>
      <c r="P322" s="344" t="n"/>
      <c r="Q322" s="344" t="n"/>
      <c r="R322" s="344" t="n"/>
      <c r="S322" s="344" t="n"/>
      <c r="T322" s="344" t="n"/>
      <c r="U322" s="344" t="n"/>
      <c r="V322" s="344" t="n"/>
      <c r="W322" s="344" t="n"/>
    </row>
    <row r="323" customFormat="1" s="354">
      <c r="A323" s="345" t="n"/>
      <c r="B323" s="581" t="n"/>
      <c r="C323" s="582" t="n"/>
      <c r="D323" s="583" t="n"/>
      <c r="E323" s="584" t="n"/>
      <c r="F323" s="350" t="n"/>
      <c r="G323" s="350" t="n"/>
      <c r="H323" s="350" t="n"/>
      <c r="I323" s="350" t="n"/>
      <c r="J323" s="350" t="n"/>
      <c r="K323" s="351" t="n"/>
      <c r="L323" s="350" t="n"/>
      <c r="M323" s="350" t="n"/>
      <c r="N323" s="344" t="n"/>
      <c r="O323" s="344" t="n"/>
      <c r="P323" s="344" t="n"/>
      <c r="Q323" s="344" t="n"/>
      <c r="R323" s="344" t="n"/>
      <c r="S323" s="344" t="n"/>
      <c r="T323" s="344" t="n"/>
      <c r="U323" s="344" t="n"/>
      <c r="V323" s="344" t="n"/>
      <c r="W323" s="344" t="n"/>
    </row>
    <row r="324" customFormat="1" s="354">
      <c r="A324" s="345" t="n"/>
      <c r="B324" s="581" t="n"/>
      <c r="C324" s="582" t="n"/>
      <c r="D324" s="583" t="n"/>
      <c r="E324" s="584" t="n"/>
      <c r="F324" s="350" t="n"/>
      <c r="G324" s="350" t="n"/>
      <c r="H324" s="350" t="n"/>
      <c r="I324" s="350" t="n"/>
      <c r="J324" s="350" t="n"/>
      <c r="K324" s="351" t="n"/>
      <c r="L324" s="350" t="n"/>
      <c r="M324" s="350" t="n"/>
      <c r="N324" s="344" t="n"/>
      <c r="O324" s="344" t="n"/>
      <c r="P324" s="344" t="n"/>
      <c r="Q324" s="344" t="n"/>
      <c r="R324" s="344" t="n"/>
      <c r="S324" s="344" t="n"/>
      <c r="T324" s="344" t="n"/>
      <c r="U324" s="344" t="n"/>
      <c r="V324" s="344" t="n"/>
      <c r="W324" s="344" t="n"/>
    </row>
    <row r="325" customFormat="1" s="354">
      <c r="A325" s="345" t="n"/>
      <c r="B325" s="581" t="n"/>
      <c r="C325" s="582" t="n"/>
      <c r="D325" s="583" t="n"/>
      <c r="E325" s="584" t="n"/>
      <c r="F325" s="350" t="n"/>
      <c r="G325" s="350" t="n"/>
      <c r="H325" s="350" t="n"/>
      <c r="I325" s="350" t="n"/>
      <c r="J325" s="350" t="n"/>
      <c r="K325" s="351" t="n"/>
      <c r="L325" s="350" t="n"/>
      <c r="M325" s="350" t="n"/>
      <c r="N325" s="344" t="n"/>
      <c r="O325" s="344" t="n"/>
      <c r="P325" s="344" t="n"/>
      <c r="Q325" s="344" t="n"/>
      <c r="R325" s="344" t="n"/>
      <c r="S325" s="344" t="n"/>
      <c r="T325" s="344" t="n"/>
      <c r="U325" s="344" t="n"/>
      <c r="V325" s="344" t="n"/>
      <c r="W325" s="344" t="n"/>
    </row>
    <row r="326" customFormat="1" s="354">
      <c r="A326" s="345" t="n"/>
      <c r="B326" s="581" t="n"/>
      <c r="C326" s="582" t="n"/>
      <c r="D326" s="583" t="n"/>
      <c r="E326" s="584" t="n"/>
      <c r="F326" s="350" t="n"/>
      <c r="G326" s="350" t="n"/>
      <c r="H326" s="350" t="n"/>
      <c r="I326" s="350" t="n"/>
      <c r="J326" s="350" t="n"/>
      <c r="K326" s="351" t="n"/>
      <c r="L326" s="350" t="n"/>
      <c r="M326" s="350" t="n"/>
      <c r="N326" s="344" t="n"/>
      <c r="O326" s="344" t="n"/>
      <c r="P326" s="344" t="n"/>
      <c r="Q326" s="344" t="n"/>
      <c r="R326" s="344" t="n"/>
      <c r="S326" s="344" t="n"/>
      <c r="T326" s="344" t="n"/>
      <c r="U326" s="344" t="n"/>
      <c r="V326" s="344" t="n"/>
      <c r="W326" s="344" t="n"/>
    </row>
    <row r="327" customFormat="1" s="354">
      <c r="A327" s="345" t="n"/>
      <c r="B327" s="581" t="n"/>
      <c r="C327" s="582" t="n"/>
      <c r="D327" s="583" t="n"/>
      <c r="E327" s="584" t="n"/>
      <c r="F327" s="350" t="n"/>
      <c r="G327" s="350" t="n"/>
      <c r="H327" s="350" t="n"/>
      <c r="I327" s="350" t="n"/>
      <c r="J327" s="350" t="n"/>
      <c r="K327" s="351" t="n"/>
      <c r="L327" s="350" t="n"/>
      <c r="M327" s="350" t="n"/>
      <c r="N327" s="344" t="n"/>
      <c r="O327" s="344" t="n"/>
      <c r="P327" s="344" t="n"/>
      <c r="Q327" s="344" t="n"/>
      <c r="R327" s="344" t="n"/>
      <c r="S327" s="344" t="n"/>
      <c r="T327" s="344" t="n"/>
      <c r="U327" s="344" t="n"/>
      <c r="V327" s="344" t="n"/>
      <c r="W327" s="344" t="n"/>
    </row>
    <row r="328" customFormat="1" s="354">
      <c r="A328" s="345" t="n"/>
      <c r="B328" s="581" t="n"/>
      <c r="C328" s="582" t="n"/>
      <c r="D328" s="583" t="n"/>
      <c r="E328" s="584" t="n"/>
      <c r="F328" s="350" t="n"/>
      <c r="G328" s="350" t="n"/>
      <c r="H328" s="350" t="n"/>
      <c r="I328" s="350" t="n"/>
      <c r="J328" s="350" t="n"/>
      <c r="K328" s="351" t="n"/>
      <c r="L328" s="350" t="n"/>
      <c r="M328" s="350" t="n"/>
      <c r="N328" s="344" t="n"/>
      <c r="O328" s="344" t="n"/>
      <c r="P328" s="344" t="n"/>
      <c r="Q328" s="344" t="n"/>
      <c r="R328" s="344" t="n"/>
      <c r="S328" s="344" t="n"/>
      <c r="T328" s="344" t="n"/>
      <c r="U328" s="344" t="n"/>
      <c r="V328" s="344" t="n"/>
      <c r="W328" s="344" t="n"/>
    </row>
    <row r="329" customFormat="1" s="354">
      <c r="A329" s="345" t="n"/>
      <c r="B329" s="581" t="n"/>
      <c r="C329" s="582" t="n"/>
      <c r="D329" s="583" t="n"/>
      <c r="E329" s="584" t="n"/>
      <c r="F329" s="350" t="n"/>
      <c r="G329" s="350" t="n"/>
      <c r="H329" s="350" t="n"/>
      <c r="I329" s="350" t="n"/>
      <c r="J329" s="350" t="n"/>
      <c r="K329" s="351" t="n"/>
      <c r="L329" s="350" t="n"/>
      <c r="M329" s="350" t="n"/>
      <c r="N329" s="344" t="n"/>
      <c r="O329" s="344" t="n"/>
      <c r="P329" s="344" t="n"/>
      <c r="Q329" s="344" t="n"/>
      <c r="R329" s="344" t="n"/>
      <c r="S329" s="344" t="n"/>
      <c r="T329" s="344" t="n"/>
      <c r="U329" s="344" t="n"/>
      <c r="V329" s="344" t="n"/>
      <c r="W329" s="344" t="n"/>
    </row>
    <row r="330" customFormat="1" s="354">
      <c r="A330" s="345" t="n"/>
      <c r="B330" s="581" t="n"/>
      <c r="C330" s="582" t="n"/>
      <c r="D330" s="583" t="n"/>
      <c r="E330" s="584" t="n"/>
      <c r="F330" s="350" t="n"/>
      <c r="G330" s="350" t="n"/>
      <c r="H330" s="350" t="n"/>
      <c r="I330" s="350" t="n"/>
      <c r="J330" s="350" t="n"/>
      <c r="K330" s="351" t="n"/>
      <c r="L330" s="350" t="n"/>
      <c r="M330" s="350" t="n"/>
      <c r="N330" s="344" t="n"/>
      <c r="O330" s="344" t="n"/>
      <c r="P330" s="344" t="n"/>
      <c r="Q330" s="344" t="n"/>
      <c r="R330" s="344" t="n"/>
      <c r="S330" s="344" t="n"/>
      <c r="T330" s="344" t="n"/>
      <c r="U330" s="344" t="n"/>
      <c r="V330" s="344" t="n"/>
      <c r="W330" s="344" t="n"/>
    </row>
    <row r="331" customFormat="1" s="354">
      <c r="A331" s="345" t="n"/>
      <c r="B331" s="581" t="n"/>
      <c r="C331" s="582" t="n"/>
      <c r="D331" s="583" t="n"/>
      <c r="E331" s="584" t="n"/>
      <c r="F331" s="350" t="n"/>
      <c r="G331" s="350" t="n"/>
      <c r="H331" s="350" t="n"/>
      <c r="I331" s="350" t="n"/>
      <c r="J331" s="350" t="n"/>
      <c r="K331" s="351" t="n"/>
      <c r="L331" s="350" t="n"/>
      <c r="M331" s="350" t="n"/>
      <c r="N331" s="344" t="n"/>
      <c r="O331" s="344" t="n"/>
      <c r="P331" s="344" t="n"/>
      <c r="Q331" s="344" t="n"/>
      <c r="R331" s="344" t="n"/>
      <c r="S331" s="344" t="n"/>
      <c r="T331" s="344" t="n"/>
      <c r="U331" s="344" t="n"/>
      <c r="V331" s="344" t="n"/>
      <c r="W331" s="344" t="n"/>
    </row>
    <row r="332" customFormat="1" s="354">
      <c r="A332" s="345" t="n"/>
      <c r="B332" s="581" t="n"/>
      <c r="C332" s="582" t="n"/>
      <c r="D332" s="583" t="n"/>
      <c r="E332" s="584" t="n"/>
      <c r="F332" s="350" t="n"/>
      <c r="G332" s="350" t="n"/>
      <c r="H332" s="350" t="n"/>
      <c r="I332" s="350" t="n"/>
      <c r="J332" s="350" t="n"/>
      <c r="K332" s="351" t="n"/>
      <c r="L332" s="350" t="n"/>
      <c r="M332" s="350" t="n"/>
      <c r="N332" s="344" t="n"/>
      <c r="O332" s="344" t="n"/>
      <c r="P332" s="344" t="n"/>
      <c r="Q332" s="344" t="n"/>
      <c r="R332" s="344" t="n"/>
      <c r="S332" s="344" t="n"/>
      <c r="T332" s="344" t="n"/>
      <c r="U332" s="344" t="n"/>
      <c r="V332" s="344" t="n"/>
      <c r="W332" s="344" t="n"/>
    </row>
    <row r="333" customFormat="1" s="354">
      <c r="A333" s="345" t="n"/>
      <c r="B333" s="581" t="n"/>
      <c r="C333" s="582" t="n"/>
      <c r="D333" s="583" t="n"/>
      <c r="E333" s="584" t="n"/>
      <c r="F333" s="350" t="n"/>
      <c r="G333" s="350" t="n"/>
      <c r="H333" s="350" t="n"/>
      <c r="I333" s="350" t="n"/>
      <c r="J333" s="350" t="n"/>
      <c r="K333" s="351" t="n"/>
      <c r="L333" s="350" t="n"/>
      <c r="M333" s="350" t="n"/>
      <c r="N333" s="344" t="n"/>
      <c r="O333" s="344" t="n"/>
      <c r="P333" s="344" t="n"/>
      <c r="Q333" s="344" t="n"/>
      <c r="R333" s="344" t="n"/>
      <c r="S333" s="344" t="n"/>
      <c r="T333" s="344" t="n"/>
      <c r="U333" s="344" t="n"/>
      <c r="V333" s="344" t="n"/>
      <c r="W333" s="344" t="n"/>
    </row>
    <row r="334" customFormat="1" s="354">
      <c r="A334" s="345" t="n"/>
      <c r="B334" s="581" t="n"/>
      <c r="C334" s="582" t="n"/>
      <c r="D334" s="583" t="n"/>
      <c r="E334" s="584" t="n"/>
      <c r="F334" s="350" t="n"/>
      <c r="G334" s="350" t="n"/>
      <c r="H334" s="350" t="n"/>
      <c r="I334" s="350" t="n"/>
      <c r="J334" s="350" t="n"/>
      <c r="K334" s="351" t="n"/>
      <c r="L334" s="350" t="n"/>
      <c r="M334" s="350" t="n"/>
      <c r="N334" s="344" t="n"/>
      <c r="O334" s="344" t="n"/>
      <c r="P334" s="344" t="n"/>
      <c r="Q334" s="344" t="n"/>
      <c r="R334" s="344" t="n"/>
      <c r="S334" s="344" t="n"/>
      <c r="T334" s="344" t="n"/>
      <c r="U334" s="344" t="n"/>
      <c r="V334" s="344" t="n"/>
      <c r="W334" s="344" t="n"/>
    </row>
    <row r="335" customFormat="1" s="354">
      <c r="A335" s="345" t="n"/>
      <c r="B335" s="581" t="n"/>
      <c r="C335" s="582" t="n"/>
      <c r="D335" s="583" t="n"/>
      <c r="E335" s="584" t="n"/>
      <c r="F335" s="350" t="n"/>
      <c r="G335" s="350" t="n"/>
      <c r="H335" s="350" t="n"/>
      <c r="I335" s="350" t="n"/>
      <c r="J335" s="350" t="n"/>
      <c r="K335" s="351" t="n"/>
      <c r="L335" s="350" t="n"/>
      <c r="M335" s="350" t="n"/>
      <c r="N335" s="344" t="n"/>
      <c r="O335" s="344" t="n"/>
      <c r="P335" s="344" t="n"/>
      <c r="Q335" s="344" t="n"/>
      <c r="R335" s="344" t="n"/>
      <c r="S335" s="344" t="n"/>
      <c r="T335" s="344" t="n"/>
      <c r="U335" s="344" t="n"/>
      <c r="V335" s="344" t="n"/>
      <c r="W335" s="344" t="n"/>
    </row>
    <row r="336" customFormat="1" s="354">
      <c r="A336" s="345" t="n"/>
      <c r="B336" s="581" t="n"/>
      <c r="C336" s="582" t="n"/>
      <c r="D336" s="583" t="n"/>
      <c r="E336" s="584" t="n"/>
      <c r="F336" s="350" t="n"/>
      <c r="G336" s="350" t="n"/>
      <c r="H336" s="350" t="n"/>
      <c r="I336" s="350" t="n"/>
      <c r="J336" s="350" t="n"/>
      <c r="K336" s="351" t="n"/>
      <c r="L336" s="350" t="n"/>
      <c r="M336" s="350" t="n"/>
      <c r="N336" s="344" t="n"/>
      <c r="O336" s="344" t="n"/>
      <c r="P336" s="344" t="n"/>
      <c r="Q336" s="344" t="n"/>
      <c r="R336" s="344" t="n"/>
      <c r="S336" s="344" t="n"/>
      <c r="T336" s="344" t="n"/>
      <c r="U336" s="344" t="n"/>
      <c r="V336" s="344" t="n"/>
      <c r="W336" s="344" t="n"/>
    </row>
    <row r="337" customFormat="1" s="354">
      <c r="A337" s="345" t="n"/>
      <c r="B337" s="581" t="n"/>
      <c r="C337" s="582" t="n"/>
      <c r="D337" s="583" t="n"/>
      <c r="E337" s="584" t="n"/>
      <c r="F337" s="350" t="n"/>
      <c r="G337" s="350" t="n"/>
      <c r="H337" s="350" t="n"/>
      <c r="I337" s="350" t="n"/>
      <c r="J337" s="350" t="n"/>
      <c r="K337" s="351" t="n"/>
      <c r="L337" s="350" t="n"/>
      <c r="M337" s="350" t="n"/>
      <c r="N337" s="344" t="n"/>
      <c r="O337" s="344" t="n"/>
      <c r="P337" s="344" t="n"/>
      <c r="Q337" s="344" t="n"/>
      <c r="R337" s="344" t="n"/>
      <c r="S337" s="344" t="n"/>
      <c r="T337" s="344" t="n"/>
      <c r="U337" s="344" t="n"/>
      <c r="V337" s="344" t="n"/>
      <c r="W337" s="344" t="n"/>
    </row>
    <row r="338" customFormat="1" s="354">
      <c r="A338" s="345" t="n"/>
      <c r="B338" s="581" t="n"/>
      <c r="C338" s="582" t="n"/>
      <c r="D338" s="583" t="n"/>
      <c r="E338" s="584" t="n"/>
      <c r="F338" s="350" t="n"/>
      <c r="G338" s="350" t="n"/>
      <c r="H338" s="350" t="n"/>
      <c r="I338" s="350" t="n"/>
      <c r="J338" s="350" t="n"/>
      <c r="K338" s="351" t="n"/>
      <c r="L338" s="350" t="n"/>
      <c r="M338" s="350" t="n"/>
      <c r="N338" s="344" t="n"/>
      <c r="O338" s="344" t="n"/>
      <c r="P338" s="344" t="n"/>
      <c r="Q338" s="344" t="n"/>
      <c r="R338" s="344" t="n"/>
      <c r="S338" s="344" t="n"/>
      <c r="T338" s="344" t="n"/>
      <c r="U338" s="344" t="n"/>
      <c r="V338" s="344" t="n"/>
      <c r="W338" s="344" t="n"/>
    </row>
    <row r="339" customFormat="1" s="354">
      <c r="A339" s="345" t="n"/>
      <c r="B339" s="581" t="n"/>
      <c r="C339" s="582" t="n"/>
      <c r="D339" s="583" t="n"/>
      <c r="E339" s="584" t="n"/>
      <c r="F339" s="350" t="n"/>
      <c r="G339" s="350" t="n"/>
      <c r="H339" s="350" t="n"/>
      <c r="I339" s="350" t="n"/>
      <c r="J339" s="350" t="n"/>
      <c r="K339" s="351" t="n"/>
      <c r="L339" s="350" t="n"/>
      <c r="M339" s="350" t="n"/>
      <c r="N339" s="344" t="n"/>
      <c r="O339" s="344" t="n"/>
      <c r="P339" s="344" t="n"/>
      <c r="Q339" s="344" t="n"/>
      <c r="R339" s="344" t="n"/>
      <c r="S339" s="344" t="n"/>
      <c r="T339" s="344" t="n"/>
      <c r="U339" s="344" t="n"/>
      <c r="V339" s="344" t="n"/>
      <c r="W339" s="344" t="n"/>
    </row>
    <row r="340" customFormat="1" s="354">
      <c r="A340" s="345" t="n"/>
      <c r="B340" s="581" t="n"/>
      <c r="C340" s="582" t="n"/>
      <c r="D340" s="583" t="n"/>
      <c r="E340" s="584" t="n"/>
      <c r="F340" s="350" t="n"/>
      <c r="G340" s="350" t="n"/>
      <c r="H340" s="350" t="n"/>
      <c r="I340" s="350" t="n"/>
      <c r="J340" s="350" t="n"/>
      <c r="K340" s="351" t="n"/>
      <c r="L340" s="350" t="n"/>
      <c r="M340" s="350" t="n"/>
      <c r="N340" s="344" t="n"/>
      <c r="O340" s="344" t="n"/>
      <c r="P340" s="344" t="n"/>
      <c r="Q340" s="344" t="n"/>
      <c r="R340" s="344" t="n"/>
      <c r="S340" s="344" t="n"/>
      <c r="T340" s="344" t="n"/>
      <c r="U340" s="344" t="n"/>
      <c r="V340" s="344" t="n"/>
      <c r="W340" s="344" t="n"/>
    </row>
    <row r="341" customFormat="1" s="354">
      <c r="A341" s="345" t="n"/>
      <c r="B341" s="581" t="n"/>
      <c r="C341" s="582" t="n"/>
      <c r="D341" s="583" t="n"/>
      <c r="E341" s="584" t="n"/>
      <c r="F341" s="350" t="n"/>
      <c r="G341" s="350" t="n"/>
      <c r="H341" s="350" t="n"/>
      <c r="I341" s="350" t="n"/>
      <c r="J341" s="350" t="n"/>
      <c r="K341" s="351" t="n"/>
      <c r="L341" s="350" t="n"/>
      <c r="M341" s="350" t="n"/>
      <c r="N341" s="344" t="n"/>
      <c r="O341" s="344" t="n"/>
      <c r="P341" s="344" t="n"/>
      <c r="Q341" s="344" t="n"/>
      <c r="R341" s="344" t="n"/>
      <c r="S341" s="344" t="n"/>
      <c r="T341" s="344" t="n"/>
      <c r="U341" s="344" t="n"/>
      <c r="V341" s="344" t="n"/>
      <c r="W341" s="344" t="n"/>
    </row>
    <row r="342" customFormat="1" s="354">
      <c r="A342" s="345" t="n"/>
      <c r="B342" s="581" t="n"/>
      <c r="C342" s="582" t="n"/>
      <c r="D342" s="583" t="n"/>
      <c r="E342" s="584" t="n"/>
      <c r="F342" s="350" t="n"/>
      <c r="G342" s="350" t="n"/>
      <c r="H342" s="350" t="n"/>
      <c r="I342" s="350" t="n"/>
      <c r="J342" s="350" t="n"/>
      <c r="K342" s="351" t="n"/>
      <c r="L342" s="350" t="n"/>
      <c r="M342" s="350" t="n"/>
      <c r="N342" s="344" t="n"/>
      <c r="O342" s="344" t="n"/>
      <c r="P342" s="344" t="n"/>
      <c r="Q342" s="344" t="n"/>
      <c r="R342" s="344" t="n"/>
      <c r="S342" s="344" t="n"/>
      <c r="T342" s="344" t="n"/>
      <c r="U342" s="344" t="n"/>
      <c r="V342" s="344" t="n"/>
      <c r="W342" s="344" t="n"/>
    </row>
    <row r="343" customFormat="1" s="354">
      <c r="A343" s="345" t="n"/>
      <c r="B343" s="581" t="n"/>
      <c r="C343" s="582" t="n"/>
      <c r="D343" s="583" t="n"/>
      <c r="E343" s="584" t="n"/>
      <c r="F343" s="350" t="n"/>
      <c r="G343" s="350" t="n"/>
      <c r="H343" s="350" t="n"/>
      <c r="I343" s="350" t="n"/>
      <c r="J343" s="350" t="n"/>
      <c r="K343" s="351" t="n"/>
      <c r="L343" s="350" t="n"/>
      <c r="M343" s="350" t="n"/>
      <c r="N343" s="344" t="n"/>
      <c r="O343" s="344" t="n"/>
      <c r="P343" s="344" t="n"/>
      <c r="Q343" s="344" t="n"/>
      <c r="R343" s="344" t="n"/>
      <c r="S343" s="344" t="n"/>
      <c r="T343" s="344" t="n"/>
      <c r="U343" s="344" t="n"/>
      <c r="V343" s="344" t="n"/>
      <c r="W343" s="344" t="n"/>
    </row>
    <row r="344" customFormat="1" s="354">
      <c r="A344" s="345" t="n"/>
      <c r="B344" s="581" t="n"/>
      <c r="C344" s="582" t="n"/>
      <c r="D344" s="583" t="n"/>
      <c r="E344" s="584" t="n"/>
      <c r="F344" s="350" t="n"/>
      <c r="G344" s="350" t="n"/>
      <c r="H344" s="350" t="n"/>
      <c r="I344" s="350" t="n"/>
      <c r="J344" s="350" t="n"/>
      <c r="K344" s="351" t="n"/>
      <c r="L344" s="350" t="n"/>
      <c r="M344" s="350" t="n"/>
      <c r="N344" s="344" t="n"/>
      <c r="O344" s="344" t="n"/>
      <c r="P344" s="344" t="n"/>
      <c r="Q344" s="344" t="n"/>
      <c r="R344" s="344" t="n"/>
      <c r="S344" s="344" t="n"/>
      <c r="T344" s="344" t="n"/>
      <c r="U344" s="344" t="n"/>
      <c r="V344" s="344" t="n"/>
      <c r="W344" s="344" t="n"/>
    </row>
    <row r="345" customFormat="1" s="354">
      <c r="A345" s="345" t="n"/>
      <c r="B345" s="581" t="n"/>
      <c r="C345" s="582" t="n"/>
      <c r="D345" s="583" t="n"/>
      <c r="E345" s="584" t="n"/>
      <c r="F345" s="350" t="n"/>
      <c r="G345" s="350" t="n"/>
      <c r="H345" s="350" t="n"/>
      <c r="I345" s="350" t="n"/>
      <c r="J345" s="350" t="n"/>
      <c r="K345" s="351" t="n"/>
      <c r="L345" s="350" t="n"/>
      <c r="M345" s="350" t="n"/>
      <c r="N345" s="344" t="n"/>
      <c r="O345" s="344" t="n"/>
      <c r="P345" s="344" t="n"/>
      <c r="Q345" s="344" t="n"/>
      <c r="R345" s="344" t="n"/>
      <c r="S345" s="344" t="n"/>
      <c r="T345" s="344" t="n"/>
      <c r="U345" s="344" t="n"/>
      <c r="V345" s="344" t="n"/>
      <c r="W345" s="344" t="n"/>
    </row>
    <row r="346" customFormat="1" s="354">
      <c r="A346" s="345" t="n"/>
      <c r="B346" s="581" t="n"/>
      <c r="C346" s="582" t="n"/>
      <c r="D346" s="583" t="n"/>
      <c r="E346" s="584" t="n"/>
      <c r="F346" s="350" t="n"/>
      <c r="G346" s="350" t="n"/>
      <c r="H346" s="350" t="n"/>
      <c r="I346" s="350" t="n"/>
      <c r="J346" s="350" t="n"/>
      <c r="K346" s="351" t="n"/>
      <c r="L346" s="350" t="n"/>
      <c r="M346" s="350" t="n"/>
      <c r="N346" s="344" t="n"/>
      <c r="O346" s="344" t="n"/>
      <c r="P346" s="344" t="n"/>
      <c r="Q346" s="344" t="n"/>
      <c r="R346" s="344" t="n"/>
      <c r="S346" s="344" t="n"/>
      <c r="T346" s="344" t="n"/>
      <c r="U346" s="344" t="n"/>
      <c r="V346" s="344" t="n"/>
      <c r="W346" s="344" t="n"/>
    </row>
    <row r="347" customFormat="1" s="354">
      <c r="A347" s="345" t="n"/>
      <c r="B347" s="581" t="n"/>
      <c r="C347" s="582" t="n"/>
      <c r="D347" s="583" t="n"/>
      <c r="E347" s="584" t="n"/>
      <c r="F347" s="350" t="n"/>
      <c r="G347" s="350" t="n"/>
      <c r="H347" s="350" t="n"/>
      <c r="I347" s="350" t="n"/>
      <c r="J347" s="350" t="n"/>
      <c r="K347" s="351" t="n"/>
      <c r="L347" s="350" t="n"/>
      <c r="M347" s="350" t="n"/>
      <c r="N347" s="344" t="n"/>
      <c r="O347" s="344" t="n"/>
      <c r="P347" s="344" t="n"/>
      <c r="Q347" s="344" t="n"/>
      <c r="R347" s="344" t="n"/>
      <c r="S347" s="344" t="n"/>
      <c r="T347" s="344" t="n"/>
      <c r="U347" s="344" t="n"/>
      <c r="V347" s="344" t="n"/>
      <c r="W347" s="344" t="n"/>
    </row>
    <row r="348" customFormat="1" s="354">
      <c r="A348" s="345" t="n"/>
      <c r="B348" s="581" t="n"/>
      <c r="C348" s="582" t="n"/>
      <c r="D348" s="583" t="n"/>
      <c r="E348" s="584" t="n"/>
      <c r="F348" s="350" t="n"/>
      <c r="G348" s="350" t="n"/>
      <c r="H348" s="350" t="n"/>
      <c r="I348" s="350" t="n"/>
      <c r="J348" s="350" t="n"/>
      <c r="K348" s="351" t="n"/>
      <c r="L348" s="350" t="n"/>
      <c r="M348" s="350" t="n"/>
      <c r="N348" s="344" t="n"/>
      <c r="O348" s="344" t="n"/>
      <c r="P348" s="344" t="n"/>
      <c r="Q348" s="344" t="n"/>
      <c r="R348" s="344" t="n"/>
      <c r="S348" s="344" t="n"/>
      <c r="T348" s="344" t="n"/>
      <c r="U348" s="344" t="n"/>
      <c r="V348" s="344" t="n"/>
      <c r="W348" s="344" t="n"/>
    </row>
    <row r="349" customFormat="1" s="354">
      <c r="A349" s="345" t="n"/>
      <c r="B349" s="581" t="n"/>
      <c r="C349" s="582" t="n"/>
      <c r="D349" s="583" t="n"/>
      <c r="E349" s="584" t="n"/>
      <c r="F349" s="350" t="n"/>
      <c r="G349" s="350" t="n"/>
      <c r="H349" s="350" t="n"/>
      <c r="I349" s="350" t="n"/>
      <c r="J349" s="350" t="n"/>
      <c r="K349" s="351" t="n"/>
      <c r="L349" s="350" t="n"/>
      <c r="M349" s="350" t="n"/>
      <c r="N349" s="344" t="n"/>
      <c r="O349" s="344" t="n"/>
      <c r="P349" s="344" t="n"/>
      <c r="Q349" s="344" t="n"/>
      <c r="R349" s="344" t="n"/>
      <c r="S349" s="344" t="n"/>
      <c r="T349" s="344" t="n"/>
      <c r="U349" s="344" t="n"/>
      <c r="V349" s="344" t="n"/>
      <c r="W349" s="344" t="n"/>
    </row>
    <row r="350" customFormat="1" s="354">
      <c r="A350" s="345" t="n"/>
      <c r="B350" s="581" t="n"/>
      <c r="C350" s="582" t="n"/>
      <c r="D350" s="583" t="n"/>
      <c r="E350" s="584" t="n"/>
      <c r="F350" s="350" t="n"/>
      <c r="G350" s="350" t="n"/>
      <c r="H350" s="350" t="n"/>
      <c r="I350" s="350" t="n"/>
      <c r="J350" s="350" t="n"/>
      <c r="K350" s="351" t="n"/>
      <c r="L350" s="350" t="n"/>
      <c r="M350" s="350" t="n"/>
      <c r="N350" s="344" t="n"/>
      <c r="O350" s="344" t="n"/>
      <c r="P350" s="344" t="n"/>
      <c r="Q350" s="344" t="n"/>
      <c r="R350" s="344" t="n"/>
      <c r="S350" s="344" t="n"/>
      <c r="T350" s="344" t="n"/>
      <c r="U350" s="344" t="n"/>
      <c r="V350" s="344" t="n"/>
      <c r="W350" s="344" t="n"/>
    </row>
    <row r="351" customFormat="1" s="354">
      <c r="A351" s="345" t="n"/>
      <c r="B351" s="581" t="n"/>
      <c r="C351" s="582" t="n"/>
      <c r="D351" s="583" t="n"/>
      <c r="E351" s="584" t="n"/>
      <c r="F351" s="350" t="n"/>
      <c r="G351" s="350" t="n"/>
      <c r="H351" s="350" t="n"/>
      <c r="I351" s="350" t="n"/>
      <c r="J351" s="350" t="n"/>
      <c r="K351" s="351" t="n"/>
      <c r="L351" s="350" t="n"/>
      <c r="M351" s="350" t="n"/>
      <c r="N351" s="344" t="n"/>
      <c r="O351" s="344" t="n"/>
      <c r="P351" s="344" t="n"/>
      <c r="Q351" s="344" t="n"/>
      <c r="R351" s="344" t="n"/>
      <c r="S351" s="344" t="n"/>
      <c r="T351" s="344" t="n"/>
      <c r="U351" s="344" t="n"/>
      <c r="V351" s="344" t="n"/>
      <c r="W351" s="344" t="n"/>
    </row>
    <row r="352" customFormat="1" s="354">
      <c r="A352" s="345" t="n"/>
      <c r="B352" s="581" t="n"/>
      <c r="C352" s="582" t="n"/>
      <c r="D352" s="583" t="n"/>
      <c r="E352" s="584" t="n"/>
      <c r="F352" s="350" t="n"/>
      <c r="G352" s="350" t="n"/>
      <c r="H352" s="350" t="n"/>
      <c r="I352" s="350" t="n"/>
      <c r="J352" s="350" t="n"/>
      <c r="K352" s="351" t="n"/>
      <c r="L352" s="350" t="n"/>
      <c r="M352" s="350" t="n"/>
      <c r="N352" s="344" t="n"/>
      <c r="O352" s="344" t="n"/>
      <c r="P352" s="344" t="n"/>
      <c r="Q352" s="344" t="n"/>
      <c r="R352" s="344" t="n"/>
      <c r="S352" s="344" t="n"/>
      <c r="T352" s="344" t="n"/>
      <c r="U352" s="344" t="n"/>
      <c r="V352" s="344" t="n"/>
      <c r="W352" s="344" t="n"/>
    </row>
    <row r="353" customFormat="1" s="354">
      <c r="A353" s="345" t="n"/>
      <c r="B353" s="581" t="n"/>
      <c r="C353" s="582" t="n"/>
      <c r="D353" s="583" t="n"/>
      <c r="E353" s="584" t="n"/>
      <c r="F353" s="350" t="n"/>
      <c r="G353" s="350" t="n"/>
      <c r="H353" s="350" t="n"/>
      <c r="I353" s="350" t="n"/>
      <c r="J353" s="350" t="n"/>
      <c r="K353" s="351" t="n"/>
      <c r="L353" s="350" t="n"/>
      <c r="M353" s="350" t="n"/>
      <c r="N353" s="344" t="n"/>
      <c r="O353" s="344" t="n"/>
      <c r="P353" s="344" t="n"/>
      <c r="Q353" s="344" t="n"/>
      <c r="R353" s="344" t="n"/>
      <c r="S353" s="344" t="n"/>
      <c r="T353" s="344" t="n"/>
      <c r="U353" s="344" t="n"/>
      <c r="V353" s="344" t="n"/>
      <c r="W353" s="344" t="n"/>
    </row>
    <row r="354" customFormat="1" s="354">
      <c r="A354" s="345" t="n"/>
      <c r="B354" s="581" t="n"/>
      <c r="C354" s="582" t="n"/>
      <c r="D354" s="583" t="n"/>
      <c r="E354" s="584" t="n"/>
      <c r="F354" s="350" t="n"/>
      <c r="G354" s="350" t="n"/>
      <c r="H354" s="350" t="n"/>
      <c r="I354" s="350" t="n"/>
      <c r="J354" s="350" t="n"/>
      <c r="K354" s="351" t="n"/>
      <c r="L354" s="350" t="n"/>
      <c r="M354" s="350" t="n"/>
      <c r="N354" s="344" t="n"/>
      <c r="O354" s="344" t="n"/>
      <c r="P354" s="344" t="n"/>
      <c r="Q354" s="344" t="n"/>
      <c r="R354" s="344" t="n"/>
      <c r="S354" s="344" t="n"/>
      <c r="T354" s="344" t="n"/>
      <c r="U354" s="344" t="n"/>
      <c r="V354" s="344" t="n"/>
      <c r="W354" s="344" t="n"/>
    </row>
    <row r="355" customFormat="1" s="354">
      <c r="A355" s="345" t="n"/>
      <c r="B355" s="581" t="n"/>
      <c r="C355" s="582" t="n"/>
      <c r="D355" s="583" t="n"/>
      <c r="E355" s="584" t="n"/>
      <c r="F355" s="350" t="n"/>
      <c r="G355" s="350" t="n"/>
      <c r="H355" s="350" t="n"/>
      <c r="I355" s="350" t="n"/>
      <c r="J355" s="350" t="n"/>
      <c r="K355" s="351" t="n"/>
      <c r="L355" s="350" t="n"/>
      <c r="M355" s="350" t="n"/>
      <c r="N355" s="344" t="n"/>
      <c r="O355" s="344" t="n"/>
      <c r="P355" s="344" t="n"/>
      <c r="Q355" s="344" t="n"/>
      <c r="R355" s="344" t="n"/>
      <c r="S355" s="344" t="n"/>
      <c r="T355" s="344" t="n"/>
      <c r="U355" s="344" t="n"/>
      <c r="V355" s="344" t="n"/>
      <c r="W355" s="344" t="n"/>
    </row>
    <row r="356" customFormat="1" s="354">
      <c r="A356" s="345" t="n"/>
      <c r="B356" s="581" t="n"/>
      <c r="C356" s="582" t="n"/>
      <c r="D356" s="583" t="n"/>
      <c r="E356" s="584" t="n"/>
      <c r="F356" s="350" t="n"/>
      <c r="G356" s="350" t="n"/>
      <c r="H356" s="350" t="n"/>
      <c r="I356" s="350" t="n"/>
      <c r="J356" s="350" t="n"/>
      <c r="K356" s="351" t="n"/>
      <c r="L356" s="350" t="n"/>
      <c r="M356" s="350" t="n"/>
      <c r="N356" s="344" t="n"/>
      <c r="O356" s="344" t="n"/>
      <c r="P356" s="344" t="n"/>
      <c r="Q356" s="344" t="n"/>
      <c r="R356" s="344" t="n"/>
      <c r="S356" s="344" t="n"/>
      <c r="T356" s="344" t="n"/>
      <c r="U356" s="344" t="n"/>
      <c r="V356" s="344" t="n"/>
      <c r="W356" s="344" t="n"/>
    </row>
    <row r="357" customFormat="1" s="354">
      <c r="A357" s="345" t="n"/>
      <c r="B357" s="581" t="n"/>
      <c r="C357" s="582" t="n"/>
      <c r="D357" s="583" t="n"/>
      <c r="E357" s="584" t="n"/>
      <c r="F357" s="350" t="n"/>
      <c r="G357" s="350" t="n"/>
      <c r="H357" s="350" t="n"/>
      <c r="I357" s="350" t="n"/>
      <c r="J357" s="350" t="n"/>
      <c r="K357" s="351" t="n"/>
      <c r="L357" s="350" t="n"/>
      <c r="M357" s="350" t="n"/>
      <c r="N357" s="344" t="n"/>
      <c r="O357" s="344" t="n"/>
      <c r="P357" s="344" t="n"/>
      <c r="Q357" s="344" t="n"/>
      <c r="R357" s="344" t="n"/>
      <c r="S357" s="344" t="n"/>
      <c r="T357" s="344" t="n"/>
      <c r="U357" s="344" t="n"/>
      <c r="V357" s="344" t="n"/>
      <c r="W357" s="344" t="n"/>
    </row>
    <row r="358" customFormat="1" s="354">
      <c r="A358" s="345" t="n"/>
      <c r="B358" s="581" t="n"/>
      <c r="C358" s="582" t="n"/>
      <c r="D358" s="583" t="n"/>
      <c r="E358" s="584" t="n"/>
      <c r="F358" s="350" t="n"/>
      <c r="G358" s="350" t="n"/>
      <c r="H358" s="350" t="n"/>
      <c r="I358" s="350" t="n"/>
      <c r="J358" s="350" t="n"/>
      <c r="K358" s="351" t="n"/>
      <c r="L358" s="350" t="n"/>
      <c r="M358" s="350" t="n"/>
      <c r="N358" s="344" t="n"/>
      <c r="O358" s="344" t="n"/>
      <c r="P358" s="344" t="n"/>
      <c r="Q358" s="344" t="n"/>
      <c r="R358" s="344" t="n"/>
      <c r="S358" s="344" t="n"/>
      <c r="T358" s="344" t="n"/>
      <c r="U358" s="344" t="n"/>
      <c r="V358" s="344" t="n"/>
      <c r="W358" s="344" t="n"/>
    </row>
    <row r="359" customFormat="1" s="354">
      <c r="A359" s="345" t="n"/>
      <c r="B359" s="581" t="n"/>
      <c r="C359" s="582" t="n"/>
      <c r="D359" s="583" t="n"/>
      <c r="E359" s="584" t="n"/>
      <c r="F359" s="350" t="n"/>
      <c r="G359" s="350" t="n"/>
      <c r="H359" s="350" t="n"/>
      <c r="I359" s="350" t="n"/>
      <c r="J359" s="350" t="n"/>
      <c r="K359" s="351" t="n"/>
      <c r="L359" s="350" t="n"/>
      <c r="M359" s="350" t="n"/>
      <c r="N359" s="344" t="n"/>
      <c r="O359" s="344" t="n"/>
      <c r="P359" s="344" t="n"/>
      <c r="Q359" s="344" t="n"/>
      <c r="R359" s="344" t="n"/>
      <c r="S359" s="344" t="n"/>
      <c r="T359" s="344" t="n"/>
      <c r="U359" s="344" t="n"/>
      <c r="V359" s="344" t="n"/>
      <c r="W359" s="344" t="n"/>
    </row>
    <row r="360" customFormat="1" s="354">
      <c r="A360" s="345" t="n"/>
      <c r="B360" s="581" t="n"/>
      <c r="C360" s="582" t="n"/>
      <c r="D360" s="583" t="n"/>
      <c r="E360" s="584" t="n"/>
      <c r="F360" s="350" t="n"/>
      <c r="G360" s="350" t="n"/>
      <c r="H360" s="350" t="n"/>
      <c r="I360" s="350" t="n"/>
      <c r="J360" s="350" t="n"/>
      <c r="K360" s="351" t="n"/>
      <c r="L360" s="350" t="n"/>
      <c r="M360" s="350" t="n"/>
      <c r="N360" s="344" t="n"/>
      <c r="O360" s="344" t="n"/>
      <c r="P360" s="344" t="n"/>
      <c r="Q360" s="344" t="n"/>
      <c r="R360" s="344" t="n"/>
      <c r="S360" s="344" t="n"/>
      <c r="T360" s="344" t="n"/>
      <c r="U360" s="344" t="n"/>
      <c r="V360" s="344" t="n"/>
      <c r="W360" s="344" t="n"/>
    </row>
    <row r="361" customFormat="1" s="354">
      <c r="A361" s="345" t="n"/>
      <c r="B361" s="581" t="n"/>
      <c r="C361" s="582" t="n"/>
      <c r="D361" s="583" t="n"/>
      <c r="E361" s="584" t="n"/>
      <c r="F361" s="350" t="n"/>
      <c r="G361" s="350" t="n"/>
      <c r="H361" s="350" t="n"/>
      <c r="I361" s="350" t="n"/>
      <c r="J361" s="350" t="n"/>
      <c r="K361" s="351" t="n"/>
      <c r="L361" s="350" t="n"/>
      <c r="M361" s="350" t="n"/>
      <c r="N361" s="344" t="n"/>
      <c r="O361" s="344" t="n"/>
      <c r="P361" s="344" t="n"/>
      <c r="Q361" s="344" t="n"/>
      <c r="R361" s="344" t="n"/>
      <c r="S361" s="344" t="n"/>
      <c r="T361" s="344" t="n"/>
      <c r="U361" s="344" t="n"/>
      <c r="V361" s="344" t="n"/>
      <c r="W361" s="344" t="n"/>
    </row>
    <row r="362" customFormat="1" s="354">
      <c r="A362" s="345" t="n"/>
      <c r="B362" s="581" t="n"/>
      <c r="C362" s="582" t="n"/>
      <c r="D362" s="583" t="n"/>
      <c r="E362" s="584" t="n"/>
      <c r="F362" s="350" t="n"/>
      <c r="G362" s="350" t="n"/>
      <c r="H362" s="350" t="n"/>
      <c r="I362" s="350" t="n"/>
      <c r="J362" s="350" t="n"/>
      <c r="K362" s="351" t="n"/>
      <c r="L362" s="350" t="n"/>
      <c r="M362" s="350" t="n"/>
      <c r="N362" s="344" t="n"/>
      <c r="O362" s="344" t="n"/>
      <c r="P362" s="344" t="n"/>
      <c r="Q362" s="344" t="n"/>
      <c r="R362" s="344" t="n"/>
      <c r="S362" s="344" t="n"/>
      <c r="T362" s="344" t="n"/>
      <c r="U362" s="344" t="n"/>
      <c r="V362" s="344" t="n"/>
      <c r="W362" s="344" t="n"/>
    </row>
    <row r="363" customFormat="1" s="354">
      <c r="A363" s="345" t="n"/>
      <c r="B363" s="581" t="n"/>
      <c r="C363" s="582" t="n"/>
      <c r="D363" s="583" t="n"/>
      <c r="E363" s="584" t="n"/>
      <c r="F363" s="350" t="n"/>
      <c r="G363" s="350" t="n"/>
      <c r="H363" s="350" t="n"/>
      <c r="I363" s="350" t="n"/>
      <c r="J363" s="350" t="n"/>
      <c r="K363" s="351" t="n"/>
      <c r="L363" s="350" t="n"/>
      <c r="M363" s="350" t="n"/>
      <c r="N363" s="344" t="n"/>
      <c r="O363" s="344" t="n"/>
      <c r="P363" s="344" t="n"/>
      <c r="Q363" s="344" t="n"/>
      <c r="R363" s="344" t="n"/>
      <c r="S363" s="344" t="n"/>
      <c r="T363" s="344" t="n"/>
      <c r="U363" s="344" t="n"/>
      <c r="V363" s="344" t="n"/>
      <c r="W363" s="344" t="n"/>
    </row>
    <row r="364" customFormat="1" s="354">
      <c r="A364" s="345" t="n"/>
      <c r="B364" s="581" t="n"/>
      <c r="C364" s="582" t="n"/>
      <c r="D364" s="583" t="n"/>
      <c r="E364" s="584" t="n"/>
      <c r="F364" s="350" t="n"/>
      <c r="G364" s="350" t="n"/>
      <c r="H364" s="350" t="n"/>
      <c r="I364" s="350" t="n"/>
      <c r="J364" s="350" t="n"/>
      <c r="K364" s="351" t="n"/>
      <c r="L364" s="350" t="n"/>
      <c r="M364" s="350" t="n"/>
      <c r="N364" s="344" t="n"/>
      <c r="O364" s="344" t="n"/>
      <c r="P364" s="344" t="n"/>
      <c r="Q364" s="344" t="n"/>
      <c r="R364" s="344" t="n"/>
      <c r="S364" s="344" t="n"/>
      <c r="T364" s="344" t="n"/>
      <c r="U364" s="344" t="n"/>
      <c r="V364" s="344" t="n"/>
      <c r="W364" s="344" t="n"/>
    </row>
    <row r="365" customFormat="1" s="354">
      <c r="A365" s="345" t="n"/>
      <c r="B365" s="581" t="n"/>
      <c r="C365" s="582" t="n"/>
      <c r="D365" s="583" t="n"/>
      <c r="E365" s="584" t="n"/>
      <c r="F365" s="350" t="n"/>
      <c r="G365" s="350" t="n"/>
      <c r="H365" s="350" t="n"/>
      <c r="I365" s="350" t="n"/>
      <c r="J365" s="350" t="n"/>
      <c r="K365" s="351" t="n"/>
      <c r="L365" s="350" t="n"/>
      <c r="M365" s="350" t="n"/>
      <c r="N365" s="344" t="n"/>
      <c r="O365" s="344" t="n"/>
      <c r="P365" s="344" t="n"/>
      <c r="Q365" s="344" t="n"/>
      <c r="R365" s="344" t="n"/>
      <c r="S365" s="344" t="n"/>
      <c r="T365" s="344" t="n"/>
      <c r="U365" s="344" t="n"/>
      <c r="V365" s="344" t="n"/>
      <c r="W365" s="344" t="n"/>
    </row>
    <row r="366" customFormat="1" s="354">
      <c r="A366" s="357" t="n"/>
      <c r="B366" s="581" t="n"/>
      <c r="C366" s="582" t="n"/>
      <c r="D366" s="583" t="n"/>
      <c r="E366" s="584" t="n"/>
      <c r="F366" s="350" t="n"/>
      <c r="G366" s="350" t="n"/>
      <c r="H366" s="350" t="n"/>
      <c r="I366" s="350" t="n"/>
      <c r="J366" s="350" t="n"/>
      <c r="K366" s="351" t="n"/>
      <c r="L366" s="350" t="n"/>
      <c r="M366" s="350" t="n"/>
      <c r="N366" s="344" t="n"/>
      <c r="O366" s="344" t="n"/>
      <c r="P366" s="344" t="n"/>
      <c r="Q366" s="344" t="n"/>
      <c r="R366" s="344" t="n"/>
      <c r="S366" s="344" t="n"/>
      <c r="T366" s="344" t="n"/>
      <c r="U366" s="344" t="n"/>
      <c r="V366" s="344" t="n"/>
      <c r="W366" s="344" t="n"/>
    </row>
    <row r="367" customFormat="1" s="354">
      <c r="A367" s="345" t="n"/>
      <c r="B367" s="581" t="n"/>
      <c r="C367" s="582" t="n"/>
      <c r="D367" s="583" t="n"/>
      <c r="E367" s="584" t="n"/>
      <c r="F367" s="350" t="n"/>
      <c r="G367" s="350" t="n"/>
      <c r="H367" s="350" t="n"/>
      <c r="I367" s="350" t="n"/>
      <c r="J367" s="350" t="n"/>
      <c r="K367" s="351" t="n"/>
      <c r="L367" s="350" t="n"/>
      <c r="M367" s="350" t="n"/>
      <c r="N367" s="344" t="n"/>
      <c r="O367" s="344" t="n"/>
      <c r="P367" s="344" t="n"/>
      <c r="Q367" s="344" t="n"/>
      <c r="R367" s="344" t="n"/>
      <c r="S367" s="344" t="n"/>
      <c r="T367" s="344" t="n"/>
      <c r="U367" s="344" t="n"/>
      <c r="V367" s="344" t="n"/>
      <c r="W367" s="344" t="n"/>
    </row>
    <row r="368" customFormat="1" s="354">
      <c r="A368" s="345" t="n"/>
      <c r="B368" s="581" t="n"/>
      <c r="C368" s="582" t="n"/>
      <c r="D368" s="583" t="n"/>
      <c r="E368" s="584" t="n"/>
      <c r="F368" s="350" t="n"/>
      <c r="G368" s="350" t="n"/>
      <c r="H368" s="350" t="n"/>
      <c r="I368" s="350" t="n"/>
      <c r="J368" s="350" t="n"/>
      <c r="K368" s="351" t="n"/>
      <c r="L368" s="350" t="n"/>
      <c r="M368" s="350" t="n"/>
      <c r="N368" s="344" t="n"/>
      <c r="O368" s="344" t="n"/>
      <c r="P368" s="344" t="n"/>
      <c r="Q368" s="344" t="n"/>
      <c r="R368" s="344" t="n"/>
      <c r="S368" s="344" t="n"/>
      <c r="T368" s="344" t="n"/>
      <c r="U368" s="344" t="n"/>
      <c r="V368" s="344" t="n"/>
      <c r="W368" s="344" t="n"/>
    </row>
    <row r="369" customFormat="1" s="354">
      <c r="A369" s="345" t="n"/>
      <c r="B369" s="581" t="n"/>
      <c r="C369" s="582" t="n"/>
      <c r="D369" s="583" t="n"/>
      <c r="E369" s="584" t="n"/>
      <c r="F369" s="350" t="n"/>
      <c r="G369" s="350" t="n"/>
      <c r="H369" s="350" t="n"/>
      <c r="I369" s="350" t="n"/>
      <c r="J369" s="350" t="n"/>
      <c r="K369" s="351" t="n"/>
      <c r="L369" s="350" t="n"/>
      <c r="M369" s="350" t="n"/>
      <c r="N369" s="344" t="n"/>
      <c r="O369" s="344" t="n"/>
      <c r="P369" s="344" t="n"/>
      <c r="Q369" s="344" t="n"/>
      <c r="R369" s="344" t="n"/>
      <c r="S369" s="344" t="n"/>
      <c r="T369" s="344" t="n"/>
      <c r="U369" s="344" t="n"/>
      <c r="V369" s="344" t="n"/>
      <c r="W369" s="344" t="n"/>
    </row>
    <row r="370" customFormat="1" s="354">
      <c r="A370" s="345" t="n"/>
      <c r="B370" s="581" t="n"/>
      <c r="C370" s="582" t="n"/>
      <c r="D370" s="583" t="n"/>
      <c r="E370" s="584" t="n"/>
      <c r="F370" s="350" t="n"/>
      <c r="G370" s="350" t="n"/>
      <c r="H370" s="350" t="n"/>
      <c r="I370" s="350" t="n"/>
      <c r="J370" s="350" t="n"/>
      <c r="K370" s="351" t="n"/>
      <c r="L370" s="350" t="n"/>
      <c r="M370" s="350" t="n"/>
      <c r="N370" s="344" t="n"/>
      <c r="O370" s="344" t="n"/>
      <c r="P370" s="344" t="n"/>
      <c r="Q370" s="344" t="n"/>
      <c r="R370" s="344" t="n"/>
      <c r="S370" s="344" t="n"/>
      <c r="T370" s="344" t="n"/>
      <c r="U370" s="344" t="n"/>
      <c r="V370" s="344" t="n"/>
      <c r="W370" s="344" t="n"/>
    </row>
    <row r="371" customFormat="1" s="354">
      <c r="A371" s="345" t="n"/>
      <c r="B371" s="581" t="n"/>
      <c r="C371" s="582" t="n"/>
      <c r="D371" s="583" t="n"/>
      <c r="E371" s="584" t="n"/>
      <c r="F371" s="350" t="n"/>
      <c r="G371" s="350" t="n"/>
      <c r="H371" s="350" t="n"/>
      <c r="I371" s="350" t="n"/>
      <c r="J371" s="350" t="n"/>
      <c r="K371" s="351" t="n"/>
      <c r="L371" s="355" t="inlineStr">
        <is>
          <t>2841000168738_【ＱＣＳ】ツナマヨ調合.xlsx</t>
        </is>
      </c>
      <c r="M371" s="350" t="n"/>
      <c r="N371" s="344" t="n"/>
      <c r="O371" s="344" t="n"/>
      <c r="P371" s="344" t="n"/>
      <c r="Q371" s="344" t="n"/>
      <c r="R371" s="344" t="n"/>
      <c r="S371" s="344" t="n"/>
      <c r="T371" s="344" t="n"/>
      <c r="U371" s="344" t="n"/>
      <c r="V371" s="344" t="n"/>
      <c r="W371" s="344" t="n"/>
    </row>
    <row r="372" customFormat="1" s="354">
      <c r="A372" s="345" t="n"/>
      <c r="B372" s="581" t="n"/>
      <c r="C372" s="582" t="n"/>
      <c r="D372" s="583" t="n"/>
      <c r="E372" s="584" t="n"/>
      <c r="F372" s="350" t="n"/>
      <c r="G372" s="350" t="n"/>
      <c r="H372" s="350" t="n"/>
      <c r="I372" s="350" t="n"/>
      <c r="J372" s="350" t="n"/>
      <c r="K372" s="351" t="n"/>
      <c r="L372" s="350" t="n"/>
      <c r="M372" s="350" t="n"/>
      <c r="N372" s="344" t="n"/>
      <c r="O372" s="344" t="n"/>
      <c r="P372" s="344" t="n"/>
      <c r="Q372" s="344" t="n"/>
      <c r="R372" s="344" t="n"/>
      <c r="S372" s="344" t="n"/>
      <c r="T372" s="344" t="n"/>
      <c r="U372" s="344" t="n"/>
      <c r="V372" s="344" t="n"/>
      <c r="W372" s="344" t="n"/>
    </row>
    <row r="373" customFormat="1" s="354">
      <c r="A373" s="345" t="n"/>
      <c r="B373" s="581" t="n"/>
      <c r="C373" s="582" t="n"/>
      <c r="D373" s="583" t="n"/>
      <c r="E373" s="584" t="n"/>
      <c r="F373" s="350" t="n"/>
      <c r="G373" s="350" t="n"/>
      <c r="H373" s="350" t="n"/>
      <c r="I373" s="350" t="n"/>
      <c r="J373" s="350" t="n"/>
      <c r="K373" s="351" t="n"/>
      <c r="L373" s="350" t="n"/>
      <c r="M373" s="350" t="n"/>
      <c r="N373" s="344" t="n"/>
      <c r="O373" s="344" t="n"/>
      <c r="P373" s="344" t="n"/>
      <c r="Q373" s="344" t="n"/>
      <c r="R373" s="344" t="n"/>
      <c r="S373" s="344" t="n"/>
      <c r="T373" s="344" t="n"/>
      <c r="U373" s="344" t="n"/>
      <c r="V373" s="344" t="n"/>
      <c r="W373" s="344" t="n"/>
    </row>
    <row r="374" customFormat="1" s="354">
      <c r="A374" s="345" t="n"/>
      <c r="B374" s="581" t="n"/>
      <c r="C374" s="582" t="n"/>
      <c r="D374" s="583" t="n"/>
      <c r="E374" s="584" t="n"/>
      <c r="F374" s="350" t="n"/>
      <c r="G374" s="350" t="n"/>
      <c r="H374" s="350" t="n"/>
      <c r="I374" s="350" t="n"/>
      <c r="J374" s="350" t="n"/>
      <c r="K374" s="351" t="n"/>
      <c r="L374" s="350" t="n"/>
      <c r="M374" s="350" t="n"/>
      <c r="N374" s="344" t="n"/>
      <c r="O374" s="344" t="n"/>
      <c r="P374" s="344" t="n"/>
      <c r="Q374" s="344" t="n"/>
      <c r="R374" s="344" t="n"/>
      <c r="S374" s="344" t="n"/>
      <c r="T374" s="344" t="n"/>
      <c r="U374" s="344" t="n"/>
      <c r="V374" s="344" t="n"/>
      <c r="W374" s="344" t="n"/>
    </row>
    <row r="375" customFormat="1" s="354">
      <c r="A375" s="345" t="n"/>
      <c r="B375" s="581" t="n"/>
      <c r="C375" s="582" t="n"/>
      <c r="D375" s="583" t="n"/>
      <c r="E375" s="584" t="n"/>
      <c r="F375" s="350" t="n"/>
      <c r="G375" s="350" t="n"/>
      <c r="H375" s="350" t="n"/>
      <c r="I375" s="350" t="n"/>
      <c r="J375" s="350" t="n"/>
      <c r="K375" s="351" t="n"/>
      <c r="L375" s="350" t="n"/>
      <c r="M375" s="350" t="n"/>
      <c r="N375" s="344" t="n"/>
      <c r="O375" s="344" t="n"/>
      <c r="P375" s="344" t="n"/>
      <c r="Q375" s="344" t="n"/>
      <c r="R375" s="344" t="n"/>
      <c r="S375" s="344" t="n"/>
      <c r="T375" s="344" t="n"/>
      <c r="U375" s="344" t="n"/>
      <c r="V375" s="344" t="n"/>
      <c r="W375" s="344" t="n"/>
    </row>
    <row r="376" customFormat="1" s="354">
      <c r="A376" s="345" t="n"/>
      <c r="B376" s="581" t="n"/>
      <c r="C376" s="582" t="n"/>
      <c r="D376" s="583" t="n"/>
      <c r="E376" s="584" t="n"/>
      <c r="F376" s="350" t="n"/>
      <c r="G376" s="350" t="n"/>
      <c r="H376" s="350" t="n"/>
      <c r="I376" s="350" t="n"/>
      <c r="J376" s="350" t="n"/>
      <c r="K376" s="351" t="n"/>
      <c r="L376" s="350" t="n"/>
      <c r="M376" s="350" t="n"/>
      <c r="N376" s="344" t="n"/>
      <c r="O376" s="344" t="n"/>
      <c r="P376" s="344" t="n"/>
      <c r="Q376" s="344" t="n"/>
      <c r="R376" s="344" t="n"/>
      <c r="S376" s="344" t="n"/>
      <c r="T376" s="344" t="n"/>
      <c r="U376" s="344" t="n"/>
      <c r="V376" s="344" t="n"/>
      <c r="W376" s="344" t="n"/>
    </row>
    <row r="377" customFormat="1" s="354">
      <c r="A377" s="345" t="n"/>
      <c r="B377" s="581" t="n"/>
      <c r="C377" s="582" t="n"/>
      <c r="D377" s="583" t="n"/>
      <c r="E377" s="584" t="n"/>
      <c r="F377" s="350" t="n"/>
      <c r="G377" s="350" t="n"/>
      <c r="H377" s="350" t="n"/>
      <c r="I377" s="350" t="n"/>
      <c r="J377" s="350" t="n"/>
      <c r="K377" s="351" t="n"/>
      <c r="L377" s="350" t="n"/>
      <c r="M377" s="350" t="n"/>
      <c r="N377" s="344" t="n"/>
      <c r="O377" s="344" t="n"/>
      <c r="P377" s="344" t="n"/>
      <c r="Q377" s="344" t="n"/>
      <c r="R377" s="344" t="n"/>
      <c r="S377" s="344" t="n"/>
      <c r="T377" s="344" t="n"/>
      <c r="U377" s="344" t="n"/>
      <c r="V377" s="344" t="n"/>
      <c r="W377" s="344" t="n"/>
    </row>
    <row r="378" customFormat="1" s="354">
      <c r="A378" s="345" t="n"/>
      <c r="B378" s="581" t="n"/>
      <c r="C378" s="582" t="n"/>
      <c r="D378" s="583" t="n"/>
      <c r="E378" s="584" t="n"/>
      <c r="F378" s="350" t="n"/>
      <c r="G378" s="350" t="n"/>
      <c r="H378" s="350" t="n"/>
      <c r="I378" s="350" t="n"/>
      <c r="J378" s="350" t="n"/>
      <c r="K378" s="351" t="n"/>
      <c r="L378" s="350" t="n"/>
      <c r="M378" s="350" t="n"/>
      <c r="N378" s="344" t="n"/>
      <c r="O378" s="344" t="n"/>
      <c r="P378" s="344" t="n"/>
      <c r="Q378" s="344" t="n"/>
      <c r="R378" s="344" t="n"/>
      <c r="S378" s="344" t="n"/>
      <c r="T378" s="344" t="n"/>
      <c r="U378" s="344" t="n"/>
      <c r="V378" s="344" t="n"/>
      <c r="W378" s="344" t="n"/>
    </row>
    <row r="379" customFormat="1" s="354">
      <c r="A379" s="345" t="n"/>
      <c r="B379" s="581" t="n"/>
      <c r="C379" s="582" t="n"/>
      <c r="D379" s="583" t="n"/>
      <c r="E379" s="584" t="n"/>
      <c r="F379" s="350" t="n"/>
      <c r="G379" s="350" t="n"/>
      <c r="H379" s="350" t="n"/>
      <c r="I379" s="350" t="n"/>
      <c r="J379" s="350" t="n"/>
      <c r="K379" s="351" t="n"/>
      <c r="L379" s="350" t="n"/>
      <c r="M379" s="350" t="n"/>
      <c r="N379" s="344" t="n"/>
      <c r="O379" s="344" t="n"/>
      <c r="P379" s="344" t="n"/>
      <c r="Q379" s="344" t="n"/>
      <c r="R379" s="344" t="n"/>
      <c r="S379" s="344" t="n"/>
      <c r="T379" s="344" t="n"/>
      <c r="U379" s="344" t="n"/>
      <c r="V379" s="344" t="n"/>
      <c r="W379" s="344" t="n"/>
    </row>
    <row r="380" customFormat="1" s="354">
      <c r="A380" s="345" t="n"/>
      <c r="B380" s="581" t="n"/>
      <c r="C380" s="582" t="n"/>
      <c r="D380" s="583" t="n"/>
      <c r="E380" s="584" t="n"/>
      <c r="F380" s="350" t="n"/>
      <c r="G380" s="350" t="n"/>
      <c r="H380" s="350" t="n"/>
      <c r="I380" s="350" t="n"/>
      <c r="J380" s="350" t="n"/>
      <c r="K380" s="351" t="n"/>
      <c r="L380" s="355" t="inlineStr">
        <is>
          <t>2841000174401_【ＱＣＳ】高菜炒め.xlsx</t>
        </is>
      </c>
      <c r="M380" s="350" t="n"/>
      <c r="N380" s="344" t="n"/>
      <c r="O380" s="344" t="n"/>
      <c r="P380" s="344" t="n"/>
      <c r="Q380" s="344" t="n"/>
      <c r="R380" s="344" t="n"/>
      <c r="S380" s="344" t="n"/>
      <c r="T380" s="344" t="n"/>
      <c r="U380" s="344" t="n"/>
      <c r="V380" s="344" t="n"/>
      <c r="W380" s="344" t="n"/>
    </row>
    <row r="381" customFormat="1" s="354">
      <c r="A381" s="345" t="n"/>
      <c r="B381" s="581" t="n"/>
      <c r="C381" s="582" t="n"/>
      <c r="D381" s="583" t="n"/>
      <c r="E381" s="584" t="n"/>
      <c r="F381" s="350" t="n"/>
      <c r="G381" s="350" t="n"/>
      <c r="H381" s="350" t="n"/>
      <c r="I381" s="350" t="n"/>
      <c r="J381" s="350" t="n"/>
      <c r="K381" s="351" t="n"/>
      <c r="L381" s="355" t="inlineStr">
        <is>
          <t>2841000174401_【ＱＣＳ】高菜炒め.xlsx</t>
        </is>
      </c>
      <c r="M381" s="350" t="n"/>
      <c r="N381" s="344" t="n"/>
      <c r="O381" s="344" t="n"/>
      <c r="P381" s="344" t="n"/>
      <c r="Q381" s="344" t="n"/>
      <c r="R381" s="344" t="n"/>
      <c r="S381" s="344" t="n"/>
      <c r="T381" s="344" t="n"/>
      <c r="U381" s="344" t="n"/>
      <c r="V381" s="344" t="n"/>
      <c r="W381" s="344" t="n"/>
    </row>
    <row r="382" customFormat="1" s="354">
      <c r="A382" s="345" t="n"/>
      <c r="B382" s="581" t="n"/>
      <c r="C382" s="582" t="n"/>
      <c r="D382" s="583" t="n"/>
      <c r="E382" s="584" t="n"/>
      <c r="F382" s="350" t="n"/>
      <c r="G382" s="350" t="n"/>
      <c r="H382" s="350" t="n"/>
      <c r="I382" s="350" t="n"/>
      <c r="J382" s="350" t="n"/>
      <c r="K382" s="351" t="n"/>
      <c r="L382" s="350" t="n"/>
      <c r="M382" s="350" t="n"/>
      <c r="N382" s="344" t="n"/>
      <c r="O382" s="344" t="n"/>
      <c r="P382" s="344" t="n"/>
      <c r="Q382" s="344" t="n"/>
      <c r="R382" s="344" t="n"/>
      <c r="S382" s="344" t="n"/>
      <c r="T382" s="344" t="n"/>
      <c r="U382" s="344" t="n"/>
      <c r="V382" s="344" t="n"/>
      <c r="W382" s="344" t="n"/>
    </row>
    <row r="383" customFormat="1" s="354">
      <c r="A383" s="345" t="n"/>
      <c r="B383" s="581" t="n"/>
      <c r="C383" s="582" t="n"/>
      <c r="D383" s="583" t="n"/>
      <c r="E383" s="584" t="n"/>
      <c r="F383" s="350" t="n"/>
      <c r="G383" s="350" t="n"/>
      <c r="H383" s="350" t="n"/>
      <c r="I383" s="350" t="n"/>
      <c r="J383" s="350" t="n"/>
      <c r="K383" s="351" t="n"/>
      <c r="L383" s="350" t="n"/>
      <c r="M383" s="350" t="n"/>
      <c r="N383" s="344" t="n"/>
      <c r="O383" s="344" t="n"/>
      <c r="P383" s="344" t="n"/>
      <c r="Q383" s="344" t="n"/>
      <c r="R383" s="344" t="n"/>
      <c r="S383" s="344" t="n"/>
      <c r="T383" s="344" t="n"/>
      <c r="U383" s="344" t="n"/>
      <c r="V383" s="344" t="n"/>
      <c r="W383" s="344" t="n"/>
    </row>
    <row r="384" customFormat="1" s="354">
      <c r="A384" s="345" t="n"/>
      <c r="B384" s="581" t="n"/>
      <c r="C384" s="582" t="n"/>
      <c r="D384" s="583" t="n"/>
      <c r="E384" s="584" t="n"/>
      <c r="F384" s="350" t="n"/>
      <c r="G384" s="350" t="n"/>
      <c r="H384" s="350" t="n"/>
      <c r="I384" s="350" t="n"/>
      <c r="J384" s="350" t="n"/>
      <c r="K384" s="351" t="n"/>
      <c r="L384" s="350" t="n"/>
      <c r="M384" s="350" t="n"/>
      <c r="N384" s="344" t="n"/>
      <c r="O384" s="344" t="n"/>
      <c r="P384" s="344" t="n"/>
      <c r="Q384" s="344" t="n"/>
      <c r="R384" s="344" t="n"/>
      <c r="S384" s="344" t="n"/>
      <c r="T384" s="344" t="n"/>
      <c r="U384" s="344" t="n"/>
      <c r="V384" s="344" t="n"/>
      <c r="W384" s="344" t="n"/>
    </row>
    <row r="385" customFormat="1" s="354">
      <c r="A385" s="345" t="n"/>
      <c r="B385" s="581" t="n"/>
      <c r="C385" s="582" t="n"/>
      <c r="D385" s="583" t="n"/>
      <c r="E385" s="584" t="n"/>
      <c r="F385" s="350" t="n"/>
      <c r="G385" s="350" t="n"/>
      <c r="H385" s="350" t="n"/>
      <c r="I385" s="350" t="n"/>
      <c r="J385" s="350" t="n"/>
      <c r="K385" s="351" t="n"/>
      <c r="L385" s="350" t="n"/>
      <c r="M385" s="350" t="n"/>
      <c r="N385" s="344" t="n"/>
      <c r="O385" s="344" t="n"/>
      <c r="P385" s="344" t="n"/>
      <c r="Q385" s="344" t="n"/>
      <c r="R385" s="344" t="n"/>
      <c r="S385" s="344" t="n"/>
      <c r="T385" s="344" t="n"/>
      <c r="U385" s="344" t="n"/>
      <c r="V385" s="344" t="n"/>
      <c r="W385" s="344" t="n"/>
    </row>
    <row r="386" customFormat="1" s="354">
      <c r="A386" s="345" t="n"/>
      <c r="B386" s="581" t="n"/>
      <c r="C386" s="582" t="n"/>
      <c r="D386" s="583" t="n"/>
      <c r="E386" s="584" t="n"/>
      <c r="F386" s="350" t="n"/>
      <c r="G386" s="350" t="n"/>
      <c r="H386" s="350" t="n"/>
      <c r="I386" s="350" t="n"/>
      <c r="J386" s="350" t="n"/>
      <c r="K386" s="351" t="n"/>
      <c r="L386" s="350" t="n"/>
      <c r="M386" s="350" t="n"/>
      <c r="N386" s="344" t="n"/>
      <c r="O386" s="344" t="n"/>
      <c r="P386" s="344" t="n"/>
      <c r="Q386" s="344" t="n"/>
      <c r="R386" s="344" t="n"/>
      <c r="S386" s="344" t="n"/>
      <c r="T386" s="344" t="n"/>
      <c r="U386" s="344" t="n"/>
      <c r="V386" s="344" t="n"/>
      <c r="W386" s="344" t="n"/>
    </row>
    <row r="387" customFormat="1" s="354">
      <c r="A387" s="345" t="n"/>
      <c r="B387" s="581" t="n"/>
      <c r="C387" s="582" t="n"/>
      <c r="D387" s="583" t="n"/>
      <c r="E387" s="584" t="n"/>
      <c r="F387" s="350" t="n"/>
      <c r="G387" s="350" t="n"/>
      <c r="H387" s="350" t="n"/>
      <c r="I387" s="350" t="n"/>
      <c r="J387" s="350" t="n"/>
      <c r="K387" s="351" t="n"/>
      <c r="L387" s="350" t="n"/>
      <c r="M387" s="350" t="n"/>
      <c r="N387" s="344" t="n"/>
      <c r="O387" s="344" t="n"/>
      <c r="P387" s="344" t="n"/>
      <c r="Q387" s="344" t="n"/>
      <c r="R387" s="344" t="n"/>
      <c r="S387" s="344" t="n"/>
      <c r="T387" s="344" t="n"/>
      <c r="U387" s="344" t="n"/>
      <c r="V387" s="344" t="n"/>
      <c r="W387" s="344" t="n"/>
    </row>
    <row r="388" customFormat="1" s="354">
      <c r="A388" s="345" t="n"/>
      <c r="B388" s="585" t="n"/>
      <c r="C388" s="582" t="n"/>
      <c r="D388" s="586" t="n"/>
      <c r="E388" s="584" t="n"/>
      <c r="F388" s="350" t="n"/>
      <c r="G388" s="350" t="n"/>
      <c r="H388" s="350" t="n"/>
      <c r="I388" s="350" t="n"/>
      <c r="J388" s="350" t="n"/>
      <c r="K388" s="351" t="n"/>
      <c r="L388" s="350" t="n"/>
      <c r="M388" s="350" t="n"/>
      <c r="N388" s="344" t="n"/>
      <c r="O388" s="344" t="n"/>
      <c r="P388" s="344" t="n"/>
      <c r="Q388" s="344" t="n"/>
      <c r="R388" s="344" t="n"/>
      <c r="S388" s="344" t="n"/>
      <c r="T388" s="344" t="n"/>
      <c r="U388" s="344" t="n"/>
      <c r="V388" s="344" t="n"/>
      <c r="W388" s="344" t="n"/>
    </row>
    <row r="389" customFormat="1" s="354">
      <c r="A389" s="345" t="n"/>
      <c r="B389" s="581" t="n"/>
      <c r="C389" s="582" t="n"/>
      <c r="D389" s="583" t="n"/>
      <c r="E389" s="584" t="n"/>
      <c r="F389" s="350" t="n"/>
      <c r="G389" s="350" t="n"/>
      <c r="H389" s="350" t="n"/>
      <c r="I389" s="350" t="n"/>
      <c r="J389" s="350" t="n"/>
      <c r="K389" s="351" t="n"/>
      <c r="L389" s="350" t="n"/>
      <c r="M389" s="350" t="n"/>
      <c r="N389" s="344" t="n"/>
      <c r="O389" s="344" t="n"/>
      <c r="P389" s="344" t="n"/>
      <c r="Q389" s="344" t="n"/>
      <c r="R389" s="344" t="n"/>
      <c r="S389" s="344" t="n"/>
      <c r="T389" s="344" t="n"/>
      <c r="U389" s="344" t="n"/>
      <c r="V389" s="344" t="n"/>
      <c r="W389" s="344" t="n"/>
    </row>
    <row r="390" customFormat="1" s="354">
      <c r="A390" s="345" t="n"/>
      <c r="B390" s="581" t="n"/>
      <c r="C390" s="582" t="n"/>
      <c r="D390" s="583" t="n"/>
      <c r="E390" s="584" t="n"/>
      <c r="F390" s="350" t="n"/>
      <c r="G390" s="350" t="n"/>
      <c r="H390" s="350" t="n"/>
      <c r="I390" s="350" t="n"/>
      <c r="J390" s="350" t="n"/>
      <c r="K390" s="351" t="n"/>
      <c r="L390" s="350" t="n"/>
      <c r="M390" s="350" t="n"/>
      <c r="N390" s="344" t="n"/>
      <c r="O390" s="344" t="n"/>
      <c r="P390" s="344" t="n"/>
      <c r="Q390" s="344" t="n"/>
      <c r="R390" s="344" t="n"/>
      <c r="S390" s="344" t="n"/>
      <c r="T390" s="344" t="n"/>
      <c r="U390" s="344" t="n"/>
      <c r="V390" s="344" t="n"/>
      <c r="W390" s="344" t="n"/>
    </row>
    <row r="391" customFormat="1" s="354">
      <c r="A391" s="345" t="n"/>
      <c r="B391" s="585" t="n"/>
      <c r="C391" s="582" t="n"/>
      <c r="D391" s="586" t="n"/>
      <c r="E391" s="584" t="n"/>
      <c r="F391" s="350" t="n"/>
      <c r="G391" s="350" t="n"/>
      <c r="H391" s="350" t="n"/>
      <c r="I391" s="350" t="n"/>
      <c r="J391" s="350" t="n"/>
      <c r="K391" s="351" t="n"/>
      <c r="L391" s="350" t="n"/>
      <c r="M391" s="350" t="n"/>
      <c r="N391" s="344" t="n"/>
      <c r="O391" s="344" t="n"/>
      <c r="P391" s="344" t="n"/>
      <c r="Q391" s="344" t="n"/>
      <c r="R391" s="344" t="n"/>
      <c r="S391" s="344" t="n"/>
      <c r="T391" s="344" t="n"/>
      <c r="U391" s="344" t="n"/>
      <c r="V391" s="344" t="n"/>
      <c r="W391" s="344" t="n"/>
    </row>
    <row r="392" customFormat="1" s="354">
      <c r="A392" s="345" t="n"/>
      <c r="B392" s="581" t="n"/>
      <c r="C392" s="582" t="n"/>
      <c r="D392" s="583" t="n"/>
      <c r="E392" s="584" t="n"/>
      <c r="F392" s="350" t="n"/>
      <c r="G392" s="350" t="n"/>
      <c r="H392" s="350" t="n"/>
      <c r="I392" s="350" t="n"/>
      <c r="J392" s="350" t="n"/>
      <c r="K392" s="351" t="n"/>
      <c r="L392" s="350" t="n"/>
      <c r="M392" s="350" t="n"/>
      <c r="N392" s="344" t="n"/>
      <c r="O392" s="344" t="n"/>
      <c r="P392" s="344" t="n"/>
      <c r="Q392" s="344" t="n"/>
      <c r="R392" s="344" t="n"/>
      <c r="S392" s="344" t="n"/>
      <c r="T392" s="344" t="n"/>
      <c r="U392" s="344" t="n"/>
      <c r="V392" s="344" t="n"/>
      <c r="W392" s="344" t="n"/>
    </row>
    <row r="393" customFormat="1" s="354">
      <c r="A393" s="345" t="n"/>
      <c r="B393" s="581" t="n"/>
      <c r="C393" s="582" t="n"/>
      <c r="D393" s="583" t="n"/>
      <c r="E393" s="584" t="n"/>
      <c r="F393" s="350" t="n"/>
      <c r="G393" s="350" t="n"/>
      <c r="H393" s="350" t="n"/>
      <c r="I393" s="350" t="n"/>
      <c r="J393" s="350" t="n"/>
      <c r="K393" s="351" t="n"/>
      <c r="L393" s="355" t="inlineStr">
        <is>
          <t>2841000168738_【ＱＣＳ】ツナマヨ調合.xlsx</t>
        </is>
      </c>
      <c r="M393" s="350" t="n"/>
      <c r="N393" s="344" t="n"/>
      <c r="O393" s="344" t="n"/>
      <c r="P393" s="344" t="n"/>
      <c r="Q393" s="344" t="n"/>
      <c r="R393" s="344" t="n"/>
      <c r="S393" s="344" t="n"/>
      <c r="T393" s="344" t="n"/>
      <c r="U393" s="344" t="n"/>
      <c r="V393" s="344" t="n"/>
      <c r="W393" s="344" t="n"/>
    </row>
    <row r="394" customFormat="1" s="354">
      <c r="A394" s="345" t="n"/>
      <c r="B394" s="585" t="n"/>
      <c r="C394" s="582" t="n"/>
      <c r="D394" s="586" t="n"/>
      <c r="E394" s="584" t="n"/>
      <c r="F394" s="350" t="n"/>
      <c r="G394" s="350" t="n"/>
      <c r="H394" s="350" t="n"/>
      <c r="I394" s="350" t="n"/>
      <c r="J394" s="350" t="n"/>
      <c r="K394" s="351" t="n"/>
      <c r="L394" s="350" t="n"/>
      <c r="M394" s="350" t="n"/>
      <c r="N394" s="344" t="n"/>
      <c r="O394" s="344" t="n"/>
      <c r="P394" s="344" t="n"/>
      <c r="Q394" s="344" t="n"/>
      <c r="R394" s="344" t="n"/>
      <c r="S394" s="344" t="n"/>
      <c r="T394" s="344" t="n"/>
      <c r="U394" s="344" t="n"/>
      <c r="V394" s="344" t="n"/>
      <c r="W394" s="344" t="n"/>
    </row>
    <row r="395" customFormat="1" s="354">
      <c r="A395" s="345" t="n"/>
      <c r="B395" s="581" t="n"/>
      <c r="C395" s="582" t="n"/>
      <c r="D395" s="583" t="n"/>
      <c r="E395" s="584" t="n"/>
      <c r="F395" s="350" t="n"/>
      <c r="G395" s="350" t="n"/>
      <c r="H395" s="350" t="n"/>
      <c r="I395" s="350" t="n"/>
      <c r="J395" s="350" t="n"/>
      <c r="K395" s="351" t="n"/>
      <c r="L395" s="350" t="n"/>
      <c r="M395" s="350" t="n"/>
      <c r="N395" s="344" t="n"/>
      <c r="O395" s="344" t="n"/>
      <c r="P395" s="344" t="n"/>
      <c r="Q395" s="344" t="n"/>
      <c r="R395" s="344" t="n"/>
      <c r="S395" s="344" t="n"/>
      <c r="T395" s="344" t="n"/>
      <c r="U395" s="344" t="n"/>
      <c r="V395" s="344" t="n"/>
      <c r="W395" s="344" t="n"/>
    </row>
    <row r="396" customFormat="1" s="354">
      <c r="A396" s="345" t="n"/>
      <c r="B396" s="581" t="n"/>
      <c r="C396" s="582" t="n"/>
      <c r="D396" s="583" t="n"/>
      <c r="E396" s="584" t="n"/>
      <c r="F396" s="350" t="n"/>
      <c r="G396" s="350" t="n"/>
      <c r="H396" s="350" t="n"/>
      <c r="I396" s="350" t="n"/>
      <c r="J396" s="350" t="n"/>
      <c r="K396" s="351" t="n"/>
      <c r="L396" s="350" t="n"/>
      <c r="M396" s="350" t="n"/>
      <c r="N396" s="344" t="n"/>
      <c r="O396" s="344" t="n"/>
      <c r="P396" s="344" t="n"/>
      <c r="Q396" s="344" t="n"/>
      <c r="R396" s="344" t="n"/>
      <c r="S396" s="344" t="n"/>
      <c r="T396" s="344" t="n"/>
      <c r="U396" s="344" t="n"/>
      <c r="V396" s="344" t="n"/>
      <c r="W396" s="344" t="n"/>
    </row>
    <row r="397" customFormat="1" s="354">
      <c r="A397" s="345" t="n"/>
      <c r="B397" s="585" t="n"/>
      <c r="C397" s="582" t="n"/>
      <c r="D397" s="586" t="n"/>
      <c r="E397" s="584" t="n"/>
      <c r="F397" s="350" t="n"/>
      <c r="G397" s="350" t="n"/>
      <c r="H397" s="350" t="n"/>
      <c r="I397" s="350" t="n"/>
      <c r="J397" s="350" t="n"/>
      <c r="K397" s="351" t="n"/>
      <c r="L397" s="350" t="n"/>
      <c r="M397" s="350" t="n"/>
      <c r="N397" s="344" t="n"/>
      <c r="O397" s="344" t="n"/>
      <c r="P397" s="344" t="n"/>
      <c r="Q397" s="344" t="n"/>
      <c r="R397" s="344" t="n"/>
      <c r="S397" s="344" t="n"/>
      <c r="T397" s="344" t="n"/>
      <c r="U397" s="344" t="n"/>
      <c r="V397" s="344" t="n"/>
      <c r="W397" s="344" t="n"/>
    </row>
    <row r="398" customFormat="1" s="354">
      <c r="A398" s="345" t="n"/>
      <c r="B398" s="581" t="n"/>
      <c r="C398" s="582" t="n"/>
      <c r="D398" s="583" t="n"/>
      <c r="E398" s="584" t="n"/>
      <c r="F398" s="350" t="n"/>
      <c r="G398" s="350" t="n"/>
      <c r="H398" s="350" t="n"/>
      <c r="I398" s="350" t="n"/>
      <c r="J398" s="350" t="n"/>
      <c r="K398" s="351" t="n"/>
      <c r="L398" s="350" t="n"/>
      <c r="M398" s="350" t="n"/>
      <c r="N398" s="344" t="n"/>
      <c r="O398" s="344" t="n"/>
      <c r="P398" s="344" t="n"/>
      <c r="Q398" s="344" t="n"/>
      <c r="R398" s="344" t="n"/>
      <c r="S398" s="344" t="n"/>
      <c r="T398" s="344" t="n"/>
      <c r="U398" s="344" t="n"/>
      <c r="V398" s="344" t="n"/>
      <c r="W398" s="344" t="n"/>
    </row>
    <row r="399" customFormat="1" s="354">
      <c r="A399" s="345" t="n"/>
      <c r="B399" s="581" t="n"/>
      <c r="C399" s="582" t="n"/>
      <c r="D399" s="583" t="n"/>
      <c r="E399" s="584" t="n"/>
      <c r="F399" s="350" t="n"/>
      <c r="G399" s="350" t="n"/>
      <c r="H399" s="350" t="n"/>
      <c r="I399" s="350" t="n"/>
      <c r="J399" s="350" t="n"/>
      <c r="K399" s="351" t="n"/>
      <c r="L399" s="350" t="n"/>
      <c r="M399" s="350" t="n"/>
      <c r="N399" s="344" t="n"/>
      <c r="O399" s="344" t="n"/>
      <c r="P399" s="344" t="n"/>
      <c r="Q399" s="344" t="n"/>
      <c r="R399" s="344" t="n"/>
      <c r="S399" s="344" t="n"/>
      <c r="T399" s="344" t="n"/>
      <c r="U399" s="344" t="n"/>
      <c r="V399" s="344" t="n"/>
      <c r="W399" s="344" t="n"/>
    </row>
    <row r="400" customFormat="1" s="354">
      <c r="A400" s="345" t="n"/>
      <c r="B400" s="585" t="n"/>
      <c r="C400" s="582" t="n"/>
      <c r="D400" s="586" t="n"/>
      <c r="E400" s="584" t="n"/>
      <c r="F400" s="350" t="n"/>
      <c r="G400" s="350" t="n"/>
      <c r="H400" s="350" t="n"/>
      <c r="I400" s="350" t="n"/>
      <c r="J400" s="350" t="n"/>
      <c r="K400" s="351" t="n"/>
      <c r="L400" s="350" t="n"/>
      <c r="M400" s="350" t="n"/>
      <c r="N400" s="344" t="n"/>
      <c r="O400" s="344" t="n"/>
      <c r="P400" s="344" t="n"/>
      <c r="Q400" s="344" t="n"/>
      <c r="R400" s="344" t="n"/>
      <c r="S400" s="344" t="n"/>
      <c r="T400" s="344" t="n"/>
      <c r="U400" s="344" t="n"/>
      <c r="V400" s="344" t="n"/>
      <c r="W400" s="344" t="n"/>
    </row>
    <row r="401" customFormat="1" s="354">
      <c r="A401" s="345" t="n"/>
      <c r="B401" s="581" t="n"/>
      <c r="C401" s="582" t="n"/>
      <c r="D401" s="583" t="n"/>
      <c r="E401" s="584" t="n"/>
      <c r="F401" s="350" t="n"/>
      <c r="G401" s="350" t="n"/>
      <c r="H401" s="350" t="n"/>
      <c r="I401" s="350" t="n"/>
      <c r="J401" s="350" t="n"/>
      <c r="K401" s="351" t="n"/>
      <c r="L401" s="350" t="n"/>
      <c r="M401" s="350" t="n"/>
      <c r="N401" s="344" t="n"/>
      <c r="O401" s="344" t="n"/>
      <c r="P401" s="344" t="n"/>
      <c r="Q401" s="344" t="n"/>
      <c r="R401" s="344" t="n"/>
      <c r="S401" s="344" t="n"/>
      <c r="T401" s="344" t="n"/>
      <c r="U401" s="344" t="n"/>
      <c r="V401" s="344" t="n"/>
      <c r="W401" s="344" t="n"/>
    </row>
    <row r="402" customFormat="1" s="354">
      <c r="A402" s="345" t="n"/>
      <c r="B402" s="581" t="n"/>
      <c r="C402" s="582" t="n"/>
      <c r="D402" s="583" t="n"/>
      <c r="E402" s="584" t="n"/>
      <c r="F402" s="350" t="n"/>
      <c r="G402" s="350" t="n"/>
      <c r="H402" s="350" t="n"/>
      <c r="I402" s="350" t="n"/>
      <c r="J402" s="350" t="n"/>
      <c r="K402" s="351" t="n"/>
      <c r="L402" s="355" t="inlineStr">
        <is>
          <t>2841000174401_【ＱＣＳ】高菜炒め.xlsx</t>
        </is>
      </c>
      <c r="M402" s="350" t="n"/>
      <c r="N402" s="344" t="n"/>
      <c r="O402" s="344" t="n"/>
      <c r="P402" s="344" t="n"/>
      <c r="Q402" s="344" t="n"/>
      <c r="R402" s="344" t="n"/>
      <c r="S402" s="344" t="n"/>
      <c r="T402" s="344" t="n"/>
      <c r="U402" s="344" t="n"/>
      <c r="V402" s="344" t="n"/>
      <c r="W402" s="344" t="n"/>
    </row>
    <row r="403" customFormat="1" s="354">
      <c r="A403" s="345" t="n"/>
      <c r="B403" s="581" t="n"/>
      <c r="C403" s="582" t="n"/>
      <c r="D403" s="583" t="n"/>
      <c r="E403" s="584" t="n"/>
      <c r="F403" s="350" t="n"/>
      <c r="G403" s="350" t="n"/>
      <c r="H403" s="350" t="n"/>
      <c r="I403" s="350" t="n"/>
      <c r="J403" s="350" t="n"/>
      <c r="K403" s="351" t="n"/>
      <c r="L403" s="355" t="inlineStr">
        <is>
          <t>2841000174401_【ＱＣＳ】高菜炒め.xlsx</t>
        </is>
      </c>
      <c r="M403" s="350" t="n"/>
      <c r="N403" s="344" t="n"/>
      <c r="O403" s="344" t="n"/>
      <c r="P403" s="344" t="n"/>
      <c r="Q403" s="344" t="n"/>
      <c r="R403" s="344" t="n"/>
      <c r="S403" s="344" t="n"/>
      <c r="T403" s="344" t="n"/>
      <c r="U403" s="344" t="n"/>
      <c r="V403" s="344" t="n"/>
      <c r="W403" s="344" t="n"/>
    </row>
    <row r="404" customFormat="1" s="354">
      <c r="A404" s="345" t="n"/>
      <c r="B404" s="585" t="n"/>
      <c r="C404" s="582" t="n"/>
      <c r="D404" s="586" t="n"/>
      <c r="E404" s="584" t="n"/>
      <c r="F404" s="350" t="n"/>
      <c r="G404" s="350" t="n"/>
      <c r="H404" s="350" t="n"/>
      <c r="I404" s="350" t="n"/>
      <c r="J404" s="350" t="n"/>
      <c r="K404" s="351" t="n"/>
      <c r="L404" s="350" t="n"/>
      <c r="M404" s="350" t="n"/>
      <c r="N404" s="344" t="n"/>
      <c r="O404" s="344" t="n"/>
      <c r="P404" s="344" t="n"/>
      <c r="Q404" s="344" t="n"/>
      <c r="R404" s="344" t="n"/>
      <c r="S404" s="344" t="n"/>
      <c r="T404" s="344" t="n"/>
      <c r="U404" s="344" t="n"/>
      <c r="V404" s="344" t="n"/>
      <c r="W404" s="344" t="n"/>
    </row>
    <row r="405" customFormat="1" s="354">
      <c r="A405" s="345" t="n"/>
      <c r="B405" s="581" t="n"/>
      <c r="C405" s="582" t="n"/>
      <c r="D405" s="583" t="n"/>
      <c r="E405" s="584" t="n"/>
      <c r="F405" s="350" t="n"/>
      <c r="G405" s="350" t="n"/>
      <c r="H405" s="350" t="n"/>
      <c r="I405" s="350" t="n"/>
      <c r="J405" s="350" t="n"/>
      <c r="K405" s="351" t="n"/>
      <c r="L405" s="350" t="n"/>
      <c r="M405" s="350" t="n"/>
      <c r="N405" s="344" t="n"/>
      <c r="O405" s="344" t="n"/>
      <c r="P405" s="344" t="n"/>
      <c r="Q405" s="344" t="n"/>
      <c r="R405" s="344" t="n"/>
      <c r="S405" s="344" t="n"/>
      <c r="T405" s="344" t="n"/>
      <c r="U405" s="344" t="n"/>
      <c r="V405" s="344" t="n"/>
      <c r="W405" s="344" t="n"/>
    </row>
    <row r="406" customFormat="1" s="354">
      <c r="A406" s="345" t="n"/>
      <c r="B406" s="581" t="n"/>
      <c r="C406" s="582" t="n"/>
      <c r="D406" s="583" t="n"/>
      <c r="E406" s="584" t="n"/>
      <c r="F406" s="350" t="n"/>
      <c r="G406" s="350" t="n"/>
      <c r="H406" s="350" t="n"/>
      <c r="I406" s="350" t="n"/>
      <c r="J406" s="350" t="n"/>
      <c r="K406" s="351" t="n"/>
      <c r="L406" s="350" t="n"/>
      <c r="M406" s="350" t="n"/>
      <c r="N406" s="344" t="n"/>
      <c r="O406" s="344" t="n"/>
      <c r="P406" s="344" t="n"/>
      <c r="Q406" s="344" t="n"/>
      <c r="R406" s="344" t="n"/>
      <c r="S406" s="344" t="n"/>
      <c r="T406" s="344" t="n"/>
      <c r="U406" s="344" t="n"/>
      <c r="V406" s="344" t="n"/>
      <c r="W406" s="344" t="n"/>
    </row>
    <row r="407" customFormat="1" s="354">
      <c r="A407" s="345" t="n"/>
      <c r="B407" s="585" t="n"/>
      <c r="C407" s="582" t="n"/>
      <c r="D407" s="586" t="n"/>
      <c r="E407" s="584" t="n"/>
      <c r="F407" s="350" t="n"/>
      <c r="G407" s="350" t="n"/>
      <c r="H407" s="350" t="n"/>
      <c r="I407" s="350" t="n"/>
      <c r="J407" s="350" t="n"/>
      <c r="K407" s="351" t="n"/>
      <c r="L407" s="350" t="n"/>
      <c r="M407" s="350" t="n"/>
      <c r="N407" s="344" t="n"/>
      <c r="O407" s="344" t="n"/>
      <c r="P407" s="344" t="n"/>
      <c r="Q407" s="344" t="n"/>
      <c r="R407" s="344" t="n"/>
      <c r="S407" s="344" t="n"/>
      <c r="T407" s="344" t="n"/>
      <c r="U407" s="344" t="n"/>
      <c r="V407" s="344" t="n"/>
      <c r="W407" s="344" t="n"/>
    </row>
    <row r="408" customFormat="1" s="354">
      <c r="A408" s="345" t="n"/>
      <c r="B408" s="581" t="n"/>
      <c r="C408" s="582" t="n"/>
      <c r="D408" s="583" t="n"/>
      <c r="E408" s="584" t="n"/>
      <c r="F408" s="350" t="n"/>
      <c r="G408" s="350" t="n"/>
      <c r="H408" s="350" t="n"/>
      <c r="I408" s="350" t="n"/>
      <c r="J408" s="350" t="n"/>
      <c r="K408" s="351" t="n"/>
      <c r="L408" s="350" t="n"/>
      <c r="M408" s="591" t="n"/>
      <c r="N408" s="344" t="n"/>
      <c r="O408" s="344" t="n"/>
      <c r="P408" s="344" t="n"/>
      <c r="Q408" s="344" t="n"/>
      <c r="R408" s="344" t="n"/>
      <c r="S408" s="344" t="n"/>
      <c r="T408" s="344" t="n"/>
      <c r="U408" s="344" t="n"/>
      <c r="V408" s="344" t="n"/>
      <c r="W408" s="344" t="n"/>
    </row>
    <row r="409" customFormat="1" s="354">
      <c r="A409" s="345" t="n"/>
      <c r="B409" s="581" t="n"/>
      <c r="C409" s="582" t="n"/>
      <c r="D409" s="583" t="n"/>
      <c r="E409" s="584" t="n"/>
      <c r="F409" s="350" t="n"/>
      <c r="G409" s="350" t="n"/>
      <c r="H409" s="350" t="n"/>
      <c r="I409" s="350" t="n"/>
      <c r="J409" s="350" t="n"/>
      <c r="K409" s="351" t="n"/>
      <c r="L409" s="350" t="n"/>
      <c r="M409" s="350" t="n"/>
      <c r="N409" s="344" t="n"/>
      <c r="O409" s="344" t="n"/>
      <c r="P409" s="344" t="n"/>
      <c r="Q409" s="344" t="n"/>
      <c r="R409" s="344" t="n"/>
      <c r="S409" s="344" t="n"/>
      <c r="T409" s="344" t="n"/>
      <c r="U409" s="344" t="n"/>
      <c r="V409" s="344" t="n"/>
      <c r="W409" s="344" t="n"/>
    </row>
    <row r="410" customFormat="1" s="354">
      <c r="A410" s="345" t="n"/>
      <c r="B410" s="581" t="n"/>
      <c r="C410" s="582" t="n"/>
      <c r="D410" s="583" t="n"/>
      <c r="E410" s="584" t="n"/>
      <c r="F410" s="350" t="n"/>
      <c r="G410" s="350" t="n"/>
      <c r="H410" s="350" t="n"/>
      <c r="I410" s="350" t="n"/>
      <c r="J410" s="350" t="n"/>
      <c r="K410" s="351" t="n"/>
      <c r="L410" s="350" t="n"/>
      <c r="M410" s="350" t="n"/>
      <c r="N410" s="344" t="n"/>
      <c r="O410" s="344" t="n"/>
      <c r="P410" s="344" t="n"/>
      <c r="Q410" s="344" t="n"/>
      <c r="R410" s="344" t="n"/>
      <c r="S410" s="344" t="n"/>
      <c r="T410" s="344" t="n"/>
      <c r="U410" s="344" t="n"/>
      <c r="V410" s="344" t="n"/>
      <c r="W410" s="344" t="n"/>
    </row>
    <row r="411" customFormat="1" s="354">
      <c r="A411" s="345" t="n"/>
      <c r="B411" s="581" t="n"/>
      <c r="C411" s="582" t="n"/>
      <c r="D411" s="583" t="n"/>
      <c r="E411" s="584" t="n"/>
      <c r="F411" s="350" t="n"/>
      <c r="G411" s="350" t="n"/>
      <c r="H411" s="350" t="n"/>
      <c r="I411" s="350" t="n"/>
      <c r="J411" s="350" t="n"/>
      <c r="K411" s="351" t="n"/>
      <c r="L411" s="350" t="n"/>
      <c r="M411" s="591" t="n"/>
      <c r="N411" s="344" t="n"/>
      <c r="O411" s="344" t="n"/>
      <c r="P411" s="344" t="n"/>
      <c r="Q411" s="344" t="n"/>
      <c r="R411" s="344" t="n"/>
      <c r="S411" s="344" t="n"/>
      <c r="T411" s="344" t="n"/>
      <c r="U411" s="344" t="n"/>
      <c r="V411" s="344" t="n"/>
      <c r="W411" s="344" t="n"/>
    </row>
    <row r="412" customFormat="1" s="354">
      <c r="A412" s="345" t="n"/>
      <c r="B412" s="581" t="n"/>
      <c r="C412" s="582" t="n"/>
      <c r="D412" s="583" t="n"/>
      <c r="E412" s="584" t="n"/>
      <c r="F412" s="350" t="n"/>
      <c r="G412" s="350" t="n"/>
      <c r="H412" s="350" t="n"/>
      <c r="I412" s="350" t="n"/>
      <c r="J412" s="350" t="n"/>
      <c r="K412" s="351" t="n"/>
      <c r="L412" s="350" t="n"/>
      <c r="M412" s="350" t="n"/>
      <c r="N412" s="344" t="n"/>
      <c r="O412" s="344" t="n"/>
      <c r="P412" s="344" t="n"/>
      <c r="Q412" s="344" t="n"/>
      <c r="R412" s="344" t="n"/>
      <c r="S412" s="344" t="n"/>
      <c r="T412" s="344" t="n"/>
      <c r="U412" s="344" t="n"/>
      <c r="V412" s="344" t="n"/>
      <c r="W412" s="344" t="n"/>
    </row>
    <row r="413" customFormat="1" s="354">
      <c r="A413" s="345" t="n"/>
      <c r="B413" s="581" t="n"/>
      <c r="C413" s="582" t="n"/>
      <c r="D413" s="583" t="n"/>
      <c r="E413" s="584" t="n"/>
      <c r="F413" s="350" t="n"/>
      <c r="G413" s="350" t="n"/>
      <c r="H413" s="350" t="n"/>
      <c r="I413" s="350" t="n"/>
      <c r="J413" s="350" t="n"/>
      <c r="K413" s="351" t="n"/>
      <c r="L413" s="350" t="n"/>
      <c r="M413" s="350" t="n"/>
      <c r="N413" s="344" t="n"/>
      <c r="O413" s="344" t="n"/>
      <c r="P413" s="344" t="n"/>
      <c r="Q413" s="344" t="n"/>
      <c r="R413" s="344" t="n"/>
      <c r="S413" s="344" t="n"/>
      <c r="T413" s="344" t="n"/>
      <c r="U413" s="344" t="n"/>
      <c r="V413" s="344" t="n"/>
      <c r="W413" s="344" t="n"/>
    </row>
    <row r="414" customFormat="1" s="354">
      <c r="A414" s="345" t="n"/>
      <c r="B414" s="581" t="n"/>
      <c r="C414" s="582" t="n"/>
      <c r="D414" s="583" t="n"/>
      <c r="E414" s="584" t="n"/>
      <c r="F414" s="350" t="n"/>
      <c r="G414" s="350" t="n"/>
      <c r="H414" s="350" t="n"/>
      <c r="I414" s="350" t="n"/>
      <c r="J414" s="350" t="n"/>
      <c r="K414" s="351" t="n"/>
      <c r="L414" s="350" t="n"/>
      <c r="M414" s="350" t="n"/>
      <c r="N414" s="344" t="n"/>
      <c r="O414" s="344" t="n"/>
      <c r="P414" s="344" t="n"/>
      <c r="Q414" s="344" t="n"/>
      <c r="R414" s="344" t="n"/>
      <c r="S414" s="344" t="n"/>
      <c r="T414" s="344" t="n"/>
      <c r="U414" s="344" t="n"/>
      <c r="V414" s="344" t="n"/>
      <c r="W414" s="344" t="n"/>
    </row>
    <row r="415" customFormat="1" s="354">
      <c r="A415" s="345" t="n"/>
      <c r="B415" s="581" t="n"/>
      <c r="C415" s="582" t="n"/>
      <c r="D415" s="583" t="n"/>
      <c r="E415" s="584" t="n"/>
      <c r="F415" s="350" t="n"/>
      <c r="G415" s="350" t="n"/>
      <c r="H415" s="350" t="n"/>
      <c r="I415" s="350" t="n"/>
      <c r="J415" s="350" t="n"/>
      <c r="K415" s="351" t="n"/>
      <c r="L415" s="350" t="n"/>
      <c r="M415" s="350" t="n"/>
      <c r="N415" s="344" t="n"/>
      <c r="O415" s="344" t="n"/>
      <c r="P415" s="344" t="n"/>
      <c r="Q415" s="344" t="n"/>
      <c r="R415" s="344" t="n"/>
      <c r="S415" s="344" t="n"/>
      <c r="T415" s="344" t="n"/>
      <c r="U415" s="344" t="n"/>
      <c r="V415" s="344" t="n"/>
      <c r="W415" s="344" t="n"/>
    </row>
    <row r="416" customFormat="1" s="354">
      <c r="A416" s="345" t="n"/>
      <c r="B416" s="581" t="n"/>
      <c r="C416" s="582" t="n"/>
      <c r="D416" s="583" t="n"/>
      <c r="E416" s="584" t="n"/>
      <c r="F416" s="350" t="n"/>
      <c r="G416" s="350" t="n"/>
      <c r="H416" s="350" t="n"/>
      <c r="I416" s="350" t="n"/>
      <c r="J416" s="350" t="n"/>
      <c r="K416" s="351" t="n"/>
      <c r="L416" s="350" t="n"/>
      <c r="M416" s="350" t="n"/>
      <c r="N416" s="344" t="n"/>
      <c r="O416" s="344" t="n"/>
      <c r="P416" s="344" t="n"/>
      <c r="Q416" s="344" t="n"/>
      <c r="R416" s="344" t="n"/>
      <c r="S416" s="344" t="n"/>
      <c r="T416" s="344" t="n"/>
      <c r="U416" s="344" t="n"/>
      <c r="V416" s="344" t="n"/>
      <c r="W416" s="344" t="n"/>
    </row>
    <row r="417" customFormat="1" s="354">
      <c r="A417" s="345" t="n"/>
      <c r="B417" s="581" t="n"/>
      <c r="C417" s="582" t="n"/>
      <c r="D417" s="583" t="n"/>
      <c r="E417" s="584" t="n"/>
      <c r="F417" s="350" t="n"/>
      <c r="G417" s="350" t="n"/>
      <c r="H417" s="350" t="n"/>
      <c r="I417" s="350" t="n"/>
      <c r="J417" s="350" t="n"/>
      <c r="K417" s="351" t="n"/>
      <c r="L417" s="350" t="n"/>
      <c r="M417" s="350" t="n"/>
      <c r="N417" s="344" t="n"/>
      <c r="O417" s="344" t="n"/>
      <c r="P417" s="344" t="n"/>
      <c r="Q417" s="344" t="n"/>
      <c r="R417" s="344" t="n"/>
      <c r="S417" s="344" t="n"/>
      <c r="T417" s="344" t="n"/>
      <c r="U417" s="344" t="n"/>
      <c r="V417" s="344" t="n"/>
      <c r="W417" s="344" t="n"/>
    </row>
    <row r="418" customFormat="1" s="354">
      <c r="A418" s="345" t="n"/>
      <c r="B418" s="581" t="n"/>
      <c r="C418" s="582" t="n"/>
      <c r="D418" s="583" t="n"/>
      <c r="E418" s="584" t="n"/>
      <c r="F418" s="350" t="n"/>
      <c r="G418" s="350" t="n"/>
      <c r="H418" s="350" t="n"/>
      <c r="I418" s="350" t="n"/>
      <c r="J418" s="350" t="n"/>
      <c r="K418" s="351" t="n"/>
      <c r="L418" s="350" t="n"/>
      <c r="M418" s="350" t="n"/>
      <c r="N418" s="344" t="n"/>
      <c r="O418" s="344" t="n"/>
      <c r="P418" s="344" t="n"/>
      <c r="Q418" s="344" t="n"/>
      <c r="R418" s="344" t="n"/>
      <c r="S418" s="344" t="n"/>
      <c r="T418" s="344" t="n"/>
      <c r="U418" s="344" t="n"/>
      <c r="V418" s="344" t="n"/>
      <c r="W418" s="344" t="n"/>
    </row>
    <row r="419" customFormat="1" s="354">
      <c r="A419" s="345" t="n"/>
      <c r="B419" s="581" t="n"/>
      <c r="C419" s="582" t="n"/>
      <c r="D419" s="583" t="n"/>
      <c r="E419" s="584" t="n"/>
      <c r="F419" s="350" t="n"/>
      <c r="G419" s="350" t="n"/>
      <c r="H419" s="350" t="n"/>
      <c r="I419" s="350" t="n"/>
      <c r="J419" s="350" t="n"/>
      <c r="K419" s="351" t="n"/>
      <c r="L419" s="350" t="n"/>
      <c r="M419" s="350" t="n"/>
      <c r="N419" s="344" t="n"/>
      <c r="O419" s="344" t="n"/>
      <c r="P419" s="344" t="n"/>
      <c r="Q419" s="344" t="n"/>
      <c r="R419" s="344" t="n"/>
      <c r="S419" s="344" t="n"/>
      <c r="T419" s="344" t="n"/>
      <c r="U419" s="344" t="n"/>
      <c r="V419" s="344" t="n"/>
      <c r="W419" s="344" t="n"/>
    </row>
    <row r="420" customFormat="1" s="354">
      <c r="A420" s="345" t="n"/>
      <c r="B420" s="581" t="n"/>
      <c r="C420" s="582" t="n"/>
      <c r="D420" s="583" t="n"/>
      <c r="E420" s="584" t="n"/>
      <c r="F420" s="350" t="n"/>
      <c r="G420" s="350" t="n"/>
      <c r="H420" s="350" t="n"/>
      <c r="I420" s="350" t="n"/>
      <c r="J420" s="350" t="n"/>
      <c r="K420" s="351" t="n"/>
      <c r="L420" s="355" t="inlineStr">
        <is>
          <t>2841000184608_【ＱＣＳ】おにぎり用牛焼肉焼成.xlsx</t>
        </is>
      </c>
      <c r="M420" s="350" t="n"/>
      <c r="N420" s="344" t="n"/>
      <c r="O420" s="344" t="n"/>
      <c r="P420" s="344" t="n"/>
      <c r="Q420" s="344" t="n"/>
      <c r="R420" s="344" t="n"/>
      <c r="S420" s="344" t="n"/>
      <c r="T420" s="344" t="n"/>
      <c r="U420" s="344" t="n"/>
      <c r="V420" s="344" t="n"/>
      <c r="W420" s="344" t="n"/>
    </row>
    <row r="421" customFormat="1" s="354">
      <c r="A421" s="345" t="n"/>
      <c r="B421" s="581" t="n"/>
      <c r="C421" s="582" t="n"/>
      <c r="D421" s="583" t="n"/>
      <c r="E421" s="584" t="n"/>
      <c r="F421" s="350" t="n"/>
      <c r="G421" s="350" t="n"/>
      <c r="H421" s="350" t="n"/>
      <c r="I421" s="350" t="n"/>
      <c r="J421" s="350" t="n"/>
      <c r="K421" s="351" t="n"/>
      <c r="L421" s="355" t="inlineStr">
        <is>
          <t>2841000184608_【ＱＣＳ】おにぎり用牛焼肉焼成.xlsx</t>
        </is>
      </c>
      <c r="M421" s="350" t="n"/>
      <c r="N421" s="344" t="n"/>
      <c r="O421" s="344" t="n"/>
      <c r="P421" s="344" t="n"/>
      <c r="Q421" s="344" t="n"/>
      <c r="R421" s="344" t="n"/>
      <c r="S421" s="344" t="n"/>
      <c r="T421" s="344" t="n"/>
      <c r="U421" s="344" t="n"/>
      <c r="V421" s="344" t="n"/>
      <c r="W421" s="344" t="n"/>
    </row>
    <row r="422" customFormat="1" s="354">
      <c r="A422" s="345" t="n"/>
      <c r="B422" s="581" t="n"/>
      <c r="C422" s="582" t="n"/>
      <c r="D422" s="583" t="n"/>
      <c r="E422" s="584" t="n"/>
      <c r="F422" s="350" t="n"/>
      <c r="G422" s="350" t="n"/>
      <c r="H422" s="350" t="n"/>
      <c r="I422" s="350" t="n"/>
      <c r="J422" s="350" t="n"/>
      <c r="K422" s="351" t="n"/>
      <c r="L422" s="355" t="inlineStr">
        <is>
          <t>2841000185568_【ＱＣＳ】おにぎり用牛焼肉マヨ.xlsx</t>
        </is>
      </c>
      <c r="M422" s="350" t="n"/>
      <c r="N422" s="344" t="n"/>
      <c r="O422" s="344" t="n"/>
      <c r="P422" s="344" t="n"/>
      <c r="Q422" s="344" t="n"/>
      <c r="R422" s="344" t="n"/>
      <c r="S422" s="344" t="n"/>
      <c r="T422" s="344" t="n"/>
      <c r="U422" s="344" t="n"/>
      <c r="V422" s="344" t="n"/>
      <c r="W422" s="344" t="n"/>
    </row>
    <row r="423" customFormat="1" s="354">
      <c r="A423" s="345" t="n"/>
      <c r="B423" s="581" t="n"/>
      <c r="C423" s="582" t="n"/>
      <c r="D423" s="583" t="n"/>
      <c r="E423" s="584" t="n"/>
      <c r="F423" s="350" t="n"/>
      <c r="G423" s="350" t="n"/>
      <c r="H423" s="350" t="n"/>
      <c r="I423" s="350" t="n"/>
      <c r="J423" s="350" t="n"/>
      <c r="K423" s="351" t="n"/>
      <c r="L423" s="355" t="inlineStr">
        <is>
          <t>2841000181959_【ＱＣＳ】出汁ご飯.xlsx</t>
        </is>
      </c>
      <c r="M423" s="350" t="n"/>
      <c r="N423" s="344" t="n"/>
      <c r="O423" s="344" t="n"/>
      <c r="P423" s="344" t="n"/>
      <c r="Q423" s="344" t="n"/>
      <c r="R423" s="344" t="n"/>
      <c r="S423" s="344" t="n"/>
      <c r="T423" s="344" t="n"/>
      <c r="U423" s="344" t="n"/>
      <c r="V423" s="344" t="n"/>
      <c r="W423" s="344" t="n"/>
    </row>
    <row r="424" customFormat="1" s="354">
      <c r="A424" s="345" t="n"/>
      <c r="B424" s="581" t="n"/>
      <c r="C424" s="582" t="n"/>
      <c r="D424" s="583" t="n"/>
      <c r="E424" s="584" t="n"/>
      <c r="F424" s="350" t="n"/>
      <c r="G424" s="350" t="n"/>
      <c r="H424" s="350" t="n"/>
      <c r="I424" s="350" t="n"/>
      <c r="J424" s="350" t="n"/>
      <c r="K424" s="351" t="n"/>
      <c r="L424" s="350" t="n"/>
      <c r="M424" s="350" t="n"/>
      <c r="N424" s="344" t="n"/>
      <c r="O424" s="344" t="n"/>
      <c r="P424" s="344" t="n"/>
      <c r="Q424" s="344" t="n"/>
      <c r="R424" s="344" t="n"/>
      <c r="S424" s="344" t="n"/>
      <c r="T424" s="344" t="n"/>
      <c r="U424" s="344" t="n"/>
      <c r="V424" s="344" t="n"/>
      <c r="W424" s="344" t="n"/>
    </row>
    <row r="425" customFormat="1" s="354">
      <c r="A425" s="345" t="n"/>
      <c r="B425" s="581" t="n"/>
      <c r="C425" s="582" t="n"/>
      <c r="D425" s="583" t="n"/>
      <c r="E425" s="584" t="n"/>
      <c r="F425" s="350" t="n"/>
      <c r="G425" s="350" t="n"/>
      <c r="H425" s="350" t="n"/>
      <c r="I425" s="350" t="n"/>
      <c r="J425" s="350" t="n"/>
      <c r="K425" s="351" t="n"/>
      <c r="L425" s="355" t="inlineStr">
        <is>
          <t>2841000168738_【ＱＣＳ】ツナマヨ調合.xlsx</t>
        </is>
      </c>
      <c r="M425" s="350" t="n"/>
      <c r="N425" s="344" t="n"/>
      <c r="O425" s="344" t="n"/>
      <c r="P425" s="344" t="n"/>
      <c r="Q425" s="344" t="n"/>
      <c r="R425" s="344" t="n"/>
      <c r="S425" s="344" t="n"/>
      <c r="T425" s="344" t="n"/>
      <c r="U425" s="344" t="n"/>
      <c r="V425" s="344" t="n"/>
      <c r="W425" s="344" t="n"/>
    </row>
    <row r="426" customFormat="1" s="354">
      <c r="A426" s="345" t="n"/>
      <c r="B426" s="581" t="n"/>
      <c r="C426" s="582" t="n"/>
      <c r="D426" s="583" t="n"/>
      <c r="E426" s="584" t="n"/>
      <c r="F426" s="350" t="n"/>
      <c r="G426" s="350" t="n"/>
      <c r="H426" s="350" t="n"/>
      <c r="I426" s="350" t="n"/>
      <c r="J426" s="350" t="n"/>
      <c r="K426" s="351" t="n"/>
      <c r="L426" s="355" t="inlineStr">
        <is>
          <t>../開発規格書/田原規格書修正版/バッチテスト/2025/25.11月12日/◆【商品規格書】🍚【中間品】かしわ飯8🍚.xlsx</t>
        </is>
      </c>
      <c r="M426" s="350" t="n"/>
      <c r="N426" s="344" t="n"/>
      <c r="O426" s="344" t="n"/>
      <c r="P426" s="344" t="n"/>
      <c r="Q426" s="344" t="n"/>
      <c r="R426" s="344" t="n"/>
      <c r="S426" s="344" t="n"/>
      <c r="T426" s="344" t="n"/>
      <c r="U426" s="344" t="n"/>
      <c r="V426" s="344" t="n"/>
      <c r="W426" s="344" t="n"/>
    </row>
    <row r="427" customFormat="1" s="354">
      <c r="A427" s="345" t="n"/>
      <c r="B427" s="581" t="n"/>
      <c r="C427" s="582" t="n"/>
      <c r="D427" s="583" t="n"/>
      <c r="E427" s="584" t="n"/>
      <c r="F427" s="350" t="n"/>
      <c r="G427" s="350" t="n"/>
      <c r="H427" s="350" t="n"/>
      <c r="I427" s="350" t="n"/>
      <c r="J427" s="350" t="n"/>
      <c r="K427" s="351" t="n"/>
      <c r="L427" s="355" t="inlineStr">
        <is>
          <t>../開発規格書/田原規格書修正版/バッチテスト/2025/25.11月12日/◆【商品規格書】🍚【中間品】かしわ飯8🍚.xlsx</t>
        </is>
      </c>
      <c r="M427" s="350" t="n"/>
      <c r="N427" s="344" t="n"/>
      <c r="O427" s="344" t="n"/>
      <c r="P427" s="344" t="n"/>
      <c r="Q427" s="344" t="n"/>
      <c r="R427" s="344" t="n"/>
      <c r="S427" s="344" t="n"/>
      <c r="T427" s="344" t="n"/>
      <c r="U427" s="344" t="n"/>
      <c r="V427" s="344" t="n"/>
      <c r="W427" s="344" t="n"/>
    </row>
    <row r="428" customFormat="1" s="354">
      <c r="A428" s="345" t="n"/>
      <c r="B428" s="581" t="n"/>
      <c r="C428" s="582" t="n"/>
      <c r="D428" s="583" t="n"/>
      <c r="E428" s="584" t="n"/>
      <c r="F428" s="350" t="n"/>
      <c r="G428" s="350" t="n"/>
      <c r="H428" s="350" t="n"/>
      <c r="I428" s="350" t="n"/>
      <c r="J428" s="350" t="n"/>
      <c r="K428" s="351" t="n"/>
      <c r="L428" s="350" t="n"/>
      <c r="M428" s="350" t="n"/>
      <c r="N428" s="344" t="n"/>
      <c r="O428" s="344" t="n"/>
      <c r="P428" s="344" t="n"/>
      <c r="Q428" s="344" t="n"/>
      <c r="R428" s="344" t="n"/>
      <c r="S428" s="344" t="n"/>
      <c r="T428" s="344" t="n"/>
      <c r="U428" s="344" t="n"/>
      <c r="V428" s="344" t="n"/>
      <c r="W428" s="344" t="n"/>
    </row>
    <row r="429" customFormat="1" s="354">
      <c r="A429" s="345" t="n"/>
      <c r="B429" s="581" t="n"/>
      <c r="C429" s="582" t="n"/>
      <c r="D429" s="583" t="n"/>
      <c r="E429" s="584" t="n"/>
      <c r="F429" s="350" t="n"/>
      <c r="G429" s="350" t="n"/>
      <c r="H429" s="350" t="n"/>
      <c r="I429" s="350" t="n"/>
      <c r="J429" s="350" t="n"/>
      <c r="K429" s="351" t="n"/>
      <c r="L429" s="355" t="inlineStr">
        <is>
          <t>../開発規格書/田原規格書修正版/バッチテスト/2025/25.11月12日/◆【商品規格書】🍚【中間品】かしわ飯8🍚.xlsx</t>
        </is>
      </c>
      <c r="M429" s="350" t="n"/>
      <c r="N429" s="344" t="n"/>
      <c r="O429" s="344" t="n"/>
      <c r="P429" s="344" t="n"/>
      <c r="Q429" s="344" t="n"/>
      <c r="R429" s="344" t="n"/>
      <c r="S429" s="344" t="n"/>
      <c r="T429" s="344" t="n"/>
      <c r="U429" s="344" t="n"/>
      <c r="V429" s="344" t="n"/>
      <c r="W429" s="344" t="n"/>
    </row>
    <row r="430" customFormat="1" s="354">
      <c r="A430" s="345" t="n"/>
      <c r="B430" s="581" t="n"/>
      <c r="C430" s="582" t="n"/>
      <c r="D430" s="583" t="n"/>
      <c r="E430" s="584" t="n"/>
      <c r="F430" s="350" t="n"/>
      <c r="G430" s="350" t="n"/>
      <c r="H430" s="350" t="n"/>
      <c r="I430" s="350" t="n"/>
      <c r="J430" s="350" t="n"/>
      <c r="K430" s="351" t="n"/>
      <c r="L430" s="355" t="inlineStr">
        <is>
          <t>../開発規格書/田原規格書修正版/バッチテスト/2025/25.11月12日/◆【商品規格書】🍚【中間品】かしわ飯8🍚.xlsx</t>
        </is>
      </c>
      <c r="M430" s="350" t="n"/>
      <c r="N430" s="344" t="n"/>
      <c r="O430" s="344" t="n"/>
      <c r="P430" s="344" t="n"/>
      <c r="Q430" s="344" t="n"/>
      <c r="R430" s="344" t="n"/>
      <c r="S430" s="344" t="n"/>
      <c r="T430" s="344" t="n"/>
      <c r="U430" s="344" t="n"/>
      <c r="V430" s="344" t="n"/>
      <c r="W430" s="344" t="n"/>
    </row>
    <row r="431" customFormat="1" s="354">
      <c r="A431" s="345" t="n"/>
      <c r="B431" s="581" t="n"/>
      <c r="C431" s="582" t="n"/>
      <c r="D431" s="583" t="n"/>
      <c r="E431" s="584" t="n"/>
      <c r="F431" s="350" t="n"/>
      <c r="G431" s="350" t="n"/>
      <c r="H431" s="350" t="n"/>
      <c r="I431" s="350" t="n"/>
      <c r="J431" s="350" t="n"/>
      <c r="K431" s="351" t="n"/>
      <c r="L431" s="350" t="n"/>
      <c r="M431" s="350" t="n"/>
      <c r="N431" s="344" t="n"/>
      <c r="O431" s="344" t="n"/>
      <c r="P431" s="344" t="n"/>
      <c r="Q431" s="344" t="n"/>
      <c r="R431" s="344" t="n"/>
      <c r="S431" s="344" t="n"/>
      <c r="T431" s="344" t="n"/>
      <c r="U431" s="344" t="n"/>
      <c r="V431" s="344" t="n"/>
      <c r="W431" s="344" t="n"/>
    </row>
    <row r="432" customFormat="1" s="354">
      <c r="A432" s="345" t="n"/>
      <c r="B432" s="581" t="n"/>
      <c r="C432" s="582" t="n"/>
      <c r="D432" s="583" t="n"/>
      <c r="E432" s="584" t="n"/>
      <c r="F432" s="350" t="n"/>
      <c r="G432" s="350" t="n"/>
      <c r="H432" s="350" t="n"/>
      <c r="I432" s="350" t="n"/>
      <c r="J432" s="350" t="n"/>
      <c r="K432" s="351" t="n"/>
      <c r="L432" s="355" t="inlineStr">
        <is>
          <t>2841000184189_【ＱＣＳ】ゆかりごはん炊飯.xlsx</t>
        </is>
      </c>
      <c r="M432" s="350" t="n"/>
      <c r="N432" s="344" t="n"/>
      <c r="O432" s="344" t="n"/>
      <c r="P432" s="344" t="n"/>
      <c r="Q432" s="344" t="n"/>
      <c r="R432" s="344" t="n"/>
      <c r="S432" s="344" t="n"/>
      <c r="T432" s="344" t="n"/>
      <c r="U432" s="344" t="n"/>
      <c r="V432" s="344" t="n"/>
      <c r="W432" s="344" t="n"/>
    </row>
    <row r="433" customFormat="1" s="354">
      <c r="A433" s="345" t="n"/>
      <c r="B433" s="581" t="n"/>
      <c r="C433" s="582" t="n"/>
      <c r="D433" s="583" t="n"/>
      <c r="E433" s="584" t="n"/>
      <c r="F433" s="350" t="n"/>
      <c r="G433" s="350" t="n"/>
      <c r="H433" s="350" t="n"/>
      <c r="I433" s="350" t="n"/>
      <c r="J433" s="350" t="n"/>
      <c r="K433" s="351" t="n"/>
      <c r="L433" s="355" t="inlineStr">
        <is>
          <t>2841000184622_【ＱＣＳ】ゆかり混合.xlsx</t>
        </is>
      </c>
      <c r="M433" s="350" t="n"/>
      <c r="N433" s="344" t="n"/>
      <c r="O433" s="344" t="n"/>
      <c r="P433" s="344" t="n"/>
      <c r="Q433" s="344" t="n"/>
      <c r="R433" s="344" t="n"/>
      <c r="S433" s="344" t="n"/>
      <c r="T433" s="344" t="n"/>
      <c r="U433" s="344" t="n"/>
      <c r="V433" s="344" t="n"/>
      <c r="W433" s="344" t="n"/>
    </row>
    <row r="434" customFormat="1" s="354">
      <c r="A434" s="345" t="n"/>
      <c r="B434" s="581" t="n"/>
      <c r="C434" s="582" t="n"/>
      <c r="D434" s="583" t="n"/>
      <c r="E434" s="584" t="n"/>
      <c r="F434" s="350" t="n"/>
      <c r="G434" s="350" t="n"/>
      <c r="H434" s="350" t="n"/>
      <c r="I434" s="350" t="n"/>
      <c r="J434" s="350" t="n"/>
      <c r="K434" s="351" t="n"/>
      <c r="L434" s="350" t="n"/>
      <c r="M434" s="350" t="n"/>
      <c r="N434" s="344" t="n"/>
      <c r="O434" s="344" t="n"/>
      <c r="P434" s="344" t="n"/>
      <c r="Q434" s="344" t="n"/>
      <c r="R434" s="344" t="n"/>
      <c r="S434" s="344" t="n"/>
      <c r="T434" s="344" t="n"/>
      <c r="U434" s="344" t="n"/>
      <c r="V434" s="344" t="n"/>
      <c r="W434" s="344" t="n"/>
    </row>
    <row r="435" customFormat="1" s="354">
      <c r="A435" s="345" t="n"/>
      <c r="B435" s="581" t="n"/>
      <c r="C435" s="582" t="n"/>
      <c r="D435" s="583" t="n"/>
      <c r="E435" s="584" t="n"/>
      <c r="F435" s="350" t="n"/>
      <c r="G435" s="350" t="n"/>
      <c r="H435" s="350" t="n"/>
      <c r="I435" s="350" t="n"/>
      <c r="J435" s="350" t="n"/>
      <c r="K435" s="351" t="n"/>
      <c r="L435" s="355" t="inlineStr">
        <is>
          <t>2841000174586_【ＱＣＳ】わかめご飯用ごはん.xlsx</t>
        </is>
      </c>
      <c r="M435" s="350" t="n"/>
      <c r="N435" s="344" t="n"/>
      <c r="O435" s="344" t="n"/>
      <c r="P435" s="344" t="n"/>
      <c r="Q435" s="344" t="n"/>
      <c r="R435" s="344" t="n"/>
      <c r="S435" s="344" t="n"/>
      <c r="T435" s="344" t="n"/>
      <c r="U435" s="344" t="n"/>
      <c r="V435" s="344" t="n"/>
      <c r="W435" s="344" t="n"/>
    </row>
    <row r="436" customFormat="1" s="354">
      <c r="A436" s="345" t="n"/>
      <c r="B436" s="581" t="n"/>
      <c r="C436" s="582" t="n"/>
      <c r="D436" s="583" t="n"/>
      <c r="E436" s="584" t="n"/>
      <c r="F436" s="350" t="n"/>
      <c r="G436" s="350" t="n"/>
      <c r="H436" s="350" t="n"/>
      <c r="I436" s="350" t="n"/>
      <c r="J436" s="350" t="n"/>
      <c r="K436" s="351" t="n"/>
      <c r="L436" s="355" t="inlineStr">
        <is>
          <t>2841000174685_【ＱＣＳ】わかめご飯.xlsx</t>
        </is>
      </c>
      <c r="M436" s="350" t="n"/>
      <c r="N436" s="344" t="n"/>
      <c r="O436" s="344" t="n"/>
      <c r="P436" s="344" t="n"/>
      <c r="Q436" s="344" t="n"/>
      <c r="R436" s="344" t="n"/>
      <c r="S436" s="344" t="n"/>
      <c r="T436" s="344" t="n"/>
      <c r="U436" s="344" t="n"/>
      <c r="V436" s="344" t="n"/>
      <c r="W436" s="344" t="n"/>
    </row>
    <row r="437" customFormat="1" s="354">
      <c r="A437" s="345" t="n"/>
      <c r="B437" s="581" t="n"/>
      <c r="C437" s="582" t="n"/>
      <c r="D437" s="583" t="n"/>
      <c r="E437" s="584" t="n"/>
      <c r="F437" s="350" t="n"/>
      <c r="G437" s="350" t="n"/>
      <c r="H437" s="350" t="n"/>
      <c r="I437" s="350" t="n"/>
      <c r="J437" s="350" t="n"/>
      <c r="K437" s="351" t="n"/>
      <c r="L437" s="350" t="n"/>
      <c r="M437" s="350" t="n"/>
      <c r="N437" s="344" t="n"/>
      <c r="O437" s="344" t="n"/>
      <c r="P437" s="344" t="n"/>
      <c r="Q437" s="344" t="n"/>
      <c r="R437" s="344" t="n"/>
      <c r="S437" s="344" t="n"/>
      <c r="T437" s="344" t="n"/>
      <c r="U437" s="344" t="n"/>
      <c r="V437" s="344" t="n"/>
      <c r="W437" s="344" t="n"/>
    </row>
    <row r="438" customFormat="1" s="354">
      <c r="A438" s="345" t="n"/>
      <c r="B438" s="581" t="n"/>
      <c r="C438" s="582" t="n"/>
      <c r="D438" s="583" t="n"/>
      <c r="E438" s="584" t="n"/>
      <c r="F438" s="350" t="n"/>
      <c r="G438" s="350" t="n"/>
      <c r="H438" s="350" t="n"/>
      <c r="I438" s="350" t="n"/>
      <c r="J438" s="350" t="n"/>
      <c r="K438" s="351" t="n"/>
      <c r="L438" s="355" t="inlineStr">
        <is>
          <t>2841000174401_【ＱＣＳ】高菜炒め.xlsx</t>
        </is>
      </c>
      <c r="M438" s="350" t="n"/>
      <c r="N438" s="344" t="n"/>
      <c r="O438" s="344" t="n"/>
      <c r="P438" s="344" t="n"/>
      <c r="Q438" s="344" t="n"/>
      <c r="R438" s="344" t="n"/>
      <c r="S438" s="344" t="n"/>
      <c r="T438" s="344" t="n"/>
      <c r="U438" s="344" t="n"/>
      <c r="V438" s="344" t="n"/>
      <c r="W438" s="344" t="n"/>
    </row>
    <row r="439" customFormat="1" s="354">
      <c r="A439" s="345" t="n"/>
      <c r="B439" s="581" t="n"/>
      <c r="C439" s="582" t="n"/>
      <c r="D439" s="583" t="n"/>
      <c r="E439" s="584" t="n"/>
      <c r="F439" s="350" t="n"/>
      <c r="G439" s="350" t="n"/>
      <c r="H439" s="350" t="n"/>
      <c r="I439" s="350" t="n"/>
      <c r="J439" s="350" t="n"/>
      <c r="K439" s="351" t="n"/>
      <c r="L439" s="355" t="inlineStr">
        <is>
          <t>2841000174401_【ＱＣＳ】高菜炒め.xlsx</t>
        </is>
      </c>
      <c r="M439" s="350" t="n"/>
      <c r="N439" s="344" t="n"/>
      <c r="O439" s="344" t="n"/>
      <c r="P439" s="344" t="n"/>
      <c r="Q439" s="344" t="n"/>
      <c r="R439" s="344" t="n"/>
      <c r="S439" s="344" t="n"/>
      <c r="T439" s="344" t="n"/>
      <c r="U439" s="344" t="n"/>
      <c r="V439" s="344" t="n"/>
      <c r="W439" s="344" t="n"/>
    </row>
    <row r="440" customFormat="1" s="354">
      <c r="A440" s="345" t="n"/>
      <c r="B440" s="581" t="n"/>
      <c r="C440" s="582" t="n"/>
      <c r="D440" s="583" t="n"/>
      <c r="E440" s="584" t="n"/>
      <c r="F440" s="350" t="n"/>
      <c r="G440" s="350" t="n"/>
      <c r="H440" s="350" t="n"/>
      <c r="I440" s="350" t="n"/>
      <c r="J440" s="350" t="n"/>
      <c r="K440" s="351" t="n"/>
      <c r="L440" s="355" t="inlineStr">
        <is>
          <t>2841000184400_【ＱＣＳ】高菜ご飯２.xlsx</t>
        </is>
      </c>
      <c r="M440" s="350" t="n"/>
      <c r="N440" s="344" t="n"/>
      <c r="O440" s="344" t="n"/>
      <c r="P440" s="344" t="n"/>
      <c r="Q440" s="344" t="n"/>
      <c r="R440" s="344" t="n"/>
      <c r="S440" s="344" t="n"/>
      <c r="T440" s="344" t="n"/>
      <c r="U440" s="344" t="n"/>
      <c r="V440" s="344" t="n"/>
      <c r="W440" s="344" t="n"/>
    </row>
    <row r="441" customFormat="1" s="354">
      <c r="A441" s="345" t="n"/>
      <c r="B441" s="581" t="n"/>
      <c r="C441" s="582" t="n"/>
      <c r="D441" s="583" t="n"/>
      <c r="E441" s="584" t="n"/>
      <c r="F441" s="350" t="n"/>
      <c r="G441" s="350" t="n"/>
      <c r="H441" s="350" t="n"/>
      <c r="I441" s="350" t="n"/>
      <c r="J441" s="350" t="n"/>
      <c r="K441" s="351" t="n"/>
      <c r="L441" s="350" t="n"/>
      <c r="M441" s="350" t="n"/>
      <c r="N441" s="344" t="n"/>
      <c r="O441" s="344" t="n"/>
      <c r="P441" s="344" t="n"/>
      <c r="Q441" s="344" t="n"/>
      <c r="R441" s="344" t="n"/>
      <c r="S441" s="344" t="n"/>
      <c r="T441" s="344" t="n"/>
      <c r="U441" s="344" t="n"/>
      <c r="V441" s="344" t="n"/>
      <c r="W441" s="344" t="n"/>
    </row>
    <row r="442" customFormat="1" s="354">
      <c r="A442" s="345" t="n"/>
      <c r="B442" s="581" t="n"/>
      <c r="C442" s="582" t="n"/>
      <c r="D442" s="583" t="n"/>
      <c r="E442" s="584" t="n"/>
      <c r="F442" s="350" t="n"/>
      <c r="G442" s="350" t="n"/>
      <c r="H442" s="350" t="n"/>
      <c r="I442" s="350" t="n"/>
      <c r="J442" s="350" t="n"/>
      <c r="K442" s="351" t="n"/>
      <c r="L442" s="355" t="inlineStr">
        <is>
          <t>2841000184424_【ＱＣＳ】梅ひじきご飯（白飯（ガス炊飯））.xlsx</t>
        </is>
      </c>
      <c r="M442" s="350" t="n"/>
      <c r="N442" s="344" t="n"/>
      <c r="O442" s="344" t="n"/>
      <c r="P442" s="344" t="n"/>
      <c r="Q442" s="344" t="n"/>
      <c r="R442" s="344" t="n"/>
      <c r="S442" s="344" t="n"/>
      <c r="T442" s="344" t="n"/>
      <c r="U442" s="344" t="n"/>
      <c r="V442" s="344" t="n"/>
      <c r="W442" s="344" t="n"/>
    </row>
    <row r="443" customFormat="1" s="354">
      <c r="A443" s="345" t="n"/>
      <c r="B443" s="581" t="n"/>
      <c r="C443" s="582" t="n"/>
      <c r="D443" s="583" t="n"/>
      <c r="E443" s="584" t="n"/>
      <c r="F443" s="350" t="n"/>
      <c r="G443" s="350" t="n"/>
      <c r="H443" s="350" t="n"/>
      <c r="I443" s="350" t="n"/>
      <c r="J443" s="350" t="n"/>
      <c r="K443" s="351" t="n"/>
      <c r="L443" s="355" t="inlineStr">
        <is>
          <t>2841000184417_【ＱＣＳ】ひじき水戻し.xlsx</t>
        </is>
      </c>
      <c r="M443" s="350" t="n"/>
      <c r="N443" s="344" t="n"/>
      <c r="O443" s="344" t="n"/>
      <c r="P443" s="344" t="n"/>
      <c r="Q443" s="344" t="n"/>
      <c r="R443" s="344" t="n"/>
      <c r="S443" s="344" t="n"/>
      <c r="T443" s="344" t="n"/>
      <c r="U443" s="344" t="n"/>
      <c r="V443" s="344" t="n"/>
      <c r="W443" s="344" t="n"/>
    </row>
    <row r="444" customFormat="1" s="354">
      <c r="A444" s="345" t="n"/>
      <c r="B444" s="581" t="n"/>
      <c r="C444" s="582" t="n"/>
      <c r="D444" s="583" t="n"/>
      <c r="E444" s="584" t="n"/>
      <c r="F444" s="350" t="n"/>
      <c r="G444" s="350" t="n"/>
      <c r="H444" s="350" t="n"/>
      <c r="I444" s="350" t="n"/>
      <c r="J444" s="350" t="n"/>
      <c r="K444" s="351" t="n"/>
      <c r="L444" s="355" t="inlineStr">
        <is>
          <t>2841000185605_【ＱＣＳ】梅ひじきご飯（塩ひじき）.xlsx</t>
        </is>
      </c>
      <c r="M444" s="350" t="n"/>
      <c r="N444" s="344" t="n"/>
      <c r="O444" s="344" t="n"/>
      <c r="P444" s="344" t="n"/>
      <c r="Q444" s="344" t="n"/>
      <c r="R444" s="344" t="n"/>
      <c r="S444" s="344" t="n"/>
      <c r="T444" s="344" t="n"/>
      <c r="U444" s="344" t="n"/>
      <c r="V444" s="344" t="n"/>
      <c r="W444" s="344" t="n"/>
    </row>
    <row r="445" customFormat="1" s="354">
      <c r="A445" s="345" t="n"/>
      <c r="B445" s="581" t="n"/>
      <c r="C445" s="582" t="n"/>
      <c r="D445" s="583" t="n"/>
      <c r="E445" s="584" t="n"/>
      <c r="F445" s="350" t="n"/>
      <c r="G445" s="350" t="n"/>
      <c r="H445" s="350" t="n"/>
      <c r="I445" s="350" t="n"/>
      <c r="J445" s="350" t="n"/>
      <c r="K445" s="351" t="n"/>
      <c r="L445" s="355" t="inlineStr">
        <is>
          <t>2841000185919_【ＱＣＳ】梅ひじきご飯（混ぜこみ具材）.xlsx</t>
        </is>
      </c>
      <c r="M445" s="350" t="n"/>
      <c r="N445" s="344" t="n"/>
      <c r="O445" s="344" t="n"/>
      <c r="P445" s="344" t="n"/>
      <c r="Q445" s="344" t="n"/>
      <c r="R445" s="344" t="n"/>
      <c r="S445" s="344" t="n"/>
      <c r="T445" s="344" t="n"/>
      <c r="U445" s="344" t="n"/>
      <c r="V445" s="344" t="n"/>
      <c r="W445" s="344" t="n"/>
    </row>
    <row r="446" customFormat="1" s="354">
      <c r="A446" s="345" t="n"/>
      <c r="B446" s="581" t="n"/>
      <c r="C446" s="582" t="n"/>
      <c r="D446" s="583" t="n"/>
      <c r="E446" s="584" t="n"/>
      <c r="F446" s="350" t="n"/>
      <c r="G446" s="350" t="n"/>
      <c r="H446" s="350" t="n"/>
      <c r="I446" s="350" t="n"/>
      <c r="J446" s="350" t="n"/>
      <c r="K446" s="351" t="n"/>
      <c r="L446" s="350" t="n"/>
      <c r="M446" s="350" t="n"/>
      <c r="N446" s="344" t="n"/>
      <c r="O446" s="344" t="n"/>
      <c r="P446" s="344" t="n"/>
      <c r="Q446" s="344" t="n"/>
      <c r="R446" s="344" t="n"/>
      <c r="S446" s="344" t="n"/>
      <c r="T446" s="344" t="n"/>
      <c r="U446" s="344" t="n"/>
      <c r="V446" s="344" t="n"/>
      <c r="W446" s="344" t="n"/>
    </row>
    <row r="447" customFormat="1" s="354">
      <c r="A447" s="345" t="n"/>
      <c r="B447" s="581" t="n"/>
      <c r="C447" s="582" t="n"/>
      <c r="D447" s="583" t="n"/>
      <c r="E447" s="584" t="n"/>
      <c r="F447" s="350" t="n"/>
      <c r="G447" s="350" t="n"/>
      <c r="H447" s="350" t="n"/>
      <c r="I447" s="350" t="n"/>
      <c r="J447" s="350" t="n"/>
      <c r="K447" s="351" t="n"/>
      <c r="L447" s="355" t="inlineStr">
        <is>
          <t>2841000180402_【ＱＣＳ】鶏めし用具材（鶏めし４）.xlsx</t>
        </is>
      </c>
      <c r="M447" s="350" t="n"/>
      <c r="N447" s="344" t="n"/>
      <c r="O447" s="344" t="n"/>
      <c r="P447" s="344" t="n"/>
      <c r="Q447" s="344" t="n"/>
      <c r="R447" s="344" t="n"/>
      <c r="S447" s="344" t="n"/>
      <c r="T447" s="344" t="n"/>
      <c r="U447" s="344" t="n"/>
      <c r="V447" s="344" t="n"/>
      <c r="W447" s="344" t="n"/>
    </row>
    <row r="448" customFormat="1" s="354">
      <c r="A448" s="345" t="n"/>
      <c r="B448" s="581" t="n"/>
      <c r="C448" s="582" t="n"/>
      <c r="D448" s="583" t="n"/>
      <c r="E448" s="584" t="n"/>
      <c r="F448" s="350" t="n"/>
      <c r="G448" s="350" t="n"/>
      <c r="H448" s="350" t="n"/>
      <c r="I448" s="350" t="n"/>
      <c r="J448" s="350" t="n"/>
      <c r="K448" s="351" t="n"/>
      <c r="L448" s="355" t="inlineStr">
        <is>
          <t>2841000180419_【ＱＣＳ】鶏めし用ご飯（鶏めし４）.xlsx</t>
        </is>
      </c>
      <c r="M448" s="350" t="n"/>
      <c r="N448" s="344" t="n"/>
      <c r="O448" s="344" t="n"/>
      <c r="P448" s="344" t="n"/>
      <c r="Q448" s="344" t="n"/>
      <c r="R448" s="344" t="n"/>
      <c r="S448" s="344" t="n"/>
      <c r="T448" s="344" t="n"/>
      <c r="U448" s="344" t="n"/>
      <c r="V448" s="344" t="n"/>
      <c r="W448" s="344" t="n"/>
    </row>
    <row r="449" customFormat="1" s="354">
      <c r="A449" s="345" t="n"/>
      <c r="B449" s="581" t="n"/>
      <c r="C449" s="582" t="n"/>
      <c r="D449" s="583" t="n"/>
      <c r="E449" s="584" t="n"/>
      <c r="F449" s="350" t="n"/>
      <c r="G449" s="350" t="n"/>
      <c r="H449" s="350" t="n"/>
      <c r="I449" s="350" t="n"/>
      <c r="J449" s="350" t="n"/>
      <c r="K449" s="351" t="n"/>
      <c r="L449" s="355" t="inlineStr">
        <is>
          <t>2841000180501_【ＱＣＳ】鶏めし４.xlsx</t>
        </is>
      </c>
      <c r="M449" s="350" t="n"/>
      <c r="N449" s="344" t="n"/>
      <c r="O449" s="344" t="n"/>
      <c r="P449" s="344" t="n"/>
      <c r="Q449" s="344" t="n"/>
      <c r="R449" s="344" t="n"/>
      <c r="S449" s="344" t="n"/>
      <c r="T449" s="344" t="n"/>
      <c r="U449" s="344" t="n"/>
      <c r="V449" s="344" t="n"/>
      <c r="W449" s="344" t="n"/>
    </row>
    <row r="450" customFormat="1" s="354">
      <c r="A450" s="345" t="n"/>
      <c r="B450" s="581" t="n"/>
      <c r="C450" s="582" t="n"/>
      <c r="D450" s="583" t="n"/>
      <c r="E450" s="584" t="n"/>
      <c r="F450" s="350" t="n"/>
      <c r="G450" s="350" t="n"/>
      <c r="H450" s="350" t="n"/>
      <c r="I450" s="350" t="n"/>
      <c r="J450" s="350" t="n"/>
      <c r="K450" s="351" t="n"/>
      <c r="L450" s="350" t="n"/>
      <c r="M450" s="350" t="n"/>
      <c r="N450" s="344" t="n"/>
      <c r="O450" s="344" t="n"/>
      <c r="P450" s="344" t="n"/>
      <c r="Q450" s="344" t="n"/>
      <c r="R450" s="344" t="n"/>
      <c r="S450" s="344" t="n"/>
      <c r="T450" s="344" t="n"/>
      <c r="U450" s="344" t="n"/>
      <c r="V450" s="344" t="n"/>
      <c r="W450" s="344" t="n"/>
    </row>
    <row r="451" customFormat="1" s="354">
      <c r="A451" s="345" t="n"/>
      <c r="B451" s="581" t="n"/>
      <c r="C451" s="582" t="n"/>
      <c r="D451" s="583" t="n"/>
      <c r="E451" s="584" t="n"/>
      <c r="F451" s="350" t="n"/>
      <c r="G451" s="350" t="n"/>
      <c r="H451" s="350" t="n"/>
      <c r="I451" s="350" t="n"/>
      <c r="J451" s="350" t="n"/>
      <c r="K451" s="351" t="n"/>
      <c r="L451" s="355" t="inlineStr">
        <is>
          <t>2841000174586_【ＱＣＳ】わかめご飯用ごはん.xlsx</t>
        </is>
      </c>
      <c r="M451" s="350" t="n"/>
      <c r="N451" s="344" t="n"/>
      <c r="O451" s="344" t="n"/>
      <c r="P451" s="344" t="n"/>
      <c r="Q451" s="344" t="n"/>
      <c r="R451" s="344" t="n"/>
      <c r="S451" s="344" t="n"/>
      <c r="T451" s="344" t="n"/>
      <c r="U451" s="344" t="n"/>
      <c r="V451" s="344" t="n"/>
      <c r="W451" s="344" t="n"/>
    </row>
    <row r="452" customFormat="1" s="354">
      <c r="A452" s="345" t="n"/>
      <c r="B452" s="581" t="n"/>
      <c r="C452" s="582" t="n"/>
      <c r="D452" s="583" t="n"/>
      <c r="E452" s="584" t="n"/>
      <c r="F452" s="350" t="n"/>
      <c r="G452" s="350" t="n"/>
      <c r="H452" s="350" t="n"/>
      <c r="I452" s="350" t="n"/>
      <c r="J452" s="350" t="n"/>
      <c r="K452" s="351" t="n"/>
      <c r="L452" s="350" t="n"/>
      <c r="M452" s="350" t="n"/>
      <c r="N452" s="344" t="n"/>
      <c r="O452" s="344" t="n"/>
      <c r="P452" s="344" t="n"/>
      <c r="Q452" s="344" t="n"/>
      <c r="R452" s="344" t="n"/>
      <c r="S452" s="344" t="n"/>
      <c r="T452" s="344" t="n"/>
      <c r="U452" s="344" t="n"/>
      <c r="V452" s="344" t="n"/>
      <c r="W452" s="344" t="n"/>
    </row>
    <row r="453" customFormat="1" s="354">
      <c r="A453" s="345" t="n"/>
      <c r="B453" s="581" t="n"/>
      <c r="C453" s="582" t="n"/>
      <c r="D453" s="583" t="n"/>
      <c r="E453" s="584" t="n"/>
      <c r="F453" s="350" t="n"/>
      <c r="G453" s="350" t="n"/>
      <c r="H453" s="350" t="n"/>
      <c r="I453" s="350" t="n"/>
      <c r="J453" s="350" t="n"/>
      <c r="K453" s="351" t="n"/>
      <c r="L453" s="350" t="n"/>
      <c r="M453" s="350" t="n"/>
      <c r="N453" s="344" t="n"/>
      <c r="O453" s="344" t="n"/>
      <c r="P453" s="344" t="n"/>
      <c r="Q453" s="344" t="n"/>
      <c r="R453" s="344" t="n"/>
      <c r="S453" s="344" t="n"/>
      <c r="T453" s="344" t="n"/>
      <c r="U453" s="344" t="n"/>
      <c r="V453" s="344" t="n"/>
      <c r="W453" s="344" t="n"/>
    </row>
    <row r="454" customFormat="1" s="354">
      <c r="A454" s="345" t="n"/>
      <c r="B454" s="581" t="n"/>
      <c r="C454" s="582" t="n"/>
      <c r="D454" s="583" t="n"/>
      <c r="E454" s="584" t="n"/>
      <c r="F454" s="350" t="n"/>
      <c r="G454" s="350" t="n"/>
      <c r="H454" s="350" t="n"/>
      <c r="I454" s="350" t="n"/>
      <c r="J454" s="350" t="n"/>
      <c r="K454" s="351" t="n"/>
      <c r="L454" s="355" t="inlineStr">
        <is>
          <t>2841000174401_【ＱＣＳ】高菜炒め.xlsx</t>
        </is>
      </c>
      <c r="M454" s="350" t="n"/>
      <c r="N454" s="344" t="n"/>
      <c r="O454" s="344" t="n"/>
      <c r="P454" s="344" t="n"/>
      <c r="Q454" s="344" t="n"/>
      <c r="R454" s="344" t="n"/>
      <c r="S454" s="344" t="n"/>
      <c r="T454" s="344" t="n"/>
      <c r="U454" s="344" t="n"/>
      <c r="V454" s="344" t="n"/>
      <c r="W454" s="344" t="n"/>
    </row>
    <row r="455" customFormat="1" s="354">
      <c r="A455" s="345" t="n"/>
      <c r="B455" s="581" t="n"/>
      <c r="C455" s="582" t="n"/>
      <c r="D455" s="583" t="n"/>
      <c r="E455" s="584" t="n"/>
      <c r="F455" s="350" t="n"/>
      <c r="G455" s="350" t="n"/>
      <c r="H455" s="350" t="n"/>
      <c r="I455" s="350" t="n"/>
      <c r="J455" s="350" t="n"/>
      <c r="K455" s="351" t="n"/>
      <c r="L455" s="355" t="inlineStr">
        <is>
          <t>2841000174401_【ＱＣＳ】高菜炒め.xlsx</t>
        </is>
      </c>
      <c r="M455" s="350" t="n"/>
      <c r="N455" s="344" t="n"/>
      <c r="O455" s="344" t="n"/>
      <c r="P455" s="344" t="n"/>
      <c r="Q455" s="344" t="n"/>
      <c r="R455" s="344" t="n"/>
      <c r="S455" s="344" t="n"/>
      <c r="T455" s="344" t="n"/>
      <c r="U455" s="344" t="n"/>
      <c r="V455" s="344" t="n"/>
      <c r="W455" s="344" t="n"/>
    </row>
    <row r="456" customFormat="1" s="354">
      <c r="A456" s="345" t="n"/>
      <c r="B456" s="581" t="n"/>
      <c r="C456" s="582" t="n"/>
      <c r="D456" s="583" t="n"/>
      <c r="E456" s="584" t="n"/>
      <c r="F456" s="350" t="n"/>
      <c r="G456" s="350" t="n"/>
      <c r="H456" s="350" t="n"/>
      <c r="I456" s="350" t="n"/>
      <c r="J456" s="350" t="n"/>
      <c r="K456" s="351" t="n"/>
      <c r="L456" s="355" t="inlineStr">
        <is>
          <t>2841000184400_【ＱＣＳ】高菜ご飯２.xlsx</t>
        </is>
      </c>
      <c r="M456" s="350" t="n"/>
      <c r="N456" s="344" t="n"/>
      <c r="O456" s="344" t="n"/>
      <c r="P456" s="344" t="n"/>
      <c r="Q456" s="344" t="n"/>
      <c r="R456" s="344" t="n"/>
      <c r="S456" s="344" t="n"/>
      <c r="T456" s="344" t="n"/>
      <c r="U456" s="344" t="n"/>
      <c r="V456" s="344" t="n"/>
      <c r="W456" s="344" t="n"/>
    </row>
    <row r="457" customFormat="1" s="354">
      <c r="A457" s="345" t="n"/>
      <c r="B457" s="581" t="n"/>
      <c r="C457" s="582" t="n"/>
      <c r="D457" s="583" t="n"/>
      <c r="E457" s="584" t="n"/>
      <c r="F457" s="350" t="n"/>
      <c r="G457" s="350" t="n"/>
      <c r="H457" s="350" t="n"/>
      <c r="I457" s="350" t="n"/>
      <c r="J457" s="350" t="n"/>
      <c r="K457" s="351" t="n"/>
      <c r="L457" s="350" t="n"/>
      <c r="M457" s="350" t="n"/>
      <c r="N457" s="344" t="n"/>
      <c r="O457" s="344" t="n"/>
      <c r="P457" s="344" t="n"/>
      <c r="Q457" s="344" t="n"/>
      <c r="R457" s="344" t="n"/>
      <c r="S457" s="344" t="n"/>
      <c r="T457" s="344" t="n"/>
      <c r="U457" s="344" t="n"/>
      <c r="V457" s="344" t="n"/>
      <c r="W457" s="344" t="n"/>
    </row>
    <row r="458" customFormat="1" s="354">
      <c r="A458" s="345" t="n"/>
      <c r="B458" s="581" t="n"/>
      <c r="C458" s="582" t="n"/>
      <c r="D458" s="583" t="n"/>
      <c r="E458" s="592" t="n"/>
      <c r="F458" s="350" t="n"/>
      <c r="G458" s="350" t="n"/>
      <c r="H458" s="350" t="n"/>
      <c r="I458" s="350" t="n"/>
      <c r="J458" s="350" t="n"/>
      <c r="K458" s="351" t="n"/>
      <c r="L458" s="355" t="inlineStr">
        <is>
          <t>../開発規格書/久保レシピ修正版/ＱＣＳ/◆【商品規格書】◆大きな梅ひじきおにぎりP２（白鳥）.xlsx</t>
        </is>
      </c>
      <c r="M458" s="350" t="n"/>
      <c r="N458" s="344" t="n"/>
      <c r="O458" s="344" t="n"/>
      <c r="P458" s="344" t="n"/>
      <c r="Q458" s="344" t="n"/>
      <c r="R458" s="344" t="n"/>
      <c r="S458" s="344" t="n"/>
      <c r="T458" s="344" t="n"/>
      <c r="U458" s="344" t="n"/>
      <c r="V458" s="344" t="n"/>
      <c r="W458" s="344" t="n"/>
    </row>
    <row r="459" customFormat="1" s="354">
      <c r="A459" s="345" t="n"/>
      <c r="B459" s="581" t="n"/>
      <c r="C459" s="582" t="n"/>
      <c r="D459" s="583" t="n"/>
      <c r="E459" s="584" t="n"/>
      <c r="F459" s="350" t="n"/>
      <c r="G459" s="350" t="n"/>
      <c r="H459" s="350" t="n"/>
      <c r="I459" s="350" t="n"/>
      <c r="J459" s="350" t="n"/>
      <c r="K459" s="351" t="n"/>
      <c r="L459" s="355" t="inlineStr">
        <is>
          <t>../../../../01_組織_メガ生鮮_惣菜/〇商品開発室/個人名フォルダ/大津/開発規格書/久保レシピ修正版/ＱＣＳ/◆【商品規格書】◆大きな梅ひじきおにぎりP２（白鳥）.xlsx</t>
        </is>
      </c>
      <c r="M459" s="350" t="n"/>
      <c r="N459" s="344" t="n"/>
      <c r="O459" s="344" t="n"/>
      <c r="P459" s="344" t="n"/>
      <c r="Q459" s="344" t="n"/>
      <c r="R459" s="344" t="n"/>
      <c r="S459" s="344" t="n"/>
      <c r="T459" s="344" t="n"/>
      <c r="U459" s="344" t="n"/>
      <c r="V459" s="344" t="n"/>
      <c r="W459" s="344" t="n"/>
    </row>
    <row r="460" customFormat="1" s="354">
      <c r="A460" s="345" t="n"/>
      <c r="B460" s="581" t="n"/>
      <c r="C460" s="582" t="n"/>
      <c r="D460" s="583" t="n"/>
      <c r="E460" s="584" t="n"/>
      <c r="F460" s="350" t="n"/>
      <c r="G460" s="350" t="n"/>
      <c r="H460" s="350" t="n"/>
      <c r="I460" s="350" t="n"/>
      <c r="J460" s="350" t="n"/>
      <c r="K460" s="351" t="n"/>
      <c r="L460" s="350" t="n"/>
      <c r="M460" s="350" t="n"/>
      <c r="N460" s="344" t="n"/>
      <c r="O460" s="344" t="n"/>
      <c r="P460" s="344" t="n"/>
      <c r="Q460" s="344" t="n"/>
      <c r="R460" s="344" t="n"/>
      <c r="S460" s="344" t="n"/>
      <c r="T460" s="344" t="n"/>
      <c r="U460" s="344" t="n"/>
      <c r="V460" s="344" t="n"/>
      <c r="W460" s="344" t="n"/>
    </row>
    <row r="461" customFormat="1" s="354">
      <c r="A461" s="345" t="n"/>
      <c r="B461" s="581" t="n"/>
      <c r="C461" s="582" t="n"/>
      <c r="D461" s="583" t="n"/>
      <c r="E461" s="584" t="n"/>
      <c r="F461" s="350" t="n"/>
      <c r="G461" s="350" t="n"/>
      <c r="H461" s="350" t="n"/>
      <c r="I461" s="350" t="n"/>
      <c r="J461" s="350" t="n"/>
      <c r="K461" s="351" t="n"/>
      <c r="L461" s="350" t="n"/>
      <c r="M461" s="350" t="n"/>
      <c r="N461" s="344" t="n"/>
      <c r="O461" s="344" t="n"/>
      <c r="P461" s="344" t="n"/>
      <c r="Q461" s="344" t="n"/>
      <c r="R461" s="344" t="n"/>
      <c r="S461" s="344" t="n"/>
      <c r="T461" s="344" t="n"/>
      <c r="U461" s="344" t="n"/>
      <c r="V461" s="344" t="n"/>
      <c r="W461" s="344" t="n"/>
    </row>
    <row r="462" customFormat="1" s="354">
      <c r="A462" s="345" t="n"/>
      <c r="B462" s="581" t="n"/>
      <c r="C462" s="582" t="n"/>
      <c r="D462" s="583" t="n"/>
      <c r="E462" s="584" t="n"/>
      <c r="F462" s="350" t="n"/>
      <c r="G462" s="350" t="n"/>
      <c r="H462" s="350" t="n"/>
      <c r="I462" s="350" t="n"/>
      <c r="J462" s="350" t="n"/>
      <c r="K462" s="351" t="n"/>
      <c r="L462" s="350" t="n"/>
      <c r="M462" s="350" t="n"/>
      <c r="N462" s="344" t="n"/>
      <c r="O462" s="344" t="n"/>
      <c r="P462" s="344" t="n"/>
      <c r="Q462" s="344" t="n"/>
      <c r="R462" s="344" t="n"/>
      <c r="S462" s="344" t="n"/>
      <c r="T462" s="344" t="n"/>
      <c r="U462" s="344" t="n"/>
      <c r="V462" s="344" t="n"/>
      <c r="W462" s="344" t="n"/>
    </row>
    <row r="463" customFormat="1" s="354">
      <c r="A463" s="345" t="n"/>
      <c r="B463" s="581" t="n"/>
      <c r="C463" s="582" t="n"/>
      <c r="D463" s="583" t="n"/>
      <c r="E463" s="584" t="n"/>
      <c r="F463" s="350" t="n"/>
      <c r="G463" s="350" t="n"/>
      <c r="H463" s="350" t="n"/>
      <c r="I463" s="350" t="n"/>
      <c r="J463" s="350" t="n"/>
      <c r="K463" s="351" t="n"/>
      <c r="L463" s="355" t="inlineStr">
        <is>
          <t>2841000180402_【ＱＣＳ】鶏めし用具材（鶏めし４）.xlsx</t>
        </is>
      </c>
      <c r="M463" s="350" t="n"/>
      <c r="N463" s="344" t="n"/>
      <c r="O463" s="344" t="n"/>
      <c r="P463" s="344" t="n"/>
      <c r="Q463" s="344" t="n"/>
      <c r="R463" s="344" t="n"/>
      <c r="S463" s="344" t="n"/>
      <c r="T463" s="344" t="n"/>
      <c r="U463" s="344" t="n"/>
      <c r="V463" s="344" t="n"/>
      <c r="W463" s="344" t="n"/>
    </row>
    <row r="464" customFormat="1" s="354">
      <c r="A464" s="345" t="n"/>
      <c r="B464" s="581" t="n"/>
      <c r="C464" s="582" t="n"/>
      <c r="D464" s="583" t="n"/>
      <c r="E464" s="584" t="n"/>
      <c r="F464" s="350" t="n"/>
      <c r="G464" s="350" t="n"/>
      <c r="H464" s="350" t="n"/>
      <c r="I464" s="350" t="n"/>
      <c r="J464" s="350" t="n"/>
      <c r="K464" s="351" t="n"/>
      <c r="L464" s="355" t="inlineStr">
        <is>
          <t>2841000180419_【ＱＣＳ】鶏めし用ご飯（鶏めし４）.xlsx</t>
        </is>
      </c>
      <c r="M464" s="350" t="n"/>
      <c r="N464" s="344" t="n"/>
      <c r="O464" s="344" t="n"/>
      <c r="P464" s="344" t="n"/>
      <c r="Q464" s="344" t="n"/>
      <c r="R464" s="344" t="n"/>
      <c r="S464" s="344" t="n"/>
      <c r="T464" s="344" t="n"/>
      <c r="U464" s="344" t="n"/>
      <c r="V464" s="344" t="n"/>
      <c r="W464" s="344" t="n"/>
    </row>
    <row r="465" customFormat="1" s="354">
      <c r="A465" s="345" t="n"/>
      <c r="B465" s="581" t="n"/>
      <c r="C465" s="582" t="n"/>
      <c r="D465" s="583" t="n"/>
      <c r="E465" s="584" t="n"/>
      <c r="F465" s="350" t="n"/>
      <c r="G465" s="350" t="n"/>
      <c r="H465" s="350" t="n"/>
      <c r="I465" s="350" t="n"/>
      <c r="J465" s="350" t="n"/>
      <c r="K465" s="351" t="n"/>
      <c r="L465" s="355" t="inlineStr">
        <is>
          <t>2841000180501_【ＱＣＳ】鶏めし４.xlsx</t>
        </is>
      </c>
      <c r="M465" s="350" t="n"/>
      <c r="N465" s="344" t="n"/>
      <c r="O465" s="344" t="n"/>
      <c r="P465" s="344" t="n"/>
      <c r="Q465" s="344" t="n"/>
      <c r="R465" s="344" t="n"/>
      <c r="S465" s="344" t="n"/>
      <c r="T465" s="344" t="n"/>
      <c r="U465" s="344" t="n"/>
      <c r="V465" s="344" t="n"/>
      <c r="W465" s="344" t="n"/>
    </row>
    <row r="466" customFormat="1" s="354">
      <c r="A466" s="345" t="n"/>
      <c r="B466" s="581" t="n"/>
      <c r="C466" s="582" t="n"/>
      <c r="D466" s="583" t="n"/>
      <c r="E466" s="584" t="n"/>
      <c r="F466" s="350" t="n"/>
      <c r="G466" s="350" t="n"/>
      <c r="H466" s="350" t="n"/>
      <c r="I466" s="350" t="n"/>
      <c r="J466" s="350" t="n"/>
      <c r="K466" s="351" t="n"/>
      <c r="L466" s="350" t="n"/>
      <c r="M466" s="350" t="n"/>
      <c r="N466" s="344" t="n"/>
      <c r="O466" s="344" t="n"/>
      <c r="P466" s="344" t="n"/>
      <c r="Q466" s="344" t="n"/>
      <c r="R466" s="344" t="n"/>
      <c r="S466" s="344" t="n"/>
      <c r="T466" s="344" t="n"/>
      <c r="U466" s="344" t="n"/>
      <c r="V466" s="344" t="n"/>
      <c r="W466" s="344" t="n"/>
    </row>
    <row r="467" customFormat="1" s="354">
      <c r="A467" s="345" t="n"/>
      <c r="B467" s="581" t="n"/>
      <c r="C467" s="582" t="n"/>
      <c r="D467" s="583" t="n"/>
      <c r="E467" s="584" t="n"/>
      <c r="F467" s="350" t="n"/>
      <c r="G467" s="350" t="n"/>
      <c r="H467" s="350" t="n"/>
      <c r="I467" s="350" t="n"/>
      <c r="J467" s="350" t="n"/>
      <c r="K467" s="351" t="n"/>
      <c r="L467" s="350" t="n"/>
      <c r="M467" s="350" t="n"/>
      <c r="N467" s="344" t="n"/>
      <c r="O467" s="344" t="n"/>
      <c r="P467" s="344" t="n"/>
      <c r="Q467" s="344" t="n"/>
      <c r="R467" s="344" t="n"/>
      <c r="S467" s="344" t="n"/>
      <c r="T467" s="344" t="n"/>
      <c r="U467" s="344" t="n"/>
      <c r="V467" s="344" t="n"/>
      <c r="W467" s="344" t="n"/>
    </row>
    <row r="468" customFormat="1" s="354">
      <c r="A468" s="345" t="n"/>
      <c r="B468" s="581" t="n"/>
      <c r="C468" s="582" t="n"/>
      <c r="D468" s="583" t="n"/>
      <c r="E468" s="584" t="n"/>
      <c r="F468" s="350" t="n"/>
      <c r="G468" s="350" t="n"/>
      <c r="H468" s="350" t="n"/>
      <c r="I468" s="350" t="n"/>
      <c r="J468" s="350" t="n"/>
      <c r="K468" s="351" t="n"/>
      <c r="L468" s="350" t="n"/>
      <c r="M468" s="350" t="n"/>
      <c r="N468" s="344" t="n"/>
      <c r="O468" s="344" t="n"/>
      <c r="P468" s="344" t="n"/>
      <c r="Q468" s="344" t="n"/>
      <c r="R468" s="344" t="n"/>
      <c r="S468" s="344" t="n"/>
      <c r="T468" s="344" t="n"/>
      <c r="U468" s="344" t="n"/>
      <c r="V468" s="344" t="n"/>
      <c r="W468" s="344" t="n"/>
    </row>
    <row r="469" customFormat="1" s="354">
      <c r="A469" s="345" t="n"/>
      <c r="B469" s="581" t="n"/>
      <c r="C469" s="582" t="n"/>
      <c r="D469" s="583" t="n"/>
      <c r="E469" s="588" t="n"/>
      <c r="F469" s="350" t="n"/>
      <c r="G469" s="350" t="n"/>
      <c r="H469" s="350" t="n"/>
      <c r="I469" s="350" t="n"/>
      <c r="J469" s="350" t="n"/>
      <c r="K469" s="351" t="n"/>
      <c r="L469" s="350" t="n"/>
      <c r="M469" s="350" t="n"/>
      <c r="N469" s="344" t="n"/>
      <c r="O469" s="344" t="n"/>
      <c r="P469" s="344" t="n"/>
      <c r="Q469" s="344" t="n"/>
      <c r="R469" s="344" t="n"/>
      <c r="S469" s="344" t="n"/>
      <c r="T469" s="344" t="n"/>
      <c r="U469" s="344" t="n"/>
      <c r="V469" s="344" t="n"/>
      <c r="W469" s="344" t="n"/>
    </row>
    <row r="470" customFormat="1" s="354">
      <c r="A470" s="345" t="n"/>
      <c r="B470" s="581" t="n"/>
      <c r="C470" s="582" t="n"/>
      <c r="D470" s="583" t="n"/>
      <c r="E470" s="584" t="n"/>
      <c r="F470" s="350" t="n"/>
      <c r="G470" s="350" t="n"/>
      <c r="H470" s="350" t="n"/>
      <c r="I470" s="350" t="n"/>
      <c r="J470" s="350" t="n"/>
      <c r="K470" s="351" t="n"/>
      <c r="L470" s="350" t="n"/>
      <c r="M470" s="350" t="n"/>
      <c r="N470" s="344" t="n"/>
      <c r="O470" s="344" t="n"/>
      <c r="P470" s="344" t="n"/>
      <c r="Q470" s="344" t="n"/>
      <c r="R470" s="344" t="n"/>
      <c r="S470" s="344" t="n"/>
      <c r="T470" s="344" t="n"/>
      <c r="U470" s="344" t="n"/>
      <c r="V470" s="344" t="n"/>
      <c r="W470" s="344" t="n"/>
    </row>
    <row r="471" customFormat="1" s="354">
      <c r="A471" s="345" t="n"/>
      <c r="B471" s="581" t="n"/>
      <c r="C471" s="582" t="n"/>
      <c r="D471" s="583" t="n"/>
      <c r="E471" s="584" t="n"/>
      <c r="F471" s="350" t="n"/>
      <c r="G471" s="350" t="n"/>
      <c r="H471" s="350" t="n"/>
      <c r="I471" s="350" t="n"/>
      <c r="J471" s="350" t="n"/>
      <c r="K471" s="351" t="n"/>
      <c r="L471" s="350" t="n"/>
      <c r="M471" s="350" t="n"/>
      <c r="N471" s="344" t="n"/>
      <c r="O471" s="344" t="n"/>
      <c r="P471" s="344" t="n"/>
      <c r="Q471" s="344" t="n"/>
      <c r="R471" s="344" t="n"/>
      <c r="S471" s="344" t="n"/>
      <c r="T471" s="344" t="n"/>
      <c r="U471" s="344" t="n"/>
      <c r="V471" s="344" t="n"/>
      <c r="W471" s="344" t="n"/>
    </row>
    <row r="472" customFormat="1" s="354">
      <c r="A472" s="345" t="n"/>
      <c r="B472" s="581" t="n"/>
      <c r="C472" s="582" t="n"/>
      <c r="D472" s="583" t="n"/>
      <c r="E472" s="584" t="n"/>
      <c r="F472" s="350" t="n"/>
      <c r="G472" s="350" t="n"/>
      <c r="H472" s="350" t="n"/>
      <c r="I472" s="350" t="n"/>
      <c r="J472" s="350" t="n"/>
      <c r="K472" s="351" t="n"/>
      <c r="L472" s="350" t="n"/>
      <c r="M472" s="350" t="n"/>
      <c r="N472" s="344" t="n"/>
      <c r="O472" s="344" t="n"/>
      <c r="P472" s="344" t="n"/>
      <c r="Q472" s="344" t="n"/>
      <c r="R472" s="344" t="n"/>
      <c r="S472" s="344" t="n"/>
      <c r="T472" s="344" t="n"/>
      <c r="U472" s="344" t="n"/>
      <c r="V472" s="344" t="n"/>
      <c r="W472" s="344" t="n"/>
    </row>
    <row r="473" customFormat="1" s="354">
      <c r="A473" s="345" t="n"/>
      <c r="B473" s="581" t="n"/>
      <c r="C473" s="582" t="n"/>
      <c r="D473" s="583" t="n"/>
      <c r="E473" s="584" t="n"/>
      <c r="F473" s="350" t="n"/>
      <c r="G473" s="350" t="n"/>
      <c r="H473" s="350" t="n"/>
      <c r="I473" s="350" t="n"/>
      <c r="J473" s="350" t="n"/>
      <c r="K473" s="351" t="n"/>
      <c r="L473" s="355" t="inlineStr">
        <is>
          <t>2841000180402_【ＱＣＳ】鶏めし用具材（鶏めし４）.xlsx</t>
        </is>
      </c>
      <c r="M473" s="350" t="n"/>
      <c r="N473" s="344" t="n"/>
      <c r="O473" s="344" t="n"/>
      <c r="P473" s="344" t="n"/>
      <c r="Q473" s="344" t="n"/>
      <c r="R473" s="344" t="n"/>
      <c r="S473" s="344" t="n"/>
      <c r="T473" s="344" t="n"/>
      <c r="U473" s="344" t="n"/>
      <c r="V473" s="344" t="n"/>
      <c r="W473" s="344" t="n"/>
    </row>
    <row r="474" customFormat="1" s="354">
      <c r="A474" s="345" t="n"/>
      <c r="B474" s="581" t="n"/>
      <c r="C474" s="582" t="n"/>
      <c r="D474" s="583" t="n"/>
      <c r="E474" s="584" t="n"/>
      <c r="F474" s="350" t="n"/>
      <c r="G474" s="350" t="n"/>
      <c r="H474" s="350" t="n"/>
      <c r="I474" s="350" t="n"/>
      <c r="J474" s="350" t="n"/>
      <c r="K474" s="351" t="n"/>
      <c r="L474" s="355" t="inlineStr">
        <is>
          <t>2841000180419_【ＱＣＳ】鶏めし用ご飯（鶏めし４）.xlsx</t>
        </is>
      </c>
      <c r="M474" s="350" t="n"/>
      <c r="N474" s="344" t="n"/>
      <c r="O474" s="344" t="n"/>
      <c r="P474" s="344" t="n"/>
      <c r="Q474" s="344" t="n"/>
      <c r="R474" s="344" t="n"/>
      <c r="S474" s="344" t="n"/>
      <c r="T474" s="344" t="n"/>
      <c r="U474" s="344" t="n"/>
      <c r="V474" s="344" t="n"/>
      <c r="W474" s="344" t="n"/>
    </row>
    <row r="475" customFormat="1" s="354">
      <c r="A475" s="345" t="n"/>
      <c r="B475" s="581" t="n"/>
      <c r="C475" s="582" t="n"/>
      <c r="D475" s="583" t="n"/>
      <c r="E475" s="584" t="n"/>
      <c r="F475" s="350" t="n"/>
      <c r="G475" s="350" t="n"/>
      <c r="H475" s="350" t="n"/>
      <c r="I475" s="350" t="n"/>
      <c r="J475" s="350" t="n"/>
      <c r="K475" s="351" t="n"/>
      <c r="L475" s="355" t="inlineStr">
        <is>
          <t>2841000180501_【ＱＣＳ】鶏めし４.xlsx</t>
        </is>
      </c>
      <c r="M475" s="350" t="n"/>
      <c r="N475" s="344" t="n"/>
      <c r="O475" s="344" t="n"/>
      <c r="P475" s="344" t="n"/>
      <c r="Q475" s="344" t="n"/>
      <c r="R475" s="344" t="n"/>
      <c r="S475" s="344" t="n"/>
      <c r="T475" s="344" t="n"/>
      <c r="U475" s="344" t="n"/>
      <c r="V475" s="344" t="n"/>
      <c r="W475" s="344" t="n"/>
    </row>
    <row r="476" customFormat="1" s="354">
      <c r="A476" s="345" t="n"/>
      <c r="B476" s="581" t="n"/>
      <c r="C476" s="582" t="n"/>
      <c r="D476" s="583" t="n"/>
      <c r="E476" s="584" t="n"/>
      <c r="F476" s="350" t="n"/>
      <c r="G476" s="350" t="n"/>
      <c r="H476" s="350" t="n"/>
      <c r="I476" s="350" t="n"/>
      <c r="J476" s="350" t="n"/>
      <c r="K476" s="351" t="n"/>
      <c r="L476" s="350" t="n"/>
      <c r="M476" s="350" t="n"/>
      <c r="N476" s="344" t="n"/>
      <c r="O476" s="344" t="n"/>
      <c r="P476" s="344" t="n"/>
      <c r="Q476" s="344" t="n"/>
      <c r="R476" s="344" t="n"/>
      <c r="S476" s="344" t="n"/>
      <c r="T476" s="344" t="n"/>
      <c r="U476" s="344" t="n"/>
      <c r="V476" s="344" t="n"/>
      <c r="W476" s="344" t="n"/>
    </row>
    <row r="477" customFormat="1" s="354">
      <c r="A477" s="345" t="n"/>
      <c r="B477" s="581" t="n"/>
      <c r="C477" s="582" t="n"/>
      <c r="D477" s="583" t="n"/>
      <c r="E477" s="584" t="n"/>
      <c r="F477" s="350" t="n"/>
      <c r="G477" s="350" t="n"/>
      <c r="H477" s="350" t="n"/>
      <c r="I477" s="350" t="n"/>
      <c r="J477" s="350" t="n"/>
      <c r="K477" s="351" t="n"/>
      <c r="L477" s="350" t="n"/>
      <c r="M477" s="350" t="n"/>
      <c r="N477" s="344" t="n"/>
      <c r="O477" s="344" t="n"/>
      <c r="P477" s="344" t="n"/>
      <c r="Q477" s="344" t="n"/>
      <c r="R477" s="344" t="n"/>
      <c r="S477" s="344" t="n"/>
      <c r="T477" s="344" t="n"/>
      <c r="U477" s="344" t="n"/>
      <c r="V477" s="344" t="n"/>
      <c r="W477" s="344" t="n"/>
    </row>
    <row r="478" customFormat="1" s="354">
      <c r="A478" s="345" t="n"/>
      <c r="B478" s="581" t="n"/>
      <c r="C478" s="582" t="n"/>
      <c r="D478" s="583" t="n"/>
      <c r="E478" s="588" t="n"/>
      <c r="F478" s="350" t="n"/>
      <c r="G478" s="350" t="n"/>
      <c r="H478" s="350" t="n"/>
      <c r="I478" s="350" t="n"/>
      <c r="J478" s="350" t="n"/>
      <c r="K478" s="351" t="n"/>
      <c r="L478" s="350" t="n"/>
      <c r="M478" s="350" t="n"/>
      <c r="N478" s="344" t="n"/>
      <c r="O478" s="344" t="n"/>
      <c r="P478" s="344" t="n"/>
      <c r="Q478" s="344" t="n"/>
      <c r="R478" s="344" t="n"/>
      <c r="S478" s="344" t="n"/>
      <c r="T478" s="344" t="n"/>
      <c r="U478" s="344" t="n"/>
      <c r="V478" s="344" t="n"/>
      <c r="W478" s="344" t="n"/>
    </row>
    <row r="479" customFormat="1" s="354">
      <c r="A479" s="345" t="n"/>
      <c r="B479" s="581" t="n"/>
      <c r="C479" s="582" t="n"/>
      <c r="D479" s="583" t="n"/>
      <c r="E479" s="584" t="n"/>
      <c r="F479" s="350" t="n"/>
      <c r="G479" s="350" t="n"/>
      <c r="H479" s="350" t="n"/>
      <c r="I479" s="350" t="n"/>
      <c r="J479" s="350" t="n"/>
      <c r="K479" s="351" t="n"/>
      <c r="L479" s="350" t="n"/>
      <c r="M479" s="350" t="n"/>
      <c r="N479" s="344" t="n"/>
      <c r="O479" s="344" t="n"/>
      <c r="P479" s="344" t="n"/>
      <c r="Q479" s="344" t="n"/>
      <c r="R479" s="344" t="n"/>
      <c r="S479" s="344" t="n"/>
      <c r="T479" s="344" t="n"/>
      <c r="U479" s="344" t="n"/>
      <c r="V479" s="344" t="n"/>
      <c r="W479" s="344" t="n"/>
    </row>
    <row r="480" customFormat="1" s="354">
      <c r="A480" s="345" t="n"/>
      <c r="B480" s="581" t="n"/>
      <c r="C480" s="582" t="n"/>
      <c r="D480" s="583" t="n"/>
      <c r="E480" s="584" t="n"/>
      <c r="F480" s="350" t="n"/>
      <c r="G480" s="350" t="n"/>
      <c r="H480" s="350" t="n"/>
      <c r="I480" s="350" t="n"/>
      <c r="J480" s="350" t="n"/>
      <c r="K480" s="351" t="n"/>
      <c r="L480" s="350" t="n"/>
      <c r="M480" s="350" t="n"/>
      <c r="N480" s="344" t="n"/>
      <c r="O480" s="344" t="n"/>
      <c r="P480" s="344" t="n"/>
      <c r="Q480" s="344" t="n"/>
      <c r="R480" s="344" t="n"/>
      <c r="S480" s="344" t="n"/>
      <c r="T480" s="344" t="n"/>
      <c r="U480" s="344" t="n"/>
      <c r="V480" s="344" t="n"/>
      <c r="W480" s="344" t="n"/>
    </row>
    <row r="481" customFormat="1" s="354">
      <c r="A481" s="345" t="n"/>
      <c r="B481" s="581" t="n"/>
      <c r="C481" s="582" t="n"/>
      <c r="D481" s="583" t="n"/>
      <c r="E481" s="584" t="n"/>
      <c r="F481" s="350" t="n"/>
      <c r="G481" s="350" t="n"/>
      <c r="H481" s="350" t="n"/>
      <c r="I481" s="350" t="n"/>
      <c r="J481" s="350" t="n"/>
      <c r="K481" s="351" t="n"/>
      <c r="L481" s="350" t="n"/>
      <c r="M481" s="350" t="n"/>
      <c r="N481" s="344" t="n"/>
      <c r="O481" s="344" t="n"/>
      <c r="P481" s="344" t="n"/>
      <c r="Q481" s="344" t="n"/>
      <c r="R481" s="344" t="n"/>
      <c r="S481" s="344" t="n"/>
      <c r="T481" s="344" t="n"/>
      <c r="U481" s="344" t="n"/>
      <c r="V481" s="344" t="n"/>
      <c r="W481" s="344" t="n"/>
    </row>
    <row r="482" ht="18" customFormat="1" customHeight="1" s="354">
      <c r="A482" s="345" t="n"/>
      <c r="B482" s="581" t="n"/>
      <c r="C482" s="582" t="n"/>
      <c r="D482" s="583" t="n"/>
      <c r="E482" s="584" t="n"/>
      <c r="F482" s="350" t="n"/>
      <c r="G482" s="350" t="n"/>
      <c r="H482" s="350" t="n"/>
      <c r="I482" s="350" t="n"/>
      <c r="J482" s="350" t="n"/>
      <c r="K482" s="351" t="n"/>
      <c r="L482" s="350" t="n"/>
      <c r="M482" s="350" t="n"/>
      <c r="N482" s="344" t="n"/>
      <c r="O482" s="344" t="n"/>
      <c r="P482" s="344" t="n"/>
      <c r="Q482" s="344" t="n"/>
      <c r="R482" s="344" t="n"/>
      <c r="S482" s="344" t="n"/>
      <c r="T482" s="344" t="n"/>
      <c r="U482" s="344" t="n"/>
      <c r="V482" s="344" t="n"/>
      <c r="W482" s="344" t="n"/>
    </row>
    <row r="483" ht="18" customFormat="1" customHeight="1" s="354">
      <c r="A483" s="345" t="n"/>
      <c r="B483" s="581" t="n"/>
      <c r="C483" s="582" t="n"/>
      <c r="D483" s="583" t="n"/>
      <c r="E483" s="584" t="n"/>
      <c r="F483" s="350" t="n"/>
      <c r="G483" s="350" t="n"/>
      <c r="H483" s="350" t="n"/>
      <c r="I483" s="350" t="n"/>
      <c r="J483" s="350" t="n"/>
      <c r="K483" s="351" t="n"/>
      <c r="L483" s="350" t="n"/>
      <c r="M483" s="350" t="n"/>
      <c r="N483" s="344" t="n"/>
      <c r="O483" s="344" t="n"/>
      <c r="P483" s="344" t="n"/>
      <c r="Q483" s="344" t="n"/>
      <c r="R483" s="344" t="n"/>
      <c r="S483" s="344" t="n"/>
      <c r="T483" s="344" t="n"/>
      <c r="U483" s="344" t="n"/>
      <c r="V483" s="344" t="n"/>
      <c r="W483" s="344" t="n"/>
    </row>
    <row r="484" ht="18" customFormat="1" customHeight="1" s="354">
      <c r="A484" s="345" t="n"/>
      <c r="B484" s="581" t="n"/>
      <c r="C484" s="582" t="n"/>
      <c r="D484" s="583" t="n"/>
      <c r="E484" s="584" t="n"/>
      <c r="F484" s="350" t="n"/>
      <c r="G484" s="350" t="n"/>
      <c r="H484" s="350" t="n"/>
      <c r="I484" s="350" t="n"/>
      <c r="J484" s="350" t="n"/>
      <c r="K484" s="351" t="n"/>
      <c r="L484" s="350" t="n"/>
      <c r="M484" s="350" t="n"/>
      <c r="N484" s="344" t="n"/>
      <c r="O484" s="344" t="n"/>
      <c r="P484" s="344" t="n"/>
      <c r="Q484" s="344" t="n"/>
      <c r="R484" s="344" t="n"/>
      <c r="S484" s="344" t="n"/>
      <c r="T484" s="344" t="n"/>
      <c r="U484" s="344" t="n"/>
      <c r="V484" s="344" t="n"/>
      <c r="W484" s="344" t="n"/>
    </row>
    <row r="485" ht="18" customFormat="1" customHeight="1" s="354">
      <c r="A485" s="345" t="n"/>
      <c r="B485" s="581" t="n"/>
      <c r="C485" s="582" t="n"/>
      <c r="D485" s="583" t="n"/>
      <c r="E485" s="584" t="n"/>
      <c r="F485" s="350" t="n"/>
      <c r="G485" s="350" t="n"/>
      <c r="H485" s="350" t="n"/>
      <c r="I485" s="350" t="n"/>
      <c r="J485" s="350" t="n"/>
      <c r="K485" s="351" t="n"/>
      <c r="L485" s="350" t="n"/>
      <c r="M485" s="350" t="n"/>
      <c r="N485" s="344" t="n"/>
      <c r="O485" s="344" t="n"/>
      <c r="P485" s="344" t="n"/>
      <c r="Q485" s="344" t="n"/>
      <c r="R485" s="344" t="n"/>
      <c r="S485" s="344" t="n"/>
      <c r="T485" s="344" t="n"/>
      <c r="U485" s="344" t="n"/>
      <c r="V485" s="344" t="n"/>
      <c r="W485" s="344" t="n"/>
    </row>
    <row r="486" customFormat="1" s="354">
      <c r="A486" s="345" t="n"/>
      <c r="B486" s="581" t="n"/>
      <c r="C486" s="582" t="n"/>
      <c r="D486" s="583" t="n"/>
      <c r="E486" s="588" t="n"/>
      <c r="F486" s="350" t="n"/>
      <c r="G486" s="350" t="n"/>
      <c r="H486" s="350" t="n"/>
      <c r="I486" s="350" t="n"/>
      <c r="J486" s="350" t="n"/>
      <c r="K486" s="351" t="n"/>
      <c r="L486" s="350" t="n"/>
      <c r="M486" s="350" t="n"/>
      <c r="N486" s="344" t="n"/>
      <c r="O486" s="344" t="n"/>
      <c r="P486" s="344" t="n"/>
      <c r="Q486" s="344" t="n"/>
      <c r="R486" s="344" t="n"/>
      <c r="S486" s="344" t="n"/>
      <c r="T486" s="344" t="n"/>
      <c r="U486" s="344" t="n"/>
      <c r="V486" s="344" t="n"/>
      <c r="W486" s="344" t="n"/>
    </row>
    <row r="487" customFormat="1" s="354">
      <c r="A487" s="345" t="n"/>
      <c r="B487" s="581" t="n"/>
      <c r="C487" s="582" t="n"/>
      <c r="D487" s="583" t="n"/>
      <c r="E487" s="584" t="n"/>
      <c r="F487" s="350" t="n"/>
      <c r="G487" s="350" t="n"/>
      <c r="H487" s="350" t="n"/>
      <c r="I487" s="350" t="n"/>
      <c r="J487" s="350" t="n"/>
      <c r="K487" s="351" t="n"/>
      <c r="L487" s="350" t="n"/>
      <c r="M487" s="350" t="n"/>
      <c r="N487" s="344" t="n"/>
      <c r="O487" s="344" t="n"/>
      <c r="P487" s="344" t="n"/>
      <c r="Q487" s="344" t="n"/>
      <c r="R487" s="344" t="n"/>
      <c r="S487" s="344" t="n"/>
      <c r="T487" s="344" t="n"/>
      <c r="U487" s="344" t="n"/>
      <c r="V487" s="344" t="n"/>
      <c r="W487" s="344" t="n"/>
    </row>
    <row r="488" customFormat="1" s="354">
      <c r="A488" s="345" t="n"/>
      <c r="B488" s="581" t="n"/>
      <c r="C488" s="582" t="n"/>
      <c r="D488" s="583" t="n"/>
      <c r="E488" s="584" t="n"/>
      <c r="F488" s="350" t="n"/>
      <c r="G488" s="350" t="n"/>
      <c r="H488" s="350" t="n"/>
      <c r="I488" s="350" t="n"/>
      <c r="J488" s="350" t="n"/>
      <c r="K488" s="351" t="n"/>
      <c r="L488" s="350" t="n"/>
      <c r="M488" s="350" t="n"/>
      <c r="N488" s="344" t="n"/>
      <c r="O488" s="344" t="n"/>
      <c r="P488" s="344" t="n"/>
      <c r="Q488" s="344" t="n"/>
      <c r="R488" s="344" t="n"/>
      <c r="S488" s="344" t="n"/>
      <c r="T488" s="344" t="n"/>
      <c r="U488" s="344" t="n"/>
      <c r="V488" s="344" t="n"/>
      <c r="W488" s="344" t="n"/>
    </row>
    <row r="489" ht="18" customFormat="1" customHeight="1" s="354">
      <c r="A489" s="345" t="n"/>
      <c r="B489" s="581" t="n"/>
      <c r="C489" s="582" t="n"/>
      <c r="D489" s="583" t="n"/>
      <c r="E489" s="584" t="n"/>
      <c r="F489" s="350" t="n"/>
      <c r="G489" s="350" t="n"/>
      <c r="H489" s="350" t="n"/>
      <c r="I489" s="350" t="n"/>
      <c r="J489" s="350" t="n"/>
      <c r="K489" s="351" t="n"/>
      <c r="L489" s="350" t="n"/>
      <c r="M489" s="350" t="n"/>
      <c r="N489" s="344" t="n"/>
      <c r="O489" s="344" t="n"/>
      <c r="P489" s="344" t="n"/>
      <c r="Q489" s="344" t="n"/>
      <c r="R489" s="344" t="n"/>
      <c r="S489" s="344" t="n"/>
      <c r="T489" s="344" t="n"/>
      <c r="U489" s="344" t="n"/>
      <c r="V489" s="344" t="n"/>
      <c r="W489" s="344" t="n"/>
    </row>
    <row r="490" ht="18" customFormat="1" customHeight="1" s="354">
      <c r="A490" s="345" t="n"/>
      <c r="B490" s="581" t="n"/>
      <c r="C490" s="582" t="n"/>
      <c r="D490" s="583" t="n"/>
      <c r="E490" s="584" t="n"/>
      <c r="F490" s="350" t="n"/>
      <c r="G490" s="350" t="n"/>
      <c r="H490" s="350" t="n"/>
      <c r="I490" s="350" t="n"/>
      <c r="J490" s="350" t="n"/>
      <c r="K490" s="351" t="n"/>
      <c r="L490" s="350" t="n"/>
      <c r="M490" s="350" t="n"/>
      <c r="N490" s="344" t="n"/>
      <c r="O490" s="344" t="n"/>
      <c r="P490" s="344" t="n"/>
      <c r="Q490" s="344" t="n"/>
      <c r="R490" s="344" t="n"/>
      <c r="S490" s="344" t="n"/>
      <c r="T490" s="344" t="n"/>
      <c r="U490" s="344" t="n"/>
      <c r="V490" s="344" t="n"/>
      <c r="W490" s="344" t="n"/>
    </row>
    <row r="491" ht="18" customFormat="1" customHeight="1" s="354">
      <c r="A491" s="345" t="n"/>
      <c r="B491" s="581" t="n"/>
      <c r="C491" s="582" t="n"/>
      <c r="D491" s="583" t="n"/>
      <c r="E491" s="584" t="n"/>
      <c r="F491" s="350" t="n"/>
      <c r="G491" s="350" t="n"/>
      <c r="H491" s="350" t="n"/>
      <c r="I491" s="350" t="n"/>
      <c r="J491" s="350" t="n"/>
      <c r="K491" s="351" t="n"/>
      <c r="L491" s="350" t="n"/>
      <c r="M491" s="350" t="n"/>
      <c r="N491" s="344" t="n"/>
      <c r="O491" s="344" t="n"/>
      <c r="P491" s="344" t="n"/>
      <c r="Q491" s="344" t="n"/>
      <c r="R491" s="344" t="n"/>
      <c r="S491" s="344" t="n"/>
      <c r="T491" s="344" t="n"/>
      <c r="U491" s="344" t="n"/>
      <c r="V491" s="344" t="n"/>
      <c r="W491" s="344" t="n"/>
    </row>
    <row r="492" ht="18" customFormat="1" customHeight="1" s="354">
      <c r="A492" s="345" t="n"/>
      <c r="B492" s="581" t="n"/>
      <c r="C492" s="582" t="n"/>
      <c r="D492" s="583" t="n"/>
      <c r="E492" s="584" t="n"/>
      <c r="F492" s="350" t="n"/>
      <c r="G492" s="350" t="n"/>
      <c r="H492" s="350" t="n"/>
      <c r="I492" s="350" t="n"/>
      <c r="J492" s="350" t="n"/>
      <c r="K492" s="351" t="n"/>
      <c r="L492" s="350" t="n"/>
      <c r="M492" s="350" t="n"/>
      <c r="N492" s="344" t="n"/>
      <c r="O492" s="344" t="n"/>
      <c r="P492" s="344" t="n"/>
      <c r="Q492" s="344" t="n"/>
      <c r="R492" s="344" t="n"/>
      <c r="S492" s="344" t="n"/>
      <c r="T492" s="344" t="n"/>
      <c r="U492" s="344" t="n"/>
      <c r="V492" s="344" t="n"/>
      <c r="W492" s="344" t="n"/>
    </row>
    <row r="493" ht="18" customFormat="1" customHeight="1" s="354">
      <c r="A493" s="345" t="n"/>
      <c r="B493" s="581" t="n"/>
      <c r="C493" s="582" t="n"/>
      <c r="D493" s="583" t="n"/>
      <c r="E493" s="588" t="n"/>
      <c r="F493" s="350" t="n"/>
      <c r="G493" s="350" t="n"/>
      <c r="H493" s="350" t="n"/>
      <c r="I493" s="350" t="n"/>
      <c r="J493" s="350" t="n"/>
      <c r="K493" s="351" t="n"/>
      <c r="L493" s="350" t="n"/>
      <c r="M493" s="350" t="n"/>
      <c r="N493" s="344" t="n"/>
      <c r="O493" s="344" t="n"/>
      <c r="P493" s="344" t="n"/>
      <c r="Q493" s="344" t="n"/>
      <c r="R493" s="344" t="n"/>
      <c r="S493" s="344" t="n"/>
      <c r="T493" s="344" t="n"/>
      <c r="U493" s="344" t="n"/>
      <c r="V493" s="344" t="n"/>
      <c r="W493" s="344" t="n"/>
    </row>
    <row r="494" ht="18" customHeight="1" s="438">
      <c r="A494" s="345" t="n"/>
      <c r="B494" s="581" t="n"/>
      <c r="C494" s="582" t="n"/>
      <c r="D494" s="583" t="n"/>
      <c r="E494" s="584" t="n"/>
      <c r="F494" s="350" t="n"/>
      <c r="G494" s="350" t="n"/>
      <c r="H494" s="350" t="n"/>
      <c r="I494" s="350" t="n"/>
      <c r="J494" s="350" t="n"/>
      <c r="K494" s="351" t="n"/>
      <c r="L494" s="350" t="n"/>
      <c r="M494" s="350" t="n"/>
    </row>
    <row r="495" ht="18" customHeight="1" s="438">
      <c r="A495" s="345" t="n"/>
      <c r="B495" s="581" t="n"/>
      <c r="C495" s="582" t="n"/>
      <c r="D495" s="583" t="n"/>
      <c r="E495" s="584" t="n"/>
      <c r="F495" s="350" t="n"/>
      <c r="G495" s="350" t="n"/>
      <c r="H495" s="350" t="n"/>
      <c r="I495" s="350" t="n"/>
      <c r="J495" s="350" t="n"/>
      <c r="K495" s="351" t="n"/>
      <c r="L495" s="350" t="n"/>
      <c r="M495" s="350" t="n"/>
    </row>
    <row r="496" ht="18" customHeight="1" s="438">
      <c r="A496" s="345" t="n"/>
      <c r="B496" s="581" t="n"/>
      <c r="C496" s="582" t="n"/>
      <c r="D496" s="583" t="n"/>
      <c r="E496" s="584" t="n"/>
      <c r="F496" s="350" t="n"/>
      <c r="G496" s="350" t="n"/>
      <c r="H496" s="350" t="n"/>
      <c r="I496" s="350" t="n"/>
      <c r="J496" s="350" t="n"/>
      <c r="K496" s="351" t="n"/>
      <c r="L496" s="350" t="n"/>
      <c r="M496" s="350" t="n"/>
    </row>
    <row r="497" ht="18" customHeight="1" s="438">
      <c r="A497" s="345" t="n"/>
      <c r="B497" s="581" t="n"/>
      <c r="C497" s="582" t="n"/>
      <c r="D497" s="583" t="n"/>
      <c r="E497" s="584" t="n"/>
      <c r="F497" s="350" t="n"/>
      <c r="G497" s="350" t="n"/>
      <c r="H497" s="350" t="n"/>
      <c r="I497" s="350" t="n"/>
      <c r="J497" s="350" t="n"/>
      <c r="K497" s="351" t="n"/>
      <c r="L497" s="355" t="inlineStr">
        <is>
          <t>2841000168738_【ＱＣＳ】ツナマヨ調合.xlsx</t>
        </is>
      </c>
      <c r="M497" s="350" t="n"/>
    </row>
    <row r="498" ht="18" customHeight="1" s="438">
      <c r="A498" s="345" t="n"/>
      <c r="B498" s="581" t="n"/>
      <c r="C498" s="582" t="n"/>
      <c r="D498" s="583" t="n"/>
      <c r="E498" s="584" t="n"/>
      <c r="F498" s="350" t="n"/>
      <c r="G498" s="350" t="n"/>
      <c r="H498" s="350" t="n"/>
      <c r="I498" s="350" t="n"/>
      <c r="J498" s="350" t="n"/>
      <c r="K498" s="351" t="n"/>
      <c r="L498" s="355" t="inlineStr">
        <is>
          <t>2841000174401_【ＱＣＳ】高菜炒め.xlsx</t>
        </is>
      </c>
      <c r="M498" s="350" t="n"/>
    </row>
    <row r="499" ht="18" customHeight="1" s="438">
      <c r="A499" s="345" t="n"/>
      <c r="B499" s="581" t="n"/>
      <c r="C499" s="582" t="n"/>
      <c r="D499" s="583" t="n"/>
      <c r="E499" s="584" t="n"/>
      <c r="F499" s="350" t="n"/>
      <c r="G499" s="350" t="n"/>
      <c r="H499" s="350" t="n"/>
      <c r="I499" s="350" t="n"/>
      <c r="J499" s="350" t="n"/>
      <c r="K499" s="351" t="n"/>
      <c r="L499" s="355" t="inlineStr">
        <is>
          <t>2841000174401_【ＱＣＳ】高菜炒め.xlsx</t>
        </is>
      </c>
      <c r="M499" s="350" t="n"/>
    </row>
    <row r="500" ht="18" customHeight="1" s="438">
      <c r="A500" s="345" t="n"/>
      <c r="B500" s="581" t="n"/>
      <c r="C500" s="582" t="n"/>
      <c r="D500" s="583" t="n"/>
      <c r="E500" s="584" t="n"/>
      <c r="F500" s="350" t="n"/>
      <c r="G500" s="350" t="n"/>
      <c r="H500" s="350" t="n"/>
      <c r="I500" s="350" t="n"/>
      <c r="J500" s="350" t="n"/>
      <c r="K500" s="351" t="n"/>
      <c r="L500" s="355" t="inlineStr">
        <is>
          <t>2841000174593_【ＱＣＳ】高菜炒め（チャーハン用）.xlsx</t>
        </is>
      </c>
      <c r="M500" s="350" t="n"/>
    </row>
    <row r="501" ht="18" customHeight="1" s="438">
      <c r="A501" s="345" t="n"/>
      <c r="B501" s="581" t="n"/>
      <c r="C501" s="582" t="n"/>
      <c r="D501" s="583" t="n"/>
      <c r="E501" s="584" t="n"/>
      <c r="F501" s="350" t="n"/>
      <c r="G501" s="350" t="n"/>
      <c r="H501" s="350" t="n"/>
      <c r="I501" s="350" t="n"/>
      <c r="J501" s="350" t="n"/>
      <c r="K501" s="351" t="n"/>
      <c r="L501" s="355" t="inlineStr">
        <is>
          <t>2841000174593_【ＱＣＳ】高菜炒め（チャーハン用）.xlsx</t>
        </is>
      </c>
      <c r="M501" s="350" t="n"/>
    </row>
    <row r="502" ht="18" customHeight="1" s="438">
      <c r="A502" s="345" t="n"/>
      <c r="B502" s="581" t="n"/>
      <c r="C502" s="582" t="n"/>
      <c r="D502" s="583" t="n"/>
      <c r="E502" s="584" t="n"/>
      <c r="F502" s="350" t="n"/>
      <c r="G502" s="350" t="n"/>
      <c r="H502" s="350" t="n"/>
      <c r="I502" s="350" t="n"/>
      <c r="J502" s="350" t="n"/>
      <c r="K502" s="351" t="n"/>
      <c r="L502" s="355" t="inlineStr">
        <is>
          <t>2841000174678_【ＱＣＳ】高菜チャーハン用ご飯.xlsx</t>
        </is>
      </c>
      <c r="M502" s="350" t="n"/>
    </row>
    <row r="503" ht="18" customHeight="1" s="438">
      <c r="A503" s="345" t="n"/>
      <c r="B503" s="581" t="n"/>
      <c r="C503" s="582" t="n"/>
      <c r="D503" s="583" t="n"/>
      <c r="E503" s="584" t="n"/>
      <c r="F503" s="350" t="n"/>
      <c r="G503" s="350" t="n"/>
      <c r="H503" s="350" t="n"/>
      <c r="I503" s="350" t="n"/>
      <c r="J503" s="350" t="n"/>
      <c r="K503" s="351" t="n"/>
      <c r="L503" s="355" t="inlineStr">
        <is>
          <t>2841000174975_【ＱＣＳ】高菜チャーハン.xlsx</t>
        </is>
      </c>
      <c r="M503" s="350" t="n"/>
    </row>
    <row r="504" ht="18" customHeight="1" s="438">
      <c r="A504" s="345" t="n"/>
      <c r="B504" s="581" t="n"/>
      <c r="C504" s="582" t="n"/>
      <c r="D504" s="583" t="n"/>
      <c r="E504" s="584" t="n"/>
      <c r="F504" s="350" t="n"/>
      <c r="G504" s="350" t="n"/>
      <c r="H504" s="350" t="n"/>
      <c r="I504" s="350" t="n"/>
      <c r="J504" s="350" t="n"/>
      <c r="K504" s="351" t="n"/>
      <c r="L504" s="355" t="inlineStr">
        <is>
          <t>../開発規格書/田原規格書修正版/バッチテスト/2025/25.11月12日/◆【商品規格書】🍚【中間品】かしわ飯8🍚.xlsx</t>
        </is>
      </c>
      <c r="M504" s="350" t="n"/>
    </row>
    <row r="505" ht="18" customHeight="1" s="438">
      <c r="A505" s="345" t="n"/>
      <c r="B505" s="581" t="n"/>
      <c r="C505" s="582" t="n"/>
      <c r="D505" s="583" t="n"/>
      <c r="E505" s="584" t="n"/>
      <c r="F505" s="350" t="n"/>
      <c r="G505" s="350" t="n"/>
      <c r="H505" s="350" t="n"/>
      <c r="I505" s="350" t="n"/>
      <c r="J505" s="350" t="n"/>
      <c r="K505" s="351" t="n"/>
      <c r="L505" s="350" t="n"/>
      <c r="M505" s="350" t="n"/>
    </row>
    <row r="506" ht="18" customHeight="1" s="438">
      <c r="A506" s="345" t="n"/>
      <c r="B506" s="581" t="n"/>
      <c r="C506" s="582" t="n"/>
      <c r="D506" s="583" t="n"/>
      <c r="E506" s="584" t="n"/>
      <c r="F506" s="350" t="n"/>
      <c r="G506" s="350" t="n"/>
      <c r="H506" s="350" t="n"/>
      <c r="I506" s="350" t="n"/>
      <c r="J506" s="350" t="n"/>
      <c r="K506" s="351" t="n"/>
      <c r="L506" s="350" t="n"/>
      <c r="M506" s="350" t="n"/>
    </row>
    <row r="507" ht="18" customFormat="1" customHeight="1" s="354">
      <c r="A507" s="345" t="n"/>
      <c r="B507" s="581" t="n"/>
      <c r="C507" s="582" t="n"/>
      <c r="D507" s="583" t="n"/>
      <c r="E507" s="584" t="n"/>
      <c r="F507" s="350" t="n"/>
      <c r="G507" s="350" t="n"/>
      <c r="H507" s="350" t="n"/>
      <c r="I507" s="350" t="n"/>
      <c r="J507" s="350" t="n"/>
      <c r="K507" s="351" t="n"/>
      <c r="L507" s="350" t="n"/>
      <c r="M507" s="350" t="n"/>
      <c r="N507" s="344" t="n"/>
      <c r="O507" s="344" t="n"/>
      <c r="P507" s="344" t="n"/>
      <c r="Q507" s="344" t="n"/>
      <c r="R507" s="344" t="n"/>
      <c r="S507" s="344" t="n"/>
      <c r="T507" s="344" t="n"/>
      <c r="U507" s="344" t="n"/>
      <c r="V507" s="344" t="n"/>
      <c r="W507" s="344" t="n"/>
    </row>
    <row r="508" ht="18" customFormat="1" customHeight="1" s="354">
      <c r="A508" s="345" t="n"/>
      <c r="B508" s="581" t="n"/>
      <c r="C508" s="582" t="n"/>
      <c r="D508" s="583" t="n"/>
      <c r="E508" s="584" t="n"/>
      <c r="F508" s="350" t="n"/>
      <c r="G508" s="350" t="n"/>
      <c r="H508" s="350" t="n"/>
      <c r="I508" s="350" t="n"/>
      <c r="J508" s="350" t="n"/>
      <c r="K508" s="351" t="n"/>
      <c r="L508" s="355" t="inlineStr">
        <is>
          <t>2841000174715_【ＱＣＳ】天ぷら用バッター液.xlsx</t>
        </is>
      </c>
      <c r="M508" s="350" t="n"/>
      <c r="N508" s="344" t="n"/>
      <c r="O508" s="344" t="n"/>
      <c r="P508" s="344" t="n"/>
      <c r="Q508" s="344" t="n"/>
      <c r="R508" s="344" t="n"/>
      <c r="S508" s="344" t="n"/>
      <c r="T508" s="344" t="n"/>
      <c r="U508" s="344" t="n"/>
      <c r="V508" s="344" t="n"/>
      <c r="W508" s="344" t="n"/>
    </row>
    <row r="509" ht="18" customFormat="1" customHeight="1" s="354">
      <c r="A509" s="345" t="n"/>
      <c r="B509" s="581" t="n"/>
      <c r="C509" s="582" t="n"/>
      <c r="D509" s="583" t="n"/>
      <c r="E509" s="584" t="n"/>
      <c r="F509" s="350" t="n"/>
      <c r="G509" s="350" t="n"/>
      <c r="H509" s="350" t="n"/>
      <c r="I509" s="350" t="n"/>
      <c r="J509" s="350" t="n"/>
      <c r="K509" s="351" t="n"/>
      <c r="L509" s="593" t="inlineStr">
        <is>
          <t>../開発規格書/久保レシピ修正版/ＱＣＳ/◆【規格変更】ミニ天丼9（白鳥）.xlsx</t>
        </is>
      </c>
      <c r="M509" s="350" t="n"/>
      <c r="N509" s="344" t="n"/>
      <c r="O509" s="344" t="n"/>
      <c r="P509" s="344" t="n"/>
      <c r="Q509" s="344" t="n"/>
      <c r="R509" s="344" t="n"/>
      <c r="S509" s="344" t="n"/>
      <c r="T509" s="344" t="n"/>
      <c r="U509" s="344" t="n"/>
      <c r="V509" s="344" t="n"/>
      <c r="W509" s="344" t="n"/>
    </row>
    <row r="510" ht="18" customFormat="1" customHeight="1" s="354">
      <c r="A510" s="345" t="n"/>
      <c r="B510" s="581" t="n"/>
      <c r="C510" s="582" t="n"/>
      <c r="D510" s="583" t="n"/>
      <c r="E510" s="584" t="n"/>
      <c r="F510" s="350" t="n"/>
      <c r="G510" s="350" t="n"/>
      <c r="H510" s="350" t="n"/>
      <c r="I510" s="350" t="n"/>
      <c r="J510" s="350" t="n"/>
      <c r="K510" s="351" t="n"/>
      <c r="L510" s="350" t="n"/>
      <c r="M510" s="350" t="n"/>
      <c r="N510" s="344" t="n"/>
      <c r="O510" s="344" t="n"/>
      <c r="P510" s="344" t="n"/>
      <c r="Q510" s="344" t="n"/>
      <c r="R510" s="344" t="n"/>
      <c r="S510" s="344" t="n"/>
      <c r="T510" s="344" t="n"/>
      <c r="U510" s="344" t="n"/>
      <c r="V510" s="344" t="n"/>
      <c r="W510" s="344" t="n"/>
    </row>
    <row r="511" ht="18" customFormat="1" customHeight="1" s="354">
      <c r="A511" s="345" t="n"/>
      <c r="B511" s="581" t="n"/>
      <c r="C511" s="582" t="n"/>
      <c r="D511" s="583" t="n"/>
      <c r="E511" s="584" t="n"/>
      <c r="F511" s="350" t="n"/>
      <c r="G511" s="350" t="n"/>
      <c r="H511" s="350" t="n"/>
      <c r="I511" s="350" t="n"/>
      <c r="J511" s="350" t="n"/>
      <c r="K511" s="351" t="n"/>
      <c r="L511" s="350" t="n"/>
      <c r="M511" s="350" t="n"/>
      <c r="N511" s="344" t="n"/>
      <c r="O511" s="344" t="n"/>
      <c r="P511" s="344" t="n"/>
      <c r="Q511" s="344" t="n"/>
      <c r="R511" s="344" t="n"/>
      <c r="S511" s="344" t="n"/>
      <c r="T511" s="344" t="n"/>
      <c r="U511" s="344" t="n"/>
      <c r="V511" s="344" t="n"/>
      <c r="W511" s="344" t="n"/>
    </row>
    <row r="512" ht="18" customFormat="1" customHeight="1" s="354">
      <c r="A512" s="345" t="n"/>
      <c r="B512" s="581" t="n"/>
      <c r="C512" s="582" t="n"/>
      <c r="D512" s="583" t="n"/>
      <c r="E512" s="584" t="n"/>
      <c r="F512" s="350" t="n"/>
      <c r="G512" s="350" t="n"/>
      <c r="H512" s="350" t="n"/>
      <c r="I512" s="350" t="n"/>
      <c r="J512" s="350" t="n"/>
      <c r="K512" s="351" t="n"/>
      <c r="L512" s="350" t="n"/>
      <c r="M512" s="350" t="n"/>
      <c r="N512" s="344" t="n"/>
      <c r="O512" s="344" t="n"/>
      <c r="P512" s="344" t="n"/>
      <c r="Q512" s="344" t="n"/>
      <c r="R512" s="344" t="n"/>
      <c r="S512" s="344" t="n"/>
      <c r="T512" s="344" t="n"/>
      <c r="U512" s="344" t="n"/>
      <c r="V512" s="344" t="n"/>
      <c r="W512" s="344" t="n"/>
    </row>
    <row r="513" ht="18" customFormat="1" customHeight="1" s="354">
      <c r="A513" s="345" t="n"/>
      <c r="B513" s="581" t="n"/>
      <c r="C513" s="582" t="n"/>
      <c r="D513" s="583" t="n"/>
      <c r="E513" s="584" t="n"/>
      <c r="F513" s="350" t="n"/>
      <c r="G513" s="350" t="n"/>
      <c r="H513" s="350" t="n"/>
      <c r="I513" s="350" t="n"/>
      <c r="J513" s="350" t="n"/>
      <c r="K513" s="351" t="n"/>
      <c r="L513" s="350" t="n"/>
      <c r="M513" s="350" t="n"/>
      <c r="N513" s="344" t="n"/>
      <c r="O513" s="344" t="n"/>
      <c r="P513" s="344" t="n"/>
      <c r="Q513" s="344" t="n"/>
      <c r="R513" s="344" t="n"/>
      <c r="S513" s="344" t="n"/>
      <c r="T513" s="344" t="n"/>
      <c r="U513" s="344" t="n"/>
      <c r="V513" s="344" t="n"/>
      <c r="W513" s="344" t="n"/>
    </row>
    <row r="514" ht="18" customFormat="1" customHeight="1" s="354">
      <c r="A514" s="345" t="n"/>
      <c r="B514" s="581" t="n"/>
      <c r="C514" s="582" t="n"/>
      <c r="D514" s="583" t="n"/>
      <c r="E514" s="584" t="n"/>
      <c r="F514" s="350" t="n"/>
      <c r="G514" s="350" t="n"/>
      <c r="H514" s="350" t="n"/>
      <c r="I514" s="350" t="n"/>
      <c r="J514" s="350" t="n"/>
      <c r="K514" s="351" t="n"/>
      <c r="L514" s="350" t="n"/>
      <c r="M514" s="350" t="n"/>
      <c r="N514" s="344" t="n"/>
      <c r="O514" s="344" t="n"/>
      <c r="P514" s="344" t="n"/>
      <c r="Q514" s="344" t="n"/>
      <c r="R514" s="344" t="n"/>
      <c r="S514" s="344" t="n"/>
      <c r="T514" s="344" t="n"/>
      <c r="U514" s="344" t="n"/>
      <c r="V514" s="344" t="n"/>
      <c r="W514" s="344" t="n"/>
    </row>
    <row r="515" ht="18" customFormat="1" customHeight="1" s="354">
      <c r="A515" s="345" t="n"/>
      <c r="B515" s="581" t="n"/>
      <c r="C515" s="582" t="n"/>
      <c r="D515" s="583" t="n"/>
      <c r="E515" s="584" t="n"/>
      <c r="F515" s="350" t="n"/>
      <c r="G515" s="350" t="n"/>
      <c r="H515" s="350" t="n"/>
      <c r="I515" s="350" t="n"/>
      <c r="J515" s="350" t="n"/>
      <c r="K515" s="351" t="n"/>
      <c r="L515" s="350" t="n"/>
      <c r="M515" s="350" t="n"/>
      <c r="N515" s="344" t="n"/>
      <c r="O515" s="344" t="n"/>
      <c r="P515" s="344" t="n"/>
      <c r="Q515" s="344" t="n"/>
      <c r="R515" s="344" t="n"/>
      <c r="S515" s="344" t="n"/>
      <c r="T515" s="344" t="n"/>
      <c r="U515" s="344" t="n"/>
      <c r="V515" s="344" t="n"/>
      <c r="W515" s="344" t="n"/>
    </row>
    <row r="516" ht="18" customFormat="1" customHeight="1" s="354">
      <c r="A516" s="345" t="n"/>
      <c r="B516" s="581" t="n"/>
      <c r="C516" s="582" t="n"/>
      <c r="D516" s="583" t="n"/>
      <c r="E516" s="584" t="n"/>
      <c r="F516" s="350" t="n"/>
      <c r="G516" s="350" t="n"/>
      <c r="H516" s="350" t="n"/>
      <c r="I516" s="350" t="n"/>
      <c r="J516" s="350" t="n"/>
      <c r="K516" s="351" t="n"/>
      <c r="L516" s="350" t="n"/>
      <c r="M516" s="350" t="n"/>
      <c r="N516" s="344" t="n"/>
      <c r="O516" s="344" t="n"/>
      <c r="P516" s="344" t="n"/>
      <c r="Q516" s="344" t="n"/>
      <c r="R516" s="344" t="n"/>
      <c r="S516" s="344" t="n"/>
      <c r="T516" s="344" t="n"/>
      <c r="U516" s="344" t="n"/>
      <c r="V516" s="344" t="n"/>
      <c r="W516" s="344" t="n"/>
    </row>
    <row r="517" ht="18" customFormat="1" customHeight="1" s="354">
      <c r="A517" s="345" t="n"/>
      <c r="B517" s="581" t="n"/>
      <c r="C517" s="582" t="n"/>
      <c r="D517" s="583" t="n"/>
      <c r="E517" s="584" t="n"/>
      <c r="F517" s="350" t="n"/>
      <c r="G517" s="350" t="n"/>
      <c r="H517" s="350" t="n"/>
      <c r="I517" s="350" t="n"/>
      <c r="J517" s="350" t="n"/>
      <c r="K517" s="351" t="n"/>
      <c r="L517" s="350" t="n"/>
      <c r="M517" s="350" t="n"/>
      <c r="N517" s="344" t="n"/>
      <c r="O517" s="344" t="n"/>
      <c r="P517" s="344" t="n"/>
      <c r="Q517" s="344" t="n"/>
      <c r="R517" s="344" t="n"/>
      <c r="S517" s="344" t="n"/>
      <c r="T517" s="344" t="n"/>
      <c r="U517" s="344" t="n"/>
      <c r="V517" s="344" t="n"/>
      <c r="W517" s="344" t="n"/>
    </row>
    <row r="518" ht="18" customFormat="1" customHeight="1" s="354">
      <c r="A518" s="345" t="n"/>
      <c r="B518" s="581" t="n"/>
      <c r="C518" s="582" t="n"/>
      <c r="D518" s="583" t="n"/>
      <c r="E518" s="584" t="n"/>
      <c r="F518" s="350" t="n"/>
      <c r="G518" s="350" t="n"/>
      <c r="H518" s="350" t="n"/>
      <c r="I518" s="350" t="n"/>
      <c r="J518" s="350" t="n"/>
      <c r="K518" s="351" t="n"/>
      <c r="L518" s="350" t="n"/>
      <c r="M518" s="350" t="n"/>
      <c r="N518" s="344" t="n"/>
      <c r="O518" s="344" t="n"/>
      <c r="P518" s="344" t="n"/>
      <c r="Q518" s="344" t="n"/>
      <c r="R518" s="344" t="n"/>
      <c r="S518" s="344" t="n"/>
      <c r="T518" s="344" t="n"/>
      <c r="U518" s="344" t="n"/>
      <c r="V518" s="344" t="n"/>
      <c r="W518" s="344" t="n"/>
    </row>
    <row r="519" ht="18" customFormat="1" customHeight="1" s="354">
      <c r="A519" s="345" t="n"/>
      <c r="B519" s="581" t="n"/>
      <c r="C519" s="582" t="n"/>
      <c r="D519" s="583" t="n"/>
      <c r="E519" s="584" t="n"/>
      <c r="F519" s="350" t="n"/>
      <c r="G519" s="350" t="n"/>
      <c r="H519" s="350" t="n"/>
      <c r="I519" s="350" t="n"/>
      <c r="J519" s="350" t="n"/>
      <c r="K519" s="351" t="n"/>
      <c r="L519" s="350" t="n"/>
      <c r="M519" s="350" t="n"/>
      <c r="N519" s="344" t="n"/>
      <c r="O519" s="344" t="n"/>
      <c r="P519" s="344" t="n"/>
      <c r="Q519" s="344" t="n"/>
      <c r="R519" s="344" t="n"/>
      <c r="S519" s="344" t="n"/>
      <c r="T519" s="344" t="n"/>
      <c r="U519" s="344" t="n"/>
      <c r="V519" s="344" t="n"/>
      <c r="W519" s="344" t="n"/>
    </row>
    <row r="520" ht="18" customFormat="1" customHeight="1" s="354">
      <c r="A520" s="345" t="n"/>
      <c r="B520" s="581" t="n"/>
      <c r="C520" s="582" t="n"/>
      <c r="D520" s="583" t="n"/>
      <c r="E520" s="584" t="n"/>
      <c r="F520" s="350" t="n"/>
      <c r="G520" s="350" t="n"/>
      <c r="H520" s="350" t="n"/>
      <c r="I520" s="350" t="n"/>
      <c r="J520" s="350" t="n"/>
      <c r="K520" s="351" t="n"/>
      <c r="L520" s="350" t="n"/>
      <c r="M520" s="350" t="n"/>
      <c r="N520" s="344" t="n"/>
      <c r="O520" s="344" t="n"/>
      <c r="P520" s="344" t="n"/>
      <c r="Q520" s="344" t="n"/>
      <c r="R520" s="344" t="n"/>
      <c r="S520" s="344" t="n"/>
      <c r="T520" s="344" t="n"/>
      <c r="U520" s="344" t="n"/>
      <c r="V520" s="344" t="n"/>
      <c r="W520" s="344" t="n"/>
    </row>
    <row r="521" customFormat="1" s="354">
      <c r="A521" s="345" t="n"/>
      <c r="B521" s="581" t="n"/>
      <c r="C521" s="582" t="n"/>
      <c r="D521" s="583" t="n"/>
      <c r="E521" s="584" t="n"/>
      <c r="F521" s="350" t="n"/>
      <c r="G521" s="350" t="n"/>
      <c r="H521" s="350" t="n"/>
      <c r="I521" s="350" t="n"/>
      <c r="J521" s="350" t="n"/>
      <c r="K521" s="351" t="n"/>
      <c r="L521" s="350" t="n"/>
      <c r="M521" s="350" t="n"/>
      <c r="N521" s="344" t="n"/>
      <c r="O521" s="344" t="n"/>
      <c r="P521" s="344" t="n"/>
      <c r="Q521" s="344" t="n"/>
      <c r="R521" s="344" t="n"/>
      <c r="S521" s="344" t="n"/>
      <c r="T521" s="344" t="n"/>
      <c r="U521" s="344" t="n"/>
      <c r="V521" s="344" t="n"/>
      <c r="W521" s="344" t="n"/>
    </row>
    <row r="522" customFormat="1" s="354">
      <c r="A522" s="345" t="n"/>
      <c r="B522" s="581" t="n"/>
      <c r="C522" s="582" t="n"/>
      <c r="D522" s="583" t="n"/>
      <c r="E522" s="584" t="n"/>
      <c r="F522" s="350" t="n"/>
      <c r="G522" s="350" t="n"/>
      <c r="H522" s="350" t="n"/>
      <c r="I522" s="350" t="n"/>
      <c r="J522" s="350" t="n"/>
      <c r="K522" s="351" t="n"/>
      <c r="L522" s="350" t="n"/>
      <c r="M522" s="350" t="n"/>
      <c r="N522" s="344" t="n"/>
      <c r="O522" s="344" t="n"/>
      <c r="P522" s="344" t="n"/>
      <c r="Q522" s="344" t="n"/>
      <c r="R522" s="344" t="n"/>
      <c r="S522" s="344" t="n"/>
      <c r="T522" s="344" t="n"/>
      <c r="U522" s="344" t="n"/>
      <c r="V522" s="344" t="n"/>
      <c r="W522" s="344" t="n"/>
    </row>
    <row r="523" customFormat="1" s="354">
      <c r="A523" s="345" t="n"/>
      <c r="B523" s="581" t="n"/>
      <c r="C523" s="582" t="n"/>
      <c r="D523" s="583" t="n"/>
      <c r="E523" s="584" t="n"/>
      <c r="F523" s="350" t="n"/>
      <c r="G523" s="350" t="n"/>
      <c r="H523" s="350" t="n"/>
      <c r="I523" s="350" t="n"/>
      <c r="J523" s="350" t="n"/>
      <c r="K523" s="351" t="n"/>
      <c r="L523" s="350" t="n"/>
      <c r="M523" s="350" t="n"/>
      <c r="N523" s="344" t="n"/>
      <c r="O523" s="344" t="n"/>
      <c r="P523" s="344" t="n"/>
      <c r="Q523" s="344" t="n"/>
      <c r="R523" s="344" t="n"/>
      <c r="S523" s="344" t="n"/>
      <c r="T523" s="344" t="n"/>
      <c r="U523" s="344" t="n"/>
      <c r="V523" s="344" t="n"/>
      <c r="W523" s="344" t="n"/>
    </row>
    <row r="524" customFormat="1" s="354">
      <c r="A524" s="345" t="n"/>
      <c r="B524" s="581" t="n"/>
      <c r="C524" s="582" t="n"/>
      <c r="D524" s="583" t="n"/>
      <c r="E524" s="584" t="n"/>
      <c r="F524" s="350" t="n"/>
      <c r="G524" s="350" t="n"/>
      <c r="H524" s="350" t="n"/>
      <c r="I524" s="350" t="n"/>
      <c r="J524" s="350" t="n"/>
      <c r="K524" s="351" t="n"/>
      <c r="L524" s="350" t="n"/>
      <c r="M524" s="350" t="n"/>
      <c r="N524" s="344" t="n"/>
      <c r="O524" s="344" t="n"/>
      <c r="P524" s="344" t="n"/>
      <c r="Q524" s="344" t="n"/>
      <c r="R524" s="344" t="n"/>
      <c r="S524" s="344" t="n"/>
      <c r="T524" s="344" t="n"/>
      <c r="U524" s="344" t="n"/>
      <c r="V524" s="344" t="n"/>
      <c r="W524" s="344" t="n"/>
    </row>
    <row r="525" customFormat="1" s="354">
      <c r="A525" s="345" t="n"/>
      <c r="B525" s="581" t="n"/>
      <c r="C525" s="582" t="n"/>
      <c r="D525" s="583" t="n"/>
      <c r="E525" s="584" t="n"/>
      <c r="F525" s="350" t="n"/>
      <c r="G525" s="350" t="n"/>
      <c r="H525" s="350" t="n"/>
      <c r="I525" s="350" t="n"/>
      <c r="J525" s="350" t="n"/>
      <c r="K525" s="351" t="n"/>
      <c r="L525" s="355" t="inlineStr">
        <is>
          <t>2841000188224_【ＱＣＳ】小松菜のおひたし.xlsx</t>
        </is>
      </c>
      <c r="M525" s="350" t="n"/>
      <c r="N525" s="344" t="n"/>
      <c r="O525" s="344" t="n"/>
      <c r="P525" s="344" t="n"/>
      <c r="Q525" s="344" t="n"/>
      <c r="R525" s="344" t="n"/>
      <c r="S525" s="344" t="n"/>
      <c r="T525" s="344" t="n"/>
      <c r="U525" s="344" t="n"/>
      <c r="V525" s="344" t="n"/>
      <c r="W525" s="344" t="n"/>
    </row>
    <row r="526" customFormat="1" s="354">
      <c r="A526" s="345" t="n"/>
      <c r="B526" s="581" t="n"/>
      <c r="C526" s="582" t="n"/>
      <c r="D526" s="583" t="n"/>
      <c r="E526" s="584" t="n"/>
      <c r="F526" s="350" t="n"/>
      <c r="G526" s="350" t="n"/>
      <c r="H526" s="350" t="n"/>
      <c r="I526" s="350" t="n"/>
      <c r="J526" s="350" t="n"/>
      <c r="K526" s="351" t="n"/>
      <c r="L526" s="355" t="inlineStr">
        <is>
          <t>2841000188149_【ＱＣＳ】小松菜のおひたし調味液.xlsx</t>
        </is>
      </c>
      <c r="M526" s="350" t="n"/>
      <c r="N526" s="344" t="n"/>
      <c r="O526" s="344" t="n"/>
      <c r="P526" s="344" t="n"/>
      <c r="Q526" s="344" t="n"/>
      <c r="R526" s="344" t="n"/>
      <c r="S526" s="344" t="n"/>
      <c r="T526" s="344" t="n"/>
      <c r="U526" s="344" t="n"/>
      <c r="V526" s="344" t="n"/>
      <c r="W526" s="344" t="n"/>
    </row>
    <row r="527" customFormat="1" s="354">
      <c r="A527" s="345" t="n"/>
      <c r="B527" s="581" t="n"/>
      <c r="C527" s="582" t="n"/>
      <c r="D527" s="583" t="n"/>
      <c r="E527" s="584" t="n"/>
      <c r="F527" s="350" t="n"/>
      <c r="G527" s="350" t="n"/>
      <c r="H527" s="350" t="n"/>
      <c r="I527" s="350" t="n"/>
      <c r="J527" s="350" t="n"/>
      <c r="K527" s="351" t="n"/>
      <c r="L527" s="355" t="inlineStr">
        <is>
          <t>2841000188156_【ＱＣＳ】小松菜のおひたし野菜ボイル.xlsx</t>
        </is>
      </c>
      <c r="M527" s="350" t="n"/>
      <c r="N527" s="344" t="n"/>
      <c r="O527" s="344" t="n"/>
      <c r="P527" s="344" t="n"/>
      <c r="Q527" s="344" t="n"/>
      <c r="R527" s="344" t="n"/>
      <c r="S527" s="344" t="n"/>
      <c r="T527" s="344" t="n"/>
      <c r="U527" s="344" t="n"/>
      <c r="V527" s="344" t="n"/>
      <c r="W527" s="344" t="n"/>
    </row>
    <row r="528" customFormat="1" s="354">
      <c r="A528" s="345" t="n"/>
      <c r="B528" s="581" t="n"/>
      <c r="C528" s="582" t="n"/>
      <c r="D528" s="583" t="n"/>
      <c r="E528" s="584" t="n"/>
      <c r="F528" s="350" t="n"/>
      <c r="G528" s="350" t="n"/>
      <c r="H528" s="350" t="n"/>
      <c r="I528" s="350" t="n"/>
      <c r="J528" s="350" t="n"/>
      <c r="K528" s="351" t="n"/>
      <c r="L528" s="350" t="n"/>
      <c r="M528" s="350" t="n"/>
      <c r="N528" s="344" t="n"/>
      <c r="O528" s="344" t="n"/>
      <c r="P528" s="344" t="n"/>
      <c r="Q528" s="344" t="n"/>
      <c r="R528" s="344" t="n"/>
      <c r="S528" s="344" t="n"/>
      <c r="T528" s="344" t="n"/>
      <c r="U528" s="344" t="n"/>
      <c r="V528" s="344" t="n"/>
      <c r="W528" s="344" t="n"/>
    </row>
    <row r="529" customFormat="1" s="354">
      <c r="A529" s="345" t="n"/>
      <c r="B529" s="581" t="n"/>
      <c r="C529" s="582" t="n"/>
      <c r="D529" s="583" t="n"/>
      <c r="E529" s="584" t="n"/>
      <c r="F529" s="350" t="n"/>
      <c r="G529" s="350" t="n"/>
      <c r="H529" s="350" t="n"/>
      <c r="I529" s="350" t="n"/>
      <c r="J529" s="350" t="n"/>
      <c r="K529" s="351" t="n"/>
      <c r="L529" s="350" t="n"/>
      <c r="M529" s="350" t="n"/>
      <c r="N529" s="344" t="n"/>
      <c r="O529" s="344" t="n"/>
      <c r="P529" s="344" t="n"/>
      <c r="Q529" s="344" t="n"/>
      <c r="R529" s="344" t="n"/>
      <c r="S529" s="344" t="n"/>
      <c r="T529" s="344" t="n"/>
      <c r="U529" s="344" t="n"/>
      <c r="V529" s="344" t="n"/>
      <c r="W529" s="344" t="n"/>
    </row>
    <row r="530" customFormat="1" s="354">
      <c r="A530" s="345" t="n"/>
      <c r="B530" s="581" t="n"/>
      <c r="C530" s="582" t="n"/>
      <c r="D530" s="583" t="n"/>
      <c r="E530" s="584" t="n"/>
      <c r="F530" s="350" t="n"/>
      <c r="G530" s="350" t="n"/>
      <c r="H530" s="350" t="n"/>
      <c r="I530" s="350" t="n"/>
      <c r="J530" s="350" t="n"/>
      <c r="K530" s="351" t="n"/>
      <c r="L530" s="355" t="inlineStr">
        <is>
          <t>2841000174821_【ＱＣＳ】牛バラスライス焼成.xlsx</t>
        </is>
      </c>
      <c r="M530" s="350" t="n"/>
      <c r="N530" s="344" t="n"/>
      <c r="O530" s="344" t="n"/>
      <c r="P530" s="344" t="n"/>
      <c r="Q530" s="344" t="n"/>
      <c r="R530" s="344" t="n"/>
      <c r="S530" s="344" t="n"/>
      <c r="T530" s="344" t="n"/>
      <c r="U530" s="344" t="n"/>
      <c r="V530" s="344" t="n"/>
      <c r="W530" s="344" t="n"/>
    </row>
    <row r="531" customFormat="1" s="354">
      <c r="A531" s="345" t="n"/>
      <c r="B531" s="581" t="n"/>
      <c r="C531" s="582" t="n"/>
      <c r="D531" s="583" t="n"/>
      <c r="E531" s="584" t="n"/>
      <c r="F531" s="350" t="n"/>
      <c r="G531" s="350" t="n"/>
      <c r="H531" s="350" t="n"/>
      <c r="I531" s="350" t="n"/>
      <c r="J531" s="350" t="n"/>
      <c r="K531" s="351" t="n"/>
      <c r="L531" s="355" t="inlineStr">
        <is>
          <t>2841000175385_【ＱＣＳ】牛バラスライス焼成カット.xlsx</t>
        </is>
      </c>
      <c r="M531" s="350" t="n"/>
      <c r="N531" s="344" t="n"/>
      <c r="O531" s="344" t="n"/>
      <c r="P531" s="344" t="n"/>
      <c r="Q531" s="344" t="n"/>
      <c r="R531" s="344" t="n"/>
      <c r="S531" s="344" t="n"/>
      <c r="T531" s="344" t="n"/>
      <c r="U531" s="344" t="n"/>
      <c r="V531" s="344" t="n"/>
      <c r="W531" s="344" t="n"/>
    </row>
    <row r="532" customFormat="1" s="354">
      <c r="A532" s="345" t="n"/>
      <c r="B532" s="581" t="n"/>
      <c r="C532" s="582" t="n"/>
      <c r="D532" s="583" t="n"/>
      <c r="E532" s="584" t="n"/>
      <c r="F532" s="350" t="n"/>
      <c r="G532" s="350" t="n"/>
      <c r="H532" s="350" t="n"/>
      <c r="I532" s="350" t="n"/>
      <c r="J532" s="350" t="n"/>
      <c r="K532" s="351" t="n"/>
      <c r="L532" s="355" t="inlineStr">
        <is>
          <t>2841000180402_【ＱＣＳ】鶏めし用具材（鶏めし４）.xlsx</t>
        </is>
      </c>
      <c r="M532" s="350" t="n"/>
      <c r="N532" s="344" t="n"/>
      <c r="O532" s="344" t="n"/>
      <c r="P532" s="344" t="n"/>
      <c r="Q532" s="344" t="n"/>
      <c r="R532" s="344" t="n"/>
      <c r="S532" s="344" t="n"/>
      <c r="T532" s="344" t="n"/>
      <c r="U532" s="344" t="n"/>
      <c r="V532" s="344" t="n"/>
      <c r="W532" s="344" t="n"/>
    </row>
    <row r="533" customFormat="1" s="354">
      <c r="A533" s="345" t="n"/>
      <c r="B533" s="581" t="n"/>
      <c r="C533" s="582" t="n"/>
      <c r="D533" s="583" t="n"/>
      <c r="E533" s="584" t="n"/>
      <c r="F533" s="350" t="n"/>
      <c r="G533" s="350" t="n"/>
      <c r="H533" s="350" t="n"/>
      <c r="I533" s="350" t="n"/>
      <c r="J533" s="350" t="n"/>
      <c r="K533" s="351" t="n"/>
      <c r="L533" s="355" t="inlineStr">
        <is>
          <t>2841000180419_【ＱＣＳ】鶏めし用ご飯（鶏めし４）.xlsx</t>
        </is>
      </c>
      <c r="M533" s="350" t="n"/>
      <c r="N533" s="344" t="n"/>
      <c r="O533" s="344" t="n"/>
      <c r="P533" s="344" t="n"/>
      <c r="Q533" s="344" t="n"/>
      <c r="R533" s="344" t="n"/>
      <c r="S533" s="344" t="n"/>
      <c r="T533" s="344" t="n"/>
      <c r="U533" s="344" t="n"/>
      <c r="V533" s="344" t="n"/>
      <c r="W533" s="344" t="n"/>
    </row>
    <row r="534" customFormat="1" s="354">
      <c r="A534" s="345" t="n"/>
      <c r="B534" s="581" t="n"/>
      <c r="C534" s="582" t="n"/>
      <c r="D534" s="583" t="n"/>
      <c r="E534" s="584" t="n"/>
      <c r="F534" s="350" t="n"/>
      <c r="G534" s="350" t="n"/>
      <c r="H534" s="350" t="n"/>
      <c r="I534" s="350" t="n"/>
      <c r="J534" s="350" t="n"/>
      <c r="K534" s="351" t="n"/>
      <c r="L534" s="355" t="inlineStr">
        <is>
          <t>2841000180501_【ＱＣＳ】鶏めし４.xlsx</t>
        </is>
      </c>
      <c r="M534" s="350" t="n"/>
      <c r="N534" s="344" t="n"/>
      <c r="O534" s="344" t="n"/>
      <c r="P534" s="344" t="n"/>
      <c r="Q534" s="344" t="n"/>
      <c r="R534" s="344" t="n"/>
      <c r="S534" s="344" t="n"/>
      <c r="T534" s="344" t="n"/>
      <c r="U534" s="344" t="n"/>
      <c r="V534" s="344" t="n"/>
      <c r="W534" s="344" t="n"/>
    </row>
    <row r="535" customFormat="1" s="354">
      <c r="A535" s="345" t="n"/>
      <c r="B535" s="581" t="n"/>
      <c r="C535" s="582" t="n"/>
      <c r="D535" s="583" t="n"/>
      <c r="E535" s="584" t="n"/>
      <c r="F535" s="350" t="n"/>
      <c r="G535" s="350" t="n"/>
      <c r="H535" s="350" t="n"/>
      <c r="I535" s="350" t="n"/>
      <c r="J535" s="350" t="n"/>
      <c r="K535" s="351" t="n"/>
      <c r="L535" s="350" t="n"/>
      <c r="M535" s="350" t="n"/>
      <c r="N535" s="344" t="n"/>
      <c r="O535" s="344" t="n"/>
      <c r="P535" s="344" t="n"/>
      <c r="Q535" s="344" t="n"/>
      <c r="R535" s="344" t="n"/>
      <c r="S535" s="344" t="n"/>
      <c r="T535" s="344" t="n"/>
      <c r="U535" s="344" t="n"/>
      <c r="V535" s="344" t="n"/>
      <c r="W535" s="344" t="n"/>
    </row>
    <row r="536" customFormat="1" s="354">
      <c r="A536" s="345" t="n"/>
      <c r="B536" s="581" t="n"/>
      <c r="C536" s="582" t="n"/>
      <c r="D536" s="583" t="n"/>
      <c r="E536" s="584" t="n"/>
      <c r="F536" s="350" t="n"/>
      <c r="G536" s="350" t="n"/>
      <c r="H536" s="350" t="n"/>
      <c r="I536" s="350" t="n"/>
      <c r="J536" s="350" t="n"/>
      <c r="K536" s="351" t="n"/>
      <c r="L536" s="350" t="n"/>
      <c r="M536" s="350" t="n"/>
      <c r="N536" s="344" t="n"/>
      <c r="O536" s="344" t="n"/>
      <c r="P536" s="344" t="n"/>
      <c r="Q536" s="344" t="n"/>
      <c r="R536" s="344" t="n"/>
      <c r="S536" s="344" t="n"/>
      <c r="T536" s="344" t="n"/>
      <c r="U536" s="344" t="n"/>
      <c r="V536" s="344" t="n"/>
      <c r="W536" s="344" t="n"/>
    </row>
    <row r="537" customFormat="1" s="354">
      <c r="A537" s="345" t="n"/>
      <c r="B537" s="581" t="n"/>
      <c r="C537" s="582" t="n"/>
      <c r="D537" s="583" t="n"/>
      <c r="E537" s="584" t="n"/>
      <c r="F537" s="350" t="n"/>
      <c r="G537" s="350" t="n"/>
      <c r="H537" s="350" t="n"/>
      <c r="I537" s="350" t="n"/>
      <c r="J537" s="350" t="n"/>
      <c r="K537" s="351" t="n"/>
      <c r="L537" s="355" t="inlineStr">
        <is>
          <t>2841000184400_【ＱＣＳ】高菜ご飯２.xlsx</t>
        </is>
      </c>
      <c r="M537" s="350" t="n"/>
      <c r="N537" s="344" t="n"/>
      <c r="O537" s="344" t="n"/>
      <c r="P537" s="344" t="n"/>
      <c r="Q537" s="344" t="n"/>
      <c r="R537" s="344" t="n"/>
      <c r="S537" s="344" t="n"/>
      <c r="T537" s="344" t="n"/>
      <c r="U537" s="344" t="n"/>
      <c r="V537" s="344" t="n"/>
      <c r="W537" s="344" t="n"/>
    </row>
    <row r="538" customFormat="1" s="354">
      <c r="A538" s="345" t="n"/>
      <c r="B538" s="581" t="n"/>
      <c r="C538" s="582" t="n"/>
      <c r="D538" s="583" t="n"/>
      <c r="E538" s="584" t="n"/>
      <c r="F538" s="350" t="n"/>
      <c r="G538" s="350" t="n"/>
      <c r="H538" s="350" t="n"/>
      <c r="I538" s="350" t="n"/>
      <c r="J538" s="350" t="n"/>
      <c r="K538" s="351" t="n"/>
      <c r="L538" s="350" t="n"/>
      <c r="M538" s="350" t="n"/>
      <c r="N538" s="344" t="n"/>
      <c r="O538" s="344" t="n"/>
      <c r="P538" s="344" t="n"/>
      <c r="Q538" s="344" t="n"/>
      <c r="R538" s="344" t="n"/>
      <c r="S538" s="344" t="n"/>
      <c r="T538" s="344" t="n"/>
      <c r="U538" s="344" t="n"/>
      <c r="V538" s="344" t="n"/>
      <c r="W538" s="344" t="n"/>
    </row>
    <row r="539" customFormat="1" s="354">
      <c r="A539" s="345" t="n"/>
      <c r="B539" s="581" t="n"/>
      <c r="C539" s="582" t="n"/>
      <c r="D539" s="583" t="n"/>
      <c r="E539" s="584" t="n"/>
      <c r="F539" s="350" t="n"/>
      <c r="G539" s="350" t="n"/>
      <c r="H539" s="350" t="n"/>
      <c r="I539" s="350" t="n"/>
      <c r="J539" s="350" t="n"/>
      <c r="K539" s="351" t="n"/>
      <c r="L539" s="350" t="n"/>
      <c r="M539" s="350" t="n"/>
      <c r="N539" s="344" t="n"/>
      <c r="O539" s="344" t="n"/>
      <c r="P539" s="344" t="n"/>
      <c r="Q539" s="344" t="n"/>
      <c r="R539" s="344" t="n"/>
      <c r="S539" s="344" t="n"/>
      <c r="T539" s="344" t="n"/>
      <c r="U539" s="344" t="n"/>
      <c r="V539" s="344" t="n"/>
      <c r="W539" s="344" t="n"/>
    </row>
    <row r="540" customFormat="1" s="354">
      <c r="A540" s="345" t="n"/>
      <c r="B540" s="581" t="n"/>
      <c r="C540" s="582" t="n"/>
      <c r="D540" s="583" t="n"/>
      <c r="E540" s="584" t="n"/>
      <c r="F540" s="350" t="n"/>
      <c r="G540" s="350" t="n"/>
      <c r="H540" s="350" t="n"/>
      <c r="I540" s="350" t="n"/>
      <c r="J540" s="350" t="n"/>
      <c r="K540" s="351" t="n"/>
      <c r="L540" s="350" t="n"/>
      <c r="M540" s="350" t="n"/>
      <c r="N540" s="344" t="n"/>
      <c r="O540" s="344" t="n"/>
      <c r="P540" s="344" t="n"/>
      <c r="Q540" s="344" t="n"/>
      <c r="R540" s="344" t="n"/>
      <c r="S540" s="344" t="n"/>
      <c r="T540" s="344" t="n"/>
      <c r="U540" s="344" t="n"/>
      <c r="V540" s="344" t="n"/>
      <c r="W540" s="344" t="n"/>
    </row>
    <row r="541" customFormat="1" s="354">
      <c r="A541" s="345" t="n"/>
      <c r="B541" s="581" t="n"/>
      <c r="C541" s="582" t="n"/>
      <c r="D541" s="583" t="n"/>
      <c r="E541" s="584" t="n"/>
      <c r="F541" s="350" t="n"/>
      <c r="G541" s="350" t="n"/>
      <c r="H541" s="350" t="n"/>
      <c r="I541" s="350" t="n"/>
      <c r="J541" s="350" t="n"/>
      <c r="K541" s="351" t="n"/>
      <c r="L541" s="355" t="inlineStr">
        <is>
          <t>2841000196168_【ＱＣＳ】鶏むね生姜焼き下味.xlsx</t>
        </is>
      </c>
      <c r="M541" s="350" t="n"/>
      <c r="N541" s="344" t="n"/>
      <c r="O541" s="344" t="n"/>
      <c r="P541" s="344" t="n"/>
      <c r="Q541" s="344" t="n"/>
      <c r="R541" s="344" t="n"/>
      <c r="S541" s="344" t="n"/>
      <c r="T541" s="344" t="n"/>
      <c r="U541" s="344" t="n"/>
      <c r="V541" s="344" t="n"/>
      <c r="W541" s="344" t="n"/>
    </row>
    <row r="542" customFormat="1" s="354">
      <c r="A542" s="345" t="n"/>
      <c r="B542" s="581" t="n"/>
      <c r="C542" s="582" t="n"/>
      <c r="D542" s="583" t="n"/>
      <c r="E542" s="584" t="n"/>
      <c r="F542" s="350" t="n"/>
      <c r="G542" s="350" t="n"/>
      <c r="H542" s="350" t="n"/>
      <c r="I542" s="350" t="n"/>
      <c r="J542" s="350" t="n"/>
      <c r="K542" s="351" t="n"/>
      <c r="L542" s="355" t="inlineStr">
        <is>
          <t>2841000196304_【ＱＣＳ】鶏むね生姜焼き下味焼成.xlsx</t>
        </is>
      </c>
      <c r="M542" s="350" t="n"/>
      <c r="N542" s="344" t="n"/>
      <c r="O542" s="344" t="n"/>
      <c r="P542" s="344" t="n"/>
      <c r="Q542" s="344" t="n"/>
      <c r="R542" s="344" t="n"/>
      <c r="S542" s="344" t="n"/>
      <c r="T542" s="344" t="n"/>
      <c r="U542" s="344" t="n"/>
      <c r="V542" s="344" t="n"/>
      <c r="W542" s="344" t="n"/>
    </row>
    <row r="543" customFormat="1" s="354">
      <c r="A543" s="345" t="n"/>
      <c r="B543" s="581" t="n"/>
      <c r="C543" s="582" t="n"/>
      <c r="D543" s="583" t="n"/>
      <c r="E543" s="584" t="n"/>
      <c r="F543" s="350" t="n"/>
      <c r="G543" s="350" t="n"/>
      <c r="H543" s="350" t="n"/>
      <c r="I543" s="350" t="n"/>
      <c r="J543" s="350" t="n"/>
      <c r="K543" s="351" t="n"/>
      <c r="L543" s="355" t="inlineStr">
        <is>
          <t>2841000196793_【ＱＣＳ】鶏むね生姜焼きタレ和え.xlsx</t>
        </is>
      </c>
      <c r="M543" s="350" t="n"/>
      <c r="N543" s="344" t="n"/>
      <c r="O543" s="344" t="n"/>
      <c r="P543" s="344" t="n"/>
      <c r="Q543" s="344" t="n"/>
      <c r="R543" s="344" t="n"/>
      <c r="S543" s="344" t="n"/>
      <c r="T543" s="344" t="n"/>
      <c r="U543" s="344" t="n"/>
      <c r="V543" s="344" t="n"/>
      <c r="W543" s="344" t="n"/>
    </row>
    <row r="544" customFormat="1" s="354">
      <c r="A544" s="345" t="n"/>
      <c r="B544" s="581" t="n"/>
      <c r="C544" s="582" t="n"/>
      <c r="D544" s="583" t="n"/>
      <c r="E544" s="584" t="n"/>
      <c r="F544" s="350" t="n"/>
      <c r="G544" s="350" t="n"/>
      <c r="H544" s="350" t="n"/>
      <c r="I544" s="350" t="n"/>
      <c r="J544" s="350" t="n"/>
      <c r="K544" s="351" t="n"/>
      <c r="L544" s="355" t="inlineStr">
        <is>
          <t>2841000187647_【ＱＣＳ】鶏そぼろ（鶏ミンチ７：３）.xlsx</t>
        </is>
      </c>
      <c r="M544" s="350" t="n"/>
      <c r="N544" s="344" t="n"/>
      <c r="O544" s="344" t="n"/>
      <c r="P544" s="344" t="n"/>
      <c r="Q544" s="344" t="n"/>
      <c r="R544" s="344" t="n"/>
      <c r="S544" s="344" t="n"/>
      <c r="T544" s="344" t="n"/>
      <c r="U544" s="344" t="n"/>
      <c r="V544" s="344" t="n"/>
      <c r="W544" s="344" t="n"/>
    </row>
    <row r="545" customFormat="1" s="354">
      <c r="A545" s="345" t="n"/>
      <c r="B545" s="581" t="n"/>
      <c r="C545" s="582" t="n"/>
      <c r="D545" s="583" t="n"/>
      <c r="E545" s="584" t="n"/>
      <c r="F545" s="350" t="n"/>
      <c r="G545" s="350" t="n"/>
      <c r="H545" s="350" t="n"/>
      <c r="I545" s="350" t="n"/>
      <c r="J545" s="350" t="n"/>
      <c r="K545" s="351" t="n"/>
      <c r="L545" s="355" t="inlineStr">
        <is>
          <t>2841000174401_【ＱＣＳ】高菜炒め.xlsx</t>
        </is>
      </c>
      <c r="M545" s="350" t="n"/>
      <c r="N545" s="344" t="n"/>
      <c r="O545" s="344" t="n"/>
      <c r="P545" s="344" t="n"/>
      <c r="Q545" s="344" t="n"/>
      <c r="R545" s="344" t="n"/>
      <c r="S545" s="344" t="n"/>
      <c r="T545" s="344" t="n"/>
      <c r="U545" s="344" t="n"/>
      <c r="V545" s="344" t="n"/>
      <c r="W545" s="344" t="n"/>
    </row>
    <row r="546" customFormat="1" s="354">
      <c r="A546" s="345" t="n"/>
      <c r="B546" s="581" t="n"/>
      <c r="C546" s="582" t="n"/>
      <c r="D546" s="583" t="n"/>
      <c r="E546" s="584" t="n"/>
      <c r="F546" s="350" t="n"/>
      <c r="G546" s="350" t="n"/>
      <c r="H546" s="350" t="n"/>
      <c r="I546" s="350" t="n"/>
      <c r="J546" s="350" t="n"/>
      <c r="K546" s="351" t="n"/>
      <c r="L546" s="355" t="inlineStr">
        <is>
          <t>2841000174401_【ＱＣＳ】高菜炒め.xlsx</t>
        </is>
      </c>
      <c r="M546" s="350" t="n"/>
      <c r="N546" s="344" t="n"/>
      <c r="O546" s="344" t="n"/>
      <c r="P546" s="344" t="n"/>
      <c r="Q546" s="344" t="n"/>
      <c r="R546" s="344" t="n"/>
      <c r="S546" s="344" t="n"/>
      <c r="T546" s="344" t="n"/>
      <c r="U546" s="344" t="n"/>
      <c r="V546" s="344" t="n"/>
      <c r="W546" s="344" t="n"/>
    </row>
    <row r="547" customFormat="1" s="354">
      <c r="A547" s="345" t="n"/>
      <c r="B547" s="581" t="n"/>
      <c r="C547" s="582" t="n"/>
      <c r="D547" s="583" t="n"/>
      <c r="E547" s="584" t="n"/>
      <c r="F547" s="350" t="n"/>
      <c r="G547" s="350" t="n"/>
      <c r="H547" s="350" t="n"/>
      <c r="I547" s="350" t="n"/>
      <c r="J547" s="350" t="n"/>
      <c r="K547" s="351" t="n"/>
      <c r="L547" s="355" t="inlineStr">
        <is>
          <t>2841000187685_【ＱＣＳ】ケチャップライス（鶏ミンチ７：３炒め）.xlsx</t>
        </is>
      </c>
      <c r="M547" s="350" t="n"/>
      <c r="N547" s="344" t="n"/>
      <c r="O547" s="344" t="n"/>
      <c r="P547" s="344" t="n"/>
      <c r="Q547" s="344" t="n"/>
      <c r="R547" s="344" t="n"/>
      <c r="S547" s="344" t="n"/>
      <c r="T547" s="344" t="n"/>
      <c r="U547" s="344" t="n"/>
      <c r="V547" s="344" t="n"/>
      <c r="W547" s="344" t="n"/>
    </row>
    <row r="548" customFormat="1" s="354">
      <c r="A548" s="345" t="n"/>
      <c r="B548" s="581" t="n"/>
      <c r="C548" s="582" t="n"/>
      <c r="D548" s="583" t="n"/>
      <c r="E548" s="584" t="n"/>
      <c r="F548" s="350" t="n"/>
      <c r="G548" s="350" t="n"/>
      <c r="H548" s="350" t="n"/>
      <c r="I548" s="350" t="n"/>
      <c r="J548" s="350" t="n"/>
      <c r="K548" s="351" t="n"/>
      <c r="L548" s="355" t="inlineStr">
        <is>
          <t>2841000188033_【ＱＣＳ】ケチャップライス（オムライス７）.xlsx</t>
        </is>
      </c>
      <c r="M548" s="350" t="n"/>
      <c r="N548" s="344" t="n"/>
      <c r="O548" s="344" t="n"/>
      <c r="P548" s="344" t="n"/>
      <c r="Q548" s="344" t="n"/>
      <c r="R548" s="344" t="n"/>
      <c r="S548" s="344" t="n"/>
      <c r="T548" s="344" t="n"/>
      <c r="U548" s="344" t="n"/>
      <c r="V548" s="344" t="n"/>
      <c r="W548" s="344" t="n"/>
    </row>
    <row r="549" customFormat="1" s="354">
      <c r="A549" s="345" t="n"/>
      <c r="B549" s="581" t="n"/>
      <c r="C549" s="582" t="n"/>
      <c r="D549" s="583" t="n"/>
      <c r="E549" s="584" t="n"/>
      <c r="F549" s="350" t="n"/>
      <c r="G549" s="350" t="n"/>
      <c r="H549" s="350" t="n"/>
      <c r="I549" s="350" t="n"/>
      <c r="J549" s="350" t="n"/>
      <c r="K549" s="351" t="n"/>
      <c r="L549" s="350" t="n"/>
      <c r="M549" s="350" t="n"/>
      <c r="N549" s="344" t="n"/>
      <c r="O549" s="344" t="n"/>
      <c r="P549" s="344" t="n"/>
      <c r="Q549" s="344" t="n"/>
      <c r="R549" s="344" t="n"/>
      <c r="S549" s="344" t="n"/>
      <c r="T549" s="344" t="n"/>
      <c r="U549" s="344" t="n"/>
      <c r="V549" s="344" t="n"/>
      <c r="W549" s="344" t="n"/>
    </row>
    <row r="550" customFormat="1" s="354">
      <c r="A550" s="345" t="n"/>
      <c r="B550" s="581" t="n"/>
      <c r="C550" s="582" t="n"/>
      <c r="D550" s="583" t="n"/>
      <c r="E550" s="584" t="n"/>
      <c r="F550" s="350" t="n"/>
      <c r="G550" s="350" t="n"/>
      <c r="H550" s="350" t="n"/>
      <c r="I550" s="350" t="n"/>
      <c r="J550" s="350" t="n"/>
      <c r="K550" s="351" t="n"/>
      <c r="L550" s="355" t="inlineStr">
        <is>
          <t>../../../../01_組織_メガ生鮮_惣菜/〇商品開発室/個人名フォルダ/大津/開発規格書/久保レシピ修正版/ＱＣＳ/◆【B追加】チキン南蛮丼５（白鳥）.xlsx</t>
        </is>
      </c>
      <c r="M550" s="350" t="n"/>
      <c r="N550" s="344" t="n"/>
      <c r="O550" s="344" t="n"/>
      <c r="P550" s="344" t="n"/>
      <c r="Q550" s="344" t="n"/>
      <c r="R550" s="344" t="n"/>
      <c r="S550" s="344" t="n"/>
      <c r="T550" s="344" t="n"/>
      <c r="U550" s="344" t="n"/>
      <c r="V550" s="344" t="n"/>
      <c r="W550" s="344" t="n"/>
    </row>
    <row r="551" customFormat="1" s="354">
      <c r="A551" s="345" t="n"/>
      <c r="B551" s="581" t="n"/>
      <c r="C551" s="582" t="n"/>
      <c r="D551" s="583" t="n"/>
      <c r="E551" s="584" t="n"/>
      <c r="F551" s="350" t="n"/>
      <c r="G551" s="350" t="n"/>
      <c r="H551" s="350" t="n"/>
      <c r="I551" s="350" t="n"/>
      <c r="J551" s="350" t="n"/>
      <c r="K551" s="351" t="n"/>
      <c r="L551" s="355" t="inlineStr">
        <is>
          <t>2841000169551_【ＱＣＳ】ナポリタンソース５.xlsx</t>
        </is>
      </c>
      <c r="M551" s="350" t="n"/>
      <c r="N551" s="344" t="n"/>
      <c r="O551" s="344" t="n"/>
      <c r="P551" s="344" t="n"/>
      <c r="Q551" s="344" t="n"/>
      <c r="R551" s="344" t="n"/>
      <c r="S551" s="344" t="n"/>
      <c r="T551" s="344" t="n"/>
      <c r="U551" s="344" t="n"/>
      <c r="V551" s="344" t="n"/>
      <c r="W551" s="344" t="n"/>
    </row>
    <row r="552" customFormat="1" s="354">
      <c r="A552" s="345" t="n"/>
      <c r="B552" s="581" t="n"/>
      <c r="C552" s="582" t="n"/>
      <c r="D552" s="583" t="n"/>
      <c r="E552" s="584" t="n"/>
      <c r="F552" s="350" t="n"/>
      <c r="G552" s="350" t="n"/>
      <c r="H552" s="350" t="n"/>
      <c r="I552" s="350" t="n"/>
      <c r="J552" s="350" t="n"/>
      <c r="K552" s="351" t="n"/>
      <c r="L552" s="355" t="inlineStr">
        <is>
          <t>2841000169568_【ＱＣＳ】ナポリタン用茹で麺２.xlsx</t>
        </is>
      </c>
      <c r="M552" s="350" t="n"/>
      <c r="N552" s="344" t="n"/>
      <c r="O552" s="344" t="n"/>
      <c r="P552" s="344" t="n"/>
      <c r="Q552" s="344" t="n"/>
      <c r="R552" s="344" t="n"/>
      <c r="S552" s="344" t="n"/>
      <c r="T552" s="344" t="n"/>
      <c r="U552" s="344" t="n"/>
      <c r="V552" s="344" t="n"/>
      <c r="W552" s="344" t="n"/>
    </row>
    <row r="553" customFormat="1" s="354">
      <c r="A553" s="345" t="n"/>
      <c r="B553" s="581" t="n"/>
      <c r="C553" s="582" t="n"/>
      <c r="D553" s="583" t="n"/>
      <c r="E553" s="584" t="n"/>
      <c r="F553" s="350" t="n"/>
      <c r="G553" s="350" t="n"/>
      <c r="H553" s="350" t="n"/>
      <c r="I553" s="350" t="n"/>
      <c r="J553" s="350" t="n"/>
      <c r="K553" s="351" t="n"/>
      <c r="L553" s="355" t="inlineStr">
        <is>
          <t>2841000170359_【ＱＣＳ】ナポリタン麺和え.xlsx</t>
        </is>
      </c>
      <c r="M553" s="350" t="n"/>
      <c r="N553" s="344" t="n"/>
      <c r="O553" s="344" t="n"/>
      <c r="P553" s="344" t="n"/>
      <c r="Q553" s="344" t="n"/>
      <c r="R553" s="344" t="n"/>
      <c r="S553" s="344" t="n"/>
      <c r="T553" s="344" t="n"/>
      <c r="U553" s="344" t="n"/>
      <c r="V553" s="344" t="n"/>
      <c r="W553" s="344" t="n"/>
    </row>
    <row r="554" customFormat="1" s="354">
      <c r="A554" s="345" t="n"/>
      <c r="B554" s="581" t="n"/>
      <c r="C554" s="582" t="n"/>
      <c r="D554" s="583" t="n"/>
      <c r="E554" s="584" t="n"/>
      <c r="F554" s="350" t="n"/>
      <c r="G554" s="350" t="n"/>
      <c r="H554" s="350" t="n"/>
      <c r="I554" s="350" t="n"/>
      <c r="J554" s="350" t="n"/>
      <c r="K554" s="351" t="n"/>
      <c r="L554" s="355" t="inlineStr">
        <is>
          <t>2841000188040_【ＱＣＳ】とり天油調.xlsx</t>
        </is>
      </c>
      <c r="M554" s="365" t="n"/>
      <c r="N554" s="344" t="n"/>
      <c r="O554" s="344" t="n"/>
      <c r="P554" s="344" t="n"/>
      <c r="Q554" s="344" t="n"/>
      <c r="R554" s="344" t="n"/>
      <c r="S554" s="344" t="n"/>
      <c r="T554" s="344" t="n"/>
      <c r="U554" s="344" t="n"/>
      <c r="V554" s="344" t="n"/>
      <c r="W554" s="344" t="n"/>
    </row>
    <row r="555" customFormat="1" s="354">
      <c r="A555" s="345" t="n"/>
      <c r="B555" s="581" t="n"/>
      <c r="C555" s="582" t="n"/>
      <c r="D555" s="583" t="n"/>
      <c r="E555" s="584" t="n"/>
      <c r="F555" s="350" t="n"/>
      <c r="G555" s="350" t="n"/>
      <c r="H555" s="350" t="n"/>
      <c r="I555" s="350" t="n"/>
      <c r="J555" s="350" t="n"/>
      <c r="K555" s="351" t="n"/>
      <c r="L555" s="355" t="inlineStr">
        <is>
          <t>2841000187708_【ＱＣＳ】とり天用天ぷら衣.xlsx</t>
        </is>
      </c>
      <c r="M555" s="365" t="n"/>
      <c r="N555" s="344" t="n"/>
      <c r="O555" s="344" t="n"/>
      <c r="P555" s="344" t="n"/>
      <c r="Q555" s="344" t="n"/>
      <c r="R555" s="344" t="n"/>
      <c r="S555" s="344" t="n"/>
      <c r="T555" s="344" t="n"/>
      <c r="U555" s="344" t="n"/>
      <c r="V555" s="344" t="n"/>
      <c r="W555" s="344" t="n"/>
    </row>
    <row r="556" customFormat="1" s="354">
      <c r="A556" s="345" t="n"/>
      <c r="B556" s="581" t="n"/>
      <c r="C556" s="582" t="n"/>
      <c r="D556" s="583" t="n"/>
      <c r="E556" s="584" t="n"/>
      <c r="F556" s="350" t="n"/>
      <c r="G556" s="350" t="n"/>
      <c r="H556" s="350" t="n"/>
      <c r="I556" s="350" t="n"/>
      <c r="J556" s="350" t="n"/>
      <c r="K556" s="351" t="n"/>
      <c r="L556" s="355" t="inlineStr">
        <is>
          <t>2841000174395_【ＱＣＳ】クラッシュ玉子.xlsx</t>
        </is>
      </c>
      <c r="M556" s="350" t="n"/>
      <c r="N556" s="344" t="n"/>
      <c r="O556" s="344" t="n"/>
      <c r="P556" s="344" t="n"/>
      <c r="Q556" s="344" t="n"/>
      <c r="R556" s="344" t="n"/>
      <c r="S556" s="344" t="n"/>
      <c r="T556" s="344" t="n"/>
      <c r="U556" s="344" t="n"/>
      <c r="V556" s="344" t="n"/>
      <c r="W556" s="344" t="n"/>
    </row>
    <row r="557" customFormat="1" s="354">
      <c r="A557" s="345" t="n"/>
      <c r="B557" s="581" t="n"/>
      <c r="C557" s="582" t="n"/>
      <c r="D557" s="583" t="n"/>
      <c r="E557" s="592" t="n"/>
      <c r="F557" s="350" t="n"/>
      <c r="G557" s="350" t="n"/>
      <c r="H557" s="350" t="n"/>
      <c r="I557" s="350" t="n"/>
      <c r="J557" s="350" t="n"/>
      <c r="K557" s="351" t="n"/>
      <c r="L557" s="355" t="inlineStr">
        <is>
          <t>2841000168707_【ＱＣＳ】玉子加熱.xlsx</t>
        </is>
      </c>
      <c r="M557" s="350" t="n"/>
      <c r="N557" s="344" t="n"/>
      <c r="O557" s="344" t="n"/>
      <c r="P557" s="344" t="n"/>
      <c r="Q557" s="344" t="n"/>
      <c r="R557" s="344" t="n"/>
      <c r="S557" s="344" t="n"/>
      <c r="T557" s="344" t="n"/>
      <c r="U557" s="344" t="n"/>
      <c r="V557" s="344" t="n"/>
      <c r="W557" s="344" t="n"/>
    </row>
    <row r="558" customFormat="1" s="354">
      <c r="A558" s="345" t="n"/>
      <c r="B558" s="581" t="n"/>
      <c r="C558" s="582" t="n"/>
      <c r="D558" s="583" t="n"/>
      <c r="E558" s="594" t="n"/>
      <c r="F558" s="350" t="n"/>
      <c r="G558" s="350" t="n"/>
      <c r="H558" s="350" t="n"/>
      <c r="I558" s="350" t="n"/>
      <c r="J558" s="350" t="n"/>
      <c r="K558" s="351" t="n"/>
      <c r="L558" s="355" t="inlineStr">
        <is>
          <t>2841000174395_【ＱＣＳ】クラッシュ玉子.xlsx</t>
        </is>
      </c>
      <c r="M558" s="350" t="n"/>
      <c r="N558" s="344" t="n"/>
      <c r="O558" s="344" t="n"/>
      <c r="P558" s="344" t="n"/>
      <c r="Q558" s="344" t="n"/>
      <c r="R558" s="344" t="n"/>
      <c r="S558" s="344" t="n"/>
      <c r="T558" s="344" t="n"/>
      <c r="U558" s="344" t="n"/>
      <c r="V558" s="344" t="n"/>
      <c r="W558" s="344" t="n"/>
    </row>
    <row r="559" customFormat="1" s="354">
      <c r="A559" s="345" t="n"/>
      <c r="B559" s="581" t="n"/>
      <c r="C559" s="582" t="n"/>
      <c r="D559" s="583" t="n"/>
      <c r="E559" s="584" t="n"/>
      <c r="F559" s="350" t="n"/>
      <c r="G559" s="350" t="n"/>
      <c r="H559" s="350" t="n"/>
      <c r="I559" s="350" t="n"/>
      <c r="J559" s="350" t="n"/>
      <c r="K559" s="351" t="n"/>
      <c r="L559" s="355" t="inlineStr">
        <is>
          <t>../../../../〇商品部/▲白鳥CK/CK手順書/2026年/7月/タルタル切替/◆【タルタル切替】チキン南蛮丼８.xlsx</t>
        </is>
      </c>
      <c r="M559" s="350" t="n"/>
      <c r="N559" s="344" t="n"/>
      <c r="O559" s="344" t="n"/>
      <c r="P559" s="344" t="n"/>
      <c r="Q559" s="344" t="n"/>
      <c r="R559" s="344" t="n"/>
      <c r="S559" s="344" t="n"/>
      <c r="T559" s="344" t="n"/>
      <c r="U559" s="344" t="n"/>
      <c r="V559" s="344" t="n"/>
      <c r="W559" s="344" t="n"/>
    </row>
    <row r="560" customFormat="1" s="354">
      <c r="A560" s="345" t="n"/>
      <c r="B560" s="581" t="n"/>
      <c r="C560" s="582" t="n"/>
      <c r="D560" s="583" t="n"/>
      <c r="E560" s="584" t="n"/>
      <c r="F560" s="350" t="n"/>
      <c r="G560" s="350" t="n"/>
      <c r="H560" s="350" t="n"/>
      <c r="I560" s="350" t="n"/>
      <c r="J560" s="350" t="n"/>
      <c r="K560" s="351" t="n"/>
      <c r="L560" s="350" t="n"/>
      <c r="M560" s="367" t="inlineStr">
        <is>
          <t>../../../../01_組織_メガ生鮮_惣菜/〇商品開発室/個人名フォルダ/大津/開発規格書/久保レシピ修正版/ＱＣＳ/◆【Ｂ便追加】ミニ鶏そぼろ丼５（白鳥）.xlsx</t>
        </is>
      </c>
      <c r="N560" s="344" t="n"/>
      <c r="O560" s="344" t="n"/>
      <c r="P560" s="344" t="n"/>
      <c r="Q560" s="344" t="n"/>
      <c r="R560" s="344" t="n"/>
      <c r="S560" s="344" t="n"/>
      <c r="T560" s="344" t="n"/>
      <c r="U560" s="344" t="n"/>
      <c r="V560" s="344" t="n"/>
      <c r="W560" s="344" t="n"/>
    </row>
    <row r="561" customFormat="1" s="354">
      <c r="A561" s="345" t="n"/>
      <c r="B561" s="581" t="n"/>
      <c r="C561" s="582" t="n"/>
      <c r="D561" s="583" t="n"/>
      <c r="E561" s="584" t="n"/>
      <c r="F561" s="350" t="n"/>
      <c r="G561" s="350" t="n"/>
      <c r="H561" s="350" t="n"/>
      <c r="I561" s="350" t="n"/>
      <c r="J561" s="350" t="n"/>
      <c r="K561" s="351" t="n"/>
      <c r="L561" s="355" t="inlineStr">
        <is>
          <t>2841000174401_【ＱＣＳ】高菜炒め.xlsx</t>
        </is>
      </c>
      <c r="M561" s="350" t="n"/>
      <c r="N561" s="344" t="n"/>
      <c r="O561" s="344" t="n"/>
      <c r="P561" s="344" t="n"/>
      <c r="Q561" s="344" t="n"/>
      <c r="R561" s="344" t="n"/>
      <c r="S561" s="344" t="n"/>
      <c r="T561" s="344" t="n"/>
      <c r="U561" s="344" t="n"/>
      <c r="V561" s="344" t="n"/>
      <c r="W561" s="344" t="n"/>
    </row>
    <row r="562" customFormat="1" s="354">
      <c r="A562" s="345" t="n"/>
      <c r="B562" s="581" t="n"/>
      <c r="C562" s="582" t="n"/>
      <c r="D562" s="583" t="n"/>
      <c r="E562" s="584" t="n"/>
      <c r="F562" s="350" t="n"/>
      <c r="G562" s="350" t="n"/>
      <c r="H562" s="350" t="n"/>
      <c r="I562" s="350" t="n"/>
      <c r="J562" s="350" t="n"/>
      <c r="K562" s="351" t="n"/>
      <c r="L562" s="355" t="inlineStr">
        <is>
          <t>2841000174401_【ＱＣＳ】高菜炒め.xlsx</t>
        </is>
      </c>
      <c r="M562" s="350" t="n"/>
      <c r="N562" s="344" t="n"/>
      <c r="O562" s="344" t="n"/>
      <c r="P562" s="344" t="n"/>
      <c r="Q562" s="344" t="n"/>
      <c r="R562" s="344" t="n"/>
      <c r="S562" s="344" t="n"/>
      <c r="T562" s="344" t="n"/>
      <c r="U562" s="344" t="n"/>
      <c r="V562" s="344" t="n"/>
      <c r="W562" s="344" t="n"/>
    </row>
    <row r="563" customFormat="1" s="354">
      <c r="A563" s="345" t="n"/>
      <c r="B563" s="581" t="n"/>
      <c r="C563" s="582" t="n"/>
      <c r="D563" s="583" t="n"/>
      <c r="E563" s="584" t="n"/>
      <c r="F563" s="350" t="n"/>
      <c r="G563" s="350" t="n"/>
      <c r="H563" s="350" t="n"/>
      <c r="I563" s="350" t="n"/>
      <c r="J563" s="350" t="n"/>
      <c r="K563" s="351" t="n"/>
      <c r="L563" s="355" t="inlineStr">
        <is>
          <t>2841000187647_【ＱＣＳ】鶏そぼろ（鶏ミンチ７：３）.xlsx</t>
        </is>
      </c>
      <c r="M563" s="350" t="n"/>
      <c r="N563" s="344" t="n"/>
      <c r="O563" s="344" t="n"/>
      <c r="P563" s="344" t="n"/>
      <c r="Q563" s="344" t="n"/>
      <c r="R563" s="344" t="n"/>
      <c r="S563" s="344" t="n"/>
      <c r="T563" s="344" t="n"/>
      <c r="U563" s="344" t="n"/>
      <c r="V563" s="344" t="n"/>
      <c r="W563" s="344" t="n"/>
    </row>
    <row r="564" customFormat="1" s="354">
      <c r="A564" s="345" t="n"/>
      <c r="B564" s="581" t="n"/>
      <c r="C564" s="582" t="n"/>
      <c r="D564" s="583" t="n"/>
      <c r="E564" s="584" t="n"/>
      <c r="F564" s="350" t="n"/>
      <c r="G564" s="350" t="n"/>
      <c r="H564" s="350" t="n"/>
      <c r="I564" s="350" t="n"/>
      <c r="J564" s="350" t="n"/>
      <c r="K564" s="351" t="n"/>
      <c r="L564" s="350" t="n"/>
      <c r="M564" s="350" t="n"/>
      <c r="N564" s="344" t="n"/>
      <c r="O564" s="344" t="n"/>
      <c r="P564" s="344" t="n"/>
      <c r="Q564" s="344" t="n"/>
      <c r="R564" s="344" t="n"/>
      <c r="S564" s="344" t="n"/>
      <c r="T564" s="344" t="n"/>
      <c r="U564" s="344" t="n"/>
      <c r="V564" s="344" t="n"/>
      <c r="W564" s="344" t="n"/>
    </row>
    <row r="565" customFormat="1" s="354">
      <c r="A565" s="345" t="n"/>
      <c r="B565" s="581" t="n"/>
      <c r="C565" s="582" t="n"/>
      <c r="D565" s="583" t="n"/>
      <c r="E565" s="584" t="n"/>
      <c r="F565" s="350" t="n"/>
      <c r="G565" s="350" t="n"/>
      <c r="H565" s="350" t="n"/>
      <c r="I565" s="350" t="n"/>
      <c r="J565" s="350" t="n"/>
      <c r="K565" s="351" t="n"/>
      <c r="L565" s="593" t="inlineStr">
        <is>
          <t>../開発規格書/久保レシピ修正版/ＱＣＳ/◆【商品規格書】ねぎ塩豚カルビ６（1.5㎜→2.5㎜）.xlsx</t>
        </is>
      </c>
      <c r="M565" s="350" t="n"/>
      <c r="N565" s="344" t="n"/>
      <c r="O565" s="344" t="n"/>
      <c r="P565" s="344" t="n"/>
      <c r="Q565" s="344" t="n"/>
      <c r="R565" s="344" t="n"/>
      <c r="S565" s="344" t="n"/>
      <c r="T565" s="344" t="n"/>
      <c r="U565" s="344" t="n"/>
      <c r="V565" s="344" t="n"/>
      <c r="W565" s="344" t="n"/>
    </row>
    <row r="566" customFormat="1" s="354">
      <c r="A566" s="345" t="n"/>
      <c r="B566" s="581" t="n"/>
      <c r="C566" s="582" t="n"/>
      <c r="D566" s="583" t="n"/>
      <c r="E566" s="584" t="n"/>
      <c r="F566" s="350" t="n"/>
      <c r="G566" s="350" t="n"/>
      <c r="H566" s="350" t="n"/>
      <c r="I566" s="350" t="n"/>
      <c r="J566" s="350" t="n"/>
      <c r="K566" s="351" t="n"/>
      <c r="L566" s="350" t="n"/>
      <c r="M566" s="350" t="n"/>
      <c r="N566" s="344" t="n"/>
      <c r="O566" s="344" t="n"/>
      <c r="P566" s="344" t="n"/>
      <c r="Q566" s="344" t="n"/>
      <c r="R566" s="344" t="n"/>
      <c r="S566" s="344" t="n"/>
      <c r="T566" s="344" t="n"/>
      <c r="U566" s="344" t="n"/>
      <c r="V566" s="344" t="n"/>
      <c r="W566" s="344" t="n"/>
    </row>
    <row r="567" customFormat="1" s="354">
      <c r="A567" s="345" t="n"/>
      <c r="B567" s="581" t="n"/>
      <c r="C567" s="582" t="n"/>
      <c r="D567" s="583" t="n"/>
      <c r="E567" s="584" t="n"/>
      <c r="F567" s="350" t="n"/>
      <c r="G567" s="350" t="n"/>
      <c r="H567" s="350" t="n"/>
      <c r="I567" s="350" t="n"/>
      <c r="J567" s="350" t="n"/>
      <c r="K567" s="351" t="n"/>
      <c r="L567" s="350" t="n"/>
      <c r="M567" s="350" t="n"/>
      <c r="N567" s="344" t="n"/>
      <c r="O567" s="344" t="n"/>
      <c r="P567" s="344" t="n"/>
      <c r="Q567" s="344" t="n"/>
      <c r="R567" s="344" t="n"/>
      <c r="S567" s="344" t="n"/>
      <c r="T567" s="344" t="n"/>
      <c r="U567" s="344" t="n"/>
      <c r="V567" s="344" t="n"/>
      <c r="W567" s="344" t="n"/>
    </row>
    <row r="568" customFormat="1" s="354">
      <c r="A568" s="345" t="n"/>
      <c r="B568" s="581" t="n"/>
      <c r="C568" s="582" t="n"/>
      <c r="D568" s="583" t="n"/>
      <c r="E568" s="584" t="n"/>
      <c r="F568" s="350" t="n"/>
      <c r="G568" s="350" t="n"/>
      <c r="H568" s="350" t="n"/>
      <c r="I568" s="350" t="n"/>
      <c r="J568" s="350" t="n"/>
      <c r="K568" s="351" t="n"/>
      <c r="L568" s="593" t="inlineStr">
        <is>
          <t>../開発規格書/久保レシピ修正版/ＱＣＳ/◆【商品規格書】ねぎ塩豚カルビ６（1.5㎜→2.5㎜）.xlsx</t>
        </is>
      </c>
      <c r="M568" s="350" t="n"/>
      <c r="N568" s="344" t="n"/>
      <c r="O568" s="344" t="n"/>
      <c r="P568" s="344" t="n"/>
      <c r="Q568" s="344" t="n"/>
      <c r="R568" s="344" t="n"/>
      <c r="S568" s="344" t="n"/>
      <c r="T568" s="344" t="n"/>
      <c r="U568" s="344" t="n"/>
      <c r="V568" s="344" t="n"/>
      <c r="W568" s="344" t="n"/>
    </row>
    <row r="569" customFormat="1" s="354">
      <c r="A569" s="345" t="n"/>
      <c r="B569" s="585" t="n"/>
      <c r="C569" s="582" t="n"/>
      <c r="D569" s="586" t="n"/>
      <c r="E569" s="584" t="n"/>
      <c r="F569" s="350" t="n"/>
      <c r="G569" s="350" t="n"/>
      <c r="H569" s="350" t="n"/>
      <c r="I569" s="350" t="n"/>
      <c r="J569" s="350" t="n"/>
      <c r="K569" s="351" t="n"/>
      <c r="L569" s="350" t="n"/>
      <c r="M569" s="350" t="n"/>
      <c r="N569" s="344" t="n"/>
      <c r="O569" s="344" t="n"/>
      <c r="P569" s="344" t="n"/>
      <c r="Q569" s="344" t="n"/>
      <c r="R569" s="344" t="n"/>
      <c r="S569" s="344" t="n"/>
      <c r="T569" s="344" t="n"/>
      <c r="U569" s="344" t="n"/>
      <c r="V569" s="344" t="n"/>
      <c r="W569" s="344" t="n"/>
    </row>
    <row r="570" ht="18" customFormat="1" customHeight="1" s="354">
      <c r="A570" s="345" t="n"/>
      <c r="B570" s="581" t="n"/>
      <c r="C570" s="582" t="n"/>
      <c r="D570" s="583" t="n"/>
      <c r="E570" s="584" t="n"/>
      <c r="F570" s="350" t="n"/>
      <c r="G570" s="350" t="n"/>
      <c r="H570" s="350" t="n"/>
      <c r="I570" s="350" t="n"/>
      <c r="J570" s="350" t="n"/>
      <c r="K570" s="351" t="n"/>
      <c r="L570" s="350" t="n"/>
      <c r="M570" s="350" t="n"/>
      <c r="N570" s="344" t="n"/>
      <c r="O570" s="344" t="n"/>
      <c r="P570" s="344" t="n"/>
      <c r="Q570" s="344" t="n"/>
      <c r="R570" s="344" t="n"/>
      <c r="S570" s="344" t="n"/>
      <c r="T570" s="344" t="n"/>
      <c r="U570" s="344" t="n"/>
      <c r="V570" s="344" t="n"/>
      <c r="W570" s="344" t="n"/>
    </row>
    <row r="571" ht="18" customFormat="1" customHeight="1" s="354">
      <c r="A571" s="345" t="n"/>
      <c r="B571" s="581" t="n"/>
      <c r="C571" s="582" t="n"/>
      <c r="D571" s="583" t="n"/>
      <c r="E571" s="584" t="n"/>
      <c r="F571" s="350" t="n"/>
      <c r="G571" s="350" t="n"/>
      <c r="H571" s="350" t="n"/>
      <c r="I571" s="350" t="n"/>
      <c r="J571" s="350" t="n"/>
      <c r="K571" s="351" t="n"/>
      <c r="L571" s="350" t="n"/>
      <c r="M571" s="350" t="n"/>
      <c r="N571" s="344" t="n"/>
      <c r="O571" s="344" t="n"/>
      <c r="P571" s="344" t="n"/>
      <c r="Q571" s="344" t="n"/>
      <c r="R571" s="344" t="n"/>
      <c r="S571" s="344" t="n"/>
      <c r="T571" s="344" t="n"/>
      <c r="U571" s="344" t="n"/>
      <c r="V571" s="344" t="n"/>
      <c r="W571" s="344" t="n"/>
    </row>
    <row r="572" ht="18" customFormat="1" customHeight="1" s="354">
      <c r="A572" s="345" t="n"/>
      <c r="B572" s="581" t="n"/>
      <c r="C572" s="582" t="n"/>
      <c r="D572" s="583" t="n"/>
      <c r="E572" s="584" t="n"/>
      <c r="F572" s="350" t="n"/>
      <c r="G572" s="350" t="n"/>
      <c r="H572" s="350" t="n"/>
      <c r="I572" s="350" t="n"/>
      <c r="J572" s="350" t="n"/>
      <c r="K572" s="351" t="n"/>
      <c r="L572" s="350" t="n"/>
      <c r="M572" s="350" t="n"/>
      <c r="N572" s="344" t="n"/>
      <c r="O572" s="344" t="n"/>
      <c r="P572" s="344" t="n"/>
      <c r="Q572" s="344" t="n"/>
      <c r="R572" s="344" t="n"/>
      <c r="S572" s="344" t="n"/>
      <c r="T572" s="344" t="n"/>
      <c r="U572" s="344" t="n"/>
      <c r="V572" s="344" t="n"/>
      <c r="W572" s="344" t="n"/>
    </row>
    <row r="573" customFormat="1" s="354">
      <c r="A573" s="345" t="n"/>
      <c r="B573" s="585" t="n"/>
      <c r="C573" s="582" t="n"/>
      <c r="D573" s="586" t="n"/>
      <c r="E573" s="584" t="n"/>
      <c r="F573" s="350" t="n"/>
      <c r="G573" s="350" t="n"/>
      <c r="H573" s="350" t="n"/>
      <c r="I573" s="350" t="n"/>
      <c r="J573" s="350" t="n"/>
      <c r="K573" s="351" t="n"/>
      <c r="L573" s="350" t="n"/>
      <c r="M573" s="350" t="n"/>
      <c r="N573" s="344" t="n"/>
      <c r="O573" s="344" t="n"/>
      <c r="P573" s="344" t="n"/>
      <c r="Q573" s="344" t="n"/>
      <c r="R573" s="344" t="n"/>
      <c r="S573" s="344" t="n"/>
      <c r="T573" s="344" t="n"/>
      <c r="U573" s="344" t="n"/>
      <c r="V573" s="344" t="n"/>
      <c r="W573" s="344" t="n"/>
    </row>
    <row r="574" customFormat="1" s="354">
      <c r="A574" s="345" t="n"/>
      <c r="B574" s="581" t="n"/>
      <c r="C574" s="582" t="n"/>
      <c r="D574" s="583" t="n"/>
      <c r="E574" s="584" t="n"/>
      <c r="F574" s="350" t="n"/>
      <c r="G574" s="350" t="n"/>
      <c r="H574" s="350" t="n"/>
      <c r="I574" s="350" t="n"/>
      <c r="J574" s="350" t="n"/>
      <c r="K574" s="351" t="n"/>
      <c r="L574" s="350" t="n"/>
      <c r="M574" s="350" t="n"/>
      <c r="N574" s="344" t="n"/>
      <c r="O574" s="344" t="n"/>
      <c r="P574" s="344" t="n"/>
      <c r="Q574" s="344" t="n"/>
      <c r="R574" s="344" t="n"/>
      <c r="S574" s="344" t="n"/>
      <c r="T574" s="344" t="n"/>
      <c r="U574" s="344" t="n"/>
      <c r="V574" s="344" t="n"/>
      <c r="W574" s="344" t="n"/>
    </row>
    <row r="575" customFormat="1" s="354">
      <c r="A575" s="345" t="n"/>
      <c r="B575" s="581" t="n"/>
      <c r="C575" s="582" t="n"/>
      <c r="D575" s="583" t="n"/>
      <c r="E575" s="584" t="n"/>
      <c r="F575" s="350" t="n"/>
      <c r="G575" s="350" t="n"/>
      <c r="H575" s="350" t="n"/>
      <c r="I575" s="350" t="n"/>
      <c r="J575" s="350" t="n"/>
      <c r="K575" s="351" t="n"/>
      <c r="L575" s="350" t="n"/>
      <c r="M575" s="350" t="n"/>
      <c r="N575" s="344" t="n"/>
      <c r="O575" s="344" t="n"/>
      <c r="P575" s="344" t="n"/>
      <c r="Q575" s="344" t="n"/>
      <c r="R575" s="344" t="n"/>
      <c r="S575" s="344" t="n"/>
      <c r="T575" s="344" t="n"/>
      <c r="U575" s="344" t="n"/>
      <c r="V575" s="344" t="n"/>
      <c r="W575" s="344" t="n"/>
    </row>
    <row r="576" customFormat="1" s="354">
      <c r="A576" s="345" t="n"/>
      <c r="B576" s="581" t="n"/>
      <c r="C576" s="582" t="n"/>
      <c r="D576" s="583" t="n"/>
      <c r="E576" s="584" t="n"/>
      <c r="F576" s="350" t="n"/>
      <c r="G576" s="350" t="n"/>
      <c r="H576" s="350" t="n"/>
      <c r="I576" s="350" t="n"/>
      <c r="J576" s="350" t="n"/>
      <c r="K576" s="351" t="n"/>
      <c r="L576" s="350" t="n"/>
      <c r="M576" s="350" t="n"/>
      <c r="N576" s="344" t="n"/>
      <c r="O576" s="344" t="n"/>
      <c r="P576" s="344" t="n"/>
      <c r="Q576" s="344" t="n"/>
      <c r="R576" s="344" t="n"/>
      <c r="S576" s="344" t="n"/>
      <c r="T576" s="344" t="n"/>
      <c r="U576" s="344" t="n"/>
      <c r="V576" s="344" t="n"/>
      <c r="W576" s="344" t="n"/>
    </row>
    <row r="577" customFormat="1" s="354">
      <c r="A577" s="345" t="n"/>
      <c r="B577" s="581" t="n"/>
      <c r="C577" s="582" t="n"/>
      <c r="D577" s="583" t="n"/>
      <c r="E577" s="584" t="n"/>
      <c r="F577" s="350" t="n"/>
      <c r="G577" s="350" t="n"/>
      <c r="H577" s="350" t="n"/>
      <c r="I577" s="350" t="n"/>
      <c r="J577" s="350" t="n"/>
      <c r="K577" s="351" t="n"/>
      <c r="L577" s="355" t="inlineStr">
        <is>
          <t>2841000188224_【ＱＣＳ】小松菜のおひたし.xlsx</t>
        </is>
      </c>
      <c r="M577" s="350" t="n"/>
      <c r="N577" s="344" t="n"/>
      <c r="O577" s="344" t="n"/>
      <c r="P577" s="344" t="n"/>
      <c r="Q577" s="344" t="n"/>
      <c r="R577" s="344" t="n"/>
      <c r="S577" s="344" t="n"/>
      <c r="T577" s="344" t="n"/>
      <c r="U577" s="344" t="n"/>
      <c r="V577" s="344" t="n"/>
      <c r="W577" s="344" t="n"/>
    </row>
    <row r="578" customFormat="1" s="354">
      <c r="A578" s="345" t="n"/>
      <c r="B578" s="581" t="n"/>
      <c r="C578" s="582" t="n"/>
      <c r="D578" s="583" t="n"/>
      <c r="E578" s="584" t="n"/>
      <c r="F578" s="350" t="n"/>
      <c r="G578" s="350" t="n"/>
      <c r="H578" s="350" t="n"/>
      <c r="I578" s="350" t="n"/>
      <c r="J578" s="350" t="n"/>
      <c r="K578" s="351" t="n"/>
      <c r="L578" s="355" t="inlineStr">
        <is>
          <t>2841000188149_【ＱＣＳ】小松菜のおひたし調味液.xlsx</t>
        </is>
      </c>
      <c r="M578" s="350" t="n"/>
      <c r="N578" s="344" t="n"/>
      <c r="O578" s="344" t="n"/>
      <c r="P578" s="344" t="n"/>
      <c r="Q578" s="344" t="n"/>
      <c r="R578" s="344" t="n"/>
      <c r="S578" s="344" t="n"/>
      <c r="T578" s="344" t="n"/>
      <c r="U578" s="344" t="n"/>
      <c r="V578" s="344" t="n"/>
      <c r="W578" s="344" t="n"/>
    </row>
    <row r="579" customFormat="1" s="354">
      <c r="A579" s="345" t="n"/>
      <c r="B579" s="581" t="n"/>
      <c r="C579" s="582" t="n"/>
      <c r="D579" s="583" t="n"/>
      <c r="E579" s="584" t="n"/>
      <c r="F579" s="350" t="n"/>
      <c r="G579" s="350" t="n"/>
      <c r="H579" s="350" t="n"/>
      <c r="I579" s="350" t="n"/>
      <c r="J579" s="350" t="n"/>
      <c r="K579" s="351" t="n"/>
      <c r="L579" s="355" t="inlineStr">
        <is>
          <t>2841000188156_【ＱＣＳ】小松菜のおひたし野菜ボイル.xlsx</t>
        </is>
      </c>
      <c r="M579" s="350" t="n"/>
      <c r="N579" s="344" t="n"/>
      <c r="O579" s="344" t="n"/>
      <c r="P579" s="344" t="n"/>
      <c r="Q579" s="344" t="n"/>
      <c r="R579" s="344" t="n"/>
      <c r="S579" s="344" t="n"/>
      <c r="T579" s="344" t="n"/>
      <c r="U579" s="344" t="n"/>
      <c r="V579" s="344" t="n"/>
      <c r="W579" s="344" t="n"/>
    </row>
    <row r="580" customFormat="1" s="354">
      <c r="A580" s="345" t="n"/>
      <c r="B580" s="581" t="n"/>
      <c r="C580" s="582" t="n"/>
      <c r="D580" s="583" t="n"/>
      <c r="E580" s="584" t="n"/>
      <c r="F580" s="350" t="n"/>
      <c r="G580" s="350" t="n"/>
      <c r="H580" s="350" t="n"/>
      <c r="I580" s="350" t="n"/>
      <c r="J580" s="350" t="n"/>
      <c r="K580" s="351" t="n"/>
      <c r="L580" s="350" t="n"/>
      <c r="M580" s="350" t="n"/>
      <c r="N580" s="344" t="n"/>
      <c r="O580" s="344" t="n"/>
      <c r="P580" s="344" t="n"/>
      <c r="Q580" s="344" t="n"/>
      <c r="R580" s="344" t="n"/>
      <c r="S580" s="344" t="n"/>
      <c r="T580" s="344" t="n"/>
      <c r="U580" s="344" t="n"/>
      <c r="V580" s="344" t="n"/>
      <c r="W580" s="344" t="n"/>
    </row>
    <row r="581" customFormat="1" s="354">
      <c r="A581" s="345" t="n"/>
      <c r="B581" s="585" t="n"/>
      <c r="C581" s="582" t="n"/>
      <c r="D581" s="586" t="n"/>
      <c r="E581" s="584" t="n"/>
      <c r="F581" s="350" t="n"/>
      <c r="G581" s="350" t="n"/>
      <c r="H581" s="350" t="n"/>
      <c r="I581" s="350" t="n"/>
      <c r="J581" s="350" t="n"/>
      <c r="K581" s="351" t="n"/>
      <c r="L581" s="350" t="n"/>
      <c r="M581" s="350" t="n"/>
      <c r="N581" s="344" t="n"/>
      <c r="O581" s="344" t="n"/>
      <c r="P581" s="344" t="n"/>
      <c r="Q581" s="344" t="n"/>
      <c r="R581" s="344" t="n"/>
      <c r="S581" s="344" t="n"/>
      <c r="T581" s="344" t="n"/>
      <c r="U581" s="344" t="n"/>
      <c r="V581" s="344" t="n"/>
      <c r="W581" s="344" t="n"/>
    </row>
    <row r="582" customFormat="1" s="354">
      <c r="A582" s="345" t="n"/>
      <c r="B582" s="581" t="n"/>
      <c r="C582" s="582" t="n"/>
      <c r="D582" s="583" t="n"/>
      <c r="E582" s="584" t="n"/>
      <c r="F582" s="350" t="n"/>
      <c r="G582" s="350" t="n"/>
      <c r="H582" s="350" t="n"/>
      <c r="I582" s="350" t="n"/>
      <c r="J582" s="350" t="n"/>
      <c r="K582" s="351" t="n"/>
      <c r="L582" s="355" t="inlineStr">
        <is>
          <t>2841000174821_【ＱＣＳ】牛バラスライス焼成.xlsx</t>
        </is>
      </c>
      <c r="M582" s="350" t="n"/>
      <c r="N582" s="344" t="n"/>
      <c r="O582" s="344" t="n"/>
      <c r="P582" s="344" t="n"/>
      <c r="Q582" s="344" t="n"/>
      <c r="R582" s="344" t="n"/>
      <c r="S582" s="344" t="n"/>
      <c r="T582" s="344" t="n"/>
      <c r="U582" s="344" t="n"/>
      <c r="V582" s="344" t="n"/>
      <c r="W582" s="344" t="n"/>
    </row>
    <row r="583" customFormat="1" s="354">
      <c r="A583" s="345" t="n"/>
      <c r="B583" s="581" t="n"/>
      <c r="C583" s="582" t="n"/>
      <c r="D583" s="583" t="n"/>
      <c r="E583" s="584" t="n"/>
      <c r="F583" s="350" t="n"/>
      <c r="G583" s="350" t="n"/>
      <c r="H583" s="350" t="n"/>
      <c r="I583" s="350" t="n"/>
      <c r="J583" s="350" t="n"/>
      <c r="K583" s="351" t="n"/>
      <c r="L583" s="355" t="inlineStr">
        <is>
          <t>2841000175385_【ＱＣＳ】牛バラスライス焼成カット.xlsx</t>
        </is>
      </c>
      <c r="M583" s="350" t="n"/>
      <c r="N583" s="344" t="n"/>
      <c r="O583" s="344" t="n"/>
      <c r="P583" s="344" t="n"/>
      <c r="Q583" s="344" t="n"/>
      <c r="R583" s="344" t="n"/>
      <c r="S583" s="344" t="n"/>
      <c r="T583" s="344" t="n"/>
      <c r="U583" s="344" t="n"/>
      <c r="V583" s="344" t="n"/>
      <c r="W583" s="344" t="n"/>
    </row>
    <row r="584" customFormat="1" s="354">
      <c r="A584" s="345" t="n"/>
      <c r="B584" s="585" t="n"/>
      <c r="C584" s="582" t="n"/>
      <c r="D584" s="586" t="n"/>
      <c r="E584" s="584" t="n"/>
      <c r="F584" s="350" t="n"/>
      <c r="G584" s="350" t="n"/>
      <c r="H584" s="350" t="n"/>
      <c r="I584" s="350" t="n"/>
      <c r="J584" s="350" t="n"/>
      <c r="K584" s="351" t="n"/>
      <c r="L584" s="350" t="n"/>
      <c r="M584" s="350" t="n"/>
      <c r="N584" s="344" t="n"/>
      <c r="O584" s="344" t="n"/>
      <c r="P584" s="344" t="n"/>
      <c r="Q584" s="344" t="n"/>
      <c r="R584" s="344" t="n"/>
      <c r="S584" s="344" t="n"/>
      <c r="T584" s="344" t="n"/>
      <c r="U584" s="344" t="n"/>
      <c r="V584" s="344" t="n"/>
      <c r="W584" s="344" t="n"/>
    </row>
    <row r="585" customFormat="1" s="354">
      <c r="A585" s="345" t="n"/>
      <c r="B585" s="581" t="n"/>
      <c r="C585" s="582" t="n"/>
      <c r="D585" s="583" t="n"/>
      <c r="E585" s="584" t="n"/>
      <c r="F585" s="350" t="n"/>
      <c r="G585" s="350" t="n"/>
      <c r="H585" s="350" t="n"/>
      <c r="I585" s="350" t="n"/>
      <c r="J585" s="350" t="n"/>
      <c r="K585" s="351" t="n"/>
      <c r="L585" s="355" t="inlineStr">
        <is>
          <t>2841000196168_【ＱＣＳ】鶏むね生姜焼き下味.xlsx</t>
        </is>
      </c>
      <c r="M585" s="350" t="n"/>
      <c r="N585" s="344" t="n"/>
      <c r="O585" s="344" t="n"/>
      <c r="P585" s="344" t="n"/>
      <c r="Q585" s="344" t="n"/>
      <c r="R585" s="344" t="n"/>
      <c r="S585" s="344" t="n"/>
      <c r="T585" s="344" t="n"/>
      <c r="U585" s="344" t="n"/>
      <c r="V585" s="344" t="n"/>
      <c r="W585" s="344" t="n"/>
    </row>
    <row r="586" customFormat="1" s="354">
      <c r="A586" s="345" t="n"/>
      <c r="B586" s="581" t="n"/>
      <c r="C586" s="582" t="n"/>
      <c r="D586" s="583" t="n"/>
      <c r="E586" s="584" t="n"/>
      <c r="F586" s="350" t="n"/>
      <c r="G586" s="350" t="n"/>
      <c r="H586" s="350" t="n"/>
      <c r="I586" s="350" t="n"/>
      <c r="J586" s="350" t="n"/>
      <c r="K586" s="351" t="n"/>
      <c r="L586" s="355" t="inlineStr">
        <is>
          <t>2841000196304_【ＱＣＳ】鶏むね生姜焼き下味焼成.xlsx</t>
        </is>
      </c>
      <c r="M586" s="350" t="n"/>
      <c r="N586" s="344" t="n"/>
      <c r="O586" s="344" t="n"/>
      <c r="P586" s="344" t="n"/>
      <c r="Q586" s="344" t="n"/>
      <c r="R586" s="344" t="n"/>
      <c r="S586" s="344" t="n"/>
      <c r="T586" s="344" t="n"/>
      <c r="U586" s="344" t="n"/>
      <c r="V586" s="344" t="n"/>
      <c r="W586" s="344" t="n"/>
    </row>
    <row r="587" customFormat="1" s="354">
      <c r="A587" s="345" t="n"/>
      <c r="B587" s="581" t="n"/>
      <c r="C587" s="582" t="n"/>
      <c r="D587" s="583" t="n"/>
      <c r="E587" s="584" t="n"/>
      <c r="F587" s="350" t="n"/>
      <c r="G587" s="350" t="n"/>
      <c r="H587" s="350" t="n"/>
      <c r="I587" s="350" t="n"/>
      <c r="J587" s="350" t="n"/>
      <c r="K587" s="351" t="n"/>
      <c r="L587" s="355" t="inlineStr">
        <is>
          <t>2841000196793_【ＱＣＳ】鶏むね生姜焼きタレ和え.xlsx</t>
        </is>
      </c>
      <c r="M587" s="350" t="n"/>
      <c r="N587" s="344" t="n"/>
      <c r="O587" s="344" t="n"/>
      <c r="P587" s="344" t="n"/>
      <c r="Q587" s="344" t="n"/>
      <c r="R587" s="344" t="n"/>
      <c r="S587" s="344" t="n"/>
      <c r="T587" s="344" t="n"/>
      <c r="U587" s="344" t="n"/>
      <c r="V587" s="344" t="n"/>
      <c r="W587" s="344" t="n"/>
    </row>
    <row r="588" customFormat="1" s="354">
      <c r="A588" s="345" t="n"/>
      <c r="B588" s="581" t="n"/>
      <c r="C588" s="582" t="n"/>
      <c r="D588" s="583" t="n"/>
      <c r="E588" s="584" t="n"/>
      <c r="F588" s="350" t="n"/>
      <c r="G588" s="350" t="n"/>
      <c r="H588" s="350" t="n"/>
      <c r="I588" s="350" t="n"/>
      <c r="J588" s="350" t="n"/>
      <c r="K588" s="351" t="n"/>
      <c r="L588" s="355" t="inlineStr">
        <is>
          <t>2841000187647_【ＱＣＳ】鶏そぼろ（鶏ミンチ７：３）.xlsx</t>
        </is>
      </c>
      <c r="M588" s="350" t="n"/>
      <c r="N588" s="344" t="n"/>
      <c r="O588" s="344" t="n"/>
      <c r="P588" s="344" t="n"/>
      <c r="Q588" s="344" t="n"/>
      <c r="R588" s="344" t="n"/>
      <c r="S588" s="344" t="n"/>
      <c r="T588" s="344" t="n"/>
      <c r="U588" s="344" t="n"/>
      <c r="V588" s="344" t="n"/>
      <c r="W588" s="344" t="n"/>
    </row>
    <row r="589" customFormat="1" s="354">
      <c r="A589" s="345" t="n"/>
      <c r="B589" s="581" t="n"/>
      <c r="C589" s="582" t="n"/>
      <c r="D589" s="583" t="n"/>
      <c r="E589" s="584" t="n"/>
      <c r="F589" s="350" t="n"/>
      <c r="G589" s="350" t="n"/>
      <c r="H589" s="350" t="n"/>
      <c r="I589" s="350" t="n"/>
      <c r="J589" s="350" t="n"/>
      <c r="K589" s="351" t="n"/>
      <c r="L589" s="355" t="inlineStr">
        <is>
          <t>2841000174401_【ＱＣＳ】高菜炒め.xlsx</t>
        </is>
      </c>
      <c r="M589" s="350" t="n"/>
      <c r="N589" s="344" t="n"/>
      <c r="O589" s="344" t="n"/>
      <c r="P589" s="344" t="n"/>
      <c r="Q589" s="344" t="n"/>
      <c r="R589" s="344" t="n"/>
      <c r="S589" s="344" t="n"/>
      <c r="T589" s="344" t="n"/>
      <c r="U589" s="344" t="n"/>
      <c r="V589" s="344" t="n"/>
      <c r="W589" s="344" t="n"/>
    </row>
    <row r="590" customFormat="1" s="354">
      <c r="A590" s="345" t="n"/>
      <c r="B590" s="581" t="n"/>
      <c r="C590" s="582" t="n"/>
      <c r="D590" s="583" t="n"/>
      <c r="E590" s="584" t="n"/>
      <c r="F590" s="350" t="n"/>
      <c r="G590" s="350" t="n"/>
      <c r="H590" s="350" t="n"/>
      <c r="I590" s="350" t="n"/>
      <c r="J590" s="350" t="n"/>
      <c r="K590" s="351" t="n"/>
      <c r="L590" s="355" t="inlineStr">
        <is>
          <t>2841000174401_【ＱＣＳ】高菜炒め.xlsx</t>
        </is>
      </c>
      <c r="M590" s="350" t="n"/>
      <c r="N590" s="344" t="n"/>
      <c r="O590" s="344" t="n"/>
      <c r="P590" s="344" t="n"/>
      <c r="Q590" s="344" t="n"/>
      <c r="R590" s="344" t="n"/>
      <c r="S590" s="344" t="n"/>
      <c r="T590" s="344" t="n"/>
      <c r="U590" s="344" t="n"/>
      <c r="V590" s="344" t="n"/>
      <c r="W590" s="344" t="n"/>
    </row>
    <row r="591" customFormat="1" s="354">
      <c r="A591" s="345" t="n"/>
      <c r="B591" s="585" t="n"/>
      <c r="C591" s="582" t="n"/>
      <c r="D591" s="586" t="n"/>
      <c r="E591" s="584" t="n"/>
      <c r="F591" s="350" t="n"/>
      <c r="G591" s="350" t="n"/>
      <c r="H591" s="350" t="n"/>
      <c r="I591" s="350" t="n"/>
      <c r="J591" s="350" t="n"/>
      <c r="K591" s="351" t="n"/>
      <c r="L591" s="355" t="inlineStr">
        <is>
          <t>2841000187685_【ＱＣＳ】ケチャップライス（鶏ミンチ７：３炒め）.xlsx</t>
        </is>
      </c>
      <c r="M591" s="350" t="n"/>
      <c r="N591" s="344" t="n"/>
      <c r="O591" s="344" t="n"/>
      <c r="P591" s="344" t="n"/>
      <c r="Q591" s="344" t="n"/>
      <c r="R591" s="344" t="n"/>
      <c r="S591" s="344" t="n"/>
      <c r="T591" s="344" t="n"/>
      <c r="U591" s="344" t="n"/>
      <c r="V591" s="344" t="n"/>
      <c r="W591" s="344" t="n"/>
    </row>
    <row r="592" customFormat="1" s="354">
      <c r="A592" s="345" t="n"/>
      <c r="B592" s="581" t="n"/>
      <c r="C592" s="582" t="n"/>
      <c r="D592" s="583" t="n"/>
      <c r="E592" s="584" t="n"/>
      <c r="F592" s="350" t="n"/>
      <c r="G592" s="350" t="n"/>
      <c r="H592" s="350" t="n"/>
      <c r="I592" s="350" t="n"/>
      <c r="J592" s="350" t="n"/>
      <c r="K592" s="351" t="n"/>
      <c r="L592" s="355" t="inlineStr">
        <is>
          <t>2841000188033_【ＱＣＳ】ケチャップライス（オムライス７）.xlsx</t>
        </is>
      </c>
      <c r="M592" s="350" t="n"/>
      <c r="N592" s="344" t="n"/>
      <c r="O592" s="344" t="n"/>
      <c r="P592" s="344" t="n"/>
      <c r="Q592" s="344" t="n"/>
      <c r="R592" s="344" t="n"/>
      <c r="S592" s="344" t="n"/>
      <c r="T592" s="344" t="n"/>
      <c r="U592" s="344" t="n"/>
      <c r="V592" s="344" t="n"/>
      <c r="W592" s="344" t="n"/>
    </row>
    <row r="593" customFormat="1" s="354">
      <c r="A593" s="345" t="n"/>
      <c r="B593" s="581" t="n"/>
      <c r="C593" s="582" t="n"/>
      <c r="D593" s="583" t="n"/>
      <c r="E593" s="584" t="n"/>
      <c r="F593" s="350" t="n"/>
      <c r="G593" s="350" t="n"/>
      <c r="H593" s="350" t="n"/>
      <c r="I593" s="350" t="n"/>
      <c r="J593" s="350" t="n"/>
      <c r="K593" s="351" t="n"/>
      <c r="L593" s="350" t="n"/>
      <c r="M593" s="350" t="n"/>
      <c r="N593" s="344" t="n"/>
      <c r="O593" s="344" t="n"/>
      <c r="P593" s="344" t="n"/>
      <c r="Q593" s="344" t="n"/>
      <c r="R593" s="344" t="n"/>
      <c r="S593" s="344" t="n"/>
      <c r="T593" s="344" t="n"/>
      <c r="U593" s="344" t="n"/>
      <c r="V593" s="344" t="n"/>
      <c r="W593" s="344" t="n"/>
    </row>
    <row r="594" customFormat="1" s="354">
      <c r="A594" s="345" t="n"/>
      <c r="B594" s="585" t="n"/>
      <c r="C594" s="582" t="n"/>
      <c r="D594" s="586" t="n"/>
      <c r="E594" s="584" t="n"/>
      <c r="F594" s="350" t="n"/>
      <c r="G594" s="350" t="n"/>
      <c r="H594" s="350" t="n"/>
      <c r="I594" s="350" t="n"/>
      <c r="J594" s="350" t="n"/>
      <c r="K594" s="351" t="n"/>
      <c r="L594" s="350" t="n"/>
      <c r="M594" s="350" t="n"/>
      <c r="N594" s="344" t="n"/>
      <c r="O594" s="344" t="n"/>
      <c r="P594" s="344" t="n"/>
      <c r="Q594" s="344" t="n"/>
      <c r="R594" s="344" t="n"/>
      <c r="S594" s="344" t="n"/>
      <c r="T594" s="344" t="n"/>
      <c r="U594" s="344" t="n"/>
      <c r="V594" s="344" t="n"/>
      <c r="W594" s="344" t="n"/>
    </row>
    <row r="595" customFormat="1" s="354">
      <c r="A595" s="345" t="n"/>
      <c r="B595" s="585" t="n"/>
      <c r="C595" s="582" t="n"/>
      <c r="D595" s="586" t="n"/>
      <c r="E595" s="584" t="n"/>
      <c r="F595" s="350" t="n"/>
      <c r="G595" s="350" t="n"/>
      <c r="H595" s="350" t="n"/>
      <c r="I595" s="350" t="n"/>
      <c r="J595" s="350" t="n"/>
      <c r="K595" s="351" t="n"/>
      <c r="L595" s="355" t="inlineStr">
        <is>
          <t>2841000169551_【ＱＣＳ】ナポリタンソース５.xlsx</t>
        </is>
      </c>
      <c r="M595" s="350" t="n"/>
      <c r="N595" s="344" t="n"/>
      <c r="O595" s="344" t="n"/>
      <c r="P595" s="344" t="n"/>
      <c r="Q595" s="344" t="n"/>
      <c r="R595" s="344" t="n"/>
      <c r="S595" s="344" t="n"/>
      <c r="T595" s="344" t="n"/>
      <c r="U595" s="344" t="n"/>
      <c r="V595" s="344" t="n"/>
      <c r="W595" s="344" t="n"/>
    </row>
    <row r="596" customFormat="1" s="354">
      <c r="A596" s="345" t="n"/>
      <c r="B596" s="581" t="n"/>
      <c r="C596" s="582" t="n"/>
      <c r="D596" s="583" t="n"/>
      <c r="E596" s="584" t="n"/>
      <c r="F596" s="350" t="n"/>
      <c r="G596" s="350" t="n"/>
      <c r="H596" s="350" t="n"/>
      <c r="I596" s="350" t="n"/>
      <c r="J596" s="350" t="n"/>
      <c r="K596" s="351" t="n"/>
      <c r="L596" s="355" t="inlineStr">
        <is>
          <t>2841000169568_【ＱＣＳ】ナポリタン用茹で麺２.xlsx</t>
        </is>
      </c>
      <c r="M596" s="350" t="n"/>
      <c r="N596" s="344" t="n"/>
      <c r="O596" s="344" t="n"/>
      <c r="P596" s="344" t="n"/>
      <c r="Q596" s="344" t="n"/>
      <c r="R596" s="344" t="n"/>
      <c r="S596" s="344" t="n"/>
      <c r="T596" s="344" t="n"/>
      <c r="U596" s="344" t="n"/>
      <c r="V596" s="344" t="n"/>
      <c r="W596" s="344" t="n"/>
    </row>
    <row r="597" customFormat="1" s="354">
      <c r="A597" s="345" t="n"/>
      <c r="B597" s="581" t="n"/>
      <c r="C597" s="582" t="n"/>
      <c r="D597" s="583" t="n"/>
      <c r="E597" s="584" t="n"/>
      <c r="F597" s="350" t="n"/>
      <c r="G597" s="350" t="n"/>
      <c r="H597" s="350" t="n"/>
      <c r="I597" s="350" t="n"/>
      <c r="J597" s="350" t="n"/>
      <c r="K597" s="351" t="n"/>
      <c r="L597" s="355" t="inlineStr">
        <is>
          <t>2841000170359_【ＱＣＳ】ナポリタン麺和え.xlsx</t>
        </is>
      </c>
      <c r="M597" s="350" t="n"/>
      <c r="N597" s="344" t="n"/>
      <c r="O597" s="344" t="n"/>
      <c r="P597" s="344" t="n"/>
      <c r="Q597" s="344" t="n"/>
      <c r="R597" s="344" t="n"/>
      <c r="S597" s="344" t="n"/>
      <c r="T597" s="344" t="n"/>
      <c r="U597" s="344" t="n"/>
      <c r="V597" s="344" t="n"/>
      <c r="W597" s="344" t="n"/>
    </row>
    <row r="598" customFormat="1" s="354">
      <c r="A598" s="345" t="n"/>
      <c r="B598" s="585" t="n"/>
      <c r="C598" s="582" t="n"/>
      <c r="D598" s="586" t="n"/>
      <c r="E598" s="584" t="n"/>
      <c r="F598" s="350" t="n"/>
      <c r="G598" s="350" t="n"/>
      <c r="H598" s="350" t="n"/>
      <c r="I598" s="350" t="n"/>
      <c r="J598" s="350" t="n"/>
      <c r="K598" s="351" t="n"/>
      <c r="L598" s="355" t="inlineStr">
        <is>
          <t>2841000188040_【ＱＣＳ】とり天油調.xlsx</t>
        </is>
      </c>
      <c r="M598" s="350" t="n"/>
      <c r="N598" s="344" t="n"/>
      <c r="O598" s="344" t="n"/>
      <c r="P598" s="344" t="n"/>
      <c r="Q598" s="344" t="n"/>
      <c r="R598" s="344" t="n"/>
      <c r="S598" s="344" t="n"/>
      <c r="T598" s="344" t="n"/>
      <c r="U598" s="344" t="n"/>
      <c r="V598" s="344" t="n"/>
      <c r="W598" s="344" t="n"/>
    </row>
    <row r="599" customFormat="1" s="354">
      <c r="A599" s="345" t="n"/>
      <c r="B599" s="585" t="n"/>
      <c r="C599" s="582" t="n"/>
      <c r="D599" s="586" t="n"/>
      <c r="E599" s="584" t="n"/>
      <c r="F599" s="350" t="n"/>
      <c r="G599" s="350" t="n"/>
      <c r="H599" s="350" t="n"/>
      <c r="I599" s="350" t="n"/>
      <c r="J599" s="350" t="n"/>
      <c r="K599" s="351" t="n"/>
      <c r="L599" s="355" t="inlineStr">
        <is>
          <t>2841000187708_【ＱＣＳ】とり天用天ぷら衣.xlsx</t>
        </is>
      </c>
      <c r="M599" s="350" t="n"/>
      <c r="N599" s="344" t="n"/>
      <c r="O599" s="344" t="n"/>
      <c r="P599" s="344" t="n"/>
      <c r="Q599" s="344" t="n"/>
      <c r="R599" s="344" t="n"/>
      <c r="S599" s="344" t="n"/>
      <c r="T599" s="344" t="n"/>
      <c r="U599" s="344" t="n"/>
      <c r="V599" s="344" t="n"/>
      <c r="W599" s="344" t="n"/>
    </row>
    <row r="600" customFormat="1" s="354">
      <c r="A600" s="345" t="n"/>
      <c r="B600" s="581" t="n"/>
      <c r="C600" s="582" t="n"/>
      <c r="D600" s="583" t="n"/>
      <c r="E600" s="584" t="n"/>
      <c r="F600" s="350" t="n"/>
      <c r="G600" s="350" t="n"/>
      <c r="H600" s="350" t="n"/>
      <c r="I600" s="350" t="n"/>
      <c r="J600" s="350" t="n"/>
      <c r="K600" s="351" t="n"/>
      <c r="L600" s="355" t="inlineStr">
        <is>
          <t>2841000174395_【ＱＣＳ】クラッシュ玉子.xlsx</t>
        </is>
      </c>
      <c r="M600" s="350" t="n"/>
      <c r="N600" s="344" t="n"/>
      <c r="O600" s="344" t="n"/>
      <c r="P600" s="344" t="n"/>
      <c r="Q600" s="344" t="n"/>
      <c r="R600" s="344" t="n"/>
      <c r="S600" s="344" t="n"/>
      <c r="T600" s="344" t="n"/>
      <c r="U600" s="344" t="n"/>
      <c r="V600" s="344" t="n"/>
      <c r="W600" s="344" t="n"/>
    </row>
    <row r="601" customFormat="1" s="354">
      <c r="A601" s="345" t="n"/>
      <c r="B601" s="581" t="n"/>
      <c r="C601" s="582" t="n"/>
      <c r="D601" s="583" t="n"/>
      <c r="E601" s="592" t="n"/>
      <c r="F601" s="350" t="n"/>
      <c r="G601" s="350" t="n"/>
      <c r="H601" s="350" t="n"/>
      <c r="I601" s="350" t="n"/>
      <c r="J601" s="350" t="n"/>
      <c r="K601" s="351" t="n"/>
      <c r="L601" s="355" t="inlineStr">
        <is>
          <t>2841000168707_【ＱＣＳ】玉子加熱.xlsx</t>
        </is>
      </c>
      <c r="M601" s="350" t="n"/>
      <c r="N601" s="344" t="n"/>
      <c r="O601" s="344" t="n"/>
      <c r="P601" s="344" t="n"/>
      <c r="Q601" s="344" t="n"/>
      <c r="R601" s="344" t="n"/>
      <c r="S601" s="344" t="n"/>
      <c r="T601" s="344" t="n"/>
      <c r="U601" s="344" t="n"/>
      <c r="V601" s="344" t="n"/>
      <c r="W601" s="344" t="n"/>
    </row>
    <row r="602" customFormat="1" s="354">
      <c r="A602" s="345" t="n"/>
      <c r="B602" s="581" t="n"/>
      <c r="C602" s="582" t="n"/>
      <c r="D602" s="583" t="n"/>
      <c r="E602" s="594" t="n"/>
      <c r="F602" s="350" t="n"/>
      <c r="G602" s="350" t="n"/>
      <c r="H602" s="350" t="n"/>
      <c r="I602" s="350" t="n"/>
      <c r="J602" s="350" t="n"/>
      <c r="K602" s="351" t="n"/>
      <c r="L602" s="355" t="inlineStr">
        <is>
          <t>2841000174395_【ＱＣＳ】クラッシュ玉子.xlsx</t>
        </is>
      </c>
      <c r="M602" s="350" t="n"/>
      <c r="N602" s="344" t="n"/>
      <c r="O602" s="344" t="n"/>
      <c r="P602" s="344" t="n"/>
      <c r="Q602" s="344" t="n"/>
      <c r="R602" s="344" t="n"/>
      <c r="S602" s="344" t="n"/>
      <c r="T602" s="344" t="n"/>
      <c r="U602" s="344" t="n"/>
      <c r="V602" s="344" t="n"/>
      <c r="W602" s="344" t="n"/>
    </row>
    <row r="603" customFormat="1" s="354">
      <c r="A603" s="345" t="n"/>
      <c r="B603" s="581" t="n"/>
      <c r="C603" s="582" t="n"/>
      <c r="D603" s="583" t="n"/>
      <c r="E603" s="584" t="n"/>
      <c r="F603" s="350" t="n"/>
      <c r="G603" s="350" t="n"/>
      <c r="H603" s="350" t="n"/>
      <c r="I603" s="350" t="n"/>
      <c r="J603" s="350" t="n"/>
      <c r="K603" s="351" t="n"/>
      <c r="L603" s="355" t="inlineStr">
        <is>
          <t>../../../../〇商品部/▲白鳥CK/CK手順書/2026年/7月/タルタル切替/◆【タルタル切替】チキン南蛮丼８.xlsx</t>
        </is>
      </c>
      <c r="M603" s="350" t="n"/>
      <c r="N603" s="344" t="n"/>
      <c r="O603" s="344" t="n"/>
      <c r="P603" s="344" t="n"/>
      <c r="Q603" s="344" t="n"/>
      <c r="R603" s="344" t="n"/>
      <c r="S603" s="344" t="n"/>
      <c r="T603" s="344" t="n"/>
      <c r="U603" s="344" t="n"/>
      <c r="V603" s="344" t="n"/>
      <c r="W603" s="344" t="n"/>
    </row>
    <row r="604" customFormat="1" s="354">
      <c r="A604" s="345" t="n"/>
      <c r="B604" s="585" t="n"/>
      <c r="C604" s="582" t="n"/>
      <c r="D604" s="586" t="n"/>
      <c r="E604" s="584" t="n"/>
      <c r="F604" s="350" t="n"/>
      <c r="G604" s="350" t="n"/>
      <c r="H604" s="350" t="n"/>
      <c r="I604" s="350" t="n"/>
      <c r="J604" s="350" t="n"/>
      <c r="K604" s="351" t="n"/>
      <c r="L604" s="350" t="n"/>
      <c r="M604" s="350" t="n"/>
      <c r="N604" s="344" t="n"/>
      <c r="O604" s="344" t="n"/>
      <c r="P604" s="344" t="n"/>
      <c r="Q604" s="344" t="n"/>
      <c r="R604" s="344" t="n"/>
      <c r="S604" s="344" t="n"/>
      <c r="T604" s="344" t="n"/>
      <c r="U604" s="344" t="n"/>
      <c r="V604" s="344" t="n"/>
      <c r="W604" s="344" t="n"/>
    </row>
    <row r="605" customFormat="1" s="354">
      <c r="A605" s="345" t="n"/>
      <c r="B605" s="581" t="n"/>
      <c r="C605" s="582" t="n"/>
      <c r="D605" s="583" t="n"/>
      <c r="E605" s="584" t="n"/>
      <c r="F605" s="350" t="n"/>
      <c r="G605" s="350" t="n"/>
      <c r="H605" s="350" t="n"/>
      <c r="I605" s="350" t="n"/>
      <c r="J605" s="350" t="n"/>
      <c r="K605" s="351" t="n"/>
      <c r="L605" s="355" t="inlineStr">
        <is>
          <t>2841000174401_【ＱＣＳ】高菜炒め.xlsx</t>
        </is>
      </c>
      <c r="M605" s="350" t="n"/>
      <c r="N605" s="344" t="n"/>
      <c r="O605" s="344" t="n"/>
      <c r="P605" s="344" t="n"/>
      <c r="Q605" s="344" t="n"/>
      <c r="R605" s="344" t="n"/>
      <c r="S605" s="344" t="n"/>
      <c r="T605" s="344" t="n"/>
      <c r="U605" s="344" t="n"/>
      <c r="V605" s="344" t="n"/>
      <c r="W605" s="344" t="n"/>
    </row>
    <row r="606" customFormat="1" s="354">
      <c r="A606" s="345" t="n"/>
      <c r="B606" s="581" t="n"/>
      <c r="C606" s="582" t="n"/>
      <c r="D606" s="583" t="n"/>
      <c r="E606" s="584" t="n"/>
      <c r="F606" s="350" t="n"/>
      <c r="G606" s="350" t="n"/>
      <c r="H606" s="350" t="n"/>
      <c r="I606" s="350" t="n"/>
      <c r="J606" s="350" t="n"/>
      <c r="K606" s="351" t="n"/>
      <c r="L606" s="355" t="inlineStr">
        <is>
          <t>2841000174401_【ＱＣＳ】高菜炒め.xlsx</t>
        </is>
      </c>
      <c r="M606" s="350" t="n"/>
      <c r="N606" s="344" t="n"/>
      <c r="O606" s="344" t="n"/>
      <c r="P606" s="344" t="n"/>
      <c r="Q606" s="344" t="n"/>
      <c r="R606" s="344" t="n"/>
      <c r="S606" s="344" t="n"/>
      <c r="T606" s="344" t="n"/>
      <c r="U606" s="344" t="n"/>
      <c r="V606" s="344" t="n"/>
      <c r="W606" s="344" t="n"/>
    </row>
    <row r="607" customFormat="1" s="354">
      <c r="A607" s="345" t="n"/>
      <c r="B607" s="581" t="n"/>
      <c r="C607" s="582" t="n"/>
      <c r="D607" s="583" t="n"/>
      <c r="E607" s="584" t="n"/>
      <c r="F607" s="350" t="n"/>
      <c r="G607" s="350" t="n"/>
      <c r="H607" s="350" t="n"/>
      <c r="I607" s="350" t="n"/>
      <c r="J607" s="350" t="n"/>
      <c r="K607" s="351" t="n"/>
      <c r="L607" s="355" t="inlineStr">
        <is>
          <t>2841000187647_【ＱＣＳ】鶏そぼろ（鶏ミンチ７：３）.xlsx</t>
        </is>
      </c>
      <c r="M607" s="350" t="n"/>
      <c r="N607" s="344" t="n"/>
      <c r="O607" s="344" t="n"/>
      <c r="P607" s="344" t="n"/>
      <c r="Q607" s="344" t="n"/>
      <c r="R607" s="344" t="n"/>
      <c r="S607" s="344" t="n"/>
      <c r="T607" s="344" t="n"/>
      <c r="U607" s="344" t="n"/>
      <c r="V607" s="344" t="n"/>
      <c r="W607" s="344" t="n"/>
    </row>
    <row r="608" customFormat="1" s="354">
      <c r="A608" s="345" t="n"/>
      <c r="B608" s="585" t="n"/>
      <c r="C608" s="582" t="n"/>
      <c r="D608" s="586" t="n"/>
      <c r="E608" s="584" t="n"/>
      <c r="F608" s="350" t="n"/>
      <c r="G608" s="350" t="n"/>
      <c r="H608" s="350" t="n"/>
      <c r="I608" s="350" t="n"/>
      <c r="J608" s="350" t="n"/>
      <c r="K608" s="351" t="n"/>
      <c r="L608" s="350" t="n"/>
      <c r="M608" s="350" t="n"/>
      <c r="N608" s="344" t="n"/>
      <c r="O608" s="344" t="n"/>
      <c r="P608" s="344" t="n"/>
      <c r="Q608" s="344" t="n"/>
      <c r="R608" s="344" t="n"/>
      <c r="S608" s="344" t="n"/>
      <c r="T608" s="344" t="n"/>
      <c r="U608" s="344" t="n"/>
      <c r="V608" s="344" t="n"/>
      <c r="W608" s="344" t="n"/>
    </row>
    <row r="609" customFormat="1" s="354">
      <c r="A609" s="345" t="n"/>
      <c r="B609" s="581" t="n"/>
      <c r="C609" s="582" t="n"/>
      <c r="D609" s="583" t="n"/>
      <c r="E609" s="584" t="n"/>
      <c r="F609" s="350" t="n"/>
      <c r="G609" s="350" t="n"/>
      <c r="H609" s="350" t="n"/>
      <c r="I609" s="350" t="n"/>
      <c r="J609" s="350" t="n"/>
      <c r="K609" s="351" t="n"/>
      <c r="L609" s="350" t="n"/>
      <c r="M609" s="350" t="n"/>
      <c r="N609" s="344" t="n"/>
      <c r="O609" s="344" t="n"/>
      <c r="P609" s="344" t="n"/>
      <c r="Q609" s="344" t="n"/>
      <c r="R609" s="344" t="n"/>
      <c r="S609" s="344" t="n"/>
      <c r="T609" s="344" t="n"/>
      <c r="U609" s="344" t="n"/>
      <c r="V609" s="344" t="n"/>
      <c r="W609" s="344" t="n"/>
    </row>
    <row r="610" customFormat="1" s="354">
      <c r="A610" s="345" t="n"/>
      <c r="B610" s="581" t="n"/>
      <c r="C610" s="582" t="n"/>
      <c r="D610" s="583" t="n"/>
      <c r="E610" s="584" t="n"/>
      <c r="F610" s="350" t="n"/>
      <c r="G610" s="350" t="n"/>
      <c r="H610" s="350" t="n"/>
      <c r="I610" s="350" t="n"/>
      <c r="J610" s="350" t="n"/>
      <c r="K610" s="351" t="n"/>
      <c r="L610" s="350" t="n"/>
      <c r="M610" s="350" t="n"/>
      <c r="N610" s="344" t="n"/>
      <c r="O610" s="344" t="n"/>
      <c r="P610" s="344" t="n"/>
      <c r="Q610" s="344" t="n"/>
      <c r="R610" s="344" t="n"/>
      <c r="S610" s="344" t="n"/>
      <c r="T610" s="344" t="n"/>
      <c r="U610" s="344" t="n"/>
      <c r="V610" s="344" t="n"/>
      <c r="W610" s="344" t="n"/>
    </row>
    <row r="611" customFormat="1" s="354">
      <c r="A611" s="345" t="n"/>
      <c r="B611" s="581" t="n"/>
      <c r="C611" s="582" t="n"/>
      <c r="D611" s="583" t="n"/>
      <c r="E611" s="584" t="n"/>
      <c r="F611" s="350" t="n"/>
      <c r="G611" s="350" t="n"/>
      <c r="H611" s="350" t="n"/>
      <c r="I611" s="350" t="n"/>
      <c r="J611" s="350" t="n"/>
      <c r="K611" s="351" t="n"/>
      <c r="L611" s="350" t="n"/>
      <c r="M611" s="350" t="n"/>
      <c r="N611" s="344" t="n"/>
      <c r="O611" s="344" t="n"/>
      <c r="P611" s="344" t="n"/>
      <c r="Q611" s="344" t="n"/>
      <c r="R611" s="344" t="n"/>
      <c r="S611" s="344" t="n"/>
      <c r="T611" s="344" t="n"/>
      <c r="U611" s="344" t="n"/>
      <c r="V611" s="344" t="n"/>
      <c r="W611" s="344" t="n"/>
    </row>
    <row r="612" customFormat="1" s="354">
      <c r="A612" s="345" t="n"/>
      <c r="B612" s="581" t="n"/>
      <c r="C612" s="582" t="n"/>
      <c r="D612" s="583" t="n"/>
      <c r="E612" s="584" t="n"/>
      <c r="F612" s="350" t="n"/>
      <c r="G612" s="350" t="n"/>
      <c r="H612" s="350" t="n"/>
      <c r="I612" s="350" t="n"/>
      <c r="J612" s="350" t="n"/>
      <c r="K612" s="351" t="n"/>
      <c r="L612" s="350" t="n"/>
      <c r="M612" s="350" t="n"/>
      <c r="N612" s="344" t="n"/>
      <c r="O612" s="344" t="n"/>
      <c r="P612" s="344" t="n"/>
      <c r="Q612" s="344" t="n"/>
      <c r="R612" s="344" t="n"/>
      <c r="S612" s="344" t="n"/>
      <c r="T612" s="344" t="n"/>
      <c r="U612" s="344" t="n"/>
      <c r="V612" s="344" t="n"/>
      <c r="W612" s="344" t="n"/>
    </row>
    <row r="613" customFormat="1" s="354">
      <c r="A613" s="345" t="n"/>
      <c r="B613" s="581" t="n"/>
      <c r="C613" s="582" t="n"/>
      <c r="D613" s="583" t="n"/>
      <c r="E613" s="584" t="n"/>
      <c r="F613" s="350" t="n"/>
      <c r="G613" s="350" t="n"/>
      <c r="H613" s="350" t="n"/>
      <c r="I613" s="350" t="n"/>
      <c r="J613" s="350" t="n"/>
      <c r="K613" s="351" t="n"/>
      <c r="L613" s="350" t="n"/>
      <c r="M613" s="350" t="n"/>
      <c r="N613" s="344" t="n"/>
      <c r="O613" s="344" t="n"/>
      <c r="P613" s="344" t="n"/>
      <c r="Q613" s="344" t="n"/>
      <c r="R613" s="344" t="n"/>
      <c r="S613" s="344" t="n"/>
      <c r="T613" s="344" t="n"/>
      <c r="U613" s="344" t="n"/>
      <c r="V613" s="344" t="n"/>
      <c r="W613" s="344" t="n"/>
    </row>
    <row r="614" customFormat="1" s="354">
      <c r="A614" s="345" t="n"/>
      <c r="B614" s="581" t="n"/>
      <c r="C614" s="582" t="n"/>
      <c r="D614" s="583" t="n"/>
      <c r="E614" s="584" t="n"/>
      <c r="F614" s="350" t="n"/>
      <c r="G614" s="350" t="n"/>
      <c r="H614" s="350" t="n"/>
      <c r="I614" s="350" t="n"/>
      <c r="J614" s="350" t="n"/>
      <c r="K614" s="351" t="n"/>
      <c r="L614" s="355" t="inlineStr">
        <is>
          <t>2841000169551_【ＱＣＳ】ナポリタンソース５.xlsx</t>
        </is>
      </c>
      <c r="M614" s="350" t="n"/>
      <c r="N614" s="344" t="n"/>
      <c r="O614" s="344" t="n"/>
      <c r="P614" s="344" t="n"/>
      <c r="Q614" s="344" t="n"/>
      <c r="R614" s="344" t="n"/>
      <c r="S614" s="344" t="n"/>
      <c r="T614" s="344" t="n"/>
      <c r="U614" s="344" t="n"/>
      <c r="V614" s="344" t="n"/>
      <c r="W614" s="344" t="n"/>
    </row>
    <row r="615" customFormat="1" s="354">
      <c r="A615" s="345" t="n"/>
      <c r="B615" s="581" t="n"/>
      <c r="C615" s="582" t="n"/>
      <c r="D615" s="583" t="n"/>
      <c r="E615" s="584" t="n"/>
      <c r="F615" s="350" t="n"/>
      <c r="G615" s="350" t="n"/>
      <c r="H615" s="350" t="n"/>
      <c r="I615" s="350" t="n"/>
      <c r="J615" s="350" t="n"/>
      <c r="K615" s="351" t="n"/>
      <c r="L615" s="355" t="inlineStr">
        <is>
          <t>2841000169568_【ＱＣＳ】ナポリタン用茹で麺２.xlsx</t>
        </is>
      </c>
      <c r="M615" s="350" t="n"/>
      <c r="N615" s="344" t="n"/>
      <c r="O615" s="344" t="n"/>
      <c r="P615" s="344" t="n"/>
      <c r="Q615" s="344" t="n"/>
      <c r="R615" s="344" t="n"/>
      <c r="S615" s="344" t="n"/>
      <c r="T615" s="344" t="n"/>
      <c r="U615" s="344" t="n"/>
      <c r="V615" s="344" t="n"/>
      <c r="W615" s="344" t="n"/>
    </row>
    <row r="616" customFormat="1" s="354">
      <c r="A616" s="345" t="n"/>
      <c r="B616" s="581" t="n"/>
      <c r="C616" s="582" t="n"/>
      <c r="D616" s="583" t="n"/>
      <c r="E616" s="584" t="n"/>
      <c r="F616" s="350" t="n"/>
      <c r="G616" s="350" t="n"/>
      <c r="H616" s="350" t="n"/>
      <c r="I616" s="350" t="n"/>
      <c r="J616" s="350" t="n"/>
      <c r="K616" s="351" t="n"/>
      <c r="L616" s="355" t="inlineStr">
        <is>
          <t>2841000170359_【ＱＣＳ】ナポリタン麺和え.xlsx</t>
        </is>
      </c>
      <c r="M616" s="350" t="n"/>
      <c r="N616" s="344" t="n"/>
      <c r="O616" s="344" t="n"/>
      <c r="P616" s="344" t="n"/>
      <c r="Q616" s="344" t="n"/>
      <c r="R616" s="344" t="n"/>
      <c r="S616" s="344" t="n"/>
      <c r="T616" s="344" t="n"/>
      <c r="U616" s="344" t="n"/>
      <c r="V616" s="344" t="n"/>
      <c r="W616" s="344" t="n"/>
    </row>
    <row r="617" customFormat="1" s="354">
      <c r="A617" s="345" t="n"/>
      <c r="B617" s="581" t="n"/>
      <c r="C617" s="582" t="n"/>
      <c r="D617" s="583" t="n"/>
      <c r="E617" s="584" t="n"/>
      <c r="F617" s="350" t="n"/>
      <c r="G617" s="350" t="n"/>
      <c r="H617" s="350" t="n"/>
      <c r="I617" s="350" t="n"/>
      <c r="J617" s="350" t="n"/>
      <c r="K617" s="351" t="n"/>
      <c r="L617" s="355" t="inlineStr">
        <is>
          <t>2841000168790_【ＱＣＳ】コーンボイル.xlsx</t>
        </is>
      </c>
      <c r="M617" s="350" t="n"/>
      <c r="N617" s="344" t="n"/>
      <c r="O617" s="344" t="n"/>
      <c r="P617" s="344" t="n"/>
      <c r="Q617" s="344" t="n"/>
      <c r="R617" s="344" t="n"/>
      <c r="S617" s="344" t="n"/>
      <c r="T617" s="344" t="n"/>
      <c r="U617" s="344" t="n"/>
      <c r="V617" s="344" t="n"/>
      <c r="W617" s="344" t="n"/>
    </row>
    <row r="618" customFormat="1" s="354">
      <c r="A618" s="345" t="n"/>
      <c r="B618" s="581" t="n"/>
      <c r="C618" s="582" t="n"/>
      <c r="D618" s="583" t="n"/>
      <c r="E618" s="584" t="n"/>
      <c r="F618" s="350" t="n"/>
      <c r="G618" s="350" t="n"/>
      <c r="H618" s="350" t="n"/>
      <c r="I618" s="350" t="n"/>
      <c r="J618" s="350" t="n"/>
      <c r="K618" s="351" t="n"/>
      <c r="L618" s="350" t="n"/>
      <c r="M618" s="350" t="n"/>
      <c r="N618" s="344" t="n"/>
      <c r="O618" s="344" t="n"/>
      <c r="P618" s="344" t="n"/>
      <c r="Q618" s="344" t="n"/>
      <c r="R618" s="344" t="n"/>
      <c r="S618" s="344" t="n"/>
      <c r="T618" s="344" t="n"/>
      <c r="U618" s="344" t="n"/>
      <c r="V618" s="344" t="n"/>
      <c r="W618" s="344" t="n"/>
    </row>
    <row r="619" customFormat="1" s="354">
      <c r="A619" s="345" t="n"/>
      <c r="B619" s="581" t="n"/>
      <c r="C619" s="582" t="n"/>
      <c r="D619" s="583" t="n"/>
      <c r="E619" s="584" t="n"/>
      <c r="F619" s="350" t="n"/>
      <c r="G619" s="350" t="n"/>
      <c r="H619" s="350" t="n"/>
      <c r="I619" s="350" t="n"/>
      <c r="J619" s="350" t="n"/>
      <c r="K619" s="351" t="n"/>
      <c r="L619" s="587" t="inlineStr">
        <is>
          <t>../開発規格書/久保レシピ修正版/ＱＣＳ/◆◆白鳥【商品規格書】生姜焼き弁当◆◆%20.xlsx</t>
        </is>
      </c>
      <c r="M619" s="350" t="n"/>
      <c r="N619" s="344" t="n"/>
      <c r="O619" s="344" t="n"/>
      <c r="P619" s="344" t="n"/>
      <c r="Q619" s="344" t="n"/>
      <c r="R619" s="344" t="n"/>
      <c r="S619" s="344" t="n"/>
      <c r="T619" s="344" t="n"/>
      <c r="U619" s="344" t="n"/>
      <c r="V619" s="344" t="n"/>
      <c r="W619" s="344" t="n"/>
    </row>
    <row r="620" customFormat="1" s="354">
      <c r="A620" s="345" t="n"/>
      <c r="B620" s="581" t="n"/>
      <c r="C620" s="582" t="n"/>
      <c r="D620" s="583" t="n"/>
      <c r="E620" s="584" t="n"/>
      <c r="F620" s="350" t="n"/>
      <c r="G620" s="350" t="n"/>
      <c r="H620" s="350" t="n"/>
      <c r="I620" s="350" t="n"/>
      <c r="J620" s="350" t="n"/>
      <c r="K620" s="351" t="n"/>
      <c r="L620" s="350" t="n"/>
      <c r="M620" s="350" t="n"/>
      <c r="N620" s="344" t="n"/>
      <c r="O620" s="344" t="n"/>
      <c r="P620" s="344" t="n"/>
      <c r="Q620" s="344" t="n"/>
      <c r="R620" s="344" t="n"/>
      <c r="S620" s="344" t="n"/>
      <c r="T620" s="344" t="n"/>
      <c r="U620" s="344" t="n"/>
      <c r="V620" s="344" t="n"/>
      <c r="W620" s="344" t="n"/>
    </row>
    <row r="621" customFormat="1" s="354">
      <c r="A621" s="345" t="n"/>
      <c r="B621" s="581" t="n"/>
      <c r="C621" s="582" t="n"/>
      <c r="D621" s="583" t="n"/>
      <c r="E621" s="584" t="n"/>
      <c r="F621" s="350" t="n"/>
      <c r="G621" s="350" t="n"/>
      <c r="H621" s="350" t="n"/>
      <c r="I621" s="350" t="n"/>
      <c r="J621" s="350" t="n"/>
      <c r="K621" s="351" t="n"/>
      <c r="L621" s="350" t="n"/>
      <c r="M621" s="350" t="n"/>
      <c r="N621" s="344" t="n"/>
      <c r="O621" s="344" t="n"/>
      <c r="P621" s="344" t="n"/>
      <c r="Q621" s="344" t="n"/>
      <c r="R621" s="344" t="n"/>
      <c r="S621" s="344" t="n"/>
      <c r="T621" s="344" t="n"/>
      <c r="U621" s="344" t="n"/>
      <c r="V621" s="344" t="n"/>
      <c r="W621" s="344" t="n"/>
    </row>
    <row r="622" customFormat="1" s="354">
      <c r="A622" s="345" t="n"/>
      <c r="B622" s="581" t="n"/>
      <c r="C622" s="582" t="n"/>
      <c r="D622" s="583" t="n"/>
      <c r="E622" s="584" t="n"/>
      <c r="F622" s="350" t="n"/>
      <c r="G622" s="350" t="n"/>
      <c r="H622" s="350" t="n"/>
      <c r="I622" s="350" t="n"/>
      <c r="J622" s="350" t="n"/>
      <c r="K622" s="351" t="n"/>
      <c r="L622" s="350" t="n"/>
      <c r="M622" s="350" t="n"/>
      <c r="N622" s="344" t="n"/>
      <c r="O622" s="344" t="n"/>
      <c r="P622" s="344" t="n"/>
      <c r="Q622" s="344" t="n"/>
      <c r="R622" s="344" t="n"/>
      <c r="S622" s="344" t="n"/>
      <c r="T622" s="344" t="n"/>
      <c r="U622" s="344" t="n"/>
      <c r="V622" s="344" t="n"/>
      <c r="W622" s="344" t="n"/>
    </row>
    <row r="623" customFormat="1" s="354">
      <c r="A623" s="345" t="n"/>
      <c r="B623" s="581" t="n"/>
      <c r="C623" s="582" t="n"/>
      <c r="D623" s="583" t="n"/>
      <c r="E623" s="584" t="n"/>
      <c r="F623" s="350" t="n"/>
      <c r="G623" s="350" t="n"/>
      <c r="H623" s="350" t="n"/>
      <c r="I623" s="350" t="n"/>
      <c r="J623" s="350" t="n"/>
      <c r="K623" s="351" t="n"/>
      <c r="L623" s="355" t="inlineStr">
        <is>
          <t>2841000169551_【ＱＣＳ】ナポリタンソース５.xlsx</t>
        </is>
      </c>
      <c r="M623" s="350" t="n"/>
      <c r="N623" s="344" t="n"/>
      <c r="O623" s="344" t="n"/>
      <c r="P623" s="344" t="n"/>
      <c r="Q623" s="344" t="n"/>
      <c r="R623" s="344" t="n"/>
      <c r="S623" s="344" t="n"/>
      <c r="T623" s="344" t="n"/>
      <c r="U623" s="344" t="n"/>
      <c r="V623" s="344" t="n"/>
      <c r="W623" s="344" t="n"/>
    </row>
    <row r="624" customFormat="1" s="354">
      <c r="A624" s="345" t="n"/>
      <c r="B624" s="581" t="n"/>
      <c r="C624" s="582" t="n"/>
      <c r="D624" s="583" t="n"/>
      <c r="E624" s="584" t="n"/>
      <c r="F624" s="350" t="n"/>
      <c r="G624" s="350" t="n"/>
      <c r="H624" s="350" t="n"/>
      <c r="I624" s="350" t="n"/>
      <c r="J624" s="350" t="n"/>
      <c r="K624" s="351" t="n"/>
      <c r="L624" s="355" t="inlineStr">
        <is>
          <t>2841000169568_【ＱＣＳ】ナポリタン用茹で麺２.xlsx</t>
        </is>
      </c>
      <c r="M624" s="350" t="n"/>
      <c r="N624" s="344" t="n"/>
      <c r="O624" s="344" t="n"/>
      <c r="P624" s="344" t="n"/>
      <c r="Q624" s="344" t="n"/>
      <c r="R624" s="344" t="n"/>
      <c r="S624" s="344" t="n"/>
      <c r="T624" s="344" t="n"/>
      <c r="U624" s="344" t="n"/>
      <c r="V624" s="344" t="n"/>
      <c r="W624" s="344" t="n"/>
    </row>
    <row r="625" customFormat="1" s="354">
      <c r="A625" s="345" t="n"/>
      <c r="B625" s="581" t="n"/>
      <c r="C625" s="582" t="n"/>
      <c r="D625" s="583" t="n"/>
      <c r="E625" s="584" t="n"/>
      <c r="F625" s="350" t="n"/>
      <c r="G625" s="350" t="n"/>
      <c r="H625" s="350" t="n"/>
      <c r="I625" s="350" t="n"/>
      <c r="J625" s="350" t="n"/>
      <c r="K625" s="351" t="n"/>
      <c r="L625" s="355" t="inlineStr">
        <is>
          <t>2841000170359_【ＱＣＳ】ナポリタン麺和え.xlsx</t>
        </is>
      </c>
      <c r="M625" s="350" t="n"/>
      <c r="N625" s="344" t="n"/>
      <c r="O625" s="344" t="n"/>
      <c r="P625" s="344" t="n"/>
      <c r="Q625" s="344" t="n"/>
      <c r="R625" s="344" t="n"/>
      <c r="S625" s="344" t="n"/>
      <c r="T625" s="344" t="n"/>
      <c r="U625" s="344" t="n"/>
      <c r="V625" s="344" t="n"/>
      <c r="W625" s="344" t="n"/>
    </row>
    <row r="626" customFormat="1" s="354">
      <c r="A626" s="345" t="n"/>
      <c r="B626" s="581" t="n"/>
      <c r="C626" s="582" t="n"/>
      <c r="D626" s="583" t="n"/>
      <c r="E626" s="584" t="n"/>
      <c r="F626" s="350" t="n"/>
      <c r="G626" s="350" t="n"/>
      <c r="H626" s="350" t="n"/>
      <c r="I626" s="350" t="n"/>
      <c r="J626" s="350" t="n"/>
      <c r="K626" s="351" t="n"/>
      <c r="L626" s="355" t="inlineStr">
        <is>
          <t>2841000168790_【ＱＣＳ】コーンボイル.xlsx</t>
        </is>
      </c>
      <c r="M626" s="350" t="n"/>
      <c r="N626" s="344" t="n"/>
      <c r="O626" s="344" t="n"/>
      <c r="P626" s="344" t="n"/>
      <c r="Q626" s="344" t="n"/>
      <c r="R626" s="344" t="n"/>
      <c r="S626" s="344" t="n"/>
      <c r="T626" s="344" t="n"/>
      <c r="U626" s="344" t="n"/>
      <c r="V626" s="344" t="n"/>
      <c r="W626" s="344" t="n"/>
    </row>
    <row r="627" customFormat="1" s="354">
      <c r="A627" s="345" t="n"/>
      <c r="B627" s="581" t="n"/>
      <c r="C627" s="582" t="n"/>
      <c r="D627" s="583" t="n"/>
      <c r="E627" s="584" t="n"/>
      <c r="F627" s="350" t="n"/>
      <c r="G627" s="350" t="n"/>
      <c r="H627" s="350" t="n"/>
      <c r="I627" s="350" t="n"/>
      <c r="J627" s="350" t="n"/>
      <c r="K627" s="351" t="n"/>
      <c r="L627" s="350" t="n"/>
      <c r="M627" s="350" t="n"/>
      <c r="N627" s="344" t="n"/>
      <c r="O627" s="344" t="n"/>
      <c r="P627" s="344" t="n"/>
      <c r="Q627" s="344" t="n"/>
      <c r="R627" s="344" t="n"/>
      <c r="S627" s="344" t="n"/>
      <c r="T627" s="344" t="n"/>
      <c r="U627" s="344" t="n"/>
      <c r="V627" s="344" t="n"/>
      <c r="W627" s="344" t="n"/>
    </row>
    <row r="628" customFormat="1" s="354">
      <c r="A628" s="345" t="n"/>
      <c r="B628" s="581" t="n"/>
      <c r="C628" s="582" t="n"/>
      <c r="D628" s="583" t="n"/>
      <c r="E628" s="584" t="n"/>
      <c r="F628" s="350" t="n"/>
      <c r="G628" s="350" t="n"/>
      <c r="H628" s="350" t="n"/>
      <c r="I628" s="350" t="n"/>
      <c r="J628" s="350" t="n"/>
      <c r="K628" s="351" t="n"/>
      <c r="L628" s="350" t="n"/>
      <c r="M628" s="350" t="n"/>
      <c r="N628" s="344" t="n"/>
      <c r="O628" s="344" t="n"/>
      <c r="P628" s="344" t="n"/>
      <c r="Q628" s="344" t="n"/>
      <c r="R628" s="344" t="n"/>
      <c r="S628" s="344" t="n"/>
      <c r="T628" s="344" t="n"/>
      <c r="U628" s="344" t="n"/>
      <c r="V628" s="344" t="n"/>
      <c r="W628" s="344" t="n"/>
    </row>
    <row r="629" customFormat="1" s="354">
      <c r="A629" s="345" t="n"/>
      <c r="B629" s="581" t="n"/>
      <c r="C629" s="582" t="n"/>
      <c r="D629" s="583" t="n"/>
      <c r="E629" s="584" t="n"/>
      <c r="F629" s="350" t="n"/>
      <c r="G629" s="350" t="n"/>
      <c r="H629" s="350" t="n"/>
      <c r="I629" s="350" t="n"/>
      <c r="J629" s="350" t="n"/>
      <c r="K629" s="351" t="n"/>
      <c r="L629" s="350" t="n"/>
      <c r="M629" s="350" t="n"/>
      <c r="N629" s="344" t="n"/>
      <c r="O629" s="344" t="n"/>
      <c r="P629" s="344" t="n"/>
      <c r="Q629" s="344" t="n"/>
      <c r="R629" s="344" t="n"/>
      <c r="S629" s="344" t="n"/>
      <c r="T629" s="344" t="n"/>
      <c r="U629" s="344" t="n"/>
      <c r="V629" s="344" t="n"/>
      <c r="W629" s="344" t="n"/>
    </row>
    <row r="630" customFormat="1" s="354">
      <c r="A630" s="345" t="n"/>
      <c r="B630" s="581" t="n"/>
      <c r="C630" s="582" t="n"/>
      <c r="D630" s="583" t="n"/>
      <c r="E630" s="584" t="n"/>
      <c r="F630" s="350" t="n"/>
      <c r="G630" s="350" t="n"/>
      <c r="H630" s="350" t="n"/>
      <c r="I630" s="350" t="n"/>
      <c r="J630" s="350" t="n"/>
      <c r="K630" s="351" t="n"/>
      <c r="L630" s="350" t="n"/>
      <c r="M630" s="350" t="n"/>
      <c r="N630" s="344" t="n"/>
      <c r="O630" s="344" t="n"/>
      <c r="P630" s="344" t="n"/>
      <c r="Q630" s="344" t="n"/>
      <c r="R630" s="344" t="n"/>
      <c r="S630" s="344" t="n"/>
      <c r="T630" s="344" t="n"/>
      <c r="U630" s="344" t="n"/>
      <c r="V630" s="344" t="n"/>
      <c r="W630" s="344" t="n"/>
    </row>
    <row r="631" customFormat="1" s="354">
      <c r="A631" s="345" t="n"/>
      <c r="B631" s="581" t="n"/>
      <c r="C631" s="582" t="n"/>
      <c r="D631" s="583" t="n"/>
      <c r="E631" s="584" t="n"/>
      <c r="F631" s="350" t="n"/>
      <c r="G631" s="350" t="n"/>
      <c r="H631" s="350" t="n"/>
      <c r="I631" s="350" t="n"/>
      <c r="J631" s="350" t="n"/>
      <c r="K631" s="351" t="n"/>
      <c r="L631" s="355" t="inlineStr">
        <is>
          <t>../../../../01_組織_メガ生鮮_惣菜/〇商品部/▲白鳥CK/CK手順書/2026年/6月/牛蒡乱切り変更/【牛蒡乱切り切替】照り鯖弁当７（白鳥）.xlsx</t>
        </is>
      </c>
      <c r="M631" s="350" t="n"/>
      <c r="N631" s="344" t="n"/>
      <c r="O631" s="344" t="n"/>
      <c r="P631" s="344" t="n"/>
      <c r="Q631" s="344" t="n"/>
      <c r="R631" s="344" t="n"/>
      <c r="S631" s="344" t="n"/>
      <c r="T631" s="344" t="n"/>
      <c r="U631" s="344" t="n"/>
      <c r="V631" s="344" t="n"/>
      <c r="W631" s="344" t="n"/>
    </row>
    <row r="632" customFormat="1" s="354">
      <c r="A632" s="345" t="n"/>
      <c r="B632" s="581" t="n"/>
      <c r="C632" s="582" t="n"/>
      <c r="D632" s="583" t="n"/>
      <c r="E632" s="584" t="n"/>
      <c r="F632" s="350" t="n"/>
      <c r="G632" s="350" t="n"/>
      <c r="H632" s="350" t="n"/>
      <c r="I632" s="350" t="n"/>
      <c r="J632" s="350" t="n"/>
      <c r="K632" s="351" t="n"/>
      <c r="L632" s="593" t="inlineStr">
        <is>
          <t>../開発規格書/久保レシピ修正版/ＱＣＳ/◆【牛蒡乱切り切替】筑前煮５（白鳥）.xlsx</t>
        </is>
      </c>
      <c r="M632" s="350" t="n"/>
      <c r="N632" s="344" t="n"/>
      <c r="O632" s="344" t="n"/>
      <c r="P632" s="344" t="n"/>
      <c r="Q632" s="344" t="n"/>
      <c r="R632" s="344" t="n"/>
      <c r="S632" s="344" t="n"/>
      <c r="T632" s="344" t="n"/>
      <c r="U632" s="344" t="n"/>
      <c r="V632" s="344" t="n"/>
      <c r="W632" s="344" t="n"/>
    </row>
    <row r="633" customFormat="1" s="354">
      <c r="A633" s="345" t="n"/>
      <c r="B633" s="581" t="n"/>
      <c r="C633" s="582" t="n"/>
      <c r="D633" s="583" t="n"/>
      <c r="E633" s="584" t="n"/>
      <c r="F633" s="350" t="n"/>
      <c r="G633" s="350" t="n"/>
      <c r="H633" s="350" t="n"/>
      <c r="I633" s="350" t="n"/>
      <c r="J633" s="350" t="n"/>
      <c r="K633" s="351" t="n"/>
      <c r="L633" s="350" t="n"/>
      <c r="M633" s="350" t="n"/>
      <c r="N633" s="344" t="n"/>
      <c r="O633" s="344" t="n"/>
      <c r="P633" s="344" t="n"/>
      <c r="Q633" s="344" t="n"/>
      <c r="R633" s="344" t="n"/>
      <c r="S633" s="344" t="n"/>
      <c r="T633" s="344" t="n"/>
      <c r="U633" s="344" t="n"/>
      <c r="V633" s="344" t="n"/>
      <c r="W633" s="344" t="n"/>
    </row>
    <row r="634" customFormat="1" s="354">
      <c r="A634" s="345" t="n"/>
      <c r="B634" s="581" t="n"/>
      <c r="C634" s="582" t="n"/>
      <c r="D634" s="583" t="n"/>
      <c r="E634" s="584" t="n"/>
      <c r="F634" s="350" t="n"/>
      <c r="G634" s="350" t="n"/>
      <c r="H634" s="350" t="n"/>
      <c r="I634" s="350" t="n"/>
      <c r="J634" s="350" t="n"/>
      <c r="K634" s="351" t="n"/>
      <c r="L634" s="355" t="inlineStr">
        <is>
          <t>2841000203248_【ＱＣＳ】焼サバたれ塗り（鯖３枚おろしフィーレ）.xlsx</t>
        </is>
      </c>
      <c r="M634" s="350" t="n"/>
      <c r="N634" s="344" t="n"/>
      <c r="O634" s="344" t="n"/>
      <c r="P634" s="344" t="n"/>
      <c r="Q634" s="344" t="n"/>
      <c r="R634" s="344" t="n"/>
      <c r="S634" s="344" t="n"/>
      <c r="T634" s="344" t="n"/>
      <c r="U634" s="344" t="n"/>
      <c r="V634" s="344" t="n"/>
      <c r="W634" s="344" t="n"/>
    </row>
    <row r="635" customFormat="1" s="354">
      <c r="A635" s="345" t="n"/>
      <c r="B635" s="581" t="n"/>
      <c r="C635" s="582" t="n"/>
      <c r="D635" s="583" t="n"/>
      <c r="E635" s="584" t="n"/>
      <c r="F635" s="350" t="n"/>
      <c r="G635" s="350" t="n"/>
      <c r="H635" s="350" t="n"/>
      <c r="I635" s="350" t="n"/>
      <c r="J635" s="350" t="n"/>
      <c r="K635" s="351" t="n"/>
      <c r="L635" s="350" t="n"/>
      <c r="M635" s="350" t="n"/>
      <c r="N635" s="344" t="n"/>
      <c r="O635" s="344" t="n"/>
      <c r="P635" s="344" t="n"/>
      <c r="Q635" s="344" t="n"/>
      <c r="R635" s="344" t="n"/>
      <c r="S635" s="344" t="n"/>
      <c r="T635" s="344" t="n"/>
      <c r="U635" s="344" t="n"/>
      <c r="V635" s="344" t="n"/>
      <c r="W635" s="344" t="n"/>
    </row>
    <row r="636" customFormat="1" s="354">
      <c r="A636" s="345" t="n"/>
      <c r="B636" s="581" t="n"/>
      <c r="C636" s="582" t="n"/>
      <c r="D636" s="583" t="n"/>
      <c r="E636" s="584" t="n"/>
      <c r="F636" s="350" t="n"/>
      <c r="G636" s="350" t="n"/>
      <c r="H636" s="350" t="n"/>
      <c r="I636" s="350" t="n"/>
      <c r="J636" s="350" t="n"/>
      <c r="K636" s="351" t="n"/>
      <c r="L636" s="350" t="n"/>
      <c r="M636" s="350" t="n"/>
      <c r="N636" s="344" t="n"/>
      <c r="O636" s="344" t="n"/>
      <c r="P636" s="344" t="n"/>
      <c r="Q636" s="344" t="n"/>
      <c r="R636" s="344" t="n"/>
      <c r="S636" s="344" t="n"/>
      <c r="T636" s="344" t="n"/>
      <c r="U636" s="344" t="n"/>
      <c r="V636" s="344" t="n"/>
      <c r="W636" s="344" t="n"/>
    </row>
    <row r="637" customFormat="1" s="354">
      <c r="A637" s="345" t="n"/>
      <c r="B637" s="581" t="n"/>
      <c r="C637" s="582" t="n"/>
      <c r="D637" s="583" t="n"/>
      <c r="E637" s="584" t="n"/>
      <c r="F637" s="350" t="n"/>
      <c r="G637" s="350" t="n"/>
      <c r="H637" s="350" t="n"/>
      <c r="I637" s="350" t="n"/>
      <c r="J637" s="350" t="n"/>
      <c r="K637" s="351" t="n"/>
      <c r="L637" s="350" t="n"/>
      <c r="M637" s="350" t="n"/>
      <c r="N637" s="344" t="n"/>
      <c r="O637" s="344" t="n"/>
      <c r="P637" s="344" t="n"/>
      <c r="Q637" s="344" t="n"/>
      <c r="R637" s="344" t="n"/>
      <c r="S637" s="344" t="n"/>
      <c r="T637" s="344" t="n"/>
      <c r="U637" s="344" t="n"/>
      <c r="V637" s="344" t="n"/>
      <c r="W637" s="344" t="n"/>
    </row>
    <row r="638" customFormat="1" s="354">
      <c r="A638" s="345" t="n"/>
      <c r="B638" s="581" t="n"/>
      <c r="C638" s="582" t="n"/>
      <c r="D638" s="583" t="n"/>
      <c r="E638" s="584" t="n"/>
      <c r="F638" s="350" t="n"/>
      <c r="G638" s="350" t="n"/>
      <c r="H638" s="350" t="n"/>
      <c r="I638" s="350" t="n"/>
      <c r="J638" s="350" t="n"/>
      <c r="K638" s="351" t="n"/>
      <c r="L638" s="350" t="n"/>
      <c r="M638" s="350" t="n"/>
      <c r="N638" s="344" t="n"/>
      <c r="O638" s="344" t="n"/>
      <c r="P638" s="344" t="n"/>
      <c r="Q638" s="344" t="n"/>
      <c r="R638" s="344" t="n"/>
      <c r="S638" s="344" t="n"/>
      <c r="T638" s="344" t="n"/>
      <c r="U638" s="344" t="n"/>
      <c r="V638" s="344" t="n"/>
      <c r="W638" s="344" t="n"/>
    </row>
    <row r="639" customFormat="1" s="354">
      <c r="A639" s="345" t="n"/>
      <c r="B639" s="581" t="n"/>
      <c r="C639" s="582" t="n"/>
      <c r="D639" s="583" t="n"/>
      <c r="E639" s="584" t="n"/>
      <c r="F639" s="350" t="n"/>
      <c r="G639" s="350" t="n"/>
      <c r="H639" s="350" t="n"/>
      <c r="I639" s="350" t="n"/>
      <c r="J639" s="350" t="n"/>
      <c r="K639" s="351" t="n"/>
      <c r="L639" s="355" t="inlineStr">
        <is>
          <t>2841000175316_【ＱＣＳ】ちくわ磯部揚げ衣.xlsx</t>
        </is>
      </c>
      <c r="M639" s="350" t="n"/>
      <c r="N639" s="344" t="n"/>
      <c r="O639" s="344" t="n"/>
      <c r="P639" s="344" t="n"/>
      <c r="Q639" s="344" t="n"/>
      <c r="R639" s="344" t="n"/>
      <c r="S639" s="344" t="n"/>
      <c r="T639" s="344" t="n"/>
      <c r="U639" s="344" t="n"/>
      <c r="V639" s="344" t="n"/>
      <c r="W639" s="344" t="n"/>
    </row>
    <row r="640" customFormat="1" s="354">
      <c r="A640" s="345" t="n"/>
      <c r="B640" s="581" t="n"/>
      <c r="C640" s="582" t="n"/>
      <c r="D640" s="583" t="n"/>
      <c r="E640" s="584" t="n"/>
      <c r="F640" s="350" t="n"/>
      <c r="G640" s="350" t="n"/>
      <c r="H640" s="350" t="n"/>
      <c r="I640" s="350" t="n"/>
      <c r="J640" s="350" t="n"/>
      <c r="K640" s="351" t="n"/>
      <c r="L640" s="350" t="n"/>
      <c r="M640" s="350" t="n"/>
      <c r="N640" s="344" t="n"/>
      <c r="O640" s="344" t="n"/>
      <c r="P640" s="344" t="n"/>
      <c r="Q640" s="344" t="n"/>
      <c r="R640" s="344" t="n"/>
      <c r="S640" s="344" t="n"/>
      <c r="T640" s="344" t="n"/>
      <c r="U640" s="344" t="n"/>
      <c r="V640" s="344" t="n"/>
      <c r="W640" s="344" t="n"/>
    </row>
    <row r="641" customFormat="1" s="354">
      <c r="A641" s="345" t="n"/>
      <c r="B641" s="581" t="n"/>
      <c r="C641" s="582" t="n"/>
      <c r="D641" s="583" t="n"/>
      <c r="E641" s="584" t="n"/>
      <c r="F641" s="350" t="n"/>
      <c r="G641" s="350" t="n"/>
      <c r="H641" s="350" t="n"/>
      <c r="I641" s="350" t="n"/>
      <c r="J641" s="350" t="n"/>
      <c r="K641" s="351" t="n"/>
      <c r="L641" s="593" t="inlineStr">
        <is>
          <t>../../../../01_組織_メガ生鮮_惣菜/〇商品部/▲白鳥CK/CK手順書/2026年/6月/牛蒡乱切り変更/【牛蒡乱切り切替】◆◆宮城産金華銀鮭西京焼弁当２（白鳥）.xlsx</t>
        </is>
      </c>
      <c r="M641" s="350" t="n"/>
      <c r="N641" s="344" t="n"/>
      <c r="O641" s="344" t="n"/>
      <c r="P641" s="344" t="n"/>
      <c r="Q641" s="344" t="n"/>
      <c r="R641" s="344" t="n"/>
      <c r="S641" s="344" t="n"/>
      <c r="T641" s="344" t="n"/>
      <c r="U641" s="344" t="n"/>
      <c r="V641" s="344" t="n"/>
      <c r="W641" s="344" t="n"/>
    </row>
    <row r="642" customFormat="1" s="354">
      <c r="A642" s="345" t="n"/>
      <c r="B642" s="581" t="n"/>
      <c r="C642" s="582" t="n"/>
      <c r="D642" s="583" t="n"/>
      <c r="E642" s="584" t="n"/>
      <c r="F642" s="350" t="n"/>
      <c r="G642" s="350" t="n"/>
      <c r="H642" s="350" t="n"/>
      <c r="I642" s="350" t="n"/>
      <c r="J642" s="350" t="n"/>
      <c r="K642" s="351" t="n"/>
      <c r="L642" s="350" t="n"/>
      <c r="M642" s="350" t="n"/>
      <c r="N642" s="344" t="n"/>
      <c r="O642" s="344" t="n"/>
      <c r="P642" s="344" t="n"/>
      <c r="Q642" s="344" t="n"/>
      <c r="R642" s="344" t="n"/>
      <c r="S642" s="344" t="n"/>
      <c r="T642" s="344" t="n"/>
      <c r="U642" s="344" t="n"/>
      <c r="V642" s="344" t="n"/>
      <c r="W642" s="344" t="n"/>
    </row>
    <row r="643" customFormat="1" s="354">
      <c r="A643" s="345" t="n"/>
      <c r="B643" s="581" t="n"/>
      <c r="C643" s="582" t="n"/>
      <c r="D643" s="583" t="n"/>
      <c r="E643" s="584" t="n"/>
      <c r="F643" s="350" t="n"/>
      <c r="G643" s="350" t="n"/>
      <c r="H643" s="350" t="n"/>
      <c r="I643" s="350" t="n"/>
      <c r="J643" s="350" t="n"/>
      <c r="K643" s="351" t="n"/>
      <c r="L643" s="350" t="n"/>
      <c r="M643" s="350" t="n"/>
      <c r="N643" s="344" t="n"/>
      <c r="O643" s="344" t="n"/>
      <c r="P643" s="344" t="n"/>
      <c r="Q643" s="344" t="n"/>
      <c r="R643" s="344" t="n"/>
      <c r="S643" s="344" t="n"/>
      <c r="T643" s="344" t="n"/>
      <c r="U643" s="344" t="n"/>
      <c r="V643" s="344" t="n"/>
      <c r="W643" s="344" t="n"/>
    </row>
    <row r="644" customFormat="1" s="354">
      <c r="A644" s="345" t="n"/>
      <c r="B644" s="581" t="n"/>
      <c r="C644" s="582" t="n"/>
      <c r="D644" s="583" t="n"/>
      <c r="E644" s="584" t="n"/>
      <c r="F644" s="368" t="n"/>
      <c r="G644" s="368" t="n"/>
      <c r="H644" s="368" t="n"/>
      <c r="I644" s="368" t="n"/>
      <c r="J644" s="368" t="n"/>
      <c r="K644" s="351" t="n"/>
      <c r="L644" s="350" t="n"/>
      <c r="M644" s="350" t="n"/>
      <c r="N644" s="344" t="n"/>
      <c r="O644" s="344" t="n"/>
      <c r="P644" s="344" t="n"/>
      <c r="Q644" s="344" t="n"/>
      <c r="R644" s="344" t="n"/>
      <c r="S644" s="344" t="n"/>
      <c r="T644" s="344" t="n"/>
      <c r="U644" s="344" t="n"/>
      <c r="V644" s="344" t="n"/>
      <c r="W644" s="344" t="n"/>
    </row>
    <row r="645" customFormat="1" s="354">
      <c r="A645" s="345" t="n"/>
      <c r="B645" s="581" t="n"/>
      <c r="C645" s="582" t="n"/>
      <c r="D645" s="583" t="n"/>
      <c r="E645" s="584" t="n"/>
      <c r="F645" s="350" t="n"/>
      <c r="G645" s="350" t="n"/>
      <c r="H645" s="350" t="n"/>
      <c r="I645" s="350" t="n"/>
      <c r="J645" s="350" t="n"/>
      <c r="K645" s="351" t="n"/>
      <c r="L645" s="593" t="inlineStr">
        <is>
          <t>../開発規格書/久保レシピ修正版/ＱＣＳ/◆【牛蒡乱切り切替】筑前煮５（白鳥）.xlsx</t>
        </is>
      </c>
      <c r="M645" s="350" t="n"/>
      <c r="N645" s="344" t="n"/>
      <c r="O645" s="344" t="n"/>
      <c r="P645" s="344" t="n"/>
      <c r="Q645" s="344" t="n"/>
      <c r="R645" s="344" t="n"/>
      <c r="S645" s="344" t="n"/>
      <c r="T645" s="344" t="n"/>
      <c r="U645" s="344" t="n"/>
      <c r="V645" s="344" t="n"/>
      <c r="W645" s="344" t="n"/>
    </row>
    <row r="646" customFormat="1" s="354">
      <c r="A646" s="345" t="n"/>
      <c r="B646" s="581" t="n"/>
      <c r="C646" s="582" t="n"/>
      <c r="D646" s="583" t="n"/>
      <c r="E646" s="584" t="n"/>
      <c r="F646" s="350" t="n"/>
      <c r="G646" s="350" t="n"/>
      <c r="H646" s="350" t="n"/>
      <c r="I646" s="350" t="n"/>
      <c r="J646" s="350" t="n"/>
      <c r="K646" s="351" t="n"/>
      <c r="L646" s="350" t="n"/>
      <c r="M646" s="350" t="n"/>
      <c r="N646" s="344" t="n"/>
      <c r="O646" s="344" t="n"/>
      <c r="P646" s="344" t="n"/>
      <c r="Q646" s="344" t="n"/>
      <c r="R646" s="344" t="n"/>
      <c r="S646" s="344" t="n"/>
      <c r="T646" s="344" t="n"/>
      <c r="U646" s="344" t="n"/>
      <c r="V646" s="344" t="n"/>
      <c r="W646" s="344" t="n"/>
    </row>
    <row r="647" customFormat="1" s="354">
      <c r="A647" s="345" t="n"/>
      <c r="B647" s="581" t="n"/>
      <c r="C647" s="582" t="n"/>
      <c r="D647" s="583" t="n"/>
      <c r="E647" s="584" t="n"/>
      <c r="F647" s="350" t="n"/>
      <c r="G647" s="350" t="n"/>
      <c r="H647" s="350" t="n"/>
      <c r="I647" s="350" t="n"/>
      <c r="J647" s="350" t="n"/>
      <c r="K647" s="351" t="n"/>
      <c r="L647" s="350" t="n"/>
      <c r="M647" s="350" t="n"/>
      <c r="N647" s="344" t="n"/>
      <c r="O647" s="344" t="n"/>
      <c r="P647" s="344" t="n"/>
      <c r="Q647" s="344" t="n"/>
      <c r="R647" s="344" t="n"/>
      <c r="S647" s="344" t="n"/>
      <c r="T647" s="344" t="n"/>
      <c r="U647" s="344" t="n"/>
      <c r="V647" s="344" t="n"/>
      <c r="W647" s="344" t="n"/>
    </row>
    <row r="648" customFormat="1" s="354">
      <c r="A648" s="345" t="n"/>
      <c r="B648" s="581" t="n"/>
      <c r="C648" s="582" t="n"/>
      <c r="D648" s="583" t="n"/>
      <c r="E648" s="584" t="n"/>
      <c r="F648" s="350" t="n"/>
      <c r="G648" s="350" t="n"/>
      <c r="H648" s="350" t="n"/>
      <c r="I648" s="350" t="n"/>
      <c r="J648" s="350" t="n"/>
      <c r="K648" s="351" t="n"/>
      <c r="L648" s="350" t="n"/>
      <c r="M648" s="350" t="n"/>
      <c r="N648" s="344" t="n"/>
      <c r="O648" s="344" t="n"/>
      <c r="P648" s="344" t="n"/>
      <c r="Q648" s="344" t="n"/>
      <c r="R648" s="344" t="n"/>
      <c r="S648" s="344" t="n"/>
      <c r="T648" s="344" t="n"/>
      <c r="U648" s="344" t="n"/>
      <c r="V648" s="344" t="n"/>
      <c r="W648" s="344" t="n"/>
    </row>
    <row r="649" customFormat="1" s="354">
      <c r="A649" s="345" t="n"/>
      <c r="B649" s="581" t="n"/>
      <c r="C649" s="582" t="n"/>
      <c r="D649" s="583" t="n"/>
      <c r="E649" s="584" t="n"/>
      <c r="F649" s="350" t="n"/>
      <c r="G649" s="350" t="n"/>
      <c r="H649" s="350" t="n"/>
      <c r="I649" s="350" t="n"/>
      <c r="J649" s="350" t="n"/>
      <c r="K649" s="351" t="n"/>
      <c r="L649" s="350" t="n"/>
      <c r="M649" s="350" t="n"/>
      <c r="N649" s="344" t="n"/>
      <c r="O649" s="344" t="n"/>
      <c r="P649" s="344" t="n"/>
      <c r="Q649" s="344" t="n"/>
      <c r="R649" s="344" t="n"/>
      <c r="S649" s="344" t="n"/>
      <c r="T649" s="344" t="n"/>
      <c r="U649" s="344" t="n"/>
      <c r="V649" s="344" t="n"/>
      <c r="W649" s="344" t="n"/>
    </row>
    <row r="650" customFormat="1" s="354">
      <c r="A650" s="345" t="n"/>
      <c r="B650" s="581" t="n"/>
      <c r="C650" s="582" t="n"/>
      <c r="D650" s="583" t="n"/>
      <c r="E650" s="584" t="n"/>
      <c r="F650" s="350" t="n"/>
      <c r="G650" s="350" t="n"/>
      <c r="H650" s="350" t="n"/>
      <c r="I650" s="350" t="n"/>
      <c r="J650" s="350" t="n"/>
      <c r="K650" s="351" t="n"/>
      <c r="L650" s="355" t="inlineStr">
        <is>
          <t>2841000175316_【ＱＣＳ】ちくわ磯部揚げ衣.xlsx</t>
        </is>
      </c>
      <c r="M650" s="350" t="n"/>
      <c r="N650" s="344" t="n"/>
      <c r="O650" s="344" t="n"/>
      <c r="P650" s="344" t="n"/>
      <c r="Q650" s="344" t="n"/>
      <c r="R650" s="344" t="n"/>
      <c r="S650" s="344" t="n"/>
      <c r="T650" s="344" t="n"/>
      <c r="U650" s="344" t="n"/>
      <c r="V650" s="344" t="n"/>
      <c r="W650" s="344" t="n"/>
    </row>
    <row r="651" customFormat="1" s="354">
      <c r="A651" s="345" t="n"/>
      <c r="B651" s="581" t="n"/>
      <c r="C651" s="582" t="n"/>
      <c r="D651" s="583" t="n"/>
      <c r="E651" s="584" t="n"/>
      <c r="F651" s="350" t="n"/>
      <c r="G651" s="350" t="n"/>
      <c r="H651" s="350" t="n"/>
      <c r="I651" s="350" t="n"/>
      <c r="J651" s="350" t="n"/>
      <c r="K651" s="351" t="n"/>
      <c r="L651" s="350" t="n"/>
      <c r="M651" s="350" t="n"/>
      <c r="N651" s="344" t="n"/>
      <c r="O651" s="344" t="n"/>
      <c r="P651" s="344" t="n"/>
      <c r="Q651" s="344" t="n"/>
      <c r="R651" s="344" t="n"/>
      <c r="S651" s="344" t="n"/>
      <c r="T651" s="344" t="n"/>
      <c r="U651" s="344" t="n"/>
      <c r="V651" s="344" t="n"/>
      <c r="W651" s="344" t="n"/>
    </row>
    <row r="652">
      <c r="A652" s="345" t="n"/>
      <c r="B652" s="581" t="n"/>
      <c r="C652" s="582" t="n"/>
      <c r="D652" s="583" t="n"/>
      <c r="E652" s="584" t="n"/>
      <c r="F652" s="350" t="n"/>
      <c r="G652" s="350" t="n"/>
      <c r="H652" s="350" t="n"/>
      <c r="I652" s="350" t="n"/>
      <c r="J652" s="350" t="n"/>
      <c r="K652" s="351" t="n"/>
      <c r="L652" s="355" t="inlineStr">
        <is>
          <t>2841000201503_【ＱＣＳ】もち米浸漬（２６栗おこわ）.xlsx</t>
        </is>
      </c>
      <c r="M652" s="350" t="n"/>
    </row>
    <row r="653">
      <c r="A653" s="345" t="n"/>
      <c r="B653" s="581" t="n"/>
      <c r="C653" s="582" t="n"/>
      <c r="D653" s="583" t="n"/>
      <c r="E653" s="584" t="n"/>
      <c r="F653" s="350" t="n"/>
      <c r="G653" s="350" t="n"/>
      <c r="H653" s="350" t="n"/>
      <c r="I653" s="350" t="n"/>
      <c r="J653" s="350" t="n"/>
      <c r="K653" s="351" t="n"/>
      <c r="L653" s="355" t="inlineStr">
        <is>
          <t>2841000201640_【ＱＣＳ】２６栗おこわ.xlsx</t>
        </is>
      </c>
      <c r="M653" s="350" t="n"/>
    </row>
    <row r="654">
      <c r="A654" s="345" t="n"/>
      <c r="B654" s="581" t="n"/>
      <c r="C654" s="582" t="n"/>
      <c r="D654" s="583" t="n"/>
      <c r="E654" s="584" t="n"/>
      <c r="F654" s="350" t="n"/>
      <c r="G654" s="350" t="n"/>
      <c r="H654" s="350" t="n"/>
      <c r="I654" s="350" t="n"/>
      <c r="J654" s="350" t="n"/>
      <c r="K654" s="351" t="n"/>
      <c r="L654" s="355" t="inlineStr">
        <is>
          <t>2841000201510_【ＱＣＳ】栗煮（２６栗おこわ）.xlsx</t>
        </is>
      </c>
      <c r="M654" s="350" t="n"/>
    </row>
    <row r="655">
      <c r="A655" s="345" t="n"/>
      <c r="B655" s="581" t="n"/>
      <c r="C655" s="582" t="n"/>
      <c r="D655" s="583" t="n"/>
      <c r="E655" s="584" t="n"/>
      <c r="F655" s="350" t="n"/>
      <c r="G655" s="350" t="n"/>
      <c r="H655" s="350" t="n"/>
      <c r="I655" s="350" t="n"/>
      <c r="J655" s="350" t="n"/>
      <c r="K655" s="351" t="n"/>
      <c r="L655" s="355" t="inlineStr">
        <is>
          <t>2841000201510_【ＱＣＳ】栗煮（２６栗おこわ）.xlsx</t>
        </is>
      </c>
      <c r="M655" s="350" t="n"/>
    </row>
    <row r="656">
      <c r="A656" s="345" t="n"/>
      <c r="B656" s="581" t="n"/>
      <c r="C656" s="582" t="n"/>
      <c r="D656" s="583" t="n"/>
      <c r="E656" s="584" t="n"/>
      <c r="F656" s="350" t="n"/>
      <c r="G656" s="350" t="n"/>
      <c r="H656" s="350" t="n"/>
      <c r="I656" s="350" t="n"/>
      <c r="J656" s="350" t="n"/>
      <c r="K656" s="351" t="n"/>
      <c r="L656" s="350" t="n"/>
      <c r="M656" s="350" t="n"/>
    </row>
    <row r="657">
      <c r="A657" s="345" t="n"/>
      <c r="B657" s="581" t="n"/>
      <c r="C657" s="582" t="n"/>
      <c r="D657" s="583" t="n"/>
      <c r="E657" s="584" t="n"/>
      <c r="F657" s="350" t="n"/>
      <c r="G657" s="350" t="n"/>
      <c r="H657" s="350" t="n"/>
      <c r="I657" s="350" t="n"/>
      <c r="J657" s="350" t="n"/>
      <c r="K657" s="351" t="n"/>
      <c r="L657" s="350" t="n"/>
      <c r="M657" s="350" t="n"/>
    </row>
    <row r="658">
      <c r="A658" s="345" t="n"/>
      <c r="B658" s="581" t="n"/>
      <c r="C658" s="582" t="n"/>
      <c r="D658" s="583" t="n"/>
      <c r="E658" s="584" t="n"/>
      <c r="F658" s="350" t="n"/>
      <c r="G658" s="350" t="n"/>
      <c r="H658" s="350" t="n"/>
      <c r="I658" s="350" t="n"/>
      <c r="J658" s="350" t="n"/>
      <c r="K658" s="351" t="n"/>
      <c r="L658" s="350" t="n"/>
      <c r="M658" s="350" t="n"/>
    </row>
    <row r="659">
      <c r="A659" s="345" t="n"/>
      <c r="B659" s="581" t="n"/>
      <c r="C659" s="582" t="n"/>
      <c r="D659" s="583" t="n"/>
      <c r="E659" s="584" t="n"/>
      <c r="F659" s="350" t="n"/>
      <c r="G659" s="350" t="n"/>
      <c r="H659" s="350" t="n"/>
      <c r="I659" s="350" t="n"/>
      <c r="J659" s="350" t="n"/>
      <c r="K659" s="351" t="n"/>
      <c r="L659" s="350" t="n"/>
      <c r="M659" s="350" t="n"/>
    </row>
    <row r="660">
      <c r="A660" s="345" t="n"/>
      <c r="B660" s="581" t="n"/>
      <c r="C660" s="582" t="n"/>
      <c r="D660" s="583" t="n"/>
      <c r="E660" s="584" t="n"/>
      <c r="F660" s="350" t="n"/>
      <c r="G660" s="350" t="n"/>
      <c r="H660" s="350" t="n"/>
      <c r="I660" s="350" t="n"/>
      <c r="J660" s="350" t="n"/>
      <c r="K660" s="351" t="n"/>
      <c r="L660" s="350" t="n"/>
      <c r="M660" s="350" t="n"/>
    </row>
    <row r="661">
      <c r="A661" s="345" t="n"/>
      <c r="B661" s="581" t="n"/>
      <c r="C661" s="582" t="n"/>
      <c r="D661" s="583" t="n"/>
      <c r="E661" s="584" t="n"/>
      <c r="F661" s="350" t="n"/>
      <c r="G661" s="350" t="n"/>
      <c r="H661" s="350" t="n"/>
      <c r="I661" s="350" t="n"/>
      <c r="J661" s="350" t="n"/>
      <c r="K661" s="351" t="n"/>
      <c r="L661" s="350" t="n"/>
      <c r="M661" s="350" t="n"/>
    </row>
    <row r="662">
      <c r="A662" s="345" t="n"/>
      <c r="B662" s="581" t="n"/>
      <c r="C662" s="582" t="n"/>
      <c r="D662" s="583" t="n"/>
      <c r="E662" s="584" t="n"/>
      <c r="F662" s="350" t="n"/>
      <c r="G662" s="350" t="n"/>
      <c r="H662" s="350" t="n"/>
      <c r="I662" s="350" t="n"/>
      <c r="J662" s="350" t="n"/>
      <c r="K662" s="351" t="n"/>
      <c r="L662" s="355" t="n"/>
      <c r="M662" s="350" t="n"/>
    </row>
    <row r="663">
      <c r="A663" s="345" t="n"/>
      <c r="B663" s="581" t="n"/>
      <c r="C663" s="582" t="n"/>
      <c r="D663" s="583" t="n"/>
      <c r="E663" s="584" t="n"/>
      <c r="F663" s="350" t="n"/>
      <c r="G663" s="350" t="n"/>
      <c r="H663" s="350" t="n"/>
      <c r="I663" s="350" t="n"/>
      <c r="J663" s="350" t="n"/>
      <c r="K663" s="351" t="n"/>
      <c r="L663" s="355" t="n"/>
      <c r="M663" s="350" t="n"/>
    </row>
    <row r="664">
      <c r="A664" s="345" t="n"/>
      <c r="B664" s="581" t="n"/>
      <c r="C664" s="582" t="n"/>
      <c r="D664" s="583" t="n"/>
      <c r="E664" s="584" t="n"/>
      <c r="F664" s="350" t="n"/>
      <c r="G664" s="350" t="n"/>
      <c r="H664" s="350" t="n"/>
      <c r="I664" s="350" t="n"/>
      <c r="J664" s="350" t="n"/>
      <c r="K664" s="351" t="n"/>
      <c r="L664" s="350" t="n"/>
      <c r="M664" s="350" t="n"/>
    </row>
    <row r="665">
      <c r="A665" s="345" t="n"/>
      <c r="B665" s="581" t="n"/>
      <c r="C665" s="582" t="n"/>
      <c r="D665" s="583" t="n"/>
      <c r="E665" s="584" t="n"/>
      <c r="F665" s="350" t="n"/>
      <c r="G665" s="350" t="n"/>
      <c r="H665" s="350" t="n"/>
      <c r="I665" s="350" t="n"/>
      <c r="J665" s="350" t="n"/>
      <c r="K665" s="351" t="n"/>
      <c r="L665" s="350" t="n"/>
      <c r="M665" s="350" t="n"/>
    </row>
    <row r="666">
      <c r="A666" s="345" t="n"/>
      <c r="B666" s="581" t="n"/>
      <c r="C666" s="582" t="n"/>
      <c r="D666" s="583" t="n"/>
      <c r="E666" s="584" t="n"/>
      <c r="F666" s="368" t="n"/>
      <c r="G666" s="368" t="n"/>
      <c r="H666" s="368" t="n"/>
      <c r="I666" s="368" t="n"/>
      <c r="J666" s="368" t="n"/>
      <c r="K666" s="351" t="n"/>
      <c r="L666" s="350" t="n"/>
      <c r="M666" s="350" t="n"/>
    </row>
    <row r="667">
      <c r="A667" s="345" t="n"/>
      <c r="B667" s="581" t="n"/>
      <c r="C667" s="582" t="n"/>
      <c r="D667" s="583" t="n"/>
      <c r="E667" s="584" t="n"/>
      <c r="F667" s="350" t="n"/>
      <c r="G667" s="350" t="n"/>
      <c r="H667" s="350" t="n"/>
      <c r="I667" s="350" t="n"/>
      <c r="J667" s="350" t="n"/>
      <c r="K667" s="351" t="n"/>
      <c r="L667" s="350" t="n"/>
      <c r="M667" s="350" t="n"/>
    </row>
    <row r="668">
      <c r="A668" s="345" t="n"/>
      <c r="B668" s="581" t="n"/>
      <c r="C668" s="582" t="n"/>
      <c r="D668" s="583" t="n"/>
      <c r="E668" s="584" t="n"/>
      <c r="F668" s="350" t="n"/>
      <c r="G668" s="350" t="n"/>
      <c r="H668" s="350" t="n"/>
      <c r="I668" s="350" t="n"/>
      <c r="J668" s="350" t="n"/>
      <c r="K668" s="351" t="n"/>
      <c r="L668" s="355" t="inlineStr">
        <is>
          <t>2841000201640_【ＱＣＳ】２６栗おこわ.xlsx</t>
        </is>
      </c>
      <c r="M668" s="350" t="n"/>
    </row>
    <row r="669">
      <c r="A669" s="345" t="n"/>
      <c r="B669" s="581" t="n"/>
      <c r="C669" s="582" t="n"/>
      <c r="D669" s="583" t="n"/>
      <c r="E669" s="584" t="n"/>
      <c r="F669" s="350" t="n"/>
      <c r="G669" s="350" t="n"/>
      <c r="H669" s="350" t="n"/>
      <c r="I669" s="350" t="n"/>
      <c r="J669" s="350" t="n"/>
      <c r="K669" s="351" t="n"/>
      <c r="L669" s="355" t="inlineStr">
        <is>
          <t>_【ＱＣＳ】２６栗おこわ.xlsx</t>
        </is>
      </c>
      <c r="M669" s="350" t="n"/>
    </row>
    <row r="670">
      <c r="A670" s="345" t="n"/>
      <c r="B670" s="581" t="n"/>
      <c r="C670" s="582" t="n"/>
      <c r="D670" s="583" t="n"/>
      <c r="E670" s="584" t="n"/>
      <c r="F670" s="350" t="n"/>
      <c r="G670" s="350" t="n"/>
      <c r="H670" s="350" t="n"/>
      <c r="I670" s="350" t="n"/>
      <c r="J670" s="350" t="n"/>
      <c r="K670" s="351" t="n"/>
      <c r="L670" s="355" t="inlineStr">
        <is>
          <t>_【ＱＣＳ】栗煮（２６栗おこわ）.xlsx</t>
        </is>
      </c>
      <c r="M670" s="350" t="n"/>
    </row>
    <row r="671">
      <c r="A671" s="345" t="n"/>
      <c r="B671" s="581" t="n"/>
      <c r="C671" s="582" t="n"/>
      <c r="D671" s="583" t="n"/>
      <c r="E671" s="584" t="n"/>
      <c r="F671" s="350" t="n"/>
      <c r="G671" s="350" t="n"/>
      <c r="H671" s="350" t="n"/>
      <c r="I671" s="350" t="n"/>
      <c r="J671" s="350" t="n"/>
      <c r="K671" s="351" t="n"/>
      <c r="L671" s="355" t="inlineStr">
        <is>
          <t>_【ＱＣＳ】栗煮（２６栗おこわ）.xlsx</t>
        </is>
      </c>
      <c r="M671" s="350" t="n"/>
    </row>
    <row r="672" customFormat="1" s="354">
      <c r="A672" s="345" t="n"/>
      <c r="B672" s="581" t="n"/>
      <c r="C672" s="582" t="n"/>
      <c r="D672" s="583" t="n"/>
      <c r="E672" s="584" t="n"/>
      <c r="F672" s="350" t="n"/>
      <c r="G672" s="350" t="n"/>
      <c r="H672" s="350" t="n"/>
      <c r="I672" s="350" t="n"/>
      <c r="J672" s="350" t="n"/>
      <c r="K672" s="351" t="n"/>
      <c r="L672" s="355" t="inlineStr">
        <is>
          <t>2841000187531_【ＱＣＳ】ターメリックライス%20.xlsx</t>
        </is>
      </c>
      <c r="M672" s="350" t="n"/>
      <c r="N672" s="344" t="n"/>
      <c r="O672" s="344" t="n"/>
      <c r="P672" s="344" t="n"/>
      <c r="Q672" s="344" t="n"/>
      <c r="R672" s="344" t="n"/>
      <c r="S672" s="344" t="n"/>
      <c r="T672" s="344" t="n"/>
      <c r="U672" s="344" t="n"/>
      <c r="V672" s="344" t="n"/>
      <c r="W672" s="344" t="n"/>
    </row>
    <row r="673" customFormat="1" s="354">
      <c r="A673" s="345" t="n"/>
      <c r="B673" s="581" t="n"/>
      <c r="C673" s="582" t="n"/>
      <c r="D673" s="583" t="n"/>
      <c r="E673" s="584" t="n"/>
      <c r="F673" s="350" t="n"/>
      <c r="G673" s="350" t="n"/>
      <c r="H673" s="350" t="n"/>
      <c r="I673" s="350" t="n"/>
      <c r="J673" s="350" t="n"/>
      <c r="K673" s="351" t="n"/>
      <c r="L673" s="355" t="inlineStr">
        <is>
          <t>2841000197585_【ＱＣＳ】ボイルパスタ麺（１．７ｍｍ）.xlsx</t>
        </is>
      </c>
      <c r="M673" s="350" t="n"/>
      <c r="N673" s="344" t="n"/>
      <c r="O673" s="344" t="n"/>
      <c r="P673" s="344" t="n"/>
      <c r="Q673" s="344" t="n"/>
      <c r="R673" s="344" t="n"/>
      <c r="S673" s="344" t="n"/>
      <c r="T673" s="344" t="n"/>
      <c r="U673" s="344" t="n"/>
      <c r="V673" s="344" t="n"/>
      <c r="W673" s="344" t="n"/>
    </row>
    <row r="674" customFormat="1" s="354">
      <c r="A674" s="345" t="n"/>
      <c r="B674" s="581" t="n"/>
      <c r="C674" s="582" t="n"/>
      <c r="D674" s="583" t="n"/>
      <c r="E674" s="584" t="n"/>
      <c r="F674" s="350" t="n"/>
      <c r="G674" s="350" t="n"/>
      <c r="H674" s="350" t="n"/>
      <c r="I674" s="350" t="n"/>
      <c r="J674" s="350" t="n"/>
      <c r="K674" s="351" t="n"/>
      <c r="L674" s="355" t="inlineStr">
        <is>
          <t>2841000203262_【ＱＣＳ】ガーリックバターオイル（白パスタ）.xlsx</t>
        </is>
      </c>
      <c r="M674" s="350" t="n"/>
      <c r="N674" s="344" t="n"/>
      <c r="O674" s="344" t="n"/>
      <c r="P674" s="344" t="n"/>
      <c r="Q674" s="344" t="n"/>
      <c r="R674" s="344" t="n"/>
      <c r="S674" s="344" t="n"/>
      <c r="T674" s="344" t="n"/>
      <c r="U674" s="344" t="n"/>
      <c r="V674" s="344" t="n"/>
      <c r="W674" s="344" t="n"/>
    </row>
    <row r="675" customFormat="1" s="354">
      <c r="A675" s="345" t="n"/>
      <c r="B675" s="581" t="n"/>
      <c r="C675" s="582" t="n"/>
      <c r="D675" s="583" t="n"/>
      <c r="E675" s="584" t="n"/>
      <c r="F675" s="350" t="n"/>
      <c r="G675" s="350" t="n"/>
      <c r="H675" s="350" t="n"/>
      <c r="I675" s="350" t="n"/>
      <c r="J675" s="350" t="n"/>
      <c r="K675" s="351" t="n"/>
      <c r="L675" s="355" t="inlineStr">
        <is>
          <t>2841000203552_【ＱＣＳ】白パスタ.xlsx</t>
        </is>
      </c>
      <c r="M675" s="350" t="n"/>
      <c r="N675" s="344" t="n"/>
      <c r="O675" s="344" t="n"/>
      <c r="P675" s="344" t="n"/>
      <c r="Q675" s="344" t="n"/>
      <c r="R675" s="344" t="n"/>
      <c r="S675" s="344" t="n"/>
      <c r="T675" s="344" t="n"/>
      <c r="U675" s="344" t="n"/>
      <c r="V675" s="344" t="n"/>
      <c r="W675" s="344" t="n"/>
    </row>
    <row r="676" customFormat="1" s="354">
      <c r="A676" s="345" t="n"/>
      <c r="B676" s="581" t="n"/>
      <c r="C676" s="582" t="n"/>
      <c r="D676" s="583" t="n"/>
      <c r="E676" s="584" t="n"/>
      <c r="F676" s="350" t="n"/>
      <c r="G676" s="350" t="n"/>
      <c r="H676" s="350" t="n"/>
      <c r="I676" s="350" t="n"/>
      <c r="J676" s="350" t="n"/>
      <c r="K676" s="351" t="n"/>
      <c r="L676" s="350" t="n"/>
      <c r="M676" s="350" t="n"/>
      <c r="N676" s="344" t="n"/>
      <c r="O676" s="344" t="n"/>
      <c r="P676" s="344" t="n"/>
      <c r="Q676" s="344" t="n"/>
      <c r="R676" s="344" t="n"/>
      <c r="S676" s="344" t="n"/>
      <c r="T676" s="344" t="n"/>
      <c r="U676" s="344" t="n"/>
      <c r="V676" s="344" t="n"/>
      <c r="W676" s="344" t="n"/>
    </row>
    <row r="677" customFormat="1" s="354">
      <c r="A677" s="345" t="n"/>
      <c r="B677" s="581" t="n"/>
      <c r="C677" s="582" t="n"/>
      <c r="D677" s="583" t="n"/>
      <c r="E677" s="584" t="n"/>
      <c r="F677" s="350" t="n"/>
      <c r="G677" s="350" t="n"/>
      <c r="H677" s="350" t="n"/>
      <c r="I677" s="350" t="n"/>
      <c r="J677" s="350" t="n"/>
      <c r="K677" s="351" t="n"/>
      <c r="L677" s="355" t="inlineStr">
        <is>
          <t>2841000203279_【ＱＣＳ】ハンバーグソース.xlsx</t>
        </is>
      </c>
      <c r="M677" s="350" t="n"/>
      <c r="N677" s="344" t="n"/>
      <c r="O677" s="344" t="n"/>
      <c r="P677" s="344" t="n"/>
      <c r="Q677" s="344" t="n"/>
      <c r="R677" s="344" t="n"/>
      <c r="S677" s="344" t="n"/>
      <c r="T677" s="344" t="n"/>
      <c r="U677" s="344" t="n"/>
      <c r="V677" s="344" t="n"/>
      <c r="W677" s="344" t="n"/>
    </row>
    <row r="678" customFormat="1" s="354">
      <c r="A678" s="345" t="n"/>
      <c r="B678" s="581" t="n"/>
      <c r="C678" s="582" t="n"/>
      <c r="D678" s="583" t="n"/>
      <c r="E678" s="584" t="n"/>
      <c r="F678" s="350" t="n"/>
      <c r="G678" s="350" t="n"/>
      <c r="H678" s="350" t="n"/>
      <c r="I678" s="350" t="n"/>
      <c r="J678" s="350" t="n"/>
      <c r="K678" s="351" t="n"/>
      <c r="L678" s="350" t="n"/>
      <c r="M678" s="350" t="n"/>
      <c r="N678" s="344" t="n"/>
      <c r="O678" s="344" t="n"/>
      <c r="P678" s="344" t="n"/>
      <c r="Q678" s="344" t="n"/>
      <c r="R678" s="344" t="n"/>
      <c r="S678" s="344" t="n"/>
      <c r="T678" s="344" t="n"/>
      <c r="U678" s="344" t="n"/>
      <c r="V678" s="344" t="n"/>
      <c r="W678" s="344" t="n"/>
    </row>
    <row r="679" customFormat="1" s="354">
      <c r="A679" s="345" t="n"/>
      <c r="B679" s="581" t="n"/>
      <c r="C679" s="582" t="n"/>
      <c r="D679" s="583" t="n"/>
      <c r="E679" s="584" t="n"/>
      <c r="F679" s="350" t="n"/>
      <c r="G679" s="350" t="n"/>
      <c r="H679" s="350" t="n"/>
      <c r="I679" s="350" t="n"/>
      <c r="J679" s="350" t="n"/>
      <c r="K679" s="351" t="n"/>
      <c r="L679" s="355" t="inlineStr">
        <is>
          <t>2841000203286_【ＱＣＳ】ナチュラルカットポテト油調.xlsx</t>
        </is>
      </c>
      <c r="M679" s="350" t="n"/>
      <c r="N679" s="344" t="n"/>
      <c r="O679" s="344" t="n"/>
      <c r="P679" s="344" t="n"/>
      <c r="Q679" s="344" t="n"/>
      <c r="R679" s="344" t="n"/>
      <c r="S679" s="344" t="n"/>
      <c r="T679" s="344" t="n"/>
      <c r="U679" s="344" t="n"/>
      <c r="V679" s="344" t="n"/>
      <c r="W679" s="344" t="n"/>
    </row>
    <row r="680" customFormat="1" s="354">
      <c r="A680" s="345" t="n"/>
      <c r="B680" s="581" t="n"/>
      <c r="C680" s="582" t="n"/>
      <c r="D680" s="583" t="n"/>
      <c r="E680" s="584" t="n"/>
      <c r="F680" s="350" t="n"/>
      <c r="G680" s="350" t="n"/>
      <c r="H680" s="350" t="n"/>
      <c r="I680" s="350" t="n"/>
      <c r="J680" s="350" t="n"/>
      <c r="K680" s="351" t="n"/>
      <c r="L680" s="355" t="inlineStr">
        <is>
          <t>2841000168790_【ＱＣＳ】コーンボイル.xlsx</t>
        </is>
      </c>
      <c r="M680" s="350" t="n"/>
      <c r="N680" s="344" t="n"/>
      <c r="O680" s="344" t="n"/>
      <c r="P680" s="344" t="n"/>
      <c r="Q680" s="344" t="n"/>
      <c r="R680" s="344" t="n"/>
      <c r="S680" s="344" t="n"/>
      <c r="T680" s="344" t="n"/>
      <c r="U680" s="344" t="n"/>
      <c r="V680" s="344" t="n"/>
      <c r="W680" s="344" t="n"/>
    </row>
    <row r="681" customFormat="1" s="354">
      <c r="A681" s="345" t="n"/>
      <c r="B681" s="581" t="n"/>
      <c r="C681" s="582" t="n"/>
      <c r="D681" s="583" t="n"/>
      <c r="E681" s="584" t="n"/>
      <c r="F681" s="350" t="n"/>
      <c r="G681" s="350" t="n"/>
      <c r="H681" s="350" t="n"/>
      <c r="I681" s="350" t="n"/>
      <c r="J681" s="350" t="n"/>
      <c r="K681" s="351" t="n"/>
      <c r="L681" s="593" t="inlineStr">
        <is>
          <t>../../../../01_組織_メガ生鮮_惣菜/〇商品部/▲白鳥CK/CK手順書/2026年/6月/牛蒡乱切り変更/【牛蒡乱切り切替】明太高菜幕の内弁当８（白鳥）.xlsx</t>
        </is>
      </c>
      <c r="M681" s="350" t="n"/>
      <c r="N681" s="344" t="n"/>
      <c r="O681" s="344" t="n"/>
      <c r="P681" s="344" t="n"/>
      <c r="Q681" s="344" t="n"/>
      <c r="R681" s="344" t="n"/>
      <c r="S681" s="344" t="n"/>
      <c r="T681" s="344" t="n"/>
      <c r="U681" s="344" t="n"/>
      <c r="V681" s="344" t="n"/>
      <c r="W681" s="344" t="n"/>
    </row>
    <row r="682" customFormat="1" s="354">
      <c r="A682" s="345" t="n"/>
      <c r="B682" s="581" t="n"/>
      <c r="C682" s="582" t="n"/>
      <c r="D682" s="583" t="n"/>
      <c r="E682" s="584" t="n"/>
      <c r="F682" s="350" t="n"/>
      <c r="G682" s="350" t="n"/>
      <c r="H682" s="350" t="n"/>
      <c r="I682" s="350" t="n"/>
      <c r="J682" s="350" t="n"/>
      <c r="K682" s="351" t="n"/>
      <c r="L682" s="355" t="inlineStr">
        <is>
          <t>2841000174401_【ＱＣＳ】高菜炒め.xlsx</t>
        </is>
      </c>
      <c r="M682" s="350" t="n"/>
      <c r="N682" s="344" t="n"/>
      <c r="O682" s="344" t="n"/>
      <c r="P682" s="344" t="n"/>
      <c r="Q682" s="344" t="n"/>
      <c r="R682" s="344" t="n"/>
      <c r="S682" s="344" t="n"/>
      <c r="T682" s="344" t="n"/>
      <c r="U682" s="344" t="n"/>
      <c r="V682" s="344" t="n"/>
      <c r="W682" s="344" t="n"/>
    </row>
    <row r="683" customFormat="1" s="354">
      <c r="A683" s="345" t="n"/>
      <c r="B683" s="581" t="n"/>
      <c r="C683" s="582" t="n"/>
      <c r="D683" s="583" t="n"/>
      <c r="E683" s="584" t="n"/>
      <c r="F683" s="350" t="n"/>
      <c r="G683" s="350" t="n"/>
      <c r="H683" s="350" t="n"/>
      <c r="I683" s="350" t="n"/>
      <c r="J683" s="350" t="n"/>
      <c r="K683" s="351" t="n"/>
      <c r="L683" s="355" t="inlineStr">
        <is>
          <t>2841000174401_【ＱＣＳ】高菜炒め.xlsx</t>
        </is>
      </c>
      <c r="M683" s="350" t="n"/>
      <c r="N683" s="344" t="n"/>
      <c r="O683" s="344" t="n"/>
      <c r="P683" s="344" t="n"/>
      <c r="Q683" s="344" t="n"/>
      <c r="R683" s="344" t="n"/>
      <c r="S683" s="344" t="n"/>
      <c r="T683" s="344" t="n"/>
      <c r="U683" s="344" t="n"/>
      <c r="V683" s="344" t="n"/>
      <c r="W683" s="344" t="n"/>
    </row>
    <row r="684" customFormat="1" s="354">
      <c r="A684" s="345" t="n"/>
      <c r="B684" s="581" t="n"/>
      <c r="C684" s="582" t="n"/>
      <c r="D684" s="583" t="n"/>
      <c r="E684" s="584" t="n"/>
      <c r="F684" s="350" t="n"/>
      <c r="G684" s="350" t="n"/>
      <c r="H684" s="350" t="n"/>
      <c r="I684" s="350" t="n"/>
      <c r="J684" s="350" t="n"/>
      <c r="K684" s="351" t="n"/>
      <c r="L684" s="350" t="n"/>
      <c r="M684" s="350" t="n"/>
      <c r="N684" s="344" t="n"/>
      <c r="O684" s="344" t="n"/>
      <c r="P684" s="344" t="n"/>
      <c r="Q684" s="344" t="n"/>
      <c r="R684" s="344" t="n"/>
      <c r="S684" s="344" t="n"/>
      <c r="T684" s="344" t="n"/>
      <c r="U684" s="344" t="n"/>
      <c r="V684" s="344" t="n"/>
      <c r="W684" s="344" t="n"/>
    </row>
    <row r="685" customFormat="1" s="354">
      <c r="A685" s="345" t="n"/>
      <c r="B685" s="581" t="n"/>
      <c r="C685" s="582" t="n"/>
      <c r="D685" s="583" t="n"/>
      <c r="E685" s="584" t="n"/>
      <c r="F685" s="350" t="n"/>
      <c r="G685" s="350" t="n"/>
      <c r="H685" s="350" t="n"/>
      <c r="I685" s="350" t="n"/>
      <c r="J685" s="350" t="n"/>
      <c r="K685" s="351" t="n"/>
      <c r="L685" s="350" t="n"/>
      <c r="M685" s="350" t="n"/>
      <c r="N685" s="344" t="n"/>
      <c r="O685" s="344" t="n"/>
      <c r="P685" s="344" t="n"/>
      <c r="Q685" s="344" t="n"/>
      <c r="R685" s="344" t="n"/>
      <c r="S685" s="344" t="n"/>
      <c r="T685" s="344" t="n"/>
      <c r="U685" s="344" t="n"/>
      <c r="V685" s="344" t="n"/>
      <c r="W685" s="344" t="n"/>
    </row>
    <row r="686" customFormat="1" s="354">
      <c r="A686" s="345" t="n"/>
      <c r="B686" s="581" t="n"/>
      <c r="C686" s="582" t="n"/>
      <c r="D686" s="583" t="n"/>
      <c r="E686" s="584" t="n"/>
      <c r="F686" s="350" t="n"/>
      <c r="G686" s="350" t="n"/>
      <c r="H686" s="350" t="n"/>
      <c r="I686" s="350" t="n"/>
      <c r="J686" s="350" t="n"/>
      <c r="K686" s="351" t="n"/>
      <c r="L686" s="355" t="n"/>
      <c r="M686" s="350" t="n"/>
      <c r="N686" s="344" t="n"/>
      <c r="O686" s="344" t="n"/>
      <c r="P686" s="344" t="n"/>
      <c r="Q686" s="344" t="n"/>
      <c r="R686" s="344" t="n"/>
      <c r="S686" s="344" t="n"/>
      <c r="T686" s="344" t="n"/>
      <c r="U686" s="344" t="n"/>
      <c r="V686" s="344" t="n"/>
      <c r="W686" s="344" t="n"/>
    </row>
    <row r="687" customFormat="1" s="354">
      <c r="A687" s="345" t="n"/>
      <c r="B687" s="581" t="n"/>
      <c r="C687" s="582" t="n"/>
      <c r="D687" s="583" t="n"/>
      <c r="E687" s="584" t="n"/>
      <c r="F687" s="350" t="n"/>
      <c r="G687" s="350" t="n"/>
      <c r="H687" s="350" t="n"/>
      <c r="I687" s="350" t="n"/>
      <c r="J687" s="350" t="n"/>
      <c r="K687" s="351" t="n"/>
      <c r="L687" s="355" t="n"/>
      <c r="M687" s="350" t="n"/>
      <c r="N687" s="344" t="n"/>
      <c r="O687" s="344" t="n"/>
      <c r="P687" s="344" t="n"/>
      <c r="Q687" s="344" t="n"/>
      <c r="R687" s="344" t="n"/>
      <c r="S687" s="344" t="n"/>
      <c r="T687" s="344" t="n"/>
      <c r="U687" s="344" t="n"/>
      <c r="V687" s="344" t="n"/>
      <c r="W687" s="344" t="n"/>
    </row>
    <row r="688" customFormat="1" s="354">
      <c r="A688" s="345" t="n"/>
      <c r="B688" s="581" t="n"/>
      <c r="C688" s="582" t="n"/>
      <c r="D688" s="583" t="n"/>
      <c r="E688" s="584" t="n"/>
      <c r="F688" s="368" t="n"/>
      <c r="G688" s="368" t="n"/>
      <c r="H688" s="368" t="n"/>
      <c r="I688" s="368" t="n"/>
      <c r="J688" s="368" t="n"/>
      <c r="K688" s="351" t="n"/>
      <c r="L688" s="350" t="n"/>
      <c r="M688" s="350" t="n"/>
      <c r="N688" s="344" t="n"/>
      <c r="O688" s="344" t="n"/>
      <c r="P688" s="344" t="n"/>
      <c r="Q688" s="344" t="n"/>
      <c r="R688" s="344" t="n"/>
      <c r="S688" s="344" t="n"/>
      <c r="T688" s="344" t="n"/>
      <c r="U688" s="344" t="n"/>
      <c r="V688" s="344" t="n"/>
      <c r="W688" s="344" t="n"/>
    </row>
    <row r="689" customFormat="1" s="354">
      <c r="A689" s="345" t="n"/>
      <c r="B689" s="581" t="n"/>
      <c r="C689" s="582" t="n"/>
      <c r="D689" s="583" t="n"/>
      <c r="E689" s="584" t="n"/>
      <c r="F689" s="350" t="n"/>
      <c r="G689" s="350" t="n"/>
      <c r="H689" s="350" t="n"/>
      <c r="I689" s="350" t="n"/>
      <c r="J689" s="350" t="n"/>
      <c r="K689" s="351" t="n"/>
      <c r="L689" s="593" t="inlineStr">
        <is>
          <t>../開発規格書/久保レシピ修正版/ＱＣＳ/◆【牛蒡乱切り切替】筑前煮５（白鳥）.xlsx</t>
        </is>
      </c>
      <c r="M689" s="350" t="n"/>
      <c r="N689" s="344" t="n"/>
      <c r="O689" s="344" t="n"/>
      <c r="P689" s="344" t="n"/>
      <c r="Q689" s="344" t="n"/>
      <c r="R689" s="344" t="n"/>
      <c r="S689" s="344" t="n"/>
      <c r="T689" s="344" t="n"/>
      <c r="U689" s="344" t="n"/>
      <c r="V689" s="344" t="n"/>
      <c r="W689" s="344" t="n"/>
    </row>
    <row r="690" customFormat="1" s="354">
      <c r="A690" s="345" t="n"/>
      <c r="B690" s="581" t="n"/>
      <c r="C690" s="582" t="n"/>
      <c r="D690" s="583" t="n"/>
      <c r="E690" s="584" t="n"/>
      <c r="F690" s="350" t="n"/>
      <c r="G690" s="350" t="n"/>
      <c r="H690" s="350" t="n"/>
      <c r="I690" s="350" t="n"/>
      <c r="J690" s="350" t="n"/>
      <c r="K690" s="351" t="n"/>
      <c r="L690" s="350" t="n"/>
      <c r="M690" s="350" t="n"/>
      <c r="N690" s="344" t="n"/>
      <c r="O690" s="344" t="n"/>
      <c r="P690" s="344" t="n"/>
      <c r="Q690" s="344" t="n"/>
      <c r="R690" s="344" t="n"/>
      <c r="S690" s="344" t="n"/>
      <c r="T690" s="344" t="n"/>
      <c r="U690" s="344" t="n"/>
      <c r="V690" s="344" t="n"/>
      <c r="W690" s="344" t="n"/>
    </row>
    <row r="691" customFormat="1" s="354">
      <c r="A691" s="345" t="n"/>
      <c r="B691" s="581" t="n"/>
      <c r="C691" s="582" t="n"/>
      <c r="D691" s="583" t="n"/>
      <c r="E691" s="584" t="n"/>
      <c r="F691" s="350" t="n"/>
      <c r="G691" s="350" t="n"/>
      <c r="H691" s="350" t="n"/>
      <c r="I691" s="350" t="n"/>
      <c r="J691" s="350" t="n"/>
      <c r="K691" s="351" t="n"/>
      <c r="L691" s="350" t="n"/>
      <c r="M691" s="350" t="n"/>
      <c r="N691" s="344" t="n"/>
      <c r="O691" s="344" t="n"/>
      <c r="P691" s="344" t="n"/>
      <c r="Q691" s="344" t="n"/>
      <c r="R691" s="344" t="n"/>
      <c r="S691" s="344" t="n"/>
      <c r="T691" s="344" t="n"/>
      <c r="U691" s="344" t="n"/>
      <c r="V691" s="344" t="n"/>
      <c r="W691" s="344" t="n"/>
    </row>
    <row r="692" customFormat="1" s="354">
      <c r="A692" s="345" t="n"/>
      <c r="B692" s="581" t="n"/>
      <c r="C692" s="582" t="n"/>
      <c r="D692" s="583" t="n"/>
      <c r="E692" s="595" t="n"/>
      <c r="F692" s="350" t="n"/>
      <c r="G692" s="350" t="n"/>
      <c r="H692" s="350" t="n"/>
      <c r="I692" s="350" t="n"/>
      <c r="J692" s="350" t="n"/>
      <c r="K692" s="351" t="n"/>
      <c r="L692" s="350" t="n"/>
      <c r="M692" s="350" t="n"/>
      <c r="N692" s="344" t="n"/>
      <c r="O692" s="344" t="n"/>
      <c r="P692" s="344" t="n"/>
      <c r="Q692" s="344" t="n"/>
      <c r="R692" s="344" t="n"/>
      <c r="S692" s="344" t="n"/>
      <c r="T692" s="344" t="n"/>
      <c r="U692" s="344" t="n"/>
      <c r="V692" s="344" t="n"/>
      <c r="W692" s="344" t="n"/>
    </row>
    <row r="693" customFormat="1" s="354">
      <c r="A693" s="345" t="n"/>
      <c r="B693" s="581" t="n"/>
      <c r="C693" s="582" t="n"/>
      <c r="D693" s="583" t="n"/>
      <c r="E693" s="584" t="n"/>
      <c r="F693" s="350" t="n"/>
      <c r="G693" s="350" t="n"/>
      <c r="H693" s="350" t="n"/>
      <c r="I693" s="350" t="n"/>
      <c r="J693" s="350" t="n"/>
      <c r="K693" s="351" t="n"/>
      <c r="L693" s="350" t="n"/>
      <c r="M693" s="350" t="n"/>
      <c r="N693" s="344" t="n"/>
      <c r="O693" s="344" t="n"/>
      <c r="P693" s="344" t="n"/>
      <c r="Q693" s="344" t="n"/>
      <c r="R693" s="344" t="n"/>
      <c r="S693" s="344" t="n"/>
      <c r="T693" s="344" t="n"/>
      <c r="U693" s="344" t="n"/>
      <c r="V693" s="344" t="n"/>
      <c r="W693" s="344" t="n"/>
    </row>
    <row r="694" customFormat="1" s="354">
      <c r="A694" s="345" t="n"/>
      <c r="B694" s="581" t="n"/>
      <c r="C694" s="582" t="n"/>
      <c r="D694" s="583" t="n"/>
      <c r="E694" s="584" t="n"/>
      <c r="F694" s="350" t="n"/>
      <c r="G694" s="350" t="n"/>
      <c r="H694" s="350" t="n"/>
      <c r="I694" s="350" t="n"/>
      <c r="J694" s="350" t="n"/>
      <c r="K694" s="351" t="n"/>
      <c r="L694" s="355" t="inlineStr">
        <is>
          <t>2841000180402_【ＱＣＳ】鶏めし用具材（鶏めし４）.xlsx</t>
        </is>
      </c>
      <c r="M694" s="350" t="n"/>
      <c r="N694" s="344" t="n"/>
      <c r="O694" s="344" t="n"/>
      <c r="P694" s="344" t="n"/>
      <c r="Q694" s="344" t="n"/>
      <c r="R694" s="344" t="n"/>
      <c r="S694" s="344" t="n"/>
      <c r="T694" s="344" t="n"/>
      <c r="U694" s="344" t="n"/>
      <c r="V694" s="344" t="n"/>
      <c r="W694" s="344" t="n"/>
    </row>
    <row r="695" customFormat="1" s="354">
      <c r="A695" s="345" t="n"/>
      <c r="B695" s="581" t="n"/>
      <c r="C695" s="582" t="n"/>
      <c r="D695" s="583" t="n"/>
      <c r="E695" s="584" t="n"/>
      <c r="F695" s="350" t="n"/>
      <c r="G695" s="350" t="n"/>
      <c r="H695" s="350" t="n"/>
      <c r="I695" s="350" t="n"/>
      <c r="J695" s="350" t="n"/>
      <c r="K695" s="351" t="n"/>
      <c r="L695" s="355" t="inlineStr">
        <is>
          <t>2841000180419_【ＱＣＳ】鶏めし用ご飯（鶏めし４）.xlsx</t>
        </is>
      </c>
      <c r="M695" s="350" t="n"/>
      <c r="N695" s="344" t="n"/>
      <c r="O695" s="344" t="n"/>
      <c r="P695" s="344" t="n"/>
      <c r="Q695" s="344" t="n"/>
      <c r="R695" s="344" t="n"/>
      <c r="S695" s="344" t="n"/>
      <c r="T695" s="344" t="n"/>
      <c r="U695" s="344" t="n"/>
      <c r="V695" s="344" t="n"/>
      <c r="W695" s="344" t="n"/>
    </row>
    <row r="696" customFormat="1" s="354">
      <c r="A696" s="345" t="n"/>
      <c r="B696" s="581" t="n"/>
      <c r="C696" s="582" t="n"/>
      <c r="D696" s="583" t="n"/>
      <c r="E696" s="584" t="n"/>
      <c r="F696" s="350" t="n"/>
      <c r="G696" s="350" t="n"/>
      <c r="H696" s="350" t="n"/>
      <c r="I696" s="350" t="n"/>
      <c r="J696" s="350" t="n"/>
      <c r="K696" s="351" t="n"/>
      <c r="L696" s="355" t="inlineStr">
        <is>
          <t>2841000180501_【ＱＣＳ】鶏めし４.xlsx</t>
        </is>
      </c>
      <c r="M696" s="350" t="n"/>
      <c r="N696" s="344" t="n"/>
      <c r="O696" s="344" t="n"/>
      <c r="P696" s="344" t="n"/>
      <c r="Q696" s="344" t="n"/>
      <c r="R696" s="344" t="n"/>
      <c r="S696" s="344" t="n"/>
      <c r="T696" s="344" t="n"/>
      <c r="U696" s="344" t="n"/>
      <c r="V696" s="344" t="n"/>
      <c r="W696" s="344" t="n"/>
    </row>
    <row r="697" customFormat="1" s="354">
      <c r="A697" s="345" t="n"/>
      <c r="B697" s="581" t="n"/>
      <c r="C697" s="582" t="n"/>
      <c r="D697" s="583" t="n"/>
      <c r="E697" s="584" t="n"/>
      <c r="F697" s="350" t="n"/>
      <c r="G697" s="350" t="n"/>
      <c r="H697" s="350" t="n"/>
      <c r="I697" s="350" t="n"/>
      <c r="J697" s="350" t="n"/>
      <c r="K697" s="351" t="n"/>
      <c r="L697" s="350" t="n"/>
      <c r="M697" s="350" t="n"/>
      <c r="N697" s="344" t="n"/>
      <c r="O697" s="344" t="n"/>
      <c r="P697" s="344" t="n"/>
      <c r="Q697" s="344" t="n"/>
      <c r="R697" s="344" t="n"/>
      <c r="S697" s="344" t="n"/>
      <c r="T697" s="344" t="n"/>
      <c r="U697" s="344" t="n"/>
      <c r="V697" s="344" t="n"/>
      <c r="W697" s="344" t="n"/>
    </row>
    <row r="698" customFormat="1" s="354">
      <c r="A698" s="345" t="n"/>
      <c r="B698" s="581" t="n"/>
      <c r="C698" s="582" t="n"/>
      <c r="D698" s="583" t="n"/>
      <c r="E698" s="596" t="n"/>
      <c r="F698" s="368" t="n"/>
      <c r="G698" s="368" t="n"/>
      <c r="H698" s="368" t="n"/>
      <c r="I698" s="368" t="n"/>
      <c r="J698" s="368" t="n"/>
      <c r="K698" s="351" t="n"/>
      <c r="L698" s="350" t="n"/>
      <c r="M698" s="350" t="n"/>
      <c r="N698" s="344" t="n"/>
      <c r="O698" s="344" t="n"/>
      <c r="P698" s="344" t="n"/>
      <c r="Q698" s="344" t="n"/>
      <c r="R698" s="344" t="n"/>
      <c r="S698" s="344" t="n"/>
      <c r="T698" s="344" t="n"/>
      <c r="U698" s="344" t="n"/>
      <c r="V698" s="344" t="n"/>
      <c r="W698" s="344" t="n"/>
    </row>
    <row r="699" customFormat="1" s="354">
      <c r="A699" s="345" t="n"/>
      <c r="B699" s="581" t="n"/>
      <c r="C699" s="582" t="n"/>
      <c r="D699" s="583" t="n"/>
      <c r="E699" s="584" t="n"/>
      <c r="F699" s="350" t="n"/>
      <c r="G699" s="350" t="n"/>
      <c r="H699" s="350" t="n"/>
      <c r="I699" s="350" t="n"/>
      <c r="J699" s="350" t="n"/>
      <c r="K699" s="351" t="n"/>
      <c r="L699" s="350" t="n"/>
      <c r="M699" s="350" t="n"/>
      <c r="N699" s="344" t="n"/>
      <c r="O699" s="344" t="n"/>
      <c r="P699" s="344" t="n"/>
      <c r="Q699" s="344" t="n"/>
      <c r="R699" s="344" t="n"/>
      <c r="S699" s="344" t="n"/>
      <c r="T699" s="344" t="n"/>
      <c r="U699" s="344" t="n"/>
      <c r="V699" s="344" t="n"/>
      <c r="W699" s="344" t="n"/>
    </row>
    <row r="700" customFormat="1" s="354">
      <c r="A700" s="345" t="n"/>
      <c r="B700" s="581" t="n"/>
      <c r="C700" s="582" t="n"/>
      <c r="D700" s="583" t="n"/>
      <c r="E700" s="584" t="n"/>
      <c r="F700" s="350" t="n"/>
      <c r="G700" s="350" t="n"/>
      <c r="H700" s="350" t="n"/>
      <c r="I700" s="350" t="n"/>
      <c r="J700" s="350" t="n"/>
      <c r="K700" s="351" t="n"/>
      <c r="L700" s="593" t="inlineStr">
        <is>
          <t>../開発規格書/久保レシピ修正版/ＱＣＳ/◆【牛蒡乱切り切替】筑前煮５（白鳥）.xlsx</t>
        </is>
      </c>
      <c r="M700" s="350" t="n"/>
      <c r="N700" s="344" t="n"/>
      <c r="O700" s="344" t="n"/>
      <c r="P700" s="344" t="n"/>
      <c r="Q700" s="344" t="n"/>
      <c r="R700" s="344" t="n"/>
      <c r="S700" s="344" t="n"/>
      <c r="T700" s="344" t="n"/>
      <c r="U700" s="344" t="n"/>
      <c r="V700" s="344" t="n"/>
      <c r="W700" s="344" t="n"/>
    </row>
    <row r="701" customFormat="1" s="354">
      <c r="A701" s="345" t="n"/>
      <c r="B701" s="581" t="n"/>
      <c r="C701" s="582" t="n"/>
      <c r="D701" s="583" t="n"/>
      <c r="E701" s="596" t="n"/>
      <c r="F701" s="350" t="n"/>
      <c r="G701" s="350" t="n"/>
      <c r="H701" s="350" t="n"/>
      <c r="I701" s="350" t="n"/>
      <c r="J701" s="350" t="n"/>
      <c r="K701" s="351" t="n"/>
      <c r="L701" s="350" t="n"/>
      <c r="M701" s="350" t="n"/>
      <c r="N701" s="344" t="n"/>
      <c r="O701" s="344" t="n"/>
      <c r="P701" s="344" t="n"/>
      <c r="Q701" s="344" t="n"/>
      <c r="R701" s="344" t="n"/>
      <c r="S701" s="344" t="n"/>
      <c r="T701" s="344" t="n"/>
      <c r="U701" s="344" t="n"/>
      <c r="V701" s="344" t="n"/>
      <c r="W701" s="344" t="n"/>
    </row>
    <row r="702" customFormat="1" s="354">
      <c r="A702" s="345" t="n"/>
      <c r="B702" s="581" t="n"/>
      <c r="C702" s="582" t="n"/>
      <c r="D702" s="583" t="n"/>
      <c r="E702" s="596" t="n"/>
      <c r="F702" s="350" t="n"/>
      <c r="G702" s="350" t="n"/>
      <c r="H702" s="350" t="n"/>
      <c r="I702" s="350" t="n"/>
      <c r="J702" s="350" t="n"/>
      <c r="K702" s="351" t="n"/>
      <c r="L702" s="350" t="n"/>
      <c r="M702" s="350" t="n"/>
      <c r="N702" s="344" t="n"/>
      <c r="O702" s="344" t="n"/>
      <c r="P702" s="344" t="n"/>
      <c r="Q702" s="344" t="n"/>
      <c r="R702" s="344" t="n"/>
      <c r="S702" s="344" t="n"/>
      <c r="T702" s="344" t="n"/>
      <c r="U702" s="344" t="n"/>
      <c r="V702" s="344" t="n"/>
      <c r="W702" s="344" t="n"/>
    </row>
    <row r="703" customFormat="1" s="354">
      <c r="A703" s="345" t="n"/>
      <c r="B703" s="581" t="n"/>
      <c r="C703" s="582" t="n"/>
      <c r="D703" s="583" t="n"/>
      <c r="E703" s="596" t="n"/>
      <c r="F703" s="350" t="n"/>
      <c r="G703" s="350" t="n"/>
      <c r="H703" s="350" t="n"/>
      <c r="I703" s="350" t="n"/>
      <c r="J703" s="350" t="n"/>
      <c r="K703" s="351" t="n"/>
      <c r="L703" s="350" t="n"/>
      <c r="M703" s="350" t="n"/>
      <c r="N703" s="344" t="n"/>
      <c r="O703" s="344" t="n"/>
      <c r="P703" s="344" t="n"/>
      <c r="Q703" s="344" t="n"/>
      <c r="R703" s="344" t="n"/>
      <c r="S703" s="344" t="n"/>
      <c r="T703" s="344" t="n"/>
      <c r="U703" s="344" t="n"/>
      <c r="V703" s="344" t="n"/>
      <c r="W703" s="344" t="n"/>
    </row>
    <row r="704" customFormat="1" s="354">
      <c r="A704" s="345" t="n"/>
      <c r="B704" s="581" t="n"/>
      <c r="C704" s="582" t="n"/>
      <c r="D704" s="583" t="n"/>
      <c r="E704" s="596" t="n"/>
      <c r="F704" s="350" t="n"/>
      <c r="G704" s="350" t="n"/>
      <c r="H704" s="350" t="n"/>
      <c r="I704" s="350" t="n"/>
      <c r="J704" s="350" t="n"/>
      <c r="K704" s="351" t="n"/>
      <c r="L704" s="350" t="n"/>
      <c r="M704" s="350" t="n"/>
      <c r="N704" s="344" t="n"/>
      <c r="O704" s="344" t="n"/>
      <c r="P704" s="344" t="n"/>
      <c r="Q704" s="344" t="n"/>
      <c r="R704" s="344" t="n"/>
      <c r="S704" s="344" t="n"/>
      <c r="T704" s="344" t="n"/>
      <c r="U704" s="344" t="n"/>
      <c r="V704" s="344" t="n"/>
      <c r="W704" s="344" t="n"/>
    </row>
    <row r="705" customFormat="1" s="354">
      <c r="A705" s="345" t="n"/>
      <c r="B705" s="581" t="n"/>
      <c r="C705" s="582" t="n"/>
      <c r="D705" s="583" t="n"/>
      <c r="E705" s="584" t="n"/>
      <c r="F705" s="350" t="n"/>
      <c r="G705" s="350" t="n"/>
      <c r="H705" s="350" t="n"/>
      <c r="I705" s="350" t="n"/>
      <c r="J705" s="350" t="n"/>
      <c r="K705" s="351" t="n"/>
      <c r="L705" s="355" t="inlineStr">
        <is>
          <t>../開発規格書/田原規格書修正版/バッチテスト/2025/25.11月12日/◆【商品規格書】🍚【中間品】かしわ飯8🍚.xlsx</t>
        </is>
      </c>
      <c r="M705" s="350" t="n"/>
      <c r="N705" s="344" t="n"/>
      <c r="O705" s="344" t="n"/>
      <c r="P705" s="344" t="n"/>
      <c r="Q705" s="344" t="n"/>
      <c r="R705" s="344" t="n"/>
      <c r="S705" s="344" t="n"/>
      <c r="T705" s="344" t="n"/>
      <c r="U705" s="344" t="n"/>
      <c r="V705" s="344" t="n"/>
      <c r="W705" s="344" t="n"/>
    </row>
    <row r="706" customFormat="1" s="354">
      <c r="A706" s="345" t="n"/>
      <c r="B706" s="581" t="n"/>
      <c r="C706" s="582" t="n"/>
      <c r="D706" s="583" t="n"/>
      <c r="E706" s="584" t="n"/>
      <c r="F706" s="350" t="n"/>
      <c r="G706" s="350" t="n"/>
      <c r="H706" s="350" t="n"/>
      <c r="I706" s="350" t="n"/>
      <c r="J706" s="350" t="n"/>
      <c r="K706" s="351" t="n"/>
      <c r="L706" s="355" t="inlineStr">
        <is>
          <t>../開発規格書/田原規格書修正版/バッチテスト/2025/25.11月12日/◆【商品規格書】🍚【中間品】かしわ飯8🍚.xlsx</t>
        </is>
      </c>
      <c r="M706" s="350" t="n"/>
      <c r="N706" s="344" t="n"/>
      <c r="O706" s="344" t="n"/>
      <c r="P706" s="344" t="n"/>
      <c r="Q706" s="344" t="n"/>
      <c r="R706" s="344" t="n"/>
      <c r="S706" s="344" t="n"/>
      <c r="T706" s="344" t="n"/>
      <c r="U706" s="344" t="n"/>
      <c r="V706" s="344" t="n"/>
      <c r="W706" s="344" t="n"/>
    </row>
    <row r="707" customFormat="1" s="354">
      <c r="A707" s="345" t="n"/>
      <c r="B707" s="581" t="n"/>
      <c r="C707" s="582" t="n"/>
      <c r="D707" s="583" t="n"/>
      <c r="E707" s="584" t="n"/>
      <c r="F707" s="350" t="n"/>
      <c r="G707" s="350" t="n"/>
      <c r="H707" s="350" t="n"/>
      <c r="I707" s="350" t="n"/>
      <c r="J707" s="350" t="n"/>
      <c r="K707" s="351" t="n"/>
      <c r="L707" s="355" t="inlineStr">
        <is>
          <t>2841000169551_【ＱＣＳ】ナポリタンソース５.xlsx</t>
        </is>
      </c>
      <c r="M707" s="350" t="n"/>
      <c r="N707" s="344" t="n"/>
      <c r="O707" s="344" t="n"/>
      <c r="P707" s="344" t="n"/>
      <c r="Q707" s="344" t="n"/>
      <c r="R707" s="344" t="n"/>
      <c r="S707" s="344" t="n"/>
      <c r="T707" s="344" t="n"/>
      <c r="U707" s="344" t="n"/>
      <c r="V707" s="344" t="n"/>
      <c r="W707" s="344" t="n"/>
    </row>
    <row r="708" customFormat="1" s="354">
      <c r="A708" s="345" t="n"/>
      <c r="B708" s="581" t="n"/>
      <c r="C708" s="582" t="n"/>
      <c r="D708" s="583" t="n"/>
      <c r="E708" s="584" t="n"/>
      <c r="F708" s="350" t="n"/>
      <c r="G708" s="350" t="n"/>
      <c r="H708" s="350" t="n"/>
      <c r="I708" s="350" t="n"/>
      <c r="J708" s="350" t="n"/>
      <c r="K708" s="351" t="n"/>
      <c r="L708" s="355" t="inlineStr">
        <is>
          <t>2841000169568_【ＱＣＳ】ナポリタン用茹で麺２.xlsx</t>
        </is>
      </c>
      <c r="M708" s="350" t="n"/>
      <c r="N708" s="344" t="n"/>
      <c r="O708" s="344" t="n"/>
      <c r="P708" s="344" t="n"/>
      <c r="Q708" s="344" t="n"/>
      <c r="R708" s="344" t="n"/>
      <c r="S708" s="344" t="n"/>
      <c r="T708" s="344" t="n"/>
      <c r="U708" s="344" t="n"/>
      <c r="V708" s="344" t="n"/>
      <c r="W708" s="344" t="n"/>
    </row>
    <row r="709" customFormat="1" s="354">
      <c r="A709" s="345" t="n"/>
      <c r="B709" s="581" t="n"/>
      <c r="C709" s="582" t="n"/>
      <c r="D709" s="583" t="n"/>
      <c r="E709" s="584" t="n"/>
      <c r="F709" s="350" t="n"/>
      <c r="G709" s="350" t="n"/>
      <c r="H709" s="350" t="n"/>
      <c r="I709" s="350" t="n"/>
      <c r="J709" s="350" t="n"/>
      <c r="K709" s="351" t="n"/>
      <c r="L709" s="355" t="inlineStr">
        <is>
          <t>2841000170359_【ＱＣＳ】ナポリタン麺和え.xlsx</t>
        </is>
      </c>
      <c r="M709" s="350" t="n"/>
      <c r="N709" s="344" t="n"/>
      <c r="O709" s="344" t="n"/>
      <c r="P709" s="344" t="n"/>
      <c r="Q709" s="344" t="n"/>
      <c r="R709" s="344" t="n"/>
      <c r="S709" s="344" t="n"/>
      <c r="T709" s="344" t="n"/>
      <c r="U709" s="344" t="n"/>
      <c r="V709" s="344" t="n"/>
      <c r="W709" s="344" t="n"/>
    </row>
    <row r="710" customFormat="1" s="354">
      <c r="A710" s="345" t="n"/>
      <c r="B710" s="581" t="n"/>
      <c r="C710" s="582" t="n"/>
      <c r="D710" s="583" t="n"/>
      <c r="E710" s="584" t="n"/>
      <c r="F710" s="350" t="n"/>
      <c r="G710" s="350" t="n"/>
      <c r="H710" s="350" t="n"/>
      <c r="I710" s="350" t="n"/>
      <c r="J710" s="350" t="n"/>
      <c r="K710" s="351" t="n"/>
      <c r="L710" s="350" t="n"/>
      <c r="M710" s="350" t="n"/>
      <c r="N710" s="344" t="n"/>
      <c r="O710" s="344" t="n"/>
      <c r="P710" s="344" t="n"/>
      <c r="Q710" s="344" t="n"/>
      <c r="R710" s="344" t="n"/>
      <c r="S710" s="344" t="n"/>
      <c r="T710" s="344" t="n"/>
      <c r="U710" s="344" t="n"/>
      <c r="V710" s="344" t="n"/>
      <c r="W710" s="344" t="n"/>
    </row>
    <row r="711" customFormat="1" s="354">
      <c r="A711" s="345" t="n"/>
      <c r="B711" s="581" t="n"/>
      <c r="C711" s="582" t="n"/>
      <c r="D711" s="583" t="n"/>
      <c r="E711" s="584" t="n"/>
      <c r="F711" s="368" t="n"/>
      <c r="G711" s="368" t="n"/>
      <c r="H711" s="368" t="n"/>
      <c r="I711" s="368" t="n"/>
      <c r="J711" s="368" t="n"/>
      <c r="K711" s="351" t="n"/>
      <c r="L711" s="350" t="n"/>
      <c r="M711" s="350" t="n"/>
      <c r="N711" s="344" t="n"/>
      <c r="O711" s="344" t="n"/>
      <c r="P711" s="344" t="n"/>
      <c r="Q711" s="344" t="n"/>
      <c r="R711" s="344" t="n"/>
      <c r="S711" s="344" t="n"/>
      <c r="T711" s="344" t="n"/>
      <c r="U711" s="344" t="n"/>
      <c r="V711" s="344" t="n"/>
      <c r="W711" s="344" t="n"/>
    </row>
    <row r="712" customFormat="1" s="354">
      <c r="A712" s="345" t="n"/>
      <c r="B712" s="581" t="n"/>
      <c r="C712" s="582" t="n"/>
      <c r="D712" s="583" t="n"/>
      <c r="E712" s="584" t="n"/>
      <c r="F712" s="350" t="n"/>
      <c r="G712" s="350" t="n"/>
      <c r="H712" s="350" t="n"/>
      <c r="I712" s="350" t="n"/>
      <c r="J712" s="350" t="n"/>
      <c r="K712" s="351" t="n"/>
      <c r="L712" s="593" t="inlineStr">
        <is>
          <t>../開発規格書/久保レシピ修正版/ＱＣＳ/◆【牛蒡乱切り切替】筑前煮５（白鳥）.xlsx</t>
        </is>
      </c>
      <c r="M712" s="350" t="n"/>
      <c r="N712" s="344" t="n"/>
      <c r="O712" s="344" t="n"/>
      <c r="P712" s="344" t="n"/>
      <c r="Q712" s="344" t="n"/>
      <c r="R712" s="344" t="n"/>
      <c r="S712" s="344" t="n"/>
      <c r="T712" s="344" t="n"/>
      <c r="U712" s="344" t="n"/>
      <c r="V712" s="344" t="n"/>
      <c r="W712" s="344" t="n"/>
    </row>
    <row r="713" customFormat="1" s="354">
      <c r="A713" s="345" t="n"/>
      <c r="B713" s="581" t="n"/>
      <c r="C713" s="582" t="n"/>
      <c r="D713" s="583" t="n"/>
      <c r="E713" s="584" t="n"/>
      <c r="F713" s="350" t="n"/>
      <c r="G713" s="350" t="n"/>
      <c r="H713" s="350" t="n"/>
      <c r="I713" s="350" t="n"/>
      <c r="J713" s="350" t="n"/>
      <c r="K713" s="351" t="n"/>
      <c r="L713" s="350" t="n"/>
      <c r="M713" s="350" t="n"/>
      <c r="N713" s="344" t="n"/>
      <c r="O713" s="344" t="n"/>
      <c r="P713" s="344" t="n"/>
      <c r="Q713" s="344" t="n"/>
      <c r="R713" s="344" t="n"/>
      <c r="S713" s="344" t="n"/>
      <c r="T713" s="344" t="n"/>
      <c r="U713" s="344" t="n"/>
      <c r="V713" s="344" t="n"/>
      <c r="W713" s="344" t="n"/>
    </row>
    <row r="714" customFormat="1" s="354">
      <c r="A714" s="345" t="n"/>
      <c r="B714" s="581" t="n"/>
      <c r="C714" s="582" t="n"/>
      <c r="D714" s="583" t="n"/>
      <c r="E714" s="584" t="n"/>
      <c r="F714" s="350" t="n"/>
      <c r="G714" s="350" t="n"/>
      <c r="H714" s="350" t="n"/>
      <c r="I714" s="350" t="n"/>
      <c r="J714" s="350" t="n"/>
      <c r="K714" s="351" t="n"/>
      <c r="L714" s="350" t="n"/>
      <c r="M714" s="350" t="n"/>
      <c r="N714" s="344" t="n"/>
      <c r="O714" s="344" t="n"/>
      <c r="P714" s="344" t="n"/>
      <c r="Q714" s="344" t="n"/>
      <c r="R714" s="344" t="n"/>
      <c r="S714" s="344" t="n"/>
      <c r="T714" s="344" t="n"/>
      <c r="U714" s="344" t="n"/>
      <c r="V714" s="344" t="n"/>
      <c r="W714" s="344" t="n"/>
    </row>
    <row r="715" customFormat="1" s="354">
      <c r="A715" s="345" t="n"/>
      <c r="B715" s="581" t="n"/>
      <c r="C715" s="582" t="n"/>
      <c r="D715" s="583" t="n"/>
      <c r="E715" s="584" t="n"/>
      <c r="F715" s="350" t="n"/>
      <c r="G715" s="350" t="n"/>
      <c r="H715" s="350" t="n"/>
      <c r="I715" s="350" t="n"/>
      <c r="J715" s="350" t="n"/>
      <c r="K715" s="351" t="n"/>
      <c r="L715" s="350" t="n"/>
      <c r="M715" s="350" t="n"/>
      <c r="N715" s="344" t="n"/>
      <c r="O715" s="344" t="n"/>
      <c r="P715" s="344" t="n"/>
      <c r="Q715" s="344" t="n"/>
      <c r="R715" s="344" t="n"/>
      <c r="S715" s="344" t="n"/>
      <c r="T715" s="344" t="n"/>
      <c r="U715" s="344" t="n"/>
      <c r="V715" s="344" t="n"/>
      <c r="W715" s="344" t="n"/>
    </row>
    <row r="716" customFormat="1" s="354">
      <c r="A716" s="345" t="n"/>
      <c r="B716" s="581" t="n"/>
      <c r="C716" s="582" t="n"/>
      <c r="D716" s="583" t="n"/>
      <c r="E716" s="584" t="n"/>
      <c r="F716" s="350" t="n"/>
      <c r="G716" s="350" t="n"/>
      <c r="H716" s="350" t="n"/>
      <c r="I716" s="350" t="n"/>
      <c r="J716" s="350" t="n"/>
      <c r="K716" s="351" t="n"/>
      <c r="L716" s="350" t="n"/>
      <c r="M716" s="350" t="n"/>
      <c r="N716" s="344" t="n"/>
      <c r="O716" s="344" t="n"/>
      <c r="P716" s="344" t="n"/>
      <c r="Q716" s="344" t="n"/>
      <c r="R716" s="344" t="n"/>
      <c r="S716" s="344" t="n"/>
      <c r="T716" s="344" t="n"/>
      <c r="U716" s="344" t="n"/>
      <c r="V716" s="344" t="n"/>
      <c r="W716" s="344" t="n"/>
    </row>
    <row r="717" customFormat="1" s="354">
      <c r="A717" s="345" t="n"/>
      <c r="B717" s="581" t="n"/>
      <c r="C717" s="582" t="n"/>
      <c r="D717" s="583" t="n"/>
      <c r="E717" s="584" t="n"/>
      <c r="F717" s="350" t="n"/>
      <c r="G717" s="350" t="n"/>
      <c r="H717" s="350" t="n"/>
      <c r="I717" s="350" t="n"/>
      <c r="J717" s="350" t="n"/>
      <c r="K717" s="351" t="n"/>
      <c r="L717" s="355" t="n"/>
      <c r="M717" s="350" t="n"/>
      <c r="N717" s="344" t="n"/>
      <c r="O717" s="344" t="n"/>
      <c r="P717" s="344" t="n"/>
      <c r="Q717" s="344" t="n"/>
      <c r="R717" s="344" t="n"/>
      <c r="S717" s="344" t="n"/>
      <c r="T717" s="344" t="n"/>
      <c r="U717" s="344" t="n"/>
      <c r="V717" s="344" t="n"/>
      <c r="W717" s="344" t="n"/>
    </row>
    <row r="718" customFormat="1" s="354">
      <c r="A718" s="345" t="n"/>
      <c r="B718" s="581" t="n"/>
      <c r="C718" s="582" t="n"/>
      <c r="D718" s="583" t="n"/>
      <c r="E718" s="584" t="n"/>
      <c r="F718" s="350" t="n"/>
      <c r="G718" s="350" t="n"/>
      <c r="H718" s="350" t="n"/>
      <c r="I718" s="350" t="n"/>
      <c r="J718" s="350" t="n"/>
      <c r="K718" s="351" t="n"/>
      <c r="L718" s="355" t="n"/>
      <c r="M718" s="350" t="n"/>
      <c r="N718" s="344" t="n"/>
      <c r="O718" s="344" t="n"/>
      <c r="P718" s="344" t="n"/>
      <c r="Q718" s="344" t="n"/>
      <c r="R718" s="344" t="n"/>
      <c r="S718" s="344" t="n"/>
      <c r="T718" s="344" t="n"/>
      <c r="U718" s="344" t="n"/>
      <c r="V718" s="344" t="n"/>
      <c r="W718" s="344" t="n"/>
    </row>
    <row r="719" customFormat="1" s="354">
      <c r="A719" s="345" t="n"/>
      <c r="B719" s="581" t="n"/>
      <c r="C719" s="582" t="n"/>
      <c r="D719" s="583" t="n"/>
      <c r="E719" s="588" t="n"/>
      <c r="F719" s="350" t="n"/>
      <c r="G719" s="350" t="n"/>
      <c r="H719" s="350" t="n"/>
      <c r="I719" s="350" t="n"/>
      <c r="J719" s="350" t="n"/>
      <c r="K719" s="351" t="n"/>
      <c r="L719" s="350" t="n"/>
      <c r="M719" s="350" t="n"/>
      <c r="N719" s="344" t="n"/>
      <c r="O719" s="344" t="n"/>
      <c r="P719" s="344" t="n"/>
      <c r="Q719" s="344" t="n"/>
      <c r="R719" s="344" t="n"/>
      <c r="S719" s="344" t="n"/>
      <c r="T719" s="344" t="n"/>
      <c r="U719" s="344" t="n"/>
      <c r="V719" s="344" t="n"/>
      <c r="W719" s="344" t="n"/>
    </row>
    <row r="720" customFormat="1" s="354">
      <c r="A720" s="345" t="n"/>
      <c r="B720" s="581" t="n"/>
      <c r="C720" s="582" t="n"/>
      <c r="D720" s="583" t="n"/>
      <c r="E720" s="584" t="n"/>
      <c r="F720" s="350" t="n"/>
      <c r="G720" s="350" t="n"/>
      <c r="H720" s="350" t="n"/>
      <c r="I720" s="350" t="n"/>
      <c r="J720" s="350" t="n"/>
      <c r="K720" s="351" t="n"/>
      <c r="L720" s="350" t="n"/>
      <c r="M720" s="350" t="n"/>
      <c r="N720" s="344" t="n"/>
      <c r="O720" s="344" t="n"/>
      <c r="P720" s="344" t="n"/>
      <c r="Q720" s="344" t="n"/>
      <c r="R720" s="344" t="n"/>
      <c r="S720" s="344" t="n"/>
      <c r="T720" s="344" t="n"/>
      <c r="U720" s="344" t="n"/>
      <c r="V720" s="344" t="n"/>
      <c r="W720" s="344" t="n"/>
    </row>
    <row r="721" customFormat="1" s="354">
      <c r="A721" s="345" t="n"/>
      <c r="B721" s="581" t="n"/>
      <c r="C721" s="582" t="n"/>
      <c r="D721" s="583" t="n"/>
      <c r="E721" s="584" t="n"/>
      <c r="F721" s="350" t="n"/>
      <c r="G721" s="350" t="n"/>
      <c r="H721" s="350" t="n"/>
      <c r="I721" s="350" t="n"/>
      <c r="J721" s="350" t="n"/>
      <c r="K721" s="351" t="n"/>
      <c r="L721" s="350" t="n"/>
      <c r="M721" s="350" t="n"/>
      <c r="N721" s="344" t="n"/>
      <c r="O721" s="344" t="n"/>
      <c r="P721" s="344" t="n"/>
      <c r="Q721" s="344" t="n"/>
      <c r="R721" s="344" t="n"/>
      <c r="S721" s="344" t="n"/>
      <c r="T721" s="344" t="n"/>
      <c r="U721" s="344" t="n"/>
      <c r="V721" s="344" t="n"/>
      <c r="W721" s="344" t="n"/>
    </row>
    <row r="722" customFormat="1" s="354">
      <c r="A722" s="345" t="n"/>
      <c r="B722" s="581" t="n"/>
      <c r="C722" s="582" t="n"/>
      <c r="D722" s="583" t="n"/>
      <c r="E722" s="584" t="n"/>
      <c r="F722" s="350" t="n"/>
      <c r="G722" s="350" t="n"/>
      <c r="H722" s="350" t="n"/>
      <c r="I722" s="350" t="n"/>
      <c r="J722" s="350" t="n"/>
      <c r="K722" s="351" t="n"/>
      <c r="L722" s="355" t="inlineStr">
        <is>
          <t>../開発規格書/田原規格書修正版/バッチテスト/2025/25.11月12日/◆【商品規格書】🍚【中間品】かしわ飯8🍚.xlsx</t>
        </is>
      </c>
      <c r="M722" s="350" t="n"/>
      <c r="N722" s="344" t="n"/>
      <c r="O722" s="344" t="n"/>
      <c r="P722" s="344" t="n"/>
      <c r="Q722" s="344" t="n"/>
      <c r="R722" s="344" t="n"/>
      <c r="S722" s="344" t="n"/>
      <c r="T722" s="344" t="n"/>
      <c r="U722" s="344" t="n"/>
      <c r="V722" s="344" t="n"/>
      <c r="W722" s="344" t="n"/>
    </row>
    <row r="723" customFormat="1" s="354">
      <c r="A723" s="345" t="n"/>
      <c r="B723" s="581" t="n"/>
      <c r="C723" s="582" t="n"/>
      <c r="D723" s="583" t="n"/>
      <c r="E723" s="584" t="n"/>
      <c r="F723" s="350" t="n"/>
      <c r="G723" s="350" t="n"/>
      <c r="H723" s="350" t="n"/>
      <c r="I723" s="350" t="n"/>
      <c r="J723" s="350" t="n"/>
      <c r="K723" s="351" t="n"/>
      <c r="L723" s="355" t="inlineStr">
        <is>
          <t>../開発規格書/田原規格書修正版/バッチテスト/2025/25.11月12日/◆【商品規格書】🍚【中間品】かしわ飯8🍚.xlsx</t>
        </is>
      </c>
      <c r="M723" s="350" t="n"/>
      <c r="N723" s="344" t="n"/>
      <c r="O723" s="344" t="n"/>
      <c r="P723" s="344" t="n"/>
      <c r="Q723" s="344" t="n"/>
      <c r="R723" s="344" t="n"/>
      <c r="S723" s="344" t="n"/>
      <c r="T723" s="344" t="n"/>
      <c r="U723" s="344" t="n"/>
      <c r="V723" s="344" t="n"/>
      <c r="W723" s="344" t="n"/>
    </row>
    <row r="724" customFormat="1" s="354">
      <c r="A724" s="345" t="n"/>
      <c r="B724" s="581" t="n"/>
      <c r="C724" s="582" t="n"/>
      <c r="D724" s="583" t="n"/>
      <c r="E724" s="584" t="n"/>
      <c r="F724" s="350" t="n"/>
      <c r="G724" s="350" t="n"/>
      <c r="H724" s="350" t="n"/>
      <c r="I724" s="350" t="n"/>
      <c r="J724" s="350" t="n"/>
      <c r="K724" s="351" t="n"/>
      <c r="L724" s="350" t="n"/>
      <c r="M724" s="350" t="n"/>
      <c r="N724" s="344" t="n"/>
      <c r="O724" s="344" t="n"/>
      <c r="P724" s="344" t="n"/>
      <c r="Q724" s="344" t="n"/>
      <c r="R724" s="344" t="n"/>
      <c r="S724" s="344" t="n"/>
      <c r="T724" s="344" t="n"/>
      <c r="U724" s="344" t="n"/>
      <c r="V724" s="344" t="n"/>
      <c r="W724" s="344" t="n"/>
    </row>
    <row r="725" customFormat="1" s="354">
      <c r="A725" s="345" t="n"/>
      <c r="B725" s="581" t="n"/>
      <c r="C725" s="582" t="n"/>
      <c r="D725" s="583" t="n"/>
      <c r="E725" s="584" t="n"/>
      <c r="F725" s="368" t="n"/>
      <c r="G725" s="368" t="n"/>
      <c r="H725" s="368" t="n"/>
      <c r="I725" s="368" t="n"/>
      <c r="J725" s="368" t="n"/>
      <c r="K725" s="351" t="n"/>
      <c r="L725" s="350" t="n"/>
      <c r="M725" s="350" t="n"/>
      <c r="N725" s="344" t="n"/>
      <c r="O725" s="344" t="n"/>
      <c r="P725" s="344" t="n"/>
      <c r="Q725" s="344" t="n"/>
      <c r="R725" s="344" t="n"/>
      <c r="S725" s="344" t="n"/>
      <c r="T725" s="344" t="n"/>
      <c r="U725" s="344" t="n"/>
      <c r="V725" s="344" t="n"/>
      <c r="W725" s="344" t="n"/>
    </row>
    <row r="726" customFormat="1" s="354">
      <c r="A726" s="345" t="n"/>
      <c r="B726" s="581" t="n"/>
      <c r="C726" s="582" t="n"/>
      <c r="D726" s="583" t="n"/>
      <c r="E726" s="584" t="n"/>
      <c r="F726" s="350" t="n"/>
      <c r="G726" s="350" t="n"/>
      <c r="H726" s="350" t="n"/>
      <c r="I726" s="350" t="n"/>
      <c r="J726" s="350" t="n"/>
      <c r="K726" s="351" t="n"/>
      <c r="L726" s="350" t="n"/>
      <c r="M726" s="350" t="n"/>
      <c r="N726" s="344" t="n"/>
      <c r="O726" s="344" t="n"/>
      <c r="P726" s="344" t="n"/>
      <c r="Q726" s="344" t="n"/>
      <c r="R726" s="344" t="n"/>
      <c r="S726" s="344" t="n"/>
      <c r="T726" s="344" t="n"/>
      <c r="U726" s="344" t="n"/>
      <c r="V726" s="344" t="n"/>
      <c r="W726" s="344" t="n"/>
    </row>
    <row r="727" customFormat="1" s="354">
      <c r="A727" s="345" t="n"/>
      <c r="B727" s="581" t="n"/>
      <c r="C727" s="582" t="n"/>
      <c r="D727" s="583" t="n"/>
      <c r="E727" s="584" t="n"/>
      <c r="F727" s="350" t="n"/>
      <c r="G727" s="350" t="n"/>
      <c r="H727" s="350" t="n"/>
      <c r="I727" s="350" t="n"/>
      <c r="J727" s="350" t="n"/>
      <c r="K727" s="351" t="n"/>
      <c r="L727" s="350" t="n"/>
      <c r="M727" s="350" t="n"/>
      <c r="N727" s="344" t="n"/>
      <c r="O727" s="344" t="n"/>
      <c r="P727" s="344" t="n"/>
      <c r="Q727" s="344" t="n"/>
      <c r="R727" s="344" t="n"/>
      <c r="S727" s="344" t="n"/>
      <c r="T727" s="344" t="n"/>
      <c r="U727" s="344" t="n"/>
      <c r="V727" s="344" t="n"/>
      <c r="W727" s="344" t="n"/>
    </row>
    <row r="728" customFormat="1" s="354">
      <c r="A728" s="345" t="n"/>
      <c r="B728" s="581" t="n"/>
      <c r="C728" s="582" t="n"/>
      <c r="D728" s="583" t="n"/>
      <c r="E728" s="595" t="n"/>
      <c r="F728" s="350" t="n"/>
      <c r="G728" s="350" t="n"/>
      <c r="H728" s="350" t="n"/>
      <c r="I728" s="350" t="n"/>
      <c r="J728" s="350" t="n"/>
      <c r="K728" s="351" t="n"/>
      <c r="L728" s="350" t="n"/>
      <c r="M728" s="350" t="n"/>
      <c r="N728" s="344" t="n"/>
      <c r="O728" s="344" t="n"/>
      <c r="P728" s="344" t="n"/>
      <c r="Q728" s="344" t="n"/>
      <c r="R728" s="344" t="n"/>
      <c r="S728" s="344" t="n"/>
      <c r="T728" s="344" t="n"/>
      <c r="U728" s="344" t="n"/>
      <c r="V728" s="344" t="n"/>
      <c r="W728" s="344" t="n"/>
    </row>
    <row r="729" customFormat="1" s="354">
      <c r="A729" s="345" t="n"/>
      <c r="B729" s="581" t="n"/>
      <c r="C729" s="582" t="n"/>
      <c r="D729" s="583" t="n"/>
      <c r="E729" s="584" t="n"/>
      <c r="F729" s="350" t="n"/>
      <c r="G729" s="350" t="n"/>
      <c r="H729" s="350" t="n"/>
      <c r="I729" s="350" t="n"/>
      <c r="J729" s="350" t="n"/>
      <c r="K729" s="351" t="n"/>
      <c r="L729" s="350" t="n"/>
      <c r="M729" s="350" t="n"/>
      <c r="N729" s="344" t="n"/>
      <c r="O729" s="344" t="n"/>
      <c r="P729" s="344" t="n"/>
      <c r="Q729" s="344" t="n"/>
      <c r="R729" s="344" t="n"/>
      <c r="S729" s="344" t="n"/>
      <c r="T729" s="344" t="n"/>
      <c r="U729" s="344" t="n"/>
      <c r="V729" s="344" t="n"/>
      <c r="W729" s="344" t="n"/>
    </row>
    <row r="730" customFormat="1" s="354">
      <c r="A730" s="345" t="n"/>
      <c r="B730" s="581" t="n"/>
      <c r="C730" s="582" t="n"/>
      <c r="D730" s="583" t="n"/>
      <c r="E730" s="584" t="n"/>
      <c r="F730" s="350" t="n"/>
      <c r="G730" s="350" t="n"/>
      <c r="H730" s="350" t="n"/>
      <c r="I730" s="350" t="n"/>
      <c r="J730" s="350" t="n"/>
      <c r="K730" s="351" t="n"/>
      <c r="L730" s="350" t="n"/>
      <c r="M730" s="350" t="n"/>
      <c r="N730" s="344" t="n"/>
      <c r="O730" s="344" t="n"/>
      <c r="P730" s="344" t="n"/>
      <c r="Q730" s="344" t="n"/>
      <c r="R730" s="344" t="n"/>
      <c r="S730" s="344" t="n"/>
      <c r="T730" s="344" t="n"/>
      <c r="U730" s="344" t="n"/>
      <c r="V730" s="344" t="n"/>
      <c r="W730" s="344" t="n"/>
    </row>
    <row r="731" customFormat="1" s="354">
      <c r="A731" s="345" t="n"/>
      <c r="B731" s="581" t="n"/>
      <c r="C731" s="582" t="n"/>
      <c r="D731" s="583" t="n"/>
      <c r="E731" s="584" t="n"/>
      <c r="F731" s="350" t="n"/>
      <c r="G731" s="350" t="n"/>
      <c r="H731" s="350" t="n"/>
      <c r="I731" s="350" t="n"/>
      <c r="J731" s="350" t="n"/>
      <c r="K731" s="351" t="n"/>
      <c r="L731" s="350" t="n"/>
      <c r="M731" s="350" t="n"/>
      <c r="N731" s="344" t="n"/>
      <c r="O731" s="344" t="n"/>
      <c r="P731" s="344" t="n"/>
      <c r="Q731" s="344" t="n"/>
      <c r="R731" s="344" t="n"/>
      <c r="S731" s="344" t="n"/>
      <c r="T731" s="344" t="n"/>
      <c r="U731" s="344" t="n"/>
      <c r="V731" s="344" t="n"/>
      <c r="W731" s="344" t="n"/>
    </row>
    <row r="732" customFormat="1" s="354">
      <c r="A732" s="345" t="n"/>
      <c r="B732" s="581" t="n"/>
      <c r="C732" s="582" t="n"/>
      <c r="D732" s="583" t="n"/>
      <c r="E732" s="584" t="n"/>
      <c r="F732" s="350" t="n"/>
      <c r="G732" s="350" t="n"/>
      <c r="H732" s="350" t="n"/>
      <c r="I732" s="350" t="n"/>
      <c r="J732" s="350" t="n"/>
      <c r="K732" s="351" t="n"/>
      <c r="L732" s="350" t="n"/>
      <c r="M732" s="350" t="n"/>
      <c r="N732" s="344" t="n"/>
      <c r="O732" s="344" t="n"/>
      <c r="P732" s="344" t="n"/>
      <c r="Q732" s="344" t="n"/>
      <c r="R732" s="344" t="n"/>
      <c r="S732" s="344" t="n"/>
      <c r="T732" s="344" t="n"/>
      <c r="U732" s="344" t="n"/>
      <c r="V732" s="344" t="n"/>
      <c r="W732" s="344" t="n"/>
    </row>
    <row r="733" customFormat="1" s="354">
      <c r="A733" s="345" t="n"/>
      <c r="B733" s="581" t="n"/>
      <c r="C733" s="582" t="n"/>
      <c r="D733" s="583" t="n"/>
      <c r="E733" s="584" t="n"/>
      <c r="F733" s="350" t="n"/>
      <c r="G733" s="350" t="n"/>
      <c r="H733" s="350" t="n"/>
      <c r="I733" s="350" t="n"/>
      <c r="J733" s="350" t="n"/>
      <c r="K733" s="351" t="n"/>
      <c r="L733" s="355" t="inlineStr">
        <is>
          <t>2841000175316_【ＱＣＳ】ちくわ磯部揚げ衣.xlsx</t>
        </is>
      </c>
      <c r="M733" s="350" t="n"/>
      <c r="N733" s="344" t="n"/>
      <c r="O733" s="344" t="n"/>
      <c r="P733" s="344" t="n"/>
      <c r="Q733" s="344" t="n"/>
      <c r="R733" s="344" t="n"/>
      <c r="S733" s="344" t="n"/>
      <c r="T733" s="344" t="n"/>
      <c r="U733" s="344" t="n"/>
      <c r="V733" s="344" t="n"/>
      <c r="W733" s="344" t="n"/>
    </row>
    <row r="734" customFormat="1" s="354">
      <c r="A734" s="345" t="n"/>
      <c r="B734" s="581" t="n"/>
      <c r="C734" s="582" t="n"/>
      <c r="D734" s="583" t="n"/>
      <c r="E734" s="584" t="n"/>
      <c r="F734" s="350" t="n"/>
      <c r="G734" s="350" t="n"/>
      <c r="H734" s="350" t="n"/>
      <c r="I734" s="350" t="n"/>
      <c r="J734" s="350" t="n"/>
      <c r="K734" s="351" t="n"/>
      <c r="L734" s="350" t="n"/>
      <c r="M734" s="350" t="n"/>
      <c r="N734" s="344" t="n"/>
      <c r="O734" s="344" t="n"/>
      <c r="P734" s="344" t="n"/>
      <c r="Q734" s="344" t="n"/>
      <c r="R734" s="344" t="n"/>
      <c r="S734" s="344" t="n"/>
      <c r="T734" s="344" t="n"/>
      <c r="U734" s="344" t="n"/>
      <c r="V734" s="344" t="n"/>
      <c r="W734" s="344" t="n"/>
    </row>
    <row r="735" customFormat="1" s="354">
      <c r="A735" s="345" t="n"/>
      <c r="B735" s="581" t="n"/>
      <c r="C735" s="582" t="n"/>
      <c r="D735" s="583" t="n"/>
      <c r="E735" s="588" t="n"/>
      <c r="F735" s="350" t="n"/>
      <c r="G735" s="350" t="n"/>
      <c r="H735" s="350" t="n"/>
      <c r="I735" s="350" t="n"/>
      <c r="J735" s="350" t="n"/>
      <c r="K735" s="351" t="n"/>
      <c r="L735" s="350" t="n"/>
      <c r="M735" s="350" t="n"/>
      <c r="N735" s="344" t="n"/>
      <c r="O735" s="344" t="n"/>
      <c r="P735" s="344" t="n"/>
      <c r="Q735" s="344" t="n"/>
      <c r="R735" s="344" t="n"/>
      <c r="S735" s="344" t="n"/>
      <c r="T735" s="344" t="n"/>
      <c r="U735" s="344" t="n"/>
      <c r="V735" s="344" t="n"/>
      <c r="W735" s="344" t="n"/>
    </row>
    <row r="736" customFormat="1" s="354">
      <c r="A736" s="345" t="n"/>
      <c r="B736" s="581" t="n"/>
      <c r="C736" s="582" t="n"/>
      <c r="D736" s="583" t="n"/>
      <c r="E736" s="584" t="n"/>
      <c r="F736" s="350" t="n"/>
      <c r="G736" s="350" t="n"/>
      <c r="H736" s="350" t="n"/>
      <c r="I736" s="350" t="n"/>
      <c r="J736" s="350" t="n"/>
      <c r="K736" s="351" t="n"/>
      <c r="L736" s="350" t="n"/>
      <c r="M736" s="350" t="n"/>
      <c r="N736" s="344" t="n"/>
      <c r="O736" s="344" t="n"/>
      <c r="P736" s="344" t="n"/>
      <c r="Q736" s="344" t="n"/>
      <c r="R736" s="344" t="n"/>
      <c r="S736" s="344" t="n"/>
      <c r="T736" s="344" t="n"/>
      <c r="U736" s="344" t="n"/>
      <c r="V736" s="344" t="n"/>
      <c r="W736" s="344" t="n"/>
    </row>
    <row r="737" customFormat="1" s="354">
      <c r="A737" s="345" t="n"/>
      <c r="B737" s="581" t="n"/>
      <c r="C737" s="582" t="n"/>
      <c r="D737" s="583" t="n"/>
      <c r="E737" s="584" t="n"/>
      <c r="F737" s="350" t="n"/>
      <c r="G737" s="350" t="n"/>
      <c r="H737" s="350" t="n"/>
      <c r="I737" s="350" t="n"/>
      <c r="J737" s="350" t="n"/>
      <c r="K737" s="351" t="n"/>
      <c r="L737" s="350" t="n"/>
      <c r="M737" s="350" t="n"/>
      <c r="N737" s="344" t="n"/>
      <c r="O737" s="344" t="n"/>
      <c r="P737" s="344" t="n"/>
      <c r="Q737" s="344" t="n"/>
      <c r="R737" s="344" t="n"/>
      <c r="S737" s="344" t="n"/>
      <c r="T737" s="344" t="n"/>
      <c r="U737" s="344" t="n"/>
      <c r="V737" s="344" t="n"/>
      <c r="W737" s="344" t="n"/>
    </row>
    <row r="738" customFormat="1" s="354">
      <c r="A738" s="345" t="n"/>
      <c r="B738" s="581" t="n"/>
      <c r="C738" s="582" t="n"/>
      <c r="D738" s="583" t="n"/>
      <c r="E738" s="584" t="n"/>
      <c r="F738" s="350" t="n"/>
      <c r="G738" s="350" t="n"/>
      <c r="H738" s="350" t="n"/>
      <c r="I738" s="350" t="n"/>
      <c r="J738" s="350" t="n"/>
      <c r="K738" s="351" t="n"/>
      <c r="L738" s="350" t="n"/>
      <c r="M738" s="350" t="n"/>
      <c r="N738" s="344" t="n"/>
      <c r="O738" s="344" t="n"/>
      <c r="P738" s="344" t="n"/>
      <c r="Q738" s="344" t="n"/>
      <c r="R738" s="344" t="n"/>
      <c r="S738" s="344" t="n"/>
      <c r="T738" s="344" t="n"/>
      <c r="U738" s="344" t="n"/>
      <c r="V738" s="344" t="n"/>
      <c r="W738" s="344" t="n"/>
    </row>
    <row r="739" customFormat="1" s="354">
      <c r="A739" s="345" t="n"/>
      <c r="B739" s="581" t="n"/>
      <c r="C739" s="582" t="n"/>
      <c r="D739" s="583" t="n"/>
      <c r="E739" s="584" t="n"/>
      <c r="F739" s="350" t="n"/>
      <c r="G739" s="350" t="n"/>
      <c r="H739" s="350" t="n"/>
      <c r="I739" s="350" t="n"/>
      <c r="J739" s="350" t="n"/>
      <c r="K739" s="351" t="n"/>
      <c r="L739" s="350" t="n"/>
      <c r="M739" s="350" t="n"/>
      <c r="N739" s="344" t="n"/>
      <c r="O739" s="344" t="n"/>
      <c r="P739" s="344" t="n"/>
      <c r="Q739" s="344" t="n"/>
      <c r="R739" s="344" t="n"/>
      <c r="S739" s="344" t="n"/>
      <c r="T739" s="344" t="n"/>
      <c r="U739" s="344" t="n"/>
      <c r="V739" s="344" t="n"/>
      <c r="W739" s="344" t="n"/>
    </row>
    <row r="740" customFormat="1" s="354">
      <c r="A740" s="345" t="n"/>
      <c r="B740" s="581" t="n"/>
      <c r="C740" s="582" t="n"/>
      <c r="D740" s="583" t="n"/>
      <c r="E740" s="584" t="n"/>
      <c r="F740" s="350" t="n"/>
      <c r="G740" s="350" t="n"/>
      <c r="H740" s="350" t="n"/>
      <c r="I740" s="350" t="n"/>
      <c r="J740" s="350" t="n"/>
      <c r="K740" s="351" t="n"/>
      <c r="L740" s="355" t="inlineStr">
        <is>
          <t>2841000175316_【ＱＣＳ】ちくわ磯部揚げ衣.xlsx</t>
        </is>
      </c>
      <c r="M740" s="350" t="n"/>
      <c r="N740" s="344" t="n"/>
      <c r="O740" s="344" t="n"/>
      <c r="P740" s="344" t="n"/>
      <c r="Q740" s="344" t="n"/>
      <c r="R740" s="344" t="n"/>
      <c r="S740" s="344" t="n"/>
      <c r="T740" s="344" t="n"/>
      <c r="U740" s="344" t="n"/>
      <c r="V740" s="344" t="n"/>
      <c r="W740" s="344" t="n"/>
    </row>
    <row r="741" customFormat="1" s="354">
      <c r="A741" s="345" t="n"/>
      <c r="B741" s="581" t="n"/>
      <c r="C741" s="582" t="n"/>
      <c r="D741" s="583" t="n"/>
      <c r="E741" s="584" t="n"/>
      <c r="F741" s="350" t="n"/>
      <c r="G741" s="350" t="n"/>
      <c r="H741" s="350" t="n"/>
      <c r="I741" s="350" t="n"/>
      <c r="J741" s="350" t="n"/>
      <c r="K741" s="351" t="n"/>
      <c r="L741" s="355" t="inlineStr">
        <is>
          <t>2841000177082_【ＱＣＳ】ちくわ磯辺揚げ４（１／２）.xlsx</t>
        </is>
      </c>
      <c r="M741" s="350" t="n"/>
      <c r="N741" s="344" t="n"/>
      <c r="O741" s="344" t="n"/>
      <c r="P741" s="344" t="n"/>
      <c r="Q741" s="344" t="n"/>
      <c r="R741" s="344" t="n"/>
      <c r="S741" s="344" t="n"/>
      <c r="T741" s="344" t="n"/>
      <c r="U741" s="344" t="n"/>
      <c r="V741" s="344" t="n"/>
      <c r="W741" s="344" t="n"/>
    </row>
    <row r="742" customFormat="1" s="354">
      <c r="A742" s="345" t="n"/>
      <c r="B742" s="581" t="n"/>
      <c r="C742" s="582" t="n"/>
      <c r="D742" s="583" t="n"/>
      <c r="E742" s="584" t="n"/>
      <c r="F742" s="350" t="n"/>
      <c r="G742" s="350" t="n"/>
      <c r="H742" s="350" t="n"/>
      <c r="I742" s="350" t="n"/>
      <c r="J742" s="350" t="n"/>
      <c r="K742" s="351" t="n"/>
      <c r="L742" s="350" t="n"/>
      <c r="M742" s="350" t="n"/>
      <c r="N742" s="344" t="n"/>
      <c r="O742" s="344" t="n"/>
      <c r="P742" s="344" t="n"/>
      <c r="Q742" s="344" t="n"/>
      <c r="R742" s="344" t="n"/>
      <c r="S742" s="344" t="n"/>
      <c r="T742" s="344" t="n"/>
      <c r="U742" s="344" t="n"/>
      <c r="V742" s="344" t="n"/>
      <c r="W742" s="344" t="n"/>
    </row>
    <row r="743" customFormat="1" s="354">
      <c r="A743" s="345" t="n"/>
      <c r="B743" s="581" t="n"/>
      <c r="C743" s="582" t="n"/>
      <c r="D743" s="583" t="n"/>
      <c r="E743" s="584" t="n"/>
      <c r="F743" s="350" t="n"/>
      <c r="G743" s="350" t="n"/>
      <c r="H743" s="350" t="n"/>
      <c r="I743" s="350" t="n"/>
      <c r="J743" s="350" t="n"/>
      <c r="K743" s="351" t="n"/>
      <c r="L743" s="350" t="n"/>
      <c r="M743" s="350" t="n"/>
      <c r="N743" s="344" t="n"/>
      <c r="O743" s="344" t="n"/>
      <c r="P743" s="344" t="n"/>
      <c r="Q743" s="344" t="n"/>
      <c r="R743" s="344" t="n"/>
      <c r="S743" s="344" t="n"/>
      <c r="T743" s="344" t="n"/>
      <c r="U743" s="344" t="n"/>
      <c r="V743" s="344" t="n"/>
      <c r="W743" s="344" t="n"/>
    </row>
    <row r="744" customFormat="1" s="354">
      <c r="A744" s="345" t="n"/>
      <c r="B744" s="581" t="n"/>
      <c r="C744" s="582" t="n"/>
      <c r="D744" s="583" t="n"/>
      <c r="E744" s="584" t="n"/>
      <c r="F744" s="350" t="n"/>
      <c r="G744" s="350" t="n"/>
      <c r="H744" s="350" t="n"/>
      <c r="I744" s="350" t="n"/>
      <c r="J744" s="350" t="n"/>
      <c r="K744" s="351" t="n"/>
      <c r="L744" s="350" t="n"/>
      <c r="M744" s="350" t="n"/>
      <c r="N744" s="344" t="n"/>
      <c r="O744" s="344" t="n"/>
      <c r="P744" s="344" t="n"/>
      <c r="Q744" s="344" t="n"/>
      <c r="R744" s="344" t="n"/>
      <c r="S744" s="344" t="n"/>
      <c r="T744" s="344" t="n"/>
      <c r="U744" s="344" t="n"/>
      <c r="V744" s="344" t="n"/>
      <c r="W744" s="344" t="n"/>
    </row>
    <row r="745" customFormat="1" s="354">
      <c r="A745" s="345" t="n"/>
      <c r="B745" s="581" t="n"/>
      <c r="C745" s="582" t="n"/>
      <c r="D745" s="583" t="n"/>
      <c r="E745" s="584" t="n"/>
      <c r="F745" s="350" t="n"/>
      <c r="G745" s="350" t="n"/>
      <c r="H745" s="350" t="n"/>
      <c r="I745" s="350" t="n"/>
      <c r="J745" s="350" t="n"/>
      <c r="K745" s="351" t="n"/>
      <c r="L745" s="350" t="n"/>
      <c r="M745" s="350" t="n"/>
      <c r="N745" s="344" t="n"/>
      <c r="O745" s="344" t="n"/>
      <c r="P745" s="344" t="n"/>
      <c r="Q745" s="344" t="n"/>
      <c r="R745" s="344" t="n"/>
      <c r="S745" s="344" t="n"/>
      <c r="T745" s="344" t="n"/>
      <c r="U745" s="344" t="n"/>
      <c r="V745" s="344" t="n"/>
      <c r="W745" s="344" t="n"/>
    </row>
    <row r="746" customFormat="1" s="354">
      <c r="A746" s="345" t="n"/>
      <c r="B746" s="581" t="n"/>
      <c r="C746" s="582" t="n"/>
      <c r="D746" s="583" t="n"/>
      <c r="E746" s="584" t="n"/>
      <c r="F746" s="350" t="n"/>
      <c r="G746" s="350" t="n"/>
      <c r="H746" s="350" t="n"/>
      <c r="I746" s="350" t="n"/>
      <c r="J746" s="350" t="n"/>
      <c r="K746" s="351" t="n"/>
      <c r="L746" s="350" t="n"/>
      <c r="M746" s="350" t="n"/>
      <c r="N746" s="344" t="n"/>
      <c r="O746" s="344" t="n"/>
      <c r="P746" s="344" t="n"/>
      <c r="Q746" s="344" t="n"/>
      <c r="R746" s="344" t="n"/>
      <c r="S746" s="344" t="n"/>
      <c r="T746" s="344" t="n"/>
      <c r="U746" s="344" t="n"/>
      <c r="V746" s="344" t="n"/>
      <c r="W746" s="344" t="n"/>
    </row>
    <row r="747" customFormat="1" s="354">
      <c r="A747" s="345" t="n"/>
      <c r="B747" s="581" t="n"/>
      <c r="C747" s="582" t="n"/>
      <c r="D747" s="583" t="n"/>
      <c r="E747" s="584" t="n"/>
      <c r="F747" s="350" t="n"/>
      <c r="G747" s="350" t="n"/>
      <c r="H747" s="350" t="n"/>
      <c r="I747" s="350" t="n"/>
      <c r="J747" s="350" t="n"/>
      <c r="K747" s="351" t="n"/>
      <c r="L747" s="350" t="n"/>
      <c r="M747" s="350" t="n"/>
      <c r="N747" s="344" t="n"/>
      <c r="O747" s="344" t="n"/>
      <c r="P747" s="344" t="n"/>
      <c r="Q747" s="344" t="n"/>
      <c r="R747" s="344" t="n"/>
      <c r="S747" s="344" t="n"/>
      <c r="T747" s="344" t="n"/>
      <c r="U747" s="344" t="n"/>
      <c r="V747" s="344" t="n"/>
      <c r="W747" s="344" t="n"/>
    </row>
    <row r="748" customFormat="1" s="354">
      <c r="A748" s="345" t="n"/>
      <c r="B748" s="581" t="n"/>
      <c r="C748" s="582" t="n"/>
      <c r="D748" s="583" t="n"/>
      <c r="E748" s="584" t="n"/>
      <c r="F748" s="350" t="n"/>
      <c r="G748" s="350" t="n"/>
      <c r="H748" s="350" t="n"/>
      <c r="I748" s="350" t="n"/>
      <c r="J748" s="350" t="n"/>
      <c r="K748" s="351" t="n"/>
      <c r="L748" s="350" t="n"/>
      <c r="M748" s="350" t="n"/>
      <c r="N748" s="344" t="n"/>
      <c r="O748" s="344" t="n"/>
      <c r="P748" s="344" t="n"/>
      <c r="Q748" s="344" t="n"/>
      <c r="R748" s="344" t="n"/>
      <c r="S748" s="344" t="n"/>
      <c r="T748" s="344" t="n"/>
      <c r="U748" s="344" t="n"/>
      <c r="V748" s="344" t="n"/>
      <c r="W748" s="344" t="n"/>
    </row>
    <row r="749" customFormat="1" s="354">
      <c r="A749" s="345" t="n"/>
      <c r="B749" s="581" t="n"/>
      <c r="C749" s="582" t="n"/>
      <c r="D749" s="583" t="n"/>
      <c r="E749" s="584" t="n"/>
      <c r="F749" s="368" t="n"/>
      <c r="G749" s="368" t="n"/>
      <c r="H749" s="368" t="n"/>
      <c r="I749" s="368" t="n"/>
      <c r="J749" s="368" t="n"/>
      <c r="K749" s="351" t="n"/>
      <c r="L749" s="350" t="n"/>
      <c r="M749" s="350" t="n"/>
      <c r="N749" s="344" t="n"/>
      <c r="O749" s="344" t="n"/>
      <c r="P749" s="344" t="n"/>
      <c r="Q749" s="344" t="n"/>
      <c r="R749" s="344" t="n"/>
      <c r="S749" s="344" t="n"/>
      <c r="T749" s="344" t="n"/>
      <c r="U749" s="344" t="n"/>
      <c r="V749" s="344" t="n"/>
      <c r="W749" s="344" t="n"/>
    </row>
    <row r="750" customFormat="1" s="354">
      <c r="A750" s="345" t="n"/>
      <c r="B750" s="585" t="n"/>
      <c r="C750" s="582" t="n"/>
      <c r="D750" s="586" t="n"/>
      <c r="E750" s="584" t="n"/>
      <c r="F750" s="350" t="n"/>
      <c r="G750" s="350" t="n"/>
      <c r="H750" s="350" t="n"/>
      <c r="I750" s="350" t="n"/>
      <c r="J750" s="350" t="n"/>
      <c r="K750" s="351" t="n"/>
      <c r="L750" s="597" t="inlineStr">
        <is>
          <t>../../../../01_組織_メガ生鮮_惣菜/〇商品部/▲白鳥CK/CK手順書/2026年/6月/牛蒡乱切り変更/◆【牛蒡乱切り切替】◆特製幕の内弁当１（白鳥）%20.xlsx</t>
        </is>
      </c>
      <c r="M750" s="350" t="n"/>
      <c r="N750" s="344" t="n"/>
      <c r="O750" s="344" t="n"/>
      <c r="P750" s="344" t="n"/>
      <c r="Q750" s="344" t="n"/>
      <c r="R750" s="344" t="n"/>
      <c r="S750" s="344" t="n"/>
      <c r="T750" s="344" t="n"/>
      <c r="U750" s="344" t="n"/>
      <c r="V750" s="344" t="n"/>
      <c r="W750" s="344" t="n"/>
    </row>
    <row r="751" customFormat="1" s="354">
      <c r="A751" s="345" t="n"/>
      <c r="B751" s="581" t="n"/>
      <c r="C751" s="582" t="n"/>
      <c r="D751" s="583" t="n"/>
      <c r="E751" s="584" t="n"/>
      <c r="F751" s="350" t="n"/>
      <c r="G751" s="350" t="n"/>
      <c r="H751" s="350" t="n"/>
      <c r="I751" s="350" t="n"/>
      <c r="J751" s="350" t="n"/>
      <c r="K751" s="351" t="n"/>
      <c r="L751" s="355" t="inlineStr">
        <is>
          <t>2841000174401_【ＱＣＳ】高菜炒め.xlsx</t>
        </is>
      </c>
      <c r="M751" s="350" t="n"/>
      <c r="N751" s="344" t="n"/>
      <c r="O751" s="344" t="n"/>
      <c r="P751" s="344" t="n"/>
      <c r="Q751" s="344" t="n"/>
      <c r="R751" s="344" t="n"/>
      <c r="S751" s="344" t="n"/>
      <c r="T751" s="344" t="n"/>
      <c r="U751" s="344" t="n"/>
      <c r="V751" s="344" t="n"/>
      <c r="W751" s="344" t="n"/>
    </row>
    <row r="752" customFormat="1" s="354">
      <c r="A752" s="345" t="n"/>
      <c r="B752" s="581" t="n"/>
      <c r="C752" s="582" t="n"/>
      <c r="D752" s="583" t="n"/>
      <c r="E752" s="584" t="n"/>
      <c r="F752" s="350" t="n"/>
      <c r="G752" s="350" t="n"/>
      <c r="H752" s="350" t="n"/>
      <c r="I752" s="350" t="n"/>
      <c r="J752" s="350" t="n"/>
      <c r="K752" s="351" t="n"/>
      <c r="L752" s="355" t="inlineStr">
        <is>
          <t>2841000174401_【ＱＣＳ】高菜炒め.xlsx</t>
        </is>
      </c>
      <c r="M752" s="350" t="n"/>
      <c r="N752" s="344" t="n"/>
      <c r="O752" s="344" t="n"/>
      <c r="P752" s="344" t="n"/>
      <c r="Q752" s="344" t="n"/>
      <c r="R752" s="344" t="n"/>
      <c r="S752" s="344" t="n"/>
      <c r="T752" s="344" t="n"/>
      <c r="U752" s="344" t="n"/>
      <c r="V752" s="344" t="n"/>
      <c r="W752" s="344" t="n"/>
    </row>
    <row r="753" customFormat="1" s="354">
      <c r="A753" s="345" t="n"/>
      <c r="B753" s="581" t="n"/>
      <c r="C753" s="582" t="n"/>
      <c r="D753" s="583" t="n"/>
      <c r="E753" s="584" t="n"/>
      <c r="F753" s="350" t="n"/>
      <c r="G753" s="350" t="n"/>
      <c r="H753" s="350" t="n"/>
      <c r="I753" s="350" t="n"/>
      <c r="J753" s="350" t="n"/>
      <c r="K753" s="351" t="n"/>
      <c r="L753" s="350" t="n"/>
      <c r="M753" s="350" t="n"/>
      <c r="N753" s="344" t="n"/>
      <c r="O753" s="344" t="n"/>
      <c r="P753" s="344" t="n"/>
      <c r="Q753" s="344" t="n"/>
      <c r="R753" s="344" t="n"/>
      <c r="S753" s="344" t="n"/>
      <c r="T753" s="344" t="n"/>
      <c r="U753" s="344" t="n"/>
      <c r="V753" s="344" t="n"/>
      <c r="W753" s="344" t="n"/>
    </row>
    <row r="754" customFormat="1" s="354">
      <c r="A754" s="345" t="n"/>
      <c r="B754" s="581" t="n"/>
      <c r="C754" s="582" t="n"/>
      <c r="D754" s="583" t="n"/>
      <c r="E754" s="584" t="n"/>
      <c r="F754" s="350" t="n"/>
      <c r="G754" s="350" t="n"/>
      <c r="H754" s="350" t="n"/>
      <c r="I754" s="350" t="n"/>
      <c r="J754" s="350" t="n"/>
      <c r="K754" s="351" t="n"/>
      <c r="L754" s="350" t="n"/>
      <c r="M754" s="350" t="n"/>
      <c r="N754" s="344" t="n"/>
      <c r="O754" s="344" t="n"/>
      <c r="P754" s="344" t="n"/>
      <c r="Q754" s="344" t="n"/>
      <c r="R754" s="344" t="n"/>
      <c r="S754" s="344" t="n"/>
      <c r="T754" s="344" t="n"/>
      <c r="U754" s="344" t="n"/>
      <c r="V754" s="344" t="n"/>
      <c r="W754" s="344" t="n"/>
    </row>
    <row r="755" customFormat="1" s="354">
      <c r="A755" s="345" t="n"/>
      <c r="B755" s="581" t="n"/>
      <c r="C755" s="582" t="n"/>
      <c r="D755" s="583" t="n"/>
      <c r="E755" s="584" t="n"/>
      <c r="F755" s="350" t="n"/>
      <c r="G755" s="350" t="n"/>
      <c r="H755" s="350" t="n"/>
      <c r="I755" s="350" t="n"/>
      <c r="J755" s="350" t="n"/>
      <c r="K755" s="351" t="n"/>
      <c r="L755" s="355" t="n"/>
      <c r="M755" s="350" t="n"/>
      <c r="N755" s="344" t="n"/>
      <c r="O755" s="344" t="n"/>
      <c r="P755" s="344" t="n"/>
      <c r="Q755" s="344" t="n"/>
      <c r="R755" s="344" t="n"/>
      <c r="S755" s="344" t="n"/>
      <c r="T755" s="344" t="n"/>
      <c r="U755" s="344" t="n"/>
      <c r="V755" s="344" t="n"/>
      <c r="W755" s="344" t="n"/>
    </row>
    <row r="756" customFormat="1" s="354">
      <c r="A756" s="345" t="n"/>
      <c r="B756" s="581" t="n"/>
      <c r="C756" s="582" t="n"/>
      <c r="D756" s="583" t="n"/>
      <c r="E756" s="584" t="n"/>
      <c r="F756" s="350" t="n"/>
      <c r="G756" s="350" t="n"/>
      <c r="H756" s="350" t="n"/>
      <c r="I756" s="350" t="n"/>
      <c r="J756" s="350" t="n"/>
      <c r="K756" s="351" t="n"/>
      <c r="L756" s="355" t="n"/>
      <c r="M756" s="350" t="n"/>
      <c r="N756" s="344" t="n"/>
      <c r="O756" s="344" t="n"/>
      <c r="P756" s="344" t="n"/>
      <c r="Q756" s="344" t="n"/>
      <c r="R756" s="344" t="n"/>
      <c r="S756" s="344" t="n"/>
      <c r="T756" s="344" t="n"/>
      <c r="U756" s="344" t="n"/>
      <c r="V756" s="344" t="n"/>
      <c r="W756" s="344" t="n"/>
    </row>
    <row r="757" customFormat="1" s="354">
      <c r="A757" s="345" t="n"/>
      <c r="B757" s="581" t="n"/>
      <c r="C757" s="582" t="n"/>
      <c r="D757" s="583" t="n"/>
      <c r="E757" s="584" t="n"/>
      <c r="F757" s="368" t="n"/>
      <c r="G757" s="368" t="n"/>
      <c r="H757" s="368" t="n"/>
      <c r="I757" s="368" t="n"/>
      <c r="J757" s="368" t="n"/>
      <c r="K757" s="351" t="n"/>
      <c r="L757" s="350" t="n"/>
      <c r="M757" s="350" t="n"/>
      <c r="N757" s="344" t="n"/>
      <c r="O757" s="344" t="n"/>
      <c r="P757" s="344" t="n"/>
      <c r="Q757" s="344" t="n"/>
      <c r="R757" s="344" t="n"/>
      <c r="S757" s="344" t="n"/>
      <c r="T757" s="344" t="n"/>
      <c r="U757" s="344" t="n"/>
      <c r="V757" s="344" t="n"/>
      <c r="W757" s="344" t="n"/>
    </row>
    <row r="758" customFormat="1" s="354">
      <c r="A758" s="345" t="n"/>
      <c r="B758" s="581" t="n"/>
      <c r="C758" s="582" t="n"/>
      <c r="D758" s="583" t="n"/>
      <c r="E758" s="584" t="n"/>
      <c r="F758" s="350" t="n"/>
      <c r="G758" s="350" t="n"/>
      <c r="H758" s="350" t="n"/>
      <c r="I758" s="350" t="n"/>
      <c r="J758" s="350" t="n"/>
      <c r="K758" s="351" t="n"/>
      <c r="L758" s="593" t="inlineStr">
        <is>
          <t>../開発規格書/久保レシピ修正版/ＱＣＳ/◆【牛蒡乱切り切替】筑前煮５（白鳥）.xlsx</t>
        </is>
      </c>
      <c r="M758" s="350" t="n"/>
      <c r="N758" s="344" t="n"/>
      <c r="O758" s="344" t="n"/>
      <c r="P758" s="344" t="n"/>
      <c r="Q758" s="344" t="n"/>
      <c r="R758" s="344" t="n"/>
      <c r="S758" s="344" t="n"/>
      <c r="T758" s="344" t="n"/>
      <c r="U758" s="344" t="n"/>
      <c r="V758" s="344" t="n"/>
      <c r="W758" s="344" t="n"/>
    </row>
    <row r="759" customFormat="1" s="354">
      <c r="A759" s="345" t="n"/>
      <c r="B759" s="581" t="n"/>
      <c r="C759" s="582" t="n"/>
      <c r="D759" s="583" t="n"/>
      <c r="E759" s="584" t="n"/>
      <c r="F759" s="350" t="n"/>
      <c r="G759" s="350" t="n"/>
      <c r="H759" s="350" t="n"/>
      <c r="I759" s="350" t="n"/>
      <c r="J759" s="350" t="n"/>
      <c r="K759" s="351" t="n"/>
      <c r="L759" s="350" t="n"/>
      <c r="M759" s="350" t="n"/>
      <c r="N759" s="344" t="n"/>
      <c r="O759" s="344" t="n"/>
      <c r="P759" s="344" t="n"/>
      <c r="Q759" s="344" t="n"/>
      <c r="R759" s="344" t="n"/>
      <c r="S759" s="344" t="n"/>
      <c r="T759" s="344" t="n"/>
      <c r="U759" s="344" t="n"/>
      <c r="V759" s="344" t="n"/>
      <c r="W759" s="344" t="n"/>
    </row>
    <row r="760" customFormat="1" s="354">
      <c r="A760" s="345" t="n"/>
      <c r="B760" s="581" t="n"/>
      <c r="C760" s="582" t="n"/>
      <c r="D760" s="583" t="n"/>
      <c r="E760" s="584" t="n"/>
      <c r="F760" s="350" t="n"/>
      <c r="G760" s="350" t="n"/>
      <c r="H760" s="350" t="n"/>
      <c r="I760" s="350" t="n"/>
      <c r="J760" s="350" t="n"/>
      <c r="K760" s="351" t="n"/>
      <c r="L760" s="350" t="n"/>
      <c r="M760" s="350" t="n"/>
      <c r="N760" s="344" t="n"/>
      <c r="O760" s="344" t="n"/>
      <c r="P760" s="344" t="n"/>
      <c r="Q760" s="344" t="n"/>
      <c r="R760" s="344" t="n"/>
      <c r="S760" s="344" t="n"/>
      <c r="T760" s="344" t="n"/>
      <c r="U760" s="344" t="n"/>
      <c r="V760" s="344" t="n"/>
      <c r="W760" s="344" t="n"/>
    </row>
    <row r="761" customFormat="1" s="354">
      <c r="A761" s="345" t="n"/>
      <c r="B761" s="581" t="n"/>
      <c r="C761" s="582" t="n"/>
      <c r="D761" s="583" t="n"/>
      <c r="E761" s="595" t="n"/>
      <c r="F761" s="350" t="n"/>
      <c r="G761" s="350" t="n"/>
      <c r="H761" s="350" t="n"/>
      <c r="I761" s="350" t="n"/>
      <c r="J761" s="350" t="n"/>
      <c r="K761" s="351" t="n"/>
      <c r="L761" s="350" t="n"/>
      <c r="M761" s="350" t="n"/>
      <c r="N761" s="344" t="n"/>
      <c r="O761" s="344" t="n"/>
      <c r="P761" s="344" t="n"/>
      <c r="Q761" s="344" t="n"/>
      <c r="R761" s="344" t="n"/>
      <c r="S761" s="344" t="n"/>
      <c r="T761" s="344" t="n"/>
      <c r="U761" s="344" t="n"/>
      <c r="V761" s="344" t="n"/>
      <c r="W761" s="344" t="n"/>
    </row>
    <row r="762" customFormat="1" s="354">
      <c r="A762" s="345" t="n"/>
      <c r="B762" s="581" t="n"/>
      <c r="C762" s="582" t="n"/>
      <c r="D762" s="583" t="n"/>
      <c r="E762" s="584" t="n"/>
      <c r="F762" s="350" t="n"/>
      <c r="G762" s="350" t="n"/>
      <c r="H762" s="350" t="n"/>
      <c r="I762" s="350" t="n"/>
      <c r="J762" s="350" t="n"/>
      <c r="K762" s="351" t="n"/>
      <c r="L762" s="350" t="n"/>
      <c r="M762" s="350" t="n"/>
      <c r="N762" s="344" t="n"/>
      <c r="O762" s="344" t="n"/>
      <c r="P762" s="344" t="n"/>
      <c r="Q762" s="344" t="n"/>
      <c r="R762" s="344" t="n"/>
      <c r="S762" s="344" t="n"/>
      <c r="T762" s="344" t="n"/>
      <c r="U762" s="344" t="n"/>
      <c r="V762" s="344" t="n"/>
      <c r="W762" s="344" t="n"/>
    </row>
    <row r="763" customFormat="1" s="354">
      <c r="A763" s="345" t="n"/>
      <c r="B763" s="581" t="n"/>
      <c r="C763" s="582" t="n"/>
      <c r="D763" s="583" t="n"/>
      <c r="E763" s="584" t="n"/>
      <c r="F763" s="350" t="n"/>
      <c r="G763" s="350" t="n"/>
      <c r="H763" s="350" t="n"/>
      <c r="I763" s="350" t="n"/>
      <c r="J763" s="350" t="n"/>
      <c r="K763" s="351" t="n"/>
      <c r="L763" s="355" t="inlineStr">
        <is>
          <t>2841000187531_【ＱＣＳ】ターメリックライス%20.xlsx</t>
        </is>
      </c>
      <c r="M763" s="350" t="n"/>
      <c r="N763" s="344" t="n"/>
      <c r="O763" s="344" t="n"/>
      <c r="P763" s="344" t="n"/>
      <c r="Q763" s="344" t="n"/>
      <c r="R763" s="344" t="n"/>
      <c r="S763" s="344" t="n"/>
      <c r="T763" s="344" t="n"/>
      <c r="U763" s="344" t="n"/>
      <c r="V763" s="344" t="n"/>
      <c r="W763" s="344" t="n"/>
    </row>
    <row r="764" customFormat="1" s="354">
      <c r="A764" s="345" t="n"/>
      <c r="B764" s="581" t="n"/>
      <c r="C764" s="582" t="n"/>
      <c r="D764" s="583" t="n"/>
      <c r="E764" s="584" t="n"/>
      <c r="F764" s="350" t="n"/>
      <c r="G764" s="350" t="n"/>
      <c r="H764" s="350" t="n"/>
      <c r="I764" s="350" t="n"/>
      <c r="J764" s="350" t="n"/>
      <c r="K764" s="351" t="n"/>
      <c r="L764" s="355" t="inlineStr">
        <is>
          <t>2841000197585_【ＱＣＳ】ボイルパスタ麺（１．７ｍｍ）.xlsx</t>
        </is>
      </c>
      <c r="M764" s="350" t="n"/>
      <c r="N764" s="344" t="n"/>
      <c r="O764" s="344" t="n"/>
      <c r="P764" s="344" t="n"/>
      <c r="Q764" s="344" t="n"/>
      <c r="R764" s="344" t="n"/>
      <c r="S764" s="344" t="n"/>
      <c r="T764" s="344" t="n"/>
      <c r="U764" s="344" t="n"/>
      <c r="V764" s="344" t="n"/>
      <c r="W764" s="344" t="n"/>
    </row>
    <row r="765" customFormat="1" s="354">
      <c r="A765" s="345" t="n"/>
      <c r="B765" s="581" t="n"/>
      <c r="C765" s="582" t="n"/>
      <c r="D765" s="583" t="n"/>
      <c r="E765" s="584" t="n"/>
      <c r="F765" s="350" t="n"/>
      <c r="G765" s="350" t="n"/>
      <c r="H765" s="350" t="n"/>
      <c r="I765" s="350" t="n"/>
      <c r="J765" s="350" t="n"/>
      <c r="K765" s="351" t="n"/>
      <c r="L765" s="355" t="inlineStr">
        <is>
          <t>2841000203262_【ＱＣＳ】ガーリックバターオイル（白パスタ）.xlsx</t>
        </is>
      </c>
      <c r="M765" s="350" t="n"/>
      <c r="N765" s="344" t="n"/>
      <c r="O765" s="344" t="n"/>
      <c r="P765" s="344" t="n"/>
      <c r="Q765" s="344" t="n"/>
      <c r="R765" s="344" t="n"/>
      <c r="S765" s="344" t="n"/>
      <c r="T765" s="344" t="n"/>
      <c r="U765" s="344" t="n"/>
      <c r="V765" s="344" t="n"/>
      <c r="W765" s="344" t="n"/>
    </row>
    <row r="766" customFormat="1" s="354">
      <c r="A766" s="345" t="n"/>
      <c r="B766" s="581" t="n"/>
      <c r="C766" s="582" t="n"/>
      <c r="D766" s="583" t="n"/>
      <c r="E766" s="584" t="n"/>
      <c r="F766" s="350" t="n"/>
      <c r="G766" s="350" t="n"/>
      <c r="H766" s="350" t="n"/>
      <c r="I766" s="350" t="n"/>
      <c r="J766" s="350" t="n"/>
      <c r="K766" s="351" t="n"/>
      <c r="L766" s="355" t="inlineStr">
        <is>
          <t>2841000203552_【ＱＣＳ】白パスタ.xlsx</t>
        </is>
      </c>
      <c r="M766" s="350" t="n"/>
      <c r="N766" s="344" t="n"/>
      <c r="O766" s="344" t="n"/>
      <c r="P766" s="344" t="n"/>
      <c r="Q766" s="344" t="n"/>
      <c r="R766" s="344" t="n"/>
      <c r="S766" s="344" t="n"/>
      <c r="T766" s="344" t="n"/>
      <c r="U766" s="344" t="n"/>
      <c r="V766" s="344" t="n"/>
      <c r="W766" s="344" t="n"/>
    </row>
    <row r="767" customFormat="1" s="354">
      <c r="A767" s="345" t="n"/>
      <c r="B767" s="581" t="n"/>
      <c r="C767" s="582" t="n"/>
      <c r="D767" s="583" t="n"/>
      <c r="E767" s="584" t="n"/>
      <c r="F767" s="350" t="n"/>
      <c r="G767" s="350" t="n"/>
      <c r="H767" s="350" t="n"/>
      <c r="I767" s="350" t="n"/>
      <c r="J767" s="350" t="n"/>
      <c r="K767" s="351" t="n"/>
      <c r="L767" s="350" t="n"/>
      <c r="M767" s="350" t="n"/>
      <c r="N767" s="344" t="n"/>
      <c r="O767" s="344" t="n"/>
      <c r="P767" s="344" t="n"/>
      <c r="Q767" s="344" t="n"/>
      <c r="R767" s="344" t="n"/>
      <c r="S767" s="344" t="n"/>
      <c r="T767" s="344" t="n"/>
      <c r="U767" s="344" t="n"/>
      <c r="V767" s="344" t="n"/>
      <c r="W767" s="344" t="n"/>
    </row>
    <row r="768" customFormat="1" s="354">
      <c r="A768" s="345" t="n"/>
      <c r="B768" s="581" t="n"/>
      <c r="C768" s="582" t="n"/>
      <c r="D768" s="583" t="n"/>
      <c r="E768" s="584" t="n"/>
      <c r="F768" s="350" t="n"/>
      <c r="G768" s="350" t="n"/>
      <c r="H768" s="350" t="n"/>
      <c r="I768" s="350" t="n"/>
      <c r="J768" s="350" t="n"/>
      <c r="K768" s="351" t="n"/>
      <c r="L768" s="355" t="inlineStr">
        <is>
          <t>2841000203279_【ＱＣＳ】ハンバーグソース.xlsx</t>
        </is>
      </c>
      <c r="M768" s="350" t="n"/>
      <c r="N768" s="344" t="n"/>
      <c r="O768" s="344" t="n"/>
      <c r="P768" s="344" t="n"/>
      <c r="Q768" s="344" t="n"/>
      <c r="R768" s="344" t="n"/>
      <c r="S768" s="344" t="n"/>
      <c r="T768" s="344" t="n"/>
      <c r="U768" s="344" t="n"/>
      <c r="V768" s="344" t="n"/>
      <c r="W768" s="344" t="n"/>
    </row>
    <row r="769" customFormat="1" s="354">
      <c r="A769" s="345" t="n"/>
      <c r="B769" s="581" t="n"/>
      <c r="C769" s="582" t="n"/>
      <c r="D769" s="583" t="n"/>
      <c r="E769" s="584" t="n"/>
      <c r="F769" s="350" t="n"/>
      <c r="G769" s="350" t="n"/>
      <c r="H769" s="350" t="n"/>
      <c r="I769" s="350" t="n"/>
      <c r="J769" s="350" t="n"/>
      <c r="K769" s="351" t="n"/>
      <c r="L769" s="350" t="n"/>
      <c r="M769" s="350" t="n"/>
      <c r="N769" s="344" t="n"/>
      <c r="O769" s="344" t="n"/>
      <c r="P769" s="344" t="n"/>
      <c r="Q769" s="344" t="n"/>
      <c r="R769" s="344" t="n"/>
      <c r="S769" s="344" t="n"/>
      <c r="T769" s="344" t="n"/>
      <c r="U769" s="344" t="n"/>
      <c r="V769" s="344" t="n"/>
      <c r="W769" s="344" t="n"/>
    </row>
    <row r="770" customFormat="1" s="354">
      <c r="A770" s="345" t="n"/>
      <c r="B770" s="581" t="n"/>
      <c r="C770" s="582" t="n"/>
      <c r="D770" s="583" t="n"/>
      <c r="E770" s="584" t="n"/>
      <c r="F770" s="350" t="n"/>
      <c r="G770" s="350" t="n"/>
      <c r="H770" s="350" t="n"/>
      <c r="I770" s="350" t="n"/>
      <c r="J770" s="350" t="n"/>
      <c r="K770" s="351" t="n"/>
      <c r="L770" s="355" t="inlineStr">
        <is>
          <t>2841000203286_【ＱＣＳ】ナチュラルカットポテト油調.xlsx</t>
        </is>
      </c>
      <c r="M770" s="350" t="n"/>
      <c r="N770" s="344" t="n"/>
      <c r="O770" s="344" t="n"/>
      <c r="P770" s="344" t="n"/>
      <c r="Q770" s="344" t="n"/>
      <c r="R770" s="344" t="n"/>
      <c r="S770" s="344" t="n"/>
      <c r="T770" s="344" t="n"/>
      <c r="U770" s="344" t="n"/>
      <c r="V770" s="344" t="n"/>
      <c r="W770" s="344" t="n"/>
    </row>
    <row r="771" customFormat="1" s="354">
      <c r="A771" s="345" t="n"/>
      <c r="B771" s="581" t="n"/>
      <c r="C771" s="582" t="n"/>
      <c r="D771" s="583" t="n"/>
      <c r="E771" s="584" t="n"/>
      <c r="F771" s="350" t="n"/>
      <c r="G771" s="350" t="n"/>
      <c r="H771" s="350" t="n"/>
      <c r="I771" s="350" t="n"/>
      <c r="J771" s="350" t="n"/>
      <c r="K771" s="351" t="n"/>
      <c r="L771" s="355" t="inlineStr">
        <is>
          <t>2841000168790_【ＱＣＳ】コーンボイル.xlsx</t>
        </is>
      </c>
      <c r="M771" s="350" t="n"/>
      <c r="N771" s="344" t="n"/>
      <c r="O771" s="344" t="n"/>
      <c r="P771" s="344" t="n"/>
      <c r="Q771" s="344" t="n"/>
      <c r="R771" s="344" t="n"/>
      <c r="S771" s="344" t="n"/>
      <c r="T771" s="344" t="n"/>
      <c r="U771" s="344" t="n"/>
      <c r="V771" s="344" t="n"/>
      <c r="W771" s="344" t="n"/>
    </row>
    <row r="772" customFormat="1" s="354">
      <c r="A772" s="345" t="n"/>
      <c r="B772" s="581" t="n"/>
      <c r="C772" s="582" t="n"/>
      <c r="D772" s="583" t="n"/>
      <c r="E772" s="584" t="n"/>
      <c r="F772" s="350" t="n"/>
      <c r="G772" s="350" t="n"/>
      <c r="H772" s="350" t="n"/>
      <c r="I772" s="350" t="n"/>
      <c r="J772" s="350" t="n"/>
      <c r="K772" s="351" t="n"/>
      <c r="L772" s="350" t="n"/>
      <c r="M772" s="350" t="n"/>
      <c r="N772" s="344" t="n"/>
      <c r="O772" s="344" t="n"/>
      <c r="P772" s="344" t="n"/>
      <c r="Q772" s="344" t="n"/>
      <c r="R772" s="344" t="n"/>
      <c r="S772" s="344" t="n"/>
      <c r="T772" s="344" t="n"/>
      <c r="U772" s="344" t="n"/>
      <c r="V772" s="344" t="n"/>
      <c r="W772" s="344" t="n"/>
    </row>
    <row r="773" customFormat="1" s="354">
      <c r="A773" s="345" t="n"/>
      <c r="B773" s="581" t="n"/>
      <c r="C773" s="582" t="n"/>
      <c r="D773" s="583" t="n"/>
      <c r="E773" s="584" t="n"/>
      <c r="F773" s="350" t="n"/>
      <c r="G773" s="350" t="n"/>
      <c r="H773" s="350" t="n"/>
      <c r="I773" s="350" t="n"/>
      <c r="J773" s="350" t="n"/>
      <c r="K773" s="351" t="n"/>
      <c r="L773" s="350" t="n"/>
      <c r="M773" s="350" t="n"/>
      <c r="N773" s="344" t="n"/>
      <c r="O773" s="344" t="n"/>
      <c r="P773" s="344" t="n"/>
      <c r="Q773" s="344" t="n"/>
      <c r="R773" s="344" t="n"/>
      <c r="S773" s="344" t="n"/>
      <c r="T773" s="344" t="n"/>
      <c r="U773" s="344" t="n"/>
      <c r="V773" s="344" t="n"/>
      <c r="W773" s="344" t="n"/>
    </row>
    <row r="774" customFormat="1" s="354">
      <c r="A774" s="345" t="n"/>
      <c r="B774" s="581" t="n"/>
      <c r="C774" s="582" t="n"/>
      <c r="D774" s="583" t="n"/>
      <c r="E774" s="584" t="n"/>
      <c r="F774" s="350" t="n"/>
      <c r="G774" s="350" t="n"/>
      <c r="H774" s="350" t="n"/>
      <c r="I774" s="350" t="n"/>
      <c r="J774" s="350" t="n"/>
      <c r="K774" s="351" t="n"/>
      <c r="L774" s="355" t="inlineStr">
        <is>
          <t>2841000175316_【ＱＣＳ】ちくわ磯部揚げ衣.xlsx</t>
        </is>
      </c>
      <c r="M774" s="350" t="n"/>
      <c r="N774" s="344" t="n"/>
      <c r="O774" s="344" t="n"/>
      <c r="P774" s="344" t="n"/>
      <c r="Q774" s="344" t="n"/>
      <c r="R774" s="344" t="n"/>
      <c r="S774" s="344" t="n"/>
      <c r="T774" s="344" t="n"/>
      <c r="U774" s="344" t="n"/>
      <c r="V774" s="344" t="n"/>
      <c r="W774" s="344" t="n"/>
    </row>
    <row r="775" customFormat="1" s="354">
      <c r="A775" s="345" t="n"/>
      <c r="B775" s="581" t="n"/>
      <c r="C775" s="582" t="n"/>
      <c r="D775" s="583" t="n"/>
      <c r="E775" s="584" t="n"/>
      <c r="F775" s="350" t="n"/>
      <c r="G775" s="350" t="n"/>
      <c r="H775" s="350" t="n"/>
      <c r="I775" s="350" t="n"/>
      <c r="J775" s="350" t="n"/>
      <c r="K775" s="351" t="n"/>
      <c r="L775" s="355" t="inlineStr">
        <is>
          <t>2841000177082_【ＱＣＳ】ちくわ磯辺揚げ４（１／２）.xlsx</t>
        </is>
      </c>
      <c r="M775" s="350" t="n"/>
      <c r="N775" s="344" t="n"/>
      <c r="O775" s="344" t="n"/>
      <c r="P775" s="344" t="n"/>
      <c r="Q775" s="344" t="n"/>
      <c r="R775" s="344" t="n"/>
      <c r="S775" s="344" t="n"/>
      <c r="T775" s="344" t="n"/>
      <c r="U775" s="344" t="n"/>
      <c r="V775" s="344" t="n"/>
      <c r="W775" s="344" t="n"/>
    </row>
    <row r="776" customFormat="1" s="354">
      <c r="A776" s="345" t="n"/>
      <c r="B776" s="581" t="n"/>
      <c r="C776" s="582" t="n"/>
      <c r="D776" s="583" t="n"/>
      <c r="E776" s="584" t="n"/>
      <c r="F776" s="350" t="n"/>
      <c r="G776" s="350" t="n"/>
      <c r="H776" s="350" t="n"/>
      <c r="I776" s="350" t="n"/>
      <c r="J776" s="350" t="n"/>
      <c r="K776" s="351" t="n"/>
      <c r="L776" s="350" t="n"/>
      <c r="M776" s="350" t="n"/>
      <c r="N776" s="344" t="n"/>
      <c r="O776" s="344" t="n"/>
      <c r="P776" s="344" t="n"/>
      <c r="Q776" s="344" t="n"/>
      <c r="R776" s="344" t="n"/>
      <c r="S776" s="344" t="n"/>
      <c r="T776" s="344" t="n"/>
      <c r="U776" s="344" t="n"/>
      <c r="V776" s="344" t="n"/>
      <c r="W776" s="344" t="n"/>
    </row>
    <row r="777" customFormat="1" s="354">
      <c r="A777" s="345" t="n"/>
      <c r="B777" s="581" t="n"/>
      <c r="C777" s="582" t="n"/>
      <c r="D777" s="583" t="n"/>
      <c r="E777" s="584" t="n"/>
      <c r="F777" s="350" t="n"/>
      <c r="G777" s="350" t="n"/>
      <c r="H777" s="350" t="n"/>
      <c r="I777" s="350" t="n"/>
      <c r="J777" s="350" t="n"/>
      <c r="K777" s="351" t="n"/>
      <c r="L777" s="350" t="n"/>
      <c r="M777" s="350" t="n"/>
      <c r="N777" s="344" t="n"/>
      <c r="O777" s="344" t="n"/>
      <c r="P777" s="344" t="n"/>
      <c r="Q777" s="344" t="n"/>
      <c r="R777" s="344" t="n"/>
      <c r="S777" s="344" t="n"/>
      <c r="T777" s="344" t="n"/>
      <c r="U777" s="344" t="n"/>
      <c r="V777" s="344" t="n"/>
      <c r="W777" s="344" t="n"/>
    </row>
    <row r="778" customFormat="1" s="354">
      <c r="A778" s="345" t="n"/>
      <c r="B778" s="581" t="n"/>
      <c r="C778" s="582" t="n"/>
      <c r="D778" s="583" t="n"/>
      <c r="E778" s="584" t="n"/>
      <c r="F778" s="350" t="n"/>
      <c r="G778" s="350" t="n"/>
      <c r="H778" s="350" t="n"/>
      <c r="I778" s="350" t="n"/>
      <c r="J778" s="350" t="n"/>
      <c r="K778" s="351" t="n"/>
      <c r="L778" s="350" t="n"/>
      <c r="M778" s="350" t="n"/>
      <c r="N778" s="344" t="n"/>
      <c r="O778" s="344" t="n"/>
      <c r="P778" s="344" t="n"/>
      <c r="Q778" s="344" t="n"/>
      <c r="R778" s="344" t="n"/>
      <c r="S778" s="344" t="n"/>
      <c r="T778" s="344" t="n"/>
      <c r="U778" s="344" t="n"/>
      <c r="V778" s="344" t="n"/>
      <c r="W778" s="344" t="n"/>
    </row>
    <row r="779" customFormat="1" s="354">
      <c r="A779" s="345" t="n"/>
      <c r="B779" s="581" t="n"/>
      <c r="C779" s="582" t="n"/>
      <c r="D779" s="583" t="n"/>
      <c r="E779" s="584" t="n"/>
      <c r="F779" s="350" t="n"/>
      <c r="G779" s="350" t="n"/>
      <c r="H779" s="350" t="n"/>
      <c r="I779" s="350" t="n"/>
      <c r="J779" s="350" t="n"/>
      <c r="K779" s="351" t="n"/>
      <c r="L779" s="350" t="n"/>
      <c r="M779" s="350" t="n"/>
      <c r="N779" s="344" t="n"/>
      <c r="O779" s="344" t="n"/>
      <c r="P779" s="344" t="n"/>
      <c r="Q779" s="344" t="n"/>
      <c r="R779" s="344" t="n"/>
      <c r="S779" s="344" t="n"/>
      <c r="T779" s="344" t="n"/>
      <c r="U779" s="344" t="n"/>
      <c r="V779" s="344" t="n"/>
      <c r="W779" s="344" t="n"/>
    </row>
    <row r="780" customFormat="1" s="354">
      <c r="A780" s="345" t="n"/>
      <c r="B780" s="581" t="n"/>
      <c r="C780" s="582" t="n"/>
      <c r="D780" s="583" t="n"/>
      <c r="E780" s="584" t="n"/>
      <c r="F780" s="350" t="n"/>
      <c r="G780" s="350" t="n"/>
      <c r="H780" s="350" t="n"/>
      <c r="I780" s="350" t="n"/>
      <c r="J780" s="350" t="n"/>
      <c r="K780" s="351" t="n"/>
      <c r="L780" s="350" t="n"/>
      <c r="M780" s="350" t="n"/>
      <c r="N780" s="344" t="n"/>
      <c r="O780" s="344" t="n"/>
      <c r="P780" s="344" t="n"/>
      <c r="Q780" s="344" t="n"/>
      <c r="R780" s="344" t="n"/>
      <c r="S780" s="344" t="n"/>
      <c r="T780" s="344" t="n"/>
      <c r="U780" s="344" t="n"/>
      <c r="V780" s="344" t="n"/>
      <c r="W780" s="344" t="n"/>
    </row>
    <row r="781" customFormat="1" s="354">
      <c r="A781" s="345" t="n"/>
      <c r="B781" s="581" t="n"/>
      <c r="C781" s="582" t="n"/>
      <c r="D781" s="583" t="n"/>
      <c r="E781" s="584" t="n"/>
      <c r="F781" s="350" t="n"/>
      <c r="G781" s="350" t="n"/>
      <c r="H781" s="350" t="n"/>
      <c r="I781" s="350" t="n"/>
      <c r="J781" s="350" t="n"/>
      <c r="K781" s="351" t="n"/>
      <c r="L781" s="355" t="inlineStr">
        <is>
          <t>2841000178461_【ＱＣＳ】焼きそば野菜（ソース焼きそば７）.xlsx</t>
        </is>
      </c>
      <c r="M781" s="350" t="n"/>
      <c r="N781" s="344" t="n"/>
      <c r="O781" s="344" t="n"/>
      <c r="P781" s="344" t="n"/>
      <c r="Q781" s="344" t="n"/>
      <c r="R781" s="344" t="n"/>
      <c r="S781" s="344" t="n"/>
      <c r="T781" s="344" t="n"/>
      <c r="U781" s="344" t="n"/>
      <c r="V781" s="344" t="n"/>
      <c r="W781" s="344" t="n"/>
    </row>
    <row r="782" customFormat="1" s="354">
      <c r="A782" s="345" t="n"/>
      <c r="B782" s="581" t="n"/>
      <c r="C782" s="582" t="n"/>
      <c r="D782" s="583" t="n"/>
      <c r="E782" s="584" t="n"/>
      <c r="F782" s="350" t="n"/>
      <c r="G782" s="350" t="n"/>
      <c r="H782" s="350" t="n"/>
      <c r="I782" s="350" t="n"/>
      <c r="J782" s="350" t="n"/>
      <c r="K782" s="351" t="n"/>
      <c r="L782" s="355" t="inlineStr">
        <is>
          <t>2841000174418_【ＱＣＳ】殺菌青ネギ（次亜使用）.xlsx</t>
        </is>
      </c>
      <c r="M782" s="350" t="n"/>
      <c r="N782" s="344" t="n"/>
      <c r="O782" s="344" t="n"/>
      <c r="P782" s="344" t="n"/>
      <c r="Q782" s="344" t="n"/>
      <c r="R782" s="344" t="n"/>
      <c r="S782" s="344" t="n"/>
      <c r="T782" s="344" t="n"/>
      <c r="U782" s="344" t="n"/>
      <c r="V782" s="344" t="n"/>
      <c r="W782" s="344" t="n"/>
    </row>
    <row r="783" customFormat="1" s="354">
      <c r="A783" s="345" t="n"/>
      <c r="B783" s="581" t="n"/>
      <c r="C783" s="582" t="n"/>
      <c r="D783" s="583" t="n"/>
      <c r="E783" s="584" t="n"/>
      <c r="F783" s="350" t="n"/>
      <c r="G783" s="350" t="n"/>
      <c r="H783" s="350" t="n"/>
      <c r="I783" s="350" t="n"/>
      <c r="J783" s="350" t="n"/>
      <c r="K783" s="351" t="n"/>
      <c r="L783" s="355" t="inlineStr">
        <is>
          <t>2841000174418_【ＱＣＳ】殺菌青ネギ（次亜使用）.xlsx</t>
        </is>
      </c>
      <c r="M783" s="350" t="n"/>
      <c r="N783" s="344" t="n"/>
      <c r="O783" s="344" t="n"/>
      <c r="P783" s="344" t="n"/>
      <c r="Q783" s="344" t="n"/>
      <c r="R783" s="344" t="n"/>
      <c r="S783" s="344" t="n"/>
      <c r="T783" s="344" t="n"/>
      <c r="U783" s="344" t="n"/>
      <c r="V783" s="344" t="n"/>
      <c r="W783" s="344" t="n"/>
    </row>
    <row r="784" customFormat="1" s="354">
      <c r="A784" s="345" t="n"/>
      <c r="B784" s="581" t="n"/>
      <c r="C784" s="582" t="n"/>
      <c r="D784" s="583" t="n"/>
      <c r="E784" s="584" t="n"/>
      <c r="F784" s="350" t="n"/>
      <c r="G784" s="350" t="n"/>
      <c r="H784" s="350" t="n"/>
      <c r="I784" s="350" t="n"/>
      <c r="J784" s="350" t="n"/>
      <c r="K784" s="351" t="n"/>
      <c r="L784" s="355" t="inlineStr">
        <is>
          <t>2841000174418_【ＱＣＳ】殺菌青ネギ（次亜使用）.xlsx</t>
        </is>
      </c>
      <c r="M784" s="350" t="n"/>
      <c r="N784" s="344" t="n"/>
      <c r="O784" s="344" t="n"/>
      <c r="P784" s="344" t="n"/>
      <c r="Q784" s="344" t="n"/>
      <c r="R784" s="344" t="n"/>
      <c r="S784" s="344" t="n"/>
      <c r="T784" s="344" t="n"/>
      <c r="U784" s="344" t="n"/>
      <c r="V784" s="344" t="n"/>
      <c r="W784" s="344" t="n"/>
    </row>
    <row r="785" customFormat="1" s="354">
      <c r="A785" s="345" t="n"/>
      <c r="B785" s="581" t="n"/>
      <c r="C785" s="582" t="n"/>
      <c r="D785" s="583" t="n"/>
      <c r="E785" s="584" t="n"/>
      <c r="F785" s="350" t="n"/>
      <c r="G785" s="350" t="n"/>
      <c r="H785" s="350" t="n"/>
      <c r="I785" s="350" t="n"/>
      <c r="J785" s="350" t="n"/>
      <c r="K785" s="351" t="n"/>
      <c r="L785" s="355" t="inlineStr">
        <is>
          <t>2841000174418_【ＱＣＳ】殺菌青ネギ（次亜使用）.xlsx</t>
        </is>
      </c>
      <c r="M785" s="350" t="n"/>
      <c r="N785" s="344" t="n"/>
      <c r="O785" s="344" t="n"/>
      <c r="P785" s="344" t="n"/>
      <c r="Q785" s="344" t="n"/>
      <c r="R785" s="344" t="n"/>
      <c r="S785" s="344" t="n"/>
      <c r="T785" s="344" t="n"/>
      <c r="U785" s="344" t="n"/>
      <c r="V785" s="344" t="n"/>
      <c r="W785" s="344" t="n"/>
    </row>
    <row r="786" customFormat="1" s="354">
      <c r="A786" s="345" t="n"/>
      <c r="B786" s="582" t="n"/>
      <c r="C786" s="582" t="n"/>
      <c r="D786" s="583" t="n"/>
      <c r="E786" s="584" t="n"/>
      <c r="F786" s="350" t="n"/>
      <c r="G786" s="350" t="n"/>
      <c r="H786" s="350" t="n"/>
      <c r="I786" s="350" t="n"/>
      <c r="J786" s="350" t="n"/>
      <c r="K786" s="351" t="n"/>
      <c r="L786" s="350" t="n"/>
      <c r="M786" s="350" t="n"/>
      <c r="N786" s="344" t="n"/>
      <c r="O786" s="344" t="n"/>
      <c r="P786" s="344" t="n"/>
      <c r="Q786" s="344" t="n"/>
      <c r="R786" s="344" t="n"/>
      <c r="S786" s="344" t="n"/>
      <c r="T786" s="344" t="n"/>
      <c r="U786" s="344" t="n"/>
      <c r="V786" s="344" t="n"/>
      <c r="W786" s="344" t="n"/>
    </row>
    <row r="787" customFormat="1" s="354">
      <c r="A787" s="345" t="n"/>
      <c r="B787" s="582" t="n"/>
      <c r="C787" s="582" t="n"/>
      <c r="D787" s="583" t="n"/>
      <c r="E787" s="584" t="n"/>
      <c r="F787" s="350" t="n"/>
      <c r="G787" s="350" t="n"/>
      <c r="H787" s="350" t="n"/>
      <c r="I787" s="350" t="n"/>
      <c r="J787" s="350" t="n"/>
      <c r="K787" s="351" t="n"/>
      <c r="L787" s="350" t="n"/>
      <c r="M787" s="350" t="n"/>
      <c r="N787" s="344" t="n"/>
      <c r="O787" s="344" t="n"/>
      <c r="P787" s="344" t="n"/>
      <c r="Q787" s="344" t="n"/>
      <c r="R787" s="344" t="n"/>
      <c r="S787" s="344" t="n"/>
      <c r="T787" s="344" t="n"/>
      <c r="U787" s="344" t="n"/>
      <c r="V787" s="344" t="n"/>
      <c r="W787" s="344" t="n"/>
    </row>
    <row r="788" customFormat="1" s="354">
      <c r="A788" s="345" t="n"/>
      <c r="B788" s="582" t="n"/>
      <c r="C788" s="582" t="n"/>
      <c r="D788" s="583" t="n"/>
      <c r="E788" s="584" t="n"/>
      <c r="F788" s="350" t="n"/>
      <c r="G788" s="350" t="n"/>
      <c r="H788" s="350" t="n"/>
      <c r="I788" s="350" t="n"/>
      <c r="J788" s="350" t="n"/>
      <c r="K788" s="351" t="n"/>
      <c r="L788" s="350" t="n"/>
      <c r="M788" s="350" t="n"/>
      <c r="N788" s="344" t="n"/>
      <c r="O788" s="344" t="n"/>
      <c r="P788" s="344" t="n"/>
      <c r="Q788" s="344" t="n"/>
      <c r="R788" s="344" t="n"/>
      <c r="S788" s="344" t="n"/>
      <c r="T788" s="344" t="n"/>
      <c r="U788" s="344" t="n"/>
      <c r="V788" s="344" t="n"/>
      <c r="W788" s="344" t="n"/>
    </row>
    <row r="789" customFormat="1" s="354">
      <c r="A789" s="345" t="n"/>
      <c r="B789" s="582" t="n"/>
      <c r="C789" s="582" t="n"/>
      <c r="D789" s="583" t="n"/>
      <c r="E789" s="584" t="n"/>
      <c r="F789" s="350" t="n"/>
      <c r="G789" s="350" t="n"/>
      <c r="H789" s="350" t="n"/>
      <c r="I789" s="350" t="n"/>
      <c r="J789" s="350" t="n"/>
      <c r="K789" s="351" t="n"/>
      <c r="L789" s="350" t="n"/>
      <c r="M789" s="358" t="n"/>
      <c r="N789" s="344" t="n"/>
      <c r="O789" s="344" t="n"/>
      <c r="P789" s="344" t="n"/>
      <c r="Q789" s="344" t="n"/>
      <c r="R789" s="344" t="n"/>
      <c r="S789" s="344" t="n"/>
      <c r="T789" s="344" t="n"/>
      <c r="U789" s="344" t="n"/>
      <c r="V789" s="344" t="n"/>
      <c r="W789" s="344" t="n"/>
    </row>
    <row r="790" customFormat="1" s="354">
      <c r="A790" s="345" t="n"/>
      <c r="B790" s="582" t="n"/>
      <c r="C790" s="582" t="n"/>
      <c r="D790" s="583" t="n"/>
      <c r="E790" s="584" t="n"/>
      <c r="F790" s="350" t="n"/>
      <c r="G790" s="350" t="n"/>
      <c r="H790" s="350" t="n"/>
      <c r="I790" s="350" t="n"/>
      <c r="J790" s="350" t="n"/>
      <c r="K790" s="351" t="n"/>
      <c r="L790" s="355" t="inlineStr">
        <is>
          <t>2841000174418_【ＱＣＳ】殺菌青ネギ（次亜使用）.xlsx</t>
        </is>
      </c>
      <c r="M790" s="350" t="n"/>
      <c r="N790" s="344" t="n"/>
      <c r="O790" s="344" t="n"/>
      <c r="P790" s="344" t="n"/>
      <c r="Q790" s="344" t="n"/>
      <c r="R790" s="344" t="n"/>
      <c r="S790" s="344" t="n"/>
      <c r="T790" s="344" t="n"/>
      <c r="U790" s="344" t="n"/>
      <c r="V790" s="344" t="n"/>
      <c r="W790" s="344" t="n"/>
    </row>
    <row r="791" customFormat="1" s="354">
      <c r="A791" s="345" t="n"/>
      <c r="B791" s="582" t="n"/>
      <c r="C791" s="582" t="n"/>
      <c r="D791" s="583" t="n"/>
      <c r="E791" s="584" t="n"/>
      <c r="F791" s="350" t="n"/>
      <c r="G791" s="350" t="n"/>
      <c r="H791" s="350" t="n"/>
      <c r="I791" s="350" t="n"/>
      <c r="J791" s="350" t="n"/>
      <c r="K791" s="351" t="n"/>
      <c r="L791" s="355" t="inlineStr">
        <is>
          <t>2841000174418_【ＱＣＳ】殺菌青ネギ（次亜使用）.xlsx</t>
        </is>
      </c>
      <c r="M791" s="350" t="n"/>
      <c r="N791" s="344" t="n"/>
      <c r="O791" s="344" t="n"/>
      <c r="P791" s="344" t="n"/>
      <c r="Q791" s="344" t="n"/>
      <c r="R791" s="344" t="n"/>
      <c r="S791" s="344" t="n"/>
      <c r="T791" s="344" t="n"/>
      <c r="U791" s="344" t="n"/>
      <c r="V791" s="344" t="n"/>
      <c r="W791" s="344" t="n"/>
    </row>
    <row r="792" customFormat="1" s="354">
      <c r="A792" s="345" t="n"/>
      <c r="B792" s="582" t="n"/>
      <c r="C792" s="582" t="n"/>
      <c r="D792" s="583" t="n"/>
      <c r="E792" s="584" t="n"/>
      <c r="F792" s="350" t="n"/>
      <c r="G792" s="350" t="n"/>
      <c r="H792" s="350" t="n"/>
      <c r="I792" s="350" t="n"/>
      <c r="J792" s="350" t="n"/>
      <c r="K792" s="351" t="n"/>
      <c r="L792" s="355" t="inlineStr">
        <is>
          <t>2841000174418_【ＱＣＳ】殺菌青ネギ（次亜使用）.xlsx</t>
        </is>
      </c>
      <c r="M792" s="350" t="n"/>
      <c r="N792" s="344" t="n"/>
      <c r="O792" s="344" t="n"/>
      <c r="P792" s="344" t="n"/>
      <c r="Q792" s="344" t="n"/>
      <c r="R792" s="344" t="n"/>
      <c r="S792" s="344" t="n"/>
      <c r="T792" s="344" t="n"/>
      <c r="U792" s="344" t="n"/>
      <c r="V792" s="344" t="n"/>
      <c r="W792" s="344" t="n"/>
    </row>
    <row r="793" customFormat="1" s="354">
      <c r="A793" s="345" t="n"/>
      <c r="B793" s="582" t="n"/>
      <c r="C793" s="582" t="n"/>
      <c r="D793" s="583" t="n"/>
      <c r="E793" s="584" t="n"/>
      <c r="F793" s="350" t="n"/>
      <c r="G793" s="350" t="n"/>
      <c r="H793" s="350" t="n"/>
      <c r="I793" s="350" t="n"/>
      <c r="J793" s="350" t="n"/>
      <c r="K793" s="351" t="n"/>
      <c r="L793" s="355" t="inlineStr">
        <is>
          <t>2841000174418_【ＱＣＳ】殺菌青ネギ（次亜使用）.xlsx</t>
        </is>
      </c>
      <c r="M793" s="350" t="n"/>
      <c r="N793" s="344" t="n"/>
      <c r="O793" s="344" t="n"/>
      <c r="P793" s="344" t="n"/>
      <c r="Q793" s="344" t="n"/>
      <c r="R793" s="344" t="n"/>
      <c r="S793" s="344" t="n"/>
      <c r="T793" s="344" t="n"/>
      <c r="U793" s="344" t="n"/>
      <c r="V793" s="344" t="n"/>
      <c r="W793" s="344" t="n"/>
    </row>
    <row r="794" customFormat="1" s="354">
      <c r="A794" s="345" t="n"/>
      <c r="B794" s="581" t="n"/>
      <c r="C794" s="582" t="n"/>
      <c r="D794" s="583" t="n"/>
      <c r="E794" s="584" t="n"/>
      <c r="F794" s="350" t="n"/>
      <c r="G794" s="350" t="n"/>
      <c r="H794" s="350" t="n"/>
      <c r="I794" s="350" t="n"/>
      <c r="J794" s="350" t="n"/>
      <c r="K794" s="351" t="n"/>
      <c r="L794" s="587" t="inlineStr">
        <is>
          <t>../開発規格書/久保レシピ修正版/ＱＣＳ/【規格変更】焼きちゃんぽん1（白鳥）.xlsx</t>
        </is>
      </c>
      <c r="M794" s="350" t="n"/>
      <c r="N794" s="344" t="n"/>
      <c r="O794" s="344" t="n"/>
      <c r="P794" s="344" t="n"/>
      <c r="Q794" s="344" t="n"/>
      <c r="R794" s="344" t="n"/>
      <c r="S794" s="344" t="n"/>
      <c r="T794" s="344" t="n"/>
      <c r="U794" s="344" t="n"/>
      <c r="V794" s="344" t="n"/>
      <c r="W794" s="344" t="n"/>
    </row>
    <row r="795" customFormat="1" s="354">
      <c r="A795" s="345" t="n"/>
      <c r="B795" s="581" t="n"/>
      <c r="C795" s="582" t="n"/>
      <c r="D795" s="583" t="n"/>
      <c r="E795" s="584" t="n"/>
      <c r="F795" s="350" t="n"/>
      <c r="G795" s="350" t="n"/>
      <c r="H795" s="350" t="n"/>
      <c r="I795" s="350" t="n"/>
      <c r="J795" s="350" t="n"/>
      <c r="K795" s="351" t="n"/>
      <c r="L795" s="350" t="n"/>
      <c r="M795" s="350" t="n"/>
      <c r="N795" s="344" t="n"/>
      <c r="O795" s="344" t="n"/>
      <c r="P795" s="344" t="n"/>
      <c r="Q795" s="344" t="n"/>
      <c r="R795" s="344" t="n"/>
      <c r="S795" s="344" t="n"/>
      <c r="T795" s="344" t="n"/>
      <c r="U795" s="344" t="n"/>
      <c r="V795" s="344" t="n"/>
      <c r="W795" s="344" t="n"/>
    </row>
    <row r="796" customFormat="1" s="354">
      <c r="A796" s="345" t="n"/>
      <c r="B796" s="581" t="n"/>
      <c r="C796" s="582" t="n"/>
      <c r="D796" s="583" t="n"/>
      <c r="E796" s="584" t="n"/>
      <c r="F796" s="350" t="n"/>
      <c r="G796" s="350" t="n"/>
      <c r="H796" s="350" t="n"/>
      <c r="I796" s="350" t="n"/>
      <c r="J796" s="350" t="n"/>
      <c r="K796" s="351" t="n"/>
      <c r="L796" s="350" t="n"/>
      <c r="M796" s="350" t="n"/>
      <c r="N796" s="344" t="n"/>
      <c r="O796" s="344" t="n"/>
      <c r="P796" s="344" t="n"/>
      <c r="Q796" s="344" t="n"/>
      <c r="R796" s="344" t="n"/>
      <c r="S796" s="344" t="n"/>
      <c r="T796" s="344" t="n"/>
      <c r="U796" s="344" t="n"/>
      <c r="V796" s="344" t="n"/>
      <c r="W796" s="344" t="n"/>
    </row>
    <row r="797" customFormat="1" s="354">
      <c r="A797" s="345" t="n"/>
      <c r="B797" s="581" t="n"/>
      <c r="C797" s="582" t="n"/>
      <c r="D797" s="583" t="n"/>
      <c r="E797" s="584" t="n"/>
      <c r="F797" s="350" t="n"/>
      <c r="G797" s="350" t="n"/>
      <c r="H797" s="350" t="n"/>
      <c r="I797" s="350" t="n"/>
      <c r="J797" s="350" t="n"/>
      <c r="K797" s="351" t="n"/>
      <c r="L797" s="350" t="n"/>
      <c r="M797" s="350" t="n"/>
      <c r="N797" s="344" t="n"/>
      <c r="O797" s="344" t="n"/>
      <c r="P797" s="344" t="n"/>
      <c r="Q797" s="344" t="n"/>
      <c r="R797" s="344" t="n"/>
      <c r="S797" s="344" t="n"/>
      <c r="T797" s="344" t="n"/>
      <c r="U797" s="344" t="n"/>
      <c r="V797" s="344" t="n"/>
      <c r="W797" s="344" t="n"/>
    </row>
    <row r="798" customFormat="1" s="354">
      <c r="A798" s="345" t="n"/>
      <c r="B798" s="581" t="n"/>
      <c r="C798" s="582" t="n"/>
      <c r="D798" s="583" t="n"/>
      <c r="E798" s="584" t="n"/>
      <c r="F798" s="350" t="n"/>
      <c r="G798" s="350" t="n"/>
      <c r="H798" s="350" t="n"/>
      <c r="I798" s="350" t="n"/>
      <c r="J798" s="350" t="n"/>
      <c r="K798" s="351" t="n"/>
      <c r="L798" s="350" t="n"/>
      <c r="M798" s="350" t="n"/>
      <c r="N798" s="344" t="n"/>
      <c r="O798" s="344" t="n"/>
      <c r="P798" s="344" t="n"/>
      <c r="Q798" s="344" t="n"/>
      <c r="R798" s="344" t="n"/>
      <c r="S798" s="344" t="n"/>
      <c r="T798" s="344" t="n"/>
      <c r="U798" s="344" t="n"/>
      <c r="V798" s="344" t="n"/>
      <c r="W798" s="344" t="n"/>
    </row>
    <row r="799" customFormat="1" s="354">
      <c r="A799" s="345" t="n"/>
      <c r="B799" s="581" t="n"/>
      <c r="C799" s="582" t="n"/>
      <c r="D799" s="583" t="n"/>
      <c r="E799" s="584" t="n"/>
      <c r="F799" s="350" t="n"/>
      <c r="G799" s="350" t="n"/>
      <c r="H799" s="350" t="n"/>
      <c r="I799" s="350" t="n"/>
      <c r="J799" s="350" t="n"/>
      <c r="K799" s="351" t="n"/>
      <c r="L799" s="355" t="inlineStr">
        <is>
          <t>2841000174418_【ＱＣＳ】殺菌青ネギ（次亜使用）.xlsx</t>
        </is>
      </c>
      <c r="M799" s="350" t="n"/>
      <c r="N799" s="344" t="n"/>
      <c r="O799" s="344" t="n"/>
      <c r="P799" s="344" t="n"/>
      <c r="Q799" s="344" t="n"/>
      <c r="R799" s="344" t="n"/>
      <c r="S799" s="344" t="n"/>
      <c r="T799" s="344" t="n"/>
      <c r="U799" s="344" t="n"/>
      <c r="V799" s="344" t="n"/>
      <c r="W799" s="344" t="n"/>
    </row>
    <row r="800" customFormat="1" s="354">
      <c r="A800" s="345" t="n"/>
      <c r="B800" s="581" t="n"/>
      <c r="C800" s="582" t="n"/>
      <c r="D800" s="583" t="n"/>
      <c r="E800" s="584" t="n"/>
      <c r="F800" s="350" t="n"/>
      <c r="G800" s="350" t="n"/>
      <c r="H800" s="350" t="n"/>
      <c r="I800" s="350" t="n"/>
      <c r="J800" s="350" t="n"/>
      <c r="K800" s="351" t="n"/>
      <c r="L800" s="355" t="inlineStr">
        <is>
          <t>2841000174418_【ＱＣＳ】殺菌青ネギ（次亜使用）.xlsx</t>
        </is>
      </c>
      <c r="M800" s="350" t="n"/>
      <c r="N800" s="344" t="n"/>
      <c r="O800" s="344" t="n"/>
      <c r="P800" s="344" t="n"/>
      <c r="Q800" s="344" t="n"/>
      <c r="R800" s="344" t="n"/>
      <c r="S800" s="344" t="n"/>
      <c r="T800" s="344" t="n"/>
      <c r="U800" s="344" t="n"/>
      <c r="V800" s="344" t="n"/>
      <c r="W800" s="344" t="n"/>
    </row>
    <row r="801" customFormat="1" s="354">
      <c r="A801" s="345" t="n"/>
      <c r="B801" s="581" t="n"/>
      <c r="C801" s="582" t="n"/>
      <c r="D801" s="583" t="n"/>
      <c r="E801" s="584" t="n"/>
      <c r="F801" s="350" t="n"/>
      <c r="G801" s="350" t="n"/>
      <c r="H801" s="350" t="n"/>
      <c r="I801" s="350" t="n"/>
      <c r="J801" s="350" t="n"/>
      <c r="K801" s="351" t="n"/>
      <c r="L801" s="355" t="inlineStr">
        <is>
          <t>2841000174418_【ＱＣＳ】殺菌青ネギ（次亜使用）.xlsx</t>
        </is>
      </c>
      <c r="M801" s="350" t="n"/>
      <c r="N801" s="344" t="n"/>
      <c r="O801" s="344" t="n"/>
      <c r="P801" s="344" t="n"/>
      <c r="Q801" s="344" t="n"/>
      <c r="R801" s="344" t="n"/>
      <c r="S801" s="344" t="n"/>
      <c r="T801" s="344" t="n"/>
      <c r="U801" s="344" t="n"/>
      <c r="V801" s="344" t="n"/>
      <c r="W801" s="344" t="n"/>
    </row>
    <row r="802" customFormat="1" s="354">
      <c r="A802" s="345" t="n"/>
      <c r="B802" s="581" t="n"/>
      <c r="C802" s="582" t="n"/>
      <c r="D802" s="583" t="n"/>
      <c r="E802" s="584" t="n"/>
      <c r="F802" s="350" t="n"/>
      <c r="G802" s="350" t="n"/>
      <c r="H802" s="350" t="n"/>
      <c r="I802" s="350" t="n"/>
      <c r="J802" s="350" t="n"/>
      <c r="K802" s="351" t="n"/>
      <c r="L802" s="355" t="inlineStr">
        <is>
          <t>2841000174418_【ＱＣＳ】殺菌青ネギ（次亜使用）.xlsx</t>
        </is>
      </c>
      <c r="M802" s="350" t="n"/>
      <c r="N802" s="344" t="n"/>
      <c r="O802" s="344" t="n"/>
      <c r="P802" s="344" t="n"/>
      <c r="Q802" s="344" t="n"/>
      <c r="R802" s="344" t="n"/>
      <c r="S802" s="344" t="n"/>
      <c r="T802" s="344" t="n"/>
      <c r="U802" s="344" t="n"/>
      <c r="V802" s="344" t="n"/>
      <c r="W802" s="344" t="n"/>
    </row>
    <row r="803" customFormat="1" s="354">
      <c r="A803" s="345" t="n"/>
      <c r="B803" s="581" t="n"/>
      <c r="C803" s="582" t="n"/>
      <c r="D803" s="583" t="n"/>
      <c r="E803" s="594" t="n"/>
      <c r="F803" s="350" t="n"/>
      <c r="G803" s="350" t="n"/>
      <c r="H803" s="350" t="n"/>
      <c r="I803" s="350" t="n"/>
      <c r="J803" s="350" t="n"/>
      <c r="K803" s="351" t="n"/>
      <c r="L803" s="355" t="inlineStr">
        <is>
          <t>2841000168790_【ＱＣＳ】コーンボイル.xlsx</t>
        </is>
      </c>
      <c r="M803" s="350" t="n"/>
      <c r="N803" s="344" t="n"/>
      <c r="O803" s="344" t="n"/>
      <c r="P803" s="344" t="n"/>
      <c r="Q803" s="344" t="n"/>
      <c r="R803" s="344" t="n"/>
      <c r="S803" s="344" t="n"/>
      <c r="T803" s="344" t="n"/>
      <c r="U803" s="344" t="n"/>
      <c r="V803" s="344" t="n"/>
      <c r="W803" s="344" t="n"/>
    </row>
    <row r="804" customFormat="1" s="354">
      <c r="A804" s="345" t="n"/>
      <c r="B804" s="582" t="n"/>
      <c r="C804" s="582" t="n"/>
      <c r="D804" s="583" t="n"/>
      <c r="E804" s="584" t="n"/>
      <c r="F804" s="350" t="n"/>
      <c r="G804" s="350" t="n"/>
      <c r="H804" s="350" t="n"/>
      <c r="I804" s="350" t="n"/>
      <c r="J804" s="350" t="n"/>
      <c r="K804" s="351" t="n"/>
      <c r="L804" s="587" t="inlineStr">
        <is>
          <t>../開発規格書/久保レシピ修正版/ＱＣＳ/◆RN◆【商品規格書】◆五目ビーフン３◆%20(白鳥).xlsx</t>
        </is>
      </c>
      <c r="M804" s="350" t="n"/>
      <c r="N804" s="344" t="n"/>
      <c r="O804" s="344" t="n"/>
      <c r="P804" s="344" t="n"/>
      <c r="Q804" s="344" t="n"/>
      <c r="R804" s="344" t="n"/>
      <c r="S804" s="344" t="n"/>
      <c r="T804" s="344" t="n"/>
      <c r="U804" s="344" t="n"/>
      <c r="V804" s="344" t="n"/>
      <c r="W804" s="344" t="n"/>
    </row>
    <row r="805" customFormat="1" s="354">
      <c r="A805" s="345" t="n"/>
      <c r="B805" s="582" t="n"/>
      <c r="C805" s="582" t="n"/>
      <c r="D805" s="583" t="n"/>
      <c r="E805" s="584" t="n"/>
      <c r="F805" s="350" t="n"/>
      <c r="G805" s="350" t="n"/>
      <c r="H805" s="350" t="n"/>
      <c r="I805" s="350" t="n"/>
      <c r="J805" s="350" t="n"/>
      <c r="K805" s="351" t="n"/>
      <c r="L805" s="355" t="n"/>
      <c r="M805" s="350" t="n"/>
      <c r="N805" s="344" t="n"/>
      <c r="O805" s="344" t="n"/>
      <c r="P805" s="344" t="n"/>
      <c r="Q805" s="344" t="n"/>
      <c r="R805" s="344" t="n"/>
      <c r="S805" s="344" t="n"/>
      <c r="T805" s="344" t="n"/>
      <c r="U805" s="344" t="n"/>
      <c r="V805" s="344" t="n"/>
      <c r="W805" s="344" t="n"/>
    </row>
    <row r="806" customFormat="1" s="354">
      <c r="A806" s="345" t="n"/>
      <c r="B806" s="582" t="n"/>
      <c r="C806" s="582" t="n"/>
      <c r="D806" s="583" t="n"/>
      <c r="E806" s="584" t="n"/>
      <c r="F806" s="350" t="n"/>
      <c r="G806" s="350" t="n"/>
      <c r="H806" s="350" t="n"/>
      <c r="I806" s="350" t="n"/>
      <c r="J806" s="350" t="n"/>
      <c r="K806" s="351" t="n"/>
      <c r="L806" s="355" t="n"/>
      <c r="M806" s="350" t="n"/>
      <c r="N806" s="344" t="n"/>
      <c r="O806" s="344" t="n"/>
      <c r="P806" s="344" t="n"/>
      <c r="Q806" s="344" t="n"/>
      <c r="R806" s="344" t="n"/>
      <c r="S806" s="344" t="n"/>
      <c r="T806" s="344" t="n"/>
      <c r="U806" s="344" t="n"/>
      <c r="V806" s="344" t="n"/>
      <c r="W806" s="344" t="n"/>
    </row>
    <row r="807" customFormat="1" s="354">
      <c r="A807" s="345" t="n"/>
      <c r="B807" s="582" t="n"/>
      <c r="C807" s="582" t="n"/>
      <c r="D807" s="583" t="n"/>
      <c r="E807" s="584" t="n"/>
      <c r="F807" s="350" t="n"/>
      <c r="G807" s="350" t="n"/>
      <c r="H807" s="350" t="n"/>
      <c r="I807" s="350" t="n"/>
      <c r="J807" s="350" t="n"/>
      <c r="K807" s="351" t="n"/>
      <c r="L807" s="355" t="n"/>
      <c r="M807" s="350" t="n"/>
      <c r="N807" s="344" t="n"/>
      <c r="O807" s="344" t="n"/>
      <c r="P807" s="344" t="n"/>
      <c r="Q807" s="344" t="n"/>
      <c r="R807" s="344" t="n"/>
      <c r="S807" s="344" t="n"/>
      <c r="T807" s="344" t="n"/>
      <c r="U807" s="344" t="n"/>
      <c r="V807" s="344" t="n"/>
      <c r="W807" s="344" t="n"/>
    </row>
    <row r="808" customFormat="1" s="354">
      <c r="A808" s="345" t="n"/>
      <c r="B808" s="582" t="n"/>
      <c r="C808" s="582" t="n"/>
      <c r="D808" s="583" t="n"/>
      <c r="E808" s="584" t="n"/>
      <c r="F808" s="350" t="n"/>
      <c r="G808" s="350" t="n"/>
      <c r="H808" s="350" t="n"/>
      <c r="I808" s="350" t="n"/>
      <c r="J808" s="350" t="n"/>
      <c r="K808" s="351" t="n"/>
      <c r="L808" s="355" t="n"/>
      <c r="M808" s="350" t="n"/>
      <c r="N808" s="344" t="n"/>
      <c r="O808" s="344" t="n"/>
      <c r="P808" s="344" t="n"/>
      <c r="Q808" s="344" t="n"/>
      <c r="R808" s="344" t="n"/>
      <c r="S808" s="344" t="n"/>
      <c r="T808" s="344" t="n"/>
      <c r="U808" s="344" t="n"/>
      <c r="V808" s="344" t="n"/>
      <c r="W808" s="344" t="n"/>
    </row>
    <row r="809" customFormat="1" s="354">
      <c r="A809" s="345" t="n"/>
      <c r="B809" s="582" t="n"/>
      <c r="C809" s="582" t="n"/>
      <c r="D809" s="583" t="n"/>
      <c r="E809" s="584" t="n"/>
      <c r="F809" s="350" t="n"/>
      <c r="G809" s="350" t="n"/>
      <c r="H809" s="350" t="n"/>
      <c r="I809" s="350" t="n"/>
      <c r="J809" s="350" t="n"/>
      <c r="K809" s="351" t="n"/>
      <c r="L809" s="355" t="n"/>
      <c r="M809" s="350" t="n"/>
      <c r="N809" s="344" t="n"/>
      <c r="O809" s="344" t="n"/>
      <c r="P809" s="344" t="n"/>
      <c r="Q809" s="344" t="n"/>
      <c r="R809" s="344" t="n"/>
      <c r="S809" s="344" t="n"/>
      <c r="T809" s="344" t="n"/>
      <c r="U809" s="344" t="n"/>
      <c r="V809" s="344" t="n"/>
      <c r="W809" s="344" t="n"/>
    </row>
    <row r="810" customFormat="1" s="354">
      <c r="A810" s="345" t="n"/>
      <c r="B810" s="582" t="n"/>
      <c r="C810" s="582" t="n"/>
      <c r="D810" s="583" t="n"/>
      <c r="E810" s="584" t="n"/>
      <c r="F810" s="350" t="n"/>
      <c r="G810" s="350" t="n"/>
      <c r="H810" s="350" t="n"/>
      <c r="I810" s="350" t="n"/>
      <c r="J810" s="350" t="n"/>
      <c r="K810" s="351" t="n"/>
      <c r="L810" s="355" t="n"/>
      <c r="M810" s="350" t="n"/>
      <c r="N810" s="344" t="n"/>
      <c r="O810" s="344" t="n"/>
      <c r="P810" s="344" t="n"/>
      <c r="Q810" s="344" t="n"/>
      <c r="R810" s="344" t="n"/>
      <c r="S810" s="344" t="n"/>
      <c r="T810" s="344" t="n"/>
      <c r="U810" s="344" t="n"/>
      <c r="V810" s="344" t="n"/>
      <c r="W810" s="344" t="n"/>
    </row>
    <row r="811" customFormat="1" s="354">
      <c r="A811" s="345" t="n"/>
      <c r="B811" s="581" t="n"/>
      <c r="C811" s="582" t="n"/>
      <c r="D811" s="583" t="n"/>
      <c r="E811" s="584" t="n"/>
      <c r="F811" s="350" t="n"/>
      <c r="G811" s="350" t="n"/>
      <c r="H811" s="350" t="n"/>
      <c r="I811" s="350" t="n"/>
      <c r="J811" s="350" t="n"/>
      <c r="K811" s="351" t="n"/>
      <c r="L811" s="355" t="inlineStr">
        <is>
          <t>2841000197578_【ＱＣＳ】ペペロンチーノオイル.xlsx</t>
        </is>
      </c>
      <c r="M811" s="350" t="n"/>
      <c r="N811" s="344" t="n"/>
      <c r="O811" s="344" t="n"/>
      <c r="P811" s="344" t="n"/>
      <c r="Q811" s="344" t="n"/>
      <c r="R811" s="344" t="n"/>
      <c r="S811" s="344" t="n"/>
      <c r="T811" s="344" t="n"/>
      <c r="U811" s="344" t="n"/>
      <c r="V811" s="344" t="n"/>
      <c r="W811" s="344" t="n"/>
    </row>
    <row r="812" customFormat="1" s="354">
      <c r="A812" s="345" t="n"/>
      <c r="B812" s="581" t="n"/>
      <c r="C812" s="582" t="n"/>
      <c r="D812" s="583" t="n"/>
      <c r="E812" s="584" t="n"/>
      <c r="F812" s="350" t="n"/>
      <c r="G812" s="350" t="n"/>
      <c r="H812" s="350" t="n"/>
      <c r="I812" s="350" t="n"/>
      <c r="J812" s="350" t="n"/>
      <c r="K812" s="351" t="n"/>
      <c r="L812" s="355" t="inlineStr">
        <is>
          <t>2841000197585_【ＱＣＳ】ボイルパスタ麺（１．７ｍｍ）.xlsx</t>
        </is>
      </c>
      <c r="M812" s="350" t="n"/>
      <c r="N812" s="344" t="n"/>
      <c r="O812" s="344" t="n"/>
      <c r="P812" s="344" t="n"/>
      <c r="Q812" s="344" t="n"/>
      <c r="R812" s="344" t="n"/>
      <c r="S812" s="344" t="n"/>
      <c r="T812" s="344" t="n"/>
      <c r="U812" s="344" t="n"/>
      <c r="V812" s="344" t="n"/>
      <c r="W812" s="344" t="n"/>
    </row>
    <row r="813" customFormat="1" s="354">
      <c r="A813" s="345" t="n"/>
      <c r="B813" s="581" t="n"/>
      <c r="C813" s="582" t="n"/>
      <c r="D813" s="583" t="n"/>
      <c r="E813" s="584" t="n"/>
      <c r="F813" s="350" t="n"/>
      <c r="G813" s="350" t="n"/>
      <c r="H813" s="350" t="n"/>
      <c r="I813" s="350" t="n"/>
      <c r="J813" s="350" t="n"/>
      <c r="K813" s="351" t="n"/>
      <c r="L813" s="355" t="inlineStr">
        <is>
          <t>2841000197967_【ＱＣＳ】ペペロンチーノ麺.xlsx</t>
        </is>
      </c>
      <c r="M813" s="350" t="n"/>
      <c r="N813" s="344" t="n"/>
      <c r="O813" s="344" t="n"/>
      <c r="P813" s="344" t="n"/>
      <c r="Q813" s="344" t="n"/>
      <c r="R813" s="344" t="n"/>
      <c r="S813" s="344" t="n"/>
      <c r="T813" s="344" t="n"/>
      <c r="U813" s="344" t="n"/>
      <c r="V813" s="344" t="n"/>
      <c r="W813" s="344" t="n"/>
    </row>
    <row r="814" customFormat="1" s="354">
      <c r="A814" s="345" t="n"/>
      <c r="B814" s="581" t="n"/>
      <c r="C814" s="582" t="n"/>
      <c r="D814" s="583" t="n"/>
      <c r="E814" s="584" t="n"/>
      <c r="F814" s="350" t="n"/>
      <c r="G814" s="350" t="n"/>
      <c r="H814" s="350" t="n"/>
      <c r="I814" s="350" t="n"/>
      <c r="J814" s="350" t="n"/>
      <c r="K814" s="351" t="n"/>
      <c r="L814" s="355" t="inlineStr">
        <is>
          <t>2841000197592_【ＱＣＳ】ふんわり卵.xlsx</t>
        </is>
      </c>
      <c r="M814" s="350" t="n"/>
      <c r="N814" s="344" t="n"/>
      <c r="O814" s="344" t="n"/>
      <c r="P814" s="344" t="n"/>
      <c r="Q814" s="344" t="n"/>
      <c r="R814" s="344" t="n"/>
      <c r="S814" s="344" t="n"/>
      <c r="T814" s="344" t="n"/>
      <c r="U814" s="344" t="n"/>
      <c r="V814" s="344" t="n"/>
      <c r="W814" s="344" t="n"/>
    </row>
    <row r="815" customFormat="1" s="354">
      <c r="A815" s="345" t="n"/>
      <c r="B815" s="581" t="n"/>
      <c r="C815" s="582" t="n"/>
      <c r="D815" s="583" t="n"/>
      <c r="E815" s="584" t="n"/>
      <c r="F815" s="350" t="n"/>
      <c r="G815" s="350" t="n"/>
      <c r="H815" s="350" t="n"/>
      <c r="I815" s="350" t="n"/>
      <c r="J815" s="350" t="n"/>
      <c r="K815" s="351" t="n"/>
      <c r="L815" s="350" t="n"/>
      <c r="M815" s="350" t="n"/>
      <c r="N815" s="344" t="n"/>
      <c r="O815" s="344" t="n"/>
      <c r="P815" s="344" t="n"/>
      <c r="Q815" s="344" t="n"/>
      <c r="R815" s="344" t="n"/>
      <c r="S815" s="344" t="n"/>
      <c r="T815" s="344" t="n"/>
      <c r="U815" s="344" t="n"/>
      <c r="V815" s="344" t="n"/>
      <c r="W815" s="344" t="n"/>
    </row>
    <row r="816" customFormat="1" s="354">
      <c r="A816" s="345" t="n"/>
      <c r="B816" s="581" t="n"/>
      <c r="C816" s="582" t="n"/>
      <c r="D816" s="583" t="n"/>
      <c r="E816" s="584" t="n"/>
      <c r="F816" s="350" t="n"/>
      <c r="G816" s="350" t="n"/>
      <c r="H816" s="350" t="n"/>
      <c r="I816" s="350" t="n"/>
      <c r="J816" s="350" t="n"/>
      <c r="K816" s="351" t="n"/>
      <c r="L816" s="355" t="inlineStr">
        <is>
          <t>2841000197974_【ＱＣＳ】細切りベーコン焼成.xlsx</t>
        </is>
      </c>
      <c r="M816" s="350" t="n"/>
      <c r="N816" s="344" t="n"/>
      <c r="O816" s="344" t="n"/>
      <c r="P816" s="344" t="n"/>
      <c r="Q816" s="344" t="n"/>
      <c r="R816" s="344" t="n"/>
      <c r="S816" s="344" t="n"/>
      <c r="T816" s="344" t="n"/>
      <c r="U816" s="344" t="n"/>
      <c r="V816" s="344" t="n"/>
      <c r="W816" s="344" t="n"/>
    </row>
    <row r="817" customFormat="1" s="354">
      <c r="A817" s="345" t="n"/>
      <c r="B817" s="581" t="n"/>
      <c r="C817" s="582" t="n"/>
      <c r="D817" s="583" t="n"/>
      <c r="E817" s="584" t="n"/>
      <c r="F817" s="350" t="n"/>
      <c r="G817" s="350" t="n"/>
      <c r="H817" s="350" t="n"/>
      <c r="I817" s="350" t="n"/>
      <c r="J817" s="350" t="n"/>
      <c r="K817" s="351" t="n"/>
      <c r="L817" s="587" t="inlineStr">
        <is>
          <t>../開発規格書/久保レシピ修正版/ＱＣＳ/◆6月26日◆【商品規格書】◆ベーコン＆高菜の和風パスタ◆白鳥.xlsx</t>
        </is>
      </c>
      <c r="M817" s="350" t="n"/>
      <c r="N817" s="344" t="n"/>
      <c r="O817" s="344" t="n"/>
      <c r="P817" s="344" t="n"/>
      <c r="Q817" s="344" t="n"/>
      <c r="R817" s="344" t="n"/>
      <c r="S817" s="344" t="n"/>
      <c r="T817" s="344" t="n"/>
      <c r="U817" s="344" t="n"/>
      <c r="V817" s="344" t="n"/>
      <c r="W817" s="344" t="n"/>
    </row>
    <row r="818" customFormat="1" s="354">
      <c r="A818" s="345" t="n"/>
      <c r="B818" s="581" t="n"/>
      <c r="C818" s="582" t="n"/>
      <c r="D818" s="583" t="n"/>
      <c r="E818" s="584" t="n"/>
      <c r="F818" s="350" t="n"/>
      <c r="G818" s="350" t="n"/>
      <c r="H818" s="350" t="n"/>
      <c r="I818" s="350" t="n"/>
      <c r="J818" s="350" t="n"/>
      <c r="K818" s="351" t="n"/>
      <c r="L818" s="355" t="inlineStr">
        <is>
          <t>2841000197585_【ＱＣＳ】ボイルパスタ麺（１．７ｍｍ）.xlsx</t>
        </is>
      </c>
      <c r="M818" s="350" t="n"/>
      <c r="N818" s="344" t="n"/>
      <c r="O818" s="344" t="n"/>
      <c r="P818" s="344" t="n"/>
      <c r="Q818" s="344" t="n"/>
      <c r="R818" s="344" t="n"/>
      <c r="S818" s="344" t="n"/>
      <c r="T818" s="344" t="n"/>
      <c r="U818" s="344" t="n"/>
      <c r="V818" s="344" t="n"/>
      <c r="W818" s="344" t="n"/>
    </row>
    <row r="819" customFormat="1" s="354">
      <c r="A819" s="345" t="n"/>
      <c r="B819" s="581" t="n"/>
      <c r="C819" s="582" t="n"/>
      <c r="D819" s="583" t="n"/>
      <c r="E819" s="584" t="n"/>
      <c r="F819" s="350" t="n"/>
      <c r="G819" s="350" t="n"/>
      <c r="H819" s="350" t="n"/>
      <c r="I819" s="350" t="n"/>
      <c r="J819" s="350" t="n"/>
      <c r="K819" s="351" t="n"/>
      <c r="L819" s="350" t="n"/>
      <c r="M819" s="350" t="n"/>
      <c r="N819" s="344" t="n"/>
      <c r="O819" s="344" t="n"/>
      <c r="P819" s="344" t="n"/>
      <c r="Q819" s="344" t="n"/>
      <c r="R819" s="344" t="n"/>
      <c r="S819" s="344" t="n"/>
      <c r="T819" s="344" t="n"/>
      <c r="U819" s="344" t="n"/>
      <c r="V819" s="344" t="n"/>
      <c r="W819" s="344" t="n"/>
    </row>
    <row r="820" customFormat="1" s="354">
      <c r="A820" s="345" t="n"/>
      <c r="B820" s="581" t="n"/>
      <c r="C820" s="582" t="n"/>
      <c r="D820" s="583" t="n"/>
      <c r="E820" s="584" t="n"/>
      <c r="F820" s="350" t="n"/>
      <c r="G820" s="350" t="n"/>
      <c r="H820" s="350" t="n"/>
      <c r="I820" s="350" t="n"/>
      <c r="J820" s="350" t="n"/>
      <c r="K820" s="351" t="n"/>
      <c r="L820" s="355" t="inlineStr">
        <is>
          <t>2841000197622_【ＱＣＳ】高菜油炒め（パスタ用）.xlsx</t>
        </is>
      </c>
      <c r="M820" s="350" t="n"/>
      <c r="N820" s="344" t="n"/>
      <c r="O820" s="344" t="n"/>
      <c r="P820" s="344" t="n"/>
      <c r="Q820" s="344" t="n"/>
      <c r="R820" s="344" t="n"/>
      <c r="S820" s="344" t="n"/>
      <c r="T820" s="344" t="n"/>
      <c r="U820" s="344" t="n"/>
      <c r="V820" s="344" t="n"/>
      <c r="W820" s="344" t="n"/>
    </row>
    <row r="821" customFormat="1" s="354">
      <c r="A821" s="345" t="n"/>
      <c r="B821" s="581" t="n"/>
      <c r="C821" s="582" t="n"/>
      <c r="D821" s="583" t="n"/>
      <c r="E821" s="584" t="n"/>
      <c r="F821" s="350" t="n"/>
      <c r="G821" s="350" t="n"/>
      <c r="H821" s="350" t="n"/>
      <c r="I821" s="350" t="n"/>
      <c r="J821" s="350" t="n"/>
      <c r="K821" s="351" t="n"/>
      <c r="L821" s="350" t="n"/>
      <c r="M821" s="350" t="n"/>
      <c r="N821" s="344" t="n"/>
      <c r="O821" s="344" t="n"/>
      <c r="P821" s="344" t="n"/>
      <c r="Q821" s="344" t="n"/>
      <c r="R821" s="344" t="n"/>
      <c r="S821" s="344" t="n"/>
      <c r="T821" s="344" t="n"/>
      <c r="U821" s="344" t="n"/>
      <c r="V821" s="344" t="n"/>
      <c r="W821" s="344" t="n"/>
    </row>
    <row r="822" customFormat="1" s="354">
      <c r="A822" s="345" t="n"/>
      <c r="B822" s="581" t="n"/>
      <c r="C822" s="582" t="n"/>
      <c r="D822" s="583" t="n"/>
      <c r="E822" s="584" t="n"/>
      <c r="F822" s="350" t="n"/>
      <c r="G822" s="350" t="n"/>
      <c r="H822" s="350" t="n"/>
      <c r="I822" s="350" t="n"/>
      <c r="J822" s="350" t="n"/>
      <c r="K822" s="351" t="n"/>
      <c r="L822" s="350" t="n"/>
      <c r="M822" s="350" t="n"/>
      <c r="N822" s="344" t="n"/>
      <c r="O822" s="344" t="n"/>
      <c r="P822" s="344" t="n"/>
      <c r="Q822" s="344" t="n"/>
      <c r="R822" s="344" t="n"/>
      <c r="S822" s="344" t="n"/>
      <c r="T822" s="344" t="n"/>
      <c r="U822" s="344" t="n"/>
      <c r="V822" s="344" t="n"/>
      <c r="W822" s="344" t="n"/>
    </row>
    <row r="823" customFormat="1" s="354">
      <c r="A823" s="345" t="n"/>
      <c r="B823" s="581" t="n"/>
      <c r="C823" s="582" t="n"/>
      <c r="D823" s="583" t="n"/>
      <c r="E823" s="584" t="n"/>
      <c r="F823" s="350" t="n"/>
      <c r="G823" s="350" t="n"/>
      <c r="H823" s="350" t="n"/>
      <c r="I823" s="350" t="n"/>
      <c r="J823" s="350" t="n"/>
      <c r="K823" s="351" t="n"/>
      <c r="L823" s="355" t="inlineStr">
        <is>
          <t>2841000174418_【ＱＣＳ】殺菌青ネギ（次亜使用）.xlsx</t>
        </is>
      </c>
      <c r="M823" s="350" t="n"/>
      <c r="N823" s="344" t="n"/>
      <c r="O823" s="344" t="n"/>
      <c r="P823" s="344" t="n"/>
      <c r="Q823" s="344" t="n"/>
      <c r="R823" s="344" t="n"/>
      <c r="S823" s="344" t="n"/>
      <c r="T823" s="344" t="n"/>
      <c r="U823" s="344" t="n"/>
      <c r="V823" s="344" t="n"/>
      <c r="W823" s="344" t="n"/>
    </row>
    <row r="824" customFormat="1" s="354">
      <c r="A824" s="345" t="n"/>
      <c r="B824" s="581" t="n"/>
      <c r="C824" s="582" t="n"/>
      <c r="D824" s="583" t="n"/>
      <c r="E824" s="584" t="n"/>
      <c r="F824" s="350" t="n"/>
      <c r="G824" s="350" t="n"/>
      <c r="H824" s="350" t="n"/>
      <c r="I824" s="350" t="n"/>
      <c r="J824" s="350" t="n"/>
      <c r="K824" s="351" t="n"/>
      <c r="L824" s="355" t="inlineStr">
        <is>
          <t>2841000174418_【ＱＣＳ】殺菌青ネギ（次亜使用）.xlsx</t>
        </is>
      </c>
      <c r="M824" s="350" t="n"/>
      <c r="N824" s="344" t="n"/>
      <c r="O824" s="344" t="n"/>
      <c r="P824" s="344" t="n"/>
      <c r="Q824" s="344" t="n"/>
      <c r="R824" s="344" t="n"/>
      <c r="S824" s="344" t="n"/>
      <c r="T824" s="344" t="n"/>
      <c r="U824" s="344" t="n"/>
      <c r="V824" s="344" t="n"/>
      <c r="W824" s="344" t="n"/>
    </row>
    <row r="825" customFormat="1" s="354">
      <c r="A825" s="345" t="n"/>
      <c r="B825" s="581" t="n"/>
      <c r="C825" s="582" t="n"/>
      <c r="D825" s="583" t="n"/>
      <c r="E825" s="584" t="n"/>
      <c r="F825" s="350" t="n"/>
      <c r="G825" s="350" t="n"/>
      <c r="H825" s="350" t="n"/>
      <c r="I825" s="350" t="n"/>
      <c r="J825" s="350" t="n"/>
      <c r="K825" s="351" t="n"/>
      <c r="L825" s="355" t="inlineStr">
        <is>
          <t>2841000174418_【ＱＣＳ】殺菌青ネギ（次亜使用）.xlsx</t>
        </is>
      </c>
      <c r="M825" s="350" t="n"/>
      <c r="N825" s="344" t="n"/>
      <c r="O825" s="344" t="n"/>
      <c r="P825" s="344" t="n"/>
      <c r="Q825" s="344" t="n"/>
      <c r="R825" s="344" t="n"/>
      <c r="S825" s="344" t="n"/>
      <c r="T825" s="344" t="n"/>
      <c r="U825" s="344" t="n"/>
      <c r="V825" s="344" t="n"/>
      <c r="W825" s="344" t="n"/>
    </row>
    <row r="826" customFormat="1" s="354">
      <c r="A826" s="345" t="n"/>
      <c r="B826" s="581" t="n"/>
      <c r="C826" s="582" t="n"/>
      <c r="D826" s="583" t="n"/>
      <c r="E826" s="584" t="n"/>
      <c r="F826" s="350" t="n"/>
      <c r="G826" s="350" t="n"/>
      <c r="H826" s="350" t="n"/>
      <c r="I826" s="350" t="n"/>
      <c r="J826" s="350" t="n"/>
      <c r="K826" s="351" t="n"/>
      <c r="L826" s="355" t="inlineStr">
        <is>
          <t>2841000174418_【ＱＣＳ】殺菌青ネギ（次亜使用）.xlsx</t>
        </is>
      </c>
      <c r="M826" s="350" t="n"/>
      <c r="N826" s="344" t="n"/>
      <c r="O826" s="344" t="n"/>
      <c r="P826" s="344" t="n"/>
      <c r="Q826" s="344" t="n"/>
      <c r="R826" s="344" t="n"/>
      <c r="S826" s="344" t="n"/>
      <c r="T826" s="344" t="n"/>
      <c r="U826" s="344" t="n"/>
      <c r="V826" s="344" t="n"/>
      <c r="W826" s="344" t="n"/>
    </row>
    <row r="827" customFormat="1" s="354">
      <c r="A827" s="345" t="n"/>
      <c r="B827" s="581" t="n"/>
      <c r="C827" s="582" t="n"/>
      <c r="D827" s="583" t="n"/>
      <c r="E827" s="584" t="n"/>
      <c r="F827" s="350" t="n"/>
      <c r="G827" s="350" t="n"/>
      <c r="H827" s="350" t="n"/>
      <c r="I827" s="350" t="n"/>
      <c r="J827" s="350" t="n"/>
      <c r="K827" s="351" t="n"/>
      <c r="L827" s="355" t="inlineStr">
        <is>
          <t>2841000203293_【ＱＣＳ】２６ちゃんぽんスープ.xlsx</t>
        </is>
      </c>
      <c r="M827" s="350" t="n"/>
      <c r="N827" s="344" t="n"/>
      <c r="O827" s="344" t="n"/>
      <c r="P827" s="344" t="n"/>
      <c r="Q827" s="344" t="n"/>
      <c r="R827" s="344" t="n"/>
      <c r="S827" s="344" t="n"/>
      <c r="T827" s="344" t="n"/>
      <c r="U827" s="344" t="n"/>
      <c r="V827" s="344" t="n"/>
      <c r="W827" s="344" t="n"/>
    </row>
    <row r="828" customFormat="1" s="354">
      <c r="A828" s="345" t="n"/>
      <c r="B828" s="581" t="n"/>
      <c r="C828" s="582" t="n"/>
      <c r="D828" s="583" t="n"/>
      <c r="E828" s="584" t="n"/>
      <c r="F828" s="350" t="n"/>
      <c r="G828" s="350" t="n"/>
      <c r="H828" s="350" t="n"/>
      <c r="I828" s="350" t="n"/>
      <c r="J828" s="350" t="n"/>
      <c r="K828" s="351" t="n"/>
      <c r="L828" s="355" t="inlineStr">
        <is>
          <t>2841000203309_【ＱＣＳ】ちゃんぽんあさり.xlsx</t>
        </is>
      </c>
      <c r="M828" s="350" t="n"/>
      <c r="N828" s="344" t="n"/>
      <c r="O828" s="344" t="n"/>
      <c r="P828" s="344" t="n"/>
      <c r="Q828" s="344" t="n"/>
      <c r="R828" s="344" t="n"/>
      <c r="S828" s="344" t="n"/>
      <c r="T828" s="344" t="n"/>
      <c r="U828" s="344" t="n"/>
      <c r="V828" s="344" t="n"/>
      <c r="W828" s="344" t="n"/>
    </row>
    <row r="829" customFormat="1" s="354">
      <c r="A829" s="345" t="n"/>
      <c r="B829" s="581" t="n"/>
      <c r="C829" s="582" t="n"/>
      <c r="D829" s="583" t="n"/>
      <c r="E829" s="584" t="n"/>
      <c r="F829" s="350" t="n"/>
      <c r="G829" s="350" t="n"/>
      <c r="H829" s="350" t="n"/>
      <c r="I829" s="350" t="n"/>
      <c r="J829" s="350" t="n"/>
      <c r="K829" s="351" t="n"/>
      <c r="L829" s="355" t="inlineStr">
        <is>
          <t>2841000203309_【ＱＣＳ】ちゃんぽんあさり.xlsx</t>
        </is>
      </c>
      <c r="M829" s="350" t="n"/>
      <c r="N829" s="344" t="n"/>
      <c r="O829" s="344" t="n"/>
      <c r="P829" s="344" t="n"/>
      <c r="Q829" s="344" t="n"/>
      <c r="R829" s="344" t="n"/>
      <c r="S829" s="344" t="n"/>
      <c r="T829" s="344" t="n"/>
      <c r="U829" s="344" t="n"/>
      <c r="V829" s="344" t="n"/>
      <c r="W829" s="344" t="n"/>
    </row>
    <row r="830" customFormat="1" s="354">
      <c r="A830" s="345" t="n"/>
      <c r="B830" s="581" t="n"/>
      <c r="C830" s="582" t="n"/>
      <c r="D830" s="583" t="n"/>
      <c r="E830" s="584" t="n"/>
      <c r="F830" s="350" t="n"/>
      <c r="G830" s="350" t="n"/>
      <c r="H830" s="350" t="n"/>
      <c r="I830" s="350" t="n"/>
      <c r="J830" s="350" t="n"/>
      <c r="K830" s="351" t="n"/>
      <c r="L830" s="355" t="inlineStr">
        <is>
          <t>2841000203316_【ＱＣＳ】ちゃんぽん麺（麺５ｋｇ）.xlsx</t>
        </is>
      </c>
      <c r="M830" s="350" t="n"/>
      <c r="N830" s="344" t="n"/>
      <c r="O830" s="344" t="n"/>
      <c r="P830" s="344" t="n"/>
      <c r="Q830" s="344" t="n"/>
      <c r="R830" s="344" t="n"/>
      <c r="S830" s="344" t="n"/>
      <c r="T830" s="344" t="n"/>
      <c r="U830" s="344" t="n"/>
      <c r="V830" s="344" t="n"/>
      <c r="W830" s="344" t="n"/>
    </row>
    <row r="831" customFormat="1" s="354">
      <c r="A831" s="345" t="n"/>
      <c r="B831" s="581" t="n"/>
      <c r="C831" s="582" t="n"/>
      <c r="D831" s="583" t="n"/>
      <c r="E831" s="584" t="n"/>
      <c r="F831" s="350" t="n"/>
      <c r="G831" s="350" t="n"/>
      <c r="H831" s="350" t="n"/>
      <c r="I831" s="350" t="n"/>
      <c r="J831" s="350" t="n"/>
      <c r="K831" s="351" t="n"/>
      <c r="L831" s="350" t="n"/>
      <c r="M831" s="350" t="n"/>
      <c r="N831" s="344" t="n"/>
      <c r="O831" s="344" t="n"/>
      <c r="P831" s="344" t="n"/>
      <c r="Q831" s="344" t="n"/>
      <c r="R831" s="344" t="n"/>
      <c r="S831" s="344" t="n"/>
      <c r="T831" s="344" t="n"/>
      <c r="U831" s="344" t="n"/>
      <c r="V831" s="344" t="n"/>
      <c r="W831" s="344" t="n"/>
    </row>
    <row r="832" customFormat="1" s="354">
      <c r="A832" s="345" t="n"/>
      <c r="B832" s="581" t="n"/>
      <c r="C832" s="582" t="n"/>
      <c r="D832" s="583" t="n"/>
      <c r="E832" s="584" t="n"/>
      <c r="F832" s="350" t="n"/>
      <c r="G832" s="350" t="n"/>
      <c r="H832" s="350" t="n"/>
      <c r="I832" s="350" t="n"/>
      <c r="J832" s="350" t="n"/>
      <c r="K832" s="351" t="n"/>
      <c r="L832" s="350" t="n"/>
      <c r="M832" s="350" t="n"/>
      <c r="N832" s="344" t="n"/>
      <c r="O832" s="344" t="n"/>
      <c r="P832" s="344" t="n"/>
      <c r="Q832" s="344" t="n"/>
      <c r="R832" s="344" t="n"/>
      <c r="S832" s="344" t="n"/>
      <c r="T832" s="344" t="n"/>
      <c r="U832" s="344" t="n"/>
      <c r="V832" s="344" t="n"/>
      <c r="W832" s="344" t="n"/>
    </row>
    <row r="833" customFormat="1" s="354">
      <c r="A833" s="345" t="n"/>
      <c r="B833" s="581" t="n"/>
      <c r="C833" s="582" t="n"/>
      <c r="D833" s="583" t="n"/>
      <c r="E833" s="584" t="n"/>
      <c r="F833" s="350" t="n"/>
      <c r="G833" s="350" t="n"/>
      <c r="H833" s="350" t="n"/>
      <c r="I833" s="350" t="n"/>
      <c r="J833" s="350" t="n"/>
      <c r="K833" s="351" t="n"/>
      <c r="L833" s="355" t="inlineStr">
        <is>
          <t>2841000203323_【ＱＣＳ】２６ちゃんぽん野菜.xlsx</t>
        </is>
      </c>
      <c r="M833" s="350" t="n"/>
      <c r="N833" s="344" t="n"/>
      <c r="O833" s="344" t="n"/>
      <c r="P833" s="344" t="n"/>
      <c r="Q833" s="344" t="n"/>
      <c r="R833" s="344" t="n"/>
      <c r="S833" s="344" t="n"/>
      <c r="T833" s="344" t="n"/>
      <c r="U833" s="344" t="n"/>
      <c r="V833" s="344" t="n"/>
      <c r="W833" s="344" t="n"/>
    </row>
    <row r="834" customFormat="1" s="354">
      <c r="A834" s="345" t="n"/>
      <c r="B834" s="581" t="n"/>
      <c r="C834" s="582" t="n"/>
      <c r="D834" s="583" t="n"/>
      <c r="E834" s="584" t="n"/>
      <c r="F834" s="350" t="n"/>
      <c r="G834" s="350" t="n"/>
      <c r="H834" s="350" t="n"/>
      <c r="I834" s="350" t="n"/>
      <c r="J834" s="350" t="n"/>
      <c r="K834" s="351" t="n"/>
      <c r="L834" s="355" t="inlineStr">
        <is>
          <t>2841000168790_【ＱＣＳ】コーンボイル.xlsx</t>
        </is>
      </c>
      <c r="M834" s="350" t="n"/>
      <c r="N834" s="344" t="n"/>
      <c r="O834" s="344" t="n"/>
      <c r="P834" s="344" t="n"/>
      <c r="Q834" s="344" t="n"/>
      <c r="R834" s="344" t="n"/>
      <c r="S834" s="344" t="n"/>
      <c r="T834" s="344" t="n"/>
      <c r="U834" s="344" t="n"/>
      <c r="V834" s="344" t="n"/>
      <c r="W834" s="344" t="n"/>
    </row>
    <row r="835" customFormat="1" s="354">
      <c r="A835" s="345" t="n"/>
      <c r="B835" s="581" t="n"/>
      <c r="C835" s="582" t="n"/>
      <c r="D835" s="583" t="n"/>
      <c r="E835" s="584" t="n"/>
      <c r="F835" s="350" t="n"/>
      <c r="G835" s="350" t="n"/>
      <c r="H835" s="350" t="n"/>
      <c r="I835" s="350" t="n"/>
      <c r="J835" s="350" t="n"/>
      <c r="K835" s="351" t="n"/>
      <c r="L835" s="355" t="inlineStr">
        <is>
          <t>2841000174418_【ＱＣＳ】殺菌青ネギ（次亜使用）.xlsx</t>
        </is>
      </c>
      <c r="M835" s="350" t="n"/>
      <c r="N835" s="344" t="n"/>
      <c r="O835" s="344" t="n"/>
      <c r="P835" s="344" t="n"/>
      <c r="Q835" s="344" t="n"/>
      <c r="R835" s="344" t="n"/>
      <c r="S835" s="344" t="n"/>
      <c r="T835" s="344" t="n"/>
      <c r="U835" s="344" t="n"/>
      <c r="V835" s="344" t="n"/>
      <c r="W835" s="344" t="n"/>
    </row>
    <row r="836" customFormat="1" s="354">
      <c r="A836" s="345" t="n"/>
      <c r="B836" s="581" t="n"/>
      <c r="C836" s="582" t="n"/>
      <c r="D836" s="583" t="n"/>
      <c r="E836" s="584" t="n"/>
      <c r="F836" s="350" t="n"/>
      <c r="G836" s="350" t="n"/>
      <c r="H836" s="350" t="n"/>
      <c r="I836" s="350" t="n"/>
      <c r="J836" s="350" t="n"/>
      <c r="K836" s="351" t="n"/>
      <c r="L836" s="355" t="inlineStr">
        <is>
          <t>2841000174418_【ＱＣＳ】殺菌青ネギ（次亜使用）.xlsx</t>
        </is>
      </c>
      <c r="M836" s="350" t="n"/>
      <c r="N836" s="344" t="n"/>
      <c r="O836" s="344" t="n"/>
      <c r="P836" s="344" t="n"/>
      <c r="Q836" s="344" t="n"/>
      <c r="R836" s="344" t="n"/>
      <c r="S836" s="344" t="n"/>
      <c r="T836" s="344" t="n"/>
      <c r="U836" s="344" t="n"/>
      <c r="V836" s="344" t="n"/>
      <c r="W836" s="344" t="n"/>
    </row>
    <row r="837" customFormat="1" s="354">
      <c r="A837" s="345" t="n"/>
      <c r="B837" s="581" t="n"/>
      <c r="C837" s="582" t="n"/>
      <c r="D837" s="583" t="n"/>
      <c r="E837" s="584" t="n"/>
      <c r="F837" s="350" t="n"/>
      <c r="G837" s="350" t="n"/>
      <c r="H837" s="350" t="n"/>
      <c r="I837" s="350" t="n"/>
      <c r="J837" s="350" t="n"/>
      <c r="K837" s="351" t="n"/>
      <c r="L837" s="355" t="inlineStr">
        <is>
          <t>2841000174418_【ＱＣＳ】殺菌青ネギ（次亜使用）.xlsx</t>
        </is>
      </c>
      <c r="M837" s="350" t="n"/>
      <c r="N837" s="344" t="n"/>
      <c r="O837" s="344" t="n"/>
      <c r="P837" s="344" t="n"/>
      <c r="Q837" s="344" t="n"/>
      <c r="R837" s="344" t="n"/>
      <c r="S837" s="344" t="n"/>
      <c r="T837" s="344" t="n"/>
      <c r="U837" s="344" t="n"/>
      <c r="V837" s="344" t="n"/>
      <c r="W837" s="344" t="n"/>
    </row>
    <row r="838" customFormat="1" s="354">
      <c r="A838" s="345" t="n"/>
      <c r="B838" s="581" t="n"/>
      <c r="C838" s="582" t="n"/>
      <c r="D838" s="583" t="n"/>
      <c r="E838" s="584" t="n"/>
      <c r="F838" s="350" t="n"/>
      <c r="G838" s="350" t="n"/>
      <c r="H838" s="350" t="n"/>
      <c r="I838" s="350" t="n"/>
      <c r="J838" s="350" t="n"/>
      <c r="K838" s="351" t="n"/>
      <c r="L838" s="355" t="inlineStr">
        <is>
          <t>2841000174418_【ＱＣＳ】殺菌青ネギ（次亜使用）.xlsx</t>
        </is>
      </c>
      <c r="M838" s="350" t="n"/>
      <c r="N838" s="344" t="n"/>
      <c r="O838" s="344" t="n"/>
      <c r="P838" s="344" t="n"/>
      <c r="Q838" s="344" t="n"/>
      <c r="R838" s="344" t="n"/>
      <c r="S838" s="344" t="n"/>
      <c r="T838" s="344" t="n"/>
      <c r="U838" s="344" t="n"/>
      <c r="V838" s="344" t="n"/>
      <c r="W838" s="344" t="n"/>
    </row>
    <row r="839" customFormat="1" s="354">
      <c r="A839" s="345" t="n"/>
      <c r="B839" s="581" t="n"/>
      <c r="C839" s="582" t="n"/>
      <c r="D839" s="583" t="n"/>
      <c r="E839" s="584" t="n"/>
      <c r="F839" s="350" t="n"/>
      <c r="G839" s="350" t="n"/>
      <c r="H839" s="350" t="n"/>
      <c r="I839" s="350" t="n"/>
      <c r="J839" s="350" t="n"/>
      <c r="K839" s="351" t="n"/>
      <c r="L839" s="355" t="inlineStr">
        <is>
          <t>2841000203293_【ＱＣＳ】２６ちゃんぽんスープ.xlsx</t>
        </is>
      </c>
      <c r="M839" s="350" t="n"/>
      <c r="N839" s="344" t="n"/>
      <c r="O839" s="344" t="n"/>
      <c r="P839" s="344" t="n"/>
      <c r="Q839" s="344" t="n"/>
      <c r="R839" s="344" t="n"/>
      <c r="S839" s="344" t="n"/>
      <c r="T839" s="344" t="n"/>
      <c r="U839" s="344" t="n"/>
      <c r="V839" s="344" t="n"/>
      <c r="W839" s="344" t="n"/>
    </row>
    <row r="840" customFormat="1" s="354">
      <c r="A840" s="345" t="n"/>
      <c r="B840" s="581" t="n"/>
      <c r="C840" s="582" t="n"/>
      <c r="D840" s="583" t="n"/>
      <c r="E840" s="584" t="n"/>
      <c r="F840" s="350" t="n"/>
      <c r="G840" s="350" t="n"/>
      <c r="H840" s="350" t="n"/>
      <c r="I840" s="350" t="n"/>
      <c r="J840" s="350" t="n"/>
      <c r="K840" s="351" t="n"/>
      <c r="L840" s="355" t="inlineStr">
        <is>
          <t>2841000203309_【ＱＣＳ】ちゃんぽんあさり.xlsx</t>
        </is>
      </c>
      <c r="M840" s="350" t="n"/>
      <c r="N840" s="344" t="n"/>
      <c r="O840" s="344" t="n"/>
      <c r="P840" s="344" t="n"/>
      <c r="Q840" s="344" t="n"/>
      <c r="R840" s="344" t="n"/>
      <c r="S840" s="344" t="n"/>
      <c r="T840" s="344" t="n"/>
      <c r="U840" s="344" t="n"/>
      <c r="V840" s="344" t="n"/>
      <c r="W840" s="344" t="n"/>
    </row>
    <row r="841" customFormat="1" s="354">
      <c r="A841" s="345" t="n"/>
      <c r="B841" s="581" t="n"/>
      <c r="C841" s="582" t="n"/>
      <c r="D841" s="583" t="n"/>
      <c r="E841" s="584" t="n"/>
      <c r="F841" s="350" t="n"/>
      <c r="G841" s="350" t="n"/>
      <c r="H841" s="350" t="n"/>
      <c r="I841" s="350" t="n"/>
      <c r="J841" s="350" t="n"/>
      <c r="K841" s="351" t="n"/>
      <c r="L841" s="355" t="inlineStr">
        <is>
          <t>2841000203309_【ＱＣＳ】ちゃんぽんあさり.xlsx</t>
        </is>
      </c>
      <c r="M841" s="350" t="n"/>
      <c r="N841" s="344" t="n"/>
      <c r="O841" s="344" t="n"/>
      <c r="P841" s="344" t="n"/>
      <c r="Q841" s="344" t="n"/>
      <c r="R841" s="344" t="n"/>
      <c r="S841" s="344" t="n"/>
      <c r="T841" s="344" t="n"/>
      <c r="U841" s="344" t="n"/>
      <c r="V841" s="344" t="n"/>
      <c r="W841" s="344" t="n"/>
    </row>
    <row r="842" customFormat="1" s="354">
      <c r="A842" s="345" t="n"/>
      <c r="B842" s="581" t="n"/>
      <c r="C842" s="582" t="n"/>
      <c r="D842" s="583" t="n"/>
      <c r="E842" s="584" t="n"/>
      <c r="F842" s="350" t="n"/>
      <c r="G842" s="350" t="n"/>
      <c r="H842" s="350" t="n"/>
      <c r="I842" s="350" t="n"/>
      <c r="J842" s="350" t="n"/>
      <c r="K842" s="351" t="n"/>
      <c r="L842" s="355" t="inlineStr">
        <is>
          <t>2841000203316_【ＱＣＳ】ちゃんぽん麺（麺５ｋｇ）.xlsx</t>
        </is>
      </c>
      <c r="M842" s="350" t="n"/>
      <c r="N842" s="344" t="n"/>
      <c r="O842" s="344" t="n"/>
      <c r="P842" s="344" t="n"/>
      <c r="Q842" s="344" t="n"/>
      <c r="R842" s="344" t="n"/>
      <c r="S842" s="344" t="n"/>
      <c r="T842" s="344" t="n"/>
      <c r="U842" s="344" t="n"/>
      <c r="V842" s="344" t="n"/>
      <c r="W842" s="344" t="n"/>
    </row>
    <row r="843" customFormat="1" s="354">
      <c r="A843" s="345" t="n"/>
      <c r="B843" s="581" t="n"/>
      <c r="C843" s="582" t="n"/>
      <c r="D843" s="583" t="n"/>
      <c r="E843" s="584" t="n"/>
      <c r="F843" s="350" t="n"/>
      <c r="G843" s="350" t="n"/>
      <c r="H843" s="350" t="n"/>
      <c r="I843" s="350" t="n"/>
      <c r="J843" s="350" t="n"/>
      <c r="K843" s="351" t="n"/>
      <c r="L843" s="350" t="n"/>
      <c r="M843" s="350" t="n"/>
      <c r="N843" s="344" t="n"/>
      <c r="O843" s="344" t="n"/>
      <c r="P843" s="344" t="n"/>
      <c r="Q843" s="344" t="n"/>
      <c r="R843" s="344" t="n"/>
      <c r="S843" s="344" t="n"/>
      <c r="T843" s="344" t="n"/>
      <c r="U843" s="344" t="n"/>
      <c r="V843" s="344" t="n"/>
      <c r="W843" s="344" t="n"/>
    </row>
    <row r="844" customFormat="1" s="354">
      <c r="A844" s="345" t="n"/>
      <c r="B844" s="581" t="n"/>
      <c r="C844" s="582" t="n"/>
      <c r="D844" s="583" t="n"/>
      <c r="E844" s="584" t="n"/>
      <c r="F844" s="350" t="n"/>
      <c r="G844" s="350" t="n"/>
      <c r="H844" s="350" t="n"/>
      <c r="I844" s="350" t="n"/>
      <c r="J844" s="350" t="n"/>
      <c r="K844" s="351" t="n"/>
      <c r="L844" s="350" t="n"/>
      <c r="M844" s="350" t="n"/>
      <c r="N844" s="344" t="n"/>
      <c r="O844" s="344" t="n"/>
      <c r="P844" s="344" t="n"/>
      <c r="Q844" s="344" t="n"/>
      <c r="R844" s="344" t="n"/>
      <c r="S844" s="344" t="n"/>
      <c r="T844" s="344" t="n"/>
      <c r="U844" s="344" t="n"/>
      <c r="V844" s="344" t="n"/>
      <c r="W844" s="344" t="n"/>
    </row>
    <row r="845" customFormat="1" s="354">
      <c r="A845" s="345" t="n"/>
      <c r="B845" s="581" t="n"/>
      <c r="C845" s="582" t="n"/>
      <c r="D845" s="583" t="n"/>
      <c r="E845" s="584" t="n"/>
      <c r="F845" s="350" t="n"/>
      <c r="G845" s="350" t="n"/>
      <c r="H845" s="350" t="n"/>
      <c r="I845" s="350" t="n"/>
      <c r="J845" s="350" t="n"/>
      <c r="K845" s="351" t="n"/>
      <c r="L845" s="355" t="inlineStr">
        <is>
          <t>2841000203323_【ＱＣＳ】２６ちゃんぽん野菜.xlsx</t>
        </is>
      </c>
      <c r="M845" s="350" t="n"/>
      <c r="N845" s="344" t="n"/>
      <c r="O845" s="344" t="n"/>
      <c r="P845" s="344" t="n"/>
      <c r="Q845" s="344" t="n"/>
      <c r="R845" s="344" t="n"/>
      <c r="S845" s="344" t="n"/>
      <c r="T845" s="344" t="n"/>
      <c r="U845" s="344" t="n"/>
      <c r="V845" s="344" t="n"/>
      <c r="W845" s="344" t="n"/>
    </row>
    <row r="846" customFormat="1" s="354">
      <c r="A846" s="345" t="n"/>
      <c r="B846" s="581" t="n"/>
      <c r="C846" s="582" t="n"/>
      <c r="D846" s="583" t="n"/>
      <c r="E846" s="584" t="n"/>
      <c r="F846" s="350" t="n"/>
      <c r="G846" s="350" t="n"/>
      <c r="H846" s="350" t="n"/>
      <c r="I846" s="350" t="n"/>
      <c r="J846" s="350" t="n"/>
      <c r="K846" s="351" t="n"/>
      <c r="L846" s="355" t="inlineStr">
        <is>
          <t>2841000168790_【ＱＣＳ】コーンボイル.xlsx</t>
        </is>
      </c>
      <c r="M846" s="350" t="n"/>
      <c r="N846" s="344" t="n"/>
      <c r="O846" s="344" t="n"/>
      <c r="P846" s="344" t="n"/>
      <c r="Q846" s="344" t="n"/>
      <c r="R846" s="344" t="n"/>
      <c r="S846" s="344" t="n"/>
      <c r="T846" s="344" t="n"/>
      <c r="U846" s="344" t="n"/>
      <c r="V846" s="344" t="n"/>
      <c r="W846" s="344" t="n"/>
    </row>
    <row r="847" customFormat="1" s="354">
      <c r="A847" s="345" t="n"/>
      <c r="B847" s="581" t="n"/>
      <c r="C847" s="582" t="n"/>
      <c r="D847" s="583" t="n"/>
      <c r="E847" s="584" t="n"/>
      <c r="F847" s="350" t="n"/>
      <c r="G847" s="350" t="n"/>
      <c r="H847" s="350" t="n"/>
      <c r="I847" s="350" t="n"/>
      <c r="J847" s="350" t="n"/>
      <c r="K847" s="351" t="n"/>
      <c r="L847" s="355" t="inlineStr">
        <is>
          <t>2841000174418_【ＱＣＳ】殺菌青ネギ（次亜使用）.xlsx</t>
        </is>
      </c>
      <c r="M847" s="350" t="n"/>
      <c r="N847" s="344" t="n"/>
      <c r="O847" s="344" t="n"/>
      <c r="P847" s="344" t="n"/>
      <c r="Q847" s="344" t="n"/>
      <c r="R847" s="344" t="n"/>
      <c r="S847" s="344" t="n"/>
      <c r="T847" s="344" t="n"/>
      <c r="U847" s="344" t="n"/>
      <c r="V847" s="344" t="n"/>
      <c r="W847" s="344" t="n"/>
    </row>
    <row r="848" customFormat="1" s="354">
      <c r="A848" s="345" t="n"/>
      <c r="B848" s="581" t="n"/>
      <c r="C848" s="582" t="n"/>
      <c r="D848" s="583" t="n"/>
      <c r="E848" s="584" t="n"/>
      <c r="F848" s="350" t="n"/>
      <c r="G848" s="350" t="n"/>
      <c r="H848" s="350" t="n"/>
      <c r="I848" s="350" t="n"/>
      <c r="J848" s="350" t="n"/>
      <c r="K848" s="351" t="n"/>
      <c r="L848" s="355" t="inlineStr">
        <is>
          <t>2841000174418_【ＱＣＳ】殺菌青ネギ（次亜使用）.xlsx</t>
        </is>
      </c>
      <c r="M848" s="350" t="n"/>
      <c r="N848" s="344" t="n"/>
      <c r="O848" s="344" t="n"/>
      <c r="P848" s="344" t="n"/>
      <c r="Q848" s="344" t="n"/>
      <c r="R848" s="344" t="n"/>
      <c r="S848" s="344" t="n"/>
      <c r="T848" s="344" t="n"/>
      <c r="U848" s="344" t="n"/>
      <c r="V848" s="344" t="n"/>
      <c r="W848" s="344" t="n"/>
    </row>
    <row r="849" customFormat="1" s="354">
      <c r="A849" s="345" t="n"/>
      <c r="B849" s="581" t="n"/>
      <c r="C849" s="582" t="n"/>
      <c r="D849" s="583" t="n"/>
      <c r="E849" s="584" t="n"/>
      <c r="F849" s="350" t="n"/>
      <c r="G849" s="350" t="n"/>
      <c r="H849" s="350" t="n"/>
      <c r="I849" s="350" t="n"/>
      <c r="J849" s="350" t="n"/>
      <c r="K849" s="351" t="n"/>
      <c r="L849" s="355" t="inlineStr">
        <is>
          <t>2841000174418_【ＱＣＳ】殺菌青ネギ（次亜使用）.xlsx</t>
        </is>
      </c>
      <c r="M849" s="350" t="n"/>
      <c r="N849" s="344" t="n"/>
      <c r="O849" s="344" t="n"/>
      <c r="P849" s="344" t="n"/>
      <c r="Q849" s="344" t="n"/>
      <c r="R849" s="344" t="n"/>
      <c r="S849" s="344" t="n"/>
      <c r="T849" s="344" t="n"/>
      <c r="U849" s="344" t="n"/>
      <c r="V849" s="344" t="n"/>
      <c r="W849" s="344" t="n"/>
    </row>
    <row r="850" customFormat="1" s="354">
      <c r="A850" s="345" t="n"/>
      <c r="B850" s="581" t="n"/>
      <c r="C850" s="582" t="n"/>
      <c r="D850" s="583" t="n"/>
      <c r="E850" s="584" t="n"/>
      <c r="F850" s="350" t="n"/>
      <c r="G850" s="350" t="n"/>
      <c r="H850" s="350" t="n"/>
      <c r="I850" s="350" t="n"/>
      <c r="J850" s="350" t="n"/>
      <c r="K850" s="351" t="n"/>
      <c r="L850" s="355" t="inlineStr">
        <is>
          <t>2841000174418_【ＱＣＳ】殺菌青ネギ（次亜使用）.xlsx</t>
        </is>
      </c>
      <c r="M850" s="350" t="n"/>
      <c r="N850" s="344" t="n"/>
      <c r="O850" s="344" t="n"/>
      <c r="P850" s="344" t="n"/>
      <c r="Q850" s="344" t="n"/>
      <c r="R850" s="344" t="n"/>
      <c r="S850" s="344" t="n"/>
      <c r="T850" s="344" t="n"/>
      <c r="U850" s="344" t="n"/>
      <c r="V850" s="344" t="n"/>
      <c r="W850" s="344" t="n"/>
    </row>
    <row r="851" customFormat="1" s="354">
      <c r="A851" s="345" t="n"/>
      <c r="B851" s="581" t="n"/>
      <c r="C851" s="582" t="n"/>
      <c r="D851" s="583" t="n"/>
      <c r="E851" s="584" t="n"/>
      <c r="F851" s="350" t="n"/>
      <c r="G851" s="350" t="n"/>
      <c r="H851" s="350" t="n"/>
      <c r="I851" s="350" t="n"/>
      <c r="J851" s="350" t="n"/>
      <c r="K851" s="351" t="n"/>
      <c r="L851" s="355" t="inlineStr">
        <is>
          <t>2841000203828_【ＱＣＳ】にゅうめんだし.xlsx</t>
        </is>
      </c>
      <c r="M851" s="350" t="n"/>
      <c r="N851" s="344" t="n"/>
      <c r="O851" s="344" t="n"/>
      <c r="P851" s="344" t="n"/>
      <c r="Q851" s="344" t="n"/>
      <c r="R851" s="344" t="n"/>
      <c r="S851" s="344" t="n"/>
      <c r="T851" s="344" t="n"/>
      <c r="U851" s="344" t="n"/>
      <c r="V851" s="344" t="n"/>
      <c r="W851" s="344" t="n"/>
    </row>
    <row r="852" customFormat="1" s="354">
      <c r="A852" s="345" t="n"/>
      <c r="B852" s="581" t="n"/>
      <c r="C852" s="582" t="n"/>
      <c r="D852" s="583" t="n"/>
      <c r="E852" s="584" t="n"/>
      <c r="F852" s="350" t="n"/>
      <c r="G852" s="350" t="n"/>
      <c r="H852" s="350" t="n"/>
      <c r="I852" s="350" t="n"/>
      <c r="J852" s="350" t="n"/>
      <c r="K852" s="351" t="n"/>
      <c r="L852" s="355" t="inlineStr">
        <is>
          <t>2841000203347_【ＱＣＳ】そうめんボイル（素麺９ｋｇ）.xlsx</t>
        </is>
      </c>
      <c r="M852" s="350" t="n"/>
      <c r="N852" s="344" t="n"/>
      <c r="O852" s="344" t="n"/>
      <c r="P852" s="344" t="n"/>
      <c r="Q852" s="344" t="n"/>
      <c r="R852" s="344" t="n"/>
      <c r="S852" s="344" t="n"/>
      <c r="T852" s="344" t="n"/>
      <c r="U852" s="344" t="n"/>
      <c r="V852" s="344" t="n"/>
      <c r="W852" s="344" t="n"/>
    </row>
    <row r="853" customFormat="1" s="354">
      <c r="A853" s="345" t="n"/>
      <c r="B853" s="581" t="n"/>
      <c r="C853" s="582" t="n"/>
      <c r="D853" s="583" t="n"/>
      <c r="E853" s="584" t="n"/>
      <c r="F853" s="350" t="n"/>
      <c r="G853" s="350" t="n"/>
      <c r="H853" s="350" t="n"/>
      <c r="I853" s="350" t="n"/>
      <c r="J853" s="350" t="n"/>
      <c r="K853" s="351" t="n"/>
      <c r="L853" s="355" t="inlineStr">
        <is>
          <t>2841000203835_【ＱＣＳ】鶏肉煮.xlsx</t>
        </is>
      </c>
      <c r="M853" s="350" t="n"/>
      <c r="N853" s="344" t="n"/>
      <c r="O853" s="344" t="n"/>
      <c r="P853" s="344" t="n"/>
      <c r="Q853" s="344" t="n"/>
      <c r="R853" s="344" t="n"/>
      <c r="S853" s="344" t="n"/>
      <c r="T853" s="344" t="n"/>
      <c r="U853" s="344" t="n"/>
      <c r="V853" s="344" t="n"/>
      <c r="W853" s="344" t="n"/>
    </row>
    <row r="854" customFormat="1" s="354">
      <c r="A854" s="345" t="n"/>
      <c r="B854" s="581" t="n"/>
      <c r="C854" s="582" t="n"/>
      <c r="D854" s="583" t="n"/>
      <c r="E854" s="584" t="n"/>
      <c r="F854" s="350" t="n"/>
      <c r="G854" s="350" t="n"/>
      <c r="H854" s="350" t="n"/>
      <c r="I854" s="350" t="n"/>
      <c r="J854" s="350" t="n"/>
      <c r="K854" s="351" t="n"/>
      <c r="L854" s="355" t="inlineStr">
        <is>
          <t>2841000203569_【ＱＣＳ】椎茸煮残り汁.xlsx</t>
        </is>
      </c>
      <c r="M854" s="350" t="n"/>
      <c r="N854" s="344" t="n"/>
      <c r="O854" s="344" t="n"/>
      <c r="P854" s="344" t="n"/>
      <c r="Q854" s="344" t="n"/>
      <c r="R854" s="344" t="n"/>
      <c r="S854" s="344" t="n"/>
      <c r="T854" s="344" t="n"/>
      <c r="U854" s="344" t="n"/>
      <c r="V854" s="344" t="n"/>
      <c r="W854" s="344" t="n"/>
    </row>
    <row r="855" customFormat="1" s="354">
      <c r="A855" s="345" t="n"/>
      <c r="B855" s="581" t="n"/>
      <c r="C855" s="582" t="n"/>
      <c r="D855" s="583" t="n"/>
      <c r="E855" s="584" t="n"/>
      <c r="F855" s="350" t="n"/>
      <c r="G855" s="350" t="n"/>
      <c r="H855" s="350" t="n"/>
      <c r="I855" s="350" t="n"/>
      <c r="J855" s="350" t="n"/>
      <c r="K855" s="351" t="n"/>
      <c r="L855" s="355" t="inlineStr">
        <is>
          <t>2841000203354_【ＱＣＳ】うどんだし.xlsx</t>
        </is>
      </c>
      <c r="M855" s="350" t="n"/>
      <c r="N855" s="344" t="n"/>
      <c r="O855" s="344" t="n"/>
      <c r="P855" s="344" t="n"/>
      <c r="Q855" s="344" t="n"/>
      <c r="R855" s="344" t="n"/>
      <c r="S855" s="344" t="n"/>
      <c r="T855" s="344" t="n"/>
      <c r="U855" s="344" t="n"/>
      <c r="V855" s="344" t="n"/>
      <c r="W855" s="344" t="n"/>
    </row>
    <row r="856" customFormat="1" s="354">
      <c r="A856" s="345" t="n"/>
      <c r="B856" s="581" t="n"/>
      <c r="C856" s="582" t="n"/>
      <c r="D856" s="583" t="n"/>
      <c r="E856" s="584" t="n"/>
      <c r="F856" s="350" t="n"/>
      <c r="G856" s="350" t="n"/>
      <c r="H856" s="350" t="n"/>
      <c r="I856" s="350" t="n"/>
      <c r="J856" s="350" t="n"/>
      <c r="K856" s="351" t="n"/>
      <c r="L856" s="355" t="inlineStr">
        <is>
          <t>2841000203378_【ＱＣＳ】細切り椎茸水戻し.xlsx</t>
        </is>
      </c>
      <c r="M856" s="350" t="n"/>
      <c r="N856" s="344" t="n"/>
      <c r="O856" s="344" t="n"/>
      <c r="P856" s="344" t="n"/>
      <c r="Q856" s="344" t="n"/>
      <c r="R856" s="344" t="n"/>
      <c r="S856" s="344" t="n"/>
      <c r="T856" s="344" t="n"/>
      <c r="U856" s="344" t="n"/>
      <c r="V856" s="344" t="n"/>
      <c r="W856" s="344" t="n"/>
    </row>
    <row r="857" customFormat="1" s="354">
      <c r="A857" s="345" t="n"/>
      <c r="B857" s="581" t="n"/>
      <c r="C857" s="582" t="n"/>
      <c r="D857" s="583" t="n"/>
      <c r="E857" s="584" t="n"/>
      <c r="F857" s="350" t="n"/>
      <c r="G857" s="350" t="n"/>
      <c r="H857" s="350" t="n"/>
      <c r="I857" s="350" t="n"/>
      <c r="J857" s="350" t="n"/>
      <c r="K857" s="351" t="n"/>
      <c r="L857" s="355" t="inlineStr">
        <is>
          <t>2841000203576_【ＱＣＳ】椎茸煮.xlsx</t>
        </is>
      </c>
      <c r="M857" s="350" t="n"/>
      <c r="N857" s="344" t="n"/>
      <c r="O857" s="344" t="n"/>
      <c r="P857" s="344" t="n"/>
      <c r="Q857" s="344" t="n"/>
      <c r="R857" s="344" t="n"/>
      <c r="S857" s="344" t="n"/>
      <c r="T857" s="344" t="n"/>
      <c r="U857" s="344" t="n"/>
      <c r="V857" s="344" t="n"/>
      <c r="W857" s="344" t="n"/>
    </row>
    <row r="858" customFormat="1" s="354">
      <c r="A858" s="345" t="n"/>
      <c r="B858" s="581" t="n"/>
      <c r="C858" s="582" t="n"/>
      <c r="D858" s="583" t="n"/>
      <c r="E858" s="584" t="n"/>
      <c r="F858" s="350" t="n"/>
      <c r="G858" s="350" t="n"/>
      <c r="H858" s="350" t="n"/>
      <c r="I858" s="350" t="n"/>
      <c r="J858" s="350" t="n"/>
      <c r="K858" s="351" t="n"/>
      <c r="L858" s="355" t="inlineStr">
        <is>
          <t>2841000174418_【ＱＣＳ】殺菌青ネギ（次亜使用）.xlsx</t>
        </is>
      </c>
      <c r="M858" s="350" t="n"/>
      <c r="N858" s="344" t="n"/>
      <c r="O858" s="344" t="n"/>
      <c r="P858" s="344" t="n"/>
      <c r="Q858" s="344" t="n"/>
      <c r="R858" s="344" t="n"/>
      <c r="S858" s="344" t="n"/>
      <c r="T858" s="344" t="n"/>
      <c r="U858" s="344" t="n"/>
      <c r="V858" s="344" t="n"/>
      <c r="W858" s="344" t="n"/>
    </row>
    <row r="859" customFormat="1" s="354">
      <c r="A859" s="345" t="n"/>
      <c r="B859" s="581" t="n"/>
      <c r="C859" s="582" t="n"/>
      <c r="D859" s="583" t="n"/>
      <c r="E859" s="584" t="n"/>
      <c r="F859" s="350" t="n"/>
      <c r="G859" s="350" t="n"/>
      <c r="H859" s="350" t="n"/>
      <c r="I859" s="350" t="n"/>
      <c r="J859" s="350" t="n"/>
      <c r="K859" s="351" t="n"/>
      <c r="L859" s="355" t="inlineStr">
        <is>
          <t>2841000174418_【ＱＣＳ】殺菌青ネギ（次亜使用）.xlsx</t>
        </is>
      </c>
      <c r="M859" s="350" t="n"/>
      <c r="N859" s="344" t="n"/>
      <c r="O859" s="344" t="n"/>
      <c r="P859" s="344" t="n"/>
      <c r="Q859" s="344" t="n"/>
      <c r="R859" s="344" t="n"/>
      <c r="S859" s="344" t="n"/>
      <c r="T859" s="344" t="n"/>
      <c r="U859" s="344" t="n"/>
      <c r="V859" s="344" t="n"/>
      <c r="W859" s="344" t="n"/>
    </row>
    <row r="860" customFormat="1" s="354">
      <c r="A860" s="345" t="n"/>
      <c r="B860" s="581" t="n"/>
      <c r="C860" s="582" t="n"/>
      <c r="D860" s="583" t="n"/>
      <c r="E860" s="584" t="n"/>
      <c r="F860" s="350" t="n"/>
      <c r="G860" s="350" t="n"/>
      <c r="H860" s="350" t="n"/>
      <c r="I860" s="350" t="n"/>
      <c r="J860" s="350" t="n"/>
      <c r="K860" s="351" t="n"/>
      <c r="L860" s="355" t="inlineStr">
        <is>
          <t>2841000174418_【ＱＣＳ】殺菌青ネギ（次亜使用）.xlsx</t>
        </is>
      </c>
      <c r="M860" s="350" t="n"/>
      <c r="N860" s="344" t="n"/>
      <c r="O860" s="344" t="n"/>
      <c r="P860" s="344" t="n"/>
      <c r="Q860" s="344" t="n"/>
      <c r="R860" s="344" t="n"/>
      <c r="S860" s="344" t="n"/>
      <c r="T860" s="344" t="n"/>
      <c r="U860" s="344" t="n"/>
      <c r="V860" s="344" t="n"/>
      <c r="W860" s="344" t="n"/>
    </row>
    <row r="861" customFormat="1" s="354">
      <c r="A861" s="345" t="n"/>
      <c r="B861" s="581" t="n"/>
      <c r="C861" s="582" t="n"/>
      <c r="D861" s="583" t="n"/>
      <c r="E861" s="584" t="n"/>
      <c r="F861" s="350" t="n"/>
      <c r="G861" s="350" t="n"/>
      <c r="H861" s="350" t="n"/>
      <c r="I861" s="350" t="n"/>
      <c r="J861" s="350" t="n"/>
      <c r="K861" s="351" t="n"/>
      <c r="L861" s="355" t="inlineStr">
        <is>
          <t>2841000174418_【ＱＣＳ】殺菌青ネギ（次亜使用）.xlsx</t>
        </is>
      </c>
      <c r="M861" s="350" t="n"/>
      <c r="N861" s="344" t="n"/>
      <c r="O861" s="344" t="n"/>
      <c r="P861" s="344" t="n"/>
      <c r="Q861" s="344" t="n"/>
      <c r="R861" s="344" t="n"/>
      <c r="S861" s="344" t="n"/>
      <c r="T861" s="344" t="n"/>
      <c r="U861" s="344" t="n"/>
      <c r="V861" s="344" t="n"/>
      <c r="W861" s="344" t="n"/>
    </row>
    <row r="862" customFormat="1" s="354">
      <c r="A862" s="345" t="n"/>
      <c r="B862" s="581" t="n"/>
      <c r="C862" s="582" t="n"/>
      <c r="D862" s="583" t="n"/>
      <c r="E862" s="584" t="n"/>
      <c r="F862" s="350" t="n"/>
      <c r="G862" s="350" t="n"/>
      <c r="H862" s="350" t="n"/>
      <c r="I862" s="350" t="n"/>
      <c r="J862" s="350" t="n"/>
      <c r="K862" s="351" t="n"/>
      <c r="L862" s="355" t="inlineStr">
        <is>
          <t>2841000203354_【ＱＣＳ】うどんだし.xlsx</t>
        </is>
      </c>
      <c r="M862" s="350" t="n"/>
      <c r="N862" s="344" t="n"/>
      <c r="O862" s="344" t="n"/>
      <c r="P862" s="344" t="n"/>
      <c r="Q862" s="344" t="n"/>
      <c r="R862" s="344" t="n"/>
      <c r="S862" s="344" t="n"/>
      <c r="T862" s="344" t="n"/>
      <c r="U862" s="344" t="n"/>
      <c r="V862" s="344" t="n"/>
      <c r="W862" s="344" t="n"/>
    </row>
    <row r="863" customFormat="1" s="354">
      <c r="A863" s="345" t="n"/>
      <c r="B863" s="581" t="n"/>
      <c r="C863" s="582" t="n"/>
      <c r="D863" s="583" t="n"/>
      <c r="E863" s="584" t="n"/>
      <c r="F863" s="350" t="n"/>
      <c r="G863" s="350" t="n"/>
      <c r="H863" s="350" t="n"/>
      <c r="I863" s="350" t="n"/>
      <c r="J863" s="350" t="n"/>
      <c r="K863" s="351" t="n"/>
      <c r="L863" s="350" t="n"/>
      <c r="M863" s="350" t="n"/>
      <c r="N863" s="344" t="n"/>
      <c r="O863" s="344" t="n"/>
      <c r="P863" s="344" t="n"/>
      <c r="Q863" s="344" t="n"/>
      <c r="R863" s="344" t="n"/>
      <c r="S863" s="344" t="n"/>
      <c r="T863" s="344" t="n"/>
      <c r="U863" s="344" t="n"/>
      <c r="V863" s="344" t="n"/>
      <c r="W863" s="344" t="n"/>
    </row>
    <row r="864" customFormat="1" s="354">
      <c r="A864" s="345" t="n"/>
      <c r="B864" s="581" t="n"/>
      <c r="C864" s="582" t="n"/>
      <c r="D864" s="583" t="n"/>
      <c r="E864" s="584" t="n"/>
      <c r="F864" s="350" t="n"/>
      <c r="G864" s="350" t="n"/>
      <c r="H864" s="350" t="n"/>
      <c r="I864" s="350" t="n"/>
      <c r="J864" s="350" t="n"/>
      <c r="K864" s="351" t="n"/>
      <c r="L864" s="355" t="inlineStr">
        <is>
          <t>../開発規格書/久保レシピ修正版/ＱＣＳ/◆【うまくち白だし入替】◆肉玉うどん2（白鳥）%20.xlsx</t>
        </is>
      </c>
      <c r="M864" s="350" t="n"/>
      <c r="N864" s="344" t="n"/>
      <c r="O864" s="344" t="n"/>
      <c r="P864" s="344" t="n"/>
      <c r="Q864" s="344" t="n"/>
      <c r="R864" s="344" t="n"/>
      <c r="S864" s="344" t="n"/>
      <c r="T864" s="344" t="n"/>
      <c r="U864" s="344" t="n"/>
      <c r="V864" s="344" t="n"/>
      <c r="W864" s="344" t="n"/>
    </row>
    <row r="865" customFormat="1" s="354">
      <c r="A865" s="345" t="n"/>
      <c r="B865" s="581" t="n"/>
      <c r="C865" s="582" t="n"/>
      <c r="D865" s="583" t="n"/>
      <c r="E865" s="584" t="n"/>
      <c r="F865" s="350" t="n"/>
      <c r="G865" s="350" t="n"/>
      <c r="H865" s="350" t="n"/>
      <c r="I865" s="350" t="n"/>
      <c r="J865" s="350" t="n"/>
      <c r="K865" s="351" t="n"/>
      <c r="L865" s="350" t="n"/>
      <c r="M865" s="350" t="n"/>
      <c r="N865" s="344" t="n"/>
      <c r="O865" s="344" t="n"/>
      <c r="P865" s="344" t="n"/>
      <c r="Q865" s="344" t="n"/>
      <c r="R865" s="344" t="n"/>
      <c r="S865" s="344" t="n"/>
      <c r="T865" s="344" t="n"/>
      <c r="U865" s="344" t="n"/>
      <c r="V865" s="344" t="n"/>
      <c r="W865" s="344" t="n"/>
    </row>
    <row r="866" customFormat="1" s="354">
      <c r="A866" s="345" t="n"/>
      <c r="B866" s="581" t="n"/>
      <c r="C866" s="582" t="n"/>
      <c r="D866" s="583" t="n"/>
      <c r="E866" s="584" t="n"/>
      <c r="F866" s="350" t="n"/>
      <c r="G866" s="350" t="n"/>
      <c r="H866" s="350" t="n"/>
      <c r="I866" s="350" t="n"/>
      <c r="J866" s="350" t="n"/>
      <c r="K866" s="351" t="n"/>
      <c r="L866" s="355" t="n"/>
      <c r="M866" s="350" t="n"/>
      <c r="N866" s="344" t="n"/>
      <c r="O866" s="344" t="n"/>
      <c r="P866" s="344" t="n"/>
      <c r="Q866" s="344" t="n"/>
      <c r="R866" s="344" t="n"/>
      <c r="S866" s="344" t="n"/>
      <c r="T866" s="344" t="n"/>
      <c r="U866" s="344" t="n"/>
      <c r="V866" s="344" t="n"/>
      <c r="W866" s="344" t="n"/>
    </row>
    <row r="867" customFormat="1" s="354">
      <c r="A867" s="345" t="n"/>
      <c r="B867" s="581" t="n"/>
      <c r="C867" s="582" t="n"/>
      <c r="D867" s="583" t="n"/>
      <c r="E867" s="584" t="n"/>
      <c r="F867" s="350" t="n"/>
      <c r="G867" s="350" t="n"/>
      <c r="H867" s="350" t="n"/>
      <c r="I867" s="350" t="n"/>
      <c r="J867" s="350" t="n"/>
      <c r="K867" s="351" t="n"/>
      <c r="L867" s="355" t="n"/>
      <c r="M867" s="350" t="n"/>
      <c r="N867" s="344" t="n"/>
      <c r="O867" s="344" t="n"/>
      <c r="P867" s="344" t="n"/>
      <c r="Q867" s="344" t="n"/>
      <c r="R867" s="344" t="n"/>
      <c r="S867" s="344" t="n"/>
      <c r="T867" s="344" t="n"/>
      <c r="U867" s="344" t="n"/>
      <c r="V867" s="344" t="n"/>
      <c r="W867" s="344" t="n"/>
    </row>
    <row r="868" customFormat="1" s="354">
      <c r="A868" s="345" t="n"/>
      <c r="B868" s="581" t="n"/>
      <c r="C868" s="582" t="n"/>
      <c r="D868" s="583" t="n"/>
      <c r="E868" s="584" t="n"/>
      <c r="F868" s="350" t="n"/>
      <c r="G868" s="350" t="n"/>
      <c r="H868" s="350" t="n"/>
      <c r="I868" s="350" t="n"/>
      <c r="J868" s="350" t="n"/>
      <c r="K868" s="351" t="n"/>
      <c r="L868" s="355" t="inlineStr">
        <is>
          <t>2841000174418_【ＱＣＳ】殺菌青ネギ（次亜使用）.xlsx</t>
        </is>
      </c>
      <c r="M868" s="350" t="n"/>
      <c r="N868" s="344" t="n"/>
      <c r="O868" s="344" t="n"/>
      <c r="P868" s="344" t="n"/>
      <c r="Q868" s="344" t="n"/>
      <c r="R868" s="344" t="n"/>
      <c r="S868" s="344" t="n"/>
      <c r="T868" s="344" t="n"/>
      <c r="U868" s="344" t="n"/>
      <c r="V868" s="344" t="n"/>
      <c r="W868" s="344" t="n"/>
    </row>
    <row r="869" customFormat="1" s="354">
      <c r="A869" s="345" t="n"/>
      <c r="B869" s="581" t="n"/>
      <c r="C869" s="582" t="n"/>
      <c r="D869" s="583" t="n"/>
      <c r="E869" s="584" t="n"/>
      <c r="F869" s="350" t="n"/>
      <c r="G869" s="350" t="n"/>
      <c r="H869" s="350" t="n"/>
      <c r="I869" s="350" t="n"/>
      <c r="J869" s="350" t="n"/>
      <c r="K869" s="351" t="n"/>
      <c r="L869" s="355" t="inlineStr">
        <is>
          <t>2841000174418_【ＱＣＳ】殺菌青ネギ（次亜使用）.xlsx</t>
        </is>
      </c>
      <c r="M869" s="350" t="n"/>
      <c r="N869" s="344" t="n"/>
      <c r="O869" s="344" t="n"/>
      <c r="P869" s="344" t="n"/>
      <c r="Q869" s="344" t="n"/>
      <c r="R869" s="344" t="n"/>
      <c r="S869" s="344" t="n"/>
      <c r="T869" s="344" t="n"/>
      <c r="U869" s="344" t="n"/>
      <c r="V869" s="344" t="n"/>
      <c r="W869" s="344" t="n"/>
    </row>
    <row r="870" customFormat="1" s="354">
      <c r="A870" s="345" t="n"/>
      <c r="B870" s="581" t="n"/>
      <c r="C870" s="582" t="n"/>
      <c r="D870" s="583" t="n"/>
      <c r="E870" s="584" t="n"/>
      <c r="F870" s="350" t="n"/>
      <c r="G870" s="350" t="n"/>
      <c r="H870" s="350" t="n"/>
      <c r="I870" s="350" t="n"/>
      <c r="J870" s="350" t="n"/>
      <c r="K870" s="351" t="n"/>
      <c r="L870" s="355" t="inlineStr">
        <is>
          <t>2841000174418_【ＱＣＳ】殺菌青ネギ（次亜使用）.xlsx</t>
        </is>
      </c>
      <c r="M870" s="350" t="n"/>
      <c r="N870" s="344" t="n"/>
      <c r="O870" s="344" t="n"/>
      <c r="P870" s="344" t="n"/>
      <c r="Q870" s="344" t="n"/>
      <c r="R870" s="344" t="n"/>
      <c r="S870" s="344" t="n"/>
      <c r="T870" s="344" t="n"/>
      <c r="U870" s="344" t="n"/>
      <c r="V870" s="344" t="n"/>
      <c r="W870" s="344" t="n"/>
    </row>
    <row r="871" customFormat="1" s="354">
      <c r="A871" s="345" t="n"/>
      <c r="B871" s="581" t="n"/>
      <c r="C871" s="582" t="n"/>
      <c r="D871" s="583" t="n"/>
      <c r="E871" s="584" t="n"/>
      <c r="F871" s="350" t="n"/>
      <c r="G871" s="350" t="n"/>
      <c r="H871" s="350" t="n"/>
      <c r="I871" s="350" t="n"/>
      <c r="J871" s="350" t="n"/>
      <c r="K871" s="351" t="n"/>
      <c r="L871" s="355" t="inlineStr">
        <is>
          <t>2841000174418_【ＱＣＳ】殺菌青ネギ（次亜使用）.xlsx</t>
        </is>
      </c>
      <c r="M871" s="350" t="n"/>
      <c r="N871" s="344" t="n"/>
      <c r="O871" s="344" t="n"/>
      <c r="P871" s="344" t="n"/>
      <c r="Q871" s="344" t="n"/>
      <c r="R871" s="344" t="n"/>
      <c r="S871" s="344" t="n"/>
      <c r="T871" s="344" t="n"/>
      <c r="U871" s="344" t="n"/>
      <c r="V871" s="344" t="n"/>
      <c r="W871" s="344" t="n"/>
    </row>
    <row r="872" customFormat="1" s="354">
      <c r="A872" s="345" t="n"/>
      <c r="B872" s="581" t="n"/>
      <c r="C872" s="582" t="n"/>
      <c r="D872" s="583" t="n"/>
      <c r="E872" s="584" t="n"/>
      <c r="F872" s="350" t="n"/>
      <c r="G872" s="350" t="n"/>
      <c r="H872" s="350" t="n"/>
      <c r="I872" s="350" t="n"/>
      <c r="J872" s="350" t="n"/>
      <c r="K872" s="351" t="n"/>
      <c r="L872" s="355" t="inlineStr">
        <is>
          <t>2841000203354_【ＱＣＳ】うどんだし.xlsx</t>
        </is>
      </c>
      <c r="M872" s="350" t="n"/>
      <c r="N872" s="344" t="n"/>
      <c r="O872" s="344" t="n"/>
      <c r="P872" s="344" t="n"/>
      <c r="Q872" s="344" t="n"/>
      <c r="R872" s="344" t="n"/>
      <c r="S872" s="344" t="n"/>
      <c r="T872" s="344" t="n"/>
      <c r="U872" s="344" t="n"/>
      <c r="V872" s="344" t="n"/>
      <c r="W872" s="344" t="n"/>
    </row>
    <row r="873" customFormat="1" s="354">
      <c r="A873" s="345" t="n"/>
      <c r="B873" s="581" t="n"/>
      <c r="C873" s="582" t="n"/>
      <c r="D873" s="583" t="n"/>
      <c r="E873" s="584" t="n"/>
      <c r="F873" s="350" t="n"/>
      <c r="G873" s="350" t="n"/>
      <c r="H873" s="350" t="n"/>
      <c r="I873" s="350" t="n"/>
      <c r="J873" s="350" t="n"/>
      <c r="K873" s="351" t="n"/>
      <c r="L873" s="355" t="n"/>
      <c r="M873" s="350" t="n"/>
      <c r="N873" s="344" t="n"/>
      <c r="O873" s="344" t="n"/>
      <c r="P873" s="344" t="n"/>
      <c r="Q873" s="344" t="n"/>
      <c r="R873" s="344" t="n"/>
      <c r="S873" s="344" t="n"/>
      <c r="T873" s="344" t="n"/>
      <c r="U873" s="344" t="n"/>
      <c r="V873" s="344" t="n"/>
      <c r="W873" s="344" t="n"/>
    </row>
    <row r="874" customFormat="1" s="354">
      <c r="A874" s="345" t="n"/>
      <c r="B874" s="581" t="n"/>
      <c r="C874" s="582" t="n"/>
      <c r="D874" s="583" t="n"/>
      <c r="E874" s="584" t="n"/>
      <c r="F874" s="350" t="n"/>
      <c r="G874" s="350" t="n"/>
      <c r="H874" s="350" t="n"/>
      <c r="I874" s="350" t="n"/>
      <c r="J874" s="350" t="n"/>
      <c r="K874" s="351" t="n"/>
      <c r="L874" s="355" t="n"/>
      <c r="M874" s="350" t="n"/>
      <c r="N874" s="344" t="n"/>
      <c r="O874" s="344" t="n"/>
      <c r="P874" s="344" t="n"/>
      <c r="Q874" s="344" t="n"/>
      <c r="R874" s="344" t="n"/>
      <c r="S874" s="344" t="n"/>
      <c r="T874" s="344" t="n"/>
      <c r="U874" s="344" t="n"/>
      <c r="V874" s="344" t="n"/>
      <c r="W874" s="344" t="n"/>
    </row>
    <row r="875" customFormat="1" s="354">
      <c r="A875" s="345" t="n"/>
      <c r="B875" s="581" t="n"/>
      <c r="C875" s="582" t="n"/>
      <c r="D875" s="583" t="n"/>
      <c r="E875" s="584" t="n"/>
      <c r="F875" s="350" t="n"/>
      <c r="G875" s="350" t="n"/>
      <c r="H875" s="350" t="n"/>
      <c r="I875" s="350" t="n"/>
      <c r="J875" s="350" t="n"/>
      <c r="K875" s="351" t="n"/>
      <c r="L875" s="355" t="inlineStr">
        <is>
          <t>2841000174418_【ＱＣＳ】殺菌青ネギ（次亜使用）.xlsx</t>
        </is>
      </c>
      <c r="M875" s="350" t="n"/>
      <c r="N875" s="344" t="n"/>
      <c r="O875" s="344" t="n"/>
      <c r="P875" s="344" t="n"/>
      <c r="Q875" s="344" t="n"/>
      <c r="R875" s="344" t="n"/>
      <c r="S875" s="344" t="n"/>
      <c r="T875" s="344" t="n"/>
      <c r="U875" s="344" t="n"/>
      <c r="V875" s="344" t="n"/>
      <c r="W875" s="344" t="n"/>
    </row>
    <row r="876" customFormat="1" s="354">
      <c r="A876" s="345" t="n"/>
      <c r="B876" s="581" t="n"/>
      <c r="C876" s="582" t="n"/>
      <c r="D876" s="583" t="n"/>
      <c r="E876" s="584" t="n"/>
      <c r="F876" s="350" t="n"/>
      <c r="G876" s="350" t="n"/>
      <c r="H876" s="350" t="n"/>
      <c r="I876" s="350" t="n"/>
      <c r="J876" s="350" t="n"/>
      <c r="K876" s="351" t="n"/>
      <c r="L876" s="355" t="inlineStr">
        <is>
          <t>2841000174418_【ＱＣＳ】殺菌青ネギ（次亜使用）.xlsx</t>
        </is>
      </c>
      <c r="M876" s="350" t="n"/>
      <c r="N876" s="344" t="n"/>
      <c r="O876" s="344" t="n"/>
      <c r="P876" s="344" t="n"/>
      <c r="Q876" s="344" t="n"/>
      <c r="R876" s="344" t="n"/>
      <c r="S876" s="344" t="n"/>
      <c r="T876" s="344" t="n"/>
      <c r="U876" s="344" t="n"/>
      <c r="V876" s="344" t="n"/>
      <c r="W876" s="344" t="n"/>
    </row>
    <row r="877" customFormat="1" s="354">
      <c r="A877" s="345" t="n"/>
      <c r="B877" s="581" t="n"/>
      <c r="C877" s="582" t="n"/>
      <c r="D877" s="583" t="n"/>
      <c r="E877" s="584" t="n"/>
      <c r="F877" s="350" t="n"/>
      <c r="G877" s="350" t="n"/>
      <c r="H877" s="350" t="n"/>
      <c r="I877" s="350" t="n"/>
      <c r="J877" s="350" t="n"/>
      <c r="K877" s="351" t="n"/>
      <c r="L877" s="355" t="inlineStr">
        <is>
          <t>2841000174418_【ＱＣＳ】殺菌青ネギ（次亜使用）.xlsx</t>
        </is>
      </c>
      <c r="M877" s="350" t="n"/>
      <c r="N877" s="344" t="n"/>
      <c r="O877" s="344" t="n"/>
      <c r="P877" s="344" t="n"/>
      <c r="Q877" s="344" t="n"/>
      <c r="R877" s="344" t="n"/>
      <c r="S877" s="344" t="n"/>
      <c r="T877" s="344" t="n"/>
      <c r="U877" s="344" t="n"/>
      <c r="V877" s="344" t="n"/>
      <c r="W877" s="344" t="n"/>
    </row>
    <row r="878" customFormat="1" s="354">
      <c r="A878" s="345" t="n"/>
      <c r="B878" s="581" t="n"/>
      <c r="C878" s="582" t="n"/>
      <c r="D878" s="583" t="n"/>
      <c r="E878" s="584" t="n"/>
      <c r="F878" s="350" t="n"/>
      <c r="G878" s="350" t="n"/>
      <c r="H878" s="350" t="n"/>
      <c r="I878" s="350" t="n"/>
      <c r="J878" s="350" t="n"/>
      <c r="K878" s="351" t="n"/>
      <c r="L878" s="355" t="inlineStr">
        <is>
          <t>2841000174418_【ＱＣＳ】殺菌青ネギ（次亜使用）.xlsx</t>
        </is>
      </c>
      <c r="M878" s="350" t="n"/>
      <c r="N878" s="344" t="n"/>
      <c r="O878" s="344" t="n"/>
      <c r="P878" s="344" t="n"/>
      <c r="Q878" s="344" t="n"/>
      <c r="R878" s="344" t="n"/>
      <c r="S878" s="344" t="n"/>
      <c r="T878" s="344" t="n"/>
      <c r="U878" s="344" t="n"/>
      <c r="V878" s="344" t="n"/>
      <c r="W878" s="344" t="n"/>
    </row>
    <row r="879" customFormat="1" s="354">
      <c r="A879" s="345" t="n"/>
      <c r="B879" s="581" t="n"/>
      <c r="C879" s="582" t="n"/>
      <c r="D879" s="583" t="n"/>
      <c r="E879" s="584" t="n"/>
      <c r="F879" s="350" t="n"/>
      <c r="G879" s="350" t="n"/>
      <c r="H879" s="350" t="n"/>
      <c r="I879" s="350" t="n"/>
      <c r="J879" s="350" t="n"/>
      <c r="K879" s="351" t="n"/>
      <c r="L879" s="355" t="inlineStr">
        <is>
          <t>2841000203354_【ＱＣＳ】うどんだし.xlsx</t>
        </is>
      </c>
      <c r="M879" s="350" t="n"/>
      <c r="N879" s="344" t="n"/>
      <c r="O879" s="344" t="n"/>
      <c r="P879" s="344" t="n"/>
      <c r="Q879" s="344" t="n"/>
      <c r="R879" s="344" t="n"/>
      <c r="S879" s="344" t="n"/>
      <c r="T879" s="344" t="n"/>
      <c r="U879" s="344" t="n"/>
      <c r="V879" s="344" t="n"/>
      <c r="W879" s="344" t="n"/>
    </row>
    <row r="880" customFormat="1" s="354">
      <c r="A880" s="345" t="n"/>
      <c r="B880" s="581" t="n"/>
      <c r="C880" s="582" t="n"/>
      <c r="D880" s="583" t="n"/>
      <c r="E880" s="584" t="n"/>
      <c r="F880" s="350" t="n"/>
      <c r="G880" s="350" t="n"/>
      <c r="H880" s="350" t="n"/>
      <c r="I880" s="350" t="n"/>
      <c r="J880" s="350" t="n"/>
      <c r="K880" s="351" t="n"/>
      <c r="L880" s="355" t="n"/>
      <c r="M880" s="350" t="n"/>
      <c r="N880" s="344" t="n"/>
      <c r="O880" s="344" t="n"/>
      <c r="P880" s="344" t="n"/>
      <c r="Q880" s="344" t="n"/>
      <c r="R880" s="344" t="n"/>
      <c r="S880" s="344" t="n"/>
      <c r="T880" s="344" t="n"/>
      <c r="U880" s="344" t="n"/>
      <c r="V880" s="344" t="n"/>
      <c r="W880" s="344" t="n"/>
    </row>
    <row r="881" customFormat="1" s="354">
      <c r="A881" s="345" t="n"/>
      <c r="B881" s="581" t="n"/>
      <c r="C881" s="582" t="n"/>
      <c r="D881" s="583" t="n"/>
      <c r="E881" s="584" t="n"/>
      <c r="F881" s="350" t="n"/>
      <c r="G881" s="350" t="n"/>
      <c r="H881" s="350" t="n"/>
      <c r="I881" s="350" t="n"/>
      <c r="J881" s="350" t="n"/>
      <c r="K881" s="351" t="n"/>
      <c r="L881" s="355" t="n"/>
      <c r="M881" s="350" t="n"/>
      <c r="N881" s="344" t="n"/>
      <c r="O881" s="344" t="n"/>
      <c r="P881" s="344" t="n"/>
      <c r="Q881" s="344" t="n"/>
      <c r="R881" s="344" t="n"/>
      <c r="S881" s="344" t="n"/>
      <c r="T881" s="344" t="n"/>
      <c r="U881" s="344" t="n"/>
      <c r="V881" s="344" t="n"/>
      <c r="W881" s="344" t="n"/>
    </row>
    <row r="882" customFormat="1" s="354">
      <c r="A882" s="345" t="n"/>
      <c r="B882" s="581" t="n"/>
      <c r="C882" s="582" t="n"/>
      <c r="D882" s="583" t="n"/>
      <c r="E882" s="584" t="n"/>
      <c r="F882" s="350" t="n"/>
      <c r="G882" s="350" t="n"/>
      <c r="H882" s="350" t="n"/>
      <c r="I882" s="350" t="n"/>
      <c r="J882" s="350" t="n"/>
      <c r="K882" s="351" t="n"/>
      <c r="L882" s="355" t="inlineStr">
        <is>
          <t>../開発規格書/久保レシピ修正版/ＱＣＳ/◆【うまくち白だし入替】◆肉玉うどん2（白鳥）%20.xlsx</t>
        </is>
      </c>
      <c r="M882" s="350" t="n"/>
      <c r="N882" s="344" t="n"/>
      <c r="O882" s="344" t="n"/>
      <c r="P882" s="344" t="n"/>
      <c r="Q882" s="344" t="n"/>
      <c r="R882" s="344" t="n"/>
      <c r="S882" s="344" t="n"/>
      <c r="T882" s="344" t="n"/>
      <c r="U882" s="344" t="n"/>
      <c r="V882" s="344" t="n"/>
      <c r="W882" s="344" t="n"/>
    </row>
    <row r="883" customFormat="1" s="354">
      <c r="A883" s="345" t="n"/>
      <c r="B883" s="581" t="n"/>
      <c r="C883" s="582" t="n"/>
      <c r="D883" s="583" t="n"/>
      <c r="E883" s="584" t="n"/>
      <c r="F883" s="350" t="n"/>
      <c r="G883" s="350" t="n"/>
      <c r="H883" s="350" t="n"/>
      <c r="I883" s="350" t="n"/>
      <c r="J883" s="350" t="n"/>
      <c r="K883" s="351" t="n"/>
      <c r="L883" s="355" t="n"/>
      <c r="M883" s="350" t="n"/>
      <c r="N883" s="344" t="n"/>
      <c r="O883" s="344" t="n"/>
      <c r="P883" s="344" t="n"/>
      <c r="Q883" s="344" t="n"/>
      <c r="R883" s="344" t="n"/>
      <c r="S883" s="344" t="n"/>
      <c r="T883" s="344" t="n"/>
      <c r="U883" s="344" t="n"/>
      <c r="V883" s="344" t="n"/>
      <c r="W883" s="344" t="n"/>
    </row>
    <row r="884" customFormat="1" s="354">
      <c r="A884" s="345" t="n"/>
      <c r="B884" s="581" t="n"/>
      <c r="C884" s="582" t="n"/>
      <c r="D884" s="583" t="n"/>
      <c r="E884" s="584" t="n"/>
      <c r="F884" s="350" t="n"/>
      <c r="G884" s="350" t="n"/>
      <c r="H884" s="350" t="n"/>
      <c r="I884" s="350" t="n"/>
      <c r="J884" s="350" t="n"/>
      <c r="K884" s="351" t="n"/>
      <c r="L884" s="355" t="n"/>
      <c r="M884" s="350" t="n"/>
      <c r="N884" s="344" t="n"/>
      <c r="O884" s="344" t="n"/>
      <c r="P884" s="344" t="n"/>
      <c r="Q884" s="344" t="n"/>
      <c r="R884" s="344" t="n"/>
      <c r="S884" s="344" t="n"/>
      <c r="T884" s="344" t="n"/>
      <c r="U884" s="344" t="n"/>
      <c r="V884" s="344" t="n"/>
      <c r="W884" s="344" t="n"/>
    </row>
    <row r="885" customFormat="1" s="354">
      <c r="A885" s="345" t="n"/>
      <c r="B885" s="581" t="n"/>
      <c r="C885" s="582" t="n"/>
      <c r="D885" s="583" t="n"/>
      <c r="E885" s="584" t="n"/>
      <c r="F885" s="350" t="n"/>
      <c r="G885" s="350" t="n"/>
      <c r="H885" s="350" t="n"/>
      <c r="I885" s="350" t="n"/>
      <c r="J885" s="350" t="n"/>
      <c r="K885" s="351" t="n"/>
      <c r="L885" s="355" t="inlineStr">
        <is>
          <t>2841000174418_【ＱＣＳ】殺菌青ネギ（次亜使用）.xlsx</t>
        </is>
      </c>
      <c r="M885" s="350" t="n"/>
      <c r="N885" s="344" t="n"/>
      <c r="O885" s="344" t="n"/>
      <c r="P885" s="344" t="n"/>
      <c r="Q885" s="344" t="n"/>
      <c r="R885" s="344" t="n"/>
      <c r="S885" s="344" t="n"/>
      <c r="T885" s="344" t="n"/>
      <c r="U885" s="344" t="n"/>
      <c r="V885" s="344" t="n"/>
      <c r="W885" s="344" t="n"/>
    </row>
    <row r="886" customFormat="1" s="354">
      <c r="A886" s="345" t="n"/>
      <c r="B886" s="581" t="n"/>
      <c r="C886" s="582" t="n"/>
      <c r="D886" s="583" t="n"/>
      <c r="E886" s="584" t="n"/>
      <c r="F886" s="350" t="n"/>
      <c r="G886" s="350" t="n"/>
      <c r="H886" s="350" t="n"/>
      <c r="I886" s="350" t="n"/>
      <c r="J886" s="350" t="n"/>
      <c r="K886" s="351" t="n"/>
      <c r="L886" s="355" t="inlineStr">
        <is>
          <t>2841000174418_【ＱＣＳ】殺菌青ネギ（次亜使用）.xlsx</t>
        </is>
      </c>
      <c r="M886" s="350" t="n"/>
      <c r="N886" s="344" t="n"/>
      <c r="O886" s="344" t="n"/>
      <c r="P886" s="344" t="n"/>
      <c r="Q886" s="344" t="n"/>
      <c r="R886" s="344" t="n"/>
      <c r="S886" s="344" t="n"/>
      <c r="T886" s="344" t="n"/>
      <c r="U886" s="344" t="n"/>
      <c r="V886" s="344" t="n"/>
      <c r="W886" s="344" t="n"/>
    </row>
    <row r="887" customFormat="1" s="354">
      <c r="A887" s="345" t="n"/>
      <c r="B887" s="581" t="n"/>
      <c r="C887" s="582" t="n"/>
      <c r="D887" s="583" t="n"/>
      <c r="E887" s="584" t="n"/>
      <c r="F887" s="350" t="n"/>
      <c r="G887" s="350" t="n"/>
      <c r="H887" s="350" t="n"/>
      <c r="I887" s="350" t="n"/>
      <c r="J887" s="350" t="n"/>
      <c r="K887" s="351" t="n"/>
      <c r="L887" s="355" t="inlineStr">
        <is>
          <t>2841000174418_【ＱＣＳ】殺菌青ネギ（次亜使用）.xlsx</t>
        </is>
      </c>
      <c r="M887" s="350" t="n"/>
      <c r="N887" s="344" t="n"/>
      <c r="O887" s="344" t="n"/>
      <c r="P887" s="344" t="n"/>
      <c r="Q887" s="344" t="n"/>
      <c r="R887" s="344" t="n"/>
      <c r="S887" s="344" t="n"/>
      <c r="T887" s="344" t="n"/>
      <c r="U887" s="344" t="n"/>
      <c r="V887" s="344" t="n"/>
      <c r="W887" s="344" t="n"/>
    </row>
    <row r="888" customFormat="1" s="354">
      <c r="A888" s="345" t="n"/>
      <c r="B888" s="581" t="n"/>
      <c r="C888" s="582" t="n"/>
      <c r="D888" s="583" t="n"/>
      <c r="E888" s="584" t="n"/>
      <c r="F888" s="350" t="n"/>
      <c r="G888" s="350" t="n"/>
      <c r="H888" s="350" t="n"/>
      <c r="I888" s="350" t="n"/>
      <c r="J888" s="350" t="n"/>
      <c r="K888" s="351" t="n"/>
      <c r="L888" s="355" t="inlineStr">
        <is>
          <t>2841000174418_【ＱＣＳ】殺菌青ネギ（次亜使用）.xlsx</t>
        </is>
      </c>
      <c r="M888" s="350" t="n"/>
      <c r="N888" s="344" t="n"/>
      <c r="O888" s="344" t="n"/>
      <c r="P888" s="344" t="n"/>
      <c r="Q888" s="344" t="n"/>
      <c r="R888" s="344" t="n"/>
      <c r="S888" s="344" t="n"/>
      <c r="T888" s="344" t="n"/>
      <c r="U888" s="344" t="n"/>
      <c r="V888" s="344" t="n"/>
      <c r="W888" s="344" t="n"/>
    </row>
    <row r="889" customFormat="1" s="354">
      <c r="A889" s="345" t="n"/>
      <c r="B889" s="581" t="n"/>
      <c r="C889" s="582" t="n"/>
      <c r="D889" s="583" t="n"/>
      <c r="E889" s="584" t="n"/>
      <c r="F889" s="350" t="n"/>
      <c r="G889" s="350" t="n"/>
      <c r="H889" s="350" t="n"/>
      <c r="I889" s="350" t="n"/>
      <c r="J889" s="350" t="n"/>
      <c r="K889" s="351" t="n"/>
      <c r="L889" s="355" t="inlineStr">
        <is>
          <t>../開発規格書/久保レシピ修正版/ＱＣＳ/◆3月６日◆【商品規格書】◆26特製冷やし中華◆白鳥.xlsx</t>
        </is>
      </c>
      <c r="M889" s="350" t="n"/>
      <c r="N889" s="344" t="n"/>
      <c r="O889" s="344" t="n"/>
      <c r="P889" s="344" t="n"/>
      <c r="Q889" s="344" t="n"/>
      <c r="R889" s="344" t="n"/>
      <c r="S889" s="344" t="n"/>
      <c r="T889" s="344" t="n"/>
      <c r="U889" s="344" t="n"/>
      <c r="V889" s="344" t="n"/>
      <c r="W889" s="344" t="n"/>
    </row>
    <row r="890" customFormat="1" s="354">
      <c r="A890" s="345" t="n"/>
      <c r="B890" s="581" t="n"/>
      <c r="C890" s="582" t="n"/>
      <c r="D890" s="583" t="n"/>
      <c r="E890" s="584" t="n"/>
      <c r="F890" s="350" t="n"/>
      <c r="G890" s="350" t="n"/>
      <c r="H890" s="350" t="n"/>
      <c r="I890" s="350" t="n"/>
      <c r="J890" s="350" t="n"/>
      <c r="K890" s="351" t="n"/>
      <c r="L890" s="350" t="n"/>
      <c r="M890" s="358" t="n"/>
      <c r="N890" s="344" t="n"/>
      <c r="O890" s="344" t="n"/>
      <c r="P890" s="344" t="n"/>
      <c r="Q890" s="344" t="n"/>
      <c r="R890" s="344" t="n"/>
      <c r="S890" s="344" t="n"/>
      <c r="T890" s="344" t="n"/>
      <c r="U890" s="344" t="n"/>
      <c r="V890" s="344" t="n"/>
      <c r="W890" s="344" t="n"/>
    </row>
    <row r="891" customFormat="1" s="354">
      <c r="A891" s="345" t="n"/>
      <c r="B891" s="581" t="n"/>
      <c r="C891" s="582" t="n"/>
      <c r="D891" s="583" t="n"/>
      <c r="E891" s="584" t="n"/>
      <c r="F891" s="350" t="n"/>
      <c r="G891" s="350" t="n"/>
      <c r="H891" s="350" t="n"/>
      <c r="I891" s="350" t="n"/>
      <c r="J891" s="350" t="n"/>
      <c r="K891" s="351" t="n"/>
      <c r="L891" s="350" t="n"/>
      <c r="M891" s="350" t="n"/>
      <c r="N891" s="344" t="n"/>
      <c r="O891" s="344" t="n"/>
      <c r="P891" s="344" t="n"/>
      <c r="Q891" s="344" t="n"/>
      <c r="R891" s="344" t="n"/>
      <c r="S891" s="344" t="n"/>
      <c r="T891" s="344" t="n"/>
      <c r="U891" s="344" t="n"/>
      <c r="V891" s="344" t="n"/>
      <c r="W891" s="344" t="n"/>
    </row>
    <row r="892" customFormat="1" s="354">
      <c r="A892" s="345" t="n"/>
      <c r="B892" s="581" t="n"/>
      <c r="C892" s="582" t="n"/>
      <c r="D892" s="583" t="n"/>
      <c r="E892" s="584" t="n"/>
      <c r="F892" s="350" t="n"/>
      <c r="G892" s="350" t="n"/>
      <c r="H892" s="350" t="n"/>
      <c r="I892" s="350" t="n"/>
      <c r="J892" s="350" t="n"/>
      <c r="K892" s="351" t="n"/>
      <c r="L892" s="350" t="n"/>
      <c r="M892" s="358" t="n"/>
      <c r="N892" s="344" t="n"/>
      <c r="O892" s="344" t="n"/>
      <c r="P892" s="344" t="n"/>
      <c r="Q892" s="344" t="n"/>
      <c r="R892" s="344" t="n"/>
      <c r="S892" s="344" t="n"/>
      <c r="T892" s="344" t="n"/>
      <c r="U892" s="344" t="n"/>
      <c r="V892" s="344" t="n"/>
      <c r="W892" s="344" t="n"/>
    </row>
    <row r="893" customFormat="1" s="354">
      <c r="A893" s="345" t="n"/>
      <c r="B893" s="581" t="n"/>
      <c r="C893" s="582" t="n"/>
      <c r="D893" s="583" t="n"/>
      <c r="E893" s="584" t="n"/>
      <c r="F893" s="350" t="n"/>
      <c r="G893" s="350" t="n"/>
      <c r="H893" s="350" t="n"/>
      <c r="I893" s="350" t="n"/>
      <c r="J893" s="350" t="n"/>
      <c r="K893" s="351" t="n"/>
      <c r="L893" s="350" t="n"/>
      <c r="M893" s="350" t="n"/>
      <c r="N893" s="344" t="n"/>
      <c r="O893" s="344" t="n"/>
      <c r="P893" s="344" t="n"/>
      <c r="Q893" s="344" t="n"/>
      <c r="R893" s="344" t="n"/>
      <c r="S893" s="344" t="n"/>
      <c r="T893" s="344" t="n"/>
      <c r="U893" s="344" t="n"/>
      <c r="V893" s="344" t="n"/>
      <c r="W893" s="344" t="n"/>
    </row>
    <row r="894" customFormat="1" s="354">
      <c r="A894" s="345" t="n"/>
      <c r="B894" s="581" t="n"/>
      <c r="C894" s="582" t="n"/>
      <c r="D894" s="583" t="n"/>
      <c r="E894" s="584" t="n"/>
      <c r="F894" s="350" t="n"/>
      <c r="G894" s="350" t="n"/>
      <c r="H894" s="350" t="n"/>
      <c r="I894" s="350" t="n"/>
      <c r="J894" s="350" t="n"/>
      <c r="K894" s="351" t="n"/>
      <c r="L894" s="355" t="inlineStr">
        <is>
          <t>../../../../01_組織_メガ生鮮_惣菜/〇商品開発室/個人名フォルダ/大津/開発規格書/久保レシピ修正版/ＱＣＳ/◆【春雨のタレ切替】◆具材たっぷり中華春雨サラダ５（白鳥）%20のコピー.xlsx</t>
        </is>
      </c>
      <c r="M894" s="350" t="n"/>
      <c r="N894" s="344" t="n"/>
      <c r="O894" s="344" t="n"/>
      <c r="P894" s="344" t="n"/>
      <c r="Q894" s="344" t="n"/>
      <c r="R894" s="344" t="n"/>
      <c r="S894" s="344" t="n"/>
      <c r="T894" s="344" t="n"/>
      <c r="U894" s="344" t="n"/>
      <c r="V894" s="344" t="n"/>
      <c r="W894" s="344" t="n"/>
    </row>
    <row r="895" customFormat="1" s="354">
      <c r="A895" s="345" t="n"/>
      <c r="B895" s="581" t="n"/>
      <c r="C895" s="582" t="n"/>
      <c r="D895" s="583" t="n"/>
      <c r="E895" s="584" t="n"/>
      <c r="F895" s="350" t="n"/>
      <c r="G895" s="350" t="n"/>
      <c r="H895" s="350" t="n"/>
      <c r="I895" s="350" t="n"/>
      <c r="J895" s="350" t="n"/>
      <c r="K895" s="351" t="n"/>
      <c r="L895" s="355" t="inlineStr">
        <is>
          <t>../開発規格書/久保レシピ修正版/ＱＣＳ/◆3月６日◆【商品規格書】◆26特製冷やし中華◆白鳥.xlsx</t>
        </is>
      </c>
      <c r="M895" s="350" t="n"/>
      <c r="N895" s="344" t="n"/>
      <c r="O895" s="344" t="n"/>
      <c r="P895" s="344" t="n"/>
      <c r="Q895" s="344" t="n"/>
      <c r="R895" s="344" t="n"/>
      <c r="S895" s="344" t="n"/>
      <c r="T895" s="344" t="n"/>
      <c r="U895" s="344" t="n"/>
      <c r="V895" s="344" t="n"/>
      <c r="W895" s="344" t="n"/>
    </row>
    <row r="896" customFormat="1" s="354">
      <c r="A896" s="345" t="n"/>
      <c r="B896" s="581" t="n"/>
      <c r="C896" s="582" t="n"/>
      <c r="D896" s="583" t="n"/>
      <c r="E896" s="584" t="n"/>
      <c r="F896" s="350" t="n"/>
      <c r="G896" s="350" t="n"/>
      <c r="H896" s="350" t="n"/>
      <c r="I896" s="350" t="n"/>
      <c r="J896" s="350" t="n"/>
      <c r="K896" s="351" t="n"/>
      <c r="L896" s="355" t="inlineStr">
        <is>
          <t>2841000177938_【ＱＣＳ】うどん麺.xlsx</t>
        </is>
      </c>
      <c r="M896" s="350" t="n"/>
      <c r="N896" s="344" t="n"/>
      <c r="O896" s="344" t="n"/>
      <c r="P896" s="344" t="n"/>
      <c r="Q896" s="344" t="n"/>
      <c r="R896" s="344" t="n"/>
      <c r="S896" s="344" t="n"/>
      <c r="T896" s="344" t="n"/>
      <c r="U896" s="344" t="n"/>
      <c r="V896" s="344" t="n"/>
      <c r="W896" s="344" t="n"/>
    </row>
    <row r="897" customFormat="1" s="354">
      <c r="A897" s="345" t="n"/>
      <c r="B897" s="581" t="n"/>
      <c r="C897" s="582" t="n"/>
      <c r="D897" s="583" t="n"/>
      <c r="E897" s="584" t="n"/>
      <c r="F897" s="350" t="n"/>
      <c r="G897" s="350" t="n"/>
      <c r="H897" s="350" t="n"/>
      <c r="I897" s="350" t="n"/>
      <c r="J897" s="350" t="n"/>
      <c r="K897" s="351" t="n"/>
      <c r="L897" s="355" t="inlineStr">
        <is>
          <t>2841000177938_【ＱＣＳ】うどん麺.xlsx</t>
        </is>
      </c>
      <c r="M897" s="350" t="n"/>
      <c r="N897" s="344" t="n"/>
      <c r="O897" s="344" t="n"/>
      <c r="P897" s="344" t="n"/>
      <c r="Q897" s="344" t="n"/>
      <c r="R897" s="344" t="n"/>
      <c r="S897" s="344" t="n"/>
      <c r="T897" s="344" t="n"/>
      <c r="U897" s="344" t="n"/>
      <c r="V897" s="344" t="n"/>
      <c r="W897" s="344" t="n"/>
    </row>
    <row r="898" customFormat="1" s="354">
      <c r="A898" s="345" t="n"/>
      <c r="B898" s="581" t="n"/>
      <c r="C898" s="582" t="n"/>
      <c r="D898" s="583" t="n"/>
      <c r="E898" s="584" t="n"/>
      <c r="F898" s="350" t="n"/>
      <c r="G898" s="350" t="n"/>
      <c r="H898" s="350" t="n"/>
      <c r="I898" s="350" t="n"/>
      <c r="J898" s="350" t="n"/>
      <c r="K898" s="351" t="n"/>
      <c r="L898" s="355" t="inlineStr">
        <is>
          <t>../開発規格書/久保レシピ修正版/ＱＣＳ/◆【うまくち白だし入替】◆肉玉うどん2（白鳥）%20.xlsx</t>
        </is>
      </c>
      <c r="M898" s="350" t="n"/>
      <c r="N898" s="344" t="n"/>
      <c r="O898" s="344" t="n"/>
      <c r="P898" s="344" t="n"/>
      <c r="Q898" s="344" t="n"/>
      <c r="R898" s="344" t="n"/>
      <c r="S898" s="344" t="n"/>
      <c r="T898" s="344" t="n"/>
      <c r="U898" s="344" t="n"/>
      <c r="V898" s="344" t="n"/>
      <c r="W898" s="344" t="n"/>
    </row>
    <row r="899" customFormat="1" s="354">
      <c r="A899" s="345" t="n"/>
      <c r="B899" s="581" t="n"/>
      <c r="C899" s="582" t="n"/>
      <c r="D899" s="583" t="n"/>
      <c r="E899" s="584" t="n"/>
      <c r="F899" s="350" t="n"/>
      <c r="G899" s="350" t="n"/>
      <c r="H899" s="350" t="n"/>
      <c r="I899" s="350" t="n"/>
      <c r="J899" s="350" t="n"/>
      <c r="K899" s="351" t="n"/>
      <c r="L899" s="593" t="inlineStr">
        <is>
          <t>../開発規格書/久保レシピ修正版/ＱＣＳ/冷やしとろろうどん２（白鳥）.xlsx</t>
        </is>
      </c>
      <c r="M899" s="350" t="n"/>
      <c r="N899" s="344" t="n"/>
      <c r="O899" s="344" t="n"/>
      <c r="P899" s="344" t="n"/>
      <c r="Q899" s="344" t="n"/>
      <c r="R899" s="344" t="n"/>
      <c r="S899" s="344" t="n"/>
      <c r="T899" s="344" t="n"/>
      <c r="U899" s="344" t="n"/>
      <c r="V899" s="344" t="n"/>
      <c r="W899" s="344" t="n"/>
    </row>
    <row r="900" customFormat="1" s="354">
      <c r="A900" s="345" t="n"/>
      <c r="B900" s="581" t="n"/>
      <c r="C900" s="582" t="n"/>
      <c r="D900" s="583" t="n"/>
      <c r="E900" s="584" t="n"/>
      <c r="F900" s="350" t="n"/>
      <c r="G900" s="350" t="n"/>
      <c r="H900" s="350" t="n"/>
      <c r="I900" s="350" t="n"/>
      <c r="J900" s="350" t="n"/>
      <c r="K900" s="351" t="n"/>
      <c r="L900" s="593" t="inlineStr">
        <is>
          <t>../開発規格書/久保レシピ修正版/ＱＣＳ/冷やしとろろうどん２（白鳥）.xlsx</t>
        </is>
      </c>
      <c r="M900" s="350" t="n"/>
      <c r="N900" s="344" t="n"/>
      <c r="O900" s="344" t="n"/>
      <c r="P900" s="344" t="n"/>
      <c r="Q900" s="344" t="n"/>
      <c r="R900" s="344" t="n"/>
      <c r="S900" s="344" t="n"/>
      <c r="T900" s="344" t="n"/>
      <c r="U900" s="344" t="n"/>
      <c r="V900" s="344" t="n"/>
      <c r="W900" s="344" t="n"/>
    </row>
    <row r="901" customFormat="1" s="354">
      <c r="A901" s="345" t="n"/>
      <c r="B901" s="581" t="n"/>
      <c r="C901" s="582" t="n"/>
      <c r="D901" s="583" t="n"/>
      <c r="E901" s="584" t="n"/>
      <c r="F901" s="350" t="n"/>
      <c r="G901" s="350" t="n"/>
      <c r="H901" s="350" t="n"/>
      <c r="I901" s="350" t="n"/>
      <c r="J901" s="350" t="n"/>
      <c r="K901" s="351" t="n"/>
      <c r="L901" s="593" t="inlineStr">
        <is>
          <t>../開発規格書/久保レシピ修正版/ＱＣＳ/冷やしとろろうどん２（白鳥）.xlsx</t>
        </is>
      </c>
      <c r="M901" s="350" t="n"/>
      <c r="N901" s="344" t="n"/>
      <c r="O901" s="344" t="n"/>
      <c r="P901" s="344" t="n"/>
      <c r="Q901" s="344" t="n"/>
      <c r="R901" s="344" t="n"/>
      <c r="S901" s="344" t="n"/>
      <c r="T901" s="344" t="n"/>
      <c r="U901" s="344" t="n"/>
      <c r="V901" s="344" t="n"/>
      <c r="W901" s="344" t="n"/>
    </row>
    <row r="902" customFormat="1" s="354">
      <c r="A902" s="345" t="n"/>
      <c r="B902" s="581" t="n"/>
      <c r="C902" s="582" t="n"/>
      <c r="D902" s="583" t="n"/>
      <c r="E902" s="584" t="n"/>
      <c r="F902" s="350" t="n"/>
      <c r="G902" s="350" t="n"/>
      <c r="H902" s="350" t="n"/>
      <c r="I902" s="350" t="n"/>
      <c r="J902" s="350" t="n"/>
      <c r="K902" s="351" t="n"/>
      <c r="L902" s="355" t="inlineStr">
        <is>
          <t>2841000174418_【ＱＣＳ】殺菌青ネギ（次亜使用）.xlsx</t>
        </is>
      </c>
      <c r="M902" s="350" t="n"/>
      <c r="N902" s="344" t="n"/>
      <c r="O902" s="344" t="n"/>
      <c r="P902" s="344" t="n"/>
      <c r="Q902" s="344" t="n"/>
      <c r="R902" s="344" t="n"/>
      <c r="S902" s="344" t="n"/>
      <c r="T902" s="344" t="n"/>
      <c r="U902" s="344" t="n"/>
      <c r="V902" s="344" t="n"/>
      <c r="W902" s="344" t="n"/>
    </row>
    <row r="903" customFormat="1" s="354">
      <c r="A903" s="345" t="n"/>
      <c r="B903" s="581" t="n"/>
      <c r="C903" s="582" t="n"/>
      <c r="D903" s="583" t="n"/>
      <c r="E903" s="584" t="n"/>
      <c r="F903" s="350" t="n"/>
      <c r="G903" s="350" t="n"/>
      <c r="H903" s="350" t="n"/>
      <c r="I903" s="350" t="n"/>
      <c r="J903" s="350" t="n"/>
      <c r="K903" s="351" t="n"/>
      <c r="L903" s="355" t="inlineStr">
        <is>
          <t>2841000174418_【ＱＣＳ】殺菌青ネギ（次亜使用）.xlsx</t>
        </is>
      </c>
      <c r="M903" s="350" t="n"/>
      <c r="N903" s="344" t="n"/>
      <c r="O903" s="344" t="n"/>
      <c r="P903" s="344" t="n"/>
      <c r="Q903" s="344" t="n"/>
      <c r="R903" s="344" t="n"/>
      <c r="S903" s="344" t="n"/>
      <c r="T903" s="344" t="n"/>
      <c r="U903" s="344" t="n"/>
      <c r="V903" s="344" t="n"/>
      <c r="W903" s="344" t="n"/>
    </row>
    <row r="904" customFormat="1" s="354">
      <c r="A904" s="345" t="n"/>
      <c r="B904" s="581" t="n"/>
      <c r="C904" s="582" t="n"/>
      <c r="D904" s="583" t="n"/>
      <c r="E904" s="584" t="n"/>
      <c r="F904" s="350" t="n"/>
      <c r="G904" s="350" t="n"/>
      <c r="H904" s="350" t="n"/>
      <c r="I904" s="350" t="n"/>
      <c r="J904" s="350" t="n"/>
      <c r="K904" s="351" t="n"/>
      <c r="L904" s="355" t="inlineStr">
        <is>
          <t>2841000174418_【ＱＣＳ】殺菌青ネギ（次亜使用）.xlsx</t>
        </is>
      </c>
      <c r="M904" s="350" t="n"/>
      <c r="N904" s="344" t="n"/>
      <c r="O904" s="344" t="n"/>
      <c r="P904" s="344" t="n"/>
      <c r="Q904" s="344" t="n"/>
      <c r="R904" s="344" t="n"/>
      <c r="S904" s="344" t="n"/>
      <c r="T904" s="344" t="n"/>
      <c r="U904" s="344" t="n"/>
      <c r="V904" s="344" t="n"/>
      <c r="W904" s="344" t="n"/>
    </row>
    <row r="905" customFormat="1" s="354">
      <c r="A905" s="345" t="n"/>
      <c r="B905" s="581" t="n"/>
      <c r="C905" s="582" t="n"/>
      <c r="D905" s="583" t="n"/>
      <c r="E905" s="584" t="n"/>
      <c r="F905" s="350" t="n"/>
      <c r="G905" s="350" t="n"/>
      <c r="H905" s="350" t="n"/>
      <c r="I905" s="350" t="n"/>
      <c r="J905" s="350" t="n"/>
      <c r="K905" s="351" t="n"/>
      <c r="L905" s="355" t="inlineStr">
        <is>
          <t>2841000174418_【ＱＣＳ】殺菌青ネギ（次亜使用）.xlsx</t>
        </is>
      </c>
      <c r="M905" s="350" t="n"/>
      <c r="N905" s="344" t="n"/>
      <c r="O905" s="344" t="n"/>
      <c r="P905" s="344" t="n"/>
      <c r="Q905" s="344" t="n"/>
      <c r="R905" s="344" t="n"/>
      <c r="S905" s="344" t="n"/>
      <c r="T905" s="344" t="n"/>
      <c r="U905" s="344" t="n"/>
      <c r="V905" s="344" t="n"/>
      <c r="W905" s="344" t="n"/>
    </row>
    <row r="906" customFormat="1" s="354">
      <c r="A906" s="345" t="n"/>
      <c r="B906" s="581" t="n"/>
      <c r="C906" s="582" t="n"/>
      <c r="D906" s="583" t="n"/>
      <c r="E906" s="584" t="n"/>
      <c r="F906" s="350" t="n"/>
      <c r="G906" s="350" t="n"/>
      <c r="H906" s="350" t="n"/>
      <c r="I906" s="350" t="n"/>
      <c r="J906" s="350" t="n"/>
      <c r="K906" s="351" t="n"/>
      <c r="L906" s="355" t="inlineStr">
        <is>
          <t>2841000177938_【ＱＣＳ】うどん麺.xlsx</t>
        </is>
      </c>
      <c r="M906" s="350" t="n"/>
      <c r="N906" s="344" t="n"/>
      <c r="O906" s="344" t="n"/>
      <c r="P906" s="344" t="n"/>
      <c r="Q906" s="344" t="n"/>
      <c r="R906" s="344" t="n"/>
      <c r="S906" s="344" t="n"/>
      <c r="T906" s="344" t="n"/>
      <c r="U906" s="344" t="n"/>
      <c r="V906" s="344" t="n"/>
      <c r="W906" s="344" t="n"/>
    </row>
    <row r="907" customFormat="1" s="354">
      <c r="A907" s="345" t="n"/>
      <c r="B907" s="581" t="n"/>
      <c r="C907" s="582" t="n"/>
      <c r="D907" s="583" t="n"/>
      <c r="E907" s="584" t="n"/>
      <c r="F907" s="350" t="n"/>
      <c r="G907" s="350" t="n"/>
      <c r="H907" s="350" t="n"/>
      <c r="I907" s="350" t="n"/>
      <c r="J907" s="350" t="n"/>
      <c r="K907" s="351" t="n"/>
      <c r="L907" s="355" t="inlineStr">
        <is>
          <t>2841000177938_【ＱＣＳ】うどん麺.xlsx</t>
        </is>
      </c>
      <c r="M907" s="350" t="n"/>
      <c r="N907" s="344" t="n"/>
      <c r="O907" s="344" t="n"/>
      <c r="P907" s="344" t="n"/>
      <c r="Q907" s="344" t="n"/>
      <c r="R907" s="344" t="n"/>
      <c r="S907" s="344" t="n"/>
      <c r="T907" s="344" t="n"/>
      <c r="U907" s="344" t="n"/>
      <c r="V907" s="344" t="n"/>
      <c r="W907" s="344" t="n"/>
    </row>
    <row r="908" customFormat="1" s="354">
      <c r="A908" s="345" t="n"/>
      <c r="B908" s="581" t="n"/>
      <c r="C908" s="582" t="n"/>
      <c r="D908" s="583" t="n"/>
      <c r="E908" s="584" t="n"/>
      <c r="F908" s="350" t="n"/>
      <c r="G908" s="350" t="n"/>
      <c r="H908" s="350" t="n"/>
      <c r="I908" s="350" t="n"/>
      <c r="J908" s="350" t="n"/>
      <c r="K908" s="351" t="n"/>
      <c r="L908" s="355" t="inlineStr">
        <is>
          <t>../開発規格書/久保レシピ修正版/ＱＣＳ/◆【うまくち白だし入替】◆肉玉うどん2（白鳥）%20.xlsx</t>
        </is>
      </c>
      <c r="M908" s="350" t="n"/>
      <c r="N908" s="344" t="n"/>
      <c r="O908" s="344" t="n"/>
      <c r="P908" s="344" t="n"/>
      <c r="Q908" s="344" t="n"/>
      <c r="R908" s="344" t="n"/>
      <c r="S908" s="344" t="n"/>
      <c r="T908" s="344" t="n"/>
      <c r="U908" s="344" t="n"/>
      <c r="V908" s="344" t="n"/>
      <c r="W908" s="344" t="n"/>
    </row>
    <row r="909" customFormat="1" s="354">
      <c r="A909" s="345" t="n"/>
      <c r="B909" s="581" t="n"/>
      <c r="C909" s="582" t="n"/>
      <c r="D909" s="583" t="n"/>
      <c r="E909" s="584" t="n"/>
      <c r="F909" s="350" t="n"/>
      <c r="G909" s="350" t="n"/>
      <c r="H909" s="350" t="n"/>
      <c r="I909" s="350" t="n"/>
      <c r="J909" s="350" t="n"/>
      <c r="K909" s="351" t="n"/>
      <c r="L909" s="355" t="inlineStr">
        <is>
          <t>2841000174418_【ＱＣＳ】殺菌青ネギ（次亜使用）.xlsx</t>
        </is>
      </c>
      <c r="M909" s="350" t="n"/>
      <c r="N909" s="344" t="n"/>
      <c r="O909" s="344" t="n"/>
      <c r="P909" s="344" t="n"/>
      <c r="Q909" s="344" t="n"/>
      <c r="R909" s="344" t="n"/>
      <c r="S909" s="344" t="n"/>
      <c r="T909" s="344" t="n"/>
      <c r="U909" s="344" t="n"/>
      <c r="V909" s="344" t="n"/>
      <c r="W909" s="344" t="n"/>
    </row>
    <row r="910" customFormat="1" s="354">
      <c r="A910" s="345" t="n"/>
      <c r="B910" s="581" t="n"/>
      <c r="C910" s="582" t="n"/>
      <c r="D910" s="583" t="n"/>
      <c r="E910" s="584" t="n"/>
      <c r="F910" s="350" t="n"/>
      <c r="G910" s="350" t="n"/>
      <c r="H910" s="350" t="n"/>
      <c r="I910" s="350" t="n"/>
      <c r="J910" s="350" t="n"/>
      <c r="K910" s="351" t="n"/>
      <c r="L910" s="355" t="inlineStr">
        <is>
          <t>2841000174418_【ＱＣＳ】殺菌青ネギ（次亜使用）.xlsx</t>
        </is>
      </c>
      <c r="M910" s="350" t="n"/>
      <c r="N910" s="344" t="n"/>
      <c r="O910" s="344" t="n"/>
      <c r="P910" s="344" t="n"/>
      <c r="Q910" s="344" t="n"/>
      <c r="R910" s="344" t="n"/>
      <c r="S910" s="344" t="n"/>
      <c r="T910" s="344" t="n"/>
      <c r="U910" s="344" t="n"/>
      <c r="V910" s="344" t="n"/>
      <c r="W910" s="344" t="n"/>
    </row>
    <row r="911" customFormat="1" s="354">
      <c r="A911" s="345" t="n"/>
      <c r="B911" s="581" t="n"/>
      <c r="C911" s="582" t="n"/>
      <c r="D911" s="583" t="n"/>
      <c r="E911" s="584" t="n"/>
      <c r="F911" s="350" t="n"/>
      <c r="G911" s="350" t="n"/>
      <c r="H911" s="350" t="n"/>
      <c r="I911" s="350" t="n"/>
      <c r="J911" s="350" t="n"/>
      <c r="K911" s="351" t="n"/>
      <c r="L911" s="355" t="inlineStr">
        <is>
          <t>2841000174418_【ＱＣＳ】殺菌青ネギ（次亜使用）.xlsx</t>
        </is>
      </c>
      <c r="M911" s="350" t="n"/>
      <c r="N911" s="344" t="n"/>
      <c r="O911" s="344" t="n"/>
      <c r="P911" s="344" t="n"/>
      <c r="Q911" s="344" t="n"/>
      <c r="R911" s="344" t="n"/>
      <c r="S911" s="344" t="n"/>
      <c r="T911" s="344" t="n"/>
      <c r="U911" s="344" t="n"/>
      <c r="V911" s="344" t="n"/>
      <c r="W911" s="344" t="n"/>
    </row>
    <row r="912" customFormat="1" s="354">
      <c r="A912" s="345" t="n"/>
      <c r="B912" s="581" t="n"/>
      <c r="C912" s="582" t="n"/>
      <c r="D912" s="583" t="n"/>
      <c r="E912" s="584" t="n"/>
      <c r="F912" s="350" t="n"/>
      <c r="G912" s="350" t="n"/>
      <c r="H912" s="350" t="n"/>
      <c r="I912" s="350" t="n"/>
      <c r="J912" s="350" t="n"/>
      <c r="K912" s="351" t="n"/>
      <c r="L912" s="355" t="inlineStr">
        <is>
          <t>2841000174418_【ＱＣＳ】殺菌青ネギ（次亜使用）.xlsx</t>
        </is>
      </c>
      <c r="M912" s="350" t="n"/>
      <c r="N912" s="344" t="n"/>
      <c r="O912" s="344" t="n"/>
      <c r="P912" s="344" t="n"/>
      <c r="Q912" s="344" t="n"/>
      <c r="R912" s="344" t="n"/>
      <c r="S912" s="344" t="n"/>
      <c r="T912" s="344" t="n"/>
      <c r="U912" s="344" t="n"/>
      <c r="V912" s="344" t="n"/>
      <c r="W912" s="344" t="n"/>
    </row>
    <row r="913" customFormat="1" s="354">
      <c r="A913" s="345" t="n"/>
      <c r="B913" s="581" t="n"/>
      <c r="C913" s="582" t="n"/>
      <c r="D913" s="583" t="n"/>
      <c r="E913" s="584" t="n"/>
      <c r="F913" s="350" t="n"/>
      <c r="G913" s="350" t="n"/>
      <c r="H913" s="350" t="n"/>
      <c r="I913" s="350" t="n"/>
      <c r="J913" s="350" t="n"/>
      <c r="K913" s="351" t="n"/>
      <c r="L913" s="355" t="n"/>
      <c r="M913" s="350" t="n"/>
      <c r="N913" s="344" t="n"/>
      <c r="O913" s="344" t="n"/>
      <c r="P913" s="344" t="n"/>
      <c r="Q913" s="344" t="n"/>
      <c r="R913" s="344" t="n"/>
      <c r="S913" s="344" t="n"/>
      <c r="T913" s="344" t="n"/>
      <c r="U913" s="344" t="n"/>
      <c r="V913" s="344" t="n"/>
      <c r="W913" s="344" t="n"/>
    </row>
    <row r="914" customFormat="1" s="354">
      <c r="A914" s="345" t="n"/>
      <c r="B914" s="581" t="n"/>
      <c r="C914" s="582" t="n"/>
      <c r="D914" s="583" t="n"/>
      <c r="E914" s="584" t="n"/>
      <c r="F914" s="350" t="n"/>
      <c r="G914" s="350" t="n"/>
      <c r="H914" s="350" t="n"/>
      <c r="I914" s="350" t="n"/>
      <c r="J914" s="350" t="n"/>
      <c r="K914" s="351" t="n"/>
      <c r="L914" s="355" t="inlineStr">
        <is>
          <t>../開発規格書/久保レシピ修正版/ＱＣＳ/◆【商品規格書】◆26担々麺◆.xlsx</t>
        </is>
      </c>
      <c r="M914" s="350" t="n"/>
      <c r="N914" s="344" t="n"/>
      <c r="O914" s="344" t="n"/>
      <c r="P914" s="344" t="n"/>
      <c r="Q914" s="344" t="n"/>
      <c r="R914" s="344" t="n"/>
      <c r="S914" s="344" t="n"/>
      <c r="T914" s="344" t="n"/>
      <c r="U914" s="344" t="n"/>
      <c r="V914" s="344" t="n"/>
      <c r="W914" s="344" t="n"/>
    </row>
    <row r="915" customFormat="1" s="354">
      <c r="A915" s="345" t="n"/>
      <c r="B915" s="581" t="n"/>
      <c r="C915" s="582" t="n"/>
      <c r="D915" s="583" t="n"/>
      <c r="E915" s="584" t="n"/>
      <c r="F915" s="350" t="n"/>
      <c r="G915" s="350" t="n"/>
      <c r="H915" s="350" t="n"/>
      <c r="I915" s="350" t="n"/>
      <c r="J915" s="350" t="n"/>
      <c r="K915" s="351" t="n"/>
      <c r="L915" s="593" t="inlineStr">
        <is>
          <t>../開発規格書/久保レシピ修正版/ＱＣＳ/◆RN◆【商品規格書】◆２６冷やし担々麺◆白鳥.xlsx</t>
        </is>
      </c>
      <c r="M915" s="350" t="n"/>
      <c r="N915" s="344" t="n"/>
      <c r="O915" s="344" t="n"/>
      <c r="P915" s="344" t="n"/>
      <c r="Q915" s="344" t="n"/>
      <c r="R915" s="344" t="n"/>
      <c r="S915" s="344" t="n"/>
      <c r="T915" s="344" t="n"/>
      <c r="U915" s="344" t="n"/>
      <c r="V915" s="344" t="n"/>
      <c r="W915" s="344" t="n"/>
    </row>
    <row r="916" customFormat="1" s="354">
      <c r="A916" s="345" t="n"/>
      <c r="B916" s="581" t="n"/>
      <c r="C916" s="582" t="n"/>
      <c r="D916" s="583" t="n"/>
      <c r="E916" s="584" t="n"/>
      <c r="F916" s="350" t="n"/>
      <c r="G916" s="350" t="n"/>
      <c r="H916" s="350" t="n"/>
      <c r="I916" s="350" t="n"/>
      <c r="J916" s="350" t="n"/>
      <c r="K916" s="351" t="n"/>
      <c r="L916" s="355" t="n"/>
      <c r="M916" s="350" t="n"/>
      <c r="N916" s="344" t="n"/>
      <c r="O916" s="344" t="n"/>
      <c r="P916" s="344" t="n"/>
      <c r="Q916" s="344" t="n"/>
      <c r="R916" s="344" t="n"/>
      <c r="S916" s="344" t="n"/>
      <c r="T916" s="344" t="n"/>
      <c r="U916" s="344" t="n"/>
      <c r="V916" s="344" t="n"/>
      <c r="W916" s="344" t="n"/>
    </row>
    <row r="917" customFormat="1" s="354">
      <c r="A917" s="345" t="n"/>
      <c r="B917" s="581" t="n"/>
      <c r="C917" s="582" t="n"/>
      <c r="D917" s="583" t="n"/>
      <c r="E917" s="584" t="n"/>
      <c r="F917" s="350" t="n"/>
      <c r="G917" s="350" t="n"/>
      <c r="H917" s="350" t="n"/>
      <c r="I917" s="350" t="n"/>
      <c r="J917" s="350" t="n"/>
      <c r="K917" s="351" t="n"/>
      <c r="L917" s="355" t="n"/>
      <c r="M917" s="358" t="n"/>
      <c r="N917" s="344" t="n"/>
      <c r="O917" s="344" t="n"/>
      <c r="P917" s="344" t="n"/>
      <c r="Q917" s="344" t="n"/>
      <c r="R917" s="344" t="n"/>
      <c r="S917" s="344" t="n"/>
      <c r="T917" s="344" t="n"/>
      <c r="U917" s="344" t="n"/>
      <c r="V917" s="344" t="n"/>
      <c r="W917" s="344" t="n"/>
    </row>
    <row r="918" customFormat="1" s="354">
      <c r="A918" s="345" t="n"/>
      <c r="B918" s="581" t="n"/>
      <c r="C918" s="582" t="n"/>
      <c r="D918" s="583" t="n"/>
      <c r="E918" s="584" t="n"/>
      <c r="F918" s="350" t="n"/>
      <c r="G918" s="350" t="n"/>
      <c r="H918" s="350" t="n"/>
      <c r="I918" s="350" t="n"/>
      <c r="J918" s="350" t="n"/>
      <c r="K918" s="351" t="n"/>
      <c r="L918" s="355" t="n"/>
      <c r="M918" s="350" t="n"/>
      <c r="N918" s="344" t="n"/>
      <c r="O918" s="344" t="n"/>
      <c r="P918" s="344" t="n"/>
      <c r="Q918" s="344" t="n"/>
      <c r="R918" s="344" t="n"/>
      <c r="S918" s="344" t="n"/>
      <c r="T918" s="344" t="n"/>
      <c r="U918" s="344" t="n"/>
      <c r="V918" s="344" t="n"/>
      <c r="W918" s="344" t="n"/>
    </row>
    <row r="919" customFormat="1" s="354">
      <c r="A919" s="345" t="n"/>
      <c r="B919" s="581" t="n"/>
      <c r="C919" s="582" t="n"/>
      <c r="D919" s="583" t="n"/>
      <c r="E919" s="584" t="n"/>
      <c r="F919" s="350" t="n"/>
      <c r="G919" s="350" t="n"/>
      <c r="H919" s="350" t="n"/>
      <c r="I919" s="350" t="n"/>
      <c r="J919" s="350" t="n"/>
      <c r="K919" s="351" t="n"/>
      <c r="L919" s="355" t="n"/>
      <c r="M919" s="350" t="n"/>
      <c r="N919" s="344" t="n"/>
      <c r="O919" s="344" t="n"/>
      <c r="P919" s="344" t="n"/>
      <c r="Q919" s="344" t="n"/>
      <c r="R919" s="344" t="n"/>
      <c r="S919" s="344" t="n"/>
      <c r="T919" s="344" t="n"/>
      <c r="U919" s="344" t="n"/>
      <c r="V919" s="344" t="n"/>
      <c r="W919" s="344" t="n"/>
    </row>
    <row r="920" customFormat="1" s="354">
      <c r="A920" s="345" t="n"/>
      <c r="B920" s="581" t="n"/>
      <c r="C920" s="582" t="n"/>
      <c r="D920" s="583" t="n"/>
      <c r="E920" s="584" t="n"/>
      <c r="F920" s="350" t="n"/>
      <c r="G920" s="350" t="n"/>
      <c r="H920" s="350" t="n"/>
      <c r="I920" s="350" t="n"/>
      <c r="J920" s="350" t="n"/>
      <c r="K920" s="351" t="n"/>
      <c r="L920" s="593" t="inlineStr">
        <is>
          <t>../開発規格書/久保レシピ修正版/ＱＣＳ/◆【牛蒡乱切り切替】筑前煮５（白鳥）.xlsx</t>
        </is>
      </c>
      <c r="M920" s="350" t="n"/>
      <c r="N920" s="344" t="n"/>
      <c r="O920" s="344" t="n"/>
      <c r="P920" s="344" t="n"/>
      <c r="Q920" s="344" t="n"/>
      <c r="R920" s="344" t="n"/>
      <c r="S920" s="344" t="n"/>
      <c r="T920" s="344" t="n"/>
      <c r="U920" s="344" t="n"/>
      <c r="V920" s="344" t="n"/>
      <c r="W920" s="344" t="n"/>
    </row>
    <row r="921" customFormat="1" s="354">
      <c r="A921" s="345" t="n"/>
      <c r="B921" s="581" t="n"/>
      <c r="C921" s="582" t="n"/>
      <c r="D921" s="583" t="n"/>
      <c r="E921" s="584" t="n"/>
      <c r="F921" s="350" t="n"/>
      <c r="G921" s="350" t="n"/>
      <c r="H921" s="350" t="n"/>
      <c r="I921" s="350" t="n"/>
      <c r="J921" s="350" t="n"/>
      <c r="K921" s="351" t="n"/>
      <c r="L921" s="350" t="n"/>
      <c r="M921" s="350" t="n"/>
      <c r="N921" s="344" t="n"/>
      <c r="O921" s="344" t="n"/>
      <c r="P921" s="344" t="n"/>
      <c r="Q921" s="344" t="n"/>
      <c r="R921" s="344" t="n"/>
      <c r="S921" s="344" t="n"/>
      <c r="T921" s="344" t="n"/>
      <c r="U921" s="344" t="n"/>
      <c r="V921" s="344" t="n"/>
      <c r="W921" s="344" t="n"/>
    </row>
    <row r="922" customFormat="1" s="354">
      <c r="A922" s="345" t="n"/>
      <c r="B922" s="581" t="n"/>
      <c r="C922" s="582" t="n"/>
      <c r="D922" s="583" t="n"/>
      <c r="E922" s="584" t="n"/>
      <c r="F922" s="350" t="n"/>
      <c r="G922" s="350" t="n"/>
      <c r="H922" s="350" t="n"/>
      <c r="I922" s="350" t="n"/>
      <c r="J922" s="350" t="n"/>
      <c r="K922" s="351" t="n"/>
      <c r="L922" s="350" t="n"/>
      <c r="M922" s="350" t="n"/>
      <c r="N922" s="344" t="n"/>
      <c r="O922" s="344" t="n"/>
      <c r="P922" s="344" t="n"/>
      <c r="Q922" s="344" t="n"/>
      <c r="R922" s="344" t="n"/>
      <c r="S922" s="344" t="n"/>
      <c r="T922" s="344" t="n"/>
      <c r="U922" s="344" t="n"/>
      <c r="V922" s="344" t="n"/>
      <c r="W922" s="344" t="n"/>
    </row>
    <row r="923" customFormat="1" s="354">
      <c r="A923" s="345" t="n"/>
      <c r="B923" s="581" t="n"/>
      <c r="C923" s="582" t="n"/>
      <c r="D923" s="583" t="n"/>
      <c r="E923" s="584" t="n"/>
      <c r="F923" s="350" t="n"/>
      <c r="G923" s="350" t="n"/>
      <c r="H923" s="350" t="n"/>
      <c r="I923" s="350" t="n"/>
      <c r="J923" s="350" t="n"/>
      <c r="K923" s="351" t="n"/>
      <c r="L923" s="350" t="n"/>
      <c r="M923" s="350" t="n"/>
      <c r="N923" s="344" t="n"/>
      <c r="O923" s="344" t="n"/>
      <c r="P923" s="344" t="n"/>
      <c r="Q923" s="344" t="n"/>
      <c r="R923" s="344" t="n"/>
      <c r="S923" s="344" t="n"/>
      <c r="T923" s="344" t="n"/>
      <c r="U923" s="344" t="n"/>
      <c r="V923" s="344" t="n"/>
      <c r="W923" s="344" t="n"/>
    </row>
    <row r="924" customFormat="1" s="354">
      <c r="A924" s="345" t="n"/>
      <c r="B924" s="581" t="n"/>
      <c r="C924" s="582" t="n"/>
      <c r="D924" s="583" t="n"/>
      <c r="E924" s="584" t="n"/>
      <c r="F924" s="350" t="n"/>
      <c r="G924" s="350" t="n"/>
      <c r="H924" s="350" t="n"/>
      <c r="I924" s="350" t="n"/>
      <c r="J924" s="350" t="n"/>
      <c r="K924" s="351" t="n"/>
      <c r="L924" s="350" t="n"/>
      <c r="M924" s="350" t="n"/>
      <c r="N924" s="344" t="n"/>
      <c r="O924" s="344" t="n"/>
      <c r="P924" s="344" t="n"/>
      <c r="Q924" s="344" t="n"/>
      <c r="R924" s="344" t="n"/>
      <c r="S924" s="344" t="n"/>
      <c r="T924" s="344" t="n"/>
      <c r="U924" s="344" t="n"/>
      <c r="V924" s="344" t="n"/>
      <c r="W924" s="344" t="n"/>
    </row>
    <row r="925" customFormat="1" s="354">
      <c r="A925" s="345" t="n"/>
      <c r="B925" s="581" t="n"/>
      <c r="C925" s="582" t="n"/>
      <c r="D925" s="583" t="n"/>
      <c r="E925" s="584" t="n"/>
      <c r="F925" s="350" t="n"/>
      <c r="G925" s="350" t="n"/>
      <c r="H925" s="350" t="n"/>
      <c r="I925" s="350" t="n"/>
      <c r="J925" s="350" t="n"/>
      <c r="K925" s="351" t="n"/>
      <c r="L925" s="350" t="n"/>
      <c r="M925" s="350" t="n"/>
      <c r="N925" s="344" t="n"/>
      <c r="O925" s="344" t="n"/>
      <c r="P925" s="344" t="n"/>
      <c r="Q925" s="344" t="n"/>
      <c r="R925" s="344" t="n"/>
      <c r="S925" s="344" t="n"/>
      <c r="T925" s="344" t="n"/>
      <c r="U925" s="344" t="n"/>
      <c r="V925" s="344" t="n"/>
      <c r="W925" s="344" t="n"/>
    </row>
    <row r="926" customFormat="1" s="354">
      <c r="A926" s="345" t="n"/>
      <c r="B926" s="581" t="n"/>
      <c r="C926" s="582" t="n"/>
      <c r="D926" s="583" t="n"/>
      <c r="E926" s="584" t="n"/>
      <c r="F926" s="350" t="n"/>
      <c r="G926" s="350" t="n"/>
      <c r="H926" s="350" t="n"/>
      <c r="I926" s="350" t="n"/>
      <c r="J926" s="350" t="n"/>
      <c r="K926" s="351" t="n"/>
      <c r="L926" s="350" t="n"/>
      <c r="M926" s="350" t="n"/>
      <c r="N926" s="344" t="n"/>
      <c r="O926" s="344" t="n"/>
      <c r="P926" s="344" t="n"/>
      <c r="Q926" s="344" t="n"/>
      <c r="R926" s="344" t="n"/>
      <c r="S926" s="344" t="n"/>
      <c r="T926" s="344" t="n"/>
      <c r="U926" s="344" t="n"/>
      <c r="V926" s="344" t="n"/>
      <c r="W926" s="344" t="n"/>
    </row>
    <row r="927" customFormat="1" s="354">
      <c r="A927" s="345" t="n"/>
      <c r="B927" s="581" t="n"/>
      <c r="C927" s="582" t="n"/>
      <c r="D927" s="583" t="n"/>
      <c r="E927" s="584" t="n"/>
      <c r="F927" s="350" t="n"/>
      <c r="G927" s="350" t="n"/>
      <c r="H927" s="350" t="n"/>
      <c r="I927" s="350" t="n"/>
      <c r="J927" s="350" t="n"/>
      <c r="K927" s="351" t="n"/>
      <c r="L927" s="350" t="n"/>
      <c r="M927" s="350" t="n"/>
      <c r="N927" s="344" t="n"/>
      <c r="O927" s="344" t="n"/>
      <c r="P927" s="344" t="n"/>
      <c r="Q927" s="344" t="n"/>
      <c r="R927" s="344" t="n"/>
      <c r="S927" s="344" t="n"/>
      <c r="T927" s="344" t="n"/>
      <c r="U927" s="344" t="n"/>
      <c r="V927" s="344" t="n"/>
      <c r="W927" s="344" t="n"/>
    </row>
    <row r="928" customFormat="1" s="354">
      <c r="A928" s="345" t="n"/>
      <c r="B928" s="581" t="n"/>
      <c r="C928" s="582" t="n"/>
      <c r="D928" s="583" t="n"/>
      <c r="E928" s="584" t="n"/>
      <c r="F928" s="350" t="n"/>
      <c r="G928" s="350" t="n"/>
      <c r="H928" s="350" t="n"/>
      <c r="I928" s="350" t="n"/>
      <c r="J928" s="350" t="n"/>
      <c r="K928" s="351" t="n"/>
      <c r="L928" s="593" t="inlineStr">
        <is>
          <t>../開発規格書/久保レシピ修正版/ＱＣＳ/◆【牛蒡乱切り切替】筑前煮５（白鳥）.xlsx</t>
        </is>
      </c>
      <c r="M928" s="350" t="n"/>
      <c r="N928" s="344" t="n"/>
      <c r="O928" s="344" t="n"/>
      <c r="P928" s="344" t="n"/>
      <c r="Q928" s="344" t="n"/>
      <c r="R928" s="344" t="n"/>
      <c r="S928" s="344" t="n"/>
      <c r="T928" s="344" t="n"/>
      <c r="U928" s="344" t="n"/>
      <c r="V928" s="344" t="n"/>
      <c r="W928" s="344" t="n"/>
    </row>
    <row r="929" customFormat="1" s="354">
      <c r="A929" s="345" t="n"/>
      <c r="B929" s="581" t="n"/>
      <c r="C929" s="582" t="n"/>
      <c r="D929" s="583" t="n"/>
      <c r="E929" s="584" t="n"/>
      <c r="F929" s="350" t="n"/>
      <c r="G929" s="350" t="n"/>
      <c r="H929" s="350" t="n"/>
      <c r="I929" s="350" t="n"/>
      <c r="J929" s="350" t="n"/>
      <c r="K929" s="351" t="n"/>
      <c r="L929" s="350" t="n"/>
      <c r="M929" s="350" t="n"/>
      <c r="N929" s="344" t="n"/>
      <c r="O929" s="344" t="n"/>
      <c r="P929" s="344" t="n"/>
      <c r="Q929" s="344" t="n"/>
      <c r="R929" s="344" t="n"/>
      <c r="S929" s="344" t="n"/>
      <c r="T929" s="344" t="n"/>
      <c r="U929" s="344" t="n"/>
      <c r="V929" s="344" t="n"/>
      <c r="W929" s="344" t="n"/>
    </row>
    <row r="930" customFormat="1" s="354">
      <c r="A930" s="345" t="n"/>
      <c r="B930" s="581" t="n"/>
      <c r="C930" s="582" t="n"/>
      <c r="D930" s="583" t="n"/>
      <c r="E930" s="584" t="n"/>
      <c r="F930" s="350" t="n"/>
      <c r="G930" s="350" t="n"/>
      <c r="H930" s="350" t="n"/>
      <c r="I930" s="350" t="n"/>
      <c r="J930" s="350" t="n"/>
      <c r="K930" s="351" t="n"/>
      <c r="L930" s="350" t="n"/>
      <c r="M930" s="350" t="n"/>
      <c r="N930" s="344" t="n"/>
      <c r="O930" s="344" t="n"/>
      <c r="P930" s="344" t="n"/>
      <c r="Q930" s="344" t="n"/>
      <c r="R930" s="344" t="n"/>
      <c r="S930" s="344" t="n"/>
      <c r="T930" s="344" t="n"/>
      <c r="U930" s="344" t="n"/>
      <c r="V930" s="344" t="n"/>
      <c r="W930" s="344" t="n"/>
    </row>
    <row r="931" customFormat="1" s="354">
      <c r="A931" s="345" t="n"/>
      <c r="B931" s="581" t="n"/>
      <c r="C931" s="582" t="n"/>
      <c r="D931" s="583" t="n"/>
      <c r="E931" s="584" t="n"/>
      <c r="F931" s="350" t="n"/>
      <c r="G931" s="350" t="n"/>
      <c r="H931" s="350" t="n"/>
      <c r="I931" s="350" t="n"/>
      <c r="J931" s="350" t="n"/>
      <c r="K931" s="351" t="n"/>
      <c r="L931" s="350" t="n"/>
      <c r="M931" s="350" t="n"/>
      <c r="N931" s="344" t="n"/>
      <c r="O931" s="344" t="n"/>
      <c r="P931" s="344" t="n"/>
      <c r="Q931" s="344" t="n"/>
      <c r="R931" s="344" t="n"/>
      <c r="S931" s="344" t="n"/>
      <c r="T931" s="344" t="n"/>
      <c r="U931" s="344" t="n"/>
      <c r="V931" s="344" t="n"/>
      <c r="W931" s="344" t="n"/>
    </row>
    <row r="932" customFormat="1" s="354">
      <c r="A932" s="345" t="n"/>
      <c r="B932" s="581" t="n"/>
      <c r="C932" s="582" t="n"/>
      <c r="D932" s="583" t="n"/>
      <c r="E932" s="584" t="n"/>
      <c r="F932" s="350" t="n"/>
      <c r="G932" s="350" t="n"/>
      <c r="H932" s="350" t="n"/>
      <c r="I932" s="350" t="n"/>
      <c r="J932" s="350" t="n"/>
      <c r="K932" s="351" t="n"/>
      <c r="L932" s="350" t="n"/>
      <c r="M932" s="350" t="n"/>
      <c r="N932" s="344" t="n"/>
      <c r="O932" s="344" t="n"/>
      <c r="P932" s="344" t="n"/>
      <c r="Q932" s="344" t="n"/>
      <c r="R932" s="344" t="n"/>
      <c r="S932" s="344" t="n"/>
      <c r="T932" s="344" t="n"/>
      <c r="U932" s="344" t="n"/>
      <c r="V932" s="344" t="n"/>
      <c r="W932" s="344" t="n"/>
    </row>
    <row r="933" customFormat="1" s="354">
      <c r="A933" s="345" t="n"/>
      <c r="B933" s="581" t="n"/>
      <c r="C933" s="582" t="n"/>
      <c r="D933" s="583" t="n"/>
      <c r="E933" s="584" t="n"/>
      <c r="F933" s="350" t="n"/>
      <c r="G933" s="350" t="n"/>
      <c r="H933" s="350" t="n"/>
      <c r="I933" s="350" t="n"/>
      <c r="J933" s="350" t="n"/>
      <c r="K933" s="351" t="n"/>
      <c r="L933" s="350" t="n"/>
      <c r="M933" s="350" t="n"/>
      <c r="N933" s="344" t="n"/>
      <c r="O933" s="344" t="n"/>
      <c r="P933" s="344" t="n"/>
      <c r="Q933" s="344" t="n"/>
      <c r="R933" s="344" t="n"/>
      <c r="S933" s="344" t="n"/>
      <c r="T933" s="344" t="n"/>
      <c r="U933" s="344" t="n"/>
      <c r="V933" s="344" t="n"/>
      <c r="W933" s="344" t="n"/>
    </row>
    <row r="934" customFormat="1" s="354">
      <c r="A934" s="345" t="n"/>
      <c r="B934" s="581" t="n"/>
      <c r="C934" s="582" t="n"/>
      <c r="D934" s="583" t="n"/>
      <c r="E934" s="584" t="n"/>
      <c r="F934" s="350" t="n"/>
      <c r="G934" s="350" t="n"/>
      <c r="H934" s="350" t="n"/>
      <c r="I934" s="350" t="n"/>
      <c r="J934" s="350" t="n"/>
      <c r="K934" s="351" t="n"/>
      <c r="L934" s="355" t="inlineStr">
        <is>
          <t>../開発規格書/久保レシピ修正版/ＱＣＳ/◆◆【商品規格書】◆◆%20さば南蛮漬け２（白鳥）.xlsx</t>
        </is>
      </c>
      <c r="M934" s="350" t="n"/>
      <c r="N934" s="344" t="n"/>
      <c r="O934" s="344" t="n"/>
      <c r="P934" s="344" t="n"/>
      <c r="Q934" s="344" t="n"/>
      <c r="R934" s="344" t="n"/>
      <c r="S934" s="344" t="n"/>
      <c r="T934" s="344" t="n"/>
      <c r="U934" s="344" t="n"/>
      <c r="V934" s="344" t="n"/>
      <c r="W934" s="344" t="n"/>
    </row>
    <row r="935" customFormat="1" s="354">
      <c r="A935" s="345" t="n"/>
      <c r="B935" s="581" t="n"/>
      <c r="C935" s="582" t="n"/>
      <c r="D935" s="583" t="n"/>
      <c r="E935" s="584" t="n"/>
      <c r="F935" s="350" t="n"/>
      <c r="G935" s="350" t="n"/>
      <c r="H935" s="350" t="n"/>
      <c r="I935" s="350" t="n"/>
      <c r="J935" s="350" t="n"/>
      <c r="K935" s="351" t="n"/>
      <c r="L935" s="350" t="n"/>
      <c r="M935" s="350" t="n"/>
      <c r="N935" s="344" t="n"/>
      <c r="O935" s="344" t="n"/>
      <c r="P935" s="344" t="n"/>
      <c r="Q935" s="344" t="n"/>
      <c r="R935" s="344" t="n"/>
      <c r="S935" s="344" t="n"/>
      <c r="T935" s="344" t="n"/>
      <c r="U935" s="344" t="n"/>
      <c r="V935" s="344" t="n"/>
      <c r="W935" s="344" t="n"/>
    </row>
    <row r="936" customFormat="1" s="354">
      <c r="A936" s="345" t="n"/>
      <c r="B936" s="581" t="n"/>
      <c r="C936" s="582" t="n"/>
      <c r="D936" s="583" t="n"/>
      <c r="E936" s="584" t="n"/>
      <c r="F936" s="350" t="n"/>
      <c r="G936" s="350" t="n"/>
      <c r="H936" s="350" t="n"/>
      <c r="I936" s="350" t="n"/>
      <c r="J936" s="350" t="n"/>
      <c r="K936" s="351" t="n"/>
      <c r="L936" s="350" t="n"/>
      <c r="M936" s="350" t="n"/>
      <c r="N936" s="344" t="n"/>
      <c r="O936" s="344" t="n"/>
      <c r="P936" s="344" t="n"/>
      <c r="Q936" s="344" t="n"/>
      <c r="R936" s="344" t="n"/>
      <c r="S936" s="344" t="n"/>
      <c r="T936" s="344" t="n"/>
      <c r="U936" s="344" t="n"/>
      <c r="V936" s="344" t="n"/>
      <c r="W936" s="344" t="n"/>
    </row>
    <row r="937" customFormat="1" s="354">
      <c r="A937" s="345" t="n"/>
      <c r="B937" s="581" t="n"/>
      <c r="C937" s="582" t="n"/>
      <c r="D937" s="583" t="n"/>
      <c r="E937" s="584" t="n"/>
      <c r="F937" s="350" t="n"/>
      <c r="G937" s="350" t="n"/>
      <c r="H937" s="350" t="n"/>
      <c r="I937" s="350" t="n"/>
      <c r="J937" s="350" t="n"/>
      <c r="K937" s="351" t="n"/>
      <c r="L937" s="350" t="n"/>
      <c r="M937" s="358" t="n"/>
      <c r="N937" s="344" t="n"/>
      <c r="O937" s="344" t="n"/>
      <c r="P937" s="344" t="n"/>
      <c r="Q937" s="344" t="n"/>
      <c r="R937" s="344" t="n"/>
      <c r="S937" s="344" t="n"/>
      <c r="T937" s="344" t="n"/>
      <c r="U937" s="344" t="n"/>
      <c r="V937" s="344" t="n"/>
      <c r="W937" s="344" t="n"/>
    </row>
    <row r="938" customFormat="1" s="354">
      <c r="A938" s="345" t="n"/>
      <c r="B938" s="581" t="n"/>
      <c r="C938" s="582" t="n"/>
      <c r="D938" s="583" t="n"/>
      <c r="E938" s="584" t="n"/>
      <c r="F938" s="350" t="n"/>
      <c r="G938" s="350" t="n"/>
      <c r="H938" s="350" t="n"/>
      <c r="I938" s="350" t="n"/>
      <c r="J938" s="350" t="n"/>
      <c r="K938" s="351" t="n"/>
      <c r="L938" s="355" t="inlineStr">
        <is>
          <t>../../../../01_組織_メガ生鮮_惣菜/〇商品開発室/個人名フォルダ/大津/開発規格書/久保レシピ修正版/ＱＣＳ/◆【人参入替】あじの南蛮漬け５%20（白鳥）.xlsx</t>
        </is>
      </c>
      <c r="M938" s="350" t="n"/>
      <c r="N938" s="344" t="n"/>
      <c r="O938" s="344" t="n"/>
      <c r="P938" s="344" t="n"/>
      <c r="Q938" s="344" t="n"/>
      <c r="R938" s="344" t="n"/>
      <c r="S938" s="344" t="n"/>
      <c r="T938" s="344" t="n"/>
      <c r="U938" s="344" t="n"/>
      <c r="V938" s="344" t="n"/>
      <c r="W938" s="344" t="n"/>
    </row>
    <row r="939" customFormat="1" s="354">
      <c r="A939" s="345" t="n"/>
      <c r="B939" s="581" t="n"/>
      <c r="C939" s="582" t="n"/>
      <c r="D939" s="583" t="n"/>
      <c r="E939" s="584" t="n"/>
      <c r="F939" s="350" t="n"/>
      <c r="G939" s="350" t="n"/>
      <c r="H939" s="350" t="n"/>
      <c r="I939" s="350" t="n"/>
      <c r="J939" s="350" t="n"/>
      <c r="K939" s="351" t="n"/>
      <c r="L939" s="355" t="inlineStr">
        <is>
          <t>2841000186565_【ＱＣＳ】レモンカット１／４０.xlsx</t>
        </is>
      </c>
      <c r="M939" s="350" t="n"/>
      <c r="N939" s="344" t="n"/>
      <c r="O939" s="344" t="n"/>
      <c r="P939" s="344" t="n"/>
      <c r="Q939" s="344" t="n"/>
      <c r="R939" s="344" t="n"/>
      <c r="S939" s="344" t="n"/>
      <c r="T939" s="344" t="n"/>
      <c r="U939" s="344" t="n"/>
      <c r="V939" s="344" t="n"/>
      <c r="W939" s="344" t="n"/>
    </row>
    <row r="940" customFormat="1" s="354">
      <c r="A940" s="345" t="n"/>
      <c r="B940" s="581" t="n"/>
      <c r="C940" s="582" t="n"/>
      <c r="D940" s="583" t="n"/>
      <c r="E940" s="584" t="n"/>
      <c r="F940" s="350" t="n"/>
      <c r="G940" s="350" t="n"/>
      <c r="H940" s="350" t="n"/>
      <c r="I940" s="350" t="n"/>
      <c r="J940" s="350" t="n"/>
      <c r="K940" s="351" t="n"/>
      <c r="L940" s="355" t="inlineStr">
        <is>
          <t>../開発規格書/久保レシピ修正版/ＱＣＳ/◆【春雨のタレ切替】◆具材たっぷり中華春雨サラダ５（白鳥）%20のコピー.xlsx</t>
        </is>
      </c>
      <c r="M940" s="350" t="n"/>
      <c r="N940" s="344" t="n"/>
      <c r="O940" s="344" t="n"/>
      <c r="P940" s="344" t="n"/>
      <c r="Q940" s="344" t="n"/>
      <c r="R940" s="344" t="n"/>
      <c r="S940" s="344" t="n"/>
      <c r="T940" s="344" t="n"/>
      <c r="U940" s="344" t="n"/>
      <c r="V940" s="344" t="n"/>
      <c r="W940" s="344" t="n"/>
    </row>
    <row r="941" customFormat="1" s="354">
      <c r="A941" s="345" t="n"/>
      <c r="B941" s="581" t="n"/>
      <c r="C941" s="582" t="n"/>
      <c r="D941" s="583" t="n"/>
      <c r="E941" s="584" t="n"/>
      <c r="F941" s="350" t="n"/>
      <c r="G941" s="350" t="n"/>
      <c r="H941" s="350" t="n"/>
      <c r="I941" s="350" t="n"/>
      <c r="J941" s="350" t="n"/>
      <c r="K941" s="351" t="n"/>
      <c r="L941" s="350" t="n"/>
      <c r="M941" s="350" t="n"/>
      <c r="N941" s="344" t="n"/>
      <c r="O941" s="344" t="n"/>
      <c r="P941" s="344" t="n"/>
      <c r="Q941" s="344" t="n"/>
      <c r="R941" s="344" t="n"/>
      <c r="S941" s="344" t="n"/>
      <c r="T941" s="344" t="n"/>
      <c r="U941" s="344" t="n"/>
      <c r="V941" s="344" t="n"/>
      <c r="W941" s="344" t="n"/>
    </row>
    <row r="942" customFormat="1" s="354">
      <c r="A942" s="345" t="n"/>
      <c r="B942" s="581" t="n"/>
      <c r="C942" s="582" t="n"/>
      <c r="D942" s="583" t="n"/>
      <c r="E942" s="584" t="n"/>
      <c r="F942" s="350" t="n"/>
      <c r="G942" s="350" t="n"/>
      <c r="H942" s="350" t="n"/>
      <c r="I942" s="350" t="n"/>
      <c r="J942" s="350" t="n"/>
      <c r="K942" s="351" t="n"/>
      <c r="L942" s="350" t="n"/>
      <c r="M942" s="350" t="n"/>
      <c r="N942" s="344" t="n"/>
      <c r="O942" s="344" t="n"/>
      <c r="P942" s="344" t="n"/>
      <c r="Q942" s="344" t="n"/>
      <c r="R942" s="344" t="n"/>
      <c r="S942" s="344" t="n"/>
      <c r="T942" s="344" t="n"/>
      <c r="U942" s="344" t="n"/>
      <c r="V942" s="344" t="n"/>
      <c r="W942" s="344" t="n"/>
    </row>
    <row r="943" customFormat="1" s="354">
      <c r="A943" s="345" t="n"/>
      <c r="B943" s="581" t="n"/>
      <c r="C943" s="582" t="n"/>
      <c r="D943" s="583" t="n"/>
      <c r="E943" s="584" t="n"/>
      <c r="F943" s="350" t="n"/>
      <c r="G943" s="350" t="n"/>
      <c r="H943" s="350" t="n"/>
      <c r="I943" s="350" t="n"/>
      <c r="J943" s="350" t="n"/>
      <c r="K943" s="351" t="n"/>
      <c r="L943" s="355" t="inlineStr">
        <is>
          <t>../../../../01_組織_メガ生鮮_惣菜/〇商品開発室/個人名フォルダ/大津/開発規格書/久保レシピ修正版/ＱＣＳ/◆【春雨のタレ切替】◆具材たっぷり中華春雨サラダ５（白鳥）%20のコピー.xlsx</t>
        </is>
      </c>
      <c r="M943" s="350" t="n"/>
      <c r="N943" s="344" t="n"/>
      <c r="O943" s="344" t="n"/>
      <c r="P943" s="344" t="n"/>
      <c r="Q943" s="344" t="n"/>
      <c r="R943" s="344" t="n"/>
      <c r="S943" s="344" t="n"/>
      <c r="T943" s="344" t="n"/>
      <c r="U943" s="344" t="n"/>
      <c r="V943" s="344" t="n"/>
      <c r="W943" s="344" t="n"/>
    </row>
    <row r="944" customFormat="1" s="354">
      <c r="A944" s="345" t="n"/>
      <c r="B944" s="581" t="n"/>
      <c r="C944" s="582" t="n"/>
      <c r="D944" s="583" t="n"/>
      <c r="E944" s="584" t="n"/>
      <c r="F944" s="350" t="n"/>
      <c r="G944" s="350" t="n"/>
      <c r="H944" s="350" t="n"/>
      <c r="I944" s="350" t="n"/>
      <c r="J944" s="350" t="n"/>
      <c r="K944" s="351" t="n"/>
      <c r="L944" s="350" t="n"/>
      <c r="M944" s="350" t="n"/>
      <c r="N944" s="344" t="n"/>
      <c r="O944" s="344" t="n"/>
      <c r="P944" s="344" t="n"/>
      <c r="Q944" s="344" t="n"/>
      <c r="R944" s="344" t="n"/>
      <c r="S944" s="344" t="n"/>
      <c r="T944" s="344" t="n"/>
      <c r="U944" s="344" t="n"/>
      <c r="V944" s="344" t="n"/>
      <c r="W944" s="344" t="n"/>
    </row>
    <row r="945" customFormat="1" s="354">
      <c r="A945" s="345" t="n"/>
      <c r="B945" s="581" t="n"/>
      <c r="C945" s="582" t="n"/>
      <c r="D945" s="583" t="n"/>
      <c r="E945" s="584" t="n"/>
      <c r="F945" s="350" t="n"/>
      <c r="G945" s="350" t="n"/>
      <c r="H945" s="350" t="n"/>
      <c r="I945" s="350" t="n"/>
      <c r="J945" s="350" t="n"/>
      <c r="K945" s="351" t="n"/>
      <c r="L945" s="350" t="n"/>
      <c r="M945" s="358" t="n"/>
      <c r="N945" s="344" t="n"/>
      <c r="O945" s="344" t="n"/>
      <c r="P945" s="344" t="n"/>
      <c r="Q945" s="344" t="n"/>
      <c r="R945" s="344" t="n"/>
      <c r="S945" s="344" t="n"/>
      <c r="T945" s="344" t="n"/>
      <c r="U945" s="344" t="n"/>
      <c r="V945" s="344" t="n"/>
      <c r="W945" s="344" t="n"/>
    </row>
    <row r="946" customFormat="1" s="354">
      <c r="A946" s="345" t="n"/>
      <c r="B946" s="581" t="n"/>
      <c r="C946" s="582" t="n"/>
      <c r="D946" s="583" t="n"/>
      <c r="E946" s="584" t="n"/>
      <c r="F946" s="350" t="n"/>
      <c r="G946" s="350" t="n"/>
      <c r="H946" s="350" t="n"/>
      <c r="I946" s="350" t="n"/>
      <c r="J946" s="350" t="n"/>
      <c r="K946" s="351" t="n"/>
      <c r="L946" s="350" t="n"/>
      <c r="M946" s="350" t="n"/>
      <c r="N946" s="344" t="n"/>
      <c r="O946" s="344" t="n"/>
      <c r="P946" s="344" t="n"/>
      <c r="Q946" s="344" t="n"/>
      <c r="R946" s="344" t="n"/>
      <c r="S946" s="344" t="n"/>
      <c r="T946" s="344" t="n"/>
      <c r="U946" s="344" t="n"/>
      <c r="V946" s="344" t="n"/>
      <c r="W946" s="344" t="n"/>
    </row>
    <row r="947" customFormat="1" s="354">
      <c r="A947" s="345" t="n"/>
      <c r="B947" s="581" t="n"/>
      <c r="C947" s="582" t="n"/>
      <c r="D947" s="583" t="n"/>
      <c r="E947" s="584" t="n"/>
      <c r="F947" s="350" t="n"/>
      <c r="G947" s="350" t="n"/>
      <c r="H947" s="350" t="n"/>
      <c r="I947" s="350" t="n"/>
      <c r="J947" s="350" t="n"/>
      <c r="K947" s="351" t="n"/>
      <c r="L947" s="350" t="n"/>
      <c r="M947" s="350" t="n"/>
      <c r="N947" s="344" t="n"/>
      <c r="O947" s="344" t="n"/>
      <c r="P947" s="344" t="n"/>
      <c r="Q947" s="344" t="n"/>
      <c r="R947" s="344" t="n"/>
      <c r="S947" s="344" t="n"/>
      <c r="T947" s="344" t="n"/>
      <c r="U947" s="344" t="n"/>
      <c r="V947" s="344" t="n"/>
      <c r="W947" s="344" t="n"/>
    </row>
    <row r="948" customFormat="1" s="354">
      <c r="A948" s="345" t="n"/>
      <c r="B948" s="581" t="n"/>
      <c r="C948" s="582" t="n"/>
      <c r="D948" s="583" t="n"/>
      <c r="E948" s="584" t="n"/>
      <c r="F948" s="350" t="n"/>
      <c r="G948" s="350" t="n"/>
      <c r="H948" s="350" t="n"/>
      <c r="I948" s="350" t="n"/>
      <c r="J948" s="350" t="n"/>
      <c r="K948" s="351" t="n"/>
      <c r="L948" s="355" t="inlineStr">
        <is>
          <t>../開発規格書/久保レシピ修正版/ＱＣＳ/◆【人参入替】あじの南蛮漬け５%20（白鳥）.xlsx</t>
        </is>
      </c>
      <c r="M948" s="350" t="n"/>
      <c r="N948" s="344" t="n"/>
      <c r="O948" s="344" t="n"/>
      <c r="P948" s="344" t="n"/>
      <c r="Q948" s="344" t="n"/>
      <c r="R948" s="344" t="n"/>
      <c r="S948" s="344" t="n"/>
      <c r="T948" s="344" t="n"/>
      <c r="U948" s="344" t="n"/>
      <c r="V948" s="344" t="n"/>
      <c r="W948" s="344" t="n"/>
    </row>
    <row r="949" customFormat="1" s="354">
      <c r="A949" s="345" t="n"/>
      <c r="B949" s="581" t="n"/>
      <c r="C949" s="582" t="n"/>
      <c r="D949" s="583" t="n"/>
      <c r="E949" s="584" t="n"/>
      <c r="F949" s="350" t="n"/>
      <c r="G949" s="350" t="n"/>
      <c r="H949" s="350" t="n"/>
      <c r="I949" s="350" t="n"/>
      <c r="J949" s="350" t="n"/>
      <c r="K949" s="351" t="n"/>
      <c r="L949" s="355" t="inlineStr">
        <is>
          <t>2841000182079_【ＱＣＳ】レモンカット１／１６.xlsx</t>
        </is>
      </c>
      <c r="M949" s="350" t="n"/>
      <c r="N949" s="344" t="n"/>
      <c r="O949" s="344" t="n"/>
      <c r="P949" s="344" t="n"/>
      <c r="Q949" s="344" t="n"/>
      <c r="R949" s="344" t="n"/>
      <c r="S949" s="344" t="n"/>
      <c r="T949" s="344" t="n"/>
      <c r="U949" s="344" t="n"/>
      <c r="V949" s="344" t="n"/>
      <c r="W949" s="344" t="n"/>
    </row>
    <row r="950" customFormat="1" s="354">
      <c r="A950" s="345" t="n"/>
      <c r="B950" s="581" t="n"/>
      <c r="C950" s="582" t="n"/>
      <c r="D950" s="583" t="n"/>
      <c r="E950" s="584" t="n"/>
      <c r="F950" s="350" t="n"/>
      <c r="G950" s="350" t="n"/>
      <c r="H950" s="350" t="n"/>
      <c r="I950" s="350" t="n"/>
      <c r="J950" s="350" t="n"/>
      <c r="K950" s="351" t="n"/>
      <c r="L950" s="350" t="n"/>
      <c r="M950" s="350" t="n"/>
      <c r="N950" s="344" t="n"/>
      <c r="O950" s="344" t="n"/>
      <c r="P950" s="344" t="n"/>
      <c r="Q950" s="344" t="n"/>
      <c r="R950" s="344" t="n"/>
      <c r="S950" s="344" t="n"/>
      <c r="T950" s="344" t="n"/>
      <c r="U950" s="344" t="n"/>
      <c r="V950" s="344" t="n"/>
      <c r="W950" s="344" t="n"/>
    </row>
    <row r="951" customFormat="1" s="354">
      <c r="A951" s="345" t="n"/>
      <c r="B951" s="581" t="n"/>
      <c r="C951" s="582" t="n"/>
      <c r="D951" s="583" t="n"/>
      <c r="E951" s="584" t="n"/>
      <c r="F951" s="350" t="n"/>
      <c r="G951" s="350" t="n"/>
      <c r="H951" s="350" t="n"/>
      <c r="I951" s="350" t="n"/>
      <c r="J951" s="350" t="n"/>
      <c r="K951" s="351" t="n"/>
      <c r="L951" s="355" t="inlineStr">
        <is>
          <t>2841000174418_【ＱＣＳ】殺菌青ネギ（次亜使用）.xlsx</t>
        </is>
      </c>
      <c r="M951" s="350" t="n"/>
      <c r="N951" s="344" t="n"/>
      <c r="O951" s="344" t="n"/>
      <c r="P951" s="344" t="n"/>
      <c r="Q951" s="344" t="n"/>
      <c r="R951" s="344" t="n"/>
      <c r="S951" s="344" t="n"/>
      <c r="T951" s="344" t="n"/>
      <c r="U951" s="344" t="n"/>
      <c r="V951" s="344" t="n"/>
      <c r="W951" s="344" t="n"/>
    </row>
    <row r="952" customFormat="1" s="354">
      <c r="A952" s="345" t="n"/>
      <c r="B952" s="581" t="n"/>
      <c r="C952" s="582" t="n"/>
      <c r="D952" s="583" t="n"/>
      <c r="E952" s="584" t="n"/>
      <c r="F952" s="350" t="n"/>
      <c r="G952" s="350" t="n"/>
      <c r="H952" s="350" t="n"/>
      <c r="I952" s="350" t="n"/>
      <c r="J952" s="350" t="n"/>
      <c r="K952" s="351" t="n"/>
      <c r="L952" s="355" t="inlineStr">
        <is>
          <t>2841000174418_【ＱＣＳ】殺菌青ネギ（次亜使用）.xlsx</t>
        </is>
      </c>
      <c r="M952" s="350" t="n"/>
      <c r="N952" s="344" t="n"/>
      <c r="O952" s="344" t="n"/>
      <c r="P952" s="344" t="n"/>
      <c r="Q952" s="344" t="n"/>
      <c r="R952" s="344" t="n"/>
      <c r="S952" s="344" t="n"/>
      <c r="T952" s="344" t="n"/>
      <c r="U952" s="344" t="n"/>
      <c r="V952" s="344" t="n"/>
      <c r="W952" s="344" t="n"/>
    </row>
    <row r="953" customFormat="1" s="354">
      <c r="A953" s="345" t="n"/>
      <c r="B953" s="581" t="n"/>
      <c r="C953" s="582" t="n"/>
      <c r="D953" s="583" t="n"/>
      <c r="E953" s="584" t="n"/>
      <c r="F953" s="350" t="n"/>
      <c r="G953" s="350" t="n"/>
      <c r="H953" s="350" t="n"/>
      <c r="I953" s="350" t="n"/>
      <c r="J953" s="350" t="n"/>
      <c r="K953" s="351" t="n"/>
      <c r="L953" s="355" t="inlineStr">
        <is>
          <t>2841000174418_【ＱＣＳ】殺菌青ネギ（次亜使用）.xlsx</t>
        </is>
      </c>
      <c r="M953" s="350" t="n"/>
      <c r="N953" s="344" t="n"/>
      <c r="O953" s="344" t="n"/>
      <c r="P953" s="344" t="n"/>
      <c r="Q953" s="344" t="n"/>
      <c r="R953" s="344" t="n"/>
      <c r="S953" s="344" t="n"/>
      <c r="T953" s="344" t="n"/>
      <c r="U953" s="344" t="n"/>
      <c r="V953" s="344" t="n"/>
      <c r="W953" s="344" t="n"/>
    </row>
    <row r="954" customFormat="1" s="354">
      <c r="A954" s="345" t="n"/>
      <c r="B954" s="581" t="n"/>
      <c r="C954" s="582" t="n"/>
      <c r="D954" s="583" t="n"/>
      <c r="E954" s="584" t="n"/>
      <c r="F954" s="350" t="n"/>
      <c r="G954" s="350" t="n"/>
      <c r="H954" s="350" t="n"/>
      <c r="I954" s="350" t="n"/>
      <c r="J954" s="350" t="n"/>
      <c r="K954" s="351" t="n"/>
      <c r="L954" s="355" t="inlineStr">
        <is>
          <t>2841000174418_【ＱＣＳ】殺菌青ネギ（次亜使用）.xlsx</t>
        </is>
      </c>
      <c r="M954" s="350" t="n"/>
      <c r="N954" s="344" t="n"/>
      <c r="O954" s="344" t="n"/>
      <c r="P954" s="344" t="n"/>
      <c r="Q954" s="344" t="n"/>
      <c r="R954" s="344" t="n"/>
      <c r="S954" s="344" t="n"/>
      <c r="T954" s="344" t="n"/>
      <c r="U954" s="344" t="n"/>
      <c r="V954" s="344" t="n"/>
      <c r="W954" s="344" t="n"/>
    </row>
    <row r="955" customFormat="1" s="354">
      <c r="A955" s="345" t="n"/>
      <c r="B955" s="581" t="n"/>
      <c r="C955" s="582" t="n"/>
      <c r="D955" s="583" t="n"/>
      <c r="E955" s="584" t="n"/>
      <c r="F955" s="350" t="n"/>
      <c r="G955" s="350" t="n"/>
      <c r="H955" s="350" t="n"/>
      <c r="I955" s="350" t="n"/>
      <c r="J955" s="350" t="n"/>
      <c r="K955" s="351" t="n"/>
      <c r="L955" s="350" t="n"/>
      <c r="M955" s="350" t="n"/>
      <c r="N955" s="344" t="n"/>
      <c r="O955" s="344" t="n"/>
      <c r="P955" s="344" t="n"/>
      <c r="Q955" s="344" t="n"/>
      <c r="R955" s="344" t="n"/>
      <c r="S955" s="344" t="n"/>
      <c r="T955" s="344" t="n"/>
      <c r="U955" s="344" t="n"/>
      <c r="V955" s="344" t="n"/>
      <c r="W955" s="344" t="n"/>
    </row>
    <row r="956" customFormat="1" s="354">
      <c r="A956" s="345" t="n"/>
      <c r="B956" s="581" t="n"/>
      <c r="C956" s="582" t="n"/>
      <c r="D956" s="583" t="n"/>
      <c r="E956" s="584" t="n"/>
      <c r="F956" s="350" t="n"/>
      <c r="G956" s="350" t="n"/>
      <c r="H956" s="350" t="n"/>
      <c r="I956" s="350" t="n"/>
      <c r="J956" s="350" t="n"/>
      <c r="K956" s="351" t="n"/>
      <c r="L956" s="355" t="inlineStr">
        <is>
          <t>2841000174418_【ＱＣＳ】殺菌青ネギ（次亜使用）.xlsx</t>
        </is>
      </c>
      <c r="M956" s="350" t="n"/>
      <c r="N956" s="344" t="n"/>
      <c r="O956" s="344" t="n"/>
      <c r="P956" s="344" t="n"/>
      <c r="Q956" s="344" t="n"/>
      <c r="R956" s="344" t="n"/>
      <c r="S956" s="344" t="n"/>
      <c r="T956" s="344" t="n"/>
      <c r="U956" s="344" t="n"/>
      <c r="V956" s="344" t="n"/>
      <c r="W956" s="344" t="n"/>
    </row>
    <row r="957" customFormat="1" s="354">
      <c r="A957" s="345" t="n"/>
      <c r="B957" s="581" t="n"/>
      <c r="C957" s="582" t="n"/>
      <c r="D957" s="583" t="n"/>
      <c r="E957" s="584" t="n"/>
      <c r="F957" s="350" t="n"/>
      <c r="G957" s="350" t="n"/>
      <c r="H957" s="350" t="n"/>
      <c r="I957" s="350" t="n"/>
      <c r="J957" s="350" t="n"/>
      <c r="K957" s="351" t="n"/>
      <c r="L957" s="355" t="inlineStr">
        <is>
          <t>2841000174418_【ＱＣＳ】殺菌青ネギ（次亜使用）.xlsx</t>
        </is>
      </c>
      <c r="M957" s="350" t="n"/>
      <c r="N957" s="344" t="n"/>
      <c r="O957" s="344" t="n"/>
      <c r="P957" s="344" t="n"/>
      <c r="Q957" s="344" t="n"/>
      <c r="R957" s="344" t="n"/>
      <c r="S957" s="344" t="n"/>
      <c r="T957" s="344" t="n"/>
      <c r="U957" s="344" t="n"/>
      <c r="V957" s="344" t="n"/>
      <c r="W957" s="344" t="n"/>
    </row>
    <row r="958" customFormat="1" s="354">
      <c r="A958" s="345" t="n"/>
      <c r="B958" s="581" t="n"/>
      <c r="C958" s="582" t="n"/>
      <c r="D958" s="583" t="n"/>
      <c r="E958" s="584" t="n"/>
      <c r="F958" s="350" t="n"/>
      <c r="G958" s="350" t="n"/>
      <c r="H958" s="350" t="n"/>
      <c r="I958" s="350" t="n"/>
      <c r="J958" s="350" t="n"/>
      <c r="K958" s="351" t="n"/>
      <c r="L958" s="355" t="inlineStr">
        <is>
          <t>2841000174418_【ＱＣＳ】殺菌青ネギ（次亜使用）.xlsx</t>
        </is>
      </c>
      <c r="M958" s="350" t="n"/>
      <c r="N958" s="344" t="n"/>
      <c r="O958" s="344" t="n"/>
      <c r="P958" s="344" t="n"/>
      <c r="Q958" s="344" t="n"/>
      <c r="R958" s="344" t="n"/>
      <c r="S958" s="344" t="n"/>
      <c r="T958" s="344" t="n"/>
      <c r="U958" s="344" t="n"/>
      <c r="V958" s="344" t="n"/>
      <c r="W958" s="344" t="n"/>
    </row>
    <row r="959" customFormat="1" s="354">
      <c r="A959" s="345" t="n"/>
      <c r="B959" s="581" t="n"/>
      <c r="C959" s="582" t="n"/>
      <c r="D959" s="583" t="n"/>
      <c r="E959" s="584" t="n"/>
      <c r="F959" s="350" t="n"/>
      <c r="G959" s="350" t="n"/>
      <c r="H959" s="350" t="n"/>
      <c r="I959" s="350" t="n"/>
      <c r="J959" s="350" t="n"/>
      <c r="K959" s="351" t="n"/>
      <c r="L959" s="355" t="inlineStr">
        <is>
          <t>2841000174418_【ＱＣＳ】殺菌青ネギ（次亜使用）.xlsx</t>
        </is>
      </c>
      <c r="M959" s="350" t="n"/>
      <c r="N959" s="344" t="n"/>
      <c r="O959" s="344" t="n"/>
      <c r="P959" s="344" t="n"/>
      <c r="Q959" s="344" t="n"/>
      <c r="R959" s="344" t="n"/>
      <c r="S959" s="344" t="n"/>
      <c r="T959" s="344" t="n"/>
      <c r="U959" s="344" t="n"/>
      <c r="V959" s="344" t="n"/>
      <c r="W959" s="344" t="n"/>
    </row>
    <row r="960" customFormat="1" s="354">
      <c r="A960" s="345" t="n"/>
      <c r="B960" s="581" t="n"/>
      <c r="C960" s="582" t="n"/>
      <c r="D960" s="583" t="n"/>
      <c r="E960" s="584" t="n"/>
      <c r="F960" s="350" t="n"/>
      <c r="G960" s="350" t="n"/>
      <c r="H960" s="350" t="n"/>
      <c r="I960" s="350" t="n"/>
      <c r="J960" s="350" t="n"/>
      <c r="K960" s="351" t="n"/>
      <c r="L960" s="587" t="inlineStr">
        <is>
          <t>../開発規格書/久保レシピ修正版/ＱＣＳ/◆◆【商品規格書】◆◆%20揚げだし豆腐2.xlsx</t>
        </is>
      </c>
      <c r="M960" s="350" t="n"/>
      <c r="N960" s="344" t="n"/>
      <c r="O960" s="344" t="n"/>
      <c r="P960" s="344" t="n"/>
      <c r="Q960" s="344" t="n"/>
      <c r="R960" s="344" t="n"/>
      <c r="S960" s="344" t="n"/>
      <c r="T960" s="344" t="n"/>
      <c r="U960" s="344" t="n"/>
      <c r="V960" s="344" t="n"/>
      <c r="W960" s="344" t="n"/>
    </row>
    <row r="961" customFormat="1" s="354">
      <c r="A961" s="345" t="n"/>
      <c r="B961" s="581" t="n"/>
      <c r="C961" s="582" t="n"/>
      <c r="D961" s="583" t="n"/>
      <c r="E961" s="584" t="n"/>
      <c r="F961" s="350" t="n"/>
      <c r="G961" s="350" t="n"/>
      <c r="H961" s="350" t="n"/>
      <c r="I961" s="350" t="n"/>
      <c r="J961" s="350" t="n"/>
      <c r="K961" s="351" t="n"/>
      <c r="L961" s="350" t="n"/>
      <c r="M961" s="350" t="n"/>
      <c r="N961" s="344" t="n"/>
      <c r="O961" s="344" t="n"/>
      <c r="P961" s="344" t="n"/>
      <c r="Q961" s="344" t="n"/>
      <c r="R961" s="344" t="n"/>
      <c r="S961" s="344" t="n"/>
      <c r="T961" s="344" t="n"/>
      <c r="U961" s="344" t="n"/>
      <c r="V961" s="344" t="n"/>
      <c r="W961" s="344" t="n"/>
    </row>
    <row r="962" customFormat="1" s="354">
      <c r="A962" s="345" t="n"/>
      <c r="B962" s="581" t="n"/>
      <c r="C962" s="582" t="n"/>
      <c r="D962" s="583" t="n"/>
      <c r="E962" s="584" t="n"/>
      <c r="F962" s="350" t="n"/>
      <c r="G962" s="350" t="n"/>
      <c r="H962" s="350" t="n"/>
      <c r="I962" s="350" t="n"/>
      <c r="J962" s="350" t="n"/>
      <c r="K962" s="351" t="n"/>
      <c r="L962" s="355" t="inlineStr">
        <is>
          <t>2841000174418_【ＱＣＳ】殺菌青ネギ（次亜使用）.xlsx</t>
        </is>
      </c>
      <c r="M962" s="350" t="n"/>
      <c r="N962" s="344" t="n"/>
      <c r="O962" s="344" t="n"/>
      <c r="P962" s="344" t="n"/>
      <c r="Q962" s="344" t="n"/>
      <c r="R962" s="344" t="n"/>
      <c r="S962" s="344" t="n"/>
      <c r="T962" s="344" t="n"/>
      <c r="U962" s="344" t="n"/>
      <c r="V962" s="344" t="n"/>
      <c r="W962" s="344" t="n"/>
    </row>
    <row r="963" customFormat="1" s="354">
      <c r="A963" s="345" t="n"/>
      <c r="B963" s="581" t="n"/>
      <c r="C963" s="582" t="n"/>
      <c r="D963" s="583" t="n"/>
      <c r="E963" s="584" t="n"/>
      <c r="F963" s="350" t="n"/>
      <c r="G963" s="350" t="n"/>
      <c r="H963" s="350" t="n"/>
      <c r="I963" s="350" t="n"/>
      <c r="J963" s="350" t="n"/>
      <c r="K963" s="351" t="n"/>
      <c r="L963" s="355" t="inlineStr">
        <is>
          <t>2841000174418_【ＱＣＳ】殺菌青ネギ（次亜使用）.xlsx</t>
        </is>
      </c>
      <c r="M963" s="350" t="n"/>
      <c r="N963" s="344" t="n"/>
      <c r="O963" s="344" t="n"/>
      <c r="P963" s="344" t="n"/>
      <c r="Q963" s="344" t="n"/>
      <c r="R963" s="344" t="n"/>
      <c r="S963" s="344" t="n"/>
      <c r="T963" s="344" t="n"/>
      <c r="U963" s="344" t="n"/>
      <c r="V963" s="344" t="n"/>
      <c r="W963" s="344" t="n"/>
    </row>
    <row r="964" customFormat="1" s="354">
      <c r="A964" s="345" t="n"/>
      <c r="B964" s="581" t="n"/>
      <c r="C964" s="582" t="n"/>
      <c r="D964" s="583" t="n"/>
      <c r="E964" s="584" t="n"/>
      <c r="F964" s="350" t="n"/>
      <c r="G964" s="350" t="n"/>
      <c r="H964" s="350" t="n"/>
      <c r="I964" s="350" t="n"/>
      <c r="J964" s="350" t="n"/>
      <c r="K964" s="351" t="n"/>
      <c r="L964" s="355" t="inlineStr">
        <is>
          <t>2841000174418_【ＱＣＳ】殺菌青ネギ（次亜使用）.xlsx</t>
        </is>
      </c>
      <c r="M964" s="350" t="n"/>
      <c r="N964" s="344" t="n"/>
      <c r="O964" s="344" t="n"/>
      <c r="P964" s="344" t="n"/>
      <c r="Q964" s="344" t="n"/>
      <c r="R964" s="344" t="n"/>
      <c r="S964" s="344" t="n"/>
      <c r="T964" s="344" t="n"/>
      <c r="U964" s="344" t="n"/>
      <c r="V964" s="344" t="n"/>
      <c r="W964" s="344" t="n"/>
    </row>
    <row r="965" customFormat="1" s="354">
      <c r="A965" s="345" t="n"/>
      <c r="B965" s="581" t="n"/>
      <c r="C965" s="582" t="n"/>
      <c r="D965" s="583" t="n"/>
      <c r="E965" s="584" t="n"/>
      <c r="F965" s="350" t="n"/>
      <c r="G965" s="350" t="n"/>
      <c r="H965" s="350" t="n"/>
      <c r="I965" s="350" t="n"/>
      <c r="J965" s="350" t="n"/>
      <c r="K965" s="351" t="n"/>
      <c r="L965" s="355" t="inlineStr">
        <is>
          <t>2841000174418_【ＱＣＳ】殺菌青ネギ（次亜使用）.xlsx</t>
        </is>
      </c>
      <c r="M965" s="350" t="n"/>
      <c r="N965" s="344" t="n"/>
      <c r="O965" s="344" t="n"/>
      <c r="P965" s="344" t="n"/>
      <c r="Q965" s="344" t="n"/>
      <c r="R965" s="344" t="n"/>
      <c r="S965" s="344" t="n"/>
      <c r="T965" s="344" t="n"/>
      <c r="U965" s="344" t="n"/>
      <c r="V965" s="344" t="n"/>
      <c r="W965" s="344" t="n"/>
    </row>
    <row r="966" customFormat="1" s="354">
      <c r="A966" s="345" t="n"/>
      <c r="B966" s="581" t="n"/>
      <c r="C966" s="582" t="n"/>
      <c r="D966" s="583" t="n"/>
      <c r="E966" s="584" t="n"/>
      <c r="F966" s="350" t="n"/>
      <c r="G966" s="350" t="n"/>
      <c r="H966" s="350" t="n"/>
      <c r="I966" s="350" t="n"/>
      <c r="J966" s="350" t="n"/>
      <c r="K966" s="351" t="n"/>
      <c r="L966" s="355" t="inlineStr">
        <is>
          <t>../開発規格書/久保レシピ修正版/ＱＣＳ/◆◆【商品規格書】やみつきおつまみオクラ◆◆白鳥.xlsx</t>
        </is>
      </c>
      <c r="M966" s="350" t="n"/>
      <c r="N966" s="344" t="n"/>
      <c r="O966" s="344" t="n"/>
      <c r="P966" s="344" t="n"/>
      <c r="Q966" s="344" t="n"/>
      <c r="R966" s="344" t="n"/>
      <c r="S966" s="344" t="n"/>
      <c r="T966" s="344" t="n"/>
      <c r="U966" s="344" t="n"/>
      <c r="V966" s="344" t="n"/>
      <c r="W966" s="344" t="n"/>
    </row>
    <row r="967" customFormat="1" s="354">
      <c r="A967" s="345" t="n"/>
      <c r="B967" s="581" t="n"/>
      <c r="C967" s="582" t="n"/>
      <c r="D967" s="583" t="n"/>
      <c r="E967" s="584" t="n"/>
      <c r="F967" s="350" t="n"/>
      <c r="G967" s="350" t="n"/>
      <c r="H967" s="350" t="n"/>
      <c r="I967" s="350" t="n"/>
      <c r="J967" s="350" t="n"/>
      <c r="K967" s="351" t="n"/>
      <c r="L967" s="355" t="inlineStr">
        <is>
          <t>../開発規格書/久保レシピ修正版/ＱＣＳ/◆◆【商品規格書】やみつきおつまみオクラ◆◆白鳥.xlsx</t>
        </is>
      </c>
      <c r="M967" s="350" t="n"/>
      <c r="N967" s="344" t="n"/>
      <c r="O967" s="344" t="n"/>
      <c r="P967" s="344" t="n"/>
      <c r="Q967" s="344" t="n"/>
      <c r="R967" s="344" t="n"/>
      <c r="S967" s="344" t="n"/>
      <c r="T967" s="344" t="n"/>
      <c r="U967" s="344" t="n"/>
      <c r="V967" s="344" t="n"/>
      <c r="W967" s="344" t="n"/>
    </row>
    <row r="968" customFormat="1" s="354">
      <c r="A968" s="345" t="n"/>
      <c r="B968" s="581" t="n"/>
      <c r="C968" s="582" t="n"/>
      <c r="D968" s="583" t="n"/>
      <c r="E968" s="584" t="n"/>
      <c r="F968" s="350" t="n"/>
      <c r="G968" s="350" t="n"/>
      <c r="H968" s="350" t="n"/>
      <c r="I968" s="350" t="n"/>
      <c r="J968" s="350" t="n"/>
      <c r="K968" s="351" t="n"/>
      <c r="L968" s="355" t="inlineStr">
        <is>
          <t>../開発規格書/久保レシピ修正版/ＱＣＳ/◆◆【商品規格書】やみつきおつまみオクラ◆◆白鳥.xlsx</t>
        </is>
      </c>
      <c r="M968" s="350" t="n"/>
      <c r="N968" s="344" t="n"/>
      <c r="O968" s="344" t="n"/>
      <c r="P968" s="344" t="n"/>
      <c r="Q968" s="344" t="n"/>
      <c r="R968" s="344" t="n"/>
      <c r="S968" s="344" t="n"/>
      <c r="T968" s="344" t="n"/>
      <c r="U968" s="344" t="n"/>
      <c r="V968" s="344" t="n"/>
      <c r="W968" s="344" t="n"/>
    </row>
    <row r="969" customFormat="1" s="354">
      <c r="A969" s="345" t="n"/>
      <c r="B969" s="581" t="n"/>
      <c r="C969" s="582" t="n"/>
      <c r="D969" s="583" t="n"/>
      <c r="E969" s="584" t="n"/>
      <c r="F969" s="350" t="n"/>
      <c r="G969" s="350" t="n"/>
      <c r="H969" s="350" t="n"/>
      <c r="I969" s="350" t="n"/>
      <c r="J969" s="350" t="n"/>
      <c r="K969" s="351" t="n"/>
      <c r="L969" s="355" t="inlineStr">
        <is>
          <t>../開発規格書/久保レシピ修正版/ＱＣＳ/◆◆【商品規格書】やみつきおつまみオクラ◆◆白鳥.xlsx</t>
        </is>
      </c>
      <c r="M969" s="350" t="n"/>
      <c r="N969" s="344" t="n"/>
      <c r="O969" s="344" t="n"/>
      <c r="P969" s="344" t="n"/>
      <c r="Q969" s="344" t="n"/>
      <c r="R969" s="344" t="n"/>
      <c r="S969" s="344" t="n"/>
      <c r="T969" s="344" t="n"/>
      <c r="U969" s="344" t="n"/>
      <c r="V969" s="344" t="n"/>
      <c r="W969" s="344" t="n"/>
    </row>
    <row r="970" customFormat="1" s="354">
      <c r="A970" s="345" t="n"/>
      <c r="B970" s="581" t="n"/>
      <c r="C970" s="582" t="n"/>
      <c r="D970" s="583" t="n"/>
      <c r="E970" s="584" t="n"/>
      <c r="F970" s="350" t="n"/>
      <c r="G970" s="350" t="n"/>
      <c r="H970" s="350" t="n"/>
      <c r="I970" s="350" t="n"/>
      <c r="J970" s="350" t="n"/>
      <c r="K970" s="351" t="n"/>
      <c r="L970" s="587" t="inlineStr">
        <is>
          <t>../開発規格書/久保レシピ修正版/ＱＣＳ/かぼちゃ煮３（白鳥）.xlsx</t>
        </is>
      </c>
      <c r="M970" s="350" t="n"/>
      <c r="N970" s="344" t="n"/>
      <c r="O970" s="344" t="n"/>
      <c r="P970" s="344" t="n"/>
      <c r="Q970" s="344" t="n"/>
      <c r="R970" s="344" t="n"/>
      <c r="S970" s="344" t="n"/>
      <c r="T970" s="344" t="n"/>
      <c r="U970" s="344" t="n"/>
      <c r="V970" s="344" t="n"/>
      <c r="W970" s="344" t="n"/>
    </row>
    <row r="971" customFormat="1" s="354">
      <c r="A971" s="345" t="n"/>
      <c r="B971" s="581" t="n"/>
      <c r="C971" s="582" t="n"/>
      <c r="D971" s="583" t="n"/>
      <c r="E971" s="584" t="n"/>
      <c r="F971" s="350" t="n"/>
      <c r="G971" s="350" t="n"/>
      <c r="H971" s="350" t="n"/>
      <c r="I971" s="350" t="n"/>
      <c r="J971" s="350" t="n"/>
      <c r="K971" s="351" t="n"/>
      <c r="L971" s="350" t="n"/>
      <c r="M971" s="350" t="n"/>
      <c r="N971" s="344" t="n"/>
      <c r="O971" s="344" t="n"/>
      <c r="P971" s="344" t="n"/>
      <c r="Q971" s="344" t="n"/>
      <c r="R971" s="344" t="n"/>
      <c r="S971" s="344" t="n"/>
      <c r="T971" s="344" t="n"/>
      <c r="U971" s="344" t="n"/>
      <c r="V971" s="344" t="n"/>
      <c r="W971" s="344" t="n"/>
    </row>
    <row r="972" customFormat="1" s="354">
      <c r="A972" s="345" t="n"/>
      <c r="B972" s="581" t="n"/>
      <c r="C972" s="582" t="n"/>
      <c r="D972" s="583" t="n"/>
      <c r="E972" s="584" t="n"/>
      <c r="F972" s="350" t="n"/>
      <c r="G972" s="350" t="n"/>
      <c r="H972" s="350" t="n"/>
      <c r="I972" s="350" t="n"/>
      <c r="J972" s="350" t="n"/>
      <c r="K972" s="351" t="n"/>
      <c r="L972" s="350" t="n"/>
      <c r="M972" s="350" t="n"/>
      <c r="N972" s="344" t="n"/>
      <c r="O972" s="344" t="n"/>
      <c r="P972" s="344" t="n"/>
      <c r="Q972" s="344" t="n"/>
      <c r="R972" s="344" t="n"/>
      <c r="S972" s="344" t="n"/>
      <c r="T972" s="344" t="n"/>
      <c r="U972" s="344" t="n"/>
      <c r="V972" s="344" t="n"/>
      <c r="W972" s="344" t="n"/>
    </row>
    <row r="973" customFormat="1" s="354">
      <c r="A973" s="345" t="n"/>
      <c r="B973" s="581" t="n"/>
      <c r="C973" s="582" t="n"/>
      <c r="D973" s="583" t="n"/>
      <c r="E973" s="584" t="n"/>
      <c r="F973" s="350" t="n"/>
      <c r="G973" s="350" t="n"/>
      <c r="H973" s="350" t="n"/>
      <c r="I973" s="350" t="n"/>
      <c r="J973" s="350" t="n"/>
      <c r="K973" s="351" t="n"/>
      <c r="L973" s="350" t="n"/>
      <c r="M973" s="350" t="n"/>
      <c r="N973" s="344" t="n"/>
      <c r="O973" s="344" t="n"/>
      <c r="P973" s="344" t="n"/>
      <c r="Q973" s="344" t="n"/>
      <c r="R973" s="344" t="n"/>
      <c r="S973" s="344" t="n"/>
      <c r="T973" s="344" t="n"/>
      <c r="U973" s="344" t="n"/>
      <c r="V973" s="344" t="n"/>
      <c r="W973" s="344" t="n"/>
    </row>
    <row r="974" customFormat="1" s="354">
      <c r="A974" s="345" t="n"/>
      <c r="B974" s="581" t="n"/>
      <c r="C974" s="582" t="n"/>
      <c r="D974" s="583" t="n"/>
      <c r="E974" s="584" t="n"/>
      <c r="F974" s="350" t="n"/>
      <c r="G974" s="350" t="n"/>
      <c r="H974" s="350" t="n"/>
      <c r="I974" s="350" t="n"/>
      <c r="J974" s="350" t="n"/>
      <c r="K974" s="351" t="n"/>
      <c r="L974" s="593" t="inlineStr">
        <is>
          <t>../開発規格書/久保レシピ修正版/ＱＣＳ/◆4月3日◆【商品規格書】◆タコとわかめの酢物２◆.xlsx</t>
        </is>
      </c>
      <c r="M974" s="350" t="n"/>
      <c r="N974" s="344" t="n"/>
      <c r="O974" s="344" t="n"/>
      <c r="P974" s="344" t="n"/>
      <c r="Q974" s="344" t="n"/>
      <c r="R974" s="344" t="n"/>
      <c r="S974" s="344" t="n"/>
      <c r="T974" s="344" t="n"/>
      <c r="U974" s="344" t="n"/>
      <c r="V974" s="344" t="n"/>
      <c r="W974" s="344" t="n"/>
    </row>
    <row r="975" customFormat="1" s="354">
      <c r="A975" s="345" t="n"/>
      <c r="B975" s="581" t="n"/>
      <c r="C975" s="582" t="n"/>
      <c r="D975" s="583" t="n"/>
      <c r="E975" s="584" t="n"/>
      <c r="F975" s="350" t="n"/>
      <c r="G975" s="350" t="n"/>
      <c r="H975" s="350" t="n"/>
      <c r="I975" s="350" t="n"/>
      <c r="J975" s="350" t="n"/>
      <c r="K975" s="351" t="n"/>
      <c r="L975" s="355" t="inlineStr">
        <is>
          <t>../開発規格書/久保レシピ修正版/ＱＣＳ/◆【春雨のタレ切替】◆具材たっぷり中華春雨サラダ５（白鳥）%20のコピー.xlsx</t>
        </is>
      </c>
      <c r="M975" s="350" t="n"/>
      <c r="N975" s="344" t="n"/>
      <c r="O975" s="344" t="n"/>
      <c r="P975" s="344" t="n"/>
      <c r="Q975" s="344" t="n"/>
      <c r="R975" s="344" t="n"/>
      <c r="S975" s="344" t="n"/>
      <c r="T975" s="344" t="n"/>
      <c r="U975" s="344" t="n"/>
      <c r="V975" s="344" t="n"/>
      <c r="W975" s="344" t="n"/>
    </row>
    <row r="976" customFormat="1" s="354">
      <c r="A976" s="345" t="n"/>
      <c r="B976" s="581" t="n"/>
      <c r="C976" s="582" t="n"/>
      <c r="D976" s="583" t="n"/>
      <c r="E976" s="584" t="n"/>
      <c r="F976" s="350" t="n"/>
      <c r="G976" s="350" t="n"/>
      <c r="H976" s="350" t="n"/>
      <c r="I976" s="350" t="n"/>
      <c r="J976" s="350" t="n"/>
      <c r="K976" s="351" t="n"/>
      <c r="L976" s="355" t="inlineStr">
        <is>
          <t>2841000200063_【ＱＣＳ】きゅうり輪切り.xlsx</t>
        </is>
      </c>
      <c r="M976" s="350" t="n"/>
      <c r="N976" s="344" t="n"/>
      <c r="O976" s="344" t="n"/>
      <c r="P976" s="344" t="n"/>
      <c r="Q976" s="344" t="n"/>
      <c r="R976" s="344" t="n"/>
      <c r="S976" s="344" t="n"/>
      <c r="T976" s="344" t="n"/>
      <c r="U976" s="344" t="n"/>
      <c r="V976" s="344" t="n"/>
      <c r="W976" s="344" t="n"/>
    </row>
    <row r="977" customFormat="1" s="354">
      <c r="A977" s="345" t="n"/>
      <c r="B977" s="581" t="n"/>
      <c r="C977" s="582" t="n"/>
      <c r="D977" s="583" t="n"/>
      <c r="E977" s="584" t="n"/>
      <c r="F977" s="350" t="n"/>
      <c r="G977" s="350" t="n"/>
      <c r="H977" s="350" t="n"/>
      <c r="I977" s="350" t="n"/>
      <c r="J977" s="350" t="n"/>
      <c r="K977" s="351" t="n"/>
      <c r="L977" s="355" t="inlineStr">
        <is>
          <t>2841000200063_【ＱＣＳ】きゅうり輪切り.xlsx</t>
        </is>
      </c>
      <c r="M977" s="350" t="n"/>
      <c r="N977" s="344" t="n"/>
      <c r="O977" s="344" t="n"/>
      <c r="P977" s="344" t="n"/>
      <c r="Q977" s="344" t="n"/>
      <c r="R977" s="344" t="n"/>
      <c r="S977" s="344" t="n"/>
      <c r="T977" s="344" t="n"/>
      <c r="U977" s="344" t="n"/>
      <c r="V977" s="344" t="n"/>
      <c r="W977" s="344" t="n"/>
    </row>
    <row r="978" customFormat="1" s="354">
      <c r="A978" s="345" t="n"/>
      <c r="B978" s="581" t="n"/>
      <c r="C978" s="582" t="n"/>
      <c r="D978" s="583" t="n"/>
      <c r="E978" s="584" t="n"/>
      <c r="F978" s="350" t="n"/>
      <c r="G978" s="350" t="n"/>
      <c r="H978" s="350" t="n"/>
      <c r="I978" s="350" t="n"/>
      <c r="J978" s="350" t="n"/>
      <c r="K978" s="351" t="n"/>
      <c r="L978" s="350" t="n"/>
      <c r="M978" s="350" t="n"/>
      <c r="N978" s="344" t="n"/>
      <c r="O978" s="344" t="n"/>
      <c r="P978" s="344" t="n"/>
      <c r="Q978" s="344" t="n"/>
      <c r="R978" s="344" t="n"/>
      <c r="S978" s="344" t="n"/>
      <c r="T978" s="344" t="n"/>
      <c r="U978" s="344" t="n"/>
      <c r="V978" s="344" t="n"/>
      <c r="W978" s="344" t="n"/>
    </row>
    <row r="979" customFormat="1" s="354">
      <c r="A979" s="345" t="n"/>
      <c r="B979" s="581" t="n"/>
      <c r="C979" s="582" t="n"/>
      <c r="D979" s="583" t="n"/>
      <c r="E979" s="584" t="n"/>
      <c r="F979" s="350" t="n"/>
      <c r="G979" s="350" t="n"/>
      <c r="H979" s="350" t="n"/>
      <c r="I979" s="350" t="n"/>
      <c r="J979" s="350" t="n"/>
      <c r="K979" s="351" t="n"/>
      <c r="L979" s="350" t="n"/>
      <c r="M979" s="350" t="n"/>
      <c r="N979" s="344" t="n"/>
      <c r="O979" s="344" t="n"/>
      <c r="P979" s="344" t="n"/>
      <c r="Q979" s="344" t="n"/>
      <c r="R979" s="344" t="n"/>
      <c r="S979" s="344" t="n"/>
      <c r="T979" s="344" t="n"/>
      <c r="U979" s="344" t="n"/>
      <c r="V979" s="344" t="n"/>
      <c r="W979" s="344" t="n"/>
    </row>
    <row r="980" customFormat="1" s="354">
      <c r="A980" s="345" t="n"/>
      <c r="B980" s="581" t="n"/>
      <c r="C980" s="582" t="n"/>
      <c r="D980" s="583" t="n"/>
      <c r="E980" s="584" t="n"/>
      <c r="F980" s="350" t="n"/>
      <c r="G980" s="350" t="n"/>
      <c r="H980" s="350" t="n"/>
      <c r="I980" s="350" t="n"/>
      <c r="J980" s="350" t="n"/>
      <c r="K980" s="351" t="n"/>
      <c r="L980" s="350" t="n"/>
      <c r="M980" s="355" t="n"/>
      <c r="N980" s="344" t="n"/>
      <c r="O980" s="344" t="n"/>
      <c r="P980" s="344" t="n"/>
      <c r="Q980" s="344" t="n"/>
      <c r="R980" s="344" t="n"/>
      <c r="S980" s="344" t="n"/>
      <c r="T980" s="344" t="n"/>
      <c r="U980" s="344" t="n"/>
      <c r="V980" s="344" t="n"/>
      <c r="W980" s="344" t="n"/>
    </row>
    <row r="981" customFormat="1" s="354">
      <c r="A981" s="345" t="n"/>
      <c r="B981" s="581" t="n"/>
      <c r="C981" s="582" t="n"/>
      <c r="D981" s="583" t="n"/>
      <c r="E981" s="584" t="n"/>
      <c r="F981" s="350" t="n"/>
      <c r="G981" s="350" t="n"/>
      <c r="H981" s="350" t="n"/>
      <c r="I981" s="350" t="n"/>
      <c r="J981" s="350" t="n"/>
      <c r="K981" s="351" t="n"/>
      <c r="L981" s="350" t="n"/>
      <c r="M981" s="355" t="n"/>
      <c r="N981" s="344" t="n"/>
      <c r="O981" s="344" t="n"/>
      <c r="P981" s="344" t="n"/>
      <c r="Q981" s="344" t="n"/>
      <c r="R981" s="344" t="n"/>
      <c r="S981" s="344" t="n"/>
      <c r="T981" s="344" t="n"/>
      <c r="U981" s="344" t="n"/>
      <c r="V981" s="344" t="n"/>
      <c r="W981" s="344" t="n"/>
    </row>
    <row r="982" customFormat="1" s="354">
      <c r="A982" s="345" t="n"/>
      <c r="B982" s="581" t="n"/>
      <c r="C982" s="582" t="n"/>
      <c r="D982" s="583" t="n"/>
      <c r="E982" s="584" t="n"/>
      <c r="F982" s="350" t="n"/>
      <c r="G982" s="350" t="n"/>
      <c r="H982" s="350" t="n"/>
      <c r="I982" s="350" t="n"/>
      <c r="J982" s="350" t="n"/>
      <c r="K982" s="351" t="n"/>
      <c r="L982" s="355" t="inlineStr">
        <is>
          <t>2841000174418_【ＱＣＳ】殺菌青ネギ（次亜使用）.xlsx</t>
        </is>
      </c>
      <c r="M982" s="350" t="n"/>
      <c r="N982" s="344" t="n"/>
      <c r="O982" s="344" t="n"/>
      <c r="P982" s="344" t="n"/>
      <c r="Q982" s="344" t="n"/>
      <c r="R982" s="344" t="n"/>
      <c r="S982" s="344" t="n"/>
      <c r="T982" s="344" t="n"/>
      <c r="U982" s="344" t="n"/>
      <c r="V982" s="344" t="n"/>
      <c r="W982" s="344" t="n"/>
    </row>
    <row r="983" customFormat="1" s="354">
      <c r="A983" s="345" t="n"/>
      <c r="B983" s="581" t="n"/>
      <c r="C983" s="582" t="n"/>
      <c r="D983" s="583" t="n"/>
      <c r="E983" s="584" t="n"/>
      <c r="F983" s="350" t="n"/>
      <c r="G983" s="350" t="n"/>
      <c r="H983" s="350" t="n"/>
      <c r="I983" s="350" t="n"/>
      <c r="J983" s="350" t="n"/>
      <c r="K983" s="351" t="n"/>
      <c r="L983" s="355" t="inlineStr">
        <is>
          <t>2841000174418_【ＱＣＳ】殺菌青ネギ（次亜使用）.xlsx</t>
        </is>
      </c>
      <c r="M983" s="350" t="n"/>
      <c r="N983" s="344" t="n"/>
      <c r="O983" s="344" t="n"/>
      <c r="P983" s="344" t="n"/>
      <c r="Q983" s="344" t="n"/>
      <c r="R983" s="344" t="n"/>
      <c r="S983" s="344" t="n"/>
      <c r="T983" s="344" t="n"/>
      <c r="U983" s="344" t="n"/>
      <c r="V983" s="344" t="n"/>
      <c r="W983" s="344" t="n"/>
    </row>
    <row r="984" customFormat="1" s="354">
      <c r="A984" s="345" t="n"/>
      <c r="B984" s="581" t="n"/>
      <c r="C984" s="582" t="n"/>
      <c r="D984" s="583" t="n"/>
      <c r="E984" s="584" t="n"/>
      <c r="F984" s="350" t="n"/>
      <c r="G984" s="350" t="n"/>
      <c r="H984" s="350" t="n"/>
      <c r="I984" s="350" t="n"/>
      <c r="J984" s="350" t="n"/>
      <c r="K984" s="351" t="n"/>
      <c r="L984" s="355" t="inlineStr">
        <is>
          <t>2841000174418_【ＱＣＳ】殺菌青ネギ（次亜使用）.xlsx</t>
        </is>
      </c>
      <c r="M984" s="350" t="n"/>
      <c r="N984" s="344" t="n"/>
      <c r="O984" s="344" t="n"/>
      <c r="P984" s="344" t="n"/>
      <c r="Q984" s="344" t="n"/>
      <c r="R984" s="344" t="n"/>
      <c r="S984" s="344" t="n"/>
      <c r="T984" s="344" t="n"/>
      <c r="U984" s="344" t="n"/>
      <c r="V984" s="344" t="n"/>
      <c r="W984" s="344" t="n"/>
    </row>
    <row r="985" customFormat="1" s="354">
      <c r="A985" s="345" t="n"/>
      <c r="B985" s="581" t="n"/>
      <c r="C985" s="582" t="n"/>
      <c r="D985" s="583" t="n"/>
      <c r="E985" s="584" t="n"/>
      <c r="F985" s="350" t="n"/>
      <c r="G985" s="350" t="n"/>
      <c r="H985" s="350" t="n"/>
      <c r="I985" s="350" t="n"/>
      <c r="J985" s="350" t="n"/>
      <c r="K985" s="351" t="n"/>
      <c r="L985" s="355" t="inlineStr">
        <is>
          <t>2841000174418_【ＱＣＳ】殺菌青ネギ（次亜使用）.xlsx</t>
        </is>
      </c>
      <c r="M985" s="350" t="n"/>
      <c r="N985" s="344" t="n"/>
      <c r="O985" s="344" t="n"/>
      <c r="P985" s="344" t="n"/>
      <c r="Q985" s="344" t="n"/>
      <c r="R985" s="344" t="n"/>
      <c r="S985" s="344" t="n"/>
      <c r="T985" s="344" t="n"/>
      <c r="U985" s="344" t="n"/>
      <c r="V985" s="344" t="n"/>
      <c r="W985" s="344" t="n"/>
    </row>
    <row r="986" customFormat="1" s="354">
      <c r="A986" s="345" t="n"/>
      <c r="B986" s="581" t="n"/>
      <c r="C986" s="582" t="n"/>
      <c r="D986" s="583" t="n"/>
      <c r="E986" s="584" t="n"/>
      <c r="F986" s="350" t="n"/>
      <c r="G986" s="350" t="n"/>
      <c r="H986" s="350" t="n"/>
      <c r="I986" s="350" t="n"/>
      <c r="J986" s="350" t="n"/>
      <c r="K986" s="351" t="n"/>
      <c r="L986" s="355" t="inlineStr">
        <is>
          <t>../開発規格書/久保レシピ修正版/ＱＣＳ/◆RN◆【商品規格書】◆こはく本舗　豚角煮まん2個◆（白鳥）.xlsx</t>
        </is>
      </c>
      <c r="M986" s="350" t="n"/>
      <c r="N986" s="344" t="n"/>
      <c r="O986" s="344" t="n"/>
      <c r="P986" s="344" t="n"/>
      <c r="Q986" s="344" t="n"/>
      <c r="R986" s="344" t="n"/>
      <c r="S986" s="344" t="n"/>
      <c r="T986" s="344" t="n"/>
      <c r="U986" s="344" t="n"/>
      <c r="V986" s="344" t="n"/>
      <c r="W986" s="344" t="n"/>
    </row>
    <row r="987" customFormat="1" s="354">
      <c r="A987" s="345" t="n"/>
      <c r="B987" s="581" t="n"/>
      <c r="C987" s="582" t="n"/>
      <c r="D987" s="583" t="n"/>
      <c r="E987" s="584" t="n"/>
      <c r="F987" s="350" t="n"/>
      <c r="G987" s="350" t="n"/>
      <c r="H987" s="350" t="n"/>
      <c r="I987" s="350" t="n"/>
      <c r="J987" s="350" t="n"/>
      <c r="K987" s="351" t="n"/>
      <c r="L987" s="350" t="n"/>
      <c r="M987" s="350" t="n"/>
      <c r="N987" s="344" t="n"/>
      <c r="O987" s="344" t="n"/>
      <c r="P987" s="344" t="n"/>
      <c r="Q987" s="344" t="n"/>
      <c r="R987" s="344" t="n"/>
      <c r="S987" s="344" t="n"/>
      <c r="T987" s="344" t="n"/>
      <c r="U987" s="344" t="n"/>
      <c r="V987" s="344" t="n"/>
      <c r="W987" s="344" t="n"/>
    </row>
    <row r="988" customFormat="1" s="354">
      <c r="A988" s="345" t="n"/>
      <c r="B988" s="581" t="n"/>
      <c r="C988" s="582" t="n"/>
      <c r="D988" s="583" t="n"/>
      <c r="E988" s="584" t="n"/>
      <c r="F988" s="350" t="n"/>
      <c r="G988" s="350" t="n"/>
      <c r="H988" s="350" t="n"/>
      <c r="I988" s="350" t="n"/>
      <c r="J988" s="350" t="n"/>
      <c r="K988" s="351" t="n"/>
      <c r="L988" s="350" t="n"/>
      <c r="M988" s="350" t="n"/>
      <c r="N988" s="344" t="n"/>
      <c r="O988" s="344" t="n"/>
      <c r="P988" s="344" t="n"/>
      <c r="Q988" s="344" t="n"/>
      <c r="R988" s="344" t="n"/>
      <c r="S988" s="344" t="n"/>
      <c r="T988" s="344" t="n"/>
      <c r="U988" s="344" t="n"/>
      <c r="V988" s="344" t="n"/>
      <c r="W988" s="344" t="n"/>
    </row>
    <row r="989" customFormat="1" s="354">
      <c r="A989" s="345" t="n"/>
      <c r="B989" s="581" t="n"/>
      <c r="C989" s="582" t="n"/>
      <c r="D989" s="583" t="n"/>
      <c r="E989" s="584" t="n"/>
      <c r="F989" s="350" t="n"/>
      <c r="G989" s="350" t="n"/>
      <c r="H989" s="350" t="n"/>
      <c r="I989" s="350" t="n"/>
      <c r="J989" s="350" t="n"/>
      <c r="K989" s="351" t="n"/>
      <c r="L989" s="350" t="n"/>
      <c r="M989" s="350" t="n"/>
      <c r="N989" s="344" t="n"/>
      <c r="O989" s="344" t="n"/>
      <c r="P989" s="344" t="n"/>
      <c r="Q989" s="344" t="n"/>
      <c r="R989" s="344" t="n"/>
      <c r="S989" s="344" t="n"/>
      <c r="T989" s="344" t="n"/>
      <c r="U989" s="344" t="n"/>
      <c r="V989" s="344" t="n"/>
      <c r="W989" s="344" t="n"/>
    </row>
    <row r="990" customFormat="1" s="354">
      <c r="A990" s="345" t="n"/>
      <c r="B990" s="581" t="n"/>
      <c r="C990" s="582" t="n"/>
      <c r="D990" s="583" t="n"/>
      <c r="E990" s="584" t="n"/>
      <c r="F990" s="350" t="n"/>
      <c r="G990" s="350" t="n"/>
      <c r="H990" s="350" t="n"/>
      <c r="I990" s="350" t="n"/>
      <c r="J990" s="350" t="n"/>
      <c r="K990" s="351" t="n"/>
      <c r="L990" s="350" t="n"/>
      <c r="M990" s="350" t="n"/>
      <c r="N990" s="344" t="n"/>
      <c r="O990" s="344" t="n"/>
      <c r="P990" s="344" t="n"/>
      <c r="Q990" s="344" t="n"/>
      <c r="R990" s="344" t="n"/>
      <c r="S990" s="344" t="n"/>
      <c r="T990" s="344" t="n"/>
      <c r="U990" s="344" t="n"/>
      <c r="V990" s="344" t="n"/>
      <c r="W990" s="344" t="n"/>
    </row>
    <row r="991" customFormat="1" s="354">
      <c r="A991" s="345" t="n"/>
      <c r="B991" s="581" t="n"/>
      <c r="C991" s="582" t="n"/>
      <c r="D991" s="583" t="n"/>
      <c r="E991" s="584" t="n"/>
      <c r="F991" s="350" t="n"/>
      <c r="G991" s="350" t="n"/>
      <c r="H991" s="350" t="n"/>
      <c r="I991" s="350" t="n"/>
      <c r="J991" s="350" t="n"/>
      <c r="K991" s="351" t="n"/>
      <c r="L991" s="355" t="inlineStr">
        <is>
          <t>2841000200582_【ＱＣＳ】ポテトサラダ５.xlsx</t>
        </is>
      </c>
      <c r="M991" s="350" t="n"/>
      <c r="N991" s="344" t="n"/>
      <c r="O991" s="344" t="n"/>
      <c r="P991" s="344" t="n"/>
      <c r="Q991" s="344" t="n"/>
      <c r="R991" s="344" t="n"/>
      <c r="S991" s="344" t="n"/>
      <c r="T991" s="344" t="n"/>
      <c r="U991" s="344" t="n"/>
      <c r="V991" s="344" t="n"/>
      <c r="W991" s="344" t="n"/>
    </row>
    <row r="992" customFormat="1" s="354">
      <c r="A992" s="345" t="n"/>
      <c r="B992" s="581" t="n"/>
      <c r="C992" s="582" t="n"/>
      <c r="D992" s="583" t="n"/>
      <c r="E992" s="584" t="n"/>
      <c r="F992" s="350" t="n"/>
      <c r="G992" s="350" t="n"/>
      <c r="H992" s="350" t="n"/>
      <c r="I992" s="350" t="n"/>
      <c r="J992" s="350" t="n"/>
      <c r="K992" s="351" t="n"/>
      <c r="L992" s="355" t="inlineStr">
        <is>
          <t>2841000200032_【ＱＣＳ】じゃがいも（スチーム）.xlsx</t>
        </is>
      </c>
      <c r="M992" s="350" t="n"/>
      <c r="N992" s="344" t="n"/>
      <c r="O992" s="344" t="n"/>
      <c r="P992" s="344" t="n"/>
      <c r="Q992" s="344" t="n"/>
      <c r="R992" s="344" t="n"/>
      <c r="S992" s="344" t="n"/>
      <c r="T992" s="344" t="n"/>
      <c r="U992" s="344" t="n"/>
      <c r="V992" s="344" t="n"/>
      <c r="W992" s="344" t="n"/>
    </row>
    <row r="993" customFormat="1" s="354">
      <c r="A993" s="345" t="n"/>
      <c r="B993" s="581" t="n"/>
      <c r="C993" s="582" t="n"/>
      <c r="D993" s="583" t="n"/>
      <c r="E993" s="584" t="n"/>
      <c r="F993" s="350" t="n"/>
      <c r="G993" s="350" t="n"/>
      <c r="H993" s="350" t="n"/>
      <c r="I993" s="350" t="n"/>
      <c r="J993" s="350" t="n"/>
      <c r="K993" s="351" t="n"/>
      <c r="L993" s="355" t="inlineStr">
        <is>
          <t>2841000200186_【ＱＣＳ】じゃがいも（クラッシュ）.xlsx</t>
        </is>
      </c>
      <c r="M993" s="350" t="n"/>
      <c r="N993" s="344" t="n"/>
      <c r="O993" s="344" t="n"/>
      <c r="P993" s="344" t="n"/>
      <c r="Q993" s="344" t="n"/>
      <c r="R993" s="344" t="n"/>
      <c r="S993" s="344" t="n"/>
      <c r="T993" s="344" t="n"/>
      <c r="U993" s="344" t="n"/>
      <c r="V993" s="344" t="n"/>
      <c r="W993" s="344" t="n"/>
    </row>
    <row r="994" customFormat="1" s="354">
      <c r="A994" s="345" t="n"/>
      <c r="B994" s="581" t="n"/>
      <c r="C994" s="582" t="n"/>
      <c r="D994" s="583" t="n"/>
      <c r="E994" s="584" t="n"/>
      <c r="F994" s="350" t="n"/>
      <c r="G994" s="350" t="n"/>
      <c r="H994" s="350" t="n"/>
      <c r="I994" s="350" t="n"/>
      <c r="J994" s="350" t="n"/>
      <c r="K994" s="351" t="n"/>
      <c r="L994" s="355" t="inlineStr">
        <is>
          <t>2841000200049_【ＱＣＳ】人参銀杏切り（ボイル）.xlsx</t>
        </is>
      </c>
      <c r="M994" s="350" t="n"/>
      <c r="N994" s="344" t="n"/>
      <c r="O994" s="344" t="n"/>
      <c r="P994" s="344" t="n"/>
      <c r="Q994" s="344" t="n"/>
      <c r="R994" s="344" t="n"/>
      <c r="S994" s="344" t="n"/>
      <c r="T994" s="344" t="n"/>
      <c r="U994" s="344" t="n"/>
      <c r="V994" s="344" t="n"/>
      <c r="W994" s="344" t="n"/>
    </row>
    <row r="995" customFormat="1" s="354">
      <c r="A995" s="345" t="n"/>
      <c r="B995" s="581" t="n"/>
      <c r="C995" s="582" t="n"/>
      <c r="D995" s="583" t="n"/>
      <c r="E995" s="584" t="n"/>
      <c r="F995" s="350" t="n"/>
      <c r="G995" s="350" t="n"/>
      <c r="H995" s="350" t="n"/>
      <c r="I995" s="350" t="n"/>
      <c r="J995" s="350" t="n"/>
      <c r="K995" s="351" t="n"/>
      <c r="L995" s="355" t="inlineStr">
        <is>
          <t>2841000200056_【ＱＣＳ】玉ねぎスライス（ボイル）.xlsx</t>
        </is>
      </c>
      <c r="M995" s="350" t="n"/>
      <c r="N995" s="344" t="n"/>
      <c r="O995" s="344" t="n"/>
      <c r="P995" s="344" t="n"/>
      <c r="Q995" s="344" t="n"/>
      <c r="R995" s="344" t="n"/>
      <c r="S995" s="344" t="n"/>
      <c r="T995" s="344" t="n"/>
      <c r="U995" s="344" t="n"/>
      <c r="V995" s="344" t="n"/>
      <c r="W995" s="344" t="n"/>
    </row>
    <row r="996" customFormat="1" s="354">
      <c r="A996" s="345" t="n"/>
      <c r="B996" s="581" t="n"/>
      <c r="C996" s="582" t="n"/>
      <c r="D996" s="583" t="n"/>
      <c r="E996" s="584" t="n"/>
      <c r="F996" s="350" t="n"/>
      <c r="G996" s="350" t="n"/>
      <c r="H996" s="350" t="n"/>
      <c r="I996" s="350" t="n"/>
      <c r="J996" s="350" t="n"/>
      <c r="K996" s="351" t="n"/>
      <c r="L996" s="355" t="inlineStr">
        <is>
          <t>2841000200063_【ＱＣＳ】きゅうり輪切り.xlsx</t>
        </is>
      </c>
      <c r="M996" s="350" t="n"/>
      <c r="N996" s="344" t="n"/>
      <c r="O996" s="344" t="n"/>
      <c r="P996" s="344" t="n"/>
      <c r="Q996" s="344" t="n"/>
      <c r="R996" s="344" t="n"/>
      <c r="S996" s="344" t="n"/>
      <c r="T996" s="344" t="n"/>
      <c r="U996" s="344" t="n"/>
      <c r="V996" s="344" t="n"/>
      <c r="W996" s="344" t="n"/>
    </row>
    <row r="997" customFormat="1" s="354">
      <c r="A997" s="345" t="n"/>
      <c r="B997" s="581" t="n"/>
      <c r="C997" s="582" t="n"/>
      <c r="D997" s="583" t="n"/>
      <c r="E997" s="584" t="n"/>
      <c r="F997" s="350" t="n"/>
      <c r="G997" s="350" t="n"/>
      <c r="H997" s="350" t="n"/>
      <c r="I997" s="350" t="n"/>
      <c r="J997" s="350" t="n"/>
      <c r="K997" s="351" t="n"/>
      <c r="L997" s="355" t="inlineStr">
        <is>
          <t>2841000200063_【ＱＣＳ】きゅうり輪切り.xlsx</t>
        </is>
      </c>
      <c r="M997" s="350" t="n"/>
      <c r="N997" s="344" t="n"/>
      <c r="O997" s="344" t="n"/>
      <c r="P997" s="344" t="n"/>
      <c r="Q997" s="344" t="n"/>
      <c r="R997" s="344" t="n"/>
      <c r="S997" s="344" t="n"/>
      <c r="T997" s="344" t="n"/>
      <c r="U997" s="344" t="n"/>
      <c r="V997" s="344" t="n"/>
      <c r="W997" s="344" t="n"/>
    </row>
    <row r="998" customFormat="1" s="354">
      <c r="A998" s="345" t="n"/>
      <c r="B998" s="581" t="n"/>
      <c r="C998" s="582" t="n"/>
      <c r="D998" s="583" t="n"/>
      <c r="E998" s="584" t="n"/>
      <c r="F998" s="350" t="n"/>
      <c r="G998" s="350" t="n"/>
      <c r="H998" s="350" t="n"/>
      <c r="I998" s="350" t="n"/>
      <c r="J998" s="350" t="n"/>
      <c r="K998" s="351" t="n"/>
      <c r="L998" s="355" t="inlineStr">
        <is>
          <t>2841000200070_【ＱＣＳ】ポークチョップドハム（１ｃｍ幅カット）.xlsx</t>
        </is>
      </c>
      <c r="M998" s="350" t="n"/>
      <c r="N998" s="344" t="n"/>
      <c r="O998" s="344" t="n"/>
      <c r="P998" s="344" t="n"/>
      <c r="Q998" s="344" t="n"/>
      <c r="R998" s="344" t="n"/>
      <c r="S998" s="344" t="n"/>
      <c r="T998" s="344" t="n"/>
      <c r="U998" s="344" t="n"/>
      <c r="V998" s="344" t="n"/>
      <c r="W998" s="344" t="n"/>
    </row>
    <row r="999" customFormat="1" s="354">
      <c r="A999" s="345" t="n"/>
      <c r="B999" s="581" t="n"/>
      <c r="C999" s="582" t="n"/>
      <c r="D999" s="583" t="n"/>
      <c r="E999" s="584" t="n"/>
      <c r="F999" s="350" t="n"/>
      <c r="G999" s="350" t="n"/>
      <c r="H999" s="350" t="n"/>
      <c r="I999" s="350" t="n"/>
      <c r="J999" s="350" t="n"/>
      <c r="K999" s="351" t="n"/>
      <c r="L999" s="355" t="inlineStr">
        <is>
          <t>2841000200087_【ＱＣＳ】ポテサラ調味液（配合）.xlsx</t>
        </is>
      </c>
      <c r="M999" s="350" t="n"/>
      <c r="N999" s="344" t="n"/>
      <c r="O999" s="344" t="n"/>
      <c r="P999" s="344" t="n"/>
      <c r="Q999" s="344" t="n"/>
      <c r="R999" s="344" t="n"/>
      <c r="S999" s="344" t="n"/>
      <c r="T999" s="344" t="n"/>
      <c r="U999" s="344" t="n"/>
      <c r="V999" s="344" t="n"/>
      <c r="W999" s="344" t="n"/>
    </row>
    <row r="1000" customFormat="1" s="354">
      <c r="A1000" s="345" t="n"/>
      <c r="B1000" s="581" t="n"/>
      <c r="C1000" s="582" t="n"/>
      <c r="D1000" s="583" t="n"/>
      <c r="E1000" s="584" t="n"/>
      <c r="F1000" s="350" t="n"/>
      <c r="G1000" s="350" t="n"/>
      <c r="H1000" s="350" t="n"/>
      <c r="I1000" s="350" t="n"/>
      <c r="J1000" s="350" t="n"/>
      <c r="K1000" s="351" t="n"/>
      <c r="L1000" s="355" t="inlineStr">
        <is>
          <t>2841000200582_【ＱＣＳ】ポテトサラダ５.xlsx</t>
        </is>
      </c>
      <c r="M1000" s="350" t="n"/>
      <c r="N1000" s="344" t="n"/>
      <c r="O1000" s="344" t="n"/>
      <c r="P1000" s="344" t="n"/>
      <c r="Q1000" s="344" t="n"/>
      <c r="R1000" s="344" t="n"/>
      <c r="S1000" s="344" t="n"/>
      <c r="T1000" s="344" t="n"/>
      <c r="U1000" s="344" t="n"/>
      <c r="V1000" s="344" t="n"/>
      <c r="W1000" s="344" t="n"/>
    </row>
    <row r="1001" customFormat="1" s="354">
      <c r="A1001" s="345" t="n"/>
      <c r="B1001" s="581" t="n"/>
      <c r="C1001" s="582" t="n"/>
      <c r="D1001" s="583" t="n"/>
      <c r="E1001" s="584" t="n"/>
      <c r="F1001" s="350" t="n"/>
      <c r="G1001" s="350" t="n"/>
      <c r="H1001" s="350" t="n"/>
      <c r="I1001" s="350" t="n"/>
      <c r="J1001" s="350" t="n"/>
      <c r="K1001" s="351" t="n"/>
      <c r="L1001" s="355" t="inlineStr">
        <is>
          <t>2841000200032_【ＱＣＳ】じゃがいも（スチーム）.xlsx</t>
        </is>
      </c>
      <c r="M1001" s="350" t="n"/>
      <c r="N1001" s="344" t="n"/>
      <c r="O1001" s="344" t="n"/>
      <c r="P1001" s="344" t="n"/>
      <c r="Q1001" s="344" t="n"/>
      <c r="R1001" s="344" t="n"/>
      <c r="S1001" s="344" t="n"/>
      <c r="T1001" s="344" t="n"/>
      <c r="U1001" s="344" t="n"/>
      <c r="V1001" s="344" t="n"/>
      <c r="W1001" s="344" t="n"/>
    </row>
    <row r="1002" customFormat="1" s="354">
      <c r="A1002" s="345" t="n"/>
      <c r="B1002" s="581" t="n"/>
      <c r="C1002" s="582" t="n"/>
      <c r="D1002" s="583" t="n"/>
      <c r="E1002" s="584" t="n"/>
      <c r="F1002" s="350" t="n"/>
      <c r="G1002" s="350" t="n"/>
      <c r="H1002" s="350" t="n"/>
      <c r="I1002" s="350" t="n"/>
      <c r="J1002" s="350" t="n"/>
      <c r="K1002" s="351" t="n"/>
      <c r="L1002" s="355" t="inlineStr">
        <is>
          <t>2841000200186_【ＱＣＳ】じゃがいも（クラッシュ）.xlsx</t>
        </is>
      </c>
      <c r="M1002" s="350" t="n"/>
      <c r="N1002" s="344" t="n"/>
      <c r="O1002" s="344" t="n"/>
      <c r="P1002" s="344" t="n"/>
      <c r="Q1002" s="344" t="n"/>
      <c r="R1002" s="344" t="n"/>
      <c r="S1002" s="344" t="n"/>
      <c r="T1002" s="344" t="n"/>
      <c r="U1002" s="344" t="n"/>
      <c r="V1002" s="344" t="n"/>
      <c r="W1002" s="344" t="n"/>
    </row>
    <row r="1003" customFormat="1" s="354">
      <c r="A1003" s="345" t="n"/>
      <c r="B1003" s="581" t="n"/>
      <c r="C1003" s="582" t="n"/>
      <c r="D1003" s="583" t="n"/>
      <c r="E1003" s="584" t="n"/>
      <c r="F1003" s="350" t="n"/>
      <c r="G1003" s="350" t="n"/>
      <c r="H1003" s="350" t="n"/>
      <c r="I1003" s="350" t="n"/>
      <c r="J1003" s="350" t="n"/>
      <c r="K1003" s="351" t="n"/>
      <c r="L1003" s="355" t="inlineStr">
        <is>
          <t>2841000200049_【ＱＣＳ】人参銀杏切り（ボイル）.xlsx</t>
        </is>
      </c>
      <c r="M1003" s="350" t="n"/>
      <c r="N1003" s="344" t="n"/>
      <c r="O1003" s="344" t="n"/>
      <c r="P1003" s="344" t="n"/>
      <c r="Q1003" s="344" t="n"/>
      <c r="R1003" s="344" t="n"/>
      <c r="S1003" s="344" t="n"/>
      <c r="T1003" s="344" t="n"/>
      <c r="U1003" s="344" t="n"/>
      <c r="V1003" s="344" t="n"/>
      <c r="W1003" s="344" t="n"/>
    </row>
    <row r="1004" customFormat="1" s="354">
      <c r="A1004" s="345" t="n"/>
      <c r="B1004" s="581" t="n"/>
      <c r="C1004" s="582" t="n"/>
      <c r="D1004" s="583" t="n"/>
      <c r="E1004" s="584" t="n"/>
      <c r="F1004" s="350" t="n"/>
      <c r="G1004" s="350" t="n"/>
      <c r="H1004" s="350" t="n"/>
      <c r="I1004" s="350" t="n"/>
      <c r="J1004" s="350" t="n"/>
      <c r="K1004" s="351" t="n"/>
      <c r="L1004" s="355" t="inlineStr">
        <is>
          <t>2841000200056_【ＱＣＳ】玉ねぎスライス（ボイル）.xlsx</t>
        </is>
      </c>
      <c r="M1004" s="350" t="n"/>
      <c r="N1004" s="344" t="n"/>
      <c r="O1004" s="344" t="n"/>
      <c r="P1004" s="344" t="n"/>
      <c r="Q1004" s="344" t="n"/>
      <c r="R1004" s="344" t="n"/>
      <c r="S1004" s="344" t="n"/>
      <c r="T1004" s="344" t="n"/>
      <c r="U1004" s="344" t="n"/>
      <c r="V1004" s="344" t="n"/>
      <c r="W1004" s="344" t="n"/>
    </row>
    <row r="1005" customFormat="1" s="354">
      <c r="A1005" s="345" t="n"/>
      <c r="B1005" s="581" t="n"/>
      <c r="C1005" s="582" t="n"/>
      <c r="D1005" s="583" t="n"/>
      <c r="E1005" s="584" t="n"/>
      <c r="F1005" s="350" t="n"/>
      <c r="G1005" s="350" t="n"/>
      <c r="H1005" s="350" t="n"/>
      <c r="I1005" s="350" t="n"/>
      <c r="J1005" s="350" t="n"/>
      <c r="K1005" s="351" t="n"/>
      <c r="L1005" s="355" t="inlineStr">
        <is>
          <t>2841000200063_【ＱＣＳ】きゅうり輪切り.xlsx</t>
        </is>
      </c>
      <c r="M1005" s="350" t="n"/>
      <c r="N1005" s="344" t="n"/>
      <c r="O1005" s="344" t="n"/>
      <c r="P1005" s="344" t="n"/>
      <c r="Q1005" s="344" t="n"/>
      <c r="R1005" s="344" t="n"/>
      <c r="S1005" s="344" t="n"/>
      <c r="T1005" s="344" t="n"/>
      <c r="U1005" s="344" t="n"/>
      <c r="V1005" s="344" t="n"/>
      <c r="W1005" s="344" t="n"/>
    </row>
    <row r="1006" customFormat="1" s="354">
      <c r="A1006" s="345" t="n"/>
      <c r="B1006" s="581" t="n"/>
      <c r="C1006" s="582" t="n"/>
      <c r="D1006" s="583" t="n"/>
      <c r="E1006" s="584" t="n"/>
      <c r="F1006" s="350" t="n"/>
      <c r="G1006" s="350" t="n"/>
      <c r="H1006" s="350" t="n"/>
      <c r="I1006" s="350" t="n"/>
      <c r="J1006" s="350" t="n"/>
      <c r="K1006" s="351" t="n"/>
      <c r="L1006" s="355" t="inlineStr">
        <is>
          <t>2841000200063_【ＱＣＳ】きゅうり輪切り.xlsx</t>
        </is>
      </c>
      <c r="M1006" s="350" t="n"/>
      <c r="N1006" s="344" t="n"/>
      <c r="O1006" s="344" t="n"/>
      <c r="P1006" s="344" t="n"/>
      <c r="Q1006" s="344" t="n"/>
      <c r="R1006" s="344" t="n"/>
      <c r="S1006" s="344" t="n"/>
      <c r="T1006" s="344" t="n"/>
      <c r="U1006" s="344" t="n"/>
      <c r="V1006" s="344" t="n"/>
      <c r="W1006" s="344" t="n"/>
    </row>
    <row r="1007" customFormat="1" s="354">
      <c r="A1007" s="345" t="n"/>
      <c r="B1007" s="581" t="n"/>
      <c r="C1007" s="582" t="n"/>
      <c r="D1007" s="583" t="n"/>
      <c r="E1007" s="584" t="n"/>
      <c r="F1007" s="350" t="n"/>
      <c r="G1007" s="350" t="n"/>
      <c r="H1007" s="350" t="n"/>
      <c r="I1007" s="350" t="n"/>
      <c r="J1007" s="350" t="n"/>
      <c r="K1007" s="351" t="n"/>
      <c r="L1007" s="355" t="inlineStr">
        <is>
          <t>2841000200070_【ＱＣＳ】ポークチョップドハム（１ｃｍ幅カット）.xlsx</t>
        </is>
      </c>
      <c r="M1007" s="350" t="n"/>
      <c r="N1007" s="344" t="n"/>
      <c r="O1007" s="344" t="n"/>
      <c r="P1007" s="344" t="n"/>
      <c r="Q1007" s="344" t="n"/>
      <c r="R1007" s="344" t="n"/>
      <c r="S1007" s="344" t="n"/>
      <c r="T1007" s="344" t="n"/>
      <c r="U1007" s="344" t="n"/>
      <c r="V1007" s="344" t="n"/>
      <c r="W1007" s="344" t="n"/>
    </row>
    <row r="1008" customFormat="1" s="354">
      <c r="A1008" s="345" t="n"/>
      <c r="B1008" s="581" t="n"/>
      <c r="C1008" s="582" t="n"/>
      <c r="D1008" s="583" t="n"/>
      <c r="E1008" s="584" t="n"/>
      <c r="F1008" s="350" t="n"/>
      <c r="G1008" s="350" t="n"/>
      <c r="H1008" s="350" t="n"/>
      <c r="I1008" s="350" t="n"/>
      <c r="J1008" s="350" t="n"/>
      <c r="K1008" s="351" t="n"/>
      <c r="L1008" s="355" t="inlineStr">
        <is>
          <t>2841000200087_【ＱＣＳ】ポテサラ調味液（配合）.xlsx</t>
        </is>
      </c>
      <c r="M1008" s="350" t="n"/>
      <c r="N1008" s="344" t="n"/>
      <c r="O1008" s="344" t="n"/>
      <c r="P1008" s="344" t="n"/>
      <c r="Q1008" s="344" t="n"/>
      <c r="R1008" s="344" t="n"/>
      <c r="S1008" s="344" t="n"/>
      <c r="T1008" s="344" t="n"/>
      <c r="U1008" s="344" t="n"/>
      <c r="V1008" s="344" t="n"/>
      <c r="W1008" s="344" t="n"/>
    </row>
    <row r="1009" customFormat="1" s="354">
      <c r="A1009" s="345" t="n"/>
      <c r="B1009" s="581" t="n"/>
      <c r="C1009" s="582" t="n"/>
      <c r="D1009" s="583" t="n"/>
      <c r="E1009" s="584" t="n"/>
      <c r="F1009" s="350" t="n"/>
      <c r="G1009" s="350" t="n"/>
      <c r="H1009" s="350" t="n"/>
      <c r="I1009" s="350" t="n"/>
      <c r="J1009" s="350" t="n"/>
      <c r="K1009" s="351" t="n"/>
      <c r="L1009" s="350" t="n"/>
      <c r="M1009" s="350" t="n"/>
      <c r="N1009" s="344" t="n"/>
      <c r="O1009" s="344" t="n"/>
      <c r="P1009" s="344" t="n"/>
      <c r="Q1009" s="344" t="n"/>
      <c r="R1009" s="344" t="n"/>
      <c r="S1009" s="344" t="n"/>
      <c r="T1009" s="344" t="n"/>
      <c r="U1009" s="344" t="n"/>
      <c r="V1009" s="344" t="n"/>
      <c r="W1009" s="344" t="n"/>
    </row>
    <row r="1010" customFormat="1" s="354">
      <c r="A1010" s="345" t="n"/>
      <c r="B1010" s="581" t="n"/>
      <c r="C1010" s="582" t="n"/>
      <c r="D1010" s="583" t="n"/>
      <c r="E1010" s="584" t="n"/>
      <c r="F1010" s="350" t="n"/>
      <c r="G1010" s="350" t="n"/>
      <c r="H1010" s="350" t="n"/>
      <c r="I1010" s="350" t="n"/>
      <c r="J1010" s="350" t="n"/>
      <c r="K1010" s="351" t="n"/>
      <c r="L1010" s="355" t="inlineStr">
        <is>
          <t>../開発規格書/久保レシピ修正版/ＱＣＳ/◆【包材ラップ仕様】◆%20スパゲティサラダ６（白鳥）.xlsx</t>
        </is>
      </c>
      <c r="M1010" s="350" t="n"/>
      <c r="N1010" s="344" t="n"/>
      <c r="O1010" s="344" t="n"/>
      <c r="P1010" s="344" t="n"/>
      <c r="Q1010" s="344" t="n"/>
      <c r="R1010" s="344" t="n"/>
      <c r="S1010" s="344" t="n"/>
      <c r="T1010" s="344" t="n"/>
      <c r="U1010" s="344" t="n"/>
      <c r="V1010" s="344" t="n"/>
      <c r="W1010" s="344" t="n"/>
    </row>
    <row r="1011" customFormat="1" s="354">
      <c r="A1011" s="345" t="n"/>
      <c r="B1011" s="581" t="n"/>
      <c r="C1011" s="582" t="n"/>
      <c r="D1011" s="583" t="n"/>
      <c r="E1011" s="584" t="n"/>
      <c r="F1011" s="350" t="n"/>
      <c r="G1011" s="350" t="n"/>
      <c r="H1011" s="350" t="n"/>
      <c r="I1011" s="350" t="n"/>
      <c r="J1011" s="350" t="n"/>
      <c r="K1011" s="351" t="n"/>
      <c r="L1011" s="593" t="inlineStr">
        <is>
          <t>../開発規格書/久保レシピ修正版/ＱＣＳ/【シェルマカロニ・ペンネッテ入替】三種のマカロニサラダ%20(白鳥）.xlsx</t>
        </is>
      </c>
      <c r="M1011" s="350" t="n"/>
      <c r="N1011" s="344" t="n"/>
      <c r="O1011" s="344" t="n"/>
      <c r="P1011" s="344" t="n"/>
      <c r="Q1011" s="344" t="n"/>
      <c r="R1011" s="344" t="n"/>
      <c r="S1011" s="344" t="n"/>
      <c r="T1011" s="344" t="n"/>
      <c r="U1011" s="344" t="n"/>
      <c r="V1011" s="344" t="n"/>
      <c r="W1011" s="344" t="n"/>
    </row>
    <row r="1012" customFormat="1" s="354">
      <c r="A1012" s="345" t="n"/>
      <c r="B1012" s="581" t="n"/>
      <c r="C1012" s="582" t="n"/>
      <c r="D1012" s="583" t="n"/>
      <c r="E1012" s="584" t="n"/>
      <c r="F1012" s="350" t="n"/>
      <c r="G1012" s="372" t="n"/>
      <c r="H1012" s="350" t="n"/>
      <c r="I1012" s="350" t="n"/>
      <c r="J1012" s="350" t="n"/>
      <c r="K1012" s="351" t="n"/>
      <c r="L1012" s="350" t="n"/>
      <c r="M1012" s="350" t="n"/>
      <c r="N1012" s="344" t="n"/>
      <c r="O1012" s="344" t="n"/>
      <c r="P1012" s="344" t="n"/>
      <c r="Q1012" s="344" t="n"/>
      <c r="R1012" s="344" t="n"/>
      <c r="S1012" s="344" t="n"/>
      <c r="T1012" s="344" t="n"/>
      <c r="U1012" s="344" t="n"/>
      <c r="V1012" s="344" t="n"/>
      <c r="W1012" s="344" t="n"/>
    </row>
    <row r="1013" customFormat="1" s="354">
      <c r="A1013" s="345" t="n"/>
      <c r="B1013" s="581" t="n"/>
      <c r="C1013" s="582" t="n"/>
      <c r="D1013" s="583" t="n"/>
      <c r="E1013" s="584" t="n"/>
      <c r="F1013" s="350" t="n"/>
      <c r="G1013" s="350" t="n"/>
      <c r="H1013" s="350" t="n"/>
      <c r="I1013" s="350" t="n"/>
      <c r="J1013" s="350" t="n"/>
      <c r="K1013" s="351" t="n"/>
      <c r="L1013" s="593" t="inlineStr">
        <is>
          <t>../開発規格書/久保レシピ修正版/ＱＣＳ/【シェルマカロニ・ペンネッテ入替】三種のマカロニサラダ%20(白鳥）.xlsx</t>
        </is>
      </c>
      <c r="M1013" s="350" t="n"/>
      <c r="N1013" s="344" t="n"/>
      <c r="O1013" s="344" t="n"/>
      <c r="P1013" s="344" t="n"/>
      <c r="Q1013" s="344" t="n"/>
      <c r="R1013" s="344" t="n"/>
      <c r="S1013" s="344" t="n"/>
      <c r="T1013" s="344" t="n"/>
      <c r="U1013" s="344" t="n"/>
      <c r="V1013" s="344" t="n"/>
      <c r="W1013" s="344" t="n"/>
    </row>
    <row r="1014" customFormat="1" s="354">
      <c r="A1014" s="345" t="n"/>
      <c r="B1014" s="581" t="n"/>
      <c r="C1014" s="582" t="n"/>
      <c r="D1014" s="583" t="n"/>
      <c r="E1014" s="584" t="n"/>
      <c r="F1014" s="350" t="n"/>
      <c r="G1014" s="372" t="n"/>
      <c r="H1014" s="350" t="n"/>
      <c r="I1014" s="350" t="n"/>
      <c r="J1014" s="350" t="n"/>
      <c r="K1014" s="351" t="n"/>
      <c r="L1014" s="350" t="n"/>
      <c r="M1014" s="350" t="n"/>
      <c r="N1014" s="344" t="n"/>
      <c r="O1014" s="344" t="n"/>
      <c r="P1014" s="344" t="n"/>
      <c r="Q1014" s="344" t="n"/>
      <c r="R1014" s="344" t="n"/>
      <c r="S1014" s="344" t="n"/>
      <c r="T1014" s="344" t="n"/>
      <c r="U1014" s="344" t="n"/>
      <c r="V1014" s="344" t="n"/>
      <c r="W1014" s="344" t="n"/>
    </row>
    <row r="1015" customFormat="1" s="354">
      <c r="A1015" s="345" t="n"/>
      <c r="B1015" s="581" t="n"/>
      <c r="C1015" s="582" t="n"/>
      <c r="D1015" s="583" t="n"/>
      <c r="E1015" s="584" t="n"/>
      <c r="F1015" s="350" t="n"/>
      <c r="G1015" s="350" t="n"/>
      <c r="H1015" s="350" t="n"/>
      <c r="I1015" s="350" t="n"/>
      <c r="J1015" s="350" t="n"/>
      <c r="K1015" s="351" t="n"/>
      <c r="L1015" s="355" t="inlineStr">
        <is>
          <t>2841000200063_【ＱＣＳ】きゅうり輪切り.xlsx</t>
        </is>
      </c>
      <c r="M1015" s="350" t="n"/>
      <c r="N1015" s="344" t="n"/>
      <c r="O1015" s="344" t="n"/>
      <c r="P1015" s="344" t="n"/>
      <c r="Q1015" s="344" t="n"/>
      <c r="R1015" s="344" t="n"/>
      <c r="S1015" s="344" t="n"/>
      <c r="T1015" s="344" t="n"/>
      <c r="U1015" s="344" t="n"/>
      <c r="V1015" s="344" t="n"/>
      <c r="W1015" s="344" t="n"/>
    </row>
    <row r="1016" customFormat="1" s="354">
      <c r="A1016" s="345" t="n"/>
      <c r="B1016" s="581" t="n"/>
      <c r="C1016" s="582" t="n"/>
      <c r="D1016" s="583" t="n"/>
      <c r="E1016" s="584" t="n"/>
      <c r="F1016" s="350" t="n"/>
      <c r="G1016" s="350" t="n"/>
      <c r="H1016" s="350" t="n"/>
      <c r="I1016" s="350" t="n"/>
      <c r="J1016" s="350" t="n"/>
      <c r="K1016" s="351" t="n"/>
      <c r="L1016" s="355" t="inlineStr">
        <is>
          <t>2841000200063_【ＱＣＳ】きゅうり輪切り.xlsx</t>
        </is>
      </c>
      <c r="M1016" s="350" t="n"/>
      <c r="N1016" s="344" t="n"/>
      <c r="O1016" s="344" t="n"/>
      <c r="P1016" s="344" t="n"/>
      <c r="Q1016" s="344" t="n"/>
      <c r="R1016" s="344" t="n"/>
      <c r="S1016" s="344" t="n"/>
      <c r="T1016" s="344" t="n"/>
      <c r="U1016" s="344" t="n"/>
      <c r="V1016" s="344" t="n"/>
      <c r="W1016" s="344" t="n"/>
    </row>
    <row r="1017" customFormat="1" s="354">
      <c r="A1017" s="345" t="n"/>
      <c r="B1017" s="581" t="n"/>
      <c r="C1017" s="582" t="n"/>
      <c r="D1017" s="583" t="n"/>
      <c r="E1017" s="594" t="n"/>
      <c r="F1017" s="350" t="n"/>
      <c r="G1017" s="350" t="n"/>
      <c r="H1017" s="350" t="n"/>
      <c r="I1017" s="350" t="n"/>
      <c r="J1017" s="350" t="n"/>
      <c r="K1017" s="351" t="n"/>
      <c r="L1017" s="355" t="inlineStr">
        <is>
          <t>2841000168790_【ＱＣＳ】コーンボイル.xlsx</t>
        </is>
      </c>
      <c r="M1017" s="350" t="n"/>
      <c r="N1017" s="344" t="n"/>
      <c r="O1017" s="344" t="n"/>
      <c r="P1017" s="344" t="n"/>
      <c r="Q1017" s="344" t="n"/>
      <c r="R1017" s="344" t="n"/>
      <c r="S1017" s="344" t="n"/>
      <c r="T1017" s="344" t="n"/>
      <c r="U1017" s="344" t="n"/>
      <c r="V1017" s="344" t="n"/>
      <c r="W1017" s="344" t="n"/>
    </row>
    <row r="1018" customFormat="1" s="354">
      <c r="A1018" s="345" t="n"/>
      <c r="B1018" s="581" t="n"/>
      <c r="C1018" s="582" t="n"/>
      <c r="D1018" s="583" t="n"/>
      <c r="E1018" s="584" t="n"/>
      <c r="F1018" s="350" t="n"/>
      <c r="G1018" s="350" t="n"/>
      <c r="H1018" s="350" t="n"/>
      <c r="I1018" s="350" t="n"/>
      <c r="J1018" s="350" t="n"/>
      <c r="K1018" s="351" t="n"/>
      <c r="L1018" s="355" t="inlineStr">
        <is>
          <t>../開発規格書/久保レシピ修正版/ＱＣＳ/◆【包材ラップ仕様】◆%20スパゲティサラダ６（白鳥）.xlsx</t>
        </is>
      </c>
      <c r="M1018" s="350" t="n"/>
      <c r="N1018" s="344" t="n"/>
      <c r="O1018" s="344" t="n"/>
      <c r="P1018" s="344" t="n"/>
      <c r="Q1018" s="344" t="n"/>
      <c r="R1018" s="344" t="n"/>
      <c r="S1018" s="344" t="n"/>
      <c r="T1018" s="344" t="n"/>
      <c r="U1018" s="344" t="n"/>
      <c r="V1018" s="344" t="n"/>
      <c r="W1018" s="344" t="n"/>
    </row>
    <row r="1019" customFormat="1" s="354">
      <c r="A1019" s="345" t="n"/>
      <c r="B1019" s="581" t="n"/>
      <c r="C1019" s="582" t="n"/>
      <c r="D1019" s="583" t="n"/>
      <c r="E1019" s="584" t="n"/>
      <c r="F1019" s="350" t="n"/>
      <c r="G1019" s="350" t="n"/>
      <c r="H1019" s="350" t="n"/>
      <c r="I1019" s="350" t="n"/>
      <c r="J1019" s="350" t="n"/>
      <c r="K1019" s="351" t="n"/>
      <c r="L1019" s="355" t="inlineStr">
        <is>
          <t>2841000174395_【ＱＣＳ】クラッシュ玉子.xlsx</t>
        </is>
      </c>
      <c r="M1019" s="350" t="n"/>
      <c r="N1019" s="344" t="n"/>
      <c r="O1019" s="344" t="n"/>
      <c r="P1019" s="344" t="n"/>
      <c r="Q1019" s="344" t="n"/>
      <c r="R1019" s="344" t="n"/>
      <c r="S1019" s="344" t="n"/>
      <c r="T1019" s="344" t="n"/>
      <c r="U1019" s="344" t="n"/>
      <c r="V1019" s="344" t="n"/>
      <c r="W1019" s="344" t="n"/>
    </row>
    <row r="1020" customFormat="1" s="354">
      <c r="A1020" s="345" t="n"/>
      <c r="B1020" s="581" t="n"/>
      <c r="C1020" s="582" t="n"/>
      <c r="D1020" s="583" t="n"/>
      <c r="E1020" s="592" t="n"/>
      <c r="F1020" s="350" t="n"/>
      <c r="G1020" s="350" t="n"/>
      <c r="H1020" s="350" t="n"/>
      <c r="I1020" s="350" t="n"/>
      <c r="J1020" s="350" t="n"/>
      <c r="K1020" s="351" t="n"/>
      <c r="L1020" s="355" t="inlineStr">
        <is>
          <t>2841000168707_【ＱＣＳ】玉子加熱.xlsx</t>
        </is>
      </c>
      <c r="M1020" s="350" t="n"/>
      <c r="N1020" s="344" t="n"/>
      <c r="O1020" s="344" t="n"/>
      <c r="P1020" s="344" t="n"/>
      <c r="Q1020" s="344" t="n"/>
      <c r="R1020" s="344" t="n"/>
      <c r="S1020" s="344" t="n"/>
      <c r="T1020" s="344" t="n"/>
      <c r="U1020" s="344" t="n"/>
      <c r="V1020" s="344" t="n"/>
      <c r="W1020" s="344" t="n"/>
    </row>
    <row r="1021" customFormat="1" s="354">
      <c r="A1021" s="345" t="n"/>
      <c r="B1021" s="581" t="n"/>
      <c r="C1021" s="582" t="n"/>
      <c r="D1021" s="583" t="n"/>
      <c r="E1021" s="594" t="n"/>
      <c r="F1021" s="350" t="n"/>
      <c r="G1021" s="350" t="n"/>
      <c r="H1021" s="350" t="n"/>
      <c r="I1021" s="350" t="n"/>
      <c r="J1021" s="350" t="n"/>
      <c r="K1021" s="351" t="n"/>
      <c r="L1021" s="355" t="inlineStr">
        <is>
          <t>2841000174395_【ＱＣＳ】クラッシュ玉子.xlsx</t>
        </is>
      </c>
      <c r="M1021" s="350" t="n"/>
      <c r="N1021" s="344" t="n"/>
      <c r="O1021" s="344" t="n"/>
      <c r="P1021" s="344" t="n"/>
      <c r="Q1021" s="344" t="n"/>
      <c r="R1021" s="344" t="n"/>
      <c r="S1021" s="344" t="n"/>
      <c r="T1021" s="344" t="n"/>
      <c r="U1021" s="344" t="n"/>
      <c r="V1021" s="344" t="n"/>
      <c r="W1021" s="344" t="n"/>
    </row>
    <row r="1022" customFormat="1" s="354">
      <c r="A1022" s="345" t="n"/>
      <c r="B1022" s="581" t="n"/>
      <c r="C1022" s="582" t="n"/>
      <c r="D1022" s="583" t="n"/>
      <c r="E1022" s="584" t="n"/>
      <c r="F1022" s="350" t="n"/>
      <c r="G1022" s="350" t="n"/>
      <c r="H1022" s="350" t="n"/>
      <c r="I1022" s="350" t="n"/>
      <c r="J1022" s="350" t="n"/>
      <c r="K1022" s="351" t="n"/>
      <c r="L1022" s="350" t="n"/>
      <c r="M1022" s="350" t="n"/>
      <c r="N1022" s="344" t="n"/>
      <c r="O1022" s="344" t="n"/>
      <c r="P1022" s="344" t="n"/>
      <c r="Q1022" s="344" t="n"/>
      <c r="R1022" s="344" t="n"/>
      <c r="S1022" s="344" t="n"/>
      <c r="T1022" s="344" t="n"/>
      <c r="U1022" s="344" t="n"/>
      <c r="V1022" s="344" t="n"/>
      <c r="W1022" s="344" t="n"/>
    </row>
    <row r="1023" customFormat="1" s="354">
      <c r="A1023" s="345" t="n"/>
      <c r="B1023" s="581" t="n"/>
      <c r="C1023" s="582" t="n"/>
      <c r="D1023" s="583" t="n"/>
      <c r="E1023" s="584" t="n"/>
      <c r="F1023" s="350" t="n"/>
      <c r="G1023" s="350" t="n"/>
      <c r="H1023" s="350" t="n"/>
      <c r="I1023" s="350" t="n"/>
      <c r="J1023" s="350" t="n"/>
      <c r="K1023" s="351" t="n"/>
      <c r="L1023" s="350" t="n"/>
      <c r="M1023" s="350" t="n"/>
      <c r="N1023" s="344" t="n"/>
      <c r="O1023" s="344" t="n"/>
      <c r="P1023" s="344" t="n"/>
      <c r="Q1023" s="344" t="n"/>
      <c r="R1023" s="344" t="n"/>
      <c r="S1023" s="344" t="n"/>
      <c r="T1023" s="344" t="n"/>
      <c r="U1023" s="344" t="n"/>
      <c r="V1023" s="344" t="n"/>
      <c r="W1023" s="344" t="n"/>
    </row>
    <row r="1024" customFormat="1" s="354">
      <c r="A1024" s="345" t="n"/>
      <c r="B1024" s="581" t="n"/>
      <c r="C1024" s="582" t="n"/>
      <c r="D1024" s="583" t="n"/>
      <c r="E1024" s="584" t="n"/>
      <c r="F1024" s="350" t="n"/>
      <c r="G1024" s="350" t="n"/>
      <c r="H1024" s="350" t="n"/>
      <c r="I1024" s="350" t="n"/>
      <c r="J1024" s="350" t="n"/>
      <c r="K1024" s="351" t="n"/>
      <c r="L1024" s="355" t="inlineStr">
        <is>
          <t>../開発規格書/久保レシピ修正版/ＱＣＳ/◆【包材ラップ仕様】◆%20スパゲティサラダ６（白鳥）.xlsx</t>
        </is>
      </c>
      <c r="M1024" s="350" t="n"/>
      <c r="N1024" s="344" t="n"/>
      <c r="O1024" s="344" t="n"/>
      <c r="P1024" s="344" t="n"/>
      <c r="Q1024" s="344" t="n"/>
      <c r="R1024" s="344" t="n"/>
      <c r="S1024" s="344" t="n"/>
      <c r="T1024" s="344" t="n"/>
      <c r="U1024" s="344" t="n"/>
      <c r="V1024" s="344" t="n"/>
      <c r="W1024" s="344" t="n"/>
    </row>
    <row r="1025" customFormat="1" s="354">
      <c r="A1025" s="345" t="n"/>
      <c r="B1025" s="581" t="n"/>
      <c r="C1025" s="582" t="n"/>
      <c r="D1025" s="583" t="n"/>
      <c r="E1025" s="584" t="n"/>
      <c r="F1025" s="350" t="n"/>
      <c r="G1025" s="350" t="n"/>
      <c r="H1025" s="350" t="n"/>
      <c r="I1025" s="350" t="n"/>
      <c r="J1025" s="350" t="n"/>
      <c r="K1025" s="351" t="n"/>
      <c r="L1025" s="593" t="inlineStr">
        <is>
          <t>../開発規格書/久保レシピ修正版/ＱＣＳ/【シェルマカロニ・ペンネッテ入替】三種のマカロニサラダ%20(白鳥）.xlsx</t>
        </is>
      </c>
      <c r="M1025" s="350" t="n"/>
      <c r="N1025" s="344" t="n"/>
      <c r="O1025" s="344" t="n"/>
      <c r="P1025" s="344" t="n"/>
      <c r="Q1025" s="344" t="n"/>
      <c r="R1025" s="344" t="n"/>
      <c r="S1025" s="344" t="n"/>
      <c r="T1025" s="344" t="n"/>
      <c r="U1025" s="344" t="n"/>
      <c r="V1025" s="344" t="n"/>
      <c r="W1025" s="344" t="n"/>
    </row>
    <row r="1026" customFormat="1" s="354">
      <c r="A1026" s="345" t="n"/>
      <c r="B1026" s="581" t="n"/>
      <c r="C1026" s="582" t="n"/>
      <c r="D1026" s="583" t="n"/>
      <c r="E1026" s="584" t="n"/>
      <c r="F1026" s="350" t="n"/>
      <c r="G1026" s="372" t="n"/>
      <c r="H1026" s="350" t="n"/>
      <c r="I1026" s="350" t="n"/>
      <c r="J1026" s="350" t="n"/>
      <c r="K1026" s="351" t="n"/>
      <c r="L1026" s="350" t="n"/>
      <c r="M1026" s="350" t="n"/>
      <c r="N1026" s="344" t="n"/>
      <c r="O1026" s="344" t="n"/>
      <c r="P1026" s="344" t="n"/>
      <c r="Q1026" s="344" t="n"/>
      <c r="R1026" s="344" t="n"/>
      <c r="S1026" s="344" t="n"/>
      <c r="T1026" s="344" t="n"/>
      <c r="U1026" s="344" t="n"/>
      <c r="V1026" s="344" t="n"/>
      <c r="W1026" s="344" t="n"/>
    </row>
    <row r="1027" customFormat="1" s="354">
      <c r="A1027" s="345" t="n"/>
      <c r="B1027" s="581" t="n"/>
      <c r="C1027" s="582" t="n"/>
      <c r="D1027" s="583" t="n"/>
      <c r="E1027" s="584" t="n"/>
      <c r="F1027" s="350" t="n"/>
      <c r="G1027" s="350" t="n"/>
      <c r="H1027" s="350" t="n"/>
      <c r="I1027" s="350" t="n"/>
      <c r="J1027" s="350" t="n"/>
      <c r="K1027" s="351" t="n"/>
      <c r="L1027" s="593" t="inlineStr">
        <is>
          <t>../開発規格書/久保レシピ修正版/ＱＣＳ/【シェルマカロニ・ペンネッテ入替】三種のマカロニサラダ%20(白鳥）.xlsx</t>
        </is>
      </c>
      <c r="M1027" s="350" t="n"/>
      <c r="N1027" s="344" t="n"/>
      <c r="O1027" s="344" t="n"/>
      <c r="P1027" s="344" t="n"/>
      <c r="Q1027" s="344" t="n"/>
      <c r="R1027" s="344" t="n"/>
      <c r="S1027" s="344" t="n"/>
      <c r="T1027" s="344" t="n"/>
      <c r="U1027" s="344" t="n"/>
      <c r="V1027" s="344" t="n"/>
      <c r="W1027" s="344" t="n"/>
    </row>
    <row r="1028" customFormat="1" s="354">
      <c r="A1028" s="345" t="n"/>
      <c r="B1028" s="581" t="n"/>
      <c r="C1028" s="582" t="n"/>
      <c r="D1028" s="583" t="n"/>
      <c r="E1028" s="584" t="n"/>
      <c r="F1028" s="350" t="n"/>
      <c r="G1028" s="372" t="n"/>
      <c r="H1028" s="350" t="n"/>
      <c r="I1028" s="350" t="n"/>
      <c r="J1028" s="350" t="n"/>
      <c r="K1028" s="351" t="n"/>
      <c r="L1028" s="350" t="n"/>
      <c r="M1028" s="350" t="n"/>
      <c r="N1028" s="344" t="n"/>
      <c r="O1028" s="344" t="n"/>
      <c r="P1028" s="344" t="n"/>
      <c r="Q1028" s="344" t="n"/>
      <c r="R1028" s="344" t="n"/>
      <c r="S1028" s="344" t="n"/>
      <c r="T1028" s="344" t="n"/>
      <c r="U1028" s="344" t="n"/>
      <c r="V1028" s="344" t="n"/>
      <c r="W1028" s="344" t="n"/>
    </row>
    <row r="1029" customFormat="1" s="354">
      <c r="A1029" s="345" t="n"/>
      <c r="B1029" s="581" t="n"/>
      <c r="C1029" s="582" t="n"/>
      <c r="D1029" s="583" t="n"/>
      <c r="E1029" s="584" t="n"/>
      <c r="F1029" s="350" t="n"/>
      <c r="G1029" s="350" t="n"/>
      <c r="H1029" s="350" t="n"/>
      <c r="I1029" s="350" t="n"/>
      <c r="J1029" s="350" t="n"/>
      <c r="K1029" s="351" t="n"/>
      <c r="L1029" s="355" t="inlineStr">
        <is>
          <t>2841000200063_【ＱＣＳ】きゅうり輪切り.xlsx</t>
        </is>
      </c>
      <c r="M1029" s="350" t="n"/>
      <c r="N1029" s="344" t="n"/>
      <c r="O1029" s="344" t="n"/>
      <c r="P1029" s="344" t="n"/>
      <c r="Q1029" s="344" t="n"/>
      <c r="R1029" s="344" t="n"/>
      <c r="S1029" s="344" t="n"/>
      <c r="T1029" s="344" t="n"/>
      <c r="U1029" s="344" t="n"/>
      <c r="V1029" s="344" t="n"/>
      <c r="W1029" s="344" t="n"/>
    </row>
    <row r="1030" customFormat="1" s="354">
      <c r="A1030" s="345" t="n"/>
      <c r="B1030" s="581" t="n"/>
      <c r="C1030" s="582" t="n"/>
      <c r="D1030" s="583" t="n"/>
      <c r="E1030" s="584" t="n"/>
      <c r="F1030" s="350" t="n"/>
      <c r="G1030" s="350" t="n"/>
      <c r="H1030" s="350" t="n"/>
      <c r="I1030" s="350" t="n"/>
      <c r="J1030" s="350" t="n"/>
      <c r="K1030" s="351" t="n"/>
      <c r="L1030" s="355" t="inlineStr">
        <is>
          <t>2841000200063_【ＱＣＳ】きゅうり輪切り.xlsx</t>
        </is>
      </c>
      <c r="M1030" s="350" t="n"/>
      <c r="N1030" s="344" t="n"/>
      <c r="O1030" s="344" t="n"/>
      <c r="P1030" s="344" t="n"/>
      <c r="Q1030" s="344" t="n"/>
      <c r="R1030" s="344" t="n"/>
      <c r="S1030" s="344" t="n"/>
      <c r="T1030" s="344" t="n"/>
      <c r="U1030" s="344" t="n"/>
      <c r="V1030" s="344" t="n"/>
      <c r="W1030" s="344" t="n"/>
    </row>
    <row r="1031" customFormat="1" s="354">
      <c r="A1031" s="345" t="n"/>
      <c r="B1031" s="581" t="n"/>
      <c r="C1031" s="582" t="n"/>
      <c r="D1031" s="583" t="n"/>
      <c r="E1031" s="594" t="n"/>
      <c r="F1031" s="350" t="n"/>
      <c r="G1031" s="350" t="n"/>
      <c r="H1031" s="350" t="n"/>
      <c r="I1031" s="350" t="n"/>
      <c r="J1031" s="350" t="n"/>
      <c r="K1031" s="351" t="n"/>
      <c r="L1031" s="355" t="inlineStr">
        <is>
          <t>2841000168790_【ＱＣＳ】コーンボイル.xlsx</t>
        </is>
      </c>
      <c r="M1031" s="350" t="n"/>
      <c r="N1031" s="344" t="n"/>
      <c r="O1031" s="344" t="n"/>
      <c r="P1031" s="344" t="n"/>
      <c r="Q1031" s="344" t="n"/>
      <c r="R1031" s="344" t="n"/>
      <c r="S1031" s="344" t="n"/>
      <c r="T1031" s="344" t="n"/>
      <c r="U1031" s="344" t="n"/>
      <c r="V1031" s="344" t="n"/>
      <c r="W1031" s="344" t="n"/>
    </row>
    <row r="1032" customFormat="1" s="354">
      <c r="A1032" s="345" t="n"/>
      <c r="B1032" s="581" t="n"/>
      <c r="C1032" s="582" t="n"/>
      <c r="D1032" s="583" t="n"/>
      <c r="E1032" s="584" t="n"/>
      <c r="F1032" s="350" t="n"/>
      <c r="G1032" s="350" t="n"/>
      <c r="H1032" s="350" t="n"/>
      <c r="I1032" s="350" t="n"/>
      <c r="J1032" s="350" t="n"/>
      <c r="K1032" s="351" t="n"/>
      <c r="L1032" s="350" t="n"/>
      <c r="M1032" s="350" t="n"/>
      <c r="N1032" s="344" t="n"/>
      <c r="O1032" s="344" t="n"/>
      <c r="P1032" s="344" t="n"/>
      <c r="Q1032" s="344" t="n"/>
      <c r="R1032" s="344" t="n"/>
      <c r="S1032" s="344" t="n"/>
      <c r="T1032" s="344" t="n"/>
      <c r="U1032" s="344" t="n"/>
      <c r="V1032" s="344" t="n"/>
      <c r="W1032" s="344" t="n"/>
    </row>
    <row r="1033" customFormat="1" s="354">
      <c r="A1033" s="345" t="n"/>
      <c r="B1033" s="581" t="n"/>
      <c r="C1033" s="582" t="n"/>
      <c r="D1033" s="583" t="n"/>
      <c r="E1033" s="584" t="n"/>
      <c r="F1033" s="350" t="n"/>
      <c r="G1033" s="350" t="n"/>
      <c r="H1033" s="350" t="n"/>
      <c r="I1033" s="350" t="n"/>
      <c r="J1033" s="350" t="n"/>
      <c r="K1033" s="351" t="n"/>
      <c r="L1033" s="355" t="inlineStr">
        <is>
          <t>2841000174395_【ＱＣＳ】クラッシュ玉子.xlsx</t>
        </is>
      </c>
      <c r="M1033" s="350" t="n"/>
      <c r="N1033" s="344" t="n"/>
      <c r="O1033" s="344" t="n"/>
      <c r="P1033" s="344" t="n"/>
      <c r="Q1033" s="344" t="n"/>
      <c r="R1033" s="344" t="n"/>
      <c r="S1033" s="344" t="n"/>
      <c r="T1033" s="344" t="n"/>
      <c r="U1033" s="344" t="n"/>
      <c r="V1033" s="344" t="n"/>
      <c r="W1033" s="344" t="n"/>
    </row>
    <row r="1034" customFormat="1" s="354">
      <c r="A1034" s="345" t="n"/>
      <c r="B1034" s="581" t="n"/>
      <c r="C1034" s="582" t="n"/>
      <c r="D1034" s="583" t="n"/>
      <c r="E1034" s="592" t="n"/>
      <c r="F1034" s="350" t="n"/>
      <c r="G1034" s="350" t="n"/>
      <c r="H1034" s="350" t="n"/>
      <c r="I1034" s="350" t="n"/>
      <c r="J1034" s="350" t="n"/>
      <c r="K1034" s="351" t="n"/>
      <c r="L1034" s="355" t="inlineStr">
        <is>
          <t>2841000168707_【ＱＣＳ】玉子加熱.xlsx</t>
        </is>
      </c>
      <c r="M1034" s="350" t="n"/>
      <c r="N1034" s="344" t="n"/>
      <c r="O1034" s="344" t="n"/>
      <c r="P1034" s="344" t="n"/>
      <c r="Q1034" s="344" t="n"/>
      <c r="R1034" s="344" t="n"/>
      <c r="S1034" s="344" t="n"/>
      <c r="T1034" s="344" t="n"/>
      <c r="U1034" s="344" t="n"/>
      <c r="V1034" s="344" t="n"/>
      <c r="W1034" s="344" t="n"/>
    </row>
    <row r="1035" customFormat="1" s="354">
      <c r="A1035" s="345" t="n"/>
      <c r="B1035" s="581" t="n"/>
      <c r="C1035" s="582" t="n"/>
      <c r="D1035" s="583" t="n"/>
      <c r="E1035" s="594" t="n"/>
      <c r="F1035" s="350" t="n"/>
      <c r="G1035" s="350" t="n"/>
      <c r="H1035" s="350" t="n"/>
      <c r="I1035" s="350" t="n"/>
      <c r="J1035" s="350" t="n"/>
      <c r="K1035" s="351" t="n"/>
      <c r="L1035" s="355" t="inlineStr">
        <is>
          <t>2841000174395_【ＱＣＳ】クラッシュ玉子.xlsx</t>
        </is>
      </c>
      <c r="M1035" s="350" t="n"/>
      <c r="N1035" s="344" t="n"/>
      <c r="O1035" s="344" t="n"/>
      <c r="P1035" s="344" t="n"/>
      <c r="Q1035" s="344" t="n"/>
      <c r="R1035" s="344" t="n"/>
      <c r="S1035" s="344" t="n"/>
      <c r="T1035" s="344" t="n"/>
      <c r="U1035" s="344" t="n"/>
      <c r="V1035" s="344" t="n"/>
      <c r="W1035" s="344" t="n"/>
    </row>
    <row r="1036" customFormat="1" s="354">
      <c r="A1036" s="345" t="n"/>
      <c r="B1036" s="581" t="n"/>
      <c r="C1036" s="582" t="n"/>
      <c r="D1036" s="583" t="n"/>
      <c r="E1036" s="584" t="n"/>
      <c r="F1036" s="350" t="n"/>
      <c r="G1036" s="350" t="n"/>
      <c r="H1036" s="350" t="n"/>
      <c r="I1036" s="350" t="n"/>
      <c r="J1036" s="350" t="n"/>
      <c r="K1036" s="351" t="n"/>
      <c r="L1036" s="350" t="n"/>
      <c r="M1036" s="350" t="n"/>
      <c r="N1036" s="344" t="n"/>
      <c r="O1036" s="344" t="n"/>
      <c r="P1036" s="344" t="n"/>
      <c r="Q1036" s="344" t="n"/>
      <c r="R1036" s="344" t="n"/>
      <c r="S1036" s="344" t="n"/>
      <c r="T1036" s="344" t="n"/>
      <c r="U1036" s="344" t="n"/>
      <c r="V1036" s="344" t="n"/>
      <c r="W1036" s="344" t="n"/>
    </row>
    <row r="1037" customFormat="1" s="354">
      <c r="A1037" s="345" t="n"/>
      <c r="B1037" s="581" t="n"/>
      <c r="C1037" s="582" t="n"/>
      <c r="D1037" s="583" t="n"/>
      <c r="E1037" s="584" t="n"/>
      <c r="F1037" s="350" t="n"/>
      <c r="G1037" s="350" t="n"/>
      <c r="H1037" s="350" t="n"/>
      <c r="I1037" s="350" t="n"/>
      <c r="J1037" s="350" t="n"/>
      <c r="K1037" s="351" t="n"/>
      <c r="L1037" s="587" t="inlineStr">
        <is>
          <t>../開発規格書/久保レシピ修正版/ＱＣＳ/マカロニサラダ３（白鳥）.xlsx</t>
        </is>
      </c>
      <c r="M1037" s="350" t="n"/>
      <c r="N1037" s="344" t="n"/>
      <c r="O1037" s="344" t="n"/>
      <c r="P1037" s="344" t="n"/>
      <c r="Q1037" s="344" t="n"/>
      <c r="R1037" s="344" t="n"/>
      <c r="S1037" s="344" t="n"/>
      <c r="T1037" s="344" t="n"/>
      <c r="U1037" s="344" t="n"/>
      <c r="V1037" s="344" t="n"/>
      <c r="W1037" s="344" t="n"/>
    </row>
    <row r="1038" customFormat="1" s="354">
      <c r="A1038" s="345" t="n"/>
      <c r="B1038" s="581" t="n"/>
      <c r="C1038" s="582" t="n"/>
      <c r="D1038" s="583" t="n"/>
      <c r="E1038" s="584" t="n"/>
      <c r="F1038" s="350" t="n"/>
      <c r="G1038" s="350" t="n"/>
      <c r="H1038" s="350" t="n"/>
      <c r="I1038" s="350" t="n"/>
      <c r="J1038" s="350" t="n"/>
      <c r="K1038" s="351" t="n"/>
      <c r="L1038" s="355" t="inlineStr">
        <is>
          <t>../開発規格書/久保レシピ修正版/ＱＣＳ/【PC加工用】マカロニサラダ２.xlsx</t>
        </is>
      </c>
      <c r="M1038" s="350" t="n"/>
      <c r="N1038" s="344" t="n"/>
      <c r="O1038" s="344" t="n"/>
      <c r="P1038" s="344" t="n"/>
      <c r="Q1038" s="344" t="n"/>
      <c r="R1038" s="344" t="n"/>
      <c r="S1038" s="344" t="n"/>
      <c r="T1038" s="344" t="n"/>
      <c r="U1038" s="344" t="n"/>
      <c r="V1038" s="344" t="n"/>
      <c r="W1038" s="344" t="n"/>
    </row>
    <row r="1039" customFormat="1" s="354">
      <c r="A1039" s="345" t="n"/>
      <c r="B1039" s="581" t="n"/>
      <c r="C1039" s="582" t="n"/>
      <c r="D1039" s="583" t="n"/>
      <c r="E1039" s="584" t="n"/>
      <c r="F1039" s="350" t="n"/>
      <c r="G1039" s="350" t="n"/>
      <c r="H1039" s="350" t="n"/>
      <c r="I1039" s="350" t="n"/>
      <c r="J1039" s="350" t="n"/>
      <c r="K1039" s="351" t="n"/>
      <c r="L1039" s="355" t="inlineStr">
        <is>
          <t>2841000200063_【ＱＣＳ】きゅうり輪切り.xlsx</t>
        </is>
      </c>
      <c r="M1039" s="350" t="n"/>
      <c r="N1039" s="344" t="n"/>
      <c r="O1039" s="344" t="n"/>
      <c r="P1039" s="344" t="n"/>
      <c r="Q1039" s="344" t="n"/>
      <c r="R1039" s="344" t="n"/>
      <c r="S1039" s="344" t="n"/>
      <c r="T1039" s="344" t="n"/>
      <c r="U1039" s="344" t="n"/>
      <c r="V1039" s="344" t="n"/>
      <c r="W1039" s="344" t="n"/>
    </row>
    <row r="1040" customFormat="1" s="354">
      <c r="A1040" s="345" t="n"/>
      <c r="B1040" s="581" t="n"/>
      <c r="C1040" s="582" t="n"/>
      <c r="D1040" s="583" t="n"/>
      <c r="E1040" s="584" t="n"/>
      <c r="F1040" s="350" t="n"/>
      <c r="G1040" s="350" t="n"/>
      <c r="H1040" s="350" t="n"/>
      <c r="I1040" s="350" t="n"/>
      <c r="J1040" s="350" t="n"/>
      <c r="K1040" s="351" t="n"/>
      <c r="L1040" s="355" t="inlineStr">
        <is>
          <t>2841000200063_【ＱＣＳ】きゅうり輪切り.xlsx</t>
        </is>
      </c>
      <c r="M1040" s="350" t="n"/>
      <c r="N1040" s="344" t="n"/>
      <c r="O1040" s="344" t="n"/>
      <c r="P1040" s="344" t="n"/>
      <c r="Q1040" s="344" t="n"/>
      <c r="R1040" s="344" t="n"/>
      <c r="S1040" s="344" t="n"/>
      <c r="T1040" s="344" t="n"/>
      <c r="U1040" s="344" t="n"/>
      <c r="V1040" s="344" t="n"/>
      <c r="W1040" s="344" t="n"/>
    </row>
    <row r="1041" customFormat="1" s="354">
      <c r="A1041" s="345" t="n"/>
      <c r="B1041" s="581" t="n"/>
      <c r="C1041" s="582" t="n"/>
      <c r="D1041" s="583" t="n"/>
      <c r="E1041" s="584" t="n"/>
      <c r="F1041" s="350" t="n"/>
      <c r="G1041" s="350" t="n"/>
      <c r="H1041" s="350" t="n"/>
      <c r="I1041" s="350" t="n"/>
      <c r="J1041" s="350" t="n"/>
      <c r="K1041" s="351" t="n"/>
      <c r="L1041" s="350" t="n"/>
      <c r="M1041" s="350" t="n"/>
      <c r="N1041" s="344" t="n"/>
      <c r="O1041" s="344" t="n"/>
      <c r="P1041" s="344" t="n"/>
      <c r="Q1041" s="344" t="n"/>
      <c r="R1041" s="344" t="n"/>
      <c r="S1041" s="344" t="n"/>
      <c r="T1041" s="344" t="n"/>
      <c r="U1041" s="344" t="n"/>
      <c r="V1041" s="344" t="n"/>
      <c r="W1041" s="344" t="n"/>
    </row>
    <row r="1042" customFormat="1" s="354">
      <c r="A1042" s="345" t="n"/>
      <c r="B1042" s="581" t="n"/>
      <c r="C1042" s="582" t="n"/>
      <c r="D1042" s="583" t="n"/>
      <c r="E1042" s="584" t="n"/>
      <c r="F1042" s="350" t="n"/>
      <c r="G1042" s="350" t="n"/>
      <c r="H1042" s="350" t="n"/>
      <c r="I1042" s="350" t="n"/>
      <c r="J1042" s="350" t="n"/>
      <c r="K1042" s="351" t="n"/>
      <c r="L1042" s="350" t="n"/>
      <c r="M1042" s="350" t="n"/>
      <c r="N1042" s="344" t="n"/>
      <c r="O1042" s="344" t="n"/>
      <c r="P1042" s="344" t="n"/>
      <c r="Q1042" s="344" t="n"/>
      <c r="R1042" s="344" t="n"/>
      <c r="S1042" s="344" t="n"/>
      <c r="T1042" s="344" t="n"/>
      <c r="U1042" s="344" t="n"/>
      <c r="V1042" s="344" t="n"/>
      <c r="W1042" s="344" t="n"/>
    </row>
    <row r="1043" customFormat="1" s="354">
      <c r="A1043" s="345" t="n"/>
      <c r="B1043" s="581" t="n"/>
      <c r="C1043" s="582" t="n"/>
      <c r="D1043" s="583" t="n"/>
      <c r="E1043" s="584" t="n"/>
      <c r="F1043" s="350" t="n"/>
      <c r="G1043" s="350" t="n"/>
      <c r="H1043" s="350" t="n"/>
      <c r="I1043" s="350" t="n"/>
      <c r="J1043" s="350" t="n"/>
      <c r="K1043" s="351" t="n"/>
      <c r="L1043" s="355" t="inlineStr">
        <is>
          <t>2841000174395_【ＱＣＳ】クラッシュ玉子.xlsx</t>
        </is>
      </c>
      <c r="M1043" s="350" t="n"/>
      <c r="N1043" s="344" t="n"/>
      <c r="O1043" s="344" t="n"/>
      <c r="P1043" s="344" t="n"/>
      <c r="Q1043" s="344" t="n"/>
      <c r="R1043" s="344" t="n"/>
      <c r="S1043" s="344" t="n"/>
      <c r="T1043" s="344" t="n"/>
      <c r="U1043" s="344" t="n"/>
      <c r="V1043" s="344" t="n"/>
      <c r="W1043" s="344" t="n"/>
    </row>
    <row r="1044" customFormat="1" s="354">
      <c r="A1044" s="345" t="n"/>
      <c r="B1044" s="581" t="n"/>
      <c r="C1044" s="582" t="n"/>
      <c r="D1044" s="583" t="n"/>
      <c r="E1044" s="592" t="n"/>
      <c r="F1044" s="350" t="n"/>
      <c r="G1044" s="350" t="n"/>
      <c r="H1044" s="350" t="n"/>
      <c r="I1044" s="350" t="n"/>
      <c r="J1044" s="350" t="n"/>
      <c r="K1044" s="351" t="n"/>
      <c r="L1044" s="355" t="inlineStr">
        <is>
          <t>2841000168707_【ＱＣＳ】玉子加熱.xlsx</t>
        </is>
      </c>
      <c r="M1044" s="350" t="n"/>
      <c r="N1044" s="344" t="n"/>
      <c r="O1044" s="344" t="n"/>
      <c r="P1044" s="344" t="n"/>
      <c r="Q1044" s="344" t="n"/>
      <c r="R1044" s="344" t="n"/>
      <c r="S1044" s="344" t="n"/>
      <c r="T1044" s="344" t="n"/>
      <c r="U1044" s="344" t="n"/>
      <c r="V1044" s="344" t="n"/>
      <c r="W1044" s="344" t="n"/>
    </row>
    <row r="1045" customFormat="1" s="354">
      <c r="A1045" s="345" t="n"/>
      <c r="B1045" s="581" t="n"/>
      <c r="C1045" s="582" t="n"/>
      <c r="D1045" s="583" t="n"/>
      <c r="E1045" s="594" t="n"/>
      <c r="F1045" s="350" t="n"/>
      <c r="G1045" s="350" t="n"/>
      <c r="H1045" s="350" t="n"/>
      <c r="I1045" s="350" t="n"/>
      <c r="J1045" s="350" t="n"/>
      <c r="K1045" s="351" t="n"/>
      <c r="L1045" s="355" t="inlineStr">
        <is>
          <t>2841000174395_【ＱＣＳ】クラッシュ玉子.xlsx</t>
        </is>
      </c>
      <c r="M1045" s="350" t="n"/>
      <c r="N1045" s="344" t="n"/>
      <c r="O1045" s="344" t="n"/>
      <c r="P1045" s="344" t="n"/>
      <c r="Q1045" s="344" t="n"/>
      <c r="R1045" s="344" t="n"/>
      <c r="S1045" s="344" t="n"/>
      <c r="T1045" s="344" t="n"/>
      <c r="U1045" s="344" t="n"/>
      <c r="V1045" s="344" t="n"/>
      <c r="W1045" s="344" t="n"/>
    </row>
    <row r="1046" customFormat="1" s="354">
      <c r="A1046" s="345" t="n"/>
      <c r="B1046" s="581" t="n"/>
      <c r="C1046" s="582" t="n"/>
      <c r="D1046" s="583" t="n"/>
      <c r="E1046" s="584" t="n"/>
      <c r="F1046" s="350" t="n"/>
      <c r="G1046" s="350" t="n"/>
      <c r="H1046" s="350" t="n"/>
      <c r="I1046" s="350" t="n"/>
      <c r="J1046" s="350" t="n"/>
      <c r="K1046" s="351" t="n"/>
      <c r="L1046" s="350" t="n"/>
      <c r="M1046" s="350" t="n"/>
      <c r="N1046" s="344" t="n"/>
      <c r="O1046" s="344" t="n"/>
      <c r="P1046" s="344" t="n"/>
      <c r="Q1046" s="344" t="n"/>
      <c r="R1046" s="344" t="n"/>
      <c r="S1046" s="344" t="n"/>
      <c r="T1046" s="344" t="n"/>
      <c r="U1046" s="344" t="n"/>
      <c r="V1046" s="344" t="n"/>
      <c r="W1046" s="344" t="n"/>
    </row>
    <row r="1047" customFormat="1" s="354">
      <c r="A1047" s="345" t="n"/>
      <c r="B1047" s="581" t="n"/>
      <c r="C1047" s="582" t="n"/>
      <c r="D1047" s="583" t="n"/>
      <c r="E1047" s="584" t="n"/>
      <c r="F1047" s="350" t="n"/>
      <c r="G1047" s="350" t="n"/>
      <c r="H1047" s="350" t="n"/>
      <c r="I1047" s="350" t="n"/>
      <c r="J1047" s="350" t="n"/>
      <c r="K1047" s="351" t="n"/>
      <c r="L1047" s="350" t="n"/>
      <c r="M1047" s="350" t="n"/>
      <c r="N1047" s="344" t="n"/>
      <c r="O1047" s="344" t="n"/>
      <c r="P1047" s="344" t="n"/>
      <c r="Q1047" s="344" t="n"/>
      <c r="R1047" s="344" t="n"/>
      <c r="S1047" s="344" t="n"/>
      <c r="T1047" s="344" t="n"/>
      <c r="U1047" s="344" t="n"/>
      <c r="V1047" s="344" t="n"/>
      <c r="W1047" s="344" t="n"/>
    </row>
    <row r="1048" customFormat="1" s="354">
      <c r="A1048" s="345" t="n"/>
      <c r="B1048" s="581" t="n"/>
      <c r="C1048" s="582" t="n"/>
      <c r="D1048" s="583" t="n"/>
      <c r="E1048" s="584" t="n"/>
      <c r="F1048" s="350" t="n"/>
      <c r="G1048" s="350" t="n"/>
      <c r="H1048" s="350" t="n"/>
      <c r="I1048" s="350" t="n"/>
      <c r="J1048" s="350" t="n"/>
      <c r="K1048" s="351" t="n"/>
      <c r="L1048" s="593" t="inlineStr">
        <is>
          <t>../開発規格書/久保レシピ修正版/ＱＣＳ/【シェルマカロニ・ペンネッテ入替】三種のマカロニサラダ%20(白鳥）.xlsx</t>
        </is>
      </c>
      <c r="M1048" s="350" t="n"/>
      <c r="N1048" s="344" t="n"/>
      <c r="O1048" s="344" t="n"/>
      <c r="P1048" s="344" t="n"/>
      <c r="Q1048" s="344" t="n"/>
      <c r="R1048" s="344" t="n"/>
      <c r="S1048" s="344" t="n"/>
      <c r="T1048" s="344" t="n"/>
      <c r="U1048" s="344" t="n"/>
      <c r="V1048" s="344" t="n"/>
      <c r="W1048" s="344" t="n"/>
    </row>
    <row r="1049" customFormat="1" s="354">
      <c r="A1049" s="345" t="n"/>
      <c r="B1049" s="581" t="n"/>
      <c r="C1049" s="582" t="n"/>
      <c r="D1049" s="583" t="n"/>
      <c r="E1049" s="584" t="n"/>
      <c r="F1049" s="350" t="n"/>
      <c r="G1049" s="350" t="n"/>
      <c r="H1049" s="350" t="n"/>
      <c r="I1049" s="350" t="n"/>
      <c r="J1049" s="350" t="n"/>
      <c r="K1049" s="351" t="n"/>
      <c r="L1049" s="350" t="n"/>
      <c r="M1049" s="350" t="n"/>
      <c r="N1049" s="344" t="n"/>
      <c r="O1049" s="344" t="n"/>
      <c r="P1049" s="344" t="n"/>
      <c r="Q1049" s="344" t="n"/>
      <c r="R1049" s="344" t="n"/>
      <c r="S1049" s="344" t="n"/>
      <c r="T1049" s="344" t="n"/>
      <c r="U1049" s="344" t="n"/>
      <c r="V1049" s="344" t="n"/>
      <c r="W1049" s="344" t="n"/>
    </row>
    <row r="1050" customFormat="1" s="354">
      <c r="A1050" s="345" t="n"/>
      <c r="B1050" s="581" t="n"/>
      <c r="C1050" s="582" t="n"/>
      <c r="D1050" s="583" t="n"/>
      <c r="E1050" s="584" t="n"/>
      <c r="F1050" s="350" t="n"/>
      <c r="G1050" s="350" t="n"/>
      <c r="H1050" s="350" t="n"/>
      <c r="I1050" s="350" t="n"/>
      <c r="J1050" s="350" t="n"/>
      <c r="K1050" s="351" t="n"/>
      <c r="L1050" s="350" t="n"/>
      <c r="M1050" s="350" t="n"/>
      <c r="N1050" s="344" t="n"/>
      <c r="O1050" s="344" t="n"/>
      <c r="P1050" s="344" t="n"/>
      <c r="Q1050" s="344" t="n"/>
      <c r="R1050" s="344" t="n"/>
      <c r="S1050" s="344" t="n"/>
      <c r="T1050" s="344" t="n"/>
      <c r="U1050" s="344" t="n"/>
      <c r="V1050" s="344" t="n"/>
      <c r="W1050" s="344" t="n"/>
    </row>
    <row r="1051" customFormat="1" s="354">
      <c r="A1051" s="345" t="n"/>
      <c r="B1051" s="581" t="n"/>
      <c r="C1051" s="582" t="n"/>
      <c r="D1051" s="583" t="n"/>
      <c r="E1051" s="584" t="n"/>
      <c r="F1051" s="350" t="n"/>
      <c r="G1051" s="350" t="n"/>
      <c r="H1051" s="350" t="n"/>
      <c r="I1051" s="350" t="n"/>
      <c r="J1051" s="350" t="n"/>
      <c r="K1051" s="351" t="n"/>
      <c r="L1051" s="593" t="inlineStr">
        <is>
          <t>../開発規格書/久保レシピ修正版/ＱＣＳ/【シェルマカロニ・ペンネッテ入替】三種のマカロニサラダ%20(白鳥）.xlsx</t>
        </is>
      </c>
      <c r="M1051" s="350" t="n"/>
      <c r="N1051" s="344" t="n"/>
      <c r="O1051" s="344" t="n"/>
      <c r="P1051" s="344" t="n"/>
      <c r="Q1051" s="344" t="n"/>
      <c r="R1051" s="344" t="n"/>
      <c r="S1051" s="344" t="n"/>
      <c r="T1051" s="344" t="n"/>
      <c r="U1051" s="344" t="n"/>
      <c r="V1051" s="344" t="n"/>
      <c r="W1051" s="344" t="n"/>
    </row>
    <row r="1052" customFormat="1" s="354">
      <c r="A1052" s="345" t="n"/>
      <c r="B1052" s="581" t="n"/>
      <c r="C1052" s="582" t="n"/>
      <c r="D1052" s="583" t="n"/>
      <c r="E1052" s="584" t="n"/>
      <c r="F1052" s="350" t="n"/>
      <c r="G1052" s="350" t="n"/>
      <c r="H1052" s="350" t="n"/>
      <c r="I1052" s="350" t="n"/>
      <c r="J1052" s="350" t="n"/>
      <c r="K1052" s="351" t="n"/>
      <c r="L1052" s="593" t="inlineStr">
        <is>
          <t>../開発規格書/久保レシピ修正版/ＱＣＳ/【シェルマカロニ・ペンネッテ入替】三種のマカロニサラダ%20(白鳥）.xlsx</t>
        </is>
      </c>
      <c r="M1052" s="350" t="n"/>
      <c r="N1052" s="344" t="n"/>
      <c r="O1052" s="344" t="n"/>
      <c r="P1052" s="344" t="n"/>
      <c r="Q1052" s="344" t="n"/>
      <c r="R1052" s="344" t="n"/>
      <c r="S1052" s="344" t="n"/>
      <c r="T1052" s="344" t="n"/>
      <c r="U1052" s="344" t="n"/>
      <c r="V1052" s="344" t="n"/>
      <c r="W1052" s="344" t="n"/>
    </row>
    <row r="1053" customFormat="1" s="354">
      <c r="A1053" s="345" t="n"/>
      <c r="B1053" s="581" t="n"/>
      <c r="C1053" s="582" t="n"/>
      <c r="D1053" s="583" t="n"/>
      <c r="E1053" s="584" t="n"/>
      <c r="F1053" s="350" t="n"/>
      <c r="G1053" s="372" t="n"/>
      <c r="H1053" s="350" t="n"/>
      <c r="I1053" s="350" t="n"/>
      <c r="J1053" s="350" t="n"/>
      <c r="K1053" s="351" t="n"/>
      <c r="L1053" s="350" t="n"/>
      <c r="M1053" s="350" t="n"/>
      <c r="N1053" s="344" t="n"/>
      <c r="O1053" s="344" t="n"/>
      <c r="P1053" s="344" t="n"/>
      <c r="Q1053" s="344" t="n"/>
      <c r="R1053" s="344" t="n"/>
      <c r="S1053" s="344" t="n"/>
      <c r="T1053" s="344" t="n"/>
      <c r="U1053" s="344" t="n"/>
      <c r="V1053" s="344" t="n"/>
      <c r="W1053" s="344" t="n"/>
    </row>
    <row r="1054" customFormat="1" s="354">
      <c r="A1054" s="345" t="n"/>
      <c r="B1054" s="581" t="n"/>
      <c r="C1054" s="582" t="n"/>
      <c r="D1054" s="583" t="n"/>
      <c r="E1054" s="584" t="n"/>
      <c r="F1054" s="350" t="n"/>
      <c r="G1054" s="350" t="n"/>
      <c r="H1054" s="350" t="n"/>
      <c r="I1054" s="350" t="n"/>
      <c r="J1054" s="350" t="n"/>
      <c r="K1054" s="351" t="n"/>
      <c r="L1054" s="355" t="inlineStr">
        <is>
          <t>2841000200063_【ＱＣＳ】きゅうり輪切り.xlsx</t>
        </is>
      </c>
      <c r="M1054" s="350" t="n"/>
      <c r="N1054" s="344" t="n"/>
      <c r="O1054" s="344" t="n"/>
      <c r="P1054" s="344" t="n"/>
      <c r="Q1054" s="344" t="n"/>
      <c r="R1054" s="344" t="n"/>
      <c r="S1054" s="344" t="n"/>
      <c r="T1054" s="344" t="n"/>
      <c r="U1054" s="344" t="n"/>
      <c r="V1054" s="344" t="n"/>
      <c r="W1054" s="344" t="n"/>
    </row>
    <row r="1055" customFormat="1" s="354">
      <c r="A1055" s="345" t="n"/>
      <c r="B1055" s="581" t="n"/>
      <c r="C1055" s="582" t="n"/>
      <c r="D1055" s="583" t="n"/>
      <c r="E1055" s="584" t="n"/>
      <c r="F1055" s="350" t="n"/>
      <c r="G1055" s="350" t="n"/>
      <c r="H1055" s="350" t="n"/>
      <c r="I1055" s="350" t="n"/>
      <c r="J1055" s="350" t="n"/>
      <c r="K1055" s="351" t="n"/>
      <c r="L1055" s="355" t="inlineStr">
        <is>
          <t>2841000200063_【ＱＣＳ】きゅうり輪切り.xlsx</t>
        </is>
      </c>
      <c r="M1055" s="350" t="n"/>
      <c r="N1055" s="344" t="n"/>
      <c r="O1055" s="344" t="n"/>
      <c r="P1055" s="344" t="n"/>
      <c r="Q1055" s="344" t="n"/>
      <c r="R1055" s="344" t="n"/>
      <c r="S1055" s="344" t="n"/>
      <c r="T1055" s="344" t="n"/>
      <c r="U1055" s="344" t="n"/>
      <c r="V1055" s="344" t="n"/>
      <c r="W1055" s="344" t="n"/>
    </row>
    <row r="1056" customFormat="1" s="354">
      <c r="A1056" s="345" t="n"/>
      <c r="B1056" s="581" t="n"/>
      <c r="C1056" s="582" t="n"/>
      <c r="D1056" s="583" t="n"/>
      <c r="E1056" s="584" t="n"/>
      <c r="F1056" s="350" t="n"/>
      <c r="G1056" s="350" t="n"/>
      <c r="H1056" s="350" t="n"/>
      <c r="I1056" s="350" t="n"/>
      <c r="J1056" s="350" t="n"/>
      <c r="K1056" s="351" t="n"/>
      <c r="L1056" s="593" t="inlineStr">
        <is>
          <t>../開発規格書/久保レシピ修正版/ＱＣＳ/【シェルマカロニ・ペンネッテ入替】三種のマカロニサラダ%20(白鳥）.xlsx</t>
        </is>
      </c>
      <c r="M1056" s="350" t="n"/>
      <c r="N1056" s="344" t="n"/>
      <c r="O1056" s="344" t="n"/>
      <c r="P1056" s="344" t="n"/>
      <c r="Q1056" s="344" t="n"/>
      <c r="R1056" s="344" t="n"/>
      <c r="S1056" s="344" t="n"/>
      <c r="T1056" s="344" t="n"/>
      <c r="U1056" s="344" t="n"/>
      <c r="V1056" s="344" t="n"/>
      <c r="W1056" s="344" t="n"/>
    </row>
    <row r="1057" customFormat="1" s="354">
      <c r="A1057" s="345" t="n"/>
      <c r="B1057" s="581" t="n"/>
      <c r="C1057" s="582" t="n"/>
      <c r="D1057" s="583" t="n"/>
      <c r="E1057" s="584" t="n"/>
      <c r="F1057" s="350" t="n"/>
      <c r="G1057" s="372" t="n"/>
      <c r="H1057" s="350" t="n"/>
      <c r="I1057" s="350" t="n"/>
      <c r="J1057" s="350" t="n"/>
      <c r="K1057" s="351" t="n"/>
      <c r="L1057" s="350" t="n"/>
      <c r="M1057" s="350" t="n"/>
      <c r="N1057" s="344" t="n"/>
      <c r="O1057" s="344" t="n"/>
      <c r="P1057" s="344" t="n"/>
      <c r="Q1057" s="344" t="n"/>
      <c r="R1057" s="344" t="n"/>
      <c r="S1057" s="344" t="n"/>
      <c r="T1057" s="344" t="n"/>
      <c r="U1057" s="344" t="n"/>
      <c r="V1057" s="344" t="n"/>
      <c r="W1057" s="344" t="n"/>
    </row>
    <row r="1058" customFormat="1" s="354">
      <c r="A1058" s="345" t="n"/>
      <c r="B1058" s="581" t="n"/>
      <c r="C1058" s="582" t="n"/>
      <c r="D1058" s="583" t="n"/>
      <c r="E1058" s="584" t="n"/>
      <c r="F1058" s="350" t="n"/>
      <c r="G1058" s="350" t="n"/>
      <c r="H1058" s="350" t="n"/>
      <c r="I1058" s="350" t="n"/>
      <c r="J1058" s="350" t="n"/>
      <c r="K1058" s="351" t="n"/>
      <c r="L1058" s="355" t="inlineStr">
        <is>
          <t>2841000174395_【ＱＣＳ】クラッシュ玉子.xlsx</t>
        </is>
      </c>
      <c r="M1058" s="350" t="n"/>
      <c r="N1058" s="344" t="n"/>
      <c r="O1058" s="344" t="n"/>
      <c r="P1058" s="344" t="n"/>
      <c r="Q1058" s="344" t="n"/>
      <c r="R1058" s="344" t="n"/>
      <c r="S1058" s="344" t="n"/>
      <c r="T1058" s="344" t="n"/>
      <c r="U1058" s="344" t="n"/>
      <c r="V1058" s="344" t="n"/>
      <c r="W1058" s="344" t="n"/>
    </row>
    <row r="1059" customFormat="1" s="354">
      <c r="A1059" s="345" t="n"/>
      <c r="B1059" s="581" t="n"/>
      <c r="C1059" s="582" t="n"/>
      <c r="D1059" s="583" t="n"/>
      <c r="E1059" s="592" t="n"/>
      <c r="F1059" s="350" t="n"/>
      <c r="G1059" s="350" t="n"/>
      <c r="H1059" s="350" t="n"/>
      <c r="I1059" s="350" t="n"/>
      <c r="J1059" s="350" t="n"/>
      <c r="K1059" s="351" t="n"/>
      <c r="L1059" s="355" t="inlineStr">
        <is>
          <t>2841000168707_【ＱＣＳ】玉子加熱.xlsx</t>
        </is>
      </c>
      <c r="M1059" s="350" t="n"/>
      <c r="N1059" s="344" t="n"/>
      <c r="O1059" s="344" t="n"/>
      <c r="P1059" s="344" t="n"/>
      <c r="Q1059" s="344" t="n"/>
      <c r="R1059" s="344" t="n"/>
      <c r="S1059" s="344" t="n"/>
      <c r="T1059" s="344" t="n"/>
      <c r="U1059" s="344" t="n"/>
      <c r="V1059" s="344" t="n"/>
      <c r="W1059" s="344" t="n"/>
    </row>
    <row r="1060" customFormat="1" s="354">
      <c r="A1060" s="345" t="n"/>
      <c r="B1060" s="581" t="n"/>
      <c r="C1060" s="582" t="n"/>
      <c r="D1060" s="583" t="n"/>
      <c r="E1060" s="594" t="n"/>
      <c r="F1060" s="350" t="n"/>
      <c r="G1060" s="350" t="n"/>
      <c r="H1060" s="350" t="n"/>
      <c r="I1060" s="350" t="n"/>
      <c r="J1060" s="350" t="n"/>
      <c r="K1060" s="351" t="n"/>
      <c r="L1060" s="355" t="inlineStr">
        <is>
          <t>2841000174395_【ＱＣＳ】クラッシュ玉子.xlsx</t>
        </is>
      </c>
      <c r="M1060" s="350" t="n"/>
      <c r="N1060" s="344" t="n"/>
      <c r="O1060" s="344" t="n"/>
      <c r="P1060" s="344" t="n"/>
      <c r="Q1060" s="344" t="n"/>
      <c r="R1060" s="344" t="n"/>
      <c r="S1060" s="344" t="n"/>
      <c r="T1060" s="344" t="n"/>
      <c r="U1060" s="344" t="n"/>
      <c r="V1060" s="344" t="n"/>
      <c r="W1060" s="344" t="n"/>
    </row>
    <row r="1061" customFormat="1" s="354">
      <c r="A1061" s="345" t="n"/>
      <c r="B1061" s="581" t="n"/>
      <c r="C1061" s="582" t="n"/>
      <c r="D1061" s="583" t="n"/>
      <c r="E1061" s="584" t="n"/>
      <c r="F1061" s="350" t="n"/>
      <c r="G1061" s="350" t="n"/>
      <c r="H1061" s="350" t="n"/>
      <c r="I1061" s="350" t="n"/>
      <c r="J1061" s="350" t="n"/>
      <c r="K1061" s="351" t="n"/>
      <c r="L1061" s="350" t="n"/>
      <c r="M1061" s="350" t="n"/>
      <c r="N1061" s="344" t="n"/>
      <c r="O1061" s="344" t="n"/>
      <c r="P1061" s="344" t="n"/>
      <c r="Q1061" s="344" t="n"/>
      <c r="R1061" s="344" t="n"/>
      <c r="S1061" s="344" t="n"/>
      <c r="T1061" s="344" t="n"/>
      <c r="U1061" s="344" t="n"/>
      <c r="V1061" s="344" t="n"/>
      <c r="W1061" s="344" t="n"/>
    </row>
    <row r="1062" customFormat="1" s="354">
      <c r="A1062" s="345" t="n"/>
      <c r="B1062" s="581" t="n"/>
      <c r="C1062" s="582" t="n"/>
      <c r="D1062" s="583" t="n"/>
      <c r="E1062" s="584" t="n"/>
      <c r="F1062" s="350" t="n"/>
      <c r="G1062" s="350" t="n"/>
      <c r="H1062" s="350" t="n"/>
      <c r="I1062" s="350" t="n"/>
      <c r="J1062" s="350" t="n"/>
      <c r="K1062" s="351" t="n"/>
      <c r="L1062" s="350" t="n"/>
      <c r="M1062" s="350" t="n"/>
      <c r="N1062" s="344" t="n"/>
      <c r="O1062" s="344" t="n"/>
      <c r="P1062" s="344" t="n"/>
      <c r="Q1062" s="344" t="n"/>
      <c r="R1062" s="344" t="n"/>
      <c r="S1062" s="344" t="n"/>
      <c r="T1062" s="344" t="n"/>
      <c r="U1062" s="344" t="n"/>
      <c r="V1062" s="344" t="n"/>
      <c r="W1062" s="344" t="n"/>
    </row>
    <row r="1063" customFormat="1" s="354">
      <c r="A1063" s="345" t="n"/>
      <c r="B1063" s="581" t="n"/>
      <c r="C1063" s="582" t="n"/>
      <c r="D1063" s="583" t="n"/>
      <c r="E1063" s="584" t="n"/>
      <c r="F1063" s="350" t="n"/>
      <c r="G1063" s="350" t="n"/>
      <c r="H1063" s="350" t="n"/>
      <c r="I1063" s="350" t="n"/>
      <c r="J1063" s="350" t="n"/>
      <c r="K1063" s="351" t="n"/>
      <c r="L1063" s="350" t="n"/>
      <c r="M1063" s="350" t="n"/>
      <c r="N1063" s="344" t="n"/>
      <c r="O1063" s="344" t="n"/>
      <c r="P1063" s="344" t="n"/>
      <c r="Q1063" s="344" t="n"/>
      <c r="R1063" s="344" t="n"/>
      <c r="S1063" s="344" t="n"/>
      <c r="T1063" s="344" t="n"/>
      <c r="U1063" s="344" t="n"/>
      <c r="V1063" s="344" t="n"/>
      <c r="W1063" s="344" t="n"/>
    </row>
    <row r="1064" customFormat="1" s="354">
      <c r="A1064" s="345" t="n"/>
      <c r="B1064" s="581" t="n"/>
      <c r="C1064" s="582" t="n"/>
      <c r="D1064" s="583" t="n"/>
      <c r="E1064" s="584" t="n"/>
      <c r="F1064" s="350" t="n"/>
      <c r="G1064" s="350" t="n"/>
      <c r="H1064" s="350" t="n"/>
      <c r="I1064" s="350" t="n"/>
      <c r="J1064" s="350" t="n"/>
      <c r="K1064" s="351" t="n"/>
      <c r="L1064" s="350" t="n"/>
      <c r="M1064" s="350" t="n"/>
      <c r="N1064" s="344" t="n"/>
      <c r="O1064" s="344" t="n"/>
      <c r="P1064" s="344" t="n"/>
      <c r="Q1064" s="344" t="n"/>
      <c r="R1064" s="344" t="n"/>
      <c r="S1064" s="344" t="n"/>
      <c r="T1064" s="344" t="n"/>
      <c r="U1064" s="344" t="n"/>
      <c r="V1064" s="344" t="n"/>
      <c r="W1064" s="344" t="n"/>
    </row>
    <row r="1065" customFormat="1" s="354">
      <c r="A1065" s="345" t="n"/>
      <c r="B1065" s="581" t="n"/>
      <c r="C1065" s="582" t="n"/>
      <c r="D1065" s="583" t="n"/>
      <c r="E1065" s="584" t="n"/>
      <c r="F1065" s="350" t="n"/>
      <c r="G1065" s="350" t="n"/>
      <c r="H1065" s="350" t="n"/>
      <c r="I1065" s="350" t="n"/>
      <c r="J1065" s="350" t="n"/>
      <c r="K1065" s="351" t="n"/>
      <c r="L1065" s="350" t="n"/>
      <c r="M1065" s="350" t="n"/>
      <c r="N1065" s="344" t="n"/>
      <c r="O1065" s="344" t="n"/>
      <c r="P1065" s="344" t="n"/>
      <c r="Q1065" s="344" t="n"/>
      <c r="R1065" s="344" t="n"/>
      <c r="S1065" s="344" t="n"/>
      <c r="T1065" s="344" t="n"/>
      <c r="U1065" s="344" t="n"/>
      <c r="V1065" s="344" t="n"/>
      <c r="W1065" s="344" t="n"/>
    </row>
    <row r="1066" customFormat="1" s="354">
      <c r="A1066" s="345" t="n"/>
      <c r="B1066" s="581" t="n"/>
      <c r="C1066" s="582" t="n"/>
      <c r="D1066" s="583" t="n"/>
      <c r="E1066" s="584" t="n"/>
      <c r="F1066" s="350" t="n"/>
      <c r="G1066" s="350" t="n"/>
      <c r="H1066" s="350" t="n"/>
      <c r="I1066" s="350" t="n"/>
      <c r="J1066" s="350" t="n"/>
      <c r="K1066" s="351" t="n"/>
      <c r="L1066" s="350" t="n"/>
      <c r="M1066" s="350" t="n"/>
      <c r="N1066" s="344" t="n"/>
      <c r="O1066" s="344" t="n"/>
      <c r="P1066" s="344" t="n"/>
      <c r="Q1066" s="344" t="n"/>
      <c r="R1066" s="344" t="n"/>
      <c r="S1066" s="344" t="n"/>
      <c r="T1066" s="344" t="n"/>
      <c r="U1066" s="344" t="n"/>
      <c r="V1066" s="344" t="n"/>
      <c r="W1066" s="344" t="n"/>
    </row>
    <row r="1067" customFormat="1" s="354">
      <c r="A1067" s="345" t="n"/>
      <c r="B1067" s="581" t="n"/>
      <c r="C1067" s="582" t="n"/>
      <c r="D1067" s="583" t="n"/>
      <c r="E1067" s="584" t="n"/>
      <c r="F1067" s="350" t="n"/>
      <c r="G1067" s="350" t="n"/>
      <c r="H1067" s="350" t="n"/>
      <c r="I1067" s="350" t="n"/>
      <c r="J1067" s="350" t="n"/>
      <c r="K1067" s="351" t="n"/>
      <c r="L1067" s="350" t="n"/>
      <c r="M1067" s="350" t="n"/>
      <c r="N1067" s="344" t="n"/>
      <c r="O1067" s="344" t="n"/>
      <c r="P1067" s="344" t="n"/>
      <c r="Q1067" s="344" t="n"/>
      <c r="R1067" s="344" t="n"/>
      <c r="S1067" s="344" t="n"/>
      <c r="T1067" s="344" t="n"/>
      <c r="U1067" s="344" t="n"/>
      <c r="V1067" s="344" t="n"/>
      <c r="W1067" s="344" t="n"/>
    </row>
    <row r="1068" customFormat="1" s="354">
      <c r="A1068" s="345" t="n"/>
      <c r="B1068" s="581" t="n"/>
      <c r="C1068" s="582" t="n"/>
      <c r="D1068" s="583" t="n"/>
      <c r="E1068" s="584" t="n"/>
      <c r="F1068" s="350" t="n"/>
      <c r="G1068" s="350" t="n"/>
      <c r="H1068" s="350" t="n"/>
      <c r="I1068" s="350" t="n"/>
      <c r="J1068" s="350" t="n"/>
      <c r="K1068" s="351" t="n"/>
      <c r="L1068" s="593" t="inlineStr">
        <is>
          <t>../../../../01_組織_メガ生鮮_惣菜/〇商品開発室/個人名フォルダ/大津/開発規格書/久保レシピ修正版/ＱＣＳ/【シェルマカロニ・ペンネッテ入替】三種のマカロニサラダ%20(白鳥）.xlsx</t>
        </is>
      </c>
      <c r="M1068" s="350" t="n"/>
      <c r="N1068" s="344" t="n"/>
      <c r="O1068" s="344" t="n"/>
      <c r="P1068" s="344" t="n"/>
      <c r="Q1068" s="344" t="n"/>
      <c r="R1068" s="344" t="n"/>
      <c r="S1068" s="344" t="n"/>
      <c r="T1068" s="344" t="n"/>
      <c r="U1068" s="344" t="n"/>
      <c r="V1068" s="344" t="n"/>
      <c r="W1068" s="344" t="n"/>
    </row>
    <row r="1069" customFormat="1" s="354">
      <c r="A1069" s="345" t="n"/>
      <c r="B1069" s="581" t="n"/>
      <c r="C1069" s="582" t="n"/>
      <c r="D1069" s="583" t="n"/>
      <c r="E1069" s="584" t="n"/>
      <c r="F1069" s="350" t="n"/>
      <c r="G1069" s="372" t="n"/>
      <c r="H1069" s="350" t="n"/>
      <c r="I1069" s="350" t="n"/>
      <c r="J1069" s="350" t="n"/>
      <c r="K1069" s="351" t="n"/>
      <c r="L1069" s="350" t="n"/>
      <c r="M1069" s="350" t="n"/>
      <c r="N1069" s="344" t="n"/>
      <c r="O1069" s="344" t="n"/>
      <c r="P1069" s="344" t="n"/>
      <c r="Q1069" s="344" t="n"/>
      <c r="R1069" s="344" t="n"/>
      <c r="S1069" s="344" t="n"/>
      <c r="T1069" s="344" t="n"/>
      <c r="U1069" s="344" t="n"/>
      <c r="V1069" s="344" t="n"/>
      <c r="W1069" s="344" t="n"/>
    </row>
    <row r="1070" customFormat="1" s="354">
      <c r="A1070" s="345" t="n"/>
      <c r="B1070" s="581" t="n"/>
      <c r="C1070" s="582" t="n"/>
      <c r="D1070" s="583" t="n"/>
      <c r="E1070" s="584" t="n"/>
      <c r="F1070" s="350" t="n"/>
      <c r="G1070" s="350" t="n"/>
      <c r="H1070" s="350" t="n"/>
      <c r="I1070" s="350" t="n"/>
      <c r="J1070" s="350" t="n"/>
      <c r="K1070" s="351" t="n"/>
      <c r="L1070" s="355" t="inlineStr">
        <is>
          <t>2841000200063_【ＱＣＳ】きゅうり輪切り.xlsx</t>
        </is>
      </c>
      <c r="M1070" s="350" t="n"/>
      <c r="N1070" s="344" t="n"/>
      <c r="O1070" s="344" t="n"/>
      <c r="P1070" s="344" t="n"/>
      <c r="Q1070" s="344" t="n"/>
      <c r="R1070" s="344" t="n"/>
      <c r="S1070" s="344" t="n"/>
      <c r="T1070" s="344" t="n"/>
      <c r="U1070" s="344" t="n"/>
      <c r="V1070" s="344" t="n"/>
      <c r="W1070" s="344" t="n"/>
    </row>
    <row r="1071" customFormat="1" s="354">
      <c r="A1071" s="345" t="n"/>
      <c r="B1071" s="581" t="n"/>
      <c r="C1071" s="582" t="n"/>
      <c r="D1071" s="583" t="n"/>
      <c r="E1071" s="584" t="n"/>
      <c r="F1071" s="350" t="n"/>
      <c r="G1071" s="350" t="n"/>
      <c r="H1071" s="350" t="n"/>
      <c r="I1071" s="350" t="n"/>
      <c r="J1071" s="350" t="n"/>
      <c r="K1071" s="351" t="n"/>
      <c r="L1071" s="355" t="inlineStr">
        <is>
          <t>2841000200063_【ＱＣＳ】きゅうり輪切り.xlsx</t>
        </is>
      </c>
      <c r="M1071" s="350" t="n"/>
      <c r="N1071" s="344" t="n"/>
      <c r="O1071" s="344" t="n"/>
      <c r="P1071" s="344" t="n"/>
      <c r="Q1071" s="344" t="n"/>
      <c r="R1071" s="344" t="n"/>
      <c r="S1071" s="344" t="n"/>
      <c r="T1071" s="344" t="n"/>
      <c r="U1071" s="344" t="n"/>
      <c r="V1071" s="344" t="n"/>
      <c r="W1071" s="344" t="n"/>
    </row>
    <row r="1072" customFormat="1" s="354">
      <c r="A1072" s="345" t="n"/>
      <c r="B1072" s="581" t="n"/>
      <c r="C1072" s="582" t="n"/>
      <c r="D1072" s="583" t="n"/>
      <c r="E1072" s="584" t="n"/>
      <c r="F1072" s="350" t="n"/>
      <c r="G1072" s="350" t="n"/>
      <c r="H1072" s="350" t="n"/>
      <c r="I1072" s="350" t="n"/>
      <c r="J1072" s="350" t="n"/>
      <c r="K1072" s="351" t="n"/>
      <c r="L1072" s="593" t="inlineStr">
        <is>
          <t>../../../../01_組織_メガ生鮮_惣菜/〇商品開発室/個人名フォルダ/大津/開発規格書/久保レシピ修正版/ＱＣＳ/【シェルマカロニ・ペンネッテ入替】三種のマカロニサラダ%20(白鳥）.xlsx</t>
        </is>
      </c>
      <c r="M1072" s="350" t="n"/>
      <c r="N1072" s="344" t="n"/>
      <c r="O1072" s="344" t="n"/>
      <c r="P1072" s="344" t="n"/>
      <c r="Q1072" s="344" t="n"/>
      <c r="R1072" s="344" t="n"/>
      <c r="S1072" s="344" t="n"/>
      <c r="T1072" s="344" t="n"/>
      <c r="U1072" s="344" t="n"/>
      <c r="V1072" s="344" t="n"/>
      <c r="W1072" s="344" t="n"/>
    </row>
    <row r="1073" customFormat="1" s="354">
      <c r="A1073" s="345" t="n"/>
      <c r="B1073" s="581" t="n"/>
      <c r="C1073" s="582" t="n"/>
      <c r="D1073" s="583" t="n"/>
      <c r="E1073" s="584" t="n"/>
      <c r="F1073" s="350" t="n"/>
      <c r="G1073" s="372" t="n"/>
      <c r="H1073" s="350" t="n"/>
      <c r="I1073" s="350" t="n"/>
      <c r="J1073" s="350" t="n"/>
      <c r="K1073" s="351" t="n"/>
      <c r="L1073" s="350" t="n"/>
      <c r="M1073" s="350" t="n"/>
      <c r="N1073" s="344" t="n"/>
      <c r="O1073" s="344" t="n"/>
      <c r="P1073" s="344" t="n"/>
      <c r="Q1073" s="344" t="n"/>
      <c r="R1073" s="344" t="n"/>
      <c r="S1073" s="344" t="n"/>
      <c r="T1073" s="344" t="n"/>
      <c r="U1073" s="344" t="n"/>
      <c r="V1073" s="344" t="n"/>
      <c r="W1073" s="344" t="n"/>
    </row>
    <row r="1074" customFormat="1" s="354">
      <c r="A1074" s="345" t="n"/>
      <c r="B1074" s="581" t="n"/>
      <c r="C1074" s="582" t="n"/>
      <c r="D1074" s="583" t="n"/>
      <c r="E1074" s="584" t="n"/>
      <c r="F1074" s="350" t="n"/>
      <c r="G1074" s="350" t="n"/>
      <c r="H1074" s="350" t="n"/>
      <c r="I1074" s="350" t="n"/>
      <c r="J1074" s="350" t="n"/>
      <c r="K1074" s="351" t="n"/>
      <c r="L1074" s="355" t="inlineStr">
        <is>
          <t>2841000174395_【ＱＣＳ】クラッシュ玉子.xlsx</t>
        </is>
      </c>
      <c r="M1074" s="350" t="n"/>
      <c r="N1074" s="344" t="n"/>
      <c r="O1074" s="344" t="n"/>
      <c r="P1074" s="344" t="n"/>
      <c r="Q1074" s="344" t="n"/>
      <c r="R1074" s="344" t="n"/>
      <c r="S1074" s="344" t="n"/>
      <c r="T1074" s="344" t="n"/>
      <c r="U1074" s="344" t="n"/>
      <c r="V1074" s="344" t="n"/>
      <c r="W1074" s="344" t="n"/>
    </row>
    <row r="1075" customFormat="1" s="354">
      <c r="A1075" s="345" t="n"/>
      <c r="B1075" s="581" t="n"/>
      <c r="C1075" s="582" t="n"/>
      <c r="D1075" s="583" t="n"/>
      <c r="E1075" s="592" t="n"/>
      <c r="F1075" s="350" t="n"/>
      <c r="G1075" s="350" t="n"/>
      <c r="H1075" s="350" t="n"/>
      <c r="I1075" s="350" t="n"/>
      <c r="J1075" s="350" t="n"/>
      <c r="K1075" s="351" t="n"/>
      <c r="L1075" s="355" t="inlineStr">
        <is>
          <t>2841000168707_【ＱＣＳ】玉子加熱.xlsx</t>
        </is>
      </c>
      <c r="M1075" s="350" t="n"/>
      <c r="N1075" s="344" t="n"/>
      <c r="O1075" s="344" t="n"/>
      <c r="P1075" s="344" t="n"/>
      <c r="Q1075" s="344" t="n"/>
      <c r="R1075" s="344" t="n"/>
      <c r="S1075" s="344" t="n"/>
      <c r="T1075" s="344" t="n"/>
      <c r="U1075" s="344" t="n"/>
      <c r="V1075" s="344" t="n"/>
      <c r="W1075" s="344" t="n"/>
    </row>
    <row r="1076" customFormat="1" s="354">
      <c r="A1076" s="345" t="n"/>
      <c r="B1076" s="581" t="n"/>
      <c r="C1076" s="582" t="n"/>
      <c r="D1076" s="583" t="n"/>
      <c r="E1076" s="594" t="n"/>
      <c r="F1076" s="350" t="n"/>
      <c r="G1076" s="350" t="n"/>
      <c r="H1076" s="350" t="n"/>
      <c r="I1076" s="350" t="n"/>
      <c r="J1076" s="350" t="n"/>
      <c r="K1076" s="351" t="n"/>
      <c r="L1076" s="355" t="inlineStr">
        <is>
          <t>2841000174395_【ＱＣＳ】クラッシュ玉子.xlsx</t>
        </is>
      </c>
      <c r="M1076" s="350" t="n"/>
      <c r="N1076" s="344" t="n"/>
      <c r="O1076" s="344" t="n"/>
      <c r="P1076" s="344" t="n"/>
      <c r="Q1076" s="344" t="n"/>
      <c r="R1076" s="344" t="n"/>
      <c r="S1076" s="344" t="n"/>
      <c r="T1076" s="344" t="n"/>
      <c r="U1076" s="344" t="n"/>
      <c r="V1076" s="344" t="n"/>
      <c r="W1076" s="344" t="n"/>
    </row>
    <row r="1077" customFormat="1" s="354">
      <c r="A1077" s="345" t="n"/>
      <c r="B1077" s="581" t="n"/>
      <c r="C1077" s="582" t="n"/>
      <c r="D1077" s="583" t="n"/>
      <c r="E1077" s="584" t="n"/>
      <c r="F1077" s="350" t="n"/>
      <c r="G1077" s="350" t="n"/>
      <c r="H1077" s="350" t="n"/>
      <c r="I1077" s="350" t="n"/>
      <c r="J1077" s="350" t="n"/>
      <c r="K1077" s="351" t="n"/>
      <c r="L1077" s="350" t="n"/>
      <c r="M1077" s="350" t="n"/>
      <c r="N1077" s="344" t="n"/>
      <c r="O1077" s="344" t="n"/>
      <c r="P1077" s="344" t="n"/>
      <c r="Q1077" s="344" t="n"/>
      <c r="R1077" s="344" t="n"/>
      <c r="S1077" s="344" t="n"/>
      <c r="T1077" s="344" t="n"/>
      <c r="U1077" s="344" t="n"/>
      <c r="V1077" s="344" t="n"/>
      <c r="W1077" s="344" t="n"/>
    </row>
    <row r="1078" customFormat="1" s="354">
      <c r="A1078" s="345" t="n"/>
      <c r="B1078" s="581" t="n"/>
      <c r="C1078" s="582" t="n"/>
      <c r="D1078" s="583" t="n"/>
      <c r="E1078" s="594" t="n"/>
      <c r="F1078" s="350" t="n"/>
      <c r="G1078" s="350" t="n"/>
      <c r="H1078" s="350" t="n"/>
      <c r="I1078" s="350" t="n"/>
      <c r="J1078" s="350" t="n"/>
      <c r="K1078" s="351" t="n"/>
      <c r="L1078" s="355" t="inlineStr">
        <is>
          <t>../../../../01_組織_メガ生鮮_惣菜/〇商品開発室/個人名フォルダ/大津/開発規格書/久保レシピ修正版/ＱＣＳ/☆26.7月23日　久保修正中◆7月24日◆【商品規格書】◆こはく本舗　ポテトサラダ◆.xlsx</t>
        </is>
      </c>
      <c r="M1078" s="350" t="n"/>
      <c r="N1078" s="344" t="n"/>
      <c r="O1078" s="344" t="n"/>
      <c r="P1078" s="344" t="n"/>
      <c r="Q1078" s="344" t="n"/>
      <c r="R1078" s="344" t="n"/>
      <c r="S1078" s="344" t="n"/>
      <c r="T1078" s="344" t="n"/>
      <c r="U1078" s="344" t="n"/>
      <c r="V1078" s="344" t="n"/>
      <c r="W1078" s="344" t="n"/>
    </row>
    <row r="1079" customFormat="1" s="354">
      <c r="A1079" s="345" t="n"/>
      <c r="B1079" s="581" t="n"/>
      <c r="C1079" s="582" t="n"/>
      <c r="D1079" s="583" t="n"/>
      <c r="E1079" s="584" t="n"/>
      <c r="F1079" s="350" t="n"/>
      <c r="G1079" s="350" t="n"/>
      <c r="H1079" s="350" t="n"/>
      <c r="I1079" s="350" t="n"/>
      <c r="J1079" s="350" t="n"/>
      <c r="K1079" s="351" t="n"/>
      <c r="L1079" s="355" t="inlineStr">
        <is>
          <t>../../../../01_組織_メガ生鮮_惣菜/〇商品開発室/個人名フォルダ/大津/開発規格書/久保レシピ修正版/ＱＣＳ/【PC加工用】マカロニサラダ２.xlsx</t>
        </is>
      </c>
      <c r="M1079" s="350" t="n"/>
      <c r="N1079" s="344" t="n"/>
      <c r="O1079" s="344" t="n"/>
      <c r="P1079" s="344" t="n"/>
      <c r="Q1079" s="344" t="n"/>
      <c r="R1079" s="344" t="n"/>
      <c r="S1079" s="344" t="n"/>
      <c r="T1079" s="344" t="n"/>
      <c r="U1079" s="344" t="n"/>
      <c r="V1079" s="344" t="n"/>
      <c r="W1079" s="344" t="n"/>
    </row>
    <row r="1080" customFormat="1" s="354">
      <c r="A1080" s="345" t="n"/>
      <c r="B1080" s="581" t="n"/>
      <c r="C1080" s="582" t="n"/>
      <c r="D1080" s="583" t="n"/>
      <c r="E1080" s="584" t="n"/>
      <c r="F1080" s="350" t="n"/>
      <c r="G1080" s="350" t="n"/>
      <c r="H1080" s="350" t="n"/>
      <c r="I1080" s="350" t="n"/>
      <c r="J1080" s="350" t="n"/>
      <c r="K1080" s="351" t="n"/>
      <c r="L1080" s="355" t="inlineStr">
        <is>
          <t>../../../../01_組織_メガ生鮮_惣菜/〇商品開発室/個人名フォルダ/大津/開発規格書/久保レシピ修正版/ＱＣＳ/◆【包材ラップ仕様】◆%20スパゲティサラダ６（白鳥）.xlsx</t>
        </is>
      </c>
      <c r="M1080" s="350" t="n"/>
      <c r="N1080" s="344" t="n"/>
      <c r="O1080" s="344" t="n"/>
      <c r="P1080" s="344" t="n"/>
      <c r="Q1080" s="344" t="n"/>
      <c r="R1080" s="344" t="n"/>
      <c r="S1080" s="344" t="n"/>
      <c r="T1080" s="344" t="n"/>
      <c r="U1080" s="344" t="n"/>
      <c r="V1080" s="344" t="n"/>
      <c r="W1080" s="344" t="n"/>
    </row>
    <row r="1081" customFormat="1" s="354">
      <c r="A1081" s="345" t="n"/>
      <c r="B1081" s="581" t="n"/>
      <c r="C1081" s="582" t="n"/>
      <c r="D1081" s="583" t="n"/>
      <c r="E1081" s="584" t="n"/>
      <c r="F1081" s="350" t="n"/>
      <c r="G1081" s="350" t="n"/>
      <c r="H1081" s="350" t="n"/>
      <c r="I1081" s="350" t="n"/>
      <c r="J1081" s="350" t="n"/>
      <c r="K1081" s="351" t="n"/>
      <c r="L1081" s="355" t="inlineStr">
        <is>
          <t>2841000174395_【ＱＣＳ】クラッシュ玉子.xlsx</t>
        </is>
      </c>
      <c r="M1081" s="350" t="n"/>
      <c r="N1081" s="344" t="n"/>
      <c r="O1081" s="344" t="n"/>
      <c r="P1081" s="344" t="n"/>
      <c r="Q1081" s="344" t="n"/>
      <c r="R1081" s="344" t="n"/>
      <c r="S1081" s="344" t="n"/>
      <c r="T1081" s="344" t="n"/>
      <c r="U1081" s="344" t="n"/>
      <c r="V1081" s="344" t="n"/>
      <c r="W1081" s="344" t="n"/>
    </row>
    <row r="1082" customFormat="1" s="354">
      <c r="A1082" s="345" t="n"/>
      <c r="B1082" s="581" t="n"/>
      <c r="C1082" s="582" t="n"/>
      <c r="D1082" s="583" t="n"/>
      <c r="E1082" s="592" t="n"/>
      <c r="F1082" s="350" t="n"/>
      <c r="G1082" s="350" t="n"/>
      <c r="H1082" s="350" t="n"/>
      <c r="I1082" s="350" t="n"/>
      <c r="J1082" s="350" t="n"/>
      <c r="K1082" s="351" t="n"/>
      <c r="L1082" s="355" t="inlineStr">
        <is>
          <t>2841000168707_【ＱＣＳ】玉子加熱.xlsx</t>
        </is>
      </c>
      <c r="M1082" s="350" t="n"/>
      <c r="N1082" s="344" t="n"/>
      <c r="O1082" s="344" t="n"/>
      <c r="P1082" s="344" t="n"/>
      <c r="Q1082" s="344" t="n"/>
      <c r="R1082" s="344" t="n"/>
      <c r="S1082" s="344" t="n"/>
      <c r="T1082" s="344" t="n"/>
      <c r="U1082" s="344" t="n"/>
      <c r="V1082" s="344" t="n"/>
      <c r="W1082" s="344" t="n"/>
    </row>
    <row r="1083" customFormat="1" s="354">
      <c r="A1083" s="345" t="n"/>
      <c r="B1083" s="581" t="n"/>
      <c r="C1083" s="582" t="n"/>
      <c r="D1083" s="583" t="n"/>
      <c r="E1083" s="594" t="n"/>
      <c r="F1083" s="350" t="n"/>
      <c r="G1083" s="350" t="n"/>
      <c r="H1083" s="350" t="n"/>
      <c r="I1083" s="350" t="n"/>
      <c r="J1083" s="350" t="n"/>
      <c r="K1083" s="351" t="n"/>
      <c r="L1083" s="355" t="inlineStr">
        <is>
          <t>2841000174395_【ＱＣＳ】クラッシュ玉子.xlsx</t>
        </is>
      </c>
      <c r="M1083" s="350" t="n"/>
      <c r="N1083" s="344" t="n"/>
      <c r="O1083" s="344" t="n"/>
      <c r="P1083" s="344" t="n"/>
      <c r="Q1083" s="344" t="n"/>
      <c r="R1083" s="344" t="n"/>
      <c r="S1083" s="344" t="n"/>
      <c r="T1083" s="344" t="n"/>
      <c r="U1083" s="344" t="n"/>
      <c r="V1083" s="344" t="n"/>
      <c r="W1083" s="344" t="n"/>
    </row>
    <row r="1084" customFormat="1" s="354">
      <c r="A1084" s="357" t="n"/>
      <c r="B1084" s="581" t="n"/>
      <c r="C1084" s="582" t="n"/>
      <c r="D1084" s="583" t="n"/>
      <c r="E1084" s="592" t="n"/>
      <c r="F1084" s="350" t="n"/>
      <c r="G1084" s="350" t="n"/>
      <c r="H1084" s="350" t="n"/>
      <c r="I1084" s="350" t="n"/>
      <c r="J1084" s="350" t="n"/>
      <c r="K1084" s="351" t="n"/>
      <c r="L1084" s="587" t="inlineStr">
        <is>
          <t>../開発規格書/久保レシピ修正版/ＱＣＳ/◆【玉子ホワイトペッパー切替】たっぷり玉子サンド7.xlsx</t>
        </is>
      </c>
      <c r="M1084" s="350" t="n"/>
      <c r="N1084" s="344" t="n"/>
      <c r="O1084" s="344" t="n"/>
      <c r="P1084" s="344" t="n"/>
      <c r="Q1084" s="344" t="n"/>
      <c r="R1084" s="344" t="n"/>
      <c r="S1084" s="344" t="n"/>
      <c r="T1084" s="344" t="n"/>
      <c r="U1084" s="344" t="n"/>
      <c r="V1084" s="344" t="n"/>
      <c r="W1084" s="344" t="n"/>
    </row>
    <row r="1085" customFormat="1" s="354">
      <c r="A1085" s="357" t="n"/>
      <c r="B1085" s="581" t="n"/>
      <c r="C1085" s="582" t="n"/>
      <c r="D1085" s="583" t="n"/>
      <c r="E1085" s="592" t="n"/>
      <c r="F1085" s="350" t="n"/>
      <c r="G1085" s="350" t="n"/>
      <c r="H1085" s="350" t="n"/>
      <c r="I1085" s="350" t="n"/>
      <c r="J1085" s="350" t="n"/>
      <c r="K1085" s="351" t="n"/>
      <c r="L1085" s="350" t="n"/>
      <c r="M1085" s="350" t="n"/>
      <c r="N1085" s="344" t="n"/>
      <c r="O1085" s="344" t="n"/>
      <c r="P1085" s="344" t="n"/>
      <c r="Q1085" s="344" t="n"/>
      <c r="R1085" s="344" t="n"/>
      <c r="S1085" s="344" t="n"/>
      <c r="T1085" s="344" t="n"/>
      <c r="U1085" s="344" t="n"/>
      <c r="V1085" s="344" t="n"/>
      <c r="W1085" s="344" t="n"/>
    </row>
    <row r="1086" customFormat="1" s="354">
      <c r="A1086" s="357" t="n"/>
      <c r="B1086" s="581" t="n"/>
      <c r="C1086" s="582" t="n"/>
      <c r="D1086" s="583" t="n"/>
      <c r="E1086" s="592" t="n"/>
      <c r="F1086" s="350" t="n"/>
      <c r="G1086" s="350" t="n"/>
      <c r="H1086" s="350" t="n"/>
      <c r="I1086" s="350" t="n"/>
      <c r="J1086" s="350" t="n"/>
      <c r="K1086" s="351" t="n"/>
      <c r="L1086" s="350" t="n"/>
      <c r="M1086" s="350" t="n"/>
      <c r="N1086" s="344" t="n"/>
      <c r="O1086" s="344" t="n"/>
      <c r="P1086" s="344" t="n"/>
      <c r="Q1086" s="344" t="n"/>
      <c r="R1086" s="344" t="n"/>
      <c r="S1086" s="344" t="n"/>
      <c r="T1086" s="344" t="n"/>
      <c r="U1086" s="344" t="n"/>
      <c r="V1086" s="344" t="n"/>
      <c r="W1086" s="344" t="n"/>
    </row>
    <row r="1087" customFormat="1" s="354">
      <c r="A1087" s="345" t="n"/>
      <c r="B1087" s="581" t="n"/>
      <c r="C1087" s="582" t="n"/>
      <c r="D1087" s="583" t="n"/>
      <c r="E1087" s="592" t="n"/>
      <c r="F1087" s="350" t="n"/>
      <c r="G1087" s="350" t="n"/>
      <c r="H1087" s="350" t="n"/>
      <c r="I1087" s="350" t="n"/>
      <c r="J1087" s="350" t="n"/>
      <c r="K1087" s="351" t="n"/>
      <c r="L1087" s="355" t="inlineStr">
        <is>
          <t>2841000168707_【ＱＣＳ】玉子加熱.xlsx</t>
        </is>
      </c>
      <c r="M1087" s="350" t="n"/>
      <c r="N1087" s="344" t="n"/>
      <c r="O1087" s="344" t="n"/>
      <c r="P1087" s="344" t="n"/>
      <c r="Q1087" s="344" t="n"/>
      <c r="R1087" s="344" t="n"/>
      <c r="S1087" s="344" t="n"/>
      <c r="T1087" s="344" t="n"/>
      <c r="U1087" s="344" t="n"/>
      <c r="V1087" s="344" t="n"/>
      <c r="W1087" s="344" t="n"/>
    </row>
    <row r="1088" customFormat="1" s="354">
      <c r="A1088" s="345" t="n"/>
      <c r="B1088" s="581" t="n"/>
      <c r="C1088" s="582" t="n"/>
      <c r="D1088" s="583" t="n"/>
      <c r="E1088" s="592" t="n"/>
      <c r="F1088" s="350" t="n"/>
      <c r="G1088" s="350" t="n"/>
      <c r="H1088" s="350" t="n"/>
      <c r="I1088" s="350" t="n"/>
      <c r="J1088" s="350" t="n"/>
      <c r="K1088" s="351" t="n"/>
      <c r="L1088" s="350" t="n"/>
      <c r="M1088" s="350" t="n"/>
      <c r="N1088" s="344" t="n"/>
      <c r="O1088" s="344" t="n"/>
      <c r="P1088" s="344" t="n"/>
      <c r="Q1088" s="344" t="n"/>
      <c r="R1088" s="344" t="n"/>
      <c r="S1088" s="344" t="n"/>
      <c r="T1088" s="344" t="n"/>
      <c r="U1088" s="344" t="n"/>
      <c r="V1088" s="344" t="n"/>
      <c r="W1088" s="344" t="n"/>
    </row>
    <row r="1089" customFormat="1" s="354">
      <c r="A1089" s="345" t="n"/>
      <c r="B1089" s="581" t="n"/>
      <c r="C1089" s="582" t="n"/>
      <c r="D1089" s="583" t="n"/>
      <c r="E1089" s="584" t="n"/>
      <c r="F1089" s="350" t="n"/>
      <c r="G1089" s="350" t="n"/>
      <c r="H1089" s="350" t="n"/>
      <c r="I1089" s="350" t="n"/>
      <c r="J1089" s="350" t="n"/>
      <c r="K1089" s="351" t="n"/>
      <c r="L1089" s="350" t="n"/>
      <c r="M1089" s="350" t="n"/>
      <c r="N1089" s="344" t="n"/>
      <c r="O1089" s="344" t="n"/>
      <c r="P1089" s="344" t="n"/>
      <c r="Q1089" s="344" t="n"/>
      <c r="R1089" s="344" t="n"/>
      <c r="S1089" s="344" t="n"/>
      <c r="T1089" s="344" t="n"/>
      <c r="U1089" s="344" t="n"/>
      <c r="V1089" s="344" t="n"/>
      <c r="W1089" s="344" t="n"/>
    </row>
    <row r="1090" customFormat="1" s="354">
      <c r="A1090" s="345" t="n"/>
      <c r="B1090" s="581" t="n"/>
      <c r="C1090" s="582" t="n"/>
      <c r="D1090" s="583" t="n"/>
      <c r="E1090" s="592" t="n"/>
      <c r="F1090" s="350" t="n"/>
      <c r="G1090" s="350" t="n"/>
      <c r="H1090" s="350" t="n"/>
      <c r="I1090" s="350" t="n"/>
      <c r="J1090" s="350" t="n"/>
      <c r="K1090" s="351" t="n"/>
      <c r="L1090" s="350" t="n"/>
      <c r="M1090" s="350" t="n"/>
      <c r="N1090" s="344" t="n"/>
      <c r="O1090" s="344" t="n"/>
      <c r="P1090" s="344" t="n"/>
      <c r="Q1090" s="344" t="n"/>
      <c r="R1090" s="344" t="n"/>
      <c r="S1090" s="344" t="n"/>
      <c r="T1090" s="344" t="n"/>
      <c r="U1090" s="344" t="n"/>
      <c r="V1090" s="344" t="n"/>
      <c r="W1090" s="344" t="n"/>
    </row>
    <row r="1091" customFormat="1" s="354">
      <c r="A1091" s="345" t="n"/>
      <c r="B1091" s="581" t="n"/>
      <c r="C1091" s="582" t="n"/>
      <c r="D1091" s="583" t="n"/>
      <c r="E1091" s="592" t="n"/>
      <c r="F1091" s="350" t="n"/>
      <c r="G1091" s="350" t="n"/>
      <c r="H1091" s="350" t="n"/>
      <c r="I1091" s="350" t="n"/>
      <c r="J1091" s="350" t="n"/>
      <c r="K1091" s="351" t="n"/>
      <c r="L1091" s="350" t="n"/>
      <c r="M1091" s="350" t="n"/>
      <c r="N1091" s="344" t="n"/>
      <c r="O1091" s="344" t="n"/>
      <c r="P1091" s="344" t="n"/>
      <c r="Q1091" s="344" t="n"/>
      <c r="R1091" s="344" t="n"/>
      <c r="S1091" s="344" t="n"/>
      <c r="T1091" s="344" t="n"/>
      <c r="U1091" s="344" t="n"/>
      <c r="V1091" s="344" t="n"/>
      <c r="W1091" s="344" t="n"/>
    </row>
    <row r="1092" customFormat="1" s="354">
      <c r="A1092" s="345" t="n"/>
      <c r="B1092" s="581" t="n"/>
      <c r="C1092" s="582" t="n"/>
      <c r="D1092" s="583" t="n"/>
      <c r="E1092" s="592" t="n"/>
      <c r="F1092" s="350" t="n"/>
      <c r="G1092" s="350" t="n"/>
      <c r="H1092" s="350" t="n"/>
      <c r="I1092" s="350" t="n"/>
      <c r="J1092" s="350" t="n"/>
      <c r="K1092" s="351" t="n"/>
      <c r="L1092" s="350" t="n"/>
      <c r="M1092" s="350" t="n"/>
      <c r="N1092" s="344" t="n"/>
      <c r="O1092" s="344" t="n"/>
      <c r="P1092" s="344" t="n"/>
      <c r="Q1092" s="344" t="n"/>
      <c r="R1092" s="344" t="n"/>
      <c r="S1092" s="344" t="n"/>
      <c r="T1092" s="344" t="n"/>
      <c r="U1092" s="344" t="n"/>
      <c r="V1092" s="344" t="n"/>
      <c r="W1092" s="344" t="n"/>
    </row>
    <row r="1093" customFormat="1" s="354">
      <c r="A1093" s="345" t="n"/>
      <c r="B1093" s="581" t="n"/>
      <c r="C1093" s="582" t="n"/>
      <c r="D1093" s="583" t="n"/>
      <c r="E1093" s="592" t="n"/>
      <c r="F1093" s="350" t="n"/>
      <c r="G1093" s="350" t="n"/>
      <c r="H1093" s="350" t="n"/>
      <c r="I1093" s="350" t="n"/>
      <c r="J1093" s="350" t="n"/>
      <c r="K1093" s="351" t="n"/>
      <c r="L1093" s="355" t="inlineStr">
        <is>
          <t>2841000168707_【ＱＣＳ】玉子加熱.xlsx</t>
        </is>
      </c>
      <c r="M1093" s="350" t="n"/>
      <c r="N1093" s="344" t="n"/>
      <c r="O1093" s="344" t="n"/>
      <c r="P1093" s="344" t="n"/>
      <c r="Q1093" s="344" t="n"/>
      <c r="R1093" s="344" t="n"/>
      <c r="S1093" s="344" t="n"/>
      <c r="T1093" s="344" t="n"/>
      <c r="U1093" s="344" t="n"/>
      <c r="V1093" s="344" t="n"/>
      <c r="W1093" s="344" t="n"/>
    </row>
    <row r="1094" customFormat="1" s="354">
      <c r="A1094" s="345" t="n"/>
      <c r="B1094" s="581" t="n"/>
      <c r="C1094" s="582" t="n"/>
      <c r="D1094" s="583" t="n"/>
      <c r="E1094" s="592" t="n"/>
      <c r="F1094" s="350" t="n"/>
      <c r="G1094" s="350" t="n"/>
      <c r="H1094" s="350" t="n"/>
      <c r="I1094" s="350" t="n"/>
      <c r="J1094" s="350" t="n"/>
      <c r="K1094" s="351" t="n"/>
      <c r="L1094" s="350" t="n"/>
      <c r="M1094" s="350" t="n"/>
      <c r="N1094" s="344" t="n"/>
      <c r="O1094" s="344" t="n"/>
      <c r="P1094" s="344" t="n"/>
      <c r="Q1094" s="344" t="n"/>
      <c r="R1094" s="344" t="n"/>
      <c r="S1094" s="344" t="n"/>
      <c r="T1094" s="344" t="n"/>
      <c r="U1094" s="344" t="n"/>
      <c r="V1094" s="344" t="n"/>
      <c r="W1094" s="344" t="n"/>
    </row>
    <row r="1095" customFormat="1" s="354">
      <c r="A1095" s="345" t="n"/>
      <c r="B1095" s="581" t="n"/>
      <c r="C1095" s="582" t="n"/>
      <c r="D1095" s="583" t="n"/>
      <c r="E1095" s="584" t="n"/>
      <c r="F1095" s="350" t="n"/>
      <c r="G1095" s="350" t="n"/>
      <c r="H1095" s="350" t="n"/>
      <c r="I1095" s="350" t="n"/>
      <c r="J1095" s="350" t="n"/>
      <c r="K1095" s="351" t="n"/>
      <c r="L1095" s="350" t="n"/>
      <c r="M1095" s="350" t="n"/>
      <c r="N1095" s="344" t="n"/>
      <c r="O1095" s="344" t="n"/>
      <c r="P1095" s="344" t="n"/>
      <c r="Q1095" s="344" t="n"/>
      <c r="R1095" s="344" t="n"/>
      <c r="S1095" s="344" t="n"/>
      <c r="T1095" s="344" t="n"/>
      <c r="U1095" s="344" t="n"/>
      <c r="V1095" s="344" t="n"/>
      <c r="W1095" s="344" t="n"/>
    </row>
    <row r="1096" customFormat="1" s="354">
      <c r="A1096" s="345" t="n"/>
      <c r="B1096" s="581" t="n"/>
      <c r="C1096" s="582" t="n"/>
      <c r="D1096" s="583" t="n"/>
      <c r="E1096" s="592" t="n"/>
      <c r="F1096" s="350" t="n"/>
      <c r="G1096" s="350" t="n"/>
      <c r="H1096" s="350" t="n"/>
      <c r="I1096" s="350" t="n"/>
      <c r="J1096" s="350" t="n"/>
      <c r="K1096" s="351" t="n"/>
      <c r="L1096" s="355" t="inlineStr">
        <is>
          <t>2841000189450_【ＱＣＳ】ツナマヨ調合（ツナ５）.xlsx</t>
        </is>
      </c>
      <c r="M1096" s="350" t="n"/>
      <c r="N1096" s="344" t="n"/>
      <c r="O1096" s="344" t="n"/>
      <c r="P1096" s="344" t="n"/>
      <c r="Q1096" s="344" t="n"/>
      <c r="R1096" s="344" t="n"/>
      <c r="S1096" s="344" t="n"/>
      <c r="T1096" s="344" t="n"/>
      <c r="U1096" s="344" t="n"/>
      <c r="V1096" s="344" t="n"/>
      <c r="W1096" s="344" t="n"/>
    </row>
    <row r="1097" customFormat="1" s="354">
      <c r="A1097" s="345" t="n"/>
      <c r="B1097" s="581" t="n"/>
      <c r="C1097" s="582" t="n"/>
      <c r="D1097" s="583" t="n"/>
      <c r="E1097" s="584" t="n"/>
      <c r="F1097" s="350" t="n"/>
      <c r="G1097" s="350" t="n"/>
      <c r="H1097" s="350" t="n"/>
      <c r="I1097" s="350" t="n"/>
      <c r="J1097" s="350" t="n"/>
      <c r="K1097" s="351" t="n"/>
      <c r="L1097" s="587" t="inlineStr">
        <is>
          <t>../開発規格書/久保レシピ修正版/ＱＣＳ/◆【商品規格書】玉子＆ツナサンド2切り（白鳥山﨑食パン3斤変更）%20.xlsx</t>
        </is>
      </c>
      <c r="M1097" s="350" t="n"/>
      <c r="N1097" s="344" t="n"/>
      <c r="O1097" s="344" t="n"/>
      <c r="P1097" s="344" t="n"/>
      <c r="Q1097" s="344" t="n"/>
      <c r="R1097" s="344" t="n"/>
      <c r="S1097" s="344" t="n"/>
      <c r="T1097" s="344" t="n"/>
      <c r="U1097" s="344" t="n"/>
      <c r="V1097" s="344" t="n"/>
      <c r="W1097" s="344" t="n"/>
    </row>
    <row r="1098" customFormat="1" s="354">
      <c r="A1098" s="345" t="n"/>
      <c r="B1098" s="581" t="n"/>
      <c r="C1098" s="582" t="n"/>
      <c r="D1098" s="583" t="n"/>
      <c r="E1098" s="584" t="n"/>
      <c r="F1098" s="350" t="n"/>
      <c r="G1098" s="350" t="n"/>
      <c r="H1098" s="350" t="n"/>
      <c r="I1098" s="350" t="n"/>
      <c r="J1098" s="350" t="n"/>
      <c r="K1098" s="351" t="n"/>
      <c r="L1098" s="350" t="n"/>
      <c r="M1098" s="350" t="n"/>
      <c r="N1098" s="344" t="n"/>
      <c r="O1098" s="344" t="n"/>
      <c r="P1098" s="344" t="n"/>
      <c r="Q1098" s="344" t="n"/>
      <c r="R1098" s="344" t="n"/>
      <c r="S1098" s="344" t="n"/>
      <c r="T1098" s="344" t="n"/>
      <c r="U1098" s="344" t="n"/>
      <c r="V1098" s="344" t="n"/>
      <c r="W1098" s="344" t="n"/>
    </row>
    <row r="1099" customFormat="1" s="354">
      <c r="A1099" s="345" t="n"/>
      <c r="B1099" s="581" t="n"/>
      <c r="C1099" s="582" t="n"/>
      <c r="D1099" s="583" t="n"/>
      <c r="E1099" s="584" t="n"/>
      <c r="F1099" s="350" t="n"/>
      <c r="G1099" s="350" t="n"/>
      <c r="H1099" s="350" t="n"/>
      <c r="I1099" s="350" t="n"/>
      <c r="J1099" s="350" t="n"/>
      <c r="K1099" s="351" t="n"/>
      <c r="L1099" s="350" t="n"/>
      <c r="M1099" s="350" t="n"/>
      <c r="N1099" s="344" t="n"/>
      <c r="O1099" s="344" t="n"/>
      <c r="P1099" s="344" t="n"/>
      <c r="Q1099" s="344" t="n"/>
      <c r="R1099" s="344" t="n"/>
      <c r="S1099" s="344" t="n"/>
      <c r="T1099" s="344" t="n"/>
      <c r="U1099" s="344" t="n"/>
      <c r="V1099" s="344" t="n"/>
      <c r="W1099" s="344" t="n"/>
    </row>
    <row r="1100" customFormat="1" s="354">
      <c r="A1100" s="345" t="n"/>
      <c r="B1100" s="581" t="n"/>
      <c r="C1100" s="582" t="n"/>
      <c r="D1100" s="583" t="n"/>
      <c r="E1100" s="592" t="n"/>
      <c r="F1100" s="350" t="n"/>
      <c r="G1100" s="350" t="n"/>
      <c r="H1100" s="350" t="n"/>
      <c r="I1100" s="350" t="n"/>
      <c r="J1100" s="350" t="n"/>
      <c r="K1100" s="351" t="n"/>
      <c r="L1100" s="350" t="n"/>
      <c r="M1100" s="350" t="n"/>
      <c r="N1100" s="344" t="n"/>
      <c r="O1100" s="344" t="n"/>
      <c r="P1100" s="344" t="n"/>
      <c r="Q1100" s="344" t="n"/>
      <c r="R1100" s="344" t="n"/>
      <c r="S1100" s="344" t="n"/>
      <c r="T1100" s="344" t="n"/>
      <c r="U1100" s="344" t="n"/>
      <c r="V1100" s="344" t="n"/>
      <c r="W1100" s="344" t="n"/>
    </row>
    <row r="1101" customFormat="1" s="354">
      <c r="A1101" s="345" t="n"/>
      <c r="B1101" s="581" t="n"/>
      <c r="C1101" s="582" t="n"/>
      <c r="D1101" s="583" t="n"/>
      <c r="E1101" s="592" t="n"/>
      <c r="F1101" s="350" t="n"/>
      <c r="G1101" s="350" t="n"/>
      <c r="H1101" s="350" t="n"/>
      <c r="I1101" s="350" t="n"/>
      <c r="J1101" s="350" t="n"/>
      <c r="K1101" s="351" t="n"/>
      <c r="L1101" s="350" t="n"/>
      <c r="M1101" s="350" t="n"/>
      <c r="N1101" s="344" t="n"/>
      <c r="O1101" s="344" t="n"/>
      <c r="P1101" s="344" t="n"/>
      <c r="Q1101" s="344" t="n"/>
      <c r="R1101" s="344" t="n"/>
      <c r="S1101" s="344" t="n"/>
      <c r="T1101" s="344" t="n"/>
      <c r="U1101" s="344" t="n"/>
      <c r="V1101" s="344" t="n"/>
      <c r="W1101" s="344" t="n"/>
    </row>
    <row r="1102" customFormat="1" s="354">
      <c r="A1102" s="345" t="n"/>
      <c r="B1102" s="581" t="n"/>
      <c r="C1102" s="582" t="n"/>
      <c r="D1102" s="583" t="n"/>
      <c r="E1102" s="592" t="n"/>
      <c r="F1102" s="350" t="n"/>
      <c r="G1102" s="350" t="n"/>
      <c r="H1102" s="350" t="n"/>
      <c r="I1102" s="350" t="n"/>
      <c r="J1102" s="350" t="n"/>
      <c r="K1102" s="351" t="n"/>
      <c r="L1102" s="587" t="inlineStr">
        <is>
          <t>../開発規格書/久保レシピ修正版/ＱＣＳ/◆【商品規格書】ハムレタスサンド（白鳥山﨑食パン3斤変更）.xlsx</t>
        </is>
      </c>
      <c r="M1102" s="350" t="n"/>
      <c r="N1102" s="344" t="n"/>
      <c r="O1102" s="344" t="n"/>
      <c r="P1102" s="344" t="n"/>
      <c r="Q1102" s="344" t="n"/>
      <c r="R1102" s="344" t="n"/>
      <c r="S1102" s="344" t="n"/>
      <c r="T1102" s="344" t="n"/>
      <c r="U1102" s="344" t="n"/>
      <c r="V1102" s="344" t="n"/>
      <c r="W1102" s="344" t="n"/>
    </row>
    <row r="1103" customFormat="1" s="354">
      <c r="A1103" s="345" t="n"/>
      <c r="B1103" s="581" t="n"/>
      <c r="C1103" s="582" t="n"/>
      <c r="D1103" s="583" t="n"/>
      <c r="E1103" s="592" t="n"/>
      <c r="F1103" s="350" t="n"/>
      <c r="G1103" s="350" t="n"/>
      <c r="H1103" s="350" t="n"/>
      <c r="I1103" s="350" t="n"/>
      <c r="J1103" s="350" t="n"/>
      <c r="K1103" s="351" t="n"/>
      <c r="L1103" s="350" t="n"/>
      <c r="M1103" s="350" t="n"/>
      <c r="N1103" s="344" t="n"/>
      <c r="O1103" s="344" t="n"/>
      <c r="P1103" s="344" t="n"/>
      <c r="Q1103" s="344" t="n"/>
      <c r="R1103" s="344" t="n"/>
      <c r="S1103" s="344" t="n"/>
      <c r="T1103" s="344" t="n"/>
      <c r="U1103" s="344" t="n"/>
      <c r="V1103" s="344" t="n"/>
      <c r="W1103" s="344" t="n"/>
    </row>
    <row r="1104" customFormat="1" s="354">
      <c r="A1104" s="345" t="n"/>
      <c r="B1104" s="581" t="n"/>
      <c r="C1104" s="582" t="n"/>
      <c r="D1104" s="583" t="n"/>
      <c r="E1104" s="592" t="n"/>
      <c r="F1104" s="350" t="n"/>
      <c r="G1104" s="350" t="n"/>
      <c r="H1104" s="350" t="n"/>
      <c r="I1104" s="350" t="n"/>
      <c r="J1104" s="350" t="n"/>
      <c r="K1104" s="351" t="n"/>
      <c r="L1104" s="350" t="n"/>
      <c r="M1104" s="350" t="n"/>
      <c r="N1104" s="344" t="n"/>
      <c r="O1104" s="344" t="n"/>
      <c r="P1104" s="344" t="n"/>
      <c r="Q1104" s="344" t="n"/>
      <c r="R1104" s="344" t="n"/>
      <c r="S1104" s="344" t="n"/>
      <c r="T1104" s="344" t="n"/>
      <c r="U1104" s="344" t="n"/>
      <c r="V1104" s="344" t="n"/>
      <c r="W1104" s="344" t="n"/>
    </row>
    <row r="1105" customFormat="1" s="354">
      <c r="A1105" s="345" t="n"/>
      <c r="B1105" s="581" t="n"/>
      <c r="C1105" s="582" t="n"/>
      <c r="D1105" s="583" t="n"/>
      <c r="E1105" s="592" t="n"/>
      <c r="F1105" s="350" t="n"/>
      <c r="G1105" s="350" t="n"/>
      <c r="H1105" s="350" t="n"/>
      <c r="I1105" s="350" t="n"/>
      <c r="J1105" s="350" t="n"/>
      <c r="K1105" s="351" t="n"/>
      <c r="L1105" s="350" t="n"/>
      <c r="M1105" s="350" t="n"/>
      <c r="N1105" s="344" t="n"/>
      <c r="O1105" s="344" t="n"/>
      <c r="P1105" s="344" t="n"/>
      <c r="Q1105" s="344" t="n"/>
      <c r="R1105" s="344" t="n"/>
      <c r="S1105" s="344" t="n"/>
      <c r="T1105" s="344" t="n"/>
      <c r="U1105" s="344" t="n"/>
      <c r="V1105" s="344" t="n"/>
      <c r="W1105" s="344" t="n"/>
    </row>
    <row r="1106" customFormat="1" s="354">
      <c r="A1106" s="357" t="n"/>
      <c r="B1106" s="581" t="n"/>
      <c r="C1106" s="582" t="n"/>
      <c r="D1106" s="583" t="n"/>
      <c r="E1106" s="584" t="n"/>
      <c r="F1106" s="350" t="n"/>
      <c r="G1106" s="350" t="n"/>
      <c r="H1106" s="350" t="n"/>
      <c r="I1106" s="350" t="n"/>
      <c r="J1106" s="350" t="n"/>
      <c r="K1106" s="351" t="n"/>
      <c r="L1106" s="587" t="inlineStr">
        <is>
          <t>../開発規格書/久保レシピ修正版/ＱＣＳ/【手順書】　炭火焼き鳥皮（３本）.xlsx</t>
        </is>
      </c>
      <c r="M1106" s="350" t="n"/>
      <c r="N1106" s="344" t="n"/>
      <c r="O1106" s="344" t="n"/>
      <c r="P1106" s="344" t="n"/>
      <c r="Q1106" s="344" t="n"/>
      <c r="R1106" s="344" t="n"/>
      <c r="S1106" s="344" t="n"/>
      <c r="T1106" s="344" t="n"/>
      <c r="U1106" s="344" t="n"/>
      <c r="V1106" s="344" t="n"/>
      <c r="W1106" s="344" t="n"/>
    </row>
    <row r="1107" customFormat="1" s="354">
      <c r="A1107" s="345" t="n"/>
      <c r="B1107" s="581" t="n"/>
      <c r="C1107" s="582" t="n"/>
      <c r="D1107" s="583" t="n"/>
      <c r="E1107" s="584" t="n"/>
      <c r="F1107" s="350" t="n"/>
      <c r="G1107" s="350" t="n"/>
      <c r="H1107" s="350" t="n"/>
      <c r="I1107" s="350" t="n"/>
      <c r="J1107" s="350" t="n"/>
      <c r="K1107" s="351" t="n"/>
      <c r="L1107" s="350" t="n"/>
      <c r="M1107" s="350" t="n"/>
      <c r="N1107" s="344" t="n"/>
      <c r="O1107" s="344" t="n"/>
      <c r="P1107" s="344" t="n"/>
      <c r="Q1107" s="344" t="n"/>
      <c r="R1107" s="344" t="n"/>
      <c r="S1107" s="344" t="n"/>
      <c r="T1107" s="344" t="n"/>
      <c r="U1107" s="344" t="n"/>
      <c r="V1107" s="344" t="n"/>
      <c r="W1107" s="344" t="n"/>
    </row>
    <row r="1108" customFormat="1" s="354">
      <c r="A1108" s="345" t="n"/>
      <c r="B1108" s="581" t="n"/>
      <c r="C1108" s="582" t="n"/>
      <c r="D1108" s="583" t="n"/>
      <c r="E1108" s="584" t="n"/>
      <c r="F1108" s="350" t="n"/>
      <c r="G1108" s="350" t="n"/>
      <c r="H1108" s="350" t="n"/>
      <c r="I1108" s="350" t="n"/>
      <c r="J1108" s="350" t="n"/>
      <c r="K1108" s="351" t="n"/>
      <c r="L1108" s="587" t="inlineStr">
        <is>
          <t>../開発規格書/久保レシピ修正版/ＱＣＳ/炭火焼き鳥もも＆皮２（白鳥）.xlsx</t>
        </is>
      </c>
      <c r="M1108" s="350" t="n"/>
      <c r="N1108" s="344" t="n"/>
      <c r="O1108" s="344" t="n"/>
      <c r="P1108" s="344" t="n"/>
      <c r="Q1108" s="344" t="n"/>
      <c r="R1108" s="344" t="n"/>
      <c r="S1108" s="344" t="n"/>
      <c r="T1108" s="344" t="n"/>
      <c r="U1108" s="344" t="n"/>
      <c r="V1108" s="344" t="n"/>
      <c r="W1108" s="344" t="n"/>
    </row>
    <row r="1109" customFormat="1" s="354">
      <c r="A1109" s="345" t="n"/>
      <c r="B1109" s="581" t="n"/>
      <c r="C1109" s="582" t="n"/>
      <c r="D1109" s="583" t="n"/>
      <c r="E1109" s="584" t="n"/>
      <c r="F1109" s="350" t="n"/>
      <c r="G1109" s="350" t="n"/>
      <c r="H1109" s="350" t="n"/>
      <c r="I1109" s="350" t="n"/>
      <c r="J1109" s="350" t="n"/>
      <c r="K1109" s="351" t="n"/>
      <c r="L1109" s="587" t="inlineStr">
        <is>
          <t>../開発規格書/久保レシピ修正版/ＱＣＳ/【手順書】　彩野菜鶏つくね焼き3個.xlsx</t>
        </is>
      </c>
      <c r="M1109" s="350" t="n"/>
      <c r="N1109" s="344" t="n"/>
      <c r="O1109" s="344" t="n"/>
      <c r="P1109" s="344" t="n"/>
      <c r="Q1109" s="344" t="n"/>
      <c r="R1109" s="344" t="n"/>
      <c r="S1109" s="344" t="n"/>
      <c r="T1109" s="344" t="n"/>
      <c r="U1109" s="344" t="n"/>
      <c r="V1109" s="344" t="n"/>
      <c r="W1109" s="344" t="n"/>
    </row>
    <row r="1110" customFormat="1" s="354">
      <c r="A1110" s="345" t="n"/>
      <c r="B1110" s="581" t="n"/>
      <c r="C1110" s="582" t="n"/>
      <c r="D1110" s="583" t="n"/>
      <c r="E1110" s="588" t="n"/>
      <c r="F1110" s="350" t="n"/>
      <c r="G1110" s="350" t="n"/>
      <c r="H1110" s="350" t="n"/>
      <c r="I1110" s="350" t="n"/>
      <c r="J1110" s="350" t="n"/>
      <c r="K1110" s="351" t="n"/>
      <c r="L1110" s="350" t="n"/>
      <c r="M1110" s="350" t="n"/>
      <c r="N1110" s="344" t="n"/>
      <c r="O1110" s="344" t="n"/>
      <c r="P1110" s="344" t="n"/>
      <c r="Q1110" s="344" t="n"/>
      <c r="R1110" s="344" t="n"/>
      <c r="S1110" s="344" t="n"/>
      <c r="T1110" s="344" t="n"/>
      <c r="U1110" s="344" t="n"/>
      <c r="V1110" s="344" t="n"/>
      <c r="W1110" s="344" t="n"/>
    </row>
    <row r="1111" customFormat="1" s="354">
      <c r="A1111" s="345" t="n"/>
      <c r="B1111" s="581" t="n"/>
      <c r="C1111" s="582" t="n"/>
      <c r="D1111" s="583" t="n"/>
      <c r="E1111" s="584" t="n"/>
      <c r="F1111" s="350" t="n"/>
      <c r="G1111" s="350" t="n"/>
      <c r="H1111" s="350" t="n"/>
      <c r="I1111" s="350" t="n"/>
      <c r="J1111" s="350" t="n"/>
      <c r="K1111" s="351" t="n"/>
      <c r="L1111" s="350" t="n"/>
      <c r="M1111" s="350" t="n"/>
      <c r="N1111" s="344" t="n"/>
      <c r="O1111" s="344" t="n"/>
      <c r="P1111" s="344" t="n"/>
      <c r="Q1111" s="344" t="n"/>
      <c r="R1111" s="344" t="n"/>
      <c r="S1111" s="344" t="n"/>
      <c r="T1111" s="344" t="n"/>
      <c r="U1111" s="344" t="n"/>
      <c r="V1111" s="344" t="n"/>
      <c r="W1111" s="344" t="n"/>
    </row>
    <row r="1112" customFormat="1" s="354">
      <c r="A1112" s="345" t="n"/>
      <c r="B1112" s="581" t="n"/>
      <c r="C1112" s="582" t="n"/>
      <c r="D1112" s="583" t="n"/>
      <c r="E1112" s="584" t="n"/>
      <c r="F1112" s="350" t="n"/>
      <c r="G1112" s="350" t="n"/>
      <c r="H1112" s="350" t="n"/>
      <c r="I1112" s="350" t="n"/>
      <c r="J1112" s="350" t="n"/>
      <c r="K1112" s="351" t="n"/>
      <c r="L1112" s="350" t="n"/>
      <c r="M1112" s="350" t="n"/>
      <c r="N1112" s="344" t="n"/>
      <c r="O1112" s="344" t="n"/>
      <c r="P1112" s="344" t="n"/>
      <c r="Q1112" s="344" t="n"/>
      <c r="R1112" s="344" t="n"/>
      <c r="S1112" s="344" t="n"/>
      <c r="T1112" s="344" t="n"/>
      <c r="U1112" s="344" t="n"/>
      <c r="V1112" s="344" t="n"/>
      <c r="W1112" s="344" t="n"/>
    </row>
    <row r="1113" customFormat="1" s="354">
      <c r="A1113" s="345" t="n"/>
      <c r="B1113" s="581" t="n"/>
      <c r="C1113" s="582" t="n"/>
      <c r="D1113" s="583" t="n"/>
      <c r="E1113" s="584" t="n"/>
      <c r="F1113" s="350" t="n"/>
      <c r="G1113" s="350" t="n"/>
      <c r="H1113" s="350" t="n"/>
      <c r="I1113" s="350" t="n"/>
      <c r="J1113" s="350" t="n"/>
      <c r="K1113" s="351" t="n"/>
      <c r="L1113" s="593" t="inlineStr">
        <is>
          <t>../開発規格書/久保レシピ修正版/ＱＣＳ/【玉ねぎ5㎜入替】麻婆やきにく丼2（白鳥）.xlsx</t>
        </is>
      </c>
      <c r="M1113" s="350" t="n"/>
      <c r="N1113" s="344" t="n"/>
      <c r="O1113" s="344" t="n"/>
      <c r="P1113" s="344" t="n"/>
      <c r="Q1113" s="344" t="n"/>
      <c r="R1113" s="344" t="n"/>
      <c r="S1113" s="344" t="n"/>
      <c r="T1113" s="344" t="n"/>
      <c r="U1113" s="344" t="n"/>
      <c r="V1113" s="344" t="n"/>
      <c r="W1113" s="344" t="n"/>
    </row>
    <row r="1114" customFormat="1" s="354">
      <c r="A1114" s="345" t="n"/>
      <c r="B1114" s="581" t="n"/>
      <c r="C1114" s="582" t="n"/>
      <c r="D1114" s="583" t="n"/>
      <c r="E1114" s="584" t="n"/>
      <c r="F1114" s="350" t="n"/>
      <c r="G1114" s="350" t="n"/>
      <c r="H1114" s="350" t="n"/>
      <c r="I1114" s="350" t="n"/>
      <c r="J1114" s="350" t="n"/>
      <c r="K1114" s="351" t="n"/>
      <c r="L1114" s="350" t="n"/>
      <c r="M1114" s="350" t="n"/>
      <c r="N1114" s="344" t="n"/>
      <c r="O1114" s="344" t="n"/>
      <c r="P1114" s="344" t="n"/>
      <c r="Q1114" s="344" t="n"/>
      <c r="R1114" s="344" t="n"/>
      <c r="S1114" s="344" t="n"/>
      <c r="T1114" s="344" t="n"/>
      <c r="U1114" s="344" t="n"/>
      <c r="V1114" s="344" t="n"/>
      <c r="W1114" s="344" t="n"/>
    </row>
    <row r="1115" customFormat="1" s="354">
      <c r="A1115" s="345" t="n"/>
      <c r="B1115" s="581" t="n"/>
      <c r="C1115" s="582" t="n"/>
      <c r="D1115" s="583" t="n"/>
      <c r="E1115" s="584" t="n"/>
      <c r="F1115" s="350" t="n"/>
      <c r="G1115" s="350" t="n"/>
      <c r="H1115" s="350" t="n"/>
      <c r="I1115" s="350" t="n"/>
      <c r="J1115" s="350" t="n"/>
      <c r="K1115" s="351" t="n"/>
      <c r="L1115" s="350" t="n"/>
      <c r="M1115" s="350" t="n"/>
      <c r="N1115" s="344" t="n"/>
      <c r="O1115" s="344" t="n"/>
      <c r="P1115" s="344" t="n"/>
      <c r="Q1115" s="344" t="n"/>
      <c r="R1115" s="344" t="n"/>
      <c r="S1115" s="344" t="n"/>
      <c r="T1115" s="344" t="n"/>
      <c r="U1115" s="344" t="n"/>
      <c r="V1115" s="344" t="n"/>
      <c r="W1115" s="344" t="n"/>
    </row>
    <row r="1116" customFormat="1" s="354">
      <c r="A1116" s="345" t="n"/>
      <c r="B1116" s="581" t="n"/>
      <c r="C1116" s="582" t="n"/>
      <c r="D1116" s="583" t="n"/>
      <c r="E1116" s="584" t="n"/>
      <c r="F1116" s="373" t="n"/>
      <c r="G1116" s="373" t="n"/>
      <c r="H1116" s="350" t="n"/>
      <c r="I1116" s="373" t="n"/>
      <c r="J1116" s="373" t="n"/>
      <c r="K1116" s="351" t="n"/>
      <c r="L1116" s="350" t="n"/>
      <c r="M1116" s="350" t="n"/>
      <c r="N1116" s="344" t="n"/>
      <c r="O1116" s="344" t="n"/>
      <c r="P1116" s="344" t="n"/>
      <c r="Q1116" s="344" t="n"/>
      <c r="R1116" s="344" t="n"/>
      <c r="S1116" s="344" t="n"/>
      <c r="T1116" s="344" t="n"/>
      <c r="U1116" s="344" t="n"/>
      <c r="V1116" s="344" t="n"/>
      <c r="W1116" s="344" t="n"/>
    </row>
    <row r="1117" customFormat="1" s="354">
      <c r="A1117" s="345" t="n"/>
      <c r="B1117" s="581" t="n"/>
      <c r="C1117" s="582" t="n"/>
      <c r="D1117" s="583" t="n"/>
      <c r="E1117" s="584" t="n"/>
      <c r="F1117" s="350" t="n"/>
      <c r="G1117" s="373" t="n"/>
      <c r="H1117" s="350" t="n"/>
      <c r="I1117" s="350" t="n"/>
      <c r="J1117" s="350" t="n"/>
      <c r="K1117" s="351" t="n"/>
      <c r="L1117" s="350" t="n"/>
      <c r="M1117" s="350" t="n"/>
      <c r="N1117" s="344" t="n"/>
      <c r="O1117" s="344" t="n"/>
      <c r="P1117" s="344" t="n"/>
      <c r="Q1117" s="344" t="n"/>
      <c r="R1117" s="344" t="n"/>
      <c r="S1117" s="344" t="n"/>
      <c r="T1117" s="344" t="n"/>
      <c r="U1117" s="344" t="n"/>
      <c r="V1117" s="344" t="n"/>
      <c r="W1117" s="344" t="n"/>
    </row>
    <row r="1118" customFormat="1" s="354">
      <c r="A1118" s="345" t="n"/>
      <c r="B1118" s="581" t="n"/>
      <c r="C1118" s="582" t="n"/>
      <c r="D1118" s="583" t="n"/>
      <c r="E1118" s="584" t="n"/>
      <c r="F1118" s="350" t="n"/>
      <c r="G1118" s="350" t="n"/>
      <c r="H1118" s="350" t="n"/>
      <c r="I1118" s="350" t="n"/>
      <c r="J1118" s="350" t="n"/>
      <c r="K1118" s="351" t="n"/>
      <c r="L1118" s="350" t="n"/>
      <c r="M1118" s="350" t="n"/>
      <c r="N1118" s="344" t="n"/>
      <c r="O1118" s="344" t="n"/>
      <c r="P1118" s="344" t="n"/>
      <c r="Q1118" s="344" t="n"/>
      <c r="R1118" s="344" t="n"/>
      <c r="S1118" s="344" t="n"/>
      <c r="T1118" s="344" t="n"/>
      <c r="U1118" s="344" t="n"/>
      <c r="V1118" s="344" t="n"/>
      <c r="W1118" s="344" t="n"/>
    </row>
    <row r="1119" customFormat="1" s="354">
      <c r="A1119" s="345" t="n"/>
      <c r="B1119" s="581" t="n"/>
      <c r="C1119" s="582" t="n"/>
      <c r="D1119" s="583" t="n"/>
      <c r="E1119" s="584" t="n"/>
      <c r="F1119" s="350" t="n"/>
      <c r="G1119" s="350" t="n"/>
      <c r="H1119" s="350" t="n"/>
      <c r="I1119" s="350" t="n"/>
      <c r="J1119" s="350" t="n"/>
      <c r="K1119" s="351" t="n"/>
      <c r="L1119" s="350" t="n"/>
      <c r="M1119" s="350" t="n"/>
      <c r="N1119" s="344" t="n"/>
      <c r="O1119" s="344" t="n"/>
      <c r="P1119" s="344" t="n"/>
      <c r="Q1119" s="344" t="n"/>
      <c r="R1119" s="344" t="n"/>
      <c r="S1119" s="344" t="n"/>
      <c r="T1119" s="344" t="n"/>
      <c r="U1119" s="344" t="n"/>
      <c r="V1119" s="344" t="n"/>
      <c r="W1119" s="344" t="n"/>
    </row>
    <row r="1120" customFormat="1" s="354">
      <c r="A1120" s="345" t="n"/>
      <c r="B1120" s="581" t="n"/>
      <c r="C1120" s="582" t="n"/>
      <c r="D1120" s="583" t="n"/>
      <c r="E1120" s="584" t="n"/>
      <c r="F1120" s="350" t="n"/>
      <c r="G1120" s="350" t="n"/>
      <c r="H1120" s="350" t="n"/>
      <c r="I1120" s="350" t="n"/>
      <c r="J1120" s="350" t="n"/>
      <c r="K1120" s="351" t="n"/>
      <c r="L1120" s="350" t="n"/>
      <c r="M1120" s="350" t="n"/>
      <c r="N1120" s="344" t="n"/>
      <c r="O1120" s="344" t="n"/>
      <c r="P1120" s="344" t="n"/>
      <c r="Q1120" s="344" t="n"/>
      <c r="R1120" s="344" t="n"/>
      <c r="S1120" s="344" t="n"/>
      <c r="T1120" s="344" t="n"/>
      <c r="U1120" s="344" t="n"/>
      <c r="V1120" s="344" t="n"/>
      <c r="W1120" s="344" t="n"/>
    </row>
    <row r="1121" customFormat="1" s="354">
      <c r="A1121" s="345" t="n"/>
      <c r="B1121" s="581" t="n"/>
      <c r="C1121" s="582" t="n"/>
      <c r="D1121" s="583" t="n"/>
      <c r="E1121" s="584" t="n"/>
      <c r="F1121" s="350" t="n"/>
      <c r="G1121" s="350" t="n"/>
      <c r="H1121" s="350" t="n"/>
      <c r="I1121" s="350" t="n"/>
      <c r="J1121" s="350" t="n"/>
      <c r="K1121" s="351" t="n"/>
      <c r="L1121" s="593" t="inlineStr">
        <is>
          <t>../開発規格書/久保レシピ修正版/ＱＣＳ/【玉ねぎ5㎜入替】とんこつ風焼肉丼2（白鳥）.xlsx</t>
        </is>
      </c>
      <c r="M1121" s="350" t="n"/>
      <c r="N1121" s="344" t="n"/>
      <c r="O1121" s="344" t="n"/>
      <c r="P1121" s="344" t="n"/>
      <c r="Q1121" s="344" t="n"/>
      <c r="R1121" s="344" t="n"/>
      <c r="S1121" s="344" t="n"/>
      <c r="T1121" s="344" t="n"/>
      <c r="U1121" s="344" t="n"/>
      <c r="V1121" s="344" t="n"/>
      <c r="W1121" s="344" t="n"/>
    </row>
    <row r="1122" customFormat="1" s="354">
      <c r="A1122" s="345" t="n"/>
      <c r="B1122" s="581" t="n"/>
      <c r="C1122" s="582" t="n"/>
      <c r="D1122" s="583" t="n"/>
      <c r="E1122" s="584" t="n"/>
      <c r="F1122" s="350" t="n"/>
      <c r="G1122" s="350" t="n"/>
      <c r="H1122" s="350" t="n"/>
      <c r="I1122" s="350" t="n"/>
      <c r="J1122" s="350" t="n"/>
      <c r="K1122" s="351" t="n"/>
      <c r="L1122" s="350" t="n"/>
      <c r="M1122" s="350" t="n"/>
      <c r="N1122" s="344" t="n"/>
      <c r="O1122" s="344" t="n"/>
      <c r="P1122" s="344" t="n"/>
      <c r="Q1122" s="344" t="n"/>
      <c r="R1122" s="344" t="n"/>
      <c r="S1122" s="344" t="n"/>
      <c r="T1122" s="344" t="n"/>
      <c r="U1122" s="344" t="n"/>
      <c r="V1122" s="344" t="n"/>
      <c r="W1122" s="344" t="n"/>
    </row>
    <row r="1123" customFormat="1" s="354">
      <c r="A1123" s="345" t="n"/>
      <c r="B1123" s="581" t="n"/>
      <c r="C1123" s="582" t="n"/>
      <c r="D1123" s="583" t="n"/>
      <c r="E1123" s="584" t="n"/>
      <c r="F1123" s="350" t="n"/>
      <c r="G1123" s="350" t="n"/>
      <c r="H1123" s="350" t="n"/>
      <c r="I1123" s="350" t="n"/>
      <c r="J1123" s="350" t="n"/>
      <c r="K1123" s="351" t="n"/>
      <c r="L1123" s="350" t="n"/>
      <c r="M1123" s="350" t="n"/>
      <c r="N1123" s="344" t="n"/>
      <c r="O1123" s="344" t="n"/>
      <c r="P1123" s="344" t="n"/>
      <c r="Q1123" s="344" t="n"/>
      <c r="R1123" s="344" t="n"/>
      <c r="S1123" s="344" t="n"/>
      <c r="T1123" s="344" t="n"/>
      <c r="U1123" s="344" t="n"/>
      <c r="V1123" s="344" t="n"/>
      <c r="W1123" s="344" t="n"/>
    </row>
    <row r="1124" customFormat="1" s="354">
      <c r="A1124" s="345" t="n"/>
      <c r="B1124" s="581" t="n"/>
      <c r="C1124" s="582" t="n"/>
      <c r="D1124" s="583" t="n"/>
      <c r="E1124" s="584" t="n"/>
      <c r="F1124" s="373" t="n"/>
      <c r="G1124" s="373" t="n"/>
      <c r="H1124" s="350" t="n"/>
      <c r="I1124" s="373" t="n"/>
      <c r="J1124" s="373" t="n"/>
      <c r="K1124" s="351" t="n"/>
      <c r="L1124" s="350" t="n"/>
      <c r="M1124" s="350" t="n"/>
      <c r="N1124" s="344" t="n"/>
      <c r="O1124" s="344" t="n"/>
      <c r="P1124" s="344" t="n"/>
      <c r="Q1124" s="344" t="n"/>
      <c r="R1124" s="344" t="n"/>
      <c r="S1124" s="344" t="n"/>
      <c r="T1124" s="344" t="n"/>
      <c r="U1124" s="344" t="n"/>
      <c r="V1124" s="344" t="n"/>
      <c r="W1124" s="344" t="n"/>
    </row>
    <row r="1125" customFormat="1" s="354">
      <c r="A1125" s="345" t="n"/>
      <c r="B1125" s="581" t="n"/>
      <c r="C1125" s="582" t="n"/>
      <c r="D1125" s="583" t="n"/>
      <c r="E1125" s="584" t="n"/>
      <c r="F1125" s="350" t="n"/>
      <c r="G1125" s="373" t="n"/>
      <c r="H1125" s="350" t="n"/>
      <c r="I1125" s="350" t="n"/>
      <c r="J1125" s="350" t="n"/>
      <c r="K1125" s="351" t="n"/>
      <c r="L1125" s="350" t="n"/>
      <c r="M1125" s="350" t="n"/>
      <c r="N1125" s="344" t="n"/>
      <c r="O1125" s="344" t="n"/>
      <c r="P1125" s="344" t="n"/>
      <c r="Q1125" s="344" t="n"/>
      <c r="R1125" s="344" t="n"/>
      <c r="S1125" s="344" t="n"/>
      <c r="T1125" s="344" t="n"/>
      <c r="U1125" s="344" t="n"/>
      <c r="V1125" s="344" t="n"/>
      <c r="W1125" s="344" t="n"/>
    </row>
    <row r="1126" customFormat="1" s="354">
      <c r="A1126" s="345" t="n"/>
      <c r="B1126" s="581" t="n"/>
      <c r="C1126" s="582" t="n"/>
      <c r="D1126" s="583" t="n"/>
      <c r="E1126" s="584" t="n"/>
      <c r="F1126" s="350" t="n"/>
      <c r="G1126" s="350" t="n"/>
      <c r="H1126" s="350" t="n"/>
      <c r="I1126" s="350" t="n"/>
      <c r="J1126" s="350" t="n"/>
      <c r="K1126" s="351" t="n"/>
      <c r="L1126" s="350" t="n"/>
      <c r="M1126" s="350" t="n"/>
      <c r="N1126" s="344" t="n"/>
      <c r="O1126" s="344" t="n"/>
      <c r="P1126" s="344" t="n"/>
      <c r="Q1126" s="344" t="n"/>
      <c r="R1126" s="344" t="n"/>
      <c r="S1126" s="344" t="n"/>
      <c r="T1126" s="344" t="n"/>
      <c r="U1126" s="344" t="n"/>
      <c r="V1126" s="344" t="n"/>
      <c r="W1126" s="344" t="n"/>
    </row>
    <row r="1127" customFormat="1" s="354">
      <c r="A1127" s="345" t="n"/>
      <c r="B1127" s="581" t="n"/>
      <c r="C1127" s="582" t="n"/>
      <c r="D1127" s="583" t="n"/>
      <c r="E1127" s="584" t="n"/>
      <c r="F1127" s="350" t="n"/>
      <c r="G1127" s="350" t="n"/>
      <c r="H1127" s="350" t="n"/>
      <c r="I1127" s="350" t="n"/>
      <c r="J1127" s="350" t="n"/>
      <c r="K1127" s="351" t="n"/>
      <c r="L1127" s="350" t="n"/>
      <c r="M1127" s="350" t="n"/>
      <c r="N1127" s="344" t="n"/>
      <c r="O1127" s="344" t="n"/>
      <c r="P1127" s="344" t="n"/>
      <c r="Q1127" s="344" t="n"/>
      <c r="R1127" s="344" t="n"/>
      <c r="S1127" s="344" t="n"/>
      <c r="T1127" s="344" t="n"/>
      <c r="U1127" s="344" t="n"/>
      <c r="V1127" s="344" t="n"/>
      <c r="W1127" s="344" t="n"/>
    </row>
    <row r="1128" customFormat="1" s="354">
      <c r="A1128" s="345" t="n"/>
      <c r="B1128" s="581" t="n"/>
      <c r="C1128" s="582" t="n"/>
      <c r="D1128" s="583" t="n"/>
      <c r="E1128" s="595" t="n"/>
      <c r="F1128" s="350" t="n"/>
      <c r="G1128" s="350" t="n"/>
      <c r="H1128" s="350" t="n"/>
      <c r="I1128" s="350" t="n"/>
      <c r="J1128" s="350" t="n"/>
      <c r="K1128" s="351" t="n"/>
      <c r="L1128" s="350" t="n"/>
      <c r="M1128" s="350" t="n"/>
      <c r="N1128" s="344" t="n"/>
      <c r="O1128" s="344" t="n"/>
      <c r="P1128" s="344" t="n"/>
      <c r="Q1128" s="344" t="n"/>
      <c r="R1128" s="344" t="n"/>
      <c r="S1128" s="344" t="n"/>
      <c r="T1128" s="344" t="n"/>
      <c r="U1128" s="344" t="n"/>
      <c r="V1128" s="344" t="n"/>
      <c r="W1128" s="344" t="n"/>
    </row>
    <row r="1129" customFormat="1" s="354">
      <c r="A1129" s="345" t="n"/>
      <c r="B1129" s="581" t="n"/>
      <c r="C1129" s="582" t="n"/>
      <c r="D1129" s="583" t="n"/>
      <c r="E1129" s="584" t="n"/>
      <c r="F1129" s="350" t="n"/>
      <c r="G1129" s="350" t="n"/>
      <c r="H1129" s="350" t="n"/>
      <c r="I1129" s="350" t="n"/>
      <c r="J1129" s="350" t="n"/>
      <c r="K1129" s="351" t="n"/>
      <c r="L1129" s="350" t="n"/>
      <c r="M1129" s="350" t="n"/>
      <c r="N1129" s="344" t="n"/>
      <c r="O1129" s="344" t="n"/>
      <c r="P1129" s="344" t="n"/>
      <c r="Q1129" s="344" t="n"/>
      <c r="R1129" s="344" t="n"/>
      <c r="S1129" s="344" t="n"/>
      <c r="T1129" s="344" t="n"/>
      <c r="U1129" s="344" t="n"/>
      <c r="V1129" s="344" t="n"/>
      <c r="W1129" s="344" t="n"/>
    </row>
    <row r="1130" customFormat="1" s="354">
      <c r="A1130" s="345" t="n"/>
      <c r="B1130" s="581" t="n"/>
      <c r="C1130" s="582" t="n"/>
      <c r="D1130" s="583" t="n"/>
      <c r="E1130" s="584" t="n"/>
      <c r="F1130" s="350" t="n"/>
      <c r="G1130" s="350" t="n"/>
      <c r="H1130" s="350" t="n"/>
      <c r="I1130" s="350" t="n"/>
      <c r="J1130" s="350" t="n"/>
      <c r="K1130" s="351" t="n"/>
      <c r="L1130" s="350" t="n"/>
      <c r="M1130" s="350" t="n"/>
      <c r="N1130" s="344" t="n"/>
      <c r="O1130" s="344" t="n"/>
      <c r="P1130" s="344" t="n"/>
      <c r="Q1130" s="344" t="n"/>
      <c r="R1130" s="344" t="n"/>
      <c r="S1130" s="344" t="n"/>
      <c r="T1130" s="344" t="n"/>
      <c r="U1130" s="344" t="n"/>
      <c r="V1130" s="344" t="n"/>
      <c r="W1130" s="344" t="n"/>
    </row>
    <row r="1131" customFormat="1" s="354">
      <c r="A1131" s="345" t="n"/>
      <c r="B1131" s="581" t="n"/>
      <c r="C1131" s="582" t="n"/>
      <c r="D1131" s="583" t="n"/>
      <c r="E1131" s="588" t="n"/>
      <c r="F1131" s="350" t="n"/>
      <c r="G1131" s="350" t="n"/>
      <c r="H1131" s="350" t="n"/>
      <c r="I1131" s="350" t="n"/>
      <c r="J1131" s="350" t="n"/>
      <c r="K1131" s="351" t="n"/>
      <c r="L1131" s="350" t="n"/>
      <c r="M1131" s="350" t="n"/>
      <c r="N1131" s="344" t="n"/>
      <c r="O1131" s="344" t="n"/>
      <c r="P1131" s="344" t="n"/>
      <c r="Q1131" s="344" t="n"/>
      <c r="R1131" s="344" t="n"/>
      <c r="S1131" s="344" t="n"/>
      <c r="T1131" s="344" t="n"/>
      <c r="U1131" s="344" t="n"/>
      <c r="V1131" s="344" t="n"/>
      <c r="W1131" s="344" t="n"/>
    </row>
    <row r="1132" customFormat="1" s="354">
      <c r="A1132" s="345" t="n"/>
      <c r="B1132" s="581" t="n"/>
      <c r="C1132" s="582" t="n"/>
      <c r="D1132" s="583" t="n"/>
      <c r="E1132" s="584" t="n"/>
      <c r="F1132" s="350" t="n"/>
      <c r="G1132" s="350" t="n"/>
      <c r="H1132" s="350" t="n"/>
      <c r="I1132" s="350" t="n"/>
      <c r="J1132" s="350" t="n"/>
      <c r="K1132" s="351" t="n"/>
      <c r="L1132" s="350" t="n"/>
      <c r="M1132" s="350" t="n"/>
      <c r="N1132" s="344" t="n"/>
      <c r="O1132" s="344" t="n"/>
      <c r="P1132" s="344" t="n"/>
      <c r="Q1132" s="344" t="n"/>
      <c r="R1132" s="344" t="n"/>
      <c r="S1132" s="344" t="n"/>
      <c r="T1132" s="344" t="n"/>
      <c r="U1132" s="344" t="n"/>
      <c r="V1132" s="344" t="n"/>
      <c r="W1132" s="344" t="n"/>
    </row>
    <row r="1133" customFormat="1" s="354">
      <c r="A1133" s="345" t="n"/>
      <c r="B1133" s="581" t="n"/>
      <c r="C1133" s="582" t="n"/>
      <c r="D1133" s="583" t="n"/>
      <c r="E1133" s="584" t="n"/>
      <c r="F1133" s="350" t="n"/>
      <c r="G1133" s="350" t="n"/>
      <c r="H1133" s="350" t="n"/>
      <c r="I1133" s="350" t="n"/>
      <c r="J1133" s="350" t="n"/>
      <c r="K1133" s="351" t="n"/>
      <c r="L1133" s="350" t="n"/>
      <c r="M1133" s="350" t="n"/>
      <c r="N1133" s="344" t="n"/>
      <c r="O1133" s="344" t="n"/>
      <c r="P1133" s="344" t="n"/>
      <c r="Q1133" s="344" t="n"/>
      <c r="R1133" s="344" t="n"/>
      <c r="S1133" s="344" t="n"/>
      <c r="T1133" s="344" t="n"/>
      <c r="U1133" s="344" t="n"/>
      <c r="V1133" s="344" t="n"/>
      <c r="W1133" s="344" t="n"/>
    </row>
    <row r="1134" customFormat="1" s="354">
      <c r="A1134" s="345" t="n"/>
      <c r="B1134" s="581" t="n"/>
      <c r="C1134" s="582" t="n"/>
      <c r="D1134" s="583" t="n"/>
      <c r="E1134" s="584" t="n"/>
      <c r="F1134" s="350" t="n"/>
      <c r="G1134" s="350" t="n"/>
      <c r="H1134" s="350" t="n"/>
      <c r="I1134" s="350" t="n"/>
      <c r="J1134" s="350" t="n"/>
      <c r="K1134" s="351" t="n"/>
      <c r="L1134" s="350" t="n"/>
      <c r="M1134" s="350" t="n"/>
      <c r="N1134" s="344" t="n"/>
      <c r="O1134" s="344" t="n"/>
      <c r="P1134" s="344" t="n"/>
      <c r="Q1134" s="344" t="n"/>
      <c r="R1134" s="344" t="n"/>
      <c r="S1134" s="344" t="n"/>
      <c r="T1134" s="344" t="n"/>
      <c r="U1134" s="344" t="n"/>
      <c r="V1134" s="344" t="n"/>
      <c r="W1134" s="344" t="n"/>
    </row>
    <row r="1135" customFormat="1" s="354">
      <c r="A1135" s="345" t="n"/>
      <c r="B1135" s="581" t="n"/>
      <c r="C1135" s="582" t="n"/>
      <c r="D1135" s="583" t="n"/>
      <c r="E1135" s="584" t="n"/>
      <c r="F1135" s="350" t="n"/>
      <c r="G1135" s="350" t="n"/>
      <c r="H1135" s="350" t="n"/>
      <c r="I1135" s="350" t="n"/>
      <c r="J1135" s="350" t="n"/>
      <c r="K1135" s="351" t="n"/>
      <c r="L1135" s="350" t="n"/>
      <c r="M1135" s="350" t="n"/>
      <c r="N1135" s="344" t="n"/>
      <c r="O1135" s="344" t="n"/>
      <c r="P1135" s="344" t="n"/>
      <c r="Q1135" s="344" t="n"/>
      <c r="R1135" s="344" t="n"/>
      <c r="S1135" s="344" t="n"/>
      <c r="T1135" s="344" t="n"/>
      <c r="U1135" s="344" t="n"/>
      <c r="V1135" s="344" t="n"/>
      <c r="W1135" s="344" t="n"/>
    </row>
    <row r="1136" customFormat="1" s="354">
      <c r="A1136" s="345" t="n"/>
      <c r="B1136" s="581" t="n"/>
      <c r="C1136" s="582" t="n"/>
      <c r="D1136" s="583" t="n"/>
      <c r="E1136" s="595" t="n"/>
      <c r="F1136" s="350" t="n"/>
      <c r="G1136" s="350" t="n"/>
      <c r="H1136" s="350" t="n"/>
      <c r="I1136" s="350" t="n"/>
      <c r="J1136" s="350" t="n"/>
      <c r="K1136" s="351" t="n"/>
      <c r="L1136" s="350" t="n"/>
      <c r="M1136" s="350" t="n"/>
      <c r="N1136" s="344" t="n"/>
      <c r="O1136" s="344" t="n"/>
      <c r="P1136" s="344" t="n"/>
      <c r="Q1136" s="344" t="n"/>
      <c r="R1136" s="344" t="n"/>
      <c r="S1136" s="344" t="n"/>
      <c r="T1136" s="344" t="n"/>
      <c r="U1136" s="344" t="n"/>
      <c r="V1136" s="344" t="n"/>
      <c r="W1136" s="344" t="n"/>
    </row>
    <row r="1137" customFormat="1" s="354">
      <c r="A1137" s="345" t="n"/>
      <c r="B1137" s="581" t="n"/>
      <c r="C1137" s="582" t="n"/>
      <c r="D1137" s="583" t="n"/>
      <c r="E1137" s="584" t="n"/>
      <c r="F1137" s="350" t="n"/>
      <c r="G1137" s="350" t="n"/>
      <c r="H1137" s="350" t="n"/>
      <c r="I1137" s="350" t="n"/>
      <c r="J1137" s="350" t="n"/>
      <c r="K1137" s="351" t="n"/>
      <c r="L1137" s="355" t="inlineStr">
        <is>
          <t>2841000187647_【ＱＣＳ】鶏そぼろ（鶏ミンチ７：３）.xlsx</t>
        </is>
      </c>
      <c r="M1137" s="350" t="n"/>
      <c r="N1137" s="344" t="n"/>
      <c r="O1137" s="344" t="n"/>
      <c r="P1137" s="344" t="n"/>
      <c r="Q1137" s="344" t="n"/>
      <c r="R1137" s="344" t="n"/>
      <c r="S1137" s="344" t="n"/>
      <c r="T1137" s="344" t="n"/>
      <c r="U1137" s="344" t="n"/>
      <c r="V1137" s="344" t="n"/>
      <c r="W1137" s="344" t="n"/>
    </row>
    <row r="1138" customFormat="1" s="354">
      <c r="A1138" s="345" t="n"/>
      <c r="B1138" s="581" t="n"/>
      <c r="C1138" s="582" t="n"/>
      <c r="D1138" s="583" t="n"/>
      <c r="E1138" s="584" t="n"/>
      <c r="F1138" s="350" t="n"/>
      <c r="G1138" s="350" t="n"/>
      <c r="H1138" s="350" t="n"/>
      <c r="I1138" s="350" t="n"/>
      <c r="J1138" s="350" t="n"/>
      <c r="K1138" s="351" t="n"/>
      <c r="L1138" s="593" t="inlineStr">
        <is>
          <t>../開発規格書/久保レシピ修正版/ＱＣＳ/四川麻婆丼２（米10ｇ減）.xlsx</t>
        </is>
      </c>
      <c r="M1138" s="350" t="n"/>
      <c r="N1138" s="344" t="n"/>
      <c r="O1138" s="344" t="n"/>
      <c r="P1138" s="344" t="n"/>
      <c r="Q1138" s="344" t="n"/>
      <c r="R1138" s="344" t="n"/>
      <c r="S1138" s="344" t="n"/>
      <c r="T1138" s="344" t="n"/>
      <c r="U1138" s="344" t="n"/>
      <c r="V1138" s="344" t="n"/>
      <c r="W1138" s="344" t="n"/>
    </row>
    <row r="1139" customFormat="1" s="354">
      <c r="A1139" s="345" t="n"/>
      <c r="B1139" s="581" t="n"/>
      <c r="C1139" s="582" t="n"/>
      <c r="D1139" s="583" t="n"/>
      <c r="E1139" s="584" t="n"/>
      <c r="F1139" s="350" t="n"/>
      <c r="G1139" s="350" t="n"/>
      <c r="H1139" s="350" t="n"/>
      <c r="I1139" s="350" t="n"/>
      <c r="J1139" s="350" t="n"/>
      <c r="K1139" s="351" t="n"/>
      <c r="L1139" s="350" t="n"/>
      <c r="M1139" s="350" t="n"/>
      <c r="N1139" s="344" t="n"/>
      <c r="O1139" s="344" t="n"/>
      <c r="P1139" s="344" t="n"/>
      <c r="Q1139" s="344" t="n"/>
      <c r="R1139" s="344" t="n"/>
      <c r="S1139" s="344" t="n"/>
      <c r="T1139" s="344" t="n"/>
      <c r="U1139" s="344" t="n"/>
      <c r="V1139" s="344" t="n"/>
      <c r="W1139" s="344" t="n"/>
    </row>
    <row r="1140" customFormat="1" s="354">
      <c r="A1140" s="345" t="n"/>
      <c r="B1140" s="581" t="n"/>
      <c r="C1140" s="582" t="n"/>
      <c r="D1140" s="583" t="n"/>
      <c r="E1140" s="584" t="n"/>
      <c r="F1140" s="350" t="n"/>
      <c r="G1140" s="350" t="n"/>
      <c r="H1140" s="350" t="n"/>
      <c r="I1140" s="350" t="n"/>
      <c r="J1140" s="350" t="n"/>
      <c r="K1140" s="351" t="n"/>
      <c r="L1140" s="350" t="n"/>
      <c r="M1140" s="350" t="n"/>
      <c r="N1140" s="344" t="n"/>
      <c r="O1140" s="344" t="n"/>
      <c r="P1140" s="344" t="n"/>
      <c r="Q1140" s="344" t="n"/>
      <c r="R1140" s="344" t="n"/>
      <c r="S1140" s="344" t="n"/>
      <c r="T1140" s="344" t="n"/>
      <c r="U1140" s="344" t="n"/>
      <c r="V1140" s="344" t="n"/>
      <c r="W1140" s="344" t="n"/>
    </row>
    <row r="1141" customFormat="1" s="354">
      <c r="A1141" s="345" t="n"/>
      <c r="B1141" s="581" t="n"/>
      <c r="C1141" s="582" t="n"/>
      <c r="D1141" s="583" t="n"/>
      <c r="E1141" s="584" t="n"/>
      <c r="F1141" s="350" t="n"/>
      <c r="G1141" s="350" t="n"/>
      <c r="H1141" s="350" t="n"/>
      <c r="I1141" s="350" t="n"/>
      <c r="J1141" s="350" t="n"/>
      <c r="K1141" s="351" t="n"/>
      <c r="L1141" s="350" t="n"/>
      <c r="M1141" s="350" t="n"/>
      <c r="N1141" s="344" t="n"/>
      <c r="O1141" s="344" t="n"/>
      <c r="P1141" s="344" t="n"/>
      <c r="Q1141" s="344" t="n"/>
      <c r="R1141" s="344" t="n"/>
      <c r="S1141" s="344" t="n"/>
      <c r="T1141" s="344" t="n"/>
      <c r="U1141" s="344" t="n"/>
      <c r="V1141" s="344" t="n"/>
      <c r="W1141" s="344" t="n"/>
    </row>
    <row r="1142" customFormat="1" s="354">
      <c r="A1142" s="345" t="n"/>
      <c r="B1142" s="581" t="n"/>
      <c r="C1142" s="582" t="n"/>
      <c r="D1142" s="583" t="n"/>
      <c r="E1142" s="584" t="n"/>
      <c r="F1142" s="350" t="n"/>
      <c r="G1142" s="350" t="n"/>
      <c r="H1142" s="350" t="n"/>
      <c r="I1142" s="350" t="n"/>
      <c r="J1142" s="350" t="n"/>
      <c r="K1142" s="351" t="n"/>
      <c r="L1142" s="350" t="n"/>
      <c r="M1142" s="350" t="n"/>
      <c r="N1142" s="344" t="n"/>
      <c r="O1142" s="344" t="n"/>
      <c r="P1142" s="344" t="n"/>
      <c r="Q1142" s="344" t="n"/>
      <c r="R1142" s="344" t="n"/>
      <c r="S1142" s="344" t="n"/>
      <c r="T1142" s="344" t="n"/>
      <c r="U1142" s="344" t="n"/>
      <c r="V1142" s="344" t="n"/>
      <c r="W1142" s="344" t="n"/>
    </row>
    <row r="1143" customFormat="1" s="354">
      <c r="A1143" s="345" t="n"/>
      <c r="B1143" s="581" t="n"/>
      <c r="C1143" s="582" t="n"/>
      <c r="D1143" s="583" t="n"/>
      <c r="E1143" s="584" t="n"/>
      <c r="F1143" s="350" t="n"/>
      <c r="G1143" s="350" t="n"/>
      <c r="H1143" s="350" t="n"/>
      <c r="I1143" s="350" t="n"/>
      <c r="J1143" s="350" t="n"/>
      <c r="K1143" s="351" t="n"/>
      <c r="L1143" s="355" t="inlineStr">
        <is>
          <t>2841000187531_【ＱＣＳ】ターメリックライス%20.xlsx</t>
        </is>
      </c>
      <c r="M1143" s="350" t="n"/>
      <c r="N1143" s="344" t="n"/>
      <c r="O1143" s="344" t="n"/>
      <c r="P1143" s="344" t="n"/>
      <c r="Q1143" s="344" t="n"/>
      <c r="R1143" s="344" t="n"/>
      <c r="S1143" s="344" t="n"/>
      <c r="T1143" s="344" t="n"/>
      <c r="U1143" s="344" t="n"/>
      <c r="V1143" s="344" t="n"/>
      <c r="W1143" s="344" t="n"/>
    </row>
    <row r="1144" customFormat="1" s="354">
      <c r="A1144" s="345" t="n"/>
      <c r="B1144" s="581" t="n"/>
      <c r="C1144" s="582" t="n"/>
      <c r="D1144" s="583" t="n"/>
      <c r="E1144" s="584" t="n"/>
      <c r="F1144" s="350" t="n"/>
      <c r="G1144" s="350" t="n"/>
      <c r="H1144" s="350" t="n"/>
      <c r="I1144" s="350" t="n"/>
      <c r="J1144" s="350" t="n"/>
      <c r="K1144" s="351" t="n"/>
      <c r="L1144" s="355" t="inlineStr">
        <is>
          <t>2841000187548_【ＱＣＳ】バターチキンカレーソース加熱.xlsx</t>
        </is>
      </c>
      <c r="M1144" s="350" t="n"/>
      <c r="N1144" s="344" t="n"/>
      <c r="O1144" s="344" t="n"/>
      <c r="P1144" s="344" t="n"/>
      <c r="Q1144" s="344" t="n"/>
      <c r="R1144" s="344" t="n"/>
      <c r="S1144" s="344" t="n"/>
      <c r="T1144" s="344" t="n"/>
      <c r="U1144" s="344" t="n"/>
      <c r="V1144" s="344" t="n"/>
      <c r="W1144" s="344" t="n"/>
    </row>
    <row r="1145" customFormat="1" s="354">
      <c r="A1145" s="345" t="n"/>
      <c r="B1145" s="581" t="n"/>
      <c r="C1145" s="582" t="n"/>
      <c r="D1145" s="583" t="n"/>
      <c r="E1145" s="584" t="n"/>
      <c r="F1145" s="350" t="n"/>
      <c r="G1145" s="350" t="n"/>
      <c r="H1145" s="350" t="n"/>
      <c r="I1145" s="350" t="n"/>
      <c r="J1145" s="350" t="n"/>
      <c r="K1145" s="351" t="n"/>
      <c r="L1145" s="350" t="n"/>
      <c r="M1145" s="350" t="n"/>
      <c r="N1145" s="344" t="n"/>
      <c r="O1145" s="344" t="n"/>
      <c r="P1145" s="344" t="n"/>
      <c r="Q1145" s="344" t="n"/>
      <c r="R1145" s="344" t="n"/>
      <c r="S1145" s="344" t="n"/>
      <c r="T1145" s="344" t="n"/>
      <c r="U1145" s="344" t="n"/>
      <c r="V1145" s="344" t="n"/>
      <c r="W1145" s="344" t="n"/>
    </row>
    <row r="1146" customFormat="1" s="354">
      <c r="A1146" s="345" t="n"/>
      <c r="B1146" s="581" t="n"/>
      <c r="C1146" s="582" t="n"/>
      <c r="D1146" s="583" t="n"/>
      <c r="E1146" s="584" t="n"/>
      <c r="F1146" s="350" t="n"/>
      <c r="G1146" s="350" t="n"/>
      <c r="H1146" s="350" t="n"/>
      <c r="I1146" s="350" t="n"/>
      <c r="J1146" s="350" t="n"/>
      <c r="K1146" s="351" t="n"/>
      <c r="L1146" s="350" t="n"/>
      <c r="M1146" s="350" t="n"/>
      <c r="N1146" s="344" t="n"/>
      <c r="O1146" s="344" t="n"/>
      <c r="P1146" s="344" t="n"/>
      <c r="Q1146" s="344" t="n"/>
      <c r="R1146" s="344" t="n"/>
      <c r="S1146" s="344" t="n"/>
      <c r="T1146" s="344" t="n"/>
      <c r="U1146" s="344" t="n"/>
      <c r="V1146" s="344" t="n"/>
      <c r="W1146" s="344" t="n"/>
    </row>
    <row r="1147" customFormat="1" s="354">
      <c r="A1147" s="374" t="n"/>
      <c r="B1147" s="598" t="n"/>
      <c r="C1147" s="582" t="n"/>
      <c r="D1147" s="376" t="n"/>
      <c r="E1147" s="584" t="n"/>
      <c r="F1147" s="350" t="n"/>
      <c r="G1147" s="350" t="n"/>
      <c r="H1147" s="350" t="n"/>
      <c r="I1147" s="350" t="n"/>
      <c r="J1147" s="350" t="n"/>
      <c r="K1147" s="351" t="n"/>
      <c r="L1147" s="377" t="inlineStr">
        <is>
          <t>../開発規格書/久保レシピ修正版/ＱＣＳ/ポテサラちくわ天KIT４（白鳥）.xlsx</t>
        </is>
      </c>
      <c r="M1147" s="350" t="n"/>
      <c r="N1147" s="344" t="n"/>
      <c r="O1147" s="344" t="n"/>
      <c r="P1147" s="344" t="n"/>
      <c r="Q1147" s="344" t="n"/>
      <c r="R1147" s="344" t="n"/>
      <c r="S1147" s="344" t="n"/>
      <c r="T1147" s="344" t="n"/>
      <c r="U1147" s="344" t="n"/>
      <c r="V1147" s="344" t="n"/>
      <c r="W1147" s="344" t="n"/>
    </row>
    <row r="1148" customFormat="1" s="354">
      <c r="A1148" s="374" t="n"/>
      <c r="B1148" s="598" t="n"/>
      <c r="C1148" s="582" t="n"/>
      <c r="D1148" s="376" t="n"/>
      <c r="E1148" s="584" t="n"/>
      <c r="F1148" s="350" t="n"/>
      <c r="G1148" s="350" t="n"/>
      <c r="H1148" s="350" t="n"/>
      <c r="I1148" s="350" t="n"/>
      <c r="J1148" s="350" t="n"/>
      <c r="K1148" s="351" t="n"/>
      <c r="L1148" s="350" t="n"/>
      <c r="M1148" s="350" t="n"/>
      <c r="N1148" s="344" t="n"/>
      <c r="O1148" s="344" t="n"/>
      <c r="P1148" s="344" t="n"/>
      <c r="Q1148" s="344" t="n"/>
      <c r="R1148" s="344" t="n"/>
      <c r="S1148" s="344" t="n"/>
      <c r="T1148" s="344" t="n"/>
      <c r="U1148" s="344" t="n"/>
      <c r="V1148" s="344" t="n"/>
      <c r="W1148" s="344" t="n"/>
    </row>
    <row r="1149" customFormat="1" s="354">
      <c r="A1149" s="374" t="n"/>
      <c r="B1149" s="598" t="n"/>
      <c r="C1149" s="599" t="n"/>
      <c r="D1149" s="600" t="n"/>
      <c r="E1149" s="584" t="n"/>
      <c r="F1149" s="350" t="n"/>
      <c r="G1149" s="350" t="n"/>
      <c r="H1149" s="350" t="n"/>
      <c r="I1149" s="350" t="n"/>
      <c r="J1149" s="350" t="n"/>
      <c r="K1149" s="351" t="n"/>
      <c r="L1149" s="355" t="inlineStr">
        <is>
          <t>../../../../01_組織_メガ生鮮_惣菜/〇商品開発室/個人名フォルダ/大津/開発規格書/久保レシピ修正版/ＱＣＳ/☆26.7月23日　久保修正中◆7月24日◆【商品規格書】◆こはく本舗　ポテトサラダ◆.xlsx</t>
        </is>
      </c>
      <c r="M1149" s="350" t="n"/>
      <c r="N1149" s="344" t="n"/>
      <c r="O1149" s="344" t="n"/>
      <c r="P1149" s="344" t="n"/>
      <c r="Q1149" s="344" t="n"/>
      <c r="R1149" s="344" t="n"/>
      <c r="S1149" s="344" t="n"/>
      <c r="T1149" s="344" t="n"/>
      <c r="U1149" s="344" t="n"/>
      <c r="V1149" s="344" t="n"/>
      <c r="W1149" s="344" t="n"/>
    </row>
    <row r="1150" customFormat="1" s="354">
      <c r="A1150" s="374" t="n"/>
      <c r="B1150" s="598" t="n"/>
      <c r="C1150" s="599" t="n"/>
      <c r="D1150" s="600" t="n"/>
      <c r="E1150" s="584" t="n"/>
      <c r="F1150" s="350" t="n"/>
      <c r="G1150" s="350" t="n"/>
      <c r="H1150" s="350" t="n"/>
      <c r="I1150" s="350" t="n"/>
      <c r="J1150" s="350" t="n"/>
      <c r="K1150" s="351" t="n"/>
      <c r="L1150" s="350" t="n"/>
      <c r="M1150" s="350" t="n"/>
      <c r="N1150" s="344" t="n"/>
      <c r="O1150" s="344" t="n"/>
      <c r="P1150" s="344" t="n"/>
      <c r="Q1150" s="344" t="n"/>
      <c r="R1150" s="344" t="n"/>
      <c r="S1150" s="344" t="n"/>
      <c r="T1150" s="344" t="n"/>
      <c r="U1150" s="344" t="n"/>
      <c r="V1150" s="344" t="n"/>
      <c r="W1150" s="344" t="n"/>
    </row>
    <row r="1151" customFormat="1" s="354">
      <c r="A1151" s="374" t="n"/>
      <c r="B1151" s="598" t="n"/>
      <c r="C1151" s="582" t="n"/>
      <c r="D1151" s="376" t="n"/>
      <c r="E1151" s="584" t="n"/>
      <c r="F1151" s="350" t="n"/>
      <c r="G1151" s="350" t="n"/>
      <c r="H1151" s="350" t="n"/>
      <c r="I1151" s="350" t="n"/>
      <c r="J1151" s="350" t="n"/>
      <c r="K1151" s="351" t="n"/>
      <c r="L1151" s="593" t="inlineStr">
        <is>
          <t>../開発規格書/久保レシピ修正版/ＱＣＳ/◆【うまくち切替】◆タルタルソースＫＩＴ4◆（白鳥）.xlsx</t>
        </is>
      </c>
      <c r="M1151" s="350" t="n"/>
      <c r="N1151" s="344" t="n"/>
      <c r="O1151" s="344" t="n"/>
      <c r="P1151" s="344" t="n"/>
      <c r="Q1151" s="344" t="n"/>
      <c r="R1151" s="344" t="n"/>
      <c r="S1151" s="344" t="n"/>
      <c r="T1151" s="344" t="n"/>
      <c r="U1151" s="344" t="n"/>
      <c r="V1151" s="344" t="n"/>
      <c r="W1151" s="344" t="n"/>
    </row>
    <row r="1152" customFormat="1" s="354">
      <c r="A1152" s="374" t="n"/>
      <c r="B1152" s="581" t="n"/>
      <c r="C1152" s="582" t="n"/>
      <c r="D1152" s="583" t="n"/>
      <c r="E1152" s="584" t="n"/>
      <c r="F1152" s="350" t="n"/>
      <c r="G1152" s="350" t="n"/>
      <c r="H1152" s="350" t="n"/>
      <c r="I1152" s="350" t="n"/>
      <c r="J1152" s="350" t="n"/>
      <c r="K1152" s="351" t="n"/>
      <c r="L1152" s="350" t="n"/>
      <c r="M1152" s="350" t="n"/>
      <c r="N1152" s="344" t="n"/>
      <c r="O1152" s="344" t="n"/>
      <c r="P1152" s="344" t="n"/>
      <c r="Q1152" s="344" t="n"/>
      <c r="R1152" s="344" t="n"/>
      <c r="S1152" s="344" t="n"/>
      <c r="T1152" s="344" t="n"/>
      <c r="U1152" s="344" t="n"/>
      <c r="V1152" s="344" t="n"/>
      <c r="W1152" s="344" t="n"/>
    </row>
    <row r="1153" customFormat="1" s="354">
      <c r="A1153" s="374" t="n"/>
      <c r="B1153" s="581" t="n"/>
      <c r="C1153" s="582" t="n"/>
      <c r="D1153" s="583" t="n"/>
      <c r="E1153" s="584" t="n"/>
      <c r="F1153" s="350" t="n"/>
      <c r="G1153" s="350" t="n"/>
      <c r="H1153" s="350" t="n"/>
      <c r="I1153" s="350" t="n"/>
      <c r="J1153" s="350" t="n"/>
      <c r="K1153" s="351" t="n"/>
      <c r="L1153" s="355" t="inlineStr">
        <is>
          <t>2841000174395_【ＱＣＳ】クラッシュ玉子.xlsx</t>
        </is>
      </c>
      <c r="M1153" s="350" t="n"/>
      <c r="N1153" s="344" t="n"/>
      <c r="O1153" s="344" t="n"/>
      <c r="P1153" s="344" t="n"/>
      <c r="Q1153" s="344" t="n"/>
      <c r="R1153" s="344" t="n"/>
      <c r="S1153" s="344" t="n"/>
      <c r="T1153" s="344" t="n"/>
      <c r="U1153" s="344" t="n"/>
      <c r="V1153" s="344" t="n"/>
      <c r="W1153" s="344" t="n"/>
    </row>
    <row r="1154" customFormat="1" s="354">
      <c r="A1154" s="374" t="n"/>
      <c r="B1154" s="581" t="n"/>
      <c r="C1154" s="582" t="n"/>
      <c r="D1154" s="583" t="n"/>
      <c r="E1154" s="592" t="n"/>
      <c r="F1154" s="350" t="n"/>
      <c r="G1154" s="350" t="n"/>
      <c r="H1154" s="350" t="n"/>
      <c r="I1154" s="350" t="n"/>
      <c r="J1154" s="350" t="n"/>
      <c r="K1154" s="351" t="n"/>
      <c r="L1154" s="355" t="inlineStr">
        <is>
          <t>2841000168707_【ＱＣＳ】玉子加熱.xlsx</t>
        </is>
      </c>
      <c r="M1154" s="350" t="n"/>
      <c r="N1154" s="344" t="n"/>
      <c r="O1154" s="344" t="n"/>
      <c r="P1154" s="344" t="n"/>
      <c r="Q1154" s="344" t="n"/>
      <c r="R1154" s="344" t="n"/>
      <c r="S1154" s="344" t="n"/>
      <c r="T1154" s="344" t="n"/>
      <c r="U1154" s="344" t="n"/>
      <c r="V1154" s="344" t="n"/>
      <c r="W1154" s="344" t="n"/>
    </row>
    <row r="1155" customFormat="1" s="354">
      <c r="A1155" s="374" t="n"/>
      <c r="B1155" s="581" t="n"/>
      <c r="C1155" s="582" t="n"/>
      <c r="D1155" s="583" t="n"/>
      <c r="E1155" s="594" t="n"/>
      <c r="F1155" s="350" t="n"/>
      <c r="G1155" s="350" t="n"/>
      <c r="H1155" s="350" t="n"/>
      <c r="I1155" s="350" t="n"/>
      <c r="J1155" s="350" t="n"/>
      <c r="K1155" s="351" t="n"/>
      <c r="L1155" s="355" t="inlineStr">
        <is>
          <t>2841000174395_【ＱＣＳ】クラッシュ玉子.xlsx</t>
        </is>
      </c>
      <c r="M1155" s="350" t="n"/>
      <c r="N1155" s="344" t="n"/>
      <c r="O1155" s="344" t="n"/>
      <c r="P1155" s="344" t="n"/>
      <c r="Q1155" s="344" t="n"/>
      <c r="R1155" s="344" t="n"/>
      <c r="S1155" s="344" t="n"/>
      <c r="T1155" s="344" t="n"/>
      <c r="U1155" s="344" t="n"/>
      <c r="V1155" s="344" t="n"/>
      <c r="W1155" s="344" t="n"/>
    </row>
    <row r="1156" customFormat="1" s="354">
      <c r="A1156" s="374" t="n"/>
      <c r="B1156" s="598" t="n"/>
      <c r="C1156" s="582" t="n"/>
      <c r="D1156" s="376" t="n"/>
      <c r="E1156" s="584" t="n"/>
      <c r="F1156" s="350" t="n"/>
      <c r="G1156" s="350" t="n"/>
      <c r="H1156" s="350" t="n"/>
      <c r="I1156" s="350" t="n"/>
      <c r="J1156" s="350" t="n"/>
      <c r="K1156" s="351" t="n"/>
      <c r="L1156" s="355" t="inlineStr">
        <is>
          <t>2841000201787_【ＱＣＳ】タルタルソース（ＫＩＴ５）.xlsx</t>
        </is>
      </c>
      <c r="M1156" s="350" t="n"/>
      <c r="N1156" s="344" t="n"/>
      <c r="O1156" s="344" t="n"/>
      <c r="P1156" s="344" t="n"/>
      <c r="Q1156" s="344" t="n"/>
      <c r="R1156" s="344" t="n"/>
      <c r="S1156" s="344" t="n"/>
      <c r="T1156" s="344" t="n"/>
      <c r="U1156" s="344" t="n"/>
      <c r="V1156" s="344" t="n"/>
      <c r="W1156" s="344" t="n"/>
    </row>
    <row r="1157" customFormat="1" s="354">
      <c r="A1157" s="374" t="n"/>
      <c r="B1157" s="598" t="n"/>
      <c r="C1157" s="582" t="n"/>
      <c r="D1157" s="376" t="n"/>
      <c r="E1157" s="584" t="n"/>
      <c r="F1157" s="350" t="n"/>
      <c r="G1157" s="350" t="n"/>
      <c r="H1157" s="350" t="n"/>
      <c r="I1157" s="350" t="n"/>
      <c r="J1157" s="350" t="n"/>
      <c r="K1157" s="351" t="n"/>
      <c r="L1157" s="355" t="inlineStr">
        <is>
          <t>2841000201497_【ＱＣＳ】玉ねぎダイス（２～３ｍｍ）ボイル.xlsx</t>
        </is>
      </c>
      <c r="M1157" s="350" t="n"/>
      <c r="N1157" s="344" t="n"/>
      <c r="O1157" s="344" t="n"/>
      <c r="P1157" s="344" t="n"/>
      <c r="Q1157" s="344" t="n"/>
      <c r="R1157" s="344" t="n"/>
      <c r="S1157" s="344" t="n"/>
      <c r="T1157" s="344" t="n"/>
      <c r="U1157" s="344" t="n"/>
      <c r="V1157" s="344" t="n"/>
      <c r="W1157" s="344" t="n"/>
    </row>
    <row r="1158" customFormat="1" s="354">
      <c r="A1158" s="374" t="n"/>
      <c r="B1158" s="598" t="n"/>
      <c r="C1158" s="582" t="n"/>
      <c r="D1158" s="376" t="n"/>
      <c r="E1158" s="584" t="n"/>
      <c r="F1158" s="350" t="n"/>
      <c r="G1158" s="350" t="n"/>
      <c r="H1158" s="350" t="n"/>
      <c r="I1158" s="350" t="n"/>
      <c r="J1158" s="350" t="n"/>
      <c r="K1158" s="351" t="n"/>
      <c r="L1158" s="355" t="inlineStr">
        <is>
          <t>2841000168707_【ＱＣＳ】玉子加熱.xlsx</t>
        </is>
      </c>
      <c r="M1158" s="350" t="n"/>
      <c r="N1158" s="344" t="n"/>
      <c r="O1158" s="344" t="n"/>
      <c r="P1158" s="344" t="n"/>
      <c r="Q1158" s="344" t="n"/>
      <c r="R1158" s="344" t="n"/>
      <c r="S1158" s="344" t="n"/>
      <c r="T1158" s="344" t="n"/>
      <c r="U1158" s="344" t="n"/>
      <c r="V1158" s="344" t="n"/>
      <c r="W1158" s="344" t="n"/>
    </row>
    <row r="1159" customFormat="1" s="354">
      <c r="A1159" s="374" t="n"/>
      <c r="B1159" s="598" t="n"/>
      <c r="C1159" s="582" t="n"/>
      <c r="D1159" s="376" t="n"/>
      <c r="E1159" s="592" t="n"/>
      <c r="F1159" s="350" t="n"/>
      <c r="G1159" s="350" t="n"/>
      <c r="H1159" s="350" t="n"/>
      <c r="I1159" s="350" t="n"/>
      <c r="J1159" s="350" t="n"/>
      <c r="K1159" s="351" t="n"/>
      <c r="L1159" s="355" t="inlineStr">
        <is>
          <t>2841000168707_【ＱＣＳ】玉子加熱.xlsx</t>
        </is>
      </c>
      <c r="M1159" s="350" t="n"/>
      <c r="N1159" s="344" t="n"/>
      <c r="O1159" s="344" t="n"/>
      <c r="P1159" s="344" t="n"/>
      <c r="Q1159" s="344" t="n"/>
      <c r="R1159" s="344" t="n"/>
      <c r="S1159" s="344" t="n"/>
      <c r="T1159" s="344" t="n"/>
      <c r="U1159" s="344" t="n"/>
      <c r="V1159" s="344" t="n"/>
      <c r="W1159" s="344" t="n"/>
    </row>
    <row r="1160" customFormat="1" s="354">
      <c r="A1160" s="374" t="n"/>
      <c r="B1160" s="598" t="n"/>
      <c r="C1160" s="582" t="n"/>
      <c r="D1160" s="376" t="n"/>
      <c r="E1160" s="594" t="n"/>
      <c r="F1160" s="350" t="n"/>
      <c r="G1160" s="350" t="n"/>
      <c r="H1160" s="350" t="n"/>
      <c r="I1160" s="350" t="n"/>
      <c r="J1160" s="350" t="n"/>
      <c r="K1160" s="351" t="n"/>
      <c r="L1160" s="355" t="inlineStr">
        <is>
          <t>2841000174395_【ＱＣＳ】クラッシュ玉子.xlsx</t>
        </is>
      </c>
      <c r="M1160" s="350" t="n"/>
      <c r="N1160" s="344" t="n"/>
      <c r="O1160" s="344" t="n"/>
      <c r="P1160" s="344" t="n"/>
      <c r="Q1160" s="344" t="n"/>
      <c r="R1160" s="344" t="n"/>
      <c r="S1160" s="344" t="n"/>
      <c r="T1160" s="344" t="n"/>
      <c r="U1160" s="344" t="n"/>
      <c r="V1160" s="344" t="n"/>
      <c r="W1160" s="344" t="n"/>
    </row>
    <row r="1161" customFormat="1" s="354">
      <c r="A1161" s="374" t="n"/>
      <c r="B1161" s="598" t="n"/>
      <c r="C1161" s="582" t="n"/>
      <c r="D1161" s="376" t="n"/>
      <c r="E1161" s="584" t="n"/>
      <c r="F1161" s="350" t="n"/>
      <c r="G1161" s="350" t="n"/>
      <c r="H1161" s="350" t="n"/>
      <c r="I1161" s="350" t="n"/>
      <c r="J1161" s="350" t="n"/>
      <c r="K1161" s="351" t="n"/>
      <c r="L1161" s="350" t="n"/>
      <c r="M1161" s="350" t="n"/>
      <c r="N1161" s="344" t="n"/>
      <c r="O1161" s="344" t="n"/>
      <c r="P1161" s="344" t="n"/>
      <c r="Q1161" s="344" t="n"/>
      <c r="R1161" s="344" t="n"/>
      <c r="S1161" s="344" t="n"/>
      <c r="T1161" s="344" t="n"/>
      <c r="U1161" s="344" t="n"/>
      <c r="V1161" s="344" t="n"/>
      <c r="W1161" s="344" t="n"/>
    </row>
    <row r="1162" customFormat="1" s="354">
      <c r="A1162" s="374" t="n"/>
      <c r="B1162" s="581" t="n"/>
      <c r="C1162" s="582" t="n"/>
      <c r="D1162" s="583" t="n"/>
      <c r="E1162" s="584" t="n"/>
      <c r="F1162" s="350" t="n"/>
      <c r="G1162" s="350" t="n"/>
      <c r="H1162" s="350" t="n"/>
      <c r="I1162" s="350" t="n"/>
      <c r="J1162" s="350" t="n"/>
      <c r="K1162" s="351" t="n"/>
      <c r="L1162" s="350" t="n"/>
      <c r="M1162" s="350" t="n"/>
      <c r="N1162" s="344" t="n"/>
      <c r="O1162" s="344" t="n"/>
      <c r="P1162" s="344" t="n"/>
      <c r="Q1162" s="344" t="n"/>
      <c r="R1162" s="344" t="n"/>
      <c r="S1162" s="344" t="n"/>
      <c r="T1162" s="344" t="n"/>
      <c r="U1162" s="344" t="n"/>
      <c r="V1162" s="344" t="n"/>
      <c r="W1162" s="344" t="n"/>
    </row>
    <row r="1163" customFormat="1" s="354">
      <c r="A1163" s="374" t="n"/>
      <c r="B1163" s="581" t="n"/>
      <c r="C1163" s="582" t="n"/>
      <c r="D1163" s="583" t="n"/>
      <c r="E1163" s="584" t="n"/>
      <c r="F1163" s="350" t="n"/>
      <c r="G1163" s="350" t="n"/>
      <c r="H1163" s="350" t="n"/>
      <c r="I1163" s="350" t="n"/>
      <c r="J1163" s="350" t="n"/>
      <c r="K1163" s="351" t="n"/>
      <c r="L1163" s="350" t="n"/>
      <c r="M1163" s="350" t="n"/>
      <c r="N1163" s="344" t="n"/>
      <c r="O1163" s="344" t="n"/>
      <c r="P1163" s="344" t="n"/>
      <c r="Q1163" s="344" t="n"/>
      <c r="R1163" s="344" t="n"/>
      <c r="S1163" s="344" t="n"/>
      <c r="T1163" s="344" t="n"/>
      <c r="U1163" s="344" t="n"/>
      <c r="V1163" s="344" t="n"/>
      <c r="W1163" s="344" t="n"/>
    </row>
    <row r="1164" customFormat="1" s="354">
      <c r="A1164" s="374" t="n"/>
      <c r="B1164" s="581" t="n"/>
      <c r="C1164" s="582" t="n"/>
      <c r="D1164" s="583" t="n"/>
      <c r="E1164" s="584" t="n"/>
      <c r="F1164" s="350" t="n"/>
      <c r="G1164" s="350" t="n"/>
      <c r="H1164" s="350" t="n"/>
      <c r="I1164" s="350" t="n"/>
      <c r="J1164" s="350" t="n"/>
      <c r="K1164" s="351" t="n"/>
      <c r="L1164" s="355" t="inlineStr">
        <is>
          <t>../開発規格書/久保レシピ修正版/ＱＣＳ/ごま団子KIT0226更新【手順書】.xlsx</t>
        </is>
      </c>
      <c r="M1164" s="350" t="n"/>
      <c r="N1164" s="344" t="n"/>
      <c r="O1164" s="344" t="n"/>
      <c r="P1164" s="344" t="n"/>
      <c r="Q1164" s="344" t="n"/>
      <c r="R1164" s="344" t="n"/>
      <c r="S1164" s="344" t="n"/>
      <c r="T1164" s="344" t="n"/>
      <c r="U1164" s="344" t="n"/>
      <c r="V1164" s="344" t="n"/>
      <c r="W1164" s="344" t="n"/>
    </row>
    <row r="1165" customFormat="1" s="354">
      <c r="A1165" s="374" t="n"/>
      <c r="B1165" s="598" t="n"/>
      <c r="C1165" s="582" t="n"/>
      <c r="D1165" s="376" t="n"/>
      <c r="E1165" s="584" t="n"/>
      <c r="F1165" s="350" t="n"/>
      <c r="G1165" s="350" t="n"/>
      <c r="H1165" s="350" t="n"/>
      <c r="I1165" s="350" t="n"/>
      <c r="J1165" s="350" t="n"/>
      <c r="K1165" s="351" t="n"/>
      <c r="L1165" s="350" t="n"/>
      <c r="M1165" s="350" t="n"/>
      <c r="N1165" s="344" t="n"/>
      <c r="O1165" s="344" t="n"/>
      <c r="P1165" s="344" t="n"/>
      <c r="Q1165" s="344" t="n"/>
      <c r="R1165" s="344" t="n"/>
      <c r="S1165" s="344" t="n"/>
      <c r="T1165" s="344" t="n"/>
      <c r="U1165" s="344" t="n"/>
      <c r="V1165" s="344" t="n"/>
      <c r="W1165" s="344" t="n"/>
    </row>
    <row r="1166" customFormat="1" s="354">
      <c r="A1166" s="374" t="n"/>
      <c r="B1166" s="581" t="n"/>
      <c r="C1166" s="582" t="n"/>
      <c r="D1166" s="601" t="n"/>
      <c r="E1166" s="584" t="n"/>
      <c r="F1166" s="350" t="n"/>
      <c r="G1166" s="350" t="n"/>
      <c r="H1166" s="350" t="n"/>
      <c r="I1166" s="350" t="n"/>
      <c r="J1166" s="350" t="n"/>
      <c r="K1166" s="351" t="n"/>
      <c r="L1166" s="355" t="inlineStr">
        <is>
          <t>2841000169551_【ＱＣＳ】ナポリタンソース５.xlsx</t>
        </is>
      </c>
      <c r="M1166" s="350" t="n"/>
      <c r="N1166" s="344" t="n"/>
      <c r="O1166" s="344" t="n"/>
      <c r="P1166" s="344" t="n"/>
      <c r="Q1166" s="344" t="n"/>
      <c r="R1166" s="344" t="n"/>
      <c r="S1166" s="344" t="n"/>
      <c r="T1166" s="344" t="n"/>
      <c r="U1166" s="344" t="n"/>
      <c r="V1166" s="344" t="n"/>
      <c r="W1166" s="344" t="n"/>
    </row>
    <row r="1167" customFormat="1" s="354">
      <c r="A1167" s="374" t="n"/>
      <c r="B1167" s="581" t="n"/>
      <c r="C1167" s="582" t="n"/>
      <c r="D1167" s="583" t="n"/>
      <c r="E1167" s="584" t="n"/>
      <c r="F1167" s="350" t="n"/>
      <c r="G1167" s="350" t="n"/>
      <c r="H1167" s="350" t="n"/>
      <c r="I1167" s="350" t="n"/>
      <c r="J1167" s="350" t="n"/>
      <c r="K1167" s="351" t="n"/>
      <c r="L1167" s="355" t="inlineStr">
        <is>
          <t>2841000169568_【ＱＣＳ】ナポリタン用茹で麺２.xlsx</t>
        </is>
      </c>
      <c r="M1167" s="350" t="n"/>
      <c r="N1167" s="344" t="n"/>
      <c r="O1167" s="344" t="n"/>
      <c r="P1167" s="344" t="n"/>
      <c r="Q1167" s="344" t="n"/>
      <c r="R1167" s="344" t="n"/>
      <c r="S1167" s="344" t="n"/>
      <c r="T1167" s="344" t="n"/>
      <c r="U1167" s="344" t="n"/>
      <c r="V1167" s="344" t="n"/>
      <c r="W1167" s="344" t="n"/>
    </row>
    <row r="1168" customFormat="1" s="354">
      <c r="A1168" s="374" t="n"/>
      <c r="B1168" s="581" t="n"/>
      <c r="C1168" s="582" t="n"/>
      <c r="D1168" s="583" t="n"/>
      <c r="E1168" s="584" t="n"/>
      <c r="F1168" s="350" t="n"/>
      <c r="G1168" s="350" t="n"/>
      <c r="H1168" s="350" t="n"/>
      <c r="I1168" s="350" t="n"/>
      <c r="J1168" s="350" t="n"/>
      <c r="K1168" s="351" t="n"/>
      <c r="L1168" s="355" t="inlineStr">
        <is>
          <t>2841000170359_【ＱＣＳ】ナポリタン麺和え.xlsx</t>
        </is>
      </c>
      <c r="M1168" s="350" t="n"/>
      <c r="N1168" s="344" t="n"/>
      <c r="O1168" s="344" t="n"/>
      <c r="P1168" s="344" t="n"/>
      <c r="Q1168" s="344" t="n"/>
      <c r="R1168" s="344" t="n"/>
      <c r="S1168" s="344" t="n"/>
      <c r="T1168" s="344" t="n"/>
      <c r="U1168" s="344" t="n"/>
      <c r="V1168" s="344" t="n"/>
      <c r="W1168" s="344" t="n"/>
    </row>
    <row r="1169" customFormat="1" s="354">
      <c r="A1169" s="374" t="n"/>
      <c r="B1169" s="581" t="n"/>
      <c r="C1169" s="582" t="n"/>
      <c r="D1169" s="583" t="n"/>
      <c r="E1169" s="584" t="n"/>
      <c r="F1169" s="350" t="n"/>
      <c r="G1169" s="350" t="n"/>
      <c r="H1169" s="350" t="n"/>
      <c r="I1169" s="350" t="n"/>
      <c r="J1169" s="350" t="n"/>
      <c r="K1169" s="351" t="n"/>
      <c r="L1169" s="355" t="inlineStr">
        <is>
          <t>2841000187647_【ＱＣＳ】鶏そぼろ（鶏ミンチ７：３）.xlsx</t>
        </is>
      </c>
      <c r="M1169" s="350" t="n"/>
      <c r="N1169" s="344" t="n"/>
      <c r="O1169" s="344" t="n"/>
      <c r="P1169" s="344" t="n"/>
      <c r="Q1169" s="344" t="n"/>
      <c r="R1169" s="344" t="n"/>
      <c r="S1169" s="344" t="n"/>
      <c r="T1169" s="344" t="n"/>
      <c r="U1169" s="344" t="n"/>
      <c r="V1169" s="344" t="n"/>
      <c r="W1169" s="344" t="n"/>
    </row>
    <row r="1170" customFormat="1" s="354">
      <c r="A1170" s="374" t="n"/>
      <c r="B1170" s="598" t="n"/>
      <c r="C1170" s="582" t="n"/>
      <c r="D1170" s="376" t="n"/>
      <c r="E1170" s="584" t="n"/>
      <c r="F1170" s="350" t="n"/>
      <c r="G1170" s="350" t="n"/>
      <c r="H1170" s="350" t="n"/>
      <c r="I1170" s="350" t="n"/>
      <c r="J1170" s="350" t="n"/>
      <c r="K1170" s="351" t="n"/>
      <c r="L1170" s="350" t="n"/>
      <c r="M1170" s="350" t="n"/>
      <c r="N1170" s="344" t="n"/>
      <c r="O1170" s="344" t="n"/>
      <c r="P1170" s="344" t="n"/>
      <c r="Q1170" s="344" t="n"/>
      <c r="R1170" s="344" t="n"/>
      <c r="S1170" s="344" t="n"/>
      <c r="T1170" s="344" t="n"/>
      <c r="U1170" s="344" t="n"/>
      <c r="V1170" s="344" t="n"/>
      <c r="W1170" s="344" t="n"/>
    </row>
    <row r="1171" customFormat="1" s="354">
      <c r="A1171" s="374" t="n"/>
      <c r="B1171" s="598" t="n"/>
      <c r="C1171" s="582" t="n"/>
      <c r="D1171" s="376" t="n"/>
      <c r="E1171" s="584" t="n"/>
      <c r="F1171" s="350" t="n"/>
      <c r="G1171" s="350" t="n"/>
      <c r="H1171" s="350" t="n"/>
      <c r="I1171" s="350" t="n"/>
      <c r="J1171" s="350" t="n"/>
      <c r="K1171" s="351" t="n"/>
      <c r="L1171" s="350" t="n"/>
      <c r="M1171" s="350" t="n"/>
      <c r="N1171" s="344" t="n"/>
      <c r="O1171" s="344" t="n"/>
      <c r="P1171" s="344" t="n"/>
      <c r="Q1171" s="344" t="n"/>
      <c r="R1171" s="344" t="n"/>
      <c r="S1171" s="344" t="n"/>
      <c r="T1171" s="344" t="n"/>
      <c r="U1171" s="344" t="n"/>
      <c r="V1171" s="344" t="n"/>
      <c r="W1171" s="344" t="n"/>
    </row>
    <row r="1172" customFormat="1" s="354">
      <c r="A1172" s="374" t="n"/>
      <c r="B1172" s="598" t="n"/>
      <c r="C1172" s="582" t="n"/>
      <c r="D1172" s="583" t="n"/>
      <c r="E1172" s="584" t="n"/>
      <c r="F1172" s="350" t="n"/>
      <c r="G1172" s="350" t="n"/>
      <c r="H1172" s="350" t="n"/>
      <c r="I1172" s="350" t="n"/>
      <c r="J1172" s="350" t="n"/>
      <c r="K1172" s="351" t="n"/>
      <c r="L1172" s="350" t="n"/>
      <c r="M1172" s="350" t="n"/>
      <c r="N1172" s="344" t="n"/>
      <c r="O1172" s="344" t="n"/>
      <c r="P1172" s="344" t="n"/>
      <c r="Q1172" s="344" t="n"/>
      <c r="R1172" s="344" t="n"/>
      <c r="S1172" s="344" t="n"/>
      <c r="T1172" s="344" t="n"/>
      <c r="U1172" s="344" t="n"/>
      <c r="V1172" s="344" t="n"/>
      <c r="W1172" s="344" t="n"/>
    </row>
    <row r="1173" customFormat="1" s="354">
      <c r="A1173" s="374" t="n"/>
      <c r="B1173" s="598" t="n"/>
      <c r="C1173" s="582" t="n"/>
      <c r="D1173" s="583" t="n"/>
      <c r="E1173" s="584" t="n"/>
      <c r="F1173" s="350" t="n"/>
      <c r="G1173" s="350" t="n"/>
      <c r="H1173" s="350" t="n"/>
      <c r="I1173" s="350" t="n"/>
      <c r="J1173" s="350" t="n"/>
      <c r="K1173" s="351" t="n"/>
      <c r="L1173" s="593" t="inlineStr">
        <is>
          <t>../開発規格書/久保レシピ修正版/ＱＣＳ/【商品規格書】◇皿うどんKIT2%20ホワイトペッパー変更（白鳥PC）◇%20.xlsx</t>
        </is>
      </c>
      <c r="M1173" s="350" t="n"/>
      <c r="N1173" s="344" t="n"/>
      <c r="O1173" s="344" t="n"/>
      <c r="P1173" s="344" t="n"/>
      <c r="Q1173" s="344" t="n"/>
      <c r="R1173" s="344" t="n"/>
      <c r="S1173" s="344" t="n"/>
      <c r="T1173" s="344" t="n"/>
      <c r="U1173" s="344" t="n"/>
      <c r="V1173" s="344" t="n"/>
      <c r="W1173" s="344" t="n"/>
    </row>
    <row r="1174" customFormat="1" s="354">
      <c r="A1174" s="374" t="n"/>
      <c r="B1174" s="598" t="n"/>
      <c r="C1174" s="582" t="n"/>
      <c r="D1174" s="376" t="n"/>
      <c r="E1174" s="584" t="n"/>
      <c r="F1174" s="584" t="n"/>
      <c r="G1174" s="584" t="n"/>
      <c r="H1174" s="584" t="n"/>
      <c r="I1174" s="584" t="n"/>
      <c r="J1174" s="584" t="n"/>
      <c r="K1174" s="351" t="n"/>
      <c r="L1174" s="350" t="n"/>
      <c r="M1174" s="350" t="n"/>
      <c r="N1174" s="344" t="n"/>
      <c r="O1174" s="344" t="n"/>
      <c r="P1174" s="344" t="n"/>
      <c r="Q1174" s="344" t="n"/>
      <c r="R1174" s="344" t="n"/>
      <c r="S1174" s="344" t="n"/>
      <c r="T1174" s="344" t="n"/>
      <c r="U1174" s="344" t="n"/>
      <c r="V1174" s="344" t="n"/>
      <c r="W1174" s="344" t="n"/>
    </row>
    <row r="1175" customFormat="1" s="354">
      <c r="A1175" s="374" t="n"/>
      <c r="B1175" s="598" t="n"/>
      <c r="C1175" s="582" t="n"/>
      <c r="D1175" s="376" t="n"/>
      <c r="E1175" s="584" t="n"/>
      <c r="F1175" s="584" t="n"/>
      <c r="G1175" s="584" t="n"/>
      <c r="H1175" s="584" t="n"/>
      <c r="I1175" s="584" t="n"/>
      <c r="J1175" s="584" t="n"/>
      <c r="K1175" s="351" t="n"/>
      <c r="L1175" s="350" t="n"/>
      <c r="M1175" s="350" t="n"/>
      <c r="N1175" s="344" t="n"/>
      <c r="O1175" s="344" t="n"/>
      <c r="P1175" s="344" t="n"/>
      <c r="Q1175" s="344" t="n"/>
      <c r="R1175" s="344" t="n"/>
      <c r="S1175" s="344" t="n"/>
      <c r="T1175" s="344" t="n"/>
      <c r="U1175" s="344" t="n"/>
      <c r="V1175" s="344" t="n"/>
      <c r="W1175" s="344" t="n"/>
    </row>
    <row r="1176" customFormat="1" s="354">
      <c r="A1176" s="374" t="n"/>
      <c r="B1176" s="581" t="n"/>
      <c r="C1176" s="582" t="n"/>
      <c r="D1176" s="583" t="n"/>
      <c r="E1176" s="584" t="n"/>
      <c r="F1176" s="350" t="n"/>
      <c r="G1176" s="350" t="n"/>
      <c r="H1176" s="350" t="n"/>
      <c r="I1176" s="350" t="n"/>
      <c r="J1176" s="350" t="n"/>
      <c r="K1176" s="351" t="n"/>
      <c r="L1176" s="350" t="n"/>
      <c r="M1176" s="350" t="n"/>
      <c r="N1176" s="344" t="n"/>
      <c r="O1176" s="344" t="n"/>
      <c r="P1176" s="344" t="n"/>
      <c r="Q1176" s="344" t="n"/>
      <c r="R1176" s="344" t="n"/>
      <c r="S1176" s="344" t="n"/>
      <c r="T1176" s="344" t="n"/>
      <c r="U1176" s="344" t="n"/>
      <c r="V1176" s="344" t="n"/>
      <c r="W1176" s="344" t="n"/>
    </row>
    <row r="1177" customFormat="1" s="354">
      <c r="A1177" s="374" t="n"/>
      <c r="B1177" s="581" t="n"/>
      <c r="C1177" s="582" t="n"/>
      <c r="D1177" s="583" t="n"/>
      <c r="E1177" s="584" t="n"/>
      <c r="F1177" s="584" t="n"/>
      <c r="G1177" s="584" t="n"/>
      <c r="H1177" s="584" t="n"/>
      <c r="I1177" s="584" t="n"/>
      <c r="J1177" s="584" t="n"/>
      <c r="K1177" s="351" t="n"/>
      <c r="L1177" s="350" t="n"/>
      <c r="M1177" s="350" t="n"/>
      <c r="N1177" s="344" t="n"/>
      <c r="O1177" s="344" t="n"/>
      <c r="P1177" s="344" t="n"/>
      <c r="Q1177" s="344" t="n"/>
      <c r="R1177" s="344" t="n"/>
      <c r="S1177" s="344" t="n"/>
      <c r="T1177" s="344" t="n"/>
      <c r="U1177" s="344" t="n"/>
      <c r="V1177" s="344" t="n"/>
      <c r="W1177" s="344" t="n"/>
    </row>
    <row r="1178" customFormat="1" s="354">
      <c r="A1178" s="374" t="n"/>
      <c r="B1178" s="581" t="n"/>
      <c r="C1178" s="582" t="n"/>
      <c r="D1178" s="583" t="n"/>
      <c r="E1178" s="584" t="n"/>
      <c r="F1178" s="584" t="n"/>
      <c r="G1178" s="584" t="n"/>
      <c r="H1178" s="584" t="n"/>
      <c r="I1178" s="584" t="n"/>
      <c r="J1178" s="584" t="n"/>
      <c r="K1178" s="351" t="n"/>
      <c r="L1178" s="350" t="n"/>
      <c r="M1178" s="350" t="n"/>
      <c r="N1178" s="344" t="n"/>
      <c r="O1178" s="344" t="n"/>
      <c r="P1178" s="344" t="n"/>
      <c r="Q1178" s="344" t="n"/>
      <c r="R1178" s="344" t="n"/>
      <c r="S1178" s="344" t="n"/>
      <c r="T1178" s="344" t="n"/>
      <c r="U1178" s="344" t="n"/>
      <c r="V1178" s="344" t="n"/>
      <c r="W1178" s="344" t="n"/>
    </row>
    <row r="1179" customFormat="1" s="354">
      <c r="A1179" s="374" t="n"/>
      <c r="B1179" s="581" t="n"/>
      <c r="C1179" s="582" t="n"/>
      <c r="D1179" s="381" t="n"/>
      <c r="E1179" s="584" t="n"/>
      <c r="F1179" s="584" t="n"/>
      <c r="G1179" s="584" t="n"/>
      <c r="H1179" s="584" t="n"/>
      <c r="I1179" s="584" t="n"/>
      <c r="J1179" s="584" t="n"/>
      <c r="K1179" s="351" t="n"/>
      <c r="L1179" s="350" t="n"/>
      <c r="M1179" s="350" t="n"/>
      <c r="N1179" s="344" t="n"/>
      <c r="O1179" s="344" t="n"/>
      <c r="P1179" s="344" t="n"/>
      <c r="Q1179" s="344" t="n"/>
      <c r="R1179" s="344" t="n"/>
      <c r="S1179" s="344" t="n"/>
      <c r="T1179" s="344" t="n"/>
      <c r="U1179" s="344" t="n"/>
      <c r="V1179" s="344" t="n"/>
      <c r="W1179" s="344" t="n"/>
    </row>
    <row r="1180" customFormat="1" s="354">
      <c r="A1180" s="374" t="n"/>
      <c r="B1180" s="581" t="n"/>
      <c r="C1180" s="582" t="n"/>
      <c r="D1180" s="381" t="n"/>
      <c r="E1180" s="584" t="n"/>
      <c r="F1180" s="584" t="n"/>
      <c r="G1180" s="584" t="n"/>
      <c r="H1180" s="584" t="n"/>
      <c r="I1180" s="584" t="n"/>
      <c r="J1180" s="584" t="n"/>
      <c r="K1180" s="351" t="n"/>
      <c r="L1180" s="350" t="n"/>
      <c r="M1180" s="350" t="n"/>
      <c r="N1180" s="344" t="n"/>
      <c r="O1180" s="344" t="n"/>
      <c r="P1180" s="344" t="n"/>
      <c r="Q1180" s="344" t="n"/>
      <c r="R1180" s="344" t="n"/>
      <c r="S1180" s="344" t="n"/>
      <c r="T1180" s="344" t="n"/>
      <c r="U1180" s="344" t="n"/>
      <c r="V1180" s="344" t="n"/>
      <c r="W1180" s="344" t="n"/>
    </row>
    <row r="1181" customFormat="1" s="354">
      <c r="A1181" s="374" t="n"/>
      <c r="B1181" s="598" t="n"/>
      <c r="C1181" s="582" t="n"/>
      <c r="D1181" s="376" t="n"/>
      <c r="E1181" s="584" t="n"/>
      <c r="F1181" s="350" t="n"/>
      <c r="G1181" s="350" t="n"/>
      <c r="H1181" s="350" t="n"/>
      <c r="I1181" s="350" t="n"/>
      <c r="J1181" s="350" t="n"/>
      <c r="K1181" s="351" t="n"/>
      <c r="L1181" s="377" t="inlineStr">
        <is>
          <t>../開発規格書/久保レシピ修正版/ＱＣＳ/【玉ねぎ5㎜入替】照り焼きチキンピザKIT８.xlsx</t>
        </is>
      </c>
      <c r="M1181" s="350" t="n"/>
      <c r="N1181" s="344" t="n"/>
      <c r="O1181" s="344" t="n"/>
      <c r="P1181" s="344" t="n"/>
      <c r="Q1181" s="344" t="n"/>
      <c r="R1181" s="344" t="n"/>
      <c r="S1181" s="344" t="n"/>
      <c r="T1181" s="344" t="n"/>
      <c r="U1181" s="344" t="n"/>
      <c r="V1181" s="344" t="n"/>
      <c r="W1181" s="344" t="n"/>
    </row>
    <row r="1182" customFormat="1" s="354">
      <c r="A1182" s="374" t="n"/>
      <c r="B1182" s="598" t="n"/>
      <c r="C1182" s="582" t="n"/>
      <c r="D1182" s="376" t="n"/>
      <c r="E1182" s="584" t="n"/>
      <c r="F1182" s="584" t="n"/>
      <c r="G1182" s="584" t="n"/>
      <c r="H1182" s="584" t="n"/>
      <c r="I1182" s="584" t="n"/>
      <c r="J1182" s="584" t="n"/>
      <c r="K1182" s="351" t="n"/>
      <c r="L1182" s="350" t="n"/>
      <c r="M1182" s="350" t="n"/>
      <c r="N1182" s="344" t="n"/>
      <c r="O1182" s="344" t="n"/>
      <c r="P1182" s="344" t="n"/>
      <c r="Q1182" s="344" t="n"/>
      <c r="R1182" s="344" t="n"/>
      <c r="S1182" s="344" t="n"/>
      <c r="T1182" s="344" t="n"/>
      <c r="U1182" s="344" t="n"/>
      <c r="V1182" s="344" t="n"/>
      <c r="W1182" s="344" t="n"/>
    </row>
    <row r="1183" customFormat="1" s="354">
      <c r="A1183" s="374" t="n"/>
      <c r="B1183" s="598" t="n"/>
      <c r="C1183" s="582" t="n"/>
      <c r="D1183" s="376" t="n"/>
      <c r="E1183" s="584" t="n"/>
      <c r="F1183" s="584" t="n"/>
      <c r="G1183" s="584" t="n"/>
      <c r="H1183" s="584" t="n"/>
      <c r="I1183" s="584" t="n"/>
      <c r="J1183" s="584" t="n"/>
      <c r="K1183" s="351" t="n"/>
      <c r="L1183" s="350" t="n"/>
      <c r="M1183" s="350" t="n"/>
      <c r="N1183" s="344" t="n"/>
      <c r="O1183" s="344" t="n"/>
      <c r="P1183" s="344" t="n"/>
      <c r="Q1183" s="344" t="n"/>
      <c r="R1183" s="344" t="n"/>
      <c r="S1183" s="344" t="n"/>
      <c r="T1183" s="344" t="n"/>
      <c r="U1183" s="344" t="n"/>
      <c r="V1183" s="344" t="n"/>
      <c r="W1183" s="344" t="n"/>
    </row>
    <row r="1184" customFormat="1" s="354">
      <c r="A1184" s="374" t="n"/>
      <c r="B1184" s="598" t="n"/>
      <c r="C1184" s="582" t="n"/>
      <c r="D1184" s="376" t="n"/>
      <c r="E1184" s="584" t="n"/>
      <c r="F1184" s="584" t="n"/>
      <c r="G1184" s="584" t="n"/>
      <c r="H1184" s="584" t="n"/>
      <c r="I1184" s="584" t="n"/>
      <c r="J1184" s="584" t="n"/>
      <c r="K1184" s="351" t="n"/>
      <c r="L1184" s="350" t="n"/>
      <c r="M1184" s="350" t="n"/>
      <c r="N1184" s="344" t="n"/>
      <c r="O1184" s="344" t="n"/>
      <c r="P1184" s="344" t="n"/>
      <c r="Q1184" s="344" t="n"/>
      <c r="R1184" s="344" t="n"/>
      <c r="S1184" s="344" t="n"/>
      <c r="T1184" s="344" t="n"/>
      <c r="U1184" s="344" t="n"/>
      <c r="V1184" s="344" t="n"/>
      <c r="W1184" s="344" t="n"/>
    </row>
    <row r="1185" customFormat="1" s="354">
      <c r="A1185" s="374" t="n"/>
      <c r="B1185" s="598" t="n"/>
      <c r="C1185" s="582" t="n"/>
      <c r="D1185" s="376" t="n"/>
      <c r="E1185" s="584" t="n"/>
      <c r="F1185" s="584" t="n"/>
      <c r="G1185" s="584" t="n"/>
      <c r="H1185" s="584" t="n"/>
      <c r="I1185" s="584" t="n"/>
      <c r="J1185" s="584" t="n"/>
      <c r="K1185" s="351" t="n"/>
      <c r="L1185" s="350" t="n"/>
      <c r="M1185" s="350" t="n"/>
      <c r="N1185" s="344" t="n"/>
      <c r="O1185" s="344" t="n"/>
      <c r="P1185" s="344" t="n"/>
      <c r="Q1185" s="344" t="n"/>
      <c r="R1185" s="344" t="n"/>
      <c r="S1185" s="344" t="n"/>
      <c r="T1185" s="344" t="n"/>
      <c r="U1185" s="344" t="n"/>
      <c r="V1185" s="344" t="n"/>
      <c r="W1185" s="344" t="n"/>
    </row>
    <row r="1186" customFormat="1" s="354">
      <c r="A1186" s="382" t="n"/>
      <c r="B1186" s="581" t="n"/>
      <c r="C1186" s="582" t="n"/>
      <c r="D1186" s="383" t="n"/>
      <c r="E1186" s="584" t="n"/>
      <c r="F1186" s="584" t="n"/>
      <c r="G1186" s="584" t="n"/>
      <c r="H1186" s="584" t="n"/>
      <c r="I1186" s="584" t="n"/>
      <c r="J1186" s="584" t="n"/>
      <c r="K1186" s="351" t="n"/>
      <c r="L1186" s="350" t="n"/>
      <c r="M1186" s="350" t="n"/>
      <c r="N1186" s="344" t="n"/>
      <c r="O1186" s="344" t="n"/>
      <c r="P1186" s="344" t="n"/>
      <c r="Q1186" s="344" t="n"/>
      <c r="R1186" s="344" t="n"/>
      <c r="S1186" s="344" t="n"/>
      <c r="T1186" s="344" t="n"/>
      <c r="U1186" s="344" t="n"/>
      <c r="V1186" s="344" t="n"/>
      <c r="W1186" s="344" t="n"/>
    </row>
    <row r="1187" customFormat="1" s="354">
      <c r="A1187" s="374" t="n"/>
      <c r="B1187" s="581" t="n"/>
      <c r="C1187" s="582" t="n"/>
      <c r="D1187" s="383" t="n"/>
      <c r="E1187" s="584" t="n"/>
      <c r="F1187" s="584" t="n"/>
      <c r="G1187" s="584" t="n"/>
      <c r="H1187" s="584" t="n"/>
      <c r="I1187" s="584" t="n"/>
      <c r="J1187" s="584" t="n"/>
      <c r="K1187" s="351" t="n"/>
      <c r="L1187" s="350" t="n"/>
      <c r="M1187" s="350" t="n"/>
      <c r="N1187" s="344" t="n"/>
      <c r="O1187" s="344" t="n"/>
      <c r="P1187" s="344" t="n"/>
      <c r="Q1187" s="344" t="n"/>
      <c r="R1187" s="344" t="n"/>
      <c r="S1187" s="344" t="n"/>
      <c r="T1187" s="344" t="n"/>
      <c r="U1187" s="344" t="n"/>
      <c r="V1187" s="344" t="n"/>
      <c r="W1187" s="344" t="n"/>
    </row>
    <row r="1188" customFormat="1" s="354">
      <c r="A1188" s="374" t="n"/>
      <c r="B1188" s="581" t="n"/>
      <c r="C1188" s="582" t="n"/>
      <c r="D1188" s="383" t="n"/>
      <c r="E1188" s="584" t="n"/>
      <c r="F1188" s="584" t="n"/>
      <c r="G1188" s="584" t="n"/>
      <c r="H1188" s="584" t="n"/>
      <c r="I1188" s="584" t="n"/>
      <c r="J1188" s="584" t="n"/>
      <c r="K1188" s="351" t="n"/>
      <c r="L1188" s="350" t="n"/>
      <c r="M1188" s="350" t="n"/>
      <c r="N1188" s="344" t="n"/>
      <c r="O1188" s="344" t="n"/>
      <c r="P1188" s="344" t="n"/>
      <c r="Q1188" s="344" t="n"/>
      <c r="R1188" s="344" t="n"/>
      <c r="S1188" s="344" t="n"/>
      <c r="T1188" s="344" t="n"/>
      <c r="U1188" s="344" t="n"/>
      <c r="V1188" s="344" t="n"/>
      <c r="W1188" s="344" t="n"/>
    </row>
    <row r="1189" customFormat="1" s="354">
      <c r="A1189" s="374" t="n"/>
      <c r="B1189" s="581" t="n"/>
      <c r="C1189" s="582" t="n"/>
      <c r="D1189" s="383" t="n"/>
      <c r="E1189" s="584" t="n"/>
      <c r="F1189" s="584" t="n"/>
      <c r="G1189" s="584" t="n"/>
      <c r="H1189" s="584" t="n"/>
      <c r="I1189" s="584" t="n"/>
      <c r="J1189" s="584" t="n"/>
      <c r="K1189" s="351" t="n"/>
      <c r="L1189" s="350" t="n"/>
      <c r="M1189" s="350" t="n"/>
      <c r="N1189" s="344" t="n"/>
      <c r="O1189" s="344" t="n"/>
      <c r="P1189" s="344" t="n"/>
      <c r="Q1189" s="344" t="n"/>
      <c r="R1189" s="344" t="n"/>
      <c r="S1189" s="344" t="n"/>
      <c r="T1189" s="344" t="n"/>
      <c r="U1189" s="344" t="n"/>
      <c r="V1189" s="344" t="n"/>
      <c r="W1189" s="344" t="n"/>
    </row>
    <row r="1190" customFormat="1" s="354">
      <c r="A1190" s="374" t="n"/>
      <c r="B1190" s="581" t="n"/>
      <c r="C1190" s="582" t="n"/>
      <c r="D1190" s="383" t="n"/>
      <c r="E1190" s="584" t="n"/>
      <c r="F1190" s="584" t="n"/>
      <c r="G1190" s="584" t="n"/>
      <c r="H1190" s="584" t="n"/>
      <c r="I1190" s="584" t="n"/>
      <c r="J1190" s="584" t="n"/>
      <c r="K1190" s="351" t="n"/>
      <c r="L1190" s="350" t="n"/>
      <c r="M1190" s="350" t="n"/>
      <c r="N1190" s="344" t="n"/>
      <c r="O1190" s="344" t="n"/>
      <c r="P1190" s="344" t="n"/>
      <c r="Q1190" s="344" t="n"/>
      <c r="R1190" s="344" t="n"/>
      <c r="S1190" s="344" t="n"/>
      <c r="T1190" s="344" t="n"/>
      <c r="U1190" s="344" t="n"/>
      <c r="V1190" s="344" t="n"/>
      <c r="W1190" s="344" t="n"/>
    </row>
    <row r="1191" customFormat="1" s="354">
      <c r="A1191" s="374" t="n"/>
      <c r="B1191" s="581" t="n"/>
      <c r="C1191" s="582" t="n"/>
      <c r="D1191" s="383" t="n"/>
      <c r="E1191" s="584" t="n"/>
      <c r="F1191" s="584" t="n"/>
      <c r="G1191" s="584" t="n"/>
      <c r="H1191" s="584" t="n"/>
      <c r="I1191" s="584" t="n"/>
      <c r="J1191" s="584" t="n"/>
      <c r="K1191" s="351" t="n"/>
      <c r="L1191" s="350" t="n"/>
      <c r="M1191" s="350" t="n"/>
      <c r="N1191" s="344" t="n"/>
      <c r="O1191" s="344" t="n"/>
      <c r="P1191" s="344" t="n"/>
      <c r="Q1191" s="344" t="n"/>
      <c r="R1191" s="344" t="n"/>
      <c r="S1191" s="344" t="n"/>
      <c r="T1191" s="344" t="n"/>
      <c r="U1191" s="344" t="n"/>
      <c r="V1191" s="344" t="n"/>
      <c r="W1191" s="344" t="n"/>
    </row>
    <row r="1192" customFormat="1" s="354">
      <c r="A1192" s="374" t="n"/>
      <c r="B1192" s="581" t="n"/>
      <c r="C1192" s="582" t="n"/>
      <c r="D1192" s="383" t="n"/>
      <c r="E1192" s="584" t="n"/>
      <c r="F1192" s="584" t="n"/>
      <c r="G1192" s="584" t="n"/>
      <c r="H1192" s="584" t="n"/>
      <c r="I1192" s="584" t="n"/>
      <c r="J1192" s="584" t="n"/>
      <c r="K1192" s="351" t="n"/>
      <c r="L1192" s="350" t="n"/>
      <c r="M1192" s="350" t="n"/>
      <c r="N1192" s="344" t="n"/>
      <c r="O1192" s="344" t="n"/>
      <c r="P1192" s="344" t="n"/>
      <c r="Q1192" s="344" t="n"/>
      <c r="R1192" s="344" t="n"/>
      <c r="S1192" s="344" t="n"/>
      <c r="T1192" s="344" t="n"/>
      <c r="U1192" s="344" t="n"/>
      <c r="V1192" s="344" t="n"/>
      <c r="W1192" s="344" t="n"/>
    </row>
    <row r="1193">
      <c r="A1193" s="374" t="n"/>
      <c r="B1193" s="581" t="n"/>
      <c r="C1193" s="582" t="n"/>
      <c r="D1193" s="383" t="n"/>
      <c r="E1193" s="584" t="n"/>
      <c r="F1193" s="584" t="n"/>
      <c r="G1193" s="584" t="n"/>
      <c r="H1193" s="584" t="n"/>
      <c r="I1193" s="584" t="n"/>
      <c r="J1193" s="584" t="n"/>
      <c r="K1193" s="351" t="n"/>
      <c r="L1193" s="350" t="n"/>
      <c r="M1193" s="350" t="n"/>
    </row>
    <row r="1194">
      <c r="A1194" s="374" t="n"/>
      <c r="B1194" s="581" t="n"/>
      <c r="C1194" s="582" t="n"/>
      <c r="D1194" s="383" t="n"/>
      <c r="E1194" s="584" t="n"/>
      <c r="F1194" s="584" t="n"/>
      <c r="G1194" s="584" t="n"/>
      <c r="H1194" s="584" t="n"/>
      <c r="I1194" s="584" t="n"/>
      <c r="J1194" s="584" t="n"/>
      <c r="K1194" s="351" t="n"/>
      <c r="L1194" s="350" t="n"/>
      <c r="M1194" s="350" t="n"/>
    </row>
    <row r="1195">
      <c r="A1195" s="374" t="n"/>
      <c r="B1195" s="581" t="n"/>
      <c r="C1195" s="582" t="n"/>
      <c r="D1195" s="383" t="n"/>
      <c r="E1195" s="584" t="n"/>
      <c r="F1195" s="584" t="n"/>
      <c r="G1195" s="584" t="n"/>
      <c r="H1195" s="584" t="n"/>
      <c r="I1195" s="584" t="n"/>
      <c r="J1195" s="584" t="n"/>
      <c r="K1195" s="351" t="n"/>
      <c r="L1195" s="350" t="n"/>
      <c r="M1195" s="350" t="n"/>
    </row>
    <row r="1196">
      <c r="A1196" s="374" t="n"/>
      <c r="B1196" s="581" t="n"/>
      <c r="C1196" s="582" t="n"/>
      <c r="D1196" s="383" t="n"/>
      <c r="E1196" s="584" t="n"/>
      <c r="F1196" s="584" t="n"/>
      <c r="G1196" s="584" t="n"/>
      <c r="H1196" s="584" t="n"/>
      <c r="I1196" s="584" t="n"/>
      <c r="J1196" s="584" t="n"/>
      <c r="K1196" s="351" t="n"/>
      <c r="L1196" s="350" t="n"/>
      <c r="M1196" s="350" t="n"/>
    </row>
    <row r="1197">
      <c r="A1197" s="374" t="n"/>
      <c r="B1197" s="581" t="n"/>
      <c r="C1197" s="582" t="n"/>
      <c r="D1197" s="383" t="n"/>
      <c r="E1197" s="584" t="n"/>
      <c r="F1197" s="584" t="n"/>
      <c r="G1197" s="584" t="n"/>
      <c r="H1197" s="584" t="n"/>
      <c r="I1197" s="584" t="n"/>
      <c r="J1197" s="584" t="n"/>
      <c r="K1197" s="351" t="n"/>
      <c r="L1197" s="350" t="n"/>
      <c r="M1197" s="350" t="n"/>
    </row>
    <row r="1198">
      <c r="A1198" s="374" t="n"/>
      <c r="B1198" s="581" t="n"/>
      <c r="C1198" s="582" t="n"/>
      <c r="D1198" s="383" t="n"/>
      <c r="E1198" s="584" t="n"/>
      <c r="F1198" s="584" t="n"/>
      <c r="G1198" s="584" t="n"/>
      <c r="H1198" s="584" t="n"/>
      <c r="I1198" s="584" t="n"/>
      <c r="J1198" s="584" t="n"/>
      <c r="K1198" s="351" t="n"/>
      <c r="L1198" s="350" t="n"/>
      <c r="M1198" s="350" t="n"/>
    </row>
    <row r="1199">
      <c r="A1199" s="374" t="n"/>
      <c r="B1199" s="602" t="n"/>
      <c r="C1199" s="603" t="n"/>
      <c r="D1199" s="386" t="n"/>
      <c r="E1199" s="584" t="n"/>
      <c r="F1199" s="584" t="n"/>
      <c r="G1199" s="584" t="n"/>
      <c r="H1199" s="584" t="n"/>
      <c r="I1199" s="584" t="n"/>
      <c r="J1199" s="584" t="n"/>
      <c r="K1199" s="351" t="n"/>
      <c r="L1199" s="388" t="n"/>
      <c r="M1199" s="387" t="n"/>
    </row>
    <row r="1200">
      <c r="A1200" s="357" t="n"/>
      <c r="B1200" s="581" t="n"/>
      <c r="C1200" s="582" t="n"/>
      <c r="D1200" s="583" t="n"/>
      <c r="E1200" s="584" t="n"/>
      <c r="F1200" s="350" t="n"/>
      <c r="G1200" s="350" t="n"/>
      <c r="H1200" s="350" t="n"/>
      <c r="I1200" s="350" t="n"/>
      <c r="J1200" s="350" t="n"/>
      <c r="K1200" s="351" t="n"/>
      <c r="L1200" s="587" t="inlineStr">
        <is>
          <t>../開発規格書/久保レシピ修正版/ＱＣＳ/【手順書】みかんの牛乳寒天（白鳥）.xlsx</t>
        </is>
      </c>
      <c r="M1200" s="350" t="n"/>
    </row>
    <row r="1201">
      <c r="A1201" s="345" t="n"/>
      <c r="B1201" s="581" t="n"/>
      <c r="C1201" s="582" t="n"/>
      <c r="D1201" s="583" t="n"/>
      <c r="E1201" s="584" t="n"/>
      <c r="F1201" s="350" t="n"/>
      <c r="G1201" s="350" t="n"/>
      <c r="H1201" s="350" t="n"/>
      <c r="I1201" s="350" t="n"/>
      <c r="J1201" s="350" t="n"/>
      <c r="K1201" s="351" t="n"/>
      <c r="L1201" s="350" t="n"/>
      <c r="M1201" s="350" t="n"/>
    </row>
    <row r="1202">
      <c r="A1202" s="345" t="n"/>
      <c r="B1202" s="581" t="n"/>
      <c r="C1202" s="582" t="n"/>
      <c r="D1202" s="583" t="n"/>
      <c r="E1202" s="584" t="n"/>
      <c r="F1202" s="350" t="n"/>
      <c r="G1202" s="350" t="n"/>
      <c r="H1202" s="350" t="n"/>
      <c r="I1202" s="350" t="n"/>
      <c r="J1202" s="350" t="n"/>
      <c r="K1202" s="351" t="n"/>
      <c r="L1202" s="350" t="n"/>
      <c r="M1202" s="350" t="n"/>
    </row>
    <row r="1203">
      <c r="A1203" s="345" t="n"/>
      <c r="B1203" s="581" t="n"/>
      <c r="C1203" s="582" t="n"/>
      <c r="D1203" s="583" t="n"/>
      <c r="E1203" s="595" t="n"/>
      <c r="F1203" s="350" t="n"/>
      <c r="G1203" s="350" t="n"/>
      <c r="H1203" s="350" t="n"/>
      <c r="I1203" s="350" t="n"/>
      <c r="J1203" s="350" t="n"/>
      <c r="K1203" s="351" t="n"/>
      <c r="L1203" s="355" t="inlineStr">
        <is>
          <t>2841000169629_【ＱＣＳ】まっしろミルクプリン液.xlsx</t>
        </is>
      </c>
      <c r="M1203" s="350" t="n"/>
    </row>
    <row r="1204">
      <c r="A1204" s="345" t="n"/>
      <c r="B1204" s="581" t="n"/>
      <c r="C1204" s="582" t="n"/>
      <c r="D1204" s="583" t="n"/>
      <c r="E1204" s="584" t="n"/>
      <c r="F1204" s="350" t="n"/>
      <c r="G1204" s="350" t="n"/>
      <c r="H1204" s="350" t="n"/>
      <c r="I1204" s="350" t="n"/>
      <c r="J1204" s="350" t="n"/>
      <c r="K1204" s="351" t="n"/>
      <c r="L1204" s="355" t="inlineStr">
        <is>
          <t>2841000168554_【ＱＣＳ】ゼラチンふやかし.xlsx</t>
        </is>
      </c>
      <c r="M1204" s="350" t="n"/>
    </row>
    <row r="1205">
      <c r="A1205" s="345" t="n"/>
      <c r="B1205" s="581" t="n"/>
      <c r="C1205" s="582" t="n"/>
      <c r="D1205" s="583" t="n"/>
      <c r="E1205" s="584" t="n"/>
      <c r="F1205" s="350" t="n"/>
      <c r="G1205" s="350" t="n"/>
      <c r="H1205" s="350" t="n"/>
      <c r="I1205" s="350" t="n"/>
      <c r="J1205" s="350" t="n"/>
      <c r="K1205" s="351" t="n"/>
      <c r="L1205" s="587" t="inlineStr">
        <is>
          <t>../開発規格書/久保レシピ修正版/ＱＣＳ/8月22日【手順書】お箸でつまんでわらびもち%20小（白鳥工場）.xlsx</t>
        </is>
      </c>
      <c r="M1205" s="350" t="n"/>
    </row>
    <row r="1206">
      <c r="A1206" s="345" t="n"/>
      <c r="B1206" s="581" t="n"/>
      <c r="C1206" s="582" t="n"/>
      <c r="D1206" s="583" t="n"/>
      <c r="E1206" s="584" t="n"/>
      <c r="F1206" s="350" t="n"/>
      <c r="G1206" s="350" t="n"/>
      <c r="H1206" s="350" t="n"/>
      <c r="I1206" s="350" t="n"/>
      <c r="J1206" s="350" t="n"/>
      <c r="K1206" s="351" t="n"/>
      <c r="L1206" s="350" t="n"/>
      <c r="M1206" s="350" t="n"/>
    </row>
    <row r="1207">
      <c r="A1207" s="345" t="n"/>
      <c r="B1207" s="581" t="n"/>
      <c r="C1207" s="582" t="n"/>
      <c r="D1207" s="583" t="n"/>
      <c r="E1207" s="584" t="n"/>
      <c r="F1207" s="350" t="n"/>
      <c r="G1207" s="350" t="n"/>
      <c r="H1207" s="350" t="n"/>
      <c r="I1207" s="350" t="n"/>
      <c r="J1207" s="350" t="n"/>
      <c r="K1207" s="351" t="n"/>
      <c r="L1207" s="350" t="n"/>
      <c r="M1207" s="350" t="n"/>
    </row>
    <row r="1208">
      <c r="A1208" s="345" t="n"/>
      <c r="B1208" s="581" t="n"/>
      <c r="C1208" s="582" t="n"/>
      <c r="D1208" s="583" t="n"/>
      <c r="E1208" s="584" t="n"/>
      <c r="F1208" s="350" t="n"/>
      <c r="G1208" s="350" t="n"/>
      <c r="H1208" s="350" t="n"/>
      <c r="I1208" s="350" t="n"/>
      <c r="J1208" s="350" t="n"/>
      <c r="K1208" s="351" t="n"/>
      <c r="L1208" s="350" t="n"/>
      <c r="M1208" s="350" t="n"/>
    </row>
    <row r="1209">
      <c r="A1209" s="345" t="n"/>
      <c r="B1209" s="581" t="n"/>
      <c r="C1209" s="582" t="n"/>
      <c r="D1209" s="583" t="n"/>
      <c r="E1209" s="584" t="n"/>
      <c r="F1209" s="350" t="n"/>
      <c r="G1209" s="350" t="n"/>
      <c r="H1209" s="350" t="n"/>
      <c r="I1209" s="350" t="n"/>
      <c r="J1209" s="350" t="n"/>
      <c r="K1209" s="351" t="n"/>
      <c r="L1209" s="355" t="inlineStr">
        <is>
          <t>../開発規格書/久保レシピ修正版/ＱＣＳ/6月19日【手順書】お箸でつまんで抹茶わらび餅（白鳥工場）.xlsx</t>
        </is>
      </c>
      <c r="M1209" s="350" t="n"/>
    </row>
    <row r="1210">
      <c r="A1210" s="345" t="n"/>
      <c r="B1210" s="581" t="n"/>
      <c r="C1210" s="582" t="n"/>
      <c r="D1210" s="583" t="n"/>
      <c r="E1210" s="584" t="n"/>
      <c r="F1210" s="350" t="n"/>
      <c r="G1210" s="350" t="n"/>
      <c r="H1210" s="350" t="n"/>
      <c r="I1210" s="350" t="n"/>
      <c r="J1210" s="350" t="n"/>
      <c r="K1210" s="351" t="n"/>
      <c r="L1210" s="355" t="inlineStr">
        <is>
          <t>../開発規格書/久保レシピ修正版/ＱＣＳ/6月19日【手順書】お箸でつまんで抹茶わらび餅（白鳥工場）.xlsx</t>
        </is>
      </c>
      <c r="M1210" s="350" t="n"/>
    </row>
    <row r="1211">
      <c r="A1211" s="345" t="n"/>
      <c r="B1211" s="581" t="n"/>
      <c r="C1211" s="582" t="n"/>
      <c r="D1211" s="583" t="n"/>
      <c r="E1211" s="584" t="n"/>
      <c r="F1211" s="350" t="n"/>
      <c r="G1211" s="350" t="n"/>
      <c r="H1211" s="350" t="n"/>
      <c r="I1211" s="350" t="n"/>
      <c r="J1211" s="350" t="n"/>
      <c r="K1211" s="351" t="n"/>
      <c r="L1211" s="350" t="n"/>
      <c r="M1211" s="350" t="n"/>
    </row>
    <row r="1212">
      <c r="A1212" s="345" t="n"/>
      <c r="B1212" s="581" t="n"/>
      <c r="C1212" s="582" t="n"/>
      <c r="D1212" s="583" t="n"/>
      <c r="E1212" s="584" t="n"/>
      <c r="F1212" s="350" t="n"/>
      <c r="G1212" s="350" t="n"/>
      <c r="H1212" s="350" t="n"/>
      <c r="I1212" s="350" t="n"/>
      <c r="J1212" s="350" t="n"/>
      <c r="K1212" s="351" t="n"/>
      <c r="L1212" s="350" t="n"/>
      <c r="M1212" s="350" t="n"/>
    </row>
    <row r="1213">
      <c r="A1213" s="345" t="n"/>
      <c r="B1213" s="581" t="n"/>
      <c r="C1213" s="582" t="n"/>
      <c r="D1213" s="583" t="n"/>
      <c r="E1213" s="584" t="n"/>
      <c r="F1213" s="350" t="n"/>
      <c r="G1213" s="350" t="n"/>
      <c r="H1213" s="350" t="n"/>
      <c r="I1213" s="350" t="n"/>
      <c r="J1213" s="350" t="n"/>
      <c r="K1213" s="351" t="n"/>
      <c r="L1213" s="355" t="inlineStr">
        <is>
          <t>2841000180204_【ＱＣＳ】割卵.xlsx</t>
        </is>
      </c>
      <c r="M1213" s="350" t="n"/>
    </row>
    <row r="1214">
      <c r="A1214" s="345" t="n"/>
      <c r="B1214" s="581" t="n"/>
      <c r="C1214" s="582" t="n"/>
      <c r="D1214" s="583" t="n"/>
      <c r="E1214" s="584" t="n"/>
      <c r="F1214" s="350" t="n"/>
      <c r="G1214" s="350" t="n"/>
      <c r="H1214" s="350" t="n"/>
      <c r="I1214" s="350" t="n"/>
      <c r="J1214" s="350" t="n"/>
      <c r="K1214" s="351" t="n"/>
      <c r="L1214" s="350" t="n"/>
      <c r="M1214" s="350" t="n"/>
    </row>
    <row r="1215">
      <c r="A1215" s="345" t="n"/>
      <c r="B1215" s="581" t="n"/>
      <c r="C1215" s="582" t="n"/>
      <c r="D1215" s="583" t="n"/>
      <c r="E1215" s="584" t="n"/>
      <c r="F1215" s="350" t="n"/>
      <c r="G1215" s="350" t="n"/>
      <c r="H1215" s="350" t="n"/>
      <c r="I1215" s="350" t="n"/>
      <c r="J1215" s="350" t="n"/>
      <c r="K1215" s="351" t="n"/>
      <c r="L1215" s="350" t="n"/>
      <c r="M1215" s="350" t="n"/>
    </row>
    <row r="1216">
      <c r="A1216" s="345" t="n"/>
      <c r="B1216" s="581" t="n"/>
      <c r="C1216" s="582" t="n"/>
      <c r="D1216" s="583" t="n"/>
      <c r="E1216" s="584" t="n"/>
      <c r="F1216" s="350" t="n"/>
      <c r="G1216" s="350" t="n"/>
      <c r="H1216" s="350" t="n"/>
      <c r="I1216" s="350" t="n"/>
      <c r="J1216" s="350" t="n"/>
      <c r="K1216" s="351" t="n"/>
      <c r="L1216" s="350" t="n"/>
      <c r="M1216" s="350" t="n"/>
    </row>
    <row r="1217">
      <c r="A1217" s="345" t="n"/>
      <c r="B1217" s="581" t="n"/>
      <c r="C1217" s="582" t="n"/>
      <c r="D1217" s="583" t="n"/>
      <c r="E1217" s="584" t="n"/>
      <c r="F1217" s="350" t="n"/>
      <c r="G1217" s="350" t="n"/>
      <c r="H1217" s="350" t="n"/>
      <c r="I1217" s="350" t="n"/>
      <c r="J1217" s="350" t="n"/>
      <c r="K1217" s="351" t="n"/>
      <c r="L1217" s="350" t="n"/>
      <c r="M1217" s="350" t="n"/>
    </row>
    <row r="1218">
      <c r="A1218" s="345" t="n"/>
      <c r="B1218" s="581" t="n"/>
      <c r="C1218" s="582" t="n"/>
      <c r="D1218" s="583" t="n"/>
      <c r="E1218" s="584" t="n"/>
      <c r="F1218" s="350" t="n"/>
      <c r="G1218" s="350" t="n"/>
      <c r="H1218" s="350" t="n"/>
      <c r="I1218" s="350" t="n"/>
      <c r="J1218" s="350" t="n"/>
      <c r="K1218" s="351" t="n"/>
      <c r="L1218" s="350" t="n"/>
      <c r="M1218" s="350" t="n"/>
    </row>
    <row r="1219">
      <c r="A1219" s="345" t="n"/>
      <c r="B1219" s="581" t="n"/>
      <c r="C1219" s="582" t="n"/>
      <c r="D1219" s="583" t="n"/>
      <c r="E1219" s="584" t="n"/>
      <c r="F1219" s="350" t="n"/>
      <c r="G1219" s="350" t="n"/>
      <c r="H1219" s="350" t="n"/>
      <c r="I1219" s="350" t="n"/>
      <c r="J1219" s="350" t="n"/>
      <c r="K1219" s="351" t="n"/>
      <c r="L1219" s="350" t="n"/>
      <c r="M1219" s="350" t="n"/>
    </row>
    <row r="1220">
      <c r="A1220" s="345" t="n"/>
      <c r="B1220" s="581" t="n"/>
      <c r="C1220" s="582" t="n"/>
      <c r="D1220" s="583" t="n"/>
      <c r="E1220" s="584" t="n"/>
      <c r="F1220" s="350" t="n"/>
      <c r="G1220" s="350" t="n"/>
      <c r="H1220" s="350" t="n"/>
      <c r="I1220" s="350" t="n"/>
      <c r="J1220" s="350" t="n"/>
      <c r="K1220" s="351" t="n"/>
      <c r="L1220" s="350" t="n"/>
      <c r="M1220" s="350" t="n"/>
    </row>
    <row r="1221">
      <c r="A1221" s="345" t="n"/>
      <c r="B1221" s="581" t="n"/>
      <c r="C1221" s="582" t="n"/>
      <c r="D1221" s="583" t="n"/>
      <c r="E1221" s="584" t="n"/>
      <c r="F1221" s="350" t="n"/>
      <c r="G1221" s="350" t="n"/>
      <c r="H1221" s="350" t="n"/>
      <c r="I1221" s="350" t="n"/>
      <c r="J1221" s="350" t="n"/>
      <c r="K1221" s="351" t="n"/>
      <c r="L1221" s="350" t="n"/>
      <c r="M1221" s="350" t="n"/>
    </row>
    <row r="1222">
      <c r="A1222" s="345" t="n"/>
      <c r="B1222" s="581" t="n"/>
      <c r="C1222" s="582" t="n"/>
      <c r="D1222" s="583" t="n"/>
      <c r="E1222" s="584" t="n"/>
      <c r="F1222" s="350" t="n"/>
      <c r="G1222" s="350" t="n"/>
      <c r="H1222" s="350" t="n"/>
      <c r="I1222" s="350" t="n"/>
      <c r="J1222" s="350" t="n"/>
      <c r="K1222" s="351" t="n"/>
      <c r="L1222" s="355" t="inlineStr">
        <is>
          <t>../開発規格書/久保レシピ修正版/ＱＣＳ/【手順書】たっぷりクリームパイ.xlsx</t>
        </is>
      </c>
      <c r="M1222" s="350" t="n"/>
    </row>
    <row r="1223">
      <c r="A1223" s="345" t="n"/>
      <c r="B1223" s="581" t="n"/>
      <c r="C1223" s="582" t="n"/>
      <c r="D1223" s="583" t="n"/>
      <c r="E1223" s="584" t="n"/>
      <c r="F1223" s="350" t="n"/>
      <c r="G1223" s="350" t="n"/>
      <c r="H1223" s="350" t="n"/>
      <c r="I1223" s="350" t="n"/>
      <c r="J1223" s="350" t="n"/>
      <c r="K1223" s="351" t="n"/>
      <c r="L1223" s="350" t="n"/>
      <c r="M1223" s="350" t="n"/>
    </row>
    <row r="1224">
      <c r="A1224" s="345" t="n"/>
      <c r="B1224" s="581" t="n"/>
      <c r="C1224" s="582" t="n"/>
      <c r="D1224" s="583" t="n"/>
      <c r="E1224" s="584" t="n"/>
      <c r="F1224" s="350" t="n"/>
      <c r="G1224" s="350" t="n"/>
      <c r="H1224" s="350" t="n"/>
      <c r="I1224" s="350" t="n"/>
      <c r="J1224" s="350" t="n"/>
      <c r="K1224" s="351" t="n"/>
      <c r="L1224" s="355" t="inlineStr">
        <is>
          <t>2841000180204_【ＱＣＳ】割卵.xlsx</t>
        </is>
      </c>
    </row>
    <row r="1225">
      <c r="A1225" s="345" t="n"/>
      <c r="B1225" s="581" t="n"/>
      <c r="C1225" s="582" t="n"/>
      <c r="D1225" s="583" t="n"/>
      <c r="E1225" s="584" t="n"/>
      <c r="F1225" s="350" t="n"/>
      <c r="G1225" s="350" t="n"/>
      <c r="H1225" s="350" t="n"/>
      <c r="I1225" s="350" t="n"/>
      <c r="J1225" s="350" t="n"/>
      <c r="K1225" s="351" t="n"/>
      <c r="L1225" s="593" t="inlineStr">
        <is>
          <t>../開発規格書/久保レシピ修正版/ＱＣＳ/6月27日【手順書】クリーム爆盛！バニラロール（白鳥工場）.xlsx</t>
        </is>
      </c>
    </row>
    <row r="1226">
      <c r="A1226" s="345" t="n"/>
      <c r="B1226" s="581" t="n"/>
      <c r="C1226" s="582" t="n"/>
      <c r="D1226" s="583" t="n"/>
      <c r="E1226" s="584" t="n"/>
      <c r="F1226" s="350" t="n"/>
      <c r="G1226" s="350" t="n"/>
      <c r="H1226" s="350" t="n"/>
      <c r="I1226" s="350" t="n"/>
      <c r="J1226" s="350" t="n"/>
      <c r="K1226" s="351" t="n"/>
      <c r="L1226" s="593" t="inlineStr">
        <is>
          <t>../開発規格書/久保レシピ修正版/ＱＣＳ/6月27日【手順書】クリーム爆盛！バニラロール（白鳥工場）.xlsx</t>
        </is>
      </c>
    </row>
    <row r="1227">
      <c r="A1227" s="345" t="n"/>
      <c r="B1227" s="581" t="n"/>
      <c r="C1227" s="582" t="n"/>
      <c r="D1227" s="583" t="n"/>
      <c r="E1227" s="584" t="n"/>
      <c r="F1227" s="350" t="n"/>
      <c r="G1227" s="350" t="n"/>
      <c r="H1227" s="350" t="n"/>
      <c r="I1227" s="350" t="n"/>
      <c r="J1227" s="350" t="n"/>
      <c r="K1227" s="351" t="n"/>
      <c r="L1227" s="593" t="inlineStr">
        <is>
          <t>../開発規格書/久保レシピ修正版/ＱＣＳ/6月27日【手順書】クリーム爆盛！バニラロール（白鳥工場）.xlsx</t>
        </is>
      </c>
    </row>
    <row r="1228">
      <c r="A1228" s="345" t="n"/>
      <c r="B1228" s="581" t="n"/>
      <c r="C1228" s="582" t="n"/>
      <c r="D1228" s="583" t="n"/>
      <c r="E1228" s="584" t="n"/>
      <c r="F1228" s="350" t="n"/>
      <c r="G1228" s="350" t="n"/>
      <c r="H1228" s="350" t="n"/>
      <c r="I1228" s="350" t="n"/>
      <c r="J1228" s="350" t="n"/>
      <c r="K1228" s="351" t="n"/>
      <c r="L1228" s="593" t="inlineStr">
        <is>
          <t>../開発規格書/久保レシピ修正版/ＱＣＳ/6月27日【手順書】クリーム爆盛！バニラロール（白鳥工場）.xlsx</t>
        </is>
      </c>
    </row>
    <row r="1229">
      <c r="A1229" s="345" t="n"/>
      <c r="B1229" s="581" t="n"/>
      <c r="C1229" s="582" t="n"/>
      <c r="D1229" s="583" t="n"/>
      <c r="E1229" s="584" t="n"/>
      <c r="F1229" s="350" t="n"/>
      <c r="G1229" s="350" t="n"/>
      <c r="H1229" s="350" t="n"/>
      <c r="I1229" s="350" t="n"/>
      <c r="J1229" s="350" t="n"/>
      <c r="K1229" s="351" t="n"/>
      <c r="L1229" s="593" t="inlineStr">
        <is>
          <t>../開発規格書/久保レシピ修正版/ＱＣＳ/6月27日【手順書】クリーム爆盛！バニラロール（白鳥工場）.xlsx</t>
        </is>
      </c>
      <c r="M1229" s="350" t="n"/>
    </row>
    <row r="1230">
      <c r="A1230" s="345" t="n"/>
      <c r="B1230" s="581" t="n"/>
      <c r="C1230" s="582" t="n"/>
      <c r="D1230" s="583" t="n"/>
      <c r="E1230" s="584" t="n"/>
      <c r="F1230" s="350" t="n"/>
      <c r="G1230" s="350" t="n"/>
      <c r="H1230" s="350" t="n"/>
      <c r="I1230" s="350" t="n"/>
      <c r="J1230" s="350" t="n"/>
      <c r="K1230" s="351" t="n"/>
      <c r="L1230" s="593" t="inlineStr">
        <is>
          <t>../開発規格書/久保レシピ修正版/ＱＣＳ/6月27日【手順書】クリーム爆盛！バニラロール（白鳥工場）.xlsx</t>
        </is>
      </c>
      <c r="M1230" s="350" t="n"/>
    </row>
    <row r="1231">
      <c r="A1231" s="345" t="n"/>
      <c r="B1231" s="581" t="n"/>
      <c r="C1231" s="582" t="n"/>
      <c r="D1231" s="583" t="n"/>
      <c r="E1231" s="584" t="n"/>
      <c r="F1231" s="350" t="n"/>
      <c r="G1231" s="350" t="n"/>
      <c r="H1231" s="350" t="n"/>
      <c r="I1231" s="350" t="n"/>
      <c r="J1231" s="350" t="n"/>
      <c r="K1231" s="351" t="n"/>
      <c r="L1231" s="587" t="inlineStr">
        <is>
          <t>../開発規格書/久保レシピ修正版/ＱＣＳ/【手順書】自社製ホイップの卵プリン（白鳥工場）.xlsx</t>
        </is>
      </c>
      <c r="M1231" s="350" t="n"/>
    </row>
    <row r="1232">
      <c r="A1232" s="345" t="n"/>
      <c r="B1232" s="581" t="n"/>
      <c r="C1232" s="582" t="n"/>
      <c r="D1232" s="583" t="n"/>
      <c r="E1232" s="584" t="n"/>
      <c r="F1232" s="350" t="n"/>
      <c r="G1232" s="350" t="n"/>
      <c r="H1232" s="350" t="n"/>
      <c r="I1232" s="350" t="n"/>
      <c r="J1232" s="350" t="n"/>
      <c r="K1232" s="351" t="n"/>
      <c r="L1232" s="355" t="inlineStr">
        <is>
          <t>2841000180204_【ＱＣＳ】割卵.xlsx</t>
        </is>
      </c>
      <c r="M1232" s="350" t="n"/>
    </row>
    <row r="1233">
      <c r="A1233" s="345" t="n"/>
      <c r="B1233" s="581" t="n"/>
      <c r="C1233" s="582" t="n"/>
      <c r="D1233" s="583" t="n"/>
      <c r="E1233" s="584" t="n"/>
      <c r="F1233" s="350" t="n"/>
      <c r="G1233" s="350" t="n"/>
      <c r="H1233" s="350" t="n"/>
      <c r="I1233" s="350" t="n"/>
      <c r="J1233" s="350" t="n"/>
      <c r="K1233" s="351" t="n"/>
      <c r="L1233" s="350" t="n"/>
      <c r="M1233" s="350" t="n"/>
    </row>
    <row r="1234">
      <c r="A1234" s="345" t="n"/>
      <c r="B1234" s="581" t="n"/>
      <c r="C1234" s="582" t="n"/>
      <c r="D1234" s="583" t="n"/>
      <c r="E1234" s="584" t="n"/>
      <c r="F1234" s="350" t="n"/>
      <c r="G1234" s="350" t="n"/>
      <c r="H1234" s="350" t="n"/>
      <c r="I1234" s="350" t="n"/>
      <c r="J1234" s="350" t="n"/>
      <c r="K1234" s="351" t="n"/>
      <c r="L1234" s="350" t="n"/>
      <c r="M1234" s="350" t="n"/>
    </row>
    <row r="1235">
      <c r="A1235" s="345" t="n"/>
      <c r="B1235" s="581" t="n"/>
      <c r="C1235" s="582" t="n"/>
      <c r="D1235" s="583" t="n"/>
      <c r="E1235" s="584" t="n"/>
      <c r="F1235" s="350" t="n"/>
      <c r="G1235" s="350" t="n"/>
      <c r="H1235" s="350" t="n"/>
      <c r="I1235" s="350" t="n"/>
      <c r="J1235" s="350" t="n"/>
      <c r="K1235" s="351" t="n"/>
      <c r="L1235" s="350" t="n"/>
      <c r="M1235" s="350" t="n"/>
    </row>
    <row r="1236">
      <c r="A1236" s="345" t="n"/>
      <c r="B1236" s="581" t="n"/>
      <c r="C1236" s="582" t="n"/>
      <c r="D1236" s="583" t="n"/>
      <c r="E1236" s="584" t="n"/>
      <c r="F1236" s="350" t="n"/>
      <c r="G1236" s="350" t="n"/>
      <c r="H1236" s="350" t="n"/>
      <c r="I1236" s="350" t="n"/>
      <c r="J1236" s="350" t="n"/>
      <c r="K1236" s="351" t="n"/>
      <c r="L1236" s="350" t="n"/>
      <c r="M1236" s="350" t="n"/>
    </row>
    <row r="1237">
      <c r="A1237" s="345" t="n"/>
      <c r="B1237" s="581" t="n"/>
      <c r="C1237" s="582" t="n"/>
      <c r="D1237" s="583" t="n"/>
      <c r="E1237" s="584" t="n"/>
      <c r="F1237" s="350" t="n"/>
      <c r="G1237" s="350" t="n"/>
      <c r="H1237" s="350" t="n"/>
      <c r="I1237" s="350" t="n"/>
      <c r="J1237" s="350" t="n"/>
      <c r="K1237" s="351" t="n"/>
      <c r="L1237" s="350" t="n"/>
      <c r="M1237" s="350" t="n"/>
    </row>
    <row r="1238">
      <c r="A1238" s="345" t="n"/>
      <c r="B1238" s="581" t="n"/>
      <c r="C1238" s="582" t="n"/>
      <c r="D1238" s="583" t="n"/>
      <c r="E1238" s="584" t="n"/>
      <c r="F1238" s="350" t="n"/>
      <c r="G1238" s="350" t="n"/>
      <c r="H1238" s="350" t="n"/>
      <c r="I1238" s="350" t="n"/>
      <c r="J1238" s="350" t="n"/>
      <c r="K1238" s="351" t="n"/>
      <c r="L1238" s="350" t="n"/>
      <c r="M1238" s="350" t="n"/>
    </row>
    <row r="1239">
      <c r="A1239" s="345" t="n"/>
      <c r="B1239" s="581" t="n"/>
      <c r="C1239" s="582" t="n"/>
      <c r="D1239" s="583" t="n"/>
      <c r="E1239" s="584" t="n"/>
      <c r="F1239" s="350" t="n"/>
      <c r="G1239" s="350" t="n"/>
      <c r="H1239" s="350" t="n"/>
      <c r="I1239" s="350" t="n"/>
      <c r="J1239" s="350" t="n"/>
      <c r="K1239" s="351" t="n"/>
      <c r="L1239" s="350" t="n"/>
      <c r="M1239" s="350" t="n"/>
    </row>
    <row r="1240">
      <c r="A1240" s="345" t="n"/>
      <c r="B1240" s="581" t="n"/>
      <c r="C1240" s="582" t="n"/>
      <c r="D1240" s="583" t="n"/>
      <c r="E1240" s="584" t="n"/>
      <c r="F1240" s="350" t="n"/>
      <c r="G1240" s="350" t="n"/>
      <c r="H1240" s="350" t="n"/>
      <c r="I1240" s="350" t="n"/>
      <c r="J1240" s="350" t="n"/>
      <c r="K1240" s="351" t="n"/>
      <c r="L1240" s="350" t="n"/>
      <c r="M1240" s="350" t="n"/>
    </row>
    <row r="1241">
      <c r="A1241" s="345" t="n"/>
      <c r="B1241" s="581" t="n"/>
      <c r="C1241" s="582" t="n"/>
      <c r="D1241" s="583" t="n"/>
      <c r="E1241" s="595" t="n"/>
      <c r="F1241" s="350" t="n"/>
      <c r="G1241" s="350" t="n"/>
      <c r="H1241" s="350" t="n"/>
      <c r="I1241" s="350" t="n"/>
      <c r="J1241" s="350" t="n"/>
      <c r="K1241" s="351" t="n"/>
      <c r="L1241" s="350" t="n"/>
      <c r="M1241" s="350" t="n"/>
    </row>
    <row r="1242">
      <c r="A1242" s="345" t="n"/>
      <c r="B1242" s="581" t="n"/>
      <c r="C1242" s="582" t="n"/>
      <c r="D1242" s="583" t="n"/>
      <c r="E1242" s="584" t="n"/>
      <c r="F1242" s="350" t="n"/>
      <c r="G1242" s="350" t="n"/>
      <c r="H1242" s="350" t="n"/>
      <c r="I1242" s="350" t="n"/>
      <c r="J1242" s="350" t="n"/>
      <c r="K1242" s="351" t="n"/>
      <c r="L1242" s="350" t="n"/>
      <c r="M1242" s="350" t="n"/>
    </row>
    <row r="1243">
      <c r="A1243" s="345" t="n"/>
      <c r="B1243" s="581" t="n"/>
      <c r="C1243" s="582" t="n"/>
      <c r="D1243" s="583" t="n"/>
      <c r="E1243" s="584" t="n"/>
      <c r="F1243" s="350" t="n"/>
      <c r="G1243" s="350" t="n"/>
      <c r="H1243" s="350" t="n"/>
      <c r="I1243" s="350" t="n"/>
      <c r="J1243" s="350" t="n"/>
      <c r="K1243" s="351" t="n"/>
      <c r="L1243" s="350" t="n"/>
      <c r="M1243" s="350" t="n"/>
    </row>
    <row r="1244">
      <c r="A1244" s="345" t="n"/>
      <c r="B1244" s="581" t="n"/>
      <c r="C1244" s="582" t="n"/>
      <c r="D1244" s="583" t="n"/>
      <c r="E1244" s="584" t="n"/>
      <c r="F1244" s="350" t="n"/>
      <c r="G1244" s="350" t="n"/>
      <c r="H1244" s="350" t="n"/>
      <c r="I1244" s="350" t="n"/>
      <c r="J1244" s="350" t="n"/>
      <c r="K1244" s="351" t="n"/>
      <c r="L1244" s="355" t="inlineStr">
        <is>
          <t>2841000180204_【ＱＣＳ】割卵.xlsx</t>
        </is>
      </c>
      <c r="M1244" s="350" t="n"/>
    </row>
    <row r="1245">
      <c r="A1245" s="345" t="n"/>
      <c r="B1245" s="581" t="n"/>
      <c r="C1245" s="582" t="n"/>
      <c r="D1245" s="583" t="n"/>
      <c r="E1245" s="584" t="n"/>
      <c r="F1245" s="350" t="n"/>
      <c r="G1245" s="350" t="n"/>
      <c r="H1245" s="350" t="n"/>
      <c r="I1245" s="350" t="n"/>
      <c r="J1245" s="350" t="n"/>
      <c r="K1245" s="351" t="n"/>
      <c r="L1245" s="587" t="inlineStr">
        <is>
          <t>../開発規格書/久保レシピ修正版/ＱＣＳ/【商品規格書】カスタード&amp;ホイップシュー浜名産牛乳（白鳥）.xlsx</t>
        </is>
      </c>
      <c r="M1245" s="350" t="n"/>
    </row>
    <row r="1246">
      <c r="A1246" s="345" t="n"/>
      <c r="B1246" s="581" t="n"/>
      <c r="C1246" s="582" t="n"/>
      <c r="D1246" s="583" t="n"/>
      <c r="E1246" s="584" t="n"/>
      <c r="F1246" s="350" t="n"/>
      <c r="G1246" s="350" t="n"/>
      <c r="H1246" s="350" t="n"/>
      <c r="I1246" s="350" t="n"/>
      <c r="J1246" s="350" t="n"/>
      <c r="K1246" s="351" t="n"/>
      <c r="L1246" s="587" t="inlineStr">
        <is>
          <t>../開発規格書/久保レシピ修正版/ＱＣＳ/【商品規格書】カスタード&amp;ホイップシュー浜名産牛乳（白鳥）.xlsx</t>
        </is>
      </c>
      <c r="M1246" s="350" t="n"/>
    </row>
    <row r="1247">
      <c r="A1247" s="345" t="n"/>
      <c r="B1247" s="581" t="n"/>
      <c r="C1247" s="582" t="n"/>
      <c r="D1247" s="583" t="n"/>
      <c r="E1247" s="584" t="n"/>
      <c r="F1247" s="350" t="n"/>
      <c r="G1247" s="350" t="n"/>
      <c r="H1247" s="350" t="n"/>
      <c r="I1247" s="350" t="n"/>
      <c r="J1247" s="350" t="n"/>
      <c r="K1247" s="351" t="n"/>
      <c r="L1247" s="350" t="n"/>
      <c r="M1247" s="350" t="n"/>
    </row>
    <row r="1248">
      <c r="A1248" s="345" t="n"/>
      <c r="B1248" s="581" t="n"/>
      <c r="C1248" s="582" t="n"/>
      <c r="D1248" s="583" t="n"/>
      <c r="E1248" s="584" t="n"/>
      <c r="F1248" s="350" t="n"/>
      <c r="G1248" s="350" t="n"/>
      <c r="H1248" s="350" t="n"/>
      <c r="I1248" s="350" t="n"/>
      <c r="J1248" s="350" t="n"/>
      <c r="K1248" s="351" t="n"/>
      <c r="L1248" s="350" t="n"/>
      <c r="M1248" s="350" t="n"/>
    </row>
    <row r="1249">
      <c r="A1249" s="345" t="n"/>
      <c r="B1249" s="581" t="n"/>
      <c r="C1249" s="582" t="n"/>
      <c r="D1249" s="583" t="n"/>
      <c r="E1249" s="584" t="n"/>
      <c r="F1249" s="350" t="n"/>
      <c r="G1249" s="350" t="n"/>
      <c r="H1249" s="350" t="n"/>
      <c r="I1249" s="350" t="n"/>
      <c r="J1249" s="350" t="n"/>
      <c r="K1249" s="351" t="n"/>
      <c r="L1249" s="350" t="n"/>
      <c r="M1249" s="350" t="n"/>
    </row>
    <row r="1250">
      <c r="A1250" s="345" t="n"/>
      <c r="B1250" s="581" t="n"/>
      <c r="C1250" s="582" t="n"/>
      <c r="D1250" s="583" t="n"/>
      <c r="E1250" s="584" t="n"/>
      <c r="F1250" s="350" t="n"/>
      <c r="G1250" s="350" t="n"/>
      <c r="H1250" s="350" t="n"/>
      <c r="I1250" s="350" t="n"/>
      <c r="J1250" s="350" t="n"/>
      <c r="K1250" s="351" t="n"/>
      <c r="L1250" s="350" t="n"/>
      <c r="M1250" s="350" t="n"/>
    </row>
    <row r="1251">
      <c r="A1251" s="345" t="n"/>
      <c r="B1251" s="581" t="n"/>
      <c r="C1251" s="582" t="n"/>
      <c r="D1251" s="583" t="n"/>
      <c r="E1251" s="584" t="n"/>
      <c r="F1251" s="350" t="n"/>
      <c r="G1251" s="350" t="n"/>
      <c r="H1251" s="350" t="n"/>
      <c r="I1251" s="350" t="n"/>
      <c r="J1251" s="350" t="n"/>
      <c r="K1251" s="351" t="n"/>
      <c r="L1251" s="355" t="inlineStr">
        <is>
          <t>2841000180204_【ＱＣＳ】割卵.xlsx</t>
        </is>
      </c>
      <c r="M1251" s="350" t="n"/>
    </row>
    <row r="1252">
      <c r="A1252" s="345" t="n"/>
      <c r="B1252" s="581" t="n"/>
      <c r="C1252" s="582" t="n"/>
      <c r="D1252" s="583" t="n"/>
      <c r="E1252" s="584" t="n"/>
      <c r="F1252" s="350" t="n"/>
      <c r="G1252" s="350" t="n"/>
      <c r="H1252" s="350" t="n"/>
      <c r="I1252" s="350" t="n"/>
      <c r="J1252" s="350" t="n"/>
      <c r="K1252" s="351" t="n"/>
      <c r="L1252" s="350" t="n"/>
      <c r="M1252" s="350" t="n"/>
    </row>
    <row r="1253">
      <c r="A1253" s="345" t="n"/>
      <c r="B1253" s="581" t="n"/>
      <c r="C1253" s="582" t="n"/>
      <c r="D1253" s="583" t="n"/>
      <c r="E1253" s="584" t="n"/>
      <c r="F1253" s="350" t="n"/>
      <c r="G1253" s="350" t="n"/>
      <c r="H1253" s="350" t="n"/>
      <c r="I1253" s="350" t="n"/>
      <c r="J1253" s="350" t="n"/>
      <c r="K1253" s="351" t="n"/>
      <c r="L1253" s="355" t="inlineStr">
        <is>
          <t>2841000200681_【ＱＣＳ】ロール生地作成（バナナ）.xlsx</t>
        </is>
      </c>
      <c r="M1253" s="350" t="n"/>
    </row>
    <row r="1254">
      <c r="A1254" s="345" t="n"/>
      <c r="B1254" s="581" t="n"/>
      <c r="C1254" s="582" t="n"/>
      <c r="D1254" s="583" t="n"/>
      <c r="E1254" s="584" t="n"/>
      <c r="F1254" s="350" t="n"/>
      <c r="G1254" s="350" t="n"/>
      <c r="H1254" s="350" t="n"/>
      <c r="I1254" s="350" t="n"/>
      <c r="J1254" s="350" t="n"/>
      <c r="K1254" s="351" t="n"/>
      <c r="L1254" s="355" t="inlineStr">
        <is>
          <t>2841000200766_【ＱＣＳ】ロール生地焼成（バナナ）.xlsx</t>
        </is>
      </c>
      <c r="M1254" s="350" t="n"/>
    </row>
    <row r="1255">
      <c r="A1255" s="345" t="n"/>
      <c r="B1255" s="581" t="n"/>
      <c r="C1255" s="582" t="n"/>
      <c r="D1255" s="583" t="n"/>
      <c r="E1255" s="584" t="n"/>
      <c r="F1255" s="350" t="n"/>
      <c r="G1255" s="350" t="n"/>
      <c r="H1255" s="350" t="n"/>
      <c r="I1255" s="350" t="n"/>
      <c r="J1255" s="350" t="n"/>
      <c r="K1255" s="351" t="n"/>
      <c r="L1255" s="355" t="inlineStr">
        <is>
          <t>2841000200889_【ＱＣＳ】ロール生地カット（バナナ）.xlsx</t>
        </is>
      </c>
      <c r="M1255" s="350" t="n"/>
    </row>
    <row r="1256">
      <c r="A1256" s="345" t="n"/>
      <c r="B1256" s="581" t="n"/>
      <c r="C1256" s="582" t="n"/>
      <c r="D1256" s="583" t="n"/>
      <c r="E1256" s="584" t="n"/>
      <c r="F1256" s="350" t="n"/>
      <c r="G1256" s="350" t="n"/>
      <c r="H1256" s="350" t="n"/>
      <c r="I1256" s="350" t="n"/>
      <c r="J1256" s="350" t="n"/>
      <c r="K1256" s="351" t="n"/>
      <c r="L1256" s="355" t="inlineStr">
        <is>
          <t>2841000200193_【ＱＣＳ】バナナ消毒%20.xlsx</t>
        </is>
      </c>
      <c r="M1256" s="350" t="n"/>
    </row>
    <row r="1257">
      <c r="A1257" s="345" t="n"/>
      <c r="B1257" s="581" t="n"/>
      <c r="C1257" s="582" t="n"/>
      <c r="D1257" s="583" t="n"/>
      <c r="E1257" s="584" t="n"/>
      <c r="F1257" s="350" t="n"/>
      <c r="G1257" s="350" t="n"/>
      <c r="H1257" s="350" t="n"/>
      <c r="I1257" s="350" t="n"/>
      <c r="J1257" s="350" t="n"/>
      <c r="K1257" s="351" t="n"/>
      <c r="L1257" s="355" t="inlineStr">
        <is>
          <t>2841000200698_【ＱＣＳ】バナナ皮むき.xlsx</t>
        </is>
      </c>
      <c r="M1257" s="350" t="n"/>
    </row>
    <row r="1258">
      <c r="A1258" s="345" t="n"/>
      <c r="B1258" s="581" t="n"/>
      <c r="C1258" s="582" t="n"/>
      <c r="D1258" s="583" t="n"/>
      <c r="E1258" s="584" t="n"/>
      <c r="F1258" s="350" t="n"/>
      <c r="G1258" s="350" t="n"/>
      <c r="H1258" s="350" t="n"/>
      <c r="I1258" s="350" t="n"/>
      <c r="J1258" s="350" t="n"/>
      <c r="K1258" s="351" t="n"/>
      <c r="L1258" s="355" t="inlineStr">
        <is>
          <t>2841000180938_【ＱＣＳ】内製ホイップ（バニラ入り）.xlsx</t>
        </is>
      </c>
      <c r="M1258" s="350" t="n"/>
    </row>
    <row r="1259">
      <c r="A1259" s="357" t="n"/>
      <c r="B1259" s="581" t="n"/>
      <c r="C1259" s="582" t="n"/>
      <c r="D1259" s="583" t="n"/>
      <c r="E1259" s="584" t="n"/>
      <c r="F1259" s="350" t="n"/>
      <c r="G1259" s="350" t="n"/>
      <c r="H1259" s="350" t="n"/>
      <c r="I1259" s="350" t="n"/>
      <c r="J1259" s="350" t="n"/>
      <c r="K1259" s="351" t="n"/>
      <c r="L1259" s="350" t="n"/>
      <c r="M1259" s="350" t="n"/>
    </row>
    <row r="1260">
      <c r="A1260" s="345" t="n"/>
      <c r="B1260" s="581" t="n"/>
      <c r="C1260" s="582" t="n"/>
      <c r="D1260" s="583" t="n"/>
      <c r="E1260" s="584" t="n"/>
      <c r="F1260" s="350" t="n"/>
      <c r="G1260" s="350" t="n"/>
      <c r="H1260" s="350" t="n"/>
      <c r="I1260" s="350" t="n"/>
      <c r="J1260" s="350" t="n"/>
      <c r="K1260" s="351" t="n"/>
      <c r="L1260" s="350" t="n"/>
      <c r="M1260" s="350" t="n"/>
    </row>
    <row r="1261">
      <c r="A1261" s="345" t="n"/>
      <c r="B1261" s="581" t="n"/>
      <c r="C1261" s="582" t="n"/>
      <c r="D1261" s="583" t="n"/>
      <c r="E1261" s="584" t="n"/>
      <c r="F1261" s="350" t="n"/>
      <c r="G1261" s="350" t="n"/>
      <c r="H1261" s="350" t="n"/>
      <c r="I1261" s="350" t="n"/>
      <c r="J1261" s="350" t="n"/>
      <c r="K1261" s="351" t="n"/>
      <c r="L1261" s="350" t="n"/>
      <c r="M1261" s="350" t="n"/>
    </row>
    <row r="1262">
      <c r="A1262" s="345" t="n"/>
      <c r="B1262" s="581" t="n"/>
      <c r="C1262" s="582" t="n"/>
      <c r="D1262" s="583" t="n"/>
      <c r="E1262" s="584" t="n"/>
      <c r="F1262" s="350" t="n"/>
      <c r="G1262" s="350" t="n"/>
      <c r="H1262" s="350" t="n"/>
      <c r="I1262" s="350" t="n"/>
      <c r="J1262" s="350" t="n"/>
      <c r="K1262" s="351" t="n"/>
      <c r="L1262" s="350" t="n"/>
      <c r="M1262" s="350" t="n"/>
    </row>
    <row r="1263">
      <c r="A1263" s="345" t="n"/>
      <c r="B1263" s="581" t="n"/>
      <c r="C1263" s="582" t="n"/>
      <c r="D1263" s="583" t="n"/>
      <c r="E1263" s="584" t="n"/>
      <c r="F1263" s="350" t="n"/>
      <c r="G1263" s="350" t="n"/>
      <c r="H1263" s="350" t="n"/>
      <c r="I1263" s="350" t="n"/>
      <c r="J1263" s="350" t="n"/>
      <c r="K1263" s="351" t="n"/>
      <c r="L1263" s="350" t="n"/>
      <c r="M1263" s="350" t="n"/>
    </row>
    <row r="1264">
      <c r="A1264" s="345" t="n"/>
      <c r="B1264" s="581" t="n"/>
      <c r="C1264" s="582" t="n"/>
      <c r="D1264" s="583" t="n"/>
      <c r="E1264" s="584" t="n"/>
      <c r="F1264" s="350" t="n"/>
      <c r="G1264" s="350" t="n"/>
      <c r="H1264" s="350" t="n"/>
      <c r="I1264" s="350" t="n"/>
      <c r="J1264" s="350" t="n"/>
      <c r="K1264" s="351" t="n"/>
      <c r="L1264" s="350" t="n"/>
      <c r="M1264" s="350" t="n"/>
    </row>
    <row r="1265">
      <c r="A1265" s="345" t="n"/>
      <c r="B1265" s="581" t="n"/>
      <c r="C1265" s="582" t="n"/>
      <c r="D1265" s="583" t="n"/>
      <c r="E1265" s="584" t="n"/>
      <c r="F1265" s="350" t="n"/>
      <c r="G1265" s="350" t="n"/>
      <c r="H1265" s="350" t="n"/>
      <c r="I1265" s="350" t="n"/>
      <c r="J1265" s="350" t="n"/>
      <c r="K1265" s="351" t="n"/>
      <c r="L1265" s="350" t="n"/>
      <c r="M1265" s="350" t="n"/>
    </row>
    <row r="1266">
      <c r="A1266" s="345" t="n"/>
      <c r="B1266" s="581" t="n"/>
      <c r="C1266" s="582" t="n"/>
      <c r="D1266" s="583" t="n"/>
      <c r="E1266" s="584" t="n"/>
      <c r="F1266" s="350" t="n"/>
      <c r="G1266" s="350" t="n"/>
      <c r="H1266" s="350" t="n"/>
      <c r="I1266" s="350" t="n"/>
      <c r="J1266" s="350" t="n"/>
      <c r="K1266" s="351" t="n"/>
      <c r="L1266" s="350" t="n"/>
      <c r="M1266" s="350" t="n"/>
    </row>
    <row r="1267">
      <c r="A1267" s="345" t="n"/>
      <c r="B1267" s="581" t="n"/>
      <c r="C1267" s="582" t="n"/>
      <c r="D1267" s="583" t="n"/>
      <c r="E1267" s="584" t="n"/>
      <c r="F1267" s="350" t="n"/>
      <c r="G1267" s="350" t="n"/>
      <c r="H1267" s="350" t="n"/>
      <c r="I1267" s="350" t="n"/>
      <c r="J1267" s="350" t="n"/>
      <c r="K1267" s="351" t="n"/>
      <c r="L1267" s="350" t="n"/>
      <c r="M1267" s="350" t="n"/>
    </row>
    <row r="1268">
      <c r="A1268" s="345" t="n"/>
      <c r="B1268" s="581" t="n"/>
      <c r="C1268" s="582" t="n"/>
      <c r="D1268" s="583" t="n"/>
      <c r="E1268" s="584" t="n"/>
      <c r="F1268" s="350" t="n"/>
      <c r="G1268" s="350" t="n"/>
      <c r="H1268" s="350" t="n"/>
      <c r="I1268" s="350" t="n"/>
      <c r="J1268" s="350" t="n"/>
      <c r="K1268" s="351" t="n"/>
      <c r="L1268" s="350" t="n"/>
      <c r="M1268" s="350" t="n"/>
    </row>
    <row r="1269">
      <c r="A1269" s="345" t="n"/>
      <c r="B1269" s="581" t="n"/>
      <c r="C1269" s="582" t="n"/>
      <c r="D1269" s="583" t="n"/>
      <c r="E1269" s="584" t="n"/>
      <c r="F1269" s="350" t="n"/>
      <c r="G1269" s="350" t="n"/>
      <c r="H1269" s="350" t="n"/>
      <c r="I1269" s="350" t="n"/>
      <c r="J1269" s="350" t="n"/>
      <c r="K1269" s="351" t="n"/>
      <c r="L1269" s="350" t="n"/>
      <c r="M1269" s="350" t="n"/>
    </row>
    <row r="1270">
      <c r="A1270" s="345" t="n"/>
      <c r="B1270" s="581" t="n"/>
      <c r="C1270" s="582" t="n"/>
      <c r="D1270" s="583" t="n"/>
      <c r="E1270" s="584" t="n"/>
      <c r="F1270" s="350" t="n"/>
      <c r="G1270" s="350" t="n"/>
      <c r="H1270" s="350" t="n"/>
      <c r="I1270" s="350" t="n"/>
      <c r="J1270" s="350" t="n"/>
      <c r="K1270" s="351" t="n"/>
      <c r="L1270" s="350" t="n"/>
      <c r="M1270" s="350" t="n"/>
    </row>
    <row r="1271">
      <c r="A1271" s="345" t="n"/>
      <c r="B1271" s="581" t="n"/>
      <c r="C1271" s="582" t="n"/>
      <c r="D1271" s="583" t="n"/>
      <c r="E1271" s="584" t="n"/>
      <c r="F1271" s="350" t="n"/>
      <c r="G1271" s="350" t="n"/>
      <c r="H1271" s="350" t="n"/>
      <c r="I1271" s="350" t="n"/>
      <c r="J1271" s="350" t="n"/>
      <c r="K1271" s="351" t="n"/>
      <c r="L1271" s="350" t="n"/>
      <c r="M1271" s="350" t="n"/>
    </row>
    <row r="1272">
      <c r="A1272" s="345" t="n"/>
      <c r="B1272" s="581" t="n"/>
      <c r="C1272" s="582" t="n"/>
      <c r="D1272" s="583" t="n"/>
      <c r="E1272" s="584" t="n"/>
      <c r="F1272" s="350" t="n"/>
      <c r="G1272" s="350" t="n"/>
      <c r="H1272" s="350" t="n"/>
      <c r="I1272" s="350" t="n"/>
      <c r="J1272" s="350" t="n"/>
      <c r="K1272" s="351" t="n"/>
      <c r="L1272" s="350" t="n"/>
      <c r="M1272" s="350" t="n"/>
    </row>
    <row r="1273">
      <c r="A1273" s="345" t="n"/>
      <c r="B1273" s="581" t="n"/>
      <c r="C1273" s="582" t="n"/>
      <c r="D1273" s="583" t="n"/>
      <c r="E1273" s="584" t="n"/>
      <c r="F1273" s="350" t="n"/>
      <c r="G1273" s="350" t="n"/>
      <c r="H1273" s="350" t="n"/>
      <c r="I1273" s="350" t="n"/>
      <c r="J1273" s="350" t="n"/>
      <c r="K1273" s="351" t="n"/>
      <c r="L1273" s="350" t="n"/>
      <c r="M1273" s="350" t="n"/>
    </row>
    <row r="1274">
      <c r="A1274" s="345" t="n"/>
      <c r="B1274" s="581" t="n"/>
      <c r="C1274" s="582" t="n"/>
      <c r="D1274" s="583" t="n"/>
      <c r="E1274" s="584" t="n"/>
      <c r="F1274" s="350" t="n"/>
      <c r="G1274" s="350" t="n"/>
      <c r="H1274" s="350" t="n"/>
      <c r="I1274" s="350" t="n"/>
      <c r="J1274" s="350" t="n"/>
      <c r="K1274" s="351" t="n"/>
      <c r="L1274" s="350" t="n"/>
      <c r="M1274" s="350" t="n"/>
    </row>
    <row r="1275">
      <c r="A1275" s="345" t="n"/>
      <c r="B1275" s="581" t="n"/>
      <c r="C1275" s="582" t="n"/>
      <c r="D1275" s="583" t="n"/>
      <c r="E1275" s="584" t="n"/>
      <c r="F1275" s="350" t="n"/>
      <c r="G1275" s="350" t="n"/>
      <c r="H1275" s="350" t="n"/>
      <c r="I1275" s="350" t="n"/>
      <c r="J1275" s="350" t="n"/>
      <c r="K1275" s="351" t="n"/>
      <c r="L1275" s="350" t="n"/>
      <c r="M1275" s="350" t="n"/>
    </row>
    <row r="1276">
      <c r="A1276" s="345" t="n"/>
      <c r="B1276" s="581" t="n"/>
      <c r="C1276" s="582" t="n"/>
      <c r="D1276" s="583" t="n"/>
      <c r="E1276" s="584" t="n"/>
      <c r="F1276" s="350" t="n"/>
      <c r="G1276" s="350" t="n"/>
      <c r="H1276" s="350" t="n"/>
      <c r="I1276" s="350" t="n"/>
      <c r="J1276" s="350" t="n"/>
      <c r="K1276" s="351" t="n"/>
      <c r="L1276" s="350" t="n"/>
      <c r="M1276" s="350" t="n"/>
    </row>
    <row r="1277">
      <c r="A1277" s="345" t="n"/>
      <c r="B1277" s="581" t="n"/>
      <c r="C1277" s="582" t="n"/>
      <c r="D1277" s="583" t="n"/>
      <c r="E1277" s="584" t="n"/>
      <c r="F1277" s="350" t="n"/>
      <c r="G1277" s="350" t="n"/>
      <c r="H1277" s="350" t="n"/>
      <c r="I1277" s="350" t="n"/>
      <c r="J1277" s="350" t="n"/>
      <c r="K1277" s="351" t="n"/>
      <c r="L1277" s="350" t="n"/>
      <c r="M1277" s="350" t="n"/>
    </row>
    <row r="1278">
      <c r="A1278" s="345" t="n"/>
      <c r="B1278" s="581" t="n"/>
      <c r="C1278" s="582" t="n"/>
      <c r="D1278" s="583" t="n"/>
      <c r="E1278" s="584" t="n"/>
      <c r="F1278" s="350" t="n"/>
      <c r="G1278" s="350" t="n"/>
      <c r="H1278" s="350" t="n"/>
      <c r="I1278" s="350" t="n"/>
      <c r="J1278" s="350" t="n"/>
      <c r="K1278" s="351" t="n"/>
      <c r="L1278" s="350" t="n"/>
      <c r="M1278" s="350" t="n"/>
    </row>
    <row r="1279">
      <c r="A1279" s="345" t="n"/>
      <c r="B1279" s="581" t="n"/>
      <c r="C1279" s="582" t="n"/>
      <c r="D1279" s="583" t="n"/>
      <c r="E1279" s="584" t="n"/>
      <c r="F1279" s="350" t="n"/>
      <c r="G1279" s="350" t="n"/>
      <c r="H1279" s="350" t="n"/>
      <c r="I1279" s="350" t="n"/>
      <c r="J1279" s="350" t="n"/>
      <c r="K1279" s="351" t="n"/>
      <c r="L1279" s="350" t="n"/>
      <c r="M1279" s="350" t="n"/>
    </row>
    <row r="1280">
      <c r="A1280" s="345" t="n"/>
      <c r="B1280" s="581" t="n"/>
      <c r="C1280" s="582" t="n"/>
      <c r="D1280" s="583" t="n"/>
      <c r="E1280" s="584" t="n"/>
      <c r="F1280" s="350" t="n"/>
      <c r="G1280" s="350" t="n"/>
      <c r="H1280" s="350" t="n"/>
      <c r="I1280" s="350" t="n"/>
      <c r="J1280" s="350" t="n"/>
      <c r="K1280" s="351" t="n"/>
      <c r="L1280" s="350" t="n"/>
      <c r="M1280" s="350" t="n"/>
    </row>
    <row r="1281">
      <c r="A1281" s="345" t="n"/>
      <c r="B1281" s="581" t="n"/>
      <c r="C1281" s="582" t="n"/>
      <c r="D1281" s="583" t="n"/>
      <c r="E1281" s="584" t="n"/>
      <c r="F1281" s="350" t="n"/>
      <c r="G1281" s="350" t="n"/>
      <c r="H1281" s="350" t="n"/>
      <c r="I1281" s="350" t="n"/>
      <c r="J1281" s="350" t="n"/>
      <c r="K1281" s="351" t="n"/>
      <c r="L1281" s="350" t="n"/>
      <c r="M1281" s="350" t="n"/>
    </row>
    <row r="1282">
      <c r="A1282" s="345" t="n"/>
      <c r="B1282" s="581" t="n"/>
      <c r="C1282" s="582" t="n"/>
      <c r="D1282" s="583" t="n"/>
      <c r="E1282" s="584" t="n"/>
      <c r="F1282" s="350" t="n"/>
      <c r="G1282" s="350" t="n"/>
      <c r="H1282" s="350" t="n"/>
      <c r="I1282" s="350" t="n"/>
      <c r="J1282" s="350" t="n"/>
      <c r="K1282" s="351" t="n"/>
      <c r="L1282" s="587" t="inlineStr">
        <is>
          <t>../開発規格書/久保レシピ修正版/ＱＣＳ/★【商品規格書】塩豆大福2個入　グリシン入替.xlsx</t>
        </is>
      </c>
      <c r="M1282" s="350" t="n"/>
    </row>
    <row r="1283">
      <c r="A1283" s="345" t="n"/>
      <c r="B1283" s="581" t="n"/>
      <c r="C1283" s="582" t="n"/>
      <c r="D1283" s="583" t="n"/>
      <c r="E1283" s="584" t="n"/>
      <c r="F1283" s="350" t="n"/>
      <c r="G1283" s="350" t="n"/>
      <c r="H1283" s="350" t="n"/>
      <c r="I1283" s="350" t="n"/>
      <c r="J1283" s="350" t="n"/>
      <c r="K1283" s="351" t="n"/>
      <c r="L1283" s="350" t="n"/>
      <c r="M1283" s="350" t="n"/>
    </row>
    <row r="1284">
      <c r="A1284" s="345" t="n"/>
      <c r="B1284" s="581" t="n"/>
      <c r="C1284" s="582" t="n"/>
      <c r="D1284" s="583" t="n"/>
      <c r="E1284" s="584" t="n"/>
      <c r="F1284" s="350" t="n"/>
      <c r="G1284" s="350" t="n"/>
      <c r="H1284" s="350" t="n"/>
      <c r="I1284" s="350" t="n"/>
      <c r="J1284" s="350" t="n"/>
      <c r="K1284" s="351" t="n"/>
      <c r="L1284" s="350" t="n"/>
      <c r="M1284" s="350" t="n"/>
    </row>
    <row r="1285">
      <c r="A1285" s="345" t="n"/>
      <c r="B1285" s="581" t="n"/>
      <c r="C1285" s="582" t="n"/>
      <c r="D1285" s="583" t="n"/>
      <c r="E1285" s="584" t="n"/>
      <c r="F1285" s="350" t="n"/>
      <c r="G1285" s="350" t="n"/>
      <c r="H1285" s="350" t="n"/>
      <c r="I1285" s="350" t="n"/>
      <c r="J1285" s="350" t="n"/>
      <c r="K1285" s="351" t="n"/>
      <c r="L1285" s="350" t="n"/>
      <c r="M1285" s="350" t="n"/>
    </row>
    <row r="1286">
      <c r="A1286" s="345" t="n"/>
      <c r="B1286" s="581" t="n"/>
      <c r="C1286" s="582" t="n"/>
      <c r="D1286" s="583" t="n"/>
      <c r="E1286" s="584" t="n"/>
      <c r="F1286" s="350" t="n"/>
      <c r="G1286" s="350" t="n"/>
      <c r="H1286" s="350" t="n"/>
      <c r="I1286" s="350" t="n"/>
      <c r="J1286" s="350" t="n"/>
      <c r="K1286" s="351" t="n"/>
      <c r="L1286" s="350" t="n"/>
      <c r="M1286" s="350" t="n"/>
    </row>
    <row r="1287">
      <c r="A1287" s="345" t="n"/>
      <c r="B1287" s="581" t="n"/>
      <c r="C1287" s="582" t="n"/>
      <c r="D1287" s="583" t="n"/>
      <c r="E1287" s="584" t="n"/>
      <c r="F1287" s="350" t="n"/>
      <c r="G1287" s="350" t="n"/>
      <c r="H1287" s="350" t="n"/>
      <c r="I1287" s="350" t="n"/>
      <c r="J1287" s="350" t="n"/>
      <c r="K1287" s="351" t="n"/>
      <c r="L1287" s="350" t="n"/>
      <c r="M1287" s="350" t="n"/>
    </row>
    <row r="1288">
      <c r="A1288" s="345" t="n"/>
      <c r="B1288" s="581" t="n"/>
      <c r="C1288" s="582" t="n"/>
      <c r="D1288" s="583" t="n"/>
      <c r="E1288" s="584" t="n"/>
      <c r="F1288" s="350" t="n"/>
      <c r="G1288" s="350" t="n"/>
      <c r="H1288" s="350" t="n"/>
      <c r="I1288" s="350" t="n"/>
      <c r="J1288" s="350" t="n"/>
      <c r="K1288" s="351" t="n"/>
      <c r="L1288" s="350" t="n"/>
      <c r="M1288" s="350" t="n"/>
    </row>
    <row r="1289">
      <c r="A1289" s="345" t="n"/>
      <c r="B1289" s="581" t="n"/>
      <c r="C1289" s="582" t="n"/>
      <c r="D1289" s="583" t="n"/>
      <c r="E1289" s="584" t="n"/>
      <c r="F1289" s="350" t="n"/>
      <c r="G1289" s="350" t="n"/>
      <c r="H1289" s="350" t="n"/>
      <c r="I1289" s="350" t="n"/>
      <c r="J1289" s="350" t="n"/>
      <c r="K1289" s="351" t="n"/>
      <c r="L1289" s="350" t="n"/>
      <c r="M1289" s="350" t="n"/>
    </row>
    <row r="1290">
      <c r="A1290" s="345" t="n"/>
      <c r="B1290" s="581" t="n"/>
      <c r="C1290" s="582" t="n"/>
      <c r="D1290" s="583" t="n"/>
      <c r="E1290" s="584" t="n"/>
      <c r="F1290" s="350" t="n"/>
      <c r="G1290" s="350" t="n"/>
      <c r="H1290" s="350" t="n"/>
      <c r="I1290" s="350" t="n"/>
      <c r="J1290" s="350" t="n"/>
      <c r="K1290" s="351" t="n"/>
      <c r="L1290" s="350" t="n"/>
      <c r="M1290" s="350" t="n"/>
    </row>
    <row r="1291">
      <c r="A1291" s="345" t="n"/>
      <c r="B1291" s="581" t="n"/>
      <c r="C1291" s="582" t="n"/>
      <c r="D1291" s="583" t="n"/>
      <c r="E1291" s="584" t="n"/>
      <c r="F1291" s="350" t="n"/>
      <c r="G1291" s="350" t="n"/>
      <c r="H1291" s="350" t="n"/>
      <c r="I1291" s="350" t="n"/>
      <c r="J1291" s="350" t="n"/>
      <c r="K1291" s="351" t="n"/>
      <c r="L1291" s="350" t="n"/>
      <c r="M1291" s="350" t="n"/>
    </row>
    <row r="1292">
      <c r="A1292" s="345" t="n"/>
      <c r="B1292" s="581" t="n"/>
      <c r="C1292" s="582" t="n"/>
      <c r="D1292" s="583" t="n"/>
      <c r="E1292" s="584" t="n"/>
      <c r="F1292" s="350" t="n"/>
      <c r="G1292" s="350" t="n"/>
      <c r="H1292" s="350" t="n"/>
      <c r="I1292" s="350" t="n"/>
      <c r="J1292" s="350" t="n"/>
      <c r="K1292" s="351" t="n"/>
      <c r="L1292" s="350" t="n"/>
      <c r="M1292" s="350" t="n"/>
    </row>
    <row r="1293">
      <c r="A1293" s="345" t="n"/>
      <c r="B1293" s="581" t="n"/>
      <c r="C1293" s="582" t="n"/>
      <c r="D1293" s="583" t="n"/>
      <c r="E1293" s="584" t="n"/>
      <c r="F1293" s="350" t="n"/>
      <c r="G1293" s="350" t="n"/>
      <c r="H1293" s="350" t="n"/>
      <c r="I1293" s="350" t="n"/>
      <c r="J1293" s="350" t="n"/>
      <c r="K1293" s="351" t="n"/>
      <c r="L1293" s="350" t="n"/>
      <c r="M1293" s="350" t="n"/>
    </row>
    <row r="1294">
      <c r="A1294" s="345" t="n"/>
      <c r="B1294" s="581" t="n"/>
      <c r="C1294" s="582" t="n"/>
      <c r="D1294" s="583" t="n"/>
      <c r="E1294" s="584" t="n"/>
      <c r="F1294" s="350" t="n"/>
      <c r="G1294" s="350" t="n"/>
      <c r="H1294" s="350" t="n"/>
      <c r="I1294" s="350" t="n"/>
      <c r="J1294" s="350" t="n"/>
      <c r="K1294" s="351" t="n"/>
      <c r="L1294" s="355" t="inlineStr">
        <is>
          <t>2841000180204_【ＱＣＳ】割卵.xlsx</t>
        </is>
      </c>
      <c r="M1294" s="350" t="n"/>
    </row>
    <row r="1295">
      <c r="A1295" s="345" t="n"/>
      <c r="B1295" s="581" t="n"/>
      <c r="C1295" s="582" t="n"/>
      <c r="D1295" s="583" t="n"/>
      <c r="E1295" s="584" t="n"/>
      <c r="F1295" s="350" t="n"/>
      <c r="G1295" s="350" t="n"/>
      <c r="H1295" s="350" t="n"/>
      <c r="I1295" s="350" t="n"/>
      <c r="J1295" s="350" t="n"/>
      <c r="K1295" s="351" t="n"/>
      <c r="L1295" s="587" t="inlineStr">
        <is>
          <t>../開発規格書/久保レシピ修正版/ＱＣＳ/◆【商品規格書】もちもち黒糖どら焼き（ハチミツ切替.xlsx</t>
        </is>
      </c>
      <c r="M1295" s="350" t="n"/>
    </row>
    <row r="1296">
      <c r="A1296" s="345" t="n"/>
      <c r="B1296" s="581" t="n"/>
      <c r="C1296" s="582" t="n"/>
      <c r="D1296" s="583" t="n"/>
      <c r="E1296" s="584" t="n"/>
      <c r="F1296" s="350" t="n"/>
      <c r="G1296" s="350" t="n"/>
      <c r="H1296" s="350" t="n"/>
      <c r="I1296" s="350" t="n"/>
      <c r="J1296" s="350" t="n"/>
      <c r="K1296" s="351" t="n"/>
      <c r="L1296" s="587" t="inlineStr">
        <is>
          <t>../開発規格書/久保レシピ修正版/ＱＣＳ/◆【商品規格書】もちもち黒糖どら焼き（ハチミツ切替.xlsx</t>
        </is>
      </c>
      <c r="M1296" s="350" t="n"/>
    </row>
    <row r="1297">
      <c r="A1297" s="345" t="n"/>
      <c r="B1297" s="581" t="n"/>
      <c r="C1297" s="582" t="n"/>
      <c r="D1297" s="583" t="n"/>
      <c r="E1297" s="584" t="n"/>
      <c r="F1297" s="350" t="n"/>
      <c r="G1297" s="350" t="n"/>
      <c r="H1297" s="350" t="n"/>
      <c r="I1297" s="350" t="n"/>
      <c r="J1297" s="350" t="n"/>
      <c r="K1297" s="351" t="n"/>
      <c r="L1297" s="350" t="n"/>
      <c r="M1297" s="350" t="n"/>
    </row>
    <row r="1298">
      <c r="A1298" s="345" t="n"/>
      <c r="B1298" s="581" t="n"/>
      <c r="C1298" s="582" t="n"/>
      <c r="D1298" s="583" t="n"/>
      <c r="E1298" s="584" t="n"/>
      <c r="F1298" s="350" t="n"/>
      <c r="G1298" s="350" t="n"/>
      <c r="H1298" s="350" t="n"/>
      <c r="I1298" s="350" t="n"/>
      <c r="J1298" s="350" t="n"/>
      <c r="K1298" s="351" t="n"/>
      <c r="L1298" s="350" t="n"/>
      <c r="M1298" s="350" t="n"/>
    </row>
    <row r="1299">
      <c r="A1299" s="345" t="n"/>
      <c r="B1299" s="581" t="n"/>
      <c r="C1299" s="582" t="n"/>
      <c r="D1299" s="583" t="n"/>
      <c r="E1299" s="584" t="n"/>
      <c r="F1299" s="350" t="n"/>
      <c r="G1299" s="350" t="n"/>
      <c r="H1299" s="350" t="n"/>
      <c r="I1299" s="350" t="n"/>
      <c r="J1299" s="350" t="n"/>
      <c r="K1299" s="351" t="n"/>
      <c r="L1299" s="350" t="n"/>
      <c r="M1299" s="350" t="n"/>
    </row>
  </sheetData>
  <autoFilter ref="A1:K1214"/>
  <conditionalFormatting sqref="B2:B24 B77:B89 B105:B112 B115:B148 B164:B171 B196:B351 B694:B704 B1186:B1196">
    <cfRule type="duplicateValues" priority="89" dxfId="0"/>
  </conditionalFormatting>
  <conditionalFormatting sqref="B2:B919 B934:B1146 B1162:B1165 B1167:B1199">
    <cfRule type="duplicateValues" priority="102" dxfId="0"/>
  </conditionalFormatting>
  <conditionalFormatting sqref="B2:B919 B934:B1146 B1162:B1199">
    <cfRule type="duplicateValues" priority="101" dxfId="0"/>
  </conditionalFormatting>
  <conditionalFormatting sqref="B2:B1146 B1162:B1199">
    <cfRule type="duplicateValues" priority="103" dxfId="0"/>
    <cfRule type="duplicateValues" priority="104" dxfId="0"/>
  </conditionalFormatting>
  <conditionalFormatting sqref="B2:B1199">
    <cfRule type="duplicateValues" priority="112" dxfId="0"/>
    <cfRule type="duplicateValues" priority="113" dxfId="0"/>
    <cfRule type="duplicateValues" priority="114" dxfId="0"/>
    <cfRule type="duplicateValues" priority="111" dxfId="0"/>
  </conditionalFormatting>
  <conditionalFormatting sqref="B3:B4 B6:B7 B9:B10 B12:B13 B15:B16 B18:B24 B26:B28 B30:B38 B48:B49 B51:B62 B64:B66 B68:B70 B72:B73 B75:B76 B81:B83 B87:B89 B94:B104 B109:B114 B140:B142 B146:B148 B153:B163 B168:B176 B185:B186 B188:B189 B191 B193:B195 B199:B211 B215:B351 B367:B368 B370:B371 B373:B374 B376:B377 B379:B381 B383:B384 B386:B387 B389:B390 B392:B393 B395:B396 B398:B399 B401:B403 B405:B406 B408:B409 B411 B413 B415 B417 B419:B422 B424:B425 B428 B431 B433:B434 B436:B437 B440:B441 B443:B450 B452:B453 B456:B457 B462 B466 B468:B472 B477:B481 B483:B488 B502:B506 B508:B516 B518:B520 B522:B528 B530:B539 B541:B546 B548:B549 B554:B559 B561:B563 B565:B568 B570:B572 B574:B580 B582:B583 B585:B590 B592:B593 B596:B597 B600:B603 B605:B607 B609:B630 B632:B640 B642:B651 B682:B693 B698:B704 B707:B721 B724:B745 B747:B749 B751:B779 B781:B785 B787:B793 B795:B826 B889:B919 B921:B927 B929:B933 B947:B949 B951:B954 B956:B959 B962:B965 B971:B1008 B1010:B1022 B1024:B1036 B1038:B1045 B1047:B1061 B1063:B1077 B1079:B1083 B1087:B1089 B1093:B1101 B1103:B1105 B1108 B1111:B1112 B1114:B1120 B1122:B1129 B1131:B1137 B1139:B1142 B1144:B1146 B1149:B1150 B1152:B1155 B1157:B1160 B1162:B1164 B1167:B1169 B1172:B1173">
    <cfRule type="duplicateValues" priority="90" dxfId="0"/>
  </conditionalFormatting>
  <conditionalFormatting sqref="B90:B97">
    <cfRule type="duplicateValues" priority="10" dxfId="0"/>
  </conditionalFormatting>
  <conditionalFormatting sqref="B149:B156">
    <cfRule type="duplicateValues" priority="9" dxfId="0"/>
  </conditionalFormatting>
  <conditionalFormatting sqref="B177:B183">
    <cfRule type="duplicateValues" priority="110" dxfId="0"/>
  </conditionalFormatting>
  <conditionalFormatting sqref="B460">
    <cfRule type="duplicateValues" priority="62" dxfId="0"/>
  </conditionalFormatting>
  <conditionalFormatting sqref="B694:B704 B1186:B1196">
    <cfRule type="duplicateValues" priority="88" dxfId="0"/>
  </conditionalFormatting>
  <conditionalFormatting sqref="B920:B933">
    <cfRule type="duplicateValues" priority="109" dxfId="0"/>
  </conditionalFormatting>
  <conditionalFormatting sqref="B921:B927 B1149:B1150 B1152:B1155 B1157:B1160">
    <cfRule type="duplicateValues" priority="105" dxfId="0"/>
  </conditionalFormatting>
  <conditionalFormatting sqref="B929:B933">
    <cfRule type="duplicateValues" priority="60" dxfId="0"/>
    <cfRule type="duplicateValues" priority="61" dxfId="0"/>
  </conditionalFormatting>
  <conditionalFormatting sqref="B1149:B1150 B1152:B1155 B1157:B1160">
    <cfRule type="duplicateValues" priority="107" dxfId="0"/>
    <cfRule type="duplicateValues" priority="106" dxfId="0"/>
  </conditionalFormatting>
  <conditionalFormatting sqref="B1152:B1155">
    <cfRule type="duplicateValues" priority="91" dxfId="0"/>
  </conditionalFormatting>
  <conditionalFormatting sqref="B1157:B1160">
    <cfRule type="duplicateValues" priority="108" dxfId="0"/>
  </conditionalFormatting>
  <conditionalFormatting sqref="B1166:B1169">
    <cfRule type="duplicateValues" priority="87" dxfId="0"/>
  </conditionalFormatting>
  <conditionalFormatting sqref="B1200:B1201">
    <cfRule type="duplicateValues" priority="27" dxfId="0"/>
  </conditionalFormatting>
  <conditionalFormatting sqref="B1200:B1299">
    <cfRule type="duplicateValues" priority="95" dxfId="0"/>
    <cfRule type="duplicateValues" priority="94" dxfId="0"/>
    <cfRule type="duplicateValues" priority="100" dxfId="0"/>
    <cfRule type="duplicateValues" priority="99" dxfId="0"/>
    <cfRule type="duplicateValues" priority="93" dxfId="0"/>
    <cfRule type="duplicateValues" priority="98" dxfId="0"/>
    <cfRule type="duplicateValues" priority="97" dxfId="0"/>
    <cfRule type="duplicateValues" priority="96" dxfId="0"/>
  </conditionalFormatting>
  <conditionalFormatting sqref="B1201 B1204:B1212 B1215:B1221 B1223 B1226:B1231 B1233:B1237 B1239 B1242:B1243 B1245:B1258 B1260:B1261 B1263:B1264 B1266:B1267 B1269:B1272 B1274:B1278 B1280:B1281 B1283:B1293 B1295:B1299">
    <cfRule type="duplicateValues" priority="92" dxfId="0"/>
  </conditionalFormatting>
  <conditionalFormatting sqref="B122:C135 B786:C793 B804:C810 C2:C121 C136:C785 C794:C803 C811:C1199">
    <cfRule type="duplicateValues" priority="119" dxfId="0"/>
    <cfRule type="duplicateValues" priority="120" dxfId="0"/>
    <cfRule type="duplicateValues" priority="121" dxfId="0"/>
    <cfRule type="duplicateValues" priority="122" dxfId="0"/>
  </conditionalFormatting>
  <conditionalFormatting sqref="C1200:C1299">
    <cfRule type="duplicateValues" priority="118" dxfId="0"/>
    <cfRule type="duplicateValues" priority="117" dxfId="0"/>
    <cfRule type="duplicateValues" priority="116" dxfId="0"/>
    <cfRule type="duplicateValues" priority="115" dxfId="0"/>
  </conditionalFormatting>
  <conditionalFormatting sqref="E101">
    <cfRule type="duplicateValues" priority="18" dxfId="0"/>
    <cfRule type="duplicateValues" priority="17" dxfId="0"/>
    <cfRule type="duplicateValues" priority="15" dxfId="0"/>
    <cfRule type="duplicateValues" priority="14" dxfId="0"/>
    <cfRule type="duplicateValues" priority="13" dxfId="0"/>
    <cfRule type="duplicateValues" priority="12" dxfId="0"/>
    <cfRule type="duplicateValues" priority="11" dxfId="0"/>
    <cfRule type="duplicateValues" priority="16" dxfId="0"/>
  </conditionalFormatting>
  <conditionalFormatting sqref="E160"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1" dxfId="0"/>
  </conditionalFormatting>
  <conditionalFormatting sqref="E469">
    <cfRule type="duplicateValues" priority="47" dxfId="0"/>
    <cfRule type="duplicateValues" priority="44" dxfId="0"/>
    <cfRule type="duplicateValues" priority="45" dxfId="0"/>
    <cfRule type="duplicateValues" priority="48" dxfId="0"/>
    <cfRule type="duplicateValues" priority="46" dxfId="0"/>
    <cfRule type="duplicateValues" priority="49" dxfId="0"/>
    <cfRule type="duplicateValues" priority="50" dxfId="0"/>
    <cfRule type="duplicateValues" priority="51" dxfId="0"/>
  </conditionalFormatting>
  <conditionalFormatting sqref="E478">
    <cfRule type="duplicateValues" priority="36" dxfId="0"/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2" dxfId="0"/>
    <cfRule type="duplicateValues" priority="43" dxfId="0"/>
  </conditionalFormatting>
  <conditionalFormatting sqref="E486">
    <cfRule type="duplicateValues" priority="28" dxfId="0"/>
    <cfRule type="duplicateValues" priority="29" dxfId="0"/>
    <cfRule type="duplicateValues" priority="30" dxfId="0"/>
    <cfRule type="duplicateValues" priority="31" dxfId="0"/>
    <cfRule type="duplicateValues" priority="32" dxfId="0"/>
    <cfRule type="duplicateValues" priority="33" dxfId="0"/>
    <cfRule type="duplicateValues" priority="34" dxfId="0"/>
    <cfRule type="duplicateValues" priority="35" dxfId="0"/>
  </conditionalFormatting>
  <conditionalFormatting sqref="E493"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6" dxfId="0"/>
    <cfRule type="duplicateValues" priority="25" dxfId="0"/>
    <cfRule type="duplicateValues" priority="24" dxfId="0"/>
    <cfRule type="duplicateValues" priority="23" dxfId="0"/>
  </conditionalFormatting>
  <conditionalFormatting sqref="E719">
    <cfRule type="duplicateValues" priority="55" dxfId="0"/>
    <cfRule type="duplicateValues" priority="54" dxfId="0"/>
    <cfRule type="duplicateValues" priority="53" dxfId="0"/>
    <cfRule type="duplicateValues" priority="52" dxfId="0"/>
    <cfRule type="duplicateValues" priority="59" dxfId="0"/>
    <cfRule type="duplicateValues" priority="58" dxfId="0"/>
    <cfRule type="duplicateValues" priority="57" dxfId="0"/>
    <cfRule type="duplicateValues" priority="56" dxfId="0"/>
  </conditionalFormatting>
  <conditionalFormatting sqref="E735">
    <cfRule type="duplicateValues" priority="70" dxfId="0"/>
    <cfRule type="duplicateValues" priority="69" dxfId="0"/>
    <cfRule type="duplicateValues" priority="68" dxfId="0"/>
    <cfRule type="duplicateValues" priority="67" dxfId="0"/>
    <cfRule type="duplicateValues" priority="66" dxfId="0"/>
    <cfRule type="duplicateValues" priority="65" dxfId="0"/>
    <cfRule type="duplicateValues" priority="64" dxfId="0"/>
    <cfRule type="duplicateValues" priority="63" dxfId="0"/>
  </conditionalFormatting>
  <conditionalFormatting sqref="E1110">
    <cfRule type="duplicateValues" priority="83" dxfId="0"/>
    <cfRule type="duplicateValues" priority="81" dxfId="0"/>
    <cfRule type="duplicateValues" priority="80" dxfId="0"/>
    <cfRule type="duplicateValues" priority="79" dxfId="0"/>
    <cfRule type="duplicateValues" priority="86" dxfId="0"/>
    <cfRule type="duplicateValues" priority="85" dxfId="0"/>
    <cfRule type="duplicateValues" priority="84" dxfId="0"/>
    <cfRule type="duplicateValues" priority="82" dxfId="0"/>
  </conditionalFormatting>
  <conditionalFormatting sqref="E1131">
    <cfRule type="duplicateValues" priority="78" dxfId="0"/>
    <cfRule type="duplicateValues" priority="77" dxfId="0"/>
    <cfRule type="duplicateValues" priority="76" dxfId="0"/>
    <cfRule type="duplicateValues" priority="75" dxfId="0"/>
    <cfRule type="duplicateValues" priority="74" dxfId="0"/>
    <cfRule type="duplicateValues" priority="73" dxfId="0"/>
    <cfRule type="duplicateValues" priority="72" dxfId="0"/>
    <cfRule type="duplicateValues" priority="71" dxfId="0"/>
  </conditionalFormatting>
  <hyperlinks>
    <hyperlink xmlns:r="http://schemas.openxmlformats.org/officeDocument/2006/relationships" ref="L20" r:id="rId1"/>
    <hyperlink xmlns:r="http://schemas.openxmlformats.org/officeDocument/2006/relationships" ref="L21" r:id="rId2"/>
    <hyperlink xmlns:r="http://schemas.openxmlformats.org/officeDocument/2006/relationships" ref="L22" r:id="rId3"/>
    <hyperlink xmlns:r="http://schemas.openxmlformats.org/officeDocument/2006/relationships" ref="L23" r:id="rId4"/>
    <hyperlink xmlns:r="http://schemas.openxmlformats.org/officeDocument/2006/relationships" ref="L24" r:id="rId5"/>
    <hyperlink xmlns:r="http://schemas.openxmlformats.org/officeDocument/2006/relationships" ref="L28" r:id="rId6"/>
    <hyperlink xmlns:r="http://schemas.openxmlformats.org/officeDocument/2006/relationships" ref="L32" r:id="rId7"/>
    <hyperlink xmlns:r="http://schemas.openxmlformats.org/officeDocument/2006/relationships" ref="L35" r:id="rId8"/>
    <hyperlink xmlns:r="http://schemas.openxmlformats.org/officeDocument/2006/relationships" ref="L36" r:id="rId9"/>
    <hyperlink xmlns:r="http://schemas.openxmlformats.org/officeDocument/2006/relationships" ref="L40" r:id="rId10"/>
    <hyperlink xmlns:r="http://schemas.openxmlformats.org/officeDocument/2006/relationships" ref="L41" r:id="rId11"/>
    <hyperlink xmlns:r="http://schemas.openxmlformats.org/officeDocument/2006/relationships" ref="L45" r:id="rId12"/>
    <hyperlink xmlns:r="http://schemas.openxmlformats.org/officeDocument/2006/relationships" ref="L48" r:id="rId13"/>
    <hyperlink xmlns:r="http://schemas.openxmlformats.org/officeDocument/2006/relationships" ref="L55" r:id="rId14"/>
    <hyperlink xmlns:r="http://schemas.openxmlformats.org/officeDocument/2006/relationships" ref="L56" r:id="rId15"/>
    <hyperlink xmlns:r="http://schemas.openxmlformats.org/officeDocument/2006/relationships" ref="L57" r:id="rId16"/>
    <hyperlink xmlns:r="http://schemas.openxmlformats.org/officeDocument/2006/relationships" ref="L58" r:id="rId17"/>
    <hyperlink xmlns:r="http://schemas.openxmlformats.org/officeDocument/2006/relationships" ref="L59" r:id="rId18"/>
    <hyperlink xmlns:r="http://schemas.openxmlformats.org/officeDocument/2006/relationships" ref="L60" r:id="rId19"/>
    <hyperlink xmlns:r="http://schemas.openxmlformats.org/officeDocument/2006/relationships" ref="L61" r:id="rId20"/>
    <hyperlink xmlns:r="http://schemas.openxmlformats.org/officeDocument/2006/relationships" ref="L62" r:id="rId21"/>
    <hyperlink xmlns:r="http://schemas.openxmlformats.org/officeDocument/2006/relationships" ref="L64" r:id="rId22"/>
    <hyperlink xmlns:r="http://schemas.openxmlformats.org/officeDocument/2006/relationships" ref="L65" r:id="rId23"/>
    <hyperlink xmlns:r="http://schemas.openxmlformats.org/officeDocument/2006/relationships" ref="L69" r:id="rId24"/>
    <hyperlink xmlns:r="http://schemas.openxmlformats.org/officeDocument/2006/relationships" ref="L72" r:id="rId25"/>
    <hyperlink xmlns:r="http://schemas.openxmlformats.org/officeDocument/2006/relationships" ref="L80" r:id="rId26"/>
    <hyperlink xmlns:r="http://schemas.openxmlformats.org/officeDocument/2006/relationships" ref="L93" r:id="rId27"/>
    <hyperlink xmlns:r="http://schemas.openxmlformats.org/officeDocument/2006/relationships" ref="L99" r:id="rId28"/>
    <hyperlink xmlns:r="http://schemas.openxmlformats.org/officeDocument/2006/relationships" ref="L108" r:id="rId29"/>
    <hyperlink xmlns:r="http://schemas.openxmlformats.org/officeDocument/2006/relationships" ref="L118" r:id="rId30"/>
    <hyperlink xmlns:r="http://schemas.openxmlformats.org/officeDocument/2006/relationships" ref="L128" r:id="rId31"/>
    <hyperlink xmlns:r="http://schemas.openxmlformats.org/officeDocument/2006/relationships" ref="L130" r:id="rId32"/>
    <hyperlink xmlns:r="http://schemas.openxmlformats.org/officeDocument/2006/relationships" ref="L131" r:id="rId33"/>
    <hyperlink xmlns:r="http://schemas.openxmlformats.org/officeDocument/2006/relationships" ref="L132" r:id="rId34"/>
    <hyperlink xmlns:r="http://schemas.openxmlformats.org/officeDocument/2006/relationships" ref="L133" r:id="rId35"/>
    <hyperlink xmlns:r="http://schemas.openxmlformats.org/officeDocument/2006/relationships" ref="L134" r:id="rId36"/>
    <hyperlink xmlns:r="http://schemas.openxmlformats.org/officeDocument/2006/relationships" ref="L135" r:id="rId37"/>
    <hyperlink xmlns:r="http://schemas.openxmlformats.org/officeDocument/2006/relationships" ref="L139" r:id="rId38"/>
    <hyperlink xmlns:r="http://schemas.openxmlformats.org/officeDocument/2006/relationships" ref="L152" r:id="rId39"/>
    <hyperlink xmlns:r="http://schemas.openxmlformats.org/officeDocument/2006/relationships" ref="L158" r:id="rId40"/>
    <hyperlink xmlns:r="http://schemas.openxmlformats.org/officeDocument/2006/relationships" ref="L167" r:id="rId41"/>
    <hyperlink xmlns:r="http://schemas.openxmlformats.org/officeDocument/2006/relationships" ref="L173" r:id="rId42"/>
    <hyperlink xmlns:r="http://schemas.openxmlformats.org/officeDocument/2006/relationships" ref="L180" r:id="rId43"/>
    <hyperlink xmlns:r="http://schemas.openxmlformats.org/officeDocument/2006/relationships" ref="L195" r:id="rId44"/>
    <hyperlink xmlns:r="http://schemas.openxmlformats.org/officeDocument/2006/relationships" ref="L211" r:id="rId45"/>
    <hyperlink xmlns:r="http://schemas.openxmlformats.org/officeDocument/2006/relationships" ref="L227" r:id="rId46"/>
    <hyperlink xmlns:r="http://schemas.openxmlformats.org/officeDocument/2006/relationships" ref="L234" r:id="rId47"/>
    <hyperlink xmlns:r="http://schemas.openxmlformats.org/officeDocument/2006/relationships" ref="L256" r:id="rId48"/>
    <hyperlink xmlns:r="http://schemas.openxmlformats.org/officeDocument/2006/relationships" ref="L262" r:id="rId49"/>
    <hyperlink xmlns:r="http://schemas.openxmlformats.org/officeDocument/2006/relationships" ref="L275" r:id="rId50"/>
    <hyperlink xmlns:r="http://schemas.openxmlformats.org/officeDocument/2006/relationships" ref="L297" r:id="rId51"/>
    <hyperlink xmlns:r="http://schemas.openxmlformats.org/officeDocument/2006/relationships" ref="L371" r:id="rId52"/>
    <hyperlink xmlns:r="http://schemas.openxmlformats.org/officeDocument/2006/relationships" ref="L380" r:id="rId53"/>
    <hyperlink xmlns:r="http://schemas.openxmlformats.org/officeDocument/2006/relationships" ref="L381" r:id="rId54"/>
    <hyperlink xmlns:r="http://schemas.openxmlformats.org/officeDocument/2006/relationships" ref="L393" r:id="rId55"/>
    <hyperlink xmlns:r="http://schemas.openxmlformats.org/officeDocument/2006/relationships" ref="L402" r:id="rId56"/>
    <hyperlink xmlns:r="http://schemas.openxmlformats.org/officeDocument/2006/relationships" ref="L403" r:id="rId57"/>
    <hyperlink xmlns:r="http://schemas.openxmlformats.org/officeDocument/2006/relationships" ref="L420" r:id="rId58"/>
    <hyperlink xmlns:r="http://schemas.openxmlformats.org/officeDocument/2006/relationships" ref="L421" r:id="rId59"/>
    <hyperlink xmlns:r="http://schemas.openxmlformats.org/officeDocument/2006/relationships" ref="L422" r:id="rId60"/>
    <hyperlink xmlns:r="http://schemas.openxmlformats.org/officeDocument/2006/relationships" ref="L423" r:id="rId61"/>
    <hyperlink xmlns:r="http://schemas.openxmlformats.org/officeDocument/2006/relationships" ref="L425" r:id="rId62"/>
    <hyperlink xmlns:r="http://schemas.openxmlformats.org/officeDocument/2006/relationships" ref="L426" r:id="rId63"/>
    <hyperlink xmlns:r="http://schemas.openxmlformats.org/officeDocument/2006/relationships" ref="L427" r:id="rId64"/>
    <hyperlink xmlns:r="http://schemas.openxmlformats.org/officeDocument/2006/relationships" ref="L429" r:id="rId65"/>
    <hyperlink xmlns:r="http://schemas.openxmlformats.org/officeDocument/2006/relationships" ref="L430" r:id="rId66"/>
    <hyperlink xmlns:r="http://schemas.openxmlformats.org/officeDocument/2006/relationships" ref="L432" r:id="rId67"/>
    <hyperlink xmlns:r="http://schemas.openxmlformats.org/officeDocument/2006/relationships" ref="L433" r:id="rId68"/>
    <hyperlink xmlns:r="http://schemas.openxmlformats.org/officeDocument/2006/relationships" ref="L435" r:id="rId69"/>
    <hyperlink xmlns:r="http://schemas.openxmlformats.org/officeDocument/2006/relationships" ref="L436" r:id="rId70"/>
    <hyperlink xmlns:r="http://schemas.openxmlformats.org/officeDocument/2006/relationships" ref="L438" r:id="rId71"/>
    <hyperlink xmlns:r="http://schemas.openxmlformats.org/officeDocument/2006/relationships" ref="L439" r:id="rId72"/>
    <hyperlink xmlns:r="http://schemas.openxmlformats.org/officeDocument/2006/relationships" ref="L440" r:id="rId73"/>
    <hyperlink xmlns:r="http://schemas.openxmlformats.org/officeDocument/2006/relationships" ref="L442" r:id="rId74"/>
    <hyperlink xmlns:r="http://schemas.openxmlformats.org/officeDocument/2006/relationships" ref="L443" r:id="rId75"/>
    <hyperlink xmlns:r="http://schemas.openxmlformats.org/officeDocument/2006/relationships" ref="L444" r:id="rId76"/>
    <hyperlink xmlns:r="http://schemas.openxmlformats.org/officeDocument/2006/relationships" ref="L445" r:id="rId77"/>
    <hyperlink xmlns:r="http://schemas.openxmlformats.org/officeDocument/2006/relationships" ref="L447" r:id="rId78"/>
    <hyperlink xmlns:r="http://schemas.openxmlformats.org/officeDocument/2006/relationships" ref="L448" r:id="rId79"/>
    <hyperlink xmlns:r="http://schemas.openxmlformats.org/officeDocument/2006/relationships" ref="L449" r:id="rId80"/>
    <hyperlink xmlns:r="http://schemas.openxmlformats.org/officeDocument/2006/relationships" ref="L451" r:id="rId81"/>
    <hyperlink xmlns:r="http://schemas.openxmlformats.org/officeDocument/2006/relationships" ref="L454" r:id="rId82"/>
    <hyperlink xmlns:r="http://schemas.openxmlformats.org/officeDocument/2006/relationships" ref="L455" r:id="rId83"/>
    <hyperlink xmlns:r="http://schemas.openxmlformats.org/officeDocument/2006/relationships" ref="L456" r:id="rId84"/>
    <hyperlink xmlns:r="http://schemas.openxmlformats.org/officeDocument/2006/relationships" ref="L458" r:id="rId85"/>
    <hyperlink xmlns:r="http://schemas.openxmlformats.org/officeDocument/2006/relationships" ref="L459" r:id="rId86"/>
    <hyperlink xmlns:r="http://schemas.openxmlformats.org/officeDocument/2006/relationships" ref="L463" r:id="rId87"/>
    <hyperlink xmlns:r="http://schemas.openxmlformats.org/officeDocument/2006/relationships" ref="L464" r:id="rId88"/>
    <hyperlink xmlns:r="http://schemas.openxmlformats.org/officeDocument/2006/relationships" ref="L465" r:id="rId89"/>
    <hyperlink xmlns:r="http://schemas.openxmlformats.org/officeDocument/2006/relationships" ref="L473" r:id="rId90"/>
    <hyperlink xmlns:r="http://schemas.openxmlformats.org/officeDocument/2006/relationships" ref="L474" r:id="rId91"/>
    <hyperlink xmlns:r="http://schemas.openxmlformats.org/officeDocument/2006/relationships" ref="L475" r:id="rId92"/>
    <hyperlink xmlns:r="http://schemas.openxmlformats.org/officeDocument/2006/relationships" ref="L497" r:id="rId93"/>
    <hyperlink xmlns:r="http://schemas.openxmlformats.org/officeDocument/2006/relationships" ref="L498" r:id="rId94"/>
    <hyperlink xmlns:r="http://schemas.openxmlformats.org/officeDocument/2006/relationships" ref="L499" r:id="rId95"/>
    <hyperlink xmlns:r="http://schemas.openxmlformats.org/officeDocument/2006/relationships" ref="L500" r:id="rId96"/>
    <hyperlink xmlns:r="http://schemas.openxmlformats.org/officeDocument/2006/relationships" ref="L501" r:id="rId97"/>
    <hyperlink xmlns:r="http://schemas.openxmlformats.org/officeDocument/2006/relationships" ref="L502" r:id="rId98"/>
    <hyperlink xmlns:r="http://schemas.openxmlformats.org/officeDocument/2006/relationships" ref="L503" r:id="rId99"/>
    <hyperlink xmlns:r="http://schemas.openxmlformats.org/officeDocument/2006/relationships" ref="L504" r:id="rId100"/>
    <hyperlink xmlns:r="http://schemas.openxmlformats.org/officeDocument/2006/relationships" ref="L508" r:id="rId101"/>
    <hyperlink xmlns:r="http://schemas.openxmlformats.org/officeDocument/2006/relationships" ref="L509" r:id="rId102"/>
    <hyperlink xmlns:r="http://schemas.openxmlformats.org/officeDocument/2006/relationships" ref="L525" r:id="rId103"/>
    <hyperlink xmlns:r="http://schemas.openxmlformats.org/officeDocument/2006/relationships" ref="L526" r:id="rId104"/>
    <hyperlink xmlns:r="http://schemas.openxmlformats.org/officeDocument/2006/relationships" ref="L527" r:id="rId105"/>
    <hyperlink xmlns:r="http://schemas.openxmlformats.org/officeDocument/2006/relationships" ref="L530" r:id="rId106"/>
    <hyperlink xmlns:r="http://schemas.openxmlformats.org/officeDocument/2006/relationships" ref="L531" r:id="rId107"/>
    <hyperlink xmlns:r="http://schemas.openxmlformats.org/officeDocument/2006/relationships" ref="L532" r:id="rId108"/>
    <hyperlink xmlns:r="http://schemas.openxmlformats.org/officeDocument/2006/relationships" ref="L533" r:id="rId109"/>
    <hyperlink xmlns:r="http://schemas.openxmlformats.org/officeDocument/2006/relationships" ref="L534" r:id="rId110"/>
    <hyperlink xmlns:r="http://schemas.openxmlformats.org/officeDocument/2006/relationships" ref="L537" r:id="rId111"/>
    <hyperlink xmlns:r="http://schemas.openxmlformats.org/officeDocument/2006/relationships" ref="L541" r:id="rId112"/>
    <hyperlink xmlns:r="http://schemas.openxmlformats.org/officeDocument/2006/relationships" ref="L542" r:id="rId113"/>
    <hyperlink xmlns:r="http://schemas.openxmlformats.org/officeDocument/2006/relationships" ref="L543" r:id="rId114"/>
    <hyperlink xmlns:r="http://schemas.openxmlformats.org/officeDocument/2006/relationships" ref="L544" r:id="rId115"/>
    <hyperlink xmlns:r="http://schemas.openxmlformats.org/officeDocument/2006/relationships" ref="L545" r:id="rId116"/>
    <hyperlink xmlns:r="http://schemas.openxmlformats.org/officeDocument/2006/relationships" ref="L546" r:id="rId117"/>
    <hyperlink xmlns:r="http://schemas.openxmlformats.org/officeDocument/2006/relationships" ref="L547" r:id="rId118"/>
    <hyperlink xmlns:r="http://schemas.openxmlformats.org/officeDocument/2006/relationships" ref="L548" r:id="rId119"/>
    <hyperlink xmlns:r="http://schemas.openxmlformats.org/officeDocument/2006/relationships" ref="L550" r:id="rId120"/>
    <hyperlink xmlns:r="http://schemas.openxmlformats.org/officeDocument/2006/relationships" ref="L551" r:id="rId121"/>
    <hyperlink xmlns:r="http://schemas.openxmlformats.org/officeDocument/2006/relationships" ref="L552" r:id="rId122"/>
    <hyperlink xmlns:r="http://schemas.openxmlformats.org/officeDocument/2006/relationships" ref="L553" r:id="rId123"/>
    <hyperlink xmlns:r="http://schemas.openxmlformats.org/officeDocument/2006/relationships" ref="L554" r:id="rId124"/>
    <hyperlink xmlns:r="http://schemas.openxmlformats.org/officeDocument/2006/relationships" ref="L555" r:id="rId125"/>
    <hyperlink xmlns:r="http://schemas.openxmlformats.org/officeDocument/2006/relationships" ref="L556" r:id="rId126"/>
    <hyperlink xmlns:r="http://schemas.openxmlformats.org/officeDocument/2006/relationships" ref="L557" r:id="rId127"/>
    <hyperlink xmlns:r="http://schemas.openxmlformats.org/officeDocument/2006/relationships" ref="L558" r:id="rId128"/>
    <hyperlink xmlns:r="http://schemas.openxmlformats.org/officeDocument/2006/relationships" ref="L559" r:id="rId129"/>
    <hyperlink xmlns:r="http://schemas.openxmlformats.org/officeDocument/2006/relationships" ref="M560" r:id="rId130"/>
    <hyperlink xmlns:r="http://schemas.openxmlformats.org/officeDocument/2006/relationships" ref="L561" r:id="rId131"/>
    <hyperlink xmlns:r="http://schemas.openxmlformats.org/officeDocument/2006/relationships" ref="L562" r:id="rId132"/>
    <hyperlink xmlns:r="http://schemas.openxmlformats.org/officeDocument/2006/relationships" ref="L563" r:id="rId133"/>
    <hyperlink xmlns:r="http://schemas.openxmlformats.org/officeDocument/2006/relationships" ref="L565" r:id="rId134"/>
    <hyperlink xmlns:r="http://schemas.openxmlformats.org/officeDocument/2006/relationships" ref="L568" r:id="rId135"/>
    <hyperlink xmlns:r="http://schemas.openxmlformats.org/officeDocument/2006/relationships" ref="L577" r:id="rId136"/>
    <hyperlink xmlns:r="http://schemas.openxmlformats.org/officeDocument/2006/relationships" ref="L578" r:id="rId137"/>
    <hyperlink xmlns:r="http://schemas.openxmlformats.org/officeDocument/2006/relationships" ref="L579" r:id="rId138"/>
    <hyperlink xmlns:r="http://schemas.openxmlformats.org/officeDocument/2006/relationships" ref="L582" r:id="rId139"/>
    <hyperlink xmlns:r="http://schemas.openxmlformats.org/officeDocument/2006/relationships" ref="L583" r:id="rId140"/>
    <hyperlink xmlns:r="http://schemas.openxmlformats.org/officeDocument/2006/relationships" ref="L585" r:id="rId141"/>
    <hyperlink xmlns:r="http://schemas.openxmlformats.org/officeDocument/2006/relationships" ref="L586" r:id="rId142"/>
    <hyperlink xmlns:r="http://schemas.openxmlformats.org/officeDocument/2006/relationships" ref="L587" r:id="rId143"/>
    <hyperlink xmlns:r="http://schemas.openxmlformats.org/officeDocument/2006/relationships" ref="L588" r:id="rId144"/>
    <hyperlink xmlns:r="http://schemas.openxmlformats.org/officeDocument/2006/relationships" ref="L589" r:id="rId145"/>
    <hyperlink xmlns:r="http://schemas.openxmlformats.org/officeDocument/2006/relationships" ref="L590" r:id="rId146"/>
    <hyperlink xmlns:r="http://schemas.openxmlformats.org/officeDocument/2006/relationships" ref="L591" r:id="rId147"/>
    <hyperlink xmlns:r="http://schemas.openxmlformats.org/officeDocument/2006/relationships" ref="L592" r:id="rId148"/>
    <hyperlink xmlns:r="http://schemas.openxmlformats.org/officeDocument/2006/relationships" ref="L595" r:id="rId149"/>
    <hyperlink xmlns:r="http://schemas.openxmlformats.org/officeDocument/2006/relationships" ref="L596" r:id="rId150"/>
    <hyperlink xmlns:r="http://schemas.openxmlformats.org/officeDocument/2006/relationships" ref="L597" r:id="rId151"/>
    <hyperlink xmlns:r="http://schemas.openxmlformats.org/officeDocument/2006/relationships" ref="L598" r:id="rId152"/>
    <hyperlink xmlns:r="http://schemas.openxmlformats.org/officeDocument/2006/relationships" ref="L599" r:id="rId153"/>
    <hyperlink xmlns:r="http://schemas.openxmlformats.org/officeDocument/2006/relationships" ref="L600" r:id="rId154"/>
    <hyperlink xmlns:r="http://schemas.openxmlformats.org/officeDocument/2006/relationships" ref="L601" r:id="rId155"/>
    <hyperlink xmlns:r="http://schemas.openxmlformats.org/officeDocument/2006/relationships" ref="L602" r:id="rId156"/>
    <hyperlink xmlns:r="http://schemas.openxmlformats.org/officeDocument/2006/relationships" ref="L603" r:id="rId157"/>
    <hyperlink xmlns:r="http://schemas.openxmlformats.org/officeDocument/2006/relationships" ref="L605" r:id="rId158"/>
    <hyperlink xmlns:r="http://schemas.openxmlformats.org/officeDocument/2006/relationships" ref="L606" r:id="rId159"/>
    <hyperlink xmlns:r="http://schemas.openxmlformats.org/officeDocument/2006/relationships" ref="L607" r:id="rId160"/>
    <hyperlink xmlns:r="http://schemas.openxmlformats.org/officeDocument/2006/relationships" ref="L614" r:id="rId161"/>
    <hyperlink xmlns:r="http://schemas.openxmlformats.org/officeDocument/2006/relationships" ref="L615" r:id="rId162"/>
    <hyperlink xmlns:r="http://schemas.openxmlformats.org/officeDocument/2006/relationships" ref="L616" r:id="rId163"/>
    <hyperlink xmlns:r="http://schemas.openxmlformats.org/officeDocument/2006/relationships" ref="L617" r:id="rId164"/>
    <hyperlink xmlns:r="http://schemas.openxmlformats.org/officeDocument/2006/relationships" ref="L619" r:id="rId165"/>
    <hyperlink xmlns:r="http://schemas.openxmlformats.org/officeDocument/2006/relationships" ref="L623" r:id="rId166"/>
    <hyperlink xmlns:r="http://schemas.openxmlformats.org/officeDocument/2006/relationships" ref="L624" r:id="rId167"/>
    <hyperlink xmlns:r="http://schemas.openxmlformats.org/officeDocument/2006/relationships" ref="L625" r:id="rId168"/>
    <hyperlink xmlns:r="http://schemas.openxmlformats.org/officeDocument/2006/relationships" ref="L626" r:id="rId169"/>
    <hyperlink xmlns:r="http://schemas.openxmlformats.org/officeDocument/2006/relationships" ref="L631" r:id="rId170"/>
    <hyperlink xmlns:r="http://schemas.openxmlformats.org/officeDocument/2006/relationships" ref="L632" r:id="rId171"/>
    <hyperlink xmlns:r="http://schemas.openxmlformats.org/officeDocument/2006/relationships" ref="L634" r:id="rId172"/>
    <hyperlink xmlns:r="http://schemas.openxmlformats.org/officeDocument/2006/relationships" ref="L639" r:id="rId173"/>
    <hyperlink xmlns:r="http://schemas.openxmlformats.org/officeDocument/2006/relationships" ref="L641" r:id="rId174"/>
    <hyperlink xmlns:r="http://schemas.openxmlformats.org/officeDocument/2006/relationships" ref="L645" r:id="rId175"/>
    <hyperlink xmlns:r="http://schemas.openxmlformats.org/officeDocument/2006/relationships" ref="L650" r:id="rId176"/>
    <hyperlink xmlns:r="http://schemas.openxmlformats.org/officeDocument/2006/relationships" ref="L652" r:id="rId177"/>
    <hyperlink xmlns:r="http://schemas.openxmlformats.org/officeDocument/2006/relationships" ref="L653" r:id="rId178"/>
    <hyperlink xmlns:r="http://schemas.openxmlformats.org/officeDocument/2006/relationships" ref="L654" r:id="rId179"/>
    <hyperlink xmlns:r="http://schemas.openxmlformats.org/officeDocument/2006/relationships" ref="L655" r:id="rId180"/>
    <hyperlink xmlns:r="http://schemas.openxmlformats.org/officeDocument/2006/relationships" ref="L668" r:id="rId181"/>
    <hyperlink xmlns:r="http://schemas.openxmlformats.org/officeDocument/2006/relationships" ref="L669" r:id="rId182"/>
    <hyperlink xmlns:r="http://schemas.openxmlformats.org/officeDocument/2006/relationships" ref="L670" r:id="rId183"/>
    <hyperlink xmlns:r="http://schemas.openxmlformats.org/officeDocument/2006/relationships" ref="L671" r:id="rId184"/>
    <hyperlink xmlns:r="http://schemas.openxmlformats.org/officeDocument/2006/relationships" ref="L672" r:id="rId185"/>
    <hyperlink xmlns:r="http://schemas.openxmlformats.org/officeDocument/2006/relationships" ref="L673" r:id="rId186"/>
    <hyperlink xmlns:r="http://schemas.openxmlformats.org/officeDocument/2006/relationships" ref="L674" r:id="rId187"/>
    <hyperlink xmlns:r="http://schemas.openxmlformats.org/officeDocument/2006/relationships" ref="L675" r:id="rId188"/>
    <hyperlink xmlns:r="http://schemas.openxmlformats.org/officeDocument/2006/relationships" ref="L677" r:id="rId189"/>
    <hyperlink xmlns:r="http://schemas.openxmlformats.org/officeDocument/2006/relationships" ref="L679" r:id="rId190"/>
    <hyperlink xmlns:r="http://schemas.openxmlformats.org/officeDocument/2006/relationships" ref="L680" r:id="rId191"/>
    <hyperlink xmlns:r="http://schemas.openxmlformats.org/officeDocument/2006/relationships" ref="L681" r:id="rId192"/>
    <hyperlink xmlns:r="http://schemas.openxmlformats.org/officeDocument/2006/relationships" ref="L682" r:id="rId193"/>
    <hyperlink xmlns:r="http://schemas.openxmlformats.org/officeDocument/2006/relationships" ref="L683" r:id="rId194"/>
    <hyperlink xmlns:r="http://schemas.openxmlformats.org/officeDocument/2006/relationships" ref="L689" r:id="rId195"/>
    <hyperlink xmlns:r="http://schemas.openxmlformats.org/officeDocument/2006/relationships" ref="L694" r:id="rId196"/>
    <hyperlink xmlns:r="http://schemas.openxmlformats.org/officeDocument/2006/relationships" ref="L695" r:id="rId197"/>
    <hyperlink xmlns:r="http://schemas.openxmlformats.org/officeDocument/2006/relationships" ref="L696" r:id="rId198"/>
    <hyperlink xmlns:r="http://schemas.openxmlformats.org/officeDocument/2006/relationships" ref="L700" r:id="rId199"/>
    <hyperlink xmlns:r="http://schemas.openxmlformats.org/officeDocument/2006/relationships" ref="L705" r:id="rId200"/>
    <hyperlink xmlns:r="http://schemas.openxmlformats.org/officeDocument/2006/relationships" ref="L706" r:id="rId201"/>
    <hyperlink xmlns:r="http://schemas.openxmlformats.org/officeDocument/2006/relationships" ref="L707" r:id="rId202"/>
    <hyperlink xmlns:r="http://schemas.openxmlformats.org/officeDocument/2006/relationships" ref="L708" r:id="rId203"/>
    <hyperlink xmlns:r="http://schemas.openxmlformats.org/officeDocument/2006/relationships" ref="L709" r:id="rId204"/>
    <hyperlink xmlns:r="http://schemas.openxmlformats.org/officeDocument/2006/relationships" ref="L712" r:id="rId205"/>
    <hyperlink xmlns:r="http://schemas.openxmlformats.org/officeDocument/2006/relationships" ref="L722" r:id="rId206"/>
    <hyperlink xmlns:r="http://schemas.openxmlformats.org/officeDocument/2006/relationships" ref="L723" r:id="rId207"/>
    <hyperlink xmlns:r="http://schemas.openxmlformats.org/officeDocument/2006/relationships" ref="L733" r:id="rId208"/>
    <hyperlink xmlns:r="http://schemas.openxmlformats.org/officeDocument/2006/relationships" ref="L740" r:id="rId209"/>
    <hyperlink xmlns:r="http://schemas.openxmlformats.org/officeDocument/2006/relationships" ref="L741" r:id="rId210"/>
    <hyperlink xmlns:r="http://schemas.openxmlformats.org/officeDocument/2006/relationships" ref="L750" r:id="rId211"/>
    <hyperlink xmlns:r="http://schemas.openxmlformats.org/officeDocument/2006/relationships" ref="L751" r:id="rId212"/>
    <hyperlink xmlns:r="http://schemas.openxmlformats.org/officeDocument/2006/relationships" ref="L752" r:id="rId213"/>
    <hyperlink xmlns:r="http://schemas.openxmlformats.org/officeDocument/2006/relationships" ref="L758" r:id="rId214"/>
    <hyperlink xmlns:r="http://schemas.openxmlformats.org/officeDocument/2006/relationships" ref="L763" r:id="rId215"/>
    <hyperlink xmlns:r="http://schemas.openxmlformats.org/officeDocument/2006/relationships" ref="L764" r:id="rId216"/>
    <hyperlink xmlns:r="http://schemas.openxmlformats.org/officeDocument/2006/relationships" ref="L765" r:id="rId217"/>
    <hyperlink xmlns:r="http://schemas.openxmlformats.org/officeDocument/2006/relationships" ref="L766" r:id="rId218"/>
    <hyperlink xmlns:r="http://schemas.openxmlformats.org/officeDocument/2006/relationships" ref="L768" r:id="rId219"/>
    <hyperlink xmlns:r="http://schemas.openxmlformats.org/officeDocument/2006/relationships" ref="L770" r:id="rId220"/>
    <hyperlink xmlns:r="http://schemas.openxmlformats.org/officeDocument/2006/relationships" ref="L771" r:id="rId221"/>
    <hyperlink xmlns:r="http://schemas.openxmlformats.org/officeDocument/2006/relationships" ref="L774" r:id="rId222"/>
    <hyperlink xmlns:r="http://schemas.openxmlformats.org/officeDocument/2006/relationships" ref="L775" r:id="rId223"/>
    <hyperlink xmlns:r="http://schemas.openxmlformats.org/officeDocument/2006/relationships" ref="L781" r:id="rId224"/>
    <hyperlink xmlns:r="http://schemas.openxmlformats.org/officeDocument/2006/relationships" ref="L782" r:id="rId225"/>
    <hyperlink xmlns:r="http://schemas.openxmlformats.org/officeDocument/2006/relationships" ref="L783" r:id="rId226"/>
    <hyperlink xmlns:r="http://schemas.openxmlformats.org/officeDocument/2006/relationships" ref="L784" r:id="rId227"/>
    <hyperlink xmlns:r="http://schemas.openxmlformats.org/officeDocument/2006/relationships" ref="L785" r:id="rId228"/>
    <hyperlink xmlns:r="http://schemas.openxmlformats.org/officeDocument/2006/relationships" ref="L790" r:id="rId229"/>
    <hyperlink xmlns:r="http://schemas.openxmlformats.org/officeDocument/2006/relationships" ref="L791" r:id="rId230"/>
    <hyperlink xmlns:r="http://schemas.openxmlformats.org/officeDocument/2006/relationships" ref="L792" r:id="rId231"/>
    <hyperlink xmlns:r="http://schemas.openxmlformats.org/officeDocument/2006/relationships" ref="L793" r:id="rId232"/>
    <hyperlink xmlns:r="http://schemas.openxmlformats.org/officeDocument/2006/relationships" ref="L794" r:id="rId233"/>
    <hyperlink xmlns:r="http://schemas.openxmlformats.org/officeDocument/2006/relationships" ref="L799" r:id="rId234"/>
    <hyperlink xmlns:r="http://schemas.openxmlformats.org/officeDocument/2006/relationships" ref="L800" r:id="rId235"/>
    <hyperlink xmlns:r="http://schemas.openxmlformats.org/officeDocument/2006/relationships" ref="L801" r:id="rId236"/>
    <hyperlink xmlns:r="http://schemas.openxmlformats.org/officeDocument/2006/relationships" ref="L802" r:id="rId237"/>
    <hyperlink xmlns:r="http://schemas.openxmlformats.org/officeDocument/2006/relationships" ref="L803" r:id="rId238"/>
    <hyperlink xmlns:r="http://schemas.openxmlformats.org/officeDocument/2006/relationships" ref="L804" r:id="rId239"/>
    <hyperlink xmlns:r="http://schemas.openxmlformats.org/officeDocument/2006/relationships" ref="L811" r:id="rId240"/>
    <hyperlink xmlns:r="http://schemas.openxmlformats.org/officeDocument/2006/relationships" ref="L812" r:id="rId241"/>
    <hyperlink xmlns:r="http://schemas.openxmlformats.org/officeDocument/2006/relationships" ref="L813" r:id="rId242"/>
    <hyperlink xmlns:r="http://schemas.openxmlformats.org/officeDocument/2006/relationships" ref="L814" r:id="rId243"/>
    <hyperlink xmlns:r="http://schemas.openxmlformats.org/officeDocument/2006/relationships" ref="L816" r:id="rId244"/>
    <hyperlink xmlns:r="http://schemas.openxmlformats.org/officeDocument/2006/relationships" ref="L817" r:id="rId245"/>
    <hyperlink xmlns:r="http://schemas.openxmlformats.org/officeDocument/2006/relationships" ref="L818" r:id="rId246"/>
    <hyperlink xmlns:r="http://schemas.openxmlformats.org/officeDocument/2006/relationships" ref="L820" r:id="rId247"/>
    <hyperlink xmlns:r="http://schemas.openxmlformats.org/officeDocument/2006/relationships" ref="L823" r:id="rId248"/>
    <hyperlink xmlns:r="http://schemas.openxmlformats.org/officeDocument/2006/relationships" ref="L824" r:id="rId249"/>
    <hyperlink xmlns:r="http://schemas.openxmlformats.org/officeDocument/2006/relationships" ref="L825" r:id="rId250"/>
    <hyperlink xmlns:r="http://schemas.openxmlformats.org/officeDocument/2006/relationships" ref="L826" r:id="rId251"/>
    <hyperlink xmlns:r="http://schemas.openxmlformats.org/officeDocument/2006/relationships" ref="L827" r:id="rId252"/>
    <hyperlink xmlns:r="http://schemas.openxmlformats.org/officeDocument/2006/relationships" ref="L828" r:id="rId253"/>
    <hyperlink xmlns:r="http://schemas.openxmlformats.org/officeDocument/2006/relationships" ref="L829" r:id="rId254"/>
    <hyperlink xmlns:r="http://schemas.openxmlformats.org/officeDocument/2006/relationships" ref="L830" r:id="rId255"/>
    <hyperlink xmlns:r="http://schemas.openxmlformats.org/officeDocument/2006/relationships" ref="L833" r:id="rId256"/>
    <hyperlink xmlns:r="http://schemas.openxmlformats.org/officeDocument/2006/relationships" ref="L834" r:id="rId257"/>
    <hyperlink xmlns:r="http://schemas.openxmlformats.org/officeDocument/2006/relationships" ref="L835" r:id="rId258"/>
    <hyperlink xmlns:r="http://schemas.openxmlformats.org/officeDocument/2006/relationships" ref="L836" r:id="rId259"/>
    <hyperlink xmlns:r="http://schemas.openxmlformats.org/officeDocument/2006/relationships" ref="L837" r:id="rId260"/>
    <hyperlink xmlns:r="http://schemas.openxmlformats.org/officeDocument/2006/relationships" ref="L838" r:id="rId261"/>
    <hyperlink xmlns:r="http://schemas.openxmlformats.org/officeDocument/2006/relationships" ref="L839" r:id="rId262"/>
    <hyperlink xmlns:r="http://schemas.openxmlformats.org/officeDocument/2006/relationships" ref="L840" r:id="rId263"/>
    <hyperlink xmlns:r="http://schemas.openxmlformats.org/officeDocument/2006/relationships" ref="L841" r:id="rId264"/>
    <hyperlink xmlns:r="http://schemas.openxmlformats.org/officeDocument/2006/relationships" ref="L842" r:id="rId265"/>
    <hyperlink xmlns:r="http://schemas.openxmlformats.org/officeDocument/2006/relationships" ref="L845" r:id="rId266"/>
    <hyperlink xmlns:r="http://schemas.openxmlformats.org/officeDocument/2006/relationships" ref="L846" r:id="rId267"/>
    <hyperlink xmlns:r="http://schemas.openxmlformats.org/officeDocument/2006/relationships" ref="L847" r:id="rId268"/>
    <hyperlink xmlns:r="http://schemas.openxmlformats.org/officeDocument/2006/relationships" ref="L848" r:id="rId269"/>
    <hyperlink xmlns:r="http://schemas.openxmlformats.org/officeDocument/2006/relationships" ref="L849" r:id="rId270"/>
    <hyperlink xmlns:r="http://schemas.openxmlformats.org/officeDocument/2006/relationships" ref="L850" r:id="rId271"/>
    <hyperlink xmlns:r="http://schemas.openxmlformats.org/officeDocument/2006/relationships" ref="L851" r:id="rId272"/>
    <hyperlink xmlns:r="http://schemas.openxmlformats.org/officeDocument/2006/relationships" ref="L852" r:id="rId273"/>
    <hyperlink xmlns:r="http://schemas.openxmlformats.org/officeDocument/2006/relationships" ref="L853" r:id="rId274"/>
    <hyperlink xmlns:r="http://schemas.openxmlformats.org/officeDocument/2006/relationships" ref="L854" r:id="rId275"/>
    <hyperlink xmlns:r="http://schemas.openxmlformats.org/officeDocument/2006/relationships" ref="L855" r:id="rId276"/>
    <hyperlink xmlns:r="http://schemas.openxmlformats.org/officeDocument/2006/relationships" ref="L856" r:id="rId277"/>
    <hyperlink xmlns:r="http://schemas.openxmlformats.org/officeDocument/2006/relationships" ref="L857" r:id="rId278"/>
    <hyperlink xmlns:r="http://schemas.openxmlformats.org/officeDocument/2006/relationships" ref="L858" r:id="rId279"/>
    <hyperlink xmlns:r="http://schemas.openxmlformats.org/officeDocument/2006/relationships" ref="L859" r:id="rId280"/>
    <hyperlink xmlns:r="http://schemas.openxmlformats.org/officeDocument/2006/relationships" ref="L860" r:id="rId281"/>
    <hyperlink xmlns:r="http://schemas.openxmlformats.org/officeDocument/2006/relationships" ref="L861" r:id="rId282"/>
    <hyperlink xmlns:r="http://schemas.openxmlformats.org/officeDocument/2006/relationships" ref="L862" r:id="rId283"/>
    <hyperlink xmlns:r="http://schemas.openxmlformats.org/officeDocument/2006/relationships" ref="L864" r:id="rId284"/>
    <hyperlink xmlns:r="http://schemas.openxmlformats.org/officeDocument/2006/relationships" ref="L868" r:id="rId285"/>
    <hyperlink xmlns:r="http://schemas.openxmlformats.org/officeDocument/2006/relationships" ref="L869" r:id="rId286"/>
    <hyperlink xmlns:r="http://schemas.openxmlformats.org/officeDocument/2006/relationships" ref="L870" r:id="rId287"/>
    <hyperlink xmlns:r="http://schemas.openxmlformats.org/officeDocument/2006/relationships" ref="L871" r:id="rId288"/>
    <hyperlink xmlns:r="http://schemas.openxmlformats.org/officeDocument/2006/relationships" ref="L872" r:id="rId289"/>
    <hyperlink xmlns:r="http://schemas.openxmlformats.org/officeDocument/2006/relationships" ref="L875" r:id="rId290"/>
    <hyperlink xmlns:r="http://schemas.openxmlformats.org/officeDocument/2006/relationships" ref="L876" r:id="rId291"/>
    <hyperlink xmlns:r="http://schemas.openxmlformats.org/officeDocument/2006/relationships" ref="L877" r:id="rId292"/>
    <hyperlink xmlns:r="http://schemas.openxmlformats.org/officeDocument/2006/relationships" ref="L878" r:id="rId293"/>
    <hyperlink xmlns:r="http://schemas.openxmlformats.org/officeDocument/2006/relationships" ref="L879" r:id="rId294"/>
    <hyperlink xmlns:r="http://schemas.openxmlformats.org/officeDocument/2006/relationships" ref="L882" r:id="rId295"/>
    <hyperlink xmlns:r="http://schemas.openxmlformats.org/officeDocument/2006/relationships" ref="L885" r:id="rId296"/>
    <hyperlink xmlns:r="http://schemas.openxmlformats.org/officeDocument/2006/relationships" ref="L886" r:id="rId297"/>
    <hyperlink xmlns:r="http://schemas.openxmlformats.org/officeDocument/2006/relationships" ref="L887" r:id="rId298"/>
    <hyperlink xmlns:r="http://schemas.openxmlformats.org/officeDocument/2006/relationships" ref="L888" r:id="rId299"/>
    <hyperlink xmlns:r="http://schemas.openxmlformats.org/officeDocument/2006/relationships" ref="L889" r:id="rId300"/>
    <hyperlink xmlns:r="http://schemas.openxmlformats.org/officeDocument/2006/relationships" ref="L894" r:id="rId301"/>
    <hyperlink xmlns:r="http://schemas.openxmlformats.org/officeDocument/2006/relationships" ref="L895" r:id="rId302"/>
    <hyperlink xmlns:r="http://schemas.openxmlformats.org/officeDocument/2006/relationships" ref="L896" r:id="rId303"/>
    <hyperlink xmlns:r="http://schemas.openxmlformats.org/officeDocument/2006/relationships" ref="L897" r:id="rId304"/>
    <hyperlink xmlns:r="http://schemas.openxmlformats.org/officeDocument/2006/relationships" ref="L898" r:id="rId305"/>
    <hyperlink xmlns:r="http://schemas.openxmlformats.org/officeDocument/2006/relationships" ref="L899" r:id="rId306"/>
    <hyperlink xmlns:r="http://schemas.openxmlformats.org/officeDocument/2006/relationships" ref="L900" r:id="rId307"/>
    <hyperlink xmlns:r="http://schemas.openxmlformats.org/officeDocument/2006/relationships" ref="L901" r:id="rId308"/>
    <hyperlink xmlns:r="http://schemas.openxmlformats.org/officeDocument/2006/relationships" ref="L902" r:id="rId309"/>
    <hyperlink xmlns:r="http://schemas.openxmlformats.org/officeDocument/2006/relationships" ref="L903" r:id="rId310"/>
    <hyperlink xmlns:r="http://schemas.openxmlformats.org/officeDocument/2006/relationships" ref="L904" r:id="rId311"/>
    <hyperlink xmlns:r="http://schemas.openxmlformats.org/officeDocument/2006/relationships" ref="L905" r:id="rId312"/>
    <hyperlink xmlns:r="http://schemas.openxmlformats.org/officeDocument/2006/relationships" ref="L906" r:id="rId313"/>
    <hyperlink xmlns:r="http://schemas.openxmlformats.org/officeDocument/2006/relationships" ref="L907" r:id="rId314"/>
    <hyperlink xmlns:r="http://schemas.openxmlformats.org/officeDocument/2006/relationships" ref="L908" r:id="rId315"/>
    <hyperlink xmlns:r="http://schemas.openxmlformats.org/officeDocument/2006/relationships" ref="L909" r:id="rId316"/>
    <hyperlink xmlns:r="http://schemas.openxmlformats.org/officeDocument/2006/relationships" ref="L910" r:id="rId317"/>
    <hyperlink xmlns:r="http://schemas.openxmlformats.org/officeDocument/2006/relationships" ref="L911" r:id="rId318"/>
    <hyperlink xmlns:r="http://schemas.openxmlformats.org/officeDocument/2006/relationships" ref="L912" r:id="rId319"/>
    <hyperlink xmlns:r="http://schemas.openxmlformats.org/officeDocument/2006/relationships" ref="L914" r:id="rId320"/>
    <hyperlink xmlns:r="http://schemas.openxmlformats.org/officeDocument/2006/relationships" ref="L915" r:id="rId321"/>
    <hyperlink xmlns:r="http://schemas.openxmlformats.org/officeDocument/2006/relationships" ref="L920" r:id="rId322"/>
    <hyperlink xmlns:r="http://schemas.openxmlformats.org/officeDocument/2006/relationships" ref="L928" r:id="rId323"/>
    <hyperlink xmlns:r="http://schemas.openxmlformats.org/officeDocument/2006/relationships" ref="L934" r:id="rId324"/>
    <hyperlink xmlns:r="http://schemas.openxmlformats.org/officeDocument/2006/relationships" ref="L938" r:id="rId325"/>
    <hyperlink xmlns:r="http://schemas.openxmlformats.org/officeDocument/2006/relationships" ref="L939" r:id="rId326"/>
    <hyperlink xmlns:r="http://schemas.openxmlformats.org/officeDocument/2006/relationships" ref="L940" r:id="rId327"/>
    <hyperlink xmlns:r="http://schemas.openxmlformats.org/officeDocument/2006/relationships" ref="L943" r:id="rId328"/>
    <hyperlink xmlns:r="http://schemas.openxmlformats.org/officeDocument/2006/relationships" ref="L948" r:id="rId329"/>
    <hyperlink xmlns:r="http://schemas.openxmlformats.org/officeDocument/2006/relationships" ref="L949" r:id="rId330"/>
    <hyperlink xmlns:r="http://schemas.openxmlformats.org/officeDocument/2006/relationships" ref="L951" r:id="rId331"/>
    <hyperlink xmlns:r="http://schemas.openxmlformats.org/officeDocument/2006/relationships" ref="L952" r:id="rId332"/>
    <hyperlink xmlns:r="http://schemas.openxmlformats.org/officeDocument/2006/relationships" ref="L953" r:id="rId333"/>
    <hyperlink xmlns:r="http://schemas.openxmlformats.org/officeDocument/2006/relationships" ref="L954" r:id="rId334"/>
    <hyperlink xmlns:r="http://schemas.openxmlformats.org/officeDocument/2006/relationships" ref="L956" r:id="rId335"/>
    <hyperlink xmlns:r="http://schemas.openxmlformats.org/officeDocument/2006/relationships" ref="L957" r:id="rId336"/>
    <hyperlink xmlns:r="http://schemas.openxmlformats.org/officeDocument/2006/relationships" ref="L958" r:id="rId337"/>
    <hyperlink xmlns:r="http://schemas.openxmlformats.org/officeDocument/2006/relationships" ref="L959" r:id="rId338"/>
    <hyperlink xmlns:r="http://schemas.openxmlformats.org/officeDocument/2006/relationships" ref="L960" r:id="rId339"/>
    <hyperlink xmlns:r="http://schemas.openxmlformats.org/officeDocument/2006/relationships" ref="L962" r:id="rId340"/>
    <hyperlink xmlns:r="http://schemas.openxmlformats.org/officeDocument/2006/relationships" ref="L963" r:id="rId341"/>
    <hyperlink xmlns:r="http://schemas.openxmlformats.org/officeDocument/2006/relationships" ref="L964" r:id="rId342"/>
    <hyperlink xmlns:r="http://schemas.openxmlformats.org/officeDocument/2006/relationships" ref="L965" r:id="rId343"/>
    <hyperlink xmlns:r="http://schemas.openxmlformats.org/officeDocument/2006/relationships" ref="L966" r:id="rId344"/>
    <hyperlink xmlns:r="http://schemas.openxmlformats.org/officeDocument/2006/relationships" ref="L967" r:id="rId345"/>
    <hyperlink xmlns:r="http://schemas.openxmlformats.org/officeDocument/2006/relationships" ref="L968" r:id="rId346"/>
    <hyperlink xmlns:r="http://schemas.openxmlformats.org/officeDocument/2006/relationships" ref="L969" r:id="rId347"/>
    <hyperlink xmlns:r="http://schemas.openxmlformats.org/officeDocument/2006/relationships" ref="L970" r:id="rId348"/>
    <hyperlink xmlns:r="http://schemas.openxmlformats.org/officeDocument/2006/relationships" ref="L974" r:id="rId349"/>
    <hyperlink xmlns:r="http://schemas.openxmlformats.org/officeDocument/2006/relationships" ref="L975" r:id="rId350"/>
    <hyperlink xmlns:r="http://schemas.openxmlformats.org/officeDocument/2006/relationships" ref="L976" r:id="rId351"/>
    <hyperlink xmlns:r="http://schemas.openxmlformats.org/officeDocument/2006/relationships" ref="L977" r:id="rId352"/>
    <hyperlink xmlns:r="http://schemas.openxmlformats.org/officeDocument/2006/relationships" ref="L982" r:id="rId353"/>
    <hyperlink xmlns:r="http://schemas.openxmlformats.org/officeDocument/2006/relationships" ref="L983" r:id="rId354"/>
    <hyperlink xmlns:r="http://schemas.openxmlformats.org/officeDocument/2006/relationships" ref="L984" r:id="rId355"/>
    <hyperlink xmlns:r="http://schemas.openxmlformats.org/officeDocument/2006/relationships" ref="L985" r:id="rId356"/>
    <hyperlink xmlns:r="http://schemas.openxmlformats.org/officeDocument/2006/relationships" ref="L986" r:id="rId357"/>
    <hyperlink xmlns:r="http://schemas.openxmlformats.org/officeDocument/2006/relationships" ref="L991" r:id="rId358"/>
    <hyperlink xmlns:r="http://schemas.openxmlformats.org/officeDocument/2006/relationships" ref="L992" r:id="rId359"/>
    <hyperlink xmlns:r="http://schemas.openxmlformats.org/officeDocument/2006/relationships" ref="L993" r:id="rId360"/>
    <hyperlink xmlns:r="http://schemas.openxmlformats.org/officeDocument/2006/relationships" ref="L994" r:id="rId361"/>
    <hyperlink xmlns:r="http://schemas.openxmlformats.org/officeDocument/2006/relationships" ref="L995" r:id="rId362"/>
    <hyperlink xmlns:r="http://schemas.openxmlformats.org/officeDocument/2006/relationships" ref="L996" r:id="rId363"/>
    <hyperlink xmlns:r="http://schemas.openxmlformats.org/officeDocument/2006/relationships" ref="L997" r:id="rId364"/>
    <hyperlink xmlns:r="http://schemas.openxmlformats.org/officeDocument/2006/relationships" ref="L998" r:id="rId365"/>
    <hyperlink xmlns:r="http://schemas.openxmlformats.org/officeDocument/2006/relationships" ref="L999" r:id="rId366"/>
    <hyperlink xmlns:r="http://schemas.openxmlformats.org/officeDocument/2006/relationships" ref="L1000" r:id="rId367"/>
    <hyperlink xmlns:r="http://schemas.openxmlformats.org/officeDocument/2006/relationships" ref="L1001" r:id="rId368"/>
    <hyperlink xmlns:r="http://schemas.openxmlformats.org/officeDocument/2006/relationships" ref="L1002" r:id="rId369"/>
    <hyperlink xmlns:r="http://schemas.openxmlformats.org/officeDocument/2006/relationships" ref="L1003" r:id="rId370"/>
    <hyperlink xmlns:r="http://schemas.openxmlformats.org/officeDocument/2006/relationships" ref="L1004" r:id="rId371"/>
    <hyperlink xmlns:r="http://schemas.openxmlformats.org/officeDocument/2006/relationships" ref="L1005" r:id="rId372"/>
    <hyperlink xmlns:r="http://schemas.openxmlformats.org/officeDocument/2006/relationships" ref="L1006" r:id="rId373"/>
    <hyperlink xmlns:r="http://schemas.openxmlformats.org/officeDocument/2006/relationships" ref="L1007" r:id="rId374"/>
    <hyperlink xmlns:r="http://schemas.openxmlformats.org/officeDocument/2006/relationships" ref="L1008" r:id="rId375"/>
    <hyperlink xmlns:r="http://schemas.openxmlformats.org/officeDocument/2006/relationships" ref="L1010" r:id="rId376"/>
    <hyperlink xmlns:r="http://schemas.openxmlformats.org/officeDocument/2006/relationships" ref="L1011" r:id="rId377"/>
    <hyperlink xmlns:r="http://schemas.openxmlformats.org/officeDocument/2006/relationships" ref="L1013" r:id="rId378"/>
    <hyperlink xmlns:r="http://schemas.openxmlformats.org/officeDocument/2006/relationships" ref="L1015" r:id="rId379"/>
    <hyperlink xmlns:r="http://schemas.openxmlformats.org/officeDocument/2006/relationships" ref="L1016" r:id="rId380"/>
    <hyperlink xmlns:r="http://schemas.openxmlformats.org/officeDocument/2006/relationships" ref="L1017" r:id="rId381"/>
    <hyperlink xmlns:r="http://schemas.openxmlformats.org/officeDocument/2006/relationships" ref="L1018" r:id="rId382"/>
    <hyperlink xmlns:r="http://schemas.openxmlformats.org/officeDocument/2006/relationships" ref="L1019" r:id="rId383"/>
    <hyperlink xmlns:r="http://schemas.openxmlformats.org/officeDocument/2006/relationships" ref="L1020" r:id="rId384"/>
    <hyperlink xmlns:r="http://schemas.openxmlformats.org/officeDocument/2006/relationships" ref="L1021" r:id="rId385"/>
    <hyperlink xmlns:r="http://schemas.openxmlformats.org/officeDocument/2006/relationships" ref="L1024" r:id="rId386"/>
    <hyperlink xmlns:r="http://schemas.openxmlformats.org/officeDocument/2006/relationships" ref="L1025" r:id="rId387"/>
    <hyperlink xmlns:r="http://schemas.openxmlformats.org/officeDocument/2006/relationships" ref="L1027" r:id="rId388"/>
    <hyperlink xmlns:r="http://schemas.openxmlformats.org/officeDocument/2006/relationships" ref="L1029" r:id="rId389"/>
    <hyperlink xmlns:r="http://schemas.openxmlformats.org/officeDocument/2006/relationships" ref="L1030" r:id="rId390"/>
    <hyperlink xmlns:r="http://schemas.openxmlformats.org/officeDocument/2006/relationships" ref="L1031" r:id="rId391"/>
    <hyperlink xmlns:r="http://schemas.openxmlformats.org/officeDocument/2006/relationships" ref="L1033" r:id="rId392"/>
    <hyperlink xmlns:r="http://schemas.openxmlformats.org/officeDocument/2006/relationships" ref="L1034" r:id="rId393"/>
    <hyperlink xmlns:r="http://schemas.openxmlformats.org/officeDocument/2006/relationships" ref="L1035" r:id="rId394"/>
    <hyperlink xmlns:r="http://schemas.openxmlformats.org/officeDocument/2006/relationships" ref="L1037" r:id="rId395"/>
    <hyperlink xmlns:r="http://schemas.openxmlformats.org/officeDocument/2006/relationships" ref="L1038" r:id="rId396"/>
    <hyperlink xmlns:r="http://schemas.openxmlformats.org/officeDocument/2006/relationships" ref="L1039" r:id="rId397"/>
    <hyperlink xmlns:r="http://schemas.openxmlformats.org/officeDocument/2006/relationships" ref="L1040" r:id="rId398"/>
    <hyperlink xmlns:r="http://schemas.openxmlformats.org/officeDocument/2006/relationships" ref="L1043" r:id="rId399"/>
    <hyperlink xmlns:r="http://schemas.openxmlformats.org/officeDocument/2006/relationships" ref="L1044" r:id="rId400"/>
    <hyperlink xmlns:r="http://schemas.openxmlformats.org/officeDocument/2006/relationships" ref="L1045" r:id="rId401"/>
    <hyperlink xmlns:r="http://schemas.openxmlformats.org/officeDocument/2006/relationships" ref="L1048" r:id="rId402"/>
    <hyperlink xmlns:r="http://schemas.openxmlformats.org/officeDocument/2006/relationships" ref="L1051" display="三種のマカロニサラダ" r:id="rId403"/>
    <hyperlink xmlns:r="http://schemas.openxmlformats.org/officeDocument/2006/relationships" ref="L1052" display="三種のマカロニサラダ" r:id="rId404"/>
    <hyperlink xmlns:r="http://schemas.openxmlformats.org/officeDocument/2006/relationships" ref="L1054" r:id="rId405"/>
    <hyperlink xmlns:r="http://schemas.openxmlformats.org/officeDocument/2006/relationships" ref="L1055" r:id="rId406"/>
    <hyperlink xmlns:r="http://schemas.openxmlformats.org/officeDocument/2006/relationships" ref="L1056" r:id="rId407"/>
    <hyperlink xmlns:r="http://schemas.openxmlformats.org/officeDocument/2006/relationships" ref="L1058" r:id="rId408"/>
    <hyperlink xmlns:r="http://schemas.openxmlformats.org/officeDocument/2006/relationships" ref="L1059" r:id="rId409"/>
    <hyperlink xmlns:r="http://schemas.openxmlformats.org/officeDocument/2006/relationships" ref="L1060" r:id="rId410"/>
    <hyperlink xmlns:r="http://schemas.openxmlformats.org/officeDocument/2006/relationships" ref="L1068" r:id="rId411"/>
    <hyperlink xmlns:r="http://schemas.openxmlformats.org/officeDocument/2006/relationships" ref="L1070" r:id="rId412"/>
    <hyperlink xmlns:r="http://schemas.openxmlformats.org/officeDocument/2006/relationships" ref="L1071" r:id="rId413"/>
    <hyperlink xmlns:r="http://schemas.openxmlformats.org/officeDocument/2006/relationships" ref="L1072" r:id="rId414"/>
    <hyperlink xmlns:r="http://schemas.openxmlformats.org/officeDocument/2006/relationships" ref="L1074" r:id="rId415"/>
    <hyperlink xmlns:r="http://schemas.openxmlformats.org/officeDocument/2006/relationships" ref="L1075" r:id="rId416"/>
    <hyperlink xmlns:r="http://schemas.openxmlformats.org/officeDocument/2006/relationships" ref="L1076" r:id="rId417"/>
    <hyperlink xmlns:r="http://schemas.openxmlformats.org/officeDocument/2006/relationships" ref="L1078" r:id="rId418"/>
    <hyperlink xmlns:r="http://schemas.openxmlformats.org/officeDocument/2006/relationships" ref="L1079" r:id="rId419"/>
    <hyperlink xmlns:r="http://schemas.openxmlformats.org/officeDocument/2006/relationships" ref="L1080" r:id="rId420"/>
    <hyperlink xmlns:r="http://schemas.openxmlformats.org/officeDocument/2006/relationships" ref="L1081" r:id="rId421"/>
    <hyperlink xmlns:r="http://schemas.openxmlformats.org/officeDocument/2006/relationships" ref="L1082" r:id="rId422"/>
    <hyperlink xmlns:r="http://schemas.openxmlformats.org/officeDocument/2006/relationships" ref="L1083" r:id="rId423"/>
    <hyperlink xmlns:r="http://schemas.openxmlformats.org/officeDocument/2006/relationships" ref="L1084" r:id="rId424"/>
    <hyperlink xmlns:r="http://schemas.openxmlformats.org/officeDocument/2006/relationships" ref="L1087" r:id="rId425"/>
    <hyperlink xmlns:r="http://schemas.openxmlformats.org/officeDocument/2006/relationships" ref="L1093" r:id="rId426"/>
    <hyperlink xmlns:r="http://schemas.openxmlformats.org/officeDocument/2006/relationships" ref="L1096" r:id="rId427"/>
    <hyperlink xmlns:r="http://schemas.openxmlformats.org/officeDocument/2006/relationships" ref="L1097" r:id="rId428"/>
    <hyperlink xmlns:r="http://schemas.openxmlformats.org/officeDocument/2006/relationships" ref="L1102" r:id="rId429"/>
    <hyperlink xmlns:r="http://schemas.openxmlformats.org/officeDocument/2006/relationships" ref="L1106" r:id="rId430"/>
    <hyperlink xmlns:r="http://schemas.openxmlformats.org/officeDocument/2006/relationships" ref="L1108" r:id="rId431"/>
    <hyperlink xmlns:r="http://schemas.openxmlformats.org/officeDocument/2006/relationships" ref="L1109" r:id="rId432"/>
    <hyperlink xmlns:r="http://schemas.openxmlformats.org/officeDocument/2006/relationships" ref="L1113" r:id="rId433"/>
    <hyperlink xmlns:r="http://schemas.openxmlformats.org/officeDocument/2006/relationships" ref="L1121" r:id="rId434"/>
    <hyperlink xmlns:r="http://schemas.openxmlformats.org/officeDocument/2006/relationships" ref="L1137" r:id="rId435"/>
    <hyperlink xmlns:r="http://schemas.openxmlformats.org/officeDocument/2006/relationships" ref="L1138" r:id="rId436"/>
    <hyperlink xmlns:r="http://schemas.openxmlformats.org/officeDocument/2006/relationships" ref="L1143" r:id="rId437"/>
    <hyperlink xmlns:r="http://schemas.openxmlformats.org/officeDocument/2006/relationships" ref="L1144" r:id="rId438"/>
    <hyperlink xmlns:r="http://schemas.openxmlformats.org/officeDocument/2006/relationships" ref="L1147" r:id="rId439"/>
    <hyperlink xmlns:r="http://schemas.openxmlformats.org/officeDocument/2006/relationships" ref="L1149" r:id="rId440"/>
    <hyperlink xmlns:r="http://schemas.openxmlformats.org/officeDocument/2006/relationships" ref="L1151" r:id="rId441"/>
    <hyperlink xmlns:r="http://schemas.openxmlformats.org/officeDocument/2006/relationships" ref="L1153" r:id="rId442"/>
    <hyperlink xmlns:r="http://schemas.openxmlformats.org/officeDocument/2006/relationships" ref="L1154" r:id="rId443"/>
    <hyperlink xmlns:r="http://schemas.openxmlformats.org/officeDocument/2006/relationships" ref="L1155" r:id="rId444"/>
    <hyperlink xmlns:r="http://schemas.openxmlformats.org/officeDocument/2006/relationships" ref="L1156" r:id="rId445"/>
    <hyperlink xmlns:r="http://schemas.openxmlformats.org/officeDocument/2006/relationships" ref="L1157" r:id="rId446"/>
    <hyperlink xmlns:r="http://schemas.openxmlformats.org/officeDocument/2006/relationships" ref="L1158" r:id="rId447"/>
    <hyperlink xmlns:r="http://schemas.openxmlformats.org/officeDocument/2006/relationships" ref="L1159" r:id="rId448"/>
    <hyperlink xmlns:r="http://schemas.openxmlformats.org/officeDocument/2006/relationships" ref="L1160" r:id="rId449"/>
    <hyperlink xmlns:r="http://schemas.openxmlformats.org/officeDocument/2006/relationships" ref="L1164" r:id="rId450"/>
    <hyperlink xmlns:r="http://schemas.openxmlformats.org/officeDocument/2006/relationships" ref="L1166" r:id="rId451"/>
    <hyperlink xmlns:r="http://schemas.openxmlformats.org/officeDocument/2006/relationships" ref="L1167" r:id="rId452"/>
    <hyperlink xmlns:r="http://schemas.openxmlformats.org/officeDocument/2006/relationships" ref="L1168" r:id="rId453"/>
    <hyperlink xmlns:r="http://schemas.openxmlformats.org/officeDocument/2006/relationships" ref="L1169" r:id="rId454"/>
    <hyperlink xmlns:r="http://schemas.openxmlformats.org/officeDocument/2006/relationships" ref="L1173" r:id="rId455"/>
    <hyperlink xmlns:r="http://schemas.openxmlformats.org/officeDocument/2006/relationships" ref="L1181" r:id="rId456"/>
    <hyperlink xmlns:r="http://schemas.openxmlformats.org/officeDocument/2006/relationships" ref="L1200" r:id="rId457"/>
    <hyperlink xmlns:r="http://schemas.openxmlformats.org/officeDocument/2006/relationships" ref="L1203" r:id="rId458"/>
    <hyperlink xmlns:r="http://schemas.openxmlformats.org/officeDocument/2006/relationships" ref="L1204" r:id="rId459"/>
    <hyperlink xmlns:r="http://schemas.openxmlformats.org/officeDocument/2006/relationships" ref="L1205" r:id="rId460"/>
    <hyperlink xmlns:r="http://schemas.openxmlformats.org/officeDocument/2006/relationships" ref="L1209" r:id="rId461"/>
    <hyperlink xmlns:r="http://schemas.openxmlformats.org/officeDocument/2006/relationships" ref="L1210" r:id="rId462"/>
    <hyperlink xmlns:r="http://schemas.openxmlformats.org/officeDocument/2006/relationships" ref="L1213" r:id="rId463"/>
    <hyperlink xmlns:r="http://schemas.openxmlformats.org/officeDocument/2006/relationships" ref="L1222" r:id="rId464"/>
    <hyperlink xmlns:r="http://schemas.openxmlformats.org/officeDocument/2006/relationships" ref="L1224" r:id="rId465"/>
    <hyperlink xmlns:r="http://schemas.openxmlformats.org/officeDocument/2006/relationships" ref="L1225" r:id="rId466"/>
    <hyperlink xmlns:r="http://schemas.openxmlformats.org/officeDocument/2006/relationships" ref="L1226" r:id="rId467"/>
    <hyperlink xmlns:r="http://schemas.openxmlformats.org/officeDocument/2006/relationships" ref="L1227" r:id="rId468"/>
    <hyperlink xmlns:r="http://schemas.openxmlformats.org/officeDocument/2006/relationships" ref="L1228" r:id="rId469"/>
    <hyperlink xmlns:r="http://schemas.openxmlformats.org/officeDocument/2006/relationships" ref="L1229" r:id="rId470"/>
    <hyperlink xmlns:r="http://schemas.openxmlformats.org/officeDocument/2006/relationships" ref="L1230" r:id="rId471"/>
    <hyperlink xmlns:r="http://schemas.openxmlformats.org/officeDocument/2006/relationships" ref="L1231" r:id="rId472"/>
    <hyperlink xmlns:r="http://schemas.openxmlformats.org/officeDocument/2006/relationships" ref="L1232" r:id="rId473"/>
    <hyperlink xmlns:r="http://schemas.openxmlformats.org/officeDocument/2006/relationships" ref="L1244" r:id="rId474"/>
    <hyperlink xmlns:r="http://schemas.openxmlformats.org/officeDocument/2006/relationships" ref="L1245" r:id="rId475"/>
    <hyperlink xmlns:r="http://schemas.openxmlformats.org/officeDocument/2006/relationships" ref="L1246" r:id="rId476"/>
    <hyperlink xmlns:r="http://schemas.openxmlformats.org/officeDocument/2006/relationships" ref="L1251" r:id="rId477"/>
    <hyperlink xmlns:r="http://schemas.openxmlformats.org/officeDocument/2006/relationships" ref="L1253" r:id="rId478"/>
    <hyperlink xmlns:r="http://schemas.openxmlformats.org/officeDocument/2006/relationships" ref="L1254" r:id="rId479"/>
    <hyperlink xmlns:r="http://schemas.openxmlformats.org/officeDocument/2006/relationships" ref="L1255" r:id="rId480"/>
    <hyperlink xmlns:r="http://schemas.openxmlformats.org/officeDocument/2006/relationships" ref="L1256" r:id="rId481"/>
    <hyperlink xmlns:r="http://schemas.openxmlformats.org/officeDocument/2006/relationships" ref="L1257" r:id="rId482"/>
    <hyperlink xmlns:r="http://schemas.openxmlformats.org/officeDocument/2006/relationships" ref="L1258" r:id="rId483"/>
    <hyperlink xmlns:r="http://schemas.openxmlformats.org/officeDocument/2006/relationships" ref="L1282" r:id="rId484"/>
    <hyperlink xmlns:r="http://schemas.openxmlformats.org/officeDocument/2006/relationships" ref="L1294" r:id="rId485"/>
    <hyperlink xmlns:r="http://schemas.openxmlformats.org/officeDocument/2006/relationships" ref="L1295" r:id="rId486"/>
    <hyperlink xmlns:r="http://schemas.openxmlformats.org/officeDocument/2006/relationships" ref="L1296" r:id="rId487"/>
  </hyperlink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3"/>
  <cols>
    <col width="6" customWidth="1" style="438" min="1" max="1"/>
    <col width="18" customWidth="1" style="438" min="2" max="2"/>
    <col width="6" customWidth="1" style="438" min="3" max="3"/>
    <col width="34" customWidth="1" style="438" min="4" max="4"/>
    <col width="10" customWidth="1" style="438" min="5" max="6"/>
    <col width="11" customWidth="1" style="438" min="7" max="9"/>
    <col width="20" customWidth="1" style="438" min="11" max="11"/>
    <col width="11" customWidth="1" style="438" min="12" max="16"/>
  </cols>
  <sheetData>
    <row r="1" ht="14" customHeight="1" s="438">
      <c r="A1" s="389" t="inlineStr">
        <is>
          <t>⑰ 工程労務費一覧（7つの工程入力シートを統合／全行を中間品として扱う）</t>
        </is>
      </c>
    </row>
    <row r="2">
      <c r="A2" s="390" t="inlineStr">
        <is>
          <t>※このシートは全て自動参照。工程入力シートを更新すれば自動で追随します。編集不要。</t>
        </is>
      </c>
    </row>
    <row r="3"/>
    <row r="4" ht="32" customHeight="1" s="438">
      <c r="A4" s="391" t="inlineStr">
        <is>
          <t>No.</t>
        </is>
      </c>
      <c r="B4" s="391" t="inlineStr">
        <is>
          <t>工程シート</t>
        </is>
      </c>
      <c r="C4" s="391" t="inlineStr">
        <is>
          <t>元行</t>
        </is>
      </c>
      <c r="D4" s="391" t="inlineStr">
        <is>
          <t>中間品名
(工程入力C列)</t>
        </is>
      </c>
      <c r="E4" s="391" t="inlineStr">
        <is>
          <t>重量
(kg)</t>
        </is>
      </c>
      <c r="F4" s="391" t="inlineStr">
        <is>
          <t>個数
(個)</t>
        </is>
      </c>
      <c r="G4" s="391" t="inlineStr">
        <is>
          <t>労務費
(円)</t>
        </is>
      </c>
      <c r="H4" s="391" t="inlineStr">
        <is>
          <t>円/kg</t>
        </is>
      </c>
      <c r="I4" s="391" t="inlineStr">
        <is>
          <t>円/個</t>
        </is>
      </c>
      <c r="K4" s="391" t="inlineStr">
        <is>
          <t>工程シート</t>
        </is>
      </c>
      <c r="L4" s="391" t="inlineStr">
        <is>
          <t>労務費計
(円)</t>
        </is>
      </c>
      <c r="M4" s="391" t="inlineStr">
        <is>
          <t>重量計
(kg)</t>
        </is>
      </c>
      <c r="N4" s="391" t="inlineStr">
        <is>
          <t>工程平均
円/kg</t>
        </is>
      </c>
      <c r="O4" s="391" t="inlineStr">
        <is>
          <t>個数計
(個)</t>
        </is>
      </c>
      <c r="P4" s="391" t="inlineStr">
        <is>
          <t>工程平均
円/個</t>
        </is>
      </c>
    </row>
    <row r="5">
      <c r="A5" s="392" t="n">
        <v>1</v>
      </c>
      <c r="B5" s="392" t="inlineStr">
        <is>
          <t>②釜工程入力</t>
        </is>
      </c>
      <c r="C5" s="392" t="n">
        <v>5</v>
      </c>
      <c r="D5" s="392">
        <f>②釜工程入力!C5</f>
        <v/>
      </c>
      <c r="E5" s="393">
        <f>②釜工程入力!I5</f>
        <v/>
      </c>
      <c r="F5" s="393">
        <f>②釜工程入力!J5</f>
        <v/>
      </c>
      <c r="G5" s="393">
        <f>②釜工程入力!M5</f>
        <v/>
      </c>
      <c r="H5" s="393">
        <f>②釜工程入力!N5</f>
        <v/>
      </c>
      <c r="I5" s="393">
        <f>②釜工程入力!O5</f>
        <v/>
      </c>
      <c r="K5" s="392" t="inlineStr">
        <is>
          <t>②釜工程入力</t>
        </is>
      </c>
      <c r="L5" s="398">
        <f>SUMIFS($G$5:$G$753,$B$5:$B$753,$K5)</f>
        <v/>
      </c>
      <c r="M5" s="398">
        <f>SUMIFS($E$5:$E$753,$B$5:$B$753,$K5,$E$5:$E$753,"&gt;0",$G$5:$G$753,"&gt;0")</f>
        <v/>
      </c>
      <c r="N5" s="393">
        <f>IF($M5&gt;0,SUMIFS($G$5:$G$753,$B$5:$B$753,$K5,$E$5:$E$753,"&gt;0")/$M5,"")</f>
        <v/>
      </c>
      <c r="O5" s="398">
        <f>SUMIFS($F$5:$F$753,$B$5:$B$753,$K5,$F$5:$F$753,"&gt;0",$G$5:$G$753,"&gt;0")-SUMIFS($F$5:$F$753,$B$5:$B$753,$K5,$F$5:$F$753,"&gt;0",$E$5:$E$753,"&gt;0",$G$5:$G$753,"&gt;0")</f>
        <v/>
      </c>
      <c r="P5" s="393">
        <f>IF($O5&gt;0,(SUMIFS($G$5:$G$753,$B$5:$B$753,$K5,$F$5:$F$753,"&gt;0")-SUMIFS($G$5:$G$753,$B$5:$B$753,$K5,$F$5:$F$753,"&gt;0",$E$5:$E$753,"&gt;0"))/$O5,"")</f>
        <v/>
      </c>
    </row>
    <row r="6">
      <c r="A6" s="392" t="n">
        <v>2</v>
      </c>
      <c r="B6" s="392" t="inlineStr">
        <is>
          <t>②釜工程入力</t>
        </is>
      </c>
      <c r="C6" s="392" t="n">
        <v>6</v>
      </c>
      <c r="D6" s="392">
        <f>②釜工程入力!C6</f>
        <v/>
      </c>
      <c r="E6" s="393">
        <f>②釜工程入力!I6</f>
        <v/>
      </c>
      <c r="F6" s="393">
        <f>②釜工程入力!J6</f>
        <v/>
      </c>
      <c r="G6" s="393">
        <f>②釜工程入力!M6</f>
        <v/>
      </c>
      <c r="H6" s="393">
        <f>②釜工程入力!N6</f>
        <v/>
      </c>
      <c r="I6" s="393">
        <f>②釜工程入力!O6</f>
        <v/>
      </c>
      <c r="K6" s="392" t="inlineStr">
        <is>
          <t>③スチコン工程入力</t>
        </is>
      </c>
      <c r="L6" s="398">
        <f>SUMIFS($G$5:$G$753,$B$5:$B$753,$K6)</f>
        <v/>
      </c>
      <c r="M6" s="398">
        <f>SUMIFS($E$5:$E$753,$B$5:$B$753,$K6,$E$5:$E$753,"&gt;0",$G$5:$G$753,"&gt;0")</f>
        <v/>
      </c>
      <c r="N6" s="393">
        <f>IF($M6&gt;0,SUMIFS($G$5:$G$753,$B$5:$B$753,$K6,$E$5:$E$753,"&gt;0")/$M6,"")</f>
        <v/>
      </c>
      <c r="O6" s="398">
        <f>SUMIFS($F$5:$F$753,$B$5:$B$753,$K6,$F$5:$F$753,"&gt;0",$G$5:$G$753,"&gt;0")-SUMIFS($F$5:$F$753,$B$5:$B$753,$K6,$F$5:$F$753,"&gt;0",$E$5:$E$753,"&gt;0",$G$5:$G$753,"&gt;0")</f>
        <v/>
      </c>
      <c r="P6" s="393">
        <f>IF($O6&gt;0,(SUMIFS($G$5:$G$753,$B$5:$B$753,$K6,$F$5:$F$753,"&gt;0")-SUMIFS($G$5:$G$753,$B$5:$B$753,$K6,$F$5:$F$753,"&gt;0",$E$5:$E$753,"&gt;0"))/$O6,"")</f>
        <v/>
      </c>
    </row>
    <row r="7">
      <c r="A7" s="392" t="n">
        <v>3</v>
      </c>
      <c r="B7" s="392" t="inlineStr">
        <is>
          <t>②釜工程入力</t>
        </is>
      </c>
      <c r="C7" s="392" t="n">
        <v>7</v>
      </c>
      <c r="D7" s="392">
        <f>②釜工程入力!C7</f>
        <v/>
      </c>
      <c r="E7" s="393">
        <f>②釜工程入力!I7</f>
        <v/>
      </c>
      <c r="F7" s="393">
        <f>②釜工程入力!J7</f>
        <v/>
      </c>
      <c r="G7" s="393">
        <f>②釜工程入力!M7</f>
        <v/>
      </c>
      <c r="H7" s="393">
        <f>②釜工程入力!N7</f>
        <v/>
      </c>
      <c r="I7" s="393">
        <f>②釜工程入力!O7</f>
        <v/>
      </c>
      <c r="K7" s="392" t="inlineStr">
        <is>
          <t>⑩盛付梱包工程入力</t>
        </is>
      </c>
      <c r="L7" s="398">
        <f>SUMIFS($G$5:$G$753,$B$5:$B$753,$K7)</f>
        <v/>
      </c>
      <c r="M7" s="398">
        <f>SUMIFS($E$5:$E$753,$B$5:$B$753,$K7,$E$5:$E$753,"&gt;0",$G$5:$G$753,"&gt;0")</f>
        <v/>
      </c>
      <c r="N7" s="393">
        <f>IF($M7&gt;0,SUMIFS($G$5:$G$753,$B$5:$B$753,$K7,$E$5:$E$753,"&gt;0")/$M7,"")</f>
        <v/>
      </c>
      <c r="O7" s="398">
        <f>SUMIFS($F$5:$F$753,$B$5:$B$753,$K7,$F$5:$F$753,"&gt;0",$G$5:$G$753,"&gt;0")-SUMIFS($F$5:$F$753,$B$5:$B$753,$K7,$F$5:$F$753,"&gt;0",$E$5:$E$753,"&gt;0",$G$5:$G$753,"&gt;0")</f>
        <v/>
      </c>
      <c r="P7" s="393">
        <f>IF($O7&gt;0,(SUMIFS($G$5:$G$753,$B$5:$B$753,$K7,$F$5:$F$753,"&gt;0")-SUMIFS($G$5:$G$753,$B$5:$B$753,$K7,$F$5:$F$753,"&gt;0",$E$5:$E$753,"&gt;0"))/$O7,"")</f>
        <v/>
      </c>
    </row>
    <row r="8">
      <c r="A8" s="392" t="n">
        <v>4</v>
      </c>
      <c r="B8" s="392" t="inlineStr">
        <is>
          <t>②釜工程入力</t>
        </is>
      </c>
      <c r="C8" s="392" t="n">
        <v>8</v>
      </c>
      <c r="D8" s="392">
        <f>②釜工程入力!C8</f>
        <v/>
      </c>
      <c r="E8" s="393">
        <f>②釜工程入力!I8</f>
        <v/>
      </c>
      <c r="F8" s="393">
        <f>②釜工程入力!J8</f>
        <v/>
      </c>
      <c r="G8" s="393">
        <f>②釜工程入力!M8</f>
        <v/>
      </c>
      <c r="H8" s="393">
        <f>②釜工程入力!N8</f>
        <v/>
      </c>
      <c r="I8" s="393">
        <f>②釜工程入力!O8</f>
        <v/>
      </c>
      <c r="K8" s="392" t="inlineStr">
        <is>
          <t>⑪ZEN工程入力</t>
        </is>
      </c>
      <c r="L8" s="398">
        <f>SUMIFS($G$5:$G$753,$B$5:$B$753,$K8)</f>
        <v/>
      </c>
      <c r="M8" s="398">
        <f>SUMIFS($E$5:$E$753,$B$5:$B$753,$K8,$E$5:$E$753,"&gt;0",$G$5:$G$753,"&gt;0")</f>
        <v/>
      </c>
      <c r="N8" s="393">
        <f>IF($M8&gt;0,SUMIFS($G$5:$G$753,$B$5:$B$753,$K8,$E$5:$E$753,"&gt;0")/$M8,"")</f>
        <v/>
      </c>
      <c r="O8" s="398">
        <f>SUMIFS($F$5:$F$753,$B$5:$B$753,$K8,$F$5:$F$753,"&gt;0",$G$5:$G$753,"&gt;0")-SUMIFS($F$5:$F$753,$B$5:$B$753,$K8,$F$5:$F$753,"&gt;0",$E$5:$E$753,"&gt;0",$G$5:$G$753,"&gt;0")</f>
        <v/>
      </c>
      <c r="P8" s="393">
        <f>IF($O8&gt;0,(SUMIFS($G$5:$G$753,$B$5:$B$753,$K8,$F$5:$F$753,"&gt;0")-SUMIFS($G$5:$G$753,$B$5:$B$753,$K8,$F$5:$F$753,"&gt;0",$E$5:$E$753,"&gt;0"))/$O8,"")</f>
        <v/>
      </c>
    </row>
    <row r="9">
      <c r="A9" s="392" t="n">
        <v>5</v>
      </c>
      <c r="B9" s="392" t="inlineStr">
        <is>
          <t>②釜工程入力</t>
        </is>
      </c>
      <c r="C9" s="392" t="n">
        <v>9</v>
      </c>
      <c r="D9" s="392">
        <f>②釜工程入力!C9</f>
        <v/>
      </c>
      <c r="E9" s="393">
        <f>②釜工程入力!I9</f>
        <v/>
      </c>
      <c r="F9" s="393">
        <f>②釜工程入力!J9</f>
        <v/>
      </c>
      <c r="G9" s="393">
        <f>②釜工程入力!M9</f>
        <v/>
      </c>
      <c r="H9" s="393">
        <f>②釜工程入力!N9</f>
        <v/>
      </c>
      <c r="I9" s="393">
        <f>②釜工程入力!O9</f>
        <v/>
      </c>
      <c r="K9" s="392" t="inlineStr">
        <is>
          <t>⑫ミキサー工程入力</t>
        </is>
      </c>
      <c r="L9" s="398">
        <f>SUMIFS($G$5:$G$753,$B$5:$B$753,$K9)</f>
        <v/>
      </c>
      <c r="M9" s="398">
        <f>SUMIFS($E$5:$E$753,$B$5:$B$753,$K9,$E$5:$E$753,"&gt;0",$G$5:$G$753,"&gt;0")</f>
        <v/>
      </c>
      <c r="N9" s="393">
        <f>IF($M9&gt;0,SUMIFS($G$5:$G$753,$B$5:$B$753,$K9,$E$5:$E$753,"&gt;0")/$M9,"")</f>
        <v/>
      </c>
      <c r="O9" s="398">
        <f>SUMIFS($F$5:$F$753,$B$5:$B$753,$K9,$F$5:$F$753,"&gt;0",$G$5:$G$753,"&gt;0")-SUMIFS($F$5:$F$753,$B$5:$B$753,$K9,$F$5:$F$753,"&gt;0",$E$5:$E$753,"&gt;0",$G$5:$G$753,"&gt;0")</f>
        <v/>
      </c>
      <c r="P9" s="393">
        <f>IF($O9&gt;0,(SUMIFS($G$5:$G$753,$B$5:$B$753,$K9,$F$5:$F$753,"&gt;0")-SUMIFS($G$5:$G$753,$B$5:$B$753,$K9,$F$5:$F$753,"&gt;0",$E$5:$E$753,"&gt;0"))/$O9,"")</f>
        <v/>
      </c>
    </row>
    <row r="10">
      <c r="A10" s="392" t="n">
        <v>6</v>
      </c>
      <c r="B10" s="392" t="inlineStr">
        <is>
          <t>②釜工程入力</t>
        </is>
      </c>
      <c r="C10" s="392" t="n">
        <v>10</v>
      </c>
      <c r="D10" s="392">
        <f>②釜工程入力!C10</f>
        <v/>
      </c>
      <c r="E10" s="393">
        <f>②釜工程入力!I10</f>
        <v/>
      </c>
      <c r="F10" s="393">
        <f>②釜工程入力!J10</f>
        <v/>
      </c>
      <c r="G10" s="393">
        <f>②釜工程入力!M10</f>
        <v/>
      </c>
      <c r="H10" s="393">
        <f>②釜工程入力!N10</f>
        <v/>
      </c>
      <c r="I10" s="393">
        <f>②釜工程入力!O10</f>
        <v/>
      </c>
      <c r="K10" s="392" t="inlineStr">
        <is>
          <t>⑬計量工程入力</t>
        </is>
      </c>
      <c r="L10" s="398">
        <f>SUMIFS($G$5:$G$753,$B$5:$B$753,$K10)</f>
        <v/>
      </c>
      <c r="M10" s="398">
        <f>SUMIFS($E$5:$E$753,$B$5:$B$753,$K10,$E$5:$E$753,"&gt;0",$G$5:$G$753,"&gt;0")</f>
        <v/>
      </c>
      <c r="N10" s="393">
        <f>IF($M10&gt;0,SUMIFS($G$5:$G$753,$B$5:$B$753,$K10,$E$5:$E$753,"&gt;0")/$M10,"")</f>
        <v/>
      </c>
      <c r="O10" s="398">
        <f>SUMIFS($F$5:$F$753,$B$5:$B$753,$K10,$F$5:$F$753,"&gt;0",$G$5:$G$753,"&gt;0")-SUMIFS($F$5:$F$753,$B$5:$B$753,$K10,$F$5:$F$753,"&gt;0",$E$5:$E$753,"&gt;0",$G$5:$G$753,"&gt;0")</f>
        <v/>
      </c>
      <c r="P10" s="393">
        <f>IF($O10&gt;0,(SUMIFS($G$5:$G$753,$B$5:$B$753,$K10,$F$5:$F$753,"&gt;0")-SUMIFS($G$5:$G$753,$B$5:$B$753,$K10,$F$5:$F$753,"&gt;0",$E$5:$E$753,"&gt;0"))/$O10,"")</f>
        <v/>
      </c>
    </row>
    <row r="11">
      <c r="A11" s="392" t="n">
        <v>7</v>
      </c>
      <c r="B11" s="392" t="inlineStr">
        <is>
          <t>②釜工程入力</t>
        </is>
      </c>
      <c r="C11" s="392" t="n">
        <v>11</v>
      </c>
      <c r="D11" s="392">
        <f>②釜工程入力!C11</f>
        <v/>
      </c>
      <c r="E11" s="393">
        <f>②釜工程入力!I11</f>
        <v/>
      </c>
      <c r="F11" s="393">
        <f>②釜工程入力!J11</f>
        <v/>
      </c>
      <c r="G11" s="393">
        <f>②釜工程入力!M11</f>
        <v/>
      </c>
      <c r="H11" s="393">
        <f>②釜工程入力!N11</f>
        <v/>
      </c>
      <c r="I11" s="393">
        <f>②釜工程入力!O11</f>
        <v/>
      </c>
      <c r="K11" s="392" t="inlineStr">
        <is>
          <t>⑭手動工程入力</t>
        </is>
      </c>
      <c r="L11" s="398">
        <f>SUMIFS($G$5:$G$753,$B$5:$B$753,$K11)</f>
        <v/>
      </c>
      <c r="M11" s="398">
        <f>SUMIFS($E$5:$E$753,$B$5:$B$753,$K11,$E$5:$E$753,"&gt;0",$G$5:$G$753,"&gt;0")</f>
        <v/>
      </c>
      <c r="N11" s="393">
        <f>IF($M11&gt;0,SUMIFS($G$5:$G$753,$B$5:$B$753,$K11,$E$5:$E$753,"&gt;0")/$M11,"")</f>
        <v/>
      </c>
      <c r="O11" s="398">
        <f>SUMIFS($F$5:$F$753,$B$5:$B$753,$K11,$F$5:$F$753,"&gt;0",$G$5:$G$753,"&gt;0")-SUMIFS($F$5:$F$753,$B$5:$B$753,$K11,$F$5:$F$753,"&gt;0",$E$5:$E$753,"&gt;0",$G$5:$G$753,"&gt;0")</f>
        <v/>
      </c>
      <c r="P11" s="393">
        <f>IF($O11&gt;0,(SUMIFS($G$5:$G$753,$B$5:$B$753,$K11,$F$5:$F$753,"&gt;0")-SUMIFS($G$5:$G$753,$B$5:$B$753,$K11,$F$5:$F$753,"&gt;0",$E$5:$E$753,"&gt;0"))/$O11,"")</f>
        <v/>
      </c>
    </row>
    <row r="12">
      <c r="A12" s="392" t="n">
        <v>8</v>
      </c>
      <c r="B12" s="392" t="inlineStr">
        <is>
          <t>②釜工程入力</t>
        </is>
      </c>
      <c r="C12" s="392" t="n">
        <v>12</v>
      </c>
      <c r="D12" s="392">
        <f>②釜工程入力!C12</f>
        <v/>
      </c>
      <c r="E12" s="393">
        <f>②釜工程入力!I12</f>
        <v/>
      </c>
      <c r="F12" s="393">
        <f>②釜工程入力!J12</f>
        <v/>
      </c>
      <c r="G12" s="393">
        <f>②釜工程入力!M12</f>
        <v/>
      </c>
      <c r="H12" s="393">
        <f>②釜工程入力!N12</f>
        <v/>
      </c>
      <c r="I12" s="393">
        <f>②釜工程入力!O12</f>
        <v/>
      </c>
    </row>
    <row r="13">
      <c r="A13" s="392" t="n">
        <v>9</v>
      </c>
      <c r="B13" s="392" t="inlineStr">
        <is>
          <t>②釜工程入力</t>
        </is>
      </c>
      <c r="C13" s="392" t="n">
        <v>13</v>
      </c>
      <c r="D13" s="392">
        <f>②釜工程入力!C13</f>
        <v/>
      </c>
      <c r="E13" s="393">
        <f>②釜工程入力!I13</f>
        <v/>
      </c>
      <c r="F13" s="393">
        <f>②釜工程入力!J13</f>
        <v/>
      </c>
      <c r="G13" s="393">
        <f>②釜工程入力!M13</f>
        <v/>
      </c>
      <c r="H13" s="393">
        <f>②釜工程入力!N13</f>
        <v/>
      </c>
      <c r="I13" s="393">
        <f>②釜工程入力!O13</f>
        <v/>
      </c>
      <c r="K13" s="390" t="inlineStr">
        <is>
          <t>※ 工程平均：円/kg＝重量のある行の労務費÷その重量、円/個＝重量なし・個数ありの行の労務費÷その個数（重量計・個数計は労務費が出ている行だけ）。⑱でF列（名寄せ）が空欄の中間品は、この単価で仮計算します（⑩盛り込みは⑳F列で計上済みのため使いません。⑬カットの円/個は実績が少ないため使いません）。</t>
        </is>
      </c>
    </row>
    <row r="14">
      <c r="A14" s="392" t="n">
        <v>10</v>
      </c>
      <c r="B14" s="392" t="inlineStr">
        <is>
          <t>②釜工程入力</t>
        </is>
      </c>
      <c r="C14" s="392" t="n">
        <v>14</v>
      </c>
      <c r="D14" s="392">
        <f>②釜工程入力!C14</f>
        <v/>
      </c>
      <c r="E14" s="393">
        <f>②釜工程入力!I14</f>
        <v/>
      </c>
      <c r="F14" s="393">
        <f>②釜工程入力!J14</f>
        <v/>
      </c>
      <c r="G14" s="393">
        <f>②釜工程入力!M14</f>
        <v/>
      </c>
      <c r="H14" s="393">
        <f>②釜工程入力!N14</f>
        <v/>
      </c>
      <c r="I14" s="393">
        <f>②釜工程入力!O14</f>
        <v/>
      </c>
    </row>
    <row r="15">
      <c r="A15" s="392" t="n">
        <v>11</v>
      </c>
      <c r="B15" s="392" t="inlineStr">
        <is>
          <t>②釜工程入力</t>
        </is>
      </c>
      <c r="C15" s="392" t="n">
        <v>15</v>
      </c>
      <c r="D15" s="392">
        <f>②釜工程入力!C15</f>
        <v/>
      </c>
      <c r="E15" s="393">
        <f>②釜工程入力!I15</f>
        <v/>
      </c>
      <c r="F15" s="393">
        <f>②釜工程入力!J15</f>
        <v/>
      </c>
      <c r="G15" s="393">
        <f>②釜工程入力!M15</f>
        <v/>
      </c>
      <c r="H15" s="393">
        <f>②釜工程入力!N15</f>
        <v/>
      </c>
      <c r="I15" s="393">
        <f>②釜工程入力!O15</f>
        <v/>
      </c>
    </row>
    <row r="16">
      <c r="A16" s="392" t="n">
        <v>12</v>
      </c>
      <c r="B16" s="392" t="inlineStr">
        <is>
          <t>②釜工程入力</t>
        </is>
      </c>
      <c r="C16" s="392" t="n">
        <v>16</v>
      </c>
      <c r="D16" s="392">
        <f>②釜工程入力!C16</f>
        <v/>
      </c>
      <c r="E16" s="393">
        <f>②釜工程入力!I16</f>
        <v/>
      </c>
      <c r="F16" s="393">
        <f>②釜工程入力!J16</f>
        <v/>
      </c>
      <c r="G16" s="393">
        <f>②釜工程入力!M16</f>
        <v/>
      </c>
      <c r="H16" s="393">
        <f>②釜工程入力!N16</f>
        <v/>
      </c>
      <c r="I16" s="393">
        <f>②釜工程入力!O16</f>
        <v/>
      </c>
    </row>
    <row r="17">
      <c r="A17" s="392" t="n">
        <v>13</v>
      </c>
      <c r="B17" s="392" t="inlineStr">
        <is>
          <t>②釜工程入力</t>
        </is>
      </c>
      <c r="C17" s="392" t="n">
        <v>17</v>
      </c>
      <c r="D17" s="392">
        <f>②釜工程入力!C17</f>
        <v/>
      </c>
      <c r="E17" s="393">
        <f>②釜工程入力!I17</f>
        <v/>
      </c>
      <c r="F17" s="393">
        <f>②釜工程入力!J17</f>
        <v/>
      </c>
      <c r="G17" s="393">
        <f>②釜工程入力!M17</f>
        <v/>
      </c>
      <c r="H17" s="393">
        <f>②釜工程入力!N17</f>
        <v/>
      </c>
      <c r="I17" s="393">
        <f>②釜工程入力!O17</f>
        <v/>
      </c>
    </row>
    <row r="18">
      <c r="A18" s="392" t="n">
        <v>14</v>
      </c>
      <c r="B18" s="392" t="inlineStr">
        <is>
          <t>②釜工程入力</t>
        </is>
      </c>
      <c r="C18" s="392" t="n">
        <v>18</v>
      </c>
      <c r="D18" s="392">
        <f>②釜工程入力!C18</f>
        <v/>
      </c>
      <c r="E18" s="393">
        <f>②釜工程入力!I18</f>
        <v/>
      </c>
      <c r="F18" s="393">
        <f>②釜工程入力!J18</f>
        <v/>
      </c>
      <c r="G18" s="393">
        <f>②釜工程入力!M18</f>
        <v/>
      </c>
      <c r="H18" s="393">
        <f>②釜工程入力!N18</f>
        <v/>
      </c>
      <c r="I18" s="393">
        <f>②釜工程入力!O18</f>
        <v/>
      </c>
    </row>
    <row r="19">
      <c r="A19" s="392" t="n">
        <v>15</v>
      </c>
      <c r="B19" s="392" t="inlineStr">
        <is>
          <t>②釜工程入力</t>
        </is>
      </c>
      <c r="C19" s="392" t="n">
        <v>19</v>
      </c>
      <c r="D19" s="392">
        <f>②釜工程入力!C19</f>
        <v/>
      </c>
      <c r="E19" s="393">
        <f>②釜工程入力!I19</f>
        <v/>
      </c>
      <c r="F19" s="393">
        <f>②釜工程入力!J19</f>
        <v/>
      </c>
      <c r="G19" s="393">
        <f>②釜工程入力!M19</f>
        <v/>
      </c>
      <c r="H19" s="393">
        <f>②釜工程入力!N19</f>
        <v/>
      </c>
      <c r="I19" s="393">
        <f>②釜工程入力!O19</f>
        <v/>
      </c>
    </row>
    <row r="20">
      <c r="A20" s="392" t="n">
        <v>16</v>
      </c>
      <c r="B20" s="392" t="inlineStr">
        <is>
          <t>②釜工程入力</t>
        </is>
      </c>
      <c r="C20" s="392" t="n">
        <v>20</v>
      </c>
      <c r="D20" s="392">
        <f>②釜工程入力!C20</f>
        <v/>
      </c>
      <c r="E20" s="393">
        <f>②釜工程入力!I20</f>
        <v/>
      </c>
      <c r="F20" s="393">
        <f>②釜工程入力!J20</f>
        <v/>
      </c>
      <c r="G20" s="393">
        <f>②釜工程入力!M20</f>
        <v/>
      </c>
      <c r="H20" s="393">
        <f>②釜工程入力!N20</f>
        <v/>
      </c>
      <c r="I20" s="393">
        <f>②釜工程入力!O20</f>
        <v/>
      </c>
    </row>
    <row r="21">
      <c r="A21" s="392" t="n">
        <v>17</v>
      </c>
      <c r="B21" s="392" t="inlineStr">
        <is>
          <t>②釜工程入力</t>
        </is>
      </c>
      <c r="C21" s="392" t="n">
        <v>21</v>
      </c>
      <c r="D21" s="392">
        <f>②釜工程入力!C21</f>
        <v/>
      </c>
      <c r="E21" s="393">
        <f>②釜工程入力!I21</f>
        <v/>
      </c>
      <c r="F21" s="393">
        <f>②釜工程入力!J21</f>
        <v/>
      </c>
      <c r="G21" s="393">
        <f>②釜工程入力!M21</f>
        <v/>
      </c>
      <c r="H21" s="393">
        <f>②釜工程入力!N21</f>
        <v/>
      </c>
      <c r="I21" s="393">
        <f>②釜工程入力!O21</f>
        <v/>
      </c>
    </row>
    <row r="22">
      <c r="A22" s="392" t="n">
        <v>18</v>
      </c>
      <c r="B22" s="392" t="inlineStr">
        <is>
          <t>②釜工程入力</t>
        </is>
      </c>
      <c r="C22" s="392" t="n">
        <v>22</v>
      </c>
      <c r="D22" s="392">
        <f>②釜工程入力!C22</f>
        <v/>
      </c>
      <c r="E22" s="393">
        <f>②釜工程入力!I22</f>
        <v/>
      </c>
      <c r="F22" s="393">
        <f>②釜工程入力!J22</f>
        <v/>
      </c>
      <c r="G22" s="393">
        <f>②釜工程入力!M22</f>
        <v/>
      </c>
      <c r="H22" s="393">
        <f>②釜工程入力!N22</f>
        <v/>
      </c>
      <c r="I22" s="393">
        <f>②釜工程入力!O22</f>
        <v/>
      </c>
    </row>
    <row r="23">
      <c r="A23" s="392" t="n">
        <v>19</v>
      </c>
      <c r="B23" s="392" t="inlineStr">
        <is>
          <t>②釜工程入力</t>
        </is>
      </c>
      <c r="C23" s="392" t="n">
        <v>23</v>
      </c>
      <c r="D23" s="392">
        <f>②釜工程入力!C23</f>
        <v/>
      </c>
      <c r="E23" s="393">
        <f>②釜工程入力!I23</f>
        <v/>
      </c>
      <c r="F23" s="393">
        <f>②釜工程入力!J23</f>
        <v/>
      </c>
      <c r="G23" s="393">
        <f>②釜工程入力!M23</f>
        <v/>
      </c>
      <c r="H23" s="393">
        <f>②釜工程入力!N23</f>
        <v/>
      </c>
      <c r="I23" s="393">
        <f>②釜工程入力!O23</f>
        <v/>
      </c>
    </row>
    <row r="24">
      <c r="A24" s="392" t="n">
        <v>20</v>
      </c>
      <c r="B24" s="392" t="inlineStr">
        <is>
          <t>②釜工程入力</t>
        </is>
      </c>
      <c r="C24" s="392" t="n">
        <v>24</v>
      </c>
      <c r="D24" s="392">
        <f>②釜工程入力!C24</f>
        <v/>
      </c>
      <c r="E24" s="393">
        <f>②釜工程入力!I24</f>
        <v/>
      </c>
      <c r="F24" s="393">
        <f>②釜工程入力!J24</f>
        <v/>
      </c>
      <c r="G24" s="393">
        <f>②釜工程入力!M24</f>
        <v/>
      </c>
      <c r="H24" s="393">
        <f>②釜工程入力!N24</f>
        <v/>
      </c>
      <c r="I24" s="393">
        <f>②釜工程入力!O24</f>
        <v/>
      </c>
    </row>
    <row r="25">
      <c r="A25" s="392" t="n">
        <v>21</v>
      </c>
      <c r="B25" s="392" t="inlineStr">
        <is>
          <t>②釜工程入力</t>
        </is>
      </c>
      <c r="C25" s="392" t="n">
        <v>25</v>
      </c>
      <c r="D25" s="392">
        <f>②釜工程入力!C25</f>
        <v/>
      </c>
      <c r="E25" s="393">
        <f>②釜工程入力!I25</f>
        <v/>
      </c>
      <c r="F25" s="393">
        <f>②釜工程入力!J25</f>
        <v/>
      </c>
      <c r="G25" s="393">
        <f>②釜工程入力!M25</f>
        <v/>
      </c>
      <c r="H25" s="393">
        <f>②釜工程入力!N25</f>
        <v/>
      </c>
      <c r="I25" s="393">
        <f>②釜工程入力!O25</f>
        <v/>
      </c>
    </row>
    <row r="26">
      <c r="A26" s="392" t="n">
        <v>22</v>
      </c>
      <c r="B26" s="392" t="inlineStr">
        <is>
          <t>②釜工程入力</t>
        </is>
      </c>
      <c r="C26" s="392" t="n">
        <v>26</v>
      </c>
      <c r="D26" s="392">
        <f>②釜工程入力!C26</f>
        <v/>
      </c>
      <c r="E26" s="393">
        <f>②釜工程入力!I26</f>
        <v/>
      </c>
      <c r="F26" s="393">
        <f>②釜工程入力!J26</f>
        <v/>
      </c>
      <c r="G26" s="393">
        <f>②釜工程入力!M26</f>
        <v/>
      </c>
      <c r="H26" s="393">
        <f>②釜工程入力!N26</f>
        <v/>
      </c>
      <c r="I26" s="393">
        <f>②釜工程入力!O26</f>
        <v/>
      </c>
    </row>
    <row r="27">
      <c r="A27" s="392" t="n">
        <v>23</v>
      </c>
      <c r="B27" s="392" t="inlineStr">
        <is>
          <t>②釜工程入力</t>
        </is>
      </c>
      <c r="C27" s="392" t="n">
        <v>27</v>
      </c>
      <c r="D27" s="392">
        <f>②釜工程入力!C27</f>
        <v/>
      </c>
      <c r="E27" s="393">
        <f>②釜工程入力!I27</f>
        <v/>
      </c>
      <c r="F27" s="393">
        <f>②釜工程入力!J27</f>
        <v/>
      </c>
      <c r="G27" s="393">
        <f>②釜工程入力!M27</f>
        <v/>
      </c>
      <c r="H27" s="393">
        <f>②釜工程入力!N27</f>
        <v/>
      </c>
      <c r="I27" s="393">
        <f>②釜工程入力!O27</f>
        <v/>
      </c>
    </row>
    <row r="28">
      <c r="A28" s="392" t="n">
        <v>24</v>
      </c>
      <c r="B28" s="392" t="inlineStr">
        <is>
          <t>②釜工程入力</t>
        </is>
      </c>
      <c r="C28" s="392" t="n">
        <v>28</v>
      </c>
      <c r="D28" s="392">
        <f>②釜工程入力!C28</f>
        <v/>
      </c>
      <c r="E28" s="393">
        <f>②釜工程入力!I28</f>
        <v/>
      </c>
      <c r="F28" s="393">
        <f>②釜工程入力!J28</f>
        <v/>
      </c>
      <c r="G28" s="393">
        <f>②釜工程入力!M28</f>
        <v/>
      </c>
      <c r="H28" s="393">
        <f>②釜工程入力!N28</f>
        <v/>
      </c>
      <c r="I28" s="393">
        <f>②釜工程入力!O28</f>
        <v/>
      </c>
    </row>
    <row r="29">
      <c r="A29" s="392" t="n">
        <v>25</v>
      </c>
      <c r="B29" s="392" t="inlineStr">
        <is>
          <t>②釜工程入力</t>
        </is>
      </c>
      <c r="C29" s="392" t="n">
        <v>29</v>
      </c>
      <c r="D29" s="392">
        <f>②釜工程入力!C29</f>
        <v/>
      </c>
      <c r="E29" s="393">
        <f>②釜工程入力!I29</f>
        <v/>
      </c>
      <c r="F29" s="393">
        <f>②釜工程入力!J29</f>
        <v/>
      </c>
      <c r="G29" s="393">
        <f>②釜工程入力!M29</f>
        <v/>
      </c>
      <c r="H29" s="393">
        <f>②釜工程入力!N29</f>
        <v/>
      </c>
      <c r="I29" s="393">
        <f>②釜工程入力!O29</f>
        <v/>
      </c>
    </row>
    <row r="30">
      <c r="A30" s="392" t="n">
        <v>26</v>
      </c>
      <c r="B30" s="392" t="inlineStr">
        <is>
          <t>②釜工程入力</t>
        </is>
      </c>
      <c r="C30" s="392" t="n">
        <v>30</v>
      </c>
      <c r="D30" s="392">
        <f>②釜工程入力!C30</f>
        <v/>
      </c>
      <c r="E30" s="393">
        <f>②釜工程入力!I30</f>
        <v/>
      </c>
      <c r="F30" s="393">
        <f>②釜工程入力!J30</f>
        <v/>
      </c>
      <c r="G30" s="393">
        <f>②釜工程入力!M30</f>
        <v/>
      </c>
      <c r="H30" s="393">
        <f>②釜工程入力!N30</f>
        <v/>
      </c>
      <c r="I30" s="393">
        <f>②釜工程入力!O30</f>
        <v/>
      </c>
    </row>
    <row r="31">
      <c r="A31" s="392" t="n">
        <v>27</v>
      </c>
      <c r="B31" s="392" t="inlineStr">
        <is>
          <t>②釜工程入力</t>
        </is>
      </c>
      <c r="C31" s="392" t="n">
        <v>31</v>
      </c>
      <c r="D31" s="392">
        <f>②釜工程入力!C31</f>
        <v/>
      </c>
      <c r="E31" s="393">
        <f>②釜工程入力!I31</f>
        <v/>
      </c>
      <c r="F31" s="393">
        <f>②釜工程入力!J31</f>
        <v/>
      </c>
      <c r="G31" s="393">
        <f>②釜工程入力!M31</f>
        <v/>
      </c>
      <c r="H31" s="393">
        <f>②釜工程入力!N31</f>
        <v/>
      </c>
      <c r="I31" s="393">
        <f>②釜工程入力!O31</f>
        <v/>
      </c>
    </row>
    <row r="32">
      <c r="A32" s="392" t="n">
        <v>28</v>
      </c>
      <c r="B32" s="392" t="inlineStr">
        <is>
          <t>②釜工程入力</t>
        </is>
      </c>
      <c r="C32" s="392" t="n">
        <v>32</v>
      </c>
      <c r="D32" s="392">
        <f>②釜工程入力!C32</f>
        <v/>
      </c>
      <c r="E32" s="393">
        <f>②釜工程入力!I32</f>
        <v/>
      </c>
      <c r="F32" s="393">
        <f>②釜工程入力!J32</f>
        <v/>
      </c>
      <c r="G32" s="393">
        <f>②釜工程入力!M32</f>
        <v/>
      </c>
      <c r="H32" s="393">
        <f>②釜工程入力!N32</f>
        <v/>
      </c>
      <c r="I32" s="393">
        <f>②釜工程入力!O32</f>
        <v/>
      </c>
    </row>
    <row r="33">
      <c r="A33" s="392" t="n">
        <v>29</v>
      </c>
      <c r="B33" s="392" t="inlineStr">
        <is>
          <t>②釜工程入力</t>
        </is>
      </c>
      <c r="C33" s="392" t="n">
        <v>33</v>
      </c>
      <c r="D33" s="392">
        <f>②釜工程入力!C33</f>
        <v/>
      </c>
      <c r="E33" s="393">
        <f>②釜工程入力!I33</f>
        <v/>
      </c>
      <c r="F33" s="393">
        <f>②釜工程入力!J33</f>
        <v/>
      </c>
      <c r="G33" s="393">
        <f>②釜工程入力!M33</f>
        <v/>
      </c>
      <c r="H33" s="393">
        <f>②釜工程入力!N33</f>
        <v/>
      </c>
      <c r="I33" s="393">
        <f>②釜工程入力!O33</f>
        <v/>
      </c>
    </row>
    <row r="34">
      <c r="A34" s="392" t="n">
        <v>30</v>
      </c>
      <c r="B34" s="392" t="inlineStr">
        <is>
          <t>②釜工程入力</t>
        </is>
      </c>
      <c r="C34" s="392" t="n">
        <v>34</v>
      </c>
      <c r="D34" s="392">
        <f>②釜工程入力!C34</f>
        <v/>
      </c>
      <c r="E34" s="393">
        <f>②釜工程入力!I34</f>
        <v/>
      </c>
      <c r="F34" s="393">
        <f>②釜工程入力!J34</f>
        <v/>
      </c>
      <c r="G34" s="393">
        <f>②釜工程入力!M34</f>
        <v/>
      </c>
      <c r="H34" s="393">
        <f>②釜工程入力!N34</f>
        <v/>
      </c>
      <c r="I34" s="393">
        <f>②釜工程入力!O34</f>
        <v/>
      </c>
    </row>
    <row r="35">
      <c r="A35" s="392" t="n">
        <v>31</v>
      </c>
      <c r="B35" s="392" t="inlineStr">
        <is>
          <t>②釜工程入力</t>
        </is>
      </c>
      <c r="C35" s="392" t="n">
        <v>35</v>
      </c>
      <c r="D35" s="392">
        <f>②釜工程入力!C35</f>
        <v/>
      </c>
      <c r="E35" s="393">
        <f>②釜工程入力!I35</f>
        <v/>
      </c>
      <c r="F35" s="393">
        <f>②釜工程入力!J35</f>
        <v/>
      </c>
      <c r="G35" s="393">
        <f>②釜工程入力!M35</f>
        <v/>
      </c>
      <c r="H35" s="393">
        <f>②釜工程入力!N35</f>
        <v/>
      </c>
      <c r="I35" s="393">
        <f>②釜工程入力!O35</f>
        <v/>
      </c>
    </row>
    <row r="36">
      <c r="A36" s="392" t="n">
        <v>32</v>
      </c>
      <c r="B36" s="392" t="inlineStr">
        <is>
          <t>②釜工程入力</t>
        </is>
      </c>
      <c r="C36" s="392" t="n">
        <v>36</v>
      </c>
      <c r="D36" s="392">
        <f>②釜工程入力!C36</f>
        <v/>
      </c>
      <c r="E36" s="393">
        <f>②釜工程入力!I36</f>
        <v/>
      </c>
      <c r="F36" s="393">
        <f>②釜工程入力!J36</f>
        <v/>
      </c>
      <c r="G36" s="393">
        <f>②釜工程入力!M36</f>
        <v/>
      </c>
      <c r="H36" s="393">
        <f>②釜工程入力!N36</f>
        <v/>
      </c>
      <c r="I36" s="393">
        <f>②釜工程入力!O36</f>
        <v/>
      </c>
    </row>
    <row r="37">
      <c r="A37" s="392" t="n">
        <v>33</v>
      </c>
      <c r="B37" s="392" t="inlineStr">
        <is>
          <t>②釜工程入力</t>
        </is>
      </c>
      <c r="C37" s="392" t="n">
        <v>37</v>
      </c>
      <c r="D37" s="392">
        <f>②釜工程入力!C37</f>
        <v/>
      </c>
      <c r="E37" s="393">
        <f>②釜工程入力!I37</f>
        <v/>
      </c>
      <c r="F37" s="393">
        <f>②釜工程入力!J37</f>
        <v/>
      </c>
      <c r="G37" s="393">
        <f>②釜工程入力!M37</f>
        <v/>
      </c>
      <c r="H37" s="393">
        <f>②釜工程入力!N37</f>
        <v/>
      </c>
      <c r="I37" s="393">
        <f>②釜工程入力!O37</f>
        <v/>
      </c>
    </row>
    <row r="38">
      <c r="A38" s="392" t="n">
        <v>34</v>
      </c>
      <c r="B38" s="392" t="inlineStr">
        <is>
          <t>②釜工程入力</t>
        </is>
      </c>
      <c r="C38" s="392" t="n">
        <v>38</v>
      </c>
      <c r="D38" s="392">
        <f>②釜工程入力!C38</f>
        <v/>
      </c>
      <c r="E38" s="393">
        <f>②釜工程入力!I38</f>
        <v/>
      </c>
      <c r="F38" s="393">
        <f>②釜工程入力!J38</f>
        <v/>
      </c>
      <c r="G38" s="393">
        <f>②釜工程入力!M38</f>
        <v/>
      </c>
      <c r="H38" s="393">
        <f>②釜工程入力!N38</f>
        <v/>
      </c>
      <c r="I38" s="393">
        <f>②釜工程入力!O38</f>
        <v/>
      </c>
    </row>
    <row r="39">
      <c r="A39" s="392" t="n">
        <v>35</v>
      </c>
      <c r="B39" s="392" t="inlineStr">
        <is>
          <t>②釜工程入力</t>
        </is>
      </c>
      <c r="C39" s="392" t="n">
        <v>39</v>
      </c>
      <c r="D39" s="392">
        <f>②釜工程入力!C39</f>
        <v/>
      </c>
      <c r="E39" s="393">
        <f>②釜工程入力!I39</f>
        <v/>
      </c>
      <c r="F39" s="393">
        <f>②釜工程入力!J39</f>
        <v/>
      </c>
      <c r="G39" s="393">
        <f>②釜工程入力!M39</f>
        <v/>
      </c>
      <c r="H39" s="393">
        <f>②釜工程入力!N39</f>
        <v/>
      </c>
      <c r="I39" s="393">
        <f>②釜工程入力!O39</f>
        <v/>
      </c>
    </row>
    <row r="40">
      <c r="A40" s="392" t="n">
        <v>36</v>
      </c>
      <c r="B40" s="392" t="inlineStr">
        <is>
          <t>②釜工程入力</t>
        </is>
      </c>
      <c r="C40" s="392" t="n">
        <v>40</v>
      </c>
      <c r="D40" s="392">
        <f>②釜工程入力!C40</f>
        <v/>
      </c>
      <c r="E40" s="393">
        <f>②釜工程入力!I40</f>
        <v/>
      </c>
      <c r="F40" s="393">
        <f>②釜工程入力!J40</f>
        <v/>
      </c>
      <c r="G40" s="393">
        <f>②釜工程入力!M40</f>
        <v/>
      </c>
      <c r="H40" s="393">
        <f>②釜工程入力!N40</f>
        <v/>
      </c>
      <c r="I40" s="393">
        <f>②釜工程入力!O40</f>
        <v/>
      </c>
    </row>
    <row r="41">
      <c r="A41" s="392" t="n">
        <v>37</v>
      </c>
      <c r="B41" s="392" t="inlineStr">
        <is>
          <t>②釜工程入力</t>
        </is>
      </c>
      <c r="C41" s="392" t="n">
        <v>41</v>
      </c>
      <c r="D41" s="392">
        <f>②釜工程入力!C41</f>
        <v/>
      </c>
      <c r="E41" s="393">
        <f>②釜工程入力!I41</f>
        <v/>
      </c>
      <c r="F41" s="393">
        <f>②釜工程入力!J41</f>
        <v/>
      </c>
      <c r="G41" s="393">
        <f>②釜工程入力!M41</f>
        <v/>
      </c>
      <c r="H41" s="393">
        <f>②釜工程入力!N41</f>
        <v/>
      </c>
      <c r="I41" s="393">
        <f>②釜工程入力!O41</f>
        <v/>
      </c>
    </row>
    <row r="42">
      <c r="A42" s="392" t="n">
        <v>38</v>
      </c>
      <c r="B42" s="392" t="inlineStr">
        <is>
          <t>②釜工程入力</t>
        </is>
      </c>
      <c r="C42" s="392" t="n">
        <v>42</v>
      </c>
      <c r="D42" s="392">
        <f>②釜工程入力!C42</f>
        <v/>
      </c>
      <c r="E42" s="393">
        <f>②釜工程入力!I42</f>
        <v/>
      </c>
      <c r="F42" s="393">
        <f>②釜工程入力!J42</f>
        <v/>
      </c>
      <c r="G42" s="393">
        <f>②釜工程入力!M42</f>
        <v/>
      </c>
      <c r="H42" s="393">
        <f>②釜工程入力!N42</f>
        <v/>
      </c>
      <c r="I42" s="393">
        <f>②釜工程入力!O42</f>
        <v/>
      </c>
    </row>
    <row r="43">
      <c r="A43" s="392" t="n">
        <v>39</v>
      </c>
      <c r="B43" s="392" t="inlineStr">
        <is>
          <t>②釜工程入力</t>
        </is>
      </c>
      <c r="C43" s="392" t="n">
        <v>43</v>
      </c>
      <c r="D43" s="392">
        <f>②釜工程入力!C43</f>
        <v/>
      </c>
      <c r="E43" s="393">
        <f>②釜工程入力!I43</f>
        <v/>
      </c>
      <c r="F43" s="393">
        <f>②釜工程入力!J43</f>
        <v/>
      </c>
      <c r="G43" s="393">
        <f>②釜工程入力!M43</f>
        <v/>
      </c>
      <c r="H43" s="393">
        <f>②釜工程入力!N43</f>
        <v/>
      </c>
      <c r="I43" s="393">
        <f>②釜工程入力!O43</f>
        <v/>
      </c>
    </row>
    <row r="44">
      <c r="A44" s="392" t="n">
        <v>40</v>
      </c>
      <c r="B44" s="392" t="inlineStr">
        <is>
          <t>②釜工程入力</t>
        </is>
      </c>
      <c r="C44" s="392" t="n">
        <v>44</v>
      </c>
      <c r="D44" s="392">
        <f>②釜工程入力!C44</f>
        <v/>
      </c>
      <c r="E44" s="393">
        <f>②釜工程入力!I44</f>
        <v/>
      </c>
      <c r="F44" s="393">
        <f>②釜工程入力!J44</f>
        <v/>
      </c>
      <c r="G44" s="393">
        <f>②釜工程入力!M44</f>
        <v/>
      </c>
      <c r="H44" s="393">
        <f>②釜工程入力!N44</f>
        <v/>
      </c>
      <c r="I44" s="393">
        <f>②釜工程入力!O44</f>
        <v/>
      </c>
    </row>
    <row r="45">
      <c r="A45" s="392" t="n">
        <v>41</v>
      </c>
      <c r="B45" s="392" t="inlineStr">
        <is>
          <t>②釜工程入力</t>
        </is>
      </c>
      <c r="C45" s="392" t="n">
        <v>45</v>
      </c>
      <c r="D45" s="392">
        <f>②釜工程入力!C45</f>
        <v/>
      </c>
      <c r="E45" s="393">
        <f>②釜工程入力!I45</f>
        <v/>
      </c>
      <c r="F45" s="393">
        <f>②釜工程入力!J45</f>
        <v/>
      </c>
      <c r="G45" s="393">
        <f>②釜工程入力!M45</f>
        <v/>
      </c>
      <c r="H45" s="393">
        <f>②釜工程入力!N45</f>
        <v/>
      </c>
      <c r="I45" s="393">
        <f>②釜工程入力!O45</f>
        <v/>
      </c>
    </row>
    <row r="46">
      <c r="A46" s="392" t="n">
        <v>42</v>
      </c>
      <c r="B46" s="392" t="inlineStr">
        <is>
          <t>②釜工程入力</t>
        </is>
      </c>
      <c r="C46" s="392" t="n">
        <v>46</v>
      </c>
      <c r="D46" s="392">
        <f>②釜工程入力!C46</f>
        <v/>
      </c>
      <c r="E46" s="393">
        <f>②釜工程入力!I46</f>
        <v/>
      </c>
      <c r="F46" s="393">
        <f>②釜工程入力!J46</f>
        <v/>
      </c>
      <c r="G46" s="393">
        <f>②釜工程入力!M46</f>
        <v/>
      </c>
      <c r="H46" s="393">
        <f>②釜工程入力!N46</f>
        <v/>
      </c>
      <c r="I46" s="393">
        <f>②釜工程入力!O46</f>
        <v/>
      </c>
    </row>
    <row r="47">
      <c r="A47" s="392" t="n">
        <v>43</v>
      </c>
      <c r="B47" s="392" t="inlineStr">
        <is>
          <t>②釜工程入力</t>
        </is>
      </c>
      <c r="C47" s="392" t="n">
        <v>47</v>
      </c>
      <c r="D47" s="392">
        <f>②釜工程入力!C47</f>
        <v/>
      </c>
      <c r="E47" s="393">
        <f>②釜工程入力!I47</f>
        <v/>
      </c>
      <c r="F47" s="393">
        <f>②釜工程入力!J47</f>
        <v/>
      </c>
      <c r="G47" s="393">
        <f>②釜工程入力!M47</f>
        <v/>
      </c>
      <c r="H47" s="393">
        <f>②釜工程入力!N47</f>
        <v/>
      </c>
      <c r="I47" s="393">
        <f>②釜工程入力!O47</f>
        <v/>
      </c>
    </row>
    <row r="48">
      <c r="A48" s="392" t="n">
        <v>44</v>
      </c>
      <c r="B48" s="392" t="inlineStr">
        <is>
          <t>②釜工程入力</t>
        </is>
      </c>
      <c r="C48" s="392" t="n">
        <v>48</v>
      </c>
      <c r="D48" s="392">
        <f>②釜工程入力!C48</f>
        <v/>
      </c>
      <c r="E48" s="393">
        <f>②釜工程入力!I48</f>
        <v/>
      </c>
      <c r="F48" s="393">
        <f>②釜工程入力!J48</f>
        <v/>
      </c>
      <c r="G48" s="393">
        <f>②釜工程入力!M48</f>
        <v/>
      </c>
      <c r="H48" s="393">
        <f>②釜工程入力!N48</f>
        <v/>
      </c>
      <c r="I48" s="393">
        <f>②釜工程入力!O48</f>
        <v/>
      </c>
    </row>
    <row r="49">
      <c r="A49" s="392" t="n">
        <v>45</v>
      </c>
      <c r="B49" s="392" t="inlineStr">
        <is>
          <t>②釜工程入力</t>
        </is>
      </c>
      <c r="C49" s="392" t="n">
        <v>49</v>
      </c>
      <c r="D49" s="392">
        <f>②釜工程入力!C49</f>
        <v/>
      </c>
      <c r="E49" s="393">
        <f>②釜工程入力!I49</f>
        <v/>
      </c>
      <c r="F49" s="393">
        <f>②釜工程入力!J49</f>
        <v/>
      </c>
      <c r="G49" s="393">
        <f>②釜工程入力!M49</f>
        <v/>
      </c>
      <c r="H49" s="393">
        <f>②釜工程入力!N49</f>
        <v/>
      </c>
      <c r="I49" s="393">
        <f>②釜工程入力!O49</f>
        <v/>
      </c>
    </row>
    <row r="50">
      <c r="A50" s="392" t="n">
        <v>46</v>
      </c>
      <c r="B50" s="392" t="inlineStr">
        <is>
          <t>②釜工程入力</t>
        </is>
      </c>
      <c r="C50" s="392" t="n">
        <v>50</v>
      </c>
      <c r="D50" s="392">
        <f>②釜工程入力!C50</f>
        <v/>
      </c>
      <c r="E50" s="393">
        <f>②釜工程入力!I50</f>
        <v/>
      </c>
      <c r="F50" s="393">
        <f>②釜工程入力!J50</f>
        <v/>
      </c>
      <c r="G50" s="393">
        <f>②釜工程入力!M50</f>
        <v/>
      </c>
      <c r="H50" s="393">
        <f>②釜工程入力!N50</f>
        <v/>
      </c>
      <c r="I50" s="393">
        <f>②釜工程入力!O50</f>
        <v/>
      </c>
    </row>
    <row r="51">
      <c r="A51" s="392" t="n">
        <v>47</v>
      </c>
      <c r="B51" s="392" t="inlineStr">
        <is>
          <t>②釜工程入力</t>
        </is>
      </c>
      <c r="C51" s="392" t="n">
        <v>51</v>
      </c>
      <c r="D51" s="392">
        <f>②釜工程入力!C51</f>
        <v/>
      </c>
      <c r="E51" s="393">
        <f>②釜工程入力!I51</f>
        <v/>
      </c>
      <c r="F51" s="393">
        <f>②釜工程入力!J51</f>
        <v/>
      </c>
      <c r="G51" s="393">
        <f>②釜工程入力!M51</f>
        <v/>
      </c>
      <c r="H51" s="393">
        <f>②釜工程入力!N51</f>
        <v/>
      </c>
      <c r="I51" s="393">
        <f>②釜工程入力!O51</f>
        <v/>
      </c>
    </row>
    <row r="52">
      <c r="A52" s="392" t="n">
        <v>48</v>
      </c>
      <c r="B52" s="392" t="inlineStr">
        <is>
          <t>②釜工程入力</t>
        </is>
      </c>
      <c r="C52" s="392" t="n">
        <v>52</v>
      </c>
      <c r="D52" s="392">
        <f>②釜工程入力!C52</f>
        <v/>
      </c>
      <c r="E52" s="393">
        <f>②釜工程入力!I52</f>
        <v/>
      </c>
      <c r="F52" s="393">
        <f>②釜工程入力!J52</f>
        <v/>
      </c>
      <c r="G52" s="393">
        <f>②釜工程入力!M52</f>
        <v/>
      </c>
      <c r="H52" s="393">
        <f>②釜工程入力!N52</f>
        <v/>
      </c>
      <c r="I52" s="393">
        <f>②釜工程入力!O52</f>
        <v/>
      </c>
    </row>
    <row r="53">
      <c r="A53" s="392" t="n">
        <v>49</v>
      </c>
      <c r="B53" s="392" t="inlineStr">
        <is>
          <t>②釜工程入力</t>
        </is>
      </c>
      <c r="C53" s="392" t="n">
        <v>53</v>
      </c>
      <c r="D53" s="392">
        <f>②釜工程入力!C53</f>
        <v/>
      </c>
      <c r="E53" s="393">
        <f>②釜工程入力!I53</f>
        <v/>
      </c>
      <c r="F53" s="393">
        <f>②釜工程入力!J53</f>
        <v/>
      </c>
      <c r="G53" s="393">
        <f>②釜工程入力!M53</f>
        <v/>
      </c>
      <c r="H53" s="393">
        <f>②釜工程入力!N53</f>
        <v/>
      </c>
      <c r="I53" s="393">
        <f>②釜工程入力!O53</f>
        <v/>
      </c>
    </row>
    <row r="54">
      <c r="A54" s="392" t="n">
        <v>50</v>
      </c>
      <c r="B54" s="392" t="inlineStr">
        <is>
          <t>②釜工程入力</t>
        </is>
      </c>
      <c r="C54" s="392" t="n">
        <v>54</v>
      </c>
      <c r="D54" s="392">
        <f>②釜工程入力!C54</f>
        <v/>
      </c>
      <c r="E54" s="393">
        <f>②釜工程入力!I54</f>
        <v/>
      </c>
      <c r="F54" s="393">
        <f>②釜工程入力!J54</f>
        <v/>
      </c>
      <c r="G54" s="393">
        <f>②釜工程入力!M54</f>
        <v/>
      </c>
      <c r="H54" s="393">
        <f>②釜工程入力!N54</f>
        <v/>
      </c>
      <c r="I54" s="393">
        <f>②釜工程入力!O54</f>
        <v/>
      </c>
    </row>
    <row r="55">
      <c r="A55" s="392" t="n">
        <v>51</v>
      </c>
      <c r="B55" s="392" t="inlineStr">
        <is>
          <t>②釜工程入力</t>
        </is>
      </c>
      <c r="C55" s="392" t="n">
        <v>55</v>
      </c>
      <c r="D55" s="392">
        <f>②釜工程入力!C55</f>
        <v/>
      </c>
      <c r="E55" s="393">
        <f>②釜工程入力!I55</f>
        <v/>
      </c>
      <c r="F55" s="393">
        <f>②釜工程入力!J55</f>
        <v/>
      </c>
      <c r="G55" s="393">
        <f>②釜工程入力!M55</f>
        <v/>
      </c>
      <c r="H55" s="393">
        <f>②釜工程入力!N55</f>
        <v/>
      </c>
      <c r="I55" s="393">
        <f>②釜工程入力!O55</f>
        <v/>
      </c>
    </row>
    <row r="56">
      <c r="A56" s="392" t="n">
        <v>52</v>
      </c>
      <c r="B56" s="392" t="inlineStr">
        <is>
          <t>②釜工程入力</t>
        </is>
      </c>
      <c r="C56" s="392" t="n">
        <v>56</v>
      </c>
      <c r="D56" s="392">
        <f>②釜工程入力!C56</f>
        <v/>
      </c>
      <c r="E56" s="393">
        <f>②釜工程入力!I56</f>
        <v/>
      </c>
      <c r="F56" s="393">
        <f>②釜工程入力!J56</f>
        <v/>
      </c>
      <c r="G56" s="393">
        <f>②釜工程入力!M56</f>
        <v/>
      </c>
      <c r="H56" s="393">
        <f>②釜工程入力!N56</f>
        <v/>
      </c>
      <c r="I56" s="393">
        <f>②釜工程入力!O56</f>
        <v/>
      </c>
    </row>
    <row r="57">
      <c r="A57" s="392" t="n">
        <v>53</v>
      </c>
      <c r="B57" s="392" t="inlineStr">
        <is>
          <t>②釜工程入力</t>
        </is>
      </c>
      <c r="C57" s="392" t="n">
        <v>57</v>
      </c>
      <c r="D57" s="392">
        <f>②釜工程入力!C57</f>
        <v/>
      </c>
      <c r="E57" s="393">
        <f>②釜工程入力!I57</f>
        <v/>
      </c>
      <c r="F57" s="393">
        <f>②釜工程入力!J57</f>
        <v/>
      </c>
      <c r="G57" s="393">
        <f>②釜工程入力!M57</f>
        <v/>
      </c>
      <c r="H57" s="393">
        <f>②釜工程入力!N57</f>
        <v/>
      </c>
      <c r="I57" s="393">
        <f>②釜工程入力!O57</f>
        <v/>
      </c>
    </row>
    <row r="58">
      <c r="A58" s="392" t="n">
        <v>54</v>
      </c>
      <c r="B58" s="392" t="inlineStr">
        <is>
          <t>②釜工程入力</t>
        </is>
      </c>
      <c r="C58" s="392" t="n">
        <v>58</v>
      </c>
      <c r="D58" s="392">
        <f>②釜工程入力!C58</f>
        <v/>
      </c>
      <c r="E58" s="393">
        <f>②釜工程入力!I58</f>
        <v/>
      </c>
      <c r="F58" s="393">
        <f>②釜工程入力!J58</f>
        <v/>
      </c>
      <c r="G58" s="393">
        <f>②釜工程入力!M58</f>
        <v/>
      </c>
      <c r="H58" s="393">
        <f>②釜工程入力!N58</f>
        <v/>
      </c>
      <c r="I58" s="393">
        <f>②釜工程入力!O58</f>
        <v/>
      </c>
    </row>
    <row r="59">
      <c r="A59" s="392" t="n">
        <v>55</v>
      </c>
      <c r="B59" s="392" t="inlineStr">
        <is>
          <t>②釜工程入力</t>
        </is>
      </c>
      <c r="C59" s="392" t="n">
        <v>59</v>
      </c>
      <c r="D59" s="392">
        <f>②釜工程入力!C59</f>
        <v/>
      </c>
      <c r="E59" s="393">
        <f>②釜工程入力!I59</f>
        <v/>
      </c>
      <c r="F59" s="393">
        <f>②釜工程入力!J59</f>
        <v/>
      </c>
      <c r="G59" s="393">
        <f>②釜工程入力!M59</f>
        <v/>
      </c>
      <c r="H59" s="393">
        <f>②釜工程入力!N59</f>
        <v/>
      </c>
      <c r="I59" s="393">
        <f>②釜工程入力!O59</f>
        <v/>
      </c>
    </row>
    <row r="60">
      <c r="A60" s="392" t="n">
        <v>56</v>
      </c>
      <c r="B60" s="392" t="inlineStr">
        <is>
          <t>②釜工程入力</t>
        </is>
      </c>
      <c r="C60" s="392" t="n">
        <v>60</v>
      </c>
      <c r="D60" s="392">
        <f>②釜工程入力!C60</f>
        <v/>
      </c>
      <c r="E60" s="393">
        <f>②釜工程入力!I60</f>
        <v/>
      </c>
      <c r="F60" s="393">
        <f>②釜工程入力!J60</f>
        <v/>
      </c>
      <c r="G60" s="393">
        <f>②釜工程入力!M60</f>
        <v/>
      </c>
      <c r="H60" s="393">
        <f>②釜工程入力!N60</f>
        <v/>
      </c>
      <c r="I60" s="393">
        <f>②釜工程入力!O60</f>
        <v/>
      </c>
    </row>
    <row r="61">
      <c r="A61" s="392" t="n">
        <v>57</v>
      </c>
      <c r="B61" s="392" t="inlineStr">
        <is>
          <t>②釜工程入力</t>
        </is>
      </c>
      <c r="C61" s="392" t="n">
        <v>61</v>
      </c>
      <c r="D61" s="392">
        <f>②釜工程入力!C61</f>
        <v/>
      </c>
      <c r="E61" s="393">
        <f>②釜工程入力!I61</f>
        <v/>
      </c>
      <c r="F61" s="393">
        <f>②釜工程入力!J61</f>
        <v/>
      </c>
      <c r="G61" s="393">
        <f>②釜工程入力!M61</f>
        <v/>
      </c>
      <c r="H61" s="393">
        <f>②釜工程入力!N61</f>
        <v/>
      </c>
      <c r="I61" s="393">
        <f>②釜工程入力!O61</f>
        <v/>
      </c>
    </row>
    <row r="62">
      <c r="A62" s="392" t="n">
        <v>58</v>
      </c>
      <c r="B62" s="392" t="inlineStr">
        <is>
          <t>②釜工程入力</t>
        </is>
      </c>
      <c r="C62" s="392" t="n">
        <v>62</v>
      </c>
      <c r="D62" s="392">
        <f>②釜工程入力!C62</f>
        <v/>
      </c>
      <c r="E62" s="393">
        <f>②釜工程入力!I62</f>
        <v/>
      </c>
      <c r="F62" s="393">
        <f>②釜工程入力!J62</f>
        <v/>
      </c>
      <c r="G62" s="393">
        <f>②釜工程入力!M62</f>
        <v/>
      </c>
      <c r="H62" s="393">
        <f>②釜工程入力!N62</f>
        <v/>
      </c>
      <c r="I62" s="393">
        <f>②釜工程入力!O62</f>
        <v/>
      </c>
    </row>
    <row r="63">
      <c r="A63" s="392" t="n">
        <v>59</v>
      </c>
      <c r="B63" s="392" t="inlineStr">
        <is>
          <t>②釜工程入力</t>
        </is>
      </c>
      <c r="C63" s="392" t="n">
        <v>63</v>
      </c>
      <c r="D63" s="392">
        <f>②釜工程入力!C63</f>
        <v/>
      </c>
      <c r="E63" s="393">
        <f>②釜工程入力!I63</f>
        <v/>
      </c>
      <c r="F63" s="393">
        <f>②釜工程入力!J63</f>
        <v/>
      </c>
      <c r="G63" s="393">
        <f>②釜工程入力!M63</f>
        <v/>
      </c>
      <c r="H63" s="393">
        <f>②釜工程入力!N63</f>
        <v/>
      </c>
      <c r="I63" s="393">
        <f>②釜工程入力!O63</f>
        <v/>
      </c>
    </row>
    <row r="64">
      <c r="A64" s="392" t="n">
        <v>60</v>
      </c>
      <c r="B64" s="392" t="inlineStr">
        <is>
          <t>②釜工程入力</t>
        </is>
      </c>
      <c r="C64" s="392" t="n">
        <v>64</v>
      </c>
      <c r="D64" s="392">
        <f>②釜工程入力!C64</f>
        <v/>
      </c>
      <c r="E64" s="393">
        <f>②釜工程入力!I64</f>
        <v/>
      </c>
      <c r="F64" s="393">
        <f>②釜工程入力!J64</f>
        <v/>
      </c>
      <c r="G64" s="393">
        <f>②釜工程入力!M64</f>
        <v/>
      </c>
      <c r="H64" s="393">
        <f>②釜工程入力!N64</f>
        <v/>
      </c>
      <c r="I64" s="393">
        <f>②釜工程入力!O64</f>
        <v/>
      </c>
    </row>
    <row r="65">
      <c r="A65" s="392" t="n">
        <v>61</v>
      </c>
      <c r="B65" s="392" t="inlineStr">
        <is>
          <t>②釜工程入力</t>
        </is>
      </c>
      <c r="C65" s="392" t="n">
        <v>65</v>
      </c>
      <c r="D65" s="392">
        <f>②釜工程入力!C65</f>
        <v/>
      </c>
      <c r="E65" s="393">
        <f>②釜工程入力!I65</f>
        <v/>
      </c>
      <c r="F65" s="393">
        <f>②釜工程入力!J65</f>
        <v/>
      </c>
      <c r="G65" s="393">
        <f>②釜工程入力!M65</f>
        <v/>
      </c>
      <c r="H65" s="393">
        <f>②釜工程入力!N65</f>
        <v/>
      </c>
      <c r="I65" s="393">
        <f>②釜工程入力!O65</f>
        <v/>
      </c>
    </row>
    <row r="66">
      <c r="A66" s="392" t="n">
        <v>62</v>
      </c>
      <c r="B66" s="392" t="inlineStr">
        <is>
          <t>②釜工程入力</t>
        </is>
      </c>
      <c r="C66" s="392" t="n">
        <v>66</v>
      </c>
      <c r="D66" s="392">
        <f>②釜工程入力!C66</f>
        <v/>
      </c>
      <c r="E66" s="393">
        <f>②釜工程入力!I66</f>
        <v/>
      </c>
      <c r="F66" s="393">
        <f>②釜工程入力!J66</f>
        <v/>
      </c>
      <c r="G66" s="393">
        <f>②釜工程入力!M66</f>
        <v/>
      </c>
      <c r="H66" s="393">
        <f>②釜工程入力!N66</f>
        <v/>
      </c>
      <c r="I66" s="393">
        <f>②釜工程入力!O66</f>
        <v/>
      </c>
    </row>
    <row r="67">
      <c r="A67" s="392" t="n">
        <v>63</v>
      </c>
      <c r="B67" s="392" t="inlineStr">
        <is>
          <t>②釜工程入力</t>
        </is>
      </c>
      <c r="C67" s="392" t="n">
        <v>67</v>
      </c>
      <c r="D67" s="392">
        <f>②釜工程入力!C67</f>
        <v/>
      </c>
      <c r="E67" s="393">
        <f>②釜工程入力!I67</f>
        <v/>
      </c>
      <c r="F67" s="393">
        <f>②釜工程入力!J67</f>
        <v/>
      </c>
      <c r="G67" s="393">
        <f>②釜工程入力!M67</f>
        <v/>
      </c>
      <c r="H67" s="393">
        <f>②釜工程入力!N67</f>
        <v/>
      </c>
      <c r="I67" s="393">
        <f>②釜工程入力!O67</f>
        <v/>
      </c>
    </row>
    <row r="68">
      <c r="A68" s="392" t="n">
        <v>64</v>
      </c>
      <c r="B68" s="392" t="inlineStr">
        <is>
          <t>②釜工程入力</t>
        </is>
      </c>
      <c r="C68" s="392" t="n">
        <v>68</v>
      </c>
      <c r="D68" s="392">
        <f>②釜工程入力!C68</f>
        <v/>
      </c>
      <c r="E68" s="393">
        <f>②釜工程入力!I68</f>
        <v/>
      </c>
      <c r="F68" s="393">
        <f>②釜工程入力!J68</f>
        <v/>
      </c>
      <c r="G68" s="393">
        <f>②釜工程入力!M68</f>
        <v/>
      </c>
      <c r="H68" s="393">
        <f>②釜工程入力!N68</f>
        <v/>
      </c>
      <c r="I68" s="393">
        <f>②釜工程入力!O68</f>
        <v/>
      </c>
    </row>
    <row r="69">
      <c r="A69" s="392" t="n">
        <v>65</v>
      </c>
      <c r="B69" s="392" t="inlineStr">
        <is>
          <t>②釜工程入力</t>
        </is>
      </c>
      <c r="C69" s="392" t="n">
        <v>69</v>
      </c>
      <c r="D69" s="392">
        <f>②釜工程入力!C69</f>
        <v/>
      </c>
      <c r="E69" s="393">
        <f>②釜工程入力!I69</f>
        <v/>
      </c>
      <c r="F69" s="393">
        <f>②釜工程入力!J69</f>
        <v/>
      </c>
      <c r="G69" s="393">
        <f>②釜工程入力!M69</f>
        <v/>
      </c>
      <c r="H69" s="393">
        <f>②釜工程入力!N69</f>
        <v/>
      </c>
      <c r="I69" s="393">
        <f>②釜工程入力!O69</f>
        <v/>
      </c>
    </row>
    <row r="70">
      <c r="A70" s="392" t="n">
        <v>66</v>
      </c>
      <c r="B70" s="392" t="inlineStr">
        <is>
          <t>②釜工程入力</t>
        </is>
      </c>
      <c r="C70" s="392" t="n">
        <v>70</v>
      </c>
      <c r="D70" s="392">
        <f>②釜工程入力!C70</f>
        <v/>
      </c>
      <c r="E70" s="393">
        <f>②釜工程入力!I70</f>
        <v/>
      </c>
      <c r="F70" s="393">
        <f>②釜工程入力!J70</f>
        <v/>
      </c>
      <c r="G70" s="393">
        <f>②釜工程入力!M70</f>
        <v/>
      </c>
      <c r="H70" s="393">
        <f>②釜工程入力!N70</f>
        <v/>
      </c>
      <c r="I70" s="393">
        <f>②釜工程入力!O70</f>
        <v/>
      </c>
    </row>
    <row r="71">
      <c r="A71" s="392" t="n">
        <v>67</v>
      </c>
      <c r="B71" s="392" t="inlineStr">
        <is>
          <t>②釜工程入力</t>
        </is>
      </c>
      <c r="C71" s="392" t="n">
        <v>71</v>
      </c>
      <c r="D71" s="392">
        <f>②釜工程入力!C71</f>
        <v/>
      </c>
      <c r="E71" s="393">
        <f>②釜工程入力!I71</f>
        <v/>
      </c>
      <c r="F71" s="393">
        <f>②釜工程入力!J71</f>
        <v/>
      </c>
      <c r="G71" s="393">
        <f>②釜工程入力!M71</f>
        <v/>
      </c>
      <c r="H71" s="393">
        <f>②釜工程入力!N71</f>
        <v/>
      </c>
      <c r="I71" s="393">
        <f>②釜工程入力!O71</f>
        <v/>
      </c>
    </row>
    <row r="72">
      <c r="A72" s="392" t="n">
        <v>68</v>
      </c>
      <c r="B72" s="392" t="inlineStr">
        <is>
          <t>②釜工程入力</t>
        </is>
      </c>
      <c r="C72" s="392" t="n">
        <v>72</v>
      </c>
      <c r="D72" s="392">
        <f>②釜工程入力!C72</f>
        <v/>
      </c>
      <c r="E72" s="393">
        <f>②釜工程入力!I72</f>
        <v/>
      </c>
      <c r="F72" s="393">
        <f>②釜工程入力!J72</f>
        <v/>
      </c>
      <c r="G72" s="393">
        <f>②釜工程入力!M72</f>
        <v/>
      </c>
      <c r="H72" s="393">
        <f>②釜工程入力!N72</f>
        <v/>
      </c>
      <c r="I72" s="393">
        <f>②釜工程入力!O72</f>
        <v/>
      </c>
    </row>
    <row r="73">
      <c r="A73" s="392" t="n">
        <v>69</v>
      </c>
      <c r="B73" s="392" t="inlineStr">
        <is>
          <t>②釜工程入力</t>
        </is>
      </c>
      <c r="C73" s="392" t="n">
        <v>73</v>
      </c>
      <c r="D73" s="392">
        <f>②釜工程入力!C73</f>
        <v/>
      </c>
      <c r="E73" s="393">
        <f>②釜工程入力!I73</f>
        <v/>
      </c>
      <c r="F73" s="393">
        <f>②釜工程入力!J73</f>
        <v/>
      </c>
      <c r="G73" s="393">
        <f>②釜工程入力!M73</f>
        <v/>
      </c>
      <c r="H73" s="393">
        <f>②釜工程入力!N73</f>
        <v/>
      </c>
      <c r="I73" s="393">
        <f>②釜工程入力!O73</f>
        <v/>
      </c>
    </row>
    <row r="74">
      <c r="A74" s="392" t="n">
        <v>70</v>
      </c>
      <c r="B74" s="392" t="inlineStr">
        <is>
          <t>②釜工程入力</t>
        </is>
      </c>
      <c r="C74" s="392" t="n">
        <v>74</v>
      </c>
      <c r="D74" s="392">
        <f>②釜工程入力!C74</f>
        <v/>
      </c>
      <c r="E74" s="393">
        <f>②釜工程入力!I74</f>
        <v/>
      </c>
      <c r="F74" s="393">
        <f>②釜工程入力!J74</f>
        <v/>
      </c>
      <c r="G74" s="393">
        <f>②釜工程入力!M74</f>
        <v/>
      </c>
      <c r="H74" s="393">
        <f>②釜工程入力!N74</f>
        <v/>
      </c>
      <c r="I74" s="393">
        <f>②釜工程入力!O74</f>
        <v/>
      </c>
    </row>
    <row r="75">
      <c r="A75" s="392" t="n">
        <v>71</v>
      </c>
      <c r="B75" s="392" t="inlineStr">
        <is>
          <t>②釜工程入力</t>
        </is>
      </c>
      <c r="C75" s="392" t="n">
        <v>75</v>
      </c>
      <c r="D75" s="392">
        <f>②釜工程入力!C75</f>
        <v/>
      </c>
      <c r="E75" s="393">
        <f>②釜工程入力!I75</f>
        <v/>
      </c>
      <c r="F75" s="393">
        <f>②釜工程入力!J75</f>
        <v/>
      </c>
      <c r="G75" s="393">
        <f>②釜工程入力!M75</f>
        <v/>
      </c>
      <c r="H75" s="393">
        <f>②釜工程入力!N75</f>
        <v/>
      </c>
      <c r="I75" s="393">
        <f>②釜工程入力!O75</f>
        <v/>
      </c>
    </row>
    <row r="76">
      <c r="A76" s="392" t="n">
        <v>72</v>
      </c>
      <c r="B76" s="392" t="inlineStr">
        <is>
          <t>②釜工程入力</t>
        </is>
      </c>
      <c r="C76" s="392" t="n">
        <v>76</v>
      </c>
      <c r="D76" s="392">
        <f>②釜工程入力!C76</f>
        <v/>
      </c>
      <c r="E76" s="393">
        <f>②釜工程入力!I76</f>
        <v/>
      </c>
      <c r="F76" s="393">
        <f>②釜工程入力!J76</f>
        <v/>
      </c>
      <c r="G76" s="393">
        <f>②釜工程入力!M76</f>
        <v/>
      </c>
      <c r="H76" s="393">
        <f>②釜工程入力!N76</f>
        <v/>
      </c>
      <c r="I76" s="393">
        <f>②釜工程入力!O76</f>
        <v/>
      </c>
    </row>
    <row r="77">
      <c r="A77" s="392" t="n">
        <v>73</v>
      </c>
      <c r="B77" s="392" t="inlineStr">
        <is>
          <t>②釜工程入力</t>
        </is>
      </c>
      <c r="C77" s="392" t="n">
        <v>77</v>
      </c>
      <c r="D77" s="392">
        <f>②釜工程入力!C77</f>
        <v/>
      </c>
      <c r="E77" s="393">
        <f>②釜工程入力!I77</f>
        <v/>
      </c>
      <c r="F77" s="393">
        <f>②釜工程入力!J77</f>
        <v/>
      </c>
      <c r="G77" s="393">
        <f>②釜工程入力!M77</f>
        <v/>
      </c>
      <c r="H77" s="393">
        <f>②釜工程入力!N77</f>
        <v/>
      </c>
      <c r="I77" s="393">
        <f>②釜工程入力!O77</f>
        <v/>
      </c>
    </row>
    <row r="78">
      <c r="A78" s="392" t="n">
        <v>74</v>
      </c>
      <c r="B78" s="392" t="inlineStr">
        <is>
          <t>②釜工程入力</t>
        </is>
      </c>
      <c r="C78" s="392" t="n">
        <v>78</v>
      </c>
      <c r="D78" s="392">
        <f>②釜工程入力!C78</f>
        <v/>
      </c>
      <c r="E78" s="393">
        <f>②釜工程入力!I78</f>
        <v/>
      </c>
      <c r="F78" s="393">
        <f>②釜工程入力!J78</f>
        <v/>
      </c>
      <c r="G78" s="393">
        <f>②釜工程入力!M78</f>
        <v/>
      </c>
      <c r="H78" s="393">
        <f>②釜工程入力!N78</f>
        <v/>
      </c>
      <c r="I78" s="393">
        <f>②釜工程入力!O78</f>
        <v/>
      </c>
    </row>
    <row r="79">
      <c r="A79" s="392" t="n">
        <v>75</v>
      </c>
      <c r="B79" s="392" t="inlineStr">
        <is>
          <t>②釜工程入力</t>
        </is>
      </c>
      <c r="C79" s="392" t="n">
        <v>79</v>
      </c>
      <c r="D79" s="392">
        <f>②釜工程入力!C79</f>
        <v/>
      </c>
      <c r="E79" s="393">
        <f>②釜工程入力!I79</f>
        <v/>
      </c>
      <c r="F79" s="393">
        <f>②釜工程入力!J79</f>
        <v/>
      </c>
      <c r="G79" s="393">
        <f>②釜工程入力!M79</f>
        <v/>
      </c>
      <c r="H79" s="393">
        <f>②釜工程入力!N79</f>
        <v/>
      </c>
      <c r="I79" s="393">
        <f>②釜工程入力!O79</f>
        <v/>
      </c>
    </row>
    <row r="80">
      <c r="A80" s="392" t="n">
        <v>76</v>
      </c>
      <c r="B80" s="392" t="inlineStr">
        <is>
          <t>②釜工程入力</t>
        </is>
      </c>
      <c r="C80" s="392" t="n">
        <v>80</v>
      </c>
      <c r="D80" s="392">
        <f>②釜工程入力!C80</f>
        <v/>
      </c>
      <c r="E80" s="393">
        <f>②釜工程入力!I80</f>
        <v/>
      </c>
      <c r="F80" s="393">
        <f>②釜工程入力!J80</f>
        <v/>
      </c>
      <c r="G80" s="393">
        <f>②釜工程入力!M80</f>
        <v/>
      </c>
      <c r="H80" s="393">
        <f>②釜工程入力!N80</f>
        <v/>
      </c>
      <c r="I80" s="393">
        <f>②釜工程入力!O80</f>
        <v/>
      </c>
    </row>
    <row r="81">
      <c r="A81" s="392" t="n">
        <v>77</v>
      </c>
      <c r="B81" s="392" t="inlineStr">
        <is>
          <t>②釜工程入力</t>
        </is>
      </c>
      <c r="C81" s="392" t="n">
        <v>81</v>
      </c>
      <c r="D81" s="392">
        <f>②釜工程入力!C81</f>
        <v/>
      </c>
      <c r="E81" s="393">
        <f>②釜工程入力!I81</f>
        <v/>
      </c>
      <c r="F81" s="393">
        <f>②釜工程入力!J81</f>
        <v/>
      </c>
      <c r="G81" s="393">
        <f>②釜工程入力!M81</f>
        <v/>
      </c>
      <c r="H81" s="393">
        <f>②釜工程入力!N81</f>
        <v/>
      </c>
      <c r="I81" s="393">
        <f>②釜工程入力!O81</f>
        <v/>
      </c>
    </row>
    <row r="82">
      <c r="A82" s="392" t="n">
        <v>78</v>
      </c>
      <c r="B82" s="392" t="inlineStr">
        <is>
          <t>②釜工程入力</t>
        </is>
      </c>
      <c r="C82" s="392" t="n">
        <v>82</v>
      </c>
      <c r="D82" s="392">
        <f>②釜工程入力!C82</f>
        <v/>
      </c>
      <c r="E82" s="393">
        <f>②釜工程入力!I82</f>
        <v/>
      </c>
      <c r="F82" s="393">
        <f>②釜工程入力!J82</f>
        <v/>
      </c>
      <c r="G82" s="393">
        <f>②釜工程入力!M82</f>
        <v/>
      </c>
      <c r="H82" s="393">
        <f>②釜工程入力!N82</f>
        <v/>
      </c>
      <c r="I82" s="393">
        <f>②釜工程入力!O82</f>
        <v/>
      </c>
    </row>
    <row r="83">
      <c r="A83" s="392" t="n">
        <v>79</v>
      </c>
      <c r="B83" s="392" t="inlineStr">
        <is>
          <t>②釜工程入力</t>
        </is>
      </c>
      <c r="C83" s="392" t="n">
        <v>83</v>
      </c>
      <c r="D83" s="392">
        <f>②釜工程入力!C83</f>
        <v/>
      </c>
      <c r="E83" s="393">
        <f>②釜工程入力!I83</f>
        <v/>
      </c>
      <c r="F83" s="393">
        <f>②釜工程入力!J83</f>
        <v/>
      </c>
      <c r="G83" s="393">
        <f>②釜工程入力!M83</f>
        <v/>
      </c>
      <c r="H83" s="393">
        <f>②釜工程入力!N83</f>
        <v/>
      </c>
      <c r="I83" s="393">
        <f>②釜工程入力!O83</f>
        <v/>
      </c>
    </row>
    <row r="84">
      <c r="A84" s="392" t="n">
        <v>80</v>
      </c>
      <c r="B84" s="392" t="inlineStr">
        <is>
          <t>②釜工程入力</t>
        </is>
      </c>
      <c r="C84" s="392" t="n">
        <v>84</v>
      </c>
      <c r="D84" s="392">
        <f>②釜工程入力!C84</f>
        <v/>
      </c>
      <c r="E84" s="393">
        <f>②釜工程入力!I84</f>
        <v/>
      </c>
      <c r="F84" s="393">
        <f>②釜工程入力!J84</f>
        <v/>
      </c>
      <c r="G84" s="393">
        <f>②釜工程入力!M84</f>
        <v/>
      </c>
      <c r="H84" s="393">
        <f>②釜工程入力!N84</f>
        <v/>
      </c>
      <c r="I84" s="393">
        <f>②釜工程入力!O84</f>
        <v/>
      </c>
    </row>
    <row r="85">
      <c r="A85" s="392" t="n">
        <v>81</v>
      </c>
      <c r="B85" s="392" t="inlineStr">
        <is>
          <t>②釜工程入力</t>
        </is>
      </c>
      <c r="C85" s="392" t="n">
        <v>85</v>
      </c>
      <c r="D85" s="392">
        <f>②釜工程入力!C85</f>
        <v/>
      </c>
      <c r="E85" s="393">
        <f>②釜工程入力!I85</f>
        <v/>
      </c>
      <c r="F85" s="393">
        <f>②釜工程入力!J85</f>
        <v/>
      </c>
      <c r="G85" s="393">
        <f>②釜工程入力!M85</f>
        <v/>
      </c>
      <c r="H85" s="393">
        <f>②釜工程入力!N85</f>
        <v/>
      </c>
      <c r="I85" s="393">
        <f>②釜工程入力!O85</f>
        <v/>
      </c>
    </row>
    <row r="86">
      <c r="A86" s="392" t="n">
        <v>82</v>
      </c>
      <c r="B86" s="392" t="inlineStr">
        <is>
          <t>②釜工程入力</t>
        </is>
      </c>
      <c r="C86" s="392" t="n">
        <v>86</v>
      </c>
      <c r="D86" s="392">
        <f>②釜工程入力!C86</f>
        <v/>
      </c>
      <c r="E86" s="393">
        <f>②釜工程入力!I86</f>
        <v/>
      </c>
      <c r="F86" s="393">
        <f>②釜工程入力!J86</f>
        <v/>
      </c>
      <c r="G86" s="393">
        <f>②釜工程入力!M86</f>
        <v/>
      </c>
      <c r="H86" s="393">
        <f>②釜工程入力!N86</f>
        <v/>
      </c>
      <c r="I86" s="393">
        <f>②釜工程入力!O86</f>
        <v/>
      </c>
    </row>
    <row r="87">
      <c r="A87" s="392" t="n">
        <v>83</v>
      </c>
      <c r="B87" s="392" t="inlineStr">
        <is>
          <t>②釜工程入力</t>
        </is>
      </c>
      <c r="C87" s="392" t="n">
        <v>87</v>
      </c>
      <c r="D87" s="392">
        <f>②釜工程入力!C87</f>
        <v/>
      </c>
      <c r="E87" s="393">
        <f>②釜工程入力!I87</f>
        <v/>
      </c>
      <c r="F87" s="393">
        <f>②釜工程入力!J87</f>
        <v/>
      </c>
      <c r="G87" s="393">
        <f>②釜工程入力!M87</f>
        <v/>
      </c>
      <c r="H87" s="393">
        <f>②釜工程入力!N87</f>
        <v/>
      </c>
      <c r="I87" s="393">
        <f>②釜工程入力!O87</f>
        <v/>
      </c>
    </row>
    <row r="88">
      <c r="A88" s="392" t="n">
        <v>84</v>
      </c>
      <c r="B88" s="392" t="inlineStr">
        <is>
          <t>②釜工程入力</t>
        </is>
      </c>
      <c r="C88" s="392" t="n">
        <v>88</v>
      </c>
      <c r="D88" s="392">
        <f>②釜工程入力!C88</f>
        <v/>
      </c>
      <c r="E88" s="393">
        <f>②釜工程入力!I88</f>
        <v/>
      </c>
      <c r="F88" s="393">
        <f>②釜工程入力!J88</f>
        <v/>
      </c>
      <c r="G88" s="393">
        <f>②釜工程入力!M88</f>
        <v/>
      </c>
      <c r="H88" s="393">
        <f>②釜工程入力!N88</f>
        <v/>
      </c>
      <c r="I88" s="393">
        <f>②釜工程入力!O88</f>
        <v/>
      </c>
    </row>
    <row r="89">
      <c r="A89" s="392" t="n">
        <v>85</v>
      </c>
      <c r="B89" s="392" t="inlineStr">
        <is>
          <t>②釜工程入力</t>
        </is>
      </c>
      <c r="C89" s="392" t="n">
        <v>89</v>
      </c>
      <c r="D89" s="392">
        <f>②釜工程入力!C89</f>
        <v/>
      </c>
      <c r="E89" s="393">
        <f>②釜工程入力!I89</f>
        <v/>
      </c>
      <c r="F89" s="393">
        <f>②釜工程入力!J89</f>
        <v/>
      </c>
      <c r="G89" s="393">
        <f>②釜工程入力!M89</f>
        <v/>
      </c>
      <c r="H89" s="393">
        <f>②釜工程入力!N89</f>
        <v/>
      </c>
      <c r="I89" s="393">
        <f>②釜工程入力!O89</f>
        <v/>
      </c>
    </row>
    <row r="90">
      <c r="A90" s="392" t="n">
        <v>86</v>
      </c>
      <c r="B90" s="392" t="inlineStr">
        <is>
          <t>②釜工程入力</t>
        </is>
      </c>
      <c r="C90" s="392" t="n">
        <v>90</v>
      </c>
      <c r="D90" s="392">
        <f>②釜工程入力!C90</f>
        <v/>
      </c>
      <c r="E90" s="393">
        <f>②釜工程入力!I90</f>
        <v/>
      </c>
      <c r="F90" s="393">
        <f>②釜工程入力!J90</f>
        <v/>
      </c>
      <c r="G90" s="393">
        <f>②釜工程入力!M90</f>
        <v/>
      </c>
      <c r="H90" s="393">
        <f>②釜工程入力!N90</f>
        <v/>
      </c>
      <c r="I90" s="393">
        <f>②釜工程入力!O90</f>
        <v/>
      </c>
    </row>
    <row r="91">
      <c r="A91" s="392" t="n">
        <v>87</v>
      </c>
      <c r="B91" s="392" t="inlineStr">
        <is>
          <t>②釜工程入力</t>
        </is>
      </c>
      <c r="C91" s="392" t="n">
        <v>91</v>
      </c>
      <c r="D91" s="392">
        <f>②釜工程入力!C91</f>
        <v/>
      </c>
      <c r="E91" s="393">
        <f>②釜工程入力!I91</f>
        <v/>
      </c>
      <c r="F91" s="393">
        <f>②釜工程入力!J91</f>
        <v/>
      </c>
      <c r="G91" s="393">
        <f>②釜工程入力!M91</f>
        <v/>
      </c>
      <c r="H91" s="393">
        <f>②釜工程入力!N91</f>
        <v/>
      </c>
      <c r="I91" s="393">
        <f>②釜工程入力!O91</f>
        <v/>
      </c>
    </row>
    <row r="92">
      <c r="A92" s="392" t="n">
        <v>88</v>
      </c>
      <c r="B92" s="392" t="inlineStr">
        <is>
          <t>②釜工程入力</t>
        </is>
      </c>
      <c r="C92" s="392" t="n">
        <v>92</v>
      </c>
      <c r="D92" s="392">
        <f>②釜工程入力!C92</f>
        <v/>
      </c>
      <c r="E92" s="393">
        <f>②釜工程入力!I92</f>
        <v/>
      </c>
      <c r="F92" s="393">
        <f>②釜工程入力!J92</f>
        <v/>
      </c>
      <c r="G92" s="393">
        <f>②釜工程入力!M92</f>
        <v/>
      </c>
      <c r="H92" s="393">
        <f>②釜工程入力!N92</f>
        <v/>
      </c>
      <c r="I92" s="393">
        <f>②釜工程入力!O92</f>
        <v/>
      </c>
    </row>
    <row r="93">
      <c r="A93" s="392" t="n">
        <v>89</v>
      </c>
      <c r="B93" s="392" t="inlineStr">
        <is>
          <t>②釜工程入力</t>
        </is>
      </c>
      <c r="C93" s="392" t="n">
        <v>93</v>
      </c>
      <c r="D93" s="392">
        <f>②釜工程入力!C93</f>
        <v/>
      </c>
      <c r="E93" s="393">
        <f>②釜工程入力!I93</f>
        <v/>
      </c>
      <c r="F93" s="393">
        <f>②釜工程入力!J93</f>
        <v/>
      </c>
      <c r="G93" s="393">
        <f>②釜工程入力!M93</f>
        <v/>
      </c>
      <c r="H93" s="393">
        <f>②釜工程入力!N93</f>
        <v/>
      </c>
      <c r="I93" s="393">
        <f>②釜工程入力!O93</f>
        <v/>
      </c>
    </row>
    <row r="94">
      <c r="A94" s="392" t="n">
        <v>90</v>
      </c>
      <c r="B94" s="392" t="inlineStr">
        <is>
          <t>②釜工程入力</t>
        </is>
      </c>
      <c r="C94" s="392" t="n">
        <v>94</v>
      </c>
      <c r="D94" s="392">
        <f>②釜工程入力!C94</f>
        <v/>
      </c>
      <c r="E94" s="393">
        <f>②釜工程入力!I94</f>
        <v/>
      </c>
      <c r="F94" s="393">
        <f>②釜工程入力!J94</f>
        <v/>
      </c>
      <c r="G94" s="393">
        <f>②釜工程入力!M94</f>
        <v/>
      </c>
      <c r="H94" s="393">
        <f>②釜工程入力!N94</f>
        <v/>
      </c>
      <c r="I94" s="393">
        <f>②釜工程入力!O94</f>
        <v/>
      </c>
    </row>
    <row r="95">
      <c r="A95" s="392" t="n">
        <v>91</v>
      </c>
      <c r="B95" s="392" t="inlineStr">
        <is>
          <t>②釜工程入力</t>
        </is>
      </c>
      <c r="C95" s="392" t="n">
        <v>95</v>
      </c>
      <c r="D95" s="392">
        <f>②釜工程入力!C95</f>
        <v/>
      </c>
      <c r="E95" s="393">
        <f>②釜工程入力!I95</f>
        <v/>
      </c>
      <c r="F95" s="393">
        <f>②釜工程入力!J95</f>
        <v/>
      </c>
      <c r="G95" s="393">
        <f>②釜工程入力!M95</f>
        <v/>
      </c>
      <c r="H95" s="393">
        <f>②釜工程入力!N95</f>
        <v/>
      </c>
      <c r="I95" s="393">
        <f>②釜工程入力!O95</f>
        <v/>
      </c>
    </row>
    <row r="96">
      <c r="A96" s="392" t="n">
        <v>92</v>
      </c>
      <c r="B96" s="392" t="inlineStr">
        <is>
          <t>②釜工程入力</t>
        </is>
      </c>
      <c r="C96" s="392" t="n">
        <v>96</v>
      </c>
      <c r="D96" s="392">
        <f>②釜工程入力!C96</f>
        <v/>
      </c>
      <c r="E96" s="393">
        <f>②釜工程入力!I96</f>
        <v/>
      </c>
      <c r="F96" s="393">
        <f>②釜工程入力!J96</f>
        <v/>
      </c>
      <c r="G96" s="393">
        <f>②釜工程入力!M96</f>
        <v/>
      </c>
      <c r="H96" s="393">
        <f>②釜工程入力!N96</f>
        <v/>
      </c>
      <c r="I96" s="393">
        <f>②釜工程入力!O96</f>
        <v/>
      </c>
    </row>
    <row r="97">
      <c r="A97" s="392" t="n">
        <v>93</v>
      </c>
      <c r="B97" s="392" t="inlineStr">
        <is>
          <t>②釜工程入力</t>
        </is>
      </c>
      <c r="C97" s="392" t="n">
        <v>97</v>
      </c>
      <c r="D97" s="392">
        <f>②釜工程入力!C97</f>
        <v/>
      </c>
      <c r="E97" s="393">
        <f>②釜工程入力!I97</f>
        <v/>
      </c>
      <c r="F97" s="393">
        <f>②釜工程入力!J97</f>
        <v/>
      </c>
      <c r="G97" s="393">
        <f>②釜工程入力!M97</f>
        <v/>
      </c>
      <c r="H97" s="393">
        <f>②釜工程入力!N97</f>
        <v/>
      </c>
      <c r="I97" s="393">
        <f>②釜工程入力!O97</f>
        <v/>
      </c>
    </row>
    <row r="98">
      <c r="A98" s="392" t="n">
        <v>94</v>
      </c>
      <c r="B98" s="392" t="inlineStr">
        <is>
          <t>②釜工程入力</t>
        </is>
      </c>
      <c r="C98" s="392" t="n">
        <v>98</v>
      </c>
      <c r="D98" s="392">
        <f>②釜工程入力!C98</f>
        <v/>
      </c>
      <c r="E98" s="393">
        <f>②釜工程入力!I98</f>
        <v/>
      </c>
      <c r="F98" s="393">
        <f>②釜工程入力!J98</f>
        <v/>
      </c>
      <c r="G98" s="393">
        <f>②釜工程入力!M98</f>
        <v/>
      </c>
      <c r="H98" s="393">
        <f>②釜工程入力!N98</f>
        <v/>
      </c>
      <c r="I98" s="393">
        <f>②釜工程入力!O98</f>
        <v/>
      </c>
    </row>
    <row r="99">
      <c r="A99" s="392" t="n">
        <v>95</v>
      </c>
      <c r="B99" s="392" t="inlineStr">
        <is>
          <t>②釜工程入力</t>
        </is>
      </c>
      <c r="C99" s="392" t="n">
        <v>99</v>
      </c>
      <c r="D99" s="392">
        <f>②釜工程入力!C99</f>
        <v/>
      </c>
      <c r="E99" s="393">
        <f>②釜工程入力!I99</f>
        <v/>
      </c>
      <c r="F99" s="393">
        <f>②釜工程入力!J99</f>
        <v/>
      </c>
      <c r="G99" s="393">
        <f>②釜工程入力!M99</f>
        <v/>
      </c>
      <c r="H99" s="393">
        <f>②釜工程入力!N99</f>
        <v/>
      </c>
      <c r="I99" s="393">
        <f>②釜工程入力!O99</f>
        <v/>
      </c>
    </row>
    <row r="100">
      <c r="A100" s="392" t="n">
        <v>96</v>
      </c>
      <c r="B100" s="392" t="inlineStr">
        <is>
          <t>②釜工程入力</t>
        </is>
      </c>
      <c r="C100" s="392" t="n">
        <v>100</v>
      </c>
      <c r="D100" s="392">
        <f>②釜工程入力!C100</f>
        <v/>
      </c>
      <c r="E100" s="393">
        <f>②釜工程入力!I100</f>
        <v/>
      </c>
      <c r="F100" s="393">
        <f>②釜工程入力!J100</f>
        <v/>
      </c>
      <c r="G100" s="393">
        <f>②釜工程入力!M100</f>
        <v/>
      </c>
      <c r="H100" s="393">
        <f>②釜工程入力!N100</f>
        <v/>
      </c>
      <c r="I100" s="393">
        <f>②釜工程入力!O100</f>
        <v/>
      </c>
    </row>
    <row r="101">
      <c r="A101" s="392" t="n">
        <v>97</v>
      </c>
      <c r="B101" s="392" t="inlineStr">
        <is>
          <t>②釜工程入力</t>
        </is>
      </c>
      <c r="C101" s="392" t="n">
        <v>101</v>
      </c>
      <c r="D101" s="392">
        <f>②釜工程入力!C101</f>
        <v/>
      </c>
      <c r="E101" s="393">
        <f>②釜工程入力!I101</f>
        <v/>
      </c>
      <c r="F101" s="393">
        <f>②釜工程入力!J101</f>
        <v/>
      </c>
      <c r="G101" s="393">
        <f>②釜工程入力!M101</f>
        <v/>
      </c>
      <c r="H101" s="393">
        <f>②釜工程入力!N101</f>
        <v/>
      </c>
      <c r="I101" s="393">
        <f>②釜工程入力!O101</f>
        <v/>
      </c>
    </row>
    <row r="102">
      <c r="A102" s="392" t="n">
        <v>98</v>
      </c>
      <c r="B102" s="392" t="inlineStr">
        <is>
          <t>②釜工程入力</t>
        </is>
      </c>
      <c r="C102" s="392" t="n">
        <v>102</v>
      </c>
      <c r="D102" s="392">
        <f>②釜工程入力!C102</f>
        <v/>
      </c>
      <c r="E102" s="393">
        <f>②釜工程入力!I102</f>
        <v/>
      </c>
      <c r="F102" s="393">
        <f>②釜工程入力!J102</f>
        <v/>
      </c>
      <c r="G102" s="393">
        <f>②釜工程入力!M102</f>
        <v/>
      </c>
      <c r="H102" s="393">
        <f>②釜工程入力!N102</f>
        <v/>
      </c>
      <c r="I102" s="393">
        <f>②釜工程入力!O102</f>
        <v/>
      </c>
    </row>
    <row r="103">
      <c r="A103" s="392" t="n">
        <v>99</v>
      </c>
      <c r="B103" s="392" t="inlineStr">
        <is>
          <t>②釜工程入力</t>
        </is>
      </c>
      <c r="C103" s="392" t="n">
        <v>103</v>
      </c>
      <c r="D103" s="392">
        <f>②釜工程入力!C103</f>
        <v/>
      </c>
      <c r="E103" s="393">
        <f>②釜工程入力!I103</f>
        <v/>
      </c>
      <c r="F103" s="393">
        <f>②釜工程入力!J103</f>
        <v/>
      </c>
      <c r="G103" s="393">
        <f>②釜工程入力!M103</f>
        <v/>
      </c>
      <c r="H103" s="393">
        <f>②釜工程入力!N103</f>
        <v/>
      </c>
      <c r="I103" s="393">
        <f>②釜工程入力!O103</f>
        <v/>
      </c>
    </row>
    <row r="104">
      <c r="A104" s="392" t="n">
        <v>100</v>
      </c>
      <c r="B104" s="392" t="inlineStr">
        <is>
          <t>②釜工程入力</t>
        </is>
      </c>
      <c r="C104" s="392" t="n">
        <v>104</v>
      </c>
      <c r="D104" s="392">
        <f>②釜工程入力!C104</f>
        <v/>
      </c>
      <c r="E104" s="393">
        <f>②釜工程入力!I104</f>
        <v/>
      </c>
      <c r="F104" s="393">
        <f>②釜工程入力!J104</f>
        <v/>
      </c>
      <c r="G104" s="393">
        <f>②釜工程入力!M104</f>
        <v/>
      </c>
      <c r="H104" s="393">
        <f>②釜工程入力!N104</f>
        <v/>
      </c>
      <c r="I104" s="393">
        <f>②釜工程入力!O104</f>
        <v/>
      </c>
    </row>
    <row r="105">
      <c r="A105" s="392" t="n">
        <v>101</v>
      </c>
      <c r="B105" s="392" t="inlineStr">
        <is>
          <t>②釜工程入力</t>
        </is>
      </c>
      <c r="C105" s="392" t="n">
        <v>105</v>
      </c>
      <c r="D105" s="392">
        <f>②釜工程入力!C105</f>
        <v/>
      </c>
      <c r="E105" s="393">
        <f>②釜工程入力!I105</f>
        <v/>
      </c>
      <c r="F105" s="393">
        <f>②釜工程入力!J105</f>
        <v/>
      </c>
      <c r="G105" s="393">
        <f>②釜工程入力!M105</f>
        <v/>
      </c>
      <c r="H105" s="393">
        <f>②釜工程入力!N105</f>
        <v/>
      </c>
      <c r="I105" s="393">
        <f>②釜工程入力!O105</f>
        <v/>
      </c>
    </row>
    <row r="106">
      <c r="A106" s="392" t="n">
        <v>102</v>
      </c>
      <c r="B106" s="392" t="inlineStr">
        <is>
          <t>②釜工程入力</t>
        </is>
      </c>
      <c r="C106" s="392" t="n">
        <v>106</v>
      </c>
      <c r="D106" s="392">
        <f>②釜工程入力!C106</f>
        <v/>
      </c>
      <c r="E106" s="393">
        <f>②釜工程入力!I106</f>
        <v/>
      </c>
      <c r="F106" s="393">
        <f>②釜工程入力!J106</f>
        <v/>
      </c>
      <c r="G106" s="393">
        <f>②釜工程入力!M106</f>
        <v/>
      </c>
      <c r="H106" s="393">
        <f>②釜工程入力!N106</f>
        <v/>
      </c>
      <c r="I106" s="393">
        <f>②釜工程入力!O106</f>
        <v/>
      </c>
    </row>
    <row r="107">
      <c r="A107" s="392" t="n">
        <v>103</v>
      </c>
      <c r="B107" s="392" t="inlineStr">
        <is>
          <t>②釜工程入力</t>
        </is>
      </c>
      <c r="C107" s="392" t="n">
        <v>107</v>
      </c>
      <c r="D107" s="392">
        <f>②釜工程入力!C107</f>
        <v/>
      </c>
      <c r="E107" s="393">
        <f>②釜工程入力!I107</f>
        <v/>
      </c>
      <c r="F107" s="393">
        <f>②釜工程入力!J107</f>
        <v/>
      </c>
      <c r="G107" s="393">
        <f>②釜工程入力!M107</f>
        <v/>
      </c>
      <c r="H107" s="393">
        <f>②釜工程入力!N107</f>
        <v/>
      </c>
      <c r="I107" s="393">
        <f>②釜工程入力!O107</f>
        <v/>
      </c>
    </row>
    <row r="108">
      <c r="A108" s="392" t="n">
        <v>104</v>
      </c>
      <c r="B108" s="392" t="inlineStr">
        <is>
          <t>②釜工程入力</t>
        </is>
      </c>
      <c r="C108" s="392" t="n">
        <v>108</v>
      </c>
      <c r="D108" s="392">
        <f>②釜工程入力!C108</f>
        <v/>
      </c>
      <c r="E108" s="393">
        <f>②釜工程入力!I108</f>
        <v/>
      </c>
      <c r="F108" s="393">
        <f>②釜工程入力!J108</f>
        <v/>
      </c>
      <c r="G108" s="393">
        <f>②釜工程入力!M108</f>
        <v/>
      </c>
      <c r="H108" s="393">
        <f>②釜工程入力!N108</f>
        <v/>
      </c>
      <c r="I108" s="393">
        <f>②釜工程入力!O108</f>
        <v/>
      </c>
    </row>
    <row r="109">
      <c r="A109" s="392" t="n">
        <v>105</v>
      </c>
      <c r="B109" s="392" t="inlineStr">
        <is>
          <t>②釜工程入力</t>
        </is>
      </c>
      <c r="C109" s="392" t="n">
        <v>109</v>
      </c>
      <c r="D109" s="392">
        <f>②釜工程入力!C109</f>
        <v/>
      </c>
      <c r="E109" s="393">
        <f>②釜工程入力!I109</f>
        <v/>
      </c>
      <c r="F109" s="393">
        <f>②釜工程入力!J109</f>
        <v/>
      </c>
      <c r="G109" s="393">
        <f>②釜工程入力!M109</f>
        <v/>
      </c>
      <c r="H109" s="393">
        <f>②釜工程入力!N109</f>
        <v/>
      </c>
      <c r="I109" s="393">
        <f>②釜工程入力!O109</f>
        <v/>
      </c>
    </row>
    <row r="110">
      <c r="A110" s="392" t="n">
        <v>106</v>
      </c>
      <c r="B110" s="392" t="inlineStr">
        <is>
          <t>②釜工程入力</t>
        </is>
      </c>
      <c r="C110" s="392" t="n">
        <v>110</v>
      </c>
      <c r="D110" s="392">
        <f>②釜工程入力!C110</f>
        <v/>
      </c>
      <c r="E110" s="393">
        <f>②釜工程入力!I110</f>
        <v/>
      </c>
      <c r="F110" s="393">
        <f>②釜工程入力!J110</f>
        <v/>
      </c>
      <c r="G110" s="393">
        <f>②釜工程入力!M110</f>
        <v/>
      </c>
      <c r="H110" s="393">
        <f>②釜工程入力!N110</f>
        <v/>
      </c>
      <c r="I110" s="393">
        <f>②釜工程入力!O110</f>
        <v/>
      </c>
    </row>
    <row r="111">
      <c r="A111" s="392" t="n">
        <v>107</v>
      </c>
      <c r="B111" s="392" t="inlineStr">
        <is>
          <t>②釜工程入力</t>
        </is>
      </c>
      <c r="C111" s="392" t="n">
        <v>111</v>
      </c>
      <c r="D111" s="392">
        <f>②釜工程入力!C111</f>
        <v/>
      </c>
      <c r="E111" s="393">
        <f>②釜工程入力!I111</f>
        <v/>
      </c>
      <c r="F111" s="393">
        <f>②釜工程入力!J111</f>
        <v/>
      </c>
      <c r="G111" s="393">
        <f>②釜工程入力!M111</f>
        <v/>
      </c>
      <c r="H111" s="393">
        <f>②釜工程入力!N111</f>
        <v/>
      </c>
      <c r="I111" s="393">
        <f>②釜工程入力!O111</f>
        <v/>
      </c>
    </row>
    <row r="112">
      <c r="A112" s="392" t="n">
        <v>108</v>
      </c>
      <c r="B112" s="392" t="inlineStr">
        <is>
          <t>②釜工程入力</t>
        </is>
      </c>
      <c r="C112" s="392" t="n">
        <v>112</v>
      </c>
      <c r="D112" s="392">
        <f>②釜工程入力!C112</f>
        <v/>
      </c>
      <c r="E112" s="393">
        <f>②釜工程入力!I112</f>
        <v/>
      </c>
      <c r="F112" s="393">
        <f>②釜工程入力!J112</f>
        <v/>
      </c>
      <c r="G112" s="393">
        <f>②釜工程入力!M112</f>
        <v/>
      </c>
      <c r="H112" s="393">
        <f>②釜工程入力!N112</f>
        <v/>
      </c>
      <c r="I112" s="393">
        <f>②釜工程入力!O112</f>
        <v/>
      </c>
    </row>
    <row r="113">
      <c r="A113" s="392" t="n">
        <v>109</v>
      </c>
      <c r="B113" s="392" t="inlineStr">
        <is>
          <t>②釜工程入力</t>
        </is>
      </c>
      <c r="C113" s="392" t="n">
        <v>113</v>
      </c>
      <c r="D113" s="392">
        <f>②釜工程入力!C113</f>
        <v/>
      </c>
      <c r="E113" s="393">
        <f>②釜工程入力!I113</f>
        <v/>
      </c>
      <c r="F113" s="393">
        <f>②釜工程入力!J113</f>
        <v/>
      </c>
      <c r="G113" s="393">
        <f>②釜工程入力!M113</f>
        <v/>
      </c>
      <c r="H113" s="393">
        <f>②釜工程入力!N113</f>
        <v/>
      </c>
      <c r="I113" s="393">
        <f>②釜工程入力!O113</f>
        <v/>
      </c>
    </row>
    <row r="114">
      <c r="A114" s="392" t="n">
        <v>110</v>
      </c>
      <c r="B114" s="392" t="inlineStr">
        <is>
          <t>②釜工程入力</t>
        </is>
      </c>
      <c r="C114" s="392" t="n">
        <v>114</v>
      </c>
      <c r="D114" s="392">
        <f>②釜工程入力!C114</f>
        <v/>
      </c>
      <c r="E114" s="393">
        <f>②釜工程入力!I114</f>
        <v/>
      </c>
      <c r="F114" s="393">
        <f>②釜工程入力!J114</f>
        <v/>
      </c>
      <c r="G114" s="393">
        <f>②釜工程入力!M114</f>
        <v/>
      </c>
      <c r="H114" s="393">
        <f>②釜工程入力!N114</f>
        <v/>
      </c>
      <c r="I114" s="393">
        <f>②釜工程入力!O114</f>
        <v/>
      </c>
    </row>
    <row r="115">
      <c r="A115" s="392" t="n">
        <v>111</v>
      </c>
      <c r="B115" s="392" t="inlineStr">
        <is>
          <t>②釜工程入力</t>
        </is>
      </c>
      <c r="C115" s="392" t="n">
        <v>115</v>
      </c>
      <c r="D115" s="392">
        <f>②釜工程入力!C115</f>
        <v/>
      </c>
      <c r="E115" s="393">
        <f>②釜工程入力!I115</f>
        <v/>
      </c>
      <c r="F115" s="393">
        <f>②釜工程入力!J115</f>
        <v/>
      </c>
      <c r="G115" s="393">
        <f>②釜工程入力!M115</f>
        <v/>
      </c>
      <c r="H115" s="393">
        <f>②釜工程入力!N115</f>
        <v/>
      </c>
      <c r="I115" s="393">
        <f>②釜工程入力!O115</f>
        <v/>
      </c>
    </row>
    <row r="116">
      <c r="A116" s="392" t="n">
        <v>112</v>
      </c>
      <c r="B116" s="392" t="inlineStr">
        <is>
          <t>②釜工程入力</t>
        </is>
      </c>
      <c r="C116" s="392" t="n">
        <v>116</v>
      </c>
      <c r="D116" s="392">
        <f>②釜工程入力!C116</f>
        <v/>
      </c>
      <c r="E116" s="393">
        <f>②釜工程入力!I116</f>
        <v/>
      </c>
      <c r="F116" s="393">
        <f>②釜工程入力!J116</f>
        <v/>
      </c>
      <c r="G116" s="393">
        <f>②釜工程入力!M116</f>
        <v/>
      </c>
      <c r="H116" s="393">
        <f>②釜工程入力!N116</f>
        <v/>
      </c>
      <c r="I116" s="393">
        <f>②釜工程入力!O116</f>
        <v/>
      </c>
    </row>
    <row r="117">
      <c r="A117" s="392" t="n">
        <v>113</v>
      </c>
      <c r="B117" s="392" t="inlineStr">
        <is>
          <t>②釜工程入力</t>
        </is>
      </c>
      <c r="C117" s="392" t="n">
        <v>117</v>
      </c>
      <c r="D117" s="392">
        <f>②釜工程入力!C117</f>
        <v/>
      </c>
      <c r="E117" s="393">
        <f>②釜工程入力!I117</f>
        <v/>
      </c>
      <c r="F117" s="393">
        <f>②釜工程入力!J117</f>
        <v/>
      </c>
      <c r="G117" s="393">
        <f>②釜工程入力!M117</f>
        <v/>
      </c>
      <c r="H117" s="393">
        <f>②釜工程入力!N117</f>
        <v/>
      </c>
      <c r="I117" s="393">
        <f>②釜工程入力!O117</f>
        <v/>
      </c>
    </row>
    <row r="118">
      <c r="A118" s="392" t="n">
        <v>114</v>
      </c>
      <c r="B118" s="392" t="inlineStr">
        <is>
          <t>③スチコン工程入力</t>
        </is>
      </c>
      <c r="C118" s="392" t="n">
        <v>5</v>
      </c>
      <c r="D118" s="392">
        <f>③スチコン工程入力!C5</f>
        <v/>
      </c>
      <c r="E118" s="393">
        <f>③スチコン工程入力!I5</f>
        <v/>
      </c>
      <c r="F118" s="393">
        <f>③スチコン工程入力!J5</f>
        <v/>
      </c>
      <c r="G118" s="393">
        <f>③スチコン工程入力!M5</f>
        <v/>
      </c>
      <c r="H118" s="393">
        <f>③スチコン工程入力!N5</f>
        <v/>
      </c>
      <c r="I118" s="393">
        <f>③スチコン工程入力!O5</f>
        <v/>
      </c>
    </row>
    <row r="119">
      <c r="A119" s="392" t="n">
        <v>115</v>
      </c>
      <c r="B119" s="392" t="inlineStr">
        <is>
          <t>③スチコン工程入力</t>
        </is>
      </c>
      <c r="C119" s="392" t="n">
        <v>6</v>
      </c>
      <c r="D119" s="392">
        <f>③スチコン工程入力!C6</f>
        <v/>
      </c>
      <c r="E119" s="393">
        <f>③スチコン工程入力!I6</f>
        <v/>
      </c>
      <c r="F119" s="393">
        <f>③スチコン工程入力!J6</f>
        <v/>
      </c>
      <c r="G119" s="393">
        <f>③スチコン工程入力!M6</f>
        <v/>
      </c>
      <c r="H119" s="393">
        <f>③スチコン工程入力!N6</f>
        <v/>
      </c>
      <c r="I119" s="393">
        <f>③スチコン工程入力!O6</f>
        <v/>
      </c>
    </row>
    <row r="120">
      <c r="A120" s="392" t="n">
        <v>116</v>
      </c>
      <c r="B120" s="392" t="inlineStr">
        <is>
          <t>③スチコン工程入力</t>
        </is>
      </c>
      <c r="C120" s="392" t="n">
        <v>7</v>
      </c>
      <c r="D120" s="392">
        <f>③スチコン工程入力!C7</f>
        <v/>
      </c>
      <c r="E120" s="393">
        <f>③スチコン工程入力!I7</f>
        <v/>
      </c>
      <c r="F120" s="393">
        <f>③スチコン工程入力!J7</f>
        <v/>
      </c>
      <c r="G120" s="393">
        <f>③スチコン工程入力!M7</f>
        <v/>
      </c>
      <c r="H120" s="393">
        <f>③スチコン工程入力!N7</f>
        <v/>
      </c>
      <c r="I120" s="393">
        <f>③スチコン工程入力!O7</f>
        <v/>
      </c>
    </row>
    <row r="121">
      <c r="A121" s="392" t="n">
        <v>117</v>
      </c>
      <c r="B121" s="392" t="inlineStr">
        <is>
          <t>③スチコン工程入力</t>
        </is>
      </c>
      <c r="C121" s="392" t="n">
        <v>8</v>
      </c>
      <c r="D121" s="392">
        <f>③スチコン工程入力!C8</f>
        <v/>
      </c>
      <c r="E121" s="393">
        <f>③スチコン工程入力!I8</f>
        <v/>
      </c>
      <c r="F121" s="393">
        <f>③スチコン工程入力!J8</f>
        <v/>
      </c>
      <c r="G121" s="393">
        <f>③スチコン工程入力!M8</f>
        <v/>
      </c>
      <c r="H121" s="393">
        <f>③スチコン工程入力!N8</f>
        <v/>
      </c>
      <c r="I121" s="393">
        <f>③スチコン工程入力!O8</f>
        <v/>
      </c>
    </row>
    <row r="122">
      <c r="A122" s="392" t="n">
        <v>118</v>
      </c>
      <c r="B122" s="392" t="inlineStr">
        <is>
          <t>③スチコン工程入力</t>
        </is>
      </c>
      <c r="C122" s="392" t="n">
        <v>9</v>
      </c>
      <c r="D122" s="392">
        <f>③スチコン工程入力!C9</f>
        <v/>
      </c>
      <c r="E122" s="393">
        <f>③スチコン工程入力!I9</f>
        <v/>
      </c>
      <c r="F122" s="393">
        <f>③スチコン工程入力!J9</f>
        <v/>
      </c>
      <c r="G122" s="393">
        <f>③スチコン工程入力!M9</f>
        <v/>
      </c>
      <c r="H122" s="393">
        <f>③スチコン工程入力!N9</f>
        <v/>
      </c>
      <c r="I122" s="393">
        <f>③スチコン工程入力!O9</f>
        <v/>
      </c>
    </row>
    <row r="123">
      <c r="A123" s="392" t="n">
        <v>119</v>
      </c>
      <c r="B123" s="392" t="inlineStr">
        <is>
          <t>③スチコン工程入力</t>
        </is>
      </c>
      <c r="C123" s="392" t="n">
        <v>10</v>
      </c>
      <c r="D123" s="392">
        <f>③スチコン工程入力!C10</f>
        <v/>
      </c>
      <c r="E123" s="393">
        <f>③スチコン工程入力!I10</f>
        <v/>
      </c>
      <c r="F123" s="393">
        <f>③スチコン工程入力!J10</f>
        <v/>
      </c>
      <c r="G123" s="393">
        <f>③スチコン工程入力!M10</f>
        <v/>
      </c>
      <c r="H123" s="393">
        <f>③スチコン工程入力!N10</f>
        <v/>
      </c>
      <c r="I123" s="393">
        <f>③スチコン工程入力!O10</f>
        <v/>
      </c>
    </row>
    <row r="124">
      <c r="A124" s="392" t="n">
        <v>120</v>
      </c>
      <c r="B124" s="392" t="inlineStr">
        <is>
          <t>③スチコン工程入力</t>
        </is>
      </c>
      <c r="C124" s="392" t="n">
        <v>11</v>
      </c>
      <c r="D124" s="392">
        <f>③スチコン工程入力!C11</f>
        <v/>
      </c>
      <c r="E124" s="393">
        <f>③スチコン工程入力!I11</f>
        <v/>
      </c>
      <c r="F124" s="393">
        <f>③スチコン工程入力!J11</f>
        <v/>
      </c>
      <c r="G124" s="393">
        <f>③スチコン工程入力!M11</f>
        <v/>
      </c>
      <c r="H124" s="393">
        <f>③スチコン工程入力!N11</f>
        <v/>
      </c>
      <c r="I124" s="393">
        <f>③スチコン工程入力!O11</f>
        <v/>
      </c>
    </row>
    <row r="125">
      <c r="A125" s="392" t="n">
        <v>121</v>
      </c>
      <c r="B125" s="392" t="inlineStr">
        <is>
          <t>③スチコン工程入力</t>
        </is>
      </c>
      <c r="C125" s="392" t="n">
        <v>12</v>
      </c>
      <c r="D125" s="392">
        <f>③スチコン工程入力!C12</f>
        <v/>
      </c>
      <c r="E125" s="393">
        <f>③スチコン工程入力!I12</f>
        <v/>
      </c>
      <c r="F125" s="393">
        <f>③スチコン工程入力!J12</f>
        <v/>
      </c>
      <c r="G125" s="393">
        <f>③スチコン工程入力!M12</f>
        <v/>
      </c>
      <c r="H125" s="393">
        <f>③スチコン工程入力!N12</f>
        <v/>
      </c>
      <c r="I125" s="393">
        <f>③スチコン工程入力!O12</f>
        <v/>
      </c>
    </row>
    <row r="126">
      <c r="A126" s="392" t="n">
        <v>122</v>
      </c>
      <c r="B126" s="392" t="inlineStr">
        <is>
          <t>③スチコン工程入力</t>
        </is>
      </c>
      <c r="C126" s="392" t="n">
        <v>13</v>
      </c>
      <c r="D126" s="392">
        <f>③スチコン工程入力!C13</f>
        <v/>
      </c>
      <c r="E126" s="393">
        <f>③スチコン工程入力!I13</f>
        <v/>
      </c>
      <c r="F126" s="393">
        <f>③スチコン工程入力!J13</f>
        <v/>
      </c>
      <c r="G126" s="393">
        <f>③スチコン工程入力!M13</f>
        <v/>
      </c>
      <c r="H126" s="393">
        <f>③スチコン工程入力!N13</f>
        <v/>
      </c>
      <c r="I126" s="393">
        <f>③スチコン工程入力!O13</f>
        <v/>
      </c>
    </row>
    <row r="127">
      <c r="A127" s="392" t="n">
        <v>123</v>
      </c>
      <c r="B127" s="392" t="inlineStr">
        <is>
          <t>③スチコン工程入力</t>
        </is>
      </c>
      <c r="C127" s="392" t="n">
        <v>14</v>
      </c>
      <c r="D127" s="392">
        <f>③スチコン工程入力!C14</f>
        <v/>
      </c>
      <c r="E127" s="393">
        <f>③スチコン工程入力!I14</f>
        <v/>
      </c>
      <c r="F127" s="393">
        <f>③スチコン工程入力!J14</f>
        <v/>
      </c>
      <c r="G127" s="393">
        <f>③スチコン工程入力!M14</f>
        <v/>
      </c>
      <c r="H127" s="393">
        <f>③スチコン工程入力!N14</f>
        <v/>
      </c>
      <c r="I127" s="393">
        <f>③スチコン工程入力!O14</f>
        <v/>
      </c>
    </row>
    <row r="128">
      <c r="A128" s="392" t="n">
        <v>124</v>
      </c>
      <c r="B128" s="392" t="inlineStr">
        <is>
          <t>③スチコン工程入力</t>
        </is>
      </c>
      <c r="C128" s="392" t="n">
        <v>15</v>
      </c>
      <c r="D128" s="392">
        <f>③スチコン工程入力!C15</f>
        <v/>
      </c>
      <c r="E128" s="393">
        <f>③スチコン工程入力!I15</f>
        <v/>
      </c>
      <c r="F128" s="393">
        <f>③スチコン工程入力!J15</f>
        <v/>
      </c>
      <c r="G128" s="393">
        <f>③スチコン工程入力!M15</f>
        <v/>
      </c>
      <c r="H128" s="393">
        <f>③スチコン工程入力!N15</f>
        <v/>
      </c>
      <c r="I128" s="393">
        <f>③スチコン工程入力!O15</f>
        <v/>
      </c>
    </row>
    <row r="129">
      <c r="A129" s="392" t="n">
        <v>125</v>
      </c>
      <c r="B129" s="392" t="inlineStr">
        <is>
          <t>③スチコン工程入力</t>
        </is>
      </c>
      <c r="C129" s="392" t="n">
        <v>16</v>
      </c>
      <c r="D129" s="392">
        <f>③スチコン工程入力!C16</f>
        <v/>
      </c>
      <c r="E129" s="393">
        <f>③スチコン工程入力!I16</f>
        <v/>
      </c>
      <c r="F129" s="393">
        <f>③スチコン工程入力!J16</f>
        <v/>
      </c>
      <c r="G129" s="393">
        <f>③スチコン工程入力!M16</f>
        <v/>
      </c>
      <c r="H129" s="393">
        <f>③スチコン工程入力!N16</f>
        <v/>
      </c>
      <c r="I129" s="393">
        <f>③スチコン工程入力!O16</f>
        <v/>
      </c>
    </row>
    <row r="130">
      <c r="A130" s="392" t="n">
        <v>126</v>
      </c>
      <c r="B130" s="392" t="inlineStr">
        <is>
          <t>③スチコン工程入力</t>
        </is>
      </c>
      <c r="C130" s="392" t="n">
        <v>17</v>
      </c>
      <c r="D130" s="392">
        <f>③スチコン工程入力!C17</f>
        <v/>
      </c>
      <c r="E130" s="393">
        <f>③スチコン工程入力!I17</f>
        <v/>
      </c>
      <c r="F130" s="393">
        <f>③スチコン工程入力!J17</f>
        <v/>
      </c>
      <c r="G130" s="393">
        <f>③スチコン工程入力!M17</f>
        <v/>
      </c>
      <c r="H130" s="393">
        <f>③スチコン工程入力!N17</f>
        <v/>
      </c>
      <c r="I130" s="393">
        <f>③スチコン工程入力!O17</f>
        <v/>
      </c>
    </row>
    <row r="131">
      <c r="A131" s="392" t="n">
        <v>127</v>
      </c>
      <c r="B131" s="392" t="inlineStr">
        <is>
          <t>③スチコン工程入力</t>
        </is>
      </c>
      <c r="C131" s="392" t="n">
        <v>18</v>
      </c>
      <c r="D131" s="392">
        <f>③スチコン工程入力!C18</f>
        <v/>
      </c>
      <c r="E131" s="393">
        <f>③スチコン工程入力!I18</f>
        <v/>
      </c>
      <c r="F131" s="393">
        <f>③スチコン工程入力!J18</f>
        <v/>
      </c>
      <c r="G131" s="393">
        <f>③スチコン工程入力!M18</f>
        <v/>
      </c>
      <c r="H131" s="393">
        <f>③スチコン工程入力!N18</f>
        <v/>
      </c>
      <c r="I131" s="393">
        <f>③スチコン工程入力!O18</f>
        <v/>
      </c>
    </row>
    <row r="132">
      <c r="A132" s="392" t="n">
        <v>128</v>
      </c>
      <c r="B132" s="392" t="inlineStr">
        <is>
          <t>③スチコン工程入力</t>
        </is>
      </c>
      <c r="C132" s="392" t="n">
        <v>19</v>
      </c>
      <c r="D132" s="392">
        <f>③スチコン工程入力!C19</f>
        <v/>
      </c>
      <c r="E132" s="393">
        <f>③スチコン工程入力!I19</f>
        <v/>
      </c>
      <c r="F132" s="393">
        <f>③スチコン工程入力!J19</f>
        <v/>
      </c>
      <c r="G132" s="393">
        <f>③スチコン工程入力!M19</f>
        <v/>
      </c>
      <c r="H132" s="393">
        <f>③スチコン工程入力!N19</f>
        <v/>
      </c>
      <c r="I132" s="393">
        <f>③スチコン工程入力!O19</f>
        <v/>
      </c>
    </row>
    <row r="133">
      <c r="A133" s="392" t="n">
        <v>129</v>
      </c>
      <c r="B133" s="392" t="inlineStr">
        <is>
          <t>③スチコン工程入力</t>
        </is>
      </c>
      <c r="C133" s="392" t="n">
        <v>20</v>
      </c>
      <c r="D133" s="392">
        <f>③スチコン工程入力!C20</f>
        <v/>
      </c>
      <c r="E133" s="393">
        <f>③スチコン工程入力!I20</f>
        <v/>
      </c>
      <c r="F133" s="393">
        <f>③スチコン工程入力!J20</f>
        <v/>
      </c>
      <c r="G133" s="393">
        <f>③スチコン工程入力!M20</f>
        <v/>
      </c>
      <c r="H133" s="393">
        <f>③スチコン工程入力!N20</f>
        <v/>
      </c>
      <c r="I133" s="393">
        <f>③スチコン工程入力!O20</f>
        <v/>
      </c>
    </row>
    <row r="134">
      <c r="A134" s="392" t="n">
        <v>130</v>
      </c>
      <c r="B134" s="392" t="inlineStr">
        <is>
          <t>③スチコン工程入力</t>
        </is>
      </c>
      <c r="C134" s="392" t="n">
        <v>21</v>
      </c>
      <c r="D134" s="392">
        <f>③スチコン工程入力!C21</f>
        <v/>
      </c>
      <c r="E134" s="393">
        <f>③スチコン工程入力!I21</f>
        <v/>
      </c>
      <c r="F134" s="393">
        <f>③スチコン工程入力!J21</f>
        <v/>
      </c>
      <c r="G134" s="393">
        <f>③スチコン工程入力!M21</f>
        <v/>
      </c>
      <c r="H134" s="393">
        <f>③スチコン工程入力!N21</f>
        <v/>
      </c>
      <c r="I134" s="393">
        <f>③スチコン工程入力!O21</f>
        <v/>
      </c>
    </row>
    <row r="135">
      <c r="A135" s="392" t="n">
        <v>131</v>
      </c>
      <c r="B135" s="392" t="inlineStr">
        <is>
          <t>③スチコン工程入力</t>
        </is>
      </c>
      <c r="C135" s="392" t="n">
        <v>22</v>
      </c>
      <c r="D135" s="392">
        <f>③スチコン工程入力!C22</f>
        <v/>
      </c>
      <c r="E135" s="393">
        <f>③スチコン工程入力!I22</f>
        <v/>
      </c>
      <c r="F135" s="393">
        <f>③スチコン工程入力!J22</f>
        <v/>
      </c>
      <c r="G135" s="393">
        <f>③スチコン工程入力!M22</f>
        <v/>
      </c>
      <c r="H135" s="393">
        <f>③スチコン工程入力!N22</f>
        <v/>
      </c>
      <c r="I135" s="393">
        <f>③スチコン工程入力!O22</f>
        <v/>
      </c>
    </row>
    <row r="136">
      <c r="A136" s="392" t="n">
        <v>132</v>
      </c>
      <c r="B136" s="392" t="inlineStr">
        <is>
          <t>③スチコン工程入力</t>
        </is>
      </c>
      <c r="C136" s="392" t="n">
        <v>23</v>
      </c>
      <c r="D136" s="392">
        <f>③スチコン工程入力!C23</f>
        <v/>
      </c>
      <c r="E136" s="393">
        <f>③スチコン工程入力!I23</f>
        <v/>
      </c>
      <c r="F136" s="393">
        <f>③スチコン工程入力!J23</f>
        <v/>
      </c>
      <c r="G136" s="393">
        <f>③スチコン工程入力!M23</f>
        <v/>
      </c>
      <c r="H136" s="393">
        <f>③スチコン工程入力!N23</f>
        <v/>
      </c>
      <c r="I136" s="393">
        <f>③スチコン工程入力!O23</f>
        <v/>
      </c>
    </row>
    <row r="137">
      <c r="A137" s="392" t="n">
        <v>133</v>
      </c>
      <c r="B137" s="392" t="inlineStr">
        <is>
          <t>③スチコン工程入力</t>
        </is>
      </c>
      <c r="C137" s="392" t="n">
        <v>24</v>
      </c>
      <c r="D137" s="392">
        <f>③スチコン工程入力!C24</f>
        <v/>
      </c>
      <c r="E137" s="393">
        <f>③スチコン工程入力!I24</f>
        <v/>
      </c>
      <c r="F137" s="393">
        <f>③スチコン工程入力!J24</f>
        <v/>
      </c>
      <c r="G137" s="393">
        <f>③スチコン工程入力!M24</f>
        <v/>
      </c>
      <c r="H137" s="393">
        <f>③スチコン工程入力!N24</f>
        <v/>
      </c>
      <c r="I137" s="393">
        <f>③スチコン工程入力!O24</f>
        <v/>
      </c>
    </row>
    <row r="138">
      <c r="A138" s="392" t="n">
        <v>134</v>
      </c>
      <c r="B138" s="392" t="inlineStr">
        <is>
          <t>③スチコン工程入力</t>
        </is>
      </c>
      <c r="C138" s="392" t="n">
        <v>25</v>
      </c>
      <c r="D138" s="392">
        <f>③スチコン工程入力!C25</f>
        <v/>
      </c>
      <c r="E138" s="393">
        <f>③スチコン工程入力!I25</f>
        <v/>
      </c>
      <c r="F138" s="393">
        <f>③スチコン工程入力!J25</f>
        <v/>
      </c>
      <c r="G138" s="393">
        <f>③スチコン工程入力!M25</f>
        <v/>
      </c>
      <c r="H138" s="393">
        <f>③スチコン工程入力!N25</f>
        <v/>
      </c>
      <c r="I138" s="393">
        <f>③スチコン工程入力!O25</f>
        <v/>
      </c>
    </row>
    <row r="139">
      <c r="A139" s="392" t="n">
        <v>135</v>
      </c>
      <c r="B139" s="392" t="inlineStr">
        <is>
          <t>③スチコン工程入力</t>
        </is>
      </c>
      <c r="C139" s="392" t="n">
        <v>26</v>
      </c>
      <c r="D139" s="392">
        <f>③スチコン工程入力!C26</f>
        <v/>
      </c>
      <c r="E139" s="393">
        <f>③スチコン工程入力!I26</f>
        <v/>
      </c>
      <c r="F139" s="393">
        <f>③スチコン工程入力!J26</f>
        <v/>
      </c>
      <c r="G139" s="393">
        <f>③スチコン工程入力!M26</f>
        <v/>
      </c>
      <c r="H139" s="393">
        <f>③スチコン工程入力!N26</f>
        <v/>
      </c>
      <c r="I139" s="393">
        <f>③スチコン工程入力!O26</f>
        <v/>
      </c>
    </row>
    <row r="140">
      <c r="A140" s="392" t="n">
        <v>136</v>
      </c>
      <c r="B140" s="392" t="inlineStr">
        <is>
          <t>③スチコン工程入力</t>
        </is>
      </c>
      <c r="C140" s="392" t="n">
        <v>27</v>
      </c>
      <c r="D140" s="392">
        <f>③スチコン工程入力!C27</f>
        <v/>
      </c>
      <c r="E140" s="393">
        <f>③スチコン工程入力!I27</f>
        <v/>
      </c>
      <c r="F140" s="393">
        <f>③スチコン工程入力!J27</f>
        <v/>
      </c>
      <c r="G140" s="393">
        <f>③スチコン工程入力!M27</f>
        <v/>
      </c>
      <c r="H140" s="393">
        <f>③スチコン工程入力!N27</f>
        <v/>
      </c>
      <c r="I140" s="393">
        <f>③スチコン工程入力!O27</f>
        <v/>
      </c>
    </row>
    <row r="141">
      <c r="A141" s="392" t="n">
        <v>137</v>
      </c>
      <c r="B141" s="392" t="inlineStr">
        <is>
          <t>③スチコン工程入力</t>
        </is>
      </c>
      <c r="C141" s="392" t="n">
        <v>28</v>
      </c>
      <c r="D141" s="392">
        <f>③スチコン工程入力!C28</f>
        <v/>
      </c>
      <c r="E141" s="393">
        <f>③スチコン工程入力!I28</f>
        <v/>
      </c>
      <c r="F141" s="393">
        <f>③スチコン工程入力!J28</f>
        <v/>
      </c>
      <c r="G141" s="393">
        <f>③スチコン工程入力!M28</f>
        <v/>
      </c>
      <c r="H141" s="393">
        <f>③スチコン工程入力!N28</f>
        <v/>
      </c>
      <c r="I141" s="393">
        <f>③スチコン工程入力!O28</f>
        <v/>
      </c>
    </row>
    <row r="142">
      <c r="A142" s="392" t="n">
        <v>138</v>
      </c>
      <c r="B142" s="392" t="inlineStr">
        <is>
          <t>③スチコン工程入力</t>
        </is>
      </c>
      <c r="C142" s="392" t="n">
        <v>29</v>
      </c>
      <c r="D142" s="392">
        <f>③スチコン工程入力!C29</f>
        <v/>
      </c>
      <c r="E142" s="393">
        <f>③スチコン工程入力!I29</f>
        <v/>
      </c>
      <c r="F142" s="393">
        <f>③スチコン工程入力!J29</f>
        <v/>
      </c>
      <c r="G142" s="393">
        <f>③スチコン工程入力!M29</f>
        <v/>
      </c>
      <c r="H142" s="393">
        <f>③スチコン工程入力!N29</f>
        <v/>
      </c>
      <c r="I142" s="393">
        <f>③スチコン工程入力!O29</f>
        <v/>
      </c>
    </row>
    <row r="143">
      <c r="A143" s="392" t="n">
        <v>139</v>
      </c>
      <c r="B143" s="392" t="inlineStr">
        <is>
          <t>③スチコン工程入力</t>
        </is>
      </c>
      <c r="C143" s="392" t="n">
        <v>30</v>
      </c>
      <c r="D143" s="392">
        <f>③スチコン工程入力!C30</f>
        <v/>
      </c>
      <c r="E143" s="393">
        <f>③スチコン工程入力!I30</f>
        <v/>
      </c>
      <c r="F143" s="393">
        <f>③スチコン工程入力!J30</f>
        <v/>
      </c>
      <c r="G143" s="393">
        <f>③スチコン工程入力!M30</f>
        <v/>
      </c>
      <c r="H143" s="393">
        <f>③スチコン工程入力!N30</f>
        <v/>
      </c>
      <c r="I143" s="393">
        <f>③スチコン工程入力!O30</f>
        <v/>
      </c>
    </row>
    <row r="144">
      <c r="A144" s="392" t="n">
        <v>140</v>
      </c>
      <c r="B144" s="392" t="inlineStr">
        <is>
          <t>③スチコン工程入力</t>
        </is>
      </c>
      <c r="C144" s="392" t="n">
        <v>31</v>
      </c>
      <c r="D144" s="392">
        <f>③スチコン工程入力!C31</f>
        <v/>
      </c>
      <c r="E144" s="393">
        <f>③スチコン工程入力!I31</f>
        <v/>
      </c>
      <c r="F144" s="393">
        <f>③スチコン工程入力!J31</f>
        <v/>
      </c>
      <c r="G144" s="393">
        <f>③スチコン工程入力!M31</f>
        <v/>
      </c>
      <c r="H144" s="393">
        <f>③スチコン工程入力!N31</f>
        <v/>
      </c>
      <c r="I144" s="393">
        <f>③スチコン工程入力!O31</f>
        <v/>
      </c>
    </row>
    <row r="145">
      <c r="A145" s="392" t="n">
        <v>141</v>
      </c>
      <c r="B145" s="392" t="inlineStr">
        <is>
          <t>③スチコン工程入力</t>
        </is>
      </c>
      <c r="C145" s="392" t="n">
        <v>32</v>
      </c>
      <c r="D145" s="392">
        <f>③スチコン工程入力!C32</f>
        <v/>
      </c>
      <c r="E145" s="393">
        <f>③スチコン工程入力!I32</f>
        <v/>
      </c>
      <c r="F145" s="393">
        <f>③スチコン工程入力!J32</f>
        <v/>
      </c>
      <c r="G145" s="393">
        <f>③スチコン工程入力!M32</f>
        <v/>
      </c>
      <c r="H145" s="393">
        <f>③スチコン工程入力!N32</f>
        <v/>
      </c>
      <c r="I145" s="393">
        <f>③スチコン工程入力!O32</f>
        <v/>
      </c>
    </row>
    <row r="146">
      <c r="A146" s="392" t="n">
        <v>142</v>
      </c>
      <c r="B146" s="392" t="inlineStr">
        <is>
          <t>③スチコン工程入力</t>
        </is>
      </c>
      <c r="C146" s="392" t="n">
        <v>33</v>
      </c>
      <c r="D146" s="392">
        <f>③スチコン工程入力!C33</f>
        <v/>
      </c>
      <c r="E146" s="393">
        <f>③スチコン工程入力!I33</f>
        <v/>
      </c>
      <c r="F146" s="393">
        <f>③スチコン工程入力!J33</f>
        <v/>
      </c>
      <c r="G146" s="393">
        <f>③スチコン工程入力!M33</f>
        <v/>
      </c>
      <c r="H146" s="393">
        <f>③スチコン工程入力!N33</f>
        <v/>
      </c>
      <c r="I146" s="393">
        <f>③スチコン工程入力!O33</f>
        <v/>
      </c>
    </row>
    <row r="147">
      <c r="A147" s="392" t="n">
        <v>143</v>
      </c>
      <c r="B147" s="392" t="inlineStr">
        <is>
          <t>③スチコン工程入力</t>
        </is>
      </c>
      <c r="C147" s="392" t="n">
        <v>34</v>
      </c>
      <c r="D147" s="392">
        <f>③スチコン工程入力!C34</f>
        <v/>
      </c>
      <c r="E147" s="393">
        <f>③スチコン工程入力!I34</f>
        <v/>
      </c>
      <c r="F147" s="393">
        <f>③スチコン工程入力!J34</f>
        <v/>
      </c>
      <c r="G147" s="393">
        <f>③スチコン工程入力!M34</f>
        <v/>
      </c>
      <c r="H147" s="393">
        <f>③スチコン工程入力!N34</f>
        <v/>
      </c>
      <c r="I147" s="393">
        <f>③スチコン工程入力!O34</f>
        <v/>
      </c>
    </row>
    <row r="148">
      <c r="A148" s="392" t="n">
        <v>144</v>
      </c>
      <c r="B148" s="392" t="inlineStr">
        <is>
          <t>③スチコン工程入力</t>
        </is>
      </c>
      <c r="C148" s="392" t="n">
        <v>35</v>
      </c>
      <c r="D148" s="392">
        <f>③スチコン工程入力!C35</f>
        <v/>
      </c>
      <c r="E148" s="393">
        <f>③スチコン工程入力!I35</f>
        <v/>
      </c>
      <c r="F148" s="393">
        <f>③スチコン工程入力!J35</f>
        <v/>
      </c>
      <c r="G148" s="393">
        <f>③スチコン工程入力!M35</f>
        <v/>
      </c>
      <c r="H148" s="393">
        <f>③スチコン工程入力!N35</f>
        <v/>
      </c>
      <c r="I148" s="393">
        <f>③スチコン工程入力!O35</f>
        <v/>
      </c>
    </row>
    <row r="149">
      <c r="A149" s="392" t="n">
        <v>145</v>
      </c>
      <c r="B149" s="392" t="inlineStr">
        <is>
          <t>③スチコン工程入力</t>
        </is>
      </c>
      <c r="C149" s="392" t="n">
        <v>36</v>
      </c>
      <c r="D149" s="392">
        <f>③スチコン工程入力!C36</f>
        <v/>
      </c>
      <c r="E149" s="393">
        <f>③スチコン工程入力!I36</f>
        <v/>
      </c>
      <c r="F149" s="393">
        <f>③スチコン工程入力!J36</f>
        <v/>
      </c>
      <c r="G149" s="393">
        <f>③スチコン工程入力!M36</f>
        <v/>
      </c>
      <c r="H149" s="393">
        <f>③スチコン工程入力!N36</f>
        <v/>
      </c>
      <c r="I149" s="393">
        <f>③スチコン工程入力!O36</f>
        <v/>
      </c>
    </row>
    <row r="150">
      <c r="A150" s="392" t="n">
        <v>146</v>
      </c>
      <c r="B150" s="392" t="inlineStr">
        <is>
          <t>③スチコン工程入力</t>
        </is>
      </c>
      <c r="C150" s="392" t="n">
        <v>37</v>
      </c>
      <c r="D150" s="392">
        <f>③スチコン工程入力!C37</f>
        <v/>
      </c>
      <c r="E150" s="393">
        <f>③スチコン工程入力!I37</f>
        <v/>
      </c>
      <c r="F150" s="393">
        <f>③スチコン工程入力!J37</f>
        <v/>
      </c>
      <c r="G150" s="393">
        <f>③スチコン工程入力!M37</f>
        <v/>
      </c>
      <c r="H150" s="393">
        <f>③スチコン工程入力!N37</f>
        <v/>
      </c>
      <c r="I150" s="393">
        <f>③スチコン工程入力!O37</f>
        <v/>
      </c>
    </row>
    <row r="151">
      <c r="A151" s="392" t="n">
        <v>147</v>
      </c>
      <c r="B151" s="392" t="inlineStr">
        <is>
          <t>③スチコン工程入力</t>
        </is>
      </c>
      <c r="C151" s="392" t="n">
        <v>38</v>
      </c>
      <c r="D151" s="392">
        <f>③スチコン工程入力!C38</f>
        <v/>
      </c>
      <c r="E151" s="393">
        <f>③スチコン工程入力!I38</f>
        <v/>
      </c>
      <c r="F151" s="393">
        <f>③スチコン工程入力!J38</f>
        <v/>
      </c>
      <c r="G151" s="393">
        <f>③スチコン工程入力!M38</f>
        <v/>
      </c>
      <c r="H151" s="393">
        <f>③スチコン工程入力!N38</f>
        <v/>
      </c>
      <c r="I151" s="393">
        <f>③スチコン工程入力!O38</f>
        <v/>
      </c>
    </row>
    <row r="152">
      <c r="A152" s="392" t="n">
        <v>148</v>
      </c>
      <c r="B152" s="392" t="inlineStr">
        <is>
          <t>③スチコン工程入力</t>
        </is>
      </c>
      <c r="C152" s="392" t="n">
        <v>39</v>
      </c>
      <c r="D152" s="392">
        <f>③スチコン工程入力!C39</f>
        <v/>
      </c>
      <c r="E152" s="393">
        <f>③スチコン工程入力!I39</f>
        <v/>
      </c>
      <c r="F152" s="393">
        <f>③スチコン工程入力!J39</f>
        <v/>
      </c>
      <c r="G152" s="393">
        <f>③スチコン工程入力!M39</f>
        <v/>
      </c>
      <c r="H152" s="393">
        <f>③スチコン工程入力!N39</f>
        <v/>
      </c>
      <c r="I152" s="393">
        <f>③スチコン工程入力!O39</f>
        <v/>
      </c>
    </row>
    <row r="153">
      <c r="A153" s="392" t="n">
        <v>149</v>
      </c>
      <c r="B153" s="392" t="inlineStr">
        <is>
          <t>③スチコン工程入力</t>
        </is>
      </c>
      <c r="C153" s="392" t="n">
        <v>40</v>
      </c>
      <c r="D153" s="392">
        <f>③スチコン工程入力!C40</f>
        <v/>
      </c>
      <c r="E153" s="393">
        <f>③スチコン工程入力!I40</f>
        <v/>
      </c>
      <c r="F153" s="393">
        <f>③スチコン工程入力!J40</f>
        <v/>
      </c>
      <c r="G153" s="393">
        <f>③スチコン工程入力!M40</f>
        <v/>
      </c>
      <c r="H153" s="393">
        <f>③スチコン工程入力!N40</f>
        <v/>
      </c>
      <c r="I153" s="393">
        <f>③スチコン工程入力!O40</f>
        <v/>
      </c>
    </row>
    <row r="154">
      <c r="A154" s="392" t="n">
        <v>150</v>
      </c>
      <c r="B154" s="392" t="inlineStr">
        <is>
          <t>③スチコン工程入力</t>
        </is>
      </c>
      <c r="C154" s="392" t="n">
        <v>41</v>
      </c>
      <c r="D154" s="392">
        <f>③スチコン工程入力!C41</f>
        <v/>
      </c>
      <c r="E154" s="393">
        <f>③スチコン工程入力!I41</f>
        <v/>
      </c>
      <c r="F154" s="393">
        <f>③スチコン工程入力!J41</f>
        <v/>
      </c>
      <c r="G154" s="393">
        <f>③スチコン工程入力!M41</f>
        <v/>
      </c>
      <c r="H154" s="393">
        <f>③スチコン工程入力!N41</f>
        <v/>
      </c>
      <c r="I154" s="393">
        <f>③スチコン工程入力!O41</f>
        <v/>
      </c>
    </row>
    <row r="155">
      <c r="A155" s="392" t="n">
        <v>151</v>
      </c>
      <c r="B155" s="392" t="inlineStr">
        <is>
          <t>③スチコン工程入力</t>
        </is>
      </c>
      <c r="C155" s="392" t="n">
        <v>42</v>
      </c>
      <c r="D155" s="392">
        <f>③スチコン工程入力!C42</f>
        <v/>
      </c>
      <c r="E155" s="393">
        <f>③スチコン工程入力!I42</f>
        <v/>
      </c>
      <c r="F155" s="393">
        <f>③スチコン工程入力!J42</f>
        <v/>
      </c>
      <c r="G155" s="393">
        <f>③スチコン工程入力!M42</f>
        <v/>
      </c>
      <c r="H155" s="393">
        <f>③スチコン工程入力!N42</f>
        <v/>
      </c>
      <c r="I155" s="393">
        <f>③スチコン工程入力!O42</f>
        <v/>
      </c>
    </row>
    <row r="156">
      <c r="A156" s="392" t="n">
        <v>152</v>
      </c>
      <c r="B156" s="392" t="inlineStr">
        <is>
          <t>③スチコン工程入力</t>
        </is>
      </c>
      <c r="C156" s="392" t="n">
        <v>43</v>
      </c>
      <c r="D156" s="392">
        <f>③スチコン工程入力!C43</f>
        <v/>
      </c>
      <c r="E156" s="393">
        <f>③スチコン工程入力!I43</f>
        <v/>
      </c>
      <c r="F156" s="393">
        <f>③スチコン工程入力!J43</f>
        <v/>
      </c>
      <c r="G156" s="393">
        <f>③スチコン工程入力!M43</f>
        <v/>
      </c>
      <c r="H156" s="393">
        <f>③スチコン工程入力!N43</f>
        <v/>
      </c>
      <c r="I156" s="393">
        <f>③スチコン工程入力!O43</f>
        <v/>
      </c>
    </row>
    <row r="157">
      <c r="A157" s="392" t="n">
        <v>153</v>
      </c>
      <c r="B157" s="392" t="inlineStr">
        <is>
          <t>③スチコン工程入力</t>
        </is>
      </c>
      <c r="C157" s="392" t="n">
        <v>44</v>
      </c>
      <c r="D157" s="392">
        <f>③スチコン工程入力!C44</f>
        <v/>
      </c>
      <c r="E157" s="393">
        <f>③スチコン工程入力!I44</f>
        <v/>
      </c>
      <c r="F157" s="393">
        <f>③スチコン工程入力!J44</f>
        <v/>
      </c>
      <c r="G157" s="393">
        <f>③スチコン工程入力!M44</f>
        <v/>
      </c>
      <c r="H157" s="393">
        <f>③スチコン工程入力!N44</f>
        <v/>
      </c>
      <c r="I157" s="393">
        <f>③スチコン工程入力!O44</f>
        <v/>
      </c>
    </row>
    <row r="158">
      <c r="A158" s="392" t="n">
        <v>154</v>
      </c>
      <c r="B158" s="392" t="inlineStr">
        <is>
          <t>③スチコン工程入力</t>
        </is>
      </c>
      <c r="C158" s="392" t="n">
        <v>45</v>
      </c>
      <c r="D158" s="392">
        <f>③スチコン工程入力!C45</f>
        <v/>
      </c>
      <c r="E158" s="393">
        <f>③スチコン工程入力!I45</f>
        <v/>
      </c>
      <c r="F158" s="393">
        <f>③スチコン工程入力!J45</f>
        <v/>
      </c>
      <c r="G158" s="393">
        <f>③スチコン工程入力!M45</f>
        <v/>
      </c>
      <c r="H158" s="393">
        <f>③スチコン工程入力!N45</f>
        <v/>
      </c>
      <c r="I158" s="393">
        <f>③スチコン工程入力!O45</f>
        <v/>
      </c>
    </row>
    <row r="159">
      <c r="A159" s="392" t="n">
        <v>155</v>
      </c>
      <c r="B159" s="392" t="inlineStr">
        <is>
          <t>③スチコン工程入力</t>
        </is>
      </c>
      <c r="C159" s="392" t="n">
        <v>46</v>
      </c>
      <c r="D159" s="392">
        <f>③スチコン工程入力!C46</f>
        <v/>
      </c>
      <c r="E159" s="393">
        <f>③スチコン工程入力!I46</f>
        <v/>
      </c>
      <c r="F159" s="393">
        <f>③スチコン工程入力!J46</f>
        <v/>
      </c>
      <c r="G159" s="393">
        <f>③スチコン工程入力!M46</f>
        <v/>
      </c>
      <c r="H159" s="393">
        <f>③スチコン工程入力!N46</f>
        <v/>
      </c>
      <c r="I159" s="393">
        <f>③スチコン工程入力!O46</f>
        <v/>
      </c>
    </row>
    <row r="160">
      <c r="A160" s="392" t="n">
        <v>156</v>
      </c>
      <c r="B160" s="392" t="inlineStr">
        <is>
          <t>③スチコン工程入力</t>
        </is>
      </c>
      <c r="C160" s="392" t="n">
        <v>47</v>
      </c>
      <c r="D160" s="392">
        <f>③スチコン工程入力!C47</f>
        <v/>
      </c>
      <c r="E160" s="393">
        <f>③スチコン工程入力!I47</f>
        <v/>
      </c>
      <c r="F160" s="393">
        <f>③スチコン工程入力!J47</f>
        <v/>
      </c>
      <c r="G160" s="393">
        <f>③スチコン工程入力!M47</f>
        <v/>
      </c>
      <c r="H160" s="393">
        <f>③スチコン工程入力!N47</f>
        <v/>
      </c>
      <c r="I160" s="393">
        <f>③スチコン工程入力!O47</f>
        <v/>
      </c>
    </row>
    <row r="161">
      <c r="A161" s="392" t="n">
        <v>157</v>
      </c>
      <c r="B161" s="392" t="inlineStr">
        <is>
          <t>③スチコン工程入力</t>
        </is>
      </c>
      <c r="C161" s="392" t="n">
        <v>48</v>
      </c>
      <c r="D161" s="392">
        <f>③スチコン工程入力!C48</f>
        <v/>
      </c>
      <c r="E161" s="393">
        <f>③スチコン工程入力!I48</f>
        <v/>
      </c>
      <c r="F161" s="393">
        <f>③スチコン工程入力!J48</f>
        <v/>
      </c>
      <c r="G161" s="393">
        <f>③スチコン工程入力!M48</f>
        <v/>
      </c>
      <c r="H161" s="393">
        <f>③スチコン工程入力!N48</f>
        <v/>
      </c>
      <c r="I161" s="393">
        <f>③スチコン工程入力!O48</f>
        <v/>
      </c>
    </row>
    <row r="162">
      <c r="A162" s="392" t="n">
        <v>158</v>
      </c>
      <c r="B162" s="392" t="inlineStr">
        <is>
          <t>③スチコン工程入力</t>
        </is>
      </c>
      <c r="C162" s="392" t="n">
        <v>49</v>
      </c>
      <c r="D162" s="392">
        <f>③スチコン工程入力!C49</f>
        <v/>
      </c>
      <c r="E162" s="393">
        <f>③スチコン工程入力!I49</f>
        <v/>
      </c>
      <c r="F162" s="393">
        <f>③スチコン工程入力!J49</f>
        <v/>
      </c>
      <c r="G162" s="393">
        <f>③スチコン工程入力!M49</f>
        <v/>
      </c>
      <c r="H162" s="393">
        <f>③スチコン工程入力!N49</f>
        <v/>
      </c>
      <c r="I162" s="393">
        <f>③スチコン工程入力!O49</f>
        <v/>
      </c>
    </row>
    <row r="163">
      <c r="A163" s="392" t="n">
        <v>159</v>
      </c>
      <c r="B163" s="392" t="inlineStr">
        <is>
          <t>③スチコン工程入力</t>
        </is>
      </c>
      <c r="C163" s="392" t="n">
        <v>50</v>
      </c>
      <c r="D163" s="392">
        <f>③スチコン工程入力!C50</f>
        <v/>
      </c>
      <c r="E163" s="393">
        <f>③スチコン工程入力!I50</f>
        <v/>
      </c>
      <c r="F163" s="393">
        <f>③スチコン工程入力!J50</f>
        <v/>
      </c>
      <c r="G163" s="393">
        <f>③スチコン工程入力!M50</f>
        <v/>
      </c>
      <c r="H163" s="393">
        <f>③スチコン工程入力!N50</f>
        <v/>
      </c>
      <c r="I163" s="393">
        <f>③スチコン工程入力!O50</f>
        <v/>
      </c>
    </row>
    <row r="164">
      <c r="A164" s="392" t="n">
        <v>160</v>
      </c>
      <c r="B164" s="392" t="inlineStr">
        <is>
          <t>③スチコン工程入力</t>
        </is>
      </c>
      <c r="C164" s="392" t="n">
        <v>51</v>
      </c>
      <c r="D164" s="392">
        <f>③スチコン工程入力!C51</f>
        <v/>
      </c>
      <c r="E164" s="393">
        <f>③スチコン工程入力!I51</f>
        <v/>
      </c>
      <c r="F164" s="393">
        <f>③スチコン工程入力!J51</f>
        <v/>
      </c>
      <c r="G164" s="393">
        <f>③スチコン工程入力!M51</f>
        <v/>
      </c>
      <c r="H164" s="393">
        <f>③スチコン工程入力!N51</f>
        <v/>
      </c>
      <c r="I164" s="393">
        <f>③スチコン工程入力!O51</f>
        <v/>
      </c>
    </row>
    <row r="165">
      <c r="A165" s="392" t="n">
        <v>161</v>
      </c>
      <c r="B165" s="392" t="inlineStr">
        <is>
          <t>③スチコン工程入力</t>
        </is>
      </c>
      <c r="C165" s="392" t="n">
        <v>52</v>
      </c>
      <c r="D165" s="392">
        <f>③スチコン工程入力!C52</f>
        <v/>
      </c>
      <c r="E165" s="393">
        <f>③スチコン工程入力!I52</f>
        <v/>
      </c>
      <c r="F165" s="393">
        <f>③スチコン工程入力!J52</f>
        <v/>
      </c>
      <c r="G165" s="393">
        <f>③スチコン工程入力!M52</f>
        <v/>
      </c>
      <c r="H165" s="393">
        <f>③スチコン工程入力!N52</f>
        <v/>
      </c>
      <c r="I165" s="393">
        <f>③スチコン工程入力!O52</f>
        <v/>
      </c>
    </row>
    <row r="166">
      <c r="A166" s="392" t="n">
        <v>162</v>
      </c>
      <c r="B166" s="392" t="inlineStr">
        <is>
          <t>③スチコン工程入力</t>
        </is>
      </c>
      <c r="C166" s="392" t="n">
        <v>53</v>
      </c>
      <c r="D166" s="392">
        <f>③スチコン工程入力!C53</f>
        <v/>
      </c>
      <c r="E166" s="393">
        <f>③スチコン工程入力!I53</f>
        <v/>
      </c>
      <c r="F166" s="393">
        <f>③スチコン工程入力!J53</f>
        <v/>
      </c>
      <c r="G166" s="393">
        <f>③スチコン工程入力!M53</f>
        <v/>
      </c>
      <c r="H166" s="393">
        <f>③スチコン工程入力!N53</f>
        <v/>
      </c>
      <c r="I166" s="393">
        <f>③スチコン工程入力!O53</f>
        <v/>
      </c>
    </row>
    <row r="167">
      <c r="A167" s="392" t="n">
        <v>163</v>
      </c>
      <c r="B167" s="392" t="inlineStr">
        <is>
          <t>③スチコン工程入力</t>
        </is>
      </c>
      <c r="C167" s="392" t="n">
        <v>54</v>
      </c>
      <c r="D167" s="392">
        <f>③スチコン工程入力!C54</f>
        <v/>
      </c>
      <c r="E167" s="393">
        <f>③スチコン工程入力!I54</f>
        <v/>
      </c>
      <c r="F167" s="393">
        <f>③スチコン工程入力!J54</f>
        <v/>
      </c>
      <c r="G167" s="393">
        <f>③スチコン工程入力!M54</f>
        <v/>
      </c>
      <c r="H167" s="393">
        <f>③スチコン工程入力!N54</f>
        <v/>
      </c>
      <c r="I167" s="393">
        <f>③スチコン工程入力!O54</f>
        <v/>
      </c>
    </row>
    <row r="168">
      <c r="A168" s="392" t="n">
        <v>164</v>
      </c>
      <c r="B168" s="392" t="inlineStr">
        <is>
          <t>③スチコン工程入力</t>
        </is>
      </c>
      <c r="C168" s="392" t="n">
        <v>55</v>
      </c>
      <c r="D168" s="392">
        <f>③スチコン工程入力!C55</f>
        <v/>
      </c>
      <c r="E168" s="393">
        <f>③スチコン工程入力!I55</f>
        <v/>
      </c>
      <c r="F168" s="393">
        <f>③スチコン工程入力!J55</f>
        <v/>
      </c>
      <c r="G168" s="393">
        <f>③スチコン工程入力!M55</f>
        <v/>
      </c>
      <c r="H168" s="393">
        <f>③スチコン工程入力!N55</f>
        <v/>
      </c>
      <c r="I168" s="393">
        <f>③スチコン工程入力!O55</f>
        <v/>
      </c>
    </row>
    <row r="169">
      <c r="A169" s="392" t="n">
        <v>165</v>
      </c>
      <c r="B169" s="392" t="inlineStr">
        <is>
          <t>③スチコン工程入力</t>
        </is>
      </c>
      <c r="C169" s="392" t="n">
        <v>56</v>
      </c>
      <c r="D169" s="392">
        <f>③スチコン工程入力!C56</f>
        <v/>
      </c>
      <c r="E169" s="393">
        <f>③スチコン工程入力!I56</f>
        <v/>
      </c>
      <c r="F169" s="393">
        <f>③スチコン工程入力!J56</f>
        <v/>
      </c>
      <c r="G169" s="393">
        <f>③スチコン工程入力!M56</f>
        <v/>
      </c>
      <c r="H169" s="393">
        <f>③スチコン工程入力!N56</f>
        <v/>
      </c>
      <c r="I169" s="393">
        <f>③スチコン工程入力!O56</f>
        <v/>
      </c>
    </row>
    <row r="170">
      <c r="A170" s="392" t="n">
        <v>166</v>
      </c>
      <c r="B170" s="392" t="inlineStr">
        <is>
          <t>③スチコン工程入力</t>
        </is>
      </c>
      <c r="C170" s="392" t="n">
        <v>57</v>
      </c>
      <c r="D170" s="392">
        <f>③スチコン工程入力!C57</f>
        <v/>
      </c>
      <c r="E170" s="393">
        <f>③スチコン工程入力!I57</f>
        <v/>
      </c>
      <c r="F170" s="393">
        <f>③スチコン工程入力!J57</f>
        <v/>
      </c>
      <c r="G170" s="393">
        <f>③スチコン工程入力!M57</f>
        <v/>
      </c>
      <c r="H170" s="393">
        <f>③スチコン工程入力!N57</f>
        <v/>
      </c>
      <c r="I170" s="393">
        <f>③スチコン工程入力!O57</f>
        <v/>
      </c>
    </row>
    <row r="171">
      <c r="A171" s="392" t="n">
        <v>167</v>
      </c>
      <c r="B171" s="392" t="inlineStr">
        <is>
          <t>③スチコン工程入力</t>
        </is>
      </c>
      <c r="C171" s="392" t="n">
        <v>58</v>
      </c>
      <c r="D171" s="392">
        <f>③スチコン工程入力!C58</f>
        <v/>
      </c>
      <c r="E171" s="393">
        <f>③スチコン工程入力!I58</f>
        <v/>
      </c>
      <c r="F171" s="393">
        <f>③スチコン工程入力!J58</f>
        <v/>
      </c>
      <c r="G171" s="393">
        <f>③スチコン工程入力!M58</f>
        <v/>
      </c>
      <c r="H171" s="393">
        <f>③スチコン工程入力!N58</f>
        <v/>
      </c>
      <c r="I171" s="393">
        <f>③スチコン工程入力!O58</f>
        <v/>
      </c>
    </row>
    <row r="172">
      <c r="A172" s="392" t="n">
        <v>168</v>
      </c>
      <c r="B172" s="392" t="inlineStr">
        <is>
          <t>③スチコン工程入力</t>
        </is>
      </c>
      <c r="C172" s="392" t="n">
        <v>59</v>
      </c>
      <c r="D172" s="392">
        <f>③スチコン工程入力!C59</f>
        <v/>
      </c>
      <c r="E172" s="393">
        <f>③スチコン工程入力!I59</f>
        <v/>
      </c>
      <c r="F172" s="393">
        <f>③スチコン工程入力!J59</f>
        <v/>
      </c>
      <c r="G172" s="393">
        <f>③スチコン工程入力!M59</f>
        <v/>
      </c>
      <c r="H172" s="393">
        <f>③スチコン工程入力!N59</f>
        <v/>
      </c>
      <c r="I172" s="393">
        <f>③スチコン工程入力!O59</f>
        <v/>
      </c>
    </row>
    <row r="173">
      <c r="A173" s="392" t="n">
        <v>169</v>
      </c>
      <c r="B173" s="392" t="inlineStr">
        <is>
          <t>③スチコン工程入力</t>
        </is>
      </c>
      <c r="C173" s="392" t="n">
        <v>60</v>
      </c>
      <c r="D173" s="392">
        <f>③スチコン工程入力!C60</f>
        <v/>
      </c>
      <c r="E173" s="393">
        <f>③スチコン工程入力!I60</f>
        <v/>
      </c>
      <c r="F173" s="393">
        <f>③スチコン工程入力!J60</f>
        <v/>
      </c>
      <c r="G173" s="393">
        <f>③スチコン工程入力!M60</f>
        <v/>
      </c>
      <c r="H173" s="393">
        <f>③スチコン工程入力!N60</f>
        <v/>
      </c>
      <c r="I173" s="393">
        <f>③スチコン工程入力!O60</f>
        <v/>
      </c>
    </row>
    <row r="174">
      <c r="A174" s="392" t="n">
        <v>170</v>
      </c>
      <c r="B174" s="392" t="inlineStr">
        <is>
          <t>③スチコン工程入力</t>
        </is>
      </c>
      <c r="C174" s="392" t="n">
        <v>61</v>
      </c>
      <c r="D174" s="392">
        <f>③スチコン工程入力!C61</f>
        <v/>
      </c>
      <c r="E174" s="393">
        <f>③スチコン工程入力!I61</f>
        <v/>
      </c>
      <c r="F174" s="393">
        <f>③スチコン工程入力!J61</f>
        <v/>
      </c>
      <c r="G174" s="393">
        <f>③スチコン工程入力!M61</f>
        <v/>
      </c>
      <c r="H174" s="393">
        <f>③スチコン工程入力!N61</f>
        <v/>
      </c>
      <c r="I174" s="393">
        <f>③スチコン工程入力!O61</f>
        <v/>
      </c>
    </row>
    <row r="175">
      <c r="A175" s="392" t="n">
        <v>171</v>
      </c>
      <c r="B175" s="392" t="inlineStr">
        <is>
          <t>③スチコン工程入力</t>
        </is>
      </c>
      <c r="C175" s="392" t="n">
        <v>62</v>
      </c>
      <c r="D175" s="392">
        <f>③スチコン工程入力!C62</f>
        <v/>
      </c>
      <c r="E175" s="393">
        <f>③スチコン工程入力!I62</f>
        <v/>
      </c>
      <c r="F175" s="393">
        <f>③スチコン工程入力!J62</f>
        <v/>
      </c>
      <c r="G175" s="393">
        <f>③スチコン工程入力!M62</f>
        <v/>
      </c>
      <c r="H175" s="393">
        <f>③スチコン工程入力!N62</f>
        <v/>
      </c>
      <c r="I175" s="393">
        <f>③スチコン工程入力!O62</f>
        <v/>
      </c>
    </row>
    <row r="176">
      <c r="A176" s="392" t="n">
        <v>172</v>
      </c>
      <c r="B176" s="392" t="inlineStr">
        <is>
          <t>③スチコン工程入力</t>
        </is>
      </c>
      <c r="C176" s="392" t="n">
        <v>63</v>
      </c>
      <c r="D176" s="392">
        <f>③スチコン工程入力!C63</f>
        <v/>
      </c>
      <c r="E176" s="393">
        <f>③スチコン工程入力!I63</f>
        <v/>
      </c>
      <c r="F176" s="393">
        <f>③スチコン工程入力!J63</f>
        <v/>
      </c>
      <c r="G176" s="393">
        <f>③スチコン工程入力!M63</f>
        <v/>
      </c>
      <c r="H176" s="393">
        <f>③スチコン工程入力!N63</f>
        <v/>
      </c>
      <c r="I176" s="393">
        <f>③スチコン工程入力!O63</f>
        <v/>
      </c>
    </row>
    <row r="177">
      <c r="A177" s="392" t="n">
        <v>173</v>
      </c>
      <c r="B177" s="392" t="inlineStr">
        <is>
          <t>③スチコン工程入力</t>
        </is>
      </c>
      <c r="C177" s="392" t="n">
        <v>64</v>
      </c>
      <c r="D177" s="392">
        <f>③スチコン工程入力!C64</f>
        <v/>
      </c>
      <c r="E177" s="393">
        <f>③スチコン工程入力!I64</f>
        <v/>
      </c>
      <c r="F177" s="393">
        <f>③スチコン工程入力!J64</f>
        <v/>
      </c>
      <c r="G177" s="393">
        <f>③スチコン工程入力!M64</f>
        <v/>
      </c>
      <c r="H177" s="393">
        <f>③スチコン工程入力!N64</f>
        <v/>
      </c>
      <c r="I177" s="393">
        <f>③スチコン工程入力!O64</f>
        <v/>
      </c>
    </row>
    <row r="178">
      <c r="A178" s="392" t="n">
        <v>174</v>
      </c>
      <c r="B178" s="392" t="inlineStr">
        <is>
          <t>③スチコン工程入力</t>
        </is>
      </c>
      <c r="C178" s="392" t="n">
        <v>65</v>
      </c>
      <c r="D178" s="392">
        <f>③スチコン工程入力!C65</f>
        <v/>
      </c>
      <c r="E178" s="393">
        <f>③スチコン工程入力!I65</f>
        <v/>
      </c>
      <c r="F178" s="393">
        <f>③スチコン工程入力!J65</f>
        <v/>
      </c>
      <c r="G178" s="393">
        <f>③スチコン工程入力!M65</f>
        <v/>
      </c>
      <c r="H178" s="393">
        <f>③スチコン工程入力!N65</f>
        <v/>
      </c>
      <c r="I178" s="393">
        <f>③スチコン工程入力!O65</f>
        <v/>
      </c>
    </row>
    <row r="179">
      <c r="A179" s="392" t="n">
        <v>175</v>
      </c>
      <c r="B179" s="392" t="inlineStr">
        <is>
          <t>③スチコン工程入力</t>
        </is>
      </c>
      <c r="C179" s="392" t="n">
        <v>66</v>
      </c>
      <c r="D179" s="392">
        <f>③スチコン工程入力!C66</f>
        <v/>
      </c>
      <c r="E179" s="393">
        <f>③スチコン工程入力!I66</f>
        <v/>
      </c>
      <c r="F179" s="393">
        <f>③スチコン工程入力!J66</f>
        <v/>
      </c>
      <c r="G179" s="393">
        <f>③スチコン工程入力!M66</f>
        <v/>
      </c>
      <c r="H179" s="393">
        <f>③スチコン工程入力!N66</f>
        <v/>
      </c>
      <c r="I179" s="393">
        <f>③スチコン工程入力!O66</f>
        <v/>
      </c>
    </row>
    <row r="180">
      <c r="A180" s="392" t="n">
        <v>176</v>
      </c>
      <c r="B180" s="392" t="inlineStr">
        <is>
          <t>③スチコン工程入力</t>
        </is>
      </c>
      <c r="C180" s="392" t="n">
        <v>67</v>
      </c>
      <c r="D180" s="392">
        <f>③スチコン工程入力!C67</f>
        <v/>
      </c>
      <c r="E180" s="393">
        <f>③スチコン工程入力!I67</f>
        <v/>
      </c>
      <c r="F180" s="393">
        <f>③スチコン工程入力!J67</f>
        <v/>
      </c>
      <c r="G180" s="393">
        <f>③スチコン工程入力!M67</f>
        <v/>
      </c>
      <c r="H180" s="393">
        <f>③スチコン工程入力!N67</f>
        <v/>
      </c>
      <c r="I180" s="393">
        <f>③スチコン工程入力!O67</f>
        <v/>
      </c>
    </row>
    <row r="181">
      <c r="A181" s="392" t="n">
        <v>177</v>
      </c>
      <c r="B181" s="392" t="inlineStr">
        <is>
          <t>③スチコン工程入力</t>
        </is>
      </c>
      <c r="C181" s="392" t="n">
        <v>68</v>
      </c>
      <c r="D181" s="392">
        <f>③スチコン工程入力!C68</f>
        <v/>
      </c>
      <c r="E181" s="393">
        <f>③スチコン工程入力!I68</f>
        <v/>
      </c>
      <c r="F181" s="393">
        <f>③スチコン工程入力!J68</f>
        <v/>
      </c>
      <c r="G181" s="393">
        <f>③スチコン工程入力!M68</f>
        <v/>
      </c>
      <c r="H181" s="393">
        <f>③スチコン工程入力!N68</f>
        <v/>
      </c>
      <c r="I181" s="393">
        <f>③スチコン工程入力!O68</f>
        <v/>
      </c>
    </row>
    <row r="182">
      <c r="A182" s="392" t="n">
        <v>178</v>
      </c>
      <c r="B182" s="392" t="inlineStr">
        <is>
          <t>③スチコン工程入力</t>
        </is>
      </c>
      <c r="C182" s="392" t="n">
        <v>69</v>
      </c>
      <c r="D182" s="392">
        <f>③スチコン工程入力!C69</f>
        <v/>
      </c>
      <c r="E182" s="393">
        <f>③スチコン工程入力!I69</f>
        <v/>
      </c>
      <c r="F182" s="393">
        <f>③スチコン工程入力!J69</f>
        <v/>
      </c>
      <c r="G182" s="393">
        <f>③スチコン工程入力!M69</f>
        <v/>
      </c>
      <c r="H182" s="393">
        <f>③スチコン工程入力!N69</f>
        <v/>
      </c>
      <c r="I182" s="393">
        <f>③スチコン工程入力!O69</f>
        <v/>
      </c>
    </row>
    <row r="183">
      <c r="A183" s="392" t="n">
        <v>179</v>
      </c>
      <c r="B183" s="392" t="inlineStr">
        <is>
          <t>③スチコン工程入力</t>
        </is>
      </c>
      <c r="C183" s="392" t="n">
        <v>70</v>
      </c>
      <c r="D183" s="392">
        <f>③スチコン工程入力!C70</f>
        <v/>
      </c>
      <c r="E183" s="393">
        <f>③スチコン工程入力!I70</f>
        <v/>
      </c>
      <c r="F183" s="393">
        <f>③スチコン工程入力!J70</f>
        <v/>
      </c>
      <c r="G183" s="393">
        <f>③スチコン工程入力!M70</f>
        <v/>
      </c>
      <c r="H183" s="393">
        <f>③スチコン工程入力!N70</f>
        <v/>
      </c>
      <c r="I183" s="393">
        <f>③スチコン工程入力!O70</f>
        <v/>
      </c>
    </row>
    <row r="184">
      <c r="A184" s="392" t="n">
        <v>180</v>
      </c>
      <c r="B184" s="392" t="inlineStr">
        <is>
          <t>③スチコン工程入力</t>
        </is>
      </c>
      <c r="C184" s="392" t="n">
        <v>71</v>
      </c>
      <c r="D184" s="392">
        <f>③スチコン工程入力!C71</f>
        <v/>
      </c>
      <c r="E184" s="393">
        <f>③スチコン工程入力!I71</f>
        <v/>
      </c>
      <c r="F184" s="393">
        <f>③スチコン工程入力!J71</f>
        <v/>
      </c>
      <c r="G184" s="393">
        <f>③スチコン工程入力!M71</f>
        <v/>
      </c>
      <c r="H184" s="393">
        <f>③スチコン工程入力!N71</f>
        <v/>
      </c>
      <c r="I184" s="393">
        <f>③スチコン工程入力!O71</f>
        <v/>
      </c>
    </row>
    <row r="185">
      <c r="A185" s="392" t="n">
        <v>181</v>
      </c>
      <c r="B185" s="392" t="inlineStr">
        <is>
          <t>③スチコン工程入力</t>
        </is>
      </c>
      <c r="C185" s="392" t="n">
        <v>72</v>
      </c>
      <c r="D185" s="392">
        <f>③スチコン工程入力!C72</f>
        <v/>
      </c>
      <c r="E185" s="393">
        <f>③スチコン工程入力!I72</f>
        <v/>
      </c>
      <c r="F185" s="393">
        <f>③スチコン工程入力!J72</f>
        <v/>
      </c>
      <c r="G185" s="393">
        <f>③スチコン工程入力!M72</f>
        <v/>
      </c>
      <c r="H185" s="393">
        <f>③スチコン工程入力!N72</f>
        <v/>
      </c>
      <c r="I185" s="393">
        <f>③スチコン工程入力!O72</f>
        <v/>
      </c>
    </row>
    <row r="186">
      <c r="A186" s="392" t="n">
        <v>182</v>
      </c>
      <c r="B186" s="392" t="inlineStr">
        <is>
          <t>③スチコン工程入力</t>
        </is>
      </c>
      <c r="C186" s="392" t="n">
        <v>73</v>
      </c>
      <c r="D186" s="392">
        <f>③スチコン工程入力!C73</f>
        <v/>
      </c>
      <c r="E186" s="393">
        <f>③スチコン工程入力!I73</f>
        <v/>
      </c>
      <c r="F186" s="393">
        <f>③スチコン工程入力!J73</f>
        <v/>
      </c>
      <c r="G186" s="393">
        <f>③スチコン工程入力!M73</f>
        <v/>
      </c>
      <c r="H186" s="393">
        <f>③スチコン工程入力!N73</f>
        <v/>
      </c>
      <c r="I186" s="393">
        <f>③スチコン工程入力!O73</f>
        <v/>
      </c>
    </row>
    <row r="187">
      <c r="A187" s="392" t="n">
        <v>183</v>
      </c>
      <c r="B187" s="392" t="inlineStr">
        <is>
          <t>③スチコン工程入力</t>
        </is>
      </c>
      <c r="C187" s="392" t="n">
        <v>74</v>
      </c>
      <c r="D187" s="392">
        <f>③スチコン工程入力!C74</f>
        <v/>
      </c>
      <c r="E187" s="393">
        <f>③スチコン工程入力!I74</f>
        <v/>
      </c>
      <c r="F187" s="393">
        <f>③スチコン工程入力!J74</f>
        <v/>
      </c>
      <c r="G187" s="393">
        <f>③スチコン工程入力!M74</f>
        <v/>
      </c>
      <c r="H187" s="393">
        <f>③スチコン工程入力!N74</f>
        <v/>
      </c>
      <c r="I187" s="393">
        <f>③スチコン工程入力!O74</f>
        <v/>
      </c>
    </row>
    <row r="188">
      <c r="A188" s="392" t="n">
        <v>184</v>
      </c>
      <c r="B188" s="392" t="inlineStr">
        <is>
          <t>③スチコン工程入力</t>
        </is>
      </c>
      <c r="C188" s="392" t="n">
        <v>75</v>
      </c>
      <c r="D188" s="392">
        <f>③スチコン工程入力!C75</f>
        <v/>
      </c>
      <c r="E188" s="393">
        <f>③スチコン工程入力!I75</f>
        <v/>
      </c>
      <c r="F188" s="393">
        <f>③スチコン工程入力!J75</f>
        <v/>
      </c>
      <c r="G188" s="393">
        <f>③スチコン工程入力!M75</f>
        <v/>
      </c>
      <c r="H188" s="393">
        <f>③スチコン工程入力!N75</f>
        <v/>
      </c>
      <c r="I188" s="393">
        <f>③スチコン工程入力!O75</f>
        <v/>
      </c>
    </row>
    <row r="189">
      <c r="A189" s="392" t="n">
        <v>185</v>
      </c>
      <c r="B189" s="392" t="inlineStr">
        <is>
          <t>③スチコン工程入力</t>
        </is>
      </c>
      <c r="C189" s="392" t="n">
        <v>76</v>
      </c>
      <c r="D189" s="392">
        <f>③スチコン工程入力!C76</f>
        <v/>
      </c>
      <c r="E189" s="393">
        <f>③スチコン工程入力!I76</f>
        <v/>
      </c>
      <c r="F189" s="393">
        <f>③スチコン工程入力!J76</f>
        <v/>
      </c>
      <c r="G189" s="393">
        <f>③スチコン工程入力!M76</f>
        <v/>
      </c>
      <c r="H189" s="393">
        <f>③スチコン工程入力!N76</f>
        <v/>
      </c>
      <c r="I189" s="393">
        <f>③スチコン工程入力!O76</f>
        <v/>
      </c>
    </row>
    <row r="190">
      <c r="A190" s="392" t="n">
        <v>186</v>
      </c>
      <c r="B190" s="392" t="inlineStr">
        <is>
          <t>③スチコン工程入力</t>
        </is>
      </c>
      <c r="C190" s="392" t="n">
        <v>77</v>
      </c>
      <c r="D190" s="392">
        <f>③スチコン工程入力!C77</f>
        <v/>
      </c>
      <c r="E190" s="393">
        <f>③スチコン工程入力!I77</f>
        <v/>
      </c>
      <c r="F190" s="393">
        <f>③スチコン工程入力!J77</f>
        <v/>
      </c>
      <c r="G190" s="393">
        <f>③スチコン工程入力!M77</f>
        <v/>
      </c>
      <c r="H190" s="393">
        <f>③スチコン工程入力!N77</f>
        <v/>
      </c>
      <c r="I190" s="393">
        <f>③スチコン工程入力!O77</f>
        <v/>
      </c>
    </row>
    <row r="191">
      <c r="A191" s="392" t="n">
        <v>187</v>
      </c>
      <c r="B191" s="392" t="inlineStr">
        <is>
          <t>③スチコン工程入力</t>
        </is>
      </c>
      <c r="C191" s="392" t="n">
        <v>78</v>
      </c>
      <c r="D191" s="392">
        <f>③スチコン工程入力!C78</f>
        <v/>
      </c>
      <c r="E191" s="393">
        <f>③スチコン工程入力!I78</f>
        <v/>
      </c>
      <c r="F191" s="393">
        <f>③スチコン工程入力!J78</f>
        <v/>
      </c>
      <c r="G191" s="393">
        <f>③スチコン工程入力!M78</f>
        <v/>
      </c>
      <c r="H191" s="393">
        <f>③スチコン工程入力!N78</f>
        <v/>
      </c>
      <c r="I191" s="393">
        <f>③スチコン工程入力!O78</f>
        <v/>
      </c>
    </row>
    <row r="192">
      <c r="A192" s="392" t="n">
        <v>188</v>
      </c>
      <c r="B192" s="392" t="inlineStr">
        <is>
          <t>③スチコン工程入力</t>
        </is>
      </c>
      <c r="C192" s="392" t="n">
        <v>79</v>
      </c>
      <c r="D192" s="392">
        <f>③スチコン工程入力!C79</f>
        <v/>
      </c>
      <c r="E192" s="393">
        <f>③スチコン工程入力!I79</f>
        <v/>
      </c>
      <c r="F192" s="393">
        <f>③スチコン工程入力!J79</f>
        <v/>
      </c>
      <c r="G192" s="393">
        <f>③スチコン工程入力!M79</f>
        <v/>
      </c>
      <c r="H192" s="393">
        <f>③スチコン工程入力!N79</f>
        <v/>
      </c>
      <c r="I192" s="393">
        <f>③スチコン工程入力!O79</f>
        <v/>
      </c>
    </row>
    <row r="193">
      <c r="A193" s="392" t="n">
        <v>189</v>
      </c>
      <c r="B193" s="392" t="inlineStr">
        <is>
          <t>③スチコン工程入力</t>
        </is>
      </c>
      <c r="C193" s="392" t="n">
        <v>80</v>
      </c>
      <c r="D193" s="392">
        <f>③スチコン工程入力!C80</f>
        <v/>
      </c>
      <c r="E193" s="393">
        <f>③スチコン工程入力!I80</f>
        <v/>
      </c>
      <c r="F193" s="393">
        <f>③スチコン工程入力!J80</f>
        <v/>
      </c>
      <c r="G193" s="393">
        <f>③スチコン工程入力!M80</f>
        <v/>
      </c>
      <c r="H193" s="393">
        <f>③スチコン工程入力!N80</f>
        <v/>
      </c>
      <c r="I193" s="393">
        <f>③スチコン工程入力!O80</f>
        <v/>
      </c>
    </row>
    <row r="194">
      <c r="A194" s="392" t="n">
        <v>190</v>
      </c>
      <c r="B194" s="392" t="inlineStr">
        <is>
          <t>③スチコン工程入力</t>
        </is>
      </c>
      <c r="C194" s="392" t="n">
        <v>81</v>
      </c>
      <c r="D194" s="392">
        <f>③スチコン工程入力!C81</f>
        <v/>
      </c>
      <c r="E194" s="393">
        <f>③スチコン工程入力!I81</f>
        <v/>
      </c>
      <c r="F194" s="393">
        <f>③スチコン工程入力!J81</f>
        <v/>
      </c>
      <c r="G194" s="393">
        <f>③スチコン工程入力!M81</f>
        <v/>
      </c>
      <c r="H194" s="393">
        <f>③スチコン工程入力!N81</f>
        <v/>
      </c>
      <c r="I194" s="393">
        <f>③スチコン工程入力!O81</f>
        <v/>
      </c>
    </row>
    <row r="195">
      <c r="A195" s="392" t="n">
        <v>191</v>
      </c>
      <c r="B195" s="392" t="inlineStr">
        <is>
          <t>③スチコン工程入力</t>
        </is>
      </c>
      <c r="C195" s="392" t="n">
        <v>82</v>
      </c>
      <c r="D195" s="392">
        <f>③スチコン工程入力!C82</f>
        <v/>
      </c>
      <c r="E195" s="393">
        <f>③スチコン工程入力!I82</f>
        <v/>
      </c>
      <c r="F195" s="393">
        <f>③スチコン工程入力!J82</f>
        <v/>
      </c>
      <c r="G195" s="393">
        <f>③スチコン工程入力!M82</f>
        <v/>
      </c>
      <c r="H195" s="393">
        <f>③スチコン工程入力!N82</f>
        <v/>
      </c>
      <c r="I195" s="393">
        <f>③スチコン工程入力!O82</f>
        <v/>
      </c>
    </row>
    <row r="196">
      <c r="A196" s="392" t="n">
        <v>192</v>
      </c>
      <c r="B196" s="392" t="inlineStr">
        <is>
          <t>③スチコン工程入力</t>
        </is>
      </c>
      <c r="C196" s="392" t="n">
        <v>83</v>
      </c>
      <c r="D196" s="392">
        <f>③スチコン工程入力!C83</f>
        <v/>
      </c>
      <c r="E196" s="393">
        <f>③スチコン工程入力!I83</f>
        <v/>
      </c>
      <c r="F196" s="393">
        <f>③スチコン工程入力!J83</f>
        <v/>
      </c>
      <c r="G196" s="393">
        <f>③スチコン工程入力!M83</f>
        <v/>
      </c>
      <c r="H196" s="393">
        <f>③スチコン工程入力!N83</f>
        <v/>
      </c>
      <c r="I196" s="393">
        <f>③スチコン工程入力!O83</f>
        <v/>
      </c>
    </row>
    <row r="197">
      <c r="A197" s="392" t="n">
        <v>193</v>
      </c>
      <c r="B197" s="392" t="inlineStr">
        <is>
          <t>③スチコン工程入力</t>
        </is>
      </c>
      <c r="C197" s="392" t="n">
        <v>84</v>
      </c>
      <c r="D197" s="392">
        <f>③スチコン工程入力!C84</f>
        <v/>
      </c>
      <c r="E197" s="393">
        <f>③スチコン工程入力!I84</f>
        <v/>
      </c>
      <c r="F197" s="393">
        <f>③スチコン工程入力!J84</f>
        <v/>
      </c>
      <c r="G197" s="393">
        <f>③スチコン工程入力!M84</f>
        <v/>
      </c>
      <c r="H197" s="393">
        <f>③スチコン工程入力!N84</f>
        <v/>
      </c>
      <c r="I197" s="393">
        <f>③スチコン工程入力!O84</f>
        <v/>
      </c>
    </row>
    <row r="198">
      <c r="A198" s="392" t="n">
        <v>194</v>
      </c>
      <c r="B198" s="392" t="inlineStr">
        <is>
          <t>③スチコン工程入力</t>
        </is>
      </c>
      <c r="C198" s="392" t="n">
        <v>85</v>
      </c>
      <c r="D198" s="392">
        <f>③スチコン工程入力!C85</f>
        <v/>
      </c>
      <c r="E198" s="393">
        <f>③スチコン工程入力!I85</f>
        <v/>
      </c>
      <c r="F198" s="393">
        <f>③スチコン工程入力!J85</f>
        <v/>
      </c>
      <c r="G198" s="393">
        <f>③スチコン工程入力!M85</f>
        <v/>
      </c>
      <c r="H198" s="393">
        <f>③スチコン工程入力!N85</f>
        <v/>
      </c>
      <c r="I198" s="393">
        <f>③スチコン工程入力!O85</f>
        <v/>
      </c>
    </row>
    <row r="199">
      <c r="A199" s="392" t="n">
        <v>195</v>
      </c>
      <c r="B199" s="392" t="inlineStr">
        <is>
          <t>③スチコン工程入力</t>
        </is>
      </c>
      <c r="C199" s="392" t="n">
        <v>86</v>
      </c>
      <c r="D199" s="392">
        <f>③スチコン工程入力!C86</f>
        <v/>
      </c>
      <c r="E199" s="393">
        <f>③スチコン工程入力!I86</f>
        <v/>
      </c>
      <c r="F199" s="393">
        <f>③スチコン工程入力!J86</f>
        <v/>
      </c>
      <c r="G199" s="393">
        <f>③スチコン工程入力!M86</f>
        <v/>
      </c>
      <c r="H199" s="393">
        <f>③スチコン工程入力!N86</f>
        <v/>
      </c>
      <c r="I199" s="393">
        <f>③スチコン工程入力!O86</f>
        <v/>
      </c>
    </row>
    <row r="200">
      <c r="A200" s="392" t="n">
        <v>196</v>
      </c>
      <c r="B200" s="392" t="inlineStr">
        <is>
          <t>③スチコン工程入力</t>
        </is>
      </c>
      <c r="C200" s="392" t="n">
        <v>87</v>
      </c>
      <c r="D200" s="392">
        <f>③スチコン工程入力!C87</f>
        <v/>
      </c>
      <c r="E200" s="393">
        <f>③スチコン工程入力!I87</f>
        <v/>
      </c>
      <c r="F200" s="393">
        <f>③スチコン工程入力!J87</f>
        <v/>
      </c>
      <c r="G200" s="393">
        <f>③スチコン工程入力!M87</f>
        <v/>
      </c>
      <c r="H200" s="393">
        <f>③スチコン工程入力!N87</f>
        <v/>
      </c>
      <c r="I200" s="393">
        <f>③スチコン工程入力!O87</f>
        <v/>
      </c>
    </row>
    <row r="201">
      <c r="A201" s="392" t="n">
        <v>197</v>
      </c>
      <c r="B201" s="392" t="inlineStr">
        <is>
          <t>③スチコン工程入力</t>
        </is>
      </c>
      <c r="C201" s="392" t="n">
        <v>88</v>
      </c>
      <c r="D201" s="392">
        <f>③スチコン工程入力!C88</f>
        <v/>
      </c>
      <c r="E201" s="393">
        <f>③スチコン工程入力!I88</f>
        <v/>
      </c>
      <c r="F201" s="393">
        <f>③スチコン工程入力!J88</f>
        <v/>
      </c>
      <c r="G201" s="393">
        <f>③スチコン工程入力!M88</f>
        <v/>
      </c>
      <c r="H201" s="393">
        <f>③スチコン工程入力!N88</f>
        <v/>
      </c>
      <c r="I201" s="393">
        <f>③スチコン工程入力!O88</f>
        <v/>
      </c>
    </row>
    <row r="202">
      <c r="A202" s="392" t="n">
        <v>198</v>
      </c>
      <c r="B202" s="392" t="inlineStr">
        <is>
          <t>③スチコン工程入力</t>
        </is>
      </c>
      <c r="C202" s="392" t="n">
        <v>89</v>
      </c>
      <c r="D202" s="392">
        <f>③スチコン工程入力!C89</f>
        <v/>
      </c>
      <c r="E202" s="393">
        <f>③スチコン工程入力!I89</f>
        <v/>
      </c>
      <c r="F202" s="393">
        <f>③スチコン工程入力!J89</f>
        <v/>
      </c>
      <c r="G202" s="393">
        <f>③スチコン工程入力!M89</f>
        <v/>
      </c>
      <c r="H202" s="393">
        <f>③スチコン工程入力!N89</f>
        <v/>
      </c>
      <c r="I202" s="393">
        <f>③スチコン工程入力!O89</f>
        <v/>
      </c>
    </row>
    <row r="203">
      <c r="A203" s="392" t="n">
        <v>199</v>
      </c>
      <c r="B203" s="392" t="inlineStr">
        <is>
          <t>③スチコン工程入力</t>
        </is>
      </c>
      <c r="C203" s="392" t="n">
        <v>90</v>
      </c>
      <c r="D203" s="392">
        <f>③スチコン工程入力!C90</f>
        <v/>
      </c>
      <c r="E203" s="393">
        <f>③スチコン工程入力!I90</f>
        <v/>
      </c>
      <c r="F203" s="393">
        <f>③スチコン工程入力!J90</f>
        <v/>
      </c>
      <c r="G203" s="393">
        <f>③スチコン工程入力!M90</f>
        <v/>
      </c>
      <c r="H203" s="393">
        <f>③スチコン工程入力!N90</f>
        <v/>
      </c>
      <c r="I203" s="393">
        <f>③スチコン工程入力!O90</f>
        <v/>
      </c>
    </row>
    <row r="204">
      <c r="A204" s="392" t="n">
        <v>200</v>
      </c>
      <c r="B204" s="392" t="inlineStr">
        <is>
          <t>③スチコン工程入力</t>
        </is>
      </c>
      <c r="C204" s="392" t="n">
        <v>91</v>
      </c>
      <c r="D204" s="392">
        <f>③スチコン工程入力!C91</f>
        <v/>
      </c>
      <c r="E204" s="393">
        <f>③スチコン工程入力!I91</f>
        <v/>
      </c>
      <c r="F204" s="393">
        <f>③スチコン工程入力!J91</f>
        <v/>
      </c>
      <c r="G204" s="393">
        <f>③スチコン工程入力!M91</f>
        <v/>
      </c>
      <c r="H204" s="393">
        <f>③スチコン工程入力!N91</f>
        <v/>
      </c>
      <c r="I204" s="393">
        <f>③スチコン工程入力!O91</f>
        <v/>
      </c>
    </row>
    <row r="205">
      <c r="A205" s="392" t="n">
        <v>201</v>
      </c>
      <c r="B205" s="392" t="inlineStr">
        <is>
          <t>③スチコン工程入力</t>
        </is>
      </c>
      <c r="C205" s="392" t="n">
        <v>92</v>
      </c>
      <c r="D205" s="392">
        <f>③スチコン工程入力!C92</f>
        <v/>
      </c>
      <c r="E205" s="393">
        <f>③スチコン工程入力!I92</f>
        <v/>
      </c>
      <c r="F205" s="393">
        <f>③スチコン工程入力!J92</f>
        <v/>
      </c>
      <c r="G205" s="393">
        <f>③スチコン工程入力!M92</f>
        <v/>
      </c>
      <c r="H205" s="393">
        <f>③スチコン工程入力!N92</f>
        <v/>
      </c>
      <c r="I205" s="393">
        <f>③スチコン工程入力!O92</f>
        <v/>
      </c>
    </row>
    <row r="206">
      <c r="A206" s="392" t="n">
        <v>202</v>
      </c>
      <c r="B206" s="392" t="inlineStr">
        <is>
          <t>③スチコン工程入力</t>
        </is>
      </c>
      <c r="C206" s="392" t="n">
        <v>93</v>
      </c>
      <c r="D206" s="392">
        <f>③スチコン工程入力!C93</f>
        <v/>
      </c>
      <c r="E206" s="393">
        <f>③スチコン工程入力!I93</f>
        <v/>
      </c>
      <c r="F206" s="393">
        <f>③スチコン工程入力!J93</f>
        <v/>
      </c>
      <c r="G206" s="393">
        <f>③スチコン工程入力!M93</f>
        <v/>
      </c>
      <c r="H206" s="393">
        <f>③スチコン工程入力!N93</f>
        <v/>
      </c>
      <c r="I206" s="393">
        <f>③スチコン工程入力!O93</f>
        <v/>
      </c>
    </row>
    <row r="207">
      <c r="A207" s="392" t="n">
        <v>203</v>
      </c>
      <c r="B207" s="392" t="inlineStr">
        <is>
          <t>③スチコン工程入力</t>
        </is>
      </c>
      <c r="C207" s="392" t="n">
        <v>94</v>
      </c>
      <c r="D207" s="392">
        <f>③スチコン工程入力!C94</f>
        <v/>
      </c>
      <c r="E207" s="393">
        <f>③スチコン工程入力!I94</f>
        <v/>
      </c>
      <c r="F207" s="393">
        <f>③スチコン工程入力!J94</f>
        <v/>
      </c>
      <c r="G207" s="393">
        <f>③スチコン工程入力!M94</f>
        <v/>
      </c>
      <c r="H207" s="393">
        <f>③スチコン工程入力!N94</f>
        <v/>
      </c>
      <c r="I207" s="393">
        <f>③スチコン工程入力!O94</f>
        <v/>
      </c>
    </row>
    <row r="208">
      <c r="A208" s="392" t="n">
        <v>204</v>
      </c>
      <c r="B208" s="392" t="inlineStr">
        <is>
          <t>③スチコン工程入力</t>
        </is>
      </c>
      <c r="C208" s="392" t="n">
        <v>95</v>
      </c>
      <c r="D208" s="392">
        <f>③スチコン工程入力!C95</f>
        <v/>
      </c>
      <c r="E208" s="393">
        <f>③スチコン工程入力!I95</f>
        <v/>
      </c>
      <c r="F208" s="393">
        <f>③スチコン工程入力!J95</f>
        <v/>
      </c>
      <c r="G208" s="393">
        <f>③スチコン工程入力!M95</f>
        <v/>
      </c>
      <c r="H208" s="393">
        <f>③スチコン工程入力!N95</f>
        <v/>
      </c>
      <c r="I208" s="393">
        <f>③スチコン工程入力!O95</f>
        <v/>
      </c>
    </row>
    <row r="209">
      <c r="A209" s="392" t="n">
        <v>205</v>
      </c>
      <c r="B209" s="392" t="inlineStr">
        <is>
          <t>③スチコン工程入力</t>
        </is>
      </c>
      <c r="C209" s="392" t="n">
        <v>96</v>
      </c>
      <c r="D209" s="392">
        <f>③スチコン工程入力!C96</f>
        <v/>
      </c>
      <c r="E209" s="393">
        <f>③スチコン工程入力!I96</f>
        <v/>
      </c>
      <c r="F209" s="393">
        <f>③スチコン工程入力!J96</f>
        <v/>
      </c>
      <c r="G209" s="393">
        <f>③スチコン工程入力!M96</f>
        <v/>
      </c>
      <c r="H209" s="393">
        <f>③スチコン工程入力!N96</f>
        <v/>
      </c>
      <c r="I209" s="393">
        <f>③スチコン工程入力!O96</f>
        <v/>
      </c>
    </row>
    <row r="210">
      <c r="A210" s="392" t="n">
        <v>206</v>
      </c>
      <c r="B210" s="392" t="inlineStr">
        <is>
          <t>③スチコン工程入力</t>
        </is>
      </c>
      <c r="C210" s="392" t="n">
        <v>97</v>
      </c>
      <c r="D210" s="392">
        <f>③スチコン工程入力!C97</f>
        <v/>
      </c>
      <c r="E210" s="393">
        <f>③スチコン工程入力!I97</f>
        <v/>
      </c>
      <c r="F210" s="393">
        <f>③スチコン工程入力!J97</f>
        <v/>
      </c>
      <c r="G210" s="393">
        <f>③スチコン工程入力!M97</f>
        <v/>
      </c>
      <c r="H210" s="393">
        <f>③スチコン工程入力!N97</f>
        <v/>
      </c>
      <c r="I210" s="393">
        <f>③スチコン工程入力!O97</f>
        <v/>
      </c>
    </row>
    <row r="211">
      <c r="A211" s="392" t="n">
        <v>207</v>
      </c>
      <c r="B211" s="392" t="inlineStr">
        <is>
          <t>③スチコン工程入力</t>
        </is>
      </c>
      <c r="C211" s="392" t="n">
        <v>98</v>
      </c>
      <c r="D211" s="392">
        <f>③スチコン工程入力!C98</f>
        <v/>
      </c>
      <c r="E211" s="393">
        <f>③スチコン工程入力!I98</f>
        <v/>
      </c>
      <c r="F211" s="393">
        <f>③スチコン工程入力!J98</f>
        <v/>
      </c>
      <c r="G211" s="393">
        <f>③スチコン工程入力!M98</f>
        <v/>
      </c>
      <c r="H211" s="393">
        <f>③スチコン工程入力!N98</f>
        <v/>
      </c>
      <c r="I211" s="393">
        <f>③スチコン工程入力!O98</f>
        <v/>
      </c>
    </row>
    <row r="212">
      <c r="A212" s="392" t="n">
        <v>208</v>
      </c>
      <c r="B212" s="392" t="inlineStr">
        <is>
          <t>③スチコン工程入力</t>
        </is>
      </c>
      <c r="C212" s="392" t="n">
        <v>99</v>
      </c>
      <c r="D212" s="392">
        <f>③スチコン工程入力!C99</f>
        <v/>
      </c>
      <c r="E212" s="393">
        <f>③スチコン工程入力!I99</f>
        <v/>
      </c>
      <c r="F212" s="393">
        <f>③スチコン工程入力!J99</f>
        <v/>
      </c>
      <c r="G212" s="393">
        <f>③スチコン工程入力!M99</f>
        <v/>
      </c>
      <c r="H212" s="393">
        <f>③スチコン工程入力!N99</f>
        <v/>
      </c>
      <c r="I212" s="393">
        <f>③スチコン工程入力!O99</f>
        <v/>
      </c>
    </row>
    <row r="213">
      <c r="A213" s="392" t="n">
        <v>209</v>
      </c>
      <c r="B213" s="392" t="inlineStr">
        <is>
          <t>③スチコン工程入力</t>
        </is>
      </c>
      <c r="C213" s="392" t="n">
        <v>100</v>
      </c>
      <c r="D213" s="392">
        <f>③スチコン工程入力!C100</f>
        <v/>
      </c>
      <c r="E213" s="393">
        <f>③スチコン工程入力!I100</f>
        <v/>
      </c>
      <c r="F213" s="393">
        <f>③スチコン工程入力!J100</f>
        <v/>
      </c>
      <c r="G213" s="393">
        <f>③スチコン工程入力!M100</f>
        <v/>
      </c>
      <c r="H213" s="393">
        <f>③スチコン工程入力!N100</f>
        <v/>
      </c>
      <c r="I213" s="393">
        <f>③スチコン工程入力!O100</f>
        <v/>
      </c>
    </row>
    <row r="214">
      <c r="A214" s="392" t="n">
        <v>210</v>
      </c>
      <c r="B214" s="392" t="inlineStr">
        <is>
          <t>③スチコン工程入力</t>
        </is>
      </c>
      <c r="C214" s="392" t="n">
        <v>101</v>
      </c>
      <c r="D214" s="392">
        <f>③スチコン工程入力!C101</f>
        <v/>
      </c>
      <c r="E214" s="393">
        <f>③スチコン工程入力!I101</f>
        <v/>
      </c>
      <c r="F214" s="393">
        <f>③スチコン工程入力!J101</f>
        <v/>
      </c>
      <c r="G214" s="393">
        <f>③スチコン工程入力!M101</f>
        <v/>
      </c>
      <c r="H214" s="393">
        <f>③スチコン工程入力!N101</f>
        <v/>
      </c>
      <c r="I214" s="393">
        <f>③スチコン工程入力!O101</f>
        <v/>
      </c>
    </row>
    <row r="215">
      <c r="A215" s="392" t="n">
        <v>211</v>
      </c>
      <c r="B215" s="392" t="inlineStr">
        <is>
          <t>③スチコン工程入力</t>
        </is>
      </c>
      <c r="C215" s="392" t="n">
        <v>102</v>
      </c>
      <c r="D215" s="392">
        <f>③スチコン工程入力!C102</f>
        <v/>
      </c>
      <c r="E215" s="393">
        <f>③スチコン工程入力!I102</f>
        <v/>
      </c>
      <c r="F215" s="393">
        <f>③スチコン工程入力!J102</f>
        <v/>
      </c>
      <c r="G215" s="393">
        <f>③スチコン工程入力!M102</f>
        <v/>
      </c>
      <c r="H215" s="393">
        <f>③スチコン工程入力!N102</f>
        <v/>
      </c>
      <c r="I215" s="393">
        <f>③スチコン工程入力!O102</f>
        <v/>
      </c>
    </row>
    <row r="216">
      <c r="A216" s="392" t="n">
        <v>212</v>
      </c>
      <c r="B216" s="392" t="inlineStr">
        <is>
          <t>③スチコン工程入力</t>
        </is>
      </c>
      <c r="C216" s="392" t="n">
        <v>103</v>
      </c>
      <c r="D216" s="392">
        <f>③スチコン工程入力!C103</f>
        <v/>
      </c>
      <c r="E216" s="393">
        <f>③スチコン工程入力!I103</f>
        <v/>
      </c>
      <c r="F216" s="393">
        <f>③スチコン工程入力!J103</f>
        <v/>
      </c>
      <c r="G216" s="393">
        <f>③スチコン工程入力!M103</f>
        <v/>
      </c>
      <c r="H216" s="393">
        <f>③スチコン工程入力!N103</f>
        <v/>
      </c>
      <c r="I216" s="393">
        <f>③スチコン工程入力!O103</f>
        <v/>
      </c>
    </row>
    <row r="217">
      <c r="A217" s="392" t="n">
        <v>213</v>
      </c>
      <c r="B217" s="392" t="inlineStr">
        <is>
          <t>③スチコン工程入力</t>
        </is>
      </c>
      <c r="C217" s="392" t="n">
        <v>104</v>
      </c>
      <c r="D217" s="392">
        <f>③スチコン工程入力!C104</f>
        <v/>
      </c>
      <c r="E217" s="393">
        <f>③スチコン工程入力!I104</f>
        <v/>
      </c>
      <c r="F217" s="393">
        <f>③スチコン工程入力!J104</f>
        <v/>
      </c>
      <c r="G217" s="393">
        <f>③スチコン工程入力!M104</f>
        <v/>
      </c>
      <c r="H217" s="393">
        <f>③スチコン工程入力!N104</f>
        <v/>
      </c>
      <c r="I217" s="393">
        <f>③スチコン工程入力!O104</f>
        <v/>
      </c>
    </row>
    <row r="218">
      <c r="A218" s="392" t="n">
        <v>214</v>
      </c>
      <c r="B218" s="392" t="inlineStr">
        <is>
          <t>③スチコン工程入力</t>
        </is>
      </c>
      <c r="C218" s="392" t="n">
        <v>105</v>
      </c>
      <c r="D218" s="392">
        <f>③スチコン工程入力!C105</f>
        <v/>
      </c>
      <c r="E218" s="393">
        <f>③スチコン工程入力!I105</f>
        <v/>
      </c>
      <c r="F218" s="393">
        <f>③スチコン工程入力!J105</f>
        <v/>
      </c>
      <c r="G218" s="393">
        <f>③スチコン工程入力!M105</f>
        <v/>
      </c>
      <c r="H218" s="393">
        <f>③スチコン工程入力!N105</f>
        <v/>
      </c>
      <c r="I218" s="393">
        <f>③スチコン工程入力!O105</f>
        <v/>
      </c>
    </row>
    <row r="219">
      <c r="A219" s="392" t="n">
        <v>215</v>
      </c>
      <c r="B219" s="392" t="inlineStr">
        <is>
          <t>③スチコン工程入力</t>
        </is>
      </c>
      <c r="C219" s="392" t="n">
        <v>106</v>
      </c>
      <c r="D219" s="392">
        <f>③スチコン工程入力!C106</f>
        <v/>
      </c>
      <c r="E219" s="393">
        <f>③スチコン工程入力!I106</f>
        <v/>
      </c>
      <c r="F219" s="393">
        <f>③スチコン工程入力!J106</f>
        <v/>
      </c>
      <c r="G219" s="393">
        <f>③スチコン工程入力!M106</f>
        <v/>
      </c>
      <c r="H219" s="393">
        <f>③スチコン工程入力!N106</f>
        <v/>
      </c>
      <c r="I219" s="393">
        <f>③スチコン工程入力!O106</f>
        <v/>
      </c>
    </row>
    <row r="220">
      <c r="A220" s="392" t="n">
        <v>216</v>
      </c>
      <c r="B220" s="392" t="inlineStr">
        <is>
          <t>③スチコン工程入力</t>
        </is>
      </c>
      <c r="C220" s="392" t="n">
        <v>107</v>
      </c>
      <c r="D220" s="392">
        <f>③スチコン工程入力!C107</f>
        <v/>
      </c>
      <c r="E220" s="393">
        <f>③スチコン工程入力!I107</f>
        <v/>
      </c>
      <c r="F220" s="393">
        <f>③スチコン工程入力!J107</f>
        <v/>
      </c>
      <c r="G220" s="393">
        <f>③スチコン工程入力!M107</f>
        <v/>
      </c>
      <c r="H220" s="393">
        <f>③スチコン工程入力!N107</f>
        <v/>
      </c>
      <c r="I220" s="393">
        <f>③スチコン工程入力!O107</f>
        <v/>
      </c>
    </row>
    <row r="221">
      <c r="A221" s="392" t="n">
        <v>217</v>
      </c>
      <c r="B221" s="392" t="inlineStr">
        <is>
          <t>③スチコン工程入力</t>
        </is>
      </c>
      <c r="C221" s="392" t="n">
        <v>108</v>
      </c>
      <c r="D221" s="392">
        <f>③スチコン工程入力!C108</f>
        <v/>
      </c>
      <c r="E221" s="393">
        <f>③スチコン工程入力!I108</f>
        <v/>
      </c>
      <c r="F221" s="393">
        <f>③スチコン工程入力!J108</f>
        <v/>
      </c>
      <c r="G221" s="393">
        <f>③スチコン工程入力!M108</f>
        <v/>
      </c>
      <c r="H221" s="393">
        <f>③スチコン工程入力!N108</f>
        <v/>
      </c>
      <c r="I221" s="393">
        <f>③スチコン工程入力!O108</f>
        <v/>
      </c>
    </row>
    <row r="222">
      <c r="A222" s="392" t="n">
        <v>218</v>
      </c>
      <c r="B222" s="392" t="inlineStr">
        <is>
          <t>③スチコン工程入力</t>
        </is>
      </c>
      <c r="C222" s="392" t="n">
        <v>109</v>
      </c>
      <c r="D222" s="392">
        <f>③スチコン工程入力!C109</f>
        <v/>
      </c>
      <c r="E222" s="393">
        <f>③スチコン工程入力!I109</f>
        <v/>
      </c>
      <c r="F222" s="393">
        <f>③スチコン工程入力!J109</f>
        <v/>
      </c>
      <c r="G222" s="393">
        <f>③スチコン工程入力!M109</f>
        <v/>
      </c>
      <c r="H222" s="393">
        <f>③スチコン工程入力!N109</f>
        <v/>
      </c>
      <c r="I222" s="393">
        <f>③スチコン工程入力!O109</f>
        <v/>
      </c>
    </row>
    <row r="223">
      <c r="A223" s="392" t="n">
        <v>219</v>
      </c>
      <c r="B223" s="392" t="inlineStr">
        <is>
          <t>③スチコン工程入力</t>
        </is>
      </c>
      <c r="C223" s="392" t="n">
        <v>110</v>
      </c>
      <c r="D223" s="392">
        <f>③スチコン工程入力!C110</f>
        <v/>
      </c>
      <c r="E223" s="393">
        <f>③スチコン工程入力!I110</f>
        <v/>
      </c>
      <c r="F223" s="393">
        <f>③スチコン工程入力!J110</f>
        <v/>
      </c>
      <c r="G223" s="393">
        <f>③スチコン工程入力!M110</f>
        <v/>
      </c>
      <c r="H223" s="393">
        <f>③スチコン工程入力!N110</f>
        <v/>
      </c>
      <c r="I223" s="393">
        <f>③スチコン工程入力!O110</f>
        <v/>
      </c>
    </row>
    <row r="224">
      <c r="A224" s="392" t="n">
        <v>220</v>
      </c>
      <c r="B224" s="392" t="inlineStr">
        <is>
          <t>③スチコン工程入力</t>
        </is>
      </c>
      <c r="C224" s="392" t="n">
        <v>111</v>
      </c>
      <c r="D224" s="392">
        <f>③スチコン工程入力!C111</f>
        <v/>
      </c>
      <c r="E224" s="393">
        <f>③スチコン工程入力!I111</f>
        <v/>
      </c>
      <c r="F224" s="393">
        <f>③スチコン工程入力!J111</f>
        <v/>
      </c>
      <c r="G224" s="393">
        <f>③スチコン工程入力!M111</f>
        <v/>
      </c>
      <c r="H224" s="393">
        <f>③スチコン工程入力!N111</f>
        <v/>
      </c>
      <c r="I224" s="393">
        <f>③スチコン工程入力!O111</f>
        <v/>
      </c>
    </row>
    <row r="225">
      <c r="A225" s="392" t="n">
        <v>221</v>
      </c>
      <c r="B225" s="392" t="inlineStr">
        <is>
          <t>③スチコン工程入力</t>
        </is>
      </c>
      <c r="C225" s="392" t="n">
        <v>112</v>
      </c>
      <c r="D225" s="392">
        <f>③スチコン工程入力!C112</f>
        <v/>
      </c>
      <c r="E225" s="393">
        <f>③スチコン工程入力!I112</f>
        <v/>
      </c>
      <c r="F225" s="393">
        <f>③スチコン工程入力!J112</f>
        <v/>
      </c>
      <c r="G225" s="393">
        <f>③スチコン工程入力!M112</f>
        <v/>
      </c>
      <c r="H225" s="393">
        <f>③スチコン工程入力!N112</f>
        <v/>
      </c>
      <c r="I225" s="393">
        <f>③スチコン工程入力!O112</f>
        <v/>
      </c>
    </row>
    <row r="226">
      <c r="A226" s="392" t="n">
        <v>222</v>
      </c>
      <c r="B226" s="392" t="inlineStr">
        <is>
          <t>③スチコン工程入力</t>
        </is>
      </c>
      <c r="C226" s="392" t="n">
        <v>113</v>
      </c>
      <c r="D226" s="392">
        <f>③スチコン工程入力!C113</f>
        <v/>
      </c>
      <c r="E226" s="393">
        <f>③スチコン工程入力!I113</f>
        <v/>
      </c>
      <c r="F226" s="393">
        <f>③スチコン工程入力!J113</f>
        <v/>
      </c>
      <c r="G226" s="393">
        <f>③スチコン工程入力!M113</f>
        <v/>
      </c>
      <c r="H226" s="393">
        <f>③スチコン工程入力!N113</f>
        <v/>
      </c>
      <c r="I226" s="393">
        <f>③スチコン工程入力!O113</f>
        <v/>
      </c>
    </row>
    <row r="227">
      <c r="A227" s="392" t="n">
        <v>223</v>
      </c>
      <c r="B227" s="392" t="inlineStr">
        <is>
          <t>③スチコン工程入力</t>
        </is>
      </c>
      <c r="C227" s="392" t="n">
        <v>114</v>
      </c>
      <c r="D227" s="392">
        <f>③スチコン工程入力!C114</f>
        <v/>
      </c>
      <c r="E227" s="393">
        <f>③スチコン工程入力!I114</f>
        <v/>
      </c>
      <c r="F227" s="393">
        <f>③スチコン工程入力!J114</f>
        <v/>
      </c>
      <c r="G227" s="393">
        <f>③スチコン工程入力!M114</f>
        <v/>
      </c>
      <c r="H227" s="393">
        <f>③スチコン工程入力!N114</f>
        <v/>
      </c>
      <c r="I227" s="393">
        <f>③スチコン工程入力!O114</f>
        <v/>
      </c>
    </row>
    <row r="228">
      <c r="A228" s="392" t="n">
        <v>224</v>
      </c>
      <c r="B228" s="392" t="inlineStr">
        <is>
          <t>③スチコン工程入力</t>
        </is>
      </c>
      <c r="C228" s="392" t="n">
        <v>115</v>
      </c>
      <c r="D228" s="392">
        <f>③スチコン工程入力!C115</f>
        <v/>
      </c>
      <c r="E228" s="393">
        <f>③スチコン工程入力!I115</f>
        <v/>
      </c>
      <c r="F228" s="393">
        <f>③スチコン工程入力!J115</f>
        <v/>
      </c>
      <c r="G228" s="393">
        <f>③スチコン工程入力!M115</f>
        <v/>
      </c>
      <c r="H228" s="393">
        <f>③スチコン工程入力!N115</f>
        <v/>
      </c>
      <c r="I228" s="393">
        <f>③スチコン工程入力!O115</f>
        <v/>
      </c>
    </row>
    <row r="229">
      <c r="A229" s="392" t="n">
        <v>225</v>
      </c>
      <c r="B229" s="392" t="inlineStr">
        <is>
          <t>③スチコン工程入力</t>
        </is>
      </c>
      <c r="C229" s="392" t="n">
        <v>116</v>
      </c>
      <c r="D229" s="392">
        <f>③スチコン工程入力!C116</f>
        <v/>
      </c>
      <c r="E229" s="393">
        <f>③スチコン工程入力!I116</f>
        <v/>
      </c>
      <c r="F229" s="393">
        <f>③スチコン工程入力!J116</f>
        <v/>
      </c>
      <c r="G229" s="393">
        <f>③スチコン工程入力!M116</f>
        <v/>
      </c>
      <c r="H229" s="393">
        <f>③スチコン工程入力!N116</f>
        <v/>
      </c>
      <c r="I229" s="393">
        <f>③スチコン工程入力!O116</f>
        <v/>
      </c>
    </row>
    <row r="230">
      <c r="A230" s="392" t="n">
        <v>226</v>
      </c>
      <c r="B230" s="392" t="inlineStr">
        <is>
          <t>③スチコン工程入力</t>
        </is>
      </c>
      <c r="C230" s="392" t="n">
        <v>117</v>
      </c>
      <c r="D230" s="392">
        <f>③スチコン工程入力!C117</f>
        <v/>
      </c>
      <c r="E230" s="393">
        <f>③スチコン工程入力!I117</f>
        <v/>
      </c>
      <c r="F230" s="393">
        <f>③スチコン工程入力!J117</f>
        <v/>
      </c>
      <c r="G230" s="393">
        <f>③スチコン工程入力!M117</f>
        <v/>
      </c>
      <c r="H230" s="393">
        <f>③スチコン工程入力!N117</f>
        <v/>
      </c>
      <c r="I230" s="393">
        <f>③スチコン工程入力!O117</f>
        <v/>
      </c>
    </row>
    <row r="231">
      <c r="A231" s="392" t="n">
        <v>227</v>
      </c>
      <c r="B231" s="392" t="inlineStr">
        <is>
          <t>③スチコン工程入力</t>
        </is>
      </c>
      <c r="C231" s="392" t="n">
        <v>118</v>
      </c>
      <c r="D231" s="392">
        <f>③スチコン工程入力!C118</f>
        <v/>
      </c>
      <c r="E231" s="393">
        <f>③スチコン工程入力!I118</f>
        <v/>
      </c>
      <c r="F231" s="393">
        <f>③スチコン工程入力!J118</f>
        <v/>
      </c>
      <c r="G231" s="393">
        <f>③スチコン工程入力!M118</f>
        <v/>
      </c>
      <c r="H231" s="393">
        <f>③スチコン工程入力!N118</f>
        <v/>
      </c>
      <c r="I231" s="393">
        <f>③スチコン工程入力!O118</f>
        <v/>
      </c>
    </row>
    <row r="232">
      <c r="A232" s="392" t="n">
        <v>228</v>
      </c>
      <c r="B232" s="392" t="inlineStr">
        <is>
          <t>③スチコン工程入力</t>
        </is>
      </c>
      <c r="C232" s="392" t="n">
        <v>119</v>
      </c>
      <c r="D232" s="392">
        <f>③スチコン工程入力!C119</f>
        <v/>
      </c>
      <c r="E232" s="393">
        <f>③スチコン工程入力!I119</f>
        <v/>
      </c>
      <c r="F232" s="393">
        <f>③スチコン工程入力!J119</f>
        <v/>
      </c>
      <c r="G232" s="393">
        <f>③スチコン工程入力!M119</f>
        <v/>
      </c>
      <c r="H232" s="393">
        <f>③スチコン工程入力!N119</f>
        <v/>
      </c>
      <c r="I232" s="393">
        <f>③スチコン工程入力!O119</f>
        <v/>
      </c>
    </row>
    <row r="233">
      <c r="A233" s="392" t="n">
        <v>229</v>
      </c>
      <c r="B233" s="392" t="inlineStr">
        <is>
          <t>③スチコン工程入力</t>
        </is>
      </c>
      <c r="C233" s="392" t="n">
        <v>120</v>
      </c>
      <c r="D233" s="392">
        <f>③スチコン工程入力!C120</f>
        <v/>
      </c>
      <c r="E233" s="393">
        <f>③スチコン工程入力!I120</f>
        <v/>
      </c>
      <c r="F233" s="393">
        <f>③スチコン工程入力!J120</f>
        <v/>
      </c>
      <c r="G233" s="393">
        <f>③スチコン工程入力!M120</f>
        <v/>
      </c>
      <c r="H233" s="393">
        <f>③スチコン工程入力!N120</f>
        <v/>
      </c>
      <c r="I233" s="393">
        <f>③スチコン工程入力!O120</f>
        <v/>
      </c>
    </row>
    <row r="234">
      <c r="A234" s="392" t="n">
        <v>230</v>
      </c>
      <c r="B234" s="392" t="inlineStr">
        <is>
          <t>③スチコン工程入力</t>
        </is>
      </c>
      <c r="C234" s="392" t="n">
        <v>121</v>
      </c>
      <c r="D234" s="392">
        <f>③スチコン工程入力!C121</f>
        <v/>
      </c>
      <c r="E234" s="393">
        <f>③スチコン工程入力!I121</f>
        <v/>
      </c>
      <c r="F234" s="393">
        <f>③スチコン工程入力!J121</f>
        <v/>
      </c>
      <c r="G234" s="393">
        <f>③スチコン工程入力!M121</f>
        <v/>
      </c>
      <c r="H234" s="393">
        <f>③スチコン工程入力!N121</f>
        <v/>
      </c>
      <c r="I234" s="393">
        <f>③スチコン工程入力!O121</f>
        <v/>
      </c>
    </row>
    <row r="235">
      <c r="A235" s="392" t="n">
        <v>231</v>
      </c>
      <c r="B235" s="392" t="inlineStr">
        <is>
          <t>③スチコン工程入力</t>
        </is>
      </c>
      <c r="C235" s="392" t="n">
        <v>122</v>
      </c>
      <c r="D235" s="392">
        <f>③スチコン工程入力!C122</f>
        <v/>
      </c>
      <c r="E235" s="393">
        <f>③スチコン工程入力!I122</f>
        <v/>
      </c>
      <c r="F235" s="393">
        <f>③スチコン工程入力!J122</f>
        <v/>
      </c>
      <c r="G235" s="393">
        <f>③スチコン工程入力!M122</f>
        <v/>
      </c>
      <c r="H235" s="393">
        <f>③スチコン工程入力!N122</f>
        <v/>
      </c>
      <c r="I235" s="393">
        <f>③スチコン工程入力!O122</f>
        <v/>
      </c>
    </row>
    <row r="236">
      <c r="A236" s="392" t="n">
        <v>232</v>
      </c>
      <c r="B236" s="392" t="inlineStr">
        <is>
          <t>③スチコン工程入力</t>
        </is>
      </c>
      <c r="C236" s="392" t="n">
        <v>123</v>
      </c>
      <c r="D236" s="392">
        <f>③スチコン工程入力!C123</f>
        <v/>
      </c>
      <c r="E236" s="393">
        <f>③スチコン工程入力!I123</f>
        <v/>
      </c>
      <c r="F236" s="393">
        <f>③スチコン工程入力!J123</f>
        <v/>
      </c>
      <c r="G236" s="393">
        <f>③スチコン工程入力!M123</f>
        <v/>
      </c>
      <c r="H236" s="393">
        <f>③スチコン工程入力!N123</f>
        <v/>
      </c>
      <c r="I236" s="393">
        <f>③スチコン工程入力!O123</f>
        <v/>
      </c>
    </row>
    <row r="237">
      <c r="A237" s="392" t="n">
        <v>233</v>
      </c>
      <c r="B237" s="392" t="inlineStr">
        <is>
          <t>③スチコン工程入力</t>
        </is>
      </c>
      <c r="C237" s="392" t="n">
        <v>124</v>
      </c>
      <c r="D237" s="392">
        <f>③スチコン工程入力!C124</f>
        <v/>
      </c>
      <c r="E237" s="393">
        <f>③スチコン工程入力!I124</f>
        <v/>
      </c>
      <c r="F237" s="393">
        <f>③スチコン工程入力!J124</f>
        <v/>
      </c>
      <c r="G237" s="393">
        <f>③スチコン工程入力!M124</f>
        <v/>
      </c>
      <c r="H237" s="393">
        <f>③スチコン工程入力!N124</f>
        <v/>
      </c>
      <c r="I237" s="393">
        <f>③スチコン工程入力!O124</f>
        <v/>
      </c>
    </row>
    <row r="238">
      <c r="A238" s="392" t="n">
        <v>234</v>
      </c>
      <c r="B238" s="392" t="inlineStr">
        <is>
          <t>③スチコン工程入力</t>
        </is>
      </c>
      <c r="C238" s="392" t="n">
        <v>125</v>
      </c>
      <c r="D238" s="392">
        <f>③スチコン工程入力!C125</f>
        <v/>
      </c>
      <c r="E238" s="393">
        <f>③スチコン工程入力!I125</f>
        <v/>
      </c>
      <c r="F238" s="393">
        <f>③スチコン工程入力!J125</f>
        <v/>
      </c>
      <c r="G238" s="393">
        <f>③スチコン工程入力!M125</f>
        <v/>
      </c>
      <c r="H238" s="393">
        <f>③スチコン工程入力!N125</f>
        <v/>
      </c>
      <c r="I238" s="393">
        <f>③スチコン工程入力!O125</f>
        <v/>
      </c>
    </row>
    <row r="239">
      <c r="A239" s="392" t="n">
        <v>235</v>
      </c>
      <c r="B239" s="392" t="inlineStr">
        <is>
          <t>③スチコン工程入力</t>
        </is>
      </c>
      <c r="C239" s="392" t="n">
        <v>126</v>
      </c>
      <c r="D239" s="392">
        <f>③スチコン工程入力!C126</f>
        <v/>
      </c>
      <c r="E239" s="393">
        <f>③スチコン工程入力!I126</f>
        <v/>
      </c>
      <c r="F239" s="393">
        <f>③スチコン工程入力!J126</f>
        <v/>
      </c>
      <c r="G239" s="393">
        <f>③スチコン工程入力!M126</f>
        <v/>
      </c>
      <c r="H239" s="393">
        <f>③スチコン工程入力!N126</f>
        <v/>
      </c>
      <c r="I239" s="393">
        <f>③スチコン工程入力!O126</f>
        <v/>
      </c>
    </row>
    <row r="240">
      <c r="A240" s="392" t="n">
        <v>236</v>
      </c>
      <c r="B240" s="392" t="inlineStr">
        <is>
          <t>③スチコン工程入力</t>
        </is>
      </c>
      <c r="C240" s="392" t="n">
        <v>127</v>
      </c>
      <c r="D240" s="392">
        <f>③スチコン工程入力!C127</f>
        <v/>
      </c>
      <c r="E240" s="393">
        <f>③スチコン工程入力!I127</f>
        <v/>
      </c>
      <c r="F240" s="393">
        <f>③スチコン工程入力!J127</f>
        <v/>
      </c>
      <c r="G240" s="393">
        <f>③スチコン工程入力!M127</f>
        <v/>
      </c>
      <c r="H240" s="393">
        <f>③スチコン工程入力!N127</f>
        <v/>
      </c>
      <c r="I240" s="393">
        <f>③スチコン工程入力!O127</f>
        <v/>
      </c>
    </row>
    <row r="241">
      <c r="A241" s="392" t="n">
        <v>237</v>
      </c>
      <c r="B241" s="392" t="inlineStr">
        <is>
          <t>③スチコン工程入力</t>
        </is>
      </c>
      <c r="C241" s="392" t="n">
        <v>128</v>
      </c>
      <c r="D241" s="392">
        <f>③スチコン工程入力!C128</f>
        <v/>
      </c>
      <c r="E241" s="393">
        <f>③スチコン工程入力!I128</f>
        <v/>
      </c>
      <c r="F241" s="393">
        <f>③スチコン工程入力!J128</f>
        <v/>
      </c>
      <c r="G241" s="393">
        <f>③スチコン工程入力!M128</f>
        <v/>
      </c>
      <c r="H241" s="393">
        <f>③スチコン工程入力!N128</f>
        <v/>
      </c>
      <c r="I241" s="393">
        <f>③スチコン工程入力!O128</f>
        <v/>
      </c>
    </row>
    <row r="242">
      <c r="A242" s="392" t="n">
        <v>238</v>
      </c>
      <c r="B242" s="392" t="inlineStr">
        <is>
          <t>③スチコン工程入力</t>
        </is>
      </c>
      <c r="C242" s="392" t="n">
        <v>129</v>
      </c>
      <c r="D242" s="392">
        <f>③スチコン工程入力!C129</f>
        <v/>
      </c>
      <c r="E242" s="393">
        <f>③スチコン工程入力!I129</f>
        <v/>
      </c>
      <c r="F242" s="393">
        <f>③スチコン工程入力!J129</f>
        <v/>
      </c>
      <c r="G242" s="393">
        <f>③スチコン工程入力!M129</f>
        <v/>
      </c>
      <c r="H242" s="393">
        <f>③スチコン工程入力!N129</f>
        <v/>
      </c>
      <c r="I242" s="393">
        <f>③スチコン工程入力!O129</f>
        <v/>
      </c>
    </row>
    <row r="243">
      <c r="A243" s="392" t="n">
        <v>239</v>
      </c>
      <c r="B243" s="392" t="inlineStr">
        <is>
          <t>③スチコン工程入力</t>
        </is>
      </c>
      <c r="C243" s="392" t="n">
        <v>130</v>
      </c>
      <c r="D243" s="392">
        <f>③スチコン工程入力!C130</f>
        <v/>
      </c>
      <c r="E243" s="393">
        <f>③スチコン工程入力!I130</f>
        <v/>
      </c>
      <c r="F243" s="393">
        <f>③スチコン工程入力!J130</f>
        <v/>
      </c>
      <c r="G243" s="393">
        <f>③スチコン工程入力!M130</f>
        <v/>
      </c>
      <c r="H243" s="393">
        <f>③スチコン工程入力!N130</f>
        <v/>
      </c>
      <c r="I243" s="393">
        <f>③スチコン工程入力!O130</f>
        <v/>
      </c>
    </row>
    <row r="244">
      <c r="A244" s="392" t="n">
        <v>240</v>
      </c>
      <c r="B244" s="392" t="inlineStr">
        <is>
          <t>③スチコン工程入力</t>
        </is>
      </c>
      <c r="C244" s="392" t="n">
        <v>131</v>
      </c>
      <c r="D244" s="392">
        <f>③スチコン工程入力!C131</f>
        <v/>
      </c>
      <c r="E244" s="393">
        <f>③スチコン工程入力!I131</f>
        <v/>
      </c>
      <c r="F244" s="393">
        <f>③スチコン工程入力!J131</f>
        <v/>
      </c>
      <c r="G244" s="393">
        <f>③スチコン工程入力!M131</f>
        <v/>
      </c>
      <c r="H244" s="393">
        <f>③スチコン工程入力!N131</f>
        <v/>
      </c>
      <c r="I244" s="393">
        <f>③スチコン工程入力!O131</f>
        <v/>
      </c>
    </row>
    <row r="245">
      <c r="A245" s="392" t="n">
        <v>241</v>
      </c>
      <c r="B245" s="392" t="inlineStr">
        <is>
          <t>③スチコン工程入力</t>
        </is>
      </c>
      <c r="C245" s="392" t="n">
        <v>132</v>
      </c>
      <c r="D245" s="392">
        <f>③スチコン工程入力!C132</f>
        <v/>
      </c>
      <c r="E245" s="393">
        <f>③スチコン工程入力!I132</f>
        <v/>
      </c>
      <c r="F245" s="393">
        <f>③スチコン工程入力!J132</f>
        <v/>
      </c>
      <c r="G245" s="393">
        <f>③スチコン工程入力!M132</f>
        <v/>
      </c>
      <c r="H245" s="393">
        <f>③スチコン工程入力!N132</f>
        <v/>
      </c>
      <c r="I245" s="393">
        <f>③スチコン工程入力!O132</f>
        <v/>
      </c>
    </row>
    <row r="246">
      <c r="A246" s="392" t="n">
        <v>242</v>
      </c>
      <c r="B246" s="392" t="inlineStr">
        <is>
          <t>③スチコン工程入力</t>
        </is>
      </c>
      <c r="C246" s="392" t="n">
        <v>133</v>
      </c>
      <c r="D246" s="392">
        <f>③スチコン工程入力!C133</f>
        <v/>
      </c>
      <c r="E246" s="393">
        <f>③スチコン工程入力!I133</f>
        <v/>
      </c>
      <c r="F246" s="393">
        <f>③スチコン工程入力!J133</f>
        <v/>
      </c>
      <c r="G246" s="393">
        <f>③スチコン工程入力!M133</f>
        <v/>
      </c>
      <c r="H246" s="393">
        <f>③スチコン工程入力!N133</f>
        <v/>
      </c>
      <c r="I246" s="393">
        <f>③スチコン工程入力!O133</f>
        <v/>
      </c>
    </row>
    <row r="247">
      <c r="A247" s="392" t="n">
        <v>243</v>
      </c>
      <c r="B247" s="392" t="inlineStr">
        <is>
          <t>③スチコン工程入力</t>
        </is>
      </c>
      <c r="C247" s="392" t="n">
        <v>134</v>
      </c>
      <c r="D247" s="392">
        <f>③スチコン工程入力!C134</f>
        <v/>
      </c>
      <c r="E247" s="393">
        <f>③スチコン工程入力!I134</f>
        <v/>
      </c>
      <c r="F247" s="393">
        <f>③スチコン工程入力!J134</f>
        <v/>
      </c>
      <c r="G247" s="393">
        <f>③スチコン工程入力!M134</f>
        <v/>
      </c>
      <c r="H247" s="393">
        <f>③スチコン工程入力!N134</f>
        <v/>
      </c>
      <c r="I247" s="393">
        <f>③スチコン工程入力!O134</f>
        <v/>
      </c>
    </row>
    <row r="248">
      <c r="A248" s="392" t="n">
        <v>244</v>
      </c>
      <c r="B248" s="392" t="inlineStr">
        <is>
          <t>③スチコン工程入力</t>
        </is>
      </c>
      <c r="C248" s="392" t="n">
        <v>135</v>
      </c>
      <c r="D248" s="392">
        <f>③スチコン工程入力!C135</f>
        <v/>
      </c>
      <c r="E248" s="393">
        <f>③スチコン工程入力!I135</f>
        <v/>
      </c>
      <c r="F248" s="393">
        <f>③スチコン工程入力!J135</f>
        <v/>
      </c>
      <c r="G248" s="393">
        <f>③スチコン工程入力!M135</f>
        <v/>
      </c>
      <c r="H248" s="393">
        <f>③スチコン工程入力!N135</f>
        <v/>
      </c>
      <c r="I248" s="393">
        <f>③スチコン工程入力!O135</f>
        <v/>
      </c>
    </row>
    <row r="249">
      <c r="A249" s="392" t="n">
        <v>245</v>
      </c>
      <c r="B249" s="392" t="inlineStr">
        <is>
          <t>③スチコン工程入力</t>
        </is>
      </c>
      <c r="C249" s="392" t="n">
        <v>136</v>
      </c>
      <c r="D249" s="392">
        <f>③スチコン工程入力!C136</f>
        <v/>
      </c>
      <c r="E249" s="393">
        <f>③スチコン工程入力!I136</f>
        <v/>
      </c>
      <c r="F249" s="393">
        <f>③スチコン工程入力!J136</f>
        <v/>
      </c>
      <c r="G249" s="393">
        <f>③スチコン工程入力!M136</f>
        <v/>
      </c>
      <c r="H249" s="393">
        <f>③スチコン工程入力!N136</f>
        <v/>
      </c>
      <c r="I249" s="393">
        <f>③スチコン工程入力!O136</f>
        <v/>
      </c>
    </row>
    <row r="250">
      <c r="A250" s="392" t="n">
        <v>246</v>
      </c>
      <c r="B250" s="392" t="inlineStr">
        <is>
          <t>③スチコン工程入力</t>
        </is>
      </c>
      <c r="C250" s="392" t="n">
        <v>137</v>
      </c>
      <c r="D250" s="392">
        <f>③スチコン工程入力!C137</f>
        <v/>
      </c>
      <c r="E250" s="393">
        <f>③スチコン工程入力!I137</f>
        <v/>
      </c>
      <c r="F250" s="393">
        <f>③スチコン工程入力!J137</f>
        <v/>
      </c>
      <c r="G250" s="393">
        <f>③スチコン工程入力!M137</f>
        <v/>
      </c>
      <c r="H250" s="393">
        <f>③スチコン工程入力!N137</f>
        <v/>
      </c>
      <c r="I250" s="393">
        <f>③スチコン工程入力!O137</f>
        <v/>
      </c>
    </row>
    <row r="251">
      <c r="A251" s="392" t="n">
        <v>247</v>
      </c>
      <c r="B251" s="392" t="inlineStr">
        <is>
          <t>③スチコン工程入力</t>
        </is>
      </c>
      <c r="C251" s="392" t="n">
        <v>138</v>
      </c>
      <c r="D251" s="392">
        <f>③スチコン工程入力!C138</f>
        <v/>
      </c>
      <c r="E251" s="393">
        <f>③スチコン工程入力!I138</f>
        <v/>
      </c>
      <c r="F251" s="393">
        <f>③スチコン工程入力!J138</f>
        <v/>
      </c>
      <c r="G251" s="393">
        <f>③スチコン工程入力!M138</f>
        <v/>
      </c>
      <c r="H251" s="393">
        <f>③スチコン工程入力!N138</f>
        <v/>
      </c>
      <c r="I251" s="393">
        <f>③スチコン工程入力!O138</f>
        <v/>
      </c>
    </row>
    <row r="252">
      <c r="A252" s="392" t="n">
        <v>248</v>
      </c>
      <c r="B252" s="392" t="inlineStr">
        <is>
          <t>③スチコン工程入力</t>
        </is>
      </c>
      <c r="C252" s="392" t="n">
        <v>139</v>
      </c>
      <c r="D252" s="392">
        <f>③スチコン工程入力!C139</f>
        <v/>
      </c>
      <c r="E252" s="393">
        <f>③スチコン工程入力!I139</f>
        <v/>
      </c>
      <c r="F252" s="393">
        <f>③スチコン工程入力!J139</f>
        <v/>
      </c>
      <c r="G252" s="393">
        <f>③スチコン工程入力!M139</f>
        <v/>
      </c>
      <c r="H252" s="393">
        <f>③スチコン工程入力!N139</f>
        <v/>
      </c>
      <c r="I252" s="393">
        <f>③スチコン工程入力!O139</f>
        <v/>
      </c>
    </row>
    <row r="253">
      <c r="A253" s="392" t="n">
        <v>249</v>
      </c>
      <c r="B253" s="392" t="inlineStr">
        <is>
          <t>③スチコン工程入力</t>
        </is>
      </c>
      <c r="C253" s="392" t="n">
        <v>140</v>
      </c>
      <c r="D253" s="392">
        <f>③スチコン工程入力!C140</f>
        <v/>
      </c>
      <c r="E253" s="393">
        <f>③スチコン工程入力!I140</f>
        <v/>
      </c>
      <c r="F253" s="393">
        <f>③スチコン工程入力!J140</f>
        <v/>
      </c>
      <c r="G253" s="393">
        <f>③スチコン工程入力!M140</f>
        <v/>
      </c>
      <c r="H253" s="393">
        <f>③スチコン工程入力!N140</f>
        <v/>
      </c>
      <c r="I253" s="393">
        <f>③スチコン工程入力!O140</f>
        <v/>
      </c>
    </row>
    <row r="254">
      <c r="A254" s="392" t="n">
        <v>250</v>
      </c>
      <c r="B254" s="392" t="inlineStr">
        <is>
          <t>③スチコン工程入力</t>
        </is>
      </c>
      <c r="C254" s="392" t="n">
        <v>141</v>
      </c>
      <c r="D254" s="392">
        <f>③スチコン工程入力!C141</f>
        <v/>
      </c>
      <c r="E254" s="393">
        <f>③スチコン工程入力!I141</f>
        <v/>
      </c>
      <c r="F254" s="393">
        <f>③スチコン工程入力!J141</f>
        <v/>
      </c>
      <c r="G254" s="393">
        <f>③スチコン工程入力!M141</f>
        <v/>
      </c>
      <c r="H254" s="393">
        <f>③スチコン工程入力!N141</f>
        <v/>
      </c>
      <c r="I254" s="393">
        <f>③スチコン工程入力!O141</f>
        <v/>
      </c>
    </row>
    <row r="255">
      <c r="A255" s="392" t="n">
        <v>251</v>
      </c>
      <c r="B255" s="392" t="inlineStr">
        <is>
          <t>③スチコン工程入力</t>
        </is>
      </c>
      <c r="C255" s="392" t="n">
        <v>142</v>
      </c>
      <c r="D255" s="392">
        <f>③スチコン工程入力!C142</f>
        <v/>
      </c>
      <c r="E255" s="393">
        <f>③スチコン工程入力!I142</f>
        <v/>
      </c>
      <c r="F255" s="393">
        <f>③スチコン工程入力!J142</f>
        <v/>
      </c>
      <c r="G255" s="393">
        <f>③スチコン工程入力!M142</f>
        <v/>
      </c>
      <c r="H255" s="393">
        <f>③スチコン工程入力!N142</f>
        <v/>
      </c>
      <c r="I255" s="393">
        <f>③スチコン工程入力!O142</f>
        <v/>
      </c>
    </row>
    <row r="256">
      <c r="A256" s="392" t="n">
        <v>252</v>
      </c>
      <c r="B256" s="392" t="inlineStr">
        <is>
          <t>③スチコン工程入力</t>
        </is>
      </c>
      <c r="C256" s="392" t="n">
        <v>143</v>
      </c>
      <c r="D256" s="392">
        <f>③スチコン工程入力!C143</f>
        <v/>
      </c>
      <c r="E256" s="393">
        <f>③スチコン工程入力!I143</f>
        <v/>
      </c>
      <c r="F256" s="393">
        <f>③スチコン工程入力!J143</f>
        <v/>
      </c>
      <c r="G256" s="393">
        <f>③スチコン工程入力!M143</f>
        <v/>
      </c>
      <c r="H256" s="393">
        <f>③スチコン工程入力!N143</f>
        <v/>
      </c>
      <c r="I256" s="393">
        <f>③スチコン工程入力!O143</f>
        <v/>
      </c>
    </row>
    <row r="257">
      <c r="A257" s="392" t="n">
        <v>253</v>
      </c>
      <c r="B257" s="392" t="inlineStr">
        <is>
          <t>③スチコン工程入力</t>
        </is>
      </c>
      <c r="C257" s="392" t="n">
        <v>144</v>
      </c>
      <c r="D257" s="392">
        <f>③スチコン工程入力!C144</f>
        <v/>
      </c>
      <c r="E257" s="393">
        <f>③スチコン工程入力!I144</f>
        <v/>
      </c>
      <c r="F257" s="393">
        <f>③スチコン工程入力!J144</f>
        <v/>
      </c>
      <c r="G257" s="393">
        <f>③スチコン工程入力!M144</f>
        <v/>
      </c>
      <c r="H257" s="393">
        <f>③スチコン工程入力!N144</f>
        <v/>
      </c>
      <c r="I257" s="393">
        <f>③スチコン工程入力!O144</f>
        <v/>
      </c>
    </row>
    <row r="258">
      <c r="A258" s="392" t="n">
        <v>254</v>
      </c>
      <c r="B258" s="392" t="inlineStr">
        <is>
          <t>③スチコン工程入力</t>
        </is>
      </c>
      <c r="C258" s="392" t="n">
        <v>145</v>
      </c>
      <c r="D258" s="392">
        <f>③スチコン工程入力!C145</f>
        <v/>
      </c>
      <c r="E258" s="393">
        <f>③スチコン工程入力!I145</f>
        <v/>
      </c>
      <c r="F258" s="393">
        <f>③スチコン工程入力!J145</f>
        <v/>
      </c>
      <c r="G258" s="393">
        <f>③スチコン工程入力!M145</f>
        <v/>
      </c>
      <c r="H258" s="393">
        <f>③スチコン工程入力!N145</f>
        <v/>
      </c>
      <c r="I258" s="393">
        <f>③スチコン工程入力!O145</f>
        <v/>
      </c>
    </row>
    <row r="259">
      <c r="A259" s="392" t="n">
        <v>255</v>
      </c>
      <c r="B259" s="392" t="inlineStr">
        <is>
          <t>③スチコン工程入力</t>
        </is>
      </c>
      <c r="C259" s="392" t="n">
        <v>146</v>
      </c>
      <c r="D259" s="392">
        <f>③スチコン工程入力!C146</f>
        <v/>
      </c>
      <c r="E259" s="393">
        <f>③スチコン工程入力!I146</f>
        <v/>
      </c>
      <c r="F259" s="393">
        <f>③スチコン工程入力!J146</f>
        <v/>
      </c>
      <c r="G259" s="393">
        <f>③スチコン工程入力!M146</f>
        <v/>
      </c>
      <c r="H259" s="393">
        <f>③スチコン工程入力!N146</f>
        <v/>
      </c>
      <c r="I259" s="393">
        <f>③スチコン工程入力!O146</f>
        <v/>
      </c>
    </row>
    <row r="260">
      <c r="A260" s="392" t="n">
        <v>256</v>
      </c>
      <c r="B260" s="392" t="inlineStr">
        <is>
          <t>③スチコン工程入力</t>
        </is>
      </c>
      <c r="C260" s="392" t="n">
        <v>147</v>
      </c>
      <c r="D260" s="392">
        <f>③スチコン工程入力!C147</f>
        <v/>
      </c>
      <c r="E260" s="393">
        <f>③スチコン工程入力!I147</f>
        <v/>
      </c>
      <c r="F260" s="393">
        <f>③スチコン工程入力!J147</f>
        <v/>
      </c>
      <c r="G260" s="393">
        <f>③スチコン工程入力!M147</f>
        <v/>
      </c>
      <c r="H260" s="393">
        <f>③スチコン工程入力!N147</f>
        <v/>
      </c>
      <c r="I260" s="393">
        <f>③スチコン工程入力!O147</f>
        <v/>
      </c>
    </row>
    <row r="261">
      <c r="A261" s="392" t="n">
        <v>257</v>
      </c>
      <c r="B261" s="392" t="inlineStr">
        <is>
          <t>③スチコン工程入力</t>
        </is>
      </c>
      <c r="C261" s="392" t="n">
        <v>148</v>
      </c>
      <c r="D261" s="392">
        <f>③スチコン工程入力!C148</f>
        <v/>
      </c>
      <c r="E261" s="393">
        <f>③スチコン工程入力!I148</f>
        <v/>
      </c>
      <c r="F261" s="393">
        <f>③スチコン工程入力!J148</f>
        <v/>
      </c>
      <c r="G261" s="393">
        <f>③スチコン工程入力!M148</f>
        <v/>
      </c>
      <c r="H261" s="393">
        <f>③スチコン工程入力!N148</f>
        <v/>
      </c>
      <c r="I261" s="393">
        <f>③スチコン工程入力!O148</f>
        <v/>
      </c>
    </row>
    <row r="262">
      <c r="A262" s="392" t="n">
        <v>258</v>
      </c>
      <c r="B262" s="392" t="inlineStr">
        <is>
          <t>③スチコン工程入力</t>
        </is>
      </c>
      <c r="C262" s="392" t="n">
        <v>149</v>
      </c>
      <c r="D262" s="392">
        <f>③スチコン工程入力!C149</f>
        <v/>
      </c>
      <c r="E262" s="393">
        <f>③スチコン工程入力!I149</f>
        <v/>
      </c>
      <c r="F262" s="393">
        <f>③スチコン工程入力!J149</f>
        <v/>
      </c>
      <c r="G262" s="393">
        <f>③スチコン工程入力!M149</f>
        <v/>
      </c>
      <c r="H262" s="393">
        <f>③スチコン工程入力!N149</f>
        <v/>
      </c>
      <c r="I262" s="393">
        <f>③スチコン工程入力!O149</f>
        <v/>
      </c>
    </row>
    <row r="263">
      <c r="A263" s="392" t="n">
        <v>259</v>
      </c>
      <c r="B263" s="392" t="inlineStr">
        <is>
          <t>③スチコン工程入力</t>
        </is>
      </c>
      <c r="C263" s="392" t="n">
        <v>150</v>
      </c>
      <c r="D263" s="392">
        <f>③スチコン工程入力!C150</f>
        <v/>
      </c>
      <c r="E263" s="393">
        <f>③スチコン工程入力!I150</f>
        <v/>
      </c>
      <c r="F263" s="393">
        <f>③スチコン工程入力!J150</f>
        <v/>
      </c>
      <c r="G263" s="393">
        <f>③スチコン工程入力!M150</f>
        <v/>
      </c>
      <c r="H263" s="393">
        <f>③スチコン工程入力!N150</f>
        <v/>
      </c>
      <c r="I263" s="393">
        <f>③スチコン工程入力!O150</f>
        <v/>
      </c>
    </row>
    <row r="264">
      <c r="A264" s="392" t="n">
        <v>260</v>
      </c>
      <c r="B264" s="392" t="inlineStr">
        <is>
          <t>③スチコン工程入力</t>
        </is>
      </c>
      <c r="C264" s="392" t="n">
        <v>151</v>
      </c>
      <c r="D264" s="392">
        <f>③スチコン工程入力!C151</f>
        <v/>
      </c>
      <c r="E264" s="393">
        <f>③スチコン工程入力!I151</f>
        <v/>
      </c>
      <c r="F264" s="393">
        <f>③スチコン工程入力!J151</f>
        <v/>
      </c>
      <c r="G264" s="393">
        <f>③スチコン工程入力!M151</f>
        <v/>
      </c>
      <c r="H264" s="393">
        <f>③スチコン工程入力!N151</f>
        <v/>
      </c>
      <c r="I264" s="393">
        <f>③スチコン工程入力!O151</f>
        <v/>
      </c>
    </row>
    <row r="265">
      <c r="A265" s="392" t="n">
        <v>261</v>
      </c>
      <c r="B265" s="392" t="inlineStr">
        <is>
          <t>③スチコン工程入力</t>
        </is>
      </c>
      <c r="C265" s="392" t="n">
        <v>152</v>
      </c>
      <c r="D265" s="392">
        <f>③スチコン工程入力!C152</f>
        <v/>
      </c>
      <c r="E265" s="393">
        <f>③スチコン工程入力!I152</f>
        <v/>
      </c>
      <c r="F265" s="393">
        <f>③スチコン工程入力!J152</f>
        <v/>
      </c>
      <c r="G265" s="393">
        <f>③スチコン工程入力!M152</f>
        <v/>
      </c>
      <c r="H265" s="393">
        <f>③スチコン工程入力!N152</f>
        <v/>
      </c>
      <c r="I265" s="393">
        <f>③スチコン工程入力!O152</f>
        <v/>
      </c>
    </row>
    <row r="266">
      <c r="A266" s="392" t="n">
        <v>262</v>
      </c>
      <c r="B266" s="392" t="inlineStr">
        <is>
          <t>⑩盛付梱包工程入力</t>
        </is>
      </c>
      <c r="C266" s="392" t="n">
        <v>5</v>
      </c>
      <c r="D266" s="392">
        <f>⑩盛付梱包工程入力!C5</f>
        <v/>
      </c>
      <c r="E266" s="393">
        <f>⑩盛付梱包工程入力!I5</f>
        <v/>
      </c>
      <c r="F266" s="393">
        <f>⑩盛付梱包工程入力!J5</f>
        <v/>
      </c>
      <c r="G266" s="393">
        <f>⑩盛付梱包工程入力!M5</f>
        <v/>
      </c>
      <c r="H266" s="393">
        <f>⑩盛付梱包工程入力!N5</f>
        <v/>
      </c>
      <c r="I266" s="393">
        <f>⑩盛付梱包工程入力!O5</f>
        <v/>
      </c>
    </row>
    <row r="267">
      <c r="A267" s="392" t="n">
        <v>263</v>
      </c>
      <c r="B267" s="392" t="inlineStr">
        <is>
          <t>⑩盛付梱包工程入力</t>
        </is>
      </c>
      <c r="C267" s="392" t="n">
        <v>6</v>
      </c>
      <c r="D267" s="392">
        <f>⑩盛付梱包工程入力!C6</f>
        <v/>
      </c>
      <c r="E267" s="393">
        <f>⑩盛付梱包工程入力!I6</f>
        <v/>
      </c>
      <c r="F267" s="393">
        <f>⑩盛付梱包工程入力!J6</f>
        <v/>
      </c>
      <c r="G267" s="393">
        <f>⑩盛付梱包工程入力!M6</f>
        <v/>
      </c>
      <c r="H267" s="393">
        <f>⑩盛付梱包工程入力!N6</f>
        <v/>
      </c>
      <c r="I267" s="393">
        <f>⑩盛付梱包工程入力!O6</f>
        <v/>
      </c>
    </row>
    <row r="268">
      <c r="A268" s="392" t="n">
        <v>264</v>
      </c>
      <c r="B268" s="392" t="inlineStr">
        <is>
          <t>⑩盛付梱包工程入力</t>
        </is>
      </c>
      <c r="C268" s="392" t="n">
        <v>7</v>
      </c>
      <c r="D268" s="392">
        <f>⑩盛付梱包工程入力!C7</f>
        <v/>
      </c>
      <c r="E268" s="393">
        <f>⑩盛付梱包工程入力!I7</f>
        <v/>
      </c>
      <c r="F268" s="393">
        <f>⑩盛付梱包工程入力!J7</f>
        <v/>
      </c>
      <c r="G268" s="393">
        <f>⑩盛付梱包工程入力!M7</f>
        <v/>
      </c>
      <c r="H268" s="393">
        <f>⑩盛付梱包工程入力!N7</f>
        <v/>
      </c>
      <c r="I268" s="393">
        <f>⑩盛付梱包工程入力!O7</f>
        <v/>
      </c>
    </row>
    <row r="269">
      <c r="A269" s="392" t="n">
        <v>265</v>
      </c>
      <c r="B269" s="392" t="inlineStr">
        <is>
          <t>⑩盛付梱包工程入力</t>
        </is>
      </c>
      <c r="C269" s="392" t="n">
        <v>8</v>
      </c>
      <c r="D269" s="392">
        <f>⑩盛付梱包工程入力!C8</f>
        <v/>
      </c>
      <c r="E269" s="393">
        <f>⑩盛付梱包工程入力!I8</f>
        <v/>
      </c>
      <c r="F269" s="393">
        <f>⑩盛付梱包工程入力!J8</f>
        <v/>
      </c>
      <c r="G269" s="393">
        <f>⑩盛付梱包工程入力!M8</f>
        <v/>
      </c>
      <c r="H269" s="393">
        <f>⑩盛付梱包工程入力!N8</f>
        <v/>
      </c>
      <c r="I269" s="393">
        <f>⑩盛付梱包工程入力!O8</f>
        <v/>
      </c>
    </row>
    <row r="270">
      <c r="A270" s="392" t="n">
        <v>266</v>
      </c>
      <c r="B270" s="392" t="inlineStr">
        <is>
          <t>⑩盛付梱包工程入力</t>
        </is>
      </c>
      <c r="C270" s="392" t="n">
        <v>9</v>
      </c>
      <c r="D270" s="392">
        <f>⑩盛付梱包工程入力!C9</f>
        <v/>
      </c>
      <c r="E270" s="393">
        <f>⑩盛付梱包工程入力!I9</f>
        <v/>
      </c>
      <c r="F270" s="393">
        <f>⑩盛付梱包工程入力!J9</f>
        <v/>
      </c>
      <c r="G270" s="393">
        <f>⑩盛付梱包工程入力!M9</f>
        <v/>
      </c>
      <c r="H270" s="393">
        <f>⑩盛付梱包工程入力!N9</f>
        <v/>
      </c>
      <c r="I270" s="393">
        <f>⑩盛付梱包工程入力!O9</f>
        <v/>
      </c>
    </row>
    <row r="271">
      <c r="A271" s="392" t="n">
        <v>267</v>
      </c>
      <c r="B271" s="392" t="inlineStr">
        <is>
          <t>⑩盛付梱包工程入力</t>
        </is>
      </c>
      <c r="C271" s="392" t="n">
        <v>10</v>
      </c>
      <c r="D271" s="392">
        <f>⑩盛付梱包工程入力!C10</f>
        <v/>
      </c>
      <c r="E271" s="393">
        <f>⑩盛付梱包工程入力!I10</f>
        <v/>
      </c>
      <c r="F271" s="393">
        <f>⑩盛付梱包工程入力!J10</f>
        <v/>
      </c>
      <c r="G271" s="393">
        <f>⑩盛付梱包工程入力!M10</f>
        <v/>
      </c>
      <c r="H271" s="393">
        <f>⑩盛付梱包工程入力!N10</f>
        <v/>
      </c>
      <c r="I271" s="393">
        <f>⑩盛付梱包工程入力!O10</f>
        <v/>
      </c>
    </row>
    <row r="272">
      <c r="A272" s="392" t="n">
        <v>268</v>
      </c>
      <c r="B272" s="392" t="inlineStr">
        <is>
          <t>⑩盛付梱包工程入力</t>
        </is>
      </c>
      <c r="C272" s="392" t="n">
        <v>11</v>
      </c>
      <c r="D272" s="392">
        <f>⑩盛付梱包工程入力!C11</f>
        <v/>
      </c>
      <c r="E272" s="393">
        <f>⑩盛付梱包工程入力!I11</f>
        <v/>
      </c>
      <c r="F272" s="393">
        <f>⑩盛付梱包工程入力!J11</f>
        <v/>
      </c>
      <c r="G272" s="393">
        <f>⑩盛付梱包工程入力!M11</f>
        <v/>
      </c>
      <c r="H272" s="393">
        <f>⑩盛付梱包工程入力!N11</f>
        <v/>
      </c>
      <c r="I272" s="393">
        <f>⑩盛付梱包工程入力!O11</f>
        <v/>
      </c>
    </row>
    <row r="273">
      <c r="A273" s="392" t="n">
        <v>269</v>
      </c>
      <c r="B273" s="392" t="inlineStr">
        <is>
          <t>⑩盛付梱包工程入力</t>
        </is>
      </c>
      <c r="C273" s="392" t="n">
        <v>12</v>
      </c>
      <c r="D273" s="392">
        <f>⑩盛付梱包工程入力!C12</f>
        <v/>
      </c>
      <c r="E273" s="393">
        <f>⑩盛付梱包工程入力!I12</f>
        <v/>
      </c>
      <c r="F273" s="393">
        <f>⑩盛付梱包工程入力!J12</f>
        <v/>
      </c>
      <c r="G273" s="393">
        <f>⑩盛付梱包工程入力!M12</f>
        <v/>
      </c>
      <c r="H273" s="393">
        <f>⑩盛付梱包工程入力!N12</f>
        <v/>
      </c>
      <c r="I273" s="393">
        <f>⑩盛付梱包工程入力!O12</f>
        <v/>
      </c>
    </row>
    <row r="274">
      <c r="A274" s="392" t="n">
        <v>270</v>
      </c>
      <c r="B274" s="392" t="inlineStr">
        <is>
          <t>⑩盛付梱包工程入力</t>
        </is>
      </c>
      <c r="C274" s="392" t="n">
        <v>13</v>
      </c>
      <c r="D274" s="392">
        <f>⑩盛付梱包工程入力!C13</f>
        <v/>
      </c>
      <c r="E274" s="393">
        <f>⑩盛付梱包工程入力!I13</f>
        <v/>
      </c>
      <c r="F274" s="393">
        <f>⑩盛付梱包工程入力!J13</f>
        <v/>
      </c>
      <c r="G274" s="393">
        <f>⑩盛付梱包工程入力!M13</f>
        <v/>
      </c>
      <c r="H274" s="393">
        <f>⑩盛付梱包工程入力!N13</f>
        <v/>
      </c>
      <c r="I274" s="393">
        <f>⑩盛付梱包工程入力!O13</f>
        <v/>
      </c>
    </row>
    <row r="275">
      <c r="A275" s="392" t="n">
        <v>271</v>
      </c>
      <c r="B275" s="392" t="inlineStr">
        <is>
          <t>⑩盛付梱包工程入力</t>
        </is>
      </c>
      <c r="C275" s="392" t="n">
        <v>14</v>
      </c>
      <c r="D275" s="392">
        <f>⑩盛付梱包工程入力!C14</f>
        <v/>
      </c>
      <c r="E275" s="393">
        <f>⑩盛付梱包工程入力!I14</f>
        <v/>
      </c>
      <c r="F275" s="393">
        <f>⑩盛付梱包工程入力!J14</f>
        <v/>
      </c>
      <c r="G275" s="393">
        <f>⑩盛付梱包工程入力!M14</f>
        <v/>
      </c>
      <c r="H275" s="393">
        <f>⑩盛付梱包工程入力!N14</f>
        <v/>
      </c>
      <c r="I275" s="393">
        <f>⑩盛付梱包工程入力!O14</f>
        <v/>
      </c>
    </row>
    <row r="276">
      <c r="A276" s="392" t="n">
        <v>272</v>
      </c>
      <c r="B276" s="392" t="inlineStr">
        <is>
          <t>⑩盛付梱包工程入力</t>
        </is>
      </c>
      <c r="C276" s="392" t="n">
        <v>15</v>
      </c>
      <c r="D276" s="392">
        <f>⑩盛付梱包工程入力!C15</f>
        <v/>
      </c>
      <c r="E276" s="393">
        <f>⑩盛付梱包工程入力!I15</f>
        <v/>
      </c>
      <c r="F276" s="393">
        <f>⑩盛付梱包工程入力!J15</f>
        <v/>
      </c>
      <c r="G276" s="393">
        <f>⑩盛付梱包工程入力!M15</f>
        <v/>
      </c>
      <c r="H276" s="393">
        <f>⑩盛付梱包工程入力!N15</f>
        <v/>
      </c>
      <c r="I276" s="393">
        <f>⑩盛付梱包工程入力!O15</f>
        <v/>
      </c>
    </row>
    <row r="277">
      <c r="A277" s="392" t="n">
        <v>273</v>
      </c>
      <c r="B277" s="392" t="inlineStr">
        <is>
          <t>⑩盛付梱包工程入力</t>
        </is>
      </c>
      <c r="C277" s="392" t="n">
        <v>16</v>
      </c>
      <c r="D277" s="392">
        <f>⑩盛付梱包工程入力!C16</f>
        <v/>
      </c>
      <c r="E277" s="393">
        <f>⑩盛付梱包工程入力!I16</f>
        <v/>
      </c>
      <c r="F277" s="393">
        <f>⑩盛付梱包工程入力!J16</f>
        <v/>
      </c>
      <c r="G277" s="393">
        <f>⑩盛付梱包工程入力!M16</f>
        <v/>
      </c>
      <c r="H277" s="393">
        <f>⑩盛付梱包工程入力!N16</f>
        <v/>
      </c>
      <c r="I277" s="393">
        <f>⑩盛付梱包工程入力!O16</f>
        <v/>
      </c>
    </row>
    <row r="278">
      <c r="A278" s="392" t="n">
        <v>274</v>
      </c>
      <c r="B278" s="392" t="inlineStr">
        <is>
          <t>⑩盛付梱包工程入力</t>
        </is>
      </c>
      <c r="C278" s="392" t="n">
        <v>17</v>
      </c>
      <c r="D278" s="392">
        <f>⑩盛付梱包工程入力!C17</f>
        <v/>
      </c>
      <c r="E278" s="393">
        <f>⑩盛付梱包工程入力!I17</f>
        <v/>
      </c>
      <c r="F278" s="393">
        <f>⑩盛付梱包工程入力!J17</f>
        <v/>
      </c>
      <c r="G278" s="393">
        <f>⑩盛付梱包工程入力!M17</f>
        <v/>
      </c>
      <c r="H278" s="393">
        <f>⑩盛付梱包工程入力!N17</f>
        <v/>
      </c>
      <c r="I278" s="393">
        <f>⑩盛付梱包工程入力!O17</f>
        <v/>
      </c>
    </row>
    <row r="279">
      <c r="A279" s="392" t="n">
        <v>275</v>
      </c>
      <c r="B279" s="392" t="inlineStr">
        <is>
          <t>⑩盛付梱包工程入力</t>
        </is>
      </c>
      <c r="C279" s="392" t="n">
        <v>18</v>
      </c>
      <c r="D279" s="392">
        <f>⑩盛付梱包工程入力!C18</f>
        <v/>
      </c>
      <c r="E279" s="393">
        <f>⑩盛付梱包工程入力!I18</f>
        <v/>
      </c>
      <c r="F279" s="393">
        <f>⑩盛付梱包工程入力!J18</f>
        <v/>
      </c>
      <c r="G279" s="393">
        <f>⑩盛付梱包工程入力!M18</f>
        <v/>
      </c>
      <c r="H279" s="393">
        <f>⑩盛付梱包工程入力!N18</f>
        <v/>
      </c>
      <c r="I279" s="393">
        <f>⑩盛付梱包工程入力!O18</f>
        <v/>
      </c>
    </row>
    <row r="280">
      <c r="A280" s="392" t="n">
        <v>276</v>
      </c>
      <c r="B280" s="392" t="inlineStr">
        <is>
          <t>⑩盛付梱包工程入力</t>
        </is>
      </c>
      <c r="C280" s="392" t="n">
        <v>19</v>
      </c>
      <c r="D280" s="392">
        <f>⑩盛付梱包工程入力!C19</f>
        <v/>
      </c>
      <c r="E280" s="393">
        <f>⑩盛付梱包工程入力!I19</f>
        <v/>
      </c>
      <c r="F280" s="393">
        <f>⑩盛付梱包工程入力!J19</f>
        <v/>
      </c>
      <c r="G280" s="393">
        <f>⑩盛付梱包工程入力!M19</f>
        <v/>
      </c>
      <c r="H280" s="393">
        <f>⑩盛付梱包工程入力!N19</f>
        <v/>
      </c>
      <c r="I280" s="393">
        <f>⑩盛付梱包工程入力!O19</f>
        <v/>
      </c>
    </row>
    <row r="281">
      <c r="A281" s="392" t="n">
        <v>277</v>
      </c>
      <c r="B281" s="392" t="inlineStr">
        <is>
          <t>⑩盛付梱包工程入力</t>
        </is>
      </c>
      <c r="C281" s="392" t="n">
        <v>20</v>
      </c>
      <c r="D281" s="392">
        <f>⑩盛付梱包工程入力!C20</f>
        <v/>
      </c>
      <c r="E281" s="393">
        <f>⑩盛付梱包工程入力!I20</f>
        <v/>
      </c>
      <c r="F281" s="393">
        <f>⑩盛付梱包工程入力!J20</f>
        <v/>
      </c>
      <c r="G281" s="393">
        <f>⑩盛付梱包工程入力!M20</f>
        <v/>
      </c>
      <c r="H281" s="393">
        <f>⑩盛付梱包工程入力!N20</f>
        <v/>
      </c>
      <c r="I281" s="393">
        <f>⑩盛付梱包工程入力!O20</f>
        <v/>
      </c>
    </row>
    <row r="282">
      <c r="A282" s="392" t="n">
        <v>278</v>
      </c>
      <c r="B282" s="392" t="inlineStr">
        <is>
          <t>⑩盛付梱包工程入力</t>
        </is>
      </c>
      <c r="C282" s="392" t="n">
        <v>21</v>
      </c>
      <c r="D282" s="392">
        <f>⑩盛付梱包工程入力!C21</f>
        <v/>
      </c>
      <c r="E282" s="393">
        <f>⑩盛付梱包工程入力!I21</f>
        <v/>
      </c>
      <c r="F282" s="393">
        <f>⑩盛付梱包工程入力!J21</f>
        <v/>
      </c>
      <c r="G282" s="393">
        <f>⑩盛付梱包工程入力!M21</f>
        <v/>
      </c>
      <c r="H282" s="393">
        <f>⑩盛付梱包工程入力!N21</f>
        <v/>
      </c>
      <c r="I282" s="393">
        <f>⑩盛付梱包工程入力!O21</f>
        <v/>
      </c>
    </row>
    <row r="283">
      <c r="A283" s="392" t="n">
        <v>279</v>
      </c>
      <c r="B283" s="392" t="inlineStr">
        <is>
          <t>⑩盛付梱包工程入力</t>
        </is>
      </c>
      <c r="C283" s="392" t="n">
        <v>22</v>
      </c>
      <c r="D283" s="392">
        <f>⑩盛付梱包工程入力!C22</f>
        <v/>
      </c>
      <c r="E283" s="393">
        <f>⑩盛付梱包工程入力!I22</f>
        <v/>
      </c>
      <c r="F283" s="393">
        <f>⑩盛付梱包工程入力!J22</f>
        <v/>
      </c>
      <c r="G283" s="393">
        <f>⑩盛付梱包工程入力!M22</f>
        <v/>
      </c>
      <c r="H283" s="393">
        <f>⑩盛付梱包工程入力!N22</f>
        <v/>
      </c>
      <c r="I283" s="393">
        <f>⑩盛付梱包工程入力!O22</f>
        <v/>
      </c>
    </row>
    <row r="284">
      <c r="A284" s="392" t="n">
        <v>280</v>
      </c>
      <c r="B284" s="392" t="inlineStr">
        <is>
          <t>⑩盛付梱包工程入力</t>
        </is>
      </c>
      <c r="C284" s="392" t="n">
        <v>23</v>
      </c>
      <c r="D284" s="392">
        <f>⑩盛付梱包工程入力!C23</f>
        <v/>
      </c>
      <c r="E284" s="393">
        <f>⑩盛付梱包工程入力!I23</f>
        <v/>
      </c>
      <c r="F284" s="393">
        <f>⑩盛付梱包工程入力!J23</f>
        <v/>
      </c>
      <c r="G284" s="393">
        <f>⑩盛付梱包工程入力!M23</f>
        <v/>
      </c>
      <c r="H284" s="393">
        <f>⑩盛付梱包工程入力!N23</f>
        <v/>
      </c>
      <c r="I284" s="393">
        <f>⑩盛付梱包工程入力!O23</f>
        <v/>
      </c>
    </row>
    <row r="285">
      <c r="A285" s="392" t="n">
        <v>281</v>
      </c>
      <c r="B285" s="392" t="inlineStr">
        <is>
          <t>⑩盛付梱包工程入力</t>
        </is>
      </c>
      <c r="C285" s="392" t="n">
        <v>24</v>
      </c>
      <c r="D285" s="392">
        <f>⑩盛付梱包工程入力!C24</f>
        <v/>
      </c>
      <c r="E285" s="393">
        <f>⑩盛付梱包工程入力!I24</f>
        <v/>
      </c>
      <c r="F285" s="393">
        <f>⑩盛付梱包工程入力!J24</f>
        <v/>
      </c>
      <c r="G285" s="393">
        <f>⑩盛付梱包工程入力!M24</f>
        <v/>
      </c>
      <c r="H285" s="393">
        <f>⑩盛付梱包工程入力!N24</f>
        <v/>
      </c>
      <c r="I285" s="393">
        <f>⑩盛付梱包工程入力!O24</f>
        <v/>
      </c>
    </row>
    <row r="286">
      <c r="A286" s="392" t="n">
        <v>282</v>
      </c>
      <c r="B286" s="392" t="inlineStr">
        <is>
          <t>⑩盛付梱包工程入力</t>
        </is>
      </c>
      <c r="C286" s="392" t="n">
        <v>25</v>
      </c>
      <c r="D286" s="392">
        <f>⑩盛付梱包工程入力!C25</f>
        <v/>
      </c>
      <c r="E286" s="393">
        <f>⑩盛付梱包工程入力!I25</f>
        <v/>
      </c>
      <c r="F286" s="393">
        <f>⑩盛付梱包工程入力!J25</f>
        <v/>
      </c>
      <c r="G286" s="393">
        <f>⑩盛付梱包工程入力!M25</f>
        <v/>
      </c>
      <c r="H286" s="393">
        <f>⑩盛付梱包工程入力!N25</f>
        <v/>
      </c>
      <c r="I286" s="393">
        <f>⑩盛付梱包工程入力!O25</f>
        <v/>
      </c>
    </row>
    <row r="287">
      <c r="A287" s="392" t="n">
        <v>283</v>
      </c>
      <c r="B287" s="392" t="inlineStr">
        <is>
          <t>⑩盛付梱包工程入力</t>
        </is>
      </c>
      <c r="C287" s="392" t="n">
        <v>26</v>
      </c>
      <c r="D287" s="392">
        <f>⑩盛付梱包工程入力!C26</f>
        <v/>
      </c>
      <c r="E287" s="393">
        <f>⑩盛付梱包工程入力!I26</f>
        <v/>
      </c>
      <c r="F287" s="393">
        <f>⑩盛付梱包工程入力!J26</f>
        <v/>
      </c>
      <c r="G287" s="393">
        <f>⑩盛付梱包工程入力!M26</f>
        <v/>
      </c>
      <c r="H287" s="393">
        <f>⑩盛付梱包工程入力!N26</f>
        <v/>
      </c>
      <c r="I287" s="393">
        <f>⑩盛付梱包工程入力!O26</f>
        <v/>
      </c>
    </row>
    <row r="288">
      <c r="A288" s="392" t="n">
        <v>284</v>
      </c>
      <c r="B288" s="392" t="inlineStr">
        <is>
          <t>⑩盛付梱包工程入力</t>
        </is>
      </c>
      <c r="C288" s="392" t="n">
        <v>27</v>
      </c>
      <c r="D288" s="392">
        <f>⑩盛付梱包工程入力!C27</f>
        <v/>
      </c>
      <c r="E288" s="393">
        <f>⑩盛付梱包工程入力!I27</f>
        <v/>
      </c>
      <c r="F288" s="393">
        <f>⑩盛付梱包工程入力!J27</f>
        <v/>
      </c>
      <c r="G288" s="393">
        <f>⑩盛付梱包工程入力!M27</f>
        <v/>
      </c>
      <c r="H288" s="393">
        <f>⑩盛付梱包工程入力!N27</f>
        <v/>
      </c>
      <c r="I288" s="393">
        <f>⑩盛付梱包工程入力!O27</f>
        <v/>
      </c>
    </row>
    <row r="289">
      <c r="A289" s="392" t="n">
        <v>285</v>
      </c>
      <c r="B289" s="392" t="inlineStr">
        <is>
          <t>⑩盛付梱包工程入力</t>
        </is>
      </c>
      <c r="C289" s="392" t="n">
        <v>28</v>
      </c>
      <c r="D289" s="392">
        <f>⑩盛付梱包工程入力!C28</f>
        <v/>
      </c>
      <c r="E289" s="393">
        <f>⑩盛付梱包工程入力!I28</f>
        <v/>
      </c>
      <c r="F289" s="393">
        <f>⑩盛付梱包工程入力!J28</f>
        <v/>
      </c>
      <c r="G289" s="393">
        <f>⑩盛付梱包工程入力!M28</f>
        <v/>
      </c>
      <c r="H289" s="393">
        <f>⑩盛付梱包工程入力!N28</f>
        <v/>
      </c>
      <c r="I289" s="393">
        <f>⑩盛付梱包工程入力!O28</f>
        <v/>
      </c>
    </row>
    <row r="290">
      <c r="A290" s="392" t="n">
        <v>286</v>
      </c>
      <c r="B290" s="392" t="inlineStr">
        <is>
          <t>⑩盛付梱包工程入力</t>
        </is>
      </c>
      <c r="C290" s="392" t="n">
        <v>29</v>
      </c>
      <c r="D290" s="392">
        <f>⑩盛付梱包工程入力!C29</f>
        <v/>
      </c>
      <c r="E290" s="393">
        <f>⑩盛付梱包工程入力!I29</f>
        <v/>
      </c>
      <c r="F290" s="393">
        <f>⑩盛付梱包工程入力!J29</f>
        <v/>
      </c>
      <c r="G290" s="393">
        <f>⑩盛付梱包工程入力!M29</f>
        <v/>
      </c>
      <c r="H290" s="393">
        <f>⑩盛付梱包工程入力!N29</f>
        <v/>
      </c>
      <c r="I290" s="393">
        <f>⑩盛付梱包工程入力!O29</f>
        <v/>
      </c>
    </row>
    <row r="291">
      <c r="A291" s="392" t="n">
        <v>287</v>
      </c>
      <c r="B291" s="392" t="inlineStr">
        <is>
          <t>⑩盛付梱包工程入力</t>
        </is>
      </c>
      <c r="C291" s="392" t="n">
        <v>30</v>
      </c>
      <c r="D291" s="392">
        <f>⑩盛付梱包工程入力!C30</f>
        <v/>
      </c>
      <c r="E291" s="393">
        <f>⑩盛付梱包工程入力!I30</f>
        <v/>
      </c>
      <c r="F291" s="393">
        <f>⑩盛付梱包工程入力!J30</f>
        <v/>
      </c>
      <c r="G291" s="393">
        <f>⑩盛付梱包工程入力!M30</f>
        <v/>
      </c>
      <c r="H291" s="393">
        <f>⑩盛付梱包工程入力!N30</f>
        <v/>
      </c>
      <c r="I291" s="393">
        <f>⑩盛付梱包工程入力!O30</f>
        <v/>
      </c>
    </row>
    <row r="292">
      <c r="A292" s="392" t="n">
        <v>288</v>
      </c>
      <c r="B292" s="392" t="inlineStr">
        <is>
          <t>⑩盛付梱包工程入力</t>
        </is>
      </c>
      <c r="C292" s="392" t="n">
        <v>31</v>
      </c>
      <c r="D292" s="392">
        <f>⑩盛付梱包工程入力!C31</f>
        <v/>
      </c>
      <c r="E292" s="393">
        <f>⑩盛付梱包工程入力!I31</f>
        <v/>
      </c>
      <c r="F292" s="393">
        <f>⑩盛付梱包工程入力!J31</f>
        <v/>
      </c>
      <c r="G292" s="393">
        <f>⑩盛付梱包工程入力!M31</f>
        <v/>
      </c>
      <c r="H292" s="393">
        <f>⑩盛付梱包工程入力!N31</f>
        <v/>
      </c>
      <c r="I292" s="393">
        <f>⑩盛付梱包工程入力!O31</f>
        <v/>
      </c>
    </row>
    <row r="293">
      <c r="A293" s="392" t="n">
        <v>289</v>
      </c>
      <c r="B293" s="392" t="inlineStr">
        <is>
          <t>⑩盛付梱包工程入力</t>
        </is>
      </c>
      <c r="C293" s="392" t="n">
        <v>32</v>
      </c>
      <c r="D293" s="392">
        <f>⑩盛付梱包工程入力!C32</f>
        <v/>
      </c>
      <c r="E293" s="393">
        <f>⑩盛付梱包工程入力!I32</f>
        <v/>
      </c>
      <c r="F293" s="393">
        <f>⑩盛付梱包工程入力!J32</f>
        <v/>
      </c>
      <c r="G293" s="393">
        <f>⑩盛付梱包工程入力!M32</f>
        <v/>
      </c>
      <c r="H293" s="393">
        <f>⑩盛付梱包工程入力!N32</f>
        <v/>
      </c>
      <c r="I293" s="393">
        <f>⑩盛付梱包工程入力!O32</f>
        <v/>
      </c>
    </row>
    <row r="294">
      <c r="A294" s="392" t="n">
        <v>290</v>
      </c>
      <c r="B294" s="392" t="inlineStr">
        <is>
          <t>⑩盛付梱包工程入力</t>
        </is>
      </c>
      <c r="C294" s="392" t="n">
        <v>33</v>
      </c>
      <c r="D294" s="392">
        <f>⑩盛付梱包工程入力!C33</f>
        <v/>
      </c>
      <c r="E294" s="393">
        <f>⑩盛付梱包工程入力!I33</f>
        <v/>
      </c>
      <c r="F294" s="393">
        <f>⑩盛付梱包工程入力!J33</f>
        <v/>
      </c>
      <c r="G294" s="393">
        <f>⑩盛付梱包工程入力!M33</f>
        <v/>
      </c>
      <c r="H294" s="393">
        <f>⑩盛付梱包工程入力!N33</f>
        <v/>
      </c>
      <c r="I294" s="393">
        <f>⑩盛付梱包工程入力!O33</f>
        <v/>
      </c>
    </row>
    <row r="295">
      <c r="A295" s="392" t="n">
        <v>291</v>
      </c>
      <c r="B295" s="392" t="inlineStr">
        <is>
          <t>⑩盛付梱包工程入力</t>
        </is>
      </c>
      <c r="C295" s="392" t="n">
        <v>34</v>
      </c>
      <c r="D295" s="392">
        <f>⑩盛付梱包工程入力!C34</f>
        <v/>
      </c>
      <c r="E295" s="393">
        <f>⑩盛付梱包工程入力!I34</f>
        <v/>
      </c>
      <c r="F295" s="393">
        <f>⑩盛付梱包工程入力!J34</f>
        <v/>
      </c>
      <c r="G295" s="393">
        <f>⑩盛付梱包工程入力!M34</f>
        <v/>
      </c>
      <c r="H295" s="393">
        <f>⑩盛付梱包工程入力!N34</f>
        <v/>
      </c>
      <c r="I295" s="393">
        <f>⑩盛付梱包工程入力!O34</f>
        <v/>
      </c>
    </row>
    <row r="296">
      <c r="A296" s="392" t="n">
        <v>292</v>
      </c>
      <c r="B296" s="392" t="inlineStr">
        <is>
          <t>⑩盛付梱包工程入力</t>
        </is>
      </c>
      <c r="C296" s="392" t="n">
        <v>35</v>
      </c>
      <c r="D296" s="392">
        <f>⑩盛付梱包工程入力!C35</f>
        <v/>
      </c>
      <c r="E296" s="393">
        <f>⑩盛付梱包工程入力!I35</f>
        <v/>
      </c>
      <c r="F296" s="393">
        <f>⑩盛付梱包工程入力!J35</f>
        <v/>
      </c>
      <c r="G296" s="393">
        <f>⑩盛付梱包工程入力!M35</f>
        <v/>
      </c>
      <c r="H296" s="393">
        <f>⑩盛付梱包工程入力!N35</f>
        <v/>
      </c>
      <c r="I296" s="393">
        <f>⑩盛付梱包工程入力!O35</f>
        <v/>
      </c>
    </row>
    <row r="297">
      <c r="A297" s="392" t="n">
        <v>293</v>
      </c>
      <c r="B297" s="392" t="inlineStr">
        <is>
          <t>⑩盛付梱包工程入力</t>
        </is>
      </c>
      <c r="C297" s="392" t="n">
        <v>36</v>
      </c>
      <c r="D297" s="392">
        <f>⑩盛付梱包工程入力!C36</f>
        <v/>
      </c>
      <c r="E297" s="393">
        <f>⑩盛付梱包工程入力!I36</f>
        <v/>
      </c>
      <c r="F297" s="393">
        <f>⑩盛付梱包工程入力!J36</f>
        <v/>
      </c>
      <c r="G297" s="393">
        <f>⑩盛付梱包工程入力!M36</f>
        <v/>
      </c>
      <c r="H297" s="393">
        <f>⑩盛付梱包工程入力!N36</f>
        <v/>
      </c>
      <c r="I297" s="393">
        <f>⑩盛付梱包工程入力!O36</f>
        <v/>
      </c>
    </row>
    <row r="298">
      <c r="A298" s="392" t="n">
        <v>294</v>
      </c>
      <c r="B298" s="392" t="inlineStr">
        <is>
          <t>⑩盛付梱包工程入力</t>
        </is>
      </c>
      <c r="C298" s="392" t="n">
        <v>37</v>
      </c>
      <c r="D298" s="392">
        <f>⑩盛付梱包工程入力!C37</f>
        <v/>
      </c>
      <c r="E298" s="393">
        <f>⑩盛付梱包工程入力!I37</f>
        <v/>
      </c>
      <c r="F298" s="393">
        <f>⑩盛付梱包工程入力!J37</f>
        <v/>
      </c>
      <c r="G298" s="393">
        <f>⑩盛付梱包工程入力!M37</f>
        <v/>
      </c>
      <c r="H298" s="393">
        <f>⑩盛付梱包工程入力!N37</f>
        <v/>
      </c>
      <c r="I298" s="393">
        <f>⑩盛付梱包工程入力!O37</f>
        <v/>
      </c>
    </row>
    <row r="299">
      <c r="A299" s="392" t="n">
        <v>295</v>
      </c>
      <c r="B299" s="392" t="inlineStr">
        <is>
          <t>⑩盛付梱包工程入力</t>
        </is>
      </c>
      <c r="C299" s="392" t="n">
        <v>38</v>
      </c>
      <c r="D299" s="392">
        <f>⑩盛付梱包工程入力!C38</f>
        <v/>
      </c>
      <c r="E299" s="393">
        <f>⑩盛付梱包工程入力!I38</f>
        <v/>
      </c>
      <c r="F299" s="393">
        <f>⑩盛付梱包工程入力!J38</f>
        <v/>
      </c>
      <c r="G299" s="393">
        <f>⑩盛付梱包工程入力!M38</f>
        <v/>
      </c>
      <c r="H299" s="393">
        <f>⑩盛付梱包工程入力!N38</f>
        <v/>
      </c>
      <c r="I299" s="393">
        <f>⑩盛付梱包工程入力!O38</f>
        <v/>
      </c>
    </row>
    <row r="300">
      <c r="A300" s="392" t="n">
        <v>296</v>
      </c>
      <c r="B300" s="392" t="inlineStr">
        <is>
          <t>⑩盛付梱包工程入力</t>
        </is>
      </c>
      <c r="C300" s="392" t="n">
        <v>39</v>
      </c>
      <c r="D300" s="392">
        <f>⑩盛付梱包工程入力!C39</f>
        <v/>
      </c>
      <c r="E300" s="393">
        <f>⑩盛付梱包工程入力!I39</f>
        <v/>
      </c>
      <c r="F300" s="393">
        <f>⑩盛付梱包工程入力!J39</f>
        <v/>
      </c>
      <c r="G300" s="393">
        <f>⑩盛付梱包工程入力!M39</f>
        <v/>
      </c>
      <c r="H300" s="393">
        <f>⑩盛付梱包工程入力!N39</f>
        <v/>
      </c>
      <c r="I300" s="393">
        <f>⑩盛付梱包工程入力!O39</f>
        <v/>
      </c>
    </row>
    <row r="301">
      <c r="A301" s="392" t="n">
        <v>297</v>
      </c>
      <c r="B301" s="392" t="inlineStr">
        <is>
          <t>⑩盛付梱包工程入力</t>
        </is>
      </c>
      <c r="C301" s="392" t="n">
        <v>40</v>
      </c>
      <c r="D301" s="392">
        <f>⑩盛付梱包工程入力!C40</f>
        <v/>
      </c>
      <c r="E301" s="393">
        <f>⑩盛付梱包工程入力!I40</f>
        <v/>
      </c>
      <c r="F301" s="393">
        <f>⑩盛付梱包工程入力!J40</f>
        <v/>
      </c>
      <c r="G301" s="393">
        <f>⑩盛付梱包工程入力!M40</f>
        <v/>
      </c>
      <c r="H301" s="393">
        <f>⑩盛付梱包工程入力!N40</f>
        <v/>
      </c>
      <c r="I301" s="393">
        <f>⑩盛付梱包工程入力!O40</f>
        <v/>
      </c>
    </row>
    <row r="302">
      <c r="A302" s="392" t="n">
        <v>298</v>
      </c>
      <c r="B302" s="392" t="inlineStr">
        <is>
          <t>⑩盛付梱包工程入力</t>
        </is>
      </c>
      <c r="C302" s="392" t="n">
        <v>41</v>
      </c>
      <c r="D302" s="392">
        <f>⑩盛付梱包工程入力!C41</f>
        <v/>
      </c>
      <c r="E302" s="393">
        <f>⑩盛付梱包工程入力!I41</f>
        <v/>
      </c>
      <c r="F302" s="393">
        <f>⑩盛付梱包工程入力!J41</f>
        <v/>
      </c>
      <c r="G302" s="393">
        <f>⑩盛付梱包工程入力!M41</f>
        <v/>
      </c>
      <c r="H302" s="393">
        <f>⑩盛付梱包工程入力!N41</f>
        <v/>
      </c>
      <c r="I302" s="393">
        <f>⑩盛付梱包工程入力!O41</f>
        <v/>
      </c>
    </row>
    <row r="303">
      <c r="A303" s="392" t="n">
        <v>299</v>
      </c>
      <c r="B303" s="392" t="inlineStr">
        <is>
          <t>⑩盛付梱包工程入力</t>
        </is>
      </c>
      <c r="C303" s="392" t="n">
        <v>42</v>
      </c>
      <c r="D303" s="392">
        <f>⑩盛付梱包工程入力!C42</f>
        <v/>
      </c>
      <c r="E303" s="393">
        <f>⑩盛付梱包工程入力!I42</f>
        <v/>
      </c>
      <c r="F303" s="393">
        <f>⑩盛付梱包工程入力!J42</f>
        <v/>
      </c>
      <c r="G303" s="393">
        <f>⑩盛付梱包工程入力!M42</f>
        <v/>
      </c>
      <c r="H303" s="393">
        <f>⑩盛付梱包工程入力!N42</f>
        <v/>
      </c>
      <c r="I303" s="393">
        <f>⑩盛付梱包工程入力!O42</f>
        <v/>
      </c>
    </row>
    <row r="304">
      <c r="A304" s="392" t="n">
        <v>300</v>
      </c>
      <c r="B304" s="392" t="inlineStr">
        <is>
          <t>⑩盛付梱包工程入力</t>
        </is>
      </c>
      <c r="C304" s="392" t="n">
        <v>43</v>
      </c>
      <c r="D304" s="392">
        <f>⑩盛付梱包工程入力!C43</f>
        <v/>
      </c>
      <c r="E304" s="393">
        <f>⑩盛付梱包工程入力!I43</f>
        <v/>
      </c>
      <c r="F304" s="393">
        <f>⑩盛付梱包工程入力!J43</f>
        <v/>
      </c>
      <c r="G304" s="393">
        <f>⑩盛付梱包工程入力!M43</f>
        <v/>
      </c>
      <c r="H304" s="393">
        <f>⑩盛付梱包工程入力!N43</f>
        <v/>
      </c>
      <c r="I304" s="393">
        <f>⑩盛付梱包工程入力!O43</f>
        <v/>
      </c>
    </row>
    <row r="305">
      <c r="A305" s="392" t="n">
        <v>301</v>
      </c>
      <c r="B305" s="392" t="inlineStr">
        <is>
          <t>⑩盛付梱包工程入力</t>
        </is>
      </c>
      <c r="C305" s="392" t="n">
        <v>44</v>
      </c>
      <c r="D305" s="392">
        <f>⑩盛付梱包工程入力!C44</f>
        <v/>
      </c>
      <c r="E305" s="393">
        <f>⑩盛付梱包工程入力!I44</f>
        <v/>
      </c>
      <c r="F305" s="393">
        <f>⑩盛付梱包工程入力!J44</f>
        <v/>
      </c>
      <c r="G305" s="393">
        <f>⑩盛付梱包工程入力!M44</f>
        <v/>
      </c>
      <c r="H305" s="393">
        <f>⑩盛付梱包工程入力!N44</f>
        <v/>
      </c>
      <c r="I305" s="393">
        <f>⑩盛付梱包工程入力!O44</f>
        <v/>
      </c>
    </row>
    <row r="306">
      <c r="A306" s="392" t="n">
        <v>302</v>
      </c>
      <c r="B306" s="392" t="inlineStr">
        <is>
          <t>⑩盛付梱包工程入力</t>
        </is>
      </c>
      <c r="C306" s="392" t="n">
        <v>45</v>
      </c>
      <c r="D306" s="392">
        <f>⑩盛付梱包工程入力!C45</f>
        <v/>
      </c>
      <c r="E306" s="393">
        <f>⑩盛付梱包工程入力!I45</f>
        <v/>
      </c>
      <c r="F306" s="393">
        <f>⑩盛付梱包工程入力!J45</f>
        <v/>
      </c>
      <c r="G306" s="393">
        <f>⑩盛付梱包工程入力!M45</f>
        <v/>
      </c>
      <c r="H306" s="393">
        <f>⑩盛付梱包工程入力!N45</f>
        <v/>
      </c>
      <c r="I306" s="393">
        <f>⑩盛付梱包工程入力!O45</f>
        <v/>
      </c>
    </row>
    <row r="307">
      <c r="A307" s="392" t="n">
        <v>303</v>
      </c>
      <c r="B307" s="392" t="inlineStr">
        <is>
          <t>⑩盛付梱包工程入力</t>
        </is>
      </c>
      <c r="C307" s="392" t="n">
        <v>46</v>
      </c>
      <c r="D307" s="392">
        <f>⑩盛付梱包工程入力!C46</f>
        <v/>
      </c>
      <c r="E307" s="393">
        <f>⑩盛付梱包工程入力!I46</f>
        <v/>
      </c>
      <c r="F307" s="393">
        <f>⑩盛付梱包工程入力!J46</f>
        <v/>
      </c>
      <c r="G307" s="393">
        <f>⑩盛付梱包工程入力!M46</f>
        <v/>
      </c>
      <c r="H307" s="393">
        <f>⑩盛付梱包工程入力!N46</f>
        <v/>
      </c>
      <c r="I307" s="393">
        <f>⑩盛付梱包工程入力!O46</f>
        <v/>
      </c>
    </row>
    <row r="308">
      <c r="A308" s="392" t="n">
        <v>304</v>
      </c>
      <c r="B308" s="392" t="inlineStr">
        <is>
          <t>⑩盛付梱包工程入力</t>
        </is>
      </c>
      <c r="C308" s="392" t="n">
        <v>47</v>
      </c>
      <c r="D308" s="392">
        <f>⑩盛付梱包工程入力!C47</f>
        <v/>
      </c>
      <c r="E308" s="393">
        <f>⑩盛付梱包工程入力!I47</f>
        <v/>
      </c>
      <c r="F308" s="393">
        <f>⑩盛付梱包工程入力!J47</f>
        <v/>
      </c>
      <c r="G308" s="393">
        <f>⑩盛付梱包工程入力!M47</f>
        <v/>
      </c>
      <c r="H308" s="393">
        <f>⑩盛付梱包工程入力!N47</f>
        <v/>
      </c>
      <c r="I308" s="393">
        <f>⑩盛付梱包工程入力!O47</f>
        <v/>
      </c>
    </row>
    <row r="309">
      <c r="A309" s="392" t="n">
        <v>305</v>
      </c>
      <c r="B309" s="392" t="inlineStr">
        <is>
          <t>⑩盛付梱包工程入力</t>
        </is>
      </c>
      <c r="C309" s="392" t="n">
        <v>48</v>
      </c>
      <c r="D309" s="392">
        <f>⑩盛付梱包工程入力!C48</f>
        <v/>
      </c>
      <c r="E309" s="393">
        <f>⑩盛付梱包工程入力!I48</f>
        <v/>
      </c>
      <c r="F309" s="393">
        <f>⑩盛付梱包工程入力!J48</f>
        <v/>
      </c>
      <c r="G309" s="393">
        <f>⑩盛付梱包工程入力!M48</f>
        <v/>
      </c>
      <c r="H309" s="393">
        <f>⑩盛付梱包工程入力!N48</f>
        <v/>
      </c>
      <c r="I309" s="393">
        <f>⑩盛付梱包工程入力!O48</f>
        <v/>
      </c>
    </row>
    <row r="310">
      <c r="A310" s="392" t="n">
        <v>306</v>
      </c>
      <c r="B310" s="392" t="inlineStr">
        <is>
          <t>⑩盛付梱包工程入力</t>
        </is>
      </c>
      <c r="C310" s="392" t="n">
        <v>49</v>
      </c>
      <c r="D310" s="392">
        <f>⑩盛付梱包工程入力!C49</f>
        <v/>
      </c>
      <c r="E310" s="393">
        <f>⑩盛付梱包工程入力!I49</f>
        <v/>
      </c>
      <c r="F310" s="393">
        <f>⑩盛付梱包工程入力!J49</f>
        <v/>
      </c>
      <c r="G310" s="393">
        <f>⑩盛付梱包工程入力!M49</f>
        <v/>
      </c>
      <c r="H310" s="393">
        <f>⑩盛付梱包工程入力!N49</f>
        <v/>
      </c>
      <c r="I310" s="393">
        <f>⑩盛付梱包工程入力!O49</f>
        <v/>
      </c>
    </row>
    <row r="311">
      <c r="A311" s="392" t="n">
        <v>307</v>
      </c>
      <c r="B311" s="392" t="inlineStr">
        <is>
          <t>⑩盛付梱包工程入力</t>
        </is>
      </c>
      <c r="C311" s="392" t="n">
        <v>50</v>
      </c>
      <c r="D311" s="392">
        <f>⑩盛付梱包工程入力!C50</f>
        <v/>
      </c>
      <c r="E311" s="393">
        <f>⑩盛付梱包工程入力!I50</f>
        <v/>
      </c>
      <c r="F311" s="393">
        <f>⑩盛付梱包工程入力!J50</f>
        <v/>
      </c>
      <c r="G311" s="393">
        <f>⑩盛付梱包工程入力!M50</f>
        <v/>
      </c>
      <c r="H311" s="393">
        <f>⑩盛付梱包工程入力!N50</f>
        <v/>
      </c>
      <c r="I311" s="393">
        <f>⑩盛付梱包工程入力!O50</f>
        <v/>
      </c>
    </row>
    <row r="312">
      <c r="A312" s="392" t="n">
        <v>308</v>
      </c>
      <c r="B312" s="392" t="inlineStr">
        <is>
          <t>⑩盛付梱包工程入力</t>
        </is>
      </c>
      <c r="C312" s="392" t="n">
        <v>51</v>
      </c>
      <c r="D312" s="392">
        <f>⑩盛付梱包工程入力!C51</f>
        <v/>
      </c>
      <c r="E312" s="393">
        <f>⑩盛付梱包工程入力!I51</f>
        <v/>
      </c>
      <c r="F312" s="393">
        <f>⑩盛付梱包工程入力!J51</f>
        <v/>
      </c>
      <c r="G312" s="393">
        <f>⑩盛付梱包工程入力!M51</f>
        <v/>
      </c>
      <c r="H312" s="393">
        <f>⑩盛付梱包工程入力!N51</f>
        <v/>
      </c>
      <c r="I312" s="393">
        <f>⑩盛付梱包工程入力!O51</f>
        <v/>
      </c>
    </row>
    <row r="313">
      <c r="A313" s="392" t="n">
        <v>309</v>
      </c>
      <c r="B313" s="392" t="inlineStr">
        <is>
          <t>⑩盛付梱包工程入力</t>
        </is>
      </c>
      <c r="C313" s="392" t="n">
        <v>52</v>
      </c>
      <c r="D313" s="392">
        <f>⑩盛付梱包工程入力!C52</f>
        <v/>
      </c>
      <c r="E313" s="393">
        <f>⑩盛付梱包工程入力!I52</f>
        <v/>
      </c>
      <c r="F313" s="393">
        <f>⑩盛付梱包工程入力!J52</f>
        <v/>
      </c>
      <c r="G313" s="393">
        <f>⑩盛付梱包工程入力!M52</f>
        <v/>
      </c>
      <c r="H313" s="393">
        <f>⑩盛付梱包工程入力!N52</f>
        <v/>
      </c>
      <c r="I313" s="393">
        <f>⑩盛付梱包工程入力!O52</f>
        <v/>
      </c>
    </row>
    <row r="314">
      <c r="A314" s="392" t="n">
        <v>310</v>
      </c>
      <c r="B314" s="392" t="inlineStr">
        <is>
          <t>⑩盛付梱包工程入力</t>
        </is>
      </c>
      <c r="C314" s="392" t="n">
        <v>53</v>
      </c>
      <c r="D314" s="392">
        <f>⑩盛付梱包工程入力!C53</f>
        <v/>
      </c>
      <c r="E314" s="393">
        <f>⑩盛付梱包工程入力!I53</f>
        <v/>
      </c>
      <c r="F314" s="393">
        <f>⑩盛付梱包工程入力!J53</f>
        <v/>
      </c>
      <c r="G314" s="393">
        <f>⑩盛付梱包工程入力!M53</f>
        <v/>
      </c>
      <c r="H314" s="393">
        <f>⑩盛付梱包工程入力!N53</f>
        <v/>
      </c>
      <c r="I314" s="393">
        <f>⑩盛付梱包工程入力!O53</f>
        <v/>
      </c>
    </row>
    <row r="315">
      <c r="A315" s="392" t="n">
        <v>311</v>
      </c>
      <c r="B315" s="392" t="inlineStr">
        <is>
          <t>⑩盛付梱包工程入力</t>
        </is>
      </c>
      <c r="C315" s="392" t="n">
        <v>54</v>
      </c>
      <c r="D315" s="392">
        <f>⑩盛付梱包工程入力!C54</f>
        <v/>
      </c>
      <c r="E315" s="393">
        <f>⑩盛付梱包工程入力!I54</f>
        <v/>
      </c>
      <c r="F315" s="393">
        <f>⑩盛付梱包工程入力!J54</f>
        <v/>
      </c>
      <c r="G315" s="393">
        <f>⑩盛付梱包工程入力!M54</f>
        <v/>
      </c>
      <c r="H315" s="393">
        <f>⑩盛付梱包工程入力!N54</f>
        <v/>
      </c>
      <c r="I315" s="393">
        <f>⑩盛付梱包工程入力!O54</f>
        <v/>
      </c>
    </row>
    <row r="316">
      <c r="A316" s="392" t="n">
        <v>312</v>
      </c>
      <c r="B316" s="392" t="inlineStr">
        <is>
          <t>⑩盛付梱包工程入力</t>
        </is>
      </c>
      <c r="C316" s="392" t="n">
        <v>55</v>
      </c>
      <c r="D316" s="392">
        <f>⑩盛付梱包工程入力!C55</f>
        <v/>
      </c>
      <c r="E316" s="393">
        <f>⑩盛付梱包工程入力!I55</f>
        <v/>
      </c>
      <c r="F316" s="393">
        <f>⑩盛付梱包工程入力!J55</f>
        <v/>
      </c>
      <c r="G316" s="393">
        <f>⑩盛付梱包工程入力!M55</f>
        <v/>
      </c>
      <c r="H316" s="393">
        <f>⑩盛付梱包工程入力!N55</f>
        <v/>
      </c>
      <c r="I316" s="393">
        <f>⑩盛付梱包工程入力!O55</f>
        <v/>
      </c>
    </row>
    <row r="317">
      <c r="A317" s="392" t="n">
        <v>313</v>
      </c>
      <c r="B317" s="392" t="inlineStr">
        <is>
          <t>⑩盛付梱包工程入力</t>
        </is>
      </c>
      <c r="C317" s="392" t="n">
        <v>56</v>
      </c>
      <c r="D317" s="392">
        <f>⑩盛付梱包工程入力!C56</f>
        <v/>
      </c>
      <c r="E317" s="393">
        <f>⑩盛付梱包工程入力!I56</f>
        <v/>
      </c>
      <c r="F317" s="393">
        <f>⑩盛付梱包工程入力!J56</f>
        <v/>
      </c>
      <c r="G317" s="393">
        <f>⑩盛付梱包工程入力!M56</f>
        <v/>
      </c>
      <c r="H317" s="393">
        <f>⑩盛付梱包工程入力!N56</f>
        <v/>
      </c>
      <c r="I317" s="393">
        <f>⑩盛付梱包工程入力!O56</f>
        <v/>
      </c>
    </row>
    <row r="318">
      <c r="A318" s="392" t="n">
        <v>314</v>
      </c>
      <c r="B318" s="392" t="inlineStr">
        <is>
          <t>⑩盛付梱包工程入力</t>
        </is>
      </c>
      <c r="C318" s="392" t="n">
        <v>57</v>
      </c>
      <c r="D318" s="392">
        <f>⑩盛付梱包工程入力!C57</f>
        <v/>
      </c>
      <c r="E318" s="393">
        <f>⑩盛付梱包工程入力!I57</f>
        <v/>
      </c>
      <c r="F318" s="393">
        <f>⑩盛付梱包工程入力!J57</f>
        <v/>
      </c>
      <c r="G318" s="393">
        <f>⑩盛付梱包工程入力!M57</f>
        <v/>
      </c>
      <c r="H318" s="393">
        <f>⑩盛付梱包工程入力!N57</f>
        <v/>
      </c>
      <c r="I318" s="393">
        <f>⑩盛付梱包工程入力!O57</f>
        <v/>
      </c>
    </row>
    <row r="319">
      <c r="A319" s="392" t="n">
        <v>315</v>
      </c>
      <c r="B319" s="392" t="inlineStr">
        <is>
          <t>⑩盛付梱包工程入力</t>
        </is>
      </c>
      <c r="C319" s="392" t="n">
        <v>58</v>
      </c>
      <c r="D319" s="392">
        <f>⑩盛付梱包工程入力!C58</f>
        <v/>
      </c>
      <c r="E319" s="393">
        <f>⑩盛付梱包工程入力!I58</f>
        <v/>
      </c>
      <c r="F319" s="393">
        <f>⑩盛付梱包工程入力!J58</f>
        <v/>
      </c>
      <c r="G319" s="393">
        <f>⑩盛付梱包工程入力!M58</f>
        <v/>
      </c>
      <c r="H319" s="393">
        <f>⑩盛付梱包工程入力!N58</f>
        <v/>
      </c>
      <c r="I319" s="393">
        <f>⑩盛付梱包工程入力!O58</f>
        <v/>
      </c>
    </row>
    <row r="320">
      <c r="A320" s="392" t="n">
        <v>316</v>
      </c>
      <c r="B320" s="392" t="inlineStr">
        <is>
          <t>⑩盛付梱包工程入力</t>
        </is>
      </c>
      <c r="C320" s="392" t="n">
        <v>59</v>
      </c>
      <c r="D320" s="392">
        <f>⑩盛付梱包工程入力!C59</f>
        <v/>
      </c>
      <c r="E320" s="393">
        <f>⑩盛付梱包工程入力!I59</f>
        <v/>
      </c>
      <c r="F320" s="393">
        <f>⑩盛付梱包工程入力!J59</f>
        <v/>
      </c>
      <c r="G320" s="393">
        <f>⑩盛付梱包工程入力!M59</f>
        <v/>
      </c>
      <c r="H320" s="393">
        <f>⑩盛付梱包工程入力!N59</f>
        <v/>
      </c>
      <c r="I320" s="393">
        <f>⑩盛付梱包工程入力!O59</f>
        <v/>
      </c>
    </row>
    <row r="321">
      <c r="A321" s="392" t="n">
        <v>317</v>
      </c>
      <c r="B321" s="392" t="inlineStr">
        <is>
          <t>⑩盛付梱包工程入力</t>
        </is>
      </c>
      <c r="C321" s="392" t="n">
        <v>60</v>
      </c>
      <c r="D321" s="392">
        <f>⑩盛付梱包工程入力!C60</f>
        <v/>
      </c>
      <c r="E321" s="393">
        <f>⑩盛付梱包工程入力!I60</f>
        <v/>
      </c>
      <c r="F321" s="393">
        <f>⑩盛付梱包工程入力!J60</f>
        <v/>
      </c>
      <c r="G321" s="393">
        <f>⑩盛付梱包工程入力!M60</f>
        <v/>
      </c>
      <c r="H321" s="393">
        <f>⑩盛付梱包工程入力!N60</f>
        <v/>
      </c>
      <c r="I321" s="393">
        <f>⑩盛付梱包工程入力!O60</f>
        <v/>
      </c>
    </row>
    <row r="322">
      <c r="A322" s="392" t="n">
        <v>318</v>
      </c>
      <c r="B322" s="392" t="inlineStr">
        <is>
          <t>⑩盛付梱包工程入力</t>
        </is>
      </c>
      <c r="C322" s="392" t="n">
        <v>61</v>
      </c>
      <c r="D322" s="392">
        <f>⑩盛付梱包工程入力!C61</f>
        <v/>
      </c>
      <c r="E322" s="393">
        <f>⑩盛付梱包工程入力!I61</f>
        <v/>
      </c>
      <c r="F322" s="393">
        <f>⑩盛付梱包工程入力!J61</f>
        <v/>
      </c>
      <c r="G322" s="393">
        <f>⑩盛付梱包工程入力!M61</f>
        <v/>
      </c>
      <c r="H322" s="393">
        <f>⑩盛付梱包工程入力!N61</f>
        <v/>
      </c>
      <c r="I322" s="393">
        <f>⑩盛付梱包工程入力!O61</f>
        <v/>
      </c>
    </row>
    <row r="323">
      <c r="A323" s="392" t="n">
        <v>319</v>
      </c>
      <c r="B323" s="392" t="inlineStr">
        <is>
          <t>⑩盛付梱包工程入力</t>
        </is>
      </c>
      <c r="C323" s="392" t="n">
        <v>62</v>
      </c>
      <c r="D323" s="392">
        <f>⑩盛付梱包工程入力!C62</f>
        <v/>
      </c>
      <c r="E323" s="393">
        <f>⑩盛付梱包工程入力!I62</f>
        <v/>
      </c>
      <c r="F323" s="393">
        <f>⑩盛付梱包工程入力!J62</f>
        <v/>
      </c>
      <c r="G323" s="393">
        <f>⑩盛付梱包工程入力!M62</f>
        <v/>
      </c>
      <c r="H323" s="393">
        <f>⑩盛付梱包工程入力!N62</f>
        <v/>
      </c>
      <c r="I323" s="393">
        <f>⑩盛付梱包工程入力!O62</f>
        <v/>
      </c>
    </row>
    <row r="324">
      <c r="A324" s="392" t="n">
        <v>320</v>
      </c>
      <c r="B324" s="392" t="inlineStr">
        <is>
          <t>⑩盛付梱包工程入力</t>
        </is>
      </c>
      <c r="C324" s="392" t="n">
        <v>63</v>
      </c>
      <c r="D324" s="392">
        <f>⑩盛付梱包工程入力!C63</f>
        <v/>
      </c>
      <c r="E324" s="393">
        <f>⑩盛付梱包工程入力!I63</f>
        <v/>
      </c>
      <c r="F324" s="393">
        <f>⑩盛付梱包工程入力!J63</f>
        <v/>
      </c>
      <c r="G324" s="393">
        <f>⑩盛付梱包工程入力!M63</f>
        <v/>
      </c>
      <c r="H324" s="393">
        <f>⑩盛付梱包工程入力!N63</f>
        <v/>
      </c>
      <c r="I324" s="393">
        <f>⑩盛付梱包工程入力!O63</f>
        <v/>
      </c>
    </row>
    <row r="325">
      <c r="A325" s="392" t="n">
        <v>321</v>
      </c>
      <c r="B325" s="392" t="inlineStr">
        <is>
          <t>⑩盛付梱包工程入力</t>
        </is>
      </c>
      <c r="C325" s="392" t="n">
        <v>64</v>
      </c>
      <c r="D325" s="392">
        <f>⑩盛付梱包工程入力!C64</f>
        <v/>
      </c>
      <c r="E325" s="393">
        <f>⑩盛付梱包工程入力!I64</f>
        <v/>
      </c>
      <c r="F325" s="393">
        <f>⑩盛付梱包工程入力!J64</f>
        <v/>
      </c>
      <c r="G325" s="393">
        <f>⑩盛付梱包工程入力!M64</f>
        <v/>
      </c>
      <c r="H325" s="393">
        <f>⑩盛付梱包工程入力!N64</f>
        <v/>
      </c>
      <c r="I325" s="393">
        <f>⑩盛付梱包工程入力!O64</f>
        <v/>
      </c>
    </row>
    <row r="326">
      <c r="A326" s="392" t="n">
        <v>322</v>
      </c>
      <c r="B326" s="392" t="inlineStr">
        <is>
          <t>⑩盛付梱包工程入力</t>
        </is>
      </c>
      <c r="C326" s="392" t="n">
        <v>65</v>
      </c>
      <c r="D326" s="392">
        <f>⑩盛付梱包工程入力!C65</f>
        <v/>
      </c>
      <c r="E326" s="393">
        <f>⑩盛付梱包工程入力!I65</f>
        <v/>
      </c>
      <c r="F326" s="393">
        <f>⑩盛付梱包工程入力!J65</f>
        <v/>
      </c>
      <c r="G326" s="393">
        <f>⑩盛付梱包工程入力!M65</f>
        <v/>
      </c>
      <c r="H326" s="393">
        <f>⑩盛付梱包工程入力!N65</f>
        <v/>
      </c>
      <c r="I326" s="393">
        <f>⑩盛付梱包工程入力!O65</f>
        <v/>
      </c>
    </row>
    <row r="327">
      <c r="A327" s="392" t="n">
        <v>323</v>
      </c>
      <c r="B327" s="392" t="inlineStr">
        <is>
          <t>⑩盛付梱包工程入力</t>
        </is>
      </c>
      <c r="C327" s="392" t="n">
        <v>66</v>
      </c>
      <c r="D327" s="392">
        <f>⑩盛付梱包工程入力!C66</f>
        <v/>
      </c>
      <c r="E327" s="393">
        <f>⑩盛付梱包工程入力!I66</f>
        <v/>
      </c>
      <c r="F327" s="393">
        <f>⑩盛付梱包工程入力!J66</f>
        <v/>
      </c>
      <c r="G327" s="393">
        <f>⑩盛付梱包工程入力!M66</f>
        <v/>
      </c>
      <c r="H327" s="393">
        <f>⑩盛付梱包工程入力!N66</f>
        <v/>
      </c>
      <c r="I327" s="393">
        <f>⑩盛付梱包工程入力!O66</f>
        <v/>
      </c>
    </row>
    <row r="328">
      <c r="A328" s="392" t="n">
        <v>324</v>
      </c>
      <c r="B328" s="392" t="inlineStr">
        <is>
          <t>⑩盛付梱包工程入力</t>
        </is>
      </c>
      <c r="C328" s="392" t="n">
        <v>67</v>
      </c>
      <c r="D328" s="392">
        <f>⑩盛付梱包工程入力!C67</f>
        <v/>
      </c>
      <c r="E328" s="393">
        <f>⑩盛付梱包工程入力!I67</f>
        <v/>
      </c>
      <c r="F328" s="393">
        <f>⑩盛付梱包工程入力!J67</f>
        <v/>
      </c>
      <c r="G328" s="393">
        <f>⑩盛付梱包工程入力!M67</f>
        <v/>
      </c>
      <c r="H328" s="393">
        <f>⑩盛付梱包工程入力!N67</f>
        <v/>
      </c>
      <c r="I328" s="393">
        <f>⑩盛付梱包工程入力!O67</f>
        <v/>
      </c>
    </row>
    <row r="329">
      <c r="A329" s="392" t="n">
        <v>325</v>
      </c>
      <c r="B329" s="392" t="inlineStr">
        <is>
          <t>⑩盛付梱包工程入力</t>
        </is>
      </c>
      <c r="C329" s="392" t="n">
        <v>68</v>
      </c>
      <c r="D329" s="392">
        <f>⑩盛付梱包工程入力!C68</f>
        <v/>
      </c>
      <c r="E329" s="393">
        <f>⑩盛付梱包工程入力!I68</f>
        <v/>
      </c>
      <c r="F329" s="393">
        <f>⑩盛付梱包工程入力!J68</f>
        <v/>
      </c>
      <c r="G329" s="393">
        <f>⑩盛付梱包工程入力!M68</f>
        <v/>
      </c>
      <c r="H329" s="393">
        <f>⑩盛付梱包工程入力!N68</f>
        <v/>
      </c>
      <c r="I329" s="393">
        <f>⑩盛付梱包工程入力!O68</f>
        <v/>
      </c>
    </row>
    <row r="330">
      <c r="A330" s="392" t="n">
        <v>326</v>
      </c>
      <c r="B330" s="392" t="inlineStr">
        <is>
          <t>⑩盛付梱包工程入力</t>
        </is>
      </c>
      <c r="C330" s="392" t="n">
        <v>69</v>
      </c>
      <c r="D330" s="392">
        <f>⑩盛付梱包工程入力!C69</f>
        <v/>
      </c>
      <c r="E330" s="393">
        <f>⑩盛付梱包工程入力!I69</f>
        <v/>
      </c>
      <c r="F330" s="393">
        <f>⑩盛付梱包工程入力!J69</f>
        <v/>
      </c>
      <c r="G330" s="393">
        <f>⑩盛付梱包工程入力!M69</f>
        <v/>
      </c>
      <c r="H330" s="393">
        <f>⑩盛付梱包工程入力!N69</f>
        <v/>
      </c>
      <c r="I330" s="393">
        <f>⑩盛付梱包工程入力!O69</f>
        <v/>
      </c>
    </row>
    <row r="331">
      <c r="A331" s="392" t="n">
        <v>327</v>
      </c>
      <c r="B331" s="392" t="inlineStr">
        <is>
          <t>⑩盛付梱包工程入力</t>
        </is>
      </c>
      <c r="C331" s="392" t="n">
        <v>70</v>
      </c>
      <c r="D331" s="392">
        <f>⑩盛付梱包工程入力!C70</f>
        <v/>
      </c>
      <c r="E331" s="393">
        <f>⑩盛付梱包工程入力!I70</f>
        <v/>
      </c>
      <c r="F331" s="393">
        <f>⑩盛付梱包工程入力!J70</f>
        <v/>
      </c>
      <c r="G331" s="393">
        <f>⑩盛付梱包工程入力!M70</f>
        <v/>
      </c>
      <c r="H331" s="393">
        <f>⑩盛付梱包工程入力!N70</f>
        <v/>
      </c>
      <c r="I331" s="393">
        <f>⑩盛付梱包工程入力!O70</f>
        <v/>
      </c>
    </row>
    <row r="332">
      <c r="A332" s="392" t="n">
        <v>328</v>
      </c>
      <c r="B332" s="392" t="inlineStr">
        <is>
          <t>⑩盛付梱包工程入力</t>
        </is>
      </c>
      <c r="C332" s="392" t="n">
        <v>71</v>
      </c>
      <c r="D332" s="392">
        <f>⑩盛付梱包工程入力!C71</f>
        <v/>
      </c>
      <c r="E332" s="393">
        <f>⑩盛付梱包工程入力!I71</f>
        <v/>
      </c>
      <c r="F332" s="393">
        <f>⑩盛付梱包工程入力!J71</f>
        <v/>
      </c>
      <c r="G332" s="393">
        <f>⑩盛付梱包工程入力!M71</f>
        <v/>
      </c>
      <c r="H332" s="393">
        <f>⑩盛付梱包工程入力!N71</f>
        <v/>
      </c>
      <c r="I332" s="393">
        <f>⑩盛付梱包工程入力!O71</f>
        <v/>
      </c>
    </row>
    <row r="333">
      <c r="A333" s="392" t="n">
        <v>329</v>
      </c>
      <c r="B333" s="392" t="inlineStr">
        <is>
          <t>⑩盛付梱包工程入力</t>
        </is>
      </c>
      <c r="C333" s="392" t="n">
        <v>72</v>
      </c>
      <c r="D333" s="392">
        <f>⑩盛付梱包工程入力!C72</f>
        <v/>
      </c>
      <c r="E333" s="393">
        <f>⑩盛付梱包工程入力!I72</f>
        <v/>
      </c>
      <c r="F333" s="393">
        <f>⑩盛付梱包工程入力!J72</f>
        <v/>
      </c>
      <c r="G333" s="393">
        <f>⑩盛付梱包工程入力!M72</f>
        <v/>
      </c>
      <c r="H333" s="393">
        <f>⑩盛付梱包工程入力!N72</f>
        <v/>
      </c>
      <c r="I333" s="393">
        <f>⑩盛付梱包工程入力!O72</f>
        <v/>
      </c>
    </row>
    <row r="334">
      <c r="A334" s="392" t="n">
        <v>330</v>
      </c>
      <c r="B334" s="392" t="inlineStr">
        <is>
          <t>⑩盛付梱包工程入力</t>
        </is>
      </c>
      <c r="C334" s="392" t="n">
        <v>73</v>
      </c>
      <c r="D334" s="392">
        <f>⑩盛付梱包工程入力!C73</f>
        <v/>
      </c>
      <c r="E334" s="393">
        <f>⑩盛付梱包工程入力!I73</f>
        <v/>
      </c>
      <c r="F334" s="393">
        <f>⑩盛付梱包工程入力!J73</f>
        <v/>
      </c>
      <c r="G334" s="393">
        <f>⑩盛付梱包工程入力!M73</f>
        <v/>
      </c>
      <c r="H334" s="393">
        <f>⑩盛付梱包工程入力!N73</f>
        <v/>
      </c>
      <c r="I334" s="393">
        <f>⑩盛付梱包工程入力!O73</f>
        <v/>
      </c>
    </row>
    <row r="335">
      <c r="A335" s="392" t="n">
        <v>331</v>
      </c>
      <c r="B335" s="392" t="inlineStr">
        <is>
          <t>⑩盛付梱包工程入力</t>
        </is>
      </c>
      <c r="C335" s="392" t="n">
        <v>74</v>
      </c>
      <c r="D335" s="392">
        <f>⑩盛付梱包工程入力!C74</f>
        <v/>
      </c>
      <c r="E335" s="393">
        <f>⑩盛付梱包工程入力!I74</f>
        <v/>
      </c>
      <c r="F335" s="393">
        <f>⑩盛付梱包工程入力!J74</f>
        <v/>
      </c>
      <c r="G335" s="393">
        <f>⑩盛付梱包工程入力!M74</f>
        <v/>
      </c>
      <c r="H335" s="393">
        <f>⑩盛付梱包工程入力!N74</f>
        <v/>
      </c>
      <c r="I335" s="393">
        <f>⑩盛付梱包工程入力!O74</f>
        <v/>
      </c>
    </row>
    <row r="336">
      <c r="A336" s="392" t="n">
        <v>332</v>
      </c>
      <c r="B336" s="392" t="inlineStr">
        <is>
          <t>⑩盛付梱包工程入力</t>
        </is>
      </c>
      <c r="C336" s="392" t="n">
        <v>75</v>
      </c>
      <c r="D336" s="392">
        <f>⑩盛付梱包工程入力!C75</f>
        <v/>
      </c>
      <c r="E336" s="393">
        <f>⑩盛付梱包工程入力!I75</f>
        <v/>
      </c>
      <c r="F336" s="393">
        <f>⑩盛付梱包工程入力!J75</f>
        <v/>
      </c>
      <c r="G336" s="393">
        <f>⑩盛付梱包工程入力!M75</f>
        <v/>
      </c>
      <c r="H336" s="393">
        <f>⑩盛付梱包工程入力!N75</f>
        <v/>
      </c>
      <c r="I336" s="393">
        <f>⑩盛付梱包工程入力!O75</f>
        <v/>
      </c>
    </row>
    <row r="337">
      <c r="A337" s="392" t="n">
        <v>333</v>
      </c>
      <c r="B337" s="392" t="inlineStr">
        <is>
          <t>⑩盛付梱包工程入力</t>
        </is>
      </c>
      <c r="C337" s="392" t="n">
        <v>76</v>
      </c>
      <c r="D337" s="392">
        <f>⑩盛付梱包工程入力!C76</f>
        <v/>
      </c>
      <c r="E337" s="393">
        <f>⑩盛付梱包工程入力!I76</f>
        <v/>
      </c>
      <c r="F337" s="393">
        <f>⑩盛付梱包工程入力!J76</f>
        <v/>
      </c>
      <c r="G337" s="393">
        <f>⑩盛付梱包工程入力!M76</f>
        <v/>
      </c>
      <c r="H337" s="393">
        <f>⑩盛付梱包工程入力!N76</f>
        <v/>
      </c>
      <c r="I337" s="393">
        <f>⑩盛付梱包工程入力!O76</f>
        <v/>
      </c>
    </row>
    <row r="338">
      <c r="A338" s="392" t="n">
        <v>334</v>
      </c>
      <c r="B338" s="392" t="inlineStr">
        <is>
          <t>⑩盛付梱包工程入力</t>
        </is>
      </c>
      <c r="C338" s="392" t="n">
        <v>77</v>
      </c>
      <c r="D338" s="392">
        <f>⑩盛付梱包工程入力!C77</f>
        <v/>
      </c>
      <c r="E338" s="393">
        <f>⑩盛付梱包工程入力!I77</f>
        <v/>
      </c>
      <c r="F338" s="393">
        <f>⑩盛付梱包工程入力!J77</f>
        <v/>
      </c>
      <c r="G338" s="393">
        <f>⑩盛付梱包工程入力!M77</f>
        <v/>
      </c>
      <c r="H338" s="393">
        <f>⑩盛付梱包工程入力!N77</f>
        <v/>
      </c>
      <c r="I338" s="393">
        <f>⑩盛付梱包工程入力!O77</f>
        <v/>
      </c>
    </row>
    <row r="339">
      <c r="A339" s="392" t="n">
        <v>335</v>
      </c>
      <c r="B339" s="392" t="inlineStr">
        <is>
          <t>⑩盛付梱包工程入力</t>
        </is>
      </c>
      <c r="C339" s="392" t="n">
        <v>78</v>
      </c>
      <c r="D339" s="392">
        <f>⑩盛付梱包工程入力!C78</f>
        <v/>
      </c>
      <c r="E339" s="393">
        <f>⑩盛付梱包工程入力!I78</f>
        <v/>
      </c>
      <c r="F339" s="393">
        <f>⑩盛付梱包工程入力!J78</f>
        <v/>
      </c>
      <c r="G339" s="393">
        <f>⑩盛付梱包工程入力!M78</f>
        <v/>
      </c>
      <c r="H339" s="393">
        <f>⑩盛付梱包工程入力!N78</f>
        <v/>
      </c>
      <c r="I339" s="393">
        <f>⑩盛付梱包工程入力!O78</f>
        <v/>
      </c>
    </row>
    <row r="340">
      <c r="A340" s="392" t="n">
        <v>336</v>
      </c>
      <c r="B340" s="392" t="inlineStr">
        <is>
          <t>⑩盛付梱包工程入力</t>
        </is>
      </c>
      <c r="C340" s="392" t="n">
        <v>79</v>
      </c>
      <c r="D340" s="392">
        <f>⑩盛付梱包工程入力!C79</f>
        <v/>
      </c>
      <c r="E340" s="393">
        <f>⑩盛付梱包工程入力!I79</f>
        <v/>
      </c>
      <c r="F340" s="393">
        <f>⑩盛付梱包工程入力!J79</f>
        <v/>
      </c>
      <c r="G340" s="393">
        <f>⑩盛付梱包工程入力!M79</f>
        <v/>
      </c>
      <c r="H340" s="393">
        <f>⑩盛付梱包工程入力!N79</f>
        <v/>
      </c>
      <c r="I340" s="393">
        <f>⑩盛付梱包工程入力!O79</f>
        <v/>
      </c>
    </row>
    <row r="341">
      <c r="A341" s="392" t="n">
        <v>337</v>
      </c>
      <c r="B341" s="392" t="inlineStr">
        <is>
          <t>⑩盛付梱包工程入力</t>
        </is>
      </c>
      <c r="C341" s="392" t="n">
        <v>80</v>
      </c>
      <c r="D341" s="392">
        <f>⑩盛付梱包工程入力!C80</f>
        <v/>
      </c>
      <c r="E341" s="393">
        <f>⑩盛付梱包工程入力!I80</f>
        <v/>
      </c>
      <c r="F341" s="393">
        <f>⑩盛付梱包工程入力!J80</f>
        <v/>
      </c>
      <c r="G341" s="393">
        <f>⑩盛付梱包工程入力!M80</f>
        <v/>
      </c>
      <c r="H341" s="393">
        <f>⑩盛付梱包工程入力!N80</f>
        <v/>
      </c>
      <c r="I341" s="393">
        <f>⑩盛付梱包工程入力!O80</f>
        <v/>
      </c>
    </row>
    <row r="342">
      <c r="A342" s="392" t="n">
        <v>338</v>
      </c>
      <c r="B342" s="392" t="inlineStr">
        <is>
          <t>⑩盛付梱包工程入力</t>
        </is>
      </c>
      <c r="C342" s="392" t="n">
        <v>81</v>
      </c>
      <c r="D342" s="392">
        <f>⑩盛付梱包工程入力!C81</f>
        <v/>
      </c>
      <c r="E342" s="393">
        <f>⑩盛付梱包工程入力!I81</f>
        <v/>
      </c>
      <c r="F342" s="393">
        <f>⑩盛付梱包工程入力!J81</f>
        <v/>
      </c>
      <c r="G342" s="393">
        <f>⑩盛付梱包工程入力!M81</f>
        <v/>
      </c>
      <c r="H342" s="393">
        <f>⑩盛付梱包工程入力!N81</f>
        <v/>
      </c>
      <c r="I342" s="393">
        <f>⑩盛付梱包工程入力!O81</f>
        <v/>
      </c>
    </row>
    <row r="343">
      <c r="A343" s="392" t="n">
        <v>339</v>
      </c>
      <c r="B343" s="392" t="inlineStr">
        <is>
          <t>⑩盛付梱包工程入力</t>
        </is>
      </c>
      <c r="C343" s="392" t="n">
        <v>82</v>
      </c>
      <c r="D343" s="392">
        <f>⑩盛付梱包工程入力!C82</f>
        <v/>
      </c>
      <c r="E343" s="393">
        <f>⑩盛付梱包工程入力!I82</f>
        <v/>
      </c>
      <c r="F343" s="393">
        <f>⑩盛付梱包工程入力!J82</f>
        <v/>
      </c>
      <c r="G343" s="393">
        <f>⑩盛付梱包工程入力!M82</f>
        <v/>
      </c>
      <c r="H343" s="393">
        <f>⑩盛付梱包工程入力!N82</f>
        <v/>
      </c>
      <c r="I343" s="393">
        <f>⑩盛付梱包工程入力!O82</f>
        <v/>
      </c>
    </row>
    <row r="344">
      <c r="A344" s="392" t="n">
        <v>340</v>
      </c>
      <c r="B344" s="392" t="inlineStr">
        <is>
          <t>⑩盛付梱包工程入力</t>
        </is>
      </c>
      <c r="C344" s="392" t="n">
        <v>83</v>
      </c>
      <c r="D344" s="392">
        <f>⑩盛付梱包工程入力!C83</f>
        <v/>
      </c>
      <c r="E344" s="393">
        <f>⑩盛付梱包工程入力!I83</f>
        <v/>
      </c>
      <c r="F344" s="393">
        <f>⑩盛付梱包工程入力!J83</f>
        <v/>
      </c>
      <c r="G344" s="393">
        <f>⑩盛付梱包工程入力!M83</f>
        <v/>
      </c>
      <c r="H344" s="393">
        <f>⑩盛付梱包工程入力!N83</f>
        <v/>
      </c>
      <c r="I344" s="393">
        <f>⑩盛付梱包工程入力!O83</f>
        <v/>
      </c>
    </row>
    <row r="345">
      <c r="A345" s="392" t="n">
        <v>341</v>
      </c>
      <c r="B345" s="392" t="inlineStr">
        <is>
          <t>⑩盛付梱包工程入力</t>
        </is>
      </c>
      <c r="C345" s="392" t="n">
        <v>84</v>
      </c>
      <c r="D345" s="392">
        <f>⑩盛付梱包工程入力!C84</f>
        <v/>
      </c>
      <c r="E345" s="393">
        <f>⑩盛付梱包工程入力!I84</f>
        <v/>
      </c>
      <c r="F345" s="393">
        <f>⑩盛付梱包工程入力!J84</f>
        <v/>
      </c>
      <c r="G345" s="393">
        <f>⑩盛付梱包工程入力!M84</f>
        <v/>
      </c>
      <c r="H345" s="393">
        <f>⑩盛付梱包工程入力!N84</f>
        <v/>
      </c>
      <c r="I345" s="393">
        <f>⑩盛付梱包工程入力!O84</f>
        <v/>
      </c>
    </row>
    <row r="346">
      <c r="A346" s="392" t="n">
        <v>342</v>
      </c>
      <c r="B346" s="392" t="inlineStr">
        <is>
          <t>⑩盛付梱包工程入力</t>
        </is>
      </c>
      <c r="C346" s="392" t="n">
        <v>85</v>
      </c>
      <c r="D346" s="392">
        <f>⑩盛付梱包工程入力!C85</f>
        <v/>
      </c>
      <c r="E346" s="393">
        <f>⑩盛付梱包工程入力!I85</f>
        <v/>
      </c>
      <c r="F346" s="393">
        <f>⑩盛付梱包工程入力!J85</f>
        <v/>
      </c>
      <c r="G346" s="393">
        <f>⑩盛付梱包工程入力!M85</f>
        <v/>
      </c>
      <c r="H346" s="393">
        <f>⑩盛付梱包工程入力!N85</f>
        <v/>
      </c>
      <c r="I346" s="393">
        <f>⑩盛付梱包工程入力!O85</f>
        <v/>
      </c>
    </row>
    <row r="347">
      <c r="A347" s="392" t="n">
        <v>343</v>
      </c>
      <c r="B347" s="392" t="inlineStr">
        <is>
          <t>⑩盛付梱包工程入力</t>
        </is>
      </c>
      <c r="C347" s="392" t="n">
        <v>86</v>
      </c>
      <c r="D347" s="392">
        <f>⑩盛付梱包工程入力!C86</f>
        <v/>
      </c>
      <c r="E347" s="393">
        <f>⑩盛付梱包工程入力!I86</f>
        <v/>
      </c>
      <c r="F347" s="393">
        <f>⑩盛付梱包工程入力!J86</f>
        <v/>
      </c>
      <c r="G347" s="393">
        <f>⑩盛付梱包工程入力!M86</f>
        <v/>
      </c>
      <c r="H347" s="393">
        <f>⑩盛付梱包工程入力!N86</f>
        <v/>
      </c>
      <c r="I347" s="393">
        <f>⑩盛付梱包工程入力!O86</f>
        <v/>
      </c>
    </row>
    <row r="348">
      <c r="A348" s="392" t="n">
        <v>344</v>
      </c>
      <c r="B348" s="392" t="inlineStr">
        <is>
          <t>⑩盛付梱包工程入力</t>
        </is>
      </c>
      <c r="C348" s="392" t="n">
        <v>87</v>
      </c>
      <c r="D348" s="392">
        <f>⑩盛付梱包工程入力!C87</f>
        <v/>
      </c>
      <c r="E348" s="393">
        <f>⑩盛付梱包工程入力!I87</f>
        <v/>
      </c>
      <c r="F348" s="393">
        <f>⑩盛付梱包工程入力!J87</f>
        <v/>
      </c>
      <c r="G348" s="393">
        <f>⑩盛付梱包工程入力!M87</f>
        <v/>
      </c>
      <c r="H348" s="393">
        <f>⑩盛付梱包工程入力!N87</f>
        <v/>
      </c>
      <c r="I348" s="393">
        <f>⑩盛付梱包工程入力!O87</f>
        <v/>
      </c>
    </row>
    <row r="349">
      <c r="A349" s="392" t="n">
        <v>345</v>
      </c>
      <c r="B349" s="392" t="inlineStr">
        <is>
          <t>⑩盛付梱包工程入力</t>
        </is>
      </c>
      <c r="C349" s="392" t="n">
        <v>88</v>
      </c>
      <c r="D349" s="392">
        <f>⑩盛付梱包工程入力!C88</f>
        <v/>
      </c>
      <c r="E349" s="393">
        <f>⑩盛付梱包工程入力!I88</f>
        <v/>
      </c>
      <c r="F349" s="393">
        <f>⑩盛付梱包工程入力!J88</f>
        <v/>
      </c>
      <c r="G349" s="393">
        <f>⑩盛付梱包工程入力!M88</f>
        <v/>
      </c>
      <c r="H349" s="393">
        <f>⑩盛付梱包工程入力!N88</f>
        <v/>
      </c>
      <c r="I349" s="393">
        <f>⑩盛付梱包工程入力!O88</f>
        <v/>
      </c>
    </row>
    <row r="350">
      <c r="A350" s="392" t="n">
        <v>346</v>
      </c>
      <c r="B350" s="392" t="inlineStr">
        <is>
          <t>⑩盛付梱包工程入力</t>
        </is>
      </c>
      <c r="C350" s="392" t="n">
        <v>89</v>
      </c>
      <c r="D350" s="392">
        <f>⑩盛付梱包工程入力!C89</f>
        <v/>
      </c>
      <c r="E350" s="393">
        <f>⑩盛付梱包工程入力!I89</f>
        <v/>
      </c>
      <c r="F350" s="393">
        <f>⑩盛付梱包工程入力!J89</f>
        <v/>
      </c>
      <c r="G350" s="393">
        <f>⑩盛付梱包工程入力!M89</f>
        <v/>
      </c>
      <c r="H350" s="393">
        <f>⑩盛付梱包工程入力!N89</f>
        <v/>
      </c>
      <c r="I350" s="393">
        <f>⑩盛付梱包工程入力!O89</f>
        <v/>
      </c>
    </row>
    <row r="351">
      <c r="A351" s="392" t="n">
        <v>347</v>
      </c>
      <c r="B351" s="392" t="inlineStr">
        <is>
          <t>⑩盛付梱包工程入力</t>
        </is>
      </c>
      <c r="C351" s="392" t="n">
        <v>90</v>
      </c>
      <c r="D351" s="392">
        <f>⑩盛付梱包工程入力!C90</f>
        <v/>
      </c>
      <c r="E351" s="393">
        <f>⑩盛付梱包工程入力!I90</f>
        <v/>
      </c>
      <c r="F351" s="393">
        <f>⑩盛付梱包工程入力!J90</f>
        <v/>
      </c>
      <c r="G351" s="393">
        <f>⑩盛付梱包工程入力!M90</f>
        <v/>
      </c>
      <c r="H351" s="393">
        <f>⑩盛付梱包工程入力!N90</f>
        <v/>
      </c>
      <c r="I351" s="393">
        <f>⑩盛付梱包工程入力!O90</f>
        <v/>
      </c>
    </row>
    <row r="352">
      <c r="A352" s="392" t="n">
        <v>348</v>
      </c>
      <c r="B352" s="392" t="inlineStr">
        <is>
          <t>⑩盛付梱包工程入力</t>
        </is>
      </c>
      <c r="C352" s="392" t="n">
        <v>91</v>
      </c>
      <c r="D352" s="392">
        <f>⑩盛付梱包工程入力!C91</f>
        <v/>
      </c>
      <c r="E352" s="393">
        <f>⑩盛付梱包工程入力!I91</f>
        <v/>
      </c>
      <c r="F352" s="393">
        <f>⑩盛付梱包工程入力!J91</f>
        <v/>
      </c>
      <c r="G352" s="393">
        <f>⑩盛付梱包工程入力!M91</f>
        <v/>
      </c>
      <c r="H352" s="393">
        <f>⑩盛付梱包工程入力!N91</f>
        <v/>
      </c>
      <c r="I352" s="393">
        <f>⑩盛付梱包工程入力!O91</f>
        <v/>
      </c>
    </row>
    <row r="353">
      <c r="A353" s="392" t="n">
        <v>349</v>
      </c>
      <c r="B353" s="392" t="inlineStr">
        <is>
          <t>⑩盛付梱包工程入力</t>
        </is>
      </c>
      <c r="C353" s="392" t="n">
        <v>92</v>
      </c>
      <c r="D353" s="392">
        <f>⑩盛付梱包工程入力!C92</f>
        <v/>
      </c>
      <c r="E353" s="393">
        <f>⑩盛付梱包工程入力!I92</f>
        <v/>
      </c>
      <c r="F353" s="393">
        <f>⑩盛付梱包工程入力!J92</f>
        <v/>
      </c>
      <c r="G353" s="393">
        <f>⑩盛付梱包工程入力!M92</f>
        <v/>
      </c>
      <c r="H353" s="393">
        <f>⑩盛付梱包工程入力!N92</f>
        <v/>
      </c>
      <c r="I353" s="393">
        <f>⑩盛付梱包工程入力!O92</f>
        <v/>
      </c>
    </row>
    <row r="354">
      <c r="A354" s="392" t="n">
        <v>350</v>
      </c>
      <c r="B354" s="392" t="inlineStr">
        <is>
          <t>⑩盛付梱包工程入力</t>
        </is>
      </c>
      <c r="C354" s="392" t="n">
        <v>93</v>
      </c>
      <c r="D354" s="392">
        <f>⑩盛付梱包工程入力!C93</f>
        <v/>
      </c>
      <c r="E354" s="393">
        <f>⑩盛付梱包工程入力!I93</f>
        <v/>
      </c>
      <c r="F354" s="393">
        <f>⑩盛付梱包工程入力!J93</f>
        <v/>
      </c>
      <c r="G354" s="393">
        <f>⑩盛付梱包工程入力!M93</f>
        <v/>
      </c>
      <c r="H354" s="393">
        <f>⑩盛付梱包工程入力!N93</f>
        <v/>
      </c>
      <c r="I354" s="393">
        <f>⑩盛付梱包工程入力!O93</f>
        <v/>
      </c>
    </row>
    <row r="355">
      <c r="A355" s="392" t="n">
        <v>351</v>
      </c>
      <c r="B355" s="392" t="inlineStr">
        <is>
          <t>⑩盛付梱包工程入力</t>
        </is>
      </c>
      <c r="C355" s="392" t="n">
        <v>94</v>
      </c>
      <c r="D355" s="392">
        <f>⑩盛付梱包工程入力!C94</f>
        <v/>
      </c>
      <c r="E355" s="393">
        <f>⑩盛付梱包工程入力!I94</f>
        <v/>
      </c>
      <c r="F355" s="393">
        <f>⑩盛付梱包工程入力!J94</f>
        <v/>
      </c>
      <c r="G355" s="393">
        <f>⑩盛付梱包工程入力!M94</f>
        <v/>
      </c>
      <c r="H355" s="393">
        <f>⑩盛付梱包工程入力!N94</f>
        <v/>
      </c>
      <c r="I355" s="393">
        <f>⑩盛付梱包工程入力!O94</f>
        <v/>
      </c>
    </row>
    <row r="356">
      <c r="A356" s="392" t="n">
        <v>352</v>
      </c>
      <c r="B356" s="392" t="inlineStr">
        <is>
          <t>⑩盛付梱包工程入力</t>
        </is>
      </c>
      <c r="C356" s="392" t="n">
        <v>95</v>
      </c>
      <c r="D356" s="392">
        <f>⑩盛付梱包工程入力!C95</f>
        <v/>
      </c>
      <c r="E356" s="393">
        <f>⑩盛付梱包工程入力!I95</f>
        <v/>
      </c>
      <c r="F356" s="393">
        <f>⑩盛付梱包工程入力!J95</f>
        <v/>
      </c>
      <c r="G356" s="393">
        <f>⑩盛付梱包工程入力!M95</f>
        <v/>
      </c>
      <c r="H356" s="393">
        <f>⑩盛付梱包工程入力!N95</f>
        <v/>
      </c>
      <c r="I356" s="393">
        <f>⑩盛付梱包工程入力!O95</f>
        <v/>
      </c>
    </row>
    <row r="357">
      <c r="A357" s="392" t="n">
        <v>353</v>
      </c>
      <c r="B357" s="392" t="inlineStr">
        <is>
          <t>⑩盛付梱包工程入力</t>
        </is>
      </c>
      <c r="C357" s="392" t="n">
        <v>96</v>
      </c>
      <c r="D357" s="392">
        <f>⑩盛付梱包工程入力!C96</f>
        <v/>
      </c>
      <c r="E357" s="393">
        <f>⑩盛付梱包工程入力!I96</f>
        <v/>
      </c>
      <c r="F357" s="393">
        <f>⑩盛付梱包工程入力!J96</f>
        <v/>
      </c>
      <c r="G357" s="393">
        <f>⑩盛付梱包工程入力!M96</f>
        <v/>
      </c>
      <c r="H357" s="393">
        <f>⑩盛付梱包工程入力!N96</f>
        <v/>
      </c>
      <c r="I357" s="393">
        <f>⑩盛付梱包工程入力!O96</f>
        <v/>
      </c>
    </row>
    <row r="358">
      <c r="A358" s="392" t="n">
        <v>354</v>
      </c>
      <c r="B358" s="392" t="inlineStr">
        <is>
          <t>⑩盛付梱包工程入力</t>
        </is>
      </c>
      <c r="C358" s="392" t="n">
        <v>97</v>
      </c>
      <c r="D358" s="392">
        <f>⑩盛付梱包工程入力!C97</f>
        <v/>
      </c>
      <c r="E358" s="393">
        <f>⑩盛付梱包工程入力!I97</f>
        <v/>
      </c>
      <c r="F358" s="393">
        <f>⑩盛付梱包工程入力!J97</f>
        <v/>
      </c>
      <c r="G358" s="393">
        <f>⑩盛付梱包工程入力!M97</f>
        <v/>
      </c>
      <c r="H358" s="393">
        <f>⑩盛付梱包工程入力!N97</f>
        <v/>
      </c>
      <c r="I358" s="393">
        <f>⑩盛付梱包工程入力!O97</f>
        <v/>
      </c>
    </row>
    <row r="359">
      <c r="A359" s="392" t="n">
        <v>355</v>
      </c>
      <c r="B359" s="392" t="inlineStr">
        <is>
          <t>⑩盛付梱包工程入力</t>
        </is>
      </c>
      <c r="C359" s="392" t="n">
        <v>98</v>
      </c>
      <c r="D359" s="392">
        <f>⑩盛付梱包工程入力!C98</f>
        <v/>
      </c>
      <c r="E359" s="393">
        <f>⑩盛付梱包工程入力!I98</f>
        <v/>
      </c>
      <c r="F359" s="393">
        <f>⑩盛付梱包工程入力!J98</f>
        <v/>
      </c>
      <c r="G359" s="393">
        <f>⑩盛付梱包工程入力!M98</f>
        <v/>
      </c>
      <c r="H359" s="393">
        <f>⑩盛付梱包工程入力!N98</f>
        <v/>
      </c>
      <c r="I359" s="393">
        <f>⑩盛付梱包工程入力!O98</f>
        <v/>
      </c>
    </row>
    <row r="360">
      <c r="A360" s="392" t="n">
        <v>356</v>
      </c>
      <c r="B360" s="392" t="inlineStr">
        <is>
          <t>⑩盛付梱包工程入力</t>
        </is>
      </c>
      <c r="C360" s="392" t="n">
        <v>99</v>
      </c>
      <c r="D360" s="392">
        <f>⑩盛付梱包工程入力!C99</f>
        <v/>
      </c>
      <c r="E360" s="393">
        <f>⑩盛付梱包工程入力!I99</f>
        <v/>
      </c>
      <c r="F360" s="393">
        <f>⑩盛付梱包工程入力!J99</f>
        <v/>
      </c>
      <c r="G360" s="393">
        <f>⑩盛付梱包工程入力!M99</f>
        <v/>
      </c>
      <c r="H360" s="393">
        <f>⑩盛付梱包工程入力!N99</f>
        <v/>
      </c>
      <c r="I360" s="393">
        <f>⑩盛付梱包工程入力!O99</f>
        <v/>
      </c>
    </row>
    <row r="361">
      <c r="A361" s="392" t="n">
        <v>357</v>
      </c>
      <c r="B361" s="392" t="inlineStr">
        <is>
          <t>⑩盛付梱包工程入力</t>
        </is>
      </c>
      <c r="C361" s="392" t="n">
        <v>100</v>
      </c>
      <c r="D361" s="392">
        <f>⑩盛付梱包工程入力!C100</f>
        <v/>
      </c>
      <c r="E361" s="393">
        <f>⑩盛付梱包工程入力!I100</f>
        <v/>
      </c>
      <c r="F361" s="393">
        <f>⑩盛付梱包工程入力!J100</f>
        <v/>
      </c>
      <c r="G361" s="393">
        <f>⑩盛付梱包工程入力!M100</f>
        <v/>
      </c>
      <c r="H361" s="393">
        <f>⑩盛付梱包工程入力!N100</f>
        <v/>
      </c>
      <c r="I361" s="393">
        <f>⑩盛付梱包工程入力!O100</f>
        <v/>
      </c>
    </row>
    <row r="362">
      <c r="A362" s="392" t="n">
        <v>358</v>
      </c>
      <c r="B362" s="392" t="inlineStr">
        <is>
          <t>⑩盛付梱包工程入力</t>
        </is>
      </c>
      <c r="C362" s="392" t="n">
        <v>101</v>
      </c>
      <c r="D362" s="392">
        <f>⑩盛付梱包工程入力!C101</f>
        <v/>
      </c>
      <c r="E362" s="393">
        <f>⑩盛付梱包工程入力!I101</f>
        <v/>
      </c>
      <c r="F362" s="393">
        <f>⑩盛付梱包工程入力!J101</f>
        <v/>
      </c>
      <c r="G362" s="393">
        <f>⑩盛付梱包工程入力!M101</f>
        <v/>
      </c>
      <c r="H362" s="393">
        <f>⑩盛付梱包工程入力!N101</f>
        <v/>
      </c>
      <c r="I362" s="393">
        <f>⑩盛付梱包工程入力!O101</f>
        <v/>
      </c>
    </row>
    <row r="363">
      <c r="A363" s="392" t="n">
        <v>359</v>
      </c>
      <c r="B363" s="392" t="inlineStr">
        <is>
          <t>⑩盛付梱包工程入力</t>
        </is>
      </c>
      <c r="C363" s="392" t="n">
        <v>102</v>
      </c>
      <c r="D363" s="392">
        <f>⑩盛付梱包工程入力!C102</f>
        <v/>
      </c>
      <c r="E363" s="393">
        <f>⑩盛付梱包工程入力!I102</f>
        <v/>
      </c>
      <c r="F363" s="393">
        <f>⑩盛付梱包工程入力!J102</f>
        <v/>
      </c>
      <c r="G363" s="393">
        <f>⑩盛付梱包工程入力!M102</f>
        <v/>
      </c>
      <c r="H363" s="393">
        <f>⑩盛付梱包工程入力!N102</f>
        <v/>
      </c>
      <c r="I363" s="393">
        <f>⑩盛付梱包工程入力!O102</f>
        <v/>
      </c>
    </row>
    <row r="364">
      <c r="A364" s="392" t="n">
        <v>360</v>
      </c>
      <c r="B364" s="392" t="inlineStr">
        <is>
          <t>⑩盛付梱包工程入力</t>
        </is>
      </c>
      <c r="C364" s="392" t="n">
        <v>103</v>
      </c>
      <c r="D364" s="392">
        <f>⑩盛付梱包工程入力!C103</f>
        <v/>
      </c>
      <c r="E364" s="393">
        <f>⑩盛付梱包工程入力!I103</f>
        <v/>
      </c>
      <c r="F364" s="393">
        <f>⑩盛付梱包工程入力!J103</f>
        <v/>
      </c>
      <c r="G364" s="393">
        <f>⑩盛付梱包工程入力!M103</f>
        <v/>
      </c>
      <c r="H364" s="393">
        <f>⑩盛付梱包工程入力!N103</f>
        <v/>
      </c>
      <c r="I364" s="393">
        <f>⑩盛付梱包工程入力!O103</f>
        <v/>
      </c>
    </row>
    <row r="365">
      <c r="A365" s="392" t="n">
        <v>361</v>
      </c>
      <c r="B365" s="392" t="inlineStr">
        <is>
          <t>⑩盛付梱包工程入力</t>
        </is>
      </c>
      <c r="C365" s="392" t="n">
        <v>104</v>
      </c>
      <c r="D365" s="392">
        <f>⑩盛付梱包工程入力!C104</f>
        <v/>
      </c>
      <c r="E365" s="393">
        <f>⑩盛付梱包工程入力!I104</f>
        <v/>
      </c>
      <c r="F365" s="393">
        <f>⑩盛付梱包工程入力!J104</f>
        <v/>
      </c>
      <c r="G365" s="393">
        <f>⑩盛付梱包工程入力!M104</f>
        <v/>
      </c>
      <c r="H365" s="393">
        <f>⑩盛付梱包工程入力!N104</f>
        <v/>
      </c>
      <c r="I365" s="393">
        <f>⑩盛付梱包工程入力!O104</f>
        <v/>
      </c>
    </row>
    <row r="366">
      <c r="A366" s="392" t="n">
        <v>362</v>
      </c>
      <c r="B366" s="392" t="inlineStr">
        <is>
          <t>⑩盛付梱包工程入力</t>
        </is>
      </c>
      <c r="C366" s="392" t="n">
        <v>105</v>
      </c>
      <c r="D366" s="392">
        <f>⑩盛付梱包工程入力!C105</f>
        <v/>
      </c>
      <c r="E366" s="393">
        <f>⑩盛付梱包工程入力!I105</f>
        <v/>
      </c>
      <c r="F366" s="393">
        <f>⑩盛付梱包工程入力!J105</f>
        <v/>
      </c>
      <c r="G366" s="393">
        <f>⑩盛付梱包工程入力!M105</f>
        <v/>
      </c>
      <c r="H366" s="393">
        <f>⑩盛付梱包工程入力!N105</f>
        <v/>
      </c>
      <c r="I366" s="393">
        <f>⑩盛付梱包工程入力!O105</f>
        <v/>
      </c>
    </row>
    <row r="367">
      <c r="A367" s="392" t="n">
        <v>363</v>
      </c>
      <c r="B367" s="392" t="inlineStr">
        <is>
          <t>⑩盛付梱包工程入力</t>
        </is>
      </c>
      <c r="C367" s="392" t="n">
        <v>106</v>
      </c>
      <c r="D367" s="392">
        <f>⑩盛付梱包工程入力!C106</f>
        <v/>
      </c>
      <c r="E367" s="393">
        <f>⑩盛付梱包工程入力!I106</f>
        <v/>
      </c>
      <c r="F367" s="393">
        <f>⑩盛付梱包工程入力!J106</f>
        <v/>
      </c>
      <c r="G367" s="393">
        <f>⑩盛付梱包工程入力!M106</f>
        <v/>
      </c>
      <c r="H367" s="393">
        <f>⑩盛付梱包工程入力!N106</f>
        <v/>
      </c>
      <c r="I367" s="393">
        <f>⑩盛付梱包工程入力!O106</f>
        <v/>
      </c>
    </row>
    <row r="368">
      <c r="A368" s="392" t="n">
        <v>364</v>
      </c>
      <c r="B368" s="392" t="inlineStr">
        <is>
          <t>⑩盛付梱包工程入力</t>
        </is>
      </c>
      <c r="C368" s="392" t="n">
        <v>107</v>
      </c>
      <c r="D368" s="392">
        <f>⑩盛付梱包工程入力!C107</f>
        <v/>
      </c>
      <c r="E368" s="393">
        <f>⑩盛付梱包工程入力!I107</f>
        <v/>
      </c>
      <c r="F368" s="393">
        <f>⑩盛付梱包工程入力!J107</f>
        <v/>
      </c>
      <c r="G368" s="393">
        <f>⑩盛付梱包工程入力!M107</f>
        <v/>
      </c>
      <c r="H368" s="393">
        <f>⑩盛付梱包工程入力!N107</f>
        <v/>
      </c>
      <c r="I368" s="393">
        <f>⑩盛付梱包工程入力!O107</f>
        <v/>
      </c>
    </row>
    <row r="369">
      <c r="A369" s="392" t="n">
        <v>365</v>
      </c>
      <c r="B369" s="392" t="inlineStr">
        <is>
          <t>⑩盛付梱包工程入力</t>
        </is>
      </c>
      <c r="C369" s="392" t="n">
        <v>108</v>
      </c>
      <c r="D369" s="392">
        <f>⑩盛付梱包工程入力!C108</f>
        <v/>
      </c>
      <c r="E369" s="393">
        <f>⑩盛付梱包工程入力!I108</f>
        <v/>
      </c>
      <c r="F369" s="393">
        <f>⑩盛付梱包工程入力!J108</f>
        <v/>
      </c>
      <c r="G369" s="393">
        <f>⑩盛付梱包工程入力!M108</f>
        <v/>
      </c>
      <c r="H369" s="393">
        <f>⑩盛付梱包工程入力!N108</f>
        <v/>
      </c>
      <c r="I369" s="393">
        <f>⑩盛付梱包工程入力!O108</f>
        <v/>
      </c>
    </row>
    <row r="370">
      <c r="A370" s="392" t="n">
        <v>366</v>
      </c>
      <c r="B370" s="392" t="inlineStr">
        <is>
          <t>⑩盛付梱包工程入力</t>
        </is>
      </c>
      <c r="C370" s="392" t="n">
        <v>109</v>
      </c>
      <c r="D370" s="392">
        <f>⑩盛付梱包工程入力!C109</f>
        <v/>
      </c>
      <c r="E370" s="393">
        <f>⑩盛付梱包工程入力!I109</f>
        <v/>
      </c>
      <c r="F370" s="393">
        <f>⑩盛付梱包工程入力!J109</f>
        <v/>
      </c>
      <c r="G370" s="393">
        <f>⑩盛付梱包工程入力!M109</f>
        <v/>
      </c>
      <c r="H370" s="393">
        <f>⑩盛付梱包工程入力!N109</f>
        <v/>
      </c>
      <c r="I370" s="393">
        <f>⑩盛付梱包工程入力!O109</f>
        <v/>
      </c>
    </row>
    <row r="371">
      <c r="A371" s="392" t="n">
        <v>367</v>
      </c>
      <c r="B371" s="392" t="inlineStr">
        <is>
          <t>⑩盛付梱包工程入力</t>
        </is>
      </c>
      <c r="C371" s="392" t="n">
        <v>110</v>
      </c>
      <c r="D371" s="392">
        <f>⑩盛付梱包工程入力!C110</f>
        <v/>
      </c>
      <c r="E371" s="393">
        <f>⑩盛付梱包工程入力!I110</f>
        <v/>
      </c>
      <c r="F371" s="393">
        <f>⑩盛付梱包工程入力!J110</f>
        <v/>
      </c>
      <c r="G371" s="393">
        <f>⑩盛付梱包工程入力!M110</f>
        <v/>
      </c>
      <c r="H371" s="393">
        <f>⑩盛付梱包工程入力!N110</f>
        <v/>
      </c>
      <c r="I371" s="393">
        <f>⑩盛付梱包工程入力!O110</f>
        <v/>
      </c>
    </row>
    <row r="372">
      <c r="A372" s="392" t="n">
        <v>368</v>
      </c>
      <c r="B372" s="392" t="inlineStr">
        <is>
          <t>⑩盛付梱包工程入力</t>
        </is>
      </c>
      <c r="C372" s="392" t="n">
        <v>111</v>
      </c>
      <c r="D372" s="392">
        <f>⑩盛付梱包工程入力!C111</f>
        <v/>
      </c>
      <c r="E372" s="393">
        <f>⑩盛付梱包工程入力!I111</f>
        <v/>
      </c>
      <c r="F372" s="393">
        <f>⑩盛付梱包工程入力!J111</f>
        <v/>
      </c>
      <c r="G372" s="393">
        <f>⑩盛付梱包工程入力!M111</f>
        <v/>
      </c>
      <c r="H372" s="393">
        <f>⑩盛付梱包工程入力!N111</f>
        <v/>
      </c>
      <c r="I372" s="393">
        <f>⑩盛付梱包工程入力!O111</f>
        <v/>
      </c>
    </row>
    <row r="373">
      <c r="A373" s="392" t="n">
        <v>369</v>
      </c>
      <c r="B373" s="392" t="inlineStr">
        <is>
          <t>⑩盛付梱包工程入力</t>
        </is>
      </c>
      <c r="C373" s="392" t="n">
        <v>112</v>
      </c>
      <c r="D373" s="392">
        <f>⑩盛付梱包工程入力!C112</f>
        <v/>
      </c>
      <c r="E373" s="393">
        <f>⑩盛付梱包工程入力!I112</f>
        <v/>
      </c>
      <c r="F373" s="393">
        <f>⑩盛付梱包工程入力!J112</f>
        <v/>
      </c>
      <c r="G373" s="393">
        <f>⑩盛付梱包工程入力!M112</f>
        <v/>
      </c>
      <c r="H373" s="393">
        <f>⑩盛付梱包工程入力!N112</f>
        <v/>
      </c>
      <c r="I373" s="393">
        <f>⑩盛付梱包工程入力!O112</f>
        <v/>
      </c>
    </row>
    <row r="374">
      <c r="A374" s="392" t="n">
        <v>370</v>
      </c>
      <c r="B374" s="392" t="inlineStr">
        <is>
          <t>⑩盛付梱包工程入力</t>
        </is>
      </c>
      <c r="C374" s="392" t="n">
        <v>113</v>
      </c>
      <c r="D374" s="392">
        <f>⑩盛付梱包工程入力!C113</f>
        <v/>
      </c>
      <c r="E374" s="393">
        <f>⑩盛付梱包工程入力!I113</f>
        <v/>
      </c>
      <c r="F374" s="393">
        <f>⑩盛付梱包工程入力!J113</f>
        <v/>
      </c>
      <c r="G374" s="393">
        <f>⑩盛付梱包工程入力!M113</f>
        <v/>
      </c>
      <c r="H374" s="393">
        <f>⑩盛付梱包工程入力!N113</f>
        <v/>
      </c>
      <c r="I374" s="393">
        <f>⑩盛付梱包工程入力!O113</f>
        <v/>
      </c>
    </row>
    <row r="375">
      <c r="A375" s="392" t="n">
        <v>371</v>
      </c>
      <c r="B375" s="392" t="inlineStr">
        <is>
          <t>⑩盛付梱包工程入力</t>
        </is>
      </c>
      <c r="C375" s="392" t="n">
        <v>114</v>
      </c>
      <c r="D375" s="392">
        <f>⑩盛付梱包工程入力!C114</f>
        <v/>
      </c>
      <c r="E375" s="393">
        <f>⑩盛付梱包工程入力!I114</f>
        <v/>
      </c>
      <c r="F375" s="393">
        <f>⑩盛付梱包工程入力!J114</f>
        <v/>
      </c>
      <c r="G375" s="393">
        <f>⑩盛付梱包工程入力!M114</f>
        <v/>
      </c>
      <c r="H375" s="393">
        <f>⑩盛付梱包工程入力!N114</f>
        <v/>
      </c>
      <c r="I375" s="393">
        <f>⑩盛付梱包工程入力!O114</f>
        <v/>
      </c>
    </row>
    <row r="376">
      <c r="A376" s="392" t="n">
        <v>372</v>
      </c>
      <c r="B376" s="392" t="inlineStr">
        <is>
          <t>⑩盛付梱包工程入力</t>
        </is>
      </c>
      <c r="C376" s="392" t="n">
        <v>115</v>
      </c>
      <c r="D376" s="392">
        <f>⑩盛付梱包工程入力!C115</f>
        <v/>
      </c>
      <c r="E376" s="393">
        <f>⑩盛付梱包工程入力!I115</f>
        <v/>
      </c>
      <c r="F376" s="393">
        <f>⑩盛付梱包工程入力!J115</f>
        <v/>
      </c>
      <c r="G376" s="393">
        <f>⑩盛付梱包工程入力!M115</f>
        <v/>
      </c>
      <c r="H376" s="393">
        <f>⑩盛付梱包工程入力!N115</f>
        <v/>
      </c>
      <c r="I376" s="393">
        <f>⑩盛付梱包工程入力!O115</f>
        <v/>
      </c>
    </row>
    <row r="377">
      <c r="A377" s="392" t="n">
        <v>373</v>
      </c>
      <c r="B377" s="392" t="inlineStr">
        <is>
          <t>⑩盛付梱包工程入力</t>
        </is>
      </c>
      <c r="C377" s="392" t="n">
        <v>116</v>
      </c>
      <c r="D377" s="392">
        <f>⑩盛付梱包工程入力!C116</f>
        <v/>
      </c>
      <c r="E377" s="393">
        <f>⑩盛付梱包工程入力!I116</f>
        <v/>
      </c>
      <c r="F377" s="393">
        <f>⑩盛付梱包工程入力!J116</f>
        <v/>
      </c>
      <c r="G377" s="393">
        <f>⑩盛付梱包工程入力!M116</f>
        <v/>
      </c>
      <c r="H377" s="393">
        <f>⑩盛付梱包工程入力!N116</f>
        <v/>
      </c>
      <c r="I377" s="393">
        <f>⑩盛付梱包工程入力!O116</f>
        <v/>
      </c>
    </row>
    <row r="378">
      <c r="A378" s="392" t="n">
        <v>374</v>
      </c>
      <c r="B378" s="392" t="inlineStr">
        <is>
          <t>⑩盛付梱包工程入力</t>
        </is>
      </c>
      <c r="C378" s="392" t="n">
        <v>117</v>
      </c>
      <c r="D378" s="392">
        <f>⑩盛付梱包工程入力!C117</f>
        <v/>
      </c>
      <c r="E378" s="393">
        <f>⑩盛付梱包工程入力!I117</f>
        <v/>
      </c>
      <c r="F378" s="393">
        <f>⑩盛付梱包工程入力!J117</f>
        <v/>
      </c>
      <c r="G378" s="393">
        <f>⑩盛付梱包工程入力!M117</f>
        <v/>
      </c>
      <c r="H378" s="393">
        <f>⑩盛付梱包工程入力!N117</f>
        <v/>
      </c>
      <c r="I378" s="393">
        <f>⑩盛付梱包工程入力!O117</f>
        <v/>
      </c>
    </row>
    <row r="379">
      <c r="A379" s="392" t="n">
        <v>375</v>
      </c>
      <c r="B379" s="392" t="inlineStr">
        <is>
          <t>⑩盛付梱包工程入力</t>
        </is>
      </c>
      <c r="C379" s="392" t="n">
        <v>118</v>
      </c>
      <c r="D379" s="392">
        <f>⑩盛付梱包工程入力!C118</f>
        <v/>
      </c>
      <c r="E379" s="393">
        <f>⑩盛付梱包工程入力!I118</f>
        <v/>
      </c>
      <c r="F379" s="393">
        <f>⑩盛付梱包工程入力!J118</f>
        <v/>
      </c>
      <c r="G379" s="393">
        <f>⑩盛付梱包工程入力!M118</f>
        <v/>
      </c>
      <c r="H379" s="393">
        <f>⑩盛付梱包工程入力!N118</f>
        <v/>
      </c>
      <c r="I379" s="393">
        <f>⑩盛付梱包工程入力!O118</f>
        <v/>
      </c>
    </row>
    <row r="380">
      <c r="A380" s="392" t="n">
        <v>376</v>
      </c>
      <c r="B380" s="392" t="inlineStr">
        <is>
          <t>⑩盛付梱包工程入力</t>
        </is>
      </c>
      <c r="C380" s="392" t="n">
        <v>119</v>
      </c>
      <c r="D380" s="392">
        <f>⑩盛付梱包工程入力!C119</f>
        <v/>
      </c>
      <c r="E380" s="393">
        <f>⑩盛付梱包工程入力!I119</f>
        <v/>
      </c>
      <c r="F380" s="393">
        <f>⑩盛付梱包工程入力!J119</f>
        <v/>
      </c>
      <c r="G380" s="393">
        <f>⑩盛付梱包工程入力!M119</f>
        <v/>
      </c>
      <c r="H380" s="393">
        <f>⑩盛付梱包工程入力!N119</f>
        <v/>
      </c>
      <c r="I380" s="393">
        <f>⑩盛付梱包工程入力!O119</f>
        <v/>
      </c>
    </row>
    <row r="381">
      <c r="A381" s="392" t="n">
        <v>377</v>
      </c>
      <c r="B381" s="392" t="inlineStr">
        <is>
          <t>⑩盛付梱包工程入力</t>
        </is>
      </c>
      <c r="C381" s="392" t="n">
        <v>120</v>
      </c>
      <c r="D381" s="392">
        <f>⑩盛付梱包工程入力!C120</f>
        <v/>
      </c>
      <c r="E381" s="393">
        <f>⑩盛付梱包工程入力!I120</f>
        <v/>
      </c>
      <c r="F381" s="393">
        <f>⑩盛付梱包工程入力!J120</f>
        <v/>
      </c>
      <c r="G381" s="393">
        <f>⑩盛付梱包工程入力!M120</f>
        <v/>
      </c>
      <c r="H381" s="393">
        <f>⑩盛付梱包工程入力!N120</f>
        <v/>
      </c>
      <c r="I381" s="393">
        <f>⑩盛付梱包工程入力!O120</f>
        <v/>
      </c>
    </row>
    <row r="382">
      <c r="A382" s="392" t="n">
        <v>378</v>
      </c>
      <c r="B382" s="392" t="inlineStr">
        <is>
          <t>⑩盛付梱包工程入力</t>
        </is>
      </c>
      <c r="C382" s="392" t="n">
        <v>121</v>
      </c>
      <c r="D382" s="392">
        <f>⑩盛付梱包工程入力!C121</f>
        <v/>
      </c>
      <c r="E382" s="393">
        <f>⑩盛付梱包工程入力!I121</f>
        <v/>
      </c>
      <c r="F382" s="393">
        <f>⑩盛付梱包工程入力!J121</f>
        <v/>
      </c>
      <c r="G382" s="393">
        <f>⑩盛付梱包工程入力!M121</f>
        <v/>
      </c>
      <c r="H382" s="393">
        <f>⑩盛付梱包工程入力!N121</f>
        <v/>
      </c>
      <c r="I382" s="393">
        <f>⑩盛付梱包工程入力!O121</f>
        <v/>
      </c>
    </row>
    <row r="383">
      <c r="A383" s="392" t="n">
        <v>379</v>
      </c>
      <c r="B383" s="392" t="inlineStr">
        <is>
          <t>⑩盛付梱包工程入力</t>
        </is>
      </c>
      <c r="C383" s="392" t="n">
        <v>122</v>
      </c>
      <c r="D383" s="392">
        <f>⑩盛付梱包工程入力!C122</f>
        <v/>
      </c>
      <c r="E383" s="393">
        <f>⑩盛付梱包工程入力!I122</f>
        <v/>
      </c>
      <c r="F383" s="393">
        <f>⑩盛付梱包工程入力!J122</f>
        <v/>
      </c>
      <c r="G383" s="393">
        <f>⑩盛付梱包工程入力!M122</f>
        <v/>
      </c>
      <c r="H383" s="393">
        <f>⑩盛付梱包工程入力!N122</f>
        <v/>
      </c>
      <c r="I383" s="393">
        <f>⑩盛付梱包工程入力!O122</f>
        <v/>
      </c>
    </row>
    <row r="384">
      <c r="A384" s="392" t="n">
        <v>380</v>
      </c>
      <c r="B384" s="392" t="inlineStr">
        <is>
          <t>⑩盛付梱包工程入力</t>
        </is>
      </c>
      <c r="C384" s="392" t="n">
        <v>123</v>
      </c>
      <c r="D384" s="392">
        <f>⑩盛付梱包工程入力!C123</f>
        <v/>
      </c>
      <c r="E384" s="393">
        <f>⑩盛付梱包工程入力!I123</f>
        <v/>
      </c>
      <c r="F384" s="393">
        <f>⑩盛付梱包工程入力!J123</f>
        <v/>
      </c>
      <c r="G384" s="393">
        <f>⑩盛付梱包工程入力!M123</f>
        <v/>
      </c>
      <c r="H384" s="393">
        <f>⑩盛付梱包工程入力!N123</f>
        <v/>
      </c>
      <c r="I384" s="393">
        <f>⑩盛付梱包工程入力!O123</f>
        <v/>
      </c>
    </row>
    <row r="385">
      <c r="A385" s="392" t="n">
        <v>381</v>
      </c>
      <c r="B385" s="392" t="inlineStr">
        <is>
          <t>⑩盛付梱包工程入力</t>
        </is>
      </c>
      <c r="C385" s="392" t="n">
        <v>124</v>
      </c>
      <c r="D385" s="392">
        <f>⑩盛付梱包工程入力!C124</f>
        <v/>
      </c>
      <c r="E385" s="393">
        <f>⑩盛付梱包工程入力!I124</f>
        <v/>
      </c>
      <c r="F385" s="393">
        <f>⑩盛付梱包工程入力!J124</f>
        <v/>
      </c>
      <c r="G385" s="393">
        <f>⑩盛付梱包工程入力!M124</f>
        <v/>
      </c>
      <c r="H385" s="393">
        <f>⑩盛付梱包工程入力!N124</f>
        <v/>
      </c>
      <c r="I385" s="393">
        <f>⑩盛付梱包工程入力!O124</f>
        <v/>
      </c>
    </row>
    <row r="386">
      <c r="A386" s="392" t="n">
        <v>382</v>
      </c>
      <c r="B386" s="392" t="inlineStr">
        <is>
          <t>⑩盛付梱包工程入力</t>
        </is>
      </c>
      <c r="C386" s="392" t="n">
        <v>125</v>
      </c>
      <c r="D386" s="392">
        <f>⑩盛付梱包工程入力!C125</f>
        <v/>
      </c>
      <c r="E386" s="393">
        <f>⑩盛付梱包工程入力!I125</f>
        <v/>
      </c>
      <c r="F386" s="393">
        <f>⑩盛付梱包工程入力!J125</f>
        <v/>
      </c>
      <c r="G386" s="393">
        <f>⑩盛付梱包工程入力!M125</f>
        <v/>
      </c>
      <c r="H386" s="393">
        <f>⑩盛付梱包工程入力!N125</f>
        <v/>
      </c>
      <c r="I386" s="393">
        <f>⑩盛付梱包工程入力!O125</f>
        <v/>
      </c>
    </row>
    <row r="387">
      <c r="A387" s="392" t="n">
        <v>383</v>
      </c>
      <c r="B387" s="392" t="inlineStr">
        <is>
          <t>⑩盛付梱包工程入力</t>
        </is>
      </c>
      <c r="C387" s="392" t="n">
        <v>126</v>
      </c>
      <c r="D387" s="392">
        <f>⑩盛付梱包工程入力!C126</f>
        <v/>
      </c>
      <c r="E387" s="393">
        <f>⑩盛付梱包工程入力!I126</f>
        <v/>
      </c>
      <c r="F387" s="393">
        <f>⑩盛付梱包工程入力!J126</f>
        <v/>
      </c>
      <c r="G387" s="393">
        <f>⑩盛付梱包工程入力!M126</f>
        <v/>
      </c>
      <c r="H387" s="393">
        <f>⑩盛付梱包工程入力!N126</f>
        <v/>
      </c>
      <c r="I387" s="393">
        <f>⑩盛付梱包工程入力!O126</f>
        <v/>
      </c>
    </row>
    <row r="388">
      <c r="A388" s="392" t="n">
        <v>384</v>
      </c>
      <c r="B388" s="392" t="inlineStr">
        <is>
          <t>⑩盛付梱包工程入力</t>
        </is>
      </c>
      <c r="C388" s="392" t="n">
        <v>127</v>
      </c>
      <c r="D388" s="392">
        <f>⑩盛付梱包工程入力!C127</f>
        <v/>
      </c>
      <c r="E388" s="393">
        <f>⑩盛付梱包工程入力!I127</f>
        <v/>
      </c>
      <c r="F388" s="393">
        <f>⑩盛付梱包工程入力!J127</f>
        <v/>
      </c>
      <c r="G388" s="393">
        <f>⑩盛付梱包工程入力!M127</f>
        <v/>
      </c>
      <c r="H388" s="393">
        <f>⑩盛付梱包工程入力!N127</f>
        <v/>
      </c>
      <c r="I388" s="393">
        <f>⑩盛付梱包工程入力!O127</f>
        <v/>
      </c>
    </row>
    <row r="389">
      <c r="A389" s="392" t="n">
        <v>385</v>
      </c>
      <c r="B389" s="392" t="inlineStr">
        <is>
          <t>⑩盛付梱包工程入力</t>
        </is>
      </c>
      <c r="C389" s="392" t="n">
        <v>128</v>
      </c>
      <c r="D389" s="392">
        <f>⑩盛付梱包工程入力!C128</f>
        <v/>
      </c>
      <c r="E389" s="393">
        <f>⑩盛付梱包工程入力!I128</f>
        <v/>
      </c>
      <c r="F389" s="393">
        <f>⑩盛付梱包工程入力!J128</f>
        <v/>
      </c>
      <c r="G389" s="393">
        <f>⑩盛付梱包工程入力!M128</f>
        <v/>
      </c>
      <c r="H389" s="393">
        <f>⑩盛付梱包工程入力!N128</f>
        <v/>
      </c>
      <c r="I389" s="393">
        <f>⑩盛付梱包工程入力!O128</f>
        <v/>
      </c>
    </row>
    <row r="390">
      <c r="A390" s="392" t="n">
        <v>386</v>
      </c>
      <c r="B390" s="392" t="inlineStr">
        <is>
          <t>⑩盛付梱包工程入力</t>
        </is>
      </c>
      <c r="C390" s="392" t="n">
        <v>129</v>
      </c>
      <c r="D390" s="392">
        <f>⑩盛付梱包工程入力!C129</f>
        <v/>
      </c>
      <c r="E390" s="393">
        <f>⑩盛付梱包工程入力!I129</f>
        <v/>
      </c>
      <c r="F390" s="393">
        <f>⑩盛付梱包工程入力!J129</f>
        <v/>
      </c>
      <c r="G390" s="393">
        <f>⑩盛付梱包工程入力!M129</f>
        <v/>
      </c>
      <c r="H390" s="393">
        <f>⑩盛付梱包工程入力!N129</f>
        <v/>
      </c>
      <c r="I390" s="393">
        <f>⑩盛付梱包工程入力!O129</f>
        <v/>
      </c>
    </row>
    <row r="391">
      <c r="A391" s="392" t="n">
        <v>387</v>
      </c>
      <c r="B391" s="392" t="inlineStr">
        <is>
          <t>⑩盛付梱包工程入力</t>
        </is>
      </c>
      <c r="C391" s="392" t="n">
        <v>130</v>
      </c>
      <c r="D391" s="392">
        <f>⑩盛付梱包工程入力!C130</f>
        <v/>
      </c>
      <c r="E391" s="393">
        <f>⑩盛付梱包工程入力!I130</f>
        <v/>
      </c>
      <c r="F391" s="393">
        <f>⑩盛付梱包工程入力!J130</f>
        <v/>
      </c>
      <c r="G391" s="393">
        <f>⑩盛付梱包工程入力!M130</f>
        <v/>
      </c>
      <c r="H391" s="393">
        <f>⑩盛付梱包工程入力!N130</f>
        <v/>
      </c>
      <c r="I391" s="393">
        <f>⑩盛付梱包工程入力!O130</f>
        <v/>
      </c>
    </row>
    <row r="392">
      <c r="A392" s="392" t="n">
        <v>388</v>
      </c>
      <c r="B392" s="392" t="inlineStr">
        <is>
          <t>⑩盛付梱包工程入力</t>
        </is>
      </c>
      <c r="C392" s="392" t="n">
        <v>131</v>
      </c>
      <c r="D392" s="392">
        <f>⑩盛付梱包工程入力!C131</f>
        <v/>
      </c>
      <c r="E392" s="393">
        <f>⑩盛付梱包工程入力!I131</f>
        <v/>
      </c>
      <c r="F392" s="393">
        <f>⑩盛付梱包工程入力!J131</f>
        <v/>
      </c>
      <c r="G392" s="393">
        <f>⑩盛付梱包工程入力!M131</f>
        <v/>
      </c>
      <c r="H392" s="393">
        <f>⑩盛付梱包工程入力!N131</f>
        <v/>
      </c>
      <c r="I392" s="393">
        <f>⑩盛付梱包工程入力!O131</f>
        <v/>
      </c>
    </row>
    <row r="393">
      <c r="A393" s="392" t="n">
        <v>389</v>
      </c>
      <c r="B393" s="392" t="inlineStr">
        <is>
          <t>⑩盛付梱包工程入力</t>
        </is>
      </c>
      <c r="C393" s="392" t="n">
        <v>132</v>
      </c>
      <c r="D393" s="392">
        <f>⑩盛付梱包工程入力!C132</f>
        <v/>
      </c>
      <c r="E393" s="393">
        <f>⑩盛付梱包工程入力!I132</f>
        <v/>
      </c>
      <c r="F393" s="393">
        <f>⑩盛付梱包工程入力!J132</f>
        <v/>
      </c>
      <c r="G393" s="393">
        <f>⑩盛付梱包工程入力!M132</f>
        <v/>
      </c>
      <c r="H393" s="393">
        <f>⑩盛付梱包工程入力!N132</f>
        <v/>
      </c>
      <c r="I393" s="393">
        <f>⑩盛付梱包工程入力!O132</f>
        <v/>
      </c>
    </row>
    <row r="394">
      <c r="A394" s="392" t="n">
        <v>390</v>
      </c>
      <c r="B394" s="392" t="inlineStr">
        <is>
          <t>⑩盛付梱包工程入力</t>
        </is>
      </c>
      <c r="C394" s="392" t="n">
        <v>133</v>
      </c>
      <c r="D394" s="392">
        <f>⑩盛付梱包工程入力!C133</f>
        <v/>
      </c>
      <c r="E394" s="393">
        <f>⑩盛付梱包工程入力!I133</f>
        <v/>
      </c>
      <c r="F394" s="393">
        <f>⑩盛付梱包工程入力!J133</f>
        <v/>
      </c>
      <c r="G394" s="393">
        <f>⑩盛付梱包工程入力!M133</f>
        <v/>
      </c>
      <c r="H394" s="393">
        <f>⑩盛付梱包工程入力!N133</f>
        <v/>
      </c>
      <c r="I394" s="393">
        <f>⑩盛付梱包工程入力!O133</f>
        <v/>
      </c>
    </row>
    <row r="395">
      <c r="A395" s="392" t="n">
        <v>391</v>
      </c>
      <c r="B395" s="392" t="inlineStr">
        <is>
          <t>⑩盛付梱包工程入力</t>
        </is>
      </c>
      <c r="C395" s="392" t="n">
        <v>134</v>
      </c>
      <c r="D395" s="392">
        <f>⑩盛付梱包工程入力!C134</f>
        <v/>
      </c>
      <c r="E395" s="393">
        <f>⑩盛付梱包工程入力!I134</f>
        <v/>
      </c>
      <c r="F395" s="393">
        <f>⑩盛付梱包工程入力!J134</f>
        <v/>
      </c>
      <c r="G395" s="393">
        <f>⑩盛付梱包工程入力!M134</f>
        <v/>
      </c>
      <c r="H395" s="393">
        <f>⑩盛付梱包工程入力!N134</f>
        <v/>
      </c>
      <c r="I395" s="393">
        <f>⑩盛付梱包工程入力!O134</f>
        <v/>
      </c>
    </row>
    <row r="396">
      <c r="A396" s="392" t="n">
        <v>392</v>
      </c>
      <c r="B396" s="392" t="inlineStr">
        <is>
          <t>⑩盛付梱包工程入力</t>
        </is>
      </c>
      <c r="C396" s="392" t="n">
        <v>135</v>
      </c>
      <c r="D396" s="392">
        <f>⑩盛付梱包工程入力!C135</f>
        <v/>
      </c>
      <c r="E396" s="393">
        <f>⑩盛付梱包工程入力!I135</f>
        <v/>
      </c>
      <c r="F396" s="393">
        <f>⑩盛付梱包工程入力!J135</f>
        <v/>
      </c>
      <c r="G396" s="393">
        <f>⑩盛付梱包工程入力!M135</f>
        <v/>
      </c>
      <c r="H396" s="393">
        <f>⑩盛付梱包工程入力!N135</f>
        <v/>
      </c>
      <c r="I396" s="393">
        <f>⑩盛付梱包工程入力!O135</f>
        <v/>
      </c>
    </row>
    <row r="397">
      <c r="A397" s="392" t="n">
        <v>393</v>
      </c>
      <c r="B397" s="392" t="inlineStr">
        <is>
          <t>⑩盛付梱包工程入力</t>
        </is>
      </c>
      <c r="C397" s="392" t="n">
        <v>136</v>
      </c>
      <c r="D397" s="392">
        <f>⑩盛付梱包工程入力!C136</f>
        <v/>
      </c>
      <c r="E397" s="393">
        <f>⑩盛付梱包工程入力!I136</f>
        <v/>
      </c>
      <c r="F397" s="393">
        <f>⑩盛付梱包工程入力!J136</f>
        <v/>
      </c>
      <c r="G397" s="393">
        <f>⑩盛付梱包工程入力!M136</f>
        <v/>
      </c>
      <c r="H397" s="393">
        <f>⑩盛付梱包工程入力!N136</f>
        <v/>
      </c>
      <c r="I397" s="393">
        <f>⑩盛付梱包工程入力!O136</f>
        <v/>
      </c>
    </row>
    <row r="398">
      <c r="A398" s="392" t="n">
        <v>394</v>
      </c>
      <c r="B398" s="392" t="inlineStr">
        <is>
          <t>⑩盛付梱包工程入力</t>
        </is>
      </c>
      <c r="C398" s="392" t="n">
        <v>137</v>
      </c>
      <c r="D398" s="392">
        <f>⑩盛付梱包工程入力!C137</f>
        <v/>
      </c>
      <c r="E398" s="393">
        <f>⑩盛付梱包工程入力!I137</f>
        <v/>
      </c>
      <c r="F398" s="393">
        <f>⑩盛付梱包工程入力!J137</f>
        <v/>
      </c>
      <c r="G398" s="393">
        <f>⑩盛付梱包工程入力!M137</f>
        <v/>
      </c>
      <c r="H398" s="393">
        <f>⑩盛付梱包工程入力!N137</f>
        <v/>
      </c>
      <c r="I398" s="393">
        <f>⑩盛付梱包工程入力!O137</f>
        <v/>
      </c>
    </row>
    <row r="399">
      <c r="A399" s="392" t="n">
        <v>395</v>
      </c>
      <c r="B399" s="392" t="inlineStr">
        <is>
          <t>⑩盛付梱包工程入力</t>
        </is>
      </c>
      <c r="C399" s="392" t="n">
        <v>138</v>
      </c>
      <c r="D399" s="392">
        <f>⑩盛付梱包工程入力!C138</f>
        <v/>
      </c>
      <c r="E399" s="393">
        <f>⑩盛付梱包工程入力!I138</f>
        <v/>
      </c>
      <c r="F399" s="393">
        <f>⑩盛付梱包工程入力!J138</f>
        <v/>
      </c>
      <c r="G399" s="393">
        <f>⑩盛付梱包工程入力!M138</f>
        <v/>
      </c>
      <c r="H399" s="393">
        <f>⑩盛付梱包工程入力!N138</f>
        <v/>
      </c>
      <c r="I399" s="393">
        <f>⑩盛付梱包工程入力!O138</f>
        <v/>
      </c>
    </row>
    <row r="400">
      <c r="A400" s="392" t="n">
        <v>396</v>
      </c>
      <c r="B400" s="392" t="inlineStr">
        <is>
          <t>⑩盛付梱包工程入力</t>
        </is>
      </c>
      <c r="C400" s="392" t="n">
        <v>139</v>
      </c>
      <c r="D400" s="392">
        <f>⑩盛付梱包工程入力!C139</f>
        <v/>
      </c>
      <c r="E400" s="393">
        <f>⑩盛付梱包工程入力!I139</f>
        <v/>
      </c>
      <c r="F400" s="393">
        <f>⑩盛付梱包工程入力!J139</f>
        <v/>
      </c>
      <c r="G400" s="393">
        <f>⑩盛付梱包工程入力!M139</f>
        <v/>
      </c>
      <c r="H400" s="393">
        <f>⑩盛付梱包工程入力!N139</f>
        <v/>
      </c>
      <c r="I400" s="393">
        <f>⑩盛付梱包工程入力!O139</f>
        <v/>
      </c>
    </row>
    <row r="401">
      <c r="A401" s="392" t="n">
        <v>397</v>
      </c>
      <c r="B401" s="392" t="inlineStr">
        <is>
          <t>⑩盛付梱包工程入力</t>
        </is>
      </c>
      <c r="C401" s="392" t="n">
        <v>140</v>
      </c>
      <c r="D401" s="392">
        <f>⑩盛付梱包工程入力!C140</f>
        <v/>
      </c>
      <c r="E401" s="393">
        <f>⑩盛付梱包工程入力!I140</f>
        <v/>
      </c>
      <c r="F401" s="393">
        <f>⑩盛付梱包工程入力!J140</f>
        <v/>
      </c>
      <c r="G401" s="393">
        <f>⑩盛付梱包工程入力!M140</f>
        <v/>
      </c>
      <c r="H401" s="393">
        <f>⑩盛付梱包工程入力!N140</f>
        <v/>
      </c>
      <c r="I401" s="393">
        <f>⑩盛付梱包工程入力!O140</f>
        <v/>
      </c>
    </row>
    <row r="402">
      <c r="A402" s="392" t="n">
        <v>398</v>
      </c>
      <c r="B402" s="392" t="inlineStr">
        <is>
          <t>⑩盛付梱包工程入力</t>
        </is>
      </c>
      <c r="C402" s="392" t="n">
        <v>141</v>
      </c>
      <c r="D402" s="392">
        <f>⑩盛付梱包工程入力!C141</f>
        <v/>
      </c>
      <c r="E402" s="393">
        <f>⑩盛付梱包工程入力!I141</f>
        <v/>
      </c>
      <c r="F402" s="393">
        <f>⑩盛付梱包工程入力!J141</f>
        <v/>
      </c>
      <c r="G402" s="393">
        <f>⑩盛付梱包工程入力!M141</f>
        <v/>
      </c>
      <c r="H402" s="393">
        <f>⑩盛付梱包工程入力!N141</f>
        <v/>
      </c>
      <c r="I402" s="393">
        <f>⑩盛付梱包工程入力!O141</f>
        <v/>
      </c>
    </row>
    <row r="403">
      <c r="A403" s="392" t="n">
        <v>399</v>
      </c>
      <c r="B403" s="392" t="inlineStr">
        <is>
          <t>⑩盛付梱包工程入力</t>
        </is>
      </c>
      <c r="C403" s="392" t="n">
        <v>142</v>
      </c>
      <c r="D403" s="392">
        <f>⑩盛付梱包工程入力!C142</f>
        <v/>
      </c>
      <c r="E403" s="393">
        <f>⑩盛付梱包工程入力!I142</f>
        <v/>
      </c>
      <c r="F403" s="393">
        <f>⑩盛付梱包工程入力!J142</f>
        <v/>
      </c>
      <c r="G403" s="393">
        <f>⑩盛付梱包工程入力!M142</f>
        <v/>
      </c>
      <c r="H403" s="393">
        <f>⑩盛付梱包工程入力!N142</f>
        <v/>
      </c>
      <c r="I403" s="393">
        <f>⑩盛付梱包工程入力!O142</f>
        <v/>
      </c>
    </row>
    <row r="404">
      <c r="A404" s="392" t="n">
        <v>400</v>
      </c>
      <c r="B404" s="392" t="inlineStr">
        <is>
          <t>⑩盛付梱包工程入力</t>
        </is>
      </c>
      <c r="C404" s="392" t="n">
        <v>143</v>
      </c>
      <c r="D404" s="392">
        <f>⑩盛付梱包工程入力!C143</f>
        <v/>
      </c>
      <c r="E404" s="393">
        <f>⑩盛付梱包工程入力!I143</f>
        <v/>
      </c>
      <c r="F404" s="393">
        <f>⑩盛付梱包工程入力!J143</f>
        <v/>
      </c>
      <c r="G404" s="393">
        <f>⑩盛付梱包工程入力!M143</f>
        <v/>
      </c>
      <c r="H404" s="393">
        <f>⑩盛付梱包工程入力!N143</f>
        <v/>
      </c>
      <c r="I404" s="393">
        <f>⑩盛付梱包工程入力!O143</f>
        <v/>
      </c>
    </row>
    <row r="405">
      <c r="A405" s="392" t="n">
        <v>401</v>
      </c>
      <c r="B405" s="392" t="inlineStr">
        <is>
          <t>⑩盛付梱包工程入力</t>
        </is>
      </c>
      <c r="C405" s="392" t="n">
        <v>144</v>
      </c>
      <c r="D405" s="392">
        <f>⑩盛付梱包工程入力!C144</f>
        <v/>
      </c>
      <c r="E405" s="393">
        <f>⑩盛付梱包工程入力!I144</f>
        <v/>
      </c>
      <c r="F405" s="393">
        <f>⑩盛付梱包工程入力!J144</f>
        <v/>
      </c>
      <c r="G405" s="393">
        <f>⑩盛付梱包工程入力!M144</f>
        <v/>
      </c>
      <c r="H405" s="393">
        <f>⑩盛付梱包工程入力!N144</f>
        <v/>
      </c>
      <c r="I405" s="393">
        <f>⑩盛付梱包工程入力!O144</f>
        <v/>
      </c>
    </row>
    <row r="406">
      <c r="A406" s="392" t="n">
        <v>402</v>
      </c>
      <c r="B406" s="392" t="inlineStr">
        <is>
          <t>⑩盛付梱包工程入力</t>
        </is>
      </c>
      <c r="C406" s="392" t="n">
        <v>145</v>
      </c>
      <c r="D406" s="392">
        <f>⑩盛付梱包工程入力!C145</f>
        <v/>
      </c>
      <c r="E406" s="393">
        <f>⑩盛付梱包工程入力!I145</f>
        <v/>
      </c>
      <c r="F406" s="393">
        <f>⑩盛付梱包工程入力!J145</f>
        <v/>
      </c>
      <c r="G406" s="393">
        <f>⑩盛付梱包工程入力!M145</f>
        <v/>
      </c>
      <c r="H406" s="393">
        <f>⑩盛付梱包工程入力!N145</f>
        <v/>
      </c>
      <c r="I406" s="393">
        <f>⑩盛付梱包工程入力!O145</f>
        <v/>
      </c>
    </row>
    <row r="407">
      <c r="A407" s="392" t="n">
        <v>403</v>
      </c>
      <c r="B407" s="392" t="inlineStr">
        <is>
          <t>⑩盛付梱包工程入力</t>
        </is>
      </c>
      <c r="C407" s="392" t="n">
        <v>146</v>
      </c>
      <c r="D407" s="392">
        <f>⑩盛付梱包工程入力!C146</f>
        <v/>
      </c>
      <c r="E407" s="393">
        <f>⑩盛付梱包工程入力!I146</f>
        <v/>
      </c>
      <c r="F407" s="393">
        <f>⑩盛付梱包工程入力!J146</f>
        <v/>
      </c>
      <c r="G407" s="393">
        <f>⑩盛付梱包工程入力!M146</f>
        <v/>
      </c>
      <c r="H407" s="393">
        <f>⑩盛付梱包工程入力!N146</f>
        <v/>
      </c>
      <c r="I407" s="393">
        <f>⑩盛付梱包工程入力!O146</f>
        <v/>
      </c>
    </row>
    <row r="408">
      <c r="A408" s="392" t="n">
        <v>404</v>
      </c>
      <c r="B408" s="392" t="inlineStr">
        <is>
          <t>⑩盛付梱包工程入力</t>
        </is>
      </c>
      <c r="C408" s="392" t="n">
        <v>147</v>
      </c>
      <c r="D408" s="392">
        <f>⑩盛付梱包工程入力!C147</f>
        <v/>
      </c>
      <c r="E408" s="393">
        <f>⑩盛付梱包工程入力!I147</f>
        <v/>
      </c>
      <c r="F408" s="393">
        <f>⑩盛付梱包工程入力!J147</f>
        <v/>
      </c>
      <c r="G408" s="393">
        <f>⑩盛付梱包工程入力!M147</f>
        <v/>
      </c>
      <c r="H408" s="393">
        <f>⑩盛付梱包工程入力!N147</f>
        <v/>
      </c>
      <c r="I408" s="393">
        <f>⑩盛付梱包工程入力!O147</f>
        <v/>
      </c>
    </row>
    <row r="409">
      <c r="A409" s="392" t="n">
        <v>405</v>
      </c>
      <c r="B409" s="392" t="inlineStr">
        <is>
          <t>⑩盛付梱包工程入力</t>
        </is>
      </c>
      <c r="C409" s="392" t="n">
        <v>148</v>
      </c>
      <c r="D409" s="392">
        <f>⑩盛付梱包工程入力!C148</f>
        <v/>
      </c>
      <c r="E409" s="393">
        <f>⑩盛付梱包工程入力!I148</f>
        <v/>
      </c>
      <c r="F409" s="393">
        <f>⑩盛付梱包工程入力!J148</f>
        <v/>
      </c>
      <c r="G409" s="393">
        <f>⑩盛付梱包工程入力!M148</f>
        <v/>
      </c>
      <c r="H409" s="393">
        <f>⑩盛付梱包工程入力!N148</f>
        <v/>
      </c>
      <c r="I409" s="393">
        <f>⑩盛付梱包工程入力!O148</f>
        <v/>
      </c>
    </row>
    <row r="410">
      <c r="A410" s="392" t="n">
        <v>406</v>
      </c>
      <c r="B410" s="392" t="inlineStr">
        <is>
          <t>⑩盛付梱包工程入力</t>
        </is>
      </c>
      <c r="C410" s="392" t="n">
        <v>149</v>
      </c>
      <c r="D410" s="392">
        <f>⑩盛付梱包工程入力!C149</f>
        <v/>
      </c>
      <c r="E410" s="393">
        <f>⑩盛付梱包工程入力!I149</f>
        <v/>
      </c>
      <c r="F410" s="393">
        <f>⑩盛付梱包工程入力!J149</f>
        <v/>
      </c>
      <c r="G410" s="393">
        <f>⑩盛付梱包工程入力!M149</f>
        <v/>
      </c>
      <c r="H410" s="393">
        <f>⑩盛付梱包工程入力!N149</f>
        <v/>
      </c>
      <c r="I410" s="393">
        <f>⑩盛付梱包工程入力!O149</f>
        <v/>
      </c>
    </row>
    <row r="411">
      <c r="A411" s="392" t="n">
        <v>407</v>
      </c>
      <c r="B411" s="392" t="inlineStr">
        <is>
          <t>⑩盛付梱包工程入力</t>
        </is>
      </c>
      <c r="C411" s="392" t="n">
        <v>150</v>
      </c>
      <c r="D411" s="392">
        <f>⑩盛付梱包工程入力!C150</f>
        <v/>
      </c>
      <c r="E411" s="393">
        <f>⑩盛付梱包工程入力!I150</f>
        <v/>
      </c>
      <c r="F411" s="393">
        <f>⑩盛付梱包工程入力!J150</f>
        <v/>
      </c>
      <c r="G411" s="393">
        <f>⑩盛付梱包工程入力!M150</f>
        <v/>
      </c>
      <c r="H411" s="393">
        <f>⑩盛付梱包工程入力!N150</f>
        <v/>
      </c>
      <c r="I411" s="393">
        <f>⑩盛付梱包工程入力!O150</f>
        <v/>
      </c>
    </row>
    <row r="412">
      <c r="A412" s="392" t="n">
        <v>408</v>
      </c>
      <c r="B412" s="392" t="inlineStr">
        <is>
          <t>⑩盛付梱包工程入力</t>
        </is>
      </c>
      <c r="C412" s="392" t="n">
        <v>151</v>
      </c>
      <c r="D412" s="392">
        <f>⑩盛付梱包工程入力!C151</f>
        <v/>
      </c>
      <c r="E412" s="393">
        <f>⑩盛付梱包工程入力!I151</f>
        <v/>
      </c>
      <c r="F412" s="393">
        <f>⑩盛付梱包工程入力!J151</f>
        <v/>
      </c>
      <c r="G412" s="393">
        <f>⑩盛付梱包工程入力!M151</f>
        <v/>
      </c>
      <c r="H412" s="393">
        <f>⑩盛付梱包工程入力!N151</f>
        <v/>
      </c>
      <c r="I412" s="393">
        <f>⑩盛付梱包工程入力!O151</f>
        <v/>
      </c>
    </row>
    <row r="413">
      <c r="A413" s="392" t="n">
        <v>409</v>
      </c>
      <c r="B413" s="392" t="inlineStr">
        <is>
          <t>⑩盛付梱包工程入力</t>
        </is>
      </c>
      <c r="C413" s="392" t="n">
        <v>152</v>
      </c>
      <c r="D413" s="392">
        <f>⑩盛付梱包工程入力!C152</f>
        <v/>
      </c>
      <c r="E413" s="393">
        <f>⑩盛付梱包工程入力!I152</f>
        <v/>
      </c>
      <c r="F413" s="393">
        <f>⑩盛付梱包工程入力!J152</f>
        <v/>
      </c>
      <c r="G413" s="393">
        <f>⑩盛付梱包工程入力!M152</f>
        <v/>
      </c>
      <c r="H413" s="393">
        <f>⑩盛付梱包工程入力!N152</f>
        <v/>
      </c>
      <c r="I413" s="393">
        <f>⑩盛付梱包工程入力!O152</f>
        <v/>
      </c>
    </row>
    <row r="414">
      <c r="A414" s="392" t="n">
        <v>410</v>
      </c>
      <c r="B414" s="392" t="inlineStr">
        <is>
          <t>⑩盛付梱包工程入力</t>
        </is>
      </c>
      <c r="C414" s="392" t="n">
        <v>153</v>
      </c>
      <c r="D414" s="392">
        <f>⑩盛付梱包工程入力!C153</f>
        <v/>
      </c>
      <c r="E414" s="393">
        <f>⑩盛付梱包工程入力!I153</f>
        <v/>
      </c>
      <c r="F414" s="393">
        <f>⑩盛付梱包工程入力!J153</f>
        <v/>
      </c>
      <c r="G414" s="393">
        <f>⑩盛付梱包工程入力!M153</f>
        <v/>
      </c>
      <c r="H414" s="393">
        <f>⑩盛付梱包工程入力!N153</f>
        <v/>
      </c>
      <c r="I414" s="393">
        <f>⑩盛付梱包工程入力!O153</f>
        <v/>
      </c>
    </row>
    <row r="415">
      <c r="A415" s="392" t="n">
        <v>411</v>
      </c>
      <c r="B415" s="392" t="inlineStr">
        <is>
          <t>⑩盛付梱包工程入力</t>
        </is>
      </c>
      <c r="C415" s="392" t="n">
        <v>154</v>
      </c>
      <c r="D415" s="392">
        <f>⑩盛付梱包工程入力!C154</f>
        <v/>
      </c>
      <c r="E415" s="393">
        <f>⑩盛付梱包工程入力!I154</f>
        <v/>
      </c>
      <c r="F415" s="393">
        <f>⑩盛付梱包工程入力!J154</f>
        <v/>
      </c>
      <c r="G415" s="393">
        <f>⑩盛付梱包工程入力!M154</f>
        <v/>
      </c>
      <c r="H415" s="393">
        <f>⑩盛付梱包工程入力!N154</f>
        <v/>
      </c>
      <c r="I415" s="393">
        <f>⑩盛付梱包工程入力!O154</f>
        <v/>
      </c>
    </row>
    <row r="416">
      <c r="A416" s="392" t="n">
        <v>412</v>
      </c>
      <c r="B416" s="392" t="inlineStr">
        <is>
          <t>⑩盛付梱包工程入力</t>
        </is>
      </c>
      <c r="C416" s="392" t="n">
        <v>155</v>
      </c>
      <c r="D416" s="392">
        <f>⑩盛付梱包工程入力!C155</f>
        <v/>
      </c>
      <c r="E416" s="393">
        <f>⑩盛付梱包工程入力!I155</f>
        <v/>
      </c>
      <c r="F416" s="393">
        <f>⑩盛付梱包工程入力!J155</f>
        <v/>
      </c>
      <c r="G416" s="393">
        <f>⑩盛付梱包工程入力!M155</f>
        <v/>
      </c>
      <c r="H416" s="393">
        <f>⑩盛付梱包工程入力!N155</f>
        <v/>
      </c>
      <c r="I416" s="393">
        <f>⑩盛付梱包工程入力!O155</f>
        <v/>
      </c>
    </row>
    <row r="417">
      <c r="A417" s="392" t="n">
        <v>413</v>
      </c>
      <c r="B417" s="392" t="inlineStr">
        <is>
          <t>⑩盛付梱包工程入力</t>
        </is>
      </c>
      <c r="C417" s="392" t="n">
        <v>156</v>
      </c>
      <c r="D417" s="392">
        <f>⑩盛付梱包工程入力!C156</f>
        <v/>
      </c>
      <c r="E417" s="393">
        <f>⑩盛付梱包工程入力!I156</f>
        <v/>
      </c>
      <c r="F417" s="393">
        <f>⑩盛付梱包工程入力!J156</f>
        <v/>
      </c>
      <c r="G417" s="393">
        <f>⑩盛付梱包工程入力!M156</f>
        <v/>
      </c>
      <c r="H417" s="393">
        <f>⑩盛付梱包工程入力!N156</f>
        <v/>
      </c>
      <c r="I417" s="393">
        <f>⑩盛付梱包工程入力!O156</f>
        <v/>
      </c>
    </row>
    <row r="418">
      <c r="A418" s="392" t="n">
        <v>414</v>
      </c>
      <c r="B418" s="392" t="inlineStr">
        <is>
          <t>⑩盛付梱包工程入力</t>
        </is>
      </c>
      <c r="C418" s="392" t="n">
        <v>157</v>
      </c>
      <c r="D418" s="392">
        <f>⑩盛付梱包工程入力!C157</f>
        <v/>
      </c>
      <c r="E418" s="393">
        <f>⑩盛付梱包工程入力!I157</f>
        <v/>
      </c>
      <c r="F418" s="393">
        <f>⑩盛付梱包工程入力!J157</f>
        <v/>
      </c>
      <c r="G418" s="393">
        <f>⑩盛付梱包工程入力!M157</f>
        <v/>
      </c>
      <c r="H418" s="393">
        <f>⑩盛付梱包工程入力!N157</f>
        <v/>
      </c>
      <c r="I418" s="393">
        <f>⑩盛付梱包工程入力!O157</f>
        <v/>
      </c>
    </row>
    <row r="419">
      <c r="A419" s="392" t="n">
        <v>415</v>
      </c>
      <c r="B419" s="392" t="inlineStr">
        <is>
          <t>⑩盛付梱包工程入力</t>
        </is>
      </c>
      <c r="C419" s="392" t="n">
        <v>158</v>
      </c>
      <c r="D419" s="392">
        <f>⑩盛付梱包工程入力!C158</f>
        <v/>
      </c>
      <c r="E419" s="393">
        <f>⑩盛付梱包工程入力!I158</f>
        <v/>
      </c>
      <c r="F419" s="393">
        <f>⑩盛付梱包工程入力!J158</f>
        <v/>
      </c>
      <c r="G419" s="393">
        <f>⑩盛付梱包工程入力!M158</f>
        <v/>
      </c>
      <c r="H419" s="393">
        <f>⑩盛付梱包工程入力!N158</f>
        <v/>
      </c>
      <c r="I419" s="393">
        <f>⑩盛付梱包工程入力!O158</f>
        <v/>
      </c>
    </row>
    <row r="420">
      <c r="A420" s="392" t="n">
        <v>416</v>
      </c>
      <c r="B420" s="392" t="inlineStr">
        <is>
          <t>⑩盛付梱包工程入力</t>
        </is>
      </c>
      <c r="C420" s="392" t="n">
        <v>159</v>
      </c>
      <c r="D420" s="392">
        <f>⑩盛付梱包工程入力!C159</f>
        <v/>
      </c>
      <c r="E420" s="393">
        <f>⑩盛付梱包工程入力!I159</f>
        <v/>
      </c>
      <c r="F420" s="393">
        <f>⑩盛付梱包工程入力!J159</f>
        <v/>
      </c>
      <c r="G420" s="393">
        <f>⑩盛付梱包工程入力!M159</f>
        <v/>
      </c>
      <c r="H420" s="393">
        <f>⑩盛付梱包工程入力!N159</f>
        <v/>
      </c>
      <c r="I420" s="393">
        <f>⑩盛付梱包工程入力!O159</f>
        <v/>
      </c>
    </row>
    <row r="421">
      <c r="A421" s="392" t="n">
        <v>417</v>
      </c>
      <c r="B421" s="392" t="inlineStr">
        <is>
          <t>⑩盛付梱包工程入力</t>
        </is>
      </c>
      <c r="C421" s="392" t="n">
        <v>160</v>
      </c>
      <c r="D421" s="392">
        <f>⑩盛付梱包工程入力!C160</f>
        <v/>
      </c>
      <c r="E421" s="393">
        <f>⑩盛付梱包工程入力!I160</f>
        <v/>
      </c>
      <c r="F421" s="393">
        <f>⑩盛付梱包工程入力!J160</f>
        <v/>
      </c>
      <c r="G421" s="393">
        <f>⑩盛付梱包工程入力!M160</f>
        <v/>
      </c>
      <c r="H421" s="393">
        <f>⑩盛付梱包工程入力!N160</f>
        <v/>
      </c>
      <c r="I421" s="393">
        <f>⑩盛付梱包工程入力!O160</f>
        <v/>
      </c>
    </row>
    <row r="422">
      <c r="A422" s="392" t="n">
        <v>418</v>
      </c>
      <c r="B422" s="392" t="inlineStr">
        <is>
          <t>⑩盛付梱包工程入力</t>
        </is>
      </c>
      <c r="C422" s="392" t="n">
        <v>161</v>
      </c>
      <c r="D422" s="392">
        <f>⑩盛付梱包工程入力!C161</f>
        <v/>
      </c>
      <c r="E422" s="393">
        <f>⑩盛付梱包工程入力!I161</f>
        <v/>
      </c>
      <c r="F422" s="393">
        <f>⑩盛付梱包工程入力!J161</f>
        <v/>
      </c>
      <c r="G422" s="393">
        <f>⑩盛付梱包工程入力!M161</f>
        <v/>
      </c>
      <c r="H422" s="393">
        <f>⑩盛付梱包工程入力!N161</f>
        <v/>
      </c>
      <c r="I422" s="393">
        <f>⑩盛付梱包工程入力!O161</f>
        <v/>
      </c>
    </row>
    <row r="423">
      <c r="A423" s="392" t="n">
        <v>419</v>
      </c>
      <c r="B423" s="392" t="inlineStr">
        <is>
          <t>⑩盛付梱包工程入力</t>
        </is>
      </c>
      <c r="C423" s="392" t="n">
        <v>162</v>
      </c>
      <c r="D423" s="392">
        <f>⑩盛付梱包工程入力!C162</f>
        <v/>
      </c>
      <c r="E423" s="393">
        <f>⑩盛付梱包工程入力!I162</f>
        <v/>
      </c>
      <c r="F423" s="393">
        <f>⑩盛付梱包工程入力!J162</f>
        <v/>
      </c>
      <c r="G423" s="393">
        <f>⑩盛付梱包工程入力!M162</f>
        <v/>
      </c>
      <c r="H423" s="393">
        <f>⑩盛付梱包工程入力!N162</f>
        <v/>
      </c>
      <c r="I423" s="393">
        <f>⑩盛付梱包工程入力!O162</f>
        <v/>
      </c>
    </row>
    <row r="424">
      <c r="A424" s="392" t="n">
        <v>420</v>
      </c>
      <c r="B424" s="392" t="inlineStr">
        <is>
          <t>⑩盛付梱包工程入力</t>
        </is>
      </c>
      <c r="C424" s="392" t="n">
        <v>163</v>
      </c>
      <c r="D424" s="392">
        <f>⑩盛付梱包工程入力!C163</f>
        <v/>
      </c>
      <c r="E424" s="393">
        <f>⑩盛付梱包工程入力!I163</f>
        <v/>
      </c>
      <c r="F424" s="393">
        <f>⑩盛付梱包工程入力!J163</f>
        <v/>
      </c>
      <c r="G424" s="393">
        <f>⑩盛付梱包工程入力!M163</f>
        <v/>
      </c>
      <c r="H424" s="393">
        <f>⑩盛付梱包工程入力!N163</f>
        <v/>
      </c>
      <c r="I424" s="393">
        <f>⑩盛付梱包工程入力!O163</f>
        <v/>
      </c>
    </row>
    <row r="425">
      <c r="A425" s="392" t="n">
        <v>421</v>
      </c>
      <c r="B425" s="392" t="inlineStr">
        <is>
          <t>⑩盛付梱包工程入力</t>
        </is>
      </c>
      <c r="C425" s="392" t="n">
        <v>164</v>
      </c>
      <c r="D425" s="392">
        <f>⑩盛付梱包工程入力!C164</f>
        <v/>
      </c>
      <c r="E425" s="393">
        <f>⑩盛付梱包工程入力!I164</f>
        <v/>
      </c>
      <c r="F425" s="393">
        <f>⑩盛付梱包工程入力!J164</f>
        <v/>
      </c>
      <c r="G425" s="393">
        <f>⑩盛付梱包工程入力!M164</f>
        <v/>
      </c>
      <c r="H425" s="393">
        <f>⑩盛付梱包工程入力!N164</f>
        <v/>
      </c>
      <c r="I425" s="393">
        <f>⑩盛付梱包工程入力!O164</f>
        <v/>
      </c>
    </row>
    <row r="426">
      <c r="A426" s="392" t="n">
        <v>422</v>
      </c>
      <c r="B426" s="392" t="inlineStr">
        <is>
          <t>⑩盛付梱包工程入力</t>
        </is>
      </c>
      <c r="C426" s="392" t="n">
        <v>165</v>
      </c>
      <c r="D426" s="392">
        <f>⑩盛付梱包工程入力!C165</f>
        <v/>
      </c>
      <c r="E426" s="393">
        <f>⑩盛付梱包工程入力!I165</f>
        <v/>
      </c>
      <c r="F426" s="393">
        <f>⑩盛付梱包工程入力!J165</f>
        <v/>
      </c>
      <c r="G426" s="393">
        <f>⑩盛付梱包工程入力!M165</f>
        <v/>
      </c>
      <c r="H426" s="393">
        <f>⑩盛付梱包工程入力!N165</f>
        <v/>
      </c>
      <c r="I426" s="393">
        <f>⑩盛付梱包工程入力!O165</f>
        <v/>
      </c>
    </row>
    <row r="427">
      <c r="A427" s="392" t="n">
        <v>423</v>
      </c>
      <c r="B427" s="392" t="inlineStr">
        <is>
          <t>⑩盛付梱包工程入力</t>
        </is>
      </c>
      <c r="C427" s="392" t="n">
        <v>166</v>
      </c>
      <c r="D427" s="392">
        <f>⑩盛付梱包工程入力!C166</f>
        <v/>
      </c>
      <c r="E427" s="393">
        <f>⑩盛付梱包工程入力!I166</f>
        <v/>
      </c>
      <c r="F427" s="393">
        <f>⑩盛付梱包工程入力!J166</f>
        <v/>
      </c>
      <c r="G427" s="393">
        <f>⑩盛付梱包工程入力!M166</f>
        <v/>
      </c>
      <c r="H427" s="393">
        <f>⑩盛付梱包工程入力!N166</f>
        <v/>
      </c>
      <c r="I427" s="393">
        <f>⑩盛付梱包工程入力!O166</f>
        <v/>
      </c>
    </row>
    <row r="428">
      <c r="A428" s="392" t="n">
        <v>424</v>
      </c>
      <c r="B428" s="392" t="inlineStr">
        <is>
          <t>⑩盛付梱包工程入力</t>
        </is>
      </c>
      <c r="C428" s="392" t="n">
        <v>167</v>
      </c>
      <c r="D428" s="392">
        <f>⑩盛付梱包工程入力!C167</f>
        <v/>
      </c>
      <c r="E428" s="393">
        <f>⑩盛付梱包工程入力!I167</f>
        <v/>
      </c>
      <c r="F428" s="393">
        <f>⑩盛付梱包工程入力!J167</f>
        <v/>
      </c>
      <c r="G428" s="393">
        <f>⑩盛付梱包工程入力!M167</f>
        <v/>
      </c>
      <c r="H428" s="393">
        <f>⑩盛付梱包工程入力!N167</f>
        <v/>
      </c>
      <c r="I428" s="393">
        <f>⑩盛付梱包工程入力!O167</f>
        <v/>
      </c>
    </row>
    <row r="429">
      <c r="A429" s="392" t="n">
        <v>425</v>
      </c>
      <c r="B429" s="392" t="inlineStr">
        <is>
          <t>⑩盛付梱包工程入力</t>
        </is>
      </c>
      <c r="C429" s="392" t="n">
        <v>168</v>
      </c>
      <c r="D429" s="392">
        <f>⑩盛付梱包工程入力!C168</f>
        <v/>
      </c>
      <c r="E429" s="393">
        <f>⑩盛付梱包工程入力!I168</f>
        <v/>
      </c>
      <c r="F429" s="393">
        <f>⑩盛付梱包工程入力!J168</f>
        <v/>
      </c>
      <c r="G429" s="393">
        <f>⑩盛付梱包工程入力!M168</f>
        <v/>
      </c>
      <c r="H429" s="393">
        <f>⑩盛付梱包工程入力!N168</f>
        <v/>
      </c>
      <c r="I429" s="393">
        <f>⑩盛付梱包工程入力!O168</f>
        <v/>
      </c>
    </row>
    <row r="430">
      <c r="A430" s="392" t="n">
        <v>426</v>
      </c>
      <c r="B430" s="392" t="inlineStr">
        <is>
          <t>⑩盛付梱包工程入力</t>
        </is>
      </c>
      <c r="C430" s="392" t="n">
        <v>169</v>
      </c>
      <c r="D430" s="392">
        <f>⑩盛付梱包工程入力!C169</f>
        <v/>
      </c>
      <c r="E430" s="393">
        <f>⑩盛付梱包工程入力!I169</f>
        <v/>
      </c>
      <c r="F430" s="393">
        <f>⑩盛付梱包工程入力!J169</f>
        <v/>
      </c>
      <c r="G430" s="393">
        <f>⑩盛付梱包工程入力!M169</f>
        <v/>
      </c>
      <c r="H430" s="393">
        <f>⑩盛付梱包工程入力!N169</f>
        <v/>
      </c>
      <c r="I430" s="393">
        <f>⑩盛付梱包工程入力!O169</f>
        <v/>
      </c>
    </row>
    <row r="431">
      <c r="A431" s="392" t="n">
        <v>427</v>
      </c>
      <c r="B431" s="392" t="inlineStr">
        <is>
          <t>⑩盛付梱包工程入力</t>
        </is>
      </c>
      <c r="C431" s="392" t="n">
        <v>170</v>
      </c>
      <c r="D431" s="392">
        <f>⑩盛付梱包工程入力!C170</f>
        <v/>
      </c>
      <c r="E431" s="393">
        <f>⑩盛付梱包工程入力!I170</f>
        <v/>
      </c>
      <c r="F431" s="393">
        <f>⑩盛付梱包工程入力!J170</f>
        <v/>
      </c>
      <c r="G431" s="393">
        <f>⑩盛付梱包工程入力!M170</f>
        <v/>
      </c>
      <c r="H431" s="393">
        <f>⑩盛付梱包工程入力!N170</f>
        <v/>
      </c>
      <c r="I431" s="393">
        <f>⑩盛付梱包工程入力!O170</f>
        <v/>
      </c>
    </row>
    <row r="432">
      <c r="A432" s="392" t="n">
        <v>428</v>
      </c>
      <c r="B432" s="392" t="inlineStr">
        <is>
          <t>⑩盛付梱包工程入力</t>
        </is>
      </c>
      <c r="C432" s="392" t="n">
        <v>171</v>
      </c>
      <c r="D432" s="392">
        <f>⑩盛付梱包工程入力!C171</f>
        <v/>
      </c>
      <c r="E432" s="393">
        <f>⑩盛付梱包工程入力!I171</f>
        <v/>
      </c>
      <c r="F432" s="393">
        <f>⑩盛付梱包工程入力!J171</f>
        <v/>
      </c>
      <c r="G432" s="393">
        <f>⑩盛付梱包工程入力!M171</f>
        <v/>
      </c>
      <c r="H432" s="393">
        <f>⑩盛付梱包工程入力!N171</f>
        <v/>
      </c>
      <c r="I432" s="393">
        <f>⑩盛付梱包工程入力!O171</f>
        <v/>
      </c>
    </row>
    <row r="433">
      <c r="A433" s="392" t="n">
        <v>429</v>
      </c>
      <c r="B433" s="392" t="inlineStr">
        <is>
          <t>⑩盛付梱包工程入力</t>
        </is>
      </c>
      <c r="C433" s="392" t="n">
        <v>172</v>
      </c>
      <c r="D433" s="392">
        <f>⑩盛付梱包工程入力!C172</f>
        <v/>
      </c>
      <c r="E433" s="393">
        <f>⑩盛付梱包工程入力!I172</f>
        <v/>
      </c>
      <c r="F433" s="393">
        <f>⑩盛付梱包工程入力!J172</f>
        <v/>
      </c>
      <c r="G433" s="393">
        <f>⑩盛付梱包工程入力!M172</f>
        <v/>
      </c>
      <c r="H433" s="393">
        <f>⑩盛付梱包工程入力!N172</f>
        <v/>
      </c>
      <c r="I433" s="393">
        <f>⑩盛付梱包工程入力!O172</f>
        <v/>
      </c>
    </row>
    <row r="434">
      <c r="A434" s="392" t="n">
        <v>430</v>
      </c>
      <c r="B434" s="392" t="inlineStr">
        <is>
          <t>⑩盛付梱包工程入力</t>
        </is>
      </c>
      <c r="C434" s="392" t="n">
        <v>173</v>
      </c>
      <c r="D434" s="392">
        <f>⑩盛付梱包工程入力!C173</f>
        <v/>
      </c>
      <c r="E434" s="393">
        <f>⑩盛付梱包工程入力!I173</f>
        <v/>
      </c>
      <c r="F434" s="393">
        <f>⑩盛付梱包工程入力!J173</f>
        <v/>
      </c>
      <c r="G434" s="393">
        <f>⑩盛付梱包工程入力!M173</f>
        <v/>
      </c>
      <c r="H434" s="393">
        <f>⑩盛付梱包工程入力!N173</f>
        <v/>
      </c>
      <c r="I434" s="393">
        <f>⑩盛付梱包工程入力!O173</f>
        <v/>
      </c>
    </row>
    <row r="435">
      <c r="A435" s="392" t="n">
        <v>431</v>
      </c>
      <c r="B435" s="392" t="inlineStr">
        <is>
          <t>⑩盛付梱包工程入力</t>
        </is>
      </c>
      <c r="C435" s="392" t="n">
        <v>174</v>
      </c>
      <c r="D435" s="392">
        <f>⑩盛付梱包工程入力!C174</f>
        <v/>
      </c>
      <c r="E435" s="393">
        <f>⑩盛付梱包工程入力!I174</f>
        <v/>
      </c>
      <c r="F435" s="393">
        <f>⑩盛付梱包工程入力!J174</f>
        <v/>
      </c>
      <c r="G435" s="393">
        <f>⑩盛付梱包工程入力!M174</f>
        <v/>
      </c>
      <c r="H435" s="393">
        <f>⑩盛付梱包工程入力!N174</f>
        <v/>
      </c>
      <c r="I435" s="393">
        <f>⑩盛付梱包工程入力!O174</f>
        <v/>
      </c>
    </row>
    <row r="436">
      <c r="A436" s="392" t="n">
        <v>432</v>
      </c>
      <c r="B436" s="392" t="inlineStr">
        <is>
          <t>⑩盛付梱包工程入力</t>
        </is>
      </c>
      <c r="C436" s="392" t="n">
        <v>175</v>
      </c>
      <c r="D436" s="392">
        <f>⑩盛付梱包工程入力!C175</f>
        <v/>
      </c>
      <c r="E436" s="393">
        <f>⑩盛付梱包工程入力!I175</f>
        <v/>
      </c>
      <c r="F436" s="393">
        <f>⑩盛付梱包工程入力!J175</f>
        <v/>
      </c>
      <c r="G436" s="393">
        <f>⑩盛付梱包工程入力!M175</f>
        <v/>
      </c>
      <c r="H436" s="393">
        <f>⑩盛付梱包工程入力!N175</f>
        <v/>
      </c>
      <c r="I436" s="393">
        <f>⑩盛付梱包工程入力!O175</f>
        <v/>
      </c>
    </row>
    <row r="437">
      <c r="A437" s="392" t="n">
        <v>433</v>
      </c>
      <c r="B437" s="392" t="inlineStr">
        <is>
          <t>⑩盛付梱包工程入力</t>
        </is>
      </c>
      <c r="C437" s="392" t="n">
        <v>176</v>
      </c>
      <c r="D437" s="392">
        <f>⑩盛付梱包工程入力!C176</f>
        <v/>
      </c>
      <c r="E437" s="393">
        <f>⑩盛付梱包工程入力!I176</f>
        <v/>
      </c>
      <c r="F437" s="393">
        <f>⑩盛付梱包工程入力!J176</f>
        <v/>
      </c>
      <c r="G437" s="393">
        <f>⑩盛付梱包工程入力!M176</f>
        <v/>
      </c>
      <c r="H437" s="393">
        <f>⑩盛付梱包工程入力!N176</f>
        <v/>
      </c>
      <c r="I437" s="393">
        <f>⑩盛付梱包工程入力!O176</f>
        <v/>
      </c>
    </row>
    <row r="438">
      <c r="A438" s="392" t="n">
        <v>434</v>
      </c>
      <c r="B438" s="392" t="inlineStr">
        <is>
          <t>⑩盛付梱包工程入力</t>
        </is>
      </c>
      <c r="C438" s="392" t="n">
        <v>177</v>
      </c>
      <c r="D438" s="392">
        <f>⑩盛付梱包工程入力!C177</f>
        <v/>
      </c>
      <c r="E438" s="393">
        <f>⑩盛付梱包工程入力!I177</f>
        <v/>
      </c>
      <c r="F438" s="393">
        <f>⑩盛付梱包工程入力!J177</f>
        <v/>
      </c>
      <c r="G438" s="393">
        <f>⑩盛付梱包工程入力!M177</f>
        <v/>
      </c>
      <c r="H438" s="393">
        <f>⑩盛付梱包工程入力!N177</f>
        <v/>
      </c>
      <c r="I438" s="393">
        <f>⑩盛付梱包工程入力!O177</f>
        <v/>
      </c>
    </row>
    <row r="439">
      <c r="A439" s="392" t="n">
        <v>435</v>
      </c>
      <c r="B439" s="392" t="inlineStr">
        <is>
          <t>⑩盛付梱包工程入力</t>
        </is>
      </c>
      <c r="C439" s="392" t="n">
        <v>178</v>
      </c>
      <c r="D439" s="392">
        <f>⑩盛付梱包工程入力!C178</f>
        <v/>
      </c>
      <c r="E439" s="393">
        <f>⑩盛付梱包工程入力!I178</f>
        <v/>
      </c>
      <c r="F439" s="393">
        <f>⑩盛付梱包工程入力!J178</f>
        <v/>
      </c>
      <c r="G439" s="393">
        <f>⑩盛付梱包工程入力!M178</f>
        <v/>
      </c>
      <c r="H439" s="393">
        <f>⑩盛付梱包工程入力!N178</f>
        <v/>
      </c>
      <c r="I439" s="393">
        <f>⑩盛付梱包工程入力!O178</f>
        <v/>
      </c>
    </row>
    <row r="440">
      <c r="A440" s="392" t="n">
        <v>436</v>
      </c>
      <c r="B440" s="392" t="inlineStr">
        <is>
          <t>⑩盛付梱包工程入力</t>
        </is>
      </c>
      <c r="C440" s="392" t="n">
        <v>179</v>
      </c>
      <c r="D440" s="392">
        <f>⑩盛付梱包工程入力!C179</f>
        <v/>
      </c>
      <c r="E440" s="393">
        <f>⑩盛付梱包工程入力!I179</f>
        <v/>
      </c>
      <c r="F440" s="393">
        <f>⑩盛付梱包工程入力!J179</f>
        <v/>
      </c>
      <c r="G440" s="393">
        <f>⑩盛付梱包工程入力!M179</f>
        <v/>
      </c>
      <c r="H440" s="393">
        <f>⑩盛付梱包工程入力!N179</f>
        <v/>
      </c>
      <c r="I440" s="393">
        <f>⑩盛付梱包工程入力!O179</f>
        <v/>
      </c>
    </row>
    <row r="441">
      <c r="A441" s="392" t="n">
        <v>437</v>
      </c>
      <c r="B441" s="392" t="inlineStr">
        <is>
          <t>⑩盛付梱包工程入力</t>
        </is>
      </c>
      <c r="C441" s="392" t="n">
        <v>180</v>
      </c>
      <c r="D441" s="392">
        <f>⑩盛付梱包工程入力!C180</f>
        <v/>
      </c>
      <c r="E441" s="393">
        <f>⑩盛付梱包工程入力!I180</f>
        <v/>
      </c>
      <c r="F441" s="393">
        <f>⑩盛付梱包工程入力!J180</f>
        <v/>
      </c>
      <c r="G441" s="393">
        <f>⑩盛付梱包工程入力!M180</f>
        <v/>
      </c>
      <c r="H441" s="393">
        <f>⑩盛付梱包工程入力!N180</f>
        <v/>
      </c>
      <c r="I441" s="393">
        <f>⑩盛付梱包工程入力!O180</f>
        <v/>
      </c>
    </row>
    <row r="442">
      <c r="A442" s="392" t="n">
        <v>438</v>
      </c>
      <c r="B442" s="392" t="inlineStr">
        <is>
          <t>⑩盛付梱包工程入力</t>
        </is>
      </c>
      <c r="C442" s="392" t="n">
        <v>181</v>
      </c>
      <c r="D442" s="392">
        <f>⑩盛付梱包工程入力!C181</f>
        <v/>
      </c>
      <c r="E442" s="393">
        <f>⑩盛付梱包工程入力!I181</f>
        <v/>
      </c>
      <c r="F442" s="393">
        <f>⑩盛付梱包工程入力!J181</f>
        <v/>
      </c>
      <c r="G442" s="393">
        <f>⑩盛付梱包工程入力!M181</f>
        <v/>
      </c>
      <c r="H442" s="393">
        <f>⑩盛付梱包工程入力!N181</f>
        <v/>
      </c>
      <c r="I442" s="393">
        <f>⑩盛付梱包工程入力!O181</f>
        <v/>
      </c>
    </row>
    <row r="443">
      <c r="A443" s="392" t="n">
        <v>439</v>
      </c>
      <c r="B443" s="392" t="inlineStr">
        <is>
          <t>⑩盛付梱包工程入力</t>
        </is>
      </c>
      <c r="C443" s="392" t="n">
        <v>182</v>
      </c>
      <c r="D443" s="392">
        <f>⑩盛付梱包工程入力!C182</f>
        <v/>
      </c>
      <c r="E443" s="393">
        <f>⑩盛付梱包工程入力!I182</f>
        <v/>
      </c>
      <c r="F443" s="393">
        <f>⑩盛付梱包工程入力!J182</f>
        <v/>
      </c>
      <c r="G443" s="393">
        <f>⑩盛付梱包工程入力!M182</f>
        <v/>
      </c>
      <c r="H443" s="393">
        <f>⑩盛付梱包工程入力!N182</f>
        <v/>
      </c>
      <c r="I443" s="393">
        <f>⑩盛付梱包工程入力!O182</f>
        <v/>
      </c>
    </row>
    <row r="444">
      <c r="A444" s="392" t="n">
        <v>440</v>
      </c>
      <c r="B444" s="392" t="inlineStr">
        <is>
          <t>⑩盛付梱包工程入力</t>
        </is>
      </c>
      <c r="C444" s="392" t="n">
        <v>183</v>
      </c>
      <c r="D444" s="392">
        <f>⑩盛付梱包工程入力!C183</f>
        <v/>
      </c>
      <c r="E444" s="393">
        <f>⑩盛付梱包工程入力!I183</f>
        <v/>
      </c>
      <c r="F444" s="393">
        <f>⑩盛付梱包工程入力!J183</f>
        <v/>
      </c>
      <c r="G444" s="393">
        <f>⑩盛付梱包工程入力!M183</f>
        <v/>
      </c>
      <c r="H444" s="393">
        <f>⑩盛付梱包工程入力!N183</f>
        <v/>
      </c>
      <c r="I444" s="393">
        <f>⑩盛付梱包工程入力!O183</f>
        <v/>
      </c>
    </row>
    <row r="445">
      <c r="A445" s="392" t="n">
        <v>441</v>
      </c>
      <c r="B445" s="392" t="inlineStr">
        <is>
          <t>⑩盛付梱包工程入力</t>
        </is>
      </c>
      <c r="C445" s="392" t="n">
        <v>184</v>
      </c>
      <c r="D445" s="392">
        <f>⑩盛付梱包工程入力!C184</f>
        <v/>
      </c>
      <c r="E445" s="393">
        <f>⑩盛付梱包工程入力!I184</f>
        <v/>
      </c>
      <c r="F445" s="393">
        <f>⑩盛付梱包工程入力!J184</f>
        <v/>
      </c>
      <c r="G445" s="393">
        <f>⑩盛付梱包工程入力!M184</f>
        <v/>
      </c>
      <c r="H445" s="393">
        <f>⑩盛付梱包工程入力!N184</f>
        <v/>
      </c>
      <c r="I445" s="393">
        <f>⑩盛付梱包工程入力!O184</f>
        <v/>
      </c>
    </row>
    <row r="446">
      <c r="A446" s="392" t="n">
        <v>442</v>
      </c>
      <c r="B446" s="392" t="inlineStr">
        <is>
          <t>⑩盛付梱包工程入力</t>
        </is>
      </c>
      <c r="C446" s="392" t="n">
        <v>185</v>
      </c>
      <c r="D446" s="392">
        <f>⑩盛付梱包工程入力!C185</f>
        <v/>
      </c>
      <c r="E446" s="393">
        <f>⑩盛付梱包工程入力!I185</f>
        <v/>
      </c>
      <c r="F446" s="393">
        <f>⑩盛付梱包工程入力!J185</f>
        <v/>
      </c>
      <c r="G446" s="393">
        <f>⑩盛付梱包工程入力!M185</f>
        <v/>
      </c>
      <c r="H446" s="393">
        <f>⑩盛付梱包工程入力!N185</f>
        <v/>
      </c>
      <c r="I446" s="393">
        <f>⑩盛付梱包工程入力!O185</f>
        <v/>
      </c>
    </row>
    <row r="447">
      <c r="A447" s="392" t="n">
        <v>443</v>
      </c>
      <c r="B447" s="392" t="inlineStr">
        <is>
          <t>⑩盛付梱包工程入力</t>
        </is>
      </c>
      <c r="C447" s="392" t="n">
        <v>186</v>
      </c>
      <c r="D447" s="392">
        <f>⑩盛付梱包工程入力!C186</f>
        <v/>
      </c>
      <c r="E447" s="393">
        <f>⑩盛付梱包工程入力!I186</f>
        <v/>
      </c>
      <c r="F447" s="393">
        <f>⑩盛付梱包工程入力!J186</f>
        <v/>
      </c>
      <c r="G447" s="393">
        <f>⑩盛付梱包工程入力!M186</f>
        <v/>
      </c>
      <c r="H447" s="393">
        <f>⑩盛付梱包工程入力!N186</f>
        <v/>
      </c>
      <c r="I447" s="393">
        <f>⑩盛付梱包工程入力!O186</f>
        <v/>
      </c>
    </row>
    <row r="448">
      <c r="A448" s="392" t="n">
        <v>444</v>
      </c>
      <c r="B448" s="392" t="inlineStr">
        <is>
          <t>⑩盛付梱包工程入力</t>
        </is>
      </c>
      <c r="C448" s="392" t="n">
        <v>187</v>
      </c>
      <c r="D448" s="392">
        <f>⑩盛付梱包工程入力!C187</f>
        <v/>
      </c>
      <c r="E448" s="393">
        <f>⑩盛付梱包工程入力!I187</f>
        <v/>
      </c>
      <c r="F448" s="393">
        <f>⑩盛付梱包工程入力!J187</f>
        <v/>
      </c>
      <c r="G448" s="393">
        <f>⑩盛付梱包工程入力!M187</f>
        <v/>
      </c>
      <c r="H448" s="393">
        <f>⑩盛付梱包工程入力!N187</f>
        <v/>
      </c>
      <c r="I448" s="393">
        <f>⑩盛付梱包工程入力!O187</f>
        <v/>
      </c>
    </row>
    <row r="449">
      <c r="A449" s="392" t="n">
        <v>445</v>
      </c>
      <c r="B449" s="392" t="inlineStr">
        <is>
          <t>⑩盛付梱包工程入力</t>
        </is>
      </c>
      <c r="C449" s="392" t="n">
        <v>188</v>
      </c>
      <c r="D449" s="392">
        <f>⑩盛付梱包工程入力!C188</f>
        <v/>
      </c>
      <c r="E449" s="393">
        <f>⑩盛付梱包工程入力!I188</f>
        <v/>
      </c>
      <c r="F449" s="393">
        <f>⑩盛付梱包工程入力!J188</f>
        <v/>
      </c>
      <c r="G449" s="393">
        <f>⑩盛付梱包工程入力!M188</f>
        <v/>
      </c>
      <c r="H449" s="393">
        <f>⑩盛付梱包工程入力!N188</f>
        <v/>
      </c>
      <c r="I449" s="393">
        <f>⑩盛付梱包工程入力!O188</f>
        <v/>
      </c>
    </row>
    <row r="450">
      <c r="A450" s="392" t="n">
        <v>446</v>
      </c>
      <c r="B450" s="392" t="inlineStr">
        <is>
          <t>⑩盛付梱包工程入力</t>
        </is>
      </c>
      <c r="C450" s="392" t="n">
        <v>189</v>
      </c>
      <c r="D450" s="392">
        <f>⑩盛付梱包工程入力!C189</f>
        <v/>
      </c>
      <c r="E450" s="393">
        <f>⑩盛付梱包工程入力!I189</f>
        <v/>
      </c>
      <c r="F450" s="393">
        <f>⑩盛付梱包工程入力!J189</f>
        <v/>
      </c>
      <c r="G450" s="393">
        <f>⑩盛付梱包工程入力!M189</f>
        <v/>
      </c>
      <c r="H450" s="393">
        <f>⑩盛付梱包工程入力!N189</f>
        <v/>
      </c>
      <c r="I450" s="393">
        <f>⑩盛付梱包工程入力!O189</f>
        <v/>
      </c>
    </row>
    <row r="451">
      <c r="A451" s="392" t="n">
        <v>447</v>
      </c>
      <c r="B451" s="392" t="inlineStr">
        <is>
          <t>⑩盛付梱包工程入力</t>
        </is>
      </c>
      <c r="C451" s="392" t="n">
        <v>190</v>
      </c>
      <c r="D451" s="392">
        <f>⑩盛付梱包工程入力!C190</f>
        <v/>
      </c>
      <c r="E451" s="393">
        <f>⑩盛付梱包工程入力!I190</f>
        <v/>
      </c>
      <c r="F451" s="393">
        <f>⑩盛付梱包工程入力!J190</f>
        <v/>
      </c>
      <c r="G451" s="393">
        <f>⑩盛付梱包工程入力!M190</f>
        <v/>
      </c>
      <c r="H451" s="393">
        <f>⑩盛付梱包工程入力!N190</f>
        <v/>
      </c>
      <c r="I451" s="393">
        <f>⑩盛付梱包工程入力!O190</f>
        <v/>
      </c>
    </row>
    <row r="452">
      <c r="A452" s="392" t="n">
        <v>448</v>
      </c>
      <c r="B452" s="392" t="inlineStr">
        <is>
          <t>⑩盛付梱包工程入力</t>
        </is>
      </c>
      <c r="C452" s="392" t="n">
        <v>191</v>
      </c>
      <c r="D452" s="392">
        <f>⑩盛付梱包工程入力!C191</f>
        <v/>
      </c>
      <c r="E452" s="393">
        <f>⑩盛付梱包工程入力!I191</f>
        <v/>
      </c>
      <c r="F452" s="393">
        <f>⑩盛付梱包工程入力!J191</f>
        <v/>
      </c>
      <c r="G452" s="393">
        <f>⑩盛付梱包工程入力!M191</f>
        <v/>
      </c>
      <c r="H452" s="393">
        <f>⑩盛付梱包工程入力!N191</f>
        <v/>
      </c>
      <c r="I452" s="393">
        <f>⑩盛付梱包工程入力!O191</f>
        <v/>
      </c>
    </row>
    <row r="453">
      <c r="A453" s="392" t="n">
        <v>449</v>
      </c>
      <c r="B453" s="392" t="inlineStr">
        <is>
          <t>⑩盛付梱包工程入力</t>
        </is>
      </c>
      <c r="C453" s="392" t="n">
        <v>192</v>
      </c>
      <c r="D453" s="392">
        <f>⑩盛付梱包工程入力!C192</f>
        <v/>
      </c>
      <c r="E453" s="393">
        <f>⑩盛付梱包工程入力!I192</f>
        <v/>
      </c>
      <c r="F453" s="393">
        <f>⑩盛付梱包工程入力!J192</f>
        <v/>
      </c>
      <c r="G453" s="393">
        <f>⑩盛付梱包工程入力!M192</f>
        <v/>
      </c>
      <c r="H453" s="393">
        <f>⑩盛付梱包工程入力!N192</f>
        <v/>
      </c>
      <c r="I453" s="393">
        <f>⑩盛付梱包工程入力!O192</f>
        <v/>
      </c>
    </row>
    <row r="454">
      <c r="A454" s="392" t="n">
        <v>450</v>
      </c>
      <c r="B454" s="392" t="inlineStr">
        <is>
          <t>⑩盛付梱包工程入力</t>
        </is>
      </c>
      <c r="C454" s="392" t="n">
        <v>193</v>
      </c>
      <c r="D454" s="392">
        <f>⑩盛付梱包工程入力!C193</f>
        <v/>
      </c>
      <c r="E454" s="393">
        <f>⑩盛付梱包工程入力!I193</f>
        <v/>
      </c>
      <c r="F454" s="393">
        <f>⑩盛付梱包工程入力!J193</f>
        <v/>
      </c>
      <c r="G454" s="393">
        <f>⑩盛付梱包工程入力!M193</f>
        <v/>
      </c>
      <c r="H454" s="393">
        <f>⑩盛付梱包工程入力!N193</f>
        <v/>
      </c>
      <c r="I454" s="393">
        <f>⑩盛付梱包工程入力!O193</f>
        <v/>
      </c>
    </row>
    <row r="455">
      <c r="A455" s="392" t="n">
        <v>451</v>
      </c>
      <c r="B455" s="392" t="inlineStr">
        <is>
          <t>⑩盛付梱包工程入力</t>
        </is>
      </c>
      <c r="C455" s="392" t="n">
        <v>194</v>
      </c>
      <c r="D455" s="392">
        <f>⑩盛付梱包工程入力!C194</f>
        <v/>
      </c>
      <c r="E455" s="393">
        <f>⑩盛付梱包工程入力!I194</f>
        <v/>
      </c>
      <c r="F455" s="393">
        <f>⑩盛付梱包工程入力!J194</f>
        <v/>
      </c>
      <c r="G455" s="393">
        <f>⑩盛付梱包工程入力!M194</f>
        <v/>
      </c>
      <c r="H455" s="393">
        <f>⑩盛付梱包工程入力!N194</f>
        <v/>
      </c>
      <c r="I455" s="393">
        <f>⑩盛付梱包工程入力!O194</f>
        <v/>
      </c>
    </row>
    <row r="456">
      <c r="A456" s="392" t="n">
        <v>452</v>
      </c>
      <c r="B456" s="392" t="inlineStr">
        <is>
          <t>⑩盛付梱包工程入力</t>
        </is>
      </c>
      <c r="C456" s="392" t="n">
        <v>195</v>
      </c>
      <c r="D456" s="392">
        <f>⑩盛付梱包工程入力!C195</f>
        <v/>
      </c>
      <c r="E456" s="393">
        <f>⑩盛付梱包工程入力!I195</f>
        <v/>
      </c>
      <c r="F456" s="393">
        <f>⑩盛付梱包工程入力!J195</f>
        <v/>
      </c>
      <c r="G456" s="393">
        <f>⑩盛付梱包工程入力!M195</f>
        <v/>
      </c>
      <c r="H456" s="393">
        <f>⑩盛付梱包工程入力!N195</f>
        <v/>
      </c>
      <c r="I456" s="393">
        <f>⑩盛付梱包工程入力!O195</f>
        <v/>
      </c>
    </row>
    <row r="457">
      <c r="A457" s="392" t="n">
        <v>453</v>
      </c>
      <c r="B457" s="392" t="inlineStr">
        <is>
          <t>⑩盛付梱包工程入力</t>
        </is>
      </c>
      <c r="C457" s="392" t="n">
        <v>196</v>
      </c>
      <c r="D457" s="392">
        <f>⑩盛付梱包工程入力!C196</f>
        <v/>
      </c>
      <c r="E457" s="393">
        <f>⑩盛付梱包工程入力!I196</f>
        <v/>
      </c>
      <c r="F457" s="393">
        <f>⑩盛付梱包工程入力!J196</f>
        <v/>
      </c>
      <c r="G457" s="393">
        <f>⑩盛付梱包工程入力!M196</f>
        <v/>
      </c>
      <c r="H457" s="393">
        <f>⑩盛付梱包工程入力!N196</f>
        <v/>
      </c>
      <c r="I457" s="393">
        <f>⑩盛付梱包工程入力!O196</f>
        <v/>
      </c>
    </row>
    <row r="458">
      <c r="A458" s="392" t="n">
        <v>454</v>
      </c>
      <c r="B458" s="392" t="inlineStr">
        <is>
          <t>⑩盛付梱包工程入力</t>
        </is>
      </c>
      <c r="C458" s="392" t="n">
        <v>197</v>
      </c>
      <c r="D458" s="392">
        <f>⑩盛付梱包工程入力!C197</f>
        <v/>
      </c>
      <c r="E458" s="393">
        <f>⑩盛付梱包工程入力!I197</f>
        <v/>
      </c>
      <c r="F458" s="393">
        <f>⑩盛付梱包工程入力!J197</f>
        <v/>
      </c>
      <c r="G458" s="393">
        <f>⑩盛付梱包工程入力!M197</f>
        <v/>
      </c>
      <c r="H458" s="393">
        <f>⑩盛付梱包工程入力!N197</f>
        <v/>
      </c>
      <c r="I458" s="393">
        <f>⑩盛付梱包工程入力!O197</f>
        <v/>
      </c>
    </row>
    <row r="459">
      <c r="A459" s="392" t="n">
        <v>455</v>
      </c>
      <c r="B459" s="392" t="inlineStr">
        <is>
          <t>⑩盛付梱包工程入力</t>
        </is>
      </c>
      <c r="C459" s="392" t="n">
        <v>198</v>
      </c>
      <c r="D459" s="392">
        <f>⑩盛付梱包工程入力!C198</f>
        <v/>
      </c>
      <c r="E459" s="393">
        <f>⑩盛付梱包工程入力!I198</f>
        <v/>
      </c>
      <c r="F459" s="393">
        <f>⑩盛付梱包工程入力!J198</f>
        <v/>
      </c>
      <c r="G459" s="393">
        <f>⑩盛付梱包工程入力!M198</f>
        <v/>
      </c>
      <c r="H459" s="393">
        <f>⑩盛付梱包工程入力!N198</f>
        <v/>
      </c>
      <c r="I459" s="393">
        <f>⑩盛付梱包工程入力!O198</f>
        <v/>
      </c>
    </row>
    <row r="460">
      <c r="A460" s="392" t="n">
        <v>456</v>
      </c>
      <c r="B460" s="392" t="inlineStr">
        <is>
          <t>⑩盛付梱包工程入力</t>
        </is>
      </c>
      <c r="C460" s="392" t="n">
        <v>199</v>
      </c>
      <c r="D460" s="392">
        <f>⑩盛付梱包工程入力!C199</f>
        <v/>
      </c>
      <c r="E460" s="393">
        <f>⑩盛付梱包工程入力!I199</f>
        <v/>
      </c>
      <c r="F460" s="393">
        <f>⑩盛付梱包工程入力!J199</f>
        <v/>
      </c>
      <c r="G460" s="393">
        <f>⑩盛付梱包工程入力!M199</f>
        <v/>
      </c>
      <c r="H460" s="393">
        <f>⑩盛付梱包工程入力!N199</f>
        <v/>
      </c>
      <c r="I460" s="393">
        <f>⑩盛付梱包工程入力!O199</f>
        <v/>
      </c>
    </row>
    <row r="461">
      <c r="A461" s="392" t="n">
        <v>457</v>
      </c>
      <c r="B461" s="392" t="inlineStr">
        <is>
          <t>⑩盛付梱包工程入力</t>
        </is>
      </c>
      <c r="C461" s="392" t="n">
        <v>200</v>
      </c>
      <c r="D461" s="392">
        <f>⑩盛付梱包工程入力!C200</f>
        <v/>
      </c>
      <c r="E461" s="393">
        <f>⑩盛付梱包工程入力!I200</f>
        <v/>
      </c>
      <c r="F461" s="393">
        <f>⑩盛付梱包工程入力!J200</f>
        <v/>
      </c>
      <c r="G461" s="393">
        <f>⑩盛付梱包工程入力!M200</f>
        <v/>
      </c>
      <c r="H461" s="393">
        <f>⑩盛付梱包工程入力!N200</f>
        <v/>
      </c>
      <c r="I461" s="393">
        <f>⑩盛付梱包工程入力!O200</f>
        <v/>
      </c>
    </row>
    <row r="462">
      <c r="A462" s="392" t="n">
        <v>458</v>
      </c>
      <c r="B462" s="392" t="inlineStr">
        <is>
          <t>⑩盛付梱包工程入力</t>
        </is>
      </c>
      <c r="C462" s="392" t="n">
        <v>201</v>
      </c>
      <c r="D462" s="392">
        <f>⑩盛付梱包工程入力!C201</f>
        <v/>
      </c>
      <c r="E462" s="393">
        <f>⑩盛付梱包工程入力!I201</f>
        <v/>
      </c>
      <c r="F462" s="393">
        <f>⑩盛付梱包工程入力!J201</f>
        <v/>
      </c>
      <c r="G462" s="393">
        <f>⑩盛付梱包工程入力!M201</f>
        <v/>
      </c>
      <c r="H462" s="393">
        <f>⑩盛付梱包工程入力!N201</f>
        <v/>
      </c>
      <c r="I462" s="393">
        <f>⑩盛付梱包工程入力!O201</f>
        <v/>
      </c>
    </row>
    <row r="463">
      <c r="A463" s="392" t="n">
        <v>459</v>
      </c>
      <c r="B463" s="392" t="inlineStr">
        <is>
          <t>⑩盛付梱包工程入力</t>
        </is>
      </c>
      <c r="C463" s="392" t="n">
        <v>202</v>
      </c>
      <c r="D463" s="392">
        <f>⑩盛付梱包工程入力!C202</f>
        <v/>
      </c>
      <c r="E463" s="393">
        <f>⑩盛付梱包工程入力!I202</f>
        <v/>
      </c>
      <c r="F463" s="393">
        <f>⑩盛付梱包工程入力!J202</f>
        <v/>
      </c>
      <c r="G463" s="393">
        <f>⑩盛付梱包工程入力!M202</f>
        <v/>
      </c>
      <c r="H463" s="393">
        <f>⑩盛付梱包工程入力!N202</f>
        <v/>
      </c>
      <c r="I463" s="393">
        <f>⑩盛付梱包工程入力!O202</f>
        <v/>
      </c>
    </row>
    <row r="464">
      <c r="A464" s="392" t="n">
        <v>460</v>
      </c>
      <c r="B464" s="392" t="inlineStr">
        <is>
          <t>⑩盛付梱包工程入力</t>
        </is>
      </c>
      <c r="C464" s="392" t="n">
        <v>203</v>
      </c>
      <c r="D464" s="392">
        <f>⑩盛付梱包工程入力!C203</f>
        <v/>
      </c>
      <c r="E464" s="393">
        <f>⑩盛付梱包工程入力!I203</f>
        <v/>
      </c>
      <c r="F464" s="393">
        <f>⑩盛付梱包工程入力!J203</f>
        <v/>
      </c>
      <c r="G464" s="393">
        <f>⑩盛付梱包工程入力!M203</f>
        <v/>
      </c>
      <c r="H464" s="393">
        <f>⑩盛付梱包工程入力!N203</f>
        <v/>
      </c>
      <c r="I464" s="393">
        <f>⑩盛付梱包工程入力!O203</f>
        <v/>
      </c>
    </row>
    <row r="465">
      <c r="A465" s="392" t="n">
        <v>461</v>
      </c>
      <c r="B465" s="392" t="inlineStr">
        <is>
          <t>⑩盛付梱包工程入力</t>
        </is>
      </c>
      <c r="C465" s="392" t="n">
        <v>204</v>
      </c>
      <c r="D465" s="392">
        <f>⑩盛付梱包工程入力!C204</f>
        <v/>
      </c>
      <c r="E465" s="393">
        <f>⑩盛付梱包工程入力!I204</f>
        <v/>
      </c>
      <c r="F465" s="393">
        <f>⑩盛付梱包工程入力!J204</f>
        <v/>
      </c>
      <c r="G465" s="393">
        <f>⑩盛付梱包工程入力!M204</f>
        <v/>
      </c>
      <c r="H465" s="393">
        <f>⑩盛付梱包工程入力!N204</f>
        <v/>
      </c>
      <c r="I465" s="393">
        <f>⑩盛付梱包工程入力!O204</f>
        <v/>
      </c>
    </row>
    <row r="466">
      <c r="A466" s="392" t="n">
        <v>462</v>
      </c>
      <c r="B466" s="392" t="inlineStr">
        <is>
          <t>⑩盛付梱包工程入力</t>
        </is>
      </c>
      <c r="C466" s="392" t="n">
        <v>205</v>
      </c>
      <c r="D466" s="392">
        <f>⑩盛付梱包工程入力!C205</f>
        <v/>
      </c>
      <c r="E466" s="393">
        <f>⑩盛付梱包工程入力!I205</f>
        <v/>
      </c>
      <c r="F466" s="393">
        <f>⑩盛付梱包工程入力!J205</f>
        <v/>
      </c>
      <c r="G466" s="393">
        <f>⑩盛付梱包工程入力!M205</f>
        <v/>
      </c>
      <c r="H466" s="393">
        <f>⑩盛付梱包工程入力!N205</f>
        <v/>
      </c>
      <c r="I466" s="393">
        <f>⑩盛付梱包工程入力!O205</f>
        <v/>
      </c>
    </row>
    <row r="467">
      <c r="A467" s="392" t="n">
        <v>463</v>
      </c>
      <c r="B467" s="392" t="inlineStr">
        <is>
          <t>⑩盛付梱包工程入力</t>
        </is>
      </c>
      <c r="C467" s="392" t="n">
        <v>206</v>
      </c>
      <c r="D467" s="392">
        <f>⑩盛付梱包工程入力!C206</f>
        <v/>
      </c>
      <c r="E467" s="393">
        <f>⑩盛付梱包工程入力!I206</f>
        <v/>
      </c>
      <c r="F467" s="393">
        <f>⑩盛付梱包工程入力!J206</f>
        <v/>
      </c>
      <c r="G467" s="393">
        <f>⑩盛付梱包工程入力!M206</f>
        <v/>
      </c>
      <c r="H467" s="393">
        <f>⑩盛付梱包工程入力!N206</f>
        <v/>
      </c>
      <c r="I467" s="393">
        <f>⑩盛付梱包工程入力!O206</f>
        <v/>
      </c>
    </row>
    <row r="468">
      <c r="A468" s="392" t="n">
        <v>464</v>
      </c>
      <c r="B468" s="392" t="inlineStr">
        <is>
          <t>⑩盛付梱包工程入力</t>
        </is>
      </c>
      <c r="C468" s="392" t="n">
        <v>207</v>
      </c>
      <c r="D468" s="392">
        <f>⑩盛付梱包工程入力!C207</f>
        <v/>
      </c>
      <c r="E468" s="393">
        <f>⑩盛付梱包工程入力!I207</f>
        <v/>
      </c>
      <c r="F468" s="393">
        <f>⑩盛付梱包工程入力!J207</f>
        <v/>
      </c>
      <c r="G468" s="393">
        <f>⑩盛付梱包工程入力!M207</f>
        <v/>
      </c>
      <c r="H468" s="393">
        <f>⑩盛付梱包工程入力!N207</f>
        <v/>
      </c>
      <c r="I468" s="393">
        <f>⑩盛付梱包工程入力!O207</f>
        <v/>
      </c>
    </row>
    <row r="469">
      <c r="A469" s="392" t="n">
        <v>465</v>
      </c>
      <c r="B469" s="392" t="inlineStr">
        <is>
          <t>⑩盛付梱包工程入力</t>
        </is>
      </c>
      <c r="C469" s="392" t="n">
        <v>208</v>
      </c>
      <c r="D469" s="392">
        <f>⑩盛付梱包工程入力!C208</f>
        <v/>
      </c>
      <c r="E469" s="393">
        <f>⑩盛付梱包工程入力!I208</f>
        <v/>
      </c>
      <c r="F469" s="393">
        <f>⑩盛付梱包工程入力!J208</f>
        <v/>
      </c>
      <c r="G469" s="393">
        <f>⑩盛付梱包工程入力!M208</f>
        <v/>
      </c>
      <c r="H469" s="393">
        <f>⑩盛付梱包工程入力!N208</f>
        <v/>
      </c>
      <c r="I469" s="393">
        <f>⑩盛付梱包工程入力!O208</f>
        <v/>
      </c>
    </row>
    <row r="470">
      <c r="A470" s="392" t="n">
        <v>466</v>
      </c>
      <c r="B470" s="392" t="inlineStr">
        <is>
          <t>⑩盛付梱包工程入力</t>
        </is>
      </c>
      <c r="C470" s="392" t="n">
        <v>209</v>
      </c>
      <c r="D470" s="392">
        <f>⑩盛付梱包工程入力!C209</f>
        <v/>
      </c>
      <c r="E470" s="393">
        <f>⑩盛付梱包工程入力!I209</f>
        <v/>
      </c>
      <c r="F470" s="393">
        <f>⑩盛付梱包工程入力!J209</f>
        <v/>
      </c>
      <c r="G470" s="393">
        <f>⑩盛付梱包工程入力!M209</f>
        <v/>
      </c>
      <c r="H470" s="393">
        <f>⑩盛付梱包工程入力!N209</f>
        <v/>
      </c>
      <c r="I470" s="393">
        <f>⑩盛付梱包工程入力!O209</f>
        <v/>
      </c>
    </row>
    <row r="471">
      <c r="A471" s="392" t="n">
        <v>467</v>
      </c>
      <c r="B471" s="392" t="inlineStr">
        <is>
          <t>⑩盛付梱包工程入力</t>
        </is>
      </c>
      <c r="C471" s="392" t="n">
        <v>210</v>
      </c>
      <c r="D471" s="392">
        <f>⑩盛付梱包工程入力!C210</f>
        <v/>
      </c>
      <c r="E471" s="393">
        <f>⑩盛付梱包工程入力!I210</f>
        <v/>
      </c>
      <c r="F471" s="393">
        <f>⑩盛付梱包工程入力!J210</f>
        <v/>
      </c>
      <c r="G471" s="393">
        <f>⑩盛付梱包工程入力!M210</f>
        <v/>
      </c>
      <c r="H471" s="393">
        <f>⑩盛付梱包工程入力!N210</f>
        <v/>
      </c>
      <c r="I471" s="393">
        <f>⑩盛付梱包工程入力!O210</f>
        <v/>
      </c>
    </row>
    <row r="472">
      <c r="A472" s="392" t="n">
        <v>468</v>
      </c>
      <c r="B472" s="392" t="inlineStr">
        <is>
          <t>⑩盛付梱包工程入力</t>
        </is>
      </c>
      <c r="C472" s="392" t="n">
        <v>211</v>
      </c>
      <c r="D472" s="392">
        <f>⑩盛付梱包工程入力!C211</f>
        <v/>
      </c>
      <c r="E472" s="393">
        <f>⑩盛付梱包工程入力!I211</f>
        <v/>
      </c>
      <c r="F472" s="393">
        <f>⑩盛付梱包工程入力!J211</f>
        <v/>
      </c>
      <c r="G472" s="393">
        <f>⑩盛付梱包工程入力!M211</f>
        <v/>
      </c>
      <c r="H472" s="393">
        <f>⑩盛付梱包工程入力!N211</f>
        <v/>
      </c>
      <c r="I472" s="393">
        <f>⑩盛付梱包工程入力!O211</f>
        <v/>
      </c>
    </row>
    <row r="473">
      <c r="A473" s="392" t="n">
        <v>469</v>
      </c>
      <c r="B473" s="392" t="inlineStr">
        <is>
          <t>⑩盛付梱包工程入力</t>
        </is>
      </c>
      <c r="C473" s="392" t="n">
        <v>212</v>
      </c>
      <c r="D473" s="392">
        <f>⑩盛付梱包工程入力!C212</f>
        <v/>
      </c>
      <c r="E473" s="393">
        <f>⑩盛付梱包工程入力!I212</f>
        <v/>
      </c>
      <c r="F473" s="393">
        <f>⑩盛付梱包工程入力!J212</f>
        <v/>
      </c>
      <c r="G473" s="393">
        <f>⑩盛付梱包工程入力!M212</f>
        <v/>
      </c>
      <c r="H473" s="393">
        <f>⑩盛付梱包工程入力!N212</f>
        <v/>
      </c>
      <c r="I473" s="393">
        <f>⑩盛付梱包工程入力!O212</f>
        <v/>
      </c>
    </row>
    <row r="474">
      <c r="A474" s="392" t="n">
        <v>470</v>
      </c>
      <c r="B474" s="392" t="inlineStr">
        <is>
          <t>⑩盛付梱包工程入力</t>
        </is>
      </c>
      <c r="C474" s="392" t="n">
        <v>213</v>
      </c>
      <c r="D474" s="392">
        <f>⑩盛付梱包工程入力!C213</f>
        <v/>
      </c>
      <c r="E474" s="393">
        <f>⑩盛付梱包工程入力!I213</f>
        <v/>
      </c>
      <c r="F474" s="393">
        <f>⑩盛付梱包工程入力!J213</f>
        <v/>
      </c>
      <c r="G474" s="393">
        <f>⑩盛付梱包工程入力!M213</f>
        <v/>
      </c>
      <c r="H474" s="393">
        <f>⑩盛付梱包工程入力!N213</f>
        <v/>
      </c>
      <c r="I474" s="393">
        <f>⑩盛付梱包工程入力!O213</f>
        <v/>
      </c>
    </row>
    <row r="475">
      <c r="A475" s="392" t="n">
        <v>471</v>
      </c>
      <c r="B475" s="392" t="inlineStr">
        <is>
          <t>⑩盛付梱包工程入力</t>
        </is>
      </c>
      <c r="C475" s="392" t="n">
        <v>214</v>
      </c>
      <c r="D475" s="392">
        <f>⑩盛付梱包工程入力!C214</f>
        <v/>
      </c>
      <c r="E475" s="393">
        <f>⑩盛付梱包工程入力!I214</f>
        <v/>
      </c>
      <c r="F475" s="393">
        <f>⑩盛付梱包工程入力!J214</f>
        <v/>
      </c>
      <c r="G475" s="393">
        <f>⑩盛付梱包工程入力!M214</f>
        <v/>
      </c>
      <c r="H475" s="393">
        <f>⑩盛付梱包工程入力!N214</f>
        <v/>
      </c>
      <c r="I475" s="393">
        <f>⑩盛付梱包工程入力!O214</f>
        <v/>
      </c>
    </row>
    <row r="476">
      <c r="A476" s="392" t="n">
        <v>472</v>
      </c>
      <c r="B476" s="392" t="inlineStr">
        <is>
          <t>⑩盛付梱包工程入力</t>
        </is>
      </c>
      <c r="C476" s="392" t="n">
        <v>215</v>
      </c>
      <c r="D476" s="392">
        <f>⑩盛付梱包工程入力!C215</f>
        <v/>
      </c>
      <c r="E476" s="393">
        <f>⑩盛付梱包工程入力!I215</f>
        <v/>
      </c>
      <c r="F476" s="393">
        <f>⑩盛付梱包工程入力!J215</f>
        <v/>
      </c>
      <c r="G476" s="393">
        <f>⑩盛付梱包工程入力!M215</f>
        <v/>
      </c>
      <c r="H476" s="393">
        <f>⑩盛付梱包工程入力!N215</f>
        <v/>
      </c>
      <c r="I476" s="393">
        <f>⑩盛付梱包工程入力!O215</f>
        <v/>
      </c>
    </row>
    <row r="477">
      <c r="A477" s="392" t="n">
        <v>473</v>
      </c>
      <c r="B477" s="392" t="inlineStr">
        <is>
          <t>⑩盛付梱包工程入力</t>
        </is>
      </c>
      <c r="C477" s="392" t="n">
        <v>216</v>
      </c>
      <c r="D477" s="392">
        <f>⑩盛付梱包工程入力!C216</f>
        <v/>
      </c>
      <c r="E477" s="393">
        <f>⑩盛付梱包工程入力!I216</f>
        <v/>
      </c>
      <c r="F477" s="393">
        <f>⑩盛付梱包工程入力!J216</f>
        <v/>
      </c>
      <c r="G477" s="393">
        <f>⑩盛付梱包工程入力!M216</f>
        <v/>
      </c>
      <c r="H477" s="393">
        <f>⑩盛付梱包工程入力!N216</f>
        <v/>
      </c>
      <c r="I477" s="393">
        <f>⑩盛付梱包工程入力!O216</f>
        <v/>
      </c>
    </row>
    <row r="478">
      <c r="A478" s="392" t="n">
        <v>474</v>
      </c>
      <c r="B478" s="392" t="inlineStr">
        <is>
          <t>⑩盛付梱包工程入力</t>
        </is>
      </c>
      <c r="C478" s="392" t="n">
        <v>217</v>
      </c>
      <c r="D478" s="392">
        <f>⑩盛付梱包工程入力!C217</f>
        <v/>
      </c>
      <c r="E478" s="393">
        <f>⑩盛付梱包工程入力!I217</f>
        <v/>
      </c>
      <c r="F478" s="393">
        <f>⑩盛付梱包工程入力!J217</f>
        <v/>
      </c>
      <c r="G478" s="393">
        <f>⑩盛付梱包工程入力!M217</f>
        <v/>
      </c>
      <c r="H478" s="393">
        <f>⑩盛付梱包工程入力!N217</f>
        <v/>
      </c>
      <c r="I478" s="393">
        <f>⑩盛付梱包工程入力!O217</f>
        <v/>
      </c>
    </row>
    <row r="479">
      <c r="A479" s="392" t="n">
        <v>475</v>
      </c>
      <c r="B479" s="392" t="inlineStr">
        <is>
          <t>⑩盛付梱包工程入力</t>
        </is>
      </c>
      <c r="C479" s="392" t="n">
        <v>218</v>
      </c>
      <c r="D479" s="392">
        <f>⑩盛付梱包工程入力!C218</f>
        <v/>
      </c>
      <c r="E479" s="393">
        <f>⑩盛付梱包工程入力!I218</f>
        <v/>
      </c>
      <c r="F479" s="393">
        <f>⑩盛付梱包工程入力!J218</f>
        <v/>
      </c>
      <c r="G479" s="393">
        <f>⑩盛付梱包工程入力!M218</f>
        <v/>
      </c>
      <c r="H479" s="393">
        <f>⑩盛付梱包工程入力!N218</f>
        <v/>
      </c>
      <c r="I479" s="393">
        <f>⑩盛付梱包工程入力!O218</f>
        <v/>
      </c>
    </row>
    <row r="480">
      <c r="A480" s="392" t="n">
        <v>476</v>
      </c>
      <c r="B480" s="392" t="inlineStr">
        <is>
          <t>⑩盛付梱包工程入力</t>
        </is>
      </c>
      <c r="C480" s="392" t="n">
        <v>219</v>
      </c>
      <c r="D480" s="392">
        <f>⑩盛付梱包工程入力!C219</f>
        <v/>
      </c>
      <c r="E480" s="393">
        <f>⑩盛付梱包工程入力!I219</f>
        <v/>
      </c>
      <c r="F480" s="393">
        <f>⑩盛付梱包工程入力!J219</f>
        <v/>
      </c>
      <c r="G480" s="393">
        <f>⑩盛付梱包工程入力!M219</f>
        <v/>
      </c>
      <c r="H480" s="393">
        <f>⑩盛付梱包工程入力!N219</f>
        <v/>
      </c>
      <c r="I480" s="393">
        <f>⑩盛付梱包工程入力!O219</f>
        <v/>
      </c>
    </row>
    <row r="481">
      <c r="A481" s="392" t="n">
        <v>477</v>
      </c>
      <c r="B481" s="392" t="inlineStr">
        <is>
          <t>⑩盛付梱包工程入力</t>
        </is>
      </c>
      <c r="C481" s="392" t="n">
        <v>220</v>
      </c>
      <c r="D481" s="392">
        <f>⑩盛付梱包工程入力!C220</f>
        <v/>
      </c>
      <c r="E481" s="393">
        <f>⑩盛付梱包工程入力!I220</f>
        <v/>
      </c>
      <c r="F481" s="393">
        <f>⑩盛付梱包工程入力!J220</f>
        <v/>
      </c>
      <c r="G481" s="393">
        <f>⑩盛付梱包工程入力!M220</f>
        <v/>
      </c>
      <c r="H481" s="393">
        <f>⑩盛付梱包工程入力!N220</f>
        <v/>
      </c>
      <c r="I481" s="393">
        <f>⑩盛付梱包工程入力!O220</f>
        <v/>
      </c>
    </row>
    <row r="482">
      <c r="A482" s="392" t="n">
        <v>478</v>
      </c>
      <c r="B482" s="392" t="inlineStr">
        <is>
          <t>⑩盛付梱包工程入力</t>
        </is>
      </c>
      <c r="C482" s="392" t="n">
        <v>221</v>
      </c>
      <c r="D482" s="392">
        <f>⑩盛付梱包工程入力!C221</f>
        <v/>
      </c>
      <c r="E482" s="393">
        <f>⑩盛付梱包工程入力!I221</f>
        <v/>
      </c>
      <c r="F482" s="393">
        <f>⑩盛付梱包工程入力!J221</f>
        <v/>
      </c>
      <c r="G482" s="393">
        <f>⑩盛付梱包工程入力!M221</f>
        <v/>
      </c>
      <c r="H482" s="393">
        <f>⑩盛付梱包工程入力!N221</f>
        <v/>
      </c>
      <c r="I482" s="393">
        <f>⑩盛付梱包工程入力!O221</f>
        <v/>
      </c>
    </row>
    <row r="483">
      <c r="A483" s="392" t="n">
        <v>479</v>
      </c>
      <c r="B483" s="392" t="inlineStr">
        <is>
          <t>⑩盛付梱包工程入力</t>
        </is>
      </c>
      <c r="C483" s="392" t="n">
        <v>222</v>
      </c>
      <c r="D483" s="392">
        <f>⑩盛付梱包工程入力!C222</f>
        <v/>
      </c>
      <c r="E483" s="393">
        <f>⑩盛付梱包工程入力!I222</f>
        <v/>
      </c>
      <c r="F483" s="393">
        <f>⑩盛付梱包工程入力!J222</f>
        <v/>
      </c>
      <c r="G483" s="393">
        <f>⑩盛付梱包工程入力!M222</f>
        <v/>
      </c>
      <c r="H483" s="393">
        <f>⑩盛付梱包工程入力!N222</f>
        <v/>
      </c>
      <c r="I483" s="393">
        <f>⑩盛付梱包工程入力!O222</f>
        <v/>
      </c>
    </row>
    <row r="484">
      <c r="A484" s="392" t="n">
        <v>480</v>
      </c>
      <c r="B484" s="392" t="inlineStr">
        <is>
          <t>⑩盛付梱包工程入力</t>
        </is>
      </c>
      <c r="C484" s="392" t="n">
        <v>223</v>
      </c>
      <c r="D484" s="392">
        <f>⑩盛付梱包工程入力!C223</f>
        <v/>
      </c>
      <c r="E484" s="393">
        <f>⑩盛付梱包工程入力!I223</f>
        <v/>
      </c>
      <c r="F484" s="393">
        <f>⑩盛付梱包工程入力!J223</f>
        <v/>
      </c>
      <c r="G484" s="393">
        <f>⑩盛付梱包工程入力!M223</f>
        <v/>
      </c>
      <c r="H484" s="393">
        <f>⑩盛付梱包工程入力!N223</f>
        <v/>
      </c>
      <c r="I484" s="393">
        <f>⑩盛付梱包工程入力!O223</f>
        <v/>
      </c>
    </row>
    <row r="485">
      <c r="A485" s="392" t="n">
        <v>481</v>
      </c>
      <c r="B485" s="392" t="inlineStr">
        <is>
          <t>⑩盛付梱包工程入力</t>
        </is>
      </c>
      <c r="C485" s="392" t="n">
        <v>224</v>
      </c>
      <c r="D485" s="392">
        <f>⑩盛付梱包工程入力!C224</f>
        <v/>
      </c>
      <c r="E485" s="393">
        <f>⑩盛付梱包工程入力!I224</f>
        <v/>
      </c>
      <c r="F485" s="393">
        <f>⑩盛付梱包工程入力!J224</f>
        <v/>
      </c>
      <c r="G485" s="393">
        <f>⑩盛付梱包工程入力!M224</f>
        <v/>
      </c>
      <c r="H485" s="393">
        <f>⑩盛付梱包工程入力!N224</f>
        <v/>
      </c>
      <c r="I485" s="393">
        <f>⑩盛付梱包工程入力!O224</f>
        <v/>
      </c>
    </row>
    <row r="486">
      <c r="A486" s="392" t="n">
        <v>482</v>
      </c>
      <c r="B486" s="392" t="inlineStr">
        <is>
          <t>⑩盛付梱包工程入力</t>
        </is>
      </c>
      <c r="C486" s="392" t="n">
        <v>225</v>
      </c>
      <c r="D486" s="392">
        <f>⑩盛付梱包工程入力!C225</f>
        <v/>
      </c>
      <c r="E486" s="393">
        <f>⑩盛付梱包工程入力!I225</f>
        <v/>
      </c>
      <c r="F486" s="393">
        <f>⑩盛付梱包工程入力!J225</f>
        <v/>
      </c>
      <c r="G486" s="393">
        <f>⑩盛付梱包工程入力!M225</f>
        <v/>
      </c>
      <c r="H486" s="393">
        <f>⑩盛付梱包工程入力!N225</f>
        <v/>
      </c>
      <c r="I486" s="393">
        <f>⑩盛付梱包工程入力!O225</f>
        <v/>
      </c>
    </row>
    <row r="487">
      <c r="A487" s="392" t="n">
        <v>483</v>
      </c>
      <c r="B487" s="392" t="inlineStr">
        <is>
          <t>⑩盛付梱包工程入力</t>
        </is>
      </c>
      <c r="C487" s="392" t="n">
        <v>226</v>
      </c>
      <c r="D487" s="392">
        <f>⑩盛付梱包工程入力!C226</f>
        <v/>
      </c>
      <c r="E487" s="393">
        <f>⑩盛付梱包工程入力!I226</f>
        <v/>
      </c>
      <c r="F487" s="393">
        <f>⑩盛付梱包工程入力!J226</f>
        <v/>
      </c>
      <c r="G487" s="393">
        <f>⑩盛付梱包工程入力!M226</f>
        <v/>
      </c>
      <c r="H487" s="393">
        <f>⑩盛付梱包工程入力!N226</f>
        <v/>
      </c>
      <c r="I487" s="393">
        <f>⑩盛付梱包工程入力!O226</f>
        <v/>
      </c>
    </row>
    <row r="488">
      <c r="A488" s="392" t="n">
        <v>484</v>
      </c>
      <c r="B488" s="392" t="inlineStr">
        <is>
          <t>⑩盛付梱包工程入力</t>
        </is>
      </c>
      <c r="C488" s="392" t="n">
        <v>227</v>
      </c>
      <c r="D488" s="392">
        <f>⑩盛付梱包工程入力!C227</f>
        <v/>
      </c>
      <c r="E488" s="393">
        <f>⑩盛付梱包工程入力!I227</f>
        <v/>
      </c>
      <c r="F488" s="393">
        <f>⑩盛付梱包工程入力!J227</f>
        <v/>
      </c>
      <c r="G488" s="393">
        <f>⑩盛付梱包工程入力!M227</f>
        <v/>
      </c>
      <c r="H488" s="393">
        <f>⑩盛付梱包工程入力!N227</f>
        <v/>
      </c>
      <c r="I488" s="393">
        <f>⑩盛付梱包工程入力!O227</f>
        <v/>
      </c>
    </row>
    <row r="489">
      <c r="A489" s="392" t="n">
        <v>485</v>
      </c>
      <c r="B489" s="392" t="inlineStr">
        <is>
          <t>⑩盛付梱包工程入力</t>
        </is>
      </c>
      <c r="C489" s="392" t="n">
        <v>228</v>
      </c>
      <c r="D489" s="392">
        <f>⑩盛付梱包工程入力!C228</f>
        <v/>
      </c>
      <c r="E489" s="393">
        <f>⑩盛付梱包工程入力!I228</f>
        <v/>
      </c>
      <c r="F489" s="393">
        <f>⑩盛付梱包工程入力!J228</f>
        <v/>
      </c>
      <c r="G489" s="393">
        <f>⑩盛付梱包工程入力!M228</f>
        <v/>
      </c>
      <c r="H489" s="393">
        <f>⑩盛付梱包工程入力!N228</f>
        <v/>
      </c>
      <c r="I489" s="393">
        <f>⑩盛付梱包工程入力!O228</f>
        <v/>
      </c>
    </row>
    <row r="490">
      <c r="A490" s="392" t="n">
        <v>486</v>
      </c>
      <c r="B490" s="392" t="inlineStr">
        <is>
          <t>⑩盛付梱包工程入力</t>
        </is>
      </c>
      <c r="C490" s="392" t="n">
        <v>229</v>
      </c>
      <c r="D490" s="392">
        <f>⑩盛付梱包工程入力!C229</f>
        <v/>
      </c>
      <c r="E490" s="393">
        <f>⑩盛付梱包工程入力!I229</f>
        <v/>
      </c>
      <c r="F490" s="393">
        <f>⑩盛付梱包工程入力!J229</f>
        <v/>
      </c>
      <c r="G490" s="393">
        <f>⑩盛付梱包工程入力!M229</f>
        <v/>
      </c>
      <c r="H490" s="393">
        <f>⑩盛付梱包工程入力!N229</f>
        <v/>
      </c>
      <c r="I490" s="393">
        <f>⑩盛付梱包工程入力!O229</f>
        <v/>
      </c>
    </row>
    <row r="491">
      <c r="A491" s="392" t="n">
        <v>487</v>
      </c>
      <c r="B491" s="392" t="inlineStr">
        <is>
          <t>⑩盛付梱包工程入力</t>
        </is>
      </c>
      <c r="C491" s="392" t="n">
        <v>230</v>
      </c>
      <c r="D491" s="392">
        <f>⑩盛付梱包工程入力!C230</f>
        <v/>
      </c>
      <c r="E491" s="393">
        <f>⑩盛付梱包工程入力!I230</f>
        <v/>
      </c>
      <c r="F491" s="393">
        <f>⑩盛付梱包工程入力!J230</f>
        <v/>
      </c>
      <c r="G491" s="393">
        <f>⑩盛付梱包工程入力!M230</f>
        <v/>
      </c>
      <c r="H491" s="393">
        <f>⑩盛付梱包工程入力!N230</f>
        <v/>
      </c>
      <c r="I491" s="393">
        <f>⑩盛付梱包工程入力!O230</f>
        <v/>
      </c>
    </row>
    <row r="492">
      <c r="A492" s="392" t="n">
        <v>488</v>
      </c>
      <c r="B492" s="392" t="inlineStr">
        <is>
          <t>⑩盛付梱包工程入力</t>
        </is>
      </c>
      <c r="C492" s="392" t="n">
        <v>231</v>
      </c>
      <c r="D492" s="392">
        <f>⑩盛付梱包工程入力!C231</f>
        <v/>
      </c>
      <c r="E492" s="393">
        <f>⑩盛付梱包工程入力!I231</f>
        <v/>
      </c>
      <c r="F492" s="393">
        <f>⑩盛付梱包工程入力!J231</f>
        <v/>
      </c>
      <c r="G492" s="393">
        <f>⑩盛付梱包工程入力!M231</f>
        <v/>
      </c>
      <c r="H492" s="393">
        <f>⑩盛付梱包工程入力!N231</f>
        <v/>
      </c>
      <c r="I492" s="393">
        <f>⑩盛付梱包工程入力!O231</f>
        <v/>
      </c>
    </row>
    <row r="493">
      <c r="A493" s="392" t="n">
        <v>489</v>
      </c>
      <c r="B493" s="392" t="inlineStr">
        <is>
          <t>⑩盛付梱包工程入力</t>
        </is>
      </c>
      <c r="C493" s="392" t="n">
        <v>232</v>
      </c>
      <c r="D493" s="392">
        <f>⑩盛付梱包工程入力!C232</f>
        <v/>
      </c>
      <c r="E493" s="393">
        <f>⑩盛付梱包工程入力!I232</f>
        <v/>
      </c>
      <c r="F493" s="393">
        <f>⑩盛付梱包工程入力!J232</f>
        <v/>
      </c>
      <c r="G493" s="393">
        <f>⑩盛付梱包工程入力!M232</f>
        <v/>
      </c>
      <c r="H493" s="393">
        <f>⑩盛付梱包工程入力!N232</f>
        <v/>
      </c>
      <c r="I493" s="393">
        <f>⑩盛付梱包工程入力!O232</f>
        <v/>
      </c>
    </row>
    <row r="494">
      <c r="A494" s="392" t="n">
        <v>490</v>
      </c>
      <c r="B494" s="392" t="inlineStr">
        <is>
          <t>⑩盛付梱包工程入力</t>
        </is>
      </c>
      <c r="C494" s="392" t="n">
        <v>233</v>
      </c>
      <c r="D494" s="392">
        <f>⑩盛付梱包工程入力!C233</f>
        <v/>
      </c>
      <c r="E494" s="393">
        <f>⑩盛付梱包工程入力!I233</f>
        <v/>
      </c>
      <c r="F494" s="393">
        <f>⑩盛付梱包工程入力!J233</f>
        <v/>
      </c>
      <c r="G494" s="393">
        <f>⑩盛付梱包工程入力!M233</f>
        <v/>
      </c>
      <c r="H494" s="393">
        <f>⑩盛付梱包工程入力!N233</f>
        <v/>
      </c>
      <c r="I494" s="393">
        <f>⑩盛付梱包工程入力!O233</f>
        <v/>
      </c>
    </row>
    <row r="495">
      <c r="A495" s="392" t="n">
        <v>491</v>
      </c>
      <c r="B495" s="392" t="inlineStr">
        <is>
          <t>⑩盛付梱包工程入力</t>
        </is>
      </c>
      <c r="C495" s="392" t="n">
        <v>234</v>
      </c>
      <c r="D495" s="392">
        <f>⑩盛付梱包工程入力!C234</f>
        <v/>
      </c>
      <c r="E495" s="393">
        <f>⑩盛付梱包工程入力!I234</f>
        <v/>
      </c>
      <c r="F495" s="393">
        <f>⑩盛付梱包工程入力!J234</f>
        <v/>
      </c>
      <c r="G495" s="393">
        <f>⑩盛付梱包工程入力!M234</f>
        <v/>
      </c>
      <c r="H495" s="393">
        <f>⑩盛付梱包工程入力!N234</f>
        <v/>
      </c>
      <c r="I495" s="393">
        <f>⑩盛付梱包工程入力!O234</f>
        <v/>
      </c>
    </row>
    <row r="496">
      <c r="A496" s="392" t="n">
        <v>492</v>
      </c>
      <c r="B496" s="392" t="inlineStr">
        <is>
          <t>⑩盛付梱包工程入力</t>
        </is>
      </c>
      <c r="C496" s="392" t="n">
        <v>235</v>
      </c>
      <c r="D496" s="392">
        <f>⑩盛付梱包工程入力!C235</f>
        <v/>
      </c>
      <c r="E496" s="393">
        <f>⑩盛付梱包工程入力!I235</f>
        <v/>
      </c>
      <c r="F496" s="393">
        <f>⑩盛付梱包工程入力!J235</f>
        <v/>
      </c>
      <c r="G496" s="393">
        <f>⑩盛付梱包工程入力!M235</f>
        <v/>
      </c>
      <c r="H496" s="393">
        <f>⑩盛付梱包工程入力!N235</f>
        <v/>
      </c>
      <c r="I496" s="393">
        <f>⑩盛付梱包工程入力!O235</f>
        <v/>
      </c>
    </row>
    <row r="497">
      <c r="A497" s="392" t="n">
        <v>493</v>
      </c>
      <c r="B497" s="392" t="inlineStr">
        <is>
          <t>⑩盛付梱包工程入力</t>
        </is>
      </c>
      <c r="C497" s="392" t="n">
        <v>236</v>
      </c>
      <c r="D497" s="392">
        <f>⑩盛付梱包工程入力!C236</f>
        <v/>
      </c>
      <c r="E497" s="393">
        <f>⑩盛付梱包工程入力!I236</f>
        <v/>
      </c>
      <c r="F497" s="393">
        <f>⑩盛付梱包工程入力!J236</f>
        <v/>
      </c>
      <c r="G497" s="393">
        <f>⑩盛付梱包工程入力!M236</f>
        <v/>
      </c>
      <c r="H497" s="393">
        <f>⑩盛付梱包工程入力!N236</f>
        <v/>
      </c>
      <c r="I497" s="393">
        <f>⑩盛付梱包工程入力!O236</f>
        <v/>
      </c>
    </row>
    <row r="498">
      <c r="A498" s="392" t="n">
        <v>494</v>
      </c>
      <c r="B498" s="392" t="inlineStr">
        <is>
          <t>⑩盛付梱包工程入力</t>
        </is>
      </c>
      <c r="C498" s="392" t="n">
        <v>237</v>
      </c>
      <c r="D498" s="392">
        <f>⑩盛付梱包工程入力!C237</f>
        <v/>
      </c>
      <c r="E498" s="393">
        <f>⑩盛付梱包工程入力!I237</f>
        <v/>
      </c>
      <c r="F498" s="393">
        <f>⑩盛付梱包工程入力!J237</f>
        <v/>
      </c>
      <c r="G498" s="393">
        <f>⑩盛付梱包工程入力!M237</f>
        <v/>
      </c>
      <c r="H498" s="393">
        <f>⑩盛付梱包工程入力!N237</f>
        <v/>
      </c>
      <c r="I498" s="393">
        <f>⑩盛付梱包工程入力!O237</f>
        <v/>
      </c>
    </row>
    <row r="499">
      <c r="A499" s="392" t="n">
        <v>495</v>
      </c>
      <c r="B499" s="392" t="inlineStr">
        <is>
          <t>⑩盛付梱包工程入力</t>
        </is>
      </c>
      <c r="C499" s="392" t="n">
        <v>238</v>
      </c>
      <c r="D499" s="392">
        <f>⑩盛付梱包工程入力!C238</f>
        <v/>
      </c>
      <c r="E499" s="393">
        <f>⑩盛付梱包工程入力!I238</f>
        <v/>
      </c>
      <c r="F499" s="393">
        <f>⑩盛付梱包工程入力!J238</f>
        <v/>
      </c>
      <c r="G499" s="393">
        <f>⑩盛付梱包工程入力!M238</f>
        <v/>
      </c>
      <c r="H499" s="393">
        <f>⑩盛付梱包工程入力!N238</f>
        <v/>
      </c>
      <c r="I499" s="393">
        <f>⑩盛付梱包工程入力!O238</f>
        <v/>
      </c>
    </row>
    <row r="500">
      <c r="A500" s="392" t="n">
        <v>496</v>
      </c>
      <c r="B500" s="392" t="inlineStr">
        <is>
          <t>⑩盛付梱包工程入力</t>
        </is>
      </c>
      <c r="C500" s="392" t="n">
        <v>239</v>
      </c>
      <c r="D500" s="392">
        <f>⑩盛付梱包工程入力!C239</f>
        <v/>
      </c>
      <c r="E500" s="393">
        <f>⑩盛付梱包工程入力!I239</f>
        <v/>
      </c>
      <c r="F500" s="393">
        <f>⑩盛付梱包工程入力!J239</f>
        <v/>
      </c>
      <c r="G500" s="393">
        <f>⑩盛付梱包工程入力!M239</f>
        <v/>
      </c>
      <c r="H500" s="393">
        <f>⑩盛付梱包工程入力!N239</f>
        <v/>
      </c>
      <c r="I500" s="393">
        <f>⑩盛付梱包工程入力!O239</f>
        <v/>
      </c>
    </row>
    <row r="501">
      <c r="A501" s="392" t="n">
        <v>497</v>
      </c>
      <c r="B501" s="392" t="inlineStr">
        <is>
          <t>⑩盛付梱包工程入力</t>
        </is>
      </c>
      <c r="C501" s="392" t="n">
        <v>240</v>
      </c>
      <c r="D501" s="392">
        <f>⑩盛付梱包工程入力!C240</f>
        <v/>
      </c>
      <c r="E501" s="393">
        <f>⑩盛付梱包工程入力!I240</f>
        <v/>
      </c>
      <c r="F501" s="393">
        <f>⑩盛付梱包工程入力!J240</f>
        <v/>
      </c>
      <c r="G501" s="393">
        <f>⑩盛付梱包工程入力!M240</f>
        <v/>
      </c>
      <c r="H501" s="393">
        <f>⑩盛付梱包工程入力!N240</f>
        <v/>
      </c>
      <c r="I501" s="393">
        <f>⑩盛付梱包工程入力!O240</f>
        <v/>
      </c>
    </row>
    <row r="502">
      <c r="A502" s="392" t="n">
        <v>498</v>
      </c>
      <c r="B502" s="392" t="inlineStr">
        <is>
          <t>⑩盛付梱包工程入力</t>
        </is>
      </c>
      <c r="C502" s="392" t="n">
        <v>241</v>
      </c>
      <c r="D502" s="392">
        <f>⑩盛付梱包工程入力!C241</f>
        <v/>
      </c>
      <c r="E502" s="393">
        <f>⑩盛付梱包工程入力!I241</f>
        <v/>
      </c>
      <c r="F502" s="393">
        <f>⑩盛付梱包工程入力!J241</f>
        <v/>
      </c>
      <c r="G502" s="393">
        <f>⑩盛付梱包工程入力!M241</f>
        <v/>
      </c>
      <c r="H502" s="393">
        <f>⑩盛付梱包工程入力!N241</f>
        <v/>
      </c>
      <c r="I502" s="393">
        <f>⑩盛付梱包工程入力!O241</f>
        <v/>
      </c>
    </row>
    <row r="503">
      <c r="A503" s="392" t="n">
        <v>499</v>
      </c>
      <c r="B503" s="392" t="inlineStr">
        <is>
          <t>⑩盛付梱包工程入力</t>
        </is>
      </c>
      <c r="C503" s="392" t="n">
        <v>242</v>
      </c>
      <c r="D503" s="392">
        <f>⑩盛付梱包工程入力!C242</f>
        <v/>
      </c>
      <c r="E503" s="393">
        <f>⑩盛付梱包工程入力!I242</f>
        <v/>
      </c>
      <c r="F503" s="393">
        <f>⑩盛付梱包工程入力!J242</f>
        <v/>
      </c>
      <c r="G503" s="393">
        <f>⑩盛付梱包工程入力!M242</f>
        <v/>
      </c>
      <c r="H503" s="393">
        <f>⑩盛付梱包工程入力!N242</f>
        <v/>
      </c>
      <c r="I503" s="393">
        <f>⑩盛付梱包工程入力!O242</f>
        <v/>
      </c>
    </row>
    <row r="504">
      <c r="A504" s="392" t="n">
        <v>500</v>
      </c>
      <c r="B504" s="392" t="inlineStr">
        <is>
          <t>⑩盛付梱包工程入力</t>
        </is>
      </c>
      <c r="C504" s="392" t="n">
        <v>243</v>
      </c>
      <c r="D504" s="392">
        <f>⑩盛付梱包工程入力!C243</f>
        <v/>
      </c>
      <c r="E504" s="393">
        <f>⑩盛付梱包工程入力!I243</f>
        <v/>
      </c>
      <c r="F504" s="393">
        <f>⑩盛付梱包工程入力!J243</f>
        <v/>
      </c>
      <c r="G504" s="393">
        <f>⑩盛付梱包工程入力!M243</f>
        <v/>
      </c>
      <c r="H504" s="393">
        <f>⑩盛付梱包工程入力!N243</f>
        <v/>
      </c>
      <c r="I504" s="393">
        <f>⑩盛付梱包工程入力!O243</f>
        <v/>
      </c>
    </row>
    <row r="505">
      <c r="A505" s="392" t="n">
        <v>501</v>
      </c>
      <c r="B505" s="392" t="inlineStr">
        <is>
          <t>⑩盛付梱包工程入力</t>
        </is>
      </c>
      <c r="C505" s="392" t="n">
        <v>244</v>
      </c>
      <c r="D505" s="392">
        <f>⑩盛付梱包工程入力!C244</f>
        <v/>
      </c>
      <c r="E505" s="393">
        <f>⑩盛付梱包工程入力!I244</f>
        <v/>
      </c>
      <c r="F505" s="393">
        <f>⑩盛付梱包工程入力!J244</f>
        <v/>
      </c>
      <c r="G505" s="393">
        <f>⑩盛付梱包工程入力!M244</f>
        <v/>
      </c>
      <c r="H505" s="393">
        <f>⑩盛付梱包工程入力!N244</f>
        <v/>
      </c>
      <c r="I505" s="393">
        <f>⑩盛付梱包工程入力!O244</f>
        <v/>
      </c>
    </row>
    <row r="506">
      <c r="A506" s="392" t="n">
        <v>502</v>
      </c>
      <c r="B506" s="392" t="inlineStr">
        <is>
          <t>⑩盛付梱包工程入力</t>
        </is>
      </c>
      <c r="C506" s="392" t="n">
        <v>245</v>
      </c>
      <c r="D506" s="392">
        <f>⑩盛付梱包工程入力!C245</f>
        <v/>
      </c>
      <c r="E506" s="393">
        <f>⑩盛付梱包工程入力!I245</f>
        <v/>
      </c>
      <c r="F506" s="393">
        <f>⑩盛付梱包工程入力!J245</f>
        <v/>
      </c>
      <c r="G506" s="393">
        <f>⑩盛付梱包工程入力!M245</f>
        <v/>
      </c>
      <c r="H506" s="393">
        <f>⑩盛付梱包工程入力!N245</f>
        <v/>
      </c>
      <c r="I506" s="393">
        <f>⑩盛付梱包工程入力!O245</f>
        <v/>
      </c>
    </row>
    <row r="507">
      <c r="A507" s="392" t="n">
        <v>503</v>
      </c>
      <c r="B507" s="392" t="inlineStr">
        <is>
          <t>⑩盛付梱包工程入力</t>
        </is>
      </c>
      <c r="C507" s="392" t="n">
        <v>246</v>
      </c>
      <c r="D507" s="392">
        <f>⑩盛付梱包工程入力!C246</f>
        <v/>
      </c>
      <c r="E507" s="393">
        <f>⑩盛付梱包工程入力!I246</f>
        <v/>
      </c>
      <c r="F507" s="393">
        <f>⑩盛付梱包工程入力!J246</f>
        <v/>
      </c>
      <c r="G507" s="393">
        <f>⑩盛付梱包工程入力!M246</f>
        <v/>
      </c>
      <c r="H507" s="393">
        <f>⑩盛付梱包工程入力!N246</f>
        <v/>
      </c>
      <c r="I507" s="393">
        <f>⑩盛付梱包工程入力!O246</f>
        <v/>
      </c>
    </row>
    <row r="508">
      <c r="A508" s="392" t="n">
        <v>504</v>
      </c>
      <c r="B508" s="392" t="inlineStr">
        <is>
          <t>⑩盛付梱包工程入力</t>
        </is>
      </c>
      <c r="C508" s="392" t="n">
        <v>247</v>
      </c>
      <c r="D508" s="392">
        <f>⑩盛付梱包工程入力!C247</f>
        <v/>
      </c>
      <c r="E508" s="393">
        <f>⑩盛付梱包工程入力!I247</f>
        <v/>
      </c>
      <c r="F508" s="393">
        <f>⑩盛付梱包工程入力!J247</f>
        <v/>
      </c>
      <c r="G508" s="393">
        <f>⑩盛付梱包工程入力!M247</f>
        <v/>
      </c>
      <c r="H508" s="393">
        <f>⑩盛付梱包工程入力!N247</f>
        <v/>
      </c>
      <c r="I508" s="393">
        <f>⑩盛付梱包工程入力!O247</f>
        <v/>
      </c>
    </row>
    <row r="509">
      <c r="A509" s="392" t="n">
        <v>505</v>
      </c>
      <c r="B509" s="392" t="inlineStr">
        <is>
          <t>⑩盛付梱包工程入力</t>
        </is>
      </c>
      <c r="C509" s="392" t="n">
        <v>248</v>
      </c>
      <c r="D509" s="392">
        <f>⑩盛付梱包工程入力!C248</f>
        <v/>
      </c>
      <c r="E509" s="393">
        <f>⑩盛付梱包工程入力!I248</f>
        <v/>
      </c>
      <c r="F509" s="393">
        <f>⑩盛付梱包工程入力!J248</f>
        <v/>
      </c>
      <c r="G509" s="393">
        <f>⑩盛付梱包工程入力!M248</f>
        <v/>
      </c>
      <c r="H509" s="393">
        <f>⑩盛付梱包工程入力!N248</f>
        <v/>
      </c>
      <c r="I509" s="393">
        <f>⑩盛付梱包工程入力!O248</f>
        <v/>
      </c>
    </row>
    <row r="510">
      <c r="A510" s="392" t="n">
        <v>506</v>
      </c>
      <c r="B510" s="392" t="inlineStr">
        <is>
          <t>⑩盛付梱包工程入力</t>
        </is>
      </c>
      <c r="C510" s="392" t="n">
        <v>249</v>
      </c>
      <c r="D510" s="392">
        <f>⑩盛付梱包工程入力!C249</f>
        <v/>
      </c>
      <c r="E510" s="393">
        <f>⑩盛付梱包工程入力!I249</f>
        <v/>
      </c>
      <c r="F510" s="393">
        <f>⑩盛付梱包工程入力!J249</f>
        <v/>
      </c>
      <c r="G510" s="393">
        <f>⑩盛付梱包工程入力!M249</f>
        <v/>
      </c>
      <c r="H510" s="393">
        <f>⑩盛付梱包工程入力!N249</f>
        <v/>
      </c>
      <c r="I510" s="393">
        <f>⑩盛付梱包工程入力!O249</f>
        <v/>
      </c>
    </row>
    <row r="511">
      <c r="A511" s="392" t="n">
        <v>507</v>
      </c>
      <c r="B511" s="392" t="inlineStr">
        <is>
          <t>⑩盛付梱包工程入力</t>
        </is>
      </c>
      <c r="C511" s="392" t="n">
        <v>250</v>
      </c>
      <c r="D511" s="392">
        <f>⑩盛付梱包工程入力!C250</f>
        <v/>
      </c>
      <c r="E511" s="393">
        <f>⑩盛付梱包工程入力!I250</f>
        <v/>
      </c>
      <c r="F511" s="393">
        <f>⑩盛付梱包工程入力!J250</f>
        <v/>
      </c>
      <c r="G511" s="393">
        <f>⑩盛付梱包工程入力!M250</f>
        <v/>
      </c>
      <c r="H511" s="393">
        <f>⑩盛付梱包工程入力!N250</f>
        <v/>
      </c>
      <c r="I511" s="393">
        <f>⑩盛付梱包工程入力!O250</f>
        <v/>
      </c>
    </row>
    <row r="512">
      <c r="A512" s="392" t="n">
        <v>508</v>
      </c>
      <c r="B512" s="392" t="inlineStr">
        <is>
          <t>⑩盛付梱包工程入力</t>
        </is>
      </c>
      <c r="C512" s="392" t="n">
        <v>251</v>
      </c>
      <c r="D512" s="392">
        <f>⑩盛付梱包工程入力!C251</f>
        <v/>
      </c>
      <c r="E512" s="393">
        <f>⑩盛付梱包工程入力!I251</f>
        <v/>
      </c>
      <c r="F512" s="393">
        <f>⑩盛付梱包工程入力!J251</f>
        <v/>
      </c>
      <c r="G512" s="393">
        <f>⑩盛付梱包工程入力!M251</f>
        <v/>
      </c>
      <c r="H512" s="393">
        <f>⑩盛付梱包工程入力!N251</f>
        <v/>
      </c>
      <c r="I512" s="393">
        <f>⑩盛付梱包工程入力!O251</f>
        <v/>
      </c>
    </row>
    <row r="513">
      <c r="A513" s="392" t="n">
        <v>509</v>
      </c>
      <c r="B513" s="392" t="inlineStr">
        <is>
          <t>⑩盛付梱包工程入力</t>
        </is>
      </c>
      <c r="C513" s="392" t="n">
        <v>252</v>
      </c>
      <c r="D513" s="392">
        <f>⑩盛付梱包工程入力!C252</f>
        <v/>
      </c>
      <c r="E513" s="393">
        <f>⑩盛付梱包工程入力!I252</f>
        <v/>
      </c>
      <c r="F513" s="393">
        <f>⑩盛付梱包工程入力!J252</f>
        <v/>
      </c>
      <c r="G513" s="393">
        <f>⑩盛付梱包工程入力!M252</f>
        <v/>
      </c>
      <c r="H513" s="393">
        <f>⑩盛付梱包工程入力!N252</f>
        <v/>
      </c>
      <c r="I513" s="393">
        <f>⑩盛付梱包工程入力!O252</f>
        <v/>
      </c>
    </row>
    <row r="514">
      <c r="A514" s="392" t="n">
        <v>510</v>
      </c>
      <c r="B514" s="392" t="inlineStr">
        <is>
          <t>⑩盛付梱包工程入力</t>
        </is>
      </c>
      <c r="C514" s="392" t="n">
        <v>253</v>
      </c>
      <c r="D514" s="392">
        <f>⑩盛付梱包工程入力!C253</f>
        <v/>
      </c>
      <c r="E514" s="393">
        <f>⑩盛付梱包工程入力!I253</f>
        <v/>
      </c>
      <c r="F514" s="393">
        <f>⑩盛付梱包工程入力!J253</f>
        <v/>
      </c>
      <c r="G514" s="393">
        <f>⑩盛付梱包工程入力!M253</f>
        <v/>
      </c>
      <c r="H514" s="393">
        <f>⑩盛付梱包工程入力!N253</f>
        <v/>
      </c>
      <c r="I514" s="393">
        <f>⑩盛付梱包工程入力!O253</f>
        <v/>
      </c>
    </row>
    <row r="515">
      <c r="A515" s="392" t="n">
        <v>511</v>
      </c>
      <c r="B515" s="392" t="inlineStr">
        <is>
          <t>⑩盛付梱包工程入力</t>
        </is>
      </c>
      <c r="C515" s="392" t="n">
        <v>254</v>
      </c>
      <c r="D515" s="392">
        <f>⑩盛付梱包工程入力!C254</f>
        <v/>
      </c>
      <c r="E515" s="393">
        <f>⑩盛付梱包工程入力!I254</f>
        <v/>
      </c>
      <c r="F515" s="393">
        <f>⑩盛付梱包工程入力!J254</f>
        <v/>
      </c>
      <c r="G515" s="393">
        <f>⑩盛付梱包工程入力!M254</f>
        <v/>
      </c>
      <c r="H515" s="393">
        <f>⑩盛付梱包工程入力!N254</f>
        <v/>
      </c>
      <c r="I515" s="393">
        <f>⑩盛付梱包工程入力!O254</f>
        <v/>
      </c>
    </row>
    <row r="516">
      <c r="A516" s="392" t="n">
        <v>512</v>
      </c>
      <c r="B516" s="392" t="inlineStr">
        <is>
          <t>⑩盛付梱包工程入力</t>
        </is>
      </c>
      <c r="C516" s="392" t="n">
        <v>255</v>
      </c>
      <c r="D516" s="392">
        <f>⑩盛付梱包工程入力!C255</f>
        <v/>
      </c>
      <c r="E516" s="393">
        <f>⑩盛付梱包工程入力!I255</f>
        <v/>
      </c>
      <c r="F516" s="393">
        <f>⑩盛付梱包工程入力!J255</f>
        <v/>
      </c>
      <c r="G516" s="393">
        <f>⑩盛付梱包工程入力!M255</f>
        <v/>
      </c>
      <c r="H516" s="393">
        <f>⑩盛付梱包工程入力!N255</f>
        <v/>
      </c>
      <c r="I516" s="393">
        <f>⑩盛付梱包工程入力!O255</f>
        <v/>
      </c>
    </row>
    <row r="517">
      <c r="A517" s="392" t="n">
        <v>513</v>
      </c>
      <c r="B517" s="392" t="inlineStr">
        <is>
          <t>⑩盛付梱包工程入力</t>
        </is>
      </c>
      <c r="C517" s="392" t="n">
        <v>256</v>
      </c>
      <c r="D517" s="392">
        <f>⑩盛付梱包工程入力!C256</f>
        <v/>
      </c>
      <c r="E517" s="393">
        <f>⑩盛付梱包工程入力!I256</f>
        <v/>
      </c>
      <c r="F517" s="393">
        <f>⑩盛付梱包工程入力!J256</f>
        <v/>
      </c>
      <c r="G517" s="393">
        <f>⑩盛付梱包工程入力!M256</f>
        <v/>
      </c>
      <c r="H517" s="393">
        <f>⑩盛付梱包工程入力!N256</f>
        <v/>
      </c>
      <c r="I517" s="393">
        <f>⑩盛付梱包工程入力!O256</f>
        <v/>
      </c>
    </row>
    <row r="518">
      <c r="A518" s="392" t="n">
        <v>514</v>
      </c>
      <c r="B518" s="392" t="inlineStr">
        <is>
          <t>⑩盛付梱包工程入力</t>
        </is>
      </c>
      <c r="C518" s="392" t="n">
        <v>257</v>
      </c>
      <c r="D518" s="392">
        <f>⑩盛付梱包工程入力!C257</f>
        <v/>
      </c>
      <c r="E518" s="393">
        <f>⑩盛付梱包工程入力!I257</f>
        <v/>
      </c>
      <c r="F518" s="393">
        <f>⑩盛付梱包工程入力!J257</f>
        <v/>
      </c>
      <c r="G518" s="393">
        <f>⑩盛付梱包工程入力!M257</f>
        <v/>
      </c>
      <c r="H518" s="393">
        <f>⑩盛付梱包工程入力!N257</f>
        <v/>
      </c>
      <c r="I518" s="393">
        <f>⑩盛付梱包工程入力!O257</f>
        <v/>
      </c>
    </row>
    <row r="519">
      <c r="A519" s="392" t="n">
        <v>515</v>
      </c>
      <c r="B519" s="392" t="inlineStr">
        <is>
          <t>⑩盛付梱包工程入力</t>
        </is>
      </c>
      <c r="C519" s="392" t="n">
        <v>258</v>
      </c>
      <c r="D519" s="392">
        <f>⑩盛付梱包工程入力!C258</f>
        <v/>
      </c>
      <c r="E519" s="393">
        <f>⑩盛付梱包工程入力!I258</f>
        <v/>
      </c>
      <c r="F519" s="393">
        <f>⑩盛付梱包工程入力!J258</f>
        <v/>
      </c>
      <c r="G519" s="393">
        <f>⑩盛付梱包工程入力!M258</f>
        <v/>
      </c>
      <c r="H519" s="393">
        <f>⑩盛付梱包工程入力!N258</f>
        <v/>
      </c>
      <c r="I519" s="393">
        <f>⑩盛付梱包工程入力!O258</f>
        <v/>
      </c>
    </row>
    <row r="520">
      <c r="A520" s="392" t="n">
        <v>516</v>
      </c>
      <c r="B520" s="392" t="inlineStr">
        <is>
          <t>⑩盛付梱包工程入力</t>
        </is>
      </c>
      <c r="C520" s="392" t="n">
        <v>259</v>
      </c>
      <c r="D520" s="392">
        <f>⑩盛付梱包工程入力!C259</f>
        <v/>
      </c>
      <c r="E520" s="393">
        <f>⑩盛付梱包工程入力!I259</f>
        <v/>
      </c>
      <c r="F520" s="393">
        <f>⑩盛付梱包工程入力!J259</f>
        <v/>
      </c>
      <c r="G520" s="393">
        <f>⑩盛付梱包工程入力!M259</f>
        <v/>
      </c>
      <c r="H520" s="393">
        <f>⑩盛付梱包工程入力!N259</f>
        <v/>
      </c>
      <c r="I520" s="393">
        <f>⑩盛付梱包工程入力!O259</f>
        <v/>
      </c>
    </row>
    <row r="521">
      <c r="A521" s="392" t="n">
        <v>517</v>
      </c>
      <c r="B521" s="392" t="inlineStr">
        <is>
          <t>⑩盛付梱包工程入力</t>
        </is>
      </c>
      <c r="C521" s="392" t="n">
        <v>260</v>
      </c>
      <c r="D521" s="392">
        <f>⑩盛付梱包工程入力!C260</f>
        <v/>
      </c>
      <c r="E521" s="393">
        <f>⑩盛付梱包工程入力!I260</f>
        <v/>
      </c>
      <c r="F521" s="393">
        <f>⑩盛付梱包工程入力!J260</f>
        <v/>
      </c>
      <c r="G521" s="393">
        <f>⑩盛付梱包工程入力!M260</f>
        <v/>
      </c>
      <c r="H521" s="393">
        <f>⑩盛付梱包工程入力!N260</f>
        <v/>
      </c>
      <c r="I521" s="393">
        <f>⑩盛付梱包工程入力!O260</f>
        <v/>
      </c>
    </row>
    <row r="522">
      <c r="A522" s="392" t="n">
        <v>518</v>
      </c>
      <c r="B522" s="392" t="inlineStr">
        <is>
          <t>⑩盛付梱包工程入力</t>
        </is>
      </c>
      <c r="C522" s="392" t="n">
        <v>261</v>
      </c>
      <c r="D522" s="392">
        <f>⑩盛付梱包工程入力!C261</f>
        <v/>
      </c>
      <c r="E522" s="393">
        <f>⑩盛付梱包工程入力!I261</f>
        <v/>
      </c>
      <c r="F522" s="393">
        <f>⑩盛付梱包工程入力!J261</f>
        <v/>
      </c>
      <c r="G522" s="393">
        <f>⑩盛付梱包工程入力!M261</f>
        <v/>
      </c>
      <c r="H522" s="393">
        <f>⑩盛付梱包工程入力!N261</f>
        <v/>
      </c>
      <c r="I522" s="393">
        <f>⑩盛付梱包工程入力!O261</f>
        <v/>
      </c>
    </row>
    <row r="523">
      <c r="A523" s="392" t="n">
        <v>519</v>
      </c>
      <c r="B523" s="392" t="inlineStr">
        <is>
          <t>⑩盛付梱包工程入力</t>
        </is>
      </c>
      <c r="C523" s="392" t="n">
        <v>262</v>
      </c>
      <c r="D523" s="392">
        <f>⑩盛付梱包工程入力!C262</f>
        <v/>
      </c>
      <c r="E523" s="393">
        <f>⑩盛付梱包工程入力!I262</f>
        <v/>
      </c>
      <c r="F523" s="393">
        <f>⑩盛付梱包工程入力!J262</f>
        <v/>
      </c>
      <c r="G523" s="393">
        <f>⑩盛付梱包工程入力!M262</f>
        <v/>
      </c>
      <c r="H523" s="393">
        <f>⑩盛付梱包工程入力!N262</f>
        <v/>
      </c>
      <c r="I523" s="393">
        <f>⑩盛付梱包工程入力!O262</f>
        <v/>
      </c>
    </row>
    <row r="524">
      <c r="A524" s="392" t="n">
        <v>520</v>
      </c>
      <c r="B524" s="392" t="inlineStr">
        <is>
          <t>⑩盛付梱包工程入力</t>
        </is>
      </c>
      <c r="C524" s="392" t="n">
        <v>263</v>
      </c>
      <c r="D524" s="392">
        <f>⑩盛付梱包工程入力!C263</f>
        <v/>
      </c>
      <c r="E524" s="393">
        <f>⑩盛付梱包工程入力!I263</f>
        <v/>
      </c>
      <c r="F524" s="393">
        <f>⑩盛付梱包工程入力!J263</f>
        <v/>
      </c>
      <c r="G524" s="393">
        <f>⑩盛付梱包工程入力!M263</f>
        <v/>
      </c>
      <c r="H524" s="393">
        <f>⑩盛付梱包工程入力!N263</f>
        <v/>
      </c>
      <c r="I524" s="393">
        <f>⑩盛付梱包工程入力!O263</f>
        <v/>
      </c>
    </row>
    <row r="525">
      <c r="A525" s="392" t="n">
        <v>521</v>
      </c>
      <c r="B525" s="392" t="inlineStr">
        <is>
          <t>⑩盛付梱包工程入力</t>
        </is>
      </c>
      <c r="C525" s="392" t="n">
        <v>264</v>
      </c>
      <c r="D525" s="392">
        <f>⑩盛付梱包工程入力!C264</f>
        <v/>
      </c>
      <c r="E525" s="393">
        <f>⑩盛付梱包工程入力!I264</f>
        <v/>
      </c>
      <c r="F525" s="393">
        <f>⑩盛付梱包工程入力!J264</f>
        <v/>
      </c>
      <c r="G525" s="393">
        <f>⑩盛付梱包工程入力!M264</f>
        <v/>
      </c>
      <c r="H525" s="393">
        <f>⑩盛付梱包工程入力!N264</f>
        <v/>
      </c>
      <c r="I525" s="393">
        <f>⑩盛付梱包工程入力!O264</f>
        <v/>
      </c>
    </row>
    <row r="526">
      <c r="A526" s="392" t="n">
        <v>522</v>
      </c>
      <c r="B526" s="392" t="inlineStr">
        <is>
          <t>⑩盛付梱包工程入力</t>
        </is>
      </c>
      <c r="C526" s="392" t="n">
        <v>265</v>
      </c>
      <c r="D526" s="392">
        <f>⑩盛付梱包工程入力!C265</f>
        <v/>
      </c>
      <c r="E526" s="393">
        <f>⑩盛付梱包工程入力!I265</f>
        <v/>
      </c>
      <c r="F526" s="393">
        <f>⑩盛付梱包工程入力!J265</f>
        <v/>
      </c>
      <c r="G526" s="393">
        <f>⑩盛付梱包工程入力!M265</f>
        <v/>
      </c>
      <c r="H526" s="393">
        <f>⑩盛付梱包工程入力!N265</f>
        <v/>
      </c>
      <c r="I526" s="393">
        <f>⑩盛付梱包工程入力!O265</f>
        <v/>
      </c>
    </row>
    <row r="527">
      <c r="A527" s="392" t="n">
        <v>523</v>
      </c>
      <c r="B527" s="392" t="inlineStr">
        <is>
          <t>⑩盛付梱包工程入力</t>
        </is>
      </c>
      <c r="C527" s="392" t="n">
        <v>266</v>
      </c>
      <c r="D527" s="392">
        <f>⑩盛付梱包工程入力!C266</f>
        <v/>
      </c>
      <c r="E527" s="393">
        <f>⑩盛付梱包工程入力!I266</f>
        <v/>
      </c>
      <c r="F527" s="393">
        <f>⑩盛付梱包工程入力!J266</f>
        <v/>
      </c>
      <c r="G527" s="393">
        <f>⑩盛付梱包工程入力!M266</f>
        <v/>
      </c>
      <c r="H527" s="393">
        <f>⑩盛付梱包工程入力!N266</f>
        <v/>
      </c>
      <c r="I527" s="393">
        <f>⑩盛付梱包工程入力!O266</f>
        <v/>
      </c>
    </row>
    <row r="528">
      <c r="A528" s="392" t="n">
        <v>524</v>
      </c>
      <c r="B528" s="392" t="inlineStr">
        <is>
          <t>⑩盛付梱包工程入力</t>
        </is>
      </c>
      <c r="C528" s="392" t="n">
        <v>267</v>
      </c>
      <c r="D528" s="392">
        <f>⑩盛付梱包工程入力!C267</f>
        <v/>
      </c>
      <c r="E528" s="393">
        <f>⑩盛付梱包工程入力!I267</f>
        <v/>
      </c>
      <c r="F528" s="393">
        <f>⑩盛付梱包工程入力!J267</f>
        <v/>
      </c>
      <c r="G528" s="393">
        <f>⑩盛付梱包工程入力!M267</f>
        <v/>
      </c>
      <c r="H528" s="393">
        <f>⑩盛付梱包工程入力!N267</f>
        <v/>
      </c>
      <c r="I528" s="393">
        <f>⑩盛付梱包工程入力!O267</f>
        <v/>
      </c>
    </row>
    <row r="529">
      <c r="A529" s="392" t="n">
        <v>525</v>
      </c>
      <c r="B529" s="392" t="inlineStr">
        <is>
          <t>⑩盛付梱包工程入力</t>
        </is>
      </c>
      <c r="C529" s="392" t="n">
        <v>268</v>
      </c>
      <c r="D529" s="392">
        <f>⑩盛付梱包工程入力!C268</f>
        <v/>
      </c>
      <c r="E529" s="393">
        <f>⑩盛付梱包工程入力!I268</f>
        <v/>
      </c>
      <c r="F529" s="393">
        <f>⑩盛付梱包工程入力!J268</f>
        <v/>
      </c>
      <c r="G529" s="393">
        <f>⑩盛付梱包工程入力!M268</f>
        <v/>
      </c>
      <c r="H529" s="393">
        <f>⑩盛付梱包工程入力!N268</f>
        <v/>
      </c>
      <c r="I529" s="393">
        <f>⑩盛付梱包工程入力!O268</f>
        <v/>
      </c>
    </row>
    <row r="530">
      <c r="A530" s="392" t="n">
        <v>526</v>
      </c>
      <c r="B530" s="392" t="inlineStr">
        <is>
          <t>⑩盛付梱包工程入力</t>
        </is>
      </c>
      <c r="C530" s="392" t="n">
        <v>269</v>
      </c>
      <c r="D530" s="392">
        <f>⑩盛付梱包工程入力!C269</f>
        <v/>
      </c>
      <c r="E530" s="393">
        <f>⑩盛付梱包工程入力!I269</f>
        <v/>
      </c>
      <c r="F530" s="393">
        <f>⑩盛付梱包工程入力!J269</f>
        <v/>
      </c>
      <c r="G530" s="393">
        <f>⑩盛付梱包工程入力!M269</f>
        <v/>
      </c>
      <c r="H530" s="393">
        <f>⑩盛付梱包工程入力!N269</f>
        <v/>
      </c>
      <c r="I530" s="393">
        <f>⑩盛付梱包工程入力!O269</f>
        <v/>
      </c>
    </row>
    <row r="531">
      <c r="A531" s="392" t="n">
        <v>527</v>
      </c>
      <c r="B531" s="392" t="inlineStr">
        <is>
          <t>⑩盛付梱包工程入力</t>
        </is>
      </c>
      <c r="C531" s="392" t="n">
        <v>270</v>
      </c>
      <c r="D531" s="392">
        <f>⑩盛付梱包工程入力!C270</f>
        <v/>
      </c>
      <c r="E531" s="393">
        <f>⑩盛付梱包工程入力!I270</f>
        <v/>
      </c>
      <c r="F531" s="393">
        <f>⑩盛付梱包工程入力!J270</f>
        <v/>
      </c>
      <c r="G531" s="393">
        <f>⑩盛付梱包工程入力!M270</f>
        <v/>
      </c>
      <c r="H531" s="393">
        <f>⑩盛付梱包工程入力!N270</f>
        <v/>
      </c>
      <c r="I531" s="393">
        <f>⑩盛付梱包工程入力!O270</f>
        <v/>
      </c>
    </row>
    <row r="532">
      <c r="A532" s="392" t="n">
        <v>528</v>
      </c>
      <c r="B532" s="392" t="inlineStr">
        <is>
          <t>⑩盛付梱包工程入力</t>
        </is>
      </c>
      <c r="C532" s="392" t="n">
        <v>271</v>
      </c>
      <c r="D532" s="392">
        <f>⑩盛付梱包工程入力!C271</f>
        <v/>
      </c>
      <c r="E532" s="393">
        <f>⑩盛付梱包工程入力!I271</f>
        <v/>
      </c>
      <c r="F532" s="393">
        <f>⑩盛付梱包工程入力!J271</f>
        <v/>
      </c>
      <c r="G532" s="393">
        <f>⑩盛付梱包工程入力!M271</f>
        <v/>
      </c>
      <c r="H532" s="393">
        <f>⑩盛付梱包工程入力!N271</f>
        <v/>
      </c>
      <c r="I532" s="393">
        <f>⑩盛付梱包工程入力!O271</f>
        <v/>
      </c>
    </row>
    <row r="533">
      <c r="A533" s="392" t="n">
        <v>529</v>
      </c>
      <c r="B533" s="392" t="inlineStr">
        <is>
          <t>⑩盛付梱包工程入力</t>
        </is>
      </c>
      <c r="C533" s="392" t="n">
        <v>272</v>
      </c>
      <c r="D533" s="392">
        <f>⑩盛付梱包工程入力!C272</f>
        <v/>
      </c>
      <c r="E533" s="393">
        <f>⑩盛付梱包工程入力!I272</f>
        <v/>
      </c>
      <c r="F533" s="393">
        <f>⑩盛付梱包工程入力!J272</f>
        <v/>
      </c>
      <c r="G533" s="393">
        <f>⑩盛付梱包工程入力!M272</f>
        <v/>
      </c>
      <c r="H533" s="393">
        <f>⑩盛付梱包工程入力!N272</f>
        <v/>
      </c>
      <c r="I533" s="393">
        <f>⑩盛付梱包工程入力!O272</f>
        <v/>
      </c>
    </row>
    <row r="534">
      <c r="A534" s="392" t="n">
        <v>530</v>
      </c>
      <c r="B534" s="392" t="inlineStr">
        <is>
          <t>⑩盛付梱包工程入力</t>
        </is>
      </c>
      <c r="C534" s="392" t="n">
        <v>273</v>
      </c>
      <c r="D534" s="392">
        <f>⑩盛付梱包工程入力!C273</f>
        <v/>
      </c>
      <c r="E534" s="393">
        <f>⑩盛付梱包工程入力!I273</f>
        <v/>
      </c>
      <c r="F534" s="393">
        <f>⑩盛付梱包工程入力!J273</f>
        <v/>
      </c>
      <c r="G534" s="393">
        <f>⑩盛付梱包工程入力!M273</f>
        <v/>
      </c>
      <c r="H534" s="393">
        <f>⑩盛付梱包工程入力!N273</f>
        <v/>
      </c>
      <c r="I534" s="393">
        <f>⑩盛付梱包工程入力!O273</f>
        <v/>
      </c>
    </row>
    <row r="535">
      <c r="A535" s="392" t="n">
        <v>531</v>
      </c>
      <c r="B535" s="392" t="inlineStr">
        <is>
          <t>⑩盛付梱包工程入力</t>
        </is>
      </c>
      <c r="C535" s="392" t="n">
        <v>274</v>
      </c>
      <c r="D535" s="392">
        <f>⑩盛付梱包工程入力!C274</f>
        <v/>
      </c>
      <c r="E535" s="393">
        <f>⑩盛付梱包工程入力!I274</f>
        <v/>
      </c>
      <c r="F535" s="393">
        <f>⑩盛付梱包工程入力!J274</f>
        <v/>
      </c>
      <c r="G535" s="393">
        <f>⑩盛付梱包工程入力!M274</f>
        <v/>
      </c>
      <c r="H535" s="393">
        <f>⑩盛付梱包工程入力!N274</f>
        <v/>
      </c>
      <c r="I535" s="393">
        <f>⑩盛付梱包工程入力!O274</f>
        <v/>
      </c>
    </row>
    <row r="536">
      <c r="A536" s="392" t="n">
        <v>532</v>
      </c>
      <c r="B536" s="392" t="inlineStr">
        <is>
          <t>⑩盛付梱包工程入力</t>
        </is>
      </c>
      <c r="C536" s="392" t="n">
        <v>275</v>
      </c>
      <c r="D536" s="392">
        <f>⑩盛付梱包工程入力!C275</f>
        <v/>
      </c>
      <c r="E536" s="393">
        <f>⑩盛付梱包工程入力!I275</f>
        <v/>
      </c>
      <c r="F536" s="393">
        <f>⑩盛付梱包工程入力!J275</f>
        <v/>
      </c>
      <c r="G536" s="393">
        <f>⑩盛付梱包工程入力!M275</f>
        <v/>
      </c>
      <c r="H536" s="393">
        <f>⑩盛付梱包工程入力!N275</f>
        <v/>
      </c>
      <c r="I536" s="393">
        <f>⑩盛付梱包工程入力!O275</f>
        <v/>
      </c>
    </row>
    <row r="537">
      <c r="A537" s="392" t="n">
        <v>533</v>
      </c>
      <c r="B537" s="392" t="inlineStr">
        <is>
          <t>⑩盛付梱包工程入力</t>
        </is>
      </c>
      <c r="C537" s="392" t="n">
        <v>276</v>
      </c>
      <c r="D537" s="392">
        <f>⑩盛付梱包工程入力!C276</f>
        <v/>
      </c>
      <c r="E537" s="393">
        <f>⑩盛付梱包工程入力!I276</f>
        <v/>
      </c>
      <c r="F537" s="393">
        <f>⑩盛付梱包工程入力!J276</f>
        <v/>
      </c>
      <c r="G537" s="393">
        <f>⑩盛付梱包工程入力!M276</f>
        <v/>
      </c>
      <c r="H537" s="393">
        <f>⑩盛付梱包工程入力!N276</f>
        <v/>
      </c>
      <c r="I537" s="393">
        <f>⑩盛付梱包工程入力!O276</f>
        <v/>
      </c>
    </row>
    <row r="538">
      <c r="A538" s="392" t="n">
        <v>534</v>
      </c>
      <c r="B538" s="392" t="inlineStr">
        <is>
          <t>⑩盛付梱包工程入力</t>
        </is>
      </c>
      <c r="C538" s="392" t="n">
        <v>277</v>
      </c>
      <c r="D538" s="392">
        <f>⑩盛付梱包工程入力!C277</f>
        <v/>
      </c>
      <c r="E538" s="393">
        <f>⑩盛付梱包工程入力!I277</f>
        <v/>
      </c>
      <c r="F538" s="393">
        <f>⑩盛付梱包工程入力!J277</f>
        <v/>
      </c>
      <c r="G538" s="393">
        <f>⑩盛付梱包工程入力!M277</f>
        <v/>
      </c>
      <c r="H538" s="393">
        <f>⑩盛付梱包工程入力!N277</f>
        <v/>
      </c>
      <c r="I538" s="393">
        <f>⑩盛付梱包工程入力!O277</f>
        <v/>
      </c>
    </row>
    <row r="539">
      <c r="A539" s="392" t="n">
        <v>535</v>
      </c>
      <c r="B539" s="392" t="inlineStr">
        <is>
          <t>⑩盛付梱包工程入力</t>
        </is>
      </c>
      <c r="C539" s="392" t="n">
        <v>278</v>
      </c>
      <c r="D539" s="392">
        <f>⑩盛付梱包工程入力!C278</f>
        <v/>
      </c>
      <c r="E539" s="393">
        <f>⑩盛付梱包工程入力!I278</f>
        <v/>
      </c>
      <c r="F539" s="393">
        <f>⑩盛付梱包工程入力!J278</f>
        <v/>
      </c>
      <c r="G539" s="393">
        <f>⑩盛付梱包工程入力!M278</f>
        <v/>
      </c>
      <c r="H539" s="393">
        <f>⑩盛付梱包工程入力!N278</f>
        <v/>
      </c>
      <c r="I539" s="393">
        <f>⑩盛付梱包工程入力!O278</f>
        <v/>
      </c>
    </row>
    <row r="540">
      <c r="A540" s="392" t="n">
        <v>536</v>
      </c>
      <c r="B540" s="392" t="inlineStr">
        <is>
          <t>⑩盛付梱包工程入力</t>
        </is>
      </c>
      <c r="C540" s="392" t="n">
        <v>279</v>
      </c>
      <c r="D540" s="392">
        <f>⑩盛付梱包工程入力!C279</f>
        <v/>
      </c>
      <c r="E540" s="393">
        <f>⑩盛付梱包工程入力!I279</f>
        <v/>
      </c>
      <c r="F540" s="393">
        <f>⑩盛付梱包工程入力!J279</f>
        <v/>
      </c>
      <c r="G540" s="393">
        <f>⑩盛付梱包工程入力!M279</f>
        <v/>
      </c>
      <c r="H540" s="393">
        <f>⑩盛付梱包工程入力!N279</f>
        <v/>
      </c>
      <c r="I540" s="393">
        <f>⑩盛付梱包工程入力!O279</f>
        <v/>
      </c>
    </row>
    <row r="541">
      <c r="A541" s="392" t="n">
        <v>537</v>
      </c>
      <c r="B541" s="392" t="inlineStr">
        <is>
          <t>⑩盛付梱包工程入力</t>
        </is>
      </c>
      <c r="C541" s="392" t="n">
        <v>280</v>
      </c>
      <c r="D541" s="392">
        <f>⑩盛付梱包工程入力!C280</f>
        <v/>
      </c>
      <c r="E541" s="393">
        <f>⑩盛付梱包工程入力!I280</f>
        <v/>
      </c>
      <c r="F541" s="393">
        <f>⑩盛付梱包工程入力!J280</f>
        <v/>
      </c>
      <c r="G541" s="393">
        <f>⑩盛付梱包工程入力!M280</f>
        <v/>
      </c>
      <c r="H541" s="393">
        <f>⑩盛付梱包工程入力!N280</f>
        <v/>
      </c>
      <c r="I541" s="393">
        <f>⑩盛付梱包工程入力!O280</f>
        <v/>
      </c>
    </row>
    <row r="542">
      <c r="A542" s="392" t="n">
        <v>538</v>
      </c>
      <c r="B542" s="392" t="inlineStr">
        <is>
          <t>⑩盛付梱包工程入力</t>
        </is>
      </c>
      <c r="C542" s="392" t="n">
        <v>281</v>
      </c>
      <c r="D542" s="392">
        <f>⑩盛付梱包工程入力!C281</f>
        <v/>
      </c>
      <c r="E542" s="393">
        <f>⑩盛付梱包工程入力!I281</f>
        <v/>
      </c>
      <c r="F542" s="393">
        <f>⑩盛付梱包工程入力!J281</f>
        <v/>
      </c>
      <c r="G542" s="393">
        <f>⑩盛付梱包工程入力!M281</f>
        <v/>
      </c>
      <c r="H542" s="393">
        <f>⑩盛付梱包工程入力!N281</f>
        <v/>
      </c>
      <c r="I542" s="393">
        <f>⑩盛付梱包工程入力!O281</f>
        <v/>
      </c>
    </row>
    <row r="543">
      <c r="A543" s="392" t="n">
        <v>539</v>
      </c>
      <c r="B543" s="392" t="inlineStr">
        <is>
          <t>⑩盛付梱包工程入力</t>
        </is>
      </c>
      <c r="C543" s="392" t="n">
        <v>282</v>
      </c>
      <c r="D543" s="392">
        <f>⑩盛付梱包工程入力!C282</f>
        <v/>
      </c>
      <c r="E543" s="393">
        <f>⑩盛付梱包工程入力!I282</f>
        <v/>
      </c>
      <c r="F543" s="393">
        <f>⑩盛付梱包工程入力!J282</f>
        <v/>
      </c>
      <c r="G543" s="393">
        <f>⑩盛付梱包工程入力!M282</f>
        <v/>
      </c>
      <c r="H543" s="393">
        <f>⑩盛付梱包工程入力!N282</f>
        <v/>
      </c>
      <c r="I543" s="393">
        <f>⑩盛付梱包工程入力!O282</f>
        <v/>
      </c>
    </row>
    <row r="544">
      <c r="A544" s="392" t="n">
        <v>540</v>
      </c>
      <c r="B544" s="392" t="inlineStr">
        <is>
          <t>⑩盛付梱包工程入力</t>
        </is>
      </c>
      <c r="C544" s="392" t="n">
        <v>283</v>
      </c>
      <c r="D544" s="392">
        <f>⑩盛付梱包工程入力!C283</f>
        <v/>
      </c>
      <c r="E544" s="393">
        <f>⑩盛付梱包工程入力!I283</f>
        <v/>
      </c>
      <c r="F544" s="393">
        <f>⑩盛付梱包工程入力!J283</f>
        <v/>
      </c>
      <c r="G544" s="393">
        <f>⑩盛付梱包工程入力!M283</f>
        <v/>
      </c>
      <c r="H544" s="393">
        <f>⑩盛付梱包工程入力!N283</f>
        <v/>
      </c>
      <c r="I544" s="393">
        <f>⑩盛付梱包工程入力!O283</f>
        <v/>
      </c>
    </row>
    <row r="545">
      <c r="A545" s="392" t="n">
        <v>541</v>
      </c>
      <c r="B545" s="392" t="inlineStr">
        <is>
          <t>⑩盛付梱包工程入力</t>
        </is>
      </c>
      <c r="C545" s="392" t="n">
        <v>284</v>
      </c>
      <c r="D545" s="392">
        <f>⑩盛付梱包工程入力!C284</f>
        <v/>
      </c>
      <c r="E545" s="393">
        <f>⑩盛付梱包工程入力!I284</f>
        <v/>
      </c>
      <c r="F545" s="393">
        <f>⑩盛付梱包工程入力!J284</f>
        <v/>
      </c>
      <c r="G545" s="393">
        <f>⑩盛付梱包工程入力!M284</f>
        <v/>
      </c>
      <c r="H545" s="393">
        <f>⑩盛付梱包工程入力!N284</f>
        <v/>
      </c>
      <c r="I545" s="393">
        <f>⑩盛付梱包工程入力!O284</f>
        <v/>
      </c>
    </row>
    <row r="546">
      <c r="A546" s="392" t="n">
        <v>542</v>
      </c>
      <c r="B546" s="392" t="inlineStr">
        <is>
          <t>⑩盛付梱包工程入力</t>
        </is>
      </c>
      <c r="C546" s="392" t="n">
        <v>285</v>
      </c>
      <c r="D546" s="392">
        <f>⑩盛付梱包工程入力!C285</f>
        <v/>
      </c>
      <c r="E546" s="393">
        <f>⑩盛付梱包工程入力!I285</f>
        <v/>
      </c>
      <c r="F546" s="393">
        <f>⑩盛付梱包工程入力!J285</f>
        <v/>
      </c>
      <c r="G546" s="393">
        <f>⑩盛付梱包工程入力!M285</f>
        <v/>
      </c>
      <c r="H546" s="393">
        <f>⑩盛付梱包工程入力!N285</f>
        <v/>
      </c>
      <c r="I546" s="393">
        <f>⑩盛付梱包工程入力!O285</f>
        <v/>
      </c>
    </row>
    <row r="547">
      <c r="A547" s="392" t="n">
        <v>543</v>
      </c>
      <c r="B547" s="392" t="inlineStr">
        <is>
          <t>⑩盛付梱包工程入力</t>
        </is>
      </c>
      <c r="C547" s="392" t="n">
        <v>286</v>
      </c>
      <c r="D547" s="392">
        <f>⑩盛付梱包工程入力!C286</f>
        <v/>
      </c>
      <c r="E547" s="393">
        <f>⑩盛付梱包工程入力!I286</f>
        <v/>
      </c>
      <c r="F547" s="393">
        <f>⑩盛付梱包工程入力!J286</f>
        <v/>
      </c>
      <c r="G547" s="393">
        <f>⑩盛付梱包工程入力!M286</f>
        <v/>
      </c>
      <c r="H547" s="393">
        <f>⑩盛付梱包工程入力!N286</f>
        <v/>
      </c>
      <c r="I547" s="393">
        <f>⑩盛付梱包工程入力!O286</f>
        <v/>
      </c>
    </row>
    <row r="548">
      <c r="A548" s="392" t="n">
        <v>544</v>
      </c>
      <c r="B548" s="392" t="inlineStr">
        <is>
          <t>⑩盛付梱包工程入力</t>
        </is>
      </c>
      <c r="C548" s="392" t="n">
        <v>287</v>
      </c>
      <c r="D548" s="392">
        <f>⑩盛付梱包工程入力!C287</f>
        <v/>
      </c>
      <c r="E548" s="393">
        <f>⑩盛付梱包工程入力!I287</f>
        <v/>
      </c>
      <c r="F548" s="393">
        <f>⑩盛付梱包工程入力!J287</f>
        <v/>
      </c>
      <c r="G548" s="393">
        <f>⑩盛付梱包工程入力!M287</f>
        <v/>
      </c>
      <c r="H548" s="393">
        <f>⑩盛付梱包工程入力!N287</f>
        <v/>
      </c>
      <c r="I548" s="393">
        <f>⑩盛付梱包工程入力!O287</f>
        <v/>
      </c>
    </row>
    <row r="549">
      <c r="A549" s="392" t="n">
        <v>545</v>
      </c>
      <c r="B549" s="392" t="inlineStr">
        <is>
          <t>⑩盛付梱包工程入力</t>
        </is>
      </c>
      <c r="C549" s="392" t="n">
        <v>288</v>
      </c>
      <c r="D549" s="392">
        <f>⑩盛付梱包工程入力!C288</f>
        <v/>
      </c>
      <c r="E549" s="393">
        <f>⑩盛付梱包工程入力!I288</f>
        <v/>
      </c>
      <c r="F549" s="393">
        <f>⑩盛付梱包工程入力!J288</f>
        <v/>
      </c>
      <c r="G549" s="393">
        <f>⑩盛付梱包工程入力!M288</f>
        <v/>
      </c>
      <c r="H549" s="393">
        <f>⑩盛付梱包工程入力!N288</f>
        <v/>
      </c>
      <c r="I549" s="393">
        <f>⑩盛付梱包工程入力!O288</f>
        <v/>
      </c>
    </row>
    <row r="550">
      <c r="A550" s="392" t="n">
        <v>546</v>
      </c>
      <c r="B550" s="392" t="inlineStr">
        <is>
          <t>⑩盛付梱包工程入力</t>
        </is>
      </c>
      <c r="C550" s="392" t="n">
        <v>289</v>
      </c>
      <c r="D550" s="392">
        <f>⑩盛付梱包工程入力!C289</f>
        <v/>
      </c>
      <c r="E550" s="393">
        <f>⑩盛付梱包工程入力!I289</f>
        <v/>
      </c>
      <c r="F550" s="393">
        <f>⑩盛付梱包工程入力!J289</f>
        <v/>
      </c>
      <c r="G550" s="393">
        <f>⑩盛付梱包工程入力!M289</f>
        <v/>
      </c>
      <c r="H550" s="393">
        <f>⑩盛付梱包工程入力!N289</f>
        <v/>
      </c>
      <c r="I550" s="393">
        <f>⑩盛付梱包工程入力!O289</f>
        <v/>
      </c>
    </row>
    <row r="551">
      <c r="A551" s="392" t="n">
        <v>547</v>
      </c>
      <c r="B551" s="392" t="inlineStr">
        <is>
          <t>⑩盛付梱包工程入力</t>
        </is>
      </c>
      <c r="C551" s="392" t="n">
        <v>290</v>
      </c>
      <c r="D551" s="392">
        <f>⑩盛付梱包工程入力!C290</f>
        <v/>
      </c>
      <c r="E551" s="393">
        <f>⑩盛付梱包工程入力!I290</f>
        <v/>
      </c>
      <c r="F551" s="393">
        <f>⑩盛付梱包工程入力!J290</f>
        <v/>
      </c>
      <c r="G551" s="393">
        <f>⑩盛付梱包工程入力!M290</f>
        <v/>
      </c>
      <c r="H551" s="393">
        <f>⑩盛付梱包工程入力!N290</f>
        <v/>
      </c>
      <c r="I551" s="393">
        <f>⑩盛付梱包工程入力!O290</f>
        <v/>
      </c>
    </row>
    <row r="552">
      <c r="A552" s="392" t="n">
        <v>548</v>
      </c>
      <c r="B552" s="392" t="inlineStr">
        <is>
          <t>⑩盛付梱包工程入力</t>
        </is>
      </c>
      <c r="C552" s="392" t="n">
        <v>291</v>
      </c>
      <c r="D552" s="392">
        <f>⑩盛付梱包工程入力!C291</f>
        <v/>
      </c>
      <c r="E552" s="393">
        <f>⑩盛付梱包工程入力!I291</f>
        <v/>
      </c>
      <c r="F552" s="393">
        <f>⑩盛付梱包工程入力!J291</f>
        <v/>
      </c>
      <c r="G552" s="393">
        <f>⑩盛付梱包工程入力!M291</f>
        <v/>
      </c>
      <c r="H552" s="393">
        <f>⑩盛付梱包工程入力!N291</f>
        <v/>
      </c>
      <c r="I552" s="393">
        <f>⑩盛付梱包工程入力!O291</f>
        <v/>
      </c>
    </row>
    <row r="553">
      <c r="A553" s="392" t="n">
        <v>549</v>
      </c>
      <c r="B553" s="392" t="inlineStr">
        <is>
          <t>⑩盛付梱包工程入力</t>
        </is>
      </c>
      <c r="C553" s="392" t="n">
        <v>292</v>
      </c>
      <c r="D553" s="392">
        <f>⑩盛付梱包工程入力!C292</f>
        <v/>
      </c>
      <c r="E553" s="393">
        <f>⑩盛付梱包工程入力!I292</f>
        <v/>
      </c>
      <c r="F553" s="393">
        <f>⑩盛付梱包工程入力!J292</f>
        <v/>
      </c>
      <c r="G553" s="393">
        <f>⑩盛付梱包工程入力!M292</f>
        <v/>
      </c>
      <c r="H553" s="393">
        <f>⑩盛付梱包工程入力!N292</f>
        <v/>
      </c>
      <c r="I553" s="393">
        <f>⑩盛付梱包工程入力!O292</f>
        <v/>
      </c>
    </row>
    <row r="554">
      <c r="A554" s="392" t="n">
        <v>550</v>
      </c>
      <c r="B554" s="392" t="inlineStr">
        <is>
          <t>⑩盛付梱包工程入力</t>
        </is>
      </c>
      <c r="C554" s="392" t="n">
        <v>293</v>
      </c>
      <c r="D554" s="392">
        <f>⑩盛付梱包工程入力!C293</f>
        <v/>
      </c>
      <c r="E554" s="393">
        <f>⑩盛付梱包工程入力!I293</f>
        <v/>
      </c>
      <c r="F554" s="393">
        <f>⑩盛付梱包工程入力!J293</f>
        <v/>
      </c>
      <c r="G554" s="393">
        <f>⑩盛付梱包工程入力!M293</f>
        <v/>
      </c>
      <c r="H554" s="393">
        <f>⑩盛付梱包工程入力!N293</f>
        <v/>
      </c>
      <c r="I554" s="393">
        <f>⑩盛付梱包工程入力!O293</f>
        <v/>
      </c>
    </row>
    <row r="555">
      <c r="A555" s="392" t="n">
        <v>551</v>
      </c>
      <c r="B555" s="392" t="inlineStr">
        <is>
          <t>⑩盛付梱包工程入力</t>
        </is>
      </c>
      <c r="C555" s="392" t="n">
        <v>294</v>
      </c>
      <c r="D555" s="392">
        <f>⑩盛付梱包工程入力!C294</f>
        <v/>
      </c>
      <c r="E555" s="393">
        <f>⑩盛付梱包工程入力!I294</f>
        <v/>
      </c>
      <c r="F555" s="393">
        <f>⑩盛付梱包工程入力!J294</f>
        <v/>
      </c>
      <c r="G555" s="393">
        <f>⑩盛付梱包工程入力!M294</f>
        <v/>
      </c>
      <c r="H555" s="393">
        <f>⑩盛付梱包工程入力!N294</f>
        <v/>
      </c>
      <c r="I555" s="393">
        <f>⑩盛付梱包工程入力!O294</f>
        <v/>
      </c>
    </row>
    <row r="556">
      <c r="A556" s="392" t="n">
        <v>552</v>
      </c>
      <c r="B556" s="392" t="inlineStr">
        <is>
          <t>⑩盛付梱包工程入力</t>
        </is>
      </c>
      <c r="C556" s="392" t="n">
        <v>295</v>
      </c>
      <c r="D556" s="392">
        <f>⑩盛付梱包工程入力!C295</f>
        <v/>
      </c>
      <c r="E556" s="393">
        <f>⑩盛付梱包工程入力!I295</f>
        <v/>
      </c>
      <c r="F556" s="393">
        <f>⑩盛付梱包工程入力!J295</f>
        <v/>
      </c>
      <c r="G556" s="393">
        <f>⑩盛付梱包工程入力!M295</f>
        <v/>
      </c>
      <c r="H556" s="393">
        <f>⑩盛付梱包工程入力!N295</f>
        <v/>
      </c>
      <c r="I556" s="393">
        <f>⑩盛付梱包工程入力!O295</f>
        <v/>
      </c>
    </row>
    <row r="557">
      <c r="A557" s="392" t="n">
        <v>553</v>
      </c>
      <c r="B557" s="392" t="inlineStr">
        <is>
          <t>⑩盛付梱包工程入力</t>
        </is>
      </c>
      <c r="C557" s="392" t="n">
        <v>296</v>
      </c>
      <c r="D557" s="392">
        <f>⑩盛付梱包工程入力!C296</f>
        <v/>
      </c>
      <c r="E557" s="393">
        <f>⑩盛付梱包工程入力!I296</f>
        <v/>
      </c>
      <c r="F557" s="393">
        <f>⑩盛付梱包工程入力!J296</f>
        <v/>
      </c>
      <c r="G557" s="393">
        <f>⑩盛付梱包工程入力!M296</f>
        <v/>
      </c>
      <c r="H557" s="393">
        <f>⑩盛付梱包工程入力!N296</f>
        <v/>
      </c>
      <c r="I557" s="393">
        <f>⑩盛付梱包工程入力!O296</f>
        <v/>
      </c>
    </row>
    <row r="558">
      <c r="A558" s="392" t="n">
        <v>554</v>
      </c>
      <c r="B558" s="392" t="inlineStr">
        <is>
          <t>⑩盛付梱包工程入力</t>
        </is>
      </c>
      <c r="C558" s="392" t="n">
        <v>297</v>
      </c>
      <c r="D558" s="392">
        <f>⑩盛付梱包工程入力!C297</f>
        <v/>
      </c>
      <c r="E558" s="393">
        <f>⑩盛付梱包工程入力!I297</f>
        <v/>
      </c>
      <c r="F558" s="393">
        <f>⑩盛付梱包工程入力!J297</f>
        <v/>
      </c>
      <c r="G558" s="393">
        <f>⑩盛付梱包工程入力!M297</f>
        <v/>
      </c>
      <c r="H558" s="393">
        <f>⑩盛付梱包工程入力!N297</f>
        <v/>
      </c>
      <c r="I558" s="393">
        <f>⑩盛付梱包工程入力!O297</f>
        <v/>
      </c>
    </row>
    <row r="559">
      <c r="A559" s="392" t="n">
        <v>555</v>
      </c>
      <c r="B559" s="392" t="inlineStr">
        <is>
          <t>⑩盛付梱包工程入力</t>
        </is>
      </c>
      <c r="C559" s="392" t="n">
        <v>298</v>
      </c>
      <c r="D559" s="392">
        <f>⑩盛付梱包工程入力!C298</f>
        <v/>
      </c>
      <c r="E559" s="393">
        <f>⑩盛付梱包工程入力!I298</f>
        <v/>
      </c>
      <c r="F559" s="393">
        <f>⑩盛付梱包工程入力!J298</f>
        <v/>
      </c>
      <c r="G559" s="393">
        <f>⑩盛付梱包工程入力!M298</f>
        <v/>
      </c>
      <c r="H559" s="393">
        <f>⑩盛付梱包工程入力!N298</f>
        <v/>
      </c>
      <c r="I559" s="393">
        <f>⑩盛付梱包工程入力!O298</f>
        <v/>
      </c>
    </row>
    <row r="560">
      <c r="A560" s="392" t="n">
        <v>556</v>
      </c>
      <c r="B560" s="392" t="inlineStr">
        <is>
          <t>⑩盛付梱包工程入力</t>
        </is>
      </c>
      <c r="C560" s="392" t="n">
        <v>299</v>
      </c>
      <c r="D560" s="392">
        <f>⑩盛付梱包工程入力!C299</f>
        <v/>
      </c>
      <c r="E560" s="393">
        <f>⑩盛付梱包工程入力!I299</f>
        <v/>
      </c>
      <c r="F560" s="393">
        <f>⑩盛付梱包工程入力!J299</f>
        <v/>
      </c>
      <c r="G560" s="393">
        <f>⑩盛付梱包工程入力!M299</f>
        <v/>
      </c>
      <c r="H560" s="393">
        <f>⑩盛付梱包工程入力!N299</f>
        <v/>
      </c>
      <c r="I560" s="393">
        <f>⑩盛付梱包工程入力!O299</f>
        <v/>
      </c>
    </row>
    <row r="561">
      <c r="A561" s="392" t="n">
        <v>557</v>
      </c>
      <c r="B561" s="392" t="inlineStr">
        <is>
          <t>⑩盛付梱包工程入力</t>
        </is>
      </c>
      <c r="C561" s="392" t="n">
        <v>300</v>
      </c>
      <c r="D561" s="392">
        <f>⑩盛付梱包工程入力!C300</f>
        <v/>
      </c>
      <c r="E561" s="393">
        <f>⑩盛付梱包工程入力!I300</f>
        <v/>
      </c>
      <c r="F561" s="393">
        <f>⑩盛付梱包工程入力!J300</f>
        <v/>
      </c>
      <c r="G561" s="393">
        <f>⑩盛付梱包工程入力!M300</f>
        <v/>
      </c>
      <c r="H561" s="393">
        <f>⑩盛付梱包工程入力!N300</f>
        <v/>
      </c>
      <c r="I561" s="393">
        <f>⑩盛付梱包工程入力!O300</f>
        <v/>
      </c>
    </row>
    <row r="562">
      <c r="A562" s="392" t="n">
        <v>558</v>
      </c>
      <c r="B562" s="392" t="inlineStr">
        <is>
          <t>⑪ZEN工程入力</t>
        </is>
      </c>
      <c r="C562" s="392" t="n">
        <v>6</v>
      </c>
      <c r="D562" s="392">
        <f>⑪ZEN工程入力!C6</f>
        <v/>
      </c>
      <c r="E562" s="393">
        <f>⑪ZEN工程入力!I6</f>
        <v/>
      </c>
      <c r="F562" s="393">
        <f>⑪ZEN工程入力!J6</f>
        <v/>
      </c>
      <c r="G562" s="393">
        <f>⑪ZEN工程入力!M6</f>
        <v/>
      </c>
      <c r="H562" s="393">
        <f>⑪ZEN工程入力!N6</f>
        <v/>
      </c>
      <c r="I562" s="393">
        <f>⑪ZEN工程入力!O6</f>
        <v/>
      </c>
    </row>
    <row r="563">
      <c r="A563" s="392" t="n">
        <v>559</v>
      </c>
      <c r="B563" s="392" t="inlineStr">
        <is>
          <t>⑪ZEN工程入力</t>
        </is>
      </c>
      <c r="C563" s="392" t="n">
        <v>7</v>
      </c>
      <c r="D563" s="392">
        <f>⑪ZEN工程入力!C7</f>
        <v/>
      </c>
      <c r="E563" s="393">
        <f>⑪ZEN工程入力!I7</f>
        <v/>
      </c>
      <c r="F563" s="393">
        <f>⑪ZEN工程入力!J7</f>
        <v/>
      </c>
      <c r="G563" s="393">
        <f>⑪ZEN工程入力!M7</f>
        <v/>
      </c>
      <c r="H563" s="393">
        <f>⑪ZEN工程入力!N7</f>
        <v/>
      </c>
      <c r="I563" s="393">
        <f>⑪ZEN工程入力!O7</f>
        <v/>
      </c>
    </row>
    <row r="564">
      <c r="A564" s="392" t="n">
        <v>560</v>
      </c>
      <c r="B564" s="392" t="inlineStr">
        <is>
          <t>⑪ZEN工程入力</t>
        </is>
      </c>
      <c r="C564" s="392" t="n">
        <v>8</v>
      </c>
      <c r="D564" s="392">
        <f>⑪ZEN工程入力!C8</f>
        <v/>
      </c>
      <c r="E564" s="393">
        <f>⑪ZEN工程入力!I8</f>
        <v/>
      </c>
      <c r="F564" s="393">
        <f>⑪ZEN工程入力!J8</f>
        <v/>
      </c>
      <c r="G564" s="393">
        <f>⑪ZEN工程入力!M8</f>
        <v/>
      </c>
      <c r="H564" s="393">
        <f>⑪ZEN工程入力!N8</f>
        <v/>
      </c>
      <c r="I564" s="393">
        <f>⑪ZEN工程入力!O8</f>
        <v/>
      </c>
    </row>
    <row r="565">
      <c r="A565" s="392" t="n">
        <v>561</v>
      </c>
      <c r="B565" s="392" t="inlineStr">
        <is>
          <t>⑪ZEN工程入力</t>
        </is>
      </c>
      <c r="C565" s="392" t="n">
        <v>9</v>
      </c>
      <c r="D565" s="392">
        <f>⑪ZEN工程入力!C9</f>
        <v/>
      </c>
      <c r="E565" s="393">
        <f>⑪ZEN工程入力!I9</f>
        <v/>
      </c>
      <c r="F565" s="393">
        <f>⑪ZEN工程入力!J9</f>
        <v/>
      </c>
      <c r="G565" s="393">
        <f>⑪ZEN工程入力!M9</f>
        <v/>
      </c>
      <c r="H565" s="393">
        <f>⑪ZEN工程入力!N9</f>
        <v/>
      </c>
      <c r="I565" s="393">
        <f>⑪ZEN工程入力!O9</f>
        <v/>
      </c>
    </row>
    <row r="566">
      <c r="A566" s="392" t="n">
        <v>562</v>
      </c>
      <c r="B566" s="392" t="inlineStr">
        <is>
          <t>⑪ZEN工程入力</t>
        </is>
      </c>
      <c r="C566" s="392" t="n">
        <v>10</v>
      </c>
      <c r="D566" s="392">
        <f>⑪ZEN工程入力!C10</f>
        <v/>
      </c>
      <c r="E566" s="393">
        <f>⑪ZEN工程入力!I10</f>
        <v/>
      </c>
      <c r="F566" s="393">
        <f>⑪ZEN工程入力!J10</f>
        <v/>
      </c>
      <c r="G566" s="393">
        <f>⑪ZEN工程入力!M10</f>
        <v/>
      </c>
      <c r="H566" s="393">
        <f>⑪ZEN工程入力!N10</f>
        <v/>
      </c>
      <c r="I566" s="393">
        <f>⑪ZEN工程入力!O10</f>
        <v/>
      </c>
    </row>
    <row r="567">
      <c r="A567" s="392" t="n">
        <v>563</v>
      </c>
      <c r="B567" s="392" t="inlineStr">
        <is>
          <t>⑪ZEN工程入力</t>
        </is>
      </c>
      <c r="C567" s="392" t="n">
        <v>11</v>
      </c>
      <c r="D567" s="392">
        <f>⑪ZEN工程入力!C11</f>
        <v/>
      </c>
      <c r="E567" s="393">
        <f>⑪ZEN工程入力!I11</f>
        <v/>
      </c>
      <c r="F567" s="393">
        <f>⑪ZEN工程入力!J11</f>
        <v/>
      </c>
      <c r="G567" s="393">
        <f>⑪ZEN工程入力!M11</f>
        <v/>
      </c>
      <c r="H567" s="393">
        <f>⑪ZEN工程入力!N11</f>
        <v/>
      </c>
      <c r="I567" s="393">
        <f>⑪ZEN工程入力!O11</f>
        <v/>
      </c>
    </row>
    <row r="568">
      <c r="A568" s="392" t="n">
        <v>564</v>
      </c>
      <c r="B568" s="392" t="inlineStr">
        <is>
          <t>⑪ZEN工程入力</t>
        </is>
      </c>
      <c r="C568" s="392" t="n">
        <v>12</v>
      </c>
      <c r="D568" s="392">
        <f>⑪ZEN工程入力!C12</f>
        <v/>
      </c>
      <c r="E568" s="393">
        <f>⑪ZEN工程入力!I12</f>
        <v/>
      </c>
      <c r="F568" s="393">
        <f>⑪ZEN工程入力!J12</f>
        <v/>
      </c>
      <c r="G568" s="393">
        <f>⑪ZEN工程入力!M12</f>
        <v/>
      </c>
      <c r="H568" s="393">
        <f>⑪ZEN工程入力!N12</f>
        <v/>
      </c>
      <c r="I568" s="393">
        <f>⑪ZEN工程入力!O12</f>
        <v/>
      </c>
    </row>
    <row r="569">
      <c r="A569" s="392" t="n">
        <v>565</v>
      </c>
      <c r="B569" s="392" t="inlineStr">
        <is>
          <t>⑪ZEN工程入力</t>
        </is>
      </c>
      <c r="C569" s="392" t="n">
        <v>13</v>
      </c>
      <c r="D569" s="392">
        <f>⑪ZEN工程入力!C13</f>
        <v/>
      </c>
      <c r="E569" s="393">
        <f>⑪ZEN工程入力!I13</f>
        <v/>
      </c>
      <c r="F569" s="393">
        <f>⑪ZEN工程入力!J13</f>
        <v/>
      </c>
      <c r="G569" s="393">
        <f>⑪ZEN工程入力!M13</f>
        <v/>
      </c>
      <c r="H569" s="393">
        <f>⑪ZEN工程入力!N13</f>
        <v/>
      </c>
      <c r="I569" s="393">
        <f>⑪ZEN工程入力!O13</f>
        <v/>
      </c>
    </row>
    <row r="570">
      <c r="A570" s="392" t="n">
        <v>566</v>
      </c>
      <c r="B570" s="392" t="inlineStr">
        <is>
          <t>⑪ZEN工程入力</t>
        </is>
      </c>
      <c r="C570" s="392" t="n">
        <v>14</v>
      </c>
      <c r="D570" s="392">
        <f>⑪ZEN工程入力!C14</f>
        <v/>
      </c>
      <c r="E570" s="393">
        <f>⑪ZEN工程入力!I14</f>
        <v/>
      </c>
      <c r="F570" s="393">
        <f>⑪ZEN工程入力!J14</f>
        <v/>
      </c>
      <c r="G570" s="393">
        <f>⑪ZEN工程入力!M14</f>
        <v/>
      </c>
      <c r="H570" s="393">
        <f>⑪ZEN工程入力!N14</f>
        <v/>
      </c>
      <c r="I570" s="393">
        <f>⑪ZEN工程入力!O14</f>
        <v/>
      </c>
    </row>
    <row r="571">
      <c r="A571" s="392" t="n">
        <v>567</v>
      </c>
      <c r="B571" s="392" t="inlineStr">
        <is>
          <t>⑪ZEN工程入力</t>
        </is>
      </c>
      <c r="C571" s="392" t="n">
        <v>15</v>
      </c>
      <c r="D571" s="392">
        <f>⑪ZEN工程入力!C15</f>
        <v/>
      </c>
      <c r="E571" s="393">
        <f>⑪ZEN工程入力!I15</f>
        <v/>
      </c>
      <c r="F571" s="393">
        <f>⑪ZEN工程入力!J15</f>
        <v/>
      </c>
      <c r="G571" s="393">
        <f>⑪ZEN工程入力!M15</f>
        <v/>
      </c>
      <c r="H571" s="393">
        <f>⑪ZEN工程入力!N15</f>
        <v/>
      </c>
      <c r="I571" s="393">
        <f>⑪ZEN工程入力!O15</f>
        <v/>
      </c>
    </row>
    <row r="572">
      <c r="A572" s="392" t="n">
        <v>568</v>
      </c>
      <c r="B572" s="392" t="inlineStr">
        <is>
          <t>⑪ZEN工程入力</t>
        </is>
      </c>
      <c r="C572" s="392" t="n">
        <v>16</v>
      </c>
      <c r="D572" s="392">
        <f>⑪ZEN工程入力!C16</f>
        <v/>
      </c>
      <c r="E572" s="393">
        <f>⑪ZEN工程入力!I16</f>
        <v/>
      </c>
      <c r="F572" s="393">
        <f>⑪ZEN工程入力!J16</f>
        <v/>
      </c>
      <c r="G572" s="393">
        <f>⑪ZEN工程入力!M16</f>
        <v/>
      </c>
      <c r="H572" s="393">
        <f>⑪ZEN工程入力!N16</f>
        <v/>
      </c>
      <c r="I572" s="393">
        <f>⑪ZEN工程入力!O16</f>
        <v/>
      </c>
    </row>
    <row r="573">
      <c r="A573" s="392" t="n">
        <v>569</v>
      </c>
      <c r="B573" s="392" t="inlineStr">
        <is>
          <t>⑪ZEN工程入力</t>
        </is>
      </c>
      <c r="C573" s="392" t="n">
        <v>17</v>
      </c>
      <c r="D573" s="392">
        <f>⑪ZEN工程入力!C17</f>
        <v/>
      </c>
      <c r="E573" s="393">
        <f>⑪ZEN工程入力!I17</f>
        <v/>
      </c>
      <c r="F573" s="393">
        <f>⑪ZEN工程入力!J17</f>
        <v/>
      </c>
      <c r="G573" s="393">
        <f>⑪ZEN工程入力!M17</f>
        <v/>
      </c>
      <c r="H573" s="393">
        <f>⑪ZEN工程入力!N17</f>
        <v/>
      </c>
      <c r="I573" s="393">
        <f>⑪ZEN工程入力!O17</f>
        <v/>
      </c>
    </row>
    <row r="574">
      <c r="A574" s="392" t="n">
        <v>570</v>
      </c>
      <c r="B574" s="392" t="inlineStr">
        <is>
          <t>⑪ZEN工程入力</t>
        </is>
      </c>
      <c r="C574" s="392" t="n">
        <v>18</v>
      </c>
      <c r="D574" s="392">
        <f>⑪ZEN工程入力!C18</f>
        <v/>
      </c>
      <c r="E574" s="393">
        <f>⑪ZEN工程入力!I18</f>
        <v/>
      </c>
      <c r="F574" s="393">
        <f>⑪ZEN工程入力!J18</f>
        <v/>
      </c>
      <c r="G574" s="393">
        <f>⑪ZEN工程入力!M18</f>
        <v/>
      </c>
      <c r="H574" s="393">
        <f>⑪ZEN工程入力!N18</f>
        <v/>
      </c>
      <c r="I574" s="393">
        <f>⑪ZEN工程入力!O18</f>
        <v/>
      </c>
    </row>
    <row r="575">
      <c r="A575" s="392" t="n">
        <v>571</v>
      </c>
      <c r="B575" s="392" t="inlineStr">
        <is>
          <t>⑪ZEN工程入力</t>
        </is>
      </c>
      <c r="C575" s="392" t="n">
        <v>19</v>
      </c>
      <c r="D575" s="392">
        <f>⑪ZEN工程入力!C19</f>
        <v/>
      </c>
      <c r="E575" s="393">
        <f>⑪ZEN工程入力!I19</f>
        <v/>
      </c>
      <c r="F575" s="393">
        <f>⑪ZEN工程入力!J19</f>
        <v/>
      </c>
      <c r="G575" s="393">
        <f>⑪ZEN工程入力!M19</f>
        <v/>
      </c>
      <c r="H575" s="393">
        <f>⑪ZEN工程入力!N19</f>
        <v/>
      </c>
      <c r="I575" s="393">
        <f>⑪ZEN工程入力!O19</f>
        <v/>
      </c>
    </row>
    <row r="576">
      <c r="A576" s="392" t="n">
        <v>572</v>
      </c>
      <c r="B576" s="392" t="inlineStr">
        <is>
          <t>⑪ZEN工程入力</t>
        </is>
      </c>
      <c r="C576" s="392" t="n">
        <v>20</v>
      </c>
      <c r="D576" s="392">
        <f>⑪ZEN工程入力!C20</f>
        <v/>
      </c>
      <c r="E576" s="393">
        <f>⑪ZEN工程入力!I20</f>
        <v/>
      </c>
      <c r="F576" s="393">
        <f>⑪ZEN工程入力!J20</f>
        <v/>
      </c>
      <c r="G576" s="393">
        <f>⑪ZEN工程入力!M20</f>
        <v/>
      </c>
      <c r="H576" s="393">
        <f>⑪ZEN工程入力!N20</f>
        <v/>
      </c>
      <c r="I576" s="393">
        <f>⑪ZEN工程入力!O20</f>
        <v/>
      </c>
    </row>
    <row r="577">
      <c r="A577" s="392" t="n">
        <v>573</v>
      </c>
      <c r="B577" s="392" t="inlineStr">
        <is>
          <t>⑪ZEN工程入力</t>
        </is>
      </c>
      <c r="C577" s="392" t="n">
        <v>21</v>
      </c>
      <c r="D577" s="392">
        <f>⑪ZEN工程入力!C21</f>
        <v/>
      </c>
      <c r="E577" s="393">
        <f>⑪ZEN工程入力!I21</f>
        <v/>
      </c>
      <c r="F577" s="393">
        <f>⑪ZEN工程入力!J21</f>
        <v/>
      </c>
      <c r="G577" s="393">
        <f>⑪ZEN工程入力!M21</f>
        <v/>
      </c>
      <c r="H577" s="393">
        <f>⑪ZEN工程入力!N21</f>
        <v/>
      </c>
      <c r="I577" s="393">
        <f>⑪ZEN工程入力!O21</f>
        <v/>
      </c>
    </row>
    <row r="578">
      <c r="A578" s="392" t="n">
        <v>574</v>
      </c>
      <c r="B578" s="392" t="inlineStr">
        <is>
          <t>⑪ZEN工程入力</t>
        </is>
      </c>
      <c r="C578" s="392" t="n">
        <v>22</v>
      </c>
      <c r="D578" s="392">
        <f>⑪ZEN工程入力!C22</f>
        <v/>
      </c>
      <c r="E578" s="393">
        <f>⑪ZEN工程入力!I22</f>
        <v/>
      </c>
      <c r="F578" s="393">
        <f>⑪ZEN工程入力!J22</f>
        <v/>
      </c>
      <c r="G578" s="393">
        <f>⑪ZEN工程入力!M22</f>
        <v/>
      </c>
      <c r="H578" s="393">
        <f>⑪ZEN工程入力!N22</f>
        <v/>
      </c>
      <c r="I578" s="393">
        <f>⑪ZEN工程入力!O22</f>
        <v/>
      </c>
    </row>
    <row r="579">
      <c r="A579" s="392" t="n">
        <v>575</v>
      </c>
      <c r="B579" s="392" t="inlineStr">
        <is>
          <t>⑪ZEN工程入力</t>
        </is>
      </c>
      <c r="C579" s="392" t="n">
        <v>23</v>
      </c>
      <c r="D579" s="392">
        <f>⑪ZEN工程入力!C23</f>
        <v/>
      </c>
      <c r="E579" s="393">
        <f>⑪ZEN工程入力!I23</f>
        <v/>
      </c>
      <c r="F579" s="393">
        <f>⑪ZEN工程入力!J23</f>
        <v/>
      </c>
      <c r="G579" s="393">
        <f>⑪ZEN工程入力!M23</f>
        <v/>
      </c>
      <c r="H579" s="393">
        <f>⑪ZEN工程入力!N23</f>
        <v/>
      </c>
      <c r="I579" s="393">
        <f>⑪ZEN工程入力!O23</f>
        <v/>
      </c>
    </row>
    <row r="580">
      <c r="A580" s="392" t="n">
        <v>576</v>
      </c>
      <c r="B580" s="392" t="inlineStr">
        <is>
          <t>⑪ZEN工程入力</t>
        </is>
      </c>
      <c r="C580" s="392" t="n">
        <v>24</v>
      </c>
      <c r="D580" s="392">
        <f>⑪ZEN工程入力!C24</f>
        <v/>
      </c>
      <c r="E580" s="393">
        <f>⑪ZEN工程入力!I24</f>
        <v/>
      </c>
      <c r="F580" s="393">
        <f>⑪ZEN工程入力!J24</f>
        <v/>
      </c>
      <c r="G580" s="393">
        <f>⑪ZEN工程入力!M24</f>
        <v/>
      </c>
      <c r="H580" s="393">
        <f>⑪ZEN工程入力!N24</f>
        <v/>
      </c>
      <c r="I580" s="393">
        <f>⑪ZEN工程入力!O24</f>
        <v/>
      </c>
    </row>
    <row r="581">
      <c r="A581" s="392" t="n">
        <v>577</v>
      </c>
      <c r="B581" s="392" t="inlineStr">
        <is>
          <t>⑪ZEN工程入力</t>
        </is>
      </c>
      <c r="C581" s="392" t="n">
        <v>25</v>
      </c>
      <c r="D581" s="392">
        <f>⑪ZEN工程入力!C25</f>
        <v/>
      </c>
      <c r="E581" s="393">
        <f>⑪ZEN工程入力!I25</f>
        <v/>
      </c>
      <c r="F581" s="393">
        <f>⑪ZEN工程入力!J25</f>
        <v/>
      </c>
      <c r="G581" s="393">
        <f>⑪ZEN工程入力!M25</f>
        <v/>
      </c>
      <c r="H581" s="393">
        <f>⑪ZEN工程入力!N25</f>
        <v/>
      </c>
      <c r="I581" s="393">
        <f>⑪ZEN工程入力!O25</f>
        <v/>
      </c>
    </row>
    <row r="582">
      <c r="A582" s="392" t="n">
        <v>578</v>
      </c>
      <c r="B582" s="392" t="inlineStr">
        <is>
          <t>⑪ZEN工程入力</t>
        </is>
      </c>
      <c r="C582" s="392" t="n">
        <v>26</v>
      </c>
      <c r="D582" s="392">
        <f>⑪ZEN工程入力!C26</f>
        <v/>
      </c>
      <c r="E582" s="393">
        <f>⑪ZEN工程入力!I26</f>
        <v/>
      </c>
      <c r="F582" s="393">
        <f>⑪ZEN工程入力!J26</f>
        <v/>
      </c>
      <c r="G582" s="393">
        <f>⑪ZEN工程入力!M26</f>
        <v/>
      </c>
      <c r="H582" s="393">
        <f>⑪ZEN工程入力!N26</f>
        <v/>
      </c>
      <c r="I582" s="393">
        <f>⑪ZEN工程入力!O26</f>
        <v/>
      </c>
    </row>
    <row r="583">
      <c r="A583" s="392" t="n">
        <v>579</v>
      </c>
      <c r="B583" s="392" t="inlineStr">
        <is>
          <t>⑪ZEN工程入力</t>
        </is>
      </c>
      <c r="C583" s="392" t="n">
        <v>27</v>
      </c>
      <c r="D583" s="392">
        <f>⑪ZEN工程入力!C27</f>
        <v/>
      </c>
      <c r="E583" s="393">
        <f>⑪ZEN工程入力!I27</f>
        <v/>
      </c>
      <c r="F583" s="393">
        <f>⑪ZEN工程入力!J27</f>
        <v/>
      </c>
      <c r="G583" s="393">
        <f>⑪ZEN工程入力!M27</f>
        <v/>
      </c>
      <c r="H583" s="393">
        <f>⑪ZEN工程入力!N27</f>
        <v/>
      </c>
      <c r="I583" s="393">
        <f>⑪ZEN工程入力!O27</f>
        <v/>
      </c>
    </row>
    <row r="584">
      <c r="A584" s="392" t="n">
        <v>580</v>
      </c>
      <c r="B584" s="392" t="inlineStr">
        <is>
          <t>⑪ZEN工程入力</t>
        </is>
      </c>
      <c r="C584" s="392" t="n">
        <v>28</v>
      </c>
      <c r="D584" s="392">
        <f>⑪ZEN工程入力!C28</f>
        <v/>
      </c>
      <c r="E584" s="393">
        <f>⑪ZEN工程入力!I28</f>
        <v/>
      </c>
      <c r="F584" s="393">
        <f>⑪ZEN工程入力!J28</f>
        <v/>
      </c>
      <c r="G584" s="393">
        <f>⑪ZEN工程入力!M28</f>
        <v/>
      </c>
      <c r="H584" s="393">
        <f>⑪ZEN工程入力!N28</f>
        <v/>
      </c>
      <c r="I584" s="393">
        <f>⑪ZEN工程入力!O28</f>
        <v/>
      </c>
    </row>
    <row r="585">
      <c r="A585" s="392" t="n">
        <v>581</v>
      </c>
      <c r="B585" s="392" t="inlineStr">
        <is>
          <t>⑪ZEN工程入力</t>
        </is>
      </c>
      <c r="C585" s="392" t="n">
        <v>29</v>
      </c>
      <c r="D585" s="392">
        <f>⑪ZEN工程入力!C29</f>
        <v/>
      </c>
      <c r="E585" s="393">
        <f>⑪ZEN工程入力!I29</f>
        <v/>
      </c>
      <c r="F585" s="393">
        <f>⑪ZEN工程入力!J29</f>
        <v/>
      </c>
      <c r="G585" s="393">
        <f>⑪ZEN工程入力!M29</f>
        <v/>
      </c>
      <c r="H585" s="393">
        <f>⑪ZEN工程入力!N29</f>
        <v/>
      </c>
      <c r="I585" s="393">
        <f>⑪ZEN工程入力!O29</f>
        <v/>
      </c>
    </row>
    <row r="586">
      <c r="A586" s="392" t="n">
        <v>582</v>
      </c>
      <c r="B586" s="392" t="inlineStr">
        <is>
          <t>⑪ZEN工程入力</t>
        </is>
      </c>
      <c r="C586" s="392" t="n">
        <v>30</v>
      </c>
      <c r="D586" s="392">
        <f>⑪ZEN工程入力!C30</f>
        <v/>
      </c>
      <c r="E586" s="393">
        <f>⑪ZEN工程入力!I30</f>
        <v/>
      </c>
      <c r="F586" s="393">
        <f>⑪ZEN工程入力!J30</f>
        <v/>
      </c>
      <c r="G586" s="393">
        <f>⑪ZEN工程入力!M30</f>
        <v/>
      </c>
      <c r="H586" s="393">
        <f>⑪ZEN工程入力!N30</f>
        <v/>
      </c>
      <c r="I586" s="393">
        <f>⑪ZEN工程入力!O30</f>
        <v/>
      </c>
    </row>
    <row r="587">
      <c r="A587" s="392" t="n">
        <v>583</v>
      </c>
      <c r="B587" s="392" t="inlineStr">
        <is>
          <t>⑪ZEN工程入力</t>
        </is>
      </c>
      <c r="C587" s="392" t="n">
        <v>31</v>
      </c>
      <c r="D587" s="392">
        <f>⑪ZEN工程入力!C31</f>
        <v/>
      </c>
      <c r="E587" s="393">
        <f>⑪ZEN工程入力!I31</f>
        <v/>
      </c>
      <c r="F587" s="393">
        <f>⑪ZEN工程入力!J31</f>
        <v/>
      </c>
      <c r="G587" s="393">
        <f>⑪ZEN工程入力!M31</f>
        <v/>
      </c>
      <c r="H587" s="393">
        <f>⑪ZEN工程入力!N31</f>
        <v/>
      </c>
      <c r="I587" s="393">
        <f>⑪ZEN工程入力!O31</f>
        <v/>
      </c>
    </row>
    <row r="588">
      <c r="A588" s="392" t="n">
        <v>584</v>
      </c>
      <c r="B588" s="392" t="inlineStr">
        <is>
          <t>⑪ZEN工程入力</t>
        </is>
      </c>
      <c r="C588" s="392" t="n">
        <v>32</v>
      </c>
      <c r="D588" s="392">
        <f>⑪ZEN工程入力!C32</f>
        <v/>
      </c>
      <c r="E588" s="393">
        <f>⑪ZEN工程入力!I32</f>
        <v/>
      </c>
      <c r="F588" s="393">
        <f>⑪ZEN工程入力!J32</f>
        <v/>
      </c>
      <c r="G588" s="393">
        <f>⑪ZEN工程入力!M32</f>
        <v/>
      </c>
      <c r="H588" s="393">
        <f>⑪ZEN工程入力!N32</f>
        <v/>
      </c>
      <c r="I588" s="393">
        <f>⑪ZEN工程入力!O32</f>
        <v/>
      </c>
    </row>
    <row r="589">
      <c r="A589" s="392" t="n">
        <v>585</v>
      </c>
      <c r="B589" s="392" t="inlineStr">
        <is>
          <t>⑪ZEN工程入力</t>
        </is>
      </c>
      <c r="C589" s="392" t="n">
        <v>33</v>
      </c>
      <c r="D589" s="392">
        <f>⑪ZEN工程入力!C33</f>
        <v/>
      </c>
      <c r="E589" s="393">
        <f>⑪ZEN工程入力!I33</f>
        <v/>
      </c>
      <c r="F589" s="393">
        <f>⑪ZEN工程入力!J33</f>
        <v/>
      </c>
      <c r="G589" s="393">
        <f>⑪ZEN工程入力!M33</f>
        <v/>
      </c>
      <c r="H589" s="393">
        <f>⑪ZEN工程入力!N33</f>
        <v/>
      </c>
      <c r="I589" s="393">
        <f>⑪ZEN工程入力!O33</f>
        <v/>
      </c>
    </row>
    <row r="590">
      <c r="A590" s="392" t="n">
        <v>586</v>
      </c>
      <c r="B590" s="392" t="inlineStr">
        <is>
          <t>⑪ZEN工程入力</t>
        </is>
      </c>
      <c r="C590" s="392" t="n">
        <v>34</v>
      </c>
      <c r="D590" s="392">
        <f>⑪ZEN工程入力!C34</f>
        <v/>
      </c>
      <c r="E590" s="393">
        <f>⑪ZEN工程入力!I34</f>
        <v/>
      </c>
      <c r="F590" s="393">
        <f>⑪ZEN工程入力!J34</f>
        <v/>
      </c>
      <c r="G590" s="393">
        <f>⑪ZEN工程入力!M34</f>
        <v/>
      </c>
      <c r="H590" s="393">
        <f>⑪ZEN工程入力!N34</f>
        <v/>
      </c>
      <c r="I590" s="393">
        <f>⑪ZEN工程入力!O34</f>
        <v/>
      </c>
    </row>
    <row r="591">
      <c r="A591" s="392" t="n">
        <v>587</v>
      </c>
      <c r="B591" s="392" t="inlineStr">
        <is>
          <t>⑪ZEN工程入力</t>
        </is>
      </c>
      <c r="C591" s="392" t="n">
        <v>35</v>
      </c>
      <c r="D591" s="392">
        <f>⑪ZEN工程入力!C35</f>
        <v/>
      </c>
      <c r="E591" s="393">
        <f>⑪ZEN工程入力!I35</f>
        <v/>
      </c>
      <c r="F591" s="393">
        <f>⑪ZEN工程入力!J35</f>
        <v/>
      </c>
      <c r="G591" s="393">
        <f>⑪ZEN工程入力!M35</f>
        <v/>
      </c>
      <c r="H591" s="393">
        <f>⑪ZEN工程入力!N35</f>
        <v/>
      </c>
      <c r="I591" s="393">
        <f>⑪ZEN工程入力!O35</f>
        <v/>
      </c>
    </row>
    <row r="592">
      <c r="A592" s="392" t="n">
        <v>588</v>
      </c>
      <c r="B592" s="392" t="inlineStr">
        <is>
          <t>⑫ミキサー工程入力</t>
        </is>
      </c>
      <c r="C592" s="392" t="n">
        <v>6</v>
      </c>
      <c r="D592" s="392">
        <f>⑫ミキサー工程入力!C6</f>
        <v/>
      </c>
      <c r="E592" s="393">
        <f>⑫ミキサー工程入力!I6</f>
        <v/>
      </c>
      <c r="F592" s="393">
        <f>⑫ミキサー工程入力!J6</f>
        <v/>
      </c>
      <c r="G592" s="393">
        <f>⑫ミキサー工程入力!M6</f>
        <v/>
      </c>
      <c r="H592" s="393">
        <f>⑫ミキサー工程入力!N6</f>
        <v/>
      </c>
      <c r="I592" s="393">
        <f>⑫ミキサー工程入力!O6</f>
        <v/>
      </c>
    </row>
    <row r="593">
      <c r="A593" s="392" t="n">
        <v>589</v>
      </c>
      <c r="B593" s="392" t="inlineStr">
        <is>
          <t>⑫ミキサー工程入力</t>
        </is>
      </c>
      <c r="C593" s="392" t="n">
        <v>7</v>
      </c>
      <c r="D593" s="392">
        <f>⑫ミキサー工程入力!C7</f>
        <v/>
      </c>
      <c r="E593" s="393">
        <f>⑫ミキサー工程入力!I7</f>
        <v/>
      </c>
      <c r="F593" s="393">
        <f>⑫ミキサー工程入力!J7</f>
        <v/>
      </c>
      <c r="G593" s="393">
        <f>⑫ミキサー工程入力!M7</f>
        <v/>
      </c>
      <c r="H593" s="393">
        <f>⑫ミキサー工程入力!N7</f>
        <v/>
      </c>
      <c r="I593" s="393">
        <f>⑫ミキサー工程入力!O7</f>
        <v/>
      </c>
    </row>
    <row r="594">
      <c r="A594" s="392" t="n">
        <v>590</v>
      </c>
      <c r="B594" s="392" t="inlineStr">
        <is>
          <t>⑫ミキサー工程入力</t>
        </is>
      </c>
      <c r="C594" s="392" t="n">
        <v>8</v>
      </c>
      <c r="D594" s="392">
        <f>⑫ミキサー工程入力!C8</f>
        <v/>
      </c>
      <c r="E594" s="393">
        <f>⑫ミキサー工程入力!I8</f>
        <v/>
      </c>
      <c r="F594" s="393">
        <f>⑫ミキサー工程入力!J8</f>
        <v/>
      </c>
      <c r="G594" s="393">
        <f>⑫ミキサー工程入力!M8</f>
        <v/>
      </c>
      <c r="H594" s="393">
        <f>⑫ミキサー工程入力!N8</f>
        <v/>
      </c>
      <c r="I594" s="393">
        <f>⑫ミキサー工程入力!O8</f>
        <v/>
      </c>
    </row>
    <row r="595">
      <c r="A595" s="392" t="n">
        <v>591</v>
      </c>
      <c r="B595" s="392" t="inlineStr">
        <is>
          <t>⑫ミキサー工程入力</t>
        </is>
      </c>
      <c r="C595" s="392" t="n">
        <v>9</v>
      </c>
      <c r="D595" s="392">
        <f>⑫ミキサー工程入力!C9</f>
        <v/>
      </c>
      <c r="E595" s="393">
        <f>⑫ミキサー工程入力!I9</f>
        <v/>
      </c>
      <c r="F595" s="393">
        <f>⑫ミキサー工程入力!J9</f>
        <v/>
      </c>
      <c r="G595" s="393">
        <f>⑫ミキサー工程入力!M9</f>
        <v/>
      </c>
      <c r="H595" s="393">
        <f>⑫ミキサー工程入力!N9</f>
        <v/>
      </c>
      <c r="I595" s="393">
        <f>⑫ミキサー工程入力!O9</f>
        <v/>
      </c>
    </row>
    <row r="596">
      <c r="A596" s="392" t="n">
        <v>592</v>
      </c>
      <c r="B596" s="392" t="inlineStr">
        <is>
          <t>⑫ミキサー工程入力</t>
        </is>
      </c>
      <c r="C596" s="392" t="n">
        <v>10</v>
      </c>
      <c r="D596" s="392">
        <f>⑫ミキサー工程入力!C10</f>
        <v/>
      </c>
      <c r="E596" s="393">
        <f>⑫ミキサー工程入力!I10</f>
        <v/>
      </c>
      <c r="F596" s="393">
        <f>⑫ミキサー工程入力!J10</f>
        <v/>
      </c>
      <c r="G596" s="393">
        <f>⑫ミキサー工程入力!M10</f>
        <v/>
      </c>
      <c r="H596" s="393">
        <f>⑫ミキサー工程入力!N10</f>
        <v/>
      </c>
      <c r="I596" s="393">
        <f>⑫ミキサー工程入力!O10</f>
        <v/>
      </c>
    </row>
    <row r="597">
      <c r="A597" s="392" t="n">
        <v>593</v>
      </c>
      <c r="B597" s="392" t="inlineStr">
        <is>
          <t>⑫ミキサー工程入力</t>
        </is>
      </c>
      <c r="C597" s="392" t="n">
        <v>11</v>
      </c>
      <c r="D597" s="392">
        <f>⑫ミキサー工程入力!C11</f>
        <v/>
      </c>
      <c r="E597" s="393">
        <f>⑫ミキサー工程入力!I11</f>
        <v/>
      </c>
      <c r="F597" s="393">
        <f>⑫ミキサー工程入力!J11</f>
        <v/>
      </c>
      <c r="G597" s="393">
        <f>⑫ミキサー工程入力!M11</f>
        <v/>
      </c>
      <c r="H597" s="393">
        <f>⑫ミキサー工程入力!N11</f>
        <v/>
      </c>
      <c r="I597" s="393">
        <f>⑫ミキサー工程入力!O11</f>
        <v/>
      </c>
    </row>
    <row r="598">
      <c r="A598" s="392" t="n">
        <v>594</v>
      </c>
      <c r="B598" s="392" t="inlineStr">
        <is>
          <t>⑫ミキサー工程入力</t>
        </is>
      </c>
      <c r="C598" s="392" t="n">
        <v>12</v>
      </c>
      <c r="D598" s="392">
        <f>⑫ミキサー工程入力!C12</f>
        <v/>
      </c>
      <c r="E598" s="393">
        <f>⑫ミキサー工程入力!I12</f>
        <v/>
      </c>
      <c r="F598" s="393">
        <f>⑫ミキサー工程入力!J12</f>
        <v/>
      </c>
      <c r="G598" s="393">
        <f>⑫ミキサー工程入力!M12</f>
        <v/>
      </c>
      <c r="H598" s="393">
        <f>⑫ミキサー工程入力!N12</f>
        <v/>
      </c>
      <c r="I598" s="393">
        <f>⑫ミキサー工程入力!O12</f>
        <v/>
      </c>
    </row>
    <row r="599">
      <c r="A599" s="392" t="n">
        <v>595</v>
      </c>
      <c r="B599" s="392" t="inlineStr">
        <is>
          <t>⑫ミキサー工程入力</t>
        </is>
      </c>
      <c r="C599" s="392" t="n">
        <v>13</v>
      </c>
      <c r="D599" s="392">
        <f>⑫ミキサー工程入力!C13</f>
        <v/>
      </c>
      <c r="E599" s="393">
        <f>⑫ミキサー工程入力!I13</f>
        <v/>
      </c>
      <c r="F599" s="393">
        <f>⑫ミキサー工程入力!J13</f>
        <v/>
      </c>
      <c r="G599" s="393">
        <f>⑫ミキサー工程入力!M13</f>
        <v/>
      </c>
      <c r="H599" s="393">
        <f>⑫ミキサー工程入力!N13</f>
        <v/>
      </c>
      <c r="I599" s="393">
        <f>⑫ミキサー工程入力!O13</f>
        <v/>
      </c>
    </row>
    <row r="600">
      <c r="A600" s="392" t="n">
        <v>596</v>
      </c>
      <c r="B600" s="392" t="inlineStr">
        <is>
          <t>⑫ミキサー工程入力</t>
        </is>
      </c>
      <c r="C600" s="392" t="n">
        <v>14</v>
      </c>
      <c r="D600" s="392">
        <f>⑫ミキサー工程入力!C14</f>
        <v/>
      </c>
      <c r="E600" s="393">
        <f>⑫ミキサー工程入力!I14</f>
        <v/>
      </c>
      <c r="F600" s="393">
        <f>⑫ミキサー工程入力!J14</f>
        <v/>
      </c>
      <c r="G600" s="393">
        <f>⑫ミキサー工程入力!M14</f>
        <v/>
      </c>
      <c r="H600" s="393">
        <f>⑫ミキサー工程入力!N14</f>
        <v/>
      </c>
      <c r="I600" s="393">
        <f>⑫ミキサー工程入力!O14</f>
        <v/>
      </c>
    </row>
    <row r="601">
      <c r="A601" s="392" t="n">
        <v>597</v>
      </c>
      <c r="B601" s="392" t="inlineStr">
        <is>
          <t>⑫ミキサー工程入力</t>
        </is>
      </c>
      <c r="C601" s="392" t="n">
        <v>15</v>
      </c>
      <c r="D601" s="392">
        <f>⑫ミキサー工程入力!C15</f>
        <v/>
      </c>
      <c r="E601" s="393">
        <f>⑫ミキサー工程入力!I15</f>
        <v/>
      </c>
      <c r="F601" s="393">
        <f>⑫ミキサー工程入力!J15</f>
        <v/>
      </c>
      <c r="G601" s="393">
        <f>⑫ミキサー工程入力!M15</f>
        <v/>
      </c>
      <c r="H601" s="393">
        <f>⑫ミキサー工程入力!N15</f>
        <v/>
      </c>
      <c r="I601" s="393">
        <f>⑫ミキサー工程入力!O15</f>
        <v/>
      </c>
    </row>
    <row r="602">
      <c r="A602" s="392" t="n">
        <v>598</v>
      </c>
      <c r="B602" s="392" t="inlineStr">
        <is>
          <t>⑫ミキサー工程入力</t>
        </is>
      </c>
      <c r="C602" s="392" t="n">
        <v>16</v>
      </c>
      <c r="D602" s="392">
        <f>⑫ミキサー工程入力!C16</f>
        <v/>
      </c>
      <c r="E602" s="393">
        <f>⑫ミキサー工程入力!I16</f>
        <v/>
      </c>
      <c r="F602" s="393">
        <f>⑫ミキサー工程入力!J16</f>
        <v/>
      </c>
      <c r="G602" s="393">
        <f>⑫ミキサー工程入力!M16</f>
        <v/>
      </c>
      <c r="H602" s="393">
        <f>⑫ミキサー工程入力!N16</f>
        <v/>
      </c>
      <c r="I602" s="393">
        <f>⑫ミキサー工程入力!O16</f>
        <v/>
      </c>
    </row>
    <row r="603">
      <c r="A603" s="392" t="n">
        <v>599</v>
      </c>
      <c r="B603" s="392" t="inlineStr">
        <is>
          <t>⑫ミキサー工程入力</t>
        </is>
      </c>
      <c r="C603" s="392" t="n">
        <v>17</v>
      </c>
      <c r="D603" s="392">
        <f>⑫ミキサー工程入力!C17</f>
        <v/>
      </c>
      <c r="E603" s="393">
        <f>⑫ミキサー工程入力!I17</f>
        <v/>
      </c>
      <c r="F603" s="393">
        <f>⑫ミキサー工程入力!J17</f>
        <v/>
      </c>
      <c r="G603" s="393">
        <f>⑫ミキサー工程入力!M17</f>
        <v/>
      </c>
      <c r="H603" s="393">
        <f>⑫ミキサー工程入力!N17</f>
        <v/>
      </c>
      <c r="I603" s="393">
        <f>⑫ミキサー工程入力!O17</f>
        <v/>
      </c>
    </row>
    <row r="604">
      <c r="A604" s="392" t="n">
        <v>600</v>
      </c>
      <c r="B604" s="392" t="inlineStr">
        <is>
          <t>⑫ミキサー工程入力</t>
        </is>
      </c>
      <c r="C604" s="392" t="n">
        <v>18</v>
      </c>
      <c r="D604" s="392">
        <f>⑫ミキサー工程入力!C18</f>
        <v/>
      </c>
      <c r="E604" s="393">
        <f>⑫ミキサー工程入力!I18</f>
        <v/>
      </c>
      <c r="F604" s="393">
        <f>⑫ミキサー工程入力!J18</f>
        <v/>
      </c>
      <c r="G604" s="393">
        <f>⑫ミキサー工程入力!M18</f>
        <v/>
      </c>
      <c r="H604" s="393">
        <f>⑫ミキサー工程入力!N18</f>
        <v/>
      </c>
      <c r="I604" s="393">
        <f>⑫ミキサー工程入力!O18</f>
        <v/>
      </c>
    </row>
    <row r="605">
      <c r="A605" s="392" t="n">
        <v>601</v>
      </c>
      <c r="B605" s="392" t="inlineStr">
        <is>
          <t>⑫ミキサー工程入力</t>
        </is>
      </c>
      <c r="C605" s="392" t="n">
        <v>19</v>
      </c>
      <c r="D605" s="392">
        <f>⑫ミキサー工程入力!C19</f>
        <v/>
      </c>
      <c r="E605" s="393">
        <f>⑫ミキサー工程入力!I19</f>
        <v/>
      </c>
      <c r="F605" s="393">
        <f>⑫ミキサー工程入力!J19</f>
        <v/>
      </c>
      <c r="G605" s="393">
        <f>⑫ミキサー工程入力!M19</f>
        <v/>
      </c>
      <c r="H605" s="393">
        <f>⑫ミキサー工程入力!N19</f>
        <v/>
      </c>
      <c r="I605" s="393">
        <f>⑫ミキサー工程入力!O19</f>
        <v/>
      </c>
    </row>
    <row r="606">
      <c r="A606" s="392" t="n">
        <v>602</v>
      </c>
      <c r="B606" s="392" t="inlineStr">
        <is>
          <t>⑫ミキサー工程入力</t>
        </is>
      </c>
      <c r="C606" s="392" t="n">
        <v>20</v>
      </c>
      <c r="D606" s="392">
        <f>⑫ミキサー工程入力!C20</f>
        <v/>
      </c>
      <c r="E606" s="393">
        <f>⑫ミキサー工程入力!I20</f>
        <v/>
      </c>
      <c r="F606" s="393">
        <f>⑫ミキサー工程入力!J20</f>
        <v/>
      </c>
      <c r="G606" s="393">
        <f>⑫ミキサー工程入力!M20</f>
        <v/>
      </c>
      <c r="H606" s="393">
        <f>⑫ミキサー工程入力!N20</f>
        <v/>
      </c>
      <c r="I606" s="393">
        <f>⑫ミキサー工程入力!O20</f>
        <v/>
      </c>
    </row>
    <row r="607">
      <c r="A607" s="392" t="n">
        <v>603</v>
      </c>
      <c r="B607" s="392" t="inlineStr">
        <is>
          <t>⑫ミキサー工程入力</t>
        </is>
      </c>
      <c r="C607" s="392" t="n">
        <v>21</v>
      </c>
      <c r="D607" s="392">
        <f>⑫ミキサー工程入力!C21</f>
        <v/>
      </c>
      <c r="E607" s="393">
        <f>⑫ミキサー工程入力!I21</f>
        <v/>
      </c>
      <c r="F607" s="393">
        <f>⑫ミキサー工程入力!J21</f>
        <v/>
      </c>
      <c r="G607" s="393">
        <f>⑫ミキサー工程入力!M21</f>
        <v/>
      </c>
      <c r="H607" s="393">
        <f>⑫ミキサー工程入力!N21</f>
        <v/>
      </c>
      <c r="I607" s="393">
        <f>⑫ミキサー工程入力!O21</f>
        <v/>
      </c>
    </row>
    <row r="608">
      <c r="A608" s="392" t="n">
        <v>604</v>
      </c>
      <c r="B608" s="392" t="inlineStr">
        <is>
          <t>⑫ミキサー工程入力</t>
        </is>
      </c>
      <c r="C608" s="392" t="n">
        <v>22</v>
      </c>
      <c r="D608" s="392">
        <f>⑫ミキサー工程入力!C22</f>
        <v/>
      </c>
      <c r="E608" s="393">
        <f>⑫ミキサー工程入力!I22</f>
        <v/>
      </c>
      <c r="F608" s="393">
        <f>⑫ミキサー工程入力!J22</f>
        <v/>
      </c>
      <c r="G608" s="393">
        <f>⑫ミキサー工程入力!M22</f>
        <v/>
      </c>
      <c r="H608" s="393">
        <f>⑫ミキサー工程入力!N22</f>
        <v/>
      </c>
      <c r="I608" s="393">
        <f>⑫ミキサー工程入力!O22</f>
        <v/>
      </c>
    </row>
    <row r="609">
      <c r="A609" s="392" t="n">
        <v>605</v>
      </c>
      <c r="B609" s="392" t="inlineStr">
        <is>
          <t>⑫ミキサー工程入力</t>
        </is>
      </c>
      <c r="C609" s="392" t="n">
        <v>23</v>
      </c>
      <c r="D609" s="392">
        <f>⑫ミキサー工程入力!C23</f>
        <v/>
      </c>
      <c r="E609" s="393">
        <f>⑫ミキサー工程入力!I23</f>
        <v/>
      </c>
      <c r="F609" s="393">
        <f>⑫ミキサー工程入力!J23</f>
        <v/>
      </c>
      <c r="G609" s="393">
        <f>⑫ミキサー工程入力!M23</f>
        <v/>
      </c>
      <c r="H609" s="393">
        <f>⑫ミキサー工程入力!N23</f>
        <v/>
      </c>
      <c r="I609" s="393">
        <f>⑫ミキサー工程入力!O23</f>
        <v/>
      </c>
    </row>
    <row r="610">
      <c r="A610" s="392" t="n">
        <v>606</v>
      </c>
      <c r="B610" s="392" t="inlineStr">
        <is>
          <t>⑫ミキサー工程入力</t>
        </is>
      </c>
      <c r="C610" s="392" t="n">
        <v>24</v>
      </c>
      <c r="D610" s="392">
        <f>⑫ミキサー工程入力!C24</f>
        <v/>
      </c>
      <c r="E610" s="393">
        <f>⑫ミキサー工程入力!I24</f>
        <v/>
      </c>
      <c r="F610" s="393">
        <f>⑫ミキサー工程入力!J24</f>
        <v/>
      </c>
      <c r="G610" s="393">
        <f>⑫ミキサー工程入力!M24</f>
        <v/>
      </c>
      <c r="H610" s="393">
        <f>⑫ミキサー工程入力!N24</f>
        <v/>
      </c>
      <c r="I610" s="393">
        <f>⑫ミキサー工程入力!O24</f>
        <v/>
      </c>
    </row>
    <row r="611">
      <c r="A611" s="392" t="n">
        <v>607</v>
      </c>
      <c r="B611" s="392" t="inlineStr">
        <is>
          <t>⑫ミキサー工程入力</t>
        </is>
      </c>
      <c r="C611" s="392" t="n">
        <v>25</v>
      </c>
      <c r="D611" s="392">
        <f>⑫ミキサー工程入力!C25</f>
        <v/>
      </c>
      <c r="E611" s="393">
        <f>⑫ミキサー工程入力!I25</f>
        <v/>
      </c>
      <c r="F611" s="393">
        <f>⑫ミキサー工程入力!J25</f>
        <v/>
      </c>
      <c r="G611" s="393">
        <f>⑫ミキサー工程入力!M25</f>
        <v/>
      </c>
      <c r="H611" s="393">
        <f>⑫ミキサー工程入力!N25</f>
        <v/>
      </c>
      <c r="I611" s="393">
        <f>⑫ミキサー工程入力!O25</f>
        <v/>
      </c>
    </row>
    <row r="612">
      <c r="A612" s="392" t="n">
        <v>608</v>
      </c>
      <c r="B612" s="392" t="inlineStr">
        <is>
          <t>⑫ミキサー工程入力</t>
        </is>
      </c>
      <c r="C612" s="392" t="n">
        <v>26</v>
      </c>
      <c r="D612" s="392">
        <f>⑫ミキサー工程入力!C26</f>
        <v/>
      </c>
      <c r="E612" s="393">
        <f>⑫ミキサー工程入力!I26</f>
        <v/>
      </c>
      <c r="F612" s="393">
        <f>⑫ミキサー工程入力!J26</f>
        <v/>
      </c>
      <c r="G612" s="393">
        <f>⑫ミキサー工程入力!M26</f>
        <v/>
      </c>
      <c r="H612" s="393">
        <f>⑫ミキサー工程入力!N26</f>
        <v/>
      </c>
      <c r="I612" s="393">
        <f>⑫ミキサー工程入力!O26</f>
        <v/>
      </c>
    </row>
    <row r="613">
      <c r="A613" s="392" t="n">
        <v>609</v>
      </c>
      <c r="B613" s="392" t="inlineStr">
        <is>
          <t>⑫ミキサー工程入力</t>
        </is>
      </c>
      <c r="C613" s="392" t="n">
        <v>27</v>
      </c>
      <c r="D613" s="392">
        <f>⑫ミキサー工程入力!C27</f>
        <v/>
      </c>
      <c r="E613" s="393">
        <f>⑫ミキサー工程入力!I27</f>
        <v/>
      </c>
      <c r="F613" s="393">
        <f>⑫ミキサー工程入力!J27</f>
        <v/>
      </c>
      <c r="G613" s="393">
        <f>⑫ミキサー工程入力!M27</f>
        <v/>
      </c>
      <c r="H613" s="393">
        <f>⑫ミキサー工程入力!N27</f>
        <v/>
      </c>
      <c r="I613" s="393">
        <f>⑫ミキサー工程入力!O27</f>
        <v/>
      </c>
    </row>
    <row r="614">
      <c r="A614" s="392" t="n">
        <v>610</v>
      </c>
      <c r="B614" s="392" t="inlineStr">
        <is>
          <t>⑫ミキサー工程入力</t>
        </is>
      </c>
      <c r="C614" s="392" t="n">
        <v>28</v>
      </c>
      <c r="D614" s="392">
        <f>⑫ミキサー工程入力!C28</f>
        <v/>
      </c>
      <c r="E614" s="393">
        <f>⑫ミキサー工程入力!I28</f>
        <v/>
      </c>
      <c r="F614" s="393">
        <f>⑫ミキサー工程入力!J28</f>
        <v/>
      </c>
      <c r="G614" s="393">
        <f>⑫ミキサー工程入力!M28</f>
        <v/>
      </c>
      <c r="H614" s="393">
        <f>⑫ミキサー工程入力!N28</f>
        <v/>
      </c>
      <c r="I614" s="393">
        <f>⑫ミキサー工程入力!O28</f>
        <v/>
      </c>
    </row>
    <row r="615">
      <c r="A615" s="392" t="n">
        <v>611</v>
      </c>
      <c r="B615" s="392" t="inlineStr">
        <is>
          <t>⑫ミキサー工程入力</t>
        </is>
      </c>
      <c r="C615" s="392" t="n">
        <v>29</v>
      </c>
      <c r="D615" s="392">
        <f>⑫ミキサー工程入力!C29</f>
        <v/>
      </c>
      <c r="E615" s="393">
        <f>⑫ミキサー工程入力!I29</f>
        <v/>
      </c>
      <c r="F615" s="393">
        <f>⑫ミキサー工程入力!J29</f>
        <v/>
      </c>
      <c r="G615" s="393">
        <f>⑫ミキサー工程入力!M29</f>
        <v/>
      </c>
      <c r="H615" s="393">
        <f>⑫ミキサー工程入力!N29</f>
        <v/>
      </c>
      <c r="I615" s="393">
        <f>⑫ミキサー工程入力!O29</f>
        <v/>
      </c>
    </row>
    <row r="616">
      <c r="A616" s="392" t="n">
        <v>612</v>
      </c>
      <c r="B616" s="392" t="inlineStr">
        <is>
          <t>⑫ミキサー工程入力</t>
        </is>
      </c>
      <c r="C616" s="392" t="n">
        <v>30</v>
      </c>
      <c r="D616" s="392">
        <f>⑫ミキサー工程入力!C30</f>
        <v/>
      </c>
      <c r="E616" s="393">
        <f>⑫ミキサー工程入力!I30</f>
        <v/>
      </c>
      <c r="F616" s="393">
        <f>⑫ミキサー工程入力!J30</f>
        <v/>
      </c>
      <c r="G616" s="393">
        <f>⑫ミキサー工程入力!M30</f>
        <v/>
      </c>
      <c r="H616" s="393">
        <f>⑫ミキサー工程入力!N30</f>
        <v/>
      </c>
      <c r="I616" s="393">
        <f>⑫ミキサー工程入力!O30</f>
        <v/>
      </c>
    </row>
    <row r="617">
      <c r="A617" s="392" t="n">
        <v>613</v>
      </c>
      <c r="B617" s="392" t="inlineStr">
        <is>
          <t>⑫ミキサー工程入力</t>
        </is>
      </c>
      <c r="C617" s="392" t="n">
        <v>31</v>
      </c>
      <c r="D617" s="392">
        <f>⑫ミキサー工程入力!C31</f>
        <v/>
      </c>
      <c r="E617" s="393">
        <f>⑫ミキサー工程入力!I31</f>
        <v/>
      </c>
      <c r="F617" s="393">
        <f>⑫ミキサー工程入力!J31</f>
        <v/>
      </c>
      <c r="G617" s="393">
        <f>⑫ミキサー工程入力!M31</f>
        <v/>
      </c>
      <c r="H617" s="393">
        <f>⑫ミキサー工程入力!N31</f>
        <v/>
      </c>
      <c r="I617" s="393">
        <f>⑫ミキサー工程入力!O31</f>
        <v/>
      </c>
    </row>
    <row r="618">
      <c r="A618" s="392" t="n">
        <v>614</v>
      </c>
      <c r="B618" s="392" t="inlineStr">
        <is>
          <t>⑫ミキサー工程入力</t>
        </is>
      </c>
      <c r="C618" s="392" t="n">
        <v>32</v>
      </c>
      <c r="D618" s="392">
        <f>⑫ミキサー工程入力!C32</f>
        <v/>
      </c>
      <c r="E618" s="393">
        <f>⑫ミキサー工程入力!I32</f>
        <v/>
      </c>
      <c r="F618" s="393">
        <f>⑫ミキサー工程入力!J32</f>
        <v/>
      </c>
      <c r="G618" s="393">
        <f>⑫ミキサー工程入力!M32</f>
        <v/>
      </c>
      <c r="H618" s="393">
        <f>⑫ミキサー工程入力!N32</f>
        <v/>
      </c>
      <c r="I618" s="393">
        <f>⑫ミキサー工程入力!O32</f>
        <v/>
      </c>
    </row>
    <row r="619">
      <c r="A619" s="392" t="n">
        <v>615</v>
      </c>
      <c r="B619" s="392" t="inlineStr">
        <is>
          <t>⑫ミキサー工程入力</t>
        </is>
      </c>
      <c r="C619" s="392" t="n">
        <v>33</v>
      </c>
      <c r="D619" s="392">
        <f>⑫ミキサー工程入力!C33</f>
        <v/>
      </c>
      <c r="E619" s="393">
        <f>⑫ミキサー工程入力!I33</f>
        <v/>
      </c>
      <c r="F619" s="393">
        <f>⑫ミキサー工程入力!J33</f>
        <v/>
      </c>
      <c r="G619" s="393">
        <f>⑫ミキサー工程入力!M33</f>
        <v/>
      </c>
      <c r="H619" s="393">
        <f>⑫ミキサー工程入力!N33</f>
        <v/>
      </c>
      <c r="I619" s="393">
        <f>⑫ミキサー工程入力!O33</f>
        <v/>
      </c>
    </row>
    <row r="620">
      <c r="A620" s="392" t="n">
        <v>616</v>
      </c>
      <c r="B620" s="392" t="inlineStr">
        <is>
          <t>⑫ミキサー工程入力</t>
        </is>
      </c>
      <c r="C620" s="392" t="n">
        <v>34</v>
      </c>
      <c r="D620" s="392">
        <f>⑫ミキサー工程入力!C34</f>
        <v/>
      </c>
      <c r="E620" s="393">
        <f>⑫ミキサー工程入力!I34</f>
        <v/>
      </c>
      <c r="F620" s="393">
        <f>⑫ミキサー工程入力!J34</f>
        <v/>
      </c>
      <c r="G620" s="393">
        <f>⑫ミキサー工程入力!M34</f>
        <v/>
      </c>
      <c r="H620" s="393">
        <f>⑫ミキサー工程入力!N34</f>
        <v/>
      </c>
      <c r="I620" s="393">
        <f>⑫ミキサー工程入力!O34</f>
        <v/>
      </c>
    </row>
    <row r="621">
      <c r="A621" s="392" t="n">
        <v>617</v>
      </c>
      <c r="B621" s="392" t="inlineStr">
        <is>
          <t>⑫ミキサー工程入力</t>
        </is>
      </c>
      <c r="C621" s="392" t="n">
        <v>35</v>
      </c>
      <c r="D621" s="392">
        <f>⑫ミキサー工程入力!C35</f>
        <v/>
      </c>
      <c r="E621" s="393">
        <f>⑫ミキサー工程入力!I35</f>
        <v/>
      </c>
      <c r="F621" s="393">
        <f>⑫ミキサー工程入力!J35</f>
        <v/>
      </c>
      <c r="G621" s="393">
        <f>⑫ミキサー工程入力!M35</f>
        <v/>
      </c>
      <c r="H621" s="393">
        <f>⑫ミキサー工程入力!N35</f>
        <v/>
      </c>
      <c r="I621" s="393">
        <f>⑫ミキサー工程入力!O35</f>
        <v/>
      </c>
    </row>
    <row r="622">
      <c r="A622" s="392" t="n">
        <v>618</v>
      </c>
      <c r="B622" s="392" t="inlineStr">
        <is>
          <t>⑫ミキサー工程入力</t>
        </is>
      </c>
      <c r="C622" s="392" t="n">
        <v>36</v>
      </c>
      <c r="D622" s="392">
        <f>⑫ミキサー工程入力!C36</f>
        <v/>
      </c>
      <c r="E622" s="393">
        <f>⑫ミキサー工程入力!I36</f>
        <v/>
      </c>
      <c r="F622" s="393">
        <f>⑫ミキサー工程入力!J36</f>
        <v/>
      </c>
      <c r="G622" s="393">
        <f>⑫ミキサー工程入力!M36</f>
        <v/>
      </c>
      <c r="H622" s="393">
        <f>⑫ミキサー工程入力!N36</f>
        <v/>
      </c>
      <c r="I622" s="393">
        <f>⑫ミキサー工程入力!O36</f>
        <v/>
      </c>
    </row>
    <row r="623">
      <c r="A623" s="392" t="n">
        <v>619</v>
      </c>
      <c r="B623" s="392" t="inlineStr">
        <is>
          <t>⑫ミキサー工程入力</t>
        </is>
      </c>
      <c r="C623" s="392" t="n">
        <v>37</v>
      </c>
      <c r="D623" s="392">
        <f>⑫ミキサー工程入力!C37</f>
        <v/>
      </c>
      <c r="E623" s="393">
        <f>⑫ミキサー工程入力!I37</f>
        <v/>
      </c>
      <c r="F623" s="393">
        <f>⑫ミキサー工程入力!J37</f>
        <v/>
      </c>
      <c r="G623" s="393">
        <f>⑫ミキサー工程入力!M37</f>
        <v/>
      </c>
      <c r="H623" s="393">
        <f>⑫ミキサー工程入力!N37</f>
        <v/>
      </c>
      <c r="I623" s="393">
        <f>⑫ミキサー工程入力!O37</f>
        <v/>
      </c>
    </row>
    <row r="624">
      <c r="A624" s="392" t="n">
        <v>620</v>
      </c>
      <c r="B624" s="392" t="inlineStr">
        <is>
          <t>⑫ミキサー工程入力</t>
        </is>
      </c>
      <c r="C624" s="392" t="n">
        <v>38</v>
      </c>
      <c r="D624" s="392">
        <f>⑫ミキサー工程入力!C38</f>
        <v/>
      </c>
      <c r="E624" s="393">
        <f>⑫ミキサー工程入力!I38</f>
        <v/>
      </c>
      <c r="F624" s="393">
        <f>⑫ミキサー工程入力!J38</f>
        <v/>
      </c>
      <c r="G624" s="393">
        <f>⑫ミキサー工程入力!M38</f>
        <v/>
      </c>
      <c r="H624" s="393">
        <f>⑫ミキサー工程入力!N38</f>
        <v/>
      </c>
      <c r="I624" s="393">
        <f>⑫ミキサー工程入力!O38</f>
        <v/>
      </c>
    </row>
    <row r="625">
      <c r="A625" s="392" t="n">
        <v>621</v>
      </c>
      <c r="B625" s="392" t="inlineStr">
        <is>
          <t>⑫ミキサー工程入力</t>
        </is>
      </c>
      <c r="C625" s="392" t="n">
        <v>39</v>
      </c>
      <c r="D625" s="392">
        <f>⑫ミキサー工程入力!C39</f>
        <v/>
      </c>
      <c r="E625" s="393">
        <f>⑫ミキサー工程入力!I39</f>
        <v/>
      </c>
      <c r="F625" s="393">
        <f>⑫ミキサー工程入力!J39</f>
        <v/>
      </c>
      <c r="G625" s="393">
        <f>⑫ミキサー工程入力!M39</f>
        <v/>
      </c>
      <c r="H625" s="393">
        <f>⑫ミキサー工程入力!N39</f>
        <v/>
      </c>
      <c r="I625" s="393">
        <f>⑫ミキサー工程入力!O39</f>
        <v/>
      </c>
    </row>
    <row r="626">
      <c r="A626" s="392" t="n">
        <v>622</v>
      </c>
      <c r="B626" s="392" t="inlineStr">
        <is>
          <t>⑫ミキサー工程入力</t>
        </is>
      </c>
      <c r="C626" s="392" t="n">
        <v>40</v>
      </c>
      <c r="D626" s="392">
        <f>⑫ミキサー工程入力!C40</f>
        <v/>
      </c>
      <c r="E626" s="393">
        <f>⑫ミキサー工程入力!I40</f>
        <v/>
      </c>
      <c r="F626" s="393">
        <f>⑫ミキサー工程入力!J40</f>
        <v/>
      </c>
      <c r="G626" s="393">
        <f>⑫ミキサー工程入力!M40</f>
        <v/>
      </c>
      <c r="H626" s="393">
        <f>⑫ミキサー工程入力!N40</f>
        <v/>
      </c>
      <c r="I626" s="393">
        <f>⑫ミキサー工程入力!O40</f>
        <v/>
      </c>
    </row>
    <row r="627">
      <c r="A627" s="392" t="n">
        <v>623</v>
      </c>
      <c r="B627" s="392" t="inlineStr">
        <is>
          <t>⑫ミキサー工程入力</t>
        </is>
      </c>
      <c r="C627" s="392" t="n">
        <v>41</v>
      </c>
      <c r="D627" s="392">
        <f>⑫ミキサー工程入力!C41</f>
        <v/>
      </c>
      <c r="E627" s="393">
        <f>⑫ミキサー工程入力!I41</f>
        <v/>
      </c>
      <c r="F627" s="393">
        <f>⑫ミキサー工程入力!J41</f>
        <v/>
      </c>
      <c r="G627" s="393">
        <f>⑫ミキサー工程入力!M41</f>
        <v/>
      </c>
      <c r="H627" s="393">
        <f>⑫ミキサー工程入力!N41</f>
        <v/>
      </c>
      <c r="I627" s="393">
        <f>⑫ミキサー工程入力!O41</f>
        <v/>
      </c>
    </row>
    <row r="628">
      <c r="A628" s="392" t="n">
        <v>624</v>
      </c>
      <c r="B628" s="392" t="inlineStr">
        <is>
          <t>⑫ミキサー工程入力</t>
        </is>
      </c>
      <c r="C628" s="392" t="n">
        <v>42</v>
      </c>
      <c r="D628" s="392">
        <f>⑫ミキサー工程入力!C42</f>
        <v/>
      </c>
      <c r="E628" s="393">
        <f>⑫ミキサー工程入力!I42</f>
        <v/>
      </c>
      <c r="F628" s="393">
        <f>⑫ミキサー工程入力!J42</f>
        <v/>
      </c>
      <c r="G628" s="393">
        <f>⑫ミキサー工程入力!M42</f>
        <v/>
      </c>
      <c r="H628" s="393">
        <f>⑫ミキサー工程入力!N42</f>
        <v/>
      </c>
      <c r="I628" s="393">
        <f>⑫ミキサー工程入力!O42</f>
        <v/>
      </c>
    </row>
    <row r="629">
      <c r="A629" s="392" t="n">
        <v>625</v>
      </c>
      <c r="B629" s="392" t="inlineStr">
        <is>
          <t>⑫ミキサー工程入力</t>
        </is>
      </c>
      <c r="C629" s="392" t="n">
        <v>43</v>
      </c>
      <c r="D629" s="392">
        <f>⑫ミキサー工程入力!C43</f>
        <v/>
      </c>
      <c r="E629" s="393">
        <f>⑫ミキサー工程入力!I43</f>
        <v/>
      </c>
      <c r="F629" s="393">
        <f>⑫ミキサー工程入力!J43</f>
        <v/>
      </c>
      <c r="G629" s="393">
        <f>⑫ミキサー工程入力!M43</f>
        <v/>
      </c>
      <c r="H629" s="393">
        <f>⑫ミキサー工程入力!N43</f>
        <v/>
      </c>
      <c r="I629" s="393">
        <f>⑫ミキサー工程入力!O43</f>
        <v/>
      </c>
    </row>
    <row r="630">
      <c r="A630" s="392" t="n">
        <v>626</v>
      </c>
      <c r="B630" s="392" t="inlineStr">
        <is>
          <t>⑫ミキサー工程入力</t>
        </is>
      </c>
      <c r="C630" s="392" t="n">
        <v>44</v>
      </c>
      <c r="D630" s="392">
        <f>⑫ミキサー工程入力!C44</f>
        <v/>
      </c>
      <c r="E630" s="393">
        <f>⑫ミキサー工程入力!I44</f>
        <v/>
      </c>
      <c r="F630" s="393">
        <f>⑫ミキサー工程入力!J44</f>
        <v/>
      </c>
      <c r="G630" s="393">
        <f>⑫ミキサー工程入力!M44</f>
        <v/>
      </c>
      <c r="H630" s="393">
        <f>⑫ミキサー工程入力!N44</f>
        <v/>
      </c>
      <c r="I630" s="393">
        <f>⑫ミキサー工程入力!O44</f>
        <v/>
      </c>
    </row>
    <row r="631">
      <c r="A631" s="392" t="n">
        <v>627</v>
      </c>
      <c r="B631" s="392" t="inlineStr">
        <is>
          <t>⑫ミキサー工程入力</t>
        </is>
      </c>
      <c r="C631" s="392" t="n">
        <v>45</v>
      </c>
      <c r="D631" s="392">
        <f>⑫ミキサー工程入力!C45</f>
        <v/>
      </c>
      <c r="E631" s="393">
        <f>⑫ミキサー工程入力!I45</f>
        <v/>
      </c>
      <c r="F631" s="393">
        <f>⑫ミキサー工程入力!J45</f>
        <v/>
      </c>
      <c r="G631" s="393">
        <f>⑫ミキサー工程入力!M45</f>
        <v/>
      </c>
      <c r="H631" s="393">
        <f>⑫ミキサー工程入力!N45</f>
        <v/>
      </c>
      <c r="I631" s="393">
        <f>⑫ミキサー工程入力!O45</f>
        <v/>
      </c>
    </row>
    <row r="632">
      <c r="A632" s="392" t="n">
        <v>628</v>
      </c>
      <c r="B632" s="392" t="inlineStr">
        <is>
          <t>⑫ミキサー工程入力</t>
        </is>
      </c>
      <c r="C632" s="392" t="n">
        <v>46</v>
      </c>
      <c r="D632" s="392">
        <f>⑫ミキサー工程入力!C46</f>
        <v/>
      </c>
      <c r="E632" s="393">
        <f>⑫ミキサー工程入力!I46</f>
        <v/>
      </c>
      <c r="F632" s="393">
        <f>⑫ミキサー工程入力!J46</f>
        <v/>
      </c>
      <c r="G632" s="393">
        <f>⑫ミキサー工程入力!M46</f>
        <v/>
      </c>
      <c r="H632" s="393">
        <f>⑫ミキサー工程入力!N46</f>
        <v/>
      </c>
      <c r="I632" s="393">
        <f>⑫ミキサー工程入力!O46</f>
        <v/>
      </c>
    </row>
    <row r="633">
      <c r="A633" s="392" t="n">
        <v>629</v>
      </c>
      <c r="B633" s="392" t="inlineStr">
        <is>
          <t>⑫ミキサー工程入力</t>
        </is>
      </c>
      <c r="C633" s="392" t="n">
        <v>47</v>
      </c>
      <c r="D633" s="392">
        <f>⑫ミキサー工程入力!C47</f>
        <v/>
      </c>
      <c r="E633" s="393">
        <f>⑫ミキサー工程入力!I47</f>
        <v/>
      </c>
      <c r="F633" s="393">
        <f>⑫ミキサー工程入力!J47</f>
        <v/>
      </c>
      <c r="G633" s="393">
        <f>⑫ミキサー工程入力!M47</f>
        <v/>
      </c>
      <c r="H633" s="393">
        <f>⑫ミキサー工程入力!N47</f>
        <v/>
      </c>
      <c r="I633" s="393">
        <f>⑫ミキサー工程入力!O47</f>
        <v/>
      </c>
    </row>
    <row r="634">
      <c r="A634" s="392" t="n">
        <v>630</v>
      </c>
      <c r="B634" s="392" t="inlineStr">
        <is>
          <t>⑫ミキサー工程入力</t>
        </is>
      </c>
      <c r="C634" s="392" t="n">
        <v>48</v>
      </c>
      <c r="D634" s="392">
        <f>⑫ミキサー工程入力!C48</f>
        <v/>
      </c>
      <c r="E634" s="393">
        <f>⑫ミキサー工程入力!I48</f>
        <v/>
      </c>
      <c r="F634" s="393">
        <f>⑫ミキサー工程入力!J48</f>
        <v/>
      </c>
      <c r="G634" s="393">
        <f>⑫ミキサー工程入力!M48</f>
        <v/>
      </c>
      <c r="H634" s="393">
        <f>⑫ミキサー工程入力!N48</f>
        <v/>
      </c>
      <c r="I634" s="393">
        <f>⑫ミキサー工程入力!O48</f>
        <v/>
      </c>
    </row>
    <row r="635">
      <c r="A635" s="392" t="n">
        <v>631</v>
      </c>
      <c r="B635" s="392" t="inlineStr">
        <is>
          <t>⑫ミキサー工程入力</t>
        </is>
      </c>
      <c r="C635" s="392" t="n">
        <v>49</v>
      </c>
      <c r="D635" s="392">
        <f>⑫ミキサー工程入力!C49</f>
        <v/>
      </c>
      <c r="E635" s="393">
        <f>⑫ミキサー工程入力!I49</f>
        <v/>
      </c>
      <c r="F635" s="393">
        <f>⑫ミキサー工程入力!J49</f>
        <v/>
      </c>
      <c r="G635" s="393">
        <f>⑫ミキサー工程入力!M49</f>
        <v/>
      </c>
      <c r="H635" s="393">
        <f>⑫ミキサー工程入力!N49</f>
        <v/>
      </c>
      <c r="I635" s="393">
        <f>⑫ミキサー工程入力!O49</f>
        <v/>
      </c>
    </row>
    <row r="636">
      <c r="A636" s="392" t="n">
        <v>632</v>
      </c>
      <c r="B636" s="392" t="inlineStr">
        <is>
          <t>⑫ミキサー工程入力</t>
        </is>
      </c>
      <c r="C636" s="392" t="n">
        <v>50</v>
      </c>
      <c r="D636" s="392">
        <f>⑫ミキサー工程入力!C50</f>
        <v/>
      </c>
      <c r="E636" s="393">
        <f>⑫ミキサー工程入力!I50</f>
        <v/>
      </c>
      <c r="F636" s="393">
        <f>⑫ミキサー工程入力!J50</f>
        <v/>
      </c>
      <c r="G636" s="393">
        <f>⑫ミキサー工程入力!M50</f>
        <v/>
      </c>
      <c r="H636" s="393">
        <f>⑫ミキサー工程入力!N50</f>
        <v/>
      </c>
      <c r="I636" s="393">
        <f>⑫ミキサー工程入力!O50</f>
        <v/>
      </c>
    </row>
    <row r="637">
      <c r="A637" s="392" t="n">
        <v>633</v>
      </c>
      <c r="B637" s="392" t="inlineStr">
        <is>
          <t>⑫ミキサー工程入力</t>
        </is>
      </c>
      <c r="C637" s="392" t="n">
        <v>51</v>
      </c>
      <c r="D637" s="392">
        <f>⑫ミキサー工程入力!C51</f>
        <v/>
      </c>
      <c r="E637" s="393">
        <f>⑫ミキサー工程入力!I51</f>
        <v/>
      </c>
      <c r="F637" s="393">
        <f>⑫ミキサー工程入力!J51</f>
        <v/>
      </c>
      <c r="G637" s="393">
        <f>⑫ミキサー工程入力!M51</f>
        <v/>
      </c>
      <c r="H637" s="393">
        <f>⑫ミキサー工程入力!N51</f>
        <v/>
      </c>
      <c r="I637" s="393">
        <f>⑫ミキサー工程入力!O51</f>
        <v/>
      </c>
    </row>
    <row r="638">
      <c r="A638" s="392" t="n">
        <v>634</v>
      </c>
      <c r="B638" s="392" t="inlineStr">
        <is>
          <t>⑫ミキサー工程入力</t>
        </is>
      </c>
      <c r="C638" s="392" t="n">
        <v>52</v>
      </c>
      <c r="D638" s="392">
        <f>⑫ミキサー工程入力!C52</f>
        <v/>
      </c>
      <c r="E638" s="393">
        <f>⑫ミキサー工程入力!I52</f>
        <v/>
      </c>
      <c r="F638" s="393">
        <f>⑫ミキサー工程入力!J52</f>
        <v/>
      </c>
      <c r="G638" s="393">
        <f>⑫ミキサー工程入力!M52</f>
        <v/>
      </c>
      <c r="H638" s="393">
        <f>⑫ミキサー工程入力!N52</f>
        <v/>
      </c>
      <c r="I638" s="393">
        <f>⑫ミキサー工程入力!O52</f>
        <v/>
      </c>
    </row>
    <row r="639">
      <c r="A639" s="392" t="n">
        <v>635</v>
      </c>
      <c r="B639" s="392" t="inlineStr">
        <is>
          <t>⑫ミキサー工程入力</t>
        </is>
      </c>
      <c r="C639" s="392" t="n">
        <v>53</v>
      </c>
      <c r="D639" s="392">
        <f>⑫ミキサー工程入力!C53</f>
        <v/>
      </c>
      <c r="E639" s="393">
        <f>⑫ミキサー工程入力!I53</f>
        <v/>
      </c>
      <c r="F639" s="393">
        <f>⑫ミキサー工程入力!J53</f>
        <v/>
      </c>
      <c r="G639" s="393">
        <f>⑫ミキサー工程入力!M53</f>
        <v/>
      </c>
      <c r="H639" s="393">
        <f>⑫ミキサー工程入力!N53</f>
        <v/>
      </c>
      <c r="I639" s="393">
        <f>⑫ミキサー工程入力!O53</f>
        <v/>
      </c>
    </row>
    <row r="640">
      <c r="A640" s="392" t="n">
        <v>636</v>
      </c>
      <c r="B640" s="392" t="inlineStr">
        <is>
          <t>⑫ミキサー工程入力</t>
        </is>
      </c>
      <c r="C640" s="392" t="n">
        <v>54</v>
      </c>
      <c r="D640" s="392">
        <f>⑫ミキサー工程入力!C54</f>
        <v/>
      </c>
      <c r="E640" s="393">
        <f>⑫ミキサー工程入力!I54</f>
        <v/>
      </c>
      <c r="F640" s="393">
        <f>⑫ミキサー工程入力!J54</f>
        <v/>
      </c>
      <c r="G640" s="393">
        <f>⑫ミキサー工程入力!M54</f>
        <v/>
      </c>
      <c r="H640" s="393">
        <f>⑫ミキサー工程入力!N54</f>
        <v/>
      </c>
      <c r="I640" s="393">
        <f>⑫ミキサー工程入力!O54</f>
        <v/>
      </c>
    </row>
    <row r="641">
      <c r="A641" s="392" t="n">
        <v>637</v>
      </c>
      <c r="B641" s="392" t="inlineStr">
        <is>
          <t>⑫ミキサー工程入力</t>
        </is>
      </c>
      <c r="C641" s="392" t="n">
        <v>55</v>
      </c>
      <c r="D641" s="392">
        <f>⑫ミキサー工程入力!C55</f>
        <v/>
      </c>
      <c r="E641" s="393">
        <f>⑫ミキサー工程入力!I55</f>
        <v/>
      </c>
      <c r="F641" s="393">
        <f>⑫ミキサー工程入力!J55</f>
        <v/>
      </c>
      <c r="G641" s="393">
        <f>⑫ミキサー工程入力!M55</f>
        <v/>
      </c>
      <c r="H641" s="393">
        <f>⑫ミキサー工程入力!N55</f>
        <v/>
      </c>
      <c r="I641" s="393">
        <f>⑫ミキサー工程入力!O55</f>
        <v/>
      </c>
    </row>
    <row r="642">
      <c r="A642" s="392" t="n">
        <v>638</v>
      </c>
      <c r="B642" s="392" t="inlineStr">
        <is>
          <t>⑫ミキサー工程入力</t>
        </is>
      </c>
      <c r="C642" s="392" t="n">
        <v>56</v>
      </c>
      <c r="D642" s="392">
        <f>⑫ミキサー工程入力!C56</f>
        <v/>
      </c>
      <c r="E642" s="393">
        <f>⑫ミキサー工程入力!I56</f>
        <v/>
      </c>
      <c r="F642" s="393">
        <f>⑫ミキサー工程入力!J56</f>
        <v/>
      </c>
      <c r="G642" s="393">
        <f>⑫ミキサー工程入力!M56</f>
        <v/>
      </c>
      <c r="H642" s="393">
        <f>⑫ミキサー工程入力!N56</f>
        <v/>
      </c>
      <c r="I642" s="393">
        <f>⑫ミキサー工程入力!O56</f>
        <v/>
      </c>
    </row>
    <row r="643">
      <c r="A643" s="392" t="n">
        <v>639</v>
      </c>
      <c r="B643" s="392" t="inlineStr">
        <is>
          <t>⑫ミキサー工程入力</t>
        </is>
      </c>
      <c r="C643" s="392" t="n">
        <v>57</v>
      </c>
      <c r="D643" s="392">
        <f>⑫ミキサー工程入力!C57</f>
        <v/>
      </c>
      <c r="E643" s="393">
        <f>⑫ミキサー工程入力!I57</f>
        <v/>
      </c>
      <c r="F643" s="393">
        <f>⑫ミキサー工程入力!J57</f>
        <v/>
      </c>
      <c r="G643" s="393">
        <f>⑫ミキサー工程入力!M57</f>
        <v/>
      </c>
      <c r="H643" s="393">
        <f>⑫ミキサー工程入力!N57</f>
        <v/>
      </c>
      <c r="I643" s="393">
        <f>⑫ミキサー工程入力!O57</f>
        <v/>
      </c>
    </row>
    <row r="644">
      <c r="A644" s="392" t="n">
        <v>640</v>
      </c>
      <c r="B644" s="392" t="inlineStr">
        <is>
          <t>⑫ミキサー工程入力</t>
        </is>
      </c>
      <c r="C644" s="392" t="n">
        <v>58</v>
      </c>
      <c r="D644" s="392">
        <f>⑫ミキサー工程入力!C58</f>
        <v/>
      </c>
      <c r="E644" s="393">
        <f>⑫ミキサー工程入力!I58</f>
        <v/>
      </c>
      <c r="F644" s="393">
        <f>⑫ミキサー工程入力!J58</f>
        <v/>
      </c>
      <c r="G644" s="393">
        <f>⑫ミキサー工程入力!M58</f>
        <v/>
      </c>
      <c r="H644" s="393">
        <f>⑫ミキサー工程入力!N58</f>
        <v/>
      </c>
      <c r="I644" s="393">
        <f>⑫ミキサー工程入力!O58</f>
        <v/>
      </c>
    </row>
    <row r="645">
      <c r="A645" s="392" t="n">
        <v>641</v>
      </c>
      <c r="B645" s="392" t="inlineStr">
        <is>
          <t>⑫ミキサー工程入力</t>
        </is>
      </c>
      <c r="C645" s="392" t="n">
        <v>59</v>
      </c>
      <c r="D645" s="392">
        <f>⑫ミキサー工程入力!C59</f>
        <v/>
      </c>
      <c r="E645" s="393">
        <f>⑫ミキサー工程入力!I59</f>
        <v/>
      </c>
      <c r="F645" s="393">
        <f>⑫ミキサー工程入力!J59</f>
        <v/>
      </c>
      <c r="G645" s="393">
        <f>⑫ミキサー工程入力!M59</f>
        <v/>
      </c>
      <c r="H645" s="393">
        <f>⑫ミキサー工程入力!N59</f>
        <v/>
      </c>
      <c r="I645" s="393">
        <f>⑫ミキサー工程入力!O59</f>
        <v/>
      </c>
    </row>
    <row r="646">
      <c r="A646" s="392" t="n">
        <v>642</v>
      </c>
      <c r="B646" s="392" t="inlineStr">
        <is>
          <t>⑫ミキサー工程入力</t>
        </is>
      </c>
      <c r="C646" s="392" t="n">
        <v>60</v>
      </c>
      <c r="D646" s="392">
        <f>⑫ミキサー工程入力!C60</f>
        <v/>
      </c>
      <c r="E646" s="393">
        <f>⑫ミキサー工程入力!I60</f>
        <v/>
      </c>
      <c r="F646" s="393">
        <f>⑫ミキサー工程入力!J60</f>
        <v/>
      </c>
      <c r="G646" s="393">
        <f>⑫ミキサー工程入力!M60</f>
        <v/>
      </c>
      <c r="H646" s="393">
        <f>⑫ミキサー工程入力!N60</f>
        <v/>
      </c>
      <c r="I646" s="393">
        <f>⑫ミキサー工程入力!O60</f>
        <v/>
      </c>
    </row>
    <row r="647">
      <c r="A647" s="392" t="n">
        <v>643</v>
      </c>
      <c r="B647" s="392" t="inlineStr">
        <is>
          <t>⑫ミキサー工程入力</t>
        </is>
      </c>
      <c r="C647" s="392" t="n">
        <v>61</v>
      </c>
      <c r="D647" s="392">
        <f>⑫ミキサー工程入力!C61</f>
        <v/>
      </c>
      <c r="E647" s="393">
        <f>⑫ミキサー工程入力!I61</f>
        <v/>
      </c>
      <c r="F647" s="393">
        <f>⑫ミキサー工程入力!J61</f>
        <v/>
      </c>
      <c r="G647" s="393">
        <f>⑫ミキサー工程入力!M61</f>
        <v/>
      </c>
      <c r="H647" s="393">
        <f>⑫ミキサー工程入力!N61</f>
        <v/>
      </c>
      <c r="I647" s="393">
        <f>⑫ミキサー工程入力!O61</f>
        <v/>
      </c>
    </row>
    <row r="648">
      <c r="A648" s="392" t="n">
        <v>644</v>
      </c>
      <c r="B648" s="392" t="inlineStr">
        <is>
          <t>⑫ミキサー工程入力</t>
        </is>
      </c>
      <c r="C648" s="392" t="n">
        <v>62</v>
      </c>
      <c r="D648" s="392">
        <f>⑫ミキサー工程入力!C62</f>
        <v/>
      </c>
      <c r="E648" s="393">
        <f>⑫ミキサー工程入力!I62</f>
        <v/>
      </c>
      <c r="F648" s="393">
        <f>⑫ミキサー工程入力!J62</f>
        <v/>
      </c>
      <c r="G648" s="393">
        <f>⑫ミキサー工程入力!M62</f>
        <v/>
      </c>
      <c r="H648" s="393">
        <f>⑫ミキサー工程入力!N62</f>
        <v/>
      </c>
      <c r="I648" s="393">
        <f>⑫ミキサー工程入力!O62</f>
        <v/>
      </c>
    </row>
    <row r="649">
      <c r="A649" s="392" t="n">
        <v>645</v>
      </c>
      <c r="B649" s="392" t="inlineStr">
        <is>
          <t>⑫ミキサー工程入力</t>
        </is>
      </c>
      <c r="C649" s="392" t="n">
        <v>63</v>
      </c>
      <c r="D649" s="392">
        <f>⑫ミキサー工程入力!C63</f>
        <v/>
      </c>
      <c r="E649" s="393">
        <f>⑫ミキサー工程入力!I63</f>
        <v/>
      </c>
      <c r="F649" s="393">
        <f>⑫ミキサー工程入力!J63</f>
        <v/>
      </c>
      <c r="G649" s="393">
        <f>⑫ミキサー工程入力!M63</f>
        <v/>
      </c>
      <c r="H649" s="393">
        <f>⑫ミキサー工程入力!N63</f>
        <v/>
      </c>
      <c r="I649" s="393">
        <f>⑫ミキサー工程入力!O63</f>
        <v/>
      </c>
    </row>
    <row r="650">
      <c r="A650" s="392" t="n">
        <v>646</v>
      </c>
      <c r="B650" s="392" t="inlineStr">
        <is>
          <t>⑫ミキサー工程入力</t>
        </is>
      </c>
      <c r="C650" s="392" t="n">
        <v>64</v>
      </c>
      <c r="D650" s="392">
        <f>⑫ミキサー工程入力!C64</f>
        <v/>
      </c>
      <c r="E650" s="393">
        <f>⑫ミキサー工程入力!I64</f>
        <v/>
      </c>
      <c r="F650" s="393">
        <f>⑫ミキサー工程入力!J64</f>
        <v/>
      </c>
      <c r="G650" s="393">
        <f>⑫ミキサー工程入力!M64</f>
        <v/>
      </c>
      <c r="H650" s="393">
        <f>⑫ミキサー工程入力!N64</f>
        <v/>
      </c>
      <c r="I650" s="393">
        <f>⑫ミキサー工程入力!O64</f>
        <v/>
      </c>
    </row>
    <row r="651">
      <c r="A651" s="392" t="n">
        <v>647</v>
      </c>
      <c r="B651" s="392" t="inlineStr">
        <is>
          <t>⑫ミキサー工程入力</t>
        </is>
      </c>
      <c r="C651" s="392" t="n">
        <v>65</v>
      </c>
      <c r="D651" s="392">
        <f>⑫ミキサー工程入力!C65</f>
        <v/>
      </c>
      <c r="E651" s="393">
        <f>⑫ミキサー工程入力!I65</f>
        <v/>
      </c>
      <c r="F651" s="393">
        <f>⑫ミキサー工程入力!J65</f>
        <v/>
      </c>
      <c r="G651" s="393">
        <f>⑫ミキサー工程入力!M65</f>
        <v/>
      </c>
      <c r="H651" s="393">
        <f>⑫ミキサー工程入力!N65</f>
        <v/>
      </c>
      <c r="I651" s="393">
        <f>⑫ミキサー工程入力!O65</f>
        <v/>
      </c>
    </row>
    <row r="652">
      <c r="A652" s="392" t="n">
        <v>648</v>
      </c>
      <c r="B652" s="392" t="inlineStr">
        <is>
          <t>⑬計量工程入力</t>
        </is>
      </c>
      <c r="C652" s="392" t="n">
        <v>6</v>
      </c>
      <c r="D652" s="392">
        <f>⑬計量工程入力!C6</f>
        <v/>
      </c>
      <c r="E652" s="393">
        <f>⑬計量工程入力!I6</f>
        <v/>
      </c>
      <c r="F652" s="393">
        <f>⑬計量工程入力!J6</f>
        <v/>
      </c>
      <c r="G652" s="393">
        <f>⑬計量工程入力!M6</f>
        <v/>
      </c>
      <c r="H652" s="393">
        <f>⑬計量工程入力!N6</f>
        <v/>
      </c>
      <c r="I652" s="393">
        <f>⑬計量工程入力!O6</f>
        <v/>
      </c>
    </row>
    <row r="653">
      <c r="A653" s="392" t="n">
        <v>649</v>
      </c>
      <c r="B653" s="392" t="inlineStr">
        <is>
          <t>⑬計量工程入力</t>
        </is>
      </c>
      <c r="C653" s="392" t="n">
        <v>7</v>
      </c>
      <c r="D653" s="392">
        <f>⑬計量工程入力!C7</f>
        <v/>
      </c>
      <c r="E653" s="393">
        <f>⑬計量工程入力!I7</f>
        <v/>
      </c>
      <c r="F653" s="393">
        <f>⑬計量工程入力!J7</f>
        <v/>
      </c>
      <c r="G653" s="393">
        <f>⑬計量工程入力!M7</f>
        <v/>
      </c>
      <c r="H653" s="393">
        <f>⑬計量工程入力!N7</f>
        <v/>
      </c>
      <c r="I653" s="393">
        <f>⑬計量工程入力!O7</f>
        <v/>
      </c>
    </row>
    <row r="654">
      <c r="A654" s="392" t="n">
        <v>650</v>
      </c>
      <c r="B654" s="392" t="inlineStr">
        <is>
          <t>⑬計量工程入力</t>
        </is>
      </c>
      <c r="C654" s="392" t="n">
        <v>8</v>
      </c>
      <c r="D654" s="392">
        <f>⑬計量工程入力!C8</f>
        <v/>
      </c>
      <c r="E654" s="393">
        <f>⑬計量工程入力!I8</f>
        <v/>
      </c>
      <c r="F654" s="393">
        <f>⑬計量工程入力!J8</f>
        <v/>
      </c>
      <c r="G654" s="393">
        <f>⑬計量工程入力!M8</f>
        <v/>
      </c>
      <c r="H654" s="393">
        <f>⑬計量工程入力!N8</f>
        <v/>
      </c>
      <c r="I654" s="393">
        <f>⑬計量工程入力!O8</f>
        <v/>
      </c>
    </row>
    <row r="655">
      <c r="A655" s="392" t="n">
        <v>651</v>
      </c>
      <c r="B655" s="392" t="inlineStr">
        <is>
          <t>⑬計量工程入力</t>
        </is>
      </c>
      <c r="C655" s="392" t="n">
        <v>9</v>
      </c>
      <c r="D655" s="392">
        <f>⑬計量工程入力!C9</f>
        <v/>
      </c>
      <c r="E655" s="393">
        <f>⑬計量工程入力!I9</f>
        <v/>
      </c>
      <c r="F655" s="393">
        <f>⑬計量工程入力!J9</f>
        <v/>
      </c>
      <c r="G655" s="393">
        <f>⑬計量工程入力!M9</f>
        <v/>
      </c>
      <c r="H655" s="393">
        <f>⑬計量工程入力!N9</f>
        <v/>
      </c>
      <c r="I655" s="393">
        <f>⑬計量工程入力!O9</f>
        <v/>
      </c>
    </row>
    <row r="656">
      <c r="A656" s="392" t="n">
        <v>652</v>
      </c>
      <c r="B656" s="392" t="inlineStr">
        <is>
          <t>⑬計量工程入力</t>
        </is>
      </c>
      <c r="C656" s="392" t="n">
        <v>10</v>
      </c>
      <c r="D656" s="392">
        <f>⑬計量工程入力!C10</f>
        <v/>
      </c>
      <c r="E656" s="393">
        <f>⑬計量工程入力!I10</f>
        <v/>
      </c>
      <c r="F656" s="393">
        <f>⑬計量工程入力!J10</f>
        <v/>
      </c>
      <c r="G656" s="393">
        <f>⑬計量工程入力!M10</f>
        <v/>
      </c>
      <c r="H656" s="393">
        <f>⑬計量工程入力!N10</f>
        <v/>
      </c>
      <c r="I656" s="393">
        <f>⑬計量工程入力!O10</f>
        <v/>
      </c>
    </row>
    <row r="657">
      <c r="A657" s="392" t="n">
        <v>653</v>
      </c>
      <c r="B657" s="392" t="inlineStr">
        <is>
          <t>⑬計量工程入力</t>
        </is>
      </c>
      <c r="C657" s="392" t="n">
        <v>11</v>
      </c>
      <c r="D657" s="392">
        <f>⑬計量工程入力!C11</f>
        <v/>
      </c>
      <c r="E657" s="393">
        <f>⑬計量工程入力!I11</f>
        <v/>
      </c>
      <c r="F657" s="393">
        <f>⑬計量工程入力!J11</f>
        <v/>
      </c>
      <c r="G657" s="393">
        <f>⑬計量工程入力!M11</f>
        <v/>
      </c>
      <c r="H657" s="393">
        <f>⑬計量工程入力!N11</f>
        <v/>
      </c>
      <c r="I657" s="393">
        <f>⑬計量工程入力!O11</f>
        <v/>
      </c>
    </row>
    <row r="658">
      <c r="A658" s="392" t="n">
        <v>654</v>
      </c>
      <c r="B658" s="392" t="inlineStr">
        <is>
          <t>⑬計量工程入力</t>
        </is>
      </c>
      <c r="C658" s="392" t="n">
        <v>12</v>
      </c>
      <c r="D658" s="392">
        <f>⑬計量工程入力!C12</f>
        <v/>
      </c>
      <c r="E658" s="393">
        <f>⑬計量工程入力!I12</f>
        <v/>
      </c>
      <c r="F658" s="393">
        <f>⑬計量工程入力!J12</f>
        <v/>
      </c>
      <c r="G658" s="393">
        <f>⑬計量工程入力!M12</f>
        <v/>
      </c>
      <c r="H658" s="393">
        <f>⑬計量工程入力!N12</f>
        <v/>
      </c>
      <c r="I658" s="393">
        <f>⑬計量工程入力!O12</f>
        <v/>
      </c>
    </row>
    <row r="659">
      <c r="A659" s="392" t="n">
        <v>655</v>
      </c>
      <c r="B659" s="392" t="inlineStr">
        <is>
          <t>⑬計量工程入力</t>
        </is>
      </c>
      <c r="C659" s="392" t="n">
        <v>13</v>
      </c>
      <c r="D659" s="392">
        <f>⑬計量工程入力!C13</f>
        <v/>
      </c>
      <c r="E659" s="393">
        <f>⑬計量工程入力!I13</f>
        <v/>
      </c>
      <c r="F659" s="393">
        <f>⑬計量工程入力!J13</f>
        <v/>
      </c>
      <c r="G659" s="393">
        <f>⑬計量工程入力!M13</f>
        <v/>
      </c>
      <c r="H659" s="393">
        <f>⑬計量工程入力!N13</f>
        <v/>
      </c>
      <c r="I659" s="393">
        <f>⑬計量工程入力!O13</f>
        <v/>
      </c>
    </row>
    <row r="660">
      <c r="A660" s="392" t="n">
        <v>656</v>
      </c>
      <c r="B660" s="392" t="inlineStr">
        <is>
          <t>⑬計量工程入力</t>
        </is>
      </c>
      <c r="C660" s="392" t="n">
        <v>14</v>
      </c>
      <c r="D660" s="392">
        <f>⑬計量工程入力!C14</f>
        <v/>
      </c>
      <c r="E660" s="393">
        <f>⑬計量工程入力!I14</f>
        <v/>
      </c>
      <c r="F660" s="393">
        <f>⑬計量工程入力!J14</f>
        <v/>
      </c>
      <c r="G660" s="393">
        <f>⑬計量工程入力!M14</f>
        <v/>
      </c>
      <c r="H660" s="393">
        <f>⑬計量工程入力!N14</f>
        <v/>
      </c>
      <c r="I660" s="393">
        <f>⑬計量工程入力!O14</f>
        <v/>
      </c>
    </row>
    <row r="661">
      <c r="A661" s="392" t="n">
        <v>657</v>
      </c>
      <c r="B661" s="392" t="inlineStr">
        <is>
          <t>⑬計量工程入力</t>
        </is>
      </c>
      <c r="C661" s="392" t="n">
        <v>15</v>
      </c>
      <c r="D661" s="392">
        <f>⑬計量工程入力!C15</f>
        <v/>
      </c>
      <c r="E661" s="393">
        <f>⑬計量工程入力!I15</f>
        <v/>
      </c>
      <c r="F661" s="393">
        <f>⑬計量工程入力!J15</f>
        <v/>
      </c>
      <c r="G661" s="393">
        <f>⑬計量工程入力!M15</f>
        <v/>
      </c>
      <c r="H661" s="393">
        <f>⑬計量工程入力!N15</f>
        <v/>
      </c>
      <c r="I661" s="393">
        <f>⑬計量工程入力!O15</f>
        <v/>
      </c>
    </row>
    <row r="662">
      <c r="A662" s="392" t="n">
        <v>658</v>
      </c>
      <c r="B662" s="392" t="inlineStr">
        <is>
          <t>⑬計量工程入力</t>
        </is>
      </c>
      <c r="C662" s="392" t="n">
        <v>16</v>
      </c>
      <c r="D662" s="392">
        <f>⑬計量工程入力!C16</f>
        <v/>
      </c>
      <c r="E662" s="393">
        <f>⑬計量工程入力!I16</f>
        <v/>
      </c>
      <c r="F662" s="393">
        <f>⑬計量工程入力!J16</f>
        <v/>
      </c>
      <c r="G662" s="393">
        <f>⑬計量工程入力!M16</f>
        <v/>
      </c>
      <c r="H662" s="393">
        <f>⑬計量工程入力!N16</f>
        <v/>
      </c>
      <c r="I662" s="393">
        <f>⑬計量工程入力!O16</f>
        <v/>
      </c>
    </row>
    <row r="663">
      <c r="A663" s="392" t="n">
        <v>659</v>
      </c>
      <c r="B663" s="392" t="inlineStr">
        <is>
          <t>⑬計量工程入力</t>
        </is>
      </c>
      <c r="C663" s="392" t="n">
        <v>17</v>
      </c>
      <c r="D663" s="392">
        <f>⑬計量工程入力!C17</f>
        <v/>
      </c>
      <c r="E663" s="393">
        <f>⑬計量工程入力!I17</f>
        <v/>
      </c>
      <c r="F663" s="393">
        <f>⑬計量工程入力!J17</f>
        <v/>
      </c>
      <c r="G663" s="393">
        <f>⑬計量工程入力!M17</f>
        <v/>
      </c>
      <c r="H663" s="393">
        <f>⑬計量工程入力!N17</f>
        <v/>
      </c>
      <c r="I663" s="393">
        <f>⑬計量工程入力!O17</f>
        <v/>
      </c>
    </row>
    <row r="664">
      <c r="A664" s="392" t="n">
        <v>660</v>
      </c>
      <c r="B664" s="392" t="inlineStr">
        <is>
          <t>⑬計量工程入力</t>
        </is>
      </c>
      <c r="C664" s="392" t="n">
        <v>18</v>
      </c>
      <c r="D664" s="392">
        <f>⑬計量工程入力!C18</f>
        <v/>
      </c>
      <c r="E664" s="393">
        <f>⑬計量工程入力!I18</f>
        <v/>
      </c>
      <c r="F664" s="393">
        <f>⑬計量工程入力!J18</f>
        <v/>
      </c>
      <c r="G664" s="393">
        <f>⑬計量工程入力!M18</f>
        <v/>
      </c>
      <c r="H664" s="393">
        <f>⑬計量工程入力!N18</f>
        <v/>
      </c>
      <c r="I664" s="393">
        <f>⑬計量工程入力!O18</f>
        <v/>
      </c>
    </row>
    <row r="665">
      <c r="A665" s="392" t="n">
        <v>661</v>
      </c>
      <c r="B665" s="392" t="inlineStr">
        <is>
          <t>⑬計量工程入力</t>
        </is>
      </c>
      <c r="C665" s="392" t="n">
        <v>19</v>
      </c>
      <c r="D665" s="392">
        <f>⑬計量工程入力!C19</f>
        <v/>
      </c>
      <c r="E665" s="393">
        <f>⑬計量工程入力!I19</f>
        <v/>
      </c>
      <c r="F665" s="393">
        <f>⑬計量工程入力!J19</f>
        <v/>
      </c>
      <c r="G665" s="393">
        <f>⑬計量工程入力!M19</f>
        <v/>
      </c>
      <c r="H665" s="393">
        <f>⑬計量工程入力!N19</f>
        <v/>
      </c>
      <c r="I665" s="393">
        <f>⑬計量工程入力!O19</f>
        <v/>
      </c>
    </row>
    <row r="666">
      <c r="A666" s="392" t="n">
        <v>662</v>
      </c>
      <c r="B666" s="392" t="inlineStr">
        <is>
          <t>⑬計量工程入力</t>
        </is>
      </c>
      <c r="C666" s="392" t="n">
        <v>20</v>
      </c>
      <c r="D666" s="392">
        <f>⑬計量工程入力!C20</f>
        <v/>
      </c>
      <c r="E666" s="393">
        <f>⑬計量工程入力!I20</f>
        <v/>
      </c>
      <c r="F666" s="393">
        <f>⑬計量工程入力!J20</f>
        <v/>
      </c>
      <c r="G666" s="393">
        <f>⑬計量工程入力!M20</f>
        <v/>
      </c>
      <c r="H666" s="393">
        <f>⑬計量工程入力!N20</f>
        <v/>
      </c>
      <c r="I666" s="393">
        <f>⑬計量工程入力!O20</f>
        <v/>
      </c>
    </row>
    <row r="667">
      <c r="A667" s="392" t="n">
        <v>663</v>
      </c>
      <c r="B667" s="392" t="inlineStr">
        <is>
          <t>⑬計量工程入力</t>
        </is>
      </c>
      <c r="C667" s="392" t="n">
        <v>21</v>
      </c>
      <c r="D667" s="392">
        <f>⑬計量工程入力!C21</f>
        <v/>
      </c>
      <c r="E667" s="393">
        <f>⑬計量工程入力!I21</f>
        <v/>
      </c>
      <c r="F667" s="393">
        <f>⑬計量工程入力!J21</f>
        <v/>
      </c>
      <c r="G667" s="393">
        <f>⑬計量工程入力!M21</f>
        <v/>
      </c>
      <c r="H667" s="393">
        <f>⑬計量工程入力!N21</f>
        <v/>
      </c>
      <c r="I667" s="393">
        <f>⑬計量工程入力!O21</f>
        <v/>
      </c>
    </row>
    <row r="668">
      <c r="A668" s="392" t="n">
        <v>664</v>
      </c>
      <c r="B668" s="392" t="inlineStr">
        <is>
          <t>⑬計量工程入力</t>
        </is>
      </c>
      <c r="C668" s="392" t="n">
        <v>22</v>
      </c>
      <c r="D668" s="392">
        <f>⑬計量工程入力!C22</f>
        <v/>
      </c>
      <c r="E668" s="393">
        <f>⑬計量工程入力!I22</f>
        <v/>
      </c>
      <c r="F668" s="393">
        <f>⑬計量工程入力!J22</f>
        <v/>
      </c>
      <c r="G668" s="393">
        <f>⑬計量工程入力!M22</f>
        <v/>
      </c>
      <c r="H668" s="393">
        <f>⑬計量工程入力!N22</f>
        <v/>
      </c>
      <c r="I668" s="393">
        <f>⑬計量工程入力!O22</f>
        <v/>
      </c>
    </row>
    <row r="669">
      <c r="A669" s="392" t="n">
        <v>665</v>
      </c>
      <c r="B669" s="392" t="inlineStr">
        <is>
          <t>⑬計量工程入力</t>
        </is>
      </c>
      <c r="C669" s="392" t="n">
        <v>23</v>
      </c>
      <c r="D669" s="392">
        <f>⑬計量工程入力!C23</f>
        <v/>
      </c>
      <c r="E669" s="393">
        <f>⑬計量工程入力!I23</f>
        <v/>
      </c>
      <c r="F669" s="393">
        <f>⑬計量工程入力!J23</f>
        <v/>
      </c>
      <c r="G669" s="393">
        <f>⑬計量工程入力!M23</f>
        <v/>
      </c>
      <c r="H669" s="393">
        <f>⑬計量工程入力!N23</f>
        <v/>
      </c>
      <c r="I669" s="393">
        <f>⑬計量工程入力!O23</f>
        <v/>
      </c>
    </row>
    <row r="670">
      <c r="A670" s="392" t="n">
        <v>666</v>
      </c>
      <c r="B670" s="392" t="inlineStr">
        <is>
          <t>⑬計量工程入力</t>
        </is>
      </c>
      <c r="C670" s="392" t="n">
        <v>24</v>
      </c>
      <c r="D670" s="392">
        <f>⑬計量工程入力!C24</f>
        <v/>
      </c>
      <c r="E670" s="393">
        <f>⑬計量工程入力!I24</f>
        <v/>
      </c>
      <c r="F670" s="393">
        <f>⑬計量工程入力!J24</f>
        <v/>
      </c>
      <c r="G670" s="393">
        <f>⑬計量工程入力!M24</f>
        <v/>
      </c>
      <c r="H670" s="393">
        <f>⑬計量工程入力!N24</f>
        <v/>
      </c>
      <c r="I670" s="393">
        <f>⑬計量工程入力!O24</f>
        <v/>
      </c>
    </row>
    <row r="671">
      <c r="A671" s="392" t="n">
        <v>667</v>
      </c>
      <c r="B671" s="392" t="inlineStr">
        <is>
          <t>⑬計量工程入力</t>
        </is>
      </c>
      <c r="C671" s="392" t="n">
        <v>25</v>
      </c>
      <c r="D671" s="392">
        <f>⑬計量工程入力!C25</f>
        <v/>
      </c>
      <c r="E671" s="393">
        <f>⑬計量工程入力!I25</f>
        <v/>
      </c>
      <c r="F671" s="393">
        <f>⑬計量工程入力!J25</f>
        <v/>
      </c>
      <c r="G671" s="393">
        <f>⑬計量工程入力!M25</f>
        <v/>
      </c>
      <c r="H671" s="393">
        <f>⑬計量工程入力!N25</f>
        <v/>
      </c>
      <c r="I671" s="393">
        <f>⑬計量工程入力!O25</f>
        <v/>
      </c>
    </row>
    <row r="672">
      <c r="A672" s="392" t="n">
        <v>668</v>
      </c>
      <c r="B672" s="392" t="inlineStr">
        <is>
          <t>⑬計量工程入力</t>
        </is>
      </c>
      <c r="C672" s="392" t="n">
        <v>26</v>
      </c>
      <c r="D672" s="392">
        <f>⑬計量工程入力!C26</f>
        <v/>
      </c>
      <c r="E672" s="393">
        <f>⑬計量工程入力!I26</f>
        <v/>
      </c>
      <c r="F672" s="393">
        <f>⑬計量工程入力!J26</f>
        <v/>
      </c>
      <c r="G672" s="393">
        <f>⑬計量工程入力!M26</f>
        <v/>
      </c>
      <c r="H672" s="393">
        <f>⑬計量工程入力!N26</f>
        <v/>
      </c>
      <c r="I672" s="393">
        <f>⑬計量工程入力!O26</f>
        <v/>
      </c>
    </row>
    <row r="673">
      <c r="A673" s="392" t="n">
        <v>669</v>
      </c>
      <c r="B673" s="392" t="inlineStr">
        <is>
          <t>⑬計量工程入力</t>
        </is>
      </c>
      <c r="C673" s="392" t="n">
        <v>27</v>
      </c>
      <c r="D673" s="392">
        <f>⑬計量工程入力!C27</f>
        <v/>
      </c>
      <c r="E673" s="393">
        <f>⑬計量工程入力!I27</f>
        <v/>
      </c>
      <c r="F673" s="393">
        <f>⑬計量工程入力!J27</f>
        <v/>
      </c>
      <c r="G673" s="393">
        <f>⑬計量工程入力!M27</f>
        <v/>
      </c>
      <c r="H673" s="393">
        <f>⑬計量工程入力!N27</f>
        <v/>
      </c>
      <c r="I673" s="393">
        <f>⑬計量工程入力!O27</f>
        <v/>
      </c>
    </row>
    <row r="674">
      <c r="A674" s="392" t="n">
        <v>670</v>
      </c>
      <c r="B674" s="392" t="inlineStr">
        <is>
          <t>⑬計量工程入力</t>
        </is>
      </c>
      <c r="C674" s="392" t="n">
        <v>28</v>
      </c>
      <c r="D674" s="392">
        <f>⑬計量工程入力!C28</f>
        <v/>
      </c>
      <c r="E674" s="393">
        <f>⑬計量工程入力!I28</f>
        <v/>
      </c>
      <c r="F674" s="393">
        <f>⑬計量工程入力!J28</f>
        <v/>
      </c>
      <c r="G674" s="393">
        <f>⑬計量工程入力!M28</f>
        <v/>
      </c>
      <c r="H674" s="393">
        <f>⑬計量工程入力!N28</f>
        <v/>
      </c>
      <c r="I674" s="393">
        <f>⑬計量工程入力!O28</f>
        <v/>
      </c>
    </row>
    <row r="675">
      <c r="A675" s="392" t="n">
        <v>671</v>
      </c>
      <c r="B675" s="392" t="inlineStr">
        <is>
          <t>⑬計量工程入力</t>
        </is>
      </c>
      <c r="C675" s="392" t="n">
        <v>29</v>
      </c>
      <c r="D675" s="392">
        <f>⑬計量工程入力!C29</f>
        <v/>
      </c>
      <c r="E675" s="393">
        <f>⑬計量工程入力!I29</f>
        <v/>
      </c>
      <c r="F675" s="393">
        <f>⑬計量工程入力!J29</f>
        <v/>
      </c>
      <c r="G675" s="393">
        <f>⑬計量工程入力!M29</f>
        <v/>
      </c>
      <c r="H675" s="393">
        <f>⑬計量工程入力!N29</f>
        <v/>
      </c>
      <c r="I675" s="393">
        <f>⑬計量工程入力!O29</f>
        <v/>
      </c>
    </row>
    <row r="676">
      <c r="A676" s="392" t="n">
        <v>672</v>
      </c>
      <c r="B676" s="392" t="inlineStr">
        <is>
          <t>⑬計量工程入力</t>
        </is>
      </c>
      <c r="C676" s="392" t="n">
        <v>30</v>
      </c>
      <c r="D676" s="392">
        <f>⑬計量工程入力!C30</f>
        <v/>
      </c>
      <c r="E676" s="393">
        <f>⑬計量工程入力!I30</f>
        <v/>
      </c>
      <c r="F676" s="393">
        <f>⑬計量工程入力!J30</f>
        <v/>
      </c>
      <c r="G676" s="393">
        <f>⑬計量工程入力!M30</f>
        <v/>
      </c>
      <c r="H676" s="393">
        <f>⑬計量工程入力!N30</f>
        <v/>
      </c>
      <c r="I676" s="393">
        <f>⑬計量工程入力!O30</f>
        <v/>
      </c>
    </row>
    <row r="677">
      <c r="A677" s="392" t="n">
        <v>673</v>
      </c>
      <c r="B677" s="392" t="inlineStr">
        <is>
          <t>⑬計量工程入力</t>
        </is>
      </c>
      <c r="C677" s="392" t="n">
        <v>31</v>
      </c>
      <c r="D677" s="392">
        <f>⑬計量工程入力!C31</f>
        <v/>
      </c>
      <c r="E677" s="393">
        <f>⑬計量工程入力!I31</f>
        <v/>
      </c>
      <c r="F677" s="393">
        <f>⑬計量工程入力!J31</f>
        <v/>
      </c>
      <c r="G677" s="393">
        <f>⑬計量工程入力!M31</f>
        <v/>
      </c>
      <c r="H677" s="393">
        <f>⑬計量工程入力!N31</f>
        <v/>
      </c>
      <c r="I677" s="393">
        <f>⑬計量工程入力!O31</f>
        <v/>
      </c>
    </row>
    <row r="678">
      <c r="A678" s="392" t="n">
        <v>674</v>
      </c>
      <c r="B678" s="392" t="inlineStr">
        <is>
          <t>⑬計量工程入力</t>
        </is>
      </c>
      <c r="C678" s="392" t="n">
        <v>32</v>
      </c>
      <c r="D678" s="392">
        <f>⑬計量工程入力!C32</f>
        <v/>
      </c>
      <c r="E678" s="393">
        <f>⑬計量工程入力!I32</f>
        <v/>
      </c>
      <c r="F678" s="393">
        <f>⑬計量工程入力!J32</f>
        <v/>
      </c>
      <c r="G678" s="393">
        <f>⑬計量工程入力!M32</f>
        <v/>
      </c>
      <c r="H678" s="393">
        <f>⑬計量工程入力!N32</f>
        <v/>
      </c>
      <c r="I678" s="393">
        <f>⑬計量工程入力!O32</f>
        <v/>
      </c>
    </row>
    <row r="679">
      <c r="A679" s="392" t="n">
        <v>675</v>
      </c>
      <c r="B679" s="392" t="inlineStr">
        <is>
          <t>⑬計量工程入力</t>
        </is>
      </c>
      <c r="C679" s="392" t="n">
        <v>33</v>
      </c>
      <c r="D679" s="392">
        <f>⑬計量工程入力!C33</f>
        <v/>
      </c>
      <c r="E679" s="393">
        <f>⑬計量工程入力!I33</f>
        <v/>
      </c>
      <c r="F679" s="393">
        <f>⑬計量工程入力!J33</f>
        <v/>
      </c>
      <c r="G679" s="393">
        <f>⑬計量工程入力!M33</f>
        <v/>
      </c>
      <c r="H679" s="393">
        <f>⑬計量工程入力!N33</f>
        <v/>
      </c>
      <c r="I679" s="393">
        <f>⑬計量工程入力!O33</f>
        <v/>
      </c>
    </row>
    <row r="680">
      <c r="A680" s="392" t="n">
        <v>676</v>
      </c>
      <c r="B680" s="392" t="inlineStr">
        <is>
          <t>⑬計量工程入力</t>
        </is>
      </c>
      <c r="C680" s="392" t="n">
        <v>34</v>
      </c>
      <c r="D680" s="392">
        <f>⑬計量工程入力!C34</f>
        <v/>
      </c>
      <c r="E680" s="393">
        <f>⑬計量工程入力!I34</f>
        <v/>
      </c>
      <c r="F680" s="393">
        <f>⑬計量工程入力!J34</f>
        <v/>
      </c>
      <c r="G680" s="393">
        <f>⑬計量工程入力!M34</f>
        <v/>
      </c>
      <c r="H680" s="393">
        <f>⑬計量工程入力!N34</f>
        <v/>
      </c>
      <c r="I680" s="393">
        <f>⑬計量工程入力!O34</f>
        <v/>
      </c>
    </row>
    <row r="681">
      <c r="A681" s="392" t="n">
        <v>677</v>
      </c>
      <c r="B681" s="392" t="inlineStr">
        <is>
          <t>⑬計量工程入力</t>
        </is>
      </c>
      <c r="C681" s="392" t="n">
        <v>35</v>
      </c>
      <c r="D681" s="392">
        <f>⑬計量工程入力!C35</f>
        <v/>
      </c>
      <c r="E681" s="393">
        <f>⑬計量工程入力!I35</f>
        <v/>
      </c>
      <c r="F681" s="393">
        <f>⑬計量工程入力!J35</f>
        <v/>
      </c>
      <c r="G681" s="393">
        <f>⑬計量工程入力!M35</f>
        <v/>
      </c>
      <c r="H681" s="393">
        <f>⑬計量工程入力!N35</f>
        <v/>
      </c>
      <c r="I681" s="393">
        <f>⑬計量工程入力!O35</f>
        <v/>
      </c>
    </row>
    <row r="682">
      <c r="A682" s="392" t="n">
        <v>678</v>
      </c>
      <c r="B682" s="392" t="inlineStr">
        <is>
          <t>⑬計量工程入力</t>
        </is>
      </c>
      <c r="C682" s="392" t="n">
        <v>36</v>
      </c>
      <c r="D682" s="392">
        <f>⑬計量工程入力!C36</f>
        <v/>
      </c>
      <c r="E682" s="393">
        <f>⑬計量工程入力!I36</f>
        <v/>
      </c>
      <c r="F682" s="393">
        <f>⑬計量工程入力!J36</f>
        <v/>
      </c>
      <c r="G682" s="393">
        <f>⑬計量工程入力!M36</f>
        <v/>
      </c>
      <c r="H682" s="393">
        <f>⑬計量工程入力!N36</f>
        <v/>
      </c>
      <c r="I682" s="393">
        <f>⑬計量工程入力!O36</f>
        <v/>
      </c>
    </row>
    <row r="683">
      <c r="A683" s="392" t="n">
        <v>679</v>
      </c>
      <c r="B683" s="392" t="inlineStr">
        <is>
          <t>⑬計量工程入力</t>
        </is>
      </c>
      <c r="C683" s="392" t="n">
        <v>37</v>
      </c>
      <c r="D683" s="392">
        <f>⑬計量工程入力!C37</f>
        <v/>
      </c>
      <c r="E683" s="393">
        <f>⑬計量工程入力!I37</f>
        <v/>
      </c>
      <c r="F683" s="393">
        <f>⑬計量工程入力!J37</f>
        <v/>
      </c>
      <c r="G683" s="393">
        <f>⑬計量工程入力!M37</f>
        <v/>
      </c>
      <c r="H683" s="393">
        <f>⑬計量工程入力!N37</f>
        <v/>
      </c>
      <c r="I683" s="393">
        <f>⑬計量工程入力!O37</f>
        <v/>
      </c>
    </row>
    <row r="684">
      <c r="A684" s="392" t="n">
        <v>680</v>
      </c>
      <c r="B684" s="392" t="inlineStr">
        <is>
          <t>⑬計量工程入力</t>
        </is>
      </c>
      <c r="C684" s="392" t="n">
        <v>38</v>
      </c>
      <c r="D684" s="392">
        <f>⑬計量工程入力!C38</f>
        <v/>
      </c>
      <c r="E684" s="393">
        <f>⑬計量工程入力!I38</f>
        <v/>
      </c>
      <c r="F684" s="393">
        <f>⑬計量工程入力!J38</f>
        <v/>
      </c>
      <c r="G684" s="393">
        <f>⑬計量工程入力!M38</f>
        <v/>
      </c>
      <c r="H684" s="393">
        <f>⑬計量工程入力!N38</f>
        <v/>
      </c>
      <c r="I684" s="393">
        <f>⑬計量工程入力!O38</f>
        <v/>
      </c>
    </row>
    <row r="685">
      <c r="A685" s="392" t="n">
        <v>681</v>
      </c>
      <c r="B685" s="392" t="inlineStr">
        <is>
          <t>⑬計量工程入力</t>
        </is>
      </c>
      <c r="C685" s="392" t="n">
        <v>39</v>
      </c>
      <c r="D685" s="392">
        <f>⑬計量工程入力!C39</f>
        <v/>
      </c>
      <c r="E685" s="393">
        <f>⑬計量工程入力!I39</f>
        <v/>
      </c>
      <c r="F685" s="393">
        <f>⑬計量工程入力!J39</f>
        <v/>
      </c>
      <c r="G685" s="393">
        <f>⑬計量工程入力!M39</f>
        <v/>
      </c>
      <c r="H685" s="393">
        <f>⑬計量工程入力!N39</f>
        <v/>
      </c>
      <c r="I685" s="393">
        <f>⑬計量工程入力!O39</f>
        <v/>
      </c>
    </row>
    <row r="686">
      <c r="A686" s="392" t="n">
        <v>682</v>
      </c>
      <c r="B686" s="392" t="inlineStr">
        <is>
          <t>⑬計量工程入力</t>
        </is>
      </c>
      <c r="C686" s="392" t="n">
        <v>40</v>
      </c>
      <c r="D686" s="392">
        <f>⑬計量工程入力!C40</f>
        <v/>
      </c>
      <c r="E686" s="393">
        <f>⑬計量工程入力!I40</f>
        <v/>
      </c>
      <c r="F686" s="393">
        <f>⑬計量工程入力!J40</f>
        <v/>
      </c>
      <c r="G686" s="393">
        <f>⑬計量工程入力!M40</f>
        <v/>
      </c>
      <c r="H686" s="393">
        <f>⑬計量工程入力!N40</f>
        <v/>
      </c>
      <c r="I686" s="393">
        <f>⑬計量工程入力!O40</f>
        <v/>
      </c>
    </row>
    <row r="687">
      <c r="A687" s="392" t="n">
        <v>683</v>
      </c>
      <c r="B687" s="392" t="inlineStr">
        <is>
          <t>⑬計量工程入力</t>
        </is>
      </c>
      <c r="C687" s="392" t="n">
        <v>41</v>
      </c>
      <c r="D687" s="392">
        <f>⑬計量工程入力!C41</f>
        <v/>
      </c>
      <c r="E687" s="393">
        <f>⑬計量工程入力!I41</f>
        <v/>
      </c>
      <c r="F687" s="393">
        <f>⑬計量工程入力!J41</f>
        <v/>
      </c>
      <c r="G687" s="393">
        <f>⑬計量工程入力!M41</f>
        <v/>
      </c>
      <c r="H687" s="393">
        <f>⑬計量工程入力!N41</f>
        <v/>
      </c>
      <c r="I687" s="393">
        <f>⑬計量工程入力!O41</f>
        <v/>
      </c>
    </row>
    <row r="688">
      <c r="A688" s="392" t="n">
        <v>684</v>
      </c>
      <c r="B688" s="392" t="inlineStr">
        <is>
          <t>⑬計量工程入力</t>
        </is>
      </c>
      <c r="C688" s="392" t="n">
        <v>42</v>
      </c>
      <c r="D688" s="392">
        <f>⑬計量工程入力!C42</f>
        <v/>
      </c>
      <c r="E688" s="393">
        <f>⑬計量工程入力!I42</f>
        <v/>
      </c>
      <c r="F688" s="393">
        <f>⑬計量工程入力!J42</f>
        <v/>
      </c>
      <c r="G688" s="393">
        <f>⑬計量工程入力!M42</f>
        <v/>
      </c>
      <c r="H688" s="393">
        <f>⑬計量工程入力!N42</f>
        <v/>
      </c>
      <c r="I688" s="393">
        <f>⑬計量工程入力!O42</f>
        <v/>
      </c>
    </row>
    <row r="689">
      <c r="A689" s="392" t="n">
        <v>685</v>
      </c>
      <c r="B689" s="392" t="inlineStr">
        <is>
          <t>⑬計量工程入力</t>
        </is>
      </c>
      <c r="C689" s="392" t="n">
        <v>43</v>
      </c>
      <c r="D689" s="392">
        <f>⑬計量工程入力!C43</f>
        <v/>
      </c>
      <c r="E689" s="393">
        <f>⑬計量工程入力!I43</f>
        <v/>
      </c>
      <c r="F689" s="393">
        <f>⑬計量工程入力!J43</f>
        <v/>
      </c>
      <c r="G689" s="393">
        <f>⑬計量工程入力!M43</f>
        <v/>
      </c>
      <c r="H689" s="393">
        <f>⑬計量工程入力!N43</f>
        <v/>
      </c>
      <c r="I689" s="393">
        <f>⑬計量工程入力!O43</f>
        <v/>
      </c>
    </row>
    <row r="690">
      <c r="A690" s="392" t="n">
        <v>686</v>
      </c>
      <c r="B690" s="392" t="inlineStr">
        <is>
          <t>⑬計量工程入力</t>
        </is>
      </c>
      <c r="C690" s="392" t="n">
        <v>44</v>
      </c>
      <c r="D690" s="392">
        <f>⑬計量工程入力!C44</f>
        <v/>
      </c>
      <c r="E690" s="393">
        <f>⑬計量工程入力!I44</f>
        <v/>
      </c>
      <c r="F690" s="393">
        <f>⑬計量工程入力!J44</f>
        <v/>
      </c>
      <c r="G690" s="393">
        <f>⑬計量工程入力!M44</f>
        <v/>
      </c>
      <c r="H690" s="393">
        <f>⑬計量工程入力!N44</f>
        <v/>
      </c>
      <c r="I690" s="393">
        <f>⑬計量工程入力!O44</f>
        <v/>
      </c>
    </row>
    <row r="691">
      <c r="A691" s="392" t="n">
        <v>687</v>
      </c>
      <c r="B691" s="392" t="inlineStr">
        <is>
          <t>⑬計量工程入力</t>
        </is>
      </c>
      <c r="C691" s="392" t="n">
        <v>45</v>
      </c>
      <c r="D691" s="392">
        <f>⑬計量工程入力!C45</f>
        <v/>
      </c>
      <c r="E691" s="393">
        <f>⑬計量工程入力!I45</f>
        <v/>
      </c>
      <c r="F691" s="393">
        <f>⑬計量工程入力!J45</f>
        <v/>
      </c>
      <c r="G691" s="393">
        <f>⑬計量工程入力!M45</f>
        <v/>
      </c>
      <c r="H691" s="393">
        <f>⑬計量工程入力!N45</f>
        <v/>
      </c>
      <c r="I691" s="393">
        <f>⑬計量工程入力!O45</f>
        <v/>
      </c>
    </row>
    <row r="692">
      <c r="A692" s="392" t="n">
        <v>688</v>
      </c>
      <c r="B692" s="392" t="inlineStr">
        <is>
          <t>⑬計量工程入力</t>
        </is>
      </c>
      <c r="C692" s="392" t="n">
        <v>46</v>
      </c>
      <c r="D692" s="392">
        <f>⑬計量工程入力!C46</f>
        <v/>
      </c>
      <c r="E692" s="393">
        <f>⑬計量工程入力!I46</f>
        <v/>
      </c>
      <c r="F692" s="393">
        <f>⑬計量工程入力!J46</f>
        <v/>
      </c>
      <c r="G692" s="393">
        <f>⑬計量工程入力!M46</f>
        <v/>
      </c>
      <c r="H692" s="393">
        <f>⑬計量工程入力!N46</f>
        <v/>
      </c>
      <c r="I692" s="393">
        <f>⑬計量工程入力!O46</f>
        <v/>
      </c>
    </row>
    <row r="693">
      <c r="A693" s="392" t="n">
        <v>689</v>
      </c>
      <c r="B693" s="392" t="inlineStr">
        <is>
          <t>⑬計量工程入力</t>
        </is>
      </c>
      <c r="C693" s="392" t="n">
        <v>47</v>
      </c>
      <c r="D693" s="392">
        <f>⑬計量工程入力!C47</f>
        <v/>
      </c>
      <c r="E693" s="393">
        <f>⑬計量工程入力!I47</f>
        <v/>
      </c>
      <c r="F693" s="393">
        <f>⑬計量工程入力!J47</f>
        <v/>
      </c>
      <c r="G693" s="393">
        <f>⑬計量工程入力!M47</f>
        <v/>
      </c>
      <c r="H693" s="393">
        <f>⑬計量工程入力!N47</f>
        <v/>
      </c>
      <c r="I693" s="393">
        <f>⑬計量工程入力!O47</f>
        <v/>
      </c>
    </row>
    <row r="694">
      <c r="A694" s="392" t="n">
        <v>690</v>
      </c>
      <c r="B694" s="392" t="inlineStr">
        <is>
          <t>⑬計量工程入力</t>
        </is>
      </c>
      <c r="C694" s="392" t="n">
        <v>48</v>
      </c>
      <c r="D694" s="392">
        <f>⑬計量工程入力!C48</f>
        <v/>
      </c>
      <c r="E694" s="393">
        <f>⑬計量工程入力!I48</f>
        <v/>
      </c>
      <c r="F694" s="393">
        <f>⑬計量工程入力!J48</f>
        <v/>
      </c>
      <c r="G694" s="393">
        <f>⑬計量工程入力!M48</f>
        <v/>
      </c>
      <c r="H694" s="393">
        <f>⑬計量工程入力!N48</f>
        <v/>
      </c>
      <c r="I694" s="393">
        <f>⑬計量工程入力!O48</f>
        <v/>
      </c>
    </row>
    <row r="695">
      <c r="A695" s="392" t="n">
        <v>691</v>
      </c>
      <c r="B695" s="392" t="inlineStr">
        <is>
          <t>⑬計量工程入力</t>
        </is>
      </c>
      <c r="C695" s="392" t="n">
        <v>49</v>
      </c>
      <c r="D695" s="392">
        <f>⑬計量工程入力!C49</f>
        <v/>
      </c>
      <c r="E695" s="393">
        <f>⑬計量工程入力!I49</f>
        <v/>
      </c>
      <c r="F695" s="393">
        <f>⑬計量工程入力!J49</f>
        <v/>
      </c>
      <c r="G695" s="393">
        <f>⑬計量工程入力!M49</f>
        <v/>
      </c>
      <c r="H695" s="393">
        <f>⑬計量工程入力!N49</f>
        <v/>
      </c>
      <c r="I695" s="393">
        <f>⑬計量工程入力!O49</f>
        <v/>
      </c>
    </row>
    <row r="696">
      <c r="A696" s="392" t="n">
        <v>692</v>
      </c>
      <c r="B696" s="392" t="inlineStr">
        <is>
          <t>⑬計量工程入力</t>
        </is>
      </c>
      <c r="C696" s="392" t="n">
        <v>50</v>
      </c>
      <c r="D696" s="392">
        <f>⑬計量工程入力!C50</f>
        <v/>
      </c>
      <c r="E696" s="393">
        <f>⑬計量工程入力!I50</f>
        <v/>
      </c>
      <c r="F696" s="393">
        <f>⑬計量工程入力!J50</f>
        <v/>
      </c>
      <c r="G696" s="393">
        <f>⑬計量工程入力!M50</f>
        <v/>
      </c>
      <c r="H696" s="393">
        <f>⑬計量工程入力!N50</f>
        <v/>
      </c>
      <c r="I696" s="393">
        <f>⑬計量工程入力!O50</f>
        <v/>
      </c>
    </row>
    <row r="697">
      <c r="A697" s="392" t="n">
        <v>693</v>
      </c>
      <c r="B697" s="392" t="inlineStr">
        <is>
          <t>⑬計量工程入力</t>
        </is>
      </c>
      <c r="C697" s="392" t="n">
        <v>51</v>
      </c>
      <c r="D697" s="392">
        <f>⑬計量工程入力!C51</f>
        <v/>
      </c>
      <c r="E697" s="393">
        <f>⑬計量工程入力!I51</f>
        <v/>
      </c>
      <c r="F697" s="393">
        <f>⑬計量工程入力!J51</f>
        <v/>
      </c>
      <c r="G697" s="393">
        <f>⑬計量工程入力!M51</f>
        <v/>
      </c>
      <c r="H697" s="393">
        <f>⑬計量工程入力!N51</f>
        <v/>
      </c>
      <c r="I697" s="393">
        <f>⑬計量工程入力!O51</f>
        <v/>
      </c>
    </row>
    <row r="698">
      <c r="A698" s="392" t="n">
        <v>694</v>
      </c>
      <c r="B698" s="392" t="inlineStr">
        <is>
          <t>⑬計量工程入力</t>
        </is>
      </c>
      <c r="C698" s="392" t="n">
        <v>52</v>
      </c>
      <c r="D698" s="392">
        <f>⑬計量工程入力!C52</f>
        <v/>
      </c>
      <c r="E698" s="393">
        <f>⑬計量工程入力!I52</f>
        <v/>
      </c>
      <c r="F698" s="393">
        <f>⑬計量工程入力!J52</f>
        <v/>
      </c>
      <c r="G698" s="393">
        <f>⑬計量工程入力!M52</f>
        <v/>
      </c>
      <c r="H698" s="393">
        <f>⑬計量工程入力!N52</f>
        <v/>
      </c>
      <c r="I698" s="393">
        <f>⑬計量工程入力!O52</f>
        <v/>
      </c>
    </row>
    <row r="699">
      <c r="A699" s="392" t="n">
        <v>695</v>
      </c>
      <c r="B699" s="392" t="inlineStr">
        <is>
          <t>⑬計量工程入力</t>
        </is>
      </c>
      <c r="C699" s="392" t="n">
        <v>53</v>
      </c>
      <c r="D699" s="392">
        <f>⑬計量工程入力!C53</f>
        <v/>
      </c>
      <c r="E699" s="393">
        <f>⑬計量工程入力!I53</f>
        <v/>
      </c>
      <c r="F699" s="393">
        <f>⑬計量工程入力!J53</f>
        <v/>
      </c>
      <c r="G699" s="393">
        <f>⑬計量工程入力!M53</f>
        <v/>
      </c>
      <c r="H699" s="393">
        <f>⑬計量工程入力!N53</f>
        <v/>
      </c>
      <c r="I699" s="393">
        <f>⑬計量工程入力!O53</f>
        <v/>
      </c>
    </row>
    <row r="700">
      <c r="A700" s="392" t="n">
        <v>696</v>
      </c>
      <c r="B700" s="392" t="inlineStr">
        <is>
          <t>⑬計量工程入力</t>
        </is>
      </c>
      <c r="C700" s="392" t="n">
        <v>54</v>
      </c>
      <c r="D700" s="392">
        <f>⑬計量工程入力!C54</f>
        <v/>
      </c>
      <c r="E700" s="393">
        <f>⑬計量工程入力!I54</f>
        <v/>
      </c>
      <c r="F700" s="393">
        <f>⑬計量工程入力!J54</f>
        <v/>
      </c>
      <c r="G700" s="393">
        <f>⑬計量工程入力!M54</f>
        <v/>
      </c>
      <c r="H700" s="393">
        <f>⑬計量工程入力!N54</f>
        <v/>
      </c>
      <c r="I700" s="393">
        <f>⑬計量工程入力!O54</f>
        <v/>
      </c>
    </row>
    <row r="701">
      <c r="A701" s="392" t="n">
        <v>697</v>
      </c>
      <c r="B701" s="392" t="inlineStr">
        <is>
          <t>⑬計量工程入力</t>
        </is>
      </c>
      <c r="C701" s="392" t="n">
        <v>55</v>
      </c>
      <c r="D701" s="392">
        <f>⑬計量工程入力!C55</f>
        <v/>
      </c>
      <c r="E701" s="393">
        <f>⑬計量工程入力!I55</f>
        <v/>
      </c>
      <c r="F701" s="393">
        <f>⑬計量工程入力!J55</f>
        <v/>
      </c>
      <c r="G701" s="393">
        <f>⑬計量工程入力!M55</f>
        <v/>
      </c>
      <c r="H701" s="393">
        <f>⑬計量工程入力!N55</f>
        <v/>
      </c>
      <c r="I701" s="393">
        <f>⑬計量工程入力!O55</f>
        <v/>
      </c>
    </row>
    <row r="702">
      <c r="A702" s="392" t="n">
        <v>698</v>
      </c>
      <c r="B702" s="392" t="inlineStr">
        <is>
          <t>⑬計量工程入力</t>
        </is>
      </c>
      <c r="C702" s="392" t="n">
        <v>56</v>
      </c>
      <c r="D702" s="392">
        <f>⑬計量工程入力!C56</f>
        <v/>
      </c>
      <c r="E702" s="393">
        <f>⑬計量工程入力!I56</f>
        <v/>
      </c>
      <c r="F702" s="393">
        <f>⑬計量工程入力!J56</f>
        <v/>
      </c>
      <c r="G702" s="393">
        <f>⑬計量工程入力!M56</f>
        <v/>
      </c>
      <c r="H702" s="393">
        <f>⑬計量工程入力!N56</f>
        <v/>
      </c>
      <c r="I702" s="393">
        <f>⑬計量工程入力!O56</f>
        <v/>
      </c>
    </row>
    <row r="703">
      <c r="A703" s="392" t="n">
        <v>699</v>
      </c>
      <c r="B703" s="392" t="inlineStr">
        <is>
          <t>⑬計量工程入力</t>
        </is>
      </c>
      <c r="C703" s="392" t="n">
        <v>57</v>
      </c>
      <c r="D703" s="392">
        <f>⑬計量工程入力!C57</f>
        <v/>
      </c>
      <c r="E703" s="393">
        <f>⑬計量工程入力!I57</f>
        <v/>
      </c>
      <c r="F703" s="393">
        <f>⑬計量工程入力!J57</f>
        <v/>
      </c>
      <c r="G703" s="393">
        <f>⑬計量工程入力!M57</f>
        <v/>
      </c>
      <c r="H703" s="393">
        <f>⑬計量工程入力!N57</f>
        <v/>
      </c>
      <c r="I703" s="393">
        <f>⑬計量工程入力!O57</f>
        <v/>
      </c>
    </row>
    <row r="704">
      <c r="A704" s="392" t="n">
        <v>700</v>
      </c>
      <c r="B704" s="392" t="inlineStr">
        <is>
          <t>⑬計量工程入力</t>
        </is>
      </c>
      <c r="C704" s="392" t="n">
        <v>58</v>
      </c>
      <c r="D704" s="392">
        <f>⑬計量工程入力!C58</f>
        <v/>
      </c>
      <c r="E704" s="393">
        <f>⑬計量工程入力!I58</f>
        <v/>
      </c>
      <c r="F704" s="393">
        <f>⑬計量工程入力!J58</f>
        <v/>
      </c>
      <c r="G704" s="393">
        <f>⑬計量工程入力!M58</f>
        <v/>
      </c>
      <c r="H704" s="393">
        <f>⑬計量工程入力!N58</f>
        <v/>
      </c>
      <c r="I704" s="393">
        <f>⑬計量工程入力!O58</f>
        <v/>
      </c>
    </row>
    <row r="705">
      <c r="A705" s="392" t="n">
        <v>701</v>
      </c>
      <c r="B705" s="392" t="inlineStr">
        <is>
          <t>⑬計量工程入力</t>
        </is>
      </c>
      <c r="C705" s="392" t="n">
        <v>59</v>
      </c>
      <c r="D705" s="392">
        <f>⑬計量工程入力!C59</f>
        <v/>
      </c>
      <c r="E705" s="393">
        <f>⑬計量工程入力!I59</f>
        <v/>
      </c>
      <c r="F705" s="393">
        <f>⑬計量工程入力!J59</f>
        <v/>
      </c>
      <c r="G705" s="393">
        <f>⑬計量工程入力!M59</f>
        <v/>
      </c>
      <c r="H705" s="393">
        <f>⑬計量工程入力!N59</f>
        <v/>
      </c>
      <c r="I705" s="393">
        <f>⑬計量工程入力!O59</f>
        <v/>
      </c>
    </row>
    <row r="706">
      <c r="A706" s="392" t="n">
        <v>702</v>
      </c>
      <c r="B706" s="392" t="inlineStr">
        <is>
          <t>⑬計量工程入力</t>
        </is>
      </c>
      <c r="C706" s="392" t="n">
        <v>60</v>
      </c>
      <c r="D706" s="392">
        <f>⑬計量工程入力!C60</f>
        <v/>
      </c>
      <c r="E706" s="393">
        <f>⑬計量工程入力!I60</f>
        <v/>
      </c>
      <c r="F706" s="393">
        <f>⑬計量工程入力!J60</f>
        <v/>
      </c>
      <c r="G706" s="393">
        <f>⑬計量工程入力!M60</f>
        <v/>
      </c>
      <c r="H706" s="393">
        <f>⑬計量工程入力!N60</f>
        <v/>
      </c>
      <c r="I706" s="393">
        <f>⑬計量工程入力!O60</f>
        <v/>
      </c>
    </row>
    <row r="707">
      <c r="A707" s="392" t="n">
        <v>703</v>
      </c>
      <c r="B707" s="392" t="inlineStr">
        <is>
          <t>⑬計量工程入力</t>
        </is>
      </c>
      <c r="C707" s="392" t="n">
        <v>61</v>
      </c>
      <c r="D707" s="392">
        <f>⑬計量工程入力!C61</f>
        <v/>
      </c>
      <c r="E707" s="393">
        <f>⑬計量工程入力!I61</f>
        <v/>
      </c>
      <c r="F707" s="393">
        <f>⑬計量工程入力!J61</f>
        <v/>
      </c>
      <c r="G707" s="393">
        <f>⑬計量工程入力!M61</f>
        <v/>
      </c>
      <c r="H707" s="393">
        <f>⑬計量工程入力!N61</f>
        <v/>
      </c>
      <c r="I707" s="393">
        <f>⑬計量工程入力!O61</f>
        <v/>
      </c>
    </row>
    <row r="708">
      <c r="A708" s="392" t="n">
        <v>704</v>
      </c>
      <c r="B708" s="392" t="inlineStr">
        <is>
          <t>⑬計量工程入力</t>
        </is>
      </c>
      <c r="C708" s="392" t="n">
        <v>62</v>
      </c>
      <c r="D708" s="392">
        <f>⑬計量工程入力!C62</f>
        <v/>
      </c>
      <c r="E708" s="393">
        <f>⑬計量工程入力!I62</f>
        <v/>
      </c>
      <c r="F708" s="393">
        <f>⑬計量工程入力!J62</f>
        <v/>
      </c>
      <c r="G708" s="393">
        <f>⑬計量工程入力!M62</f>
        <v/>
      </c>
      <c r="H708" s="393">
        <f>⑬計量工程入力!N62</f>
        <v/>
      </c>
      <c r="I708" s="393">
        <f>⑬計量工程入力!O62</f>
        <v/>
      </c>
    </row>
    <row r="709">
      <c r="A709" s="392" t="n">
        <v>705</v>
      </c>
      <c r="B709" s="392" t="inlineStr">
        <is>
          <t>⑬計量工程入力</t>
        </is>
      </c>
      <c r="C709" s="392" t="n">
        <v>63</v>
      </c>
      <c r="D709" s="392">
        <f>⑬計量工程入力!C63</f>
        <v/>
      </c>
      <c r="E709" s="393">
        <f>⑬計量工程入力!I63</f>
        <v/>
      </c>
      <c r="F709" s="393">
        <f>⑬計量工程入力!J63</f>
        <v/>
      </c>
      <c r="G709" s="393">
        <f>⑬計量工程入力!M63</f>
        <v/>
      </c>
      <c r="H709" s="393">
        <f>⑬計量工程入力!N63</f>
        <v/>
      </c>
      <c r="I709" s="393">
        <f>⑬計量工程入力!O63</f>
        <v/>
      </c>
    </row>
    <row r="710">
      <c r="A710" s="392" t="n">
        <v>706</v>
      </c>
      <c r="B710" s="392" t="inlineStr">
        <is>
          <t>⑬計量工程入力</t>
        </is>
      </c>
      <c r="C710" s="392" t="n">
        <v>64</v>
      </c>
      <c r="D710" s="392">
        <f>⑬計量工程入力!C64</f>
        <v/>
      </c>
      <c r="E710" s="393">
        <f>⑬計量工程入力!I64</f>
        <v/>
      </c>
      <c r="F710" s="393">
        <f>⑬計量工程入力!J64</f>
        <v/>
      </c>
      <c r="G710" s="393">
        <f>⑬計量工程入力!M64</f>
        <v/>
      </c>
      <c r="H710" s="393">
        <f>⑬計量工程入力!N64</f>
        <v/>
      </c>
      <c r="I710" s="393">
        <f>⑬計量工程入力!O64</f>
        <v/>
      </c>
    </row>
    <row r="711">
      <c r="A711" s="392" t="n">
        <v>707</v>
      </c>
      <c r="B711" s="392" t="inlineStr">
        <is>
          <t>⑬計量工程入力</t>
        </is>
      </c>
      <c r="C711" s="392" t="n">
        <v>65</v>
      </c>
      <c r="D711" s="392">
        <f>⑬計量工程入力!C65</f>
        <v/>
      </c>
      <c r="E711" s="393">
        <f>⑬計量工程入力!I65</f>
        <v/>
      </c>
      <c r="F711" s="393">
        <f>⑬計量工程入力!J65</f>
        <v/>
      </c>
      <c r="G711" s="393">
        <f>⑬計量工程入力!M65</f>
        <v/>
      </c>
      <c r="H711" s="393">
        <f>⑬計量工程入力!N65</f>
        <v/>
      </c>
      <c r="I711" s="393">
        <f>⑬計量工程入力!O65</f>
        <v/>
      </c>
    </row>
    <row r="712">
      <c r="A712" s="392" t="n">
        <v>708</v>
      </c>
      <c r="B712" s="392" t="inlineStr">
        <is>
          <t>⑭手動工程入力</t>
        </is>
      </c>
      <c r="C712" s="392" t="n">
        <v>6</v>
      </c>
      <c r="D712" s="392">
        <f>⑭手動工程入力!C6</f>
        <v/>
      </c>
      <c r="E712" s="393">
        <f>⑭手動工程入力!I6</f>
        <v/>
      </c>
      <c r="F712" s="393">
        <f>⑭手動工程入力!J6</f>
        <v/>
      </c>
      <c r="G712" s="393">
        <f>⑭手動工程入力!M6</f>
        <v/>
      </c>
      <c r="H712" s="393">
        <f>⑭手動工程入力!N6</f>
        <v/>
      </c>
      <c r="I712" s="393">
        <f>⑭手動工程入力!O6</f>
        <v/>
      </c>
    </row>
    <row r="713">
      <c r="A713" s="392" t="n">
        <v>709</v>
      </c>
      <c r="B713" s="392" t="inlineStr">
        <is>
          <t>⑭手動工程入力</t>
        </is>
      </c>
      <c r="C713" s="392" t="n">
        <v>7</v>
      </c>
      <c r="D713" s="392">
        <f>⑭手動工程入力!C7</f>
        <v/>
      </c>
      <c r="E713" s="393">
        <f>⑭手動工程入力!I7</f>
        <v/>
      </c>
      <c r="F713" s="393">
        <f>⑭手動工程入力!J7</f>
        <v/>
      </c>
      <c r="G713" s="393">
        <f>⑭手動工程入力!M7</f>
        <v/>
      </c>
      <c r="H713" s="393">
        <f>⑭手動工程入力!N7</f>
        <v/>
      </c>
      <c r="I713" s="393">
        <f>⑭手動工程入力!O7</f>
        <v/>
      </c>
    </row>
    <row r="714">
      <c r="A714" s="392" t="n">
        <v>710</v>
      </c>
      <c r="B714" s="392" t="inlineStr">
        <is>
          <t>⑭手動工程入力</t>
        </is>
      </c>
      <c r="C714" s="392" t="n">
        <v>8</v>
      </c>
      <c r="D714" s="392">
        <f>⑭手動工程入力!C8</f>
        <v/>
      </c>
      <c r="E714" s="393">
        <f>⑭手動工程入力!I8</f>
        <v/>
      </c>
      <c r="F714" s="393">
        <f>⑭手動工程入力!J8</f>
        <v/>
      </c>
      <c r="G714" s="393">
        <f>⑭手動工程入力!M8</f>
        <v/>
      </c>
      <c r="H714" s="393">
        <f>⑭手動工程入力!N8</f>
        <v/>
      </c>
      <c r="I714" s="393">
        <f>⑭手動工程入力!O8</f>
        <v/>
      </c>
    </row>
    <row r="715">
      <c r="A715" s="392" t="n">
        <v>711</v>
      </c>
      <c r="B715" s="392" t="inlineStr">
        <is>
          <t>⑭手動工程入力</t>
        </is>
      </c>
      <c r="C715" s="392" t="n">
        <v>9</v>
      </c>
      <c r="D715" s="392">
        <f>⑭手動工程入力!C9</f>
        <v/>
      </c>
      <c r="E715" s="393">
        <f>⑭手動工程入力!I9</f>
        <v/>
      </c>
      <c r="F715" s="393">
        <f>⑭手動工程入力!J9</f>
        <v/>
      </c>
      <c r="G715" s="393">
        <f>⑭手動工程入力!M9</f>
        <v/>
      </c>
      <c r="H715" s="393">
        <f>⑭手動工程入力!N9</f>
        <v/>
      </c>
      <c r="I715" s="393">
        <f>⑭手動工程入力!O9</f>
        <v/>
      </c>
    </row>
    <row r="716">
      <c r="A716" s="392" t="n">
        <v>712</v>
      </c>
      <c r="B716" s="392" t="inlineStr">
        <is>
          <t>⑭手動工程入力</t>
        </is>
      </c>
      <c r="C716" s="392" t="n">
        <v>10</v>
      </c>
      <c r="D716" s="392">
        <f>⑭手動工程入力!C10</f>
        <v/>
      </c>
      <c r="E716" s="393">
        <f>⑭手動工程入力!I10</f>
        <v/>
      </c>
      <c r="F716" s="393">
        <f>⑭手動工程入力!J10</f>
        <v/>
      </c>
      <c r="G716" s="393">
        <f>⑭手動工程入力!M10</f>
        <v/>
      </c>
      <c r="H716" s="393">
        <f>⑭手動工程入力!N10</f>
        <v/>
      </c>
      <c r="I716" s="393">
        <f>⑭手動工程入力!O10</f>
        <v/>
      </c>
    </row>
    <row r="717">
      <c r="A717" s="392" t="n">
        <v>713</v>
      </c>
      <c r="B717" s="392" t="inlineStr">
        <is>
          <t>⑭手動工程入力</t>
        </is>
      </c>
      <c r="C717" s="392" t="n">
        <v>11</v>
      </c>
      <c r="D717" s="392">
        <f>⑭手動工程入力!C11</f>
        <v/>
      </c>
      <c r="E717" s="393">
        <f>⑭手動工程入力!I11</f>
        <v/>
      </c>
      <c r="F717" s="393">
        <f>⑭手動工程入力!J11</f>
        <v/>
      </c>
      <c r="G717" s="393">
        <f>⑭手動工程入力!M11</f>
        <v/>
      </c>
      <c r="H717" s="393">
        <f>⑭手動工程入力!N11</f>
        <v/>
      </c>
      <c r="I717" s="393">
        <f>⑭手動工程入力!O11</f>
        <v/>
      </c>
    </row>
    <row r="718">
      <c r="A718" s="392" t="n">
        <v>714</v>
      </c>
      <c r="B718" s="392" t="inlineStr">
        <is>
          <t>⑭手動工程入力</t>
        </is>
      </c>
      <c r="C718" s="392" t="n">
        <v>12</v>
      </c>
      <c r="D718" s="392">
        <f>⑭手動工程入力!C12</f>
        <v/>
      </c>
      <c r="E718" s="393">
        <f>⑭手動工程入力!I12</f>
        <v/>
      </c>
      <c r="F718" s="393">
        <f>⑭手動工程入力!J12</f>
        <v/>
      </c>
      <c r="G718" s="393">
        <f>⑭手動工程入力!M12</f>
        <v/>
      </c>
      <c r="H718" s="393">
        <f>⑭手動工程入力!N12</f>
        <v/>
      </c>
      <c r="I718" s="393">
        <f>⑭手動工程入力!O12</f>
        <v/>
      </c>
    </row>
    <row r="719">
      <c r="A719" s="392" t="n">
        <v>715</v>
      </c>
      <c r="B719" s="392" t="inlineStr">
        <is>
          <t>⑭手動工程入力</t>
        </is>
      </c>
      <c r="C719" s="392" t="n">
        <v>13</v>
      </c>
      <c r="D719" s="392">
        <f>⑭手動工程入力!C13</f>
        <v/>
      </c>
      <c r="E719" s="393">
        <f>⑭手動工程入力!I13</f>
        <v/>
      </c>
      <c r="F719" s="393">
        <f>⑭手動工程入力!J13</f>
        <v/>
      </c>
      <c r="G719" s="393">
        <f>⑭手動工程入力!M13</f>
        <v/>
      </c>
      <c r="H719" s="393">
        <f>⑭手動工程入力!N13</f>
        <v/>
      </c>
      <c r="I719" s="393">
        <f>⑭手動工程入力!O13</f>
        <v/>
      </c>
    </row>
    <row r="720">
      <c r="A720" s="392" t="n">
        <v>716</v>
      </c>
      <c r="B720" s="392" t="inlineStr">
        <is>
          <t>⑭手動工程入力</t>
        </is>
      </c>
      <c r="C720" s="392" t="n">
        <v>14</v>
      </c>
      <c r="D720" s="392">
        <f>⑭手動工程入力!C14</f>
        <v/>
      </c>
      <c r="E720" s="393">
        <f>⑭手動工程入力!I14</f>
        <v/>
      </c>
      <c r="F720" s="393">
        <f>⑭手動工程入力!J14</f>
        <v/>
      </c>
      <c r="G720" s="393">
        <f>⑭手動工程入力!M14</f>
        <v/>
      </c>
      <c r="H720" s="393">
        <f>⑭手動工程入力!N14</f>
        <v/>
      </c>
      <c r="I720" s="393">
        <f>⑭手動工程入力!O14</f>
        <v/>
      </c>
    </row>
    <row r="721">
      <c r="A721" s="392" t="n">
        <v>717</v>
      </c>
      <c r="B721" s="392" t="inlineStr">
        <is>
          <t>⑭手動工程入力</t>
        </is>
      </c>
      <c r="C721" s="392" t="n">
        <v>15</v>
      </c>
      <c r="D721" s="392">
        <f>⑭手動工程入力!C15</f>
        <v/>
      </c>
      <c r="E721" s="393">
        <f>⑭手動工程入力!I15</f>
        <v/>
      </c>
      <c r="F721" s="393">
        <f>⑭手動工程入力!J15</f>
        <v/>
      </c>
      <c r="G721" s="393">
        <f>⑭手動工程入力!M15</f>
        <v/>
      </c>
      <c r="H721" s="393">
        <f>⑭手動工程入力!N15</f>
        <v/>
      </c>
      <c r="I721" s="393">
        <f>⑭手動工程入力!O15</f>
        <v/>
      </c>
    </row>
    <row r="722">
      <c r="A722" s="392" t="n">
        <v>718</v>
      </c>
      <c r="B722" s="392" t="inlineStr">
        <is>
          <t>⑭手動工程入力</t>
        </is>
      </c>
      <c r="C722" s="392" t="n">
        <v>16</v>
      </c>
      <c r="D722" s="392">
        <f>⑭手動工程入力!C16</f>
        <v/>
      </c>
      <c r="E722" s="393">
        <f>⑭手動工程入力!I16</f>
        <v/>
      </c>
      <c r="F722" s="393">
        <f>⑭手動工程入力!J16</f>
        <v/>
      </c>
      <c r="G722" s="393">
        <f>⑭手動工程入力!M16</f>
        <v/>
      </c>
      <c r="H722" s="393">
        <f>⑭手動工程入力!N16</f>
        <v/>
      </c>
      <c r="I722" s="393">
        <f>⑭手動工程入力!O16</f>
        <v/>
      </c>
    </row>
    <row r="723">
      <c r="A723" s="392" t="n">
        <v>719</v>
      </c>
      <c r="B723" s="392" t="inlineStr">
        <is>
          <t>⑭手動工程入力</t>
        </is>
      </c>
      <c r="C723" s="392" t="n">
        <v>17</v>
      </c>
      <c r="D723" s="392">
        <f>⑭手動工程入力!C17</f>
        <v/>
      </c>
      <c r="E723" s="393">
        <f>⑭手動工程入力!I17</f>
        <v/>
      </c>
      <c r="F723" s="393">
        <f>⑭手動工程入力!J17</f>
        <v/>
      </c>
      <c r="G723" s="393">
        <f>⑭手動工程入力!M17</f>
        <v/>
      </c>
      <c r="H723" s="393">
        <f>⑭手動工程入力!N17</f>
        <v/>
      </c>
      <c r="I723" s="393">
        <f>⑭手動工程入力!O17</f>
        <v/>
      </c>
    </row>
    <row r="724">
      <c r="A724" s="392" t="n">
        <v>720</v>
      </c>
      <c r="B724" s="392" t="inlineStr">
        <is>
          <t>⑭手動工程入力</t>
        </is>
      </c>
      <c r="C724" s="392" t="n">
        <v>18</v>
      </c>
      <c r="D724" s="392">
        <f>⑭手動工程入力!C18</f>
        <v/>
      </c>
      <c r="E724" s="393">
        <f>⑭手動工程入力!I18</f>
        <v/>
      </c>
      <c r="F724" s="393">
        <f>⑭手動工程入力!J18</f>
        <v/>
      </c>
      <c r="G724" s="393">
        <f>⑭手動工程入力!M18</f>
        <v/>
      </c>
      <c r="H724" s="393">
        <f>⑭手動工程入力!N18</f>
        <v/>
      </c>
      <c r="I724" s="393">
        <f>⑭手動工程入力!O18</f>
        <v/>
      </c>
    </row>
    <row r="725">
      <c r="A725" s="392" t="n">
        <v>721</v>
      </c>
      <c r="B725" s="392" t="inlineStr">
        <is>
          <t>⑭手動工程入力</t>
        </is>
      </c>
      <c r="C725" s="392" t="n">
        <v>19</v>
      </c>
      <c r="D725" s="392">
        <f>⑭手動工程入力!C19</f>
        <v/>
      </c>
      <c r="E725" s="393">
        <f>⑭手動工程入力!I19</f>
        <v/>
      </c>
      <c r="F725" s="393">
        <f>⑭手動工程入力!J19</f>
        <v/>
      </c>
      <c r="G725" s="393">
        <f>⑭手動工程入力!M19</f>
        <v/>
      </c>
      <c r="H725" s="393">
        <f>⑭手動工程入力!N19</f>
        <v/>
      </c>
      <c r="I725" s="393">
        <f>⑭手動工程入力!O19</f>
        <v/>
      </c>
    </row>
    <row r="726">
      <c r="A726" s="392" t="n">
        <v>722</v>
      </c>
      <c r="B726" s="392" t="inlineStr">
        <is>
          <t>⑭手動工程入力</t>
        </is>
      </c>
      <c r="C726" s="392" t="n">
        <v>20</v>
      </c>
      <c r="D726" s="392">
        <f>⑭手動工程入力!C20</f>
        <v/>
      </c>
      <c r="E726" s="393">
        <f>⑭手動工程入力!I20</f>
        <v/>
      </c>
      <c r="F726" s="393">
        <f>⑭手動工程入力!J20</f>
        <v/>
      </c>
      <c r="G726" s="393">
        <f>⑭手動工程入力!M20</f>
        <v/>
      </c>
      <c r="H726" s="393">
        <f>⑭手動工程入力!N20</f>
        <v/>
      </c>
      <c r="I726" s="393">
        <f>⑭手動工程入力!O20</f>
        <v/>
      </c>
    </row>
    <row r="727">
      <c r="A727" s="392" t="n">
        <v>723</v>
      </c>
      <c r="B727" s="392" t="inlineStr">
        <is>
          <t>⑭手動工程入力</t>
        </is>
      </c>
      <c r="C727" s="392" t="n">
        <v>21</v>
      </c>
      <c r="D727" s="392">
        <f>⑭手動工程入力!C21</f>
        <v/>
      </c>
      <c r="E727" s="393">
        <f>⑭手動工程入力!I21</f>
        <v/>
      </c>
      <c r="F727" s="393">
        <f>⑭手動工程入力!J21</f>
        <v/>
      </c>
      <c r="G727" s="393">
        <f>⑭手動工程入力!M21</f>
        <v/>
      </c>
      <c r="H727" s="393">
        <f>⑭手動工程入力!N21</f>
        <v/>
      </c>
      <c r="I727" s="393">
        <f>⑭手動工程入力!O21</f>
        <v/>
      </c>
    </row>
    <row r="728">
      <c r="A728" s="392" t="n">
        <v>724</v>
      </c>
      <c r="B728" s="392" t="inlineStr">
        <is>
          <t>⑭手動工程入力</t>
        </is>
      </c>
      <c r="C728" s="392" t="n">
        <v>22</v>
      </c>
      <c r="D728" s="392">
        <f>⑭手動工程入力!C22</f>
        <v/>
      </c>
      <c r="E728" s="393">
        <f>⑭手動工程入力!I22</f>
        <v/>
      </c>
      <c r="F728" s="393">
        <f>⑭手動工程入力!J22</f>
        <v/>
      </c>
      <c r="G728" s="393">
        <f>⑭手動工程入力!M22</f>
        <v/>
      </c>
      <c r="H728" s="393">
        <f>⑭手動工程入力!N22</f>
        <v/>
      </c>
      <c r="I728" s="393">
        <f>⑭手動工程入力!O22</f>
        <v/>
      </c>
    </row>
    <row r="729">
      <c r="A729" s="392" t="n">
        <v>725</v>
      </c>
      <c r="B729" s="392" t="inlineStr">
        <is>
          <t>⑭手動工程入力</t>
        </is>
      </c>
      <c r="C729" s="392" t="n">
        <v>23</v>
      </c>
      <c r="D729" s="392">
        <f>⑭手動工程入力!C23</f>
        <v/>
      </c>
      <c r="E729" s="393">
        <f>⑭手動工程入力!I23</f>
        <v/>
      </c>
      <c r="F729" s="393">
        <f>⑭手動工程入力!J23</f>
        <v/>
      </c>
      <c r="G729" s="393">
        <f>⑭手動工程入力!M23</f>
        <v/>
      </c>
      <c r="H729" s="393">
        <f>⑭手動工程入力!N23</f>
        <v/>
      </c>
      <c r="I729" s="393">
        <f>⑭手動工程入力!O23</f>
        <v/>
      </c>
    </row>
    <row r="730">
      <c r="A730" s="392" t="n">
        <v>726</v>
      </c>
      <c r="B730" s="392" t="inlineStr">
        <is>
          <t>⑭手動工程入力</t>
        </is>
      </c>
      <c r="C730" s="392" t="n">
        <v>24</v>
      </c>
      <c r="D730" s="392">
        <f>⑭手動工程入力!C24</f>
        <v/>
      </c>
      <c r="E730" s="393">
        <f>⑭手動工程入力!I24</f>
        <v/>
      </c>
      <c r="F730" s="393">
        <f>⑭手動工程入力!J24</f>
        <v/>
      </c>
      <c r="G730" s="393">
        <f>⑭手動工程入力!M24</f>
        <v/>
      </c>
      <c r="H730" s="393">
        <f>⑭手動工程入力!N24</f>
        <v/>
      </c>
      <c r="I730" s="393">
        <f>⑭手動工程入力!O24</f>
        <v/>
      </c>
    </row>
    <row r="731">
      <c r="A731" s="392" t="n">
        <v>727</v>
      </c>
      <c r="B731" s="392" t="inlineStr">
        <is>
          <t>⑭手動工程入力</t>
        </is>
      </c>
      <c r="C731" s="392" t="n">
        <v>25</v>
      </c>
      <c r="D731" s="392">
        <f>⑭手動工程入力!C25</f>
        <v/>
      </c>
      <c r="E731" s="393">
        <f>⑭手動工程入力!I25</f>
        <v/>
      </c>
      <c r="F731" s="393">
        <f>⑭手動工程入力!J25</f>
        <v/>
      </c>
      <c r="G731" s="393">
        <f>⑭手動工程入力!M25</f>
        <v/>
      </c>
      <c r="H731" s="393">
        <f>⑭手動工程入力!N25</f>
        <v/>
      </c>
      <c r="I731" s="393">
        <f>⑭手動工程入力!O25</f>
        <v/>
      </c>
    </row>
    <row r="732">
      <c r="A732" s="392" t="n">
        <v>728</v>
      </c>
      <c r="B732" s="392" t="inlineStr">
        <is>
          <t>⑭手動工程入力</t>
        </is>
      </c>
      <c r="C732" s="392" t="n">
        <v>26</v>
      </c>
      <c r="D732" s="392">
        <f>⑭手動工程入力!C26</f>
        <v/>
      </c>
      <c r="E732" s="393">
        <f>⑭手動工程入力!I26</f>
        <v/>
      </c>
      <c r="F732" s="393">
        <f>⑭手動工程入力!J26</f>
        <v/>
      </c>
      <c r="G732" s="393">
        <f>⑭手動工程入力!M26</f>
        <v/>
      </c>
      <c r="H732" s="393">
        <f>⑭手動工程入力!N26</f>
        <v/>
      </c>
      <c r="I732" s="393">
        <f>⑭手動工程入力!O26</f>
        <v/>
      </c>
    </row>
    <row r="733">
      <c r="A733" s="392" t="n">
        <v>729</v>
      </c>
      <c r="B733" s="392" t="inlineStr">
        <is>
          <t>⑭手動工程入力</t>
        </is>
      </c>
      <c r="C733" s="392" t="n">
        <v>27</v>
      </c>
      <c r="D733" s="392">
        <f>⑭手動工程入力!C27</f>
        <v/>
      </c>
      <c r="E733" s="393">
        <f>⑭手動工程入力!I27</f>
        <v/>
      </c>
      <c r="F733" s="393">
        <f>⑭手動工程入力!J27</f>
        <v/>
      </c>
      <c r="G733" s="393">
        <f>⑭手動工程入力!M27</f>
        <v/>
      </c>
      <c r="H733" s="393">
        <f>⑭手動工程入力!N27</f>
        <v/>
      </c>
      <c r="I733" s="393">
        <f>⑭手動工程入力!O27</f>
        <v/>
      </c>
    </row>
    <row r="734">
      <c r="A734" s="392" t="n">
        <v>730</v>
      </c>
      <c r="B734" s="392" t="inlineStr">
        <is>
          <t>⑭手動工程入力</t>
        </is>
      </c>
      <c r="C734" s="392" t="n">
        <v>28</v>
      </c>
      <c r="D734" s="392">
        <f>⑭手動工程入力!C28</f>
        <v/>
      </c>
      <c r="E734" s="393">
        <f>⑭手動工程入力!I28</f>
        <v/>
      </c>
      <c r="F734" s="393">
        <f>⑭手動工程入力!J28</f>
        <v/>
      </c>
      <c r="G734" s="393">
        <f>⑭手動工程入力!M28</f>
        <v/>
      </c>
      <c r="H734" s="393">
        <f>⑭手動工程入力!N28</f>
        <v/>
      </c>
      <c r="I734" s="393">
        <f>⑭手動工程入力!O28</f>
        <v/>
      </c>
    </row>
    <row r="735">
      <c r="A735" s="392" t="n">
        <v>731</v>
      </c>
      <c r="B735" s="392" t="inlineStr">
        <is>
          <t>⑭手動工程入力</t>
        </is>
      </c>
      <c r="C735" s="392" t="n">
        <v>29</v>
      </c>
      <c r="D735" s="392">
        <f>⑭手動工程入力!C29</f>
        <v/>
      </c>
      <c r="E735" s="393">
        <f>⑭手動工程入力!I29</f>
        <v/>
      </c>
      <c r="F735" s="393">
        <f>⑭手動工程入力!J29</f>
        <v/>
      </c>
      <c r="G735" s="393">
        <f>⑭手動工程入力!M29</f>
        <v/>
      </c>
      <c r="H735" s="393">
        <f>⑭手動工程入力!N29</f>
        <v/>
      </c>
      <c r="I735" s="393">
        <f>⑭手動工程入力!O29</f>
        <v/>
      </c>
    </row>
    <row r="736">
      <c r="A736" s="392" t="n">
        <v>732</v>
      </c>
      <c r="B736" s="392" t="inlineStr">
        <is>
          <t>⑭手動工程入力</t>
        </is>
      </c>
      <c r="C736" s="392" t="n">
        <v>30</v>
      </c>
      <c r="D736" s="392">
        <f>⑭手動工程入力!C30</f>
        <v/>
      </c>
      <c r="E736" s="393">
        <f>⑭手動工程入力!I30</f>
        <v/>
      </c>
      <c r="F736" s="393">
        <f>⑭手動工程入力!J30</f>
        <v/>
      </c>
      <c r="G736" s="393">
        <f>⑭手動工程入力!M30</f>
        <v/>
      </c>
      <c r="H736" s="393">
        <f>⑭手動工程入力!N30</f>
        <v/>
      </c>
      <c r="I736" s="393">
        <f>⑭手動工程入力!O30</f>
        <v/>
      </c>
    </row>
    <row r="737">
      <c r="A737" s="392" t="n">
        <v>733</v>
      </c>
      <c r="B737" s="392" t="inlineStr">
        <is>
          <t>⑭手動工程入力</t>
        </is>
      </c>
      <c r="C737" s="392" t="n">
        <v>31</v>
      </c>
      <c r="D737" s="392">
        <f>⑭手動工程入力!C31</f>
        <v/>
      </c>
      <c r="E737" s="393">
        <f>⑭手動工程入力!I31</f>
        <v/>
      </c>
      <c r="F737" s="393">
        <f>⑭手動工程入力!J31</f>
        <v/>
      </c>
      <c r="G737" s="393">
        <f>⑭手動工程入力!M31</f>
        <v/>
      </c>
      <c r="H737" s="393">
        <f>⑭手動工程入力!N31</f>
        <v/>
      </c>
      <c r="I737" s="393">
        <f>⑭手動工程入力!O31</f>
        <v/>
      </c>
    </row>
    <row r="738">
      <c r="A738" s="392" t="n">
        <v>734</v>
      </c>
      <c r="B738" s="392" t="inlineStr">
        <is>
          <t>⑭手動工程入力</t>
        </is>
      </c>
      <c r="C738" s="392" t="n">
        <v>32</v>
      </c>
      <c r="D738" s="392">
        <f>⑭手動工程入力!C32</f>
        <v/>
      </c>
      <c r="E738" s="393">
        <f>⑭手動工程入力!I32</f>
        <v/>
      </c>
      <c r="F738" s="393">
        <f>⑭手動工程入力!J32</f>
        <v/>
      </c>
      <c r="G738" s="393">
        <f>⑭手動工程入力!M32</f>
        <v/>
      </c>
      <c r="H738" s="393">
        <f>⑭手動工程入力!N32</f>
        <v/>
      </c>
      <c r="I738" s="393">
        <f>⑭手動工程入力!O32</f>
        <v/>
      </c>
    </row>
    <row r="739">
      <c r="A739" s="392" t="n">
        <v>735</v>
      </c>
      <c r="B739" s="392" t="inlineStr">
        <is>
          <t>⑭手動工程入力</t>
        </is>
      </c>
      <c r="C739" s="392" t="n">
        <v>33</v>
      </c>
      <c r="D739" s="392">
        <f>⑭手動工程入力!C33</f>
        <v/>
      </c>
      <c r="E739" s="393">
        <f>⑭手動工程入力!I33</f>
        <v/>
      </c>
      <c r="F739" s="393">
        <f>⑭手動工程入力!J33</f>
        <v/>
      </c>
      <c r="G739" s="393">
        <f>⑭手動工程入力!M33</f>
        <v/>
      </c>
      <c r="H739" s="393">
        <f>⑭手動工程入力!N33</f>
        <v/>
      </c>
      <c r="I739" s="393">
        <f>⑭手動工程入力!O33</f>
        <v/>
      </c>
    </row>
    <row r="740">
      <c r="A740" s="392" t="n">
        <v>736</v>
      </c>
      <c r="B740" s="392" t="inlineStr">
        <is>
          <t>⑭手動工程入力</t>
        </is>
      </c>
      <c r="C740" s="392" t="n">
        <v>34</v>
      </c>
      <c r="D740" s="392">
        <f>⑭手動工程入力!C34</f>
        <v/>
      </c>
      <c r="E740" s="393">
        <f>⑭手動工程入力!I34</f>
        <v/>
      </c>
      <c r="F740" s="393">
        <f>⑭手動工程入力!J34</f>
        <v/>
      </c>
      <c r="G740" s="393">
        <f>⑭手動工程入力!M34</f>
        <v/>
      </c>
      <c r="H740" s="393">
        <f>⑭手動工程入力!N34</f>
        <v/>
      </c>
      <c r="I740" s="393">
        <f>⑭手動工程入力!O34</f>
        <v/>
      </c>
    </row>
    <row r="741">
      <c r="A741" s="392" t="n">
        <v>737</v>
      </c>
      <c r="B741" s="392" t="inlineStr">
        <is>
          <t>⑭手動工程入力</t>
        </is>
      </c>
      <c r="C741" s="392" t="n">
        <v>35</v>
      </c>
      <c r="D741" s="392">
        <f>⑭手動工程入力!C35</f>
        <v/>
      </c>
      <c r="E741" s="393">
        <f>⑭手動工程入力!I35</f>
        <v/>
      </c>
      <c r="F741" s="393">
        <f>⑭手動工程入力!J35</f>
        <v/>
      </c>
      <c r="G741" s="393">
        <f>⑭手動工程入力!M35</f>
        <v/>
      </c>
      <c r="H741" s="393">
        <f>⑭手動工程入力!N35</f>
        <v/>
      </c>
      <c r="I741" s="393">
        <f>⑭手動工程入力!O35</f>
        <v/>
      </c>
    </row>
    <row r="742">
      <c r="A742" s="392" t="n">
        <v>738</v>
      </c>
      <c r="B742" s="392" t="inlineStr">
        <is>
          <t>⑭手動工程入力</t>
        </is>
      </c>
      <c r="C742" s="392" t="n">
        <v>36</v>
      </c>
      <c r="D742" s="392">
        <f>⑭手動工程入力!C36</f>
        <v/>
      </c>
      <c r="E742" s="393">
        <f>⑭手動工程入力!I36</f>
        <v/>
      </c>
      <c r="F742" s="393">
        <f>⑭手動工程入力!J36</f>
        <v/>
      </c>
      <c r="G742" s="393">
        <f>⑭手動工程入力!M36</f>
        <v/>
      </c>
      <c r="H742" s="393">
        <f>⑭手動工程入力!N36</f>
        <v/>
      </c>
      <c r="I742" s="393">
        <f>⑭手動工程入力!O36</f>
        <v/>
      </c>
    </row>
    <row r="743">
      <c r="A743" s="392" t="n">
        <v>739</v>
      </c>
      <c r="B743" s="392" t="inlineStr">
        <is>
          <t>⑭手動工程入力</t>
        </is>
      </c>
      <c r="C743" s="392" t="n">
        <v>37</v>
      </c>
      <c r="D743" s="392">
        <f>⑭手動工程入力!C37</f>
        <v/>
      </c>
      <c r="E743" s="393">
        <f>⑭手動工程入力!I37</f>
        <v/>
      </c>
      <c r="F743" s="393">
        <f>⑭手動工程入力!J37</f>
        <v/>
      </c>
      <c r="G743" s="393">
        <f>⑭手動工程入力!M37</f>
        <v/>
      </c>
      <c r="H743" s="393">
        <f>⑭手動工程入力!N37</f>
        <v/>
      </c>
      <c r="I743" s="393">
        <f>⑭手動工程入力!O37</f>
        <v/>
      </c>
    </row>
    <row r="744">
      <c r="A744" s="392" t="n">
        <v>740</v>
      </c>
      <c r="B744" s="392" t="inlineStr">
        <is>
          <t>⑭手動工程入力</t>
        </is>
      </c>
      <c r="C744" s="392" t="n">
        <v>38</v>
      </c>
      <c r="D744" s="392">
        <f>⑭手動工程入力!C38</f>
        <v/>
      </c>
      <c r="E744" s="393">
        <f>⑭手動工程入力!I38</f>
        <v/>
      </c>
      <c r="F744" s="393">
        <f>⑭手動工程入力!J38</f>
        <v/>
      </c>
      <c r="G744" s="393">
        <f>⑭手動工程入力!M38</f>
        <v/>
      </c>
      <c r="H744" s="393">
        <f>⑭手動工程入力!N38</f>
        <v/>
      </c>
      <c r="I744" s="393">
        <f>⑭手動工程入力!O38</f>
        <v/>
      </c>
    </row>
    <row r="745">
      <c r="A745" s="392" t="n">
        <v>741</v>
      </c>
      <c r="B745" s="392" t="inlineStr">
        <is>
          <t>⑭手動工程入力</t>
        </is>
      </c>
      <c r="C745" s="392" t="n">
        <v>39</v>
      </c>
      <c r="D745" s="392">
        <f>⑭手動工程入力!C39</f>
        <v/>
      </c>
      <c r="E745" s="393">
        <f>⑭手動工程入力!I39</f>
        <v/>
      </c>
      <c r="F745" s="393">
        <f>⑭手動工程入力!J39</f>
        <v/>
      </c>
      <c r="G745" s="393">
        <f>⑭手動工程入力!M39</f>
        <v/>
      </c>
      <c r="H745" s="393">
        <f>⑭手動工程入力!N39</f>
        <v/>
      </c>
      <c r="I745" s="393">
        <f>⑭手動工程入力!O39</f>
        <v/>
      </c>
    </row>
    <row r="746">
      <c r="A746" s="392" t="n">
        <v>742</v>
      </c>
      <c r="B746" s="392" t="inlineStr">
        <is>
          <t>⑭手動工程入力</t>
        </is>
      </c>
      <c r="C746" s="392" t="n">
        <v>40</v>
      </c>
      <c r="D746" s="392">
        <f>⑭手動工程入力!C40</f>
        <v/>
      </c>
      <c r="E746" s="393">
        <f>⑭手動工程入力!I40</f>
        <v/>
      </c>
      <c r="F746" s="393">
        <f>⑭手動工程入力!J40</f>
        <v/>
      </c>
      <c r="G746" s="393">
        <f>⑭手動工程入力!M40</f>
        <v/>
      </c>
      <c r="H746" s="393">
        <f>⑭手動工程入力!N40</f>
        <v/>
      </c>
      <c r="I746" s="393">
        <f>⑭手動工程入力!O40</f>
        <v/>
      </c>
    </row>
    <row r="747">
      <c r="A747" s="392" t="n">
        <v>743</v>
      </c>
      <c r="B747" s="392" t="inlineStr">
        <is>
          <t>⑭手動工程入力</t>
        </is>
      </c>
      <c r="C747" s="392" t="n">
        <v>41</v>
      </c>
      <c r="D747" s="392">
        <f>⑭手動工程入力!C41</f>
        <v/>
      </c>
      <c r="E747" s="393">
        <f>⑭手動工程入力!I41</f>
        <v/>
      </c>
      <c r="F747" s="393">
        <f>⑭手動工程入力!J41</f>
        <v/>
      </c>
      <c r="G747" s="393">
        <f>⑭手動工程入力!M41</f>
        <v/>
      </c>
      <c r="H747" s="393">
        <f>⑭手動工程入力!N41</f>
        <v/>
      </c>
      <c r="I747" s="393">
        <f>⑭手動工程入力!O41</f>
        <v/>
      </c>
    </row>
    <row r="748">
      <c r="A748" s="392" t="n">
        <v>744</v>
      </c>
      <c r="B748" s="392" t="inlineStr">
        <is>
          <t>⑭手動工程入力</t>
        </is>
      </c>
      <c r="C748" s="392" t="n">
        <v>42</v>
      </c>
      <c r="D748" s="392">
        <f>⑭手動工程入力!C42</f>
        <v/>
      </c>
      <c r="E748" s="393">
        <f>⑭手動工程入力!I42</f>
        <v/>
      </c>
      <c r="F748" s="393">
        <f>⑭手動工程入力!J42</f>
        <v/>
      </c>
      <c r="G748" s="393">
        <f>⑭手動工程入力!M42</f>
        <v/>
      </c>
      <c r="H748" s="393">
        <f>⑭手動工程入力!N42</f>
        <v/>
      </c>
      <c r="I748" s="393">
        <f>⑭手動工程入力!O42</f>
        <v/>
      </c>
    </row>
    <row r="749">
      <c r="A749" s="392" t="n">
        <v>745</v>
      </c>
      <c r="B749" s="392" t="inlineStr">
        <is>
          <t>⑭手動工程入力</t>
        </is>
      </c>
      <c r="C749" s="392" t="n">
        <v>43</v>
      </c>
      <c r="D749" s="392">
        <f>⑭手動工程入力!C43</f>
        <v/>
      </c>
      <c r="E749" s="393">
        <f>⑭手動工程入力!I43</f>
        <v/>
      </c>
      <c r="F749" s="393">
        <f>⑭手動工程入力!J43</f>
        <v/>
      </c>
      <c r="G749" s="393">
        <f>⑭手動工程入力!M43</f>
        <v/>
      </c>
      <c r="H749" s="393">
        <f>⑭手動工程入力!N43</f>
        <v/>
      </c>
      <c r="I749" s="393">
        <f>⑭手動工程入力!O43</f>
        <v/>
      </c>
    </row>
    <row r="750">
      <c r="A750" s="392" t="n">
        <v>746</v>
      </c>
      <c r="B750" s="392" t="inlineStr">
        <is>
          <t>⑭手動工程入力</t>
        </is>
      </c>
      <c r="C750" s="392" t="n">
        <v>44</v>
      </c>
      <c r="D750" s="392">
        <f>⑭手動工程入力!C44</f>
        <v/>
      </c>
      <c r="E750" s="393">
        <f>⑭手動工程入力!I44</f>
        <v/>
      </c>
      <c r="F750" s="393">
        <f>⑭手動工程入力!J44</f>
        <v/>
      </c>
      <c r="G750" s="393">
        <f>⑭手動工程入力!M44</f>
        <v/>
      </c>
      <c r="H750" s="393">
        <f>⑭手動工程入力!N44</f>
        <v/>
      </c>
      <c r="I750" s="393">
        <f>⑭手動工程入力!O44</f>
        <v/>
      </c>
    </row>
    <row r="751">
      <c r="A751" s="392" t="n">
        <v>747</v>
      </c>
      <c r="B751" s="392" t="inlineStr">
        <is>
          <t>⑭手動工程入力</t>
        </is>
      </c>
      <c r="C751" s="392" t="n">
        <v>45</v>
      </c>
      <c r="D751" s="392">
        <f>⑭手動工程入力!C45</f>
        <v/>
      </c>
      <c r="E751" s="393">
        <f>⑭手動工程入力!I45</f>
        <v/>
      </c>
      <c r="F751" s="393">
        <f>⑭手動工程入力!J45</f>
        <v/>
      </c>
      <c r="G751" s="393">
        <f>⑭手動工程入力!M45</f>
        <v/>
      </c>
      <c r="H751" s="393">
        <f>⑭手動工程入力!N45</f>
        <v/>
      </c>
      <c r="I751" s="393">
        <f>⑭手動工程入力!O45</f>
        <v/>
      </c>
    </row>
    <row r="752">
      <c r="A752" s="392" t="n">
        <v>748</v>
      </c>
      <c r="B752" s="392" t="inlineStr">
        <is>
          <t>⑭手動工程入力</t>
        </is>
      </c>
      <c r="C752" s="392" t="n">
        <v>46</v>
      </c>
      <c r="D752" s="392">
        <f>⑭手動工程入力!C46</f>
        <v/>
      </c>
      <c r="E752" s="393">
        <f>⑭手動工程入力!I46</f>
        <v/>
      </c>
      <c r="F752" s="393">
        <f>⑭手動工程入力!J46</f>
        <v/>
      </c>
      <c r="G752" s="393">
        <f>⑭手動工程入力!M46</f>
        <v/>
      </c>
      <c r="H752" s="393">
        <f>⑭手動工程入力!N46</f>
        <v/>
      </c>
      <c r="I752" s="393">
        <f>⑭手動工程入力!O46</f>
        <v/>
      </c>
    </row>
    <row r="753">
      <c r="A753" s="392" t="n">
        <v>749</v>
      </c>
      <c r="B753" s="392" t="inlineStr">
        <is>
          <t>⑭手動工程入力</t>
        </is>
      </c>
      <c r="C753" s="392" t="n">
        <v>47</v>
      </c>
      <c r="D753" s="392">
        <f>⑭手動工程入力!C47</f>
        <v/>
      </c>
      <c r="E753" s="393">
        <f>⑭手動工程入力!I47</f>
        <v/>
      </c>
      <c r="F753" s="393">
        <f>⑭手動工程入力!J47</f>
        <v/>
      </c>
      <c r="G753" s="393">
        <f>⑭手動工程入力!M47</f>
        <v/>
      </c>
      <c r="H753" s="393">
        <f>⑭手動工程入力!N47</f>
        <v/>
      </c>
      <c r="I753" s="393">
        <f>⑭手動工程入力!O47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3"/>
  <cols>
    <col width="6" customWidth="1" style="438" min="1" max="1"/>
    <col width="36" customWidth="1" style="438" min="2" max="2"/>
    <col width="22" customWidth="1" style="438" min="3" max="3"/>
    <col width="7" customWidth="1" style="438" min="4" max="4"/>
    <col width="17" customWidth="1" style="438" min="5" max="5"/>
    <col width="30" customWidth="1" style="438" min="6" max="6"/>
    <col width="46" customWidth="1" style="438" min="7" max="7"/>
    <col width="15" customWidth="1" style="438" min="8" max="8"/>
    <col width="34" customWidth="1" style="438" min="9" max="9"/>
    <col width="16" customWidth="1" style="438" min="10" max="10"/>
    <col width="8" customWidth="1" style="438" min="11" max="11"/>
    <col width="12" customWidth="1" style="438" min="12" max="12"/>
    <col width="11" customWidth="1" style="438" min="13" max="13"/>
    <col width="12" customWidth="1" style="438" min="14" max="14"/>
    <col width="10" customWidth="1" style="438" min="15" max="15"/>
    <col width="30" customWidth="1" style="438" min="16" max="16"/>
  </cols>
  <sheetData>
    <row r="1" ht="14" customHeight="1" s="438">
      <c r="A1" s="389" t="inlineStr">
        <is>
          <t>⑱ 中間品 単位あたり労務費（★F列に「工程入力での名称」を入れると単価が自動計算されます）</t>
        </is>
      </c>
    </row>
    <row r="2">
      <c r="A2" s="390" t="inlineStr">
        <is>
          <t>※ 益子ではレシピ（中間品リスト）が未整備のため、このシートは使いません。</t>
        </is>
      </c>
    </row>
    <row r="3"/>
    <row r="4" ht="32" customHeight="1" s="438">
      <c r="A4" s="391" t="inlineStr">
        <is>
          <t>No.</t>
        </is>
      </c>
      <c r="B4" s="391" t="inlineStr">
        <is>
          <t>中間品名
(中間品リスト)</t>
        </is>
      </c>
      <c r="C4" s="391" t="inlineStr">
        <is>
          <t>手配内容</t>
        </is>
      </c>
      <c r="D4" s="391" t="inlineStr">
        <is>
          <t>単位</t>
        </is>
      </c>
      <c r="E4" s="391" t="inlineStr">
        <is>
          <t>推奨
工程シート</t>
        </is>
      </c>
      <c r="F4" s="391" t="inlineStr">
        <is>
          <t>★工程入力での名称
(入力)</t>
        </is>
      </c>
      <c r="G4" s="391" t="inlineStr">
        <is>
          <t>名称の候補（参考・上位3件）</t>
        </is>
      </c>
      <c r="H4" s="391" t="inlineStr">
        <is>
          <t>単位あたり労務費
(円/単位) 自動</t>
        </is>
      </c>
      <c r="I4" s="391" t="inlineStr">
        <is>
          <t>状態</t>
        </is>
      </c>
      <c r="J4" s="391" t="inlineStr">
        <is>
          <t>中間品JAN
自動</t>
        </is>
      </c>
      <c r="K4" s="391" t="inlineStr">
        <is>
          <t>JAN実績
行数</t>
        </is>
      </c>
      <c r="L4" s="391" t="inlineStr">
        <is>
          <t>JAN実績
労務費(kg行)</t>
        </is>
      </c>
      <c r="M4" s="391" t="inlineStr">
        <is>
          <t>JAN実績
重量(kg)</t>
        </is>
      </c>
      <c r="N4" s="391" t="inlineStr">
        <is>
          <t>JAN実績
労務費(個行)</t>
        </is>
      </c>
      <c r="O4" s="391" t="inlineStr">
        <is>
          <t>JAN実績
個数</t>
        </is>
      </c>
      <c r="P4" s="391" t="inlineStr">
        <is>
          <t>単位の出どころ</t>
        </is>
      </c>
    </row>
    <row r="5">
      <c r="A5" s="392" t="n">
        <v>1</v>
      </c>
      <c r="B5" s="392" t="n"/>
      <c r="C5" s="392" t="n"/>
      <c r="D5" s="392" t="n"/>
      <c r="E5" s="392" t="n"/>
      <c r="F5" s="394" t="n"/>
      <c r="G5" s="392" t="n"/>
      <c r="H5" s="604">
        <f>IFERROR(IF(AND($K5&gt;0,ISNUMBER(IF(OR($D5="g",$D5="ｇ"),IF($M5&gt;0,$L5/$M5/1000,""),IF($D5="kg",IF($M5&gt;0,$L5/$M5,""),IF($D5="",IF($M5&gt;0,$L5/$M5/1000,IF($O5&gt;0,$N5/$O5,"")),IF($O5&gt;0,$N5/$O5,"")))))),IF(OR($D5="g",$D5="ｇ"),IF($M5&gt;0,$L5/$M5/1000,""),IF($D5="kg",IF($M5&gt;0,$L5/$M5,""),IF($D5="",IF($M5&gt;0,$L5/$M5/1000,IF($O5&gt;0,$N5/$O5,"")),IF($O5&gt;0,$N5/$O5,"")))),IF($F5="",IF(OR($E5="",$E5="⑩盛付梱包工程入力"),"",IF(OR($D5="g",$D5="ｇ"),INDEX(⑰工程労務費一覧!$N$5:$N$11,MATCH($E5,⑰工程労務費一覧!$K$5:$K$11,0))/1000,IF($D5="kg",INDEX(⑰工程労務費一覧!$N$5:$N$11,MATCH($E5,⑰工程労務費一覧!$K$5:$K$11,0)),IF(OR($D5="個",$D5="切",$D5="本",$D5="枚",$D5="尾"),IF($E5="⑬計量工程入力","",INDEX(⑰工程労務費一覧!$P$5:$P$11,MATCH($E5,⑰工程労務費一覧!$K$5:$K$11,0))),IF(AND($D5="",OR($E5="②釜工程入力",$E5="③スチコン工程入力")),INDEX(⑰工程労務費一覧!$N$5:$N$11,MATCH($E5,⑰工程労務費一覧!$K$5:$K$11,0))/1000,""))))),IF(OR($D5="g",$D5="ｇ"),INDEX(⑰工程労務費一覧!$H$5:$H$753,MATCH($F5,⑰工程労務費一覧!$D$5:$D$753,0))/1000,IF($D5="kg",INDEX(⑰工程労務費一覧!$H$5:$H$753,MATCH($F5,⑰工程労務費一覧!$D$5:$D$753,0)),INDEX(⑰工程労務費一覧!$I$5:$I$753,MATCH($F5,⑰工程労務費一覧!$D$5:$D$753,0)))))),"")</f>
        <v/>
      </c>
      <c r="I5" s="392">
        <f>IF($K5&gt;0,IF(ISNUMBER(IF(OR($D5="g",$D5="ｇ"),IF($M5&gt;0,$L5/$M5/1000,""),IF($D5="kg",IF($M5&gt;0,$L5/$M5,""),IF($D5="",IF($M5&gt;0,$L5/$M5/1000,IF($O5&gt;0,$N5/$O5,"")),IF($O5&gt;0,$N5/$O5,""))))),IF($D5="",IF($M5&gt;0,"◎ JAN紐づけ(g扱い)","◎ JAN紐づけ(個扱い)"),"◎ JAN紐づけ"),"△ JAN紐づけ済・実績不足→仮計算"),IF($F5="",IF(ISNUMBER($H5),IF($D5="","⑤ 工程平均で仮計算(g扱い)","⑤ 工程平均で仮計算"),IF($E5="⑩盛付梱包工程入力","⑥ 盛り込み(⑳F列で計上)",IF(AND($E5="⑬計量工程入力",OR($D5="個",$D5="切",$D5="本",$D5="枚",$D5="尾")),"① 未紐づけ(カット個単位は仮単価なし)","① 未紐づけ"))),IF(NOT(ISNUMBER($H5)),"② 工程側に単価なし",IF($D5="","③ 単位未設定(個で計算)","④ OK"))))</f>
        <v/>
      </c>
      <c r="J5" s="399">
        <f>IFERROR(LOOKUP(2,1/((中間品リスト!$F$2:$F$1299=$B5)*(中間品リスト!$E$2:$E$1299&lt;&gt;"-")*(中間品リスト!$E$2:$E$1299&lt;&gt;"")),中間品リスト!$E$2:$E$1299),"")</f>
        <v/>
      </c>
      <c r="K5" s="400">
        <f>IF($J5="",0,COUNTIF(②釜工程入力!$S$5:$S$117,$J5)+COUNTIF(③スチコン工程入力!$S$5:$S$152,$J5)+COUNTIF(⑪ZEN工程入力!$S$6:$S$35,$J5)+COUNTIF(⑫ミキサー工程入力!$S$6:$S$65,$J5)+COUNTIF(⑬計量工程入力!$S$6:$S$65,$J5)+COUNTIF(⑭手動工程入力!$S$6:$S$47,$J5))</f>
        <v/>
      </c>
      <c r="L5" s="393">
        <f>IF($J5="",0,SUMIFS(②釜工程入力!$M$5:$M$117,②釜工程入力!$S$5:$S$117,$J5,②釜工程入力!$I$5:$I$117,"&gt;0")+SUMIFS(③スチコン工程入力!$M$5:$M$152,③スチコン工程入力!$S$5:$S$152,$J5,③スチコン工程入力!$I$5:$I$152,"&gt;0")+SUMIFS(⑪ZEN工程入力!$M$6:$M$35,⑪ZEN工程入力!$S$6:$S$35,$J5,⑪ZEN工程入力!$I$6:$I$35,"&gt;0")+SUMIFS(⑫ミキサー工程入力!$M$6:$M$65,⑫ミキサー工程入力!$S$6:$S$65,$J5,⑫ミキサー工程入力!$I$6:$I$65,"&gt;0")+SUMIFS(⑬計量工程入力!$M$6:$M$65,⑬計量工程入力!$S$6:$S$65,$J5,⑬計量工程入力!$I$6:$I$65,"&gt;0")+SUMIFS(⑭手動工程入力!$M$6:$M$47,⑭手動工程入力!$S$6:$S$47,$J5,⑭手動工程入力!$I$6:$I$47,"&gt;0"))</f>
        <v/>
      </c>
      <c r="M5" s="393">
        <f>IF($J5="",0,SUMIFS(②釜工程入力!$I$5:$I$117,②釜工程入力!$S$5:$S$117,$J5,②釜工程入力!$I$5:$I$117,"&gt;0",②釜工程入力!$M$5:$M$117,"&gt;0")+SUMIFS(③スチコン工程入力!$I$5:$I$152,③スチコン工程入力!$S$5:$S$152,$J5,③スチコン工程入力!$I$5:$I$152,"&gt;0",③スチコン工程入力!$M$5:$M$152,"&gt;0")+SUMIFS(⑪ZEN工程入力!$I$6:$I$35,⑪ZEN工程入力!$S$6:$S$35,$J5,⑪ZEN工程入力!$I$6:$I$35,"&gt;0",⑪ZEN工程入力!$M$6:$M$35,"&gt;0")+SUMIFS(⑫ミキサー工程入力!$I$6:$I$65,⑫ミキサー工程入力!$S$6:$S$65,$J5,⑫ミキサー工程入力!$I$6:$I$65,"&gt;0",⑫ミキサー工程入力!$M$6:$M$65,"&gt;0")+SUMIFS(⑬計量工程入力!$I$6:$I$65,⑬計量工程入力!$S$6:$S$65,$J5,⑬計量工程入力!$I$6:$I$65,"&gt;0",⑬計量工程入力!$M$6:$M$65,"&gt;0")+SUMIFS(⑭手動工程入力!$I$6:$I$47,⑭手動工程入力!$S$6:$S$47,$J5,⑭手動工程入力!$I$6:$I$47,"&gt;0",⑭手動工程入力!$M$6:$M$47,"&gt;0"))</f>
        <v/>
      </c>
      <c r="N5" s="393">
        <f>IF($J5="",0,SUMIFS(②釜工程入力!$M$5:$M$117,②釜工程入力!$S$5:$S$117,$J5,②釜工程入力!$J$5:$J$117,"&gt;0")-SUMIFS(②釜工程入力!$M$5:$M$117,②釜工程入力!$S$5:$S$117,$J5,②釜工程入力!$J$5:$J$117,"&gt;0",②釜工程入力!$I$5:$I$117,"&gt;0")+SUMIFS(③スチコン工程入力!$M$5:$M$152,③スチコン工程入力!$S$5:$S$152,$J5,③スチコン工程入力!$J$5:$J$152,"&gt;0")-SUMIFS(③スチコン工程入力!$M$5:$M$152,③スチコン工程入力!$S$5:$S$152,$J5,③スチコン工程入力!$J$5:$J$152,"&gt;0",③スチコン工程入力!$I$5:$I$152,"&gt;0")+SUMIFS(⑪ZEN工程入力!$M$6:$M$35,⑪ZEN工程入力!$S$6:$S$35,$J5,⑪ZEN工程入力!$J$6:$J$35,"&gt;0")-SUMIFS(⑪ZEN工程入力!$M$6:$M$35,⑪ZEN工程入力!$S$6:$S$35,$J5,⑪ZEN工程入力!$J$6:$J$35,"&gt;0",⑪ZEN工程入力!$I$6:$I$35,"&gt;0")+SUMIFS(⑫ミキサー工程入力!$M$6:$M$65,⑫ミキサー工程入力!$S$6:$S$65,$J5,⑫ミキサー工程入力!$J$6:$J$65,"&gt;0")-SUMIFS(⑫ミキサー工程入力!$M$6:$M$65,⑫ミキサー工程入力!$S$6:$S$65,$J5,⑫ミキサー工程入力!$J$6:$J$65,"&gt;0",⑫ミキサー工程入力!$I$6:$I$65,"&gt;0")+SUMIFS(⑬計量工程入力!$M$6:$M$65,⑬計量工程入力!$S$6:$S$65,$J5,⑬計量工程入力!$J$6:$J$65,"&gt;0")-SUMIFS(⑬計量工程入力!$M$6:$M$65,⑬計量工程入力!$S$6:$S$65,$J5,⑬計量工程入力!$J$6:$J$65,"&gt;0",⑬計量工程入力!$I$6:$I$65,"&gt;0")+SUMIFS(⑭手動工程入力!$M$6:$M$47,⑭手動工程入力!$S$6:$S$47,$J5,⑭手動工程入力!$J$6:$J$47,"&gt;0")-SUMIFS(⑭手動工程入力!$M$6:$M$47,⑭手動工程入力!$S$6:$S$47,$J5,⑭手動工程入力!$J$6:$J$47,"&gt;0",⑭手動工程入力!$I$6:$I$47,"&gt;0"))</f>
        <v/>
      </c>
      <c r="O5" s="393">
        <f>IF($J5="",0,SUMIFS(②釜工程入力!$J$5:$J$117,②釜工程入力!$S$5:$S$117,$J5,②釜工程入力!$J$5:$J$117,"&gt;0",②釜工程入力!$M$5:$M$117,"&gt;0")-SUMIFS(②釜工程入力!$J$5:$J$117,②釜工程入力!$S$5:$S$117,$J5,②釜工程入力!$J$5:$J$117,"&gt;0",②釜工程入力!$I$5:$I$117,"&gt;0",②釜工程入力!$M$5:$M$117,"&gt;0")+SUMIFS(③スチコン工程入力!$J$5:$J$152,③スチコン工程入力!$S$5:$S$152,$J5,③スチコン工程入力!$J$5:$J$152,"&gt;0",③スチコン工程入力!$M$5:$M$152,"&gt;0")-SUMIFS(③スチコン工程入力!$J$5:$J$152,③スチコン工程入力!$S$5:$S$152,$J5,③スチコン工程入力!$J$5:$J$152,"&gt;0",③スチコン工程入力!$I$5:$I$152,"&gt;0",③スチコン工程入力!$M$5:$M$152,"&gt;0")+SUMIFS(⑪ZEN工程入力!$J$6:$J$35,⑪ZEN工程入力!$S$6:$S$35,$J5,⑪ZEN工程入力!$J$6:$J$35,"&gt;0",⑪ZEN工程入力!$M$6:$M$35,"&gt;0")-SUMIFS(⑪ZEN工程入力!$J$6:$J$35,⑪ZEN工程入力!$S$6:$S$35,$J5,⑪ZEN工程入力!$J$6:$J$35,"&gt;0",⑪ZEN工程入力!$I$6:$I$35,"&gt;0",⑪ZEN工程入力!$M$6:$M$35,"&gt;0")+SUMIFS(⑫ミキサー工程入力!$J$6:$J$65,⑫ミキサー工程入力!$S$6:$S$65,$J5,⑫ミキサー工程入力!$J$6:$J$65,"&gt;0",⑫ミキサー工程入力!$M$6:$M$65,"&gt;0")-SUMIFS(⑫ミキサー工程入力!$J$6:$J$65,⑫ミキサー工程入力!$S$6:$S$65,$J5,⑫ミキサー工程入力!$J$6:$J$65,"&gt;0",⑫ミキサー工程入力!$I$6:$I$65,"&gt;0",⑫ミキサー工程入力!$M$6:$M$65,"&gt;0")+SUMIFS(⑬計量工程入力!$J$6:$J$65,⑬計量工程入力!$S$6:$S$65,$J5,⑬計量工程入力!$J$6:$J$65,"&gt;0",⑬計量工程入力!$M$6:$M$65,"&gt;0")-SUMIFS(⑬計量工程入力!$J$6:$J$65,⑬計量工程入力!$S$6:$S$65,$J5,⑬計量工程入力!$J$6:$J$65,"&gt;0",⑬計量工程入力!$I$6:$I$65,"&gt;0",⑬計量工程入力!$M$6:$M$65,"&gt;0")+SUMIFS(⑭手動工程入力!$J$6:$J$47,⑭手動工程入力!$S$6:$S$47,$J5,⑭手動工程入力!$J$6:$J$47,"&gt;0",⑭手動工程入力!$M$6:$M$47,"&gt;0")-SUMIFS(⑭手動工程入力!$J$6:$J$47,⑭手動工程入力!$S$6:$S$47,$J5,⑭手動工程入力!$J$6:$J$47,"&gt;0",⑭手動工程入力!$I$6:$I$47,"&gt;0",⑭手動工程入力!$M$6:$M$47,"&gt;0"))</f>
        <v/>
      </c>
      <c r="P5" s="392" t="n"/>
    </row>
    <row r="6">
      <c r="A6" s="392" t="n">
        <v>2</v>
      </c>
      <c r="B6" s="392" t="n"/>
      <c r="C6" s="392" t="n"/>
      <c r="D6" s="392" t="n"/>
      <c r="E6" s="392" t="n"/>
      <c r="F6" s="394" t="n"/>
      <c r="G6" s="392" t="n"/>
      <c r="H6" s="604">
        <f>IFERROR(IF(AND($K6&gt;0,ISNUMBER(IF(OR($D6="g",$D6="ｇ"),IF($M6&gt;0,$L6/$M6/1000,""),IF($D6="kg",IF($M6&gt;0,$L6/$M6,""),IF($D6="",IF($M6&gt;0,$L6/$M6/1000,IF($O6&gt;0,$N6/$O6,"")),IF($O6&gt;0,$N6/$O6,"")))))),IF(OR($D6="g",$D6="ｇ"),IF($M6&gt;0,$L6/$M6/1000,""),IF($D6="kg",IF($M6&gt;0,$L6/$M6,""),IF($D6="",IF($M6&gt;0,$L6/$M6/1000,IF($O6&gt;0,$N6/$O6,"")),IF($O6&gt;0,$N6/$O6,"")))),IF($F6="",IF(OR($E6="",$E6="⑩盛付梱包工程入力"),"",IF(OR($D6="g",$D6="ｇ"),INDEX(⑰工程労務費一覧!$N$5:$N$11,MATCH($E6,⑰工程労務費一覧!$K$5:$K$11,0))/1000,IF($D6="kg",INDEX(⑰工程労務費一覧!$N$5:$N$11,MATCH($E6,⑰工程労務費一覧!$K$5:$K$11,0)),IF(OR($D6="個",$D6="切",$D6="本",$D6="枚",$D6="尾"),IF($E6="⑬計量工程入力","",INDEX(⑰工程労務費一覧!$P$5:$P$11,MATCH($E6,⑰工程労務費一覧!$K$5:$K$11,0))),IF(AND($D6="",OR($E6="②釜工程入力",$E6="③スチコン工程入力")),INDEX(⑰工程労務費一覧!$N$5:$N$11,MATCH($E6,⑰工程労務費一覧!$K$5:$K$11,0))/1000,""))))),IF(OR($D6="g",$D6="ｇ"),INDEX(⑰工程労務費一覧!$H$5:$H$753,MATCH($F6,⑰工程労務費一覧!$D$5:$D$753,0))/1000,IF($D6="kg",INDEX(⑰工程労務費一覧!$H$5:$H$753,MATCH($F6,⑰工程労務費一覧!$D$5:$D$753,0)),INDEX(⑰工程労務費一覧!$I$5:$I$753,MATCH($F6,⑰工程労務費一覧!$D$5:$D$753,0)))))),"")</f>
        <v/>
      </c>
      <c r="I6" s="392">
        <f>IF($K6&gt;0,IF(ISNUMBER(IF(OR($D6="g",$D6="ｇ"),IF($M6&gt;0,$L6/$M6/1000,""),IF($D6="kg",IF($M6&gt;0,$L6/$M6,""),IF($D6="",IF($M6&gt;0,$L6/$M6/1000,IF($O6&gt;0,$N6/$O6,"")),IF($O6&gt;0,$N6/$O6,""))))),IF($D6="",IF($M6&gt;0,"◎ JAN紐づけ(g扱い)","◎ JAN紐づけ(個扱い)"),"◎ JAN紐づけ"),"△ JAN紐づけ済・実績不足→仮計算"),IF($F6="",IF(ISNUMBER($H6),IF($D6="","⑤ 工程平均で仮計算(g扱い)","⑤ 工程平均で仮計算"),IF($E6="⑩盛付梱包工程入力","⑥ 盛り込み(⑳F列で計上)",IF(AND($E6="⑬計量工程入力",OR($D6="個",$D6="切",$D6="本",$D6="枚",$D6="尾")),"① 未紐づけ(カット個単位は仮単価なし)","① 未紐づけ"))),IF(NOT(ISNUMBER($H6)),"② 工程側に単価なし",IF($D6="","③ 単位未設定(個で計算)","④ OK"))))</f>
        <v/>
      </c>
      <c r="J6" s="399">
        <f>IFERROR(LOOKUP(2,1/((中間品リスト!$F$2:$F$1299=$B6)*(中間品リスト!$E$2:$E$1299&lt;&gt;"-")*(中間品リスト!$E$2:$E$1299&lt;&gt;"")),中間品リスト!$E$2:$E$1299),"")</f>
        <v/>
      </c>
      <c r="K6" s="400">
        <f>IF($J6="",0,COUNTIF(②釜工程入力!$S$5:$S$117,$J6)+COUNTIF(③スチコン工程入力!$S$5:$S$152,$J6)+COUNTIF(⑪ZEN工程入力!$S$6:$S$35,$J6)+COUNTIF(⑫ミキサー工程入力!$S$6:$S$65,$J6)+COUNTIF(⑬計量工程入力!$S$6:$S$65,$J6)+COUNTIF(⑭手動工程入力!$S$6:$S$47,$J6))</f>
        <v/>
      </c>
      <c r="L6" s="393">
        <f>IF($J6="",0,SUMIFS(②釜工程入力!$M$5:$M$117,②釜工程入力!$S$5:$S$117,$J6,②釜工程入力!$I$5:$I$117,"&gt;0")+SUMIFS(③スチコン工程入力!$M$5:$M$152,③スチコン工程入力!$S$5:$S$152,$J6,③スチコン工程入力!$I$5:$I$152,"&gt;0")+SUMIFS(⑪ZEN工程入力!$M$6:$M$35,⑪ZEN工程入力!$S$6:$S$35,$J6,⑪ZEN工程入力!$I$6:$I$35,"&gt;0")+SUMIFS(⑫ミキサー工程入力!$M$6:$M$65,⑫ミキサー工程入力!$S$6:$S$65,$J6,⑫ミキサー工程入力!$I$6:$I$65,"&gt;0")+SUMIFS(⑬計量工程入力!$M$6:$M$65,⑬計量工程入力!$S$6:$S$65,$J6,⑬計量工程入力!$I$6:$I$65,"&gt;0")+SUMIFS(⑭手動工程入力!$M$6:$M$47,⑭手動工程入力!$S$6:$S$47,$J6,⑭手動工程入力!$I$6:$I$47,"&gt;0"))</f>
        <v/>
      </c>
      <c r="M6" s="393">
        <f>IF($J6="",0,SUMIFS(②釜工程入力!$I$5:$I$117,②釜工程入力!$S$5:$S$117,$J6,②釜工程入力!$I$5:$I$117,"&gt;0",②釜工程入力!$M$5:$M$117,"&gt;0")+SUMIFS(③スチコン工程入力!$I$5:$I$152,③スチコン工程入力!$S$5:$S$152,$J6,③スチコン工程入力!$I$5:$I$152,"&gt;0",③スチコン工程入力!$M$5:$M$152,"&gt;0")+SUMIFS(⑪ZEN工程入力!$I$6:$I$35,⑪ZEN工程入力!$S$6:$S$35,$J6,⑪ZEN工程入力!$I$6:$I$35,"&gt;0",⑪ZEN工程入力!$M$6:$M$35,"&gt;0")+SUMIFS(⑫ミキサー工程入力!$I$6:$I$65,⑫ミキサー工程入力!$S$6:$S$65,$J6,⑫ミキサー工程入力!$I$6:$I$65,"&gt;0",⑫ミキサー工程入力!$M$6:$M$65,"&gt;0")+SUMIFS(⑬計量工程入力!$I$6:$I$65,⑬計量工程入力!$S$6:$S$65,$J6,⑬計量工程入力!$I$6:$I$65,"&gt;0",⑬計量工程入力!$M$6:$M$65,"&gt;0")+SUMIFS(⑭手動工程入力!$I$6:$I$47,⑭手動工程入力!$S$6:$S$47,$J6,⑭手動工程入力!$I$6:$I$47,"&gt;0",⑭手動工程入力!$M$6:$M$47,"&gt;0"))</f>
        <v/>
      </c>
      <c r="N6" s="393">
        <f>IF($J6="",0,SUMIFS(②釜工程入力!$M$5:$M$117,②釜工程入力!$S$5:$S$117,$J6,②釜工程入力!$J$5:$J$117,"&gt;0")-SUMIFS(②釜工程入力!$M$5:$M$117,②釜工程入力!$S$5:$S$117,$J6,②釜工程入力!$J$5:$J$117,"&gt;0",②釜工程入力!$I$5:$I$117,"&gt;0")+SUMIFS(③スチコン工程入力!$M$5:$M$152,③スチコン工程入力!$S$5:$S$152,$J6,③スチコン工程入力!$J$5:$J$152,"&gt;0")-SUMIFS(③スチコン工程入力!$M$5:$M$152,③スチコン工程入力!$S$5:$S$152,$J6,③スチコン工程入力!$J$5:$J$152,"&gt;0",③スチコン工程入力!$I$5:$I$152,"&gt;0")+SUMIFS(⑪ZEN工程入力!$M$6:$M$35,⑪ZEN工程入力!$S$6:$S$35,$J6,⑪ZEN工程入力!$J$6:$J$35,"&gt;0")-SUMIFS(⑪ZEN工程入力!$M$6:$M$35,⑪ZEN工程入力!$S$6:$S$35,$J6,⑪ZEN工程入力!$J$6:$J$35,"&gt;0",⑪ZEN工程入力!$I$6:$I$35,"&gt;0")+SUMIFS(⑫ミキサー工程入力!$M$6:$M$65,⑫ミキサー工程入力!$S$6:$S$65,$J6,⑫ミキサー工程入力!$J$6:$J$65,"&gt;0")-SUMIFS(⑫ミキサー工程入力!$M$6:$M$65,⑫ミキサー工程入力!$S$6:$S$65,$J6,⑫ミキサー工程入力!$J$6:$J$65,"&gt;0",⑫ミキサー工程入力!$I$6:$I$65,"&gt;0")+SUMIFS(⑬計量工程入力!$M$6:$M$65,⑬計量工程入力!$S$6:$S$65,$J6,⑬計量工程入力!$J$6:$J$65,"&gt;0")-SUMIFS(⑬計量工程入力!$M$6:$M$65,⑬計量工程入力!$S$6:$S$65,$J6,⑬計量工程入力!$J$6:$J$65,"&gt;0",⑬計量工程入力!$I$6:$I$65,"&gt;0")+SUMIFS(⑭手動工程入力!$M$6:$M$47,⑭手動工程入力!$S$6:$S$47,$J6,⑭手動工程入力!$J$6:$J$47,"&gt;0")-SUMIFS(⑭手動工程入力!$M$6:$M$47,⑭手動工程入力!$S$6:$S$47,$J6,⑭手動工程入力!$J$6:$J$47,"&gt;0",⑭手動工程入力!$I$6:$I$47,"&gt;0"))</f>
        <v/>
      </c>
      <c r="O6" s="393">
        <f>IF($J6="",0,SUMIFS(②釜工程入力!$J$5:$J$117,②釜工程入力!$S$5:$S$117,$J6,②釜工程入力!$J$5:$J$117,"&gt;0",②釜工程入力!$M$5:$M$117,"&gt;0")-SUMIFS(②釜工程入力!$J$5:$J$117,②釜工程入力!$S$5:$S$117,$J6,②釜工程入力!$J$5:$J$117,"&gt;0",②釜工程入力!$I$5:$I$117,"&gt;0",②釜工程入力!$M$5:$M$117,"&gt;0")+SUMIFS(③スチコン工程入力!$J$5:$J$152,③スチコン工程入力!$S$5:$S$152,$J6,③スチコン工程入力!$J$5:$J$152,"&gt;0",③スチコン工程入力!$M$5:$M$152,"&gt;0")-SUMIFS(③スチコン工程入力!$J$5:$J$152,③スチコン工程入力!$S$5:$S$152,$J6,③スチコン工程入力!$J$5:$J$152,"&gt;0",③スチコン工程入力!$I$5:$I$152,"&gt;0",③スチコン工程入力!$M$5:$M$152,"&gt;0")+SUMIFS(⑪ZEN工程入力!$J$6:$J$35,⑪ZEN工程入力!$S$6:$S$35,$J6,⑪ZEN工程入力!$J$6:$J$35,"&gt;0",⑪ZEN工程入力!$M$6:$M$35,"&gt;0")-SUMIFS(⑪ZEN工程入力!$J$6:$J$35,⑪ZEN工程入力!$S$6:$S$35,$J6,⑪ZEN工程入力!$J$6:$J$35,"&gt;0",⑪ZEN工程入力!$I$6:$I$35,"&gt;0",⑪ZEN工程入力!$M$6:$M$35,"&gt;0")+SUMIFS(⑫ミキサー工程入力!$J$6:$J$65,⑫ミキサー工程入力!$S$6:$S$65,$J6,⑫ミキサー工程入力!$J$6:$J$65,"&gt;0",⑫ミキサー工程入力!$M$6:$M$65,"&gt;0")-SUMIFS(⑫ミキサー工程入力!$J$6:$J$65,⑫ミキサー工程入力!$S$6:$S$65,$J6,⑫ミキサー工程入力!$J$6:$J$65,"&gt;0",⑫ミキサー工程入力!$I$6:$I$65,"&gt;0",⑫ミキサー工程入力!$M$6:$M$65,"&gt;0")+SUMIFS(⑬計量工程入力!$J$6:$J$65,⑬計量工程入力!$S$6:$S$65,$J6,⑬計量工程入力!$J$6:$J$65,"&gt;0",⑬計量工程入力!$M$6:$M$65,"&gt;0")-SUMIFS(⑬計量工程入力!$J$6:$J$65,⑬計量工程入力!$S$6:$S$65,$J6,⑬計量工程入力!$J$6:$J$65,"&gt;0",⑬計量工程入力!$I$6:$I$65,"&gt;0",⑬計量工程入力!$M$6:$M$65,"&gt;0")+SUMIFS(⑭手動工程入力!$J$6:$J$47,⑭手動工程入力!$S$6:$S$47,$J6,⑭手動工程入力!$J$6:$J$47,"&gt;0",⑭手動工程入力!$M$6:$M$47,"&gt;0")-SUMIFS(⑭手動工程入力!$J$6:$J$47,⑭手動工程入力!$S$6:$S$47,$J6,⑭手動工程入力!$J$6:$J$47,"&gt;0",⑭手動工程入力!$I$6:$I$47,"&gt;0",⑭手動工程入力!$M$6:$M$47,"&gt;0"))</f>
        <v/>
      </c>
      <c r="P6" s="392" t="n"/>
    </row>
    <row r="7">
      <c r="A7" s="392" t="n">
        <v>3</v>
      </c>
      <c r="B7" s="392" t="n"/>
      <c r="C7" s="392" t="n"/>
      <c r="D7" s="392" t="n"/>
      <c r="E7" s="392" t="n"/>
      <c r="F7" s="394" t="n"/>
      <c r="G7" s="392" t="n"/>
      <c r="H7" s="604">
        <f>IFERROR(IF(AND($K7&gt;0,ISNUMBER(IF(OR($D7="g",$D7="ｇ"),IF($M7&gt;0,$L7/$M7/1000,""),IF($D7="kg",IF($M7&gt;0,$L7/$M7,""),IF($D7="",IF($M7&gt;0,$L7/$M7/1000,IF($O7&gt;0,$N7/$O7,"")),IF($O7&gt;0,$N7/$O7,"")))))),IF(OR($D7="g",$D7="ｇ"),IF($M7&gt;0,$L7/$M7/1000,""),IF($D7="kg",IF($M7&gt;0,$L7/$M7,""),IF($D7="",IF($M7&gt;0,$L7/$M7/1000,IF($O7&gt;0,$N7/$O7,"")),IF($O7&gt;0,$N7/$O7,"")))),IF($F7="",IF(OR($E7="",$E7="⑩盛付梱包工程入力"),"",IF(OR($D7="g",$D7="ｇ"),INDEX(⑰工程労務費一覧!$N$5:$N$11,MATCH($E7,⑰工程労務費一覧!$K$5:$K$11,0))/1000,IF($D7="kg",INDEX(⑰工程労務費一覧!$N$5:$N$11,MATCH($E7,⑰工程労務費一覧!$K$5:$K$11,0)),IF(OR($D7="個",$D7="切",$D7="本",$D7="枚",$D7="尾"),IF($E7="⑬計量工程入力","",INDEX(⑰工程労務費一覧!$P$5:$P$11,MATCH($E7,⑰工程労務費一覧!$K$5:$K$11,0))),IF(AND($D7="",OR($E7="②釜工程入力",$E7="③スチコン工程入力")),INDEX(⑰工程労務費一覧!$N$5:$N$11,MATCH($E7,⑰工程労務費一覧!$K$5:$K$11,0))/1000,""))))),IF(OR($D7="g",$D7="ｇ"),INDEX(⑰工程労務費一覧!$H$5:$H$753,MATCH($F7,⑰工程労務費一覧!$D$5:$D$753,0))/1000,IF($D7="kg",INDEX(⑰工程労務費一覧!$H$5:$H$753,MATCH($F7,⑰工程労務費一覧!$D$5:$D$753,0)),INDEX(⑰工程労務費一覧!$I$5:$I$753,MATCH($F7,⑰工程労務費一覧!$D$5:$D$753,0)))))),"")</f>
        <v/>
      </c>
      <c r="I7" s="392">
        <f>IF($K7&gt;0,IF(ISNUMBER(IF(OR($D7="g",$D7="ｇ"),IF($M7&gt;0,$L7/$M7/1000,""),IF($D7="kg",IF($M7&gt;0,$L7/$M7,""),IF($D7="",IF($M7&gt;0,$L7/$M7/1000,IF($O7&gt;0,$N7/$O7,"")),IF($O7&gt;0,$N7/$O7,""))))),IF($D7="",IF($M7&gt;0,"◎ JAN紐づけ(g扱い)","◎ JAN紐づけ(個扱い)"),"◎ JAN紐づけ"),"△ JAN紐づけ済・実績不足→仮計算"),IF($F7="",IF(ISNUMBER($H7),IF($D7="","⑤ 工程平均で仮計算(g扱い)","⑤ 工程平均で仮計算"),IF($E7="⑩盛付梱包工程入力","⑥ 盛り込み(⑳F列で計上)",IF(AND($E7="⑬計量工程入力",OR($D7="個",$D7="切",$D7="本",$D7="枚",$D7="尾")),"① 未紐づけ(カット個単位は仮単価なし)","① 未紐づけ"))),IF(NOT(ISNUMBER($H7)),"② 工程側に単価なし",IF($D7="","③ 単位未設定(個で計算)","④ OK"))))</f>
        <v/>
      </c>
      <c r="J7" s="399">
        <f>IFERROR(LOOKUP(2,1/((中間品リスト!$F$2:$F$1299=$B7)*(中間品リスト!$E$2:$E$1299&lt;&gt;"-")*(中間品リスト!$E$2:$E$1299&lt;&gt;"")),中間品リスト!$E$2:$E$1299),"")</f>
        <v/>
      </c>
      <c r="K7" s="400">
        <f>IF($J7="",0,COUNTIF(②釜工程入力!$S$5:$S$117,$J7)+COUNTIF(③スチコン工程入力!$S$5:$S$152,$J7)+COUNTIF(⑪ZEN工程入力!$S$6:$S$35,$J7)+COUNTIF(⑫ミキサー工程入力!$S$6:$S$65,$J7)+COUNTIF(⑬計量工程入力!$S$6:$S$65,$J7)+COUNTIF(⑭手動工程入力!$S$6:$S$47,$J7))</f>
        <v/>
      </c>
      <c r="L7" s="393">
        <f>IF($J7="",0,SUMIFS(②釜工程入力!$M$5:$M$117,②釜工程入力!$S$5:$S$117,$J7,②釜工程入力!$I$5:$I$117,"&gt;0")+SUMIFS(③スチコン工程入力!$M$5:$M$152,③スチコン工程入力!$S$5:$S$152,$J7,③スチコン工程入力!$I$5:$I$152,"&gt;0")+SUMIFS(⑪ZEN工程入力!$M$6:$M$35,⑪ZEN工程入力!$S$6:$S$35,$J7,⑪ZEN工程入力!$I$6:$I$35,"&gt;0")+SUMIFS(⑫ミキサー工程入力!$M$6:$M$65,⑫ミキサー工程入力!$S$6:$S$65,$J7,⑫ミキサー工程入力!$I$6:$I$65,"&gt;0")+SUMIFS(⑬計量工程入力!$M$6:$M$65,⑬計量工程入力!$S$6:$S$65,$J7,⑬計量工程入力!$I$6:$I$65,"&gt;0")+SUMIFS(⑭手動工程入力!$M$6:$M$47,⑭手動工程入力!$S$6:$S$47,$J7,⑭手動工程入力!$I$6:$I$47,"&gt;0"))</f>
        <v/>
      </c>
      <c r="M7" s="393">
        <f>IF($J7="",0,SUMIFS(②釜工程入力!$I$5:$I$117,②釜工程入力!$S$5:$S$117,$J7,②釜工程入力!$I$5:$I$117,"&gt;0",②釜工程入力!$M$5:$M$117,"&gt;0")+SUMIFS(③スチコン工程入力!$I$5:$I$152,③スチコン工程入力!$S$5:$S$152,$J7,③スチコン工程入力!$I$5:$I$152,"&gt;0",③スチコン工程入力!$M$5:$M$152,"&gt;0")+SUMIFS(⑪ZEN工程入力!$I$6:$I$35,⑪ZEN工程入力!$S$6:$S$35,$J7,⑪ZEN工程入力!$I$6:$I$35,"&gt;0",⑪ZEN工程入力!$M$6:$M$35,"&gt;0")+SUMIFS(⑫ミキサー工程入力!$I$6:$I$65,⑫ミキサー工程入力!$S$6:$S$65,$J7,⑫ミキサー工程入力!$I$6:$I$65,"&gt;0",⑫ミキサー工程入力!$M$6:$M$65,"&gt;0")+SUMIFS(⑬計量工程入力!$I$6:$I$65,⑬計量工程入力!$S$6:$S$65,$J7,⑬計量工程入力!$I$6:$I$65,"&gt;0",⑬計量工程入力!$M$6:$M$65,"&gt;0")+SUMIFS(⑭手動工程入力!$I$6:$I$47,⑭手動工程入力!$S$6:$S$47,$J7,⑭手動工程入力!$I$6:$I$47,"&gt;0",⑭手動工程入力!$M$6:$M$47,"&gt;0"))</f>
        <v/>
      </c>
      <c r="N7" s="393">
        <f>IF($J7="",0,SUMIFS(②釜工程入力!$M$5:$M$117,②釜工程入力!$S$5:$S$117,$J7,②釜工程入力!$J$5:$J$117,"&gt;0")-SUMIFS(②釜工程入力!$M$5:$M$117,②釜工程入力!$S$5:$S$117,$J7,②釜工程入力!$J$5:$J$117,"&gt;0",②釜工程入力!$I$5:$I$117,"&gt;0")+SUMIFS(③スチコン工程入力!$M$5:$M$152,③スチコン工程入力!$S$5:$S$152,$J7,③スチコン工程入力!$J$5:$J$152,"&gt;0")-SUMIFS(③スチコン工程入力!$M$5:$M$152,③スチコン工程入力!$S$5:$S$152,$J7,③スチコン工程入力!$J$5:$J$152,"&gt;0",③スチコン工程入力!$I$5:$I$152,"&gt;0")+SUMIFS(⑪ZEN工程入力!$M$6:$M$35,⑪ZEN工程入力!$S$6:$S$35,$J7,⑪ZEN工程入力!$J$6:$J$35,"&gt;0")-SUMIFS(⑪ZEN工程入力!$M$6:$M$35,⑪ZEN工程入力!$S$6:$S$35,$J7,⑪ZEN工程入力!$J$6:$J$35,"&gt;0",⑪ZEN工程入力!$I$6:$I$35,"&gt;0")+SUMIFS(⑫ミキサー工程入力!$M$6:$M$65,⑫ミキサー工程入力!$S$6:$S$65,$J7,⑫ミキサー工程入力!$J$6:$J$65,"&gt;0")-SUMIFS(⑫ミキサー工程入力!$M$6:$M$65,⑫ミキサー工程入力!$S$6:$S$65,$J7,⑫ミキサー工程入力!$J$6:$J$65,"&gt;0",⑫ミキサー工程入力!$I$6:$I$65,"&gt;0")+SUMIFS(⑬計量工程入力!$M$6:$M$65,⑬計量工程入力!$S$6:$S$65,$J7,⑬計量工程入力!$J$6:$J$65,"&gt;0")-SUMIFS(⑬計量工程入力!$M$6:$M$65,⑬計量工程入力!$S$6:$S$65,$J7,⑬計量工程入力!$J$6:$J$65,"&gt;0",⑬計量工程入力!$I$6:$I$65,"&gt;0")+SUMIFS(⑭手動工程入力!$M$6:$M$47,⑭手動工程入力!$S$6:$S$47,$J7,⑭手動工程入力!$J$6:$J$47,"&gt;0")-SUMIFS(⑭手動工程入力!$M$6:$M$47,⑭手動工程入力!$S$6:$S$47,$J7,⑭手動工程入力!$J$6:$J$47,"&gt;0",⑭手動工程入力!$I$6:$I$47,"&gt;0"))</f>
        <v/>
      </c>
      <c r="O7" s="393">
        <f>IF($J7="",0,SUMIFS(②釜工程入力!$J$5:$J$117,②釜工程入力!$S$5:$S$117,$J7,②釜工程入力!$J$5:$J$117,"&gt;0",②釜工程入力!$M$5:$M$117,"&gt;0")-SUMIFS(②釜工程入力!$J$5:$J$117,②釜工程入力!$S$5:$S$117,$J7,②釜工程入力!$J$5:$J$117,"&gt;0",②釜工程入力!$I$5:$I$117,"&gt;0",②釜工程入力!$M$5:$M$117,"&gt;0")+SUMIFS(③スチコン工程入力!$J$5:$J$152,③スチコン工程入力!$S$5:$S$152,$J7,③スチコン工程入力!$J$5:$J$152,"&gt;0",③スチコン工程入力!$M$5:$M$152,"&gt;0")-SUMIFS(③スチコン工程入力!$J$5:$J$152,③スチコン工程入力!$S$5:$S$152,$J7,③スチコン工程入力!$J$5:$J$152,"&gt;0",③スチコン工程入力!$I$5:$I$152,"&gt;0",③スチコン工程入力!$M$5:$M$152,"&gt;0")+SUMIFS(⑪ZEN工程入力!$J$6:$J$35,⑪ZEN工程入力!$S$6:$S$35,$J7,⑪ZEN工程入力!$J$6:$J$35,"&gt;0",⑪ZEN工程入力!$M$6:$M$35,"&gt;0")-SUMIFS(⑪ZEN工程入力!$J$6:$J$35,⑪ZEN工程入力!$S$6:$S$35,$J7,⑪ZEN工程入力!$J$6:$J$35,"&gt;0",⑪ZEN工程入力!$I$6:$I$35,"&gt;0",⑪ZEN工程入力!$M$6:$M$35,"&gt;0")+SUMIFS(⑫ミキサー工程入力!$J$6:$J$65,⑫ミキサー工程入力!$S$6:$S$65,$J7,⑫ミキサー工程入力!$J$6:$J$65,"&gt;0",⑫ミキサー工程入力!$M$6:$M$65,"&gt;0")-SUMIFS(⑫ミキサー工程入力!$J$6:$J$65,⑫ミキサー工程入力!$S$6:$S$65,$J7,⑫ミキサー工程入力!$J$6:$J$65,"&gt;0",⑫ミキサー工程入力!$I$6:$I$65,"&gt;0",⑫ミキサー工程入力!$M$6:$M$65,"&gt;0")+SUMIFS(⑬計量工程入力!$J$6:$J$65,⑬計量工程入力!$S$6:$S$65,$J7,⑬計量工程入力!$J$6:$J$65,"&gt;0",⑬計量工程入力!$M$6:$M$65,"&gt;0")-SUMIFS(⑬計量工程入力!$J$6:$J$65,⑬計量工程入力!$S$6:$S$65,$J7,⑬計量工程入力!$J$6:$J$65,"&gt;0",⑬計量工程入力!$I$6:$I$65,"&gt;0",⑬計量工程入力!$M$6:$M$65,"&gt;0")+SUMIFS(⑭手動工程入力!$J$6:$J$47,⑭手動工程入力!$S$6:$S$47,$J7,⑭手動工程入力!$J$6:$J$47,"&gt;0",⑭手動工程入力!$M$6:$M$47,"&gt;0")-SUMIFS(⑭手動工程入力!$J$6:$J$47,⑭手動工程入力!$S$6:$S$47,$J7,⑭手動工程入力!$J$6:$J$47,"&gt;0",⑭手動工程入力!$I$6:$I$47,"&gt;0",⑭手動工程入力!$M$6:$M$47,"&gt;0"))</f>
        <v/>
      </c>
      <c r="P7" s="392" t="n"/>
    </row>
    <row r="8">
      <c r="A8" s="392" t="n">
        <v>4</v>
      </c>
      <c r="B8" s="392" t="n"/>
      <c r="C8" s="392" t="n"/>
      <c r="D8" s="392" t="n"/>
      <c r="E8" s="392" t="n"/>
      <c r="F8" s="394" t="n"/>
      <c r="G8" s="392" t="n"/>
      <c r="H8" s="604">
        <f>IFERROR(IF(AND($K8&gt;0,ISNUMBER(IF(OR($D8="g",$D8="ｇ"),IF($M8&gt;0,$L8/$M8/1000,""),IF($D8="kg",IF($M8&gt;0,$L8/$M8,""),IF($D8="",IF($M8&gt;0,$L8/$M8/1000,IF($O8&gt;0,$N8/$O8,"")),IF($O8&gt;0,$N8/$O8,"")))))),IF(OR($D8="g",$D8="ｇ"),IF($M8&gt;0,$L8/$M8/1000,""),IF($D8="kg",IF($M8&gt;0,$L8/$M8,""),IF($D8="",IF($M8&gt;0,$L8/$M8/1000,IF($O8&gt;0,$N8/$O8,"")),IF($O8&gt;0,$N8/$O8,"")))),IF($F8="",IF(OR($E8="",$E8="⑩盛付梱包工程入力"),"",IF(OR($D8="g",$D8="ｇ"),INDEX(⑰工程労務費一覧!$N$5:$N$11,MATCH($E8,⑰工程労務費一覧!$K$5:$K$11,0))/1000,IF($D8="kg",INDEX(⑰工程労務費一覧!$N$5:$N$11,MATCH($E8,⑰工程労務費一覧!$K$5:$K$11,0)),IF(OR($D8="個",$D8="切",$D8="本",$D8="枚",$D8="尾"),IF($E8="⑬計量工程入力","",INDEX(⑰工程労務費一覧!$P$5:$P$11,MATCH($E8,⑰工程労務費一覧!$K$5:$K$11,0))),IF(AND($D8="",OR($E8="②釜工程入力",$E8="③スチコン工程入力")),INDEX(⑰工程労務費一覧!$N$5:$N$11,MATCH($E8,⑰工程労務費一覧!$K$5:$K$11,0))/1000,""))))),IF(OR($D8="g",$D8="ｇ"),INDEX(⑰工程労務費一覧!$H$5:$H$753,MATCH($F8,⑰工程労務費一覧!$D$5:$D$753,0))/1000,IF($D8="kg",INDEX(⑰工程労務費一覧!$H$5:$H$753,MATCH($F8,⑰工程労務費一覧!$D$5:$D$753,0)),INDEX(⑰工程労務費一覧!$I$5:$I$753,MATCH($F8,⑰工程労務費一覧!$D$5:$D$753,0)))))),"")</f>
        <v/>
      </c>
      <c r="I8" s="392">
        <f>IF($K8&gt;0,IF(ISNUMBER(IF(OR($D8="g",$D8="ｇ"),IF($M8&gt;0,$L8/$M8/1000,""),IF($D8="kg",IF($M8&gt;0,$L8/$M8,""),IF($D8="",IF($M8&gt;0,$L8/$M8/1000,IF($O8&gt;0,$N8/$O8,"")),IF($O8&gt;0,$N8/$O8,""))))),IF($D8="",IF($M8&gt;0,"◎ JAN紐づけ(g扱い)","◎ JAN紐づけ(個扱い)"),"◎ JAN紐づけ"),"△ JAN紐づけ済・実績不足→仮計算"),IF($F8="",IF(ISNUMBER($H8),IF($D8="","⑤ 工程平均で仮計算(g扱い)","⑤ 工程平均で仮計算"),IF($E8="⑩盛付梱包工程入力","⑥ 盛り込み(⑳F列で計上)",IF(AND($E8="⑬計量工程入力",OR($D8="個",$D8="切",$D8="本",$D8="枚",$D8="尾")),"① 未紐づけ(カット個単位は仮単価なし)","① 未紐づけ"))),IF(NOT(ISNUMBER($H8)),"② 工程側に単価なし",IF($D8="","③ 単位未設定(個で計算)","④ OK"))))</f>
        <v/>
      </c>
      <c r="J8" s="399">
        <f>IFERROR(LOOKUP(2,1/((中間品リスト!$F$2:$F$1299=$B8)*(中間品リスト!$E$2:$E$1299&lt;&gt;"-")*(中間品リスト!$E$2:$E$1299&lt;&gt;"")),中間品リスト!$E$2:$E$1299),"")</f>
        <v/>
      </c>
      <c r="K8" s="400">
        <f>IF($J8="",0,COUNTIF(②釜工程入力!$S$5:$S$117,$J8)+COUNTIF(③スチコン工程入力!$S$5:$S$152,$J8)+COUNTIF(⑪ZEN工程入力!$S$6:$S$35,$J8)+COUNTIF(⑫ミキサー工程入力!$S$6:$S$65,$J8)+COUNTIF(⑬計量工程入力!$S$6:$S$65,$J8)+COUNTIF(⑭手動工程入力!$S$6:$S$47,$J8))</f>
        <v/>
      </c>
      <c r="L8" s="393">
        <f>IF($J8="",0,SUMIFS(②釜工程入力!$M$5:$M$117,②釜工程入力!$S$5:$S$117,$J8,②釜工程入力!$I$5:$I$117,"&gt;0")+SUMIFS(③スチコン工程入力!$M$5:$M$152,③スチコン工程入力!$S$5:$S$152,$J8,③スチコン工程入力!$I$5:$I$152,"&gt;0")+SUMIFS(⑪ZEN工程入力!$M$6:$M$35,⑪ZEN工程入力!$S$6:$S$35,$J8,⑪ZEN工程入力!$I$6:$I$35,"&gt;0")+SUMIFS(⑫ミキサー工程入力!$M$6:$M$65,⑫ミキサー工程入力!$S$6:$S$65,$J8,⑫ミキサー工程入力!$I$6:$I$65,"&gt;0")+SUMIFS(⑬計量工程入力!$M$6:$M$65,⑬計量工程入力!$S$6:$S$65,$J8,⑬計量工程入力!$I$6:$I$65,"&gt;0")+SUMIFS(⑭手動工程入力!$M$6:$M$47,⑭手動工程入力!$S$6:$S$47,$J8,⑭手動工程入力!$I$6:$I$47,"&gt;0"))</f>
        <v/>
      </c>
      <c r="M8" s="393">
        <f>IF($J8="",0,SUMIFS(②釜工程入力!$I$5:$I$117,②釜工程入力!$S$5:$S$117,$J8,②釜工程入力!$I$5:$I$117,"&gt;0",②釜工程入力!$M$5:$M$117,"&gt;0")+SUMIFS(③スチコン工程入力!$I$5:$I$152,③スチコン工程入力!$S$5:$S$152,$J8,③スチコン工程入力!$I$5:$I$152,"&gt;0",③スチコン工程入力!$M$5:$M$152,"&gt;0")+SUMIFS(⑪ZEN工程入力!$I$6:$I$35,⑪ZEN工程入力!$S$6:$S$35,$J8,⑪ZEN工程入力!$I$6:$I$35,"&gt;0",⑪ZEN工程入力!$M$6:$M$35,"&gt;0")+SUMIFS(⑫ミキサー工程入力!$I$6:$I$65,⑫ミキサー工程入力!$S$6:$S$65,$J8,⑫ミキサー工程入力!$I$6:$I$65,"&gt;0",⑫ミキサー工程入力!$M$6:$M$65,"&gt;0")+SUMIFS(⑬計量工程入力!$I$6:$I$65,⑬計量工程入力!$S$6:$S$65,$J8,⑬計量工程入力!$I$6:$I$65,"&gt;0",⑬計量工程入力!$M$6:$M$65,"&gt;0")+SUMIFS(⑭手動工程入力!$I$6:$I$47,⑭手動工程入力!$S$6:$S$47,$J8,⑭手動工程入力!$I$6:$I$47,"&gt;0",⑭手動工程入力!$M$6:$M$47,"&gt;0"))</f>
        <v/>
      </c>
      <c r="N8" s="393">
        <f>IF($J8="",0,SUMIFS(②釜工程入力!$M$5:$M$117,②釜工程入力!$S$5:$S$117,$J8,②釜工程入力!$J$5:$J$117,"&gt;0")-SUMIFS(②釜工程入力!$M$5:$M$117,②釜工程入力!$S$5:$S$117,$J8,②釜工程入力!$J$5:$J$117,"&gt;0",②釜工程入力!$I$5:$I$117,"&gt;0")+SUMIFS(③スチコン工程入力!$M$5:$M$152,③スチコン工程入力!$S$5:$S$152,$J8,③スチコン工程入力!$J$5:$J$152,"&gt;0")-SUMIFS(③スチコン工程入力!$M$5:$M$152,③スチコン工程入力!$S$5:$S$152,$J8,③スチコン工程入力!$J$5:$J$152,"&gt;0",③スチコン工程入力!$I$5:$I$152,"&gt;0")+SUMIFS(⑪ZEN工程入力!$M$6:$M$35,⑪ZEN工程入力!$S$6:$S$35,$J8,⑪ZEN工程入力!$J$6:$J$35,"&gt;0")-SUMIFS(⑪ZEN工程入力!$M$6:$M$35,⑪ZEN工程入力!$S$6:$S$35,$J8,⑪ZEN工程入力!$J$6:$J$35,"&gt;0",⑪ZEN工程入力!$I$6:$I$35,"&gt;0")+SUMIFS(⑫ミキサー工程入力!$M$6:$M$65,⑫ミキサー工程入力!$S$6:$S$65,$J8,⑫ミキサー工程入力!$J$6:$J$65,"&gt;0")-SUMIFS(⑫ミキサー工程入力!$M$6:$M$65,⑫ミキサー工程入力!$S$6:$S$65,$J8,⑫ミキサー工程入力!$J$6:$J$65,"&gt;0",⑫ミキサー工程入力!$I$6:$I$65,"&gt;0")+SUMIFS(⑬計量工程入力!$M$6:$M$65,⑬計量工程入力!$S$6:$S$65,$J8,⑬計量工程入力!$J$6:$J$65,"&gt;0")-SUMIFS(⑬計量工程入力!$M$6:$M$65,⑬計量工程入力!$S$6:$S$65,$J8,⑬計量工程入力!$J$6:$J$65,"&gt;0",⑬計量工程入力!$I$6:$I$65,"&gt;0")+SUMIFS(⑭手動工程入力!$M$6:$M$47,⑭手動工程入力!$S$6:$S$47,$J8,⑭手動工程入力!$J$6:$J$47,"&gt;0")-SUMIFS(⑭手動工程入力!$M$6:$M$47,⑭手動工程入力!$S$6:$S$47,$J8,⑭手動工程入力!$J$6:$J$47,"&gt;0",⑭手動工程入力!$I$6:$I$47,"&gt;0"))</f>
        <v/>
      </c>
      <c r="O8" s="393">
        <f>IF($J8="",0,SUMIFS(②釜工程入力!$J$5:$J$117,②釜工程入力!$S$5:$S$117,$J8,②釜工程入力!$J$5:$J$117,"&gt;0",②釜工程入力!$M$5:$M$117,"&gt;0")-SUMIFS(②釜工程入力!$J$5:$J$117,②釜工程入力!$S$5:$S$117,$J8,②釜工程入力!$J$5:$J$117,"&gt;0",②釜工程入力!$I$5:$I$117,"&gt;0",②釜工程入力!$M$5:$M$117,"&gt;0")+SUMIFS(③スチコン工程入力!$J$5:$J$152,③スチコン工程入力!$S$5:$S$152,$J8,③スチコン工程入力!$J$5:$J$152,"&gt;0",③スチコン工程入力!$M$5:$M$152,"&gt;0")-SUMIFS(③スチコン工程入力!$J$5:$J$152,③スチコン工程入力!$S$5:$S$152,$J8,③スチコン工程入力!$J$5:$J$152,"&gt;0",③スチコン工程入力!$I$5:$I$152,"&gt;0",③スチコン工程入力!$M$5:$M$152,"&gt;0")+SUMIFS(⑪ZEN工程入力!$J$6:$J$35,⑪ZEN工程入力!$S$6:$S$35,$J8,⑪ZEN工程入力!$J$6:$J$35,"&gt;0",⑪ZEN工程入力!$M$6:$M$35,"&gt;0")-SUMIFS(⑪ZEN工程入力!$J$6:$J$35,⑪ZEN工程入力!$S$6:$S$35,$J8,⑪ZEN工程入力!$J$6:$J$35,"&gt;0",⑪ZEN工程入力!$I$6:$I$35,"&gt;0",⑪ZEN工程入力!$M$6:$M$35,"&gt;0")+SUMIFS(⑫ミキサー工程入力!$J$6:$J$65,⑫ミキサー工程入力!$S$6:$S$65,$J8,⑫ミキサー工程入力!$J$6:$J$65,"&gt;0",⑫ミキサー工程入力!$M$6:$M$65,"&gt;0")-SUMIFS(⑫ミキサー工程入力!$J$6:$J$65,⑫ミキサー工程入力!$S$6:$S$65,$J8,⑫ミキサー工程入力!$J$6:$J$65,"&gt;0",⑫ミキサー工程入力!$I$6:$I$65,"&gt;0",⑫ミキサー工程入力!$M$6:$M$65,"&gt;0")+SUMIFS(⑬計量工程入力!$J$6:$J$65,⑬計量工程入力!$S$6:$S$65,$J8,⑬計量工程入力!$J$6:$J$65,"&gt;0",⑬計量工程入力!$M$6:$M$65,"&gt;0")-SUMIFS(⑬計量工程入力!$J$6:$J$65,⑬計量工程入力!$S$6:$S$65,$J8,⑬計量工程入力!$J$6:$J$65,"&gt;0",⑬計量工程入力!$I$6:$I$65,"&gt;0",⑬計量工程入力!$M$6:$M$65,"&gt;0")+SUMIFS(⑭手動工程入力!$J$6:$J$47,⑭手動工程入力!$S$6:$S$47,$J8,⑭手動工程入力!$J$6:$J$47,"&gt;0",⑭手動工程入力!$M$6:$M$47,"&gt;0")-SUMIFS(⑭手動工程入力!$J$6:$J$47,⑭手動工程入力!$S$6:$S$47,$J8,⑭手動工程入力!$J$6:$J$47,"&gt;0",⑭手動工程入力!$I$6:$I$47,"&gt;0",⑭手動工程入力!$M$6:$M$47,"&gt;0"))</f>
        <v/>
      </c>
      <c r="P8" s="392" t="n"/>
    </row>
    <row r="9">
      <c r="A9" s="392" t="n">
        <v>5</v>
      </c>
      <c r="B9" s="392" t="n"/>
      <c r="C9" s="392" t="n"/>
      <c r="D9" s="392" t="n"/>
      <c r="E9" s="392" t="n"/>
      <c r="F9" s="394" t="n"/>
      <c r="G9" s="392" t="n"/>
      <c r="H9" s="604">
        <f>IFERROR(IF(AND($K9&gt;0,ISNUMBER(IF(OR($D9="g",$D9="ｇ"),IF($M9&gt;0,$L9/$M9/1000,""),IF($D9="kg",IF($M9&gt;0,$L9/$M9,""),IF($D9="",IF($M9&gt;0,$L9/$M9/1000,IF($O9&gt;0,$N9/$O9,"")),IF($O9&gt;0,$N9/$O9,"")))))),IF(OR($D9="g",$D9="ｇ"),IF($M9&gt;0,$L9/$M9/1000,""),IF($D9="kg",IF($M9&gt;0,$L9/$M9,""),IF($D9="",IF($M9&gt;0,$L9/$M9/1000,IF($O9&gt;0,$N9/$O9,"")),IF($O9&gt;0,$N9/$O9,"")))),IF($F9="",IF(OR($E9="",$E9="⑩盛付梱包工程入力"),"",IF(OR($D9="g",$D9="ｇ"),INDEX(⑰工程労務費一覧!$N$5:$N$11,MATCH($E9,⑰工程労務費一覧!$K$5:$K$11,0))/1000,IF($D9="kg",INDEX(⑰工程労務費一覧!$N$5:$N$11,MATCH($E9,⑰工程労務費一覧!$K$5:$K$11,0)),IF(OR($D9="個",$D9="切",$D9="本",$D9="枚",$D9="尾"),IF($E9="⑬計量工程入力","",INDEX(⑰工程労務費一覧!$P$5:$P$11,MATCH($E9,⑰工程労務費一覧!$K$5:$K$11,0))),IF(AND($D9="",OR($E9="②釜工程入力",$E9="③スチコン工程入力")),INDEX(⑰工程労務費一覧!$N$5:$N$11,MATCH($E9,⑰工程労務費一覧!$K$5:$K$11,0))/1000,""))))),IF(OR($D9="g",$D9="ｇ"),INDEX(⑰工程労務費一覧!$H$5:$H$753,MATCH($F9,⑰工程労務費一覧!$D$5:$D$753,0))/1000,IF($D9="kg",INDEX(⑰工程労務費一覧!$H$5:$H$753,MATCH($F9,⑰工程労務費一覧!$D$5:$D$753,0)),INDEX(⑰工程労務費一覧!$I$5:$I$753,MATCH($F9,⑰工程労務費一覧!$D$5:$D$753,0)))))),"")</f>
        <v/>
      </c>
      <c r="I9" s="392">
        <f>IF($K9&gt;0,IF(ISNUMBER(IF(OR($D9="g",$D9="ｇ"),IF($M9&gt;0,$L9/$M9/1000,""),IF($D9="kg",IF($M9&gt;0,$L9/$M9,""),IF($D9="",IF($M9&gt;0,$L9/$M9/1000,IF($O9&gt;0,$N9/$O9,"")),IF($O9&gt;0,$N9/$O9,""))))),IF($D9="",IF($M9&gt;0,"◎ JAN紐づけ(g扱い)","◎ JAN紐づけ(個扱い)"),"◎ JAN紐づけ"),"△ JAN紐づけ済・実績不足→仮計算"),IF($F9="",IF(ISNUMBER($H9),IF($D9="","⑤ 工程平均で仮計算(g扱い)","⑤ 工程平均で仮計算"),IF($E9="⑩盛付梱包工程入力","⑥ 盛り込み(⑳F列で計上)",IF(AND($E9="⑬計量工程入力",OR($D9="個",$D9="切",$D9="本",$D9="枚",$D9="尾")),"① 未紐づけ(カット個単位は仮単価なし)","① 未紐づけ"))),IF(NOT(ISNUMBER($H9)),"② 工程側に単価なし",IF($D9="","③ 単位未設定(個で計算)","④ OK"))))</f>
        <v/>
      </c>
      <c r="J9" s="399">
        <f>IFERROR(LOOKUP(2,1/((中間品リスト!$F$2:$F$1299=$B9)*(中間品リスト!$E$2:$E$1299&lt;&gt;"-")*(中間品リスト!$E$2:$E$1299&lt;&gt;"")),中間品リスト!$E$2:$E$1299),"")</f>
        <v/>
      </c>
      <c r="K9" s="400">
        <f>IF($J9="",0,COUNTIF(②釜工程入力!$S$5:$S$117,$J9)+COUNTIF(③スチコン工程入力!$S$5:$S$152,$J9)+COUNTIF(⑪ZEN工程入力!$S$6:$S$35,$J9)+COUNTIF(⑫ミキサー工程入力!$S$6:$S$65,$J9)+COUNTIF(⑬計量工程入力!$S$6:$S$65,$J9)+COUNTIF(⑭手動工程入力!$S$6:$S$47,$J9))</f>
        <v/>
      </c>
      <c r="L9" s="393">
        <f>IF($J9="",0,SUMIFS(②釜工程入力!$M$5:$M$117,②釜工程入力!$S$5:$S$117,$J9,②釜工程入力!$I$5:$I$117,"&gt;0")+SUMIFS(③スチコン工程入力!$M$5:$M$152,③スチコン工程入力!$S$5:$S$152,$J9,③スチコン工程入力!$I$5:$I$152,"&gt;0")+SUMIFS(⑪ZEN工程入力!$M$6:$M$35,⑪ZEN工程入力!$S$6:$S$35,$J9,⑪ZEN工程入力!$I$6:$I$35,"&gt;0")+SUMIFS(⑫ミキサー工程入力!$M$6:$M$65,⑫ミキサー工程入力!$S$6:$S$65,$J9,⑫ミキサー工程入力!$I$6:$I$65,"&gt;0")+SUMIFS(⑬計量工程入力!$M$6:$M$65,⑬計量工程入力!$S$6:$S$65,$J9,⑬計量工程入力!$I$6:$I$65,"&gt;0")+SUMIFS(⑭手動工程入力!$M$6:$M$47,⑭手動工程入力!$S$6:$S$47,$J9,⑭手動工程入力!$I$6:$I$47,"&gt;0"))</f>
        <v/>
      </c>
      <c r="M9" s="393">
        <f>IF($J9="",0,SUMIFS(②釜工程入力!$I$5:$I$117,②釜工程入力!$S$5:$S$117,$J9,②釜工程入力!$I$5:$I$117,"&gt;0",②釜工程入力!$M$5:$M$117,"&gt;0")+SUMIFS(③スチコン工程入力!$I$5:$I$152,③スチコン工程入力!$S$5:$S$152,$J9,③スチコン工程入力!$I$5:$I$152,"&gt;0",③スチコン工程入力!$M$5:$M$152,"&gt;0")+SUMIFS(⑪ZEN工程入力!$I$6:$I$35,⑪ZEN工程入力!$S$6:$S$35,$J9,⑪ZEN工程入力!$I$6:$I$35,"&gt;0",⑪ZEN工程入力!$M$6:$M$35,"&gt;0")+SUMIFS(⑫ミキサー工程入力!$I$6:$I$65,⑫ミキサー工程入力!$S$6:$S$65,$J9,⑫ミキサー工程入力!$I$6:$I$65,"&gt;0",⑫ミキサー工程入力!$M$6:$M$65,"&gt;0")+SUMIFS(⑬計量工程入力!$I$6:$I$65,⑬計量工程入力!$S$6:$S$65,$J9,⑬計量工程入力!$I$6:$I$65,"&gt;0",⑬計量工程入力!$M$6:$M$65,"&gt;0")+SUMIFS(⑭手動工程入力!$I$6:$I$47,⑭手動工程入力!$S$6:$S$47,$J9,⑭手動工程入力!$I$6:$I$47,"&gt;0",⑭手動工程入力!$M$6:$M$47,"&gt;0"))</f>
        <v/>
      </c>
      <c r="N9" s="393">
        <f>IF($J9="",0,SUMIFS(②釜工程入力!$M$5:$M$117,②釜工程入力!$S$5:$S$117,$J9,②釜工程入力!$J$5:$J$117,"&gt;0")-SUMIFS(②釜工程入力!$M$5:$M$117,②釜工程入力!$S$5:$S$117,$J9,②釜工程入力!$J$5:$J$117,"&gt;0",②釜工程入力!$I$5:$I$117,"&gt;0")+SUMIFS(③スチコン工程入力!$M$5:$M$152,③スチコン工程入力!$S$5:$S$152,$J9,③スチコン工程入力!$J$5:$J$152,"&gt;0")-SUMIFS(③スチコン工程入力!$M$5:$M$152,③スチコン工程入力!$S$5:$S$152,$J9,③スチコン工程入力!$J$5:$J$152,"&gt;0",③スチコン工程入力!$I$5:$I$152,"&gt;0")+SUMIFS(⑪ZEN工程入力!$M$6:$M$35,⑪ZEN工程入力!$S$6:$S$35,$J9,⑪ZEN工程入力!$J$6:$J$35,"&gt;0")-SUMIFS(⑪ZEN工程入力!$M$6:$M$35,⑪ZEN工程入力!$S$6:$S$35,$J9,⑪ZEN工程入力!$J$6:$J$35,"&gt;0",⑪ZEN工程入力!$I$6:$I$35,"&gt;0")+SUMIFS(⑫ミキサー工程入力!$M$6:$M$65,⑫ミキサー工程入力!$S$6:$S$65,$J9,⑫ミキサー工程入力!$J$6:$J$65,"&gt;0")-SUMIFS(⑫ミキサー工程入力!$M$6:$M$65,⑫ミキサー工程入力!$S$6:$S$65,$J9,⑫ミキサー工程入力!$J$6:$J$65,"&gt;0",⑫ミキサー工程入力!$I$6:$I$65,"&gt;0")+SUMIFS(⑬計量工程入力!$M$6:$M$65,⑬計量工程入力!$S$6:$S$65,$J9,⑬計量工程入力!$J$6:$J$65,"&gt;0")-SUMIFS(⑬計量工程入力!$M$6:$M$65,⑬計量工程入力!$S$6:$S$65,$J9,⑬計量工程入力!$J$6:$J$65,"&gt;0",⑬計量工程入力!$I$6:$I$65,"&gt;0")+SUMIFS(⑭手動工程入力!$M$6:$M$47,⑭手動工程入力!$S$6:$S$47,$J9,⑭手動工程入力!$J$6:$J$47,"&gt;0")-SUMIFS(⑭手動工程入力!$M$6:$M$47,⑭手動工程入力!$S$6:$S$47,$J9,⑭手動工程入力!$J$6:$J$47,"&gt;0",⑭手動工程入力!$I$6:$I$47,"&gt;0"))</f>
        <v/>
      </c>
      <c r="O9" s="393">
        <f>IF($J9="",0,SUMIFS(②釜工程入力!$J$5:$J$117,②釜工程入力!$S$5:$S$117,$J9,②釜工程入力!$J$5:$J$117,"&gt;0",②釜工程入力!$M$5:$M$117,"&gt;0")-SUMIFS(②釜工程入力!$J$5:$J$117,②釜工程入力!$S$5:$S$117,$J9,②釜工程入力!$J$5:$J$117,"&gt;0",②釜工程入力!$I$5:$I$117,"&gt;0",②釜工程入力!$M$5:$M$117,"&gt;0")+SUMIFS(③スチコン工程入力!$J$5:$J$152,③スチコン工程入力!$S$5:$S$152,$J9,③スチコン工程入力!$J$5:$J$152,"&gt;0",③スチコン工程入力!$M$5:$M$152,"&gt;0")-SUMIFS(③スチコン工程入力!$J$5:$J$152,③スチコン工程入力!$S$5:$S$152,$J9,③スチコン工程入力!$J$5:$J$152,"&gt;0",③スチコン工程入力!$I$5:$I$152,"&gt;0",③スチコン工程入力!$M$5:$M$152,"&gt;0")+SUMIFS(⑪ZEN工程入力!$J$6:$J$35,⑪ZEN工程入力!$S$6:$S$35,$J9,⑪ZEN工程入力!$J$6:$J$35,"&gt;0",⑪ZEN工程入力!$M$6:$M$35,"&gt;0")-SUMIFS(⑪ZEN工程入力!$J$6:$J$35,⑪ZEN工程入力!$S$6:$S$35,$J9,⑪ZEN工程入力!$J$6:$J$35,"&gt;0",⑪ZEN工程入力!$I$6:$I$35,"&gt;0",⑪ZEN工程入力!$M$6:$M$35,"&gt;0")+SUMIFS(⑫ミキサー工程入力!$J$6:$J$65,⑫ミキサー工程入力!$S$6:$S$65,$J9,⑫ミキサー工程入力!$J$6:$J$65,"&gt;0",⑫ミキサー工程入力!$M$6:$M$65,"&gt;0")-SUMIFS(⑫ミキサー工程入力!$J$6:$J$65,⑫ミキサー工程入力!$S$6:$S$65,$J9,⑫ミキサー工程入力!$J$6:$J$65,"&gt;0",⑫ミキサー工程入力!$I$6:$I$65,"&gt;0",⑫ミキサー工程入力!$M$6:$M$65,"&gt;0")+SUMIFS(⑬計量工程入力!$J$6:$J$65,⑬計量工程入力!$S$6:$S$65,$J9,⑬計量工程入力!$J$6:$J$65,"&gt;0",⑬計量工程入力!$M$6:$M$65,"&gt;0")-SUMIFS(⑬計量工程入力!$J$6:$J$65,⑬計量工程入力!$S$6:$S$65,$J9,⑬計量工程入力!$J$6:$J$65,"&gt;0",⑬計量工程入力!$I$6:$I$65,"&gt;0",⑬計量工程入力!$M$6:$M$65,"&gt;0")+SUMIFS(⑭手動工程入力!$J$6:$J$47,⑭手動工程入力!$S$6:$S$47,$J9,⑭手動工程入力!$J$6:$J$47,"&gt;0",⑭手動工程入力!$M$6:$M$47,"&gt;0")-SUMIFS(⑭手動工程入力!$J$6:$J$47,⑭手動工程入力!$S$6:$S$47,$J9,⑭手動工程入力!$J$6:$J$47,"&gt;0",⑭手動工程入力!$I$6:$I$47,"&gt;0",⑭手動工程入力!$M$6:$M$47,"&gt;0"))</f>
        <v/>
      </c>
      <c r="P9" s="392" t="n"/>
    </row>
    <row r="10">
      <c r="A10" s="392" t="n">
        <v>6</v>
      </c>
      <c r="B10" s="392" t="n"/>
      <c r="C10" s="392" t="n"/>
      <c r="D10" s="392" t="n"/>
      <c r="E10" s="392" t="n"/>
      <c r="F10" s="394" t="n"/>
      <c r="G10" s="392" t="n"/>
      <c r="H10" s="604">
        <f>IFERROR(IF(AND($K10&gt;0,ISNUMBER(IF(OR($D10="g",$D10="ｇ"),IF($M10&gt;0,$L10/$M10/1000,""),IF($D10="kg",IF($M10&gt;0,$L10/$M10,""),IF($D10="",IF($M10&gt;0,$L10/$M10/1000,IF($O10&gt;0,$N10/$O10,"")),IF($O10&gt;0,$N10/$O10,"")))))),IF(OR($D10="g",$D10="ｇ"),IF($M10&gt;0,$L10/$M10/1000,""),IF($D10="kg",IF($M10&gt;0,$L10/$M10,""),IF($D10="",IF($M10&gt;0,$L10/$M10/1000,IF($O10&gt;0,$N10/$O10,"")),IF($O10&gt;0,$N10/$O10,"")))),IF($F10="",IF(OR($E10="",$E10="⑩盛付梱包工程入力"),"",IF(OR($D10="g",$D10="ｇ"),INDEX(⑰工程労務費一覧!$N$5:$N$11,MATCH($E10,⑰工程労務費一覧!$K$5:$K$11,0))/1000,IF($D10="kg",INDEX(⑰工程労務費一覧!$N$5:$N$11,MATCH($E10,⑰工程労務費一覧!$K$5:$K$11,0)),IF(OR($D10="個",$D10="切",$D10="本",$D10="枚",$D10="尾"),IF($E10="⑬計量工程入力","",INDEX(⑰工程労務費一覧!$P$5:$P$11,MATCH($E10,⑰工程労務費一覧!$K$5:$K$11,0))),IF(AND($D10="",OR($E10="②釜工程入力",$E10="③スチコン工程入力")),INDEX(⑰工程労務費一覧!$N$5:$N$11,MATCH($E10,⑰工程労務費一覧!$K$5:$K$11,0))/1000,""))))),IF(OR($D10="g",$D10="ｇ"),INDEX(⑰工程労務費一覧!$H$5:$H$753,MATCH($F10,⑰工程労務費一覧!$D$5:$D$753,0))/1000,IF($D10="kg",INDEX(⑰工程労務費一覧!$H$5:$H$753,MATCH($F10,⑰工程労務費一覧!$D$5:$D$753,0)),INDEX(⑰工程労務費一覧!$I$5:$I$753,MATCH($F10,⑰工程労務費一覧!$D$5:$D$753,0)))))),"")</f>
        <v/>
      </c>
      <c r="I10" s="392">
        <f>IF($K10&gt;0,IF(ISNUMBER(IF(OR($D10="g",$D10="ｇ"),IF($M10&gt;0,$L10/$M10/1000,""),IF($D10="kg",IF($M10&gt;0,$L10/$M10,""),IF($D10="",IF($M10&gt;0,$L10/$M10/1000,IF($O10&gt;0,$N10/$O10,"")),IF($O10&gt;0,$N10/$O10,""))))),IF($D10="",IF($M10&gt;0,"◎ JAN紐づけ(g扱い)","◎ JAN紐づけ(個扱い)"),"◎ JAN紐づけ"),"△ JAN紐づけ済・実績不足→仮計算"),IF($F10="",IF(ISNUMBER($H10),IF($D10="","⑤ 工程平均で仮計算(g扱い)","⑤ 工程平均で仮計算"),IF($E10="⑩盛付梱包工程入力","⑥ 盛り込み(⑳F列で計上)",IF(AND($E10="⑬計量工程入力",OR($D10="個",$D10="切",$D10="本",$D10="枚",$D10="尾")),"① 未紐づけ(カット個単位は仮単価なし)","① 未紐づけ"))),IF(NOT(ISNUMBER($H10)),"② 工程側に単価なし",IF($D10="","③ 単位未設定(個で計算)","④ OK"))))</f>
        <v/>
      </c>
      <c r="J10" s="399">
        <f>IFERROR(LOOKUP(2,1/((中間品リスト!$F$2:$F$1299=$B10)*(中間品リスト!$E$2:$E$1299&lt;&gt;"-")*(中間品リスト!$E$2:$E$1299&lt;&gt;"")),中間品リスト!$E$2:$E$1299),"")</f>
        <v/>
      </c>
      <c r="K10" s="400">
        <f>IF($J10="",0,COUNTIF(②釜工程入力!$S$5:$S$117,$J10)+COUNTIF(③スチコン工程入力!$S$5:$S$152,$J10)+COUNTIF(⑪ZEN工程入力!$S$6:$S$35,$J10)+COUNTIF(⑫ミキサー工程入力!$S$6:$S$65,$J10)+COUNTIF(⑬計量工程入力!$S$6:$S$65,$J10)+COUNTIF(⑭手動工程入力!$S$6:$S$47,$J10))</f>
        <v/>
      </c>
      <c r="L10" s="393">
        <f>IF($J10="",0,SUMIFS(②釜工程入力!$M$5:$M$117,②釜工程入力!$S$5:$S$117,$J10,②釜工程入力!$I$5:$I$117,"&gt;0")+SUMIFS(③スチコン工程入力!$M$5:$M$152,③スチコン工程入力!$S$5:$S$152,$J10,③スチコン工程入力!$I$5:$I$152,"&gt;0")+SUMIFS(⑪ZEN工程入力!$M$6:$M$35,⑪ZEN工程入力!$S$6:$S$35,$J10,⑪ZEN工程入力!$I$6:$I$35,"&gt;0")+SUMIFS(⑫ミキサー工程入力!$M$6:$M$65,⑫ミキサー工程入力!$S$6:$S$65,$J10,⑫ミキサー工程入力!$I$6:$I$65,"&gt;0")+SUMIFS(⑬計量工程入力!$M$6:$M$65,⑬計量工程入力!$S$6:$S$65,$J10,⑬計量工程入力!$I$6:$I$65,"&gt;0")+SUMIFS(⑭手動工程入力!$M$6:$M$47,⑭手動工程入力!$S$6:$S$47,$J10,⑭手動工程入力!$I$6:$I$47,"&gt;0"))</f>
        <v/>
      </c>
      <c r="M10" s="393">
        <f>IF($J10="",0,SUMIFS(②釜工程入力!$I$5:$I$117,②釜工程入力!$S$5:$S$117,$J10,②釜工程入力!$I$5:$I$117,"&gt;0",②釜工程入力!$M$5:$M$117,"&gt;0")+SUMIFS(③スチコン工程入力!$I$5:$I$152,③スチコン工程入力!$S$5:$S$152,$J10,③スチコン工程入力!$I$5:$I$152,"&gt;0",③スチコン工程入力!$M$5:$M$152,"&gt;0")+SUMIFS(⑪ZEN工程入力!$I$6:$I$35,⑪ZEN工程入力!$S$6:$S$35,$J10,⑪ZEN工程入力!$I$6:$I$35,"&gt;0",⑪ZEN工程入力!$M$6:$M$35,"&gt;0")+SUMIFS(⑫ミキサー工程入力!$I$6:$I$65,⑫ミキサー工程入力!$S$6:$S$65,$J10,⑫ミキサー工程入力!$I$6:$I$65,"&gt;0",⑫ミキサー工程入力!$M$6:$M$65,"&gt;0")+SUMIFS(⑬計量工程入力!$I$6:$I$65,⑬計量工程入力!$S$6:$S$65,$J10,⑬計量工程入力!$I$6:$I$65,"&gt;0",⑬計量工程入力!$M$6:$M$65,"&gt;0")+SUMIFS(⑭手動工程入力!$I$6:$I$47,⑭手動工程入力!$S$6:$S$47,$J10,⑭手動工程入力!$I$6:$I$47,"&gt;0",⑭手動工程入力!$M$6:$M$47,"&gt;0"))</f>
        <v/>
      </c>
      <c r="N10" s="393">
        <f>IF($J10="",0,SUMIFS(②釜工程入力!$M$5:$M$117,②釜工程入力!$S$5:$S$117,$J10,②釜工程入力!$J$5:$J$117,"&gt;0")-SUMIFS(②釜工程入力!$M$5:$M$117,②釜工程入力!$S$5:$S$117,$J10,②釜工程入力!$J$5:$J$117,"&gt;0",②釜工程入力!$I$5:$I$117,"&gt;0")+SUMIFS(③スチコン工程入力!$M$5:$M$152,③スチコン工程入力!$S$5:$S$152,$J10,③スチコン工程入力!$J$5:$J$152,"&gt;0")-SUMIFS(③スチコン工程入力!$M$5:$M$152,③スチコン工程入力!$S$5:$S$152,$J10,③スチコン工程入力!$J$5:$J$152,"&gt;0",③スチコン工程入力!$I$5:$I$152,"&gt;0")+SUMIFS(⑪ZEN工程入力!$M$6:$M$35,⑪ZEN工程入力!$S$6:$S$35,$J10,⑪ZEN工程入力!$J$6:$J$35,"&gt;0")-SUMIFS(⑪ZEN工程入力!$M$6:$M$35,⑪ZEN工程入力!$S$6:$S$35,$J10,⑪ZEN工程入力!$J$6:$J$35,"&gt;0",⑪ZEN工程入力!$I$6:$I$35,"&gt;0")+SUMIFS(⑫ミキサー工程入力!$M$6:$M$65,⑫ミキサー工程入力!$S$6:$S$65,$J10,⑫ミキサー工程入力!$J$6:$J$65,"&gt;0")-SUMIFS(⑫ミキサー工程入力!$M$6:$M$65,⑫ミキサー工程入力!$S$6:$S$65,$J10,⑫ミキサー工程入力!$J$6:$J$65,"&gt;0",⑫ミキサー工程入力!$I$6:$I$65,"&gt;0")+SUMIFS(⑬計量工程入力!$M$6:$M$65,⑬計量工程入力!$S$6:$S$65,$J10,⑬計量工程入力!$J$6:$J$65,"&gt;0")-SUMIFS(⑬計量工程入力!$M$6:$M$65,⑬計量工程入力!$S$6:$S$65,$J10,⑬計量工程入力!$J$6:$J$65,"&gt;0",⑬計量工程入力!$I$6:$I$65,"&gt;0")+SUMIFS(⑭手動工程入力!$M$6:$M$47,⑭手動工程入力!$S$6:$S$47,$J10,⑭手動工程入力!$J$6:$J$47,"&gt;0")-SUMIFS(⑭手動工程入力!$M$6:$M$47,⑭手動工程入力!$S$6:$S$47,$J10,⑭手動工程入力!$J$6:$J$47,"&gt;0",⑭手動工程入力!$I$6:$I$47,"&gt;0"))</f>
        <v/>
      </c>
      <c r="O10" s="393">
        <f>IF($J10="",0,SUMIFS(②釜工程入力!$J$5:$J$117,②釜工程入力!$S$5:$S$117,$J10,②釜工程入力!$J$5:$J$117,"&gt;0",②釜工程入力!$M$5:$M$117,"&gt;0")-SUMIFS(②釜工程入力!$J$5:$J$117,②釜工程入力!$S$5:$S$117,$J10,②釜工程入力!$J$5:$J$117,"&gt;0",②釜工程入力!$I$5:$I$117,"&gt;0",②釜工程入力!$M$5:$M$117,"&gt;0")+SUMIFS(③スチコン工程入力!$J$5:$J$152,③スチコン工程入力!$S$5:$S$152,$J10,③スチコン工程入力!$J$5:$J$152,"&gt;0",③スチコン工程入力!$M$5:$M$152,"&gt;0")-SUMIFS(③スチコン工程入力!$J$5:$J$152,③スチコン工程入力!$S$5:$S$152,$J10,③スチコン工程入力!$J$5:$J$152,"&gt;0",③スチコン工程入力!$I$5:$I$152,"&gt;0",③スチコン工程入力!$M$5:$M$152,"&gt;0")+SUMIFS(⑪ZEN工程入力!$J$6:$J$35,⑪ZEN工程入力!$S$6:$S$35,$J10,⑪ZEN工程入力!$J$6:$J$35,"&gt;0",⑪ZEN工程入力!$M$6:$M$35,"&gt;0")-SUMIFS(⑪ZEN工程入力!$J$6:$J$35,⑪ZEN工程入力!$S$6:$S$35,$J10,⑪ZEN工程入力!$J$6:$J$35,"&gt;0",⑪ZEN工程入力!$I$6:$I$35,"&gt;0",⑪ZEN工程入力!$M$6:$M$35,"&gt;0")+SUMIFS(⑫ミキサー工程入力!$J$6:$J$65,⑫ミキサー工程入力!$S$6:$S$65,$J10,⑫ミキサー工程入力!$J$6:$J$65,"&gt;0",⑫ミキサー工程入力!$M$6:$M$65,"&gt;0")-SUMIFS(⑫ミキサー工程入力!$J$6:$J$65,⑫ミキサー工程入力!$S$6:$S$65,$J10,⑫ミキサー工程入力!$J$6:$J$65,"&gt;0",⑫ミキサー工程入力!$I$6:$I$65,"&gt;0",⑫ミキサー工程入力!$M$6:$M$65,"&gt;0")+SUMIFS(⑬計量工程入力!$J$6:$J$65,⑬計量工程入力!$S$6:$S$65,$J10,⑬計量工程入力!$J$6:$J$65,"&gt;0",⑬計量工程入力!$M$6:$M$65,"&gt;0")-SUMIFS(⑬計量工程入力!$J$6:$J$65,⑬計量工程入力!$S$6:$S$65,$J10,⑬計量工程入力!$J$6:$J$65,"&gt;0",⑬計量工程入力!$I$6:$I$65,"&gt;0",⑬計量工程入力!$M$6:$M$65,"&gt;0")+SUMIFS(⑭手動工程入力!$J$6:$J$47,⑭手動工程入力!$S$6:$S$47,$J10,⑭手動工程入力!$J$6:$J$47,"&gt;0",⑭手動工程入力!$M$6:$M$47,"&gt;0")-SUMIFS(⑭手動工程入力!$J$6:$J$47,⑭手動工程入力!$S$6:$S$47,$J10,⑭手動工程入力!$J$6:$J$47,"&gt;0",⑭手動工程入力!$I$6:$I$47,"&gt;0",⑭手動工程入力!$M$6:$M$47,"&gt;0"))</f>
        <v/>
      </c>
      <c r="P10" s="392" t="n"/>
    </row>
    <row r="11">
      <c r="A11" s="392" t="n">
        <v>7</v>
      </c>
      <c r="B11" s="392" t="n"/>
      <c r="C11" s="392" t="n"/>
      <c r="D11" s="392" t="n"/>
      <c r="E11" s="392" t="n"/>
      <c r="F11" s="394" t="n"/>
      <c r="G11" s="392" t="n"/>
      <c r="H11" s="604">
        <f>IFERROR(IF(AND($K11&gt;0,ISNUMBER(IF(OR($D11="g",$D11="ｇ"),IF($M11&gt;0,$L11/$M11/1000,""),IF($D11="kg",IF($M11&gt;0,$L11/$M11,""),IF($D11="",IF($M11&gt;0,$L11/$M11/1000,IF($O11&gt;0,$N11/$O11,"")),IF($O11&gt;0,$N11/$O11,"")))))),IF(OR($D11="g",$D11="ｇ"),IF($M11&gt;0,$L11/$M11/1000,""),IF($D11="kg",IF($M11&gt;0,$L11/$M11,""),IF($D11="",IF($M11&gt;0,$L11/$M11/1000,IF($O11&gt;0,$N11/$O11,"")),IF($O11&gt;0,$N11/$O11,"")))),IF($F11="",IF(OR($E11="",$E11="⑩盛付梱包工程入力"),"",IF(OR($D11="g",$D11="ｇ"),INDEX(⑰工程労務費一覧!$N$5:$N$11,MATCH($E11,⑰工程労務費一覧!$K$5:$K$11,0))/1000,IF($D11="kg",INDEX(⑰工程労務費一覧!$N$5:$N$11,MATCH($E11,⑰工程労務費一覧!$K$5:$K$11,0)),IF(OR($D11="個",$D11="切",$D11="本",$D11="枚",$D11="尾"),IF($E11="⑬計量工程入力","",INDEX(⑰工程労務費一覧!$P$5:$P$11,MATCH($E11,⑰工程労務費一覧!$K$5:$K$11,0))),IF(AND($D11="",OR($E11="②釜工程入力",$E11="③スチコン工程入力")),INDEX(⑰工程労務費一覧!$N$5:$N$11,MATCH($E11,⑰工程労務費一覧!$K$5:$K$11,0))/1000,""))))),IF(OR($D11="g",$D11="ｇ"),INDEX(⑰工程労務費一覧!$H$5:$H$753,MATCH($F11,⑰工程労務費一覧!$D$5:$D$753,0))/1000,IF($D11="kg",INDEX(⑰工程労務費一覧!$H$5:$H$753,MATCH($F11,⑰工程労務費一覧!$D$5:$D$753,0)),INDEX(⑰工程労務費一覧!$I$5:$I$753,MATCH($F11,⑰工程労務費一覧!$D$5:$D$753,0)))))),"")</f>
        <v/>
      </c>
      <c r="I11" s="392">
        <f>IF($K11&gt;0,IF(ISNUMBER(IF(OR($D11="g",$D11="ｇ"),IF($M11&gt;0,$L11/$M11/1000,""),IF($D11="kg",IF($M11&gt;0,$L11/$M11,""),IF($D11="",IF($M11&gt;0,$L11/$M11/1000,IF($O11&gt;0,$N11/$O11,"")),IF($O11&gt;0,$N11/$O11,""))))),IF($D11="",IF($M11&gt;0,"◎ JAN紐づけ(g扱い)","◎ JAN紐づけ(個扱い)"),"◎ JAN紐づけ"),"△ JAN紐づけ済・実績不足→仮計算"),IF($F11="",IF(ISNUMBER($H11),IF($D11="","⑤ 工程平均で仮計算(g扱い)","⑤ 工程平均で仮計算"),IF($E11="⑩盛付梱包工程入力","⑥ 盛り込み(⑳F列で計上)",IF(AND($E11="⑬計量工程入力",OR($D11="個",$D11="切",$D11="本",$D11="枚",$D11="尾")),"① 未紐づけ(カット個単位は仮単価なし)","① 未紐づけ"))),IF(NOT(ISNUMBER($H11)),"② 工程側に単価なし",IF($D11="","③ 単位未設定(個で計算)","④ OK"))))</f>
        <v/>
      </c>
      <c r="J11" s="399">
        <f>IFERROR(LOOKUP(2,1/((中間品リスト!$F$2:$F$1299=$B11)*(中間品リスト!$E$2:$E$1299&lt;&gt;"-")*(中間品リスト!$E$2:$E$1299&lt;&gt;"")),中間品リスト!$E$2:$E$1299),"")</f>
        <v/>
      </c>
      <c r="K11" s="400">
        <f>IF($J11="",0,COUNTIF(②釜工程入力!$S$5:$S$117,$J11)+COUNTIF(③スチコン工程入力!$S$5:$S$152,$J11)+COUNTIF(⑪ZEN工程入力!$S$6:$S$35,$J11)+COUNTIF(⑫ミキサー工程入力!$S$6:$S$65,$J11)+COUNTIF(⑬計量工程入力!$S$6:$S$65,$J11)+COUNTIF(⑭手動工程入力!$S$6:$S$47,$J11))</f>
        <v/>
      </c>
      <c r="L11" s="393">
        <f>IF($J11="",0,SUMIFS(②釜工程入力!$M$5:$M$117,②釜工程入力!$S$5:$S$117,$J11,②釜工程入力!$I$5:$I$117,"&gt;0")+SUMIFS(③スチコン工程入力!$M$5:$M$152,③スチコン工程入力!$S$5:$S$152,$J11,③スチコン工程入力!$I$5:$I$152,"&gt;0")+SUMIFS(⑪ZEN工程入力!$M$6:$M$35,⑪ZEN工程入力!$S$6:$S$35,$J11,⑪ZEN工程入力!$I$6:$I$35,"&gt;0")+SUMIFS(⑫ミキサー工程入力!$M$6:$M$65,⑫ミキサー工程入力!$S$6:$S$65,$J11,⑫ミキサー工程入力!$I$6:$I$65,"&gt;0")+SUMIFS(⑬計量工程入力!$M$6:$M$65,⑬計量工程入力!$S$6:$S$65,$J11,⑬計量工程入力!$I$6:$I$65,"&gt;0")+SUMIFS(⑭手動工程入力!$M$6:$M$47,⑭手動工程入力!$S$6:$S$47,$J11,⑭手動工程入力!$I$6:$I$47,"&gt;0"))</f>
        <v/>
      </c>
      <c r="M11" s="393">
        <f>IF($J11="",0,SUMIFS(②釜工程入力!$I$5:$I$117,②釜工程入力!$S$5:$S$117,$J11,②釜工程入力!$I$5:$I$117,"&gt;0",②釜工程入力!$M$5:$M$117,"&gt;0")+SUMIFS(③スチコン工程入力!$I$5:$I$152,③スチコン工程入力!$S$5:$S$152,$J11,③スチコン工程入力!$I$5:$I$152,"&gt;0",③スチコン工程入力!$M$5:$M$152,"&gt;0")+SUMIFS(⑪ZEN工程入力!$I$6:$I$35,⑪ZEN工程入力!$S$6:$S$35,$J11,⑪ZEN工程入力!$I$6:$I$35,"&gt;0",⑪ZEN工程入力!$M$6:$M$35,"&gt;0")+SUMIFS(⑫ミキサー工程入力!$I$6:$I$65,⑫ミキサー工程入力!$S$6:$S$65,$J11,⑫ミキサー工程入力!$I$6:$I$65,"&gt;0",⑫ミキサー工程入力!$M$6:$M$65,"&gt;0")+SUMIFS(⑬計量工程入力!$I$6:$I$65,⑬計量工程入力!$S$6:$S$65,$J11,⑬計量工程入力!$I$6:$I$65,"&gt;0",⑬計量工程入力!$M$6:$M$65,"&gt;0")+SUMIFS(⑭手動工程入力!$I$6:$I$47,⑭手動工程入力!$S$6:$S$47,$J11,⑭手動工程入力!$I$6:$I$47,"&gt;0",⑭手動工程入力!$M$6:$M$47,"&gt;0"))</f>
        <v/>
      </c>
      <c r="N11" s="393">
        <f>IF($J11="",0,SUMIFS(②釜工程入力!$M$5:$M$117,②釜工程入力!$S$5:$S$117,$J11,②釜工程入力!$J$5:$J$117,"&gt;0")-SUMIFS(②釜工程入力!$M$5:$M$117,②釜工程入力!$S$5:$S$117,$J11,②釜工程入力!$J$5:$J$117,"&gt;0",②釜工程入力!$I$5:$I$117,"&gt;0")+SUMIFS(③スチコン工程入力!$M$5:$M$152,③スチコン工程入力!$S$5:$S$152,$J11,③スチコン工程入力!$J$5:$J$152,"&gt;0")-SUMIFS(③スチコン工程入力!$M$5:$M$152,③スチコン工程入力!$S$5:$S$152,$J11,③スチコン工程入力!$J$5:$J$152,"&gt;0",③スチコン工程入力!$I$5:$I$152,"&gt;0")+SUMIFS(⑪ZEN工程入力!$M$6:$M$35,⑪ZEN工程入力!$S$6:$S$35,$J11,⑪ZEN工程入力!$J$6:$J$35,"&gt;0")-SUMIFS(⑪ZEN工程入力!$M$6:$M$35,⑪ZEN工程入力!$S$6:$S$35,$J11,⑪ZEN工程入力!$J$6:$J$35,"&gt;0",⑪ZEN工程入力!$I$6:$I$35,"&gt;0")+SUMIFS(⑫ミキサー工程入力!$M$6:$M$65,⑫ミキサー工程入力!$S$6:$S$65,$J11,⑫ミキサー工程入力!$J$6:$J$65,"&gt;0")-SUMIFS(⑫ミキサー工程入力!$M$6:$M$65,⑫ミキサー工程入力!$S$6:$S$65,$J11,⑫ミキサー工程入力!$J$6:$J$65,"&gt;0",⑫ミキサー工程入力!$I$6:$I$65,"&gt;0")+SUMIFS(⑬計量工程入力!$M$6:$M$65,⑬計量工程入力!$S$6:$S$65,$J11,⑬計量工程入力!$J$6:$J$65,"&gt;0")-SUMIFS(⑬計量工程入力!$M$6:$M$65,⑬計量工程入力!$S$6:$S$65,$J11,⑬計量工程入力!$J$6:$J$65,"&gt;0",⑬計量工程入力!$I$6:$I$65,"&gt;0")+SUMIFS(⑭手動工程入力!$M$6:$M$47,⑭手動工程入力!$S$6:$S$47,$J11,⑭手動工程入力!$J$6:$J$47,"&gt;0")-SUMIFS(⑭手動工程入力!$M$6:$M$47,⑭手動工程入力!$S$6:$S$47,$J11,⑭手動工程入力!$J$6:$J$47,"&gt;0",⑭手動工程入力!$I$6:$I$47,"&gt;0"))</f>
        <v/>
      </c>
      <c r="O11" s="393">
        <f>IF($J11="",0,SUMIFS(②釜工程入力!$J$5:$J$117,②釜工程入力!$S$5:$S$117,$J11,②釜工程入力!$J$5:$J$117,"&gt;0",②釜工程入力!$M$5:$M$117,"&gt;0")-SUMIFS(②釜工程入力!$J$5:$J$117,②釜工程入力!$S$5:$S$117,$J11,②釜工程入力!$J$5:$J$117,"&gt;0",②釜工程入力!$I$5:$I$117,"&gt;0",②釜工程入力!$M$5:$M$117,"&gt;0")+SUMIFS(③スチコン工程入力!$J$5:$J$152,③スチコン工程入力!$S$5:$S$152,$J11,③スチコン工程入力!$J$5:$J$152,"&gt;0",③スチコン工程入力!$M$5:$M$152,"&gt;0")-SUMIFS(③スチコン工程入力!$J$5:$J$152,③スチコン工程入力!$S$5:$S$152,$J11,③スチコン工程入力!$J$5:$J$152,"&gt;0",③スチコン工程入力!$I$5:$I$152,"&gt;0",③スチコン工程入力!$M$5:$M$152,"&gt;0")+SUMIFS(⑪ZEN工程入力!$J$6:$J$35,⑪ZEN工程入力!$S$6:$S$35,$J11,⑪ZEN工程入力!$J$6:$J$35,"&gt;0",⑪ZEN工程入力!$M$6:$M$35,"&gt;0")-SUMIFS(⑪ZEN工程入力!$J$6:$J$35,⑪ZEN工程入力!$S$6:$S$35,$J11,⑪ZEN工程入力!$J$6:$J$35,"&gt;0",⑪ZEN工程入力!$I$6:$I$35,"&gt;0",⑪ZEN工程入力!$M$6:$M$35,"&gt;0")+SUMIFS(⑫ミキサー工程入力!$J$6:$J$65,⑫ミキサー工程入力!$S$6:$S$65,$J11,⑫ミキサー工程入力!$J$6:$J$65,"&gt;0",⑫ミキサー工程入力!$M$6:$M$65,"&gt;0")-SUMIFS(⑫ミキサー工程入力!$J$6:$J$65,⑫ミキサー工程入力!$S$6:$S$65,$J11,⑫ミキサー工程入力!$J$6:$J$65,"&gt;0",⑫ミキサー工程入力!$I$6:$I$65,"&gt;0",⑫ミキサー工程入力!$M$6:$M$65,"&gt;0")+SUMIFS(⑬計量工程入力!$J$6:$J$65,⑬計量工程入力!$S$6:$S$65,$J11,⑬計量工程入力!$J$6:$J$65,"&gt;0",⑬計量工程入力!$M$6:$M$65,"&gt;0")-SUMIFS(⑬計量工程入力!$J$6:$J$65,⑬計量工程入力!$S$6:$S$65,$J11,⑬計量工程入力!$J$6:$J$65,"&gt;0",⑬計量工程入力!$I$6:$I$65,"&gt;0",⑬計量工程入力!$M$6:$M$65,"&gt;0")+SUMIFS(⑭手動工程入力!$J$6:$J$47,⑭手動工程入力!$S$6:$S$47,$J11,⑭手動工程入力!$J$6:$J$47,"&gt;0",⑭手動工程入力!$M$6:$M$47,"&gt;0")-SUMIFS(⑭手動工程入力!$J$6:$J$47,⑭手動工程入力!$S$6:$S$47,$J11,⑭手動工程入力!$J$6:$J$47,"&gt;0",⑭手動工程入力!$I$6:$I$47,"&gt;0",⑭手動工程入力!$M$6:$M$47,"&gt;0"))</f>
        <v/>
      </c>
      <c r="P11" s="392" t="n"/>
    </row>
    <row r="12">
      <c r="A12" s="392" t="n">
        <v>8</v>
      </c>
      <c r="B12" s="392" t="n"/>
      <c r="C12" s="392" t="n"/>
      <c r="D12" s="392" t="n"/>
      <c r="E12" s="392" t="n"/>
      <c r="F12" s="394" t="n"/>
      <c r="G12" s="392" t="n"/>
      <c r="H12" s="604">
        <f>IFERROR(IF(AND($K12&gt;0,ISNUMBER(IF(OR($D12="g",$D12="ｇ"),IF($M12&gt;0,$L12/$M12/1000,""),IF($D12="kg",IF($M12&gt;0,$L12/$M12,""),IF($D12="",IF($M12&gt;0,$L12/$M12/1000,IF($O12&gt;0,$N12/$O12,"")),IF($O12&gt;0,$N12/$O12,"")))))),IF(OR($D12="g",$D12="ｇ"),IF($M12&gt;0,$L12/$M12/1000,""),IF($D12="kg",IF($M12&gt;0,$L12/$M12,""),IF($D12="",IF($M12&gt;0,$L12/$M12/1000,IF($O12&gt;0,$N12/$O12,"")),IF($O12&gt;0,$N12/$O12,"")))),IF($F12="",IF(OR($E12="",$E12="⑩盛付梱包工程入力"),"",IF(OR($D12="g",$D12="ｇ"),INDEX(⑰工程労務費一覧!$N$5:$N$11,MATCH($E12,⑰工程労務費一覧!$K$5:$K$11,0))/1000,IF($D12="kg",INDEX(⑰工程労務費一覧!$N$5:$N$11,MATCH($E12,⑰工程労務費一覧!$K$5:$K$11,0)),IF(OR($D12="個",$D12="切",$D12="本",$D12="枚",$D12="尾"),IF($E12="⑬計量工程入力","",INDEX(⑰工程労務費一覧!$P$5:$P$11,MATCH($E12,⑰工程労務費一覧!$K$5:$K$11,0))),IF(AND($D12="",OR($E12="②釜工程入力",$E12="③スチコン工程入力")),INDEX(⑰工程労務費一覧!$N$5:$N$11,MATCH($E12,⑰工程労務費一覧!$K$5:$K$11,0))/1000,""))))),IF(OR($D12="g",$D12="ｇ"),INDEX(⑰工程労務費一覧!$H$5:$H$753,MATCH($F12,⑰工程労務費一覧!$D$5:$D$753,0))/1000,IF($D12="kg",INDEX(⑰工程労務費一覧!$H$5:$H$753,MATCH($F12,⑰工程労務費一覧!$D$5:$D$753,0)),INDEX(⑰工程労務費一覧!$I$5:$I$753,MATCH($F12,⑰工程労務費一覧!$D$5:$D$753,0)))))),"")</f>
        <v/>
      </c>
      <c r="I12" s="392">
        <f>IF($K12&gt;0,IF(ISNUMBER(IF(OR($D12="g",$D12="ｇ"),IF($M12&gt;0,$L12/$M12/1000,""),IF($D12="kg",IF($M12&gt;0,$L12/$M12,""),IF($D12="",IF($M12&gt;0,$L12/$M12/1000,IF($O12&gt;0,$N12/$O12,"")),IF($O12&gt;0,$N12/$O12,""))))),IF($D12="",IF($M12&gt;0,"◎ JAN紐づけ(g扱い)","◎ JAN紐づけ(個扱い)"),"◎ JAN紐づけ"),"△ JAN紐づけ済・実績不足→仮計算"),IF($F12="",IF(ISNUMBER($H12),IF($D12="","⑤ 工程平均で仮計算(g扱い)","⑤ 工程平均で仮計算"),IF($E12="⑩盛付梱包工程入力","⑥ 盛り込み(⑳F列で計上)",IF(AND($E12="⑬計量工程入力",OR($D12="個",$D12="切",$D12="本",$D12="枚",$D12="尾")),"① 未紐づけ(カット個単位は仮単価なし)","① 未紐づけ"))),IF(NOT(ISNUMBER($H12)),"② 工程側に単価なし",IF($D12="","③ 単位未設定(個で計算)","④ OK"))))</f>
        <v/>
      </c>
      <c r="J12" s="399">
        <f>IFERROR(LOOKUP(2,1/((中間品リスト!$F$2:$F$1299=$B12)*(中間品リスト!$E$2:$E$1299&lt;&gt;"-")*(中間品リスト!$E$2:$E$1299&lt;&gt;"")),中間品リスト!$E$2:$E$1299),"")</f>
        <v/>
      </c>
      <c r="K12" s="400">
        <f>IF($J12="",0,COUNTIF(②釜工程入力!$S$5:$S$117,$J12)+COUNTIF(③スチコン工程入力!$S$5:$S$152,$J12)+COUNTIF(⑪ZEN工程入力!$S$6:$S$35,$J12)+COUNTIF(⑫ミキサー工程入力!$S$6:$S$65,$J12)+COUNTIF(⑬計量工程入力!$S$6:$S$65,$J12)+COUNTIF(⑭手動工程入力!$S$6:$S$47,$J12))</f>
        <v/>
      </c>
      <c r="L12" s="393">
        <f>IF($J12="",0,SUMIFS(②釜工程入力!$M$5:$M$117,②釜工程入力!$S$5:$S$117,$J12,②釜工程入力!$I$5:$I$117,"&gt;0")+SUMIFS(③スチコン工程入力!$M$5:$M$152,③スチコン工程入力!$S$5:$S$152,$J12,③スチコン工程入力!$I$5:$I$152,"&gt;0")+SUMIFS(⑪ZEN工程入力!$M$6:$M$35,⑪ZEN工程入力!$S$6:$S$35,$J12,⑪ZEN工程入力!$I$6:$I$35,"&gt;0")+SUMIFS(⑫ミキサー工程入力!$M$6:$M$65,⑫ミキサー工程入力!$S$6:$S$65,$J12,⑫ミキサー工程入力!$I$6:$I$65,"&gt;0")+SUMIFS(⑬計量工程入力!$M$6:$M$65,⑬計量工程入力!$S$6:$S$65,$J12,⑬計量工程入力!$I$6:$I$65,"&gt;0")+SUMIFS(⑭手動工程入力!$M$6:$M$47,⑭手動工程入力!$S$6:$S$47,$J12,⑭手動工程入力!$I$6:$I$47,"&gt;0"))</f>
        <v/>
      </c>
      <c r="M12" s="393">
        <f>IF($J12="",0,SUMIFS(②釜工程入力!$I$5:$I$117,②釜工程入力!$S$5:$S$117,$J12,②釜工程入力!$I$5:$I$117,"&gt;0",②釜工程入力!$M$5:$M$117,"&gt;0")+SUMIFS(③スチコン工程入力!$I$5:$I$152,③スチコン工程入力!$S$5:$S$152,$J12,③スチコン工程入力!$I$5:$I$152,"&gt;0",③スチコン工程入力!$M$5:$M$152,"&gt;0")+SUMIFS(⑪ZEN工程入力!$I$6:$I$35,⑪ZEN工程入力!$S$6:$S$35,$J12,⑪ZEN工程入力!$I$6:$I$35,"&gt;0",⑪ZEN工程入力!$M$6:$M$35,"&gt;0")+SUMIFS(⑫ミキサー工程入力!$I$6:$I$65,⑫ミキサー工程入力!$S$6:$S$65,$J12,⑫ミキサー工程入力!$I$6:$I$65,"&gt;0",⑫ミキサー工程入力!$M$6:$M$65,"&gt;0")+SUMIFS(⑬計量工程入力!$I$6:$I$65,⑬計量工程入力!$S$6:$S$65,$J12,⑬計量工程入力!$I$6:$I$65,"&gt;0",⑬計量工程入力!$M$6:$M$65,"&gt;0")+SUMIFS(⑭手動工程入力!$I$6:$I$47,⑭手動工程入力!$S$6:$S$47,$J12,⑭手動工程入力!$I$6:$I$47,"&gt;0",⑭手動工程入力!$M$6:$M$47,"&gt;0"))</f>
        <v/>
      </c>
      <c r="N12" s="393">
        <f>IF($J12="",0,SUMIFS(②釜工程入力!$M$5:$M$117,②釜工程入力!$S$5:$S$117,$J12,②釜工程入力!$J$5:$J$117,"&gt;0")-SUMIFS(②釜工程入力!$M$5:$M$117,②釜工程入力!$S$5:$S$117,$J12,②釜工程入力!$J$5:$J$117,"&gt;0",②釜工程入力!$I$5:$I$117,"&gt;0")+SUMIFS(③スチコン工程入力!$M$5:$M$152,③スチコン工程入力!$S$5:$S$152,$J12,③スチコン工程入力!$J$5:$J$152,"&gt;0")-SUMIFS(③スチコン工程入力!$M$5:$M$152,③スチコン工程入力!$S$5:$S$152,$J12,③スチコン工程入力!$J$5:$J$152,"&gt;0",③スチコン工程入力!$I$5:$I$152,"&gt;0")+SUMIFS(⑪ZEN工程入力!$M$6:$M$35,⑪ZEN工程入力!$S$6:$S$35,$J12,⑪ZEN工程入力!$J$6:$J$35,"&gt;0")-SUMIFS(⑪ZEN工程入力!$M$6:$M$35,⑪ZEN工程入力!$S$6:$S$35,$J12,⑪ZEN工程入力!$J$6:$J$35,"&gt;0",⑪ZEN工程入力!$I$6:$I$35,"&gt;0")+SUMIFS(⑫ミキサー工程入力!$M$6:$M$65,⑫ミキサー工程入力!$S$6:$S$65,$J12,⑫ミキサー工程入力!$J$6:$J$65,"&gt;0")-SUMIFS(⑫ミキサー工程入力!$M$6:$M$65,⑫ミキサー工程入力!$S$6:$S$65,$J12,⑫ミキサー工程入力!$J$6:$J$65,"&gt;0",⑫ミキサー工程入力!$I$6:$I$65,"&gt;0")+SUMIFS(⑬計量工程入力!$M$6:$M$65,⑬計量工程入力!$S$6:$S$65,$J12,⑬計量工程入力!$J$6:$J$65,"&gt;0")-SUMIFS(⑬計量工程入力!$M$6:$M$65,⑬計量工程入力!$S$6:$S$65,$J12,⑬計量工程入力!$J$6:$J$65,"&gt;0",⑬計量工程入力!$I$6:$I$65,"&gt;0")+SUMIFS(⑭手動工程入力!$M$6:$M$47,⑭手動工程入力!$S$6:$S$47,$J12,⑭手動工程入力!$J$6:$J$47,"&gt;0")-SUMIFS(⑭手動工程入力!$M$6:$M$47,⑭手動工程入力!$S$6:$S$47,$J12,⑭手動工程入力!$J$6:$J$47,"&gt;0",⑭手動工程入力!$I$6:$I$47,"&gt;0"))</f>
        <v/>
      </c>
      <c r="O12" s="393">
        <f>IF($J12="",0,SUMIFS(②釜工程入力!$J$5:$J$117,②釜工程入力!$S$5:$S$117,$J12,②釜工程入力!$J$5:$J$117,"&gt;0",②釜工程入力!$M$5:$M$117,"&gt;0")-SUMIFS(②釜工程入力!$J$5:$J$117,②釜工程入力!$S$5:$S$117,$J12,②釜工程入力!$J$5:$J$117,"&gt;0",②釜工程入力!$I$5:$I$117,"&gt;0",②釜工程入力!$M$5:$M$117,"&gt;0")+SUMIFS(③スチコン工程入力!$J$5:$J$152,③スチコン工程入力!$S$5:$S$152,$J12,③スチコン工程入力!$J$5:$J$152,"&gt;0",③スチコン工程入力!$M$5:$M$152,"&gt;0")-SUMIFS(③スチコン工程入力!$J$5:$J$152,③スチコン工程入力!$S$5:$S$152,$J12,③スチコン工程入力!$J$5:$J$152,"&gt;0",③スチコン工程入力!$I$5:$I$152,"&gt;0",③スチコン工程入力!$M$5:$M$152,"&gt;0")+SUMIFS(⑪ZEN工程入力!$J$6:$J$35,⑪ZEN工程入力!$S$6:$S$35,$J12,⑪ZEN工程入力!$J$6:$J$35,"&gt;0",⑪ZEN工程入力!$M$6:$M$35,"&gt;0")-SUMIFS(⑪ZEN工程入力!$J$6:$J$35,⑪ZEN工程入力!$S$6:$S$35,$J12,⑪ZEN工程入力!$J$6:$J$35,"&gt;0",⑪ZEN工程入力!$I$6:$I$35,"&gt;0",⑪ZEN工程入力!$M$6:$M$35,"&gt;0")+SUMIFS(⑫ミキサー工程入力!$J$6:$J$65,⑫ミキサー工程入力!$S$6:$S$65,$J12,⑫ミキサー工程入力!$J$6:$J$65,"&gt;0",⑫ミキサー工程入力!$M$6:$M$65,"&gt;0")-SUMIFS(⑫ミキサー工程入力!$J$6:$J$65,⑫ミキサー工程入力!$S$6:$S$65,$J12,⑫ミキサー工程入力!$J$6:$J$65,"&gt;0",⑫ミキサー工程入力!$I$6:$I$65,"&gt;0",⑫ミキサー工程入力!$M$6:$M$65,"&gt;0")+SUMIFS(⑬計量工程入力!$J$6:$J$65,⑬計量工程入力!$S$6:$S$65,$J12,⑬計量工程入力!$J$6:$J$65,"&gt;0",⑬計量工程入力!$M$6:$M$65,"&gt;0")-SUMIFS(⑬計量工程入力!$J$6:$J$65,⑬計量工程入力!$S$6:$S$65,$J12,⑬計量工程入力!$J$6:$J$65,"&gt;0",⑬計量工程入力!$I$6:$I$65,"&gt;0",⑬計量工程入力!$M$6:$M$65,"&gt;0")+SUMIFS(⑭手動工程入力!$J$6:$J$47,⑭手動工程入力!$S$6:$S$47,$J12,⑭手動工程入力!$J$6:$J$47,"&gt;0",⑭手動工程入力!$M$6:$M$47,"&gt;0")-SUMIFS(⑭手動工程入力!$J$6:$J$47,⑭手動工程入力!$S$6:$S$47,$J12,⑭手動工程入力!$J$6:$J$47,"&gt;0",⑭手動工程入力!$I$6:$I$47,"&gt;0",⑭手動工程入力!$M$6:$M$47,"&gt;0"))</f>
        <v/>
      </c>
      <c r="P12" s="392" t="n"/>
    </row>
    <row r="13">
      <c r="A13" s="392" t="n">
        <v>9</v>
      </c>
      <c r="B13" s="392" t="n"/>
      <c r="C13" s="392" t="n"/>
      <c r="D13" s="392" t="n"/>
      <c r="E13" s="392" t="n"/>
      <c r="F13" s="394" t="n"/>
      <c r="G13" s="392" t="n"/>
      <c r="H13" s="604">
        <f>IFERROR(IF(AND($K13&gt;0,ISNUMBER(IF(OR($D13="g",$D13="ｇ"),IF($M13&gt;0,$L13/$M13/1000,""),IF($D13="kg",IF($M13&gt;0,$L13/$M13,""),IF($D13="",IF($M13&gt;0,$L13/$M13/1000,IF($O13&gt;0,$N13/$O13,"")),IF($O13&gt;0,$N13/$O13,"")))))),IF(OR($D13="g",$D13="ｇ"),IF($M13&gt;0,$L13/$M13/1000,""),IF($D13="kg",IF($M13&gt;0,$L13/$M13,""),IF($D13="",IF($M13&gt;0,$L13/$M13/1000,IF($O13&gt;0,$N13/$O13,"")),IF($O13&gt;0,$N13/$O13,"")))),IF($F13="",IF(OR($E13="",$E13="⑩盛付梱包工程入力"),"",IF(OR($D13="g",$D13="ｇ"),INDEX(⑰工程労務費一覧!$N$5:$N$11,MATCH($E13,⑰工程労務費一覧!$K$5:$K$11,0))/1000,IF($D13="kg",INDEX(⑰工程労務費一覧!$N$5:$N$11,MATCH($E13,⑰工程労務費一覧!$K$5:$K$11,0)),IF(OR($D13="個",$D13="切",$D13="本",$D13="枚",$D13="尾"),IF($E13="⑬計量工程入力","",INDEX(⑰工程労務費一覧!$P$5:$P$11,MATCH($E13,⑰工程労務費一覧!$K$5:$K$11,0))),IF(AND($D13="",OR($E13="②釜工程入力",$E13="③スチコン工程入力")),INDEX(⑰工程労務費一覧!$N$5:$N$11,MATCH($E13,⑰工程労務費一覧!$K$5:$K$11,0))/1000,""))))),IF(OR($D13="g",$D13="ｇ"),INDEX(⑰工程労務費一覧!$H$5:$H$753,MATCH($F13,⑰工程労務費一覧!$D$5:$D$753,0))/1000,IF($D13="kg",INDEX(⑰工程労務費一覧!$H$5:$H$753,MATCH($F13,⑰工程労務費一覧!$D$5:$D$753,0)),INDEX(⑰工程労務費一覧!$I$5:$I$753,MATCH($F13,⑰工程労務費一覧!$D$5:$D$753,0)))))),"")</f>
        <v/>
      </c>
      <c r="I13" s="392">
        <f>IF($K13&gt;0,IF(ISNUMBER(IF(OR($D13="g",$D13="ｇ"),IF($M13&gt;0,$L13/$M13/1000,""),IF($D13="kg",IF($M13&gt;0,$L13/$M13,""),IF($D13="",IF($M13&gt;0,$L13/$M13/1000,IF($O13&gt;0,$N13/$O13,"")),IF($O13&gt;0,$N13/$O13,""))))),IF($D13="",IF($M13&gt;0,"◎ JAN紐づけ(g扱い)","◎ JAN紐づけ(個扱い)"),"◎ JAN紐づけ"),"△ JAN紐づけ済・実績不足→仮計算"),IF($F13="",IF(ISNUMBER($H13),IF($D13="","⑤ 工程平均で仮計算(g扱い)","⑤ 工程平均で仮計算"),IF($E13="⑩盛付梱包工程入力","⑥ 盛り込み(⑳F列で計上)",IF(AND($E13="⑬計量工程入力",OR($D13="個",$D13="切",$D13="本",$D13="枚",$D13="尾")),"① 未紐づけ(カット個単位は仮単価なし)","① 未紐づけ"))),IF(NOT(ISNUMBER($H13)),"② 工程側に単価なし",IF($D13="","③ 単位未設定(個で計算)","④ OK"))))</f>
        <v/>
      </c>
      <c r="J13" s="399">
        <f>IFERROR(LOOKUP(2,1/((中間品リスト!$F$2:$F$1299=$B13)*(中間品リスト!$E$2:$E$1299&lt;&gt;"-")*(中間品リスト!$E$2:$E$1299&lt;&gt;"")),中間品リスト!$E$2:$E$1299),"")</f>
        <v/>
      </c>
      <c r="K13" s="400">
        <f>IF($J13="",0,COUNTIF(②釜工程入力!$S$5:$S$117,$J13)+COUNTIF(③スチコン工程入力!$S$5:$S$152,$J13)+COUNTIF(⑪ZEN工程入力!$S$6:$S$35,$J13)+COUNTIF(⑫ミキサー工程入力!$S$6:$S$65,$J13)+COUNTIF(⑬計量工程入力!$S$6:$S$65,$J13)+COUNTIF(⑭手動工程入力!$S$6:$S$47,$J13))</f>
        <v/>
      </c>
      <c r="L13" s="393">
        <f>IF($J13="",0,SUMIFS(②釜工程入力!$M$5:$M$117,②釜工程入力!$S$5:$S$117,$J13,②釜工程入力!$I$5:$I$117,"&gt;0")+SUMIFS(③スチコン工程入力!$M$5:$M$152,③スチコン工程入力!$S$5:$S$152,$J13,③スチコン工程入力!$I$5:$I$152,"&gt;0")+SUMIFS(⑪ZEN工程入力!$M$6:$M$35,⑪ZEN工程入力!$S$6:$S$35,$J13,⑪ZEN工程入力!$I$6:$I$35,"&gt;0")+SUMIFS(⑫ミキサー工程入力!$M$6:$M$65,⑫ミキサー工程入力!$S$6:$S$65,$J13,⑫ミキサー工程入力!$I$6:$I$65,"&gt;0")+SUMIFS(⑬計量工程入力!$M$6:$M$65,⑬計量工程入力!$S$6:$S$65,$J13,⑬計量工程入力!$I$6:$I$65,"&gt;0")+SUMIFS(⑭手動工程入力!$M$6:$M$47,⑭手動工程入力!$S$6:$S$47,$J13,⑭手動工程入力!$I$6:$I$47,"&gt;0"))</f>
        <v/>
      </c>
      <c r="M13" s="393">
        <f>IF($J13="",0,SUMIFS(②釜工程入力!$I$5:$I$117,②釜工程入力!$S$5:$S$117,$J13,②釜工程入力!$I$5:$I$117,"&gt;0",②釜工程入力!$M$5:$M$117,"&gt;0")+SUMIFS(③スチコン工程入力!$I$5:$I$152,③スチコン工程入力!$S$5:$S$152,$J13,③スチコン工程入力!$I$5:$I$152,"&gt;0",③スチコン工程入力!$M$5:$M$152,"&gt;0")+SUMIFS(⑪ZEN工程入力!$I$6:$I$35,⑪ZEN工程入力!$S$6:$S$35,$J13,⑪ZEN工程入力!$I$6:$I$35,"&gt;0",⑪ZEN工程入力!$M$6:$M$35,"&gt;0")+SUMIFS(⑫ミキサー工程入力!$I$6:$I$65,⑫ミキサー工程入力!$S$6:$S$65,$J13,⑫ミキサー工程入力!$I$6:$I$65,"&gt;0",⑫ミキサー工程入力!$M$6:$M$65,"&gt;0")+SUMIFS(⑬計量工程入力!$I$6:$I$65,⑬計量工程入力!$S$6:$S$65,$J13,⑬計量工程入力!$I$6:$I$65,"&gt;0",⑬計量工程入力!$M$6:$M$65,"&gt;0")+SUMIFS(⑭手動工程入力!$I$6:$I$47,⑭手動工程入力!$S$6:$S$47,$J13,⑭手動工程入力!$I$6:$I$47,"&gt;0",⑭手動工程入力!$M$6:$M$47,"&gt;0"))</f>
        <v/>
      </c>
      <c r="N13" s="393">
        <f>IF($J13="",0,SUMIFS(②釜工程入力!$M$5:$M$117,②釜工程入力!$S$5:$S$117,$J13,②釜工程入力!$J$5:$J$117,"&gt;0")-SUMIFS(②釜工程入力!$M$5:$M$117,②釜工程入力!$S$5:$S$117,$J13,②釜工程入力!$J$5:$J$117,"&gt;0",②釜工程入力!$I$5:$I$117,"&gt;0")+SUMIFS(③スチコン工程入力!$M$5:$M$152,③スチコン工程入力!$S$5:$S$152,$J13,③スチコン工程入力!$J$5:$J$152,"&gt;0")-SUMIFS(③スチコン工程入力!$M$5:$M$152,③スチコン工程入力!$S$5:$S$152,$J13,③スチコン工程入力!$J$5:$J$152,"&gt;0",③スチコン工程入力!$I$5:$I$152,"&gt;0")+SUMIFS(⑪ZEN工程入力!$M$6:$M$35,⑪ZEN工程入力!$S$6:$S$35,$J13,⑪ZEN工程入力!$J$6:$J$35,"&gt;0")-SUMIFS(⑪ZEN工程入力!$M$6:$M$35,⑪ZEN工程入力!$S$6:$S$35,$J13,⑪ZEN工程入力!$J$6:$J$35,"&gt;0",⑪ZEN工程入力!$I$6:$I$35,"&gt;0")+SUMIFS(⑫ミキサー工程入力!$M$6:$M$65,⑫ミキサー工程入力!$S$6:$S$65,$J13,⑫ミキサー工程入力!$J$6:$J$65,"&gt;0")-SUMIFS(⑫ミキサー工程入力!$M$6:$M$65,⑫ミキサー工程入力!$S$6:$S$65,$J13,⑫ミキサー工程入力!$J$6:$J$65,"&gt;0",⑫ミキサー工程入力!$I$6:$I$65,"&gt;0")+SUMIFS(⑬計量工程入力!$M$6:$M$65,⑬計量工程入力!$S$6:$S$65,$J13,⑬計量工程入力!$J$6:$J$65,"&gt;0")-SUMIFS(⑬計量工程入力!$M$6:$M$65,⑬計量工程入力!$S$6:$S$65,$J13,⑬計量工程入力!$J$6:$J$65,"&gt;0",⑬計量工程入力!$I$6:$I$65,"&gt;0")+SUMIFS(⑭手動工程入力!$M$6:$M$47,⑭手動工程入力!$S$6:$S$47,$J13,⑭手動工程入力!$J$6:$J$47,"&gt;0")-SUMIFS(⑭手動工程入力!$M$6:$M$47,⑭手動工程入力!$S$6:$S$47,$J13,⑭手動工程入力!$J$6:$J$47,"&gt;0",⑭手動工程入力!$I$6:$I$47,"&gt;0"))</f>
        <v/>
      </c>
      <c r="O13" s="393">
        <f>IF($J13="",0,SUMIFS(②釜工程入力!$J$5:$J$117,②釜工程入力!$S$5:$S$117,$J13,②釜工程入力!$J$5:$J$117,"&gt;0",②釜工程入力!$M$5:$M$117,"&gt;0")-SUMIFS(②釜工程入力!$J$5:$J$117,②釜工程入力!$S$5:$S$117,$J13,②釜工程入力!$J$5:$J$117,"&gt;0",②釜工程入力!$I$5:$I$117,"&gt;0",②釜工程入力!$M$5:$M$117,"&gt;0")+SUMIFS(③スチコン工程入力!$J$5:$J$152,③スチコン工程入力!$S$5:$S$152,$J13,③スチコン工程入力!$J$5:$J$152,"&gt;0",③スチコン工程入力!$M$5:$M$152,"&gt;0")-SUMIFS(③スチコン工程入力!$J$5:$J$152,③スチコン工程入力!$S$5:$S$152,$J13,③スチコン工程入力!$J$5:$J$152,"&gt;0",③スチコン工程入力!$I$5:$I$152,"&gt;0",③スチコン工程入力!$M$5:$M$152,"&gt;0")+SUMIFS(⑪ZEN工程入力!$J$6:$J$35,⑪ZEN工程入力!$S$6:$S$35,$J13,⑪ZEN工程入力!$J$6:$J$35,"&gt;0",⑪ZEN工程入力!$M$6:$M$35,"&gt;0")-SUMIFS(⑪ZEN工程入力!$J$6:$J$35,⑪ZEN工程入力!$S$6:$S$35,$J13,⑪ZEN工程入力!$J$6:$J$35,"&gt;0",⑪ZEN工程入力!$I$6:$I$35,"&gt;0",⑪ZEN工程入力!$M$6:$M$35,"&gt;0")+SUMIFS(⑫ミキサー工程入力!$J$6:$J$65,⑫ミキサー工程入力!$S$6:$S$65,$J13,⑫ミキサー工程入力!$J$6:$J$65,"&gt;0",⑫ミキサー工程入力!$M$6:$M$65,"&gt;0")-SUMIFS(⑫ミキサー工程入力!$J$6:$J$65,⑫ミキサー工程入力!$S$6:$S$65,$J13,⑫ミキサー工程入力!$J$6:$J$65,"&gt;0",⑫ミキサー工程入力!$I$6:$I$65,"&gt;0",⑫ミキサー工程入力!$M$6:$M$65,"&gt;0")+SUMIFS(⑬計量工程入力!$J$6:$J$65,⑬計量工程入力!$S$6:$S$65,$J13,⑬計量工程入力!$J$6:$J$65,"&gt;0",⑬計量工程入力!$M$6:$M$65,"&gt;0")-SUMIFS(⑬計量工程入力!$J$6:$J$65,⑬計量工程入力!$S$6:$S$65,$J13,⑬計量工程入力!$J$6:$J$65,"&gt;0",⑬計量工程入力!$I$6:$I$65,"&gt;0",⑬計量工程入力!$M$6:$M$65,"&gt;0")+SUMIFS(⑭手動工程入力!$J$6:$J$47,⑭手動工程入力!$S$6:$S$47,$J13,⑭手動工程入力!$J$6:$J$47,"&gt;0",⑭手動工程入力!$M$6:$M$47,"&gt;0")-SUMIFS(⑭手動工程入力!$J$6:$J$47,⑭手動工程入力!$S$6:$S$47,$J13,⑭手動工程入力!$J$6:$J$47,"&gt;0",⑭手動工程入力!$I$6:$I$47,"&gt;0",⑭手動工程入力!$M$6:$M$47,"&gt;0"))</f>
        <v/>
      </c>
      <c r="P13" s="392" t="n"/>
    </row>
    <row r="14">
      <c r="A14" s="392" t="n">
        <v>10</v>
      </c>
      <c r="B14" s="392" t="n"/>
      <c r="C14" s="392" t="n"/>
      <c r="D14" s="392" t="n"/>
      <c r="E14" s="392" t="n"/>
      <c r="F14" s="394" t="n"/>
      <c r="G14" s="392" t="n"/>
      <c r="H14" s="604">
        <f>IFERROR(IF(AND($K14&gt;0,ISNUMBER(IF(OR($D14="g",$D14="ｇ"),IF($M14&gt;0,$L14/$M14/1000,""),IF($D14="kg",IF($M14&gt;0,$L14/$M14,""),IF($D14="",IF($M14&gt;0,$L14/$M14/1000,IF($O14&gt;0,$N14/$O14,"")),IF($O14&gt;0,$N14/$O14,"")))))),IF(OR($D14="g",$D14="ｇ"),IF($M14&gt;0,$L14/$M14/1000,""),IF($D14="kg",IF($M14&gt;0,$L14/$M14,""),IF($D14="",IF($M14&gt;0,$L14/$M14/1000,IF($O14&gt;0,$N14/$O14,"")),IF($O14&gt;0,$N14/$O14,"")))),IF($F14="",IF(OR($E14="",$E14="⑩盛付梱包工程入力"),"",IF(OR($D14="g",$D14="ｇ"),INDEX(⑰工程労務費一覧!$N$5:$N$11,MATCH($E14,⑰工程労務費一覧!$K$5:$K$11,0))/1000,IF($D14="kg",INDEX(⑰工程労務費一覧!$N$5:$N$11,MATCH($E14,⑰工程労務費一覧!$K$5:$K$11,0)),IF(OR($D14="個",$D14="切",$D14="本",$D14="枚",$D14="尾"),IF($E14="⑬計量工程入力","",INDEX(⑰工程労務費一覧!$P$5:$P$11,MATCH($E14,⑰工程労務費一覧!$K$5:$K$11,0))),IF(AND($D14="",OR($E14="②釜工程入力",$E14="③スチコン工程入力")),INDEX(⑰工程労務費一覧!$N$5:$N$11,MATCH($E14,⑰工程労務費一覧!$K$5:$K$11,0))/1000,""))))),IF(OR($D14="g",$D14="ｇ"),INDEX(⑰工程労務費一覧!$H$5:$H$753,MATCH($F14,⑰工程労務費一覧!$D$5:$D$753,0))/1000,IF($D14="kg",INDEX(⑰工程労務費一覧!$H$5:$H$753,MATCH($F14,⑰工程労務費一覧!$D$5:$D$753,0)),INDEX(⑰工程労務費一覧!$I$5:$I$753,MATCH($F14,⑰工程労務費一覧!$D$5:$D$753,0)))))),"")</f>
        <v/>
      </c>
      <c r="I14" s="392">
        <f>IF($K14&gt;0,IF(ISNUMBER(IF(OR($D14="g",$D14="ｇ"),IF($M14&gt;0,$L14/$M14/1000,""),IF($D14="kg",IF($M14&gt;0,$L14/$M14,""),IF($D14="",IF($M14&gt;0,$L14/$M14/1000,IF($O14&gt;0,$N14/$O14,"")),IF($O14&gt;0,$N14/$O14,""))))),IF($D14="",IF($M14&gt;0,"◎ JAN紐づけ(g扱い)","◎ JAN紐づけ(個扱い)"),"◎ JAN紐づけ"),"△ JAN紐づけ済・実績不足→仮計算"),IF($F14="",IF(ISNUMBER($H14),IF($D14="","⑤ 工程平均で仮計算(g扱い)","⑤ 工程平均で仮計算"),IF($E14="⑩盛付梱包工程入力","⑥ 盛り込み(⑳F列で計上)",IF(AND($E14="⑬計量工程入力",OR($D14="個",$D14="切",$D14="本",$D14="枚",$D14="尾")),"① 未紐づけ(カット個単位は仮単価なし)","① 未紐づけ"))),IF(NOT(ISNUMBER($H14)),"② 工程側に単価なし",IF($D14="","③ 単位未設定(個で計算)","④ OK"))))</f>
        <v/>
      </c>
      <c r="J14" s="399">
        <f>IFERROR(LOOKUP(2,1/((中間品リスト!$F$2:$F$1299=$B14)*(中間品リスト!$E$2:$E$1299&lt;&gt;"-")*(中間品リスト!$E$2:$E$1299&lt;&gt;"")),中間品リスト!$E$2:$E$1299),"")</f>
        <v/>
      </c>
      <c r="K14" s="400">
        <f>IF($J14="",0,COUNTIF(②釜工程入力!$S$5:$S$117,$J14)+COUNTIF(③スチコン工程入力!$S$5:$S$152,$J14)+COUNTIF(⑪ZEN工程入力!$S$6:$S$35,$J14)+COUNTIF(⑫ミキサー工程入力!$S$6:$S$65,$J14)+COUNTIF(⑬計量工程入力!$S$6:$S$65,$J14)+COUNTIF(⑭手動工程入力!$S$6:$S$47,$J14))</f>
        <v/>
      </c>
      <c r="L14" s="393">
        <f>IF($J14="",0,SUMIFS(②釜工程入力!$M$5:$M$117,②釜工程入力!$S$5:$S$117,$J14,②釜工程入力!$I$5:$I$117,"&gt;0")+SUMIFS(③スチコン工程入力!$M$5:$M$152,③スチコン工程入力!$S$5:$S$152,$J14,③スチコン工程入力!$I$5:$I$152,"&gt;0")+SUMIFS(⑪ZEN工程入力!$M$6:$M$35,⑪ZEN工程入力!$S$6:$S$35,$J14,⑪ZEN工程入力!$I$6:$I$35,"&gt;0")+SUMIFS(⑫ミキサー工程入力!$M$6:$M$65,⑫ミキサー工程入力!$S$6:$S$65,$J14,⑫ミキサー工程入力!$I$6:$I$65,"&gt;0")+SUMIFS(⑬計量工程入力!$M$6:$M$65,⑬計量工程入力!$S$6:$S$65,$J14,⑬計量工程入力!$I$6:$I$65,"&gt;0")+SUMIFS(⑭手動工程入力!$M$6:$M$47,⑭手動工程入力!$S$6:$S$47,$J14,⑭手動工程入力!$I$6:$I$47,"&gt;0"))</f>
        <v/>
      </c>
      <c r="M14" s="393">
        <f>IF($J14="",0,SUMIFS(②釜工程入力!$I$5:$I$117,②釜工程入力!$S$5:$S$117,$J14,②釜工程入力!$I$5:$I$117,"&gt;0",②釜工程入力!$M$5:$M$117,"&gt;0")+SUMIFS(③スチコン工程入力!$I$5:$I$152,③スチコン工程入力!$S$5:$S$152,$J14,③スチコン工程入力!$I$5:$I$152,"&gt;0",③スチコン工程入力!$M$5:$M$152,"&gt;0")+SUMIFS(⑪ZEN工程入力!$I$6:$I$35,⑪ZEN工程入力!$S$6:$S$35,$J14,⑪ZEN工程入力!$I$6:$I$35,"&gt;0",⑪ZEN工程入力!$M$6:$M$35,"&gt;0")+SUMIFS(⑫ミキサー工程入力!$I$6:$I$65,⑫ミキサー工程入力!$S$6:$S$65,$J14,⑫ミキサー工程入力!$I$6:$I$65,"&gt;0",⑫ミキサー工程入力!$M$6:$M$65,"&gt;0")+SUMIFS(⑬計量工程入力!$I$6:$I$65,⑬計量工程入力!$S$6:$S$65,$J14,⑬計量工程入力!$I$6:$I$65,"&gt;0",⑬計量工程入力!$M$6:$M$65,"&gt;0")+SUMIFS(⑭手動工程入力!$I$6:$I$47,⑭手動工程入力!$S$6:$S$47,$J14,⑭手動工程入力!$I$6:$I$47,"&gt;0",⑭手動工程入力!$M$6:$M$47,"&gt;0"))</f>
        <v/>
      </c>
      <c r="N14" s="393">
        <f>IF($J14="",0,SUMIFS(②釜工程入力!$M$5:$M$117,②釜工程入力!$S$5:$S$117,$J14,②釜工程入力!$J$5:$J$117,"&gt;0")-SUMIFS(②釜工程入力!$M$5:$M$117,②釜工程入力!$S$5:$S$117,$J14,②釜工程入力!$J$5:$J$117,"&gt;0",②釜工程入力!$I$5:$I$117,"&gt;0")+SUMIFS(③スチコン工程入力!$M$5:$M$152,③スチコン工程入力!$S$5:$S$152,$J14,③スチコン工程入力!$J$5:$J$152,"&gt;0")-SUMIFS(③スチコン工程入力!$M$5:$M$152,③スチコン工程入力!$S$5:$S$152,$J14,③スチコン工程入力!$J$5:$J$152,"&gt;0",③スチコン工程入力!$I$5:$I$152,"&gt;0")+SUMIFS(⑪ZEN工程入力!$M$6:$M$35,⑪ZEN工程入力!$S$6:$S$35,$J14,⑪ZEN工程入力!$J$6:$J$35,"&gt;0")-SUMIFS(⑪ZEN工程入力!$M$6:$M$35,⑪ZEN工程入力!$S$6:$S$35,$J14,⑪ZEN工程入力!$J$6:$J$35,"&gt;0",⑪ZEN工程入力!$I$6:$I$35,"&gt;0")+SUMIFS(⑫ミキサー工程入力!$M$6:$M$65,⑫ミキサー工程入力!$S$6:$S$65,$J14,⑫ミキサー工程入力!$J$6:$J$65,"&gt;0")-SUMIFS(⑫ミキサー工程入力!$M$6:$M$65,⑫ミキサー工程入力!$S$6:$S$65,$J14,⑫ミキサー工程入力!$J$6:$J$65,"&gt;0",⑫ミキサー工程入力!$I$6:$I$65,"&gt;0")+SUMIFS(⑬計量工程入力!$M$6:$M$65,⑬計量工程入力!$S$6:$S$65,$J14,⑬計量工程入力!$J$6:$J$65,"&gt;0")-SUMIFS(⑬計量工程入力!$M$6:$M$65,⑬計量工程入力!$S$6:$S$65,$J14,⑬計量工程入力!$J$6:$J$65,"&gt;0",⑬計量工程入力!$I$6:$I$65,"&gt;0")+SUMIFS(⑭手動工程入力!$M$6:$M$47,⑭手動工程入力!$S$6:$S$47,$J14,⑭手動工程入力!$J$6:$J$47,"&gt;0")-SUMIFS(⑭手動工程入力!$M$6:$M$47,⑭手動工程入力!$S$6:$S$47,$J14,⑭手動工程入力!$J$6:$J$47,"&gt;0",⑭手動工程入力!$I$6:$I$47,"&gt;0"))</f>
        <v/>
      </c>
      <c r="O14" s="393">
        <f>IF($J14="",0,SUMIFS(②釜工程入力!$J$5:$J$117,②釜工程入力!$S$5:$S$117,$J14,②釜工程入力!$J$5:$J$117,"&gt;0",②釜工程入力!$M$5:$M$117,"&gt;0")-SUMIFS(②釜工程入力!$J$5:$J$117,②釜工程入力!$S$5:$S$117,$J14,②釜工程入力!$J$5:$J$117,"&gt;0",②釜工程入力!$I$5:$I$117,"&gt;0",②釜工程入力!$M$5:$M$117,"&gt;0")+SUMIFS(③スチコン工程入力!$J$5:$J$152,③スチコン工程入力!$S$5:$S$152,$J14,③スチコン工程入力!$J$5:$J$152,"&gt;0",③スチコン工程入力!$M$5:$M$152,"&gt;0")-SUMIFS(③スチコン工程入力!$J$5:$J$152,③スチコン工程入力!$S$5:$S$152,$J14,③スチコン工程入力!$J$5:$J$152,"&gt;0",③スチコン工程入力!$I$5:$I$152,"&gt;0",③スチコン工程入力!$M$5:$M$152,"&gt;0")+SUMIFS(⑪ZEN工程入力!$J$6:$J$35,⑪ZEN工程入力!$S$6:$S$35,$J14,⑪ZEN工程入力!$J$6:$J$35,"&gt;0",⑪ZEN工程入力!$M$6:$M$35,"&gt;0")-SUMIFS(⑪ZEN工程入力!$J$6:$J$35,⑪ZEN工程入力!$S$6:$S$35,$J14,⑪ZEN工程入力!$J$6:$J$35,"&gt;0",⑪ZEN工程入力!$I$6:$I$35,"&gt;0",⑪ZEN工程入力!$M$6:$M$35,"&gt;0")+SUMIFS(⑫ミキサー工程入力!$J$6:$J$65,⑫ミキサー工程入力!$S$6:$S$65,$J14,⑫ミキサー工程入力!$J$6:$J$65,"&gt;0",⑫ミキサー工程入力!$M$6:$M$65,"&gt;0")-SUMIFS(⑫ミキサー工程入力!$J$6:$J$65,⑫ミキサー工程入力!$S$6:$S$65,$J14,⑫ミキサー工程入力!$J$6:$J$65,"&gt;0",⑫ミキサー工程入力!$I$6:$I$65,"&gt;0",⑫ミキサー工程入力!$M$6:$M$65,"&gt;0")+SUMIFS(⑬計量工程入力!$J$6:$J$65,⑬計量工程入力!$S$6:$S$65,$J14,⑬計量工程入力!$J$6:$J$65,"&gt;0",⑬計量工程入力!$M$6:$M$65,"&gt;0")-SUMIFS(⑬計量工程入力!$J$6:$J$65,⑬計量工程入力!$S$6:$S$65,$J14,⑬計量工程入力!$J$6:$J$65,"&gt;0",⑬計量工程入力!$I$6:$I$65,"&gt;0",⑬計量工程入力!$M$6:$M$65,"&gt;0")+SUMIFS(⑭手動工程入力!$J$6:$J$47,⑭手動工程入力!$S$6:$S$47,$J14,⑭手動工程入力!$J$6:$J$47,"&gt;0",⑭手動工程入力!$M$6:$M$47,"&gt;0")-SUMIFS(⑭手動工程入力!$J$6:$J$47,⑭手動工程入力!$S$6:$S$47,$J14,⑭手動工程入力!$J$6:$J$47,"&gt;0",⑭手動工程入力!$I$6:$I$47,"&gt;0",⑭手動工程入力!$M$6:$M$47,"&gt;0"))</f>
        <v/>
      </c>
      <c r="P14" s="392" t="n"/>
    </row>
    <row r="15">
      <c r="A15" s="392" t="n">
        <v>11</v>
      </c>
      <c r="B15" s="392" t="n"/>
      <c r="C15" s="392" t="n"/>
      <c r="D15" s="392" t="n"/>
      <c r="E15" s="392" t="n"/>
      <c r="F15" s="394" t="n"/>
      <c r="G15" s="392" t="n"/>
      <c r="H15" s="604">
        <f>IFERROR(IF(AND($K15&gt;0,ISNUMBER(IF(OR($D15="g",$D15="ｇ"),IF($M15&gt;0,$L15/$M15/1000,""),IF($D15="kg",IF($M15&gt;0,$L15/$M15,""),IF($D15="",IF($M15&gt;0,$L15/$M15/1000,IF($O15&gt;0,$N15/$O15,"")),IF($O15&gt;0,$N15/$O15,"")))))),IF(OR($D15="g",$D15="ｇ"),IF($M15&gt;0,$L15/$M15/1000,""),IF($D15="kg",IF($M15&gt;0,$L15/$M15,""),IF($D15="",IF($M15&gt;0,$L15/$M15/1000,IF($O15&gt;0,$N15/$O15,"")),IF($O15&gt;0,$N15/$O15,"")))),IF($F15="",IF(OR($E15="",$E15="⑩盛付梱包工程入力"),"",IF(OR($D15="g",$D15="ｇ"),INDEX(⑰工程労務費一覧!$N$5:$N$11,MATCH($E15,⑰工程労務費一覧!$K$5:$K$11,0))/1000,IF($D15="kg",INDEX(⑰工程労務費一覧!$N$5:$N$11,MATCH($E15,⑰工程労務費一覧!$K$5:$K$11,0)),IF(OR($D15="個",$D15="切",$D15="本",$D15="枚",$D15="尾"),IF($E15="⑬計量工程入力","",INDEX(⑰工程労務費一覧!$P$5:$P$11,MATCH($E15,⑰工程労務費一覧!$K$5:$K$11,0))),IF(AND($D15="",OR($E15="②釜工程入力",$E15="③スチコン工程入力")),INDEX(⑰工程労務費一覧!$N$5:$N$11,MATCH($E15,⑰工程労務費一覧!$K$5:$K$11,0))/1000,""))))),IF(OR($D15="g",$D15="ｇ"),INDEX(⑰工程労務費一覧!$H$5:$H$753,MATCH($F15,⑰工程労務費一覧!$D$5:$D$753,0))/1000,IF($D15="kg",INDEX(⑰工程労務費一覧!$H$5:$H$753,MATCH($F15,⑰工程労務費一覧!$D$5:$D$753,0)),INDEX(⑰工程労務費一覧!$I$5:$I$753,MATCH($F15,⑰工程労務費一覧!$D$5:$D$753,0)))))),"")</f>
        <v/>
      </c>
      <c r="I15" s="392">
        <f>IF($K15&gt;0,IF(ISNUMBER(IF(OR($D15="g",$D15="ｇ"),IF($M15&gt;0,$L15/$M15/1000,""),IF($D15="kg",IF($M15&gt;0,$L15/$M15,""),IF($D15="",IF($M15&gt;0,$L15/$M15/1000,IF($O15&gt;0,$N15/$O15,"")),IF($O15&gt;0,$N15/$O15,""))))),IF($D15="",IF($M15&gt;0,"◎ JAN紐づけ(g扱い)","◎ JAN紐づけ(個扱い)"),"◎ JAN紐づけ"),"△ JAN紐づけ済・実績不足→仮計算"),IF($F15="",IF(ISNUMBER($H15),IF($D15="","⑤ 工程平均で仮計算(g扱い)","⑤ 工程平均で仮計算"),IF($E15="⑩盛付梱包工程入力","⑥ 盛り込み(⑳F列で計上)",IF(AND($E15="⑬計量工程入力",OR($D15="個",$D15="切",$D15="本",$D15="枚",$D15="尾")),"① 未紐づけ(カット個単位は仮単価なし)","① 未紐づけ"))),IF(NOT(ISNUMBER($H15)),"② 工程側に単価なし",IF($D15="","③ 単位未設定(個で計算)","④ OK"))))</f>
        <v/>
      </c>
      <c r="J15" s="399">
        <f>IFERROR(LOOKUP(2,1/((中間品リスト!$F$2:$F$1299=$B15)*(中間品リスト!$E$2:$E$1299&lt;&gt;"-")*(中間品リスト!$E$2:$E$1299&lt;&gt;"")),中間品リスト!$E$2:$E$1299),"")</f>
        <v/>
      </c>
      <c r="K15" s="400">
        <f>IF($J15="",0,COUNTIF(②釜工程入力!$S$5:$S$117,$J15)+COUNTIF(③スチコン工程入力!$S$5:$S$152,$J15)+COUNTIF(⑪ZEN工程入力!$S$6:$S$35,$J15)+COUNTIF(⑫ミキサー工程入力!$S$6:$S$65,$J15)+COUNTIF(⑬計量工程入力!$S$6:$S$65,$J15)+COUNTIF(⑭手動工程入力!$S$6:$S$47,$J15))</f>
        <v/>
      </c>
      <c r="L15" s="393">
        <f>IF($J15="",0,SUMIFS(②釜工程入力!$M$5:$M$117,②釜工程入力!$S$5:$S$117,$J15,②釜工程入力!$I$5:$I$117,"&gt;0")+SUMIFS(③スチコン工程入力!$M$5:$M$152,③スチコン工程入力!$S$5:$S$152,$J15,③スチコン工程入力!$I$5:$I$152,"&gt;0")+SUMIFS(⑪ZEN工程入力!$M$6:$M$35,⑪ZEN工程入力!$S$6:$S$35,$J15,⑪ZEN工程入力!$I$6:$I$35,"&gt;0")+SUMIFS(⑫ミキサー工程入力!$M$6:$M$65,⑫ミキサー工程入力!$S$6:$S$65,$J15,⑫ミキサー工程入力!$I$6:$I$65,"&gt;0")+SUMIFS(⑬計量工程入力!$M$6:$M$65,⑬計量工程入力!$S$6:$S$65,$J15,⑬計量工程入力!$I$6:$I$65,"&gt;0")+SUMIFS(⑭手動工程入力!$M$6:$M$47,⑭手動工程入力!$S$6:$S$47,$J15,⑭手動工程入力!$I$6:$I$47,"&gt;0"))</f>
        <v/>
      </c>
      <c r="M15" s="393">
        <f>IF($J15="",0,SUMIFS(②釜工程入力!$I$5:$I$117,②釜工程入力!$S$5:$S$117,$J15,②釜工程入力!$I$5:$I$117,"&gt;0",②釜工程入力!$M$5:$M$117,"&gt;0")+SUMIFS(③スチコン工程入力!$I$5:$I$152,③スチコン工程入力!$S$5:$S$152,$J15,③スチコン工程入力!$I$5:$I$152,"&gt;0",③スチコン工程入力!$M$5:$M$152,"&gt;0")+SUMIFS(⑪ZEN工程入力!$I$6:$I$35,⑪ZEN工程入力!$S$6:$S$35,$J15,⑪ZEN工程入力!$I$6:$I$35,"&gt;0",⑪ZEN工程入力!$M$6:$M$35,"&gt;0")+SUMIFS(⑫ミキサー工程入力!$I$6:$I$65,⑫ミキサー工程入力!$S$6:$S$65,$J15,⑫ミキサー工程入力!$I$6:$I$65,"&gt;0",⑫ミキサー工程入力!$M$6:$M$65,"&gt;0")+SUMIFS(⑬計量工程入力!$I$6:$I$65,⑬計量工程入力!$S$6:$S$65,$J15,⑬計量工程入力!$I$6:$I$65,"&gt;0",⑬計量工程入力!$M$6:$M$65,"&gt;0")+SUMIFS(⑭手動工程入力!$I$6:$I$47,⑭手動工程入力!$S$6:$S$47,$J15,⑭手動工程入力!$I$6:$I$47,"&gt;0",⑭手動工程入力!$M$6:$M$47,"&gt;0"))</f>
        <v/>
      </c>
      <c r="N15" s="393">
        <f>IF($J15="",0,SUMIFS(②釜工程入力!$M$5:$M$117,②釜工程入力!$S$5:$S$117,$J15,②釜工程入力!$J$5:$J$117,"&gt;0")-SUMIFS(②釜工程入力!$M$5:$M$117,②釜工程入力!$S$5:$S$117,$J15,②釜工程入力!$J$5:$J$117,"&gt;0",②釜工程入力!$I$5:$I$117,"&gt;0")+SUMIFS(③スチコン工程入力!$M$5:$M$152,③スチコン工程入力!$S$5:$S$152,$J15,③スチコン工程入力!$J$5:$J$152,"&gt;0")-SUMIFS(③スチコン工程入力!$M$5:$M$152,③スチコン工程入力!$S$5:$S$152,$J15,③スチコン工程入力!$J$5:$J$152,"&gt;0",③スチコン工程入力!$I$5:$I$152,"&gt;0")+SUMIFS(⑪ZEN工程入力!$M$6:$M$35,⑪ZEN工程入力!$S$6:$S$35,$J15,⑪ZEN工程入力!$J$6:$J$35,"&gt;0")-SUMIFS(⑪ZEN工程入力!$M$6:$M$35,⑪ZEN工程入力!$S$6:$S$35,$J15,⑪ZEN工程入力!$J$6:$J$35,"&gt;0",⑪ZEN工程入力!$I$6:$I$35,"&gt;0")+SUMIFS(⑫ミキサー工程入力!$M$6:$M$65,⑫ミキサー工程入力!$S$6:$S$65,$J15,⑫ミキサー工程入力!$J$6:$J$65,"&gt;0")-SUMIFS(⑫ミキサー工程入力!$M$6:$M$65,⑫ミキサー工程入力!$S$6:$S$65,$J15,⑫ミキサー工程入力!$J$6:$J$65,"&gt;0",⑫ミキサー工程入力!$I$6:$I$65,"&gt;0")+SUMIFS(⑬計量工程入力!$M$6:$M$65,⑬計量工程入力!$S$6:$S$65,$J15,⑬計量工程入力!$J$6:$J$65,"&gt;0")-SUMIFS(⑬計量工程入力!$M$6:$M$65,⑬計量工程入力!$S$6:$S$65,$J15,⑬計量工程入力!$J$6:$J$65,"&gt;0",⑬計量工程入力!$I$6:$I$65,"&gt;0")+SUMIFS(⑭手動工程入力!$M$6:$M$47,⑭手動工程入力!$S$6:$S$47,$J15,⑭手動工程入力!$J$6:$J$47,"&gt;0")-SUMIFS(⑭手動工程入力!$M$6:$M$47,⑭手動工程入力!$S$6:$S$47,$J15,⑭手動工程入力!$J$6:$J$47,"&gt;0",⑭手動工程入力!$I$6:$I$47,"&gt;0"))</f>
        <v/>
      </c>
      <c r="O15" s="393">
        <f>IF($J15="",0,SUMIFS(②釜工程入力!$J$5:$J$117,②釜工程入力!$S$5:$S$117,$J15,②釜工程入力!$J$5:$J$117,"&gt;0",②釜工程入力!$M$5:$M$117,"&gt;0")-SUMIFS(②釜工程入力!$J$5:$J$117,②釜工程入力!$S$5:$S$117,$J15,②釜工程入力!$J$5:$J$117,"&gt;0",②釜工程入力!$I$5:$I$117,"&gt;0",②釜工程入力!$M$5:$M$117,"&gt;0")+SUMIFS(③スチコン工程入力!$J$5:$J$152,③スチコン工程入力!$S$5:$S$152,$J15,③スチコン工程入力!$J$5:$J$152,"&gt;0",③スチコン工程入力!$M$5:$M$152,"&gt;0")-SUMIFS(③スチコン工程入力!$J$5:$J$152,③スチコン工程入力!$S$5:$S$152,$J15,③スチコン工程入力!$J$5:$J$152,"&gt;0",③スチコン工程入力!$I$5:$I$152,"&gt;0",③スチコン工程入力!$M$5:$M$152,"&gt;0")+SUMIFS(⑪ZEN工程入力!$J$6:$J$35,⑪ZEN工程入力!$S$6:$S$35,$J15,⑪ZEN工程入力!$J$6:$J$35,"&gt;0",⑪ZEN工程入力!$M$6:$M$35,"&gt;0")-SUMIFS(⑪ZEN工程入力!$J$6:$J$35,⑪ZEN工程入力!$S$6:$S$35,$J15,⑪ZEN工程入力!$J$6:$J$35,"&gt;0",⑪ZEN工程入力!$I$6:$I$35,"&gt;0",⑪ZEN工程入力!$M$6:$M$35,"&gt;0")+SUMIFS(⑫ミキサー工程入力!$J$6:$J$65,⑫ミキサー工程入力!$S$6:$S$65,$J15,⑫ミキサー工程入力!$J$6:$J$65,"&gt;0",⑫ミキサー工程入力!$M$6:$M$65,"&gt;0")-SUMIFS(⑫ミキサー工程入力!$J$6:$J$65,⑫ミキサー工程入力!$S$6:$S$65,$J15,⑫ミキサー工程入力!$J$6:$J$65,"&gt;0",⑫ミキサー工程入力!$I$6:$I$65,"&gt;0",⑫ミキサー工程入力!$M$6:$M$65,"&gt;0")+SUMIFS(⑬計量工程入力!$J$6:$J$65,⑬計量工程入力!$S$6:$S$65,$J15,⑬計量工程入力!$J$6:$J$65,"&gt;0",⑬計量工程入力!$M$6:$M$65,"&gt;0")-SUMIFS(⑬計量工程入力!$J$6:$J$65,⑬計量工程入力!$S$6:$S$65,$J15,⑬計量工程入力!$J$6:$J$65,"&gt;0",⑬計量工程入力!$I$6:$I$65,"&gt;0",⑬計量工程入力!$M$6:$M$65,"&gt;0")+SUMIFS(⑭手動工程入力!$J$6:$J$47,⑭手動工程入力!$S$6:$S$47,$J15,⑭手動工程入力!$J$6:$J$47,"&gt;0",⑭手動工程入力!$M$6:$M$47,"&gt;0")-SUMIFS(⑭手動工程入力!$J$6:$J$47,⑭手動工程入力!$S$6:$S$47,$J15,⑭手動工程入力!$J$6:$J$47,"&gt;0",⑭手動工程入力!$I$6:$I$47,"&gt;0",⑭手動工程入力!$M$6:$M$47,"&gt;0"))</f>
        <v/>
      </c>
      <c r="P15" s="392" t="n"/>
    </row>
    <row r="16">
      <c r="A16" s="392" t="n">
        <v>12</v>
      </c>
      <c r="B16" s="392" t="n"/>
      <c r="C16" s="392" t="n"/>
      <c r="D16" s="392" t="n"/>
      <c r="E16" s="392" t="n"/>
      <c r="F16" s="394" t="n"/>
      <c r="G16" s="392" t="n"/>
      <c r="H16" s="604">
        <f>IFERROR(IF(AND($K16&gt;0,ISNUMBER(IF(OR($D16="g",$D16="ｇ"),IF($M16&gt;0,$L16/$M16/1000,""),IF($D16="kg",IF($M16&gt;0,$L16/$M16,""),IF($D16="",IF($M16&gt;0,$L16/$M16/1000,IF($O16&gt;0,$N16/$O16,"")),IF($O16&gt;0,$N16/$O16,"")))))),IF(OR($D16="g",$D16="ｇ"),IF($M16&gt;0,$L16/$M16/1000,""),IF($D16="kg",IF($M16&gt;0,$L16/$M16,""),IF($D16="",IF($M16&gt;0,$L16/$M16/1000,IF($O16&gt;0,$N16/$O16,"")),IF($O16&gt;0,$N16/$O16,"")))),IF($F16="",IF(OR($E16="",$E16="⑩盛付梱包工程入力"),"",IF(OR($D16="g",$D16="ｇ"),INDEX(⑰工程労務費一覧!$N$5:$N$11,MATCH($E16,⑰工程労務費一覧!$K$5:$K$11,0))/1000,IF($D16="kg",INDEX(⑰工程労務費一覧!$N$5:$N$11,MATCH($E16,⑰工程労務費一覧!$K$5:$K$11,0)),IF(OR($D16="個",$D16="切",$D16="本",$D16="枚",$D16="尾"),IF($E16="⑬計量工程入力","",INDEX(⑰工程労務費一覧!$P$5:$P$11,MATCH($E16,⑰工程労務費一覧!$K$5:$K$11,0))),IF(AND($D16="",OR($E16="②釜工程入力",$E16="③スチコン工程入力")),INDEX(⑰工程労務費一覧!$N$5:$N$11,MATCH($E16,⑰工程労務費一覧!$K$5:$K$11,0))/1000,""))))),IF(OR($D16="g",$D16="ｇ"),INDEX(⑰工程労務費一覧!$H$5:$H$753,MATCH($F16,⑰工程労務費一覧!$D$5:$D$753,0))/1000,IF($D16="kg",INDEX(⑰工程労務費一覧!$H$5:$H$753,MATCH($F16,⑰工程労務費一覧!$D$5:$D$753,0)),INDEX(⑰工程労務費一覧!$I$5:$I$753,MATCH($F16,⑰工程労務費一覧!$D$5:$D$753,0)))))),"")</f>
        <v/>
      </c>
      <c r="I16" s="392">
        <f>IF($K16&gt;0,IF(ISNUMBER(IF(OR($D16="g",$D16="ｇ"),IF($M16&gt;0,$L16/$M16/1000,""),IF($D16="kg",IF($M16&gt;0,$L16/$M16,""),IF($D16="",IF($M16&gt;0,$L16/$M16/1000,IF($O16&gt;0,$N16/$O16,"")),IF($O16&gt;0,$N16/$O16,""))))),IF($D16="",IF($M16&gt;0,"◎ JAN紐づけ(g扱い)","◎ JAN紐づけ(個扱い)"),"◎ JAN紐づけ"),"△ JAN紐づけ済・実績不足→仮計算"),IF($F16="",IF(ISNUMBER($H16),IF($D16="","⑤ 工程平均で仮計算(g扱い)","⑤ 工程平均で仮計算"),IF($E16="⑩盛付梱包工程入力","⑥ 盛り込み(⑳F列で計上)",IF(AND($E16="⑬計量工程入力",OR($D16="個",$D16="切",$D16="本",$D16="枚",$D16="尾")),"① 未紐づけ(カット個単位は仮単価なし)","① 未紐づけ"))),IF(NOT(ISNUMBER($H16)),"② 工程側に単価なし",IF($D16="","③ 単位未設定(個で計算)","④ OK"))))</f>
        <v/>
      </c>
      <c r="J16" s="399">
        <f>IFERROR(LOOKUP(2,1/((中間品リスト!$F$2:$F$1299=$B16)*(中間品リスト!$E$2:$E$1299&lt;&gt;"-")*(中間品リスト!$E$2:$E$1299&lt;&gt;"")),中間品リスト!$E$2:$E$1299),"")</f>
        <v/>
      </c>
      <c r="K16" s="400">
        <f>IF($J16="",0,COUNTIF(②釜工程入力!$S$5:$S$117,$J16)+COUNTIF(③スチコン工程入力!$S$5:$S$152,$J16)+COUNTIF(⑪ZEN工程入力!$S$6:$S$35,$J16)+COUNTIF(⑫ミキサー工程入力!$S$6:$S$65,$J16)+COUNTIF(⑬計量工程入力!$S$6:$S$65,$J16)+COUNTIF(⑭手動工程入力!$S$6:$S$47,$J16))</f>
        <v/>
      </c>
      <c r="L16" s="393">
        <f>IF($J16="",0,SUMIFS(②釜工程入力!$M$5:$M$117,②釜工程入力!$S$5:$S$117,$J16,②釜工程入力!$I$5:$I$117,"&gt;0")+SUMIFS(③スチコン工程入力!$M$5:$M$152,③スチコン工程入力!$S$5:$S$152,$J16,③スチコン工程入力!$I$5:$I$152,"&gt;0")+SUMIFS(⑪ZEN工程入力!$M$6:$M$35,⑪ZEN工程入力!$S$6:$S$35,$J16,⑪ZEN工程入力!$I$6:$I$35,"&gt;0")+SUMIFS(⑫ミキサー工程入力!$M$6:$M$65,⑫ミキサー工程入力!$S$6:$S$65,$J16,⑫ミキサー工程入力!$I$6:$I$65,"&gt;0")+SUMIFS(⑬計量工程入力!$M$6:$M$65,⑬計量工程入力!$S$6:$S$65,$J16,⑬計量工程入力!$I$6:$I$65,"&gt;0")+SUMIFS(⑭手動工程入力!$M$6:$M$47,⑭手動工程入力!$S$6:$S$47,$J16,⑭手動工程入力!$I$6:$I$47,"&gt;0"))</f>
        <v/>
      </c>
      <c r="M16" s="393">
        <f>IF($J16="",0,SUMIFS(②釜工程入力!$I$5:$I$117,②釜工程入力!$S$5:$S$117,$J16,②釜工程入力!$I$5:$I$117,"&gt;0",②釜工程入力!$M$5:$M$117,"&gt;0")+SUMIFS(③スチコン工程入力!$I$5:$I$152,③スチコン工程入力!$S$5:$S$152,$J16,③スチコン工程入力!$I$5:$I$152,"&gt;0",③スチコン工程入力!$M$5:$M$152,"&gt;0")+SUMIFS(⑪ZEN工程入力!$I$6:$I$35,⑪ZEN工程入力!$S$6:$S$35,$J16,⑪ZEN工程入力!$I$6:$I$35,"&gt;0",⑪ZEN工程入力!$M$6:$M$35,"&gt;0")+SUMIFS(⑫ミキサー工程入力!$I$6:$I$65,⑫ミキサー工程入力!$S$6:$S$65,$J16,⑫ミキサー工程入力!$I$6:$I$65,"&gt;0",⑫ミキサー工程入力!$M$6:$M$65,"&gt;0")+SUMIFS(⑬計量工程入力!$I$6:$I$65,⑬計量工程入力!$S$6:$S$65,$J16,⑬計量工程入力!$I$6:$I$65,"&gt;0",⑬計量工程入力!$M$6:$M$65,"&gt;0")+SUMIFS(⑭手動工程入力!$I$6:$I$47,⑭手動工程入力!$S$6:$S$47,$J16,⑭手動工程入力!$I$6:$I$47,"&gt;0",⑭手動工程入力!$M$6:$M$47,"&gt;0"))</f>
        <v/>
      </c>
      <c r="N16" s="393">
        <f>IF($J16="",0,SUMIFS(②釜工程入力!$M$5:$M$117,②釜工程入力!$S$5:$S$117,$J16,②釜工程入力!$J$5:$J$117,"&gt;0")-SUMIFS(②釜工程入力!$M$5:$M$117,②釜工程入力!$S$5:$S$117,$J16,②釜工程入力!$J$5:$J$117,"&gt;0",②釜工程入力!$I$5:$I$117,"&gt;0")+SUMIFS(③スチコン工程入力!$M$5:$M$152,③スチコン工程入力!$S$5:$S$152,$J16,③スチコン工程入力!$J$5:$J$152,"&gt;0")-SUMIFS(③スチコン工程入力!$M$5:$M$152,③スチコン工程入力!$S$5:$S$152,$J16,③スチコン工程入力!$J$5:$J$152,"&gt;0",③スチコン工程入力!$I$5:$I$152,"&gt;0")+SUMIFS(⑪ZEN工程入力!$M$6:$M$35,⑪ZEN工程入力!$S$6:$S$35,$J16,⑪ZEN工程入力!$J$6:$J$35,"&gt;0")-SUMIFS(⑪ZEN工程入力!$M$6:$M$35,⑪ZEN工程入力!$S$6:$S$35,$J16,⑪ZEN工程入力!$J$6:$J$35,"&gt;0",⑪ZEN工程入力!$I$6:$I$35,"&gt;0")+SUMIFS(⑫ミキサー工程入力!$M$6:$M$65,⑫ミキサー工程入力!$S$6:$S$65,$J16,⑫ミキサー工程入力!$J$6:$J$65,"&gt;0")-SUMIFS(⑫ミキサー工程入力!$M$6:$M$65,⑫ミキサー工程入力!$S$6:$S$65,$J16,⑫ミキサー工程入力!$J$6:$J$65,"&gt;0",⑫ミキサー工程入力!$I$6:$I$65,"&gt;0")+SUMIFS(⑬計量工程入力!$M$6:$M$65,⑬計量工程入力!$S$6:$S$65,$J16,⑬計量工程入力!$J$6:$J$65,"&gt;0")-SUMIFS(⑬計量工程入力!$M$6:$M$65,⑬計量工程入力!$S$6:$S$65,$J16,⑬計量工程入力!$J$6:$J$65,"&gt;0",⑬計量工程入力!$I$6:$I$65,"&gt;0")+SUMIFS(⑭手動工程入力!$M$6:$M$47,⑭手動工程入力!$S$6:$S$47,$J16,⑭手動工程入力!$J$6:$J$47,"&gt;0")-SUMIFS(⑭手動工程入力!$M$6:$M$47,⑭手動工程入力!$S$6:$S$47,$J16,⑭手動工程入力!$J$6:$J$47,"&gt;0",⑭手動工程入力!$I$6:$I$47,"&gt;0"))</f>
        <v/>
      </c>
      <c r="O16" s="393">
        <f>IF($J16="",0,SUMIFS(②釜工程入力!$J$5:$J$117,②釜工程入力!$S$5:$S$117,$J16,②釜工程入力!$J$5:$J$117,"&gt;0",②釜工程入力!$M$5:$M$117,"&gt;0")-SUMIFS(②釜工程入力!$J$5:$J$117,②釜工程入力!$S$5:$S$117,$J16,②釜工程入力!$J$5:$J$117,"&gt;0",②釜工程入力!$I$5:$I$117,"&gt;0",②釜工程入力!$M$5:$M$117,"&gt;0")+SUMIFS(③スチコン工程入力!$J$5:$J$152,③スチコン工程入力!$S$5:$S$152,$J16,③スチコン工程入力!$J$5:$J$152,"&gt;0",③スチコン工程入力!$M$5:$M$152,"&gt;0")-SUMIFS(③スチコン工程入力!$J$5:$J$152,③スチコン工程入力!$S$5:$S$152,$J16,③スチコン工程入力!$J$5:$J$152,"&gt;0",③スチコン工程入力!$I$5:$I$152,"&gt;0",③スチコン工程入力!$M$5:$M$152,"&gt;0")+SUMIFS(⑪ZEN工程入力!$J$6:$J$35,⑪ZEN工程入力!$S$6:$S$35,$J16,⑪ZEN工程入力!$J$6:$J$35,"&gt;0",⑪ZEN工程入力!$M$6:$M$35,"&gt;0")-SUMIFS(⑪ZEN工程入力!$J$6:$J$35,⑪ZEN工程入力!$S$6:$S$35,$J16,⑪ZEN工程入力!$J$6:$J$35,"&gt;0",⑪ZEN工程入力!$I$6:$I$35,"&gt;0",⑪ZEN工程入力!$M$6:$M$35,"&gt;0")+SUMIFS(⑫ミキサー工程入力!$J$6:$J$65,⑫ミキサー工程入力!$S$6:$S$65,$J16,⑫ミキサー工程入力!$J$6:$J$65,"&gt;0",⑫ミキサー工程入力!$M$6:$M$65,"&gt;0")-SUMIFS(⑫ミキサー工程入力!$J$6:$J$65,⑫ミキサー工程入力!$S$6:$S$65,$J16,⑫ミキサー工程入力!$J$6:$J$65,"&gt;0",⑫ミキサー工程入力!$I$6:$I$65,"&gt;0",⑫ミキサー工程入力!$M$6:$M$65,"&gt;0")+SUMIFS(⑬計量工程入力!$J$6:$J$65,⑬計量工程入力!$S$6:$S$65,$J16,⑬計量工程入力!$J$6:$J$65,"&gt;0",⑬計量工程入力!$M$6:$M$65,"&gt;0")-SUMIFS(⑬計量工程入力!$J$6:$J$65,⑬計量工程入力!$S$6:$S$65,$J16,⑬計量工程入力!$J$6:$J$65,"&gt;0",⑬計量工程入力!$I$6:$I$65,"&gt;0",⑬計量工程入力!$M$6:$M$65,"&gt;0")+SUMIFS(⑭手動工程入力!$J$6:$J$47,⑭手動工程入力!$S$6:$S$47,$J16,⑭手動工程入力!$J$6:$J$47,"&gt;0",⑭手動工程入力!$M$6:$M$47,"&gt;0")-SUMIFS(⑭手動工程入力!$J$6:$J$47,⑭手動工程入力!$S$6:$S$47,$J16,⑭手動工程入力!$J$6:$J$47,"&gt;0",⑭手動工程入力!$I$6:$I$47,"&gt;0",⑭手動工程入力!$M$6:$M$47,"&gt;0"))</f>
        <v/>
      </c>
      <c r="P16" s="392" t="n"/>
    </row>
    <row r="17">
      <c r="A17" s="392" t="n">
        <v>13</v>
      </c>
      <c r="B17" s="392" t="n"/>
      <c r="C17" s="392" t="n"/>
      <c r="D17" s="392" t="n"/>
      <c r="E17" s="392" t="n"/>
      <c r="F17" s="394" t="n"/>
      <c r="G17" s="392" t="n"/>
      <c r="H17" s="604">
        <f>IFERROR(IF(AND($K17&gt;0,ISNUMBER(IF(OR($D17="g",$D17="ｇ"),IF($M17&gt;0,$L17/$M17/1000,""),IF($D17="kg",IF($M17&gt;0,$L17/$M17,""),IF($D17="",IF($M17&gt;0,$L17/$M17/1000,IF($O17&gt;0,$N17/$O17,"")),IF($O17&gt;0,$N17/$O17,"")))))),IF(OR($D17="g",$D17="ｇ"),IF($M17&gt;0,$L17/$M17/1000,""),IF($D17="kg",IF($M17&gt;0,$L17/$M17,""),IF($D17="",IF($M17&gt;0,$L17/$M17/1000,IF($O17&gt;0,$N17/$O17,"")),IF($O17&gt;0,$N17/$O17,"")))),IF($F17="",IF(OR($E17="",$E17="⑩盛付梱包工程入力"),"",IF(OR($D17="g",$D17="ｇ"),INDEX(⑰工程労務費一覧!$N$5:$N$11,MATCH($E17,⑰工程労務費一覧!$K$5:$K$11,0))/1000,IF($D17="kg",INDEX(⑰工程労務費一覧!$N$5:$N$11,MATCH($E17,⑰工程労務費一覧!$K$5:$K$11,0)),IF(OR($D17="個",$D17="切",$D17="本",$D17="枚",$D17="尾"),IF($E17="⑬計量工程入力","",INDEX(⑰工程労務費一覧!$P$5:$P$11,MATCH($E17,⑰工程労務費一覧!$K$5:$K$11,0))),IF(AND($D17="",OR($E17="②釜工程入力",$E17="③スチコン工程入力")),INDEX(⑰工程労務費一覧!$N$5:$N$11,MATCH($E17,⑰工程労務費一覧!$K$5:$K$11,0))/1000,""))))),IF(OR($D17="g",$D17="ｇ"),INDEX(⑰工程労務費一覧!$H$5:$H$753,MATCH($F17,⑰工程労務費一覧!$D$5:$D$753,0))/1000,IF($D17="kg",INDEX(⑰工程労務費一覧!$H$5:$H$753,MATCH($F17,⑰工程労務費一覧!$D$5:$D$753,0)),INDEX(⑰工程労務費一覧!$I$5:$I$753,MATCH($F17,⑰工程労務費一覧!$D$5:$D$753,0)))))),"")</f>
        <v/>
      </c>
      <c r="I17" s="392">
        <f>IF($K17&gt;0,IF(ISNUMBER(IF(OR($D17="g",$D17="ｇ"),IF($M17&gt;0,$L17/$M17/1000,""),IF($D17="kg",IF($M17&gt;0,$L17/$M17,""),IF($D17="",IF($M17&gt;0,$L17/$M17/1000,IF($O17&gt;0,$N17/$O17,"")),IF($O17&gt;0,$N17/$O17,""))))),IF($D17="",IF($M17&gt;0,"◎ JAN紐づけ(g扱い)","◎ JAN紐づけ(個扱い)"),"◎ JAN紐づけ"),"△ JAN紐づけ済・実績不足→仮計算"),IF($F17="",IF(ISNUMBER($H17),IF($D17="","⑤ 工程平均で仮計算(g扱い)","⑤ 工程平均で仮計算"),IF($E17="⑩盛付梱包工程入力","⑥ 盛り込み(⑳F列で計上)",IF(AND($E17="⑬計量工程入力",OR($D17="個",$D17="切",$D17="本",$D17="枚",$D17="尾")),"① 未紐づけ(カット個単位は仮単価なし)","① 未紐づけ"))),IF(NOT(ISNUMBER($H17)),"② 工程側に単価なし",IF($D17="","③ 単位未設定(個で計算)","④ OK"))))</f>
        <v/>
      </c>
      <c r="J17" s="399">
        <f>IFERROR(LOOKUP(2,1/((中間品リスト!$F$2:$F$1299=$B17)*(中間品リスト!$E$2:$E$1299&lt;&gt;"-")*(中間品リスト!$E$2:$E$1299&lt;&gt;"")),中間品リスト!$E$2:$E$1299),"")</f>
        <v/>
      </c>
      <c r="K17" s="400">
        <f>IF($J17="",0,COUNTIF(②釜工程入力!$S$5:$S$117,$J17)+COUNTIF(③スチコン工程入力!$S$5:$S$152,$J17)+COUNTIF(⑪ZEN工程入力!$S$6:$S$35,$J17)+COUNTIF(⑫ミキサー工程入力!$S$6:$S$65,$J17)+COUNTIF(⑬計量工程入力!$S$6:$S$65,$J17)+COUNTIF(⑭手動工程入力!$S$6:$S$47,$J17))</f>
        <v/>
      </c>
      <c r="L17" s="393">
        <f>IF($J17="",0,SUMIFS(②釜工程入力!$M$5:$M$117,②釜工程入力!$S$5:$S$117,$J17,②釜工程入力!$I$5:$I$117,"&gt;0")+SUMIFS(③スチコン工程入力!$M$5:$M$152,③スチコン工程入力!$S$5:$S$152,$J17,③スチコン工程入力!$I$5:$I$152,"&gt;0")+SUMIFS(⑪ZEN工程入力!$M$6:$M$35,⑪ZEN工程入力!$S$6:$S$35,$J17,⑪ZEN工程入力!$I$6:$I$35,"&gt;0")+SUMIFS(⑫ミキサー工程入力!$M$6:$M$65,⑫ミキサー工程入力!$S$6:$S$65,$J17,⑫ミキサー工程入力!$I$6:$I$65,"&gt;0")+SUMIFS(⑬計量工程入力!$M$6:$M$65,⑬計量工程入力!$S$6:$S$65,$J17,⑬計量工程入力!$I$6:$I$65,"&gt;0")+SUMIFS(⑭手動工程入力!$M$6:$M$47,⑭手動工程入力!$S$6:$S$47,$J17,⑭手動工程入力!$I$6:$I$47,"&gt;0"))</f>
        <v/>
      </c>
      <c r="M17" s="393">
        <f>IF($J17="",0,SUMIFS(②釜工程入力!$I$5:$I$117,②釜工程入力!$S$5:$S$117,$J17,②釜工程入力!$I$5:$I$117,"&gt;0",②釜工程入力!$M$5:$M$117,"&gt;0")+SUMIFS(③スチコン工程入力!$I$5:$I$152,③スチコン工程入力!$S$5:$S$152,$J17,③スチコン工程入力!$I$5:$I$152,"&gt;0",③スチコン工程入力!$M$5:$M$152,"&gt;0")+SUMIFS(⑪ZEN工程入力!$I$6:$I$35,⑪ZEN工程入力!$S$6:$S$35,$J17,⑪ZEN工程入力!$I$6:$I$35,"&gt;0",⑪ZEN工程入力!$M$6:$M$35,"&gt;0")+SUMIFS(⑫ミキサー工程入力!$I$6:$I$65,⑫ミキサー工程入力!$S$6:$S$65,$J17,⑫ミキサー工程入力!$I$6:$I$65,"&gt;0",⑫ミキサー工程入力!$M$6:$M$65,"&gt;0")+SUMIFS(⑬計量工程入力!$I$6:$I$65,⑬計量工程入力!$S$6:$S$65,$J17,⑬計量工程入力!$I$6:$I$65,"&gt;0",⑬計量工程入力!$M$6:$M$65,"&gt;0")+SUMIFS(⑭手動工程入力!$I$6:$I$47,⑭手動工程入力!$S$6:$S$47,$J17,⑭手動工程入力!$I$6:$I$47,"&gt;0",⑭手動工程入力!$M$6:$M$47,"&gt;0"))</f>
        <v/>
      </c>
      <c r="N17" s="393">
        <f>IF($J17="",0,SUMIFS(②釜工程入力!$M$5:$M$117,②釜工程入力!$S$5:$S$117,$J17,②釜工程入力!$J$5:$J$117,"&gt;0")-SUMIFS(②釜工程入力!$M$5:$M$117,②釜工程入力!$S$5:$S$117,$J17,②釜工程入力!$J$5:$J$117,"&gt;0",②釜工程入力!$I$5:$I$117,"&gt;0")+SUMIFS(③スチコン工程入力!$M$5:$M$152,③スチコン工程入力!$S$5:$S$152,$J17,③スチコン工程入力!$J$5:$J$152,"&gt;0")-SUMIFS(③スチコン工程入力!$M$5:$M$152,③スチコン工程入力!$S$5:$S$152,$J17,③スチコン工程入力!$J$5:$J$152,"&gt;0",③スチコン工程入力!$I$5:$I$152,"&gt;0")+SUMIFS(⑪ZEN工程入力!$M$6:$M$35,⑪ZEN工程入力!$S$6:$S$35,$J17,⑪ZEN工程入力!$J$6:$J$35,"&gt;0")-SUMIFS(⑪ZEN工程入力!$M$6:$M$35,⑪ZEN工程入力!$S$6:$S$35,$J17,⑪ZEN工程入力!$J$6:$J$35,"&gt;0",⑪ZEN工程入力!$I$6:$I$35,"&gt;0")+SUMIFS(⑫ミキサー工程入力!$M$6:$M$65,⑫ミキサー工程入力!$S$6:$S$65,$J17,⑫ミキサー工程入力!$J$6:$J$65,"&gt;0")-SUMIFS(⑫ミキサー工程入力!$M$6:$M$65,⑫ミキサー工程入力!$S$6:$S$65,$J17,⑫ミキサー工程入力!$J$6:$J$65,"&gt;0",⑫ミキサー工程入力!$I$6:$I$65,"&gt;0")+SUMIFS(⑬計量工程入力!$M$6:$M$65,⑬計量工程入力!$S$6:$S$65,$J17,⑬計量工程入力!$J$6:$J$65,"&gt;0")-SUMIFS(⑬計量工程入力!$M$6:$M$65,⑬計量工程入力!$S$6:$S$65,$J17,⑬計量工程入力!$J$6:$J$65,"&gt;0",⑬計量工程入力!$I$6:$I$65,"&gt;0")+SUMIFS(⑭手動工程入力!$M$6:$M$47,⑭手動工程入力!$S$6:$S$47,$J17,⑭手動工程入力!$J$6:$J$47,"&gt;0")-SUMIFS(⑭手動工程入力!$M$6:$M$47,⑭手動工程入力!$S$6:$S$47,$J17,⑭手動工程入力!$J$6:$J$47,"&gt;0",⑭手動工程入力!$I$6:$I$47,"&gt;0"))</f>
        <v/>
      </c>
      <c r="O17" s="393">
        <f>IF($J17="",0,SUMIFS(②釜工程入力!$J$5:$J$117,②釜工程入力!$S$5:$S$117,$J17,②釜工程入力!$J$5:$J$117,"&gt;0",②釜工程入力!$M$5:$M$117,"&gt;0")-SUMIFS(②釜工程入力!$J$5:$J$117,②釜工程入力!$S$5:$S$117,$J17,②釜工程入力!$J$5:$J$117,"&gt;0",②釜工程入力!$I$5:$I$117,"&gt;0",②釜工程入力!$M$5:$M$117,"&gt;0")+SUMIFS(③スチコン工程入力!$J$5:$J$152,③スチコン工程入力!$S$5:$S$152,$J17,③スチコン工程入力!$J$5:$J$152,"&gt;0",③スチコン工程入力!$M$5:$M$152,"&gt;0")-SUMIFS(③スチコン工程入力!$J$5:$J$152,③スチコン工程入力!$S$5:$S$152,$J17,③スチコン工程入力!$J$5:$J$152,"&gt;0",③スチコン工程入力!$I$5:$I$152,"&gt;0",③スチコン工程入力!$M$5:$M$152,"&gt;0")+SUMIFS(⑪ZEN工程入力!$J$6:$J$35,⑪ZEN工程入力!$S$6:$S$35,$J17,⑪ZEN工程入力!$J$6:$J$35,"&gt;0",⑪ZEN工程入力!$M$6:$M$35,"&gt;0")-SUMIFS(⑪ZEN工程入力!$J$6:$J$35,⑪ZEN工程入力!$S$6:$S$35,$J17,⑪ZEN工程入力!$J$6:$J$35,"&gt;0",⑪ZEN工程入力!$I$6:$I$35,"&gt;0",⑪ZEN工程入力!$M$6:$M$35,"&gt;0")+SUMIFS(⑫ミキサー工程入力!$J$6:$J$65,⑫ミキサー工程入力!$S$6:$S$65,$J17,⑫ミキサー工程入力!$J$6:$J$65,"&gt;0",⑫ミキサー工程入力!$M$6:$M$65,"&gt;0")-SUMIFS(⑫ミキサー工程入力!$J$6:$J$65,⑫ミキサー工程入力!$S$6:$S$65,$J17,⑫ミキサー工程入力!$J$6:$J$65,"&gt;0",⑫ミキサー工程入力!$I$6:$I$65,"&gt;0",⑫ミキサー工程入力!$M$6:$M$65,"&gt;0")+SUMIFS(⑬計量工程入力!$J$6:$J$65,⑬計量工程入力!$S$6:$S$65,$J17,⑬計量工程入力!$J$6:$J$65,"&gt;0",⑬計量工程入力!$M$6:$M$65,"&gt;0")-SUMIFS(⑬計量工程入力!$J$6:$J$65,⑬計量工程入力!$S$6:$S$65,$J17,⑬計量工程入力!$J$6:$J$65,"&gt;0",⑬計量工程入力!$I$6:$I$65,"&gt;0",⑬計量工程入力!$M$6:$M$65,"&gt;0")+SUMIFS(⑭手動工程入力!$J$6:$J$47,⑭手動工程入力!$S$6:$S$47,$J17,⑭手動工程入力!$J$6:$J$47,"&gt;0",⑭手動工程入力!$M$6:$M$47,"&gt;0")-SUMIFS(⑭手動工程入力!$J$6:$J$47,⑭手動工程入力!$S$6:$S$47,$J17,⑭手動工程入力!$J$6:$J$47,"&gt;0",⑭手動工程入力!$I$6:$I$47,"&gt;0",⑭手動工程入力!$M$6:$M$47,"&gt;0"))</f>
        <v/>
      </c>
      <c r="P17" s="392" t="n"/>
    </row>
    <row r="18">
      <c r="A18" s="392" t="n">
        <v>14</v>
      </c>
      <c r="B18" s="392" t="n"/>
      <c r="C18" s="392" t="n"/>
      <c r="D18" s="392" t="n"/>
      <c r="E18" s="392" t="n"/>
      <c r="F18" s="394" t="n"/>
      <c r="G18" s="392" t="n"/>
      <c r="H18" s="604">
        <f>IFERROR(IF(AND($K18&gt;0,ISNUMBER(IF(OR($D18="g",$D18="ｇ"),IF($M18&gt;0,$L18/$M18/1000,""),IF($D18="kg",IF($M18&gt;0,$L18/$M18,""),IF($D18="",IF($M18&gt;0,$L18/$M18/1000,IF($O18&gt;0,$N18/$O18,"")),IF($O18&gt;0,$N18/$O18,"")))))),IF(OR($D18="g",$D18="ｇ"),IF($M18&gt;0,$L18/$M18/1000,""),IF($D18="kg",IF($M18&gt;0,$L18/$M18,""),IF($D18="",IF($M18&gt;0,$L18/$M18/1000,IF($O18&gt;0,$N18/$O18,"")),IF($O18&gt;0,$N18/$O18,"")))),IF($F18="",IF(OR($E18="",$E18="⑩盛付梱包工程入力"),"",IF(OR($D18="g",$D18="ｇ"),INDEX(⑰工程労務費一覧!$N$5:$N$11,MATCH($E18,⑰工程労務費一覧!$K$5:$K$11,0))/1000,IF($D18="kg",INDEX(⑰工程労務費一覧!$N$5:$N$11,MATCH($E18,⑰工程労務費一覧!$K$5:$K$11,0)),IF(OR($D18="個",$D18="切",$D18="本",$D18="枚",$D18="尾"),IF($E18="⑬計量工程入力","",INDEX(⑰工程労務費一覧!$P$5:$P$11,MATCH($E18,⑰工程労務費一覧!$K$5:$K$11,0))),IF(AND($D18="",OR($E18="②釜工程入力",$E18="③スチコン工程入力")),INDEX(⑰工程労務費一覧!$N$5:$N$11,MATCH($E18,⑰工程労務費一覧!$K$5:$K$11,0))/1000,""))))),IF(OR($D18="g",$D18="ｇ"),INDEX(⑰工程労務費一覧!$H$5:$H$753,MATCH($F18,⑰工程労務費一覧!$D$5:$D$753,0))/1000,IF($D18="kg",INDEX(⑰工程労務費一覧!$H$5:$H$753,MATCH($F18,⑰工程労務費一覧!$D$5:$D$753,0)),INDEX(⑰工程労務費一覧!$I$5:$I$753,MATCH($F18,⑰工程労務費一覧!$D$5:$D$753,0)))))),"")</f>
        <v/>
      </c>
      <c r="I18" s="392">
        <f>IF($K18&gt;0,IF(ISNUMBER(IF(OR($D18="g",$D18="ｇ"),IF($M18&gt;0,$L18/$M18/1000,""),IF($D18="kg",IF($M18&gt;0,$L18/$M18,""),IF($D18="",IF($M18&gt;0,$L18/$M18/1000,IF($O18&gt;0,$N18/$O18,"")),IF($O18&gt;0,$N18/$O18,""))))),IF($D18="",IF($M18&gt;0,"◎ JAN紐づけ(g扱い)","◎ JAN紐づけ(個扱い)"),"◎ JAN紐づけ"),"△ JAN紐づけ済・実績不足→仮計算"),IF($F18="",IF(ISNUMBER($H18),IF($D18="","⑤ 工程平均で仮計算(g扱い)","⑤ 工程平均で仮計算"),IF($E18="⑩盛付梱包工程入力","⑥ 盛り込み(⑳F列で計上)",IF(AND($E18="⑬計量工程入力",OR($D18="個",$D18="切",$D18="本",$D18="枚",$D18="尾")),"① 未紐づけ(カット個単位は仮単価なし)","① 未紐づけ"))),IF(NOT(ISNUMBER($H18)),"② 工程側に単価なし",IF($D18="","③ 単位未設定(個で計算)","④ OK"))))</f>
        <v/>
      </c>
      <c r="J18" s="399">
        <f>IFERROR(LOOKUP(2,1/((中間品リスト!$F$2:$F$1299=$B18)*(中間品リスト!$E$2:$E$1299&lt;&gt;"-")*(中間品リスト!$E$2:$E$1299&lt;&gt;"")),中間品リスト!$E$2:$E$1299),"")</f>
        <v/>
      </c>
      <c r="K18" s="400">
        <f>IF($J18="",0,COUNTIF(②釜工程入力!$S$5:$S$117,$J18)+COUNTIF(③スチコン工程入力!$S$5:$S$152,$J18)+COUNTIF(⑪ZEN工程入力!$S$6:$S$35,$J18)+COUNTIF(⑫ミキサー工程入力!$S$6:$S$65,$J18)+COUNTIF(⑬計量工程入力!$S$6:$S$65,$J18)+COUNTIF(⑭手動工程入力!$S$6:$S$47,$J18))</f>
        <v/>
      </c>
      <c r="L18" s="393">
        <f>IF($J18="",0,SUMIFS(②釜工程入力!$M$5:$M$117,②釜工程入力!$S$5:$S$117,$J18,②釜工程入力!$I$5:$I$117,"&gt;0")+SUMIFS(③スチコン工程入力!$M$5:$M$152,③スチコン工程入力!$S$5:$S$152,$J18,③スチコン工程入力!$I$5:$I$152,"&gt;0")+SUMIFS(⑪ZEN工程入力!$M$6:$M$35,⑪ZEN工程入力!$S$6:$S$35,$J18,⑪ZEN工程入力!$I$6:$I$35,"&gt;0")+SUMIFS(⑫ミキサー工程入力!$M$6:$M$65,⑫ミキサー工程入力!$S$6:$S$65,$J18,⑫ミキサー工程入力!$I$6:$I$65,"&gt;0")+SUMIFS(⑬計量工程入力!$M$6:$M$65,⑬計量工程入力!$S$6:$S$65,$J18,⑬計量工程入力!$I$6:$I$65,"&gt;0")+SUMIFS(⑭手動工程入力!$M$6:$M$47,⑭手動工程入力!$S$6:$S$47,$J18,⑭手動工程入力!$I$6:$I$47,"&gt;0"))</f>
        <v/>
      </c>
      <c r="M18" s="393">
        <f>IF($J18="",0,SUMIFS(②釜工程入力!$I$5:$I$117,②釜工程入力!$S$5:$S$117,$J18,②釜工程入力!$I$5:$I$117,"&gt;0",②釜工程入力!$M$5:$M$117,"&gt;0")+SUMIFS(③スチコン工程入力!$I$5:$I$152,③スチコン工程入力!$S$5:$S$152,$J18,③スチコン工程入力!$I$5:$I$152,"&gt;0",③スチコン工程入力!$M$5:$M$152,"&gt;0")+SUMIFS(⑪ZEN工程入力!$I$6:$I$35,⑪ZEN工程入力!$S$6:$S$35,$J18,⑪ZEN工程入力!$I$6:$I$35,"&gt;0",⑪ZEN工程入力!$M$6:$M$35,"&gt;0")+SUMIFS(⑫ミキサー工程入力!$I$6:$I$65,⑫ミキサー工程入力!$S$6:$S$65,$J18,⑫ミキサー工程入力!$I$6:$I$65,"&gt;0",⑫ミキサー工程入力!$M$6:$M$65,"&gt;0")+SUMIFS(⑬計量工程入力!$I$6:$I$65,⑬計量工程入力!$S$6:$S$65,$J18,⑬計量工程入力!$I$6:$I$65,"&gt;0",⑬計量工程入力!$M$6:$M$65,"&gt;0")+SUMIFS(⑭手動工程入力!$I$6:$I$47,⑭手動工程入力!$S$6:$S$47,$J18,⑭手動工程入力!$I$6:$I$47,"&gt;0",⑭手動工程入力!$M$6:$M$47,"&gt;0"))</f>
        <v/>
      </c>
      <c r="N18" s="393">
        <f>IF($J18="",0,SUMIFS(②釜工程入力!$M$5:$M$117,②釜工程入力!$S$5:$S$117,$J18,②釜工程入力!$J$5:$J$117,"&gt;0")-SUMIFS(②釜工程入力!$M$5:$M$117,②釜工程入力!$S$5:$S$117,$J18,②釜工程入力!$J$5:$J$117,"&gt;0",②釜工程入力!$I$5:$I$117,"&gt;0")+SUMIFS(③スチコン工程入力!$M$5:$M$152,③スチコン工程入力!$S$5:$S$152,$J18,③スチコン工程入力!$J$5:$J$152,"&gt;0")-SUMIFS(③スチコン工程入力!$M$5:$M$152,③スチコン工程入力!$S$5:$S$152,$J18,③スチコン工程入力!$J$5:$J$152,"&gt;0",③スチコン工程入力!$I$5:$I$152,"&gt;0")+SUMIFS(⑪ZEN工程入力!$M$6:$M$35,⑪ZEN工程入力!$S$6:$S$35,$J18,⑪ZEN工程入力!$J$6:$J$35,"&gt;0")-SUMIFS(⑪ZEN工程入力!$M$6:$M$35,⑪ZEN工程入力!$S$6:$S$35,$J18,⑪ZEN工程入力!$J$6:$J$35,"&gt;0",⑪ZEN工程入力!$I$6:$I$35,"&gt;0")+SUMIFS(⑫ミキサー工程入力!$M$6:$M$65,⑫ミキサー工程入力!$S$6:$S$65,$J18,⑫ミキサー工程入力!$J$6:$J$65,"&gt;0")-SUMIFS(⑫ミキサー工程入力!$M$6:$M$65,⑫ミキサー工程入力!$S$6:$S$65,$J18,⑫ミキサー工程入力!$J$6:$J$65,"&gt;0",⑫ミキサー工程入力!$I$6:$I$65,"&gt;0")+SUMIFS(⑬計量工程入力!$M$6:$M$65,⑬計量工程入力!$S$6:$S$65,$J18,⑬計量工程入力!$J$6:$J$65,"&gt;0")-SUMIFS(⑬計量工程入力!$M$6:$M$65,⑬計量工程入力!$S$6:$S$65,$J18,⑬計量工程入力!$J$6:$J$65,"&gt;0",⑬計量工程入力!$I$6:$I$65,"&gt;0")+SUMIFS(⑭手動工程入力!$M$6:$M$47,⑭手動工程入力!$S$6:$S$47,$J18,⑭手動工程入力!$J$6:$J$47,"&gt;0")-SUMIFS(⑭手動工程入力!$M$6:$M$47,⑭手動工程入力!$S$6:$S$47,$J18,⑭手動工程入力!$J$6:$J$47,"&gt;0",⑭手動工程入力!$I$6:$I$47,"&gt;0"))</f>
        <v/>
      </c>
      <c r="O18" s="393">
        <f>IF($J18="",0,SUMIFS(②釜工程入力!$J$5:$J$117,②釜工程入力!$S$5:$S$117,$J18,②釜工程入力!$J$5:$J$117,"&gt;0",②釜工程入力!$M$5:$M$117,"&gt;0")-SUMIFS(②釜工程入力!$J$5:$J$117,②釜工程入力!$S$5:$S$117,$J18,②釜工程入力!$J$5:$J$117,"&gt;0",②釜工程入力!$I$5:$I$117,"&gt;0",②釜工程入力!$M$5:$M$117,"&gt;0")+SUMIFS(③スチコン工程入力!$J$5:$J$152,③スチコン工程入力!$S$5:$S$152,$J18,③スチコン工程入力!$J$5:$J$152,"&gt;0",③スチコン工程入力!$M$5:$M$152,"&gt;0")-SUMIFS(③スチコン工程入力!$J$5:$J$152,③スチコン工程入力!$S$5:$S$152,$J18,③スチコン工程入力!$J$5:$J$152,"&gt;0",③スチコン工程入力!$I$5:$I$152,"&gt;0",③スチコン工程入力!$M$5:$M$152,"&gt;0")+SUMIFS(⑪ZEN工程入力!$J$6:$J$35,⑪ZEN工程入力!$S$6:$S$35,$J18,⑪ZEN工程入力!$J$6:$J$35,"&gt;0",⑪ZEN工程入力!$M$6:$M$35,"&gt;0")-SUMIFS(⑪ZEN工程入力!$J$6:$J$35,⑪ZEN工程入力!$S$6:$S$35,$J18,⑪ZEN工程入力!$J$6:$J$35,"&gt;0",⑪ZEN工程入力!$I$6:$I$35,"&gt;0",⑪ZEN工程入力!$M$6:$M$35,"&gt;0")+SUMIFS(⑫ミキサー工程入力!$J$6:$J$65,⑫ミキサー工程入力!$S$6:$S$65,$J18,⑫ミキサー工程入力!$J$6:$J$65,"&gt;0",⑫ミキサー工程入力!$M$6:$M$65,"&gt;0")-SUMIFS(⑫ミキサー工程入力!$J$6:$J$65,⑫ミキサー工程入力!$S$6:$S$65,$J18,⑫ミキサー工程入力!$J$6:$J$65,"&gt;0",⑫ミキサー工程入力!$I$6:$I$65,"&gt;0",⑫ミキサー工程入力!$M$6:$M$65,"&gt;0")+SUMIFS(⑬計量工程入力!$J$6:$J$65,⑬計量工程入力!$S$6:$S$65,$J18,⑬計量工程入力!$J$6:$J$65,"&gt;0",⑬計量工程入力!$M$6:$M$65,"&gt;0")-SUMIFS(⑬計量工程入力!$J$6:$J$65,⑬計量工程入力!$S$6:$S$65,$J18,⑬計量工程入力!$J$6:$J$65,"&gt;0",⑬計量工程入力!$I$6:$I$65,"&gt;0",⑬計量工程入力!$M$6:$M$65,"&gt;0")+SUMIFS(⑭手動工程入力!$J$6:$J$47,⑭手動工程入力!$S$6:$S$47,$J18,⑭手動工程入力!$J$6:$J$47,"&gt;0",⑭手動工程入力!$M$6:$M$47,"&gt;0")-SUMIFS(⑭手動工程入力!$J$6:$J$47,⑭手動工程入力!$S$6:$S$47,$J18,⑭手動工程入力!$J$6:$J$47,"&gt;0",⑭手動工程入力!$I$6:$I$47,"&gt;0",⑭手動工程入力!$M$6:$M$47,"&gt;0"))</f>
        <v/>
      </c>
      <c r="P18" s="392" t="n"/>
    </row>
    <row r="19">
      <c r="A19" s="392" t="n">
        <v>15</v>
      </c>
      <c r="B19" s="392" t="n"/>
      <c r="C19" s="392" t="n"/>
      <c r="D19" s="392" t="n"/>
      <c r="E19" s="392" t="n"/>
      <c r="F19" s="394" t="n"/>
      <c r="G19" s="392" t="n"/>
      <c r="H19" s="604">
        <f>IFERROR(IF(AND($K19&gt;0,ISNUMBER(IF(OR($D19="g",$D19="ｇ"),IF($M19&gt;0,$L19/$M19/1000,""),IF($D19="kg",IF($M19&gt;0,$L19/$M19,""),IF($D19="",IF($M19&gt;0,$L19/$M19/1000,IF($O19&gt;0,$N19/$O19,"")),IF($O19&gt;0,$N19/$O19,"")))))),IF(OR($D19="g",$D19="ｇ"),IF($M19&gt;0,$L19/$M19/1000,""),IF($D19="kg",IF($M19&gt;0,$L19/$M19,""),IF($D19="",IF($M19&gt;0,$L19/$M19/1000,IF($O19&gt;0,$N19/$O19,"")),IF($O19&gt;0,$N19/$O19,"")))),IF($F19="",IF(OR($E19="",$E19="⑩盛付梱包工程入力"),"",IF(OR($D19="g",$D19="ｇ"),INDEX(⑰工程労務費一覧!$N$5:$N$11,MATCH($E19,⑰工程労務費一覧!$K$5:$K$11,0))/1000,IF($D19="kg",INDEX(⑰工程労務費一覧!$N$5:$N$11,MATCH($E19,⑰工程労務費一覧!$K$5:$K$11,0)),IF(OR($D19="個",$D19="切",$D19="本",$D19="枚",$D19="尾"),IF($E19="⑬計量工程入力","",INDEX(⑰工程労務費一覧!$P$5:$P$11,MATCH($E19,⑰工程労務費一覧!$K$5:$K$11,0))),IF(AND($D19="",OR($E19="②釜工程入力",$E19="③スチコン工程入力")),INDEX(⑰工程労務費一覧!$N$5:$N$11,MATCH($E19,⑰工程労務費一覧!$K$5:$K$11,0))/1000,""))))),IF(OR($D19="g",$D19="ｇ"),INDEX(⑰工程労務費一覧!$H$5:$H$753,MATCH($F19,⑰工程労務費一覧!$D$5:$D$753,0))/1000,IF($D19="kg",INDEX(⑰工程労務費一覧!$H$5:$H$753,MATCH($F19,⑰工程労務費一覧!$D$5:$D$753,0)),INDEX(⑰工程労務費一覧!$I$5:$I$753,MATCH($F19,⑰工程労務費一覧!$D$5:$D$753,0)))))),"")</f>
        <v/>
      </c>
      <c r="I19" s="392">
        <f>IF($K19&gt;0,IF(ISNUMBER(IF(OR($D19="g",$D19="ｇ"),IF($M19&gt;0,$L19/$M19/1000,""),IF($D19="kg",IF($M19&gt;0,$L19/$M19,""),IF($D19="",IF($M19&gt;0,$L19/$M19/1000,IF($O19&gt;0,$N19/$O19,"")),IF($O19&gt;0,$N19/$O19,""))))),IF($D19="",IF($M19&gt;0,"◎ JAN紐づけ(g扱い)","◎ JAN紐づけ(個扱い)"),"◎ JAN紐づけ"),"△ JAN紐づけ済・実績不足→仮計算"),IF($F19="",IF(ISNUMBER($H19),IF($D19="","⑤ 工程平均で仮計算(g扱い)","⑤ 工程平均で仮計算"),IF($E19="⑩盛付梱包工程入力","⑥ 盛り込み(⑳F列で計上)",IF(AND($E19="⑬計量工程入力",OR($D19="個",$D19="切",$D19="本",$D19="枚",$D19="尾")),"① 未紐づけ(カット個単位は仮単価なし)","① 未紐づけ"))),IF(NOT(ISNUMBER($H19)),"② 工程側に単価なし",IF($D19="","③ 単位未設定(個で計算)","④ OK"))))</f>
        <v/>
      </c>
      <c r="J19" s="399">
        <f>IFERROR(LOOKUP(2,1/((中間品リスト!$F$2:$F$1299=$B19)*(中間品リスト!$E$2:$E$1299&lt;&gt;"-")*(中間品リスト!$E$2:$E$1299&lt;&gt;"")),中間品リスト!$E$2:$E$1299),"")</f>
        <v/>
      </c>
      <c r="K19" s="400">
        <f>IF($J19="",0,COUNTIF(②釜工程入力!$S$5:$S$117,$J19)+COUNTIF(③スチコン工程入力!$S$5:$S$152,$J19)+COUNTIF(⑪ZEN工程入力!$S$6:$S$35,$J19)+COUNTIF(⑫ミキサー工程入力!$S$6:$S$65,$J19)+COUNTIF(⑬計量工程入力!$S$6:$S$65,$J19)+COUNTIF(⑭手動工程入力!$S$6:$S$47,$J19))</f>
        <v/>
      </c>
      <c r="L19" s="393">
        <f>IF($J19="",0,SUMIFS(②釜工程入力!$M$5:$M$117,②釜工程入力!$S$5:$S$117,$J19,②釜工程入力!$I$5:$I$117,"&gt;0")+SUMIFS(③スチコン工程入力!$M$5:$M$152,③スチコン工程入力!$S$5:$S$152,$J19,③スチコン工程入力!$I$5:$I$152,"&gt;0")+SUMIFS(⑪ZEN工程入力!$M$6:$M$35,⑪ZEN工程入力!$S$6:$S$35,$J19,⑪ZEN工程入力!$I$6:$I$35,"&gt;0")+SUMIFS(⑫ミキサー工程入力!$M$6:$M$65,⑫ミキサー工程入力!$S$6:$S$65,$J19,⑫ミキサー工程入力!$I$6:$I$65,"&gt;0")+SUMIFS(⑬計量工程入力!$M$6:$M$65,⑬計量工程入力!$S$6:$S$65,$J19,⑬計量工程入力!$I$6:$I$65,"&gt;0")+SUMIFS(⑭手動工程入力!$M$6:$M$47,⑭手動工程入力!$S$6:$S$47,$J19,⑭手動工程入力!$I$6:$I$47,"&gt;0"))</f>
        <v/>
      </c>
      <c r="M19" s="393">
        <f>IF($J19="",0,SUMIFS(②釜工程入力!$I$5:$I$117,②釜工程入力!$S$5:$S$117,$J19,②釜工程入力!$I$5:$I$117,"&gt;0",②釜工程入力!$M$5:$M$117,"&gt;0")+SUMIFS(③スチコン工程入力!$I$5:$I$152,③スチコン工程入力!$S$5:$S$152,$J19,③スチコン工程入力!$I$5:$I$152,"&gt;0",③スチコン工程入力!$M$5:$M$152,"&gt;0")+SUMIFS(⑪ZEN工程入力!$I$6:$I$35,⑪ZEN工程入力!$S$6:$S$35,$J19,⑪ZEN工程入力!$I$6:$I$35,"&gt;0",⑪ZEN工程入力!$M$6:$M$35,"&gt;0")+SUMIFS(⑫ミキサー工程入力!$I$6:$I$65,⑫ミキサー工程入力!$S$6:$S$65,$J19,⑫ミキサー工程入力!$I$6:$I$65,"&gt;0",⑫ミキサー工程入力!$M$6:$M$65,"&gt;0")+SUMIFS(⑬計量工程入力!$I$6:$I$65,⑬計量工程入力!$S$6:$S$65,$J19,⑬計量工程入力!$I$6:$I$65,"&gt;0",⑬計量工程入力!$M$6:$M$65,"&gt;0")+SUMIFS(⑭手動工程入力!$I$6:$I$47,⑭手動工程入力!$S$6:$S$47,$J19,⑭手動工程入力!$I$6:$I$47,"&gt;0",⑭手動工程入力!$M$6:$M$47,"&gt;0"))</f>
        <v/>
      </c>
      <c r="N19" s="393">
        <f>IF($J19="",0,SUMIFS(②釜工程入力!$M$5:$M$117,②釜工程入力!$S$5:$S$117,$J19,②釜工程入力!$J$5:$J$117,"&gt;0")-SUMIFS(②釜工程入力!$M$5:$M$117,②釜工程入力!$S$5:$S$117,$J19,②釜工程入力!$J$5:$J$117,"&gt;0",②釜工程入力!$I$5:$I$117,"&gt;0")+SUMIFS(③スチコン工程入力!$M$5:$M$152,③スチコン工程入力!$S$5:$S$152,$J19,③スチコン工程入力!$J$5:$J$152,"&gt;0")-SUMIFS(③スチコン工程入力!$M$5:$M$152,③スチコン工程入力!$S$5:$S$152,$J19,③スチコン工程入力!$J$5:$J$152,"&gt;0",③スチコン工程入力!$I$5:$I$152,"&gt;0")+SUMIFS(⑪ZEN工程入力!$M$6:$M$35,⑪ZEN工程入力!$S$6:$S$35,$J19,⑪ZEN工程入力!$J$6:$J$35,"&gt;0")-SUMIFS(⑪ZEN工程入力!$M$6:$M$35,⑪ZEN工程入力!$S$6:$S$35,$J19,⑪ZEN工程入力!$J$6:$J$35,"&gt;0",⑪ZEN工程入力!$I$6:$I$35,"&gt;0")+SUMIFS(⑫ミキサー工程入力!$M$6:$M$65,⑫ミキサー工程入力!$S$6:$S$65,$J19,⑫ミキサー工程入力!$J$6:$J$65,"&gt;0")-SUMIFS(⑫ミキサー工程入力!$M$6:$M$65,⑫ミキサー工程入力!$S$6:$S$65,$J19,⑫ミキサー工程入力!$J$6:$J$65,"&gt;0",⑫ミキサー工程入力!$I$6:$I$65,"&gt;0")+SUMIFS(⑬計量工程入力!$M$6:$M$65,⑬計量工程入力!$S$6:$S$65,$J19,⑬計量工程入力!$J$6:$J$65,"&gt;0")-SUMIFS(⑬計量工程入力!$M$6:$M$65,⑬計量工程入力!$S$6:$S$65,$J19,⑬計量工程入力!$J$6:$J$65,"&gt;0",⑬計量工程入力!$I$6:$I$65,"&gt;0")+SUMIFS(⑭手動工程入力!$M$6:$M$47,⑭手動工程入力!$S$6:$S$47,$J19,⑭手動工程入力!$J$6:$J$47,"&gt;0")-SUMIFS(⑭手動工程入力!$M$6:$M$47,⑭手動工程入力!$S$6:$S$47,$J19,⑭手動工程入力!$J$6:$J$47,"&gt;0",⑭手動工程入力!$I$6:$I$47,"&gt;0"))</f>
        <v/>
      </c>
      <c r="O19" s="393">
        <f>IF($J19="",0,SUMIFS(②釜工程入力!$J$5:$J$117,②釜工程入力!$S$5:$S$117,$J19,②釜工程入力!$J$5:$J$117,"&gt;0",②釜工程入力!$M$5:$M$117,"&gt;0")-SUMIFS(②釜工程入力!$J$5:$J$117,②釜工程入力!$S$5:$S$117,$J19,②釜工程入力!$J$5:$J$117,"&gt;0",②釜工程入力!$I$5:$I$117,"&gt;0",②釜工程入力!$M$5:$M$117,"&gt;0")+SUMIFS(③スチコン工程入力!$J$5:$J$152,③スチコン工程入力!$S$5:$S$152,$J19,③スチコン工程入力!$J$5:$J$152,"&gt;0",③スチコン工程入力!$M$5:$M$152,"&gt;0")-SUMIFS(③スチコン工程入力!$J$5:$J$152,③スチコン工程入力!$S$5:$S$152,$J19,③スチコン工程入力!$J$5:$J$152,"&gt;0",③スチコン工程入力!$I$5:$I$152,"&gt;0",③スチコン工程入力!$M$5:$M$152,"&gt;0")+SUMIFS(⑪ZEN工程入力!$J$6:$J$35,⑪ZEN工程入力!$S$6:$S$35,$J19,⑪ZEN工程入力!$J$6:$J$35,"&gt;0",⑪ZEN工程入力!$M$6:$M$35,"&gt;0")-SUMIFS(⑪ZEN工程入力!$J$6:$J$35,⑪ZEN工程入力!$S$6:$S$35,$J19,⑪ZEN工程入力!$J$6:$J$35,"&gt;0",⑪ZEN工程入力!$I$6:$I$35,"&gt;0",⑪ZEN工程入力!$M$6:$M$35,"&gt;0")+SUMIFS(⑫ミキサー工程入力!$J$6:$J$65,⑫ミキサー工程入力!$S$6:$S$65,$J19,⑫ミキサー工程入力!$J$6:$J$65,"&gt;0",⑫ミキサー工程入力!$M$6:$M$65,"&gt;0")-SUMIFS(⑫ミキサー工程入力!$J$6:$J$65,⑫ミキサー工程入力!$S$6:$S$65,$J19,⑫ミキサー工程入力!$J$6:$J$65,"&gt;0",⑫ミキサー工程入力!$I$6:$I$65,"&gt;0",⑫ミキサー工程入力!$M$6:$M$65,"&gt;0")+SUMIFS(⑬計量工程入力!$J$6:$J$65,⑬計量工程入力!$S$6:$S$65,$J19,⑬計量工程入力!$J$6:$J$65,"&gt;0",⑬計量工程入力!$M$6:$M$65,"&gt;0")-SUMIFS(⑬計量工程入力!$J$6:$J$65,⑬計量工程入力!$S$6:$S$65,$J19,⑬計量工程入力!$J$6:$J$65,"&gt;0",⑬計量工程入力!$I$6:$I$65,"&gt;0",⑬計量工程入力!$M$6:$M$65,"&gt;0")+SUMIFS(⑭手動工程入力!$J$6:$J$47,⑭手動工程入力!$S$6:$S$47,$J19,⑭手動工程入力!$J$6:$J$47,"&gt;0",⑭手動工程入力!$M$6:$M$47,"&gt;0")-SUMIFS(⑭手動工程入力!$J$6:$J$47,⑭手動工程入力!$S$6:$S$47,$J19,⑭手動工程入力!$J$6:$J$47,"&gt;0",⑭手動工程入力!$I$6:$I$47,"&gt;0",⑭手動工程入力!$M$6:$M$47,"&gt;0"))</f>
        <v/>
      </c>
      <c r="P19" s="392" t="n"/>
    </row>
    <row r="20">
      <c r="A20" s="392" t="n">
        <v>16</v>
      </c>
      <c r="B20" s="392" t="n"/>
      <c r="C20" s="392" t="n"/>
      <c r="D20" s="392" t="n"/>
      <c r="E20" s="392" t="n"/>
      <c r="F20" s="394" t="n"/>
      <c r="G20" s="392" t="n"/>
      <c r="H20" s="604">
        <f>IFERROR(IF(AND($K20&gt;0,ISNUMBER(IF(OR($D20="g",$D20="ｇ"),IF($M20&gt;0,$L20/$M20/1000,""),IF($D20="kg",IF($M20&gt;0,$L20/$M20,""),IF($D20="",IF($M20&gt;0,$L20/$M20/1000,IF($O20&gt;0,$N20/$O20,"")),IF($O20&gt;0,$N20/$O20,"")))))),IF(OR($D20="g",$D20="ｇ"),IF($M20&gt;0,$L20/$M20/1000,""),IF($D20="kg",IF($M20&gt;0,$L20/$M20,""),IF($D20="",IF($M20&gt;0,$L20/$M20/1000,IF($O20&gt;0,$N20/$O20,"")),IF($O20&gt;0,$N20/$O20,"")))),IF($F20="",IF(OR($E20="",$E20="⑩盛付梱包工程入力"),"",IF(OR($D20="g",$D20="ｇ"),INDEX(⑰工程労務費一覧!$N$5:$N$11,MATCH($E20,⑰工程労務費一覧!$K$5:$K$11,0))/1000,IF($D20="kg",INDEX(⑰工程労務費一覧!$N$5:$N$11,MATCH($E20,⑰工程労務費一覧!$K$5:$K$11,0)),IF(OR($D20="個",$D20="切",$D20="本",$D20="枚",$D20="尾"),IF($E20="⑬計量工程入力","",INDEX(⑰工程労務費一覧!$P$5:$P$11,MATCH($E20,⑰工程労務費一覧!$K$5:$K$11,0))),IF(AND($D20="",OR($E20="②釜工程入力",$E20="③スチコン工程入力")),INDEX(⑰工程労務費一覧!$N$5:$N$11,MATCH($E20,⑰工程労務費一覧!$K$5:$K$11,0))/1000,""))))),IF(OR($D20="g",$D20="ｇ"),INDEX(⑰工程労務費一覧!$H$5:$H$753,MATCH($F20,⑰工程労務費一覧!$D$5:$D$753,0))/1000,IF($D20="kg",INDEX(⑰工程労務費一覧!$H$5:$H$753,MATCH($F20,⑰工程労務費一覧!$D$5:$D$753,0)),INDEX(⑰工程労務費一覧!$I$5:$I$753,MATCH($F20,⑰工程労務費一覧!$D$5:$D$753,0)))))),"")</f>
        <v/>
      </c>
      <c r="I20" s="392">
        <f>IF($K20&gt;0,IF(ISNUMBER(IF(OR($D20="g",$D20="ｇ"),IF($M20&gt;0,$L20/$M20/1000,""),IF($D20="kg",IF($M20&gt;0,$L20/$M20,""),IF($D20="",IF($M20&gt;0,$L20/$M20/1000,IF($O20&gt;0,$N20/$O20,"")),IF($O20&gt;0,$N20/$O20,""))))),IF($D20="",IF($M20&gt;0,"◎ JAN紐づけ(g扱い)","◎ JAN紐づけ(個扱い)"),"◎ JAN紐づけ"),"△ JAN紐づけ済・実績不足→仮計算"),IF($F20="",IF(ISNUMBER($H20),IF($D20="","⑤ 工程平均で仮計算(g扱い)","⑤ 工程平均で仮計算"),IF($E20="⑩盛付梱包工程入力","⑥ 盛り込み(⑳F列で計上)",IF(AND($E20="⑬計量工程入力",OR($D20="個",$D20="切",$D20="本",$D20="枚",$D20="尾")),"① 未紐づけ(カット個単位は仮単価なし)","① 未紐づけ"))),IF(NOT(ISNUMBER($H20)),"② 工程側に単価なし",IF($D20="","③ 単位未設定(個で計算)","④ OK"))))</f>
        <v/>
      </c>
      <c r="J20" s="399">
        <f>IFERROR(LOOKUP(2,1/((中間品リスト!$F$2:$F$1299=$B20)*(中間品リスト!$E$2:$E$1299&lt;&gt;"-")*(中間品リスト!$E$2:$E$1299&lt;&gt;"")),中間品リスト!$E$2:$E$1299),"")</f>
        <v/>
      </c>
      <c r="K20" s="400">
        <f>IF($J20="",0,COUNTIF(②釜工程入力!$S$5:$S$117,$J20)+COUNTIF(③スチコン工程入力!$S$5:$S$152,$J20)+COUNTIF(⑪ZEN工程入力!$S$6:$S$35,$J20)+COUNTIF(⑫ミキサー工程入力!$S$6:$S$65,$J20)+COUNTIF(⑬計量工程入力!$S$6:$S$65,$J20)+COUNTIF(⑭手動工程入力!$S$6:$S$47,$J20))</f>
        <v/>
      </c>
      <c r="L20" s="393">
        <f>IF($J20="",0,SUMIFS(②釜工程入力!$M$5:$M$117,②釜工程入力!$S$5:$S$117,$J20,②釜工程入力!$I$5:$I$117,"&gt;0")+SUMIFS(③スチコン工程入力!$M$5:$M$152,③スチコン工程入力!$S$5:$S$152,$J20,③スチコン工程入力!$I$5:$I$152,"&gt;0")+SUMIFS(⑪ZEN工程入力!$M$6:$M$35,⑪ZEN工程入力!$S$6:$S$35,$J20,⑪ZEN工程入力!$I$6:$I$35,"&gt;0")+SUMIFS(⑫ミキサー工程入力!$M$6:$M$65,⑫ミキサー工程入力!$S$6:$S$65,$J20,⑫ミキサー工程入力!$I$6:$I$65,"&gt;0")+SUMIFS(⑬計量工程入力!$M$6:$M$65,⑬計量工程入力!$S$6:$S$65,$J20,⑬計量工程入力!$I$6:$I$65,"&gt;0")+SUMIFS(⑭手動工程入力!$M$6:$M$47,⑭手動工程入力!$S$6:$S$47,$J20,⑭手動工程入力!$I$6:$I$47,"&gt;0"))</f>
        <v/>
      </c>
      <c r="M20" s="393">
        <f>IF($J20="",0,SUMIFS(②釜工程入力!$I$5:$I$117,②釜工程入力!$S$5:$S$117,$J20,②釜工程入力!$I$5:$I$117,"&gt;0",②釜工程入力!$M$5:$M$117,"&gt;0")+SUMIFS(③スチコン工程入力!$I$5:$I$152,③スチコン工程入力!$S$5:$S$152,$J20,③スチコン工程入力!$I$5:$I$152,"&gt;0",③スチコン工程入力!$M$5:$M$152,"&gt;0")+SUMIFS(⑪ZEN工程入力!$I$6:$I$35,⑪ZEN工程入力!$S$6:$S$35,$J20,⑪ZEN工程入力!$I$6:$I$35,"&gt;0",⑪ZEN工程入力!$M$6:$M$35,"&gt;0")+SUMIFS(⑫ミキサー工程入力!$I$6:$I$65,⑫ミキサー工程入力!$S$6:$S$65,$J20,⑫ミキサー工程入力!$I$6:$I$65,"&gt;0",⑫ミキサー工程入力!$M$6:$M$65,"&gt;0")+SUMIFS(⑬計量工程入力!$I$6:$I$65,⑬計量工程入力!$S$6:$S$65,$J20,⑬計量工程入力!$I$6:$I$65,"&gt;0",⑬計量工程入力!$M$6:$M$65,"&gt;0")+SUMIFS(⑭手動工程入力!$I$6:$I$47,⑭手動工程入力!$S$6:$S$47,$J20,⑭手動工程入力!$I$6:$I$47,"&gt;0",⑭手動工程入力!$M$6:$M$47,"&gt;0"))</f>
        <v/>
      </c>
      <c r="N20" s="393">
        <f>IF($J20="",0,SUMIFS(②釜工程入力!$M$5:$M$117,②釜工程入力!$S$5:$S$117,$J20,②釜工程入力!$J$5:$J$117,"&gt;0")-SUMIFS(②釜工程入力!$M$5:$M$117,②釜工程入力!$S$5:$S$117,$J20,②釜工程入力!$J$5:$J$117,"&gt;0",②釜工程入力!$I$5:$I$117,"&gt;0")+SUMIFS(③スチコン工程入力!$M$5:$M$152,③スチコン工程入力!$S$5:$S$152,$J20,③スチコン工程入力!$J$5:$J$152,"&gt;0")-SUMIFS(③スチコン工程入力!$M$5:$M$152,③スチコン工程入力!$S$5:$S$152,$J20,③スチコン工程入力!$J$5:$J$152,"&gt;0",③スチコン工程入力!$I$5:$I$152,"&gt;0")+SUMIFS(⑪ZEN工程入力!$M$6:$M$35,⑪ZEN工程入力!$S$6:$S$35,$J20,⑪ZEN工程入力!$J$6:$J$35,"&gt;0")-SUMIFS(⑪ZEN工程入力!$M$6:$M$35,⑪ZEN工程入力!$S$6:$S$35,$J20,⑪ZEN工程入力!$J$6:$J$35,"&gt;0",⑪ZEN工程入力!$I$6:$I$35,"&gt;0")+SUMIFS(⑫ミキサー工程入力!$M$6:$M$65,⑫ミキサー工程入力!$S$6:$S$65,$J20,⑫ミキサー工程入力!$J$6:$J$65,"&gt;0")-SUMIFS(⑫ミキサー工程入力!$M$6:$M$65,⑫ミキサー工程入力!$S$6:$S$65,$J20,⑫ミキサー工程入力!$J$6:$J$65,"&gt;0",⑫ミキサー工程入力!$I$6:$I$65,"&gt;0")+SUMIFS(⑬計量工程入力!$M$6:$M$65,⑬計量工程入力!$S$6:$S$65,$J20,⑬計量工程入力!$J$6:$J$65,"&gt;0")-SUMIFS(⑬計量工程入力!$M$6:$M$65,⑬計量工程入力!$S$6:$S$65,$J20,⑬計量工程入力!$J$6:$J$65,"&gt;0",⑬計量工程入力!$I$6:$I$65,"&gt;0")+SUMIFS(⑭手動工程入力!$M$6:$M$47,⑭手動工程入力!$S$6:$S$47,$J20,⑭手動工程入力!$J$6:$J$47,"&gt;0")-SUMIFS(⑭手動工程入力!$M$6:$M$47,⑭手動工程入力!$S$6:$S$47,$J20,⑭手動工程入力!$J$6:$J$47,"&gt;0",⑭手動工程入力!$I$6:$I$47,"&gt;0"))</f>
        <v/>
      </c>
      <c r="O20" s="393">
        <f>IF($J20="",0,SUMIFS(②釜工程入力!$J$5:$J$117,②釜工程入力!$S$5:$S$117,$J20,②釜工程入力!$J$5:$J$117,"&gt;0",②釜工程入力!$M$5:$M$117,"&gt;0")-SUMIFS(②釜工程入力!$J$5:$J$117,②釜工程入力!$S$5:$S$117,$J20,②釜工程入力!$J$5:$J$117,"&gt;0",②釜工程入力!$I$5:$I$117,"&gt;0",②釜工程入力!$M$5:$M$117,"&gt;0")+SUMIFS(③スチコン工程入力!$J$5:$J$152,③スチコン工程入力!$S$5:$S$152,$J20,③スチコン工程入力!$J$5:$J$152,"&gt;0",③スチコン工程入力!$M$5:$M$152,"&gt;0")-SUMIFS(③スチコン工程入力!$J$5:$J$152,③スチコン工程入力!$S$5:$S$152,$J20,③スチコン工程入力!$J$5:$J$152,"&gt;0",③スチコン工程入力!$I$5:$I$152,"&gt;0",③スチコン工程入力!$M$5:$M$152,"&gt;0")+SUMIFS(⑪ZEN工程入力!$J$6:$J$35,⑪ZEN工程入力!$S$6:$S$35,$J20,⑪ZEN工程入力!$J$6:$J$35,"&gt;0",⑪ZEN工程入力!$M$6:$M$35,"&gt;0")-SUMIFS(⑪ZEN工程入力!$J$6:$J$35,⑪ZEN工程入力!$S$6:$S$35,$J20,⑪ZEN工程入力!$J$6:$J$35,"&gt;0",⑪ZEN工程入力!$I$6:$I$35,"&gt;0",⑪ZEN工程入力!$M$6:$M$35,"&gt;0")+SUMIFS(⑫ミキサー工程入力!$J$6:$J$65,⑫ミキサー工程入力!$S$6:$S$65,$J20,⑫ミキサー工程入力!$J$6:$J$65,"&gt;0",⑫ミキサー工程入力!$M$6:$M$65,"&gt;0")-SUMIFS(⑫ミキサー工程入力!$J$6:$J$65,⑫ミキサー工程入力!$S$6:$S$65,$J20,⑫ミキサー工程入力!$J$6:$J$65,"&gt;0",⑫ミキサー工程入力!$I$6:$I$65,"&gt;0",⑫ミキサー工程入力!$M$6:$M$65,"&gt;0")+SUMIFS(⑬計量工程入力!$J$6:$J$65,⑬計量工程入力!$S$6:$S$65,$J20,⑬計量工程入力!$J$6:$J$65,"&gt;0",⑬計量工程入力!$M$6:$M$65,"&gt;0")-SUMIFS(⑬計量工程入力!$J$6:$J$65,⑬計量工程入力!$S$6:$S$65,$J20,⑬計量工程入力!$J$6:$J$65,"&gt;0",⑬計量工程入力!$I$6:$I$65,"&gt;0",⑬計量工程入力!$M$6:$M$65,"&gt;0")+SUMIFS(⑭手動工程入力!$J$6:$J$47,⑭手動工程入力!$S$6:$S$47,$J20,⑭手動工程入力!$J$6:$J$47,"&gt;0",⑭手動工程入力!$M$6:$M$47,"&gt;0")-SUMIFS(⑭手動工程入力!$J$6:$J$47,⑭手動工程入力!$S$6:$S$47,$J20,⑭手動工程入力!$J$6:$J$47,"&gt;0",⑭手動工程入力!$I$6:$I$47,"&gt;0",⑭手動工程入力!$M$6:$M$47,"&gt;0"))</f>
        <v/>
      </c>
      <c r="P20" s="392" t="n"/>
    </row>
    <row r="21">
      <c r="A21" s="392" t="n">
        <v>17</v>
      </c>
      <c r="B21" s="392" t="n"/>
      <c r="C21" s="392" t="n"/>
      <c r="D21" s="392" t="n"/>
      <c r="E21" s="392" t="n"/>
      <c r="F21" s="394" t="n"/>
      <c r="G21" s="392" t="n"/>
      <c r="H21" s="604">
        <f>IFERROR(IF(AND($K21&gt;0,ISNUMBER(IF(OR($D21="g",$D21="ｇ"),IF($M21&gt;0,$L21/$M21/1000,""),IF($D21="kg",IF($M21&gt;0,$L21/$M21,""),IF($D21="",IF($M21&gt;0,$L21/$M21/1000,IF($O21&gt;0,$N21/$O21,"")),IF($O21&gt;0,$N21/$O21,"")))))),IF(OR($D21="g",$D21="ｇ"),IF($M21&gt;0,$L21/$M21/1000,""),IF($D21="kg",IF($M21&gt;0,$L21/$M21,""),IF($D21="",IF($M21&gt;0,$L21/$M21/1000,IF($O21&gt;0,$N21/$O21,"")),IF($O21&gt;0,$N21/$O21,"")))),IF($F21="",IF(OR($E21="",$E21="⑩盛付梱包工程入力"),"",IF(OR($D21="g",$D21="ｇ"),INDEX(⑰工程労務費一覧!$N$5:$N$11,MATCH($E21,⑰工程労務費一覧!$K$5:$K$11,0))/1000,IF($D21="kg",INDEX(⑰工程労務費一覧!$N$5:$N$11,MATCH($E21,⑰工程労務費一覧!$K$5:$K$11,0)),IF(OR($D21="個",$D21="切",$D21="本",$D21="枚",$D21="尾"),IF($E21="⑬計量工程入力","",INDEX(⑰工程労務費一覧!$P$5:$P$11,MATCH($E21,⑰工程労務費一覧!$K$5:$K$11,0))),IF(AND($D21="",OR($E21="②釜工程入力",$E21="③スチコン工程入力")),INDEX(⑰工程労務費一覧!$N$5:$N$11,MATCH($E21,⑰工程労務費一覧!$K$5:$K$11,0))/1000,""))))),IF(OR($D21="g",$D21="ｇ"),INDEX(⑰工程労務費一覧!$H$5:$H$753,MATCH($F21,⑰工程労務費一覧!$D$5:$D$753,0))/1000,IF($D21="kg",INDEX(⑰工程労務費一覧!$H$5:$H$753,MATCH($F21,⑰工程労務費一覧!$D$5:$D$753,0)),INDEX(⑰工程労務費一覧!$I$5:$I$753,MATCH($F21,⑰工程労務費一覧!$D$5:$D$753,0)))))),"")</f>
        <v/>
      </c>
      <c r="I21" s="392">
        <f>IF($K21&gt;0,IF(ISNUMBER(IF(OR($D21="g",$D21="ｇ"),IF($M21&gt;0,$L21/$M21/1000,""),IF($D21="kg",IF($M21&gt;0,$L21/$M21,""),IF($D21="",IF($M21&gt;0,$L21/$M21/1000,IF($O21&gt;0,$N21/$O21,"")),IF($O21&gt;0,$N21/$O21,""))))),IF($D21="",IF($M21&gt;0,"◎ JAN紐づけ(g扱い)","◎ JAN紐づけ(個扱い)"),"◎ JAN紐づけ"),"△ JAN紐づけ済・実績不足→仮計算"),IF($F21="",IF(ISNUMBER($H21),IF($D21="","⑤ 工程平均で仮計算(g扱い)","⑤ 工程平均で仮計算"),IF($E21="⑩盛付梱包工程入力","⑥ 盛り込み(⑳F列で計上)",IF(AND($E21="⑬計量工程入力",OR($D21="個",$D21="切",$D21="本",$D21="枚",$D21="尾")),"① 未紐づけ(カット個単位は仮単価なし)","① 未紐づけ"))),IF(NOT(ISNUMBER($H21)),"② 工程側に単価なし",IF($D21="","③ 単位未設定(個で計算)","④ OK"))))</f>
        <v/>
      </c>
      <c r="J21" s="399">
        <f>IFERROR(LOOKUP(2,1/((中間品リスト!$F$2:$F$1299=$B21)*(中間品リスト!$E$2:$E$1299&lt;&gt;"-")*(中間品リスト!$E$2:$E$1299&lt;&gt;"")),中間品リスト!$E$2:$E$1299),"")</f>
        <v/>
      </c>
      <c r="K21" s="400">
        <f>IF($J21="",0,COUNTIF(②釜工程入力!$S$5:$S$117,$J21)+COUNTIF(③スチコン工程入力!$S$5:$S$152,$J21)+COUNTIF(⑪ZEN工程入力!$S$6:$S$35,$J21)+COUNTIF(⑫ミキサー工程入力!$S$6:$S$65,$J21)+COUNTIF(⑬計量工程入力!$S$6:$S$65,$J21)+COUNTIF(⑭手動工程入力!$S$6:$S$47,$J21))</f>
        <v/>
      </c>
      <c r="L21" s="393">
        <f>IF($J21="",0,SUMIFS(②釜工程入力!$M$5:$M$117,②釜工程入力!$S$5:$S$117,$J21,②釜工程入力!$I$5:$I$117,"&gt;0")+SUMIFS(③スチコン工程入力!$M$5:$M$152,③スチコン工程入力!$S$5:$S$152,$J21,③スチコン工程入力!$I$5:$I$152,"&gt;0")+SUMIFS(⑪ZEN工程入力!$M$6:$M$35,⑪ZEN工程入力!$S$6:$S$35,$J21,⑪ZEN工程入力!$I$6:$I$35,"&gt;0")+SUMIFS(⑫ミキサー工程入力!$M$6:$M$65,⑫ミキサー工程入力!$S$6:$S$65,$J21,⑫ミキサー工程入力!$I$6:$I$65,"&gt;0")+SUMIFS(⑬計量工程入力!$M$6:$M$65,⑬計量工程入力!$S$6:$S$65,$J21,⑬計量工程入力!$I$6:$I$65,"&gt;0")+SUMIFS(⑭手動工程入力!$M$6:$M$47,⑭手動工程入力!$S$6:$S$47,$J21,⑭手動工程入力!$I$6:$I$47,"&gt;0"))</f>
        <v/>
      </c>
      <c r="M21" s="393">
        <f>IF($J21="",0,SUMIFS(②釜工程入力!$I$5:$I$117,②釜工程入力!$S$5:$S$117,$J21,②釜工程入力!$I$5:$I$117,"&gt;0",②釜工程入力!$M$5:$M$117,"&gt;0")+SUMIFS(③スチコン工程入力!$I$5:$I$152,③スチコン工程入力!$S$5:$S$152,$J21,③スチコン工程入力!$I$5:$I$152,"&gt;0",③スチコン工程入力!$M$5:$M$152,"&gt;0")+SUMIFS(⑪ZEN工程入力!$I$6:$I$35,⑪ZEN工程入力!$S$6:$S$35,$J21,⑪ZEN工程入力!$I$6:$I$35,"&gt;0",⑪ZEN工程入力!$M$6:$M$35,"&gt;0")+SUMIFS(⑫ミキサー工程入力!$I$6:$I$65,⑫ミキサー工程入力!$S$6:$S$65,$J21,⑫ミキサー工程入力!$I$6:$I$65,"&gt;0",⑫ミキサー工程入力!$M$6:$M$65,"&gt;0")+SUMIFS(⑬計量工程入力!$I$6:$I$65,⑬計量工程入力!$S$6:$S$65,$J21,⑬計量工程入力!$I$6:$I$65,"&gt;0",⑬計量工程入力!$M$6:$M$65,"&gt;0")+SUMIFS(⑭手動工程入力!$I$6:$I$47,⑭手動工程入力!$S$6:$S$47,$J21,⑭手動工程入力!$I$6:$I$47,"&gt;0",⑭手動工程入力!$M$6:$M$47,"&gt;0"))</f>
        <v/>
      </c>
      <c r="N21" s="393">
        <f>IF($J21="",0,SUMIFS(②釜工程入力!$M$5:$M$117,②釜工程入力!$S$5:$S$117,$J21,②釜工程入力!$J$5:$J$117,"&gt;0")-SUMIFS(②釜工程入力!$M$5:$M$117,②釜工程入力!$S$5:$S$117,$J21,②釜工程入力!$J$5:$J$117,"&gt;0",②釜工程入力!$I$5:$I$117,"&gt;0")+SUMIFS(③スチコン工程入力!$M$5:$M$152,③スチコン工程入力!$S$5:$S$152,$J21,③スチコン工程入力!$J$5:$J$152,"&gt;0")-SUMIFS(③スチコン工程入力!$M$5:$M$152,③スチコン工程入力!$S$5:$S$152,$J21,③スチコン工程入力!$J$5:$J$152,"&gt;0",③スチコン工程入力!$I$5:$I$152,"&gt;0")+SUMIFS(⑪ZEN工程入力!$M$6:$M$35,⑪ZEN工程入力!$S$6:$S$35,$J21,⑪ZEN工程入力!$J$6:$J$35,"&gt;0")-SUMIFS(⑪ZEN工程入力!$M$6:$M$35,⑪ZEN工程入力!$S$6:$S$35,$J21,⑪ZEN工程入力!$J$6:$J$35,"&gt;0",⑪ZEN工程入力!$I$6:$I$35,"&gt;0")+SUMIFS(⑫ミキサー工程入力!$M$6:$M$65,⑫ミキサー工程入力!$S$6:$S$65,$J21,⑫ミキサー工程入力!$J$6:$J$65,"&gt;0")-SUMIFS(⑫ミキサー工程入力!$M$6:$M$65,⑫ミキサー工程入力!$S$6:$S$65,$J21,⑫ミキサー工程入力!$J$6:$J$65,"&gt;0",⑫ミキサー工程入力!$I$6:$I$65,"&gt;0")+SUMIFS(⑬計量工程入力!$M$6:$M$65,⑬計量工程入力!$S$6:$S$65,$J21,⑬計量工程入力!$J$6:$J$65,"&gt;0")-SUMIFS(⑬計量工程入力!$M$6:$M$65,⑬計量工程入力!$S$6:$S$65,$J21,⑬計量工程入力!$J$6:$J$65,"&gt;0",⑬計量工程入力!$I$6:$I$65,"&gt;0")+SUMIFS(⑭手動工程入力!$M$6:$M$47,⑭手動工程入力!$S$6:$S$47,$J21,⑭手動工程入力!$J$6:$J$47,"&gt;0")-SUMIFS(⑭手動工程入力!$M$6:$M$47,⑭手動工程入力!$S$6:$S$47,$J21,⑭手動工程入力!$J$6:$J$47,"&gt;0",⑭手動工程入力!$I$6:$I$47,"&gt;0"))</f>
        <v/>
      </c>
      <c r="O21" s="393">
        <f>IF($J21="",0,SUMIFS(②釜工程入力!$J$5:$J$117,②釜工程入力!$S$5:$S$117,$J21,②釜工程入力!$J$5:$J$117,"&gt;0",②釜工程入力!$M$5:$M$117,"&gt;0")-SUMIFS(②釜工程入力!$J$5:$J$117,②釜工程入力!$S$5:$S$117,$J21,②釜工程入力!$J$5:$J$117,"&gt;0",②釜工程入力!$I$5:$I$117,"&gt;0",②釜工程入力!$M$5:$M$117,"&gt;0")+SUMIFS(③スチコン工程入力!$J$5:$J$152,③スチコン工程入力!$S$5:$S$152,$J21,③スチコン工程入力!$J$5:$J$152,"&gt;0",③スチコン工程入力!$M$5:$M$152,"&gt;0")-SUMIFS(③スチコン工程入力!$J$5:$J$152,③スチコン工程入力!$S$5:$S$152,$J21,③スチコン工程入力!$J$5:$J$152,"&gt;0",③スチコン工程入力!$I$5:$I$152,"&gt;0",③スチコン工程入力!$M$5:$M$152,"&gt;0")+SUMIFS(⑪ZEN工程入力!$J$6:$J$35,⑪ZEN工程入力!$S$6:$S$35,$J21,⑪ZEN工程入力!$J$6:$J$35,"&gt;0",⑪ZEN工程入力!$M$6:$M$35,"&gt;0")-SUMIFS(⑪ZEN工程入力!$J$6:$J$35,⑪ZEN工程入力!$S$6:$S$35,$J21,⑪ZEN工程入力!$J$6:$J$35,"&gt;0",⑪ZEN工程入力!$I$6:$I$35,"&gt;0",⑪ZEN工程入力!$M$6:$M$35,"&gt;0")+SUMIFS(⑫ミキサー工程入力!$J$6:$J$65,⑫ミキサー工程入力!$S$6:$S$65,$J21,⑫ミキサー工程入力!$J$6:$J$65,"&gt;0",⑫ミキサー工程入力!$M$6:$M$65,"&gt;0")-SUMIFS(⑫ミキサー工程入力!$J$6:$J$65,⑫ミキサー工程入力!$S$6:$S$65,$J21,⑫ミキサー工程入力!$J$6:$J$65,"&gt;0",⑫ミキサー工程入力!$I$6:$I$65,"&gt;0",⑫ミキサー工程入力!$M$6:$M$65,"&gt;0")+SUMIFS(⑬計量工程入力!$J$6:$J$65,⑬計量工程入力!$S$6:$S$65,$J21,⑬計量工程入力!$J$6:$J$65,"&gt;0",⑬計量工程入力!$M$6:$M$65,"&gt;0")-SUMIFS(⑬計量工程入力!$J$6:$J$65,⑬計量工程入力!$S$6:$S$65,$J21,⑬計量工程入力!$J$6:$J$65,"&gt;0",⑬計量工程入力!$I$6:$I$65,"&gt;0",⑬計量工程入力!$M$6:$M$65,"&gt;0")+SUMIFS(⑭手動工程入力!$J$6:$J$47,⑭手動工程入力!$S$6:$S$47,$J21,⑭手動工程入力!$J$6:$J$47,"&gt;0",⑭手動工程入力!$M$6:$M$47,"&gt;0")-SUMIFS(⑭手動工程入力!$J$6:$J$47,⑭手動工程入力!$S$6:$S$47,$J21,⑭手動工程入力!$J$6:$J$47,"&gt;0",⑭手動工程入力!$I$6:$I$47,"&gt;0",⑭手動工程入力!$M$6:$M$47,"&gt;0"))</f>
        <v/>
      </c>
      <c r="P21" s="392" t="n"/>
    </row>
    <row r="22">
      <c r="A22" s="392" t="n">
        <v>18</v>
      </c>
      <c r="B22" s="392" t="n"/>
      <c r="C22" s="392" t="n"/>
      <c r="D22" s="392" t="n"/>
      <c r="E22" s="392" t="n"/>
      <c r="F22" s="394" t="n"/>
      <c r="G22" s="392" t="n"/>
      <c r="H22" s="604">
        <f>IFERROR(IF(AND($K22&gt;0,ISNUMBER(IF(OR($D22="g",$D22="ｇ"),IF($M22&gt;0,$L22/$M22/1000,""),IF($D22="kg",IF($M22&gt;0,$L22/$M22,""),IF($D22="",IF($M22&gt;0,$L22/$M22/1000,IF($O22&gt;0,$N22/$O22,"")),IF($O22&gt;0,$N22/$O22,"")))))),IF(OR($D22="g",$D22="ｇ"),IF($M22&gt;0,$L22/$M22/1000,""),IF($D22="kg",IF($M22&gt;0,$L22/$M22,""),IF($D22="",IF($M22&gt;0,$L22/$M22/1000,IF($O22&gt;0,$N22/$O22,"")),IF($O22&gt;0,$N22/$O22,"")))),IF($F22="",IF(OR($E22="",$E22="⑩盛付梱包工程入力"),"",IF(OR($D22="g",$D22="ｇ"),INDEX(⑰工程労務費一覧!$N$5:$N$11,MATCH($E22,⑰工程労務費一覧!$K$5:$K$11,0))/1000,IF($D22="kg",INDEX(⑰工程労務費一覧!$N$5:$N$11,MATCH($E22,⑰工程労務費一覧!$K$5:$K$11,0)),IF(OR($D22="個",$D22="切",$D22="本",$D22="枚",$D22="尾"),IF($E22="⑬計量工程入力","",INDEX(⑰工程労務費一覧!$P$5:$P$11,MATCH($E22,⑰工程労務費一覧!$K$5:$K$11,0))),IF(AND($D22="",OR($E22="②釜工程入力",$E22="③スチコン工程入力")),INDEX(⑰工程労務費一覧!$N$5:$N$11,MATCH($E22,⑰工程労務費一覧!$K$5:$K$11,0))/1000,""))))),IF(OR($D22="g",$D22="ｇ"),INDEX(⑰工程労務費一覧!$H$5:$H$753,MATCH($F22,⑰工程労務費一覧!$D$5:$D$753,0))/1000,IF($D22="kg",INDEX(⑰工程労務費一覧!$H$5:$H$753,MATCH($F22,⑰工程労務費一覧!$D$5:$D$753,0)),INDEX(⑰工程労務費一覧!$I$5:$I$753,MATCH($F22,⑰工程労務費一覧!$D$5:$D$753,0)))))),"")</f>
        <v/>
      </c>
      <c r="I22" s="392">
        <f>IF($K22&gt;0,IF(ISNUMBER(IF(OR($D22="g",$D22="ｇ"),IF($M22&gt;0,$L22/$M22/1000,""),IF($D22="kg",IF($M22&gt;0,$L22/$M22,""),IF($D22="",IF($M22&gt;0,$L22/$M22/1000,IF($O22&gt;0,$N22/$O22,"")),IF($O22&gt;0,$N22/$O22,""))))),IF($D22="",IF($M22&gt;0,"◎ JAN紐づけ(g扱い)","◎ JAN紐づけ(個扱い)"),"◎ JAN紐づけ"),"△ JAN紐づけ済・実績不足→仮計算"),IF($F22="",IF(ISNUMBER($H22),IF($D22="","⑤ 工程平均で仮計算(g扱い)","⑤ 工程平均で仮計算"),IF($E22="⑩盛付梱包工程入力","⑥ 盛り込み(⑳F列で計上)",IF(AND($E22="⑬計量工程入力",OR($D22="個",$D22="切",$D22="本",$D22="枚",$D22="尾")),"① 未紐づけ(カット個単位は仮単価なし)","① 未紐づけ"))),IF(NOT(ISNUMBER($H22)),"② 工程側に単価なし",IF($D22="","③ 単位未設定(個で計算)","④ OK"))))</f>
        <v/>
      </c>
      <c r="J22" s="399">
        <f>IFERROR(LOOKUP(2,1/((中間品リスト!$F$2:$F$1299=$B22)*(中間品リスト!$E$2:$E$1299&lt;&gt;"-")*(中間品リスト!$E$2:$E$1299&lt;&gt;"")),中間品リスト!$E$2:$E$1299),"")</f>
        <v/>
      </c>
      <c r="K22" s="400">
        <f>IF($J22="",0,COUNTIF(②釜工程入力!$S$5:$S$117,$J22)+COUNTIF(③スチコン工程入力!$S$5:$S$152,$J22)+COUNTIF(⑪ZEN工程入力!$S$6:$S$35,$J22)+COUNTIF(⑫ミキサー工程入力!$S$6:$S$65,$J22)+COUNTIF(⑬計量工程入力!$S$6:$S$65,$J22)+COUNTIF(⑭手動工程入力!$S$6:$S$47,$J22))</f>
        <v/>
      </c>
      <c r="L22" s="393">
        <f>IF($J22="",0,SUMIFS(②釜工程入力!$M$5:$M$117,②釜工程入力!$S$5:$S$117,$J22,②釜工程入力!$I$5:$I$117,"&gt;0")+SUMIFS(③スチコン工程入力!$M$5:$M$152,③スチコン工程入力!$S$5:$S$152,$J22,③スチコン工程入力!$I$5:$I$152,"&gt;0")+SUMIFS(⑪ZEN工程入力!$M$6:$M$35,⑪ZEN工程入力!$S$6:$S$35,$J22,⑪ZEN工程入力!$I$6:$I$35,"&gt;0")+SUMIFS(⑫ミキサー工程入力!$M$6:$M$65,⑫ミキサー工程入力!$S$6:$S$65,$J22,⑫ミキサー工程入力!$I$6:$I$65,"&gt;0")+SUMIFS(⑬計量工程入力!$M$6:$M$65,⑬計量工程入力!$S$6:$S$65,$J22,⑬計量工程入力!$I$6:$I$65,"&gt;0")+SUMIFS(⑭手動工程入力!$M$6:$M$47,⑭手動工程入力!$S$6:$S$47,$J22,⑭手動工程入力!$I$6:$I$47,"&gt;0"))</f>
        <v/>
      </c>
      <c r="M22" s="393">
        <f>IF($J22="",0,SUMIFS(②釜工程入力!$I$5:$I$117,②釜工程入力!$S$5:$S$117,$J22,②釜工程入力!$I$5:$I$117,"&gt;0",②釜工程入力!$M$5:$M$117,"&gt;0")+SUMIFS(③スチコン工程入力!$I$5:$I$152,③スチコン工程入力!$S$5:$S$152,$J22,③スチコン工程入力!$I$5:$I$152,"&gt;0",③スチコン工程入力!$M$5:$M$152,"&gt;0")+SUMIFS(⑪ZEN工程入力!$I$6:$I$35,⑪ZEN工程入力!$S$6:$S$35,$J22,⑪ZEN工程入力!$I$6:$I$35,"&gt;0",⑪ZEN工程入力!$M$6:$M$35,"&gt;0")+SUMIFS(⑫ミキサー工程入力!$I$6:$I$65,⑫ミキサー工程入力!$S$6:$S$65,$J22,⑫ミキサー工程入力!$I$6:$I$65,"&gt;0",⑫ミキサー工程入力!$M$6:$M$65,"&gt;0")+SUMIFS(⑬計量工程入力!$I$6:$I$65,⑬計量工程入力!$S$6:$S$65,$J22,⑬計量工程入力!$I$6:$I$65,"&gt;0",⑬計量工程入力!$M$6:$M$65,"&gt;0")+SUMIFS(⑭手動工程入力!$I$6:$I$47,⑭手動工程入力!$S$6:$S$47,$J22,⑭手動工程入力!$I$6:$I$47,"&gt;0",⑭手動工程入力!$M$6:$M$47,"&gt;0"))</f>
        <v/>
      </c>
      <c r="N22" s="393">
        <f>IF($J22="",0,SUMIFS(②釜工程入力!$M$5:$M$117,②釜工程入力!$S$5:$S$117,$J22,②釜工程入力!$J$5:$J$117,"&gt;0")-SUMIFS(②釜工程入力!$M$5:$M$117,②釜工程入力!$S$5:$S$117,$J22,②釜工程入力!$J$5:$J$117,"&gt;0",②釜工程入力!$I$5:$I$117,"&gt;0")+SUMIFS(③スチコン工程入力!$M$5:$M$152,③スチコン工程入力!$S$5:$S$152,$J22,③スチコン工程入力!$J$5:$J$152,"&gt;0")-SUMIFS(③スチコン工程入力!$M$5:$M$152,③スチコン工程入力!$S$5:$S$152,$J22,③スチコン工程入力!$J$5:$J$152,"&gt;0",③スチコン工程入力!$I$5:$I$152,"&gt;0")+SUMIFS(⑪ZEN工程入力!$M$6:$M$35,⑪ZEN工程入力!$S$6:$S$35,$J22,⑪ZEN工程入力!$J$6:$J$35,"&gt;0")-SUMIFS(⑪ZEN工程入力!$M$6:$M$35,⑪ZEN工程入力!$S$6:$S$35,$J22,⑪ZEN工程入力!$J$6:$J$35,"&gt;0",⑪ZEN工程入力!$I$6:$I$35,"&gt;0")+SUMIFS(⑫ミキサー工程入力!$M$6:$M$65,⑫ミキサー工程入力!$S$6:$S$65,$J22,⑫ミキサー工程入力!$J$6:$J$65,"&gt;0")-SUMIFS(⑫ミキサー工程入力!$M$6:$M$65,⑫ミキサー工程入力!$S$6:$S$65,$J22,⑫ミキサー工程入力!$J$6:$J$65,"&gt;0",⑫ミキサー工程入力!$I$6:$I$65,"&gt;0")+SUMIFS(⑬計量工程入力!$M$6:$M$65,⑬計量工程入力!$S$6:$S$65,$J22,⑬計量工程入力!$J$6:$J$65,"&gt;0")-SUMIFS(⑬計量工程入力!$M$6:$M$65,⑬計量工程入力!$S$6:$S$65,$J22,⑬計量工程入力!$J$6:$J$65,"&gt;0",⑬計量工程入力!$I$6:$I$65,"&gt;0")+SUMIFS(⑭手動工程入力!$M$6:$M$47,⑭手動工程入力!$S$6:$S$47,$J22,⑭手動工程入力!$J$6:$J$47,"&gt;0")-SUMIFS(⑭手動工程入力!$M$6:$M$47,⑭手動工程入力!$S$6:$S$47,$J22,⑭手動工程入力!$J$6:$J$47,"&gt;0",⑭手動工程入力!$I$6:$I$47,"&gt;0"))</f>
        <v/>
      </c>
      <c r="O22" s="393">
        <f>IF($J22="",0,SUMIFS(②釜工程入力!$J$5:$J$117,②釜工程入力!$S$5:$S$117,$J22,②釜工程入力!$J$5:$J$117,"&gt;0",②釜工程入力!$M$5:$M$117,"&gt;0")-SUMIFS(②釜工程入力!$J$5:$J$117,②釜工程入力!$S$5:$S$117,$J22,②釜工程入力!$J$5:$J$117,"&gt;0",②釜工程入力!$I$5:$I$117,"&gt;0",②釜工程入力!$M$5:$M$117,"&gt;0")+SUMIFS(③スチコン工程入力!$J$5:$J$152,③スチコン工程入力!$S$5:$S$152,$J22,③スチコン工程入力!$J$5:$J$152,"&gt;0",③スチコン工程入力!$M$5:$M$152,"&gt;0")-SUMIFS(③スチコン工程入力!$J$5:$J$152,③スチコン工程入力!$S$5:$S$152,$J22,③スチコン工程入力!$J$5:$J$152,"&gt;0",③スチコン工程入力!$I$5:$I$152,"&gt;0",③スチコン工程入力!$M$5:$M$152,"&gt;0")+SUMIFS(⑪ZEN工程入力!$J$6:$J$35,⑪ZEN工程入力!$S$6:$S$35,$J22,⑪ZEN工程入力!$J$6:$J$35,"&gt;0",⑪ZEN工程入力!$M$6:$M$35,"&gt;0")-SUMIFS(⑪ZEN工程入力!$J$6:$J$35,⑪ZEN工程入力!$S$6:$S$35,$J22,⑪ZEN工程入力!$J$6:$J$35,"&gt;0",⑪ZEN工程入力!$I$6:$I$35,"&gt;0",⑪ZEN工程入力!$M$6:$M$35,"&gt;0")+SUMIFS(⑫ミキサー工程入力!$J$6:$J$65,⑫ミキサー工程入力!$S$6:$S$65,$J22,⑫ミキサー工程入力!$J$6:$J$65,"&gt;0",⑫ミキサー工程入力!$M$6:$M$65,"&gt;0")-SUMIFS(⑫ミキサー工程入力!$J$6:$J$65,⑫ミキサー工程入力!$S$6:$S$65,$J22,⑫ミキサー工程入力!$J$6:$J$65,"&gt;0",⑫ミキサー工程入力!$I$6:$I$65,"&gt;0",⑫ミキサー工程入力!$M$6:$M$65,"&gt;0")+SUMIFS(⑬計量工程入力!$J$6:$J$65,⑬計量工程入力!$S$6:$S$65,$J22,⑬計量工程入力!$J$6:$J$65,"&gt;0",⑬計量工程入力!$M$6:$M$65,"&gt;0")-SUMIFS(⑬計量工程入力!$J$6:$J$65,⑬計量工程入力!$S$6:$S$65,$J22,⑬計量工程入力!$J$6:$J$65,"&gt;0",⑬計量工程入力!$I$6:$I$65,"&gt;0",⑬計量工程入力!$M$6:$M$65,"&gt;0")+SUMIFS(⑭手動工程入力!$J$6:$J$47,⑭手動工程入力!$S$6:$S$47,$J22,⑭手動工程入力!$J$6:$J$47,"&gt;0",⑭手動工程入力!$M$6:$M$47,"&gt;0")-SUMIFS(⑭手動工程入力!$J$6:$J$47,⑭手動工程入力!$S$6:$S$47,$J22,⑭手動工程入力!$J$6:$J$47,"&gt;0",⑭手動工程入力!$I$6:$I$47,"&gt;0",⑭手動工程入力!$M$6:$M$47,"&gt;0"))</f>
        <v/>
      </c>
      <c r="P22" s="392" t="n"/>
    </row>
    <row r="23">
      <c r="A23" s="392" t="n">
        <v>19</v>
      </c>
      <c r="B23" s="392" t="n"/>
      <c r="C23" s="392" t="n"/>
      <c r="D23" s="392" t="n"/>
      <c r="E23" s="392" t="n"/>
      <c r="F23" s="394" t="n"/>
      <c r="G23" s="392" t="n"/>
      <c r="H23" s="604">
        <f>IFERROR(IF(AND($K23&gt;0,ISNUMBER(IF(OR($D23="g",$D23="ｇ"),IF($M23&gt;0,$L23/$M23/1000,""),IF($D23="kg",IF($M23&gt;0,$L23/$M23,""),IF($D23="",IF($M23&gt;0,$L23/$M23/1000,IF($O23&gt;0,$N23/$O23,"")),IF($O23&gt;0,$N23/$O23,"")))))),IF(OR($D23="g",$D23="ｇ"),IF($M23&gt;0,$L23/$M23/1000,""),IF($D23="kg",IF($M23&gt;0,$L23/$M23,""),IF($D23="",IF($M23&gt;0,$L23/$M23/1000,IF($O23&gt;0,$N23/$O23,"")),IF($O23&gt;0,$N23/$O23,"")))),IF($F23="",IF(OR($E23="",$E23="⑩盛付梱包工程入力"),"",IF(OR($D23="g",$D23="ｇ"),INDEX(⑰工程労務費一覧!$N$5:$N$11,MATCH($E23,⑰工程労務費一覧!$K$5:$K$11,0))/1000,IF($D23="kg",INDEX(⑰工程労務費一覧!$N$5:$N$11,MATCH($E23,⑰工程労務費一覧!$K$5:$K$11,0)),IF(OR($D23="個",$D23="切",$D23="本",$D23="枚",$D23="尾"),IF($E23="⑬計量工程入力","",INDEX(⑰工程労務費一覧!$P$5:$P$11,MATCH($E23,⑰工程労務費一覧!$K$5:$K$11,0))),IF(AND($D23="",OR($E23="②釜工程入力",$E23="③スチコン工程入力")),INDEX(⑰工程労務費一覧!$N$5:$N$11,MATCH($E23,⑰工程労務費一覧!$K$5:$K$11,0))/1000,""))))),IF(OR($D23="g",$D23="ｇ"),INDEX(⑰工程労務費一覧!$H$5:$H$753,MATCH($F23,⑰工程労務費一覧!$D$5:$D$753,0))/1000,IF($D23="kg",INDEX(⑰工程労務費一覧!$H$5:$H$753,MATCH($F23,⑰工程労務費一覧!$D$5:$D$753,0)),INDEX(⑰工程労務費一覧!$I$5:$I$753,MATCH($F23,⑰工程労務費一覧!$D$5:$D$753,0)))))),"")</f>
        <v/>
      </c>
      <c r="I23" s="392">
        <f>IF($K23&gt;0,IF(ISNUMBER(IF(OR($D23="g",$D23="ｇ"),IF($M23&gt;0,$L23/$M23/1000,""),IF($D23="kg",IF($M23&gt;0,$L23/$M23,""),IF($D23="",IF($M23&gt;0,$L23/$M23/1000,IF($O23&gt;0,$N23/$O23,"")),IF($O23&gt;0,$N23/$O23,""))))),IF($D23="",IF($M23&gt;0,"◎ JAN紐づけ(g扱い)","◎ JAN紐づけ(個扱い)"),"◎ JAN紐づけ"),"△ JAN紐づけ済・実績不足→仮計算"),IF($F23="",IF(ISNUMBER($H23),IF($D23="","⑤ 工程平均で仮計算(g扱い)","⑤ 工程平均で仮計算"),IF($E23="⑩盛付梱包工程入力","⑥ 盛り込み(⑳F列で計上)",IF(AND($E23="⑬計量工程入力",OR($D23="個",$D23="切",$D23="本",$D23="枚",$D23="尾")),"① 未紐づけ(カット個単位は仮単価なし)","① 未紐づけ"))),IF(NOT(ISNUMBER($H23)),"② 工程側に単価なし",IF($D23="","③ 単位未設定(個で計算)","④ OK"))))</f>
        <v/>
      </c>
      <c r="J23" s="399">
        <f>IFERROR(LOOKUP(2,1/((中間品リスト!$F$2:$F$1299=$B23)*(中間品リスト!$E$2:$E$1299&lt;&gt;"-")*(中間品リスト!$E$2:$E$1299&lt;&gt;"")),中間品リスト!$E$2:$E$1299),"")</f>
        <v/>
      </c>
      <c r="K23" s="400">
        <f>IF($J23="",0,COUNTIF(②釜工程入力!$S$5:$S$117,$J23)+COUNTIF(③スチコン工程入力!$S$5:$S$152,$J23)+COUNTIF(⑪ZEN工程入力!$S$6:$S$35,$J23)+COUNTIF(⑫ミキサー工程入力!$S$6:$S$65,$J23)+COUNTIF(⑬計量工程入力!$S$6:$S$65,$J23)+COUNTIF(⑭手動工程入力!$S$6:$S$47,$J23))</f>
        <v/>
      </c>
      <c r="L23" s="393">
        <f>IF($J23="",0,SUMIFS(②釜工程入力!$M$5:$M$117,②釜工程入力!$S$5:$S$117,$J23,②釜工程入力!$I$5:$I$117,"&gt;0")+SUMIFS(③スチコン工程入力!$M$5:$M$152,③スチコン工程入力!$S$5:$S$152,$J23,③スチコン工程入力!$I$5:$I$152,"&gt;0")+SUMIFS(⑪ZEN工程入力!$M$6:$M$35,⑪ZEN工程入力!$S$6:$S$35,$J23,⑪ZEN工程入力!$I$6:$I$35,"&gt;0")+SUMIFS(⑫ミキサー工程入力!$M$6:$M$65,⑫ミキサー工程入力!$S$6:$S$65,$J23,⑫ミキサー工程入力!$I$6:$I$65,"&gt;0")+SUMIFS(⑬計量工程入力!$M$6:$M$65,⑬計量工程入力!$S$6:$S$65,$J23,⑬計量工程入力!$I$6:$I$65,"&gt;0")+SUMIFS(⑭手動工程入力!$M$6:$M$47,⑭手動工程入力!$S$6:$S$47,$J23,⑭手動工程入力!$I$6:$I$47,"&gt;0"))</f>
        <v/>
      </c>
      <c r="M23" s="393">
        <f>IF($J23="",0,SUMIFS(②釜工程入力!$I$5:$I$117,②釜工程入力!$S$5:$S$117,$J23,②釜工程入力!$I$5:$I$117,"&gt;0",②釜工程入力!$M$5:$M$117,"&gt;0")+SUMIFS(③スチコン工程入力!$I$5:$I$152,③スチコン工程入力!$S$5:$S$152,$J23,③スチコン工程入力!$I$5:$I$152,"&gt;0",③スチコン工程入力!$M$5:$M$152,"&gt;0")+SUMIFS(⑪ZEN工程入力!$I$6:$I$35,⑪ZEN工程入力!$S$6:$S$35,$J23,⑪ZEN工程入力!$I$6:$I$35,"&gt;0",⑪ZEN工程入力!$M$6:$M$35,"&gt;0")+SUMIFS(⑫ミキサー工程入力!$I$6:$I$65,⑫ミキサー工程入力!$S$6:$S$65,$J23,⑫ミキサー工程入力!$I$6:$I$65,"&gt;0",⑫ミキサー工程入力!$M$6:$M$65,"&gt;0")+SUMIFS(⑬計量工程入力!$I$6:$I$65,⑬計量工程入力!$S$6:$S$65,$J23,⑬計量工程入力!$I$6:$I$65,"&gt;0",⑬計量工程入力!$M$6:$M$65,"&gt;0")+SUMIFS(⑭手動工程入力!$I$6:$I$47,⑭手動工程入力!$S$6:$S$47,$J23,⑭手動工程入力!$I$6:$I$47,"&gt;0",⑭手動工程入力!$M$6:$M$47,"&gt;0"))</f>
        <v/>
      </c>
      <c r="N23" s="393">
        <f>IF($J23="",0,SUMIFS(②釜工程入力!$M$5:$M$117,②釜工程入力!$S$5:$S$117,$J23,②釜工程入力!$J$5:$J$117,"&gt;0")-SUMIFS(②釜工程入力!$M$5:$M$117,②釜工程入力!$S$5:$S$117,$J23,②釜工程入力!$J$5:$J$117,"&gt;0",②釜工程入力!$I$5:$I$117,"&gt;0")+SUMIFS(③スチコン工程入力!$M$5:$M$152,③スチコン工程入力!$S$5:$S$152,$J23,③スチコン工程入力!$J$5:$J$152,"&gt;0")-SUMIFS(③スチコン工程入力!$M$5:$M$152,③スチコン工程入力!$S$5:$S$152,$J23,③スチコン工程入力!$J$5:$J$152,"&gt;0",③スチコン工程入力!$I$5:$I$152,"&gt;0")+SUMIFS(⑪ZEN工程入力!$M$6:$M$35,⑪ZEN工程入力!$S$6:$S$35,$J23,⑪ZEN工程入力!$J$6:$J$35,"&gt;0")-SUMIFS(⑪ZEN工程入力!$M$6:$M$35,⑪ZEN工程入力!$S$6:$S$35,$J23,⑪ZEN工程入力!$J$6:$J$35,"&gt;0",⑪ZEN工程入力!$I$6:$I$35,"&gt;0")+SUMIFS(⑫ミキサー工程入力!$M$6:$M$65,⑫ミキサー工程入力!$S$6:$S$65,$J23,⑫ミキサー工程入力!$J$6:$J$65,"&gt;0")-SUMIFS(⑫ミキサー工程入力!$M$6:$M$65,⑫ミキサー工程入力!$S$6:$S$65,$J23,⑫ミキサー工程入力!$J$6:$J$65,"&gt;0",⑫ミキサー工程入力!$I$6:$I$65,"&gt;0")+SUMIFS(⑬計量工程入力!$M$6:$M$65,⑬計量工程入力!$S$6:$S$65,$J23,⑬計量工程入力!$J$6:$J$65,"&gt;0")-SUMIFS(⑬計量工程入力!$M$6:$M$65,⑬計量工程入力!$S$6:$S$65,$J23,⑬計量工程入力!$J$6:$J$65,"&gt;0",⑬計量工程入力!$I$6:$I$65,"&gt;0")+SUMIFS(⑭手動工程入力!$M$6:$M$47,⑭手動工程入力!$S$6:$S$47,$J23,⑭手動工程入力!$J$6:$J$47,"&gt;0")-SUMIFS(⑭手動工程入力!$M$6:$M$47,⑭手動工程入力!$S$6:$S$47,$J23,⑭手動工程入力!$J$6:$J$47,"&gt;0",⑭手動工程入力!$I$6:$I$47,"&gt;0"))</f>
        <v/>
      </c>
      <c r="O23" s="393">
        <f>IF($J23="",0,SUMIFS(②釜工程入力!$J$5:$J$117,②釜工程入力!$S$5:$S$117,$J23,②釜工程入力!$J$5:$J$117,"&gt;0",②釜工程入力!$M$5:$M$117,"&gt;0")-SUMIFS(②釜工程入力!$J$5:$J$117,②釜工程入力!$S$5:$S$117,$J23,②釜工程入力!$J$5:$J$117,"&gt;0",②釜工程入力!$I$5:$I$117,"&gt;0",②釜工程入力!$M$5:$M$117,"&gt;0")+SUMIFS(③スチコン工程入力!$J$5:$J$152,③スチコン工程入力!$S$5:$S$152,$J23,③スチコン工程入力!$J$5:$J$152,"&gt;0",③スチコン工程入力!$M$5:$M$152,"&gt;0")-SUMIFS(③スチコン工程入力!$J$5:$J$152,③スチコン工程入力!$S$5:$S$152,$J23,③スチコン工程入力!$J$5:$J$152,"&gt;0",③スチコン工程入力!$I$5:$I$152,"&gt;0",③スチコン工程入力!$M$5:$M$152,"&gt;0")+SUMIFS(⑪ZEN工程入力!$J$6:$J$35,⑪ZEN工程入力!$S$6:$S$35,$J23,⑪ZEN工程入力!$J$6:$J$35,"&gt;0",⑪ZEN工程入力!$M$6:$M$35,"&gt;0")-SUMIFS(⑪ZEN工程入力!$J$6:$J$35,⑪ZEN工程入力!$S$6:$S$35,$J23,⑪ZEN工程入力!$J$6:$J$35,"&gt;0",⑪ZEN工程入力!$I$6:$I$35,"&gt;0",⑪ZEN工程入力!$M$6:$M$35,"&gt;0")+SUMIFS(⑫ミキサー工程入力!$J$6:$J$65,⑫ミキサー工程入力!$S$6:$S$65,$J23,⑫ミキサー工程入力!$J$6:$J$65,"&gt;0",⑫ミキサー工程入力!$M$6:$M$65,"&gt;0")-SUMIFS(⑫ミキサー工程入力!$J$6:$J$65,⑫ミキサー工程入力!$S$6:$S$65,$J23,⑫ミキサー工程入力!$J$6:$J$65,"&gt;0",⑫ミキサー工程入力!$I$6:$I$65,"&gt;0",⑫ミキサー工程入力!$M$6:$M$65,"&gt;0")+SUMIFS(⑬計量工程入力!$J$6:$J$65,⑬計量工程入力!$S$6:$S$65,$J23,⑬計量工程入力!$J$6:$J$65,"&gt;0",⑬計量工程入力!$M$6:$M$65,"&gt;0")-SUMIFS(⑬計量工程入力!$J$6:$J$65,⑬計量工程入力!$S$6:$S$65,$J23,⑬計量工程入力!$J$6:$J$65,"&gt;0",⑬計量工程入力!$I$6:$I$65,"&gt;0",⑬計量工程入力!$M$6:$M$65,"&gt;0")+SUMIFS(⑭手動工程入力!$J$6:$J$47,⑭手動工程入力!$S$6:$S$47,$J23,⑭手動工程入力!$J$6:$J$47,"&gt;0",⑭手動工程入力!$M$6:$M$47,"&gt;0")-SUMIFS(⑭手動工程入力!$J$6:$J$47,⑭手動工程入力!$S$6:$S$47,$J23,⑭手動工程入力!$J$6:$J$47,"&gt;0",⑭手動工程入力!$I$6:$I$47,"&gt;0",⑭手動工程入力!$M$6:$M$47,"&gt;0"))</f>
        <v/>
      </c>
      <c r="P23" s="392" t="n"/>
    </row>
    <row r="24">
      <c r="A24" s="392" t="n">
        <v>20</v>
      </c>
      <c r="B24" s="392" t="n"/>
      <c r="C24" s="392" t="n"/>
      <c r="D24" s="392" t="n"/>
      <c r="E24" s="392" t="n"/>
      <c r="F24" s="394" t="n"/>
      <c r="G24" s="392" t="n"/>
      <c r="H24" s="604">
        <f>IFERROR(IF(AND($K24&gt;0,ISNUMBER(IF(OR($D24="g",$D24="ｇ"),IF($M24&gt;0,$L24/$M24/1000,""),IF($D24="kg",IF($M24&gt;0,$L24/$M24,""),IF($D24="",IF($M24&gt;0,$L24/$M24/1000,IF($O24&gt;0,$N24/$O24,"")),IF($O24&gt;0,$N24/$O24,"")))))),IF(OR($D24="g",$D24="ｇ"),IF($M24&gt;0,$L24/$M24/1000,""),IF($D24="kg",IF($M24&gt;0,$L24/$M24,""),IF($D24="",IF($M24&gt;0,$L24/$M24/1000,IF($O24&gt;0,$N24/$O24,"")),IF($O24&gt;0,$N24/$O24,"")))),IF($F24="",IF(OR($E24="",$E24="⑩盛付梱包工程入力"),"",IF(OR($D24="g",$D24="ｇ"),INDEX(⑰工程労務費一覧!$N$5:$N$11,MATCH($E24,⑰工程労務費一覧!$K$5:$K$11,0))/1000,IF($D24="kg",INDEX(⑰工程労務費一覧!$N$5:$N$11,MATCH($E24,⑰工程労務費一覧!$K$5:$K$11,0)),IF(OR($D24="個",$D24="切",$D24="本",$D24="枚",$D24="尾"),IF($E24="⑬計量工程入力","",INDEX(⑰工程労務費一覧!$P$5:$P$11,MATCH($E24,⑰工程労務費一覧!$K$5:$K$11,0))),IF(AND($D24="",OR($E24="②釜工程入力",$E24="③スチコン工程入力")),INDEX(⑰工程労務費一覧!$N$5:$N$11,MATCH($E24,⑰工程労務費一覧!$K$5:$K$11,0))/1000,""))))),IF(OR($D24="g",$D24="ｇ"),INDEX(⑰工程労務費一覧!$H$5:$H$753,MATCH($F24,⑰工程労務費一覧!$D$5:$D$753,0))/1000,IF($D24="kg",INDEX(⑰工程労務費一覧!$H$5:$H$753,MATCH($F24,⑰工程労務費一覧!$D$5:$D$753,0)),INDEX(⑰工程労務費一覧!$I$5:$I$753,MATCH($F24,⑰工程労務費一覧!$D$5:$D$753,0)))))),"")</f>
        <v/>
      </c>
      <c r="I24" s="392">
        <f>IF($K24&gt;0,IF(ISNUMBER(IF(OR($D24="g",$D24="ｇ"),IF($M24&gt;0,$L24/$M24/1000,""),IF($D24="kg",IF($M24&gt;0,$L24/$M24,""),IF($D24="",IF($M24&gt;0,$L24/$M24/1000,IF($O24&gt;0,$N24/$O24,"")),IF($O24&gt;0,$N24/$O24,""))))),IF($D24="",IF($M24&gt;0,"◎ JAN紐づけ(g扱い)","◎ JAN紐づけ(個扱い)"),"◎ JAN紐づけ"),"△ JAN紐づけ済・実績不足→仮計算"),IF($F24="",IF(ISNUMBER($H24),IF($D24="","⑤ 工程平均で仮計算(g扱い)","⑤ 工程平均で仮計算"),IF($E24="⑩盛付梱包工程入力","⑥ 盛り込み(⑳F列で計上)",IF(AND($E24="⑬計量工程入力",OR($D24="個",$D24="切",$D24="本",$D24="枚",$D24="尾")),"① 未紐づけ(カット個単位は仮単価なし)","① 未紐づけ"))),IF(NOT(ISNUMBER($H24)),"② 工程側に単価なし",IF($D24="","③ 単位未設定(個で計算)","④ OK"))))</f>
        <v/>
      </c>
      <c r="J24" s="399">
        <f>IFERROR(LOOKUP(2,1/((中間品リスト!$F$2:$F$1299=$B24)*(中間品リスト!$E$2:$E$1299&lt;&gt;"-")*(中間品リスト!$E$2:$E$1299&lt;&gt;"")),中間品リスト!$E$2:$E$1299),"")</f>
        <v/>
      </c>
      <c r="K24" s="400">
        <f>IF($J24="",0,COUNTIF(②釜工程入力!$S$5:$S$117,$J24)+COUNTIF(③スチコン工程入力!$S$5:$S$152,$J24)+COUNTIF(⑪ZEN工程入力!$S$6:$S$35,$J24)+COUNTIF(⑫ミキサー工程入力!$S$6:$S$65,$J24)+COUNTIF(⑬計量工程入力!$S$6:$S$65,$J24)+COUNTIF(⑭手動工程入力!$S$6:$S$47,$J24))</f>
        <v/>
      </c>
      <c r="L24" s="393">
        <f>IF($J24="",0,SUMIFS(②釜工程入力!$M$5:$M$117,②釜工程入力!$S$5:$S$117,$J24,②釜工程入力!$I$5:$I$117,"&gt;0")+SUMIFS(③スチコン工程入力!$M$5:$M$152,③スチコン工程入力!$S$5:$S$152,$J24,③スチコン工程入力!$I$5:$I$152,"&gt;0")+SUMIFS(⑪ZEN工程入力!$M$6:$M$35,⑪ZEN工程入力!$S$6:$S$35,$J24,⑪ZEN工程入力!$I$6:$I$35,"&gt;0")+SUMIFS(⑫ミキサー工程入力!$M$6:$M$65,⑫ミキサー工程入力!$S$6:$S$65,$J24,⑫ミキサー工程入力!$I$6:$I$65,"&gt;0")+SUMIFS(⑬計量工程入力!$M$6:$M$65,⑬計量工程入力!$S$6:$S$65,$J24,⑬計量工程入力!$I$6:$I$65,"&gt;0")+SUMIFS(⑭手動工程入力!$M$6:$M$47,⑭手動工程入力!$S$6:$S$47,$J24,⑭手動工程入力!$I$6:$I$47,"&gt;0"))</f>
        <v/>
      </c>
      <c r="M24" s="393">
        <f>IF($J24="",0,SUMIFS(②釜工程入力!$I$5:$I$117,②釜工程入力!$S$5:$S$117,$J24,②釜工程入力!$I$5:$I$117,"&gt;0",②釜工程入力!$M$5:$M$117,"&gt;0")+SUMIFS(③スチコン工程入力!$I$5:$I$152,③スチコン工程入力!$S$5:$S$152,$J24,③スチコン工程入力!$I$5:$I$152,"&gt;0",③スチコン工程入力!$M$5:$M$152,"&gt;0")+SUMIFS(⑪ZEN工程入力!$I$6:$I$35,⑪ZEN工程入力!$S$6:$S$35,$J24,⑪ZEN工程入力!$I$6:$I$35,"&gt;0",⑪ZEN工程入力!$M$6:$M$35,"&gt;0")+SUMIFS(⑫ミキサー工程入力!$I$6:$I$65,⑫ミキサー工程入力!$S$6:$S$65,$J24,⑫ミキサー工程入力!$I$6:$I$65,"&gt;0",⑫ミキサー工程入力!$M$6:$M$65,"&gt;0")+SUMIFS(⑬計量工程入力!$I$6:$I$65,⑬計量工程入力!$S$6:$S$65,$J24,⑬計量工程入力!$I$6:$I$65,"&gt;0",⑬計量工程入力!$M$6:$M$65,"&gt;0")+SUMIFS(⑭手動工程入力!$I$6:$I$47,⑭手動工程入力!$S$6:$S$47,$J24,⑭手動工程入力!$I$6:$I$47,"&gt;0",⑭手動工程入力!$M$6:$M$47,"&gt;0"))</f>
        <v/>
      </c>
      <c r="N24" s="393">
        <f>IF($J24="",0,SUMIFS(②釜工程入力!$M$5:$M$117,②釜工程入力!$S$5:$S$117,$J24,②釜工程入力!$J$5:$J$117,"&gt;0")-SUMIFS(②釜工程入力!$M$5:$M$117,②釜工程入力!$S$5:$S$117,$J24,②釜工程入力!$J$5:$J$117,"&gt;0",②釜工程入力!$I$5:$I$117,"&gt;0")+SUMIFS(③スチコン工程入力!$M$5:$M$152,③スチコン工程入力!$S$5:$S$152,$J24,③スチコン工程入力!$J$5:$J$152,"&gt;0")-SUMIFS(③スチコン工程入力!$M$5:$M$152,③スチコン工程入力!$S$5:$S$152,$J24,③スチコン工程入力!$J$5:$J$152,"&gt;0",③スチコン工程入力!$I$5:$I$152,"&gt;0")+SUMIFS(⑪ZEN工程入力!$M$6:$M$35,⑪ZEN工程入力!$S$6:$S$35,$J24,⑪ZEN工程入力!$J$6:$J$35,"&gt;0")-SUMIFS(⑪ZEN工程入力!$M$6:$M$35,⑪ZEN工程入力!$S$6:$S$35,$J24,⑪ZEN工程入力!$J$6:$J$35,"&gt;0",⑪ZEN工程入力!$I$6:$I$35,"&gt;0")+SUMIFS(⑫ミキサー工程入力!$M$6:$M$65,⑫ミキサー工程入力!$S$6:$S$65,$J24,⑫ミキサー工程入力!$J$6:$J$65,"&gt;0")-SUMIFS(⑫ミキサー工程入力!$M$6:$M$65,⑫ミキサー工程入力!$S$6:$S$65,$J24,⑫ミキサー工程入力!$J$6:$J$65,"&gt;0",⑫ミキサー工程入力!$I$6:$I$65,"&gt;0")+SUMIFS(⑬計量工程入力!$M$6:$M$65,⑬計量工程入力!$S$6:$S$65,$J24,⑬計量工程入力!$J$6:$J$65,"&gt;0")-SUMIFS(⑬計量工程入力!$M$6:$M$65,⑬計量工程入力!$S$6:$S$65,$J24,⑬計量工程入力!$J$6:$J$65,"&gt;0",⑬計量工程入力!$I$6:$I$65,"&gt;0")+SUMIFS(⑭手動工程入力!$M$6:$M$47,⑭手動工程入力!$S$6:$S$47,$J24,⑭手動工程入力!$J$6:$J$47,"&gt;0")-SUMIFS(⑭手動工程入力!$M$6:$M$47,⑭手動工程入力!$S$6:$S$47,$J24,⑭手動工程入力!$J$6:$J$47,"&gt;0",⑭手動工程入力!$I$6:$I$47,"&gt;0"))</f>
        <v/>
      </c>
      <c r="O24" s="393">
        <f>IF($J24="",0,SUMIFS(②釜工程入力!$J$5:$J$117,②釜工程入力!$S$5:$S$117,$J24,②釜工程入力!$J$5:$J$117,"&gt;0",②釜工程入力!$M$5:$M$117,"&gt;0")-SUMIFS(②釜工程入力!$J$5:$J$117,②釜工程入力!$S$5:$S$117,$J24,②釜工程入力!$J$5:$J$117,"&gt;0",②釜工程入力!$I$5:$I$117,"&gt;0",②釜工程入力!$M$5:$M$117,"&gt;0")+SUMIFS(③スチコン工程入力!$J$5:$J$152,③スチコン工程入力!$S$5:$S$152,$J24,③スチコン工程入力!$J$5:$J$152,"&gt;0",③スチコン工程入力!$M$5:$M$152,"&gt;0")-SUMIFS(③スチコン工程入力!$J$5:$J$152,③スチコン工程入力!$S$5:$S$152,$J24,③スチコン工程入力!$J$5:$J$152,"&gt;0",③スチコン工程入力!$I$5:$I$152,"&gt;0",③スチコン工程入力!$M$5:$M$152,"&gt;0")+SUMIFS(⑪ZEN工程入力!$J$6:$J$35,⑪ZEN工程入力!$S$6:$S$35,$J24,⑪ZEN工程入力!$J$6:$J$35,"&gt;0",⑪ZEN工程入力!$M$6:$M$35,"&gt;0")-SUMIFS(⑪ZEN工程入力!$J$6:$J$35,⑪ZEN工程入力!$S$6:$S$35,$J24,⑪ZEN工程入力!$J$6:$J$35,"&gt;0",⑪ZEN工程入力!$I$6:$I$35,"&gt;0",⑪ZEN工程入力!$M$6:$M$35,"&gt;0")+SUMIFS(⑫ミキサー工程入力!$J$6:$J$65,⑫ミキサー工程入力!$S$6:$S$65,$J24,⑫ミキサー工程入力!$J$6:$J$65,"&gt;0",⑫ミキサー工程入力!$M$6:$M$65,"&gt;0")-SUMIFS(⑫ミキサー工程入力!$J$6:$J$65,⑫ミキサー工程入力!$S$6:$S$65,$J24,⑫ミキサー工程入力!$J$6:$J$65,"&gt;0",⑫ミキサー工程入力!$I$6:$I$65,"&gt;0",⑫ミキサー工程入力!$M$6:$M$65,"&gt;0")+SUMIFS(⑬計量工程入力!$J$6:$J$65,⑬計量工程入力!$S$6:$S$65,$J24,⑬計量工程入力!$J$6:$J$65,"&gt;0",⑬計量工程入力!$M$6:$M$65,"&gt;0")-SUMIFS(⑬計量工程入力!$J$6:$J$65,⑬計量工程入力!$S$6:$S$65,$J24,⑬計量工程入力!$J$6:$J$65,"&gt;0",⑬計量工程入力!$I$6:$I$65,"&gt;0",⑬計量工程入力!$M$6:$M$65,"&gt;0")+SUMIFS(⑭手動工程入力!$J$6:$J$47,⑭手動工程入力!$S$6:$S$47,$J24,⑭手動工程入力!$J$6:$J$47,"&gt;0",⑭手動工程入力!$M$6:$M$47,"&gt;0")-SUMIFS(⑭手動工程入力!$J$6:$J$47,⑭手動工程入力!$S$6:$S$47,$J24,⑭手動工程入力!$J$6:$J$47,"&gt;0",⑭手動工程入力!$I$6:$I$47,"&gt;0",⑭手動工程入力!$M$6:$M$47,"&gt;0"))</f>
        <v/>
      </c>
      <c r="P24" s="392" t="n"/>
    </row>
    <row r="25">
      <c r="A25" s="392" t="n">
        <v>21</v>
      </c>
      <c r="B25" s="392" t="n"/>
      <c r="C25" s="392" t="n"/>
      <c r="D25" s="392" t="n"/>
      <c r="E25" s="392" t="n"/>
      <c r="F25" s="394" t="n"/>
      <c r="G25" s="392" t="n"/>
      <c r="H25" s="604">
        <f>IFERROR(IF(AND($K25&gt;0,ISNUMBER(IF(OR($D25="g",$D25="ｇ"),IF($M25&gt;0,$L25/$M25/1000,""),IF($D25="kg",IF($M25&gt;0,$L25/$M25,""),IF($D25="",IF($M25&gt;0,$L25/$M25/1000,IF($O25&gt;0,$N25/$O25,"")),IF($O25&gt;0,$N25/$O25,"")))))),IF(OR($D25="g",$D25="ｇ"),IF($M25&gt;0,$L25/$M25/1000,""),IF($D25="kg",IF($M25&gt;0,$L25/$M25,""),IF($D25="",IF($M25&gt;0,$L25/$M25/1000,IF($O25&gt;0,$N25/$O25,"")),IF($O25&gt;0,$N25/$O25,"")))),IF($F25="",IF(OR($E25="",$E25="⑩盛付梱包工程入力"),"",IF(OR($D25="g",$D25="ｇ"),INDEX(⑰工程労務費一覧!$N$5:$N$11,MATCH($E25,⑰工程労務費一覧!$K$5:$K$11,0))/1000,IF($D25="kg",INDEX(⑰工程労務費一覧!$N$5:$N$11,MATCH($E25,⑰工程労務費一覧!$K$5:$K$11,0)),IF(OR($D25="個",$D25="切",$D25="本",$D25="枚",$D25="尾"),IF($E25="⑬計量工程入力","",INDEX(⑰工程労務費一覧!$P$5:$P$11,MATCH($E25,⑰工程労務費一覧!$K$5:$K$11,0))),IF(AND($D25="",OR($E25="②釜工程入力",$E25="③スチコン工程入力")),INDEX(⑰工程労務費一覧!$N$5:$N$11,MATCH($E25,⑰工程労務費一覧!$K$5:$K$11,0))/1000,""))))),IF(OR($D25="g",$D25="ｇ"),INDEX(⑰工程労務費一覧!$H$5:$H$753,MATCH($F25,⑰工程労務費一覧!$D$5:$D$753,0))/1000,IF($D25="kg",INDEX(⑰工程労務費一覧!$H$5:$H$753,MATCH($F25,⑰工程労務費一覧!$D$5:$D$753,0)),INDEX(⑰工程労務費一覧!$I$5:$I$753,MATCH($F25,⑰工程労務費一覧!$D$5:$D$753,0)))))),"")</f>
        <v/>
      </c>
      <c r="I25" s="392">
        <f>IF($K25&gt;0,IF(ISNUMBER(IF(OR($D25="g",$D25="ｇ"),IF($M25&gt;0,$L25/$M25/1000,""),IF($D25="kg",IF($M25&gt;0,$L25/$M25,""),IF($D25="",IF($M25&gt;0,$L25/$M25/1000,IF($O25&gt;0,$N25/$O25,"")),IF($O25&gt;0,$N25/$O25,""))))),IF($D25="",IF($M25&gt;0,"◎ JAN紐づけ(g扱い)","◎ JAN紐づけ(個扱い)"),"◎ JAN紐づけ"),"△ JAN紐づけ済・実績不足→仮計算"),IF($F25="",IF(ISNUMBER($H25),IF($D25="","⑤ 工程平均で仮計算(g扱い)","⑤ 工程平均で仮計算"),IF($E25="⑩盛付梱包工程入力","⑥ 盛り込み(⑳F列で計上)",IF(AND($E25="⑬計量工程入力",OR($D25="個",$D25="切",$D25="本",$D25="枚",$D25="尾")),"① 未紐づけ(カット個単位は仮単価なし)","① 未紐づけ"))),IF(NOT(ISNUMBER($H25)),"② 工程側に単価なし",IF($D25="","③ 単位未設定(個で計算)","④ OK"))))</f>
        <v/>
      </c>
      <c r="J25" s="399">
        <f>IFERROR(LOOKUP(2,1/((中間品リスト!$F$2:$F$1299=$B25)*(中間品リスト!$E$2:$E$1299&lt;&gt;"-")*(中間品リスト!$E$2:$E$1299&lt;&gt;"")),中間品リスト!$E$2:$E$1299),"")</f>
        <v/>
      </c>
      <c r="K25" s="400">
        <f>IF($J25="",0,COUNTIF(②釜工程入力!$S$5:$S$117,$J25)+COUNTIF(③スチコン工程入力!$S$5:$S$152,$J25)+COUNTIF(⑪ZEN工程入力!$S$6:$S$35,$J25)+COUNTIF(⑫ミキサー工程入力!$S$6:$S$65,$J25)+COUNTIF(⑬計量工程入力!$S$6:$S$65,$J25)+COUNTIF(⑭手動工程入力!$S$6:$S$47,$J25))</f>
        <v/>
      </c>
      <c r="L25" s="393">
        <f>IF($J25="",0,SUMIFS(②釜工程入力!$M$5:$M$117,②釜工程入力!$S$5:$S$117,$J25,②釜工程入力!$I$5:$I$117,"&gt;0")+SUMIFS(③スチコン工程入力!$M$5:$M$152,③スチコン工程入力!$S$5:$S$152,$J25,③スチコン工程入力!$I$5:$I$152,"&gt;0")+SUMIFS(⑪ZEN工程入力!$M$6:$M$35,⑪ZEN工程入力!$S$6:$S$35,$J25,⑪ZEN工程入力!$I$6:$I$35,"&gt;0")+SUMIFS(⑫ミキサー工程入力!$M$6:$M$65,⑫ミキサー工程入力!$S$6:$S$65,$J25,⑫ミキサー工程入力!$I$6:$I$65,"&gt;0")+SUMIFS(⑬計量工程入力!$M$6:$M$65,⑬計量工程入力!$S$6:$S$65,$J25,⑬計量工程入力!$I$6:$I$65,"&gt;0")+SUMIFS(⑭手動工程入力!$M$6:$M$47,⑭手動工程入力!$S$6:$S$47,$J25,⑭手動工程入力!$I$6:$I$47,"&gt;0"))</f>
        <v/>
      </c>
      <c r="M25" s="393">
        <f>IF($J25="",0,SUMIFS(②釜工程入力!$I$5:$I$117,②釜工程入力!$S$5:$S$117,$J25,②釜工程入力!$I$5:$I$117,"&gt;0",②釜工程入力!$M$5:$M$117,"&gt;0")+SUMIFS(③スチコン工程入力!$I$5:$I$152,③スチコン工程入力!$S$5:$S$152,$J25,③スチコン工程入力!$I$5:$I$152,"&gt;0",③スチコン工程入力!$M$5:$M$152,"&gt;0")+SUMIFS(⑪ZEN工程入力!$I$6:$I$35,⑪ZEN工程入力!$S$6:$S$35,$J25,⑪ZEN工程入力!$I$6:$I$35,"&gt;0",⑪ZEN工程入力!$M$6:$M$35,"&gt;0")+SUMIFS(⑫ミキサー工程入力!$I$6:$I$65,⑫ミキサー工程入力!$S$6:$S$65,$J25,⑫ミキサー工程入力!$I$6:$I$65,"&gt;0",⑫ミキサー工程入力!$M$6:$M$65,"&gt;0")+SUMIFS(⑬計量工程入力!$I$6:$I$65,⑬計量工程入力!$S$6:$S$65,$J25,⑬計量工程入力!$I$6:$I$65,"&gt;0",⑬計量工程入力!$M$6:$M$65,"&gt;0")+SUMIFS(⑭手動工程入力!$I$6:$I$47,⑭手動工程入力!$S$6:$S$47,$J25,⑭手動工程入力!$I$6:$I$47,"&gt;0",⑭手動工程入力!$M$6:$M$47,"&gt;0"))</f>
        <v/>
      </c>
      <c r="N25" s="393">
        <f>IF($J25="",0,SUMIFS(②釜工程入力!$M$5:$M$117,②釜工程入力!$S$5:$S$117,$J25,②釜工程入力!$J$5:$J$117,"&gt;0")-SUMIFS(②釜工程入力!$M$5:$M$117,②釜工程入力!$S$5:$S$117,$J25,②釜工程入力!$J$5:$J$117,"&gt;0",②釜工程入力!$I$5:$I$117,"&gt;0")+SUMIFS(③スチコン工程入力!$M$5:$M$152,③スチコン工程入力!$S$5:$S$152,$J25,③スチコン工程入力!$J$5:$J$152,"&gt;0")-SUMIFS(③スチコン工程入力!$M$5:$M$152,③スチコン工程入力!$S$5:$S$152,$J25,③スチコン工程入力!$J$5:$J$152,"&gt;0",③スチコン工程入力!$I$5:$I$152,"&gt;0")+SUMIFS(⑪ZEN工程入力!$M$6:$M$35,⑪ZEN工程入力!$S$6:$S$35,$J25,⑪ZEN工程入力!$J$6:$J$35,"&gt;0")-SUMIFS(⑪ZEN工程入力!$M$6:$M$35,⑪ZEN工程入力!$S$6:$S$35,$J25,⑪ZEN工程入力!$J$6:$J$35,"&gt;0",⑪ZEN工程入力!$I$6:$I$35,"&gt;0")+SUMIFS(⑫ミキサー工程入力!$M$6:$M$65,⑫ミキサー工程入力!$S$6:$S$65,$J25,⑫ミキサー工程入力!$J$6:$J$65,"&gt;0")-SUMIFS(⑫ミキサー工程入力!$M$6:$M$65,⑫ミキサー工程入力!$S$6:$S$65,$J25,⑫ミキサー工程入力!$J$6:$J$65,"&gt;0",⑫ミキサー工程入力!$I$6:$I$65,"&gt;0")+SUMIFS(⑬計量工程入力!$M$6:$M$65,⑬計量工程入力!$S$6:$S$65,$J25,⑬計量工程入力!$J$6:$J$65,"&gt;0")-SUMIFS(⑬計量工程入力!$M$6:$M$65,⑬計量工程入力!$S$6:$S$65,$J25,⑬計量工程入力!$J$6:$J$65,"&gt;0",⑬計量工程入力!$I$6:$I$65,"&gt;0")+SUMIFS(⑭手動工程入力!$M$6:$M$47,⑭手動工程入力!$S$6:$S$47,$J25,⑭手動工程入力!$J$6:$J$47,"&gt;0")-SUMIFS(⑭手動工程入力!$M$6:$M$47,⑭手動工程入力!$S$6:$S$47,$J25,⑭手動工程入力!$J$6:$J$47,"&gt;0",⑭手動工程入力!$I$6:$I$47,"&gt;0"))</f>
        <v/>
      </c>
      <c r="O25" s="393">
        <f>IF($J25="",0,SUMIFS(②釜工程入力!$J$5:$J$117,②釜工程入力!$S$5:$S$117,$J25,②釜工程入力!$J$5:$J$117,"&gt;0",②釜工程入力!$M$5:$M$117,"&gt;0")-SUMIFS(②釜工程入力!$J$5:$J$117,②釜工程入力!$S$5:$S$117,$J25,②釜工程入力!$J$5:$J$117,"&gt;0",②釜工程入力!$I$5:$I$117,"&gt;0",②釜工程入力!$M$5:$M$117,"&gt;0")+SUMIFS(③スチコン工程入力!$J$5:$J$152,③スチコン工程入力!$S$5:$S$152,$J25,③スチコン工程入力!$J$5:$J$152,"&gt;0",③スチコン工程入力!$M$5:$M$152,"&gt;0")-SUMIFS(③スチコン工程入力!$J$5:$J$152,③スチコン工程入力!$S$5:$S$152,$J25,③スチコン工程入力!$J$5:$J$152,"&gt;0",③スチコン工程入力!$I$5:$I$152,"&gt;0",③スチコン工程入力!$M$5:$M$152,"&gt;0")+SUMIFS(⑪ZEN工程入力!$J$6:$J$35,⑪ZEN工程入力!$S$6:$S$35,$J25,⑪ZEN工程入力!$J$6:$J$35,"&gt;0",⑪ZEN工程入力!$M$6:$M$35,"&gt;0")-SUMIFS(⑪ZEN工程入力!$J$6:$J$35,⑪ZEN工程入力!$S$6:$S$35,$J25,⑪ZEN工程入力!$J$6:$J$35,"&gt;0",⑪ZEN工程入力!$I$6:$I$35,"&gt;0",⑪ZEN工程入力!$M$6:$M$35,"&gt;0")+SUMIFS(⑫ミキサー工程入力!$J$6:$J$65,⑫ミキサー工程入力!$S$6:$S$65,$J25,⑫ミキサー工程入力!$J$6:$J$65,"&gt;0",⑫ミキサー工程入力!$M$6:$M$65,"&gt;0")-SUMIFS(⑫ミキサー工程入力!$J$6:$J$65,⑫ミキサー工程入力!$S$6:$S$65,$J25,⑫ミキサー工程入力!$J$6:$J$65,"&gt;0",⑫ミキサー工程入力!$I$6:$I$65,"&gt;0",⑫ミキサー工程入力!$M$6:$M$65,"&gt;0")+SUMIFS(⑬計量工程入力!$J$6:$J$65,⑬計量工程入力!$S$6:$S$65,$J25,⑬計量工程入力!$J$6:$J$65,"&gt;0",⑬計量工程入力!$M$6:$M$65,"&gt;0")-SUMIFS(⑬計量工程入力!$J$6:$J$65,⑬計量工程入力!$S$6:$S$65,$J25,⑬計量工程入力!$J$6:$J$65,"&gt;0",⑬計量工程入力!$I$6:$I$65,"&gt;0",⑬計量工程入力!$M$6:$M$65,"&gt;0")+SUMIFS(⑭手動工程入力!$J$6:$J$47,⑭手動工程入力!$S$6:$S$47,$J25,⑭手動工程入力!$J$6:$J$47,"&gt;0",⑭手動工程入力!$M$6:$M$47,"&gt;0")-SUMIFS(⑭手動工程入力!$J$6:$J$47,⑭手動工程入力!$S$6:$S$47,$J25,⑭手動工程入力!$J$6:$J$47,"&gt;0",⑭手動工程入力!$I$6:$I$47,"&gt;0",⑭手動工程入力!$M$6:$M$47,"&gt;0"))</f>
        <v/>
      </c>
      <c r="P25" s="392" t="n"/>
    </row>
    <row r="26">
      <c r="A26" s="392" t="n">
        <v>22</v>
      </c>
      <c r="B26" s="392" t="n"/>
      <c r="C26" s="392" t="n"/>
      <c r="D26" s="392" t="n"/>
      <c r="E26" s="392" t="n"/>
      <c r="F26" s="394" t="n"/>
      <c r="G26" s="392" t="n"/>
      <c r="H26" s="604">
        <f>IFERROR(IF(AND($K26&gt;0,ISNUMBER(IF(OR($D26="g",$D26="ｇ"),IF($M26&gt;0,$L26/$M26/1000,""),IF($D26="kg",IF($M26&gt;0,$L26/$M26,""),IF($D26="",IF($M26&gt;0,$L26/$M26/1000,IF($O26&gt;0,$N26/$O26,"")),IF($O26&gt;0,$N26/$O26,"")))))),IF(OR($D26="g",$D26="ｇ"),IF($M26&gt;0,$L26/$M26/1000,""),IF($D26="kg",IF($M26&gt;0,$L26/$M26,""),IF($D26="",IF($M26&gt;0,$L26/$M26/1000,IF($O26&gt;0,$N26/$O26,"")),IF($O26&gt;0,$N26/$O26,"")))),IF($F26="",IF(OR($E26="",$E26="⑩盛付梱包工程入力"),"",IF(OR($D26="g",$D26="ｇ"),INDEX(⑰工程労務費一覧!$N$5:$N$11,MATCH($E26,⑰工程労務費一覧!$K$5:$K$11,0))/1000,IF($D26="kg",INDEX(⑰工程労務費一覧!$N$5:$N$11,MATCH($E26,⑰工程労務費一覧!$K$5:$K$11,0)),IF(OR($D26="個",$D26="切",$D26="本",$D26="枚",$D26="尾"),IF($E26="⑬計量工程入力","",INDEX(⑰工程労務費一覧!$P$5:$P$11,MATCH($E26,⑰工程労務費一覧!$K$5:$K$11,0))),IF(AND($D26="",OR($E26="②釜工程入力",$E26="③スチコン工程入力")),INDEX(⑰工程労務費一覧!$N$5:$N$11,MATCH($E26,⑰工程労務費一覧!$K$5:$K$11,0))/1000,""))))),IF(OR($D26="g",$D26="ｇ"),INDEX(⑰工程労務費一覧!$H$5:$H$753,MATCH($F26,⑰工程労務費一覧!$D$5:$D$753,0))/1000,IF($D26="kg",INDEX(⑰工程労務費一覧!$H$5:$H$753,MATCH($F26,⑰工程労務費一覧!$D$5:$D$753,0)),INDEX(⑰工程労務費一覧!$I$5:$I$753,MATCH($F26,⑰工程労務費一覧!$D$5:$D$753,0)))))),"")</f>
        <v/>
      </c>
      <c r="I26" s="392">
        <f>IF($K26&gt;0,IF(ISNUMBER(IF(OR($D26="g",$D26="ｇ"),IF($M26&gt;0,$L26/$M26/1000,""),IF($D26="kg",IF($M26&gt;0,$L26/$M26,""),IF($D26="",IF($M26&gt;0,$L26/$M26/1000,IF($O26&gt;0,$N26/$O26,"")),IF($O26&gt;0,$N26/$O26,""))))),IF($D26="",IF($M26&gt;0,"◎ JAN紐づけ(g扱い)","◎ JAN紐づけ(個扱い)"),"◎ JAN紐づけ"),"△ JAN紐づけ済・実績不足→仮計算"),IF($F26="",IF(ISNUMBER($H26),IF($D26="","⑤ 工程平均で仮計算(g扱い)","⑤ 工程平均で仮計算"),IF($E26="⑩盛付梱包工程入力","⑥ 盛り込み(⑳F列で計上)",IF(AND($E26="⑬計量工程入力",OR($D26="個",$D26="切",$D26="本",$D26="枚",$D26="尾")),"① 未紐づけ(カット個単位は仮単価なし)","① 未紐づけ"))),IF(NOT(ISNUMBER($H26)),"② 工程側に単価なし",IF($D26="","③ 単位未設定(個で計算)","④ OK"))))</f>
        <v/>
      </c>
      <c r="J26" s="399">
        <f>IFERROR(LOOKUP(2,1/((中間品リスト!$F$2:$F$1299=$B26)*(中間品リスト!$E$2:$E$1299&lt;&gt;"-")*(中間品リスト!$E$2:$E$1299&lt;&gt;"")),中間品リスト!$E$2:$E$1299),"")</f>
        <v/>
      </c>
      <c r="K26" s="400">
        <f>IF($J26="",0,COUNTIF(②釜工程入力!$S$5:$S$117,$J26)+COUNTIF(③スチコン工程入力!$S$5:$S$152,$J26)+COUNTIF(⑪ZEN工程入力!$S$6:$S$35,$J26)+COUNTIF(⑫ミキサー工程入力!$S$6:$S$65,$J26)+COUNTIF(⑬計量工程入力!$S$6:$S$65,$J26)+COUNTIF(⑭手動工程入力!$S$6:$S$47,$J26))</f>
        <v/>
      </c>
      <c r="L26" s="393">
        <f>IF($J26="",0,SUMIFS(②釜工程入力!$M$5:$M$117,②釜工程入力!$S$5:$S$117,$J26,②釜工程入力!$I$5:$I$117,"&gt;0")+SUMIFS(③スチコン工程入力!$M$5:$M$152,③スチコン工程入力!$S$5:$S$152,$J26,③スチコン工程入力!$I$5:$I$152,"&gt;0")+SUMIFS(⑪ZEN工程入力!$M$6:$M$35,⑪ZEN工程入力!$S$6:$S$35,$J26,⑪ZEN工程入力!$I$6:$I$35,"&gt;0")+SUMIFS(⑫ミキサー工程入力!$M$6:$M$65,⑫ミキサー工程入力!$S$6:$S$65,$J26,⑫ミキサー工程入力!$I$6:$I$65,"&gt;0")+SUMIFS(⑬計量工程入力!$M$6:$M$65,⑬計量工程入力!$S$6:$S$65,$J26,⑬計量工程入力!$I$6:$I$65,"&gt;0")+SUMIFS(⑭手動工程入力!$M$6:$M$47,⑭手動工程入力!$S$6:$S$47,$J26,⑭手動工程入力!$I$6:$I$47,"&gt;0"))</f>
        <v/>
      </c>
      <c r="M26" s="393">
        <f>IF($J26="",0,SUMIFS(②釜工程入力!$I$5:$I$117,②釜工程入力!$S$5:$S$117,$J26,②釜工程入力!$I$5:$I$117,"&gt;0",②釜工程入力!$M$5:$M$117,"&gt;0")+SUMIFS(③スチコン工程入力!$I$5:$I$152,③スチコン工程入力!$S$5:$S$152,$J26,③スチコン工程入力!$I$5:$I$152,"&gt;0",③スチコン工程入力!$M$5:$M$152,"&gt;0")+SUMIFS(⑪ZEN工程入力!$I$6:$I$35,⑪ZEN工程入力!$S$6:$S$35,$J26,⑪ZEN工程入力!$I$6:$I$35,"&gt;0",⑪ZEN工程入力!$M$6:$M$35,"&gt;0")+SUMIFS(⑫ミキサー工程入力!$I$6:$I$65,⑫ミキサー工程入力!$S$6:$S$65,$J26,⑫ミキサー工程入力!$I$6:$I$65,"&gt;0",⑫ミキサー工程入力!$M$6:$M$65,"&gt;0")+SUMIFS(⑬計量工程入力!$I$6:$I$65,⑬計量工程入力!$S$6:$S$65,$J26,⑬計量工程入力!$I$6:$I$65,"&gt;0",⑬計量工程入力!$M$6:$M$65,"&gt;0")+SUMIFS(⑭手動工程入力!$I$6:$I$47,⑭手動工程入力!$S$6:$S$47,$J26,⑭手動工程入力!$I$6:$I$47,"&gt;0",⑭手動工程入力!$M$6:$M$47,"&gt;0"))</f>
        <v/>
      </c>
      <c r="N26" s="393">
        <f>IF($J26="",0,SUMIFS(②釜工程入力!$M$5:$M$117,②釜工程入力!$S$5:$S$117,$J26,②釜工程入力!$J$5:$J$117,"&gt;0")-SUMIFS(②釜工程入力!$M$5:$M$117,②釜工程入力!$S$5:$S$117,$J26,②釜工程入力!$J$5:$J$117,"&gt;0",②釜工程入力!$I$5:$I$117,"&gt;0")+SUMIFS(③スチコン工程入力!$M$5:$M$152,③スチコン工程入力!$S$5:$S$152,$J26,③スチコン工程入力!$J$5:$J$152,"&gt;0")-SUMIFS(③スチコン工程入力!$M$5:$M$152,③スチコン工程入力!$S$5:$S$152,$J26,③スチコン工程入力!$J$5:$J$152,"&gt;0",③スチコン工程入力!$I$5:$I$152,"&gt;0")+SUMIFS(⑪ZEN工程入力!$M$6:$M$35,⑪ZEN工程入力!$S$6:$S$35,$J26,⑪ZEN工程入力!$J$6:$J$35,"&gt;0")-SUMIFS(⑪ZEN工程入力!$M$6:$M$35,⑪ZEN工程入力!$S$6:$S$35,$J26,⑪ZEN工程入力!$J$6:$J$35,"&gt;0",⑪ZEN工程入力!$I$6:$I$35,"&gt;0")+SUMIFS(⑫ミキサー工程入力!$M$6:$M$65,⑫ミキサー工程入力!$S$6:$S$65,$J26,⑫ミキサー工程入力!$J$6:$J$65,"&gt;0")-SUMIFS(⑫ミキサー工程入力!$M$6:$M$65,⑫ミキサー工程入力!$S$6:$S$65,$J26,⑫ミキサー工程入力!$J$6:$J$65,"&gt;0",⑫ミキサー工程入力!$I$6:$I$65,"&gt;0")+SUMIFS(⑬計量工程入力!$M$6:$M$65,⑬計量工程入力!$S$6:$S$65,$J26,⑬計量工程入力!$J$6:$J$65,"&gt;0")-SUMIFS(⑬計量工程入力!$M$6:$M$65,⑬計量工程入力!$S$6:$S$65,$J26,⑬計量工程入力!$J$6:$J$65,"&gt;0",⑬計量工程入力!$I$6:$I$65,"&gt;0")+SUMIFS(⑭手動工程入力!$M$6:$M$47,⑭手動工程入力!$S$6:$S$47,$J26,⑭手動工程入力!$J$6:$J$47,"&gt;0")-SUMIFS(⑭手動工程入力!$M$6:$M$47,⑭手動工程入力!$S$6:$S$47,$J26,⑭手動工程入力!$J$6:$J$47,"&gt;0",⑭手動工程入力!$I$6:$I$47,"&gt;0"))</f>
        <v/>
      </c>
      <c r="O26" s="393">
        <f>IF($J26="",0,SUMIFS(②釜工程入力!$J$5:$J$117,②釜工程入力!$S$5:$S$117,$J26,②釜工程入力!$J$5:$J$117,"&gt;0",②釜工程入力!$M$5:$M$117,"&gt;0")-SUMIFS(②釜工程入力!$J$5:$J$117,②釜工程入力!$S$5:$S$117,$J26,②釜工程入力!$J$5:$J$117,"&gt;0",②釜工程入力!$I$5:$I$117,"&gt;0",②釜工程入力!$M$5:$M$117,"&gt;0")+SUMIFS(③スチコン工程入力!$J$5:$J$152,③スチコン工程入力!$S$5:$S$152,$J26,③スチコン工程入力!$J$5:$J$152,"&gt;0",③スチコン工程入力!$M$5:$M$152,"&gt;0")-SUMIFS(③スチコン工程入力!$J$5:$J$152,③スチコン工程入力!$S$5:$S$152,$J26,③スチコン工程入力!$J$5:$J$152,"&gt;0",③スチコン工程入力!$I$5:$I$152,"&gt;0",③スチコン工程入力!$M$5:$M$152,"&gt;0")+SUMIFS(⑪ZEN工程入力!$J$6:$J$35,⑪ZEN工程入力!$S$6:$S$35,$J26,⑪ZEN工程入力!$J$6:$J$35,"&gt;0",⑪ZEN工程入力!$M$6:$M$35,"&gt;0")-SUMIFS(⑪ZEN工程入力!$J$6:$J$35,⑪ZEN工程入力!$S$6:$S$35,$J26,⑪ZEN工程入力!$J$6:$J$35,"&gt;0",⑪ZEN工程入力!$I$6:$I$35,"&gt;0",⑪ZEN工程入力!$M$6:$M$35,"&gt;0")+SUMIFS(⑫ミキサー工程入力!$J$6:$J$65,⑫ミキサー工程入力!$S$6:$S$65,$J26,⑫ミキサー工程入力!$J$6:$J$65,"&gt;0",⑫ミキサー工程入力!$M$6:$M$65,"&gt;0")-SUMIFS(⑫ミキサー工程入力!$J$6:$J$65,⑫ミキサー工程入力!$S$6:$S$65,$J26,⑫ミキサー工程入力!$J$6:$J$65,"&gt;0",⑫ミキサー工程入力!$I$6:$I$65,"&gt;0",⑫ミキサー工程入力!$M$6:$M$65,"&gt;0")+SUMIFS(⑬計量工程入力!$J$6:$J$65,⑬計量工程入力!$S$6:$S$65,$J26,⑬計量工程入力!$J$6:$J$65,"&gt;0",⑬計量工程入力!$M$6:$M$65,"&gt;0")-SUMIFS(⑬計量工程入力!$J$6:$J$65,⑬計量工程入力!$S$6:$S$65,$J26,⑬計量工程入力!$J$6:$J$65,"&gt;0",⑬計量工程入力!$I$6:$I$65,"&gt;0",⑬計量工程入力!$M$6:$M$65,"&gt;0")+SUMIFS(⑭手動工程入力!$J$6:$J$47,⑭手動工程入力!$S$6:$S$47,$J26,⑭手動工程入力!$J$6:$J$47,"&gt;0",⑭手動工程入力!$M$6:$M$47,"&gt;0")-SUMIFS(⑭手動工程入力!$J$6:$J$47,⑭手動工程入力!$S$6:$S$47,$J26,⑭手動工程入力!$J$6:$J$47,"&gt;0",⑭手動工程入力!$I$6:$I$47,"&gt;0",⑭手動工程入力!$M$6:$M$47,"&gt;0"))</f>
        <v/>
      </c>
      <c r="P26" s="392" t="n"/>
    </row>
    <row r="27">
      <c r="A27" s="392" t="n">
        <v>23</v>
      </c>
      <c r="B27" s="392" t="n"/>
      <c r="C27" s="392" t="n"/>
      <c r="D27" s="392" t="n"/>
      <c r="E27" s="392" t="n"/>
      <c r="F27" s="394" t="n"/>
      <c r="G27" s="392" t="n"/>
      <c r="H27" s="604">
        <f>IFERROR(IF(AND($K27&gt;0,ISNUMBER(IF(OR($D27="g",$D27="ｇ"),IF($M27&gt;0,$L27/$M27/1000,""),IF($D27="kg",IF($M27&gt;0,$L27/$M27,""),IF($D27="",IF($M27&gt;0,$L27/$M27/1000,IF($O27&gt;0,$N27/$O27,"")),IF($O27&gt;0,$N27/$O27,"")))))),IF(OR($D27="g",$D27="ｇ"),IF($M27&gt;0,$L27/$M27/1000,""),IF($D27="kg",IF($M27&gt;0,$L27/$M27,""),IF($D27="",IF($M27&gt;0,$L27/$M27/1000,IF($O27&gt;0,$N27/$O27,"")),IF($O27&gt;0,$N27/$O27,"")))),IF($F27="",IF(OR($E27="",$E27="⑩盛付梱包工程入力"),"",IF(OR($D27="g",$D27="ｇ"),INDEX(⑰工程労務費一覧!$N$5:$N$11,MATCH($E27,⑰工程労務費一覧!$K$5:$K$11,0))/1000,IF($D27="kg",INDEX(⑰工程労務費一覧!$N$5:$N$11,MATCH($E27,⑰工程労務費一覧!$K$5:$K$11,0)),IF(OR($D27="個",$D27="切",$D27="本",$D27="枚",$D27="尾"),IF($E27="⑬計量工程入力","",INDEX(⑰工程労務費一覧!$P$5:$P$11,MATCH($E27,⑰工程労務費一覧!$K$5:$K$11,0))),IF(AND($D27="",OR($E27="②釜工程入力",$E27="③スチコン工程入力")),INDEX(⑰工程労務費一覧!$N$5:$N$11,MATCH($E27,⑰工程労務費一覧!$K$5:$K$11,0))/1000,""))))),IF(OR($D27="g",$D27="ｇ"),INDEX(⑰工程労務費一覧!$H$5:$H$753,MATCH($F27,⑰工程労務費一覧!$D$5:$D$753,0))/1000,IF($D27="kg",INDEX(⑰工程労務費一覧!$H$5:$H$753,MATCH($F27,⑰工程労務費一覧!$D$5:$D$753,0)),INDEX(⑰工程労務費一覧!$I$5:$I$753,MATCH($F27,⑰工程労務費一覧!$D$5:$D$753,0)))))),"")</f>
        <v/>
      </c>
      <c r="I27" s="392">
        <f>IF($K27&gt;0,IF(ISNUMBER(IF(OR($D27="g",$D27="ｇ"),IF($M27&gt;0,$L27/$M27/1000,""),IF($D27="kg",IF($M27&gt;0,$L27/$M27,""),IF($D27="",IF($M27&gt;0,$L27/$M27/1000,IF($O27&gt;0,$N27/$O27,"")),IF($O27&gt;0,$N27/$O27,""))))),IF($D27="",IF($M27&gt;0,"◎ JAN紐づけ(g扱い)","◎ JAN紐づけ(個扱い)"),"◎ JAN紐づけ"),"△ JAN紐づけ済・実績不足→仮計算"),IF($F27="",IF(ISNUMBER($H27),IF($D27="","⑤ 工程平均で仮計算(g扱い)","⑤ 工程平均で仮計算"),IF($E27="⑩盛付梱包工程入力","⑥ 盛り込み(⑳F列で計上)",IF(AND($E27="⑬計量工程入力",OR($D27="個",$D27="切",$D27="本",$D27="枚",$D27="尾")),"① 未紐づけ(カット個単位は仮単価なし)","① 未紐づけ"))),IF(NOT(ISNUMBER($H27)),"② 工程側に単価なし",IF($D27="","③ 単位未設定(個で計算)","④ OK"))))</f>
        <v/>
      </c>
      <c r="J27" s="399">
        <f>IFERROR(LOOKUP(2,1/((中間品リスト!$F$2:$F$1299=$B27)*(中間品リスト!$E$2:$E$1299&lt;&gt;"-")*(中間品リスト!$E$2:$E$1299&lt;&gt;"")),中間品リスト!$E$2:$E$1299),"")</f>
        <v/>
      </c>
      <c r="K27" s="400">
        <f>IF($J27="",0,COUNTIF(②釜工程入力!$S$5:$S$117,$J27)+COUNTIF(③スチコン工程入力!$S$5:$S$152,$J27)+COUNTIF(⑪ZEN工程入力!$S$6:$S$35,$J27)+COUNTIF(⑫ミキサー工程入力!$S$6:$S$65,$J27)+COUNTIF(⑬計量工程入力!$S$6:$S$65,$J27)+COUNTIF(⑭手動工程入力!$S$6:$S$47,$J27))</f>
        <v/>
      </c>
      <c r="L27" s="393">
        <f>IF($J27="",0,SUMIFS(②釜工程入力!$M$5:$M$117,②釜工程入力!$S$5:$S$117,$J27,②釜工程入力!$I$5:$I$117,"&gt;0")+SUMIFS(③スチコン工程入力!$M$5:$M$152,③スチコン工程入力!$S$5:$S$152,$J27,③スチコン工程入力!$I$5:$I$152,"&gt;0")+SUMIFS(⑪ZEN工程入力!$M$6:$M$35,⑪ZEN工程入力!$S$6:$S$35,$J27,⑪ZEN工程入力!$I$6:$I$35,"&gt;0")+SUMIFS(⑫ミキサー工程入力!$M$6:$M$65,⑫ミキサー工程入力!$S$6:$S$65,$J27,⑫ミキサー工程入力!$I$6:$I$65,"&gt;0")+SUMIFS(⑬計量工程入力!$M$6:$M$65,⑬計量工程入力!$S$6:$S$65,$J27,⑬計量工程入力!$I$6:$I$65,"&gt;0")+SUMIFS(⑭手動工程入力!$M$6:$M$47,⑭手動工程入力!$S$6:$S$47,$J27,⑭手動工程入力!$I$6:$I$47,"&gt;0"))</f>
        <v/>
      </c>
      <c r="M27" s="393">
        <f>IF($J27="",0,SUMIFS(②釜工程入力!$I$5:$I$117,②釜工程入力!$S$5:$S$117,$J27,②釜工程入力!$I$5:$I$117,"&gt;0",②釜工程入力!$M$5:$M$117,"&gt;0")+SUMIFS(③スチコン工程入力!$I$5:$I$152,③スチコン工程入力!$S$5:$S$152,$J27,③スチコン工程入力!$I$5:$I$152,"&gt;0",③スチコン工程入力!$M$5:$M$152,"&gt;0")+SUMIFS(⑪ZEN工程入力!$I$6:$I$35,⑪ZEN工程入力!$S$6:$S$35,$J27,⑪ZEN工程入力!$I$6:$I$35,"&gt;0",⑪ZEN工程入力!$M$6:$M$35,"&gt;0")+SUMIFS(⑫ミキサー工程入力!$I$6:$I$65,⑫ミキサー工程入力!$S$6:$S$65,$J27,⑫ミキサー工程入力!$I$6:$I$65,"&gt;0",⑫ミキサー工程入力!$M$6:$M$65,"&gt;0")+SUMIFS(⑬計量工程入力!$I$6:$I$65,⑬計量工程入力!$S$6:$S$65,$J27,⑬計量工程入力!$I$6:$I$65,"&gt;0",⑬計量工程入力!$M$6:$M$65,"&gt;0")+SUMIFS(⑭手動工程入力!$I$6:$I$47,⑭手動工程入力!$S$6:$S$47,$J27,⑭手動工程入力!$I$6:$I$47,"&gt;0",⑭手動工程入力!$M$6:$M$47,"&gt;0"))</f>
        <v/>
      </c>
      <c r="N27" s="393">
        <f>IF($J27="",0,SUMIFS(②釜工程入力!$M$5:$M$117,②釜工程入力!$S$5:$S$117,$J27,②釜工程入力!$J$5:$J$117,"&gt;0")-SUMIFS(②釜工程入力!$M$5:$M$117,②釜工程入力!$S$5:$S$117,$J27,②釜工程入力!$J$5:$J$117,"&gt;0",②釜工程入力!$I$5:$I$117,"&gt;0")+SUMIFS(③スチコン工程入力!$M$5:$M$152,③スチコン工程入力!$S$5:$S$152,$J27,③スチコン工程入力!$J$5:$J$152,"&gt;0")-SUMIFS(③スチコン工程入力!$M$5:$M$152,③スチコン工程入力!$S$5:$S$152,$J27,③スチコン工程入力!$J$5:$J$152,"&gt;0",③スチコン工程入力!$I$5:$I$152,"&gt;0")+SUMIFS(⑪ZEN工程入力!$M$6:$M$35,⑪ZEN工程入力!$S$6:$S$35,$J27,⑪ZEN工程入力!$J$6:$J$35,"&gt;0")-SUMIFS(⑪ZEN工程入力!$M$6:$M$35,⑪ZEN工程入力!$S$6:$S$35,$J27,⑪ZEN工程入力!$J$6:$J$35,"&gt;0",⑪ZEN工程入力!$I$6:$I$35,"&gt;0")+SUMIFS(⑫ミキサー工程入力!$M$6:$M$65,⑫ミキサー工程入力!$S$6:$S$65,$J27,⑫ミキサー工程入力!$J$6:$J$65,"&gt;0")-SUMIFS(⑫ミキサー工程入力!$M$6:$M$65,⑫ミキサー工程入力!$S$6:$S$65,$J27,⑫ミキサー工程入力!$J$6:$J$65,"&gt;0",⑫ミキサー工程入力!$I$6:$I$65,"&gt;0")+SUMIFS(⑬計量工程入力!$M$6:$M$65,⑬計量工程入力!$S$6:$S$65,$J27,⑬計量工程入力!$J$6:$J$65,"&gt;0")-SUMIFS(⑬計量工程入力!$M$6:$M$65,⑬計量工程入力!$S$6:$S$65,$J27,⑬計量工程入力!$J$6:$J$65,"&gt;0",⑬計量工程入力!$I$6:$I$65,"&gt;0")+SUMIFS(⑭手動工程入力!$M$6:$M$47,⑭手動工程入力!$S$6:$S$47,$J27,⑭手動工程入力!$J$6:$J$47,"&gt;0")-SUMIFS(⑭手動工程入力!$M$6:$M$47,⑭手動工程入力!$S$6:$S$47,$J27,⑭手動工程入力!$J$6:$J$47,"&gt;0",⑭手動工程入力!$I$6:$I$47,"&gt;0"))</f>
        <v/>
      </c>
      <c r="O27" s="393">
        <f>IF($J27="",0,SUMIFS(②釜工程入力!$J$5:$J$117,②釜工程入力!$S$5:$S$117,$J27,②釜工程入力!$J$5:$J$117,"&gt;0",②釜工程入力!$M$5:$M$117,"&gt;0")-SUMIFS(②釜工程入力!$J$5:$J$117,②釜工程入力!$S$5:$S$117,$J27,②釜工程入力!$J$5:$J$117,"&gt;0",②釜工程入力!$I$5:$I$117,"&gt;0",②釜工程入力!$M$5:$M$117,"&gt;0")+SUMIFS(③スチコン工程入力!$J$5:$J$152,③スチコン工程入力!$S$5:$S$152,$J27,③スチコン工程入力!$J$5:$J$152,"&gt;0",③スチコン工程入力!$M$5:$M$152,"&gt;0")-SUMIFS(③スチコン工程入力!$J$5:$J$152,③スチコン工程入力!$S$5:$S$152,$J27,③スチコン工程入力!$J$5:$J$152,"&gt;0",③スチコン工程入力!$I$5:$I$152,"&gt;0",③スチコン工程入力!$M$5:$M$152,"&gt;0")+SUMIFS(⑪ZEN工程入力!$J$6:$J$35,⑪ZEN工程入力!$S$6:$S$35,$J27,⑪ZEN工程入力!$J$6:$J$35,"&gt;0",⑪ZEN工程入力!$M$6:$M$35,"&gt;0")-SUMIFS(⑪ZEN工程入力!$J$6:$J$35,⑪ZEN工程入力!$S$6:$S$35,$J27,⑪ZEN工程入力!$J$6:$J$35,"&gt;0",⑪ZEN工程入力!$I$6:$I$35,"&gt;0",⑪ZEN工程入力!$M$6:$M$35,"&gt;0")+SUMIFS(⑫ミキサー工程入力!$J$6:$J$65,⑫ミキサー工程入力!$S$6:$S$65,$J27,⑫ミキサー工程入力!$J$6:$J$65,"&gt;0",⑫ミキサー工程入力!$M$6:$M$65,"&gt;0")-SUMIFS(⑫ミキサー工程入力!$J$6:$J$65,⑫ミキサー工程入力!$S$6:$S$65,$J27,⑫ミキサー工程入力!$J$6:$J$65,"&gt;0",⑫ミキサー工程入力!$I$6:$I$65,"&gt;0",⑫ミキサー工程入力!$M$6:$M$65,"&gt;0")+SUMIFS(⑬計量工程入力!$J$6:$J$65,⑬計量工程入力!$S$6:$S$65,$J27,⑬計量工程入力!$J$6:$J$65,"&gt;0",⑬計量工程入力!$M$6:$M$65,"&gt;0")-SUMIFS(⑬計量工程入力!$J$6:$J$65,⑬計量工程入力!$S$6:$S$65,$J27,⑬計量工程入力!$J$6:$J$65,"&gt;0",⑬計量工程入力!$I$6:$I$65,"&gt;0",⑬計量工程入力!$M$6:$M$65,"&gt;0")+SUMIFS(⑭手動工程入力!$J$6:$J$47,⑭手動工程入力!$S$6:$S$47,$J27,⑭手動工程入力!$J$6:$J$47,"&gt;0",⑭手動工程入力!$M$6:$M$47,"&gt;0")-SUMIFS(⑭手動工程入力!$J$6:$J$47,⑭手動工程入力!$S$6:$S$47,$J27,⑭手動工程入力!$J$6:$J$47,"&gt;0",⑭手動工程入力!$I$6:$I$47,"&gt;0",⑭手動工程入力!$M$6:$M$47,"&gt;0"))</f>
        <v/>
      </c>
      <c r="P27" s="392" t="n"/>
    </row>
    <row r="28">
      <c r="A28" s="392" t="n">
        <v>24</v>
      </c>
      <c r="B28" s="392" t="n"/>
      <c r="C28" s="392" t="n"/>
      <c r="D28" s="392" t="n"/>
      <c r="E28" s="392" t="n"/>
      <c r="F28" s="394" t="n"/>
      <c r="G28" s="392" t="n"/>
      <c r="H28" s="604">
        <f>IFERROR(IF(AND($K28&gt;0,ISNUMBER(IF(OR($D28="g",$D28="ｇ"),IF($M28&gt;0,$L28/$M28/1000,""),IF($D28="kg",IF($M28&gt;0,$L28/$M28,""),IF($D28="",IF($M28&gt;0,$L28/$M28/1000,IF($O28&gt;0,$N28/$O28,"")),IF($O28&gt;0,$N28/$O28,"")))))),IF(OR($D28="g",$D28="ｇ"),IF($M28&gt;0,$L28/$M28/1000,""),IF($D28="kg",IF($M28&gt;0,$L28/$M28,""),IF($D28="",IF($M28&gt;0,$L28/$M28/1000,IF($O28&gt;0,$N28/$O28,"")),IF($O28&gt;0,$N28/$O28,"")))),IF($F28="",IF(OR($E28="",$E28="⑩盛付梱包工程入力"),"",IF(OR($D28="g",$D28="ｇ"),INDEX(⑰工程労務費一覧!$N$5:$N$11,MATCH($E28,⑰工程労務費一覧!$K$5:$K$11,0))/1000,IF($D28="kg",INDEX(⑰工程労務費一覧!$N$5:$N$11,MATCH($E28,⑰工程労務費一覧!$K$5:$K$11,0)),IF(OR($D28="個",$D28="切",$D28="本",$D28="枚",$D28="尾"),IF($E28="⑬計量工程入力","",INDEX(⑰工程労務費一覧!$P$5:$P$11,MATCH($E28,⑰工程労務費一覧!$K$5:$K$11,0))),IF(AND($D28="",OR($E28="②釜工程入力",$E28="③スチコン工程入力")),INDEX(⑰工程労務費一覧!$N$5:$N$11,MATCH($E28,⑰工程労務費一覧!$K$5:$K$11,0))/1000,""))))),IF(OR($D28="g",$D28="ｇ"),INDEX(⑰工程労務費一覧!$H$5:$H$753,MATCH($F28,⑰工程労務費一覧!$D$5:$D$753,0))/1000,IF($D28="kg",INDEX(⑰工程労務費一覧!$H$5:$H$753,MATCH($F28,⑰工程労務費一覧!$D$5:$D$753,0)),INDEX(⑰工程労務費一覧!$I$5:$I$753,MATCH($F28,⑰工程労務費一覧!$D$5:$D$753,0)))))),"")</f>
        <v/>
      </c>
      <c r="I28" s="392">
        <f>IF($K28&gt;0,IF(ISNUMBER(IF(OR($D28="g",$D28="ｇ"),IF($M28&gt;0,$L28/$M28/1000,""),IF($D28="kg",IF($M28&gt;0,$L28/$M28,""),IF($D28="",IF($M28&gt;0,$L28/$M28/1000,IF($O28&gt;0,$N28/$O28,"")),IF($O28&gt;0,$N28/$O28,""))))),IF($D28="",IF($M28&gt;0,"◎ JAN紐づけ(g扱い)","◎ JAN紐づけ(個扱い)"),"◎ JAN紐づけ"),"△ JAN紐づけ済・実績不足→仮計算"),IF($F28="",IF(ISNUMBER($H28),IF($D28="","⑤ 工程平均で仮計算(g扱い)","⑤ 工程平均で仮計算"),IF($E28="⑩盛付梱包工程入力","⑥ 盛り込み(⑳F列で計上)",IF(AND($E28="⑬計量工程入力",OR($D28="個",$D28="切",$D28="本",$D28="枚",$D28="尾")),"① 未紐づけ(カット個単位は仮単価なし)","① 未紐づけ"))),IF(NOT(ISNUMBER($H28)),"② 工程側に単価なし",IF($D28="","③ 単位未設定(個で計算)","④ OK"))))</f>
        <v/>
      </c>
      <c r="J28" s="399">
        <f>IFERROR(LOOKUP(2,1/((中間品リスト!$F$2:$F$1299=$B28)*(中間品リスト!$E$2:$E$1299&lt;&gt;"-")*(中間品リスト!$E$2:$E$1299&lt;&gt;"")),中間品リスト!$E$2:$E$1299),"")</f>
        <v/>
      </c>
      <c r="K28" s="400">
        <f>IF($J28="",0,COUNTIF(②釜工程入力!$S$5:$S$117,$J28)+COUNTIF(③スチコン工程入力!$S$5:$S$152,$J28)+COUNTIF(⑪ZEN工程入力!$S$6:$S$35,$J28)+COUNTIF(⑫ミキサー工程入力!$S$6:$S$65,$J28)+COUNTIF(⑬計量工程入力!$S$6:$S$65,$J28)+COUNTIF(⑭手動工程入力!$S$6:$S$47,$J28))</f>
        <v/>
      </c>
      <c r="L28" s="393">
        <f>IF($J28="",0,SUMIFS(②釜工程入力!$M$5:$M$117,②釜工程入力!$S$5:$S$117,$J28,②釜工程入力!$I$5:$I$117,"&gt;0")+SUMIFS(③スチコン工程入力!$M$5:$M$152,③スチコン工程入力!$S$5:$S$152,$J28,③スチコン工程入力!$I$5:$I$152,"&gt;0")+SUMIFS(⑪ZEN工程入力!$M$6:$M$35,⑪ZEN工程入力!$S$6:$S$35,$J28,⑪ZEN工程入力!$I$6:$I$35,"&gt;0")+SUMIFS(⑫ミキサー工程入力!$M$6:$M$65,⑫ミキサー工程入力!$S$6:$S$65,$J28,⑫ミキサー工程入力!$I$6:$I$65,"&gt;0")+SUMIFS(⑬計量工程入力!$M$6:$M$65,⑬計量工程入力!$S$6:$S$65,$J28,⑬計量工程入力!$I$6:$I$65,"&gt;0")+SUMIFS(⑭手動工程入力!$M$6:$M$47,⑭手動工程入力!$S$6:$S$47,$J28,⑭手動工程入力!$I$6:$I$47,"&gt;0"))</f>
        <v/>
      </c>
      <c r="M28" s="393">
        <f>IF($J28="",0,SUMIFS(②釜工程入力!$I$5:$I$117,②釜工程入力!$S$5:$S$117,$J28,②釜工程入力!$I$5:$I$117,"&gt;0",②釜工程入力!$M$5:$M$117,"&gt;0")+SUMIFS(③スチコン工程入力!$I$5:$I$152,③スチコン工程入力!$S$5:$S$152,$J28,③スチコン工程入力!$I$5:$I$152,"&gt;0",③スチコン工程入力!$M$5:$M$152,"&gt;0")+SUMIFS(⑪ZEN工程入力!$I$6:$I$35,⑪ZEN工程入力!$S$6:$S$35,$J28,⑪ZEN工程入力!$I$6:$I$35,"&gt;0",⑪ZEN工程入力!$M$6:$M$35,"&gt;0")+SUMIFS(⑫ミキサー工程入力!$I$6:$I$65,⑫ミキサー工程入力!$S$6:$S$65,$J28,⑫ミキサー工程入力!$I$6:$I$65,"&gt;0",⑫ミキサー工程入力!$M$6:$M$65,"&gt;0")+SUMIFS(⑬計量工程入力!$I$6:$I$65,⑬計量工程入力!$S$6:$S$65,$J28,⑬計量工程入力!$I$6:$I$65,"&gt;0",⑬計量工程入力!$M$6:$M$65,"&gt;0")+SUMIFS(⑭手動工程入力!$I$6:$I$47,⑭手動工程入力!$S$6:$S$47,$J28,⑭手動工程入力!$I$6:$I$47,"&gt;0",⑭手動工程入力!$M$6:$M$47,"&gt;0"))</f>
        <v/>
      </c>
      <c r="N28" s="393">
        <f>IF($J28="",0,SUMIFS(②釜工程入力!$M$5:$M$117,②釜工程入力!$S$5:$S$117,$J28,②釜工程入力!$J$5:$J$117,"&gt;0")-SUMIFS(②釜工程入力!$M$5:$M$117,②釜工程入力!$S$5:$S$117,$J28,②釜工程入力!$J$5:$J$117,"&gt;0",②釜工程入力!$I$5:$I$117,"&gt;0")+SUMIFS(③スチコン工程入力!$M$5:$M$152,③スチコン工程入力!$S$5:$S$152,$J28,③スチコン工程入力!$J$5:$J$152,"&gt;0")-SUMIFS(③スチコン工程入力!$M$5:$M$152,③スチコン工程入力!$S$5:$S$152,$J28,③スチコン工程入力!$J$5:$J$152,"&gt;0",③スチコン工程入力!$I$5:$I$152,"&gt;0")+SUMIFS(⑪ZEN工程入力!$M$6:$M$35,⑪ZEN工程入力!$S$6:$S$35,$J28,⑪ZEN工程入力!$J$6:$J$35,"&gt;0")-SUMIFS(⑪ZEN工程入力!$M$6:$M$35,⑪ZEN工程入力!$S$6:$S$35,$J28,⑪ZEN工程入力!$J$6:$J$35,"&gt;0",⑪ZEN工程入力!$I$6:$I$35,"&gt;0")+SUMIFS(⑫ミキサー工程入力!$M$6:$M$65,⑫ミキサー工程入力!$S$6:$S$65,$J28,⑫ミキサー工程入力!$J$6:$J$65,"&gt;0")-SUMIFS(⑫ミキサー工程入力!$M$6:$M$65,⑫ミキサー工程入力!$S$6:$S$65,$J28,⑫ミキサー工程入力!$J$6:$J$65,"&gt;0",⑫ミキサー工程入力!$I$6:$I$65,"&gt;0")+SUMIFS(⑬計量工程入力!$M$6:$M$65,⑬計量工程入力!$S$6:$S$65,$J28,⑬計量工程入力!$J$6:$J$65,"&gt;0")-SUMIFS(⑬計量工程入力!$M$6:$M$65,⑬計量工程入力!$S$6:$S$65,$J28,⑬計量工程入力!$J$6:$J$65,"&gt;0",⑬計量工程入力!$I$6:$I$65,"&gt;0")+SUMIFS(⑭手動工程入力!$M$6:$M$47,⑭手動工程入力!$S$6:$S$47,$J28,⑭手動工程入力!$J$6:$J$47,"&gt;0")-SUMIFS(⑭手動工程入力!$M$6:$M$47,⑭手動工程入力!$S$6:$S$47,$J28,⑭手動工程入力!$J$6:$J$47,"&gt;0",⑭手動工程入力!$I$6:$I$47,"&gt;0"))</f>
        <v/>
      </c>
      <c r="O28" s="393">
        <f>IF($J28="",0,SUMIFS(②釜工程入力!$J$5:$J$117,②釜工程入力!$S$5:$S$117,$J28,②釜工程入力!$J$5:$J$117,"&gt;0",②釜工程入力!$M$5:$M$117,"&gt;0")-SUMIFS(②釜工程入力!$J$5:$J$117,②釜工程入力!$S$5:$S$117,$J28,②釜工程入力!$J$5:$J$117,"&gt;0",②釜工程入力!$I$5:$I$117,"&gt;0",②釜工程入力!$M$5:$M$117,"&gt;0")+SUMIFS(③スチコン工程入力!$J$5:$J$152,③スチコン工程入力!$S$5:$S$152,$J28,③スチコン工程入力!$J$5:$J$152,"&gt;0",③スチコン工程入力!$M$5:$M$152,"&gt;0")-SUMIFS(③スチコン工程入力!$J$5:$J$152,③スチコン工程入力!$S$5:$S$152,$J28,③スチコン工程入力!$J$5:$J$152,"&gt;0",③スチコン工程入力!$I$5:$I$152,"&gt;0",③スチコン工程入力!$M$5:$M$152,"&gt;0")+SUMIFS(⑪ZEN工程入力!$J$6:$J$35,⑪ZEN工程入力!$S$6:$S$35,$J28,⑪ZEN工程入力!$J$6:$J$35,"&gt;0",⑪ZEN工程入力!$M$6:$M$35,"&gt;0")-SUMIFS(⑪ZEN工程入力!$J$6:$J$35,⑪ZEN工程入力!$S$6:$S$35,$J28,⑪ZEN工程入力!$J$6:$J$35,"&gt;0",⑪ZEN工程入力!$I$6:$I$35,"&gt;0",⑪ZEN工程入力!$M$6:$M$35,"&gt;0")+SUMIFS(⑫ミキサー工程入力!$J$6:$J$65,⑫ミキサー工程入力!$S$6:$S$65,$J28,⑫ミキサー工程入力!$J$6:$J$65,"&gt;0",⑫ミキサー工程入力!$M$6:$M$65,"&gt;0")-SUMIFS(⑫ミキサー工程入力!$J$6:$J$65,⑫ミキサー工程入力!$S$6:$S$65,$J28,⑫ミキサー工程入力!$J$6:$J$65,"&gt;0",⑫ミキサー工程入力!$I$6:$I$65,"&gt;0",⑫ミキサー工程入力!$M$6:$M$65,"&gt;0")+SUMIFS(⑬計量工程入力!$J$6:$J$65,⑬計量工程入力!$S$6:$S$65,$J28,⑬計量工程入力!$J$6:$J$65,"&gt;0",⑬計量工程入力!$M$6:$M$65,"&gt;0")-SUMIFS(⑬計量工程入力!$J$6:$J$65,⑬計量工程入力!$S$6:$S$65,$J28,⑬計量工程入力!$J$6:$J$65,"&gt;0",⑬計量工程入力!$I$6:$I$65,"&gt;0",⑬計量工程入力!$M$6:$M$65,"&gt;0")+SUMIFS(⑭手動工程入力!$J$6:$J$47,⑭手動工程入力!$S$6:$S$47,$J28,⑭手動工程入力!$J$6:$J$47,"&gt;0",⑭手動工程入力!$M$6:$M$47,"&gt;0")-SUMIFS(⑭手動工程入力!$J$6:$J$47,⑭手動工程入力!$S$6:$S$47,$J28,⑭手動工程入力!$J$6:$J$47,"&gt;0",⑭手動工程入力!$I$6:$I$47,"&gt;0",⑭手動工程入力!$M$6:$M$47,"&gt;0"))</f>
        <v/>
      </c>
      <c r="P28" s="392" t="n"/>
    </row>
    <row r="29">
      <c r="A29" s="392" t="n">
        <v>25</v>
      </c>
      <c r="B29" s="392" t="n"/>
      <c r="C29" s="392" t="n"/>
      <c r="D29" s="392" t="n"/>
      <c r="E29" s="392" t="n"/>
      <c r="F29" s="394" t="n"/>
      <c r="G29" s="392" t="n"/>
      <c r="H29" s="604">
        <f>IFERROR(IF(AND($K29&gt;0,ISNUMBER(IF(OR($D29="g",$D29="ｇ"),IF($M29&gt;0,$L29/$M29/1000,""),IF($D29="kg",IF($M29&gt;0,$L29/$M29,""),IF($D29="",IF($M29&gt;0,$L29/$M29/1000,IF($O29&gt;0,$N29/$O29,"")),IF($O29&gt;0,$N29/$O29,"")))))),IF(OR($D29="g",$D29="ｇ"),IF($M29&gt;0,$L29/$M29/1000,""),IF($D29="kg",IF($M29&gt;0,$L29/$M29,""),IF($D29="",IF($M29&gt;0,$L29/$M29/1000,IF($O29&gt;0,$N29/$O29,"")),IF($O29&gt;0,$N29/$O29,"")))),IF($F29="",IF(OR($E29="",$E29="⑩盛付梱包工程入力"),"",IF(OR($D29="g",$D29="ｇ"),INDEX(⑰工程労務費一覧!$N$5:$N$11,MATCH($E29,⑰工程労務費一覧!$K$5:$K$11,0))/1000,IF($D29="kg",INDEX(⑰工程労務費一覧!$N$5:$N$11,MATCH($E29,⑰工程労務費一覧!$K$5:$K$11,0)),IF(OR($D29="個",$D29="切",$D29="本",$D29="枚",$D29="尾"),IF($E29="⑬計量工程入力","",INDEX(⑰工程労務費一覧!$P$5:$P$11,MATCH($E29,⑰工程労務費一覧!$K$5:$K$11,0))),IF(AND($D29="",OR($E29="②釜工程入力",$E29="③スチコン工程入力")),INDEX(⑰工程労務費一覧!$N$5:$N$11,MATCH($E29,⑰工程労務費一覧!$K$5:$K$11,0))/1000,""))))),IF(OR($D29="g",$D29="ｇ"),INDEX(⑰工程労務費一覧!$H$5:$H$753,MATCH($F29,⑰工程労務費一覧!$D$5:$D$753,0))/1000,IF($D29="kg",INDEX(⑰工程労務費一覧!$H$5:$H$753,MATCH($F29,⑰工程労務費一覧!$D$5:$D$753,0)),INDEX(⑰工程労務費一覧!$I$5:$I$753,MATCH($F29,⑰工程労務費一覧!$D$5:$D$753,0)))))),"")</f>
        <v/>
      </c>
      <c r="I29" s="392">
        <f>IF($K29&gt;0,IF(ISNUMBER(IF(OR($D29="g",$D29="ｇ"),IF($M29&gt;0,$L29/$M29/1000,""),IF($D29="kg",IF($M29&gt;0,$L29/$M29,""),IF($D29="",IF($M29&gt;0,$L29/$M29/1000,IF($O29&gt;0,$N29/$O29,"")),IF($O29&gt;0,$N29/$O29,""))))),IF($D29="",IF($M29&gt;0,"◎ JAN紐づけ(g扱い)","◎ JAN紐づけ(個扱い)"),"◎ JAN紐づけ"),"△ JAN紐づけ済・実績不足→仮計算"),IF($F29="",IF(ISNUMBER($H29),IF($D29="","⑤ 工程平均で仮計算(g扱い)","⑤ 工程平均で仮計算"),IF($E29="⑩盛付梱包工程入力","⑥ 盛り込み(⑳F列で計上)",IF(AND($E29="⑬計量工程入力",OR($D29="個",$D29="切",$D29="本",$D29="枚",$D29="尾")),"① 未紐づけ(カット個単位は仮単価なし)","① 未紐づけ"))),IF(NOT(ISNUMBER($H29)),"② 工程側に単価なし",IF($D29="","③ 単位未設定(個で計算)","④ OK"))))</f>
        <v/>
      </c>
      <c r="J29" s="399">
        <f>IFERROR(LOOKUP(2,1/((中間品リスト!$F$2:$F$1299=$B29)*(中間品リスト!$E$2:$E$1299&lt;&gt;"-")*(中間品リスト!$E$2:$E$1299&lt;&gt;"")),中間品リスト!$E$2:$E$1299),"")</f>
        <v/>
      </c>
      <c r="K29" s="400">
        <f>IF($J29="",0,COUNTIF(②釜工程入力!$S$5:$S$117,$J29)+COUNTIF(③スチコン工程入力!$S$5:$S$152,$J29)+COUNTIF(⑪ZEN工程入力!$S$6:$S$35,$J29)+COUNTIF(⑫ミキサー工程入力!$S$6:$S$65,$J29)+COUNTIF(⑬計量工程入力!$S$6:$S$65,$J29)+COUNTIF(⑭手動工程入力!$S$6:$S$47,$J29))</f>
        <v/>
      </c>
      <c r="L29" s="393">
        <f>IF($J29="",0,SUMIFS(②釜工程入力!$M$5:$M$117,②釜工程入力!$S$5:$S$117,$J29,②釜工程入力!$I$5:$I$117,"&gt;0")+SUMIFS(③スチコン工程入力!$M$5:$M$152,③スチコン工程入力!$S$5:$S$152,$J29,③スチコン工程入力!$I$5:$I$152,"&gt;0")+SUMIFS(⑪ZEN工程入力!$M$6:$M$35,⑪ZEN工程入力!$S$6:$S$35,$J29,⑪ZEN工程入力!$I$6:$I$35,"&gt;0")+SUMIFS(⑫ミキサー工程入力!$M$6:$M$65,⑫ミキサー工程入力!$S$6:$S$65,$J29,⑫ミキサー工程入力!$I$6:$I$65,"&gt;0")+SUMIFS(⑬計量工程入力!$M$6:$M$65,⑬計量工程入力!$S$6:$S$65,$J29,⑬計量工程入力!$I$6:$I$65,"&gt;0")+SUMIFS(⑭手動工程入力!$M$6:$M$47,⑭手動工程入力!$S$6:$S$47,$J29,⑭手動工程入力!$I$6:$I$47,"&gt;0"))</f>
        <v/>
      </c>
      <c r="M29" s="393">
        <f>IF($J29="",0,SUMIFS(②釜工程入力!$I$5:$I$117,②釜工程入力!$S$5:$S$117,$J29,②釜工程入力!$I$5:$I$117,"&gt;0",②釜工程入力!$M$5:$M$117,"&gt;0")+SUMIFS(③スチコン工程入力!$I$5:$I$152,③スチコン工程入力!$S$5:$S$152,$J29,③スチコン工程入力!$I$5:$I$152,"&gt;0",③スチコン工程入力!$M$5:$M$152,"&gt;0")+SUMIFS(⑪ZEN工程入力!$I$6:$I$35,⑪ZEN工程入力!$S$6:$S$35,$J29,⑪ZEN工程入力!$I$6:$I$35,"&gt;0",⑪ZEN工程入力!$M$6:$M$35,"&gt;0")+SUMIFS(⑫ミキサー工程入力!$I$6:$I$65,⑫ミキサー工程入力!$S$6:$S$65,$J29,⑫ミキサー工程入力!$I$6:$I$65,"&gt;0",⑫ミキサー工程入力!$M$6:$M$65,"&gt;0")+SUMIFS(⑬計量工程入力!$I$6:$I$65,⑬計量工程入力!$S$6:$S$65,$J29,⑬計量工程入力!$I$6:$I$65,"&gt;0",⑬計量工程入力!$M$6:$M$65,"&gt;0")+SUMIFS(⑭手動工程入力!$I$6:$I$47,⑭手動工程入力!$S$6:$S$47,$J29,⑭手動工程入力!$I$6:$I$47,"&gt;0",⑭手動工程入力!$M$6:$M$47,"&gt;0"))</f>
        <v/>
      </c>
      <c r="N29" s="393">
        <f>IF($J29="",0,SUMIFS(②釜工程入力!$M$5:$M$117,②釜工程入力!$S$5:$S$117,$J29,②釜工程入力!$J$5:$J$117,"&gt;0")-SUMIFS(②釜工程入力!$M$5:$M$117,②釜工程入力!$S$5:$S$117,$J29,②釜工程入力!$J$5:$J$117,"&gt;0",②釜工程入力!$I$5:$I$117,"&gt;0")+SUMIFS(③スチコン工程入力!$M$5:$M$152,③スチコン工程入力!$S$5:$S$152,$J29,③スチコン工程入力!$J$5:$J$152,"&gt;0")-SUMIFS(③スチコン工程入力!$M$5:$M$152,③スチコン工程入力!$S$5:$S$152,$J29,③スチコン工程入力!$J$5:$J$152,"&gt;0",③スチコン工程入力!$I$5:$I$152,"&gt;0")+SUMIFS(⑪ZEN工程入力!$M$6:$M$35,⑪ZEN工程入力!$S$6:$S$35,$J29,⑪ZEN工程入力!$J$6:$J$35,"&gt;0")-SUMIFS(⑪ZEN工程入力!$M$6:$M$35,⑪ZEN工程入力!$S$6:$S$35,$J29,⑪ZEN工程入力!$J$6:$J$35,"&gt;0",⑪ZEN工程入力!$I$6:$I$35,"&gt;0")+SUMIFS(⑫ミキサー工程入力!$M$6:$M$65,⑫ミキサー工程入力!$S$6:$S$65,$J29,⑫ミキサー工程入力!$J$6:$J$65,"&gt;0")-SUMIFS(⑫ミキサー工程入力!$M$6:$M$65,⑫ミキサー工程入力!$S$6:$S$65,$J29,⑫ミキサー工程入力!$J$6:$J$65,"&gt;0",⑫ミキサー工程入力!$I$6:$I$65,"&gt;0")+SUMIFS(⑬計量工程入力!$M$6:$M$65,⑬計量工程入力!$S$6:$S$65,$J29,⑬計量工程入力!$J$6:$J$65,"&gt;0")-SUMIFS(⑬計量工程入力!$M$6:$M$65,⑬計量工程入力!$S$6:$S$65,$J29,⑬計量工程入力!$J$6:$J$65,"&gt;0",⑬計量工程入力!$I$6:$I$65,"&gt;0")+SUMIFS(⑭手動工程入力!$M$6:$M$47,⑭手動工程入力!$S$6:$S$47,$J29,⑭手動工程入力!$J$6:$J$47,"&gt;0")-SUMIFS(⑭手動工程入力!$M$6:$M$47,⑭手動工程入力!$S$6:$S$47,$J29,⑭手動工程入力!$J$6:$J$47,"&gt;0",⑭手動工程入力!$I$6:$I$47,"&gt;0"))</f>
        <v/>
      </c>
      <c r="O29" s="393">
        <f>IF($J29="",0,SUMIFS(②釜工程入力!$J$5:$J$117,②釜工程入力!$S$5:$S$117,$J29,②釜工程入力!$J$5:$J$117,"&gt;0",②釜工程入力!$M$5:$M$117,"&gt;0")-SUMIFS(②釜工程入力!$J$5:$J$117,②釜工程入力!$S$5:$S$117,$J29,②釜工程入力!$J$5:$J$117,"&gt;0",②釜工程入力!$I$5:$I$117,"&gt;0",②釜工程入力!$M$5:$M$117,"&gt;0")+SUMIFS(③スチコン工程入力!$J$5:$J$152,③スチコン工程入力!$S$5:$S$152,$J29,③スチコン工程入力!$J$5:$J$152,"&gt;0",③スチコン工程入力!$M$5:$M$152,"&gt;0")-SUMIFS(③スチコン工程入力!$J$5:$J$152,③スチコン工程入力!$S$5:$S$152,$J29,③スチコン工程入力!$J$5:$J$152,"&gt;0",③スチコン工程入力!$I$5:$I$152,"&gt;0",③スチコン工程入力!$M$5:$M$152,"&gt;0")+SUMIFS(⑪ZEN工程入力!$J$6:$J$35,⑪ZEN工程入力!$S$6:$S$35,$J29,⑪ZEN工程入力!$J$6:$J$35,"&gt;0",⑪ZEN工程入力!$M$6:$M$35,"&gt;0")-SUMIFS(⑪ZEN工程入力!$J$6:$J$35,⑪ZEN工程入力!$S$6:$S$35,$J29,⑪ZEN工程入力!$J$6:$J$35,"&gt;0",⑪ZEN工程入力!$I$6:$I$35,"&gt;0",⑪ZEN工程入力!$M$6:$M$35,"&gt;0")+SUMIFS(⑫ミキサー工程入力!$J$6:$J$65,⑫ミキサー工程入力!$S$6:$S$65,$J29,⑫ミキサー工程入力!$J$6:$J$65,"&gt;0",⑫ミキサー工程入力!$M$6:$M$65,"&gt;0")-SUMIFS(⑫ミキサー工程入力!$J$6:$J$65,⑫ミキサー工程入力!$S$6:$S$65,$J29,⑫ミキサー工程入力!$J$6:$J$65,"&gt;0",⑫ミキサー工程入力!$I$6:$I$65,"&gt;0",⑫ミキサー工程入力!$M$6:$M$65,"&gt;0")+SUMIFS(⑬計量工程入力!$J$6:$J$65,⑬計量工程入力!$S$6:$S$65,$J29,⑬計量工程入力!$J$6:$J$65,"&gt;0",⑬計量工程入力!$M$6:$M$65,"&gt;0")-SUMIFS(⑬計量工程入力!$J$6:$J$65,⑬計量工程入力!$S$6:$S$65,$J29,⑬計量工程入力!$J$6:$J$65,"&gt;0",⑬計量工程入力!$I$6:$I$65,"&gt;0",⑬計量工程入力!$M$6:$M$65,"&gt;0")+SUMIFS(⑭手動工程入力!$J$6:$J$47,⑭手動工程入力!$S$6:$S$47,$J29,⑭手動工程入力!$J$6:$J$47,"&gt;0",⑭手動工程入力!$M$6:$M$47,"&gt;0")-SUMIFS(⑭手動工程入力!$J$6:$J$47,⑭手動工程入力!$S$6:$S$47,$J29,⑭手動工程入力!$J$6:$J$47,"&gt;0",⑭手動工程入力!$I$6:$I$47,"&gt;0",⑭手動工程入力!$M$6:$M$47,"&gt;0"))</f>
        <v/>
      </c>
      <c r="P29" s="392" t="n"/>
    </row>
    <row r="30">
      <c r="A30" s="392" t="n">
        <v>26</v>
      </c>
      <c r="B30" s="392" t="n"/>
      <c r="C30" s="392" t="n"/>
      <c r="D30" s="392" t="n"/>
      <c r="E30" s="392" t="n"/>
      <c r="F30" s="394" t="n"/>
      <c r="G30" s="392" t="n"/>
      <c r="H30" s="604">
        <f>IFERROR(IF(AND($K30&gt;0,ISNUMBER(IF(OR($D30="g",$D30="ｇ"),IF($M30&gt;0,$L30/$M30/1000,""),IF($D30="kg",IF($M30&gt;0,$L30/$M30,""),IF($D30="",IF($M30&gt;0,$L30/$M30/1000,IF($O30&gt;0,$N30/$O30,"")),IF($O30&gt;0,$N30/$O30,"")))))),IF(OR($D30="g",$D30="ｇ"),IF($M30&gt;0,$L30/$M30/1000,""),IF($D30="kg",IF($M30&gt;0,$L30/$M30,""),IF($D30="",IF($M30&gt;0,$L30/$M30/1000,IF($O30&gt;0,$N30/$O30,"")),IF($O30&gt;0,$N30/$O30,"")))),IF($F30="",IF(OR($E30="",$E30="⑩盛付梱包工程入力"),"",IF(OR($D30="g",$D30="ｇ"),INDEX(⑰工程労務費一覧!$N$5:$N$11,MATCH($E30,⑰工程労務費一覧!$K$5:$K$11,0))/1000,IF($D30="kg",INDEX(⑰工程労務費一覧!$N$5:$N$11,MATCH($E30,⑰工程労務費一覧!$K$5:$K$11,0)),IF(OR($D30="個",$D30="切",$D30="本",$D30="枚",$D30="尾"),IF($E30="⑬計量工程入力","",INDEX(⑰工程労務費一覧!$P$5:$P$11,MATCH($E30,⑰工程労務費一覧!$K$5:$K$11,0))),IF(AND($D30="",OR($E30="②釜工程入力",$E30="③スチコン工程入力")),INDEX(⑰工程労務費一覧!$N$5:$N$11,MATCH($E30,⑰工程労務費一覧!$K$5:$K$11,0))/1000,""))))),IF(OR($D30="g",$D30="ｇ"),INDEX(⑰工程労務費一覧!$H$5:$H$753,MATCH($F30,⑰工程労務費一覧!$D$5:$D$753,0))/1000,IF($D30="kg",INDEX(⑰工程労務費一覧!$H$5:$H$753,MATCH($F30,⑰工程労務費一覧!$D$5:$D$753,0)),INDEX(⑰工程労務費一覧!$I$5:$I$753,MATCH($F30,⑰工程労務費一覧!$D$5:$D$753,0)))))),"")</f>
        <v/>
      </c>
      <c r="I30" s="392">
        <f>IF($K30&gt;0,IF(ISNUMBER(IF(OR($D30="g",$D30="ｇ"),IF($M30&gt;0,$L30/$M30/1000,""),IF($D30="kg",IF($M30&gt;0,$L30/$M30,""),IF($D30="",IF($M30&gt;0,$L30/$M30/1000,IF($O30&gt;0,$N30/$O30,"")),IF($O30&gt;0,$N30/$O30,""))))),IF($D30="",IF($M30&gt;0,"◎ JAN紐づけ(g扱い)","◎ JAN紐づけ(個扱い)"),"◎ JAN紐づけ"),"△ JAN紐づけ済・実績不足→仮計算"),IF($F30="",IF(ISNUMBER($H30),IF($D30="","⑤ 工程平均で仮計算(g扱い)","⑤ 工程平均で仮計算"),IF($E30="⑩盛付梱包工程入力","⑥ 盛り込み(⑳F列で計上)",IF(AND($E30="⑬計量工程入力",OR($D30="個",$D30="切",$D30="本",$D30="枚",$D30="尾")),"① 未紐づけ(カット個単位は仮単価なし)","① 未紐づけ"))),IF(NOT(ISNUMBER($H30)),"② 工程側に単価なし",IF($D30="","③ 単位未設定(個で計算)","④ OK"))))</f>
        <v/>
      </c>
      <c r="J30" s="399">
        <f>IFERROR(LOOKUP(2,1/((中間品リスト!$F$2:$F$1299=$B30)*(中間品リスト!$E$2:$E$1299&lt;&gt;"-")*(中間品リスト!$E$2:$E$1299&lt;&gt;"")),中間品リスト!$E$2:$E$1299),"")</f>
        <v/>
      </c>
      <c r="K30" s="400">
        <f>IF($J30="",0,COUNTIF(②釜工程入力!$S$5:$S$117,$J30)+COUNTIF(③スチコン工程入力!$S$5:$S$152,$J30)+COUNTIF(⑪ZEN工程入力!$S$6:$S$35,$J30)+COUNTIF(⑫ミキサー工程入力!$S$6:$S$65,$J30)+COUNTIF(⑬計量工程入力!$S$6:$S$65,$J30)+COUNTIF(⑭手動工程入力!$S$6:$S$47,$J30))</f>
        <v/>
      </c>
      <c r="L30" s="393">
        <f>IF($J30="",0,SUMIFS(②釜工程入力!$M$5:$M$117,②釜工程入力!$S$5:$S$117,$J30,②釜工程入力!$I$5:$I$117,"&gt;0")+SUMIFS(③スチコン工程入力!$M$5:$M$152,③スチコン工程入力!$S$5:$S$152,$J30,③スチコン工程入力!$I$5:$I$152,"&gt;0")+SUMIFS(⑪ZEN工程入力!$M$6:$M$35,⑪ZEN工程入力!$S$6:$S$35,$J30,⑪ZEN工程入力!$I$6:$I$35,"&gt;0")+SUMIFS(⑫ミキサー工程入力!$M$6:$M$65,⑫ミキサー工程入力!$S$6:$S$65,$J30,⑫ミキサー工程入力!$I$6:$I$65,"&gt;0")+SUMIFS(⑬計量工程入力!$M$6:$M$65,⑬計量工程入力!$S$6:$S$65,$J30,⑬計量工程入力!$I$6:$I$65,"&gt;0")+SUMIFS(⑭手動工程入力!$M$6:$M$47,⑭手動工程入力!$S$6:$S$47,$J30,⑭手動工程入力!$I$6:$I$47,"&gt;0"))</f>
        <v/>
      </c>
      <c r="M30" s="393">
        <f>IF($J30="",0,SUMIFS(②釜工程入力!$I$5:$I$117,②釜工程入力!$S$5:$S$117,$J30,②釜工程入力!$I$5:$I$117,"&gt;0",②釜工程入力!$M$5:$M$117,"&gt;0")+SUMIFS(③スチコン工程入力!$I$5:$I$152,③スチコン工程入力!$S$5:$S$152,$J30,③スチコン工程入力!$I$5:$I$152,"&gt;0",③スチコン工程入力!$M$5:$M$152,"&gt;0")+SUMIFS(⑪ZEN工程入力!$I$6:$I$35,⑪ZEN工程入力!$S$6:$S$35,$J30,⑪ZEN工程入力!$I$6:$I$35,"&gt;0",⑪ZEN工程入力!$M$6:$M$35,"&gt;0")+SUMIFS(⑫ミキサー工程入力!$I$6:$I$65,⑫ミキサー工程入力!$S$6:$S$65,$J30,⑫ミキサー工程入力!$I$6:$I$65,"&gt;0",⑫ミキサー工程入力!$M$6:$M$65,"&gt;0")+SUMIFS(⑬計量工程入力!$I$6:$I$65,⑬計量工程入力!$S$6:$S$65,$J30,⑬計量工程入力!$I$6:$I$65,"&gt;0",⑬計量工程入力!$M$6:$M$65,"&gt;0")+SUMIFS(⑭手動工程入力!$I$6:$I$47,⑭手動工程入力!$S$6:$S$47,$J30,⑭手動工程入力!$I$6:$I$47,"&gt;0",⑭手動工程入力!$M$6:$M$47,"&gt;0"))</f>
        <v/>
      </c>
      <c r="N30" s="393">
        <f>IF($J30="",0,SUMIFS(②釜工程入力!$M$5:$M$117,②釜工程入力!$S$5:$S$117,$J30,②釜工程入力!$J$5:$J$117,"&gt;0")-SUMIFS(②釜工程入力!$M$5:$M$117,②釜工程入力!$S$5:$S$117,$J30,②釜工程入力!$J$5:$J$117,"&gt;0",②釜工程入力!$I$5:$I$117,"&gt;0")+SUMIFS(③スチコン工程入力!$M$5:$M$152,③スチコン工程入力!$S$5:$S$152,$J30,③スチコン工程入力!$J$5:$J$152,"&gt;0")-SUMIFS(③スチコン工程入力!$M$5:$M$152,③スチコン工程入力!$S$5:$S$152,$J30,③スチコン工程入力!$J$5:$J$152,"&gt;0",③スチコン工程入力!$I$5:$I$152,"&gt;0")+SUMIFS(⑪ZEN工程入力!$M$6:$M$35,⑪ZEN工程入力!$S$6:$S$35,$J30,⑪ZEN工程入力!$J$6:$J$35,"&gt;0")-SUMIFS(⑪ZEN工程入力!$M$6:$M$35,⑪ZEN工程入力!$S$6:$S$35,$J30,⑪ZEN工程入力!$J$6:$J$35,"&gt;0",⑪ZEN工程入力!$I$6:$I$35,"&gt;0")+SUMIFS(⑫ミキサー工程入力!$M$6:$M$65,⑫ミキサー工程入力!$S$6:$S$65,$J30,⑫ミキサー工程入力!$J$6:$J$65,"&gt;0")-SUMIFS(⑫ミキサー工程入力!$M$6:$M$65,⑫ミキサー工程入力!$S$6:$S$65,$J30,⑫ミキサー工程入力!$J$6:$J$65,"&gt;0",⑫ミキサー工程入力!$I$6:$I$65,"&gt;0")+SUMIFS(⑬計量工程入力!$M$6:$M$65,⑬計量工程入力!$S$6:$S$65,$J30,⑬計量工程入力!$J$6:$J$65,"&gt;0")-SUMIFS(⑬計量工程入力!$M$6:$M$65,⑬計量工程入力!$S$6:$S$65,$J30,⑬計量工程入力!$J$6:$J$65,"&gt;0",⑬計量工程入力!$I$6:$I$65,"&gt;0")+SUMIFS(⑭手動工程入力!$M$6:$M$47,⑭手動工程入力!$S$6:$S$47,$J30,⑭手動工程入力!$J$6:$J$47,"&gt;0")-SUMIFS(⑭手動工程入力!$M$6:$M$47,⑭手動工程入力!$S$6:$S$47,$J30,⑭手動工程入力!$J$6:$J$47,"&gt;0",⑭手動工程入力!$I$6:$I$47,"&gt;0"))</f>
        <v/>
      </c>
      <c r="O30" s="393">
        <f>IF($J30="",0,SUMIFS(②釜工程入力!$J$5:$J$117,②釜工程入力!$S$5:$S$117,$J30,②釜工程入力!$J$5:$J$117,"&gt;0",②釜工程入力!$M$5:$M$117,"&gt;0")-SUMIFS(②釜工程入力!$J$5:$J$117,②釜工程入力!$S$5:$S$117,$J30,②釜工程入力!$J$5:$J$117,"&gt;0",②釜工程入力!$I$5:$I$117,"&gt;0",②釜工程入力!$M$5:$M$117,"&gt;0")+SUMIFS(③スチコン工程入力!$J$5:$J$152,③スチコン工程入力!$S$5:$S$152,$J30,③スチコン工程入力!$J$5:$J$152,"&gt;0",③スチコン工程入力!$M$5:$M$152,"&gt;0")-SUMIFS(③スチコン工程入力!$J$5:$J$152,③スチコン工程入力!$S$5:$S$152,$J30,③スチコン工程入力!$J$5:$J$152,"&gt;0",③スチコン工程入力!$I$5:$I$152,"&gt;0",③スチコン工程入力!$M$5:$M$152,"&gt;0")+SUMIFS(⑪ZEN工程入力!$J$6:$J$35,⑪ZEN工程入力!$S$6:$S$35,$J30,⑪ZEN工程入力!$J$6:$J$35,"&gt;0",⑪ZEN工程入力!$M$6:$M$35,"&gt;0")-SUMIFS(⑪ZEN工程入力!$J$6:$J$35,⑪ZEN工程入力!$S$6:$S$35,$J30,⑪ZEN工程入力!$J$6:$J$35,"&gt;0",⑪ZEN工程入力!$I$6:$I$35,"&gt;0",⑪ZEN工程入力!$M$6:$M$35,"&gt;0")+SUMIFS(⑫ミキサー工程入力!$J$6:$J$65,⑫ミキサー工程入力!$S$6:$S$65,$J30,⑫ミキサー工程入力!$J$6:$J$65,"&gt;0",⑫ミキサー工程入力!$M$6:$M$65,"&gt;0")-SUMIFS(⑫ミキサー工程入力!$J$6:$J$65,⑫ミキサー工程入力!$S$6:$S$65,$J30,⑫ミキサー工程入力!$J$6:$J$65,"&gt;0",⑫ミキサー工程入力!$I$6:$I$65,"&gt;0",⑫ミキサー工程入力!$M$6:$M$65,"&gt;0")+SUMIFS(⑬計量工程入力!$J$6:$J$65,⑬計量工程入力!$S$6:$S$65,$J30,⑬計量工程入力!$J$6:$J$65,"&gt;0",⑬計量工程入力!$M$6:$M$65,"&gt;0")-SUMIFS(⑬計量工程入力!$J$6:$J$65,⑬計量工程入力!$S$6:$S$65,$J30,⑬計量工程入力!$J$6:$J$65,"&gt;0",⑬計量工程入力!$I$6:$I$65,"&gt;0",⑬計量工程入力!$M$6:$M$65,"&gt;0")+SUMIFS(⑭手動工程入力!$J$6:$J$47,⑭手動工程入力!$S$6:$S$47,$J30,⑭手動工程入力!$J$6:$J$47,"&gt;0",⑭手動工程入力!$M$6:$M$47,"&gt;0")-SUMIFS(⑭手動工程入力!$J$6:$J$47,⑭手動工程入力!$S$6:$S$47,$J30,⑭手動工程入力!$J$6:$J$47,"&gt;0",⑭手動工程入力!$I$6:$I$47,"&gt;0",⑭手動工程入力!$M$6:$M$47,"&gt;0"))</f>
        <v/>
      </c>
      <c r="P30" s="392" t="n"/>
    </row>
    <row r="31">
      <c r="A31" s="392" t="n">
        <v>27</v>
      </c>
      <c r="B31" s="392" t="n"/>
      <c r="C31" s="392" t="n"/>
      <c r="D31" s="392" t="n"/>
      <c r="E31" s="392" t="n"/>
      <c r="F31" s="394" t="n"/>
      <c r="G31" s="392" t="n"/>
      <c r="H31" s="604">
        <f>IFERROR(IF(AND($K31&gt;0,ISNUMBER(IF(OR($D31="g",$D31="ｇ"),IF($M31&gt;0,$L31/$M31/1000,""),IF($D31="kg",IF($M31&gt;0,$L31/$M31,""),IF($D31="",IF($M31&gt;0,$L31/$M31/1000,IF($O31&gt;0,$N31/$O31,"")),IF($O31&gt;0,$N31/$O31,"")))))),IF(OR($D31="g",$D31="ｇ"),IF($M31&gt;0,$L31/$M31/1000,""),IF($D31="kg",IF($M31&gt;0,$L31/$M31,""),IF($D31="",IF($M31&gt;0,$L31/$M31/1000,IF($O31&gt;0,$N31/$O31,"")),IF($O31&gt;0,$N31/$O31,"")))),IF($F31="",IF(OR($E31="",$E31="⑩盛付梱包工程入力"),"",IF(OR($D31="g",$D31="ｇ"),INDEX(⑰工程労務費一覧!$N$5:$N$11,MATCH($E31,⑰工程労務費一覧!$K$5:$K$11,0))/1000,IF($D31="kg",INDEX(⑰工程労務費一覧!$N$5:$N$11,MATCH($E31,⑰工程労務費一覧!$K$5:$K$11,0)),IF(OR($D31="個",$D31="切",$D31="本",$D31="枚",$D31="尾"),IF($E31="⑬計量工程入力","",INDEX(⑰工程労務費一覧!$P$5:$P$11,MATCH($E31,⑰工程労務費一覧!$K$5:$K$11,0))),IF(AND($D31="",OR($E31="②釜工程入力",$E31="③スチコン工程入力")),INDEX(⑰工程労務費一覧!$N$5:$N$11,MATCH($E31,⑰工程労務費一覧!$K$5:$K$11,0))/1000,""))))),IF(OR($D31="g",$D31="ｇ"),INDEX(⑰工程労務費一覧!$H$5:$H$753,MATCH($F31,⑰工程労務費一覧!$D$5:$D$753,0))/1000,IF($D31="kg",INDEX(⑰工程労務費一覧!$H$5:$H$753,MATCH($F31,⑰工程労務費一覧!$D$5:$D$753,0)),INDEX(⑰工程労務費一覧!$I$5:$I$753,MATCH($F31,⑰工程労務費一覧!$D$5:$D$753,0)))))),"")</f>
        <v/>
      </c>
      <c r="I31" s="392">
        <f>IF($K31&gt;0,IF(ISNUMBER(IF(OR($D31="g",$D31="ｇ"),IF($M31&gt;0,$L31/$M31/1000,""),IF($D31="kg",IF($M31&gt;0,$L31/$M31,""),IF($D31="",IF($M31&gt;0,$L31/$M31/1000,IF($O31&gt;0,$N31/$O31,"")),IF($O31&gt;0,$N31/$O31,""))))),IF($D31="",IF($M31&gt;0,"◎ JAN紐づけ(g扱い)","◎ JAN紐づけ(個扱い)"),"◎ JAN紐づけ"),"△ JAN紐づけ済・実績不足→仮計算"),IF($F31="",IF(ISNUMBER($H31),IF($D31="","⑤ 工程平均で仮計算(g扱い)","⑤ 工程平均で仮計算"),IF($E31="⑩盛付梱包工程入力","⑥ 盛り込み(⑳F列で計上)",IF(AND($E31="⑬計量工程入力",OR($D31="個",$D31="切",$D31="本",$D31="枚",$D31="尾")),"① 未紐づけ(カット個単位は仮単価なし)","① 未紐づけ"))),IF(NOT(ISNUMBER($H31)),"② 工程側に単価なし",IF($D31="","③ 単位未設定(個で計算)","④ OK"))))</f>
        <v/>
      </c>
      <c r="J31" s="399">
        <f>IFERROR(LOOKUP(2,1/((中間品リスト!$F$2:$F$1299=$B31)*(中間品リスト!$E$2:$E$1299&lt;&gt;"-")*(中間品リスト!$E$2:$E$1299&lt;&gt;"")),中間品リスト!$E$2:$E$1299),"")</f>
        <v/>
      </c>
      <c r="K31" s="400">
        <f>IF($J31="",0,COUNTIF(②釜工程入力!$S$5:$S$117,$J31)+COUNTIF(③スチコン工程入力!$S$5:$S$152,$J31)+COUNTIF(⑪ZEN工程入力!$S$6:$S$35,$J31)+COUNTIF(⑫ミキサー工程入力!$S$6:$S$65,$J31)+COUNTIF(⑬計量工程入力!$S$6:$S$65,$J31)+COUNTIF(⑭手動工程入力!$S$6:$S$47,$J31))</f>
        <v/>
      </c>
      <c r="L31" s="393">
        <f>IF($J31="",0,SUMIFS(②釜工程入力!$M$5:$M$117,②釜工程入力!$S$5:$S$117,$J31,②釜工程入力!$I$5:$I$117,"&gt;0")+SUMIFS(③スチコン工程入力!$M$5:$M$152,③スチコン工程入力!$S$5:$S$152,$J31,③スチコン工程入力!$I$5:$I$152,"&gt;0")+SUMIFS(⑪ZEN工程入力!$M$6:$M$35,⑪ZEN工程入力!$S$6:$S$35,$J31,⑪ZEN工程入力!$I$6:$I$35,"&gt;0")+SUMIFS(⑫ミキサー工程入力!$M$6:$M$65,⑫ミキサー工程入力!$S$6:$S$65,$J31,⑫ミキサー工程入力!$I$6:$I$65,"&gt;0")+SUMIFS(⑬計量工程入力!$M$6:$M$65,⑬計量工程入力!$S$6:$S$65,$J31,⑬計量工程入力!$I$6:$I$65,"&gt;0")+SUMIFS(⑭手動工程入力!$M$6:$M$47,⑭手動工程入力!$S$6:$S$47,$J31,⑭手動工程入力!$I$6:$I$47,"&gt;0"))</f>
        <v/>
      </c>
      <c r="M31" s="393">
        <f>IF($J31="",0,SUMIFS(②釜工程入力!$I$5:$I$117,②釜工程入力!$S$5:$S$117,$J31,②釜工程入力!$I$5:$I$117,"&gt;0",②釜工程入力!$M$5:$M$117,"&gt;0")+SUMIFS(③スチコン工程入力!$I$5:$I$152,③スチコン工程入力!$S$5:$S$152,$J31,③スチコン工程入力!$I$5:$I$152,"&gt;0",③スチコン工程入力!$M$5:$M$152,"&gt;0")+SUMIFS(⑪ZEN工程入力!$I$6:$I$35,⑪ZEN工程入力!$S$6:$S$35,$J31,⑪ZEN工程入力!$I$6:$I$35,"&gt;0",⑪ZEN工程入力!$M$6:$M$35,"&gt;0")+SUMIFS(⑫ミキサー工程入力!$I$6:$I$65,⑫ミキサー工程入力!$S$6:$S$65,$J31,⑫ミキサー工程入力!$I$6:$I$65,"&gt;0",⑫ミキサー工程入力!$M$6:$M$65,"&gt;0")+SUMIFS(⑬計量工程入力!$I$6:$I$65,⑬計量工程入力!$S$6:$S$65,$J31,⑬計量工程入力!$I$6:$I$65,"&gt;0",⑬計量工程入力!$M$6:$M$65,"&gt;0")+SUMIFS(⑭手動工程入力!$I$6:$I$47,⑭手動工程入力!$S$6:$S$47,$J31,⑭手動工程入力!$I$6:$I$47,"&gt;0",⑭手動工程入力!$M$6:$M$47,"&gt;0"))</f>
        <v/>
      </c>
      <c r="N31" s="393">
        <f>IF($J31="",0,SUMIFS(②釜工程入力!$M$5:$M$117,②釜工程入力!$S$5:$S$117,$J31,②釜工程入力!$J$5:$J$117,"&gt;0")-SUMIFS(②釜工程入力!$M$5:$M$117,②釜工程入力!$S$5:$S$117,$J31,②釜工程入力!$J$5:$J$117,"&gt;0",②釜工程入力!$I$5:$I$117,"&gt;0")+SUMIFS(③スチコン工程入力!$M$5:$M$152,③スチコン工程入力!$S$5:$S$152,$J31,③スチコン工程入力!$J$5:$J$152,"&gt;0")-SUMIFS(③スチコン工程入力!$M$5:$M$152,③スチコン工程入力!$S$5:$S$152,$J31,③スチコン工程入力!$J$5:$J$152,"&gt;0",③スチコン工程入力!$I$5:$I$152,"&gt;0")+SUMIFS(⑪ZEN工程入力!$M$6:$M$35,⑪ZEN工程入力!$S$6:$S$35,$J31,⑪ZEN工程入力!$J$6:$J$35,"&gt;0")-SUMIFS(⑪ZEN工程入力!$M$6:$M$35,⑪ZEN工程入力!$S$6:$S$35,$J31,⑪ZEN工程入力!$J$6:$J$35,"&gt;0",⑪ZEN工程入力!$I$6:$I$35,"&gt;0")+SUMIFS(⑫ミキサー工程入力!$M$6:$M$65,⑫ミキサー工程入力!$S$6:$S$65,$J31,⑫ミキサー工程入力!$J$6:$J$65,"&gt;0")-SUMIFS(⑫ミキサー工程入力!$M$6:$M$65,⑫ミキサー工程入力!$S$6:$S$65,$J31,⑫ミキサー工程入力!$J$6:$J$65,"&gt;0",⑫ミキサー工程入力!$I$6:$I$65,"&gt;0")+SUMIFS(⑬計量工程入力!$M$6:$M$65,⑬計量工程入力!$S$6:$S$65,$J31,⑬計量工程入力!$J$6:$J$65,"&gt;0")-SUMIFS(⑬計量工程入力!$M$6:$M$65,⑬計量工程入力!$S$6:$S$65,$J31,⑬計量工程入力!$J$6:$J$65,"&gt;0",⑬計量工程入力!$I$6:$I$65,"&gt;0")+SUMIFS(⑭手動工程入力!$M$6:$M$47,⑭手動工程入力!$S$6:$S$47,$J31,⑭手動工程入力!$J$6:$J$47,"&gt;0")-SUMIFS(⑭手動工程入力!$M$6:$M$47,⑭手動工程入力!$S$6:$S$47,$J31,⑭手動工程入力!$J$6:$J$47,"&gt;0",⑭手動工程入力!$I$6:$I$47,"&gt;0"))</f>
        <v/>
      </c>
      <c r="O31" s="393">
        <f>IF($J31="",0,SUMIFS(②釜工程入力!$J$5:$J$117,②釜工程入力!$S$5:$S$117,$J31,②釜工程入力!$J$5:$J$117,"&gt;0",②釜工程入力!$M$5:$M$117,"&gt;0")-SUMIFS(②釜工程入力!$J$5:$J$117,②釜工程入力!$S$5:$S$117,$J31,②釜工程入力!$J$5:$J$117,"&gt;0",②釜工程入力!$I$5:$I$117,"&gt;0",②釜工程入力!$M$5:$M$117,"&gt;0")+SUMIFS(③スチコン工程入力!$J$5:$J$152,③スチコン工程入力!$S$5:$S$152,$J31,③スチコン工程入力!$J$5:$J$152,"&gt;0",③スチコン工程入力!$M$5:$M$152,"&gt;0")-SUMIFS(③スチコン工程入力!$J$5:$J$152,③スチコン工程入力!$S$5:$S$152,$J31,③スチコン工程入力!$J$5:$J$152,"&gt;0",③スチコン工程入力!$I$5:$I$152,"&gt;0",③スチコン工程入力!$M$5:$M$152,"&gt;0")+SUMIFS(⑪ZEN工程入力!$J$6:$J$35,⑪ZEN工程入力!$S$6:$S$35,$J31,⑪ZEN工程入力!$J$6:$J$35,"&gt;0",⑪ZEN工程入力!$M$6:$M$35,"&gt;0")-SUMIFS(⑪ZEN工程入力!$J$6:$J$35,⑪ZEN工程入力!$S$6:$S$35,$J31,⑪ZEN工程入力!$J$6:$J$35,"&gt;0",⑪ZEN工程入力!$I$6:$I$35,"&gt;0",⑪ZEN工程入力!$M$6:$M$35,"&gt;0")+SUMIFS(⑫ミキサー工程入力!$J$6:$J$65,⑫ミキサー工程入力!$S$6:$S$65,$J31,⑫ミキサー工程入力!$J$6:$J$65,"&gt;0",⑫ミキサー工程入力!$M$6:$M$65,"&gt;0")-SUMIFS(⑫ミキサー工程入力!$J$6:$J$65,⑫ミキサー工程入力!$S$6:$S$65,$J31,⑫ミキサー工程入力!$J$6:$J$65,"&gt;0",⑫ミキサー工程入力!$I$6:$I$65,"&gt;0",⑫ミキサー工程入力!$M$6:$M$65,"&gt;0")+SUMIFS(⑬計量工程入力!$J$6:$J$65,⑬計量工程入力!$S$6:$S$65,$J31,⑬計量工程入力!$J$6:$J$65,"&gt;0",⑬計量工程入力!$M$6:$M$65,"&gt;0")-SUMIFS(⑬計量工程入力!$J$6:$J$65,⑬計量工程入力!$S$6:$S$65,$J31,⑬計量工程入力!$J$6:$J$65,"&gt;0",⑬計量工程入力!$I$6:$I$65,"&gt;0",⑬計量工程入力!$M$6:$M$65,"&gt;0")+SUMIFS(⑭手動工程入力!$J$6:$J$47,⑭手動工程入力!$S$6:$S$47,$J31,⑭手動工程入力!$J$6:$J$47,"&gt;0",⑭手動工程入力!$M$6:$M$47,"&gt;0")-SUMIFS(⑭手動工程入力!$J$6:$J$47,⑭手動工程入力!$S$6:$S$47,$J31,⑭手動工程入力!$J$6:$J$47,"&gt;0",⑭手動工程入力!$I$6:$I$47,"&gt;0",⑭手動工程入力!$M$6:$M$47,"&gt;0"))</f>
        <v/>
      </c>
      <c r="P31" s="392" t="n"/>
    </row>
    <row r="32">
      <c r="A32" s="392" t="n">
        <v>28</v>
      </c>
      <c r="B32" s="392" t="n"/>
      <c r="C32" s="392" t="n"/>
      <c r="D32" s="392" t="n"/>
      <c r="E32" s="392" t="n"/>
      <c r="F32" s="394" t="n"/>
      <c r="G32" s="392" t="n"/>
      <c r="H32" s="604">
        <f>IFERROR(IF(AND($K32&gt;0,ISNUMBER(IF(OR($D32="g",$D32="ｇ"),IF($M32&gt;0,$L32/$M32/1000,""),IF($D32="kg",IF($M32&gt;0,$L32/$M32,""),IF($D32="",IF($M32&gt;0,$L32/$M32/1000,IF($O32&gt;0,$N32/$O32,"")),IF($O32&gt;0,$N32/$O32,"")))))),IF(OR($D32="g",$D32="ｇ"),IF($M32&gt;0,$L32/$M32/1000,""),IF($D32="kg",IF($M32&gt;0,$L32/$M32,""),IF($D32="",IF($M32&gt;0,$L32/$M32/1000,IF($O32&gt;0,$N32/$O32,"")),IF($O32&gt;0,$N32/$O32,"")))),IF($F32="",IF(OR($E32="",$E32="⑩盛付梱包工程入力"),"",IF(OR($D32="g",$D32="ｇ"),INDEX(⑰工程労務費一覧!$N$5:$N$11,MATCH($E32,⑰工程労務費一覧!$K$5:$K$11,0))/1000,IF($D32="kg",INDEX(⑰工程労務費一覧!$N$5:$N$11,MATCH($E32,⑰工程労務費一覧!$K$5:$K$11,0)),IF(OR($D32="個",$D32="切",$D32="本",$D32="枚",$D32="尾"),IF($E32="⑬計量工程入力","",INDEX(⑰工程労務費一覧!$P$5:$P$11,MATCH($E32,⑰工程労務費一覧!$K$5:$K$11,0))),IF(AND($D32="",OR($E32="②釜工程入力",$E32="③スチコン工程入力")),INDEX(⑰工程労務費一覧!$N$5:$N$11,MATCH($E32,⑰工程労務費一覧!$K$5:$K$11,0))/1000,""))))),IF(OR($D32="g",$D32="ｇ"),INDEX(⑰工程労務費一覧!$H$5:$H$753,MATCH($F32,⑰工程労務費一覧!$D$5:$D$753,0))/1000,IF($D32="kg",INDEX(⑰工程労務費一覧!$H$5:$H$753,MATCH($F32,⑰工程労務費一覧!$D$5:$D$753,0)),INDEX(⑰工程労務費一覧!$I$5:$I$753,MATCH($F32,⑰工程労務費一覧!$D$5:$D$753,0)))))),"")</f>
        <v/>
      </c>
      <c r="I32" s="392">
        <f>IF($K32&gt;0,IF(ISNUMBER(IF(OR($D32="g",$D32="ｇ"),IF($M32&gt;0,$L32/$M32/1000,""),IF($D32="kg",IF($M32&gt;0,$L32/$M32,""),IF($D32="",IF($M32&gt;0,$L32/$M32/1000,IF($O32&gt;0,$N32/$O32,"")),IF($O32&gt;0,$N32/$O32,""))))),IF($D32="",IF($M32&gt;0,"◎ JAN紐づけ(g扱い)","◎ JAN紐づけ(個扱い)"),"◎ JAN紐づけ"),"△ JAN紐づけ済・実績不足→仮計算"),IF($F32="",IF(ISNUMBER($H32),IF($D32="","⑤ 工程平均で仮計算(g扱い)","⑤ 工程平均で仮計算"),IF($E32="⑩盛付梱包工程入力","⑥ 盛り込み(⑳F列で計上)",IF(AND($E32="⑬計量工程入力",OR($D32="個",$D32="切",$D32="本",$D32="枚",$D32="尾")),"① 未紐づけ(カット個単位は仮単価なし)","① 未紐づけ"))),IF(NOT(ISNUMBER($H32)),"② 工程側に単価なし",IF($D32="","③ 単位未設定(個で計算)","④ OK"))))</f>
        <v/>
      </c>
      <c r="J32" s="399">
        <f>IFERROR(LOOKUP(2,1/((中間品リスト!$F$2:$F$1299=$B32)*(中間品リスト!$E$2:$E$1299&lt;&gt;"-")*(中間品リスト!$E$2:$E$1299&lt;&gt;"")),中間品リスト!$E$2:$E$1299),"")</f>
        <v/>
      </c>
      <c r="K32" s="400">
        <f>IF($J32="",0,COUNTIF(②釜工程入力!$S$5:$S$117,$J32)+COUNTIF(③スチコン工程入力!$S$5:$S$152,$J32)+COUNTIF(⑪ZEN工程入力!$S$6:$S$35,$J32)+COUNTIF(⑫ミキサー工程入力!$S$6:$S$65,$J32)+COUNTIF(⑬計量工程入力!$S$6:$S$65,$J32)+COUNTIF(⑭手動工程入力!$S$6:$S$47,$J32))</f>
        <v/>
      </c>
      <c r="L32" s="393">
        <f>IF($J32="",0,SUMIFS(②釜工程入力!$M$5:$M$117,②釜工程入力!$S$5:$S$117,$J32,②釜工程入力!$I$5:$I$117,"&gt;0")+SUMIFS(③スチコン工程入力!$M$5:$M$152,③スチコン工程入力!$S$5:$S$152,$J32,③スチコン工程入力!$I$5:$I$152,"&gt;0")+SUMIFS(⑪ZEN工程入力!$M$6:$M$35,⑪ZEN工程入力!$S$6:$S$35,$J32,⑪ZEN工程入力!$I$6:$I$35,"&gt;0")+SUMIFS(⑫ミキサー工程入力!$M$6:$M$65,⑫ミキサー工程入力!$S$6:$S$65,$J32,⑫ミキサー工程入力!$I$6:$I$65,"&gt;0")+SUMIFS(⑬計量工程入力!$M$6:$M$65,⑬計量工程入力!$S$6:$S$65,$J32,⑬計量工程入力!$I$6:$I$65,"&gt;0")+SUMIFS(⑭手動工程入力!$M$6:$M$47,⑭手動工程入力!$S$6:$S$47,$J32,⑭手動工程入力!$I$6:$I$47,"&gt;0"))</f>
        <v/>
      </c>
      <c r="M32" s="393">
        <f>IF($J32="",0,SUMIFS(②釜工程入力!$I$5:$I$117,②釜工程入力!$S$5:$S$117,$J32,②釜工程入力!$I$5:$I$117,"&gt;0",②釜工程入力!$M$5:$M$117,"&gt;0")+SUMIFS(③スチコン工程入力!$I$5:$I$152,③スチコン工程入力!$S$5:$S$152,$J32,③スチコン工程入力!$I$5:$I$152,"&gt;0",③スチコン工程入力!$M$5:$M$152,"&gt;0")+SUMIFS(⑪ZEN工程入力!$I$6:$I$35,⑪ZEN工程入力!$S$6:$S$35,$J32,⑪ZEN工程入力!$I$6:$I$35,"&gt;0",⑪ZEN工程入力!$M$6:$M$35,"&gt;0")+SUMIFS(⑫ミキサー工程入力!$I$6:$I$65,⑫ミキサー工程入力!$S$6:$S$65,$J32,⑫ミキサー工程入力!$I$6:$I$65,"&gt;0",⑫ミキサー工程入力!$M$6:$M$65,"&gt;0")+SUMIFS(⑬計量工程入力!$I$6:$I$65,⑬計量工程入力!$S$6:$S$65,$J32,⑬計量工程入力!$I$6:$I$65,"&gt;0",⑬計量工程入力!$M$6:$M$65,"&gt;0")+SUMIFS(⑭手動工程入力!$I$6:$I$47,⑭手動工程入力!$S$6:$S$47,$J32,⑭手動工程入力!$I$6:$I$47,"&gt;0",⑭手動工程入力!$M$6:$M$47,"&gt;0"))</f>
        <v/>
      </c>
      <c r="N32" s="393">
        <f>IF($J32="",0,SUMIFS(②釜工程入力!$M$5:$M$117,②釜工程入力!$S$5:$S$117,$J32,②釜工程入力!$J$5:$J$117,"&gt;0")-SUMIFS(②釜工程入力!$M$5:$M$117,②釜工程入力!$S$5:$S$117,$J32,②釜工程入力!$J$5:$J$117,"&gt;0",②釜工程入力!$I$5:$I$117,"&gt;0")+SUMIFS(③スチコン工程入力!$M$5:$M$152,③スチコン工程入力!$S$5:$S$152,$J32,③スチコン工程入力!$J$5:$J$152,"&gt;0")-SUMIFS(③スチコン工程入力!$M$5:$M$152,③スチコン工程入力!$S$5:$S$152,$J32,③スチコン工程入力!$J$5:$J$152,"&gt;0",③スチコン工程入力!$I$5:$I$152,"&gt;0")+SUMIFS(⑪ZEN工程入力!$M$6:$M$35,⑪ZEN工程入力!$S$6:$S$35,$J32,⑪ZEN工程入力!$J$6:$J$35,"&gt;0")-SUMIFS(⑪ZEN工程入力!$M$6:$M$35,⑪ZEN工程入力!$S$6:$S$35,$J32,⑪ZEN工程入力!$J$6:$J$35,"&gt;0",⑪ZEN工程入力!$I$6:$I$35,"&gt;0")+SUMIFS(⑫ミキサー工程入力!$M$6:$M$65,⑫ミキサー工程入力!$S$6:$S$65,$J32,⑫ミキサー工程入力!$J$6:$J$65,"&gt;0")-SUMIFS(⑫ミキサー工程入力!$M$6:$M$65,⑫ミキサー工程入力!$S$6:$S$65,$J32,⑫ミキサー工程入力!$J$6:$J$65,"&gt;0",⑫ミキサー工程入力!$I$6:$I$65,"&gt;0")+SUMIFS(⑬計量工程入力!$M$6:$M$65,⑬計量工程入力!$S$6:$S$65,$J32,⑬計量工程入力!$J$6:$J$65,"&gt;0")-SUMIFS(⑬計量工程入力!$M$6:$M$65,⑬計量工程入力!$S$6:$S$65,$J32,⑬計量工程入力!$J$6:$J$65,"&gt;0",⑬計量工程入力!$I$6:$I$65,"&gt;0")+SUMIFS(⑭手動工程入力!$M$6:$M$47,⑭手動工程入力!$S$6:$S$47,$J32,⑭手動工程入力!$J$6:$J$47,"&gt;0")-SUMIFS(⑭手動工程入力!$M$6:$M$47,⑭手動工程入力!$S$6:$S$47,$J32,⑭手動工程入力!$J$6:$J$47,"&gt;0",⑭手動工程入力!$I$6:$I$47,"&gt;0"))</f>
        <v/>
      </c>
      <c r="O32" s="393">
        <f>IF($J32="",0,SUMIFS(②釜工程入力!$J$5:$J$117,②釜工程入力!$S$5:$S$117,$J32,②釜工程入力!$J$5:$J$117,"&gt;0",②釜工程入力!$M$5:$M$117,"&gt;0")-SUMIFS(②釜工程入力!$J$5:$J$117,②釜工程入力!$S$5:$S$117,$J32,②釜工程入力!$J$5:$J$117,"&gt;0",②釜工程入力!$I$5:$I$117,"&gt;0",②釜工程入力!$M$5:$M$117,"&gt;0")+SUMIFS(③スチコン工程入力!$J$5:$J$152,③スチコン工程入力!$S$5:$S$152,$J32,③スチコン工程入力!$J$5:$J$152,"&gt;0",③スチコン工程入力!$M$5:$M$152,"&gt;0")-SUMIFS(③スチコン工程入力!$J$5:$J$152,③スチコン工程入力!$S$5:$S$152,$J32,③スチコン工程入力!$J$5:$J$152,"&gt;0",③スチコン工程入力!$I$5:$I$152,"&gt;0",③スチコン工程入力!$M$5:$M$152,"&gt;0")+SUMIFS(⑪ZEN工程入力!$J$6:$J$35,⑪ZEN工程入力!$S$6:$S$35,$J32,⑪ZEN工程入力!$J$6:$J$35,"&gt;0",⑪ZEN工程入力!$M$6:$M$35,"&gt;0")-SUMIFS(⑪ZEN工程入力!$J$6:$J$35,⑪ZEN工程入力!$S$6:$S$35,$J32,⑪ZEN工程入力!$J$6:$J$35,"&gt;0",⑪ZEN工程入力!$I$6:$I$35,"&gt;0",⑪ZEN工程入力!$M$6:$M$35,"&gt;0")+SUMIFS(⑫ミキサー工程入力!$J$6:$J$65,⑫ミキサー工程入力!$S$6:$S$65,$J32,⑫ミキサー工程入力!$J$6:$J$65,"&gt;0",⑫ミキサー工程入力!$M$6:$M$65,"&gt;0")-SUMIFS(⑫ミキサー工程入力!$J$6:$J$65,⑫ミキサー工程入力!$S$6:$S$65,$J32,⑫ミキサー工程入力!$J$6:$J$65,"&gt;0",⑫ミキサー工程入力!$I$6:$I$65,"&gt;0",⑫ミキサー工程入力!$M$6:$M$65,"&gt;0")+SUMIFS(⑬計量工程入力!$J$6:$J$65,⑬計量工程入力!$S$6:$S$65,$J32,⑬計量工程入力!$J$6:$J$65,"&gt;0",⑬計量工程入力!$M$6:$M$65,"&gt;0")-SUMIFS(⑬計量工程入力!$J$6:$J$65,⑬計量工程入力!$S$6:$S$65,$J32,⑬計量工程入力!$J$6:$J$65,"&gt;0",⑬計量工程入力!$I$6:$I$65,"&gt;0",⑬計量工程入力!$M$6:$M$65,"&gt;0")+SUMIFS(⑭手動工程入力!$J$6:$J$47,⑭手動工程入力!$S$6:$S$47,$J32,⑭手動工程入力!$J$6:$J$47,"&gt;0",⑭手動工程入力!$M$6:$M$47,"&gt;0")-SUMIFS(⑭手動工程入力!$J$6:$J$47,⑭手動工程入力!$S$6:$S$47,$J32,⑭手動工程入力!$J$6:$J$47,"&gt;0",⑭手動工程入力!$I$6:$I$47,"&gt;0",⑭手動工程入力!$M$6:$M$47,"&gt;0"))</f>
        <v/>
      </c>
      <c r="P32" s="392" t="n"/>
    </row>
    <row r="33">
      <c r="A33" s="392" t="n">
        <v>29</v>
      </c>
      <c r="B33" s="392" t="n"/>
      <c r="C33" s="392" t="n"/>
      <c r="D33" s="392" t="n"/>
      <c r="E33" s="392" t="n"/>
      <c r="F33" s="394" t="n"/>
      <c r="G33" s="392" t="n"/>
      <c r="H33" s="604">
        <f>IFERROR(IF(AND($K33&gt;0,ISNUMBER(IF(OR($D33="g",$D33="ｇ"),IF($M33&gt;0,$L33/$M33/1000,""),IF($D33="kg",IF($M33&gt;0,$L33/$M33,""),IF($D33="",IF($M33&gt;0,$L33/$M33/1000,IF($O33&gt;0,$N33/$O33,"")),IF($O33&gt;0,$N33/$O33,"")))))),IF(OR($D33="g",$D33="ｇ"),IF($M33&gt;0,$L33/$M33/1000,""),IF($D33="kg",IF($M33&gt;0,$L33/$M33,""),IF($D33="",IF($M33&gt;0,$L33/$M33/1000,IF($O33&gt;0,$N33/$O33,"")),IF($O33&gt;0,$N33/$O33,"")))),IF($F33="",IF(OR($E33="",$E33="⑩盛付梱包工程入力"),"",IF(OR($D33="g",$D33="ｇ"),INDEX(⑰工程労務費一覧!$N$5:$N$11,MATCH($E33,⑰工程労務費一覧!$K$5:$K$11,0))/1000,IF($D33="kg",INDEX(⑰工程労務費一覧!$N$5:$N$11,MATCH($E33,⑰工程労務費一覧!$K$5:$K$11,0)),IF(OR($D33="個",$D33="切",$D33="本",$D33="枚",$D33="尾"),IF($E33="⑬計量工程入力","",INDEX(⑰工程労務費一覧!$P$5:$P$11,MATCH($E33,⑰工程労務費一覧!$K$5:$K$11,0))),IF(AND($D33="",OR($E33="②釜工程入力",$E33="③スチコン工程入力")),INDEX(⑰工程労務費一覧!$N$5:$N$11,MATCH($E33,⑰工程労務費一覧!$K$5:$K$11,0))/1000,""))))),IF(OR($D33="g",$D33="ｇ"),INDEX(⑰工程労務費一覧!$H$5:$H$753,MATCH($F33,⑰工程労務費一覧!$D$5:$D$753,0))/1000,IF($D33="kg",INDEX(⑰工程労務費一覧!$H$5:$H$753,MATCH($F33,⑰工程労務費一覧!$D$5:$D$753,0)),INDEX(⑰工程労務費一覧!$I$5:$I$753,MATCH($F33,⑰工程労務費一覧!$D$5:$D$753,0)))))),"")</f>
        <v/>
      </c>
      <c r="I33" s="392">
        <f>IF($K33&gt;0,IF(ISNUMBER(IF(OR($D33="g",$D33="ｇ"),IF($M33&gt;0,$L33/$M33/1000,""),IF($D33="kg",IF($M33&gt;0,$L33/$M33,""),IF($D33="",IF($M33&gt;0,$L33/$M33/1000,IF($O33&gt;0,$N33/$O33,"")),IF($O33&gt;0,$N33/$O33,""))))),IF($D33="",IF($M33&gt;0,"◎ JAN紐づけ(g扱い)","◎ JAN紐づけ(個扱い)"),"◎ JAN紐づけ"),"△ JAN紐づけ済・実績不足→仮計算"),IF($F33="",IF(ISNUMBER($H33),IF($D33="","⑤ 工程平均で仮計算(g扱い)","⑤ 工程平均で仮計算"),IF($E33="⑩盛付梱包工程入力","⑥ 盛り込み(⑳F列で計上)",IF(AND($E33="⑬計量工程入力",OR($D33="個",$D33="切",$D33="本",$D33="枚",$D33="尾")),"① 未紐づけ(カット個単位は仮単価なし)","① 未紐づけ"))),IF(NOT(ISNUMBER($H33)),"② 工程側に単価なし",IF($D33="","③ 単位未設定(個で計算)","④ OK"))))</f>
        <v/>
      </c>
      <c r="J33" s="399">
        <f>IFERROR(LOOKUP(2,1/((中間品リスト!$F$2:$F$1299=$B33)*(中間品リスト!$E$2:$E$1299&lt;&gt;"-")*(中間品リスト!$E$2:$E$1299&lt;&gt;"")),中間品リスト!$E$2:$E$1299),"")</f>
        <v/>
      </c>
      <c r="K33" s="400">
        <f>IF($J33="",0,COUNTIF(②釜工程入力!$S$5:$S$117,$J33)+COUNTIF(③スチコン工程入力!$S$5:$S$152,$J33)+COUNTIF(⑪ZEN工程入力!$S$6:$S$35,$J33)+COUNTIF(⑫ミキサー工程入力!$S$6:$S$65,$J33)+COUNTIF(⑬計量工程入力!$S$6:$S$65,$J33)+COUNTIF(⑭手動工程入力!$S$6:$S$47,$J33))</f>
        <v/>
      </c>
      <c r="L33" s="393">
        <f>IF($J33="",0,SUMIFS(②釜工程入力!$M$5:$M$117,②釜工程入力!$S$5:$S$117,$J33,②釜工程入力!$I$5:$I$117,"&gt;0")+SUMIFS(③スチコン工程入力!$M$5:$M$152,③スチコン工程入力!$S$5:$S$152,$J33,③スチコン工程入力!$I$5:$I$152,"&gt;0")+SUMIFS(⑪ZEN工程入力!$M$6:$M$35,⑪ZEN工程入力!$S$6:$S$35,$J33,⑪ZEN工程入力!$I$6:$I$35,"&gt;0")+SUMIFS(⑫ミキサー工程入力!$M$6:$M$65,⑫ミキサー工程入力!$S$6:$S$65,$J33,⑫ミキサー工程入力!$I$6:$I$65,"&gt;0")+SUMIFS(⑬計量工程入力!$M$6:$M$65,⑬計量工程入力!$S$6:$S$65,$J33,⑬計量工程入力!$I$6:$I$65,"&gt;0")+SUMIFS(⑭手動工程入力!$M$6:$M$47,⑭手動工程入力!$S$6:$S$47,$J33,⑭手動工程入力!$I$6:$I$47,"&gt;0"))</f>
        <v/>
      </c>
      <c r="M33" s="393">
        <f>IF($J33="",0,SUMIFS(②釜工程入力!$I$5:$I$117,②釜工程入力!$S$5:$S$117,$J33,②釜工程入力!$I$5:$I$117,"&gt;0",②釜工程入力!$M$5:$M$117,"&gt;0")+SUMIFS(③スチコン工程入力!$I$5:$I$152,③スチコン工程入力!$S$5:$S$152,$J33,③スチコン工程入力!$I$5:$I$152,"&gt;0",③スチコン工程入力!$M$5:$M$152,"&gt;0")+SUMIFS(⑪ZEN工程入力!$I$6:$I$35,⑪ZEN工程入力!$S$6:$S$35,$J33,⑪ZEN工程入力!$I$6:$I$35,"&gt;0",⑪ZEN工程入力!$M$6:$M$35,"&gt;0")+SUMIFS(⑫ミキサー工程入力!$I$6:$I$65,⑫ミキサー工程入力!$S$6:$S$65,$J33,⑫ミキサー工程入力!$I$6:$I$65,"&gt;0",⑫ミキサー工程入力!$M$6:$M$65,"&gt;0")+SUMIFS(⑬計量工程入力!$I$6:$I$65,⑬計量工程入力!$S$6:$S$65,$J33,⑬計量工程入力!$I$6:$I$65,"&gt;0",⑬計量工程入力!$M$6:$M$65,"&gt;0")+SUMIFS(⑭手動工程入力!$I$6:$I$47,⑭手動工程入力!$S$6:$S$47,$J33,⑭手動工程入力!$I$6:$I$47,"&gt;0",⑭手動工程入力!$M$6:$M$47,"&gt;0"))</f>
        <v/>
      </c>
      <c r="N33" s="393">
        <f>IF($J33="",0,SUMIFS(②釜工程入力!$M$5:$M$117,②釜工程入力!$S$5:$S$117,$J33,②釜工程入力!$J$5:$J$117,"&gt;0")-SUMIFS(②釜工程入力!$M$5:$M$117,②釜工程入力!$S$5:$S$117,$J33,②釜工程入力!$J$5:$J$117,"&gt;0",②釜工程入力!$I$5:$I$117,"&gt;0")+SUMIFS(③スチコン工程入力!$M$5:$M$152,③スチコン工程入力!$S$5:$S$152,$J33,③スチコン工程入力!$J$5:$J$152,"&gt;0")-SUMIFS(③スチコン工程入力!$M$5:$M$152,③スチコン工程入力!$S$5:$S$152,$J33,③スチコン工程入力!$J$5:$J$152,"&gt;0",③スチコン工程入力!$I$5:$I$152,"&gt;0")+SUMIFS(⑪ZEN工程入力!$M$6:$M$35,⑪ZEN工程入力!$S$6:$S$35,$J33,⑪ZEN工程入力!$J$6:$J$35,"&gt;0")-SUMIFS(⑪ZEN工程入力!$M$6:$M$35,⑪ZEN工程入力!$S$6:$S$35,$J33,⑪ZEN工程入力!$J$6:$J$35,"&gt;0",⑪ZEN工程入力!$I$6:$I$35,"&gt;0")+SUMIFS(⑫ミキサー工程入力!$M$6:$M$65,⑫ミキサー工程入力!$S$6:$S$65,$J33,⑫ミキサー工程入力!$J$6:$J$65,"&gt;0")-SUMIFS(⑫ミキサー工程入力!$M$6:$M$65,⑫ミキサー工程入力!$S$6:$S$65,$J33,⑫ミキサー工程入力!$J$6:$J$65,"&gt;0",⑫ミキサー工程入力!$I$6:$I$65,"&gt;0")+SUMIFS(⑬計量工程入力!$M$6:$M$65,⑬計量工程入力!$S$6:$S$65,$J33,⑬計量工程入力!$J$6:$J$65,"&gt;0")-SUMIFS(⑬計量工程入力!$M$6:$M$65,⑬計量工程入力!$S$6:$S$65,$J33,⑬計量工程入力!$J$6:$J$65,"&gt;0",⑬計量工程入力!$I$6:$I$65,"&gt;0")+SUMIFS(⑭手動工程入力!$M$6:$M$47,⑭手動工程入力!$S$6:$S$47,$J33,⑭手動工程入力!$J$6:$J$47,"&gt;0")-SUMIFS(⑭手動工程入力!$M$6:$M$47,⑭手動工程入力!$S$6:$S$47,$J33,⑭手動工程入力!$J$6:$J$47,"&gt;0",⑭手動工程入力!$I$6:$I$47,"&gt;0"))</f>
        <v/>
      </c>
      <c r="O33" s="393">
        <f>IF($J33="",0,SUMIFS(②釜工程入力!$J$5:$J$117,②釜工程入力!$S$5:$S$117,$J33,②釜工程入力!$J$5:$J$117,"&gt;0",②釜工程入力!$M$5:$M$117,"&gt;0")-SUMIFS(②釜工程入力!$J$5:$J$117,②釜工程入力!$S$5:$S$117,$J33,②釜工程入力!$J$5:$J$117,"&gt;0",②釜工程入力!$I$5:$I$117,"&gt;0",②釜工程入力!$M$5:$M$117,"&gt;0")+SUMIFS(③スチコン工程入力!$J$5:$J$152,③スチコン工程入力!$S$5:$S$152,$J33,③スチコン工程入力!$J$5:$J$152,"&gt;0",③スチコン工程入力!$M$5:$M$152,"&gt;0")-SUMIFS(③スチコン工程入力!$J$5:$J$152,③スチコン工程入力!$S$5:$S$152,$J33,③スチコン工程入力!$J$5:$J$152,"&gt;0",③スチコン工程入力!$I$5:$I$152,"&gt;0",③スチコン工程入力!$M$5:$M$152,"&gt;0")+SUMIFS(⑪ZEN工程入力!$J$6:$J$35,⑪ZEN工程入力!$S$6:$S$35,$J33,⑪ZEN工程入力!$J$6:$J$35,"&gt;0",⑪ZEN工程入力!$M$6:$M$35,"&gt;0")-SUMIFS(⑪ZEN工程入力!$J$6:$J$35,⑪ZEN工程入力!$S$6:$S$35,$J33,⑪ZEN工程入力!$J$6:$J$35,"&gt;0",⑪ZEN工程入力!$I$6:$I$35,"&gt;0",⑪ZEN工程入力!$M$6:$M$35,"&gt;0")+SUMIFS(⑫ミキサー工程入力!$J$6:$J$65,⑫ミキサー工程入力!$S$6:$S$65,$J33,⑫ミキサー工程入力!$J$6:$J$65,"&gt;0",⑫ミキサー工程入力!$M$6:$M$65,"&gt;0")-SUMIFS(⑫ミキサー工程入力!$J$6:$J$65,⑫ミキサー工程入力!$S$6:$S$65,$J33,⑫ミキサー工程入力!$J$6:$J$65,"&gt;0",⑫ミキサー工程入力!$I$6:$I$65,"&gt;0",⑫ミキサー工程入力!$M$6:$M$65,"&gt;0")+SUMIFS(⑬計量工程入力!$J$6:$J$65,⑬計量工程入力!$S$6:$S$65,$J33,⑬計量工程入力!$J$6:$J$65,"&gt;0",⑬計量工程入力!$M$6:$M$65,"&gt;0")-SUMIFS(⑬計量工程入力!$J$6:$J$65,⑬計量工程入力!$S$6:$S$65,$J33,⑬計量工程入力!$J$6:$J$65,"&gt;0",⑬計量工程入力!$I$6:$I$65,"&gt;0",⑬計量工程入力!$M$6:$M$65,"&gt;0")+SUMIFS(⑭手動工程入力!$J$6:$J$47,⑭手動工程入力!$S$6:$S$47,$J33,⑭手動工程入力!$J$6:$J$47,"&gt;0",⑭手動工程入力!$M$6:$M$47,"&gt;0")-SUMIFS(⑭手動工程入力!$J$6:$J$47,⑭手動工程入力!$S$6:$S$47,$J33,⑭手動工程入力!$J$6:$J$47,"&gt;0",⑭手動工程入力!$I$6:$I$47,"&gt;0",⑭手動工程入力!$M$6:$M$47,"&gt;0"))</f>
        <v/>
      </c>
      <c r="P33" s="392" t="n"/>
    </row>
    <row r="34">
      <c r="A34" s="392" t="n">
        <v>30</v>
      </c>
      <c r="B34" s="392" t="n"/>
      <c r="C34" s="392" t="n"/>
      <c r="D34" s="392" t="n"/>
      <c r="E34" s="392" t="n"/>
      <c r="F34" s="394" t="n"/>
      <c r="G34" s="392" t="n"/>
      <c r="H34" s="604">
        <f>IFERROR(IF(AND($K34&gt;0,ISNUMBER(IF(OR($D34="g",$D34="ｇ"),IF($M34&gt;0,$L34/$M34/1000,""),IF($D34="kg",IF($M34&gt;0,$L34/$M34,""),IF($D34="",IF($M34&gt;0,$L34/$M34/1000,IF($O34&gt;0,$N34/$O34,"")),IF($O34&gt;0,$N34/$O34,"")))))),IF(OR($D34="g",$D34="ｇ"),IF($M34&gt;0,$L34/$M34/1000,""),IF($D34="kg",IF($M34&gt;0,$L34/$M34,""),IF($D34="",IF($M34&gt;0,$L34/$M34/1000,IF($O34&gt;0,$N34/$O34,"")),IF($O34&gt;0,$N34/$O34,"")))),IF($F34="",IF(OR($E34="",$E34="⑩盛付梱包工程入力"),"",IF(OR($D34="g",$D34="ｇ"),INDEX(⑰工程労務費一覧!$N$5:$N$11,MATCH($E34,⑰工程労務費一覧!$K$5:$K$11,0))/1000,IF($D34="kg",INDEX(⑰工程労務費一覧!$N$5:$N$11,MATCH($E34,⑰工程労務費一覧!$K$5:$K$11,0)),IF(OR($D34="個",$D34="切",$D34="本",$D34="枚",$D34="尾"),IF($E34="⑬計量工程入力","",INDEX(⑰工程労務費一覧!$P$5:$P$11,MATCH($E34,⑰工程労務費一覧!$K$5:$K$11,0))),IF(AND($D34="",OR($E34="②釜工程入力",$E34="③スチコン工程入力")),INDEX(⑰工程労務費一覧!$N$5:$N$11,MATCH($E34,⑰工程労務費一覧!$K$5:$K$11,0))/1000,""))))),IF(OR($D34="g",$D34="ｇ"),INDEX(⑰工程労務費一覧!$H$5:$H$753,MATCH($F34,⑰工程労務費一覧!$D$5:$D$753,0))/1000,IF($D34="kg",INDEX(⑰工程労務費一覧!$H$5:$H$753,MATCH($F34,⑰工程労務費一覧!$D$5:$D$753,0)),INDEX(⑰工程労務費一覧!$I$5:$I$753,MATCH($F34,⑰工程労務費一覧!$D$5:$D$753,0)))))),"")</f>
        <v/>
      </c>
      <c r="I34" s="392">
        <f>IF($K34&gt;0,IF(ISNUMBER(IF(OR($D34="g",$D34="ｇ"),IF($M34&gt;0,$L34/$M34/1000,""),IF($D34="kg",IF($M34&gt;0,$L34/$M34,""),IF($D34="",IF($M34&gt;0,$L34/$M34/1000,IF($O34&gt;0,$N34/$O34,"")),IF($O34&gt;0,$N34/$O34,""))))),IF($D34="",IF($M34&gt;0,"◎ JAN紐づけ(g扱い)","◎ JAN紐づけ(個扱い)"),"◎ JAN紐づけ"),"△ JAN紐づけ済・実績不足→仮計算"),IF($F34="",IF(ISNUMBER($H34),IF($D34="","⑤ 工程平均で仮計算(g扱い)","⑤ 工程平均で仮計算"),IF($E34="⑩盛付梱包工程入力","⑥ 盛り込み(⑳F列で計上)",IF(AND($E34="⑬計量工程入力",OR($D34="個",$D34="切",$D34="本",$D34="枚",$D34="尾")),"① 未紐づけ(カット個単位は仮単価なし)","① 未紐づけ"))),IF(NOT(ISNUMBER($H34)),"② 工程側に単価なし",IF($D34="","③ 単位未設定(個で計算)","④ OK"))))</f>
        <v/>
      </c>
      <c r="J34" s="399">
        <f>IFERROR(LOOKUP(2,1/((中間品リスト!$F$2:$F$1299=$B34)*(中間品リスト!$E$2:$E$1299&lt;&gt;"-")*(中間品リスト!$E$2:$E$1299&lt;&gt;"")),中間品リスト!$E$2:$E$1299),"")</f>
        <v/>
      </c>
      <c r="K34" s="400">
        <f>IF($J34="",0,COUNTIF(②釜工程入力!$S$5:$S$117,$J34)+COUNTIF(③スチコン工程入力!$S$5:$S$152,$J34)+COUNTIF(⑪ZEN工程入力!$S$6:$S$35,$J34)+COUNTIF(⑫ミキサー工程入力!$S$6:$S$65,$J34)+COUNTIF(⑬計量工程入力!$S$6:$S$65,$J34)+COUNTIF(⑭手動工程入力!$S$6:$S$47,$J34))</f>
        <v/>
      </c>
      <c r="L34" s="393">
        <f>IF($J34="",0,SUMIFS(②釜工程入力!$M$5:$M$117,②釜工程入力!$S$5:$S$117,$J34,②釜工程入力!$I$5:$I$117,"&gt;0")+SUMIFS(③スチコン工程入力!$M$5:$M$152,③スチコン工程入力!$S$5:$S$152,$J34,③スチコン工程入力!$I$5:$I$152,"&gt;0")+SUMIFS(⑪ZEN工程入力!$M$6:$M$35,⑪ZEN工程入力!$S$6:$S$35,$J34,⑪ZEN工程入力!$I$6:$I$35,"&gt;0")+SUMIFS(⑫ミキサー工程入力!$M$6:$M$65,⑫ミキサー工程入力!$S$6:$S$65,$J34,⑫ミキサー工程入力!$I$6:$I$65,"&gt;0")+SUMIFS(⑬計量工程入力!$M$6:$M$65,⑬計量工程入力!$S$6:$S$65,$J34,⑬計量工程入力!$I$6:$I$65,"&gt;0")+SUMIFS(⑭手動工程入力!$M$6:$M$47,⑭手動工程入力!$S$6:$S$47,$J34,⑭手動工程入力!$I$6:$I$47,"&gt;0"))</f>
        <v/>
      </c>
      <c r="M34" s="393">
        <f>IF($J34="",0,SUMIFS(②釜工程入力!$I$5:$I$117,②釜工程入力!$S$5:$S$117,$J34,②釜工程入力!$I$5:$I$117,"&gt;0",②釜工程入力!$M$5:$M$117,"&gt;0")+SUMIFS(③スチコン工程入力!$I$5:$I$152,③スチコン工程入力!$S$5:$S$152,$J34,③スチコン工程入力!$I$5:$I$152,"&gt;0",③スチコン工程入力!$M$5:$M$152,"&gt;0")+SUMIFS(⑪ZEN工程入力!$I$6:$I$35,⑪ZEN工程入力!$S$6:$S$35,$J34,⑪ZEN工程入力!$I$6:$I$35,"&gt;0",⑪ZEN工程入力!$M$6:$M$35,"&gt;0")+SUMIFS(⑫ミキサー工程入力!$I$6:$I$65,⑫ミキサー工程入力!$S$6:$S$65,$J34,⑫ミキサー工程入力!$I$6:$I$65,"&gt;0",⑫ミキサー工程入力!$M$6:$M$65,"&gt;0")+SUMIFS(⑬計量工程入力!$I$6:$I$65,⑬計量工程入力!$S$6:$S$65,$J34,⑬計量工程入力!$I$6:$I$65,"&gt;0",⑬計量工程入力!$M$6:$M$65,"&gt;0")+SUMIFS(⑭手動工程入力!$I$6:$I$47,⑭手動工程入力!$S$6:$S$47,$J34,⑭手動工程入力!$I$6:$I$47,"&gt;0",⑭手動工程入力!$M$6:$M$47,"&gt;0"))</f>
        <v/>
      </c>
      <c r="N34" s="393">
        <f>IF($J34="",0,SUMIFS(②釜工程入力!$M$5:$M$117,②釜工程入力!$S$5:$S$117,$J34,②釜工程入力!$J$5:$J$117,"&gt;0")-SUMIFS(②釜工程入力!$M$5:$M$117,②釜工程入力!$S$5:$S$117,$J34,②釜工程入力!$J$5:$J$117,"&gt;0",②釜工程入力!$I$5:$I$117,"&gt;0")+SUMIFS(③スチコン工程入力!$M$5:$M$152,③スチコン工程入力!$S$5:$S$152,$J34,③スチコン工程入力!$J$5:$J$152,"&gt;0")-SUMIFS(③スチコン工程入力!$M$5:$M$152,③スチコン工程入力!$S$5:$S$152,$J34,③スチコン工程入力!$J$5:$J$152,"&gt;0",③スチコン工程入力!$I$5:$I$152,"&gt;0")+SUMIFS(⑪ZEN工程入力!$M$6:$M$35,⑪ZEN工程入力!$S$6:$S$35,$J34,⑪ZEN工程入力!$J$6:$J$35,"&gt;0")-SUMIFS(⑪ZEN工程入力!$M$6:$M$35,⑪ZEN工程入力!$S$6:$S$35,$J34,⑪ZEN工程入力!$J$6:$J$35,"&gt;0",⑪ZEN工程入力!$I$6:$I$35,"&gt;0")+SUMIFS(⑫ミキサー工程入力!$M$6:$M$65,⑫ミキサー工程入力!$S$6:$S$65,$J34,⑫ミキサー工程入力!$J$6:$J$65,"&gt;0")-SUMIFS(⑫ミキサー工程入力!$M$6:$M$65,⑫ミキサー工程入力!$S$6:$S$65,$J34,⑫ミキサー工程入力!$J$6:$J$65,"&gt;0",⑫ミキサー工程入力!$I$6:$I$65,"&gt;0")+SUMIFS(⑬計量工程入力!$M$6:$M$65,⑬計量工程入力!$S$6:$S$65,$J34,⑬計量工程入力!$J$6:$J$65,"&gt;0")-SUMIFS(⑬計量工程入力!$M$6:$M$65,⑬計量工程入力!$S$6:$S$65,$J34,⑬計量工程入力!$J$6:$J$65,"&gt;0",⑬計量工程入力!$I$6:$I$65,"&gt;0")+SUMIFS(⑭手動工程入力!$M$6:$M$47,⑭手動工程入力!$S$6:$S$47,$J34,⑭手動工程入力!$J$6:$J$47,"&gt;0")-SUMIFS(⑭手動工程入力!$M$6:$M$47,⑭手動工程入力!$S$6:$S$47,$J34,⑭手動工程入力!$J$6:$J$47,"&gt;0",⑭手動工程入力!$I$6:$I$47,"&gt;0"))</f>
        <v/>
      </c>
      <c r="O34" s="393">
        <f>IF($J34="",0,SUMIFS(②釜工程入力!$J$5:$J$117,②釜工程入力!$S$5:$S$117,$J34,②釜工程入力!$J$5:$J$117,"&gt;0",②釜工程入力!$M$5:$M$117,"&gt;0")-SUMIFS(②釜工程入力!$J$5:$J$117,②釜工程入力!$S$5:$S$117,$J34,②釜工程入力!$J$5:$J$117,"&gt;0",②釜工程入力!$I$5:$I$117,"&gt;0",②釜工程入力!$M$5:$M$117,"&gt;0")+SUMIFS(③スチコン工程入力!$J$5:$J$152,③スチコン工程入力!$S$5:$S$152,$J34,③スチコン工程入力!$J$5:$J$152,"&gt;0",③スチコン工程入力!$M$5:$M$152,"&gt;0")-SUMIFS(③スチコン工程入力!$J$5:$J$152,③スチコン工程入力!$S$5:$S$152,$J34,③スチコン工程入力!$J$5:$J$152,"&gt;0",③スチコン工程入力!$I$5:$I$152,"&gt;0",③スチコン工程入力!$M$5:$M$152,"&gt;0")+SUMIFS(⑪ZEN工程入力!$J$6:$J$35,⑪ZEN工程入力!$S$6:$S$35,$J34,⑪ZEN工程入力!$J$6:$J$35,"&gt;0",⑪ZEN工程入力!$M$6:$M$35,"&gt;0")-SUMIFS(⑪ZEN工程入力!$J$6:$J$35,⑪ZEN工程入力!$S$6:$S$35,$J34,⑪ZEN工程入力!$J$6:$J$35,"&gt;0",⑪ZEN工程入力!$I$6:$I$35,"&gt;0",⑪ZEN工程入力!$M$6:$M$35,"&gt;0")+SUMIFS(⑫ミキサー工程入力!$J$6:$J$65,⑫ミキサー工程入力!$S$6:$S$65,$J34,⑫ミキサー工程入力!$J$6:$J$65,"&gt;0",⑫ミキサー工程入力!$M$6:$M$65,"&gt;0")-SUMIFS(⑫ミキサー工程入力!$J$6:$J$65,⑫ミキサー工程入力!$S$6:$S$65,$J34,⑫ミキサー工程入力!$J$6:$J$65,"&gt;0",⑫ミキサー工程入力!$I$6:$I$65,"&gt;0",⑫ミキサー工程入力!$M$6:$M$65,"&gt;0")+SUMIFS(⑬計量工程入力!$J$6:$J$65,⑬計量工程入力!$S$6:$S$65,$J34,⑬計量工程入力!$J$6:$J$65,"&gt;0",⑬計量工程入力!$M$6:$M$65,"&gt;0")-SUMIFS(⑬計量工程入力!$J$6:$J$65,⑬計量工程入力!$S$6:$S$65,$J34,⑬計量工程入力!$J$6:$J$65,"&gt;0",⑬計量工程入力!$I$6:$I$65,"&gt;0",⑬計量工程入力!$M$6:$M$65,"&gt;0")+SUMIFS(⑭手動工程入力!$J$6:$J$47,⑭手動工程入力!$S$6:$S$47,$J34,⑭手動工程入力!$J$6:$J$47,"&gt;0",⑭手動工程入力!$M$6:$M$47,"&gt;0")-SUMIFS(⑭手動工程入力!$J$6:$J$47,⑭手動工程入力!$S$6:$S$47,$J34,⑭手動工程入力!$J$6:$J$47,"&gt;0",⑭手動工程入力!$I$6:$I$47,"&gt;0",⑭手動工程入力!$M$6:$M$47,"&gt;0"))</f>
        <v/>
      </c>
      <c r="P34" s="392" t="n"/>
    </row>
    <row r="35">
      <c r="A35" s="392" t="n">
        <v>31</v>
      </c>
      <c r="B35" s="392" t="n"/>
      <c r="C35" s="392" t="n"/>
      <c r="D35" s="392" t="n"/>
      <c r="E35" s="392" t="n"/>
      <c r="F35" s="394" t="n"/>
      <c r="G35" s="392" t="n"/>
      <c r="H35" s="604">
        <f>IFERROR(IF(AND($K35&gt;0,ISNUMBER(IF(OR($D35="g",$D35="ｇ"),IF($M35&gt;0,$L35/$M35/1000,""),IF($D35="kg",IF($M35&gt;0,$L35/$M35,""),IF($D35="",IF($M35&gt;0,$L35/$M35/1000,IF($O35&gt;0,$N35/$O35,"")),IF($O35&gt;0,$N35/$O35,"")))))),IF(OR($D35="g",$D35="ｇ"),IF($M35&gt;0,$L35/$M35/1000,""),IF($D35="kg",IF($M35&gt;0,$L35/$M35,""),IF($D35="",IF($M35&gt;0,$L35/$M35/1000,IF($O35&gt;0,$N35/$O35,"")),IF($O35&gt;0,$N35/$O35,"")))),IF($F35="",IF(OR($E35="",$E35="⑩盛付梱包工程入力"),"",IF(OR($D35="g",$D35="ｇ"),INDEX(⑰工程労務費一覧!$N$5:$N$11,MATCH($E35,⑰工程労務費一覧!$K$5:$K$11,0))/1000,IF($D35="kg",INDEX(⑰工程労務費一覧!$N$5:$N$11,MATCH($E35,⑰工程労務費一覧!$K$5:$K$11,0)),IF(OR($D35="個",$D35="切",$D35="本",$D35="枚",$D35="尾"),IF($E35="⑬計量工程入力","",INDEX(⑰工程労務費一覧!$P$5:$P$11,MATCH($E35,⑰工程労務費一覧!$K$5:$K$11,0))),IF(AND($D35="",OR($E35="②釜工程入力",$E35="③スチコン工程入力")),INDEX(⑰工程労務費一覧!$N$5:$N$11,MATCH($E35,⑰工程労務費一覧!$K$5:$K$11,0))/1000,""))))),IF(OR($D35="g",$D35="ｇ"),INDEX(⑰工程労務費一覧!$H$5:$H$753,MATCH($F35,⑰工程労務費一覧!$D$5:$D$753,0))/1000,IF($D35="kg",INDEX(⑰工程労務費一覧!$H$5:$H$753,MATCH($F35,⑰工程労務費一覧!$D$5:$D$753,0)),INDEX(⑰工程労務費一覧!$I$5:$I$753,MATCH($F35,⑰工程労務費一覧!$D$5:$D$753,0)))))),"")</f>
        <v/>
      </c>
      <c r="I35" s="392">
        <f>IF($K35&gt;0,IF(ISNUMBER(IF(OR($D35="g",$D35="ｇ"),IF($M35&gt;0,$L35/$M35/1000,""),IF($D35="kg",IF($M35&gt;0,$L35/$M35,""),IF($D35="",IF($M35&gt;0,$L35/$M35/1000,IF($O35&gt;0,$N35/$O35,"")),IF($O35&gt;0,$N35/$O35,""))))),IF($D35="",IF($M35&gt;0,"◎ JAN紐づけ(g扱い)","◎ JAN紐づけ(個扱い)"),"◎ JAN紐づけ"),"△ JAN紐づけ済・実績不足→仮計算"),IF($F35="",IF(ISNUMBER($H35),IF($D35="","⑤ 工程平均で仮計算(g扱い)","⑤ 工程平均で仮計算"),IF($E35="⑩盛付梱包工程入力","⑥ 盛り込み(⑳F列で計上)",IF(AND($E35="⑬計量工程入力",OR($D35="個",$D35="切",$D35="本",$D35="枚",$D35="尾")),"① 未紐づけ(カット個単位は仮単価なし)","① 未紐づけ"))),IF(NOT(ISNUMBER($H35)),"② 工程側に単価なし",IF($D35="","③ 単位未設定(個で計算)","④ OK"))))</f>
        <v/>
      </c>
      <c r="J35" s="399">
        <f>IFERROR(LOOKUP(2,1/((中間品リスト!$F$2:$F$1299=$B35)*(中間品リスト!$E$2:$E$1299&lt;&gt;"-")*(中間品リスト!$E$2:$E$1299&lt;&gt;"")),中間品リスト!$E$2:$E$1299),"")</f>
        <v/>
      </c>
      <c r="K35" s="400">
        <f>IF($J35="",0,COUNTIF(②釜工程入力!$S$5:$S$117,$J35)+COUNTIF(③スチコン工程入力!$S$5:$S$152,$J35)+COUNTIF(⑪ZEN工程入力!$S$6:$S$35,$J35)+COUNTIF(⑫ミキサー工程入力!$S$6:$S$65,$J35)+COUNTIF(⑬計量工程入力!$S$6:$S$65,$J35)+COUNTIF(⑭手動工程入力!$S$6:$S$47,$J35))</f>
        <v/>
      </c>
      <c r="L35" s="393">
        <f>IF($J35="",0,SUMIFS(②釜工程入力!$M$5:$M$117,②釜工程入力!$S$5:$S$117,$J35,②釜工程入力!$I$5:$I$117,"&gt;0")+SUMIFS(③スチコン工程入力!$M$5:$M$152,③スチコン工程入力!$S$5:$S$152,$J35,③スチコン工程入力!$I$5:$I$152,"&gt;0")+SUMIFS(⑪ZEN工程入力!$M$6:$M$35,⑪ZEN工程入力!$S$6:$S$35,$J35,⑪ZEN工程入力!$I$6:$I$35,"&gt;0")+SUMIFS(⑫ミキサー工程入力!$M$6:$M$65,⑫ミキサー工程入力!$S$6:$S$65,$J35,⑫ミキサー工程入力!$I$6:$I$65,"&gt;0")+SUMIFS(⑬計量工程入力!$M$6:$M$65,⑬計量工程入力!$S$6:$S$65,$J35,⑬計量工程入力!$I$6:$I$65,"&gt;0")+SUMIFS(⑭手動工程入力!$M$6:$M$47,⑭手動工程入力!$S$6:$S$47,$J35,⑭手動工程入力!$I$6:$I$47,"&gt;0"))</f>
        <v/>
      </c>
      <c r="M35" s="393">
        <f>IF($J35="",0,SUMIFS(②釜工程入力!$I$5:$I$117,②釜工程入力!$S$5:$S$117,$J35,②釜工程入力!$I$5:$I$117,"&gt;0",②釜工程入力!$M$5:$M$117,"&gt;0")+SUMIFS(③スチコン工程入力!$I$5:$I$152,③スチコン工程入力!$S$5:$S$152,$J35,③スチコン工程入力!$I$5:$I$152,"&gt;0",③スチコン工程入力!$M$5:$M$152,"&gt;0")+SUMIFS(⑪ZEN工程入力!$I$6:$I$35,⑪ZEN工程入力!$S$6:$S$35,$J35,⑪ZEN工程入力!$I$6:$I$35,"&gt;0",⑪ZEN工程入力!$M$6:$M$35,"&gt;0")+SUMIFS(⑫ミキサー工程入力!$I$6:$I$65,⑫ミキサー工程入力!$S$6:$S$65,$J35,⑫ミキサー工程入力!$I$6:$I$65,"&gt;0",⑫ミキサー工程入力!$M$6:$M$65,"&gt;0")+SUMIFS(⑬計量工程入力!$I$6:$I$65,⑬計量工程入力!$S$6:$S$65,$J35,⑬計量工程入力!$I$6:$I$65,"&gt;0",⑬計量工程入力!$M$6:$M$65,"&gt;0")+SUMIFS(⑭手動工程入力!$I$6:$I$47,⑭手動工程入力!$S$6:$S$47,$J35,⑭手動工程入力!$I$6:$I$47,"&gt;0",⑭手動工程入力!$M$6:$M$47,"&gt;0"))</f>
        <v/>
      </c>
      <c r="N35" s="393">
        <f>IF($J35="",0,SUMIFS(②釜工程入力!$M$5:$M$117,②釜工程入力!$S$5:$S$117,$J35,②釜工程入力!$J$5:$J$117,"&gt;0")-SUMIFS(②釜工程入力!$M$5:$M$117,②釜工程入力!$S$5:$S$117,$J35,②釜工程入力!$J$5:$J$117,"&gt;0",②釜工程入力!$I$5:$I$117,"&gt;0")+SUMIFS(③スチコン工程入力!$M$5:$M$152,③スチコン工程入力!$S$5:$S$152,$J35,③スチコン工程入力!$J$5:$J$152,"&gt;0")-SUMIFS(③スチコン工程入力!$M$5:$M$152,③スチコン工程入力!$S$5:$S$152,$J35,③スチコン工程入力!$J$5:$J$152,"&gt;0",③スチコン工程入力!$I$5:$I$152,"&gt;0")+SUMIFS(⑪ZEN工程入力!$M$6:$M$35,⑪ZEN工程入力!$S$6:$S$35,$J35,⑪ZEN工程入力!$J$6:$J$35,"&gt;0")-SUMIFS(⑪ZEN工程入力!$M$6:$M$35,⑪ZEN工程入力!$S$6:$S$35,$J35,⑪ZEN工程入力!$J$6:$J$35,"&gt;0",⑪ZEN工程入力!$I$6:$I$35,"&gt;0")+SUMIFS(⑫ミキサー工程入力!$M$6:$M$65,⑫ミキサー工程入力!$S$6:$S$65,$J35,⑫ミキサー工程入力!$J$6:$J$65,"&gt;0")-SUMIFS(⑫ミキサー工程入力!$M$6:$M$65,⑫ミキサー工程入力!$S$6:$S$65,$J35,⑫ミキサー工程入力!$J$6:$J$65,"&gt;0",⑫ミキサー工程入力!$I$6:$I$65,"&gt;0")+SUMIFS(⑬計量工程入力!$M$6:$M$65,⑬計量工程入力!$S$6:$S$65,$J35,⑬計量工程入力!$J$6:$J$65,"&gt;0")-SUMIFS(⑬計量工程入力!$M$6:$M$65,⑬計量工程入力!$S$6:$S$65,$J35,⑬計量工程入力!$J$6:$J$65,"&gt;0",⑬計量工程入力!$I$6:$I$65,"&gt;0")+SUMIFS(⑭手動工程入力!$M$6:$M$47,⑭手動工程入力!$S$6:$S$47,$J35,⑭手動工程入力!$J$6:$J$47,"&gt;0")-SUMIFS(⑭手動工程入力!$M$6:$M$47,⑭手動工程入力!$S$6:$S$47,$J35,⑭手動工程入力!$J$6:$J$47,"&gt;0",⑭手動工程入力!$I$6:$I$47,"&gt;0"))</f>
        <v/>
      </c>
      <c r="O35" s="393">
        <f>IF($J35="",0,SUMIFS(②釜工程入力!$J$5:$J$117,②釜工程入力!$S$5:$S$117,$J35,②釜工程入力!$J$5:$J$117,"&gt;0",②釜工程入力!$M$5:$M$117,"&gt;0")-SUMIFS(②釜工程入力!$J$5:$J$117,②釜工程入力!$S$5:$S$117,$J35,②釜工程入力!$J$5:$J$117,"&gt;0",②釜工程入力!$I$5:$I$117,"&gt;0",②釜工程入力!$M$5:$M$117,"&gt;0")+SUMIFS(③スチコン工程入力!$J$5:$J$152,③スチコン工程入力!$S$5:$S$152,$J35,③スチコン工程入力!$J$5:$J$152,"&gt;0",③スチコン工程入力!$M$5:$M$152,"&gt;0")-SUMIFS(③スチコン工程入力!$J$5:$J$152,③スチコン工程入力!$S$5:$S$152,$J35,③スチコン工程入力!$J$5:$J$152,"&gt;0",③スチコン工程入力!$I$5:$I$152,"&gt;0",③スチコン工程入力!$M$5:$M$152,"&gt;0")+SUMIFS(⑪ZEN工程入力!$J$6:$J$35,⑪ZEN工程入力!$S$6:$S$35,$J35,⑪ZEN工程入力!$J$6:$J$35,"&gt;0",⑪ZEN工程入力!$M$6:$M$35,"&gt;0")-SUMIFS(⑪ZEN工程入力!$J$6:$J$35,⑪ZEN工程入力!$S$6:$S$35,$J35,⑪ZEN工程入力!$J$6:$J$35,"&gt;0",⑪ZEN工程入力!$I$6:$I$35,"&gt;0",⑪ZEN工程入力!$M$6:$M$35,"&gt;0")+SUMIFS(⑫ミキサー工程入力!$J$6:$J$65,⑫ミキサー工程入力!$S$6:$S$65,$J35,⑫ミキサー工程入力!$J$6:$J$65,"&gt;0",⑫ミキサー工程入力!$M$6:$M$65,"&gt;0")-SUMIFS(⑫ミキサー工程入力!$J$6:$J$65,⑫ミキサー工程入力!$S$6:$S$65,$J35,⑫ミキサー工程入力!$J$6:$J$65,"&gt;0",⑫ミキサー工程入力!$I$6:$I$65,"&gt;0",⑫ミキサー工程入力!$M$6:$M$65,"&gt;0")+SUMIFS(⑬計量工程入力!$J$6:$J$65,⑬計量工程入力!$S$6:$S$65,$J35,⑬計量工程入力!$J$6:$J$65,"&gt;0",⑬計量工程入力!$M$6:$M$65,"&gt;0")-SUMIFS(⑬計量工程入力!$J$6:$J$65,⑬計量工程入力!$S$6:$S$65,$J35,⑬計量工程入力!$J$6:$J$65,"&gt;0",⑬計量工程入力!$I$6:$I$65,"&gt;0",⑬計量工程入力!$M$6:$M$65,"&gt;0")+SUMIFS(⑭手動工程入力!$J$6:$J$47,⑭手動工程入力!$S$6:$S$47,$J35,⑭手動工程入力!$J$6:$J$47,"&gt;0",⑭手動工程入力!$M$6:$M$47,"&gt;0")-SUMIFS(⑭手動工程入力!$J$6:$J$47,⑭手動工程入力!$S$6:$S$47,$J35,⑭手動工程入力!$J$6:$J$47,"&gt;0",⑭手動工程入力!$I$6:$I$47,"&gt;0",⑭手動工程入力!$M$6:$M$47,"&gt;0"))</f>
        <v/>
      </c>
      <c r="P35" s="392" t="n"/>
    </row>
    <row r="36">
      <c r="A36" s="392" t="n">
        <v>32</v>
      </c>
      <c r="B36" s="392" t="n"/>
      <c r="C36" s="392" t="n"/>
      <c r="D36" s="392" t="n"/>
      <c r="E36" s="392" t="n"/>
      <c r="F36" s="394" t="n"/>
      <c r="G36" s="392" t="n"/>
      <c r="H36" s="604">
        <f>IFERROR(IF(AND($K36&gt;0,ISNUMBER(IF(OR($D36="g",$D36="ｇ"),IF($M36&gt;0,$L36/$M36/1000,""),IF($D36="kg",IF($M36&gt;0,$L36/$M36,""),IF($D36="",IF($M36&gt;0,$L36/$M36/1000,IF($O36&gt;0,$N36/$O36,"")),IF($O36&gt;0,$N36/$O36,"")))))),IF(OR($D36="g",$D36="ｇ"),IF($M36&gt;0,$L36/$M36/1000,""),IF($D36="kg",IF($M36&gt;0,$L36/$M36,""),IF($D36="",IF($M36&gt;0,$L36/$M36/1000,IF($O36&gt;0,$N36/$O36,"")),IF($O36&gt;0,$N36/$O36,"")))),IF($F36="",IF(OR($E36="",$E36="⑩盛付梱包工程入力"),"",IF(OR($D36="g",$D36="ｇ"),INDEX(⑰工程労務費一覧!$N$5:$N$11,MATCH($E36,⑰工程労務費一覧!$K$5:$K$11,0))/1000,IF($D36="kg",INDEX(⑰工程労務費一覧!$N$5:$N$11,MATCH($E36,⑰工程労務費一覧!$K$5:$K$11,0)),IF(OR($D36="個",$D36="切",$D36="本",$D36="枚",$D36="尾"),IF($E36="⑬計量工程入力","",INDEX(⑰工程労務費一覧!$P$5:$P$11,MATCH($E36,⑰工程労務費一覧!$K$5:$K$11,0))),IF(AND($D36="",OR($E36="②釜工程入力",$E36="③スチコン工程入力")),INDEX(⑰工程労務費一覧!$N$5:$N$11,MATCH($E36,⑰工程労務費一覧!$K$5:$K$11,0))/1000,""))))),IF(OR($D36="g",$D36="ｇ"),INDEX(⑰工程労務費一覧!$H$5:$H$753,MATCH($F36,⑰工程労務費一覧!$D$5:$D$753,0))/1000,IF($D36="kg",INDEX(⑰工程労務費一覧!$H$5:$H$753,MATCH($F36,⑰工程労務費一覧!$D$5:$D$753,0)),INDEX(⑰工程労務費一覧!$I$5:$I$753,MATCH($F36,⑰工程労務費一覧!$D$5:$D$753,0)))))),"")</f>
        <v/>
      </c>
      <c r="I36" s="392">
        <f>IF($K36&gt;0,IF(ISNUMBER(IF(OR($D36="g",$D36="ｇ"),IF($M36&gt;0,$L36/$M36/1000,""),IF($D36="kg",IF($M36&gt;0,$L36/$M36,""),IF($D36="",IF($M36&gt;0,$L36/$M36/1000,IF($O36&gt;0,$N36/$O36,"")),IF($O36&gt;0,$N36/$O36,""))))),IF($D36="",IF($M36&gt;0,"◎ JAN紐づけ(g扱い)","◎ JAN紐づけ(個扱い)"),"◎ JAN紐づけ"),"△ JAN紐づけ済・実績不足→仮計算"),IF($F36="",IF(ISNUMBER($H36),IF($D36="","⑤ 工程平均で仮計算(g扱い)","⑤ 工程平均で仮計算"),IF($E36="⑩盛付梱包工程入力","⑥ 盛り込み(⑳F列で計上)",IF(AND($E36="⑬計量工程入力",OR($D36="個",$D36="切",$D36="本",$D36="枚",$D36="尾")),"① 未紐づけ(カット個単位は仮単価なし)","① 未紐づけ"))),IF(NOT(ISNUMBER($H36)),"② 工程側に単価なし",IF($D36="","③ 単位未設定(個で計算)","④ OK"))))</f>
        <v/>
      </c>
      <c r="J36" s="399">
        <f>IFERROR(LOOKUP(2,1/((中間品リスト!$F$2:$F$1299=$B36)*(中間品リスト!$E$2:$E$1299&lt;&gt;"-")*(中間品リスト!$E$2:$E$1299&lt;&gt;"")),中間品リスト!$E$2:$E$1299),"")</f>
        <v/>
      </c>
      <c r="K36" s="400">
        <f>IF($J36="",0,COUNTIF(②釜工程入力!$S$5:$S$117,$J36)+COUNTIF(③スチコン工程入力!$S$5:$S$152,$J36)+COUNTIF(⑪ZEN工程入力!$S$6:$S$35,$J36)+COUNTIF(⑫ミキサー工程入力!$S$6:$S$65,$J36)+COUNTIF(⑬計量工程入力!$S$6:$S$65,$J36)+COUNTIF(⑭手動工程入力!$S$6:$S$47,$J36))</f>
        <v/>
      </c>
      <c r="L36" s="393">
        <f>IF($J36="",0,SUMIFS(②釜工程入力!$M$5:$M$117,②釜工程入力!$S$5:$S$117,$J36,②釜工程入力!$I$5:$I$117,"&gt;0")+SUMIFS(③スチコン工程入力!$M$5:$M$152,③スチコン工程入力!$S$5:$S$152,$J36,③スチコン工程入力!$I$5:$I$152,"&gt;0")+SUMIFS(⑪ZEN工程入力!$M$6:$M$35,⑪ZEN工程入力!$S$6:$S$35,$J36,⑪ZEN工程入力!$I$6:$I$35,"&gt;0")+SUMIFS(⑫ミキサー工程入力!$M$6:$M$65,⑫ミキサー工程入力!$S$6:$S$65,$J36,⑫ミキサー工程入力!$I$6:$I$65,"&gt;0")+SUMIFS(⑬計量工程入力!$M$6:$M$65,⑬計量工程入力!$S$6:$S$65,$J36,⑬計量工程入力!$I$6:$I$65,"&gt;0")+SUMIFS(⑭手動工程入力!$M$6:$M$47,⑭手動工程入力!$S$6:$S$47,$J36,⑭手動工程入力!$I$6:$I$47,"&gt;0"))</f>
        <v/>
      </c>
      <c r="M36" s="393">
        <f>IF($J36="",0,SUMIFS(②釜工程入力!$I$5:$I$117,②釜工程入力!$S$5:$S$117,$J36,②釜工程入力!$I$5:$I$117,"&gt;0",②釜工程入力!$M$5:$M$117,"&gt;0")+SUMIFS(③スチコン工程入力!$I$5:$I$152,③スチコン工程入力!$S$5:$S$152,$J36,③スチコン工程入力!$I$5:$I$152,"&gt;0",③スチコン工程入力!$M$5:$M$152,"&gt;0")+SUMIFS(⑪ZEN工程入力!$I$6:$I$35,⑪ZEN工程入力!$S$6:$S$35,$J36,⑪ZEN工程入力!$I$6:$I$35,"&gt;0",⑪ZEN工程入力!$M$6:$M$35,"&gt;0")+SUMIFS(⑫ミキサー工程入力!$I$6:$I$65,⑫ミキサー工程入力!$S$6:$S$65,$J36,⑫ミキサー工程入力!$I$6:$I$65,"&gt;0",⑫ミキサー工程入力!$M$6:$M$65,"&gt;0")+SUMIFS(⑬計量工程入力!$I$6:$I$65,⑬計量工程入力!$S$6:$S$65,$J36,⑬計量工程入力!$I$6:$I$65,"&gt;0",⑬計量工程入力!$M$6:$M$65,"&gt;0")+SUMIFS(⑭手動工程入力!$I$6:$I$47,⑭手動工程入力!$S$6:$S$47,$J36,⑭手動工程入力!$I$6:$I$47,"&gt;0",⑭手動工程入力!$M$6:$M$47,"&gt;0"))</f>
        <v/>
      </c>
      <c r="N36" s="393">
        <f>IF($J36="",0,SUMIFS(②釜工程入力!$M$5:$M$117,②釜工程入力!$S$5:$S$117,$J36,②釜工程入力!$J$5:$J$117,"&gt;0")-SUMIFS(②釜工程入力!$M$5:$M$117,②釜工程入力!$S$5:$S$117,$J36,②釜工程入力!$J$5:$J$117,"&gt;0",②釜工程入力!$I$5:$I$117,"&gt;0")+SUMIFS(③スチコン工程入力!$M$5:$M$152,③スチコン工程入力!$S$5:$S$152,$J36,③スチコン工程入力!$J$5:$J$152,"&gt;0")-SUMIFS(③スチコン工程入力!$M$5:$M$152,③スチコン工程入力!$S$5:$S$152,$J36,③スチコン工程入力!$J$5:$J$152,"&gt;0",③スチコン工程入力!$I$5:$I$152,"&gt;0")+SUMIFS(⑪ZEN工程入力!$M$6:$M$35,⑪ZEN工程入力!$S$6:$S$35,$J36,⑪ZEN工程入力!$J$6:$J$35,"&gt;0")-SUMIFS(⑪ZEN工程入力!$M$6:$M$35,⑪ZEN工程入力!$S$6:$S$35,$J36,⑪ZEN工程入力!$J$6:$J$35,"&gt;0",⑪ZEN工程入力!$I$6:$I$35,"&gt;0")+SUMIFS(⑫ミキサー工程入力!$M$6:$M$65,⑫ミキサー工程入力!$S$6:$S$65,$J36,⑫ミキサー工程入力!$J$6:$J$65,"&gt;0")-SUMIFS(⑫ミキサー工程入力!$M$6:$M$65,⑫ミキサー工程入力!$S$6:$S$65,$J36,⑫ミキサー工程入力!$J$6:$J$65,"&gt;0",⑫ミキサー工程入力!$I$6:$I$65,"&gt;0")+SUMIFS(⑬計量工程入力!$M$6:$M$65,⑬計量工程入力!$S$6:$S$65,$J36,⑬計量工程入力!$J$6:$J$65,"&gt;0")-SUMIFS(⑬計量工程入力!$M$6:$M$65,⑬計量工程入力!$S$6:$S$65,$J36,⑬計量工程入力!$J$6:$J$65,"&gt;0",⑬計量工程入力!$I$6:$I$65,"&gt;0")+SUMIFS(⑭手動工程入力!$M$6:$M$47,⑭手動工程入力!$S$6:$S$47,$J36,⑭手動工程入力!$J$6:$J$47,"&gt;0")-SUMIFS(⑭手動工程入力!$M$6:$M$47,⑭手動工程入力!$S$6:$S$47,$J36,⑭手動工程入力!$J$6:$J$47,"&gt;0",⑭手動工程入力!$I$6:$I$47,"&gt;0"))</f>
        <v/>
      </c>
      <c r="O36" s="393">
        <f>IF($J36="",0,SUMIFS(②釜工程入力!$J$5:$J$117,②釜工程入力!$S$5:$S$117,$J36,②釜工程入力!$J$5:$J$117,"&gt;0",②釜工程入力!$M$5:$M$117,"&gt;0")-SUMIFS(②釜工程入力!$J$5:$J$117,②釜工程入力!$S$5:$S$117,$J36,②釜工程入力!$J$5:$J$117,"&gt;0",②釜工程入力!$I$5:$I$117,"&gt;0",②釜工程入力!$M$5:$M$117,"&gt;0")+SUMIFS(③スチコン工程入力!$J$5:$J$152,③スチコン工程入力!$S$5:$S$152,$J36,③スチコン工程入力!$J$5:$J$152,"&gt;0",③スチコン工程入力!$M$5:$M$152,"&gt;0")-SUMIFS(③スチコン工程入力!$J$5:$J$152,③スチコン工程入力!$S$5:$S$152,$J36,③スチコン工程入力!$J$5:$J$152,"&gt;0",③スチコン工程入力!$I$5:$I$152,"&gt;0",③スチコン工程入力!$M$5:$M$152,"&gt;0")+SUMIFS(⑪ZEN工程入力!$J$6:$J$35,⑪ZEN工程入力!$S$6:$S$35,$J36,⑪ZEN工程入力!$J$6:$J$35,"&gt;0",⑪ZEN工程入力!$M$6:$M$35,"&gt;0")-SUMIFS(⑪ZEN工程入力!$J$6:$J$35,⑪ZEN工程入力!$S$6:$S$35,$J36,⑪ZEN工程入力!$J$6:$J$35,"&gt;0",⑪ZEN工程入力!$I$6:$I$35,"&gt;0",⑪ZEN工程入力!$M$6:$M$35,"&gt;0")+SUMIFS(⑫ミキサー工程入力!$J$6:$J$65,⑫ミキサー工程入力!$S$6:$S$65,$J36,⑫ミキサー工程入力!$J$6:$J$65,"&gt;0",⑫ミキサー工程入力!$M$6:$M$65,"&gt;0")-SUMIFS(⑫ミキサー工程入力!$J$6:$J$65,⑫ミキサー工程入力!$S$6:$S$65,$J36,⑫ミキサー工程入力!$J$6:$J$65,"&gt;0",⑫ミキサー工程入力!$I$6:$I$65,"&gt;0",⑫ミキサー工程入力!$M$6:$M$65,"&gt;0")+SUMIFS(⑬計量工程入力!$J$6:$J$65,⑬計量工程入力!$S$6:$S$65,$J36,⑬計量工程入力!$J$6:$J$65,"&gt;0",⑬計量工程入力!$M$6:$M$65,"&gt;0")-SUMIFS(⑬計量工程入力!$J$6:$J$65,⑬計量工程入力!$S$6:$S$65,$J36,⑬計量工程入力!$J$6:$J$65,"&gt;0",⑬計量工程入力!$I$6:$I$65,"&gt;0",⑬計量工程入力!$M$6:$M$65,"&gt;0")+SUMIFS(⑭手動工程入力!$J$6:$J$47,⑭手動工程入力!$S$6:$S$47,$J36,⑭手動工程入力!$J$6:$J$47,"&gt;0",⑭手動工程入力!$M$6:$M$47,"&gt;0")-SUMIFS(⑭手動工程入力!$J$6:$J$47,⑭手動工程入力!$S$6:$S$47,$J36,⑭手動工程入力!$J$6:$J$47,"&gt;0",⑭手動工程入力!$I$6:$I$47,"&gt;0",⑭手動工程入力!$M$6:$M$47,"&gt;0"))</f>
        <v/>
      </c>
      <c r="P36" s="392" t="n"/>
    </row>
    <row r="37">
      <c r="A37" s="392" t="n">
        <v>33</v>
      </c>
      <c r="B37" s="392" t="n"/>
      <c r="C37" s="392" t="n"/>
      <c r="D37" s="392" t="n"/>
      <c r="E37" s="392" t="n"/>
      <c r="F37" s="394" t="n"/>
      <c r="G37" s="392" t="n"/>
      <c r="H37" s="604">
        <f>IFERROR(IF(AND($K37&gt;0,ISNUMBER(IF(OR($D37="g",$D37="ｇ"),IF($M37&gt;0,$L37/$M37/1000,""),IF($D37="kg",IF($M37&gt;0,$L37/$M37,""),IF($D37="",IF($M37&gt;0,$L37/$M37/1000,IF($O37&gt;0,$N37/$O37,"")),IF($O37&gt;0,$N37/$O37,"")))))),IF(OR($D37="g",$D37="ｇ"),IF($M37&gt;0,$L37/$M37/1000,""),IF($D37="kg",IF($M37&gt;0,$L37/$M37,""),IF($D37="",IF($M37&gt;0,$L37/$M37/1000,IF($O37&gt;0,$N37/$O37,"")),IF($O37&gt;0,$N37/$O37,"")))),IF($F37="",IF(OR($E37="",$E37="⑩盛付梱包工程入力"),"",IF(OR($D37="g",$D37="ｇ"),INDEX(⑰工程労務費一覧!$N$5:$N$11,MATCH($E37,⑰工程労務費一覧!$K$5:$K$11,0))/1000,IF($D37="kg",INDEX(⑰工程労務費一覧!$N$5:$N$11,MATCH($E37,⑰工程労務費一覧!$K$5:$K$11,0)),IF(OR($D37="個",$D37="切",$D37="本",$D37="枚",$D37="尾"),IF($E37="⑬計量工程入力","",INDEX(⑰工程労務費一覧!$P$5:$P$11,MATCH($E37,⑰工程労務費一覧!$K$5:$K$11,0))),IF(AND($D37="",OR($E37="②釜工程入力",$E37="③スチコン工程入力")),INDEX(⑰工程労務費一覧!$N$5:$N$11,MATCH($E37,⑰工程労務費一覧!$K$5:$K$11,0))/1000,""))))),IF(OR($D37="g",$D37="ｇ"),INDEX(⑰工程労務費一覧!$H$5:$H$753,MATCH($F37,⑰工程労務費一覧!$D$5:$D$753,0))/1000,IF($D37="kg",INDEX(⑰工程労務費一覧!$H$5:$H$753,MATCH($F37,⑰工程労務費一覧!$D$5:$D$753,0)),INDEX(⑰工程労務費一覧!$I$5:$I$753,MATCH($F37,⑰工程労務費一覧!$D$5:$D$753,0)))))),"")</f>
        <v/>
      </c>
      <c r="I37" s="392">
        <f>IF($K37&gt;0,IF(ISNUMBER(IF(OR($D37="g",$D37="ｇ"),IF($M37&gt;0,$L37/$M37/1000,""),IF($D37="kg",IF($M37&gt;0,$L37/$M37,""),IF($D37="",IF($M37&gt;0,$L37/$M37/1000,IF($O37&gt;0,$N37/$O37,"")),IF($O37&gt;0,$N37/$O37,""))))),IF($D37="",IF($M37&gt;0,"◎ JAN紐づけ(g扱い)","◎ JAN紐づけ(個扱い)"),"◎ JAN紐づけ"),"△ JAN紐づけ済・実績不足→仮計算"),IF($F37="",IF(ISNUMBER($H37),IF($D37="","⑤ 工程平均で仮計算(g扱い)","⑤ 工程平均で仮計算"),IF($E37="⑩盛付梱包工程入力","⑥ 盛り込み(⑳F列で計上)",IF(AND($E37="⑬計量工程入力",OR($D37="個",$D37="切",$D37="本",$D37="枚",$D37="尾")),"① 未紐づけ(カット個単位は仮単価なし)","① 未紐づけ"))),IF(NOT(ISNUMBER($H37)),"② 工程側に単価なし",IF($D37="","③ 単位未設定(個で計算)","④ OK"))))</f>
        <v/>
      </c>
      <c r="J37" s="399">
        <f>IFERROR(LOOKUP(2,1/((中間品リスト!$F$2:$F$1299=$B37)*(中間品リスト!$E$2:$E$1299&lt;&gt;"-")*(中間品リスト!$E$2:$E$1299&lt;&gt;"")),中間品リスト!$E$2:$E$1299),"")</f>
        <v/>
      </c>
      <c r="K37" s="400">
        <f>IF($J37="",0,COUNTIF(②釜工程入力!$S$5:$S$117,$J37)+COUNTIF(③スチコン工程入力!$S$5:$S$152,$J37)+COUNTIF(⑪ZEN工程入力!$S$6:$S$35,$J37)+COUNTIF(⑫ミキサー工程入力!$S$6:$S$65,$J37)+COUNTIF(⑬計量工程入力!$S$6:$S$65,$J37)+COUNTIF(⑭手動工程入力!$S$6:$S$47,$J37))</f>
        <v/>
      </c>
      <c r="L37" s="393">
        <f>IF($J37="",0,SUMIFS(②釜工程入力!$M$5:$M$117,②釜工程入力!$S$5:$S$117,$J37,②釜工程入力!$I$5:$I$117,"&gt;0")+SUMIFS(③スチコン工程入力!$M$5:$M$152,③スチコン工程入力!$S$5:$S$152,$J37,③スチコン工程入力!$I$5:$I$152,"&gt;0")+SUMIFS(⑪ZEN工程入力!$M$6:$M$35,⑪ZEN工程入力!$S$6:$S$35,$J37,⑪ZEN工程入力!$I$6:$I$35,"&gt;0")+SUMIFS(⑫ミキサー工程入力!$M$6:$M$65,⑫ミキサー工程入力!$S$6:$S$65,$J37,⑫ミキサー工程入力!$I$6:$I$65,"&gt;0")+SUMIFS(⑬計量工程入力!$M$6:$M$65,⑬計量工程入力!$S$6:$S$65,$J37,⑬計量工程入力!$I$6:$I$65,"&gt;0")+SUMIFS(⑭手動工程入力!$M$6:$M$47,⑭手動工程入力!$S$6:$S$47,$J37,⑭手動工程入力!$I$6:$I$47,"&gt;0"))</f>
        <v/>
      </c>
      <c r="M37" s="393">
        <f>IF($J37="",0,SUMIFS(②釜工程入力!$I$5:$I$117,②釜工程入力!$S$5:$S$117,$J37,②釜工程入力!$I$5:$I$117,"&gt;0",②釜工程入力!$M$5:$M$117,"&gt;0")+SUMIFS(③スチコン工程入力!$I$5:$I$152,③スチコン工程入力!$S$5:$S$152,$J37,③スチコン工程入力!$I$5:$I$152,"&gt;0",③スチコン工程入力!$M$5:$M$152,"&gt;0")+SUMIFS(⑪ZEN工程入力!$I$6:$I$35,⑪ZEN工程入力!$S$6:$S$35,$J37,⑪ZEN工程入力!$I$6:$I$35,"&gt;0",⑪ZEN工程入力!$M$6:$M$35,"&gt;0")+SUMIFS(⑫ミキサー工程入力!$I$6:$I$65,⑫ミキサー工程入力!$S$6:$S$65,$J37,⑫ミキサー工程入力!$I$6:$I$65,"&gt;0",⑫ミキサー工程入力!$M$6:$M$65,"&gt;0")+SUMIFS(⑬計量工程入力!$I$6:$I$65,⑬計量工程入力!$S$6:$S$65,$J37,⑬計量工程入力!$I$6:$I$65,"&gt;0",⑬計量工程入力!$M$6:$M$65,"&gt;0")+SUMIFS(⑭手動工程入力!$I$6:$I$47,⑭手動工程入力!$S$6:$S$47,$J37,⑭手動工程入力!$I$6:$I$47,"&gt;0",⑭手動工程入力!$M$6:$M$47,"&gt;0"))</f>
        <v/>
      </c>
      <c r="N37" s="393">
        <f>IF($J37="",0,SUMIFS(②釜工程入力!$M$5:$M$117,②釜工程入力!$S$5:$S$117,$J37,②釜工程入力!$J$5:$J$117,"&gt;0")-SUMIFS(②釜工程入力!$M$5:$M$117,②釜工程入力!$S$5:$S$117,$J37,②釜工程入力!$J$5:$J$117,"&gt;0",②釜工程入力!$I$5:$I$117,"&gt;0")+SUMIFS(③スチコン工程入力!$M$5:$M$152,③スチコン工程入力!$S$5:$S$152,$J37,③スチコン工程入力!$J$5:$J$152,"&gt;0")-SUMIFS(③スチコン工程入力!$M$5:$M$152,③スチコン工程入力!$S$5:$S$152,$J37,③スチコン工程入力!$J$5:$J$152,"&gt;0",③スチコン工程入力!$I$5:$I$152,"&gt;0")+SUMIFS(⑪ZEN工程入力!$M$6:$M$35,⑪ZEN工程入力!$S$6:$S$35,$J37,⑪ZEN工程入力!$J$6:$J$35,"&gt;0")-SUMIFS(⑪ZEN工程入力!$M$6:$M$35,⑪ZEN工程入力!$S$6:$S$35,$J37,⑪ZEN工程入力!$J$6:$J$35,"&gt;0",⑪ZEN工程入力!$I$6:$I$35,"&gt;0")+SUMIFS(⑫ミキサー工程入力!$M$6:$M$65,⑫ミキサー工程入力!$S$6:$S$65,$J37,⑫ミキサー工程入力!$J$6:$J$65,"&gt;0")-SUMIFS(⑫ミキサー工程入力!$M$6:$M$65,⑫ミキサー工程入力!$S$6:$S$65,$J37,⑫ミキサー工程入力!$J$6:$J$65,"&gt;0",⑫ミキサー工程入力!$I$6:$I$65,"&gt;0")+SUMIFS(⑬計量工程入力!$M$6:$M$65,⑬計量工程入力!$S$6:$S$65,$J37,⑬計量工程入力!$J$6:$J$65,"&gt;0")-SUMIFS(⑬計量工程入力!$M$6:$M$65,⑬計量工程入力!$S$6:$S$65,$J37,⑬計量工程入力!$J$6:$J$65,"&gt;0",⑬計量工程入力!$I$6:$I$65,"&gt;0")+SUMIFS(⑭手動工程入力!$M$6:$M$47,⑭手動工程入力!$S$6:$S$47,$J37,⑭手動工程入力!$J$6:$J$47,"&gt;0")-SUMIFS(⑭手動工程入力!$M$6:$M$47,⑭手動工程入力!$S$6:$S$47,$J37,⑭手動工程入力!$J$6:$J$47,"&gt;0",⑭手動工程入力!$I$6:$I$47,"&gt;0"))</f>
        <v/>
      </c>
      <c r="O37" s="393">
        <f>IF($J37="",0,SUMIFS(②釜工程入力!$J$5:$J$117,②釜工程入力!$S$5:$S$117,$J37,②釜工程入力!$J$5:$J$117,"&gt;0",②釜工程入力!$M$5:$M$117,"&gt;0")-SUMIFS(②釜工程入力!$J$5:$J$117,②釜工程入力!$S$5:$S$117,$J37,②釜工程入力!$J$5:$J$117,"&gt;0",②釜工程入力!$I$5:$I$117,"&gt;0",②釜工程入力!$M$5:$M$117,"&gt;0")+SUMIFS(③スチコン工程入力!$J$5:$J$152,③スチコン工程入力!$S$5:$S$152,$J37,③スチコン工程入力!$J$5:$J$152,"&gt;0",③スチコン工程入力!$M$5:$M$152,"&gt;0")-SUMIFS(③スチコン工程入力!$J$5:$J$152,③スチコン工程入力!$S$5:$S$152,$J37,③スチコン工程入力!$J$5:$J$152,"&gt;0",③スチコン工程入力!$I$5:$I$152,"&gt;0",③スチコン工程入力!$M$5:$M$152,"&gt;0")+SUMIFS(⑪ZEN工程入力!$J$6:$J$35,⑪ZEN工程入力!$S$6:$S$35,$J37,⑪ZEN工程入力!$J$6:$J$35,"&gt;0",⑪ZEN工程入力!$M$6:$M$35,"&gt;0")-SUMIFS(⑪ZEN工程入力!$J$6:$J$35,⑪ZEN工程入力!$S$6:$S$35,$J37,⑪ZEN工程入力!$J$6:$J$35,"&gt;0",⑪ZEN工程入力!$I$6:$I$35,"&gt;0",⑪ZEN工程入力!$M$6:$M$35,"&gt;0")+SUMIFS(⑫ミキサー工程入力!$J$6:$J$65,⑫ミキサー工程入力!$S$6:$S$65,$J37,⑫ミキサー工程入力!$J$6:$J$65,"&gt;0",⑫ミキサー工程入力!$M$6:$M$65,"&gt;0")-SUMIFS(⑫ミキサー工程入力!$J$6:$J$65,⑫ミキサー工程入力!$S$6:$S$65,$J37,⑫ミキサー工程入力!$J$6:$J$65,"&gt;0",⑫ミキサー工程入力!$I$6:$I$65,"&gt;0",⑫ミキサー工程入力!$M$6:$M$65,"&gt;0")+SUMIFS(⑬計量工程入力!$J$6:$J$65,⑬計量工程入力!$S$6:$S$65,$J37,⑬計量工程入力!$J$6:$J$65,"&gt;0",⑬計量工程入力!$M$6:$M$65,"&gt;0")-SUMIFS(⑬計量工程入力!$J$6:$J$65,⑬計量工程入力!$S$6:$S$65,$J37,⑬計量工程入力!$J$6:$J$65,"&gt;0",⑬計量工程入力!$I$6:$I$65,"&gt;0",⑬計量工程入力!$M$6:$M$65,"&gt;0")+SUMIFS(⑭手動工程入力!$J$6:$J$47,⑭手動工程入力!$S$6:$S$47,$J37,⑭手動工程入力!$J$6:$J$47,"&gt;0",⑭手動工程入力!$M$6:$M$47,"&gt;0")-SUMIFS(⑭手動工程入力!$J$6:$J$47,⑭手動工程入力!$S$6:$S$47,$J37,⑭手動工程入力!$J$6:$J$47,"&gt;0",⑭手動工程入力!$I$6:$I$47,"&gt;0",⑭手動工程入力!$M$6:$M$47,"&gt;0"))</f>
        <v/>
      </c>
      <c r="P37" s="392" t="n"/>
    </row>
    <row r="38">
      <c r="A38" s="392" t="n">
        <v>34</v>
      </c>
      <c r="B38" s="392" t="n"/>
      <c r="C38" s="392" t="n"/>
      <c r="D38" s="392" t="n"/>
      <c r="E38" s="392" t="n"/>
      <c r="F38" s="394" t="n"/>
      <c r="G38" s="392" t="n"/>
      <c r="H38" s="604">
        <f>IFERROR(IF(AND($K38&gt;0,ISNUMBER(IF(OR($D38="g",$D38="ｇ"),IF($M38&gt;0,$L38/$M38/1000,""),IF($D38="kg",IF($M38&gt;0,$L38/$M38,""),IF($D38="",IF($M38&gt;0,$L38/$M38/1000,IF($O38&gt;0,$N38/$O38,"")),IF($O38&gt;0,$N38/$O38,"")))))),IF(OR($D38="g",$D38="ｇ"),IF($M38&gt;0,$L38/$M38/1000,""),IF($D38="kg",IF($M38&gt;0,$L38/$M38,""),IF($D38="",IF($M38&gt;0,$L38/$M38/1000,IF($O38&gt;0,$N38/$O38,"")),IF($O38&gt;0,$N38/$O38,"")))),IF($F38="",IF(OR($E38="",$E38="⑩盛付梱包工程入力"),"",IF(OR($D38="g",$D38="ｇ"),INDEX(⑰工程労務費一覧!$N$5:$N$11,MATCH($E38,⑰工程労務費一覧!$K$5:$K$11,0))/1000,IF($D38="kg",INDEX(⑰工程労務費一覧!$N$5:$N$11,MATCH($E38,⑰工程労務費一覧!$K$5:$K$11,0)),IF(OR($D38="個",$D38="切",$D38="本",$D38="枚",$D38="尾"),IF($E38="⑬計量工程入力","",INDEX(⑰工程労務費一覧!$P$5:$P$11,MATCH($E38,⑰工程労務費一覧!$K$5:$K$11,0))),IF(AND($D38="",OR($E38="②釜工程入力",$E38="③スチコン工程入力")),INDEX(⑰工程労務費一覧!$N$5:$N$11,MATCH($E38,⑰工程労務費一覧!$K$5:$K$11,0))/1000,""))))),IF(OR($D38="g",$D38="ｇ"),INDEX(⑰工程労務費一覧!$H$5:$H$753,MATCH($F38,⑰工程労務費一覧!$D$5:$D$753,0))/1000,IF($D38="kg",INDEX(⑰工程労務費一覧!$H$5:$H$753,MATCH($F38,⑰工程労務費一覧!$D$5:$D$753,0)),INDEX(⑰工程労務費一覧!$I$5:$I$753,MATCH($F38,⑰工程労務費一覧!$D$5:$D$753,0)))))),"")</f>
        <v/>
      </c>
      <c r="I38" s="392">
        <f>IF($K38&gt;0,IF(ISNUMBER(IF(OR($D38="g",$D38="ｇ"),IF($M38&gt;0,$L38/$M38/1000,""),IF($D38="kg",IF($M38&gt;0,$L38/$M38,""),IF($D38="",IF($M38&gt;0,$L38/$M38/1000,IF($O38&gt;0,$N38/$O38,"")),IF($O38&gt;0,$N38/$O38,""))))),IF($D38="",IF($M38&gt;0,"◎ JAN紐づけ(g扱い)","◎ JAN紐づけ(個扱い)"),"◎ JAN紐づけ"),"△ JAN紐づけ済・実績不足→仮計算"),IF($F38="",IF(ISNUMBER($H38),IF($D38="","⑤ 工程平均で仮計算(g扱い)","⑤ 工程平均で仮計算"),IF($E38="⑩盛付梱包工程入力","⑥ 盛り込み(⑳F列で計上)",IF(AND($E38="⑬計量工程入力",OR($D38="個",$D38="切",$D38="本",$D38="枚",$D38="尾")),"① 未紐づけ(カット個単位は仮単価なし)","① 未紐づけ"))),IF(NOT(ISNUMBER($H38)),"② 工程側に単価なし",IF($D38="","③ 単位未設定(個で計算)","④ OK"))))</f>
        <v/>
      </c>
      <c r="J38" s="399">
        <f>IFERROR(LOOKUP(2,1/((中間品リスト!$F$2:$F$1299=$B38)*(中間品リスト!$E$2:$E$1299&lt;&gt;"-")*(中間品リスト!$E$2:$E$1299&lt;&gt;"")),中間品リスト!$E$2:$E$1299),"")</f>
        <v/>
      </c>
      <c r="K38" s="400">
        <f>IF($J38="",0,COUNTIF(②釜工程入力!$S$5:$S$117,$J38)+COUNTIF(③スチコン工程入力!$S$5:$S$152,$J38)+COUNTIF(⑪ZEN工程入力!$S$6:$S$35,$J38)+COUNTIF(⑫ミキサー工程入力!$S$6:$S$65,$J38)+COUNTIF(⑬計量工程入力!$S$6:$S$65,$J38)+COUNTIF(⑭手動工程入力!$S$6:$S$47,$J38))</f>
        <v/>
      </c>
      <c r="L38" s="393">
        <f>IF($J38="",0,SUMIFS(②釜工程入力!$M$5:$M$117,②釜工程入力!$S$5:$S$117,$J38,②釜工程入力!$I$5:$I$117,"&gt;0")+SUMIFS(③スチコン工程入力!$M$5:$M$152,③スチコン工程入力!$S$5:$S$152,$J38,③スチコン工程入力!$I$5:$I$152,"&gt;0")+SUMIFS(⑪ZEN工程入力!$M$6:$M$35,⑪ZEN工程入力!$S$6:$S$35,$J38,⑪ZEN工程入力!$I$6:$I$35,"&gt;0")+SUMIFS(⑫ミキサー工程入力!$M$6:$M$65,⑫ミキサー工程入力!$S$6:$S$65,$J38,⑫ミキサー工程入力!$I$6:$I$65,"&gt;0")+SUMIFS(⑬計量工程入力!$M$6:$M$65,⑬計量工程入力!$S$6:$S$65,$J38,⑬計量工程入力!$I$6:$I$65,"&gt;0")+SUMIFS(⑭手動工程入力!$M$6:$M$47,⑭手動工程入力!$S$6:$S$47,$J38,⑭手動工程入力!$I$6:$I$47,"&gt;0"))</f>
        <v/>
      </c>
      <c r="M38" s="393">
        <f>IF($J38="",0,SUMIFS(②釜工程入力!$I$5:$I$117,②釜工程入力!$S$5:$S$117,$J38,②釜工程入力!$I$5:$I$117,"&gt;0",②釜工程入力!$M$5:$M$117,"&gt;0")+SUMIFS(③スチコン工程入力!$I$5:$I$152,③スチコン工程入力!$S$5:$S$152,$J38,③スチコン工程入力!$I$5:$I$152,"&gt;0",③スチコン工程入力!$M$5:$M$152,"&gt;0")+SUMIFS(⑪ZEN工程入力!$I$6:$I$35,⑪ZEN工程入力!$S$6:$S$35,$J38,⑪ZEN工程入力!$I$6:$I$35,"&gt;0",⑪ZEN工程入力!$M$6:$M$35,"&gt;0")+SUMIFS(⑫ミキサー工程入力!$I$6:$I$65,⑫ミキサー工程入力!$S$6:$S$65,$J38,⑫ミキサー工程入力!$I$6:$I$65,"&gt;0",⑫ミキサー工程入力!$M$6:$M$65,"&gt;0")+SUMIFS(⑬計量工程入力!$I$6:$I$65,⑬計量工程入力!$S$6:$S$65,$J38,⑬計量工程入力!$I$6:$I$65,"&gt;0",⑬計量工程入力!$M$6:$M$65,"&gt;0")+SUMIFS(⑭手動工程入力!$I$6:$I$47,⑭手動工程入力!$S$6:$S$47,$J38,⑭手動工程入力!$I$6:$I$47,"&gt;0",⑭手動工程入力!$M$6:$M$47,"&gt;0"))</f>
        <v/>
      </c>
      <c r="N38" s="393">
        <f>IF($J38="",0,SUMIFS(②釜工程入力!$M$5:$M$117,②釜工程入力!$S$5:$S$117,$J38,②釜工程入力!$J$5:$J$117,"&gt;0")-SUMIFS(②釜工程入力!$M$5:$M$117,②釜工程入力!$S$5:$S$117,$J38,②釜工程入力!$J$5:$J$117,"&gt;0",②釜工程入力!$I$5:$I$117,"&gt;0")+SUMIFS(③スチコン工程入力!$M$5:$M$152,③スチコン工程入力!$S$5:$S$152,$J38,③スチコン工程入力!$J$5:$J$152,"&gt;0")-SUMIFS(③スチコン工程入力!$M$5:$M$152,③スチコン工程入力!$S$5:$S$152,$J38,③スチコン工程入力!$J$5:$J$152,"&gt;0",③スチコン工程入力!$I$5:$I$152,"&gt;0")+SUMIFS(⑪ZEN工程入力!$M$6:$M$35,⑪ZEN工程入力!$S$6:$S$35,$J38,⑪ZEN工程入力!$J$6:$J$35,"&gt;0")-SUMIFS(⑪ZEN工程入力!$M$6:$M$35,⑪ZEN工程入力!$S$6:$S$35,$J38,⑪ZEN工程入力!$J$6:$J$35,"&gt;0",⑪ZEN工程入力!$I$6:$I$35,"&gt;0")+SUMIFS(⑫ミキサー工程入力!$M$6:$M$65,⑫ミキサー工程入力!$S$6:$S$65,$J38,⑫ミキサー工程入力!$J$6:$J$65,"&gt;0")-SUMIFS(⑫ミキサー工程入力!$M$6:$M$65,⑫ミキサー工程入力!$S$6:$S$65,$J38,⑫ミキサー工程入力!$J$6:$J$65,"&gt;0",⑫ミキサー工程入力!$I$6:$I$65,"&gt;0")+SUMIFS(⑬計量工程入力!$M$6:$M$65,⑬計量工程入力!$S$6:$S$65,$J38,⑬計量工程入力!$J$6:$J$65,"&gt;0")-SUMIFS(⑬計量工程入力!$M$6:$M$65,⑬計量工程入力!$S$6:$S$65,$J38,⑬計量工程入力!$J$6:$J$65,"&gt;0",⑬計量工程入力!$I$6:$I$65,"&gt;0")+SUMIFS(⑭手動工程入力!$M$6:$M$47,⑭手動工程入力!$S$6:$S$47,$J38,⑭手動工程入力!$J$6:$J$47,"&gt;0")-SUMIFS(⑭手動工程入力!$M$6:$M$47,⑭手動工程入力!$S$6:$S$47,$J38,⑭手動工程入力!$J$6:$J$47,"&gt;0",⑭手動工程入力!$I$6:$I$47,"&gt;0"))</f>
        <v/>
      </c>
      <c r="O38" s="393">
        <f>IF($J38="",0,SUMIFS(②釜工程入力!$J$5:$J$117,②釜工程入力!$S$5:$S$117,$J38,②釜工程入力!$J$5:$J$117,"&gt;0",②釜工程入力!$M$5:$M$117,"&gt;0")-SUMIFS(②釜工程入力!$J$5:$J$117,②釜工程入力!$S$5:$S$117,$J38,②釜工程入力!$J$5:$J$117,"&gt;0",②釜工程入力!$I$5:$I$117,"&gt;0",②釜工程入力!$M$5:$M$117,"&gt;0")+SUMIFS(③スチコン工程入力!$J$5:$J$152,③スチコン工程入力!$S$5:$S$152,$J38,③スチコン工程入力!$J$5:$J$152,"&gt;0",③スチコン工程入力!$M$5:$M$152,"&gt;0")-SUMIFS(③スチコン工程入力!$J$5:$J$152,③スチコン工程入力!$S$5:$S$152,$J38,③スチコン工程入力!$J$5:$J$152,"&gt;0",③スチコン工程入力!$I$5:$I$152,"&gt;0",③スチコン工程入力!$M$5:$M$152,"&gt;0")+SUMIFS(⑪ZEN工程入力!$J$6:$J$35,⑪ZEN工程入力!$S$6:$S$35,$J38,⑪ZEN工程入力!$J$6:$J$35,"&gt;0",⑪ZEN工程入力!$M$6:$M$35,"&gt;0")-SUMIFS(⑪ZEN工程入力!$J$6:$J$35,⑪ZEN工程入力!$S$6:$S$35,$J38,⑪ZEN工程入力!$J$6:$J$35,"&gt;0",⑪ZEN工程入力!$I$6:$I$35,"&gt;0",⑪ZEN工程入力!$M$6:$M$35,"&gt;0")+SUMIFS(⑫ミキサー工程入力!$J$6:$J$65,⑫ミキサー工程入力!$S$6:$S$65,$J38,⑫ミキサー工程入力!$J$6:$J$65,"&gt;0",⑫ミキサー工程入力!$M$6:$M$65,"&gt;0")-SUMIFS(⑫ミキサー工程入力!$J$6:$J$65,⑫ミキサー工程入力!$S$6:$S$65,$J38,⑫ミキサー工程入力!$J$6:$J$65,"&gt;0",⑫ミキサー工程入力!$I$6:$I$65,"&gt;0",⑫ミキサー工程入力!$M$6:$M$65,"&gt;0")+SUMIFS(⑬計量工程入力!$J$6:$J$65,⑬計量工程入力!$S$6:$S$65,$J38,⑬計量工程入力!$J$6:$J$65,"&gt;0",⑬計量工程入力!$M$6:$M$65,"&gt;0")-SUMIFS(⑬計量工程入力!$J$6:$J$65,⑬計量工程入力!$S$6:$S$65,$J38,⑬計量工程入力!$J$6:$J$65,"&gt;0",⑬計量工程入力!$I$6:$I$65,"&gt;0",⑬計量工程入力!$M$6:$M$65,"&gt;0")+SUMIFS(⑭手動工程入力!$J$6:$J$47,⑭手動工程入力!$S$6:$S$47,$J38,⑭手動工程入力!$J$6:$J$47,"&gt;0",⑭手動工程入力!$M$6:$M$47,"&gt;0")-SUMIFS(⑭手動工程入力!$J$6:$J$47,⑭手動工程入力!$S$6:$S$47,$J38,⑭手動工程入力!$J$6:$J$47,"&gt;0",⑭手動工程入力!$I$6:$I$47,"&gt;0",⑭手動工程入力!$M$6:$M$47,"&gt;0"))</f>
        <v/>
      </c>
      <c r="P38" s="392" t="n"/>
    </row>
    <row r="39">
      <c r="A39" s="392" t="n">
        <v>35</v>
      </c>
      <c r="B39" s="392" t="n"/>
      <c r="C39" s="392" t="n"/>
      <c r="D39" s="392" t="n"/>
      <c r="E39" s="392" t="n"/>
      <c r="F39" s="394" t="n"/>
      <c r="G39" s="392" t="n"/>
      <c r="H39" s="604">
        <f>IFERROR(IF(AND($K39&gt;0,ISNUMBER(IF(OR($D39="g",$D39="ｇ"),IF($M39&gt;0,$L39/$M39/1000,""),IF($D39="kg",IF($M39&gt;0,$L39/$M39,""),IF($D39="",IF($M39&gt;0,$L39/$M39/1000,IF($O39&gt;0,$N39/$O39,"")),IF($O39&gt;0,$N39/$O39,"")))))),IF(OR($D39="g",$D39="ｇ"),IF($M39&gt;0,$L39/$M39/1000,""),IF($D39="kg",IF($M39&gt;0,$L39/$M39,""),IF($D39="",IF($M39&gt;0,$L39/$M39/1000,IF($O39&gt;0,$N39/$O39,"")),IF($O39&gt;0,$N39/$O39,"")))),IF($F39="",IF(OR($E39="",$E39="⑩盛付梱包工程入力"),"",IF(OR($D39="g",$D39="ｇ"),INDEX(⑰工程労務費一覧!$N$5:$N$11,MATCH($E39,⑰工程労務費一覧!$K$5:$K$11,0))/1000,IF($D39="kg",INDEX(⑰工程労務費一覧!$N$5:$N$11,MATCH($E39,⑰工程労務費一覧!$K$5:$K$11,0)),IF(OR($D39="個",$D39="切",$D39="本",$D39="枚",$D39="尾"),IF($E39="⑬計量工程入力","",INDEX(⑰工程労務費一覧!$P$5:$P$11,MATCH($E39,⑰工程労務費一覧!$K$5:$K$11,0))),IF(AND($D39="",OR($E39="②釜工程入力",$E39="③スチコン工程入力")),INDEX(⑰工程労務費一覧!$N$5:$N$11,MATCH($E39,⑰工程労務費一覧!$K$5:$K$11,0))/1000,""))))),IF(OR($D39="g",$D39="ｇ"),INDEX(⑰工程労務費一覧!$H$5:$H$753,MATCH($F39,⑰工程労務費一覧!$D$5:$D$753,0))/1000,IF($D39="kg",INDEX(⑰工程労務費一覧!$H$5:$H$753,MATCH($F39,⑰工程労務費一覧!$D$5:$D$753,0)),INDEX(⑰工程労務費一覧!$I$5:$I$753,MATCH($F39,⑰工程労務費一覧!$D$5:$D$753,0)))))),"")</f>
        <v/>
      </c>
      <c r="I39" s="392">
        <f>IF($K39&gt;0,IF(ISNUMBER(IF(OR($D39="g",$D39="ｇ"),IF($M39&gt;0,$L39/$M39/1000,""),IF($D39="kg",IF($M39&gt;0,$L39/$M39,""),IF($D39="",IF($M39&gt;0,$L39/$M39/1000,IF($O39&gt;0,$N39/$O39,"")),IF($O39&gt;0,$N39/$O39,""))))),IF($D39="",IF($M39&gt;0,"◎ JAN紐づけ(g扱い)","◎ JAN紐づけ(個扱い)"),"◎ JAN紐づけ"),"△ JAN紐づけ済・実績不足→仮計算"),IF($F39="",IF(ISNUMBER($H39),IF($D39="","⑤ 工程平均で仮計算(g扱い)","⑤ 工程平均で仮計算"),IF($E39="⑩盛付梱包工程入力","⑥ 盛り込み(⑳F列で計上)",IF(AND($E39="⑬計量工程入力",OR($D39="個",$D39="切",$D39="本",$D39="枚",$D39="尾")),"① 未紐づけ(カット個単位は仮単価なし)","① 未紐づけ"))),IF(NOT(ISNUMBER($H39)),"② 工程側に単価なし",IF($D39="","③ 単位未設定(個で計算)","④ OK"))))</f>
        <v/>
      </c>
      <c r="J39" s="399">
        <f>IFERROR(LOOKUP(2,1/((中間品リスト!$F$2:$F$1299=$B39)*(中間品リスト!$E$2:$E$1299&lt;&gt;"-")*(中間品リスト!$E$2:$E$1299&lt;&gt;"")),中間品リスト!$E$2:$E$1299),"")</f>
        <v/>
      </c>
      <c r="K39" s="400">
        <f>IF($J39="",0,COUNTIF(②釜工程入力!$S$5:$S$117,$J39)+COUNTIF(③スチコン工程入力!$S$5:$S$152,$J39)+COUNTIF(⑪ZEN工程入力!$S$6:$S$35,$J39)+COUNTIF(⑫ミキサー工程入力!$S$6:$S$65,$J39)+COUNTIF(⑬計量工程入力!$S$6:$S$65,$J39)+COUNTIF(⑭手動工程入力!$S$6:$S$47,$J39))</f>
        <v/>
      </c>
      <c r="L39" s="393">
        <f>IF($J39="",0,SUMIFS(②釜工程入力!$M$5:$M$117,②釜工程入力!$S$5:$S$117,$J39,②釜工程入力!$I$5:$I$117,"&gt;0")+SUMIFS(③スチコン工程入力!$M$5:$M$152,③スチコン工程入力!$S$5:$S$152,$J39,③スチコン工程入力!$I$5:$I$152,"&gt;0")+SUMIFS(⑪ZEN工程入力!$M$6:$M$35,⑪ZEN工程入力!$S$6:$S$35,$J39,⑪ZEN工程入力!$I$6:$I$35,"&gt;0")+SUMIFS(⑫ミキサー工程入力!$M$6:$M$65,⑫ミキサー工程入力!$S$6:$S$65,$J39,⑫ミキサー工程入力!$I$6:$I$65,"&gt;0")+SUMIFS(⑬計量工程入力!$M$6:$M$65,⑬計量工程入力!$S$6:$S$65,$J39,⑬計量工程入力!$I$6:$I$65,"&gt;0")+SUMIFS(⑭手動工程入力!$M$6:$M$47,⑭手動工程入力!$S$6:$S$47,$J39,⑭手動工程入力!$I$6:$I$47,"&gt;0"))</f>
        <v/>
      </c>
      <c r="M39" s="393">
        <f>IF($J39="",0,SUMIFS(②釜工程入力!$I$5:$I$117,②釜工程入力!$S$5:$S$117,$J39,②釜工程入力!$I$5:$I$117,"&gt;0",②釜工程入力!$M$5:$M$117,"&gt;0")+SUMIFS(③スチコン工程入力!$I$5:$I$152,③スチコン工程入力!$S$5:$S$152,$J39,③スチコン工程入力!$I$5:$I$152,"&gt;0",③スチコン工程入力!$M$5:$M$152,"&gt;0")+SUMIFS(⑪ZEN工程入力!$I$6:$I$35,⑪ZEN工程入力!$S$6:$S$35,$J39,⑪ZEN工程入力!$I$6:$I$35,"&gt;0",⑪ZEN工程入力!$M$6:$M$35,"&gt;0")+SUMIFS(⑫ミキサー工程入力!$I$6:$I$65,⑫ミキサー工程入力!$S$6:$S$65,$J39,⑫ミキサー工程入力!$I$6:$I$65,"&gt;0",⑫ミキサー工程入力!$M$6:$M$65,"&gt;0")+SUMIFS(⑬計量工程入力!$I$6:$I$65,⑬計量工程入力!$S$6:$S$65,$J39,⑬計量工程入力!$I$6:$I$65,"&gt;0",⑬計量工程入力!$M$6:$M$65,"&gt;0")+SUMIFS(⑭手動工程入力!$I$6:$I$47,⑭手動工程入力!$S$6:$S$47,$J39,⑭手動工程入力!$I$6:$I$47,"&gt;0",⑭手動工程入力!$M$6:$M$47,"&gt;0"))</f>
        <v/>
      </c>
      <c r="N39" s="393">
        <f>IF($J39="",0,SUMIFS(②釜工程入力!$M$5:$M$117,②釜工程入力!$S$5:$S$117,$J39,②釜工程入力!$J$5:$J$117,"&gt;0")-SUMIFS(②釜工程入力!$M$5:$M$117,②釜工程入力!$S$5:$S$117,$J39,②釜工程入力!$J$5:$J$117,"&gt;0",②釜工程入力!$I$5:$I$117,"&gt;0")+SUMIFS(③スチコン工程入力!$M$5:$M$152,③スチコン工程入力!$S$5:$S$152,$J39,③スチコン工程入力!$J$5:$J$152,"&gt;0")-SUMIFS(③スチコン工程入力!$M$5:$M$152,③スチコン工程入力!$S$5:$S$152,$J39,③スチコン工程入力!$J$5:$J$152,"&gt;0",③スチコン工程入力!$I$5:$I$152,"&gt;0")+SUMIFS(⑪ZEN工程入力!$M$6:$M$35,⑪ZEN工程入力!$S$6:$S$35,$J39,⑪ZEN工程入力!$J$6:$J$35,"&gt;0")-SUMIFS(⑪ZEN工程入力!$M$6:$M$35,⑪ZEN工程入力!$S$6:$S$35,$J39,⑪ZEN工程入力!$J$6:$J$35,"&gt;0",⑪ZEN工程入力!$I$6:$I$35,"&gt;0")+SUMIFS(⑫ミキサー工程入力!$M$6:$M$65,⑫ミキサー工程入力!$S$6:$S$65,$J39,⑫ミキサー工程入力!$J$6:$J$65,"&gt;0")-SUMIFS(⑫ミキサー工程入力!$M$6:$M$65,⑫ミキサー工程入力!$S$6:$S$65,$J39,⑫ミキサー工程入力!$J$6:$J$65,"&gt;0",⑫ミキサー工程入力!$I$6:$I$65,"&gt;0")+SUMIFS(⑬計量工程入力!$M$6:$M$65,⑬計量工程入力!$S$6:$S$65,$J39,⑬計量工程入力!$J$6:$J$65,"&gt;0")-SUMIFS(⑬計量工程入力!$M$6:$M$65,⑬計量工程入力!$S$6:$S$65,$J39,⑬計量工程入力!$J$6:$J$65,"&gt;0",⑬計量工程入力!$I$6:$I$65,"&gt;0")+SUMIFS(⑭手動工程入力!$M$6:$M$47,⑭手動工程入力!$S$6:$S$47,$J39,⑭手動工程入力!$J$6:$J$47,"&gt;0")-SUMIFS(⑭手動工程入力!$M$6:$M$47,⑭手動工程入力!$S$6:$S$47,$J39,⑭手動工程入力!$J$6:$J$47,"&gt;0",⑭手動工程入力!$I$6:$I$47,"&gt;0"))</f>
        <v/>
      </c>
      <c r="O39" s="393">
        <f>IF($J39="",0,SUMIFS(②釜工程入力!$J$5:$J$117,②釜工程入力!$S$5:$S$117,$J39,②釜工程入力!$J$5:$J$117,"&gt;0",②釜工程入力!$M$5:$M$117,"&gt;0")-SUMIFS(②釜工程入力!$J$5:$J$117,②釜工程入力!$S$5:$S$117,$J39,②釜工程入力!$J$5:$J$117,"&gt;0",②釜工程入力!$I$5:$I$117,"&gt;0",②釜工程入力!$M$5:$M$117,"&gt;0")+SUMIFS(③スチコン工程入力!$J$5:$J$152,③スチコン工程入力!$S$5:$S$152,$J39,③スチコン工程入力!$J$5:$J$152,"&gt;0",③スチコン工程入力!$M$5:$M$152,"&gt;0")-SUMIFS(③スチコン工程入力!$J$5:$J$152,③スチコン工程入力!$S$5:$S$152,$J39,③スチコン工程入力!$J$5:$J$152,"&gt;0",③スチコン工程入力!$I$5:$I$152,"&gt;0",③スチコン工程入力!$M$5:$M$152,"&gt;0")+SUMIFS(⑪ZEN工程入力!$J$6:$J$35,⑪ZEN工程入力!$S$6:$S$35,$J39,⑪ZEN工程入力!$J$6:$J$35,"&gt;0",⑪ZEN工程入力!$M$6:$M$35,"&gt;0")-SUMIFS(⑪ZEN工程入力!$J$6:$J$35,⑪ZEN工程入力!$S$6:$S$35,$J39,⑪ZEN工程入力!$J$6:$J$35,"&gt;0",⑪ZEN工程入力!$I$6:$I$35,"&gt;0",⑪ZEN工程入力!$M$6:$M$35,"&gt;0")+SUMIFS(⑫ミキサー工程入力!$J$6:$J$65,⑫ミキサー工程入力!$S$6:$S$65,$J39,⑫ミキサー工程入力!$J$6:$J$65,"&gt;0",⑫ミキサー工程入力!$M$6:$M$65,"&gt;0")-SUMIFS(⑫ミキサー工程入力!$J$6:$J$65,⑫ミキサー工程入力!$S$6:$S$65,$J39,⑫ミキサー工程入力!$J$6:$J$65,"&gt;0",⑫ミキサー工程入力!$I$6:$I$65,"&gt;0",⑫ミキサー工程入力!$M$6:$M$65,"&gt;0")+SUMIFS(⑬計量工程入力!$J$6:$J$65,⑬計量工程入力!$S$6:$S$65,$J39,⑬計量工程入力!$J$6:$J$65,"&gt;0",⑬計量工程入力!$M$6:$M$65,"&gt;0")-SUMIFS(⑬計量工程入力!$J$6:$J$65,⑬計量工程入力!$S$6:$S$65,$J39,⑬計量工程入力!$J$6:$J$65,"&gt;0",⑬計量工程入力!$I$6:$I$65,"&gt;0",⑬計量工程入力!$M$6:$M$65,"&gt;0")+SUMIFS(⑭手動工程入力!$J$6:$J$47,⑭手動工程入力!$S$6:$S$47,$J39,⑭手動工程入力!$J$6:$J$47,"&gt;0",⑭手動工程入力!$M$6:$M$47,"&gt;0")-SUMIFS(⑭手動工程入力!$J$6:$J$47,⑭手動工程入力!$S$6:$S$47,$J39,⑭手動工程入力!$J$6:$J$47,"&gt;0",⑭手動工程入力!$I$6:$I$47,"&gt;0",⑭手動工程入力!$M$6:$M$47,"&gt;0"))</f>
        <v/>
      </c>
      <c r="P39" s="392" t="n"/>
    </row>
    <row r="40">
      <c r="A40" s="392" t="n">
        <v>36</v>
      </c>
      <c r="B40" s="392" t="n"/>
      <c r="C40" s="392" t="n"/>
      <c r="D40" s="392" t="n"/>
      <c r="E40" s="392" t="n"/>
      <c r="F40" s="394" t="n"/>
      <c r="G40" s="392" t="n"/>
      <c r="H40" s="604">
        <f>IFERROR(IF(AND($K40&gt;0,ISNUMBER(IF(OR($D40="g",$D40="ｇ"),IF($M40&gt;0,$L40/$M40/1000,""),IF($D40="kg",IF($M40&gt;0,$L40/$M40,""),IF($D40="",IF($M40&gt;0,$L40/$M40/1000,IF($O40&gt;0,$N40/$O40,"")),IF($O40&gt;0,$N40/$O40,"")))))),IF(OR($D40="g",$D40="ｇ"),IF($M40&gt;0,$L40/$M40/1000,""),IF($D40="kg",IF($M40&gt;0,$L40/$M40,""),IF($D40="",IF($M40&gt;0,$L40/$M40/1000,IF($O40&gt;0,$N40/$O40,"")),IF($O40&gt;0,$N40/$O40,"")))),IF($F40="",IF(OR($E40="",$E40="⑩盛付梱包工程入力"),"",IF(OR($D40="g",$D40="ｇ"),INDEX(⑰工程労務費一覧!$N$5:$N$11,MATCH($E40,⑰工程労務費一覧!$K$5:$K$11,0))/1000,IF($D40="kg",INDEX(⑰工程労務費一覧!$N$5:$N$11,MATCH($E40,⑰工程労務費一覧!$K$5:$K$11,0)),IF(OR($D40="個",$D40="切",$D40="本",$D40="枚",$D40="尾"),IF($E40="⑬計量工程入力","",INDEX(⑰工程労務費一覧!$P$5:$P$11,MATCH($E40,⑰工程労務費一覧!$K$5:$K$11,0))),IF(AND($D40="",OR($E40="②釜工程入力",$E40="③スチコン工程入力")),INDEX(⑰工程労務費一覧!$N$5:$N$11,MATCH($E40,⑰工程労務費一覧!$K$5:$K$11,0))/1000,""))))),IF(OR($D40="g",$D40="ｇ"),INDEX(⑰工程労務費一覧!$H$5:$H$753,MATCH($F40,⑰工程労務費一覧!$D$5:$D$753,0))/1000,IF($D40="kg",INDEX(⑰工程労務費一覧!$H$5:$H$753,MATCH($F40,⑰工程労務費一覧!$D$5:$D$753,0)),INDEX(⑰工程労務費一覧!$I$5:$I$753,MATCH($F40,⑰工程労務費一覧!$D$5:$D$753,0)))))),"")</f>
        <v/>
      </c>
      <c r="I40" s="392">
        <f>IF($K40&gt;0,IF(ISNUMBER(IF(OR($D40="g",$D40="ｇ"),IF($M40&gt;0,$L40/$M40/1000,""),IF($D40="kg",IF($M40&gt;0,$L40/$M40,""),IF($D40="",IF($M40&gt;0,$L40/$M40/1000,IF($O40&gt;0,$N40/$O40,"")),IF($O40&gt;0,$N40/$O40,""))))),IF($D40="",IF($M40&gt;0,"◎ JAN紐づけ(g扱い)","◎ JAN紐づけ(個扱い)"),"◎ JAN紐づけ"),"△ JAN紐づけ済・実績不足→仮計算"),IF($F40="",IF(ISNUMBER($H40),IF($D40="","⑤ 工程平均で仮計算(g扱い)","⑤ 工程平均で仮計算"),IF($E40="⑩盛付梱包工程入力","⑥ 盛り込み(⑳F列で計上)",IF(AND($E40="⑬計量工程入力",OR($D40="個",$D40="切",$D40="本",$D40="枚",$D40="尾")),"① 未紐づけ(カット個単位は仮単価なし)","① 未紐づけ"))),IF(NOT(ISNUMBER($H40)),"② 工程側に単価なし",IF($D40="","③ 単位未設定(個で計算)","④ OK"))))</f>
        <v/>
      </c>
      <c r="J40" s="399">
        <f>IFERROR(LOOKUP(2,1/((中間品リスト!$F$2:$F$1299=$B40)*(中間品リスト!$E$2:$E$1299&lt;&gt;"-")*(中間品リスト!$E$2:$E$1299&lt;&gt;"")),中間品リスト!$E$2:$E$1299),"")</f>
        <v/>
      </c>
      <c r="K40" s="400">
        <f>IF($J40="",0,COUNTIF(②釜工程入力!$S$5:$S$117,$J40)+COUNTIF(③スチコン工程入力!$S$5:$S$152,$J40)+COUNTIF(⑪ZEN工程入力!$S$6:$S$35,$J40)+COUNTIF(⑫ミキサー工程入力!$S$6:$S$65,$J40)+COUNTIF(⑬計量工程入力!$S$6:$S$65,$J40)+COUNTIF(⑭手動工程入力!$S$6:$S$47,$J40))</f>
        <v/>
      </c>
      <c r="L40" s="393">
        <f>IF($J40="",0,SUMIFS(②釜工程入力!$M$5:$M$117,②釜工程入力!$S$5:$S$117,$J40,②釜工程入力!$I$5:$I$117,"&gt;0")+SUMIFS(③スチコン工程入力!$M$5:$M$152,③スチコン工程入力!$S$5:$S$152,$J40,③スチコン工程入力!$I$5:$I$152,"&gt;0")+SUMIFS(⑪ZEN工程入力!$M$6:$M$35,⑪ZEN工程入力!$S$6:$S$35,$J40,⑪ZEN工程入力!$I$6:$I$35,"&gt;0")+SUMIFS(⑫ミキサー工程入力!$M$6:$M$65,⑫ミキサー工程入力!$S$6:$S$65,$J40,⑫ミキサー工程入力!$I$6:$I$65,"&gt;0")+SUMIFS(⑬計量工程入力!$M$6:$M$65,⑬計量工程入力!$S$6:$S$65,$J40,⑬計量工程入力!$I$6:$I$65,"&gt;0")+SUMIFS(⑭手動工程入力!$M$6:$M$47,⑭手動工程入力!$S$6:$S$47,$J40,⑭手動工程入力!$I$6:$I$47,"&gt;0"))</f>
        <v/>
      </c>
      <c r="M40" s="393">
        <f>IF($J40="",0,SUMIFS(②釜工程入力!$I$5:$I$117,②釜工程入力!$S$5:$S$117,$J40,②釜工程入力!$I$5:$I$117,"&gt;0",②釜工程入力!$M$5:$M$117,"&gt;0")+SUMIFS(③スチコン工程入力!$I$5:$I$152,③スチコン工程入力!$S$5:$S$152,$J40,③スチコン工程入力!$I$5:$I$152,"&gt;0",③スチコン工程入力!$M$5:$M$152,"&gt;0")+SUMIFS(⑪ZEN工程入力!$I$6:$I$35,⑪ZEN工程入力!$S$6:$S$35,$J40,⑪ZEN工程入力!$I$6:$I$35,"&gt;0",⑪ZEN工程入力!$M$6:$M$35,"&gt;0")+SUMIFS(⑫ミキサー工程入力!$I$6:$I$65,⑫ミキサー工程入力!$S$6:$S$65,$J40,⑫ミキサー工程入力!$I$6:$I$65,"&gt;0",⑫ミキサー工程入力!$M$6:$M$65,"&gt;0")+SUMIFS(⑬計量工程入力!$I$6:$I$65,⑬計量工程入力!$S$6:$S$65,$J40,⑬計量工程入力!$I$6:$I$65,"&gt;0",⑬計量工程入力!$M$6:$M$65,"&gt;0")+SUMIFS(⑭手動工程入力!$I$6:$I$47,⑭手動工程入力!$S$6:$S$47,$J40,⑭手動工程入力!$I$6:$I$47,"&gt;0",⑭手動工程入力!$M$6:$M$47,"&gt;0"))</f>
        <v/>
      </c>
      <c r="N40" s="393">
        <f>IF($J40="",0,SUMIFS(②釜工程入力!$M$5:$M$117,②釜工程入力!$S$5:$S$117,$J40,②釜工程入力!$J$5:$J$117,"&gt;0")-SUMIFS(②釜工程入力!$M$5:$M$117,②釜工程入力!$S$5:$S$117,$J40,②釜工程入力!$J$5:$J$117,"&gt;0",②釜工程入力!$I$5:$I$117,"&gt;0")+SUMIFS(③スチコン工程入力!$M$5:$M$152,③スチコン工程入力!$S$5:$S$152,$J40,③スチコン工程入力!$J$5:$J$152,"&gt;0")-SUMIFS(③スチコン工程入力!$M$5:$M$152,③スチコン工程入力!$S$5:$S$152,$J40,③スチコン工程入力!$J$5:$J$152,"&gt;0",③スチコン工程入力!$I$5:$I$152,"&gt;0")+SUMIFS(⑪ZEN工程入力!$M$6:$M$35,⑪ZEN工程入力!$S$6:$S$35,$J40,⑪ZEN工程入力!$J$6:$J$35,"&gt;0")-SUMIFS(⑪ZEN工程入力!$M$6:$M$35,⑪ZEN工程入力!$S$6:$S$35,$J40,⑪ZEN工程入力!$J$6:$J$35,"&gt;0",⑪ZEN工程入力!$I$6:$I$35,"&gt;0")+SUMIFS(⑫ミキサー工程入力!$M$6:$M$65,⑫ミキサー工程入力!$S$6:$S$65,$J40,⑫ミキサー工程入力!$J$6:$J$65,"&gt;0")-SUMIFS(⑫ミキサー工程入力!$M$6:$M$65,⑫ミキサー工程入力!$S$6:$S$65,$J40,⑫ミキサー工程入力!$J$6:$J$65,"&gt;0",⑫ミキサー工程入力!$I$6:$I$65,"&gt;0")+SUMIFS(⑬計量工程入力!$M$6:$M$65,⑬計量工程入力!$S$6:$S$65,$J40,⑬計量工程入力!$J$6:$J$65,"&gt;0")-SUMIFS(⑬計量工程入力!$M$6:$M$65,⑬計量工程入力!$S$6:$S$65,$J40,⑬計量工程入力!$J$6:$J$65,"&gt;0",⑬計量工程入力!$I$6:$I$65,"&gt;0")+SUMIFS(⑭手動工程入力!$M$6:$M$47,⑭手動工程入力!$S$6:$S$47,$J40,⑭手動工程入力!$J$6:$J$47,"&gt;0")-SUMIFS(⑭手動工程入力!$M$6:$M$47,⑭手動工程入力!$S$6:$S$47,$J40,⑭手動工程入力!$J$6:$J$47,"&gt;0",⑭手動工程入力!$I$6:$I$47,"&gt;0"))</f>
        <v/>
      </c>
      <c r="O40" s="393">
        <f>IF($J40="",0,SUMIFS(②釜工程入力!$J$5:$J$117,②釜工程入力!$S$5:$S$117,$J40,②釜工程入力!$J$5:$J$117,"&gt;0",②釜工程入力!$M$5:$M$117,"&gt;0")-SUMIFS(②釜工程入力!$J$5:$J$117,②釜工程入力!$S$5:$S$117,$J40,②釜工程入力!$J$5:$J$117,"&gt;0",②釜工程入力!$I$5:$I$117,"&gt;0",②釜工程入力!$M$5:$M$117,"&gt;0")+SUMIFS(③スチコン工程入力!$J$5:$J$152,③スチコン工程入力!$S$5:$S$152,$J40,③スチコン工程入力!$J$5:$J$152,"&gt;0",③スチコン工程入力!$M$5:$M$152,"&gt;0")-SUMIFS(③スチコン工程入力!$J$5:$J$152,③スチコン工程入力!$S$5:$S$152,$J40,③スチコン工程入力!$J$5:$J$152,"&gt;0",③スチコン工程入力!$I$5:$I$152,"&gt;0",③スチコン工程入力!$M$5:$M$152,"&gt;0")+SUMIFS(⑪ZEN工程入力!$J$6:$J$35,⑪ZEN工程入力!$S$6:$S$35,$J40,⑪ZEN工程入力!$J$6:$J$35,"&gt;0",⑪ZEN工程入力!$M$6:$M$35,"&gt;0")-SUMIFS(⑪ZEN工程入力!$J$6:$J$35,⑪ZEN工程入力!$S$6:$S$35,$J40,⑪ZEN工程入力!$J$6:$J$35,"&gt;0",⑪ZEN工程入力!$I$6:$I$35,"&gt;0",⑪ZEN工程入力!$M$6:$M$35,"&gt;0")+SUMIFS(⑫ミキサー工程入力!$J$6:$J$65,⑫ミキサー工程入力!$S$6:$S$65,$J40,⑫ミキサー工程入力!$J$6:$J$65,"&gt;0",⑫ミキサー工程入力!$M$6:$M$65,"&gt;0")-SUMIFS(⑫ミキサー工程入力!$J$6:$J$65,⑫ミキサー工程入力!$S$6:$S$65,$J40,⑫ミキサー工程入力!$J$6:$J$65,"&gt;0",⑫ミキサー工程入力!$I$6:$I$65,"&gt;0",⑫ミキサー工程入力!$M$6:$M$65,"&gt;0")+SUMIFS(⑬計量工程入力!$J$6:$J$65,⑬計量工程入力!$S$6:$S$65,$J40,⑬計量工程入力!$J$6:$J$65,"&gt;0",⑬計量工程入力!$M$6:$M$65,"&gt;0")-SUMIFS(⑬計量工程入力!$J$6:$J$65,⑬計量工程入力!$S$6:$S$65,$J40,⑬計量工程入力!$J$6:$J$65,"&gt;0",⑬計量工程入力!$I$6:$I$65,"&gt;0",⑬計量工程入力!$M$6:$M$65,"&gt;0")+SUMIFS(⑭手動工程入力!$J$6:$J$47,⑭手動工程入力!$S$6:$S$47,$J40,⑭手動工程入力!$J$6:$J$47,"&gt;0",⑭手動工程入力!$M$6:$M$47,"&gt;0")-SUMIFS(⑭手動工程入力!$J$6:$J$47,⑭手動工程入力!$S$6:$S$47,$J40,⑭手動工程入力!$J$6:$J$47,"&gt;0",⑭手動工程入力!$I$6:$I$47,"&gt;0",⑭手動工程入力!$M$6:$M$47,"&gt;0"))</f>
        <v/>
      </c>
      <c r="P40" s="392" t="n"/>
    </row>
    <row r="41">
      <c r="A41" s="392" t="n">
        <v>37</v>
      </c>
      <c r="B41" s="392" t="n"/>
      <c r="C41" s="392" t="n"/>
      <c r="D41" s="392" t="n"/>
      <c r="E41" s="392" t="n"/>
      <c r="F41" s="394" t="n"/>
      <c r="G41" s="392" t="n"/>
      <c r="H41" s="604">
        <f>IFERROR(IF(AND($K41&gt;0,ISNUMBER(IF(OR($D41="g",$D41="ｇ"),IF($M41&gt;0,$L41/$M41/1000,""),IF($D41="kg",IF($M41&gt;0,$L41/$M41,""),IF($D41="",IF($M41&gt;0,$L41/$M41/1000,IF($O41&gt;0,$N41/$O41,"")),IF($O41&gt;0,$N41/$O41,"")))))),IF(OR($D41="g",$D41="ｇ"),IF($M41&gt;0,$L41/$M41/1000,""),IF($D41="kg",IF($M41&gt;0,$L41/$M41,""),IF($D41="",IF($M41&gt;0,$L41/$M41/1000,IF($O41&gt;0,$N41/$O41,"")),IF($O41&gt;0,$N41/$O41,"")))),IF($F41="",IF(OR($E41="",$E41="⑩盛付梱包工程入力"),"",IF(OR($D41="g",$D41="ｇ"),INDEX(⑰工程労務費一覧!$N$5:$N$11,MATCH($E41,⑰工程労務費一覧!$K$5:$K$11,0))/1000,IF($D41="kg",INDEX(⑰工程労務費一覧!$N$5:$N$11,MATCH($E41,⑰工程労務費一覧!$K$5:$K$11,0)),IF(OR($D41="個",$D41="切",$D41="本",$D41="枚",$D41="尾"),IF($E41="⑬計量工程入力","",INDEX(⑰工程労務費一覧!$P$5:$P$11,MATCH($E41,⑰工程労務費一覧!$K$5:$K$11,0))),IF(AND($D41="",OR($E41="②釜工程入力",$E41="③スチコン工程入力")),INDEX(⑰工程労務費一覧!$N$5:$N$11,MATCH($E41,⑰工程労務費一覧!$K$5:$K$11,0))/1000,""))))),IF(OR($D41="g",$D41="ｇ"),INDEX(⑰工程労務費一覧!$H$5:$H$753,MATCH($F41,⑰工程労務費一覧!$D$5:$D$753,0))/1000,IF($D41="kg",INDEX(⑰工程労務費一覧!$H$5:$H$753,MATCH($F41,⑰工程労務費一覧!$D$5:$D$753,0)),INDEX(⑰工程労務費一覧!$I$5:$I$753,MATCH($F41,⑰工程労務費一覧!$D$5:$D$753,0)))))),"")</f>
        <v/>
      </c>
      <c r="I41" s="392">
        <f>IF($K41&gt;0,IF(ISNUMBER(IF(OR($D41="g",$D41="ｇ"),IF($M41&gt;0,$L41/$M41/1000,""),IF($D41="kg",IF($M41&gt;0,$L41/$M41,""),IF($D41="",IF($M41&gt;0,$L41/$M41/1000,IF($O41&gt;0,$N41/$O41,"")),IF($O41&gt;0,$N41/$O41,""))))),IF($D41="",IF($M41&gt;0,"◎ JAN紐づけ(g扱い)","◎ JAN紐づけ(個扱い)"),"◎ JAN紐づけ"),"△ JAN紐づけ済・実績不足→仮計算"),IF($F41="",IF(ISNUMBER($H41),IF($D41="","⑤ 工程平均で仮計算(g扱い)","⑤ 工程平均で仮計算"),IF($E41="⑩盛付梱包工程入力","⑥ 盛り込み(⑳F列で計上)",IF(AND($E41="⑬計量工程入力",OR($D41="個",$D41="切",$D41="本",$D41="枚",$D41="尾")),"① 未紐づけ(カット個単位は仮単価なし)","① 未紐づけ"))),IF(NOT(ISNUMBER($H41)),"② 工程側に単価なし",IF($D41="","③ 単位未設定(個で計算)","④ OK"))))</f>
        <v/>
      </c>
      <c r="J41" s="399">
        <f>IFERROR(LOOKUP(2,1/((中間品リスト!$F$2:$F$1299=$B41)*(中間品リスト!$E$2:$E$1299&lt;&gt;"-")*(中間品リスト!$E$2:$E$1299&lt;&gt;"")),中間品リスト!$E$2:$E$1299),"")</f>
        <v/>
      </c>
      <c r="K41" s="400">
        <f>IF($J41="",0,COUNTIF(②釜工程入力!$S$5:$S$117,$J41)+COUNTIF(③スチコン工程入力!$S$5:$S$152,$J41)+COUNTIF(⑪ZEN工程入力!$S$6:$S$35,$J41)+COUNTIF(⑫ミキサー工程入力!$S$6:$S$65,$J41)+COUNTIF(⑬計量工程入力!$S$6:$S$65,$J41)+COUNTIF(⑭手動工程入力!$S$6:$S$47,$J41))</f>
        <v/>
      </c>
      <c r="L41" s="393">
        <f>IF($J41="",0,SUMIFS(②釜工程入力!$M$5:$M$117,②釜工程入力!$S$5:$S$117,$J41,②釜工程入力!$I$5:$I$117,"&gt;0")+SUMIFS(③スチコン工程入力!$M$5:$M$152,③スチコン工程入力!$S$5:$S$152,$J41,③スチコン工程入力!$I$5:$I$152,"&gt;0")+SUMIFS(⑪ZEN工程入力!$M$6:$M$35,⑪ZEN工程入力!$S$6:$S$35,$J41,⑪ZEN工程入力!$I$6:$I$35,"&gt;0")+SUMIFS(⑫ミキサー工程入力!$M$6:$M$65,⑫ミキサー工程入力!$S$6:$S$65,$J41,⑫ミキサー工程入力!$I$6:$I$65,"&gt;0")+SUMIFS(⑬計量工程入力!$M$6:$M$65,⑬計量工程入力!$S$6:$S$65,$J41,⑬計量工程入力!$I$6:$I$65,"&gt;0")+SUMIFS(⑭手動工程入力!$M$6:$M$47,⑭手動工程入力!$S$6:$S$47,$J41,⑭手動工程入力!$I$6:$I$47,"&gt;0"))</f>
        <v/>
      </c>
      <c r="M41" s="393">
        <f>IF($J41="",0,SUMIFS(②釜工程入力!$I$5:$I$117,②釜工程入力!$S$5:$S$117,$J41,②釜工程入力!$I$5:$I$117,"&gt;0",②釜工程入力!$M$5:$M$117,"&gt;0")+SUMIFS(③スチコン工程入力!$I$5:$I$152,③スチコン工程入力!$S$5:$S$152,$J41,③スチコン工程入力!$I$5:$I$152,"&gt;0",③スチコン工程入力!$M$5:$M$152,"&gt;0")+SUMIFS(⑪ZEN工程入力!$I$6:$I$35,⑪ZEN工程入力!$S$6:$S$35,$J41,⑪ZEN工程入力!$I$6:$I$35,"&gt;0",⑪ZEN工程入力!$M$6:$M$35,"&gt;0")+SUMIFS(⑫ミキサー工程入力!$I$6:$I$65,⑫ミキサー工程入力!$S$6:$S$65,$J41,⑫ミキサー工程入力!$I$6:$I$65,"&gt;0",⑫ミキサー工程入力!$M$6:$M$65,"&gt;0")+SUMIFS(⑬計量工程入力!$I$6:$I$65,⑬計量工程入力!$S$6:$S$65,$J41,⑬計量工程入力!$I$6:$I$65,"&gt;0",⑬計量工程入力!$M$6:$M$65,"&gt;0")+SUMIFS(⑭手動工程入力!$I$6:$I$47,⑭手動工程入力!$S$6:$S$47,$J41,⑭手動工程入力!$I$6:$I$47,"&gt;0",⑭手動工程入力!$M$6:$M$47,"&gt;0"))</f>
        <v/>
      </c>
      <c r="N41" s="393">
        <f>IF($J41="",0,SUMIFS(②釜工程入力!$M$5:$M$117,②釜工程入力!$S$5:$S$117,$J41,②釜工程入力!$J$5:$J$117,"&gt;0")-SUMIFS(②釜工程入力!$M$5:$M$117,②釜工程入力!$S$5:$S$117,$J41,②釜工程入力!$J$5:$J$117,"&gt;0",②釜工程入力!$I$5:$I$117,"&gt;0")+SUMIFS(③スチコン工程入力!$M$5:$M$152,③スチコン工程入力!$S$5:$S$152,$J41,③スチコン工程入力!$J$5:$J$152,"&gt;0")-SUMIFS(③スチコン工程入力!$M$5:$M$152,③スチコン工程入力!$S$5:$S$152,$J41,③スチコン工程入力!$J$5:$J$152,"&gt;0",③スチコン工程入力!$I$5:$I$152,"&gt;0")+SUMIFS(⑪ZEN工程入力!$M$6:$M$35,⑪ZEN工程入力!$S$6:$S$35,$J41,⑪ZEN工程入力!$J$6:$J$35,"&gt;0")-SUMIFS(⑪ZEN工程入力!$M$6:$M$35,⑪ZEN工程入力!$S$6:$S$35,$J41,⑪ZEN工程入力!$J$6:$J$35,"&gt;0",⑪ZEN工程入力!$I$6:$I$35,"&gt;0")+SUMIFS(⑫ミキサー工程入力!$M$6:$M$65,⑫ミキサー工程入力!$S$6:$S$65,$J41,⑫ミキサー工程入力!$J$6:$J$65,"&gt;0")-SUMIFS(⑫ミキサー工程入力!$M$6:$M$65,⑫ミキサー工程入力!$S$6:$S$65,$J41,⑫ミキサー工程入力!$J$6:$J$65,"&gt;0",⑫ミキサー工程入力!$I$6:$I$65,"&gt;0")+SUMIFS(⑬計量工程入力!$M$6:$M$65,⑬計量工程入力!$S$6:$S$65,$J41,⑬計量工程入力!$J$6:$J$65,"&gt;0")-SUMIFS(⑬計量工程入力!$M$6:$M$65,⑬計量工程入力!$S$6:$S$65,$J41,⑬計量工程入力!$J$6:$J$65,"&gt;0",⑬計量工程入力!$I$6:$I$65,"&gt;0")+SUMIFS(⑭手動工程入力!$M$6:$M$47,⑭手動工程入力!$S$6:$S$47,$J41,⑭手動工程入力!$J$6:$J$47,"&gt;0")-SUMIFS(⑭手動工程入力!$M$6:$M$47,⑭手動工程入力!$S$6:$S$47,$J41,⑭手動工程入力!$J$6:$J$47,"&gt;0",⑭手動工程入力!$I$6:$I$47,"&gt;0"))</f>
        <v/>
      </c>
      <c r="O41" s="393">
        <f>IF($J41="",0,SUMIFS(②釜工程入力!$J$5:$J$117,②釜工程入力!$S$5:$S$117,$J41,②釜工程入力!$J$5:$J$117,"&gt;0",②釜工程入力!$M$5:$M$117,"&gt;0")-SUMIFS(②釜工程入力!$J$5:$J$117,②釜工程入力!$S$5:$S$117,$J41,②釜工程入力!$J$5:$J$117,"&gt;0",②釜工程入力!$I$5:$I$117,"&gt;0",②釜工程入力!$M$5:$M$117,"&gt;0")+SUMIFS(③スチコン工程入力!$J$5:$J$152,③スチコン工程入力!$S$5:$S$152,$J41,③スチコン工程入力!$J$5:$J$152,"&gt;0",③スチコン工程入力!$M$5:$M$152,"&gt;0")-SUMIFS(③スチコン工程入力!$J$5:$J$152,③スチコン工程入力!$S$5:$S$152,$J41,③スチコン工程入力!$J$5:$J$152,"&gt;0",③スチコン工程入力!$I$5:$I$152,"&gt;0",③スチコン工程入力!$M$5:$M$152,"&gt;0")+SUMIFS(⑪ZEN工程入力!$J$6:$J$35,⑪ZEN工程入力!$S$6:$S$35,$J41,⑪ZEN工程入力!$J$6:$J$35,"&gt;0",⑪ZEN工程入力!$M$6:$M$35,"&gt;0")-SUMIFS(⑪ZEN工程入力!$J$6:$J$35,⑪ZEN工程入力!$S$6:$S$35,$J41,⑪ZEN工程入力!$J$6:$J$35,"&gt;0",⑪ZEN工程入力!$I$6:$I$35,"&gt;0",⑪ZEN工程入力!$M$6:$M$35,"&gt;0")+SUMIFS(⑫ミキサー工程入力!$J$6:$J$65,⑫ミキサー工程入力!$S$6:$S$65,$J41,⑫ミキサー工程入力!$J$6:$J$65,"&gt;0",⑫ミキサー工程入力!$M$6:$M$65,"&gt;0")-SUMIFS(⑫ミキサー工程入力!$J$6:$J$65,⑫ミキサー工程入力!$S$6:$S$65,$J41,⑫ミキサー工程入力!$J$6:$J$65,"&gt;0",⑫ミキサー工程入力!$I$6:$I$65,"&gt;0",⑫ミキサー工程入力!$M$6:$M$65,"&gt;0")+SUMIFS(⑬計量工程入力!$J$6:$J$65,⑬計量工程入力!$S$6:$S$65,$J41,⑬計量工程入力!$J$6:$J$65,"&gt;0",⑬計量工程入力!$M$6:$M$65,"&gt;0")-SUMIFS(⑬計量工程入力!$J$6:$J$65,⑬計量工程入力!$S$6:$S$65,$J41,⑬計量工程入力!$J$6:$J$65,"&gt;0",⑬計量工程入力!$I$6:$I$65,"&gt;0",⑬計量工程入力!$M$6:$M$65,"&gt;0")+SUMIFS(⑭手動工程入力!$J$6:$J$47,⑭手動工程入力!$S$6:$S$47,$J41,⑭手動工程入力!$J$6:$J$47,"&gt;0",⑭手動工程入力!$M$6:$M$47,"&gt;0")-SUMIFS(⑭手動工程入力!$J$6:$J$47,⑭手動工程入力!$S$6:$S$47,$J41,⑭手動工程入力!$J$6:$J$47,"&gt;0",⑭手動工程入力!$I$6:$I$47,"&gt;0",⑭手動工程入力!$M$6:$M$47,"&gt;0"))</f>
        <v/>
      </c>
      <c r="P41" s="392" t="n"/>
    </row>
    <row r="42">
      <c r="A42" s="392" t="n">
        <v>38</v>
      </c>
      <c r="B42" s="392" t="n"/>
      <c r="C42" s="392" t="n"/>
      <c r="D42" s="392" t="n"/>
      <c r="E42" s="392" t="n"/>
      <c r="F42" s="394" t="n"/>
      <c r="G42" s="392" t="n"/>
      <c r="H42" s="604">
        <f>IFERROR(IF(AND($K42&gt;0,ISNUMBER(IF(OR($D42="g",$D42="ｇ"),IF($M42&gt;0,$L42/$M42/1000,""),IF($D42="kg",IF($M42&gt;0,$L42/$M42,""),IF($D42="",IF($M42&gt;0,$L42/$M42/1000,IF($O42&gt;0,$N42/$O42,"")),IF($O42&gt;0,$N42/$O42,"")))))),IF(OR($D42="g",$D42="ｇ"),IF($M42&gt;0,$L42/$M42/1000,""),IF($D42="kg",IF($M42&gt;0,$L42/$M42,""),IF($D42="",IF($M42&gt;0,$L42/$M42/1000,IF($O42&gt;0,$N42/$O42,"")),IF($O42&gt;0,$N42/$O42,"")))),IF($F42="",IF(OR($E42="",$E42="⑩盛付梱包工程入力"),"",IF(OR($D42="g",$D42="ｇ"),INDEX(⑰工程労務費一覧!$N$5:$N$11,MATCH($E42,⑰工程労務費一覧!$K$5:$K$11,0))/1000,IF($D42="kg",INDEX(⑰工程労務費一覧!$N$5:$N$11,MATCH($E42,⑰工程労務費一覧!$K$5:$K$11,0)),IF(OR($D42="個",$D42="切",$D42="本",$D42="枚",$D42="尾"),IF($E42="⑬計量工程入力","",INDEX(⑰工程労務費一覧!$P$5:$P$11,MATCH($E42,⑰工程労務費一覧!$K$5:$K$11,0))),IF(AND($D42="",OR($E42="②釜工程入力",$E42="③スチコン工程入力")),INDEX(⑰工程労務費一覧!$N$5:$N$11,MATCH($E42,⑰工程労務費一覧!$K$5:$K$11,0))/1000,""))))),IF(OR($D42="g",$D42="ｇ"),INDEX(⑰工程労務費一覧!$H$5:$H$753,MATCH($F42,⑰工程労務費一覧!$D$5:$D$753,0))/1000,IF($D42="kg",INDEX(⑰工程労務費一覧!$H$5:$H$753,MATCH($F42,⑰工程労務費一覧!$D$5:$D$753,0)),INDEX(⑰工程労務費一覧!$I$5:$I$753,MATCH($F42,⑰工程労務費一覧!$D$5:$D$753,0)))))),"")</f>
        <v/>
      </c>
      <c r="I42" s="392">
        <f>IF($K42&gt;0,IF(ISNUMBER(IF(OR($D42="g",$D42="ｇ"),IF($M42&gt;0,$L42/$M42/1000,""),IF($D42="kg",IF($M42&gt;0,$L42/$M42,""),IF($D42="",IF($M42&gt;0,$L42/$M42/1000,IF($O42&gt;0,$N42/$O42,"")),IF($O42&gt;0,$N42/$O42,""))))),IF($D42="",IF($M42&gt;0,"◎ JAN紐づけ(g扱い)","◎ JAN紐づけ(個扱い)"),"◎ JAN紐づけ"),"△ JAN紐づけ済・実績不足→仮計算"),IF($F42="",IF(ISNUMBER($H42),IF($D42="","⑤ 工程平均で仮計算(g扱い)","⑤ 工程平均で仮計算"),IF($E42="⑩盛付梱包工程入力","⑥ 盛り込み(⑳F列で計上)",IF(AND($E42="⑬計量工程入力",OR($D42="個",$D42="切",$D42="本",$D42="枚",$D42="尾")),"① 未紐づけ(カット個単位は仮単価なし)","① 未紐づけ"))),IF(NOT(ISNUMBER($H42)),"② 工程側に単価なし",IF($D42="","③ 単位未設定(個で計算)","④ OK"))))</f>
        <v/>
      </c>
      <c r="J42" s="399">
        <f>IFERROR(LOOKUP(2,1/((中間品リスト!$F$2:$F$1299=$B42)*(中間品リスト!$E$2:$E$1299&lt;&gt;"-")*(中間品リスト!$E$2:$E$1299&lt;&gt;"")),中間品リスト!$E$2:$E$1299),"")</f>
        <v/>
      </c>
      <c r="K42" s="400">
        <f>IF($J42="",0,COUNTIF(②釜工程入力!$S$5:$S$117,$J42)+COUNTIF(③スチコン工程入力!$S$5:$S$152,$J42)+COUNTIF(⑪ZEN工程入力!$S$6:$S$35,$J42)+COUNTIF(⑫ミキサー工程入力!$S$6:$S$65,$J42)+COUNTIF(⑬計量工程入力!$S$6:$S$65,$J42)+COUNTIF(⑭手動工程入力!$S$6:$S$47,$J42))</f>
        <v/>
      </c>
      <c r="L42" s="393">
        <f>IF($J42="",0,SUMIFS(②釜工程入力!$M$5:$M$117,②釜工程入力!$S$5:$S$117,$J42,②釜工程入力!$I$5:$I$117,"&gt;0")+SUMIFS(③スチコン工程入力!$M$5:$M$152,③スチコン工程入力!$S$5:$S$152,$J42,③スチコン工程入力!$I$5:$I$152,"&gt;0")+SUMIFS(⑪ZEN工程入力!$M$6:$M$35,⑪ZEN工程入力!$S$6:$S$35,$J42,⑪ZEN工程入力!$I$6:$I$35,"&gt;0")+SUMIFS(⑫ミキサー工程入力!$M$6:$M$65,⑫ミキサー工程入力!$S$6:$S$65,$J42,⑫ミキサー工程入力!$I$6:$I$65,"&gt;0")+SUMIFS(⑬計量工程入力!$M$6:$M$65,⑬計量工程入力!$S$6:$S$65,$J42,⑬計量工程入力!$I$6:$I$65,"&gt;0")+SUMIFS(⑭手動工程入力!$M$6:$M$47,⑭手動工程入力!$S$6:$S$47,$J42,⑭手動工程入力!$I$6:$I$47,"&gt;0"))</f>
        <v/>
      </c>
      <c r="M42" s="393">
        <f>IF($J42="",0,SUMIFS(②釜工程入力!$I$5:$I$117,②釜工程入力!$S$5:$S$117,$J42,②釜工程入力!$I$5:$I$117,"&gt;0",②釜工程入力!$M$5:$M$117,"&gt;0")+SUMIFS(③スチコン工程入力!$I$5:$I$152,③スチコン工程入力!$S$5:$S$152,$J42,③スチコン工程入力!$I$5:$I$152,"&gt;0",③スチコン工程入力!$M$5:$M$152,"&gt;0")+SUMIFS(⑪ZEN工程入力!$I$6:$I$35,⑪ZEN工程入力!$S$6:$S$35,$J42,⑪ZEN工程入力!$I$6:$I$35,"&gt;0",⑪ZEN工程入力!$M$6:$M$35,"&gt;0")+SUMIFS(⑫ミキサー工程入力!$I$6:$I$65,⑫ミキサー工程入力!$S$6:$S$65,$J42,⑫ミキサー工程入力!$I$6:$I$65,"&gt;0",⑫ミキサー工程入力!$M$6:$M$65,"&gt;0")+SUMIFS(⑬計量工程入力!$I$6:$I$65,⑬計量工程入力!$S$6:$S$65,$J42,⑬計量工程入力!$I$6:$I$65,"&gt;0",⑬計量工程入力!$M$6:$M$65,"&gt;0")+SUMIFS(⑭手動工程入力!$I$6:$I$47,⑭手動工程入力!$S$6:$S$47,$J42,⑭手動工程入力!$I$6:$I$47,"&gt;0",⑭手動工程入力!$M$6:$M$47,"&gt;0"))</f>
        <v/>
      </c>
      <c r="N42" s="393">
        <f>IF($J42="",0,SUMIFS(②釜工程入力!$M$5:$M$117,②釜工程入力!$S$5:$S$117,$J42,②釜工程入力!$J$5:$J$117,"&gt;0")-SUMIFS(②釜工程入力!$M$5:$M$117,②釜工程入力!$S$5:$S$117,$J42,②釜工程入力!$J$5:$J$117,"&gt;0",②釜工程入力!$I$5:$I$117,"&gt;0")+SUMIFS(③スチコン工程入力!$M$5:$M$152,③スチコン工程入力!$S$5:$S$152,$J42,③スチコン工程入力!$J$5:$J$152,"&gt;0")-SUMIFS(③スチコン工程入力!$M$5:$M$152,③スチコン工程入力!$S$5:$S$152,$J42,③スチコン工程入力!$J$5:$J$152,"&gt;0",③スチコン工程入力!$I$5:$I$152,"&gt;0")+SUMIFS(⑪ZEN工程入力!$M$6:$M$35,⑪ZEN工程入力!$S$6:$S$35,$J42,⑪ZEN工程入力!$J$6:$J$35,"&gt;0")-SUMIFS(⑪ZEN工程入力!$M$6:$M$35,⑪ZEN工程入力!$S$6:$S$35,$J42,⑪ZEN工程入力!$J$6:$J$35,"&gt;0",⑪ZEN工程入力!$I$6:$I$35,"&gt;0")+SUMIFS(⑫ミキサー工程入力!$M$6:$M$65,⑫ミキサー工程入力!$S$6:$S$65,$J42,⑫ミキサー工程入力!$J$6:$J$65,"&gt;0")-SUMIFS(⑫ミキサー工程入力!$M$6:$M$65,⑫ミキサー工程入力!$S$6:$S$65,$J42,⑫ミキサー工程入力!$J$6:$J$65,"&gt;0",⑫ミキサー工程入力!$I$6:$I$65,"&gt;0")+SUMIFS(⑬計量工程入力!$M$6:$M$65,⑬計量工程入力!$S$6:$S$65,$J42,⑬計量工程入力!$J$6:$J$65,"&gt;0")-SUMIFS(⑬計量工程入力!$M$6:$M$65,⑬計量工程入力!$S$6:$S$65,$J42,⑬計量工程入力!$J$6:$J$65,"&gt;0",⑬計量工程入力!$I$6:$I$65,"&gt;0")+SUMIFS(⑭手動工程入力!$M$6:$M$47,⑭手動工程入力!$S$6:$S$47,$J42,⑭手動工程入力!$J$6:$J$47,"&gt;0")-SUMIFS(⑭手動工程入力!$M$6:$M$47,⑭手動工程入力!$S$6:$S$47,$J42,⑭手動工程入力!$J$6:$J$47,"&gt;0",⑭手動工程入力!$I$6:$I$47,"&gt;0"))</f>
        <v/>
      </c>
      <c r="O42" s="393">
        <f>IF($J42="",0,SUMIFS(②釜工程入力!$J$5:$J$117,②釜工程入力!$S$5:$S$117,$J42,②釜工程入力!$J$5:$J$117,"&gt;0",②釜工程入力!$M$5:$M$117,"&gt;0")-SUMIFS(②釜工程入力!$J$5:$J$117,②釜工程入力!$S$5:$S$117,$J42,②釜工程入力!$J$5:$J$117,"&gt;0",②釜工程入力!$I$5:$I$117,"&gt;0",②釜工程入力!$M$5:$M$117,"&gt;0")+SUMIFS(③スチコン工程入力!$J$5:$J$152,③スチコン工程入力!$S$5:$S$152,$J42,③スチコン工程入力!$J$5:$J$152,"&gt;0",③スチコン工程入力!$M$5:$M$152,"&gt;0")-SUMIFS(③スチコン工程入力!$J$5:$J$152,③スチコン工程入力!$S$5:$S$152,$J42,③スチコン工程入力!$J$5:$J$152,"&gt;0",③スチコン工程入力!$I$5:$I$152,"&gt;0",③スチコン工程入力!$M$5:$M$152,"&gt;0")+SUMIFS(⑪ZEN工程入力!$J$6:$J$35,⑪ZEN工程入力!$S$6:$S$35,$J42,⑪ZEN工程入力!$J$6:$J$35,"&gt;0",⑪ZEN工程入力!$M$6:$M$35,"&gt;0")-SUMIFS(⑪ZEN工程入力!$J$6:$J$35,⑪ZEN工程入力!$S$6:$S$35,$J42,⑪ZEN工程入力!$J$6:$J$35,"&gt;0",⑪ZEN工程入力!$I$6:$I$35,"&gt;0",⑪ZEN工程入力!$M$6:$M$35,"&gt;0")+SUMIFS(⑫ミキサー工程入力!$J$6:$J$65,⑫ミキサー工程入力!$S$6:$S$65,$J42,⑫ミキサー工程入力!$J$6:$J$65,"&gt;0",⑫ミキサー工程入力!$M$6:$M$65,"&gt;0")-SUMIFS(⑫ミキサー工程入力!$J$6:$J$65,⑫ミキサー工程入力!$S$6:$S$65,$J42,⑫ミキサー工程入力!$J$6:$J$65,"&gt;0",⑫ミキサー工程入力!$I$6:$I$65,"&gt;0",⑫ミキサー工程入力!$M$6:$M$65,"&gt;0")+SUMIFS(⑬計量工程入力!$J$6:$J$65,⑬計量工程入力!$S$6:$S$65,$J42,⑬計量工程入力!$J$6:$J$65,"&gt;0",⑬計量工程入力!$M$6:$M$65,"&gt;0")-SUMIFS(⑬計量工程入力!$J$6:$J$65,⑬計量工程入力!$S$6:$S$65,$J42,⑬計量工程入力!$J$6:$J$65,"&gt;0",⑬計量工程入力!$I$6:$I$65,"&gt;0",⑬計量工程入力!$M$6:$M$65,"&gt;0")+SUMIFS(⑭手動工程入力!$J$6:$J$47,⑭手動工程入力!$S$6:$S$47,$J42,⑭手動工程入力!$J$6:$J$47,"&gt;0",⑭手動工程入力!$M$6:$M$47,"&gt;0")-SUMIFS(⑭手動工程入力!$J$6:$J$47,⑭手動工程入力!$S$6:$S$47,$J42,⑭手動工程入力!$J$6:$J$47,"&gt;0",⑭手動工程入力!$I$6:$I$47,"&gt;0",⑭手動工程入力!$M$6:$M$47,"&gt;0"))</f>
        <v/>
      </c>
      <c r="P42" s="392" t="n"/>
    </row>
    <row r="43">
      <c r="A43" s="392" t="n">
        <v>39</v>
      </c>
      <c r="B43" s="392" t="n"/>
      <c r="C43" s="392" t="n"/>
      <c r="D43" s="392" t="n"/>
      <c r="E43" s="392" t="n"/>
      <c r="F43" s="394" t="n"/>
      <c r="G43" s="392" t="n"/>
      <c r="H43" s="604">
        <f>IFERROR(IF(AND($K43&gt;0,ISNUMBER(IF(OR($D43="g",$D43="ｇ"),IF($M43&gt;0,$L43/$M43/1000,""),IF($D43="kg",IF($M43&gt;0,$L43/$M43,""),IF($D43="",IF($M43&gt;0,$L43/$M43/1000,IF($O43&gt;0,$N43/$O43,"")),IF($O43&gt;0,$N43/$O43,"")))))),IF(OR($D43="g",$D43="ｇ"),IF($M43&gt;0,$L43/$M43/1000,""),IF($D43="kg",IF($M43&gt;0,$L43/$M43,""),IF($D43="",IF($M43&gt;0,$L43/$M43/1000,IF($O43&gt;0,$N43/$O43,"")),IF($O43&gt;0,$N43/$O43,"")))),IF($F43="",IF(OR($E43="",$E43="⑩盛付梱包工程入力"),"",IF(OR($D43="g",$D43="ｇ"),INDEX(⑰工程労務費一覧!$N$5:$N$11,MATCH($E43,⑰工程労務費一覧!$K$5:$K$11,0))/1000,IF($D43="kg",INDEX(⑰工程労務費一覧!$N$5:$N$11,MATCH($E43,⑰工程労務費一覧!$K$5:$K$11,0)),IF(OR($D43="個",$D43="切",$D43="本",$D43="枚",$D43="尾"),IF($E43="⑬計量工程入力","",INDEX(⑰工程労務費一覧!$P$5:$P$11,MATCH($E43,⑰工程労務費一覧!$K$5:$K$11,0))),IF(AND($D43="",OR($E43="②釜工程入力",$E43="③スチコン工程入力")),INDEX(⑰工程労務費一覧!$N$5:$N$11,MATCH($E43,⑰工程労務費一覧!$K$5:$K$11,0))/1000,""))))),IF(OR($D43="g",$D43="ｇ"),INDEX(⑰工程労務費一覧!$H$5:$H$753,MATCH($F43,⑰工程労務費一覧!$D$5:$D$753,0))/1000,IF($D43="kg",INDEX(⑰工程労務費一覧!$H$5:$H$753,MATCH($F43,⑰工程労務費一覧!$D$5:$D$753,0)),INDEX(⑰工程労務費一覧!$I$5:$I$753,MATCH($F43,⑰工程労務費一覧!$D$5:$D$753,0)))))),"")</f>
        <v/>
      </c>
      <c r="I43" s="392">
        <f>IF($K43&gt;0,IF(ISNUMBER(IF(OR($D43="g",$D43="ｇ"),IF($M43&gt;0,$L43/$M43/1000,""),IF($D43="kg",IF($M43&gt;0,$L43/$M43,""),IF($D43="",IF($M43&gt;0,$L43/$M43/1000,IF($O43&gt;0,$N43/$O43,"")),IF($O43&gt;0,$N43/$O43,""))))),IF($D43="",IF($M43&gt;0,"◎ JAN紐づけ(g扱い)","◎ JAN紐づけ(個扱い)"),"◎ JAN紐づけ"),"△ JAN紐づけ済・実績不足→仮計算"),IF($F43="",IF(ISNUMBER($H43),IF($D43="","⑤ 工程平均で仮計算(g扱い)","⑤ 工程平均で仮計算"),IF($E43="⑩盛付梱包工程入力","⑥ 盛り込み(⑳F列で計上)",IF(AND($E43="⑬計量工程入力",OR($D43="個",$D43="切",$D43="本",$D43="枚",$D43="尾")),"① 未紐づけ(カット個単位は仮単価なし)","① 未紐づけ"))),IF(NOT(ISNUMBER($H43)),"② 工程側に単価なし",IF($D43="","③ 単位未設定(個で計算)","④ OK"))))</f>
        <v/>
      </c>
      <c r="J43" s="399">
        <f>IFERROR(LOOKUP(2,1/((中間品リスト!$F$2:$F$1299=$B43)*(中間品リスト!$E$2:$E$1299&lt;&gt;"-")*(中間品リスト!$E$2:$E$1299&lt;&gt;"")),中間品リスト!$E$2:$E$1299),"")</f>
        <v/>
      </c>
      <c r="K43" s="400">
        <f>IF($J43="",0,COUNTIF(②釜工程入力!$S$5:$S$117,$J43)+COUNTIF(③スチコン工程入力!$S$5:$S$152,$J43)+COUNTIF(⑪ZEN工程入力!$S$6:$S$35,$J43)+COUNTIF(⑫ミキサー工程入力!$S$6:$S$65,$J43)+COUNTIF(⑬計量工程入力!$S$6:$S$65,$J43)+COUNTIF(⑭手動工程入力!$S$6:$S$47,$J43))</f>
        <v/>
      </c>
      <c r="L43" s="393">
        <f>IF($J43="",0,SUMIFS(②釜工程入力!$M$5:$M$117,②釜工程入力!$S$5:$S$117,$J43,②釜工程入力!$I$5:$I$117,"&gt;0")+SUMIFS(③スチコン工程入力!$M$5:$M$152,③スチコン工程入力!$S$5:$S$152,$J43,③スチコン工程入力!$I$5:$I$152,"&gt;0")+SUMIFS(⑪ZEN工程入力!$M$6:$M$35,⑪ZEN工程入力!$S$6:$S$35,$J43,⑪ZEN工程入力!$I$6:$I$35,"&gt;0")+SUMIFS(⑫ミキサー工程入力!$M$6:$M$65,⑫ミキサー工程入力!$S$6:$S$65,$J43,⑫ミキサー工程入力!$I$6:$I$65,"&gt;0")+SUMIFS(⑬計量工程入力!$M$6:$M$65,⑬計量工程入力!$S$6:$S$65,$J43,⑬計量工程入力!$I$6:$I$65,"&gt;0")+SUMIFS(⑭手動工程入力!$M$6:$M$47,⑭手動工程入力!$S$6:$S$47,$J43,⑭手動工程入力!$I$6:$I$47,"&gt;0"))</f>
        <v/>
      </c>
      <c r="M43" s="393">
        <f>IF($J43="",0,SUMIFS(②釜工程入力!$I$5:$I$117,②釜工程入力!$S$5:$S$117,$J43,②釜工程入力!$I$5:$I$117,"&gt;0",②釜工程入力!$M$5:$M$117,"&gt;0")+SUMIFS(③スチコン工程入力!$I$5:$I$152,③スチコン工程入力!$S$5:$S$152,$J43,③スチコン工程入力!$I$5:$I$152,"&gt;0",③スチコン工程入力!$M$5:$M$152,"&gt;0")+SUMIFS(⑪ZEN工程入力!$I$6:$I$35,⑪ZEN工程入力!$S$6:$S$35,$J43,⑪ZEN工程入力!$I$6:$I$35,"&gt;0",⑪ZEN工程入力!$M$6:$M$35,"&gt;0")+SUMIFS(⑫ミキサー工程入力!$I$6:$I$65,⑫ミキサー工程入力!$S$6:$S$65,$J43,⑫ミキサー工程入力!$I$6:$I$65,"&gt;0",⑫ミキサー工程入力!$M$6:$M$65,"&gt;0")+SUMIFS(⑬計量工程入力!$I$6:$I$65,⑬計量工程入力!$S$6:$S$65,$J43,⑬計量工程入力!$I$6:$I$65,"&gt;0",⑬計量工程入力!$M$6:$M$65,"&gt;0")+SUMIFS(⑭手動工程入力!$I$6:$I$47,⑭手動工程入力!$S$6:$S$47,$J43,⑭手動工程入力!$I$6:$I$47,"&gt;0",⑭手動工程入力!$M$6:$M$47,"&gt;0"))</f>
        <v/>
      </c>
      <c r="N43" s="393">
        <f>IF($J43="",0,SUMIFS(②釜工程入力!$M$5:$M$117,②釜工程入力!$S$5:$S$117,$J43,②釜工程入力!$J$5:$J$117,"&gt;0")-SUMIFS(②釜工程入力!$M$5:$M$117,②釜工程入力!$S$5:$S$117,$J43,②釜工程入力!$J$5:$J$117,"&gt;0",②釜工程入力!$I$5:$I$117,"&gt;0")+SUMIFS(③スチコン工程入力!$M$5:$M$152,③スチコン工程入力!$S$5:$S$152,$J43,③スチコン工程入力!$J$5:$J$152,"&gt;0")-SUMIFS(③スチコン工程入力!$M$5:$M$152,③スチコン工程入力!$S$5:$S$152,$J43,③スチコン工程入力!$J$5:$J$152,"&gt;0",③スチコン工程入力!$I$5:$I$152,"&gt;0")+SUMIFS(⑪ZEN工程入力!$M$6:$M$35,⑪ZEN工程入力!$S$6:$S$35,$J43,⑪ZEN工程入力!$J$6:$J$35,"&gt;0")-SUMIFS(⑪ZEN工程入力!$M$6:$M$35,⑪ZEN工程入力!$S$6:$S$35,$J43,⑪ZEN工程入力!$J$6:$J$35,"&gt;0",⑪ZEN工程入力!$I$6:$I$35,"&gt;0")+SUMIFS(⑫ミキサー工程入力!$M$6:$M$65,⑫ミキサー工程入力!$S$6:$S$65,$J43,⑫ミキサー工程入力!$J$6:$J$65,"&gt;0")-SUMIFS(⑫ミキサー工程入力!$M$6:$M$65,⑫ミキサー工程入力!$S$6:$S$65,$J43,⑫ミキサー工程入力!$J$6:$J$65,"&gt;0",⑫ミキサー工程入力!$I$6:$I$65,"&gt;0")+SUMIFS(⑬計量工程入力!$M$6:$M$65,⑬計量工程入力!$S$6:$S$65,$J43,⑬計量工程入力!$J$6:$J$65,"&gt;0")-SUMIFS(⑬計量工程入力!$M$6:$M$65,⑬計量工程入力!$S$6:$S$65,$J43,⑬計量工程入力!$J$6:$J$65,"&gt;0",⑬計量工程入力!$I$6:$I$65,"&gt;0")+SUMIFS(⑭手動工程入力!$M$6:$M$47,⑭手動工程入力!$S$6:$S$47,$J43,⑭手動工程入力!$J$6:$J$47,"&gt;0")-SUMIFS(⑭手動工程入力!$M$6:$M$47,⑭手動工程入力!$S$6:$S$47,$J43,⑭手動工程入力!$J$6:$J$47,"&gt;0",⑭手動工程入力!$I$6:$I$47,"&gt;0"))</f>
        <v/>
      </c>
      <c r="O43" s="393">
        <f>IF($J43="",0,SUMIFS(②釜工程入力!$J$5:$J$117,②釜工程入力!$S$5:$S$117,$J43,②釜工程入力!$J$5:$J$117,"&gt;0",②釜工程入力!$M$5:$M$117,"&gt;0")-SUMIFS(②釜工程入力!$J$5:$J$117,②釜工程入力!$S$5:$S$117,$J43,②釜工程入力!$J$5:$J$117,"&gt;0",②釜工程入力!$I$5:$I$117,"&gt;0",②釜工程入力!$M$5:$M$117,"&gt;0")+SUMIFS(③スチコン工程入力!$J$5:$J$152,③スチコン工程入力!$S$5:$S$152,$J43,③スチコン工程入力!$J$5:$J$152,"&gt;0",③スチコン工程入力!$M$5:$M$152,"&gt;0")-SUMIFS(③スチコン工程入力!$J$5:$J$152,③スチコン工程入力!$S$5:$S$152,$J43,③スチコン工程入力!$J$5:$J$152,"&gt;0",③スチコン工程入力!$I$5:$I$152,"&gt;0",③スチコン工程入力!$M$5:$M$152,"&gt;0")+SUMIFS(⑪ZEN工程入力!$J$6:$J$35,⑪ZEN工程入力!$S$6:$S$35,$J43,⑪ZEN工程入力!$J$6:$J$35,"&gt;0",⑪ZEN工程入力!$M$6:$M$35,"&gt;0")-SUMIFS(⑪ZEN工程入力!$J$6:$J$35,⑪ZEN工程入力!$S$6:$S$35,$J43,⑪ZEN工程入力!$J$6:$J$35,"&gt;0",⑪ZEN工程入力!$I$6:$I$35,"&gt;0",⑪ZEN工程入力!$M$6:$M$35,"&gt;0")+SUMIFS(⑫ミキサー工程入力!$J$6:$J$65,⑫ミキサー工程入力!$S$6:$S$65,$J43,⑫ミキサー工程入力!$J$6:$J$65,"&gt;0",⑫ミキサー工程入力!$M$6:$M$65,"&gt;0")-SUMIFS(⑫ミキサー工程入力!$J$6:$J$65,⑫ミキサー工程入力!$S$6:$S$65,$J43,⑫ミキサー工程入力!$J$6:$J$65,"&gt;0",⑫ミキサー工程入力!$I$6:$I$65,"&gt;0",⑫ミキサー工程入力!$M$6:$M$65,"&gt;0")+SUMIFS(⑬計量工程入力!$J$6:$J$65,⑬計量工程入力!$S$6:$S$65,$J43,⑬計量工程入力!$J$6:$J$65,"&gt;0",⑬計量工程入力!$M$6:$M$65,"&gt;0")-SUMIFS(⑬計量工程入力!$J$6:$J$65,⑬計量工程入力!$S$6:$S$65,$J43,⑬計量工程入力!$J$6:$J$65,"&gt;0",⑬計量工程入力!$I$6:$I$65,"&gt;0",⑬計量工程入力!$M$6:$M$65,"&gt;0")+SUMIFS(⑭手動工程入力!$J$6:$J$47,⑭手動工程入力!$S$6:$S$47,$J43,⑭手動工程入力!$J$6:$J$47,"&gt;0",⑭手動工程入力!$M$6:$M$47,"&gt;0")-SUMIFS(⑭手動工程入力!$J$6:$J$47,⑭手動工程入力!$S$6:$S$47,$J43,⑭手動工程入力!$J$6:$J$47,"&gt;0",⑭手動工程入力!$I$6:$I$47,"&gt;0",⑭手動工程入力!$M$6:$M$47,"&gt;0"))</f>
        <v/>
      </c>
      <c r="P43" s="392" t="n"/>
    </row>
    <row r="44">
      <c r="A44" s="392" t="n">
        <v>40</v>
      </c>
      <c r="B44" s="392" t="n"/>
      <c r="C44" s="392" t="n"/>
      <c r="D44" s="392" t="n"/>
      <c r="E44" s="392" t="n"/>
      <c r="F44" s="394" t="n"/>
      <c r="G44" s="392" t="n"/>
      <c r="H44" s="604">
        <f>IFERROR(IF(AND($K44&gt;0,ISNUMBER(IF(OR($D44="g",$D44="ｇ"),IF($M44&gt;0,$L44/$M44/1000,""),IF($D44="kg",IF($M44&gt;0,$L44/$M44,""),IF($D44="",IF($M44&gt;0,$L44/$M44/1000,IF($O44&gt;0,$N44/$O44,"")),IF($O44&gt;0,$N44/$O44,"")))))),IF(OR($D44="g",$D44="ｇ"),IF($M44&gt;0,$L44/$M44/1000,""),IF($D44="kg",IF($M44&gt;0,$L44/$M44,""),IF($D44="",IF($M44&gt;0,$L44/$M44/1000,IF($O44&gt;0,$N44/$O44,"")),IF($O44&gt;0,$N44/$O44,"")))),IF($F44="",IF(OR($E44="",$E44="⑩盛付梱包工程入力"),"",IF(OR($D44="g",$D44="ｇ"),INDEX(⑰工程労務費一覧!$N$5:$N$11,MATCH($E44,⑰工程労務費一覧!$K$5:$K$11,0))/1000,IF($D44="kg",INDEX(⑰工程労務費一覧!$N$5:$N$11,MATCH($E44,⑰工程労務費一覧!$K$5:$K$11,0)),IF(OR($D44="個",$D44="切",$D44="本",$D44="枚",$D44="尾"),IF($E44="⑬計量工程入力","",INDEX(⑰工程労務費一覧!$P$5:$P$11,MATCH($E44,⑰工程労務費一覧!$K$5:$K$11,0))),IF(AND($D44="",OR($E44="②釜工程入力",$E44="③スチコン工程入力")),INDEX(⑰工程労務費一覧!$N$5:$N$11,MATCH($E44,⑰工程労務費一覧!$K$5:$K$11,0))/1000,""))))),IF(OR($D44="g",$D44="ｇ"),INDEX(⑰工程労務費一覧!$H$5:$H$753,MATCH($F44,⑰工程労務費一覧!$D$5:$D$753,0))/1000,IF($D44="kg",INDEX(⑰工程労務費一覧!$H$5:$H$753,MATCH($F44,⑰工程労務費一覧!$D$5:$D$753,0)),INDEX(⑰工程労務費一覧!$I$5:$I$753,MATCH($F44,⑰工程労務費一覧!$D$5:$D$753,0)))))),"")</f>
        <v/>
      </c>
      <c r="I44" s="392">
        <f>IF($K44&gt;0,IF(ISNUMBER(IF(OR($D44="g",$D44="ｇ"),IF($M44&gt;0,$L44/$M44/1000,""),IF($D44="kg",IF($M44&gt;0,$L44/$M44,""),IF($D44="",IF($M44&gt;0,$L44/$M44/1000,IF($O44&gt;0,$N44/$O44,"")),IF($O44&gt;0,$N44/$O44,""))))),IF($D44="",IF($M44&gt;0,"◎ JAN紐づけ(g扱い)","◎ JAN紐づけ(個扱い)"),"◎ JAN紐づけ"),"△ JAN紐づけ済・実績不足→仮計算"),IF($F44="",IF(ISNUMBER($H44),IF($D44="","⑤ 工程平均で仮計算(g扱い)","⑤ 工程平均で仮計算"),IF($E44="⑩盛付梱包工程入力","⑥ 盛り込み(⑳F列で計上)",IF(AND($E44="⑬計量工程入力",OR($D44="個",$D44="切",$D44="本",$D44="枚",$D44="尾")),"① 未紐づけ(カット個単位は仮単価なし)","① 未紐づけ"))),IF(NOT(ISNUMBER($H44)),"② 工程側に単価なし",IF($D44="","③ 単位未設定(個で計算)","④ OK"))))</f>
        <v/>
      </c>
      <c r="J44" s="399">
        <f>IFERROR(LOOKUP(2,1/((中間品リスト!$F$2:$F$1299=$B44)*(中間品リスト!$E$2:$E$1299&lt;&gt;"-")*(中間品リスト!$E$2:$E$1299&lt;&gt;"")),中間品リスト!$E$2:$E$1299),"")</f>
        <v/>
      </c>
      <c r="K44" s="400">
        <f>IF($J44="",0,COUNTIF(②釜工程入力!$S$5:$S$117,$J44)+COUNTIF(③スチコン工程入力!$S$5:$S$152,$J44)+COUNTIF(⑪ZEN工程入力!$S$6:$S$35,$J44)+COUNTIF(⑫ミキサー工程入力!$S$6:$S$65,$J44)+COUNTIF(⑬計量工程入力!$S$6:$S$65,$J44)+COUNTIF(⑭手動工程入力!$S$6:$S$47,$J44))</f>
        <v/>
      </c>
      <c r="L44" s="393">
        <f>IF($J44="",0,SUMIFS(②釜工程入力!$M$5:$M$117,②釜工程入力!$S$5:$S$117,$J44,②釜工程入力!$I$5:$I$117,"&gt;0")+SUMIFS(③スチコン工程入力!$M$5:$M$152,③スチコン工程入力!$S$5:$S$152,$J44,③スチコン工程入力!$I$5:$I$152,"&gt;0")+SUMIFS(⑪ZEN工程入力!$M$6:$M$35,⑪ZEN工程入力!$S$6:$S$35,$J44,⑪ZEN工程入力!$I$6:$I$35,"&gt;0")+SUMIFS(⑫ミキサー工程入力!$M$6:$M$65,⑫ミキサー工程入力!$S$6:$S$65,$J44,⑫ミキサー工程入力!$I$6:$I$65,"&gt;0")+SUMIFS(⑬計量工程入力!$M$6:$M$65,⑬計量工程入力!$S$6:$S$65,$J44,⑬計量工程入力!$I$6:$I$65,"&gt;0")+SUMIFS(⑭手動工程入力!$M$6:$M$47,⑭手動工程入力!$S$6:$S$47,$J44,⑭手動工程入力!$I$6:$I$47,"&gt;0"))</f>
        <v/>
      </c>
      <c r="M44" s="393">
        <f>IF($J44="",0,SUMIFS(②釜工程入力!$I$5:$I$117,②釜工程入力!$S$5:$S$117,$J44,②釜工程入力!$I$5:$I$117,"&gt;0",②釜工程入力!$M$5:$M$117,"&gt;0")+SUMIFS(③スチコン工程入力!$I$5:$I$152,③スチコン工程入力!$S$5:$S$152,$J44,③スチコン工程入力!$I$5:$I$152,"&gt;0",③スチコン工程入力!$M$5:$M$152,"&gt;0")+SUMIFS(⑪ZEN工程入力!$I$6:$I$35,⑪ZEN工程入力!$S$6:$S$35,$J44,⑪ZEN工程入力!$I$6:$I$35,"&gt;0",⑪ZEN工程入力!$M$6:$M$35,"&gt;0")+SUMIFS(⑫ミキサー工程入力!$I$6:$I$65,⑫ミキサー工程入力!$S$6:$S$65,$J44,⑫ミキサー工程入力!$I$6:$I$65,"&gt;0",⑫ミキサー工程入力!$M$6:$M$65,"&gt;0")+SUMIFS(⑬計量工程入力!$I$6:$I$65,⑬計量工程入力!$S$6:$S$65,$J44,⑬計量工程入力!$I$6:$I$65,"&gt;0",⑬計量工程入力!$M$6:$M$65,"&gt;0")+SUMIFS(⑭手動工程入力!$I$6:$I$47,⑭手動工程入力!$S$6:$S$47,$J44,⑭手動工程入力!$I$6:$I$47,"&gt;0",⑭手動工程入力!$M$6:$M$47,"&gt;0"))</f>
        <v/>
      </c>
      <c r="N44" s="393">
        <f>IF($J44="",0,SUMIFS(②釜工程入力!$M$5:$M$117,②釜工程入力!$S$5:$S$117,$J44,②釜工程入力!$J$5:$J$117,"&gt;0")-SUMIFS(②釜工程入力!$M$5:$M$117,②釜工程入力!$S$5:$S$117,$J44,②釜工程入力!$J$5:$J$117,"&gt;0",②釜工程入力!$I$5:$I$117,"&gt;0")+SUMIFS(③スチコン工程入力!$M$5:$M$152,③スチコン工程入力!$S$5:$S$152,$J44,③スチコン工程入力!$J$5:$J$152,"&gt;0")-SUMIFS(③スチコン工程入力!$M$5:$M$152,③スチコン工程入力!$S$5:$S$152,$J44,③スチコン工程入力!$J$5:$J$152,"&gt;0",③スチコン工程入力!$I$5:$I$152,"&gt;0")+SUMIFS(⑪ZEN工程入力!$M$6:$M$35,⑪ZEN工程入力!$S$6:$S$35,$J44,⑪ZEN工程入力!$J$6:$J$35,"&gt;0")-SUMIFS(⑪ZEN工程入力!$M$6:$M$35,⑪ZEN工程入力!$S$6:$S$35,$J44,⑪ZEN工程入力!$J$6:$J$35,"&gt;0",⑪ZEN工程入力!$I$6:$I$35,"&gt;0")+SUMIFS(⑫ミキサー工程入力!$M$6:$M$65,⑫ミキサー工程入力!$S$6:$S$65,$J44,⑫ミキサー工程入力!$J$6:$J$65,"&gt;0")-SUMIFS(⑫ミキサー工程入力!$M$6:$M$65,⑫ミキサー工程入力!$S$6:$S$65,$J44,⑫ミキサー工程入力!$J$6:$J$65,"&gt;0",⑫ミキサー工程入力!$I$6:$I$65,"&gt;0")+SUMIFS(⑬計量工程入力!$M$6:$M$65,⑬計量工程入力!$S$6:$S$65,$J44,⑬計量工程入力!$J$6:$J$65,"&gt;0")-SUMIFS(⑬計量工程入力!$M$6:$M$65,⑬計量工程入力!$S$6:$S$65,$J44,⑬計量工程入力!$J$6:$J$65,"&gt;0",⑬計量工程入力!$I$6:$I$65,"&gt;0")+SUMIFS(⑭手動工程入力!$M$6:$M$47,⑭手動工程入力!$S$6:$S$47,$J44,⑭手動工程入力!$J$6:$J$47,"&gt;0")-SUMIFS(⑭手動工程入力!$M$6:$M$47,⑭手動工程入力!$S$6:$S$47,$J44,⑭手動工程入力!$J$6:$J$47,"&gt;0",⑭手動工程入力!$I$6:$I$47,"&gt;0"))</f>
        <v/>
      </c>
      <c r="O44" s="393">
        <f>IF($J44="",0,SUMIFS(②釜工程入力!$J$5:$J$117,②釜工程入力!$S$5:$S$117,$J44,②釜工程入力!$J$5:$J$117,"&gt;0",②釜工程入力!$M$5:$M$117,"&gt;0")-SUMIFS(②釜工程入力!$J$5:$J$117,②釜工程入力!$S$5:$S$117,$J44,②釜工程入力!$J$5:$J$117,"&gt;0",②釜工程入力!$I$5:$I$117,"&gt;0",②釜工程入力!$M$5:$M$117,"&gt;0")+SUMIFS(③スチコン工程入力!$J$5:$J$152,③スチコン工程入力!$S$5:$S$152,$J44,③スチコン工程入力!$J$5:$J$152,"&gt;0",③スチコン工程入力!$M$5:$M$152,"&gt;0")-SUMIFS(③スチコン工程入力!$J$5:$J$152,③スチコン工程入力!$S$5:$S$152,$J44,③スチコン工程入力!$J$5:$J$152,"&gt;0",③スチコン工程入力!$I$5:$I$152,"&gt;0",③スチコン工程入力!$M$5:$M$152,"&gt;0")+SUMIFS(⑪ZEN工程入力!$J$6:$J$35,⑪ZEN工程入力!$S$6:$S$35,$J44,⑪ZEN工程入力!$J$6:$J$35,"&gt;0",⑪ZEN工程入力!$M$6:$M$35,"&gt;0")-SUMIFS(⑪ZEN工程入力!$J$6:$J$35,⑪ZEN工程入力!$S$6:$S$35,$J44,⑪ZEN工程入力!$J$6:$J$35,"&gt;0",⑪ZEN工程入力!$I$6:$I$35,"&gt;0",⑪ZEN工程入力!$M$6:$M$35,"&gt;0")+SUMIFS(⑫ミキサー工程入力!$J$6:$J$65,⑫ミキサー工程入力!$S$6:$S$65,$J44,⑫ミキサー工程入力!$J$6:$J$65,"&gt;0",⑫ミキサー工程入力!$M$6:$M$65,"&gt;0")-SUMIFS(⑫ミキサー工程入力!$J$6:$J$65,⑫ミキサー工程入力!$S$6:$S$65,$J44,⑫ミキサー工程入力!$J$6:$J$65,"&gt;0",⑫ミキサー工程入力!$I$6:$I$65,"&gt;0",⑫ミキサー工程入力!$M$6:$M$65,"&gt;0")+SUMIFS(⑬計量工程入力!$J$6:$J$65,⑬計量工程入力!$S$6:$S$65,$J44,⑬計量工程入力!$J$6:$J$65,"&gt;0",⑬計量工程入力!$M$6:$M$65,"&gt;0")-SUMIFS(⑬計量工程入力!$J$6:$J$65,⑬計量工程入力!$S$6:$S$65,$J44,⑬計量工程入力!$J$6:$J$65,"&gt;0",⑬計量工程入力!$I$6:$I$65,"&gt;0",⑬計量工程入力!$M$6:$M$65,"&gt;0")+SUMIFS(⑭手動工程入力!$J$6:$J$47,⑭手動工程入力!$S$6:$S$47,$J44,⑭手動工程入力!$J$6:$J$47,"&gt;0",⑭手動工程入力!$M$6:$M$47,"&gt;0")-SUMIFS(⑭手動工程入力!$J$6:$J$47,⑭手動工程入力!$S$6:$S$47,$J44,⑭手動工程入力!$J$6:$J$47,"&gt;0",⑭手動工程入力!$I$6:$I$47,"&gt;0",⑭手動工程入力!$M$6:$M$47,"&gt;0"))</f>
        <v/>
      </c>
      <c r="P44" s="392" t="n"/>
    </row>
    <row r="45">
      <c r="A45" s="392" t="n">
        <v>41</v>
      </c>
      <c r="B45" s="392" t="n"/>
      <c r="C45" s="392" t="n"/>
      <c r="D45" s="392" t="n"/>
      <c r="E45" s="392" t="n"/>
      <c r="F45" s="394" t="n"/>
      <c r="G45" s="392" t="n"/>
      <c r="H45" s="604">
        <f>IFERROR(IF(AND($K45&gt;0,ISNUMBER(IF(OR($D45="g",$D45="ｇ"),IF($M45&gt;0,$L45/$M45/1000,""),IF($D45="kg",IF($M45&gt;0,$L45/$M45,""),IF($D45="",IF($M45&gt;0,$L45/$M45/1000,IF($O45&gt;0,$N45/$O45,"")),IF($O45&gt;0,$N45/$O45,"")))))),IF(OR($D45="g",$D45="ｇ"),IF($M45&gt;0,$L45/$M45/1000,""),IF($D45="kg",IF($M45&gt;0,$L45/$M45,""),IF($D45="",IF($M45&gt;0,$L45/$M45/1000,IF($O45&gt;0,$N45/$O45,"")),IF($O45&gt;0,$N45/$O45,"")))),IF($F45="",IF(OR($E45="",$E45="⑩盛付梱包工程入力"),"",IF(OR($D45="g",$D45="ｇ"),INDEX(⑰工程労務費一覧!$N$5:$N$11,MATCH($E45,⑰工程労務費一覧!$K$5:$K$11,0))/1000,IF($D45="kg",INDEX(⑰工程労務費一覧!$N$5:$N$11,MATCH($E45,⑰工程労務費一覧!$K$5:$K$11,0)),IF(OR($D45="個",$D45="切",$D45="本",$D45="枚",$D45="尾"),IF($E45="⑬計量工程入力","",INDEX(⑰工程労務費一覧!$P$5:$P$11,MATCH($E45,⑰工程労務費一覧!$K$5:$K$11,0))),IF(AND($D45="",OR($E45="②釜工程入力",$E45="③スチコン工程入力")),INDEX(⑰工程労務費一覧!$N$5:$N$11,MATCH($E45,⑰工程労務費一覧!$K$5:$K$11,0))/1000,""))))),IF(OR($D45="g",$D45="ｇ"),INDEX(⑰工程労務費一覧!$H$5:$H$753,MATCH($F45,⑰工程労務費一覧!$D$5:$D$753,0))/1000,IF($D45="kg",INDEX(⑰工程労務費一覧!$H$5:$H$753,MATCH($F45,⑰工程労務費一覧!$D$5:$D$753,0)),INDEX(⑰工程労務費一覧!$I$5:$I$753,MATCH($F45,⑰工程労務費一覧!$D$5:$D$753,0)))))),"")</f>
        <v/>
      </c>
      <c r="I45" s="392">
        <f>IF($K45&gt;0,IF(ISNUMBER(IF(OR($D45="g",$D45="ｇ"),IF($M45&gt;0,$L45/$M45/1000,""),IF($D45="kg",IF($M45&gt;0,$L45/$M45,""),IF($D45="",IF($M45&gt;0,$L45/$M45/1000,IF($O45&gt;0,$N45/$O45,"")),IF($O45&gt;0,$N45/$O45,""))))),IF($D45="",IF($M45&gt;0,"◎ JAN紐づけ(g扱い)","◎ JAN紐づけ(個扱い)"),"◎ JAN紐づけ"),"△ JAN紐づけ済・実績不足→仮計算"),IF($F45="",IF(ISNUMBER($H45),IF($D45="","⑤ 工程平均で仮計算(g扱い)","⑤ 工程平均で仮計算"),IF($E45="⑩盛付梱包工程入力","⑥ 盛り込み(⑳F列で計上)",IF(AND($E45="⑬計量工程入力",OR($D45="個",$D45="切",$D45="本",$D45="枚",$D45="尾")),"① 未紐づけ(カット個単位は仮単価なし)","① 未紐づけ"))),IF(NOT(ISNUMBER($H45)),"② 工程側に単価なし",IF($D45="","③ 単位未設定(個で計算)","④ OK"))))</f>
        <v/>
      </c>
      <c r="J45" s="399">
        <f>IFERROR(LOOKUP(2,1/((中間品リスト!$F$2:$F$1299=$B45)*(中間品リスト!$E$2:$E$1299&lt;&gt;"-")*(中間品リスト!$E$2:$E$1299&lt;&gt;"")),中間品リスト!$E$2:$E$1299),"")</f>
        <v/>
      </c>
      <c r="K45" s="400">
        <f>IF($J45="",0,COUNTIF(②釜工程入力!$S$5:$S$117,$J45)+COUNTIF(③スチコン工程入力!$S$5:$S$152,$J45)+COUNTIF(⑪ZEN工程入力!$S$6:$S$35,$J45)+COUNTIF(⑫ミキサー工程入力!$S$6:$S$65,$J45)+COUNTIF(⑬計量工程入力!$S$6:$S$65,$J45)+COUNTIF(⑭手動工程入力!$S$6:$S$47,$J45))</f>
        <v/>
      </c>
      <c r="L45" s="393">
        <f>IF($J45="",0,SUMIFS(②釜工程入力!$M$5:$M$117,②釜工程入力!$S$5:$S$117,$J45,②釜工程入力!$I$5:$I$117,"&gt;0")+SUMIFS(③スチコン工程入力!$M$5:$M$152,③スチコン工程入力!$S$5:$S$152,$J45,③スチコン工程入力!$I$5:$I$152,"&gt;0")+SUMIFS(⑪ZEN工程入力!$M$6:$M$35,⑪ZEN工程入力!$S$6:$S$35,$J45,⑪ZEN工程入力!$I$6:$I$35,"&gt;0")+SUMIFS(⑫ミキサー工程入力!$M$6:$M$65,⑫ミキサー工程入力!$S$6:$S$65,$J45,⑫ミキサー工程入力!$I$6:$I$65,"&gt;0")+SUMIFS(⑬計量工程入力!$M$6:$M$65,⑬計量工程入力!$S$6:$S$65,$J45,⑬計量工程入力!$I$6:$I$65,"&gt;0")+SUMIFS(⑭手動工程入力!$M$6:$M$47,⑭手動工程入力!$S$6:$S$47,$J45,⑭手動工程入力!$I$6:$I$47,"&gt;0"))</f>
        <v/>
      </c>
      <c r="M45" s="393">
        <f>IF($J45="",0,SUMIFS(②釜工程入力!$I$5:$I$117,②釜工程入力!$S$5:$S$117,$J45,②釜工程入力!$I$5:$I$117,"&gt;0",②釜工程入力!$M$5:$M$117,"&gt;0")+SUMIFS(③スチコン工程入力!$I$5:$I$152,③スチコン工程入力!$S$5:$S$152,$J45,③スチコン工程入力!$I$5:$I$152,"&gt;0",③スチコン工程入力!$M$5:$M$152,"&gt;0")+SUMIFS(⑪ZEN工程入力!$I$6:$I$35,⑪ZEN工程入力!$S$6:$S$35,$J45,⑪ZEN工程入力!$I$6:$I$35,"&gt;0",⑪ZEN工程入力!$M$6:$M$35,"&gt;0")+SUMIFS(⑫ミキサー工程入力!$I$6:$I$65,⑫ミキサー工程入力!$S$6:$S$65,$J45,⑫ミキサー工程入力!$I$6:$I$65,"&gt;0",⑫ミキサー工程入力!$M$6:$M$65,"&gt;0")+SUMIFS(⑬計量工程入力!$I$6:$I$65,⑬計量工程入力!$S$6:$S$65,$J45,⑬計量工程入力!$I$6:$I$65,"&gt;0",⑬計量工程入力!$M$6:$M$65,"&gt;0")+SUMIFS(⑭手動工程入力!$I$6:$I$47,⑭手動工程入力!$S$6:$S$47,$J45,⑭手動工程入力!$I$6:$I$47,"&gt;0",⑭手動工程入力!$M$6:$M$47,"&gt;0"))</f>
        <v/>
      </c>
      <c r="N45" s="393">
        <f>IF($J45="",0,SUMIFS(②釜工程入力!$M$5:$M$117,②釜工程入力!$S$5:$S$117,$J45,②釜工程入力!$J$5:$J$117,"&gt;0")-SUMIFS(②釜工程入力!$M$5:$M$117,②釜工程入力!$S$5:$S$117,$J45,②釜工程入力!$J$5:$J$117,"&gt;0",②釜工程入力!$I$5:$I$117,"&gt;0")+SUMIFS(③スチコン工程入力!$M$5:$M$152,③スチコン工程入力!$S$5:$S$152,$J45,③スチコン工程入力!$J$5:$J$152,"&gt;0")-SUMIFS(③スチコン工程入力!$M$5:$M$152,③スチコン工程入力!$S$5:$S$152,$J45,③スチコン工程入力!$J$5:$J$152,"&gt;0",③スチコン工程入力!$I$5:$I$152,"&gt;0")+SUMIFS(⑪ZEN工程入力!$M$6:$M$35,⑪ZEN工程入力!$S$6:$S$35,$J45,⑪ZEN工程入力!$J$6:$J$35,"&gt;0")-SUMIFS(⑪ZEN工程入力!$M$6:$M$35,⑪ZEN工程入力!$S$6:$S$35,$J45,⑪ZEN工程入力!$J$6:$J$35,"&gt;0",⑪ZEN工程入力!$I$6:$I$35,"&gt;0")+SUMIFS(⑫ミキサー工程入力!$M$6:$M$65,⑫ミキサー工程入力!$S$6:$S$65,$J45,⑫ミキサー工程入力!$J$6:$J$65,"&gt;0")-SUMIFS(⑫ミキサー工程入力!$M$6:$M$65,⑫ミキサー工程入力!$S$6:$S$65,$J45,⑫ミキサー工程入力!$J$6:$J$65,"&gt;0",⑫ミキサー工程入力!$I$6:$I$65,"&gt;0")+SUMIFS(⑬計量工程入力!$M$6:$M$65,⑬計量工程入力!$S$6:$S$65,$J45,⑬計量工程入力!$J$6:$J$65,"&gt;0")-SUMIFS(⑬計量工程入力!$M$6:$M$65,⑬計量工程入力!$S$6:$S$65,$J45,⑬計量工程入力!$J$6:$J$65,"&gt;0",⑬計量工程入力!$I$6:$I$65,"&gt;0")+SUMIFS(⑭手動工程入力!$M$6:$M$47,⑭手動工程入力!$S$6:$S$47,$J45,⑭手動工程入力!$J$6:$J$47,"&gt;0")-SUMIFS(⑭手動工程入力!$M$6:$M$47,⑭手動工程入力!$S$6:$S$47,$J45,⑭手動工程入力!$J$6:$J$47,"&gt;0",⑭手動工程入力!$I$6:$I$47,"&gt;0"))</f>
        <v/>
      </c>
      <c r="O45" s="393">
        <f>IF($J45="",0,SUMIFS(②釜工程入力!$J$5:$J$117,②釜工程入力!$S$5:$S$117,$J45,②釜工程入力!$J$5:$J$117,"&gt;0",②釜工程入力!$M$5:$M$117,"&gt;0")-SUMIFS(②釜工程入力!$J$5:$J$117,②釜工程入力!$S$5:$S$117,$J45,②釜工程入力!$J$5:$J$117,"&gt;0",②釜工程入力!$I$5:$I$117,"&gt;0",②釜工程入力!$M$5:$M$117,"&gt;0")+SUMIFS(③スチコン工程入力!$J$5:$J$152,③スチコン工程入力!$S$5:$S$152,$J45,③スチコン工程入力!$J$5:$J$152,"&gt;0",③スチコン工程入力!$M$5:$M$152,"&gt;0")-SUMIFS(③スチコン工程入力!$J$5:$J$152,③スチコン工程入力!$S$5:$S$152,$J45,③スチコン工程入力!$J$5:$J$152,"&gt;0",③スチコン工程入力!$I$5:$I$152,"&gt;0",③スチコン工程入力!$M$5:$M$152,"&gt;0")+SUMIFS(⑪ZEN工程入力!$J$6:$J$35,⑪ZEN工程入力!$S$6:$S$35,$J45,⑪ZEN工程入力!$J$6:$J$35,"&gt;0",⑪ZEN工程入力!$M$6:$M$35,"&gt;0")-SUMIFS(⑪ZEN工程入力!$J$6:$J$35,⑪ZEN工程入力!$S$6:$S$35,$J45,⑪ZEN工程入力!$J$6:$J$35,"&gt;0",⑪ZEN工程入力!$I$6:$I$35,"&gt;0",⑪ZEN工程入力!$M$6:$M$35,"&gt;0")+SUMIFS(⑫ミキサー工程入力!$J$6:$J$65,⑫ミキサー工程入力!$S$6:$S$65,$J45,⑫ミキサー工程入力!$J$6:$J$65,"&gt;0",⑫ミキサー工程入力!$M$6:$M$65,"&gt;0")-SUMIFS(⑫ミキサー工程入力!$J$6:$J$65,⑫ミキサー工程入力!$S$6:$S$65,$J45,⑫ミキサー工程入力!$J$6:$J$65,"&gt;0",⑫ミキサー工程入力!$I$6:$I$65,"&gt;0",⑫ミキサー工程入力!$M$6:$M$65,"&gt;0")+SUMIFS(⑬計量工程入力!$J$6:$J$65,⑬計量工程入力!$S$6:$S$65,$J45,⑬計量工程入力!$J$6:$J$65,"&gt;0",⑬計量工程入力!$M$6:$M$65,"&gt;0")-SUMIFS(⑬計量工程入力!$J$6:$J$65,⑬計量工程入力!$S$6:$S$65,$J45,⑬計量工程入力!$J$6:$J$65,"&gt;0",⑬計量工程入力!$I$6:$I$65,"&gt;0",⑬計量工程入力!$M$6:$M$65,"&gt;0")+SUMIFS(⑭手動工程入力!$J$6:$J$47,⑭手動工程入力!$S$6:$S$47,$J45,⑭手動工程入力!$J$6:$J$47,"&gt;0",⑭手動工程入力!$M$6:$M$47,"&gt;0")-SUMIFS(⑭手動工程入力!$J$6:$J$47,⑭手動工程入力!$S$6:$S$47,$J45,⑭手動工程入力!$J$6:$J$47,"&gt;0",⑭手動工程入力!$I$6:$I$47,"&gt;0",⑭手動工程入力!$M$6:$M$47,"&gt;0"))</f>
        <v/>
      </c>
      <c r="P45" s="392" t="n"/>
    </row>
    <row r="46">
      <c r="A46" s="392" t="n">
        <v>42</v>
      </c>
      <c r="B46" s="392" t="n"/>
      <c r="C46" s="392" t="n"/>
      <c r="D46" s="392" t="n"/>
      <c r="E46" s="392" t="n"/>
      <c r="F46" s="394" t="n"/>
      <c r="G46" s="392" t="n"/>
      <c r="H46" s="604">
        <f>IFERROR(IF(AND($K46&gt;0,ISNUMBER(IF(OR($D46="g",$D46="ｇ"),IF($M46&gt;0,$L46/$M46/1000,""),IF($D46="kg",IF($M46&gt;0,$L46/$M46,""),IF($D46="",IF($M46&gt;0,$L46/$M46/1000,IF($O46&gt;0,$N46/$O46,"")),IF($O46&gt;0,$N46/$O46,"")))))),IF(OR($D46="g",$D46="ｇ"),IF($M46&gt;0,$L46/$M46/1000,""),IF($D46="kg",IF($M46&gt;0,$L46/$M46,""),IF($D46="",IF($M46&gt;0,$L46/$M46/1000,IF($O46&gt;0,$N46/$O46,"")),IF($O46&gt;0,$N46/$O46,"")))),IF($F46="",IF(OR($E46="",$E46="⑩盛付梱包工程入力"),"",IF(OR($D46="g",$D46="ｇ"),INDEX(⑰工程労務費一覧!$N$5:$N$11,MATCH($E46,⑰工程労務費一覧!$K$5:$K$11,0))/1000,IF($D46="kg",INDEX(⑰工程労務費一覧!$N$5:$N$11,MATCH($E46,⑰工程労務費一覧!$K$5:$K$11,0)),IF(OR($D46="個",$D46="切",$D46="本",$D46="枚",$D46="尾"),IF($E46="⑬計量工程入力","",INDEX(⑰工程労務費一覧!$P$5:$P$11,MATCH($E46,⑰工程労務費一覧!$K$5:$K$11,0))),IF(AND($D46="",OR($E46="②釜工程入力",$E46="③スチコン工程入力")),INDEX(⑰工程労務費一覧!$N$5:$N$11,MATCH($E46,⑰工程労務費一覧!$K$5:$K$11,0))/1000,""))))),IF(OR($D46="g",$D46="ｇ"),INDEX(⑰工程労務費一覧!$H$5:$H$753,MATCH($F46,⑰工程労務費一覧!$D$5:$D$753,0))/1000,IF($D46="kg",INDEX(⑰工程労務費一覧!$H$5:$H$753,MATCH($F46,⑰工程労務費一覧!$D$5:$D$753,0)),INDEX(⑰工程労務費一覧!$I$5:$I$753,MATCH($F46,⑰工程労務費一覧!$D$5:$D$753,0)))))),"")</f>
        <v/>
      </c>
      <c r="I46" s="392">
        <f>IF($K46&gt;0,IF(ISNUMBER(IF(OR($D46="g",$D46="ｇ"),IF($M46&gt;0,$L46/$M46/1000,""),IF($D46="kg",IF($M46&gt;0,$L46/$M46,""),IF($D46="",IF($M46&gt;0,$L46/$M46/1000,IF($O46&gt;0,$N46/$O46,"")),IF($O46&gt;0,$N46/$O46,""))))),IF($D46="",IF($M46&gt;0,"◎ JAN紐づけ(g扱い)","◎ JAN紐づけ(個扱い)"),"◎ JAN紐づけ"),"△ JAN紐づけ済・実績不足→仮計算"),IF($F46="",IF(ISNUMBER($H46),IF($D46="","⑤ 工程平均で仮計算(g扱い)","⑤ 工程平均で仮計算"),IF($E46="⑩盛付梱包工程入力","⑥ 盛り込み(⑳F列で計上)",IF(AND($E46="⑬計量工程入力",OR($D46="個",$D46="切",$D46="本",$D46="枚",$D46="尾")),"① 未紐づけ(カット個単位は仮単価なし)","① 未紐づけ"))),IF(NOT(ISNUMBER($H46)),"② 工程側に単価なし",IF($D46="","③ 単位未設定(個で計算)","④ OK"))))</f>
        <v/>
      </c>
      <c r="J46" s="399">
        <f>IFERROR(LOOKUP(2,1/((中間品リスト!$F$2:$F$1299=$B46)*(中間品リスト!$E$2:$E$1299&lt;&gt;"-")*(中間品リスト!$E$2:$E$1299&lt;&gt;"")),中間品リスト!$E$2:$E$1299),"")</f>
        <v/>
      </c>
      <c r="K46" s="400">
        <f>IF($J46="",0,COUNTIF(②釜工程入力!$S$5:$S$117,$J46)+COUNTIF(③スチコン工程入力!$S$5:$S$152,$J46)+COUNTIF(⑪ZEN工程入力!$S$6:$S$35,$J46)+COUNTIF(⑫ミキサー工程入力!$S$6:$S$65,$J46)+COUNTIF(⑬計量工程入力!$S$6:$S$65,$J46)+COUNTIF(⑭手動工程入力!$S$6:$S$47,$J46))</f>
        <v/>
      </c>
      <c r="L46" s="393">
        <f>IF($J46="",0,SUMIFS(②釜工程入力!$M$5:$M$117,②釜工程入力!$S$5:$S$117,$J46,②釜工程入力!$I$5:$I$117,"&gt;0")+SUMIFS(③スチコン工程入力!$M$5:$M$152,③スチコン工程入力!$S$5:$S$152,$J46,③スチコン工程入力!$I$5:$I$152,"&gt;0")+SUMIFS(⑪ZEN工程入力!$M$6:$M$35,⑪ZEN工程入力!$S$6:$S$35,$J46,⑪ZEN工程入力!$I$6:$I$35,"&gt;0")+SUMIFS(⑫ミキサー工程入力!$M$6:$M$65,⑫ミキサー工程入力!$S$6:$S$65,$J46,⑫ミキサー工程入力!$I$6:$I$65,"&gt;0")+SUMIFS(⑬計量工程入力!$M$6:$M$65,⑬計量工程入力!$S$6:$S$65,$J46,⑬計量工程入力!$I$6:$I$65,"&gt;0")+SUMIFS(⑭手動工程入力!$M$6:$M$47,⑭手動工程入力!$S$6:$S$47,$J46,⑭手動工程入力!$I$6:$I$47,"&gt;0"))</f>
        <v/>
      </c>
      <c r="M46" s="393">
        <f>IF($J46="",0,SUMIFS(②釜工程入力!$I$5:$I$117,②釜工程入力!$S$5:$S$117,$J46,②釜工程入力!$I$5:$I$117,"&gt;0",②釜工程入力!$M$5:$M$117,"&gt;0")+SUMIFS(③スチコン工程入力!$I$5:$I$152,③スチコン工程入力!$S$5:$S$152,$J46,③スチコン工程入力!$I$5:$I$152,"&gt;0",③スチコン工程入力!$M$5:$M$152,"&gt;0")+SUMIFS(⑪ZEN工程入力!$I$6:$I$35,⑪ZEN工程入力!$S$6:$S$35,$J46,⑪ZEN工程入力!$I$6:$I$35,"&gt;0",⑪ZEN工程入力!$M$6:$M$35,"&gt;0")+SUMIFS(⑫ミキサー工程入力!$I$6:$I$65,⑫ミキサー工程入力!$S$6:$S$65,$J46,⑫ミキサー工程入力!$I$6:$I$65,"&gt;0",⑫ミキサー工程入力!$M$6:$M$65,"&gt;0")+SUMIFS(⑬計量工程入力!$I$6:$I$65,⑬計量工程入力!$S$6:$S$65,$J46,⑬計量工程入力!$I$6:$I$65,"&gt;0",⑬計量工程入力!$M$6:$M$65,"&gt;0")+SUMIFS(⑭手動工程入力!$I$6:$I$47,⑭手動工程入力!$S$6:$S$47,$J46,⑭手動工程入力!$I$6:$I$47,"&gt;0",⑭手動工程入力!$M$6:$M$47,"&gt;0"))</f>
        <v/>
      </c>
      <c r="N46" s="393">
        <f>IF($J46="",0,SUMIFS(②釜工程入力!$M$5:$M$117,②釜工程入力!$S$5:$S$117,$J46,②釜工程入力!$J$5:$J$117,"&gt;0")-SUMIFS(②釜工程入力!$M$5:$M$117,②釜工程入力!$S$5:$S$117,$J46,②釜工程入力!$J$5:$J$117,"&gt;0",②釜工程入力!$I$5:$I$117,"&gt;0")+SUMIFS(③スチコン工程入力!$M$5:$M$152,③スチコン工程入力!$S$5:$S$152,$J46,③スチコン工程入力!$J$5:$J$152,"&gt;0")-SUMIFS(③スチコン工程入力!$M$5:$M$152,③スチコン工程入力!$S$5:$S$152,$J46,③スチコン工程入力!$J$5:$J$152,"&gt;0",③スチコン工程入力!$I$5:$I$152,"&gt;0")+SUMIFS(⑪ZEN工程入力!$M$6:$M$35,⑪ZEN工程入力!$S$6:$S$35,$J46,⑪ZEN工程入力!$J$6:$J$35,"&gt;0")-SUMIFS(⑪ZEN工程入力!$M$6:$M$35,⑪ZEN工程入力!$S$6:$S$35,$J46,⑪ZEN工程入力!$J$6:$J$35,"&gt;0",⑪ZEN工程入力!$I$6:$I$35,"&gt;0")+SUMIFS(⑫ミキサー工程入力!$M$6:$M$65,⑫ミキサー工程入力!$S$6:$S$65,$J46,⑫ミキサー工程入力!$J$6:$J$65,"&gt;0")-SUMIFS(⑫ミキサー工程入力!$M$6:$M$65,⑫ミキサー工程入力!$S$6:$S$65,$J46,⑫ミキサー工程入力!$J$6:$J$65,"&gt;0",⑫ミキサー工程入力!$I$6:$I$65,"&gt;0")+SUMIFS(⑬計量工程入力!$M$6:$M$65,⑬計量工程入力!$S$6:$S$65,$J46,⑬計量工程入力!$J$6:$J$65,"&gt;0")-SUMIFS(⑬計量工程入力!$M$6:$M$65,⑬計量工程入力!$S$6:$S$65,$J46,⑬計量工程入力!$J$6:$J$65,"&gt;0",⑬計量工程入力!$I$6:$I$65,"&gt;0")+SUMIFS(⑭手動工程入力!$M$6:$M$47,⑭手動工程入力!$S$6:$S$47,$J46,⑭手動工程入力!$J$6:$J$47,"&gt;0")-SUMIFS(⑭手動工程入力!$M$6:$M$47,⑭手動工程入力!$S$6:$S$47,$J46,⑭手動工程入力!$J$6:$J$47,"&gt;0",⑭手動工程入力!$I$6:$I$47,"&gt;0"))</f>
        <v/>
      </c>
      <c r="O46" s="393">
        <f>IF($J46="",0,SUMIFS(②釜工程入力!$J$5:$J$117,②釜工程入力!$S$5:$S$117,$J46,②釜工程入力!$J$5:$J$117,"&gt;0",②釜工程入力!$M$5:$M$117,"&gt;0")-SUMIFS(②釜工程入力!$J$5:$J$117,②釜工程入力!$S$5:$S$117,$J46,②釜工程入力!$J$5:$J$117,"&gt;0",②釜工程入力!$I$5:$I$117,"&gt;0",②釜工程入力!$M$5:$M$117,"&gt;0")+SUMIFS(③スチコン工程入力!$J$5:$J$152,③スチコン工程入力!$S$5:$S$152,$J46,③スチコン工程入力!$J$5:$J$152,"&gt;0",③スチコン工程入力!$M$5:$M$152,"&gt;0")-SUMIFS(③スチコン工程入力!$J$5:$J$152,③スチコン工程入力!$S$5:$S$152,$J46,③スチコン工程入力!$J$5:$J$152,"&gt;0",③スチコン工程入力!$I$5:$I$152,"&gt;0",③スチコン工程入力!$M$5:$M$152,"&gt;0")+SUMIFS(⑪ZEN工程入力!$J$6:$J$35,⑪ZEN工程入力!$S$6:$S$35,$J46,⑪ZEN工程入力!$J$6:$J$35,"&gt;0",⑪ZEN工程入力!$M$6:$M$35,"&gt;0")-SUMIFS(⑪ZEN工程入力!$J$6:$J$35,⑪ZEN工程入力!$S$6:$S$35,$J46,⑪ZEN工程入力!$J$6:$J$35,"&gt;0",⑪ZEN工程入力!$I$6:$I$35,"&gt;0",⑪ZEN工程入力!$M$6:$M$35,"&gt;0")+SUMIFS(⑫ミキサー工程入力!$J$6:$J$65,⑫ミキサー工程入力!$S$6:$S$65,$J46,⑫ミキサー工程入力!$J$6:$J$65,"&gt;0",⑫ミキサー工程入力!$M$6:$M$65,"&gt;0")-SUMIFS(⑫ミキサー工程入力!$J$6:$J$65,⑫ミキサー工程入力!$S$6:$S$65,$J46,⑫ミキサー工程入力!$J$6:$J$65,"&gt;0",⑫ミキサー工程入力!$I$6:$I$65,"&gt;0",⑫ミキサー工程入力!$M$6:$M$65,"&gt;0")+SUMIFS(⑬計量工程入力!$J$6:$J$65,⑬計量工程入力!$S$6:$S$65,$J46,⑬計量工程入力!$J$6:$J$65,"&gt;0",⑬計量工程入力!$M$6:$M$65,"&gt;0")-SUMIFS(⑬計量工程入力!$J$6:$J$65,⑬計量工程入力!$S$6:$S$65,$J46,⑬計量工程入力!$J$6:$J$65,"&gt;0",⑬計量工程入力!$I$6:$I$65,"&gt;0",⑬計量工程入力!$M$6:$M$65,"&gt;0")+SUMIFS(⑭手動工程入力!$J$6:$J$47,⑭手動工程入力!$S$6:$S$47,$J46,⑭手動工程入力!$J$6:$J$47,"&gt;0",⑭手動工程入力!$M$6:$M$47,"&gt;0")-SUMIFS(⑭手動工程入力!$J$6:$J$47,⑭手動工程入力!$S$6:$S$47,$J46,⑭手動工程入力!$J$6:$J$47,"&gt;0",⑭手動工程入力!$I$6:$I$47,"&gt;0",⑭手動工程入力!$M$6:$M$47,"&gt;0"))</f>
        <v/>
      </c>
      <c r="P46" s="392" t="n"/>
    </row>
    <row r="47">
      <c r="A47" s="392" t="n">
        <v>43</v>
      </c>
      <c r="B47" s="392" t="n"/>
      <c r="C47" s="392" t="n"/>
      <c r="D47" s="392" t="n"/>
      <c r="E47" s="392" t="n"/>
      <c r="F47" s="394" t="n"/>
      <c r="G47" s="392" t="n"/>
      <c r="H47" s="604">
        <f>IFERROR(IF(AND($K47&gt;0,ISNUMBER(IF(OR($D47="g",$D47="ｇ"),IF($M47&gt;0,$L47/$M47/1000,""),IF($D47="kg",IF($M47&gt;0,$L47/$M47,""),IF($D47="",IF($M47&gt;0,$L47/$M47/1000,IF($O47&gt;0,$N47/$O47,"")),IF($O47&gt;0,$N47/$O47,"")))))),IF(OR($D47="g",$D47="ｇ"),IF($M47&gt;0,$L47/$M47/1000,""),IF($D47="kg",IF($M47&gt;0,$L47/$M47,""),IF($D47="",IF($M47&gt;0,$L47/$M47/1000,IF($O47&gt;0,$N47/$O47,"")),IF($O47&gt;0,$N47/$O47,"")))),IF($F47="",IF(OR($E47="",$E47="⑩盛付梱包工程入力"),"",IF(OR($D47="g",$D47="ｇ"),INDEX(⑰工程労務費一覧!$N$5:$N$11,MATCH($E47,⑰工程労務費一覧!$K$5:$K$11,0))/1000,IF($D47="kg",INDEX(⑰工程労務費一覧!$N$5:$N$11,MATCH($E47,⑰工程労務費一覧!$K$5:$K$11,0)),IF(OR($D47="個",$D47="切",$D47="本",$D47="枚",$D47="尾"),IF($E47="⑬計量工程入力","",INDEX(⑰工程労務費一覧!$P$5:$P$11,MATCH($E47,⑰工程労務費一覧!$K$5:$K$11,0))),IF(AND($D47="",OR($E47="②釜工程入力",$E47="③スチコン工程入力")),INDEX(⑰工程労務費一覧!$N$5:$N$11,MATCH($E47,⑰工程労務費一覧!$K$5:$K$11,0))/1000,""))))),IF(OR($D47="g",$D47="ｇ"),INDEX(⑰工程労務費一覧!$H$5:$H$753,MATCH($F47,⑰工程労務費一覧!$D$5:$D$753,0))/1000,IF($D47="kg",INDEX(⑰工程労務費一覧!$H$5:$H$753,MATCH($F47,⑰工程労務費一覧!$D$5:$D$753,0)),INDEX(⑰工程労務費一覧!$I$5:$I$753,MATCH($F47,⑰工程労務費一覧!$D$5:$D$753,0)))))),"")</f>
        <v/>
      </c>
      <c r="I47" s="392">
        <f>IF($K47&gt;0,IF(ISNUMBER(IF(OR($D47="g",$D47="ｇ"),IF($M47&gt;0,$L47/$M47/1000,""),IF($D47="kg",IF($M47&gt;0,$L47/$M47,""),IF($D47="",IF($M47&gt;0,$L47/$M47/1000,IF($O47&gt;0,$N47/$O47,"")),IF($O47&gt;0,$N47/$O47,""))))),IF($D47="",IF($M47&gt;0,"◎ JAN紐づけ(g扱い)","◎ JAN紐づけ(個扱い)"),"◎ JAN紐づけ"),"△ JAN紐づけ済・実績不足→仮計算"),IF($F47="",IF(ISNUMBER($H47),IF($D47="","⑤ 工程平均で仮計算(g扱い)","⑤ 工程平均で仮計算"),IF($E47="⑩盛付梱包工程入力","⑥ 盛り込み(⑳F列で計上)",IF(AND($E47="⑬計量工程入力",OR($D47="個",$D47="切",$D47="本",$D47="枚",$D47="尾")),"① 未紐づけ(カット個単位は仮単価なし)","① 未紐づけ"))),IF(NOT(ISNUMBER($H47)),"② 工程側に単価なし",IF($D47="","③ 単位未設定(個で計算)","④ OK"))))</f>
        <v/>
      </c>
      <c r="J47" s="399">
        <f>IFERROR(LOOKUP(2,1/((中間品リスト!$F$2:$F$1299=$B47)*(中間品リスト!$E$2:$E$1299&lt;&gt;"-")*(中間品リスト!$E$2:$E$1299&lt;&gt;"")),中間品リスト!$E$2:$E$1299),"")</f>
        <v/>
      </c>
      <c r="K47" s="400">
        <f>IF($J47="",0,COUNTIF(②釜工程入力!$S$5:$S$117,$J47)+COUNTIF(③スチコン工程入力!$S$5:$S$152,$J47)+COUNTIF(⑪ZEN工程入力!$S$6:$S$35,$J47)+COUNTIF(⑫ミキサー工程入力!$S$6:$S$65,$J47)+COUNTIF(⑬計量工程入力!$S$6:$S$65,$J47)+COUNTIF(⑭手動工程入力!$S$6:$S$47,$J47))</f>
        <v/>
      </c>
      <c r="L47" s="393">
        <f>IF($J47="",0,SUMIFS(②釜工程入力!$M$5:$M$117,②釜工程入力!$S$5:$S$117,$J47,②釜工程入力!$I$5:$I$117,"&gt;0")+SUMIFS(③スチコン工程入力!$M$5:$M$152,③スチコン工程入力!$S$5:$S$152,$J47,③スチコン工程入力!$I$5:$I$152,"&gt;0")+SUMIFS(⑪ZEN工程入力!$M$6:$M$35,⑪ZEN工程入力!$S$6:$S$35,$J47,⑪ZEN工程入力!$I$6:$I$35,"&gt;0")+SUMIFS(⑫ミキサー工程入力!$M$6:$M$65,⑫ミキサー工程入力!$S$6:$S$65,$J47,⑫ミキサー工程入力!$I$6:$I$65,"&gt;0")+SUMIFS(⑬計量工程入力!$M$6:$M$65,⑬計量工程入力!$S$6:$S$65,$J47,⑬計量工程入力!$I$6:$I$65,"&gt;0")+SUMIFS(⑭手動工程入力!$M$6:$M$47,⑭手動工程入力!$S$6:$S$47,$J47,⑭手動工程入力!$I$6:$I$47,"&gt;0"))</f>
        <v/>
      </c>
      <c r="M47" s="393">
        <f>IF($J47="",0,SUMIFS(②釜工程入力!$I$5:$I$117,②釜工程入力!$S$5:$S$117,$J47,②釜工程入力!$I$5:$I$117,"&gt;0",②釜工程入力!$M$5:$M$117,"&gt;0")+SUMIFS(③スチコン工程入力!$I$5:$I$152,③スチコン工程入力!$S$5:$S$152,$J47,③スチコン工程入力!$I$5:$I$152,"&gt;0",③スチコン工程入力!$M$5:$M$152,"&gt;0")+SUMIFS(⑪ZEN工程入力!$I$6:$I$35,⑪ZEN工程入力!$S$6:$S$35,$J47,⑪ZEN工程入力!$I$6:$I$35,"&gt;0",⑪ZEN工程入力!$M$6:$M$35,"&gt;0")+SUMIFS(⑫ミキサー工程入力!$I$6:$I$65,⑫ミキサー工程入力!$S$6:$S$65,$J47,⑫ミキサー工程入力!$I$6:$I$65,"&gt;0",⑫ミキサー工程入力!$M$6:$M$65,"&gt;0")+SUMIFS(⑬計量工程入力!$I$6:$I$65,⑬計量工程入力!$S$6:$S$65,$J47,⑬計量工程入力!$I$6:$I$65,"&gt;0",⑬計量工程入力!$M$6:$M$65,"&gt;0")+SUMIFS(⑭手動工程入力!$I$6:$I$47,⑭手動工程入力!$S$6:$S$47,$J47,⑭手動工程入力!$I$6:$I$47,"&gt;0",⑭手動工程入力!$M$6:$M$47,"&gt;0"))</f>
        <v/>
      </c>
      <c r="N47" s="393">
        <f>IF($J47="",0,SUMIFS(②釜工程入力!$M$5:$M$117,②釜工程入力!$S$5:$S$117,$J47,②釜工程入力!$J$5:$J$117,"&gt;0")-SUMIFS(②釜工程入力!$M$5:$M$117,②釜工程入力!$S$5:$S$117,$J47,②釜工程入力!$J$5:$J$117,"&gt;0",②釜工程入力!$I$5:$I$117,"&gt;0")+SUMIFS(③スチコン工程入力!$M$5:$M$152,③スチコン工程入力!$S$5:$S$152,$J47,③スチコン工程入力!$J$5:$J$152,"&gt;0")-SUMIFS(③スチコン工程入力!$M$5:$M$152,③スチコン工程入力!$S$5:$S$152,$J47,③スチコン工程入力!$J$5:$J$152,"&gt;0",③スチコン工程入力!$I$5:$I$152,"&gt;0")+SUMIFS(⑪ZEN工程入力!$M$6:$M$35,⑪ZEN工程入力!$S$6:$S$35,$J47,⑪ZEN工程入力!$J$6:$J$35,"&gt;0")-SUMIFS(⑪ZEN工程入力!$M$6:$M$35,⑪ZEN工程入力!$S$6:$S$35,$J47,⑪ZEN工程入力!$J$6:$J$35,"&gt;0",⑪ZEN工程入力!$I$6:$I$35,"&gt;0")+SUMIFS(⑫ミキサー工程入力!$M$6:$M$65,⑫ミキサー工程入力!$S$6:$S$65,$J47,⑫ミキサー工程入力!$J$6:$J$65,"&gt;0")-SUMIFS(⑫ミキサー工程入力!$M$6:$M$65,⑫ミキサー工程入力!$S$6:$S$65,$J47,⑫ミキサー工程入力!$J$6:$J$65,"&gt;0",⑫ミキサー工程入力!$I$6:$I$65,"&gt;0")+SUMIFS(⑬計量工程入力!$M$6:$M$65,⑬計量工程入力!$S$6:$S$65,$J47,⑬計量工程入力!$J$6:$J$65,"&gt;0")-SUMIFS(⑬計量工程入力!$M$6:$M$65,⑬計量工程入力!$S$6:$S$65,$J47,⑬計量工程入力!$J$6:$J$65,"&gt;0",⑬計量工程入力!$I$6:$I$65,"&gt;0")+SUMIFS(⑭手動工程入力!$M$6:$M$47,⑭手動工程入力!$S$6:$S$47,$J47,⑭手動工程入力!$J$6:$J$47,"&gt;0")-SUMIFS(⑭手動工程入力!$M$6:$M$47,⑭手動工程入力!$S$6:$S$47,$J47,⑭手動工程入力!$J$6:$J$47,"&gt;0",⑭手動工程入力!$I$6:$I$47,"&gt;0"))</f>
        <v/>
      </c>
      <c r="O47" s="393">
        <f>IF($J47="",0,SUMIFS(②釜工程入力!$J$5:$J$117,②釜工程入力!$S$5:$S$117,$J47,②釜工程入力!$J$5:$J$117,"&gt;0",②釜工程入力!$M$5:$M$117,"&gt;0")-SUMIFS(②釜工程入力!$J$5:$J$117,②釜工程入力!$S$5:$S$117,$J47,②釜工程入力!$J$5:$J$117,"&gt;0",②釜工程入力!$I$5:$I$117,"&gt;0",②釜工程入力!$M$5:$M$117,"&gt;0")+SUMIFS(③スチコン工程入力!$J$5:$J$152,③スチコン工程入力!$S$5:$S$152,$J47,③スチコン工程入力!$J$5:$J$152,"&gt;0",③スチコン工程入力!$M$5:$M$152,"&gt;0")-SUMIFS(③スチコン工程入力!$J$5:$J$152,③スチコン工程入力!$S$5:$S$152,$J47,③スチコン工程入力!$J$5:$J$152,"&gt;0",③スチコン工程入力!$I$5:$I$152,"&gt;0",③スチコン工程入力!$M$5:$M$152,"&gt;0")+SUMIFS(⑪ZEN工程入力!$J$6:$J$35,⑪ZEN工程入力!$S$6:$S$35,$J47,⑪ZEN工程入力!$J$6:$J$35,"&gt;0",⑪ZEN工程入力!$M$6:$M$35,"&gt;0")-SUMIFS(⑪ZEN工程入力!$J$6:$J$35,⑪ZEN工程入力!$S$6:$S$35,$J47,⑪ZEN工程入力!$J$6:$J$35,"&gt;0",⑪ZEN工程入力!$I$6:$I$35,"&gt;0",⑪ZEN工程入力!$M$6:$M$35,"&gt;0")+SUMIFS(⑫ミキサー工程入力!$J$6:$J$65,⑫ミキサー工程入力!$S$6:$S$65,$J47,⑫ミキサー工程入力!$J$6:$J$65,"&gt;0",⑫ミキサー工程入力!$M$6:$M$65,"&gt;0")-SUMIFS(⑫ミキサー工程入力!$J$6:$J$65,⑫ミキサー工程入力!$S$6:$S$65,$J47,⑫ミキサー工程入力!$J$6:$J$65,"&gt;0",⑫ミキサー工程入力!$I$6:$I$65,"&gt;0",⑫ミキサー工程入力!$M$6:$M$65,"&gt;0")+SUMIFS(⑬計量工程入力!$J$6:$J$65,⑬計量工程入力!$S$6:$S$65,$J47,⑬計量工程入力!$J$6:$J$65,"&gt;0",⑬計量工程入力!$M$6:$M$65,"&gt;0")-SUMIFS(⑬計量工程入力!$J$6:$J$65,⑬計量工程入力!$S$6:$S$65,$J47,⑬計量工程入力!$J$6:$J$65,"&gt;0",⑬計量工程入力!$I$6:$I$65,"&gt;0",⑬計量工程入力!$M$6:$M$65,"&gt;0")+SUMIFS(⑭手動工程入力!$J$6:$J$47,⑭手動工程入力!$S$6:$S$47,$J47,⑭手動工程入力!$J$6:$J$47,"&gt;0",⑭手動工程入力!$M$6:$M$47,"&gt;0")-SUMIFS(⑭手動工程入力!$J$6:$J$47,⑭手動工程入力!$S$6:$S$47,$J47,⑭手動工程入力!$J$6:$J$47,"&gt;0",⑭手動工程入力!$I$6:$I$47,"&gt;0",⑭手動工程入力!$M$6:$M$47,"&gt;0"))</f>
        <v/>
      </c>
      <c r="P47" s="392" t="n"/>
    </row>
    <row r="48">
      <c r="A48" s="392" t="n">
        <v>44</v>
      </c>
      <c r="B48" s="392" t="n"/>
      <c r="C48" s="392" t="n"/>
      <c r="D48" s="392" t="n"/>
      <c r="E48" s="392" t="n"/>
      <c r="F48" s="394" t="n"/>
      <c r="G48" s="392" t="n"/>
      <c r="H48" s="604">
        <f>IFERROR(IF(AND($K48&gt;0,ISNUMBER(IF(OR($D48="g",$D48="ｇ"),IF($M48&gt;0,$L48/$M48/1000,""),IF($D48="kg",IF($M48&gt;0,$L48/$M48,""),IF($D48="",IF($M48&gt;0,$L48/$M48/1000,IF($O48&gt;0,$N48/$O48,"")),IF($O48&gt;0,$N48/$O48,"")))))),IF(OR($D48="g",$D48="ｇ"),IF($M48&gt;0,$L48/$M48/1000,""),IF($D48="kg",IF($M48&gt;0,$L48/$M48,""),IF($D48="",IF($M48&gt;0,$L48/$M48/1000,IF($O48&gt;0,$N48/$O48,"")),IF($O48&gt;0,$N48/$O48,"")))),IF($F48="",IF(OR($E48="",$E48="⑩盛付梱包工程入力"),"",IF(OR($D48="g",$D48="ｇ"),INDEX(⑰工程労務費一覧!$N$5:$N$11,MATCH($E48,⑰工程労務費一覧!$K$5:$K$11,0))/1000,IF($D48="kg",INDEX(⑰工程労務費一覧!$N$5:$N$11,MATCH($E48,⑰工程労務費一覧!$K$5:$K$11,0)),IF(OR($D48="個",$D48="切",$D48="本",$D48="枚",$D48="尾"),IF($E48="⑬計量工程入力","",INDEX(⑰工程労務費一覧!$P$5:$P$11,MATCH($E48,⑰工程労務費一覧!$K$5:$K$11,0))),IF(AND($D48="",OR($E48="②釜工程入力",$E48="③スチコン工程入力")),INDEX(⑰工程労務費一覧!$N$5:$N$11,MATCH($E48,⑰工程労務費一覧!$K$5:$K$11,0))/1000,""))))),IF(OR($D48="g",$D48="ｇ"),INDEX(⑰工程労務費一覧!$H$5:$H$753,MATCH($F48,⑰工程労務費一覧!$D$5:$D$753,0))/1000,IF($D48="kg",INDEX(⑰工程労務費一覧!$H$5:$H$753,MATCH($F48,⑰工程労務費一覧!$D$5:$D$753,0)),INDEX(⑰工程労務費一覧!$I$5:$I$753,MATCH($F48,⑰工程労務費一覧!$D$5:$D$753,0)))))),"")</f>
        <v/>
      </c>
      <c r="I48" s="392">
        <f>IF($K48&gt;0,IF(ISNUMBER(IF(OR($D48="g",$D48="ｇ"),IF($M48&gt;0,$L48/$M48/1000,""),IF($D48="kg",IF($M48&gt;0,$L48/$M48,""),IF($D48="",IF($M48&gt;0,$L48/$M48/1000,IF($O48&gt;0,$N48/$O48,"")),IF($O48&gt;0,$N48/$O48,""))))),IF($D48="",IF($M48&gt;0,"◎ JAN紐づけ(g扱い)","◎ JAN紐づけ(個扱い)"),"◎ JAN紐づけ"),"△ JAN紐づけ済・実績不足→仮計算"),IF($F48="",IF(ISNUMBER($H48),IF($D48="","⑤ 工程平均で仮計算(g扱い)","⑤ 工程平均で仮計算"),IF($E48="⑩盛付梱包工程入力","⑥ 盛り込み(⑳F列で計上)",IF(AND($E48="⑬計量工程入力",OR($D48="個",$D48="切",$D48="本",$D48="枚",$D48="尾")),"① 未紐づけ(カット個単位は仮単価なし)","① 未紐づけ"))),IF(NOT(ISNUMBER($H48)),"② 工程側に単価なし",IF($D48="","③ 単位未設定(個で計算)","④ OK"))))</f>
        <v/>
      </c>
      <c r="J48" s="399">
        <f>IFERROR(LOOKUP(2,1/((中間品リスト!$F$2:$F$1299=$B48)*(中間品リスト!$E$2:$E$1299&lt;&gt;"-")*(中間品リスト!$E$2:$E$1299&lt;&gt;"")),中間品リスト!$E$2:$E$1299),"")</f>
        <v/>
      </c>
      <c r="K48" s="400">
        <f>IF($J48="",0,COUNTIF(②釜工程入力!$S$5:$S$117,$J48)+COUNTIF(③スチコン工程入力!$S$5:$S$152,$J48)+COUNTIF(⑪ZEN工程入力!$S$6:$S$35,$J48)+COUNTIF(⑫ミキサー工程入力!$S$6:$S$65,$J48)+COUNTIF(⑬計量工程入力!$S$6:$S$65,$J48)+COUNTIF(⑭手動工程入力!$S$6:$S$47,$J48))</f>
        <v/>
      </c>
      <c r="L48" s="393">
        <f>IF($J48="",0,SUMIFS(②釜工程入力!$M$5:$M$117,②釜工程入力!$S$5:$S$117,$J48,②釜工程入力!$I$5:$I$117,"&gt;0")+SUMIFS(③スチコン工程入力!$M$5:$M$152,③スチコン工程入力!$S$5:$S$152,$J48,③スチコン工程入力!$I$5:$I$152,"&gt;0")+SUMIFS(⑪ZEN工程入力!$M$6:$M$35,⑪ZEN工程入力!$S$6:$S$35,$J48,⑪ZEN工程入力!$I$6:$I$35,"&gt;0")+SUMIFS(⑫ミキサー工程入力!$M$6:$M$65,⑫ミキサー工程入力!$S$6:$S$65,$J48,⑫ミキサー工程入力!$I$6:$I$65,"&gt;0")+SUMIFS(⑬計量工程入力!$M$6:$M$65,⑬計量工程入力!$S$6:$S$65,$J48,⑬計量工程入力!$I$6:$I$65,"&gt;0")+SUMIFS(⑭手動工程入力!$M$6:$M$47,⑭手動工程入力!$S$6:$S$47,$J48,⑭手動工程入力!$I$6:$I$47,"&gt;0"))</f>
        <v/>
      </c>
      <c r="M48" s="393">
        <f>IF($J48="",0,SUMIFS(②釜工程入力!$I$5:$I$117,②釜工程入力!$S$5:$S$117,$J48,②釜工程入力!$I$5:$I$117,"&gt;0",②釜工程入力!$M$5:$M$117,"&gt;0")+SUMIFS(③スチコン工程入力!$I$5:$I$152,③スチコン工程入力!$S$5:$S$152,$J48,③スチコン工程入力!$I$5:$I$152,"&gt;0",③スチコン工程入力!$M$5:$M$152,"&gt;0")+SUMIFS(⑪ZEN工程入力!$I$6:$I$35,⑪ZEN工程入力!$S$6:$S$35,$J48,⑪ZEN工程入力!$I$6:$I$35,"&gt;0",⑪ZEN工程入力!$M$6:$M$35,"&gt;0")+SUMIFS(⑫ミキサー工程入力!$I$6:$I$65,⑫ミキサー工程入力!$S$6:$S$65,$J48,⑫ミキサー工程入力!$I$6:$I$65,"&gt;0",⑫ミキサー工程入力!$M$6:$M$65,"&gt;0")+SUMIFS(⑬計量工程入力!$I$6:$I$65,⑬計量工程入力!$S$6:$S$65,$J48,⑬計量工程入力!$I$6:$I$65,"&gt;0",⑬計量工程入力!$M$6:$M$65,"&gt;0")+SUMIFS(⑭手動工程入力!$I$6:$I$47,⑭手動工程入力!$S$6:$S$47,$J48,⑭手動工程入力!$I$6:$I$47,"&gt;0",⑭手動工程入力!$M$6:$M$47,"&gt;0"))</f>
        <v/>
      </c>
      <c r="N48" s="393">
        <f>IF($J48="",0,SUMIFS(②釜工程入力!$M$5:$M$117,②釜工程入力!$S$5:$S$117,$J48,②釜工程入力!$J$5:$J$117,"&gt;0")-SUMIFS(②釜工程入力!$M$5:$M$117,②釜工程入力!$S$5:$S$117,$J48,②釜工程入力!$J$5:$J$117,"&gt;0",②釜工程入力!$I$5:$I$117,"&gt;0")+SUMIFS(③スチコン工程入力!$M$5:$M$152,③スチコン工程入力!$S$5:$S$152,$J48,③スチコン工程入力!$J$5:$J$152,"&gt;0")-SUMIFS(③スチコン工程入力!$M$5:$M$152,③スチコン工程入力!$S$5:$S$152,$J48,③スチコン工程入力!$J$5:$J$152,"&gt;0",③スチコン工程入力!$I$5:$I$152,"&gt;0")+SUMIFS(⑪ZEN工程入力!$M$6:$M$35,⑪ZEN工程入力!$S$6:$S$35,$J48,⑪ZEN工程入力!$J$6:$J$35,"&gt;0")-SUMIFS(⑪ZEN工程入力!$M$6:$M$35,⑪ZEN工程入力!$S$6:$S$35,$J48,⑪ZEN工程入力!$J$6:$J$35,"&gt;0",⑪ZEN工程入力!$I$6:$I$35,"&gt;0")+SUMIFS(⑫ミキサー工程入力!$M$6:$M$65,⑫ミキサー工程入力!$S$6:$S$65,$J48,⑫ミキサー工程入力!$J$6:$J$65,"&gt;0")-SUMIFS(⑫ミキサー工程入力!$M$6:$M$65,⑫ミキサー工程入力!$S$6:$S$65,$J48,⑫ミキサー工程入力!$J$6:$J$65,"&gt;0",⑫ミキサー工程入力!$I$6:$I$65,"&gt;0")+SUMIFS(⑬計量工程入力!$M$6:$M$65,⑬計量工程入力!$S$6:$S$65,$J48,⑬計量工程入力!$J$6:$J$65,"&gt;0")-SUMIFS(⑬計量工程入力!$M$6:$M$65,⑬計量工程入力!$S$6:$S$65,$J48,⑬計量工程入力!$J$6:$J$65,"&gt;0",⑬計量工程入力!$I$6:$I$65,"&gt;0")+SUMIFS(⑭手動工程入力!$M$6:$M$47,⑭手動工程入力!$S$6:$S$47,$J48,⑭手動工程入力!$J$6:$J$47,"&gt;0")-SUMIFS(⑭手動工程入力!$M$6:$M$47,⑭手動工程入力!$S$6:$S$47,$J48,⑭手動工程入力!$J$6:$J$47,"&gt;0",⑭手動工程入力!$I$6:$I$47,"&gt;0"))</f>
        <v/>
      </c>
      <c r="O48" s="393">
        <f>IF($J48="",0,SUMIFS(②釜工程入力!$J$5:$J$117,②釜工程入力!$S$5:$S$117,$J48,②釜工程入力!$J$5:$J$117,"&gt;0",②釜工程入力!$M$5:$M$117,"&gt;0")-SUMIFS(②釜工程入力!$J$5:$J$117,②釜工程入力!$S$5:$S$117,$J48,②釜工程入力!$J$5:$J$117,"&gt;0",②釜工程入力!$I$5:$I$117,"&gt;0",②釜工程入力!$M$5:$M$117,"&gt;0")+SUMIFS(③スチコン工程入力!$J$5:$J$152,③スチコン工程入力!$S$5:$S$152,$J48,③スチコン工程入力!$J$5:$J$152,"&gt;0",③スチコン工程入力!$M$5:$M$152,"&gt;0")-SUMIFS(③スチコン工程入力!$J$5:$J$152,③スチコン工程入力!$S$5:$S$152,$J48,③スチコン工程入力!$J$5:$J$152,"&gt;0",③スチコン工程入力!$I$5:$I$152,"&gt;0",③スチコン工程入力!$M$5:$M$152,"&gt;0")+SUMIFS(⑪ZEN工程入力!$J$6:$J$35,⑪ZEN工程入力!$S$6:$S$35,$J48,⑪ZEN工程入力!$J$6:$J$35,"&gt;0",⑪ZEN工程入力!$M$6:$M$35,"&gt;0")-SUMIFS(⑪ZEN工程入力!$J$6:$J$35,⑪ZEN工程入力!$S$6:$S$35,$J48,⑪ZEN工程入力!$J$6:$J$35,"&gt;0",⑪ZEN工程入力!$I$6:$I$35,"&gt;0",⑪ZEN工程入力!$M$6:$M$35,"&gt;0")+SUMIFS(⑫ミキサー工程入力!$J$6:$J$65,⑫ミキサー工程入力!$S$6:$S$65,$J48,⑫ミキサー工程入力!$J$6:$J$65,"&gt;0",⑫ミキサー工程入力!$M$6:$M$65,"&gt;0")-SUMIFS(⑫ミキサー工程入力!$J$6:$J$65,⑫ミキサー工程入力!$S$6:$S$65,$J48,⑫ミキサー工程入力!$J$6:$J$65,"&gt;0",⑫ミキサー工程入力!$I$6:$I$65,"&gt;0",⑫ミキサー工程入力!$M$6:$M$65,"&gt;0")+SUMIFS(⑬計量工程入力!$J$6:$J$65,⑬計量工程入力!$S$6:$S$65,$J48,⑬計量工程入力!$J$6:$J$65,"&gt;0",⑬計量工程入力!$M$6:$M$65,"&gt;0")-SUMIFS(⑬計量工程入力!$J$6:$J$65,⑬計量工程入力!$S$6:$S$65,$J48,⑬計量工程入力!$J$6:$J$65,"&gt;0",⑬計量工程入力!$I$6:$I$65,"&gt;0",⑬計量工程入力!$M$6:$M$65,"&gt;0")+SUMIFS(⑭手動工程入力!$J$6:$J$47,⑭手動工程入力!$S$6:$S$47,$J48,⑭手動工程入力!$J$6:$J$47,"&gt;0",⑭手動工程入力!$M$6:$M$47,"&gt;0")-SUMIFS(⑭手動工程入力!$J$6:$J$47,⑭手動工程入力!$S$6:$S$47,$J48,⑭手動工程入力!$J$6:$J$47,"&gt;0",⑭手動工程入力!$I$6:$I$47,"&gt;0",⑭手動工程入力!$M$6:$M$47,"&gt;0"))</f>
        <v/>
      </c>
      <c r="P48" s="392" t="n"/>
    </row>
    <row r="49">
      <c r="A49" s="392" t="n">
        <v>45</v>
      </c>
      <c r="B49" s="392" t="n"/>
      <c r="C49" s="392" t="n"/>
      <c r="D49" s="392" t="n"/>
      <c r="E49" s="392" t="n"/>
      <c r="F49" s="394" t="n"/>
      <c r="G49" s="392" t="n"/>
      <c r="H49" s="604">
        <f>IFERROR(IF(AND($K49&gt;0,ISNUMBER(IF(OR($D49="g",$D49="ｇ"),IF($M49&gt;0,$L49/$M49/1000,""),IF($D49="kg",IF($M49&gt;0,$L49/$M49,""),IF($D49="",IF($M49&gt;0,$L49/$M49/1000,IF($O49&gt;0,$N49/$O49,"")),IF($O49&gt;0,$N49/$O49,"")))))),IF(OR($D49="g",$D49="ｇ"),IF($M49&gt;0,$L49/$M49/1000,""),IF($D49="kg",IF($M49&gt;0,$L49/$M49,""),IF($D49="",IF($M49&gt;0,$L49/$M49/1000,IF($O49&gt;0,$N49/$O49,"")),IF($O49&gt;0,$N49/$O49,"")))),IF($F49="",IF(OR($E49="",$E49="⑩盛付梱包工程入力"),"",IF(OR($D49="g",$D49="ｇ"),INDEX(⑰工程労務費一覧!$N$5:$N$11,MATCH($E49,⑰工程労務費一覧!$K$5:$K$11,0))/1000,IF($D49="kg",INDEX(⑰工程労務費一覧!$N$5:$N$11,MATCH($E49,⑰工程労務費一覧!$K$5:$K$11,0)),IF(OR($D49="個",$D49="切",$D49="本",$D49="枚",$D49="尾"),IF($E49="⑬計量工程入力","",INDEX(⑰工程労務費一覧!$P$5:$P$11,MATCH($E49,⑰工程労務費一覧!$K$5:$K$11,0))),IF(AND($D49="",OR($E49="②釜工程入力",$E49="③スチコン工程入力")),INDEX(⑰工程労務費一覧!$N$5:$N$11,MATCH($E49,⑰工程労務費一覧!$K$5:$K$11,0))/1000,""))))),IF(OR($D49="g",$D49="ｇ"),INDEX(⑰工程労務費一覧!$H$5:$H$753,MATCH($F49,⑰工程労務費一覧!$D$5:$D$753,0))/1000,IF($D49="kg",INDEX(⑰工程労務費一覧!$H$5:$H$753,MATCH($F49,⑰工程労務費一覧!$D$5:$D$753,0)),INDEX(⑰工程労務費一覧!$I$5:$I$753,MATCH($F49,⑰工程労務費一覧!$D$5:$D$753,0)))))),"")</f>
        <v/>
      </c>
      <c r="I49" s="392">
        <f>IF($K49&gt;0,IF(ISNUMBER(IF(OR($D49="g",$D49="ｇ"),IF($M49&gt;0,$L49/$M49/1000,""),IF($D49="kg",IF($M49&gt;0,$L49/$M49,""),IF($D49="",IF($M49&gt;0,$L49/$M49/1000,IF($O49&gt;0,$N49/$O49,"")),IF($O49&gt;0,$N49/$O49,""))))),IF($D49="",IF($M49&gt;0,"◎ JAN紐づけ(g扱い)","◎ JAN紐づけ(個扱い)"),"◎ JAN紐づけ"),"△ JAN紐づけ済・実績不足→仮計算"),IF($F49="",IF(ISNUMBER($H49),IF($D49="","⑤ 工程平均で仮計算(g扱い)","⑤ 工程平均で仮計算"),IF($E49="⑩盛付梱包工程入力","⑥ 盛り込み(⑳F列で計上)",IF(AND($E49="⑬計量工程入力",OR($D49="個",$D49="切",$D49="本",$D49="枚",$D49="尾")),"① 未紐づけ(カット個単位は仮単価なし)","① 未紐づけ"))),IF(NOT(ISNUMBER($H49)),"② 工程側に単価なし",IF($D49="","③ 単位未設定(個で計算)","④ OK"))))</f>
        <v/>
      </c>
      <c r="J49" s="399">
        <f>IFERROR(LOOKUP(2,1/((中間品リスト!$F$2:$F$1299=$B49)*(中間品リスト!$E$2:$E$1299&lt;&gt;"-")*(中間品リスト!$E$2:$E$1299&lt;&gt;"")),中間品リスト!$E$2:$E$1299),"")</f>
        <v/>
      </c>
      <c r="K49" s="400">
        <f>IF($J49="",0,COUNTIF(②釜工程入力!$S$5:$S$117,$J49)+COUNTIF(③スチコン工程入力!$S$5:$S$152,$J49)+COUNTIF(⑪ZEN工程入力!$S$6:$S$35,$J49)+COUNTIF(⑫ミキサー工程入力!$S$6:$S$65,$J49)+COUNTIF(⑬計量工程入力!$S$6:$S$65,$J49)+COUNTIF(⑭手動工程入力!$S$6:$S$47,$J49))</f>
        <v/>
      </c>
      <c r="L49" s="393">
        <f>IF($J49="",0,SUMIFS(②釜工程入力!$M$5:$M$117,②釜工程入力!$S$5:$S$117,$J49,②釜工程入力!$I$5:$I$117,"&gt;0")+SUMIFS(③スチコン工程入力!$M$5:$M$152,③スチコン工程入力!$S$5:$S$152,$J49,③スチコン工程入力!$I$5:$I$152,"&gt;0")+SUMIFS(⑪ZEN工程入力!$M$6:$M$35,⑪ZEN工程入力!$S$6:$S$35,$J49,⑪ZEN工程入力!$I$6:$I$35,"&gt;0")+SUMIFS(⑫ミキサー工程入力!$M$6:$M$65,⑫ミキサー工程入力!$S$6:$S$65,$J49,⑫ミキサー工程入力!$I$6:$I$65,"&gt;0")+SUMIFS(⑬計量工程入力!$M$6:$M$65,⑬計量工程入力!$S$6:$S$65,$J49,⑬計量工程入力!$I$6:$I$65,"&gt;0")+SUMIFS(⑭手動工程入力!$M$6:$M$47,⑭手動工程入力!$S$6:$S$47,$J49,⑭手動工程入力!$I$6:$I$47,"&gt;0"))</f>
        <v/>
      </c>
      <c r="M49" s="393">
        <f>IF($J49="",0,SUMIFS(②釜工程入力!$I$5:$I$117,②釜工程入力!$S$5:$S$117,$J49,②釜工程入力!$I$5:$I$117,"&gt;0",②釜工程入力!$M$5:$M$117,"&gt;0")+SUMIFS(③スチコン工程入力!$I$5:$I$152,③スチコン工程入力!$S$5:$S$152,$J49,③スチコン工程入力!$I$5:$I$152,"&gt;0",③スチコン工程入力!$M$5:$M$152,"&gt;0")+SUMIFS(⑪ZEN工程入力!$I$6:$I$35,⑪ZEN工程入力!$S$6:$S$35,$J49,⑪ZEN工程入力!$I$6:$I$35,"&gt;0",⑪ZEN工程入力!$M$6:$M$35,"&gt;0")+SUMIFS(⑫ミキサー工程入力!$I$6:$I$65,⑫ミキサー工程入力!$S$6:$S$65,$J49,⑫ミキサー工程入力!$I$6:$I$65,"&gt;0",⑫ミキサー工程入力!$M$6:$M$65,"&gt;0")+SUMIFS(⑬計量工程入力!$I$6:$I$65,⑬計量工程入力!$S$6:$S$65,$J49,⑬計量工程入力!$I$6:$I$65,"&gt;0",⑬計量工程入力!$M$6:$M$65,"&gt;0")+SUMIFS(⑭手動工程入力!$I$6:$I$47,⑭手動工程入力!$S$6:$S$47,$J49,⑭手動工程入力!$I$6:$I$47,"&gt;0",⑭手動工程入力!$M$6:$M$47,"&gt;0"))</f>
        <v/>
      </c>
      <c r="N49" s="393">
        <f>IF($J49="",0,SUMIFS(②釜工程入力!$M$5:$M$117,②釜工程入力!$S$5:$S$117,$J49,②釜工程入力!$J$5:$J$117,"&gt;0")-SUMIFS(②釜工程入力!$M$5:$M$117,②釜工程入力!$S$5:$S$117,$J49,②釜工程入力!$J$5:$J$117,"&gt;0",②釜工程入力!$I$5:$I$117,"&gt;0")+SUMIFS(③スチコン工程入力!$M$5:$M$152,③スチコン工程入力!$S$5:$S$152,$J49,③スチコン工程入力!$J$5:$J$152,"&gt;0")-SUMIFS(③スチコン工程入力!$M$5:$M$152,③スチコン工程入力!$S$5:$S$152,$J49,③スチコン工程入力!$J$5:$J$152,"&gt;0",③スチコン工程入力!$I$5:$I$152,"&gt;0")+SUMIFS(⑪ZEN工程入力!$M$6:$M$35,⑪ZEN工程入力!$S$6:$S$35,$J49,⑪ZEN工程入力!$J$6:$J$35,"&gt;0")-SUMIFS(⑪ZEN工程入力!$M$6:$M$35,⑪ZEN工程入力!$S$6:$S$35,$J49,⑪ZEN工程入力!$J$6:$J$35,"&gt;0",⑪ZEN工程入力!$I$6:$I$35,"&gt;0")+SUMIFS(⑫ミキサー工程入力!$M$6:$M$65,⑫ミキサー工程入力!$S$6:$S$65,$J49,⑫ミキサー工程入力!$J$6:$J$65,"&gt;0")-SUMIFS(⑫ミキサー工程入力!$M$6:$M$65,⑫ミキサー工程入力!$S$6:$S$65,$J49,⑫ミキサー工程入力!$J$6:$J$65,"&gt;0",⑫ミキサー工程入力!$I$6:$I$65,"&gt;0")+SUMIFS(⑬計量工程入力!$M$6:$M$65,⑬計量工程入力!$S$6:$S$65,$J49,⑬計量工程入力!$J$6:$J$65,"&gt;0")-SUMIFS(⑬計量工程入力!$M$6:$M$65,⑬計量工程入力!$S$6:$S$65,$J49,⑬計量工程入力!$J$6:$J$65,"&gt;0",⑬計量工程入力!$I$6:$I$65,"&gt;0")+SUMIFS(⑭手動工程入力!$M$6:$M$47,⑭手動工程入力!$S$6:$S$47,$J49,⑭手動工程入力!$J$6:$J$47,"&gt;0")-SUMIFS(⑭手動工程入力!$M$6:$M$47,⑭手動工程入力!$S$6:$S$47,$J49,⑭手動工程入力!$J$6:$J$47,"&gt;0",⑭手動工程入力!$I$6:$I$47,"&gt;0"))</f>
        <v/>
      </c>
      <c r="O49" s="393">
        <f>IF($J49="",0,SUMIFS(②釜工程入力!$J$5:$J$117,②釜工程入力!$S$5:$S$117,$J49,②釜工程入力!$J$5:$J$117,"&gt;0",②釜工程入力!$M$5:$M$117,"&gt;0")-SUMIFS(②釜工程入力!$J$5:$J$117,②釜工程入力!$S$5:$S$117,$J49,②釜工程入力!$J$5:$J$117,"&gt;0",②釜工程入力!$I$5:$I$117,"&gt;0",②釜工程入力!$M$5:$M$117,"&gt;0")+SUMIFS(③スチコン工程入力!$J$5:$J$152,③スチコン工程入力!$S$5:$S$152,$J49,③スチコン工程入力!$J$5:$J$152,"&gt;0",③スチコン工程入力!$M$5:$M$152,"&gt;0")-SUMIFS(③スチコン工程入力!$J$5:$J$152,③スチコン工程入力!$S$5:$S$152,$J49,③スチコン工程入力!$J$5:$J$152,"&gt;0",③スチコン工程入力!$I$5:$I$152,"&gt;0",③スチコン工程入力!$M$5:$M$152,"&gt;0")+SUMIFS(⑪ZEN工程入力!$J$6:$J$35,⑪ZEN工程入力!$S$6:$S$35,$J49,⑪ZEN工程入力!$J$6:$J$35,"&gt;0",⑪ZEN工程入力!$M$6:$M$35,"&gt;0")-SUMIFS(⑪ZEN工程入力!$J$6:$J$35,⑪ZEN工程入力!$S$6:$S$35,$J49,⑪ZEN工程入力!$J$6:$J$35,"&gt;0",⑪ZEN工程入力!$I$6:$I$35,"&gt;0",⑪ZEN工程入力!$M$6:$M$35,"&gt;0")+SUMIFS(⑫ミキサー工程入力!$J$6:$J$65,⑫ミキサー工程入力!$S$6:$S$65,$J49,⑫ミキサー工程入力!$J$6:$J$65,"&gt;0",⑫ミキサー工程入力!$M$6:$M$65,"&gt;0")-SUMIFS(⑫ミキサー工程入力!$J$6:$J$65,⑫ミキサー工程入力!$S$6:$S$65,$J49,⑫ミキサー工程入力!$J$6:$J$65,"&gt;0",⑫ミキサー工程入力!$I$6:$I$65,"&gt;0",⑫ミキサー工程入力!$M$6:$M$65,"&gt;0")+SUMIFS(⑬計量工程入力!$J$6:$J$65,⑬計量工程入力!$S$6:$S$65,$J49,⑬計量工程入力!$J$6:$J$65,"&gt;0",⑬計量工程入力!$M$6:$M$65,"&gt;0")-SUMIFS(⑬計量工程入力!$J$6:$J$65,⑬計量工程入力!$S$6:$S$65,$J49,⑬計量工程入力!$J$6:$J$65,"&gt;0",⑬計量工程入力!$I$6:$I$65,"&gt;0",⑬計量工程入力!$M$6:$M$65,"&gt;0")+SUMIFS(⑭手動工程入力!$J$6:$J$47,⑭手動工程入力!$S$6:$S$47,$J49,⑭手動工程入力!$J$6:$J$47,"&gt;0",⑭手動工程入力!$M$6:$M$47,"&gt;0")-SUMIFS(⑭手動工程入力!$J$6:$J$47,⑭手動工程入力!$S$6:$S$47,$J49,⑭手動工程入力!$J$6:$J$47,"&gt;0",⑭手動工程入力!$I$6:$I$47,"&gt;0",⑭手動工程入力!$M$6:$M$47,"&gt;0"))</f>
        <v/>
      </c>
      <c r="P49" s="392" t="n"/>
    </row>
    <row r="50">
      <c r="A50" s="392" t="n">
        <v>46</v>
      </c>
      <c r="B50" s="392" t="n"/>
      <c r="C50" s="392" t="n"/>
      <c r="D50" s="392" t="n"/>
      <c r="E50" s="392" t="n"/>
      <c r="F50" s="394" t="n"/>
      <c r="G50" s="392" t="n"/>
      <c r="H50" s="604">
        <f>IFERROR(IF(AND($K50&gt;0,ISNUMBER(IF(OR($D50="g",$D50="ｇ"),IF($M50&gt;0,$L50/$M50/1000,""),IF($D50="kg",IF($M50&gt;0,$L50/$M50,""),IF($D50="",IF($M50&gt;0,$L50/$M50/1000,IF($O50&gt;0,$N50/$O50,"")),IF($O50&gt;0,$N50/$O50,"")))))),IF(OR($D50="g",$D50="ｇ"),IF($M50&gt;0,$L50/$M50/1000,""),IF($D50="kg",IF($M50&gt;0,$L50/$M50,""),IF($D50="",IF($M50&gt;0,$L50/$M50/1000,IF($O50&gt;0,$N50/$O50,"")),IF($O50&gt;0,$N50/$O50,"")))),IF($F50="",IF(OR($E50="",$E50="⑩盛付梱包工程入力"),"",IF(OR($D50="g",$D50="ｇ"),INDEX(⑰工程労務費一覧!$N$5:$N$11,MATCH($E50,⑰工程労務費一覧!$K$5:$K$11,0))/1000,IF($D50="kg",INDEX(⑰工程労務費一覧!$N$5:$N$11,MATCH($E50,⑰工程労務費一覧!$K$5:$K$11,0)),IF(OR($D50="個",$D50="切",$D50="本",$D50="枚",$D50="尾"),IF($E50="⑬計量工程入力","",INDEX(⑰工程労務費一覧!$P$5:$P$11,MATCH($E50,⑰工程労務費一覧!$K$5:$K$11,0))),IF(AND($D50="",OR($E50="②釜工程入力",$E50="③スチコン工程入力")),INDEX(⑰工程労務費一覧!$N$5:$N$11,MATCH($E50,⑰工程労務費一覧!$K$5:$K$11,0))/1000,""))))),IF(OR($D50="g",$D50="ｇ"),INDEX(⑰工程労務費一覧!$H$5:$H$753,MATCH($F50,⑰工程労務費一覧!$D$5:$D$753,0))/1000,IF($D50="kg",INDEX(⑰工程労務費一覧!$H$5:$H$753,MATCH($F50,⑰工程労務費一覧!$D$5:$D$753,0)),INDEX(⑰工程労務費一覧!$I$5:$I$753,MATCH($F50,⑰工程労務費一覧!$D$5:$D$753,0)))))),"")</f>
        <v/>
      </c>
      <c r="I50" s="392">
        <f>IF($K50&gt;0,IF(ISNUMBER(IF(OR($D50="g",$D50="ｇ"),IF($M50&gt;0,$L50/$M50/1000,""),IF($D50="kg",IF($M50&gt;0,$L50/$M50,""),IF($D50="",IF($M50&gt;0,$L50/$M50/1000,IF($O50&gt;0,$N50/$O50,"")),IF($O50&gt;0,$N50/$O50,""))))),IF($D50="",IF($M50&gt;0,"◎ JAN紐づけ(g扱い)","◎ JAN紐づけ(個扱い)"),"◎ JAN紐づけ"),"△ JAN紐づけ済・実績不足→仮計算"),IF($F50="",IF(ISNUMBER($H50),IF($D50="","⑤ 工程平均で仮計算(g扱い)","⑤ 工程平均で仮計算"),IF($E50="⑩盛付梱包工程入力","⑥ 盛り込み(⑳F列で計上)",IF(AND($E50="⑬計量工程入力",OR($D50="個",$D50="切",$D50="本",$D50="枚",$D50="尾")),"① 未紐づけ(カット個単位は仮単価なし)","① 未紐づけ"))),IF(NOT(ISNUMBER($H50)),"② 工程側に単価なし",IF($D50="","③ 単位未設定(個で計算)","④ OK"))))</f>
        <v/>
      </c>
      <c r="J50" s="399">
        <f>IFERROR(LOOKUP(2,1/((中間品リスト!$F$2:$F$1299=$B50)*(中間品リスト!$E$2:$E$1299&lt;&gt;"-")*(中間品リスト!$E$2:$E$1299&lt;&gt;"")),中間品リスト!$E$2:$E$1299),"")</f>
        <v/>
      </c>
      <c r="K50" s="400">
        <f>IF($J50="",0,COUNTIF(②釜工程入力!$S$5:$S$117,$J50)+COUNTIF(③スチコン工程入力!$S$5:$S$152,$J50)+COUNTIF(⑪ZEN工程入力!$S$6:$S$35,$J50)+COUNTIF(⑫ミキサー工程入力!$S$6:$S$65,$J50)+COUNTIF(⑬計量工程入力!$S$6:$S$65,$J50)+COUNTIF(⑭手動工程入力!$S$6:$S$47,$J50))</f>
        <v/>
      </c>
      <c r="L50" s="393">
        <f>IF($J50="",0,SUMIFS(②釜工程入力!$M$5:$M$117,②釜工程入力!$S$5:$S$117,$J50,②釜工程入力!$I$5:$I$117,"&gt;0")+SUMIFS(③スチコン工程入力!$M$5:$M$152,③スチコン工程入力!$S$5:$S$152,$J50,③スチコン工程入力!$I$5:$I$152,"&gt;0")+SUMIFS(⑪ZEN工程入力!$M$6:$M$35,⑪ZEN工程入力!$S$6:$S$35,$J50,⑪ZEN工程入力!$I$6:$I$35,"&gt;0")+SUMIFS(⑫ミキサー工程入力!$M$6:$M$65,⑫ミキサー工程入力!$S$6:$S$65,$J50,⑫ミキサー工程入力!$I$6:$I$65,"&gt;0")+SUMIFS(⑬計量工程入力!$M$6:$M$65,⑬計量工程入力!$S$6:$S$65,$J50,⑬計量工程入力!$I$6:$I$65,"&gt;0")+SUMIFS(⑭手動工程入力!$M$6:$M$47,⑭手動工程入力!$S$6:$S$47,$J50,⑭手動工程入力!$I$6:$I$47,"&gt;0"))</f>
        <v/>
      </c>
      <c r="M50" s="393">
        <f>IF($J50="",0,SUMIFS(②釜工程入力!$I$5:$I$117,②釜工程入力!$S$5:$S$117,$J50,②釜工程入力!$I$5:$I$117,"&gt;0",②釜工程入力!$M$5:$M$117,"&gt;0")+SUMIFS(③スチコン工程入力!$I$5:$I$152,③スチコン工程入力!$S$5:$S$152,$J50,③スチコン工程入力!$I$5:$I$152,"&gt;0",③スチコン工程入力!$M$5:$M$152,"&gt;0")+SUMIFS(⑪ZEN工程入力!$I$6:$I$35,⑪ZEN工程入力!$S$6:$S$35,$J50,⑪ZEN工程入力!$I$6:$I$35,"&gt;0",⑪ZEN工程入力!$M$6:$M$35,"&gt;0")+SUMIFS(⑫ミキサー工程入力!$I$6:$I$65,⑫ミキサー工程入力!$S$6:$S$65,$J50,⑫ミキサー工程入力!$I$6:$I$65,"&gt;0",⑫ミキサー工程入力!$M$6:$M$65,"&gt;0")+SUMIFS(⑬計量工程入力!$I$6:$I$65,⑬計量工程入力!$S$6:$S$65,$J50,⑬計量工程入力!$I$6:$I$65,"&gt;0",⑬計量工程入力!$M$6:$M$65,"&gt;0")+SUMIFS(⑭手動工程入力!$I$6:$I$47,⑭手動工程入力!$S$6:$S$47,$J50,⑭手動工程入力!$I$6:$I$47,"&gt;0",⑭手動工程入力!$M$6:$M$47,"&gt;0"))</f>
        <v/>
      </c>
      <c r="N50" s="393">
        <f>IF($J50="",0,SUMIFS(②釜工程入力!$M$5:$M$117,②釜工程入力!$S$5:$S$117,$J50,②釜工程入力!$J$5:$J$117,"&gt;0")-SUMIFS(②釜工程入力!$M$5:$M$117,②釜工程入力!$S$5:$S$117,$J50,②釜工程入力!$J$5:$J$117,"&gt;0",②釜工程入力!$I$5:$I$117,"&gt;0")+SUMIFS(③スチコン工程入力!$M$5:$M$152,③スチコン工程入力!$S$5:$S$152,$J50,③スチコン工程入力!$J$5:$J$152,"&gt;0")-SUMIFS(③スチコン工程入力!$M$5:$M$152,③スチコン工程入力!$S$5:$S$152,$J50,③スチコン工程入力!$J$5:$J$152,"&gt;0",③スチコン工程入力!$I$5:$I$152,"&gt;0")+SUMIFS(⑪ZEN工程入力!$M$6:$M$35,⑪ZEN工程入力!$S$6:$S$35,$J50,⑪ZEN工程入力!$J$6:$J$35,"&gt;0")-SUMIFS(⑪ZEN工程入力!$M$6:$M$35,⑪ZEN工程入力!$S$6:$S$35,$J50,⑪ZEN工程入力!$J$6:$J$35,"&gt;0",⑪ZEN工程入力!$I$6:$I$35,"&gt;0")+SUMIFS(⑫ミキサー工程入力!$M$6:$M$65,⑫ミキサー工程入力!$S$6:$S$65,$J50,⑫ミキサー工程入力!$J$6:$J$65,"&gt;0")-SUMIFS(⑫ミキサー工程入力!$M$6:$M$65,⑫ミキサー工程入力!$S$6:$S$65,$J50,⑫ミキサー工程入力!$J$6:$J$65,"&gt;0",⑫ミキサー工程入力!$I$6:$I$65,"&gt;0")+SUMIFS(⑬計量工程入力!$M$6:$M$65,⑬計量工程入力!$S$6:$S$65,$J50,⑬計量工程入力!$J$6:$J$65,"&gt;0")-SUMIFS(⑬計量工程入力!$M$6:$M$65,⑬計量工程入力!$S$6:$S$65,$J50,⑬計量工程入力!$J$6:$J$65,"&gt;0",⑬計量工程入力!$I$6:$I$65,"&gt;0")+SUMIFS(⑭手動工程入力!$M$6:$M$47,⑭手動工程入力!$S$6:$S$47,$J50,⑭手動工程入力!$J$6:$J$47,"&gt;0")-SUMIFS(⑭手動工程入力!$M$6:$M$47,⑭手動工程入力!$S$6:$S$47,$J50,⑭手動工程入力!$J$6:$J$47,"&gt;0",⑭手動工程入力!$I$6:$I$47,"&gt;0"))</f>
        <v/>
      </c>
      <c r="O50" s="393">
        <f>IF($J50="",0,SUMIFS(②釜工程入力!$J$5:$J$117,②釜工程入力!$S$5:$S$117,$J50,②釜工程入力!$J$5:$J$117,"&gt;0",②釜工程入力!$M$5:$M$117,"&gt;0")-SUMIFS(②釜工程入力!$J$5:$J$117,②釜工程入力!$S$5:$S$117,$J50,②釜工程入力!$J$5:$J$117,"&gt;0",②釜工程入力!$I$5:$I$117,"&gt;0",②釜工程入力!$M$5:$M$117,"&gt;0")+SUMIFS(③スチコン工程入力!$J$5:$J$152,③スチコン工程入力!$S$5:$S$152,$J50,③スチコン工程入力!$J$5:$J$152,"&gt;0",③スチコン工程入力!$M$5:$M$152,"&gt;0")-SUMIFS(③スチコン工程入力!$J$5:$J$152,③スチコン工程入力!$S$5:$S$152,$J50,③スチコン工程入力!$J$5:$J$152,"&gt;0",③スチコン工程入力!$I$5:$I$152,"&gt;0",③スチコン工程入力!$M$5:$M$152,"&gt;0")+SUMIFS(⑪ZEN工程入力!$J$6:$J$35,⑪ZEN工程入力!$S$6:$S$35,$J50,⑪ZEN工程入力!$J$6:$J$35,"&gt;0",⑪ZEN工程入力!$M$6:$M$35,"&gt;0")-SUMIFS(⑪ZEN工程入力!$J$6:$J$35,⑪ZEN工程入力!$S$6:$S$35,$J50,⑪ZEN工程入力!$J$6:$J$35,"&gt;0",⑪ZEN工程入力!$I$6:$I$35,"&gt;0",⑪ZEN工程入力!$M$6:$M$35,"&gt;0")+SUMIFS(⑫ミキサー工程入力!$J$6:$J$65,⑫ミキサー工程入力!$S$6:$S$65,$J50,⑫ミキサー工程入力!$J$6:$J$65,"&gt;0",⑫ミキサー工程入力!$M$6:$M$65,"&gt;0")-SUMIFS(⑫ミキサー工程入力!$J$6:$J$65,⑫ミキサー工程入力!$S$6:$S$65,$J50,⑫ミキサー工程入力!$J$6:$J$65,"&gt;0",⑫ミキサー工程入力!$I$6:$I$65,"&gt;0",⑫ミキサー工程入力!$M$6:$M$65,"&gt;0")+SUMIFS(⑬計量工程入力!$J$6:$J$65,⑬計量工程入力!$S$6:$S$65,$J50,⑬計量工程入力!$J$6:$J$65,"&gt;0",⑬計量工程入力!$M$6:$M$65,"&gt;0")-SUMIFS(⑬計量工程入力!$J$6:$J$65,⑬計量工程入力!$S$6:$S$65,$J50,⑬計量工程入力!$J$6:$J$65,"&gt;0",⑬計量工程入力!$I$6:$I$65,"&gt;0",⑬計量工程入力!$M$6:$M$65,"&gt;0")+SUMIFS(⑭手動工程入力!$J$6:$J$47,⑭手動工程入力!$S$6:$S$47,$J50,⑭手動工程入力!$J$6:$J$47,"&gt;0",⑭手動工程入力!$M$6:$M$47,"&gt;0")-SUMIFS(⑭手動工程入力!$J$6:$J$47,⑭手動工程入力!$S$6:$S$47,$J50,⑭手動工程入力!$J$6:$J$47,"&gt;0",⑭手動工程入力!$I$6:$I$47,"&gt;0",⑭手動工程入力!$M$6:$M$47,"&gt;0"))</f>
        <v/>
      </c>
      <c r="P50" s="392" t="n"/>
    </row>
    <row r="51">
      <c r="A51" s="392" t="n">
        <v>47</v>
      </c>
      <c r="B51" s="392" t="n"/>
      <c r="C51" s="392" t="n"/>
      <c r="D51" s="392" t="n"/>
      <c r="E51" s="392" t="n"/>
      <c r="F51" s="394" t="n"/>
      <c r="G51" s="392" t="n"/>
      <c r="H51" s="604">
        <f>IFERROR(IF(AND($K51&gt;0,ISNUMBER(IF(OR($D51="g",$D51="ｇ"),IF($M51&gt;0,$L51/$M51/1000,""),IF($D51="kg",IF($M51&gt;0,$L51/$M51,""),IF($D51="",IF($M51&gt;0,$L51/$M51/1000,IF($O51&gt;0,$N51/$O51,"")),IF($O51&gt;0,$N51/$O51,"")))))),IF(OR($D51="g",$D51="ｇ"),IF($M51&gt;0,$L51/$M51/1000,""),IF($D51="kg",IF($M51&gt;0,$L51/$M51,""),IF($D51="",IF($M51&gt;0,$L51/$M51/1000,IF($O51&gt;0,$N51/$O51,"")),IF($O51&gt;0,$N51/$O51,"")))),IF($F51="",IF(OR($E51="",$E51="⑩盛付梱包工程入力"),"",IF(OR($D51="g",$D51="ｇ"),INDEX(⑰工程労務費一覧!$N$5:$N$11,MATCH($E51,⑰工程労務費一覧!$K$5:$K$11,0))/1000,IF($D51="kg",INDEX(⑰工程労務費一覧!$N$5:$N$11,MATCH($E51,⑰工程労務費一覧!$K$5:$K$11,0)),IF(OR($D51="個",$D51="切",$D51="本",$D51="枚",$D51="尾"),IF($E51="⑬計量工程入力","",INDEX(⑰工程労務費一覧!$P$5:$P$11,MATCH($E51,⑰工程労務費一覧!$K$5:$K$11,0))),IF(AND($D51="",OR($E51="②釜工程入力",$E51="③スチコン工程入力")),INDEX(⑰工程労務費一覧!$N$5:$N$11,MATCH($E51,⑰工程労務費一覧!$K$5:$K$11,0))/1000,""))))),IF(OR($D51="g",$D51="ｇ"),INDEX(⑰工程労務費一覧!$H$5:$H$753,MATCH($F51,⑰工程労務費一覧!$D$5:$D$753,0))/1000,IF($D51="kg",INDEX(⑰工程労務費一覧!$H$5:$H$753,MATCH($F51,⑰工程労務費一覧!$D$5:$D$753,0)),INDEX(⑰工程労務費一覧!$I$5:$I$753,MATCH($F51,⑰工程労務費一覧!$D$5:$D$753,0)))))),"")</f>
        <v/>
      </c>
      <c r="I51" s="392">
        <f>IF($K51&gt;0,IF(ISNUMBER(IF(OR($D51="g",$D51="ｇ"),IF($M51&gt;0,$L51/$M51/1000,""),IF($D51="kg",IF($M51&gt;0,$L51/$M51,""),IF($D51="",IF($M51&gt;0,$L51/$M51/1000,IF($O51&gt;0,$N51/$O51,"")),IF($O51&gt;0,$N51/$O51,""))))),IF($D51="",IF($M51&gt;0,"◎ JAN紐づけ(g扱い)","◎ JAN紐づけ(個扱い)"),"◎ JAN紐づけ"),"△ JAN紐づけ済・実績不足→仮計算"),IF($F51="",IF(ISNUMBER($H51),IF($D51="","⑤ 工程平均で仮計算(g扱い)","⑤ 工程平均で仮計算"),IF($E51="⑩盛付梱包工程入力","⑥ 盛り込み(⑳F列で計上)",IF(AND($E51="⑬計量工程入力",OR($D51="個",$D51="切",$D51="本",$D51="枚",$D51="尾")),"① 未紐づけ(カット個単位は仮単価なし)","① 未紐づけ"))),IF(NOT(ISNUMBER($H51)),"② 工程側に単価なし",IF($D51="","③ 単位未設定(個で計算)","④ OK"))))</f>
        <v/>
      </c>
      <c r="J51" s="399">
        <f>IFERROR(LOOKUP(2,1/((中間品リスト!$F$2:$F$1299=$B51)*(中間品リスト!$E$2:$E$1299&lt;&gt;"-")*(中間品リスト!$E$2:$E$1299&lt;&gt;"")),中間品リスト!$E$2:$E$1299),"")</f>
        <v/>
      </c>
      <c r="K51" s="400">
        <f>IF($J51="",0,COUNTIF(②釜工程入力!$S$5:$S$117,$J51)+COUNTIF(③スチコン工程入力!$S$5:$S$152,$J51)+COUNTIF(⑪ZEN工程入力!$S$6:$S$35,$J51)+COUNTIF(⑫ミキサー工程入力!$S$6:$S$65,$J51)+COUNTIF(⑬計量工程入力!$S$6:$S$65,$J51)+COUNTIF(⑭手動工程入力!$S$6:$S$47,$J51))</f>
        <v/>
      </c>
      <c r="L51" s="393">
        <f>IF($J51="",0,SUMIFS(②釜工程入力!$M$5:$M$117,②釜工程入力!$S$5:$S$117,$J51,②釜工程入力!$I$5:$I$117,"&gt;0")+SUMIFS(③スチコン工程入力!$M$5:$M$152,③スチコン工程入力!$S$5:$S$152,$J51,③スチコン工程入力!$I$5:$I$152,"&gt;0")+SUMIFS(⑪ZEN工程入力!$M$6:$M$35,⑪ZEN工程入力!$S$6:$S$35,$J51,⑪ZEN工程入力!$I$6:$I$35,"&gt;0")+SUMIFS(⑫ミキサー工程入力!$M$6:$M$65,⑫ミキサー工程入力!$S$6:$S$65,$J51,⑫ミキサー工程入力!$I$6:$I$65,"&gt;0")+SUMIFS(⑬計量工程入力!$M$6:$M$65,⑬計量工程入力!$S$6:$S$65,$J51,⑬計量工程入力!$I$6:$I$65,"&gt;0")+SUMIFS(⑭手動工程入力!$M$6:$M$47,⑭手動工程入力!$S$6:$S$47,$J51,⑭手動工程入力!$I$6:$I$47,"&gt;0"))</f>
        <v/>
      </c>
      <c r="M51" s="393">
        <f>IF($J51="",0,SUMIFS(②釜工程入力!$I$5:$I$117,②釜工程入力!$S$5:$S$117,$J51,②釜工程入力!$I$5:$I$117,"&gt;0",②釜工程入力!$M$5:$M$117,"&gt;0")+SUMIFS(③スチコン工程入力!$I$5:$I$152,③スチコン工程入力!$S$5:$S$152,$J51,③スチコン工程入力!$I$5:$I$152,"&gt;0",③スチコン工程入力!$M$5:$M$152,"&gt;0")+SUMIFS(⑪ZEN工程入力!$I$6:$I$35,⑪ZEN工程入力!$S$6:$S$35,$J51,⑪ZEN工程入力!$I$6:$I$35,"&gt;0",⑪ZEN工程入力!$M$6:$M$35,"&gt;0")+SUMIFS(⑫ミキサー工程入力!$I$6:$I$65,⑫ミキサー工程入力!$S$6:$S$65,$J51,⑫ミキサー工程入力!$I$6:$I$65,"&gt;0",⑫ミキサー工程入力!$M$6:$M$65,"&gt;0")+SUMIFS(⑬計量工程入力!$I$6:$I$65,⑬計量工程入力!$S$6:$S$65,$J51,⑬計量工程入力!$I$6:$I$65,"&gt;0",⑬計量工程入力!$M$6:$M$65,"&gt;0")+SUMIFS(⑭手動工程入力!$I$6:$I$47,⑭手動工程入力!$S$6:$S$47,$J51,⑭手動工程入力!$I$6:$I$47,"&gt;0",⑭手動工程入力!$M$6:$M$47,"&gt;0"))</f>
        <v/>
      </c>
      <c r="N51" s="393">
        <f>IF($J51="",0,SUMIFS(②釜工程入力!$M$5:$M$117,②釜工程入力!$S$5:$S$117,$J51,②釜工程入力!$J$5:$J$117,"&gt;0")-SUMIFS(②釜工程入力!$M$5:$M$117,②釜工程入力!$S$5:$S$117,$J51,②釜工程入力!$J$5:$J$117,"&gt;0",②釜工程入力!$I$5:$I$117,"&gt;0")+SUMIFS(③スチコン工程入力!$M$5:$M$152,③スチコン工程入力!$S$5:$S$152,$J51,③スチコン工程入力!$J$5:$J$152,"&gt;0")-SUMIFS(③スチコン工程入力!$M$5:$M$152,③スチコン工程入力!$S$5:$S$152,$J51,③スチコン工程入力!$J$5:$J$152,"&gt;0",③スチコン工程入力!$I$5:$I$152,"&gt;0")+SUMIFS(⑪ZEN工程入力!$M$6:$M$35,⑪ZEN工程入力!$S$6:$S$35,$J51,⑪ZEN工程入力!$J$6:$J$35,"&gt;0")-SUMIFS(⑪ZEN工程入力!$M$6:$M$35,⑪ZEN工程入力!$S$6:$S$35,$J51,⑪ZEN工程入力!$J$6:$J$35,"&gt;0",⑪ZEN工程入力!$I$6:$I$35,"&gt;0")+SUMIFS(⑫ミキサー工程入力!$M$6:$M$65,⑫ミキサー工程入力!$S$6:$S$65,$J51,⑫ミキサー工程入力!$J$6:$J$65,"&gt;0")-SUMIFS(⑫ミキサー工程入力!$M$6:$M$65,⑫ミキサー工程入力!$S$6:$S$65,$J51,⑫ミキサー工程入力!$J$6:$J$65,"&gt;0",⑫ミキサー工程入力!$I$6:$I$65,"&gt;0")+SUMIFS(⑬計量工程入力!$M$6:$M$65,⑬計量工程入力!$S$6:$S$65,$J51,⑬計量工程入力!$J$6:$J$65,"&gt;0")-SUMIFS(⑬計量工程入力!$M$6:$M$65,⑬計量工程入力!$S$6:$S$65,$J51,⑬計量工程入力!$J$6:$J$65,"&gt;0",⑬計量工程入力!$I$6:$I$65,"&gt;0")+SUMIFS(⑭手動工程入力!$M$6:$M$47,⑭手動工程入力!$S$6:$S$47,$J51,⑭手動工程入力!$J$6:$J$47,"&gt;0")-SUMIFS(⑭手動工程入力!$M$6:$M$47,⑭手動工程入力!$S$6:$S$47,$J51,⑭手動工程入力!$J$6:$J$47,"&gt;0",⑭手動工程入力!$I$6:$I$47,"&gt;0"))</f>
        <v/>
      </c>
      <c r="O51" s="393">
        <f>IF($J51="",0,SUMIFS(②釜工程入力!$J$5:$J$117,②釜工程入力!$S$5:$S$117,$J51,②釜工程入力!$J$5:$J$117,"&gt;0",②釜工程入力!$M$5:$M$117,"&gt;0")-SUMIFS(②釜工程入力!$J$5:$J$117,②釜工程入力!$S$5:$S$117,$J51,②釜工程入力!$J$5:$J$117,"&gt;0",②釜工程入力!$I$5:$I$117,"&gt;0",②釜工程入力!$M$5:$M$117,"&gt;0")+SUMIFS(③スチコン工程入力!$J$5:$J$152,③スチコン工程入力!$S$5:$S$152,$J51,③スチコン工程入力!$J$5:$J$152,"&gt;0",③スチコン工程入力!$M$5:$M$152,"&gt;0")-SUMIFS(③スチコン工程入力!$J$5:$J$152,③スチコン工程入力!$S$5:$S$152,$J51,③スチコン工程入力!$J$5:$J$152,"&gt;0",③スチコン工程入力!$I$5:$I$152,"&gt;0",③スチコン工程入力!$M$5:$M$152,"&gt;0")+SUMIFS(⑪ZEN工程入力!$J$6:$J$35,⑪ZEN工程入力!$S$6:$S$35,$J51,⑪ZEN工程入力!$J$6:$J$35,"&gt;0",⑪ZEN工程入力!$M$6:$M$35,"&gt;0")-SUMIFS(⑪ZEN工程入力!$J$6:$J$35,⑪ZEN工程入力!$S$6:$S$35,$J51,⑪ZEN工程入力!$J$6:$J$35,"&gt;0",⑪ZEN工程入力!$I$6:$I$35,"&gt;0",⑪ZEN工程入力!$M$6:$M$35,"&gt;0")+SUMIFS(⑫ミキサー工程入力!$J$6:$J$65,⑫ミキサー工程入力!$S$6:$S$65,$J51,⑫ミキサー工程入力!$J$6:$J$65,"&gt;0",⑫ミキサー工程入力!$M$6:$M$65,"&gt;0")-SUMIFS(⑫ミキサー工程入力!$J$6:$J$65,⑫ミキサー工程入力!$S$6:$S$65,$J51,⑫ミキサー工程入力!$J$6:$J$65,"&gt;0",⑫ミキサー工程入力!$I$6:$I$65,"&gt;0",⑫ミキサー工程入力!$M$6:$M$65,"&gt;0")+SUMIFS(⑬計量工程入力!$J$6:$J$65,⑬計量工程入力!$S$6:$S$65,$J51,⑬計量工程入力!$J$6:$J$65,"&gt;0",⑬計量工程入力!$M$6:$M$65,"&gt;0")-SUMIFS(⑬計量工程入力!$J$6:$J$65,⑬計量工程入力!$S$6:$S$65,$J51,⑬計量工程入力!$J$6:$J$65,"&gt;0",⑬計量工程入力!$I$6:$I$65,"&gt;0",⑬計量工程入力!$M$6:$M$65,"&gt;0")+SUMIFS(⑭手動工程入力!$J$6:$J$47,⑭手動工程入力!$S$6:$S$47,$J51,⑭手動工程入力!$J$6:$J$47,"&gt;0",⑭手動工程入力!$M$6:$M$47,"&gt;0")-SUMIFS(⑭手動工程入力!$J$6:$J$47,⑭手動工程入力!$S$6:$S$47,$J51,⑭手動工程入力!$J$6:$J$47,"&gt;0",⑭手動工程入力!$I$6:$I$47,"&gt;0",⑭手動工程入力!$M$6:$M$47,"&gt;0"))</f>
        <v/>
      </c>
      <c r="P51" s="392" t="n"/>
    </row>
    <row r="52">
      <c r="A52" s="392" t="n">
        <v>48</v>
      </c>
      <c r="B52" s="392" t="n"/>
      <c r="C52" s="392" t="n"/>
      <c r="D52" s="392" t="n"/>
      <c r="E52" s="392" t="n"/>
      <c r="F52" s="394" t="n"/>
      <c r="G52" s="392" t="n"/>
      <c r="H52" s="604">
        <f>IFERROR(IF(AND($K52&gt;0,ISNUMBER(IF(OR($D52="g",$D52="ｇ"),IF($M52&gt;0,$L52/$M52/1000,""),IF($D52="kg",IF($M52&gt;0,$L52/$M52,""),IF($D52="",IF($M52&gt;0,$L52/$M52/1000,IF($O52&gt;0,$N52/$O52,"")),IF($O52&gt;0,$N52/$O52,"")))))),IF(OR($D52="g",$D52="ｇ"),IF($M52&gt;0,$L52/$M52/1000,""),IF($D52="kg",IF($M52&gt;0,$L52/$M52,""),IF($D52="",IF($M52&gt;0,$L52/$M52/1000,IF($O52&gt;0,$N52/$O52,"")),IF($O52&gt;0,$N52/$O52,"")))),IF($F52="",IF(OR($E52="",$E52="⑩盛付梱包工程入力"),"",IF(OR($D52="g",$D52="ｇ"),INDEX(⑰工程労務費一覧!$N$5:$N$11,MATCH($E52,⑰工程労務費一覧!$K$5:$K$11,0))/1000,IF($D52="kg",INDEX(⑰工程労務費一覧!$N$5:$N$11,MATCH($E52,⑰工程労務費一覧!$K$5:$K$11,0)),IF(OR($D52="個",$D52="切",$D52="本",$D52="枚",$D52="尾"),IF($E52="⑬計量工程入力","",INDEX(⑰工程労務費一覧!$P$5:$P$11,MATCH($E52,⑰工程労務費一覧!$K$5:$K$11,0))),IF(AND($D52="",OR($E52="②釜工程入力",$E52="③スチコン工程入力")),INDEX(⑰工程労務費一覧!$N$5:$N$11,MATCH($E52,⑰工程労務費一覧!$K$5:$K$11,0))/1000,""))))),IF(OR($D52="g",$D52="ｇ"),INDEX(⑰工程労務費一覧!$H$5:$H$753,MATCH($F52,⑰工程労務費一覧!$D$5:$D$753,0))/1000,IF($D52="kg",INDEX(⑰工程労務費一覧!$H$5:$H$753,MATCH($F52,⑰工程労務費一覧!$D$5:$D$753,0)),INDEX(⑰工程労務費一覧!$I$5:$I$753,MATCH($F52,⑰工程労務費一覧!$D$5:$D$753,0)))))),"")</f>
        <v/>
      </c>
      <c r="I52" s="392">
        <f>IF($K52&gt;0,IF(ISNUMBER(IF(OR($D52="g",$D52="ｇ"),IF($M52&gt;0,$L52/$M52/1000,""),IF($D52="kg",IF($M52&gt;0,$L52/$M52,""),IF($D52="",IF($M52&gt;0,$L52/$M52/1000,IF($O52&gt;0,$N52/$O52,"")),IF($O52&gt;0,$N52/$O52,""))))),IF($D52="",IF($M52&gt;0,"◎ JAN紐づけ(g扱い)","◎ JAN紐づけ(個扱い)"),"◎ JAN紐づけ"),"△ JAN紐づけ済・実績不足→仮計算"),IF($F52="",IF(ISNUMBER($H52),IF($D52="","⑤ 工程平均で仮計算(g扱い)","⑤ 工程平均で仮計算"),IF($E52="⑩盛付梱包工程入力","⑥ 盛り込み(⑳F列で計上)",IF(AND($E52="⑬計量工程入力",OR($D52="個",$D52="切",$D52="本",$D52="枚",$D52="尾")),"① 未紐づけ(カット個単位は仮単価なし)","① 未紐づけ"))),IF(NOT(ISNUMBER($H52)),"② 工程側に単価なし",IF($D52="","③ 単位未設定(個で計算)","④ OK"))))</f>
        <v/>
      </c>
      <c r="J52" s="399">
        <f>IFERROR(LOOKUP(2,1/((中間品リスト!$F$2:$F$1299=$B52)*(中間品リスト!$E$2:$E$1299&lt;&gt;"-")*(中間品リスト!$E$2:$E$1299&lt;&gt;"")),中間品リスト!$E$2:$E$1299),"")</f>
        <v/>
      </c>
      <c r="K52" s="400">
        <f>IF($J52="",0,COUNTIF(②釜工程入力!$S$5:$S$117,$J52)+COUNTIF(③スチコン工程入力!$S$5:$S$152,$J52)+COUNTIF(⑪ZEN工程入力!$S$6:$S$35,$J52)+COUNTIF(⑫ミキサー工程入力!$S$6:$S$65,$J52)+COUNTIF(⑬計量工程入力!$S$6:$S$65,$J52)+COUNTIF(⑭手動工程入力!$S$6:$S$47,$J52))</f>
        <v/>
      </c>
      <c r="L52" s="393">
        <f>IF($J52="",0,SUMIFS(②釜工程入力!$M$5:$M$117,②釜工程入力!$S$5:$S$117,$J52,②釜工程入力!$I$5:$I$117,"&gt;0")+SUMIFS(③スチコン工程入力!$M$5:$M$152,③スチコン工程入力!$S$5:$S$152,$J52,③スチコン工程入力!$I$5:$I$152,"&gt;0")+SUMIFS(⑪ZEN工程入力!$M$6:$M$35,⑪ZEN工程入力!$S$6:$S$35,$J52,⑪ZEN工程入力!$I$6:$I$35,"&gt;0")+SUMIFS(⑫ミキサー工程入力!$M$6:$M$65,⑫ミキサー工程入力!$S$6:$S$65,$J52,⑫ミキサー工程入力!$I$6:$I$65,"&gt;0")+SUMIFS(⑬計量工程入力!$M$6:$M$65,⑬計量工程入力!$S$6:$S$65,$J52,⑬計量工程入力!$I$6:$I$65,"&gt;0")+SUMIFS(⑭手動工程入力!$M$6:$M$47,⑭手動工程入力!$S$6:$S$47,$J52,⑭手動工程入力!$I$6:$I$47,"&gt;0"))</f>
        <v/>
      </c>
      <c r="M52" s="393">
        <f>IF($J52="",0,SUMIFS(②釜工程入力!$I$5:$I$117,②釜工程入力!$S$5:$S$117,$J52,②釜工程入力!$I$5:$I$117,"&gt;0",②釜工程入力!$M$5:$M$117,"&gt;0")+SUMIFS(③スチコン工程入力!$I$5:$I$152,③スチコン工程入力!$S$5:$S$152,$J52,③スチコン工程入力!$I$5:$I$152,"&gt;0",③スチコン工程入力!$M$5:$M$152,"&gt;0")+SUMIFS(⑪ZEN工程入力!$I$6:$I$35,⑪ZEN工程入力!$S$6:$S$35,$J52,⑪ZEN工程入力!$I$6:$I$35,"&gt;0",⑪ZEN工程入力!$M$6:$M$35,"&gt;0")+SUMIFS(⑫ミキサー工程入力!$I$6:$I$65,⑫ミキサー工程入力!$S$6:$S$65,$J52,⑫ミキサー工程入力!$I$6:$I$65,"&gt;0",⑫ミキサー工程入力!$M$6:$M$65,"&gt;0")+SUMIFS(⑬計量工程入力!$I$6:$I$65,⑬計量工程入力!$S$6:$S$65,$J52,⑬計量工程入力!$I$6:$I$65,"&gt;0",⑬計量工程入力!$M$6:$M$65,"&gt;0")+SUMIFS(⑭手動工程入力!$I$6:$I$47,⑭手動工程入力!$S$6:$S$47,$J52,⑭手動工程入力!$I$6:$I$47,"&gt;0",⑭手動工程入力!$M$6:$M$47,"&gt;0"))</f>
        <v/>
      </c>
      <c r="N52" s="393">
        <f>IF($J52="",0,SUMIFS(②釜工程入力!$M$5:$M$117,②釜工程入力!$S$5:$S$117,$J52,②釜工程入力!$J$5:$J$117,"&gt;0")-SUMIFS(②釜工程入力!$M$5:$M$117,②釜工程入力!$S$5:$S$117,$J52,②釜工程入力!$J$5:$J$117,"&gt;0",②釜工程入力!$I$5:$I$117,"&gt;0")+SUMIFS(③スチコン工程入力!$M$5:$M$152,③スチコン工程入力!$S$5:$S$152,$J52,③スチコン工程入力!$J$5:$J$152,"&gt;0")-SUMIFS(③スチコン工程入力!$M$5:$M$152,③スチコン工程入力!$S$5:$S$152,$J52,③スチコン工程入力!$J$5:$J$152,"&gt;0",③スチコン工程入力!$I$5:$I$152,"&gt;0")+SUMIFS(⑪ZEN工程入力!$M$6:$M$35,⑪ZEN工程入力!$S$6:$S$35,$J52,⑪ZEN工程入力!$J$6:$J$35,"&gt;0")-SUMIFS(⑪ZEN工程入力!$M$6:$M$35,⑪ZEN工程入力!$S$6:$S$35,$J52,⑪ZEN工程入力!$J$6:$J$35,"&gt;0",⑪ZEN工程入力!$I$6:$I$35,"&gt;0")+SUMIFS(⑫ミキサー工程入力!$M$6:$M$65,⑫ミキサー工程入力!$S$6:$S$65,$J52,⑫ミキサー工程入力!$J$6:$J$65,"&gt;0")-SUMIFS(⑫ミキサー工程入力!$M$6:$M$65,⑫ミキサー工程入力!$S$6:$S$65,$J52,⑫ミキサー工程入力!$J$6:$J$65,"&gt;0",⑫ミキサー工程入力!$I$6:$I$65,"&gt;0")+SUMIFS(⑬計量工程入力!$M$6:$M$65,⑬計量工程入力!$S$6:$S$65,$J52,⑬計量工程入力!$J$6:$J$65,"&gt;0")-SUMIFS(⑬計量工程入力!$M$6:$M$65,⑬計量工程入力!$S$6:$S$65,$J52,⑬計量工程入力!$J$6:$J$65,"&gt;0",⑬計量工程入力!$I$6:$I$65,"&gt;0")+SUMIFS(⑭手動工程入力!$M$6:$M$47,⑭手動工程入力!$S$6:$S$47,$J52,⑭手動工程入力!$J$6:$J$47,"&gt;0")-SUMIFS(⑭手動工程入力!$M$6:$M$47,⑭手動工程入力!$S$6:$S$47,$J52,⑭手動工程入力!$J$6:$J$47,"&gt;0",⑭手動工程入力!$I$6:$I$47,"&gt;0"))</f>
        <v/>
      </c>
      <c r="O52" s="393">
        <f>IF($J52="",0,SUMIFS(②釜工程入力!$J$5:$J$117,②釜工程入力!$S$5:$S$117,$J52,②釜工程入力!$J$5:$J$117,"&gt;0",②釜工程入力!$M$5:$M$117,"&gt;0")-SUMIFS(②釜工程入力!$J$5:$J$117,②釜工程入力!$S$5:$S$117,$J52,②釜工程入力!$J$5:$J$117,"&gt;0",②釜工程入力!$I$5:$I$117,"&gt;0",②釜工程入力!$M$5:$M$117,"&gt;0")+SUMIFS(③スチコン工程入力!$J$5:$J$152,③スチコン工程入力!$S$5:$S$152,$J52,③スチコン工程入力!$J$5:$J$152,"&gt;0",③スチコン工程入力!$M$5:$M$152,"&gt;0")-SUMIFS(③スチコン工程入力!$J$5:$J$152,③スチコン工程入力!$S$5:$S$152,$J52,③スチコン工程入力!$J$5:$J$152,"&gt;0",③スチコン工程入力!$I$5:$I$152,"&gt;0",③スチコン工程入力!$M$5:$M$152,"&gt;0")+SUMIFS(⑪ZEN工程入力!$J$6:$J$35,⑪ZEN工程入力!$S$6:$S$35,$J52,⑪ZEN工程入力!$J$6:$J$35,"&gt;0",⑪ZEN工程入力!$M$6:$M$35,"&gt;0")-SUMIFS(⑪ZEN工程入力!$J$6:$J$35,⑪ZEN工程入力!$S$6:$S$35,$J52,⑪ZEN工程入力!$J$6:$J$35,"&gt;0",⑪ZEN工程入力!$I$6:$I$35,"&gt;0",⑪ZEN工程入力!$M$6:$M$35,"&gt;0")+SUMIFS(⑫ミキサー工程入力!$J$6:$J$65,⑫ミキサー工程入力!$S$6:$S$65,$J52,⑫ミキサー工程入力!$J$6:$J$65,"&gt;0",⑫ミキサー工程入力!$M$6:$M$65,"&gt;0")-SUMIFS(⑫ミキサー工程入力!$J$6:$J$65,⑫ミキサー工程入力!$S$6:$S$65,$J52,⑫ミキサー工程入力!$J$6:$J$65,"&gt;0",⑫ミキサー工程入力!$I$6:$I$65,"&gt;0",⑫ミキサー工程入力!$M$6:$M$65,"&gt;0")+SUMIFS(⑬計量工程入力!$J$6:$J$65,⑬計量工程入力!$S$6:$S$65,$J52,⑬計量工程入力!$J$6:$J$65,"&gt;0",⑬計量工程入力!$M$6:$M$65,"&gt;0")-SUMIFS(⑬計量工程入力!$J$6:$J$65,⑬計量工程入力!$S$6:$S$65,$J52,⑬計量工程入力!$J$6:$J$65,"&gt;0",⑬計量工程入力!$I$6:$I$65,"&gt;0",⑬計量工程入力!$M$6:$M$65,"&gt;0")+SUMIFS(⑭手動工程入力!$J$6:$J$47,⑭手動工程入力!$S$6:$S$47,$J52,⑭手動工程入力!$J$6:$J$47,"&gt;0",⑭手動工程入力!$M$6:$M$47,"&gt;0")-SUMIFS(⑭手動工程入力!$J$6:$J$47,⑭手動工程入力!$S$6:$S$47,$J52,⑭手動工程入力!$J$6:$J$47,"&gt;0",⑭手動工程入力!$I$6:$I$47,"&gt;0",⑭手動工程入力!$M$6:$M$47,"&gt;0"))</f>
        <v/>
      </c>
      <c r="P52" s="392" t="n"/>
    </row>
    <row r="53">
      <c r="A53" s="392" t="n">
        <v>49</v>
      </c>
      <c r="B53" s="392" t="n"/>
      <c r="C53" s="392" t="n"/>
      <c r="D53" s="392" t="n"/>
      <c r="E53" s="392" t="n"/>
      <c r="F53" s="394" t="n"/>
      <c r="G53" s="392" t="n"/>
      <c r="H53" s="604">
        <f>IFERROR(IF(AND($K53&gt;0,ISNUMBER(IF(OR($D53="g",$D53="ｇ"),IF($M53&gt;0,$L53/$M53/1000,""),IF($D53="kg",IF($M53&gt;0,$L53/$M53,""),IF($D53="",IF($M53&gt;0,$L53/$M53/1000,IF($O53&gt;0,$N53/$O53,"")),IF($O53&gt;0,$N53/$O53,"")))))),IF(OR($D53="g",$D53="ｇ"),IF($M53&gt;0,$L53/$M53/1000,""),IF($D53="kg",IF($M53&gt;0,$L53/$M53,""),IF($D53="",IF($M53&gt;0,$L53/$M53/1000,IF($O53&gt;0,$N53/$O53,"")),IF($O53&gt;0,$N53/$O53,"")))),IF($F53="",IF(OR($E53="",$E53="⑩盛付梱包工程入力"),"",IF(OR($D53="g",$D53="ｇ"),INDEX(⑰工程労務費一覧!$N$5:$N$11,MATCH($E53,⑰工程労務費一覧!$K$5:$K$11,0))/1000,IF($D53="kg",INDEX(⑰工程労務費一覧!$N$5:$N$11,MATCH($E53,⑰工程労務費一覧!$K$5:$K$11,0)),IF(OR($D53="個",$D53="切",$D53="本",$D53="枚",$D53="尾"),IF($E53="⑬計量工程入力","",INDEX(⑰工程労務費一覧!$P$5:$P$11,MATCH($E53,⑰工程労務費一覧!$K$5:$K$11,0))),IF(AND($D53="",OR($E53="②釜工程入力",$E53="③スチコン工程入力")),INDEX(⑰工程労務費一覧!$N$5:$N$11,MATCH($E53,⑰工程労務費一覧!$K$5:$K$11,0))/1000,""))))),IF(OR($D53="g",$D53="ｇ"),INDEX(⑰工程労務費一覧!$H$5:$H$753,MATCH($F53,⑰工程労務費一覧!$D$5:$D$753,0))/1000,IF($D53="kg",INDEX(⑰工程労務費一覧!$H$5:$H$753,MATCH($F53,⑰工程労務費一覧!$D$5:$D$753,0)),INDEX(⑰工程労務費一覧!$I$5:$I$753,MATCH($F53,⑰工程労務費一覧!$D$5:$D$753,0)))))),"")</f>
        <v/>
      </c>
      <c r="I53" s="392">
        <f>IF($K53&gt;0,IF(ISNUMBER(IF(OR($D53="g",$D53="ｇ"),IF($M53&gt;0,$L53/$M53/1000,""),IF($D53="kg",IF($M53&gt;0,$L53/$M53,""),IF($D53="",IF($M53&gt;0,$L53/$M53/1000,IF($O53&gt;0,$N53/$O53,"")),IF($O53&gt;0,$N53/$O53,""))))),IF($D53="",IF($M53&gt;0,"◎ JAN紐づけ(g扱い)","◎ JAN紐づけ(個扱い)"),"◎ JAN紐づけ"),"△ JAN紐づけ済・実績不足→仮計算"),IF($F53="",IF(ISNUMBER($H53),IF($D53="","⑤ 工程平均で仮計算(g扱い)","⑤ 工程平均で仮計算"),IF($E53="⑩盛付梱包工程入力","⑥ 盛り込み(⑳F列で計上)",IF(AND($E53="⑬計量工程入力",OR($D53="個",$D53="切",$D53="本",$D53="枚",$D53="尾")),"① 未紐づけ(カット個単位は仮単価なし)","① 未紐づけ"))),IF(NOT(ISNUMBER($H53)),"② 工程側に単価なし",IF($D53="","③ 単位未設定(個で計算)","④ OK"))))</f>
        <v/>
      </c>
      <c r="J53" s="399">
        <f>IFERROR(LOOKUP(2,1/((中間品リスト!$F$2:$F$1299=$B53)*(中間品リスト!$E$2:$E$1299&lt;&gt;"-")*(中間品リスト!$E$2:$E$1299&lt;&gt;"")),中間品リスト!$E$2:$E$1299),"")</f>
        <v/>
      </c>
      <c r="K53" s="400">
        <f>IF($J53="",0,COUNTIF(②釜工程入力!$S$5:$S$117,$J53)+COUNTIF(③スチコン工程入力!$S$5:$S$152,$J53)+COUNTIF(⑪ZEN工程入力!$S$6:$S$35,$J53)+COUNTIF(⑫ミキサー工程入力!$S$6:$S$65,$J53)+COUNTIF(⑬計量工程入力!$S$6:$S$65,$J53)+COUNTIF(⑭手動工程入力!$S$6:$S$47,$J53))</f>
        <v/>
      </c>
      <c r="L53" s="393">
        <f>IF($J53="",0,SUMIFS(②釜工程入力!$M$5:$M$117,②釜工程入力!$S$5:$S$117,$J53,②釜工程入力!$I$5:$I$117,"&gt;0")+SUMIFS(③スチコン工程入力!$M$5:$M$152,③スチコン工程入力!$S$5:$S$152,$J53,③スチコン工程入力!$I$5:$I$152,"&gt;0")+SUMIFS(⑪ZEN工程入力!$M$6:$M$35,⑪ZEN工程入力!$S$6:$S$35,$J53,⑪ZEN工程入力!$I$6:$I$35,"&gt;0")+SUMIFS(⑫ミキサー工程入力!$M$6:$M$65,⑫ミキサー工程入力!$S$6:$S$65,$J53,⑫ミキサー工程入力!$I$6:$I$65,"&gt;0")+SUMIFS(⑬計量工程入力!$M$6:$M$65,⑬計量工程入力!$S$6:$S$65,$J53,⑬計量工程入力!$I$6:$I$65,"&gt;0")+SUMIFS(⑭手動工程入力!$M$6:$M$47,⑭手動工程入力!$S$6:$S$47,$J53,⑭手動工程入力!$I$6:$I$47,"&gt;0"))</f>
        <v/>
      </c>
      <c r="M53" s="393">
        <f>IF($J53="",0,SUMIFS(②釜工程入力!$I$5:$I$117,②釜工程入力!$S$5:$S$117,$J53,②釜工程入力!$I$5:$I$117,"&gt;0",②釜工程入力!$M$5:$M$117,"&gt;0")+SUMIFS(③スチコン工程入力!$I$5:$I$152,③スチコン工程入力!$S$5:$S$152,$J53,③スチコン工程入力!$I$5:$I$152,"&gt;0",③スチコン工程入力!$M$5:$M$152,"&gt;0")+SUMIFS(⑪ZEN工程入力!$I$6:$I$35,⑪ZEN工程入力!$S$6:$S$35,$J53,⑪ZEN工程入力!$I$6:$I$35,"&gt;0",⑪ZEN工程入力!$M$6:$M$35,"&gt;0")+SUMIFS(⑫ミキサー工程入力!$I$6:$I$65,⑫ミキサー工程入力!$S$6:$S$65,$J53,⑫ミキサー工程入力!$I$6:$I$65,"&gt;0",⑫ミキサー工程入力!$M$6:$M$65,"&gt;0")+SUMIFS(⑬計量工程入力!$I$6:$I$65,⑬計量工程入力!$S$6:$S$65,$J53,⑬計量工程入力!$I$6:$I$65,"&gt;0",⑬計量工程入力!$M$6:$M$65,"&gt;0")+SUMIFS(⑭手動工程入力!$I$6:$I$47,⑭手動工程入力!$S$6:$S$47,$J53,⑭手動工程入力!$I$6:$I$47,"&gt;0",⑭手動工程入力!$M$6:$M$47,"&gt;0"))</f>
        <v/>
      </c>
      <c r="N53" s="393">
        <f>IF($J53="",0,SUMIFS(②釜工程入力!$M$5:$M$117,②釜工程入力!$S$5:$S$117,$J53,②釜工程入力!$J$5:$J$117,"&gt;0")-SUMIFS(②釜工程入力!$M$5:$M$117,②釜工程入力!$S$5:$S$117,$J53,②釜工程入力!$J$5:$J$117,"&gt;0",②釜工程入力!$I$5:$I$117,"&gt;0")+SUMIFS(③スチコン工程入力!$M$5:$M$152,③スチコン工程入力!$S$5:$S$152,$J53,③スチコン工程入力!$J$5:$J$152,"&gt;0")-SUMIFS(③スチコン工程入力!$M$5:$M$152,③スチコン工程入力!$S$5:$S$152,$J53,③スチコン工程入力!$J$5:$J$152,"&gt;0",③スチコン工程入力!$I$5:$I$152,"&gt;0")+SUMIFS(⑪ZEN工程入力!$M$6:$M$35,⑪ZEN工程入力!$S$6:$S$35,$J53,⑪ZEN工程入力!$J$6:$J$35,"&gt;0")-SUMIFS(⑪ZEN工程入力!$M$6:$M$35,⑪ZEN工程入力!$S$6:$S$35,$J53,⑪ZEN工程入力!$J$6:$J$35,"&gt;0",⑪ZEN工程入力!$I$6:$I$35,"&gt;0")+SUMIFS(⑫ミキサー工程入力!$M$6:$M$65,⑫ミキサー工程入力!$S$6:$S$65,$J53,⑫ミキサー工程入力!$J$6:$J$65,"&gt;0")-SUMIFS(⑫ミキサー工程入力!$M$6:$M$65,⑫ミキサー工程入力!$S$6:$S$65,$J53,⑫ミキサー工程入力!$J$6:$J$65,"&gt;0",⑫ミキサー工程入力!$I$6:$I$65,"&gt;0")+SUMIFS(⑬計量工程入力!$M$6:$M$65,⑬計量工程入力!$S$6:$S$65,$J53,⑬計量工程入力!$J$6:$J$65,"&gt;0")-SUMIFS(⑬計量工程入力!$M$6:$M$65,⑬計量工程入力!$S$6:$S$65,$J53,⑬計量工程入力!$J$6:$J$65,"&gt;0",⑬計量工程入力!$I$6:$I$65,"&gt;0")+SUMIFS(⑭手動工程入力!$M$6:$M$47,⑭手動工程入力!$S$6:$S$47,$J53,⑭手動工程入力!$J$6:$J$47,"&gt;0")-SUMIFS(⑭手動工程入力!$M$6:$M$47,⑭手動工程入力!$S$6:$S$47,$J53,⑭手動工程入力!$J$6:$J$47,"&gt;0",⑭手動工程入力!$I$6:$I$47,"&gt;0"))</f>
        <v/>
      </c>
      <c r="O53" s="393">
        <f>IF($J53="",0,SUMIFS(②釜工程入力!$J$5:$J$117,②釜工程入力!$S$5:$S$117,$J53,②釜工程入力!$J$5:$J$117,"&gt;0",②釜工程入力!$M$5:$M$117,"&gt;0")-SUMIFS(②釜工程入力!$J$5:$J$117,②釜工程入力!$S$5:$S$117,$J53,②釜工程入力!$J$5:$J$117,"&gt;0",②釜工程入力!$I$5:$I$117,"&gt;0",②釜工程入力!$M$5:$M$117,"&gt;0")+SUMIFS(③スチコン工程入力!$J$5:$J$152,③スチコン工程入力!$S$5:$S$152,$J53,③スチコン工程入力!$J$5:$J$152,"&gt;0",③スチコン工程入力!$M$5:$M$152,"&gt;0")-SUMIFS(③スチコン工程入力!$J$5:$J$152,③スチコン工程入力!$S$5:$S$152,$J53,③スチコン工程入力!$J$5:$J$152,"&gt;0",③スチコン工程入力!$I$5:$I$152,"&gt;0",③スチコン工程入力!$M$5:$M$152,"&gt;0")+SUMIFS(⑪ZEN工程入力!$J$6:$J$35,⑪ZEN工程入力!$S$6:$S$35,$J53,⑪ZEN工程入力!$J$6:$J$35,"&gt;0",⑪ZEN工程入力!$M$6:$M$35,"&gt;0")-SUMIFS(⑪ZEN工程入力!$J$6:$J$35,⑪ZEN工程入力!$S$6:$S$35,$J53,⑪ZEN工程入力!$J$6:$J$35,"&gt;0",⑪ZEN工程入力!$I$6:$I$35,"&gt;0",⑪ZEN工程入力!$M$6:$M$35,"&gt;0")+SUMIFS(⑫ミキサー工程入力!$J$6:$J$65,⑫ミキサー工程入力!$S$6:$S$65,$J53,⑫ミキサー工程入力!$J$6:$J$65,"&gt;0",⑫ミキサー工程入力!$M$6:$M$65,"&gt;0")-SUMIFS(⑫ミキサー工程入力!$J$6:$J$65,⑫ミキサー工程入力!$S$6:$S$65,$J53,⑫ミキサー工程入力!$J$6:$J$65,"&gt;0",⑫ミキサー工程入力!$I$6:$I$65,"&gt;0",⑫ミキサー工程入力!$M$6:$M$65,"&gt;0")+SUMIFS(⑬計量工程入力!$J$6:$J$65,⑬計量工程入力!$S$6:$S$65,$J53,⑬計量工程入力!$J$6:$J$65,"&gt;0",⑬計量工程入力!$M$6:$M$65,"&gt;0")-SUMIFS(⑬計量工程入力!$J$6:$J$65,⑬計量工程入力!$S$6:$S$65,$J53,⑬計量工程入力!$J$6:$J$65,"&gt;0",⑬計量工程入力!$I$6:$I$65,"&gt;0",⑬計量工程入力!$M$6:$M$65,"&gt;0")+SUMIFS(⑭手動工程入力!$J$6:$J$47,⑭手動工程入力!$S$6:$S$47,$J53,⑭手動工程入力!$J$6:$J$47,"&gt;0",⑭手動工程入力!$M$6:$M$47,"&gt;0")-SUMIFS(⑭手動工程入力!$J$6:$J$47,⑭手動工程入力!$S$6:$S$47,$J53,⑭手動工程入力!$J$6:$J$47,"&gt;0",⑭手動工程入力!$I$6:$I$47,"&gt;0",⑭手動工程入力!$M$6:$M$47,"&gt;0"))</f>
        <v/>
      </c>
      <c r="P53" s="392" t="n"/>
    </row>
    <row r="54">
      <c r="A54" s="392" t="n">
        <v>50</v>
      </c>
      <c r="B54" s="392" t="n"/>
      <c r="C54" s="392" t="n"/>
      <c r="D54" s="392" t="n"/>
      <c r="E54" s="392" t="n"/>
      <c r="F54" s="394" t="n"/>
      <c r="G54" s="392" t="n"/>
      <c r="H54" s="604">
        <f>IFERROR(IF(AND($K54&gt;0,ISNUMBER(IF(OR($D54="g",$D54="ｇ"),IF($M54&gt;0,$L54/$M54/1000,""),IF($D54="kg",IF($M54&gt;0,$L54/$M54,""),IF($D54="",IF($M54&gt;0,$L54/$M54/1000,IF($O54&gt;0,$N54/$O54,"")),IF($O54&gt;0,$N54/$O54,"")))))),IF(OR($D54="g",$D54="ｇ"),IF($M54&gt;0,$L54/$M54/1000,""),IF($D54="kg",IF($M54&gt;0,$L54/$M54,""),IF($D54="",IF($M54&gt;0,$L54/$M54/1000,IF($O54&gt;0,$N54/$O54,"")),IF($O54&gt;0,$N54/$O54,"")))),IF($F54="",IF(OR($E54="",$E54="⑩盛付梱包工程入力"),"",IF(OR($D54="g",$D54="ｇ"),INDEX(⑰工程労務費一覧!$N$5:$N$11,MATCH($E54,⑰工程労務費一覧!$K$5:$K$11,0))/1000,IF($D54="kg",INDEX(⑰工程労務費一覧!$N$5:$N$11,MATCH($E54,⑰工程労務費一覧!$K$5:$K$11,0)),IF(OR($D54="個",$D54="切",$D54="本",$D54="枚",$D54="尾"),IF($E54="⑬計量工程入力","",INDEX(⑰工程労務費一覧!$P$5:$P$11,MATCH($E54,⑰工程労務費一覧!$K$5:$K$11,0))),IF(AND($D54="",OR($E54="②釜工程入力",$E54="③スチコン工程入力")),INDEX(⑰工程労務費一覧!$N$5:$N$11,MATCH($E54,⑰工程労務費一覧!$K$5:$K$11,0))/1000,""))))),IF(OR($D54="g",$D54="ｇ"),INDEX(⑰工程労務費一覧!$H$5:$H$753,MATCH($F54,⑰工程労務費一覧!$D$5:$D$753,0))/1000,IF($D54="kg",INDEX(⑰工程労務費一覧!$H$5:$H$753,MATCH($F54,⑰工程労務費一覧!$D$5:$D$753,0)),INDEX(⑰工程労務費一覧!$I$5:$I$753,MATCH($F54,⑰工程労務費一覧!$D$5:$D$753,0)))))),"")</f>
        <v/>
      </c>
      <c r="I54" s="392">
        <f>IF($K54&gt;0,IF(ISNUMBER(IF(OR($D54="g",$D54="ｇ"),IF($M54&gt;0,$L54/$M54/1000,""),IF($D54="kg",IF($M54&gt;0,$L54/$M54,""),IF($D54="",IF($M54&gt;0,$L54/$M54/1000,IF($O54&gt;0,$N54/$O54,"")),IF($O54&gt;0,$N54/$O54,""))))),IF($D54="",IF($M54&gt;0,"◎ JAN紐づけ(g扱い)","◎ JAN紐づけ(個扱い)"),"◎ JAN紐づけ"),"△ JAN紐づけ済・実績不足→仮計算"),IF($F54="",IF(ISNUMBER($H54),IF($D54="","⑤ 工程平均で仮計算(g扱い)","⑤ 工程平均で仮計算"),IF($E54="⑩盛付梱包工程入力","⑥ 盛り込み(⑳F列で計上)",IF(AND($E54="⑬計量工程入力",OR($D54="個",$D54="切",$D54="本",$D54="枚",$D54="尾")),"① 未紐づけ(カット個単位は仮単価なし)","① 未紐づけ"))),IF(NOT(ISNUMBER($H54)),"② 工程側に単価なし",IF($D54="","③ 単位未設定(個で計算)","④ OK"))))</f>
        <v/>
      </c>
      <c r="J54" s="399">
        <f>IFERROR(LOOKUP(2,1/((中間品リスト!$F$2:$F$1299=$B54)*(中間品リスト!$E$2:$E$1299&lt;&gt;"-")*(中間品リスト!$E$2:$E$1299&lt;&gt;"")),中間品リスト!$E$2:$E$1299),"")</f>
        <v/>
      </c>
      <c r="K54" s="400">
        <f>IF($J54="",0,COUNTIF(②釜工程入力!$S$5:$S$117,$J54)+COUNTIF(③スチコン工程入力!$S$5:$S$152,$J54)+COUNTIF(⑪ZEN工程入力!$S$6:$S$35,$J54)+COUNTIF(⑫ミキサー工程入力!$S$6:$S$65,$J54)+COUNTIF(⑬計量工程入力!$S$6:$S$65,$J54)+COUNTIF(⑭手動工程入力!$S$6:$S$47,$J54))</f>
        <v/>
      </c>
      <c r="L54" s="393">
        <f>IF($J54="",0,SUMIFS(②釜工程入力!$M$5:$M$117,②釜工程入力!$S$5:$S$117,$J54,②釜工程入力!$I$5:$I$117,"&gt;0")+SUMIFS(③スチコン工程入力!$M$5:$M$152,③スチコン工程入力!$S$5:$S$152,$J54,③スチコン工程入力!$I$5:$I$152,"&gt;0")+SUMIFS(⑪ZEN工程入力!$M$6:$M$35,⑪ZEN工程入力!$S$6:$S$35,$J54,⑪ZEN工程入力!$I$6:$I$35,"&gt;0")+SUMIFS(⑫ミキサー工程入力!$M$6:$M$65,⑫ミキサー工程入力!$S$6:$S$65,$J54,⑫ミキサー工程入力!$I$6:$I$65,"&gt;0")+SUMIFS(⑬計量工程入力!$M$6:$M$65,⑬計量工程入力!$S$6:$S$65,$J54,⑬計量工程入力!$I$6:$I$65,"&gt;0")+SUMIFS(⑭手動工程入力!$M$6:$M$47,⑭手動工程入力!$S$6:$S$47,$J54,⑭手動工程入力!$I$6:$I$47,"&gt;0"))</f>
        <v/>
      </c>
      <c r="M54" s="393">
        <f>IF($J54="",0,SUMIFS(②釜工程入力!$I$5:$I$117,②釜工程入力!$S$5:$S$117,$J54,②釜工程入力!$I$5:$I$117,"&gt;0",②釜工程入力!$M$5:$M$117,"&gt;0")+SUMIFS(③スチコン工程入力!$I$5:$I$152,③スチコン工程入力!$S$5:$S$152,$J54,③スチコン工程入力!$I$5:$I$152,"&gt;0",③スチコン工程入力!$M$5:$M$152,"&gt;0")+SUMIFS(⑪ZEN工程入力!$I$6:$I$35,⑪ZEN工程入力!$S$6:$S$35,$J54,⑪ZEN工程入力!$I$6:$I$35,"&gt;0",⑪ZEN工程入力!$M$6:$M$35,"&gt;0")+SUMIFS(⑫ミキサー工程入力!$I$6:$I$65,⑫ミキサー工程入力!$S$6:$S$65,$J54,⑫ミキサー工程入力!$I$6:$I$65,"&gt;0",⑫ミキサー工程入力!$M$6:$M$65,"&gt;0")+SUMIFS(⑬計量工程入力!$I$6:$I$65,⑬計量工程入力!$S$6:$S$65,$J54,⑬計量工程入力!$I$6:$I$65,"&gt;0",⑬計量工程入力!$M$6:$M$65,"&gt;0")+SUMIFS(⑭手動工程入力!$I$6:$I$47,⑭手動工程入力!$S$6:$S$47,$J54,⑭手動工程入力!$I$6:$I$47,"&gt;0",⑭手動工程入力!$M$6:$M$47,"&gt;0"))</f>
        <v/>
      </c>
      <c r="N54" s="393">
        <f>IF($J54="",0,SUMIFS(②釜工程入力!$M$5:$M$117,②釜工程入力!$S$5:$S$117,$J54,②釜工程入力!$J$5:$J$117,"&gt;0")-SUMIFS(②釜工程入力!$M$5:$M$117,②釜工程入力!$S$5:$S$117,$J54,②釜工程入力!$J$5:$J$117,"&gt;0",②釜工程入力!$I$5:$I$117,"&gt;0")+SUMIFS(③スチコン工程入力!$M$5:$M$152,③スチコン工程入力!$S$5:$S$152,$J54,③スチコン工程入力!$J$5:$J$152,"&gt;0")-SUMIFS(③スチコン工程入力!$M$5:$M$152,③スチコン工程入力!$S$5:$S$152,$J54,③スチコン工程入力!$J$5:$J$152,"&gt;0",③スチコン工程入力!$I$5:$I$152,"&gt;0")+SUMIFS(⑪ZEN工程入力!$M$6:$M$35,⑪ZEN工程入力!$S$6:$S$35,$J54,⑪ZEN工程入力!$J$6:$J$35,"&gt;0")-SUMIFS(⑪ZEN工程入力!$M$6:$M$35,⑪ZEN工程入力!$S$6:$S$35,$J54,⑪ZEN工程入力!$J$6:$J$35,"&gt;0",⑪ZEN工程入力!$I$6:$I$35,"&gt;0")+SUMIFS(⑫ミキサー工程入力!$M$6:$M$65,⑫ミキサー工程入力!$S$6:$S$65,$J54,⑫ミキサー工程入力!$J$6:$J$65,"&gt;0")-SUMIFS(⑫ミキサー工程入力!$M$6:$M$65,⑫ミキサー工程入力!$S$6:$S$65,$J54,⑫ミキサー工程入力!$J$6:$J$65,"&gt;0",⑫ミキサー工程入力!$I$6:$I$65,"&gt;0")+SUMIFS(⑬計量工程入力!$M$6:$M$65,⑬計量工程入力!$S$6:$S$65,$J54,⑬計量工程入力!$J$6:$J$65,"&gt;0")-SUMIFS(⑬計量工程入力!$M$6:$M$65,⑬計量工程入力!$S$6:$S$65,$J54,⑬計量工程入力!$J$6:$J$65,"&gt;0",⑬計量工程入力!$I$6:$I$65,"&gt;0")+SUMIFS(⑭手動工程入力!$M$6:$M$47,⑭手動工程入力!$S$6:$S$47,$J54,⑭手動工程入力!$J$6:$J$47,"&gt;0")-SUMIFS(⑭手動工程入力!$M$6:$M$47,⑭手動工程入力!$S$6:$S$47,$J54,⑭手動工程入力!$J$6:$J$47,"&gt;0",⑭手動工程入力!$I$6:$I$47,"&gt;0"))</f>
        <v/>
      </c>
      <c r="O54" s="393">
        <f>IF($J54="",0,SUMIFS(②釜工程入力!$J$5:$J$117,②釜工程入力!$S$5:$S$117,$J54,②釜工程入力!$J$5:$J$117,"&gt;0",②釜工程入力!$M$5:$M$117,"&gt;0")-SUMIFS(②釜工程入力!$J$5:$J$117,②釜工程入力!$S$5:$S$117,$J54,②釜工程入力!$J$5:$J$117,"&gt;0",②釜工程入力!$I$5:$I$117,"&gt;0",②釜工程入力!$M$5:$M$117,"&gt;0")+SUMIFS(③スチコン工程入力!$J$5:$J$152,③スチコン工程入力!$S$5:$S$152,$J54,③スチコン工程入力!$J$5:$J$152,"&gt;0",③スチコン工程入力!$M$5:$M$152,"&gt;0")-SUMIFS(③スチコン工程入力!$J$5:$J$152,③スチコン工程入力!$S$5:$S$152,$J54,③スチコン工程入力!$J$5:$J$152,"&gt;0",③スチコン工程入力!$I$5:$I$152,"&gt;0",③スチコン工程入力!$M$5:$M$152,"&gt;0")+SUMIFS(⑪ZEN工程入力!$J$6:$J$35,⑪ZEN工程入力!$S$6:$S$35,$J54,⑪ZEN工程入力!$J$6:$J$35,"&gt;0",⑪ZEN工程入力!$M$6:$M$35,"&gt;0")-SUMIFS(⑪ZEN工程入力!$J$6:$J$35,⑪ZEN工程入力!$S$6:$S$35,$J54,⑪ZEN工程入力!$J$6:$J$35,"&gt;0",⑪ZEN工程入力!$I$6:$I$35,"&gt;0",⑪ZEN工程入力!$M$6:$M$35,"&gt;0")+SUMIFS(⑫ミキサー工程入力!$J$6:$J$65,⑫ミキサー工程入力!$S$6:$S$65,$J54,⑫ミキサー工程入力!$J$6:$J$65,"&gt;0",⑫ミキサー工程入力!$M$6:$M$65,"&gt;0")-SUMIFS(⑫ミキサー工程入力!$J$6:$J$65,⑫ミキサー工程入力!$S$6:$S$65,$J54,⑫ミキサー工程入力!$J$6:$J$65,"&gt;0",⑫ミキサー工程入力!$I$6:$I$65,"&gt;0",⑫ミキサー工程入力!$M$6:$M$65,"&gt;0")+SUMIFS(⑬計量工程入力!$J$6:$J$65,⑬計量工程入力!$S$6:$S$65,$J54,⑬計量工程入力!$J$6:$J$65,"&gt;0",⑬計量工程入力!$M$6:$M$65,"&gt;0")-SUMIFS(⑬計量工程入力!$J$6:$J$65,⑬計量工程入力!$S$6:$S$65,$J54,⑬計量工程入力!$J$6:$J$65,"&gt;0",⑬計量工程入力!$I$6:$I$65,"&gt;0",⑬計量工程入力!$M$6:$M$65,"&gt;0")+SUMIFS(⑭手動工程入力!$J$6:$J$47,⑭手動工程入力!$S$6:$S$47,$J54,⑭手動工程入力!$J$6:$J$47,"&gt;0",⑭手動工程入力!$M$6:$M$47,"&gt;0")-SUMIFS(⑭手動工程入力!$J$6:$J$47,⑭手動工程入力!$S$6:$S$47,$J54,⑭手動工程入力!$J$6:$J$47,"&gt;0",⑭手動工程入力!$I$6:$I$47,"&gt;0",⑭手動工程入力!$M$6:$M$47,"&gt;0"))</f>
        <v/>
      </c>
      <c r="P54" s="392" t="n"/>
    </row>
    <row r="55">
      <c r="A55" s="392" t="n">
        <v>51</v>
      </c>
      <c r="B55" s="392" t="n"/>
      <c r="C55" s="392" t="n"/>
      <c r="D55" s="392" t="n"/>
      <c r="E55" s="392" t="n"/>
      <c r="F55" s="394" t="n"/>
      <c r="G55" s="392" t="n"/>
      <c r="H55" s="604">
        <f>IFERROR(IF(AND($K55&gt;0,ISNUMBER(IF(OR($D55="g",$D55="ｇ"),IF($M55&gt;0,$L55/$M55/1000,""),IF($D55="kg",IF($M55&gt;0,$L55/$M55,""),IF($D55="",IF($M55&gt;0,$L55/$M55/1000,IF($O55&gt;0,$N55/$O55,"")),IF($O55&gt;0,$N55/$O55,"")))))),IF(OR($D55="g",$D55="ｇ"),IF($M55&gt;0,$L55/$M55/1000,""),IF($D55="kg",IF($M55&gt;0,$L55/$M55,""),IF($D55="",IF($M55&gt;0,$L55/$M55/1000,IF($O55&gt;0,$N55/$O55,"")),IF($O55&gt;0,$N55/$O55,"")))),IF($F55="",IF(OR($E55="",$E55="⑩盛付梱包工程入力"),"",IF(OR($D55="g",$D55="ｇ"),INDEX(⑰工程労務費一覧!$N$5:$N$11,MATCH($E55,⑰工程労務費一覧!$K$5:$K$11,0))/1000,IF($D55="kg",INDEX(⑰工程労務費一覧!$N$5:$N$11,MATCH($E55,⑰工程労務費一覧!$K$5:$K$11,0)),IF(OR($D55="個",$D55="切",$D55="本",$D55="枚",$D55="尾"),IF($E55="⑬計量工程入力","",INDEX(⑰工程労務費一覧!$P$5:$P$11,MATCH($E55,⑰工程労務費一覧!$K$5:$K$11,0))),IF(AND($D55="",OR($E55="②釜工程入力",$E55="③スチコン工程入力")),INDEX(⑰工程労務費一覧!$N$5:$N$11,MATCH($E55,⑰工程労務費一覧!$K$5:$K$11,0))/1000,""))))),IF(OR($D55="g",$D55="ｇ"),INDEX(⑰工程労務費一覧!$H$5:$H$753,MATCH($F55,⑰工程労務費一覧!$D$5:$D$753,0))/1000,IF($D55="kg",INDEX(⑰工程労務費一覧!$H$5:$H$753,MATCH($F55,⑰工程労務費一覧!$D$5:$D$753,0)),INDEX(⑰工程労務費一覧!$I$5:$I$753,MATCH($F55,⑰工程労務費一覧!$D$5:$D$753,0)))))),"")</f>
        <v/>
      </c>
      <c r="I55" s="392">
        <f>IF($K55&gt;0,IF(ISNUMBER(IF(OR($D55="g",$D55="ｇ"),IF($M55&gt;0,$L55/$M55/1000,""),IF($D55="kg",IF($M55&gt;0,$L55/$M55,""),IF($D55="",IF($M55&gt;0,$L55/$M55/1000,IF($O55&gt;0,$N55/$O55,"")),IF($O55&gt;0,$N55/$O55,""))))),IF($D55="",IF($M55&gt;0,"◎ JAN紐づけ(g扱い)","◎ JAN紐づけ(個扱い)"),"◎ JAN紐づけ"),"△ JAN紐づけ済・実績不足→仮計算"),IF($F55="",IF(ISNUMBER($H55),IF($D55="","⑤ 工程平均で仮計算(g扱い)","⑤ 工程平均で仮計算"),IF($E55="⑩盛付梱包工程入力","⑥ 盛り込み(⑳F列で計上)",IF(AND($E55="⑬計量工程入力",OR($D55="個",$D55="切",$D55="本",$D55="枚",$D55="尾")),"① 未紐づけ(カット個単位は仮単価なし)","① 未紐づけ"))),IF(NOT(ISNUMBER($H55)),"② 工程側に単価なし",IF($D55="","③ 単位未設定(個で計算)","④ OK"))))</f>
        <v/>
      </c>
      <c r="J55" s="399">
        <f>IFERROR(LOOKUP(2,1/((中間品リスト!$F$2:$F$1299=$B55)*(中間品リスト!$E$2:$E$1299&lt;&gt;"-")*(中間品リスト!$E$2:$E$1299&lt;&gt;"")),中間品リスト!$E$2:$E$1299),"")</f>
        <v/>
      </c>
      <c r="K55" s="400">
        <f>IF($J55="",0,COUNTIF(②釜工程入力!$S$5:$S$117,$J55)+COUNTIF(③スチコン工程入力!$S$5:$S$152,$J55)+COUNTIF(⑪ZEN工程入力!$S$6:$S$35,$J55)+COUNTIF(⑫ミキサー工程入力!$S$6:$S$65,$J55)+COUNTIF(⑬計量工程入力!$S$6:$S$65,$J55)+COUNTIF(⑭手動工程入力!$S$6:$S$47,$J55))</f>
        <v/>
      </c>
      <c r="L55" s="393">
        <f>IF($J55="",0,SUMIFS(②釜工程入力!$M$5:$M$117,②釜工程入力!$S$5:$S$117,$J55,②釜工程入力!$I$5:$I$117,"&gt;0")+SUMIFS(③スチコン工程入力!$M$5:$M$152,③スチコン工程入力!$S$5:$S$152,$J55,③スチコン工程入力!$I$5:$I$152,"&gt;0")+SUMIFS(⑪ZEN工程入力!$M$6:$M$35,⑪ZEN工程入力!$S$6:$S$35,$J55,⑪ZEN工程入力!$I$6:$I$35,"&gt;0")+SUMIFS(⑫ミキサー工程入力!$M$6:$M$65,⑫ミキサー工程入力!$S$6:$S$65,$J55,⑫ミキサー工程入力!$I$6:$I$65,"&gt;0")+SUMIFS(⑬計量工程入力!$M$6:$M$65,⑬計量工程入力!$S$6:$S$65,$J55,⑬計量工程入力!$I$6:$I$65,"&gt;0")+SUMIFS(⑭手動工程入力!$M$6:$M$47,⑭手動工程入力!$S$6:$S$47,$J55,⑭手動工程入力!$I$6:$I$47,"&gt;0"))</f>
        <v/>
      </c>
      <c r="M55" s="393">
        <f>IF($J55="",0,SUMIFS(②釜工程入力!$I$5:$I$117,②釜工程入力!$S$5:$S$117,$J55,②釜工程入力!$I$5:$I$117,"&gt;0",②釜工程入力!$M$5:$M$117,"&gt;0")+SUMIFS(③スチコン工程入力!$I$5:$I$152,③スチコン工程入力!$S$5:$S$152,$J55,③スチコン工程入力!$I$5:$I$152,"&gt;0",③スチコン工程入力!$M$5:$M$152,"&gt;0")+SUMIFS(⑪ZEN工程入力!$I$6:$I$35,⑪ZEN工程入力!$S$6:$S$35,$J55,⑪ZEN工程入力!$I$6:$I$35,"&gt;0",⑪ZEN工程入力!$M$6:$M$35,"&gt;0")+SUMIFS(⑫ミキサー工程入力!$I$6:$I$65,⑫ミキサー工程入力!$S$6:$S$65,$J55,⑫ミキサー工程入力!$I$6:$I$65,"&gt;0",⑫ミキサー工程入力!$M$6:$M$65,"&gt;0")+SUMIFS(⑬計量工程入力!$I$6:$I$65,⑬計量工程入力!$S$6:$S$65,$J55,⑬計量工程入力!$I$6:$I$65,"&gt;0",⑬計量工程入力!$M$6:$M$65,"&gt;0")+SUMIFS(⑭手動工程入力!$I$6:$I$47,⑭手動工程入力!$S$6:$S$47,$J55,⑭手動工程入力!$I$6:$I$47,"&gt;0",⑭手動工程入力!$M$6:$M$47,"&gt;0"))</f>
        <v/>
      </c>
      <c r="N55" s="393">
        <f>IF($J55="",0,SUMIFS(②釜工程入力!$M$5:$M$117,②釜工程入力!$S$5:$S$117,$J55,②釜工程入力!$J$5:$J$117,"&gt;0")-SUMIFS(②釜工程入力!$M$5:$M$117,②釜工程入力!$S$5:$S$117,$J55,②釜工程入力!$J$5:$J$117,"&gt;0",②釜工程入力!$I$5:$I$117,"&gt;0")+SUMIFS(③スチコン工程入力!$M$5:$M$152,③スチコン工程入力!$S$5:$S$152,$J55,③スチコン工程入力!$J$5:$J$152,"&gt;0")-SUMIFS(③スチコン工程入力!$M$5:$M$152,③スチコン工程入力!$S$5:$S$152,$J55,③スチコン工程入力!$J$5:$J$152,"&gt;0",③スチコン工程入力!$I$5:$I$152,"&gt;0")+SUMIFS(⑪ZEN工程入力!$M$6:$M$35,⑪ZEN工程入力!$S$6:$S$35,$J55,⑪ZEN工程入力!$J$6:$J$35,"&gt;0")-SUMIFS(⑪ZEN工程入力!$M$6:$M$35,⑪ZEN工程入力!$S$6:$S$35,$J55,⑪ZEN工程入力!$J$6:$J$35,"&gt;0",⑪ZEN工程入力!$I$6:$I$35,"&gt;0")+SUMIFS(⑫ミキサー工程入力!$M$6:$M$65,⑫ミキサー工程入力!$S$6:$S$65,$J55,⑫ミキサー工程入力!$J$6:$J$65,"&gt;0")-SUMIFS(⑫ミキサー工程入力!$M$6:$M$65,⑫ミキサー工程入力!$S$6:$S$65,$J55,⑫ミキサー工程入力!$J$6:$J$65,"&gt;0",⑫ミキサー工程入力!$I$6:$I$65,"&gt;0")+SUMIFS(⑬計量工程入力!$M$6:$M$65,⑬計量工程入力!$S$6:$S$65,$J55,⑬計量工程入力!$J$6:$J$65,"&gt;0")-SUMIFS(⑬計量工程入力!$M$6:$M$65,⑬計量工程入力!$S$6:$S$65,$J55,⑬計量工程入力!$J$6:$J$65,"&gt;0",⑬計量工程入力!$I$6:$I$65,"&gt;0")+SUMIFS(⑭手動工程入力!$M$6:$M$47,⑭手動工程入力!$S$6:$S$47,$J55,⑭手動工程入力!$J$6:$J$47,"&gt;0")-SUMIFS(⑭手動工程入力!$M$6:$M$47,⑭手動工程入力!$S$6:$S$47,$J55,⑭手動工程入力!$J$6:$J$47,"&gt;0",⑭手動工程入力!$I$6:$I$47,"&gt;0"))</f>
        <v/>
      </c>
      <c r="O55" s="393">
        <f>IF($J55="",0,SUMIFS(②釜工程入力!$J$5:$J$117,②釜工程入力!$S$5:$S$117,$J55,②釜工程入力!$J$5:$J$117,"&gt;0",②釜工程入力!$M$5:$M$117,"&gt;0")-SUMIFS(②釜工程入力!$J$5:$J$117,②釜工程入力!$S$5:$S$117,$J55,②釜工程入力!$J$5:$J$117,"&gt;0",②釜工程入力!$I$5:$I$117,"&gt;0",②釜工程入力!$M$5:$M$117,"&gt;0")+SUMIFS(③スチコン工程入力!$J$5:$J$152,③スチコン工程入力!$S$5:$S$152,$J55,③スチコン工程入力!$J$5:$J$152,"&gt;0",③スチコン工程入力!$M$5:$M$152,"&gt;0")-SUMIFS(③スチコン工程入力!$J$5:$J$152,③スチコン工程入力!$S$5:$S$152,$J55,③スチコン工程入力!$J$5:$J$152,"&gt;0",③スチコン工程入力!$I$5:$I$152,"&gt;0",③スチコン工程入力!$M$5:$M$152,"&gt;0")+SUMIFS(⑪ZEN工程入力!$J$6:$J$35,⑪ZEN工程入力!$S$6:$S$35,$J55,⑪ZEN工程入力!$J$6:$J$35,"&gt;0",⑪ZEN工程入力!$M$6:$M$35,"&gt;0")-SUMIFS(⑪ZEN工程入力!$J$6:$J$35,⑪ZEN工程入力!$S$6:$S$35,$J55,⑪ZEN工程入力!$J$6:$J$35,"&gt;0",⑪ZEN工程入力!$I$6:$I$35,"&gt;0",⑪ZEN工程入力!$M$6:$M$35,"&gt;0")+SUMIFS(⑫ミキサー工程入力!$J$6:$J$65,⑫ミキサー工程入力!$S$6:$S$65,$J55,⑫ミキサー工程入力!$J$6:$J$65,"&gt;0",⑫ミキサー工程入力!$M$6:$M$65,"&gt;0")-SUMIFS(⑫ミキサー工程入力!$J$6:$J$65,⑫ミキサー工程入力!$S$6:$S$65,$J55,⑫ミキサー工程入力!$J$6:$J$65,"&gt;0",⑫ミキサー工程入力!$I$6:$I$65,"&gt;0",⑫ミキサー工程入力!$M$6:$M$65,"&gt;0")+SUMIFS(⑬計量工程入力!$J$6:$J$65,⑬計量工程入力!$S$6:$S$65,$J55,⑬計量工程入力!$J$6:$J$65,"&gt;0",⑬計量工程入力!$M$6:$M$65,"&gt;0")-SUMIFS(⑬計量工程入力!$J$6:$J$65,⑬計量工程入力!$S$6:$S$65,$J55,⑬計量工程入力!$J$6:$J$65,"&gt;0",⑬計量工程入力!$I$6:$I$65,"&gt;0",⑬計量工程入力!$M$6:$M$65,"&gt;0")+SUMIFS(⑭手動工程入力!$J$6:$J$47,⑭手動工程入力!$S$6:$S$47,$J55,⑭手動工程入力!$J$6:$J$47,"&gt;0",⑭手動工程入力!$M$6:$M$47,"&gt;0")-SUMIFS(⑭手動工程入力!$J$6:$J$47,⑭手動工程入力!$S$6:$S$47,$J55,⑭手動工程入力!$J$6:$J$47,"&gt;0",⑭手動工程入力!$I$6:$I$47,"&gt;0",⑭手動工程入力!$M$6:$M$47,"&gt;0"))</f>
        <v/>
      </c>
      <c r="P55" s="392" t="n"/>
    </row>
    <row r="56">
      <c r="A56" s="392" t="n">
        <v>52</v>
      </c>
      <c r="B56" s="392" t="n"/>
      <c r="C56" s="392" t="n"/>
      <c r="D56" s="392" t="n"/>
      <c r="E56" s="392" t="n"/>
      <c r="F56" s="394" t="n"/>
      <c r="G56" s="392" t="n"/>
      <c r="H56" s="604">
        <f>IFERROR(IF(AND($K56&gt;0,ISNUMBER(IF(OR($D56="g",$D56="ｇ"),IF($M56&gt;0,$L56/$M56/1000,""),IF($D56="kg",IF($M56&gt;0,$L56/$M56,""),IF($D56="",IF($M56&gt;0,$L56/$M56/1000,IF($O56&gt;0,$N56/$O56,"")),IF($O56&gt;0,$N56/$O56,"")))))),IF(OR($D56="g",$D56="ｇ"),IF($M56&gt;0,$L56/$M56/1000,""),IF($D56="kg",IF($M56&gt;0,$L56/$M56,""),IF($D56="",IF($M56&gt;0,$L56/$M56/1000,IF($O56&gt;0,$N56/$O56,"")),IF($O56&gt;0,$N56/$O56,"")))),IF($F56="",IF(OR($E56="",$E56="⑩盛付梱包工程入力"),"",IF(OR($D56="g",$D56="ｇ"),INDEX(⑰工程労務費一覧!$N$5:$N$11,MATCH($E56,⑰工程労務費一覧!$K$5:$K$11,0))/1000,IF($D56="kg",INDEX(⑰工程労務費一覧!$N$5:$N$11,MATCH($E56,⑰工程労務費一覧!$K$5:$K$11,0)),IF(OR($D56="個",$D56="切",$D56="本",$D56="枚",$D56="尾"),IF($E56="⑬計量工程入力","",INDEX(⑰工程労務費一覧!$P$5:$P$11,MATCH($E56,⑰工程労務費一覧!$K$5:$K$11,0))),IF(AND($D56="",OR($E56="②釜工程入力",$E56="③スチコン工程入力")),INDEX(⑰工程労務費一覧!$N$5:$N$11,MATCH($E56,⑰工程労務費一覧!$K$5:$K$11,0))/1000,""))))),IF(OR($D56="g",$D56="ｇ"),INDEX(⑰工程労務費一覧!$H$5:$H$753,MATCH($F56,⑰工程労務費一覧!$D$5:$D$753,0))/1000,IF($D56="kg",INDEX(⑰工程労務費一覧!$H$5:$H$753,MATCH($F56,⑰工程労務費一覧!$D$5:$D$753,0)),INDEX(⑰工程労務費一覧!$I$5:$I$753,MATCH($F56,⑰工程労務費一覧!$D$5:$D$753,0)))))),"")</f>
        <v/>
      </c>
      <c r="I56" s="392">
        <f>IF($K56&gt;0,IF(ISNUMBER(IF(OR($D56="g",$D56="ｇ"),IF($M56&gt;0,$L56/$M56/1000,""),IF($D56="kg",IF($M56&gt;0,$L56/$M56,""),IF($D56="",IF($M56&gt;0,$L56/$M56/1000,IF($O56&gt;0,$N56/$O56,"")),IF($O56&gt;0,$N56/$O56,""))))),IF($D56="",IF($M56&gt;0,"◎ JAN紐づけ(g扱い)","◎ JAN紐づけ(個扱い)"),"◎ JAN紐づけ"),"△ JAN紐づけ済・実績不足→仮計算"),IF($F56="",IF(ISNUMBER($H56),IF($D56="","⑤ 工程平均で仮計算(g扱い)","⑤ 工程平均で仮計算"),IF($E56="⑩盛付梱包工程入力","⑥ 盛り込み(⑳F列で計上)",IF(AND($E56="⑬計量工程入力",OR($D56="個",$D56="切",$D56="本",$D56="枚",$D56="尾")),"① 未紐づけ(カット個単位は仮単価なし)","① 未紐づけ"))),IF(NOT(ISNUMBER($H56)),"② 工程側に単価なし",IF($D56="","③ 単位未設定(個で計算)","④ OK"))))</f>
        <v/>
      </c>
      <c r="J56" s="399">
        <f>IFERROR(LOOKUP(2,1/((中間品リスト!$F$2:$F$1299=$B56)*(中間品リスト!$E$2:$E$1299&lt;&gt;"-")*(中間品リスト!$E$2:$E$1299&lt;&gt;"")),中間品リスト!$E$2:$E$1299),"")</f>
        <v/>
      </c>
      <c r="K56" s="400">
        <f>IF($J56="",0,COUNTIF(②釜工程入力!$S$5:$S$117,$J56)+COUNTIF(③スチコン工程入力!$S$5:$S$152,$J56)+COUNTIF(⑪ZEN工程入力!$S$6:$S$35,$J56)+COUNTIF(⑫ミキサー工程入力!$S$6:$S$65,$J56)+COUNTIF(⑬計量工程入力!$S$6:$S$65,$J56)+COUNTIF(⑭手動工程入力!$S$6:$S$47,$J56))</f>
        <v/>
      </c>
      <c r="L56" s="393">
        <f>IF($J56="",0,SUMIFS(②釜工程入力!$M$5:$M$117,②釜工程入力!$S$5:$S$117,$J56,②釜工程入力!$I$5:$I$117,"&gt;0")+SUMIFS(③スチコン工程入力!$M$5:$M$152,③スチコン工程入力!$S$5:$S$152,$J56,③スチコン工程入力!$I$5:$I$152,"&gt;0")+SUMIFS(⑪ZEN工程入力!$M$6:$M$35,⑪ZEN工程入力!$S$6:$S$35,$J56,⑪ZEN工程入力!$I$6:$I$35,"&gt;0")+SUMIFS(⑫ミキサー工程入力!$M$6:$M$65,⑫ミキサー工程入力!$S$6:$S$65,$J56,⑫ミキサー工程入力!$I$6:$I$65,"&gt;0")+SUMIFS(⑬計量工程入力!$M$6:$M$65,⑬計量工程入力!$S$6:$S$65,$J56,⑬計量工程入力!$I$6:$I$65,"&gt;0")+SUMIFS(⑭手動工程入力!$M$6:$M$47,⑭手動工程入力!$S$6:$S$47,$J56,⑭手動工程入力!$I$6:$I$47,"&gt;0"))</f>
        <v/>
      </c>
      <c r="M56" s="393">
        <f>IF($J56="",0,SUMIFS(②釜工程入力!$I$5:$I$117,②釜工程入力!$S$5:$S$117,$J56,②釜工程入力!$I$5:$I$117,"&gt;0",②釜工程入力!$M$5:$M$117,"&gt;0")+SUMIFS(③スチコン工程入力!$I$5:$I$152,③スチコン工程入力!$S$5:$S$152,$J56,③スチコン工程入力!$I$5:$I$152,"&gt;0",③スチコン工程入力!$M$5:$M$152,"&gt;0")+SUMIFS(⑪ZEN工程入力!$I$6:$I$35,⑪ZEN工程入力!$S$6:$S$35,$J56,⑪ZEN工程入力!$I$6:$I$35,"&gt;0",⑪ZEN工程入力!$M$6:$M$35,"&gt;0")+SUMIFS(⑫ミキサー工程入力!$I$6:$I$65,⑫ミキサー工程入力!$S$6:$S$65,$J56,⑫ミキサー工程入力!$I$6:$I$65,"&gt;0",⑫ミキサー工程入力!$M$6:$M$65,"&gt;0")+SUMIFS(⑬計量工程入力!$I$6:$I$65,⑬計量工程入力!$S$6:$S$65,$J56,⑬計量工程入力!$I$6:$I$65,"&gt;0",⑬計量工程入力!$M$6:$M$65,"&gt;0")+SUMIFS(⑭手動工程入力!$I$6:$I$47,⑭手動工程入力!$S$6:$S$47,$J56,⑭手動工程入力!$I$6:$I$47,"&gt;0",⑭手動工程入力!$M$6:$M$47,"&gt;0"))</f>
        <v/>
      </c>
      <c r="N56" s="393">
        <f>IF($J56="",0,SUMIFS(②釜工程入力!$M$5:$M$117,②釜工程入力!$S$5:$S$117,$J56,②釜工程入力!$J$5:$J$117,"&gt;0")-SUMIFS(②釜工程入力!$M$5:$M$117,②釜工程入力!$S$5:$S$117,$J56,②釜工程入力!$J$5:$J$117,"&gt;0",②釜工程入力!$I$5:$I$117,"&gt;0")+SUMIFS(③スチコン工程入力!$M$5:$M$152,③スチコン工程入力!$S$5:$S$152,$J56,③スチコン工程入力!$J$5:$J$152,"&gt;0")-SUMIFS(③スチコン工程入力!$M$5:$M$152,③スチコン工程入力!$S$5:$S$152,$J56,③スチコン工程入力!$J$5:$J$152,"&gt;0",③スチコン工程入力!$I$5:$I$152,"&gt;0")+SUMIFS(⑪ZEN工程入力!$M$6:$M$35,⑪ZEN工程入力!$S$6:$S$35,$J56,⑪ZEN工程入力!$J$6:$J$35,"&gt;0")-SUMIFS(⑪ZEN工程入力!$M$6:$M$35,⑪ZEN工程入力!$S$6:$S$35,$J56,⑪ZEN工程入力!$J$6:$J$35,"&gt;0",⑪ZEN工程入力!$I$6:$I$35,"&gt;0")+SUMIFS(⑫ミキサー工程入力!$M$6:$M$65,⑫ミキサー工程入力!$S$6:$S$65,$J56,⑫ミキサー工程入力!$J$6:$J$65,"&gt;0")-SUMIFS(⑫ミキサー工程入力!$M$6:$M$65,⑫ミキサー工程入力!$S$6:$S$65,$J56,⑫ミキサー工程入力!$J$6:$J$65,"&gt;0",⑫ミキサー工程入力!$I$6:$I$65,"&gt;0")+SUMIFS(⑬計量工程入力!$M$6:$M$65,⑬計量工程入力!$S$6:$S$65,$J56,⑬計量工程入力!$J$6:$J$65,"&gt;0")-SUMIFS(⑬計量工程入力!$M$6:$M$65,⑬計量工程入力!$S$6:$S$65,$J56,⑬計量工程入力!$J$6:$J$65,"&gt;0",⑬計量工程入力!$I$6:$I$65,"&gt;0")+SUMIFS(⑭手動工程入力!$M$6:$M$47,⑭手動工程入力!$S$6:$S$47,$J56,⑭手動工程入力!$J$6:$J$47,"&gt;0")-SUMIFS(⑭手動工程入力!$M$6:$M$47,⑭手動工程入力!$S$6:$S$47,$J56,⑭手動工程入力!$J$6:$J$47,"&gt;0",⑭手動工程入力!$I$6:$I$47,"&gt;0"))</f>
        <v/>
      </c>
      <c r="O56" s="393">
        <f>IF($J56="",0,SUMIFS(②釜工程入力!$J$5:$J$117,②釜工程入力!$S$5:$S$117,$J56,②釜工程入力!$J$5:$J$117,"&gt;0",②釜工程入力!$M$5:$M$117,"&gt;0")-SUMIFS(②釜工程入力!$J$5:$J$117,②釜工程入力!$S$5:$S$117,$J56,②釜工程入力!$J$5:$J$117,"&gt;0",②釜工程入力!$I$5:$I$117,"&gt;0",②釜工程入力!$M$5:$M$117,"&gt;0")+SUMIFS(③スチコン工程入力!$J$5:$J$152,③スチコン工程入力!$S$5:$S$152,$J56,③スチコン工程入力!$J$5:$J$152,"&gt;0",③スチコン工程入力!$M$5:$M$152,"&gt;0")-SUMIFS(③スチコン工程入力!$J$5:$J$152,③スチコン工程入力!$S$5:$S$152,$J56,③スチコン工程入力!$J$5:$J$152,"&gt;0",③スチコン工程入力!$I$5:$I$152,"&gt;0",③スチコン工程入力!$M$5:$M$152,"&gt;0")+SUMIFS(⑪ZEN工程入力!$J$6:$J$35,⑪ZEN工程入力!$S$6:$S$35,$J56,⑪ZEN工程入力!$J$6:$J$35,"&gt;0",⑪ZEN工程入力!$M$6:$M$35,"&gt;0")-SUMIFS(⑪ZEN工程入力!$J$6:$J$35,⑪ZEN工程入力!$S$6:$S$35,$J56,⑪ZEN工程入力!$J$6:$J$35,"&gt;0",⑪ZEN工程入力!$I$6:$I$35,"&gt;0",⑪ZEN工程入力!$M$6:$M$35,"&gt;0")+SUMIFS(⑫ミキサー工程入力!$J$6:$J$65,⑫ミキサー工程入力!$S$6:$S$65,$J56,⑫ミキサー工程入力!$J$6:$J$65,"&gt;0",⑫ミキサー工程入力!$M$6:$M$65,"&gt;0")-SUMIFS(⑫ミキサー工程入力!$J$6:$J$65,⑫ミキサー工程入力!$S$6:$S$65,$J56,⑫ミキサー工程入力!$J$6:$J$65,"&gt;0",⑫ミキサー工程入力!$I$6:$I$65,"&gt;0",⑫ミキサー工程入力!$M$6:$M$65,"&gt;0")+SUMIFS(⑬計量工程入力!$J$6:$J$65,⑬計量工程入力!$S$6:$S$65,$J56,⑬計量工程入力!$J$6:$J$65,"&gt;0",⑬計量工程入力!$M$6:$M$65,"&gt;0")-SUMIFS(⑬計量工程入力!$J$6:$J$65,⑬計量工程入力!$S$6:$S$65,$J56,⑬計量工程入力!$J$6:$J$65,"&gt;0",⑬計量工程入力!$I$6:$I$65,"&gt;0",⑬計量工程入力!$M$6:$M$65,"&gt;0")+SUMIFS(⑭手動工程入力!$J$6:$J$47,⑭手動工程入力!$S$6:$S$47,$J56,⑭手動工程入力!$J$6:$J$47,"&gt;0",⑭手動工程入力!$M$6:$M$47,"&gt;0")-SUMIFS(⑭手動工程入力!$J$6:$J$47,⑭手動工程入力!$S$6:$S$47,$J56,⑭手動工程入力!$J$6:$J$47,"&gt;0",⑭手動工程入力!$I$6:$I$47,"&gt;0",⑭手動工程入力!$M$6:$M$47,"&gt;0"))</f>
        <v/>
      </c>
      <c r="P56" s="392" t="n"/>
    </row>
    <row r="57">
      <c r="A57" s="392" t="n">
        <v>53</v>
      </c>
      <c r="B57" s="392" t="n"/>
      <c r="C57" s="392" t="n"/>
      <c r="D57" s="392" t="n"/>
      <c r="E57" s="392" t="n"/>
      <c r="F57" s="394" t="n"/>
      <c r="G57" s="392" t="n"/>
      <c r="H57" s="604">
        <f>IFERROR(IF(AND($K57&gt;0,ISNUMBER(IF(OR($D57="g",$D57="ｇ"),IF($M57&gt;0,$L57/$M57/1000,""),IF($D57="kg",IF($M57&gt;0,$L57/$M57,""),IF($D57="",IF($M57&gt;0,$L57/$M57/1000,IF($O57&gt;0,$N57/$O57,"")),IF($O57&gt;0,$N57/$O57,"")))))),IF(OR($D57="g",$D57="ｇ"),IF($M57&gt;0,$L57/$M57/1000,""),IF($D57="kg",IF($M57&gt;0,$L57/$M57,""),IF($D57="",IF($M57&gt;0,$L57/$M57/1000,IF($O57&gt;0,$N57/$O57,"")),IF($O57&gt;0,$N57/$O57,"")))),IF($F57="",IF(OR($E57="",$E57="⑩盛付梱包工程入力"),"",IF(OR($D57="g",$D57="ｇ"),INDEX(⑰工程労務費一覧!$N$5:$N$11,MATCH($E57,⑰工程労務費一覧!$K$5:$K$11,0))/1000,IF($D57="kg",INDEX(⑰工程労務費一覧!$N$5:$N$11,MATCH($E57,⑰工程労務費一覧!$K$5:$K$11,0)),IF(OR($D57="個",$D57="切",$D57="本",$D57="枚",$D57="尾"),IF($E57="⑬計量工程入力","",INDEX(⑰工程労務費一覧!$P$5:$P$11,MATCH($E57,⑰工程労務費一覧!$K$5:$K$11,0))),IF(AND($D57="",OR($E57="②釜工程入力",$E57="③スチコン工程入力")),INDEX(⑰工程労務費一覧!$N$5:$N$11,MATCH($E57,⑰工程労務費一覧!$K$5:$K$11,0))/1000,""))))),IF(OR($D57="g",$D57="ｇ"),INDEX(⑰工程労務費一覧!$H$5:$H$753,MATCH($F57,⑰工程労務費一覧!$D$5:$D$753,0))/1000,IF($D57="kg",INDEX(⑰工程労務費一覧!$H$5:$H$753,MATCH($F57,⑰工程労務費一覧!$D$5:$D$753,0)),INDEX(⑰工程労務費一覧!$I$5:$I$753,MATCH($F57,⑰工程労務費一覧!$D$5:$D$753,0)))))),"")</f>
        <v/>
      </c>
      <c r="I57" s="392">
        <f>IF($K57&gt;0,IF(ISNUMBER(IF(OR($D57="g",$D57="ｇ"),IF($M57&gt;0,$L57/$M57/1000,""),IF($D57="kg",IF($M57&gt;0,$L57/$M57,""),IF($D57="",IF($M57&gt;0,$L57/$M57/1000,IF($O57&gt;0,$N57/$O57,"")),IF($O57&gt;0,$N57/$O57,""))))),IF($D57="",IF($M57&gt;0,"◎ JAN紐づけ(g扱い)","◎ JAN紐づけ(個扱い)"),"◎ JAN紐づけ"),"△ JAN紐づけ済・実績不足→仮計算"),IF($F57="",IF(ISNUMBER($H57),IF($D57="","⑤ 工程平均で仮計算(g扱い)","⑤ 工程平均で仮計算"),IF($E57="⑩盛付梱包工程入力","⑥ 盛り込み(⑳F列で計上)",IF(AND($E57="⑬計量工程入力",OR($D57="個",$D57="切",$D57="本",$D57="枚",$D57="尾")),"① 未紐づけ(カット個単位は仮単価なし)","① 未紐づけ"))),IF(NOT(ISNUMBER($H57)),"② 工程側に単価なし",IF($D57="","③ 単位未設定(個で計算)","④ OK"))))</f>
        <v/>
      </c>
      <c r="J57" s="399">
        <f>IFERROR(LOOKUP(2,1/((中間品リスト!$F$2:$F$1299=$B57)*(中間品リスト!$E$2:$E$1299&lt;&gt;"-")*(中間品リスト!$E$2:$E$1299&lt;&gt;"")),中間品リスト!$E$2:$E$1299),"")</f>
        <v/>
      </c>
      <c r="K57" s="400">
        <f>IF($J57="",0,COUNTIF(②釜工程入力!$S$5:$S$117,$J57)+COUNTIF(③スチコン工程入力!$S$5:$S$152,$J57)+COUNTIF(⑪ZEN工程入力!$S$6:$S$35,$J57)+COUNTIF(⑫ミキサー工程入力!$S$6:$S$65,$J57)+COUNTIF(⑬計量工程入力!$S$6:$S$65,$J57)+COUNTIF(⑭手動工程入力!$S$6:$S$47,$J57))</f>
        <v/>
      </c>
      <c r="L57" s="393">
        <f>IF($J57="",0,SUMIFS(②釜工程入力!$M$5:$M$117,②釜工程入力!$S$5:$S$117,$J57,②釜工程入力!$I$5:$I$117,"&gt;0")+SUMIFS(③スチコン工程入力!$M$5:$M$152,③スチコン工程入力!$S$5:$S$152,$J57,③スチコン工程入力!$I$5:$I$152,"&gt;0")+SUMIFS(⑪ZEN工程入力!$M$6:$M$35,⑪ZEN工程入力!$S$6:$S$35,$J57,⑪ZEN工程入力!$I$6:$I$35,"&gt;0")+SUMIFS(⑫ミキサー工程入力!$M$6:$M$65,⑫ミキサー工程入力!$S$6:$S$65,$J57,⑫ミキサー工程入力!$I$6:$I$65,"&gt;0")+SUMIFS(⑬計量工程入力!$M$6:$M$65,⑬計量工程入力!$S$6:$S$65,$J57,⑬計量工程入力!$I$6:$I$65,"&gt;0")+SUMIFS(⑭手動工程入力!$M$6:$M$47,⑭手動工程入力!$S$6:$S$47,$J57,⑭手動工程入力!$I$6:$I$47,"&gt;0"))</f>
        <v/>
      </c>
      <c r="M57" s="393">
        <f>IF($J57="",0,SUMIFS(②釜工程入力!$I$5:$I$117,②釜工程入力!$S$5:$S$117,$J57,②釜工程入力!$I$5:$I$117,"&gt;0",②釜工程入力!$M$5:$M$117,"&gt;0")+SUMIFS(③スチコン工程入力!$I$5:$I$152,③スチコン工程入力!$S$5:$S$152,$J57,③スチコン工程入力!$I$5:$I$152,"&gt;0",③スチコン工程入力!$M$5:$M$152,"&gt;0")+SUMIFS(⑪ZEN工程入力!$I$6:$I$35,⑪ZEN工程入力!$S$6:$S$35,$J57,⑪ZEN工程入力!$I$6:$I$35,"&gt;0",⑪ZEN工程入力!$M$6:$M$35,"&gt;0")+SUMIFS(⑫ミキサー工程入力!$I$6:$I$65,⑫ミキサー工程入力!$S$6:$S$65,$J57,⑫ミキサー工程入力!$I$6:$I$65,"&gt;0",⑫ミキサー工程入力!$M$6:$M$65,"&gt;0")+SUMIFS(⑬計量工程入力!$I$6:$I$65,⑬計量工程入力!$S$6:$S$65,$J57,⑬計量工程入力!$I$6:$I$65,"&gt;0",⑬計量工程入力!$M$6:$M$65,"&gt;0")+SUMIFS(⑭手動工程入力!$I$6:$I$47,⑭手動工程入力!$S$6:$S$47,$J57,⑭手動工程入力!$I$6:$I$47,"&gt;0",⑭手動工程入力!$M$6:$M$47,"&gt;0"))</f>
        <v/>
      </c>
      <c r="N57" s="393">
        <f>IF($J57="",0,SUMIFS(②釜工程入力!$M$5:$M$117,②釜工程入力!$S$5:$S$117,$J57,②釜工程入力!$J$5:$J$117,"&gt;0")-SUMIFS(②釜工程入力!$M$5:$M$117,②釜工程入力!$S$5:$S$117,$J57,②釜工程入力!$J$5:$J$117,"&gt;0",②釜工程入力!$I$5:$I$117,"&gt;0")+SUMIFS(③スチコン工程入力!$M$5:$M$152,③スチコン工程入力!$S$5:$S$152,$J57,③スチコン工程入力!$J$5:$J$152,"&gt;0")-SUMIFS(③スチコン工程入力!$M$5:$M$152,③スチコン工程入力!$S$5:$S$152,$J57,③スチコン工程入力!$J$5:$J$152,"&gt;0",③スチコン工程入力!$I$5:$I$152,"&gt;0")+SUMIFS(⑪ZEN工程入力!$M$6:$M$35,⑪ZEN工程入力!$S$6:$S$35,$J57,⑪ZEN工程入力!$J$6:$J$35,"&gt;0")-SUMIFS(⑪ZEN工程入力!$M$6:$M$35,⑪ZEN工程入力!$S$6:$S$35,$J57,⑪ZEN工程入力!$J$6:$J$35,"&gt;0",⑪ZEN工程入力!$I$6:$I$35,"&gt;0")+SUMIFS(⑫ミキサー工程入力!$M$6:$M$65,⑫ミキサー工程入力!$S$6:$S$65,$J57,⑫ミキサー工程入力!$J$6:$J$65,"&gt;0")-SUMIFS(⑫ミキサー工程入力!$M$6:$M$65,⑫ミキサー工程入力!$S$6:$S$65,$J57,⑫ミキサー工程入力!$J$6:$J$65,"&gt;0",⑫ミキサー工程入力!$I$6:$I$65,"&gt;0")+SUMIFS(⑬計量工程入力!$M$6:$M$65,⑬計量工程入力!$S$6:$S$65,$J57,⑬計量工程入力!$J$6:$J$65,"&gt;0")-SUMIFS(⑬計量工程入力!$M$6:$M$65,⑬計量工程入力!$S$6:$S$65,$J57,⑬計量工程入力!$J$6:$J$65,"&gt;0",⑬計量工程入力!$I$6:$I$65,"&gt;0")+SUMIFS(⑭手動工程入力!$M$6:$M$47,⑭手動工程入力!$S$6:$S$47,$J57,⑭手動工程入力!$J$6:$J$47,"&gt;0")-SUMIFS(⑭手動工程入力!$M$6:$M$47,⑭手動工程入力!$S$6:$S$47,$J57,⑭手動工程入力!$J$6:$J$47,"&gt;0",⑭手動工程入力!$I$6:$I$47,"&gt;0"))</f>
        <v/>
      </c>
      <c r="O57" s="393">
        <f>IF($J57="",0,SUMIFS(②釜工程入力!$J$5:$J$117,②釜工程入力!$S$5:$S$117,$J57,②釜工程入力!$J$5:$J$117,"&gt;0",②釜工程入力!$M$5:$M$117,"&gt;0")-SUMIFS(②釜工程入力!$J$5:$J$117,②釜工程入力!$S$5:$S$117,$J57,②釜工程入力!$J$5:$J$117,"&gt;0",②釜工程入力!$I$5:$I$117,"&gt;0",②釜工程入力!$M$5:$M$117,"&gt;0")+SUMIFS(③スチコン工程入力!$J$5:$J$152,③スチコン工程入力!$S$5:$S$152,$J57,③スチコン工程入力!$J$5:$J$152,"&gt;0",③スチコン工程入力!$M$5:$M$152,"&gt;0")-SUMIFS(③スチコン工程入力!$J$5:$J$152,③スチコン工程入力!$S$5:$S$152,$J57,③スチコン工程入力!$J$5:$J$152,"&gt;0",③スチコン工程入力!$I$5:$I$152,"&gt;0",③スチコン工程入力!$M$5:$M$152,"&gt;0")+SUMIFS(⑪ZEN工程入力!$J$6:$J$35,⑪ZEN工程入力!$S$6:$S$35,$J57,⑪ZEN工程入力!$J$6:$J$35,"&gt;0",⑪ZEN工程入力!$M$6:$M$35,"&gt;0")-SUMIFS(⑪ZEN工程入力!$J$6:$J$35,⑪ZEN工程入力!$S$6:$S$35,$J57,⑪ZEN工程入力!$J$6:$J$35,"&gt;0",⑪ZEN工程入力!$I$6:$I$35,"&gt;0",⑪ZEN工程入力!$M$6:$M$35,"&gt;0")+SUMIFS(⑫ミキサー工程入力!$J$6:$J$65,⑫ミキサー工程入力!$S$6:$S$65,$J57,⑫ミキサー工程入力!$J$6:$J$65,"&gt;0",⑫ミキサー工程入力!$M$6:$M$65,"&gt;0")-SUMIFS(⑫ミキサー工程入力!$J$6:$J$65,⑫ミキサー工程入力!$S$6:$S$65,$J57,⑫ミキサー工程入力!$J$6:$J$65,"&gt;0",⑫ミキサー工程入力!$I$6:$I$65,"&gt;0",⑫ミキサー工程入力!$M$6:$M$65,"&gt;0")+SUMIFS(⑬計量工程入力!$J$6:$J$65,⑬計量工程入力!$S$6:$S$65,$J57,⑬計量工程入力!$J$6:$J$65,"&gt;0",⑬計量工程入力!$M$6:$M$65,"&gt;0")-SUMIFS(⑬計量工程入力!$J$6:$J$65,⑬計量工程入力!$S$6:$S$65,$J57,⑬計量工程入力!$J$6:$J$65,"&gt;0",⑬計量工程入力!$I$6:$I$65,"&gt;0",⑬計量工程入力!$M$6:$M$65,"&gt;0")+SUMIFS(⑭手動工程入力!$J$6:$J$47,⑭手動工程入力!$S$6:$S$47,$J57,⑭手動工程入力!$J$6:$J$47,"&gt;0",⑭手動工程入力!$M$6:$M$47,"&gt;0")-SUMIFS(⑭手動工程入力!$J$6:$J$47,⑭手動工程入力!$S$6:$S$47,$J57,⑭手動工程入力!$J$6:$J$47,"&gt;0",⑭手動工程入力!$I$6:$I$47,"&gt;0",⑭手動工程入力!$M$6:$M$47,"&gt;0"))</f>
        <v/>
      </c>
      <c r="P57" s="392" t="n"/>
    </row>
    <row r="58">
      <c r="A58" s="392" t="n">
        <v>54</v>
      </c>
      <c r="B58" s="392" t="n"/>
      <c r="C58" s="392" t="n"/>
      <c r="D58" s="392" t="n"/>
      <c r="E58" s="392" t="n"/>
      <c r="F58" s="394" t="n"/>
      <c r="G58" s="392" t="n"/>
      <c r="H58" s="604">
        <f>IFERROR(IF(AND($K58&gt;0,ISNUMBER(IF(OR($D58="g",$D58="ｇ"),IF($M58&gt;0,$L58/$M58/1000,""),IF($D58="kg",IF($M58&gt;0,$L58/$M58,""),IF($D58="",IF($M58&gt;0,$L58/$M58/1000,IF($O58&gt;0,$N58/$O58,"")),IF($O58&gt;0,$N58/$O58,"")))))),IF(OR($D58="g",$D58="ｇ"),IF($M58&gt;0,$L58/$M58/1000,""),IF($D58="kg",IF($M58&gt;0,$L58/$M58,""),IF($D58="",IF($M58&gt;0,$L58/$M58/1000,IF($O58&gt;0,$N58/$O58,"")),IF($O58&gt;0,$N58/$O58,"")))),IF($F58="",IF(OR($E58="",$E58="⑩盛付梱包工程入力"),"",IF(OR($D58="g",$D58="ｇ"),INDEX(⑰工程労務費一覧!$N$5:$N$11,MATCH($E58,⑰工程労務費一覧!$K$5:$K$11,0))/1000,IF($D58="kg",INDEX(⑰工程労務費一覧!$N$5:$N$11,MATCH($E58,⑰工程労務費一覧!$K$5:$K$11,0)),IF(OR($D58="個",$D58="切",$D58="本",$D58="枚",$D58="尾"),IF($E58="⑬計量工程入力","",INDEX(⑰工程労務費一覧!$P$5:$P$11,MATCH($E58,⑰工程労務費一覧!$K$5:$K$11,0))),IF(AND($D58="",OR($E58="②釜工程入力",$E58="③スチコン工程入力")),INDEX(⑰工程労務費一覧!$N$5:$N$11,MATCH($E58,⑰工程労務費一覧!$K$5:$K$11,0))/1000,""))))),IF(OR($D58="g",$D58="ｇ"),INDEX(⑰工程労務費一覧!$H$5:$H$753,MATCH($F58,⑰工程労務費一覧!$D$5:$D$753,0))/1000,IF($D58="kg",INDEX(⑰工程労務費一覧!$H$5:$H$753,MATCH($F58,⑰工程労務費一覧!$D$5:$D$753,0)),INDEX(⑰工程労務費一覧!$I$5:$I$753,MATCH($F58,⑰工程労務費一覧!$D$5:$D$753,0)))))),"")</f>
        <v/>
      </c>
      <c r="I58" s="392">
        <f>IF($K58&gt;0,IF(ISNUMBER(IF(OR($D58="g",$D58="ｇ"),IF($M58&gt;0,$L58/$M58/1000,""),IF($D58="kg",IF($M58&gt;0,$L58/$M58,""),IF($D58="",IF($M58&gt;0,$L58/$M58/1000,IF($O58&gt;0,$N58/$O58,"")),IF($O58&gt;0,$N58/$O58,""))))),IF($D58="",IF($M58&gt;0,"◎ JAN紐づけ(g扱い)","◎ JAN紐づけ(個扱い)"),"◎ JAN紐づけ"),"△ JAN紐づけ済・実績不足→仮計算"),IF($F58="",IF(ISNUMBER($H58),IF($D58="","⑤ 工程平均で仮計算(g扱い)","⑤ 工程平均で仮計算"),IF($E58="⑩盛付梱包工程入力","⑥ 盛り込み(⑳F列で計上)",IF(AND($E58="⑬計量工程入力",OR($D58="個",$D58="切",$D58="本",$D58="枚",$D58="尾")),"① 未紐づけ(カット個単位は仮単価なし)","① 未紐づけ"))),IF(NOT(ISNUMBER($H58)),"② 工程側に単価なし",IF($D58="","③ 単位未設定(個で計算)","④ OK"))))</f>
        <v/>
      </c>
      <c r="J58" s="399">
        <f>IFERROR(LOOKUP(2,1/((中間品リスト!$F$2:$F$1299=$B58)*(中間品リスト!$E$2:$E$1299&lt;&gt;"-")*(中間品リスト!$E$2:$E$1299&lt;&gt;"")),中間品リスト!$E$2:$E$1299),"")</f>
        <v/>
      </c>
      <c r="K58" s="400">
        <f>IF($J58="",0,COUNTIF(②釜工程入力!$S$5:$S$117,$J58)+COUNTIF(③スチコン工程入力!$S$5:$S$152,$J58)+COUNTIF(⑪ZEN工程入力!$S$6:$S$35,$J58)+COUNTIF(⑫ミキサー工程入力!$S$6:$S$65,$J58)+COUNTIF(⑬計量工程入力!$S$6:$S$65,$J58)+COUNTIF(⑭手動工程入力!$S$6:$S$47,$J58))</f>
        <v/>
      </c>
      <c r="L58" s="393">
        <f>IF($J58="",0,SUMIFS(②釜工程入力!$M$5:$M$117,②釜工程入力!$S$5:$S$117,$J58,②釜工程入力!$I$5:$I$117,"&gt;0")+SUMIFS(③スチコン工程入力!$M$5:$M$152,③スチコン工程入力!$S$5:$S$152,$J58,③スチコン工程入力!$I$5:$I$152,"&gt;0")+SUMIFS(⑪ZEN工程入力!$M$6:$M$35,⑪ZEN工程入力!$S$6:$S$35,$J58,⑪ZEN工程入力!$I$6:$I$35,"&gt;0")+SUMIFS(⑫ミキサー工程入力!$M$6:$M$65,⑫ミキサー工程入力!$S$6:$S$65,$J58,⑫ミキサー工程入力!$I$6:$I$65,"&gt;0")+SUMIFS(⑬計量工程入力!$M$6:$M$65,⑬計量工程入力!$S$6:$S$65,$J58,⑬計量工程入力!$I$6:$I$65,"&gt;0")+SUMIFS(⑭手動工程入力!$M$6:$M$47,⑭手動工程入力!$S$6:$S$47,$J58,⑭手動工程入力!$I$6:$I$47,"&gt;0"))</f>
        <v/>
      </c>
      <c r="M58" s="393">
        <f>IF($J58="",0,SUMIFS(②釜工程入力!$I$5:$I$117,②釜工程入力!$S$5:$S$117,$J58,②釜工程入力!$I$5:$I$117,"&gt;0",②釜工程入力!$M$5:$M$117,"&gt;0")+SUMIFS(③スチコン工程入力!$I$5:$I$152,③スチコン工程入力!$S$5:$S$152,$J58,③スチコン工程入力!$I$5:$I$152,"&gt;0",③スチコン工程入力!$M$5:$M$152,"&gt;0")+SUMIFS(⑪ZEN工程入力!$I$6:$I$35,⑪ZEN工程入力!$S$6:$S$35,$J58,⑪ZEN工程入力!$I$6:$I$35,"&gt;0",⑪ZEN工程入力!$M$6:$M$35,"&gt;0")+SUMIFS(⑫ミキサー工程入力!$I$6:$I$65,⑫ミキサー工程入力!$S$6:$S$65,$J58,⑫ミキサー工程入力!$I$6:$I$65,"&gt;0",⑫ミキサー工程入力!$M$6:$M$65,"&gt;0")+SUMIFS(⑬計量工程入力!$I$6:$I$65,⑬計量工程入力!$S$6:$S$65,$J58,⑬計量工程入力!$I$6:$I$65,"&gt;0",⑬計量工程入力!$M$6:$M$65,"&gt;0")+SUMIFS(⑭手動工程入力!$I$6:$I$47,⑭手動工程入力!$S$6:$S$47,$J58,⑭手動工程入力!$I$6:$I$47,"&gt;0",⑭手動工程入力!$M$6:$M$47,"&gt;0"))</f>
        <v/>
      </c>
      <c r="N58" s="393">
        <f>IF($J58="",0,SUMIFS(②釜工程入力!$M$5:$M$117,②釜工程入力!$S$5:$S$117,$J58,②釜工程入力!$J$5:$J$117,"&gt;0")-SUMIFS(②釜工程入力!$M$5:$M$117,②釜工程入力!$S$5:$S$117,$J58,②釜工程入力!$J$5:$J$117,"&gt;0",②釜工程入力!$I$5:$I$117,"&gt;0")+SUMIFS(③スチコン工程入力!$M$5:$M$152,③スチコン工程入力!$S$5:$S$152,$J58,③スチコン工程入力!$J$5:$J$152,"&gt;0")-SUMIFS(③スチコン工程入力!$M$5:$M$152,③スチコン工程入力!$S$5:$S$152,$J58,③スチコン工程入力!$J$5:$J$152,"&gt;0",③スチコン工程入力!$I$5:$I$152,"&gt;0")+SUMIFS(⑪ZEN工程入力!$M$6:$M$35,⑪ZEN工程入力!$S$6:$S$35,$J58,⑪ZEN工程入力!$J$6:$J$35,"&gt;0")-SUMIFS(⑪ZEN工程入力!$M$6:$M$35,⑪ZEN工程入力!$S$6:$S$35,$J58,⑪ZEN工程入力!$J$6:$J$35,"&gt;0",⑪ZEN工程入力!$I$6:$I$35,"&gt;0")+SUMIFS(⑫ミキサー工程入力!$M$6:$M$65,⑫ミキサー工程入力!$S$6:$S$65,$J58,⑫ミキサー工程入力!$J$6:$J$65,"&gt;0")-SUMIFS(⑫ミキサー工程入力!$M$6:$M$65,⑫ミキサー工程入力!$S$6:$S$65,$J58,⑫ミキサー工程入力!$J$6:$J$65,"&gt;0",⑫ミキサー工程入力!$I$6:$I$65,"&gt;0")+SUMIFS(⑬計量工程入力!$M$6:$M$65,⑬計量工程入力!$S$6:$S$65,$J58,⑬計量工程入力!$J$6:$J$65,"&gt;0")-SUMIFS(⑬計量工程入力!$M$6:$M$65,⑬計量工程入力!$S$6:$S$65,$J58,⑬計量工程入力!$J$6:$J$65,"&gt;0",⑬計量工程入力!$I$6:$I$65,"&gt;0")+SUMIFS(⑭手動工程入力!$M$6:$M$47,⑭手動工程入力!$S$6:$S$47,$J58,⑭手動工程入力!$J$6:$J$47,"&gt;0")-SUMIFS(⑭手動工程入力!$M$6:$M$47,⑭手動工程入力!$S$6:$S$47,$J58,⑭手動工程入力!$J$6:$J$47,"&gt;0",⑭手動工程入力!$I$6:$I$47,"&gt;0"))</f>
        <v/>
      </c>
      <c r="O58" s="393">
        <f>IF($J58="",0,SUMIFS(②釜工程入力!$J$5:$J$117,②釜工程入力!$S$5:$S$117,$J58,②釜工程入力!$J$5:$J$117,"&gt;0",②釜工程入力!$M$5:$M$117,"&gt;0")-SUMIFS(②釜工程入力!$J$5:$J$117,②釜工程入力!$S$5:$S$117,$J58,②釜工程入力!$J$5:$J$117,"&gt;0",②釜工程入力!$I$5:$I$117,"&gt;0",②釜工程入力!$M$5:$M$117,"&gt;0")+SUMIFS(③スチコン工程入力!$J$5:$J$152,③スチコン工程入力!$S$5:$S$152,$J58,③スチコン工程入力!$J$5:$J$152,"&gt;0",③スチコン工程入力!$M$5:$M$152,"&gt;0")-SUMIFS(③スチコン工程入力!$J$5:$J$152,③スチコン工程入力!$S$5:$S$152,$J58,③スチコン工程入力!$J$5:$J$152,"&gt;0",③スチコン工程入力!$I$5:$I$152,"&gt;0",③スチコン工程入力!$M$5:$M$152,"&gt;0")+SUMIFS(⑪ZEN工程入力!$J$6:$J$35,⑪ZEN工程入力!$S$6:$S$35,$J58,⑪ZEN工程入力!$J$6:$J$35,"&gt;0",⑪ZEN工程入力!$M$6:$M$35,"&gt;0")-SUMIFS(⑪ZEN工程入力!$J$6:$J$35,⑪ZEN工程入力!$S$6:$S$35,$J58,⑪ZEN工程入力!$J$6:$J$35,"&gt;0",⑪ZEN工程入力!$I$6:$I$35,"&gt;0",⑪ZEN工程入力!$M$6:$M$35,"&gt;0")+SUMIFS(⑫ミキサー工程入力!$J$6:$J$65,⑫ミキサー工程入力!$S$6:$S$65,$J58,⑫ミキサー工程入力!$J$6:$J$65,"&gt;0",⑫ミキサー工程入力!$M$6:$M$65,"&gt;0")-SUMIFS(⑫ミキサー工程入力!$J$6:$J$65,⑫ミキサー工程入力!$S$6:$S$65,$J58,⑫ミキサー工程入力!$J$6:$J$65,"&gt;0",⑫ミキサー工程入力!$I$6:$I$65,"&gt;0",⑫ミキサー工程入力!$M$6:$M$65,"&gt;0")+SUMIFS(⑬計量工程入力!$J$6:$J$65,⑬計量工程入力!$S$6:$S$65,$J58,⑬計量工程入力!$J$6:$J$65,"&gt;0",⑬計量工程入力!$M$6:$M$65,"&gt;0")-SUMIFS(⑬計量工程入力!$J$6:$J$65,⑬計量工程入力!$S$6:$S$65,$J58,⑬計量工程入力!$J$6:$J$65,"&gt;0",⑬計量工程入力!$I$6:$I$65,"&gt;0",⑬計量工程入力!$M$6:$M$65,"&gt;0")+SUMIFS(⑭手動工程入力!$J$6:$J$47,⑭手動工程入力!$S$6:$S$47,$J58,⑭手動工程入力!$J$6:$J$47,"&gt;0",⑭手動工程入力!$M$6:$M$47,"&gt;0")-SUMIFS(⑭手動工程入力!$J$6:$J$47,⑭手動工程入力!$S$6:$S$47,$J58,⑭手動工程入力!$J$6:$J$47,"&gt;0",⑭手動工程入力!$I$6:$I$47,"&gt;0",⑭手動工程入力!$M$6:$M$47,"&gt;0"))</f>
        <v/>
      </c>
      <c r="P58" s="392" t="n"/>
    </row>
    <row r="59">
      <c r="A59" s="392" t="n">
        <v>55</v>
      </c>
      <c r="B59" s="392" t="n"/>
      <c r="C59" s="392" t="n"/>
      <c r="D59" s="392" t="n"/>
      <c r="E59" s="392" t="n"/>
      <c r="F59" s="394" t="n"/>
      <c r="G59" s="392" t="n"/>
      <c r="H59" s="604">
        <f>IFERROR(IF(AND($K59&gt;0,ISNUMBER(IF(OR($D59="g",$D59="ｇ"),IF($M59&gt;0,$L59/$M59/1000,""),IF($D59="kg",IF($M59&gt;0,$L59/$M59,""),IF($D59="",IF($M59&gt;0,$L59/$M59/1000,IF($O59&gt;0,$N59/$O59,"")),IF($O59&gt;0,$N59/$O59,"")))))),IF(OR($D59="g",$D59="ｇ"),IF($M59&gt;0,$L59/$M59/1000,""),IF($D59="kg",IF($M59&gt;0,$L59/$M59,""),IF($D59="",IF($M59&gt;0,$L59/$M59/1000,IF($O59&gt;0,$N59/$O59,"")),IF($O59&gt;0,$N59/$O59,"")))),IF($F59="",IF(OR($E59="",$E59="⑩盛付梱包工程入力"),"",IF(OR($D59="g",$D59="ｇ"),INDEX(⑰工程労務費一覧!$N$5:$N$11,MATCH($E59,⑰工程労務費一覧!$K$5:$K$11,0))/1000,IF($D59="kg",INDEX(⑰工程労務費一覧!$N$5:$N$11,MATCH($E59,⑰工程労務費一覧!$K$5:$K$11,0)),IF(OR($D59="個",$D59="切",$D59="本",$D59="枚",$D59="尾"),IF($E59="⑬計量工程入力","",INDEX(⑰工程労務費一覧!$P$5:$P$11,MATCH($E59,⑰工程労務費一覧!$K$5:$K$11,0))),IF(AND($D59="",OR($E59="②釜工程入力",$E59="③スチコン工程入力")),INDEX(⑰工程労務費一覧!$N$5:$N$11,MATCH($E59,⑰工程労務費一覧!$K$5:$K$11,0))/1000,""))))),IF(OR($D59="g",$D59="ｇ"),INDEX(⑰工程労務費一覧!$H$5:$H$753,MATCH($F59,⑰工程労務費一覧!$D$5:$D$753,0))/1000,IF($D59="kg",INDEX(⑰工程労務費一覧!$H$5:$H$753,MATCH($F59,⑰工程労務費一覧!$D$5:$D$753,0)),INDEX(⑰工程労務費一覧!$I$5:$I$753,MATCH($F59,⑰工程労務費一覧!$D$5:$D$753,0)))))),"")</f>
        <v/>
      </c>
      <c r="I59" s="392">
        <f>IF($K59&gt;0,IF(ISNUMBER(IF(OR($D59="g",$D59="ｇ"),IF($M59&gt;0,$L59/$M59/1000,""),IF($D59="kg",IF($M59&gt;0,$L59/$M59,""),IF($D59="",IF($M59&gt;0,$L59/$M59/1000,IF($O59&gt;0,$N59/$O59,"")),IF($O59&gt;0,$N59/$O59,""))))),IF($D59="",IF($M59&gt;0,"◎ JAN紐づけ(g扱い)","◎ JAN紐づけ(個扱い)"),"◎ JAN紐づけ"),"△ JAN紐づけ済・実績不足→仮計算"),IF($F59="",IF(ISNUMBER($H59),IF($D59="","⑤ 工程平均で仮計算(g扱い)","⑤ 工程平均で仮計算"),IF($E59="⑩盛付梱包工程入力","⑥ 盛り込み(⑳F列で計上)",IF(AND($E59="⑬計量工程入力",OR($D59="個",$D59="切",$D59="本",$D59="枚",$D59="尾")),"① 未紐づけ(カット個単位は仮単価なし)","① 未紐づけ"))),IF(NOT(ISNUMBER($H59)),"② 工程側に単価なし",IF($D59="","③ 単位未設定(個で計算)","④ OK"))))</f>
        <v/>
      </c>
      <c r="J59" s="399">
        <f>IFERROR(LOOKUP(2,1/((中間品リスト!$F$2:$F$1299=$B59)*(中間品リスト!$E$2:$E$1299&lt;&gt;"-")*(中間品リスト!$E$2:$E$1299&lt;&gt;"")),中間品リスト!$E$2:$E$1299),"")</f>
        <v/>
      </c>
      <c r="K59" s="400">
        <f>IF($J59="",0,COUNTIF(②釜工程入力!$S$5:$S$117,$J59)+COUNTIF(③スチコン工程入力!$S$5:$S$152,$J59)+COUNTIF(⑪ZEN工程入力!$S$6:$S$35,$J59)+COUNTIF(⑫ミキサー工程入力!$S$6:$S$65,$J59)+COUNTIF(⑬計量工程入力!$S$6:$S$65,$J59)+COUNTIF(⑭手動工程入力!$S$6:$S$47,$J59))</f>
        <v/>
      </c>
      <c r="L59" s="393">
        <f>IF($J59="",0,SUMIFS(②釜工程入力!$M$5:$M$117,②釜工程入力!$S$5:$S$117,$J59,②釜工程入力!$I$5:$I$117,"&gt;0")+SUMIFS(③スチコン工程入力!$M$5:$M$152,③スチコン工程入力!$S$5:$S$152,$J59,③スチコン工程入力!$I$5:$I$152,"&gt;0")+SUMIFS(⑪ZEN工程入力!$M$6:$M$35,⑪ZEN工程入力!$S$6:$S$35,$J59,⑪ZEN工程入力!$I$6:$I$35,"&gt;0")+SUMIFS(⑫ミキサー工程入力!$M$6:$M$65,⑫ミキサー工程入力!$S$6:$S$65,$J59,⑫ミキサー工程入力!$I$6:$I$65,"&gt;0")+SUMIFS(⑬計量工程入力!$M$6:$M$65,⑬計量工程入力!$S$6:$S$65,$J59,⑬計量工程入力!$I$6:$I$65,"&gt;0")+SUMIFS(⑭手動工程入力!$M$6:$M$47,⑭手動工程入力!$S$6:$S$47,$J59,⑭手動工程入力!$I$6:$I$47,"&gt;0"))</f>
        <v/>
      </c>
      <c r="M59" s="393">
        <f>IF($J59="",0,SUMIFS(②釜工程入力!$I$5:$I$117,②釜工程入力!$S$5:$S$117,$J59,②釜工程入力!$I$5:$I$117,"&gt;0",②釜工程入力!$M$5:$M$117,"&gt;0")+SUMIFS(③スチコン工程入力!$I$5:$I$152,③スチコン工程入力!$S$5:$S$152,$J59,③スチコン工程入力!$I$5:$I$152,"&gt;0",③スチコン工程入力!$M$5:$M$152,"&gt;0")+SUMIFS(⑪ZEN工程入力!$I$6:$I$35,⑪ZEN工程入力!$S$6:$S$35,$J59,⑪ZEN工程入力!$I$6:$I$35,"&gt;0",⑪ZEN工程入力!$M$6:$M$35,"&gt;0")+SUMIFS(⑫ミキサー工程入力!$I$6:$I$65,⑫ミキサー工程入力!$S$6:$S$65,$J59,⑫ミキサー工程入力!$I$6:$I$65,"&gt;0",⑫ミキサー工程入力!$M$6:$M$65,"&gt;0")+SUMIFS(⑬計量工程入力!$I$6:$I$65,⑬計量工程入力!$S$6:$S$65,$J59,⑬計量工程入力!$I$6:$I$65,"&gt;0",⑬計量工程入力!$M$6:$M$65,"&gt;0")+SUMIFS(⑭手動工程入力!$I$6:$I$47,⑭手動工程入力!$S$6:$S$47,$J59,⑭手動工程入力!$I$6:$I$47,"&gt;0",⑭手動工程入力!$M$6:$M$47,"&gt;0"))</f>
        <v/>
      </c>
      <c r="N59" s="393">
        <f>IF($J59="",0,SUMIFS(②釜工程入力!$M$5:$M$117,②釜工程入力!$S$5:$S$117,$J59,②釜工程入力!$J$5:$J$117,"&gt;0")-SUMIFS(②釜工程入力!$M$5:$M$117,②釜工程入力!$S$5:$S$117,$J59,②釜工程入力!$J$5:$J$117,"&gt;0",②釜工程入力!$I$5:$I$117,"&gt;0")+SUMIFS(③スチコン工程入力!$M$5:$M$152,③スチコン工程入力!$S$5:$S$152,$J59,③スチコン工程入力!$J$5:$J$152,"&gt;0")-SUMIFS(③スチコン工程入力!$M$5:$M$152,③スチコン工程入力!$S$5:$S$152,$J59,③スチコン工程入力!$J$5:$J$152,"&gt;0",③スチコン工程入力!$I$5:$I$152,"&gt;0")+SUMIFS(⑪ZEN工程入力!$M$6:$M$35,⑪ZEN工程入力!$S$6:$S$35,$J59,⑪ZEN工程入力!$J$6:$J$35,"&gt;0")-SUMIFS(⑪ZEN工程入力!$M$6:$M$35,⑪ZEN工程入力!$S$6:$S$35,$J59,⑪ZEN工程入力!$J$6:$J$35,"&gt;0",⑪ZEN工程入力!$I$6:$I$35,"&gt;0")+SUMIFS(⑫ミキサー工程入力!$M$6:$M$65,⑫ミキサー工程入力!$S$6:$S$65,$J59,⑫ミキサー工程入力!$J$6:$J$65,"&gt;0")-SUMIFS(⑫ミキサー工程入力!$M$6:$M$65,⑫ミキサー工程入力!$S$6:$S$65,$J59,⑫ミキサー工程入力!$J$6:$J$65,"&gt;0",⑫ミキサー工程入力!$I$6:$I$65,"&gt;0")+SUMIFS(⑬計量工程入力!$M$6:$M$65,⑬計量工程入力!$S$6:$S$65,$J59,⑬計量工程入力!$J$6:$J$65,"&gt;0")-SUMIFS(⑬計量工程入力!$M$6:$M$65,⑬計量工程入力!$S$6:$S$65,$J59,⑬計量工程入力!$J$6:$J$65,"&gt;0",⑬計量工程入力!$I$6:$I$65,"&gt;0")+SUMIFS(⑭手動工程入力!$M$6:$M$47,⑭手動工程入力!$S$6:$S$47,$J59,⑭手動工程入力!$J$6:$J$47,"&gt;0")-SUMIFS(⑭手動工程入力!$M$6:$M$47,⑭手動工程入力!$S$6:$S$47,$J59,⑭手動工程入力!$J$6:$J$47,"&gt;0",⑭手動工程入力!$I$6:$I$47,"&gt;0"))</f>
        <v/>
      </c>
      <c r="O59" s="393">
        <f>IF($J59="",0,SUMIFS(②釜工程入力!$J$5:$J$117,②釜工程入力!$S$5:$S$117,$J59,②釜工程入力!$J$5:$J$117,"&gt;0",②釜工程入力!$M$5:$M$117,"&gt;0")-SUMIFS(②釜工程入力!$J$5:$J$117,②釜工程入力!$S$5:$S$117,$J59,②釜工程入力!$J$5:$J$117,"&gt;0",②釜工程入力!$I$5:$I$117,"&gt;0",②釜工程入力!$M$5:$M$117,"&gt;0")+SUMIFS(③スチコン工程入力!$J$5:$J$152,③スチコン工程入力!$S$5:$S$152,$J59,③スチコン工程入力!$J$5:$J$152,"&gt;0",③スチコン工程入力!$M$5:$M$152,"&gt;0")-SUMIFS(③スチコン工程入力!$J$5:$J$152,③スチコン工程入力!$S$5:$S$152,$J59,③スチコン工程入力!$J$5:$J$152,"&gt;0",③スチコン工程入力!$I$5:$I$152,"&gt;0",③スチコン工程入力!$M$5:$M$152,"&gt;0")+SUMIFS(⑪ZEN工程入力!$J$6:$J$35,⑪ZEN工程入力!$S$6:$S$35,$J59,⑪ZEN工程入力!$J$6:$J$35,"&gt;0",⑪ZEN工程入力!$M$6:$M$35,"&gt;0")-SUMIFS(⑪ZEN工程入力!$J$6:$J$35,⑪ZEN工程入力!$S$6:$S$35,$J59,⑪ZEN工程入力!$J$6:$J$35,"&gt;0",⑪ZEN工程入力!$I$6:$I$35,"&gt;0",⑪ZEN工程入力!$M$6:$M$35,"&gt;0")+SUMIFS(⑫ミキサー工程入力!$J$6:$J$65,⑫ミキサー工程入力!$S$6:$S$65,$J59,⑫ミキサー工程入力!$J$6:$J$65,"&gt;0",⑫ミキサー工程入力!$M$6:$M$65,"&gt;0")-SUMIFS(⑫ミキサー工程入力!$J$6:$J$65,⑫ミキサー工程入力!$S$6:$S$65,$J59,⑫ミキサー工程入力!$J$6:$J$65,"&gt;0",⑫ミキサー工程入力!$I$6:$I$65,"&gt;0",⑫ミキサー工程入力!$M$6:$M$65,"&gt;0")+SUMIFS(⑬計量工程入力!$J$6:$J$65,⑬計量工程入力!$S$6:$S$65,$J59,⑬計量工程入力!$J$6:$J$65,"&gt;0",⑬計量工程入力!$M$6:$M$65,"&gt;0")-SUMIFS(⑬計量工程入力!$J$6:$J$65,⑬計量工程入力!$S$6:$S$65,$J59,⑬計量工程入力!$J$6:$J$65,"&gt;0",⑬計量工程入力!$I$6:$I$65,"&gt;0",⑬計量工程入力!$M$6:$M$65,"&gt;0")+SUMIFS(⑭手動工程入力!$J$6:$J$47,⑭手動工程入力!$S$6:$S$47,$J59,⑭手動工程入力!$J$6:$J$47,"&gt;0",⑭手動工程入力!$M$6:$M$47,"&gt;0")-SUMIFS(⑭手動工程入力!$J$6:$J$47,⑭手動工程入力!$S$6:$S$47,$J59,⑭手動工程入力!$J$6:$J$47,"&gt;0",⑭手動工程入力!$I$6:$I$47,"&gt;0",⑭手動工程入力!$M$6:$M$47,"&gt;0"))</f>
        <v/>
      </c>
      <c r="P59" s="392" t="n"/>
    </row>
    <row r="60">
      <c r="A60" s="392" t="n">
        <v>56</v>
      </c>
      <c r="B60" s="392" t="n"/>
      <c r="C60" s="392" t="n"/>
      <c r="D60" s="392" t="n"/>
      <c r="E60" s="392" t="n"/>
      <c r="F60" s="394" t="n"/>
      <c r="G60" s="392" t="n"/>
      <c r="H60" s="604">
        <f>IFERROR(IF(AND($K60&gt;0,ISNUMBER(IF(OR($D60="g",$D60="ｇ"),IF($M60&gt;0,$L60/$M60/1000,""),IF($D60="kg",IF($M60&gt;0,$L60/$M60,""),IF($D60="",IF($M60&gt;0,$L60/$M60/1000,IF($O60&gt;0,$N60/$O60,"")),IF($O60&gt;0,$N60/$O60,"")))))),IF(OR($D60="g",$D60="ｇ"),IF($M60&gt;0,$L60/$M60/1000,""),IF($D60="kg",IF($M60&gt;0,$L60/$M60,""),IF($D60="",IF($M60&gt;0,$L60/$M60/1000,IF($O60&gt;0,$N60/$O60,"")),IF($O60&gt;0,$N60/$O60,"")))),IF($F60="",IF(OR($E60="",$E60="⑩盛付梱包工程入力"),"",IF(OR($D60="g",$D60="ｇ"),INDEX(⑰工程労務費一覧!$N$5:$N$11,MATCH($E60,⑰工程労務費一覧!$K$5:$K$11,0))/1000,IF($D60="kg",INDEX(⑰工程労務費一覧!$N$5:$N$11,MATCH($E60,⑰工程労務費一覧!$K$5:$K$11,0)),IF(OR($D60="個",$D60="切",$D60="本",$D60="枚",$D60="尾"),IF($E60="⑬計量工程入力","",INDEX(⑰工程労務費一覧!$P$5:$P$11,MATCH($E60,⑰工程労務費一覧!$K$5:$K$11,0))),IF(AND($D60="",OR($E60="②釜工程入力",$E60="③スチコン工程入力")),INDEX(⑰工程労務費一覧!$N$5:$N$11,MATCH($E60,⑰工程労務費一覧!$K$5:$K$11,0))/1000,""))))),IF(OR($D60="g",$D60="ｇ"),INDEX(⑰工程労務費一覧!$H$5:$H$753,MATCH($F60,⑰工程労務費一覧!$D$5:$D$753,0))/1000,IF($D60="kg",INDEX(⑰工程労務費一覧!$H$5:$H$753,MATCH($F60,⑰工程労務費一覧!$D$5:$D$753,0)),INDEX(⑰工程労務費一覧!$I$5:$I$753,MATCH($F60,⑰工程労務費一覧!$D$5:$D$753,0)))))),"")</f>
        <v/>
      </c>
      <c r="I60" s="392">
        <f>IF($K60&gt;0,IF(ISNUMBER(IF(OR($D60="g",$D60="ｇ"),IF($M60&gt;0,$L60/$M60/1000,""),IF($D60="kg",IF($M60&gt;0,$L60/$M60,""),IF($D60="",IF($M60&gt;0,$L60/$M60/1000,IF($O60&gt;0,$N60/$O60,"")),IF($O60&gt;0,$N60/$O60,""))))),IF($D60="",IF($M60&gt;0,"◎ JAN紐づけ(g扱い)","◎ JAN紐づけ(個扱い)"),"◎ JAN紐づけ"),"△ JAN紐づけ済・実績不足→仮計算"),IF($F60="",IF(ISNUMBER($H60),IF($D60="","⑤ 工程平均で仮計算(g扱い)","⑤ 工程平均で仮計算"),IF($E60="⑩盛付梱包工程入力","⑥ 盛り込み(⑳F列で計上)",IF(AND($E60="⑬計量工程入力",OR($D60="個",$D60="切",$D60="本",$D60="枚",$D60="尾")),"① 未紐づけ(カット個単位は仮単価なし)","① 未紐づけ"))),IF(NOT(ISNUMBER($H60)),"② 工程側に単価なし",IF($D60="","③ 単位未設定(個で計算)","④ OK"))))</f>
        <v/>
      </c>
      <c r="J60" s="399">
        <f>IFERROR(LOOKUP(2,1/((中間品リスト!$F$2:$F$1299=$B60)*(中間品リスト!$E$2:$E$1299&lt;&gt;"-")*(中間品リスト!$E$2:$E$1299&lt;&gt;"")),中間品リスト!$E$2:$E$1299),"")</f>
        <v/>
      </c>
      <c r="K60" s="400">
        <f>IF($J60="",0,COUNTIF(②釜工程入力!$S$5:$S$117,$J60)+COUNTIF(③スチコン工程入力!$S$5:$S$152,$J60)+COUNTIF(⑪ZEN工程入力!$S$6:$S$35,$J60)+COUNTIF(⑫ミキサー工程入力!$S$6:$S$65,$J60)+COUNTIF(⑬計量工程入力!$S$6:$S$65,$J60)+COUNTIF(⑭手動工程入力!$S$6:$S$47,$J60))</f>
        <v/>
      </c>
      <c r="L60" s="393">
        <f>IF($J60="",0,SUMIFS(②釜工程入力!$M$5:$M$117,②釜工程入力!$S$5:$S$117,$J60,②釜工程入力!$I$5:$I$117,"&gt;0")+SUMIFS(③スチコン工程入力!$M$5:$M$152,③スチコン工程入力!$S$5:$S$152,$J60,③スチコン工程入力!$I$5:$I$152,"&gt;0")+SUMIFS(⑪ZEN工程入力!$M$6:$M$35,⑪ZEN工程入力!$S$6:$S$35,$J60,⑪ZEN工程入力!$I$6:$I$35,"&gt;0")+SUMIFS(⑫ミキサー工程入力!$M$6:$M$65,⑫ミキサー工程入力!$S$6:$S$65,$J60,⑫ミキサー工程入力!$I$6:$I$65,"&gt;0")+SUMIFS(⑬計量工程入力!$M$6:$M$65,⑬計量工程入力!$S$6:$S$65,$J60,⑬計量工程入力!$I$6:$I$65,"&gt;0")+SUMIFS(⑭手動工程入力!$M$6:$M$47,⑭手動工程入力!$S$6:$S$47,$J60,⑭手動工程入力!$I$6:$I$47,"&gt;0"))</f>
        <v/>
      </c>
      <c r="M60" s="393">
        <f>IF($J60="",0,SUMIFS(②釜工程入力!$I$5:$I$117,②釜工程入力!$S$5:$S$117,$J60,②釜工程入力!$I$5:$I$117,"&gt;0",②釜工程入力!$M$5:$M$117,"&gt;0")+SUMIFS(③スチコン工程入力!$I$5:$I$152,③スチコン工程入力!$S$5:$S$152,$J60,③スチコン工程入力!$I$5:$I$152,"&gt;0",③スチコン工程入力!$M$5:$M$152,"&gt;0")+SUMIFS(⑪ZEN工程入力!$I$6:$I$35,⑪ZEN工程入力!$S$6:$S$35,$J60,⑪ZEN工程入力!$I$6:$I$35,"&gt;0",⑪ZEN工程入力!$M$6:$M$35,"&gt;0")+SUMIFS(⑫ミキサー工程入力!$I$6:$I$65,⑫ミキサー工程入力!$S$6:$S$65,$J60,⑫ミキサー工程入力!$I$6:$I$65,"&gt;0",⑫ミキサー工程入力!$M$6:$M$65,"&gt;0")+SUMIFS(⑬計量工程入力!$I$6:$I$65,⑬計量工程入力!$S$6:$S$65,$J60,⑬計量工程入力!$I$6:$I$65,"&gt;0",⑬計量工程入力!$M$6:$M$65,"&gt;0")+SUMIFS(⑭手動工程入力!$I$6:$I$47,⑭手動工程入力!$S$6:$S$47,$J60,⑭手動工程入力!$I$6:$I$47,"&gt;0",⑭手動工程入力!$M$6:$M$47,"&gt;0"))</f>
        <v/>
      </c>
      <c r="N60" s="393">
        <f>IF($J60="",0,SUMIFS(②釜工程入力!$M$5:$M$117,②釜工程入力!$S$5:$S$117,$J60,②釜工程入力!$J$5:$J$117,"&gt;0")-SUMIFS(②釜工程入力!$M$5:$M$117,②釜工程入力!$S$5:$S$117,$J60,②釜工程入力!$J$5:$J$117,"&gt;0",②釜工程入力!$I$5:$I$117,"&gt;0")+SUMIFS(③スチコン工程入力!$M$5:$M$152,③スチコン工程入力!$S$5:$S$152,$J60,③スチコン工程入力!$J$5:$J$152,"&gt;0")-SUMIFS(③スチコン工程入力!$M$5:$M$152,③スチコン工程入力!$S$5:$S$152,$J60,③スチコン工程入力!$J$5:$J$152,"&gt;0",③スチコン工程入力!$I$5:$I$152,"&gt;0")+SUMIFS(⑪ZEN工程入力!$M$6:$M$35,⑪ZEN工程入力!$S$6:$S$35,$J60,⑪ZEN工程入力!$J$6:$J$35,"&gt;0")-SUMIFS(⑪ZEN工程入力!$M$6:$M$35,⑪ZEN工程入力!$S$6:$S$35,$J60,⑪ZEN工程入力!$J$6:$J$35,"&gt;0",⑪ZEN工程入力!$I$6:$I$35,"&gt;0")+SUMIFS(⑫ミキサー工程入力!$M$6:$M$65,⑫ミキサー工程入力!$S$6:$S$65,$J60,⑫ミキサー工程入力!$J$6:$J$65,"&gt;0")-SUMIFS(⑫ミキサー工程入力!$M$6:$M$65,⑫ミキサー工程入力!$S$6:$S$65,$J60,⑫ミキサー工程入力!$J$6:$J$65,"&gt;0",⑫ミキサー工程入力!$I$6:$I$65,"&gt;0")+SUMIFS(⑬計量工程入力!$M$6:$M$65,⑬計量工程入力!$S$6:$S$65,$J60,⑬計量工程入力!$J$6:$J$65,"&gt;0")-SUMIFS(⑬計量工程入力!$M$6:$M$65,⑬計量工程入力!$S$6:$S$65,$J60,⑬計量工程入力!$J$6:$J$65,"&gt;0",⑬計量工程入力!$I$6:$I$65,"&gt;0")+SUMIFS(⑭手動工程入力!$M$6:$M$47,⑭手動工程入力!$S$6:$S$47,$J60,⑭手動工程入力!$J$6:$J$47,"&gt;0")-SUMIFS(⑭手動工程入力!$M$6:$M$47,⑭手動工程入力!$S$6:$S$47,$J60,⑭手動工程入力!$J$6:$J$47,"&gt;0",⑭手動工程入力!$I$6:$I$47,"&gt;0"))</f>
        <v/>
      </c>
      <c r="O60" s="393">
        <f>IF($J60="",0,SUMIFS(②釜工程入力!$J$5:$J$117,②釜工程入力!$S$5:$S$117,$J60,②釜工程入力!$J$5:$J$117,"&gt;0",②釜工程入力!$M$5:$M$117,"&gt;0")-SUMIFS(②釜工程入力!$J$5:$J$117,②釜工程入力!$S$5:$S$117,$J60,②釜工程入力!$J$5:$J$117,"&gt;0",②釜工程入力!$I$5:$I$117,"&gt;0",②釜工程入力!$M$5:$M$117,"&gt;0")+SUMIFS(③スチコン工程入力!$J$5:$J$152,③スチコン工程入力!$S$5:$S$152,$J60,③スチコン工程入力!$J$5:$J$152,"&gt;0",③スチコン工程入力!$M$5:$M$152,"&gt;0")-SUMIFS(③スチコン工程入力!$J$5:$J$152,③スチコン工程入力!$S$5:$S$152,$J60,③スチコン工程入力!$J$5:$J$152,"&gt;0",③スチコン工程入力!$I$5:$I$152,"&gt;0",③スチコン工程入力!$M$5:$M$152,"&gt;0")+SUMIFS(⑪ZEN工程入力!$J$6:$J$35,⑪ZEN工程入力!$S$6:$S$35,$J60,⑪ZEN工程入力!$J$6:$J$35,"&gt;0",⑪ZEN工程入力!$M$6:$M$35,"&gt;0")-SUMIFS(⑪ZEN工程入力!$J$6:$J$35,⑪ZEN工程入力!$S$6:$S$35,$J60,⑪ZEN工程入力!$J$6:$J$35,"&gt;0",⑪ZEN工程入力!$I$6:$I$35,"&gt;0",⑪ZEN工程入力!$M$6:$M$35,"&gt;0")+SUMIFS(⑫ミキサー工程入力!$J$6:$J$65,⑫ミキサー工程入力!$S$6:$S$65,$J60,⑫ミキサー工程入力!$J$6:$J$65,"&gt;0",⑫ミキサー工程入力!$M$6:$M$65,"&gt;0")-SUMIFS(⑫ミキサー工程入力!$J$6:$J$65,⑫ミキサー工程入力!$S$6:$S$65,$J60,⑫ミキサー工程入力!$J$6:$J$65,"&gt;0",⑫ミキサー工程入力!$I$6:$I$65,"&gt;0",⑫ミキサー工程入力!$M$6:$M$65,"&gt;0")+SUMIFS(⑬計量工程入力!$J$6:$J$65,⑬計量工程入力!$S$6:$S$65,$J60,⑬計量工程入力!$J$6:$J$65,"&gt;0",⑬計量工程入力!$M$6:$M$65,"&gt;0")-SUMIFS(⑬計量工程入力!$J$6:$J$65,⑬計量工程入力!$S$6:$S$65,$J60,⑬計量工程入力!$J$6:$J$65,"&gt;0",⑬計量工程入力!$I$6:$I$65,"&gt;0",⑬計量工程入力!$M$6:$M$65,"&gt;0")+SUMIFS(⑭手動工程入力!$J$6:$J$47,⑭手動工程入力!$S$6:$S$47,$J60,⑭手動工程入力!$J$6:$J$47,"&gt;0",⑭手動工程入力!$M$6:$M$47,"&gt;0")-SUMIFS(⑭手動工程入力!$J$6:$J$47,⑭手動工程入力!$S$6:$S$47,$J60,⑭手動工程入力!$J$6:$J$47,"&gt;0",⑭手動工程入力!$I$6:$I$47,"&gt;0",⑭手動工程入力!$M$6:$M$47,"&gt;0"))</f>
        <v/>
      </c>
      <c r="P60" s="392" t="n"/>
    </row>
    <row r="61">
      <c r="A61" s="392" t="n">
        <v>57</v>
      </c>
      <c r="B61" s="392" t="n"/>
      <c r="C61" s="392" t="n"/>
      <c r="D61" s="392" t="n"/>
      <c r="E61" s="392" t="n"/>
      <c r="F61" s="394" t="n"/>
      <c r="G61" s="392" t="n"/>
      <c r="H61" s="604">
        <f>IFERROR(IF(AND($K61&gt;0,ISNUMBER(IF(OR($D61="g",$D61="ｇ"),IF($M61&gt;0,$L61/$M61/1000,""),IF($D61="kg",IF($M61&gt;0,$L61/$M61,""),IF($D61="",IF($M61&gt;0,$L61/$M61/1000,IF($O61&gt;0,$N61/$O61,"")),IF($O61&gt;0,$N61/$O61,"")))))),IF(OR($D61="g",$D61="ｇ"),IF($M61&gt;0,$L61/$M61/1000,""),IF($D61="kg",IF($M61&gt;0,$L61/$M61,""),IF($D61="",IF($M61&gt;0,$L61/$M61/1000,IF($O61&gt;0,$N61/$O61,"")),IF($O61&gt;0,$N61/$O61,"")))),IF($F61="",IF(OR($E61="",$E61="⑩盛付梱包工程入力"),"",IF(OR($D61="g",$D61="ｇ"),INDEX(⑰工程労務費一覧!$N$5:$N$11,MATCH($E61,⑰工程労務費一覧!$K$5:$K$11,0))/1000,IF($D61="kg",INDEX(⑰工程労務費一覧!$N$5:$N$11,MATCH($E61,⑰工程労務費一覧!$K$5:$K$11,0)),IF(OR($D61="個",$D61="切",$D61="本",$D61="枚",$D61="尾"),IF($E61="⑬計量工程入力","",INDEX(⑰工程労務費一覧!$P$5:$P$11,MATCH($E61,⑰工程労務費一覧!$K$5:$K$11,0))),IF(AND($D61="",OR($E61="②釜工程入力",$E61="③スチコン工程入力")),INDEX(⑰工程労務費一覧!$N$5:$N$11,MATCH($E61,⑰工程労務費一覧!$K$5:$K$11,0))/1000,""))))),IF(OR($D61="g",$D61="ｇ"),INDEX(⑰工程労務費一覧!$H$5:$H$753,MATCH($F61,⑰工程労務費一覧!$D$5:$D$753,0))/1000,IF($D61="kg",INDEX(⑰工程労務費一覧!$H$5:$H$753,MATCH($F61,⑰工程労務費一覧!$D$5:$D$753,0)),INDEX(⑰工程労務費一覧!$I$5:$I$753,MATCH($F61,⑰工程労務費一覧!$D$5:$D$753,0)))))),"")</f>
        <v/>
      </c>
      <c r="I61" s="392">
        <f>IF($K61&gt;0,IF(ISNUMBER(IF(OR($D61="g",$D61="ｇ"),IF($M61&gt;0,$L61/$M61/1000,""),IF($D61="kg",IF($M61&gt;0,$L61/$M61,""),IF($D61="",IF($M61&gt;0,$L61/$M61/1000,IF($O61&gt;0,$N61/$O61,"")),IF($O61&gt;0,$N61/$O61,""))))),IF($D61="",IF($M61&gt;0,"◎ JAN紐づけ(g扱い)","◎ JAN紐づけ(個扱い)"),"◎ JAN紐づけ"),"△ JAN紐づけ済・実績不足→仮計算"),IF($F61="",IF(ISNUMBER($H61),IF($D61="","⑤ 工程平均で仮計算(g扱い)","⑤ 工程平均で仮計算"),IF($E61="⑩盛付梱包工程入力","⑥ 盛り込み(⑳F列で計上)",IF(AND($E61="⑬計量工程入力",OR($D61="個",$D61="切",$D61="本",$D61="枚",$D61="尾")),"① 未紐づけ(カット個単位は仮単価なし)","① 未紐づけ"))),IF(NOT(ISNUMBER($H61)),"② 工程側に単価なし",IF($D61="","③ 単位未設定(個で計算)","④ OK"))))</f>
        <v/>
      </c>
      <c r="J61" s="399">
        <f>IFERROR(LOOKUP(2,1/((中間品リスト!$F$2:$F$1299=$B61)*(中間品リスト!$E$2:$E$1299&lt;&gt;"-")*(中間品リスト!$E$2:$E$1299&lt;&gt;"")),中間品リスト!$E$2:$E$1299),"")</f>
        <v/>
      </c>
      <c r="K61" s="400">
        <f>IF($J61="",0,COUNTIF(②釜工程入力!$S$5:$S$117,$J61)+COUNTIF(③スチコン工程入力!$S$5:$S$152,$J61)+COUNTIF(⑪ZEN工程入力!$S$6:$S$35,$J61)+COUNTIF(⑫ミキサー工程入力!$S$6:$S$65,$J61)+COUNTIF(⑬計量工程入力!$S$6:$S$65,$J61)+COUNTIF(⑭手動工程入力!$S$6:$S$47,$J61))</f>
        <v/>
      </c>
      <c r="L61" s="393">
        <f>IF($J61="",0,SUMIFS(②釜工程入力!$M$5:$M$117,②釜工程入力!$S$5:$S$117,$J61,②釜工程入力!$I$5:$I$117,"&gt;0")+SUMIFS(③スチコン工程入力!$M$5:$M$152,③スチコン工程入力!$S$5:$S$152,$J61,③スチコン工程入力!$I$5:$I$152,"&gt;0")+SUMIFS(⑪ZEN工程入力!$M$6:$M$35,⑪ZEN工程入力!$S$6:$S$35,$J61,⑪ZEN工程入力!$I$6:$I$35,"&gt;0")+SUMIFS(⑫ミキサー工程入力!$M$6:$M$65,⑫ミキサー工程入力!$S$6:$S$65,$J61,⑫ミキサー工程入力!$I$6:$I$65,"&gt;0")+SUMIFS(⑬計量工程入力!$M$6:$M$65,⑬計量工程入力!$S$6:$S$65,$J61,⑬計量工程入力!$I$6:$I$65,"&gt;0")+SUMIFS(⑭手動工程入力!$M$6:$M$47,⑭手動工程入力!$S$6:$S$47,$J61,⑭手動工程入力!$I$6:$I$47,"&gt;0"))</f>
        <v/>
      </c>
      <c r="M61" s="393">
        <f>IF($J61="",0,SUMIFS(②釜工程入力!$I$5:$I$117,②釜工程入力!$S$5:$S$117,$J61,②釜工程入力!$I$5:$I$117,"&gt;0",②釜工程入力!$M$5:$M$117,"&gt;0")+SUMIFS(③スチコン工程入力!$I$5:$I$152,③スチコン工程入力!$S$5:$S$152,$J61,③スチコン工程入力!$I$5:$I$152,"&gt;0",③スチコン工程入力!$M$5:$M$152,"&gt;0")+SUMIFS(⑪ZEN工程入力!$I$6:$I$35,⑪ZEN工程入力!$S$6:$S$35,$J61,⑪ZEN工程入力!$I$6:$I$35,"&gt;0",⑪ZEN工程入力!$M$6:$M$35,"&gt;0")+SUMIFS(⑫ミキサー工程入力!$I$6:$I$65,⑫ミキサー工程入力!$S$6:$S$65,$J61,⑫ミキサー工程入力!$I$6:$I$65,"&gt;0",⑫ミキサー工程入力!$M$6:$M$65,"&gt;0")+SUMIFS(⑬計量工程入力!$I$6:$I$65,⑬計量工程入力!$S$6:$S$65,$J61,⑬計量工程入力!$I$6:$I$65,"&gt;0",⑬計量工程入力!$M$6:$M$65,"&gt;0")+SUMIFS(⑭手動工程入力!$I$6:$I$47,⑭手動工程入力!$S$6:$S$47,$J61,⑭手動工程入力!$I$6:$I$47,"&gt;0",⑭手動工程入力!$M$6:$M$47,"&gt;0"))</f>
        <v/>
      </c>
      <c r="N61" s="393">
        <f>IF($J61="",0,SUMIFS(②釜工程入力!$M$5:$M$117,②釜工程入力!$S$5:$S$117,$J61,②釜工程入力!$J$5:$J$117,"&gt;0")-SUMIFS(②釜工程入力!$M$5:$M$117,②釜工程入力!$S$5:$S$117,$J61,②釜工程入力!$J$5:$J$117,"&gt;0",②釜工程入力!$I$5:$I$117,"&gt;0")+SUMIFS(③スチコン工程入力!$M$5:$M$152,③スチコン工程入力!$S$5:$S$152,$J61,③スチコン工程入力!$J$5:$J$152,"&gt;0")-SUMIFS(③スチコン工程入力!$M$5:$M$152,③スチコン工程入力!$S$5:$S$152,$J61,③スチコン工程入力!$J$5:$J$152,"&gt;0",③スチコン工程入力!$I$5:$I$152,"&gt;0")+SUMIFS(⑪ZEN工程入力!$M$6:$M$35,⑪ZEN工程入力!$S$6:$S$35,$J61,⑪ZEN工程入力!$J$6:$J$35,"&gt;0")-SUMIFS(⑪ZEN工程入力!$M$6:$M$35,⑪ZEN工程入力!$S$6:$S$35,$J61,⑪ZEN工程入力!$J$6:$J$35,"&gt;0",⑪ZEN工程入力!$I$6:$I$35,"&gt;0")+SUMIFS(⑫ミキサー工程入力!$M$6:$M$65,⑫ミキサー工程入力!$S$6:$S$65,$J61,⑫ミキサー工程入力!$J$6:$J$65,"&gt;0")-SUMIFS(⑫ミキサー工程入力!$M$6:$M$65,⑫ミキサー工程入力!$S$6:$S$65,$J61,⑫ミキサー工程入力!$J$6:$J$65,"&gt;0",⑫ミキサー工程入力!$I$6:$I$65,"&gt;0")+SUMIFS(⑬計量工程入力!$M$6:$M$65,⑬計量工程入力!$S$6:$S$65,$J61,⑬計量工程入力!$J$6:$J$65,"&gt;0")-SUMIFS(⑬計量工程入力!$M$6:$M$65,⑬計量工程入力!$S$6:$S$65,$J61,⑬計量工程入力!$J$6:$J$65,"&gt;0",⑬計量工程入力!$I$6:$I$65,"&gt;0")+SUMIFS(⑭手動工程入力!$M$6:$M$47,⑭手動工程入力!$S$6:$S$47,$J61,⑭手動工程入力!$J$6:$J$47,"&gt;0")-SUMIFS(⑭手動工程入力!$M$6:$M$47,⑭手動工程入力!$S$6:$S$47,$J61,⑭手動工程入力!$J$6:$J$47,"&gt;0",⑭手動工程入力!$I$6:$I$47,"&gt;0"))</f>
        <v/>
      </c>
      <c r="O61" s="393">
        <f>IF($J61="",0,SUMIFS(②釜工程入力!$J$5:$J$117,②釜工程入力!$S$5:$S$117,$J61,②釜工程入力!$J$5:$J$117,"&gt;0",②釜工程入力!$M$5:$M$117,"&gt;0")-SUMIFS(②釜工程入力!$J$5:$J$117,②釜工程入力!$S$5:$S$117,$J61,②釜工程入力!$J$5:$J$117,"&gt;0",②釜工程入力!$I$5:$I$117,"&gt;0",②釜工程入力!$M$5:$M$117,"&gt;0")+SUMIFS(③スチコン工程入力!$J$5:$J$152,③スチコン工程入力!$S$5:$S$152,$J61,③スチコン工程入力!$J$5:$J$152,"&gt;0",③スチコン工程入力!$M$5:$M$152,"&gt;0")-SUMIFS(③スチコン工程入力!$J$5:$J$152,③スチコン工程入力!$S$5:$S$152,$J61,③スチコン工程入力!$J$5:$J$152,"&gt;0",③スチコン工程入力!$I$5:$I$152,"&gt;0",③スチコン工程入力!$M$5:$M$152,"&gt;0")+SUMIFS(⑪ZEN工程入力!$J$6:$J$35,⑪ZEN工程入力!$S$6:$S$35,$J61,⑪ZEN工程入力!$J$6:$J$35,"&gt;0",⑪ZEN工程入力!$M$6:$M$35,"&gt;0")-SUMIFS(⑪ZEN工程入力!$J$6:$J$35,⑪ZEN工程入力!$S$6:$S$35,$J61,⑪ZEN工程入力!$J$6:$J$35,"&gt;0",⑪ZEN工程入力!$I$6:$I$35,"&gt;0",⑪ZEN工程入力!$M$6:$M$35,"&gt;0")+SUMIFS(⑫ミキサー工程入力!$J$6:$J$65,⑫ミキサー工程入力!$S$6:$S$65,$J61,⑫ミキサー工程入力!$J$6:$J$65,"&gt;0",⑫ミキサー工程入力!$M$6:$M$65,"&gt;0")-SUMIFS(⑫ミキサー工程入力!$J$6:$J$65,⑫ミキサー工程入力!$S$6:$S$65,$J61,⑫ミキサー工程入力!$J$6:$J$65,"&gt;0",⑫ミキサー工程入力!$I$6:$I$65,"&gt;0",⑫ミキサー工程入力!$M$6:$M$65,"&gt;0")+SUMIFS(⑬計量工程入力!$J$6:$J$65,⑬計量工程入力!$S$6:$S$65,$J61,⑬計量工程入力!$J$6:$J$65,"&gt;0",⑬計量工程入力!$M$6:$M$65,"&gt;0")-SUMIFS(⑬計量工程入力!$J$6:$J$65,⑬計量工程入力!$S$6:$S$65,$J61,⑬計量工程入力!$J$6:$J$65,"&gt;0",⑬計量工程入力!$I$6:$I$65,"&gt;0",⑬計量工程入力!$M$6:$M$65,"&gt;0")+SUMIFS(⑭手動工程入力!$J$6:$J$47,⑭手動工程入力!$S$6:$S$47,$J61,⑭手動工程入力!$J$6:$J$47,"&gt;0",⑭手動工程入力!$M$6:$M$47,"&gt;0")-SUMIFS(⑭手動工程入力!$J$6:$J$47,⑭手動工程入力!$S$6:$S$47,$J61,⑭手動工程入力!$J$6:$J$47,"&gt;0",⑭手動工程入力!$I$6:$I$47,"&gt;0",⑭手動工程入力!$M$6:$M$47,"&gt;0"))</f>
        <v/>
      </c>
      <c r="P61" s="392" t="n"/>
    </row>
    <row r="62">
      <c r="A62" s="392" t="n">
        <v>58</v>
      </c>
      <c r="B62" s="392" t="n"/>
      <c r="C62" s="392" t="n"/>
      <c r="D62" s="392" t="n"/>
      <c r="E62" s="392" t="n"/>
      <c r="F62" s="394" t="n"/>
      <c r="G62" s="392" t="n"/>
      <c r="H62" s="604">
        <f>IFERROR(IF(AND($K62&gt;0,ISNUMBER(IF(OR($D62="g",$D62="ｇ"),IF($M62&gt;0,$L62/$M62/1000,""),IF($D62="kg",IF($M62&gt;0,$L62/$M62,""),IF($D62="",IF($M62&gt;0,$L62/$M62/1000,IF($O62&gt;0,$N62/$O62,"")),IF($O62&gt;0,$N62/$O62,"")))))),IF(OR($D62="g",$D62="ｇ"),IF($M62&gt;0,$L62/$M62/1000,""),IF($D62="kg",IF($M62&gt;0,$L62/$M62,""),IF($D62="",IF($M62&gt;0,$L62/$M62/1000,IF($O62&gt;0,$N62/$O62,"")),IF($O62&gt;0,$N62/$O62,"")))),IF($F62="",IF(OR($E62="",$E62="⑩盛付梱包工程入力"),"",IF(OR($D62="g",$D62="ｇ"),INDEX(⑰工程労務費一覧!$N$5:$N$11,MATCH($E62,⑰工程労務費一覧!$K$5:$K$11,0))/1000,IF($D62="kg",INDEX(⑰工程労務費一覧!$N$5:$N$11,MATCH($E62,⑰工程労務費一覧!$K$5:$K$11,0)),IF(OR($D62="個",$D62="切",$D62="本",$D62="枚",$D62="尾"),IF($E62="⑬計量工程入力","",INDEX(⑰工程労務費一覧!$P$5:$P$11,MATCH($E62,⑰工程労務費一覧!$K$5:$K$11,0))),IF(AND($D62="",OR($E62="②釜工程入力",$E62="③スチコン工程入力")),INDEX(⑰工程労務費一覧!$N$5:$N$11,MATCH($E62,⑰工程労務費一覧!$K$5:$K$11,0))/1000,""))))),IF(OR($D62="g",$D62="ｇ"),INDEX(⑰工程労務費一覧!$H$5:$H$753,MATCH($F62,⑰工程労務費一覧!$D$5:$D$753,0))/1000,IF($D62="kg",INDEX(⑰工程労務費一覧!$H$5:$H$753,MATCH($F62,⑰工程労務費一覧!$D$5:$D$753,0)),INDEX(⑰工程労務費一覧!$I$5:$I$753,MATCH($F62,⑰工程労務費一覧!$D$5:$D$753,0)))))),"")</f>
        <v/>
      </c>
      <c r="I62" s="392">
        <f>IF($K62&gt;0,IF(ISNUMBER(IF(OR($D62="g",$D62="ｇ"),IF($M62&gt;0,$L62/$M62/1000,""),IF($D62="kg",IF($M62&gt;0,$L62/$M62,""),IF($D62="",IF($M62&gt;0,$L62/$M62/1000,IF($O62&gt;0,$N62/$O62,"")),IF($O62&gt;0,$N62/$O62,""))))),IF($D62="",IF($M62&gt;0,"◎ JAN紐づけ(g扱い)","◎ JAN紐づけ(個扱い)"),"◎ JAN紐づけ"),"△ JAN紐づけ済・実績不足→仮計算"),IF($F62="",IF(ISNUMBER($H62),IF($D62="","⑤ 工程平均で仮計算(g扱い)","⑤ 工程平均で仮計算"),IF($E62="⑩盛付梱包工程入力","⑥ 盛り込み(⑳F列で計上)",IF(AND($E62="⑬計量工程入力",OR($D62="個",$D62="切",$D62="本",$D62="枚",$D62="尾")),"① 未紐づけ(カット個単位は仮単価なし)","① 未紐づけ"))),IF(NOT(ISNUMBER($H62)),"② 工程側に単価なし",IF($D62="","③ 単位未設定(個で計算)","④ OK"))))</f>
        <v/>
      </c>
      <c r="J62" s="399">
        <f>IFERROR(LOOKUP(2,1/((中間品リスト!$F$2:$F$1299=$B62)*(中間品リスト!$E$2:$E$1299&lt;&gt;"-")*(中間品リスト!$E$2:$E$1299&lt;&gt;"")),中間品リスト!$E$2:$E$1299),"")</f>
        <v/>
      </c>
      <c r="K62" s="400">
        <f>IF($J62="",0,COUNTIF(②釜工程入力!$S$5:$S$117,$J62)+COUNTIF(③スチコン工程入力!$S$5:$S$152,$J62)+COUNTIF(⑪ZEN工程入力!$S$6:$S$35,$J62)+COUNTIF(⑫ミキサー工程入力!$S$6:$S$65,$J62)+COUNTIF(⑬計量工程入力!$S$6:$S$65,$J62)+COUNTIF(⑭手動工程入力!$S$6:$S$47,$J62))</f>
        <v/>
      </c>
      <c r="L62" s="393">
        <f>IF($J62="",0,SUMIFS(②釜工程入力!$M$5:$M$117,②釜工程入力!$S$5:$S$117,$J62,②釜工程入力!$I$5:$I$117,"&gt;0")+SUMIFS(③スチコン工程入力!$M$5:$M$152,③スチコン工程入力!$S$5:$S$152,$J62,③スチコン工程入力!$I$5:$I$152,"&gt;0")+SUMIFS(⑪ZEN工程入力!$M$6:$M$35,⑪ZEN工程入力!$S$6:$S$35,$J62,⑪ZEN工程入力!$I$6:$I$35,"&gt;0")+SUMIFS(⑫ミキサー工程入力!$M$6:$M$65,⑫ミキサー工程入力!$S$6:$S$65,$J62,⑫ミキサー工程入力!$I$6:$I$65,"&gt;0")+SUMIFS(⑬計量工程入力!$M$6:$M$65,⑬計量工程入力!$S$6:$S$65,$J62,⑬計量工程入力!$I$6:$I$65,"&gt;0")+SUMIFS(⑭手動工程入力!$M$6:$M$47,⑭手動工程入力!$S$6:$S$47,$J62,⑭手動工程入力!$I$6:$I$47,"&gt;0"))</f>
        <v/>
      </c>
      <c r="M62" s="393">
        <f>IF($J62="",0,SUMIFS(②釜工程入力!$I$5:$I$117,②釜工程入力!$S$5:$S$117,$J62,②釜工程入力!$I$5:$I$117,"&gt;0",②釜工程入力!$M$5:$M$117,"&gt;0")+SUMIFS(③スチコン工程入力!$I$5:$I$152,③スチコン工程入力!$S$5:$S$152,$J62,③スチコン工程入力!$I$5:$I$152,"&gt;0",③スチコン工程入力!$M$5:$M$152,"&gt;0")+SUMIFS(⑪ZEN工程入力!$I$6:$I$35,⑪ZEN工程入力!$S$6:$S$35,$J62,⑪ZEN工程入力!$I$6:$I$35,"&gt;0",⑪ZEN工程入力!$M$6:$M$35,"&gt;0")+SUMIFS(⑫ミキサー工程入力!$I$6:$I$65,⑫ミキサー工程入力!$S$6:$S$65,$J62,⑫ミキサー工程入力!$I$6:$I$65,"&gt;0",⑫ミキサー工程入力!$M$6:$M$65,"&gt;0")+SUMIFS(⑬計量工程入力!$I$6:$I$65,⑬計量工程入力!$S$6:$S$65,$J62,⑬計量工程入力!$I$6:$I$65,"&gt;0",⑬計量工程入力!$M$6:$M$65,"&gt;0")+SUMIFS(⑭手動工程入力!$I$6:$I$47,⑭手動工程入力!$S$6:$S$47,$J62,⑭手動工程入力!$I$6:$I$47,"&gt;0",⑭手動工程入力!$M$6:$M$47,"&gt;0"))</f>
        <v/>
      </c>
      <c r="N62" s="393">
        <f>IF($J62="",0,SUMIFS(②釜工程入力!$M$5:$M$117,②釜工程入力!$S$5:$S$117,$J62,②釜工程入力!$J$5:$J$117,"&gt;0")-SUMIFS(②釜工程入力!$M$5:$M$117,②釜工程入力!$S$5:$S$117,$J62,②釜工程入力!$J$5:$J$117,"&gt;0",②釜工程入力!$I$5:$I$117,"&gt;0")+SUMIFS(③スチコン工程入力!$M$5:$M$152,③スチコン工程入力!$S$5:$S$152,$J62,③スチコン工程入力!$J$5:$J$152,"&gt;0")-SUMIFS(③スチコン工程入力!$M$5:$M$152,③スチコン工程入力!$S$5:$S$152,$J62,③スチコン工程入力!$J$5:$J$152,"&gt;0",③スチコン工程入力!$I$5:$I$152,"&gt;0")+SUMIFS(⑪ZEN工程入力!$M$6:$M$35,⑪ZEN工程入力!$S$6:$S$35,$J62,⑪ZEN工程入力!$J$6:$J$35,"&gt;0")-SUMIFS(⑪ZEN工程入力!$M$6:$M$35,⑪ZEN工程入力!$S$6:$S$35,$J62,⑪ZEN工程入力!$J$6:$J$35,"&gt;0",⑪ZEN工程入力!$I$6:$I$35,"&gt;0")+SUMIFS(⑫ミキサー工程入力!$M$6:$M$65,⑫ミキサー工程入力!$S$6:$S$65,$J62,⑫ミキサー工程入力!$J$6:$J$65,"&gt;0")-SUMIFS(⑫ミキサー工程入力!$M$6:$M$65,⑫ミキサー工程入力!$S$6:$S$65,$J62,⑫ミキサー工程入力!$J$6:$J$65,"&gt;0",⑫ミキサー工程入力!$I$6:$I$65,"&gt;0")+SUMIFS(⑬計量工程入力!$M$6:$M$65,⑬計量工程入力!$S$6:$S$65,$J62,⑬計量工程入力!$J$6:$J$65,"&gt;0")-SUMIFS(⑬計量工程入力!$M$6:$M$65,⑬計量工程入力!$S$6:$S$65,$J62,⑬計量工程入力!$J$6:$J$65,"&gt;0",⑬計量工程入力!$I$6:$I$65,"&gt;0")+SUMIFS(⑭手動工程入力!$M$6:$M$47,⑭手動工程入力!$S$6:$S$47,$J62,⑭手動工程入力!$J$6:$J$47,"&gt;0")-SUMIFS(⑭手動工程入力!$M$6:$M$47,⑭手動工程入力!$S$6:$S$47,$J62,⑭手動工程入力!$J$6:$J$47,"&gt;0",⑭手動工程入力!$I$6:$I$47,"&gt;0"))</f>
        <v/>
      </c>
      <c r="O62" s="393">
        <f>IF($J62="",0,SUMIFS(②釜工程入力!$J$5:$J$117,②釜工程入力!$S$5:$S$117,$J62,②釜工程入力!$J$5:$J$117,"&gt;0",②釜工程入力!$M$5:$M$117,"&gt;0")-SUMIFS(②釜工程入力!$J$5:$J$117,②釜工程入力!$S$5:$S$117,$J62,②釜工程入力!$J$5:$J$117,"&gt;0",②釜工程入力!$I$5:$I$117,"&gt;0",②釜工程入力!$M$5:$M$117,"&gt;0")+SUMIFS(③スチコン工程入力!$J$5:$J$152,③スチコン工程入力!$S$5:$S$152,$J62,③スチコン工程入力!$J$5:$J$152,"&gt;0",③スチコン工程入力!$M$5:$M$152,"&gt;0")-SUMIFS(③スチコン工程入力!$J$5:$J$152,③スチコン工程入力!$S$5:$S$152,$J62,③スチコン工程入力!$J$5:$J$152,"&gt;0",③スチコン工程入力!$I$5:$I$152,"&gt;0",③スチコン工程入力!$M$5:$M$152,"&gt;0")+SUMIFS(⑪ZEN工程入力!$J$6:$J$35,⑪ZEN工程入力!$S$6:$S$35,$J62,⑪ZEN工程入力!$J$6:$J$35,"&gt;0",⑪ZEN工程入力!$M$6:$M$35,"&gt;0")-SUMIFS(⑪ZEN工程入力!$J$6:$J$35,⑪ZEN工程入力!$S$6:$S$35,$J62,⑪ZEN工程入力!$J$6:$J$35,"&gt;0",⑪ZEN工程入力!$I$6:$I$35,"&gt;0",⑪ZEN工程入力!$M$6:$M$35,"&gt;0")+SUMIFS(⑫ミキサー工程入力!$J$6:$J$65,⑫ミキサー工程入力!$S$6:$S$65,$J62,⑫ミキサー工程入力!$J$6:$J$65,"&gt;0",⑫ミキサー工程入力!$M$6:$M$65,"&gt;0")-SUMIFS(⑫ミキサー工程入力!$J$6:$J$65,⑫ミキサー工程入力!$S$6:$S$65,$J62,⑫ミキサー工程入力!$J$6:$J$65,"&gt;0",⑫ミキサー工程入力!$I$6:$I$65,"&gt;0",⑫ミキサー工程入力!$M$6:$M$65,"&gt;0")+SUMIFS(⑬計量工程入力!$J$6:$J$65,⑬計量工程入力!$S$6:$S$65,$J62,⑬計量工程入力!$J$6:$J$65,"&gt;0",⑬計量工程入力!$M$6:$M$65,"&gt;0")-SUMIFS(⑬計量工程入力!$J$6:$J$65,⑬計量工程入力!$S$6:$S$65,$J62,⑬計量工程入力!$J$6:$J$65,"&gt;0",⑬計量工程入力!$I$6:$I$65,"&gt;0",⑬計量工程入力!$M$6:$M$65,"&gt;0")+SUMIFS(⑭手動工程入力!$J$6:$J$47,⑭手動工程入力!$S$6:$S$47,$J62,⑭手動工程入力!$J$6:$J$47,"&gt;0",⑭手動工程入力!$M$6:$M$47,"&gt;0")-SUMIFS(⑭手動工程入力!$J$6:$J$47,⑭手動工程入力!$S$6:$S$47,$J62,⑭手動工程入力!$J$6:$J$47,"&gt;0",⑭手動工程入力!$I$6:$I$47,"&gt;0",⑭手動工程入力!$M$6:$M$47,"&gt;0"))</f>
        <v/>
      </c>
      <c r="P62" s="392" t="n"/>
    </row>
    <row r="63">
      <c r="A63" s="392" t="n">
        <v>59</v>
      </c>
      <c r="B63" s="392" t="n"/>
      <c r="C63" s="392" t="n"/>
      <c r="D63" s="392" t="n"/>
      <c r="E63" s="392" t="n"/>
      <c r="F63" s="394" t="n"/>
      <c r="G63" s="392" t="n"/>
      <c r="H63" s="604">
        <f>IFERROR(IF(AND($K63&gt;0,ISNUMBER(IF(OR($D63="g",$D63="ｇ"),IF($M63&gt;0,$L63/$M63/1000,""),IF($D63="kg",IF($M63&gt;0,$L63/$M63,""),IF($D63="",IF($M63&gt;0,$L63/$M63/1000,IF($O63&gt;0,$N63/$O63,"")),IF($O63&gt;0,$N63/$O63,"")))))),IF(OR($D63="g",$D63="ｇ"),IF($M63&gt;0,$L63/$M63/1000,""),IF($D63="kg",IF($M63&gt;0,$L63/$M63,""),IF($D63="",IF($M63&gt;0,$L63/$M63/1000,IF($O63&gt;0,$N63/$O63,"")),IF($O63&gt;0,$N63/$O63,"")))),IF($F63="",IF(OR($E63="",$E63="⑩盛付梱包工程入力"),"",IF(OR($D63="g",$D63="ｇ"),INDEX(⑰工程労務費一覧!$N$5:$N$11,MATCH($E63,⑰工程労務費一覧!$K$5:$K$11,0))/1000,IF($D63="kg",INDEX(⑰工程労務費一覧!$N$5:$N$11,MATCH($E63,⑰工程労務費一覧!$K$5:$K$11,0)),IF(OR($D63="個",$D63="切",$D63="本",$D63="枚",$D63="尾"),IF($E63="⑬計量工程入力","",INDEX(⑰工程労務費一覧!$P$5:$P$11,MATCH($E63,⑰工程労務費一覧!$K$5:$K$11,0))),IF(AND($D63="",OR($E63="②釜工程入力",$E63="③スチコン工程入力")),INDEX(⑰工程労務費一覧!$N$5:$N$11,MATCH($E63,⑰工程労務費一覧!$K$5:$K$11,0))/1000,""))))),IF(OR($D63="g",$D63="ｇ"),INDEX(⑰工程労務費一覧!$H$5:$H$753,MATCH($F63,⑰工程労務費一覧!$D$5:$D$753,0))/1000,IF($D63="kg",INDEX(⑰工程労務費一覧!$H$5:$H$753,MATCH($F63,⑰工程労務費一覧!$D$5:$D$753,0)),INDEX(⑰工程労務費一覧!$I$5:$I$753,MATCH($F63,⑰工程労務費一覧!$D$5:$D$753,0)))))),"")</f>
        <v/>
      </c>
      <c r="I63" s="392">
        <f>IF($K63&gt;0,IF(ISNUMBER(IF(OR($D63="g",$D63="ｇ"),IF($M63&gt;0,$L63/$M63/1000,""),IF($D63="kg",IF($M63&gt;0,$L63/$M63,""),IF($D63="",IF($M63&gt;0,$L63/$M63/1000,IF($O63&gt;0,$N63/$O63,"")),IF($O63&gt;0,$N63/$O63,""))))),IF($D63="",IF($M63&gt;0,"◎ JAN紐づけ(g扱い)","◎ JAN紐づけ(個扱い)"),"◎ JAN紐づけ"),"△ JAN紐づけ済・実績不足→仮計算"),IF($F63="",IF(ISNUMBER($H63),IF($D63="","⑤ 工程平均で仮計算(g扱い)","⑤ 工程平均で仮計算"),IF($E63="⑩盛付梱包工程入力","⑥ 盛り込み(⑳F列で計上)",IF(AND($E63="⑬計量工程入力",OR($D63="個",$D63="切",$D63="本",$D63="枚",$D63="尾")),"① 未紐づけ(カット個単位は仮単価なし)","① 未紐づけ"))),IF(NOT(ISNUMBER($H63)),"② 工程側に単価なし",IF($D63="","③ 単位未設定(個で計算)","④ OK"))))</f>
        <v/>
      </c>
      <c r="J63" s="399">
        <f>IFERROR(LOOKUP(2,1/((中間品リスト!$F$2:$F$1299=$B63)*(中間品リスト!$E$2:$E$1299&lt;&gt;"-")*(中間品リスト!$E$2:$E$1299&lt;&gt;"")),中間品リスト!$E$2:$E$1299),"")</f>
        <v/>
      </c>
      <c r="K63" s="400">
        <f>IF($J63="",0,COUNTIF(②釜工程入力!$S$5:$S$117,$J63)+COUNTIF(③スチコン工程入力!$S$5:$S$152,$J63)+COUNTIF(⑪ZEN工程入力!$S$6:$S$35,$J63)+COUNTIF(⑫ミキサー工程入力!$S$6:$S$65,$J63)+COUNTIF(⑬計量工程入力!$S$6:$S$65,$J63)+COUNTIF(⑭手動工程入力!$S$6:$S$47,$J63))</f>
        <v/>
      </c>
      <c r="L63" s="393">
        <f>IF($J63="",0,SUMIFS(②釜工程入力!$M$5:$M$117,②釜工程入力!$S$5:$S$117,$J63,②釜工程入力!$I$5:$I$117,"&gt;0")+SUMIFS(③スチコン工程入力!$M$5:$M$152,③スチコン工程入力!$S$5:$S$152,$J63,③スチコン工程入力!$I$5:$I$152,"&gt;0")+SUMIFS(⑪ZEN工程入力!$M$6:$M$35,⑪ZEN工程入力!$S$6:$S$35,$J63,⑪ZEN工程入力!$I$6:$I$35,"&gt;0")+SUMIFS(⑫ミキサー工程入力!$M$6:$M$65,⑫ミキサー工程入力!$S$6:$S$65,$J63,⑫ミキサー工程入力!$I$6:$I$65,"&gt;0")+SUMIFS(⑬計量工程入力!$M$6:$M$65,⑬計量工程入力!$S$6:$S$65,$J63,⑬計量工程入力!$I$6:$I$65,"&gt;0")+SUMIFS(⑭手動工程入力!$M$6:$M$47,⑭手動工程入力!$S$6:$S$47,$J63,⑭手動工程入力!$I$6:$I$47,"&gt;0"))</f>
        <v/>
      </c>
      <c r="M63" s="393">
        <f>IF($J63="",0,SUMIFS(②釜工程入力!$I$5:$I$117,②釜工程入力!$S$5:$S$117,$J63,②釜工程入力!$I$5:$I$117,"&gt;0",②釜工程入力!$M$5:$M$117,"&gt;0")+SUMIFS(③スチコン工程入力!$I$5:$I$152,③スチコン工程入力!$S$5:$S$152,$J63,③スチコン工程入力!$I$5:$I$152,"&gt;0",③スチコン工程入力!$M$5:$M$152,"&gt;0")+SUMIFS(⑪ZEN工程入力!$I$6:$I$35,⑪ZEN工程入力!$S$6:$S$35,$J63,⑪ZEN工程入力!$I$6:$I$35,"&gt;0",⑪ZEN工程入力!$M$6:$M$35,"&gt;0")+SUMIFS(⑫ミキサー工程入力!$I$6:$I$65,⑫ミキサー工程入力!$S$6:$S$65,$J63,⑫ミキサー工程入力!$I$6:$I$65,"&gt;0",⑫ミキサー工程入力!$M$6:$M$65,"&gt;0")+SUMIFS(⑬計量工程入力!$I$6:$I$65,⑬計量工程入力!$S$6:$S$65,$J63,⑬計量工程入力!$I$6:$I$65,"&gt;0",⑬計量工程入力!$M$6:$M$65,"&gt;0")+SUMIFS(⑭手動工程入力!$I$6:$I$47,⑭手動工程入力!$S$6:$S$47,$J63,⑭手動工程入力!$I$6:$I$47,"&gt;0",⑭手動工程入力!$M$6:$M$47,"&gt;0"))</f>
        <v/>
      </c>
      <c r="N63" s="393">
        <f>IF($J63="",0,SUMIFS(②釜工程入力!$M$5:$M$117,②釜工程入力!$S$5:$S$117,$J63,②釜工程入力!$J$5:$J$117,"&gt;0")-SUMIFS(②釜工程入力!$M$5:$M$117,②釜工程入力!$S$5:$S$117,$J63,②釜工程入力!$J$5:$J$117,"&gt;0",②釜工程入力!$I$5:$I$117,"&gt;0")+SUMIFS(③スチコン工程入力!$M$5:$M$152,③スチコン工程入力!$S$5:$S$152,$J63,③スチコン工程入力!$J$5:$J$152,"&gt;0")-SUMIFS(③スチコン工程入力!$M$5:$M$152,③スチコン工程入力!$S$5:$S$152,$J63,③スチコン工程入力!$J$5:$J$152,"&gt;0",③スチコン工程入力!$I$5:$I$152,"&gt;0")+SUMIFS(⑪ZEN工程入力!$M$6:$M$35,⑪ZEN工程入力!$S$6:$S$35,$J63,⑪ZEN工程入力!$J$6:$J$35,"&gt;0")-SUMIFS(⑪ZEN工程入力!$M$6:$M$35,⑪ZEN工程入力!$S$6:$S$35,$J63,⑪ZEN工程入力!$J$6:$J$35,"&gt;0",⑪ZEN工程入力!$I$6:$I$35,"&gt;0")+SUMIFS(⑫ミキサー工程入力!$M$6:$M$65,⑫ミキサー工程入力!$S$6:$S$65,$J63,⑫ミキサー工程入力!$J$6:$J$65,"&gt;0")-SUMIFS(⑫ミキサー工程入力!$M$6:$M$65,⑫ミキサー工程入力!$S$6:$S$65,$J63,⑫ミキサー工程入力!$J$6:$J$65,"&gt;0",⑫ミキサー工程入力!$I$6:$I$65,"&gt;0")+SUMIFS(⑬計量工程入力!$M$6:$M$65,⑬計量工程入力!$S$6:$S$65,$J63,⑬計量工程入力!$J$6:$J$65,"&gt;0")-SUMIFS(⑬計量工程入力!$M$6:$M$65,⑬計量工程入力!$S$6:$S$65,$J63,⑬計量工程入力!$J$6:$J$65,"&gt;0",⑬計量工程入力!$I$6:$I$65,"&gt;0")+SUMIFS(⑭手動工程入力!$M$6:$M$47,⑭手動工程入力!$S$6:$S$47,$J63,⑭手動工程入力!$J$6:$J$47,"&gt;0")-SUMIFS(⑭手動工程入力!$M$6:$M$47,⑭手動工程入力!$S$6:$S$47,$J63,⑭手動工程入力!$J$6:$J$47,"&gt;0",⑭手動工程入力!$I$6:$I$47,"&gt;0"))</f>
        <v/>
      </c>
      <c r="O63" s="393">
        <f>IF($J63="",0,SUMIFS(②釜工程入力!$J$5:$J$117,②釜工程入力!$S$5:$S$117,$J63,②釜工程入力!$J$5:$J$117,"&gt;0",②釜工程入力!$M$5:$M$117,"&gt;0")-SUMIFS(②釜工程入力!$J$5:$J$117,②釜工程入力!$S$5:$S$117,$J63,②釜工程入力!$J$5:$J$117,"&gt;0",②釜工程入力!$I$5:$I$117,"&gt;0",②釜工程入力!$M$5:$M$117,"&gt;0")+SUMIFS(③スチコン工程入力!$J$5:$J$152,③スチコン工程入力!$S$5:$S$152,$J63,③スチコン工程入力!$J$5:$J$152,"&gt;0",③スチコン工程入力!$M$5:$M$152,"&gt;0")-SUMIFS(③スチコン工程入力!$J$5:$J$152,③スチコン工程入力!$S$5:$S$152,$J63,③スチコン工程入力!$J$5:$J$152,"&gt;0",③スチコン工程入力!$I$5:$I$152,"&gt;0",③スチコン工程入力!$M$5:$M$152,"&gt;0")+SUMIFS(⑪ZEN工程入力!$J$6:$J$35,⑪ZEN工程入力!$S$6:$S$35,$J63,⑪ZEN工程入力!$J$6:$J$35,"&gt;0",⑪ZEN工程入力!$M$6:$M$35,"&gt;0")-SUMIFS(⑪ZEN工程入力!$J$6:$J$35,⑪ZEN工程入力!$S$6:$S$35,$J63,⑪ZEN工程入力!$J$6:$J$35,"&gt;0",⑪ZEN工程入力!$I$6:$I$35,"&gt;0",⑪ZEN工程入力!$M$6:$M$35,"&gt;0")+SUMIFS(⑫ミキサー工程入力!$J$6:$J$65,⑫ミキサー工程入力!$S$6:$S$65,$J63,⑫ミキサー工程入力!$J$6:$J$65,"&gt;0",⑫ミキサー工程入力!$M$6:$M$65,"&gt;0")-SUMIFS(⑫ミキサー工程入力!$J$6:$J$65,⑫ミキサー工程入力!$S$6:$S$65,$J63,⑫ミキサー工程入力!$J$6:$J$65,"&gt;0",⑫ミキサー工程入力!$I$6:$I$65,"&gt;0",⑫ミキサー工程入力!$M$6:$M$65,"&gt;0")+SUMIFS(⑬計量工程入力!$J$6:$J$65,⑬計量工程入力!$S$6:$S$65,$J63,⑬計量工程入力!$J$6:$J$65,"&gt;0",⑬計量工程入力!$M$6:$M$65,"&gt;0")-SUMIFS(⑬計量工程入力!$J$6:$J$65,⑬計量工程入力!$S$6:$S$65,$J63,⑬計量工程入力!$J$6:$J$65,"&gt;0",⑬計量工程入力!$I$6:$I$65,"&gt;0",⑬計量工程入力!$M$6:$M$65,"&gt;0")+SUMIFS(⑭手動工程入力!$J$6:$J$47,⑭手動工程入力!$S$6:$S$47,$J63,⑭手動工程入力!$J$6:$J$47,"&gt;0",⑭手動工程入力!$M$6:$M$47,"&gt;0")-SUMIFS(⑭手動工程入力!$J$6:$J$47,⑭手動工程入力!$S$6:$S$47,$J63,⑭手動工程入力!$J$6:$J$47,"&gt;0",⑭手動工程入力!$I$6:$I$47,"&gt;0",⑭手動工程入力!$M$6:$M$47,"&gt;0"))</f>
        <v/>
      </c>
      <c r="P63" s="392" t="n"/>
    </row>
    <row r="64">
      <c r="A64" s="392" t="n">
        <v>60</v>
      </c>
      <c r="B64" s="392" t="n"/>
      <c r="C64" s="392" t="n"/>
      <c r="D64" s="392" t="n"/>
      <c r="E64" s="392" t="n"/>
      <c r="F64" s="394" t="n"/>
      <c r="G64" s="392" t="n"/>
      <c r="H64" s="604">
        <f>IFERROR(IF(AND($K64&gt;0,ISNUMBER(IF(OR($D64="g",$D64="ｇ"),IF($M64&gt;0,$L64/$M64/1000,""),IF($D64="kg",IF($M64&gt;0,$L64/$M64,""),IF($D64="",IF($M64&gt;0,$L64/$M64/1000,IF($O64&gt;0,$N64/$O64,"")),IF($O64&gt;0,$N64/$O64,"")))))),IF(OR($D64="g",$D64="ｇ"),IF($M64&gt;0,$L64/$M64/1000,""),IF($D64="kg",IF($M64&gt;0,$L64/$M64,""),IF($D64="",IF($M64&gt;0,$L64/$M64/1000,IF($O64&gt;0,$N64/$O64,"")),IF($O64&gt;0,$N64/$O64,"")))),IF($F64="",IF(OR($E64="",$E64="⑩盛付梱包工程入力"),"",IF(OR($D64="g",$D64="ｇ"),INDEX(⑰工程労務費一覧!$N$5:$N$11,MATCH($E64,⑰工程労務費一覧!$K$5:$K$11,0))/1000,IF($D64="kg",INDEX(⑰工程労務費一覧!$N$5:$N$11,MATCH($E64,⑰工程労務費一覧!$K$5:$K$11,0)),IF(OR($D64="個",$D64="切",$D64="本",$D64="枚",$D64="尾"),IF($E64="⑬計量工程入力","",INDEX(⑰工程労務費一覧!$P$5:$P$11,MATCH($E64,⑰工程労務費一覧!$K$5:$K$11,0))),IF(AND($D64="",OR($E64="②釜工程入力",$E64="③スチコン工程入力")),INDEX(⑰工程労務費一覧!$N$5:$N$11,MATCH($E64,⑰工程労務費一覧!$K$5:$K$11,0))/1000,""))))),IF(OR($D64="g",$D64="ｇ"),INDEX(⑰工程労務費一覧!$H$5:$H$753,MATCH($F64,⑰工程労務費一覧!$D$5:$D$753,0))/1000,IF($D64="kg",INDEX(⑰工程労務費一覧!$H$5:$H$753,MATCH($F64,⑰工程労務費一覧!$D$5:$D$753,0)),INDEX(⑰工程労務費一覧!$I$5:$I$753,MATCH($F64,⑰工程労務費一覧!$D$5:$D$753,0)))))),"")</f>
        <v/>
      </c>
      <c r="I64" s="392">
        <f>IF($K64&gt;0,IF(ISNUMBER(IF(OR($D64="g",$D64="ｇ"),IF($M64&gt;0,$L64/$M64/1000,""),IF($D64="kg",IF($M64&gt;0,$L64/$M64,""),IF($D64="",IF($M64&gt;0,$L64/$M64/1000,IF($O64&gt;0,$N64/$O64,"")),IF($O64&gt;0,$N64/$O64,""))))),IF($D64="",IF($M64&gt;0,"◎ JAN紐づけ(g扱い)","◎ JAN紐づけ(個扱い)"),"◎ JAN紐づけ"),"△ JAN紐づけ済・実績不足→仮計算"),IF($F64="",IF(ISNUMBER($H64),IF($D64="","⑤ 工程平均で仮計算(g扱い)","⑤ 工程平均で仮計算"),IF($E64="⑩盛付梱包工程入力","⑥ 盛り込み(⑳F列で計上)",IF(AND($E64="⑬計量工程入力",OR($D64="個",$D64="切",$D64="本",$D64="枚",$D64="尾")),"① 未紐づけ(カット個単位は仮単価なし)","① 未紐づけ"))),IF(NOT(ISNUMBER($H64)),"② 工程側に単価なし",IF($D64="","③ 単位未設定(個で計算)","④ OK"))))</f>
        <v/>
      </c>
      <c r="J64" s="399">
        <f>IFERROR(LOOKUP(2,1/((中間品リスト!$F$2:$F$1299=$B64)*(中間品リスト!$E$2:$E$1299&lt;&gt;"-")*(中間品リスト!$E$2:$E$1299&lt;&gt;"")),中間品リスト!$E$2:$E$1299),"")</f>
        <v/>
      </c>
      <c r="K64" s="400">
        <f>IF($J64="",0,COUNTIF(②釜工程入力!$S$5:$S$117,$J64)+COUNTIF(③スチコン工程入力!$S$5:$S$152,$J64)+COUNTIF(⑪ZEN工程入力!$S$6:$S$35,$J64)+COUNTIF(⑫ミキサー工程入力!$S$6:$S$65,$J64)+COUNTIF(⑬計量工程入力!$S$6:$S$65,$J64)+COUNTIF(⑭手動工程入力!$S$6:$S$47,$J64))</f>
        <v/>
      </c>
      <c r="L64" s="393">
        <f>IF($J64="",0,SUMIFS(②釜工程入力!$M$5:$M$117,②釜工程入力!$S$5:$S$117,$J64,②釜工程入力!$I$5:$I$117,"&gt;0")+SUMIFS(③スチコン工程入力!$M$5:$M$152,③スチコン工程入力!$S$5:$S$152,$J64,③スチコン工程入力!$I$5:$I$152,"&gt;0")+SUMIFS(⑪ZEN工程入力!$M$6:$M$35,⑪ZEN工程入力!$S$6:$S$35,$J64,⑪ZEN工程入力!$I$6:$I$35,"&gt;0")+SUMIFS(⑫ミキサー工程入力!$M$6:$M$65,⑫ミキサー工程入力!$S$6:$S$65,$J64,⑫ミキサー工程入力!$I$6:$I$65,"&gt;0")+SUMIFS(⑬計量工程入力!$M$6:$M$65,⑬計量工程入力!$S$6:$S$65,$J64,⑬計量工程入力!$I$6:$I$65,"&gt;0")+SUMIFS(⑭手動工程入力!$M$6:$M$47,⑭手動工程入力!$S$6:$S$47,$J64,⑭手動工程入力!$I$6:$I$47,"&gt;0"))</f>
        <v/>
      </c>
      <c r="M64" s="393">
        <f>IF($J64="",0,SUMIFS(②釜工程入力!$I$5:$I$117,②釜工程入力!$S$5:$S$117,$J64,②釜工程入力!$I$5:$I$117,"&gt;0",②釜工程入力!$M$5:$M$117,"&gt;0")+SUMIFS(③スチコン工程入力!$I$5:$I$152,③スチコン工程入力!$S$5:$S$152,$J64,③スチコン工程入力!$I$5:$I$152,"&gt;0",③スチコン工程入力!$M$5:$M$152,"&gt;0")+SUMIFS(⑪ZEN工程入力!$I$6:$I$35,⑪ZEN工程入力!$S$6:$S$35,$J64,⑪ZEN工程入力!$I$6:$I$35,"&gt;0",⑪ZEN工程入力!$M$6:$M$35,"&gt;0")+SUMIFS(⑫ミキサー工程入力!$I$6:$I$65,⑫ミキサー工程入力!$S$6:$S$65,$J64,⑫ミキサー工程入力!$I$6:$I$65,"&gt;0",⑫ミキサー工程入力!$M$6:$M$65,"&gt;0")+SUMIFS(⑬計量工程入力!$I$6:$I$65,⑬計量工程入力!$S$6:$S$65,$J64,⑬計量工程入力!$I$6:$I$65,"&gt;0",⑬計量工程入力!$M$6:$M$65,"&gt;0")+SUMIFS(⑭手動工程入力!$I$6:$I$47,⑭手動工程入力!$S$6:$S$47,$J64,⑭手動工程入力!$I$6:$I$47,"&gt;0",⑭手動工程入力!$M$6:$M$47,"&gt;0"))</f>
        <v/>
      </c>
      <c r="N64" s="393">
        <f>IF($J64="",0,SUMIFS(②釜工程入力!$M$5:$M$117,②釜工程入力!$S$5:$S$117,$J64,②釜工程入力!$J$5:$J$117,"&gt;0")-SUMIFS(②釜工程入力!$M$5:$M$117,②釜工程入力!$S$5:$S$117,$J64,②釜工程入力!$J$5:$J$117,"&gt;0",②釜工程入力!$I$5:$I$117,"&gt;0")+SUMIFS(③スチコン工程入力!$M$5:$M$152,③スチコン工程入力!$S$5:$S$152,$J64,③スチコン工程入力!$J$5:$J$152,"&gt;0")-SUMIFS(③スチコン工程入力!$M$5:$M$152,③スチコン工程入力!$S$5:$S$152,$J64,③スチコン工程入力!$J$5:$J$152,"&gt;0",③スチコン工程入力!$I$5:$I$152,"&gt;0")+SUMIFS(⑪ZEN工程入力!$M$6:$M$35,⑪ZEN工程入力!$S$6:$S$35,$J64,⑪ZEN工程入力!$J$6:$J$35,"&gt;0")-SUMIFS(⑪ZEN工程入力!$M$6:$M$35,⑪ZEN工程入力!$S$6:$S$35,$J64,⑪ZEN工程入力!$J$6:$J$35,"&gt;0",⑪ZEN工程入力!$I$6:$I$35,"&gt;0")+SUMIFS(⑫ミキサー工程入力!$M$6:$M$65,⑫ミキサー工程入力!$S$6:$S$65,$J64,⑫ミキサー工程入力!$J$6:$J$65,"&gt;0")-SUMIFS(⑫ミキサー工程入力!$M$6:$M$65,⑫ミキサー工程入力!$S$6:$S$65,$J64,⑫ミキサー工程入力!$J$6:$J$65,"&gt;0",⑫ミキサー工程入力!$I$6:$I$65,"&gt;0")+SUMIFS(⑬計量工程入力!$M$6:$M$65,⑬計量工程入力!$S$6:$S$65,$J64,⑬計量工程入力!$J$6:$J$65,"&gt;0")-SUMIFS(⑬計量工程入力!$M$6:$M$65,⑬計量工程入力!$S$6:$S$65,$J64,⑬計量工程入力!$J$6:$J$65,"&gt;0",⑬計量工程入力!$I$6:$I$65,"&gt;0")+SUMIFS(⑭手動工程入力!$M$6:$M$47,⑭手動工程入力!$S$6:$S$47,$J64,⑭手動工程入力!$J$6:$J$47,"&gt;0")-SUMIFS(⑭手動工程入力!$M$6:$M$47,⑭手動工程入力!$S$6:$S$47,$J64,⑭手動工程入力!$J$6:$J$47,"&gt;0",⑭手動工程入力!$I$6:$I$47,"&gt;0"))</f>
        <v/>
      </c>
      <c r="O64" s="393">
        <f>IF($J64="",0,SUMIFS(②釜工程入力!$J$5:$J$117,②釜工程入力!$S$5:$S$117,$J64,②釜工程入力!$J$5:$J$117,"&gt;0",②釜工程入力!$M$5:$M$117,"&gt;0")-SUMIFS(②釜工程入力!$J$5:$J$117,②釜工程入力!$S$5:$S$117,$J64,②釜工程入力!$J$5:$J$117,"&gt;0",②釜工程入力!$I$5:$I$117,"&gt;0",②釜工程入力!$M$5:$M$117,"&gt;0")+SUMIFS(③スチコン工程入力!$J$5:$J$152,③スチコン工程入力!$S$5:$S$152,$J64,③スチコン工程入力!$J$5:$J$152,"&gt;0",③スチコン工程入力!$M$5:$M$152,"&gt;0")-SUMIFS(③スチコン工程入力!$J$5:$J$152,③スチコン工程入力!$S$5:$S$152,$J64,③スチコン工程入力!$J$5:$J$152,"&gt;0",③スチコン工程入力!$I$5:$I$152,"&gt;0",③スチコン工程入力!$M$5:$M$152,"&gt;0")+SUMIFS(⑪ZEN工程入力!$J$6:$J$35,⑪ZEN工程入力!$S$6:$S$35,$J64,⑪ZEN工程入力!$J$6:$J$35,"&gt;0",⑪ZEN工程入力!$M$6:$M$35,"&gt;0")-SUMIFS(⑪ZEN工程入力!$J$6:$J$35,⑪ZEN工程入力!$S$6:$S$35,$J64,⑪ZEN工程入力!$J$6:$J$35,"&gt;0",⑪ZEN工程入力!$I$6:$I$35,"&gt;0",⑪ZEN工程入力!$M$6:$M$35,"&gt;0")+SUMIFS(⑫ミキサー工程入力!$J$6:$J$65,⑫ミキサー工程入力!$S$6:$S$65,$J64,⑫ミキサー工程入力!$J$6:$J$65,"&gt;0",⑫ミキサー工程入力!$M$6:$M$65,"&gt;0")-SUMIFS(⑫ミキサー工程入力!$J$6:$J$65,⑫ミキサー工程入力!$S$6:$S$65,$J64,⑫ミキサー工程入力!$J$6:$J$65,"&gt;0",⑫ミキサー工程入力!$I$6:$I$65,"&gt;0",⑫ミキサー工程入力!$M$6:$M$65,"&gt;0")+SUMIFS(⑬計量工程入力!$J$6:$J$65,⑬計量工程入力!$S$6:$S$65,$J64,⑬計量工程入力!$J$6:$J$65,"&gt;0",⑬計量工程入力!$M$6:$M$65,"&gt;0")-SUMIFS(⑬計量工程入力!$J$6:$J$65,⑬計量工程入力!$S$6:$S$65,$J64,⑬計量工程入力!$J$6:$J$65,"&gt;0",⑬計量工程入力!$I$6:$I$65,"&gt;0",⑬計量工程入力!$M$6:$M$65,"&gt;0")+SUMIFS(⑭手動工程入力!$J$6:$J$47,⑭手動工程入力!$S$6:$S$47,$J64,⑭手動工程入力!$J$6:$J$47,"&gt;0",⑭手動工程入力!$M$6:$M$47,"&gt;0")-SUMIFS(⑭手動工程入力!$J$6:$J$47,⑭手動工程入力!$S$6:$S$47,$J64,⑭手動工程入力!$J$6:$J$47,"&gt;0",⑭手動工程入力!$I$6:$I$47,"&gt;0",⑭手動工程入力!$M$6:$M$47,"&gt;0"))</f>
        <v/>
      </c>
      <c r="P64" s="392" t="n"/>
    </row>
    <row r="65">
      <c r="A65" s="392" t="n">
        <v>61</v>
      </c>
      <c r="B65" s="392" t="n"/>
      <c r="C65" s="392" t="n"/>
      <c r="D65" s="392" t="n"/>
      <c r="E65" s="392" t="n"/>
      <c r="F65" s="394" t="n"/>
      <c r="G65" s="392" t="n"/>
      <c r="H65" s="604">
        <f>IFERROR(IF(AND($K65&gt;0,ISNUMBER(IF(OR($D65="g",$D65="ｇ"),IF($M65&gt;0,$L65/$M65/1000,""),IF($D65="kg",IF($M65&gt;0,$L65/$M65,""),IF($D65="",IF($M65&gt;0,$L65/$M65/1000,IF($O65&gt;0,$N65/$O65,"")),IF($O65&gt;0,$N65/$O65,"")))))),IF(OR($D65="g",$D65="ｇ"),IF($M65&gt;0,$L65/$M65/1000,""),IF($D65="kg",IF($M65&gt;0,$L65/$M65,""),IF($D65="",IF($M65&gt;0,$L65/$M65/1000,IF($O65&gt;0,$N65/$O65,"")),IF($O65&gt;0,$N65/$O65,"")))),IF($F65="",IF(OR($E65="",$E65="⑩盛付梱包工程入力"),"",IF(OR($D65="g",$D65="ｇ"),INDEX(⑰工程労務費一覧!$N$5:$N$11,MATCH($E65,⑰工程労務費一覧!$K$5:$K$11,0))/1000,IF($D65="kg",INDEX(⑰工程労務費一覧!$N$5:$N$11,MATCH($E65,⑰工程労務費一覧!$K$5:$K$11,0)),IF(OR($D65="個",$D65="切",$D65="本",$D65="枚",$D65="尾"),IF($E65="⑬計量工程入力","",INDEX(⑰工程労務費一覧!$P$5:$P$11,MATCH($E65,⑰工程労務費一覧!$K$5:$K$11,0))),IF(AND($D65="",OR($E65="②釜工程入力",$E65="③スチコン工程入力")),INDEX(⑰工程労務費一覧!$N$5:$N$11,MATCH($E65,⑰工程労務費一覧!$K$5:$K$11,0))/1000,""))))),IF(OR($D65="g",$D65="ｇ"),INDEX(⑰工程労務費一覧!$H$5:$H$753,MATCH($F65,⑰工程労務費一覧!$D$5:$D$753,0))/1000,IF($D65="kg",INDEX(⑰工程労務費一覧!$H$5:$H$753,MATCH($F65,⑰工程労務費一覧!$D$5:$D$753,0)),INDEX(⑰工程労務費一覧!$I$5:$I$753,MATCH($F65,⑰工程労務費一覧!$D$5:$D$753,0)))))),"")</f>
        <v/>
      </c>
      <c r="I65" s="392">
        <f>IF($K65&gt;0,IF(ISNUMBER(IF(OR($D65="g",$D65="ｇ"),IF($M65&gt;0,$L65/$M65/1000,""),IF($D65="kg",IF($M65&gt;0,$L65/$M65,""),IF($D65="",IF($M65&gt;0,$L65/$M65/1000,IF($O65&gt;0,$N65/$O65,"")),IF($O65&gt;0,$N65/$O65,""))))),IF($D65="",IF($M65&gt;0,"◎ JAN紐づけ(g扱い)","◎ JAN紐づけ(個扱い)"),"◎ JAN紐づけ"),"△ JAN紐づけ済・実績不足→仮計算"),IF($F65="",IF(ISNUMBER($H65),IF($D65="","⑤ 工程平均で仮計算(g扱い)","⑤ 工程平均で仮計算"),IF($E65="⑩盛付梱包工程入力","⑥ 盛り込み(⑳F列で計上)",IF(AND($E65="⑬計量工程入力",OR($D65="個",$D65="切",$D65="本",$D65="枚",$D65="尾")),"① 未紐づけ(カット個単位は仮単価なし)","① 未紐づけ"))),IF(NOT(ISNUMBER($H65)),"② 工程側に単価なし",IF($D65="","③ 単位未設定(個で計算)","④ OK"))))</f>
        <v/>
      </c>
      <c r="J65" s="399">
        <f>IFERROR(LOOKUP(2,1/((中間品リスト!$F$2:$F$1299=$B65)*(中間品リスト!$E$2:$E$1299&lt;&gt;"-")*(中間品リスト!$E$2:$E$1299&lt;&gt;"")),中間品リスト!$E$2:$E$1299),"")</f>
        <v/>
      </c>
      <c r="K65" s="400">
        <f>IF($J65="",0,COUNTIF(②釜工程入力!$S$5:$S$117,$J65)+COUNTIF(③スチコン工程入力!$S$5:$S$152,$J65)+COUNTIF(⑪ZEN工程入力!$S$6:$S$35,$J65)+COUNTIF(⑫ミキサー工程入力!$S$6:$S$65,$J65)+COUNTIF(⑬計量工程入力!$S$6:$S$65,$J65)+COUNTIF(⑭手動工程入力!$S$6:$S$47,$J65))</f>
        <v/>
      </c>
      <c r="L65" s="393">
        <f>IF($J65="",0,SUMIFS(②釜工程入力!$M$5:$M$117,②釜工程入力!$S$5:$S$117,$J65,②釜工程入力!$I$5:$I$117,"&gt;0")+SUMIFS(③スチコン工程入力!$M$5:$M$152,③スチコン工程入力!$S$5:$S$152,$J65,③スチコン工程入力!$I$5:$I$152,"&gt;0")+SUMIFS(⑪ZEN工程入力!$M$6:$M$35,⑪ZEN工程入力!$S$6:$S$35,$J65,⑪ZEN工程入力!$I$6:$I$35,"&gt;0")+SUMIFS(⑫ミキサー工程入力!$M$6:$M$65,⑫ミキサー工程入力!$S$6:$S$65,$J65,⑫ミキサー工程入力!$I$6:$I$65,"&gt;0")+SUMIFS(⑬計量工程入力!$M$6:$M$65,⑬計量工程入力!$S$6:$S$65,$J65,⑬計量工程入力!$I$6:$I$65,"&gt;0")+SUMIFS(⑭手動工程入力!$M$6:$M$47,⑭手動工程入力!$S$6:$S$47,$J65,⑭手動工程入力!$I$6:$I$47,"&gt;0"))</f>
        <v/>
      </c>
      <c r="M65" s="393">
        <f>IF($J65="",0,SUMIFS(②釜工程入力!$I$5:$I$117,②釜工程入力!$S$5:$S$117,$J65,②釜工程入力!$I$5:$I$117,"&gt;0",②釜工程入力!$M$5:$M$117,"&gt;0")+SUMIFS(③スチコン工程入力!$I$5:$I$152,③スチコン工程入力!$S$5:$S$152,$J65,③スチコン工程入力!$I$5:$I$152,"&gt;0",③スチコン工程入力!$M$5:$M$152,"&gt;0")+SUMIFS(⑪ZEN工程入力!$I$6:$I$35,⑪ZEN工程入力!$S$6:$S$35,$J65,⑪ZEN工程入力!$I$6:$I$35,"&gt;0",⑪ZEN工程入力!$M$6:$M$35,"&gt;0")+SUMIFS(⑫ミキサー工程入力!$I$6:$I$65,⑫ミキサー工程入力!$S$6:$S$65,$J65,⑫ミキサー工程入力!$I$6:$I$65,"&gt;0",⑫ミキサー工程入力!$M$6:$M$65,"&gt;0")+SUMIFS(⑬計量工程入力!$I$6:$I$65,⑬計量工程入力!$S$6:$S$65,$J65,⑬計量工程入力!$I$6:$I$65,"&gt;0",⑬計量工程入力!$M$6:$M$65,"&gt;0")+SUMIFS(⑭手動工程入力!$I$6:$I$47,⑭手動工程入力!$S$6:$S$47,$J65,⑭手動工程入力!$I$6:$I$47,"&gt;0",⑭手動工程入力!$M$6:$M$47,"&gt;0"))</f>
        <v/>
      </c>
      <c r="N65" s="393">
        <f>IF($J65="",0,SUMIFS(②釜工程入力!$M$5:$M$117,②釜工程入力!$S$5:$S$117,$J65,②釜工程入力!$J$5:$J$117,"&gt;0")-SUMIFS(②釜工程入力!$M$5:$M$117,②釜工程入力!$S$5:$S$117,$J65,②釜工程入力!$J$5:$J$117,"&gt;0",②釜工程入力!$I$5:$I$117,"&gt;0")+SUMIFS(③スチコン工程入力!$M$5:$M$152,③スチコン工程入力!$S$5:$S$152,$J65,③スチコン工程入力!$J$5:$J$152,"&gt;0")-SUMIFS(③スチコン工程入力!$M$5:$M$152,③スチコン工程入力!$S$5:$S$152,$J65,③スチコン工程入力!$J$5:$J$152,"&gt;0",③スチコン工程入力!$I$5:$I$152,"&gt;0")+SUMIFS(⑪ZEN工程入力!$M$6:$M$35,⑪ZEN工程入力!$S$6:$S$35,$J65,⑪ZEN工程入力!$J$6:$J$35,"&gt;0")-SUMIFS(⑪ZEN工程入力!$M$6:$M$35,⑪ZEN工程入力!$S$6:$S$35,$J65,⑪ZEN工程入力!$J$6:$J$35,"&gt;0",⑪ZEN工程入力!$I$6:$I$35,"&gt;0")+SUMIFS(⑫ミキサー工程入力!$M$6:$M$65,⑫ミキサー工程入力!$S$6:$S$65,$J65,⑫ミキサー工程入力!$J$6:$J$65,"&gt;0")-SUMIFS(⑫ミキサー工程入力!$M$6:$M$65,⑫ミキサー工程入力!$S$6:$S$65,$J65,⑫ミキサー工程入力!$J$6:$J$65,"&gt;0",⑫ミキサー工程入力!$I$6:$I$65,"&gt;0")+SUMIFS(⑬計量工程入力!$M$6:$M$65,⑬計量工程入力!$S$6:$S$65,$J65,⑬計量工程入力!$J$6:$J$65,"&gt;0")-SUMIFS(⑬計量工程入力!$M$6:$M$65,⑬計量工程入力!$S$6:$S$65,$J65,⑬計量工程入力!$J$6:$J$65,"&gt;0",⑬計量工程入力!$I$6:$I$65,"&gt;0")+SUMIFS(⑭手動工程入力!$M$6:$M$47,⑭手動工程入力!$S$6:$S$47,$J65,⑭手動工程入力!$J$6:$J$47,"&gt;0")-SUMIFS(⑭手動工程入力!$M$6:$M$47,⑭手動工程入力!$S$6:$S$47,$J65,⑭手動工程入力!$J$6:$J$47,"&gt;0",⑭手動工程入力!$I$6:$I$47,"&gt;0"))</f>
        <v/>
      </c>
      <c r="O65" s="393">
        <f>IF($J65="",0,SUMIFS(②釜工程入力!$J$5:$J$117,②釜工程入力!$S$5:$S$117,$J65,②釜工程入力!$J$5:$J$117,"&gt;0",②釜工程入力!$M$5:$M$117,"&gt;0")-SUMIFS(②釜工程入力!$J$5:$J$117,②釜工程入力!$S$5:$S$117,$J65,②釜工程入力!$J$5:$J$117,"&gt;0",②釜工程入力!$I$5:$I$117,"&gt;0",②釜工程入力!$M$5:$M$117,"&gt;0")+SUMIFS(③スチコン工程入力!$J$5:$J$152,③スチコン工程入力!$S$5:$S$152,$J65,③スチコン工程入力!$J$5:$J$152,"&gt;0",③スチコン工程入力!$M$5:$M$152,"&gt;0")-SUMIFS(③スチコン工程入力!$J$5:$J$152,③スチコン工程入力!$S$5:$S$152,$J65,③スチコン工程入力!$J$5:$J$152,"&gt;0",③スチコン工程入力!$I$5:$I$152,"&gt;0",③スチコン工程入力!$M$5:$M$152,"&gt;0")+SUMIFS(⑪ZEN工程入力!$J$6:$J$35,⑪ZEN工程入力!$S$6:$S$35,$J65,⑪ZEN工程入力!$J$6:$J$35,"&gt;0",⑪ZEN工程入力!$M$6:$M$35,"&gt;0")-SUMIFS(⑪ZEN工程入力!$J$6:$J$35,⑪ZEN工程入力!$S$6:$S$35,$J65,⑪ZEN工程入力!$J$6:$J$35,"&gt;0",⑪ZEN工程入力!$I$6:$I$35,"&gt;0",⑪ZEN工程入力!$M$6:$M$35,"&gt;0")+SUMIFS(⑫ミキサー工程入力!$J$6:$J$65,⑫ミキサー工程入力!$S$6:$S$65,$J65,⑫ミキサー工程入力!$J$6:$J$65,"&gt;0",⑫ミキサー工程入力!$M$6:$M$65,"&gt;0")-SUMIFS(⑫ミキサー工程入力!$J$6:$J$65,⑫ミキサー工程入力!$S$6:$S$65,$J65,⑫ミキサー工程入力!$J$6:$J$65,"&gt;0",⑫ミキサー工程入力!$I$6:$I$65,"&gt;0",⑫ミキサー工程入力!$M$6:$M$65,"&gt;0")+SUMIFS(⑬計量工程入力!$J$6:$J$65,⑬計量工程入力!$S$6:$S$65,$J65,⑬計量工程入力!$J$6:$J$65,"&gt;0",⑬計量工程入力!$M$6:$M$65,"&gt;0")-SUMIFS(⑬計量工程入力!$J$6:$J$65,⑬計量工程入力!$S$6:$S$65,$J65,⑬計量工程入力!$J$6:$J$65,"&gt;0",⑬計量工程入力!$I$6:$I$65,"&gt;0",⑬計量工程入力!$M$6:$M$65,"&gt;0")+SUMIFS(⑭手動工程入力!$J$6:$J$47,⑭手動工程入力!$S$6:$S$47,$J65,⑭手動工程入力!$J$6:$J$47,"&gt;0",⑭手動工程入力!$M$6:$M$47,"&gt;0")-SUMIFS(⑭手動工程入力!$J$6:$J$47,⑭手動工程入力!$S$6:$S$47,$J65,⑭手動工程入力!$J$6:$J$47,"&gt;0",⑭手動工程入力!$I$6:$I$47,"&gt;0",⑭手動工程入力!$M$6:$M$47,"&gt;0"))</f>
        <v/>
      </c>
      <c r="P65" s="392" t="n"/>
    </row>
    <row r="66">
      <c r="A66" s="392" t="n">
        <v>62</v>
      </c>
      <c r="B66" s="392" t="n"/>
      <c r="C66" s="392" t="n"/>
      <c r="D66" s="392" t="n"/>
      <c r="E66" s="392" t="n"/>
      <c r="F66" s="394" t="n"/>
      <c r="G66" s="392" t="n"/>
      <c r="H66" s="604">
        <f>IFERROR(IF(AND($K66&gt;0,ISNUMBER(IF(OR($D66="g",$D66="ｇ"),IF($M66&gt;0,$L66/$M66/1000,""),IF($D66="kg",IF($M66&gt;0,$L66/$M66,""),IF($D66="",IF($M66&gt;0,$L66/$M66/1000,IF($O66&gt;0,$N66/$O66,"")),IF($O66&gt;0,$N66/$O66,"")))))),IF(OR($D66="g",$D66="ｇ"),IF($M66&gt;0,$L66/$M66/1000,""),IF($D66="kg",IF($M66&gt;0,$L66/$M66,""),IF($D66="",IF($M66&gt;0,$L66/$M66/1000,IF($O66&gt;0,$N66/$O66,"")),IF($O66&gt;0,$N66/$O66,"")))),IF($F66="",IF(OR($E66="",$E66="⑩盛付梱包工程入力"),"",IF(OR($D66="g",$D66="ｇ"),INDEX(⑰工程労務費一覧!$N$5:$N$11,MATCH($E66,⑰工程労務費一覧!$K$5:$K$11,0))/1000,IF($D66="kg",INDEX(⑰工程労務費一覧!$N$5:$N$11,MATCH($E66,⑰工程労務費一覧!$K$5:$K$11,0)),IF(OR($D66="個",$D66="切",$D66="本",$D66="枚",$D66="尾"),IF($E66="⑬計量工程入力","",INDEX(⑰工程労務費一覧!$P$5:$P$11,MATCH($E66,⑰工程労務費一覧!$K$5:$K$11,0))),IF(AND($D66="",OR($E66="②釜工程入力",$E66="③スチコン工程入力")),INDEX(⑰工程労務費一覧!$N$5:$N$11,MATCH($E66,⑰工程労務費一覧!$K$5:$K$11,0))/1000,""))))),IF(OR($D66="g",$D66="ｇ"),INDEX(⑰工程労務費一覧!$H$5:$H$753,MATCH($F66,⑰工程労務費一覧!$D$5:$D$753,0))/1000,IF($D66="kg",INDEX(⑰工程労務費一覧!$H$5:$H$753,MATCH($F66,⑰工程労務費一覧!$D$5:$D$753,0)),INDEX(⑰工程労務費一覧!$I$5:$I$753,MATCH($F66,⑰工程労務費一覧!$D$5:$D$753,0)))))),"")</f>
        <v/>
      </c>
      <c r="I66" s="392">
        <f>IF($K66&gt;0,IF(ISNUMBER(IF(OR($D66="g",$D66="ｇ"),IF($M66&gt;0,$L66/$M66/1000,""),IF($D66="kg",IF($M66&gt;0,$L66/$M66,""),IF($D66="",IF($M66&gt;0,$L66/$M66/1000,IF($O66&gt;0,$N66/$O66,"")),IF($O66&gt;0,$N66/$O66,""))))),IF($D66="",IF($M66&gt;0,"◎ JAN紐づけ(g扱い)","◎ JAN紐づけ(個扱い)"),"◎ JAN紐づけ"),"△ JAN紐づけ済・実績不足→仮計算"),IF($F66="",IF(ISNUMBER($H66),IF($D66="","⑤ 工程平均で仮計算(g扱い)","⑤ 工程平均で仮計算"),IF($E66="⑩盛付梱包工程入力","⑥ 盛り込み(⑳F列で計上)",IF(AND($E66="⑬計量工程入力",OR($D66="個",$D66="切",$D66="本",$D66="枚",$D66="尾")),"① 未紐づけ(カット個単位は仮単価なし)","① 未紐づけ"))),IF(NOT(ISNUMBER($H66)),"② 工程側に単価なし",IF($D66="","③ 単位未設定(個で計算)","④ OK"))))</f>
        <v/>
      </c>
      <c r="J66" s="399">
        <f>IFERROR(LOOKUP(2,1/((中間品リスト!$F$2:$F$1299=$B66)*(中間品リスト!$E$2:$E$1299&lt;&gt;"-")*(中間品リスト!$E$2:$E$1299&lt;&gt;"")),中間品リスト!$E$2:$E$1299),"")</f>
        <v/>
      </c>
      <c r="K66" s="400">
        <f>IF($J66="",0,COUNTIF(②釜工程入力!$S$5:$S$117,$J66)+COUNTIF(③スチコン工程入力!$S$5:$S$152,$J66)+COUNTIF(⑪ZEN工程入力!$S$6:$S$35,$J66)+COUNTIF(⑫ミキサー工程入力!$S$6:$S$65,$J66)+COUNTIF(⑬計量工程入力!$S$6:$S$65,$J66)+COUNTIF(⑭手動工程入力!$S$6:$S$47,$J66))</f>
        <v/>
      </c>
      <c r="L66" s="393">
        <f>IF($J66="",0,SUMIFS(②釜工程入力!$M$5:$M$117,②釜工程入力!$S$5:$S$117,$J66,②釜工程入力!$I$5:$I$117,"&gt;0")+SUMIFS(③スチコン工程入力!$M$5:$M$152,③スチコン工程入力!$S$5:$S$152,$J66,③スチコン工程入力!$I$5:$I$152,"&gt;0")+SUMIFS(⑪ZEN工程入力!$M$6:$M$35,⑪ZEN工程入力!$S$6:$S$35,$J66,⑪ZEN工程入力!$I$6:$I$35,"&gt;0")+SUMIFS(⑫ミキサー工程入力!$M$6:$M$65,⑫ミキサー工程入力!$S$6:$S$65,$J66,⑫ミキサー工程入力!$I$6:$I$65,"&gt;0")+SUMIFS(⑬計量工程入力!$M$6:$M$65,⑬計量工程入力!$S$6:$S$65,$J66,⑬計量工程入力!$I$6:$I$65,"&gt;0")+SUMIFS(⑭手動工程入力!$M$6:$M$47,⑭手動工程入力!$S$6:$S$47,$J66,⑭手動工程入力!$I$6:$I$47,"&gt;0"))</f>
        <v/>
      </c>
      <c r="M66" s="393">
        <f>IF($J66="",0,SUMIFS(②釜工程入力!$I$5:$I$117,②釜工程入力!$S$5:$S$117,$J66,②釜工程入力!$I$5:$I$117,"&gt;0",②釜工程入力!$M$5:$M$117,"&gt;0")+SUMIFS(③スチコン工程入力!$I$5:$I$152,③スチコン工程入力!$S$5:$S$152,$J66,③スチコン工程入力!$I$5:$I$152,"&gt;0",③スチコン工程入力!$M$5:$M$152,"&gt;0")+SUMIFS(⑪ZEN工程入力!$I$6:$I$35,⑪ZEN工程入力!$S$6:$S$35,$J66,⑪ZEN工程入力!$I$6:$I$35,"&gt;0",⑪ZEN工程入力!$M$6:$M$35,"&gt;0")+SUMIFS(⑫ミキサー工程入力!$I$6:$I$65,⑫ミキサー工程入力!$S$6:$S$65,$J66,⑫ミキサー工程入力!$I$6:$I$65,"&gt;0",⑫ミキサー工程入力!$M$6:$M$65,"&gt;0")+SUMIFS(⑬計量工程入力!$I$6:$I$65,⑬計量工程入力!$S$6:$S$65,$J66,⑬計量工程入力!$I$6:$I$65,"&gt;0",⑬計量工程入力!$M$6:$M$65,"&gt;0")+SUMIFS(⑭手動工程入力!$I$6:$I$47,⑭手動工程入力!$S$6:$S$47,$J66,⑭手動工程入力!$I$6:$I$47,"&gt;0",⑭手動工程入力!$M$6:$M$47,"&gt;0"))</f>
        <v/>
      </c>
      <c r="N66" s="393">
        <f>IF($J66="",0,SUMIFS(②釜工程入力!$M$5:$M$117,②釜工程入力!$S$5:$S$117,$J66,②釜工程入力!$J$5:$J$117,"&gt;0")-SUMIFS(②釜工程入力!$M$5:$M$117,②釜工程入力!$S$5:$S$117,$J66,②釜工程入力!$J$5:$J$117,"&gt;0",②釜工程入力!$I$5:$I$117,"&gt;0")+SUMIFS(③スチコン工程入力!$M$5:$M$152,③スチコン工程入力!$S$5:$S$152,$J66,③スチコン工程入力!$J$5:$J$152,"&gt;0")-SUMIFS(③スチコン工程入力!$M$5:$M$152,③スチコン工程入力!$S$5:$S$152,$J66,③スチコン工程入力!$J$5:$J$152,"&gt;0",③スチコン工程入力!$I$5:$I$152,"&gt;0")+SUMIFS(⑪ZEN工程入力!$M$6:$M$35,⑪ZEN工程入力!$S$6:$S$35,$J66,⑪ZEN工程入力!$J$6:$J$35,"&gt;0")-SUMIFS(⑪ZEN工程入力!$M$6:$M$35,⑪ZEN工程入力!$S$6:$S$35,$J66,⑪ZEN工程入力!$J$6:$J$35,"&gt;0",⑪ZEN工程入力!$I$6:$I$35,"&gt;0")+SUMIFS(⑫ミキサー工程入力!$M$6:$M$65,⑫ミキサー工程入力!$S$6:$S$65,$J66,⑫ミキサー工程入力!$J$6:$J$65,"&gt;0")-SUMIFS(⑫ミキサー工程入力!$M$6:$M$65,⑫ミキサー工程入力!$S$6:$S$65,$J66,⑫ミキサー工程入力!$J$6:$J$65,"&gt;0",⑫ミキサー工程入力!$I$6:$I$65,"&gt;0")+SUMIFS(⑬計量工程入力!$M$6:$M$65,⑬計量工程入力!$S$6:$S$65,$J66,⑬計量工程入力!$J$6:$J$65,"&gt;0")-SUMIFS(⑬計量工程入力!$M$6:$M$65,⑬計量工程入力!$S$6:$S$65,$J66,⑬計量工程入力!$J$6:$J$65,"&gt;0",⑬計量工程入力!$I$6:$I$65,"&gt;0")+SUMIFS(⑭手動工程入力!$M$6:$M$47,⑭手動工程入力!$S$6:$S$47,$J66,⑭手動工程入力!$J$6:$J$47,"&gt;0")-SUMIFS(⑭手動工程入力!$M$6:$M$47,⑭手動工程入力!$S$6:$S$47,$J66,⑭手動工程入力!$J$6:$J$47,"&gt;0",⑭手動工程入力!$I$6:$I$47,"&gt;0"))</f>
        <v/>
      </c>
      <c r="O66" s="393">
        <f>IF($J66="",0,SUMIFS(②釜工程入力!$J$5:$J$117,②釜工程入力!$S$5:$S$117,$J66,②釜工程入力!$J$5:$J$117,"&gt;0",②釜工程入力!$M$5:$M$117,"&gt;0")-SUMIFS(②釜工程入力!$J$5:$J$117,②釜工程入力!$S$5:$S$117,$J66,②釜工程入力!$J$5:$J$117,"&gt;0",②釜工程入力!$I$5:$I$117,"&gt;0",②釜工程入力!$M$5:$M$117,"&gt;0")+SUMIFS(③スチコン工程入力!$J$5:$J$152,③スチコン工程入力!$S$5:$S$152,$J66,③スチコン工程入力!$J$5:$J$152,"&gt;0",③スチコン工程入力!$M$5:$M$152,"&gt;0")-SUMIFS(③スチコン工程入力!$J$5:$J$152,③スチコン工程入力!$S$5:$S$152,$J66,③スチコン工程入力!$J$5:$J$152,"&gt;0",③スチコン工程入力!$I$5:$I$152,"&gt;0",③スチコン工程入力!$M$5:$M$152,"&gt;0")+SUMIFS(⑪ZEN工程入力!$J$6:$J$35,⑪ZEN工程入力!$S$6:$S$35,$J66,⑪ZEN工程入力!$J$6:$J$35,"&gt;0",⑪ZEN工程入力!$M$6:$M$35,"&gt;0")-SUMIFS(⑪ZEN工程入力!$J$6:$J$35,⑪ZEN工程入力!$S$6:$S$35,$J66,⑪ZEN工程入力!$J$6:$J$35,"&gt;0",⑪ZEN工程入力!$I$6:$I$35,"&gt;0",⑪ZEN工程入力!$M$6:$M$35,"&gt;0")+SUMIFS(⑫ミキサー工程入力!$J$6:$J$65,⑫ミキサー工程入力!$S$6:$S$65,$J66,⑫ミキサー工程入力!$J$6:$J$65,"&gt;0",⑫ミキサー工程入力!$M$6:$M$65,"&gt;0")-SUMIFS(⑫ミキサー工程入力!$J$6:$J$65,⑫ミキサー工程入力!$S$6:$S$65,$J66,⑫ミキサー工程入力!$J$6:$J$65,"&gt;0",⑫ミキサー工程入力!$I$6:$I$65,"&gt;0",⑫ミキサー工程入力!$M$6:$M$65,"&gt;0")+SUMIFS(⑬計量工程入力!$J$6:$J$65,⑬計量工程入力!$S$6:$S$65,$J66,⑬計量工程入力!$J$6:$J$65,"&gt;0",⑬計量工程入力!$M$6:$M$65,"&gt;0")-SUMIFS(⑬計量工程入力!$J$6:$J$65,⑬計量工程入力!$S$6:$S$65,$J66,⑬計量工程入力!$J$6:$J$65,"&gt;0",⑬計量工程入力!$I$6:$I$65,"&gt;0",⑬計量工程入力!$M$6:$M$65,"&gt;0")+SUMIFS(⑭手動工程入力!$J$6:$J$47,⑭手動工程入力!$S$6:$S$47,$J66,⑭手動工程入力!$J$6:$J$47,"&gt;0",⑭手動工程入力!$M$6:$M$47,"&gt;0")-SUMIFS(⑭手動工程入力!$J$6:$J$47,⑭手動工程入力!$S$6:$S$47,$J66,⑭手動工程入力!$J$6:$J$47,"&gt;0",⑭手動工程入力!$I$6:$I$47,"&gt;0",⑭手動工程入力!$M$6:$M$47,"&gt;0"))</f>
        <v/>
      </c>
      <c r="P66" s="392" t="n"/>
    </row>
    <row r="67">
      <c r="A67" s="392" t="n">
        <v>63</v>
      </c>
      <c r="B67" s="392" t="n"/>
      <c r="C67" s="392" t="n"/>
      <c r="D67" s="392" t="n"/>
      <c r="E67" s="392" t="n"/>
      <c r="F67" s="394" t="n"/>
      <c r="G67" s="392" t="n"/>
      <c r="H67" s="604">
        <f>IFERROR(IF(AND($K67&gt;0,ISNUMBER(IF(OR($D67="g",$D67="ｇ"),IF($M67&gt;0,$L67/$M67/1000,""),IF($D67="kg",IF($M67&gt;0,$L67/$M67,""),IF($D67="",IF($M67&gt;0,$L67/$M67/1000,IF($O67&gt;0,$N67/$O67,"")),IF($O67&gt;0,$N67/$O67,"")))))),IF(OR($D67="g",$D67="ｇ"),IF($M67&gt;0,$L67/$M67/1000,""),IF($D67="kg",IF($M67&gt;0,$L67/$M67,""),IF($D67="",IF($M67&gt;0,$L67/$M67/1000,IF($O67&gt;0,$N67/$O67,"")),IF($O67&gt;0,$N67/$O67,"")))),IF($F67="",IF(OR($E67="",$E67="⑩盛付梱包工程入力"),"",IF(OR($D67="g",$D67="ｇ"),INDEX(⑰工程労務費一覧!$N$5:$N$11,MATCH($E67,⑰工程労務費一覧!$K$5:$K$11,0))/1000,IF($D67="kg",INDEX(⑰工程労務費一覧!$N$5:$N$11,MATCH($E67,⑰工程労務費一覧!$K$5:$K$11,0)),IF(OR($D67="個",$D67="切",$D67="本",$D67="枚",$D67="尾"),IF($E67="⑬計量工程入力","",INDEX(⑰工程労務費一覧!$P$5:$P$11,MATCH($E67,⑰工程労務費一覧!$K$5:$K$11,0))),IF(AND($D67="",OR($E67="②釜工程入力",$E67="③スチコン工程入力")),INDEX(⑰工程労務費一覧!$N$5:$N$11,MATCH($E67,⑰工程労務費一覧!$K$5:$K$11,0))/1000,""))))),IF(OR($D67="g",$D67="ｇ"),INDEX(⑰工程労務費一覧!$H$5:$H$753,MATCH($F67,⑰工程労務費一覧!$D$5:$D$753,0))/1000,IF($D67="kg",INDEX(⑰工程労務費一覧!$H$5:$H$753,MATCH($F67,⑰工程労務費一覧!$D$5:$D$753,0)),INDEX(⑰工程労務費一覧!$I$5:$I$753,MATCH($F67,⑰工程労務費一覧!$D$5:$D$753,0)))))),"")</f>
        <v/>
      </c>
      <c r="I67" s="392">
        <f>IF($K67&gt;0,IF(ISNUMBER(IF(OR($D67="g",$D67="ｇ"),IF($M67&gt;0,$L67/$M67/1000,""),IF($D67="kg",IF($M67&gt;0,$L67/$M67,""),IF($D67="",IF($M67&gt;0,$L67/$M67/1000,IF($O67&gt;0,$N67/$O67,"")),IF($O67&gt;0,$N67/$O67,""))))),IF($D67="",IF($M67&gt;0,"◎ JAN紐づけ(g扱い)","◎ JAN紐づけ(個扱い)"),"◎ JAN紐づけ"),"△ JAN紐づけ済・実績不足→仮計算"),IF($F67="",IF(ISNUMBER($H67),IF($D67="","⑤ 工程平均で仮計算(g扱い)","⑤ 工程平均で仮計算"),IF($E67="⑩盛付梱包工程入力","⑥ 盛り込み(⑳F列で計上)",IF(AND($E67="⑬計量工程入力",OR($D67="個",$D67="切",$D67="本",$D67="枚",$D67="尾")),"① 未紐づけ(カット個単位は仮単価なし)","① 未紐づけ"))),IF(NOT(ISNUMBER($H67)),"② 工程側に単価なし",IF($D67="","③ 単位未設定(個で計算)","④ OK"))))</f>
        <v/>
      </c>
      <c r="J67" s="399">
        <f>IFERROR(LOOKUP(2,1/((中間品リスト!$F$2:$F$1299=$B67)*(中間品リスト!$E$2:$E$1299&lt;&gt;"-")*(中間品リスト!$E$2:$E$1299&lt;&gt;"")),中間品リスト!$E$2:$E$1299),"")</f>
        <v/>
      </c>
      <c r="K67" s="400">
        <f>IF($J67="",0,COUNTIF(②釜工程入力!$S$5:$S$117,$J67)+COUNTIF(③スチコン工程入力!$S$5:$S$152,$J67)+COUNTIF(⑪ZEN工程入力!$S$6:$S$35,$J67)+COUNTIF(⑫ミキサー工程入力!$S$6:$S$65,$J67)+COUNTIF(⑬計量工程入力!$S$6:$S$65,$J67)+COUNTIF(⑭手動工程入力!$S$6:$S$47,$J67))</f>
        <v/>
      </c>
      <c r="L67" s="393">
        <f>IF($J67="",0,SUMIFS(②釜工程入力!$M$5:$M$117,②釜工程入力!$S$5:$S$117,$J67,②釜工程入力!$I$5:$I$117,"&gt;0")+SUMIFS(③スチコン工程入力!$M$5:$M$152,③スチコン工程入力!$S$5:$S$152,$J67,③スチコン工程入力!$I$5:$I$152,"&gt;0")+SUMIFS(⑪ZEN工程入力!$M$6:$M$35,⑪ZEN工程入力!$S$6:$S$35,$J67,⑪ZEN工程入力!$I$6:$I$35,"&gt;0")+SUMIFS(⑫ミキサー工程入力!$M$6:$M$65,⑫ミキサー工程入力!$S$6:$S$65,$J67,⑫ミキサー工程入力!$I$6:$I$65,"&gt;0")+SUMIFS(⑬計量工程入力!$M$6:$M$65,⑬計量工程入力!$S$6:$S$65,$J67,⑬計量工程入力!$I$6:$I$65,"&gt;0")+SUMIFS(⑭手動工程入力!$M$6:$M$47,⑭手動工程入力!$S$6:$S$47,$J67,⑭手動工程入力!$I$6:$I$47,"&gt;0"))</f>
        <v/>
      </c>
      <c r="M67" s="393">
        <f>IF($J67="",0,SUMIFS(②釜工程入力!$I$5:$I$117,②釜工程入力!$S$5:$S$117,$J67,②釜工程入力!$I$5:$I$117,"&gt;0",②釜工程入力!$M$5:$M$117,"&gt;0")+SUMIFS(③スチコン工程入力!$I$5:$I$152,③スチコン工程入力!$S$5:$S$152,$J67,③スチコン工程入力!$I$5:$I$152,"&gt;0",③スチコン工程入力!$M$5:$M$152,"&gt;0")+SUMIFS(⑪ZEN工程入力!$I$6:$I$35,⑪ZEN工程入力!$S$6:$S$35,$J67,⑪ZEN工程入力!$I$6:$I$35,"&gt;0",⑪ZEN工程入力!$M$6:$M$35,"&gt;0")+SUMIFS(⑫ミキサー工程入力!$I$6:$I$65,⑫ミキサー工程入力!$S$6:$S$65,$J67,⑫ミキサー工程入力!$I$6:$I$65,"&gt;0",⑫ミキサー工程入力!$M$6:$M$65,"&gt;0")+SUMIFS(⑬計量工程入力!$I$6:$I$65,⑬計量工程入力!$S$6:$S$65,$J67,⑬計量工程入力!$I$6:$I$65,"&gt;0",⑬計量工程入力!$M$6:$M$65,"&gt;0")+SUMIFS(⑭手動工程入力!$I$6:$I$47,⑭手動工程入力!$S$6:$S$47,$J67,⑭手動工程入力!$I$6:$I$47,"&gt;0",⑭手動工程入力!$M$6:$M$47,"&gt;0"))</f>
        <v/>
      </c>
      <c r="N67" s="393">
        <f>IF($J67="",0,SUMIFS(②釜工程入力!$M$5:$M$117,②釜工程入力!$S$5:$S$117,$J67,②釜工程入力!$J$5:$J$117,"&gt;0")-SUMIFS(②釜工程入力!$M$5:$M$117,②釜工程入力!$S$5:$S$117,$J67,②釜工程入力!$J$5:$J$117,"&gt;0",②釜工程入力!$I$5:$I$117,"&gt;0")+SUMIFS(③スチコン工程入力!$M$5:$M$152,③スチコン工程入力!$S$5:$S$152,$J67,③スチコン工程入力!$J$5:$J$152,"&gt;0")-SUMIFS(③スチコン工程入力!$M$5:$M$152,③スチコン工程入力!$S$5:$S$152,$J67,③スチコン工程入力!$J$5:$J$152,"&gt;0",③スチコン工程入力!$I$5:$I$152,"&gt;0")+SUMIFS(⑪ZEN工程入力!$M$6:$M$35,⑪ZEN工程入力!$S$6:$S$35,$J67,⑪ZEN工程入力!$J$6:$J$35,"&gt;0")-SUMIFS(⑪ZEN工程入力!$M$6:$M$35,⑪ZEN工程入力!$S$6:$S$35,$J67,⑪ZEN工程入力!$J$6:$J$35,"&gt;0",⑪ZEN工程入力!$I$6:$I$35,"&gt;0")+SUMIFS(⑫ミキサー工程入力!$M$6:$M$65,⑫ミキサー工程入力!$S$6:$S$65,$J67,⑫ミキサー工程入力!$J$6:$J$65,"&gt;0")-SUMIFS(⑫ミキサー工程入力!$M$6:$M$65,⑫ミキサー工程入力!$S$6:$S$65,$J67,⑫ミキサー工程入力!$J$6:$J$65,"&gt;0",⑫ミキサー工程入力!$I$6:$I$65,"&gt;0")+SUMIFS(⑬計量工程入力!$M$6:$M$65,⑬計量工程入力!$S$6:$S$65,$J67,⑬計量工程入力!$J$6:$J$65,"&gt;0")-SUMIFS(⑬計量工程入力!$M$6:$M$65,⑬計量工程入力!$S$6:$S$65,$J67,⑬計量工程入力!$J$6:$J$65,"&gt;0",⑬計量工程入力!$I$6:$I$65,"&gt;0")+SUMIFS(⑭手動工程入力!$M$6:$M$47,⑭手動工程入力!$S$6:$S$47,$J67,⑭手動工程入力!$J$6:$J$47,"&gt;0")-SUMIFS(⑭手動工程入力!$M$6:$M$47,⑭手動工程入力!$S$6:$S$47,$J67,⑭手動工程入力!$J$6:$J$47,"&gt;0",⑭手動工程入力!$I$6:$I$47,"&gt;0"))</f>
        <v/>
      </c>
      <c r="O67" s="393">
        <f>IF($J67="",0,SUMIFS(②釜工程入力!$J$5:$J$117,②釜工程入力!$S$5:$S$117,$J67,②釜工程入力!$J$5:$J$117,"&gt;0",②釜工程入力!$M$5:$M$117,"&gt;0")-SUMIFS(②釜工程入力!$J$5:$J$117,②釜工程入力!$S$5:$S$117,$J67,②釜工程入力!$J$5:$J$117,"&gt;0",②釜工程入力!$I$5:$I$117,"&gt;0",②釜工程入力!$M$5:$M$117,"&gt;0")+SUMIFS(③スチコン工程入力!$J$5:$J$152,③スチコン工程入力!$S$5:$S$152,$J67,③スチコン工程入力!$J$5:$J$152,"&gt;0",③スチコン工程入力!$M$5:$M$152,"&gt;0")-SUMIFS(③スチコン工程入力!$J$5:$J$152,③スチコン工程入力!$S$5:$S$152,$J67,③スチコン工程入力!$J$5:$J$152,"&gt;0",③スチコン工程入力!$I$5:$I$152,"&gt;0",③スチコン工程入力!$M$5:$M$152,"&gt;0")+SUMIFS(⑪ZEN工程入力!$J$6:$J$35,⑪ZEN工程入力!$S$6:$S$35,$J67,⑪ZEN工程入力!$J$6:$J$35,"&gt;0",⑪ZEN工程入力!$M$6:$M$35,"&gt;0")-SUMIFS(⑪ZEN工程入力!$J$6:$J$35,⑪ZEN工程入力!$S$6:$S$35,$J67,⑪ZEN工程入力!$J$6:$J$35,"&gt;0",⑪ZEN工程入力!$I$6:$I$35,"&gt;0",⑪ZEN工程入力!$M$6:$M$35,"&gt;0")+SUMIFS(⑫ミキサー工程入力!$J$6:$J$65,⑫ミキサー工程入力!$S$6:$S$65,$J67,⑫ミキサー工程入力!$J$6:$J$65,"&gt;0",⑫ミキサー工程入力!$M$6:$M$65,"&gt;0")-SUMIFS(⑫ミキサー工程入力!$J$6:$J$65,⑫ミキサー工程入力!$S$6:$S$65,$J67,⑫ミキサー工程入力!$J$6:$J$65,"&gt;0",⑫ミキサー工程入力!$I$6:$I$65,"&gt;0",⑫ミキサー工程入力!$M$6:$M$65,"&gt;0")+SUMIFS(⑬計量工程入力!$J$6:$J$65,⑬計量工程入力!$S$6:$S$65,$J67,⑬計量工程入力!$J$6:$J$65,"&gt;0",⑬計量工程入力!$M$6:$M$65,"&gt;0")-SUMIFS(⑬計量工程入力!$J$6:$J$65,⑬計量工程入力!$S$6:$S$65,$J67,⑬計量工程入力!$J$6:$J$65,"&gt;0",⑬計量工程入力!$I$6:$I$65,"&gt;0",⑬計量工程入力!$M$6:$M$65,"&gt;0")+SUMIFS(⑭手動工程入力!$J$6:$J$47,⑭手動工程入力!$S$6:$S$47,$J67,⑭手動工程入力!$J$6:$J$47,"&gt;0",⑭手動工程入力!$M$6:$M$47,"&gt;0")-SUMIFS(⑭手動工程入力!$J$6:$J$47,⑭手動工程入力!$S$6:$S$47,$J67,⑭手動工程入力!$J$6:$J$47,"&gt;0",⑭手動工程入力!$I$6:$I$47,"&gt;0",⑭手動工程入力!$M$6:$M$47,"&gt;0"))</f>
        <v/>
      </c>
      <c r="P67" s="392" t="n"/>
    </row>
    <row r="68">
      <c r="A68" s="392" t="n">
        <v>64</v>
      </c>
      <c r="B68" s="392" t="n"/>
      <c r="C68" s="392" t="n"/>
      <c r="D68" s="392" t="n"/>
      <c r="E68" s="392" t="n"/>
      <c r="F68" s="394" t="n"/>
      <c r="G68" s="392" t="n"/>
      <c r="H68" s="604">
        <f>IFERROR(IF(AND($K68&gt;0,ISNUMBER(IF(OR($D68="g",$D68="ｇ"),IF($M68&gt;0,$L68/$M68/1000,""),IF($D68="kg",IF($M68&gt;0,$L68/$M68,""),IF($D68="",IF($M68&gt;0,$L68/$M68/1000,IF($O68&gt;0,$N68/$O68,"")),IF($O68&gt;0,$N68/$O68,"")))))),IF(OR($D68="g",$D68="ｇ"),IF($M68&gt;0,$L68/$M68/1000,""),IF($D68="kg",IF($M68&gt;0,$L68/$M68,""),IF($D68="",IF($M68&gt;0,$L68/$M68/1000,IF($O68&gt;0,$N68/$O68,"")),IF($O68&gt;0,$N68/$O68,"")))),IF($F68="",IF(OR($E68="",$E68="⑩盛付梱包工程入力"),"",IF(OR($D68="g",$D68="ｇ"),INDEX(⑰工程労務費一覧!$N$5:$N$11,MATCH($E68,⑰工程労務費一覧!$K$5:$K$11,0))/1000,IF($D68="kg",INDEX(⑰工程労務費一覧!$N$5:$N$11,MATCH($E68,⑰工程労務費一覧!$K$5:$K$11,0)),IF(OR($D68="個",$D68="切",$D68="本",$D68="枚",$D68="尾"),IF($E68="⑬計量工程入力","",INDEX(⑰工程労務費一覧!$P$5:$P$11,MATCH($E68,⑰工程労務費一覧!$K$5:$K$11,0))),IF(AND($D68="",OR($E68="②釜工程入力",$E68="③スチコン工程入力")),INDEX(⑰工程労務費一覧!$N$5:$N$11,MATCH($E68,⑰工程労務費一覧!$K$5:$K$11,0))/1000,""))))),IF(OR($D68="g",$D68="ｇ"),INDEX(⑰工程労務費一覧!$H$5:$H$753,MATCH($F68,⑰工程労務費一覧!$D$5:$D$753,0))/1000,IF($D68="kg",INDEX(⑰工程労務費一覧!$H$5:$H$753,MATCH($F68,⑰工程労務費一覧!$D$5:$D$753,0)),INDEX(⑰工程労務費一覧!$I$5:$I$753,MATCH($F68,⑰工程労務費一覧!$D$5:$D$753,0)))))),"")</f>
        <v/>
      </c>
      <c r="I68" s="392">
        <f>IF($K68&gt;0,IF(ISNUMBER(IF(OR($D68="g",$D68="ｇ"),IF($M68&gt;0,$L68/$M68/1000,""),IF($D68="kg",IF($M68&gt;0,$L68/$M68,""),IF($D68="",IF($M68&gt;0,$L68/$M68/1000,IF($O68&gt;0,$N68/$O68,"")),IF($O68&gt;0,$N68/$O68,""))))),IF($D68="",IF($M68&gt;0,"◎ JAN紐づけ(g扱い)","◎ JAN紐づけ(個扱い)"),"◎ JAN紐づけ"),"△ JAN紐づけ済・実績不足→仮計算"),IF($F68="",IF(ISNUMBER($H68),IF($D68="","⑤ 工程平均で仮計算(g扱い)","⑤ 工程平均で仮計算"),IF($E68="⑩盛付梱包工程入力","⑥ 盛り込み(⑳F列で計上)",IF(AND($E68="⑬計量工程入力",OR($D68="個",$D68="切",$D68="本",$D68="枚",$D68="尾")),"① 未紐づけ(カット個単位は仮単価なし)","① 未紐づけ"))),IF(NOT(ISNUMBER($H68)),"② 工程側に単価なし",IF($D68="","③ 単位未設定(個で計算)","④ OK"))))</f>
        <v/>
      </c>
      <c r="J68" s="399">
        <f>IFERROR(LOOKUP(2,1/((中間品リスト!$F$2:$F$1299=$B68)*(中間品リスト!$E$2:$E$1299&lt;&gt;"-")*(中間品リスト!$E$2:$E$1299&lt;&gt;"")),中間品リスト!$E$2:$E$1299),"")</f>
        <v/>
      </c>
      <c r="K68" s="400">
        <f>IF($J68="",0,COUNTIF(②釜工程入力!$S$5:$S$117,$J68)+COUNTIF(③スチコン工程入力!$S$5:$S$152,$J68)+COUNTIF(⑪ZEN工程入力!$S$6:$S$35,$J68)+COUNTIF(⑫ミキサー工程入力!$S$6:$S$65,$J68)+COUNTIF(⑬計量工程入力!$S$6:$S$65,$J68)+COUNTIF(⑭手動工程入力!$S$6:$S$47,$J68))</f>
        <v/>
      </c>
      <c r="L68" s="393">
        <f>IF($J68="",0,SUMIFS(②釜工程入力!$M$5:$M$117,②釜工程入力!$S$5:$S$117,$J68,②釜工程入力!$I$5:$I$117,"&gt;0")+SUMIFS(③スチコン工程入力!$M$5:$M$152,③スチコン工程入力!$S$5:$S$152,$J68,③スチコン工程入力!$I$5:$I$152,"&gt;0")+SUMIFS(⑪ZEN工程入力!$M$6:$M$35,⑪ZEN工程入力!$S$6:$S$35,$J68,⑪ZEN工程入力!$I$6:$I$35,"&gt;0")+SUMIFS(⑫ミキサー工程入力!$M$6:$M$65,⑫ミキサー工程入力!$S$6:$S$65,$J68,⑫ミキサー工程入力!$I$6:$I$65,"&gt;0")+SUMIFS(⑬計量工程入力!$M$6:$M$65,⑬計量工程入力!$S$6:$S$65,$J68,⑬計量工程入力!$I$6:$I$65,"&gt;0")+SUMIFS(⑭手動工程入力!$M$6:$M$47,⑭手動工程入力!$S$6:$S$47,$J68,⑭手動工程入力!$I$6:$I$47,"&gt;0"))</f>
        <v/>
      </c>
      <c r="M68" s="393">
        <f>IF($J68="",0,SUMIFS(②釜工程入力!$I$5:$I$117,②釜工程入力!$S$5:$S$117,$J68,②釜工程入力!$I$5:$I$117,"&gt;0",②釜工程入力!$M$5:$M$117,"&gt;0")+SUMIFS(③スチコン工程入力!$I$5:$I$152,③スチコン工程入力!$S$5:$S$152,$J68,③スチコン工程入力!$I$5:$I$152,"&gt;0",③スチコン工程入力!$M$5:$M$152,"&gt;0")+SUMIFS(⑪ZEN工程入力!$I$6:$I$35,⑪ZEN工程入力!$S$6:$S$35,$J68,⑪ZEN工程入力!$I$6:$I$35,"&gt;0",⑪ZEN工程入力!$M$6:$M$35,"&gt;0")+SUMIFS(⑫ミキサー工程入力!$I$6:$I$65,⑫ミキサー工程入力!$S$6:$S$65,$J68,⑫ミキサー工程入力!$I$6:$I$65,"&gt;0",⑫ミキサー工程入力!$M$6:$M$65,"&gt;0")+SUMIFS(⑬計量工程入力!$I$6:$I$65,⑬計量工程入力!$S$6:$S$65,$J68,⑬計量工程入力!$I$6:$I$65,"&gt;0",⑬計量工程入力!$M$6:$M$65,"&gt;0")+SUMIFS(⑭手動工程入力!$I$6:$I$47,⑭手動工程入力!$S$6:$S$47,$J68,⑭手動工程入力!$I$6:$I$47,"&gt;0",⑭手動工程入力!$M$6:$M$47,"&gt;0"))</f>
        <v/>
      </c>
      <c r="N68" s="393">
        <f>IF($J68="",0,SUMIFS(②釜工程入力!$M$5:$M$117,②釜工程入力!$S$5:$S$117,$J68,②釜工程入力!$J$5:$J$117,"&gt;0")-SUMIFS(②釜工程入力!$M$5:$M$117,②釜工程入力!$S$5:$S$117,$J68,②釜工程入力!$J$5:$J$117,"&gt;0",②釜工程入力!$I$5:$I$117,"&gt;0")+SUMIFS(③スチコン工程入力!$M$5:$M$152,③スチコン工程入力!$S$5:$S$152,$J68,③スチコン工程入力!$J$5:$J$152,"&gt;0")-SUMIFS(③スチコン工程入力!$M$5:$M$152,③スチコン工程入力!$S$5:$S$152,$J68,③スチコン工程入力!$J$5:$J$152,"&gt;0",③スチコン工程入力!$I$5:$I$152,"&gt;0")+SUMIFS(⑪ZEN工程入力!$M$6:$M$35,⑪ZEN工程入力!$S$6:$S$35,$J68,⑪ZEN工程入力!$J$6:$J$35,"&gt;0")-SUMIFS(⑪ZEN工程入力!$M$6:$M$35,⑪ZEN工程入力!$S$6:$S$35,$J68,⑪ZEN工程入力!$J$6:$J$35,"&gt;0",⑪ZEN工程入力!$I$6:$I$35,"&gt;0")+SUMIFS(⑫ミキサー工程入力!$M$6:$M$65,⑫ミキサー工程入力!$S$6:$S$65,$J68,⑫ミキサー工程入力!$J$6:$J$65,"&gt;0")-SUMIFS(⑫ミキサー工程入力!$M$6:$M$65,⑫ミキサー工程入力!$S$6:$S$65,$J68,⑫ミキサー工程入力!$J$6:$J$65,"&gt;0",⑫ミキサー工程入力!$I$6:$I$65,"&gt;0")+SUMIFS(⑬計量工程入力!$M$6:$M$65,⑬計量工程入力!$S$6:$S$65,$J68,⑬計量工程入力!$J$6:$J$65,"&gt;0")-SUMIFS(⑬計量工程入力!$M$6:$M$65,⑬計量工程入力!$S$6:$S$65,$J68,⑬計量工程入力!$J$6:$J$65,"&gt;0",⑬計量工程入力!$I$6:$I$65,"&gt;0")+SUMIFS(⑭手動工程入力!$M$6:$M$47,⑭手動工程入力!$S$6:$S$47,$J68,⑭手動工程入力!$J$6:$J$47,"&gt;0")-SUMIFS(⑭手動工程入力!$M$6:$M$47,⑭手動工程入力!$S$6:$S$47,$J68,⑭手動工程入力!$J$6:$J$47,"&gt;0",⑭手動工程入力!$I$6:$I$47,"&gt;0"))</f>
        <v/>
      </c>
      <c r="O68" s="393">
        <f>IF($J68="",0,SUMIFS(②釜工程入力!$J$5:$J$117,②釜工程入力!$S$5:$S$117,$J68,②釜工程入力!$J$5:$J$117,"&gt;0",②釜工程入力!$M$5:$M$117,"&gt;0")-SUMIFS(②釜工程入力!$J$5:$J$117,②釜工程入力!$S$5:$S$117,$J68,②釜工程入力!$J$5:$J$117,"&gt;0",②釜工程入力!$I$5:$I$117,"&gt;0",②釜工程入力!$M$5:$M$117,"&gt;0")+SUMIFS(③スチコン工程入力!$J$5:$J$152,③スチコン工程入力!$S$5:$S$152,$J68,③スチコン工程入力!$J$5:$J$152,"&gt;0",③スチコン工程入力!$M$5:$M$152,"&gt;0")-SUMIFS(③スチコン工程入力!$J$5:$J$152,③スチコン工程入力!$S$5:$S$152,$J68,③スチコン工程入力!$J$5:$J$152,"&gt;0",③スチコン工程入力!$I$5:$I$152,"&gt;0",③スチコン工程入力!$M$5:$M$152,"&gt;0")+SUMIFS(⑪ZEN工程入力!$J$6:$J$35,⑪ZEN工程入力!$S$6:$S$35,$J68,⑪ZEN工程入力!$J$6:$J$35,"&gt;0",⑪ZEN工程入力!$M$6:$M$35,"&gt;0")-SUMIFS(⑪ZEN工程入力!$J$6:$J$35,⑪ZEN工程入力!$S$6:$S$35,$J68,⑪ZEN工程入力!$J$6:$J$35,"&gt;0",⑪ZEN工程入力!$I$6:$I$35,"&gt;0",⑪ZEN工程入力!$M$6:$M$35,"&gt;0")+SUMIFS(⑫ミキサー工程入力!$J$6:$J$65,⑫ミキサー工程入力!$S$6:$S$65,$J68,⑫ミキサー工程入力!$J$6:$J$65,"&gt;0",⑫ミキサー工程入力!$M$6:$M$65,"&gt;0")-SUMIFS(⑫ミキサー工程入力!$J$6:$J$65,⑫ミキサー工程入力!$S$6:$S$65,$J68,⑫ミキサー工程入力!$J$6:$J$65,"&gt;0",⑫ミキサー工程入力!$I$6:$I$65,"&gt;0",⑫ミキサー工程入力!$M$6:$M$65,"&gt;0")+SUMIFS(⑬計量工程入力!$J$6:$J$65,⑬計量工程入力!$S$6:$S$65,$J68,⑬計量工程入力!$J$6:$J$65,"&gt;0",⑬計量工程入力!$M$6:$M$65,"&gt;0")-SUMIFS(⑬計量工程入力!$J$6:$J$65,⑬計量工程入力!$S$6:$S$65,$J68,⑬計量工程入力!$J$6:$J$65,"&gt;0",⑬計量工程入力!$I$6:$I$65,"&gt;0",⑬計量工程入力!$M$6:$M$65,"&gt;0")+SUMIFS(⑭手動工程入力!$J$6:$J$47,⑭手動工程入力!$S$6:$S$47,$J68,⑭手動工程入力!$J$6:$J$47,"&gt;0",⑭手動工程入力!$M$6:$M$47,"&gt;0")-SUMIFS(⑭手動工程入力!$J$6:$J$47,⑭手動工程入力!$S$6:$S$47,$J68,⑭手動工程入力!$J$6:$J$47,"&gt;0",⑭手動工程入力!$I$6:$I$47,"&gt;0",⑭手動工程入力!$M$6:$M$47,"&gt;0"))</f>
        <v/>
      </c>
      <c r="P68" s="392" t="n"/>
    </row>
    <row r="69">
      <c r="A69" s="392" t="n">
        <v>65</v>
      </c>
      <c r="B69" s="392" t="n"/>
      <c r="C69" s="392" t="n"/>
      <c r="D69" s="392" t="n"/>
      <c r="E69" s="392" t="n"/>
      <c r="F69" s="394" t="n"/>
      <c r="G69" s="392" t="n"/>
      <c r="H69" s="604">
        <f>IFERROR(IF(AND($K69&gt;0,ISNUMBER(IF(OR($D69="g",$D69="ｇ"),IF($M69&gt;0,$L69/$M69/1000,""),IF($D69="kg",IF($M69&gt;0,$L69/$M69,""),IF($D69="",IF($M69&gt;0,$L69/$M69/1000,IF($O69&gt;0,$N69/$O69,"")),IF($O69&gt;0,$N69/$O69,"")))))),IF(OR($D69="g",$D69="ｇ"),IF($M69&gt;0,$L69/$M69/1000,""),IF($D69="kg",IF($M69&gt;0,$L69/$M69,""),IF($D69="",IF($M69&gt;0,$L69/$M69/1000,IF($O69&gt;0,$N69/$O69,"")),IF($O69&gt;0,$N69/$O69,"")))),IF($F69="",IF(OR($E69="",$E69="⑩盛付梱包工程入力"),"",IF(OR($D69="g",$D69="ｇ"),INDEX(⑰工程労務費一覧!$N$5:$N$11,MATCH($E69,⑰工程労務費一覧!$K$5:$K$11,0))/1000,IF($D69="kg",INDEX(⑰工程労務費一覧!$N$5:$N$11,MATCH($E69,⑰工程労務費一覧!$K$5:$K$11,0)),IF(OR($D69="個",$D69="切",$D69="本",$D69="枚",$D69="尾"),IF($E69="⑬計量工程入力","",INDEX(⑰工程労務費一覧!$P$5:$P$11,MATCH($E69,⑰工程労務費一覧!$K$5:$K$11,0))),IF(AND($D69="",OR($E69="②釜工程入力",$E69="③スチコン工程入力")),INDEX(⑰工程労務費一覧!$N$5:$N$11,MATCH($E69,⑰工程労務費一覧!$K$5:$K$11,0))/1000,""))))),IF(OR($D69="g",$D69="ｇ"),INDEX(⑰工程労務費一覧!$H$5:$H$753,MATCH($F69,⑰工程労務費一覧!$D$5:$D$753,0))/1000,IF($D69="kg",INDEX(⑰工程労務費一覧!$H$5:$H$753,MATCH($F69,⑰工程労務費一覧!$D$5:$D$753,0)),INDEX(⑰工程労務費一覧!$I$5:$I$753,MATCH($F69,⑰工程労務費一覧!$D$5:$D$753,0)))))),"")</f>
        <v/>
      </c>
      <c r="I69" s="392">
        <f>IF($K69&gt;0,IF(ISNUMBER(IF(OR($D69="g",$D69="ｇ"),IF($M69&gt;0,$L69/$M69/1000,""),IF($D69="kg",IF($M69&gt;0,$L69/$M69,""),IF($D69="",IF($M69&gt;0,$L69/$M69/1000,IF($O69&gt;0,$N69/$O69,"")),IF($O69&gt;0,$N69/$O69,""))))),IF($D69="",IF($M69&gt;0,"◎ JAN紐づけ(g扱い)","◎ JAN紐づけ(個扱い)"),"◎ JAN紐づけ"),"△ JAN紐づけ済・実績不足→仮計算"),IF($F69="",IF(ISNUMBER($H69),IF($D69="","⑤ 工程平均で仮計算(g扱い)","⑤ 工程平均で仮計算"),IF($E69="⑩盛付梱包工程入力","⑥ 盛り込み(⑳F列で計上)",IF(AND($E69="⑬計量工程入力",OR($D69="個",$D69="切",$D69="本",$D69="枚",$D69="尾")),"① 未紐づけ(カット個単位は仮単価なし)","① 未紐づけ"))),IF(NOT(ISNUMBER($H69)),"② 工程側に単価なし",IF($D69="","③ 単位未設定(個で計算)","④ OK"))))</f>
        <v/>
      </c>
      <c r="J69" s="399">
        <f>IFERROR(LOOKUP(2,1/((中間品リスト!$F$2:$F$1299=$B69)*(中間品リスト!$E$2:$E$1299&lt;&gt;"-")*(中間品リスト!$E$2:$E$1299&lt;&gt;"")),中間品リスト!$E$2:$E$1299),"")</f>
        <v/>
      </c>
      <c r="K69" s="400">
        <f>IF($J69="",0,COUNTIF(②釜工程入力!$S$5:$S$117,$J69)+COUNTIF(③スチコン工程入力!$S$5:$S$152,$J69)+COUNTIF(⑪ZEN工程入力!$S$6:$S$35,$J69)+COUNTIF(⑫ミキサー工程入力!$S$6:$S$65,$J69)+COUNTIF(⑬計量工程入力!$S$6:$S$65,$J69)+COUNTIF(⑭手動工程入力!$S$6:$S$47,$J69))</f>
        <v/>
      </c>
      <c r="L69" s="393">
        <f>IF($J69="",0,SUMIFS(②釜工程入力!$M$5:$M$117,②釜工程入力!$S$5:$S$117,$J69,②釜工程入力!$I$5:$I$117,"&gt;0")+SUMIFS(③スチコン工程入力!$M$5:$M$152,③スチコン工程入力!$S$5:$S$152,$J69,③スチコン工程入力!$I$5:$I$152,"&gt;0")+SUMIFS(⑪ZEN工程入力!$M$6:$M$35,⑪ZEN工程入力!$S$6:$S$35,$J69,⑪ZEN工程入力!$I$6:$I$35,"&gt;0")+SUMIFS(⑫ミキサー工程入力!$M$6:$M$65,⑫ミキサー工程入力!$S$6:$S$65,$J69,⑫ミキサー工程入力!$I$6:$I$65,"&gt;0")+SUMIFS(⑬計量工程入力!$M$6:$M$65,⑬計量工程入力!$S$6:$S$65,$J69,⑬計量工程入力!$I$6:$I$65,"&gt;0")+SUMIFS(⑭手動工程入力!$M$6:$M$47,⑭手動工程入力!$S$6:$S$47,$J69,⑭手動工程入力!$I$6:$I$47,"&gt;0"))</f>
        <v/>
      </c>
      <c r="M69" s="393">
        <f>IF($J69="",0,SUMIFS(②釜工程入力!$I$5:$I$117,②釜工程入力!$S$5:$S$117,$J69,②釜工程入力!$I$5:$I$117,"&gt;0",②釜工程入力!$M$5:$M$117,"&gt;0")+SUMIFS(③スチコン工程入力!$I$5:$I$152,③スチコン工程入力!$S$5:$S$152,$J69,③スチコン工程入力!$I$5:$I$152,"&gt;0",③スチコン工程入力!$M$5:$M$152,"&gt;0")+SUMIFS(⑪ZEN工程入力!$I$6:$I$35,⑪ZEN工程入力!$S$6:$S$35,$J69,⑪ZEN工程入力!$I$6:$I$35,"&gt;0",⑪ZEN工程入力!$M$6:$M$35,"&gt;0")+SUMIFS(⑫ミキサー工程入力!$I$6:$I$65,⑫ミキサー工程入力!$S$6:$S$65,$J69,⑫ミキサー工程入力!$I$6:$I$65,"&gt;0",⑫ミキサー工程入力!$M$6:$M$65,"&gt;0")+SUMIFS(⑬計量工程入力!$I$6:$I$65,⑬計量工程入力!$S$6:$S$65,$J69,⑬計量工程入力!$I$6:$I$65,"&gt;0",⑬計量工程入力!$M$6:$M$65,"&gt;0")+SUMIFS(⑭手動工程入力!$I$6:$I$47,⑭手動工程入力!$S$6:$S$47,$J69,⑭手動工程入力!$I$6:$I$47,"&gt;0",⑭手動工程入力!$M$6:$M$47,"&gt;0"))</f>
        <v/>
      </c>
      <c r="N69" s="393">
        <f>IF($J69="",0,SUMIFS(②釜工程入力!$M$5:$M$117,②釜工程入力!$S$5:$S$117,$J69,②釜工程入力!$J$5:$J$117,"&gt;0")-SUMIFS(②釜工程入力!$M$5:$M$117,②釜工程入力!$S$5:$S$117,$J69,②釜工程入力!$J$5:$J$117,"&gt;0",②釜工程入力!$I$5:$I$117,"&gt;0")+SUMIFS(③スチコン工程入力!$M$5:$M$152,③スチコン工程入力!$S$5:$S$152,$J69,③スチコン工程入力!$J$5:$J$152,"&gt;0")-SUMIFS(③スチコン工程入力!$M$5:$M$152,③スチコン工程入力!$S$5:$S$152,$J69,③スチコン工程入力!$J$5:$J$152,"&gt;0",③スチコン工程入力!$I$5:$I$152,"&gt;0")+SUMIFS(⑪ZEN工程入力!$M$6:$M$35,⑪ZEN工程入力!$S$6:$S$35,$J69,⑪ZEN工程入力!$J$6:$J$35,"&gt;0")-SUMIFS(⑪ZEN工程入力!$M$6:$M$35,⑪ZEN工程入力!$S$6:$S$35,$J69,⑪ZEN工程入力!$J$6:$J$35,"&gt;0",⑪ZEN工程入力!$I$6:$I$35,"&gt;0")+SUMIFS(⑫ミキサー工程入力!$M$6:$M$65,⑫ミキサー工程入力!$S$6:$S$65,$J69,⑫ミキサー工程入力!$J$6:$J$65,"&gt;0")-SUMIFS(⑫ミキサー工程入力!$M$6:$M$65,⑫ミキサー工程入力!$S$6:$S$65,$J69,⑫ミキサー工程入力!$J$6:$J$65,"&gt;0",⑫ミキサー工程入力!$I$6:$I$65,"&gt;0")+SUMIFS(⑬計量工程入力!$M$6:$M$65,⑬計量工程入力!$S$6:$S$65,$J69,⑬計量工程入力!$J$6:$J$65,"&gt;0")-SUMIFS(⑬計量工程入力!$M$6:$M$65,⑬計量工程入力!$S$6:$S$65,$J69,⑬計量工程入力!$J$6:$J$65,"&gt;0",⑬計量工程入力!$I$6:$I$65,"&gt;0")+SUMIFS(⑭手動工程入力!$M$6:$M$47,⑭手動工程入力!$S$6:$S$47,$J69,⑭手動工程入力!$J$6:$J$47,"&gt;0")-SUMIFS(⑭手動工程入力!$M$6:$M$47,⑭手動工程入力!$S$6:$S$47,$J69,⑭手動工程入力!$J$6:$J$47,"&gt;0",⑭手動工程入力!$I$6:$I$47,"&gt;0"))</f>
        <v/>
      </c>
      <c r="O69" s="393">
        <f>IF($J69="",0,SUMIFS(②釜工程入力!$J$5:$J$117,②釜工程入力!$S$5:$S$117,$J69,②釜工程入力!$J$5:$J$117,"&gt;0",②釜工程入力!$M$5:$M$117,"&gt;0")-SUMIFS(②釜工程入力!$J$5:$J$117,②釜工程入力!$S$5:$S$117,$J69,②釜工程入力!$J$5:$J$117,"&gt;0",②釜工程入力!$I$5:$I$117,"&gt;0",②釜工程入力!$M$5:$M$117,"&gt;0")+SUMIFS(③スチコン工程入力!$J$5:$J$152,③スチコン工程入力!$S$5:$S$152,$J69,③スチコン工程入力!$J$5:$J$152,"&gt;0",③スチコン工程入力!$M$5:$M$152,"&gt;0")-SUMIFS(③スチコン工程入力!$J$5:$J$152,③スチコン工程入力!$S$5:$S$152,$J69,③スチコン工程入力!$J$5:$J$152,"&gt;0",③スチコン工程入力!$I$5:$I$152,"&gt;0",③スチコン工程入力!$M$5:$M$152,"&gt;0")+SUMIFS(⑪ZEN工程入力!$J$6:$J$35,⑪ZEN工程入力!$S$6:$S$35,$J69,⑪ZEN工程入力!$J$6:$J$35,"&gt;0",⑪ZEN工程入力!$M$6:$M$35,"&gt;0")-SUMIFS(⑪ZEN工程入力!$J$6:$J$35,⑪ZEN工程入力!$S$6:$S$35,$J69,⑪ZEN工程入力!$J$6:$J$35,"&gt;0",⑪ZEN工程入力!$I$6:$I$35,"&gt;0",⑪ZEN工程入力!$M$6:$M$35,"&gt;0")+SUMIFS(⑫ミキサー工程入力!$J$6:$J$65,⑫ミキサー工程入力!$S$6:$S$65,$J69,⑫ミキサー工程入力!$J$6:$J$65,"&gt;0",⑫ミキサー工程入力!$M$6:$M$65,"&gt;0")-SUMIFS(⑫ミキサー工程入力!$J$6:$J$65,⑫ミキサー工程入力!$S$6:$S$65,$J69,⑫ミキサー工程入力!$J$6:$J$65,"&gt;0",⑫ミキサー工程入力!$I$6:$I$65,"&gt;0",⑫ミキサー工程入力!$M$6:$M$65,"&gt;0")+SUMIFS(⑬計量工程入力!$J$6:$J$65,⑬計量工程入力!$S$6:$S$65,$J69,⑬計量工程入力!$J$6:$J$65,"&gt;0",⑬計量工程入力!$M$6:$M$65,"&gt;0")-SUMIFS(⑬計量工程入力!$J$6:$J$65,⑬計量工程入力!$S$6:$S$65,$J69,⑬計量工程入力!$J$6:$J$65,"&gt;0",⑬計量工程入力!$I$6:$I$65,"&gt;0",⑬計量工程入力!$M$6:$M$65,"&gt;0")+SUMIFS(⑭手動工程入力!$J$6:$J$47,⑭手動工程入力!$S$6:$S$47,$J69,⑭手動工程入力!$J$6:$J$47,"&gt;0",⑭手動工程入力!$M$6:$M$47,"&gt;0")-SUMIFS(⑭手動工程入力!$J$6:$J$47,⑭手動工程入力!$S$6:$S$47,$J69,⑭手動工程入力!$J$6:$J$47,"&gt;0",⑭手動工程入力!$I$6:$I$47,"&gt;0",⑭手動工程入力!$M$6:$M$47,"&gt;0"))</f>
        <v/>
      </c>
      <c r="P69" s="392" t="n"/>
    </row>
    <row r="70">
      <c r="A70" s="392" t="n">
        <v>66</v>
      </c>
      <c r="B70" s="392" t="n"/>
      <c r="C70" s="392" t="n"/>
      <c r="D70" s="392" t="n"/>
      <c r="E70" s="392" t="n"/>
      <c r="F70" s="394" t="n"/>
      <c r="G70" s="392" t="n"/>
      <c r="H70" s="604">
        <f>IFERROR(IF(AND($K70&gt;0,ISNUMBER(IF(OR($D70="g",$D70="ｇ"),IF($M70&gt;0,$L70/$M70/1000,""),IF($D70="kg",IF($M70&gt;0,$L70/$M70,""),IF($D70="",IF($M70&gt;0,$L70/$M70/1000,IF($O70&gt;0,$N70/$O70,"")),IF($O70&gt;0,$N70/$O70,"")))))),IF(OR($D70="g",$D70="ｇ"),IF($M70&gt;0,$L70/$M70/1000,""),IF($D70="kg",IF($M70&gt;0,$L70/$M70,""),IF($D70="",IF($M70&gt;0,$L70/$M70/1000,IF($O70&gt;0,$N70/$O70,"")),IF($O70&gt;0,$N70/$O70,"")))),IF($F70="",IF(OR($E70="",$E70="⑩盛付梱包工程入力"),"",IF(OR($D70="g",$D70="ｇ"),INDEX(⑰工程労務費一覧!$N$5:$N$11,MATCH($E70,⑰工程労務費一覧!$K$5:$K$11,0))/1000,IF($D70="kg",INDEX(⑰工程労務費一覧!$N$5:$N$11,MATCH($E70,⑰工程労務費一覧!$K$5:$K$11,0)),IF(OR($D70="個",$D70="切",$D70="本",$D70="枚",$D70="尾"),IF($E70="⑬計量工程入力","",INDEX(⑰工程労務費一覧!$P$5:$P$11,MATCH($E70,⑰工程労務費一覧!$K$5:$K$11,0))),IF(AND($D70="",OR($E70="②釜工程入力",$E70="③スチコン工程入力")),INDEX(⑰工程労務費一覧!$N$5:$N$11,MATCH($E70,⑰工程労務費一覧!$K$5:$K$11,0))/1000,""))))),IF(OR($D70="g",$D70="ｇ"),INDEX(⑰工程労務費一覧!$H$5:$H$753,MATCH($F70,⑰工程労務費一覧!$D$5:$D$753,0))/1000,IF($D70="kg",INDEX(⑰工程労務費一覧!$H$5:$H$753,MATCH($F70,⑰工程労務費一覧!$D$5:$D$753,0)),INDEX(⑰工程労務費一覧!$I$5:$I$753,MATCH($F70,⑰工程労務費一覧!$D$5:$D$753,0)))))),"")</f>
        <v/>
      </c>
      <c r="I70" s="392">
        <f>IF($K70&gt;0,IF(ISNUMBER(IF(OR($D70="g",$D70="ｇ"),IF($M70&gt;0,$L70/$M70/1000,""),IF($D70="kg",IF($M70&gt;0,$L70/$M70,""),IF($D70="",IF($M70&gt;0,$L70/$M70/1000,IF($O70&gt;0,$N70/$O70,"")),IF($O70&gt;0,$N70/$O70,""))))),IF($D70="",IF($M70&gt;0,"◎ JAN紐づけ(g扱い)","◎ JAN紐づけ(個扱い)"),"◎ JAN紐づけ"),"△ JAN紐づけ済・実績不足→仮計算"),IF($F70="",IF(ISNUMBER($H70),IF($D70="","⑤ 工程平均で仮計算(g扱い)","⑤ 工程平均で仮計算"),IF($E70="⑩盛付梱包工程入力","⑥ 盛り込み(⑳F列で計上)",IF(AND($E70="⑬計量工程入力",OR($D70="個",$D70="切",$D70="本",$D70="枚",$D70="尾")),"① 未紐づけ(カット個単位は仮単価なし)","① 未紐づけ"))),IF(NOT(ISNUMBER($H70)),"② 工程側に単価なし",IF($D70="","③ 単位未設定(個で計算)","④ OK"))))</f>
        <v/>
      </c>
      <c r="J70" s="399">
        <f>IFERROR(LOOKUP(2,1/((中間品リスト!$F$2:$F$1299=$B70)*(中間品リスト!$E$2:$E$1299&lt;&gt;"-")*(中間品リスト!$E$2:$E$1299&lt;&gt;"")),中間品リスト!$E$2:$E$1299),"")</f>
        <v/>
      </c>
      <c r="K70" s="400">
        <f>IF($J70="",0,COUNTIF(②釜工程入力!$S$5:$S$117,$J70)+COUNTIF(③スチコン工程入力!$S$5:$S$152,$J70)+COUNTIF(⑪ZEN工程入力!$S$6:$S$35,$J70)+COUNTIF(⑫ミキサー工程入力!$S$6:$S$65,$J70)+COUNTIF(⑬計量工程入力!$S$6:$S$65,$J70)+COUNTIF(⑭手動工程入力!$S$6:$S$47,$J70))</f>
        <v/>
      </c>
      <c r="L70" s="393">
        <f>IF($J70="",0,SUMIFS(②釜工程入力!$M$5:$M$117,②釜工程入力!$S$5:$S$117,$J70,②釜工程入力!$I$5:$I$117,"&gt;0")+SUMIFS(③スチコン工程入力!$M$5:$M$152,③スチコン工程入力!$S$5:$S$152,$J70,③スチコン工程入力!$I$5:$I$152,"&gt;0")+SUMIFS(⑪ZEN工程入力!$M$6:$M$35,⑪ZEN工程入力!$S$6:$S$35,$J70,⑪ZEN工程入力!$I$6:$I$35,"&gt;0")+SUMIFS(⑫ミキサー工程入力!$M$6:$M$65,⑫ミキサー工程入力!$S$6:$S$65,$J70,⑫ミキサー工程入力!$I$6:$I$65,"&gt;0")+SUMIFS(⑬計量工程入力!$M$6:$M$65,⑬計量工程入力!$S$6:$S$65,$J70,⑬計量工程入力!$I$6:$I$65,"&gt;0")+SUMIFS(⑭手動工程入力!$M$6:$M$47,⑭手動工程入力!$S$6:$S$47,$J70,⑭手動工程入力!$I$6:$I$47,"&gt;0"))</f>
        <v/>
      </c>
      <c r="M70" s="393">
        <f>IF($J70="",0,SUMIFS(②釜工程入力!$I$5:$I$117,②釜工程入力!$S$5:$S$117,$J70,②釜工程入力!$I$5:$I$117,"&gt;0",②釜工程入力!$M$5:$M$117,"&gt;0")+SUMIFS(③スチコン工程入力!$I$5:$I$152,③スチコン工程入力!$S$5:$S$152,$J70,③スチコン工程入力!$I$5:$I$152,"&gt;0",③スチコン工程入力!$M$5:$M$152,"&gt;0")+SUMIFS(⑪ZEN工程入力!$I$6:$I$35,⑪ZEN工程入力!$S$6:$S$35,$J70,⑪ZEN工程入力!$I$6:$I$35,"&gt;0",⑪ZEN工程入力!$M$6:$M$35,"&gt;0")+SUMIFS(⑫ミキサー工程入力!$I$6:$I$65,⑫ミキサー工程入力!$S$6:$S$65,$J70,⑫ミキサー工程入力!$I$6:$I$65,"&gt;0",⑫ミキサー工程入力!$M$6:$M$65,"&gt;0")+SUMIFS(⑬計量工程入力!$I$6:$I$65,⑬計量工程入力!$S$6:$S$65,$J70,⑬計量工程入力!$I$6:$I$65,"&gt;0",⑬計量工程入力!$M$6:$M$65,"&gt;0")+SUMIFS(⑭手動工程入力!$I$6:$I$47,⑭手動工程入力!$S$6:$S$47,$J70,⑭手動工程入力!$I$6:$I$47,"&gt;0",⑭手動工程入力!$M$6:$M$47,"&gt;0"))</f>
        <v/>
      </c>
      <c r="N70" s="393">
        <f>IF($J70="",0,SUMIFS(②釜工程入力!$M$5:$M$117,②釜工程入力!$S$5:$S$117,$J70,②釜工程入力!$J$5:$J$117,"&gt;0")-SUMIFS(②釜工程入力!$M$5:$M$117,②釜工程入力!$S$5:$S$117,$J70,②釜工程入力!$J$5:$J$117,"&gt;0",②釜工程入力!$I$5:$I$117,"&gt;0")+SUMIFS(③スチコン工程入力!$M$5:$M$152,③スチコン工程入力!$S$5:$S$152,$J70,③スチコン工程入力!$J$5:$J$152,"&gt;0")-SUMIFS(③スチコン工程入力!$M$5:$M$152,③スチコン工程入力!$S$5:$S$152,$J70,③スチコン工程入力!$J$5:$J$152,"&gt;0",③スチコン工程入力!$I$5:$I$152,"&gt;0")+SUMIFS(⑪ZEN工程入力!$M$6:$M$35,⑪ZEN工程入力!$S$6:$S$35,$J70,⑪ZEN工程入力!$J$6:$J$35,"&gt;0")-SUMIFS(⑪ZEN工程入力!$M$6:$M$35,⑪ZEN工程入力!$S$6:$S$35,$J70,⑪ZEN工程入力!$J$6:$J$35,"&gt;0",⑪ZEN工程入力!$I$6:$I$35,"&gt;0")+SUMIFS(⑫ミキサー工程入力!$M$6:$M$65,⑫ミキサー工程入力!$S$6:$S$65,$J70,⑫ミキサー工程入力!$J$6:$J$65,"&gt;0")-SUMIFS(⑫ミキサー工程入力!$M$6:$M$65,⑫ミキサー工程入力!$S$6:$S$65,$J70,⑫ミキサー工程入力!$J$6:$J$65,"&gt;0",⑫ミキサー工程入力!$I$6:$I$65,"&gt;0")+SUMIFS(⑬計量工程入力!$M$6:$M$65,⑬計量工程入力!$S$6:$S$65,$J70,⑬計量工程入力!$J$6:$J$65,"&gt;0")-SUMIFS(⑬計量工程入力!$M$6:$M$65,⑬計量工程入力!$S$6:$S$65,$J70,⑬計量工程入力!$J$6:$J$65,"&gt;0",⑬計量工程入力!$I$6:$I$65,"&gt;0")+SUMIFS(⑭手動工程入力!$M$6:$M$47,⑭手動工程入力!$S$6:$S$47,$J70,⑭手動工程入力!$J$6:$J$47,"&gt;0")-SUMIFS(⑭手動工程入力!$M$6:$M$47,⑭手動工程入力!$S$6:$S$47,$J70,⑭手動工程入力!$J$6:$J$47,"&gt;0",⑭手動工程入力!$I$6:$I$47,"&gt;0"))</f>
        <v/>
      </c>
      <c r="O70" s="393">
        <f>IF($J70="",0,SUMIFS(②釜工程入力!$J$5:$J$117,②釜工程入力!$S$5:$S$117,$J70,②釜工程入力!$J$5:$J$117,"&gt;0",②釜工程入力!$M$5:$M$117,"&gt;0")-SUMIFS(②釜工程入力!$J$5:$J$117,②釜工程入力!$S$5:$S$117,$J70,②釜工程入力!$J$5:$J$117,"&gt;0",②釜工程入力!$I$5:$I$117,"&gt;0",②釜工程入力!$M$5:$M$117,"&gt;0")+SUMIFS(③スチコン工程入力!$J$5:$J$152,③スチコン工程入力!$S$5:$S$152,$J70,③スチコン工程入力!$J$5:$J$152,"&gt;0",③スチコン工程入力!$M$5:$M$152,"&gt;0")-SUMIFS(③スチコン工程入力!$J$5:$J$152,③スチコン工程入力!$S$5:$S$152,$J70,③スチコン工程入力!$J$5:$J$152,"&gt;0",③スチコン工程入力!$I$5:$I$152,"&gt;0",③スチコン工程入力!$M$5:$M$152,"&gt;0")+SUMIFS(⑪ZEN工程入力!$J$6:$J$35,⑪ZEN工程入力!$S$6:$S$35,$J70,⑪ZEN工程入力!$J$6:$J$35,"&gt;0",⑪ZEN工程入力!$M$6:$M$35,"&gt;0")-SUMIFS(⑪ZEN工程入力!$J$6:$J$35,⑪ZEN工程入力!$S$6:$S$35,$J70,⑪ZEN工程入力!$J$6:$J$35,"&gt;0",⑪ZEN工程入力!$I$6:$I$35,"&gt;0",⑪ZEN工程入力!$M$6:$M$35,"&gt;0")+SUMIFS(⑫ミキサー工程入力!$J$6:$J$65,⑫ミキサー工程入力!$S$6:$S$65,$J70,⑫ミキサー工程入力!$J$6:$J$65,"&gt;0",⑫ミキサー工程入力!$M$6:$M$65,"&gt;0")-SUMIFS(⑫ミキサー工程入力!$J$6:$J$65,⑫ミキサー工程入力!$S$6:$S$65,$J70,⑫ミキサー工程入力!$J$6:$J$65,"&gt;0",⑫ミキサー工程入力!$I$6:$I$65,"&gt;0",⑫ミキサー工程入力!$M$6:$M$65,"&gt;0")+SUMIFS(⑬計量工程入力!$J$6:$J$65,⑬計量工程入力!$S$6:$S$65,$J70,⑬計量工程入力!$J$6:$J$65,"&gt;0",⑬計量工程入力!$M$6:$M$65,"&gt;0")-SUMIFS(⑬計量工程入力!$J$6:$J$65,⑬計量工程入力!$S$6:$S$65,$J70,⑬計量工程入力!$J$6:$J$65,"&gt;0",⑬計量工程入力!$I$6:$I$65,"&gt;0",⑬計量工程入力!$M$6:$M$65,"&gt;0")+SUMIFS(⑭手動工程入力!$J$6:$J$47,⑭手動工程入力!$S$6:$S$47,$J70,⑭手動工程入力!$J$6:$J$47,"&gt;0",⑭手動工程入力!$M$6:$M$47,"&gt;0")-SUMIFS(⑭手動工程入力!$J$6:$J$47,⑭手動工程入力!$S$6:$S$47,$J70,⑭手動工程入力!$J$6:$J$47,"&gt;0",⑭手動工程入力!$I$6:$I$47,"&gt;0",⑭手動工程入力!$M$6:$M$47,"&gt;0"))</f>
        <v/>
      </c>
      <c r="P70" s="392" t="n"/>
    </row>
    <row r="71">
      <c r="A71" s="392" t="n">
        <v>67</v>
      </c>
      <c r="B71" s="392" t="n"/>
      <c r="C71" s="392" t="n"/>
      <c r="D71" s="392" t="n"/>
      <c r="E71" s="392" t="n"/>
      <c r="F71" s="394" t="n"/>
      <c r="G71" s="392" t="n"/>
      <c r="H71" s="604">
        <f>IFERROR(IF(AND($K71&gt;0,ISNUMBER(IF(OR($D71="g",$D71="ｇ"),IF($M71&gt;0,$L71/$M71/1000,""),IF($D71="kg",IF($M71&gt;0,$L71/$M71,""),IF($D71="",IF($M71&gt;0,$L71/$M71/1000,IF($O71&gt;0,$N71/$O71,"")),IF($O71&gt;0,$N71/$O71,"")))))),IF(OR($D71="g",$D71="ｇ"),IF($M71&gt;0,$L71/$M71/1000,""),IF($D71="kg",IF($M71&gt;0,$L71/$M71,""),IF($D71="",IF($M71&gt;0,$L71/$M71/1000,IF($O71&gt;0,$N71/$O71,"")),IF($O71&gt;0,$N71/$O71,"")))),IF($F71="",IF(OR($E71="",$E71="⑩盛付梱包工程入力"),"",IF(OR($D71="g",$D71="ｇ"),INDEX(⑰工程労務費一覧!$N$5:$N$11,MATCH($E71,⑰工程労務費一覧!$K$5:$K$11,0))/1000,IF($D71="kg",INDEX(⑰工程労務費一覧!$N$5:$N$11,MATCH($E71,⑰工程労務費一覧!$K$5:$K$11,0)),IF(OR($D71="個",$D71="切",$D71="本",$D71="枚",$D71="尾"),IF($E71="⑬計量工程入力","",INDEX(⑰工程労務費一覧!$P$5:$P$11,MATCH($E71,⑰工程労務費一覧!$K$5:$K$11,0))),IF(AND($D71="",OR($E71="②釜工程入力",$E71="③スチコン工程入力")),INDEX(⑰工程労務費一覧!$N$5:$N$11,MATCH($E71,⑰工程労務費一覧!$K$5:$K$11,0))/1000,""))))),IF(OR($D71="g",$D71="ｇ"),INDEX(⑰工程労務費一覧!$H$5:$H$753,MATCH($F71,⑰工程労務費一覧!$D$5:$D$753,0))/1000,IF($D71="kg",INDEX(⑰工程労務費一覧!$H$5:$H$753,MATCH($F71,⑰工程労務費一覧!$D$5:$D$753,0)),INDEX(⑰工程労務費一覧!$I$5:$I$753,MATCH($F71,⑰工程労務費一覧!$D$5:$D$753,0)))))),"")</f>
        <v/>
      </c>
      <c r="I71" s="392">
        <f>IF($K71&gt;0,IF(ISNUMBER(IF(OR($D71="g",$D71="ｇ"),IF($M71&gt;0,$L71/$M71/1000,""),IF($D71="kg",IF($M71&gt;0,$L71/$M71,""),IF($D71="",IF($M71&gt;0,$L71/$M71/1000,IF($O71&gt;0,$N71/$O71,"")),IF($O71&gt;0,$N71/$O71,""))))),IF($D71="",IF($M71&gt;0,"◎ JAN紐づけ(g扱い)","◎ JAN紐づけ(個扱い)"),"◎ JAN紐づけ"),"△ JAN紐づけ済・実績不足→仮計算"),IF($F71="",IF(ISNUMBER($H71),IF($D71="","⑤ 工程平均で仮計算(g扱い)","⑤ 工程平均で仮計算"),IF($E71="⑩盛付梱包工程入力","⑥ 盛り込み(⑳F列で計上)",IF(AND($E71="⑬計量工程入力",OR($D71="個",$D71="切",$D71="本",$D71="枚",$D71="尾")),"① 未紐づけ(カット個単位は仮単価なし)","① 未紐づけ"))),IF(NOT(ISNUMBER($H71)),"② 工程側に単価なし",IF($D71="","③ 単位未設定(個で計算)","④ OK"))))</f>
        <v/>
      </c>
      <c r="J71" s="399">
        <f>IFERROR(LOOKUP(2,1/((中間品リスト!$F$2:$F$1299=$B71)*(中間品リスト!$E$2:$E$1299&lt;&gt;"-")*(中間品リスト!$E$2:$E$1299&lt;&gt;"")),中間品リスト!$E$2:$E$1299),"")</f>
        <v/>
      </c>
      <c r="K71" s="400">
        <f>IF($J71="",0,COUNTIF(②釜工程入力!$S$5:$S$117,$J71)+COUNTIF(③スチコン工程入力!$S$5:$S$152,$J71)+COUNTIF(⑪ZEN工程入力!$S$6:$S$35,$J71)+COUNTIF(⑫ミキサー工程入力!$S$6:$S$65,$J71)+COUNTIF(⑬計量工程入力!$S$6:$S$65,$J71)+COUNTIF(⑭手動工程入力!$S$6:$S$47,$J71))</f>
        <v/>
      </c>
      <c r="L71" s="393">
        <f>IF($J71="",0,SUMIFS(②釜工程入力!$M$5:$M$117,②釜工程入力!$S$5:$S$117,$J71,②釜工程入力!$I$5:$I$117,"&gt;0")+SUMIFS(③スチコン工程入力!$M$5:$M$152,③スチコン工程入力!$S$5:$S$152,$J71,③スチコン工程入力!$I$5:$I$152,"&gt;0")+SUMIFS(⑪ZEN工程入力!$M$6:$M$35,⑪ZEN工程入力!$S$6:$S$35,$J71,⑪ZEN工程入力!$I$6:$I$35,"&gt;0")+SUMIFS(⑫ミキサー工程入力!$M$6:$M$65,⑫ミキサー工程入力!$S$6:$S$65,$J71,⑫ミキサー工程入力!$I$6:$I$65,"&gt;0")+SUMIFS(⑬計量工程入力!$M$6:$M$65,⑬計量工程入力!$S$6:$S$65,$J71,⑬計量工程入力!$I$6:$I$65,"&gt;0")+SUMIFS(⑭手動工程入力!$M$6:$M$47,⑭手動工程入力!$S$6:$S$47,$J71,⑭手動工程入力!$I$6:$I$47,"&gt;0"))</f>
        <v/>
      </c>
      <c r="M71" s="393">
        <f>IF($J71="",0,SUMIFS(②釜工程入力!$I$5:$I$117,②釜工程入力!$S$5:$S$117,$J71,②釜工程入力!$I$5:$I$117,"&gt;0",②釜工程入力!$M$5:$M$117,"&gt;0")+SUMIFS(③スチコン工程入力!$I$5:$I$152,③スチコン工程入力!$S$5:$S$152,$J71,③スチコン工程入力!$I$5:$I$152,"&gt;0",③スチコン工程入力!$M$5:$M$152,"&gt;0")+SUMIFS(⑪ZEN工程入力!$I$6:$I$35,⑪ZEN工程入力!$S$6:$S$35,$J71,⑪ZEN工程入力!$I$6:$I$35,"&gt;0",⑪ZEN工程入力!$M$6:$M$35,"&gt;0")+SUMIFS(⑫ミキサー工程入力!$I$6:$I$65,⑫ミキサー工程入力!$S$6:$S$65,$J71,⑫ミキサー工程入力!$I$6:$I$65,"&gt;0",⑫ミキサー工程入力!$M$6:$M$65,"&gt;0")+SUMIFS(⑬計量工程入力!$I$6:$I$65,⑬計量工程入力!$S$6:$S$65,$J71,⑬計量工程入力!$I$6:$I$65,"&gt;0",⑬計量工程入力!$M$6:$M$65,"&gt;0")+SUMIFS(⑭手動工程入力!$I$6:$I$47,⑭手動工程入力!$S$6:$S$47,$J71,⑭手動工程入力!$I$6:$I$47,"&gt;0",⑭手動工程入力!$M$6:$M$47,"&gt;0"))</f>
        <v/>
      </c>
      <c r="N71" s="393">
        <f>IF($J71="",0,SUMIFS(②釜工程入力!$M$5:$M$117,②釜工程入力!$S$5:$S$117,$J71,②釜工程入力!$J$5:$J$117,"&gt;0")-SUMIFS(②釜工程入力!$M$5:$M$117,②釜工程入力!$S$5:$S$117,$J71,②釜工程入力!$J$5:$J$117,"&gt;0",②釜工程入力!$I$5:$I$117,"&gt;0")+SUMIFS(③スチコン工程入力!$M$5:$M$152,③スチコン工程入力!$S$5:$S$152,$J71,③スチコン工程入力!$J$5:$J$152,"&gt;0")-SUMIFS(③スチコン工程入力!$M$5:$M$152,③スチコン工程入力!$S$5:$S$152,$J71,③スチコン工程入力!$J$5:$J$152,"&gt;0",③スチコン工程入力!$I$5:$I$152,"&gt;0")+SUMIFS(⑪ZEN工程入力!$M$6:$M$35,⑪ZEN工程入力!$S$6:$S$35,$J71,⑪ZEN工程入力!$J$6:$J$35,"&gt;0")-SUMIFS(⑪ZEN工程入力!$M$6:$M$35,⑪ZEN工程入力!$S$6:$S$35,$J71,⑪ZEN工程入力!$J$6:$J$35,"&gt;0",⑪ZEN工程入力!$I$6:$I$35,"&gt;0")+SUMIFS(⑫ミキサー工程入力!$M$6:$M$65,⑫ミキサー工程入力!$S$6:$S$65,$J71,⑫ミキサー工程入力!$J$6:$J$65,"&gt;0")-SUMIFS(⑫ミキサー工程入力!$M$6:$M$65,⑫ミキサー工程入力!$S$6:$S$65,$J71,⑫ミキサー工程入力!$J$6:$J$65,"&gt;0",⑫ミキサー工程入力!$I$6:$I$65,"&gt;0")+SUMIFS(⑬計量工程入力!$M$6:$M$65,⑬計量工程入力!$S$6:$S$65,$J71,⑬計量工程入力!$J$6:$J$65,"&gt;0")-SUMIFS(⑬計量工程入力!$M$6:$M$65,⑬計量工程入力!$S$6:$S$65,$J71,⑬計量工程入力!$J$6:$J$65,"&gt;0",⑬計量工程入力!$I$6:$I$65,"&gt;0")+SUMIFS(⑭手動工程入力!$M$6:$M$47,⑭手動工程入力!$S$6:$S$47,$J71,⑭手動工程入力!$J$6:$J$47,"&gt;0")-SUMIFS(⑭手動工程入力!$M$6:$M$47,⑭手動工程入力!$S$6:$S$47,$J71,⑭手動工程入力!$J$6:$J$47,"&gt;0",⑭手動工程入力!$I$6:$I$47,"&gt;0"))</f>
        <v/>
      </c>
      <c r="O71" s="393">
        <f>IF($J71="",0,SUMIFS(②釜工程入力!$J$5:$J$117,②釜工程入力!$S$5:$S$117,$J71,②釜工程入力!$J$5:$J$117,"&gt;0",②釜工程入力!$M$5:$M$117,"&gt;0")-SUMIFS(②釜工程入力!$J$5:$J$117,②釜工程入力!$S$5:$S$117,$J71,②釜工程入力!$J$5:$J$117,"&gt;0",②釜工程入力!$I$5:$I$117,"&gt;0",②釜工程入力!$M$5:$M$117,"&gt;0")+SUMIFS(③スチコン工程入力!$J$5:$J$152,③スチコン工程入力!$S$5:$S$152,$J71,③スチコン工程入力!$J$5:$J$152,"&gt;0",③スチコン工程入力!$M$5:$M$152,"&gt;0")-SUMIFS(③スチコン工程入力!$J$5:$J$152,③スチコン工程入力!$S$5:$S$152,$J71,③スチコン工程入力!$J$5:$J$152,"&gt;0",③スチコン工程入力!$I$5:$I$152,"&gt;0",③スチコン工程入力!$M$5:$M$152,"&gt;0")+SUMIFS(⑪ZEN工程入力!$J$6:$J$35,⑪ZEN工程入力!$S$6:$S$35,$J71,⑪ZEN工程入力!$J$6:$J$35,"&gt;0",⑪ZEN工程入力!$M$6:$M$35,"&gt;0")-SUMIFS(⑪ZEN工程入力!$J$6:$J$35,⑪ZEN工程入力!$S$6:$S$35,$J71,⑪ZEN工程入力!$J$6:$J$35,"&gt;0",⑪ZEN工程入力!$I$6:$I$35,"&gt;0",⑪ZEN工程入力!$M$6:$M$35,"&gt;0")+SUMIFS(⑫ミキサー工程入力!$J$6:$J$65,⑫ミキサー工程入力!$S$6:$S$65,$J71,⑫ミキサー工程入力!$J$6:$J$65,"&gt;0",⑫ミキサー工程入力!$M$6:$M$65,"&gt;0")-SUMIFS(⑫ミキサー工程入力!$J$6:$J$65,⑫ミキサー工程入力!$S$6:$S$65,$J71,⑫ミキサー工程入力!$J$6:$J$65,"&gt;0",⑫ミキサー工程入力!$I$6:$I$65,"&gt;0",⑫ミキサー工程入力!$M$6:$M$65,"&gt;0")+SUMIFS(⑬計量工程入力!$J$6:$J$65,⑬計量工程入力!$S$6:$S$65,$J71,⑬計量工程入力!$J$6:$J$65,"&gt;0",⑬計量工程入力!$M$6:$M$65,"&gt;0")-SUMIFS(⑬計量工程入力!$J$6:$J$65,⑬計量工程入力!$S$6:$S$65,$J71,⑬計量工程入力!$J$6:$J$65,"&gt;0",⑬計量工程入力!$I$6:$I$65,"&gt;0",⑬計量工程入力!$M$6:$M$65,"&gt;0")+SUMIFS(⑭手動工程入力!$J$6:$J$47,⑭手動工程入力!$S$6:$S$47,$J71,⑭手動工程入力!$J$6:$J$47,"&gt;0",⑭手動工程入力!$M$6:$M$47,"&gt;0")-SUMIFS(⑭手動工程入力!$J$6:$J$47,⑭手動工程入力!$S$6:$S$47,$J71,⑭手動工程入力!$J$6:$J$47,"&gt;0",⑭手動工程入力!$I$6:$I$47,"&gt;0",⑭手動工程入力!$M$6:$M$47,"&gt;0"))</f>
        <v/>
      </c>
      <c r="P71" s="392" t="n"/>
    </row>
    <row r="72">
      <c r="A72" s="392" t="n">
        <v>68</v>
      </c>
      <c r="B72" s="392" t="n"/>
      <c r="C72" s="392" t="n"/>
      <c r="D72" s="392" t="n"/>
      <c r="E72" s="392" t="n"/>
      <c r="F72" s="394" t="n"/>
      <c r="G72" s="392" t="n"/>
      <c r="H72" s="604">
        <f>IFERROR(IF(AND($K72&gt;0,ISNUMBER(IF(OR($D72="g",$D72="ｇ"),IF($M72&gt;0,$L72/$M72/1000,""),IF($D72="kg",IF($M72&gt;0,$L72/$M72,""),IF($D72="",IF($M72&gt;0,$L72/$M72/1000,IF($O72&gt;0,$N72/$O72,"")),IF($O72&gt;0,$N72/$O72,"")))))),IF(OR($D72="g",$D72="ｇ"),IF($M72&gt;0,$L72/$M72/1000,""),IF($D72="kg",IF($M72&gt;0,$L72/$M72,""),IF($D72="",IF($M72&gt;0,$L72/$M72/1000,IF($O72&gt;0,$N72/$O72,"")),IF($O72&gt;0,$N72/$O72,"")))),IF($F72="",IF(OR($E72="",$E72="⑩盛付梱包工程入力"),"",IF(OR($D72="g",$D72="ｇ"),INDEX(⑰工程労務費一覧!$N$5:$N$11,MATCH($E72,⑰工程労務費一覧!$K$5:$K$11,0))/1000,IF($D72="kg",INDEX(⑰工程労務費一覧!$N$5:$N$11,MATCH($E72,⑰工程労務費一覧!$K$5:$K$11,0)),IF(OR($D72="個",$D72="切",$D72="本",$D72="枚",$D72="尾"),IF($E72="⑬計量工程入力","",INDEX(⑰工程労務費一覧!$P$5:$P$11,MATCH($E72,⑰工程労務費一覧!$K$5:$K$11,0))),IF(AND($D72="",OR($E72="②釜工程入力",$E72="③スチコン工程入力")),INDEX(⑰工程労務費一覧!$N$5:$N$11,MATCH($E72,⑰工程労務費一覧!$K$5:$K$11,0))/1000,""))))),IF(OR($D72="g",$D72="ｇ"),INDEX(⑰工程労務費一覧!$H$5:$H$753,MATCH($F72,⑰工程労務費一覧!$D$5:$D$753,0))/1000,IF($D72="kg",INDEX(⑰工程労務費一覧!$H$5:$H$753,MATCH($F72,⑰工程労務費一覧!$D$5:$D$753,0)),INDEX(⑰工程労務費一覧!$I$5:$I$753,MATCH($F72,⑰工程労務費一覧!$D$5:$D$753,0)))))),"")</f>
        <v/>
      </c>
      <c r="I72" s="392">
        <f>IF($K72&gt;0,IF(ISNUMBER(IF(OR($D72="g",$D72="ｇ"),IF($M72&gt;0,$L72/$M72/1000,""),IF($D72="kg",IF($M72&gt;0,$L72/$M72,""),IF($D72="",IF($M72&gt;0,$L72/$M72/1000,IF($O72&gt;0,$N72/$O72,"")),IF($O72&gt;0,$N72/$O72,""))))),IF($D72="",IF($M72&gt;0,"◎ JAN紐づけ(g扱い)","◎ JAN紐づけ(個扱い)"),"◎ JAN紐づけ"),"△ JAN紐づけ済・実績不足→仮計算"),IF($F72="",IF(ISNUMBER($H72),IF($D72="","⑤ 工程平均で仮計算(g扱い)","⑤ 工程平均で仮計算"),IF($E72="⑩盛付梱包工程入力","⑥ 盛り込み(⑳F列で計上)",IF(AND($E72="⑬計量工程入力",OR($D72="個",$D72="切",$D72="本",$D72="枚",$D72="尾")),"① 未紐づけ(カット個単位は仮単価なし)","① 未紐づけ"))),IF(NOT(ISNUMBER($H72)),"② 工程側に単価なし",IF($D72="","③ 単位未設定(個で計算)","④ OK"))))</f>
        <v/>
      </c>
      <c r="J72" s="399">
        <f>IFERROR(LOOKUP(2,1/((中間品リスト!$F$2:$F$1299=$B72)*(中間品リスト!$E$2:$E$1299&lt;&gt;"-")*(中間品リスト!$E$2:$E$1299&lt;&gt;"")),中間品リスト!$E$2:$E$1299),"")</f>
        <v/>
      </c>
      <c r="K72" s="400">
        <f>IF($J72="",0,COUNTIF(②釜工程入力!$S$5:$S$117,$J72)+COUNTIF(③スチコン工程入力!$S$5:$S$152,$J72)+COUNTIF(⑪ZEN工程入力!$S$6:$S$35,$J72)+COUNTIF(⑫ミキサー工程入力!$S$6:$S$65,$J72)+COUNTIF(⑬計量工程入力!$S$6:$S$65,$J72)+COUNTIF(⑭手動工程入力!$S$6:$S$47,$J72))</f>
        <v/>
      </c>
      <c r="L72" s="393">
        <f>IF($J72="",0,SUMIFS(②釜工程入力!$M$5:$M$117,②釜工程入力!$S$5:$S$117,$J72,②釜工程入力!$I$5:$I$117,"&gt;0")+SUMIFS(③スチコン工程入力!$M$5:$M$152,③スチコン工程入力!$S$5:$S$152,$J72,③スチコン工程入力!$I$5:$I$152,"&gt;0")+SUMIFS(⑪ZEN工程入力!$M$6:$M$35,⑪ZEN工程入力!$S$6:$S$35,$J72,⑪ZEN工程入力!$I$6:$I$35,"&gt;0")+SUMIFS(⑫ミキサー工程入力!$M$6:$M$65,⑫ミキサー工程入力!$S$6:$S$65,$J72,⑫ミキサー工程入力!$I$6:$I$65,"&gt;0")+SUMIFS(⑬計量工程入力!$M$6:$M$65,⑬計量工程入力!$S$6:$S$65,$J72,⑬計量工程入力!$I$6:$I$65,"&gt;0")+SUMIFS(⑭手動工程入力!$M$6:$M$47,⑭手動工程入力!$S$6:$S$47,$J72,⑭手動工程入力!$I$6:$I$47,"&gt;0"))</f>
        <v/>
      </c>
      <c r="M72" s="393">
        <f>IF($J72="",0,SUMIFS(②釜工程入力!$I$5:$I$117,②釜工程入力!$S$5:$S$117,$J72,②釜工程入力!$I$5:$I$117,"&gt;0",②釜工程入力!$M$5:$M$117,"&gt;0")+SUMIFS(③スチコン工程入力!$I$5:$I$152,③スチコン工程入力!$S$5:$S$152,$J72,③スチコン工程入力!$I$5:$I$152,"&gt;0",③スチコン工程入力!$M$5:$M$152,"&gt;0")+SUMIFS(⑪ZEN工程入力!$I$6:$I$35,⑪ZEN工程入力!$S$6:$S$35,$J72,⑪ZEN工程入力!$I$6:$I$35,"&gt;0",⑪ZEN工程入力!$M$6:$M$35,"&gt;0")+SUMIFS(⑫ミキサー工程入力!$I$6:$I$65,⑫ミキサー工程入力!$S$6:$S$65,$J72,⑫ミキサー工程入力!$I$6:$I$65,"&gt;0",⑫ミキサー工程入力!$M$6:$M$65,"&gt;0")+SUMIFS(⑬計量工程入力!$I$6:$I$65,⑬計量工程入力!$S$6:$S$65,$J72,⑬計量工程入力!$I$6:$I$65,"&gt;0",⑬計量工程入力!$M$6:$M$65,"&gt;0")+SUMIFS(⑭手動工程入力!$I$6:$I$47,⑭手動工程入力!$S$6:$S$47,$J72,⑭手動工程入力!$I$6:$I$47,"&gt;0",⑭手動工程入力!$M$6:$M$47,"&gt;0"))</f>
        <v/>
      </c>
      <c r="N72" s="393">
        <f>IF($J72="",0,SUMIFS(②釜工程入力!$M$5:$M$117,②釜工程入力!$S$5:$S$117,$J72,②釜工程入力!$J$5:$J$117,"&gt;0")-SUMIFS(②釜工程入力!$M$5:$M$117,②釜工程入力!$S$5:$S$117,$J72,②釜工程入力!$J$5:$J$117,"&gt;0",②釜工程入力!$I$5:$I$117,"&gt;0")+SUMIFS(③スチコン工程入力!$M$5:$M$152,③スチコン工程入力!$S$5:$S$152,$J72,③スチコン工程入力!$J$5:$J$152,"&gt;0")-SUMIFS(③スチコン工程入力!$M$5:$M$152,③スチコン工程入力!$S$5:$S$152,$J72,③スチコン工程入力!$J$5:$J$152,"&gt;0",③スチコン工程入力!$I$5:$I$152,"&gt;0")+SUMIFS(⑪ZEN工程入力!$M$6:$M$35,⑪ZEN工程入力!$S$6:$S$35,$J72,⑪ZEN工程入力!$J$6:$J$35,"&gt;0")-SUMIFS(⑪ZEN工程入力!$M$6:$M$35,⑪ZEN工程入力!$S$6:$S$35,$J72,⑪ZEN工程入力!$J$6:$J$35,"&gt;0",⑪ZEN工程入力!$I$6:$I$35,"&gt;0")+SUMIFS(⑫ミキサー工程入力!$M$6:$M$65,⑫ミキサー工程入力!$S$6:$S$65,$J72,⑫ミキサー工程入力!$J$6:$J$65,"&gt;0")-SUMIFS(⑫ミキサー工程入力!$M$6:$M$65,⑫ミキサー工程入力!$S$6:$S$65,$J72,⑫ミキサー工程入力!$J$6:$J$65,"&gt;0",⑫ミキサー工程入力!$I$6:$I$65,"&gt;0")+SUMIFS(⑬計量工程入力!$M$6:$M$65,⑬計量工程入力!$S$6:$S$65,$J72,⑬計量工程入力!$J$6:$J$65,"&gt;0")-SUMIFS(⑬計量工程入力!$M$6:$M$65,⑬計量工程入力!$S$6:$S$65,$J72,⑬計量工程入力!$J$6:$J$65,"&gt;0",⑬計量工程入力!$I$6:$I$65,"&gt;0")+SUMIFS(⑭手動工程入力!$M$6:$M$47,⑭手動工程入力!$S$6:$S$47,$J72,⑭手動工程入力!$J$6:$J$47,"&gt;0")-SUMIFS(⑭手動工程入力!$M$6:$M$47,⑭手動工程入力!$S$6:$S$47,$J72,⑭手動工程入力!$J$6:$J$47,"&gt;0",⑭手動工程入力!$I$6:$I$47,"&gt;0"))</f>
        <v/>
      </c>
      <c r="O72" s="393">
        <f>IF($J72="",0,SUMIFS(②釜工程入力!$J$5:$J$117,②釜工程入力!$S$5:$S$117,$J72,②釜工程入力!$J$5:$J$117,"&gt;0",②釜工程入力!$M$5:$M$117,"&gt;0")-SUMIFS(②釜工程入力!$J$5:$J$117,②釜工程入力!$S$5:$S$117,$J72,②釜工程入力!$J$5:$J$117,"&gt;0",②釜工程入力!$I$5:$I$117,"&gt;0",②釜工程入力!$M$5:$M$117,"&gt;0")+SUMIFS(③スチコン工程入力!$J$5:$J$152,③スチコン工程入力!$S$5:$S$152,$J72,③スチコン工程入力!$J$5:$J$152,"&gt;0",③スチコン工程入力!$M$5:$M$152,"&gt;0")-SUMIFS(③スチコン工程入力!$J$5:$J$152,③スチコン工程入力!$S$5:$S$152,$J72,③スチコン工程入力!$J$5:$J$152,"&gt;0",③スチコン工程入力!$I$5:$I$152,"&gt;0",③スチコン工程入力!$M$5:$M$152,"&gt;0")+SUMIFS(⑪ZEN工程入力!$J$6:$J$35,⑪ZEN工程入力!$S$6:$S$35,$J72,⑪ZEN工程入力!$J$6:$J$35,"&gt;0",⑪ZEN工程入力!$M$6:$M$35,"&gt;0")-SUMIFS(⑪ZEN工程入力!$J$6:$J$35,⑪ZEN工程入力!$S$6:$S$35,$J72,⑪ZEN工程入力!$J$6:$J$35,"&gt;0",⑪ZEN工程入力!$I$6:$I$35,"&gt;0",⑪ZEN工程入力!$M$6:$M$35,"&gt;0")+SUMIFS(⑫ミキサー工程入力!$J$6:$J$65,⑫ミキサー工程入力!$S$6:$S$65,$J72,⑫ミキサー工程入力!$J$6:$J$65,"&gt;0",⑫ミキサー工程入力!$M$6:$M$65,"&gt;0")-SUMIFS(⑫ミキサー工程入力!$J$6:$J$65,⑫ミキサー工程入力!$S$6:$S$65,$J72,⑫ミキサー工程入力!$J$6:$J$65,"&gt;0",⑫ミキサー工程入力!$I$6:$I$65,"&gt;0",⑫ミキサー工程入力!$M$6:$M$65,"&gt;0")+SUMIFS(⑬計量工程入力!$J$6:$J$65,⑬計量工程入力!$S$6:$S$65,$J72,⑬計量工程入力!$J$6:$J$65,"&gt;0",⑬計量工程入力!$M$6:$M$65,"&gt;0")-SUMIFS(⑬計量工程入力!$J$6:$J$65,⑬計量工程入力!$S$6:$S$65,$J72,⑬計量工程入力!$J$6:$J$65,"&gt;0",⑬計量工程入力!$I$6:$I$65,"&gt;0",⑬計量工程入力!$M$6:$M$65,"&gt;0")+SUMIFS(⑭手動工程入力!$J$6:$J$47,⑭手動工程入力!$S$6:$S$47,$J72,⑭手動工程入力!$J$6:$J$47,"&gt;0",⑭手動工程入力!$M$6:$M$47,"&gt;0")-SUMIFS(⑭手動工程入力!$J$6:$J$47,⑭手動工程入力!$S$6:$S$47,$J72,⑭手動工程入力!$J$6:$J$47,"&gt;0",⑭手動工程入力!$I$6:$I$47,"&gt;0",⑭手動工程入力!$M$6:$M$47,"&gt;0"))</f>
        <v/>
      </c>
      <c r="P72" s="392" t="n"/>
    </row>
    <row r="73">
      <c r="A73" s="392" t="n">
        <v>69</v>
      </c>
      <c r="B73" s="392" t="n"/>
      <c r="C73" s="392" t="n"/>
      <c r="D73" s="392" t="n"/>
      <c r="E73" s="392" t="n"/>
      <c r="F73" s="394" t="n"/>
      <c r="G73" s="392" t="n"/>
      <c r="H73" s="604">
        <f>IFERROR(IF(AND($K73&gt;0,ISNUMBER(IF(OR($D73="g",$D73="ｇ"),IF($M73&gt;0,$L73/$M73/1000,""),IF($D73="kg",IF($M73&gt;0,$L73/$M73,""),IF($D73="",IF($M73&gt;0,$L73/$M73/1000,IF($O73&gt;0,$N73/$O73,"")),IF($O73&gt;0,$N73/$O73,"")))))),IF(OR($D73="g",$D73="ｇ"),IF($M73&gt;0,$L73/$M73/1000,""),IF($D73="kg",IF($M73&gt;0,$L73/$M73,""),IF($D73="",IF($M73&gt;0,$L73/$M73/1000,IF($O73&gt;0,$N73/$O73,"")),IF($O73&gt;0,$N73/$O73,"")))),IF($F73="",IF(OR($E73="",$E73="⑩盛付梱包工程入力"),"",IF(OR($D73="g",$D73="ｇ"),INDEX(⑰工程労務費一覧!$N$5:$N$11,MATCH($E73,⑰工程労務費一覧!$K$5:$K$11,0))/1000,IF($D73="kg",INDEX(⑰工程労務費一覧!$N$5:$N$11,MATCH($E73,⑰工程労務費一覧!$K$5:$K$11,0)),IF(OR($D73="個",$D73="切",$D73="本",$D73="枚",$D73="尾"),IF($E73="⑬計量工程入力","",INDEX(⑰工程労務費一覧!$P$5:$P$11,MATCH($E73,⑰工程労務費一覧!$K$5:$K$11,0))),IF(AND($D73="",OR($E73="②釜工程入力",$E73="③スチコン工程入力")),INDEX(⑰工程労務費一覧!$N$5:$N$11,MATCH($E73,⑰工程労務費一覧!$K$5:$K$11,0))/1000,""))))),IF(OR($D73="g",$D73="ｇ"),INDEX(⑰工程労務費一覧!$H$5:$H$753,MATCH($F73,⑰工程労務費一覧!$D$5:$D$753,0))/1000,IF($D73="kg",INDEX(⑰工程労務費一覧!$H$5:$H$753,MATCH($F73,⑰工程労務費一覧!$D$5:$D$753,0)),INDEX(⑰工程労務費一覧!$I$5:$I$753,MATCH($F73,⑰工程労務費一覧!$D$5:$D$753,0)))))),"")</f>
        <v/>
      </c>
      <c r="I73" s="392">
        <f>IF($K73&gt;0,IF(ISNUMBER(IF(OR($D73="g",$D73="ｇ"),IF($M73&gt;0,$L73/$M73/1000,""),IF($D73="kg",IF($M73&gt;0,$L73/$M73,""),IF($D73="",IF($M73&gt;0,$L73/$M73/1000,IF($O73&gt;0,$N73/$O73,"")),IF($O73&gt;0,$N73/$O73,""))))),IF($D73="",IF($M73&gt;0,"◎ JAN紐づけ(g扱い)","◎ JAN紐づけ(個扱い)"),"◎ JAN紐づけ"),"△ JAN紐づけ済・実績不足→仮計算"),IF($F73="",IF(ISNUMBER($H73),IF($D73="","⑤ 工程平均で仮計算(g扱い)","⑤ 工程平均で仮計算"),IF($E73="⑩盛付梱包工程入力","⑥ 盛り込み(⑳F列で計上)",IF(AND($E73="⑬計量工程入力",OR($D73="個",$D73="切",$D73="本",$D73="枚",$D73="尾")),"① 未紐づけ(カット個単位は仮単価なし)","① 未紐づけ"))),IF(NOT(ISNUMBER($H73)),"② 工程側に単価なし",IF($D73="","③ 単位未設定(個で計算)","④ OK"))))</f>
        <v/>
      </c>
      <c r="J73" s="399">
        <f>IFERROR(LOOKUP(2,1/((中間品リスト!$F$2:$F$1299=$B73)*(中間品リスト!$E$2:$E$1299&lt;&gt;"-")*(中間品リスト!$E$2:$E$1299&lt;&gt;"")),中間品リスト!$E$2:$E$1299),"")</f>
        <v/>
      </c>
      <c r="K73" s="400">
        <f>IF($J73="",0,COUNTIF(②釜工程入力!$S$5:$S$117,$J73)+COUNTIF(③スチコン工程入力!$S$5:$S$152,$J73)+COUNTIF(⑪ZEN工程入力!$S$6:$S$35,$J73)+COUNTIF(⑫ミキサー工程入力!$S$6:$S$65,$J73)+COUNTIF(⑬計量工程入力!$S$6:$S$65,$J73)+COUNTIF(⑭手動工程入力!$S$6:$S$47,$J73))</f>
        <v/>
      </c>
      <c r="L73" s="393">
        <f>IF($J73="",0,SUMIFS(②釜工程入力!$M$5:$M$117,②釜工程入力!$S$5:$S$117,$J73,②釜工程入力!$I$5:$I$117,"&gt;0")+SUMIFS(③スチコン工程入力!$M$5:$M$152,③スチコン工程入力!$S$5:$S$152,$J73,③スチコン工程入力!$I$5:$I$152,"&gt;0")+SUMIFS(⑪ZEN工程入力!$M$6:$M$35,⑪ZEN工程入力!$S$6:$S$35,$J73,⑪ZEN工程入力!$I$6:$I$35,"&gt;0")+SUMIFS(⑫ミキサー工程入力!$M$6:$M$65,⑫ミキサー工程入力!$S$6:$S$65,$J73,⑫ミキサー工程入力!$I$6:$I$65,"&gt;0")+SUMIFS(⑬計量工程入力!$M$6:$M$65,⑬計量工程入力!$S$6:$S$65,$J73,⑬計量工程入力!$I$6:$I$65,"&gt;0")+SUMIFS(⑭手動工程入力!$M$6:$M$47,⑭手動工程入力!$S$6:$S$47,$J73,⑭手動工程入力!$I$6:$I$47,"&gt;0"))</f>
        <v/>
      </c>
      <c r="M73" s="393">
        <f>IF($J73="",0,SUMIFS(②釜工程入力!$I$5:$I$117,②釜工程入力!$S$5:$S$117,$J73,②釜工程入力!$I$5:$I$117,"&gt;0",②釜工程入力!$M$5:$M$117,"&gt;0")+SUMIFS(③スチコン工程入力!$I$5:$I$152,③スチコン工程入力!$S$5:$S$152,$J73,③スチコン工程入力!$I$5:$I$152,"&gt;0",③スチコン工程入力!$M$5:$M$152,"&gt;0")+SUMIFS(⑪ZEN工程入力!$I$6:$I$35,⑪ZEN工程入力!$S$6:$S$35,$J73,⑪ZEN工程入力!$I$6:$I$35,"&gt;0",⑪ZEN工程入力!$M$6:$M$35,"&gt;0")+SUMIFS(⑫ミキサー工程入力!$I$6:$I$65,⑫ミキサー工程入力!$S$6:$S$65,$J73,⑫ミキサー工程入力!$I$6:$I$65,"&gt;0",⑫ミキサー工程入力!$M$6:$M$65,"&gt;0")+SUMIFS(⑬計量工程入力!$I$6:$I$65,⑬計量工程入力!$S$6:$S$65,$J73,⑬計量工程入力!$I$6:$I$65,"&gt;0",⑬計量工程入力!$M$6:$M$65,"&gt;0")+SUMIFS(⑭手動工程入力!$I$6:$I$47,⑭手動工程入力!$S$6:$S$47,$J73,⑭手動工程入力!$I$6:$I$47,"&gt;0",⑭手動工程入力!$M$6:$M$47,"&gt;0"))</f>
        <v/>
      </c>
      <c r="N73" s="393">
        <f>IF($J73="",0,SUMIFS(②釜工程入力!$M$5:$M$117,②釜工程入力!$S$5:$S$117,$J73,②釜工程入力!$J$5:$J$117,"&gt;0")-SUMIFS(②釜工程入力!$M$5:$M$117,②釜工程入力!$S$5:$S$117,$J73,②釜工程入力!$J$5:$J$117,"&gt;0",②釜工程入力!$I$5:$I$117,"&gt;0")+SUMIFS(③スチコン工程入力!$M$5:$M$152,③スチコン工程入力!$S$5:$S$152,$J73,③スチコン工程入力!$J$5:$J$152,"&gt;0")-SUMIFS(③スチコン工程入力!$M$5:$M$152,③スチコン工程入力!$S$5:$S$152,$J73,③スチコン工程入力!$J$5:$J$152,"&gt;0",③スチコン工程入力!$I$5:$I$152,"&gt;0")+SUMIFS(⑪ZEN工程入力!$M$6:$M$35,⑪ZEN工程入力!$S$6:$S$35,$J73,⑪ZEN工程入力!$J$6:$J$35,"&gt;0")-SUMIFS(⑪ZEN工程入力!$M$6:$M$35,⑪ZEN工程入力!$S$6:$S$35,$J73,⑪ZEN工程入力!$J$6:$J$35,"&gt;0",⑪ZEN工程入力!$I$6:$I$35,"&gt;0")+SUMIFS(⑫ミキサー工程入力!$M$6:$M$65,⑫ミキサー工程入力!$S$6:$S$65,$J73,⑫ミキサー工程入力!$J$6:$J$65,"&gt;0")-SUMIFS(⑫ミキサー工程入力!$M$6:$M$65,⑫ミキサー工程入力!$S$6:$S$65,$J73,⑫ミキサー工程入力!$J$6:$J$65,"&gt;0",⑫ミキサー工程入力!$I$6:$I$65,"&gt;0")+SUMIFS(⑬計量工程入力!$M$6:$M$65,⑬計量工程入力!$S$6:$S$65,$J73,⑬計量工程入力!$J$6:$J$65,"&gt;0")-SUMIFS(⑬計量工程入力!$M$6:$M$65,⑬計量工程入力!$S$6:$S$65,$J73,⑬計量工程入力!$J$6:$J$65,"&gt;0",⑬計量工程入力!$I$6:$I$65,"&gt;0")+SUMIFS(⑭手動工程入力!$M$6:$M$47,⑭手動工程入力!$S$6:$S$47,$J73,⑭手動工程入力!$J$6:$J$47,"&gt;0")-SUMIFS(⑭手動工程入力!$M$6:$M$47,⑭手動工程入力!$S$6:$S$47,$J73,⑭手動工程入力!$J$6:$J$47,"&gt;0",⑭手動工程入力!$I$6:$I$47,"&gt;0"))</f>
        <v/>
      </c>
      <c r="O73" s="393">
        <f>IF($J73="",0,SUMIFS(②釜工程入力!$J$5:$J$117,②釜工程入力!$S$5:$S$117,$J73,②釜工程入力!$J$5:$J$117,"&gt;0",②釜工程入力!$M$5:$M$117,"&gt;0")-SUMIFS(②釜工程入力!$J$5:$J$117,②釜工程入力!$S$5:$S$117,$J73,②釜工程入力!$J$5:$J$117,"&gt;0",②釜工程入力!$I$5:$I$117,"&gt;0",②釜工程入力!$M$5:$M$117,"&gt;0")+SUMIFS(③スチコン工程入力!$J$5:$J$152,③スチコン工程入力!$S$5:$S$152,$J73,③スチコン工程入力!$J$5:$J$152,"&gt;0",③スチコン工程入力!$M$5:$M$152,"&gt;0")-SUMIFS(③スチコン工程入力!$J$5:$J$152,③スチコン工程入力!$S$5:$S$152,$J73,③スチコン工程入力!$J$5:$J$152,"&gt;0",③スチコン工程入力!$I$5:$I$152,"&gt;0",③スチコン工程入力!$M$5:$M$152,"&gt;0")+SUMIFS(⑪ZEN工程入力!$J$6:$J$35,⑪ZEN工程入力!$S$6:$S$35,$J73,⑪ZEN工程入力!$J$6:$J$35,"&gt;0",⑪ZEN工程入力!$M$6:$M$35,"&gt;0")-SUMIFS(⑪ZEN工程入力!$J$6:$J$35,⑪ZEN工程入力!$S$6:$S$35,$J73,⑪ZEN工程入力!$J$6:$J$35,"&gt;0",⑪ZEN工程入力!$I$6:$I$35,"&gt;0",⑪ZEN工程入力!$M$6:$M$35,"&gt;0")+SUMIFS(⑫ミキサー工程入力!$J$6:$J$65,⑫ミキサー工程入力!$S$6:$S$65,$J73,⑫ミキサー工程入力!$J$6:$J$65,"&gt;0",⑫ミキサー工程入力!$M$6:$M$65,"&gt;0")-SUMIFS(⑫ミキサー工程入力!$J$6:$J$65,⑫ミキサー工程入力!$S$6:$S$65,$J73,⑫ミキサー工程入力!$J$6:$J$65,"&gt;0",⑫ミキサー工程入力!$I$6:$I$65,"&gt;0",⑫ミキサー工程入力!$M$6:$M$65,"&gt;0")+SUMIFS(⑬計量工程入力!$J$6:$J$65,⑬計量工程入力!$S$6:$S$65,$J73,⑬計量工程入力!$J$6:$J$65,"&gt;0",⑬計量工程入力!$M$6:$M$65,"&gt;0")-SUMIFS(⑬計量工程入力!$J$6:$J$65,⑬計量工程入力!$S$6:$S$65,$J73,⑬計量工程入力!$J$6:$J$65,"&gt;0",⑬計量工程入力!$I$6:$I$65,"&gt;0",⑬計量工程入力!$M$6:$M$65,"&gt;0")+SUMIFS(⑭手動工程入力!$J$6:$J$47,⑭手動工程入力!$S$6:$S$47,$J73,⑭手動工程入力!$J$6:$J$47,"&gt;0",⑭手動工程入力!$M$6:$M$47,"&gt;0")-SUMIFS(⑭手動工程入力!$J$6:$J$47,⑭手動工程入力!$S$6:$S$47,$J73,⑭手動工程入力!$J$6:$J$47,"&gt;0",⑭手動工程入力!$I$6:$I$47,"&gt;0",⑭手動工程入力!$M$6:$M$47,"&gt;0"))</f>
        <v/>
      </c>
      <c r="P73" s="392" t="n"/>
    </row>
    <row r="74">
      <c r="A74" s="392" t="n">
        <v>70</v>
      </c>
      <c r="B74" s="392" t="n"/>
      <c r="C74" s="392" t="n"/>
      <c r="D74" s="392" t="n"/>
      <c r="E74" s="392" t="n"/>
      <c r="F74" s="394" t="n"/>
      <c r="G74" s="392" t="n"/>
      <c r="H74" s="604">
        <f>IFERROR(IF(AND($K74&gt;0,ISNUMBER(IF(OR($D74="g",$D74="ｇ"),IF($M74&gt;0,$L74/$M74/1000,""),IF($D74="kg",IF($M74&gt;0,$L74/$M74,""),IF($D74="",IF($M74&gt;0,$L74/$M74/1000,IF($O74&gt;0,$N74/$O74,"")),IF($O74&gt;0,$N74/$O74,"")))))),IF(OR($D74="g",$D74="ｇ"),IF($M74&gt;0,$L74/$M74/1000,""),IF($D74="kg",IF($M74&gt;0,$L74/$M74,""),IF($D74="",IF($M74&gt;0,$L74/$M74/1000,IF($O74&gt;0,$N74/$O74,"")),IF($O74&gt;0,$N74/$O74,"")))),IF($F74="",IF(OR($E74="",$E74="⑩盛付梱包工程入力"),"",IF(OR($D74="g",$D74="ｇ"),INDEX(⑰工程労務費一覧!$N$5:$N$11,MATCH($E74,⑰工程労務費一覧!$K$5:$K$11,0))/1000,IF($D74="kg",INDEX(⑰工程労務費一覧!$N$5:$N$11,MATCH($E74,⑰工程労務費一覧!$K$5:$K$11,0)),IF(OR($D74="個",$D74="切",$D74="本",$D74="枚",$D74="尾"),IF($E74="⑬計量工程入力","",INDEX(⑰工程労務費一覧!$P$5:$P$11,MATCH($E74,⑰工程労務費一覧!$K$5:$K$11,0))),IF(AND($D74="",OR($E74="②釜工程入力",$E74="③スチコン工程入力")),INDEX(⑰工程労務費一覧!$N$5:$N$11,MATCH($E74,⑰工程労務費一覧!$K$5:$K$11,0))/1000,""))))),IF(OR($D74="g",$D74="ｇ"),INDEX(⑰工程労務費一覧!$H$5:$H$753,MATCH($F74,⑰工程労務費一覧!$D$5:$D$753,0))/1000,IF($D74="kg",INDEX(⑰工程労務費一覧!$H$5:$H$753,MATCH($F74,⑰工程労務費一覧!$D$5:$D$753,0)),INDEX(⑰工程労務費一覧!$I$5:$I$753,MATCH($F74,⑰工程労務費一覧!$D$5:$D$753,0)))))),"")</f>
        <v/>
      </c>
      <c r="I74" s="392">
        <f>IF($K74&gt;0,IF(ISNUMBER(IF(OR($D74="g",$D74="ｇ"),IF($M74&gt;0,$L74/$M74/1000,""),IF($D74="kg",IF($M74&gt;0,$L74/$M74,""),IF($D74="",IF($M74&gt;0,$L74/$M74/1000,IF($O74&gt;0,$N74/$O74,"")),IF($O74&gt;0,$N74/$O74,""))))),IF($D74="",IF($M74&gt;0,"◎ JAN紐づけ(g扱い)","◎ JAN紐づけ(個扱い)"),"◎ JAN紐づけ"),"△ JAN紐づけ済・実績不足→仮計算"),IF($F74="",IF(ISNUMBER($H74),IF($D74="","⑤ 工程平均で仮計算(g扱い)","⑤ 工程平均で仮計算"),IF($E74="⑩盛付梱包工程入力","⑥ 盛り込み(⑳F列で計上)",IF(AND($E74="⑬計量工程入力",OR($D74="個",$D74="切",$D74="本",$D74="枚",$D74="尾")),"① 未紐づけ(カット個単位は仮単価なし)","① 未紐づけ"))),IF(NOT(ISNUMBER($H74)),"② 工程側に単価なし",IF($D74="","③ 単位未設定(個で計算)","④ OK"))))</f>
        <v/>
      </c>
      <c r="J74" s="399">
        <f>IFERROR(LOOKUP(2,1/((中間品リスト!$F$2:$F$1299=$B74)*(中間品リスト!$E$2:$E$1299&lt;&gt;"-")*(中間品リスト!$E$2:$E$1299&lt;&gt;"")),中間品リスト!$E$2:$E$1299),"")</f>
        <v/>
      </c>
      <c r="K74" s="400">
        <f>IF($J74="",0,COUNTIF(②釜工程入力!$S$5:$S$117,$J74)+COUNTIF(③スチコン工程入力!$S$5:$S$152,$J74)+COUNTIF(⑪ZEN工程入力!$S$6:$S$35,$J74)+COUNTIF(⑫ミキサー工程入力!$S$6:$S$65,$J74)+COUNTIF(⑬計量工程入力!$S$6:$S$65,$J74)+COUNTIF(⑭手動工程入力!$S$6:$S$47,$J74))</f>
        <v/>
      </c>
      <c r="L74" s="393">
        <f>IF($J74="",0,SUMIFS(②釜工程入力!$M$5:$M$117,②釜工程入力!$S$5:$S$117,$J74,②釜工程入力!$I$5:$I$117,"&gt;0")+SUMIFS(③スチコン工程入力!$M$5:$M$152,③スチコン工程入力!$S$5:$S$152,$J74,③スチコン工程入力!$I$5:$I$152,"&gt;0")+SUMIFS(⑪ZEN工程入力!$M$6:$M$35,⑪ZEN工程入力!$S$6:$S$35,$J74,⑪ZEN工程入力!$I$6:$I$35,"&gt;0")+SUMIFS(⑫ミキサー工程入力!$M$6:$M$65,⑫ミキサー工程入力!$S$6:$S$65,$J74,⑫ミキサー工程入力!$I$6:$I$65,"&gt;0")+SUMIFS(⑬計量工程入力!$M$6:$M$65,⑬計量工程入力!$S$6:$S$65,$J74,⑬計量工程入力!$I$6:$I$65,"&gt;0")+SUMIFS(⑭手動工程入力!$M$6:$M$47,⑭手動工程入力!$S$6:$S$47,$J74,⑭手動工程入力!$I$6:$I$47,"&gt;0"))</f>
        <v/>
      </c>
      <c r="M74" s="393">
        <f>IF($J74="",0,SUMIFS(②釜工程入力!$I$5:$I$117,②釜工程入力!$S$5:$S$117,$J74,②釜工程入力!$I$5:$I$117,"&gt;0",②釜工程入力!$M$5:$M$117,"&gt;0")+SUMIFS(③スチコン工程入力!$I$5:$I$152,③スチコン工程入力!$S$5:$S$152,$J74,③スチコン工程入力!$I$5:$I$152,"&gt;0",③スチコン工程入力!$M$5:$M$152,"&gt;0")+SUMIFS(⑪ZEN工程入力!$I$6:$I$35,⑪ZEN工程入力!$S$6:$S$35,$J74,⑪ZEN工程入力!$I$6:$I$35,"&gt;0",⑪ZEN工程入力!$M$6:$M$35,"&gt;0")+SUMIFS(⑫ミキサー工程入力!$I$6:$I$65,⑫ミキサー工程入力!$S$6:$S$65,$J74,⑫ミキサー工程入力!$I$6:$I$65,"&gt;0",⑫ミキサー工程入力!$M$6:$M$65,"&gt;0")+SUMIFS(⑬計量工程入力!$I$6:$I$65,⑬計量工程入力!$S$6:$S$65,$J74,⑬計量工程入力!$I$6:$I$65,"&gt;0",⑬計量工程入力!$M$6:$M$65,"&gt;0")+SUMIFS(⑭手動工程入力!$I$6:$I$47,⑭手動工程入力!$S$6:$S$47,$J74,⑭手動工程入力!$I$6:$I$47,"&gt;0",⑭手動工程入力!$M$6:$M$47,"&gt;0"))</f>
        <v/>
      </c>
      <c r="N74" s="393">
        <f>IF($J74="",0,SUMIFS(②釜工程入力!$M$5:$M$117,②釜工程入力!$S$5:$S$117,$J74,②釜工程入力!$J$5:$J$117,"&gt;0")-SUMIFS(②釜工程入力!$M$5:$M$117,②釜工程入力!$S$5:$S$117,$J74,②釜工程入力!$J$5:$J$117,"&gt;0",②釜工程入力!$I$5:$I$117,"&gt;0")+SUMIFS(③スチコン工程入力!$M$5:$M$152,③スチコン工程入力!$S$5:$S$152,$J74,③スチコン工程入力!$J$5:$J$152,"&gt;0")-SUMIFS(③スチコン工程入力!$M$5:$M$152,③スチコン工程入力!$S$5:$S$152,$J74,③スチコン工程入力!$J$5:$J$152,"&gt;0",③スチコン工程入力!$I$5:$I$152,"&gt;0")+SUMIFS(⑪ZEN工程入力!$M$6:$M$35,⑪ZEN工程入力!$S$6:$S$35,$J74,⑪ZEN工程入力!$J$6:$J$35,"&gt;0")-SUMIFS(⑪ZEN工程入力!$M$6:$M$35,⑪ZEN工程入力!$S$6:$S$35,$J74,⑪ZEN工程入力!$J$6:$J$35,"&gt;0",⑪ZEN工程入力!$I$6:$I$35,"&gt;0")+SUMIFS(⑫ミキサー工程入力!$M$6:$M$65,⑫ミキサー工程入力!$S$6:$S$65,$J74,⑫ミキサー工程入力!$J$6:$J$65,"&gt;0")-SUMIFS(⑫ミキサー工程入力!$M$6:$M$65,⑫ミキサー工程入力!$S$6:$S$65,$J74,⑫ミキサー工程入力!$J$6:$J$65,"&gt;0",⑫ミキサー工程入力!$I$6:$I$65,"&gt;0")+SUMIFS(⑬計量工程入力!$M$6:$M$65,⑬計量工程入力!$S$6:$S$65,$J74,⑬計量工程入力!$J$6:$J$65,"&gt;0")-SUMIFS(⑬計量工程入力!$M$6:$M$65,⑬計量工程入力!$S$6:$S$65,$J74,⑬計量工程入力!$J$6:$J$65,"&gt;0",⑬計量工程入力!$I$6:$I$65,"&gt;0")+SUMIFS(⑭手動工程入力!$M$6:$M$47,⑭手動工程入力!$S$6:$S$47,$J74,⑭手動工程入力!$J$6:$J$47,"&gt;0")-SUMIFS(⑭手動工程入力!$M$6:$M$47,⑭手動工程入力!$S$6:$S$47,$J74,⑭手動工程入力!$J$6:$J$47,"&gt;0",⑭手動工程入力!$I$6:$I$47,"&gt;0"))</f>
        <v/>
      </c>
      <c r="O74" s="393">
        <f>IF($J74="",0,SUMIFS(②釜工程入力!$J$5:$J$117,②釜工程入力!$S$5:$S$117,$J74,②釜工程入力!$J$5:$J$117,"&gt;0",②釜工程入力!$M$5:$M$117,"&gt;0")-SUMIFS(②釜工程入力!$J$5:$J$117,②釜工程入力!$S$5:$S$117,$J74,②釜工程入力!$J$5:$J$117,"&gt;0",②釜工程入力!$I$5:$I$117,"&gt;0",②釜工程入力!$M$5:$M$117,"&gt;0")+SUMIFS(③スチコン工程入力!$J$5:$J$152,③スチコン工程入力!$S$5:$S$152,$J74,③スチコン工程入力!$J$5:$J$152,"&gt;0",③スチコン工程入力!$M$5:$M$152,"&gt;0")-SUMIFS(③スチコン工程入力!$J$5:$J$152,③スチコン工程入力!$S$5:$S$152,$J74,③スチコン工程入力!$J$5:$J$152,"&gt;0",③スチコン工程入力!$I$5:$I$152,"&gt;0",③スチコン工程入力!$M$5:$M$152,"&gt;0")+SUMIFS(⑪ZEN工程入力!$J$6:$J$35,⑪ZEN工程入力!$S$6:$S$35,$J74,⑪ZEN工程入力!$J$6:$J$35,"&gt;0",⑪ZEN工程入力!$M$6:$M$35,"&gt;0")-SUMIFS(⑪ZEN工程入力!$J$6:$J$35,⑪ZEN工程入力!$S$6:$S$35,$J74,⑪ZEN工程入力!$J$6:$J$35,"&gt;0",⑪ZEN工程入力!$I$6:$I$35,"&gt;0",⑪ZEN工程入力!$M$6:$M$35,"&gt;0")+SUMIFS(⑫ミキサー工程入力!$J$6:$J$65,⑫ミキサー工程入力!$S$6:$S$65,$J74,⑫ミキサー工程入力!$J$6:$J$65,"&gt;0",⑫ミキサー工程入力!$M$6:$M$65,"&gt;0")-SUMIFS(⑫ミキサー工程入力!$J$6:$J$65,⑫ミキサー工程入力!$S$6:$S$65,$J74,⑫ミキサー工程入力!$J$6:$J$65,"&gt;0",⑫ミキサー工程入力!$I$6:$I$65,"&gt;0",⑫ミキサー工程入力!$M$6:$M$65,"&gt;0")+SUMIFS(⑬計量工程入力!$J$6:$J$65,⑬計量工程入力!$S$6:$S$65,$J74,⑬計量工程入力!$J$6:$J$65,"&gt;0",⑬計量工程入力!$M$6:$M$65,"&gt;0")-SUMIFS(⑬計量工程入力!$J$6:$J$65,⑬計量工程入力!$S$6:$S$65,$J74,⑬計量工程入力!$J$6:$J$65,"&gt;0",⑬計量工程入力!$I$6:$I$65,"&gt;0",⑬計量工程入力!$M$6:$M$65,"&gt;0")+SUMIFS(⑭手動工程入力!$J$6:$J$47,⑭手動工程入力!$S$6:$S$47,$J74,⑭手動工程入力!$J$6:$J$47,"&gt;0",⑭手動工程入力!$M$6:$M$47,"&gt;0")-SUMIFS(⑭手動工程入力!$J$6:$J$47,⑭手動工程入力!$S$6:$S$47,$J74,⑭手動工程入力!$J$6:$J$47,"&gt;0",⑭手動工程入力!$I$6:$I$47,"&gt;0",⑭手動工程入力!$M$6:$M$47,"&gt;0"))</f>
        <v/>
      </c>
      <c r="P74" s="392" t="n"/>
    </row>
    <row r="75">
      <c r="A75" s="392" t="n">
        <v>71</v>
      </c>
      <c r="B75" s="392" t="n"/>
      <c r="C75" s="392" t="n"/>
      <c r="D75" s="392" t="n"/>
      <c r="E75" s="392" t="n"/>
      <c r="F75" s="394" t="n"/>
      <c r="G75" s="392" t="n"/>
      <c r="H75" s="604">
        <f>IFERROR(IF(AND($K75&gt;0,ISNUMBER(IF(OR($D75="g",$D75="ｇ"),IF($M75&gt;0,$L75/$M75/1000,""),IF($D75="kg",IF($M75&gt;0,$L75/$M75,""),IF($D75="",IF($M75&gt;0,$L75/$M75/1000,IF($O75&gt;0,$N75/$O75,"")),IF($O75&gt;0,$N75/$O75,"")))))),IF(OR($D75="g",$D75="ｇ"),IF($M75&gt;0,$L75/$M75/1000,""),IF($D75="kg",IF($M75&gt;0,$L75/$M75,""),IF($D75="",IF($M75&gt;0,$L75/$M75/1000,IF($O75&gt;0,$N75/$O75,"")),IF($O75&gt;0,$N75/$O75,"")))),IF($F75="",IF(OR($E75="",$E75="⑩盛付梱包工程入力"),"",IF(OR($D75="g",$D75="ｇ"),INDEX(⑰工程労務費一覧!$N$5:$N$11,MATCH($E75,⑰工程労務費一覧!$K$5:$K$11,0))/1000,IF($D75="kg",INDEX(⑰工程労務費一覧!$N$5:$N$11,MATCH($E75,⑰工程労務費一覧!$K$5:$K$11,0)),IF(OR($D75="個",$D75="切",$D75="本",$D75="枚",$D75="尾"),IF($E75="⑬計量工程入力","",INDEX(⑰工程労務費一覧!$P$5:$P$11,MATCH($E75,⑰工程労務費一覧!$K$5:$K$11,0))),IF(AND($D75="",OR($E75="②釜工程入力",$E75="③スチコン工程入力")),INDEX(⑰工程労務費一覧!$N$5:$N$11,MATCH($E75,⑰工程労務費一覧!$K$5:$K$11,0))/1000,""))))),IF(OR($D75="g",$D75="ｇ"),INDEX(⑰工程労務費一覧!$H$5:$H$753,MATCH($F75,⑰工程労務費一覧!$D$5:$D$753,0))/1000,IF($D75="kg",INDEX(⑰工程労務費一覧!$H$5:$H$753,MATCH($F75,⑰工程労務費一覧!$D$5:$D$753,0)),INDEX(⑰工程労務費一覧!$I$5:$I$753,MATCH($F75,⑰工程労務費一覧!$D$5:$D$753,0)))))),"")</f>
        <v/>
      </c>
      <c r="I75" s="392">
        <f>IF($K75&gt;0,IF(ISNUMBER(IF(OR($D75="g",$D75="ｇ"),IF($M75&gt;0,$L75/$M75/1000,""),IF($D75="kg",IF($M75&gt;0,$L75/$M75,""),IF($D75="",IF($M75&gt;0,$L75/$M75/1000,IF($O75&gt;0,$N75/$O75,"")),IF($O75&gt;0,$N75/$O75,""))))),IF($D75="",IF($M75&gt;0,"◎ JAN紐づけ(g扱い)","◎ JAN紐づけ(個扱い)"),"◎ JAN紐づけ"),"△ JAN紐づけ済・実績不足→仮計算"),IF($F75="",IF(ISNUMBER($H75),IF($D75="","⑤ 工程平均で仮計算(g扱い)","⑤ 工程平均で仮計算"),IF($E75="⑩盛付梱包工程入力","⑥ 盛り込み(⑳F列で計上)",IF(AND($E75="⑬計量工程入力",OR($D75="個",$D75="切",$D75="本",$D75="枚",$D75="尾")),"① 未紐づけ(カット個単位は仮単価なし)","① 未紐づけ"))),IF(NOT(ISNUMBER($H75)),"② 工程側に単価なし",IF($D75="","③ 単位未設定(個で計算)","④ OK"))))</f>
        <v/>
      </c>
      <c r="J75" s="399">
        <f>IFERROR(LOOKUP(2,1/((中間品リスト!$F$2:$F$1299=$B75)*(中間品リスト!$E$2:$E$1299&lt;&gt;"-")*(中間品リスト!$E$2:$E$1299&lt;&gt;"")),中間品リスト!$E$2:$E$1299),"")</f>
        <v/>
      </c>
      <c r="K75" s="400">
        <f>IF($J75="",0,COUNTIF(②釜工程入力!$S$5:$S$117,$J75)+COUNTIF(③スチコン工程入力!$S$5:$S$152,$J75)+COUNTIF(⑪ZEN工程入力!$S$6:$S$35,$J75)+COUNTIF(⑫ミキサー工程入力!$S$6:$S$65,$J75)+COUNTIF(⑬計量工程入力!$S$6:$S$65,$J75)+COUNTIF(⑭手動工程入力!$S$6:$S$47,$J75))</f>
        <v/>
      </c>
      <c r="L75" s="393">
        <f>IF($J75="",0,SUMIFS(②釜工程入力!$M$5:$M$117,②釜工程入力!$S$5:$S$117,$J75,②釜工程入力!$I$5:$I$117,"&gt;0")+SUMIFS(③スチコン工程入力!$M$5:$M$152,③スチコン工程入力!$S$5:$S$152,$J75,③スチコン工程入力!$I$5:$I$152,"&gt;0")+SUMIFS(⑪ZEN工程入力!$M$6:$M$35,⑪ZEN工程入力!$S$6:$S$35,$J75,⑪ZEN工程入力!$I$6:$I$35,"&gt;0")+SUMIFS(⑫ミキサー工程入力!$M$6:$M$65,⑫ミキサー工程入力!$S$6:$S$65,$J75,⑫ミキサー工程入力!$I$6:$I$65,"&gt;0")+SUMIFS(⑬計量工程入力!$M$6:$M$65,⑬計量工程入力!$S$6:$S$65,$J75,⑬計量工程入力!$I$6:$I$65,"&gt;0")+SUMIFS(⑭手動工程入力!$M$6:$M$47,⑭手動工程入力!$S$6:$S$47,$J75,⑭手動工程入力!$I$6:$I$47,"&gt;0"))</f>
        <v/>
      </c>
      <c r="M75" s="393">
        <f>IF($J75="",0,SUMIFS(②釜工程入力!$I$5:$I$117,②釜工程入力!$S$5:$S$117,$J75,②釜工程入力!$I$5:$I$117,"&gt;0",②釜工程入力!$M$5:$M$117,"&gt;0")+SUMIFS(③スチコン工程入力!$I$5:$I$152,③スチコン工程入力!$S$5:$S$152,$J75,③スチコン工程入力!$I$5:$I$152,"&gt;0",③スチコン工程入力!$M$5:$M$152,"&gt;0")+SUMIFS(⑪ZEN工程入力!$I$6:$I$35,⑪ZEN工程入力!$S$6:$S$35,$J75,⑪ZEN工程入力!$I$6:$I$35,"&gt;0",⑪ZEN工程入力!$M$6:$M$35,"&gt;0")+SUMIFS(⑫ミキサー工程入力!$I$6:$I$65,⑫ミキサー工程入力!$S$6:$S$65,$J75,⑫ミキサー工程入力!$I$6:$I$65,"&gt;0",⑫ミキサー工程入力!$M$6:$M$65,"&gt;0")+SUMIFS(⑬計量工程入力!$I$6:$I$65,⑬計量工程入力!$S$6:$S$65,$J75,⑬計量工程入力!$I$6:$I$65,"&gt;0",⑬計量工程入力!$M$6:$M$65,"&gt;0")+SUMIFS(⑭手動工程入力!$I$6:$I$47,⑭手動工程入力!$S$6:$S$47,$J75,⑭手動工程入力!$I$6:$I$47,"&gt;0",⑭手動工程入力!$M$6:$M$47,"&gt;0"))</f>
        <v/>
      </c>
      <c r="N75" s="393">
        <f>IF($J75="",0,SUMIFS(②釜工程入力!$M$5:$M$117,②釜工程入力!$S$5:$S$117,$J75,②釜工程入力!$J$5:$J$117,"&gt;0")-SUMIFS(②釜工程入力!$M$5:$M$117,②釜工程入力!$S$5:$S$117,$J75,②釜工程入力!$J$5:$J$117,"&gt;0",②釜工程入力!$I$5:$I$117,"&gt;0")+SUMIFS(③スチコン工程入力!$M$5:$M$152,③スチコン工程入力!$S$5:$S$152,$J75,③スチコン工程入力!$J$5:$J$152,"&gt;0")-SUMIFS(③スチコン工程入力!$M$5:$M$152,③スチコン工程入力!$S$5:$S$152,$J75,③スチコン工程入力!$J$5:$J$152,"&gt;0",③スチコン工程入力!$I$5:$I$152,"&gt;0")+SUMIFS(⑪ZEN工程入力!$M$6:$M$35,⑪ZEN工程入力!$S$6:$S$35,$J75,⑪ZEN工程入力!$J$6:$J$35,"&gt;0")-SUMIFS(⑪ZEN工程入力!$M$6:$M$35,⑪ZEN工程入力!$S$6:$S$35,$J75,⑪ZEN工程入力!$J$6:$J$35,"&gt;0",⑪ZEN工程入力!$I$6:$I$35,"&gt;0")+SUMIFS(⑫ミキサー工程入力!$M$6:$M$65,⑫ミキサー工程入力!$S$6:$S$65,$J75,⑫ミキサー工程入力!$J$6:$J$65,"&gt;0")-SUMIFS(⑫ミキサー工程入力!$M$6:$M$65,⑫ミキサー工程入力!$S$6:$S$65,$J75,⑫ミキサー工程入力!$J$6:$J$65,"&gt;0",⑫ミキサー工程入力!$I$6:$I$65,"&gt;0")+SUMIFS(⑬計量工程入力!$M$6:$M$65,⑬計量工程入力!$S$6:$S$65,$J75,⑬計量工程入力!$J$6:$J$65,"&gt;0")-SUMIFS(⑬計量工程入力!$M$6:$M$65,⑬計量工程入力!$S$6:$S$65,$J75,⑬計量工程入力!$J$6:$J$65,"&gt;0",⑬計量工程入力!$I$6:$I$65,"&gt;0")+SUMIFS(⑭手動工程入力!$M$6:$M$47,⑭手動工程入力!$S$6:$S$47,$J75,⑭手動工程入力!$J$6:$J$47,"&gt;0")-SUMIFS(⑭手動工程入力!$M$6:$M$47,⑭手動工程入力!$S$6:$S$47,$J75,⑭手動工程入力!$J$6:$J$47,"&gt;0",⑭手動工程入力!$I$6:$I$47,"&gt;0"))</f>
        <v/>
      </c>
      <c r="O75" s="393">
        <f>IF($J75="",0,SUMIFS(②釜工程入力!$J$5:$J$117,②釜工程入力!$S$5:$S$117,$J75,②釜工程入力!$J$5:$J$117,"&gt;0",②釜工程入力!$M$5:$M$117,"&gt;0")-SUMIFS(②釜工程入力!$J$5:$J$117,②釜工程入力!$S$5:$S$117,$J75,②釜工程入力!$J$5:$J$117,"&gt;0",②釜工程入力!$I$5:$I$117,"&gt;0",②釜工程入力!$M$5:$M$117,"&gt;0")+SUMIFS(③スチコン工程入力!$J$5:$J$152,③スチコン工程入力!$S$5:$S$152,$J75,③スチコン工程入力!$J$5:$J$152,"&gt;0",③スチコン工程入力!$M$5:$M$152,"&gt;0")-SUMIFS(③スチコン工程入力!$J$5:$J$152,③スチコン工程入力!$S$5:$S$152,$J75,③スチコン工程入力!$J$5:$J$152,"&gt;0",③スチコン工程入力!$I$5:$I$152,"&gt;0",③スチコン工程入力!$M$5:$M$152,"&gt;0")+SUMIFS(⑪ZEN工程入力!$J$6:$J$35,⑪ZEN工程入力!$S$6:$S$35,$J75,⑪ZEN工程入力!$J$6:$J$35,"&gt;0",⑪ZEN工程入力!$M$6:$M$35,"&gt;0")-SUMIFS(⑪ZEN工程入力!$J$6:$J$35,⑪ZEN工程入力!$S$6:$S$35,$J75,⑪ZEN工程入力!$J$6:$J$35,"&gt;0",⑪ZEN工程入力!$I$6:$I$35,"&gt;0",⑪ZEN工程入力!$M$6:$M$35,"&gt;0")+SUMIFS(⑫ミキサー工程入力!$J$6:$J$65,⑫ミキサー工程入力!$S$6:$S$65,$J75,⑫ミキサー工程入力!$J$6:$J$65,"&gt;0",⑫ミキサー工程入力!$M$6:$M$65,"&gt;0")-SUMIFS(⑫ミキサー工程入力!$J$6:$J$65,⑫ミキサー工程入力!$S$6:$S$65,$J75,⑫ミキサー工程入力!$J$6:$J$65,"&gt;0",⑫ミキサー工程入力!$I$6:$I$65,"&gt;0",⑫ミキサー工程入力!$M$6:$M$65,"&gt;0")+SUMIFS(⑬計量工程入力!$J$6:$J$65,⑬計量工程入力!$S$6:$S$65,$J75,⑬計量工程入力!$J$6:$J$65,"&gt;0",⑬計量工程入力!$M$6:$M$65,"&gt;0")-SUMIFS(⑬計量工程入力!$J$6:$J$65,⑬計量工程入力!$S$6:$S$65,$J75,⑬計量工程入力!$J$6:$J$65,"&gt;0",⑬計量工程入力!$I$6:$I$65,"&gt;0",⑬計量工程入力!$M$6:$M$65,"&gt;0")+SUMIFS(⑭手動工程入力!$J$6:$J$47,⑭手動工程入力!$S$6:$S$47,$J75,⑭手動工程入力!$J$6:$J$47,"&gt;0",⑭手動工程入力!$M$6:$M$47,"&gt;0")-SUMIFS(⑭手動工程入力!$J$6:$J$47,⑭手動工程入力!$S$6:$S$47,$J75,⑭手動工程入力!$J$6:$J$47,"&gt;0",⑭手動工程入力!$I$6:$I$47,"&gt;0",⑭手動工程入力!$M$6:$M$47,"&gt;0"))</f>
        <v/>
      </c>
      <c r="P75" s="392" t="n"/>
    </row>
    <row r="76">
      <c r="A76" s="392" t="n">
        <v>72</v>
      </c>
      <c r="B76" s="392" t="n"/>
      <c r="C76" s="392" t="n"/>
      <c r="D76" s="392" t="n"/>
      <c r="E76" s="392" t="n"/>
      <c r="F76" s="394" t="n"/>
      <c r="G76" s="392" t="n"/>
      <c r="H76" s="604">
        <f>IFERROR(IF(AND($K76&gt;0,ISNUMBER(IF(OR($D76="g",$D76="ｇ"),IF($M76&gt;0,$L76/$M76/1000,""),IF($D76="kg",IF($M76&gt;0,$L76/$M76,""),IF($D76="",IF($M76&gt;0,$L76/$M76/1000,IF($O76&gt;0,$N76/$O76,"")),IF($O76&gt;0,$N76/$O76,"")))))),IF(OR($D76="g",$D76="ｇ"),IF($M76&gt;0,$L76/$M76/1000,""),IF($D76="kg",IF($M76&gt;0,$L76/$M76,""),IF($D76="",IF($M76&gt;0,$L76/$M76/1000,IF($O76&gt;0,$N76/$O76,"")),IF($O76&gt;0,$N76/$O76,"")))),IF($F76="",IF(OR($E76="",$E76="⑩盛付梱包工程入力"),"",IF(OR($D76="g",$D76="ｇ"),INDEX(⑰工程労務費一覧!$N$5:$N$11,MATCH($E76,⑰工程労務費一覧!$K$5:$K$11,0))/1000,IF($D76="kg",INDEX(⑰工程労務費一覧!$N$5:$N$11,MATCH($E76,⑰工程労務費一覧!$K$5:$K$11,0)),IF(OR($D76="個",$D76="切",$D76="本",$D76="枚",$D76="尾"),IF($E76="⑬計量工程入力","",INDEX(⑰工程労務費一覧!$P$5:$P$11,MATCH($E76,⑰工程労務費一覧!$K$5:$K$11,0))),IF(AND($D76="",OR($E76="②釜工程入力",$E76="③スチコン工程入力")),INDEX(⑰工程労務費一覧!$N$5:$N$11,MATCH($E76,⑰工程労務費一覧!$K$5:$K$11,0))/1000,""))))),IF(OR($D76="g",$D76="ｇ"),INDEX(⑰工程労務費一覧!$H$5:$H$753,MATCH($F76,⑰工程労務費一覧!$D$5:$D$753,0))/1000,IF($D76="kg",INDEX(⑰工程労務費一覧!$H$5:$H$753,MATCH($F76,⑰工程労務費一覧!$D$5:$D$753,0)),INDEX(⑰工程労務費一覧!$I$5:$I$753,MATCH($F76,⑰工程労務費一覧!$D$5:$D$753,0)))))),"")</f>
        <v/>
      </c>
      <c r="I76" s="392">
        <f>IF($K76&gt;0,IF(ISNUMBER(IF(OR($D76="g",$D76="ｇ"),IF($M76&gt;0,$L76/$M76/1000,""),IF($D76="kg",IF($M76&gt;0,$L76/$M76,""),IF($D76="",IF($M76&gt;0,$L76/$M76/1000,IF($O76&gt;0,$N76/$O76,"")),IF($O76&gt;0,$N76/$O76,""))))),IF($D76="",IF($M76&gt;0,"◎ JAN紐づけ(g扱い)","◎ JAN紐づけ(個扱い)"),"◎ JAN紐づけ"),"△ JAN紐づけ済・実績不足→仮計算"),IF($F76="",IF(ISNUMBER($H76),IF($D76="","⑤ 工程平均で仮計算(g扱い)","⑤ 工程平均で仮計算"),IF($E76="⑩盛付梱包工程入力","⑥ 盛り込み(⑳F列で計上)",IF(AND($E76="⑬計量工程入力",OR($D76="個",$D76="切",$D76="本",$D76="枚",$D76="尾")),"① 未紐づけ(カット個単位は仮単価なし)","① 未紐づけ"))),IF(NOT(ISNUMBER($H76)),"② 工程側に単価なし",IF($D76="","③ 単位未設定(個で計算)","④ OK"))))</f>
        <v/>
      </c>
      <c r="J76" s="399">
        <f>IFERROR(LOOKUP(2,1/((中間品リスト!$F$2:$F$1299=$B76)*(中間品リスト!$E$2:$E$1299&lt;&gt;"-")*(中間品リスト!$E$2:$E$1299&lt;&gt;"")),中間品リスト!$E$2:$E$1299),"")</f>
        <v/>
      </c>
      <c r="K76" s="400">
        <f>IF($J76="",0,COUNTIF(②釜工程入力!$S$5:$S$117,$J76)+COUNTIF(③スチコン工程入力!$S$5:$S$152,$J76)+COUNTIF(⑪ZEN工程入力!$S$6:$S$35,$J76)+COUNTIF(⑫ミキサー工程入力!$S$6:$S$65,$J76)+COUNTIF(⑬計量工程入力!$S$6:$S$65,$J76)+COUNTIF(⑭手動工程入力!$S$6:$S$47,$J76))</f>
        <v/>
      </c>
      <c r="L76" s="393">
        <f>IF($J76="",0,SUMIFS(②釜工程入力!$M$5:$M$117,②釜工程入力!$S$5:$S$117,$J76,②釜工程入力!$I$5:$I$117,"&gt;0")+SUMIFS(③スチコン工程入力!$M$5:$M$152,③スチコン工程入力!$S$5:$S$152,$J76,③スチコン工程入力!$I$5:$I$152,"&gt;0")+SUMIFS(⑪ZEN工程入力!$M$6:$M$35,⑪ZEN工程入力!$S$6:$S$35,$J76,⑪ZEN工程入力!$I$6:$I$35,"&gt;0")+SUMIFS(⑫ミキサー工程入力!$M$6:$M$65,⑫ミキサー工程入力!$S$6:$S$65,$J76,⑫ミキサー工程入力!$I$6:$I$65,"&gt;0")+SUMIFS(⑬計量工程入力!$M$6:$M$65,⑬計量工程入力!$S$6:$S$65,$J76,⑬計量工程入力!$I$6:$I$65,"&gt;0")+SUMIFS(⑭手動工程入力!$M$6:$M$47,⑭手動工程入力!$S$6:$S$47,$J76,⑭手動工程入力!$I$6:$I$47,"&gt;0"))</f>
        <v/>
      </c>
      <c r="M76" s="393">
        <f>IF($J76="",0,SUMIFS(②釜工程入力!$I$5:$I$117,②釜工程入力!$S$5:$S$117,$J76,②釜工程入力!$I$5:$I$117,"&gt;0",②釜工程入力!$M$5:$M$117,"&gt;0")+SUMIFS(③スチコン工程入力!$I$5:$I$152,③スチコン工程入力!$S$5:$S$152,$J76,③スチコン工程入力!$I$5:$I$152,"&gt;0",③スチコン工程入力!$M$5:$M$152,"&gt;0")+SUMIFS(⑪ZEN工程入力!$I$6:$I$35,⑪ZEN工程入力!$S$6:$S$35,$J76,⑪ZEN工程入力!$I$6:$I$35,"&gt;0",⑪ZEN工程入力!$M$6:$M$35,"&gt;0")+SUMIFS(⑫ミキサー工程入力!$I$6:$I$65,⑫ミキサー工程入力!$S$6:$S$65,$J76,⑫ミキサー工程入力!$I$6:$I$65,"&gt;0",⑫ミキサー工程入力!$M$6:$M$65,"&gt;0")+SUMIFS(⑬計量工程入力!$I$6:$I$65,⑬計量工程入力!$S$6:$S$65,$J76,⑬計量工程入力!$I$6:$I$65,"&gt;0",⑬計量工程入力!$M$6:$M$65,"&gt;0")+SUMIFS(⑭手動工程入力!$I$6:$I$47,⑭手動工程入力!$S$6:$S$47,$J76,⑭手動工程入力!$I$6:$I$47,"&gt;0",⑭手動工程入力!$M$6:$M$47,"&gt;0"))</f>
        <v/>
      </c>
      <c r="N76" s="393">
        <f>IF($J76="",0,SUMIFS(②釜工程入力!$M$5:$M$117,②釜工程入力!$S$5:$S$117,$J76,②釜工程入力!$J$5:$J$117,"&gt;0")-SUMIFS(②釜工程入力!$M$5:$M$117,②釜工程入力!$S$5:$S$117,$J76,②釜工程入力!$J$5:$J$117,"&gt;0",②釜工程入力!$I$5:$I$117,"&gt;0")+SUMIFS(③スチコン工程入力!$M$5:$M$152,③スチコン工程入力!$S$5:$S$152,$J76,③スチコン工程入力!$J$5:$J$152,"&gt;0")-SUMIFS(③スチコン工程入力!$M$5:$M$152,③スチコン工程入力!$S$5:$S$152,$J76,③スチコン工程入力!$J$5:$J$152,"&gt;0",③スチコン工程入力!$I$5:$I$152,"&gt;0")+SUMIFS(⑪ZEN工程入力!$M$6:$M$35,⑪ZEN工程入力!$S$6:$S$35,$J76,⑪ZEN工程入力!$J$6:$J$35,"&gt;0")-SUMIFS(⑪ZEN工程入力!$M$6:$M$35,⑪ZEN工程入力!$S$6:$S$35,$J76,⑪ZEN工程入力!$J$6:$J$35,"&gt;0",⑪ZEN工程入力!$I$6:$I$35,"&gt;0")+SUMIFS(⑫ミキサー工程入力!$M$6:$M$65,⑫ミキサー工程入力!$S$6:$S$65,$J76,⑫ミキサー工程入力!$J$6:$J$65,"&gt;0")-SUMIFS(⑫ミキサー工程入力!$M$6:$M$65,⑫ミキサー工程入力!$S$6:$S$65,$J76,⑫ミキサー工程入力!$J$6:$J$65,"&gt;0",⑫ミキサー工程入力!$I$6:$I$65,"&gt;0")+SUMIFS(⑬計量工程入力!$M$6:$M$65,⑬計量工程入力!$S$6:$S$65,$J76,⑬計量工程入力!$J$6:$J$65,"&gt;0")-SUMIFS(⑬計量工程入力!$M$6:$M$65,⑬計量工程入力!$S$6:$S$65,$J76,⑬計量工程入力!$J$6:$J$65,"&gt;0",⑬計量工程入力!$I$6:$I$65,"&gt;0")+SUMIFS(⑭手動工程入力!$M$6:$M$47,⑭手動工程入力!$S$6:$S$47,$J76,⑭手動工程入力!$J$6:$J$47,"&gt;0")-SUMIFS(⑭手動工程入力!$M$6:$M$47,⑭手動工程入力!$S$6:$S$47,$J76,⑭手動工程入力!$J$6:$J$47,"&gt;0",⑭手動工程入力!$I$6:$I$47,"&gt;0"))</f>
        <v/>
      </c>
      <c r="O76" s="393">
        <f>IF($J76="",0,SUMIFS(②釜工程入力!$J$5:$J$117,②釜工程入力!$S$5:$S$117,$J76,②釜工程入力!$J$5:$J$117,"&gt;0",②釜工程入力!$M$5:$M$117,"&gt;0")-SUMIFS(②釜工程入力!$J$5:$J$117,②釜工程入力!$S$5:$S$117,$J76,②釜工程入力!$J$5:$J$117,"&gt;0",②釜工程入力!$I$5:$I$117,"&gt;0",②釜工程入力!$M$5:$M$117,"&gt;0")+SUMIFS(③スチコン工程入力!$J$5:$J$152,③スチコン工程入力!$S$5:$S$152,$J76,③スチコン工程入力!$J$5:$J$152,"&gt;0",③スチコン工程入力!$M$5:$M$152,"&gt;0")-SUMIFS(③スチコン工程入力!$J$5:$J$152,③スチコン工程入力!$S$5:$S$152,$J76,③スチコン工程入力!$J$5:$J$152,"&gt;0",③スチコン工程入力!$I$5:$I$152,"&gt;0",③スチコン工程入力!$M$5:$M$152,"&gt;0")+SUMIFS(⑪ZEN工程入力!$J$6:$J$35,⑪ZEN工程入力!$S$6:$S$35,$J76,⑪ZEN工程入力!$J$6:$J$35,"&gt;0",⑪ZEN工程入力!$M$6:$M$35,"&gt;0")-SUMIFS(⑪ZEN工程入力!$J$6:$J$35,⑪ZEN工程入力!$S$6:$S$35,$J76,⑪ZEN工程入力!$J$6:$J$35,"&gt;0",⑪ZEN工程入力!$I$6:$I$35,"&gt;0",⑪ZEN工程入力!$M$6:$M$35,"&gt;0")+SUMIFS(⑫ミキサー工程入力!$J$6:$J$65,⑫ミキサー工程入力!$S$6:$S$65,$J76,⑫ミキサー工程入力!$J$6:$J$65,"&gt;0",⑫ミキサー工程入力!$M$6:$M$65,"&gt;0")-SUMIFS(⑫ミキサー工程入力!$J$6:$J$65,⑫ミキサー工程入力!$S$6:$S$65,$J76,⑫ミキサー工程入力!$J$6:$J$65,"&gt;0",⑫ミキサー工程入力!$I$6:$I$65,"&gt;0",⑫ミキサー工程入力!$M$6:$M$65,"&gt;0")+SUMIFS(⑬計量工程入力!$J$6:$J$65,⑬計量工程入力!$S$6:$S$65,$J76,⑬計量工程入力!$J$6:$J$65,"&gt;0",⑬計量工程入力!$M$6:$M$65,"&gt;0")-SUMIFS(⑬計量工程入力!$J$6:$J$65,⑬計量工程入力!$S$6:$S$65,$J76,⑬計量工程入力!$J$6:$J$65,"&gt;0",⑬計量工程入力!$I$6:$I$65,"&gt;0",⑬計量工程入力!$M$6:$M$65,"&gt;0")+SUMIFS(⑭手動工程入力!$J$6:$J$47,⑭手動工程入力!$S$6:$S$47,$J76,⑭手動工程入力!$J$6:$J$47,"&gt;0",⑭手動工程入力!$M$6:$M$47,"&gt;0")-SUMIFS(⑭手動工程入力!$J$6:$J$47,⑭手動工程入力!$S$6:$S$47,$J76,⑭手動工程入力!$J$6:$J$47,"&gt;0",⑭手動工程入力!$I$6:$I$47,"&gt;0",⑭手動工程入力!$M$6:$M$47,"&gt;0"))</f>
        <v/>
      </c>
      <c r="P76" s="392" t="n"/>
    </row>
    <row r="77">
      <c r="A77" s="392" t="n">
        <v>73</v>
      </c>
      <c r="B77" s="392" t="n"/>
      <c r="C77" s="392" t="n"/>
      <c r="D77" s="392" t="n"/>
      <c r="E77" s="392" t="n"/>
      <c r="F77" s="394" t="n"/>
      <c r="G77" s="392" t="n"/>
      <c r="H77" s="604">
        <f>IFERROR(IF(AND($K77&gt;0,ISNUMBER(IF(OR($D77="g",$D77="ｇ"),IF($M77&gt;0,$L77/$M77/1000,""),IF($D77="kg",IF($M77&gt;0,$L77/$M77,""),IF($D77="",IF($M77&gt;0,$L77/$M77/1000,IF($O77&gt;0,$N77/$O77,"")),IF($O77&gt;0,$N77/$O77,"")))))),IF(OR($D77="g",$D77="ｇ"),IF($M77&gt;0,$L77/$M77/1000,""),IF($D77="kg",IF($M77&gt;0,$L77/$M77,""),IF($D77="",IF($M77&gt;0,$L77/$M77/1000,IF($O77&gt;0,$N77/$O77,"")),IF($O77&gt;0,$N77/$O77,"")))),IF($F77="",IF(OR($E77="",$E77="⑩盛付梱包工程入力"),"",IF(OR($D77="g",$D77="ｇ"),INDEX(⑰工程労務費一覧!$N$5:$N$11,MATCH($E77,⑰工程労務費一覧!$K$5:$K$11,0))/1000,IF($D77="kg",INDEX(⑰工程労務費一覧!$N$5:$N$11,MATCH($E77,⑰工程労務費一覧!$K$5:$K$11,0)),IF(OR($D77="個",$D77="切",$D77="本",$D77="枚",$D77="尾"),IF($E77="⑬計量工程入力","",INDEX(⑰工程労務費一覧!$P$5:$P$11,MATCH($E77,⑰工程労務費一覧!$K$5:$K$11,0))),IF(AND($D77="",OR($E77="②釜工程入力",$E77="③スチコン工程入力")),INDEX(⑰工程労務費一覧!$N$5:$N$11,MATCH($E77,⑰工程労務費一覧!$K$5:$K$11,0))/1000,""))))),IF(OR($D77="g",$D77="ｇ"),INDEX(⑰工程労務費一覧!$H$5:$H$753,MATCH($F77,⑰工程労務費一覧!$D$5:$D$753,0))/1000,IF($D77="kg",INDEX(⑰工程労務費一覧!$H$5:$H$753,MATCH($F77,⑰工程労務費一覧!$D$5:$D$753,0)),INDEX(⑰工程労務費一覧!$I$5:$I$753,MATCH($F77,⑰工程労務費一覧!$D$5:$D$753,0)))))),"")</f>
        <v/>
      </c>
      <c r="I77" s="392">
        <f>IF($K77&gt;0,IF(ISNUMBER(IF(OR($D77="g",$D77="ｇ"),IF($M77&gt;0,$L77/$M77/1000,""),IF($D77="kg",IF($M77&gt;0,$L77/$M77,""),IF($D77="",IF($M77&gt;0,$L77/$M77/1000,IF($O77&gt;0,$N77/$O77,"")),IF($O77&gt;0,$N77/$O77,""))))),IF($D77="",IF($M77&gt;0,"◎ JAN紐づけ(g扱い)","◎ JAN紐づけ(個扱い)"),"◎ JAN紐づけ"),"△ JAN紐づけ済・実績不足→仮計算"),IF($F77="",IF(ISNUMBER($H77),IF($D77="","⑤ 工程平均で仮計算(g扱い)","⑤ 工程平均で仮計算"),IF($E77="⑩盛付梱包工程入力","⑥ 盛り込み(⑳F列で計上)",IF(AND($E77="⑬計量工程入力",OR($D77="個",$D77="切",$D77="本",$D77="枚",$D77="尾")),"① 未紐づけ(カット個単位は仮単価なし)","① 未紐づけ"))),IF(NOT(ISNUMBER($H77)),"② 工程側に単価なし",IF($D77="","③ 単位未設定(個で計算)","④ OK"))))</f>
        <v/>
      </c>
      <c r="J77" s="399">
        <f>IFERROR(LOOKUP(2,1/((中間品リスト!$F$2:$F$1299=$B77)*(中間品リスト!$E$2:$E$1299&lt;&gt;"-")*(中間品リスト!$E$2:$E$1299&lt;&gt;"")),中間品リスト!$E$2:$E$1299),"")</f>
        <v/>
      </c>
      <c r="K77" s="400">
        <f>IF($J77="",0,COUNTIF(②釜工程入力!$S$5:$S$117,$J77)+COUNTIF(③スチコン工程入力!$S$5:$S$152,$J77)+COUNTIF(⑪ZEN工程入力!$S$6:$S$35,$J77)+COUNTIF(⑫ミキサー工程入力!$S$6:$S$65,$J77)+COUNTIF(⑬計量工程入力!$S$6:$S$65,$J77)+COUNTIF(⑭手動工程入力!$S$6:$S$47,$J77))</f>
        <v/>
      </c>
      <c r="L77" s="393">
        <f>IF($J77="",0,SUMIFS(②釜工程入力!$M$5:$M$117,②釜工程入力!$S$5:$S$117,$J77,②釜工程入力!$I$5:$I$117,"&gt;0")+SUMIFS(③スチコン工程入力!$M$5:$M$152,③スチコン工程入力!$S$5:$S$152,$J77,③スチコン工程入力!$I$5:$I$152,"&gt;0")+SUMIFS(⑪ZEN工程入力!$M$6:$M$35,⑪ZEN工程入力!$S$6:$S$35,$J77,⑪ZEN工程入力!$I$6:$I$35,"&gt;0")+SUMIFS(⑫ミキサー工程入力!$M$6:$M$65,⑫ミキサー工程入力!$S$6:$S$65,$J77,⑫ミキサー工程入力!$I$6:$I$65,"&gt;0")+SUMIFS(⑬計量工程入力!$M$6:$M$65,⑬計量工程入力!$S$6:$S$65,$J77,⑬計量工程入力!$I$6:$I$65,"&gt;0")+SUMIFS(⑭手動工程入力!$M$6:$M$47,⑭手動工程入力!$S$6:$S$47,$J77,⑭手動工程入力!$I$6:$I$47,"&gt;0"))</f>
        <v/>
      </c>
      <c r="M77" s="393">
        <f>IF($J77="",0,SUMIFS(②釜工程入力!$I$5:$I$117,②釜工程入力!$S$5:$S$117,$J77,②釜工程入力!$I$5:$I$117,"&gt;0",②釜工程入力!$M$5:$M$117,"&gt;0")+SUMIFS(③スチコン工程入力!$I$5:$I$152,③スチコン工程入力!$S$5:$S$152,$J77,③スチコン工程入力!$I$5:$I$152,"&gt;0",③スチコン工程入力!$M$5:$M$152,"&gt;0")+SUMIFS(⑪ZEN工程入力!$I$6:$I$35,⑪ZEN工程入力!$S$6:$S$35,$J77,⑪ZEN工程入力!$I$6:$I$35,"&gt;0",⑪ZEN工程入力!$M$6:$M$35,"&gt;0")+SUMIFS(⑫ミキサー工程入力!$I$6:$I$65,⑫ミキサー工程入力!$S$6:$S$65,$J77,⑫ミキサー工程入力!$I$6:$I$65,"&gt;0",⑫ミキサー工程入力!$M$6:$M$65,"&gt;0")+SUMIFS(⑬計量工程入力!$I$6:$I$65,⑬計量工程入力!$S$6:$S$65,$J77,⑬計量工程入力!$I$6:$I$65,"&gt;0",⑬計量工程入力!$M$6:$M$65,"&gt;0")+SUMIFS(⑭手動工程入力!$I$6:$I$47,⑭手動工程入力!$S$6:$S$47,$J77,⑭手動工程入力!$I$6:$I$47,"&gt;0",⑭手動工程入力!$M$6:$M$47,"&gt;0"))</f>
        <v/>
      </c>
      <c r="N77" s="393">
        <f>IF($J77="",0,SUMIFS(②釜工程入力!$M$5:$M$117,②釜工程入力!$S$5:$S$117,$J77,②釜工程入力!$J$5:$J$117,"&gt;0")-SUMIFS(②釜工程入力!$M$5:$M$117,②釜工程入力!$S$5:$S$117,$J77,②釜工程入力!$J$5:$J$117,"&gt;0",②釜工程入力!$I$5:$I$117,"&gt;0")+SUMIFS(③スチコン工程入力!$M$5:$M$152,③スチコン工程入力!$S$5:$S$152,$J77,③スチコン工程入力!$J$5:$J$152,"&gt;0")-SUMIFS(③スチコン工程入力!$M$5:$M$152,③スチコン工程入力!$S$5:$S$152,$J77,③スチコン工程入力!$J$5:$J$152,"&gt;0",③スチコン工程入力!$I$5:$I$152,"&gt;0")+SUMIFS(⑪ZEN工程入力!$M$6:$M$35,⑪ZEN工程入力!$S$6:$S$35,$J77,⑪ZEN工程入力!$J$6:$J$35,"&gt;0")-SUMIFS(⑪ZEN工程入力!$M$6:$M$35,⑪ZEN工程入力!$S$6:$S$35,$J77,⑪ZEN工程入力!$J$6:$J$35,"&gt;0",⑪ZEN工程入力!$I$6:$I$35,"&gt;0")+SUMIFS(⑫ミキサー工程入力!$M$6:$M$65,⑫ミキサー工程入力!$S$6:$S$65,$J77,⑫ミキサー工程入力!$J$6:$J$65,"&gt;0")-SUMIFS(⑫ミキサー工程入力!$M$6:$M$65,⑫ミキサー工程入力!$S$6:$S$65,$J77,⑫ミキサー工程入力!$J$6:$J$65,"&gt;0",⑫ミキサー工程入力!$I$6:$I$65,"&gt;0")+SUMIFS(⑬計量工程入力!$M$6:$M$65,⑬計量工程入力!$S$6:$S$65,$J77,⑬計量工程入力!$J$6:$J$65,"&gt;0")-SUMIFS(⑬計量工程入力!$M$6:$M$65,⑬計量工程入力!$S$6:$S$65,$J77,⑬計量工程入力!$J$6:$J$65,"&gt;0",⑬計量工程入力!$I$6:$I$65,"&gt;0")+SUMIFS(⑭手動工程入力!$M$6:$M$47,⑭手動工程入力!$S$6:$S$47,$J77,⑭手動工程入力!$J$6:$J$47,"&gt;0")-SUMIFS(⑭手動工程入力!$M$6:$M$47,⑭手動工程入力!$S$6:$S$47,$J77,⑭手動工程入力!$J$6:$J$47,"&gt;0",⑭手動工程入力!$I$6:$I$47,"&gt;0"))</f>
        <v/>
      </c>
      <c r="O77" s="393">
        <f>IF($J77="",0,SUMIFS(②釜工程入力!$J$5:$J$117,②釜工程入力!$S$5:$S$117,$J77,②釜工程入力!$J$5:$J$117,"&gt;0",②釜工程入力!$M$5:$M$117,"&gt;0")-SUMIFS(②釜工程入力!$J$5:$J$117,②釜工程入力!$S$5:$S$117,$J77,②釜工程入力!$J$5:$J$117,"&gt;0",②釜工程入力!$I$5:$I$117,"&gt;0",②釜工程入力!$M$5:$M$117,"&gt;0")+SUMIFS(③スチコン工程入力!$J$5:$J$152,③スチコン工程入力!$S$5:$S$152,$J77,③スチコン工程入力!$J$5:$J$152,"&gt;0",③スチコン工程入力!$M$5:$M$152,"&gt;0")-SUMIFS(③スチコン工程入力!$J$5:$J$152,③スチコン工程入力!$S$5:$S$152,$J77,③スチコン工程入力!$J$5:$J$152,"&gt;0",③スチコン工程入力!$I$5:$I$152,"&gt;0",③スチコン工程入力!$M$5:$M$152,"&gt;0")+SUMIFS(⑪ZEN工程入力!$J$6:$J$35,⑪ZEN工程入力!$S$6:$S$35,$J77,⑪ZEN工程入力!$J$6:$J$35,"&gt;0",⑪ZEN工程入力!$M$6:$M$35,"&gt;0")-SUMIFS(⑪ZEN工程入力!$J$6:$J$35,⑪ZEN工程入力!$S$6:$S$35,$J77,⑪ZEN工程入力!$J$6:$J$35,"&gt;0",⑪ZEN工程入力!$I$6:$I$35,"&gt;0",⑪ZEN工程入力!$M$6:$M$35,"&gt;0")+SUMIFS(⑫ミキサー工程入力!$J$6:$J$65,⑫ミキサー工程入力!$S$6:$S$65,$J77,⑫ミキサー工程入力!$J$6:$J$65,"&gt;0",⑫ミキサー工程入力!$M$6:$M$65,"&gt;0")-SUMIFS(⑫ミキサー工程入力!$J$6:$J$65,⑫ミキサー工程入力!$S$6:$S$65,$J77,⑫ミキサー工程入力!$J$6:$J$65,"&gt;0",⑫ミキサー工程入力!$I$6:$I$65,"&gt;0",⑫ミキサー工程入力!$M$6:$M$65,"&gt;0")+SUMIFS(⑬計量工程入力!$J$6:$J$65,⑬計量工程入力!$S$6:$S$65,$J77,⑬計量工程入力!$J$6:$J$65,"&gt;0",⑬計量工程入力!$M$6:$M$65,"&gt;0")-SUMIFS(⑬計量工程入力!$J$6:$J$65,⑬計量工程入力!$S$6:$S$65,$J77,⑬計量工程入力!$J$6:$J$65,"&gt;0",⑬計量工程入力!$I$6:$I$65,"&gt;0",⑬計量工程入力!$M$6:$M$65,"&gt;0")+SUMIFS(⑭手動工程入力!$J$6:$J$47,⑭手動工程入力!$S$6:$S$47,$J77,⑭手動工程入力!$J$6:$J$47,"&gt;0",⑭手動工程入力!$M$6:$M$47,"&gt;0")-SUMIFS(⑭手動工程入力!$J$6:$J$47,⑭手動工程入力!$S$6:$S$47,$J77,⑭手動工程入力!$J$6:$J$47,"&gt;0",⑭手動工程入力!$I$6:$I$47,"&gt;0",⑭手動工程入力!$M$6:$M$47,"&gt;0"))</f>
        <v/>
      </c>
      <c r="P77" s="392" t="n"/>
    </row>
    <row r="78">
      <c r="A78" s="392" t="n">
        <v>74</v>
      </c>
      <c r="B78" s="392" t="n"/>
      <c r="C78" s="392" t="n"/>
      <c r="D78" s="392" t="n"/>
      <c r="E78" s="392" t="n"/>
      <c r="F78" s="394" t="n"/>
      <c r="G78" s="392" t="n"/>
      <c r="H78" s="604">
        <f>IFERROR(IF(AND($K78&gt;0,ISNUMBER(IF(OR($D78="g",$D78="ｇ"),IF($M78&gt;0,$L78/$M78/1000,""),IF($D78="kg",IF($M78&gt;0,$L78/$M78,""),IF($D78="",IF($M78&gt;0,$L78/$M78/1000,IF($O78&gt;0,$N78/$O78,"")),IF($O78&gt;0,$N78/$O78,"")))))),IF(OR($D78="g",$D78="ｇ"),IF($M78&gt;0,$L78/$M78/1000,""),IF($D78="kg",IF($M78&gt;0,$L78/$M78,""),IF($D78="",IF($M78&gt;0,$L78/$M78/1000,IF($O78&gt;0,$N78/$O78,"")),IF($O78&gt;0,$N78/$O78,"")))),IF($F78="",IF(OR($E78="",$E78="⑩盛付梱包工程入力"),"",IF(OR($D78="g",$D78="ｇ"),INDEX(⑰工程労務費一覧!$N$5:$N$11,MATCH($E78,⑰工程労務費一覧!$K$5:$K$11,0))/1000,IF($D78="kg",INDEX(⑰工程労務費一覧!$N$5:$N$11,MATCH($E78,⑰工程労務費一覧!$K$5:$K$11,0)),IF(OR($D78="個",$D78="切",$D78="本",$D78="枚",$D78="尾"),IF($E78="⑬計量工程入力","",INDEX(⑰工程労務費一覧!$P$5:$P$11,MATCH($E78,⑰工程労務費一覧!$K$5:$K$11,0))),IF(AND($D78="",OR($E78="②釜工程入力",$E78="③スチコン工程入力")),INDEX(⑰工程労務費一覧!$N$5:$N$11,MATCH($E78,⑰工程労務費一覧!$K$5:$K$11,0))/1000,""))))),IF(OR($D78="g",$D78="ｇ"),INDEX(⑰工程労務費一覧!$H$5:$H$753,MATCH($F78,⑰工程労務費一覧!$D$5:$D$753,0))/1000,IF($D78="kg",INDEX(⑰工程労務費一覧!$H$5:$H$753,MATCH($F78,⑰工程労務費一覧!$D$5:$D$753,0)),INDEX(⑰工程労務費一覧!$I$5:$I$753,MATCH($F78,⑰工程労務費一覧!$D$5:$D$753,0)))))),"")</f>
        <v/>
      </c>
      <c r="I78" s="392">
        <f>IF($K78&gt;0,IF(ISNUMBER(IF(OR($D78="g",$D78="ｇ"),IF($M78&gt;0,$L78/$M78/1000,""),IF($D78="kg",IF($M78&gt;0,$L78/$M78,""),IF($D78="",IF($M78&gt;0,$L78/$M78/1000,IF($O78&gt;0,$N78/$O78,"")),IF($O78&gt;0,$N78/$O78,""))))),IF($D78="",IF($M78&gt;0,"◎ JAN紐づけ(g扱い)","◎ JAN紐づけ(個扱い)"),"◎ JAN紐づけ"),"△ JAN紐づけ済・実績不足→仮計算"),IF($F78="",IF(ISNUMBER($H78),IF($D78="","⑤ 工程平均で仮計算(g扱い)","⑤ 工程平均で仮計算"),IF($E78="⑩盛付梱包工程入力","⑥ 盛り込み(⑳F列で計上)",IF(AND($E78="⑬計量工程入力",OR($D78="個",$D78="切",$D78="本",$D78="枚",$D78="尾")),"① 未紐づけ(カット個単位は仮単価なし)","① 未紐づけ"))),IF(NOT(ISNUMBER($H78)),"② 工程側に単価なし",IF($D78="","③ 単位未設定(個で計算)","④ OK"))))</f>
        <v/>
      </c>
      <c r="J78" s="399">
        <f>IFERROR(LOOKUP(2,1/((中間品リスト!$F$2:$F$1299=$B78)*(中間品リスト!$E$2:$E$1299&lt;&gt;"-")*(中間品リスト!$E$2:$E$1299&lt;&gt;"")),中間品リスト!$E$2:$E$1299),"")</f>
        <v/>
      </c>
      <c r="K78" s="400">
        <f>IF($J78="",0,COUNTIF(②釜工程入力!$S$5:$S$117,$J78)+COUNTIF(③スチコン工程入力!$S$5:$S$152,$J78)+COUNTIF(⑪ZEN工程入力!$S$6:$S$35,$J78)+COUNTIF(⑫ミキサー工程入力!$S$6:$S$65,$J78)+COUNTIF(⑬計量工程入力!$S$6:$S$65,$J78)+COUNTIF(⑭手動工程入力!$S$6:$S$47,$J78))</f>
        <v/>
      </c>
      <c r="L78" s="393">
        <f>IF($J78="",0,SUMIFS(②釜工程入力!$M$5:$M$117,②釜工程入力!$S$5:$S$117,$J78,②釜工程入力!$I$5:$I$117,"&gt;0")+SUMIFS(③スチコン工程入力!$M$5:$M$152,③スチコン工程入力!$S$5:$S$152,$J78,③スチコン工程入力!$I$5:$I$152,"&gt;0")+SUMIFS(⑪ZEN工程入力!$M$6:$M$35,⑪ZEN工程入力!$S$6:$S$35,$J78,⑪ZEN工程入力!$I$6:$I$35,"&gt;0")+SUMIFS(⑫ミキサー工程入力!$M$6:$M$65,⑫ミキサー工程入力!$S$6:$S$65,$J78,⑫ミキサー工程入力!$I$6:$I$65,"&gt;0")+SUMIFS(⑬計量工程入力!$M$6:$M$65,⑬計量工程入力!$S$6:$S$65,$J78,⑬計量工程入力!$I$6:$I$65,"&gt;0")+SUMIFS(⑭手動工程入力!$M$6:$M$47,⑭手動工程入力!$S$6:$S$47,$J78,⑭手動工程入力!$I$6:$I$47,"&gt;0"))</f>
        <v/>
      </c>
      <c r="M78" s="393">
        <f>IF($J78="",0,SUMIFS(②釜工程入力!$I$5:$I$117,②釜工程入力!$S$5:$S$117,$J78,②釜工程入力!$I$5:$I$117,"&gt;0",②釜工程入力!$M$5:$M$117,"&gt;0")+SUMIFS(③スチコン工程入力!$I$5:$I$152,③スチコン工程入力!$S$5:$S$152,$J78,③スチコン工程入力!$I$5:$I$152,"&gt;0",③スチコン工程入力!$M$5:$M$152,"&gt;0")+SUMIFS(⑪ZEN工程入力!$I$6:$I$35,⑪ZEN工程入力!$S$6:$S$35,$J78,⑪ZEN工程入力!$I$6:$I$35,"&gt;0",⑪ZEN工程入力!$M$6:$M$35,"&gt;0")+SUMIFS(⑫ミキサー工程入力!$I$6:$I$65,⑫ミキサー工程入力!$S$6:$S$65,$J78,⑫ミキサー工程入力!$I$6:$I$65,"&gt;0",⑫ミキサー工程入力!$M$6:$M$65,"&gt;0")+SUMIFS(⑬計量工程入力!$I$6:$I$65,⑬計量工程入力!$S$6:$S$65,$J78,⑬計量工程入力!$I$6:$I$65,"&gt;0",⑬計量工程入力!$M$6:$M$65,"&gt;0")+SUMIFS(⑭手動工程入力!$I$6:$I$47,⑭手動工程入力!$S$6:$S$47,$J78,⑭手動工程入力!$I$6:$I$47,"&gt;0",⑭手動工程入力!$M$6:$M$47,"&gt;0"))</f>
        <v/>
      </c>
      <c r="N78" s="393">
        <f>IF($J78="",0,SUMIFS(②釜工程入力!$M$5:$M$117,②釜工程入力!$S$5:$S$117,$J78,②釜工程入力!$J$5:$J$117,"&gt;0")-SUMIFS(②釜工程入力!$M$5:$M$117,②釜工程入力!$S$5:$S$117,$J78,②釜工程入力!$J$5:$J$117,"&gt;0",②釜工程入力!$I$5:$I$117,"&gt;0")+SUMIFS(③スチコン工程入力!$M$5:$M$152,③スチコン工程入力!$S$5:$S$152,$J78,③スチコン工程入力!$J$5:$J$152,"&gt;0")-SUMIFS(③スチコン工程入力!$M$5:$M$152,③スチコン工程入力!$S$5:$S$152,$J78,③スチコン工程入力!$J$5:$J$152,"&gt;0",③スチコン工程入力!$I$5:$I$152,"&gt;0")+SUMIFS(⑪ZEN工程入力!$M$6:$M$35,⑪ZEN工程入力!$S$6:$S$35,$J78,⑪ZEN工程入力!$J$6:$J$35,"&gt;0")-SUMIFS(⑪ZEN工程入力!$M$6:$M$35,⑪ZEN工程入力!$S$6:$S$35,$J78,⑪ZEN工程入力!$J$6:$J$35,"&gt;0",⑪ZEN工程入力!$I$6:$I$35,"&gt;0")+SUMIFS(⑫ミキサー工程入力!$M$6:$M$65,⑫ミキサー工程入力!$S$6:$S$65,$J78,⑫ミキサー工程入力!$J$6:$J$65,"&gt;0")-SUMIFS(⑫ミキサー工程入力!$M$6:$M$65,⑫ミキサー工程入力!$S$6:$S$65,$J78,⑫ミキサー工程入力!$J$6:$J$65,"&gt;0",⑫ミキサー工程入力!$I$6:$I$65,"&gt;0")+SUMIFS(⑬計量工程入力!$M$6:$M$65,⑬計量工程入力!$S$6:$S$65,$J78,⑬計量工程入力!$J$6:$J$65,"&gt;0")-SUMIFS(⑬計量工程入力!$M$6:$M$65,⑬計量工程入力!$S$6:$S$65,$J78,⑬計量工程入力!$J$6:$J$65,"&gt;0",⑬計量工程入力!$I$6:$I$65,"&gt;0")+SUMIFS(⑭手動工程入力!$M$6:$M$47,⑭手動工程入力!$S$6:$S$47,$J78,⑭手動工程入力!$J$6:$J$47,"&gt;0")-SUMIFS(⑭手動工程入力!$M$6:$M$47,⑭手動工程入力!$S$6:$S$47,$J78,⑭手動工程入力!$J$6:$J$47,"&gt;0",⑭手動工程入力!$I$6:$I$47,"&gt;0"))</f>
        <v/>
      </c>
      <c r="O78" s="393">
        <f>IF($J78="",0,SUMIFS(②釜工程入力!$J$5:$J$117,②釜工程入力!$S$5:$S$117,$J78,②釜工程入力!$J$5:$J$117,"&gt;0",②釜工程入力!$M$5:$M$117,"&gt;0")-SUMIFS(②釜工程入力!$J$5:$J$117,②釜工程入力!$S$5:$S$117,$J78,②釜工程入力!$J$5:$J$117,"&gt;0",②釜工程入力!$I$5:$I$117,"&gt;0",②釜工程入力!$M$5:$M$117,"&gt;0")+SUMIFS(③スチコン工程入力!$J$5:$J$152,③スチコン工程入力!$S$5:$S$152,$J78,③スチコン工程入力!$J$5:$J$152,"&gt;0",③スチコン工程入力!$M$5:$M$152,"&gt;0")-SUMIFS(③スチコン工程入力!$J$5:$J$152,③スチコン工程入力!$S$5:$S$152,$J78,③スチコン工程入力!$J$5:$J$152,"&gt;0",③スチコン工程入力!$I$5:$I$152,"&gt;0",③スチコン工程入力!$M$5:$M$152,"&gt;0")+SUMIFS(⑪ZEN工程入力!$J$6:$J$35,⑪ZEN工程入力!$S$6:$S$35,$J78,⑪ZEN工程入力!$J$6:$J$35,"&gt;0",⑪ZEN工程入力!$M$6:$M$35,"&gt;0")-SUMIFS(⑪ZEN工程入力!$J$6:$J$35,⑪ZEN工程入力!$S$6:$S$35,$J78,⑪ZEN工程入力!$J$6:$J$35,"&gt;0",⑪ZEN工程入力!$I$6:$I$35,"&gt;0",⑪ZEN工程入力!$M$6:$M$35,"&gt;0")+SUMIFS(⑫ミキサー工程入力!$J$6:$J$65,⑫ミキサー工程入力!$S$6:$S$65,$J78,⑫ミキサー工程入力!$J$6:$J$65,"&gt;0",⑫ミキサー工程入力!$M$6:$M$65,"&gt;0")-SUMIFS(⑫ミキサー工程入力!$J$6:$J$65,⑫ミキサー工程入力!$S$6:$S$65,$J78,⑫ミキサー工程入力!$J$6:$J$65,"&gt;0",⑫ミキサー工程入力!$I$6:$I$65,"&gt;0",⑫ミキサー工程入力!$M$6:$M$65,"&gt;0")+SUMIFS(⑬計量工程入力!$J$6:$J$65,⑬計量工程入力!$S$6:$S$65,$J78,⑬計量工程入力!$J$6:$J$65,"&gt;0",⑬計量工程入力!$M$6:$M$65,"&gt;0")-SUMIFS(⑬計量工程入力!$J$6:$J$65,⑬計量工程入力!$S$6:$S$65,$J78,⑬計量工程入力!$J$6:$J$65,"&gt;0",⑬計量工程入力!$I$6:$I$65,"&gt;0",⑬計量工程入力!$M$6:$M$65,"&gt;0")+SUMIFS(⑭手動工程入力!$J$6:$J$47,⑭手動工程入力!$S$6:$S$47,$J78,⑭手動工程入力!$J$6:$J$47,"&gt;0",⑭手動工程入力!$M$6:$M$47,"&gt;0")-SUMIFS(⑭手動工程入力!$J$6:$J$47,⑭手動工程入力!$S$6:$S$47,$J78,⑭手動工程入力!$J$6:$J$47,"&gt;0",⑭手動工程入力!$I$6:$I$47,"&gt;0",⑭手動工程入力!$M$6:$M$47,"&gt;0"))</f>
        <v/>
      </c>
      <c r="P78" s="392" t="n"/>
    </row>
    <row r="79">
      <c r="A79" s="392" t="n">
        <v>75</v>
      </c>
      <c r="B79" s="392" t="n"/>
      <c r="C79" s="392" t="n"/>
      <c r="D79" s="392" t="n"/>
      <c r="E79" s="392" t="n"/>
      <c r="F79" s="394" t="n"/>
      <c r="G79" s="392" t="n"/>
      <c r="H79" s="604">
        <f>IFERROR(IF(AND($K79&gt;0,ISNUMBER(IF(OR($D79="g",$D79="ｇ"),IF($M79&gt;0,$L79/$M79/1000,""),IF($D79="kg",IF($M79&gt;0,$L79/$M79,""),IF($D79="",IF($M79&gt;0,$L79/$M79/1000,IF($O79&gt;0,$N79/$O79,"")),IF($O79&gt;0,$N79/$O79,"")))))),IF(OR($D79="g",$D79="ｇ"),IF($M79&gt;0,$L79/$M79/1000,""),IF($D79="kg",IF($M79&gt;0,$L79/$M79,""),IF($D79="",IF($M79&gt;0,$L79/$M79/1000,IF($O79&gt;0,$N79/$O79,"")),IF($O79&gt;0,$N79/$O79,"")))),IF($F79="",IF(OR($E79="",$E79="⑩盛付梱包工程入力"),"",IF(OR($D79="g",$D79="ｇ"),INDEX(⑰工程労務費一覧!$N$5:$N$11,MATCH($E79,⑰工程労務費一覧!$K$5:$K$11,0))/1000,IF($D79="kg",INDEX(⑰工程労務費一覧!$N$5:$N$11,MATCH($E79,⑰工程労務費一覧!$K$5:$K$11,0)),IF(OR($D79="個",$D79="切",$D79="本",$D79="枚",$D79="尾"),IF($E79="⑬計量工程入力","",INDEX(⑰工程労務費一覧!$P$5:$P$11,MATCH($E79,⑰工程労務費一覧!$K$5:$K$11,0))),IF(AND($D79="",OR($E79="②釜工程入力",$E79="③スチコン工程入力")),INDEX(⑰工程労務費一覧!$N$5:$N$11,MATCH($E79,⑰工程労務費一覧!$K$5:$K$11,0))/1000,""))))),IF(OR($D79="g",$D79="ｇ"),INDEX(⑰工程労務費一覧!$H$5:$H$753,MATCH($F79,⑰工程労務費一覧!$D$5:$D$753,0))/1000,IF($D79="kg",INDEX(⑰工程労務費一覧!$H$5:$H$753,MATCH($F79,⑰工程労務費一覧!$D$5:$D$753,0)),INDEX(⑰工程労務費一覧!$I$5:$I$753,MATCH($F79,⑰工程労務費一覧!$D$5:$D$753,0)))))),"")</f>
        <v/>
      </c>
      <c r="I79" s="392">
        <f>IF($K79&gt;0,IF(ISNUMBER(IF(OR($D79="g",$D79="ｇ"),IF($M79&gt;0,$L79/$M79/1000,""),IF($D79="kg",IF($M79&gt;0,$L79/$M79,""),IF($D79="",IF($M79&gt;0,$L79/$M79/1000,IF($O79&gt;0,$N79/$O79,"")),IF($O79&gt;0,$N79/$O79,""))))),IF($D79="",IF($M79&gt;0,"◎ JAN紐づけ(g扱い)","◎ JAN紐づけ(個扱い)"),"◎ JAN紐づけ"),"△ JAN紐づけ済・実績不足→仮計算"),IF($F79="",IF(ISNUMBER($H79),IF($D79="","⑤ 工程平均で仮計算(g扱い)","⑤ 工程平均で仮計算"),IF($E79="⑩盛付梱包工程入力","⑥ 盛り込み(⑳F列で計上)",IF(AND($E79="⑬計量工程入力",OR($D79="個",$D79="切",$D79="本",$D79="枚",$D79="尾")),"① 未紐づけ(カット個単位は仮単価なし)","① 未紐づけ"))),IF(NOT(ISNUMBER($H79)),"② 工程側に単価なし",IF($D79="","③ 単位未設定(個で計算)","④ OK"))))</f>
        <v/>
      </c>
      <c r="J79" s="399">
        <f>IFERROR(LOOKUP(2,1/((中間品リスト!$F$2:$F$1299=$B79)*(中間品リスト!$E$2:$E$1299&lt;&gt;"-")*(中間品リスト!$E$2:$E$1299&lt;&gt;"")),中間品リスト!$E$2:$E$1299),"")</f>
        <v/>
      </c>
      <c r="K79" s="400">
        <f>IF($J79="",0,COUNTIF(②釜工程入力!$S$5:$S$117,$J79)+COUNTIF(③スチコン工程入力!$S$5:$S$152,$J79)+COUNTIF(⑪ZEN工程入力!$S$6:$S$35,$J79)+COUNTIF(⑫ミキサー工程入力!$S$6:$S$65,$J79)+COUNTIF(⑬計量工程入力!$S$6:$S$65,$J79)+COUNTIF(⑭手動工程入力!$S$6:$S$47,$J79))</f>
        <v/>
      </c>
      <c r="L79" s="393">
        <f>IF($J79="",0,SUMIFS(②釜工程入力!$M$5:$M$117,②釜工程入力!$S$5:$S$117,$J79,②釜工程入力!$I$5:$I$117,"&gt;0")+SUMIFS(③スチコン工程入力!$M$5:$M$152,③スチコン工程入力!$S$5:$S$152,$J79,③スチコン工程入力!$I$5:$I$152,"&gt;0")+SUMIFS(⑪ZEN工程入力!$M$6:$M$35,⑪ZEN工程入力!$S$6:$S$35,$J79,⑪ZEN工程入力!$I$6:$I$35,"&gt;0")+SUMIFS(⑫ミキサー工程入力!$M$6:$M$65,⑫ミキサー工程入力!$S$6:$S$65,$J79,⑫ミキサー工程入力!$I$6:$I$65,"&gt;0")+SUMIFS(⑬計量工程入力!$M$6:$M$65,⑬計量工程入力!$S$6:$S$65,$J79,⑬計量工程入力!$I$6:$I$65,"&gt;0")+SUMIFS(⑭手動工程入力!$M$6:$M$47,⑭手動工程入力!$S$6:$S$47,$J79,⑭手動工程入力!$I$6:$I$47,"&gt;0"))</f>
        <v/>
      </c>
      <c r="M79" s="393">
        <f>IF($J79="",0,SUMIFS(②釜工程入力!$I$5:$I$117,②釜工程入力!$S$5:$S$117,$J79,②釜工程入力!$I$5:$I$117,"&gt;0",②釜工程入力!$M$5:$M$117,"&gt;0")+SUMIFS(③スチコン工程入力!$I$5:$I$152,③スチコン工程入力!$S$5:$S$152,$J79,③スチコン工程入力!$I$5:$I$152,"&gt;0",③スチコン工程入力!$M$5:$M$152,"&gt;0")+SUMIFS(⑪ZEN工程入力!$I$6:$I$35,⑪ZEN工程入力!$S$6:$S$35,$J79,⑪ZEN工程入力!$I$6:$I$35,"&gt;0",⑪ZEN工程入力!$M$6:$M$35,"&gt;0")+SUMIFS(⑫ミキサー工程入力!$I$6:$I$65,⑫ミキサー工程入力!$S$6:$S$65,$J79,⑫ミキサー工程入力!$I$6:$I$65,"&gt;0",⑫ミキサー工程入力!$M$6:$M$65,"&gt;0")+SUMIFS(⑬計量工程入力!$I$6:$I$65,⑬計量工程入力!$S$6:$S$65,$J79,⑬計量工程入力!$I$6:$I$65,"&gt;0",⑬計量工程入力!$M$6:$M$65,"&gt;0")+SUMIFS(⑭手動工程入力!$I$6:$I$47,⑭手動工程入力!$S$6:$S$47,$J79,⑭手動工程入力!$I$6:$I$47,"&gt;0",⑭手動工程入力!$M$6:$M$47,"&gt;0"))</f>
        <v/>
      </c>
      <c r="N79" s="393">
        <f>IF($J79="",0,SUMIFS(②釜工程入力!$M$5:$M$117,②釜工程入力!$S$5:$S$117,$J79,②釜工程入力!$J$5:$J$117,"&gt;0")-SUMIFS(②釜工程入力!$M$5:$M$117,②釜工程入力!$S$5:$S$117,$J79,②釜工程入力!$J$5:$J$117,"&gt;0",②釜工程入力!$I$5:$I$117,"&gt;0")+SUMIFS(③スチコン工程入力!$M$5:$M$152,③スチコン工程入力!$S$5:$S$152,$J79,③スチコン工程入力!$J$5:$J$152,"&gt;0")-SUMIFS(③スチコン工程入力!$M$5:$M$152,③スチコン工程入力!$S$5:$S$152,$J79,③スチコン工程入力!$J$5:$J$152,"&gt;0",③スチコン工程入力!$I$5:$I$152,"&gt;0")+SUMIFS(⑪ZEN工程入力!$M$6:$M$35,⑪ZEN工程入力!$S$6:$S$35,$J79,⑪ZEN工程入力!$J$6:$J$35,"&gt;0")-SUMIFS(⑪ZEN工程入力!$M$6:$M$35,⑪ZEN工程入力!$S$6:$S$35,$J79,⑪ZEN工程入力!$J$6:$J$35,"&gt;0",⑪ZEN工程入力!$I$6:$I$35,"&gt;0")+SUMIFS(⑫ミキサー工程入力!$M$6:$M$65,⑫ミキサー工程入力!$S$6:$S$65,$J79,⑫ミキサー工程入力!$J$6:$J$65,"&gt;0")-SUMIFS(⑫ミキサー工程入力!$M$6:$M$65,⑫ミキサー工程入力!$S$6:$S$65,$J79,⑫ミキサー工程入力!$J$6:$J$65,"&gt;0",⑫ミキサー工程入力!$I$6:$I$65,"&gt;0")+SUMIFS(⑬計量工程入力!$M$6:$M$65,⑬計量工程入力!$S$6:$S$65,$J79,⑬計量工程入力!$J$6:$J$65,"&gt;0")-SUMIFS(⑬計量工程入力!$M$6:$M$65,⑬計量工程入力!$S$6:$S$65,$J79,⑬計量工程入力!$J$6:$J$65,"&gt;0",⑬計量工程入力!$I$6:$I$65,"&gt;0")+SUMIFS(⑭手動工程入力!$M$6:$M$47,⑭手動工程入力!$S$6:$S$47,$J79,⑭手動工程入力!$J$6:$J$47,"&gt;0")-SUMIFS(⑭手動工程入力!$M$6:$M$47,⑭手動工程入力!$S$6:$S$47,$J79,⑭手動工程入力!$J$6:$J$47,"&gt;0",⑭手動工程入力!$I$6:$I$47,"&gt;0"))</f>
        <v/>
      </c>
      <c r="O79" s="393">
        <f>IF($J79="",0,SUMIFS(②釜工程入力!$J$5:$J$117,②釜工程入力!$S$5:$S$117,$J79,②釜工程入力!$J$5:$J$117,"&gt;0",②釜工程入力!$M$5:$M$117,"&gt;0")-SUMIFS(②釜工程入力!$J$5:$J$117,②釜工程入力!$S$5:$S$117,$J79,②釜工程入力!$J$5:$J$117,"&gt;0",②釜工程入力!$I$5:$I$117,"&gt;0",②釜工程入力!$M$5:$M$117,"&gt;0")+SUMIFS(③スチコン工程入力!$J$5:$J$152,③スチコン工程入力!$S$5:$S$152,$J79,③スチコン工程入力!$J$5:$J$152,"&gt;0",③スチコン工程入力!$M$5:$M$152,"&gt;0")-SUMIFS(③スチコン工程入力!$J$5:$J$152,③スチコン工程入力!$S$5:$S$152,$J79,③スチコン工程入力!$J$5:$J$152,"&gt;0",③スチコン工程入力!$I$5:$I$152,"&gt;0",③スチコン工程入力!$M$5:$M$152,"&gt;0")+SUMIFS(⑪ZEN工程入力!$J$6:$J$35,⑪ZEN工程入力!$S$6:$S$35,$J79,⑪ZEN工程入力!$J$6:$J$35,"&gt;0",⑪ZEN工程入力!$M$6:$M$35,"&gt;0")-SUMIFS(⑪ZEN工程入力!$J$6:$J$35,⑪ZEN工程入力!$S$6:$S$35,$J79,⑪ZEN工程入力!$J$6:$J$35,"&gt;0",⑪ZEN工程入力!$I$6:$I$35,"&gt;0",⑪ZEN工程入力!$M$6:$M$35,"&gt;0")+SUMIFS(⑫ミキサー工程入力!$J$6:$J$65,⑫ミキサー工程入力!$S$6:$S$65,$J79,⑫ミキサー工程入力!$J$6:$J$65,"&gt;0",⑫ミキサー工程入力!$M$6:$M$65,"&gt;0")-SUMIFS(⑫ミキサー工程入力!$J$6:$J$65,⑫ミキサー工程入力!$S$6:$S$65,$J79,⑫ミキサー工程入力!$J$6:$J$65,"&gt;0",⑫ミキサー工程入力!$I$6:$I$65,"&gt;0",⑫ミキサー工程入力!$M$6:$M$65,"&gt;0")+SUMIFS(⑬計量工程入力!$J$6:$J$65,⑬計量工程入力!$S$6:$S$65,$J79,⑬計量工程入力!$J$6:$J$65,"&gt;0",⑬計量工程入力!$M$6:$M$65,"&gt;0")-SUMIFS(⑬計量工程入力!$J$6:$J$65,⑬計量工程入力!$S$6:$S$65,$J79,⑬計量工程入力!$J$6:$J$65,"&gt;0",⑬計量工程入力!$I$6:$I$65,"&gt;0",⑬計量工程入力!$M$6:$M$65,"&gt;0")+SUMIFS(⑭手動工程入力!$J$6:$J$47,⑭手動工程入力!$S$6:$S$47,$J79,⑭手動工程入力!$J$6:$J$47,"&gt;0",⑭手動工程入力!$M$6:$M$47,"&gt;0")-SUMIFS(⑭手動工程入力!$J$6:$J$47,⑭手動工程入力!$S$6:$S$47,$J79,⑭手動工程入力!$J$6:$J$47,"&gt;0",⑭手動工程入力!$I$6:$I$47,"&gt;0",⑭手動工程入力!$M$6:$M$47,"&gt;0"))</f>
        <v/>
      </c>
      <c r="P79" s="392" t="n"/>
    </row>
    <row r="80">
      <c r="A80" s="392" t="n">
        <v>76</v>
      </c>
      <c r="B80" s="392" t="n"/>
      <c r="C80" s="392" t="n"/>
      <c r="D80" s="392" t="n"/>
      <c r="E80" s="392" t="n"/>
      <c r="F80" s="394" t="n"/>
      <c r="G80" s="392" t="n"/>
      <c r="H80" s="604">
        <f>IFERROR(IF(AND($K80&gt;0,ISNUMBER(IF(OR($D80="g",$D80="ｇ"),IF($M80&gt;0,$L80/$M80/1000,""),IF($D80="kg",IF($M80&gt;0,$L80/$M80,""),IF($D80="",IF($M80&gt;0,$L80/$M80/1000,IF($O80&gt;0,$N80/$O80,"")),IF($O80&gt;0,$N80/$O80,"")))))),IF(OR($D80="g",$D80="ｇ"),IF($M80&gt;0,$L80/$M80/1000,""),IF($D80="kg",IF($M80&gt;0,$L80/$M80,""),IF($D80="",IF($M80&gt;0,$L80/$M80/1000,IF($O80&gt;0,$N80/$O80,"")),IF($O80&gt;0,$N80/$O80,"")))),IF($F80="",IF(OR($E80="",$E80="⑩盛付梱包工程入力"),"",IF(OR($D80="g",$D80="ｇ"),INDEX(⑰工程労務費一覧!$N$5:$N$11,MATCH($E80,⑰工程労務費一覧!$K$5:$K$11,0))/1000,IF($D80="kg",INDEX(⑰工程労務費一覧!$N$5:$N$11,MATCH($E80,⑰工程労務費一覧!$K$5:$K$11,0)),IF(OR($D80="個",$D80="切",$D80="本",$D80="枚",$D80="尾"),IF($E80="⑬計量工程入力","",INDEX(⑰工程労務費一覧!$P$5:$P$11,MATCH($E80,⑰工程労務費一覧!$K$5:$K$11,0))),IF(AND($D80="",OR($E80="②釜工程入力",$E80="③スチコン工程入力")),INDEX(⑰工程労務費一覧!$N$5:$N$11,MATCH($E80,⑰工程労務費一覧!$K$5:$K$11,0))/1000,""))))),IF(OR($D80="g",$D80="ｇ"),INDEX(⑰工程労務費一覧!$H$5:$H$753,MATCH($F80,⑰工程労務費一覧!$D$5:$D$753,0))/1000,IF($D80="kg",INDEX(⑰工程労務費一覧!$H$5:$H$753,MATCH($F80,⑰工程労務費一覧!$D$5:$D$753,0)),INDEX(⑰工程労務費一覧!$I$5:$I$753,MATCH($F80,⑰工程労務費一覧!$D$5:$D$753,0)))))),"")</f>
        <v/>
      </c>
      <c r="I80" s="392">
        <f>IF($K80&gt;0,IF(ISNUMBER(IF(OR($D80="g",$D80="ｇ"),IF($M80&gt;0,$L80/$M80/1000,""),IF($D80="kg",IF($M80&gt;0,$L80/$M80,""),IF($D80="",IF($M80&gt;0,$L80/$M80/1000,IF($O80&gt;0,$N80/$O80,"")),IF($O80&gt;0,$N80/$O80,""))))),IF($D80="",IF($M80&gt;0,"◎ JAN紐づけ(g扱い)","◎ JAN紐づけ(個扱い)"),"◎ JAN紐づけ"),"△ JAN紐づけ済・実績不足→仮計算"),IF($F80="",IF(ISNUMBER($H80),IF($D80="","⑤ 工程平均で仮計算(g扱い)","⑤ 工程平均で仮計算"),IF($E80="⑩盛付梱包工程入力","⑥ 盛り込み(⑳F列で計上)",IF(AND($E80="⑬計量工程入力",OR($D80="個",$D80="切",$D80="本",$D80="枚",$D80="尾")),"① 未紐づけ(カット個単位は仮単価なし)","① 未紐づけ"))),IF(NOT(ISNUMBER($H80)),"② 工程側に単価なし",IF($D80="","③ 単位未設定(個で計算)","④ OK"))))</f>
        <v/>
      </c>
      <c r="J80" s="399">
        <f>IFERROR(LOOKUP(2,1/((中間品リスト!$F$2:$F$1299=$B80)*(中間品リスト!$E$2:$E$1299&lt;&gt;"-")*(中間品リスト!$E$2:$E$1299&lt;&gt;"")),中間品リスト!$E$2:$E$1299),"")</f>
        <v/>
      </c>
      <c r="K80" s="400">
        <f>IF($J80="",0,COUNTIF(②釜工程入力!$S$5:$S$117,$J80)+COUNTIF(③スチコン工程入力!$S$5:$S$152,$J80)+COUNTIF(⑪ZEN工程入力!$S$6:$S$35,$J80)+COUNTIF(⑫ミキサー工程入力!$S$6:$S$65,$J80)+COUNTIF(⑬計量工程入力!$S$6:$S$65,$J80)+COUNTIF(⑭手動工程入力!$S$6:$S$47,$J80))</f>
        <v/>
      </c>
      <c r="L80" s="393">
        <f>IF($J80="",0,SUMIFS(②釜工程入力!$M$5:$M$117,②釜工程入力!$S$5:$S$117,$J80,②釜工程入力!$I$5:$I$117,"&gt;0")+SUMIFS(③スチコン工程入力!$M$5:$M$152,③スチコン工程入力!$S$5:$S$152,$J80,③スチコン工程入力!$I$5:$I$152,"&gt;0")+SUMIFS(⑪ZEN工程入力!$M$6:$M$35,⑪ZEN工程入力!$S$6:$S$35,$J80,⑪ZEN工程入力!$I$6:$I$35,"&gt;0")+SUMIFS(⑫ミキサー工程入力!$M$6:$M$65,⑫ミキサー工程入力!$S$6:$S$65,$J80,⑫ミキサー工程入力!$I$6:$I$65,"&gt;0")+SUMIFS(⑬計量工程入力!$M$6:$M$65,⑬計量工程入力!$S$6:$S$65,$J80,⑬計量工程入力!$I$6:$I$65,"&gt;0")+SUMIFS(⑭手動工程入力!$M$6:$M$47,⑭手動工程入力!$S$6:$S$47,$J80,⑭手動工程入力!$I$6:$I$47,"&gt;0"))</f>
        <v/>
      </c>
      <c r="M80" s="393">
        <f>IF($J80="",0,SUMIFS(②釜工程入力!$I$5:$I$117,②釜工程入力!$S$5:$S$117,$J80,②釜工程入力!$I$5:$I$117,"&gt;0",②釜工程入力!$M$5:$M$117,"&gt;0")+SUMIFS(③スチコン工程入力!$I$5:$I$152,③スチコン工程入力!$S$5:$S$152,$J80,③スチコン工程入力!$I$5:$I$152,"&gt;0",③スチコン工程入力!$M$5:$M$152,"&gt;0")+SUMIFS(⑪ZEN工程入力!$I$6:$I$35,⑪ZEN工程入力!$S$6:$S$35,$J80,⑪ZEN工程入力!$I$6:$I$35,"&gt;0",⑪ZEN工程入力!$M$6:$M$35,"&gt;0")+SUMIFS(⑫ミキサー工程入力!$I$6:$I$65,⑫ミキサー工程入力!$S$6:$S$65,$J80,⑫ミキサー工程入力!$I$6:$I$65,"&gt;0",⑫ミキサー工程入力!$M$6:$M$65,"&gt;0")+SUMIFS(⑬計量工程入力!$I$6:$I$65,⑬計量工程入力!$S$6:$S$65,$J80,⑬計量工程入力!$I$6:$I$65,"&gt;0",⑬計量工程入力!$M$6:$M$65,"&gt;0")+SUMIFS(⑭手動工程入力!$I$6:$I$47,⑭手動工程入力!$S$6:$S$47,$J80,⑭手動工程入力!$I$6:$I$47,"&gt;0",⑭手動工程入力!$M$6:$M$47,"&gt;0"))</f>
        <v/>
      </c>
      <c r="N80" s="393">
        <f>IF($J80="",0,SUMIFS(②釜工程入力!$M$5:$M$117,②釜工程入力!$S$5:$S$117,$J80,②釜工程入力!$J$5:$J$117,"&gt;0")-SUMIFS(②釜工程入力!$M$5:$M$117,②釜工程入力!$S$5:$S$117,$J80,②釜工程入力!$J$5:$J$117,"&gt;0",②釜工程入力!$I$5:$I$117,"&gt;0")+SUMIFS(③スチコン工程入力!$M$5:$M$152,③スチコン工程入力!$S$5:$S$152,$J80,③スチコン工程入力!$J$5:$J$152,"&gt;0")-SUMIFS(③スチコン工程入力!$M$5:$M$152,③スチコン工程入力!$S$5:$S$152,$J80,③スチコン工程入力!$J$5:$J$152,"&gt;0",③スチコン工程入力!$I$5:$I$152,"&gt;0")+SUMIFS(⑪ZEN工程入力!$M$6:$M$35,⑪ZEN工程入力!$S$6:$S$35,$J80,⑪ZEN工程入力!$J$6:$J$35,"&gt;0")-SUMIFS(⑪ZEN工程入力!$M$6:$M$35,⑪ZEN工程入力!$S$6:$S$35,$J80,⑪ZEN工程入力!$J$6:$J$35,"&gt;0",⑪ZEN工程入力!$I$6:$I$35,"&gt;0")+SUMIFS(⑫ミキサー工程入力!$M$6:$M$65,⑫ミキサー工程入力!$S$6:$S$65,$J80,⑫ミキサー工程入力!$J$6:$J$65,"&gt;0")-SUMIFS(⑫ミキサー工程入力!$M$6:$M$65,⑫ミキサー工程入力!$S$6:$S$65,$J80,⑫ミキサー工程入力!$J$6:$J$65,"&gt;0",⑫ミキサー工程入力!$I$6:$I$65,"&gt;0")+SUMIFS(⑬計量工程入力!$M$6:$M$65,⑬計量工程入力!$S$6:$S$65,$J80,⑬計量工程入力!$J$6:$J$65,"&gt;0")-SUMIFS(⑬計量工程入力!$M$6:$M$65,⑬計量工程入力!$S$6:$S$65,$J80,⑬計量工程入力!$J$6:$J$65,"&gt;0",⑬計量工程入力!$I$6:$I$65,"&gt;0")+SUMIFS(⑭手動工程入力!$M$6:$M$47,⑭手動工程入力!$S$6:$S$47,$J80,⑭手動工程入力!$J$6:$J$47,"&gt;0")-SUMIFS(⑭手動工程入力!$M$6:$M$47,⑭手動工程入力!$S$6:$S$47,$J80,⑭手動工程入力!$J$6:$J$47,"&gt;0",⑭手動工程入力!$I$6:$I$47,"&gt;0"))</f>
        <v/>
      </c>
      <c r="O80" s="393">
        <f>IF($J80="",0,SUMIFS(②釜工程入力!$J$5:$J$117,②釜工程入力!$S$5:$S$117,$J80,②釜工程入力!$J$5:$J$117,"&gt;0",②釜工程入力!$M$5:$M$117,"&gt;0")-SUMIFS(②釜工程入力!$J$5:$J$117,②釜工程入力!$S$5:$S$117,$J80,②釜工程入力!$J$5:$J$117,"&gt;0",②釜工程入力!$I$5:$I$117,"&gt;0",②釜工程入力!$M$5:$M$117,"&gt;0")+SUMIFS(③スチコン工程入力!$J$5:$J$152,③スチコン工程入力!$S$5:$S$152,$J80,③スチコン工程入力!$J$5:$J$152,"&gt;0",③スチコン工程入力!$M$5:$M$152,"&gt;0")-SUMIFS(③スチコン工程入力!$J$5:$J$152,③スチコン工程入力!$S$5:$S$152,$J80,③スチコン工程入力!$J$5:$J$152,"&gt;0",③スチコン工程入力!$I$5:$I$152,"&gt;0",③スチコン工程入力!$M$5:$M$152,"&gt;0")+SUMIFS(⑪ZEN工程入力!$J$6:$J$35,⑪ZEN工程入力!$S$6:$S$35,$J80,⑪ZEN工程入力!$J$6:$J$35,"&gt;0",⑪ZEN工程入力!$M$6:$M$35,"&gt;0")-SUMIFS(⑪ZEN工程入力!$J$6:$J$35,⑪ZEN工程入力!$S$6:$S$35,$J80,⑪ZEN工程入力!$J$6:$J$35,"&gt;0",⑪ZEN工程入力!$I$6:$I$35,"&gt;0",⑪ZEN工程入力!$M$6:$M$35,"&gt;0")+SUMIFS(⑫ミキサー工程入力!$J$6:$J$65,⑫ミキサー工程入力!$S$6:$S$65,$J80,⑫ミキサー工程入力!$J$6:$J$65,"&gt;0",⑫ミキサー工程入力!$M$6:$M$65,"&gt;0")-SUMIFS(⑫ミキサー工程入力!$J$6:$J$65,⑫ミキサー工程入力!$S$6:$S$65,$J80,⑫ミキサー工程入力!$J$6:$J$65,"&gt;0",⑫ミキサー工程入力!$I$6:$I$65,"&gt;0",⑫ミキサー工程入力!$M$6:$M$65,"&gt;0")+SUMIFS(⑬計量工程入力!$J$6:$J$65,⑬計量工程入力!$S$6:$S$65,$J80,⑬計量工程入力!$J$6:$J$65,"&gt;0",⑬計量工程入力!$M$6:$M$65,"&gt;0")-SUMIFS(⑬計量工程入力!$J$6:$J$65,⑬計量工程入力!$S$6:$S$65,$J80,⑬計量工程入力!$J$6:$J$65,"&gt;0",⑬計量工程入力!$I$6:$I$65,"&gt;0",⑬計量工程入力!$M$6:$M$65,"&gt;0")+SUMIFS(⑭手動工程入力!$J$6:$J$47,⑭手動工程入力!$S$6:$S$47,$J80,⑭手動工程入力!$J$6:$J$47,"&gt;0",⑭手動工程入力!$M$6:$M$47,"&gt;0")-SUMIFS(⑭手動工程入力!$J$6:$J$47,⑭手動工程入力!$S$6:$S$47,$J80,⑭手動工程入力!$J$6:$J$47,"&gt;0",⑭手動工程入力!$I$6:$I$47,"&gt;0",⑭手動工程入力!$M$6:$M$47,"&gt;0"))</f>
        <v/>
      </c>
      <c r="P80" s="392" t="n"/>
    </row>
    <row r="81">
      <c r="A81" s="392" t="n">
        <v>77</v>
      </c>
      <c r="B81" s="392" t="n"/>
      <c r="C81" s="392" t="n"/>
      <c r="D81" s="392" t="n"/>
      <c r="E81" s="392" t="n"/>
      <c r="F81" s="394" t="n"/>
      <c r="G81" s="392" t="n"/>
      <c r="H81" s="604">
        <f>IFERROR(IF(AND($K81&gt;0,ISNUMBER(IF(OR($D81="g",$D81="ｇ"),IF($M81&gt;0,$L81/$M81/1000,""),IF($D81="kg",IF($M81&gt;0,$L81/$M81,""),IF($D81="",IF($M81&gt;0,$L81/$M81/1000,IF($O81&gt;0,$N81/$O81,"")),IF($O81&gt;0,$N81/$O81,"")))))),IF(OR($D81="g",$D81="ｇ"),IF($M81&gt;0,$L81/$M81/1000,""),IF($D81="kg",IF($M81&gt;0,$L81/$M81,""),IF($D81="",IF($M81&gt;0,$L81/$M81/1000,IF($O81&gt;0,$N81/$O81,"")),IF($O81&gt;0,$N81/$O81,"")))),IF($F81="",IF(OR($E81="",$E81="⑩盛付梱包工程入力"),"",IF(OR($D81="g",$D81="ｇ"),INDEX(⑰工程労務費一覧!$N$5:$N$11,MATCH($E81,⑰工程労務費一覧!$K$5:$K$11,0))/1000,IF($D81="kg",INDEX(⑰工程労務費一覧!$N$5:$N$11,MATCH($E81,⑰工程労務費一覧!$K$5:$K$11,0)),IF(OR($D81="個",$D81="切",$D81="本",$D81="枚",$D81="尾"),IF($E81="⑬計量工程入力","",INDEX(⑰工程労務費一覧!$P$5:$P$11,MATCH($E81,⑰工程労務費一覧!$K$5:$K$11,0))),IF(AND($D81="",OR($E81="②釜工程入力",$E81="③スチコン工程入力")),INDEX(⑰工程労務費一覧!$N$5:$N$11,MATCH($E81,⑰工程労務費一覧!$K$5:$K$11,0))/1000,""))))),IF(OR($D81="g",$D81="ｇ"),INDEX(⑰工程労務費一覧!$H$5:$H$753,MATCH($F81,⑰工程労務費一覧!$D$5:$D$753,0))/1000,IF($D81="kg",INDEX(⑰工程労務費一覧!$H$5:$H$753,MATCH($F81,⑰工程労務費一覧!$D$5:$D$753,0)),INDEX(⑰工程労務費一覧!$I$5:$I$753,MATCH($F81,⑰工程労務費一覧!$D$5:$D$753,0)))))),"")</f>
        <v/>
      </c>
      <c r="I81" s="392">
        <f>IF($K81&gt;0,IF(ISNUMBER(IF(OR($D81="g",$D81="ｇ"),IF($M81&gt;0,$L81/$M81/1000,""),IF($D81="kg",IF($M81&gt;0,$L81/$M81,""),IF($D81="",IF($M81&gt;0,$L81/$M81/1000,IF($O81&gt;0,$N81/$O81,"")),IF($O81&gt;0,$N81/$O81,""))))),IF($D81="",IF($M81&gt;0,"◎ JAN紐づけ(g扱い)","◎ JAN紐づけ(個扱い)"),"◎ JAN紐づけ"),"△ JAN紐づけ済・実績不足→仮計算"),IF($F81="",IF(ISNUMBER($H81),IF($D81="","⑤ 工程平均で仮計算(g扱い)","⑤ 工程平均で仮計算"),IF($E81="⑩盛付梱包工程入力","⑥ 盛り込み(⑳F列で計上)",IF(AND($E81="⑬計量工程入力",OR($D81="個",$D81="切",$D81="本",$D81="枚",$D81="尾")),"① 未紐づけ(カット個単位は仮単価なし)","① 未紐づけ"))),IF(NOT(ISNUMBER($H81)),"② 工程側に単価なし",IF($D81="","③ 単位未設定(個で計算)","④ OK"))))</f>
        <v/>
      </c>
      <c r="J81" s="399">
        <f>IFERROR(LOOKUP(2,1/((中間品リスト!$F$2:$F$1299=$B81)*(中間品リスト!$E$2:$E$1299&lt;&gt;"-")*(中間品リスト!$E$2:$E$1299&lt;&gt;"")),中間品リスト!$E$2:$E$1299),"")</f>
        <v/>
      </c>
      <c r="K81" s="400">
        <f>IF($J81="",0,COUNTIF(②釜工程入力!$S$5:$S$117,$J81)+COUNTIF(③スチコン工程入力!$S$5:$S$152,$J81)+COUNTIF(⑪ZEN工程入力!$S$6:$S$35,$J81)+COUNTIF(⑫ミキサー工程入力!$S$6:$S$65,$J81)+COUNTIF(⑬計量工程入力!$S$6:$S$65,$J81)+COUNTIF(⑭手動工程入力!$S$6:$S$47,$J81))</f>
        <v/>
      </c>
      <c r="L81" s="393">
        <f>IF($J81="",0,SUMIFS(②釜工程入力!$M$5:$M$117,②釜工程入力!$S$5:$S$117,$J81,②釜工程入力!$I$5:$I$117,"&gt;0")+SUMIFS(③スチコン工程入力!$M$5:$M$152,③スチコン工程入力!$S$5:$S$152,$J81,③スチコン工程入力!$I$5:$I$152,"&gt;0")+SUMIFS(⑪ZEN工程入力!$M$6:$M$35,⑪ZEN工程入力!$S$6:$S$35,$J81,⑪ZEN工程入力!$I$6:$I$35,"&gt;0")+SUMIFS(⑫ミキサー工程入力!$M$6:$M$65,⑫ミキサー工程入力!$S$6:$S$65,$J81,⑫ミキサー工程入力!$I$6:$I$65,"&gt;0")+SUMIFS(⑬計量工程入力!$M$6:$M$65,⑬計量工程入力!$S$6:$S$65,$J81,⑬計量工程入力!$I$6:$I$65,"&gt;0")+SUMIFS(⑭手動工程入力!$M$6:$M$47,⑭手動工程入力!$S$6:$S$47,$J81,⑭手動工程入力!$I$6:$I$47,"&gt;0"))</f>
        <v/>
      </c>
      <c r="M81" s="393">
        <f>IF($J81="",0,SUMIFS(②釜工程入力!$I$5:$I$117,②釜工程入力!$S$5:$S$117,$J81,②釜工程入力!$I$5:$I$117,"&gt;0",②釜工程入力!$M$5:$M$117,"&gt;0")+SUMIFS(③スチコン工程入力!$I$5:$I$152,③スチコン工程入力!$S$5:$S$152,$J81,③スチコン工程入力!$I$5:$I$152,"&gt;0",③スチコン工程入力!$M$5:$M$152,"&gt;0")+SUMIFS(⑪ZEN工程入力!$I$6:$I$35,⑪ZEN工程入力!$S$6:$S$35,$J81,⑪ZEN工程入力!$I$6:$I$35,"&gt;0",⑪ZEN工程入力!$M$6:$M$35,"&gt;0")+SUMIFS(⑫ミキサー工程入力!$I$6:$I$65,⑫ミキサー工程入力!$S$6:$S$65,$J81,⑫ミキサー工程入力!$I$6:$I$65,"&gt;0",⑫ミキサー工程入力!$M$6:$M$65,"&gt;0")+SUMIFS(⑬計量工程入力!$I$6:$I$65,⑬計量工程入力!$S$6:$S$65,$J81,⑬計量工程入力!$I$6:$I$65,"&gt;0",⑬計量工程入力!$M$6:$M$65,"&gt;0")+SUMIFS(⑭手動工程入力!$I$6:$I$47,⑭手動工程入力!$S$6:$S$47,$J81,⑭手動工程入力!$I$6:$I$47,"&gt;0",⑭手動工程入力!$M$6:$M$47,"&gt;0"))</f>
        <v/>
      </c>
      <c r="N81" s="393">
        <f>IF($J81="",0,SUMIFS(②釜工程入力!$M$5:$M$117,②釜工程入力!$S$5:$S$117,$J81,②釜工程入力!$J$5:$J$117,"&gt;0")-SUMIFS(②釜工程入力!$M$5:$M$117,②釜工程入力!$S$5:$S$117,$J81,②釜工程入力!$J$5:$J$117,"&gt;0",②釜工程入力!$I$5:$I$117,"&gt;0")+SUMIFS(③スチコン工程入力!$M$5:$M$152,③スチコン工程入力!$S$5:$S$152,$J81,③スチコン工程入力!$J$5:$J$152,"&gt;0")-SUMIFS(③スチコン工程入力!$M$5:$M$152,③スチコン工程入力!$S$5:$S$152,$J81,③スチコン工程入力!$J$5:$J$152,"&gt;0",③スチコン工程入力!$I$5:$I$152,"&gt;0")+SUMIFS(⑪ZEN工程入力!$M$6:$M$35,⑪ZEN工程入力!$S$6:$S$35,$J81,⑪ZEN工程入力!$J$6:$J$35,"&gt;0")-SUMIFS(⑪ZEN工程入力!$M$6:$M$35,⑪ZEN工程入力!$S$6:$S$35,$J81,⑪ZEN工程入力!$J$6:$J$35,"&gt;0",⑪ZEN工程入力!$I$6:$I$35,"&gt;0")+SUMIFS(⑫ミキサー工程入力!$M$6:$M$65,⑫ミキサー工程入力!$S$6:$S$65,$J81,⑫ミキサー工程入力!$J$6:$J$65,"&gt;0")-SUMIFS(⑫ミキサー工程入力!$M$6:$M$65,⑫ミキサー工程入力!$S$6:$S$65,$J81,⑫ミキサー工程入力!$J$6:$J$65,"&gt;0",⑫ミキサー工程入力!$I$6:$I$65,"&gt;0")+SUMIFS(⑬計量工程入力!$M$6:$M$65,⑬計量工程入力!$S$6:$S$65,$J81,⑬計量工程入力!$J$6:$J$65,"&gt;0")-SUMIFS(⑬計量工程入力!$M$6:$M$65,⑬計量工程入力!$S$6:$S$65,$J81,⑬計量工程入力!$J$6:$J$65,"&gt;0",⑬計量工程入力!$I$6:$I$65,"&gt;0")+SUMIFS(⑭手動工程入力!$M$6:$M$47,⑭手動工程入力!$S$6:$S$47,$J81,⑭手動工程入力!$J$6:$J$47,"&gt;0")-SUMIFS(⑭手動工程入力!$M$6:$M$47,⑭手動工程入力!$S$6:$S$47,$J81,⑭手動工程入力!$J$6:$J$47,"&gt;0",⑭手動工程入力!$I$6:$I$47,"&gt;0"))</f>
        <v/>
      </c>
      <c r="O81" s="393">
        <f>IF($J81="",0,SUMIFS(②釜工程入力!$J$5:$J$117,②釜工程入力!$S$5:$S$117,$J81,②釜工程入力!$J$5:$J$117,"&gt;0",②釜工程入力!$M$5:$M$117,"&gt;0")-SUMIFS(②釜工程入力!$J$5:$J$117,②釜工程入力!$S$5:$S$117,$J81,②釜工程入力!$J$5:$J$117,"&gt;0",②釜工程入力!$I$5:$I$117,"&gt;0",②釜工程入力!$M$5:$M$117,"&gt;0")+SUMIFS(③スチコン工程入力!$J$5:$J$152,③スチコン工程入力!$S$5:$S$152,$J81,③スチコン工程入力!$J$5:$J$152,"&gt;0",③スチコン工程入力!$M$5:$M$152,"&gt;0")-SUMIFS(③スチコン工程入力!$J$5:$J$152,③スチコン工程入力!$S$5:$S$152,$J81,③スチコン工程入力!$J$5:$J$152,"&gt;0",③スチコン工程入力!$I$5:$I$152,"&gt;0",③スチコン工程入力!$M$5:$M$152,"&gt;0")+SUMIFS(⑪ZEN工程入力!$J$6:$J$35,⑪ZEN工程入力!$S$6:$S$35,$J81,⑪ZEN工程入力!$J$6:$J$35,"&gt;0",⑪ZEN工程入力!$M$6:$M$35,"&gt;0")-SUMIFS(⑪ZEN工程入力!$J$6:$J$35,⑪ZEN工程入力!$S$6:$S$35,$J81,⑪ZEN工程入力!$J$6:$J$35,"&gt;0",⑪ZEN工程入力!$I$6:$I$35,"&gt;0",⑪ZEN工程入力!$M$6:$M$35,"&gt;0")+SUMIFS(⑫ミキサー工程入力!$J$6:$J$65,⑫ミキサー工程入力!$S$6:$S$65,$J81,⑫ミキサー工程入力!$J$6:$J$65,"&gt;0",⑫ミキサー工程入力!$M$6:$M$65,"&gt;0")-SUMIFS(⑫ミキサー工程入力!$J$6:$J$65,⑫ミキサー工程入力!$S$6:$S$65,$J81,⑫ミキサー工程入力!$J$6:$J$65,"&gt;0",⑫ミキサー工程入力!$I$6:$I$65,"&gt;0",⑫ミキサー工程入力!$M$6:$M$65,"&gt;0")+SUMIFS(⑬計量工程入力!$J$6:$J$65,⑬計量工程入力!$S$6:$S$65,$J81,⑬計量工程入力!$J$6:$J$65,"&gt;0",⑬計量工程入力!$M$6:$M$65,"&gt;0")-SUMIFS(⑬計量工程入力!$J$6:$J$65,⑬計量工程入力!$S$6:$S$65,$J81,⑬計量工程入力!$J$6:$J$65,"&gt;0",⑬計量工程入力!$I$6:$I$65,"&gt;0",⑬計量工程入力!$M$6:$M$65,"&gt;0")+SUMIFS(⑭手動工程入力!$J$6:$J$47,⑭手動工程入力!$S$6:$S$47,$J81,⑭手動工程入力!$J$6:$J$47,"&gt;0",⑭手動工程入力!$M$6:$M$47,"&gt;0")-SUMIFS(⑭手動工程入力!$J$6:$J$47,⑭手動工程入力!$S$6:$S$47,$J81,⑭手動工程入力!$J$6:$J$47,"&gt;0",⑭手動工程入力!$I$6:$I$47,"&gt;0",⑭手動工程入力!$M$6:$M$47,"&gt;0"))</f>
        <v/>
      </c>
      <c r="P81" s="392" t="n"/>
    </row>
    <row r="82">
      <c r="A82" s="392" t="n">
        <v>78</v>
      </c>
      <c r="B82" s="392" t="n"/>
      <c r="C82" s="392" t="n"/>
      <c r="D82" s="392" t="n"/>
      <c r="E82" s="392" t="n"/>
      <c r="F82" s="394" t="n"/>
      <c r="G82" s="392" t="n"/>
      <c r="H82" s="604">
        <f>IFERROR(IF(AND($K82&gt;0,ISNUMBER(IF(OR($D82="g",$D82="ｇ"),IF($M82&gt;0,$L82/$M82/1000,""),IF($D82="kg",IF($M82&gt;0,$L82/$M82,""),IF($D82="",IF($M82&gt;0,$L82/$M82/1000,IF($O82&gt;0,$N82/$O82,"")),IF($O82&gt;0,$N82/$O82,"")))))),IF(OR($D82="g",$D82="ｇ"),IF($M82&gt;0,$L82/$M82/1000,""),IF($D82="kg",IF($M82&gt;0,$L82/$M82,""),IF($D82="",IF($M82&gt;0,$L82/$M82/1000,IF($O82&gt;0,$N82/$O82,"")),IF($O82&gt;0,$N82/$O82,"")))),IF($F82="",IF(OR($E82="",$E82="⑩盛付梱包工程入力"),"",IF(OR($D82="g",$D82="ｇ"),INDEX(⑰工程労務費一覧!$N$5:$N$11,MATCH($E82,⑰工程労務費一覧!$K$5:$K$11,0))/1000,IF($D82="kg",INDEX(⑰工程労務費一覧!$N$5:$N$11,MATCH($E82,⑰工程労務費一覧!$K$5:$K$11,0)),IF(OR($D82="個",$D82="切",$D82="本",$D82="枚",$D82="尾"),IF($E82="⑬計量工程入力","",INDEX(⑰工程労務費一覧!$P$5:$P$11,MATCH($E82,⑰工程労務費一覧!$K$5:$K$11,0))),IF(AND($D82="",OR($E82="②釜工程入力",$E82="③スチコン工程入力")),INDEX(⑰工程労務費一覧!$N$5:$N$11,MATCH($E82,⑰工程労務費一覧!$K$5:$K$11,0))/1000,""))))),IF(OR($D82="g",$D82="ｇ"),INDEX(⑰工程労務費一覧!$H$5:$H$753,MATCH($F82,⑰工程労務費一覧!$D$5:$D$753,0))/1000,IF($D82="kg",INDEX(⑰工程労務費一覧!$H$5:$H$753,MATCH($F82,⑰工程労務費一覧!$D$5:$D$753,0)),INDEX(⑰工程労務費一覧!$I$5:$I$753,MATCH($F82,⑰工程労務費一覧!$D$5:$D$753,0)))))),"")</f>
        <v/>
      </c>
      <c r="I82" s="392">
        <f>IF($K82&gt;0,IF(ISNUMBER(IF(OR($D82="g",$D82="ｇ"),IF($M82&gt;0,$L82/$M82/1000,""),IF($D82="kg",IF($M82&gt;0,$L82/$M82,""),IF($D82="",IF($M82&gt;0,$L82/$M82/1000,IF($O82&gt;0,$N82/$O82,"")),IF($O82&gt;0,$N82/$O82,""))))),IF($D82="",IF($M82&gt;0,"◎ JAN紐づけ(g扱い)","◎ JAN紐づけ(個扱い)"),"◎ JAN紐づけ"),"△ JAN紐づけ済・実績不足→仮計算"),IF($F82="",IF(ISNUMBER($H82),IF($D82="","⑤ 工程平均で仮計算(g扱い)","⑤ 工程平均で仮計算"),IF($E82="⑩盛付梱包工程入力","⑥ 盛り込み(⑳F列で計上)",IF(AND($E82="⑬計量工程入力",OR($D82="個",$D82="切",$D82="本",$D82="枚",$D82="尾")),"① 未紐づけ(カット個単位は仮単価なし)","① 未紐づけ"))),IF(NOT(ISNUMBER($H82)),"② 工程側に単価なし",IF($D82="","③ 単位未設定(個で計算)","④ OK"))))</f>
        <v/>
      </c>
      <c r="J82" s="399">
        <f>IFERROR(LOOKUP(2,1/((中間品リスト!$F$2:$F$1299=$B82)*(中間品リスト!$E$2:$E$1299&lt;&gt;"-")*(中間品リスト!$E$2:$E$1299&lt;&gt;"")),中間品リスト!$E$2:$E$1299),"")</f>
        <v/>
      </c>
      <c r="K82" s="400">
        <f>IF($J82="",0,COUNTIF(②釜工程入力!$S$5:$S$117,$J82)+COUNTIF(③スチコン工程入力!$S$5:$S$152,$J82)+COUNTIF(⑪ZEN工程入力!$S$6:$S$35,$J82)+COUNTIF(⑫ミキサー工程入力!$S$6:$S$65,$J82)+COUNTIF(⑬計量工程入力!$S$6:$S$65,$J82)+COUNTIF(⑭手動工程入力!$S$6:$S$47,$J82))</f>
        <v/>
      </c>
      <c r="L82" s="393">
        <f>IF($J82="",0,SUMIFS(②釜工程入力!$M$5:$M$117,②釜工程入力!$S$5:$S$117,$J82,②釜工程入力!$I$5:$I$117,"&gt;0")+SUMIFS(③スチコン工程入力!$M$5:$M$152,③スチコン工程入力!$S$5:$S$152,$J82,③スチコン工程入力!$I$5:$I$152,"&gt;0")+SUMIFS(⑪ZEN工程入力!$M$6:$M$35,⑪ZEN工程入力!$S$6:$S$35,$J82,⑪ZEN工程入力!$I$6:$I$35,"&gt;0")+SUMIFS(⑫ミキサー工程入力!$M$6:$M$65,⑫ミキサー工程入力!$S$6:$S$65,$J82,⑫ミキサー工程入力!$I$6:$I$65,"&gt;0")+SUMIFS(⑬計量工程入力!$M$6:$M$65,⑬計量工程入力!$S$6:$S$65,$J82,⑬計量工程入力!$I$6:$I$65,"&gt;0")+SUMIFS(⑭手動工程入力!$M$6:$M$47,⑭手動工程入力!$S$6:$S$47,$J82,⑭手動工程入力!$I$6:$I$47,"&gt;0"))</f>
        <v/>
      </c>
      <c r="M82" s="393">
        <f>IF($J82="",0,SUMIFS(②釜工程入力!$I$5:$I$117,②釜工程入力!$S$5:$S$117,$J82,②釜工程入力!$I$5:$I$117,"&gt;0",②釜工程入力!$M$5:$M$117,"&gt;0")+SUMIFS(③スチコン工程入力!$I$5:$I$152,③スチコン工程入力!$S$5:$S$152,$J82,③スチコン工程入力!$I$5:$I$152,"&gt;0",③スチコン工程入力!$M$5:$M$152,"&gt;0")+SUMIFS(⑪ZEN工程入力!$I$6:$I$35,⑪ZEN工程入力!$S$6:$S$35,$J82,⑪ZEN工程入力!$I$6:$I$35,"&gt;0",⑪ZEN工程入力!$M$6:$M$35,"&gt;0")+SUMIFS(⑫ミキサー工程入力!$I$6:$I$65,⑫ミキサー工程入力!$S$6:$S$65,$J82,⑫ミキサー工程入力!$I$6:$I$65,"&gt;0",⑫ミキサー工程入力!$M$6:$M$65,"&gt;0")+SUMIFS(⑬計量工程入力!$I$6:$I$65,⑬計量工程入力!$S$6:$S$65,$J82,⑬計量工程入力!$I$6:$I$65,"&gt;0",⑬計量工程入力!$M$6:$M$65,"&gt;0")+SUMIFS(⑭手動工程入力!$I$6:$I$47,⑭手動工程入力!$S$6:$S$47,$J82,⑭手動工程入力!$I$6:$I$47,"&gt;0",⑭手動工程入力!$M$6:$M$47,"&gt;0"))</f>
        <v/>
      </c>
      <c r="N82" s="393">
        <f>IF($J82="",0,SUMIFS(②釜工程入力!$M$5:$M$117,②釜工程入力!$S$5:$S$117,$J82,②釜工程入力!$J$5:$J$117,"&gt;0")-SUMIFS(②釜工程入力!$M$5:$M$117,②釜工程入力!$S$5:$S$117,$J82,②釜工程入力!$J$5:$J$117,"&gt;0",②釜工程入力!$I$5:$I$117,"&gt;0")+SUMIFS(③スチコン工程入力!$M$5:$M$152,③スチコン工程入力!$S$5:$S$152,$J82,③スチコン工程入力!$J$5:$J$152,"&gt;0")-SUMIFS(③スチコン工程入力!$M$5:$M$152,③スチコン工程入力!$S$5:$S$152,$J82,③スチコン工程入力!$J$5:$J$152,"&gt;0",③スチコン工程入力!$I$5:$I$152,"&gt;0")+SUMIFS(⑪ZEN工程入力!$M$6:$M$35,⑪ZEN工程入力!$S$6:$S$35,$J82,⑪ZEN工程入力!$J$6:$J$35,"&gt;0")-SUMIFS(⑪ZEN工程入力!$M$6:$M$35,⑪ZEN工程入力!$S$6:$S$35,$J82,⑪ZEN工程入力!$J$6:$J$35,"&gt;0",⑪ZEN工程入力!$I$6:$I$35,"&gt;0")+SUMIFS(⑫ミキサー工程入力!$M$6:$M$65,⑫ミキサー工程入力!$S$6:$S$65,$J82,⑫ミキサー工程入力!$J$6:$J$65,"&gt;0")-SUMIFS(⑫ミキサー工程入力!$M$6:$M$65,⑫ミキサー工程入力!$S$6:$S$65,$J82,⑫ミキサー工程入力!$J$6:$J$65,"&gt;0",⑫ミキサー工程入力!$I$6:$I$65,"&gt;0")+SUMIFS(⑬計量工程入力!$M$6:$M$65,⑬計量工程入力!$S$6:$S$65,$J82,⑬計量工程入力!$J$6:$J$65,"&gt;0")-SUMIFS(⑬計量工程入力!$M$6:$M$65,⑬計量工程入力!$S$6:$S$65,$J82,⑬計量工程入力!$J$6:$J$65,"&gt;0",⑬計量工程入力!$I$6:$I$65,"&gt;0")+SUMIFS(⑭手動工程入力!$M$6:$M$47,⑭手動工程入力!$S$6:$S$47,$J82,⑭手動工程入力!$J$6:$J$47,"&gt;0")-SUMIFS(⑭手動工程入力!$M$6:$M$47,⑭手動工程入力!$S$6:$S$47,$J82,⑭手動工程入力!$J$6:$J$47,"&gt;0",⑭手動工程入力!$I$6:$I$47,"&gt;0"))</f>
        <v/>
      </c>
      <c r="O82" s="393">
        <f>IF($J82="",0,SUMIFS(②釜工程入力!$J$5:$J$117,②釜工程入力!$S$5:$S$117,$J82,②釜工程入力!$J$5:$J$117,"&gt;0",②釜工程入力!$M$5:$M$117,"&gt;0")-SUMIFS(②釜工程入力!$J$5:$J$117,②釜工程入力!$S$5:$S$117,$J82,②釜工程入力!$J$5:$J$117,"&gt;0",②釜工程入力!$I$5:$I$117,"&gt;0",②釜工程入力!$M$5:$M$117,"&gt;0")+SUMIFS(③スチコン工程入力!$J$5:$J$152,③スチコン工程入力!$S$5:$S$152,$J82,③スチコン工程入力!$J$5:$J$152,"&gt;0",③スチコン工程入力!$M$5:$M$152,"&gt;0")-SUMIFS(③スチコン工程入力!$J$5:$J$152,③スチコン工程入力!$S$5:$S$152,$J82,③スチコン工程入力!$J$5:$J$152,"&gt;0",③スチコン工程入力!$I$5:$I$152,"&gt;0",③スチコン工程入力!$M$5:$M$152,"&gt;0")+SUMIFS(⑪ZEN工程入力!$J$6:$J$35,⑪ZEN工程入力!$S$6:$S$35,$J82,⑪ZEN工程入力!$J$6:$J$35,"&gt;0",⑪ZEN工程入力!$M$6:$M$35,"&gt;0")-SUMIFS(⑪ZEN工程入力!$J$6:$J$35,⑪ZEN工程入力!$S$6:$S$35,$J82,⑪ZEN工程入力!$J$6:$J$35,"&gt;0",⑪ZEN工程入力!$I$6:$I$35,"&gt;0",⑪ZEN工程入力!$M$6:$M$35,"&gt;0")+SUMIFS(⑫ミキサー工程入力!$J$6:$J$65,⑫ミキサー工程入力!$S$6:$S$65,$J82,⑫ミキサー工程入力!$J$6:$J$65,"&gt;0",⑫ミキサー工程入力!$M$6:$M$65,"&gt;0")-SUMIFS(⑫ミキサー工程入力!$J$6:$J$65,⑫ミキサー工程入力!$S$6:$S$65,$J82,⑫ミキサー工程入力!$J$6:$J$65,"&gt;0",⑫ミキサー工程入力!$I$6:$I$65,"&gt;0",⑫ミキサー工程入力!$M$6:$M$65,"&gt;0")+SUMIFS(⑬計量工程入力!$J$6:$J$65,⑬計量工程入力!$S$6:$S$65,$J82,⑬計量工程入力!$J$6:$J$65,"&gt;0",⑬計量工程入力!$M$6:$M$65,"&gt;0")-SUMIFS(⑬計量工程入力!$J$6:$J$65,⑬計量工程入力!$S$6:$S$65,$J82,⑬計量工程入力!$J$6:$J$65,"&gt;0",⑬計量工程入力!$I$6:$I$65,"&gt;0",⑬計量工程入力!$M$6:$M$65,"&gt;0")+SUMIFS(⑭手動工程入力!$J$6:$J$47,⑭手動工程入力!$S$6:$S$47,$J82,⑭手動工程入力!$J$6:$J$47,"&gt;0",⑭手動工程入力!$M$6:$M$47,"&gt;0")-SUMIFS(⑭手動工程入力!$J$6:$J$47,⑭手動工程入力!$S$6:$S$47,$J82,⑭手動工程入力!$J$6:$J$47,"&gt;0",⑭手動工程入力!$I$6:$I$47,"&gt;0",⑭手動工程入力!$M$6:$M$47,"&gt;0"))</f>
        <v/>
      </c>
      <c r="P82" s="392" t="n"/>
    </row>
    <row r="83">
      <c r="A83" s="392" t="n">
        <v>79</v>
      </c>
      <c r="B83" s="392" t="n"/>
      <c r="C83" s="392" t="n"/>
      <c r="D83" s="392" t="n"/>
      <c r="E83" s="392" t="n"/>
      <c r="F83" s="394" t="n"/>
      <c r="G83" s="392" t="n"/>
      <c r="H83" s="604">
        <f>IFERROR(IF(AND($K83&gt;0,ISNUMBER(IF(OR($D83="g",$D83="ｇ"),IF($M83&gt;0,$L83/$M83/1000,""),IF($D83="kg",IF($M83&gt;0,$L83/$M83,""),IF($D83="",IF($M83&gt;0,$L83/$M83/1000,IF($O83&gt;0,$N83/$O83,"")),IF($O83&gt;0,$N83/$O83,"")))))),IF(OR($D83="g",$D83="ｇ"),IF($M83&gt;0,$L83/$M83/1000,""),IF($D83="kg",IF($M83&gt;0,$L83/$M83,""),IF($D83="",IF($M83&gt;0,$L83/$M83/1000,IF($O83&gt;0,$N83/$O83,"")),IF($O83&gt;0,$N83/$O83,"")))),IF($F83="",IF(OR($E83="",$E83="⑩盛付梱包工程入力"),"",IF(OR($D83="g",$D83="ｇ"),INDEX(⑰工程労務費一覧!$N$5:$N$11,MATCH($E83,⑰工程労務費一覧!$K$5:$K$11,0))/1000,IF($D83="kg",INDEX(⑰工程労務費一覧!$N$5:$N$11,MATCH($E83,⑰工程労務費一覧!$K$5:$K$11,0)),IF(OR($D83="個",$D83="切",$D83="本",$D83="枚",$D83="尾"),IF($E83="⑬計量工程入力","",INDEX(⑰工程労務費一覧!$P$5:$P$11,MATCH($E83,⑰工程労務費一覧!$K$5:$K$11,0))),IF(AND($D83="",OR($E83="②釜工程入力",$E83="③スチコン工程入力")),INDEX(⑰工程労務費一覧!$N$5:$N$11,MATCH($E83,⑰工程労務費一覧!$K$5:$K$11,0))/1000,""))))),IF(OR($D83="g",$D83="ｇ"),INDEX(⑰工程労務費一覧!$H$5:$H$753,MATCH($F83,⑰工程労務費一覧!$D$5:$D$753,0))/1000,IF($D83="kg",INDEX(⑰工程労務費一覧!$H$5:$H$753,MATCH($F83,⑰工程労務費一覧!$D$5:$D$753,0)),INDEX(⑰工程労務費一覧!$I$5:$I$753,MATCH($F83,⑰工程労務費一覧!$D$5:$D$753,0)))))),"")</f>
        <v/>
      </c>
      <c r="I83" s="392">
        <f>IF($K83&gt;0,IF(ISNUMBER(IF(OR($D83="g",$D83="ｇ"),IF($M83&gt;0,$L83/$M83/1000,""),IF($D83="kg",IF($M83&gt;0,$L83/$M83,""),IF($D83="",IF($M83&gt;0,$L83/$M83/1000,IF($O83&gt;0,$N83/$O83,"")),IF($O83&gt;0,$N83/$O83,""))))),IF($D83="",IF($M83&gt;0,"◎ JAN紐づけ(g扱い)","◎ JAN紐づけ(個扱い)"),"◎ JAN紐づけ"),"△ JAN紐づけ済・実績不足→仮計算"),IF($F83="",IF(ISNUMBER($H83),IF($D83="","⑤ 工程平均で仮計算(g扱い)","⑤ 工程平均で仮計算"),IF($E83="⑩盛付梱包工程入力","⑥ 盛り込み(⑳F列で計上)",IF(AND($E83="⑬計量工程入力",OR($D83="個",$D83="切",$D83="本",$D83="枚",$D83="尾")),"① 未紐づけ(カット個単位は仮単価なし)","① 未紐づけ"))),IF(NOT(ISNUMBER($H83)),"② 工程側に単価なし",IF($D83="","③ 単位未設定(個で計算)","④ OK"))))</f>
        <v/>
      </c>
      <c r="J83" s="399">
        <f>IFERROR(LOOKUP(2,1/((中間品リスト!$F$2:$F$1299=$B83)*(中間品リスト!$E$2:$E$1299&lt;&gt;"-")*(中間品リスト!$E$2:$E$1299&lt;&gt;"")),中間品リスト!$E$2:$E$1299),"")</f>
        <v/>
      </c>
      <c r="K83" s="400">
        <f>IF($J83="",0,COUNTIF(②釜工程入力!$S$5:$S$117,$J83)+COUNTIF(③スチコン工程入力!$S$5:$S$152,$J83)+COUNTIF(⑪ZEN工程入力!$S$6:$S$35,$J83)+COUNTIF(⑫ミキサー工程入力!$S$6:$S$65,$J83)+COUNTIF(⑬計量工程入力!$S$6:$S$65,$J83)+COUNTIF(⑭手動工程入力!$S$6:$S$47,$J83))</f>
        <v/>
      </c>
      <c r="L83" s="393">
        <f>IF($J83="",0,SUMIFS(②釜工程入力!$M$5:$M$117,②釜工程入力!$S$5:$S$117,$J83,②釜工程入力!$I$5:$I$117,"&gt;0")+SUMIFS(③スチコン工程入力!$M$5:$M$152,③スチコン工程入力!$S$5:$S$152,$J83,③スチコン工程入力!$I$5:$I$152,"&gt;0")+SUMIFS(⑪ZEN工程入力!$M$6:$M$35,⑪ZEN工程入力!$S$6:$S$35,$J83,⑪ZEN工程入力!$I$6:$I$35,"&gt;0")+SUMIFS(⑫ミキサー工程入力!$M$6:$M$65,⑫ミキサー工程入力!$S$6:$S$65,$J83,⑫ミキサー工程入力!$I$6:$I$65,"&gt;0")+SUMIFS(⑬計量工程入力!$M$6:$M$65,⑬計量工程入力!$S$6:$S$65,$J83,⑬計量工程入力!$I$6:$I$65,"&gt;0")+SUMIFS(⑭手動工程入力!$M$6:$M$47,⑭手動工程入力!$S$6:$S$47,$J83,⑭手動工程入力!$I$6:$I$47,"&gt;0"))</f>
        <v/>
      </c>
      <c r="M83" s="393">
        <f>IF($J83="",0,SUMIFS(②釜工程入力!$I$5:$I$117,②釜工程入力!$S$5:$S$117,$J83,②釜工程入力!$I$5:$I$117,"&gt;0",②釜工程入力!$M$5:$M$117,"&gt;0")+SUMIFS(③スチコン工程入力!$I$5:$I$152,③スチコン工程入力!$S$5:$S$152,$J83,③スチコン工程入力!$I$5:$I$152,"&gt;0",③スチコン工程入力!$M$5:$M$152,"&gt;0")+SUMIFS(⑪ZEN工程入力!$I$6:$I$35,⑪ZEN工程入力!$S$6:$S$35,$J83,⑪ZEN工程入力!$I$6:$I$35,"&gt;0",⑪ZEN工程入力!$M$6:$M$35,"&gt;0")+SUMIFS(⑫ミキサー工程入力!$I$6:$I$65,⑫ミキサー工程入力!$S$6:$S$65,$J83,⑫ミキサー工程入力!$I$6:$I$65,"&gt;0",⑫ミキサー工程入力!$M$6:$M$65,"&gt;0")+SUMIFS(⑬計量工程入力!$I$6:$I$65,⑬計量工程入力!$S$6:$S$65,$J83,⑬計量工程入力!$I$6:$I$65,"&gt;0",⑬計量工程入力!$M$6:$M$65,"&gt;0")+SUMIFS(⑭手動工程入力!$I$6:$I$47,⑭手動工程入力!$S$6:$S$47,$J83,⑭手動工程入力!$I$6:$I$47,"&gt;0",⑭手動工程入力!$M$6:$M$47,"&gt;0"))</f>
        <v/>
      </c>
      <c r="N83" s="393">
        <f>IF($J83="",0,SUMIFS(②釜工程入力!$M$5:$M$117,②釜工程入力!$S$5:$S$117,$J83,②釜工程入力!$J$5:$J$117,"&gt;0")-SUMIFS(②釜工程入力!$M$5:$M$117,②釜工程入力!$S$5:$S$117,$J83,②釜工程入力!$J$5:$J$117,"&gt;0",②釜工程入力!$I$5:$I$117,"&gt;0")+SUMIFS(③スチコン工程入力!$M$5:$M$152,③スチコン工程入力!$S$5:$S$152,$J83,③スチコン工程入力!$J$5:$J$152,"&gt;0")-SUMIFS(③スチコン工程入力!$M$5:$M$152,③スチコン工程入力!$S$5:$S$152,$J83,③スチコン工程入力!$J$5:$J$152,"&gt;0",③スチコン工程入力!$I$5:$I$152,"&gt;0")+SUMIFS(⑪ZEN工程入力!$M$6:$M$35,⑪ZEN工程入力!$S$6:$S$35,$J83,⑪ZEN工程入力!$J$6:$J$35,"&gt;0")-SUMIFS(⑪ZEN工程入力!$M$6:$M$35,⑪ZEN工程入力!$S$6:$S$35,$J83,⑪ZEN工程入力!$J$6:$J$35,"&gt;0",⑪ZEN工程入力!$I$6:$I$35,"&gt;0")+SUMIFS(⑫ミキサー工程入力!$M$6:$M$65,⑫ミキサー工程入力!$S$6:$S$65,$J83,⑫ミキサー工程入力!$J$6:$J$65,"&gt;0")-SUMIFS(⑫ミキサー工程入力!$M$6:$M$65,⑫ミキサー工程入力!$S$6:$S$65,$J83,⑫ミキサー工程入力!$J$6:$J$65,"&gt;0",⑫ミキサー工程入力!$I$6:$I$65,"&gt;0")+SUMIFS(⑬計量工程入力!$M$6:$M$65,⑬計量工程入力!$S$6:$S$65,$J83,⑬計量工程入力!$J$6:$J$65,"&gt;0")-SUMIFS(⑬計量工程入力!$M$6:$M$65,⑬計量工程入力!$S$6:$S$65,$J83,⑬計量工程入力!$J$6:$J$65,"&gt;0",⑬計量工程入力!$I$6:$I$65,"&gt;0")+SUMIFS(⑭手動工程入力!$M$6:$M$47,⑭手動工程入力!$S$6:$S$47,$J83,⑭手動工程入力!$J$6:$J$47,"&gt;0")-SUMIFS(⑭手動工程入力!$M$6:$M$47,⑭手動工程入力!$S$6:$S$47,$J83,⑭手動工程入力!$J$6:$J$47,"&gt;0",⑭手動工程入力!$I$6:$I$47,"&gt;0"))</f>
        <v/>
      </c>
      <c r="O83" s="393">
        <f>IF($J83="",0,SUMIFS(②釜工程入力!$J$5:$J$117,②釜工程入力!$S$5:$S$117,$J83,②釜工程入力!$J$5:$J$117,"&gt;0",②釜工程入力!$M$5:$M$117,"&gt;0")-SUMIFS(②釜工程入力!$J$5:$J$117,②釜工程入力!$S$5:$S$117,$J83,②釜工程入力!$J$5:$J$117,"&gt;0",②釜工程入力!$I$5:$I$117,"&gt;0",②釜工程入力!$M$5:$M$117,"&gt;0")+SUMIFS(③スチコン工程入力!$J$5:$J$152,③スチコン工程入力!$S$5:$S$152,$J83,③スチコン工程入力!$J$5:$J$152,"&gt;0",③スチコン工程入力!$M$5:$M$152,"&gt;0")-SUMIFS(③スチコン工程入力!$J$5:$J$152,③スチコン工程入力!$S$5:$S$152,$J83,③スチコン工程入力!$J$5:$J$152,"&gt;0",③スチコン工程入力!$I$5:$I$152,"&gt;0",③スチコン工程入力!$M$5:$M$152,"&gt;0")+SUMIFS(⑪ZEN工程入力!$J$6:$J$35,⑪ZEN工程入力!$S$6:$S$35,$J83,⑪ZEN工程入力!$J$6:$J$35,"&gt;0",⑪ZEN工程入力!$M$6:$M$35,"&gt;0")-SUMIFS(⑪ZEN工程入力!$J$6:$J$35,⑪ZEN工程入力!$S$6:$S$35,$J83,⑪ZEN工程入力!$J$6:$J$35,"&gt;0",⑪ZEN工程入力!$I$6:$I$35,"&gt;0",⑪ZEN工程入力!$M$6:$M$35,"&gt;0")+SUMIFS(⑫ミキサー工程入力!$J$6:$J$65,⑫ミキサー工程入力!$S$6:$S$65,$J83,⑫ミキサー工程入力!$J$6:$J$65,"&gt;0",⑫ミキサー工程入力!$M$6:$M$65,"&gt;0")-SUMIFS(⑫ミキサー工程入力!$J$6:$J$65,⑫ミキサー工程入力!$S$6:$S$65,$J83,⑫ミキサー工程入力!$J$6:$J$65,"&gt;0",⑫ミキサー工程入力!$I$6:$I$65,"&gt;0",⑫ミキサー工程入力!$M$6:$M$65,"&gt;0")+SUMIFS(⑬計量工程入力!$J$6:$J$65,⑬計量工程入力!$S$6:$S$65,$J83,⑬計量工程入力!$J$6:$J$65,"&gt;0",⑬計量工程入力!$M$6:$M$65,"&gt;0")-SUMIFS(⑬計量工程入力!$J$6:$J$65,⑬計量工程入力!$S$6:$S$65,$J83,⑬計量工程入力!$J$6:$J$65,"&gt;0",⑬計量工程入力!$I$6:$I$65,"&gt;0",⑬計量工程入力!$M$6:$M$65,"&gt;0")+SUMIFS(⑭手動工程入力!$J$6:$J$47,⑭手動工程入力!$S$6:$S$47,$J83,⑭手動工程入力!$J$6:$J$47,"&gt;0",⑭手動工程入力!$M$6:$M$47,"&gt;0")-SUMIFS(⑭手動工程入力!$J$6:$J$47,⑭手動工程入力!$S$6:$S$47,$J83,⑭手動工程入力!$J$6:$J$47,"&gt;0",⑭手動工程入力!$I$6:$I$47,"&gt;0",⑭手動工程入力!$M$6:$M$47,"&gt;0"))</f>
        <v/>
      </c>
      <c r="P83" s="392" t="n"/>
    </row>
    <row r="84">
      <c r="A84" s="392" t="n">
        <v>80</v>
      </c>
      <c r="B84" s="392" t="n"/>
      <c r="C84" s="392" t="n"/>
      <c r="D84" s="392" t="n"/>
      <c r="E84" s="392" t="n"/>
      <c r="F84" s="394" t="n"/>
      <c r="G84" s="392" t="n"/>
      <c r="H84" s="604">
        <f>IFERROR(IF(AND($K84&gt;0,ISNUMBER(IF(OR($D84="g",$D84="ｇ"),IF($M84&gt;0,$L84/$M84/1000,""),IF($D84="kg",IF($M84&gt;0,$L84/$M84,""),IF($D84="",IF($M84&gt;0,$L84/$M84/1000,IF($O84&gt;0,$N84/$O84,"")),IF($O84&gt;0,$N84/$O84,"")))))),IF(OR($D84="g",$D84="ｇ"),IF($M84&gt;0,$L84/$M84/1000,""),IF($D84="kg",IF($M84&gt;0,$L84/$M84,""),IF($D84="",IF($M84&gt;0,$L84/$M84/1000,IF($O84&gt;0,$N84/$O84,"")),IF($O84&gt;0,$N84/$O84,"")))),IF($F84="",IF(OR($E84="",$E84="⑩盛付梱包工程入力"),"",IF(OR($D84="g",$D84="ｇ"),INDEX(⑰工程労務費一覧!$N$5:$N$11,MATCH($E84,⑰工程労務費一覧!$K$5:$K$11,0))/1000,IF($D84="kg",INDEX(⑰工程労務費一覧!$N$5:$N$11,MATCH($E84,⑰工程労務費一覧!$K$5:$K$11,0)),IF(OR($D84="個",$D84="切",$D84="本",$D84="枚",$D84="尾"),IF($E84="⑬計量工程入力","",INDEX(⑰工程労務費一覧!$P$5:$P$11,MATCH($E84,⑰工程労務費一覧!$K$5:$K$11,0))),IF(AND($D84="",OR($E84="②釜工程入力",$E84="③スチコン工程入力")),INDEX(⑰工程労務費一覧!$N$5:$N$11,MATCH($E84,⑰工程労務費一覧!$K$5:$K$11,0))/1000,""))))),IF(OR($D84="g",$D84="ｇ"),INDEX(⑰工程労務費一覧!$H$5:$H$753,MATCH($F84,⑰工程労務費一覧!$D$5:$D$753,0))/1000,IF($D84="kg",INDEX(⑰工程労務費一覧!$H$5:$H$753,MATCH($F84,⑰工程労務費一覧!$D$5:$D$753,0)),INDEX(⑰工程労務費一覧!$I$5:$I$753,MATCH($F84,⑰工程労務費一覧!$D$5:$D$753,0)))))),"")</f>
        <v/>
      </c>
      <c r="I84" s="392">
        <f>IF($K84&gt;0,IF(ISNUMBER(IF(OR($D84="g",$D84="ｇ"),IF($M84&gt;0,$L84/$M84/1000,""),IF($D84="kg",IF($M84&gt;0,$L84/$M84,""),IF($D84="",IF($M84&gt;0,$L84/$M84/1000,IF($O84&gt;0,$N84/$O84,"")),IF($O84&gt;0,$N84/$O84,""))))),IF($D84="",IF($M84&gt;0,"◎ JAN紐づけ(g扱い)","◎ JAN紐づけ(個扱い)"),"◎ JAN紐づけ"),"△ JAN紐づけ済・実績不足→仮計算"),IF($F84="",IF(ISNUMBER($H84),IF($D84="","⑤ 工程平均で仮計算(g扱い)","⑤ 工程平均で仮計算"),IF($E84="⑩盛付梱包工程入力","⑥ 盛り込み(⑳F列で計上)",IF(AND($E84="⑬計量工程入力",OR($D84="個",$D84="切",$D84="本",$D84="枚",$D84="尾")),"① 未紐づけ(カット個単位は仮単価なし)","① 未紐づけ"))),IF(NOT(ISNUMBER($H84)),"② 工程側に単価なし",IF($D84="","③ 単位未設定(個で計算)","④ OK"))))</f>
        <v/>
      </c>
      <c r="J84" s="399">
        <f>IFERROR(LOOKUP(2,1/((中間品リスト!$F$2:$F$1299=$B84)*(中間品リスト!$E$2:$E$1299&lt;&gt;"-")*(中間品リスト!$E$2:$E$1299&lt;&gt;"")),中間品リスト!$E$2:$E$1299),"")</f>
        <v/>
      </c>
      <c r="K84" s="400">
        <f>IF($J84="",0,COUNTIF(②釜工程入力!$S$5:$S$117,$J84)+COUNTIF(③スチコン工程入力!$S$5:$S$152,$J84)+COUNTIF(⑪ZEN工程入力!$S$6:$S$35,$J84)+COUNTIF(⑫ミキサー工程入力!$S$6:$S$65,$J84)+COUNTIF(⑬計量工程入力!$S$6:$S$65,$J84)+COUNTIF(⑭手動工程入力!$S$6:$S$47,$J84))</f>
        <v/>
      </c>
      <c r="L84" s="393">
        <f>IF($J84="",0,SUMIFS(②釜工程入力!$M$5:$M$117,②釜工程入力!$S$5:$S$117,$J84,②釜工程入力!$I$5:$I$117,"&gt;0")+SUMIFS(③スチコン工程入力!$M$5:$M$152,③スチコン工程入力!$S$5:$S$152,$J84,③スチコン工程入力!$I$5:$I$152,"&gt;0")+SUMIFS(⑪ZEN工程入力!$M$6:$M$35,⑪ZEN工程入力!$S$6:$S$35,$J84,⑪ZEN工程入力!$I$6:$I$35,"&gt;0")+SUMIFS(⑫ミキサー工程入力!$M$6:$M$65,⑫ミキサー工程入力!$S$6:$S$65,$J84,⑫ミキサー工程入力!$I$6:$I$65,"&gt;0")+SUMIFS(⑬計量工程入力!$M$6:$M$65,⑬計量工程入力!$S$6:$S$65,$J84,⑬計量工程入力!$I$6:$I$65,"&gt;0")+SUMIFS(⑭手動工程入力!$M$6:$M$47,⑭手動工程入力!$S$6:$S$47,$J84,⑭手動工程入力!$I$6:$I$47,"&gt;0"))</f>
        <v/>
      </c>
      <c r="M84" s="393">
        <f>IF($J84="",0,SUMIFS(②釜工程入力!$I$5:$I$117,②釜工程入力!$S$5:$S$117,$J84,②釜工程入力!$I$5:$I$117,"&gt;0",②釜工程入力!$M$5:$M$117,"&gt;0")+SUMIFS(③スチコン工程入力!$I$5:$I$152,③スチコン工程入力!$S$5:$S$152,$J84,③スチコン工程入力!$I$5:$I$152,"&gt;0",③スチコン工程入力!$M$5:$M$152,"&gt;0")+SUMIFS(⑪ZEN工程入力!$I$6:$I$35,⑪ZEN工程入力!$S$6:$S$35,$J84,⑪ZEN工程入力!$I$6:$I$35,"&gt;0",⑪ZEN工程入力!$M$6:$M$35,"&gt;0")+SUMIFS(⑫ミキサー工程入力!$I$6:$I$65,⑫ミキサー工程入力!$S$6:$S$65,$J84,⑫ミキサー工程入力!$I$6:$I$65,"&gt;0",⑫ミキサー工程入力!$M$6:$M$65,"&gt;0")+SUMIFS(⑬計量工程入力!$I$6:$I$65,⑬計量工程入力!$S$6:$S$65,$J84,⑬計量工程入力!$I$6:$I$65,"&gt;0",⑬計量工程入力!$M$6:$M$65,"&gt;0")+SUMIFS(⑭手動工程入力!$I$6:$I$47,⑭手動工程入力!$S$6:$S$47,$J84,⑭手動工程入力!$I$6:$I$47,"&gt;0",⑭手動工程入力!$M$6:$M$47,"&gt;0"))</f>
        <v/>
      </c>
      <c r="N84" s="393">
        <f>IF($J84="",0,SUMIFS(②釜工程入力!$M$5:$M$117,②釜工程入力!$S$5:$S$117,$J84,②釜工程入力!$J$5:$J$117,"&gt;0")-SUMIFS(②釜工程入力!$M$5:$M$117,②釜工程入力!$S$5:$S$117,$J84,②釜工程入力!$J$5:$J$117,"&gt;0",②釜工程入力!$I$5:$I$117,"&gt;0")+SUMIFS(③スチコン工程入力!$M$5:$M$152,③スチコン工程入力!$S$5:$S$152,$J84,③スチコン工程入力!$J$5:$J$152,"&gt;0")-SUMIFS(③スチコン工程入力!$M$5:$M$152,③スチコン工程入力!$S$5:$S$152,$J84,③スチコン工程入力!$J$5:$J$152,"&gt;0",③スチコン工程入力!$I$5:$I$152,"&gt;0")+SUMIFS(⑪ZEN工程入力!$M$6:$M$35,⑪ZEN工程入力!$S$6:$S$35,$J84,⑪ZEN工程入力!$J$6:$J$35,"&gt;0")-SUMIFS(⑪ZEN工程入力!$M$6:$M$35,⑪ZEN工程入力!$S$6:$S$35,$J84,⑪ZEN工程入力!$J$6:$J$35,"&gt;0",⑪ZEN工程入力!$I$6:$I$35,"&gt;0")+SUMIFS(⑫ミキサー工程入力!$M$6:$M$65,⑫ミキサー工程入力!$S$6:$S$65,$J84,⑫ミキサー工程入力!$J$6:$J$65,"&gt;0")-SUMIFS(⑫ミキサー工程入力!$M$6:$M$65,⑫ミキサー工程入力!$S$6:$S$65,$J84,⑫ミキサー工程入力!$J$6:$J$65,"&gt;0",⑫ミキサー工程入力!$I$6:$I$65,"&gt;0")+SUMIFS(⑬計量工程入力!$M$6:$M$65,⑬計量工程入力!$S$6:$S$65,$J84,⑬計量工程入力!$J$6:$J$65,"&gt;0")-SUMIFS(⑬計量工程入力!$M$6:$M$65,⑬計量工程入力!$S$6:$S$65,$J84,⑬計量工程入力!$J$6:$J$65,"&gt;0",⑬計量工程入力!$I$6:$I$65,"&gt;0")+SUMIFS(⑭手動工程入力!$M$6:$M$47,⑭手動工程入力!$S$6:$S$47,$J84,⑭手動工程入力!$J$6:$J$47,"&gt;0")-SUMIFS(⑭手動工程入力!$M$6:$M$47,⑭手動工程入力!$S$6:$S$47,$J84,⑭手動工程入力!$J$6:$J$47,"&gt;0",⑭手動工程入力!$I$6:$I$47,"&gt;0"))</f>
        <v/>
      </c>
      <c r="O84" s="393">
        <f>IF($J84="",0,SUMIFS(②釜工程入力!$J$5:$J$117,②釜工程入力!$S$5:$S$117,$J84,②釜工程入力!$J$5:$J$117,"&gt;0",②釜工程入力!$M$5:$M$117,"&gt;0")-SUMIFS(②釜工程入力!$J$5:$J$117,②釜工程入力!$S$5:$S$117,$J84,②釜工程入力!$J$5:$J$117,"&gt;0",②釜工程入力!$I$5:$I$117,"&gt;0",②釜工程入力!$M$5:$M$117,"&gt;0")+SUMIFS(③スチコン工程入力!$J$5:$J$152,③スチコン工程入力!$S$5:$S$152,$J84,③スチコン工程入力!$J$5:$J$152,"&gt;0",③スチコン工程入力!$M$5:$M$152,"&gt;0")-SUMIFS(③スチコン工程入力!$J$5:$J$152,③スチコン工程入力!$S$5:$S$152,$J84,③スチコン工程入力!$J$5:$J$152,"&gt;0",③スチコン工程入力!$I$5:$I$152,"&gt;0",③スチコン工程入力!$M$5:$M$152,"&gt;0")+SUMIFS(⑪ZEN工程入力!$J$6:$J$35,⑪ZEN工程入力!$S$6:$S$35,$J84,⑪ZEN工程入力!$J$6:$J$35,"&gt;0",⑪ZEN工程入力!$M$6:$M$35,"&gt;0")-SUMIFS(⑪ZEN工程入力!$J$6:$J$35,⑪ZEN工程入力!$S$6:$S$35,$J84,⑪ZEN工程入力!$J$6:$J$35,"&gt;0",⑪ZEN工程入力!$I$6:$I$35,"&gt;0",⑪ZEN工程入力!$M$6:$M$35,"&gt;0")+SUMIFS(⑫ミキサー工程入力!$J$6:$J$65,⑫ミキサー工程入力!$S$6:$S$65,$J84,⑫ミキサー工程入力!$J$6:$J$65,"&gt;0",⑫ミキサー工程入力!$M$6:$M$65,"&gt;0")-SUMIFS(⑫ミキサー工程入力!$J$6:$J$65,⑫ミキサー工程入力!$S$6:$S$65,$J84,⑫ミキサー工程入力!$J$6:$J$65,"&gt;0",⑫ミキサー工程入力!$I$6:$I$65,"&gt;0",⑫ミキサー工程入力!$M$6:$M$65,"&gt;0")+SUMIFS(⑬計量工程入力!$J$6:$J$65,⑬計量工程入力!$S$6:$S$65,$J84,⑬計量工程入力!$J$6:$J$65,"&gt;0",⑬計量工程入力!$M$6:$M$65,"&gt;0")-SUMIFS(⑬計量工程入力!$J$6:$J$65,⑬計量工程入力!$S$6:$S$65,$J84,⑬計量工程入力!$J$6:$J$65,"&gt;0",⑬計量工程入力!$I$6:$I$65,"&gt;0",⑬計量工程入力!$M$6:$M$65,"&gt;0")+SUMIFS(⑭手動工程入力!$J$6:$J$47,⑭手動工程入力!$S$6:$S$47,$J84,⑭手動工程入力!$J$6:$J$47,"&gt;0",⑭手動工程入力!$M$6:$M$47,"&gt;0")-SUMIFS(⑭手動工程入力!$J$6:$J$47,⑭手動工程入力!$S$6:$S$47,$J84,⑭手動工程入力!$J$6:$J$47,"&gt;0",⑭手動工程入力!$I$6:$I$47,"&gt;0",⑭手動工程入力!$M$6:$M$47,"&gt;0"))</f>
        <v/>
      </c>
      <c r="P84" s="392" t="n"/>
    </row>
    <row r="85">
      <c r="A85" s="392" t="n">
        <v>81</v>
      </c>
      <c r="B85" s="392" t="n"/>
      <c r="C85" s="392" t="n"/>
      <c r="D85" s="392" t="n"/>
      <c r="E85" s="392" t="n"/>
      <c r="F85" s="394" t="n"/>
      <c r="G85" s="392" t="n"/>
      <c r="H85" s="604">
        <f>IFERROR(IF(AND($K85&gt;0,ISNUMBER(IF(OR($D85="g",$D85="ｇ"),IF($M85&gt;0,$L85/$M85/1000,""),IF($D85="kg",IF($M85&gt;0,$L85/$M85,""),IF($D85="",IF($M85&gt;0,$L85/$M85/1000,IF($O85&gt;0,$N85/$O85,"")),IF($O85&gt;0,$N85/$O85,"")))))),IF(OR($D85="g",$D85="ｇ"),IF($M85&gt;0,$L85/$M85/1000,""),IF($D85="kg",IF($M85&gt;0,$L85/$M85,""),IF($D85="",IF($M85&gt;0,$L85/$M85/1000,IF($O85&gt;0,$N85/$O85,"")),IF($O85&gt;0,$N85/$O85,"")))),IF($F85="",IF(OR($E85="",$E85="⑩盛付梱包工程入力"),"",IF(OR($D85="g",$D85="ｇ"),INDEX(⑰工程労務費一覧!$N$5:$N$11,MATCH($E85,⑰工程労務費一覧!$K$5:$K$11,0))/1000,IF($D85="kg",INDEX(⑰工程労務費一覧!$N$5:$N$11,MATCH($E85,⑰工程労務費一覧!$K$5:$K$11,0)),IF(OR($D85="個",$D85="切",$D85="本",$D85="枚",$D85="尾"),IF($E85="⑬計量工程入力","",INDEX(⑰工程労務費一覧!$P$5:$P$11,MATCH($E85,⑰工程労務費一覧!$K$5:$K$11,0))),IF(AND($D85="",OR($E85="②釜工程入力",$E85="③スチコン工程入力")),INDEX(⑰工程労務費一覧!$N$5:$N$11,MATCH($E85,⑰工程労務費一覧!$K$5:$K$11,0))/1000,""))))),IF(OR($D85="g",$D85="ｇ"),INDEX(⑰工程労務費一覧!$H$5:$H$753,MATCH($F85,⑰工程労務費一覧!$D$5:$D$753,0))/1000,IF($D85="kg",INDEX(⑰工程労務費一覧!$H$5:$H$753,MATCH($F85,⑰工程労務費一覧!$D$5:$D$753,0)),INDEX(⑰工程労務費一覧!$I$5:$I$753,MATCH($F85,⑰工程労務費一覧!$D$5:$D$753,0)))))),"")</f>
        <v/>
      </c>
      <c r="I85" s="392">
        <f>IF($K85&gt;0,IF(ISNUMBER(IF(OR($D85="g",$D85="ｇ"),IF($M85&gt;0,$L85/$M85/1000,""),IF($D85="kg",IF($M85&gt;0,$L85/$M85,""),IF($D85="",IF($M85&gt;0,$L85/$M85/1000,IF($O85&gt;0,$N85/$O85,"")),IF($O85&gt;0,$N85/$O85,""))))),IF($D85="",IF($M85&gt;0,"◎ JAN紐づけ(g扱い)","◎ JAN紐づけ(個扱い)"),"◎ JAN紐づけ"),"△ JAN紐づけ済・実績不足→仮計算"),IF($F85="",IF(ISNUMBER($H85),IF($D85="","⑤ 工程平均で仮計算(g扱い)","⑤ 工程平均で仮計算"),IF($E85="⑩盛付梱包工程入力","⑥ 盛り込み(⑳F列で計上)",IF(AND($E85="⑬計量工程入力",OR($D85="個",$D85="切",$D85="本",$D85="枚",$D85="尾")),"① 未紐づけ(カット個単位は仮単価なし)","① 未紐づけ"))),IF(NOT(ISNUMBER($H85)),"② 工程側に単価なし",IF($D85="","③ 単位未設定(個で計算)","④ OK"))))</f>
        <v/>
      </c>
      <c r="J85" s="399">
        <f>IFERROR(LOOKUP(2,1/((中間品リスト!$F$2:$F$1299=$B85)*(中間品リスト!$E$2:$E$1299&lt;&gt;"-")*(中間品リスト!$E$2:$E$1299&lt;&gt;"")),中間品リスト!$E$2:$E$1299),"")</f>
        <v/>
      </c>
      <c r="K85" s="400">
        <f>IF($J85="",0,COUNTIF(②釜工程入力!$S$5:$S$117,$J85)+COUNTIF(③スチコン工程入力!$S$5:$S$152,$J85)+COUNTIF(⑪ZEN工程入力!$S$6:$S$35,$J85)+COUNTIF(⑫ミキサー工程入力!$S$6:$S$65,$J85)+COUNTIF(⑬計量工程入力!$S$6:$S$65,$J85)+COUNTIF(⑭手動工程入力!$S$6:$S$47,$J85))</f>
        <v/>
      </c>
      <c r="L85" s="393">
        <f>IF($J85="",0,SUMIFS(②釜工程入力!$M$5:$M$117,②釜工程入力!$S$5:$S$117,$J85,②釜工程入力!$I$5:$I$117,"&gt;0")+SUMIFS(③スチコン工程入力!$M$5:$M$152,③スチコン工程入力!$S$5:$S$152,$J85,③スチコン工程入力!$I$5:$I$152,"&gt;0")+SUMIFS(⑪ZEN工程入力!$M$6:$M$35,⑪ZEN工程入力!$S$6:$S$35,$J85,⑪ZEN工程入力!$I$6:$I$35,"&gt;0")+SUMIFS(⑫ミキサー工程入力!$M$6:$M$65,⑫ミキサー工程入力!$S$6:$S$65,$J85,⑫ミキサー工程入力!$I$6:$I$65,"&gt;0")+SUMIFS(⑬計量工程入力!$M$6:$M$65,⑬計量工程入力!$S$6:$S$65,$J85,⑬計量工程入力!$I$6:$I$65,"&gt;0")+SUMIFS(⑭手動工程入力!$M$6:$M$47,⑭手動工程入力!$S$6:$S$47,$J85,⑭手動工程入力!$I$6:$I$47,"&gt;0"))</f>
        <v/>
      </c>
      <c r="M85" s="393">
        <f>IF($J85="",0,SUMIFS(②釜工程入力!$I$5:$I$117,②釜工程入力!$S$5:$S$117,$J85,②釜工程入力!$I$5:$I$117,"&gt;0",②釜工程入力!$M$5:$M$117,"&gt;0")+SUMIFS(③スチコン工程入力!$I$5:$I$152,③スチコン工程入力!$S$5:$S$152,$J85,③スチコン工程入力!$I$5:$I$152,"&gt;0",③スチコン工程入力!$M$5:$M$152,"&gt;0")+SUMIFS(⑪ZEN工程入力!$I$6:$I$35,⑪ZEN工程入力!$S$6:$S$35,$J85,⑪ZEN工程入力!$I$6:$I$35,"&gt;0",⑪ZEN工程入力!$M$6:$M$35,"&gt;0")+SUMIFS(⑫ミキサー工程入力!$I$6:$I$65,⑫ミキサー工程入力!$S$6:$S$65,$J85,⑫ミキサー工程入力!$I$6:$I$65,"&gt;0",⑫ミキサー工程入力!$M$6:$M$65,"&gt;0")+SUMIFS(⑬計量工程入力!$I$6:$I$65,⑬計量工程入力!$S$6:$S$65,$J85,⑬計量工程入力!$I$6:$I$65,"&gt;0",⑬計量工程入力!$M$6:$M$65,"&gt;0")+SUMIFS(⑭手動工程入力!$I$6:$I$47,⑭手動工程入力!$S$6:$S$47,$J85,⑭手動工程入力!$I$6:$I$47,"&gt;0",⑭手動工程入力!$M$6:$M$47,"&gt;0"))</f>
        <v/>
      </c>
      <c r="N85" s="393">
        <f>IF($J85="",0,SUMIFS(②釜工程入力!$M$5:$M$117,②釜工程入力!$S$5:$S$117,$J85,②釜工程入力!$J$5:$J$117,"&gt;0")-SUMIFS(②釜工程入力!$M$5:$M$117,②釜工程入力!$S$5:$S$117,$J85,②釜工程入力!$J$5:$J$117,"&gt;0",②釜工程入力!$I$5:$I$117,"&gt;0")+SUMIFS(③スチコン工程入力!$M$5:$M$152,③スチコン工程入力!$S$5:$S$152,$J85,③スチコン工程入力!$J$5:$J$152,"&gt;0")-SUMIFS(③スチコン工程入力!$M$5:$M$152,③スチコン工程入力!$S$5:$S$152,$J85,③スチコン工程入力!$J$5:$J$152,"&gt;0",③スチコン工程入力!$I$5:$I$152,"&gt;0")+SUMIFS(⑪ZEN工程入力!$M$6:$M$35,⑪ZEN工程入力!$S$6:$S$35,$J85,⑪ZEN工程入力!$J$6:$J$35,"&gt;0")-SUMIFS(⑪ZEN工程入力!$M$6:$M$35,⑪ZEN工程入力!$S$6:$S$35,$J85,⑪ZEN工程入力!$J$6:$J$35,"&gt;0",⑪ZEN工程入力!$I$6:$I$35,"&gt;0")+SUMIFS(⑫ミキサー工程入力!$M$6:$M$65,⑫ミキサー工程入力!$S$6:$S$65,$J85,⑫ミキサー工程入力!$J$6:$J$65,"&gt;0")-SUMIFS(⑫ミキサー工程入力!$M$6:$M$65,⑫ミキサー工程入力!$S$6:$S$65,$J85,⑫ミキサー工程入力!$J$6:$J$65,"&gt;0",⑫ミキサー工程入力!$I$6:$I$65,"&gt;0")+SUMIFS(⑬計量工程入力!$M$6:$M$65,⑬計量工程入力!$S$6:$S$65,$J85,⑬計量工程入力!$J$6:$J$65,"&gt;0")-SUMIFS(⑬計量工程入力!$M$6:$M$65,⑬計量工程入力!$S$6:$S$65,$J85,⑬計量工程入力!$J$6:$J$65,"&gt;0",⑬計量工程入力!$I$6:$I$65,"&gt;0")+SUMIFS(⑭手動工程入力!$M$6:$M$47,⑭手動工程入力!$S$6:$S$47,$J85,⑭手動工程入力!$J$6:$J$47,"&gt;0")-SUMIFS(⑭手動工程入力!$M$6:$M$47,⑭手動工程入力!$S$6:$S$47,$J85,⑭手動工程入力!$J$6:$J$47,"&gt;0",⑭手動工程入力!$I$6:$I$47,"&gt;0"))</f>
        <v/>
      </c>
      <c r="O85" s="393">
        <f>IF($J85="",0,SUMIFS(②釜工程入力!$J$5:$J$117,②釜工程入力!$S$5:$S$117,$J85,②釜工程入力!$J$5:$J$117,"&gt;0",②釜工程入力!$M$5:$M$117,"&gt;0")-SUMIFS(②釜工程入力!$J$5:$J$117,②釜工程入力!$S$5:$S$117,$J85,②釜工程入力!$J$5:$J$117,"&gt;0",②釜工程入力!$I$5:$I$117,"&gt;0",②釜工程入力!$M$5:$M$117,"&gt;0")+SUMIFS(③スチコン工程入力!$J$5:$J$152,③スチコン工程入力!$S$5:$S$152,$J85,③スチコン工程入力!$J$5:$J$152,"&gt;0",③スチコン工程入力!$M$5:$M$152,"&gt;0")-SUMIFS(③スチコン工程入力!$J$5:$J$152,③スチコン工程入力!$S$5:$S$152,$J85,③スチコン工程入力!$J$5:$J$152,"&gt;0",③スチコン工程入力!$I$5:$I$152,"&gt;0",③スチコン工程入力!$M$5:$M$152,"&gt;0")+SUMIFS(⑪ZEN工程入力!$J$6:$J$35,⑪ZEN工程入力!$S$6:$S$35,$J85,⑪ZEN工程入力!$J$6:$J$35,"&gt;0",⑪ZEN工程入力!$M$6:$M$35,"&gt;0")-SUMIFS(⑪ZEN工程入力!$J$6:$J$35,⑪ZEN工程入力!$S$6:$S$35,$J85,⑪ZEN工程入力!$J$6:$J$35,"&gt;0",⑪ZEN工程入力!$I$6:$I$35,"&gt;0",⑪ZEN工程入力!$M$6:$M$35,"&gt;0")+SUMIFS(⑫ミキサー工程入力!$J$6:$J$65,⑫ミキサー工程入力!$S$6:$S$65,$J85,⑫ミキサー工程入力!$J$6:$J$65,"&gt;0",⑫ミキサー工程入力!$M$6:$M$65,"&gt;0")-SUMIFS(⑫ミキサー工程入力!$J$6:$J$65,⑫ミキサー工程入力!$S$6:$S$65,$J85,⑫ミキサー工程入力!$J$6:$J$65,"&gt;0",⑫ミキサー工程入力!$I$6:$I$65,"&gt;0",⑫ミキサー工程入力!$M$6:$M$65,"&gt;0")+SUMIFS(⑬計量工程入力!$J$6:$J$65,⑬計量工程入力!$S$6:$S$65,$J85,⑬計量工程入力!$J$6:$J$65,"&gt;0",⑬計量工程入力!$M$6:$M$65,"&gt;0")-SUMIFS(⑬計量工程入力!$J$6:$J$65,⑬計量工程入力!$S$6:$S$65,$J85,⑬計量工程入力!$J$6:$J$65,"&gt;0",⑬計量工程入力!$I$6:$I$65,"&gt;0",⑬計量工程入力!$M$6:$M$65,"&gt;0")+SUMIFS(⑭手動工程入力!$J$6:$J$47,⑭手動工程入力!$S$6:$S$47,$J85,⑭手動工程入力!$J$6:$J$47,"&gt;0",⑭手動工程入力!$M$6:$M$47,"&gt;0")-SUMIFS(⑭手動工程入力!$J$6:$J$47,⑭手動工程入力!$S$6:$S$47,$J85,⑭手動工程入力!$J$6:$J$47,"&gt;0",⑭手動工程入力!$I$6:$I$47,"&gt;0",⑭手動工程入力!$M$6:$M$47,"&gt;0"))</f>
        <v/>
      </c>
      <c r="P85" s="392" t="n"/>
    </row>
    <row r="86">
      <c r="A86" s="392" t="n">
        <v>82</v>
      </c>
      <c r="B86" s="392" t="n"/>
      <c r="C86" s="392" t="n"/>
      <c r="D86" s="392" t="n"/>
      <c r="E86" s="392" t="n"/>
      <c r="F86" s="394" t="n"/>
      <c r="G86" s="392" t="n"/>
      <c r="H86" s="604">
        <f>IFERROR(IF(AND($K86&gt;0,ISNUMBER(IF(OR($D86="g",$D86="ｇ"),IF($M86&gt;0,$L86/$M86/1000,""),IF($D86="kg",IF($M86&gt;0,$L86/$M86,""),IF($D86="",IF($M86&gt;0,$L86/$M86/1000,IF($O86&gt;0,$N86/$O86,"")),IF($O86&gt;0,$N86/$O86,"")))))),IF(OR($D86="g",$D86="ｇ"),IF($M86&gt;0,$L86/$M86/1000,""),IF($D86="kg",IF($M86&gt;0,$L86/$M86,""),IF($D86="",IF($M86&gt;0,$L86/$M86/1000,IF($O86&gt;0,$N86/$O86,"")),IF($O86&gt;0,$N86/$O86,"")))),IF($F86="",IF(OR($E86="",$E86="⑩盛付梱包工程入力"),"",IF(OR($D86="g",$D86="ｇ"),INDEX(⑰工程労務費一覧!$N$5:$N$11,MATCH($E86,⑰工程労務費一覧!$K$5:$K$11,0))/1000,IF($D86="kg",INDEX(⑰工程労務費一覧!$N$5:$N$11,MATCH($E86,⑰工程労務費一覧!$K$5:$K$11,0)),IF(OR($D86="個",$D86="切",$D86="本",$D86="枚",$D86="尾"),IF($E86="⑬計量工程入力","",INDEX(⑰工程労務費一覧!$P$5:$P$11,MATCH($E86,⑰工程労務費一覧!$K$5:$K$11,0))),IF(AND($D86="",OR($E86="②釜工程入力",$E86="③スチコン工程入力")),INDEX(⑰工程労務費一覧!$N$5:$N$11,MATCH($E86,⑰工程労務費一覧!$K$5:$K$11,0))/1000,""))))),IF(OR($D86="g",$D86="ｇ"),INDEX(⑰工程労務費一覧!$H$5:$H$753,MATCH($F86,⑰工程労務費一覧!$D$5:$D$753,0))/1000,IF($D86="kg",INDEX(⑰工程労務費一覧!$H$5:$H$753,MATCH($F86,⑰工程労務費一覧!$D$5:$D$753,0)),INDEX(⑰工程労務費一覧!$I$5:$I$753,MATCH($F86,⑰工程労務費一覧!$D$5:$D$753,0)))))),"")</f>
        <v/>
      </c>
      <c r="I86" s="392">
        <f>IF($K86&gt;0,IF(ISNUMBER(IF(OR($D86="g",$D86="ｇ"),IF($M86&gt;0,$L86/$M86/1000,""),IF($D86="kg",IF($M86&gt;0,$L86/$M86,""),IF($D86="",IF($M86&gt;0,$L86/$M86/1000,IF($O86&gt;0,$N86/$O86,"")),IF($O86&gt;0,$N86/$O86,""))))),IF($D86="",IF($M86&gt;0,"◎ JAN紐づけ(g扱い)","◎ JAN紐づけ(個扱い)"),"◎ JAN紐づけ"),"△ JAN紐づけ済・実績不足→仮計算"),IF($F86="",IF(ISNUMBER($H86),IF($D86="","⑤ 工程平均で仮計算(g扱い)","⑤ 工程平均で仮計算"),IF($E86="⑩盛付梱包工程入力","⑥ 盛り込み(⑳F列で計上)",IF(AND($E86="⑬計量工程入力",OR($D86="個",$D86="切",$D86="本",$D86="枚",$D86="尾")),"① 未紐づけ(カット個単位は仮単価なし)","① 未紐づけ"))),IF(NOT(ISNUMBER($H86)),"② 工程側に単価なし",IF($D86="","③ 単位未設定(個で計算)","④ OK"))))</f>
        <v/>
      </c>
      <c r="J86" s="399">
        <f>IFERROR(LOOKUP(2,1/((中間品リスト!$F$2:$F$1299=$B86)*(中間品リスト!$E$2:$E$1299&lt;&gt;"-")*(中間品リスト!$E$2:$E$1299&lt;&gt;"")),中間品リスト!$E$2:$E$1299),"")</f>
        <v/>
      </c>
      <c r="K86" s="400">
        <f>IF($J86="",0,COUNTIF(②釜工程入力!$S$5:$S$117,$J86)+COUNTIF(③スチコン工程入力!$S$5:$S$152,$J86)+COUNTIF(⑪ZEN工程入力!$S$6:$S$35,$J86)+COUNTIF(⑫ミキサー工程入力!$S$6:$S$65,$J86)+COUNTIF(⑬計量工程入力!$S$6:$S$65,$J86)+COUNTIF(⑭手動工程入力!$S$6:$S$47,$J86))</f>
        <v/>
      </c>
      <c r="L86" s="393">
        <f>IF($J86="",0,SUMIFS(②釜工程入力!$M$5:$M$117,②釜工程入力!$S$5:$S$117,$J86,②釜工程入力!$I$5:$I$117,"&gt;0")+SUMIFS(③スチコン工程入力!$M$5:$M$152,③スチコン工程入力!$S$5:$S$152,$J86,③スチコン工程入力!$I$5:$I$152,"&gt;0")+SUMIFS(⑪ZEN工程入力!$M$6:$M$35,⑪ZEN工程入力!$S$6:$S$35,$J86,⑪ZEN工程入力!$I$6:$I$35,"&gt;0")+SUMIFS(⑫ミキサー工程入力!$M$6:$M$65,⑫ミキサー工程入力!$S$6:$S$65,$J86,⑫ミキサー工程入力!$I$6:$I$65,"&gt;0")+SUMIFS(⑬計量工程入力!$M$6:$M$65,⑬計量工程入力!$S$6:$S$65,$J86,⑬計量工程入力!$I$6:$I$65,"&gt;0")+SUMIFS(⑭手動工程入力!$M$6:$M$47,⑭手動工程入力!$S$6:$S$47,$J86,⑭手動工程入力!$I$6:$I$47,"&gt;0"))</f>
        <v/>
      </c>
      <c r="M86" s="393">
        <f>IF($J86="",0,SUMIFS(②釜工程入力!$I$5:$I$117,②釜工程入力!$S$5:$S$117,$J86,②釜工程入力!$I$5:$I$117,"&gt;0",②釜工程入力!$M$5:$M$117,"&gt;0")+SUMIFS(③スチコン工程入力!$I$5:$I$152,③スチコン工程入力!$S$5:$S$152,$J86,③スチコン工程入力!$I$5:$I$152,"&gt;0",③スチコン工程入力!$M$5:$M$152,"&gt;0")+SUMIFS(⑪ZEN工程入力!$I$6:$I$35,⑪ZEN工程入力!$S$6:$S$35,$J86,⑪ZEN工程入力!$I$6:$I$35,"&gt;0",⑪ZEN工程入力!$M$6:$M$35,"&gt;0")+SUMIFS(⑫ミキサー工程入力!$I$6:$I$65,⑫ミキサー工程入力!$S$6:$S$65,$J86,⑫ミキサー工程入力!$I$6:$I$65,"&gt;0",⑫ミキサー工程入力!$M$6:$M$65,"&gt;0")+SUMIFS(⑬計量工程入力!$I$6:$I$65,⑬計量工程入力!$S$6:$S$65,$J86,⑬計量工程入力!$I$6:$I$65,"&gt;0",⑬計量工程入力!$M$6:$M$65,"&gt;0")+SUMIFS(⑭手動工程入力!$I$6:$I$47,⑭手動工程入力!$S$6:$S$47,$J86,⑭手動工程入力!$I$6:$I$47,"&gt;0",⑭手動工程入力!$M$6:$M$47,"&gt;0"))</f>
        <v/>
      </c>
      <c r="N86" s="393">
        <f>IF($J86="",0,SUMIFS(②釜工程入力!$M$5:$M$117,②釜工程入力!$S$5:$S$117,$J86,②釜工程入力!$J$5:$J$117,"&gt;0")-SUMIFS(②釜工程入力!$M$5:$M$117,②釜工程入力!$S$5:$S$117,$J86,②釜工程入力!$J$5:$J$117,"&gt;0",②釜工程入力!$I$5:$I$117,"&gt;0")+SUMIFS(③スチコン工程入力!$M$5:$M$152,③スチコン工程入力!$S$5:$S$152,$J86,③スチコン工程入力!$J$5:$J$152,"&gt;0")-SUMIFS(③スチコン工程入力!$M$5:$M$152,③スチコン工程入力!$S$5:$S$152,$J86,③スチコン工程入力!$J$5:$J$152,"&gt;0",③スチコン工程入力!$I$5:$I$152,"&gt;0")+SUMIFS(⑪ZEN工程入力!$M$6:$M$35,⑪ZEN工程入力!$S$6:$S$35,$J86,⑪ZEN工程入力!$J$6:$J$35,"&gt;0")-SUMIFS(⑪ZEN工程入力!$M$6:$M$35,⑪ZEN工程入力!$S$6:$S$35,$J86,⑪ZEN工程入力!$J$6:$J$35,"&gt;0",⑪ZEN工程入力!$I$6:$I$35,"&gt;0")+SUMIFS(⑫ミキサー工程入力!$M$6:$M$65,⑫ミキサー工程入力!$S$6:$S$65,$J86,⑫ミキサー工程入力!$J$6:$J$65,"&gt;0")-SUMIFS(⑫ミキサー工程入力!$M$6:$M$65,⑫ミキサー工程入力!$S$6:$S$65,$J86,⑫ミキサー工程入力!$J$6:$J$65,"&gt;0",⑫ミキサー工程入力!$I$6:$I$65,"&gt;0")+SUMIFS(⑬計量工程入力!$M$6:$M$65,⑬計量工程入力!$S$6:$S$65,$J86,⑬計量工程入力!$J$6:$J$65,"&gt;0")-SUMIFS(⑬計量工程入力!$M$6:$M$65,⑬計量工程入力!$S$6:$S$65,$J86,⑬計量工程入力!$J$6:$J$65,"&gt;0",⑬計量工程入力!$I$6:$I$65,"&gt;0")+SUMIFS(⑭手動工程入力!$M$6:$M$47,⑭手動工程入力!$S$6:$S$47,$J86,⑭手動工程入力!$J$6:$J$47,"&gt;0")-SUMIFS(⑭手動工程入力!$M$6:$M$47,⑭手動工程入力!$S$6:$S$47,$J86,⑭手動工程入力!$J$6:$J$47,"&gt;0",⑭手動工程入力!$I$6:$I$47,"&gt;0"))</f>
        <v/>
      </c>
      <c r="O86" s="393">
        <f>IF($J86="",0,SUMIFS(②釜工程入力!$J$5:$J$117,②釜工程入力!$S$5:$S$117,$J86,②釜工程入力!$J$5:$J$117,"&gt;0",②釜工程入力!$M$5:$M$117,"&gt;0")-SUMIFS(②釜工程入力!$J$5:$J$117,②釜工程入力!$S$5:$S$117,$J86,②釜工程入力!$J$5:$J$117,"&gt;0",②釜工程入力!$I$5:$I$117,"&gt;0",②釜工程入力!$M$5:$M$117,"&gt;0")+SUMIFS(③スチコン工程入力!$J$5:$J$152,③スチコン工程入力!$S$5:$S$152,$J86,③スチコン工程入力!$J$5:$J$152,"&gt;0",③スチコン工程入力!$M$5:$M$152,"&gt;0")-SUMIFS(③スチコン工程入力!$J$5:$J$152,③スチコン工程入力!$S$5:$S$152,$J86,③スチコン工程入力!$J$5:$J$152,"&gt;0",③スチコン工程入力!$I$5:$I$152,"&gt;0",③スチコン工程入力!$M$5:$M$152,"&gt;0")+SUMIFS(⑪ZEN工程入力!$J$6:$J$35,⑪ZEN工程入力!$S$6:$S$35,$J86,⑪ZEN工程入力!$J$6:$J$35,"&gt;0",⑪ZEN工程入力!$M$6:$M$35,"&gt;0")-SUMIFS(⑪ZEN工程入力!$J$6:$J$35,⑪ZEN工程入力!$S$6:$S$35,$J86,⑪ZEN工程入力!$J$6:$J$35,"&gt;0",⑪ZEN工程入力!$I$6:$I$35,"&gt;0",⑪ZEN工程入力!$M$6:$M$35,"&gt;0")+SUMIFS(⑫ミキサー工程入力!$J$6:$J$65,⑫ミキサー工程入力!$S$6:$S$65,$J86,⑫ミキサー工程入力!$J$6:$J$65,"&gt;0",⑫ミキサー工程入力!$M$6:$M$65,"&gt;0")-SUMIFS(⑫ミキサー工程入力!$J$6:$J$65,⑫ミキサー工程入力!$S$6:$S$65,$J86,⑫ミキサー工程入力!$J$6:$J$65,"&gt;0",⑫ミキサー工程入力!$I$6:$I$65,"&gt;0",⑫ミキサー工程入力!$M$6:$M$65,"&gt;0")+SUMIFS(⑬計量工程入力!$J$6:$J$65,⑬計量工程入力!$S$6:$S$65,$J86,⑬計量工程入力!$J$6:$J$65,"&gt;0",⑬計量工程入力!$M$6:$M$65,"&gt;0")-SUMIFS(⑬計量工程入力!$J$6:$J$65,⑬計量工程入力!$S$6:$S$65,$J86,⑬計量工程入力!$J$6:$J$65,"&gt;0",⑬計量工程入力!$I$6:$I$65,"&gt;0",⑬計量工程入力!$M$6:$M$65,"&gt;0")+SUMIFS(⑭手動工程入力!$J$6:$J$47,⑭手動工程入力!$S$6:$S$47,$J86,⑭手動工程入力!$J$6:$J$47,"&gt;0",⑭手動工程入力!$M$6:$M$47,"&gt;0")-SUMIFS(⑭手動工程入力!$J$6:$J$47,⑭手動工程入力!$S$6:$S$47,$J86,⑭手動工程入力!$J$6:$J$47,"&gt;0",⑭手動工程入力!$I$6:$I$47,"&gt;0",⑭手動工程入力!$M$6:$M$47,"&gt;0"))</f>
        <v/>
      </c>
      <c r="P86" s="392" t="n"/>
    </row>
    <row r="87">
      <c r="A87" s="392" t="n">
        <v>83</v>
      </c>
      <c r="B87" s="392" t="n"/>
      <c r="C87" s="392" t="n"/>
      <c r="D87" s="392" t="n"/>
      <c r="E87" s="392" t="n"/>
      <c r="F87" s="394" t="n"/>
      <c r="G87" s="392" t="n"/>
      <c r="H87" s="604">
        <f>IFERROR(IF(AND($K87&gt;0,ISNUMBER(IF(OR($D87="g",$D87="ｇ"),IF($M87&gt;0,$L87/$M87/1000,""),IF($D87="kg",IF($M87&gt;0,$L87/$M87,""),IF($D87="",IF($M87&gt;0,$L87/$M87/1000,IF($O87&gt;0,$N87/$O87,"")),IF($O87&gt;0,$N87/$O87,"")))))),IF(OR($D87="g",$D87="ｇ"),IF($M87&gt;0,$L87/$M87/1000,""),IF($D87="kg",IF($M87&gt;0,$L87/$M87,""),IF($D87="",IF($M87&gt;0,$L87/$M87/1000,IF($O87&gt;0,$N87/$O87,"")),IF($O87&gt;0,$N87/$O87,"")))),IF($F87="",IF(OR($E87="",$E87="⑩盛付梱包工程入力"),"",IF(OR($D87="g",$D87="ｇ"),INDEX(⑰工程労務費一覧!$N$5:$N$11,MATCH($E87,⑰工程労務費一覧!$K$5:$K$11,0))/1000,IF($D87="kg",INDEX(⑰工程労務費一覧!$N$5:$N$11,MATCH($E87,⑰工程労務費一覧!$K$5:$K$11,0)),IF(OR($D87="個",$D87="切",$D87="本",$D87="枚",$D87="尾"),IF($E87="⑬計量工程入力","",INDEX(⑰工程労務費一覧!$P$5:$P$11,MATCH($E87,⑰工程労務費一覧!$K$5:$K$11,0))),IF(AND($D87="",OR($E87="②釜工程入力",$E87="③スチコン工程入力")),INDEX(⑰工程労務費一覧!$N$5:$N$11,MATCH($E87,⑰工程労務費一覧!$K$5:$K$11,0))/1000,""))))),IF(OR($D87="g",$D87="ｇ"),INDEX(⑰工程労務費一覧!$H$5:$H$753,MATCH($F87,⑰工程労務費一覧!$D$5:$D$753,0))/1000,IF($D87="kg",INDEX(⑰工程労務費一覧!$H$5:$H$753,MATCH($F87,⑰工程労務費一覧!$D$5:$D$753,0)),INDEX(⑰工程労務費一覧!$I$5:$I$753,MATCH($F87,⑰工程労務費一覧!$D$5:$D$753,0)))))),"")</f>
        <v/>
      </c>
      <c r="I87" s="392">
        <f>IF($K87&gt;0,IF(ISNUMBER(IF(OR($D87="g",$D87="ｇ"),IF($M87&gt;0,$L87/$M87/1000,""),IF($D87="kg",IF($M87&gt;0,$L87/$M87,""),IF($D87="",IF($M87&gt;0,$L87/$M87/1000,IF($O87&gt;0,$N87/$O87,"")),IF($O87&gt;0,$N87/$O87,""))))),IF($D87="",IF($M87&gt;0,"◎ JAN紐づけ(g扱い)","◎ JAN紐づけ(個扱い)"),"◎ JAN紐づけ"),"△ JAN紐づけ済・実績不足→仮計算"),IF($F87="",IF(ISNUMBER($H87),IF($D87="","⑤ 工程平均で仮計算(g扱い)","⑤ 工程平均で仮計算"),IF($E87="⑩盛付梱包工程入力","⑥ 盛り込み(⑳F列で計上)",IF(AND($E87="⑬計量工程入力",OR($D87="個",$D87="切",$D87="本",$D87="枚",$D87="尾")),"① 未紐づけ(カット個単位は仮単価なし)","① 未紐づけ"))),IF(NOT(ISNUMBER($H87)),"② 工程側に単価なし",IF($D87="","③ 単位未設定(個で計算)","④ OK"))))</f>
        <v/>
      </c>
      <c r="J87" s="399">
        <f>IFERROR(LOOKUP(2,1/((中間品リスト!$F$2:$F$1299=$B87)*(中間品リスト!$E$2:$E$1299&lt;&gt;"-")*(中間品リスト!$E$2:$E$1299&lt;&gt;"")),中間品リスト!$E$2:$E$1299),"")</f>
        <v/>
      </c>
      <c r="K87" s="400">
        <f>IF($J87="",0,COUNTIF(②釜工程入力!$S$5:$S$117,$J87)+COUNTIF(③スチコン工程入力!$S$5:$S$152,$J87)+COUNTIF(⑪ZEN工程入力!$S$6:$S$35,$J87)+COUNTIF(⑫ミキサー工程入力!$S$6:$S$65,$J87)+COUNTIF(⑬計量工程入力!$S$6:$S$65,$J87)+COUNTIF(⑭手動工程入力!$S$6:$S$47,$J87))</f>
        <v/>
      </c>
      <c r="L87" s="393">
        <f>IF($J87="",0,SUMIFS(②釜工程入力!$M$5:$M$117,②釜工程入力!$S$5:$S$117,$J87,②釜工程入力!$I$5:$I$117,"&gt;0")+SUMIFS(③スチコン工程入力!$M$5:$M$152,③スチコン工程入力!$S$5:$S$152,$J87,③スチコン工程入力!$I$5:$I$152,"&gt;0")+SUMIFS(⑪ZEN工程入力!$M$6:$M$35,⑪ZEN工程入力!$S$6:$S$35,$J87,⑪ZEN工程入力!$I$6:$I$35,"&gt;0")+SUMIFS(⑫ミキサー工程入力!$M$6:$M$65,⑫ミキサー工程入力!$S$6:$S$65,$J87,⑫ミキサー工程入力!$I$6:$I$65,"&gt;0")+SUMIFS(⑬計量工程入力!$M$6:$M$65,⑬計量工程入力!$S$6:$S$65,$J87,⑬計量工程入力!$I$6:$I$65,"&gt;0")+SUMIFS(⑭手動工程入力!$M$6:$M$47,⑭手動工程入力!$S$6:$S$47,$J87,⑭手動工程入力!$I$6:$I$47,"&gt;0"))</f>
        <v/>
      </c>
      <c r="M87" s="393">
        <f>IF($J87="",0,SUMIFS(②釜工程入力!$I$5:$I$117,②釜工程入力!$S$5:$S$117,$J87,②釜工程入力!$I$5:$I$117,"&gt;0",②釜工程入力!$M$5:$M$117,"&gt;0")+SUMIFS(③スチコン工程入力!$I$5:$I$152,③スチコン工程入力!$S$5:$S$152,$J87,③スチコン工程入力!$I$5:$I$152,"&gt;0",③スチコン工程入力!$M$5:$M$152,"&gt;0")+SUMIFS(⑪ZEN工程入力!$I$6:$I$35,⑪ZEN工程入力!$S$6:$S$35,$J87,⑪ZEN工程入力!$I$6:$I$35,"&gt;0",⑪ZEN工程入力!$M$6:$M$35,"&gt;0")+SUMIFS(⑫ミキサー工程入力!$I$6:$I$65,⑫ミキサー工程入力!$S$6:$S$65,$J87,⑫ミキサー工程入力!$I$6:$I$65,"&gt;0",⑫ミキサー工程入力!$M$6:$M$65,"&gt;0")+SUMIFS(⑬計量工程入力!$I$6:$I$65,⑬計量工程入力!$S$6:$S$65,$J87,⑬計量工程入力!$I$6:$I$65,"&gt;0",⑬計量工程入力!$M$6:$M$65,"&gt;0")+SUMIFS(⑭手動工程入力!$I$6:$I$47,⑭手動工程入力!$S$6:$S$47,$J87,⑭手動工程入力!$I$6:$I$47,"&gt;0",⑭手動工程入力!$M$6:$M$47,"&gt;0"))</f>
        <v/>
      </c>
      <c r="N87" s="393">
        <f>IF($J87="",0,SUMIFS(②釜工程入力!$M$5:$M$117,②釜工程入力!$S$5:$S$117,$J87,②釜工程入力!$J$5:$J$117,"&gt;0")-SUMIFS(②釜工程入力!$M$5:$M$117,②釜工程入力!$S$5:$S$117,$J87,②釜工程入力!$J$5:$J$117,"&gt;0",②釜工程入力!$I$5:$I$117,"&gt;0")+SUMIFS(③スチコン工程入力!$M$5:$M$152,③スチコン工程入力!$S$5:$S$152,$J87,③スチコン工程入力!$J$5:$J$152,"&gt;0")-SUMIFS(③スチコン工程入力!$M$5:$M$152,③スチコン工程入力!$S$5:$S$152,$J87,③スチコン工程入力!$J$5:$J$152,"&gt;0",③スチコン工程入力!$I$5:$I$152,"&gt;0")+SUMIFS(⑪ZEN工程入力!$M$6:$M$35,⑪ZEN工程入力!$S$6:$S$35,$J87,⑪ZEN工程入力!$J$6:$J$35,"&gt;0")-SUMIFS(⑪ZEN工程入力!$M$6:$M$35,⑪ZEN工程入力!$S$6:$S$35,$J87,⑪ZEN工程入力!$J$6:$J$35,"&gt;0",⑪ZEN工程入力!$I$6:$I$35,"&gt;0")+SUMIFS(⑫ミキサー工程入力!$M$6:$M$65,⑫ミキサー工程入力!$S$6:$S$65,$J87,⑫ミキサー工程入力!$J$6:$J$65,"&gt;0")-SUMIFS(⑫ミキサー工程入力!$M$6:$M$65,⑫ミキサー工程入力!$S$6:$S$65,$J87,⑫ミキサー工程入力!$J$6:$J$65,"&gt;0",⑫ミキサー工程入力!$I$6:$I$65,"&gt;0")+SUMIFS(⑬計量工程入力!$M$6:$M$65,⑬計量工程入力!$S$6:$S$65,$J87,⑬計量工程入力!$J$6:$J$65,"&gt;0")-SUMIFS(⑬計量工程入力!$M$6:$M$65,⑬計量工程入力!$S$6:$S$65,$J87,⑬計量工程入力!$J$6:$J$65,"&gt;0",⑬計量工程入力!$I$6:$I$65,"&gt;0")+SUMIFS(⑭手動工程入力!$M$6:$M$47,⑭手動工程入力!$S$6:$S$47,$J87,⑭手動工程入力!$J$6:$J$47,"&gt;0")-SUMIFS(⑭手動工程入力!$M$6:$M$47,⑭手動工程入力!$S$6:$S$47,$J87,⑭手動工程入力!$J$6:$J$47,"&gt;0",⑭手動工程入力!$I$6:$I$47,"&gt;0"))</f>
        <v/>
      </c>
      <c r="O87" s="393">
        <f>IF($J87="",0,SUMIFS(②釜工程入力!$J$5:$J$117,②釜工程入力!$S$5:$S$117,$J87,②釜工程入力!$J$5:$J$117,"&gt;0",②釜工程入力!$M$5:$M$117,"&gt;0")-SUMIFS(②釜工程入力!$J$5:$J$117,②釜工程入力!$S$5:$S$117,$J87,②釜工程入力!$J$5:$J$117,"&gt;0",②釜工程入力!$I$5:$I$117,"&gt;0",②釜工程入力!$M$5:$M$117,"&gt;0")+SUMIFS(③スチコン工程入力!$J$5:$J$152,③スチコン工程入力!$S$5:$S$152,$J87,③スチコン工程入力!$J$5:$J$152,"&gt;0",③スチコン工程入力!$M$5:$M$152,"&gt;0")-SUMIFS(③スチコン工程入力!$J$5:$J$152,③スチコン工程入力!$S$5:$S$152,$J87,③スチコン工程入力!$J$5:$J$152,"&gt;0",③スチコン工程入力!$I$5:$I$152,"&gt;0",③スチコン工程入力!$M$5:$M$152,"&gt;0")+SUMIFS(⑪ZEN工程入力!$J$6:$J$35,⑪ZEN工程入力!$S$6:$S$35,$J87,⑪ZEN工程入力!$J$6:$J$35,"&gt;0",⑪ZEN工程入力!$M$6:$M$35,"&gt;0")-SUMIFS(⑪ZEN工程入力!$J$6:$J$35,⑪ZEN工程入力!$S$6:$S$35,$J87,⑪ZEN工程入力!$J$6:$J$35,"&gt;0",⑪ZEN工程入力!$I$6:$I$35,"&gt;0",⑪ZEN工程入力!$M$6:$M$35,"&gt;0")+SUMIFS(⑫ミキサー工程入力!$J$6:$J$65,⑫ミキサー工程入力!$S$6:$S$65,$J87,⑫ミキサー工程入力!$J$6:$J$65,"&gt;0",⑫ミキサー工程入力!$M$6:$M$65,"&gt;0")-SUMIFS(⑫ミキサー工程入力!$J$6:$J$65,⑫ミキサー工程入力!$S$6:$S$65,$J87,⑫ミキサー工程入力!$J$6:$J$65,"&gt;0",⑫ミキサー工程入力!$I$6:$I$65,"&gt;0",⑫ミキサー工程入力!$M$6:$M$65,"&gt;0")+SUMIFS(⑬計量工程入力!$J$6:$J$65,⑬計量工程入力!$S$6:$S$65,$J87,⑬計量工程入力!$J$6:$J$65,"&gt;0",⑬計量工程入力!$M$6:$M$65,"&gt;0")-SUMIFS(⑬計量工程入力!$J$6:$J$65,⑬計量工程入力!$S$6:$S$65,$J87,⑬計量工程入力!$J$6:$J$65,"&gt;0",⑬計量工程入力!$I$6:$I$65,"&gt;0",⑬計量工程入力!$M$6:$M$65,"&gt;0")+SUMIFS(⑭手動工程入力!$J$6:$J$47,⑭手動工程入力!$S$6:$S$47,$J87,⑭手動工程入力!$J$6:$J$47,"&gt;0",⑭手動工程入力!$M$6:$M$47,"&gt;0")-SUMIFS(⑭手動工程入力!$J$6:$J$47,⑭手動工程入力!$S$6:$S$47,$J87,⑭手動工程入力!$J$6:$J$47,"&gt;0",⑭手動工程入力!$I$6:$I$47,"&gt;0",⑭手動工程入力!$M$6:$M$47,"&gt;0"))</f>
        <v/>
      </c>
      <c r="P87" s="392" t="n"/>
    </row>
    <row r="88">
      <c r="A88" s="392" t="n">
        <v>84</v>
      </c>
      <c r="B88" s="392" t="n"/>
      <c r="C88" s="392" t="n"/>
      <c r="D88" s="392" t="n"/>
      <c r="E88" s="392" t="n"/>
      <c r="F88" s="394" t="n"/>
      <c r="G88" s="392" t="n"/>
      <c r="H88" s="604">
        <f>IFERROR(IF(AND($K88&gt;0,ISNUMBER(IF(OR($D88="g",$D88="ｇ"),IF($M88&gt;0,$L88/$M88/1000,""),IF($D88="kg",IF($M88&gt;0,$L88/$M88,""),IF($D88="",IF($M88&gt;0,$L88/$M88/1000,IF($O88&gt;0,$N88/$O88,"")),IF($O88&gt;0,$N88/$O88,"")))))),IF(OR($D88="g",$D88="ｇ"),IF($M88&gt;0,$L88/$M88/1000,""),IF($D88="kg",IF($M88&gt;0,$L88/$M88,""),IF($D88="",IF($M88&gt;0,$L88/$M88/1000,IF($O88&gt;0,$N88/$O88,"")),IF($O88&gt;0,$N88/$O88,"")))),IF($F88="",IF(OR($E88="",$E88="⑩盛付梱包工程入力"),"",IF(OR($D88="g",$D88="ｇ"),INDEX(⑰工程労務費一覧!$N$5:$N$11,MATCH($E88,⑰工程労務費一覧!$K$5:$K$11,0))/1000,IF($D88="kg",INDEX(⑰工程労務費一覧!$N$5:$N$11,MATCH($E88,⑰工程労務費一覧!$K$5:$K$11,0)),IF(OR($D88="個",$D88="切",$D88="本",$D88="枚",$D88="尾"),IF($E88="⑬計量工程入力","",INDEX(⑰工程労務費一覧!$P$5:$P$11,MATCH($E88,⑰工程労務費一覧!$K$5:$K$11,0))),IF(AND($D88="",OR($E88="②釜工程入力",$E88="③スチコン工程入力")),INDEX(⑰工程労務費一覧!$N$5:$N$11,MATCH($E88,⑰工程労務費一覧!$K$5:$K$11,0))/1000,""))))),IF(OR($D88="g",$D88="ｇ"),INDEX(⑰工程労務費一覧!$H$5:$H$753,MATCH($F88,⑰工程労務費一覧!$D$5:$D$753,0))/1000,IF($D88="kg",INDEX(⑰工程労務費一覧!$H$5:$H$753,MATCH($F88,⑰工程労務費一覧!$D$5:$D$753,0)),INDEX(⑰工程労務費一覧!$I$5:$I$753,MATCH($F88,⑰工程労務費一覧!$D$5:$D$753,0)))))),"")</f>
        <v/>
      </c>
      <c r="I88" s="392">
        <f>IF($K88&gt;0,IF(ISNUMBER(IF(OR($D88="g",$D88="ｇ"),IF($M88&gt;0,$L88/$M88/1000,""),IF($D88="kg",IF($M88&gt;0,$L88/$M88,""),IF($D88="",IF($M88&gt;0,$L88/$M88/1000,IF($O88&gt;0,$N88/$O88,"")),IF($O88&gt;0,$N88/$O88,""))))),IF($D88="",IF($M88&gt;0,"◎ JAN紐づけ(g扱い)","◎ JAN紐づけ(個扱い)"),"◎ JAN紐づけ"),"△ JAN紐づけ済・実績不足→仮計算"),IF($F88="",IF(ISNUMBER($H88),IF($D88="","⑤ 工程平均で仮計算(g扱い)","⑤ 工程平均で仮計算"),IF($E88="⑩盛付梱包工程入力","⑥ 盛り込み(⑳F列で計上)",IF(AND($E88="⑬計量工程入力",OR($D88="個",$D88="切",$D88="本",$D88="枚",$D88="尾")),"① 未紐づけ(カット個単位は仮単価なし)","① 未紐づけ"))),IF(NOT(ISNUMBER($H88)),"② 工程側に単価なし",IF($D88="","③ 単位未設定(個で計算)","④ OK"))))</f>
        <v/>
      </c>
      <c r="J88" s="399">
        <f>IFERROR(LOOKUP(2,1/((中間品リスト!$F$2:$F$1299=$B88)*(中間品リスト!$E$2:$E$1299&lt;&gt;"-")*(中間品リスト!$E$2:$E$1299&lt;&gt;"")),中間品リスト!$E$2:$E$1299),"")</f>
        <v/>
      </c>
      <c r="K88" s="400">
        <f>IF($J88="",0,COUNTIF(②釜工程入力!$S$5:$S$117,$J88)+COUNTIF(③スチコン工程入力!$S$5:$S$152,$J88)+COUNTIF(⑪ZEN工程入力!$S$6:$S$35,$J88)+COUNTIF(⑫ミキサー工程入力!$S$6:$S$65,$J88)+COUNTIF(⑬計量工程入力!$S$6:$S$65,$J88)+COUNTIF(⑭手動工程入力!$S$6:$S$47,$J88))</f>
        <v/>
      </c>
      <c r="L88" s="393">
        <f>IF($J88="",0,SUMIFS(②釜工程入力!$M$5:$M$117,②釜工程入力!$S$5:$S$117,$J88,②釜工程入力!$I$5:$I$117,"&gt;0")+SUMIFS(③スチコン工程入力!$M$5:$M$152,③スチコン工程入力!$S$5:$S$152,$J88,③スチコン工程入力!$I$5:$I$152,"&gt;0")+SUMIFS(⑪ZEN工程入力!$M$6:$M$35,⑪ZEN工程入力!$S$6:$S$35,$J88,⑪ZEN工程入力!$I$6:$I$35,"&gt;0")+SUMIFS(⑫ミキサー工程入力!$M$6:$M$65,⑫ミキサー工程入力!$S$6:$S$65,$J88,⑫ミキサー工程入力!$I$6:$I$65,"&gt;0")+SUMIFS(⑬計量工程入力!$M$6:$M$65,⑬計量工程入力!$S$6:$S$65,$J88,⑬計量工程入力!$I$6:$I$65,"&gt;0")+SUMIFS(⑭手動工程入力!$M$6:$M$47,⑭手動工程入力!$S$6:$S$47,$J88,⑭手動工程入力!$I$6:$I$47,"&gt;0"))</f>
        <v/>
      </c>
      <c r="M88" s="393">
        <f>IF($J88="",0,SUMIFS(②釜工程入力!$I$5:$I$117,②釜工程入力!$S$5:$S$117,$J88,②釜工程入力!$I$5:$I$117,"&gt;0",②釜工程入力!$M$5:$M$117,"&gt;0")+SUMIFS(③スチコン工程入力!$I$5:$I$152,③スチコン工程入力!$S$5:$S$152,$J88,③スチコン工程入力!$I$5:$I$152,"&gt;0",③スチコン工程入力!$M$5:$M$152,"&gt;0")+SUMIFS(⑪ZEN工程入力!$I$6:$I$35,⑪ZEN工程入力!$S$6:$S$35,$J88,⑪ZEN工程入力!$I$6:$I$35,"&gt;0",⑪ZEN工程入力!$M$6:$M$35,"&gt;0")+SUMIFS(⑫ミキサー工程入力!$I$6:$I$65,⑫ミキサー工程入力!$S$6:$S$65,$J88,⑫ミキサー工程入力!$I$6:$I$65,"&gt;0",⑫ミキサー工程入力!$M$6:$M$65,"&gt;0")+SUMIFS(⑬計量工程入力!$I$6:$I$65,⑬計量工程入力!$S$6:$S$65,$J88,⑬計量工程入力!$I$6:$I$65,"&gt;0",⑬計量工程入力!$M$6:$M$65,"&gt;0")+SUMIFS(⑭手動工程入力!$I$6:$I$47,⑭手動工程入力!$S$6:$S$47,$J88,⑭手動工程入力!$I$6:$I$47,"&gt;0",⑭手動工程入力!$M$6:$M$47,"&gt;0"))</f>
        <v/>
      </c>
      <c r="N88" s="393">
        <f>IF($J88="",0,SUMIFS(②釜工程入力!$M$5:$M$117,②釜工程入力!$S$5:$S$117,$J88,②釜工程入力!$J$5:$J$117,"&gt;0")-SUMIFS(②釜工程入力!$M$5:$M$117,②釜工程入力!$S$5:$S$117,$J88,②釜工程入力!$J$5:$J$117,"&gt;0",②釜工程入力!$I$5:$I$117,"&gt;0")+SUMIFS(③スチコン工程入力!$M$5:$M$152,③スチコン工程入力!$S$5:$S$152,$J88,③スチコン工程入力!$J$5:$J$152,"&gt;0")-SUMIFS(③スチコン工程入力!$M$5:$M$152,③スチコン工程入力!$S$5:$S$152,$J88,③スチコン工程入力!$J$5:$J$152,"&gt;0",③スチコン工程入力!$I$5:$I$152,"&gt;0")+SUMIFS(⑪ZEN工程入力!$M$6:$M$35,⑪ZEN工程入力!$S$6:$S$35,$J88,⑪ZEN工程入力!$J$6:$J$35,"&gt;0")-SUMIFS(⑪ZEN工程入力!$M$6:$M$35,⑪ZEN工程入力!$S$6:$S$35,$J88,⑪ZEN工程入力!$J$6:$J$35,"&gt;0",⑪ZEN工程入力!$I$6:$I$35,"&gt;0")+SUMIFS(⑫ミキサー工程入力!$M$6:$M$65,⑫ミキサー工程入力!$S$6:$S$65,$J88,⑫ミキサー工程入力!$J$6:$J$65,"&gt;0")-SUMIFS(⑫ミキサー工程入力!$M$6:$M$65,⑫ミキサー工程入力!$S$6:$S$65,$J88,⑫ミキサー工程入力!$J$6:$J$65,"&gt;0",⑫ミキサー工程入力!$I$6:$I$65,"&gt;0")+SUMIFS(⑬計量工程入力!$M$6:$M$65,⑬計量工程入力!$S$6:$S$65,$J88,⑬計量工程入力!$J$6:$J$65,"&gt;0")-SUMIFS(⑬計量工程入力!$M$6:$M$65,⑬計量工程入力!$S$6:$S$65,$J88,⑬計量工程入力!$J$6:$J$65,"&gt;0",⑬計量工程入力!$I$6:$I$65,"&gt;0")+SUMIFS(⑭手動工程入力!$M$6:$M$47,⑭手動工程入力!$S$6:$S$47,$J88,⑭手動工程入力!$J$6:$J$47,"&gt;0")-SUMIFS(⑭手動工程入力!$M$6:$M$47,⑭手動工程入力!$S$6:$S$47,$J88,⑭手動工程入力!$J$6:$J$47,"&gt;0",⑭手動工程入力!$I$6:$I$47,"&gt;0"))</f>
        <v/>
      </c>
      <c r="O88" s="393">
        <f>IF($J88="",0,SUMIFS(②釜工程入力!$J$5:$J$117,②釜工程入力!$S$5:$S$117,$J88,②釜工程入力!$J$5:$J$117,"&gt;0",②釜工程入力!$M$5:$M$117,"&gt;0")-SUMIFS(②釜工程入力!$J$5:$J$117,②釜工程入力!$S$5:$S$117,$J88,②釜工程入力!$J$5:$J$117,"&gt;0",②釜工程入力!$I$5:$I$117,"&gt;0",②釜工程入力!$M$5:$M$117,"&gt;0")+SUMIFS(③スチコン工程入力!$J$5:$J$152,③スチコン工程入力!$S$5:$S$152,$J88,③スチコン工程入力!$J$5:$J$152,"&gt;0",③スチコン工程入力!$M$5:$M$152,"&gt;0")-SUMIFS(③スチコン工程入力!$J$5:$J$152,③スチコン工程入力!$S$5:$S$152,$J88,③スチコン工程入力!$J$5:$J$152,"&gt;0",③スチコン工程入力!$I$5:$I$152,"&gt;0",③スチコン工程入力!$M$5:$M$152,"&gt;0")+SUMIFS(⑪ZEN工程入力!$J$6:$J$35,⑪ZEN工程入力!$S$6:$S$35,$J88,⑪ZEN工程入力!$J$6:$J$35,"&gt;0",⑪ZEN工程入力!$M$6:$M$35,"&gt;0")-SUMIFS(⑪ZEN工程入力!$J$6:$J$35,⑪ZEN工程入力!$S$6:$S$35,$J88,⑪ZEN工程入力!$J$6:$J$35,"&gt;0",⑪ZEN工程入力!$I$6:$I$35,"&gt;0",⑪ZEN工程入力!$M$6:$M$35,"&gt;0")+SUMIFS(⑫ミキサー工程入力!$J$6:$J$65,⑫ミキサー工程入力!$S$6:$S$65,$J88,⑫ミキサー工程入力!$J$6:$J$65,"&gt;0",⑫ミキサー工程入力!$M$6:$M$65,"&gt;0")-SUMIFS(⑫ミキサー工程入力!$J$6:$J$65,⑫ミキサー工程入力!$S$6:$S$65,$J88,⑫ミキサー工程入力!$J$6:$J$65,"&gt;0",⑫ミキサー工程入力!$I$6:$I$65,"&gt;0",⑫ミキサー工程入力!$M$6:$M$65,"&gt;0")+SUMIFS(⑬計量工程入力!$J$6:$J$65,⑬計量工程入力!$S$6:$S$65,$J88,⑬計量工程入力!$J$6:$J$65,"&gt;0",⑬計量工程入力!$M$6:$M$65,"&gt;0")-SUMIFS(⑬計量工程入力!$J$6:$J$65,⑬計量工程入力!$S$6:$S$65,$J88,⑬計量工程入力!$J$6:$J$65,"&gt;0",⑬計量工程入力!$I$6:$I$65,"&gt;0",⑬計量工程入力!$M$6:$M$65,"&gt;0")+SUMIFS(⑭手動工程入力!$J$6:$J$47,⑭手動工程入力!$S$6:$S$47,$J88,⑭手動工程入力!$J$6:$J$47,"&gt;0",⑭手動工程入力!$M$6:$M$47,"&gt;0")-SUMIFS(⑭手動工程入力!$J$6:$J$47,⑭手動工程入力!$S$6:$S$47,$J88,⑭手動工程入力!$J$6:$J$47,"&gt;0",⑭手動工程入力!$I$6:$I$47,"&gt;0",⑭手動工程入力!$M$6:$M$47,"&gt;0"))</f>
        <v/>
      </c>
      <c r="P88" s="392" t="n"/>
    </row>
    <row r="89">
      <c r="A89" s="392" t="n">
        <v>85</v>
      </c>
      <c r="B89" s="392" t="n"/>
      <c r="C89" s="392" t="n"/>
      <c r="D89" s="392" t="n"/>
      <c r="E89" s="392" t="n"/>
      <c r="F89" s="394" t="n"/>
      <c r="G89" s="392" t="n"/>
      <c r="H89" s="604">
        <f>IFERROR(IF(AND($K89&gt;0,ISNUMBER(IF(OR($D89="g",$D89="ｇ"),IF($M89&gt;0,$L89/$M89/1000,""),IF($D89="kg",IF($M89&gt;0,$L89/$M89,""),IF($D89="",IF($M89&gt;0,$L89/$M89/1000,IF($O89&gt;0,$N89/$O89,"")),IF($O89&gt;0,$N89/$O89,"")))))),IF(OR($D89="g",$D89="ｇ"),IF($M89&gt;0,$L89/$M89/1000,""),IF($D89="kg",IF($M89&gt;0,$L89/$M89,""),IF($D89="",IF($M89&gt;0,$L89/$M89/1000,IF($O89&gt;0,$N89/$O89,"")),IF($O89&gt;0,$N89/$O89,"")))),IF($F89="",IF(OR($E89="",$E89="⑩盛付梱包工程入力"),"",IF(OR($D89="g",$D89="ｇ"),INDEX(⑰工程労務費一覧!$N$5:$N$11,MATCH($E89,⑰工程労務費一覧!$K$5:$K$11,0))/1000,IF($D89="kg",INDEX(⑰工程労務費一覧!$N$5:$N$11,MATCH($E89,⑰工程労務費一覧!$K$5:$K$11,0)),IF(OR($D89="個",$D89="切",$D89="本",$D89="枚",$D89="尾"),IF($E89="⑬計量工程入力","",INDEX(⑰工程労務費一覧!$P$5:$P$11,MATCH($E89,⑰工程労務費一覧!$K$5:$K$11,0))),IF(AND($D89="",OR($E89="②釜工程入力",$E89="③スチコン工程入力")),INDEX(⑰工程労務費一覧!$N$5:$N$11,MATCH($E89,⑰工程労務費一覧!$K$5:$K$11,0))/1000,""))))),IF(OR($D89="g",$D89="ｇ"),INDEX(⑰工程労務費一覧!$H$5:$H$753,MATCH($F89,⑰工程労務費一覧!$D$5:$D$753,0))/1000,IF($D89="kg",INDEX(⑰工程労務費一覧!$H$5:$H$753,MATCH($F89,⑰工程労務費一覧!$D$5:$D$753,0)),INDEX(⑰工程労務費一覧!$I$5:$I$753,MATCH($F89,⑰工程労務費一覧!$D$5:$D$753,0)))))),"")</f>
        <v/>
      </c>
      <c r="I89" s="392">
        <f>IF($K89&gt;0,IF(ISNUMBER(IF(OR($D89="g",$D89="ｇ"),IF($M89&gt;0,$L89/$M89/1000,""),IF($D89="kg",IF($M89&gt;0,$L89/$M89,""),IF($D89="",IF($M89&gt;0,$L89/$M89/1000,IF($O89&gt;0,$N89/$O89,"")),IF($O89&gt;0,$N89/$O89,""))))),IF($D89="",IF($M89&gt;0,"◎ JAN紐づけ(g扱い)","◎ JAN紐づけ(個扱い)"),"◎ JAN紐づけ"),"△ JAN紐づけ済・実績不足→仮計算"),IF($F89="",IF(ISNUMBER($H89),IF($D89="","⑤ 工程平均で仮計算(g扱い)","⑤ 工程平均で仮計算"),IF($E89="⑩盛付梱包工程入力","⑥ 盛り込み(⑳F列で計上)",IF(AND($E89="⑬計量工程入力",OR($D89="個",$D89="切",$D89="本",$D89="枚",$D89="尾")),"① 未紐づけ(カット個単位は仮単価なし)","① 未紐づけ"))),IF(NOT(ISNUMBER($H89)),"② 工程側に単価なし",IF($D89="","③ 単位未設定(個で計算)","④ OK"))))</f>
        <v/>
      </c>
      <c r="J89" s="399">
        <f>IFERROR(LOOKUP(2,1/((中間品リスト!$F$2:$F$1299=$B89)*(中間品リスト!$E$2:$E$1299&lt;&gt;"-")*(中間品リスト!$E$2:$E$1299&lt;&gt;"")),中間品リスト!$E$2:$E$1299),"")</f>
        <v/>
      </c>
      <c r="K89" s="400">
        <f>IF($J89="",0,COUNTIF(②釜工程入力!$S$5:$S$117,$J89)+COUNTIF(③スチコン工程入力!$S$5:$S$152,$J89)+COUNTIF(⑪ZEN工程入力!$S$6:$S$35,$J89)+COUNTIF(⑫ミキサー工程入力!$S$6:$S$65,$J89)+COUNTIF(⑬計量工程入力!$S$6:$S$65,$J89)+COUNTIF(⑭手動工程入力!$S$6:$S$47,$J89))</f>
        <v/>
      </c>
      <c r="L89" s="393">
        <f>IF($J89="",0,SUMIFS(②釜工程入力!$M$5:$M$117,②釜工程入力!$S$5:$S$117,$J89,②釜工程入力!$I$5:$I$117,"&gt;0")+SUMIFS(③スチコン工程入力!$M$5:$M$152,③スチコン工程入力!$S$5:$S$152,$J89,③スチコン工程入力!$I$5:$I$152,"&gt;0")+SUMIFS(⑪ZEN工程入力!$M$6:$M$35,⑪ZEN工程入力!$S$6:$S$35,$J89,⑪ZEN工程入力!$I$6:$I$35,"&gt;0")+SUMIFS(⑫ミキサー工程入力!$M$6:$M$65,⑫ミキサー工程入力!$S$6:$S$65,$J89,⑫ミキサー工程入力!$I$6:$I$65,"&gt;0")+SUMIFS(⑬計量工程入力!$M$6:$M$65,⑬計量工程入力!$S$6:$S$65,$J89,⑬計量工程入力!$I$6:$I$65,"&gt;0")+SUMIFS(⑭手動工程入力!$M$6:$M$47,⑭手動工程入力!$S$6:$S$47,$J89,⑭手動工程入力!$I$6:$I$47,"&gt;0"))</f>
        <v/>
      </c>
      <c r="M89" s="393">
        <f>IF($J89="",0,SUMIFS(②釜工程入力!$I$5:$I$117,②釜工程入力!$S$5:$S$117,$J89,②釜工程入力!$I$5:$I$117,"&gt;0",②釜工程入力!$M$5:$M$117,"&gt;0")+SUMIFS(③スチコン工程入力!$I$5:$I$152,③スチコン工程入力!$S$5:$S$152,$J89,③スチコン工程入力!$I$5:$I$152,"&gt;0",③スチコン工程入力!$M$5:$M$152,"&gt;0")+SUMIFS(⑪ZEN工程入力!$I$6:$I$35,⑪ZEN工程入力!$S$6:$S$35,$J89,⑪ZEN工程入力!$I$6:$I$35,"&gt;0",⑪ZEN工程入力!$M$6:$M$35,"&gt;0")+SUMIFS(⑫ミキサー工程入力!$I$6:$I$65,⑫ミキサー工程入力!$S$6:$S$65,$J89,⑫ミキサー工程入力!$I$6:$I$65,"&gt;0",⑫ミキサー工程入力!$M$6:$M$65,"&gt;0")+SUMIFS(⑬計量工程入力!$I$6:$I$65,⑬計量工程入力!$S$6:$S$65,$J89,⑬計量工程入力!$I$6:$I$65,"&gt;0",⑬計量工程入力!$M$6:$M$65,"&gt;0")+SUMIFS(⑭手動工程入力!$I$6:$I$47,⑭手動工程入力!$S$6:$S$47,$J89,⑭手動工程入力!$I$6:$I$47,"&gt;0",⑭手動工程入力!$M$6:$M$47,"&gt;0"))</f>
        <v/>
      </c>
      <c r="N89" s="393">
        <f>IF($J89="",0,SUMIFS(②釜工程入力!$M$5:$M$117,②釜工程入力!$S$5:$S$117,$J89,②釜工程入力!$J$5:$J$117,"&gt;0")-SUMIFS(②釜工程入力!$M$5:$M$117,②釜工程入力!$S$5:$S$117,$J89,②釜工程入力!$J$5:$J$117,"&gt;0",②釜工程入力!$I$5:$I$117,"&gt;0")+SUMIFS(③スチコン工程入力!$M$5:$M$152,③スチコン工程入力!$S$5:$S$152,$J89,③スチコン工程入力!$J$5:$J$152,"&gt;0")-SUMIFS(③スチコン工程入力!$M$5:$M$152,③スチコン工程入力!$S$5:$S$152,$J89,③スチコン工程入力!$J$5:$J$152,"&gt;0",③スチコン工程入力!$I$5:$I$152,"&gt;0")+SUMIFS(⑪ZEN工程入力!$M$6:$M$35,⑪ZEN工程入力!$S$6:$S$35,$J89,⑪ZEN工程入力!$J$6:$J$35,"&gt;0")-SUMIFS(⑪ZEN工程入力!$M$6:$M$35,⑪ZEN工程入力!$S$6:$S$35,$J89,⑪ZEN工程入力!$J$6:$J$35,"&gt;0",⑪ZEN工程入力!$I$6:$I$35,"&gt;0")+SUMIFS(⑫ミキサー工程入力!$M$6:$M$65,⑫ミキサー工程入力!$S$6:$S$65,$J89,⑫ミキサー工程入力!$J$6:$J$65,"&gt;0")-SUMIFS(⑫ミキサー工程入力!$M$6:$M$65,⑫ミキサー工程入力!$S$6:$S$65,$J89,⑫ミキサー工程入力!$J$6:$J$65,"&gt;0",⑫ミキサー工程入力!$I$6:$I$65,"&gt;0")+SUMIFS(⑬計量工程入力!$M$6:$M$65,⑬計量工程入力!$S$6:$S$65,$J89,⑬計量工程入力!$J$6:$J$65,"&gt;0")-SUMIFS(⑬計量工程入力!$M$6:$M$65,⑬計量工程入力!$S$6:$S$65,$J89,⑬計量工程入力!$J$6:$J$65,"&gt;0",⑬計量工程入力!$I$6:$I$65,"&gt;0")+SUMIFS(⑭手動工程入力!$M$6:$M$47,⑭手動工程入力!$S$6:$S$47,$J89,⑭手動工程入力!$J$6:$J$47,"&gt;0")-SUMIFS(⑭手動工程入力!$M$6:$M$47,⑭手動工程入力!$S$6:$S$47,$J89,⑭手動工程入力!$J$6:$J$47,"&gt;0",⑭手動工程入力!$I$6:$I$47,"&gt;0"))</f>
        <v/>
      </c>
      <c r="O89" s="393">
        <f>IF($J89="",0,SUMIFS(②釜工程入力!$J$5:$J$117,②釜工程入力!$S$5:$S$117,$J89,②釜工程入力!$J$5:$J$117,"&gt;0",②釜工程入力!$M$5:$M$117,"&gt;0")-SUMIFS(②釜工程入力!$J$5:$J$117,②釜工程入力!$S$5:$S$117,$J89,②釜工程入力!$J$5:$J$117,"&gt;0",②釜工程入力!$I$5:$I$117,"&gt;0",②釜工程入力!$M$5:$M$117,"&gt;0")+SUMIFS(③スチコン工程入力!$J$5:$J$152,③スチコン工程入力!$S$5:$S$152,$J89,③スチコン工程入力!$J$5:$J$152,"&gt;0",③スチコン工程入力!$M$5:$M$152,"&gt;0")-SUMIFS(③スチコン工程入力!$J$5:$J$152,③スチコン工程入力!$S$5:$S$152,$J89,③スチコン工程入力!$J$5:$J$152,"&gt;0",③スチコン工程入力!$I$5:$I$152,"&gt;0",③スチコン工程入力!$M$5:$M$152,"&gt;0")+SUMIFS(⑪ZEN工程入力!$J$6:$J$35,⑪ZEN工程入力!$S$6:$S$35,$J89,⑪ZEN工程入力!$J$6:$J$35,"&gt;0",⑪ZEN工程入力!$M$6:$M$35,"&gt;0")-SUMIFS(⑪ZEN工程入力!$J$6:$J$35,⑪ZEN工程入力!$S$6:$S$35,$J89,⑪ZEN工程入力!$J$6:$J$35,"&gt;0",⑪ZEN工程入力!$I$6:$I$35,"&gt;0",⑪ZEN工程入力!$M$6:$M$35,"&gt;0")+SUMIFS(⑫ミキサー工程入力!$J$6:$J$65,⑫ミキサー工程入力!$S$6:$S$65,$J89,⑫ミキサー工程入力!$J$6:$J$65,"&gt;0",⑫ミキサー工程入力!$M$6:$M$65,"&gt;0")-SUMIFS(⑫ミキサー工程入力!$J$6:$J$65,⑫ミキサー工程入力!$S$6:$S$65,$J89,⑫ミキサー工程入力!$J$6:$J$65,"&gt;0",⑫ミキサー工程入力!$I$6:$I$65,"&gt;0",⑫ミキサー工程入力!$M$6:$M$65,"&gt;0")+SUMIFS(⑬計量工程入力!$J$6:$J$65,⑬計量工程入力!$S$6:$S$65,$J89,⑬計量工程入力!$J$6:$J$65,"&gt;0",⑬計量工程入力!$M$6:$M$65,"&gt;0")-SUMIFS(⑬計量工程入力!$J$6:$J$65,⑬計量工程入力!$S$6:$S$65,$J89,⑬計量工程入力!$J$6:$J$65,"&gt;0",⑬計量工程入力!$I$6:$I$65,"&gt;0",⑬計量工程入力!$M$6:$M$65,"&gt;0")+SUMIFS(⑭手動工程入力!$J$6:$J$47,⑭手動工程入力!$S$6:$S$47,$J89,⑭手動工程入力!$J$6:$J$47,"&gt;0",⑭手動工程入力!$M$6:$M$47,"&gt;0")-SUMIFS(⑭手動工程入力!$J$6:$J$47,⑭手動工程入力!$S$6:$S$47,$J89,⑭手動工程入力!$J$6:$J$47,"&gt;0",⑭手動工程入力!$I$6:$I$47,"&gt;0",⑭手動工程入力!$M$6:$M$47,"&gt;0"))</f>
        <v/>
      </c>
      <c r="P89" s="392" t="n"/>
    </row>
    <row r="90">
      <c r="A90" s="392" t="n">
        <v>86</v>
      </c>
      <c r="B90" s="392" t="n"/>
      <c r="C90" s="392" t="n"/>
      <c r="D90" s="392" t="n"/>
      <c r="E90" s="392" t="n"/>
      <c r="F90" s="394" t="n"/>
      <c r="G90" s="392" t="n"/>
      <c r="H90" s="604">
        <f>IFERROR(IF(AND($K90&gt;0,ISNUMBER(IF(OR($D90="g",$D90="ｇ"),IF($M90&gt;0,$L90/$M90/1000,""),IF($D90="kg",IF($M90&gt;0,$L90/$M90,""),IF($D90="",IF($M90&gt;0,$L90/$M90/1000,IF($O90&gt;0,$N90/$O90,"")),IF($O90&gt;0,$N90/$O90,"")))))),IF(OR($D90="g",$D90="ｇ"),IF($M90&gt;0,$L90/$M90/1000,""),IF($D90="kg",IF($M90&gt;0,$L90/$M90,""),IF($D90="",IF($M90&gt;0,$L90/$M90/1000,IF($O90&gt;0,$N90/$O90,"")),IF($O90&gt;0,$N90/$O90,"")))),IF($F90="",IF(OR($E90="",$E90="⑩盛付梱包工程入力"),"",IF(OR($D90="g",$D90="ｇ"),INDEX(⑰工程労務費一覧!$N$5:$N$11,MATCH($E90,⑰工程労務費一覧!$K$5:$K$11,0))/1000,IF($D90="kg",INDEX(⑰工程労務費一覧!$N$5:$N$11,MATCH($E90,⑰工程労務費一覧!$K$5:$K$11,0)),IF(OR($D90="個",$D90="切",$D90="本",$D90="枚",$D90="尾"),IF($E90="⑬計量工程入力","",INDEX(⑰工程労務費一覧!$P$5:$P$11,MATCH($E90,⑰工程労務費一覧!$K$5:$K$11,0))),IF(AND($D90="",OR($E90="②釜工程入力",$E90="③スチコン工程入力")),INDEX(⑰工程労務費一覧!$N$5:$N$11,MATCH($E90,⑰工程労務費一覧!$K$5:$K$11,0))/1000,""))))),IF(OR($D90="g",$D90="ｇ"),INDEX(⑰工程労務費一覧!$H$5:$H$753,MATCH($F90,⑰工程労務費一覧!$D$5:$D$753,0))/1000,IF($D90="kg",INDEX(⑰工程労務費一覧!$H$5:$H$753,MATCH($F90,⑰工程労務費一覧!$D$5:$D$753,0)),INDEX(⑰工程労務費一覧!$I$5:$I$753,MATCH($F90,⑰工程労務費一覧!$D$5:$D$753,0)))))),"")</f>
        <v/>
      </c>
      <c r="I90" s="392">
        <f>IF($K90&gt;0,IF(ISNUMBER(IF(OR($D90="g",$D90="ｇ"),IF($M90&gt;0,$L90/$M90/1000,""),IF($D90="kg",IF($M90&gt;0,$L90/$M90,""),IF($D90="",IF($M90&gt;0,$L90/$M90/1000,IF($O90&gt;0,$N90/$O90,"")),IF($O90&gt;0,$N90/$O90,""))))),IF($D90="",IF($M90&gt;0,"◎ JAN紐づけ(g扱い)","◎ JAN紐づけ(個扱い)"),"◎ JAN紐づけ"),"△ JAN紐づけ済・実績不足→仮計算"),IF($F90="",IF(ISNUMBER($H90),IF($D90="","⑤ 工程平均で仮計算(g扱い)","⑤ 工程平均で仮計算"),IF($E90="⑩盛付梱包工程入力","⑥ 盛り込み(⑳F列で計上)",IF(AND($E90="⑬計量工程入力",OR($D90="個",$D90="切",$D90="本",$D90="枚",$D90="尾")),"① 未紐づけ(カット個単位は仮単価なし)","① 未紐づけ"))),IF(NOT(ISNUMBER($H90)),"② 工程側に単価なし",IF($D90="","③ 単位未設定(個で計算)","④ OK"))))</f>
        <v/>
      </c>
      <c r="J90" s="399">
        <f>IFERROR(LOOKUP(2,1/((中間品リスト!$F$2:$F$1299=$B90)*(中間品リスト!$E$2:$E$1299&lt;&gt;"-")*(中間品リスト!$E$2:$E$1299&lt;&gt;"")),中間品リスト!$E$2:$E$1299),"")</f>
        <v/>
      </c>
      <c r="K90" s="400">
        <f>IF($J90="",0,COUNTIF(②釜工程入力!$S$5:$S$117,$J90)+COUNTIF(③スチコン工程入力!$S$5:$S$152,$J90)+COUNTIF(⑪ZEN工程入力!$S$6:$S$35,$J90)+COUNTIF(⑫ミキサー工程入力!$S$6:$S$65,$J90)+COUNTIF(⑬計量工程入力!$S$6:$S$65,$J90)+COUNTIF(⑭手動工程入力!$S$6:$S$47,$J90))</f>
        <v/>
      </c>
      <c r="L90" s="393">
        <f>IF($J90="",0,SUMIFS(②釜工程入力!$M$5:$M$117,②釜工程入力!$S$5:$S$117,$J90,②釜工程入力!$I$5:$I$117,"&gt;0")+SUMIFS(③スチコン工程入力!$M$5:$M$152,③スチコン工程入力!$S$5:$S$152,$J90,③スチコン工程入力!$I$5:$I$152,"&gt;0")+SUMIFS(⑪ZEN工程入力!$M$6:$M$35,⑪ZEN工程入力!$S$6:$S$35,$J90,⑪ZEN工程入力!$I$6:$I$35,"&gt;0")+SUMIFS(⑫ミキサー工程入力!$M$6:$M$65,⑫ミキサー工程入力!$S$6:$S$65,$J90,⑫ミキサー工程入力!$I$6:$I$65,"&gt;0")+SUMIFS(⑬計量工程入力!$M$6:$M$65,⑬計量工程入力!$S$6:$S$65,$J90,⑬計量工程入力!$I$6:$I$65,"&gt;0")+SUMIFS(⑭手動工程入力!$M$6:$M$47,⑭手動工程入力!$S$6:$S$47,$J90,⑭手動工程入力!$I$6:$I$47,"&gt;0"))</f>
        <v/>
      </c>
      <c r="M90" s="393">
        <f>IF($J90="",0,SUMIFS(②釜工程入力!$I$5:$I$117,②釜工程入力!$S$5:$S$117,$J90,②釜工程入力!$I$5:$I$117,"&gt;0",②釜工程入力!$M$5:$M$117,"&gt;0")+SUMIFS(③スチコン工程入力!$I$5:$I$152,③スチコン工程入力!$S$5:$S$152,$J90,③スチコン工程入力!$I$5:$I$152,"&gt;0",③スチコン工程入力!$M$5:$M$152,"&gt;0")+SUMIFS(⑪ZEN工程入力!$I$6:$I$35,⑪ZEN工程入力!$S$6:$S$35,$J90,⑪ZEN工程入力!$I$6:$I$35,"&gt;0",⑪ZEN工程入力!$M$6:$M$35,"&gt;0")+SUMIFS(⑫ミキサー工程入力!$I$6:$I$65,⑫ミキサー工程入力!$S$6:$S$65,$J90,⑫ミキサー工程入力!$I$6:$I$65,"&gt;0",⑫ミキサー工程入力!$M$6:$M$65,"&gt;0")+SUMIFS(⑬計量工程入力!$I$6:$I$65,⑬計量工程入力!$S$6:$S$65,$J90,⑬計量工程入力!$I$6:$I$65,"&gt;0",⑬計量工程入力!$M$6:$M$65,"&gt;0")+SUMIFS(⑭手動工程入力!$I$6:$I$47,⑭手動工程入力!$S$6:$S$47,$J90,⑭手動工程入力!$I$6:$I$47,"&gt;0",⑭手動工程入力!$M$6:$M$47,"&gt;0"))</f>
        <v/>
      </c>
      <c r="N90" s="393">
        <f>IF($J90="",0,SUMIFS(②釜工程入力!$M$5:$M$117,②釜工程入力!$S$5:$S$117,$J90,②釜工程入力!$J$5:$J$117,"&gt;0")-SUMIFS(②釜工程入力!$M$5:$M$117,②釜工程入力!$S$5:$S$117,$J90,②釜工程入力!$J$5:$J$117,"&gt;0",②釜工程入力!$I$5:$I$117,"&gt;0")+SUMIFS(③スチコン工程入力!$M$5:$M$152,③スチコン工程入力!$S$5:$S$152,$J90,③スチコン工程入力!$J$5:$J$152,"&gt;0")-SUMIFS(③スチコン工程入力!$M$5:$M$152,③スチコン工程入力!$S$5:$S$152,$J90,③スチコン工程入力!$J$5:$J$152,"&gt;0",③スチコン工程入力!$I$5:$I$152,"&gt;0")+SUMIFS(⑪ZEN工程入力!$M$6:$M$35,⑪ZEN工程入力!$S$6:$S$35,$J90,⑪ZEN工程入力!$J$6:$J$35,"&gt;0")-SUMIFS(⑪ZEN工程入力!$M$6:$M$35,⑪ZEN工程入力!$S$6:$S$35,$J90,⑪ZEN工程入力!$J$6:$J$35,"&gt;0",⑪ZEN工程入力!$I$6:$I$35,"&gt;0")+SUMIFS(⑫ミキサー工程入力!$M$6:$M$65,⑫ミキサー工程入力!$S$6:$S$65,$J90,⑫ミキサー工程入力!$J$6:$J$65,"&gt;0")-SUMIFS(⑫ミキサー工程入力!$M$6:$M$65,⑫ミキサー工程入力!$S$6:$S$65,$J90,⑫ミキサー工程入力!$J$6:$J$65,"&gt;0",⑫ミキサー工程入力!$I$6:$I$65,"&gt;0")+SUMIFS(⑬計量工程入力!$M$6:$M$65,⑬計量工程入力!$S$6:$S$65,$J90,⑬計量工程入力!$J$6:$J$65,"&gt;0")-SUMIFS(⑬計量工程入力!$M$6:$M$65,⑬計量工程入力!$S$6:$S$65,$J90,⑬計量工程入力!$J$6:$J$65,"&gt;0",⑬計量工程入力!$I$6:$I$65,"&gt;0")+SUMIFS(⑭手動工程入力!$M$6:$M$47,⑭手動工程入力!$S$6:$S$47,$J90,⑭手動工程入力!$J$6:$J$47,"&gt;0")-SUMIFS(⑭手動工程入力!$M$6:$M$47,⑭手動工程入力!$S$6:$S$47,$J90,⑭手動工程入力!$J$6:$J$47,"&gt;0",⑭手動工程入力!$I$6:$I$47,"&gt;0"))</f>
        <v/>
      </c>
      <c r="O90" s="393">
        <f>IF($J90="",0,SUMIFS(②釜工程入力!$J$5:$J$117,②釜工程入力!$S$5:$S$117,$J90,②釜工程入力!$J$5:$J$117,"&gt;0",②釜工程入力!$M$5:$M$117,"&gt;0")-SUMIFS(②釜工程入力!$J$5:$J$117,②釜工程入力!$S$5:$S$117,$J90,②釜工程入力!$J$5:$J$117,"&gt;0",②釜工程入力!$I$5:$I$117,"&gt;0",②釜工程入力!$M$5:$M$117,"&gt;0")+SUMIFS(③スチコン工程入力!$J$5:$J$152,③スチコン工程入力!$S$5:$S$152,$J90,③スチコン工程入力!$J$5:$J$152,"&gt;0",③スチコン工程入力!$M$5:$M$152,"&gt;0")-SUMIFS(③スチコン工程入力!$J$5:$J$152,③スチコン工程入力!$S$5:$S$152,$J90,③スチコン工程入力!$J$5:$J$152,"&gt;0",③スチコン工程入力!$I$5:$I$152,"&gt;0",③スチコン工程入力!$M$5:$M$152,"&gt;0")+SUMIFS(⑪ZEN工程入力!$J$6:$J$35,⑪ZEN工程入力!$S$6:$S$35,$J90,⑪ZEN工程入力!$J$6:$J$35,"&gt;0",⑪ZEN工程入力!$M$6:$M$35,"&gt;0")-SUMIFS(⑪ZEN工程入力!$J$6:$J$35,⑪ZEN工程入力!$S$6:$S$35,$J90,⑪ZEN工程入力!$J$6:$J$35,"&gt;0",⑪ZEN工程入力!$I$6:$I$35,"&gt;0",⑪ZEN工程入力!$M$6:$M$35,"&gt;0")+SUMIFS(⑫ミキサー工程入力!$J$6:$J$65,⑫ミキサー工程入力!$S$6:$S$65,$J90,⑫ミキサー工程入力!$J$6:$J$65,"&gt;0",⑫ミキサー工程入力!$M$6:$M$65,"&gt;0")-SUMIFS(⑫ミキサー工程入力!$J$6:$J$65,⑫ミキサー工程入力!$S$6:$S$65,$J90,⑫ミキサー工程入力!$J$6:$J$65,"&gt;0",⑫ミキサー工程入力!$I$6:$I$65,"&gt;0",⑫ミキサー工程入力!$M$6:$M$65,"&gt;0")+SUMIFS(⑬計量工程入力!$J$6:$J$65,⑬計量工程入力!$S$6:$S$65,$J90,⑬計量工程入力!$J$6:$J$65,"&gt;0",⑬計量工程入力!$M$6:$M$65,"&gt;0")-SUMIFS(⑬計量工程入力!$J$6:$J$65,⑬計量工程入力!$S$6:$S$65,$J90,⑬計量工程入力!$J$6:$J$65,"&gt;0",⑬計量工程入力!$I$6:$I$65,"&gt;0",⑬計量工程入力!$M$6:$M$65,"&gt;0")+SUMIFS(⑭手動工程入力!$J$6:$J$47,⑭手動工程入力!$S$6:$S$47,$J90,⑭手動工程入力!$J$6:$J$47,"&gt;0",⑭手動工程入力!$M$6:$M$47,"&gt;0")-SUMIFS(⑭手動工程入力!$J$6:$J$47,⑭手動工程入力!$S$6:$S$47,$J90,⑭手動工程入力!$J$6:$J$47,"&gt;0",⑭手動工程入力!$I$6:$I$47,"&gt;0",⑭手動工程入力!$M$6:$M$47,"&gt;0"))</f>
        <v/>
      </c>
      <c r="P90" s="392" t="n"/>
    </row>
    <row r="91">
      <c r="A91" s="392" t="n">
        <v>87</v>
      </c>
      <c r="B91" s="392" t="n"/>
      <c r="C91" s="392" t="n"/>
      <c r="D91" s="392" t="n"/>
      <c r="E91" s="392" t="n"/>
      <c r="F91" s="394" t="n"/>
      <c r="G91" s="392" t="n"/>
      <c r="H91" s="604">
        <f>IFERROR(IF(AND($K91&gt;0,ISNUMBER(IF(OR($D91="g",$D91="ｇ"),IF($M91&gt;0,$L91/$M91/1000,""),IF($D91="kg",IF($M91&gt;0,$L91/$M91,""),IF($D91="",IF($M91&gt;0,$L91/$M91/1000,IF($O91&gt;0,$N91/$O91,"")),IF($O91&gt;0,$N91/$O91,"")))))),IF(OR($D91="g",$D91="ｇ"),IF($M91&gt;0,$L91/$M91/1000,""),IF($D91="kg",IF($M91&gt;0,$L91/$M91,""),IF($D91="",IF($M91&gt;0,$L91/$M91/1000,IF($O91&gt;0,$N91/$O91,"")),IF($O91&gt;0,$N91/$O91,"")))),IF($F91="",IF(OR($E91="",$E91="⑩盛付梱包工程入力"),"",IF(OR($D91="g",$D91="ｇ"),INDEX(⑰工程労務費一覧!$N$5:$N$11,MATCH($E91,⑰工程労務費一覧!$K$5:$K$11,0))/1000,IF($D91="kg",INDEX(⑰工程労務費一覧!$N$5:$N$11,MATCH($E91,⑰工程労務費一覧!$K$5:$K$11,0)),IF(OR($D91="個",$D91="切",$D91="本",$D91="枚",$D91="尾"),IF($E91="⑬計量工程入力","",INDEX(⑰工程労務費一覧!$P$5:$P$11,MATCH($E91,⑰工程労務費一覧!$K$5:$K$11,0))),IF(AND($D91="",OR($E91="②釜工程入力",$E91="③スチコン工程入力")),INDEX(⑰工程労務費一覧!$N$5:$N$11,MATCH($E91,⑰工程労務費一覧!$K$5:$K$11,0))/1000,""))))),IF(OR($D91="g",$D91="ｇ"),INDEX(⑰工程労務費一覧!$H$5:$H$753,MATCH($F91,⑰工程労務費一覧!$D$5:$D$753,0))/1000,IF($D91="kg",INDEX(⑰工程労務費一覧!$H$5:$H$753,MATCH($F91,⑰工程労務費一覧!$D$5:$D$753,0)),INDEX(⑰工程労務費一覧!$I$5:$I$753,MATCH($F91,⑰工程労務費一覧!$D$5:$D$753,0)))))),"")</f>
        <v/>
      </c>
      <c r="I91" s="392">
        <f>IF($K91&gt;0,IF(ISNUMBER(IF(OR($D91="g",$D91="ｇ"),IF($M91&gt;0,$L91/$M91/1000,""),IF($D91="kg",IF($M91&gt;0,$L91/$M91,""),IF($D91="",IF($M91&gt;0,$L91/$M91/1000,IF($O91&gt;0,$N91/$O91,"")),IF($O91&gt;0,$N91/$O91,""))))),IF($D91="",IF($M91&gt;0,"◎ JAN紐づけ(g扱い)","◎ JAN紐づけ(個扱い)"),"◎ JAN紐づけ"),"△ JAN紐づけ済・実績不足→仮計算"),IF($F91="",IF(ISNUMBER($H91),IF($D91="","⑤ 工程平均で仮計算(g扱い)","⑤ 工程平均で仮計算"),IF($E91="⑩盛付梱包工程入力","⑥ 盛り込み(⑳F列で計上)",IF(AND($E91="⑬計量工程入力",OR($D91="個",$D91="切",$D91="本",$D91="枚",$D91="尾")),"① 未紐づけ(カット個単位は仮単価なし)","① 未紐づけ"))),IF(NOT(ISNUMBER($H91)),"② 工程側に単価なし",IF($D91="","③ 単位未設定(個で計算)","④ OK"))))</f>
        <v/>
      </c>
      <c r="J91" s="399">
        <f>IFERROR(LOOKUP(2,1/((中間品リスト!$F$2:$F$1299=$B91)*(中間品リスト!$E$2:$E$1299&lt;&gt;"-")*(中間品リスト!$E$2:$E$1299&lt;&gt;"")),中間品リスト!$E$2:$E$1299),"")</f>
        <v/>
      </c>
      <c r="K91" s="400">
        <f>IF($J91="",0,COUNTIF(②釜工程入力!$S$5:$S$117,$J91)+COUNTIF(③スチコン工程入力!$S$5:$S$152,$J91)+COUNTIF(⑪ZEN工程入力!$S$6:$S$35,$J91)+COUNTIF(⑫ミキサー工程入力!$S$6:$S$65,$J91)+COUNTIF(⑬計量工程入力!$S$6:$S$65,$J91)+COUNTIF(⑭手動工程入力!$S$6:$S$47,$J91))</f>
        <v/>
      </c>
      <c r="L91" s="393">
        <f>IF($J91="",0,SUMIFS(②釜工程入力!$M$5:$M$117,②釜工程入力!$S$5:$S$117,$J91,②釜工程入力!$I$5:$I$117,"&gt;0")+SUMIFS(③スチコン工程入力!$M$5:$M$152,③スチコン工程入力!$S$5:$S$152,$J91,③スチコン工程入力!$I$5:$I$152,"&gt;0")+SUMIFS(⑪ZEN工程入力!$M$6:$M$35,⑪ZEN工程入力!$S$6:$S$35,$J91,⑪ZEN工程入力!$I$6:$I$35,"&gt;0")+SUMIFS(⑫ミキサー工程入力!$M$6:$M$65,⑫ミキサー工程入力!$S$6:$S$65,$J91,⑫ミキサー工程入力!$I$6:$I$65,"&gt;0")+SUMIFS(⑬計量工程入力!$M$6:$M$65,⑬計量工程入力!$S$6:$S$65,$J91,⑬計量工程入力!$I$6:$I$65,"&gt;0")+SUMIFS(⑭手動工程入力!$M$6:$M$47,⑭手動工程入力!$S$6:$S$47,$J91,⑭手動工程入力!$I$6:$I$47,"&gt;0"))</f>
        <v/>
      </c>
      <c r="M91" s="393">
        <f>IF($J91="",0,SUMIFS(②釜工程入力!$I$5:$I$117,②釜工程入力!$S$5:$S$117,$J91,②釜工程入力!$I$5:$I$117,"&gt;0",②釜工程入力!$M$5:$M$117,"&gt;0")+SUMIFS(③スチコン工程入力!$I$5:$I$152,③スチコン工程入力!$S$5:$S$152,$J91,③スチコン工程入力!$I$5:$I$152,"&gt;0",③スチコン工程入力!$M$5:$M$152,"&gt;0")+SUMIFS(⑪ZEN工程入力!$I$6:$I$35,⑪ZEN工程入力!$S$6:$S$35,$J91,⑪ZEN工程入力!$I$6:$I$35,"&gt;0",⑪ZEN工程入力!$M$6:$M$35,"&gt;0")+SUMIFS(⑫ミキサー工程入力!$I$6:$I$65,⑫ミキサー工程入力!$S$6:$S$65,$J91,⑫ミキサー工程入力!$I$6:$I$65,"&gt;0",⑫ミキサー工程入力!$M$6:$M$65,"&gt;0")+SUMIFS(⑬計量工程入力!$I$6:$I$65,⑬計量工程入力!$S$6:$S$65,$J91,⑬計量工程入力!$I$6:$I$65,"&gt;0",⑬計量工程入力!$M$6:$M$65,"&gt;0")+SUMIFS(⑭手動工程入力!$I$6:$I$47,⑭手動工程入力!$S$6:$S$47,$J91,⑭手動工程入力!$I$6:$I$47,"&gt;0",⑭手動工程入力!$M$6:$M$47,"&gt;0"))</f>
        <v/>
      </c>
      <c r="N91" s="393">
        <f>IF($J91="",0,SUMIFS(②釜工程入力!$M$5:$M$117,②釜工程入力!$S$5:$S$117,$J91,②釜工程入力!$J$5:$J$117,"&gt;0")-SUMIFS(②釜工程入力!$M$5:$M$117,②釜工程入力!$S$5:$S$117,$J91,②釜工程入力!$J$5:$J$117,"&gt;0",②釜工程入力!$I$5:$I$117,"&gt;0")+SUMIFS(③スチコン工程入力!$M$5:$M$152,③スチコン工程入力!$S$5:$S$152,$J91,③スチコン工程入力!$J$5:$J$152,"&gt;0")-SUMIFS(③スチコン工程入力!$M$5:$M$152,③スチコン工程入力!$S$5:$S$152,$J91,③スチコン工程入力!$J$5:$J$152,"&gt;0",③スチコン工程入力!$I$5:$I$152,"&gt;0")+SUMIFS(⑪ZEN工程入力!$M$6:$M$35,⑪ZEN工程入力!$S$6:$S$35,$J91,⑪ZEN工程入力!$J$6:$J$35,"&gt;0")-SUMIFS(⑪ZEN工程入力!$M$6:$M$35,⑪ZEN工程入力!$S$6:$S$35,$J91,⑪ZEN工程入力!$J$6:$J$35,"&gt;0",⑪ZEN工程入力!$I$6:$I$35,"&gt;0")+SUMIFS(⑫ミキサー工程入力!$M$6:$M$65,⑫ミキサー工程入力!$S$6:$S$65,$J91,⑫ミキサー工程入力!$J$6:$J$65,"&gt;0")-SUMIFS(⑫ミキサー工程入力!$M$6:$M$65,⑫ミキサー工程入力!$S$6:$S$65,$J91,⑫ミキサー工程入力!$J$6:$J$65,"&gt;0",⑫ミキサー工程入力!$I$6:$I$65,"&gt;0")+SUMIFS(⑬計量工程入力!$M$6:$M$65,⑬計量工程入力!$S$6:$S$65,$J91,⑬計量工程入力!$J$6:$J$65,"&gt;0")-SUMIFS(⑬計量工程入力!$M$6:$M$65,⑬計量工程入力!$S$6:$S$65,$J91,⑬計量工程入力!$J$6:$J$65,"&gt;0",⑬計量工程入力!$I$6:$I$65,"&gt;0")+SUMIFS(⑭手動工程入力!$M$6:$M$47,⑭手動工程入力!$S$6:$S$47,$J91,⑭手動工程入力!$J$6:$J$47,"&gt;0")-SUMIFS(⑭手動工程入力!$M$6:$M$47,⑭手動工程入力!$S$6:$S$47,$J91,⑭手動工程入力!$J$6:$J$47,"&gt;0",⑭手動工程入力!$I$6:$I$47,"&gt;0"))</f>
        <v/>
      </c>
      <c r="O91" s="393">
        <f>IF($J91="",0,SUMIFS(②釜工程入力!$J$5:$J$117,②釜工程入力!$S$5:$S$117,$J91,②釜工程入力!$J$5:$J$117,"&gt;0",②釜工程入力!$M$5:$M$117,"&gt;0")-SUMIFS(②釜工程入力!$J$5:$J$117,②釜工程入力!$S$5:$S$117,$J91,②釜工程入力!$J$5:$J$117,"&gt;0",②釜工程入力!$I$5:$I$117,"&gt;0",②釜工程入力!$M$5:$M$117,"&gt;0")+SUMIFS(③スチコン工程入力!$J$5:$J$152,③スチコン工程入力!$S$5:$S$152,$J91,③スチコン工程入力!$J$5:$J$152,"&gt;0",③スチコン工程入力!$M$5:$M$152,"&gt;0")-SUMIFS(③スチコン工程入力!$J$5:$J$152,③スチコン工程入力!$S$5:$S$152,$J91,③スチコン工程入力!$J$5:$J$152,"&gt;0",③スチコン工程入力!$I$5:$I$152,"&gt;0",③スチコン工程入力!$M$5:$M$152,"&gt;0")+SUMIFS(⑪ZEN工程入力!$J$6:$J$35,⑪ZEN工程入力!$S$6:$S$35,$J91,⑪ZEN工程入力!$J$6:$J$35,"&gt;0",⑪ZEN工程入力!$M$6:$M$35,"&gt;0")-SUMIFS(⑪ZEN工程入力!$J$6:$J$35,⑪ZEN工程入力!$S$6:$S$35,$J91,⑪ZEN工程入力!$J$6:$J$35,"&gt;0",⑪ZEN工程入力!$I$6:$I$35,"&gt;0",⑪ZEN工程入力!$M$6:$M$35,"&gt;0")+SUMIFS(⑫ミキサー工程入力!$J$6:$J$65,⑫ミキサー工程入力!$S$6:$S$65,$J91,⑫ミキサー工程入力!$J$6:$J$65,"&gt;0",⑫ミキサー工程入力!$M$6:$M$65,"&gt;0")-SUMIFS(⑫ミキサー工程入力!$J$6:$J$65,⑫ミキサー工程入力!$S$6:$S$65,$J91,⑫ミキサー工程入力!$J$6:$J$65,"&gt;0",⑫ミキサー工程入力!$I$6:$I$65,"&gt;0",⑫ミキサー工程入力!$M$6:$M$65,"&gt;0")+SUMIFS(⑬計量工程入力!$J$6:$J$65,⑬計量工程入力!$S$6:$S$65,$J91,⑬計量工程入力!$J$6:$J$65,"&gt;0",⑬計量工程入力!$M$6:$M$65,"&gt;0")-SUMIFS(⑬計量工程入力!$J$6:$J$65,⑬計量工程入力!$S$6:$S$65,$J91,⑬計量工程入力!$J$6:$J$65,"&gt;0",⑬計量工程入力!$I$6:$I$65,"&gt;0",⑬計量工程入力!$M$6:$M$65,"&gt;0")+SUMIFS(⑭手動工程入力!$J$6:$J$47,⑭手動工程入力!$S$6:$S$47,$J91,⑭手動工程入力!$J$6:$J$47,"&gt;0",⑭手動工程入力!$M$6:$M$47,"&gt;0")-SUMIFS(⑭手動工程入力!$J$6:$J$47,⑭手動工程入力!$S$6:$S$47,$J91,⑭手動工程入力!$J$6:$J$47,"&gt;0",⑭手動工程入力!$I$6:$I$47,"&gt;0",⑭手動工程入力!$M$6:$M$47,"&gt;0"))</f>
        <v/>
      </c>
      <c r="P91" s="392" t="n"/>
    </row>
    <row r="92">
      <c r="A92" s="392" t="n">
        <v>88</v>
      </c>
      <c r="B92" s="392" t="n"/>
      <c r="C92" s="392" t="n"/>
      <c r="D92" s="392" t="n"/>
      <c r="E92" s="392" t="n"/>
      <c r="F92" s="394" t="n"/>
      <c r="G92" s="392" t="n"/>
      <c r="H92" s="604">
        <f>IFERROR(IF(AND($K92&gt;0,ISNUMBER(IF(OR($D92="g",$D92="ｇ"),IF($M92&gt;0,$L92/$M92/1000,""),IF($D92="kg",IF($M92&gt;0,$L92/$M92,""),IF($D92="",IF($M92&gt;0,$L92/$M92/1000,IF($O92&gt;0,$N92/$O92,"")),IF($O92&gt;0,$N92/$O92,"")))))),IF(OR($D92="g",$D92="ｇ"),IF($M92&gt;0,$L92/$M92/1000,""),IF($D92="kg",IF($M92&gt;0,$L92/$M92,""),IF($D92="",IF($M92&gt;0,$L92/$M92/1000,IF($O92&gt;0,$N92/$O92,"")),IF($O92&gt;0,$N92/$O92,"")))),IF($F92="",IF(OR($E92="",$E92="⑩盛付梱包工程入力"),"",IF(OR($D92="g",$D92="ｇ"),INDEX(⑰工程労務費一覧!$N$5:$N$11,MATCH($E92,⑰工程労務費一覧!$K$5:$K$11,0))/1000,IF($D92="kg",INDEX(⑰工程労務費一覧!$N$5:$N$11,MATCH($E92,⑰工程労務費一覧!$K$5:$K$11,0)),IF(OR($D92="個",$D92="切",$D92="本",$D92="枚",$D92="尾"),IF($E92="⑬計量工程入力","",INDEX(⑰工程労務費一覧!$P$5:$P$11,MATCH($E92,⑰工程労務費一覧!$K$5:$K$11,0))),IF(AND($D92="",OR($E92="②釜工程入力",$E92="③スチコン工程入力")),INDEX(⑰工程労務費一覧!$N$5:$N$11,MATCH($E92,⑰工程労務費一覧!$K$5:$K$11,0))/1000,""))))),IF(OR($D92="g",$D92="ｇ"),INDEX(⑰工程労務費一覧!$H$5:$H$753,MATCH($F92,⑰工程労務費一覧!$D$5:$D$753,0))/1000,IF($D92="kg",INDEX(⑰工程労務費一覧!$H$5:$H$753,MATCH($F92,⑰工程労務費一覧!$D$5:$D$753,0)),INDEX(⑰工程労務費一覧!$I$5:$I$753,MATCH($F92,⑰工程労務費一覧!$D$5:$D$753,0)))))),"")</f>
        <v/>
      </c>
      <c r="I92" s="392">
        <f>IF($K92&gt;0,IF(ISNUMBER(IF(OR($D92="g",$D92="ｇ"),IF($M92&gt;0,$L92/$M92/1000,""),IF($D92="kg",IF($M92&gt;0,$L92/$M92,""),IF($D92="",IF($M92&gt;0,$L92/$M92/1000,IF($O92&gt;0,$N92/$O92,"")),IF($O92&gt;0,$N92/$O92,""))))),IF($D92="",IF($M92&gt;0,"◎ JAN紐づけ(g扱い)","◎ JAN紐づけ(個扱い)"),"◎ JAN紐づけ"),"△ JAN紐づけ済・実績不足→仮計算"),IF($F92="",IF(ISNUMBER($H92),IF($D92="","⑤ 工程平均で仮計算(g扱い)","⑤ 工程平均で仮計算"),IF($E92="⑩盛付梱包工程入力","⑥ 盛り込み(⑳F列で計上)",IF(AND($E92="⑬計量工程入力",OR($D92="個",$D92="切",$D92="本",$D92="枚",$D92="尾")),"① 未紐づけ(カット個単位は仮単価なし)","① 未紐づけ"))),IF(NOT(ISNUMBER($H92)),"② 工程側に単価なし",IF($D92="","③ 単位未設定(個で計算)","④ OK"))))</f>
        <v/>
      </c>
      <c r="J92" s="399">
        <f>IFERROR(LOOKUP(2,1/((中間品リスト!$F$2:$F$1299=$B92)*(中間品リスト!$E$2:$E$1299&lt;&gt;"-")*(中間品リスト!$E$2:$E$1299&lt;&gt;"")),中間品リスト!$E$2:$E$1299),"")</f>
        <v/>
      </c>
      <c r="K92" s="400">
        <f>IF($J92="",0,COUNTIF(②釜工程入力!$S$5:$S$117,$J92)+COUNTIF(③スチコン工程入力!$S$5:$S$152,$J92)+COUNTIF(⑪ZEN工程入力!$S$6:$S$35,$J92)+COUNTIF(⑫ミキサー工程入力!$S$6:$S$65,$J92)+COUNTIF(⑬計量工程入力!$S$6:$S$65,$J92)+COUNTIF(⑭手動工程入力!$S$6:$S$47,$J92))</f>
        <v/>
      </c>
      <c r="L92" s="393">
        <f>IF($J92="",0,SUMIFS(②釜工程入力!$M$5:$M$117,②釜工程入力!$S$5:$S$117,$J92,②釜工程入力!$I$5:$I$117,"&gt;0")+SUMIFS(③スチコン工程入力!$M$5:$M$152,③スチコン工程入力!$S$5:$S$152,$J92,③スチコン工程入力!$I$5:$I$152,"&gt;0")+SUMIFS(⑪ZEN工程入力!$M$6:$M$35,⑪ZEN工程入力!$S$6:$S$35,$J92,⑪ZEN工程入力!$I$6:$I$35,"&gt;0")+SUMIFS(⑫ミキサー工程入力!$M$6:$M$65,⑫ミキサー工程入力!$S$6:$S$65,$J92,⑫ミキサー工程入力!$I$6:$I$65,"&gt;0")+SUMIFS(⑬計量工程入力!$M$6:$M$65,⑬計量工程入力!$S$6:$S$65,$J92,⑬計量工程入力!$I$6:$I$65,"&gt;0")+SUMIFS(⑭手動工程入力!$M$6:$M$47,⑭手動工程入力!$S$6:$S$47,$J92,⑭手動工程入力!$I$6:$I$47,"&gt;0"))</f>
        <v/>
      </c>
      <c r="M92" s="393">
        <f>IF($J92="",0,SUMIFS(②釜工程入力!$I$5:$I$117,②釜工程入力!$S$5:$S$117,$J92,②釜工程入力!$I$5:$I$117,"&gt;0",②釜工程入力!$M$5:$M$117,"&gt;0")+SUMIFS(③スチコン工程入力!$I$5:$I$152,③スチコン工程入力!$S$5:$S$152,$J92,③スチコン工程入力!$I$5:$I$152,"&gt;0",③スチコン工程入力!$M$5:$M$152,"&gt;0")+SUMIFS(⑪ZEN工程入力!$I$6:$I$35,⑪ZEN工程入力!$S$6:$S$35,$J92,⑪ZEN工程入力!$I$6:$I$35,"&gt;0",⑪ZEN工程入力!$M$6:$M$35,"&gt;0")+SUMIFS(⑫ミキサー工程入力!$I$6:$I$65,⑫ミキサー工程入力!$S$6:$S$65,$J92,⑫ミキサー工程入力!$I$6:$I$65,"&gt;0",⑫ミキサー工程入力!$M$6:$M$65,"&gt;0")+SUMIFS(⑬計量工程入力!$I$6:$I$65,⑬計量工程入力!$S$6:$S$65,$J92,⑬計量工程入力!$I$6:$I$65,"&gt;0",⑬計量工程入力!$M$6:$M$65,"&gt;0")+SUMIFS(⑭手動工程入力!$I$6:$I$47,⑭手動工程入力!$S$6:$S$47,$J92,⑭手動工程入力!$I$6:$I$47,"&gt;0",⑭手動工程入力!$M$6:$M$47,"&gt;0"))</f>
        <v/>
      </c>
      <c r="N92" s="393">
        <f>IF($J92="",0,SUMIFS(②釜工程入力!$M$5:$M$117,②釜工程入力!$S$5:$S$117,$J92,②釜工程入力!$J$5:$J$117,"&gt;0")-SUMIFS(②釜工程入力!$M$5:$M$117,②釜工程入力!$S$5:$S$117,$J92,②釜工程入力!$J$5:$J$117,"&gt;0",②釜工程入力!$I$5:$I$117,"&gt;0")+SUMIFS(③スチコン工程入力!$M$5:$M$152,③スチコン工程入力!$S$5:$S$152,$J92,③スチコン工程入力!$J$5:$J$152,"&gt;0")-SUMIFS(③スチコン工程入力!$M$5:$M$152,③スチコン工程入力!$S$5:$S$152,$J92,③スチコン工程入力!$J$5:$J$152,"&gt;0",③スチコン工程入力!$I$5:$I$152,"&gt;0")+SUMIFS(⑪ZEN工程入力!$M$6:$M$35,⑪ZEN工程入力!$S$6:$S$35,$J92,⑪ZEN工程入力!$J$6:$J$35,"&gt;0")-SUMIFS(⑪ZEN工程入力!$M$6:$M$35,⑪ZEN工程入力!$S$6:$S$35,$J92,⑪ZEN工程入力!$J$6:$J$35,"&gt;0",⑪ZEN工程入力!$I$6:$I$35,"&gt;0")+SUMIFS(⑫ミキサー工程入力!$M$6:$M$65,⑫ミキサー工程入力!$S$6:$S$65,$J92,⑫ミキサー工程入力!$J$6:$J$65,"&gt;0")-SUMIFS(⑫ミキサー工程入力!$M$6:$M$65,⑫ミキサー工程入力!$S$6:$S$65,$J92,⑫ミキサー工程入力!$J$6:$J$65,"&gt;0",⑫ミキサー工程入力!$I$6:$I$65,"&gt;0")+SUMIFS(⑬計量工程入力!$M$6:$M$65,⑬計量工程入力!$S$6:$S$65,$J92,⑬計量工程入力!$J$6:$J$65,"&gt;0")-SUMIFS(⑬計量工程入力!$M$6:$M$65,⑬計量工程入力!$S$6:$S$65,$J92,⑬計量工程入力!$J$6:$J$65,"&gt;0",⑬計量工程入力!$I$6:$I$65,"&gt;0")+SUMIFS(⑭手動工程入力!$M$6:$M$47,⑭手動工程入力!$S$6:$S$47,$J92,⑭手動工程入力!$J$6:$J$47,"&gt;0")-SUMIFS(⑭手動工程入力!$M$6:$M$47,⑭手動工程入力!$S$6:$S$47,$J92,⑭手動工程入力!$J$6:$J$47,"&gt;0",⑭手動工程入力!$I$6:$I$47,"&gt;0"))</f>
        <v/>
      </c>
      <c r="O92" s="393">
        <f>IF($J92="",0,SUMIFS(②釜工程入力!$J$5:$J$117,②釜工程入力!$S$5:$S$117,$J92,②釜工程入力!$J$5:$J$117,"&gt;0",②釜工程入力!$M$5:$M$117,"&gt;0")-SUMIFS(②釜工程入力!$J$5:$J$117,②釜工程入力!$S$5:$S$117,$J92,②釜工程入力!$J$5:$J$117,"&gt;0",②釜工程入力!$I$5:$I$117,"&gt;0",②釜工程入力!$M$5:$M$117,"&gt;0")+SUMIFS(③スチコン工程入力!$J$5:$J$152,③スチコン工程入力!$S$5:$S$152,$J92,③スチコン工程入力!$J$5:$J$152,"&gt;0",③スチコン工程入力!$M$5:$M$152,"&gt;0")-SUMIFS(③スチコン工程入力!$J$5:$J$152,③スチコン工程入力!$S$5:$S$152,$J92,③スチコン工程入力!$J$5:$J$152,"&gt;0",③スチコン工程入力!$I$5:$I$152,"&gt;0",③スチコン工程入力!$M$5:$M$152,"&gt;0")+SUMIFS(⑪ZEN工程入力!$J$6:$J$35,⑪ZEN工程入力!$S$6:$S$35,$J92,⑪ZEN工程入力!$J$6:$J$35,"&gt;0",⑪ZEN工程入力!$M$6:$M$35,"&gt;0")-SUMIFS(⑪ZEN工程入力!$J$6:$J$35,⑪ZEN工程入力!$S$6:$S$35,$J92,⑪ZEN工程入力!$J$6:$J$35,"&gt;0",⑪ZEN工程入力!$I$6:$I$35,"&gt;0",⑪ZEN工程入力!$M$6:$M$35,"&gt;0")+SUMIFS(⑫ミキサー工程入力!$J$6:$J$65,⑫ミキサー工程入力!$S$6:$S$65,$J92,⑫ミキサー工程入力!$J$6:$J$65,"&gt;0",⑫ミキサー工程入力!$M$6:$M$65,"&gt;0")-SUMIFS(⑫ミキサー工程入力!$J$6:$J$65,⑫ミキサー工程入力!$S$6:$S$65,$J92,⑫ミキサー工程入力!$J$6:$J$65,"&gt;0",⑫ミキサー工程入力!$I$6:$I$65,"&gt;0",⑫ミキサー工程入力!$M$6:$M$65,"&gt;0")+SUMIFS(⑬計量工程入力!$J$6:$J$65,⑬計量工程入力!$S$6:$S$65,$J92,⑬計量工程入力!$J$6:$J$65,"&gt;0",⑬計量工程入力!$M$6:$M$65,"&gt;0")-SUMIFS(⑬計量工程入力!$J$6:$J$65,⑬計量工程入力!$S$6:$S$65,$J92,⑬計量工程入力!$J$6:$J$65,"&gt;0",⑬計量工程入力!$I$6:$I$65,"&gt;0",⑬計量工程入力!$M$6:$M$65,"&gt;0")+SUMIFS(⑭手動工程入力!$J$6:$J$47,⑭手動工程入力!$S$6:$S$47,$J92,⑭手動工程入力!$J$6:$J$47,"&gt;0",⑭手動工程入力!$M$6:$M$47,"&gt;0")-SUMIFS(⑭手動工程入力!$J$6:$J$47,⑭手動工程入力!$S$6:$S$47,$J92,⑭手動工程入力!$J$6:$J$47,"&gt;0",⑭手動工程入力!$I$6:$I$47,"&gt;0",⑭手動工程入力!$M$6:$M$47,"&gt;0"))</f>
        <v/>
      </c>
      <c r="P92" s="392" t="n"/>
    </row>
    <row r="93">
      <c r="A93" s="392" t="n">
        <v>89</v>
      </c>
      <c r="B93" s="392" t="n"/>
      <c r="C93" s="392" t="n"/>
      <c r="D93" s="392" t="n"/>
      <c r="E93" s="392" t="n"/>
      <c r="F93" s="394" t="n"/>
      <c r="G93" s="392" t="n"/>
      <c r="H93" s="604">
        <f>IFERROR(IF(AND($K93&gt;0,ISNUMBER(IF(OR($D93="g",$D93="ｇ"),IF($M93&gt;0,$L93/$M93/1000,""),IF($D93="kg",IF($M93&gt;0,$L93/$M93,""),IF($D93="",IF($M93&gt;0,$L93/$M93/1000,IF($O93&gt;0,$N93/$O93,"")),IF($O93&gt;0,$N93/$O93,"")))))),IF(OR($D93="g",$D93="ｇ"),IF($M93&gt;0,$L93/$M93/1000,""),IF($D93="kg",IF($M93&gt;0,$L93/$M93,""),IF($D93="",IF($M93&gt;0,$L93/$M93/1000,IF($O93&gt;0,$N93/$O93,"")),IF($O93&gt;0,$N93/$O93,"")))),IF($F93="",IF(OR($E93="",$E93="⑩盛付梱包工程入力"),"",IF(OR($D93="g",$D93="ｇ"),INDEX(⑰工程労務費一覧!$N$5:$N$11,MATCH($E93,⑰工程労務費一覧!$K$5:$K$11,0))/1000,IF($D93="kg",INDEX(⑰工程労務費一覧!$N$5:$N$11,MATCH($E93,⑰工程労務費一覧!$K$5:$K$11,0)),IF(OR($D93="個",$D93="切",$D93="本",$D93="枚",$D93="尾"),IF($E93="⑬計量工程入力","",INDEX(⑰工程労務費一覧!$P$5:$P$11,MATCH($E93,⑰工程労務費一覧!$K$5:$K$11,0))),IF(AND($D93="",OR($E93="②釜工程入力",$E93="③スチコン工程入力")),INDEX(⑰工程労務費一覧!$N$5:$N$11,MATCH($E93,⑰工程労務費一覧!$K$5:$K$11,0))/1000,""))))),IF(OR($D93="g",$D93="ｇ"),INDEX(⑰工程労務費一覧!$H$5:$H$753,MATCH($F93,⑰工程労務費一覧!$D$5:$D$753,0))/1000,IF($D93="kg",INDEX(⑰工程労務費一覧!$H$5:$H$753,MATCH($F93,⑰工程労務費一覧!$D$5:$D$753,0)),INDEX(⑰工程労務費一覧!$I$5:$I$753,MATCH($F93,⑰工程労務費一覧!$D$5:$D$753,0)))))),"")</f>
        <v/>
      </c>
      <c r="I93" s="392">
        <f>IF($K93&gt;0,IF(ISNUMBER(IF(OR($D93="g",$D93="ｇ"),IF($M93&gt;0,$L93/$M93/1000,""),IF($D93="kg",IF($M93&gt;0,$L93/$M93,""),IF($D93="",IF($M93&gt;0,$L93/$M93/1000,IF($O93&gt;0,$N93/$O93,"")),IF($O93&gt;0,$N93/$O93,""))))),IF($D93="",IF($M93&gt;0,"◎ JAN紐づけ(g扱い)","◎ JAN紐づけ(個扱い)"),"◎ JAN紐づけ"),"△ JAN紐づけ済・実績不足→仮計算"),IF($F93="",IF(ISNUMBER($H93),IF($D93="","⑤ 工程平均で仮計算(g扱い)","⑤ 工程平均で仮計算"),IF($E93="⑩盛付梱包工程入力","⑥ 盛り込み(⑳F列で計上)",IF(AND($E93="⑬計量工程入力",OR($D93="個",$D93="切",$D93="本",$D93="枚",$D93="尾")),"① 未紐づけ(カット個単位は仮単価なし)","① 未紐づけ"))),IF(NOT(ISNUMBER($H93)),"② 工程側に単価なし",IF($D93="","③ 単位未設定(個で計算)","④ OK"))))</f>
        <v/>
      </c>
      <c r="J93" s="399">
        <f>IFERROR(LOOKUP(2,1/((中間品リスト!$F$2:$F$1299=$B93)*(中間品リスト!$E$2:$E$1299&lt;&gt;"-")*(中間品リスト!$E$2:$E$1299&lt;&gt;"")),中間品リスト!$E$2:$E$1299),"")</f>
        <v/>
      </c>
      <c r="K93" s="400">
        <f>IF($J93="",0,COUNTIF(②釜工程入力!$S$5:$S$117,$J93)+COUNTIF(③スチコン工程入力!$S$5:$S$152,$J93)+COUNTIF(⑪ZEN工程入力!$S$6:$S$35,$J93)+COUNTIF(⑫ミキサー工程入力!$S$6:$S$65,$J93)+COUNTIF(⑬計量工程入力!$S$6:$S$65,$J93)+COUNTIF(⑭手動工程入力!$S$6:$S$47,$J93))</f>
        <v/>
      </c>
      <c r="L93" s="393">
        <f>IF($J93="",0,SUMIFS(②釜工程入力!$M$5:$M$117,②釜工程入力!$S$5:$S$117,$J93,②釜工程入力!$I$5:$I$117,"&gt;0")+SUMIFS(③スチコン工程入力!$M$5:$M$152,③スチコン工程入力!$S$5:$S$152,$J93,③スチコン工程入力!$I$5:$I$152,"&gt;0")+SUMIFS(⑪ZEN工程入力!$M$6:$M$35,⑪ZEN工程入力!$S$6:$S$35,$J93,⑪ZEN工程入力!$I$6:$I$35,"&gt;0")+SUMIFS(⑫ミキサー工程入力!$M$6:$M$65,⑫ミキサー工程入力!$S$6:$S$65,$J93,⑫ミキサー工程入力!$I$6:$I$65,"&gt;0")+SUMIFS(⑬計量工程入力!$M$6:$M$65,⑬計量工程入力!$S$6:$S$65,$J93,⑬計量工程入力!$I$6:$I$65,"&gt;0")+SUMIFS(⑭手動工程入力!$M$6:$M$47,⑭手動工程入力!$S$6:$S$47,$J93,⑭手動工程入力!$I$6:$I$47,"&gt;0"))</f>
        <v/>
      </c>
      <c r="M93" s="393">
        <f>IF($J93="",0,SUMIFS(②釜工程入力!$I$5:$I$117,②釜工程入力!$S$5:$S$117,$J93,②釜工程入力!$I$5:$I$117,"&gt;0",②釜工程入力!$M$5:$M$117,"&gt;0")+SUMIFS(③スチコン工程入力!$I$5:$I$152,③スチコン工程入力!$S$5:$S$152,$J93,③スチコン工程入力!$I$5:$I$152,"&gt;0",③スチコン工程入力!$M$5:$M$152,"&gt;0")+SUMIFS(⑪ZEN工程入力!$I$6:$I$35,⑪ZEN工程入力!$S$6:$S$35,$J93,⑪ZEN工程入力!$I$6:$I$35,"&gt;0",⑪ZEN工程入力!$M$6:$M$35,"&gt;0")+SUMIFS(⑫ミキサー工程入力!$I$6:$I$65,⑫ミキサー工程入力!$S$6:$S$65,$J93,⑫ミキサー工程入力!$I$6:$I$65,"&gt;0",⑫ミキサー工程入力!$M$6:$M$65,"&gt;0")+SUMIFS(⑬計量工程入力!$I$6:$I$65,⑬計量工程入力!$S$6:$S$65,$J93,⑬計量工程入力!$I$6:$I$65,"&gt;0",⑬計量工程入力!$M$6:$M$65,"&gt;0")+SUMIFS(⑭手動工程入力!$I$6:$I$47,⑭手動工程入力!$S$6:$S$47,$J93,⑭手動工程入力!$I$6:$I$47,"&gt;0",⑭手動工程入力!$M$6:$M$47,"&gt;0"))</f>
        <v/>
      </c>
      <c r="N93" s="393">
        <f>IF($J93="",0,SUMIFS(②釜工程入力!$M$5:$M$117,②釜工程入力!$S$5:$S$117,$J93,②釜工程入力!$J$5:$J$117,"&gt;0")-SUMIFS(②釜工程入力!$M$5:$M$117,②釜工程入力!$S$5:$S$117,$J93,②釜工程入力!$J$5:$J$117,"&gt;0",②釜工程入力!$I$5:$I$117,"&gt;0")+SUMIFS(③スチコン工程入力!$M$5:$M$152,③スチコン工程入力!$S$5:$S$152,$J93,③スチコン工程入力!$J$5:$J$152,"&gt;0")-SUMIFS(③スチコン工程入力!$M$5:$M$152,③スチコン工程入力!$S$5:$S$152,$J93,③スチコン工程入力!$J$5:$J$152,"&gt;0",③スチコン工程入力!$I$5:$I$152,"&gt;0")+SUMIFS(⑪ZEN工程入力!$M$6:$M$35,⑪ZEN工程入力!$S$6:$S$35,$J93,⑪ZEN工程入力!$J$6:$J$35,"&gt;0")-SUMIFS(⑪ZEN工程入力!$M$6:$M$35,⑪ZEN工程入力!$S$6:$S$35,$J93,⑪ZEN工程入力!$J$6:$J$35,"&gt;0",⑪ZEN工程入力!$I$6:$I$35,"&gt;0")+SUMIFS(⑫ミキサー工程入力!$M$6:$M$65,⑫ミキサー工程入力!$S$6:$S$65,$J93,⑫ミキサー工程入力!$J$6:$J$65,"&gt;0")-SUMIFS(⑫ミキサー工程入力!$M$6:$M$65,⑫ミキサー工程入力!$S$6:$S$65,$J93,⑫ミキサー工程入力!$J$6:$J$65,"&gt;0",⑫ミキサー工程入力!$I$6:$I$65,"&gt;0")+SUMIFS(⑬計量工程入力!$M$6:$M$65,⑬計量工程入力!$S$6:$S$65,$J93,⑬計量工程入力!$J$6:$J$65,"&gt;0")-SUMIFS(⑬計量工程入力!$M$6:$M$65,⑬計量工程入力!$S$6:$S$65,$J93,⑬計量工程入力!$J$6:$J$65,"&gt;0",⑬計量工程入力!$I$6:$I$65,"&gt;0")+SUMIFS(⑭手動工程入力!$M$6:$M$47,⑭手動工程入力!$S$6:$S$47,$J93,⑭手動工程入力!$J$6:$J$47,"&gt;0")-SUMIFS(⑭手動工程入力!$M$6:$M$47,⑭手動工程入力!$S$6:$S$47,$J93,⑭手動工程入力!$J$6:$J$47,"&gt;0",⑭手動工程入力!$I$6:$I$47,"&gt;0"))</f>
        <v/>
      </c>
      <c r="O93" s="393">
        <f>IF($J93="",0,SUMIFS(②釜工程入力!$J$5:$J$117,②釜工程入力!$S$5:$S$117,$J93,②釜工程入力!$J$5:$J$117,"&gt;0",②釜工程入力!$M$5:$M$117,"&gt;0")-SUMIFS(②釜工程入力!$J$5:$J$117,②釜工程入力!$S$5:$S$117,$J93,②釜工程入力!$J$5:$J$117,"&gt;0",②釜工程入力!$I$5:$I$117,"&gt;0",②釜工程入力!$M$5:$M$117,"&gt;0")+SUMIFS(③スチコン工程入力!$J$5:$J$152,③スチコン工程入力!$S$5:$S$152,$J93,③スチコン工程入力!$J$5:$J$152,"&gt;0",③スチコン工程入力!$M$5:$M$152,"&gt;0")-SUMIFS(③スチコン工程入力!$J$5:$J$152,③スチコン工程入力!$S$5:$S$152,$J93,③スチコン工程入力!$J$5:$J$152,"&gt;0",③スチコン工程入力!$I$5:$I$152,"&gt;0",③スチコン工程入力!$M$5:$M$152,"&gt;0")+SUMIFS(⑪ZEN工程入力!$J$6:$J$35,⑪ZEN工程入力!$S$6:$S$35,$J93,⑪ZEN工程入力!$J$6:$J$35,"&gt;0",⑪ZEN工程入力!$M$6:$M$35,"&gt;0")-SUMIFS(⑪ZEN工程入力!$J$6:$J$35,⑪ZEN工程入力!$S$6:$S$35,$J93,⑪ZEN工程入力!$J$6:$J$35,"&gt;0",⑪ZEN工程入力!$I$6:$I$35,"&gt;0",⑪ZEN工程入力!$M$6:$M$35,"&gt;0")+SUMIFS(⑫ミキサー工程入力!$J$6:$J$65,⑫ミキサー工程入力!$S$6:$S$65,$J93,⑫ミキサー工程入力!$J$6:$J$65,"&gt;0",⑫ミキサー工程入力!$M$6:$M$65,"&gt;0")-SUMIFS(⑫ミキサー工程入力!$J$6:$J$65,⑫ミキサー工程入力!$S$6:$S$65,$J93,⑫ミキサー工程入力!$J$6:$J$65,"&gt;0",⑫ミキサー工程入力!$I$6:$I$65,"&gt;0",⑫ミキサー工程入力!$M$6:$M$65,"&gt;0")+SUMIFS(⑬計量工程入力!$J$6:$J$65,⑬計量工程入力!$S$6:$S$65,$J93,⑬計量工程入力!$J$6:$J$65,"&gt;0",⑬計量工程入力!$M$6:$M$65,"&gt;0")-SUMIFS(⑬計量工程入力!$J$6:$J$65,⑬計量工程入力!$S$6:$S$65,$J93,⑬計量工程入力!$J$6:$J$65,"&gt;0",⑬計量工程入力!$I$6:$I$65,"&gt;0",⑬計量工程入力!$M$6:$M$65,"&gt;0")+SUMIFS(⑭手動工程入力!$J$6:$J$47,⑭手動工程入力!$S$6:$S$47,$J93,⑭手動工程入力!$J$6:$J$47,"&gt;0",⑭手動工程入力!$M$6:$M$47,"&gt;0")-SUMIFS(⑭手動工程入力!$J$6:$J$47,⑭手動工程入力!$S$6:$S$47,$J93,⑭手動工程入力!$J$6:$J$47,"&gt;0",⑭手動工程入力!$I$6:$I$47,"&gt;0",⑭手動工程入力!$M$6:$M$47,"&gt;0"))</f>
        <v/>
      </c>
      <c r="P93" s="392" t="n"/>
    </row>
    <row r="94">
      <c r="A94" s="392" t="n">
        <v>90</v>
      </c>
      <c r="B94" s="392" t="n"/>
      <c r="C94" s="392" t="n"/>
      <c r="D94" s="392" t="n"/>
      <c r="E94" s="392" t="n"/>
      <c r="F94" s="394" t="n"/>
      <c r="G94" s="392" t="n"/>
      <c r="H94" s="604">
        <f>IFERROR(IF(AND($K94&gt;0,ISNUMBER(IF(OR($D94="g",$D94="ｇ"),IF($M94&gt;0,$L94/$M94/1000,""),IF($D94="kg",IF($M94&gt;0,$L94/$M94,""),IF($D94="",IF($M94&gt;0,$L94/$M94/1000,IF($O94&gt;0,$N94/$O94,"")),IF($O94&gt;0,$N94/$O94,"")))))),IF(OR($D94="g",$D94="ｇ"),IF($M94&gt;0,$L94/$M94/1000,""),IF($D94="kg",IF($M94&gt;0,$L94/$M94,""),IF($D94="",IF($M94&gt;0,$L94/$M94/1000,IF($O94&gt;0,$N94/$O94,"")),IF($O94&gt;0,$N94/$O94,"")))),IF($F94="",IF(OR($E94="",$E94="⑩盛付梱包工程入力"),"",IF(OR($D94="g",$D94="ｇ"),INDEX(⑰工程労務費一覧!$N$5:$N$11,MATCH($E94,⑰工程労務費一覧!$K$5:$K$11,0))/1000,IF($D94="kg",INDEX(⑰工程労務費一覧!$N$5:$N$11,MATCH($E94,⑰工程労務費一覧!$K$5:$K$11,0)),IF(OR($D94="個",$D94="切",$D94="本",$D94="枚",$D94="尾"),IF($E94="⑬計量工程入力","",INDEX(⑰工程労務費一覧!$P$5:$P$11,MATCH($E94,⑰工程労務費一覧!$K$5:$K$11,0))),IF(AND($D94="",OR($E94="②釜工程入力",$E94="③スチコン工程入力")),INDEX(⑰工程労務費一覧!$N$5:$N$11,MATCH($E94,⑰工程労務費一覧!$K$5:$K$11,0))/1000,""))))),IF(OR($D94="g",$D94="ｇ"),INDEX(⑰工程労務費一覧!$H$5:$H$753,MATCH($F94,⑰工程労務費一覧!$D$5:$D$753,0))/1000,IF($D94="kg",INDEX(⑰工程労務費一覧!$H$5:$H$753,MATCH($F94,⑰工程労務費一覧!$D$5:$D$753,0)),INDEX(⑰工程労務費一覧!$I$5:$I$753,MATCH($F94,⑰工程労務費一覧!$D$5:$D$753,0)))))),"")</f>
        <v/>
      </c>
      <c r="I94" s="392">
        <f>IF($K94&gt;0,IF(ISNUMBER(IF(OR($D94="g",$D94="ｇ"),IF($M94&gt;0,$L94/$M94/1000,""),IF($D94="kg",IF($M94&gt;0,$L94/$M94,""),IF($D94="",IF($M94&gt;0,$L94/$M94/1000,IF($O94&gt;0,$N94/$O94,"")),IF($O94&gt;0,$N94/$O94,""))))),IF($D94="",IF($M94&gt;0,"◎ JAN紐づけ(g扱い)","◎ JAN紐づけ(個扱い)"),"◎ JAN紐づけ"),"△ JAN紐づけ済・実績不足→仮計算"),IF($F94="",IF(ISNUMBER($H94),IF($D94="","⑤ 工程平均で仮計算(g扱い)","⑤ 工程平均で仮計算"),IF($E94="⑩盛付梱包工程入力","⑥ 盛り込み(⑳F列で計上)",IF(AND($E94="⑬計量工程入力",OR($D94="個",$D94="切",$D94="本",$D94="枚",$D94="尾")),"① 未紐づけ(カット個単位は仮単価なし)","① 未紐づけ"))),IF(NOT(ISNUMBER($H94)),"② 工程側に単価なし",IF($D94="","③ 単位未設定(個で計算)","④ OK"))))</f>
        <v/>
      </c>
      <c r="J94" s="399">
        <f>IFERROR(LOOKUP(2,1/((中間品リスト!$F$2:$F$1299=$B94)*(中間品リスト!$E$2:$E$1299&lt;&gt;"-")*(中間品リスト!$E$2:$E$1299&lt;&gt;"")),中間品リスト!$E$2:$E$1299),"")</f>
        <v/>
      </c>
      <c r="K94" s="400">
        <f>IF($J94="",0,COUNTIF(②釜工程入力!$S$5:$S$117,$J94)+COUNTIF(③スチコン工程入力!$S$5:$S$152,$J94)+COUNTIF(⑪ZEN工程入力!$S$6:$S$35,$J94)+COUNTIF(⑫ミキサー工程入力!$S$6:$S$65,$J94)+COUNTIF(⑬計量工程入力!$S$6:$S$65,$J94)+COUNTIF(⑭手動工程入力!$S$6:$S$47,$J94))</f>
        <v/>
      </c>
      <c r="L94" s="393">
        <f>IF($J94="",0,SUMIFS(②釜工程入力!$M$5:$M$117,②釜工程入力!$S$5:$S$117,$J94,②釜工程入力!$I$5:$I$117,"&gt;0")+SUMIFS(③スチコン工程入力!$M$5:$M$152,③スチコン工程入力!$S$5:$S$152,$J94,③スチコン工程入力!$I$5:$I$152,"&gt;0")+SUMIFS(⑪ZEN工程入力!$M$6:$M$35,⑪ZEN工程入力!$S$6:$S$35,$J94,⑪ZEN工程入力!$I$6:$I$35,"&gt;0")+SUMIFS(⑫ミキサー工程入力!$M$6:$M$65,⑫ミキサー工程入力!$S$6:$S$65,$J94,⑫ミキサー工程入力!$I$6:$I$65,"&gt;0")+SUMIFS(⑬計量工程入力!$M$6:$M$65,⑬計量工程入力!$S$6:$S$65,$J94,⑬計量工程入力!$I$6:$I$65,"&gt;0")+SUMIFS(⑭手動工程入力!$M$6:$M$47,⑭手動工程入力!$S$6:$S$47,$J94,⑭手動工程入力!$I$6:$I$47,"&gt;0"))</f>
        <v/>
      </c>
      <c r="M94" s="393">
        <f>IF($J94="",0,SUMIFS(②釜工程入力!$I$5:$I$117,②釜工程入力!$S$5:$S$117,$J94,②釜工程入力!$I$5:$I$117,"&gt;0",②釜工程入力!$M$5:$M$117,"&gt;0")+SUMIFS(③スチコン工程入力!$I$5:$I$152,③スチコン工程入力!$S$5:$S$152,$J94,③スチコン工程入力!$I$5:$I$152,"&gt;0",③スチコン工程入力!$M$5:$M$152,"&gt;0")+SUMIFS(⑪ZEN工程入力!$I$6:$I$35,⑪ZEN工程入力!$S$6:$S$35,$J94,⑪ZEN工程入力!$I$6:$I$35,"&gt;0",⑪ZEN工程入力!$M$6:$M$35,"&gt;0")+SUMIFS(⑫ミキサー工程入力!$I$6:$I$65,⑫ミキサー工程入力!$S$6:$S$65,$J94,⑫ミキサー工程入力!$I$6:$I$65,"&gt;0",⑫ミキサー工程入力!$M$6:$M$65,"&gt;0")+SUMIFS(⑬計量工程入力!$I$6:$I$65,⑬計量工程入力!$S$6:$S$65,$J94,⑬計量工程入力!$I$6:$I$65,"&gt;0",⑬計量工程入力!$M$6:$M$65,"&gt;0")+SUMIFS(⑭手動工程入力!$I$6:$I$47,⑭手動工程入力!$S$6:$S$47,$J94,⑭手動工程入力!$I$6:$I$47,"&gt;0",⑭手動工程入力!$M$6:$M$47,"&gt;0"))</f>
        <v/>
      </c>
      <c r="N94" s="393">
        <f>IF($J94="",0,SUMIFS(②釜工程入力!$M$5:$M$117,②釜工程入力!$S$5:$S$117,$J94,②釜工程入力!$J$5:$J$117,"&gt;0")-SUMIFS(②釜工程入力!$M$5:$M$117,②釜工程入力!$S$5:$S$117,$J94,②釜工程入力!$J$5:$J$117,"&gt;0",②釜工程入力!$I$5:$I$117,"&gt;0")+SUMIFS(③スチコン工程入力!$M$5:$M$152,③スチコン工程入力!$S$5:$S$152,$J94,③スチコン工程入力!$J$5:$J$152,"&gt;0")-SUMIFS(③スチコン工程入力!$M$5:$M$152,③スチコン工程入力!$S$5:$S$152,$J94,③スチコン工程入力!$J$5:$J$152,"&gt;0",③スチコン工程入力!$I$5:$I$152,"&gt;0")+SUMIFS(⑪ZEN工程入力!$M$6:$M$35,⑪ZEN工程入力!$S$6:$S$35,$J94,⑪ZEN工程入力!$J$6:$J$35,"&gt;0")-SUMIFS(⑪ZEN工程入力!$M$6:$M$35,⑪ZEN工程入力!$S$6:$S$35,$J94,⑪ZEN工程入力!$J$6:$J$35,"&gt;0",⑪ZEN工程入力!$I$6:$I$35,"&gt;0")+SUMIFS(⑫ミキサー工程入力!$M$6:$M$65,⑫ミキサー工程入力!$S$6:$S$65,$J94,⑫ミキサー工程入力!$J$6:$J$65,"&gt;0")-SUMIFS(⑫ミキサー工程入力!$M$6:$M$65,⑫ミキサー工程入力!$S$6:$S$65,$J94,⑫ミキサー工程入力!$J$6:$J$65,"&gt;0",⑫ミキサー工程入力!$I$6:$I$65,"&gt;0")+SUMIFS(⑬計量工程入力!$M$6:$M$65,⑬計量工程入力!$S$6:$S$65,$J94,⑬計量工程入力!$J$6:$J$65,"&gt;0")-SUMIFS(⑬計量工程入力!$M$6:$M$65,⑬計量工程入力!$S$6:$S$65,$J94,⑬計量工程入力!$J$6:$J$65,"&gt;0",⑬計量工程入力!$I$6:$I$65,"&gt;0")+SUMIFS(⑭手動工程入力!$M$6:$M$47,⑭手動工程入力!$S$6:$S$47,$J94,⑭手動工程入力!$J$6:$J$47,"&gt;0")-SUMIFS(⑭手動工程入力!$M$6:$M$47,⑭手動工程入力!$S$6:$S$47,$J94,⑭手動工程入力!$J$6:$J$47,"&gt;0",⑭手動工程入力!$I$6:$I$47,"&gt;0"))</f>
        <v/>
      </c>
      <c r="O94" s="393">
        <f>IF($J94="",0,SUMIFS(②釜工程入力!$J$5:$J$117,②釜工程入力!$S$5:$S$117,$J94,②釜工程入力!$J$5:$J$117,"&gt;0",②釜工程入力!$M$5:$M$117,"&gt;0")-SUMIFS(②釜工程入力!$J$5:$J$117,②釜工程入力!$S$5:$S$117,$J94,②釜工程入力!$J$5:$J$117,"&gt;0",②釜工程入力!$I$5:$I$117,"&gt;0",②釜工程入力!$M$5:$M$117,"&gt;0")+SUMIFS(③スチコン工程入力!$J$5:$J$152,③スチコン工程入力!$S$5:$S$152,$J94,③スチコン工程入力!$J$5:$J$152,"&gt;0",③スチコン工程入力!$M$5:$M$152,"&gt;0")-SUMIFS(③スチコン工程入力!$J$5:$J$152,③スチコン工程入力!$S$5:$S$152,$J94,③スチコン工程入力!$J$5:$J$152,"&gt;0",③スチコン工程入力!$I$5:$I$152,"&gt;0",③スチコン工程入力!$M$5:$M$152,"&gt;0")+SUMIFS(⑪ZEN工程入力!$J$6:$J$35,⑪ZEN工程入力!$S$6:$S$35,$J94,⑪ZEN工程入力!$J$6:$J$35,"&gt;0",⑪ZEN工程入力!$M$6:$M$35,"&gt;0")-SUMIFS(⑪ZEN工程入力!$J$6:$J$35,⑪ZEN工程入力!$S$6:$S$35,$J94,⑪ZEN工程入力!$J$6:$J$35,"&gt;0",⑪ZEN工程入力!$I$6:$I$35,"&gt;0",⑪ZEN工程入力!$M$6:$M$35,"&gt;0")+SUMIFS(⑫ミキサー工程入力!$J$6:$J$65,⑫ミキサー工程入力!$S$6:$S$65,$J94,⑫ミキサー工程入力!$J$6:$J$65,"&gt;0",⑫ミキサー工程入力!$M$6:$M$65,"&gt;0")-SUMIFS(⑫ミキサー工程入力!$J$6:$J$65,⑫ミキサー工程入力!$S$6:$S$65,$J94,⑫ミキサー工程入力!$J$6:$J$65,"&gt;0",⑫ミキサー工程入力!$I$6:$I$65,"&gt;0",⑫ミキサー工程入力!$M$6:$M$65,"&gt;0")+SUMIFS(⑬計量工程入力!$J$6:$J$65,⑬計量工程入力!$S$6:$S$65,$J94,⑬計量工程入力!$J$6:$J$65,"&gt;0",⑬計量工程入力!$M$6:$M$65,"&gt;0")-SUMIFS(⑬計量工程入力!$J$6:$J$65,⑬計量工程入力!$S$6:$S$65,$J94,⑬計量工程入力!$J$6:$J$65,"&gt;0",⑬計量工程入力!$I$6:$I$65,"&gt;0",⑬計量工程入力!$M$6:$M$65,"&gt;0")+SUMIFS(⑭手動工程入力!$J$6:$J$47,⑭手動工程入力!$S$6:$S$47,$J94,⑭手動工程入力!$J$6:$J$47,"&gt;0",⑭手動工程入力!$M$6:$M$47,"&gt;0")-SUMIFS(⑭手動工程入力!$J$6:$J$47,⑭手動工程入力!$S$6:$S$47,$J94,⑭手動工程入力!$J$6:$J$47,"&gt;0",⑭手動工程入力!$I$6:$I$47,"&gt;0",⑭手動工程入力!$M$6:$M$47,"&gt;0"))</f>
        <v/>
      </c>
      <c r="P94" s="392" t="n"/>
    </row>
    <row r="95">
      <c r="A95" s="392" t="n">
        <v>91</v>
      </c>
      <c r="B95" s="392" t="n"/>
      <c r="C95" s="392" t="n"/>
      <c r="D95" s="392" t="n"/>
      <c r="E95" s="392" t="n"/>
      <c r="F95" s="394" t="n"/>
      <c r="G95" s="392" t="n"/>
      <c r="H95" s="604">
        <f>IFERROR(IF(AND($K95&gt;0,ISNUMBER(IF(OR($D95="g",$D95="ｇ"),IF($M95&gt;0,$L95/$M95/1000,""),IF($D95="kg",IF($M95&gt;0,$L95/$M95,""),IF($D95="",IF($M95&gt;0,$L95/$M95/1000,IF($O95&gt;0,$N95/$O95,"")),IF($O95&gt;0,$N95/$O95,"")))))),IF(OR($D95="g",$D95="ｇ"),IF($M95&gt;0,$L95/$M95/1000,""),IF($D95="kg",IF($M95&gt;0,$L95/$M95,""),IF($D95="",IF($M95&gt;0,$L95/$M95/1000,IF($O95&gt;0,$N95/$O95,"")),IF($O95&gt;0,$N95/$O95,"")))),IF($F95="",IF(OR($E95="",$E95="⑩盛付梱包工程入力"),"",IF(OR($D95="g",$D95="ｇ"),INDEX(⑰工程労務費一覧!$N$5:$N$11,MATCH($E95,⑰工程労務費一覧!$K$5:$K$11,0))/1000,IF($D95="kg",INDEX(⑰工程労務費一覧!$N$5:$N$11,MATCH($E95,⑰工程労務費一覧!$K$5:$K$11,0)),IF(OR($D95="個",$D95="切",$D95="本",$D95="枚",$D95="尾"),IF($E95="⑬計量工程入力","",INDEX(⑰工程労務費一覧!$P$5:$P$11,MATCH($E95,⑰工程労務費一覧!$K$5:$K$11,0))),IF(AND($D95="",OR($E95="②釜工程入力",$E95="③スチコン工程入力")),INDEX(⑰工程労務費一覧!$N$5:$N$11,MATCH($E95,⑰工程労務費一覧!$K$5:$K$11,0))/1000,""))))),IF(OR($D95="g",$D95="ｇ"),INDEX(⑰工程労務費一覧!$H$5:$H$753,MATCH($F95,⑰工程労務費一覧!$D$5:$D$753,0))/1000,IF($D95="kg",INDEX(⑰工程労務費一覧!$H$5:$H$753,MATCH($F95,⑰工程労務費一覧!$D$5:$D$753,0)),INDEX(⑰工程労務費一覧!$I$5:$I$753,MATCH($F95,⑰工程労務費一覧!$D$5:$D$753,0)))))),"")</f>
        <v/>
      </c>
      <c r="I95" s="392">
        <f>IF($K95&gt;0,IF(ISNUMBER(IF(OR($D95="g",$D95="ｇ"),IF($M95&gt;0,$L95/$M95/1000,""),IF($D95="kg",IF($M95&gt;0,$L95/$M95,""),IF($D95="",IF($M95&gt;0,$L95/$M95/1000,IF($O95&gt;0,$N95/$O95,"")),IF($O95&gt;0,$N95/$O95,""))))),IF($D95="",IF($M95&gt;0,"◎ JAN紐づけ(g扱い)","◎ JAN紐づけ(個扱い)"),"◎ JAN紐づけ"),"△ JAN紐づけ済・実績不足→仮計算"),IF($F95="",IF(ISNUMBER($H95),IF($D95="","⑤ 工程平均で仮計算(g扱い)","⑤ 工程平均で仮計算"),IF($E95="⑩盛付梱包工程入力","⑥ 盛り込み(⑳F列で計上)",IF(AND($E95="⑬計量工程入力",OR($D95="個",$D95="切",$D95="本",$D95="枚",$D95="尾")),"① 未紐づけ(カット個単位は仮単価なし)","① 未紐づけ"))),IF(NOT(ISNUMBER($H95)),"② 工程側に単価なし",IF($D95="","③ 単位未設定(個で計算)","④ OK"))))</f>
        <v/>
      </c>
      <c r="J95" s="399">
        <f>IFERROR(LOOKUP(2,1/((中間品リスト!$F$2:$F$1299=$B95)*(中間品リスト!$E$2:$E$1299&lt;&gt;"-")*(中間品リスト!$E$2:$E$1299&lt;&gt;"")),中間品リスト!$E$2:$E$1299),"")</f>
        <v/>
      </c>
      <c r="K95" s="400">
        <f>IF($J95="",0,COUNTIF(②釜工程入力!$S$5:$S$117,$J95)+COUNTIF(③スチコン工程入力!$S$5:$S$152,$J95)+COUNTIF(⑪ZEN工程入力!$S$6:$S$35,$J95)+COUNTIF(⑫ミキサー工程入力!$S$6:$S$65,$J95)+COUNTIF(⑬計量工程入力!$S$6:$S$65,$J95)+COUNTIF(⑭手動工程入力!$S$6:$S$47,$J95))</f>
        <v/>
      </c>
      <c r="L95" s="393">
        <f>IF($J95="",0,SUMIFS(②釜工程入力!$M$5:$M$117,②釜工程入力!$S$5:$S$117,$J95,②釜工程入力!$I$5:$I$117,"&gt;0")+SUMIFS(③スチコン工程入力!$M$5:$M$152,③スチコン工程入力!$S$5:$S$152,$J95,③スチコン工程入力!$I$5:$I$152,"&gt;0")+SUMIFS(⑪ZEN工程入力!$M$6:$M$35,⑪ZEN工程入力!$S$6:$S$35,$J95,⑪ZEN工程入力!$I$6:$I$35,"&gt;0")+SUMIFS(⑫ミキサー工程入力!$M$6:$M$65,⑫ミキサー工程入力!$S$6:$S$65,$J95,⑫ミキサー工程入力!$I$6:$I$65,"&gt;0")+SUMIFS(⑬計量工程入力!$M$6:$M$65,⑬計量工程入力!$S$6:$S$65,$J95,⑬計量工程入力!$I$6:$I$65,"&gt;0")+SUMIFS(⑭手動工程入力!$M$6:$M$47,⑭手動工程入力!$S$6:$S$47,$J95,⑭手動工程入力!$I$6:$I$47,"&gt;0"))</f>
        <v/>
      </c>
      <c r="M95" s="393">
        <f>IF($J95="",0,SUMIFS(②釜工程入力!$I$5:$I$117,②釜工程入力!$S$5:$S$117,$J95,②釜工程入力!$I$5:$I$117,"&gt;0",②釜工程入力!$M$5:$M$117,"&gt;0")+SUMIFS(③スチコン工程入力!$I$5:$I$152,③スチコン工程入力!$S$5:$S$152,$J95,③スチコン工程入力!$I$5:$I$152,"&gt;0",③スチコン工程入力!$M$5:$M$152,"&gt;0")+SUMIFS(⑪ZEN工程入力!$I$6:$I$35,⑪ZEN工程入力!$S$6:$S$35,$J95,⑪ZEN工程入力!$I$6:$I$35,"&gt;0",⑪ZEN工程入力!$M$6:$M$35,"&gt;0")+SUMIFS(⑫ミキサー工程入力!$I$6:$I$65,⑫ミキサー工程入力!$S$6:$S$65,$J95,⑫ミキサー工程入力!$I$6:$I$65,"&gt;0",⑫ミキサー工程入力!$M$6:$M$65,"&gt;0")+SUMIFS(⑬計量工程入力!$I$6:$I$65,⑬計量工程入力!$S$6:$S$65,$J95,⑬計量工程入力!$I$6:$I$65,"&gt;0",⑬計量工程入力!$M$6:$M$65,"&gt;0")+SUMIFS(⑭手動工程入力!$I$6:$I$47,⑭手動工程入力!$S$6:$S$47,$J95,⑭手動工程入力!$I$6:$I$47,"&gt;0",⑭手動工程入力!$M$6:$M$47,"&gt;0"))</f>
        <v/>
      </c>
      <c r="N95" s="393">
        <f>IF($J95="",0,SUMIFS(②釜工程入力!$M$5:$M$117,②釜工程入力!$S$5:$S$117,$J95,②釜工程入力!$J$5:$J$117,"&gt;0")-SUMIFS(②釜工程入力!$M$5:$M$117,②釜工程入力!$S$5:$S$117,$J95,②釜工程入力!$J$5:$J$117,"&gt;0",②釜工程入力!$I$5:$I$117,"&gt;0")+SUMIFS(③スチコン工程入力!$M$5:$M$152,③スチコン工程入力!$S$5:$S$152,$J95,③スチコン工程入力!$J$5:$J$152,"&gt;0")-SUMIFS(③スチコン工程入力!$M$5:$M$152,③スチコン工程入力!$S$5:$S$152,$J95,③スチコン工程入力!$J$5:$J$152,"&gt;0",③スチコン工程入力!$I$5:$I$152,"&gt;0")+SUMIFS(⑪ZEN工程入力!$M$6:$M$35,⑪ZEN工程入力!$S$6:$S$35,$J95,⑪ZEN工程入力!$J$6:$J$35,"&gt;0")-SUMIFS(⑪ZEN工程入力!$M$6:$M$35,⑪ZEN工程入力!$S$6:$S$35,$J95,⑪ZEN工程入力!$J$6:$J$35,"&gt;0",⑪ZEN工程入力!$I$6:$I$35,"&gt;0")+SUMIFS(⑫ミキサー工程入力!$M$6:$M$65,⑫ミキサー工程入力!$S$6:$S$65,$J95,⑫ミキサー工程入力!$J$6:$J$65,"&gt;0")-SUMIFS(⑫ミキサー工程入力!$M$6:$M$65,⑫ミキサー工程入力!$S$6:$S$65,$J95,⑫ミキサー工程入力!$J$6:$J$65,"&gt;0",⑫ミキサー工程入力!$I$6:$I$65,"&gt;0")+SUMIFS(⑬計量工程入力!$M$6:$M$65,⑬計量工程入力!$S$6:$S$65,$J95,⑬計量工程入力!$J$6:$J$65,"&gt;0")-SUMIFS(⑬計量工程入力!$M$6:$M$65,⑬計量工程入力!$S$6:$S$65,$J95,⑬計量工程入力!$J$6:$J$65,"&gt;0",⑬計量工程入力!$I$6:$I$65,"&gt;0")+SUMIFS(⑭手動工程入力!$M$6:$M$47,⑭手動工程入力!$S$6:$S$47,$J95,⑭手動工程入力!$J$6:$J$47,"&gt;0")-SUMIFS(⑭手動工程入力!$M$6:$M$47,⑭手動工程入力!$S$6:$S$47,$J95,⑭手動工程入力!$J$6:$J$47,"&gt;0",⑭手動工程入力!$I$6:$I$47,"&gt;0"))</f>
        <v/>
      </c>
      <c r="O95" s="393">
        <f>IF($J95="",0,SUMIFS(②釜工程入力!$J$5:$J$117,②釜工程入力!$S$5:$S$117,$J95,②釜工程入力!$J$5:$J$117,"&gt;0",②釜工程入力!$M$5:$M$117,"&gt;0")-SUMIFS(②釜工程入力!$J$5:$J$117,②釜工程入力!$S$5:$S$117,$J95,②釜工程入力!$J$5:$J$117,"&gt;0",②釜工程入力!$I$5:$I$117,"&gt;0",②釜工程入力!$M$5:$M$117,"&gt;0")+SUMIFS(③スチコン工程入力!$J$5:$J$152,③スチコン工程入力!$S$5:$S$152,$J95,③スチコン工程入力!$J$5:$J$152,"&gt;0",③スチコン工程入力!$M$5:$M$152,"&gt;0")-SUMIFS(③スチコン工程入力!$J$5:$J$152,③スチコン工程入力!$S$5:$S$152,$J95,③スチコン工程入力!$J$5:$J$152,"&gt;0",③スチコン工程入力!$I$5:$I$152,"&gt;0",③スチコン工程入力!$M$5:$M$152,"&gt;0")+SUMIFS(⑪ZEN工程入力!$J$6:$J$35,⑪ZEN工程入力!$S$6:$S$35,$J95,⑪ZEN工程入力!$J$6:$J$35,"&gt;0",⑪ZEN工程入力!$M$6:$M$35,"&gt;0")-SUMIFS(⑪ZEN工程入力!$J$6:$J$35,⑪ZEN工程入力!$S$6:$S$35,$J95,⑪ZEN工程入力!$J$6:$J$35,"&gt;0",⑪ZEN工程入力!$I$6:$I$35,"&gt;0",⑪ZEN工程入力!$M$6:$M$35,"&gt;0")+SUMIFS(⑫ミキサー工程入力!$J$6:$J$65,⑫ミキサー工程入力!$S$6:$S$65,$J95,⑫ミキサー工程入力!$J$6:$J$65,"&gt;0",⑫ミキサー工程入力!$M$6:$M$65,"&gt;0")-SUMIFS(⑫ミキサー工程入力!$J$6:$J$65,⑫ミキサー工程入力!$S$6:$S$65,$J95,⑫ミキサー工程入力!$J$6:$J$65,"&gt;0",⑫ミキサー工程入力!$I$6:$I$65,"&gt;0",⑫ミキサー工程入力!$M$6:$M$65,"&gt;0")+SUMIFS(⑬計量工程入力!$J$6:$J$65,⑬計量工程入力!$S$6:$S$65,$J95,⑬計量工程入力!$J$6:$J$65,"&gt;0",⑬計量工程入力!$M$6:$M$65,"&gt;0")-SUMIFS(⑬計量工程入力!$J$6:$J$65,⑬計量工程入力!$S$6:$S$65,$J95,⑬計量工程入力!$J$6:$J$65,"&gt;0",⑬計量工程入力!$I$6:$I$65,"&gt;0",⑬計量工程入力!$M$6:$M$65,"&gt;0")+SUMIFS(⑭手動工程入力!$J$6:$J$47,⑭手動工程入力!$S$6:$S$47,$J95,⑭手動工程入力!$J$6:$J$47,"&gt;0",⑭手動工程入力!$M$6:$M$47,"&gt;0")-SUMIFS(⑭手動工程入力!$J$6:$J$47,⑭手動工程入力!$S$6:$S$47,$J95,⑭手動工程入力!$J$6:$J$47,"&gt;0",⑭手動工程入力!$I$6:$I$47,"&gt;0",⑭手動工程入力!$M$6:$M$47,"&gt;0"))</f>
        <v/>
      </c>
      <c r="P95" s="392" t="n"/>
    </row>
    <row r="96">
      <c r="A96" s="392" t="n">
        <v>92</v>
      </c>
      <c r="B96" s="392" t="n"/>
      <c r="C96" s="392" t="n"/>
      <c r="D96" s="392" t="n"/>
      <c r="E96" s="392" t="n"/>
      <c r="F96" s="394" t="n"/>
      <c r="G96" s="392" t="n"/>
      <c r="H96" s="604">
        <f>IFERROR(IF(AND($K96&gt;0,ISNUMBER(IF(OR($D96="g",$D96="ｇ"),IF($M96&gt;0,$L96/$M96/1000,""),IF($D96="kg",IF($M96&gt;0,$L96/$M96,""),IF($D96="",IF($M96&gt;0,$L96/$M96/1000,IF($O96&gt;0,$N96/$O96,"")),IF($O96&gt;0,$N96/$O96,"")))))),IF(OR($D96="g",$D96="ｇ"),IF($M96&gt;0,$L96/$M96/1000,""),IF($D96="kg",IF($M96&gt;0,$L96/$M96,""),IF($D96="",IF($M96&gt;0,$L96/$M96/1000,IF($O96&gt;0,$N96/$O96,"")),IF($O96&gt;0,$N96/$O96,"")))),IF($F96="",IF(OR($E96="",$E96="⑩盛付梱包工程入力"),"",IF(OR($D96="g",$D96="ｇ"),INDEX(⑰工程労務費一覧!$N$5:$N$11,MATCH($E96,⑰工程労務費一覧!$K$5:$K$11,0))/1000,IF($D96="kg",INDEX(⑰工程労務費一覧!$N$5:$N$11,MATCH($E96,⑰工程労務費一覧!$K$5:$K$11,0)),IF(OR($D96="個",$D96="切",$D96="本",$D96="枚",$D96="尾"),IF($E96="⑬計量工程入力","",INDEX(⑰工程労務費一覧!$P$5:$P$11,MATCH($E96,⑰工程労務費一覧!$K$5:$K$11,0))),IF(AND($D96="",OR($E96="②釜工程入力",$E96="③スチコン工程入力")),INDEX(⑰工程労務費一覧!$N$5:$N$11,MATCH($E96,⑰工程労務費一覧!$K$5:$K$11,0))/1000,""))))),IF(OR($D96="g",$D96="ｇ"),INDEX(⑰工程労務費一覧!$H$5:$H$753,MATCH($F96,⑰工程労務費一覧!$D$5:$D$753,0))/1000,IF($D96="kg",INDEX(⑰工程労務費一覧!$H$5:$H$753,MATCH($F96,⑰工程労務費一覧!$D$5:$D$753,0)),INDEX(⑰工程労務費一覧!$I$5:$I$753,MATCH($F96,⑰工程労務費一覧!$D$5:$D$753,0)))))),"")</f>
        <v/>
      </c>
      <c r="I96" s="392">
        <f>IF($K96&gt;0,IF(ISNUMBER(IF(OR($D96="g",$D96="ｇ"),IF($M96&gt;0,$L96/$M96/1000,""),IF($D96="kg",IF($M96&gt;0,$L96/$M96,""),IF($D96="",IF($M96&gt;0,$L96/$M96/1000,IF($O96&gt;0,$N96/$O96,"")),IF($O96&gt;0,$N96/$O96,""))))),IF($D96="",IF($M96&gt;0,"◎ JAN紐づけ(g扱い)","◎ JAN紐づけ(個扱い)"),"◎ JAN紐づけ"),"△ JAN紐づけ済・実績不足→仮計算"),IF($F96="",IF(ISNUMBER($H96),IF($D96="","⑤ 工程平均で仮計算(g扱い)","⑤ 工程平均で仮計算"),IF($E96="⑩盛付梱包工程入力","⑥ 盛り込み(⑳F列で計上)",IF(AND($E96="⑬計量工程入力",OR($D96="個",$D96="切",$D96="本",$D96="枚",$D96="尾")),"① 未紐づけ(カット個単位は仮単価なし)","① 未紐づけ"))),IF(NOT(ISNUMBER($H96)),"② 工程側に単価なし",IF($D96="","③ 単位未設定(個で計算)","④ OK"))))</f>
        <v/>
      </c>
      <c r="J96" s="399">
        <f>IFERROR(LOOKUP(2,1/((中間品リスト!$F$2:$F$1299=$B96)*(中間品リスト!$E$2:$E$1299&lt;&gt;"-")*(中間品リスト!$E$2:$E$1299&lt;&gt;"")),中間品リスト!$E$2:$E$1299),"")</f>
        <v/>
      </c>
      <c r="K96" s="400">
        <f>IF($J96="",0,COUNTIF(②釜工程入力!$S$5:$S$117,$J96)+COUNTIF(③スチコン工程入力!$S$5:$S$152,$J96)+COUNTIF(⑪ZEN工程入力!$S$6:$S$35,$J96)+COUNTIF(⑫ミキサー工程入力!$S$6:$S$65,$J96)+COUNTIF(⑬計量工程入力!$S$6:$S$65,$J96)+COUNTIF(⑭手動工程入力!$S$6:$S$47,$J96))</f>
        <v/>
      </c>
      <c r="L96" s="393">
        <f>IF($J96="",0,SUMIFS(②釜工程入力!$M$5:$M$117,②釜工程入力!$S$5:$S$117,$J96,②釜工程入力!$I$5:$I$117,"&gt;0")+SUMIFS(③スチコン工程入力!$M$5:$M$152,③スチコン工程入力!$S$5:$S$152,$J96,③スチコン工程入力!$I$5:$I$152,"&gt;0")+SUMIFS(⑪ZEN工程入力!$M$6:$M$35,⑪ZEN工程入力!$S$6:$S$35,$J96,⑪ZEN工程入力!$I$6:$I$35,"&gt;0")+SUMIFS(⑫ミキサー工程入力!$M$6:$M$65,⑫ミキサー工程入力!$S$6:$S$65,$J96,⑫ミキサー工程入力!$I$6:$I$65,"&gt;0")+SUMIFS(⑬計量工程入力!$M$6:$M$65,⑬計量工程入力!$S$6:$S$65,$J96,⑬計量工程入力!$I$6:$I$65,"&gt;0")+SUMIFS(⑭手動工程入力!$M$6:$M$47,⑭手動工程入力!$S$6:$S$47,$J96,⑭手動工程入力!$I$6:$I$47,"&gt;0"))</f>
        <v/>
      </c>
      <c r="M96" s="393">
        <f>IF($J96="",0,SUMIFS(②釜工程入力!$I$5:$I$117,②釜工程入力!$S$5:$S$117,$J96,②釜工程入力!$I$5:$I$117,"&gt;0",②釜工程入力!$M$5:$M$117,"&gt;0")+SUMIFS(③スチコン工程入力!$I$5:$I$152,③スチコン工程入力!$S$5:$S$152,$J96,③スチコン工程入力!$I$5:$I$152,"&gt;0",③スチコン工程入力!$M$5:$M$152,"&gt;0")+SUMIFS(⑪ZEN工程入力!$I$6:$I$35,⑪ZEN工程入力!$S$6:$S$35,$J96,⑪ZEN工程入力!$I$6:$I$35,"&gt;0",⑪ZEN工程入力!$M$6:$M$35,"&gt;0")+SUMIFS(⑫ミキサー工程入力!$I$6:$I$65,⑫ミキサー工程入力!$S$6:$S$65,$J96,⑫ミキサー工程入力!$I$6:$I$65,"&gt;0",⑫ミキサー工程入力!$M$6:$M$65,"&gt;0")+SUMIFS(⑬計量工程入力!$I$6:$I$65,⑬計量工程入力!$S$6:$S$65,$J96,⑬計量工程入力!$I$6:$I$65,"&gt;0",⑬計量工程入力!$M$6:$M$65,"&gt;0")+SUMIFS(⑭手動工程入力!$I$6:$I$47,⑭手動工程入力!$S$6:$S$47,$J96,⑭手動工程入力!$I$6:$I$47,"&gt;0",⑭手動工程入力!$M$6:$M$47,"&gt;0"))</f>
        <v/>
      </c>
      <c r="N96" s="393">
        <f>IF($J96="",0,SUMIFS(②釜工程入力!$M$5:$M$117,②釜工程入力!$S$5:$S$117,$J96,②釜工程入力!$J$5:$J$117,"&gt;0")-SUMIFS(②釜工程入力!$M$5:$M$117,②釜工程入力!$S$5:$S$117,$J96,②釜工程入力!$J$5:$J$117,"&gt;0",②釜工程入力!$I$5:$I$117,"&gt;0")+SUMIFS(③スチコン工程入力!$M$5:$M$152,③スチコン工程入力!$S$5:$S$152,$J96,③スチコン工程入力!$J$5:$J$152,"&gt;0")-SUMIFS(③スチコン工程入力!$M$5:$M$152,③スチコン工程入力!$S$5:$S$152,$J96,③スチコン工程入力!$J$5:$J$152,"&gt;0",③スチコン工程入力!$I$5:$I$152,"&gt;0")+SUMIFS(⑪ZEN工程入力!$M$6:$M$35,⑪ZEN工程入力!$S$6:$S$35,$J96,⑪ZEN工程入力!$J$6:$J$35,"&gt;0")-SUMIFS(⑪ZEN工程入力!$M$6:$M$35,⑪ZEN工程入力!$S$6:$S$35,$J96,⑪ZEN工程入力!$J$6:$J$35,"&gt;0",⑪ZEN工程入力!$I$6:$I$35,"&gt;0")+SUMIFS(⑫ミキサー工程入力!$M$6:$M$65,⑫ミキサー工程入力!$S$6:$S$65,$J96,⑫ミキサー工程入力!$J$6:$J$65,"&gt;0")-SUMIFS(⑫ミキサー工程入力!$M$6:$M$65,⑫ミキサー工程入力!$S$6:$S$65,$J96,⑫ミキサー工程入力!$J$6:$J$65,"&gt;0",⑫ミキサー工程入力!$I$6:$I$65,"&gt;0")+SUMIFS(⑬計量工程入力!$M$6:$M$65,⑬計量工程入力!$S$6:$S$65,$J96,⑬計量工程入力!$J$6:$J$65,"&gt;0")-SUMIFS(⑬計量工程入力!$M$6:$M$65,⑬計量工程入力!$S$6:$S$65,$J96,⑬計量工程入力!$J$6:$J$65,"&gt;0",⑬計量工程入力!$I$6:$I$65,"&gt;0")+SUMIFS(⑭手動工程入力!$M$6:$M$47,⑭手動工程入力!$S$6:$S$47,$J96,⑭手動工程入力!$J$6:$J$47,"&gt;0")-SUMIFS(⑭手動工程入力!$M$6:$M$47,⑭手動工程入力!$S$6:$S$47,$J96,⑭手動工程入力!$J$6:$J$47,"&gt;0",⑭手動工程入力!$I$6:$I$47,"&gt;0"))</f>
        <v/>
      </c>
      <c r="O96" s="393">
        <f>IF($J96="",0,SUMIFS(②釜工程入力!$J$5:$J$117,②釜工程入力!$S$5:$S$117,$J96,②釜工程入力!$J$5:$J$117,"&gt;0",②釜工程入力!$M$5:$M$117,"&gt;0")-SUMIFS(②釜工程入力!$J$5:$J$117,②釜工程入力!$S$5:$S$117,$J96,②釜工程入力!$J$5:$J$117,"&gt;0",②釜工程入力!$I$5:$I$117,"&gt;0",②釜工程入力!$M$5:$M$117,"&gt;0")+SUMIFS(③スチコン工程入力!$J$5:$J$152,③スチコン工程入力!$S$5:$S$152,$J96,③スチコン工程入力!$J$5:$J$152,"&gt;0",③スチコン工程入力!$M$5:$M$152,"&gt;0")-SUMIFS(③スチコン工程入力!$J$5:$J$152,③スチコン工程入力!$S$5:$S$152,$J96,③スチコン工程入力!$J$5:$J$152,"&gt;0",③スチコン工程入力!$I$5:$I$152,"&gt;0",③スチコン工程入力!$M$5:$M$152,"&gt;0")+SUMIFS(⑪ZEN工程入力!$J$6:$J$35,⑪ZEN工程入力!$S$6:$S$35,$J96,⑪ZEN工程入力!$J$6:$J$35,"&gt;0",⑪ZEN工程入力!$M$6:$M$35,"&gt;0")-SUMIFS(⑪ZEN工程入力!$J$6:$J$35,⑪ZEN工程入力!$S$6:$S$35,$J96,⑪ZEN工程入力!$J$6:$J$35,"&gt;0",⑪ZEN工程入力!$I$6:$I$35,"&gt;0",⑪ZEN工程入力!$M$6:$M$35,"&gt;0")+SUMIFS(⑫ミキサー工程入力!$J$6:$J$65,⑫ミキサー工程入力!$S$6:$S$65,$J96,⑫ミキサー工程入力!$J$6:$J$65,"&gt;0",⑫ミキサー工程入力!$M$6:$M$65,"&gt;0")-SUMIFS(⑫ミキサー工程入力!$J$6:$J$65,⑫ミキサー工程入力!$S$6:$S$65,$J96,⑫ミキサー工程入力!$J$6:$J$65,"&gt;0",⑫ミキサー工程入力!$I$6:$I$65,"&gt;0",⑫ミキサー工程入力!$M$6:$M$65,"&gt;0")+SUMIFS(⑬計量工程入力!$J$6:$J$65,⑬計量工程入力!$S$6:$S$65,$J96,⑬計量工程入力!$J$6:$J$65,"&gt;0",⑬計量工程入力!$M$6:$M$65,"&gt;0")-SUMIFS(⑬計量工程入力!$J$6:$J$65,⑬計量工程入力!$S$6:$S$65,$J96,⑬計量工程入力!$J$6:$J$65,"&gt;0",⑬計量工程入力!$I$6:$I$65,"&gt;0",⑬計量工程入力!$M$6:$M$65,"&gt;0")+SUMIFS(⑭手動工程入力!$J$6:$J$47,⑭手動工程入力!$S$6:$S$47,$J96,⑭手動工程入力!$J$6:$J$47,"&gt;0",⑭手動工程入力!$M$6:$M$47,"&gt;0")-SUMIFS(⑭手動工程入力!$J$6:$J$47,⑭手動工程入力!$S$6:$S$47,$J96,⑭手動工程入力!$J$6:$J$47,"&gt;0",⑭手動工程入力!$I$6:$I$47,"&gt;0",⑭手動工程入力!$M$6:$M$47,"&gt;0"))</f>
        <v/>
      </c>
      <c r="P96" s="392" t="n"/>
    </row>
    <row r="97">
      <c r="A97" s="392" t="n">
        <v>93</v>
      </c>
      <c r="B97" s="392" t="n"/>
      <c r="C97" s="392" t="n"/>
      <c r="D97" s="392" t="n"/>
      <c r="E97" s="392" t="n"/>
      <c r="F97" s="394" t="n"/>
      <c r="G97" s="392" t="n"/>
      <c r="H97" s="604">
        <f>IFERROR(IF(AND($K97&gt;0,ISNUMBER(IF(OR($D97="g",$D97="ｇ"),IF($M97&gt;0,$L97/$M97/1000,""),IF($D97="kg",IF($M97&gt;0,$L97/$M97,""),IF($D97="",IF($M97&gt;0,$L97/$M97/1000,IF($O97&gt;0,$N97/$O97,"")),IF($O97&gt;0,$N97/$O97,"")))))),IF(OR($D97="g",$D97="ｇ"),IF($M97&gt;0,$L97/$M97/1000,""),IF($D97="kg",IF($M97&gt;0,$L97/$M97,""),IF($D97="",IF($M97&gt;0,$L97/$M97/1000,IF($O97&gt;0,$N97/$O97,"")),IF($O97&gt;0,$N97/$O97,"")))),IF($F97="",IF(OR($E97="",$E97="⑩盛付梱包工程入力"),"",IF(OR($D97="g",$D97="ｇ"),INDEX(⑰工程労務費一覧!$N$5:$N$11,MATCH($E97,⑰工程労務費一覧!$K$5:$K$11,0))/1000,IF($D97="kg",INDEX(⑰工程労務費一覧!$N$5:$N$11,MATCH($E97,⑰工程労務費一覧!$K$5:$K$11,0)),IF(OR($D97="個",$D97="切",$D97="本",$D97="枚",$D97="尾"),IF($E97="⑬計量工程入力","",INDEX(⑰工程労務費一覧!$P$5:$P$11,MATCH($E97,⑰工程労務費一覧!$K$5:$K$11,0))),IF(AND($D97="",OR($E97="②釜工程入力",$E97="③スチコン工程入力")),INDEX(⑰工程労務費一覧!$N$5:$N$11,MATCH($E97,⑰工程労務費一覧!$K$5:$K$11,0))/1000,""))))),IF(OR($D97="g",$D97="ｇ"),INDEX(⑰工程労務費一覧!$H$5:$H$753,MATCH($F97,⑰工程労務費一覧!$D$5:$D$753,0))/1000,IF($D97="kg",INDEX(⑰工程労務費一覧!$H$5:$H$753,MATCH($F97,⑰工程労務費一覧!$D$5:$D$753,0)),INDEX(⑰工程労務費一覧!$I$5:$I$753,MATCH($F97,⑰工程労務費一覧!$D$5:$D$753,0)))))),"")</f>
        <v/>
      </c>
      <c r="I97" s="392">
        <f>IF($K97&gt;0,IF(ISNUMBER(IF(OR($D97="g",$D97="ｇ"),IF($M97&gt;0,$L97/$M97/1000,""),IF($D97="kg",IF($M97&gt;0,$L97/$M97,""),IF($D97="",IF($M97&gt;0,$L97/$M97/1000,IF($O97&gt;0,$N97/$O97,"")),IF($O97&gt;0,$N97/$O97,""))))),IF($D97="",IF($M97&gt;0,"◎ JAN紐づけ(g扱い)","◎ JAN紐づけ(個扱い)"),"◎ JAN紐づけ"),"△ JAN紐づけ済・実績不足→仮計算"),IF($F97="",IF(ISNUMBER($H97),IF($D97="","⑤ 工程平均で仮計算(g扱い)","⑤ 工程平均で仮計算"),IF($E97="⑩盛付梱包工程入力","⑥ 盛り込み(⑳F列で計上)",IF(AND($E97="⑬計量工程入力",OR($D97="個",$D97="切",$D97="本",$D97="枚",$D97="尾")),"① 未紐づけ(カット個単位は仮単価なし)","① 未紐づけ"))),IF(NOT(ISNUMBER($H97)),"② 工程側に単価なし",IF($D97="","③ 単位未設定(個で計算)","④ OK"))))</f>
        <v/>
      </c>
      <c r="J97" s="399">
        <f>IFERROR(LOOKUP(2,1/((中間品リスト!$F$2:$F$1299=$B97)*(中間品リスト!$E$2:$E$1299&lt;&gt;"-")*(中間品リスト!$E$2:$E$1299&lt;&gt;"")),中間品リスト!$E$2:$E$1299),"")</f>
        <v/>
      </c>
      <c r="K97" s="400">
        <f>IF($J97="",0,COUNTIF(②釜工程入力!$S$5:$S$117,$J97)+COUNTIF(③スチコン工程入力!$S$5:$S$152,$J97)+COUNTIF(⑪ZEN工程入力!$S$6:$S$35,$J97)+COUNTIF(⑫ミキサー工程入力!$S$6:$S$65,$J97)+COUNTIF(⑬計量工程入力!$S$6:$S$65,$J97)+COUNTIF(⑭手動工程入力!$S$6:$S$47,$J97))</f>
        <v/>
      </c>
      <c r="L97" s="393">
        <f>IF($J97="",0,SUMIFS(②釜工程入力!$M$5:$M$117,②釜工程入力!$S$5:$S$117,$J97,②釜工程入力!$I$5:$I$117,"&gt;0")+SUMIFS(③スチコン工程入力!$M$5:$M$152,③スチコン工程入力!$S$5:$S$152,$J97,③スチコン工程入力!$I$5:$I$152,"&gt;0")+SUMIFS(⑪ZEN工程入力!$M$6:$M$35,⑪ZEN工程入力!$S$6:$S$35,$J97,⑪ZEN工程入力!$I$6:$I$35,"&gt;0")+SUMIFS(⑫ミキサー工程入力!$M$6:$M$65,⑫ミキサー工程入力!$S$6:$S$65,$J97,⑫ミキサー工程入力!$I$6:$I$65,"&gt;0")+SUMIFS(⑬計量工程入力!$M$6:$M$65,⑬計量工程入力!$S$6:$S$65,$J97,⑬計量工程入力!$I$6:$I$65,"&gt;0")+SUMIFS(⑭手動工程入力!$M$6:$M$47,⑭手動工程入力!$S$6:$S$47,$J97,⑭手動工程入力!$I$6:$I$47,"&gt;0"))</f>
        <v/>
      </c>
      <c r="M97" s="393">
        <f>IF($J97="",0,SUMIFS(②釜工程入力!$I$5:$I$117,②釜工程入力!$S$5:$S$117,$J97,②釜工程入力!$I$5:$I$117,"&gt;0",②釜工程入力!$M$5:$M$117,"&gt;0")+SUMIFS(③スチコン工程入力!$I$5:$I$152,③スチコン工程入力!$S$5:$S$152,$J97,③スチコン工程入力!$I$5:$I$152,"&gt;0",③スチコン工程入力!$M$5:$M$152,"&gt;0")+SUMIFS(⑪ZEN工程入力!$I$6:$I$35,⑪ZEN工程入力!$S$6:$S$35,$J97,⑪ZEN工程入力!$I$6:$I$35,"&gt;0",⑪ZEN工程入力!$M$6:$M$35,"&gt;0")+SUMIFS(⑫ミキサー工程入力!$I$6:$I$65,⑫ミキサー工程入力!$S$6:$S$65,$J97,⑫ミキサー工程入力!$I$6:$I$65,"&gt;0",⑫ミキサー工程入力!$M$6:$M$65,"&gt;0")+SUMIFS(⑬計量工程入力!$I$6:$I$65,⑬計量工程入力!$S$6:$S$65,$J97,⑬計量工程入力!$I$6:$I$65,"&gt;0",⑬計量工程入力!$M$6:$M$65,"&gt;0")+SUMIFS(⑭手動工程入力!$I$6:$I$47,⑭手動工程入力!$S$6:$S$47,$J97,⑭手動工程入力!$I$6:$I$47,"&gt;0",⑭手動工程入力!$M$6:$M$47,"&gt;0"))</f>
        <v/>
      </c>
      <c r="N97" s="393">
        <f>IF($J97="",0,SUMIFS(②釜工程入力!$M$5:$M$117,②釜工程入力!$S$5:$S$117,$J97,②釜工程入力!$J$5:$J$117,"&gt;0")-SUMIFS(②釜工程入力!$M$5:$M$117,②釜工程入力!$S$5:$S$117,$J97,②釜工程入力!$J$5:$J$117,"&gt;0",②釜工程入力!$I$5:$I$117,"&gt;0")+SUMIFS(③スチコン工程入力!$M$5:$M$152,③スチコン工程入力!$S$5:$S$152,$J97,③スチコン工程入力!$J$5:$J$152,"&gt;0")-SUMIFS(③スチコン工程入力!$M$5:$M$152,③スチコン工程入力!$S$5:$S$152,$J97,③スチコン工程入力!$J$5:$J$152,"&gt;0",③スチコン工程入力!$I$5:$I$152,"&gt;0")+SUMIFS(⑪ZEN工程入力!$M$6:$M$35,⑪ZEN工程入力!$S$6:$S$35,$J97,⑪ZEN工程入力!$J$6:$J$35,"&gt;0")-SUMIFS(⑪ZEN工程入力!$M$6:$M$35,⑪ZEN工程入力!$S$6:$S$35,$J97,⑪ZEN工程入力!$J$6:$J$35,"&gt;0",⑪ZEN工程入力!$I$6:$I$35,"&gt;0")+SUMIFS(⑫ミキサー工程入力!$M$6:$M$65,⑫ミキサー工程入力!$S$6:$S$65,$J97,⑫ミキサー工程入力!$J$6:$J$65,"&gt;0")-SUMIFS(⑫ミキサー工程入力!$M$6:$M$65,⑫ミキサー工程入力!$S$6:$S$65,$J97,⑫ミキサー工程入力!$J$6:$J$65,"&gt;0",⑫ミキサー工程入力!$I$6:$I$65,"&gt;0")+SUMIFS(⑬計量工程入力!$M$6:$M$65,⑬計量工程入力!$S$6:$S$65,$J97,⑬計量工程入力!$J$6:$J$65,"&gt;0")-SUMIFS(⑬計量工程入力!$M$6:$M$65,⑬計量工程入力!$S$6:$S$65,$J97,⑬計量工程入力!$J$6:$J$65,"&gt;0",⑬計量工程入力!$I$6:$I$65,"&gt;0")+SUMIFS(⑭手動工程入力!$M$6:$M$47,⑭手動工程入力!$S$6:$S$47,$J97,⑭手動工程入力!$J$6:$J$47,"&gt;0")-SUMIFS(⑭手動工程入力!$M$6:$M$47,⑭手動工程入力!$S$6:$S$47,$J97,⑭手動工程入力!$J$6:$J$47,"&gt;0",⑭手動工程入力!$I$6:$I$47,"&gt;0"))</f>
        <v/>
      </c>
      <c r="O97" s="393">
        <f>IF($J97="",0,SUMIFS(②釜工程入力!$J$5:$J$117,②釜工程入力!$S$5:$S$117,$J97,②釜工程入力!$J$5:$J$117,"&gt;0",②釜工程入力!$M$5:$M$117,"&gt;0")-SUMIFS(②釜工程入力!$J$5:$J$117,②釜工程入力!$S$5:$S$117,$J97,②釜工程入力!$J$5:$J$117,"&gt;0",②釜工程入力!$I$5:$I$117,"&gt;0",②釜工程入力!$M$5:$M$117,"&gt;0")+SUMIFS(③スチコン工程入力!$J$5:$J$152,③スチコン工程入力!$S$5:$S$152,$J97,③スチコン工程入力!$J$5:$J$152,"&gt;0",③スチコン工程入力!$M$5:$M$152,"&gt;0")-SUMIFS(③スチコン工程入力!$J$5:$J$152,③スチコン工程入力!$S$5:$S$152,$J97,③スチコン工程入力!$J$5:$J$152,"&gt;0",③スチコン工程入力!$I$5:$I$152,"&gt;0",③スチコン工程入力!$M$5:$M$152,"&gt;0")+SUMIFS(⑪ZEN工程入力!$J$6:$J$35,⑪ZEN工程入力!$S$6:$S$35,$J97,⑪ZEN工程入力!$J$6:$J$35,"&gt;0",⑪ZEN工程入力!$M$6:$M$35,"&gt;0")-SUMIFS(⑪ZEN工程入力!$J$6:$J$35,⑪ZEN工程入力!$S$6:$S$35,$J97,⑪ZEN工程入力!$J$6:$J$35,"&gt;0",⑪ZEN工程入力!$I$6:$I$35,"&gt;0",⑪ZEN工程入力!$M$6:$M$35,"&gt;0")+SUMIFS(⑫ミキサー工程入力!$J$6:$J$65,⑫ミキサー工程入力!$S$6:$S$65,$J97,⑫ミキサー工程入力!$J$6:$J$65,"&gt;0",⑫ミキサー工程入力!$M$6:$M$65,"&gt;0")-SUMIFS(⑫ミキサー工程入力!$J$6:$J$65,⑫ミキサー工程入力!$S$6:$S$65,$J97,⑫ミキサー工程入力!$J$6:$J$65,"&gt;0",⑫ミキサー工程入力!$I$6:$I$65,"&gt;0",⑫ミキサー工程入力!$M$6:$M$65,"&gt;0")+SUMIFS(⑬計量工程入力!$J$6:$J$65,⑬計量工程入力!$S$6:$S$65,$J97,⑬計量工程入力!$J$6:$J$65,"&gt;0",⑬計量工程入力!$M$6:$M$65,"&gt;0")-SUMIFS(⑬計量工程入力!$J$6:$J$65,⑬計量工程入力!$S$6:$S$65,$J97,⑬計量工程入力!$J$6:$J$65,"&gt;0",⑬計量工程入力!$I$6:$I$65,"&gt;0",⑬計量工程入力!$M$6:$M$65,"&gt;0")+SUMIFS(⑭手動工程入力!$J$6:$J$47,⑭手動工程入力!$S$6:$S$47,$J97,⑭手動工程入力!$J$6:$J$47,"&gt;0",⑭手動工程入力!$M$6:$M$47,"&gt;0")-SUMIFS(⑭手動工程入力!$J$6:$J$47,⑭手動工程入力!$S$6:$S$47,$J97,⑭手動工程入力!$J$6:$J$47,"&gt;0",⑭手動工程入力!$I$6:$I$47,"&gt;0",⑭手動工程入力!$M$6:$M$47,"&gt;0"))</f>
        <v/>
      </c>
      <c r="P97" s="392" t="n"/>
    </row>
    <row r="98">
      <c r="A98" s="392" t="n">
        <v>94</v>
      </c>
      <c r="B98" s="392" t="n"/>
      <c r="C98" s="392" t="n"/>
      <c r="D98" s="392" t="n"/>
      <c r="E98" s="392" t="n"/>
      <c r="F98" s="394" t="n"/>
      <c r="G98" s="392" t="n"/>
      <c r="H98" s="604">
        <f>IFERROR(IF(AND($K98&gt;0,ISNUMBER(IF(OR($D98="g",$D98="ｇ"),IF($M98&gt;0,$L98/$M98/1000,""),IF($D98="kg",IF($M98&gt;0,$L98/$M98,""),IF($D98="",IF($M98&gt;0,$L98/$M98/1000,IF($O98&gt;0,$N98/$O98,"")),IF($O98&gt;0,$N98/$O98,"")))))),IF(OR($D98="g",$D98="ｇ"),IF($M98&gt;0,$L98/$M98/1000,""),IF($D98="kg",IF($M98&gt;0,$L98/$M98,""),IF($D98="",IF($M98&gt;0,$L98/$M98/1000,IF($O98&gt;0,$N98/$O98,"")),IF($O98&gt;0,$N98/$O98,"")))),IF($F98="",IF(OR($E98="",$E98="⑩盛付梱包工程入力"),"",IF(OR($D98="g",$D98="ｇ"),INDEX(⑰工程労務費一覧!$N$5:$N$11,MATCH($E98,⑰工程労務費一覧!$K$5:$K$11,0))/1000,IF($D98="kg",INDEX(⑰工程労務費一覧!$N$5:$N$11,MATCH($E98,⑰工程労務費一覧!$K$5:$K$11,0)),IF(OR($D98="個",$D98="切",$D98="本",$D98="枚",$D98="尾"),IF($E98="⑬計量工程入力","",INDEX(⑰工程労務費一覧!$P$5:$P$11,MATCH($E98,⑰工程労務費一覧!$K$5:$K$11,0))),IF(AND($D98="",OR($E98="②釜工程入力",$E98="③スチコン工程入力")),INDEX(⑰工程労務費一覧!$N$5:$N$11,MATCH($E98,⑰工程労務費一覧!$K$5:$K$11,0))/1000,""))))),IF(OR($D98="g",$D98="ｇ"),INDEX(⑰工程労務費一覧!$H$5:$H$753,MATCH($F98,⑰工程労務費一覧!$D$5:$D$753,0))/1000,IF($D98="kg",INDEX(⑰工程労務費一覧!$H$5:$H$753,MATCH($F98,⑰工程労務費一覧!$D$5:$D$753,0)),INDEX(⑰工程労務費一覧!$I$5:$I$753,MATCH($F98,⑰工程労務費一覧!$D$5:$D$753,0)))))),"")</f>
        <v/>
      </c>
      <c r="I98" s="392">
        <f>IF($K98&gt;0,IF(ISNUMBER(IF(OR($D98="g",$D98="ｇ"),IF($M98&gt;0,$L98/$M98/1000,""),IF($D98="kg",IF($M98&gt;0,$L98/$M98,""),IF($D98="",IF($M98&gt;0,$L98/$M98/1000,IF($O98&gt;0,$N98/$O98,"")),IF($O98&gt;0,$N98/$O98,""))))),IF($D98="",IF($M98&gt;0,"◎ JAN紐づけ(g扱い)","◎ JAN紐づけ(個扱い)"),"◎ JAN紐づけ"),"△ JAN紐づけ済・実績不足→仮計算"),IF($F98="",IF(ISNUMBER($H98),IF($D98="","⑤ 工程平均で仮計算(g扱い)","⑤ 工程平均で仮計算"),IF($E98="⑩盛付梱包工程入力","⑥ 盛り込み(⑳F列で計上)",IF(AND($E98="⑬計量工程入力",OR($D98="個",$D98="切",$D98="本",$D98="枚",$D98="尾")),"① 未紐づけ(カット個単位は仮単価なし)","① 未紐づけ"))),IF(NOT(ISNUMBER($H98)),"② 工程側に単価なし",IF($D98="","③ 単位未設定(個で計算)","④ OK"))))</f>
        <v/>
      </c>
      <c r="J98" s="399">
        <f>IFERROR(LOOKUP(2,1/((中間品リスト!$F$2:$F$1299=$B98)*(中間品リスト!$E$2:$E$1299&lt;&gt;"-")*(中間品リスト!$E$2:$E$1299&lt;&gt;"")),中間品リスト!$E$2:$E$1299),"")</f>
        <v/>
      </c>
      <c r="K98" s="400">
        <f>IF($J98="",0,COUNTIF(②釜工程入力!$S$5:$S$117,$J98)+COUNTIF(③スチコン工程入力!$S$5:$S$152,$J98)+COUNTIF(⑪ZEN工程入力!$S$6:$S$35,$J98)+COUNTIF(⑫ミキサー工程入力!$S$6:$S$65,$J98)+COUNTIF(⑬計量工程入力!$S$6:$S$65,$J98)+COUNTIF(⑭手動工程入力!$S$6:$S$47,$J98))</f>
        <v/>
      </c>
      <c r="L98" s="393">
        <f>IF($J98="",0,SUMIFS(②釜工程入力!$M$5:$M$117,②釜工程入力!$S$5:$S$117,$J98,②釜工程入力!$I$5:$I$117,"&gt;0")+SUMIFS(③スチコン工程入力!$M$5:$M$152,③スチコン工程入力!$S$5:$S$152,$J98,③スチコン工程入力!$I$5:$I$152,"&gt;0")+SUMIFS(⑪ZEN工程入力!$M$6:$M$35,⑪ZEN工程入力!$S$6:$S$35,$J98,⑪ZEN工程入力!$I$6:$I$35,"&gt;0")+SUMIFS(⑫ミキサー工程入力!$M$6:$M$65,⑫ミキサー工程入力!$S$6:$S$65,$J98,⑫ミキサー工程入力!$I$6:$I$65,"&gt;0")+SUMIFS(⑬計量工程入力!$M$6:$M$65,⑬計量工程入力!$S$6:$S$65,$J98,⑬計量工程入力!$I$6:$I$65,"&gt;0")+SUMIFS(⑭手動工程入力!$M$6:$M$47,⑭手動工程入力!$S$6:$S$47,$J98,⑭手動工程入力!$I$6:$I$47,"&gt;0"))</f>
        <v/>
      </c>
      <c r="M98" s="393">
        <f>IF($J98="",0,SUMIFS(②釜工程入力!$I$5:$I$117,②釜工程入力!$S$5:$S$117,$J98,②釜工程入力!$I$5:$I$117,"&gt;0",②釜工程入力!$M$5:$M$117,"&gt;0")+SUMIFS(③スチコン工程入力!$I$5:$I$152,③スチコン工程入力!$S$5:$S$152,$J98,③スチコン工程入力!$I$5:$I$152,"&gt;0",③スチコン工程入力!$M$5:$M$152,"&gt;0")+SUMIFS(⑪ZEN工程入力!$I$6:$I$35,⑪ZEN工程入力!$S$6:$S$35,$J98,⑪ZEN工程入力!$I$6:$I$35,"&gt;0",⑪ZEN工程入力!$M$6:$M$35,"&gt;0")+SUMIFS(⑫ミキサー工程入力!$I$6:$I$65,⑫ミキサー工程入力!$S$6:$S$65,$J98,⑫ミキサー工程入力!$I$6:$I$65,"&gt;0",⑫ミキサー工程入力!$M$6:$M$65,"&gt;0")+SUMIFS(⑬計量工程入力!$I$6:$I$65,⑬計量工程入力!$S$6:$S$65,$J98,⑬計量工程入力!$I$6:$I$65,"&gt;0",⑬計量工程入力!$M$6:$M$65,"&gt;0")+SUMIFS(⑭手動工程入力!$I$6:$I$47,⑭手動工程入力!$S$6:$S$47,$J98,⑭手動工程入力!$I$6:$I$47,"&gt;0",⑭手動工程入力!$M$6:$M$47,"&gt;0"))</f>
        <v/>
      </c>
      <c r="N98" s="393">
        <f>IF($J98="",0,SUMIFS(②釜工程入力!$M$5:$M$117,②釜工程入力!$S$5:$S$117,$J98,②釜工程入力!$J$5:$J$117,"&gt;0")-SUMIFS(②釜工程入力!$M$5:$M$117,②釜工程入力!$S$5:$S$117,$J98,②釜工程入力!$J$5:$J$117,"&gt;0",②釜工程入力!$I$5:$I$117,"&gt;0")+SUMIFS(③スチコン工程入力!$M$5:$M$152,③スチコン工程入力!$S$5:$S$152,$J98,③スチコン工程入力!$J$5:$J$152,"&gt;0")-SUMIFS(③スチコン工程入力!$M$5:$M$152,③スチコン工程入力!$S$5:$S$152,$J98,③スチコン工程入力!$J$5:$J$152,"&gt;0",③スチコン工程入力!$I$5:$I$152,"&gt;0")+SUMIFS(⑪ZEN工程入力!$M$6:$M$35,⑪ZEN工程入力!$S$6:$S$35,$J98,⑪ZEN工程入力!$J$6:$J$35,"&gt;0")-SUMIFS(⑪ZEN工程入力!$M$6:$M$35,⑪ZEN工程入力!$S$6:$S$35,$J98,⑪ZEN工程入力!$J$6:$J$35,"&gt;0",⑪ZEN工程入力!$I$6:$I$35,"&gt;0")+SUMIFS(⑫ミキサー工程入力!$M$6:$M$65,⑫ミキサー工程入力!$S$6:$S$65,$J98,⑫ミキサー工程入力!$J$6:$J$65,"&gt;0")-SUMIFS(⑫ミキサー工程入力!$M$6:$M$65,⑫ミキサー工程入力!$S$6:$S$65,$J98,⑫ミキサー工程入力!$J$6:$J$65,"&gt;0",⑫ミキサー工程入力!$I$6:$I$65,"&gt;0")+SUMIFS(⑬計量工程入力!$M$6:$M$65,⑬計量工程入力!$S$6:$S$65,$J98,⑬計量工程入力!$J$6:$J$65,"&gt;0")-SUMIFS(⑬計量工程入力!$M$6:$M$65,⑬計量工程入力!$S$6:$S$65,$J98,⑬計量工程入力!$J$6:$J$65,"&gt;0",⑬計量工程入力!$I$6:$I$65,"&gt;0")+SUMIFS(⑭手動工程入力!$M$6:$M$47,⑭手動工程入力!$S$6:$S$47,$J98,⑭手動工程入力!$J$6:$J$47,"&gt;0")-SUMIFS(⑭手動工程入力!$M$6:$M$47,⑭手動工程入力!$S$6:$S$47,$J98,⑭手動工程入力!$J$6:$J$47,"&gt;0",⑭手動工程入力!$I$6:$I$47,"&gt;0"))</f>
        <v/>
      </c>
      <c r="O98" s="393">
        <f>IF($J98="",0,SUMIFS(②釜工程入力!$J$5:$J$117,②釜工程入力!$S$5:$S$117,$J98,②釜工程入力!$J$5:$J$117,"&gt;0",②釜工程入力!$M$5:$M$117,"&gt;0")-SUMIFS(②釜工程入力!$J$5:$J$117,②釜工程入力!$S$5:$S$117,$J98,②釜工程入力!$J$5:$J$117,"&gt;0",②釜工程入力!$I$5:$I$117,"&gt;0",②釜工程入力!$M$5:$M$117,"&gt;0")+SUMIFS(③スチコン工程入力!$J$5:$J$152,③スチコン工程入力!$S$5:$S$152,$J98,③スチコン工程入力!$J$5:$J$152,"&gt;0",③スチコン工程入力!$M$5:$M$152,"&gt;0")-SUMIFS(③スチコン工程入力!$J$5:$J$152,③スチコン工程入力!$S$5:$S$152,$J98,③スチコン工程入力!$J$5:$J$152,"&gt;0",③スチコン工程入力!$I$5:$I$152,"&gt;0",③スチコン工程入力!$M$5:$M$152,"&gt;0")+SUMIFS(⑪ZEN工程入力!$J$6:$J$35,⑪ZEN工程入力!$S$6:$S$35,$J98,⑪ZEN工程入力!$J$6:$J$35,"&gt;0",⑪ZEN工程入力!$M$6:$M$35,"&gt;0")-SUMIFS(⑪ZEN工程入力!$J$6:$J$35,⑪ZEN工程入力!$S$6:$S$35,$J98,⑪ZEN工程入力!$J$6:$J$35,"&gt;0",⑪ZEN工程入力!$I$6:$I$35,"&gt;0",⑪ZEN工程入力!$M$6:$M$35,"&gt;0")+SUMIFS(⑫ミキサー工程入力!$J$6:$J$65,⑫ミキサー工程入力!$S$6:$S$65,$J98,⑫ミキサー工程入力!$J$6:$J$65,"&gt;0",⑫ミキサー工程入力!$M$6:$M$65,"&gt;0")-SUMIFS(⑫ミキサー工程入力!$J$6:$J$65,⑫ミキサー工程入力!$S$6:$S$65,$J98,⑫ミキサー工程入力!$J$6:$J$65,"&gt;0",⑫ミキサー工程入力!$I$6:$I$65,"&gt;0",⑫ミキサー工程入力!$M$6:$M$65,"&gt;0")+SUMIFS(⑬計量工程入力!$J$6:$J$65,⑬計量工程入力!$S$6:$S$65,$J98,⑬計量工程入力!$J$6:$J$65,"&gt;0",⑬計量工程入力!$M$6:$M$65,"&gt;0")-SUMIFS(⑬計量工程入力!$J$6:$J$65,⑬計量工程入力!$S$6:$S$65,$J98,⑬計量工程入力!$J$6:$J$65,"&gt;0",⑬計量工程入力!$I$6:$I$65,"&gt;0",⑬計量工程入力!$M$6:$M$65,"&gt;0")+SUMIFS(⑭手動工程入力!$J$6:$J$47,⑭手動工程入力!$S$6:$S$47,$J98,⑭手動工程入力!$J$6:$J$47,"&gt;0",⑭手動工程入力!$M$6:$M$47,"&gt;0")-SUMIFS(⑭手動工程入力!$J$6:$J$47,⑭手動工程入力!$S$6:$S$47,$J98,⑭手動工程入力!$J$6:$J$47,"&gt;0",⑭手動工程入力!$I$6:$I$47,"&gt;0",⑭手動工程入力!$M$6:$M$47,"&gt;0"))</f>
        <v/>
      </c>
      <c r="P98" s="392" t="n"/>
    </row>
    <row r="99">
      <c r="A99" s="392" t="n">
        <v>95</v>
      </c>
      <c r="B99" s="392" t="n"/>
      <c r="C99" s="392" t="n"/>
      <c r="D99" s="392" t="n"/>
      <c r="E99" s="392" t="n"/>
      <c r="F99" s="394" t="n"/>
      <c r="G99" s="392" t="n"/>
      <c r="H99" s="604">
        <f>IFERROR(IF(AND($K99&gt;0,ISNUMBER(IF(OR($D99="g",$D99="ｇ"),IF($M99&gt;0,$L99/$M99/1000,""),IF($D99="kg",IF($M99&gt;0,$L99/$M99,""),IF($D99="",IF($M99&gt;0,$L99/$M99/1000,IF($O99&gt;0,$N99/$O99,"")),IF($O99&gt;0,$N99/$O99,"")))))),IF(OR($D99="g",$D99="ｇ"),IF($M99&gt;0,$L99/$M99/1000,""),IF($D99="kg",IF($M99&gt;0,$L99/$M99,""),IF($D99="",IF($M99&gt;0,$L99/$M99/1000,IF($O99&gt;0,$N99/$O99,"")),IF($O99&gt;0,$N99/$O99,"")))),IF($F99="",IF(OR($E99="",$E99="⑩盛付梱包工程入力"),"",IF(OR($D99="g",$D99="ｇ"),INDEX(⑰工程労務費一覧!$N$5:$N$11,MATCH($E99,⑰工程労務費一覧!$K$5:$K$11,0))/1000,IF($D99="kg",INDEX(⑰工程労務費一覧!$N$5:$N$11,MATCH($E99,⑰工程労務費一覧!$K$5:$K$11,0)),IF(OR($D99="個",$D99="切",$D99="本",$D99="枚",$D99="尾"),IF($E99="⑬計量工程入力","",INDEX(⑰工程労務費一覧!$P$5:$P$11,MATCH($E99,⑰工程労務費一覧!$K$5:$K$11,0))),IF(AND($D99="",OR($E99="②釜工程入力",$E99="③スチコン工程入力")),INDEX(⑰工程労務費一覧!$N$5:$N$11,MATCH($E99,⑰工程労務費一覧!$K$5:$K$11,0))/1000,""))))),IF(OR($D99="g",$D99="ｇ"),INDEX(⑰工程労務費一覧!$H$5:$H$753,MATCH($F99,⑰工程労務費一覧!$D$5:$D$753,0))/1000,IF($D99="kg",INDEX(⑰工程労務費一覧!$H$5:$H$753,MATCH($F99,⑰工程労務費一覧!$D$5:$D$753,0)),INDEX(⑰工程労務費一覧!$I$5:$I$753,MATCH($F99,⑰工程労務費一覧!$D$5:$D$753,0)))))),"")</f>
        <v/>
      </c>
      <c r="I99" s="392">
        <f>IF($K99&gt;0,IF(ISNUMBER(IF(OR($D99="g",$D99="ｇ"),IF($M99&gt;0,$L99/$M99/1000,""),IF($D99="kg",IF($M99&gt;0,$L99/$M99,""),IF($D99="",IF($M99&gt;0,$L99/$M99/1000,IF($O99&gt;0,$N99/$O99,"")),IF($O99&gt;0,$N99/$O99,""))))),IF($D99="",IF($M99&gt;0,"◎ JAN紐づけ(g扱い)","◎ JAN紐づけ(個扱い)"),"◎ JAN紐づけ"),"△ JAN紐づけ済・実績不足→仮計算"),IF($F99="",IF(ISNUMBER($H99),IF($D99="","⑤ 工程平均で仮計算(g扱い)","⑤ 工程平均で仮計算"),IF($E99="⑩盛付梱包工程入力","⑥ 盛り込み(⑳F列で計上)",IF(AND($E99="⑬計量工程入力",OR($D99="個",$D99="切",$D99="本",$D99="枚",$D99="尾")),"① 未紐づけ(カット個単位は仮単価なし)","① 未紐づけ"))),IF(NOT(ISNUMBER($H99)),"② 工程側に単価なし",IF($D99="","③ 単位未設定(個で計算)","④ OK"))))</f>
        <v/>
      </c>
      <c r="J99" s="399">
        <f>IFERROR(LOOKUP(2,1/((中間品リスト!$F$2:$F$1299=$B99)*(中間品リスト!$E$2:$E$1299&lt;&gt;"-")*(中間品リスト!$E$2:$E$1299&lt;&gt;"")),中間品リスト!$E$2:$E$1299),"")</f>
        <v/>
      </c>
      <c r="K99" s="400">
        <f>IF($J99="",0,COUNTIF(②釜工程入力!$S$5:$S$117,$J99)+COUNTIF(③スチコン工程入力!$S$5:$S$152,$J99)+COUNTIF(⑪ZEN工程入力!$S$6:$S$35,$J99)+COUNTIF(⑫ミキサー工程入力!$S$6:$S$65,$J99)+COUNTIF(⑬計量工程入力!$S$6:$S$65,$J99)+COUNTIF(⑭手動工程入力!$S$6:$S$47,$J99))</f>
        <v/>
      </c>
      <c r="L99" s="393">
        <f>IF($J99="",0,SUMIFS(②釜工程入力!$M$5:$M$117,②釜工程入力!$S$5:$S$117,$J99,②釜工程入力!$I$5:$I$117,"&gt;0")+SUMIFS(③スチコン工程入力!$M$5:$M$152,③スチコン工程入力!$S$5:$S$152,$J99,③スチコン工程入力!$I$5:$I$152,"&gt;0")+SUMIFS(⑪ZEN工程入力!$M$6:$M$35,⑪ZEN工程入力!$S$6:$S$35,$J99,⑪ZEN工程入力!$I$6:$I$35,"&gt;0")+SUMIFS(⑫ミキサー工程入力!$M$6:$M$65,⑫ミキサー工程入力!$S$6:$S$65,$J99,⑫ミキサー工程入力!$I$6:$I$65,"&gt;0")+SUMIFS(⑬計量工程入力!$M$6:$M$65,⑬計量工程入力!$S$6:$S$65,$J99,⑬計量工程入力!$I$6:$I$65,"&gt;0")+SUMIFS(⑭手動工程入力!$M$6:$M$47,⑭手動工程入力!$S$6:$S$47,$J99,⑭手動工程入力!$I$6:$I$47,"&gt;0"))</f>
        <v/>
      </c>
      <c r="M99" s="393">
        <f>IF($J99="",0,SUMIFS(②釜工程入力!$I$5:$I$117,②釜工程入力!$S$5:$S$117,$J99,②釜工程入力!$I$5:$I$117,"&gt;0",②釜工程入力!$M$5:$M$117,"&gt;0")+SUMIFS(③スチコン工程入力!$I$5:$I$152,③スチコン工程入力!$S$5:$S$152,$J99,③スチコン工程入力!$I$5:$I$152,"&gt;0",③スチコン工程入力!$M$5:$M$152,"&gt;0")+SUMIFS(⑪ZEN工程入力!$I$6:$I$35,⑪ZEN工程入力!$S$6:$S$35,$J99,⑪ZEN工程入力!$I$6:$I$35,"&gt;0",⑪ZEN工程入力!$M$6:$M$35,"&gt;0")+SUMIFS(⑫ミキサー工程入力!$I$6:$I$65,⑫ミキサー工程入力!$S$6:$S$65,$J99,⑫ミキサー工程入力!$I$6:$I$65,"&gt;0",⑫ミキサー工程入力!$M$6:$M$65,"&gt;0")+SUMIFS(⑬計量工程入力!$I$6:$I$65,⑬計量工程入力!$S$6:$S$65,$J99,⑬計量工程入力!$I$6:$I$65,"&gt;0",⑬計量工程入力!$M$6:$M$65,"&gt;0")+SUMIFS(⑭手動工程入力!$I$6:$I$47,⑭手動工程入力!$S$6:$S$47,$J99,⑭手動工程入力!$I$6:$I$47,"&gt;0",⑭手動工程入力!$M$6:$M$47,"&gt;0"))</f>
        <v/>
      </c>
      <c r="N99" s="393">
        <f>IF($J99="",0,SUMIFS(②釜工程入力!$M$5:$M$117,②釜工程入力!$S$5:$S$117,$J99,②釜工程入力!$J$5:$J$117,"&gt;0")-SUMIFS(②釜工程入力!$M$5:$M$117,②釜工程入力!$S$5:$S$117,$J99,②釜工程入力!$J$5:$J$117,"&gt;0",②釜工程入力!$I$5:$I$117,"&gt;0")+SUMIFS(③スチコン工程入力!$M$5:$M$152,③スチコン工程入力!$S$5:$S$152,$J99,③スチコン工程入力!$J$5:$J$152,"&gt;0")-SUMIFS(③スチコン工程入力!$M$5:$M$152,③スチコン工程入力!$S$5:$S$152,$J99,③スチコン工程入力!$J$5:$J$152,"&gt;0",③スチコン工程入力!$I$5:$I$152,"&gt;0")+SUMIFS(⑪ZEN工程入力!$M$6:$M$35,⑪ZEN工程入力!$S$6:$S$35,$J99,⑪ZEN工程入力!$J$6:$J$35,"&gt;0")-SUMIFS(⑪ZEN工程入力!$M$6:$M$35,⑪ZEN工程入力!$S$6:$S$35,$J99,⑪ZEN工程入力!$J$6:$J$35,"&gt;0",⑪ZEN工程入力!$I$6:$I$35,"&gt;0")+SUMIFS(⑫ミキサー工程入力!$M$6:$M$65,⑫ミキサー工程入力!$S$6:$S$65,$J99,⑫ミキサー工程入力!$J$6:$J$65,"&gt;0")-SUMIFS(⑫ミキサー工程入力!$M$6:$M$65,⑫ミキサー工程入力!$S$6:$S$65,$J99,⑫ミキサー工程入力!$J$6:$J$65,"&gt;0",⑫ミキサー工程入力!$I$6:$I$65,"&gt;0")+SUMIFS(⑬計量工程入力!$M$6:$M$65,⑬計量工程入力!$S$6:$S$65,$J99,⑬計量工程入力!$J$6:$J$65,"&gt;0")-SUMIFS(⑬計量工程入力!$M$6:$M$65,⑬計量工程入力!$S$6:$S$65,$J99,⑬計量工程入力!$J$6:$J$65,"&gt;0",⑬計量工程入力!$I$6:$I$65,"&gt;0")+SUMIFS(⑭手動工程入力!$M$6:$M$47,⑭手動工程入力!$S$6:$S$47,$J99,⑭手動工程入力!$J$6:$J$47,"&gt;0")-SUMIFS(⑭手動工程入力!$M$6:$M$47,⑭手動工程入力!$S$6:$S$47,$J99,⑭手動工程入力!$J$6:$J$47,"&gt;0",⑭手動工程入力!$I$6:$I$47,"&gt;0"))</f>
        <v/>
      </c>
      <c r="O99" s="393">
        <f>IF($J99="",0,SUMIFS(②釜工程入力!$J$5:$J$117,②釜工程入力!$S$5:$S$117,$J99,②釜工程入力!$J$5:$J$117,"&gt;0",②釜工程入力!$M$5:$M$117,"&gt;0")-SUMIFS(②釜工程入力!$J$5:$J$117,②釜工程入力!$S$5:$S$117,$J99,②釜工程入力!$J$5:$J$117,"&gt;0",②釜工程入力!$I$5:$I$117,"&gt;0",②釜工程入力!$M$5:$M$117,"&gt;0")+SUMIFS(③スチコン工程入力!$J$5:$J$152,③スチコン工程入力!$S$5:$S$152,$J99,③スチコン工程入力!$J$5:$J$152,"&gt;0",③スチコン工程入力!$M$5:$M$152,"&gt;0")-SUMIFS(③スチコン工程入力!$J$5:$J$152,③スチコン工程入力!$S$5:$S$152,$J99,③スチコン工程入力!$J$5:$J$152,"&gt;0",③スチコン工程入力!$I$5:$I$152,"&gt;0",③スチコン工程入力!$M$5:$M$152,"&gt;0")+SUMIFS(⑪ZEN工程入力!$J$6:$J$35,⑪ZEN工程入力!$S$6:$S$35,$J99,⑪ZEN工程入力!$J$6:$J$35,"&gt;0",⑪ZEN工程入力!$M$6:$M$35,"&gt;0")-SUMIFS(⑪ZEN工程入力!$J$6:$J$35,⑪ZEN工程入力!$S$6:$S$35,$J99,⑪ZEN工程入力!$J$6:$J$35,"&gt;0",⑪ZEN工程入力!$I$6:$I$35,"&gt;0",⑪ZEN工程入力!$M$6:$M$35,"&gt;0")+SUMIFS(⑫ミキサー工程入力!$J$6:$J$65,⑫ミキサー工程入力!$S$6:$S$65,$J99,⑫ミキサー工程入力!$J$6:$J$65,"&gt;0",⑫ミキサー工程入力!$M$6:$M$65,"&gt;0")-SUMIFS(⑫ミキサー工程入力!$J$6:$J$65,⑫ミキサー工程入力!$S$6:$S$65,$J99,⑫ミキサー工程入力!$J$6:$J$65,"&gt;0",⑫ミキサー工程入力!$I$6:$I$65,"&gt;0",⑫ミキサー工程入力!$M$6:$M$65,"&gt;0")+SUMIFS(⑬計量工程入力!$J$6:$J$65,⑬計量工程入力!$S$6:$S$65,$J99,⑬計量工程入力!$J$6:$J$65,"&gt;0",⑬計量工程入力!$M$6:$M$65,"&gt;0")-SUMIFS(⑬計量工程入力!$J$6:$J$65,⑬計量工程入力!$S$6:$S$65,$J99,⑬計量工程入力!$J$6:$J$65,"&gt;0",⑬計量工程入力!$I$6:$I$65,"&gt;0",⑬計量工程入力!$M$6:$M$65,"&gt;0")+SUMIFS(⑭手動工程入力!$J$6:$J$47,⑭手動工程入力!$S$6:$S$47,$J99,⑭手動工程入力!$J$6:$J$47,"&gt;0",⑭手動工程入力!$M$6:$M$47,"&gt;0")-SUMIFS(⑭手動工程入力!$J$6:$J$47,⑭手動工程入力!$S$6:$S$47,$J99,⑭手動工程入力!$J$6:$J$47,"&gt;0",⑭手動工程入力!$I$6:$I$47,"&gt;0",⑭手動工程入力!$M$6:$M$47,"&gt;0"))</f>
        <v/>
      </c>
      <c r="P99" s="392" t="n"/>
    </row>
    <row r="100">
      <c r="A100" s="392" t="n">
        <v>96</v>
      </c>
      <c r="B100" s="392" t="n"/>
      <c r="C100" s="392" t="n"/>
      <c r="D100" s="392" t="n"/>
      <c r="E100" s="392" t="n"/>
      <c r="F100" s="394" t="n"/>
      <c r="G100" s="392" t="n"/>
      <c r="H100" s="604">
        <f>IFERROR(IF(AND($K100&gt;0,ISNUMBER(IF(OR($D100="g",$D100="ｇ"),IF($M100&gt;0,$L100/$M100/1000,""),IF($D100="kg",IF($M100&gt;0,$L100/$M100,""),IF($D100="",IF($M100&gt;0,$L100/$M100/1000,IF($O100&gt;0,$N100/$O100,"")),IF($O100&gt;0,$N100/$O100,"")))))),IF(OR($D100="g",$D100="ｇ"),IF($M100&gt;0,$L100/$M100/1000,""),IF($D100="kg",IF($M100&gt;0,$L100/$M100,""),IF($D100="",IF($M100&gt;0,$L100/$M100/1000,IF($O100&gt;0,$N100/$O100,"")),IF($O100&gt;0,$N100/$O100,"")))),IF($F100="",IF(OR($E100="",$E100="⑩盛付梱包工程入力"),"",IF(OR($D100="g",$D100="ｇ"),INDEX(⑰工程労務費一覧!$N$5:$N$11,MATCH($E100,⑰工程労務費一覧!$K$5:$K$11,0))/1000,IF($D100="kg",INDEX(⑰工程労務費一覧!$N$5:$N$11,MATCH($E100,⑰工程労務費一覧!$K$5:$K$11,0)),IF(OR($D100="個",$D100="切",$D100="本",$D100="枚",$D100="尾"),IF($E100="⑬計量工程入力","",INDEX(⑰工程労務費一覧!$P$5:$P$11,MATCH($E100,⑰工程労務費一覧!$K$5:$K$11,0))),IF(AND($D100="",OR($E100="②釜工程入力",$E100="③スチコン工程入力")),INDEX(⑰工程労務費一覧!$N$5:$N$11,MATCH($E100,⑰工程労務費一覧!$K$5:$K$11,0))/1000,""))))),IF(OR($D100="g",$D100="ｇ"),INDEX(⑰工程労務費一覧!$H$5:$H$753,MATCH($F100,⑰工程労務費一覧!$D$5:$D$753,0))/1000,IF($D100="kg",INDEX(⑰工程労務費一覧!$H$5:$H$753,MATCH($F100,⑰工程労務費一覧!$D$5:$D$753,0)),INDEX(⑰工程労務費一覧!$I$5:$I$753,MATCH($F100,⑰工程労務費一覧!$D$5:$D$753,0)))))),"")</f>
        <v/>
      </c>
      <c r="I100" s="392">
        <f>IF($K100&gt;0,IF(ISNUMBER(IF(OR($D100="g",$D100="ｇ"),IF($M100&gt;0,$L100/$M100/1000,""),IF($D100="kg",IF($M100&gt;0,$L100/$M100,""),IF($D100="",IF($M100&gt;0,$L100/$M100/1000,IF($O100&gt;0,$N100/$O100,"")),IF($O100&gt;0,$N100/$O100,""))))),IF($D100="",IF($M100&gt;0,"◎ JAN紐づけ(g扱い)","◎ JAN紐づけ(個扱い)"),"◎ JAN紐づけ"),"△ JAN紐づけ済・実績不足→仮計算"),IF($F100="",IF(ISNUMBER($H100),IF($D100="","⑤ 工程平均で仮計算(g扱い)","⑤ 工程平均で仮計算"),IF($E100="⑩盛付梱包工程入力","⑥ 盛り込み(⑳F列で計上)",IF(AND($E100="⑬計量工程入力",OR($D100="個",$D100="切",$D100="本",$D100="枚",$D100="尾")),"① 未紐づけ(カット個単位は仮単価なし)","① 未紐づけ"))),IF(NOT(ISNUMBER($H100)),"② 工程側に単価なし",IF($D100="","③ 単位未設定(個で計算)","④ OK"))))</f>
        <v/>
      </c>
      <c r="J100" s="399">
        <f>IFERROR(LOOKUP(2,1/((中間品リスト!$F$2:$F$1299=$B100)*(中間品リスト!$E$2:$E$1299&lt;&gt;"-")*(中間品リスト!$E$2:$E$1299&lt;&gt;"")),中間品リスト!$E$2:$E$1299),"")</f>
        <v/>
      </c>
      <c r="K100" s="400">
        <f>IF($J100="",0,COUNTIF(②釜工程入力!$S$5:$S$117,$J100)+COUNTIF(③スチコン工程入力!$S$5:$S$152,$J100)+COUNTIF(⑪ZEN工程入力!$S$6:$S$35,$J100)+COUNTIF(⑫ミキサー工程入力!$S$6:$S$65,$J100)+COUNTIF(⑬計量工程入力!$S$6:$S$65,$J100)+COUNTIF(⑭手動工程入力!$S$6:$S$47,$J100))</f>
        <v/>
      </c>
      <c r="L100" s="393">
        <f>IF($J100="",0,SUMIFS(②釜工程入力!$M$5:$M$117,②釜工程入力!$S$5:$S$117,$J100,②釜工程入力!$I$5:$I$117,"&gt;0")+SUMIFS(③スチコン工程入力!$M$5:$M$152,③スチコン工程入力!$S$5:$S$152,$J100,③スチコン工程入力!$I$5:$I$152,"&gt;0")+SUMIFS(⑪ZEN工程入力!$M$6:$M$35,⑪ZEN工程入力!$S$6:$S$35,$J100,⑪ZEN工程入力!$I$6:$I$35,"&gt;0")+SUMIFS(⑫ミキサー工程入力!$M$6:$M$65,⑫ミキサー工程入力!$S$6:$S$65,$J100,⑫ミキサー工程入力!$I$6:$I$65,"&gt;0")+SUMIFS(⑬計量工程入力!$M$6:$M$65,⑬計量工程入力!$S$6:$S$65,$J100,⑬計量工程入力!$I$6:$I$65,"&gt;0")+SUMIFS(⑭手動工程入力!$M$6:$M$47,⑭手動工程入力!$S$6:$S$47,$J100,⑭手動工程入力!$I$6:$I$47,"&gt;0"))</f>
        <v/>
      </c>
      <c r="M100" s="393">
        <f>IF($J100="",0,SUMIFS(②釜工程入力!$I$5:$I$117,②釜工程入力!$S$5:$S$117,$J100,②釜工程入力!$I$5:$I$117,"&gt;0",②釜工程入力!$M$5:$M$117,"&gt;0")+SUMIFS(③スチコン工程入力!$I$5:$I$152,③スチコン工程入力!$S$5:$S$152,$J100,③スチコン工程入力!$I$5:$I$152,"&gt;0",③スチコン工程入力!$M$5:$M$152,"&gt;0")+SUMIFS(⑪ZEN工程入力!$I$6:$I$35,⑪ZEN工程入力!$S$6:$S$35,$J100,⑪ZEN工程入力!$I$6:$I$35,"&gt;0",⑪ZEN工程入力!$M$6:$M$35,"&gt;0")+SUMIFS(⑫ミキサー工程入力!$I$6:$I$65,⑫ミキサー工程入力!$S$6:$S$65,$J100,⑫ミキサー工程入力!$I$6:$I$65,"&gt;0",⑫ミキサー工程入力!$M$6:$M$65,"&gt;0")+SUMIFS(⑬計量工程入力!$I$6:$I$65,⑬計量工程入力!$S$6:$S$65,$J100,⑬計量工程入力!$I$6:$I$65,"&gt;0",⑬計量工程入力!$M$6:$M$65,"&gt;0")+SUMIFS(⑭手動工程入力!$I$6:$I$47,⑭手動工程入力!$S$6:$S$47,$J100,⑭手動工程入力!$I$6:$I$47,"&gt;0",⑭手動工程入力!$M$6:$M$47,"&gt;0"))</f>
        <v/>
      </c>
      <c r="N100" s="393">
        <f>IF($J100="",0,SUMIFS(②釜工程入力!$M$5:$M$117,②釜工程入力!$S$5:$S$117,$J100,②釜工程入力!$J$5:$J$117,"&gt;0")-SUMIFS(②釜工程入力!$M$5:$M$117,②釜工程入力!$S$5:$S$117,$J100,②釜工程入力!$J$5:$J$117,"&gt;0",②釜工程入力!$I$5:$I$117,"&gt;0")+SUMIFS(③スチコン工程入力!$M$5:$M$152,③スチコン工程入力!$S$5:$S$152,$J100,③スチコン工程入力!$J$5:$J$152,"&gt;0")-SUMIFS(③スチコン工程入力!$M$5:$M$152,③スチコン工程入力!$S$5:$S$152,$J100,③スチコン工程入力!$J$5:$J$152,"&gt;0",③スチコン工程入力!$I$5:$I$152,"&gt;0")+SUMIFS(⑪ZEN工程入力!$M$6:$M$35,⑪ZEN工程入力!$S$6:$S$35,$J100,⑪ZEN工程入力!$J$6:$J$35,"&gt;0")-SUMIFS(⑪ZEN工程入力!$M$6:$M$35,⑪ZEN工程入力!$S$6:$S$35,$J100,⑪ZEN工程入力!$J$6:$J$35,"&gt;0",⑪ZEN工程入力!$I$6:$I$35,"&gt;0")+SUMIFS(⑫ミキサー工程入力!$M$6:$M$65,⑫ミキサー工程入力!$S$6:$S$65,$J100,⑫ミキサー工程入力!$J$6:$J$65,"&gt;0")-SUMIFS(⑫ミキサー工程入力!$M$6:$M$65,⑫ミキサー工程入力!$S$6:$S$65,$J100,⑫ミキサー工程入力!$J$6:$J$65,"&gt;0",⑫ミキサー工程入力!$I$6:$I$65,"&gt;0")+SUMIFS(⑬計量工程入力!$M$6:$M$65,⑬計量工程入力!$S$6:$S$65,$J100,⑬計量工程入力!$J$6:$J$65,"&gt;0")-SUMIFS(⑬計量工程入力!$M$6:$M$65,⑬計量工程入力!$S$6:$S$65,$J100,⑬計量工程入力!$J$6:$J$65,"&gt;0",⑬計量工程入力!$I$6:$I$65,"&gt;0")+SUMIFS(⑭手動工程入力!$M$6:$M$47,⑭手動工程入力!$S$6:$S$47,$J100,⑭手動工程入力!$J$6:$J$47,"&gt;0")-SUMIFS(⑭手動工程入力!$M$6:$M$47,⑭手動工程入力!$S$6:$S$47,$J100,⑭手動工程入力!$J$6:$J$47,"&gt;0",⑭手動工程入力!$I$6:$I$47,"&gt;0"))</f>
        <v/>
      </c>
      <c r="O100" s="393">
        <f>IF($J100="",0,SUMIFS(②釜工程入力!$J$5:$J$117,②釜工程入力!$S$5:$S$117,$J100,②釜工程入力!$J$5:$J$117,"&gt;0",②釜工程入力!$M$5:$M$117,"&gt;0")-SUMIFS(②釜工程入力!$J$5:$J$117,②釜工程入力!$S$5:$S$117,$J100,②釜工程入力!$J$5:$J$117,"&gt;0",②釜工程入力!$I$5:$I$117,"&gt;0",②釜工程入力!$M$5:$M$117,"&gt;0")+SUMIFS(③スチコン工程入力!$J$5:$J$152,③スチコン工程入力!$S$5:$S$152,$J100,③スチコン工程入力!$J$5:$J$152,"&gt;0",③スチコン工程入力!$M$5:$M$152,"&gt;0")-SUMIFS(③スチコン工程入力!$J$5:$J$152,③スチコン工程入力!$S$5:$S$152,$J100,③スチコン工程入力!$J$5:$J$152,"&gt;0",③スチコン工程入力!$I$5:$I$152,"&gt;0",③スチコン工程入力!$M$5:$M$152,"&gt;0")+SUMIFS(⑪ZEN工程入力!$J$6:$J$35,⑪ZEN工程入力!$S$6:$S$35,$J100,⑪ZEN工程入力!$J$6:$J$35,"&gt;0",⑪ZEN工程入力!$M$6:$M$35,"&gt;0")-SUMIFS(⑪ZEN工程入力!$J$6:$J$35,⑪ZEN工程入力!$S$6:$S$35,$J100,⑪ZEN工程入力!$J$6:$J$35,"&gt;0",⑪ZEN工程入力!$I$6:$I$35,"&gt;0",⑪ZEN工程入力!$M$6:$M$35,"&gt;0")+SUMIFS(⑫ミキサー工程入力!$J$6:$J$65,⑫ミキサー工程入力!$S$6:$S$65,$J100,⑫ミキサー工程入力!$J$6:$J$65,"&gt;0",⑫ミキサー工程入力!$M$6:$M$65,"&gt;0")-SUMIFS(⑫ミキサー工程入力!$J$6:$J$65,⑫ミキサー工程入力!$S$6:$S$65,$J100,⑫ミキサー工程入力!$J$6:$J$65,"&gt;0",⑫ミキサー工程入力!$I$6:$I$65,"&gt;0",⑫ミキサー工程入力!$M$6:$M$65,"&gt;0")+SUMIFS(⑬計量工程入力!$J$6:$J$65,⑬計量工程入力!$S$6:$S$65,$J100,⑬計量工程入力!$J$6:$J$65,"&gt;0",⑬計量工程入力!$M$6:$M$65,"&gt;0")-SUMIFS(⑬計量工程入力!$J$6:$J$65,⑬計量工程入力!$S$6:$S$65,$J100,⑬計量工程入力!$J$6:$J$65,"&gt;0",⑬計量工程入力!$I$6:$I$65,"&gt;0",⑬計量工程入力!$M$6:$M$65,"&gt;0")+SUMIFS(⑭手動工程入力!$J$6:$J$47,⑭手動工程入力!$S$6:$S$47,$J100,⑭手動工程入力!$J$6:$J$47,"&gt;0",⑭手動工程入力!$M$6:$M$47,"&gt;0")-SUMIFS(⑭手動工程入力!$J$6:$J$47,⑭手動工程入力!$S$6:$S$47,$J100,⑭手動工程入力!$J$6:$J$47,"&gt;0",⑭手動工程入力!$I$6:$I$47,"&gt;0",⑭手動工程入力!$M$6:$M$47,"&gt;0"))</f>
        <v/>
      </c>
      <c r="P100" s="392" t="n"/>
    </row>
    <row r="101">
      <c r="A101" s="392" t="n">
        <v>97</v>
      </c>
      <c r="B101" s="392" t="n"/>
      <c r="C101" s="392" t="n"/>
      <c r="D101" s="392" t="n"/>
      <c r="E101" s="392" t="n"/>
      <c r="F101" s="394" t="n"/>
      <c r="G101" s="392" t="n"/>
      <c r="H101" s="604">
        <f>IFERROR(IF(AND($K101&gt;0,ISNUMBER(IF(OR($D101="g",$D101="ｇ"),IF($M101&gt;0,$L101/$M101/1000,""),IF($D101="kg",IF($M101&gt;0,$L101/$M101,""),IF($D101="",IF($M101&gt;0,$L101/$M101/1000,IF($O101&gt;0,$N101/$O101,"")),IF($O101&gt;0,$N101/$O101,"")))))),IF(OR($D101="g",$D101="ｇ"),IF($M101&gt;0,$L101/$M101/1000,""),IF($D101="kg",IF($M101&gt;0,$L101/$M101,""),IF($D101="",IF($M101&gt;0,$L101/$M101/1000,IF($O101&gt;0,$N101/$O101,"")),IF($O101&gt;0,$N101/$O101,"")))),IF($F101="",IF(OR($E101="",$E101="⑩盛付梱包工程入力"),"",IF(OR($D101="g",$D101="ｇ"),INDEX(⑰工程労務費一覧!$N$5:$N$11,MATCH($E101,⑰工程労務費一覧!$K$5:$K$11,0))/1000,IF($D101="kg",INDEX(⑰工程労務費一覧!$N$5:$N$11,MATCH($E101,⑰工程労務費一覧!$K$5:$K$11,0)),IF(OR($D101="個",$D101="切",$D101="本",$D101="枚",$D101="尾"),IF($E101="⑬計量工程入力","",INDEX(⑰工程労務費一覧!$P$5:$P$11,MATCH($E101,⑰工程労務費一覧!$K$5:$K$11,0))),IF(AND($D101="",OR($E101="②釜工程入力",$E101="③スチコン工程入力")),INDEX(⑰工程労務費一覧!$N$5:$N$11,MATCH($E101,⑰工程労務費一覧!$K$5:$K$11,0))/1000,""))))),IF(OR($D101="g",$D101="ｇ"),INDEX(⑰工程労務費一覧!$H$5:$H$753,MATCH($F101,⑰工程労務費一覧!$D$5:$D$753,0))/1000,IF($D101="kg",INDEX(⑰工程労務費一覧!$H$5:$H$753,MATCH($F101,⑰工程労務費一覧!$D$5:$D$753,0)),INDEX(⑰工程労務費一覧!$I$5:$I$753,MATCH($F101,⑰工程労務費一覧!$D$5:$D$753,0)))))),"")</f>
        <v/>
      </c>
      <c r="I101" s="392">
        <f>IF($K101&gt;0,IF(ISNUMBER(IF(OR($D101="g",$D101="ｇ"),IF($M101&gt;0,$L101/$M101/1000,""),IF($D101="kg",IF($M101&gt;0,$L101/$M101,""),IF($D101="",IF($M101&gt;0,$L101/$M101/1000,IF($O101&gt;0,$N101/$O101,"")),IF($O101&gt;0,$N101/$O101,""))))),IF($D101="",IF($M101&gt;0,"◎ JAN紐づけ(g扱い)","◎ JAN紐づけ(個扱い)"),"◎ JAN紐づけ"),"△ JAN紐づけ済・実績不足→仮計算"),IF($F101="",IF(ISNUMBER($H101),IF($D101="","⑤ 工程平均で仮計算(g扱い)","⑤ 工程平均で仮計算"),IF($E101="⑩盛付梱包工程入力","⑥ 盛り込み(⑳F列で計上)",IF(AND($E101="⑬計量工程入力",OR($D101="個",$D101="切",$D101="本",$D101="枚",$D101="尾")),"① 未紐づけ(カット個単位は仮単価なし)","① 未紐づけ"))),IF(NOT(ISNUMBER($H101)),"② 工程側に単価なし",IF($D101="","③ 単位未設定(個で計算)","④ OK"))))</f>
        <v/>
      </c>
      <c r="J101" s="399">
        <f>IFERROR(LOOKUP(2,1/((中間品リスト!$F$2:$F$1299=$B101)*(中間品リスト!$E$2:$E$1299&lt;&gt;"-")*(中間品リスト!$E$2:$E$1299&lt;&gt;"")),中間品リスト!$E$2:$E$1299),"")</f>
        <v/>
      </c>
      <c r="K101" s="400">
        <f>IF($J101="",0,COUNTIF(②釜工程入力!$S$5:$S$117,$J101)+COUNTIF(③スチコン工程入力!$S$5:$S$152,$J101)+COUNTIF(⑪ZEN工程入力!$S$6:$S$35,$J101)+COUNTIF(⑫ミキサー工程入力!$S$6:$S$65,$J101)+COUNTIF(⑬計量工程入力!$S$6:$S$65,$J101)+COUNTIF(⑭手動工程入力!$S$6:$S$47,$J101))</f>
        <v/>
      </c>
      <c r="L101" s="393">
        <f>IF($J101="",0,SUMIFS(②釜工程入力!$M$5:$M$117,②釜工程入力!$S$5:$S$117,$J101,②釜工程入力!$I$5:$I$117,"&gt;0")+SUMIFS(③スチコン工程入力!$M$5:$M$152,③スチコン工程入力!$S$5:$S$152,$J101,③スチコン工程入力!$I$5:$I$152,"&gt;0")+SUMIFS(⑪ZEN工程入力!$M$6:$M$35,⑪ZEN工程入力!$S$6:$S$35,$J101,⑪ZEN工程入力!$I$6:$I$35,"&gt;0")+SUMIFS(⑫ミキサー工程入力!$M$6:$M$65,⑫ミキサー工程入力!$S$6:$S$65,$J101,⑫ミキサー工程入力!$I$6:$I$65,"&gt;0")+SUMIFS(⑬計量工程入力!$M$6:$M$65,⑬計量工程入力!$S$6:$S$65,$J101,⑬計量工程入力!$I$6:$I$65,"&gt;0")+SUMIFS(⑭手動工程入力!$M$6:$M$47,⑭手動工程入力!$S$6:$S$47,$J101,⑭手動工程入力!$I$6:$I$47,"&gt;0"))</f>
        <v/>
      </c>
      <c r="M101" s="393">
        <f>IF($J101="",0,SUMIFS(②釜工程入力!$I$5:$I$117,②釜工程入力!$S$5:$S$117,$J101,②釜工程入力!$I$5:$I$117,"&gt;0",②釜工程入力!$M$5:$M$117,"&gt;0")+SUMIFS(③スチコン工程入力!$I$5:$I$152,③スチコン工程入力!$S$5:$S$152,$J101,③スチコン工程入力!$I$5:$I$152,"&gt;0",③スチコン工程入力!$M$5:$M$152,"&gt;0")+SUMIFS(⑪ZEN工程入力!$I$6:$I$35,⑪ZEN工程入力!$S$6:$S$35,$J101,⑪ZEN工程入力!$I$6:$I$35,"&gt;0",⑪ZEN工程入力!$M$6:$M$35,"&gt;0")+SUMIFS(⑫ミキサー工程入力!$I$6:$I$65,⑫ミキサー工程入力!$S$6:$S$65,$J101,⑫ミキサー工程入力!$I$6:$I$65,"&gt;0",⑫ミキサー工程入力!$M$6:$M$65,"&gt;0")+SUMIFS(⑬計量工程入力!$I$6:$I$65,⑬計量工程入力!$S$6:$S$65,$J101,⑬計量工程入力!$I$6:$I$65,"&gt;0",⑬計量工程入力!$M$6:$M$65,"&gt;0")+SUMIFS(⑭手動工程入力!$I$6:$I$47,⑭手動工程入力!$S$6:$S$47,$J101,⑭手動工程入力!$I$6:$I$47,"&gt;0",⑭手動工程入力!$M$6:$M$47,"&gt;0"))</f>
        <v/>
      </c>
      <c r="N101" s="393">
        <f>IF($J101="",0,SUMIFS(②釜工程入力!$M$5:$M$117,②釜工程入力!$S$5:$S$117,$J101,②釜工程入力!$J$5:$J$117,"&gt;0")-SUMIFS(②釜工程入力!$M$5:$M$117,②釜工程入力!$S$5:$S$117,$J101,②釜工程入力!$J$5:$J$117,"&gt;0",②釜工程入力!$I$5:$I$117,"&gt;0")+SUMIFS(③スチコン工程入力!$M$5:$M$152,③スチコン工程入力!$S$5:$S$152,$J101,③スチコン工程入力!$J$5:$J$152,"&gt;0")-SUMIFS(③スチコン工程入力!$M$5:$M$152,③スチコン工程入力!$S$5:$S$152,$J101,③スチコン工程入力!$J$5:$J$152,"&gt;0",③スチコン工程入力!$I$5:$I$152,"&gt;0")+SUMIFS(⑪ZEN工程入力!$M$6:$M$35,⑪ZEN工程入力!$S$6:$S$35,$J101,⑪ZEN工程入力!$J$6:$J$35,"&gt;0")-SUMIFS(⑪ZEN工程入力!$M$6:$M$35,⑪ZEN工程入力!$S$6:$S$35,$J101,⑪ZEN工程入力!$J$6:$J$35,"&gt;0",⑪ZEN工程入力!$I$6:$I$35,"&gt;0")+SUMIFS(⑫ミキサー工程入力!$M$6:$M$65,⑫ミキサー工程入力!$S$6:$S$65,$J101,⑫ミキサー工程入力!$J$6:$J$65,"&gt;0")-SUMIFS(⑫ミキサー工程入力!$M$6:$M$65,⑫ミキサー工程入力!$S$6:$S$65,$J101,⑫ミキサー工程入力!$J$6:$J$65,"&gt;0",⑫ミキサー工程入力!$I$6:$I$65,"&gt;0")+SUMIFS(⑬計量工程入力!$M$6:$M$65,⑬計量工程入力!$S$6:$S$65,$J101,⑬計量工程入力!$J$6:$J$65,"&gt;0")-SUMIFS(⑬計量工程入力!$M$6:$M$65,⑬計量工程入力!$S$6:$S$65,$J101,⑬計量工程入力!$J$6:$J$65,"&gt;0",⑬計量工程入力!$I$6:$I$65,"&gt;0")+SUMIFS(⑭手動工程入力!$M$6:$M$47,⑭手動工程入力!$S$6:$S$47,$J101,⑭手動工程入力!$J$6:$J$47,"&gt;0")-SUMIFS(⑭手動工程入力!$M$6:$M$47,⑭手動工程入力!$S$6:$S$47,$J101,⑭手動工程入力!$J$6:$J$47,"&gt;0",⑭手動工程入力!$I$6:$I$47,"&gt;0"))</f>
        <v/>
      </c>
      <c r="O101" s="393">
        <f>IF($J101="",0,SUMIFS(②釜工程入力!$J$5:$J$117,②釜工程入力!$S$5:$S$117,$J101,②釜工程入力!$J$5:$J$117,"&gt;0",②釜工程入力!$M$5:$M$117,"&gt;0")-SUMIFS(②釜工程入力!$J$5:$J$117,②釜工程入力!$S$5:$S$117,$J101,②釜工程入力!$J$5:$J$117,"&gt;0",②釜工程入力!$I$5:$I$117,"&gt;0",②釜工程入力!$M$5:$M$117,"&gt;0")+SUMIFS(③スチコン工程入力!$J$5:$J$152,③スチコン工程入力!$S$5:$S$152,$J101,③スチコン工程入力!$J$5:$J$152,"&gt;0",③スチコン工程入力!$M$5:$M$152,"&gt;0")-SUMIFS(③スチコン工程入力!$J$5:$J$152,③スチコン工程入力!$S$5:$S$152,$J101,③スチコン工程入力!$J$5:$J$152,"&gt;0",③スチコン工程入力!$I$5:$I$152,"&gt;0",③スチコン工程入力!$M$5:$M$152,"&gt;0")+SUMIFS(⑪ZEN工程入力!$J$6:$J$35,⑪ZEN工程入力!$S$6:$S$35,$J101,⑪ZEN工程入力!$J$6:$J$35,"&gt;0",⑪ZEN工程入力!$M$6:$M$35,"&gt;0")-SUMIFS(⑪ZEN工程入力!$J$6:$J$35,⑪ZEN工程入力!$S$6:$S$35,$J101,⑪ZEN工程入力!$J$6:$J$35,"&gt;0",⑪ZEN工程入力!$I$6:$I$35,"&gt;0",⑪ZEN工程入力!$M$6:$M$35,"&gt;0")+SUMIFS(⑫ミキサー工程入力!$J$6:$J$65,⑫ミキサー工程入力!$S$6:$S$65,$J101,⑫ミキサー工程入力!$J$6:$J$65,"&gt;0",⑫ミキサー工程入力!$M$6:$M$65,"&gt;0")-SUMIFS(⑫ミキサー工程入力!$J$6:$J$65,⑫ミキサー工程入力!$S$6:$S$65,$J101,⑫ミキサー工程入力!$J$6:$J$65,"&gt;0",⑫ミキサー工程入力!$I$6:$I$65,"&gt;0",⑫ミキサー工程入力!$M$6:$M$65,"&gt;0")+SUMIFS(⑬計量工程入力!$J$6:$J$65,⑬計量工程入力!$S$6:$S$65,$J101,⑬計量工程入力!$J$6:$J$65,"&gt;0",⑬計量工程入力!$M$6:$M$65,"&gt;0")-SUMIFS(⑬計量工程入力!$J$6:$J$65,⑬計量工程入力!$S$6:$S$65,$J101,⑬計量工程入力!$J$6:$J$65,"&gt;0",⑬計量工程入力!$I$6:$I$65,"&gt;0",⑬計量工程入力!$M$6:$M$65,"&gt;0")+SUMIFS(⑭手動工程入力!$J$6:$J$47,⑭手動工程入力!$S$6:$S$47,$J101,⑭手動工程入力!$J$6:$J$47,"&gt;0",⑭手動工程入力!$M$6:$M$47,"&gt;0")-SUMIFS(⑭手動工程入力!$J$6:$J$47,⑭手動工程入力!$S$6:$S$47,$J101,⑭手動工程入力!$J$6:$J$47,"&gt;0",⑭手動工程入力!$I$6:$I$47,"&gt;0",⑭手動工程入力!$M$6:$M$47,"&gt;0"))</f>
        <v/>
      </c>
      <c r="P101" s="392" t="n"/>
    </row>
    <row r="102">
      <c r="A102" s="392" t="n">
        <v>98</v>
      </c>
      <c r="B102" s="392" t="n"/>
      <c r="C102" s="392" t="n"/>
      <c r="D102" s="392" t="n"/>
      <c r="E102" s="392" t="n"/>
      <c r="F102" s="394" t="n"/>
      <c r="G102" s="392" t="n"/>
      <c r="H102" s="604">
        <f>IFERROR(IF(AND($K102&gt;0,ISNUMBER(IF(OR($D102="g",$D102="ｇ"),IF($M102&gt;0,$L102/$M102/1000,""),IF($D102="kg",IF($M102&gt;0,$L102/$M102,""),IF($D102="",IF($M102&gt;0,$L102/$M102/1000,IF($O102&gt;0,$N102/$O102,"")),IF($O102&gt;0,$N102/$O102,"")))))),IF(OR($D102="g",$D102="ｇ"),IF($M102&gt;0,$L102/$M102/1000,""),IF($D102="kg",IF($M102&gt;0,$L102/$M102,""),IF($D102="",IF($M102&gt;0,$L102/$M102/1000,IF($O102&gt;0,$N102/$O102,"")),IF($O102&gt;0,$N102/$O102,"")))),IF($F102="",IF(OR($E102="",$E102="⑩盛付梱包工程入力"),"",IF(OR($D102="g",$D102="ｇ"),INDEX(⑰工程労務費一覧!$N$5:$N$11,MATCH($E102,⑰工程労務費一覧!$K$5:$K$11,0))/1000,IF($D102="kg",INDEX(⑰工程労務費一覧!$N$5:$N$11,MATCH($E102,⑰工程労務費一覧!$K$5:$K$11,0)),IF(OR($D102="個",$D102="切",$D102="本",$D102="枚",$D102="尾"),IF($E102="⑬計量工程入力","",INDEX(⑰工程労務費一覧!$P$5:$P$11,MATCH($E102,⑰工程労務費一覧!$K$5:$K$11,0))),IF(AND($D102="",OR($E102="②釜工程入力",$E102="③スチコン工程入力")),INDEX(⑰工程労務費一覧!$N$5:$N$11,MATCH($E102,⑰工程労務費一覧!$K$5:$K$11,0))/1000,""))))),IF(OR($D102="g",$D102="ｇ"),INDEX(⑰工程労務費一覧!$H$5:$H$753,MATCH($F102,⑰工程労務費一覧!$D$5:$D$753,0))/1000,IF($D102="kg",INDEX(⑰工程労務費一覧!$H$5:$H$753,MATCH($F102,⑰工程労務費一覧!$D$5:$D$753,0)),INDEX(⑰工程労務費一覧!$I$5:$I$753,MATCH($F102,⑰工程労務費一覧!$D$5:$D$753,0)))))),"")</f>
        <v/>
      </c>
      <c r="I102" s="392">
        <f>IF($K102&gt;0,IF(ISNUMBER(IF(OR($D102="g",$D102="ｇ"),IF($M102&gt;0,$L102/$M102/1000,""),IF($D102="kg",IF($M102&gt;0,$L102/$M102,""),IF($D102="",IF($M102&gt;0,$L102/$M102/1000,IF($O102&gt;0,$N102/$O102,"")),IF($O102&gt;0,$N102/$O102,""))))),IF($D102="",IF($M102&gt;0,"◎ JAN紐づけ(g扱い)","◎ JAN紐づけ(個扱い)"),"◎ JAN紐づけ"),"△ JAN紐づけ済・実績不足→仮計算"),IF($F102="",IF(ISNUMBER($H102),IF($D102="","⑤ 工程平均で仮計算(g扱い)","⑤ 工程平均で仮計算"),IF($E102="⑩盛付梱包工程入力","⑥ 盛り込み(⑳F列で計上)",IF(AND($E102="⑬計量工程入力",OR($D102="個",$D102="切",$D102="本",$D102="枚",$D102="尾")),"① 未紐づけ(カット個単位は仮単価なし)","① 未紐づけ"))),IF(NOT(ISNUMBER($H102)),"② 工程側に単価なし",IF($D102="","③ 単位未設定(個で計算)","④ OK"))))</f>
        <v/>
      </c>
      <c r="J102" s="399">
        <f>IFERROR(LOOKUP(2,1/((中間品リスト!$F$2:$F$1299=$B102)*(中間品リスト!$E$2:$E$1299&lt;&gt;"-")*(中間品リスト!$E$2:$E$1299&lt;&gt;"")),中間品リスト!$E$2:$E$1299),"")</f>
        <v/>
      </c>
      <c r="K102" s="400">
        <f>IF($J102="",0,COUNTIF(②釜工程入力!$S$5:$S$117,$J102)+COUNTIF(③スチコン工程入力!$S$5:$S$152,$J102)+COUNTIF(⑪ZEN工程入力!$S$6:$S$35,$J102)+COUNTIF(⑫ミキサー工程入力!$S$6:$S$65,$J102)+COUNTIF(⑬計量工程入力!$S$6:$S$65,$J102)+COUNTIF(⑭手動工程入力!$S$6:$S$47,$J102))</f>
        <v/>
      </c>
      <c r="L102" s="393">
        <f>IF($J102="",0,SUMIFS(②釜工程入力!$M$5:$M$117,②釜工程入力!$S$5:$S$117,$J102,②釜工程入力!$I$5:$I$117,"&gt;0")+SUMIFS(③スチコン工程入力!$M$5:$M$152,③スチコン工程入力!$S$5:$S$152,$J102,③スチコン工程入力!$I$5:$I$152,"&gt;0")+SUMIFS(⑪ZEN工程入力!$M$6:$M$35,⑪ZEN工程入力!$S$6:$S$35,$J102,⑪ZEN工程入力!$I$6:$I$35,"&gt;0")+SUMIFS(⑫ミキサー工程入力!$M$6:$M$65,⑫ミキサー工程入力!$S$6:$S$65,$J102,⑫ミキサー工程入力!$I$6:$I$65,"&gt;0")+SUMIFS(⑬計量工程入力!$M$6:$M$65,⑬計量工程入力!$S$6:$S$65,$J102,⑬計量工程入力!$I$6:$I$65,"&gt;0")+SUMIFS(⑭手動工程入力!$M$6:$M$47,⑭手動工程入力!$S$6:$S$47,$J102,⑭手動工程入力!$I$6:$I$47,"&gt;0"))</f>
        <v/>
      </c>
      <c r="M102" s="393">
        <f>IF($J102="",0,SUMIFS(②釜工程入力!$I$5:$I$117,②釜工程入力!$S$5:$S$117,$J102,②釜工程入力!$I$5:$I$117,"&gt;0",②釜工程入力!$M$5:$M$117,"&gt;0")+SUMIFS(③スチコン工程入力!$I$5:$I$152,③スチコン工程入力!$S$5:$S$152,$J102,③スチコン工程入力!$I$5:$I$152,"&gt;0",③スチコン工程入力!$M$5:$M$152,"&gt;0")+SUMIFS(⑪ZEN工程入力!$I$6:$I$35,⑪ZEN工程入力!$S$6:$S$35,$J102,⑪ZEN工程入力!$I$6:$I$35,"&gt;0",⑪ZEN工程入力!$M$6:$M$35,"&gt;0")+SUMIFS(⑫ミキサー工程入力!$I$6:$I$65,⑫ミキサー工程入力!$S$6:$S$65,$J102,⑫ミキサー工程入力!$I$6:$I$65,"&gt;0",⑫ミキサー工程入力!$M$6:$M$65,"&gt;0")+SUMIFS(⑬計量工程入力!$I$6:$I$65,⑬計量工程入力!$S$6:$S$65,$J102,⑬計量工程入力!$I$6:$I$65,"&gt;0",⑬計量工程入力!$M$6:$M$65,"&gt;0")+SUMIFS(⑭手動工程入力!$I$6:$I$47,⑭手動工程入力!$S$6:$S$47,$J102,⑭手動工程入力!$I$6:$I$47,"&gt;0",⑭手動工程入力!$M$6:$M$47,"&gt;0"))</f>
        <v/>
      </c>
      <c r="N102" s="393">
        <f>IF($J102="",0,SUMIFS(②釜工程入力!$M$5:$M$117,②釜工程入力!$S$5:$S$117,$J102,②釜工程入力!$J$5:$J$117,"&gt;0")-SUMIFS(②釜工程入力!$M$5:$M$117,②釜工程入力!$S$5:$S$117,$J102,②釜工程入力!$J$5:$J$117,"&gt;0",②釜工程入力!$I$5:$I$117,"&gt;0")+SUMIFS(③スチコン工程入力!$M$5:$M$152,③スチコン工程入力!$S$5:$S$152,$J102,③スチコン工程入力!$J$5:$J$152,"&gt;0")-SUMIFS(③スチコン工程入力!$M$5:$M$152,③スチコン工程入力!$S$5:$S$152,$J102,③スチコン工程入力!$J$5:$J$152,"&gt;0",③スチコン工程入力!$I$5:$I$152,"&gt;0")+SUMIFS(⑪ZEN工程入力!$M$6:$M$35,⑪ZEN工程入力!$S$6:$S$35,$J102,⑪ZEN工程入力!$J$6:$J$35,"&gt;0")-SUMIFS(⑪ZEN工程入力!$M$6:$M$35,⑪ZEN工程入力!$S$6:$S$35,$J102,⑪ZEN工程入力!$J$6:$J$35,"&gt;0",⑪ZEN工程入力!$I$6:$I$35,"&gt;0")+SUMIFS(⑫ミキサー工程入力!$M$6:$M$65,⑫ミキサー工程入力!$S$6:$S$65,$J102,⑫ミキサー工程入力!$J$6:$J$65,"&gt;0")-SUMIFS(⑫ミキサー工程入力!$M$6:$M$65,⑫ミキサー工程入力!$S$6:$S$65,$J102,⑫ミキサー工程入力!$J$6:$J$65,"&gt;0",⑫ミキサー工程入力!$I$6:$I$65,"&gt;0")+SUMIFS(⑬計量工程入力!$M$6:$M$65,⑬計量工程入力!$S$6:$S$65,$J102,⑬計量工程入力!$J$6:$J$65,"&gt;0")-SUMIFS(⑬計量工程入力!$M$6:$M$65,⑬計量工程入力!$S$6:$S$65,$J102,⑬計量工程入力!$J$6:$J$65,"&gt;0",⑬計量工程入力!$I$6:$I$65,"&gt;0")+SUMIFS(⑭手動工程入力!$M$6:$M$47,⑭手動工程入力!$S$6:$S$47,$J102,⑭手動工程入力!$J$6:$J$47,"&gt;0")-SUMIFS(⑭手動工程入力!$M$6:$M$47,⑭手動工程入力!$S$6:$S$47,$J102,⑭手動工程入力!$J$6:$J$47,"&gt;0",⑭手動工程入力!$I$6:$I$47,"&gt;0"))</f>
        <v/>
      </c>
      <c r="O102" s="393">
        <f>IF($J102="",0,SUMIFS(②釜工程入力!$J$5:$J$117,②釜工程入力!$S$5:$S$117,$J102,②釜工程入力!$J$5:$J$117,"&gt;0",②釜工程入力!$M$5:$M$117,"&gt;0")-SUMIFS(②釜工程入力!$J$5:$J$117,②釜工程入力!$S$5:$S$117,$J102,②釜工程入力!$J$5:$J$117,"&gt;0",②釜工程入力!$I$5:$I$117,"&gt;0",②釜工程入力!$M$5:$M$117,"&gt;0")+SUMIFS(③スチコン工程入力!$J$5:$J$152,③スチコン工程入力!$S$5:$S$152,$J102,③スチコン工程入力!$J$5:$J$152,"&gt;0",③スチコン工程入力!$M$5:$M$152,"&gt;0")-SUMIFS(③スチコン工程入力!$J$5:$J$152,③スチコン工程入力!$S$5:$S$152,$J102,③スチコン工程入力!$J$5:$J$152,"&gt;0",③スチコン工程入力!$I$5:$I$152,"&gt;0",③スチコン工程入力!$M$5:$M$152,"&gt;0")+SUMIFS(⑪ZEN工程入力!$J$6:$J$35,⑪ZEN工程入力!$S$6:$S$35,$J102,⑪ZEN工程入力!$J$6:$J$35,"&gt;0",⑪ZEN工程入力!$M$6:$M$35,"&gt;0")-SUMIFS(⑪ZEN工程入力!$J$6:$J$35,⑪ZEN工程入力!$S$6:$S$35,$J102,⑪ZEN工程入力!$J$6:$J$35,"&gt;0",⑪ZEN工程入力!$I$6:$I$35,"&gt;0",⑪ZEN工程入力!$M$6:$M$35,"&gt;0")+SUMIFS(⑫ミキサー工程入力!$J$6:$J$65,⑫ミキサー工程入力!$S$6:$S$65,$J102,⑫ミキサー工程入力!$J$6:$J$65,"&gt;0",⑫ミキサー工程入力!$M$6:$M$65,"&gt;0")-SUMIFS(⑫ミキサー工程入力!$J$6:$J$65,⑫ミキサー工程入力!$S$6:$S$65,$J102,⑫ミキサー工程入力!$J$6:$J$65,"&gt;0",⑫ミキサー工程入力!$I$6:$I$65,"&gt;0",⑫ミキサー工程入力!$M$6:$M$65,"&gt;0")+SUMIFS(⑬計量工程入力!$J$6:$J$65,⑬計量工程入力!$S$6:$S$65,$J102,⑬計量工程入力!$J$6:$J$65,"&gt;0",⑬計量工程入力!$M$6:$M$65,"&gt;0")-SUMIFS(⑬計量工程入力!$J$6:$J$65,⑬計量工程入力!$S$6:$S$65,$J102,⑬計量工程入力!$J$6:$J$65,"&gt;0",⑬計量工程入力!$I$6:$I$65,"&gt;0",⑬計量工程入力!$M$6:$M$65,"&gt;0")+SUMIFS(⑭手動工程入力!$J$6:$J$47,⑭手動工程入力!$S$6:$S$47,$J102,⑭手動工程入力!$J$6:$J$47,"&gt;0",⑭手動工程入力!$M$6:$M$47,"&gt;0")-SUMIFS(⑭手動工程入力!$J$6:$J$47,⑭手動工程入力!$S$6:$S$47,$J102,⑭手動工程入力!$J$6:$J$47,"&gt;0",⑭手動工程入力!$I$6:$I$47,"&gt;0",⑭手動工程入力!$M$6:$M$47,"&gt;0"))</f>
        <v/>
      </c>
      <c r="P102" s="392" t="n"/>
    </row>
    <row r="103">
      <c r="A103" s="392" t="n">
        <v>99</v>
      </c>
      <c r="B103" s="392" t="n"/>
      <c r="C103" s="392" t="n"/>
      <c r="D103" s="392" t="n"/>
      <c r="E103" s="392" t="n"/>
      <c r="F103" s="394" t="n"/>
      <c r="G103" s="392" t="n"/>
      <c r="H103" s="604">
        <f>IFERROR(IF(AND($K103&gt;0,ISNUMBER(IF(OR($D103="g",$D103="ｇ"),IF($M103&gt;0,$L103/$M103/1000,""),IF($D103="kg",IF($M103&gt;0,$L103/$M103,""),IF($D103="",IF($M103&gt;0,$L103/$M103/1000,IF($O103&gt;0,$N103/$O103,"")),IF($O103&gt;0,$N103/$O103,"")))))),IF(OR($D103="g",$D103="ｇ"),IF($M103&gt;0,$L103/$M103/1000,""),IF($D103="kg",IF($M103&gt;0,$L103/$M103,""),IF($D103="",IF($M103&gt;0,$L103/$M103/1000,IF($O103&gt;0,$N103/$O103,"")),IF($O103&gt;0,$N103/$O103,"")))),IF($F103="",IF(OR($E103="",$E103="⑩盛付梱包工程入力"),"",IF(OR($D103="g",$D103="ｇ"),INDEX(⑰工程労務費一覧!$N$5:$N$11,MATCH($E103,⑰工程労務費一覧!$K$5:$K$11,0))/1000,IF($D103="kg",INDEX(⑰工程労務費一覧!$N$5:$N$11,MATCH($E103,⑰工程労務費一覧!$K$5:$K$11,0)),IF(OR($D103="個",$D103="切",$D103="本",$D103="枚",$D103="尾"),IF($E103="⑬計量工程入力","",INDEX(⑰工程労務費一覧!$P$5:$P$11,MATCH($E103,⑰工程労務費一覧!$K$5:$K$11,0))),IF(AND($D103="",OR($E103="②釜工程入力",$E103="③スチコン工程入力")),INDEX(⑰工程労務費一覧!$N$5:$N$11,MATCH($E103,⑰工程労務費一覧!$K$5:$K$11,0))/1000,""))))),IF(OR($D103="g",$D103="ｇ"),INDEX(⑰工程労務費一覧!$H$5:$H$753,MATCH($F103,⑰工程労務費一覧!$D$5:$D$753,0))/1000,IF($D103="kg",INDEX(⑰工程労務費一覧!$H$5:$H$753,MATCH($F103,⑰工程労務費一覧!$D$5:$D$753,0)),INDEX(⑰工程労務費一覧!$I$5:$I$753,MATCH($F103,⑰工程労務費一覧!$D$5:$D$753,0)))))),"")</f>
        <v/>
      </c>
      <c r="I103" s="392">
        <f>IF($K103&gt;0,IF(ISNUMBER(IF(OR($D103="g",$D103="ｇ"),IF($M103&gt;0,$L103/$M103/1000,""),IF($D103="kg",IF($M103&gt;0,$L103/$M103,""),IF($D103="",IF($M103&gt;0,$L103/$M103/1000,IF($O103&gt;0,$N103/$O103,"")),IF($O103&gt;0,$N103/$O103,""))))),IF($D103="",IF($M103&gt;0,"◎ JAN紐づけ(g扱い)","◎ JAN紐づけ(個扱い)"),"◎ JAN紐づけ"),"△ JAN紐づけ済・実績不足→仮計算"),IF($F103="",IF(ISNUMBER($H103),IF($D103="","⑤ 工程平均で仮計算(g扱い)","⑤ 工程平均で仮計算"),IF($E103="⑩盛付梱包工程入力","⑥ 盛り込み(⑳F列で計上)",IF(AND($E103="⑬計量工程入力",OR($D103="個",$D103="切",$D103="本",$D103="枚",$D103="尾")),"① 未紐づけ(カット個単位は仮単価なし)","① 未紐づけ"))),IF(NOT(ISNUMBER($H103)),"② 工程側に単価なし",IF($D103="","③ 単位未設定(個で計算)","④ OK"))))</f>
        <v/>
      </c>
      <c r="J103" s="399">
        <f>IFERROR(LOOKUP(2,1/((中間品リスト!$F$2:$F$1299=$B103)*(中間品リスト!$E$2:$E$1299&lt;&gt;"-")*(中間品リスト!$E$2:$E$1299&lt;&gt;"")),中間品リスト!$E$2:$E$1299),"")</f>
        <v/>
      </c>
      <c r="K103" s="400">
        <f>IF($J103="",0,COUNTIF(②釜工程入力!$S$5:$S$117,$J103)+COUNTIF(③スチコン工程入力!$S$5:$S$152,$J103)+COUNTIF(⑪ZEN工程入力!$S$6:$S$35,$J103)+COUNTIF(⑫ミキサー工程入力!$S$6:$S$65,$J103)+COUNTIF(⑬計量工程入力!$S$6:$S$65,$J103)+COUNTIF(⑭手動工程入力!$S$6:$S$47,$J103))</f>
        <v/>
      </c>
      <c r="L103" s="393">
        <f>IF($J103="",0,SUMIFS(②釜工程入力!$M$5:$M$117,②釜工程入力!$S$5:$S$117,$J103,②釜工程入力!$I$5:$I$117,"&gt;0")+SUMIFS(③スチコン工程入力!$M$5:$M$152,③スチコン工程入力!$S$5:$S$152,$J103,③スチコン工程入力!$I$5:$I$152,"&gt;0")+SUMIFS(⑪ZEN工程入力!$M$6:$M$35,⑪ZEN工程入力!$S$6:$S$35,$J103,⑪ZEN工程入力!$I$6:$I$35,"&gt;0")+SUMIFS(⑫ミキサー工程入力!$M$6:$M$65,⑫ミキサー工程入力!$S$6:$S$65,$J103,⑫ミキサー工程入力!$I$6:$I$65,"&gt;0")+SUMIFS(⑬計量工程入力!$M$6:$M$65,⑬計量工程入力!$S$6:$S$65,$J103,⑬計量工程入力!$I$6:$I$65,"&gt;0")+SUMIFS(⑭手動工程入力!$M$6:$M$47,⑭手動工程入力!$S$6:$S$47,$J103,⑭手動工程入力!$I$6:$I$47,"&gt;0"))</f>
        <v/>
      </c>
      <c r="M103" s="393">
        <f>IF($J103="",0,SUMIFS(②釜工程入力!$I$5:$I$117,②釜工程入力!$S$5:$S$117,$J103,②釜工程入力!$I$5:$I$117,"&gt;0",②釜工程入力!$M$5:$M$117,"&gt;0")+SUMIFS(③スチコン工程入力!$I$5:$I$152,③スチコン工程入力!$S$5:$S$152,$J103,③スチコン工程入力!$I$5:$I$152,"&gt;0",③スチコン工程入力!$M$5:$M$152,"&gt;0")+SUMIFS(⑪ZEN工程入力!$I$6:$I$35,⑪ZEN工程入力!$S$6:$S$35,$J103,⑪ZEN工程入力!$I$6:$I$35,"&gt;0",⑪ZEN工程入力!$M$6:$M$35,"&gt;0")+SUMIFS(⑫ミキサー工程入力!$I$6:$I$65,⑫ミキサー工程入力!$S$6:$S$65,$J103,⑫ミキサー工程入力!$I$6:$I$65,"&gt;0",⑫ミキサー工程入力!$M$6:$M$65,"&gt;0")+SUMIFS(⑬計量工程入力!$I$6:$I$65,⑬計量工程入力!$S$6:$S$65,$J103,⑬計量工程入力!$I$6:$I$65,"&gt;0",⑬計量工程入力!$M$6:$M$65,"&gt;0")+SUMIFS(⑭手動工程入力!$I$6:$I$47,⑭手動工程入力!$S$6:$S$47,$J103,⑭手動工程入力!$I$6:$I$47,"&gt;0",⑭手動工程入力!$M$6:$M$47,"&gt;0"))</f>
        <v/>
      </c>
      <c r="N103" s="393">
        <f>IF($J103="",0,SUMIFS(②釜工程入力!$M$5:$M$117,②釜工程入力!$S$5:$S$117,$J103,②釜工程入力!$J$5:$J$117,"&gt;0")-SUMIFS(②釜工程入力!$M$5:$M$117,②釜工程入力!$S$5:$S$117,$J103,②釜工程入力!$J$5:$J$117,"&gt;0",②釜工程入力!$I$5:$I$117,"&gt;0")+SUMIFS(③スチコン工程入力!$M$5:$M$152,③スチコン工程入力!$S$5:$S$152,$J103,③スチコン工程入力!$J$5:$J$152,"&gt;0")-SUMIFS(③スチコン工程入力!$M$5:$M$152,③スチコン工程入力!$S$5:$S$152,$J103,③スチコン工程入力!$J$5:$J$152,"&gt;0",③スチコン工程入力!$I$5:$I$152,"&gt;0")+SUMIFS(⑪ZEN工程入力!$M$6:$M$35,⑪ZEN工程入力!$S$6:$S$35,$J103,⑪ZEN工程入力!$J$6:$J$35,"&gt;0")-SUMIFS(⑪ZEN工程入力!$M$6:$M$35,⑪ZEN工程入力!$S$6:$S$35,$J103,⑪ZEN工程入力!$J$6:$J$35,"&gt;0",⑪ZEN工程入力!$I$6:$I$35,"&gt;0")+SUMIFS(⑫ミキサー工程入力!$M$6:$M$65,⑫ミキサー工程入力!$S$6:$S$65,$J103,⑫ミキサー工程入力!$J$6:$J$65,"&gt;0")-SUMIFS(⑫ミキサー工程入力!$M$6:$M$65,⑫ミキサー工程入力!$S$6:$S$65,$J103,⑫ミキサー工程入力!$J$6:$J$65,"&gt;0",⑫ミキサー工程入力!$I$6:$I$65,"&gt;0")+SUMIFS(⑬計量工程入力!$M$6:$M$65,⑬計量工程入力!$S$6:$S$65,$J103,⑬計量工程入力!$J$6:$J$65,"&gt;0")-SUMIFS(⑬計量工程入力!$M$6:$M$65,⑬計量工程入力!$S$6:$S$65,$J103,⑬計量工程入力!$J$6:$J$65,"&gt;0",⑬計量工程入力!$I$6:$I$65,"&gt;0")+SUMIFS(⑭手動工程入力!$M$6:$M$47,⑭手動工程入力!$S$6:$S$47,$J103,⑭手動工程入力!$J$6:$J$47,"&gt;0")-SUMIFS(⑭手動工程入力!$M$6:$M$47,⑭手動工程入力!$S$6:$S$47,$J103,⑭手動工程入力!$J$6:$J$47,"&gt;0",⑭手動工程入力!$I$6:$I$47,"&gt;0"))</f>
        <v/>
      </c>
      <c r="O103" s="393">
        <f>IF($J103="",0,SUMIFS(②釜工程入力!$J$5:$J$117,②釜工程入力!$S$5:$S$117,$J103,②釜工程入力!$J$5:$J$117,"&gt;0",②釜工程入力!$M$5:$M$117,"&gt;0")-SUMIFS(②釜工程入力!$J$5:$J$117,②釜工程入力!$S$5:$S$117,$J103,②釜工程入力!$J$5:$J$117,"&gt;0",②釜工程入力!$I$5:$I$117,"&gt;0",②釜工程入力!$M$5:$M$117,"&gt;0")+SUMIFS(③スチコン工程入力!$J$5:$J$152,③スチコン工程入力!$S$5:$S$152,$J103,③スチコン工程入力!$J$5:$J$152,"&gt;0",③スチコン工程入力!$M$5:$M$152,"&gt;0")-SUMIFS(③スチコン工程入力!$J$5:$J$152,③スチコン工程入力!$S$5:$S$152,$J103,③スチコン工程入力!$J$5:$J$152,"&gt;0",③スチコン工程入力!$I$5:$I$152,"&gt;0",③スチコン工程入力!$M$5:$M$152,"&gt;0")+SUMIFS(⑪ZEN工程入力!$J$6:$J$35,⑪ZEN工程入力!$S$6:$S$35,$J103,⑪ZEN工程入力!$J$6:$J$35,"&gt;0",⑪ZEN工程入力!$M$6:$M$35,"&gt;0")-SUMIFS(⑪ZEN工程入力!$J$6:$J$35,⑪ZEN工程入力!$S$6:$S$35,$J103,⑪ZEN工程入力!$J$6:$J$35,"&gt;0",⑪ZEN工程入力!$I$6:$I$35,"&gt;0",⑪ZEN工程入力!$M$6:$M$35,"&gt;0")+SUMIFS(⑫ミキサー工程入力!$J$6:$J$65,⑫ミキサー工程入力!$S$6:$S$65,$J103,⑫ミキサー工程入力!$J$6:$J$65,"&gt;0",⑫ミキサー工程入力!$M$6:$M$65,"&gt;0")-SUMIFS(⑫ミキサー工程入力!$J$6:$J$65,⑫ミキサー工程入力!$S$6:$S$65,$J103,⑫ミキサー工程入力!$J$6:$J$65,"&gt;0",⑫ミキサー工程入力!$I$6:$I$65,"&gt;0",⑫ミキサー工程入力!$M$6:$M$65,"&gt;0")+SUMIFS(⑬計量工程入力!$J$6:$J$65,⑬計量工程入力!$S$6:$S$65,$J103,⑬計量工程入力!$J$6:$J$65,"&gt;0",⑬計量工程入力!$M$6:$M$65,"&gt;0")-SUMIFS(⑬計量工程入力!$J$6:$J$65,⑬計量工程入力!$S$6:$S$65,$J103,⑬計量工程入力!$J$6:$J$65,"&gt;0",⑬計量工程入力!$I$6:$I$65,"&gt;0",⑬計量工程入力!$M$6:$M$65,"&gt;0")+SUMIFS(⑭手動工程入力!$J$6:$J$47,⑭手動工程入力!$S$6:$S$47,$J103,⑭手動工程入力!$J$6:$J$47,"&gt;0",⑭手動工程入力!$M$6:$M$47,"&gt;0")-SUMIFS(⑭手動工程入力!$J$6:$J$47,⑭手動工程入力!$S$6:$S$47,$J103,⑭手動工程入力!$J$6:$J$47,"&gt;0",⑭手動工程入力!$I$6:$I$47,"&gt;0",⑭手動工程入力!$M$6:$M$47,"&gt;0"))</f>
        <v/>
      </c>
      <c r="P103" s="392" t="n"/>
    </row>
    <row r="104">
      <c r="A104" s="392" t="n">
        <v>100</v>
      </c>
      <c r="B104" s="392" t="n"/>
      <c r="C104" s="392" t="n"/>
      <c r="D104" s="392" t="n"/>
      <c r="E104" s="392" t="n"/>
      <c r="F104" s="394" t="n"/>
      <c r="G104" s="392" t="n"/>
      <c r="H104" s="604">
        <f>IFERROR(IF(AND($K104&gt;0,ISNUMBER(IF(OR($D104="g",$D104="ｇ"),IF($M104&gt;0,$L104/$M104/1000,""),IF($D104="kg",IF($M104&gt;0,$L104/$M104,""),IF($D104="",IF($M104&gt;0,$L104/$M104/1000,IF($O104&gt;0,$N104/$O104,"")),IF($O104&gt;0,$N104/$O104,"")))))),IF(OR($D104="g",$D104="ｇ"),IF($M104&gt;0,$L104/$M104/1000,""),IF($D104="kg",IF($M104&gt;0,$L104/$M104,""),IF($D104="",IF($M104&gt;0,$L104/$M104/1000,IF($O104&gt;0,$N104/$O104,"")),IF($O104&gt;0,$N104/$O104,"")))),IF($F104="",IF(OR($E104="",$E104="⑩盛付梱包工程入力"),"",IF(OR($D104="g",$D104="ｇ"),INDEX(⑰工程労務費一覧!$N$5:$N$11,MATCH($E104,⑰工程労務費一覧!$K$5:$K$11,0))/1000,IF($D104="kg",INDEX(⑰工程労務費一覧!$N$5:$N$11,MATCH($E104,⑰工程労務費一覧!$K$5:$K$11,0)),IF(OR($D104="個",$D104="切",$D104="本",$D104="枚",$D104="尾"),IF($E104="⑬計量工程入力","",INDEX(⑰工程労務費一覧!$P$5:$P$11,MATCH($E104,⑰工程労務費一覧!$K$5:$K$11,0))),IF(AND($D104="",OR($E104="②釜工程入力",$E104="③スチコン工程入力")),INDEX(⑰工程労務費一覧!$N$5:$N$11,MATCH($E104,⑰工程労務費一覧!$K$5:$K$11,0))/1000,""))))),IF(OR($D104="g",$D104="ｇ"),INDEX(⑰工程労務費一覧!$H$5:$H$753,MATCH($F104,⑰工程労務費一覧!$D$5:$D$753,0))/1000,IF($D104="kg",INDEX(⑰工程労務費一覧!$H$5:$H$753,MATCH($F104,⑰工程労務費一覧!$D$5:$D$753,0)),INDEX(⑰工程労務費一覧!$I$5:$I$753,MATCH($F104,⑰工程労務費一覧!$D$5:$D$753,0)))))),"")</f>
        <v/>
      </c>
      <c r="I104" s="392">
        <f>IF($K104&gt;0,IF(ISNUMBER(IF(OR($D104="g",$D104="ｇ"),IF($M104&gt;0,$L104/$M104/1000,""),IF($D104="kg",IF($M104&gt;0,$L104/$M104,""),IF($D104="",IF($M104&gt;0,$L104/$M104/1000,IF($O104&gt;0,$N104/$O104,"")),IF($O104&gt;0,$N104/$O104,""))))),IF($D104="",IF($M104&gt;0,"◎ JAN紐づけ(g扱い)","◎ JAN紐づけ(個扱い)"),"◎ JAN紐づけ"),"△ JAN紐づけ済・実績不足→仮計算"),IF($F104="",IF(ISNUMBER($H104),IF($D104="","⑤ 工程平均で仮計算(g扱い)","⑤ 工程平均で仮計算"),IF($E104="⑩盛付梱包工程入力","⑥ 盛り込み(⑳F列で計上)",IF(AND($E104="⑬計量工程入力",OR($D104="個",$D104="切",$D104="本",$D104="枚",$D104="尾")),"① 未紐づけ(カット個単位は仮単価なし)","① 未紐づけ"))),IF(NOT(ISNUMBER($H104)),"② 工程側に単価なし",IF($D104="","③ 単位未設定(個で計算)","④ OK"))))</f>
        <v/>
      </c>
      <c r="J104" s="399">
        <f>IFERROR(LOOKUP(2,1/((中間品リスト!$F$2:$F$1299=$B104)*(中間品リスト!$E$2:$E$1299&lt;&gt;"-")*(中間品リスト!$E$2:$E$1299&lt;&gt;"")),中間品リスト!$E$2:$E$1299),"")</f>
        <v/>
      </c>
      <c r="K104" s="400">
        <f>IF($J104="",0,COUNTIF(②釜工程入力!$S$5:$S$117,$J104)+COUNTIF(③スチコン工程入力!$S$5:$S$152,$J104)+COUNTIF(⑪ZEN工程入力!$S$6:$S$35,$J104)+COUNTIF(⑫ミキサー工程入力!$S$6:$S$65,$J104)+COUNTIF(⑬計量工程入力!$S$6:$S$65,$J104)+COUNTIF(⑭手動工程入力!$S$6:$S$47,$J104))</f>
        <v/>
      </c>
      <c r="L104" s="393">
        <f>IF($J104="",0,SUMIFS(②釜工程入力!$M$5:$M$117,②釜工程入力!$S$5:$S$117,$J104,②釜工程入力!$I$5:$I$117,"&gt;0")+SUMIFS(③スチコン工程入力!$M$5:$M$152,③スチコン工程入力!$S$5:$S$152,$J104,③スチコン工程入力!$I$5:$I$152,"&gt;0")+SUMIFS(⑪ZEN工程入力!$M$6:$M$35,⑪ZEN工程入力!$S$6:$S$35,$J104,⑪ZEN工程入力!$I$6:$I$35,"&gt;0")+SUMIFS(⑫ミキサー工程入力!$M$6:$M$65,⑫ミキサー工程入力!$S$6:$S$65,$J104,⑫ミキサー工程入力!$I$6:$I$65,"&gt;0")+SUMIFS(⑬計量工程入力!$M$6:$M$65,⑬計量工程入力!$S$6:$S$65,$J104,⑬計量工程入力!$I$6:$I$65,"&gt;0")+SUMIFS(⑭手動工程入力!$M$6:$M$47,⑭手動工程入力!$S$6:$S$47,$J104,⑭手動工程入力!$I$6:$I$47,"&gt;0"))</f>
        <v/>
      </c>
      <c r="M104" s="393">
        <f>IF($J104="",0,SUMIFS(②釜工程入力!$I$5:$I$117,②釜工程入力!$S$5:$S$117,$J104,②釜工程入力!$I$5:$I$117,"&gt;0",②釜工程入力!$M$5:$M$117,"&gt;0")+SUMIFS(③スチコン工程入力!$I$5:$I$152,③スチコン工程入力!$S$5:$S$152,$J104,③スチコン工程入力!$I$5:$I$152,"&gt;0",③スチコン工程入力!$M$5:$M$152,"&gt;0")+SUMIFS(⑪ZEN工程入力!$I$6:$I$35,⑪ZEN工程入力!$S$6:$S$35,$J104,⑪ZEN工程入力!$I$6:$I$35,"&gt;0",⑪ZEN工程入力!$M$6:$M$35,"&gt;0")+SUMIFS(⑫ミキサー工程入力!$I$6:$I$65,⑫ミキサー工程入力!$S$6:$S$65,$J104,⑫ミキサー工程入力!$I$6:$I$65,"&gt;0",⑫ミキサー工程入力!$M$6:$M$65,"&gt;0")+SUMIFS(⑬計量工程入力!$I$6:$I$65,⑬計量工程入力!$S$6:$S$65,$J104,⑬計量工程入力!$I$6:$I$65,"&gt;0",⑬計量工程入力!$M$6:$M$65,"&gt;0")+SUMIFS(⑭手動工程入力!$I$6:$I$47,⑭手動工程入力!$S$6:$S$47,$J104,⑭手動工程入力!$I$6:$I$47,"&gt;0",⑭手動工程入力!$M$6:$M$47,"&gt;0"))</f>
        <v/>
      </c>
      <c r="N104" s="393">
        <f>IF($J104="",0,SUMIFS(②釜工程入力!$M$5:$M$117,②釜工程入力!$S$5:$S$117,$J104,②釜工程入力!$J$5:$J$117,"&gt;0")-SUMIFS(②釜工程入力!$M$5:$M$117,②釜工程入力!$S$5:$S$117,$J104,②釜工程入力!$J$5:$J$117,"&gt;0",②釜工程入力!$I$5:$I$117,"&gt;0")+SUMIFS(③スチコン工程入力!$M$5:$M$152,③スチコン工程入力!$S$5:$S$152,$J104,③スチコン工程入力!$J$5:$J$152,"&gt;0")-SUMIFS(③スチコン工程入力!$M$5:$M$152,③スチコン工程入力!$S$5:$S$152,$J104,③スチコン工程入力!$J$5:$J$152,"&gt;0",③スチコン工程入力!$I$5:$I$152,"&gt;0")+SUMIFS(⑪ZEN工程入力!$M$6:$M$35,⑪ZEN工程入力!$S$6:$S$35,$J104,⑪ZEN工程入力!$J$6:$J$35,"&gt;0")-SUMIFS(⑪ZEN工程入力!$M$6:$M$35,⑪ZEN工程入力!$S$6:$S$35,$J104,⑪ZEN工程入力!$J$6:$J$35,"&gt;0",⑪ZEN工程入力!$I$6:$I$35,"&gt;0")+SUMIFS(⑫ミキサー工程入力!$M$6:$M$65,⑫ミキサー工程入力!$S$6:$S$65,$J104,⑫ミキサー工程入力!$J$6:$J$65,"&gt;0")-SUMIFS(⑫ミキサー工程入力!$M$6:$M$65,⑫ミキサー工程入力!$S$6:$S$65,$J104,⑫ミキサー工程入力!$J$6:$J$65,"&gt;0",⑫ミキサー工程入力!$I$6:$I$65,"&gt;0")+SUMIFS(⑬計量工程入力!$M$6:$M$65,⑬計量工程入力!$S$6:$S$65,$J104,⑬計量工程入力!$J$6:$J$65,"&gt;0")-SUMIFS(⑬計量工程入力!$M$6:$M$65,⑬計量工程入力!$S$6:$S$65,$J104,⑬計量工程入力!$J$6:$J$65,"&gt;0",⑬計量工程入力!$I$6:$I$65,"&gt;0")+SUMIFS(⑭手動工程入力!$M$6:$M$47,⑭手動工程入力!$S$6:$S$47,$J104,⑭手動工程入力!$J$6:$J$47,"&gt;0")-SUMIFS(⑭手動工程入力!$M$6:$M$47,⑭手動工程入力!$S$6:$S$47,$J104,⑭手動工程入力!$J$6:$J$47,"&gt;0",⑭手動工程入力!$I$6:$I$47,"&gt;0"))</f>
        <v/>
      </c>
      <c r="O104" s="393">
        <f>IF($J104="",0,SUMIFS(②釜工程入力!$J$5:$J$117,②釜工程入力!$S$5:$S$117,$J104,②釜工程入力!$J$5:$J$117,"&gt;0",②釜工程入力!$M$5:$M$117,"&gt;0")-SUMIFS(②釜工程入力!$J$5:$J$117,②釜工程入力!$S$5:$S$117,$J104,②釜工程入力!$J$5:$J$117,"&gt;0",②釜工程入力!$I$5:$I$117,"&gt;0",②釜工程入力!$M$5:$M$117,"&gt;0")+SUMIFS(③スチコン工程入力!$J$5:$J$152,③スチコン工程入力!$S$5:$S$152,$J104,③スチコン工程入力!$J$5:$J$152,"&gt;0",③スチコン工程入力!$M$5:$M$152,"&gt;0")-SUMIFS(③スチコン工程入力!$J$5:$J$152,③スチコン工程入力!$S$5:$S$152,$J104,③スチコン工程入力!$J$5:$J$152,"&gt;0",③スチコン工程入力!$I$5:$I$152,"&gt;0",③スチコン工程入力!$M$5:$M$152,"&gt;0")+SUMIFS(⑪ZEN工程入力!$J$6:$J$35,⑪ZEN工程入力!$S$6:$S$35,$J104,⑪ZEN工程入力!$J$6:$J$35,"&gt;0",⑪ZEN工程入力!$M$6:$M$35,"&gt;0")-SUMIFS(⑪ZEN工程入力!$J$6:$J$35,⑪ZEN工程入力!$S$6:$S$35,$J104,⑪ZEN工程入力!$J$6:$J$35,"&gt;0",⑪ZEN工程入力!$I$6:$I$35,"&gt;0",⑪ZEN工程入力!$M$6:$M$35,"&gt;0")+SUMIFS(⑫ミキサー工程入力!$J$6:$J$65,⑫ミキサー工程入力!$S$6:$S$65,$J104,⑫ミキサー工程入力!$J$6:$J$65,"&gt;0",⑫ミキサー工程入力!$M$6:$M$65,"&gt;0")-SUMIFS(⑫ミキサー工程入力!$J$6:$J$65,⑫ミキサー工程入力!$S$6:$S$65,$J104,⑫ミキサー工程入力!$J$6:$J$65,"&gt;0",⑫ミキサー工程入力!$I$6:$I$65,"&gt;0",⑫ミキサー工程入力!$M$6:$M$65,"&gt;0")+SUMIFS(⑬計量工程入力!$J$6:$J$65,⑬計量工程入力!$S$6:$S$65,$J104,⑬計量工程入力!$J$6:$J$65,"&gt;0",⑬計量工程入力!$M$6:$M$65,"&gt;0")-SUMIFS(⑬計量工程入力!$J$6:$J$65,⑬計量工程入力!$S$6:$S$65,$J104,⑬計量工程入力!$J$6:$J$65,"&gt;0",⑬計量工程入力!$I$6:$I$65,"&gt;0",⑬計量工程入力!$M$6:$M$65,"&gt;0")+SUMIFS(⑭手動工程入力!$J$6:$J$47,⑭手動工程入力!$S$6:$S$47,$J104,⑭手動工程入力!$J$6:$J$47,"&gt;0",⑭手動工程入力!$M$6:$M$47,"&gt;0")-SUMIFS(⑭手動工程入力!$J$6:$J$47,⑭手動工程入力!$S$6:$S$47,$J104,⑭手動工程入力!$J$6:$J$47,"&gt;0",⑭手動工程入力!$I$6:$I$47,"&gt;0",⑭手動工程入力!$M$6:$M$47,"&gt;0"))</f>
        <v/>
      </c>
      <c r="P104" s="392" t="n"/>
    </row>
    <row r="105">
      <c r="A105" s="392" t="n">
        <v>101</v>
      </c>
      <c r="B105" s="392" t="n"/>
      <c r="C105" s="392" t="n"/>
      <c r="D105" s="392" t="n"/>
      <c r="E105" s="392" t="n"/>
      <c r="F105" s="394" t="n"/>
      <c r="G105" s="392" t="n"/>
      <c r="H105" s="604">
        <f>IFERROR(IF(AND($K105&gt;0,ISNUMBER(IF(OR($D105="g",$D105="ｇ"),IF($M105&gt;0,$L105/$M105/1000,""),IF($D105="kg",IF($M105&gt;0,$L105/$M105,""),IF($D105="",IF($M105&gt;0,$L105/$M105/1000,IF($O105&gt;0,$N105/$O105,"")),IF($O105&gt;0,$N105/$O105,"")))))),IF(OR($D105="g",$D105="ｇ"),IF($M105&gt;0,$L105/$M105/1000,""),IF($D105="kg",IF($M105&gt;0,$L105/$M105,""),IF($D105="",IF($M105&gt;0,$L105/$M105/1000,IF($O105&gt;0,$N105/$O105,"")),IF($O105&gt;0,$N105/$O105,"")))),IF($F105="",IF(OR($E105="",$E105="⑩盛付梱包工程入力"),"",IF(OR($D105="g",$D105="ｇ"),INDEX(⑰工程労務費一覧!$N$5:$N$11,MATCH($E105,⑰工程労務費一覧!$K$5:$K$11,0))/1000,IF($D105="kg",INDEX(⑰工程労務費一覧!$N$5:$N$11,MATCH($E105,⑰工程労務費一覧!$K$5:$K$11,0)),IF(OR($D105="個",$D105="切",$D105="本",$D105="枚",$D105="尾"),IF($E105="⑬計量工程入力","",INDEX(⑰工程労務費一覧!$P$5:$P$11,MATCH($E105,⑰工程労務費一覧!$K$5:$K$11,0))),IF(AND($D105="",OR($E105="②釜工程入力",$E105="③スチコン工程入力")),INDEX(⑰工程労務費一覧!$N$5:$N$11,MATCH($E105,⑰工程労務費一覧!$K$5:$K$11,0))/1000,""))))),IF(OR($D105="g",$D105="ｇ"),INDEX(⑰工程労務費一覧!$H$5:$H$753,MATCH($F105,⑰工程労務費一覧!$D$5:$D$753,0))/1000,IF($D105="kg",INDEX(⑰工程労務費一覧!$H$5:$H$753,MATCH($F105,⑰工程労務費一覧!$D$5:$D$753,0)),INDEX(⑰工程労務費一覧!$I$5:$I$753,MATCH($F105,⑰工程労務費一覧!$D$5:$D$753,0)))))),"")</f>
        <v/>
      </c>
      <c r="I105" s="392">
        <f>IF($K105&gt;0,IF(ISNUMBER(IF(OR($D105="g",$D105="ｇ"),IF($M105&gt;0,$L105/$M105/1000,""),IF($D105="kg",IF($M105&gt;0,$L105/$M105,""),IF($D105="",IF($M105&gt;0,$L105/$M105/1000,IF($O105&gt;0,$N105/$O105,"")),IF($O105&gt;0,$N105/$O105,""))))),IF($D105="",IF($M105&gt;0,"◎ JAN紐づけ(g扱い)","◎ JAN紐づけ(個扱い)"),"◎ JAN紐づけ"),"△ JAN紐づけ済・実績不足→仮計算"),IF($F105="",IF(ISNUMBER($H105),IF($D105="","⑤ 工程平均で仮計算(g扱い)","⑤ 工程平均で仮計算"),IF($E105="⑩盛付梱包工程入力","⑥ 盛り込み(⑳F列で計上)",IF(AND($E105="⑬計量工程入力",OR($D105="個",$D105="切",$D105="本",$D105="枚",$D105="尾")),"① 未紐づけ(カット個単位は仮単価なし)","① 未紐づけ"))),IF(NOT(ISNUMBER($H105)),"② 工程側に単価なし",IF($D105="","③ 単位未設定(個で計算)","④ OK"))))</f>
        <v/>
      </c>
      <c r="J105" s="399">
        <f>IFERROR(LOOKUP(2,1/((中間品リスト!$F$2:$F$1299=$B105)*(中間品リスト!$E$2:$E$1299&lt;&gt;"-")*(中間品リスト!$E$2:$E$1299&lt;&gt;"")),中間品リスト!$E$2:$E$1299),"")</f>
        <v/>
      </c>
      <c r="K105" s="400">
        <f>IF($J105="",0,COUNTIF(②釜工程入力!$S$5:$S$117,$J105)+COUNTIF(③スチコン工程入力!$S$5:$S$152,$J105)+COUNTIF(⑪ZEN工程入力!$S$6:$S$35,$J105)+COUNTIF(⑫ミキサー工程入力!$S$6:$S$65,$J105)+COUNTIF(⑬計量工程入力!$S$6:$S$65,$J105)+COUNTIF(⑭手動工程入力!$S$6:$S$47,$J105))</f>
        <v/>
      </c>
      <c r="L105" s="393">
        <f>IF($J105="",0,SUMIFS(②釜工程入力!$M$5:$M$117,②釜工程入力!$S$5:$S$117,$J105,②釜工程入力!$I$5:$I$117,"&gt;0")+SUMIFS(③スチコン工程入力!$M$5:$M$152,③スチコン工程入力!$S$5:$S$152,$J105,③スチコン工程入力!$I$5:$I$152,"&gt;0")+SUMIFS(⑪ZEN工程入力!$M$6:$M$35,⑪ZEN工程入力!$S$6:$S$35,$J105,⑪ZEN工程入力!$I$6:$I$35,"&gt;0")+SUMIFS(⑫ミキサー工程入力!$M$6:$M$65,⑫ミキサー工程入力!$S$6:$S$65,$J105,⑫ミキサー工程入力!$I$6:$I$65,"&gt;0")+SUMIFS(⑬計量工程入力!$M$6:$M$65,⑬計量工程入力!$S$6:$S$65,$J105,⑬計量工程入力!$I$6:$I$65,"&gt;0")+SUMIFS(⑭手動工程入力!$M$6:$M$47,⑭手動工程入力!$S$6:$S$47,$J105,⑭手動工程入力!$I$6:$I$47,"&gt;0"))</f>
        <v/>
      </c>
      <c r="M105" s="393">
        <f>IF($J105="",0,SUMIFS(②釜工程入力!$I$5:$I$117,②釜工程入力!$S$5:$S$117,$J105,②釜工程入力!$I$5:$I$117,"&gt;0",②釜工程入力!$M$5:$M$117,"&gt;0")+SUMIFS(③スチコン工程入力!$I$5:$I$152,③スチコン工程入力!$S$5:$S$152,$J105,③スチコン工程入力!$I$5:$I$152,"&gt;0",③スチコン工程入力!$M$5:$M$152,"&gt;0")+SUMIFS(⑪ZEN工程入力!$I$6:$I$35,⑪ZEN工程入力!$S$6:$S$35,$J105,⑪ZEN工程入力!$I$6:$I$35,"&gt;0",⑪ZEN工程入力!$M$6:$M$35,"&gt;0")+SUMIFS(⑫ミキサー工程入力!$I$6:$I$65,⑫ミキサー工程入力!$S$6:$S$65,$J105,⑫ミキサー工程入力!$I$6:$I$65,"&gt;0",⑫ミキサー工程入力!$M$6:$M$65,"&gt;0")+SUMIFS(⑬計量工程入力!$I$6:$I$65,⑬計量工程入力!$S$6:$S$65,$J105,⑬計量工程入力!$I$6:$I$65,"&gt;0",⑬計量工程入力!$M$6:$M$65,"&gt;0")+SUMIFS(⑭手動工程入力!$I$6:$I$47,⑭手動工程入力!$S$6:$S$47,$J105,⑭手動工程入力!$I$6:$I$47,"&gt;0",⑭手動工程入力!$M$6:$M$47,"&gt;0"))</f>
        <v/>
      </c>
      <c r="N105" s="393">
        <f>IF($J105="",0,SUMIFS(②釜工程入力!$M$5:$M$117,②釜工程入力!$S$5:$S$117,$J105,②釜工程入力!$J$5:$J$117,"&gt;0")-SUMIFS(②釜工程入力!$M$5:$M$117,②釜工程入力!$S$5:$S$117,$J105,②釜工程入力!$J$5:$J$117,"&gt;0",②釜工程入力!$I$5:$I$117,"&gt;0")+SUMIFS(③スチコン工程入力!$M$5:$M$152,③スチコン工程入力!$S$5:$S$152,$J105,③スチコン工程入力!$J$5:$J$152,"&gt;0")-SUMIFS(③スチコン工程入力!$M$5:$M$152,③スチコン工程入力!$S$5:$S$152,$J105,③スチコン工程入力!$J$5:$J$152,"&gt;0",③スチコン工程入力!$I$5:$I$152,"&gt;0")+SUMIFS(⑪ZEN工程入力!$M$6:$M$35,⑪ZEN工程入力!$S$6:$S$35,$J105,⑪ZEN工程入力!$J$6:$J$35,"&gt;0")-SUMIFS(⑪ZEN工程入力!$M$6:$M$35,⑪ZEN工程入力!$S$6:$S$35,$J105,⑪ZEN工程入力!$J$6:$J$35,"&gt;0",⑪ZEN工程入力!$I$6:$I$35,"&gt;0")+SUMIFS(⑫ミキサー工程入力!$M$6:$M$65,⑫ミキサー工程入力!$S$6:$S$65,$J105,⑫ミキサー工程入力!$J$6:$J$65,"&gt;0")-SUMIFS(⑫ミキサー工程入力!$M$6:$M$65,⑫ミキサー工程入力!$S$6:$S$65,$J105,⑫ミキサー工程入力!$J$6:$J$65,"&gt;0",⑫ミキサー工程入力!$I$6:$I$65,"&gt;0")+SUMIFS(⑬計量工程入力!$M$6:$M$65,⑬計量工程入力!$S$6:$S$65,$J105,⑬計量工程入力!$J$6:$J$65,"&gt;0")-SUMIFS(⑬計量工程入力!$M$6:$M$65,⑬計量工程入力!$S$6:$S$65,$J105,⑬計量工程入力!$J$6:$J$65,"&gt;0",⑬計量工程入力!$I$6:$I$65,"&gt;0")+SUMIFS(⑭手動工程入力!$M$6:$M$47,⑭手動工程入力!$S$6:$S$47,$J105,⑭手動工程入力!$J$6:$J$47,"&gt;0")-SUMIFS(⑭手動工程入力!$M$6:$M$47,⑭手動工程入力!$S$6:$S$47,$J105,⑭手動工程入力!$J$6:$J$47,"&gt;0",⑭手動工程入力!$I$6:$I$47,"&gt;0"))</f>
        <v/>
      </c>
      <c r="O105" s="393">
        <f>IF($J105="",0,SUMIFS(②釜工程入力!$J$5:$J$117,②釜工程入力!$S$5:$S$117,$J105,②釜工程入力!$J$5:$J$117,"&gt;0",②釜工程入力!$M$5:$M$117,"&gt;0")-SUMIFS(②釜工程入力!$J$5:$J$117,②釜工程入力!$S$5:$S$117,$J105,②釜工程入力!$J$5:$J$117,"&gt;0",②釜工程入力!$I$5:$I$117,"&gt;0",②釜工程入力!$M$5:$M$117,"&gt;0")+SUMIFS(③スチコン工程入力!$J$5:$J$152,③スチコン工程入力!$S$5:$S$152,$J105,③スチコン工程入力!$J$5:$J$152,"&gt;0",③スチコン工程入力!$M$5:$M$152,"&gt;0")-SUMIFS(③スチコン工程入力!$J$5:$J$152,③スチコン工程入力!$S$5:$S$152,$J105,③スチコン工程入力!$J$5:$J$152,"&gt;0",③スチコン工程入力!$I$5:$I$152,"&gt;0",③スチコン工程入力!$M$5:$M$152,"&gt;0")+SUMIFS(⑪ZEN工程入力!$J$6:$J$35,⑪ZEN工程入力!$S$6:$S$35,$J105,⑪ZEN工程入力!$J$6:$J$35,"&gt;0",⑪ZEN工程入力!$M$6:$M$35,"&gt;0")-SUMIFS(⑪ZEN工程入力!$J$6:$J$35,⑪ZEN工程入力!$S$6:$S$35,$J105,⑪ZEN工程入力!$J$6:$J$35,"&gt;0",⑪ZEN工程入力!$I$6:$I$35,"&gt;0",⑪ZEN工程入力!$M$6:$M$35,"&gt;0")+SUMIFS(⑫ミキサー工程入力!$J$6:$J$65,⑫ミキサー工程入力!$S$6:$S$65,$J105,⑫ミキサー工程入力!$J$6:$J$65,"&gt;0",⑫ミキサー工程入力!$M$6:$M$65,"&gt;0")-SUMIFS(⑫ミキサー工程入力!$J$6:$J$65,⑫ミキサー工程入力!$S$6:$S$65,$J105,⑫ミキサー工程入力!$J$6:$J$65,"&gt;0",⑫ミキサー工程入力!$I$6:$I$65,"&gt;0",⑫ミキサー工程入力!$M$6:$M$65,"&gt;0")+SUMIFS(⑬計量工程入力!$J$6:$J$65,⑬計量工程入力!$S$6:$S$65,$J105,⑬計量工程入力!$J$6:$J$65,"&gt;0",⑬計量工程入力!$M$6:$M$65,"&gt;0")-SUMIFS(⑬計量工程入力!$J$6:$J$65,⑬計量工程入力!$S$6:$S$65,$J105,⑬計量工程入力!$J$6:$J$65,"&gt;0",⑬計量工程入力!$I$6:$I$65,"&gt;0",⑬計量工程入力!$M$6:$M$65,"&gt;0")+SUMIFS(⑭手動工程入力!$J$6:$J$47,⑭手動工程入力!$S$6:$S$47,$J105,⑭手動工程入力!$J$6:$J$47,"&gt;0",⑭手動工程入力!$M$6:$M$47,"&gt;0")-SUMIFS(⑭手動工程入力!$J$6:$J$47,⑭手動工程入力!$S$6:$S$47,$J105,⑭手動工程入力!$J$6:$J$47,"&gt;0",⑭手動工程入力!$I$6:$I$47,"&gt;0",⑭手動工程入力!$M$6:$M$47,"&gt;0"))</f>
        <v/>
      </c>
      <c r="P105" s="392" t="n"/>
    </row>
    <row r="106">
      <c r="A106" s="392" t="n">
        <v>102</v>
      </c>
      <c r="B106" s="392" t="n"/>
      <c r="C106" s="392" t="n"/>
      <c r="D106" s="392" t="n"/>
      <c r="E106" s="392" t="n"/>
      <c r="F106" s="394" t="n"/>
      <c r="G106" s="392" t="n"/>
      <c r="H106" s="604">
        <f>IFERROR(IF(AND($K106&gt;0,ISNUMBER(IF(OR($D106="g",$D106="ｇ"),IF($M106&gt;0,$L106/$M106/1000,""),IF($D106="kg",IF($M106&gt;0,$L106/$M106,""),IF($D106="",IF($M106&gt;0,$L106/$M106/1000,IF($O106&gt;0,$N106/$O106,"")),IF($O106&gt;0,$N106/$O106,"")))))),IF(OR($D106="g",$D106="ｇ"),IF($M106&gt;0,$L106/$M106/1000,""),IF($D106="kg",IF($M106&gt;0,$L106/$M106,""),IF($D106="",IF($M106&gt;0,$L106/$M106/1000,IF($O106&gt;0,$N106/$O106,"")),IF($O106&gt;0,$N106/$O106,"")))),IF($F106="",IF(OR($E106="",$E106="⑩盛付梱包工程入力"),"",IF(OR($D106="g",$D106="ｇ"),INDEX(⑰工程労務費一覧!$N$5:$N$11,MATCH($E106,⑰工程労務費一覧!$K$5:$K$11,0))/1000,IF($D106="kg",INDEX(⑰工程労務費一覧!$N$5:$N$11,MATCH($E106,⑰工程労務費一覧!$K$5:$K$11,0)),IF(OR($D106="個",$D106="切",$D106="本",$D106="枚",$D106="尾"),IF($E106="⑬計量工程入力","",INDEX(⑰工程労務費一覧!$P$5:$P$11,MATCH($E106,⑰工程労務費一覧!$K$5:$K$11,0))),IF(AND($D106="",OR($E106="②釜工程入力",$E106="③スチコン工程入力")),INDEX(⑰工程労務費一覧!$N$5:$N$11,MATCH($E106,⑰工程労務費一覧!$K$5:$K$11,0))/1000,""))))),IF(OR($D106="g",$D106="ｇ"),INDEX(⑰工程労務費一覧!$H$5:$H$753,MATCH($F106,⑰工程労務費一覧!$D$5:$D$753,0))/1000,IF($D106="kg",INDEX(⑰工程労務費一覧!$H$5:$H$753,MATCH($F106,⑰工程労務費一覧!$D$5:$D$753,0)),INDEX(⑰工程労務費一覧!$I$5:$I$753,MATCH($F106,⑰工程労務費一覧!$D$5:$D$753,0)))))),"")</f>
        <v/>
      </c>
      <c r="I106" s="392">
        <f>IF($K106&gt;0,IF(ISNUMBER(IF(OR($D106="g",$D106="ｇ"),IF($M106&gt;0,$L106/$M106/1000,""),IF($D106="kg",IF($M106&gt;0,$L106/$M106,""),IF($D106="",IF($M106&gt;0,$L106/$M106/1000,IF($O106&gt;0,$N106/$O106,"")),IF($O106&gt;0,$N106/$O106,""))))),IF($D106="",IF($M106&gt;0,"◎ JAN紐づけ(g扱い)","◎ JAN紐づけ(個扱い)"),"◎ JAN紐づけ"),"△ JAN紐づけ済・実績不足→仮計算"),IF($F106="",IF(ISNUMBER($H106),IF($D106="","⑤ 工程平均で仮計算(g扱い)","⑤ 工程平均で仮計算"),IF($E106="⑩盛付梱包工程入力","⑥ 盛り込み(⑳F列で計上)",IF(AND($E106="⑬計量工程入力",OR($D106="個",$D106="切",$D106="本",$D106="枚",$D106="尾")),"① 未紐づけ(カット個単位は仮単価なし)","① 未紐づけ"))),IF(NOT(ISNUMBER($H106)),"② 工程側に単価なし",IF($D106="","③ 単位未設定(個で計算)","④ OK"))))</f>
        <v/>
      </c>
      <c r="J106" s="399">
        <f>IFERROR(LOOKUP(2,1/((中間品リスト!$F$2:$F$1299=$B106)*(中間品リスト!$E$2:$E$1299&lt;&gt;"-")*(中間品リスト!$E$2:$E$1299&lt;&gt;"")),中間品リスト!$E$2:$E$1299),"")</f>
        <v/>
      </c>
      <c r="K106" s="400">
        <f>IF($J106="",0,COUNTIF(②釜工程入力!$S$5:$S$117,$J106)+COUNTIF(③スチコン工程入力!$S$5:$S$152,$J106)+COUNTIF(⑪ZEN工程入力!$S$6:$S$35,$J106)+COUNTIF(⑫ミキサー工程入力!$S$6:$S$65,$J106)+COUNTIF(⑬計量工程入力!$S$6:$S$65,$J106)+COUNTIF(⑭手動工程入力!$S$6:$S$47,$J106))</f>
        <v/>
      </c>
      <c r="L106" s="393">
        <f>IF($J106="",0,SUMIFS(②釜工程入力!$M$5:$M$117,②釜工程入力!$S$5:$S$117,$J106,②釜工程入力!$I$5:$I$117,"&gt;0")+SUMIFS(③スチコン工程入力!$M$5:$M$152,③スチコン工程入力!$S$5:$S$152,$J106,③スチコン工程入力!$I$5:$I$152,"&gt;0")+SUMIFS(⑪ZEN工程入力!$M$6:$M$35,⑪ZEN工程入力!$S$6:$S$35,$J106,⑪ZEN工程入力!$I$6:$I$35,"&gt;0")+SUMIFS(⑫ミキサー工程入力!$M$6:$M$65,⑫ミキサー工程入力!$S$6:$S$65,$J106,⑫ミキサー工程入力!$I$6:$I$65,"&gt;0")+SUMIFS(⑬計量工程入力!$M$6:$M$65,⑬計量工程入力!$S$6:$S$65,$J106,⑬計量工程入力!$I$6:$I$65,"&gt;0")+SUMIFS(⑭手動工程入力!$M$6:$M$47,⑭手動工程入力!$S$6:$S$47,$J106,⑭手動工程入力!$I$6:$I$47,"&gt;0"))</f>
        <v/>
      </c>
      <c r="M106" s="393">
        <f>IF($J106="",0,SUMIFS(②釜工程入力!$I$5:$I$117,②釜工程入力!$S$5:$S$117,$J106,②釜工程入力!$I$5:$I$117,"&gt;0",②釜工程入力!$M$5:$M$117,"&gt;0")+SUMIFS(③スチコン工程入力!$I$5:$I$152,③スチコン工程入力!$S$5:$S$152,$J106,③スチコン工程入力!$I$5:$I$152,"&gt;0",③スチコン工程入力!$M$5:$M$152,"&gt;0")+SUMIFS(⑪ZEN工程入力!$I$6:$I$35,⑪ZEN工程入力!$S$6:$S$35,$J106,⑪ZEN工程入力!$I$6:$I$35,"&gt;0",⑪ZEN工程入力!$M$6:$M$35,"&gt;0")+SUMIFS(⑫ミキサー工程入力!$I$6:$I$65,⑫ミキサー工程入力!$S$6:$S$65,$J106,⑫ミキサー工程入力!$I$6:$I$65,"&gt;0",⑫ミキサー工程入力!$M$6:$M$65,"&gt;0")+SUMIFS(⑬計量工程入力!$I$6:$I$65,⑬計量工程入力!$S$6:$S$65,$J106,⑬計量工程入力!$I$6:$I$65,"&gt;0",⑬計量工程入力!$M$6:$M$65,"&gt;0")+SUMIFS(⑭手動工程入力!$I$6:$I$47,⑭手動工程入力!$S$6:$S$47,$J106,⑭手動工程入力!$I$6:$I$47,"&gt;0",⑭手動工程入力!$M$6:$M$47,"&gt;0"))</f>
        <v/>
      </c>
      <c r="N106" s="393">
        <f>IF($J106="",0,SUMIFS(②釜工程入力!$M$5:$M$117,②釜工程入力!$S$5:$S$117,$J106,②釜工程入力!$J$5:$J$117,"&gt;0")-SUMIFS(②釜工程入力!$M$5:$M$117,②釜工程入力!$S$5:$S$117,$J106,②釜工程入力!$J$5:$J$117,"&gt;0",②釜工程入力!$I$5:$I$117,"&gt;0")+SUMIFS(③スチコン工程入力!$M$5:$M$152,③スチコン工程入力!$S$5:$S$152,$J106,③スチコン工程入力!$J$5:$J$152,"&gt;0")-SUMIFS(③スチコン工程入力!$M$5:$M$152,③スチコン工程入力!$S$5:$S$152,$J106,③スチコン工程入力!$J$5:$J$152,"&gt;0",③スチコン工程入力!$I$5:$I$152,"&gt;0")+SUMIFS(⑪ZEN工程入力!$M$6:$M$35,⑪ZEN工程入力!$S$6:$S$35,$J106,⑪ZEN工程入力!$J$6:$J$35,"&gt;0")-SUMIFS(⑪ZEN工程入力!$M$6:$M$35,⑪ZEN工程入力!$S$6:$S$35,$J106,⑪ZEN工程入力!$J$6:$J$35,"&gt;0",⑪ZEN工程入力!$I$6:$I$35,"&gt;0")+SUMIFS(⑫ミキサー工程入力!$M$6:$M$65,⑫ミキサー工程入力!$S$6:$S$65,$J106,⑫ミキサー工程入力!$J$6:$J$65,"&gt;0")-SUMIFS(⑫ミキサー工程入力!$M$6:$M$65,⑫ミキサー工程入力!$S$6:$S$65,$J106,⑫ミキサー工程入力!$J$6:$J$65,"&gt;0",⑫ミキサー工程入力!$I$6:$I$65,"&gt;0")+SUMIFS(⑬計量工程入力!$M$6:$M$65,⑬計量工程入力!$S$6:$S$65,$J106,⑬計量工程入力!$J$6:$J$65,"&gt;0")-SUMIFS(⑬計量工程入力!$M$6:$M$65,⑬計量工程入力!$S$6:$S$65,$J106,⑬計量工程入力!$J$6:$J$65,"&gt;0",⑬計量工程入力!$I$6:$I$65,"&gt;0")+SUMIFS(⑭手動工程入力!$M$6:$M$47,⑭手動工程入力!$S$6:$S$47,$J106,⑭手動工程入力!$J$6:$J$47,"&gt;0")-SUMIFS(⑭手動工程入力!$M$6:$M$47,⑭手動工程入力!$S$6:$S$47,$J106,⑭手動工程入力!$J$6:$J$47,"&gt;0",⑭手動工程入力!$I$6:$I$47,"&gt;0"))</f>
        <v/>
      </c>
      <c r="O106" s="393">
        <f>IF($J106="",0,SUMIFS(②釜工程入力!$J$5:$J$117,②釜工程入力!$S$5:$S$117,$J106,②釜工程入力!$J$5:$J$117,"&gt;0",②釜工程入力!$M$5:$M$117,"&gt;0")-SUMIFS(②釜工程入力!$J$5:$J$117,②釜工程入力!$S$5:$S$117,$J106,②釜工程入力!$J$5:$J$117,"&gt;0",②釜工程入力!$I$5:$I$117,"&gt;0",②釜工程入力!$M$5:$M$117,"&gt;0")+SUMIFS(③スチコン工程入力!$J$5:$J$152,③スチコン工程入力!$S$5:$S$152,$J106,③スチコン工程入力!$J$5:$J$152,"&gt;0",③スチコン工程入力!$M$5:$M$152,"&gt;0")-SUMIFS(③スチコン工程入力!$J$5:$J$152,③スチコン工程入力!$S$5:$S$152,$J106,③スチコン工程入力!$J$5:$J$152,"&gt;0",③スチコン工程入力!$I$5:$I$152,"&gt;0",③スチコン工程入力!$M$5:$M$152,"&gt;0")+SUMIFS(⑪ZEN工程入力!$J$6:$J$35,⑪ZEN工程入力!$S$6:$S$35,$J106,⑪ZEN工程入力!$J$6:$J$35,"&gt;0",⑪ZEN工程入力!$M$6:$M$35,"&gt;0")-SUMIFS(⑪ZEN工程入力!$J$6:$J$35,⑪ZEN工程入力!$S$6:$S$35,$J106,⑪ZEN工程入力!$J$6:$J$35,"&gt;0",⑪ZEN工程入力!$I$6:$I$35,"&gt;0",⑪ZEN工程入力!$M$6:$M$35,"&gt;0")+SUMIFS(⑫ミキサー工程入力!$J$6:$J$65,⑫ミキサー工程入力!$S$6:$S$65,$J106,⑫ミキサー工程入力!$J$6:$J$65,"&gt;0",⑫ミキサー工程入力!$M$6:$M$65,"&gt;0")-SUMIFS(⑫ミキサー工程入力!$J$6:$J$65,⑫ミキサー工程入力!$S$6:$S$65,$J106,⑫ミキサー工程入力!$J$6:$J$65,"&gt;0",⑫ミキサー工程入力!$I$6:$I$65,"&gt;0",⑫ミキサー工程入力!$M$6:$M$65,"&gt;0")+SUMIFS(⑬計量工程入力!$J$6:$J$65,⑬計量工程入力!$S$6:$S$65,$J106,⑬計量工程入力!$J$6:$J$65,"&gt;0",⑬計量工程入力!$M$6:$M$65,"&gt;0")-SUMIFS(⑬計量工程入力!$J$6:$J$65,⑬計量工程入力!$S$6:$S$65,$J106,⑬計量工程入力!$J$6:$J$65,"&gt;0",⑬計量工程入力!$I$6:$I$65,"&gt;0",⑬計量工程入力!$M$6:$M$65,"&gt;0")+SUMIFS(⑭手動工程入力!$J$6:$J$47,⑭手動工程入力!$S$6:$S$47,$J106,⑭手動工程入力!$J$6:$J$47,"&gt;0",⑭手動工程入力!$M$6:$M$47,"&gt;0")-SUMIFS(⑭手動工程入力!$J$6:$J$47,⑭手動工程入力!$S$6:$S$47,$J106,⑭手動工程入力!$J$6:$J$47,"&gt;0",⑭手動工程入力!$I$6:$I$47,"&gt;0",⑭手動工程入力!$M$6:$M$47,"&gt;0"))</f>
        <v/>
      </c>
      <c r="P106" s="392" t="n"/>
    </row>
    <row r="107">
      <c r="A107" s="392" t="n">
        <v>103</v>
      </c>
      <c r="B107" s="392" t="n"/>
      <c r="C107" s="392" t="n"/>
      <c r="D107" s="392" t="n"/>
      <c r="E107" s="392" t="n"/>
      <c r="F107" s="394" t="n"/>
      <c r="G107" s="392" t="n"/>
      <c r="H107" s="604">
        <f>IFERROR(IF(AND($K107&gt;0,ISNUMBER(IF(OR($D107="g",$D107="ｇ"),IF($M107&gt;0,$L107/$M107/1000,""),IF($D107="kg",IF($M107&gt;0,$L107/$M107,""),IF($D107="",IF($M107&gt;0,$L107/$M107/1000,IF($O107&gt;0,$N107/$O107,"")),IF($O107&gt;0,$N107/$O107,"")))))),IF(OR($D107="g",$D107="ｇ"),IF($M107&gt;0,$L107/$M107/1000,""),IF($D107="kg",IF($M107&gt;0,$L107/$M107,""),IF($D107="",IF($M107&gt;0,$L107/$M107/1000,IF($O107&gt;0,$N107/$O107,"")),IF($O107&gt;0,$N107/$O107,"")))),IF($F107="",IF(OR($E107="",$E107="⑩盛付梱包工程入力"),"",IF(OR($D107="g",$D107="ｇ"),INDEX(⑰工程労務費一覧!$N$5:$N$11,MATCH($E107,⑰工程労務費一覧!$K$5:$K$11,0))/1000,IF($D107="kg",INDEX(⑰工程労務費一覧!$N$5:$N$11,MATCH($E107,⑰工程労務費一覧!$K$5:$K$11,0)),IF(OR($D107="個",$D107="切",$D107="本",$D107="枚",$D107="尾"),IF($E107="⑬計量工程入力","",INDEX(⑰工程労務費一覧!$P$5:$P$11,MATCH($E107,⑰工程労務費一覧!$K$5:$K$11,0))),IF(AND($D107="",OR($E107="②釜工程入力",$E107="③スチコン工程入力")),INDEX(⑰工程労務費一覧!$N$5:$N$11,MATCH($E107,⑰工程労務費一覧!$K$5:$K$11,0))/1000,""))))),IF(OR($D107="g",$D107="ｇ"),INDEX(⑰工程労務費一覧!$H$5:$H$753,MATCH($F107,⑰工程労務費一覧!$D$5:$D$753,0))/1000,IF($D107="kg",INDEX(⑰工程労務費一覧!$H$5:$H$753,MATCH($F107,⑰工程労務費一覧!$D$5:$D$753,0)),INDEX(⑰工程労務費一覧!$I$5:$I$753,MATCH($F107,⑰工程労務費一覧!$D$5:$D$753,0)))))),"")</f>
        <v/>
      </c>
      <c r="I107" s="392">
        <f>IF($K107&gt;0,IF(ISNUMBER(IF(OR($D107="g",$D107="ｇ"),IF($M107&gt;0,$L107/$M107/1000,""),IF($D107="kg",IF($M107&gt;0,$L107/$M107,""),IF($D107="",IF($M107&gt;0,$L107/$M107/1000,IF($O107&gt;0,$N107/$O107,"")),IF($O107&gt;0,$N107/$O107,""))))),IF($D107="",IF($M107&gt;0,"◎ JAN紐づけ(g扱い)","◎ JAN紐づけ(個扱い)"),"◎ JAN紐づけ"),"△ JAN紐づけ済・実績不足→仮計算"),IF($F107="",IF(ISNUMBER($H107),IF($D107="","⑤ 工程平均で仮計算(g扱い)","⑤ 工程平均で仮計算"),IF($E107="⑩盛付梱包工程入力","⑥ 盛り込み(⑳F列で計上)",IF(AND($E107="⑬計量工程入力",OR($D107="個",$D107="切",$D107="本",$D107="枚",$D107="尾")),"① 未紐づけ(カット個単位は仮単価なし)","① 未紐づけ"))),IF(NOT(ISNUMBER($H107)),"② 工程側に単価なし",IF($D107="","③ 単位未設定(個で計算)","④ OK"))))</f>
        <v/>
      </c>
      <c r="J107" s="399">
        <f>IFERROR(LOOKUP(2,1/((中間品リスト!$F$2:$F$1299=$B107)*(中間品リスト!$E$2:$E$1299&lt;&gt;"-")*(中間品リスト!$E$2:$E$1299&lt;&gt;"")),中間品リスト!$E$2:$E$1299),"")</f>
        <v/>
      </c>
      <c r="K107" s="400">
        <f>IF($J107="",0,COUNTIF(②釜工程入力!$S$5:$S$117,$J107)+COUNTIF(③スチコン工程入力!$S$5:$S$152,$J107)+COUNTIF(⑪ZEN工程入力!$S$6:$S$35,$J107)+COUNTIF(⑫ミキサー工程入力!$S$6:$S$65,$J107)+COUNTIF(⑬計量工程入力!$S$6:$S$65,$J107)+COUNTIF(⑭手動工程入力!$S$6:$S$47,$J107))</f>
        <v/>
      </c>
      <c r="L107" s="393">
        <f>IF($J107="",0,SUMIFS(②釜工程入力!$M$5:$M$117,②釜工程入力!$S$5:$S$117,$J107,②釜工程入力!$I$5:$I$117,"&gt;0")+SUMIFS(③スチコン工程入力!$M$5:$M$152,③スチコン工程入力!$S$5:$S$152,$J107,③スチコン工程入力!$I$5:$I$152,"&gt;0")+SUMIFS(⑪ZEN工程入力!$M$6:$M$35,⑪ZEN工程入力!$S$6:$S$35,$J107,⑪ZEN工程入力!$I$6:$I$35,"&gt;0")+SUMIFS(⑫ミキサー工程入力!$M$6:$M$65,⑫ミキサー工程入力!$S$6:$S$65,$J107,⑫ミキサー工程入力!$I$6:$I$65,"&gt;0")+SUMIFS(⑬計量工程入力!$M$6:$M$65,⑬計量工程入力!$S$6:$S$65,$J107,⑬計量工程入力!$I$6:$I$65,"&gt;0")+SUMIFS(⑭手動工程入力!$M$6:$M$47,⑭手動工程入力!$S$6:$S$47,$J107,⑭手動工程入力!$I$6:$I$47,"&gt;0"))</f>
        <v/>
      </c>
      <c r="M107" s="393">
        <f>IF($J107="",0,SUMIFS(②釜工程入力!$I$5:$I$117,②釜工程入力!$S$5:$S$117,$J107,②釜工程入力!$I$5:$I$117,"&gt;0",②釜工程入力!$M$5:$M$117,"&gt;0")+SUMIFS(③スチコン工程入力!$I$5:$I$152,③スチコン工程入力!$S$5:$S$152,$J107,③スチコン工程入力!$I$5:$I$152,"&gt;0",③スチコン工程入力!$M$5:$M$152,"&gt;0")+SUMIFS(⑪ZEN工程入力!$I$6:$I$35,⑪ZEN工程入力!$S$6:$S$35,$J107,⑪ZEN工程入力!$I$6:$I$35,"&gt;0",⑪ZEN工程入力!$M$6:$M$35,"&gt;0")+SUMIFS(⑫ミキサー工程入力!$I$6:$I$65,⑫ミキサー工程入力!$S$6:$S$65,$J107,⑫ミキサー工程入力!$I$6:$I$65,"&gt;0",⑫ミキサー工程入力!$M$6:$M$65,"&gt;0")+SUMIFS(⑬計量工程入力!$I$6:$I$65,⑬計量工程入力!$S$6:$S$65,$J107,⑬計量工程入力!$I$6:$I$65,"&gt;0",⑬計量工程入力!$M$6:$M$65,"&gt;0")+SUMIFS(⑭手動工程入力!$I$6:$I$47,⑭手動工程入力!$S$6:$S$47,$J107,⑭手動工程入力!$I$6:$I$47,"&gt;0",⑭手動工程入力!$M$6:$M$47,"&gt;0"))</f>
        <v/>
      </c>
      <c r="N107" s="393">
        <f>IF($J107="",0,SUMIFS(②釜工程入力!$M$5:$M$117,②釜工程入力!$S$5:$S$117,$J107,②釜工程入力!$J$5:$J$117,"&gt;0")-SUMIFS(②釜工程入力!$M$5:$M$117,②釜工程入力!$S$5:$S$117,$J107,②釜工程入力!$J$5:$J$117,"&gt;0",②釜工程入力!$I$5:$I$117,"&gt;0")+SUMIFS(③スチコン工程入力!$M$5:$M$152,③スチコン工程入力!$S$5:$S$152,$J107,③スチコン工程入力!$J$5:$J$152,"&gt;0")-SUMIFS(③スチコン工程入力!$M$5:$M$152,③スチコン工程入力!$S$5:$S$152,$J107,③スチコン工程入力!$J$5:$J$152,"&gt;0",③スチコン工程入力!$I$5:$I$152,"&gt;0")+SUMIFS(⑪ZEN工程入力!$M$6:$M$35,⑪ZEN工程入力!$S$6:$S$35,$J107,⑪ZEN工程入力!$J$6:$J$35,"&gt;0")-SUMIFS(⑪ZEN工程入力!$M$6:$M$35,⑪ZEN工程入力!$S$6:$S$35,$J107,⑪ZEN工程入力!$J$6:$J$35,"&gt;0",⑪ZEN工程入力!$I$6:$I$35,"&gt;0")+SUMIFS(⑫ミキサー工程入力!$M$6:$M$65,⑫ミキサー工程入力!$S$6:$S$65,$J107,⑫ミキサー工程入力!$J$6:$J$65,"&gt;0")-SUMIFS(⑫ミキサー工程入力!$M$6:$M$65,⑫ミキサー工程入力!$S$6:$S$65,$J107,⑫ミキサー工程入力!$J$6:$J$65,"&gt;0",⑫ミキサー工程入力!$I$6:$I$65,"&gt;0")+SUMIFS(⑬計量工程入力!$M$6:$M$65,⑬計量工程入力!$S$6:$S$65,$J107,⑬計量工程入力!$J$6:$J$65,"&gt;0")-SUMIFS(⑬計量工程入力!$M$6:$M$65,⑬計量工程入力!$S$6:$S$65,$J107,⑬計量工程入力!$J$6:$J$65,"&gt;0",⑬計量工程入力!$I$6:$I$65,"&gt;0")+SUMIFS(⑭手動工程入力!$M$6:$M$47,⑭手動工程入力!$S$6:$S$47,$J107,⑭手動工程入力!$J$6:$J$47,"&gt;0")-SUMIFS(⑭手動工程入力!$M$6:$M$47,⑭手動工程入力!$S$6:$S$47,$J107,⑭手動工程入力!$J$6:$J$47,"&gt;0",⑭手動工程入力!$I$6:$I$47,"&gt;0"))</f>
        <v/>
      </c>
      <c r="O107" s="393">
        <f>IF($J107="",0,SUMIFS(②釜工程入力!$J$5:$J$117,②釜工程入力!$S$5:$S$117,$J107,②釜工程入力!$J$5:$J$117,"&gt;0",②釜工程入力!$M$5:$M$117,"&gt;0")-SUMIFS(②釜工程入力!$J$5:$J$117,②釜工程入力!$S$5:$S$117,$J107,②釜工程入力!$J$5:$J$117,"&gt;0",②釜工程入力!$I$5:$I$117,"&gt;0",②釜工程入力!$M$5:$M$117,"&gt;0")+SUMIFS(③スチコン工程入力!$J$5:$J$152,③スチコン工程入力!$S$5:$S$152,$J107,③スチコン工程入力!$J$5:$J$152,"&gt;0",③スチコン工程入力!$M$5:$M$152,"&gt;0")-SUMIFS(③スチコン工程入力!$J$5:$J$152,③スチコン工程入力!$S$5:$S$152,$J107,③スチコン工程入力!$J$5:$J$152,"&gt;0",③スチコン工程入力!$I$5:$I$152,"&gt;0",③スチコン工程入力!$M$5:$M$152,"&gt;0")+SUMIFS(⑪ZEN工程入力!$J$6:$J$35,⑪ZEN工程入力!$S$6:$S$35,$J107,⑪ZEN工程入力!$J$6:$J$35,"&gt;0",⑪ZEN工程入力!$M$6:$M$35,"&gt;0")-SUMIFS(⑪ZEN工程入力!$J$6:$J$35,⑪ZEN工程入力!$S$6:$S$35,$J107,⑪ZEN工程入力!$J$6:$J$35,"&gt;0",⑪ZEN工程入力!$I$6:$I$35,"&gt;0",⑪ZEN工程入力!$M$6:$M$35,"&gt;0")+SUMIFS(⑫ミキサー工程入力!$J$6:$J$65,⑫ミキサー工程入力!$S$6:$S$65,$J107,⑫ミキサー工程入力!$J$6:$J$65,"&gt;0",⑫ミキサー工程入力!$M$6:$M$65,"&gt;0")-SUMIFS(⑫ミキサー工程入力!$J$6:$J$65,⑫ミキサー工程入力!$S$6:$S$65,$J107,⑫ミキサー工程入力!$J$6:$J$65,"&gt;0",⑫ミキサー工程入力!$I$6:$I$65,"&gt;0",⑫ミキサー工程入力!$M$6:$M$65,"&gt;0")+SUMIFS(⑬計量工程入力!$J$6:$J$65,⑬計量工程入力!$S$6:$S$65,$J107,⑬計量工程入力!$J$6:$J$65,"&gt;0",⑬計量工程入力!$M$6:$M$65,"&gt;0")-SUMIFS(⑬計量工程入力!$J$6:$J$65,⑬計量工程入力!$S$6:$S$65,$J107,⑬計量工程入力!$J$6:$J$65,"&gt;0",⑬計量工程入力!$I$6:$I$65,"&gt;0",⑬計量工程入力!$M$6:$M$65,"&gt;0")+SUMIFS(⑭手動工程入力!$J$6:$J$47,⑭手動工程入力!$S$6:$S$47,$J107,⑭手動工程入力!$J$6:$J$47,"&gt;0",⑭手動工程入力!$M$6:$M$47,"&gt;0")-SUMIFS(⑭手動工程入力!$J$6:$J$47,⑭手動工程入力!$S$6:$S$47,$J107,⑭手動工程入力!$J$6:$J$47,"&gt;0",⑭手動工程入力!$I$6:$I$47,"&gt;0",⑭手動工程入力!$M$6:$M$47,"&gt;0"))</f>
        <v/>
      </c>
      <c r="P107" s="392" t="n"/>
    </row>
    <row r="108">
      <c r="A108" s="392" t="n">
        <v>104</v>
      </c>
      <c r="B108" s="392" t="n"/>
      <c r="C108" s="392" t="n"/>
      <c r="D108" s="392" t="n"/>
      <c r="E108" s="392" t="n"/>
      <c r="F108" s="394" t="n"/>
      <c r="G108" s="392" t="n"/>
      <c r="H108" s="604">
        <f>IFERROR(IF(AND($K108&gt;0,ISNUMBER(IF(OR($D108="g",$D108="ｇ"),IF($M108&gt;0,$L108/$M108/1000,""),IF($D108="kg",IF($M108&gt;0,$L108/$M108,""),IF($D108="",IF($M108&gt;0,$L108/$M108/1000,IF($O108&gt;0,$N108/$O108,"")),IF($O108&gt;0,$N108/$O108,"")))))),IF(OR($D108="g",$D108="ｇ"),IF($M108&gt;0,$L108/$M108/1000,""),IF($D108="kg",IF($M108&gt;0,$L108/$M108,""),IF($D108="",IF($M108&gt;0,$L108/$M108/1000,IF($O108&gt;0,$N108/$O108,"")),IF($O108&gt;0,$N108/$O108,"")))),IF($F108="",IF(OR($E108="",$E108="⑩盛付梱包工程入力"),"",IF(OR($D108="g",$D108="ｇ"),INDEX(⑰工程労務費一覧!$N$5:$N$11,MATCH($E108,⑰工程労務費一覧!$K$5:$K$11,0))/1000,IF($D108="kg",INDEX(⑰工程労務費一覧!$N$5:$N$11,MATCH($E108,⑰工程労務費一覧!$K$5:$K$11,0)),IF(OR($D108="個",$D108="切",$D108="本",$D108="枚",$D108="尾"),IF($E108="⑬計量工程入力","",INDEX(⑰工程労務費一覧!$P$5:$P$11,MATCH($E108,⑰工程労務費一覧!$K$5:$K$11,0))),IF(AND($D108="",OR($E108="②釜工程入力",$E108="③スチコン工程入力")),INDEX(⑰工程労務費一覧!$N$5:$N$11,MATCH($E108,⑰工程労務費一覧!$K$5:$K$11,0))/1000,""))))),IF(OR($D108="g",$D108="ｇ"),INDEX(⑰工程労務費一覧!$H$5:$H$753,MATCH($F108,⑰工程労務費一覧!$D$5:$D$753,0))/1000,IF($D108="kg",INDEX(⑰工程労務費一覧!$H$5:$H$753,MATCH($F108,⑰工程労務費一覧!$D$5:$D$753,0)),INDEX(⑰工程労務費一覧!$I$5:$I$753,MATCH($F108,⑰工程労務費一覧!$D$5:$D$753,0)))))),"")</f>
        <v/>
      </c>
      <c r="I108" s="392">
        <f>IF($K108&gt;0,IF(ISNUMBER(IF(OR($D108="g",$D108="ｇ"),IF($M108&gt;0,$L108/$M108/1000,""),IF($D108="kg",IF($M108&gt;0,$L108/$M108,""),IF($D108="",IF($M108&gt;0,$L108/$M108/1000,IF($O108&gt;0,$N108/$O108,"")),IF($O108&gt;0,$N108/$O108,""))))),IF($D108="",IF($M108&gt;0,"◎ JAN紐づけ(g扱い)","◎ JAN紐づけ(個扱い)"),"◎ JAN紐づけ"),"△ JAN紐づけ済・実績不足→仮計算"),IF($F108="",IF(ISNUMBER($H108),IF($D108="","⑤ 工程平均で仮計算(g扱い)","⑤ 工程平均で仮計算"),IF($E108="⑩盛付梱包工程入力","⑥ 盛り込み(⑳F列で計上)",IF(AND($E108="⑬計量工程入力",OR($D108="個",$D108="切",$D108="本",$D108="枚",$D108="尾")),"① 未紐づけ(カット個単位は仮単価なし)","① 未紐づけ"))),IF(NOT(ISNUMBER($H108)),"② 工程側に単価なし",IF($D108="","③ 単位未設定(個で計算)","④ OK"))))</f>
        <v/>
      </c>
      <c r="J108" s="399">
        <f>IFERROR(LOOKUP(2,1/((中間品リスト!$F$2:$F$1299=$B108)*(中間品リスト!$E$2:$E$1299&lt;&gt;"-")*(中間品リスト!$E$2:$E$1299&lt;&gt;"")),中間品リスト!$E$2:$E$1299),"")</f>
        <v/>
      </c>
      <c r="K108" s="400">
        <f>IF($J108="",0,COUNTIF(②釜工程入力!$S$5:$S$117,$J108)+COUNTIF(③スチコン工程入力!$S$5:$S$152,$J108)+COUNTIF(⑪ZEN工程入力!$S$6:$S$35,$J108)+COUNTIF(⑫ミキサー工程入力!$S$6:$S$65,$J108)+COUNTIF(⑬計量工程入力!$S$6:$S$65,$J108)+COUNTIF(⑭手動工程入力!$S$6:$S$47,$J108))</f>
        <v/>
      </c>
      <c r="L108" s="393">
        <f>IF($J108="",0,SUMIFS(②釜工程入力!$M$5:$M$117,②釜工程入力!$S$5:$S$117,$J108,②釜工程入力!$I$5:$I$117,"&gt;0")+SUMIFS(③スチコン工程入力!$M$5:$M$152,③スチコン工程入力!$S$5:$S$152,$J108,③スチコン工程入力!$I$5:$I$152,"&gt;0")+SUMIFS(⑪ZEN工程入力!$M$6:$M$35,⑪ZEN工程入力!$S$6:$S$35,$J108,⑪ZEN工程入力!$I$6:$I$35,"&gt;0")+SUMIFS(⑫ミキサー工程入力!$M$6:$M$65,⑫ミキサー工程入力!$S$6:$S$65,$J108,⑫ミキサー工程入力!$I$6:$I$65,"&gt;0")+SUMIFS(⑬計量工程入力!$M$6:$M$65,⑬計量工程入力!$S$6:$S$65,$J108,⑬計量工程入力!$I$6:$I$65,"&gt;0")+SUMIFS(⑭手動工程入力!$M$6:$M$47,⑭手動工程入力!$S$6:$S$47,$J108,⑭手動工程入力!$I$6:$I$47,"&gt;0"))</f>
        <v/>
      </c>
      <c r="M108" s="393">
        <f>IF($J108="",0,SUMIFS(②釜工程入力!$I$5:$I$117,②釜工程入力!$S$5:$S$117,$J108,②釜工程入力!$I$5:$I$117,"&gt;0",②釜工程入力!$M$5:$M$117,"&gt;0")+SUMIFS(③スチコン工程入力!$I$5:$I$152,③スチコン工程入力!$S$5:$S$152,$J108,③スチコン工程入力!$I$5:$I$152,"&gt;0",③スチコン工程入力!$M$5:$M$152,"&gt;0")+SUMIFS(⑪ZEN工程入力!$I$6:$I$35,⑪ZEN工程入力!$S$6:$S$35,$J108,⑪ZEN工程入力!$I$6:$I$35,"&gt;0",⑪ZEN工程入力!$M$6:$M$35,"&gt;0")+SUMIFS(⑫ミキサー工程入力!$I$6:$I$65,⑫ミキサー工程入力!$S$6:$S$65,$J108,⑫ミキサー工程入力!$I$6:$I$65,"&gt;0",⑫ミキサー工程入力!$M$6:$M$65,"&gt;0")+SUMIFS(⑬計量工程入力!$I$6:$I$65,⑬計量工程入力!$S$6:$S$65,$J108,⑬計量工程入力!$I$6:$I$65,"&gt;0",⑬計量工程入力!$M$6:$M$65,"&gt;0")+SUMIFS(⑭手動工程入力!$I$6:$I$47,⑭手動工程入力!$S$6:$S$47,$J108,⑭手動工程入力!$I$6:$I$47,"&gt;0",⑭手動工程入力!$M$6:$M$47,"&gt;0"))</f>
        <v/>
      </c>
      <c r="N108" s="393">
        <f>IF($J108="",0,SUMIFS(②釜工程入力!$M$5:$M$117,②釜工程入力!$S$5:$S$117,$J108,②釜工程入力!$J$5:$J$117,"&gt;0")-SUMIFS(②釜工程入力!$M$5:$M$117,②釜工程入力!$S$5:$S$117,$J108,②釜工程入力!$J$5:$J$117,"&gt;0",②釜工程入力!$I$5:$I$117,"&gt;0")+SUMIFS(③スチコン工程入力!$M$5:$M$152,③スチコン工程入力!$S$5:$S$152,$J108,③スチコン工程入力!$J$5:$J$152,"&gt;0")-SUMIFS(③スチコン工程入力!$M$5:$M$152,③スチコン工程入力!$S$5:$S$152,$J108,③スチコン工程入力!$J$5:$J$152,"&gt;0",③スチコン工程入力!$I$5:$I$152,"&gt;0")+SUMIFS(⑪ZEN工程入力!$M$6:$M$35,⑪ZEN工程入力!$S$6:$S$35,$J108,⑪ZEN工程入力!$J$6:$J$35,"&gt;0")-SUMIFS(⑪ZEN工程入力!$M$6:$M$35,⑪ZEN工程入力!$S$6:$S$35,$J108,⑪ZEN工程入力!$J$6:$J$35,"&gt;0",⑪ZEN工程入力!$I$6:$I$35,"&gt;0")+SUMIFS(⑫ミキサー工程入力!$M$6:$M$65,⑫ミキサー工程入力!$S$6:$S$65,$J108,⑫ミキサー工程入力!$J$6:$J$65,"&gt;0")-SUMIFS(⑫ミキサー工程入力!$M$6:$M$65,⑫ミキサー工程入力!$S$6:$S$65,$J108,⑫ミキサー工程入力!$J$6:$J$65,"&gt;0",⑫ミキサー工程入力!$I$6:$I$65,"&gt;0")+SUMIFS(⑬計量工程入力!$M$6:$M$65,⑬計量工程入力!$S$6:$S$65,$J108,⑬計量工程入力!$J$6:$J$65,"&gt;0")-SUMIFS(⑬計量工程入力!$M$6:$M$65,⑬計量工程入力!$S$6:$S$65,$J108,⑬計量工程入力!$J$6:$J$65,"&gt;0",⑬計量工程入力!$I$6:$I$65,"&gt;0")+SUMIFS(⑭手動工程入力!$M$6:$M$47,⑭手動工程入力!$S$6:$S$47,$J108,⑭手動工程入力!$J$6:$J$47,"&gt;0")-SUMIFS(⑭手動工程入力!$M$6:$M$47,⑭手動工程入力!$S$6:$S$47,$J108,⑭手動工程入力!$J$6:$J$47,"&gt;0",⑭手動工程入力!$I$6:$I$47,"&gt;0"))</f>
        <v/>
      </c>
      <c r="O108" s="393">
        <f>IF($J108="",0,SUMIFS(②釜工程入力!$J$5:$J$117,②釜工程入力!$S$5:$S$117,$J108,②釜工程入力!$J$5:$J$117,"&gt;0",②釜工程入力!$M$5:$M$117,"&gt;0")-SUMIFS(②釜工程入力!$J$5:$J$117,②釜工程入力!$S$5:$S$117,$J108,②釜工程入力!$J$5:$J$117,"&gt;0",②釜工程入力!$I$5:$I$117,"&gt;0",②釜工程入力!$M$5:$M$117,"&gt;0")+SUMIFS(③スチコン工程入力!$J$5:$J$152,③スチコン工程入力!$S$5:$S$152,$J108,③スチコン工程入力!$J$5:$J$152,"&gt;0",③スチコン工程入力!$M$5:$M$152,"&gt;0")-SUMIFS(③スチコン工程入力!$J$5:$J$152,③スチコン工程入力!$S$5:$S$152,$J108,③スチコン工程入力!$J$5:$J$152,"&gt;0",③スチコン工程入力!$I$5:$I$152,"&gt;0",③スチコン工程入力!$M$5:$M$152,"&gt;0")+SUMIFS(⑪ZEN工程入力!$J$6:$J$35,⑪ZEN工程入力!$S$6:$S$35,$J108,⑪ZEN工程入力!$J$6:$J$35,"&gt;0",⑪ZEN工程入力!$M$6:$M$35,"&gt;0")-SUMIFS(⑪ZEN工程入力!$J$6:$J$35,⑪ZEN工程入力!$S$6:$S$35,$J108,⑪ZEN工程入力!$J$6:$J$35,"&gt;0",⑪ZEN工程入力!$I$6:$I$35,"&gt;0",⑪ZEN工程入力!$M$6:$M$35,"&gt;0")+SUMIFS(⑫ミキサー工程入力!$J$6:$J$65,⑫ミキサー工程入力!$S$6:$S$65,$J108,⑫ミキサー工程入力!$J$6:$J$65,"&gt;0",⑫ミキサー工程入力!$M$6:$M$65,"&gt;0")-SUMIFS(⑫ミキサー工程入力!$J$6:$J$65,⑫ミキサー工程入力!$S$6:$S$65,$J108,⑫ミキサー工程入力!$J$6:$J$65,"&gt;0",⑫ミキサー工程入力!$I$6:$I$65,"&gt;0",⑫ミキサー工程入力!$M$6:$M$65,"&gt;0")+SUMIFS(⑬計量工程入力!$J$6:$J$65,⑬計量工程入力!$S$6:$S$65,$J108,⑬計量工程入力!$J$6:$J$65,"&gt;0",⑬計量工程入力!$M$6:$M$65,"&gt;0")-SUMIFS(⑬計量工程入力!$J$6:$J$65,⑬計量工程入力!$S$6:$S$65,$J108,⑬計量工程入力!$J$6:$J$65,"&gt;0",⑬計量工程入力!$I$6:$I$65,"&gt;0",⑬計量工程入力!$M$6:$M$65,"&gt;0")+SUMIFS(⑭手動工程入力!$J$6:$J$47,⑭手動工程入力!$S$6:$S$47,$J108,⑭手動工程入力!$J$6:$J$47,"&gt;0",⑭手動工程入力!$M$6:$M$47,"&gt;0")-SUMIFS(⑭手動工程入力!$J$6:$J$47,⑭手動工程入力!$S$6:$S$47,$J108,⑭手動工程入力!$J$6:$J$47,"&gt;0",⑭手動工程入力!$I$6:$I$47,"&gt;0",⑭手動工程入力!$M$6:$M$47,"&gt;0"))</f>
        <v/>
      </c>
      <c r="P108" s="392" t="n"/>
    </row>
    <row r="109">
      <c r="A109" s="392" t="n">
        <v>105</v>
      </c>
      <c r="B109" s="392" t="n"/>
      <c r="C109" s="392" t="n"/>
      <c r="D109" s="392" t="n"/>
      <c r="E109" s="392" t="n"/>
      <c r="F109" s="394" t="n"/>
      <c r="G109" s="392" t="n"/>
      <c r="H109" s="604">
        <f>IFERROR(IF(AND($K109&gt;0,ISNUMBER(IF(OR($D109="g",$D109="ｇ"),IF($M109&gt;0,$L109/$M109/1000,""),IF($D109="kg",IF($M109&gt;0,$L109/$M109,""),IF($D109="",IF($M109&gt;0,$L109/$M109/1000,IF($O109&gt;0,$N109/$O109,"")),IF($O109&gt;0,$N109/$O109,"")))))),IF(OR($D109="g",$D109="ｇ"),IF($M109&gt;0,$L109/$M109/1000,""),IF($D109="kg",IF($M109&gt;0,$L109/$M109,""),IF($D109="",IF($M109&gt;0,$L109/$M109/1000,IF($O109&gt;0,$N109/$O109,"")),IF($O109&gt;0,$N109/$O109,"")))),IF($F109="",IF(OR($E109="",$E109="⑩盛付梱包工程入力"),"",IF(OR($D109="g",$D109="ｇ"),INDEX(⑰工程労務費一覧!$N$5:$N$11,MATCH($E109,⑰工程労務費一覧!$K$5:$K$11,0))/1000,IF($D109="kg",INDEX(⑰工程労務費一覧!$N$5:$N$11,MATCH($E109,⑰工程労務費一覧!$K$5:$K$11,0)),IF(OR($D109="個",$D109="切",$D109="本",$D109="枚",$D109="尾"),IF($E109="⑬計量工程入力","",INDEX(⑰工程労務費一覧!$P$5:$P$11,MATCH($E109,⑰工程労務費一覧!$K$5:$K$11,0))),IF(AND($D109="",OR($E109="②釜工程入力",$E109="③スチコン工程入力")),INDEX(⑰工程労務費一覧!$N$5:$N$11,MATCH($E109,⑰工程労務費一覧!$K$5:$K$11,0))/1000,""))))),IF(OR($D109="g",$D109="ｇ"),INDEX(⑰工程労務費一覧!$H$5:$H$753,MATCH($F109,⑰工程労務費一覧!$D$5:$D$753,0))/1000,IF($D109="kg",INDEX(⑰工程労務費一覧!$H$5:$H$753,MATCH($F109,⑰工程労務費一覧!$D$5:$D$753,0)),INDEX(⑰工程労務費一覧!$I$5:$I$753,MATCH($F109,⑰工程労務費一覧!$D$5:$D$753,0)))))),"")</f>
        <v/>
      </c>
      <c r="I109" s="392">
        <f>IF($K109&gt;0,IF(ISNUMBER(IF(OR($D109="g",$D109="ｇ"),IF($M109&gt;0,$L109/$M109/1000,""),IF($D109="kg",IF($M109&gt;0,$L109/$M109,""),IF($D109="",IF($M109&gt;0,$L109/$M109/1000,IF($O109&gt;0,$N109/$O109,"")),IF($O109&gt;0,$N109/$O109,""))))),IF($D109="",IF($M109&gt;0,"◎ JAN紐づけ(g扱い)","◎ JAN紐づけ(個扱い)"),"◎ JAN紐づけ"),"△ JAN紐づけ済・実績不足→仮計算"),IF($F109="",IF(ISNUMBER($H109),IF($D109="","⑤ 工程平均で仮計算(g扱い)","⑤ 工程平均で仮計算"),IF($E109="⑩盛付梱包工程入力","⑥ 盛り込み(⑳F列で計上)",IF(AND($E109="⑬計量工程入力",OR($D109="個",$D109="切",$D109="本",$D109="枚",$D109="尾")),"① 未紐づけ(カット個単位は仮単価なし)","① 未紐づけ"))),IF(NOT(ISNUMBER($H109)),"② 工程側に単価なし",IF($D109="","③ 単位未設定(個で計算)","④ OK"))))</f>
        <v/>
      </c>
      <c r="J109" s="399">
        <f>IFERROR(LOOKUP(2,1/((中間品リスト!$F$2:$F$1299=$B109)*(中間品リスト!$E$2:$E$1299&lt;&gt;"-")*(中間品リスト!$E$2:$E$1299&lt;&gt;"")),中間品リスト!$E$2:$E$1299),"")</f>
        <v/>
      </c>
      <c r="K109" s="400">
        <f>IF($J109="",0,COUNTIF(②釜工程入力!$S$5:$S$117,$J109)+COUNTIF(③スチコン工程入力!$S$5:$S$152,$J109)+COUNTIF(⑪ZEN工程入力!$S$6:$S$35,$J109)+COUNTIF(⑫ミキサー工程入力!$S$6:$S$65,$J109)+COUNTIF(⑬計量工程入力!$S$6:$S$65,$J109)+COUNTIF(⑭手動工程入力!$S$6:$S$47,$J109))</f>
        <v/>
      </c>
      <c r="L109" s="393">
        <f>IF($J109="",0,SUMIFS(②釜工程入力!$M$5:$M$117,②釜工程入力!$S$5:$S$117,$J109,②釜工程入力!$I$5:$I$117,"&gt;0")+SUMIFS(③スチコン工程入力!$M$5:$M$152,③スチコン工程入力!$S$5:$S$152,$J109,③スチコン工程入力!$I$5:$I$152,"&gt;0")+SUMIFS(⑪ZEN工程入力!$M$6:$M$35,⑪ZEN工程入力!$S$6:$S$35,$J109,⑪ZEN工程入力!$I$6:$I$35,"&gt;0")+SUMIFS(⑫ミキサー工程入力!$M$6:$M$65,⑫ミキサー工程入力!$S$6:$S$65,$J109,⑫ミキサー工程入力!$I$6:$I$65,"&gt;0")+SUMIFS(⑬計量工程入力!$M$6:$M$65,⑬計量工程入力!$S$6:$S$65,$J109,⑬計量工程入力!$I$6:$I$65,"&gt;0")+SUMIFS(⑭手動工程入力!$M$6:$M$47,⑭手動工程入力!$S$6:$S$47,$J109,⑭手動工程入力!$I$6:$I$47,"&gt;0"))</f>
        <v/>
      </c>
      <c r="M109" s="393">
        <f>IF($J109="",0,SUMIFS(②釜工程入力!$I$5:$I$117,②釜工程入力!$S$5:$S$117,$J109,②釜工程入力!$I$5:$I$117,"&gt;0",②釜工程入力!$M$5:$M$117,"&gt;0")+SUMIFS(③スチコン工程入力!$I$5:$I$152,③スチコン工程入力!$S$5:$S$152,$J109,③スチコン工程入力!$I$5:$I$152,"&gt;0",③スチコン工程入力!$M$5:$M$152,"&gt;0")+SUMIFS(⑪ZEN工程入力!$I$6:$I$35,⑪ZEN工程入力!$S$6:$S$35,$J109,⑪ZEN工程入力!$I$6:$I$35,"&gt;0",⑪ZEN工程入力!$M$6:$M$35,"&gt;0")+SUMIFS(⑫ミキサー工程入力!$I$6:$I$65,⑫ミキサー工程入力!$S$6:$S$65,$J109,⑫ミキサー工程入力!$I$6:$I$65,"&gt;0",⑫ミキサー工程入力!$M$6:$M$65,"&gt;0")+SUMIFS(⑬計量工程入力!$I$6:$I$65,⑬計量工程入力!$S$6:$S$65,$J109,⑬計量工程入力!$I$6:$I$65,"&gt;0",⑬計量工程入力!$M$6:$M$65,"&gt;0")+SUMIFS(⑭手動工程入力!$I$6:$I$47,⑭手動工程入力!$S$6:$S$47,$J109,⑭手動工程入力!$I$6:$I$47,"&gt;0",⑭手動工程入力!$M$6:$M$47,"&gt;0"))</f>
        <v/>
      </c>
      <c r="N109" s="393">
        <f>IF($J109="",0,SUMIFS(②釜工程入力!$M$5:$M$117,②釜工程入力!$S$5:$S$117,$J109,②釜工程入力!$J$5:$J$117,"&gt;0")-SUMIFS(②釜工程入力!$M$5:$M$117,②釜工程入力!$S$5:$S$117,$J109,②釜工程入力!$J$5:$J$117,"&gt;0",②釜工程入力!$I$5:$I$117,"&gt;0")+SUMIFS(③スチコン工程入力!$M$5:$M$152,③スチコン工程入力!$S$5:$S$152,$J109,③スチコン工程入力!$J$5:$J$152,"&gt;0")-SUMIFS(③スチコン工程入力!$M$5:$M$152,③スチコン工程入力!$S$5:$S$152,$J109,③スチコン工程入力!$J$5:$J$152,"&gt;0",③スチコン工程入力!$I$5:$I$152,"&gt;0")+SUMIFS(⑪ZEN工程入力!$M$6:$M$35,⑪ZEN工程入力!$S$6:$S$35,$J109,⑪ZEN工程入力!$J$6:$J$35,"&gt;0")-SUMIFS(⑪ZEN工程入力!$M$6:$M$35,⑪ZEN工程入力!$S$6:$S$35,$J109,⑪ZEN工程入力!$J$6:$J$35,"&gt;0",⑪ZEN工程入力!$I$6:$I$35,"&gt;0")+SUMIFS(⑫ミキサー工程入力!$M$6:$M$65,⑫ミキサー工程入力!$S$6:$S$65,$J109,⑫ミキサー工程入力!$J$6:$J$65,"&gt;0")-SUMIFS(⑫ミキサー工程入力!$M$6:$M$65,⑫ミキサー工程入力!$S$6:$S$65,$J109,⑫ミキサー工程入力!$J$6:$J$65,"&gt;0",⑫ミキサー工程入力!$I$6:$I$65,"&gt;0")+SUMIFS(⑬計量工程入力!$M$6:$M$65,⑬計量工程入力!$S$6:$S$65,$J109,⑬計量工程入力!$J$6:$J$65,"&gt;0")-SUMIFS(⑬計量工程入力!$M$6:$M$65,⑬計量工程入力!$S$6:$S$65,$J109,⑬計量工程入力!$J$6:$J$65,"&gt;0",⑬計量工程入力!$I$6:$I$65,"&gt;0")+SUMIFS(⑭手動工程入力!$M$6:$M$47,⑭手動工程入力!$S$6:$S$47,$J109,⑭手動工程入力!$J$6:$J$47,"&gt;0")-SUMIFS(⑭手動工程入力!$M$6:$M$47,⑭手動工程入力!$S$6:$S$47,$J109,⑭手動工程入力!$J$6:$J$47,"&gt;0",⑭手動工程入力!$I$6:$I$47,"&gt;0"))</f>
        <v/>
      </c>
      <c r="O109" s="393">
        <f>IF($J109="",0,SUMIFS(②釜工程入力!$J$5:$J$117,②釜工程入力!$S$5:$S$117,$J109,②釜工程入力!$J$5:$J$117,"&gt;0",②釜工程入力!$M$5:$M$117,"&gt;0")-SUMIFS(②釜工程入力!$J$5:$J$117,②釜工程入力!$S$5:$S$117,$J109,②釜工程入力!$J$5:$J$117,"&gt;0",②釜工程入力!$I$5:$I$117,"&gt;0",②釜工程入力!$M$5:$M$117,"&gt;0")+SUMIFS(③スチコン工程入力!$J$5:$J$152,③スチコン工程入力!$S$5:$S$152,$J109,③スチコン工程入力!$J$5:$J$152,"&gt;0",③スチコン工程入力!$M$5:$M$152,"&gt;0")-SUMIFS(③スチコン工程入力!$J$5:$J$152,③スチコン工程入力!$S$5:$S$152,$J109,③スチコン工程入力!$J$5:$J$152,"&gt;0",③スチコン工程入力!$I$5:$I$152,"&gt;0",③スチコン工程入力!$M$5:$M$152,"&gt;0")+SUMIFS(⑪ZEN工程入力!$J$6:$J$35,⑪ZEN工程入力!$S$6:$S$35,$J109,⑪ZEN工程入力!$J$6:$J$35,"&gt;0",⑪ZEN工程入力!$M$6:$M$35,"&gt;0")-SUMIFS(⑪ZEN工程入力!$J$6:$J$35,⑪ZEN工程入力!$S$6:$S$35,$J109,⑪ZEN工程入力!$J$6:$J$35,"&gt;0",⑪ZEN工程入力!$I$6:$I$35,"&gt;0",⑪ZEN工程入力!$M$6:$M$35,"&gt;0")+SUMIFS(⑫ミキサー工程入力!$J$6:$J$65,⑫ミキサー工程入力!$S$6:$S$65,$J109,⑫ミキサー工程入力!$J$6:$J$65,"&gt;0",⑫ミキサー工程入力!$M$6:$M$65,"&gt;0")-SUMIFS(⑫ミキサー工程入力!$J$6:$J$65,⑫ミキサー工程入力!$S$6:$S$65,$J109,⑫ミキサー工程入力!$J$6:$J$65,"&gt;0",⑫ミキサー工程入力!$I$6:$I$65,"&gt;0",⑫ミキサー工程入力!$M$6:$M$65,"&gt;0")+SUMIFS(⑬計量工程入力!$J$6:$J$65,⑬計量工程入力!$S$6:$S$65,$J109,⑬計量工程入力!$J$6:$J$65,"&gt;0",⑬計量工程入力!$M$6:$M$65,"&gt;0")-SUMIFS(⑬計量工程入力!$J$6:$J$65,⑬計量工程入力!$S$6:$S$65,$J109,⑬計量工程入力!$J$6:$J$65,"&gt;0",⑬計量工程入力!$I$6:$I$65,"&gt;0",⑬計量工程入力!$M$6:$M$65,"&gt;0")+SUMIFS(⑭手動工程入力!$J$6:$J$47,⑭手動工程入力!$S$6:$S$47,$J109,⑭手動工程入力!$J$6:$J$47,"&gt;0",⑭手動工程入力!$M$6:$M$47,"&gt;0")-SUMIFS(⑭手動工程入力!$J$6:$J$47,⑭手動工程入力!$S$6:$S$47,$J109,⑭手動工程入力!$J$6:$J$47,"&gt;0",⑭手動工程入力!$I$6:$I$47,"&gt;0",⑭手動工程入力!$M$6:$M$47,"&gt;0"))</f>
        <v/>
      </c>
      <c r="P109" s="392" t="n"/>
    </row>
    <row r="110">
      <c r="A110" s="392" t="n">
        <v>106</v>
      </c>
      <c r="B110" s="392" t="n"/>
      <c r="C110" s="392" t="n"/>
      <c r="D110" s="392" t="n"/>
      <c r="E110" s="392" t="n"/>
      <c r="F110" s="394" t="n"/>
      <c r="G110" s="392" t="n"/>
      <c r="H110" s="604">
        <f>IFERROR(IF(AND($K110&gt;0,ISNUMBER(IF(OR($D110="g",$D110="ｇ"),IF($M110&gt;0,$L110/$M110/1000,""),IF($D110="kg",IF($M110&gt;0,$L110/$M110,""),IF($D110="",IF($M110&gt;0,$L110/$M110/1000,IF($O110&gt;0,$N110/$O110,"")),IF($O110&gt;0,$N110/$O110,"")))))),IF(OR($D110="g",$D110="ｇ"),IF($M110&gt;0,$L110/$M110/1000,""),IF($D110="kg",IF($M110&gt;0,$L110/$M110,""),IF($D110="",IF($M110&gt;0,$L110/$M110/1000,IF($O110&gt;0,$N110/$O110,"")),IF($O110&gt;0,$N110/$O110,"")))),IF($F110="",IF(OR($E110="",$E110="⑩盛付梱包工程入力"),"",IF(OR($D110="g",$D110="ｇ"),INDEX(⑰工程労務費一覧!$N$5:$N$11,MATCH($E110,⑰工程労務費一覧!$K$5:$K$11,0))/1000,IF($D110="kg",INDEX(⑰工程労務費一覧!$N$5:$N$11,MATCH($E110,⑰工程労務費一覧!$K$5:$K$11,0)),IF(OR($D110="個",$D110="切",$D110="本",$D110="枚",$D110="尾"),IF($E110="⑬計量工程入力","",INDEX(⑰工程労務費一覧!$P$5:$P$11,MATCH($E110,⑰工程労務費一覧!$K$5:$K$11,0))),IF(AND($D110="",OR($E110="②釜工程入力",$E110="③スチコン工程入力")),INDEX(⑰工程労務費一覧!$N$5:$N$11,MATCH($E110,⑰工程労務費一覧!$K$5:$K$11,0))/1000,""))))),IF(OR($D110="g",$D110="ｇ"),INDEX(⑰工程労務費一覧!$H$5:$H$753,MATCH($F110,⑰工程労務費一覧!$D$5:$D$753,0))/1000,IF($D110="kg",INDEX(⑰工程労務費一覧!$H$5:$H$753,MATCH($F110,⑰工程労務費一覧!$D$5:$D$753,0)),INDEX(⑰工程労務費一覧!$I$5:$I$753,MATCH($F110,⑰工程労務費一覧!$D$5:$D$753,0)))))),"")</f>
        <v/>
      </c>
      <c r="I110" s="392">
        <f>IF($K110&gt;0,IF(ISNUMBER(IF(OR($D110="g",$D110="ｇ"),IF($M110&gt;0,$L110/$M110/1000,""),IF($D110="kg",IF($M110&gt;0,$L110/$M110,""),IF($D110="",IF($M110&gt;0,$L110/$M110/1000,IF($O110&gt;0,$N110/$O110,"")),IF($O110&gt;0,$N110/$O110,""))))),IF($D110="",IF($M110&gt;0,"◎ JAN紐づけ(g扱い)","◎ JAN紐づけ(個扱い)"),"◎ JAN紐づけ"),"△ JAN紐づけ済・実績不足→仮計算"),IF($F110="",IF(ISNUMBER($H110),IF($D110="","⑤ 工程平均で仮計算(g扱い)","⑤ 工程平均で仮計算"),IF($E110="⑩盛付梱包工程入力","⑥ 盛り込み(⑳F列で計上)",IF(AND($E110="⑬計量工程入力",OR($D110="個",$D110="切",$D110="本",$D110="枚",$D110="尾")),"① 未紐づけ(カット個単位は仮単価なし)","① 未紐づけ"))),IF(NOT(ISNUMBER($H110)),"② 工程側に単価なし",IF($D110="","③ 単位未設定(個で計算)","④ OK"))))</f>
        <v/>
      </c>
      <c r="J110" s="399">
        <f>IFERROR(LOOKUP(2,1/((中間品リスト!$F$2:$F$1299=$B110)*(中間品リスト!$E$2:$E$1299&lt;&gt;"-")*(中間品リスト!$E$2:$E$1299&lt;&gt;"")),中間品リスト!$E$2:$E$1299),"")</f>
        <v/>
      </c>
      <c r="K110" s="400">
        <f>IF($J110="",0,COUNTIF(②釜工程入力!$S$5:$S$117,$J110)+COUNTIF(③スチコン工程入力!$S$5:$S$152,$J110)+COUNTIF(⑪ZEN工程入力!$S$6:$S$35,$J110)+COUNTIF(⑫ミキサー工程入力!$S$6:$S$65,$J110)+COUNTIF(⑬計量工程入力!$S$6:$S$65,$J110)+COUNTIF(⑭手動工程入力!$S$6:$S$47,$J110))</f>
        <v/>
      </c>
      <c r="L110" s="393">
        <f>IF($J110="",0,SUMIFS(②釜工程入力!$M$5:$M$117,②釜工程入力!$S$5:$S$117,$J110,②釜工程入力!$I$5:$I$117,"&gt;0")+SUMIFS(③スチコン工程入力!$M$5:$M$152,③スチコン工程入力!$S$5:$S$152,$J110,③スチコン工程入力!$I$5:$I$152,"&gt;0")+SUMIFS(⑪ZEN工程入力!$M$6:$M$35,⑪ZEN工程入力!$S$6:$S$35,$J110,⑪ZEN工程入力!$I$6:$I$35,"&gt;0")+SUMIFS(⑫ミキサー工程入力!$M$6:$M$65,⑫ミキサー工程入力!$S$6:$S$65,$J110,⑫ミキサー工程入力!$I$6:$I$65,"&gt;0")+SUMIFS(⑬計量工程入力!$M$6:$M$65,⑬計量工程入力!$S$6:$S$65,$J110,⑬計量工程入力!$I$6:$I$65,"&gt;0")+SUMIFS(⑭手動工程入力!$M$6:$M$47,⑭手動工程入力!$S$6:$S$47,$J110,⑭手動工程入力!$I$6:$I$47,"&gt;0"))</f>
        <v/>
      </c>
      <c r="M110" s="393">
        <f>IF($J110="",0,SUMIFS(②釜工程入力!$I$5:$I$117,②釜工程入力!$S$5:$S$117,$J110,②釜工程入力!$I$5:$I$117,"&gt;0",②釜工程入力!$M$5:$M$117,"&gt;0")+SUMIFS(③スチコン工程入力!$I$5:$I$152,③スチコン工程入力!$S$5:$S$152,$J110,③スチコン工程入力!$I$5:$I$152,"&gt;0",③スチコン工程入力!$M$5:$M$152,"&gt;0")+SUMIFS(⑪ZEN工程入力!$I$6:$I$35,⑪ZEN工程入力!$S$6:$S$35,$J110,⑪ZEN工程入力!$I$6:$I$35,"&gt;0",⑪ZEN工程入力!$M$6:$M$35,"&gt;0")+SUMIFS(⑫ミキサー工程入力!$I$6:$I$65,⑫ミキサー工程入力!$S$6:$S$65,$J110,⑫ミキサー工程入力!$I$6:$I$65,"&gt;0",⑫ミキサー工程入力!$M$6:$M$65,"&gt;0")+SUMIFS(⑬計量工程入力!$I$6:$I$65,⑬計量工程入力!$S$6:$S$65,$J110,⑬計量工程入力!$I$6:$I$65,"&gt;0",⑬計量工程入力!$M$6:$M$65,"&gt;0")+SUMIFS(⑭手動工程入力!$I$6:$I$47,⑭手動工程入力!$S$6:$S$47,$J110,⑭手動工程入力!$I$6:$I$47,"&gt;0",⑭手動工程入力!$M$6:$M$47,"&gt;0"))</f>
        <v/>
      </c>
      <c r="N110" s="393">
        <f>IF($J110="",0,SUMIFS(②釜工程入力!$M$5:$M$117,②釜工程入力!$S$5:$S$117,$J110,②釜工程入力!$J$5:$J$117,"&gt;0")-SUMIFS(②釜工程入力!$M$5:$M$117,②釜工程入力!$S$5:$S$117,$J110,②釜工程入力!$J$5:$J$117,"&gt;0",②釜工程入力!$I$5:$I$117,"&gt;0")+SUMIFS(③スチコン工程入力!$M$5:$M$152,③スチコン工程入力!$S$5:$S$152,$J110,③スチコン工程入力!$J$5:$J$152,"&gt;0")-SUMIFS(③スチコン工程入力!$M$5:$M$152,③スチコン工程入力!$S$5:$S$152,$J110,③スチコン工程入力!$J$5:$J$152,"&gt;0",③スチコン工程入力!$I$5:$I$152,"&gt;0")+SUMIFS(⑪ZEN工程入力!$M$6:$M$35,⑪ZEN工程入力!$S$6:$S$35,$J110,⑪ZEN工程入力!$J$6:$J$35,"&gt;0")-SUMIFS(⑪ZEN工程入力!$M$6:$M$35,⑪ZEN工程入力!$S$6:$S$35,$J110,⑪ZEN工程入力!$J$6:$J$35,"&gt;0",⑪ZEN工程入力!$I$6:$I$35,"&gt;0")+SUMIFS(⑫ミキサー工程入力!$M$6:$M$65,⑫ミキサー工程入力!$S$6:$S$65,$J110,⑫ミキサー工程入力!$J$6:$J$65,"&gt;0")-SUMIFS(⑫ミキサー工程入力!$M$6:$M$65,⑫ミキサー工程入力!$S$6:$S$65,$J110,⑫ミキサー工程入力!$J$6:$J$65,"&gt;0",⑫ミキサー工程入力!$I$6:$I$65,"&gt;0")+SUMIFS(⑬計量工程入力!$M$6:$M$65,⑬計量工程入力!$S$6:$S$65,$J110,⑬計量工程入力!$J$6:$J$65,"&gt;0")-SUMIFS(⑬計量工程入力!$M$6:$M$65,⑬計量工程入力!$S$6:$S$65,$J110,⑬計量工程入力!$J$6:$J$65,"&gt;0",⑬計量工程入力!$I$6:$I$65,"&gt;0")+SUMIFS(⑭手動工程入力!$M$6:$M$47,⑭手動工程入力!$S$6:$S$47,$J110,⑭手動工程入力!$J$6:$J$47,"&gt;0")-SUMIFS(⑭手動工程入力!$M$6:$M$47,⑭手動工程入力!$S$6:$S$47,$J110,⑭手動工程入力!$J$6:$J$47,"&gt;0",⑭手動工程入力!$I$6:$I$47,"&gt;0"))</f>
        <v/>
      </c>
      <c r="O110" s="393">
        <f>IF($J110="",0,SUMIFS(②釜工程入力!$J$5:$J$117,②釜工程入力!$S$5:$S$117,$J110,②釜工程入力!$J$5:$J$117,"&gt;0",②釜工程入力!$M$5:$M$117,"&gt;0")-SUMIFS(②釜工程入力!$J$5:$J$117,②釜工程入力!$S$5:$S$117,$J110,②釜工程入力!$J$5:$J$117,"&gt;0",②釜工程入力!$I$5:$I$117,"&gt;0",②釜工程入力!$M$5:$M$117,"&gt;0")+SUMIFS(③スチコン工程入力!$J$5:$J$152,③スチコン工程入力!$S$5:$S$152,$J110,③スチコン工程入力!$J$5:$J$152,"&gt;0",③スチコン工程入力!$M$5:$M$152,"&gt;0")-SUMIFS(③スチコン工程入力!$J$5:$J$152,③スチコン工程入力!$S$5:$S$152,$J110,③スチコン工程入力!$J$5:$J$152,"&gt;0",③スチコン工程入力!$I$5:$I$152,"&gt;0",③スチコン工程入力!$M$5:$M$152,"&gt;0")+SUMIFS(⑪ZEN工程入力!$J$6:$J$35,⑪ZEN工程入力!$S$6:$S$35,$J110,⑪ZEN工程入力!$J$6:$J$35,"&gt;0",⑪ZEN工程入力!$M$6:$M$35,"&gt;0")-SUMIFS(⑪ZEN工程入力!$J$6:$J$35,⑪ZEN工程入力!$S$6:$S$35,$J110,⑪ZEN工程入力!$J$6:$J$35,"&gt;0",⑪ZEN工程入力!$I$6:$I$35,"&gt;0",⑪ZEN工程入力!$M$6:$M$35,"&gt;0")+SUMIFS(⑫ミキサー工程入力!$J$6:$J$65,⑫ミキサー工程入力!$S$6:$S$65,$J110,⑫ミキサー工程入力!$J$6:$J$65,"&gt;0",⑫ミキサー工程入力!$M$6:$M$65,"&gt;0")-SUMIFS(⑫ミキサー工程入力!$J$6:$J$65,⑫ミキサー工程入力!$S$6:$S$65,$J110,⑫ミキサー工程入力!$J$6:$J$65,"&gt;0",⑫ミキサー工程入力!$I$6:$I$65,"&gt;0",⑫ミキサー工程入力!$M$6:$M$65,"&gt;0")+SUMIFS(⑬計量工程入力!$J$6:$J$65,⑬計量工程入力!$S$6:$S$65,$J110,⑬計量工程入力!$J$6:$J$65,"&gt;0",⑬計量工程入力!$M$6:$M$65,"&gt;0")-SUMIFS(⑬計量工程入力!$J$6:$J$65,⑬計量工程入力!$S$6:$S$65,$J110,⑬計量工程入力!$J$6:$J$65,"&gt;0",⑬計量工程入力!$I$6:$I$65,"&gt;0",⑬計量工程入力!$M$6:$M$65,"&gt;0")+SUMIFS(⑭手動工程入力!$J$6:$J$47,⑭手動工程入力!$S$6:$S$47,$J110,⑭手動工程入力!$J$6:$J$47,"&gt;0",⑭手動工程入力!$M$6:$M$47,"&gt;0")-SUMIFS(⑭手動工程入力!$J$6:$J$47,⑭手動工程入力!$S$6:$S$47,$J110,⑭手動工程入力!$J$6:$J$47,"&gt;0",⑭手動工程入力!$I$6:$I$47,"&gt;0",⑭手動工程入力!$M$6:$M$47,"&gt;0"))</f>
        <v/>
      </c>
      <c r="P110" s="392" t="n"/>
    </row>
    <row r="111">
      <c r="A111" s="392" t="n">
        <v>107</v>
      </c>
      <c r="B111" s="392" t="n"/>
      <c r="C111" s="392" t="n"/>
      <c r="D111" s="392" t="n"/>
      <c r="E111" s="392" t="n"/>
      <c r="F111" s="394" t="n"/>
      <c r="G111" s="392" t="n"/>
      <c r="H111" s="604">
        <f>IFERROR(IF(AND($K111&gt;0,ISNUMBER(IF(OR($D111="g",$D111="ｇ"),IF($M111&gt;0,$L111/$M111/1000,""),IF($D111="kg",IF($M111&gt;0,$L111/$M111,""),IF($D111="",IF($M111&gt;0,$L111/$M111/1000,IF($O111&gt;0,$N111/$O111,"")),IF($O111&gt;0,$N111/$O111,"")))))),IF(OR($D111="g",$D111="ｇ"),IF($M111&gt;0,$L111/$M111/1000,""),IF($D111="kg",IF($M111&gt;0,$L111/$M111,""),IF($D111="",IF($M111&gt;0,$L111/$M111/1000,IF($O111&gt;0,$N111/$O111,"")),IF($O111&gt;0,$N111/$O111,"")))),IF($F111="",IF(OR($E111="",$E111="⑩盛付梱包工程入力"),"",IF(OR($D111="g",$D111="ｇ"),INDEX(⑰工程労務費一覧!$N$5:$N$11,MATCH($E111,⑰工程労務費一覧!$K$5:$K$11,0))/1000,IF($D111="kg",INDEX(⑰工程労務費一覧!$N$5:$N$11,MATCH($E111,⑰工程労務費一覧!$K$5:$K$11,0)),IF(OR($D111="個",$D111="切",$D111="本",$D111="枚",$D111="尾"),IF($E111="⑬計量工程入力","",INDEX(⑰工程労務費一覧!$P$5:$P$11,MATCH($E111,⑰工程労務費一覧!$K$5:$K$11,0))),IF(AND($D111="",OR($E111="②釜工程入力",$E111="③スチコン工程入力")),INDEX(⑰工程労務費一覧!$N$5:$N$11,MATCH($E111,⑰工程労務費一覧!$K$5:$K$11,0))/1000,""))))),IF(OR($D111="g",$D111="ｇ"),INDEX(⑰工程労務費一覧!$H$5:$H$753,MATCH($F111,⑰工程労務費一覧!$D$5:$D$753,0))/1000,IF($D111="kg",INDEX(⑰工程労務費一覧!$H$5:$H$753,MATCH($F111,⑰工程労務費一覧!$D$5:$D$753,0)),INDEX(⑰工程労務費一覧!$I$5:$I$753,MATCH($F111,⑰工程労務費一覧!$D$5:$D$753,0)))))),"")</f>
        <v/>
      </c>
      <c r="I111" s="392">
        <f>IF($K111&gt;0,IF(ISNUMBER(IF(OR($D111="g",$D111="ｇ"),IF($M111&gt;0,$L111/$M111/1000,""),IF($D111="kg",IF($M111&gt;0,$L111/$M111,""),IF($D111="",IF($M111&gt;0,$L111/$M111/1000,IF($O111&gt;0,$N111/$O111,"")),IF($O111&gt;0,$N111/$O111,""))))),IF($D111="",IF($M111&gt;0,"◎ JAN紐づけ(g扱い)","◎ JAN紐づけ(個扱い)"),"◎ JAN紐づけ"),"△ JAN紐づけ済・実績不足→仮計算"),IF($F111="",IF(ISNUMBER($H111),IF($D111="","⑤ 工程平均で仮計算(g扱い)","⑤ 工程平均で仮計算"),IF($E111="⑩盛付梱包工程入力","⑥ 盛り込み(⑳F列で計上)",IF(AND($E111="⑬計量工程入力",OR($D111="個",$D111="切",$D111="本",$D111="枚",$D111="尾")),"① 未紐づけ(カット個単位は仮単価なし)","① 未紐づけ"))),IF(NOT(ISNUMBER($H111)),"② 工程側に単価なし",IF($D111="","③ 単位未設定(個で計算)","④ OK"))))</f>
        <v/>
      </c>
      <c r="J111" s="399">
        <f>IFERROR(LOOKUP(2,1/((中間品リスト!$F$2:$F$1299=$B111)*(中間品リスト!$E$2:$E$1299&lt;&gt;"-")*(中間品リスト!$E$2:$E$1299&lt;&gt;"")),中間品リスト!$E$2:$E$1299),"")</f>
        <v/>
      </c>
      <c r="K111" s="400">
        <f>IF($J111="",0,COUNTIF(②釜工程入力!$S$5:$S$117,$J111)+COUNTIF(③スチコン工程入力!$S$5:$S$152,$J111)+COUNTIF(⑪ZEN工程入力!$S$6:$S$35,$J111)+COUNTIF(⑫ミキサー工程入力!$S$6:$S$65,$J111)+COUNTIF(⑬計量工程入力!$S$6:$S$65,$J111)+COUNTIF(⑭手動工程入力!$S$6:$S$47,$J111))</f>
        <v/>
      </c>
      <c r="L111" s="393">
        <f>IF($J111="",0,SUMIFS(②釜工程入力!$M$5:$M$117,②釜工程入力!$S$5:$S$117,$J111,②釜工程入力!$I$5:$I$117,"&gt;0")+SUMIFS(③スチコン工程入力!$M$5:$M$152,③スチコン工程入力!$S$5:$S$152,$J111,③スチコン工程入力!$I$5:$I$152,"&gt;0")+SUMIFS(⑪ZEN工程入力!$M$6:$M$35,⑪ZEN工程入力!$S$6:$S$35,$J111,⑪ZEN工程入力!$I$6:$I$35,"&gt;0")+SUMIFS(⑫ミキサー工程入力!$M$6:$M$65,⑫ミキサー工程入力!$S$6:$S$65,$J111,⑫ミキサー工程入力!$I$6:$I$65,"&gt;0")+SUMIFS(⑬計量工程入力!$M$6:$M$65,⑬計量工程入力!$S$6:$S$65,$J111,⑬計量工程入力!$I$6:$I$65,"&gt;0")+SUMIFS(⑭手動工程入力!$M$6:$M$47,⑭手動工程入力!$S$6:$S$47,$J111,⑭手動工程入力!$I$6:$I$47,"&gt;0"))</f>
        <v/>
      </c>
      <c r="M111" s="393">
        <f>IF($J111="",0,SUMIFS(②釜工程入力!$I$5:$I$117,②釜工程入力!$S$5:$S$117,$J111,②釜工程入力!$I$5:$I$117,"&gt;0",②釜工程入力!$M$5:$M$117,"&gt;0")+SUMIFS(③スチコン工程入力!$I$5:$I$152,③スチコン工程入力!$S$5:$S$152,$J111,③スチコン工程入力!$I$5:$I$152,"&gt;0",③スチコン工程入力!$M$5:$M$152,"&gt;0")+SUMIFS(⑪ZEN工程入力!$I$6:$I$35,⑪ZEN工程入力!$S$6:$S$35,$J111,⑪ZEN工程入力!$I$6:$I$35,"&gt;0",⑪ZEN工程入力!$M$6:$M$35,"&gt;0")+SUMIFS(⑫ミキサー工程入力!$I$6:$I$65,⑫ミキサー工程入力!$S$6:$S$65,$J111,⑫ミキサー工程入力!$I$6:$I$65,"&gt;0",⑫ミキサー工程入力!$M$6:$M$65,"&gt;0")+SUMIFS(⑬計量工程入力!$I$6:$I$65,⑬計量工程入力!$S$6:$S$65,$J111,⑬計量工程入力!$I$6:$I$65,"&gt;0",⑬計量工程入力!$M$6:$M$65,"&gt;0")+SUMIFS(⑭手動工程入力!$I$6:$I$47,⑭手動工程入力!$S$6:$S$47,$J111,⑭手動工程入力!$I$6:$I$47,"&gt;0",⑭手動工程入力!$M$6:$M$47,"&gt;0"))</f>
        <v/>
      </c>
      <c r="N111" s="393">
        <f>IF($J111="",0,SUMIFS(②釜工程入力!$M$5:$M$117,②釜工程入力!$S$5:$S$117,$J111,②釜工程入力!$J$5:$J$117,"&gt;0")-SUMIFS(②釜工程入力!$M$5:$M$117,②釜工程入力!$S$5:$S$117,$J111,②釜工程入力!$J$5:$J$117,"&gt;0",②釜工程入力!$I$5:$I$117,"&gt;0")+SUMIFS(③スチコン工程入力!$M$5:$M$152,③スチコン工程入力!$S$5:$S$152,$J111,③スチコン工程入力!$J$5:$J$152,"&gt;0")-SUMIFS(③スチコン工程入力!$M$5:$M$152,③スチコン工程入力!$S$5:$S$152,$J111,③スチコン工程入力!$J$5:$J$152,"&gt;0",③スチコン工程入力!$I$5:$I$152,"&gt;0")+SUMIFS(⑪ZEN工程入力!$M$6:$M$35,⑪ZEN工程入力!$S$6:$S$35,$J111,⑪ZEN工程入力!$J$6:$J$35,"&gt;0")-SUMIFS(⑪ZEN工程入力!$M$6:$M$35,⑪ZEN工程入力!$S$6:$S$35,$J111,⑪ZEN工程入力!$J$6:$J$35,"&gt;0",⑪ZEN工程入力!$I$6:$I$35,"&gt;0")+SUMIFS(⑫ミキサー工程入力!$M$6:$M$65,⑫ミキサー工程入力!$S$6:$S$65,$J111,⑫ミキサー工程入力!$J$6:$J$65,"&gt;0")-SUMIFS(⑫ミキサー工程入力!$M$6:$M$65,⑫ミキサー工程入力!$S$6:$S$65,$J111,⑫ミキサー工程入力!$J$6:$J$65,"&gt;0",⑫ミキサー工程入力!$I$6:$I$65,"&gt;0")+SUMIFS(⑬計量工程入力!$M$6:$M$65,⑬計量工程入力!$S$6:$S$65,$J111,⑬計量工程入力!$J$6:$J$65,"&gt;0")-SUMIFS(⑬計量工程入力!$M$6:$M$65,⑬計量工程入力!$S$6:$S$65,$J111,⑬計量工程入力!$J$6:$J$65,"&gt;0",⑬計量工程入力!$I$6:$I$65,"&gt;0")+SUMIFS(⑭手動工程入力!$M$6:$M$47,⑭手動工程入力!$S$6:$S$47,$J111,⑭手動工程入力!$J$6:$J$47,"&gt;0")-SUMIFS(⑭手動工程入力!$M$6:$M$47,⑭手動工程入力!$S$6:$S$47,$J111,⑭手動工程入力!$J$6:$J$47,"&gt;0",⑭手動工程入力!$I$6:$I$47,"&gt;0"))</f>
        <v/>
      </c>
      <c r="O111" s="393">
        <f>IF($J111="",0,SUMIFS(②釜工程入力!$J$5:$J$117,②釜工程入力!$S$5:$S$117,$J111,②釜工程入力!$J$5:$J$117,"&gt;0",②釜工程入力!$M$5:$M$117,"&gt;0")-SUMIFS(②釜工程入力!$J$5:$J$117,②釜工程入力!$S$5:$S$117,$J111,②釜工程入力!$J$5:$J$117,"&gt;0",②釜工程入力!$I$5:$I$117,"&gt;0",②釜工程入力!$M$5:$M$117,"&gt;0")+SUMIFS(③スチコン工程入力!$J$5:$J$152,③スチコン工程入力!$S$5:$S$152,$J111,③スチコン工程入力!$J$5:$J$152,"&gt;0",③スチコン工程入力!$M$5:$M$152,"&gt;0")-SUMIFS(③スチコン工程入力!$J$5:$J$152,③スチコン工程入力!$S$5:$S$152,$J111,③スチコン工程入力!$J$5:$J$152,"&gt;0",③スチコン工程入力!$I$5:$I$152,"&gt;0",③スチコン工程入力!$M$5:$M$152,"&gt;0")+SUMIFS(⑪ZEN工程入力!$J$6:$J$35,⑪ZEN工程入力!$S$6:$S$35,$J111,⑪ZEN工程入力!$J$6:$J$35,"&gt;0",⑪ZEN工程入力!$M$6:$M$35,"&gt;0")-SUMIFS(⑪ZEN工程入力!$J$6:$J$35,⑪ZEN工程入力!$S$6:$S$35,$J111,⑪ZEN工程入力!$J$6:$J$35,"&gt;0",⑪ZEN工程入力!$I$6:$I$35,"&gt;0",⑪ZEN工程入力!$M$6:$M$35,"&gt;0")+SUMIFS(⑫ミキサー工程入力!$J$6:$J$65,⑫ミキサー工程入力!$S$6:$S$65,$J111,⑫ミキサー工程入力!$J$6:$J$65,"&gt;0",⑫ミキサー工程入力!$M$6:$M$65,"&gt;0")-SUMIFS(⑫ミキサー工程入力!$J$6:$J$65,⑫ミキサー工程入力!$S$6:$S$65,$J111,⑫ミキサー工程入力!$J$6:$J$65,"&gt;0",⑫ミキサー工程入力!$I$6:$I$65,"&gt;0",⑫ミキサー工程入力!$M$6:$M$65,"&gt;0")+SUMIFS(⑬計量工程入力!$J$6:$J$65,⑬計量工程入力!$S$6:$S$65,$J111,⑬計量工程入力!$J$6:$J$65,"&gt;0",⑬計量工程入力!$M$6:$M$65,"&gt;0")-SUMIFS(⑬計量工程入力!$J$6:$J$65,⑬計量工程入力!$S$6:$S$65,$J111,⑬計量工程入力!$J$6:$J$65,"&gt;0",⑬計量工程入力!$I$6:$I$65,"&gt;0",⑬計量工程入力!$M$6:$M$65,"&gt;0")+SUMIFS(⑭手動工程入力!$J$6:$J$47,⑭手動工程入力!$S$6:$S$47,$J111,⑭手動工程入力!$J$6:$J$47,"&gt;0",⑭手動工程入力!$M$6:$M$47,"&gt;0")-SUMIFS(⑭手動工程入力!$J$6:$J$47,⑭手動工程入力!$S$6:$S$47,$J111,⑭手動工程入力!$J$6:$J$47,"&gt;0",⑭手動工程入力!$I$6:$I$47,"&gt;0",⑭手動工程入力!$M$6:$M$47,"&gt;0"))</f>
        <v/>
      </c>
      <c r="P111" s="392" t="n"/>
    </row>
    <row r="112">
      <c r="A112" s="392" t="n">
        <v>108</v>
      </c>
      <c r="B112" s="392" t="n"/>
      <c r="C112" s="392" t="n"/>
      <c r="D112" s="392" t="n"/>
      <c r="E112" s="392" t="n"/>
      <c r="F112" s="394" t="n"/>
      <c r="G112" s="392" t="n"/>
      <c r="H112" s="604">
        <f>IFERROR(IF(AND($K112&gt;0,ISNUMBER(IF(OR($D112="g",$D112="ｇ"),IF($M112&gt;0,$L112/$M112/1000,""),IF($D112="kg",IF($M112&gt;0,$L112/$M112,""),IF($D112="",IF($M112&gt;0,$L112/$M112/1000,IF($O112&gt;0,$N112/$O112,"")),IF($O112&gt;0,$N112/$O112,"")))))),IF(OR($D112="g",$D112="ｇ"),IF($M112&gt;0,$L112/$M112/1000,""),IF($D112="kg",IF($M112&gt;0,$L112/$M112,""),IF($D112="",IF($M112&gt;0,$L112/$M112/1000,IF($O112&gt;0,$N112/$O112,"")),IF($O112&gt;0,$N112/$O112,"")))),IF($F112="",IF(OR($E112="",$E112="⑩盛付梱包工程入力"),"",IF(OR($D112="g",$D112="ｇ"),INDEX(⑰工程労務費一覧!$N$5:$N$11,MATCH($E112,⑰工程労務費一覧!$K$5:$K$11,0))/1000,IF($D112="kg",INDEX(⑰工程労務費一覧!$N$5:$N$11,MATCH($E112,⑰工程労務費一覧!$K$5:$K$11,0)),IF(OR($D112="個",$D112="切",$D112="本",$D112="枚",$D112="尾"),IF($E112="⑬計量工程入力","",INDEX(⑰工程労務費一覧!$P$5:$P$11,MATCH($E112,⑰工程労務費一覧!$K$5:$K$11,0))),IF(AND($D112="",OR($E112="②釜工程入力",$E112="③スチコン工程入力")),INDEX(⑰工程労務費一覧!$N$5:$N$11,MATCH($E112,⑰工程労務費一覧!$K$5:$K$11,0))/1000,""))))),IF(OR($D112="g",$D112="ｇ"),INDEX(⑰工程労務費一覧!$H$5:$H$753,MATCH($F112,⑰工程労務費一覧!$D$5:$D$753,0))/1000,IF($D112="kg",INDEX(⑰工程労務費一覧!$H$5:$H$753,MATCH($F112,⑰工程労務費一覧!$D$5:$D$753,0)),INDEX(⑰工程労務費一覧!$I$5:$I$753,MATCH($F112,⑰工程労務費一覧!$D$5:$D$753,0)))))),"")</f>
        <v/>
      </c>
      <c r="I112" s="392">
        <f>IF($K112&gt;0,IF(ISNUMBER(IF(OR($D112="g",$D112="ｇ"),IF($M112&gt;0,$L112/$M112/1000,""),IF($D112="kg",IF($M112&gt;0,$L112/$M112,""),IF($D112="",IF($M112&gt;0,$L112/$M112/1000,IF($O112&gt;0,$N112/$O112,"")),IF($O112&gt;0,$N112/$O112,""))))),IF($D112="",IF($M112&gt;0,"◎ JAN紐づけ(g扱い)","◎ JAN紐づけ(個扱い)"),"◎ JAN紐づけ"),"△ JAN紐づけ済・実績不足→仮計算"),IF($F112="",IF(ISNUMBER($H112),IF($D112="","⑤ 工程平均で仮計算(g扱い)","⑤ 工程平均で仮計算"),IF($E112="⑩盛付梱包工程入力","⑥ 盛り込み(⑳F列で計上)",IF(AND($E112="⑬計量工程入力",OR($D112="個",$D112="切",$D112="本",$D112="枚",$D112="尾")),"① 未紐づけ(カット個単位は仮単価なし)","① 未紐づけ"))),IF(NOT(ISNUMBER($H112)),"② 工程側に単価なし",IF($D112="","③ 単位未設定(個で計算)","④ OK"))))</f>
        <v/>
      </c>
      <c r="J112" s="399">
        <f>IFERROR(LOOKUP(2,1/((中間品リスト!$F$2:$F$1299=$B112)*(中間品リスト!$E$2:$E$1299&lt;&gt;"-")*(中間品リスト!$E$2:$E$1299&lt;&gt;"")),中間品リスト!$E$2:$E$1299),"")</f>
        <v/>
      </c>
      <c r="K112" s="400">
        <f>IF($J112="",0,COUNTIF(②釜工程入力!$S$5:$S$117,$J112)+COUNTIF(③スチコン工程入力!$S$5:$S$152,$J112)+COUNTIF(⑪ZEN工程入力!$S$6:$S$35,$J112)+COUNTIF(⑫ミキサー工程入力!$S$6:$S$65,$J112)+COUNTIF(⑬計量工程入力!$S$6:$S$65,$J112)+COUNTIF(⑭手動工程入力!$S$6:$S$47,$J112))</f>
        <v/>
      </c>
      <c r="L112" s="393">
        <f>IF($J112="",0,SUMIFS(②釜工程入力!$M$5:$M$117,②釜工程入力!$S$5:$S$117,$J112,②釜工程入力!$I$5:$I$117,"&gt;0")+SUMIFS(③スチコン工程入力!$M$5:$M$152,③スチコン工程入力!$S$5:$S$152,$J112,③スチコン工程入力!$I$5:$I$152,"&gt;0")+SUMIFS(⑪ZEN工程入力!$M$6:$M$35,⑪ZEN工程入力!$S$6:$S$35,$J112,⑪ZEN工程入力!$I$6:$I$35,"&gt;0")+SUMIFS(⑫ミキサー工程入力!$M$6:$M$65,⑫ミキサー工程入力!$S$6:$S$65,$J112,⑫ミキサー工程入力!$I$6:$I$65,"&gt;0")+SUMIFS(⑬計量工程入力!$M$6:$M$65,⑬計量工程入力!$S$6:$S$65,$J112,⑬計量工程入力!$I$6:$I$65,"&gt;0")+SUMIFS(⑭手動工程入力!$M$6:$M$47,⑭手動工程入力!$S$6:$S$47,$J112,⑭手動工程入力!$I$6:$I$47,"&gt;0"))</f>
        <v/>
      </c>
      <c r="M112" s="393">
        <f>IF($J112="",0,SUMIFS(②釜工程入力!$I$5:$I$117,②釜工程入力!$S$5:$S$117,$J112,②釜工程入力!$I$5:$I$117,"&gt;0",②釜工程入力!$M$5:$M$117,"&gt;0")+SUMIFS(③スチコン工程入力!$I$5:$I$152,③スチコン工程入力!$S$5:$S$152,$J112,③スチコン工程入力!$I$5:$I$152,"&gt;0",③スチコン工程入力!$M$5:$M$152,"&gt;0")+SUMIFS(⑪ZEN工程入力!$I$6:$I$35,⑪ZEN工程入力!$S$6:$S$35,$J112,⑪ZEN工程入力!$I$6:$I$35,"&gt;0",⑪ZEN工程入力!$M$6:$M$35,"&gt;0")+SUMIFS(⑫ミキサー工程入力!$I$6:$I$65,⑫ミキサー工程入力!$S$6:$S$65,$J112,⑫ミキサー工程入力!$I$6:$I$65,"&gt;0",⑫ミキサー工程入力!$M$6:$M$65,"&gt;0")+SUMIFS(⑬計量工程入力!$I$6:$I$65,⑬計量工程入力!$S$6:$S$65,$J112,⑬計量工程入力!$I$6:$I$65,"&gt;0",⑬計量工程入力!$M$6:$M$65,"&gt;0")+SUMIFS(⑭手動工程入力!$I$6:$I$47,⑭手動工程入力!$S$6:$S$47,$J112,⑭手動工程入力!$I$6:$I$47,"&gt;0",⑭手動工程入力!$M$6:$M$47,"&gt;0"))</f>
        <v/>
      </c>
      <c r="N112" s="393">
        <f>IF($J112="",0,SUMIFS(②釜工程入力!$M$5:$M$117,②釜工程入力!$S$5:$S$117,$J112,②釜工程入力!$J$5:$J$117,"&gt;0")-SUMIFS(②釜工程入力!$M$5:$M$117,②釜工程入力!$S$5:$S$117,$J112,②釜工程入力!$J$5:$J$117,"&gt;0",②釜工程入力!$I$5:$I$117,"&gt;0")+SUMIFS(③スチコン工程入力!$M$5:$M$152,③スチコン工程入力!$S$5:$S$152,$J112,③スチコン工程入力!$J$5:$J$152,"&gt;0")-SUMIFS(③スチコン工程入力!$M$5:$M$152,③スチコン工程入力!$S$5:$S$152,$J112,③スチコン工程入力!$J$5:$J$152,"&gt;0",③スチコン工程入力!$I$5:$I$152,"&gt;0")+SUMIFS(⑪ZEN工程入力!$M$6:$M$35,⑪ZEN工程入力!$S$6:$S$35,$J112,⑪ZEN工程入力!$J$6:$J$35,"&gt;0")-SUMIFS(⑪ZEN工程入力!$M$6:$M$35,⑪ZEN工程入力!$S$6:$S$35,$J112,⑪ZEN工程入力!$J$6:$J$35,"&gt;0",⑪ZEN工程入力!$I$6:$I$35,"&gt;0")+SUMIFS(⑫ミキサー工程入力!$M$6:$M$65,⑫ミキサー工程入力!$S$6:$S$65,$J112,⑫ミキサー工程入力!$J$6:$J$65,"&gt;0")-SUMIFS(⑫ミキサー工程入力!$M$6:$M$65,⑫ミキサー工程入力!$S$6:$S$65,$J112,⑫ミキサー工程入力!$J$6:$J$65,"&gt;0",⑫ミキサー工程入力!$I$6:$I$65,"&gt;0")+SUMIFS(⑬計量工程入力!$M$6:$M$65,⑬計量工程入力!$S$6:$S$65,$J112,⑬計量工程入力!$J$6:$J$65,"&gt;0")-SUMIFS(⑬計量工程入力!$M$6:$M$65,⑬計量工程入力!$S$6:$S$65,$J112,⑬計量工程入力!$J$6:$J$65,"&gt;0",⑬計量工程入力!$I$6:$I$65,"&gt;0")+SUMIFS(⑭手動工程入力!$M$6:$M$47,⑭手動工程入力!$S$6:$S$47,$J112,⑭手動工程入力!$J$6:$J$47,"&gt;0")-SUMIFS(⑭手動工程入力!$M$6:$M$47,⑭手動工程入力!$S$6:$S$47,$J112,⑭手動工程入力!$J$6:$J$47,"&gt;0",⑭手動工程入力!$I$6:$I$47,"&gt;0"))</f>
        <v/>
      </c>
      <c r="O112" s="393">
        <f>IF($J112="",0,SUMIFS(②釜工程入力!$J$5:$J$117,②釜工程入力!$S$5:$S$117,$J112,②釜工程入力!$J$5:$J$117,"&gt;0",②釜工程入力!$M$5:$M$117,"&gt;0")-SUMIFS(②釜工程入力!$J$5:$J$117,②釜工程入力!$S$5:$S$117,$J112,②釜工程入力!$J$5:$J$117,"&gt;0",②釜工程入力!$I$5:$I$117,"&gt;0",②釜工程入力!$M$5:$M$117,"&gt;0")+SUMIFS(③スチコン工程入力!$J$5:$J$152,③スチコン工程入力!$S$5:$S$152,$J112,③スチコン工程入力!$J$5:$J$152,"&gt;0",③スチコン工程入力!$M$5:$M$152,"&gt;0")-SUMIFS(③スチコン工程入力!$J$5:$J$152,③スチコン工程入力!$S$5:$S$152,$J112,③スチコン工程入力!$J$5:$J$152,"&gt;0",③スチコン工程入力!$I$5:$I$152,"&gt;0",③スチコン工程入力!$M$5:$M$152,"&gt;0")+SUMIFS(⑪ZEN工程入力!$J$6:$J$35,⑪ZEN工程入力!$S$6:$S$35,$J112,⑪ZEN工程入力!$J$6:$J$35,"&gt;0",⑪ZEN工程入力!$M$6:$M$35,"&gt;0")-SUMIFS(⑪ZEN工程入力!$J$6:$J$35,⑪ZEN工程入力!$S$6:$S$35,$J112,⑪ZEN工程入力!$J$6:$J$35,"&gt;0",⑪ZEN工程入力!$I$6:$I$35,"&gt;0",⑪ZEN工程入力!$M$6:$M$35,"&gt;0")+SUMIFS(⑫ミキサー工程入力!$J$6:$J$65,⑫ミキサー工程入力!$S$6:$S$65,$J112,⑫ミキサー工程入力!$J$6:$J$65,"&gt;0",⑫ミキサー工程入力!$M$6:$M$65,"&gt;0")-SUMIFS(⑫ミキサー工程入力!$J$6:$J$65,⑫ミキサー工程入力!$S$6:$S$65,$J112,⑫ミキサー工程入力!$J$6:$J$65,"&gt;0",⑫ミキサー工程入力!$I$6:$I$65,"&gt;0",⑫ミキサー工程入力!$M$6:$M$65,"&gt;0")+SUMIFS(⑬計量工程入力!$J$6:$J$65,⑬計量工程入力!$S$6:$S$65,$J112,⑬計量工程入力!$J$6:$J$65,"&gt;0",⑬計量工程入力!$M$6:$M$65,"&gt;0")-SUMIFS(⑬計量工程入力!$J$6:$J$65,⑬計量工程入力!$S$6:$S$65,$J112,⑬計量工程入力!$J$6:$J$65,"&gt;0",⑬計量工程入力!$I$6:$I$65,"&gt;0",⑬計量工程入力!$M$6:$M$65,"&gt;0")+SUMIFS(⑭手動工程入力!$J$6:$J$47,⑭手動工程入力!$S$6:$S$47,$J112,⑭手動工程入力!$J$6:$J$47,"&gt;0",⑭手動工程入力!$M$6:$M$47,"&gt;0")-SUMIFS(⑭手動工程入力!$J$6:$J$47,⑭手動工程入力!$S$6:$S$47,$J112,⑭手動工程入力!$J$6:$J$47,"&gt;0",⑭手動工程入力!$I$6:$I$47,"&gt;0",⑭手動工程入力!$M$6:$M$47,"&gt;0"))</f>
        <v/>
      </c>
      <c r="P112" s="392" t="n"/>
    </row>
    <row r="113">
      <c r="A113" s="392" t="n">
        <v>109</v>
      </c>
      <c r="B113" s="392" t="n"/>
      <c r="C113" s="392" t="n"/>
      <c r="D113" s="392" t="n"/>
      <c r="E113" s="392" t="n"/>
      <c r="F113" s="394" t="n"/>
      <c r="G113" s="392" t="n"/>
      <c r="H113" s="604">
        <f>IFERROR(IF(AND($K113&gt;0,ISNUMBER(IF(OR($D113="g",$D113="ｇ"),IF($M113&gt;0,$L113/$M113/1000,""),IF($D113="kg",IF($M113&gt;0,$L113/$M113,""),IF($D113="",IF($M113&gt;0,$L113/$M113/1000,IF($O113&gt;0,$N113/$O113,"")),IF($O113&gt;0,$N113/$O113,"")))))),IF(OR($D113="g",$D113="ｇ"),IF($M113&gt;0,$L113/$M113/1000,""),IF($D113="kg",IF($M113&gt;0,$L113/$M113,""),IF($D113="",IF($M113&gt;0,$L113/$M113/1000,IF($O113&gt;0,$N113/$O113,"")),IF($O113&gt;0,$N113/$O113,"")))),IF($F113="",IF(OR($E113="",$E113="⑩盛付梱包工程入力"),"",IF(OR($D113="g",$D113="ｇ"),INDEX(⑰工程労務費一覧!$N$5:$N$11,MATCH($E113,⑰工程労務費一覧!$K$5:$K$11,0))/1000,IF($D113="kg",INDEX(⑰工程労務費一覧!$N$5:$N$11,MATCH($E113,⑰工程労務費一覧!$K$5:$K$11,0)),IF(OR($D113="個",$D113="切",$D113="本",$D113="枚",$D113="尾"),IF($E113="⑬計量工程入力","",INDEX(⑰工程労務費一覧!$P$5:$P$11,MATCH($E113,⑰工程労務費一覧!$K$5:$K$11,0))),IF(AND($D113="",OR($E113="②釜工程入力",$E113="③スチコン工程入力")),INDEX(⑰工程労務費一覧!$N$5:$N$11,MATCH($E113,⑰工程労務費一覧!$K$5:$K$11,0))/1000,""))))),IF(OR($D113="g",$D113="ｇ"),INDEX(⑰工程労務費一覧!$H$5:$H$753,MATCH($F113,⑰工程労務費一覧!$D$5:$D$753,0))/1000,IF($D113="kg",INDEX(⑰工程労務費一覧!$H$5:$H$753,MATCH($F113,⑰工程労務費一覧!$D$5:$D$753,0)),INDEX(⑰工程労務費一覧!$I$5:$I$753,MATCH($F113,⑰工程労務費一覧!$D$5:$D$753,0)))))),"")</f>
        <v/>
      </c>
      <c r="I113" s="392">
        <f>IF($K113&gt;0,IF(ISNUMBER(IF(OR($D113="g",$D113="ｇ"),IF($M113&gt;0,$L113/$M113/1000,""),IF($D113="kg",IF($M113&gt;0,$L113/$M113,""),IF($D113="",IF($M113&gt;0,$L113/$M113/1000,IF($O113&gt;0,$N113/$O113,"")),IF($O113&gt;0,$N113/$O113,""))))),IF($D113="",IF($M113&gt;0,"◎ JAN紐づけ(g扱い)","◎ JAN紐づけ(個扱い)"),"◎ JAN紐づけ"),"△ JAN紐づけ済・実績不足→仮計算"),IF($F113="",IF(ISNUMBER($H113),IF($D113="","⑤ 工程平均で仮計算(g扱い)","⑤ 工程平均で仮計算"),IF($E113="⑩盛付梱包工程入力","⑥ 盛り込み(⑳F列で計上)",IF(AND($E113="⑬計量工程入力",OR($D113="個",$D113="切",$D113="本",$D113="枚",$D113="尾")),"① 未紐づけ(カット個単位は仮単価なし)","① 未紐づけ"))),IF(NOT(ISNUMBER($H113)),"② 工程側に単価なし",IF($D113="","③ 単位未設定(個で計算)","④ OK"))))</f>
        <v/>
      </c>
      <c r="J113" s="399">
        <f>IFERROR(LOOKUP(2,1/((中間品リスト!$F$2:$F$1299=$B113)*(中間品リスト!$E$2:$E$1299&lt;&gt;"-")*(中間品リスト!$E$2:$E$1299&lt;&gt;"")),中間品リスト!$E$2:$E$1299),"")</f>
        <v/>
      </c>
      <c r="K113" s="400">
        <f>IF($J113="",0,COUNTIF(②釜工程入力!$S$5:$S$117,$J113)+COUNTIF(③スチコン工程入力!$S$5:$S$152,$J113)+COUNTIF(⑪ZEN工程入力!$S$6:$S$35,$J113)+COUNTIF(⑫ミキサー工程入力!$S$6:$S$65,$J113)+COUNTIF(⑬計量工程入力!$S$6:$S$65,$J113)+COUNTIF(⑭手動工程入力!$S$6:$S$47,$J113))</f>
        <v/>
      </c>
      <c r="L113" s="393">
        <f>IF($J113="",0,SUMIFS(②釜工程入力!$M$5:$M$117,②釜工程入力!$S$5:$S$117,$J113,②釜工程入力!$I$5:$I$117,"&gt;0")+SUMIFS(③スチコン工程入力!$M$5:$M$152,③スチコン工程入力!$S$5:$S$152,$J113,③スチコン工程入力!$I$5:$I$152,"&gt;0")+SUMIFS(⑪ZEN工程入力!$M$6:$M$35,⑪ZEN工程入力!$S$6:$S$35,$J113,⑪ZEN工程入力!$I$6:$I$35,"&gt;0")+SUMIFS(⑫ミキサー工程入力!$M$6:$M$65,⑫ミキサー工程入力!$S$6:$S$65,$J113,⑫ミキサー工程入力!$I$6:$I$65,"&gt;0")+SUMIFS(⑬計量工程入力!$M$6:$M$65,⑬計量工程入力!$S$6:$S$65,$J113,⑬計量工程入力!$I$6:$I$65,"&gt;0")+SUMIFS(⑭手動工程入力!$M$6:$M$47,⑭手動工程入力!$S$6:$S$47,$J113,⑭手動工程入力!$I$6:$I$47,"&gt;0"))</f>
        <v/>
      </c>
      <c r="M113" s="393">
        <f>IF($J113="",0,SUMIFS(②釜工程入力!$I$5:$I$117,②釜工程入力!$S$5:$S$117,$J113,②釜工程入力!$I$5:$I$117,"&gt;0",②釜工程入力!$M$5:$M$117,"&gt;0")+SUMIFS(③スチコン工程入力!$I$5:$I$152,③スチコン工程入力!$S$5:$S$152,$J113,③スチコン工程入力!$I$5:$I$152,"&gt;0",③スチコン工程入力!$M$5:$M$152,"&gt;0")+SUMIFS(⑪ZEN工程入力!$I$6:$I$35,⑪ZEN工程入力!$S$6:$S$35,$J113,⑪ZEN工程入力!$I$6:$I$35,"&gt;0",⑪ZEN工程入力!$M$6:$M$35,"&gt;0")+SUMIFS(⑫ミキサー工程入力!$I$6:$I$65,⑫ミキサー工程入力!$S$6:$S$65,$J113,⑫ミキサー工程入力!$I$6:$I$65,"&gt;0",⑫ミキサー工程入力!$M$6:$M$65,"&gt;0")+SUMIFS(⑬計量工程入力!$I$6:$I$65,⑬計量工程入力!$S$6:$S$65,$J113,⑬計量工程入力!$I$6:$I$65,"&gt;0",⑬計量工程入力!$M$6:$M$65,"&gt;0")+SUMIFS(⑭手動工程入力!$I$6:$I$47,⑭手動工程入力!$S$6:$S$47,$J113,⑭手動工程入力!$I$6:$I$47,"&gt;0",⑭手動工程入力!$M$6:$M$47,"&gt;0"))</f>
        <v/>
      </c>
      <c r="N113" s="393">
        <f>IF($J113="",0,SUMIFS(②釜工程入力!$M$5:$M$117,②釜工程入力!$S$5:$S$117,$J113,②釜工程入力!$J$5:$J$117,"&gt;0")-SUMIFS(②釜工程入力!$M$5:$M$117,②釜工程入力!$S$5:$S$117,$J113,②釜工程入力!$J$5:$J$117,"&gt;0",②釜工程入力!$I$5:$I$117,"&gt;0")+SUMIFS(③スチコン工程入力!$M$5:$M$152,③スチコン工程入力!$S$5:$S$152,$J113,③スチコン工程入力!$J$5:$J$152,"&gt;0")-SUMIFS(③スチコン工程入力!$M$5:$M$152,③スチコン工程入力!$S$5:$S$152,$J113,③スチコン工程入力!$J$5:$J$152,"&gt;0",③スチコン工程入力!$I$5:$I$152,"&gt;0")+SUMIFS(⑪ZEN工程入力!$M$6:$M$35,⑪ZEN工程入力!$S$6:$S$35,$J113,⑪ZEN工程入力!$J$6:$J$35,"&gt;0")-SUMIFS(⑪ZEN工程入力!$M$6:$M$35,⑪ZEN工程入力!$S$6:$S$35,$J113,⑪ZEN工程入力!$J$6:$J$35,"&gt;0",⑪ZEN工程入力!$I$6:$I$35,"&gt;0")+SUMIFS(⑫ミキサー工程入力!$M$6:$M$65,⑫ミキサー工程入力!$S$6:$S$65,$J113,⑫ミキサー工程入力!$J$6:$J$65,"&gt;0")-SUMIFS(⑫ミキサー工程入力!$M$6:$M$65,⑫ミキサー工程入力!$S$6:$S$65,$J113,⑫ミキサー工程入力!$J$6:$J$65,"&gt;0",⑫ミキサー工程入力!$I$6:$I$65,"&gt;0")+SUMIFS(⑬計量工程入力!$M$6:$M$65,⑬計量工程入力!$S$6:$S$65,$J113,⑬計量工程入力!$J$6:$J$65,"&gt;0")-SUMIFS(⑬計量工程入力!$M$6:$M$65,⑬計量工程入力!$S$6:$S$65,$J113,⑬計量工程入力!$J$6:$J$65,"&gt;0",⑬計量工程入力!$I$6:$I$65,"&gt;0")+SUMIFS(⑭手動工程入力!$M$6:$M$47,⑭手動工程入力!$S$6:$S$47,$J113,⑭手動工程入力!$J$6:$J$47,"&gt;0")-SUMIFS(⑭手動工程入力!$M$6:$M$47,⑭手動工程入力!$S$6:$S$47,$J113,⑭手動工程入力!$J$6:$J$47,"&gt;0",⑭手動工程入力!$I$6:$I$47,"&gt;0"))</f>
        <v/>
      </c>
      <c r="O113" s="393">
        <f>IF($J113="",0,SUMIFS(②釜工程入力!$J$5:$J$117,②釜工程入力!$S$5:$S$117,$J113,②釜工程入力!$J$5:$J$117,"&gt;0",②釜工程入力!$M$5:$M$117,"&gt;0")-SUMIFS(②釜工程入力!$J$5:$J$117,②釜工程入力!$S$5:$S$117,$J113,②釜工程入力!$J$5:$J$117,"&gt;0",②釜工程入力!$I$5:$I$117,"&gt;0",②釜工程入力!$M$5:$M$117,"&gt;0")+SUMIFS(③スチコン工程入力!$J$5:$J$152,③スチコン工程入力!$S$5:$S$152,$J113,③スチコン工程入力!$J$5:$J$152,"&gt;0",③スチコン工程入力!$M$5:$M$152,"&gt;0")-SUMIFS(③スチコン工程入力!$J$5:$J$152,③スチコン工程入力!$S$5:$S$152,$J113,③スチコン工程入力!$J$5:$J$152,"&gt;0",③スチコン工程入力!$I$5:$I$152,"&gt;0",③スチコン工程入力!$M$5:$M$152,"&gt;0")+SUMIFS(⑪ZEN工程入力!$J$6:$J$35,⑪ZEN工程入力!$S$6:$S$35,$J113,⑪ZEN工程入力!$J$6:$J$35,"&gt;0",⑪ZEN工程入力!$M$6:$M$35,"&gt;0")-SUMIFS(⑪ZEN工程入力!$J$6:$J$35,⑪ZEN工程入力!$S$6:$S$35,$J113,⑪ZEN工程入力!$J$6:$J$35,"&gt;0",⑪ZEN工程入力!$I$6:$I$35,"&gt;0",⑪ZEN工程入力!$M$6:$M$35,"&gt;0")+SUMIFS(⑫ミキサー工程入力!$J$6:$J$65,⑫ミキサー工程入力!$S$6:$S$65,$J113,⑫ミキサー工程入力!$J$6:$J$65,"&gt;0",⑫ミキサー工程入力!$M$6:$M$65,"&gt;0")-SUMIFS(⑫ミキサー工程入力!$J$6:$J$65,⑫ミキサー工程入力!$S$6:$S$65,$J113,⑫ミキサー工程入力!$J$6:$J$65,"&gt;0",⑫ミキサー工程入力!$I$6:$I$65,"&gt;0",⑫ミキサー工程入力!$M$6:$M$65,"&gt;0")+SUMIFS(⑬計量工程入力!$J$6:$J$65,⑬計量工程入力!$S$6:$S$65,$J113,⑬計量工程入力!$J$6:$J$65,"&gt;0",⑬計量工程入力!$M$6:$M$65,"&gt;0")-SUMIFS(⑬計量工程入力!$J$6:$J$65,⑬計量工程入力!$S$6:$S$65,$J113,⑬計量工程入力!$J$6:$J$65,"&gt;0",⑬計量工程入力!$I$6:$I$65,"&gt;0",⑬計量工程入力!$M$6:$M$65,"&gt;0")+SUMIFS(⑭手動工程入力!$J$6:$J$47,⑭手動工程入力!$S$6:$S$47,$J113,⑭手動工程入力!$J$6:$J$47,"&gt;0",⑭手動工程入力!$M$6:$M$47,"&gt;0")-SUMIFS(⑭手動工程入力!$J$6:$J$47,⑭手動工程入力!$S$6:$S$47,$J113,⑭手動工程入力!$J$6:$J$47,"&gt;0",⑭手動工程入力!$I$6:$I$47,"&gt;0",⑭手動工程入力!$M$6:$M$47,"&gt;0"))</f>
        <v/>
      </c>
      <c r="P113" s="392" t="n"/>
    </row>
    <row r="114">
      <c r="A114" s="392" t="n">
        <v>110</v>
      </c>
      <c r="B114" s="392" t="n"/>
      <c r="C114" s="392" t="n"/>
      <c r="D114" s="392" t="n"/>
      <c r="E114" s="392" t="n"/>
      <c r="F114" s="394" t="n"/>
      <c r="G114" s="392" t="n"/>
      <c r="H114" s="604">
        <f>IFERROR(IF(AND($K114&gt;0,ISNUMBER(IF(OR($D114="g",$D114="ｇ"),IF($M114&gt;0,$L114/$M114/1000,""),IF($D114="kg",IF($M114&gt;0,$L114/$M114,""),IF($D114="",IF($M114&gt;0,$L114/$M114/1000,IF($O114&gt;0,$N114/$O114,"")),IF($O114&gt;0,$N114/$O114,"")))))),IF(OR($D114="g",$D114="ｇ"),IF($M114&gt;0,$L114/$M114/1000,""),IF($D114="kg",IF($M114&gt;0,$L114/$M114,""),IF($D114="",IF($M114&gt;0,$L114/$M114/1000,IF($O114&gt;0,$N114/$O114,"")),IF($O114&gt;0,$N114/$O114,"")))),IF($F114="",IF(OR($E114="",$E114="⑩盛付梱包工程入力"),"",IF(OR($D114="g",$D114="ｇ"),INDEX(⑰工程労務費一覧!$N$5:$N$11,MATCH($E114,⑰工程労務費一覧!$K$5:$K$11,0))/1000,IF($D114="kg",INDEX(⑰工程労務費一覧!$N$5:$N$11,MATCH($E114,⑰工程労務費一覧!$K$5:$K$11,0)),IF(OR($D114="個",$D114="切",$D114="本",$D114="枚",$D114="尾"),IF($E114="⑬計量工程入力","",INDEX(⑰工程労務費一覧!$P$5:$P$11,MATCH($E114,⑰工程労務費一覧!$K$5:$K$11,0))),IF(AND($D114="",OR($E114="②釜工程入力",$E114="③スチコン工程入力")),INDEX(⑰工程労務費一覧!$N$5:$N$11,MATCH($E114,⑰工程労務費一覧!$K$5:$K$11,0))/1000,""))))),IF(OR($D114="g",$D114="ｇ"),INDEX(⑰工程労務費一覧!$H$5:$H$753,MATCH($F114,⑰工程労務費一覧!$D$5:$D$753,0))/1000,IF($D114="kg",INDEX(⑰工程労務費一覧!$H$5:$H$753,MATCH($F114,⑰工程労務費一覧!$D$5:$D$753,0)),INDEX(⑰工程労務費一覧!$I$5:$I$753,MATCH($F114,⑰工程労務費一覧!$D$5:$D$753,0)))))),"")</f>
        <v/>
      </c>
      <c r="I114" s="392">
        <f>IF($K114&gt;0,IF(ISNUMBER(IF(OR($D114="g",$D114="ｇ"),IF($M114&gt;0,$L114/$M114/1000,""),IF($D114="kg",IF($M114&gt;0,$L114/$M114,""),IF($D114="",IF($M114&gt;0,$L114/$M114/1000,IF($O114&gt;0,$N114/$O114,"")),IF($O114&gt;0,$N114/$O114,""))))),IF($D114="",IF($M114&gt;0,"◎ JAN紐づけ(g扱い)","◎ JAN紐づけ(個扱い)"),"◎ JAN紐づけ"),"△ JAN紐づけ済・実績不足→仮計算"),IF($F114="",IF(ISNUMBER($H114),IF($D114="","⑤ 工程平均で仮計算(g扱い)","⑤ 工程平均で仮計算"),IF($E114="⑩盛付梱包工程入力","⑥ 盛り込み(⑳F列で計上)",IF(AND($E114="⑬計量工程入力",OR($D114="個",$D114="切",$D114="本",$D114="枚",$D114="尾")),"① 未紐づけ(カット個単位は仮単価なし)","① 未紐づけ"))),IF(NOT(ISNUMBER($H114)),"② 工程側に単価なし",IF($D114="","③ 単位未設定(個で計算)","④ OK"))))</f>
        <v/>
      </c>
      <c r="J114" s="399">
        <f>IFERROR(LOOKUP(2,1/((中間品リスト!$F$2:$F$1299=$B114)*(中間品リスト!$E$2:$E$1299&lt;&gt;"-")*(中間品リスト!$E$2:$E$1299&lt;&gt;"")),中間品リスト!$E$2:$E$1299),"")</f>
        <v/>
      </c>
      <c r="K114" s="400">
        <f>IF($J114="",0,COUNTIF(②釜工程入力!$S$5:$S$117,$J114)+COUNTIF(③スチコン工程入力!$S$5:$S$152,$J114)+COUNTIF(⑪ZEN工程入力!$S$6:$S$35,$J114)+COUNTIF(⑫ミキサー工程入力!$S$6:$S$65,$J114)+COUNTIF(⑬計量工程入力!$S$6:$S$65,$J114)+COUNTIF(⑭手動工程入力!$S$6:$S$47,$J114))</f>
        <v/>
      </c>
      <c r="L114" s="393">
        <f>IF($J114="",0,SUMIFS(②釜工程入力!$M$5:$M$117,②釜工程入力!$S$5:$S$117,$J114,②釜工程入力!$I$5:$I$117,"&gt;0")+SUMIFS(③スチコン工程入力!$M$5:$M$152,③スチコン工程入力!$S$5:$S$152,$J114,③スチコン工程入力!$I$5:$I$152,"&gt;0")+SUMIFS(⑪ZEN工程入力!$M$6:$M$35,⑪ZEN工程入力!$S$6:$S$35,$J114,⑪ZEN工程入力!$I$6:$I$35,"&gt;0")+SUMIFS(⑫ミキサー工程入力!$M$6:$M$65,⑫ミキサー工程入力!$S$6:$S$65,$J114,⑫ミキサー工程入力!$I$6:$I$65,"&gt;0")+SUMIFS(⑬計量工程入力!$M$6:$M$65,⑬計量工程入力!$S$6:$S$65,$J114,⑬計量工程入力!$I$6:$I$65,"&gt;0")+SUMIFS(⑭手動工程入力!$M$6:$M$47,⑭手動工程入力!$S$6:$S$47,$J114,⑭手動工程入力!$I$6:$I$47,"&gt;0"))</f>
        <v/>
      </c>
      <c r="M114" s="393">
        <f>IF($J114="",0,SUMIFS(②釜工程入力!$I$5:$I$117,②釜工程入力!$S$5:$S$117,$J114,②釜工程入力!$I$5:$I$117,"&gt;0",②釜工程入力!$M$5:$M$117,"&gt;0")+SUMIFS(③スチコン工程入力!$I$5:$I$152,③スチコン工程入力!$S$5:$S$152,$J114,③スチコン工程入力!$I$5:$I$152,"&gt;0",③スチコン工程入力!$M$5:$M$152,"&gt;0")+SUMIFS(⑪ZEN工程入力!$I$6:$I$35,⑪ZEN工程入力!$S$6:$S$35,$J114,⑪ZEN工程入力!$I$6:$I$35,"&gt;0",⑪ZEN工程入力!$M$6:$M$35,"&gt;0")+SUMIFS(⑫ミキサー工程入力!$I$6:$I$65,⑫ミキサー工程入力!$S$6:$S$65,$J114,⑫ミキサー工程入力!$I$6:$I$65,"&gt;0",⑫ミキサー工程入力!$M$6:$M$65,"&gt;0")+SUMIFS(⑬計量工程入力!$I$6:$I$65,⑬計量工程入力!$S$6:$S$65,$J114,⑬計量工程入力!$I$6:$I$65,"&gt;0",⑬計量工程入力!$M$6:$M$65,"&gt;0")+SUMIFS(⑭手動工程入力!$I$6:$I$47,⑭手動工程入力!$S$6:$S$47,$J114,⑭手動工程入力!$I$6:$I$47,"&gt;0",⑭手動工程入力!$M$6:$M$47,"&gt;0"))</f>
        <v/>
      </c>
      <c r="N114" s="393">
        <f>IF($J114="",0,SUMIFS(②釜工程入力!$M$5:$M$117,②釜工程入力!$S$5:$S$117,$J114,②釜工程入力!$J$5:$J$117,"&gt;0")-SUMIFS(②釜工程入力!$M$5:$M$117,②釜工程入力!$S$5:$S$117,$J114,②釜工程入力!$J$5:$J$117,"&gt;0",②釜工程入力!$I$5:$I$117,"&gt;0")+SUMIFS(③スチコン工程入力!$M$5:$M$152,③スチコン工程入力!$S$5:$S$152,$J114,③スチコン工程入力!$J$5:$J$152,"&gt;0")-SUMIFS(③スチコン工程入力!$M$5:$M$152,③スチコン工程入力!$S$5:$S$152,$J114,③スチコン工程入力!$J$5:$J$152,"&gt;0",③スチコン工程入力!$I$5:$I$152,"&gt;0")+SUMIFS(⑪ZEN工程入力!$M$6:$M$35,⑪ZEN工程入力!$S$6:$S$35,$J114,⑪ZEN工程入力!$J$6:$J$35,"&gt;0")-SUMIFS(⑪ZEN工程入力!$M$6:$M$35,⑪ZEN工程入力!$S$6:$S$35,$J114,⑪ZEN工程入力!$J$6:$J$35,"&gt;0",⑪ZEN工程入力!$I$6:$I$35,"&gt;0")+SUMIFS(⑫ミキサー工程入力!$M$6:$M$65,⑫ミキサー工程入力!$S$6:$S$65,$J114,⑫ミキサー工程入力!$J$6:$J$65,"&gt;0")-SUMIFS(⑫ミキサー工程入力!$M$6:$M$65,⑫ミキサー工程入力!$S$6:$S$65,$J114,⑫ミキサー工程入力!$J$6:$J$65,"&gt;0",⑫ミキサー工程入力!$I$6:$I$65,"&gt;0")+SUMIFS(⑬計量工程入力!$M$6:$M$65,⑬計量工程入力!$S$6:$S$65,$J114,⑬計量工程入力!$J$6:$J$65,"&gt;0")-SUMIFS(⑬計量工程入力!$M$6:$M$65,⑬計量工程入力!$S$6:$S$65,$J114,⑬計量工程入力!$J$6:$J$65,"&gt;0",⑬計量工程入力!$I$6:$I$65,"&gt;0")+SUMIFS(⑭手動工程入力!$M$6:$M$47,⑭手動工程入力!$S$6:$S$47,$J114,⑭手動工程入力!$J$6:$J$47,"&gt;0")-SUMIFS(⑭手動工程入力!$M$6:$M$47,⑭手動工程入力!$S$6:$S$47,$J114,⑭手動工程入力!$J$6:$J$47,"&gt;0",⑭手動工程入力!$I$6:$I$47,"&gt;0"))</f>
        <v/>
      </c>
      <c r="O114" s="393">
        <f>IF($J114="",0,SUMIFS(②釜工程入力!$J$5:$J$117,②釜工程入力!$S$5:$S$117,$J114,②釜工程入力!$J$5:$J$117,"&gt;0",②釜工程入力!$M$5:$M$117,"&gt;0")-SUMIFS(②釜工程入力!$J$5:$J$117,②釜工程入力!$S$5:$S$117,$J114,②釜工程入力!$J$5:$J$117,"&gt;0",②釜工程入力!$I$5:$I$117,"&gt;0",②釜工程入力!$M$5:$M$117,"&gt;0")+SUMIFS(③スチコン工程入力!$J$5:$J$152,③スチコン工程入力!$S$5:$S$152,$J114,③スチコン工程入力!$J$5:$J$152,"&gt;0",③スチコン工程入力!$M$5:$M$152,"&gt;0")-SUMIFS(③スチコン工程入力!$J$5:$J$152,③スチコン工程入力!$S$5:$S$152,$J114,③スチコン工程入力!$J$5:$J$152,"&gt;0",③スチコン工程入力!$I$5:$I$152,"&gt;0",③スチコン工程入力!$M$5:$M$152,"&gt;0")+SUMIFS(⑪ZEN工程入力!$J$6:$J$35,⑪ZEN工程入力!$S$6:$S$35,$J114,⑪ZEN工程入力!$J$6:$J$35,"&gt;0",⑪ZEN工程入力!$M$6:$M$35,"&gt;0")-SUMIFS(⑪ZEN工程入力!$J$6:$J$35,⑪ZEN工程入力!$S$6:$S$35,$J114,⑪ZEN工程入力!$J$6:$J$35,"&gt;0",⑪ZEN工程入力!$I$6:$I$35,"&gt;0",⑪ZEN工程入力!$M$6:$M$35,"&gt;0")+SUMIFS(⑫ミキサー工程入力!$J$6:$J$65,⑫ミキサー工程入力!$S$6:$S$65,$J114,⑫ミキサー工程入力!$J$6:$J$65,"&gt;0",⑫ミキサー工程入力!$M$6:$M$65,"&gt;0")-SUMIFS(⑫ミキサー工程入力!$J$6:$J$65,⑫ミキサー工程入力!$S$6:$S$65,$J114,⑫ミキサー工程入力!$J$6:$J$65,"&gt;0",⑫ミキサー工程入力!$I$6:$I$65,"&gt;0",⑫ミキサー工程入力!$M$6:$M$65,"&gt;0")+SUMIFS(⑬計量工程入力!$J$6:$J$65,⑬計量工程入力!$S$6:$S$65,$J114,⑬計量工程入力!$J$6:$J$65,"&gt;0",⑬計量工程入力!$M$6:$M$65,"&gt;0")-SUMIFS(⑬計量工程入力!$J$6:$J$65,⑬計量工程入力!$S$6:$S$65,$J114,⑬計量工程入力!$J$6:$J$65,"&gt;0",⑬計量工程入力!$I$6:$I$65,"&gt;0",⑬計量工程入力!$M$6:$M$65,"&gt;0")+SUMIFS(⑭手動工程入力!$J$6:$J$47,⑭手動工程入力!$S$6:$S$47,$J114,⑭手動工程入力!$J$6:$J$47,"&gt;0",⑭手動工程入力!$M$6:$M$47,"&gt;0")-SUMIFS(⑭手動工程入力!$J$6:$J$47,⑭手動工程入力!$S$6:$S$47,$J114,⑭手動工程入力!$J$6:$J$47,"&gt;0",⑭手動工程入力!$I$6:$I$47,"&gt;0",⑭手動工程入力!$M$6:$M$47,"&gt;0"))</f>
        <v/>
      </c>
      <c r="P114" s="392" t="n"/>
    </row>
    <row r="115">
      <c r="A115" s="392" t="n">
        <v>111</v>
      </c>
      <c r="B115" s="392" t="n"/>
      <c r="C115" s="392" t="n"/>
      <c r="D115" s="392" t="n"/>
      <c r="E115" s="392" t="n"/>
      <c r="F115" s="394" t="n"/>
      <c r="G115" s="392" t="n"/>
      <c r="H115" s="604">
        <f>IFERROR(IF(AND($K115&gt;0,ISNUMBER(IF(OR($D115="g",$D115="ｇ"),IF($M115&gt;0,$L115/$M115/1000,""),IF($D115="kg",IF($M115&gt;0,$L115/$M115,""),IF($D115="",IF($M115&gt;0,$L115/$M115/1000,IF($O115&gt;0,$N115/$O115,"")),IF($O115&gt;0,$N115/$O115,"")))))),IF(OR($D115="g",$D115="ｇ"),IF($M115&gt;0,$L115/$M115/1000,""),IF($D115="kg",IF($M115&gt;0,$L115/$M115,""),IF($D115="",IF($M115&gt;0,$L115/$M115/1000,IF($O115&gt;0,$N115/$O115,"")),IF($O115&gt;0,$N115/$O115,"")))),IF($F115="",IF(OR($E115="",$E115="⑩盛付梱包工程入力"),"",IF(OR($D115="g",$D115="ｇ"),INDEX(⑰工程労務費一覧!$N$5:$N$11,MATCH($E115,⑰工程労務費一覧!$K$5:$K$11,0))/1000,IF($D115="kg",INDEX(⑰工程労務費一覧!$N$5:$N$11,MATCH($E115,⑰工程労務費一覧!$K$5:$K$11,0)),IF(OR($D115="個",$D115="切",$D115="本",$D115="枚",$D115="尾"),IF($E115="⑬計量工程入力","",INDEX(⑰工程労務費一覧!$P$5:$P$11,MATCH($E115,⑰工程労務費一覧!$K$5:$K$11,0))),IF(AND($D115="",OR($E115="②釜工程入力",$E115="③スチコン工程入力")),INDEX(⑰工程労務費一覧!$N$5:$N$11,MATCH($E115,⑰工程労務費一覧!$K$5:$K$11,0))/1000,""))))),IF(OR($D115="g",$D115="ｇ"),INDEX(⑰工程労務費一覧!$H$5:$H$753,MATCH($F115,⑰工程労務費一覧!$D$5:$D$753,0))/1000,IF($D115="kg",INDEX(⑰工程労務費一覧!$H$5:$H$753,MATCH($F115,⑰工程労務費一覧!$D$5:$D$753,0)),INDEX(⑰工程労務費一覧!$I$5:$I$753,MATCH($F115,⑰工程労務費一覧!$D$5:$D$753,0)))))),"")</f>
        <v/>
      </c>
      <c r="I115" s="392">
        <f>IF($K115&gt;0,IF(ISNUMBER(IF(OR($D115="g",$D115="ｇ"),IF($M115&gt;0,$L115/$M115/1000,""),IF($D115="kg",IF($M115&gt;0,$L115/$M115,""),IF($D115="",IF($M115&gt;0,$L115/$M115/1000,IF($O115&gt;0,$N115/$O115,"")),IF($O115&gt;0,$N115/$O115,""))))),IF($D115="",IF($M115&gt;0,"◎ JAN紐づけ(g扱い)","◎ JAN紐づけ(個扱い)"),"◎ JAN紐づけ"),"△ JAN紐づけ済・実績不足→仮計算"),IF($F115="",IF(ISNUMBER($H115),IF($D115="","⑤ 工程平均で仮計算(g扱い)","⑤ 工程平均で仮計算"),IF($E115="⑩盛付梱包工程入力","⑥ 盛り込み(⑳F列で計上)",IF(AND($E115="⑬計量工程入力",OR($D115="個",$D115="切",$D115="本",$D115="枚",$D115="尾")),"① 未紐づけ(カット個単位は仮単価なし)","① 未紐づけ"))),IF(NOT(ISNUMBER($H115)),"② 工程側に単価なし",IF($D115="","③ 単位未設定(個で計算)","④ OK"))))</f>
        <v/>
      </c>
      <c r="J115" s="399">
        <f>IFERROR(LOOKUP(2,1/((中間品リスト!$F$2:$F$1299=$B115)*(中間品リスト!$E$2:$E$1299&lt;&gt;"-")*(中間品リスト!$E$2:$E$1299&lt;&gt;"")),中間品リスト!$E$2:$E$1299),"")</f>
        <v/>
      </c>
      <c r="K115" s="400">
        <f>IF($J115="",0,COUNTIF(②釜工程入力!$S$5:$S$117,$J115)+COUNTIF(③スチコン工程入力!$S$5:$S$152,$J115)+COUNTIF(⑪ZEN工程入力!$S$6:$S$35,$J115)+COUNTIF(⑫ミキサー工程入力!$S$6:$S$65,$J115)+COUNTIF(⑬計量工程入力!$S$6:$S$65,$J115)+COUNTIF(⑭手動工程入力!$S$6:$S$47,$J115))</f>
        <v/>
      </c>
      <c r="L115" s="393">
        <f>IF($J115="",0,SUMIFS(②釜工程入力!$M$5:$M$117,②釜工程入力!$S$5:$S$117,$J115,②釜工程入力!$I$5:$I$117,"&gt;0")+SUMIFS(③スチコン工程入力!$M$5:$M$152,③スチコン工程入力!$S$5:$S$152,$J115,③スチコン工程入力!$I$5:$I$152,"&gt;0")+SUMIFS(⑪ZEN工程入力!$M$6:$M$35,⑪ZEN工程入力!$S$6:$S$35,$J115,⑪ZEN工程入力!$I$6:$I$35,"&gt;0")+SUMIFS(⑫ミキサー工程入力!$M$6:$M$65,⑫ミキサー工程入力!$S$6:$S$65,$J115,⑫ミキサー工程入力!$I$6:$I$65,"&gt;0")+SUMIFS(⑬計量工程入力!$M$6:$M$65,⑬計量工程入力!$S$6:$S$65,$J115,⑬計量工程入力!$I$6:$I$65,"&gt;0")+SUMIFS(⑭手動工程入力!$M$6:$M$47,⑭手動工程入力!$S$6:$S$47,$J115,⑭手動工程入力!$I$6:$I$47,"&gt;0"))</f>
        <v/>
      </c>
      <c r="M115" s="393">
        <f>IF($J115="",0,SUMIFS(②釜工程入力!$I$5:$I$117,②釜工程入力!$S$5:$S$117,$J115,②釜工程入力!$I$5:$I$117,"&gt;0",②釜工程入力!$M$5:$M$117,"&gt;0")+SUMIFS(③スチコン工程入力!$I$5:$I$152,③スチコン工程入力!$S$5:$S$152,$J115,③スチコン工程入力!$I$5:$I$152,"&gt;0",③スチコン工程入力!$M$5:$M$152,"&gt;0")+SUMIFS(⑪ZEN工程入力!$I$6:$I$35,⑪ZEN工程入力!$S$6:$S$35,$J115,⑪ZEN工程入力!$I$6:$I$35,"&gt;0",⑪ZEN工程入力!$M$6:$M$35,"&gt;0")+SUMIFS(⑫ミキサー工程入力!$I$6:$I$65,⑫ミキサー工程入力!$S$6:$S$65,$J115,⑫ミキサー工程入力!$I$6:$I$65,"&gt;0",⑫ミキサー工程入力!$M$6:$M$65,"&gt;0")+SUMIFS(⑬計量工程入力!$I$6:$I$65,⑬計量工程入力!$S$6:$S$65,$J115,⑬計量工程入力!$I$6:$I$65,"&gt;0",⑬計量工程入力!$M$6:$M$65,"&gt;0")+SUMIFS(⑭手動工程入力!$I$6:$I$47,⑭手動工程入力!$S$6:$S$47,$J115,⑭手動工程入力!$I$6:$I$47,"&gt;0",⑭手動工程入力!$M$6:$M$47,"&gt;0"))</f>
        <v/>
      </c>
      <c r="N115" s="393">
        <f>IF($J115="",0,SUMIFS(②釜工程入力!$M$5:$M$117,②釜工程入力!$S$5:$S$117,$J115,②釜工程入力!$J$5:$J$117,"&gt;0")-SUMIFS(②釜工程入力!$M$5:$M$117,②釜工程入力!$S$5:$S$117,$J115,②釜工程入力!$J$5:$J$117,"&gt;0",②釜工程入力!$I$5:$I$117,"&gt;0")+SUMIFS(③スチコン工程入力!$M$5:$M$152,③スチコン工程入力!$S$5:$S$152,$J115,③スチコン工程入力!$J$5:$J$152,"&gt;0")-SUMIFS(③スチコン工程入力!$M$5:$M$152,③スチコン工程入力!$S$5:$S$152,$J115,③スチコン工程入力!$J$5:$J$152,"&gt;0",③スチコン工程入力!$I$5:$I$152,"&gt;0")+SUMIFS(⑪ZEN工程入力!$M$6:$M$35,⑪ZEN工程入力!$S$6:$S$35,$J115,⑪ZEN工程入力!$J$6:$J$35,"&gt;0")-SUMIFS(⑪ZEN工程入力!$M$6:$M$35,⑪ZEN工程入力!$S$6:$S$35,$J115,⑪ZEN工程入力!$J$6:$J$35,"&gt;0",⑪ZEN工程入力!$I$6:$I$35,"&gt;0")+SUMIFS(⑫ミキサー工程入力!$M$6:$M$65,⑫ミキサー工程入力!$S$6:$S$65,$J115,⑫ミキサー工程入力!$J$6:$J$65,"&gt;0")-SUMIFS(⑫ミキサー工程入力!$M$6:$M$65,⑫ミキサー工程入力!$S$6:$S$65,$J115,⑫ミキサー工程入力!$J$6:$J$65,"&gt;0",⑫ミキサー工程入力!$I$6:$I$65,"&gt;0")+SUMIFS(⑬計量工程入力!$M$6:$M$65,⑬計量工程入力!$S$6:$S$65,$J115,⑬計量工程入力!$J$6:$J$65,"&gt;0")-SUMIFS(⑬計量工程入力!$M$6:$M$65,⑬計量工程入力!$S$6:$S$65,$J115,⑬計量工程入力!$J$6:$J$65,"&gt;0",⑬計量工程入力!$I$6:$I$65,"&gt;0")+SUMIFS(⑭手動工程入力!$M$6:$M$47,⑭手動工程入力!$S$6:$S$47,$J115,⑭手動工程入力!$J$6:$J$47,"&gt;0")-SUMIFS(⑭手動工程入力!$M$6:$M$47,⑭手動工程入力!$S$6:$S$47,$J115,⑭手動工程入力!$J$6:$J$47,"&gt;0",⑭手動工程入力!$I$6:$I$47,"&gt;0"))</f>
        <v/>
      </c>
      <c r="O115" s="393">
        <f>IF($J115="",0,SUMIFS(②釜工程入力!$J$5:$J$117,②釜工程入力!$S$5:$S$117,$J115,②釜工程入力!$J$5:$J$117,"&gt;0",②釜工程入力!$M$5:$M$117,"&gt;0")-SUMIFS(②釜工程入力!$J$5:$J$117,②釜工程入力!$S$5:$S$117,$J115,②釜工程入力!$J$5:$J$117,"&gt;0",②釜工程入力!$I$5:$I$117,"&gt;0",②釜工程入力!$M$5:$M$117,"&gt;0")+SUMIFS(③スチコン工程入力!$J$5:$J$152,③スチコン工程入力!$S$5:$S$152,$J115,③スチコン工程入力!$J$5:$J$152,"&gt;0",③スチコン工程入力!$M$5:$M$152,"&gt;0")-SUMIFS(③スチコン工程入力!$J$5:$J$152,③スチコン工程入力!$S$5:$S$152,$J115,③スチコン工程入力!$J$5:$J$152,"&gt;0",③スチコン工程入力!$I$5:$I$152,"&gt;0",③スチコン工程入力!$M$5:$M$152,"&gt;0")+SUMIFS(⑪ZEN工程入力!$J$6:$J$35,⑪ZEN工程入力!$S$6:$S$35,$J115,⑪ZEN工程入力!$J$6:$J$35,"&gt;0",⑪ZEN工程入力!$M$6:$M$35,"&gt;0")-SUMIFS(⑪ZEN工程入力!$J$6:$J$35,⑪ZEN工程入力!$S$6:$S$35,$J115,⑪ZEN工程入力!$J$6:$J$35,"&gt;0",⑪ZEN工程入力!$I$6:$I$35,"&gt;0",⑪ZEN工程入力!$M$6:$M$35,"&gt;0")+SUMIFS(⑫ミキサー工程入力!$J$6:$J$65,⑫ミキサー工程入力!$S$6:$S$65,$J115,⑫ミキサー工程入力!$J$6:$J$65,"&gt;0",⑫ミキサー工程入力!$M$6:$M$65,"&gt;0")-SUMIFS(⑫ミキサー工程入力!$J$6:$J$65,⑫ミキサー工程入力!$S$6:$S$65,$J115,⑫ミキサー工程入力!$J$6:$J$65,"&gt;0",⑫ミキサー工程入力!$I$6:$I$65,"&gt;0",⑫ミキサー工程入力!$M$6:$M$65,"&gt;0")+SUMIFS(⑬計量工程入力!$J$6:$J$65,⑬計量工程入力!$S$6:$S$65,$J115,⑬計量工程入力!$J$6:$J$65,"&gt;0",⑬計量工程入力!$M$6:$M$65,"&gt;0")-SUMIFS(⑬計量工程入力!$J$6:$J$65,⑬計量工程入力!$S$6:$S$65,$J115,⑬計量工程入力!$J$6:$J$65,"&gt;0",⑬計量工程入力!$I$6:$I$65,"&gt;0",⑬計量工程入力!$M$6:$M$65,"&gt;0")+SUMIFS(⑭手動工程入力!$J$6:$J$47,⑭手動工程入力!$S$6:$S$47,$J115,⑭手動工程入力!$J$6:$J$47,"&gt;0",⑭手動工程入力!$M$6:$M$47,"&gt;0")-SUMIFS(⑭手動工程入力!$J$6:$J$47,⑭手動工程入力!$S$6:$S$47,$J115,⑭手動工程入力!$J$6:$J$47,"&gt;0",⑭手動工程入力!$I$6:$I$47,"&gt;0",⑭手動工程入力!$M$6:$M$47,"&gt;0"))</f>
        <v/>
      </c>
      <c r="P115" s="392" t="n"/>
    </row>
    <row r="116">
      <c r="A116" s="392" t="n">
        <v>112</v>
      </c>
      <c r="B116" s="392" t="n"/>
      <c r="C116" s="392" t="n"/>
      <c r="D116" s="392" t="n"/>
      <c r="E116" s="392" t="n"/>
      <c r="F116" s="394" t="n"/>
      <c r="G116" s="392" t="n"/>
      <c r="H116" s="604">
        <f>IFERROR(IF(AND($K116&gt;0,ISNUMBER(IF(OR($D116="g",$D116="ｇ"),IF($M116&gt;0,$L116/$M116/1000,""),IF($D116="kg",IF($M116&gt;0,$L116/$M116,""),IF($D116="",IF($M116&gt;0,$L116/$M116/1000,IF($O116&gt;0,$N116/$O116,"")),IF($O116&gt;0,$N116/$O116,"")))))),IF(OR($D116="g",$D116="ｇ"),IF($M116&gt;0,$L116/$M116/1000,""),IF($D116="kg",IF($M116&gt;0,$L116/$M116,""),IF($D116="",IF($M116&gt;0,$L116/$M116/1000,IF($O116&gt;0,$N116/$O116,"")),IF($O116&gt;0,$N116/$O116,"")))),IF($F116="",IF(OR($E116="",$E116="⑩盛付梱包工程入力"),"",IF(OR($D116="g",$D116="ｇ"),INDEX(⑰工程労務費一覧!$N$5:$N$11,MATCH($E116,⑰工程労務費一覧!$K$5:$K$11,0))/1000,IF($D116="kg",INDEX(⑰工程労務費一覧!$N$5:$N$11,MATCH($E116,⑰工程労務費一覧!$K$5:$K$11,0)),IF(OR($D116="個",$D116="切",$D116="本",$D116="枚",$D116="尾"),IF($E116="⑬計量工程入力","",INDEX(⑰工程労務費一覧!$P$5:$P$11,MATCH($E116,⑰工程労務費一覧!$K$5:$K$11,0))),IF(AND($D116="",OR($E116="②釜工程入力",$E116="③スチコン工程入力")),INDEX(⑰工程労務費一覧!$N$5:$N$11,MATCH($E116,⑰工程労務費一覧!$K$5:$K$11,0))/1000,""))))),IF(OR($D116="g",$D116="ｇ"),INDEX(⑰工程労務費一覧!$H$5:$H$753,MATCH($F116,⑰工程労務費一覧!$D$5:$D$753,0))/1000,IF($D116="kg",INDEX(⑰工程労務費一覧!$H$5:$H$753,MATCH($F116,⑰工程労務費一覧!$D$5:$D$753,0)),INDEX(⑰工程労務費一覧!$I$5:$I$753,MATCH($F116,⑰工程労務費一覧!$D$5:$D$753,0)))))),"")</f>
        <v/>
      </c>
      <c r="I116" s="392">
        <f>IF($K116&gt;0,IF(ISNUMBER(IF(OR($D116="g",$D116="ｇ"),IF($M116&gt;0,$L116/$M116/1000,""),IF($D116="kg",IF($M116&gt;0,$L116/$M116,""),IF($D116="",IF($M116&gt;0,$L116/$M116/1000,IF($O116&gt;0,$N116/$O116,"")),IF($O116&gt;0,$N116/$O116,""))))),IF($D116="",IF($M116&gt;0,"◎ JAN紐づけ(g扱い)","◎ JAN紐づけ(個扱い)"),"◎ JAN紐づけ"),"△ JAN紐づけ済・実績不足→仮計算"),IF($F116="",IF(ISNUMBER($H116),IF($D116="","⑤ 工程平均で仮計算(g扱い)","⑤ 工程平均で仮計算"),IF($E116="⑩盛付梱包工程入力","⑥ 盛り込み(⑳F列で計上)",IF(AND($E116="⑬計量工程入力",OR($D116="個",$D116="切",$D116="本",$D116="枚",$D116="尾")),"① 未紐づけ(カット個単位は仮単価なし)","① 未紐づけ"))),IF(NOT(ISNUMBER($H116)),"② 工程側に単価なし",IF($D116="","③ 単位未設定(個で計算)","④ OK"))))</f>
        <v/>
      </c>
      <c r="J116" s="399">
        <f>IFERROR(LOOKUP(2,1/((中間品リスト!$F$2:$F$1299=$B116)*(中間品リスト!$E$2:$E$1299&lt;&gt;"-")*(中間品リスト!$E$2:$E$1299&lt;&gt;"")),中間品リスト!$E$2:$E$1299),"")</f>
        <v/>
      </c>
      <c r="K116" s="400">
        <f>IF($J116="",0,COUNTIF(②釜工程入力!$S$5:$S$117,$J116)+COUNTIF(③スチコン工程入力!$S$5:$S$152,$J116)+COUNTIF(⑪ZEN工程入力!$S$6:$S$35,$J116)+COUNTIF(⑫ミキサー工程入力!$S$6:$S$65,$J116)+COUNTIF(⑬計量工程入力!$S$6:$S$65,$J116)+COUNTIF(⑭手動工程入力!$S$6:$S$47,$J116))</f>
        <v/>
      </c>
      <c r="L116" s="393">
        <f>IF($J116="",0,SUMIFS(②釜工程入力!$M$5:$M$117,②釜工程入力!$S$5:$S$117,$J116,②釜工程入力!$I$5:$I$117,"&gt;0")+SUMIFS(③スチコン工程入力!$M$5:$M$152,③スチコン工程入力!$S$5:$S$152,$J116,③スチコン工程入力!$I$5:$I$152,"&gt;0")+SUMIFS(⑪ZEN工程入力!$M$6:$M$35,⑪ZEN工程入力!$S$6:$S$35,$J116,⑪ZEN工程入力!$I$6:$I$35,"&gt;0")+SUMIFS(⑫ミキサー工程入力!$M$6:$M$65,⑫ミキサー工程入力!$S$6:$S$65,$J116,⑫ミキサー工程入力!$I$6:$I$65,"&gt;0")+SUMIFS(⑬計量工程入力!$M$6:$M$65,⑬計量工程入力!$S$6:$S$65,$J116,⑬計量工程入力!$I$6:$I$65,"&gt;0")+SUMIFS(⑭手動工程入力!$M$6:$M$47,⑭手動工程入力!$S$6:$S$47,$J116,⑭手動工程入力!$I$6:$I$47,"&gt;0"))</f>
        <v/>
      </c>
      <c r="M116" s="393">
        <f>IF($J116="",0,SUMIFS(②釜工程入力!$I$5:$I$117,②釜工程入力!$S$5:$S$117,$J116,②釜工程入力!$I$5:$I$117,"&gt;0",②釜工程入力!$M$5:$M$117,"&gt;0")+SUMIFS(③スチコン工程入力!$I$5:$I$152,③スチコン工程入力!$S$5:$S$152,$J116,③スチコン工程入力!$I$5:$I$152,"&gt;0",③スチコン工程入力!$M$5:$M$152,"&gt;0")+SUMIFS(⑪ZEN工程入力!$I$6:$I$35,⑪ZEN工程入力!$S$6:$S$35,$J116,⑪ZEN工程入力!$I$6:$I$35,"&gt;0",⑪ZEN工程入力!$M$6:$M$35,"&gt;0")+SUMIFS(⑫ミキサー工程入力!$I$6:$I$65,⑫ミキサー工程入力!$S$6:$S$65,$J116,⑫ミキサー工程入力!$I$6:$I$65,"&gt;0",⑫ミキサー工程入力!$M$6:$M$65,"&gt;0")+SUMIFS(⑬計量工程入力!$I$6:$I$65,⑬計量工程入力!$S$6:$S$65,$J116,⑬計量工程入力!$I$6:$I$65,"&gt;0",⑬計量工程入力!$M$6:$M$65,"&gt;0")+SUMIFS(⑭手動工程入力!$I$6:$I$47,⑭手動工程入力!$S$6:$S$47,$J116,⑭手動工程入力!$I$6:$I$47,"&gt;0",⑭手動工程入力!$M$6:$M$47,"&gt;0"))</f>
        <v/>
      </c>
      <c r="N116" s="393">
        <f>IF($J116="",0,SUMIFS(②釜工程入力!$M$5:$M$117,②釜工程入力!$S$5:$S$117,$J116,②釜工程入力!$J$5:$J$117,"&gt;0")-SUMIFS(②釜工程入力!$M$5:$M$117,②釜工程入力!$S$5:$S$117,$J116,②釜工程入力!$J$5:$J$117,"&gt;0",②釜工程入力!$I$5:$I$117,"&gt;0")+SUMIFS(③スチコン工程入力!$M$5:$M$152,③スチコン工程入力!$S$5:$S$152,$J116,③スチコン工程入力!$J$5:$J$152,"&gt;0")-SUMIFS(③スチコン工程入力!$M$5:$M$152,③スチコン工程入力!$S$5:$S$152,$J116,③スチコン工程入力!$J$5:$J$152,"&gt;0",③スチコン工程入力!$I$5:$I$152,"&gt;0")+SUMIFS(⑪ZEN工程入力!$M$6:$M$35,⑪ZEN工程入力!$S$6:$S$35,$J116,⑪ZEN工程入力!$J$6:$J$35,"&gt;0")-SUMIFS(⑪ZEN工程入力!$M$6:$M$35,⑪ZEN工程入力!$S$6:$S$35,$J116,⑪ZEN工程入力!$J$6:$J$35,"&gt;0",⑪ZEN工程入力!$I$6:$I$35,"&gt;0")+SUMIFS(⑫ミキサー工程入力!$M$6:$M$65,⑫ミキサー工程入力!$S$6:$S$65,$J116,⑫ミキサー工程入力!$J$6:$J$65,"&gt;0")-SUMIFS(⑫ミキサー工程入力!$M$6:$M$65,⑫ミキサー工程入力!$S$6:$S$65,$J116,⑫ミキサー工程入力!$J$6:$J$65,"&gt;0",⑫ミキサー工程入力!$I$6:$I$65,"&gt;0")+SUMIFS(⑬計量工程入力!$M$6:$M$65,⑬計量工程入力!$S$6:$S$65,$J116,⑬計量工程入力!$J$6:$J$65,"&gt;0")-SUMIFS(⑬計量工程入力!$M$6:$M$65,⑬計量工程入力!$S$6:$S$65,$J116,⑬計量工程入力!$J$6:$J$65,"&gt;0",⑬計量工程入力!$I$6:$I$65,"&gt;0")+SUMIFS(⑭手動工程入力!$M$6:$M$47,⑭手動工程入力!$S$6:$S$47,$J116,⑭手動工程入力!$J$6:$J$47,"&gt;0")-SUMIFS(⑭手動工程入力!$M$6:$M$47,⑭手動工程入力!$S$6:$S$47,$J116,⑭手動工程入力!$J$6:$J$47,"&gt;0",⑭手動工程入力!$I$6:$I$47,"&gt;0"))</f>
        <v/>
      </c>
      <c r="O116" s="393">
        <f>IF($J116="",0,SUMIFS(②釜工程入力!$J$5:$J$117,②釜工程入力!$S$5:$S$117,$J116,②釜工程入力!$J$5:$J$117,"&gt;0",②釜工程入力!$M$5:$M$117,"&gt;0")-SUMIFS(②釜工程入力!$J$5:$J$117,②釜工程入力!$S$5:$S$117,$J116,②釜工程入力!$J$5:$J$117,"&gt;0",②釜工程入力!$I$5:$I$117,"&gt;0",②釜工程入力!$M$5:$M$117,"&gt;0")+SUMIFS(③スチコン工程入力!$J$5:$J$152,③スチコン工程入力!$S$5:$S$152,$J116,③スチコン工程入力!$J$5:$J$152,"&gt;0",③スチコン工程入力!$M$5:$M$152,"&gt;0")-SUMIFS(③スチコン工程入力!$J$5:$J$152,③スチコン工程入力!$S$5:$S$152,$J116,③スチコン工程入力!$J$5:$J$152,"&gt;0",③スチコン工程入力!$I$5:$I$152,"&gt;0",③スチコン工程入力!$M$5:$M$152,"&gt;0")+SUMIFS(⑪ZEN工程入力!$J$6:$J$35,⑪ZEN工程入力!$S$6:$S$35,$J116,⑪ZEN工程入力!$J$6:$J$35,"&gt;0",⑪ZEN工程入力!$M$6:$M$35,"&gt;0")-SUMIFS(⑪ZEN工程入力!$J$6:$J$35,⑪ZEN工程入力!$S$6:$S$35,$J116,⑪ZEN工程入力!$J$6:$J$35,"&gt;0",⑪ZEN工程入力!$I$6:$I$35,"&gt;0",⑪ZEN工程入力!$M$6:$M$35,"&gt;0")+SUMIFS(⑫ミキサー工程入力!$J$6:$J$65,⑫ミキサー工程入力!$S$6:$S$65,$J116,⑫ミキサー工程入力!$J$6:$J$65,"&gt;0",⑫ミキサー工程入力!$M$6:$M$65,"&gt;0")-SUMIFS(⑫ミキサー工程入力!$J$6:$J$65,⑫ミキサー工程入力!$S$6:$S$65,$J116,⑫ミキサー工程入力!$J$6:$J$65,"&gt;0",⑫ミキサー工程入力!$I$6:$I$65,"&gt;0",⑫ミキサー工程入力!$M$6:$M$65,"&gt;0")+SUMIFS(⑬計量工程入力!$J$6:$J$65,⑬計量工程入力!$S$6:$S$65,$J116,⑬計量工程入力!$J$6:$J$65,"&gt;0",⑬計量工程入力!$M$6:$M$65,"&gt;0")-SUMIFS(⑬計量工程入力!$J$6:$J$65,⑬計量工程入力!$S$6:$S$65,$J116,⑬計量工程入力!$J$6:$J$65,"&gt;0",⑬計量工程入力!$I$6:$I$65,"&gt;0",⑬計量工程入力!$M$6:$M$65,"&gt;0")+SUMIFS(⑭手動工程入力!$J$6:$J$47,⑭手動工程入力!$S$6:$S$47,$J116,⑭手動工程入力!$J$6:$J$47,"&gt;0",⑭手動工程入力!$M$6:$M$47,"&gt;0")-SUMIFS(⑭手動工程入力!$J$6:$J$47,⑭手動工程入力!$S$6:$S$47,$J116,⑭手動工程入力!$J$6:$J$47,"&gt;0",⑭手動工程入力!$I$6:$I$47,"&gt;0",⑭手動工程入力!$M$6:$M$47,"&gt;0"))</f>
        <v/>
      </c>
      <c r="P116" s="392" t="n"/>
    </row>
    <row r="117">
      <c r="A117" s="392" t="n">
        <v>113</v>
      </c>
      <c r="B117" s="392" t="n"/>
      <c r="C117" s="392" t="n"/>
      <c r="D117" s="392" t="n"/>
      <c r="E117" s="392" t="n"/>
      <c r="F117" s="394" t="n"/>
      <c r="G117" s="392" t="n"/>
      <c r="H117" s="604">
        <f>IFERROR(IF(AND($K117&gt;0,ISNUMBER(IF(OR($D117="g",$D117="ｇ"),IF($M117&gt;0,$L117/$M117/1000,""),IF($D117="kg",IF($M117&gt;0,$L117/$M117,""),IF($D117="",IF($M117&gt;0,$L117/$M117/1000,IF($O117&gt;0,$N117/$O117,"")),IF($O117&gt;0,$N117/$O117,"")))))),IF(OR($D117="g",$D117="ｇ"),IF($M117&gt;0,$L117/$M117/1000,""),IF($D117="kg",IF($M117&gt;0,$L117/$M117,""),IF($D117="",IF($M117&gt;0,$L117/$M117/1000,IF($O117&gt;0,$N117/$O117,"")),IF($O117&gt;0,$N117/$O117,"")))),IF($F117="",IF(OR($E117="",$E117="⑩盛付梱包工程入力"),"",IF(OR($D117="g",$D117="ｇ"),INDEX(⑰工程労務費一覧!$N$5:$N$11,MATCH($E117,⑰工程労務費一覧!$K$5:$K$11,0))/1000,IF($D117="kg",INDEX(⑰工程労務費一覧!$N$5:$N$11,MATCH($E117,⑰工程労務費一覧!$K$5:$K$11,0)),IF(OR($D117="個",$D117="切",$D117="本",$D117="枚",$D117="尾"),IF($E117="⑬計量工程入力","",INDEX(⑰工程労務費一覧!$P$5:$P$11,MATCH($E117,⑰工程労務費一覧!$K$5:$K$11,0))),IF(AND($D117="",OR($E117="②釜工程入力",$E117="③スチコン工程入力")),INDEX(⑰工程労務費一覧!$N$5:$N$11,MATCH($E117,⑰工程労務費一覧!$K$5:$K$11,0))/1000,""))))),IF(OR($D117="g",$D117="ｇ"),INDEX(⑰工程労務費一覧!$H$5:$H$753,MATCH($F117,⑰工程労務費一覧!$D$5:$D$753,0))/1000,IF($D117="kg",INDEX(⑰工程労務費一覧!$H$5:$H$753,MATCH($F117,⑰工程労務費一覧!$D$5:$D$753,0)),INDEX(⑰工程労務費一覧!$I$5:$I$753,MATCH($F117,⑰工程労務費一覧!$D$5:$D$753,0)))))),"")</f>
        <v/>
      </c>
      <c r="I117" s="392">
        <f>IF($K117&gt;0,IF(ISNUMBER(IF(OR($D117="g",$D117="ｇ"),IF($M117&gt;0,$L117/$M117/1000,""),IF($D117="kg",IF($M117&gt;0,$L117/$M117,""),IF($D117="",IF($M117&gt;0,$L117/$M117/1000,IF($O117&gt;0,$N117/$O117,"")),IF($O117&gt;0,$N117/$O117,""))))),IF($D117="",IF($M117&gt;0,"◎ JAN紐づけ(g扱い)","◎ JAN紐づけ(個扱い)"),"◎ JAN紐づけ"),"△ JAN紐づけ済・実績不足→仮計算"),IF($F117="",IF(ISNUMBER($H117),IF($D117="","⑤ 工程平均で仮計算(g扱い)","⑤ 工程平均で仮計算"),IF($E117="⑩盛付梱包工程入力","⑥ 盛り込み(⑳F列で計上)",IF(AND($E117="⑬計量工程入力",OR($D117="個",$D117="切",$D117="本",$D117="枚",$D117="尾")),"① 未紐づけ(カット個単位は仮単価なし)","① 未紐づけ"))),IF(NOT(ISNUMBER($H117)),"② 工程側に単価なし",IF($D117="","③ 単位未設定(個で計算)","④ OK"))))</f>
        <v/>
      </c>
      <c r="J117" s="399">
        <f>IFERROR(LOOKUP(2,1/((中間品リスト!$F$2:$F$1299=$B117)*(中間品リスト!$E$2:$E$1299&lt;&gt;"-")*(中間品リスト!$E$2:$E$1299&lt;&gt;"")),中間品リスト!$E$2:$E$1299),"")</f>
        <v/>
      </c>
      <c r="K117" s="400">
        <f>IF($J117="",0,COUNTIF(②釜工程入力!$S$5:$S$117,$J117)+COUNTIF(③スチコン工程入力!$S$5:$S$152,$J117)+COUNTIF(⑪ZEN工程入力!$S$6:$S$35,$J117)+COUNTIF(⑫ミキサー工程入力!$S$6:$S$65,$J117)+COUNTIF(⑬計量工程入力!$S$6:$S$65,$J117)+COUNTIF(⑭手動工程入力!$S$6:$S$47,$J117))</f>
        <v/>
      </c>
      <c r="L117" s="393">
        <f>IF($J117="",0,SUMIFS(②釜工程入力!$M$5:$M$117,②釜工程入力!$S$5:$S$117,$J117,②釜工程入力!$I$5:$I$117,"&gt;0")+SUMIFS(③スチコン工程入力!$M$5:$M$152,③スチコン工程入力!$S$5:$S$152,$J117,③スチコン工程入力!$I$5:$I$152,"&gt;0")+SUMIFS(⑪ZEN工程入力!$M$6:$M$35,⑪ZEN工程入力!$S$6:$S$35,$J117,⑪ZEN工程入力!$I$6:$I$35,"&gt;0")+SUMIFS(⑫ミキサー工程入力!$M$6:$M$65,⑫ミキサー工程入力!$S$6:$S$65,$J117,⑫ミキサー工程入力!$I$6:$I$65,"&gt;0")+SUMIFS(⑬計量工程入力!$M$6:$M$65,⑬計量工程入力!$S$6:$S$65,$J117,⑬計量工程入力!$I$6:$I$65,"&gt;0")+SUMIFS(⑭手動工程入力!$M$6:$M$47,⑭手動工程入力!$S$6:$S$47,$J117,⑭手動工程入力!$I$6:$I$47,"&gt;0"))</f>
        <v/>
      </c>
      <c r="M117" s="393">
        <f>IF($J117="",0,SUMIFS(②釜工程入力!$I$5:$I$117,②釜工程入力!$S$5:$S$117,$J117,②釜工程入力!$I$5:$I$117,"&gt;0",②釜工程入力!$M$5:$M$117,"&gt;0")+SUMIFS(③スチコン工程入力!$I$5:$I$152,③スチコン工程入力!$S$5:$S$152,$J117,③スチコン工程入力!$I$5:$I$152,"&gt;0",③スチコン工程入力!$M$5:$M$152,"&gt;0")+SUMIFS(⑪ZEN工程入力!$I$6:$I$35,⑪ZEN工程入力!$S$6:$S$35,$J117,⑪ZEN工程入力!$I$6:$I$35,"&gt;0",⑪ZEN工程入力!$M$6:$M$35,"&gt;0")+SUMIFS(⑫ミキサー工程入力!$I$6:$I$65,⑫ミキサー工程入力!$S$6:$S$65,$J117,⑫ミキサー工程入力!$I$6:$I$65,"&gt;0",⑫ミキサー工程入力!$M$6:$M$65,"&gt;0")+SUMIFS(⑬計量工程入力!$I$6:$I$65,⑬計量工程入力!$S$6:$S$65,$J117,⑬計量工程入力!$I$6:$I$65,"&gt;0",⑬計量工程入力!$M$6:$M$65,"&gt;0")+SUMIFS(⑭手動工程入力!$I$6:$I$47,⑭手動工程入力!$S$6:$S$47,$J117,⑭手動工程入力!$I$6:$I$47,"&gt;0",⑭手動工程入力!$M$6:$M$47,"&gt;0"))</f>
        <v/>
      </c>
      <c r="N117" s="393">
        <f>IF($J117="",0,SUMIFS(②釜工程入力!$M$5:$M$117,②釜工程入力!$S$5:$S$117,$J117,②釜工程入力!$J$5:$J$117,"&gt;0")-SUMIFS(②釜工程入力!$M$5:$M$117,②釜工程入力!$S$5:$S$117,$J117,②釜工程入力!$J$5:$J$117,"&gt;0",②釜工程入力!$I$5:$I$117,"&gt;0")+SUMIFS(③スチコン工程入力!$M$5:$M$152,③スチコン工程入力!$S$5:$S$152,$J117,③スチコン工程入力!$J$5:$J$152,"&gt;0")-SUMIFS(③スチコン工程入力!$M$5:$M$152,③スチコン工程入力!$S$5:$S$152,$J117,③スチコン工程入力!$J$5:$J$152,"&gt;0",③スチコン工程入力!$I$5:$I$152,"&gt;0")+SUMIFS(⑪ZEN工程入力!$M$6:$M$35,⑪ZEN工程入力!$S$6:$S$35,$J117,⑪ZEN工程入力!$J$6:$J$35,"&gt;0")-SUMIFS(⑪ZEN工程入力!$M$6:$M$35,⑪ZEN工程入力!$S$6:$S$35,$J117,⑪ZEN工程入力!$J$6:$J$35,"&gt;0",⑪ZEN工程入力!$I$6:$I$35,"&gt;0")+SUMIFS(⑫ミキサー工程入力!$M$6:$M$65,⑫ミキサー工程入力!$S$6:$S$65,$J117,⑫ミキサー工程入力!$J$6:$J$65,"&gt;0")-SUMIFS(⑫ミキサー工程入力!$M$6:$M$65,⑫ミキサー工程入力!$S$6:$S$65,$J117,⑫ミキサー工程入力!$J$6:$J$65,"&gt;0",⑫ミキサー工程入力!$I$6:$I$65,"&gt;0")+SUMIFS(⑬計量工程入力!$M$6:$M$65,⑬計量工程入力!$S$6:$S$65,$J117,⑬計量工程入力!$J$6:$J$65,"&gt;0")-SUMIFS(⑬計量工程入力!$M$6:$M$65,⑬計量工程入力!$S$6:$S$65,$J117,⑬計量工程入力!$J$6:$J$65,"&gt;0",⑬計量工程入力!$I$6:$I$65,"&gt;0")+SUMIFS(⑭手動工程入力!$M$6:$M$47,⑭手動工程入力!$S$6:$S$47,$J117,⑭手動工程入力!$J$6:$J$47,"&gt;0")-SUMIFS(⑭手動工程入力!$M$6:$M$47,⑭手動工程入力!$S$6:$S$47,$J117,⑭手動工程入力!$J$6:$J$47,"&gt;0",⑭手動工程入力!$I$6:$I$47,"&gt;0"))</f>
        <v/>
      </c>
      <c r="O117" s="393">
        <f>IF($J117="",0,SUMIFS(②釜工程入力!$J$5:$J$117,②釜工程入力!$S$5:$S$117,$J117,②釜工程入力!$J$5:$J$117,"&gt;0",②釜工程入力!$M$5:$M$117,"&gt;0")-SUMIFS(②釜工程入力!$J$5:$J$117,②釜工程入力!$S$5:$S$117,$J117,②釜工程入力!$J$5:$J$117,"&gt;0",②釜工程入力!$I$5:$I$117,"&gt;0",②釜工程入力!$M$5:$M$117,"&gt;0")+SUMIFS(③スチコン工程入力!$J$5:$J$152,③スチコン工程入力!$S$5:$S$152,$J117,③スチコン工程入力!$J$5:$J$152,"&gt;0",③スチコン工程入力!$M$5:$M$152,"&gt;0")-SUMIFS(③スチコン工程入力!$J$5:$J$152,③スチコン工程入力!$S$5:$S$152,$J117,③スチコン工程入力!$J$5:$J$152,"&gt;0",③スチコン工程入力!$I$5:$I$152,"&gt;0",③スチコン工程入力!$M$5:$M$152,"&gt;0")+SUMIFS(⑪ZEN工程入力!$J$6:$J$35,⑪ZEN工程入力!$S$6:$S$35,$J117,⑪ZEN工程入力!$J$6:$J$35,"&gt;0",⑪ZEN工程入力!$M$6:$M$35,"&gt;0")-SUMIFS(⑪ZEN工程入力!$J$6:$J$35,⑪ZEN工程入力!$S$6:$S$35,$J117,⑪ZEN工程入力!$J$6:$J$35,"&gt;0",⑪ZEN工程入力!$I$6:$I$35,"&gt;0",⑪ZEN工程入力!$M$6:$M$35,"&gt;0")+SUMIFS(⑫ミキサー工程入力!$J$6:$J$65,⑫ミキサー工程入力!$S$6:$S$65,$J117,⑫ミキサー工程入力!$J$6:$J$65,"&gt;0",⑫ミキサー工程入力!$M$6:$M$65,"&gt;0")-SUMIFS(⑫ミキサー工程入力!$J$6:$J$65,⑫ミキサー工程入力!$S$6:$S$65,$J117,⑫ミキサー工程入力!$J$6:$J$65,"&gt;0",⑫ミキサー工程入力!$I$6:$I$65,"&gt;0",⑫ミキサー工程入力!$M$6:$M$65,"&gt;0")+SUMIFS(⑬計量工程入力!$J$6:$J$65,⑬計量工程入力!$S$6:$S$65,$J117,⑬計量工程入力!$J$6:$J$65,"&gt;0",⑬計量工程入力!$M$6:$M$65,"&gt;0")-SUMIFS(⑬計量工程入力!$J$6:$J$65,⑬計量工程入力!$S$6:$S$65,$J117,⑬計量工程入力!$J$6:$J$65,"&gt;0",⑬計量工程入力!$I$6:$I$65,"&gt;0",⑬計量工程入力!$M$6:$M$65,"&gt;0")+SUMIFS(⑭手動工程入力!$J$6:$J$47,⑭手動工程入力!$S$6:$S$47,$J117,⑭手動工程入力!$J$6:$J$47,"&gt;0",⑭手動工程入力!$M$6:$M$47,"&gt;0")-SUMIFS(⑭手動工程入力!$J$6:$J$47,⑭手動工程入力!$S$6:$S$47,$J117,⑭手動工程入力!$J$6:$J$47,"&gt;0",⑭手動工程入力!$I$6:$I$47,"&gt;0",⑭手動工程入力!$M$6:$M$47,"&gt;0"))</f>
        <v/>
      </c>
      <c r="P117" s="392" t="n"/>
    </row>
    <row r="118">
      <c r="A118" s="392" t="n">
        <v>114</v>
      </c>
      <c r="B118" s="392" t="n"/>
      <c r="C118" s="392" t="n"/>
      <c r="D118" s="392" t="n"/>
      <c r="E118" s="392" t="n"/>
      <c r="F118" s="394" t="n"/>
      <c r="G118" s="392" t="n"/>
      <c r="H118" s="604">
        <f>IFERROR(IF(AND($K118&gt;0,ISNUMBER(IF(OR($D118="g",$D118="ｇ"),IF($M118&gt;0,$L118/$M118/1000,""),IF($D118="kg",IF($M118&gt;0,$L118/$M118,""),IF($D118="",IF($M118&gt;0,$L118/$M118/1000,IF($O118&gt;0,$N118/$O118,"")),IF($O118&gt;0,$N118/$O118,"")))))),IF(OR($D118="g",$D118="ｇ"),IF($M118&gt;0,$L118/$M118/1000,""),IF($D118="kg",IF($M118&gt;0,$L118/$M118,""),IF($D118="",IF($M118&gt;0,$L118/$M118/1000,IF($O118&gt;0,$N118/$O118,"")),IF($O118&gt;0,$N118/$O118,"")))),IF($F118="",IF(OR($E118="",$E118="⑩盛付梱包工程入力"),"",IF(OR($D118="g",$D118="ｇ"),INDEX(⑰工程労務費一覧!$N$5:$N$11,MATCH($E118,⑰工程労務費一覧!$K$5:$K$11,0))/1000,IF($D118="kg",INDEX(⑰工程労務費一覧!$N$5:$N$11,MATCH($E118,⑰工程労務費一覧!$K$5:$K$11,0)),IF(OR($D118="個",$D118="切",$D118="本",$D118="枚",$D118="尾"),IF($E118="⑬計量工程入力","",INDEX(⑰工程労務費一覧!$P$5:$P$11,MATCH($E118,⑰工程労務費一覧!$K$5:$K$11,0))),IF(AND($D118="",OR($E118="②釜工程入力",$E118="③スチコン工程入力")),INDEX(⑰工程労務費一覧!$N$5:$N$11,MATCH($E118,⑰工程労務費一覧!$K$5:$K$11,0))/1000,""))))),IF(OR($D118="g",$D118="ｇ"),INDEX(⑰工程労務費一覧!$H$5:$H$753,MATCH($F118,⑰工程労務費一覧!$D$5:$D$753,0))/1000,IF($D118="kg",INDEX(⑰工程労務費一覧!$H$5:$H$753,MATCH($F118,⑰工程労務費一覧!$D$5:$D$753,0)),INDEX(⑰工程労務費一覧!$I$5:$I$753,MATCH($F118,⑰工程労務費一覧!$D$5:$D$753,0)))))),"")</f>
        <v/>
      </c>
      <c r="I118" s="392">
        <f>IF($K118&gt;0,IF(ISNUMBER(IF(OR($D118="g",$D118="ｇ"),IF($M118&gt;0,$L118/$M118/1000,""),IF($D118="kg",IF($M118&gt;0,$L118/$M118,""),IF($D118="",IF($M118&gt;0,$L118/$M118/1000,IF($O118&gt;0,$N118/$O118,"")),IF($O118&gt;0,$N118/$O118,""))))),IF($D118="",IF($M118&gt;0,"◎ JAN紐づけ(g扱い)","◎ JAN紐づけ(個扱い)"),"◎ JAN紐づけ"),"△ JAN紐づけ済・実績不足→仮計算"),IF($F118="",IF(ISNUMBER($H118),IF($D118="","⑤ 工程平均で仮計算(g扱い)","⑤ 工程平均で仮計算"),IF($E118="⑩盛付梱包工程入力","⑥ 盛り込み(⑳F列で計上)",IF(AND($E118="⑬計量工程入力",OR($D118="個",$D118="切",$D118="本",$D118="枚",$D118="尾")),"① 未紐づけ(カット個単位は仮単価なし)","① 未紐づけ"))),IF(NOT(ISNUMBER($H118)),"② 工程側に単価なし",IF($D118="","③ 単位未設定(個で計算)","④ OK"))))</f>
        <v/>
      </c>
      <c r="J118" s="399">
        <f>IFERROR(LOOKUP(2,1/((中間品リスト!$F$2:$F$1299=$B118)*(中間品リスト!$E$2:$E$1299&lt;&gt;"-")*(中間品リスト!$E$2:$E$1299&lt;&gt;"")),中間品リスト!$E$2:$E$1299),"")</f>
        <v/>
      </c>
      <c r="K118" s="400">
        <f>IF($J118="",0,COUNTIF(②釜工程入力!$S$5:$S$117,$J118)+COUNTIF(③スチコン工程入力!$S$5:$S$152,$J118)+COUNTIF(⑪ZEN工程入力!$S$6:$S$35,$J118)+COUNTIF(⑫ミキサー工程入力!$S$6:$S$65,$J118)+COUNTIF(⑬計量工程入力!$S$6:$S$65,$J118)+COUNTIF(⑭手動工程入力!$S$6:$S$47,$J118))</f>
        <v/>
      </c>
      <c r="L118" s="393">
        <f>IF($J118="",0,SUMIFS(②釜工程入力!$M$5:$M$117,②釜工程入力!$S$5:$S$117,$J118,②釜工程入力!$I$5:$I$117,"&gt;0")+SUMIFS(③スチコン工程入力!$M$5:$M$152,③スチコン工程入力!$S$5:$S$152,$J118,③スチコン工程入力!$I$5:$I$152,"&gt;0")+SUMIFS(⑪ZEN工程入力!$M$6:$M$35,⑪ZEN工程入力!$S$6:$S$35,$J118,⑪ZEN工程入力!$I$6:$I$35,"&gt;0")+SUMIFS(⑫ミキサー工程入力!$M$6:$M$65,⑫ミキサー工程入力!$S$6:$S$65,$J118,⑫ミキサー工程入力!$I$6:$I$65,"&gt;0")+SUMIFS(⑬計量工程入力!$M$6:$M$65,⑬計量工程入力!$S$6:$S$65,$J118,⑬計量工程入力!$I$6:$I$65,"&gt;0")+SUMIFS(⑭手動工程入力!$M$6:$M$47,⑭手動工程入力!$S$6:$S$47,$J118,⑭手動工程入力!$I$6:$I$47,"&gt;0"))</f>
        <v/>
      </c>
      <c r="M118" s="393">
        <f>IF($J118="",0,SUMIFS(②釜工程入力!$I$5:$I$117,②釜工程入力!$S$5:$S$117,$J118,②釜工程入力!$I$5:$I$117,"&gt;0",②釜工程入力!$M$5:$M$117,"&gt;0")+SUMIFS(③スチコン工程入力!$I$5:$I$152,③スチコン工程入力!$S$5:$S$152,$J118,③スチコン工程入力!$I$5:$I$152,"&gt;0",③スチコン工程入力!$M$5:$M$152,"&gt;0")+SUMIFS(⑪ZEN工程入力!$I$6:$I$35,⑪ZEN工程入力!$S$6:$S$35,$J118,⑪ZEN工程入力!$I$6:$I$35,"&gt;0",⑪ZEN工程入力!$M$6:$M$35,"&gt;0")+SUMIFS(⑫ミキサー工程入力!$I$6:$I$65,⑫ミキサー工程入力!$S$6:$S$65,$J118,⑫ミキサー工程入力!$I$6:$I$65,"&gt;0",⑫ミキサー工程入力!$M$6:$M$65,"&gt;0")+SUMIFS(⑬計量工程入力!$I$6:$I$65,⑬計量工程入力!$S$6:$S$65,$J118,⑬計量工程入力!$I$6:$I$65,"&gt;0",⑬計量工程入力!$M$6:$M$65,"&gt;0")+SUMIFS(⑭手動工程入力!$I$6:$I$47,⑭手動工程入力!$S$6:$S$47,$J118,⑭手動工程入力!$I$6:$I$47,"&gt;0",⑭手動工程入力!$M$6:$M$47,"&gt;0"))</f>
        <v/>
      </c>
      <c r="N118" s="393">
        <f>IF($J118="",0,SUMIFS(②釜工程入力!$M$5:$M$117,②釜工程入力!$S$5:$S$117,$J118,②釜工程入力!$J$5:$J$117,"&gt;0")-SUMIFS(②釜工程入力!$M$5:$M$117,②釜工程入力!$S$5:$S$117,$J118,②釜工程入力!$J$5:$J$117,"&gt;0",②釜工程入力!$I$5:$I$117,"&gt;0")+SUMIFS(③スチコン工程入力!$M$5:$M$152,③スチコン工程入力!$S$5:$S$152,$J118,③スチコン工程入力!$J$5:$J$152,"&gt;0")-SUMIFS(③スチコン工程入力!$M$5:$M$152,③スチコン工程入力!$S$5:$S$152,$J118,③スチコン工程入力!$J$5:$J$152,"&gt;0",③スチコン工程入力!$I$5:$I$152,"&gt;0")+SUMIFS(⑪ZEN工程入力!$M$6:$M$35,⑪ZEN工程入力!$S$6:$S$35,$J118,⑪ZEN工程入力!$J$6:$J$35,"&gt;0")-SUMIFS(⑪ZEN工程入力!$M$6:$M$35,⑪ZEN工程入力!$S$6:$S$35,$J118,⑪ZEN工程入力!$J$6:$J$35,"&gt;0",⑪ZEN工程入力!$I$6:$I$35,"&gt;0")+SUMIFS(⑫ミキサー工程入力!$M$6:$M$65,⑫ミキサー工程入力!$S$6:$S$65,$J118,⑫ミキサー工程入力!$J$6:$J$65,"&gt;0")-SUMIFS(⑫ミキサー工程入力!$M$6:$M$65,⑫ミキサー工程入力!$S$6:$S$65,$J118,⑫ミキサー工程入力!$J$6:$J$65,"&gt;0",⑫ミキサー工程入力!$I$6:$I$65,"&gt;0")+SUMIFS(⑬計量工程入力!$M$6:$M$65,⑬計量工程入力!$S$6:$S$65,$J118,⑬計量工程入力!$J$6:$J$65,"&gt;0")-SUMIFS(⑬計量工程入力!$M$6:$M$65,⑬計量工程入力!$S$6:$S$65,$J118,⑬計量工程入力!$J$6:$J$65,"&gt;0",⑬計量工程入力!$I$6:$I$65,"&gt;0")+SUMIFS(⑭手動工程入力!$M$6:$M$47,⑭手動工程入力!$S$6:$S$47,$J118,⑭手動工程入力!$J$6:$J$47,"&gt;0")-SUMIFS(⑭手動工程入力!$M$6:$M$47,⑭手動工程入力!$S$6:$S$47,$J118,⑭手動工程入力!$J$6:$J$47,"&gt;0",⑭手動工程入力!$I$6:$I$47,"&gt;0"))</f>
        <v/>
      </c>
      <c r="O118" s="393">
        <f>IF($J118="",0,SUMIFS(②釜工程入力!$J$5:$J$117,②釜工程入力!$S$5:$S$117,$J118,②釜工程入力!$J$5:$J$117,"&gt;0",②釜工程入力!$M$5:$M$117,"&gt;0")-SUMIFS(②釜工程入力!$J$5:$J$117,②釜工程入力!$S$5:$S$117,$J118,②釜工程入力!$J$5:$J$117,"&gt;0",②釜工程入力!$I$5:$I$117,"&gt;0",②釜工程入力!$M$5:$M$117,"&gt;0")+SUMIFS(③スチコン工程入力!$J$5:$J$152,③スチコン工程入力!$S$5:$S$152,$J118,③スチコン工程入力!$J$5:$J$152,"&gt;0",③スチコン工程入力!$M$5:$M$152,"&gt;0")-SUMIFS(③スチコン工程入力!$J$5:$J$152,③スチコン工程入力!$S$5:$S$152,$J118,③スチコン工程入力!$J$5:$J$152,"&gt;0",③スチコン工程入力!$I$5:$I$152,"&gt;0",③スチコン工程入力!$M$5:$M$152,"&gt;0")+SUMIFS(⑪ZEN工程入力!$J$6:$J$35,⑪ZEN工程入力!$S$6:$S$35,$J118,⑪ZEN工程入力!$J$6:$J$35,"&gt;0",⑪ZEN工程入力!$M$6:$M$35,"&gt;0")-SUMIFS(⑪ZEN工程入力!$J$6:$J$35,⑪ZEN工程入力!$S$6:$S$35,$J118,⑪ZEN工程入力!$J$6:$J$35,"&gt;0",⑪ZEN工程入力!$I$6:$I$35,"&gt;0",⑪ZEN工程入力!$M$6:$M$35,"&gt;0")+SUMIFS(⑫ミキサー工程入力!$J$6:$J$65,⑫ミキサー工程入力!$S$6:$S$65,$J118,⑫ミキサー工程入力!$J$6:$J$65,"&gt;0",⑫ミキサー工程入力!$M$6:$M$65,"&gt;0")-SUMIFS(⑫ミキサー工程入力!$J$6:$J$65,⑫ミキサー工程入力!$S$6:$S$65,$J118,⑫ミキサー工程入力!$J$6:$J$65,"&gt;0",⑫ミキサー工程入力!$I$6:$I$65,"&gt;0",⑫ミキサー工程入力!$M$6:$M$65,"&gt;0")+SUMIFS(⑬計量工程入力!$J$6:$J$65,⑬計量工程入力!$S$6:$S$65,$J118,⑬計量工程入力!$J$6:$J$65,"&gt;0",⑬計量工程入力!$M$6:$M$65,"&gt;0")-SUMIFS(⑬計量工程入力!$J$6:$J$65,⑬計量工程入力!$S$6:$S$65,$J118,⑬計量工程入力!$J$6:$J$65,"&gt;0",⑬計量工程入力!$I$6:$I$65,"&gt;0",⑬計量工程入力!$M$6:$M$65,"&gt;0")+SUMIFS(⑭手動工程入力!$J$6:$J$47,⑭手動工程入力!$S$6:$S$47,$J118,⑭手動工程入力!$J$6:$J$47,"&gt;0",⑭手動工程入力!$M$6:$M$47,"&gt;0")-SUMIFS(⑭手動工程入力!$J$6:$J$47,⑭手動工程入力!$S$6:$S$47,$J118,⑭手動工程入力!$J$6:$J$47,"&gt;0",⑭手動工程入力!$I$6:$I$47,"&gt;0",⑭手動工程入力!$M$6:$M$47,"&gt;0"))</f>
        <v/>
      </c>
      <c r="P118" s="392" t="n"/>
    </row>
    <row r="119">
      <c r="A119" s="392" t="n">
        <v>115</v>
      </c>
      <c r="B119" s="392" t="n"/>
      <c r="C119" s="392" t="n"/>
      <c r="D119" s="392" t="n"/>
      <c r="E119" s="392" t="n"/>
      <c r="F119" s="394" t="n"/>
      <c r="G119" s="392" t="n"/>
      <c r="H119" s="604">
        <f>IFERROR(IF(AND($K119&gt;0,ISNUMBER(IF(OR($D119="g",$D119="ｇ"),IF($M119&gt;0,$L119/$M119/1000,""),IF($D119="kg",IF($M119&gt;0,$L119/$M119,""),IF($D119="",IF($M119&gt;0,$L119/$M119/1000,IF($O119&gt;0,$N119/$O119,"")),IF($O119&gt;0,$N119/$O119,"")))))),IF(OR($D119="g",$D119="ｇ"),IF($M119&gt;0,$L119/$M119/1000,""),IF($D119="kg",IF($M119&gt;0,$L119/$M119,""),IF($D119="",IF($M119&gt;0,$L119/$M119/1000,IF($O119&gt;0,$N119/$O119,"")),IF($O119&gt;0,$N119/$O119,"")))),IF($F119="",IF(OR($E119="",$E119="⑩盛付梱包工程入力"),"",IF(OR($D119="g",$D119="ｇ"),INDEX(⑰工程労務費一覧!$N$5:$N$11,MATCH($E119,⑰工程労務費一覧!$K$5:$K$11,0))/1000,IF($D119="kg",INDEX(⑰工程労務費一覧!$N$5:$N$11,MATCH($E119,⑰工程労務費一覧!$K$5:$K$11,0)),IF(OR($D119="個",$D119="切",$D119="本",$D119="枚",$D119="尾"),IF($E119="⑬計量工程入力","",INDEX(⑰工程労務費一覧!$P$5:$P$11,MATCH($E119,⑰工程労務費一覧!$K$5:$K$11,0))),IF(AND($D119="",OR($E119="②釜工程入力",$E119="③スチコン工程入力")),INDEX(⑰工程労務費一覧!$N$5:$N$11,MATCH($E119,⑰工程労務費一覧!$K$5:$K$11,0))/1000,""))))),IF(OR($D119="g",$D119="ｇ"),INDEX(⑰工程労務費一覧!$H$5:$H$753,MATCH($F119,⑰工程労務費一覧!$D$5:$D$753,0))/1000,IF($D119="kg",INDEX(⑰工程労務費一覧!$H$5:$H$753,MATCH($F119,⑰工程労務費一覧!$D$5:$D$753,0)),INDEX(⑰工程労務費一覧!$I$5:$I$753,MATCH($F119,⑰工程労務費一覧!$D$5:$D$753,0)))))),"")</f>
        <v/>
      </c>
      <c r="I119" s="392">
        <f>IF($K119&gt;0,IF(ISNUMBER(IF(OR($D119="g",$D119="ｇ"),IF($M119&gt;0,$L119/$M119/1000,""),IF($D119="kg",IF($M119&gt;0,$L119/$M119,""),IF($D119="",IF($M119&gt;0,$L119/$M119/1000,IF($O119&gt;0,$N119/$O119,"")),IF($O119&gt;0,$N119/$O119,""))))),IF($D119="",IF($M119&gt;0,"◎ JAN紐づけ(g扱い)","◎ JAN紐づけ(個扱い)"),"◎ JAN紐づけ"),"△ JAN紐づけ済・実績不足→仮計算"),IF($F119="",IF(ISNUMBER($H119),IF($D119="","⑤ 工程平均で仮計算(g扱い)","⑤ 工程平均で仮計算"),IF($E119="⑩盛付梱包工程入力","⑥ 盛り込み(⑳F列で計上)",IF(AND($E119="⑬計量工程入力",OR($D119="個",$D119="切",$D119="本",$D119="枚",$D119="尾")),"① 未紐づけ(カット個単位は仮単価なし)","① 未紐づけ"))),IF(NOT(ISNUMBER($H119)),"② 工程側に単価なし",IF($D119="","③ 単位未設定(個で計算)","④ OK"))))</f>
        <v/>
      </c>
      <c r="J119" s="399">
        <f>IFERROR(LOOKUP(2,1/((中間品リスト!$F$2:$F$1299=$B119)*(中間品リスト!$E$2:$E$1299&lt;&gt;"-")*(中間品リスト!$E$2:$E$1299&lt;&gt;"")),中間品リスト!$E$2:$E$1299),"")</f>
        <v/>
      </c>
      <c r="K119" s="400">
        <f>IF($J119="",0,COUNTIF(②釜工程入力!$S$5:$S$117,$J119)+COUNTIF(③スチコン工程入力!$S$5:$S$152,$J119)+COUNTIF(⑪ZEN工程入力!$S$6:$S$35,$J119)+COUNTIF(⑫ミキサー工程入力!$S$6:$S$65,$J119)+COUNTIF(⑬計量工程入力!$S$6:$S$65,$J119)+COUNTIF(⑭手動工程入力!$S$6:$S$47,$J119))</f>
        <v/>
      </c>
      <c r="L119" s="393">
        <f>IF($J119="",0,SUMIFS(②釜工程入力!$M$5:$M$117,②釜工程入力!$S$5:$S$117,$J119,②釜工程入力!$I$5:$I$117,"&gt;0")+SUMIFS(③スチコン工程入力!$M$5:$M$152,③スチコン工程入力!$S$5:$S$152,$J119,③スチコン工程入力!$I$5:$I$152,"&gt;0")+SUMIFS(⑪ZEN工程入力!$M$6:$M$35,⑪ZEN工程入力!$S$6:$S$35,$J119,⑪ZEN工程入力!$I$6:$I$35,"&gt;0")+SUMIFS(⑫ミキサー工程入力!$M$6:$M$65,⑫ミキサー工程入力!$S$6:$S$65,$J119,⑫ミキサー工程入力!$I$6:$I$65,"&gt;0")+SUMIFS(⑬計量工程入力!$M$6:$M$65,⑬計量工程入力!$S$6:$S$65,$J119,⑬計量工程入力!$I$6:$I$65,"&gt;0")+SUMIFS(⑭手動工程入力!$M$6:$M$47,⑭手動工程入力!$S$6:$S$47,$J119,⑭手動工程入力!$I$6:$I$47,"&gt;0"))</f>
        <v/>
      </c>
      <c r="M119" s="393">
        <f>IF($J119="",0,SUMIFS(②釜工程入力!$I$5:$I$117,②釜工程入力!$S$5:$S$117,$J119,②釜工程入力!$I$5:$I$117,"&gt;0",②釜工程入力!$M$5:$M$117,"&gt;0")+SUMIFS(③スチコン工程入力!$I$5:$I$152,③スチコン工程入力!$S$5:$S$152,$J119,③スチコン工程入力!$I$5:$I$152,"&gt;0",③スチコン工程入力!$M$5:$M$152,"&gt;0")+SUMIFS(⑪ZEN工程入力!$I$6:$I$35,⑪ZEN工程入力!$S$6:$S$35,$J119,⑪ZEN工程入力!$I$6:$I$35,"&gt;0",⑪ZEN工程入力!$M$6:$M$35,"&gt;0")+SUMIFS(⑫ミキサー工程入力!$I$6:$I$65,⑫ミキサー工程入力!$S$6:$S$65,$J119,⑫ミキサー工程入力!$I$6:$I$65,"&gt;0",⑫ミキサー工程入力!$M$6:$M$65,"&gt;0")+SUMIFS(⑬計量工程入力!$I$6:$I$65,⑬計量工程入力!$S$6:$S$65,$J119,⑬計量工程入力!$I$6:$I$65,"&gt;0",⑬計量工程入力!$M$6:$M$65,"&gt;0")+SUMIFS(⑭手動工程入力!$I$6:$I$47,⑭手動工程入力!$S$6:$S$47,$J119,⑭手動工程入力!$I$6:$I$47,"&gt;0",⑭手動工程入力!$M$6:$M$47,"&gt;0"))</f>
        <v/>
      </c>
      <c r="N119" s="393">
        <f>IF($J119="",0,SUMIFS(②釜工程入力!$M$5:$M$117,②釜工程入力!$S$5:$S$117,$J119,②釜工程入力!$J$5:$J$117,"&gt;0")-SUMIFS(②釜工程入力!$M$5:$M$117,②釜工程入力!$S$5:$S$117,$J119,②釜工程入力!$J$5:$J$117,"&gt;0",②釜工程入力!$I$5:$I$117,"&gt;0")+SUMIFS(③スチコン工程入力!$M$5:$M$152,③スチコン工程入力!$S$5:$S$152,$J119,③スチコン工程入力!$J$5:$J$152,"&gt;0")-SUMIFS(③スチコン工程入力!$M$5:$M$152,③スチコン工程入力!$S$5:$S$152,$J119,③スチコン工程入力!$J$5:$J$152,"&gt;0",③スチコン工程入力!$I$5:$I$152,"&gt;0")+SUMIFS(⑪ZEN工程入力!$M$6:$M$35,⑪ZEN工程入力!$S$6:$S$35,$J119,⑪ZEN工程入力!$J$6:$J$35,"&gt;0")-SUMIFS(⑪ZEN工程入力!$M$6:$M$35,⑪ZEN工程入力!$S$6:$S$35,$J119,⑪ZEN工程入力!$J$6:$J$35,"&gt;0",⑪ZEN工程入力!$I$6:$I$35,"&gt;0")+SUMIFS(⑫ミキサー工程入力!$M$6:$M$65,⑫ミキサー工程入力!$S$6:$S$65,$J119,⑫ミキサー工程入力!$J$6:$J$65,"&gt;0")-SUMIFS(⑫ミキサー工程入力!$M$6:$M$65,⑫ミキサー工程入力!$S$6:$S$65,$J119,⑫ミキサー工程入力!$J$6:$J$65,"&gt;0",⑫ミキサー工程入力!$I$6:$I$65,"&gt;0")+SUMIFS(⑬計量工程入力!$M$6:$M$65,⑬計量工程入力!$S$6:$S$65,$J119,⑬計量工程入力!$J$6:$J$65,"&gt;0")-SUMIFS(⑬計量工程入力!$M$6:$M$65,⑬計量工程入力!$S$6:$S$65,$J119,⑬計量工程入力!$J$6:$J$65,"&gt;0",⑬計量工程入力!$I$6:$I$65,"&gt;0")+SUMIFS(⑭手動工程入力!$M$6:$M$47,⑭手動工程入力!$S$6:$S$47,$J119,⑭手動工程入力!$J$6:$J$47,"&gt;0")-SUMIFS(⑭手動工程入力!$M$6:$M$47,⑭手動工程入力!$S$6:$S$47,$J119,⑭手動工程入力!$J$6:$J$47,"&gt;0",⑭手動工程入力!$I$6:$I$47,"&gt;0"))</f>
        <v/>
      </c>
      <c r="O119" s="393">
        <f>IF($J119="",0,SUMIFS(②釜工程入力!$J$5:$J$117,②釜工程入力!$S$5:$S$117,$J119,②釜工程入力!$J$5:$J$117,"&gt;0",②釜工程入力!$M$5:$M$117,"&gt;0")-SUMIFS(②釜工程入力!$J$5:$J$117,②釜工程入力!$S$5:$S$117,$J119,②釜工程入力!$J$5:$J$117,"&gt;0",②釜工程入力!$I$5:$I$117,"&gt;0",②釜工程入力!$M$5:$M$117,"&gt;0")+SUMIFS(③スチコン工程入力!$J$5:$J$152,③スチコン工程入力!$S$5:$S$152,$J119,③スチコン工程入力!$J$5:$J$152,"&gt;0",③スチコン工程入力!$M$5:$M$152,"&gt;0")-SUMIFS(③スチコン工程入力!$J$5:$J$152,③スチコン工程入力!$S$5:$S$152,$J119,③スチコン工程入力!$J$5:$J$152,"&gt;0",③スチコン工程入力!$I$5:$I$152,"&gt;0",③スチコン工程入力!$M$5:$M$152,"&gt;0")+SUMIFS(⑪ZEN工程入力!$J$6:$J$35,⑪ZEN工程入力!$S$6:$S$35,$J119,⑪ZEN工程入力!$J$6:$J$35,"&gt;0",⑪ZEN工程入力!$M$6:$M$35,"&gt;0")-SUMIFS(⑪ZEN工程入力!$J$6:$J$35,⑪ZEN工程入力!$S$6:$S$35,$J119,⑪ZEN工程入力!$J$6:$J$35,"&gt;0",⑪ZEN工程入力!$I$6:$I$35,"&gt;0",⑪ZEN工程入力!$M$6:$M$35,"&gt;0")+SUMIFS(⑫ミキサー工程入力!$J$6:$J$65,⑫ミキサー工程入力!$S$6:$S$65,$J119,⑫ミキサー工程入力!$J$6:$J$65,"&gt;0",⑫ミキサー工程入力!$M$6:$M$65,"&gt;0")-SUMIFS(⑫ミキサー工程入力!$J$6:$J$65,⑫ミキサー工程入力!$S$6:$S$65,$J119,⑫ミキサー工程入力!$J$6:$J$65,"&gt;0",⑫ミキサー工程入力!$I$6:$I$65,"&gt;0",⑫ミキサー工程入力!$M$6:$M$65,"&gt;0")+SUMIFS(⑬計量工程入力!$J$6:$J$65,⑬計量工程入力!$S$6:$S$65,$J119,⑬計量工程入力!$J$6:$J$65,"&gt;0",⑬計量工程入力!$M$6:$M$65,"&gt;0")-SUMIFS(⑬計量工程入力!$J$6:$J$65,⑬計量工程入力!$S$6:$S$65,$J119,⑬計量工程入力!$J$6:$J$65,"&gt;0",⑬計量工程入力!$I$6:$I$65,"&gt;0",⑬計量工程入力!$M$6:$M$65,"&gt;0")+SUMIFS(⑭手動工程入力!$J$6:$J$47,⑭手動工程入力!$S$6:$S$47,$J119,⑭手動工程入力!$J$6:$J$47,"&gt;0",⑭手動工程入力!$M$6:$M$47,"&gt;0")-SUMIFS(⑭手動工程入力!$J$6:$J$47,⑭手動工程入力!$S$6:$S$47,$J119,⑭手動工程入力!$J$6:$J$47,"&gt;0",⑭手動工程入力!$I$6:$I$47,"&gt;0",⑭手動工程入力!$M$6:$M$47,"&gt;0"))</f>
        <v/>
      </c>
      <c r="P119" s="392" t="n"/>
    </row>
    <row r="120">
      <c r="A120" s="392" t="n">
        <v>116</v>
      </c>
      <c r="B120" s="392" t="n"/>
      <c r="C120" s="392" t="n"/>
      <c r="D120" s="392" t="n"/>
      <c r="E120" s="392" t="n"/>
      <c r="F120" s="394" t="n"/>
      <c r="G120" s="392" t="n"/>
      <c r="H120" s="604">
        <f>IFERROR(IF(AND($K120&gt;0,ISNUMBER(IF(OR($D120="g",$D120="ｇ"),IF($M120&gt;0,$L120/$M120/1000,""),IF($D120="kg",IF($M120&gt;0,$L120/$M120,""),IF($D120="",IF($M120&gt;0,$L120/$M120/1000,IF($O120&gt;0,$N120/$O120,"")),IF($O120&gt;0,$N120/$O120,"")))))),IF(OR($D120="g",$D120="ｇ"),IF($M120&gt;0,$L120/$M120/1000,""),IF($D120="kg",IF($M120&gt;0,$L120/$M120,""),IF($D120="",IF($M120&gt;0,$L120/$M120/1000,IF($O120&gt;0,$N120/$O120,"")),IF($O120&gt;0,$N120/$O120,"")))),IF($F120="",IF(OR($E120="",$E120="⑩盛付梱包工程入力"),"",IF(OR($D120="g",$D120="ｇ"),INDEX(⑰工程労務費一覧!$N$5:$N$11,MATCH($E120,⑰工程労務費一覧!$K$5:$K$11,0))/1000,IF($D120="kg",INDEX(⑰工程労務費一覧!$N$5:$N$11,MATCH($E120,⑰工程労務費一覧!$K$5:$K$11,0)),IF(OR($D120="個",$D120="切",$D120="本",$D120="枚",$D120="尾"),IF($E120="⑬計量工程入力","",INDEX(⑰工程労務費一覧!$P$5:$P$11,MATCH($E120,⑰工程労務費一覧!$K$5:$K$11,0))),IF(AND($D120="",OR($E120="②釜工程入力",$E120="③スチコン工程入力")),INDEX(⑰工程労務費一覧!$N$5:$N$11,MATCH($E120,⑰工程労務費一覧!$K$5:$K$11,0))/1000,""))))),IF(OR($D120="g",$D120="ｇ"),INDEX(⑰工程労務費一覧!$H$5:$H$753,MATCH($F120,⑰工程労務費一覧!$D$5:$D$753,0))/1000,IF($D120="kg",INDEX(⑰工程労務費一覧!$H$5:$H$753,MATCH($F120,⑰工程労務費一覧!$D$5:$D$753,0)),INDEX(⑰工程労務費一覧!$I$5:$I$753,MATCH($F120,⑰工程労務費一覧!$D$5:$D$753,0)))))),"")</f>
        <v/>
      </c>
      <c r="I120" s="392">
        <f>IF($K120&gt;0,IF(ISNUMBER(IF(OR($D120="g",$D120="ｇ"),IF($M120&gt;0,$L120/$M120/1000,""),IF($D120="kg",IF($M120&gt;0,$L120/$M120,""),IF($D120="",IF($M120&gt;0,$L120/$M120/1000,IF($O120&gt;0,$N120/$O120,"")),IF($O120&gt;0,$N120/$O120,""))))),IF($D120="",IF($M120&gt;0,"◎ JAN紐づけ(g扱い)","◎ JAN紐づけ(個扱い)"),"◎ JAN紐づけ"),"△ JAN紐づけ済・実績不足→仮計算"),IF($F120="",IF(ISNUMBER($H120),IF($D120="","⑤ 工程平均で仮計算(g扱い)","⑤ 工程平均で仮計算"),IF($E120="⑩盛付梱包工程入力","⑥ 盛り込み(⑳F列で計上)",IF(AND($E120="⑬計量工程入力",OR($D120="個",$D120="切",$D120="本",$D120="枚",$D120="尾")),"① 未紐づけ(カット個単位は仮単価なし)","① 未紐づけ"))),IF(NOT(ISNUMBER($H120)),"② 工程側に単価なし",IF($D120="","③ 単位未設定(個で計算)","④ OK"))))</f>
        <v/>
      </c>
      <c r="J120" s="399">
        <f>IFERROR(LOOKUP(2,1/((中間品リスト!$F$2:$F$1299=$B120)*(中間品リスト!$E$2:$E$1299&lt;&gt;"-")*(中間品リスト!$E$2:$E$1299&lt;&gt;"")),中間品リスト!$E$2:$E$1299),"")</f>
        <v/>
      </c>
      <c r="K120" s="400">
        <f>IF($J120="",0,COUNTIF(②釜工程入力!$S$5:$S$117,$J120)+COUNTIF(③スチコン工程入力!$S$5:$S$152,$J120)+COUNTIF(⑪ZEN工程入力!$S$6:$S$35,$J120)+COUNTIF(⑫ミキサー工程入力!$S$6:$S$65,$J120)+COUNTIF(⑬計量工程入力!$S$6:$S$65,$J120)+COUNTIF(⑭手動工程入力!$S$6:$S$47,$J120))</f>
        <v/>
      </c>
      <c r="L120" s="393">
        <f>IF($J120="",0,SUMIFS(②釜工程入力!$M$5:$M$117,②釜工程入力!$S$5:$S$117,$J120,②釜工程入力!$I$5:$I$117,"&gt;0")+SUMIFS(③スチコン工程入力!$M$5:$M$152,③スチコン工程入力!$S$5:$S$152,$J120,③スチコン工程入力!$I$5:$I$152,"&gt;0")+SUMIFS(⑪ZEN工程入力!$M$6:$M$35,⑪ZEN工程入力!$S$6:$S$35,$J120,⑪ZEN工程入力!$I$6:$I$35,"&gt;0")+SUMIFS(⑫ミキサー工程入力!$M$6:$M$65,⑫ミキサー工程入力!$S$6:$S$65,$J120,⑫ミキサー工程入力!$I$6:$I$65,"&gt;0")+SUMIFS(⑬計量工程入力!$M$6:$M$65,⑬計量工程入力!$S$6:$S$65,$J120,⑬計量工程入力!$I$6:$I$65,"&gt;0")+SUMIFS(⑭手動工程入力!$M$6:$M$47,⑭手動工程入力!$S$6:$S$47,$J120,⑭手動工程入力!$I$6:$I$47,"&gt;0"))</f>
        <v/>
      </c>
      <c r="M120" s="393">
        <f>IF($J120="",0,SUMIFS(②釜工程入力!$I$5:$I$117,②釜工程入力!$S$5:$S$117,$J120,②釜工程入力!$I$5:$I$117,"&gt;0",②釜工程入力!$M$5:$M$117,"&gt;0")+SUMIFS(③スチコン工程入力!$I$5:$I$152,③スチコン工程入力!$S$5:$S$152,$J120,③スチコン工程入力!$I$5:$I$152,"&gt;0",③スチコン工程入力!$M$5:$M$152,"&gt;0")+SUMIFS(⑪ZEN工程入力!$I$6:$I$35,⑪ZEN工程入力!$S$6:$S$35,$J120,⑪ZEN工程入力!$I$6:$I$35,"&gt;0",⑪ZEN工程入力!$M$6:$M$35,"&gt;0")+SUMIFS(⑫ミキサー工程入力!$I$6:$I$65,⑫ミキサー工程入力!$S$6:$S$65,$J120,⑫ミキサー工程入力!$I$6:$I$65,"&gt;0",⑫ミキサー工程入力!$M$6:$M$65,"&gt;0")+SUMIFS(⑬計量工程入力!$I$6:$I$65,⑬計量工程入力!$S$6:$S$65,$J120,⑬計量工程入力!$I$6:$I$65,"&gt;0",⑬計量工程入力!$M$6:$M$65,"&gt;0")+SUMIFS(⑭手動工程入力!$I$6:$I$47,⑭手動工程入力!$S$6:$S$47,$J120,⑭手動工程入力!$I$6:$I$47,"&gt;0",⑭手動工程入力!$M$6:$M$47,"&gt;0"))</f>
        <v/>
      </c>
      <c r="N120" s="393">
        <f>IF($J120="",0,SUMIFS(②釜工程入力!$M$5:$M$117,②釜工程入力!$S$5:$S$117,$J120,②釜工程入力!$J$5:$J$117,"&gt;0")-SUMIFS(②釜工程入力!$M$5:$M$117,②釜工程入力!$S$5:$S$117,$J120,②釜工程入力!$J$5:$J$117,"&gt;0",②釜工程入力!$I$5:$I$117,"&gt;0")+SUMIFS(③スチコン工程入力!$M$5:$M$152,③スチコン工程入力!$S$5:$S$152,$J120,③スチコン工程入力!$J$5:$J$152,"&gt;0")-SUMIFS(③スチコン工程入力!$M$5:$M$152,③スチコン工程入力!$S$5:$S$152,$J120,③スチコン工程入力!$J$5:$J$152,"&gt;0",③スチコン工程入力!$I$5:$I$152,"&gt;0")+SUMIFS(⑪ZEN工程入力!$M$6:$M$35,⑪ZEN工程入力!$S$6:$S$35,$J120,⑪ZEN工程入力!$J$6:$J$35,"&gt;0")-SUMIFS(⑪ZEN工程入力!$M$6:$M$35,⑪ZEN工程入力!$S$6:$S$35,$J120,⑪ZEN工程入力!$J$6:$J$35,"&gt;0",⑪ZEN工程入力!$I$6:$I$35,"&gt;0")+SUMIFS(⑫ミキサー工程入力!$M$6:$M$65,⑫ミキサー工程入力!$S$6:$S$65,$J120,⑫ミキサー工程入力!$J$6:$J$65,"&gt;0")-SUMIFS(⑫ミキサー工程入力!$M$6:$M$65,⑫ミキサー工程入力!$S$6:$S$65,$J120,⑫ミキサー工程入力!$J$6:$J$65,"&gt;0",⑫ミキサー工程入力!$I$6:$I$65,"&gt;0")+SUMIFS(⑬計量工程入力!$M$6:$M$65,⑬計量工程入力!$S$6:$S$65,$J120,⑬計量工程入力!$J$6:$J$65,"&gt;0")-SUMIFS(⑬計量工程入力!$M$6:$M$65,⑬計量工程入力!$S$6:$S$65,$J120,⑬計量工程入力!$J$6:$J$65,"&gt;0",⑬計量工程入力!$I$6:$I$65,"&gt;0")+SUMIFS(⑭手動工程入力!$M$6:$M$47,⑭手動工程入力!$S$6:$S$47,$J120,⑭手動工程入力!$J$6:$J$47,"&gt;0")-SUMIFS(⑭手動工程入力!$M$6:$M$47,⑭手動工程入力!$S$6:$S$47,$J120,⑭手動工程入力!$J$6:$J$47,"&gt;0",⑭手動工程入力!$I$6:$I$47,"&gt;0"))</f>
        <v/>
      </c>
      <c r="O120" s="393">
        <f>IF($J120="",0,SUMIFS(②釜工程入力!$J$5:$J$117,②釜工程入力!$S$5:$S$117,$J120,②釜工程入力!$J$5:$J$117,"&gt;0",②釜工程入力!$M$5:$M$117,"&gt;0")-SUMIFS(②釜工程入力!$J$5:$J$117,②釜工程入力!$S$5:$S$117,$J120,②釜工程入力!$J$5:$J$117,"&gt;0",②釜工程入力!$I$5:$I$117,"&gt;0",②釜工程入力!$M$5:$M$117,"&gt;0")+SUMIFS(③スチコン工程入力!$J$5:$J$152,③スチコン工程入力!$S$5:$S$152,$J120,③スチコン工程入力!$J$5:$J$152,"&gt;0",③スチコン工程入力!$M$5:$M$152,"&gt;0")-SUMIFS(③スチコン工程入力!$J$5:$J$152,③スチコン工程入力!$S$5:$S$152,$J120,③スチコン工程入力!$J$5:$J$152,"&gt;0",③スチコン工程入力!$I$5:$I$152,"&gt;0",③スチコン工程入力!$M$5:$M$152,"&gt;0")+SUMIFS(⑪ZEN工程入力!$J$6:$J$35,⑪ZEN工程入力!$S$6:$S$35,$J120,⑪ZEN工程入力!$J$6:$J$35,"&gt;0",⑪ZEN工程入力!$M$6:$M$35,"&gt;0")-SUMIFS(⑪ZEN工程入力!$J$6:$J$35,⑪ZEN工程入力!$S$6:$S$35,$J120,⑪ZEN工程入力!$J$6:$J$35,"&gt;0",⑪ZEN工程入力!$I$6:$I$35,"&gt;0",⑪ZEN工程入力!$M$6:$M$35,"&gt;0")+SUMIFS(⑫ミキサー工程入力!$J$6:$J$65,⑫ミキサー工程入力!$S$6:$S$65,$J120,⑫ミキサー工程入力!$J$6:$J$65,"&gt;0",⑫ミキサー工程入力!$M$6:$M$65,"&gt;0")-SUMIFS(⑫ミキサー工程入力!$J$6:$J$65,⑫ミキサー工程入力!$S$6:$S$65,$J120,⑫ミキサー工程入力!$J$6:$J$65,"&gt;0",⑫ミキサー工程入力!$I$6:$I$65,"&gt;0",⑫ミキサー工程入力!$M$6:$M$65,"&gt;0")+SUMIFS(⑬計量工程入力!$J$6:$J$65,⑬計量工程入力!$S$6:$S$65,$J120,⑬計量工程入力!$J$6:$J$65,"&gt;0",⑬計量工程入力!$M$6:$M$65,"&gt;0")-SUMIFS(⑬計量工程入力!$J$6:$J$65,⑬計量工程入力!$S$6:$S$65,$J120,⑬計量工程入力!$J$6:$J$65,"&gt;0",⑬計量工程入力!$I$6:$I$65,"&gt;0",⑬計量工程入力!$M$6:$M$65,"&gt;0")+SUMIFS(⑭手動工程入力!$J$6:$J$47,⑭手動工程入力!$S$6:$S$47,$J120,⑭手動工程入力!$J$6:$J$47,"&gt;0",⑭手動工程入力!$M$6:$M$47,"&gt;0")-SUMIFS(⑭手動工程入力!$J$6:$J$47,⑭手動工程入力!$S$6:$S$47,$J120,⑭手動工程入力!$J$6:$J$47,"&gt;0",⑭手動工程入力!$I$6:$I$47,"&gt;0",⑭手動工程入力!$M$6:$M$47,"&gt;0"))</f>
        <v/>
      </c>
      <c r="P120" s="392" t="n"/>
    </row>
    <row r="121">
      <c r="A121" s="392" t="n">
        <v>117</v>
      </c>
      <c r="B121" s="392" t="n"/>
      <c r="C121" s="392" t="n"/>
      <c r="D121" s="392" t="n"/>
      <c r="E121" s="392" t="n"/>
      <c r="F121" s="394" t="n"/>
      <c r="G121" s="392" t="n"/>
      <c r="H121" s="604">
        <f>IFERROR(IF(AND($K121&gt;0,ISNUMBER(IF(OR($D121="g",$D121="ｇ"),IF($M121&gt;0,$L121/$M121/1000,""),IF($D121="kg",IF($M121&gt;0,$L121/$M121,""),IF($D121="",IF($M121&gt;0,$L121/$M121/1000,IF($O121&gt;0,$N121/$O121,"")),IF($O121&gt;0,$N121/$O121,"")))))),IF(OR($D121="g",$D121="ｇ"),IF($M121&gt;0,$L121/$M121/1000,""),IF($D121="kg",IF($M121&gt;0,$L121/$M121,""),IF($D121="",IF($M121&gt;0,$L121/$M121/1000,IF($O121&gt;0,$N121/$O121,"")),IF($O121&gt;0,$N121/$O121,"")))),IF($F121="",IF(OR($E121="",$E121="⑩盛付梱包工程入力"),"",IF(OR($D121="g",$D121="ｇ"),INDEX(⑰工程労務費一覧!$N$5:$N$11,MATCH($E121,⑰工程労務費一覧!$K$5:$K$11,0))/1000,IF($D121="kg",INDEX(⑰工程労務費一覧!$N$5:$N$11,MATCH($E121,⑰工程労務費一覧!$K$5:$K$11,0)),IF(OR($D121="個",$D121="切",$D121="本",$D121="枚",$D121="尾"),IF($E121="⑬計量工程入力","",INDEX(⑰工程労務費一覧!$P$5:$P$11,MATCH($E121,⑰工程労務費一覧!$K$5:$K$11,0))),IF(AND($D121="",OR($E121="②釜工程入力",$E121="③スチコン工程入力")),INDEX(⑰工程労務費一覧!$N$5:$N$11,MATCH($E121,⑰工程労務費一覧!$K$5:$K$11,0))/1000,""))))),IF(OR($D121="g",$D121="ｇ"),INDEX(⑰工程労務費一覧!$H$5:$H$753,MATCH($F121,⑰工程労務費一覧!$D$5:$D$753,0))/1000,IF($D121="kg",INDEX(⑰工程労務費一覧!$H$5:$H$753,MATCH($F121,⑰工程労務費一覧!$D$5:$D$753,0)),INDEX(⑰工程労務費一覧!$I$5:$I$753,MATCH($F121,⑰工程労務費一覧!$D$5:$D$753,0)))))),"")</f>
        <v/>
      </c>
      <c r="I121" s="392">
        <f>IF($K121&gt;0,IF(ISNUMBER(IF(OR($D121="g",$D121="ｇ"),IF($M121&gt;0,$L121/$M121/1000,""),IF($D121="kg",IF($M121&gt;0,$L121/$M121,""),IF($D121="",IF($M121&gt;0,$L121/$M121/1000,IF($O121&gt;0,$N121/$O121,"")),IF($O121&gt;0,$N121/$O121,""))))),IF($D121="",IF($M121&gt;0,"◎ JAN紐づけ(g扱い)","◎ JAN紐づけ(個扱い)"),"◎ JAN紐づけ"),"△ JAN紐づけ済・実績不足→仮計算"),IF($F121="",IF(ISNUMBER($H121),IF($D121="","⑤ 工程平均で仮計算(g扱い)","⑤ 工程平均で仮計算"),IF($E121="⑩盛付梱包工程入力","⑥ 盛り込み(⑳F列で計上)",IF(AND($E121="⑬計量工程入力",OR($D121="個",$D121="切",$D121="本",$D121="枚",$D121="尾")),"① 未紐づけ(カット個単位は仮単価なし)","① 未紐づけ"))),IF(NOT(ISNUMBER($H121)),"② 工程側に単価なし",IF($D121="","③ 単位未設定(個で計算)","④ OK"))))</f>
        <v/>
      </c>
      <c r="J121" s="399">
        <f>IFERROR(LOOKUP(2,1/((中間品リスト!$F$2:$F$1299=$B121)*(中間品リスト!$E$2:$E$1299&lt;&gt;"-")*(中間品リスト!$E$2:$E$1299&lt;&gt;"")),中間品リスト!$E$2:$E$1299),"")</f>
        <v/>
      </c>
      <c r="K121" s="400">
        <f>IF($J121="",0,COUNTIF(②釜工程入力!$S$5:$S$117,$J121)+COUNTIF(③スチコン工程入力!$S$5:$S$152,$J121)+COUNTIF(⑪ZEN工程入力!$S$6:$S$35,$J121)+COUNTIF(⑫ミキサー工程入力!$S$6:$S$65,$J121)+COUNTIF(⑬計量工程入力!$S$6:$S$65,$J121)+COUNTIF(⑭手動工程入力!$S$6:$S$47,$J121))</f>
        <v/>
      </c>
      <c r="L121" s="393">
        <f>IF($J121="",0,SUMIFS(②釜工程入力!$M$5:$M$117,②釜工程入力!$S$5:$S$117,$J121,②釜工程入力!$I$5:$I$117,"&gt;0")+SUMIFS(③スチコン工程入力!$M$5:$M$152,③スチコン工程入力!$S$5:$S$152,$J121,③スチコン工程入力!$I$5:$I$152,"&gt;0")+SUMIFS(⑪ZEN工程入力!$M$6:$M$35,⑪ZEN工程入力!$S$6:$S$35,$J121,⑪ZEN工程入力!$I$6:$I$35,"&gt;0")+SUMIFS(⑫ミキサー工程入力!$M$6:$M$65,⑫ミキサー工程入力!$S$6:$S$65,$J121,⑫ミキサー工程入力!$I$6:$I$65,"&gt;0")+SUMIFS(⑬計量工程入力!$M$6:$M$65,⑬計量工程入力!$S$6:$S$65,$J121,⑬計量工程入力!$I$6:$I$65,"&gt;0")+SUMIFS(⑭手動工程入力!$M$6:$M$47,⑭手動工程入力!$S$6:$S$47,$J121,⑭手動工程入力!$I$6:$I$47,"&gt;0"))</f>
        <v/>
      </c>
      <c r="M121" s="393">
        <f>IF($J121="",0,SUMIFS(②釜工程入力!$I$5:$I$117,②釜工程入力!$S$5:$S$117,$J121,②釜工程入力!$I$5:$I$117,"&gt;0",②釜工程入力!$M$5:$M$117,"&gt;0")+SUMIFS(③スチコン工程入力!$I$5:$I$152,③スチコン工程入力!$S$5:$S$152,$J121,③スチコン工程入力!$I$5:$I$152,"&gt;0",③スチコン工程入力!$M$5:$M$152,"&gt;0")+SUMIFS(⑪ZEN工程入力!$I$6:$I$35,⑪ZEN工程入力!$S$6:$S$35,$J121,⑪ZEN工程入力!$I$6:$I$35,"&gt;0",⑪ZEN工程入力!$M$6:$M$35,"&gt;0")+SUMIFS(⑫ミキサー工程入力!$I$6:$I$65,⑫ミキサー工程入力!$S$6:$S$65,$J121,⑫ミキサー工程入力!$I$6:$I$65,"&gt;0",⑫ミキサー工程入力!$M$6:$M$65,"&gt;0")+SUMIFS(⑬計量工程入力!$I$6:$I$65,⑬計量工程入力!$S$6:$S$65,$J121,⑬計量工程入力!$I$6:$I$65,"&gt;0",⑬計量工程入力!$M$6:$M$65,"&gt;0")+SUMIFS(⑭手動工程入力!$I$6:$I$47,⑭手動工程入力!$S$6:$S$47,$J121,⑭手動工程入力!$I$6:$I$47,"&gt;0",⑭手動工程入力!$M$6:$M$47,"&gt;0"))</f>
        <v/>
      </c>
      <c r="N121" s="393">
        <f>IF($J121="",0,SUMIFS(②釜工程入力!$M$5:$M$117,②釜工程入力!$S$5:$S$117,$J121,②釜工程入力!$J$5:$J$117,"&gt;0")-SUMIFS(②釜工程入力!$M$5:$M$117,②釜工程入力!$S$5:$S$117,$J121,②釜工程入力!$J$5:$J$117,"&gt;0",②釜工程入力!$I$5:$I$117,"&gt;0")+SUMIFS(③スチコン工程入力!$M$5:$M$152,③スチコン工程入力!$S$5:$S$152,$J121,③スチコン工程入力!$J$5:$J$152,"&gt;0")-SUMIFS(③スチコン工程入力!$M$5:$M$152,③スチコン工程入力!$S$5:$S$152,$J121,③スチコン工程入力!$J$5:$J$152,"&gt;0",③スチコン工程入力!$I$5:$I$152,"&gt;0")+SUMIFS(⑪ZEN工程入力!$M$6:$M$35,⑪ZEN工程入力!$S$6:$S$35,$J121,⑪ZEN工程入力!$J$6:$J$35,"&gt;0")-SUMIFS(⑪ZEN工程入力!$M$6:$M$35,⑪ZEN工程入力!$S$6:$S$35,$J121,⑪ZEN工程入力!$J$6:$J$35,"&gt;0",⑪ZEN工程入力!$I$6:$I$35,"&gt;0")+SUMIFS(⑫ミキサー工程入力!$M$6:$M$65,⑫ミキサー工程入力!$S$6:$S$65,$J121,⑫ミキサー工程入力!$J$6:$J$65,"&gt;0")-SUMIFS(⑫ミキサー工程入力!$M$6:$M$65,⑫ミキサー工程入力!$S$6:$S$65,$J121,⑫ミキサー工程入力!$J$6:$J$65,"&gt;0",⑫ミキサー工程入力!$I$6:$I$65,"&gt;0")+SUMIFS(⑬計量工程入力!$M$6:$M$65,⑬計量工程入力!$S$6:$S$65,$J121,⑬計量工程入力!$J$6:$J$65,"&gt;0")-SUMIFS(⑬計量工程入力!$M$6:$M$65,⑬計量工程入力!$S$6:$S$65,$J121,⑬計量工程入力!$J$6:$J$65,"&gt;0",⑬計量工程入力!$I$6:$I$65,"&gt;0")+SUMIFS(⑭手動工程入力!$M$6:$M$47,⑭手動工程入力!$S$6:$S$47,$J121,⑭手動工程入力!$J$6:$J$47,"&gt;0")-SUMIFS(⑭手動工程入力!$M$6:$M$47,⑭手動工程入力!$S$6:$S$47,$J121,⑭手動工程入力!$J$6:$J$47,"&gt;0",⑭手動工程入力!$I$6:$I$47,"&gt;0"))</f>
        <v/>
      </c>
      <c r="O121" s="393">
        <f>IF($J121="",0,SUMIFS(②釜工程入力!$J$5:$J$117,②釜工程入力!$S$5:$S$117,$J121,②釜工程入力!$J$5:$J$117,"&gt;0",②釜工程入力!$M$5:$M$117,"&gt;0")-SUMIFS(②釜工程入力!$J$5:$J$117,②釜工程入力!$S$5:$S$117,$J121,②釜工程入力!$J$5:$J$117,"&gt;0",②釜工程入力!$I$5:$I$117,"&gt;0",②釜工程入力!$M$5:$M$117,"&gt;0")+SUMIFS(③スチコン工程入力!$J$5:$J$152,③スチコン工程入力!$S$5:$S$152,$J121,③スチコン工程入力!$J$5:$J$152,"&gt;0",③スチコン工程入力!$M$5:$M$152,"&gt;0")-SUMIFS(③スチコン工程入力!$J$5:$J$152,③スチコン工程入力!$S$5:$S$152,$J121,③スチコン工程入力!$J$5:$J$152,"&gt;0",③スチコン工程入力!$I$5:$I$152,"&gt;0",③スチコン工程入力!$M$5:$M$152,"&gt;0")+SUMIFS(⑪ZEN工程入力!$J$6:$J$35,⑪ZEN工程入力!$S$6:$S$35,$J121,⑪ZEN工程入力!$J$6:$J$35,"&gt;0",⑪ZEN工程入力!$M$6:$M$35,"&gt;0")-SUMIFS(⑪ZEN工程入力!$J$6:$J$35,⑪ZEN工程入力!$S$6:$S$35,$J121,⑪ZEN工程入力!$J$6:$J$35,"&gt;0",⑪ZEN工程入力!$I$6:$I$35,"&gt;0",⑪ZEN工程入力!$M$6:$M$35,"&gt;0")+SUMIFS(⑫ミキサー工程入力!$J$6:$J$65,⑫ミキサー工程入力!$S$6:$S$65,$J121,⑫ミキサー工程入力!$J$6:$J$65,"&gt;0",⑫ミキサー工程入力!$M$6:$M$65,"&gt;0")-SUMIFS(⑫ミキサー工程入力!$J$6:$J$65,⑫ミキサー工程入力!$S$6:$S$65,$J121,⑫ミキサー工程入力!$J$6:$J$65,"&gt;0",⑫ミキサー工程入力!$I$6:$I$65,"&gt;0",⑫ミキサー工程入力!$M$6:$M$65,"&gt;0")+SUMIFS(⑬計量工程入力!$J$6:$J$65,⑬計量工程入力!$S$6:$S$65,$J121,⑬計量工程入力!$J$6:$J$65,"&gt;0",⑬計量工程入力!$M$6:$M$65,"&gt;0")-SUMIFS(⑬計量工程入力!$J$6:$J$65,⑬計量工程入力!$S$6:$S$65,$J121,⑬計量工程入力!$J$6:$J$65,"&gt;0",⑬計量工程入力!$I$6:$I$65,"&gt;0",⑬計量工程入力!$M$6:$M$65,"&gt;0")+SUMIFS(⑭手動工程入力!$J$6:$J$47,⑭手動工程入力!$S$6:$S$47,$J121,⑭手動工程入力!$J$6:$J$47,"&gt;0",⑭手動工程入力!$M$6:$M$47,"&gt;0")-SUMIFS(⑭手動工程入力!$J$6:$J$47,⑭手動工程入力!$S$6:$S$47,$J121,⑭手動工程入力!$J$6:$J$47,"&gt;0",⑭手動工程入力!$I$6:$I$47,"&gt;0",⑭手動工程入力!$M$6:$M$47,"&gt;0"))</f>
        <v/>
      </c>
      <c r="P121" s="392" t="n"/>
    </row>
    <row r="122">
      <c r="A122" s="392" t="n">
        <v>118</v>
      </c>
      <c r="B122" s="392" t="n"/>
      <c r="C122" s="392" t="n"/>
      <c r="D122" s="392" t="n"/>
      <c r="E122" s="392" t="n"/>
      <c r="F122" s="394" t="n"/>
      <c r="G122" s="392" t="n"/>
      <c r="H122" s="604">
        <f>IFERROR(IF(AND($K122&gt;0,ISNUMBER(IF(OR($D122="g",$D122="ｇ"),IF($M122&gt;0,$L122/$M122/1000,""),IF($D122="kg",IF($M122&gt;0,$L122/$M122,""),IF($D122="",IF($M122&gt;0,$L122/$M122/1000,IF($O122&gt;0,$N122/$O122,"")),IF($O122&gt;0,$N122/$O122,"")))))),IF(OR($D122="g",$D122="ｇ"),IF($M122&gt;0,$L122/$M122/1000,""),IF($D122="kg",IF($M122&gt;0,$L122/$M122,""),IF($D122="",IF($M122&gt;0,$L122/$M122/1000,IF($O122&gt;0,$N122/$O122,"")),IF($O122&gt;0,$N122/$O122,"")))),IF($F122="",IF(OR($E122="",$E122="⑩盛付梱包工程入力"),"",IF(OR($D122="g",$D122="ｇ"),INDEX(⑰工程労務費一覧!$N$5:$N$11,MATCH($E122,⑰工程労務費一覧!$K$5:$K$11,0))/1000,IF($D122="kg",INDEX(⑰工程労務費一覧!$N$5:$N$11,MATCH($E122,⑰工程労務費一覧!$K$5:$K$11,0)),IF(OR($D122="個",$D122="切",$D122="本",$D122="枚",$D122="尾"),IF($E122="⑬計量工程入力","",INDEX(⑰工程労務費一覧!$P$5:$P$11,MATCH($E122,⑰工程労務費一覧!$K$5:$K$11,0))),IF(AND($D122="",OR($E122="②釜工程入力",$E122="③スチコン工程入力")),INDEX(⑰工程労務費一覧!$N$5:$N$11,MATCH($E122,⑰工程労務費一覧!$K$5:$K$11,0))/1000,""))))),IF(OR($D122="g",$D122="ｇ"),INDEX(⑰工程労務費一覧!$H$5:$H$753,MATCH($F122,⑰工程労務費一覧!$D$5:$D$753,0))/1000,IF($D122="kg",INDEX(⑰工程労務費一覧!$H$5:$H$753,MATCH($F122,⑰工程労務費一覧!$D$5:$D$753,0)),INDEX(⑰工程労務費一覧!$I$5:$I$753,MATCH($F122,⑰工程労務費一覧!$D$5:$D$753,0)))))),"")</f>
        <v/>
      </c>
      <c r="I122" s="392">
        <f>IF($K122&gt;0,IF(ISNUMBER(IF(OR($D122="g",$D122="ｇ"),IF($M122&gt;0,$L122/$M122/1000,""),IF($D122="kg",IF($M122&gt;0,$L122/$M122,""),IF($D122="",IF($M122&gt;0,$L122/$M122/1000,IF($O122&gt;0,$N122/$O122,"")),IF($O122&gt;0,$N122/$O122,""))))),IF($D122="",IF($M122&gt;0,"◎ JAN紐づけ(g扱い)","◎ JAN紐づけ(個扱い)"),"◎ JAN紐づけ"),"△ JAN紐づけ済・実績不足→仮計算"),IF($F122="",IF(ISNUMBER($H122),IF($D122="","⑤ 工程平均で仮計算(g扱い)","⑤ 工程平均で仮計算"),IF($E122="⑩盛付梱包工程入力","⑥ 盛り込み(⑳F列で計上)",IF(AND($E122="⑬計量工程入力",OR($D122="個",$D122="切",$D122="本",$D122="枚",$D122="尾")),"① 未紐づけ(カット個単位は仮単価なし)","① 未紐づけ"))),IF(NOT(ISNUMBER($H122)),"② 工程側に単価なし",IF($D122="","③ 単位未設定(個で計算)","④ OK"))))</f>
        <v/>
      </c>
      <c r="J122" s="399">
        <f>IFERROR(LOOKUP(2,1/((中間品リスト!$F$2:$F$1299=$B122)*(中間品リスト!$E$2:$E$1299&lt;&gt;"-")*(中間品リスト!$E$2:$E$1299&lt;&gt;"")),中間品リスト!$E$2:$E$1299),"")</f>
        <v/>
      </c>
      <c r="K122" s="400">
        <f>IF($J122="",0,COUNTIF(②釜工程入力!$S$5:$S$117,$J122)+COUNTIF(③スチコン工程入力!$S$5:$S$152,$J122)+COUNTIF(⑪ZEN工程入力!$S$6:$S$35,$J122)+COUNTIF(⑫ミキサー工程入力!$S$6:$S$65,$J122)+COUNTIF(⑬計量工程入力!$S$6:$S$65,$J122)+COUNTIF(⑭手動工程入力!$S$6:$S$47,$J122))</f>
        <v/>
      </c>
      <c r="L122" s="393">
        <f>IF($J122="",0,SUMIFS(②釜工程入力!$M$5:$M$117,②釜工程入力!$S$5:$S$117,$J122,②釜工程入力!$I$5:$I$117,"&gt;0")+SUMIFS(③スチコン工程入力!$M$5:$M$152,③スチコン工程入力!$S$5:$S$152,$J122,③スチコン工程入力!$I$5:$I$152,"&gt;0")+SUMIFS(⑪ZEN工程入力!$M$6:$M$35,⑪ZEN工程入力!$S$6:$S$35,$J122,⑪ZEN工程入力!$I$6:$I$35,"&gt;0")+SUMIFS(⑫ミキサー工程入力!$M$6:$M$65,⑫ミキサー工程入力!$S$6:$S$65,$J122,⑫ミキサー工程入力!$I$6:$I$65,"&gt;0")+SUMIFS(⑬計量工程入力!$M$6:$M$65,⑬計量工程入力!$S$6:$S$65,$J122,⑬計量工程入力!$I$6:$I$65,"&gt;0")+SUMIFS(⑭手動工程入力!$M$6:$M$47,⑭手動工程入力!$S$6:$S$47,$J122,⑭手動工程入力!$I$6:$I$47,"&gt;0"))</f>
        <v/>
      </c>
      <c r="M122" s="393">
        <f>IF($J122="",0,SUMIFS(②釜工程入力!$I$5:$I$117,②釜工程入力!$S$5:$S$117,$J122,②釜工程入力!$I$5:$I$117,"&gt;0",②釜工程入力!$M$5:$M$117,"&gt;0")+SUMIFS(③スチコン工程入力!$I$5:$I$152,③スチコン工程入力!$S$5:$S$152,$J122,③スチコン工程入力!$I$5:$I$152,"&gt;0",③スチコン工程入力!$M$5:$M$152,"&gt;0")+SUMIFS(⑪ZEN工程入力!$I$6:$I$35,⑪ZEN工程入力!$S$6:$S$35,$J122,⑪ZEN工程入力!$I$6:$I$35,"&gt;0",⑪ZEN工程入力!$M$6:$M$35,"&gt;0")+SUMIFS(⑫ミキサー工程入力!$I$6:$I$65,⑫ミキサー工程入力!$S$6:$S$65,$J122,⑫ミキサー工程入力!$I$6:$I$65,"&gt;0",⑫ミキサー工程入力!$M$6:$M$65,"&gt;0")+SUMIFS(⑬計量工程入力!$I$6:$I$65,⑬計量工程入力!$S$6:$S$65,$J122,⑬計量工程入力!$I$6:$I$65,"&gt;0",⑬計量工程入力!$M$6:$M$65,"&gt;0")+SUMIFS(⑭手動工程入力!$I$6:$I$47,⑭手動工程入力!$S$6:$S$47,$J122,⑭手動工程入力!$I$6:$I$47,"&gt;0",⑭手動工程入力!$M$6:$M$47,"&gt;0"))</f>
        <v/>
      </c>
      <c r="N122" s="393">
        <f>IF($J122="",0,SUMIFS(②釜工程入力!$M$5:$M$117,②釜工程入力!$S$5:$S$117,$J122,②釜工程入力!$J$5:$J$117,"&gt;0")-SUMIFS(②釜工程入力!$M$5:$M$117,②釜工程入力!$S$5:$S$117,$J122,②釜工程入力!$J$5:$J$117,"&gt;0",②釜工程入力!$I$5:$I$117,"&gt;0")+SUMIFS(③スチコン工程入力!$M$5:$M$152,③スチコン工程入力!$S$5:$S$152,$J122,③スチコン工程入力!$J$5:$J$152,"&gt;0")-SUMIFS(③スチコン工程入力!$M$5:$M$152,③スチコン工程入力!$S$5:$S$152,$J122,③スチコン工程入力!$J$5:$J$152,"&gt;0",③スチコン工程入力!$I$5:$I$152,"&gt;0")+SUMIFS(⑪ZEN工程入力!$M$6:$M$35,⑪ZEN工程入力!$S$6:$S$35,$J122,⑪ZEN工程入力!$J$6:$J$35,"&gt;0")-SUMIFS(⑪ZEN工程入力!$M$6:$M$35,⑪ZEN工程入力!$S$6:$S$35,$J122,⑪ZEN工程入力!$J$6:$J$35,"&gt;0",⑪ZEN工程入力!$I$6:$I$35,"&gt;0")+SUMIFS(⑫ミキサー工程入力!$M$6:$M$65,⑫ミキサー工程入力!$S$6:$S$65,$J122,⑫ミキサー工程入力!$J$6:$J$65,"&gt;0")-SUMIFS(⑫ミキサー工程入力!$M$6:$M$65,⑫ミキサー工程入力!$S$6:$S$65,$J122,⑫ミキサー工程入力!$J$6:$J$65,"&gt;0",⑫ミキサー工程入力!$I$6:$I$65,"&gt;0")+SUMIFS(⑬計量工程入力!$M$6:$M$65,⑬計量工程入力!$S$6:$S$65,$J122,⑬計量工程入力!$J$6:$J$65,"&gt;0")-SUMIFS(⑬計量工程入力!$M$6:$M$65,⑬計量工程入力!$S$6:$S$65,$J122,⑬計量工程入力!$J$6:$J$65,"&gt;0",⑬計量工程入力!$I$6:$I$65,"&gt;0")+SUMIFS(⑭手動工程入力!$M$6:$M$47,⑭手動工程入力!$S$6:$S$47,$J122,⑭手動工程入力!$J$6:$J$47,"&gt;0")-SUMIFS(⑭手動工程入力!$M$6:$M$47,⑭手動工程入力!$S$6:$S$47,$J122,⑭手動工程入力!$J$6:$J$47,"&gt;0",⑭手動工程入力!$I$6:$I$47,"&gt;0"))</f>
        <v/>
      </c>
      <c r="O122" s="393">
        <f>IF($J122="",0,SUMIFS(②釜工程入力!$J$5:$J$117,②釜工程入力!$S$5:$S$117,$J122,②釜工程入力!$J$5:$J$117,"&gt;0",②釜工程入力!$M$5:$M$117,"&gt;0")-SUMIFS(②釜工程入力!$J$5:$J$117,②釜工程入力!$S$5:$S$117,$J122,②釜工程入力!$J$5:$J$117,"&gt;0",②釜工程入力!$I$5:$I$117,"&gt;0",②釜工程入力!$M$5:$M$117,"&gt;0")+SUMIFS(③スチコン工程入力!$J$5:$J$152,③スチコン工程入力!$S$5:$S$152,$J122,③スチコン工程入力!$J$5:$J$152,"&gt;0",③スチコン工程入力!$M$5:$M$152,"&gt;0")-SUMIFS(③スチコン工程入力!$J$5:$J$152,③スチコン工程入力!$S$5:$S$152,$J122,③スチコン工程入力!$J$5:$J$152,"&gt;0",③スチコン工程入力!$I$5:$I$152,"&gt;0",③スチコン工程入力!$M$5:$M$152,"&gt;0")+SUMIFS(⑪ZEN工程入力!$J$6:$J$35,⑪ZEN工程入力!$S$6:$S$35,$J122,⑪ZEN工程入力!$J$6:$J$35,"&gt;0",⑪ZEN工程入力!$M$6:$M$35,"&gt;0")-SUMIFS(⑪ZEN工程入力!$J$6:$J$35,⑪ZEN工程入力!$S$6:$S$35,$J122,⑪ZEN工程入力!$J$6:$J$35,"&gt;0",⑪ZEN工程入力!$I$6:$I$35,"&gt;0",⑪ZEN工程入力!$M$6:$M$35,"&gt;0")+SUMIFS(⑫ミキサー工程入力!$J$6:$J$65,⑫ミキサー工程入力!$S$6:$S$65,$J122,⑫ミキサー工程入力!$J$6:$J$65,"&gt;0",⑫ミキサー工程入力!$M$6:$M$65,"&gt;0")-SUMIFS(⑫ミキサー工程入力!$J$6:$J$65,⑫ミキサー工程入力!$S$6:$S$65,$J122,⑫ミキサー工程入力!$J$6:$J$65,"&gt;0",⑫ミキサー工程入力!$I$6:$I$65,"&gt;0",⑫ミキサー工程入力!$M$6:$M$65,"&gt;0")+SUMIFS(⑬計量工程入力!$J$6:$J$65,⑬計量工程入力!$S$6:$S$65,$J122,⑬計量工程入力!$J$6:$J$65,"&gt;0",⑬計量工程入力!$M$6:$M$65,"&gt;0")-SUMIFS(⑬計量工程入力!$J$6:$J$65,⑬計量工程入力!$S$6:$S$65,$J122,⑬計量工程入力!$J$6:$J$65,"&gt;0",⑬計量工程入力!$I$6:$I$65,"&gt;0",⑬計量工程入力!$M$6:$M$65,"&gt;0")+SUMIFS(⑭手動工程入力!$J$6:$J$47,⑭手動工程入力!$S$6:$S$47,$J122,⑭手動工程入力!$J$6:$J$47,"&gt;0",⑭手動工程入力!$M$6:$M$47,"&gt;0")-SUMIFS(⑭手動工程入力!$J$6:$J$47,⑭手動工程入力!$S$6:$S$47,$J122,⑭手動工程入力!$J$6:$J$47,"&gt;0",⑭手動工程入力!$I$6:$I$47,"&gt;0",⑭手動工程入力!$M$6:$M$47,"&gt;0"))</f>
        <v/>
      </c>
      <c r="P122" s="392" t="n"/>
    </row>
    <row r="123">
      <c r="A123" s="392" t="n">
        <v>119</v>
      </c>
      <c r="B123" s="392" t="n"/>
      <c r="C123" s="392" t="n"/>
      <c r="D123" s="392" t="n"/>
      <c r="E123" s="392" t="n"/>
      <c r="F123" s="394" t="n"/>
      <c r="G123" s="392" t="n"/>
      <c r="H123" s="604">
        <f>IFERROR(IF(AND($K123&gt;0,ISNUMBER(IF(OR($D123="g",$D123="ｇ"),IF($M123&gt;0,$L123/$M123/1000,""),IF($D123="kg",IF($M123&gt;0,$L123/$M123,""),IF($D123="",IF($M123&gt;0,$L123/$M123/1000,IF($O123&gt;0,$N123/$O123,"")),IF($O123&gt;0,$N123/$O123,"")))))),IF(OR($D123="g",$D123="ｇ"),IF($M123&gt;0,$L123/$M123/1000,""),IF($D123="kg",IF($M123&gt;0,$L123/$M123,""),IF($D123="",IF($M123&gt;0,$L123/$M123/1000,IF($O123&gt;0,$N123/$O123,"")),IF($O123&gt;0,$N123/$O123,"")))),IF($F123="",IF(OR($E123="",$E123="⑩盛付梱包工程入力"),"",IF(OR($D123="g",$D123="ｇ"),INDEX(⑰工程労務費一覧!$N$5:$N$11,MATCH($E123,⑰工程労務費一覧!$K$5:$K$11,0))/1000,IF($D123="kg",INDEX(⑰工程労務費一覧!$N$5:$N$11,MATCH($E123,⑰工程労務費一覧!$K$5:$K$11,0)),IF(OR($D123="個",$D123="切",$D123="本",$D123="枚",$D123="尾"),IF($E123="⑬計量工程入力","",INDEX(⑰工程労務費一覧!$P$5:$P$11,MATCH($E123,⑰工程労務費一覧!$K$5:$K$11,0))),IF(AND($D123="",OR($E123="②釜工程入力",$E123="③スチコン工程入力")),INDEX(⑰工程労務費一覧!$N$5:$N$11,MATCH($E123,⑰工程労務費一覧!$K$5:$K$11,0))/1000,""))))),IF(OR($D123="g",$D123="ｇ"),INDEX(⑰工程労務費一覧!$H$5:$H$753,MATCH($F123,⑰工程労務費一覧!$D$5:$D$753,0))/1000,IF($D123="kg",INDEX(⑰工程労務費一覧!$H$5:$H$753,MATCH($F123,⑰工程労務費一覧!$D$5:$D$753,0)),INDEX(⑰工程労務費一覧!$I$5:$I$753,MATCH($F123,⑰工程労務費一覧!$D$5:$D$753,0)))))),"")</f>
        <v/>
      </c>
      <c r="I123" s="392">
        <f>IF($K123&gt;0,IF(ISNUMBER(IF(OR($D123="g",$D123="ｇ"),IF($M123&gt;0,$L123/$M123/1000,""),IF($D123="kg",IF($M123&gt;0,$L123/$M123,""),IF($D123="",IF($M123&gt;0,$L123/$M123/1000,IF($O123&gt;0,$N123/$O123,"")),IF($O123&gt;0,$N123/$O123,""))))),IF($D123="",IF($M123&gt;0,"◎ JAN紐づけ(g扱い)","◎ JAN紐づけ(個扱い)"),"◎ JAN紐づけ"),"△ JAN紐づけ済・実績不足→仮計算"),IF($F123="",IF(ISNUMBER($H123),IF($D123="","⑤ 工程平均で仮計算(g扱い)","⑤ 工程平均で仮計算"),IF($E123="⑩盛付梱包工程入力","⑥ 盛り込み(⑳F列で計上)",IF(AND($E123="⑬計量工程入力",OR($D123="個",$D123="切",$D123="本",$D123="枚",$D123="尾")),"① 未紐づけ(カット個単位は仮単価なし)","① 未紐づけ"))),IF(NOT(ISNUMBER($H123)),"② 工程側に単価なし",IF($D123="","③ 単位未設定(個で計算)","④ OK"))))</f>
        <v/>
      </c>
      <c r="J123" s="399">
        <f>IFERROR(LOOKUP(2,1/((中間品リスト!$F$2:$F$1299=$B123)*(中間品リスト!$E$2:$E$1299&lt;&gt;"-")*(中間品リスト!$E$2:$E$1299&lt;&gt;"")),中間品リスト!$E$2:$E$1299),"")</f>
        <v/>
      </c>
      <c r="K123" s="400">
        <f>IF($J123="",0,COUNTIF(②釜工程入力!$S$5:$S$117,$J123)+COUNTIF(③スチコン工程入力!$S$5:$S$152,$J123)+COUNTIF(⑪ZEN工程入力!$S$6:$S$35,$J123)+COUNTIF(⑫ミキサー工程入力!$S$6:$S$65,$J123)+COUNTIF(⑬計量工程入力!$S$6:$S$65,$J123)+COUNTIF(⑭手動工程入力!$S$6:$S$47,$J123))</f>
        <v/>
      </c>
      <c r="L123" s="393">
        <f>IF($J123="",0,SUMIFS(②釜工程入力!$M$5:$M$117,②釜工程入力!$S$5:$S$117,$J123,②釜工程入力!$I$5:$I$117,"&gt;0")+SUMIFS(③スチコン工程入力!$M$5:$M$152,③スチコン工程入力!$S$5:$S$152,$J123,③スチコン工程入力!$I$5:$I$152,"&gt;0")+SUMIFS(⑪ZEN工程入力!$M$6:$M$35,⑪ZEN工程入力!$S$6:$S$35,$J123,⑪ZEN工程入力!$I$6:$I$35,"&gt;0")+SUMIFS(⑫ミキサー工程入力!$M$6:$M$65,⑫ミキサー工程入力!$S$6:$S$65,$J123,⑫ミキサー工程入力!$I$6:$I$65,"&gt;0")+SUMIFS(⑬計量工程入力!$M$6:$M$65,⑬計量工程入力!$S$6:$S$65,$J123,⑬計量工程入力!$I$6:$I$65,"&gt;0")+SUMIFS(⑭手動工程入力!$M$6:$M$47,⑭手動工程入力!$S$6:$S$47,$J123,⑭手動工程入力!$I$6:$I$47,"&gt;0"))</f>
        <v/>
      </c>
      <c r="M123" s="393">
        <f>IF($J123="",0,SUMIFS(②釜工程入力!$I$5:$I$117,②釜工程入力!$S$5:$S$117,$J123,②釜工程入力!$I$5:$I$117,"&gt;0",②釜工程入力!$M$5:$M$117,"&gt;0")+SUMIFS(③スチコン工程入力!$I$5:$I$152,③スチコン工程入力!$S$5:$S$152,$J123,③スチコン工程入力!$I$5:$I$152,"&gt;0",③スチコン工程入力!$M$5:$M$152,"&gt;0")+SUMIFS(⑪ZEN工程入力!$I$6:$I$35,⑪ZEN工程入力!$S$6:$S$35,$J123,⑪ZEN工程入力!$I$6:$I$35,"&gt;0",⑪ZEN工程入力!$M$6:$M$35,"&gt;0")+SUMIFS(⑫ミキサー工程入力!$I$6:$I$65,⑫ミキサー工程入力!$S$6:$S$65,$J123,⑫ミキサー工程入力!$I$6:$I$65,"&gt;0",⑫ミキサー工程入力!$M$6:$M$65,"&gt;0")+SUMIFS(⑬計量工程入力!$I$6:$I$65,⑬計量工程入力!$S$6:$S$65,$J123,⑬計量工程入力!$I$6:$I$65,"&gt;0",⑬計量工程入力!$M$6:$M$65,"&gt;0")+SUMIFS(⑭手動工程入力!$I$6:$I$47,⑭手動工程入力!$S$6:$S$47,$J123,⑭手動工程入力!$I$6:$I$47,"&gt;0",⑭手動工程入力!$M$6:$M$47,"&gt;0"))</f>
        <v/>
      </c>
      <c r="N123" s="393">
        <f>IF($J123="",0,SUMIFS(②釜工程入力!$M$5:$M$117,②釜工程入力!$S$5:$S$117,$J123,②釜工程入力!$J$5:$J$117,"&gt;0")-SUMIFS(②釜工程入力!$M$5:$M$117,②釜工程入力!$S$5:$S$117,$J123,②釜工程入力!$J$5:$J$117,"&gt;0",②釜工程入力!$I$5:$I$117,"&gt;0")+SUMIFS(③スチコン工程入力!$M$5:$M$152,③スチコン工程入力!$S$5:$S$152,$J123,③スチコン工程入力!$J$5:$J$152,"&gt;0")-SUMIFS(③スチコン工程入力!$M$5:$M$152,③スチコン工程入力!$S$5:$S$152,$J123,③スチコン工程入力!$J$5:$J$152,"&gt;0",③スチコン工程入力!$I$5:$I$152,"&gt;0")+SUMIFS(⑪ZEN工程入力!$M$6:$M$35,⑪ZEN工程入力!$S$6:$S$35,$J123,⑪ZEN工程入力!$J$6:$J$35,"&gt;0")-SUMIFS(⑪ZEN工程入力!$M$6:$M$35,⑪ZEN工程入力!$S$6:$S$35,$J123,⑪ZEN工程入力!$J$6:$J$35,"&gt;0",⑪ZEN工程入力!$I$6:$I$35,"&gt;0")+SUMIFS(⑫ミキサー工程入力!$M$6:$M$65,⑫ミキサー工程入力!$S$6:$S$65,$J123,⑫ミキサー工程入力!$J$6:$J$65,"&gt;0")-SUMIFS(⑫ミキサー工程入力!$M$6:$M$65,⑫ミキサー工程入力!$S$6:$S$65,$J123,⑫ミキサー工程入力!$J$6:$J$65,"&gt;0",⑫ミキサー工程入力!$I$6:$I$65,"&gt;0")+SUMIFS(⑬計量工程入力!$M$6:$M$65,⑬計量工程入力!$S$6:$S$65,$J123,⑬計量工程入力!$J$6:$J$65,"&gt;0")-SUMIFS(⑬計量工程入力!$M$6:$M$65,⑬計量工程入力!$S$6:$S$65,$J123,⑬計量工程入力!$J$6:$J$65,"&gt;0",⑬計量工程入力!$I$6:$I$65,"&gt;0")+SUMIFS(⑭手動工程入力!$M$6:$M$47,⑭手動工程入力!$S$6:$S$47,$J123,⑭手動工程入力!$J$6:$J$47,"&gt;0")-SUMIFS(⑭手動工程入力!$M$6:$M$47,⑭手動工程入力!$S$6:$S$47,$J123,⑭手動工程入力!$J$6:$J$47,"&gt;0",⑭手動工程入力!$I$6:$I$47,"&gt;0"))</f>
        <v/>
      </c>
      <c r="O123" s="393">
        <f>IF($J123="",0,SUMIFS(②釜工程入力!$J$5:$J$117,②釜工程入力!$S$5:$S$117,$J123,②釜工程入力!$J$5:$J$117,"&gt;0",②釜工程入力!$M$5:$M$117,"&gt;0")-SUMIFS(②釜工程入力!$J$5:$J$117,②釜工程入力!$S$5:$S$117,$J123,②釜工程入力!$J$5:$J$117,"&gt;0",②釜工程入力!$I$5:$I$117,"&gt;0",②釜工程入力!$M$5:$M$117,"&gt;0")+SUMIFS(③スチコン工程入力!$J$5:$J$152,③スチコン工程入力!$S$5:$S$152,$J123,③スチコン工程入力!$J$5:$J$152,"&gt;0",③スチコン工程入力!$M$5:$M$152,"&gt;0")-SUMIFS(③スチコン工程入力!$J$5:$J$152,③スチコン工程入力!$S$5:$S$152,$J123,③スチコン工程入力!$J$5:$J$152,"&gt;0",③スチコン工程入力!$I$5:$I$152,"&gt;0",③スチコン工程入力!$M$5:$M$152,"&gt;0")+SUMIFS(⑪ZEN工程入力!$J$6:$J$35,⑪ZEN工程入力!$S$6:$S$35,$J123,⑪ZEN工程入力!$J$6:$J$35,"&gt;0",⑪ZEN工程入力!$M$6:$M$35,"&gt;0")-SUMIFS(⑪ZEN工程入力!$J$6:$J$35,⑪ZEN工程入力!$S$6:$S$35,$J123,⑪ZEN工程入力!$J$6:$J$35,"&gt;0",⑪ZEN工程入力!$I$6:$I$35,"&gt;0",⑪ZEN工程入力!$M$6:$M$35,"&gt;0")+SUMIFS(⑫ミキサー工程入力!$J$6:$J$65,⑫ミキサー工程入力!$S$6:$S$65,$J123,⑫ミキサー工程入力!$J$6:$J$65,"&gt;0",⑫ミキサー工程入力!$M$6:$M$65,"&gt;0")-SUMIFS(⑫ミキサー工程入力!$J$6:$J$65,⑫ミキサー工程入力!$S$6:$S$65,$J123,⑫ミキサー工程入力!$J$6:$J$65,"&gt;0",⑫ミキサー工程入力!$I$6:$I$65,"&gt;0",⑫ミキサー工程入力!$M$6:$M$65,"&gt;0")+SUMIFS(⑬計量工程入力!$J$6:$J$65,⑬計量工程入力!$S$6:$S$65,$J123,⑬計量工程入力!$J$6:$J$65,"&gt;0",⑬計量工程入力!$M$6:$M$65,"&gt;0")-SUMIFS(⑬計量工程入力!$J$6:$J$65,⑬計量工程入力!$S$6:$S$65,$J123,⑬計量工程入力!$J$6:$J$65,"&gt;0",⑬計量工程入力!$I$6:$I$65,"&gt;0",⑬計量工程入力!$M$6:$M$65,"&gt;0")+SUMIFS(⑭手動工程入力!$J$6:$J$47,⑭手動工程入力!$S$6:$S$47,$J123,⑭手動工程入力!$J$6:$J$47,"&gt;0",⑭手動工程入力!$M$6:$M$47,"&gt;0")-SUMIFS(⑭手動工程入力!$J$6:$J$47,⑭手動工程入力!$S$6:$S$47,$J123,⑭手動工程入力!$J$6:$J$47,"&gt;0",⑭手動工程入力!$I$6:$I$47,"&gt;0",⑭手動工程入力!$M$6:$M$47,"&gt;0"))</f>
        <v/>
      </c>
      <c r="P123" s="392" t="n"/>
    </row>
    <row r="124">
      <c r="A124" s="392" t="n">
        <v>120</v>
      </c>
      <c r="B124" s="392" t="n"/>
      <c r="C124" s="392" t="n"/>
      <c r="D124" s="392" t="n"/>
      <c r="E124" s="392" t="n"/>
      <c r="F124" s="394" t="n"/>
      <c r="G124" s="392" t="n"/>
      <c r="H124" s="604">
        <f>IFERROR(IF(AND($K124&gt;0,ISNUMBER(IF(OR($D124="g",$D124="ｇ"),IF($M124&gt;0,$L124/$M124/1000,""),IF($D124="kg",IF($M124&gt;0,$L124/$M124,""),IF($D124="",IF($M124&gt;0,$L124/$M124/1000,IF($O124&gt;0,$N124/$O124,"")),IF($O124&gt;0,$N124/$O124,"")))))),IF(OR($D124="g",$D124="ｇ"),IF($M124&gt;0,$L124/$M124/1000,""),IF($D124="kg",IF($M124&gt;0,$L124/$M124,""),IF($D124="",IF($M124&gt;0,$L124/$M124/1000,IF($O124&gt;0,$N124/$O124,"")),IF($O124&gt;0,$N124/$O124,"")))),IF($F124="",IF(OR($E124="",$E124="⑩盛付梱包工程入力"),"",IF(OR($D124="g",$D124="ｇ"),INDEX(⑰工程労務費一覧!$N$5:$N$11,MATCH($E124,⑰工程労務費一覧!$K$5:$K$11,0))/1000,IF($D124="kg",INDEX(⑰工程労務費一覧!$N$5:$N$11,MATCH($E124,⑰工程労務費一覧!$K$5:$K$11,0)),IF(OR($D124="個",$D124="切",$D124="本",$D124="枚",$D124="尾"),IF($E124="⑬計量工程入力","",INDEX(⑰工程労務費一覧!$P$5:$P$11,MATCH($E124,⑰工程労務費一覧!$K$5:$K$11,0))),IF(AND($D124="",OR($E124="②釜工程入力",$E124="③スチコン工程入力")),INDEX(⑰工程労務費一覧!$N$5:$N$11,MATCH($E124,⑰工程労務費一覧!$K$5:$K$11,0))/1000,""))))),IF(OR($D124="g",$D124="ｇ"),INDEX(⑰工程労務費一覧!$H$5:$H$753,MATCH($F124,⑰工程労務費一覧!$D$5:$D$753,0))/1000,IF($D124="kg",INDEX(⑰工程労務費一覧!$H$5:$H$753,MATCH($F124,⑰工程労務費一覧!$D$5:$D$753,0)),INDEX(⑰工程労務費一覧!$I$5:$I$753,MATCH($F124,⑰工程労務費一覧!$D$5:$D$753,0)))))),"")</f>
        <v/>
      </c>
      <c r="I124" s="392">
        <f>IF($K124&gt;0,IF(ISNUMBER(IF(OR($D124="g",$D124="ｇ"),IF($M124&gt;0,$L124/$M124/1000,""),IF($D124="kg",IF($M124&gt;0,$L124/$M124,""),IF($D124="",IF($M124&gt;0,$L124/$M124/1000,IF($O124&gt;0,$N124/$O124,"")),IF($O124&gt;0,$N124/$O124,""))))),IF($D124="",IF($M124&gt;0,"◎ JAN紐づけ(g扱い)","◎ JAN紐づけ(個扱い)"),"◎ JAN紐づけ"),"△ JAN紐づけ済・実績不足→仮計算"),IF($F124="",IF(ISNUMBER($H124),IF($D124="","⑤ 工程平均で仮計算(g扱い)","⑤ 工程平均で仮計算"),IF($E124="⑩盛付梱包工程入力","⑥ 盛り込み(⑳F列で計上)",IF(AND($E124="⑬計量工程入力",OR($D124="個",$D124="切",$D124="本",$D124="枚",$D124="尾")),"① 未紐づけ(カット個単位は仮単価なし)","① 未紐づけ"))),IF(NOT(ISNUMBER($H124)),"② 工程側に単価なし",IF($D124="","③ 単位未設定(個で計算)","④ OK"))))</f>
        <v/>
      </c>
      <c r="J124" s="399">
        <f>IFERROR(LOOKUP(2,1/((中間品リスト!$F$2:$F$1299=$B124)*(中間品リスト!$E$2:$E$1299&lt;&gt;"-")*(中間品リスト!$E$2:$E$1299&lt;&gt;"")),中間品リスト!$E$2:$E$1299),"")</f>
        <v/>
      </c>
      <c r="K124" s="400">
        <f>IF($J124="",0,COUNTIF(②釜工程入力!$S$5:$S$117,$J124)+COUNTIF(③スチコン工程入力!$S$5:$S$152,$J124)+COUNTIF(⑪ZEN工程入力!$S$6:$S$35,$J124)+COUNTIF(⑫ミキサー工程入力!$S$6:$S$65,$J124)+COUNTIF(⑬計量工程入力!$S$6:$S$65,$J124)+COUNTIF(⑭手動工程入力!$S$6:$S$47,$J124))</f>
        <v/>
      </c>
      <c r="L124" s="393">
        <f>IF($J124="",0,SUMIFS(②釜工程入力!$M$5:$M$117,②釜工程入力!$S$5:$S$117,$J124,②釜工程入力!$I$5:$I$117,"&gt;0")+SUMIFS(③スチコン工程入力!$M$5:$M$152,③スチコン工程入力!$S$5:$S$152,$J124,③スチコン工程入力!$I$5:$I$152,"&gt;0")+SUMIFS(⑪ZEN工程入力!$M$6:$M$35,⑪ZEN工程入力!$S$6:$S$35,$J124,⑪ZEN工程入力!$I$6:$I$35,"&gt;0")+SUMIFS(⑫ミキサー工程入力!$M$6:$M$65,⑫ミキサー工程入力!$S$6:$S$65,$J124,⑫ミキサー工程入力!$I$6:$I$65,"&gt;0")+SUMIFS(⑬計量工程入力!$M$6:$M$65,⑬計量工程入力!$S$6:$S$65,$J124,⑬計量工程入力!$I$6:$I$65,"&gt;0")+SUMIFS(⑭手動工程入力!$M$6:$M$47,⑭手動工程入力!$S$6:$S$47,$J124,⑭手動工程入力!$I$6:$I$47,"&gt;0"))</f>
        <v/>
      </c>
      <c r="M124" s="393">
        <f>IF($J124="",0,SUMIFS(②釜工程入力!$I$5:$I$117,②釜工程入力!$S$5:$S$117,$J124,②釜工程入力!$I$5:$I$117,"&gt;0",②釜工程入力!$M$5:$M$117,"&gt;0")+SUMIFS(③スチコン工程入力!$I$5:$I$152,③スチコン工程入力!$S$5:$S$152,$J124,③スチコン工程入力!$I$5:$I$152,"&gt;0",③スチコン工程入力!$M$5:$M$152,"&gt;0")+SUMIFS(⑪ZEN工程入力!$I$6:$I$35,⑪ZEN工程入力!$S$6:$S$35,$J124,⑪ZEN工程入力!$I$6:$I$35,"&gt;0",⑪ZEN工程入力!$M$6:$M$35,"&gt;0")+SUMIFS(⑫ミキサー工程入力!$I$6:$I$65,⑫ミキサー工程入力!$S$6:$S$65,$J124,⑫ミキサー工程入力!$I$6:$I$65,"&gt;0",⑫ミキサー工程入力!$M$6:$M$65,"&gt;0")+SUMIFS(⑬計量工程入力!$I$6:$I$65,⑬計量工程入力!$S$6:$S$65,$J124,⑬計量工程入力!$I$6:$I$65,"&gt;0",⑬計量工程入力!$M$6:$M$65,"&gt;0")+SUMIFS(⑭手動工程入力!$I$6:$I$47,⑭手動工程入力!$S$6:$S$47,$J124,⑭手動工程入力!$I$6:$I$47,"&gt;0",⑭手動工程入力!$M$6:$M$47,"&gt;0"))</f>
        <v/>
      </c>
      <c r="N124" s="393">
        <f>IF($J124="",0,SUMIFS(②釜工程入力!$M$5:$M$117,②釜工程入力!$S$5:$S$117,$J124,②釜工程入力!$J$5:$J$117,"&gt;0")-SUMIFS(②釜工程入力!$M$5:$M$117,②釜工程入力!$S$5:$S$117,$J124,②釜工程入力!$J$5:$J$117,"&gt;0",②釜工程入力!$I$5:$I$117,"&gt;0")+SUMIFS(③スチコン工程入力!$M$5:$M$152,③スチコン工程入力!$S$5:$S$152,$J124,③スチコン工程入力!$J$5:$J$152,"&gt;0")-SUMIFS(③スチコン工程入力!$M$5:$M$152,③スチコン工程入力!$S$5:$S$152,$J124,③スチコン工程入力!$J$5:$J$152,"&gt;0",③スチコン工程入力!$I$5:$I$152,"&gt;0")+SUMIFS(⑪ZEN工程入力!$M$6:$M$35,⑪ZEN工程入力!$S$6:$S$35,$J124,⑪ZEN工程入力!$J$6:$J$35,"&gt;0")-SUMIFS(⑪ZEN工程入力!$M$6:$M$35,⑪ZEN工程入力!$S$6:$S$35,$J124,⑪ZEN工程入力!$J$6:$J$35,"&gt;0",⑪ZEN工程入力!$I$6:$I$35,"&gt;0")+SUMIFS(⑫ミキサー工程入力!$M$6:$M$65,⑫ミキサー工程入力!$S$6:$S$65,$J124,⑫ミキサー工程入力!$J$6:$J$65,"&gt;0")-SUMIFS(⑫ミキサー工程入力!$M$6:$M$65,⑫ミキサー工程入力!$S$6:$S$65,$J124,⑫ミキサー工程入力!$J$6:$J$65,"&gt;0",⑫ミキサー工程入力!$I$6:$I$65,"&gt;0")+SUMIFS(⑬計量工程入力!$M$6:$M$65,⑬計量工程入力!$S$6:$S$65,$J124,⑬計量工程入力!$J$6:$J$65,"&gt;0")-SUMIFS(⑬計量工程入力!$M$6:$M$65,⑬計量工程入力!$S$6:$S$65,$J124,⑬計量工程入力!$J$6:$J$65,"&gt;0",⑬計量工程入力!$I$6:$I$65,"&gt;0")+SUMIFS(⑭手動工程入力!$M$6:$M$47,⑭手動工程入力!$S$6:$S$47,$J124,⑭手動工程入力!$J$6:$J$47,"&gt;0")-SUMIFS(⑭手動工程入力!$M$6:$M$47,⑭手動工程入力!$S$6:$S$47,$J124,⑭手動工程入力!$J$6:$J$47,"&gt;0",⑭手動工程入力!$I$6:$I$47,"&gt;0"))</f>
        <v/>
      </c>
      <c r="O124" s="393">
        <f>IF($J124="",0,SUMIFS(②釜工程入力!$J$5:$J$117,②釜工程入力!$S$5:$S$117,$J124,②釜工程入力!$J$5:$J$117,"&gt;0",②釜工程入力!$M$5:$M$117,"&gt;0")-SUMIFS(②釜工程入力!$J$5:$J$117,②釜工程入力!$S$5:$S$117,$J124,②釜工程入力!$J$5:$J$117,"&gt;0",②釜工程入力!$I$5:$I$117,"&gt;0",②釜工程入力!$M$5:$M$117,"&gt;0")+SUMIFS(③スチコン工程入力!$J$5:$J$152,③スチコン工程入力!$S$5:$S$152,$J124,③スチコン工程入力!$J$5:$J$152,"&gt;0",③スチコン工程入力!$M$5:$M$152,"&gt;0")-SUMIFS(③スチコン工程入力!$J$5:$J$152,③スチコン工程入力!$S$5:$S$152,$J124,③スチコン工程入力!$J$5:$J$152,"&gt;0",③スチコン工程入力!$I$5:$I$152,"&gt;0",③スチコン工程入力!$M$5:$M$152,"&gt;0")+SUMIFS(⑪ZEN工程入力!$J$6:$J$35,⑪ZEN工程入力!$S$6:$S$35,$J124,⑪ZEN工程入力!$J$6:$J$35,"&gt;0",⑪ZEN工程入力!$M$6:$M$35,"&gt;0")-SUMIFS(⑪ZEN工程入力!$J$6:$J$35,⑪ZEN工程入力!$S$6:$S$35,$J124,⑪ZEN工程入力!$J$6:$J$35,"&gt;0",⑪ZEN工程入力!$I$6:$I$35,"&gt;0",⑪ZEN工程入力!$M$6:$M$35,"&gt;0")+SUMIFS(⑫ミキサー工程入力!$J$6:$J$65,⑫ミキサー工程入力!$S$6:$S$65,$J124,⑫ミキサー工程入力!$J$6:$J$65,"&gt;0",⑫ミキサー工程入力!$M$6:$M$65,"&gt;0")-SUMIFS(⑫ミキサー工程入力!$J$6:$J$65,⑫ミキサー工程入力!$S$6:$S$65,$J124,⑫ミキサー工程入力!$J$6:$J$65,"&gt;0",⑫ミキサー工程入力!$I$6:$I$65,"&gt;0",⑫ミキサー工程入力!$M$6:$M$65,"&gt;0")+SUMIFS(⑬計量工程入力!$J$6:$J$65,⑬計量工程入力!$S$6:$S$65,$J124,⑬計量工程入力!$J$6:$J$65,"&gt;0",⑬計量工程入力!$M$6:$M$65,"&gt;0")-SUMIFS(⑬計量工程入力!$J$6:$J$65,⑬計量工程入力!$S$6:$S$65,$J124,⑬計量工程入力!$J$6:$J$65,"&gt;0",⑬計量工程入力!$I$6:$I$65,"&gt;0",⑬計量工程入力!$M$6:$M$65,"&gt;0")+SUMIFS(⑭手動工程入力!$J$6:$J$47,⑭手動工程入力!$S$6:$S$47,$J124,⑭手動工程入力!$J$6:$J$47,"&gt;0",⑭手動工程入力!$M$6:$M$47,"&gt;0")-SUMIFS(⑭手動工程入力!$J$6:$J$47,⑭手動工程入力!$S$6:$S$47,$J124,⑭手動工程入力!$J$6:$J$47,"&gt;0",⑭手動工程入力!$I$6:$I$47,"&gt;0",⑭手動工程入力!$M$6:$M$47,"&gt;0"))</f>
        <v/>
      </c>
      <c r="P124" s="392" t="n"/>
    </row>
    <row r="125">
      <c r="A125" s="392" t="n">
        <v>121</v>
      </c>
      <c r="B125" s="392" t="n"/>
      <c r="C125" s="392" t="n"/>
      <c r="D125" s="392" t="n"/>
      <c r="E125" s="392" t="n"/>
      <c r="F125" s="394" t="n"/>
      <c r="G125" s="392" t="n"/>
      <c r="H125" s="604">
        <f>IFERROR(IF(AND($K125&gt;0,ISNUMBER(IF(OR($D125="g",$D125="ｇ"),IF($M125&gt;0,$L125/$M125/1000,""),IF($D125="kg",IF($M125&gt;0,$L125/$M125,""),IF($D125="",IF($M125&gt;0,$L125/$M125/1000,IF($O125&gt;0,$N125/$O125,"")),IF($O125&gt;0,$N125/$O125,"")))))),IF(OR($D125="g",$D125="ｇ"),IF($M125&gt;0,$L125/$M125/1000,""),IF($D125="kg",IF($M125&gt;0,$L125/$M125,""),IF($D125="",IF($M125&gt;0,$L125/$M125/1000,IF($O125&gt;0,$N125/$O125,"")),IF($O125&gt;0,$N125/$O125,"")))),IF($F125="",IF(OR($E125="",$E125="⑩盛付梱包工程入力"),"",IF(OR($D125="g",$D125="ｇ"),INDEX(⑰工程労務費一覧!$N$5:$N$11,MATCH($E125,⑰工程労務費一覧!$K$5:$K$11,0))/1000,IF($D125="kg",INDEX(⑰工程労務費一覧!$N$5:$N$11,MATCH($E125,⑰工程労務費一覧!$K$5:$K$11,0)),IF(OR($D125="個",$D125="切",$D125="本",$D125="枚",$D125="尾"),IF($E125="⑬計量工程入力","",INDEX(⑰工程労務費一覧!$P$5:$P$11,MATCH($E125,⑰工程労務費一覧!$K$5:$K$11,0))),IF(AND($D125="",OR($E125="②釜工程入力",$E125="③スチコン工程入力")),INDEX(⑰工程労務費一覧!$N$5:$N$11,MATCH($E125,⑰工程労務費一覧!$K$5:$K$11,0))/1000,""))))),IF(OR($D125="g",$D125="ｇ"),INDEX(⑰工程労務費一覧!$H$5:$H$753,MATCH($F125,⑰工程労務費一覧!$D$5:$D$753,0))/1000,IF($D125="kg",INDEX(⑰工程労務費一覧!$H$5:$H$753,MATCH($F125,⑰工程労務費一覧!$D$5:$D$753,0)),INDEX(⑰工程労務費一覧!$I$5:$I$753,MATCH($F125,⑰工程労務費一覧!$D$5:$D$753,0)))))),"")</f>
        <v/>
      </c>
      <c r="I125" s="392">
        <f>IF($K125&gt;0,IF(ISNUMBER(IF(OR($D125="g",$D125="ｇ"),IF($M125&gt;0,$L125/$M125/1000,""),IF($D125="kg",IF($M125&gt;0,$L125/$M125,""),IF($D125="",IF($M125&gt;0,$L125/$M125/1000,IF($O125&gt;0,$N125/$O125,"")),IF($O125&gt;0,$N125/$O125,""))))),IF($D125="",IF($M125&gt;0,"◎ JAN紐づけ(g扱い)","◎ JAN紐づけ(個扱い)"),"◎ JAN紐づけ"),"△ JAN紐づけ済・実績不足→仮計算"),IF($F125="",IF(ISNUMBER($H125),IF($D125="","⑤ 工程平均で仮計算(g扱い)","⑤ 工程平均で仮計算"),IF($E125="⑩盛付梱包工程入力","⑥ 盛り込み(⑳F列で計上)",IF(AND($E125="⑬計量工程入力",OR($D125="個",$D125="切",$D125="本",$D125="枚",$D125="尾")),"① 未紐づけ(カット個単位は仮単価なし)","① 未紐づけ"))),IF(NOT(ISNUMBER($H125)),"② 工程側に単価なし",IF($D125="","③ 単位未設定(個で計算)","④ OK"))))</f>
        <v/>
      </c>
      <c r="J125" s="399">
        <f>IFERROR(LOOKUP(2,1/((中間品リスト!$F$2:$F$1299=$B125)*(中間品リスト!$E$2:$E$1299&lt;&gt;"-")*(中間品リスト!$E$2:$E$1299&lt;&gt;"")),中間品リスト!$E$2:$E$1299),"")</f>
        <v/>
      </c>
      <c r="K125" s="400">
        <f>IF($J125="",0,COUNTIF(②釜工程入力!$S$5:$S$117,$J125)+COUNTIF(③スチコン工程入力!$S$5:$S$152,$J125)+COUNTIF(⑪ZEN工程入力!$S$6:$S$35,$J125)+COUNTIF(⑫ミキサー工程入力!$S$6:$S$65,$J125)+COUNTIF(⑬計量工程入力!$S$6:$S$65,$J125)+COUNTIF(⑭手動工程入力!$S$6:$S$47,$J125))</f>
        <v/>
      </c>
      <c r="L125" s="393">
        <f>IF($J125="",0,SUMIFS(②釜工程入力!$M$5:$M$117,②釜工程入力!$S$5:$S$117,$J125,②釜工程入力!$I$5:$I$117,"&gt;0")+SUMIFS(③スチコン工程入力!$M$5:$M$152,③スチコン工程入力!$S$5:$S$152,$J125,③スチコン工程入力!$I$5:$I$152,"&gt;0")+SUMIFS(⑪ZEN工程入力!$M$6:$M$35,⑪ZEN工程入力!$S$6:$S$35,$J125,⑪ZEN工程入力!$I$6:$I$35,"&gt;0")+SUMIFS(⑫ミキサー工程入力!$M$6:$M$65,⑫ミキサー工程入力!$S$6:$S$65,$J125,⑫ミキサー工程入力!$I$6:$I$65,"&gt;0")+SUMIFS(⑬計量工程入力!$M$6:$M$65,⑬計量工程入力!$S$6:$S$65,$J125,⑬計量工程入力!$I$6:$I$65,"&gt;0")+SUMIFS(⑭手動工程入力!$M$6:$M$47,⑭手動工程入力!$S$6:$S$47,$J125,⑭手動工程入力!$I$6:$I$47,"&gt;0"))</f>
        <v/>
      </c>
      <c r="M125" s="393">
        <f>IF($J125="",0,SUMIFS(②釜工程入力!$I$5:$I$117,②釜工程入力!$S$5:$S$117,$J125,②釜工程入力!$I$5:$I$117,"&gt;0",②釜工程入力!$M$5:$M$117,"&gt;0")+SUMIFS(③スチコン工程入力!$I$5:$I$152,③スチコン工程入力!$S$5:$S$152,$J125,③スチコン工程入力!$I$5:$I$152,"&gt;0",③スチコン工程入力!$M$5:$M$152,"&gt;0")+SUMIFS(⑪ZEN工程入力!$I$6:$I$35,⑪ZEN工程入力!$S$6:$S$35,$J125,⑪ZEN工程入力!$I$6:$I$35,"&gt;0",⑪ZEN工程入力!$M$6:$M$35,"&gt;0")+SUMIFS(⑫ミキサー工程入力!$I$6:$I$65,⑫ミキサー工程入力!$S$6:$S$65,$J125,⑫ミキサー工程入力!$I$6:$I$65,"&gt;0",⑫ミキサー工程入力!$M$6:$M$65,"&gt;0")+SUMIFS(⑬計量工程入力!$I$6:$I$65,⑬計量工程入力!$S$6:$S$65,$J125,⑬計量工程入力!$I$6:$I$65,"&gt;0",⑬計量工程入力!$M$6:$M$65,"&gt;0")+SUMIFS(⑭手動工程入力!$I$6:$I$47,⑭手動工程入力!$S$6:$S$47,$J125,⑭手動工程入力!$I$6:$I$47,"&gt;0",⑭手動工程入力!$M$6:$M$47,"&gt;0"))</f>
        <v/>
      </c>
      <c r="N125" s="393">
        <f>IF($J125="",0,SUMIFS(②釜工程入力!$M$5:$M$117,②釜工程入力!$S$5:$S$117,$J125,②釜工程入力!$J$5:$J$117,"&gt;0")-SUMIFS(②釜工程入力!$M$5:$M$117,②釜工程入力!$S$5:$S$117,$J125,②釜工程入力!$J$5:$J$117,"&gt;0",②釜工程入力!$I$5:$I$117,"&gt;0")+SUMIFS(③スチコン工程入力!$M$5:$M$152,③スチコン工程入力!$S$5:$S$152,$J125,③スチコン工程入力!$J$5:$J$152,"&gt;0")-SUMIFS(③スチコン工程入力!$M$5:$M$152,③スチコン工程入力!$S$5:$S$152,$J125,③スチコン工程入力!$J$5:$J$152,"&gt;0",③スチコン工程入力!$I$5:$I$152,"&gt;0")+SUMIFS(⑪ZEN工程入力!$M$6:$M$35,⑪ZEN工程入力!$S$6:$S$35,$J125,⑪ZEN工程入力!$J$6:$J$35,"&gt;0")-SUMIFS(⑪ZEN工程入力!$M$6:$M$35,⑪ZEN工程入力!$S$6:$S$35,$J125,⑪ZEN工程入力!$J$6:$J$35,"&gt;0",⑪ZEN工程入力!$I$6:$I$35,"&gt;0")+SUMIFS(⑫ミキサー工程入力!$M$6:$M$65,⑫ミキサー工程入力!$S$6:$S$65,$J125,⑫ミキサー工程入力!$J$6:$J$65,"&gt;0")-SUMIFS(⑫ミキサー工程入力!$M$6:$M$65,⑫ミキサー工程入力!$S$6:$S$65,$J125,⑫ミキサー工程入力!$J$6:$J$65,"&gt;0",⑫ミキサー工程入力!$I$6:$I$65,"&gt;0")+SUMIFS(⑬計量工程入力!$M$6:$M$65,⑬計量工程入力!$S$6:$S$65,$J125,⑬計量工程入力!$J$6:$J$65,"&gt;0")-SUMIFS(⑬計量工程入力!$M$6:$M$65,⑬計量工程入力!$S$6:$S$65,$J125,⑬計量工程入力!$J$6:$J$65,"&gt;0",⑬計量工程入力!$I$6:$I$65,"&gt;0")+SUMIFS(⑭手動工程入力!$M$6:$M$47,⑭手動工程入力!$S$6:$S$47,$J125,⑭手動工程入力!$J$6:$J$47,"&gt;0")-SUMIFS(⑭手動工程入力!$M$6:$M$47,⑭手動工程入力!$S$6:$S$47,$J125,⑭手動工程入力!$J$6:$J$47,"&gt;0",⑭手動工程入力!$I$6:$I$47,"&gt;0"))</f>
        <v/>
      </c>
      <c r="O125" s="393">
        <f>IF($J125="",0,SUMIFS(②釜工程入力!$J$5:$J$117,②釜工程入力!$S$5:$S$117,$J125,②釜工程入力!$J$5:$J$117,"&gt;0",②釜工程入力!$M$5:$M$117,"&gt;0")-SUMIFS(②釜工程入力!$J$5:$J$117,②釜工程入力!$S$5:$S$117,$J125,②釜工程入力!$J$5:$J$117,"&gt;0",②釜工程入力!$I$5:$I$117,"&gt;0",②釜工程入力!$M$5:$M$117,"&gt;0")+SUMIFS(③スチコン工程入力!$J$5:$J$152,③スチコン工程入力!$S$5:$S$152,$J125,③スチコン工程入力!$J$5:$J$152,"&gt;0",③スチコン工程入力!$M$5:$M$152,"&gt;0")-SUMIFS(③スチコン工程入力!$J$5:$J$152,③スチコン工程入力!$S$5:$S$152,$J125,③スチコン工程入力!$J$5:$J$152,"&gt;0",③スチコン工程入力!$I$5:$I$152,"&gt;0",③スチコン工程入力!$M$5:$M$152,"&gt;0")+SUMIFS(⑪ZEN工程入力!$J$6:$J$35,⑪ZEN工程入力!$S$6:$S$35,$J125,⑪ZEN工程入力!$J$6:$J$35,"&gt;0",⑪ZEN工程入力!$M$6:$M$35,"&gt;0")-SUMIFS(⑪ZEN工程入力!$J$6:$J$35,⑪ZEN工程入力!$S$6:$S$35,$J125,⑪ZEN工程入力!$J$6:$J$35,"&gt;0",⑪ZEN工程入力!$I$6:$I$35,"&gt;0",⑪ZEN工程入力!$M$6:$M$35,"&gt;0")+SUMIFS(⑫ミキサー工程入力!$J$6:$J$65,⑫ミキサー工程入力!$S$6:$S$65,$J125,⑫ミキサー工程入力!$J$6:$J$65,"&gt;0",⑫ミキサー工程入力!$M$6:$M$65,"&gt;0")-SUMIFS(⑫ミキサー工程入力!$J$6:$J$65,⑫ミキサー工程入力!$S$6:$S$65,$J125,⑫ミキサー工程入力!$J$6:$J$65,"&gt;0",⑫ミキサー工程入力!$I$6:$I$65,"&gt;0",⑫ミキサー工程入力!$M$6:$M$65,"&gt;0")+SUMIFS(⑬計量工程入力!$J$6:$J$65,⑬計量工程入力!$S$6:$S$65,$J125,⑬計量工程入力!$J$6:$J$65,"&gt;0",⑬計量工程入力!$M$6:$M$65,"&gt;0")-SUMIFS(⑬計量工程入力!$J$6:$J$65,⑬計量工程入力!$S$6:$S$65,$J125,⑬計量工程入力!$J$6:$J$65,"&gt;0",⑬計量工程入力!$I$6:$I$65,"&gt;0",⑬計量工程入力!$M$6:$M$65,"&gt;0")+SUMIFS(⑭手動工程入力!$J$6:$J$47,⑭手動工程入力!$S$6:$S$47,$J125,⑭手動工程入力!$J$6:$J$47,"&gt;0",⑭手動工程入力!$M$6:$M$47,"&gt;0")-SUMIFS(⑭手動工程入力!$J$6:$J$47,⑭手動工程入力!$S$6:$S$47,$J125,⑭手動工程入力!$J$6:$J$47,"&gt;0",⑭手動工程入力!$I$6:$I$47,"&gt;0",⑭手動工程入力!$M$6:$M$47,"&gt;0"))</f>
        <v/>
      </c>
      <c r="P125" s="392" t="n"/>
    </row>
    <row r="126">
      <c r="A126" s="392" t="n">
        <v>122</v>
      </c>
      <c r="B126" s="392" t="n"/>
      <c r="C126" s="392" t="n"/>
      <c r="D126" s="392" t="n"/>
      <c r="E126" s="392" t="n"/>
      <c r="F126" s="394" t="n"/>
      <c r="G126" s="392" t="n"/>
      <c r="H126" s="604">
        <f>IFERROR(IF(AND($K126&gt;0,ISNUMBER(IF(OR($D126="g",$D126="ｇ"),IF($M126&gt;0,$L126/$M126/1000,""),IF($D126="kg",IF($M126&gt;0,$L126/$M126,""),IF($D126="",IF($M126&gt;0,$L126/$M126/1000,IF($O126&gt;0,$N126/$O126,"")),IF($O126&gt;0,$N126/$O126,"")))))),IF(OR($D126="g",$D126="ｇ"),IF($M126&gt;0,$L126/$M126/1000,""),IF($D126="kg",IF($M126&gt;0,$L126/$M126,""),IF($D126="",IF($M126&gt;0,$L126/$M126/1000,IF($O126&gt;0,$N126/$O126,"")),IF($O126&gt;0,$N126/$O126,"")))),IF($F126="",IF(OR($E126="",$E126="⑩盛付梱包工程入力"),"",IF(OR($D126="g",$D126="ｇ"),INDEX(⑰工程労務費一覧!$N$5:$N$11,MATCH($E126,⑰工程労務費一覧!$K$5:$K$11,0))/1000,IF($D126="kg",INDEX(⑰工程労務費一覧!$N$5:$N$11,MATCH($E126,⑰工程労務費一覧!$K$5:$K$11,0)),IF(OR($D126="個",$D126="切",$D126="本",$D126="枚",$D126="尾"),IF($E126="⑬計量工程入力","",INDEX(⑰工程労務費一覧!$P$5:$P$11,MATCH($E126,⑰工程労務費一覧!$K$5:$K$11,0))),IF(AND($D126="",OR($E126="②釜工程入力",$E126="③スチコン工程入力")),INDEX(⑰工程労務費一覧!$N$5:$N$11,MATCH($E126,⑰工程労務費一覧!$K$5:$K$11,0))/1000,""))))),IF(OR($D126="g",$D126="ｇ"),INDEX(⑰工程労務費一覧!$H$5:$H$753,MATCH($F126,⑰工程労務費一覧!$D$5:$D$753,0))/1000,IF($D126="kg",INDEX(⑰工程労務費一覧!$H$5:$H$753,MATCH($F126,⑰工程労務費一覧!$D$5:$D$753,0)),INDEX(⑰工程労務費一覧!$I$5:$I$753,MATCH($F126,⑰工程労務費一覧!$D$5:$D$753,0)))))),"")</f>
        <v/>
      </c>
      <c r="I126" s="392">
        <f>IF($K126&gt;0,IF(ISNUMBER(IF(OR($D126="g",$D126="ｇ"),IF($M126&gt;0,$L126/$M126/1000,""),IF($D126="kg",IF($M126&gt;0,$L126/$M126,""),IF($D126="",IF($M126&gt;0,$L126/$M126/1000,IF($O126&gt;0,$N126/$O126,"")),IF($O126&gt;0,$N126/$O126,""))))),IF($D126="",IF($M126&gt;0,"◎ JAN紐づけ(g扱い)","◎ JAN紐づけ(個扱い)"),"◎ JAN紐づけ"),"△ JAN紐づけ済・実績不足→仮計算"),IF($F126="",IF(ISNUMBER($H126),IF($D126="","⑤ 工程平均で仮計算(g扱い)","⑤ 工程平均で仮計算"),IF($E126="⑩盛付梱包工程入力","⑥ 盛り込み(⑳F列で計上)",IF(AND($E126="⑬計量工程入力",OR($D126="個",$D126="切",$D126="本",$D126="枚",$D126="尾")),"① 未紐づけ(カット個単位は仮単価なし)","① 未紐づけ"))),IF(NOT(ISNUMBER($H126)),"② 工程側に単価なし",IF($D126="","③ 単位未設定(個で計算)","④ OK"))))</f>
        <v/>
      </c>
      <c r="J126" s="399">
        <f>IFERROR(LOOKUP(2,1/((中間品リスト!$F$2:$F$1299=$B126)*(中間品リスト!$E$2:$E$1299&lt;&gt;"-")*(中間品リスト!$E$2:$E$1299&lt;&gt;"")),中間品リスト!$E$2:$E$1299),"")</f>
        <v/>
      </c>
      <c r="K126" s="400">
        <f>IF($J126="",0,COUNTIF(②釜工程入力!$S$5:$S$117,$J126)+COUNTIF(③スチコン工程入力!$S$5:$S$152,$J126)+COUNTIF(⑪ZEN工程入力!$S$6:$S$35,$J126)+COUNTIF(⑫ミキサー工程入力!$S$6:$S$65,$J126)+COUNTIF(⑬計量工程入力!$S$6:$S$65,$J126)+COUNTIF(⑭手動工程入力!$S$6:$S$47,$J126))</f>
        <v/>
      </c>
      <c r="L126" s="393">
        <f>IF($J126="",0,SUMIFS(②釜工程入力!$M$5:$M$117,②釜工程入力!$S$5:$S$117,$J126,②釜工程入力!$I$5:$I$117,"&gt;0")+SUMIFS(③スチコン工程入力!$M$5:$M$152,③スチコン工程入力!$S$5:$S$152,$J126,③スチコン工程入力!$I$5:$I$152,"&gt;0")+SUMIFS(⑪ZEN工程入力!$M$6:$M$35,⑪ZEN工程入力!$S$6:$S$35,$J126,⑪ZEN工程入力!$I$6:$I$35,"&gt;0")+SUMIFS(⑫ミキサー工程入力!$M$6:$M$65,⑫ミキサー工程入力!$S$6:$S$65,$J126,⑫ミキサー工程入力!$I$6:$I$65,"&gt;0")+SUMIFS(⑬計量工程入力!$M$6:$M$65,⑬計量工程入力!$S$6:$S$65,$J126,⑬計量工程入力!$I$6:$I$65,"&gt;0")+SUMIFS(⑭手動工程入力!$M$6:$M$47,⑭手動工程入力!$S$6:$S$47,$J126,⑭手動工程入力!$I$6:$I$47,"&gt;0"))</f>
        <v/>
      </c>
      <c r="M126" s="393">
        <f>IF($J126="",0,SUMIFS(②釜工程入力!$I$5:$I$117,②釜工程入力!$S$5:$S$117,$J126,②釜工程入力!$I$5:$I$117,"&gt;0",②釜工程入力!$M$5:$M$117,"&gt;0")+SUMIFS(③スチコン工程入力!$I$5:$I$152,③スチコン工程入力!$S$5:$S$152,$J126,③スチコン工程入力!$I$5:$I$152,"&gt;0",③スチコン工程入力!$M$5:$M$152,"&gt;0")+SUMIFS(⑪ZEN工程入力!$I$6:$I$35,⑪ZEN工程入力!$S$6:$S$35,$J126,⑪ZEN工程入力!$I$6:$I$35,"&gt;0",⑪ZEN工程入力!$M$6:$M$35,"&gt;0")+SUMIFS(⑫ミキサー工程入力!$I$6:$I$65,⑫ミキサー工程入力!$S$6:$S$65,$J126,⑫ミキサー工程入力!$I$6:$I$65,"&gt;0",⑫ミキサー工程入力!$M$6:$M$65,"&gt;0")+SUMIFS(⑬計量工程入力!$I$6:$I$65,⑬計量工程入力!$S$6:$S$65,$J126,⑬計量工程入力!$I$6:$I$65,"&gt;0",⑬計量工程入力!$M$6:$M$65,"&gt;0")+SUMIFS(⑭手動工程入力!$I$6:$I$47,⑭手動工程入力!$S$6:$S$47,$J126,⑭手動工程入力!$I$6:$I$47,"&gt;0",⑭手動工程入力!$M$6:$M$47,"&gt;0"))</f>
        <v/>
      </c>
      <c r="N126" s="393">
        <f>IF($J126="",0,SUMIFS(②釜工程入力!$M$5:$M$117,②釜工程入力!$S$5:$S$117,$J126,②釜工程入力!$J$5:$J$117,"&gt;0")-SUMIFS(②釜工程入力!$M$5:$M$117,②釜工程入力!$S$5:$S$117,$J126,②釜工程入力!$J$5:$J$117,"&gt;0",②釜工程入力!$I$5:$I$117,"&gt;0")+SUMIFS(③スチコン工程入力!$M$5:$M$152,③スチコン工程入力!$S$5:$S$152,$J126,③スチコン工程入力!$J$5:$J$152,"&gt;0")-SUMIFS(③スチコン工程入力!$M$5:$M$152,③スチコン工程入力!$S$5:$S$152,$J126,③スチコン工程入力!$J$5:$J$152,"&gt;0",③スチコン工程入力!$I$5:$I$152,"&gt;0")+SUMIFS(⑪ZEN工程入力!$M$6:$M$35,⑪ZEN工程入力!$S$6:$S$35,$J126,⑪ZEN工程入力!$J$6:$J$35,"&gt;0")-SUMIFS(⑪ZEN工程入力!$M$6:$M$35,⑪ZEN工程入力!$S$6:$S$35,$J126,⑪ZEN工程入力!$J$6:$J$35,"&gt;0",⑪ZEN工程入力!$I$6:$I$35,"&gt;0")+SUMIFS(⑫ミキサー工程入力!$M$6:$M$65,⑫ミキサー工程入力!$S$6:$S$65,$J126,⑫ミキサー工程入力!$J$6:$J$65,"&gt;0")-SUMIFS(⑫ミキサー工程入力!$M$6:$M$65,⑫ミキサー工程入力!$S$6:$S$65,$J126,⑫ミキサー工程入力!$J$6:$J$65,"&gt;0",⑫ミキサー工程入力!$I$6:$I$65,"&gt;0")+SUMIFS(⑬計量工程入力!$M$6:$M$65,⑬計量工程入力!$S$6:$S$65,$J126,⑬計量工程入力!$J$6:$J$65,"&gt;0")-SUMIFS(⑬計量工程入力!$M$6:$M$65,⑬計量工程入力!$S$6:$S$65,$J126,⑬計量工程入力!$J$6:$J$65,"&gt;0",⑬計量工程入力!$I$6:$I$65,"&gt;0")+SUMIFS(⑭手動工程入力!$M$6:$M$47,⑭手動工程入力!$S$6:$S$47,$J126,⑭手動工程入力!$J$6:$J$47,"&gt;0")-SUMIFS(⑭手動工程入力!$M$6:$M$47,⑭手動工程入力!$S$6:$S$47,$J126,⑭手動工程入力!$J$6:$J$47,"&gt;0",⑭手動工程入力!$I$6:$I$47,"&gt;0"))</f>
        <v/>
      </c>
      <c r="O126" s="393">
        <f>IF($J126="",0,SUMIFS(②釜工程入力!$J$5:$J$117,②釜工程入力!$S$5:$S$117,$J126,②釜工程入力!$J$5:$J$117,"&gt;0",②釜工程入力!$M$5:$M$117,"&gt;0")-SUMIFS(②釜工程入力!$J$5:$J$117,②釜工程入力!$S$5:$S$117,$J126,②釜工程入力!$J$5:$J$117,"&gt;0",②釜工程入力!$I$5:$I$117,"&gt;0",②釜工程入力!$M$5:$M$117,"&gt;0")+SUMIFS(③スチコン工程入力!$J$5:$J$152,③スチコン工程入力!$S$5:$S$152,$J126,③スチコン工程入力!$J$5:$J$152,"&gt;0",③スチコン工程入力!$M$5:$M$152,"&gt;0")-SUMIFS(③スチコン工程入力!$J$5:$J$152,③スチコン工程入力!$S$5:$S$152,$J126,③スチコン工程入力!$J$5:$J$152,"&gt;0",③スチコン工程入力!$I$5:$I$152,"&gt;0",③スチコン工程入力!$M$5:$M$152,"&gt;0")+SUMIFS(⑪ZEN工程入力!$J$6:$J$35,⑪ZEN工程入力!$S$6:$S$35,$J126,⑪ZEN工程入力!$J$6:$J$35,"&gt;0",⑪ZEN工程入力!$M$6:$M$35,"&gt;0")-SUMIFS(⑪ZEN工程入力!$J$6:$J$35,⑪ZEN工程入力!$S$6:$S$35,$J126,⑪ZEN工程入力!$J$6:$J$35,"&gt;0",⑪ZEN工程入力!$I$6:$I$35,"&gt;0",⑪ZEN工程入力!$M$6:$M$35,"&gt;0")+SUMIFS(⑫ミキサー工程入力!$J$6:$J$65,⑫ミキサー工程入力!$S$6:$S$65,$J126,⑫ミキサー工程入力!$J$6:$J$65,"&gt;0",⑫ミキサー工程入力!$M$6:$M$65,"&gt;0")-SUMIFS(⑫ミキサー工程入力!$J$6:$J$65,⑫ミキサー工程入力!$S$6:$S$65,$J126,⑫ミキサー工程入力!$J$6:$J$65,"&gt;0",⑫ミキサー工程入力!$I$6:$I$65,"&gt;0",⑫ミキサー工程入力!$M$6:$M$65,"&gt;0")+SUMIFS(⑬計量工程入力!$J$6:$J$65,⑬計量工程入力!$S$6:$S$65,$J126,⑬計量工程入力!$J$6:$J$65,"&gt;0",⑬計量工程入力!$M$6:$M$65,"&gt;0")-SUMIFS(⑬計量工程入力!$J$6:$J$65,⑬計量工程入力!$S$6:$S$65,$J126,⑬計量工程入力!$J$6:$J$65,"&gt;0",⑬計量工程入力!$I$6:$I$65,"&gt;0",⑬計量工程入力!$M$6:$M$65,"&gt;0")+SUMIFS(⑭手動工程入力!$J$6:$J$47,⑭手動工程入力!$S$6:$S$47,$J126,⑭手動工程入力!$J$6:$J$47,"&gt;0",⑭手動工程入力!$M$6:$M$47,"&gt;0")-SUMIFS(⑭手動工程入力!$J$6:$J$47,⑭手動工程入力!$S$6:$S$47,$J126,⑭手動工程入力!$J$6:$J$47,"&gt;0",⑭手動工程入力!$I$6:$I$47,"&gt;0",⑭手動工程入力!$M$6:$M$47,"&gt;0"))</f>
        <v/>
      </c>
      <c r="P126" s="392" t="n"/>
    </row>
    <row r="127">
      <c r="A127" s="392" t="n">
        <v>123</v>
      </c>
      <c r="B127" s="392" t="n"/>
      <c r="C127" s="392" t="n"/>
      <c r="D127" s="392" t="n"/>
      <c r="E127" s="392" t="n"/>
      <c r="F127" s="394" t="n"/>
      <c r="G127" s="392" t="n"/>
      <c r="H127" s="604">
        <f>IFERROR(IF(AND($K127&gt;0,ISNUMBER(IF(OR($D127="g",$D127="ｇ"),IF($M127&gt;0,$L127/$M127/1000,""),IF($D127="kg",IF($M127&gt;0,$L127/$M127,""),IF($D127="",IF($M127&gt;0,$L127/$M127/1000,IF($O127&gt;0,$N127/$O127,"")),IF($O127&gt;0,$N127/$O127,"")))))),IF(OR($D127="g",$D127="ｇ"),IF($M127&gt;0,$L127/$M127/1000,""),IF($D127="kg",IF($M127&gt;0,$L127/$M127,""),IF($D127="",IF($M127&gt;0,$L127/$M127/1000,IF($O127&gt;0,$N127/$O127,"")),IF($O127&gt;0,$N127/$O127,"")))),IF($F127="",IF(OR($E127="",$E127="⑩盛付梱包工程入力"),"",IF(OR($D127="g",$D127="ｇ"),INDEX(⑰工程労務費一覧!$N$5:$N$11,MATCH($E127,⑰工程労務費一覧!$K$5:$K$11,0))/1000,IF($D127="kg",INDEX(⑰工程労務費一覧!$N$5:$N$11,MATCH($E127,⑰工程労務費一覧!$K$5:$K$11,0)),IF(OR($D127="個",$D127="切",$D127="本",$D127="枚",$D127="尾"),IF($E127="⑬計量工程入力","",INDEX(⑰工程労務費一覧!$P$5:$P$11,MATCH($E127,⑰工程労務費一覧!$K$5:$K$11,0))),IF(AND($D127="",OR($E127="②釜工程入力",$E127="③スチコン工程入力")),INDEX(⑰工程労務費一覧!$N$5:$N$11,MATCH($E127,⑰工程労務費一覧!$K$5:$K$11,0))/1000,""))))),IF(OR($D127="g",$D127="ｇ"),INDEX(⑰工程労務費一覧!$H$5:$H$753,MATCH($F127,⑰工程労務費一覧!$D$5:$D$753,0))/1000,IF($D127="kg",INDEX(⑰工程労務費一覧!$H$5:$H$753,MATCH($F127,⑰工程労務費一覧!$D$5:$D$753,0)),INDEX(⑰工程労務費一覧!$I$5:$I$753,MATCH($F127,⑰工程労務費一覧!$D$5:$D$753,0)))))),"")</f>
        <v/>
      </c>
      <c r="I127" s="392">
        <f>IF($K127&gt;0,IF(ISNUMBER(IF(OR($D127="g",$D127="ｇ"),IF($M127&gt;0,$L127/$M127/1000,""),IF($D127="kg",IF($M127&gt;0,$L127/$M127,""),IF($D127="",IF($M127&gt;0,$L127/$M127/1000,IF($O127&gt;0,$N127/$O127,"")),IF($O127&gt;0,$N127/$O127,""))))),IF($D127="",IF($M127&gt;0,"◎ JAN紐づけ(g扱い)","◎ JAN紐づけ(個扱い)"),"◎ JAN紐づけ"),"△ JAN紐づけ済・実績不足→仮計算"),IF($F127="",IF(ISNUMBER($H127),IF($D127="","⑤ 工程平均で仮計算(g扱い)","⑤ 工程平均で仮計算"),IF($E127="⑩盛付梱包工程入力","⑥ 盛り込み(⑳F列で計上)",IF(AND($E127="⑬計量工程入力",OR($D127="個",$D127="切",$D127="本",$D127="枚",$D127="尾")),"① 未紐づけ(カット個単位は仮単価なし)","① 未紐づけ"))),IF(NOT(ISNUMBER($H127)),"② 工程側に単価なし",IF($D127="","③ 単位未設定(個で計算)","④ OK"))))</f>
        <v/>
      </c>
      <c r="J127" s="399">
        <f>IFERROR(LOOKUP(2,1/((中間品リスト!$F$2:$F$1299=$B127)*(中間品リスト!$E$2:$E$1299&lt;&gt;"-")*(中間品リスト!$E$2:$E$1299&lt;&gt;"")),中間品リスト!$E$2:$E$1299),"")</f>
        <v/>
      </c>
      <c r="K127" s="400">
        <f>IF($J127="",0,COUNTIF(②釜工程入力!$S$5:$S$117,$J127)+COUNTIF(③スチコン工程入力!$S$5:$S$152,$J127)+COUNTIF(⑪ZEN工程入力!$S$6:$S$35,$J127)+COUNTIF(⑫ミキサー工程入力!$S$6:$S$65,$J127)+COUNTIF(⑬計量工程入力!$S$6:$S$65,$J127)+COUNTIF(⑭手動工程入力!$S$6:$S$47,$J127))</f>
        <v/>
      </c>
      <c r="L127" s="393">
        <f>IF($J127="",0,SUMIFS(②釜工程入力!$M$5:$M$117,②釜工程入力!$S$5:$S$117,$J127,②釜工程入力!$I$5:$I$117,"&gt;0")+SUMIFS(③スチコン工程入力!$M$5:$M$152,③スチコン工程入力!$S$5:$S$152,$J127,③スチコン工程入力!$I$5:$I$152,"&gt;0")+SUMIFS(⑪ZEN工程入力!$M$6:$M$35,⑪ZEN工程入力!$S$6:$S$35,$J127,⑪ZEN工程入力!$I$6:$I$35,"&gt;0")+SUMIFS(⑫ミキサー工程入力!$M$6:$M$65,⑫ミキサー工程入力!$S$6:$S$65,$J127,⑫ミキサー工程入力!$I$6:$I$65,"&gt;0")+SUMIFS(⑬計量工程入力!$M$6:$M$65,⑬計量工程入力!$S$6:$S$65,$J127,⑬計量工程入力!$I$6:$I$65,"&gt;0")+SUMIFS(⑭手動工程入力!$M$6:$M$47,⑭手動工程入力!$S$6:$S$47,$J127,⑭手動工程入力!$I$6:$I$47,"&gt;0"))</f>
        <v/>
      </c>
      <c r="M127" s="393">
        <f>IF($J127="",0,SUMIFS(②釜工程入力!$I$5:$I$117,②釜工程入力!$S$5:$S$117,$J127,②釜工程入力!$I$5:$I$117,"&gt;0",②釜工程入力!$M$5:$M$117,"&gt;0")+SUMIFS(③スチコン工程入力!$I$5:$I$152,③スチコン工程入力!$S$5:$S$152,$J127,③スチコン工程入力!$I$5:$I$152,"&gt;0",③スチコン工程入力!$M$5:$M$152,"&gt;0")+SUMIFS(⑪ZEN工程入力!$I$6:$I$35,⑪ZEN工程入力!$S$6:$S$35,$J127,⑪ZEN工程入力!$I$6:$I$35,"&gt;0",⑪ZEN工程入力!$M$6:$M$35,"&gt;0")+SUMIFS(⑫ミキサー工程入力!$I$6:$I$65,⑫ミキサー工程入力!$S$6:$S$65,$J127,⑫ミキサー工程入力!$I$6:$I$65,"&gt;0",⑫ミキサー工程入力!$M$6:$M$65,"&gt;0")+SUMIFS(⑬計量工程入力!$I$6:$I$65,⑬計量工程入力!$S$6:$S$65,$J127,⑬計量工程入力!$I$6:$I$65,"&gt;0",⑬計量工程入力!$M$6:$M$65,"&gt;0")+SUMIFS(⑭手動工程入力!$I$6:$I$47,⑭手動工程入力!$S$6:$S$47,$J127,⑭手動工程入力!$I$6:$I$47,"&gt;0",⑭手動工程入力!$M$6:$M$47,"&gt;0"))</f>
        <v/>
      </c>
      <c r="N127" s="393">
        <f>IF($J127="",0,SUMIFS(②釜工程入力!$M$5:$M$117,②釜工程入力!$S$5:$S$117,$J127,②釜工程入力!$J$5:$J$117,"&gt;0")-SUMIFS(②釜工程入力!$M$5:$M$117,②釜工程入力!$S$5:$S$117,$J127,②釜工程入力!$J$5:$J$117,"&gt;0",②釜工程入力!$I$5:$I$117,"&gt;0")+SUMIFS(③スチコン工程入力!$M$5:$M$152,③スチコン工程入力!$S$5:$S$152,$J127,③スチコン工程入力!$J$5:$J$152,"&gt;0")-SUMIFS(③スチコン工程入力!$M$5:$M$152,③スチコン工程入力!$S$5:$S$152,$J127,③スチコン工程入力!$J$5:$J$152,"&gt;0",③スチコン工程入力!$I$5:$I$152,"&gt;0")+SUMIFS(⑪ZEN工程入力!$M$6:$M$35,⑪ZEN工程入力!$S$6:$S$35,$J127,⑪ZEN工程入力!$J$6:$J$35,"&gt;0")-SUMIFS(⑪ZEN工程入力!$M$6:$M$35,⑪ZEN工程入力!$S$6:$S$35,$J127,⑪ZEN工程入力!$J$6:$J$35,"&gt;0",⑪ZEN工程入力!$I$6:$I$35,"&gt;0")+SUMIFS(⑫ミキサー工程入力!$M$6:$M$65,⑫ミキサー工程入力!$S$6:$S$65,$J127,⑫ミキサー工程入力!$J$6:$J$65,"&gt;0")-SUMIFS(⑫ミキサー工程入力!$M$6:$M$65,⑫ミキサー工程入力!$S$6:$S$65,$J127,⑫ミキサー工程入力!$J$6:$J$65,"&gt;0",⑫ミキサー工程入力!$I$6:$I$65,"&gt;0")+SUMIFS(⑬計量工程入力!$M$6:$M$65,⑬計量工程入力!$S$6:$S$65,$J127,⑬計量工程入力!$J$6:$J$65,"&gt;0")-SUMIFS(⑬計量工程入力!$M$6:$M$65,⑬計量工程入力!$S$6:$S$65,$J127,⑬計量工程入力!$J$6:$J$65,"&gt;0",⑬計量工程入力!$I$6:$I$65,"&gt;0")+SUMIFS(⑭手動工程入力!$M$6:$M$47,⑭手動工程入力!$S$6:$S$47,$J127,⑭手動工程入力!$J$6:$J$47,"&gt;0")-SUMIFS(⑭手動工程入力!$M$6:$M$47,⑭手動工程入力!$S$6:$S$47,$J127,⑭手動工程入力!$J$6:$J$47,"&gt;0",⑭手動工程入力!$I$6:$I$47,"&gt;0"))</f>
        <v/>
      </c>
      <c r="O127" s="393">
        <f>IF($J127="",0,SUMIFS(②釜工程入力!$J$5:$J$117,②釜工程入力!$S$5:$S$117,$J127,②釜工程入力!$J$5:$J$117,"&gt;0",②釜工程入力!$M$5:$M$117,"&gt;0")-SUMIFS(②釜工程入力!$J$5:$J$117,②釜工程入力!$S$5:$S$117,$J127,②釜工程入力!$J$5:$J$117,"&gt;0",②釜工程入力!$I$5:$I$117,"&gt;0",②釜工程入力!$M$5:$M$117,"&gt;0")+SUMIFS(③スチコン工程入力!$J$5:$J$152,③スチコン工程入力!$S$5:$S$152,$J127,③スチコン工程入力!$J$5:$J$152,"&gt;0",③スチコン工程入力!$M$5:$M$152,"&gt;0")-SUMIFS(③スチコン工程入力!$J$5:$J$152,③スチコン工程入力!$S$5:$S$152,$J127,③スチコン工程入力!$J$5:$J$152,"&gt;0",③スチコン工程入力!$I$5:$I$152,"&gt;0",③スチコン工程入力!$M$5:$M$152,"&gt;0")+SUMIFS(⑪ZEN工程入力!$J$6:$J$35,⑪ZEN工程入力!$S$6:$S$35,$J127,⑪ZEN工程入力!$J$6:$J$35,"&gt;0",⑪ZEN工程入力!$M$6:$M$35,"&gt;0")-SUMIFS(⑪ZEN工程入力!$J$6:$J$35,⑪ZEN工程入力!$S$6:$S$35,$J127,⑪ZEN工程入力!$J$6:$J$35,"&gt;0",⑪ZEN工程入力!$I$6:$I$35,"&gt;0",⑪ZEN工程入力!$M$6:$M$35,"&gt;0")+SUMIFS(⑫ミキサー工程入力!$J$6:$J$65,⑫ミキサー工程入力!$S$6:$S$65,$J127,⑫ミキサー工程入力!$J$6:$J$65,"&gt;0",⑫ミキサー工程入力!$M$6:$M$65,"&gt;0")-SUMIFS(⑫ミキサー工程入力!$J$6:$J$65,⑫ミキサー工程入力!$S$6:$S$65,$J127,⑫ミキサー工程入力!$J$6:$J$65,"&gt;0",⑫ミキサー工程入力!$I$6:$I$65,"&gt;0",⑫ミキサー工程入力!$M$6:$M$65,"&gt;0")+SUMIFS(⑬計量工程入力!$J$6:$J$65,⑬計量工程入力!$S$6:$S$65,$J127,⑬計量工程入力!$J$6:$J$65,"&gt;0",⑬計量工程入力!$M$6:$M$65,"&gt;0")-SUMIFS(⑬計量工程入力!$J$6:$J$65,⑬計量工程入力!$S$6:$S$65,$J127,⑬計量工程入力!$J$6:$J$65,"&gt;0",⑬計量工程入力!$I$6:$I$65,"&gt;0",⑬計量工程入力!$M$6:$M$65,"&gt;0")+SUMIFS(⑭手動工程入力!$J$6:$J$47,⑭手動工程入力!$S$6:$S$47,$J127,⑭手動工程入力!$J$6:$J$47,"&gt;0",⑭手動工程入力!$M$6:$M$47,"&gt;0")-SUMIFS(⑭手動工程入力!$J$6:$J$47,⑭手動工程入力!$S$6:$S$47,$J127,⑭手動工程入力!$J$6:$J$47,"&gt;0",⑭手動工程入力!$I$6:$I$47,"&gt;0",⑭手動工程入力!$M$6:$M$47,"&gt;0"))</f>
        <v/>
      </c>
      <c r="P127" s="392" t="n"/>
    </row>
    <row r="128">
      <c r="A128" s="392" t="n">
        <v>124</v>
      </c>
      <c r="B128" s="392" t="n"/>
      <c r="C128" s="392" t="n"/>
      <c r="D128" s="409" t="n"/>
      <c r="E128" s="392" t="n"/>
      <c r="F128" s="394" t="n"/>
      <c r="G128" s="392" t="n"/>
      <c r="H128" s="604">
        <f>IFERROR(IF(AND($K128&gt;0,ISNUMBER(IF(OR($D128="g",$D128="ｇ"),IF($M128&gt;0,$L128/$M128/1000,""),IF($D128="kg",IF($M128&gt;0,$L128/$M128,""),IF($D128="",IF($M128&gt;0,$L128/$M128/1000,IF($O128&gt;0,$N128/$O128,"")),IF($O128&gt;0,$N128/$O128,"")))))),IF(OR($D128="g",$D128="ｇ"),IF($M128&gt;0,$L128/$M128/1000,""),IF($D128="kg",IF($M128&gt;0,$L128/$M128,""),IF($D128="",IF($M128&gt;0,$L128/$M128/1000,IF($O128&gt;0,$N128/$O128,"")),IF($O128&gt;0,$N128/$O128,"")))),IF($F128="",IF(OR($E128="",$E128="⑩盛付梱包工程入力"),"",IF(OR($D128="g",$D128="ｇ"),INDEX(⑰工程労務費一覧!$N$5:$N$11,MATCH($E128,⑰工程労務費一覧!$K$5:$K$11,0))/1000,IF($D128="kg",INDEX(⑰工程労務費一覧!$N$5:$N$11,MATCH($E128,⑰工程労務費一覧!$K$5:$K$11,0)),IF(OR($D128="個",$D128="切",$D128="本",$D128="枚",$D128="尾"),IF($E128="⑬計量工程入力","",INDEX(⑰工程労務費一覧!$P$5:$P$11,MATCH($E128,⑰工程労務費一覧!$K$5:$K$11,0))),IF(AND($D128="",OR($E128="②釜工程入力",$E128="③スチコン工程入力")),INDEX(⑰工程労務費一覧!$N$5:$N$11,MATCH($E128,⑰工程労務費一覧!$K$5:$K$11,0))/1000,""))))),IF(OR($D128="g",$D128="ｇ"),INDEX(⑰工程労務費一覧!$H$5:$H$753,MATCH($F128,⑰工程労務費一覧!$D$5:$D$753,0))/1000,IF($D128="kg",INDEX(⑰工程労務費一覧!$H$5:$H$753,MATCH($F128,⑰工程労務費一覧!$D$5:$D$753,0)),INDEX(⑰工程労務費一覧!$I$5:$I$753,MATCH($F128,⑰工程労務費一覧!$D$5:$D$753,0)))))),"")</f>
        <v/>
      </c>
      <c r="I128" s="392">
        <f>IF($K128&gt;0,IF(ISNUMBER(IF(OR($D128="g",$D128="ｇ"),IF($M128&gt;0,$L128/$M128/1000,""),IF($D128="kg",IF($M128&gt;0,$L128/$M128,""),IF($D128="",IF($M128&gt;0,$L128/$M128/1000,IF($O128&gt;0,$N128/$O128,"")),IF($O128&gt;0,$N128/$O128,""))))),IF($D128="",IF($M128&gt;0,"◎ JAN紐づけ(g扱い)","◎ JAN紐づけ(個扱い)"),"◎ JAN紐づけ"),"△ JAN紐づけ済・実績不足→仮計算"),IF($F128="",IF(ISNUMBER($H128),IF($D128="","⑤ 工程平均で仮計算(g扱い)","⑤ 工程平均で仮計算"),IF($E128="⑩盛付梱包工程入力","⑥ 盛り込み(⑳F列で計上)",IF(AND($E128="⑬計量工程入力",OR($D128="個",$D128="切",$D128="本",$D128="枚",$D128="尾")),"① 未紐づけ(カット個単位は仮単価なし)","① 未紐づけ"))),IF(NOT(ISNUMBER($H128)),"② 工程側に単価なし",IF($D128="","③ 単位未設定(個で計算)","④ OK"))))</f>
        <v/>
      </c>
      <c r="J128" s="399">
        <f>IFERROR(LOOKUP(2,1/((中間品リスト!$F$2:$F$1299=$B128)*(中間品リスト!$E$2:$E$1299&lt;&gt;"-")*(中間品リスト!$E$2:$E$1299&lt;&gt;"")),中間品リスト!$E$2:$E$1299),"")</f>
        <v/>
      </c>
      <c r="K128" s="400">
        <f>IF($J128="",0,COUNTIF(②釜工程入力!$S$5:$S$117,$J128)+COUNTIF(③スチコン工程入力!$S$5:$S$152,$J128)+COUNTIF(⑪ZEN工程入力!$S$6:$S$35,$J128)+COUNTIF(⑫ミキサー工程入力!$S$6:$S$65,$J128)+COUNTIF(⑬計量工程入力!$S$6:$S$65,$J128)+COUNTIF(⑭手動工程入力!$S$6:$S$47,$J128))</f>
        <v/>
      </c>
      <c r="L128" s="393">
        <f>IF($J128="",0,SUMIFS(②釜工程入力!$M$5:$M$117,②釜工程入力!$S$5:$S$117,$J128,②釜工程入力!$I$5:$I$117,"&gt;0")+SUMIFS(③スチコン工程入力!$M$5:$M$152,③スチコン工程入力!$S$5:$S$152,$J128,③スチコン工程入力!$I$5:$I$152,"&gt;0")+SUMIFS(⑪ZEN工程入力!$M$6:$M$35,⑪ZEN工程入力!$S$6:$S$35,$J128,⑪ZEN工程入力!$I$6:$I$35,"&gt;0")+SUMIFS(⑫ミキサー工程入力!$M$6:$M$65,⑫ミキサー工程入力!$S$6:$S$65,$J128,⑫ミキサー工程入力!$I$6:$I$65,"&gt;0")+SUMIFS(⑬計量工程入力!$M$6:$M$65,⑬計量工程入力!$S$6:$S$65,$J128,⑬計量工程入力!$I$6:$I$65,"&gt;0")+SUMIFS(⑭手動工程入力!$M$6:$M$47,⑭手動工程入力!$S$6:$S$47,$J128,⑭手動工程入力!$I$6:$I$47,"&gt;0"))</f>
        <v/>
      </c>
      <c r="M128" s="393">
        <f>IF($J128="",0,SUMIFS(②釜工程入力!$I$5:$I$117,②釜工程入力!$S$5:$S$117,$J128,②釜工程入力!$I$5:$I$117,"&gt;0",②釜工程入力!$M$5:$M$117,"&gt;0")+SUMIFS(③スチコン工程入力!$I$5:$I$152,③スチコン工程入力!$S$5:$S$152,$J128,③スチコン工程入力!$I$5:$I$152,"&gt;0",③スチコン工程入力!$M$5:$M$152,"&gt;0")+SUMIFS(⑪ZEN工程入力!$I$6:$I$35,⑪ZEN工程入力!$S$6:$S$35,$J128,⑪ZEN工程入力!$I$6:$I$35,"&gt;0",⑪ZEN工程入力!$M$6:$M$35,"&gt;0")+SUMIFS(⑫ミキサー工程入力!$I$6:$I$65,⑫ミキサー工程入力!$S$6:$S$65,$J128,⑫ミキサー工程入力!$I$6:$I$65,"&gt;0",⑫ミキサー工程入力!$M$6:$M$65,"&gt;0")+SUMIFS(⑬計量工程入力!$I$6:$I$65,⑬計量工程入力!$S$6:$S$65,$J128,⑬計量工程入力!$I$6:$I$65,"&gt;0",⑬計量工程入力!$M$6:$M$65,"&gt;0")+SUMIFS(⑭手動工程入力!$I$6:$I$47,⑭手動工程入力!$S$6:$S$47,$J128,⑭手動工程入力!$I$6:$I$47,"&gt;0",⑭手動工程入力!$M$6:$M$47,"&gt;0"))</f>
        <v/>
      </c>
      <c r="N128" s="393">
        <f>IF($J128="",0,SUMIFS(②釜工程入力!$M$5:$M$117,②釜工程入力!$S$5:$S$117,$J128,②釜工程入力!$J$5:$J$117,"&gt;0")-SUMIFS(②釜工程入力!$M$5:$M$117,②釜工程入力!$S$5:$S$117,$J128,②釜工程入力!$J$5:$J$117,"&gt;0",②釜工程入力!$I$5:$I$117,"&gt;0")+SUMIFS(③スチコン工程入力!$M$5:$M$152,③スチコン工程入力!$S$5:$S$152,$J128,③スチコン工程入力!$J$5:$J$152,"&gt;0")-SUMIFS(③スチコン工程入力!$M$5:$M$152,③スチコン工程入力!$S$5:$S$152,$J128,③スチコン工程入力!$J$5:$J$152,"&gt;0",③スチコン工程入力!$I$5:$I$152,"&gt;0")+SUMIFS(⑪ZEN工程入力!$M$6:$M$35,⑪ZEN工程入力!$S$6:$S$35,$J128,⑪ZEN工程入力!$J$6:$J$35,"&gt;0")-SUMIFS(⑪ZEN工程入力!$M$6:$M$35,⑪ZEN工程入力!$S$6:$S$35,$J128,⑪ZEN工程入力!$J$6:$J$35,"&gt;0",⑪ZEN工程入力!$I$6:$I$35,"&gt;0")+SUMIFS(⑫ミキサー工程入力!$M$6:$M$65,⑫ミキサー工程入力!$S$6:$S$65,$J128,⑫ミキサー工程入力!$J$6:$J$65,"&gt;0")-SUMIFS(⑫ミキサー工程入力!$M$6:$M$65,⑫ミキサー工程入力!$S$6:$S$65,$J128,⑫ミキサー工程入力!$J$6:$J$65,"&gt;0",⑫ミキサー工程入力!$I$6:$I$65,"&gt;0")+SUMIFS(⑬計量工程入力!$M$6:$M$65,⑬計量工程入力!$S$6:$S$65,$J128,⑬計量工程入力!$J$6:$J$65,"&gt;0")-SUMIFS(⑬計量工程入力!$M$6:$M$65,⑬計量工程入力!$S$6:$S$65,$J128,⑬計量工程入力!$J$6:$J$65,"&gt;0",⑬計量工程入力!$I$6:$I$65,"&gt;0")+SUMIFS(⑭手動工程入力!$M$6:$M$47,⑭手動工程入力!$S$6:$S$47,$J128,⑭手動工程入力!$J$6:$J$47,"&gt;0")-SUMIFS(⑭手動工程入力!$M$6:$M$47,⑭手動工程入力!$S$6:$S$47,$J128,⑭手動工程入力!$J$6:$J$47,"&gt;0",⑭手動工程入力!$I$6:$I$47,"&gt;0"))</f>
        <v/>
      </c>
      <c r="O128" s="393">
        <f>IF($J128="",0,SUMIFS(②釜工程入力!$J$5:$J$117,②釜工程入力!$S$5:$S$117,$J128,②釜工程入力!$J$5:$J$117,"&gt;0",②釜工程入力!$M$5:$M$117,"&gt;0")-SUMIFS(②釜工程入力!$J$5:$J$117,②釜工程入力!$S$5:$S$117,$J128,②釜工程入力!$J$5:$J$117,"&gt;0",②釜工程入力!$I$5:$I$117,"&gt;0",②釜工程入力!$M$5:$M$117,"&gt;0")+SUMIFS(③スチコン工程入力!$J$5:$J$152,③スチコン工程入力!$S$5:$S$152,$J128,③スチコン工程入力!$J$5:$J$152,"&gt;0",③スチコン工程入力!$M$5:$M$152,"&gt;0")-SUMIFS(③スチコン工程入力!$J$5:$J$152,③スチコン工程入力!$S$5:$S$152,$J128,③スチコン工程入力!$J$5:$J$152,"&gt;0",③スチコン工程入力!$I$5:$I$152,"&gt;0",③スチコン工程入力!$M$5:$M$152,"&gt;0")+SUMIFS(⑪ZEN工程入力!$J$6:$J$35,⑪ZEN工程入力!$S$6:$S$35,$J128,⑪ZEN工程入力!$J$6:$J$35,"&gt;0",⑪ZEN工程入力!$M$6:$M$35,"&gt;0")-SUMIFS(⑪ZEN工程入力!$J$6:$J$35,⑪ZEN工程入力!$S$6:$S$35,$J128,⑪ZEN工程入力!$J$6:$J$35,"&gt;0",⑪ZEN工程入力!$I$6:$I$35,"&gt;0",⑪ZEN工程入力!$M$6:$M$35,"&gt;0")+SUMIFS(⑫ミキサー工程入力!$J$6:$J$65,⑫ミキサー工程入力!$S$6:$S$65,$J128,⑫ミキサー工程入力!$J$6:$J$65,"&gt;0",⑫ミキサー工程入力!$M$6:$M$65,"&gt;0")-SUMIFS(⑫ミキサー工程入力!$J$6:$J$65,⑫ミキサー工程入力!$S$6:$S$65,$J128,⑫ミキサー工程入力!$J$6:$J$65,"&gt;0",⑫ミキサー工程入力!$I$6:$I$65,"&gt;0",⑫ミキサー工程入力!$M$6:$M$65,"&gt;0")+SUMIFS(⑬計量工程入力!$J$6:$J$65,⑬計量工程入力!$S$6:$S$65,$J128,⑬計量工程入力!$J$6:$J$65,"&gt;0",⑬計量工程入力!$M$6:$M$65,"&gt;0")-SUMIFS(⑬計量工程入力!$J$6:$J$65,⑬計量工程入力!$S$6:$S$65,$J128,⑬計量工程入力!$J$6:$J$65,"&gt;0",⑬計量工程入力!$I$6:$I$65,"&gt;0",⑬計量工程入力!$M$6:$M$65,"&gt;0")+SUMIFS(⑭手動工程入力!$J$6:$J$47,⑭手動工程入力!$S$6:$S$47,$J128,⑭手動工程入力!$J$6:$J$47,"&gt;0",⑭手動工程入力!$M$6:$M$47,"&gt;0")-SUMIFS(⑭手動工程入力!$J$6:$J$47,⑭手動工程入力!$S$6:$S$47,$J128,⑭手動工程入力!$J$6:$J$47,"&gt;0",⑭手動工程入力!$I$6:$I$47,"&gt;0",⑭手動工程入力!$M$6:$M$47,"&gt;0"))</f>
        <v/>
      </c>
      <c r="P128" s="392" t="inlineStr">
        <is>
          <t>中間品リスト</t>
        </is>
      </c>
    </row>
    <row r="129">
      <c r="A129" s="392" t="n">
        <v>125</v>
      </c>
      <c r="B129" s="392" t="n"/>
      <c r="C129" s="392" t="n"/>
      <c r="D129" s="409" t="n"/>
      <c r="E129" s="392" t="n"/>
      <c r="F129" s="394" t="n"/>
      <c r="G129" s="392" t="n"/>
      <c r="H129" s="604">
        <f>IFERROR(IF(AND($K129&gt;0,ISNUMBER(IF(OR($D129="g",$D129="ｇ"),IF($M129&gt;0,$L129/$M129/1000,""),IF($D129="kg",IF($M129&gt;0,$L129/$M129,""),IF($D129="",IF($M129&gt;0,$L129/$M129/1000,IF($O129&gt;0,$N129/$O129,"")),IF($O129&gt;0,$N129/$O129,"")))))),IF(OR($D129="g",$D129="ｇ"),IF($M129&gt;0,$L129/$M129/1000,""),IF($D129="kg",IF($M129&gt;0,$L129/$M129,""),IF($D129="",IF($M129&gt;0,$L129/$M129/1000,IF($O129&gt;0,$N129/$O129,"")),IF($O129&gt;0,$N129/$O129,"")))),IF($F129="",IF(OR($E129="",$E129="⑩盛付梱包工程入力"),"",IF(OR($D129="g",$D129="ｇ"),INDEX(⑰工程労務費一覧!$N$5:$N$11,MATCH($E129,⑰工程労務費一覧!$K$5:$K$11,0))/1000,IF($D129="kg",INDEX(⑰工程労務費一覧!$N$5:$N$11,MATCH($E129,⑰工程労務費一覧!$K$5:$K$11,0)),IF(OR($D129="個",$D129="切",$D129="本",$D129="枚",$D129="尾"),IF($E129="⑬計量工程入力","",INDEX(⑰工程労務費一覧!$P$5:$P$11,MATCH($E129,⑰工程労務費一覧!$K$5:$K$11,0))),IF(AND($D129="",OR($E129="②釜工程入力",$E129="③スチコン工程入力")),INDEX(⑰工程労務費一覧!$N$5:$N$11,MATCH($E129,⑰工程労務費一覧!$K$5:$K$11,0))/1000,""))))),IF(OR($D129="g",$D129="ｇ"),INDEX(⑰工程労務費一覧!$H$5:$H$753,MATCH($F129,⑰工程労務費一覧!$D$5:$D$753,0))/1000,IF($D129="kg",INDEX(⑰工程労務費一覧!$H$5:$H$753,MATCH($F129,⑰工程労務費一覧!$D$5:$D$753,0)),INDEX(⑰工程労務費一覧!$I$5:$I$753,MATCH($F129,⑰工程労務費一覧!$D$5:$D$753,0)))))),"")</f>
        <v/>
      </c>
      <c r="I129" s="392">
        <f>IF($K129&gt;0,IF(ISNUMBER(IF(OR($D129="g",$D129="ｇ"),IF($M129&gt;0,$L129/$M129/1000,""),IF($D129="kg",IF($M129&gt;0,$L129/$M129,""),IF($D129="",IF($M129&gt;0,$L129/$M129/1000,IF($O129&gt;0,$N129/$O129,"")),IF($O129&gt;0,$N129/$O129,""))))),IF($D129="",IF($M129&gt;0,"◎ JAN紐づけ(g扱い)","◎ JAN紐づけ(個扱い)"),"◎ JAN紐づけ"),"△ JAN紐づけ済・実績不足→仮計算"),IF($F129="",IF(ISNUMBER($H129),IF($D129="","⑤ 工程平均で仮計算(g扱い)","⑤ 工程平均で仮計算"),IF($E129="⑩盛付梱包工程入力","⑥ 盛り込み(⑳F列で計上)",IF(AND($E129="⑬計量工程入力",OR($D129="個",$D129="切",$D129="本",$D129="枚",$D129="尾")),"① 未紐づけ(カット個単位は仮単価なし)","① 未紐づけ"))),IF(NOT(ISNUMBER($H129)),"② 工程側に単価なし",IF($D129="","③ 単位未設定(個で計算)","④ OK"))))</f>
        <v/>
      </c>
      <c r="J129" s="399">
        <f>IFERROR(LOOKUP(2,1/((中間品リスト!$F$2:$F$1299=$B129)*(中間品リスト!$E$2:$E$1299&lt;&gt;"-")*(中間品リスト!$E$2:$E$1299&lt;&gt;"")),中間品リスト!$E$2:$E$1299),"")</f>
        <v/>
      </c>
      <c r="K129" s="400">
        <f>IF($J129="",0,COUNTIF(②釜工程入力!$S$5:$S$117,$J129)+COUNTIF(③スチコン工程入力!$S$5:$S$152,$J129)+COUNTIF(⑪ZEN工程入力!$S$6:$S$35,$J129)+COUNTIF(⑫ミキサー工程入力!$S$6:$S$65,$J129)+COUNTIF(⑬計量工程入力!$S$6:$S$65,$J129)+COUNTIF(⑭手動工程入力!$S$6:$S$47,$J129))</f>
        <v/>
      </c>
      <c r="L129" s="393">
        <f>IF($J129="",0,SUMIFS(②釜工程入力!$M$5:$M$117,②釜工程入力!$S$5:$S$117,$J129,②釜工程入力!$I$5:$I$117,"&gt;0")+SUMIFS(③スチコン工程入力!$M$5:$M$152,③スチコン工程入力!$S$5:$S$152,$J129,③スチコン工程入力!$I$5:$I$152,"&gt;0")+SUMIFS(⑪ZEN工程入力!$M$6:$M$35,⑪ZEN工程入力!$S$6:$S$35,$J129,⑪ZEN工程入力!$I$6:$I$35,"&gt;0")+SUMIFS(⑫ミキサー工程入力!$M$6:$M$65,⑫ミキサー工程入力!$S$6:$S$65,$J129,⑫ミキサー工程入力!$I$6:$I$65,"&gt;0")+SUMIFS(⑬計量工程入力!$M$6:$M$65,⑬計量工程入力!$S$6:$S$65,$J129,⑬計量工程入力!$I$6:$I$65,"&gt;0")+SUMIFS(⑭手動工程入力!$M$6:$M$47,⑭手動工程入力!$S$6:$S$47,$J129,⑭手動工程入力!$I$6:$I$47,"&gt;0"))</f>
        <v/>
      </c>
      <c r="M129" s="393">
        <f>IF($J129="",0,SUMIFS(②釜工程入力!$I$5:$I$117,②釜工程入力!$S$5:$S$117,$J129,②釜工程入力!$I$5:$I$117,"&gt;0",②釜工程入力!$M$5:$M$117,"&gt;0")+SUMIFS(③スチコン工程入力!$I$5:$I$152,③スチコン工程入力!$S$5:$S$152,$J129,③スチコン工程入力!$I$5:$I$152,"&gt;0",③スチコン工程入力!$M$5:$M$152,"&gt;0")+SUMIFS(⑪ZEN工程入力!$I$6:$I$35,⑪ZEN工程入力!$S$6:$S$35,$J129,⑪ZEN工程入力!$I$6:$I$35,"&gt;0",⑪ZEN工程入力!$M$6:$M$35,"&gt;0")+SUMIFS(⑫ミキサー工程入力!$I$6:$I$65,⑫ミキサー工程入力!$S$6:$S$65,$J129,⑫ミキサー工程入力!$I$6:$I$65,"&gt;0",⑫ミキサー工程入力!$M$6:$M$65,"&gt;0")+SUMIFS(⑬計量工程入力!$I$6:$I$65,⑬計量工程入力!$S$6:$S$65,$J129,⑬計量工程入力!$I$6:$I$65,"&gt;0",⑬計量工程入力!$M$6:$M$65,"&gt;0")+SUMIFS(⑭手動工程入力!$I$6:$I$47,⑭手動工程入力!$S$6:$S$47,$J129,⑭手動工程入力!$I$6:$I$47,"&gt;0",⑭手動工程入力!$M$6:$M$47,"&gt;0"))</f>
        <v/>
      </c>
      <c r="N129" s="393">
        <f>IF($J129="",0,SUMIFS(②釜工程入力!$M$5:$M$117,②釜工程入力!$S$5:$S$117,$J129,②釜工程入力!$J$5:$J$117,"&gt;0")-SUMIFS(②釜工程入力!$M$5:$M$117,②釜工程入力!$S$5:$S$117,$J129,②釜工程入力!$J$5:$J$117,"&gt;0",②釜工程入力!$I$5:$I$117,"&gt;0")+SUMIFS(③スチコン工程入力!$M$5:$M$152,③スチコン工程入力!$S$5:$S$152,$J129,③スチコン工程入力!$J$5:$J$152,"&gt;0")-SUMIFS(③スチコン工程入力!$M$5:$M$152,③スチコン工程入力!$S$5:$S$152,$J129,③スチコン工程入力!$J$5:$J$152,"&gt;0",③スチコン工程入力!$I$5:$I$152,"&gt;0")+SUMIFS(⑪ZEN工程入力!$M$6:$M$35,⑪ZEN工程入力!$S$6:$S$35,$J129,⑪ZEN工程入力!$J$6:$J$35,"&gt;0")-SUMIFS(⑪ZEN工程入力!$M$6:$M$35,⑪ZEN工程入力!$S$6:$S$35,$J129,⑪ZEN工程入力!$J$6:$J$35,"&gt;0",⑪ZEN工程入力!$I$6:$I$35,"&gt;0")+SUMIFS(⑫ミキサー工程入力!$M$6:$M$65,⑫ミキサー工程入力!$S$6:$S$65,$J129,⑫ミキサー工程入力!$J$6:$J$65,"&gt;0")-SUMIFS(⑫ミキサー工程入力!$M$6:$M$65,⑫ミキサー工程入力!$S$6:$S$65,$J129,⑫ミキサー工程入力!$J$6:$J$65,"&gt;0",⑫ミキサー工程入力!$I$6:$I$65,"&gt;0")+SUMIFS(⑬計量工程入力!$M$6:$M$65,⑬計量工程入力!$S$6:$S$65,$J129,⑬計量工程入力!$J$6:$J$65,"&gt;0")-SUMIFS(⑬計量工程入力!$M$6:$M$65,⑬計量工程入力!$S$6:$S$65,$J129,⑬計量工程入力!$J$6:$J$65,"&gt;0",⑬計量工程入力!$I$6:$I$65,"&gt;0")+SUMIFS(⑭手動工程入力!$M$6:$M$47,⑭手動工程入力!$S$6:$S$47,$J129,⑭手動工程入力!$J$6:$J$47,"&gt;0")-SUMIFS(⑭手動工程入力!$M$6:$M$47,⑭手動工程入力!$S$6:$S$47,$J129,⑭手動工程入力!$J$6:$J$47,"&gt;0",⑭手動工程入力!$I$6:$I$47,"&gt;0"))</f>
        <v/>
      </c>
      <c r="O129" s="393">
        <f>IF($J129="",0,SUMIFS(②釜工程入力!$J$5:$J$117,②釜工程入力!$S$5:$S$117,$J129,②釜工程入力!$J$5:$J$117,"&gt;0",②釜工程入力!$M$5:$M$117,"&gt;0")-SUMIFS(②釜工程入力!$J$5:$J$117,②釜工程入力!$S$5:$S$117,$J129,②釜工程入力!$J$5:$J$117,"&gt;0",②釜工程入力!$I$5:$I$117,"&gt;0",②釜工程入力!$M$5:$M$117,"&gt;0")+SUMIFS(③スチコン工程入力!$J$5:$J$152,③スチコン工程入力!$S$5:$S$152,$J129,③スチコン工程入力!$J$5:$J$152,"&gt;0",③スチコン工程入力!$M$5:$M$152,"&gt;0")-SUMIFS(③スチコン工程入力!$J$5:$J$152,③スチコン工程入力!$S$5:$S$152,$J129,③スチコン工程入力!$J$5:$J$152,"&gt;0",③スチコン工程入力!$I$5:$I$152,"&gt;0",③スチコン工程入力!$M$5:$M$152,"&gt;0")+SUMIFS(⑪ZEN工程入力!$J$6:$J$35,⑪ZEN工程入力!$S$6:$S$35,$J129,⑪ZEN工程入力!$J$6:$J$35,"&gt;0",⑪ZEN工程入力!$M$6:$M$35,"&gt;0")-SUMIFS(⑪ZEN工程入力!$J$6:$J$35,⑪ZEN工程入力!$S$6:$S$35,$J129,⑪ZEN工程入力!$J$6:$J$35,"&gt;0",⑪ZEN工程入力!$I$6:$I$35,"&gt;0",⑪ZEN工程入力!$M$6:$M$35,"&gt;0")+SUMIFS(⑫ミキサー工程入力!$J$6:$J$65,⑫ミキサー工程入力!$S$6:$S$65,$J129,⑫ミキサー工程入力!$J$6:$J$65,"&gt;0",⑫ミキサー工程入力!$M$6:$M$65,"&gt;0")-SUMIFS(⑫ミキサー工程入力!$J$6:$J$65,⑫ミキサー工程入力!$S$6:$S$65,$J129,⑫ミキサー工程入力!$J$6:$J$65,"&gt;0",⑫ミキサー工程入力!$I$6:$I$65,"&gt;0",⑫ミキサー工程入力!$M$6:$M$65,"&gt;0")+SUMIFS(⑬計量工程入力!$J$6:$J$65,⑬計量工程入力!$S$6:$S$65,$J129,⑬計量工程入力!$J$6:$J$65,"&gt;0",⑬計量工程入力!$M$6:$M$65,"&gt;0")-SUMIFS(⑬計量工程入力!$J$6:$J$65,⑬計量工程入力!$S$6:$S$65,$J129,⑬計量工程入力!$J$6:$J$65,"&gt;0",⑬計量工程入力!$I$6:$I$65,"&gt;0",⑬計量工程入力!$M$6:$M$65,"&gt;0")+SUMIFS(⑭手動工程入力!$J$6:$J$47,⑭手動工程入力!$S$6:$S$47,$J129,⑭手動工程入力!$J$6:$J$47,"&gt;0",⑭手動工程入力!$M$6:$M$47,"&gt;0")-SUMIFS(⑭手動工程入力!$J$6:$J$47,⑭手動工程入力!$S$6:$S$47,$J129,⑭手動工程入力!$J$6:$J$47,"&gt;0",⑭手動工程入力!$I$6:$I$47,"&gt;0",⑭手動工程入力!$M$6:$M$47,"&gt;0"))</f>
        <v/>
      </c>
      <c r="P129" s="392" t="inlineStr">
        <is>
          <t>中間品リスト</t>
        </is>
      </c>
    </row>
    <row r="130">
      <c r="A130" s="392" t="n">
        <v>126</v>
      </c>
      <c r="B130" s="392" t="n"/>
      <c r="C130" s="392" t="n"/>
      <c r="D130" s="392" t="n"/>
      <c r="E130" s="392" t="n"/>
      <c r="F130" s="394" t="n"/>
      <c r="G130" s="392" t="n"/>
      <c r="H130" s="604">
        <f>IFERROR(IF(AND($K130&gt;0,ISNUMBER(IF(OR($D130="g",$D130="ｇ"),IF($M130&gt;0,$L130/$M130/1000,""),IF($D130="kg",IF($M130&gt;0,$L130/$M130,""),IF($D130="",IF($M130&gt;0,$L130/$M130/1000,IF($O130&gt;0,$N130/$O130,"")),IF($O130&gt;0,$N130/$O130,"")))))),IF(OR($D130="g",$D130="ｇ"),IF($M130&gt;0,$L130/$M130/1000,""),IF($D130="kg",IF($M130&gt;0,$L130/$M130,""),IF($D130="",IF($M130&gt;0,$L130/$M130/1000,IF($O130&gt;0,$N130/$O130,"")),IF($O130&gt;0,$N130/$O130,"")))),IF($F130="",IF(OR($E130="",$E130="⑩盛付梱包工程入力"),"",IF(OR($D130="g",$D130="ｇ"),INDEX(⑰工程労務費一覧!$N$5:$N$11,MATCH($E130,⑰工程労務費一覧!$K$5:$K$11,0))/1000,IF($D130="kg",INDEX(⑰工程労務費一覧!$N$5:$N$11,MATCH($E130,⑰工程労務費一覧!$K$5:$K$11,0)),IF(OR($D130="個",$D130="切",$D130="本",$D130="枚",$D130="尾"),IF($E130="⑬計量工程入力","",INDEX(⑰工程労務費一覧!$P$5:$P$11,MATCH($E130,⑰工程労務費一覧!$K$5:$K$11,0))),IF(AND($D130="",OR($E130="②釜工程入力",$E130="③スチコン工程入力")),INDEX(⑰工程労務費一覧!$N$5:$N$11,MATCH($E130,⑰工程労務費一覧!$K$5:$K$11,0))/1000,""))))),IF(OR($D130="g",$D130="ｇ"),INDEX(⑰工程労務費一覧!$H$5:$H$753,MATCH($F130,⑰工程労務費一覧!$D$5:$D$753,0))/1000,IF($D130="kg",INDEX(⑰工程労務費一覧!$H$5:$H$753,MATCH($F130,⑰工程労務費一覧!$D$5:$D$753,0)),INDEX(⑰工程労務費一覧!$I$5:$I$753,MATCH($F130,⑰工程労務費一覧!$D$5:$D$753,0)))))),"")</f>
        <v/>
      </c>
      <c r="I130" s="392">
        <f>IF($K130&gt;0,IF(ISNUMBER(IF(OR($D130="g",$D130="ｇ"),IF($M130&gt;0,$L130/$M130/1000,""),IF($D130="kg",IF($M130&gt;0,$L130/$M130,""),IF($D130="",IF($M130&gt;0,$L130/$M130/1000,IF($O130&gt;0,$N130/$O130,"")),IF($O130&gt;0,$N130/$O130,""))))),IF($D130="",IF($M130&gt;0,"◎ JAN紐づけ(g扱い)","◎ JAN紐づけ(個扱い)"),"◎ JAN紐づけ"),"△ JAN紐づけ済・実績不足→仮計算"),IF($F130="",IF(ISNUMBER($H130),IF($D130="","⑤ 工程平均で仮計算(g扱い)","⑤ 工程平均で仮計算"),IF($E130="⑩盛付梱包工程入力","⑥ 盛り込み(⑳F列で計上)",IF(AND($E130="⑬計量工程入力",OR($D130="個",$D130="切",$D130="本",$D130="枚",$D130="尾")),"① 未紐づけ(カット個単位は仮単価なし)","① 未紐づけ"))),IF(NOT(ISNUMBER($H130)),"② 工程側に単価なし",IF($D130="","③ 単位未設定(個で計算)","④ OK"))))</f>
        <v/>
      </c>
      <c r="J130" s="399">
        <f>IFERROR(LOOKUP(2,1/((中間品リスト!$F$2:$F$1299=$B130)*(中間品リスト!$E$2:$E$1299&lt;&gt;"-")*(中間品リスト!$E$2:$E$1299&lt;&gt;"")),中間品リスト!$E$2:$E$1299),"")</f>
        <v/>
      </c>
      <c r="K130" s="400">
        <f>IF($J130="",0,COUNTIF(②釜工程入力!$S$5:$S$117,$J130)+COUNTIF(③スチコン工程入力!$S$5:$S$152,$J130)+COUNTIF(⑪ZEN工程入力!$S$6:$S$35,$J130)+COUNTIF(⑫ミキサー工程入力!$S$6:$S$65,$J130)+COUNTIF(⑬計量工程入力!$S$6:$S$65,$J130)+COUNTIF(⑭手動工程入力!$S$6:$S$47,$J130))</f>
        <v/>
      </c>
      <c r="L130" s="393">
        <f>IF($J130="",0,SUMIFS(②釜工程入力!$M$5:$M$117,②釜工程入力!$S$5:$S$117,$J130,②釜工程入力!$I$5:$I$117,"&gt;0")+SUMIFS(③スチコン工程入力!$M$5:$M$152,③スチコン工程入力!$S$5:$S$152,$J130,③スチコン工程入力!$I$5:$I$152,"&gt;0")+SUMIFS(⑪ZEN工程入力!$M$6:$M$35,⑪ZEN工程入力!$S$6:$S$35,$J130,⑪ZEN工程入力!$I$6:$I$35,"&gt;0")+SUMIFS(⑫ミキサー工程入力!$M$6:$M$65,⑫ミキサー工程入力!$S$6:$S$65,$J130,⑫ミキサー工程入力!$I$6:$I$65,"&gt;0")+SUMIFS(⑬計量工程入力!$M$6:$M$65,⑬計量工程入力!$S$6:$S$65,$J130,⑬計量工程入力!$I$6:$I$65,"&gt;0")+SUMIFS(⑭手動工程入力!$M$6:$M$47,⑭手動工程入力!$S$6:$S$47,$J130,⑭手動工程入力!$I$6:$I$47,"&gt;0"))</f>
        <v/>
      </c>
      <c r="M130" s="393">
        <f>IF($J130="",0,SUMIFS(②釜工程入力!$I$5:$I$117,②釜工程入力!$S$5:$S$117,$J130,②釜工程入力!$I$5:$I$117,"&gt;0",②釜工程入力!$M$5:$M$117,"&gt;0")+SUMIFS(③スチコン工程入力!$I$5:$I$152,③スチコン工程入力!$S$5:$S$152,$J130,③スチコン工程入力!$I$5:$I$152,"&gt;0",③スチコン工程入力!$M$5:$M$152,"&gt;0")+SUMIFS(⑪ZEN工程入力!$I$6:$I$35,⑪ZEN工程入力!$S$6:$S$35,$J130,⑪ZEN工程入力!$I$6:$I$35,"&gt;0",⑪ZEN工程入力!$M$6:$M$35,"&gt;0")+SUMIFS(⑫ミキサー工程入力!$I$6:$I$65,⑫ミキサー工程入力!$S$6:$S$65,$J130,⑫ミキサー工程入力!$I$6:$I$65,"&gt;0",⑫ミキサー工程入力!$M$6:$M$65,"&gt;0")+SUMIFS(⑬計量工程入力!$I$6:$I$65,⑬計量工程入力!$S$6:$S$65,$J130,⑬計量工程入力!$I$6:$I$65,"&gt;0",⑬計量工程入力!$M$6:$M$65,"&gt;0")+SUMIFS(⑭手動工程入力!$I$6:$I$47,⑭手動工程入力!$S$6:$S$47,$J130,⑭手動工程入力!$I$6:$I$47,"&gt;0",⑭手動工程入力!$M$6:$M$47,"&gt;0"))</f>
        <v/>
      </c>
      <c r="N130" s="393">
        <f>IF($J130="",0,SUMIFS(②釜工程入力!$M$5:$M$117,②釜工程入力!$S$5:$S$117,$J130,②釜工程入力!$J$5:$J$117,"&gt;0")-SUMIFS(②釜工程入力!$M$5:$M$117,②釜工程入力!$S$5:$S$117,$J130,②釜工程入力!$J$5:$J$117,"&gt;0",②釜工程入力!$I$5:$I$117,"&gt;0")+SUMIFS(③スチコン工程入力!$M$5:$M$152,③スチコン工程入力!$S$5:$S$152,$J130,③スチコン工程入力!$J$5:$J$152,"&gt;0")-SUMIFS(③スチコン工程入力!$M$5:$M$152,③スチコン工程入力!$S$5:$S$152,$J130,③スチコン工程入力!$J$5:$J$152,"&gt;0",③スチコン工程入力!$I$5:$I$152,"&gt;0")+SUMIFS(⑪ZEN工程入力!$M$6:$M$35,⑪ZEN工程入力!$S$6:$S$35,$J130,⑪ZEN工程入力!$J$6:$J$35,"&gt;0")-SUMIFS(⑪ZEN工程入力!$M$6:$M$35,⑪ZEN工程入力!$S$6:$S$35,$J130,⑪ZEN工程入力!$J$6:$J$35,"&gt;0",⑪ZEN工程入力!$I$6:$I$35,"&gt;0")+SUMIFS(⑫ミキサー工程入力!$M$6:$M$65,⑫ミキサー工程入力!$S$6:$S$65,$J130,⑫ミキサー工程入力!$J$6:$J$65,"&gt;0")-SUMIFS(⑫ミキサー工程入力!$M$6:$M$65,⑫ミキサー工程入力!$S$6:$S$65,$J130,⑫ミキサー工程入力!$J$6:$J$65,"&gt;0",⑫ミキサー工程入力!$I$6:$I$65,"&gt;0")+SUMIFS(⑬計量工程入力!$M$6:$M$65,⑬計量工程入力!$S$6:$S$65,$J130,⑬計量工程入力!$J$6:$J$65,"&gt;0")-SUMIFS(⑬計量工程入力!$M$6:$M$65,⑬計量工程入力!$S$6:$S$65,$J130,⑬計量工程入力!$J$6:$J$65,"&gt;0",⑬計量工程入力!$I$6:$I$65,"&gt;0")+SUMIFS(⑭手動工程入力!$M$6:$M$47,⑭手動工程入力!$S$6:$S$47,$J130,⑭手動工程入力!$J$6:$J$47,"&gt;0")-SUMIFS(⑭手動工程入力!$M$6:$M$47,⑭手動工程入力!$S$6:$S$47,$J130,⑭手動工程入力!$J$6:$J$47,"&gt;0",⑭手動工程入力!$I$6:$I$47,"&gt;0"))</f>
        <v/>
      </c>
      <c r="O130" s="393">
        <f>IF($J130="",0,SUMIFS(②釜工程入力!$J$5:$J$117,②釜工程入力!$S$5:$S$117,$J130,②釜工程入力!$J$5:$J$117,"&gt;0",②釜工程入力!$M$5:$M$117,"&gt;0")-SUMIFS(②釜工程入力!$J$5:$J$117,②釜工程入力!$S$5:$S$117,$J130,②釜工程入力!$J$5:$J$117,"&gt;0",②釜工程入力!$I$5:$I$117,"&gt;0",②釜工程入力!$M$5:$M$117,"&gt;0")+SUMIFS(③スチコン工程入力!$J$5:$J$152,③スチコン工程入力!$S$5:$S$152,$J130,③スチコン工程入力!$J$5:$J$152,"&gt;0",③スチコン工程入力!$M$5:$M$152,"&gt;0")-SUMIFS(③スチコン工程入力!$J$5:$J$152,③スチコン工程入力!$S$5:$S$152,$J130,③スチコン工程入力!$J$5:$J$152,"&gt;0",③スチコン工程入力!$I$5:$I$152,"&gt;0",③スチコン工程入力!$M$5:$M$152,"&gt;0")+SUMIFS(⑪ZEN工程入力!$J$6:$J$35,⑪ZEN工程入力!$S$6:$S$35,$J130,⑪ZEN工程入力!$J$6:$J$35,"&gt;0",⑪ZEN工程入力!$M$6:$M$35,"&gt;0")-SUMIFS(⑪ZEN工程入力!$J$6:$J$35,⑪ZEN工程入力!$S$6:$S$35,$J130,⑪ZEN工程入力!$J$6:$J$35,"&gt;0",⑪ZEN工程入力!$I$6:$I$35,"&gt;0",⑪ZEN工程入力!$M$6:$M$35,"&gt;0")+SUMIFS(⑫ミキサー工程入力!$J$6:$J$65,⑫ミキサー工程入力!$S$6:$S$65,$J130,⑫ミキサー工程入力!$J$6:$J$65,"&gt;0",⑫ミキサー工程入力!$M$6:$M$65,"&gt;0")-SUMIFS(⑫ミキサー工程入力!$J$6:$J$65,⑫ミキサー工程入力!$S$6:$S$65,$J130,⑫ミキサー工程入力!$J$6:$J$65,"&gt;0",⑫ミキサー工程入力!$I$6:$I$65,"&gt;0",⑫ミキサー工程入力!$M$6:$M$65,"&gt;0")+SUMIFS(⑬計量工程入力!$J$6:$J$65,⑬計量工程入力!$S$6:$S$65,$J130,⑬計量工程入力!$J$6:$J$65,"&gt;0",⑬計量工程入力!$M$6:$M$65,"&gt;0")-SUMIFS(⑬計量工程入力!$J$6:$J$65,⑬計量工程入力!$S$6:$S$65,$J130,⑬計量工程入力!$J$6:$J$65,"&gt;0",⑬計量工程入力!$I$6:$I$65,"&gt;0",⑬計量工程入力!$M$6:$M$65,"&gt;0")+SUMIFS(⑭手動工程入力!$J$6:$J$47,⑭手動工程入力!$S$6:$S$47,$J130,⑭手動工程入力!$J$6:$J$47,"&gt;0",⑭手動工程入力!$M$6:$M$47,"&gt;0")-SUMIFS(⑭手動工程入力!$J$6:$J$47,⑭手動工程入力!$S$6:$S$47,$J130,⑭手動工程入力!$J$6:$J$47,"&gt;0",⑭手動工程入力!$I$6:$I$47,"&gt;0",⑭手動工程入力!$M$6:$M$47,"&gt;0"))</f>
        <v/>
      </c>
      <c r="P130" s="392" t="n"/>
    </row>
    <row r="131">
      <c r="A131" s="392" t="n">
        <v>127</v>
      </c>
      <c r="B131" s="392" t="n"/>
      <c r="C131" s="392" t="n"/>
      <c r="D131" s="409" t="n"/>
      <c r="E131" s="392" t="n"/>
      <c r="F131" s="394" t="n"/>
      <c r="G131" s="392" t="n"/>
      <c r="H131" s="604">
        <f>IFERROR(IF(AND($K131&gt;0,ISNUMBER(IF(OR($D131="g",$D131="ｇ"),IF($M131&gt;0,$L131/$M131/1000,""),IF($D131="kg",IF($M131&gt;0,$L131/$M131,""),IF($D131="",IF($M131&gt;0,$L131/$M131/1000,IF($O131&gt;0,$N131/$O131,"")),IF($O131&gt;0,$N131/$O131,"")))))),IF(OR($D131="g",$D131="ｇ"),IF($M131&gt;0,$L131/$M131/1000,""),IF($D131="kg",IF($M131&gt;0,$L131/$M131,""),IF($D131="",IF($M131&gt;0,$L131/$M131/1000,IF($O131&gt;0,$N131/$O131,"")),IF($O131&gt;0,$N131/$O131,"")))),IF($F131="",IF(OR($E131="",$E131="⑩盛付梱包工程入力"),"",IF(OR($D131="g",$D131="ｇ"),INDEX(⑰工程労務費一覧!$N$5:$N$11,MATCH($E131,⑰工程労務費一覧!$K$5:$K$11,0))/1000,IF($D131="kg",INDEX(⑰工程労務費一覧!$N$5:$N$11,MATCH($E131,⑰工程労務費一覧!$K$5:$K$11,0)),IF(OR($D131="個",$D131="切",$D131="本",$D131="枚",$D131="尾"),IF($E131="⑬計量工程入力","",INDEX(⑰工程労務費一覧!$P$5:$P$11,MATCH($E131,⑰工程労務費一覧!$K$5:$K$11,0))),IF(AND($D131="",OR($E131="②釜工程入力",$E131="③スチコン工程入力")),INDEX(⑰工程労務費一覧!$N$5:$N$11,MATCH($E131,⑰工程労務費一覧!$K$5:$K$11,0))/1000,""))))),IF(OR($D131="g",$D131="ｇ"),INDEX(⑰工程労務費一覧!$H$5:$H$753,MATCH($F131,⑰工程労務費一覧!$D$5:$D$753,0))/1000,IF($D131="kg",INDEX(⑰工程労務費一覧!$H$5:$H$753,MATCH($F131,⑰工程労務費一覧!$D$5:$D$753,0)),INDEX(⑰工程労務費一覧!$I$5:$I$753,MATCH($F131,⑰工程労務費一覧!$D$5:$D$753,0)))))),"")</f>
        <v/>
      </c>
      <c r="I131" s="392">
        <f>IF($K131&gt;0,IF(ISNUMBER(IF(OR($D131="g",$D131="ｇ"),IF($M131&gt;0,$L131/$M131/1000,""),IF($D131="kg",IF($M131&gt;0,$L131/$M131,""),IF($D131="",IF($M131&gt;0,$L131/$M131/1000,IF($O131&gt;0,$N131/$O131,"")),IF($O131&gt;0,$N131/$O131,""))))),IF($D131="",IF($M131&gt;0,"◎ JAN紐づけ(g扱い)","◎ JAN紐づけ(個扱い)"),"◎ JAN紐づけ"),"△ JAN紐づけ済・実績不足→仮計算"),IF($F131="",IF(ISNUMBER($H131),IF($D131="","⑤ 工程平均で仮計算(g扱い)","⑤ 工程平均で仮計算"),IF($E131="⑩盛付梱包工程入力","⑥ 盛り込み(⑳F列で計上)",IF(AND($E131="⑬計量工程入力",OR($D131="個",$D131="切",$D131="本",$D131="枚",$D131="尾")),"① 未紐づけ(カット個単位は仮単価なし)","① 未紐づけ"))),IF(NOT(ISNUMBER($H131)),"② 工程側に単価なし",IF($D131="","③ 単位未設定(個で計算)","④ OK"))))</f>
        <v/>
      </c>
      <c r="J131" s="399">
        <f>IFERROR(LOOKUP(2,1/((中間品リスト!$F$2:$F$1299=$B131)*(中間品リスト!$E$2:$E$1299&lt;&gt;"-")*(中間品リスト!$E$2:$E$1299&lt;&gt;"")),中間品リスト!$E$2:$E$1299),"")</f>
        <v/>
      </c>
      <c r="K131" s="400">
        <f>IF($J131="",0,COUNTIF(②釜工程入力!$S$5:$S$117,$J131)+COUNTIF(③スチコン工程入力!$S$5:$S$152,$J131)+COUNTIF(⑪ZEN工程入力!$S$6:$S$35,$J131)+COUNTIF(⑫ミキサー工程入力!$S$6:$S$65,$J131)+COUNTIF(⑬計量工程入力!$S$6:$S$65,$J131)+COUNTIF(⑭手動工程入力!$S$6:$S$47,$J131))</f>
        <v/>
      </c>
      <c r="L131" s="393">
        <f>IF($J131="",0,SUMIFS(②釜工程入力!$M$5:$M$117,②釜工程入力!$S$5:$S$117,$J131,②釜工程入力!$I$5:$I$117,"&gt;0")+SUMIFS(③スチコン工程入力!$M$5:$M$152,③スチコン工程入力!$S$5:$S$152,$J131,③スチコン工程入力!$I$5:$I$152,"&gt;0")+SUMIFS(⑪ZEN工程入力!$M$6:$M$35,⑪ZEN工程入力!$S$6:$S$35,$J131,⑪ZEN工程入力!$I$6:$I$35,"&gt;0")+SUMIFS(⑫ミキサー工程入力!$M$6:$M$65,⑫ミキサー工程入力!$S$6:$S$65,$J131,⑫ミキサー工程入力!$I$6:$I$65,"&gt;0")+SUMIFS(⑬計量工程入力!$M$6:$M$65,⑬計量工程入力!$S$6:$S$65,$J131,⑬計量工程入力!$I$6:$I$65,"&gt;0")+SUMIFS(⑭手動工程入力!$M$6:$M$47,⑭手動工程入力!$S$6:$S$47,$J131,⑭手動工程入力!$I$6:$I$47,"&gt;0"))</f>
        <v/>
      </c>
      <c r="M131" s="393">
        <f>IF($J131="",0,SUMIFS(②釜工程入力!$I$5:$I$117,②釜工程入力!$S$5:$S$117,$J131,②釜工程入力!$I$5:$I$117,"&gt;0",②釜工程入力!$M$5:$M$117,"&gt;0")+SUMIFS(③スチコン工程入力!$I$5:$I$152,③スチコン工程入力!$S$5:$S$152,$J131,③スチコン工程入力!$I$5:$I$152,"&gt;0",③スチコン工程入力!$M$5:$M$152,"&gt;0")+SUMIFS(⑪ZEN工程入力!$I$6:$I$35,⑪ZEN工程入力!$S$6:$S$35,$J131,⑪ZEN工程入力!$I$6:$I$35,"&gt;0",⑪ZEN工程入力!$M$6:$M$35,"&gt;0")+SUMIFS(⑫ミキサー工程入力!$I$6:$I$65,⑫ミキサー工程入力!$S$6:$S$65,$J131,⑫ミキサー工程入力!$I$6:$I$65,"&gt;0",⑫ミキサー工程入力!$M$6:$M$65,"&gt;0")+SUMIFS(⑬計量工程入力!$I$6:$I$65,⑬計量工程入力!$S$6:$S$65,$J131,⑬計量工程入力!$I$6:$I$65,"&gt;0",⑬計量工程入力!$M$6:$M$65,"&gt;0")+SUMIFS(⑭手動工程入力!$I$6:$I$47,⑭手動工程入力!$S$6:$S$47,$J131,⑭手動工程入力!$I$6:$I$47,"&gt;0",⑭手動工程入力!$M$6:$M$47,"&gt;0"))</f>
        <v/>
      </c>
      <c r="N131" s="393">
        <f>IF($J131="",0,SUMIFS(②釜工程入力!$M$5:$M$117,②釜工程入力!$S$5:$S$117,$J131,②釜工程入力!$J$5:$J$117,"&gt;0")-SUMIFS(②釜工程入力!$M$5:$M$117,②釜工程入力!$S$5:$S$117,$J131,②釜工程入力!$J$5:$J$117,"&gt;0",②釜工程入力!$I$5:$I$117,"&gt;0")+SUMIFS(③スチコン工程入力!$M$5:$M$152,③スチコン工程入力!$S$5:$S$152,$J131,③スチコン工程入力!$J$5:$J$152,"&gt;0")-SUMIFS(③スチコン工程入力!$M$5:$M$152,③スチコン工程入力!$S$5:$S$152,$J131,③スチコン工程入力!$J$5:$J$152,"&gt;0",③スチコン工程入力!$I$5:$I$152,"&gt;0")+SUMIFS(⑪ZEN工程入力!$M$6:$M$35,⑪ZEN工程入力!$S$6:$S$35,$J131,⑪ZEN工程入力!$J$6:$J$35,"&gt;0")-SUMIFS(⑪ZEN工程入力!$M$6:$M$35,⑪ZEN工程入力!$S$6:$S$35,$J131,⑪ZEN工程入力!$J$6:$J$35,"&gt;0",⑪ZEN工程入力!$I$6:$I$35,"&gt;0")+SUMIFS(⑫ミキサー工程入力!$M$6:$M$65,⑫ミキサー工程入力!$S$6:$S$65,$J131,⑫ミキサー工程入力!$J$6:$J$65,"&gt;0")-SUMIFS(⑫ミキサー工程入力!$M$6:$M$65,⑫ミキサー工程入力!$S$6:$S$65,$J131,⑫ミキサー工程入力!$J$6:$J$65,"&gt;0",⑫ミキサー工程入力!$I$6:$I$65,"&gt;0")+SUMIFS(⑬計量工程入力!$M$6:$M$65,⑬計量工程入力!$S$6:$S$65,$J131,⑬計量工程入力!$J$6:$J$65,"&gt;0")-SUMIFS(⑬計量工程入力!$M$6:$M$65,⑬計量工程入力!$S$6:$S$65,$J131,⑬計量工程入力!$J$6:$J$65,"&gt;0",⑬計量工程入力!$I$6:$I$65,"&gt;0")+SUMIFS(⑭手動工程入力!$M$6:$M$47,⑭手動工程入力!$S$6:$S$47,$J131,⑭手動工程入力!$J$6:$J$47,"&gt;0")-SUMIFS(⑭手動工程入力!$M$6:$M$47,⑭手動工程入力!$S$6:$S$47,$J131,⑭手動工程入力!$J$6:$J$47,"&gt;0",⑭手動工程入力!$I$6:$I$47,"&gt;0"))</f>
        <v/>
      </c>
      <c r="O131" s="393">
        <f>IF($J131="",0,SUMIFS(②釜工程入力!$J$5:$J$117,②釜工程入力!$S$5:$S$117,$J131,②釜工程入力!$J$5:$J$117,"&gt;0",②釜工程入力!$M$5:$M$117,"&gt;0")-SUMIFS(②釜工程入力!$J$5:$J$117,②釜工程入力!$S$5:$S$117,$J131,②釜工程入力!$J$5:$J$117,"&gt;0",②釜工程入力!$I$5:$I$117,"&gt;0",②釜工程入力!$M$5:$M$117,"&gt;0")+SUMIFS(③スチコン工程入力!$J$5:$J$152,③スチコン工程入力!$S$5:$S$152,$J131,③スチコン工程入力!$J$5:$J$152,"&gt;0",③スチコン工程入力!$M$5:$M$152,"&gt;0")-SUMIFS(③スチコン工程入力!$J$5:$J$152,③スチコン工程入力!$S$5:$S$152,$J131,③スチコン工程入力!$J$5:$J$152,"&gt;0",③スチコン工程入力!$I$5:$I$152,"&gt;0",③スチコン工程入力!$M$5:$M$152,"&gt;0")+SUMIFS(⑪ZEN工程入力!$J$6:$J$35,⑪ZEN工程入力!$S$6:$S$35,$J131,⑪ZEN工程入力!$J$6:$J$35,"&gt;0",⑪ZEN工程入力!$M$6:$M$35,"&gt;0")-SUMIFS(⑪ZEN工程入力!$J$6:$J$35,⑪ZEN工程入力!$S$6:$S$35,$J131,⑪ZEN工程入力!$J$6:$J$35,"&gt;0",⑪ZEN工程入力!$I$6:$I$35,"&gt;0",⑪ZEN工程入力!$M$6:$M$35,"&gt;0")+SUMIFS(⑫ミキサー工程入力!$J$6:$J$65,⑫ミキサー工程入力!$S$6:$S$65,$J131,⑫ミキサー工程入力!$J$6:$J$65,"&gt;0",⑫ミキサー工程入力!$M$6:$M$65,"&gt;0")-SUMIFS(⑫ミキサー工程入力!$J$6:$J$65,⑫ミキサー工程入力!$S$6:$S$65,$J131,⑫ミキサー工程入力!$J$6:$J$65,"&gt;0",⑫ミキサー工程入力!$I$6:$I$65,"&gt;0",⑫ミキサー工程入力!$M$6:$M$65,"&gt;0")+SUMIFS(⑬計量工程入力!$J$6:$J$65,⑬計量工程入力!$S$6:$S$65,$J131,⑬計量工程入力!$J$6:$J$65,"&gt;0",⑬計量工程入力!$M$6:$M$65,"&gt;0")-SUMIFS(⑬計量工程入力!$J$6:$J$65,⑬計量工程入力!$S$6:$S$65,$J131,⑬計量工程入力!$J$6:$J$65,"&gt;0",⑬計量工程入力!$I$6:$I$65,"&gt;0",⑬計量工程入力!$M$6:$M$65,"&gt;0")+SUMIFS(⑭手動工程入力!$J$6:$J$47,⑭手動工程入力!$S$6:$S$47,$J131,⑭手動工程入力!$J$6:$J$47,"&gt;0",⑭手動工程入力!$M$6:$M$47,"&gt;0")-SUMIFS(⑭手動工程入力!$J$6:$J$47,⑭手動工程入力!$S$6:$S$47,$J131,⑭手動工程入力!$J$6:$J$47,"&gt;0",⑭手動工程入力!$I$6:$I$47,"&gt;0",⑭手動工程入力!$M$6:$M$47,"&gt;0"))</f>
        <v/>
      </c>
      <c r="P131" s="392" t="inlineStr">
        <is>
          <t>中間品リスト</t>
        </is>
      </c>
    </row>
    <row r="132">
      <c r="A132" s="392" t="n">
        <v>128</v>
      </c>
      <c r="B132" s="392" t="n"/>
      <c r="C132" s="392" t="n"/>
      <c r="D132" s="409" t="n"/>
      <c r="E132" s="392" t="n"/>
      <c r="F132" s="394" t="n"/>
      <c r="G132" s="392" t="n"/>
      <c r="H132" s="604">
        <f>IFERROR(IF(AND($K132&gt;0,ISNUMBER(IF(OR($D132="g",$D132="ｇ"),IF($M132&gt;0,$L132/$M132/1000,""),IF($D132="kg",IF($M132&gt;0,$L132/$M132,""),IF($D132="",IF($M132&gt;0,$L132/$M132/1000,IF($O132&gt;0,$N132/$O132,"")),IF($O132&gt;0,$N132/$O132,"")))))),IF(OR($D132="g",$D132="ｇ"),IF($M132&gt;0,$L132/$M132/1000,""),IF($D132="kg",IF($M132&gt;0,$L132/$M132,""),IF($D132="",IF($M132&gt;0,$L132/$M132/1000,IF($O132&gt;0,$N132/$O132,"")),IF($O132&gt;0,$N132/$O132,"")))),IF($F132="",IF(OR($E132="",$E132="⑩盛付梱包工程入力"),"",IF(OR($D132="g",$D132="ｇ"),INDEX(⑰工程労務費一覧!$N$5:$N$11,MATCH($E132,⑰工程労務費一覧!$K$5:$K$11,0))/1000,IF($D132="kg",INDEX(⑰工程労務費一覧!$N$5:$N$11,MATCH($E132,⑰工程労務費一覧!$K$5:$K$11,0)),IF(OR($D132="個",$D132="切",$D132="本",$D132="枚",$D132="尾"),IF($E132="⑬計量工程入力","",INDEX(⑰工程労務費一覧!$P$5:$P$11,MATCH($E132,⑰工程労務費一覧!$K$5:$K$11,0))),IF(AND($D132="",OR($E132="②釜工程入力",$E132="③スチコン工程入力")),INDEX(⑰工程労務費一覧!$N$5:$N$11,MATCH($E132,⑰工程労務費一覧!$K$5:$K$11,0))/1000,""))))),IF(OR($D132="g",$D132="ｇ"),INDEX(⑰工程労務費一覧!$H$5:$H$753,MATCH($F132,⑰工程労務費一覧!$D$5:$D$753,0))/1000,IF($D132="kg",INDEX(⑰工程労務費一覧!$H$5:$H$753,MATCH($F132,⑰工程労務費一覧!$D$5:$D$753,0)),INDEX(⑰工程労務費一覧!$I$5:$I$753,MATCH($F132,⑰工程労務費一覧!$D$5:$D$753,0)))))),"")</f>
        <v/>
      </c>
      <c r="I132" s="392">
        <f>IF($K132&gt;0,IF(ISNUMBER(IF(OR($D132="g",$D132="ｇ"),IF($M132&gt;0,$L132/$M132/1000,""),IF($D132="kg",IF($M132&gt;0,$L132/$M132,""),IF($D132="",IF($M132&gt;0,$L132/$M132/1000,IF($O132&gt;0,$N132/$O132,"")),IF($O132&gt;0,$N132/$O132,""))))),IF($D132="",IF($M132&gt;0,"◎ JAN紐づけ(g扱い)","◎ JAN紐づけ(個扱い)"),"◎ JAN紐づけ"),"△ JAN紐づけ済・実績不足→仮計算"),IF($F132="",IF(ISNUMBER($H132),IF($D132="","⑤ 工程平均で仮計算(g扱い)","⑤ 工程平均で仮計算"),IF($E132="⑩盛付梱包工程入力","⑥ 盛り込み(⑳F列で計上)",IF(AND($E132="⑬計量工程入力",OR($D132="個",$D132="切",$D132="本",$D132="枚",$D132="尾")),"① 未紐づけ(カット個単位は仮単価なし)","① 未紐づけ"))),IF(NOT(ISNUMBER($H132)),"② 工程側に単価なし",IF($D132="","③ 単位未設定(個で計算)","④ OK"))))</f>
        <v/>
      </c>
      <c r="J132" s="399">
        <f>IFERROR(LOOKUP(2,1/((中間品リスト!$F$2:$F$1299=$B132)*(中間品リスト!$E$2:$E$1299&lt;&gt;"-")*(中間品リスト!$E$2:$E$1299&lt;&gt;"")),中間品リスト!$E$2:$E$1299),"")</f>
        <v/>
      </c>
      <c r="K132" s="400">
        <f>IF($J132="",0,COUNTIF(②釜工程入力!$S$5:$S$117,$J132)+COUNTIF(③スチコン工程入力!$S$5:$S$152,$J132)+COUNTIF(⑪ZEN工程入力!$S$6:$S$35,$J132)+COUNTIF(⑫ミキサー工程入力!$S$6:$S$65,$J132)+COUNTIF(⑬計量工程入力!$S$6:$S$65,$J132)+COUNTIF(⑭手動工程入力!$S$6:$S$47,$J132))</f>
        <v/>
      </c>
      <c r="L132" s="393">
        <f>IF($J132="",0,SUMIFS(②釜工程入力!$M$5:$M$117,②釜工程入力!$S$5:$S$117,$J132,②釜工程入力!$I$5:$I$117,"&gt;0")+SUMIFS(③スチコン工程入力!$M$5:$M$152,③スチコン工程入力!$S$5:$S$152,$J132,③スチコン工程入力!$I$5:$I$152,"&gt;0")+SUMIFS(⑪ZEN工程入力!$M$6:$M$35,⑪ZEN工程入力!$S$6:$S$35,$J132,⑪ZEN工程入力!$I$6:$I$35,"&gt;0")+SUMIFS(⑫ミキサー工程入力!$M$6:$M$65,⑫ミキサー工程入力!$S$6:$S$65,$J132,⑫ミキサー工程入力!$I$6:$I$65,"&gt;0")+SUMIFS(⑬計量工程入力!$M$6:$M$65,⑬計量工程入力!$S$6:$S$65,$J132,⑬計量工程入力!$I$6:$I$65,"&gt;0")+SUMIFS(⑭手動工程入力!$M$6:$M$47,⑭手動工程入力!$S$6:$S$47,$J132,⑭手動工程入力!$I$6:$I$47,"&gt;0"))</f>
        <v/>
      </c>
      <c r="M132" s="393">
        <f>IF($J132="",0,SUMIFS(②釜工程入力!$I$5:$I$117,②釜工程入力!$S$5:$S$117,$J132,②釜工程入力!$I$5:$I$117,"&gt;0",②釜工程入力!$M$5:$M$117,"&gt;0")+SUMIFS(③スチコン工程入力!$I$5:$I$152,③スチコン工程入力!$S$5:$S$152,$J132,③スチコン工程入力!$I$5:$I$152,"&gt;0",③スチコン工程入力!$M$5:$M$152,"&gt;0")+SUMIFS(⑪ZEN工程入力!$I$6:$I$35,⑪ZEN工程入力!$S$6:$S$35,$J132,⑪ZEN工程入力!$I$6:$I$35,"&gt;0",⑪ZEN工程入力!$M$6:$M$35,"&gt;0")+SUMIFS(⑫ミキサー工程入力!$I$6:$I$65,⑫ミキサー工程入力!$S$6:$S$65,$J132,⑫ミキサー工程入力!$I$6:$I$65,"&gt;0",⑫ミキサー工程入力!$M$6:$M$65,"&gt;0")+SUMIFS(⑬計量工程入力!$I$6:$I$65,⑬計量工程入力!$S$6:$S$65,$J132,⑬計量工程入力!$I$6:$I$65,"&gt;0",⑬計量工程入力!$M$6:$M$65,"&gt;0")+SUMIFS(⑭手動工程入力!$I$6:$I$47,⑭手動工程入力!$S$6:$S$47,$J132,⑭手動工程入力!$I$6:$I$47,"&gt;0",⑭手動工程入力!$M$6:$M$47,"&gt;0"))</f>
        <v/>
      </c>
      <c r="N132" s="393">
        <f>IF($J132="",0,SUMIFS(②釜工程入力!$M$5:$M$117,②釜工程入力!$S$5:$S$117,$J132,②釜工程入力!$J$5:$J$117,"&gt;0")-SUMIFS(②釜工程入力!$M$5:$M$117,②釜工程入力!$S$5:$S$117,$J132,②釜工程入力!$J$5:$J$117,"&gt;0",②釜工程入力!$I$5:$I$117,"&gt;0")+SUMIFS(③スチコン工程入力!$M$5:$M$152,③スチコン工程入力!$S$5:$S$152,$J132,③スチコン工程入力!$J$5:$J$152,"&gt;0")-SUMIFS(③スチコン工程入力!$M$5:$M$152,③スチコン工程入力!$S$5:$S$152,$J132,③スチコン工程入力!$J$5:$J$152,"&gt;0",③スチコン工程入力!$I$5:$I$152,"&gt;0")+SUMIFS(⑪ZEN工程入力!$M$6:$M$35,⑪ZEN工程入力!$S$6:$S$35,$J132,⑪ZEN工程入力!$J$6:$J$35,"&gt;0")-SUMIFS(⑪ZEN工程入力!$M$6:$M$35,⑪ZEN工程入力!$S$6:$S$35,$J132,⑪ZEN工程入力!$J$6:$J$35,"&gt;0",⑪ZEN工程入力!$I$6:$I$35,"&gt;0")+SUMIFS(⑫ミキサー工程入力!$M$6:$M$65,⑫ミキサー工程入力!$S$6:$S$65,$J132,⑫ミキサー工程入力!$J$6:$J$65,"&gt;0")-SUMIFS(⑫ミキサー工程入力!$M$6:$M$65,⑫ミキサー工程入力!$S$6:$S$65,$J132,⑫ミキサー工程入力!$J$6:$J$65,"&gt;0",⑫ミキサー工程入力!$I$6:$I$65,"&gt;0")+SUMIFS(⑬計量工程入力!$M$6:$M$65,⑬計量工程入力!$S$6:$S$65,$J132,⑬計量工程入力!$J$6:$J$65,"&gt;0")-SUMIFS(⑬計量工程入力!$M$6:$M$65,⑬計量工程入力!$S$6:$S$65,$J132,⑬計量工程入力!$J$6:$J$65,"&gt;0",⑬計量工程入力!$I$6:$I$65,"&gt;0")+SUMIFS(⑭手動工程入力!$M$6:$M$47,⑭手動工程入力!$S$6:$S$47,$J132,⑭手動工程入力!$J$6:$J$47,"&gt;0")-SUMIFS(⑭手動工程入力!$M$6:$M$47,⑭手動工程入力!$S$6:$S$47,$J132,⑭手動工程入力!$J$6:$J$47,"&gt;0",⑭手動工程入力!$I$6:$I$47,"&gt;0"))</f>
        <v/>
      </c>
      <c r="O132" s="393">
        <f>IF($J132="",0,SUMIFS(②釜工程入力!$J$5:$J$117,②釜工程入力!$S$5:$S$117,$J132,②釜工程入力!$J$5:$J$117,"&gt;0",②釜工程入力!$M$5:$M$117,"&gt;0")-SUMIFS(②釜工程入力!$J$5:$J$117,②釜工程入力!$S$5:$S$117,$J132,②釜工程入力!$J$5:$J$117,"&gt;0",②釜工程入力!$I$5:$I$117,"&gt;0",②釜工程入力!$M$5:$M$117,"&gt;0")+SUMIFS(③スチコン工程入力!$J$5:$J$152,③スチコン工程入力!$S$5:$S$152,$J132,③スチコン工程入力!$J$5:$J$152,"&gt;0",③スチコン工程入力!$M$5:$M$152,"&gt;0")-SUMIFS(③スチコン工程入力!$J$5:$J$152,③スチコン工程入力!$S$5:$S$152,$J132,③スチコン工程入力!$J$5:$J$152,"&gt;0",③スチコン工程入力!$I$5:$I$152,"&gt;0",③スチコン工程入力!$M$5:$M$152,"&gt;0")+SUMIFS(⑪ZEN工程入力!$J$6:$J$35,⑪ZEN工程入力!$S$6:$S$35,$J132,⑪ZEN工程入力!$J$6:$J$35,"&gt;0",⑪ZEN工程入力!$M$6:$M$35,"&gt;0")-SUMIFS(⑪ZEN工程入力!$J$6:$J$35,⑪ZEN工程入力!$S$6:$S$35,$J132,⑪ZEN工程入力!$J$6:$J$35,"&gt;0",⑪ZEN工程入力!$I$6:$I$35,"&gt;0",⑪ZEN工程入力!$M$6:$M$35,"&gt;0")+SUMIFS(⑫ミキサー工程入力!$J$6:$J$65,⑫ミキサー工程入力!$S$6:$S$65,$J132,⑫ミキサー工程入力!$J$6:$J$65,"&gt;0",⑫ミキサー工程入力!$M$6:$M$65,"&gt;0")-SUMIFS(⑫ミキサー工程入力!$J$6:$J$65,⑫ミキサー工程入力!$S$6:$S$65,$J132,⑫ミキサー工程入力!$J$6:$J$65,"&gt;0",⑫ミキサー工程入力!$I$6:$I$65,"&gt;0",⑫ミキサー工程入力!$M$6:$M$65,"&gt;0")+SUMIFS(⑬計量工程入力!$J$6:$J$65,⑬計量工程入力!$S$6:$S$65,$J132,⑬計量工程入力!$J$6:$J$65,"&gt;0",⑬計量工程入力!$M$6:$M$65,"&gt;0")-SUMIFS(⑬計量工程入力!$J$6:$J$65,⑬計量工程入力!$S$6:$S$65,$J132,⑬計量工程入力!$J$6:$J$65,"&gt;0",⑬計量工程入力!$I$6:$I$65,"&gt;0",⑬計量工程入力!$M$6:$M$65,"&gt;0")+SUMIFS(⑭手動工程入力!$J$6:$J$47,⑭手動工程入力!$S$6:$S$47,$J132,⑭手動工程入力!$J$6:$J$47,"&gt;0",⑭手動工程入力!$M$6:$M$47,"&gt;0")-SUMIFS(⑭手動工程入力!$J$6:$J$47,⑭手動工程入力!$S$6:$S$47,$J132,⑭手動工程入力!$J$6:$J$47,"&gt;0",⑭手動工程入力!$I$6:$I$47,"&gt;0",⑭手動工程入力!$M$6:$M$47,"&gt;0"))</f>
        <v/>
      </c>
      <c r="P132" s="392" t="inlineStr">
        <is>
          <t>中間品リスト</t>
        </is>
      </c>
    </row>
    <row r="133">
      <c r="A133" s="392" t="n">
        <v>129</v>
      </c>
      <c r="B133" s="392" t="n"/>
      <c r="C133" s="392" t="n"/>
      <c r="D133" s="409" t="n"/>
      <c r="E133" s="392" t="n"/>
      <c r="F133" s="394" t="n"/>
      <c r="G133" s="392" t="n"/>
      <c r="H133" s="604">
        <f>IFERROR(IF(AND($K133&gt;0,ISNUMBER(IF(OR($D133="g",$D133="ｇ"),IF($M133&gt;0,$L133/$M133/1000,""),IF($D133="kg",IF($M133&gt;0,$L133/$M133,""),IF($D133="",IF($M133&gt;0,$L133/$M133/1000,IF($O133&gt;0,$N133/$O133,"")),IF($O133&gt;0,$N133/$O133,"")))))),IF(OR($D133="g",$D133="ｇ"),IF($M133&gt;0,$L133/$M133/1000,""),IF($D133="kg",IF($M133&gt;0,$L133/$M133,""),IF($D133="",IF($M133&gt;0,$L133/$M133/1000,IF($O133&gt;0,$N133/$O133,"")),IF($O133&gt;0,$N133/$O133,"")))),IF($F133="",IF(OR($E133="",$E133="⑩盛付梱包工程入力"),"",IF(OR($D133="g",$D133="ｇ"),INDEX(⑰工程労務費一覧!$N$5:$N$11,MATCH($E133,⑰工程労務費一覧!$K$5:$K$11,0))/1000,IF($D133="kg",INDEX(⑰工程労務費一覧!$N$5:$N$11,MATCH($E133,⑰工程労務費一覧!$K$5:$K$11,0)),IF(OR($D133="個",$D133="切",$D133="本",$D133="枚",$D133="尾"),IF($E133="⑬計量工程入力","",INDEX(⑰工程労務費一覧!$P$5:$P$11,MATCH($E133,⑰工程労務費一覧!$K$5:$K$11,0))),IF(AND($D133="",OR($E133="②釜工程入力",$E133="③スチコン工程入力")),INDEX(⑰工程労務費一覧!$N$5:$N$11,MATCH($E133,⑰工程労務費一覧!$K$5:$K$11,0))/1000,""))))),IF(OR($D133="g",$D133="ｇ"),INDEX(⑰工程労務費一覧!$H$5:$H$753,MATCH($F133,⑰工程労務費一覧!$D$5:$D$753,0))/1000,IF($D133="kg",INDEX(⑰工程労務費一覧!$H$5:$H$753,MATCH($F133,⑰工程労務費一覧!$D$5:$D$753,0)),INDEX(⑰工程労務費一覧!$I$5:$I$753,MATCH($F133,⑰工程労務費一覧!$D$5:$D$753,0)))))),"")</f>
        <v/>
      </c>
      <c r="I133" s="392">
        <f>IF($K133&gt;0,IF(ISNUMBER(IF(OR($D133="g",$D133="ｇ"),IF($M133&gt;0,$L133/$M133/1000,""),IF($D133="kg",IF($M133&gt;0,$L133/$M133,""),IF($D133="",IF($M133&gt;0,$L133/$M133/1000,IF($O133&gt;0,$N133/$O133,"")),IF($O133&gt;0,$N133/$O133,""))))),IF($D133="",IF($M133&gt;0,"◎ JAN紐づけ(g扱い)","◎ JAN紐づけ(個扱い)"),"◎ JAN紐づけ"),"△ JAN紐づけ済・実績不足→仮計算"),IF($F133="",IF(ISNUMBER($H133),IF($D133="","⑤ 工程平均で仮計算(g扱い)","⑤ 工程平均で仮計算"),IF($E133="⑩盛付梱包工程入力","⑥ 盛り込み(⑳F列で計上)",IF(AND($E133="⑬計量工程入力",OR($D133="個",$D133="切",$D133="本",$D133="枚",$D133="尾")),"① 未紐づけ(カット個単位は仮単価なし)","① 未紐づけ"))),IF(NOT(ISNUMBER($H133)),"② 工程側に単価なし",IF($D133="","③ 単位未設定(個で計算)","④ OK"))))</f>
        <v/>
      </c>
      <c r="J133" s="399">
        <f>IFERROR(LOOKUP(2,1/((中間品リスト!$F$2:$F$1299=$B133)*(中間品リスト!$E$2:$E$1299&lt;&gt;"-")*(中間品リスト!$E$2:$E$1299&lt;&gt;"")),中間品リスト!$E$2:$E$1299),"")</f>
        <v/>
      </c>
      <c r="K133" s="400">
        <f>IF($J133="",0,COUNTIF(②釜工程入力!$S$5:$S$117,$J133)+COUNTIF(③スチコン工程入力!$S$5:$S$152,$J133)+COUNTIF(⑪ZEN工程入力!$S$6:$S$35,$J133)+COUNTIF(⑫ミキサー工程入力!$S$6:$S$65,$J133)+COUNTIF(⑬計量工程入力!$S$6:$S$65,$J133)+COUNTIF(⑭手動工程入力!$S$6:$S$47,$J133))</f>
        <v/>
      </c>
      <c r="L133" s="393">
        <f>IF($J133="",0,SUMIFS(②釜工程入力!$M$5:$M$117,②釜工程入力!$S$5:$S$117,$J133,②釜工程入力!$I$5:$I$117,"&gt;0")+SUMIFS(③スチコン工程入力!$M$5:$M$152,③スチコン工程入力!$S$5:$S$152,$J133,③スチコン工程入力!$I$5:$I$152,"&gt;0")+SUMIFS(⑪ZEN工程入力!$M$6:$M$35,⑪ZEN工程入力!$S$6:$S$35,$J133,⑪ZEN工程入力!$I$6:$I$35,"&gt;0")+SUMIFS(⑫ミキサー工程入力!$M$6:$M$65,⑫ミキサー工程入力!$S$6:$S$65,$J133,⑫ミキサー工程入力!$I$6:$I$65,"&gt;0")+SUMIFS(⑬計量工程入力!$M$6:$M$65,⑬計量工程入力!$S$6:$S$65,$J133,⑬計量工程入力!$I$6:$I$65,"&gt;0")+SUMIFS(⑭手動工程入力!$M$6:$M$47,⑭手動工程入力!$S$6:$S$47,$J133,⑭手動工程入力!$I$6:$I$47,"&gt;0"))</f>
        <v/>
      </c>
      <c r="M133" s="393">
        <f>IF($J133="",0,SUMIFS(②釜工程入力!$I$5:$I$117,②釜工程入力!$S$5:$S$117,$J133,②釜工程入力!$I$5:$I$117,"&gt;0",②釜工程入力!$M$5:$M$117,"&gt;0")+SUMIFS(③スチコン工程入力!$I$5:$I$152,③スチコン工程入力!$S$5:$S$152,$J133,③スチコン工程入力!$I$5:$I$152,"&gt;0",③スチコン工程入力!$M$5:$M$152,"&gt;0")+SUMIFS(⑪ZEN工程入力!$I$6:$I$35,⑪ZEN工程入力!$S$6:$S$35,$J133,⑪ZEN工程入力!$I$6:$I$35,"&gt;0",⑪ZEN工程入力!$M$6:$M$35,"&gt;0")+SUMIFS(⑫ミキサー工程入力!$I$6:$I$65,⑫ミキサー工程入力!$S$6:$S$65,$J133,⑫ミキサー工程入力!$I$6:$I$65,"&gt;0",⑫ミキサー工程入力!$M$6:$M$65,"&gt;0")+SUMIFS(⑬計量工程入力!$I$6:$I$65,⑬計量工程入力!$S$6:$S$65,$J133,⑬計量工程入力!$I$6:$I$65,"&gt;0",⑬計量工程入力!$M$6:$M$65,"&gt;0")+SUMIFS(⑭手動工程入力!$I$6:$I$47,⑭手動工程入力!$S$6:$S$47,$J133,⑭手動工程入力!$I$6:$I$47,"&gt;0",⑭手動工程入力!$M$6:$M$47,"&gt;0"))</f>
        <v/>
      </c>
      <c r="N133" s="393">
        <f>IF($J133="",0,SUMIFS(②釜工程入力!$M$5:$M$117,②釜工程入力!$S$5:$S$117,$J133,②釜工程入力!$J$5:$J$117,"&gt;0")-SUMIFS(②釜工程入力!$M$5:$M$117,②釜工程入力!$S$5:$S$117,$J133,②釜工程入力!$J$5:$J$117,"&gt;0",②釜工程入力!$I$5:$I$117,"&gt;0")+SUMIFS(③スチコン工程入力!$M$5:$M$152,③スチコン工程入力!$S$5:$S$152,$J133,③スチコン工程入力!$J$5:$J$152,"&gt;0")-SUMIFS(③スチコン工程入力!$M$5:$M$152,③スチコン工程入力!$S$5:$S$152,$J133,③スチコン工程入力!$J$5:$J$152,"&gt;0",③スチコン工程入力!$I$5:$I$152,"&gt;0")+SUMIFS(⑪ZEN工程入力!$M$6:$M$35,⑪ZEN工程入力!$S$6:$S$35,$J133,⑪ZEN工程入力!$J$6:$J$35,"&gt;0")-SUMIFS(⑪ZEN工程入力!$M$6:$M$35,⑪ZEN工程入力!$S$6:$S$35,$J133,⑪ZEN工程入力!$J$6:$J$35,"&gt;0",⑪ZEN工程入力!$I$6:$I$35,"&gt;0")+SUMIFS(⑫ミキサー工程入力!$M$6:$M$65,⑫ミキサー工程入力!$S$6:$S$65,$J133,⑫ミキサー工程入力!$J$6:$J$65,"&gt;0")-SUMIFS(⑫ミキサー工程入力!$M$6:$M$65,⑫ミキサー工程入力!$S$6:$S$65,$J133,⑫ミキサー工程入力!$J$6:$J$65,"&gt;0",⑫ミキサー工程入力!$I$6:$I$65,"&gt;0")+SUMIFS(⑬計量工程入力!$M$6:$M$65,⑬計量工程入力!$S$6:$S$65,$J133,⑬計量工程入力!$J$6:$J$65,"&gt;0")-SUMIFS(⑬計量工程入力!$M$6:$M$65,⑬計量工程入力!$S$6:$S$65,$J133,⑬計量工程入力!$J$6:$J$65,"&gt;0",⑬計量工程入力!$I$6:$I$65,"&gt;0")+SUMIFS(⑭手動工程入力!$M$6:$M$47,⑭手動工程入力!$S$6:$S$47,$J133,⑭手動工程入力!$J$6:$J$47,"&gt;0")-SUMIFS(⑭手動工程入力!$M$6:$M$47,⑭手動工程入力!$S$6:$S$47,$J133,⑭手動工程入力!$J$6:$J$47,"&gt;0",⑭手動工程入力!$I$6:$I$47,"&gt;0"))</f>
        <v/>
      </c>
      <c r="O133" s="393">
        <f>IF($J133="",0,SUMIFS(②釜工程入力!$J$5:$J$117,②釜工程入力!$S$5:$S$117,$J133,②釜工程入力!$J$5:$J$117,"&gt;0",②釜工程入力!$M$5:$M$117,"&gt;0")-SUMIFS(②釜工程入力!$J$5:$J$117,②釜工程入力!$S$5:$S$117,$J133,②釜工程入力!$J$5:$J$117,"&gt;0",②釜工程入力!$I$5:$I$117,"&gt;0",②釜工程入力!$M$5:$M$117,"&gt;0")+SUMIFS(③スチコン工程入力!$J$5:$J$152,③スチコン工程入力!$S$5:$S$152,$J133,③スチコン工程入力!$J$5:$J$152,"&gt;0",③スチコン工程入力!$M$5:$M$152,"&gt;0")-SUMIFS(③スチコン工程入力!$J$5:$J$152,③スチコン工程入力!$S$5:$S$152,$J133,③スチコン工程入力!$J$5:$J$152,"&gt;0",③スチコン工程入力!$I$5:$I$152,"&gt;0",③スチコン工程入力!$M$5:$M$152,"&gt;0")+SUMIFS(⑪ZEN工程入力!$J$6:$J$35,⑪ZEN工程入力!$S$6:$S$35,$J133,⑪ZEN工程入力!$J$6:$J$35,"&gt;0",⑪ZEN工程入力!$M$6:$M$35,"&gt;0")-SUMIFS(⑪ZEN工程入力!$J$6:$J$35,⑪ZEN工程入力!$S$6:$S$35,$J133,⑪ZEN工程入力!$J$6:$J$35,"&gt;0",⑪ZEN工程入力!$I$6:$I$35,"&gt;0",⑪ZEN工程入力!$M$6:$M$35,"&gt;0")+SUMIFS(⑫ミキサー工程入力!$J$6:$J$65,⑫ミキサー工程入力!$S$6:$S$65,$J133,⑫ミキサー工程入力!$J$6:$J$65,"&gt;0",⑫ミキサー工程入力!$M$6:$M$65,"&gt;0")-SUMIFS(⑫ミキサー工程入力!$J$6:$J$65,⑫ミキサー工程入力!$S$6:$S$65,$J133,⑫ミキサー工程入力!$J$6:$J$65,"&gt;0",⑫ミキサー工程入力!$I$6:$I$65,"&gt;0",⑫ミキサー工程入力!$M$6:$M$65,"&gt;0")+SUMIFS(⑬計量工程入力!$J$6:$J$65,⑬計量工程入力!$S$6:$S$65,$J133,⑬計量工程入力!$J$6:$J$65,"&gt;0",⑬計量工程入力!$M$6:$M$65,"&gt;0")-SUMIFS(⑬計量工程入力!$J$6:$J$65,⑬計量工程入力!$S$6:$S$65,$J133,⑬計量工程入力!$J$6:$J$65,"&gt;0",⑬計量工程入力!$I$6:$I$65,"&gt;0",⑬計量工程入力!$M$6:$M$65,"&gt;0")+SUMIFS(⑭手動工程入力!$J$6:$J$47,⑭手動工程入力!$S$6:$S$47,$J133,⑭手動工程入力!$J$6:$J$47,"&gt;0",⑭手動工程入力!$M$6:$M$47,"&gt;0")-SUMIFS(⑭手動工程入力!$J$6:$J$47,⑭手動工程入力!$S$6:$S$47,$J133,⑭手動工程入力!$J$6:$J$47,"&gt;0",⑭手動工程入力!$I$6:$I$47,"&gt;0",⑭手動工程入力!$M$6:$M$47,"&gt;0"))</f>
        <v/>
      </c>
      <c r="P133" s="392" t="inlineStr">
        <is>
          <t>中間品リスト</t>
        </is>
      </c>
    </row>
    <row r="134">
      <c r="A134" s="392" t="n">
        <v>130</v>
      </c>
      <c r="B134" s="392" t="n"/>
      <c r="C134" s="392" t="n"/>
      <c r="D134" s="409" t="n"/>
      <c r="E134" s="392" t="n"/>
      <c r="F134" s="394" t="n"/>
      <c r="G134" s="392" t="n"/>
      <c r="H134" s="604">
        <f>IFERROR(IF(AND($K134&gt;0,ISNUMBER(IF(OR($D134="g",$D134="ｇ"),IF($M134&gt;0,$L134/$M134/1000,""),IF($D134="kg",IF($M134&gt;0,$L134/$M134,""),IF($D134="",IF($M134&gt;0,$L134/$M134/1000,IF($O134&gt;0,$N134/$O134,"")),IF($O134&gt;0,$N134/$O134,"")))))),IF(OR($D134="g",$D134="ｇ"),IF($M134&gt;0,$L134/$M134/1000,""),IF($D134="kg",IF($M134&gt;0,$L134/$M134,""),IF($D134="",IF($M134&gt;0,$L134/$M134/1000,IF($O134&gt;0,$N134/$O134,"")),IF($O134&gt;0,$N134/$O134,"")))),IF($F134="",IF(OR($E134="",$E134="⑩盛付梱包工程入力"),"",IF(OR($D134="g",$D134="ｇ"),INDEX(⑰工程労務費一覧!$N$5:$N$11,MATCH($E134,⑰工程労務費一覧!$K$5:$K$11,0))/1000,IF($D134="kg",INDEX(⑰工程労務費一覧!$N$5:$N$11,MATCH($E134,⑰工程労務費一覧!$K$5:$K$11,0)),IF(OR($D134="個",$D134="切",$D134="本",$D134="枚",$D134="尾"),IF($E134="⑬計量工程入力","",INDEX(⑰工程労務費一覧!$P$5:$P$11,MATCH($E134,⑰工程労務費一覧!$K$5:$K$11,0))),IF(AND($D134="",OR($E134="②釜工程入力",$E134="③スチコン工程入力")),INDEX(⑰工程労務費一覧!$N$5:$N$11,MATCH($E134,⑰工程労務費一覧!$K$5:$K$11,0))/1000,""))))),IF(OR($D134="g",$D134="ｇ"),INDEX(⑰工程労務費一覧!$H$5:$H$753,MATCH($F134,⑰工程労務費一覧!$D$5:$D$753,0))/1000,IF($D134="kg",INDEX(⑰工程労務費一覧!$H$5:$H$753,MATCH($F134,⑰工程労務費一覧!$D$5:$D$753,0)),INDEX(⑰工程労務費一覧!$I$5:$I$753,MATCH($F134,⑰工程労務費一覧!$D$5:$D$753,0)))))),"")</f>
        <v/>
      </c>
      <c r="I134" s="392">
        <f>IF($K134&gt;0,IF(ISNUMBER(IF(OR($D134="g",$D134="ｇ"),IF($M134&gt;0,$L134/$M134/1000,""),IF($D134="kg",IF($M134&gt;0,$L134/$M134,""),IF($D134="",IF($M134&gt;0,$L134/$M134/1000,IF($O134&gt;0,$N134/$O134,"")),IF($O134&gt;0,$N134/$O134,""))))),IF($D134="",IF($M134&gt;0,"◎ JAN紐づけ(g扱い)","◎ JAN紐づけ(個扱い)"),"◎ JAN紐づけ"),"△ JAN紐づけ済・実績不足→仮計算"),IF($F134="",IF(ISNUMBER($H134),IF($D134="","⑤ 工程平均で仮計算(g扱い)","⑤ 工程平均で仮計算"),IF($E134="⑩盛付梱包工程入力","⑥ 盛り込み(⑳F列で計上)",IF(AND($E134="⑬計量工程入力",OR($D134="個",$D134="切",$D134="本",$D134="枚",$D134="尾")),"① 未紐づけ(カット個単位は仮単価なし)","① 未紐づけ"))),IF(NOT(ISNUMBER($H134)),"② 工程側に単価なし",IF($D134="","③ 単位未設定(個で計算)","④ OK"))))</f>
        <v/>
      </c>
      <c r="J134" s="399">
        <f>IFERROR(LOOKUP(2,1/((中間品リスト!$F$2:$F$1299=$B134)*(中間品リスト!$E$2:$E$1299&lt;&gt;"-")*(中間品リスト!$E$2:$E$1299&lt;&gt;"")),中間品リスト!$E$2:$E$1299),"")</f>
        <v/>
      </c>
      <c r="K134" s="400">
        <f>IF($J134="",0,COUNTIF(②釜工程入力!$S$5:$S$117,$J134)+COUNTIF(③スチコン工程入力!$S$5:$S$152,$J134)+COUNTIF(⑪ZEN工程入力!$S$6:$S$35,$J134)+COUNTIF(⑫ミキサー工程入力!$S$6:$S$65,$J134)+COUNTIF(⑬計量工程入力!$S$6:$S$65,$J134)+COUNTIF(⑭手動工程入力!$S$6:$S$47,$J134))</f>
        <v/>
      </c>
      <c r="L134" s="393">
        <f>IF($J134="",0,SUMIFS(②釜工程入力!$M$5:$M$117,②釜工程入力!$S$5:$S$117,$J134,②釜工程入力!$I$5:$I$117,"&gt;0")+SUMIFS(③スチコン工程入力!$M$5:$M$152,③スチコン工程入力!$S$5:$S$152,$J134,③スチコン工程入力!$I$5:$I$152,"&gt;0")+SUMIFS(⑪ZEN工程入力!$M$6:$M$35,⑪ZEN工程入力!$S$6:$S$35,$J134,⑪ZEN工程入力!$I$6:$I$35,"&gt;0")+SUMIFS(⑫ミキサー工程入力!$M$6:$M$65,⑫ミキサー工程入力!$S$6:$S$65,$J134,⑫ミキサー工程入力!$I$6:$I$65,"&gt;0")+SUMIFS(⑬計量工程入力!$M$6:$M$65,⑬計量工程入力!$S$6:$S$65,$J134,⑬計量工程入力!$I$6:$I$65,"&gt;0")+SUMIFS(⑭手動工程入力!$M$6:$M$47,⑭手動工程入力!$S$6:$S$47,$J134,⑭手動工程入力!$I$6:$I$47,"&gt;0"))</f>
        <v/>
      </c>
      <c r="M134" s="393">
        <f>IF($J134="",0,SUMIFS(②釜工程入力!$I$5:$I$117,②釜工程入力!$S$5:$S$117,$J134,②釜工程入力!$I$5:$I$117,"&gt;0",②釜工程入力!$M$5:$M$117,"&gt;0")+SUMIFS(③スチコン工程入力!$I$5:$I$152,③スチコン工程入力!$S$5:$S$152,$J134,③スチコン工程入力!$I$5:$I$152,"&gt;0",③スチコン工程入力!$M$5:$M$152,"&gt;0")+SUMIFS(⑪ZEN工程入力!$I$6:$I$35,⑪ZEN工程入力!$S$6:$S$35,$J134,⑪ZEN工程入力!$I$6:$I$35,"&gt;0",⑪ZEN工程入力!$M$6:$M$35,"&gt;0")+SUMIFS(⑫ミキサー工程入力!$I$6:$I$65,⑫ミキサー工程入力!$S$6:$S$65,$J134,⑫ミキサー工程入力!$I$6:$I$65,"&gt;0",⑫ミキサー工程入力!$M$6:$M$65,"&gt;0")+SUMIFS(⑬計量工程入力!$I$6:$I$65,⑬計量工程入力!$S$6:$S$65,$J134,⑬計量工程入力!$I$6:$I$65,"&gt;0",⑬計量工程入力!$M$6:$M$65,"&gt;0")+SUMIFS(⑭手動工程入力!$I$6:$I$47,⑭手動工程入力!$S$6:$S$47,$J134,⑭手動工程入力!$I$6:$I$47,"&gt;0",⑭手動工程入力!$M$6:$M$47,"&gt;0"))</f>
        <v/>
      </c>
      <c r="N134" s="393">
        <f>IF($J134="",0,SUMIFS(②釜工程入力!$M$5:$M$117,②釜工程入力!$S$5:$S$117,$J134,②釜工程入力!$J$5:$J$117,"&gt;0")-SUMIFS(②釜工程入力!$M$5:$M$117,②釜工程入力!$S$5:$S$117,$J134,②釜工程入力!$J$5:$J$117,"&gt;0",②釜工程入力!$I$5:$I$117,"&gt;0")+SUMIFS(③スチコン工程入力!$M$5:$M$152,③スチコン工程入力!$S$5:$S$152,$J134,③スチコン工程入力!$J$5:$J$152,"&gt;0")-SUMIFS(③スチコン工程入力!$M$5:$M$152,③スチコン工程入力!$S$5:$S$152,$J134,③スチコン工程入力!$J$5:$J$152,"&gt;0",③スチコン工程入力!$I$5:$I$152,"&gt;0")+SUMIFS(⑪ZEN工程入力!$M$6:$M$35,⑪ZEN工程入力!$S$6:$S$35,$J134,⑪ZEN工程入力!$J$6:$J$35,"&gt;0")-SUMIFS(⑪ZEN工程入力!$M$6:$M$35,⑪ZEN工程入力!$S$6:$S$35,$J134,⑪ZEN工程入力!$J$6:$J$35,"&gt;0",⑪ZEN工程入力!$I$6:$I$35,"&gt;0")+SUMIFS(⑫ミキサー工程入力!$M$6:$M$65,⑫ミキサー工程入力!$S$6:$S$65,$J134,⑫ミキサー工程入力!$J$6:$J$65,"&gt;0")-SUMIFS(⑫ミキサー工程入力!$M$6:$M$65,⑫ミキサー工程入力!$S$6:$S$65,$J134,⑫ミキサー工程入力!$J$6:$J$65,"&gt;0",⑫ミキサー工程入力!$I$6:$I$65,"&gt;0")+SUMIFS(⑬計量工程入力!$M$6:$M$65,⑬計量工程入力!$S$6:$S$65,$J134,⑬計量工程入力!$J$6:$J$65,"&gt;0")-SUMIFS(⑬計量工程入力!$M$6:$M$65,⑬計量工程入力!$S$6:$S$65,$J134,⑬計量工程入力!$J$6:$J$65,"&gt;0",⑬計量工程入力!$I$6:$I$65,"&gt;0")+SUMIFS(⑭手動工程入力!$M$6:$M$47,⑭手動工程入力!$S$6:$S$47,$J134,⑭手動工程入力!$J$6:$J$47,"&gt;0")-SUMIFS(⑭手動工程入力!$M$6:$M$47,⑭手動工程入力!$S$6:$S$47,$J134,⑭手動工程入力!$J$6:$J$47,"&gt;0",⑭手動工程入力!$I$6:$I$47,"&gt;0"))</f>
        <v/>
      </c>
      <c r="O134" s="393">
        <f>IF($J134="",0,SUMIFS(②釜工程入力!$J$5:$J$117,②釜工程入力!$S$5:$S$117,$J134,②釜工程入力!$J$5:$J$117,"&gt;0",②釜工程入力!$M$5:$M$117,"&gt;0")-SUMIFS(②釜工程入力!$J$5:$J$117,②釜工程入力!$S$5:$S$117,$J134,②釜工程入力!$J$5:$J$117,"&gt;0",②釜工程入力!$I$5:$I$117,"&gt;0",②釜工程入力!$M$5:$M$117,"&gt;0")+SUMIFS(③スチコン工程入力!$J$5:$J$152,③スチコン工程入力!$S$5:$S$152,$J134,③スチコン工程入力!$J$5:$J$152,"&gt;0",③スチコン工程入力!$M$5:$M$152,"&gt;0")-SUMIFS(③スチコン工程入力!$J$5:$J$152,③スチコン工程入力!$S$5:$S$152,$J134,③スチコン工程入力!$J$5:$J$152,"&gt;0",③スチコン工程入力!$I$5:$I$152,"&gt;0",③スチコン工程入力!$M$5:$M$152,"&gt;0")+SUMIFS(⑪ZEN工程入力!$J$6:$J$35,⑪ZEN工程入力!$S$6:$S$35,$J134,⑪ZEN工程入力!$J$6:$J$35,"&gt;0",⑪ZEN工程入力!$M$6:$M$35,"&gt;0")-SUMIFS(⑪ZEN工程入力!$J$6:$J$35,⑪ZEN工程入力!$S$6:$S$35,$J134,⑪ZEN工程入力!$J$6:$J$35,"&gt;0",⑪ZEN工程入力!$I$6:$I$35,"&gt;0",⑪ZEN工程入力!$M$6:$M$35,"&gt;0")+SUMIFS(⑫ミキサー工程入力!$J$6:$J$65,⑫ミキサー工程入力!$S$6:$S$65,$J134,⑫ミキサー工程入力!$J$6:$J$65,"&gt;0",⑫ミキサー工程入力!$M$6:$M$65,"&gt;0")-SUMIFS(⑫ミキサー工程入力!$J$6:$J$65,⑫ミキサー工程入力!$S$6:$S$65,$J134,⑫ミキサー工程入力!$J$6:$J$65,"&gt;0",⑫ミキサー工程入力!$I$6:$I$65,"&gt;0",⑫ミキサー工程入力!$M$6:$M$65,"&gt;0")+SUMIFS(⑬計量工程入力!$J$6:$J$65,⑬計量工程入力!$S$6:$S$65,$J134,⑬計量工程入力!$J$6:$J$65,"&gt;0",⑬計量工程入力!$M$6:$M$65,"&gt;0")-SUMIFS(⑬計量工程入力!$J$6:$J$65,⑬計量工程入力!$S$6:$S$65,$J134,⑬計量工程入力!$J$6:$J$65,"&gt;0",⑬計量工程入力!$I$6:$I$65,"&gt;0",⑬計量工程入力!$M$6:$M$65,"&gt;0")+SUMIFS(⑭手動工程入力!$J$6:$J$47,⑭手動工程入力!$S$6:$S$47,$J134,⑭手動工程入力!$J$6:$J$47,"&gt;0",⑭手動工程入力!$M$6:$M$47,"&gt;0")-SUMIFS(⑭手動工程入力!$J$6:$J$47,⑭手動工程入力!$S$6:$S$47,$J134,⑭手動工程入力!$J$6:$J$47,"&gt;0",⑭手動工程入力!$I$6:$I$47,"&gt;0",⑭手動工程入力!$M$6:$M$47,"&gt;0"))</f>
        <v/>
      </c>
      <c r="P134" s="392" t="inlineStr">
        <is>
          <t>中間品リスト</t>
        </is>
      </c>
    </row>
    <row r="135">
      <c r="A135" s="392" t="n">
        <v>131</v>
      </c>
      <c r="B135" s="392" t="n"/>
      <c r="C135" s="392" t="n"/>
      <c r="D135" s="409" t="n"/>
      <c r="E135" s="392" t="n"/>
      <c r="F135" s="394" t="n"/>
      <c r="G135" s="392" t="n"/>
      <c r="H135" s="604">
        <f>IFERROR(IF(AND($K135&gt;0,ISNUMBER(IF(OR($D135="g",$D135="ｇ"),IF($M135&gt;0,$L135/$M135/1000,""),IF($D135="kg",IF($M135&gt;0,$L135/$M135,""),IF($D135="",IF($M135&gt;0,$L135/$M135/1000,IF($O135&gt;0,$N135/$O135,"")),IF($O135&gt;0,$N135/$O135,"")))))),IF(OR($D135="g",$D135="ｇ"),IF($M135&gt;0,$L135/$M135/1000,""),IF($D135="kg",IF($M135&gt;0,$L135/$M135,""),IF($D135="",IF($M135&gt;0,$L135/$M135/1000,IF($O135&gt;0,$N135/$O135,"")),IF($O135&gt;0,$N135/$O135,"")))),IF($F135="",IF(OR($E135="",$E135="⑩盛付梱包工程入力"),"",IF(OR($D135="g",$D135="ｇ"),INDEX(⑰工程労務費一覧!$N$5:$N$11,MATCH($E135,⑰工程労務費一覧!$K$5:$K$11,0))/1000,IF($D135="kg",INDEX(⑰工程労務費一覧!$N$5:$N$11,MATCH($E135,⑰工程労務費一覧!$K$5:$K$11,0)),IF(OR($D135="個",$D135="切",$D135="本",$D135="枚",$D135="尾"),IF($E135="⑬計量工程入力","",INDEX(⑰工程労務費一覧!$P$5:$P$11,MATCH($E135,⑰工程労務費一覧!$K$5:$K$11,0))),IF(AND($D135="",OR($E135="②釜工程入力",$E135="③スチコン工程入力")),INDEX(⑰工程労務費一覧!$N$5:$N$11,MATCH($E135,⑰工程労務費一覧!$K$5:$K$11,0))/1000,""))))),IF(OR($D135="g",$D135="ｇ"),INDEX(⑰工程労務費一覧!$H$5:$H$753,MATCH($F135,⑰工程労務費一覧!$D$5:$D$753,0))/1000,IF($D135="kg",INDEX(⑰工程労務費一覧!$H$5:$H$753,MATCH($F135,⑰工程労務費一覧!$D$5:$D$753,0)),INDEX(⑰工程労務費一覧!$I$5:$I$753,MATCH($F135,⑰工程労務費一覧!$D$5:$D$753,0)))))),"")</f>
        <v/>
      </c>
      <c r="I135" s="392">
        <f>IF($K135&gt;0,IF(ISNUMBER(IF(OR($D135="g",$D135="ｇ"),IF($M135&gt;0,$L135/$M135/1000,""),IF($D135="kg",IF($M135&gt;0,$L135/$M135,""),IF($D135="",IF($M135&gt;0,$L135/$M135/1000,IF($O135&gt;0,$N135/$O135,"")),IF($O135&gt;0,$N135/$O135,""))))),IF($D135="",IF($M135&gt;0,"◎ JAN紐づけ(g扱い)","◎ JAN紐づけ(個扱い)"),"◎ JAN紐づけ"),"△ JAN紐づけ済・実績不足→仮計算"),IF($F135="",IF(ISNUMBER($H135),IF($D135="","⑤ 工程平均で仮計算(g扱い)","⑤ 工程平均で仮計算"),IF($E135="⑩盛付梱包工程入力","⑥ 盛り込み(⑳F列で計上)",IF(AND($E135="⑬計量工程入力",OR($D135="個",$D135="切",$D135="本",$D135="枚",$D135="尾")),"① 未紐づけ(カット個単位は仮単価なし)","① 未紐づけ"))),IF(NOT(ISNUMBER($H135)),"② 工程側に単価なし",IF($D135="","③ 単位未設定(個で計算)","④ OK"))))</f>
        <v/>
      </c>
      <c r="J135" s="399">
        <f>IFERROR(LOOKUP(2,1/((中間品リスト!$F$2:$F$1299=$B135)*(中間品リスト!$E$2:$E$1299&lt;&gt;"-")*(中間品リスト!$E$2:$E$1299&lt;&gt;"")),中間品リスト!$E$2:$E$1299),"")</f>
        <v/>
      </c>
      <c r="K135" s="400">
        <f>IF($J135="",0,COUNTIF(②釜工程入力!$S$5:$S$117,$J135)+COUNTIF(③スチコン工程入力!$S$5:$S$152,$J135)+COUNTIF(⑪ZEN工程入力!$S$6:$S$35,$J135)+COUNTIF(⑫ミキサー工程入力!$S$6:$S$65,$J135)+COUNTIF(⑬計量工程入力!$S$6:$S$65,$J135)+COUNTIF(⑭手動工程入力!$S$6:$S$47,$J135))</f>
        <v/>
      </c>
      <c r="L135" s="393">
        <f>IF($J135="",0,SUMIFS(②釜工程入力!$M$5:$M$117,②釜工程入力!$S$5:$S$117,$J135,②釜工程入力!$I$5:$I$117,"&gt;0")+SUMIFS(③スチコン工程入力!$M$5:$M$152,③スチコン工程入力!$S$5:$S$152,$J135,③スチコン工程入力!$I$5:$I$152,"&gt;0")+SUMIFS(⑪ZEN工程入力!$M$6:$M$35,⑪ZEN工程入力!$S$6:$S$35,$J135,⑪ZEN工程入力!$I$6:$I$35,"&gt;0")+SUMIFS(⑫ミキサー工程入力!$M$6:$M$65,⑫ミキサー工程入力!$S$6:$S$65,$J135,⑫ミキサー工程入力!$I$6:$I$65,"&gt;0")+SUMIFS(⑬計量工程入力!$M$6:$M$65,⑬計量工程入力!$S$6:$S$65,$J135,⑬計量工程入力!$I$6:$I$65,"&gt;0")+SUMIFS(⑭手動工程入力!$M$6:$M$47,⑭手動工程入力!$S$6:$S$47,$J135,⑭手動工程入力!$I$6:$I$47,"&gt;0"))</f>
        <v/>
      </c>
      <c r="M135" s="393">
        <f>IF($J135="",0,SUMIFS(②釜工程入力!$I$5:$I$117,②釜工程入力!$S$5:$S$117,$J135,②釜工程入力!$I$5:$I$117,"&gt;0",②釜工程入力!$M$5:$M$117,"&gt;0")+SUMIFS(③スチコン工程入力!$I$5:$I$152,③スチコン工程入力!$S$5:$S$152,$J135,③スチコン工程入力!$I$5:$I$152,"&gt;0",③スチコン工程入力!$M$5:$M$152,"&gt;0")+SUMIFS(⑪ZEN工程入力!$I$6:$I$35,⑪ZEN工程入力!$S$6:$S$35,$J135,⑪ZEN工程入力!$I$6:$I$35,"&gt;0",⑪ZEN工程入力!$M$6:$M$35,"&gt;0")+SUMIFS(⑫ミキサー工程入力!$I$6:$I$65,⑫ミキサー工程入力!$S$6:$S$65,$J135,⑫ミキサー工程入力!$I$6:$I$65,"&gt;0",⑫ミキサー工程入力!$M$6:$M$65,"&gt;0")+SUMIFS(⑬計量工程入力!$I$6:$I$65,⑬計量工程入力!$S$6:$S$65,$J135,⑬計量工程入力!$I$6:$I$65,"&gt;0",⑬計量工程入力!$M$6:$M$65,"&gt;0")+SUMIFS(⑭手動工程入力!$I$6:$I$47,⑭手動工程入力!$S$6:$S$47,$J135,⑭手動工程入力!$I$6:$I$47,"&gt;0",⑭手動工程入力!$M$6:$M$47,"&gt;0"))</f>
        <v/>
      </c>
      <c r="N135" s="393">
        <f>IF($J135="",0,SUMIFS(②釜工程入力!$M$5:$M$117,②釜工程入力!$S$5:$S$117,$J135,②釜工程入力!$J$5:$J$117,"&gt;0")-SUMIFS(②釜工程入力!$M$5:$M$117,②釜工程入力!$S$5:$S$117,$J135,②釜工程入力!$J$5:$J$117,"&gt;0",②釜工程入力!$I$5:$I$117,"&gt;0")+SUMIFS(③スチコン工程入力!$M$5:$M$152,③スチコン工程入力!$S$5:$S$152,$J135,③スチコン工程入力!$J$5:$J$152,"&gt;0")-SUMIFS(③スチコン工程入力!$M$5:$M$152,③スチコン工程入力!$S$5:$S$152,$J135,③スチコン工程入力!$J$5:$J$152,"&gt;0",③スチコン工程入力!$I$5:$I$152,"&gt;0")+SUMIFS(⑪ZEN工程入力!$M$6:$M$35,⑪ZEN工程入力!$S$6:$S$35,$J135,⑪ZEN工程入力!$J$6:$J$35,"&gt;0")-SUMIFS(⑪ZEN工程入力!$M$6:$M$35,⑪ZEN工程入力!$S$6:$S$35,$J135,⑪ZEN工程入力!$J$6:$J$35,"&gt;0",⑪ZEN工程入力!$I$6:$I$35,"&gt;0")+SUMIFS(⑫ミキサー工程入力!$M$6:$M$65,⑫ミキサー工程入力!$S$6:$S$65,$J135,⑫ミキサー工程入力!$J$6:$J$65,"&gt;0")-SUMIFS(⑫ミキサー工程入力!$M$6:$M$65,⑫ミキサー工程入力!$S$6:$S$65,$J135,⑫ミキサー工程入力!$J$6:$J$65,"&gt;0",⑫ミキサー工程入力!$I$6:$I$65,"&gt;0")+SUMIFS(⑬計量工程入力!$M$6:$M$65,⑬計量工程入力!$S$6:$S$65,$J135,⑬計量工程入力!$J$6:$J$65,"&gt;0")-SUMIFS(⑬計量工程入力!$M$6:$M$65,⑬計量工程入力!$S$6:$S$65,$J135,⑬計量工程入力!$J$6:$J$65,"&gt;0",⑬計量工程入力!$I$6:$I$65,"&gt;0")+SUMIFS(⑭手動工程入力!$M$6:$M$47,⑭手動工程入力!$S$6:$S$47,$J135,⑭手動工程入力!$J$6:$J$47,"&gt;0")-SUMIFS(⑭手動工程入力!$M$6:$M$47,⑭手動工程入力!$S$6:$S$47,$J135,⑭手動工程入力!$J$6:$J$47,"&gt;0",⑭手動工程入力!$I$6:$I$47,"&gt;0"))</f>
        <v/>
      </c>
      <c r="O135" s="393">
        <f>IF($J135="",0,SUMIFS(②釜工程入力!$J$5:$J$117,②釜工程入力!$S$5:$S$117,$J135,②釜工程入力!$J$5:$J$117,"&gt;0",②釜工程入力!$M$5:$M$117,"&gt;0")-SUMIFS(②釜工程入力!$J$5:$J$117,②釜工程入力!$S$5:$S$117,$J135,②釜工程入力!$J$5:$J$117,"&gt;0",②釜工程入力!$I$5:$I$117,"&gt;0",②釜工程入力!$M$5:$M$117,"&gt;0")+SUMIFS(③スチコン工程入力!$J$5:$J$152,③スチコン工程入力!$S$5:$S$152,$J135,③スチコン工程入力!$J$5:$J$152,"&gt;0",③スチコン工程入力!$M$5:$M$152,"&gt;0")-SUMIFS(③スチコン工程入力!$J$5:$J$152,③スチコン工程入力!$S$5:$S$152,$J135,③スチコン工程入力!$J$5:$J$152,"&gt;0",③スチコン工程入力!$I$5:$I$152,"&gt;0",③スチコン工程入力!$M$5:$M$152,"&gt;0")+SUMIFS(⑪ZEN工程入力!$J$6:$J$35,⑪ZEN工程入力!$S$6:$S$35,$J135,⑪ZEN工程入力!$J$6:$J$35,"&gt;0",⑪ZEN工程入力!$M$6:$M$35,"&gt;0")-SUMIFS(⑪ZEN工程入力!$J$6:$J$35,⑪ZEN工程入力!$S$6:$S$35,$J135,⑪ZEN工程入力!$J$6:$J$35,"&gt;0",⑪ZEN工程入力!$I$6:$I$35,"&gt;0",⑪ZEN工程入力!$M$6:$M$35,"&gt;0")+SUMIFS(⑫ミキサー工程入力!$J$6:$J$65,⑫ミキサー工程入力!$S$6:$S$65,$J135,⑫ミキサー工程入力!$J$6:$J$65,"&gt;0",⑫ミキサー工程入力!$M$6:$M$65,"&gt;0")-SUMIFS(⑫ミキサー工程入力!$J$6:$J$65,⑫ミキサー工程入力!$S$6:$S$65,$J135,⑫ミキサー工程入力!$J$6:$J$65,"&gt;0",⑫ミキサー工程入力!$I$6:$I$65,"&gt;0",⑫ミキサー工程入力!$M$6:$M$65,"&gt;0")+SUMIFS(⑬計量工程入力!$J$6:$J$65,⑬計量工程入力!$S$6:$S$65,$J135,⑬計量工程入力!$J$6:$J$65,"&gt;0",⑬計量工程入力!$M$6:$M$65,"&gt;0")-SUMIFS(⑬計量工程入力!$J$6:$J$65,⑬計量工程入力!$S$6:$S$65,$J135,⑬計量工程入力!$J$6:$J$65,"&gt;0",⑬計量工程入力!$I$6:$I$65,"&gt;0",⑬計量工程入力!$M$6:$M$65,"&gt;0")+SUMIFS(⑭手動工程入力!$J$6:$J$47,⑭手動工程入力!$S$6:$S$47,$J135,⑭手動工程入力!$J$6:$J$47,"&gt;0",⑭手動工程入力!$M$6:$M$47,"&gt;0")-SUMIFS(⑭手動工程入力!$J$6:$J$47,⑭手動工程入力!$S$6:$S$47,$J135,⑭手動工程入力!$J$6:$J$47,"&gt;0",⑭手動工程入力!$I$6:$I$47,"&gt;0",⑭手動工程入力!$M$6:$M$47,"&gt;0"))</f>
        <v/>
      </c>
      <c r="P135" s="392" t="inlineStr">
        <is>
          <t>中間品リスト</t>
        </is>
      </c>
    </row>
    <row r="136">
      <c r="A136" s="392" t="n">
        <v>132</v>
      </c>
      <c r="B136" s="392" t="n"/>
      <c r="C136" s="392" t="n"/>
      <c r="D136" s="409" t="n"/>
      <c r="E136" s="392" t="n"/>
      <c r="F136" s="394" t="n"/>
      <c r="G136" s="392" t="n"/>
      <c r="H136" s="604">
        <f>IFERROR(IF(AND($K136&gt;0,ISNUMBER(IF(OR($D136="g",$D136="ｇ"),IF($M136&gt;0,$L136/$M136/1000,""),IF($D136="kg",IF($M136&gt;0,$L136/$M136,""),IF($D136="",IF($M136&gt;0,$L136/$M136/1000,IF($O136&gt;0,$N136/$O136,"")),IF($O136&gt;0,$N136/$O136,"")))))),IF(OR($D136="g",$D136="ｇ"),IF($M136&gt;0,$L136/$M136/1000,""),IF($D136="kg",IF($M136&gt;0,$L136/$M136,""),IF($D136="",IF($M136&gt;0,$L136/$M136/1000,IF($O136&gt;0,$N136/$O136,"")),IF($O136&gt;0,$N136/$O136,"")))),IF($F136="",IF(OR($E136="",$E136="⑩盛付梱包工程入力"),"",IF(OR($D136="g",$D136="ｇ"),INDEX(⑰工程労務費一覧!$N$5:$N$11,MATCH($E136,⑰工程労務費一覧!$K$5:$K$11,0))/1000,IF($D136="kg",INDEX(⑰工程労務費一覧!$N$5:$N$11,MATCH($E136,⑰工程労務費一覧!$K$5:$K$11,0)),IF(OR($D136="個",$D136="切",$D136="本",$D136="枚",$D136="尾"),IF($E136="⑬計量工程入力","",INDEX(⑰工程労務費一覧!$P$5:$P$11,MATCH($E136,⑰工程労務費一覧!$K$5:$K$11,0))),IF(AND($D136="",OR($E136="②釜工程入力",$E136="③スチコン工程入力")),INDEX(⑰工程労務費一覧!$N$5:$N$11,MATCH($E136,⑰工程労務費一覧!$K$5:$K$11,0))/1000,""))))),IF(OR($D136="g",$D136="ｇ"),INDEX(⑰工程労務費一覧!$H$5:$H$753,MATCH($F136,⑰工程労務費一覧!$D$5:$D$753,0))/1000,IF($D136="kg",INDEX(⑰工程労務費一覧!$H$5:$H$753,MATCH($F136,⑰工程労務費一覧!$D$5:$D$753,0)),INDEX(⑰工程労務費一覧!$I$5:$I$753,MATCH($F136,⑰工程労務費一覧!$D$5:$D$753,0)))))),"")</f>
        <v/>
      </c>
      <c r="I136" s="392">
        <f>IF($K136&gt;0,IF(ISNUMBER(IF(OR($D136="g",$D136="ｇ"),IF($M136&gt;0,$L136/$M136/1000,""),IF($D136="kg",IF($M136&gt;0,$L136/$M136,""),IF($D136="",IF($M136&gt;0,$L136/$M136/1000,IF($O136&gt;0,$N136/$O136,"")),IF($O136&gt;0,$N136/$O136,""))))),IF($D136="",IF($M136&gt;0,"◎ JAN紐づけ(g扱い)","◎ JAN紐づけ(個扱い)"),"◎ JAN紐づけ"),"△ JAN紐づけ済・実績不足→仮計算"),IF($F136="",IF(ISNUMBER($H136),IF($D136="","⑤ 工程平均で仮計算(g扱い)","⑤ 工程平均で仮計算"),IF($E136="⑩盛付梱包工程入力","⑥ 盛り込み(⑳F列で計上)",IF(AND($E136="⑬計量工程入力",OR($D136="個",$D136="切",$D136="本",$D136="枚",$D136="尾")),"① 未紐づけ(カット個単位は仮単価なし)","① 未紐づけ"))),IF(NOT(ISNUMBER($H136)),"② 工程側に単価なし",IF($D136="","③ 単位未設定(個で計算)","④ OK"))))</f>
        <v/>
      </c>
      <c r="J136" s="399">
        <f>IFERROR(LOOKUP(2,1/((中間品リスト!$F$2:$F$1299=$B136)*(中間品リスト!$E$2:$E$1299&lt;&gt;"-")*(中間品リスト!$E$2:$E$1299&lt;&gt;"")),中間品リスト!$E$2:$E$1299),"")</f>
        <v/>
      </c>
      <c r="K136" s="400">
        <f>IF($J136="",0,COUNTIF(②釜工程入力!$S$5:$S$117,$J136)+COUNTIF(③スチコン工程入力!$S$5:$S$152,$J136)+COUNTIF(⑪ZEN工程入力!$S$6:$S$35,$J136)+COUNTIF(⑫ミキサー工程入力!$S$6:$S$65,$J136)+COUNTIF(⑬計量工程入力!$S$6:$S$65,$J136)+COUNTIF(⑭手動工程入力!$S$6:$S$47,$J136))</f>
        <v/>
      </c>
      <c r="L136" s="393">
        <f>IF($J136="",0,SUMIFS(②釜工程入力!$M$5:$M$117,②釜工程入力!$S$5:$S$117,$J136,②釜工程入力!$I$5:$I$117,"&gt;0")+SUMIFS(③スチコン工程入力!$M$5:$M$152,③スチコン工程入力!$S$5:$S$152,$J136,③スチコン工程入力!$I$5:$I$152,"&gt;0")+SUMIFS(⑪ZEN工程入力!$M$6:$M$35,⑪ZEN工程入力!$S$6:$S$35,$J136,⑪ZEN工程入力!$I$6:$I$35,"&gt;0")+SUMIFS(⑫ミキサー工程入力!$M$6:$M$65,⑫ミキサー工程入力!$S$6:$S$65,$J136,⑫ミキサー工程入力!$I$6:$I$65,"&gt;0")+SUMIFS(⑬計量工程入力!$M$6:$M$65,⑬計量工程入力!$S$6:$S$65,$J136,⑬計量工程入力!$I$6:$I$65,"&gt;0")+SUMIFS(⑭手動工程入力!$M$6:$M$47,⑭手動工程入力!$S$6:$S$47,$J136,⑭手動工程入力!$I$6:$I$47,"&gt;0"))</f>
        <v/>
      </c>
      <c r="M136" s="393">
        <f>IF($J136="",0,SUMIFS(②釜工程入力!$I$5:$I$117,②釜工程入力!$S$5:$S$117,$J136,②釜工程入力!$I$5:$I$117,"&gt;0",②釜工程入力!$M$5:$M$117,"&gt;0")+SUMIFS(③スチコン工程入力!$I$5:$I$152,③スチコン工程入力!$S$5:$S$152,$J136,③スチコン工程入力!$I$5:$I$152,"&gt;0",③スチコン工程入力!$M$5:$M$152,"&gt;0")+SUMIFS(⑪ZEN工程入力!$I$6:$I$35,⑪ZEN工程入力!$S$6:$S$35,$J136,⑪ZEN工程入力!$I$6:$I$35,"&gt;0",⑪ZEN工程入力!$M$6:$M$35,"&gt;0")+SUMIFS(⑫ミキサー工程入力!$I$6:$I$65,⑫ミキサー工程入力!$S$6:$S$65,$J136,⑫ミキサー工程入力!$I$6:$I$65,"&gt;0",⑫ミキサー工程入力!$M$6:$M$65,"&gt;0")+SUMIFS(⑬計量工程入力!$I$6:$I$65,⑬計量工程入力!$S$6:$S$65,$J136,⑬計量工程入力!$I$6:$I$65,"&gt;0",⑬計量工程入力!$M$6:$M$65,"&gt;0")+SUMIFS(⑭手動工程入力!$I$6:$I$47,⑭手動工程入力!$S$6:$S$47,$J136,⑭手動工程入力!$I$6:$I$47,"&gt;0",⑭手動工程入力!$M$6:$M$47,"&gt;0"))</f>
        <v/>
      </c>
      <c r="N136" s="393">
        <f>IF($J136="",0,SUMIFS(②釜工程入力!$M$5:$M$117,②釜工程入力!$S$5:$S$117,$J136,②釜工程入力!$J$5:$J$117,"&gt;0")-SUMIFS(②釜工程入力!$M$5:$M$117,②釜工程入力!$S$5:$S$117,$J136,②釜工程入力!$J$5:$J$117,"&gt;0",②釜工程入力!$I$5:$I$117,"&gt;0")+SUMIFS(③スチコン工程入力!$M$5:$M$152,③スチコン工程入力!$S$5:$S$152,$J136,③スチコン工程入力!$J$5:$J$152,"&gt;0")-SUMIFS(③スチコン工程入力!$M$5:$M$152,③スチコン工程入力!$S$5:$S$152,$J136,③スチコン工程入力!$J$5:$J$152,"&gt;0",③スチコン工程入力!$I$5:$I$152,"&gt;0")+SUMIFS(⑪ZEN工程入力!$M$6:$M$35,⑪ZEN工程入力!$S$6:$S$35,$J136,⑪ZEN工程入力!$J$6:$J$35,"&gt;0")-SUMIFS(⑪ZEN工程入力!$M$6:$M$35,⑪ZEN工程入力!$S$6:$S$35,$J136,⑪ZEN工程入力!$J$6:$J$35,"&gt;0",⑪ZEN工程入力!$I$6:$I$35,"&gt;0")+SUMIFS(⑫ミキサー工程入力!$M$6:$M$65,⑫ミキサー工程入力!$S$6:$S$65,$J136,⑫ミキサー工程入力!$J$6:$J$65,"&gt;0")-SUMIFS(⑫ミキサー工程入力!$M$6:$M$65,⑫ミキサー工程入力!$S$6:$S$65,$J136,⑫ミキサー工程入力!$J$6:$J$65,"&gt;0",⑫ミキサー工程入力!$I$6:$I$65,"&gt;0")+SUMIFS(⑬計量工程入力!$M$6:$M$65,⑬計量工程入力!$S$6:$S$65,$J136,⑬計量工程入力!$J$6:$J$65,"&gt;0")-SUMIFS(⑬計量工程入力!$M$6:$M$65,⑬計量工程入力!$S$6:$S$65,$J136,⑬計量工程入力!$J$6:$J$65,"&gt;0",⑬計量工程入力!$I$6:$I$65,"&gt;0")+SUMIFS(⑭手動工程入力!$M$6:$M$47,⑭手動工程入力!$S$6:$S$47,$J136,⑭手動工程入力!$J$6:$J$47,"&gt;0")-SUMIFS(⑭手動工程入力!$M$6:$M$47,⑭手動工程入力!$S$6:$S$47,$J136,⑭手動工程入力!$J$6:$J$47,"&gt;0",⑭手動工程入力!$I$6:$I$47,"&gt;0"))</f>
        <v/>
      </c>
      <c r="O136" s="393">
        <f>IF($J136="",0,SUMIFS(②釜工程入力!$J$5:$J$117,②釜工程入力!$S$5:$S$117,$J136,②釜工程入力!$J$5:$J$117,"&gt;0",②釜工程入力!$M$5:$M$117,"&gt;0")-SUMIFS(②釜工程入力!$J$5:$J$117,②釜工程入力!$S$5:$S$117,$J136,②釜工程入力!$J$5:$J$117,"&gt;0",②釜工程入力!$I$5:$I$117,"&gt;0",②釜工程入力!$M$5:$M$117,"&gt;0")+SUMIFS(③スチコン工程入力!$J$5:$J$152,③スチコン工程入力!$S$5:$S$152,$J136,③スチコン工程入力!$J$5:$J$152,"&gt;0",③スチコン工程入力!$M$5:$M$152,"&gt;0")-SUMIFS(③スチコン工程入力!$J$5:$J$152,③スチコン工程入力!$S$5:$S$152,$J136,③スチコン工程入力!$J$5:$J$152,"&gt;0",③スチコン工程入力!$I$5:$I$152,"&gt;0",③スチコン工程入力!$M$5:$M$152,"&gt;0")+SUMIFS(⑪ZEN工程入力!$J$6:$J$35,⑪ZEN工程入力!$S$6:$S$35,$J136,⑪ZEN工程入力!$J$6:$J$35,"&gt;0",⑪ZEN工程入力!$M$6:$M$35,"&gt;0")-SUMIFS(⑪ZEN工程入力!$J$6:$J$35,⑪ZEN工程入力!$S$6:$S$35,$J136,⑪ZEN工程入力!$J$6:$J$35,"&gt;0",⑪ZEN工程入力!$I$6:$I$35,"&gt;0",⑪ZEN工程入力!$M$6:$M$35,"&gt;0")+SUMIFS(⑫ミキサー工程入力!$J$6:$J$65,⑫ミキサー工程入力!$S$6:$S$65,$J136,⑫ミキサー工程入力!$J$6:$J$65,"&gt;0",⑫ミキサー工程入力!$M$6:$M$65,"&gt;0")-SUMIFS(⑫ミキサー工程入力!$J$6:$J$65,⑫ミキサー工程入力!$S$6:$S$65,$J136,⑫ミキサー工程入力!$J$6:$J$65,"&gt;0",⑫ミキサー工程入力!$I$6:$I$65,"&gt;0",⑫ミキサー工程入力!$M$6:$M$65,"&gt;0")+SUMIFS(⑬計量工程入力!$J$6:$J$65,⑬計量工程入力!$S$6:$S$65,$J136,⑬計量工程入力!$J$6:$J$65,"&gt;0",⑬計量工程入力!$M$6:$M$65,"&gt;0")-SUMIFS(⑬計量工程入力!$J$6:$J$65,⑬計量工程入力!$S$6:$S$65,$J136,⑬計量工程入力!$J$6:$J$65,"&gt;0",⑬計量工程入力!$I$6:$I$65,"&gt;0",⑬計量工程入力!$M$6:$M$65,"&gt;0")+SUMIFS(⑭手動工程入力!$J$6:$J$47,⑭手動工程入力!$S$6:$S$47,$J136,⑭手動工程入力!$J$6:$J$47,"&gt;0",⑭手動工程入力!$M$6:$M$47,"&gt;0")-SUMIFS(⑭手動工程入力!$J$6:$J$47,⑭手動工程入力!$S$6:$S$47,$J136,⑭手動工程入力!$J$6:$J$47,"&gt;0",⑭手動工程入力!$I$6:$I$47,"&gt;0",⑭手動工程入力!$M$6:$M$47,"&gt;0"))</f>
        <v/>
      </c>
      <c r="P136" s="392" t="inlineStr">
        <is>
          <t>中間品リスト</t>
        </is>
      </c>
    </row>
    <row r="137">
      <c r="A137" s="392" t="n">
        <v>133</v>
      </c>
      <c r="B137" s="392" t="n"/>
      <c r="C137" s="392" t="n"/>
      <c r="D137" s="392" t="n"/>
      <c r="E137" s="392" t="n"/>
      <c r="F137" s="394" t="n"/>
      <c r="G137" s="392" t="n"/>
      <c r="H137" s="604">
        <f>IFERROR(IF(AND($K137&gt;0,ISNUMBER(IF(OR($D137="g",$D137="ｇ"),IF($M137&gt;0,$L137/$M137/1000,""),IF($D137="kg",IF($M137&gt;0,$L137/$M137,""),IF($D137="",IF($M137&gt;0,$L137/$M137/1000,IF($O137&gt;0,$N137/$O137,"")),IF($O137&gt;0,$N137/$O137,"")))))),IF(OR($D137="g",$D137="ｇ"),IF($M137&gt;0,$L137/$M137/1000,""),IF($D137="kg",IF($M137&gt;0,$L137/$M137,""),IF($D137="",IF($M137&gt;0,$L137/$M137/1000,IF($O137&gt;0,$N137/$O137,"")),IF($O137&gt;0,$N137/$O137,"")))),IF($F137="",IF(OR($E137="",$E137="⑩盛付梱包工程入力"),"",IF(OR($D137="g",$D137="ｇ"),INDEX(⑰工程労務費一覧!$N$5:$N$11,MATCH($E137,⑰工程労務費一覧!$K$5:$K$11,0))/1000,IF($D137="kg",INDEX(⑰工程労務費一覧!$N$5:$N$11,MATCH($E137,⑰工程労務費一覧!$K$5:$K$11,0)),IF(OR($D137="個",$D137="切",$D137="本",$D137="枚",$D137="尾"),IF($E137="⑬計量工程入力","",INDEX(⑰工程労務費一覧!$P$5:$P$11,MATCH($E137,⑰工程労務費一覧!$K$5:$K$11,0))),IF(AND($D137="",OR($E137="②釜工程入力",$E137="③スチコン工程入力")),INDEX(⑰工程労務費一覧!$N$5:$N$11,MATCH($E137,⑰工程労務費一覧!$K$5:$K$11,0))/1000,""))))),IF(OR($D137="g",$D137="ｇ"),INDEX(⑰工程労務費一覧!$H$5:$H$753,MATCH($F137,⑰工程労務費一覧!$D$5:$D$753,0))/1000,IF($D137="kg",INDEX(⑰工程労務費一覧!$H$5:$H$753,MATCH($F137,⑰工程労務費一覧!$D$5:$D$753,0)),INDEX(⑰工程労務費一覧!$I$5:$I$753,MATCH($F137,⑰工程労務費一覧!$D$5:$D$753,0)))))),"")</f>
        <v/>
      </c>
      <c r="I137" s="392">
        <f>IF($K137&gt;0,IF(ISNUMBER(IF(OR($D137="g",$D137="ｇ"),IF($M137&gt;0,$L137/$M137/1000,""),IF($D137="kg",IF($M137&gt;0,$L137/$M137,""),IF($D137="",IF($M137&gt;0,$L137/$M137/1000,IF($O137&gt;0,$N137/$O137,"")),IF($O137&gt;0,$N137/$O137,""))))),IF($D137="",IF($M137&gt;0,"◎ JAN紐づけ(g扱い)","◎ JAN紐づけ(個扱い)"),"◎ JAN紐づけ"),"△ JAN紐づけ済・実績不足→仮計算"),IF($F137="",IF(ISNUMBER($H137),IF($D137="","⑤ 工程平均で仮計算(g扱い)","⑤ 工程平均で仮計算"),IF($E137="⑩盛付梱包工程入力","⑥ 盛り込み(⑳F列で計上)",IF(AND($E137="⑬計量工程入力",OR($D137="個",$D137="切",$D137="本",$D137="枚",$D137="尾")),"① 未紐づけ(カット個単位は仮単価なし)","① 未紐づけ"))),IF(NOT(ISNUMBER($H137)),"② 工程側に単価なし",IF($D137="","③ 単位未設定(個で計算)","④ OK"))))</f>
        <v/>
      </c>
      <c r="J137" s="399">
        <f>IFERROR(LOOKUP(2,1/((中間品リスト!$F$2:$F$1299=$B137)*(中間品リスト!$E$2:$E$1299&lt;&gt;"-")*(中間品リスト!$E$2:$E$1299&lt;&gt;"")),中間品リスト!$E$2:$E$1299),"")</f>
        <v/>
      </c>
      <c r="K137" s="400">
        <f>IF($J137="",0,COUNTIF(②釜工程入力!$S$5:$S$117,$J137)+COUNTIF(③スチコン工程入力!$S$5:$S$152,$J137)+COUNTIF(⑪ZEN工程入力!$S$6:$S$35,$J137)+COUNTIF(⑫ミキサー工程入力!$S$6:$S$65,$J137)+COUNTIF(⑬計量工程入力!$S$6:$S$65,$J137)+COUNTIF(⑭手動工程入力!$S$6:$S$47,$J137))</f>
        <v/>
      </c>
      <c r="L137" s="393">
        <f>IF($J137="",0,SUMIFS(②釜工程入力!$M$5:$M$117,②釜工程入力!$S$5:$S$117,$J137,②釜工程入力!$I$5:$I$117,"&gt;0")+SUMIFS(③スチコン工程入力!$M$5:$M$152,③スチコン工程入力!$S$5:$S$152,$J137,③スチコン工程入力!$I$5:$I$152,"&gt;0")+SUMIFS(⑪ZEN工程入力!$M$6:$M$35,⑪ZEN工程入力!$S$6:$S$35,$J137,⑪ZEN工程入力!$I$6:$I$35,"&gt;0")+SUMIFS(⑫ミキサー工程入力!$M$6:$M$65,⑫ミキサー工程入力!$S$6:$S$65,$J137,⑫ミキサー工程入力!$I$6:$I$65,"&gt;0")+SUMIFS(⑬計量工程入力!$M$6:$M$65,⑬計量工程入力!$S$6:$S$65,$J137,⑬計量工程入力!$I$6:$I$65,"&gt;0")+SUMIFS(⑭手動工程入力!$M$6:$M$47,⑭手動工程入力!$S$6:$S$47,$J137,⑭手動工程入力!$I$6:$I$47,"&gt;0"))</f>
        <v/>
      </c>
      <c r="M137" s="393">
        <f>IF($J137="",0,SUMIFS(②釜工程入力!$I$5:$I$117,②釜工程入力!$S$5:$S$117,$J137,②釜工程入力!$I$5:$I$117,"&gt;0",②釜工程入力!$M$5:$M$117,"&gt;0")+SUMIFS(③スチコン工程入力!$I$5:$I$152,③スチコン工程入力!$S$5:$S$152,$J137,③スチコン工程入力!$I$5:$I$152,"&gt;0",③スチコン工程入力!$M$5:$M$152,"&gt;0")+SUMIFS(⑪ZEN工程入力!$I$6:$I$35,⑪ZEN工程入力!$S$6:$S$35,$J137,⑪ZEN工程入力!$I$6:$I$35,"&gt;0",⑪ZEN工程入力!$M$6:$M$35,"&gt;0")+SUMIFS(⑫ミキサー工程入力!$I$6:$I$65,⑫ミキサー工程入力!$S$6:$S$65,$J137,⑫ミキサー工程入力!$I$6:$I$65,"&gt;0",⑫ミキサー工程入力!$M$6:$M$65,"&gt;0")+SUMIFS(⑬計量工程入力!$I$6:$I$65,⑬計量工程入力!$S$6:$S$65,$J137,⑬計量工程入力!$I$6:$I$65,"&gt;0",⑬計量工程入力!$M$6:$M$65,"&gt;0")+SUMIFS(⑭手動工程入力!$I$6:$I$47,⑭手動工程入力!$S$6:$S$47,$J137,⑭手動工程入力!$I$6:$I$47,"&gt;0",⑭手動工程入力!$M$6:$M$47,"&gt;0"))</f>
        <v/>
      </c>
      <c r="N137" s="393">
        <f>IF($J137="",0,SUMIFS(②釜工程入力!$M$5:$M$117,②釜工程入力!$S$5:$S$117,$J137,②釜工程入力!$J$5:$J$117,"&gt;0")-SUMIFS(②釜工程入力!$M$5:$M$117,②釜工程入力!$S$5:$S$117,$J137,②釜工程入力!$J$5:$J$117,"&gt;0",②釜工程入力!$I$5:$I$117,"&gt;0")+SUMIFS(③スチコン工程入力!$M$5:$M$152,③スチコン工程入力!$S$5:$S$152,$J137,③スチコン工程入力!$J$5:$J$152,"&gt;0")-SUMIFS(③スチコン工程入力!$M$5:$M$152,③スチコン工程入力!$S$5:$S$152,$J137,③スチコン工程入力!$J$5:$J$152,"&gt;0",③スチコン工程入力!$I$5:$I$152,"&gt;0")+SUMIFS(⑪ZEN工程入力!$M$6:$M$35,⑪ZEN工程入力!$S$6:$S$35,$J137,⑪ZEN工程入力!$J$6:$J$35,"&gt;0")-SUMIFS(⑪ZEN工程入力!$M$6:$M$35,⑪ZEN工程入力!$S$6:$S$35,$J137,⑪ZEN工程入力!$J$6:$J$35,"&gt;0",⑪ZEN工程入力!$I$6:$I$35,"&gt;0")+SUMIFS(⑫ミキサー工程入力!$M$6:$M$65,⑫ミキサー工程入力!$S$6:$S$65,$J137,⑫ミキサー工程入力!$J$6:$J$65,"&gt;0")-SUMIFS(⑫ミキサー工程入力!$M$6:$M$65,⑫ミキサー工程入力!$S$6:$S$65,$J137,⑫ミキサー工程入力!$J$6:$J$65,"&gt;0",⑫ミキサー工程入力!$I$6:$I$65,"&gt;0")+SUMIFS(⑬計量工程入力!$M$6:$M$65,⑬計量工程入力!$S$6:$S$65,$J137,⑬計量工程入力!$J$6:$J$65,"&gt;0")-SUMIFS(⑬計量工程入力!$M$6:$M$65,⑬計量工程入力!$S$6:$S$65,$J137,⑬計量工程入力!$J$6:$J$65,"&gt;0",⑬計量工程入力!$I$6:$I$65,"&gt;0")+SUMIFS(⑭手動工程入力!$M$6:$M$47,⑭手動工程入力!$S$6:$S$47,$J137,⑭手動工程入力!$J$6:$J$47,"&gt;0")-SUMIFS(⑭手動工程入力!$M$6:$M$47,⑭手動工程入力!$S$6:$S$47,$J137,⑭手動工程入力!$J$6:$J$47,"&gt;0",⑭手動工程入力!$I$6:$I$47,"&gt;0"))</f>
        <v/>
      </c>
      <c r="O137" s="393">
        <f>IF($J137="",0,SUMIFS(②釜工程入力!$J$5:$J$117,②釜工程入力!$S$5:$S$117,$J137,②釜工程入力!$J$5:$J$117,"&gt;0",②釜工程入力!$M$5:$M$117,"&gt;0")-SUMIFS(②釜工程入力!$J$5:$J$117,②釜工程入力!$S$5:$S$117,$J137,②釜工程入力!$J$5:$J$117,"&gt;0",②釜工程入力!$I$5:$I$117,"&gt;0",②釜工程入力!$M$5:$M$117,"&gt;0")+SUMIFS(③スチコン工程入力!$J$5:$J$152,③スチコン工程入力!$S$5:$S$152,$J137,③スチコン工程入力!$J$5:$J$152,"&gt;0",③スチコン工程入力!$M$5:$M$152,"&gt;0")-SUMIFS(③スチコン工程入力!$J$5:$J$152,③スチコン工程入力!$S$5:$S$152,$J137,③スチコン工程入力!$J$5:$J$152,"&gt;0",③スチコン工程入力!$I$5:$I$152,"&gt;0",③スチコン工程入力!$M$5:$M$152,"&gt;0")+SUMIFS(⑪ZEN工程入力!$J$6:$J$35,⑪ZEN工程入力!$S$6:$S$35,$J137,⑪ZEN工程入力!$J$6:$J$35,"&gt;0",⑪ZEN工程入力!$M$6:$M$35,"&gt;0")-SUMIFS(⑪ZEN工程入力!$J$6:$J$35,⑪ZEN工程入力!$S$6:$S$35,$J137,⑪ZEN工程入力!$J$6:$J$35,"&gt;0",⑪ZEN工程入力!$I$6:$I$35,"&gt;0",⑪ZEN工程入力!$M$6:$M$35,"&gt;0")+SUMIFS(⑫ミキサー工程入力!$J$6:$J$65,⑫ミキサー工程入力!$S$6:$S$65,$J137,⑫ミキサー工程入力!$J$6:$J$65,"&gt;0",⑫ミキサー工程入力!$M$6:$M$65,"&gt;0")-SUMIFS(⑫ミキサー工程入力!$J$6:$J$65,⑫ミキサー工程入力!$S$6:$S$65,$J137,⑫ミキサー工程入力!$J$6:$J$65,"&gt;0",⑫ミキサー工程入力!$I$6:$I$65,"&gt;0",⑫ミキサー工程入力!$M$6:$M$65,"&gt;0")+SUMIFS(⑬計量工程入力!$J$6:$J$65,⑬計量工程入力!$S$6:$S$65,$J137,⑬計量工程入力!$J$6:$J$65,"&gt;0",⑬計量工程入力!$M$6:$M$65,"&gt;0")-SUMIFS(⑬計量工程入力!$J$6:$J$65,⑬計量工程入力!$S$6:$S$65,$J137,⑬計量工程入力!$J$6:$J$65,"&gt;0",⑬計量工程入力!$I$6:$I$65,"&gt;0",⑬計量工程入力!$M$6:$M$65,"&gt;0")+SUMIFS(⑭手動工程入力!$J$6:$J$47,⑭手動工程入力!$S$6:$S$47,$J137,⑭手動工程入力!$J$6:$J$47,"&gt;0",⑭手動工程入力!$M$6:$M$47,"&gt;0")-SUMIFS(⑭手動工程入力!$J$6:$J$47,⑭手動工程入力!$S$6:$S$47,$J137,⑭手動工程入力!$J$6:$J$47,"&gt;0",⑭手動工程入力!$I$6:$I$47,"&gt;0",⑭手動工程入力!$M$6:$M$47,"&gt;0"))</f>
        <v/>
      </c>
      <c r="P137" s="392" t="n"/>
    </row>
    <row r="138">
      <c r="A138" s="392" t="n">
        <v>134</v>
      </c>
      <c r="B138" s="392" t="n"/>
      <c r="C138" s="392" t="n"/>
      <c r="D138" s="409" t="n"/>
      <c r="E138" s="392" t="n"/>
      <c r="F138" s="394" t="n"/>
      <c r="G138" s="392" t="n"/>
      <c r="H138" s="604">
        <f>IFERROR(IF(AND($K138&gt;0,ISNUMBER(IF(OR($D138="g",$D138="ｇ"),IF($M138&gt;0,$L138/$M138/1000,""),IF($D138="kg",IF($M138&gt;0,$L138/$M138,""),IF($D138="",IF($M138&gt;0,$L138/$M138/1000,IF($O138&gt;0,$N138/$O138,"")),IF($O138&gt;0,$N138/$O138,"")))))),IF(OR($D138="g",$D138="ｇ"),IF($M138&gt;0,$L138/$M138/1000,""),IF($D138="kg",IF($M138&gt;0,$L138/$M138,""),IF($D138="",IF($M138&gt;0,$L138/$M138/1000,IF($O138&gt;0,$N138/$O138,"")),IF($O138&gt;0,$N138/$O138,"")))),IF($F138="",IF(OR($E138="",$E138="⑩盛付梱包工程入力"),"",IF(OR($D138="g",$D138="ｇ"),INDEX(⑰工程労務費一覧!$N$5:$N$11,MATCH($E138,⑰工程労務費一覧!$K$5:$K$11,0))/1000,IF($D138="kg",INDEX(⑰工程労務費一覧!$N$5:$N$11,MATCH($E138,⑰工程労務費一覧!$K$5:$K$11,0)),IF(OR($D138="個",$D138="切",$D138="本",$D138="枚",$D138="尾"),IF($E138="⑬計量工程入力","",INDEX(⑰工程労務費一覧!$P$5:$P$11,MATCH($E138,⑰工程労務費一覧!$K$5:$K$11,0))),IF(AND($D138="",OR($E138="②釜工程入力",$E138="③スチコン工程入力")),INDEX(⑰工程労務費一覧!$N$5:$N$11,MATCH($E138,⑰工程労務費一覧!$K$5:$K$11,0))/1000,""))))),IF(OR($D138="g",$D138="ｇ"),INDEX(⑰工程労務費一覧!$H$5:$H$753,MATCH($F138,⑰工程労務費一覧!$D$5:$D$753,0))/1000,IF($D138="kg",INDEX(⑰工程労務費一覧!$H$5:$H$753,MATCH($F138,⑰工程労務費一覧!$D$5:$D$753,0)),INDEX(⑰工程労務費一覧!$I$5:$I$753,MATCH($F138,⑰工程労務費一覧!$D$5:$D$753,0)))))),"")</f>
        <v/>
      </c>
      <c r="I138" s="392">
        <f>IF($K138&gt;0,IF(ISNUMBER(IF(OR($D138="g",$D138="ｇ"),IF($M138&gt;0,$L138/$M138/1000,""),IF($D138="kg",IF($M138&gt;0,$L138/$M138,""),IF($D138="",IF($M138&gt;0,$L138/$M138/1000,IF($O138&gt;0,$N138/$O138,"")),IF($O138&gt;0,$N138/$O138,""))))),IF($D138="",IF($M138&gt;0,"◎ JAN紐づけ(g扱い)","◎ JAN紐づけ(個扱い)"),"◎ JAN紐づけ"),"△ JAN紐づけ済・実績不足→仮計算"),IF($F138="",IF(ISNUMBER($H138),IF($D138="","⑤ 工程平均で仮計算(g扱い)","⑤ 工程平均で仮計算"),IF($E138="⑩盛付梱包工程入力","⑥ 盛り込み(⑳F列で計上)",IF(AND($E138="⑬計量工程入力",OR($D138="個",$D138="切",$D138="本",$D138="枚",$D138="尾")),"① 未紐づけ(カット個単位は仮単価なし)","① 未紐づけ"))),IF(NOT(ISNUMBER($H138)),"② 工程側に単価なし",IF($D138="","③ 単位未設定(個で計算)","④ OK"))))</f>
        <v/>
      </c>
      <c r="J138" s="399">
        <f>IFERROR(LOOKUP(2,1/((中間品リスト!$F$2:$F$1299=$B138)*(中間品リスト!$E$2:$E$1299&lt;&gt;"-")*(中間品リスト!$E$2:$E$1299&lt;&gt;"")),中間品リスト!$E$2:$E$1299),"")</f>
        <v/>
      </c>
      <c r="K138" s="400">
        <f>IF($J138="",0,COUNTIF(②釜工程入力!$S$5:$S$117,$J138)+COUNTIF(③スチコン工程入力!$S$5:$S$152,$J138)+COUNTIF(⑪ZEN工程入力!$S$6:$S$35,$J138)+COUNTIF(⑫ミキサー工程入力!$S$6:$S$65,$J138)+COUNTIF(⑬計量工程入力!$S$6:$S$65,$J138)+COUNTIF(⑭手動工程入力!$S$6:$S$47,$J138))</f>
        <v/>
      </c>
      <c r="L138" s="393">
        <f>IF($J138="",0,SUMIFS(②釜工程入力!$M$5:$M$117,②釜工程入力!$S$5:$S$117,$J138,②釜工程入力!$I$5:$I$117,"&gt;0")+SUMIFS(③スチコン工程入力!$M$5:$M$152,③スチコン工程入力!$S$5:$S$152,$J138,③スチコン工程入力!$I$5:$I$152,"&gt;0")+SUMIFS(⑪ZEN工程入力!$M$6:$M$35,⑪ZEN工程入力!$S$6:$S$35,$J138,⑪ZEN工程入力!$I$6:$I$35,"&gt;0")+SUMIFS(⑫ミキサー工程入力!$M$6:$M$65,⑫ミキサー工程入力!$S$6:$S$65,$J138,⑫ミキサー工程入力!$I$6:$I$65,"&gt;0")+SUMIFS(⑬計量工程入力!$M$6:$M$65,⑬計量工程入力!$S$6:$S$65,$J138,⑬計量工程入力!$I$6:$I$65,"&gt;0")+SUMIFS(⑭手動工程入力!$M$6:$M$47,⑭手動工程入力!$S$6:$S$47,$J138,⑭手動工程入力!$I$6:$I$47,"&gt;0"))</f>
        <v/>
      </c>
      <c r="M138" s="393">
        <f>IF($J138="",0,SUMIFS(②釜工程入力!$I$5:$I$117,②釜工程入力!$S$5:$S$117,$J138,②釜工程入力!$I$5:$I$117,"&gt;0",②釜工程入力!$M$5:$M$117,"&gt;0")+SUMIFS(③スチコン工程入力!$I$5:$I$152,③スチコン工程入力!$S$5:$S$152,$J138,③スチコン工程入力!$I$5:$I$152,"&gt;0",③スチコン工程入力!$M$5:$M$152,"&gt;0")+SUMIFS(⑪ZEN工程入力!$I$6:$I$35,⑪ZEN工程入力!$S$6:$S$35,$J138,⑪ZEN工程入力!$I$6:$I$35,"&gt;0",⑪ZEN工程入力!$M$6:$M$35,"&gt;0")+SUMIFS(⑫ミキサー工程入力!$I$6:$I$65,⑫ミキサー工程入力!$S$6:$S$65,$J138,⑫ミキサー工程入力!$I$6:$I$65,"&gt;0",⑫ミキサー工程入力!$M$6:$M$65,"&gt;0")+SUMIFS(⑬計量工程入力!$I$6:$I$65,⑬計量工程入力!$S$6:$S$65,$J138,⑬計量工程入力!$I$6:$I$65,"&gt;0",⑬計量工程入力!$M$6:$M$65,"&gt;0")+SUMIFS(⑭手動工程入力!$I$6:$I$47,⑭手動工程入力!$S$6:$S$47,$J138,⑭手動工程入力!$I$6:$I$47,"&gt;0",⑭手動工程入力!$M$6:$M$47,"&gt;0"))</f>
        <v/>
      </c>
      <c r="N138" s="393">
        <f>IF($J138="",0,SUMIFS(②釜工程入力!$M$5:$M$117,②釜工程入力!$S$5:$S$117,$J138,②釜工程入力!$J$5:$J$117,"&gt;0")-SUMIFS(②釜工程入力!$M$5:$M$117,②釜工程入力!$S$5:$S$117,$J138,②釜工程入力!$J$5:$J$117,"&gt;0",②釜工程入力!$I$5:$I$117,"&gt;0")+SUMIFS(③スチコン工程入力!$M$5:$M$152,③スチコン工程入力!$S$5:$S$152,$J138,③スチコン工程入力!$J$5:$J$152,"&gt;0")-SUMIFS(③スチコン工程入力!$M$5:$M$152,③スチコン工程入力!$S$5:$S$152,$J138,③スチコン工程入力!$J$5:$J$152,"&gt;0",③スチコン工程入力!$I$5:$I$152,"&gt;0")+SUMIFS(⑪ZEN工程入力!$M$6:$M$35,⑪ZEN工程入力!$S$6:$S$35,$J138,⑪ZEN工程入力!$J$6:$J$35,"&gt;0")-SUMIFS(⑪ZEN工程入力!$M$6:$M$35,⑪ZEN工程入力!$S$6:$S$35,$J138,⑪ZEN工程入力!$J$6:$J$35,"&gt;0",⑪ZEN工程入力!$I$6:$I$35,"&gt;0")+SUMIFS(⑫ミキサー工程入力!$M$6:$M$65,⑫ミキサー工程入力!$S$6:$S$65,$J138,⑫ミキサー工程入力!$J$6:$J$65,"&gt;0")-SUMIFS(⑫ミキサー工程入力!$M$6:$M$65,⑫ミキサー工程入力!$S$6:$S$65,$J138,⑫ミキサー工程入力!$J$6:$J$65,"&gt;0",⑫ミキサー工程入力!$I$6:$I$65,"&gt;0")+SUMIFS(⑬計量工程入力!$M$6:$M$65,⑬計量工程入力!$S$6:$S$65,$J138,⑬計量工程入力!$J$6:$J$65,"&gt;0")-SUMIFS(⑬計量工程入力!$M$6:$M$65,⑬計量工程入力!$S$6:$S$65,$J138,⑬計量工程入力!$J$6:$J$65,"&gt;0",⑬計量工程入力!$I$6:$I$65,"&gt;0")+SUMIFS(⑭手動工程入力!$M$6:$M$47,⑭手動工程入力!$S$6:$S$47,$J138,⑭手動工程入力!$J$6:$J$47,"&gt;0")-SUMIFS(⑭手動工程入力!$M$6:$M$47,⑭手動工程入力!$S$6:$S$47,$J138,⑭手動工程入力!$J$6:$J$47,"&gt;0",⑭手動工程入力!$I$6:$I$47,"&gt;0"))</f>
        <v/>
      </c>
      <c r="O138" s="393">
        <f>IF($J138="",0,SUMIFS(②釜工程入力!$J$5:$J$117,②釜工程入力!$S$5:$S$117,$J138,②釜工程入力!$J$5:$J$117,"&gt;0",②釜工程入力!$M$5:$M$117,"&gt;0")-SUMIFS(②釜工程入力!$J$5:$J$117,②釜工程入力!$S$5:$S$117,$J138,②釜工程入力!$J$5:$J$117,"&gt;0",②釜工程入力!$I$5:$I$117,"&gt;0",②釜工程入力!$M$5:$M$117,"&gt;0")+SUMIFS(③スチコン工程入力!$J$5:$J$152,③スチコン工程入力!$S$5:$S$152,$J138,③スチコン工程入力!$J$5:$J$152,"&gt;0",③スチコン工程入力!$M$5:$M$152,"&gt;0")-SUMIFS(③スチコン工程入力!$J$5:$J$152,③スチコン工程入力!$S$5:$S$152,$J138,③スチコン工程入力!$J$5:$J$152,"&gt;0",③スチコン工程入力!$I$5:$I$152,"&gt;0",③スチコン工程入力!$M$5:$M$152,"&gt;0")+SUMIFS(⑪ZEN工程入力!$J$6:$J$35,⑪ZEN工程入力!$S$6:$S$35,$J138,⑪ZEN工程入力!$J$6:$J$35,"&gt;0",⑪ZEN工程入力!$M$6:$M$35,"&gt;0")-SUMIFS(⑪ZEN工程入力!$J$6:$J$35,⑪ZEN工程入力!$S$6:$S$35,$J138,⑪ZEN工程入力!$J$6:$J$35,"&gt;0",⑪ZEN工程入力!$I$6:$I$35,"&gt;0",⑪ZEN工程入力!$M$6:$M$35,"&gt;0")+SUMIFS(⑫ミキサー工程入力!$J$6:$J$65,⑫ミキサー工程入力!$S$6:$S$65,$J138,⑫ミキサー工程入力!$J$6:$J$65,"&gt;0",⑫ミキサー工程入力!$M$6:$M$65,"&gt;0")-SUMIFS(⑫ミキサー工程入力!$J$6:$J$65,⑫ミキサー工程入力!$S$6:$S$65,$J138,⑫ミキサー工程入力!$J$6:$J$65,"&gt;0",⑫ミキサー工程入力!$I$6:$I$65,"&gt;0",⑫ミキサー工程入力!$M$6:$M$65,"&gt;0")+SUMIFS(⑬計量工程入力!$J$6:$J$65,⑬計量工程入力!$S$6:$S$65,$J138,⑬計量工程入力!$J$6:$J$65,"&gt;0",⑬計量工程入力!$M$6:$M$65,"&gt;0")-SUMIFS(⑬計量工程入力!$J$6:$J$65,⑬計量工程入力!$S$6:$S$65,$J138,⑬計量工程入力!$J$6:$J$65,"&gt;0",⑬計量工程入力!$I$6:$I$65,"&gt;0",⑬計量工程入力!$M$6:$M$65,"&gt;0")+SUMIFS(⑭手動工程入力!$J$6:$J$47,⑭手動工程入力!$S$6:$S$47,$J138,⑭手動工程入力!$J$6:$J$47,"&gt;0",⑭手動工程入力!$M$6:$M$47,"&gt;0")-SUMIFS(⑭手動工程入力!$J$6:$J$47,⑭手動工程入力!$S$6:$S$47,$J138,⑭手動工程入力!$J$6:$J$47,"&gt;0",⑭手動工程入力!$I$6:$I$47,"&gt;0",⑭手動工程入力!$M$6:$M$47,"&gt;0"))</f>
        <v/>
      </c>
      <c r="P138" s="392" t="inlineStr">
        <is>
          <t>中間品リスト</t>
        </is>
      </c>
    </row>
    <row r="139">
      <c r="A139" s="392" t="n">
        <v>135</v>
      </c>
      <c r="B139" s="392" t="n"/>
      <c r="C139" s="392" t="n"/>
      <c r="D139" s="392" t="n"/>
      <c r="E139" s="392" t="n"/>
      <c r="F139" s="394" t="n"/>
      <c r="G139" s="392" t="n"/>
      <c r="H139" s="604">
        <f>IFERROR(IF(AND($K139&gt;0,ISNUMBER(IF(OR($D139="g",$D139="ｇ"),IF($M139&gt;0,$L139/$M139/1000,""),IF($D139="kg",IF($M139&gt;0,$L139/$M139,""),IF($D139="",IF($M139&gt;0,$L139/$M139/1000,IF($O139&gt;0,$N139/$O139,"")),IF($O139&gt;0,$N139/$O139,"")))))),IF(OR($D139="g",$D139="ｇ"),IF($M139&gt;0,$L139/$M139/1000,""),IF($D139="kg",IF($M139&gt;0,$L139/$M139,""),IF($D139="",IF($M139&gt;0,$L139/$M139/1000,IF($O139&gt;0,$N139/$O139,"")),IF($O139&gt;0,$N139/$O139,"")))),IF($F139="",IF(OR($E139="",$E139="⑩盛付梱包工程入力"),"",IF(OR($D139="g",$D139="ｇ"),INDEX(⑰工程労務費一覧!$N$5:$N$11,MATCH($E139,⑰工程労務費一覧!$K$5:$K$11,0))/1000,IF($D139="kg",INDEX(⑰工程労務費一覧!$N$5:$N$11,MATCH($E139,⑰工程労務費一覧!$K$5:$K$11,0)),IF(OR($D139="個",$D139="切",$D139="本",$D139="枚",$D139="尾"),IF($E139="⑬計量工程入力","",INDEX(⑰工程労務費一覧!$P$5:$P$11,MATCH($E139,⑰工程労務費一覧!$K$5:$K$11,0))),IF(AND($D139="",OR($E139="②釜工程入力",$E139="③スチコン工程入力")),INDEX(⑰工程労務費一覧!$N$5:$N$11,MATCH($E139,⑰工程労務費一覧!$K$5:$K$11,0))/1000,""))))),IF(OR($D139="g",$D139="ｇ"),INDEX(⑰工程労務費一覧!$H$5:$H$753,MATCH($F139,⑰工程労務費一覧!$D$5:$D$753,0))/1000,IF($D139="kg",INDEX(⑰工程労務費一覧!$H$5:$H$753,MATCH($F139,⑰工程労務費一覧!$D$5:$D$753,0)),INDEX(⑰工程労務費一覧!$I$5:$I$753,MATCH($F139,⑰工程労務費一覧!$D$5:$D$753,0)))))),"")</f>
        <v/>
      </c>
      <c r="I139" s="392">
        <f>IF($K139&gt;0,IF(ISNUMBER(IF(OR($D139="g",$D139="ｇ"),IF($M139&gt;0,$L139/$M139/1000,""),IF($D139="kg",IF($M139&gt;0,$L139/$M139,""),IF($D139="",IF($M139&gt;0,$L139/$M139/1000,IF($O139&gt;0,$N139/$O139,"")),IF($O139&gt;0,$N139/$O139,""))))),IF($D139="",IF($M139&gt;0,"◎ JAN紐づけ(g扱い)","◎ JAN紐づけ(個扱い)"),"◎ JAN紐づけ"),"△ JAN紐づけ済・実績不足→仮計算"),IF($F139="",IF(ISNUMBER($H139),IF($D139="","⑤ 工程平均で仮計算(g扱い)","⑤ 工程平均で仮計算"),IF($E139="⑩盛付梱包工程入力","⑥ 盛り込み(⑳F列で計上)",IF(AND($E139="⑬計量工程入力",OR($D139="個",$D139="切",$D139="本",$D139="枚",$D139="尾")),"① 未紐づけ(カット個単位は仮単価なし)","① 未紐づけ"))),IF(NOT(ISNUMBER($H139)),"② 工程側に単価なし",IF($D139="","③ 単位未設定(個で計算)","④ OK"))))</f>
        <v/>
      </c>
      <c r="J139" s="399">
        <f>IFERROR(LOOKUP(2,1/((中間品リスト!$F$2:$F$1299=$B139)*(中間品リスト!$E$2:$E$1299&lt;&gt;"-")*(中間品リスト!$E$2:$E$1299&lt;&gt;"")),中間品リスト!$E$2:$E$1299),"")</f>
        <v/>
      </c>
      <c r="K139" s="400">
        <f>IF($J139="",0,COUNTIF(②釜工程入力!$S$5:$S$117,$J139)+COUNTIF(③スチコン工程入力!$S$5:$S$152,$J139)+COUNTIF(⑪ZEN工程入力!$S$6:$S$35,$J139)+COUNTIF(⑫ミキサー工程入力!$S$6:$S$65,$J139)+COUNTIF(⑬計量工程入力!$S$6:$S$65,$J139)+COUNTIF(⑭手動工程入力!$S$6:$S$47,$J139))</f>
        <v/>
      </c>
      <c r="L139" s="393">
        <f>IF($J139="",0,SUMIFS(②釜工程入力!$M$5:$M$117,②釜工程入力!$S$5:$S$117,$J139,②釜工程入力!$I$5:$I$117,"&gt;0")+SUMIFS(③スチコン工程入力!$M$5:$M$152,③スチコン工程入力!$S$5:$S$152,$J139,③スチコン工程入力!$I$5:$I$152,"&gt;0")+SUMIFS(⑪ZEN工程入力!$M$6:$M$35,⑪ZEN工程入力!$S$6:$S$35,$J139,⑪ZEN工程入力!$I$6:$I$35,"&gt;0")+SUMIFS(⑫ミキサー工程入力!$M$6:$M$65,⑫ミキサー工程入力!$S$6:$S$65,$J139,⑫ミキサー工程入力!$I$6:$I$65,"&gt;0")+SUMIFS(⑬計量工程入力!$M$6:$M$65,⑬計量工程入力!$S$6:$S$65,$J139,⑬計量工程入力!$I$6:$I$65,"&gt;0")+SUMIFS(⑭手動工程入力!$M$6:$M$47,⑭手動工程入力!$S$6:$S$47,$J139,⑭手動工程入力!$I$6:$I$47,"&gt;0"))</f>
        <v/>
      </c>
      <c r="M139" s="393">
        <f>IF($J139="",0,SUMIFS(②釜工程入力!$I$5:$I$117,②釜工程入力!$S$5:$S$117,$J139,②釜工程入力!$I$5:$I$117,"&gt;0",②釜工程入力!$M$5:$M$117,"&gt;0")+SUMIFS(③スチコン工程入力!$I$5:$I$152,③スチコン工程入力!$S$5:$S$152,$J139,③スチコン工程入力!$I$5:$I$152,"&gt;0",③スチコン工程入力!$M$5:$M$152,"&gt;0")+SUMIFS(⑪ZEN工程入力!$I$6:$I$35,⑪ZEN工程入力!$S$6:$S$35,$J139,⑪ZEN工程入力!$I$6:$I$35,"&gt;0",⑪ZEN工程入力!$M$6:$M$35,"&gt;0")+SUMIFS(⑫ミキサー工程入力!$I$6:$I$65,⑫ミキサー工程入力!$S$6:$S$65,$J139,⑫ミキサー工程入力!$I$6:$I$65,"&gt;0",⑫ミキサー工程入力!$M$6:$M$65,"&gt;0")+SUMIFS(⑬計量工程入力!$I$6:$I$65,⑬計量工程入力!$S$6:$S$65,$J139,⑬計量工程入力!$I$6:$I$65,"&gt;0",⑬計量工程入力!$M$6:$M$65,"&gt;0")+SUMIFS(⑭手動工程入力!$I$6:$I$47,⑭手動工程入力!$S$6:$S$47,$J139,⑭手動工程入力!$I$6:$I$47,"&gt;0",⑭手動工程入力!$M$6:$M$47,"&gt;0"))</f>
        <v/>
      </c>
      <c r="N139" s="393">
        <f>IF($J139="",0,SUMIFS(②釜工程入力!$M$5:$M$117,②釜工程入力!$S$5:$S$117,$J139,②釜工程入力!$J$5:$J$117,"&gt;0")-SUMIFS(②釜工程入力!$M$5:$M$117,②釜工程入力!$S$5:$S$117,$J139,②釜工程入力!$J$5:$J$117,"&gt;0",②釜工程入力!$I$5:$I$117,"&gt;0")+SUMIFS(③スチコン工程入力!$M$5:$M$152,③スチコン工程入力!$S$5:$S$152,$J139,③スチコン工程入力!$J$5:$J$152,"&gt;0")-SUMIFS(③スチコン工程入力!$M$5:$M$152,③スチコン工程入力!$S$5:$S$152,$J139,③スチコン工程入力!$J$5:$J$152,"&gt;0",③スチコン工程入力!$I$5:$I$152,"&gt;0")+SUMIFS(⑪ZEN工程入力!$M$6:$M$35,⑪ZEN工程入力!$S$6:$S$35,$J139,⑪ZEN工程入力!$J$6:$J$35,"&gt;0")-SUMIFS(⑪ZEN工程入力!$M$6:$M$35,⑪ZEN工程入力!$S$6:$S$35,$J139,⑪ZEN工程入力!$J$6:$J$35,"&gt;0",⑪ZEN工程入力!$I$6:$I$35,"&gt;0")+SUMIFS(⑫ミキサー工程入力!$M$6:$M$65,⑫ミキサー工程入力!$S$6:$S$65,$J139,⑫ミキサー工程入力!$J$6:$J$65,"&gt;0")-SUMIFS(⑫ミキサー工程入力!$M$6:$M$65,⑫ミキサー工程入力!$S$6:$S$65,$J139,⑫ミキサー工程入力!$J$6:$J$65,"&gt;0",⑫ミキサー工程入力!$I$6:$I$65,"&gt;0")+SUMIFS(⑬計量工程入力!$M$6:$M$65,⑬計量工程入力!$S$6:$S$65,$J139,⑬計量工程入力!$J$6:$J$65,"&gt;0")-SUMIFS(⑬計量工程入力!$M$6:$M$65,⑬計量工程入力!$S$6:$S$65,$J139,⑬計量工程入力!$J$6:$J$65,"&gt;0",⑬計量工程入力!$I$6:$I$65,"&gt;0")+SUMIFS(⑭手動工程入力!$M$6:$M$47,⑭手動工程入力!$S$6:$S$47,$J139,⑭手動工程入力!$J$6:$J$47,"&gt;0")-SUMIFS(⑭手動工程入力!$M$6:$M$47,⑭手動工程入力!$S$6:$S$47,$J139,⑭手動工程入力!$J$6:$J$47,"&gt;0",⑭手動工程入力!$I$6:$I$47,"&gt;0"))</f>
        <v/>
      </c>
      <c r="O139" s="393">
        <f>IF($J139="",0,SUMIFS(②釜工程入力!$J$5:$J$117,②釜工程入力!$S$5:$S$117,$J139,②釜工程入力!$J$5:$J$117,"&gt;0",②釜工程入力!$M$5:$M$117,"&gt;0")-SUMIFS(②釜工程入力!$J$5:$J$117,②釜工程入力!$S$5:$S$117,$J139,②釜工程入力!$J$5:$J$117,"&gt;0",②釜工程入力!$I$5:$I$117,"&gt;0",②釜工程入力!$M$5:$M$117,"&gt;0")+SUMIFS(③スチコン工程入力!$J$5:$J$152,③スチコン工程入力!$S$5:$S$152,$J139,③スチコン工程入力!$J$5:$J$152,"&gt;0",③スチコン工程入力!$M$5:$M$152,"&gt;0")-SUMIFS(③スチコン工程入力!$J$5:$J$152,③スチコン工程入力!$S$5:$S$152,$J139,③スチコン工程入力!$J$5:$J$152,"&gt;0",③スチコン工程入力!$I$5:$I$152,"&gt;0",③スチコン工程入力!$M$5:$M$152,"&gt;0")+SUMIFS(⑪ZEN工程入力!$J$6:$J$35,⑪ZEN工程入力!$S$6:$S$35,$J139,⑪ZEN工程入力!$J$6:$J$35,"&gt;0",⑪ZEN工程入力!$M$6:$M$35,"&gt;0")-SUMIFS(⑪ZEN工程入力!$J$6:$J$35,⑪ZEN工程入力!$S$6:$S$35,$J139,⑪ZEN工程入力!$J$6:$J$35,"&gt;0",⑪ZEN工程入力!$I$6:$I$35,"&gt;0",⑪ZEN工程入力!$M$6:$M$35,"&gt;0")+SUMIFS(⑫ミキサー工程入力!$J$6:$J$65,⑫ミキサー工程入力!$S$6:$S$65,$J139,⑫ミキサー工程入力!$J$6:$J$65,"&gt;0",⑫ミキサー工程入力!$M$6:$M$65,"&gt;0")-SUMIFS(⑫ミキサー工程入力!$J$6:$J$65,⑫ミキサー工程入力!$S$6:$S$65,$J139,⑫ミキサー工程入力!$J$6:$J$65,"&gt;0",⑫ミキサー工程入力!$I$6:$I$65,"&gt;0",⑫ミキサー工程入力!$M$6:$M$65,"&gt;0")+SUMIFS(⑬計量工程入力!$J$6:$J$65,⑬計量工程入力!$S$6:$S$65,$J139,⑬計量工程入力!$J$6:$J$65,"&gt;0",⑬計量工程入力!$M$6:$M$65,"&gt;0")-SUMIFS(⑬計量工程入力!$J$6:$J$65,⑬計量工程入力!$S$6:$S$65,$J139,⑬計量工程入力!$J$6:$J$65,"&gt;0",⑬計量工程入力!$I$6:$I$65,"&gt;0",⑬計量工程入力!$M$6:$M$65,"&gt;0")+SUMIFS(⑭手動工程入力!$J$6:$J$47,⑭手動工程入力!$S$6:$S$47,$J139,⑭手動工程入力!$J$6:$J$47,"&gt;0",⑭手動工程入力!$M$6:$M$47,"&gt;0")-SUMIFS(⑭手動工程入力!$J$6:$J$47,⑭手動工程入力!$S$6:$S$47,$J139,⑭手動工程入力!$J$6:$J$47,"&gt;0",⑭手動工程入力!$I$6:$I$47,"&gt;0",⑭手動工程入力!$M$6:$M$47,"&gt;0"))</f>
        <v/>
      </c>
      <c r="P139" s="392" t="n"/>
    </row>
    <row r="140">
      <c r="A140" s="392" t="n">
        <v>136</v>
      </c>
      <c r="B140" s="392" t="n"/>
      <c r="C140" s="392" t="n"/>
      <c r="D140" s="392" t="n"/>
      <c r="E140" s="392" t="n"/>
      <c r="F140" s="394" t="n"/>
      <c r="G140" s="392" t="n"/>
      <c r="H140" s="604">
        <f>IFERROR(IF(AND($K140&gt;0,ISNUMBER(IF(OR($D140="g",$D140="ｇ"),IF($M140&gt;0,$L140/$M140/1000,""),IF($D140="kg",IF($M140&gt;0,$L140/$M140,""),IF($D140="",IF($M140&gt;0,$L140/$M140/1000,IF($O140&gt;0,$N140/$O140,"")),IF($O140&gt;0,$N140/$O140,"")))))),IF(OR($D140="g",$D140="ｇ"),IF($M140&gt;0,$L140/$M140/1000,""),IF($D140="kg",IF($M140&gt;0,$L140/$M140,""),IF($D140="",IF($M140&gt;0,$L140/$M140/1000,IF($O140&gt;0,$N140/$O140,"")),IF($O140&gt;0,$N140/$O140,"")))),IF($F140="",IF(OR($E140="",$E140="⑩盛付梱包工程入力"),"",IF(OR($D140="g",$D140="ｇ"),INDEX(⑰工程労務費一覧!$N$5:$N$11,MATCH($E140,⑰工程労務費一覧!$K$5:$K$11,0))/1000,IF($D140="kg",INDEX(⑰工程労務費一覧!$N$5:$N$11,MATCH($E140,⑰工程労務費一覧!$K$5:$K$11,0)),IF(OR($D140="個",$D140="切",$D140="本",$D140="枚",$D140="尾"),IF($E140="⑬計量工程入力","",INDEX(⑰工程労務費一覧!$P$5:$P$11,MATCH($E140,⑰工程労務費一覧!$K$5:$K$11,0))),IF(AND($D140="",OR($E140="②釜工程入力",$E140="③スチコン工程入力")),INDEX(⑰工程労務費一覧!$N$5:$N$11,MATCH($E140,⑰工程労務費一覧!$K$5:$K$11,0))/1000,""))))),IF(OR($D140="g",$D140="ｇ"),INDEX(⑰工程労務費一覧!$H$5:$H$753,MATCH($F140,⑰工程労務費一覧!$D$5:$D$753,0))/1000,IF($D140="kg",INDEX(⑰工程労務費一覧!$H$5:$H$753,MATCH($F140,⑰工程労務費一覧!$D$5:$D$753,0)),INDEX(⑰工程労務費一覧!$I$5:$I$753,MATCH($F140,⑰工程労務費一覧!$D$5:$D$753,0)))))),"")</f>
        <v/>
      </c>
      <c r="I140" s="392">
        <f>IF($K140&gt;0,IF(ISNUMBER(IF(OR($D140="g",$D140="ｇ"),IF($M140&gt;0,$L140/$M140/1000,""),IF($D140="kg",IF($M140&gt;0,$L140/$M140,""),IF($D140="",IF($M140&gt;0,$L140/$M140/1000,IF($O140&gt;0,$N140/$O140,"")),IF($O140&gt;0,$N140/$O140,""))))),IF($D140="",IF($M140&gt;0,"◎ JAN紐づけ(g扱い)","◎ JAN紐づけ(個扱い)"),"◎ JAN紐づけ"),"△ JAN紐づけ済・実績不足→仮計算"),IF($F140="",IF(ISNUMBER($H140),IF($D140="","⑤ 工程平均で仮計算(g扱い)","⑤ 工程平均で仮計算"),IF($E140="⑩盛付梱包工程入力","⑥ 盛り込み(⑳F列で計上)",IF(AND($E140="⑬計量工程入力",OR($D140="個",$D140="切",$D140="本",$D140="枚",$D140="尾")),"① 未紐づけ(カット個単位は仮単価なし)","① 未紐づけ"))),IF(NOT(ISNUMBER($H140)),"② 工程側に単価なし",IF($D140="","③ 単位未設定(個で計算)","④ OK"))))</f>
        <v/>
      </c>
      <c r="J140" s="399">
        <f>IFERROR(LOOKUP(2,1/((中間品リスト!$F$2:$F$1299=$B140)*(中間品リスト!$E$2:$E$1299&lt;&gt;"-")*(中間品リスト!$E$2:$E$1299&lt;&gt;"")),中間品リスト!$E$2:$E$1299),"")</f>
        <v/>
      </c>
      <c r="K140" s="400">
        <f>IF($J140="",0,COUNTIF(②釜工程入力!$S$5:$S$117,$J140)+COUNTIF(③スチコン工程入力!$S$5:$S$152,$J140)+COUNTIF(⑪ZEN工程入力!$S$6:$S$35,$J140)+COUNTIF(⑫ミキサー工程入力!$S$6:$S$65,$J140)+COUNTIF(⑬計量工程入力!$S$6:$S$65,$J140)+COUNTIF(⑭手動工程入力!$S$6:$S$47,$J140))</f>
        <v/>
      </c>
      <c r="L140" s="393">
        <f>IF($J140="",0,SUMIFS(②釜工程入力!$M$5:$M$117,②釜工程入力!$S$5:$S$117,$J140,②釜工程入力!$I$5:$I$117,"&gt;0")+SUMIFS(③スチコン工程入力!$M$5:$M$152,③スチコン工程入力!$S$5:$S$152,$J140,③スチコン工程入力!$I$5:$I$152,"&gt;0")+SUMIFS(⑪ZEN工程入力!$M$6:$M$35,⑪ZEN工程入力!$S$6:$S$35,$J140,⑪ZEN工程入力!$I$6:$I$35,"&gt;0")+SUMIFS(⑫ミキサー工程入力!$M$6:$M$65,⑫ミキサー工程入力!$S$6:$S$65,$J140,⑫ミキサー工程入力!$I$6:$I$65,"&gt;0")+SUMIFS(⑬計量工程入力!$M$6:$M$65,⑬計量工程入力!$S$6:$S$65,$J140,⑬計量工程入力!$I$6:$I$65,"&gt;0")+SUMIFS(⑭手動工程入力!$M$6:$M$47,⑭手動工程入力!$S$6:$S$47,$J140,⑭手動工程入力!$I$6:$I$47,"&gt;0"))</f>
        <v/>
      </c>
      <c r="M140" s="393">
        <f>IF($J140="",0,SUMIFS(②釜工程入力!$I$5:$I$117,②釜工程入力!$S$5:$S$117,$J140,②釜工程入力!$I$5:$I$117,"&gt;0",②釜工程入力!$M$5:$M$117,"&gt;0")+SUMIFS(③スチコン工程入力!$I$5:$I$152,③スチコン工程入力!$S$5:$S$152,$J140,③スチコン工程入力!$I$5:$I$152,"&gt;0",③スチコン工程入力!$M$5:$M$152,"&gt;0")+SUMIFS(⑪ZEN工程入力!$I$6:$I$35,⑪ZEN工程入力!$S$6:$S$35,$J140,⑪ZEN工程入力!$I$6:$I$35,"&gt;0",⑪ZEN工程入力!$M$6:$M$35,"&gt;0")+SUMIFS(⑫ミキサー工程入力!$I$6:$I$65,⑫ミキサー工程入力!$S$6:$S$65,$J140,⑫ミキサー工程入力!$I$6:$I$65,"&gt;0",⑫ミキサー工程入力!$M$6:$M$65,"&gt;0")+SUMIFS(⑬計量工程入力!$I$6:$I$65,⑬計量工程入力!$S$6:$S$65,$J140,⑬計量工程入力!$I$6:$I$65,"&gt;0",⑬計量工程入力!$M$6:$M$65,"&gt;0")+SUMIFS(⑭手動工程入力!$I$6:$I$47,⑭手動工程入力!$S$6:$S$47,$J140,⑭手動工程入力!$I$6:$I$47,"&gt;0",⑭手動工程入力!$M$6:$M$47,"&gt;0"))</f>
        <v/>
      </c>
      <c r="N140" s="393">
        <f>IF($J140="",0,SUMIFS(②釜工程入力!$M$5:$M$117,②釜工程入力!$S$5:$S$117,$J140,②釜工程入力!$J$5:$J$117,"&gt;0")-SUMIFS(②釜工程入力!$M$5:$M$117,②釜工程入力!$S$5:$S$117,$J140,②釜工程入力!$J$5:$J$117,"&gt;0",②釜工程入力!$I$5:$I$117,"&gt;0")+SUMIFS(③スチコン工程入力!$M$5:$M$152,③スチコン工程入力!$S$5:$S$152,$J140,③スチコン工程入力!$J$5:$J$152,"&gt;0")-SUMIFS(③スチコン工程入力!$M$5:$M$152,③スチコン工程入力!$S$5:$S$152,$J140,③スチコン工程入力!$J$5:$J$152,"&gt;0",③スチコン工程入力!$I$5:$I$152,"&gt;0")+SUMIFS(⑪ZEN工程入力!$M$6:$M$35,⑪ZEN工程入力!$S$6:$S$35,$J140,⑪ZEN工程入力!$J$6:$J$35,"&gt;0")-SUMIFS(⑪ZEN工程入力!$M$6:$M$35,⑪ZEN工程入力!$S$6:$S$35,$J140,⑪ZEN工程入力!$J$6:$J$35,"&gt;0",⑪ZEN工程入力!$I$6:$I$35,"&gt;0")+SUMIFS(⑫ミキサー工程入力!$M$6:$M$65,⑫ミキサー工程入力!$S$6:$S$65,$J140,⑫ミキサー工程入力!$J$6:$J$65,"&gt;0")-SUMIFS(⑫ミキサー工程入力!$M$6:$M$65,⑫ミキサー工程入力!$S$6:$S$65,$J140,⑫ミキサー工程入力!$J$6:$J$65,"&gt;0",⑫ミキサー工程入力!$I$6:$I$65,"&gt;0")+SUMIFS(⑬計量工程入力!$M$6:$M$65,⑬計量工程入力!$S$6:$S$65,$J140,⑬計量工程入力!$J$6:$J$65,"&gt;0")-SUMIFS(⑬計量工程入力!$M$6:$M$65,⑬計量工程入力!$S$6:$S$65,$J140,⑬計量工程入力!$J$6:$J$65,"&gt;0",⑬計量工程入力!$I$6:$I$65,"&gt;0")+SUMIFS(⑭手動工程入力!$M$6:$M$47,⑭手動工程入力!$S$6:$S$47,$J140,⑭手動工程入力!$J$6:$J$47,"&gt;0")-SUMIFS(⑭手動工程入力!$M$6:$M$47,⑭手動工程入力!$S$6:$S$47,$J140,⑭手動工程入力!$J$6:$J$47,"&gt;0",⑭手動工程入力!$I$6:$I$47,"&gt;0"))</f>
        <v/>
      </c>
      <c r="O140" s="393">
        <f>IF($J140="",0,SUMIFS(②釜工程入力!$J$5:$J$117,②釜工程入力!$S$5:$S$117,$J140,②釜工程入力!$J$5:$J$117,"&gt;0",②釜工程入力!$M$5:$M$117,"&gt;0")-SUMIFS(②釜工程入力!$J$5:$J$117,②釜工程入力!$S$5:$S$117,$J140,②釜工程入力!$J$5:$J$117,"&gt;0",②釜工程入力!$I$5:$I$117,"&gt;0",②釜工程入力!$M$5:$M$117,"&gt;0")+SUMIFS(③スチコン工程入力!$J$5:$J$152,③スチコン工程入力!$S$5:$S$152,$J140,③スチコン工程入力!$J$5:$J$152,"&gt;0",③スチコン工程入力!$M$5:$M$152,"&gt;0")-SUMIFS(③スチコン工程入力!$J$5:$J$152,③スチコン工程入力!$S$5:$S$152,$J140,③スチコン工程入力!$J$5:$J$152,"&gt;0",③スチコン工程入力!$I$5:$I$152,"&gt;0",③スチコン工程入力!$M$5:$M$152,"&gt;0")+SUMIFS(⑪ZEN工程入力!$J$6:$J$35,⑪ZEN工程入力!$S$6:$S$35,$J140,⑪ZEN工程入力!$J$6:$J$35,"&gt;0",⑪ZEN工程入力!$M$6:$M$35,"&gt;0")-SUMIFS(⑪ZEN工程入力!$J$6:$J$35,⑪ZEN工程入力!$S$6:$S$35,$J140,⑪ZEN工程入力!$J$6:$J$35,"&gt;0",⑪ZEN工程入力!$I$6:$I$35,"&gt;0",⑪ZEN工程入力!$M$6:$M$35,"&gt;0")+SUMIFS(⑫ミキサー工程入力!$J$6:$J$65,⑫ミキサー工程入力!$S$6:$S$65,$J140,⑫ミキサー工程入力!$J$6:$J$65,"&gt;0",⑫ミキサー工程入力!$M$6:$M$65,"&gt;0")-SUMIFS(⑫ミキサー工程入力!$J$6:$J$65,⑫ミキサー工程入力!$S$6:$S$65,$J140,⑫ミキサー工程入力!$J$6:$J$65,"&gt;0",⑫ミキサー工程入力!$I$6:$I$65,"&gt;0",⑫ミキサー工程入力!$M$6:$M$65,"&gt;0")+SUMIFS(⑬計量工程入力!$J$6:$J$65,⑬計量工程入力!$S$6:$S$65,$J140,⑬計量工程入力!$J$6:$J$65,"&gt;0",⑬計量工程入力!$M$6:$M$65,"&gt;0")-SUMIFS(⑬計量工程入力!$J$6:$J$65,⑬計量工程入力!$S$6:$S$65,$J140,⑬計量工程入力!$J$6:$J$65,"&gt;0",⑬計量工程入力!$I$6:$I$65,"&gt;0",⑬計量工程入力!$M$6:$M$65,"&gt;0")+SUMIFS(⑭手動工程入力!$J$6:$J$47,⑭手動工程入力!$S$6:$S$47,$J140,⑭手動工程入力!$J$6:$J$47,"&gt;0",⑭手動工程入力!$M$6:$M$47,"&gt;0")-SUMIFS(⑭手動工程入力!$J$6:$J$47,⑭手動工程入力!$S$6:$S$47,$J140,⑭手動工程入力!$J$6:$J$47,"&gt;0",⑭手動工程入力!$I$6:$I$47,"&gt;0",⑭手動工程入力!$M$6:$M$47,"&gt;0"))</f>
        <v/>
      </c>
      <c r="P140" s="392" t="n"/>
    </row>
    <row r="141">
      <c r="A141" s="392" t="n">
        <v>137</v>
      </c>
      <c r="B141" s="392" t="n"/>
      <c r="C141" s="392" t="n"/>
      <c r="D141" s="392" t="n"/>
      <c r="E141" s="392" t="n"/>
      <c r="F141" s="394" t="n"/>
      <c r="G141" s="392" t="n"/>
      <c r="H141" s="604">
        <f>IFERROR(IF(AND($K141&gt;0,ISNUMBER(IF(OR($D141="g",$D141="ｇ"),IF($M141&gt;0,$L141/$M141/1000,""),IF($D141="kg",IF($M141&gt;0,$L141/$M141,""),IF($D141="",IF($M141&gt;0,$L141/$M141/1000,IF($O141&gt;0,$N141/$O141,"")),IF($O141&gt;0,$N141/$O141,"")))))),IF(OR($D141="g",$D141="ｇ"),IF($M141&gt;0,$L141/$M141/1000,""),IF($D141="kg",IF($M141&gt;0,$L141/$M141,""),IF($D141="",IF($M141&gt;0,$L141/$M141/1000,IF($O141&gt;0,$N141/$O141,"")),IF($O141&gt;0,$N141/$O141,"")))),IF($F141="",IF(OR($E141="",$E141="⑩盛付梱包工程入力"),"",IF(OR($D141="g",$D141="ｇ"),INDEX(⑰工程労務費一覧!$N$5:$N$11,MATCH($E141,⑰工程労務費一覧!$K$5:$K$11,0))/1000,IF($D141="kg",INDEX(⑰工程労務費一覧!$N$5:$N$11,MATCH($E141,⑰工程労務費一覧!$K$5:$K$11,0)),IF(OR($D141="個",$D141="切",$D141="本",$D141="枚",$D141="尾"),IF($E141="⑬計量工程入力","",INDEX(⑰工程労務費一覧!$P$5:$P$11,MATCH($E141,⑰工程労務費一覧!$K$5:$K$11,0))),IF(AND($D141="",OR($E141="②釜工程入力",$E141="③スチコン工程入力")),INDEX(⑰工程労務費一覧!$N$5:$N$11,MATCH($E141,⑰工程労務費一覧!$K$5:$K$11,0))/1000,""))))),IF(OR($D141="g",$D141="ｇ"),INDEX(⑰工程労務費一覧!$H$5:$H$753,MATCH($F141,⑰工程労務費一覧!$D$5:$D$753,0))/1000,IF($D141="kg",INDEX(⑰工程労務費一覧!$H$5:$H$753,MATCH($F141,⑰工程労務費一覧!$D$5:$D$753,0)),INDEX(⑰工程労務費一覧!$I$5:$I$753,MATCH($F141,⑰工程労務費一覧!$D$5:$D$753,0)))))),"")</f>
        <v/>
      </c>
      <c r="I141" s="392">
        <f>IF($K141&gt;0,IF(ISNUMBER(IF(OR($D141="g",$D141="ｇ"),IF($M141&gt;0,$L141/$M141/1000,""),IF($D141="kg",IF($M141&gt;0,$L141/$M141,""),IF($D141="",IF($M141&gt;0,$L141/$M141/1000,IF($O141&gt;0,$N141/$O141,"")),IF($O141&gt;0,$N141/$O141,""))))),IF($D141="",IF($M141&gt;0,"◎ JAN紐づけ(g扱い)","◎ JAN紐づけ(個扱い)"),"◎ JAN紐づけ"),"△ JAN紐づけ済・実績不足→仮計算"),IF($F141="",IF(ISNUMBER($H141),IF($D141="","⑤ 工程平均で仮計算(g扱い)","⑤ 工程平均で仮計算"),IF($E141="⑩盛付梱包工程入力","⑥ 盛り込み(⑳F列で計上)",IF(AND($E141="⑬計量工程入力",OR($D141="個",$D141="切",$D141="本",$D141="枚",$D141="尾")),"① 未紐づけ(カット個単位は仮単価なし)","① 未紐づけ"))),IF(NOT(ISNUMBER($H141)),"② 工程側に単価なし",IF($D141="","③ 単位未設定(個で計算)","④ OK"))))</f>
        <v/>
      </c>
      <c r="J141" s="399">
        <f>IFERROR(LOOKUP(2,1/((中間品リスト!$F$2:$F$1299=$B141)*(中間品リスト!$E$2:$E$1299&lt;&gt;"-")*(中間品リスト!$E$2:$E$1299&lt;&gt;"")),中間品リスト!$E$2:$E$1299),"")</f>
        <v/>
      </c>
      <c r="K141" s="400">
        <f>IF($J141="",0,COUNTIF(②釜工程入力!$S$5:$S$117,$J141)+COUNTIF(③スチコン工程入力!$S$5:$S$152,$J141)+COUNTIF(⑪ZEN工程入力!$S$6:$S$35,$J141)+COUNTIF(⑫ミキサー工程入力!$S$6:$S$65,$J141)+COUNTIF(⑬計量工程入力!$S$6:$S$65,$J141)+COUNTIF(⑭手動工程入力!$S$6:$S$47,$J141))</f>
        <v/>
      </c>
      <c r="L141" s="393">
        <f>IF($J141="",0,SUMIFS(②釜工程入力!$M$5:$M$117,②釜工程入力!$S$5:$S$117,$J141,②釜工程入力!$I$5:$I$117,"&gt;0")+SUMIFS(③スチコン工程入力!$M$5:$M$152,③スチコン工程入力!$S$5:$S$152,$J141,③スチコン工程入力!$I$5:$I$152,"&gt;0")+SUMIFS(⑪ZEN工程入力!$M$6:$M$35,⑪ZEN工程入力!$S$6:$S$35,$J141,⑪ZEN工程入力!$I$6:$I$35,"&gt;0")+SUMIFS(⑫ミキサー工程入力!$M$6:$M$65,⑫ミキサー工程入力!$S$6:$S$65,$J141,⑫ミキサー工程入力!$I$6:$I$65,"&gt;0")+SUMIFS(⑬計量工程入力!$M$6:$M$65,⑬計量工程入力!$S$6:$S$65,$J141,⑬計量工程入力!$I$6:$I$65,"&gt;0")+SUMIFS(⑭手動工程入力!$M$6:$M$47,⑭手動工程入力!$S$6:$S$47,$J141,⑭手動工程入力!$I$6:$I$47,"&gt;0"))</f>
        <v/>
      </c>
      <c r="M141" s="393">
        <f>IF($J141="",0,SUMIFS(②釜工程入力!$I$5:$I$117,②釜工程入力!$S$5:$S$117,$J141,②釜工程入力!$I$5:$I$117,"&gt;0",②釜工程入力!$M$5:$M$117,"&gt;0")+SUMIFS(③スチコン工程入力!$I$5:$I$152,③スチコン工程入力!$S$5:$S$152,$J141,③スチコン工程入力!$I$5:$I$152,"&gt;0",③スチコン工程入力!$M$5:$M$152,"&gt;0")+SUMIFS(⑪ZEN工程入力!$I$6:$I$35,⑪ZEN工程入力!$S$6:$S$35,$J141,⑪ZEN工程入力!$I$6:$I$35,"&gt;0",⑪ZEN工程入力!$M$6:$M$35,"&gt;0")+SUMIFS(⑫ミキサー工程入力!$I$6:$I$65,⑫ミキサー工程入力!$S$6:$S$65,$J141,⑫ミキサー工程入力!$I$6:$I$65,"&gt;0",⑫ミキサー工程入力!$M$6:$M$65,"&gt;0")+SUMIFS(⑬計量工程入力!$I$6:$I$65,⑬計量工程入力!$S$6:$S$65,$J141,⑬計量工程入力!$I$6:$I$65,"&gt;0",⑬計量工程入力!$M$6:$M$65,"&gt;0")+SUMIFS(⑭手動工程入力!$I$6:$I$47,⑭手動工程入力!$S$6:$S$47,$J141,⑭手動工程入力!$I$6:$I$47,"&gt;0",⑭手動工程入力!$M$6:$M$47,"&gt;0"))</f>
        <v/>
      </c>
      <c r="N141" s="393">
        <f>IF($J141="",0,SUMIFS(②釜工程入力!$M$5:$M$117,②釜工程入力!$S$5:$S$117,$J141,②釜工程入力!$J$5:$J$117,"&gt;0")-SUMIFS(②釜工程入力!$M$5:$M$117,②釜工程入力!$S$5:$S$117,$J141,②釜工程入力!$J$5:$J$117,"&gt;0",②釜工程入力!$I$5:$I$117,"&gt;0")+SUMIFS(③スチコン工程入力!$M$5:$M$152,③スチコン工程入力!$S$5:$S$152,$J141,③スチコン工程入力!$J$5:$J$152,"&gt;0")-SUMIFS(③スチコン工程入力!$M$5:$M$152,③スチコン工程入力!$S$5:$S$152,$J141,③スチコン工程入力!$J$5:$J$152,"&gt;0",③スチコン工程入力!$I$5:$I$152,"&gt;0")+SUMIFS(⑪ZEN工程入力!$M$6:$M$35,⑪ZEN工程入力!$S$6:$S$35,$J141,⑪ZEN工程入力!$J$6:$J$35,"&gt;0")-SUMIFS(⑪ZEN工程入力!$M$6:$M$35,⑪ZEN工程入力!$S$6:$S$35,$J141,⑪ZEN工程入力!$J$6:$J$35,"&gt;0",⑪ZEN工程入力!$I$6:$I$35,"&gt;0")+SUMIFS(⑫ミキサー工程入力!$M$6:$M$65,⑫ミキサー工程入力!$S$6:$S$65,$J141,⑫ミキサー工程入力!$J$6:$J$65,"&gt;0")-SUMIFS(⑫ミキサー工程入力!$M$6:$M$65,⑫ミキサー工程入力!$S$6:$S$65,$J141,⑫ミキサー工程入力!$J$6:$J$65,"&gt;0",⑫ミキサー工程入力!$I$6:$I$65,"&gt;0")+SUMIFS(⑬計量工程入力!$M$6:$M$65,⑬計量工程入力!$S$6:$S$65,$J141,⑬計量工程入力!$J$6:$J$65,"&gt;0")-SUMIFS(⑬計量工程入力!$M$6:$M$65,⑬計量工程入力!$S$6:$S$65,$J141,⑬計量工程入力!$J$6:$J$65,"&gt;0",⑬計量工程入力!$I$6:$I$65,"&gt;0")+SUMIFS(⑭手動工程入力!$M$6:$M$47,⑭手動工程入力!$S$6:$S$47,$J141,⑭手動工程入力!$J$6:$J$47,"&gt;0")-SUMIFS(⑭手動工程入力!$M$6:$M$47,⑭手動工程入力!$S$6:$S$47,$J141,⑭手動工程入力!$J$6:$J$47,"&gt;0",⑭手動工程入力!$I$6:$I$47,"&gt;0"))</f>
        <v/>
      </c>
      <c r="O141" s="393">
        <f>IF($J141="",0,SUMIFS(②釜工程入力!$J$5:$J$117,②釜工程入力!$S$5:$S$117,$J141,②釜工程入力!$J$5:$J$117,"&gt;0",②釜工程入力!$M$5:$M$117,"&gt;0")-SUMIFS(②釜工程入力!$J$5:$J$117,②釜工程入力!$S$5:$S$117,$J141,②釜工程入力!$J$5:$J$117,"&gt;0",②釜工程入力!$I$5:$I$117,"&gt;0",②釜工程入力!$M$5:$M$117,"&gt;0")+SUMIFS(③スチコン工程入力!$J$5:$J$152,③スチコン工程入力!$S$5:$S$152,$J141,③スチコン工程入力!$J$5:$J$152,"&gt;0",③スチコン工程入力!$M$5:$M$152,"&gt;0")-SUMIFS(③スチコン工程入力!$J$5:$J$152,③スチコン工程入力!$S$5:$S$152,$J141,③スチコン工程入力!$J$5:$J$152,"&gt;0",③スチコン工程入力!$I$5:$I$152,"&gt;0",③スチコン工程入力!$M$5:$M$152,"&gt;0")+SUMIFS(⑪ZEN工程入力!$J$6:$J$35,⑪ZEN工程入力!$S$6:$S$35,$J141,⑪ZEN工程入力!$J$6:$J$35,"&gt;0",⑪ZEN工程入力!$M$6:$M$35,"&gt;0")-SUMIFS(⑪ZEN工程入力!$J$6:$J$35,⑪ZEN工程入力!$S$6:$S$35,$J141,⑪ZEN工程入力!$J$6:$J$35,"&gt;0",⑪ZEN工程入力!$I$6:$I$35,"&gt;0",⑪ZEN工程入力!$M$6:$M$35,"&gt;0")+SUMIFS(⑫ミキサー工程入力!$J$6:$J$65,⑫ミキサー工程入力!$S$6:$S$65,$J141,⑫ミキサー工程入力!$J$6:$J$65,"&gt;0",⑫ミキサー工程入力!$M$6:$M$65,"&gt;0")-SUMIFS(⑫ミキサー工程入力!$J$6:$J$65,⑫ミキサー工程入力!$S$6:$S$65,$J141,⑫ミキサー工程入力!$J$6:$J$65,"&gt;0",⑫ミキサー工程入力!$I$6:$I$65,"&gt;0",⑫ミキサー工程入力!$M$6:$M$65,"&gt;0")+SUMIFS(⑬計量工程入力!$J$6:$J$65,⑬計量工程入力!$S$6:$S$65,$J141,⑬計量工程入力!$J$6:$J$65,"&gt;0",⑬計量工程入力!$M$6:$M$65,"&gt;0")-SUMIFS(⑬計量工程入力!$J$6:$J$65,⑬計量工程入力!$S$6:$S$65,$J141,⑬計量工程入力!$J$6:$J$65,"&gt;0",⑬計量工程入力!$I$6:$I$65,"&gt;0",⑬計量工程入力!$M$6:$M$65,"&gt;0")+SUMIFS(⑭手動工程入力!$J$6:$J$47,⑭手動工程入力!$S$6:$S$47,$J141,⑭手動工程入力!$J$6:$J$47,"&gt;0",⑭手動工程入力!$M$6:$M$47,"&gt;0")-SUMIFS(⑭手動工程入力!$J$6:$J$47,⑭手動工程入力!$S$6:$S$47,$J141,⑭手動工程入力!$J$6:$J$47,"&gt;0",⑭手動工程入力!$I$6:$I$47,"&gt;0",⑭手動工程入力!$M$6:$M$47,"&gt;0"))</f>
        <v/>
      </c>
      <c r="P141" s="392" t="n"/>
    </row>
    <row r="142">
      <c r="A142" s="392" t="n">
        <v>138</v>
      </c>
      <c r="B142" s="392" t="n"/>
      <c r="C142" s="392" t="n"/>
      <c r="D142" s="392" t="n"/>
      <c r="E142" s="392" t="n"/>
      <c r="F142" s="394" t="n"/>
      <c r="G142" s="392" t="n"/>
      <c r="H142" s="604">
        <f>IFERROR(IF(AND($K142&gt;0,ISNUMBER(IF(OR($D142="g",$D142="ｇ"),IF($M142&gt;0,$L142/$M142/1000,""),IF($D142="kg",IF($M142&gt;0,$L142/$M142,""),IF($D142="",IF($M142&gt;0,$L142/$M142/1000,IF($O142&gt;0,$N142/$O142,"")),IF($O142&gt;0,$N142/$O142,"")))))),IF(OR($D142="g",$D142="ｇ"),IF($M142&gt;0,$L142/$M142/1000,""),IF($D142="kg",IF($M142&gt;0,$L142/$M142,""),IF($D142="",IF($M142&gt;0,$L142/$M142/1000,IF($O142&gt;0,$N142/$O142,"")),IF($O142&gt;0,$N142/$O142,"")))),IF($F142="",IF(OR($E142="",$E142="⑩盛付梱包工程入力"),"",IF(OR($D142="g",$D142="ｇ"),INDEX(⑰工程労務費一覧!$N$5:$N$11,MATCH($E142,⑰工程労務費一覧!$K$5:$K$11,0))/1000,IF($D142="kg",INDEX(⑰工程労務費一覧!$N$5:$N$11,MATCH($E142,⑰工程労務費一覧!$K$5:$K$11,0)),IF(OR($D142="個",$D142="切",$D142="本",$D142="枚",$D142="尾"),IF($E142="⑬計量工程入力","",INDEX(⑰工程労務費一覧!$P$5:$P$11,MATCH($E142,⑰工程労務費一覧!$K$5:$K$11,0))),IF(AND($D142="",OR($E142="②釜工程入力",$E142="③スチコン工程入力")),INDEX(⑰工程労務費一覧!$N$5:$N$11,MATCH($E142,⑰工程労務費一覧!$K$5:$K$11,0))/1000,""))))),IF(OR($D142="g",$D142="ｇ"),INDEX(⑰工程労務費一覧!$H$5:$H$753,MATCH($F142,⑰工程労務費一覧!$D$5:$D$753,0))/1000,IF($D142="kg",INDEX(⑰工程労務費一覧!$H$5:$H$753,MATCH($F142,⑰工程労務費一覧!$D$5:$D$753,0)),INDEX(⑰工程労務費一覧!$I$5:$I$753,MATCH($F142,⑰工程労務費一覧!$D$5:$D$753,0)))))),"")</f>
        <v/>
      </c>
      <c r="I142" s="392">
        <f>IF($K142&gt;0,IF(ISNUMBER(IF(OR($D142="g",$D142="ｇ"),IF($M142&gt;0,$L142/$M142/1000,""),IF($D142="kg",IF($M142&gt;0,$L142/$M142,""),IF($D142="",IF($M142&gt;0,$L142/$M142/1000,IF($O142&gt;0,$N142/$O142,"")),IF($O142&gt;0,$N142/$O142,""))))),IF($D142="",IF($M142&gt;0,"◎ JAN紐づけ(g扱い)","◎ JAN紐づけ(個扱い)"),"◎ JAN紐づけ"),"△ JAN紐づけ済・実績不足→仮計算"),IF($F142="",IF(ISNUMBER($H142),IF($D142="","⑤ 工程平均で仮計算(g扱い)","⑤ 工程平均で仮計算"),IF($E142="⑩盛付梱包工程入力","⑥ 盛り込み(⑳F列で計上)",IF(AND($E142="⑬計量工程入力",OR($D142="個",$D142="切",$D142="本",$D142="枚",$D142="尾")),"① 未紐づけ(カット個単位は仮単価なし)","① 未紐づけ"))),IF(NOT(ISNUMBER($H142)),"② 工程側に単価なし",IF($D142="","③ 単位未設定(個で計算)","④ OK"))))</f>
        <v/>
      </c>
      <c r="J142" s="399">
        <f>IFERROR(LOOKUP(2,1/((中間品リスト!$F$2:$F$1299=$B142)*(中間品リスト!$E$2:$E$1299&lt;&gt;"-")*(中間品リスト!$E$2:$E$1299&lt;&gt;"")),中間品リスト!$E$2:$E$1299),"")</f>
        <v/>
      </c>
      <c r="K142" s="400">
        <f>IF($J142="",0,COUNTIF(②釜工程入力!$S$5:$S$117,$J142)+COUNTIF(③スチコン工程入力!$S$5:$S$152,$J142)+COUNTIF(⑪ZEN工程入力!$S$6:$S$35,$J142)+COUNTIF(⑫ミキサー工程入力!$S$6:$S$65,$J142)+COUNTIF(⑬計量工程入力!$S$6:$S$65,$J142)+COUNTIF(⑭手動工程入力!$S$6:$S$47,$J142))</f>
        <v/>
      </c>
      <c r="L142" s="393">
        <f>IF($J142="",0,SUMIFS(②釜工程入力!$M$5:$M$117,②釜工程入力!$S$5:$S$117,$J142,②釜工程入力!$I$5:$I$117,"&gt;0")+SUMIFS(③スチコン工程入力!$M$5:$M$152,③スチコン工程入力!$S$5:$S$152,$J142,③スチコン工程入力!$I$5:$I$152,"&gt;0")+SUMIFS(⑪ZEN工程入力!$M$6:$M$35,⑪ZEN工程入力!$S$6:$S$35,$J142,⑪ZEN工程入力!$I$6:$I$35,"&gt;0")+SUMIFS(⑫ミキサー工程入力!$M$6:$M$65,⑫ミキサー工程入力!$S$6:$S$65,$J142,⑫ミキサー工程入力!$I$6:$I$65,"&gt;0")+SUMIFS(⑬計量工程入力!$M$6:$M$65,⑬計量工程入力!$S$6:$S$65,$J142,⑬計量工程入力!$I$6:$I$65,"&gt;0")+SUMIFS(⑭手動工程入力!$M$6:$M$47,⑭手動工程入力!$S$6:$S$47,$J142,⑭手動工程入力!$I$6:$I$47,"&gt;0"))</f>
        <v/>
      </c>
      <c r="M142" s="393">
        <f>IF($J142="",0,SUMIFS(②釜工程入力!$I$5:$I$117,②釜工程入力!$S$5:$S$117,$J142,②釜工程入力!$I$5:$I$117,"&gt;0",②釜工程入力!$M$5:$M$117,"&gt;0")+SUMIFS(③スチコン工程入力!$I$5:$I$152,③スチコン工程入力!$S$5:$S$152,$J142,③スチコン工程入力!$I$5:$I$152,"&gt;0",③スチコン工程入力!$M$5:$M$152,"&gt;0")+SUMIFS(⑪ZEN工程入力!$I$6:$I$35,⑪ZEN工程入力!$S$6:$S$35,$J142,⑪ZEN工程入力!$I$6:$I$35,"&gt;0",⑪ZEN工程入力!$M$6:$M$35,"&gt;0")+SUMIFS(⑫ミキサー工程入力!$I$6:$I$65,⑫ミキサー工程入力!$S$6:$S$65,$J142,⑫ミキサー工程入力!$I$6:$I$65,"&gt;0",⑫ミキサー工程入力!$M$6:$M$65,"&gt;0")+SUMIFS(⑬計量工程入力!$I$6:$I$65,⑬計量工程入力!$S$6:$S$65,$J142,⑬計量工程入力!$I$6:$I$65,"&gt;0",⑬計量工程入力!$M$6:$M$65,"&gt;0")+SUMIFS(⑭手動工程入力!$I$6:$I$47,⑭手動工程入力!$S$6:$S$47,$J142,⑭手動工程入力!$I$6:$I$47,"&gt;0",⑭手動工程入力!$M$6:$M$47,"&gt;0"))</f>
        <v/>
      </c>
      <c r="N142" s="393">
        <f>IF($J142="",0,SUMIFS(②釜工程入力!$M$5:$M$117,②釜工程入力!$S$5:$S$117,$J142,②釜工程入力!$J$5:$J$117,"&gt;0")-SUMIFS(②釜工程入力!$M$5:$M$117,②釜工程入力!$S$5:$S$117,$J142,②釜工程入力!$J$5:$J$117,"&gt;0",②釜工程入力!$I$5:$I$117,"&gt;0")+SUMIFS(③スチコン工程入力!$M$5:$M$152,③スチコン工程入力!$S$5:$S$152,$J142,③スチコン工程入力!$J$5:$J$152,"&gt;0")-SUMIFS(③スチコン工程入力!$M$5:$M$152,③スチコン工程入力!$S$5:$S$152,$J142,③スチコン工程入力!$J$5:$J$152,"&gt;0",③スチコン工程入力!$I$5:$I$152,"&gt;0")+SUMIFS(⑪ZEN工程入力!$M$6:$M$35,⑪ZEN工程入力!$S$6:$S$35,$J142,⑪ZEN工程入力!$J$6:$J$35,"&gt;0")-SUMIFS(⑪ZEN工程入力!$M$6:$M$35,⑪ZEN工程入力!$S$6:$S$35,$J142,⑪ZEN工程入力!$J$6:$J$35,"&gt;0",⑪ZEN工程入力!$I$6:$I$35,"&gt;0")+SUMIFS(⑫ミキサー工程入力!$M$6:$M$65,⑫ミキサー工程入力!$S$6:$S$65,$J142,⑫ミキサー工程入力!$J$6:$J$65,"&gt;0")-SUMIFS(⑫ミキサー工程入力!$M$6:$M$65,⑫ミキサー工程入力!$S$6:$S$65,$J142,⑫ミキサー工程入力!$J$6:$J$65,"&gt;0",⑫ミキサー工程入力!$I$6:$I$65,"&gt;0")+SUMIFS(⑬計量工程入力!$M$6:$M$65,⑬計量工程入力!$S$6:$S$65,$J142,⑬計量工程入力!$J$6:$J$65,"&gt;0")-SUMIFS(⑬計量工程入力!$M$6:$M$65,⑬計量工程入力!$S$6:$S$65,$J142,⑬計量工程入力!$J$6:$J$65,"&gt;0",⑬計量工程入力!$I$6:$I$65,"&gt;0")+SUMIFS(⑭手動工程入力!$M$6:$M$47,⑭手動工程入力!$S$6:$S$47,$J142,⑭手動工程入力!$J$6:$J$47,"&gt;0")-SUMIFS(⑭手動工程入力!$M$6:$M$47,⑭手動工程入力!$S$6:$S$47,$J142,⑭手動工程入力!$J$6:$J$47,"&gt;0",⑭手動工程入力!$I$6:$I$47,"&gt;0"))</f>
        <v/>
      </c>
      <c r="O142" s="393">
        <f>IF($J142="",0,SUMIFS(②釜工程入力!$J$5:$J$117,②釜工程入力!$S$5:$S$117,$J142,②釜工程入力!$J$5:$J$117,"&gt;0",②釜工程入力!$M$5:$M$117,"&gt;0")-SUMIFS(②釜工程入力!$J$5:$J$117,②釜工程入力!$S$5:$S$117,$J142,②釜工程入力!$J$5:$J$117,"&gt;0",②釜工程入力!$I$5:$I$117,"&gt;0",②釜工程入力!$M$5:$M$117,"&gt;0")+SUMIFS(③スチコン工程入力!$J$5:$J$152,③スチコン工程入力!$S$5:$S$152,$J142,③スチコン工程入力!$J$5:$J$152,"&gt;0",③スチコン工程入力!$M$5:$M$152,"&gt;0")-SUMIFS(③スチコン工程入力!$J$5:$J$152,③スチコン工程入力!$S$5:$S$152,$J142,③スチコン工程入力!$J$5:$J$152,"&gt;0",③スチコン工程入力!$I$5:$I$152,"&gt;0",③スチコン工程入力!$M$5:$M$152,"&gt;0")+SUMIFS(⑪ZEN工程入力!$J$6:$J$35,⑪ZEN工程入力!$S$6:$S$35,$J142,⑪ZEN工程入力!$J$6:$J$35,"&gt;0",⑪ZEN工程入力!$M$6:$M$35,"&gt;0")-SUMIFS(⑪ZEN工程入力!$J$6:$J$35,⑪ZEN工程入力!$S$6:$S$35,$J142,⑪ZEN工程入力!$J$6:$J$35,"&gt;0",⑪ZEN工程入力!$I$6:$I$35,"&gt;0",⑪ZEN工程入力!$M$6:$M$35,"&gt;0")+SUMIFS(⑫ミキサー工程入力!$J$6:$J$65,⑫ミキサー工程入力!$S$6:$S$65,$J142,⑫ミキサー工程入力!$J$6:$J$65,"&gt;0",⑫ミキサー工程入力!$M$6:$M$65,"&gt;0")-SUMIFS(⑫ミキサー工程入力!$J$6:$J$65,⑫ミキサー工程入力!$S$6:$S$65,$J142,⑫ミキサー工程入力!$J$6:$J$65,"&gt;0",⑫ミキサー工程入力!$I$6:$I$65,"&gt;0",⑫ミキサー工程入力!$M$6:$M$65,"&gt;0")+SUMIFS(⑬計量工程入力!$J$6:$J$65,⑬計量工程入力!$S$6:$S$65,$J142,⑬計量工程入力!$J$6:$J$65,"&gt;0",⑬計量工程入力!$M$6:$M$65,"&gt;0")-SUMIFS(⑬計量工程入力!$J$6:$J$65,⑬計量工程入力!$S$6:$S$65,$J142,⑬計量工程入力!$J$6:$J$65,"&gt;0",⑬計量工程入力!$I$6:$I$65,"&gt;0",⑬計量工程入力!$M$6:$M$65,"&gt;0")+SUMIFS(⑭手動工程入力!$J$6:$J$47,⑭手動工程入力!$S$6:$S$47,$J142,⑭手動工程入力!$J$6:$J$47,"&gt;0",⑭手動工程入力!$M$6:$M$47,"&gt;0")-SUMIFS(⑭手動工程入力!$J$6:$J$47,⑭手動工程入力!$S$6:$S$47,$J142,⑭手動工程入力!$J$6:$J$47,"&gt;0",⑭手動工程入力!$I$6:$I$47,"&gt;0",⑭手動工程入力!$M$6:$M$47,"&gt;0"))</f>
        <v/>
      </c>
      <c r="P142" s="392" t="n"/>
    </row>
    <row r="143">
      <c r="A143" s="392" t="n">
        <v>139</v>
      </c>
      <c r="B143" s="392" t="n"/>
      <c r="C143" s="392" t="n"/>
      <c r="D143" s="392" t="n"/>
      <c r="E143" s="392" t="n"/>
      <c r="F143" s="394" t="n"/>
      <c r="G143" s="392" t="n"/>
      <c r="H143" s="604">
        <f>IFERROR(IF(AND($K143&gt;0,ISNUMBER(IF(OR($D143="g",$D143="ｇ"),IF($M143&gt;0,$L143/$M143/1000,""),IF($D143="kg",IF($M143&gt;0,$L143/$M143,""),IF($D143="",IF($M143&gt;0,$L143/$M143/1000,IF($O143&gt;0,$N143/$O143,"")),IF($O143&gt;0,$N143/$O143,"")))))),IF(OR($D143="g",$D143="ｇ"),IF($M143&gt;0,$L143/$M143/1000,""),IF($D143="kg",IF($M143&gt;0,$L143/$M143,""),IF($D143="",IF($M143&gt;0,$L143/$M143/1000,IF($O143&gt;0,$N143/$O143,"")),IF($O143&gt;0,$N143/$O143,"")))),IF($F143="",IF(OR($E143="",$E143="⑩盛付梱包工程入力"),"",IF(OR($D143="g",$D143="ｇ"),INDEX(⑰工程労務費一覧!$N$5:$N$11,MATCH($E143,⑰工程労務費一覧!$K$5:$K$11,0))/1000,IF($D143="kg",INDEX(⑰工程労務費一覧!$N$5:$N$11,MATCH($E143,⑰工程労務費一覧!$K$5:$K$11,0)),IF(OR($D143="個",$D143="切",$D143="本",$D143="枚",$D143="尾"),IF($E143="⑬計量工程入力","",INDEX(⑰工程労務費一覧!$P$5:$P$11,MATCH($E143,⑰工程労務費一覧!$K$5:$K$11,0))),IF(AND($D143="",OR($E143="②釜工程入力",$E143="③スチコン工程入力")),INDEX(⑰工程労務費一覧!$N$5:$N$11,MATCH($E143,⑰工程労務費一覧!$K$5:$K$11,0))/1000,""))))),IF(OR($D143="g",$D143="ｇ"),INDEX(⑰工程労務費一覧!$H$5:$H$753,MATCH($F143,⑰工程労務費一覧!$D$5:$D$753,0))/1000,IF($D143="kg",INDEX(⑰工程労務費一覧!$H$5:$H$753,MATCH($F143,⑰工程労務費一覧!$D$5:$D$753,0)),INDEX(⑰工程労務費一覧!$I$5:$I$753,MATCH($F143,⑰工程労務費一覧!$D$5:$D$753,0)))))),"")</f>
        <v/>
      </c>
      <c r="I143" s="392">
        <f>IF($K143&gt;0,IF(ISNUMBER(IF(OR($D143="g",$D143="ｇ"),IF($M143&gt;0,$L143/$M143/1000,""),IF($D143="kg",IF($M143&gt;0,$L143/$M143,""),IF($D143="",IF($M143&gt;0,$L143/$M143/1000,IF($O143&gt;0,$N143/$O143,"")),IF($O143&gt;0,$N143/$O143,""))))),IF($D143="",IF($M143&gt;0,"◎ JAN紐づけ(g扱い)","◎ JAN紐づけ(個扱い)"),"◎ JAN紐づけ"),"△ JAN紐づけ済・実績不足→仮計算"),IF($F143="",IF(ISNUMBER($H143),IF($D143="","⑤ 工程平均で仮計算(g扱い)","⑤ 工程平均で仮計算"),IF($E143="⑩盛付梱包工程入力","⑥ 盛り込み(⑳F列で計上)",IF(AND($E143="⑬計量工程入力",OR($D143="個",$D143="切",$D143="本",$D143="枚",$D143="尾")),"① 未紐づけ(カット個単位は仮単価なし)","① 未紐づけ"))),IF(NOT(ISNUMBER($H143)),"② 工程側に単価なし",IF($D143="","③ 単位未設定(個で計算)","④ OK"))))</f>
        <v/>
      </c>
      <c r="J143" s="399">
        <f>IFERROR(LOOKUP(2,1/((中間品リスト!$F$2:$F$1299=$B143)*(中間品リスト!$E$2:$E$1299&lt;&gt;"-")*(中間品リスト!$E$2:$E$1299&lt;&gt;"")),中間品リスト!$E$2:$E$1299),"")</f>
        <v/>
      </c>
      <c r="K143" s="400">
        <f>IF($J143="",0,COUNTIF(②釜工程入力!$S$5:$S$117,$J143)+COUNTIF(③スチコン工程入力!$S$5:$S$152,$J143)+COUNTIF(⑪ZEN工程入力!$S$6:$S$35,$J143)+COUNTIF(⑫ミキサー工程入力!$S$6:$S$65,$J143)+COUNTIF(⑬計量工程入力!$S$6:$S$65,$J143)+COUNTIF(⑭手動工程入力!$S$6:$S$47,$J143))</f>
        <v/>
      </c>
      <c r="L143" s="393">
        <f>IF($J143="",0,SUMIFS(②釜工程入力!$M$5:$M$117,②釜工程入力!$S$5:$S$117,$J143,②釜工程入力!$I$5:$I$117,"&gt;0")+SUMIFS(③スチコン工程入力!$M$5:$M$152,③スチコン工程入力!$S$5:$S$152,$J143,③スチコン工程入力!$I$5:$I$152,"&gt;0")+SUMIFS(⑪ZEN工程入力!$M$6:$M$35,⑪ZEN工程入力!$S$6:$S$35,$J143,⑪ZEN工程入力!$I$6:$I$35,"&gt;0")+SUMIFS(⑫ミキサー工程入力!$M$6:$M$65,⑫ミキサー工程入力!$S$6:$S$65,$J143,⑫ミキサー工程入力!$I$6:$I$65,"&gt;0")+SUMIFS(⑬計量工程入力!$M$6:$M$65,⑬計量工程入力!$S$6:$S$65,$J143,⑬計量工程入力!$I$6:$I$65,"&gt;0")+SUMIFS(⑭手動工程入力!$M$6:$M$47,⑭手動工程入力!$S$6:$S$47,$J143,⑭手動工程入力!$I$6:$I$47,"&gt;0"))</f>
        <v/>
      </c>
      <c r="M143" s="393">
        <f>IF($J143="",0,SUMIFS(②釜工程入力!$I$5:$I$117,②釜工程入力!$S$5:$S$117,$J143,②釜工程入力!$I$5:$I$117,"&gt;0",②釜工程入力!$M$5:$M$117,"&gt;0")+SUMIFS(③スチコン工程入力!$I$5:$I$152,③スチコン工程入力!$S$5:$S$152,$J143,③スチコン工程入力!$I$5:$I$152,"&gt;0",③スチコン工程入力!$M$5:$M$152,"&gt;0")+SUMIFS(⑪ZEN工程入力!$I$6:$I$35,⑪ZEN工程入力!$S$6:$S$35,$J143,⑪ZEN工程入力!$I$6:$I$35,"&gt;0",⑪ZEN工程入力!$M$6:$M$35,"&gt;0")+SUMIFS(⑫ミキサー工程入力!$I$6:$I$65,⑫ミキサー工程入力!$S$6:$S$65,$J143,⑫ミキサー工程入力!$I$6:$I$65,"&gt;0",⑫ミキサー工程入力!$M$6:$M$65,"&gt;0")+SUMIFS(⑬計量工程入力!$I$6:$I$65,⑬計量工程入力!$S$6:$S$65,$J143,⑬計量工程入力!$I$6:$I$65,"&gt;0",⑬計量工程入力!$M$6:$M$65,"&gt;0")+SUMIFS(⑭手動工程入力!$I$6:$I$47,⑭手動工程入力!$S$6:$S$47,$J143,⑭手動工程入力!$I$6:$I$47,"&gt;0",⑭手動工程入力!$M$6:$M$47,"&gt;0"))</f>
        <v/>
      </c>
      <c r="N143" s="393">
        <f>IF($J143="",0,SUMIFS(②釜工程入力!$M$5:$M$117,②釜工程入力!$S$5:$S$117,$J143,②釜工程入力!$J$5:$J$117,"&gt;0")-SUMIFS(②釜工程入力!$M$5:$M$117,②釜工程入力!$S$5:$S$117,$J143,②釜工程入力!$J$5:$J$117,"&gt;0",②釜工程入力!$I$5:$I$117,"&gt;0")+SUMIFS(③スチコン工程入力!$M$5:$M$152,③スチコン工程入力!$S$5:$S$152,$J143,③スチコン工程入力!$J$5:$J$152,"&gt;0")-SUMIFS(③スチコン工程入力!$M$5:$M$152,③スチコン工程入力!$S$5:$S$152,$J143,③スチコン工程入力!$J$5:$J$152,"&gt;0",③スチコン工程入力!$I$5:$I$152,"&gt;0")+SUMIFS(⑪ZEN工程入力!$M$6:$M$35,⑪ZEN工程入力!$S$6:$S$35,$J143,⑪ZEN工程入力!$J$6:$J$35,"&gt;0")-SUMIFS(⑪ZEN工程入力!$M$6:$M$35,⑪ZEN工程入力!$S$6:$S$35,$J143,⑪ZEN工程入力!$J$6:$J$35,"&gt;0",⑪ZEN工程入力!$I$6:$I$35,"&gt;0")+SUMIFS(⑫ミキサー工程入力!$M$6:$M$65,⑫ミキサー工程入力!$S$6:$S$65,$J143,⑫ミキサー工程入力!$J$6:$J$65,"&gt;0")-SUMIFS(⑫ミキサー工程入力!$M$6:$M$65,⑫ミキサー工程入力!$S$6:$S$65,$J143,⑫ミキサー工程入力!$J$6:$J$65,"&gt;0",⑫ミキサー工程入力!$I$6:$I$65,"&gt;0")+SUMIFS(⑬計量工程入力!$M$6:$M$65,⑬計量工程入力!$S$6:$S$65,$J143,⑬計量工程入力!$J$6:$J$65,"&gt;0")-SUMIFS(⑬計量工程入力!$M$6:$M$65,⑬計量工程入力!$S$6:$S$65,$J143,⑬計量工程入力!$J$6:$J$65,"&gt;0",⑬計量工程入力!$I$6:$I$65,"&gt;0")+SUMIFS(⑭手動工程入力!$M$6:$M$47,⑭手動工程入力!$S$6:$S$47,$J143,⑭手動工程入力!$J$6:$J$47,"&gt;0")-SUMIFS(⑭手動工程入力!$M$6:$M$47,⑭手動工程入力!$S$6:$S$47,$J143,⑭手動工程入力!$J$6:$J$47,"&gt;0",⑭手動工程入力!$I$6:$I$47,"&gt;0"))</f>
        <v/>
      </c>
      <c r="O143" s="393">
        <f>IF($J143="",0,SUMIFS(②釜工程入力!$J$5:$J$117,②釜工程入力!$S$5:$S$117,$J143,②釜工程入力!$J$5:$J$117,"&gt;0",②釜工程入力!$M$5:$M$117,"&gt;0")-SUMIFS(②釜工程入力!$J$5:$J$117,②釜工程入力!$S$5:$S$117,$J143,②釜工程入力!$J$5:$J$117,"&gt;0",②釜工程入力!$I$5:$I$117,"&gt;0",②釜工程入力!$M$5:$M$117,"&gt;0")+SUMIFS(③スチコン工程入力!$J$5:$J$152,③スチコン工程入力!$S$5:$S$152,$J143,③スチコン工程入力!$J$5:$J$152,"&gt;0",③スチコン工程入力!$M$5:$M$152,"&gt;0")-SUMIFS(③スチコン工程入力!$J$5:$J$152,③スチコン工程入力!$S$5:$S$152,$J143,③スチコン工程入力!$J$5:$J$152,"&gt;0",③スチコン工程入力!$I$5:$I$152,"&gt;0",③スチコン工程入力!$M$5:$M$152,"&gt;0")+SUMIFS(⑪ZEN工程入力!$J$6:$J$35,⑪ZEN工程入力!$S$6:$S$35,$J143,⑪ZEN工程入力!$J$6:$J$35,"&gt;0",⑪ZEN工程入力!$M$6:$M$35,"&gt;0")-SUMIFS(⑪ZEN工程入力!$J$6:$J$35,⑪ZEN工程入力!$S$6:$S$35,$J143,⑪ZEN工程入力!$J$6:$J$35,"&gt;0",⑪ZEN工程入力!$I$6:$I$35,"&gt;0",⑪ZEN工程入力!$M$6:$M$35,"&gt;0")+SUMIFS(⑫ミキサー工程入力!$J$6:$J$65,⑫ミキサー工程入力!$S$6:$S$65,$J143,⑫ミキサー工程入力!$J$6:$J$65,"&gt;0",⑫ミキサー工程入力!$M$6:$M$65,"&gt;0")-SUMIFS(⑫ミキサー工程入力!$J$6:$J$65,⑫ミキサー工程入力!$S$6:$S$65,$J143,⑫ミキサー工程入力!$J$6:$J$65,"&gt;0",⑫ミキサー工程入力!$I$6:$I$65,"&gt;0",⑫ミキサー工程入力!$M$6:$M$65,"&gt;0")+SUMIFS(⑬計量工程入力!$J$6:$J$65,⑬計量工程入力!$S$6:$S$65,$J143,⑬計量工程入力!$J$6:$J$65,"&gt;0",⑬計量工程入力!$M$6:$M$65,"&gt;0")-SUMIFS(⑬計量工程入力!$J$6:$J$65,⑬計量工程入力!$S$6:$S$65,$J143,⑬計量工程入力!$J$6:$J$65,"&gt;0",⑬計量工程入力!$I$6:$I$65,"&gt;0",⑬計量工程入力!$M$6:$M$65,"&gt;0")+SUMIFS(⑭手動工程入力!$J$6:$J$47,⑭手動工程入力!$S$6:$S$47,$J143,⑭手動工程入力!$J$6:$J$47,"&gt;0",⑭手動工程入力!$M$6:$M$47,"&gt;0")-SUMIFS(⑭手動工程入力!$J$6:$J$47,⑭手動工程入力!$S$6:$S$47,$J143,⑭手動工程入力!$J$6:$J$47,"&gt;0",⑭手動工程入力!$I$6:$I$47,"&gt;0",⑭手動工程入力!$M$6:$M$47,"&gt;0"))</f>
        <v/>
      </c>
      <c r="P143" s="392" t="n"/>
    </row>
    <row r="144">
      <c r="A144" s="392" t="n">
        <v>140</v>
      </c>
      <c r="B144" s="392" t="n"/>
      <c r="C144" s="392" t="n"/>
      <c r="D144" s="392" t="n"/>
      <c r="E144" s="392" t="n"/>
      <c r="F144" s="394" t="n"/>
      <c r="G144" s="392" t="n"/>
      <c r="H144" s="604">
        <f>IFERROR(IF(AND($K144&gt;0,ISNUMBER(IF(OR($D144="g",$D144="ｇ"),IF($M144&gt;0,$L144/$M144/1000,""),IF($D144="kg",IF($M144&gt;0,$L144/$M144,""),IF($D144="",IF($M144&gt;0,$L144/$M144/1000,IF($O144&gt;0,$N144/$O144,"")),IF($O144&gt;0,$N144/$O144,"")))))),IF(OR($D144="g",$D144="ｇ"),IF($M144&gt;0,$L144/$M144/1000,""),IF($D144="kg",IF($M144&gt;0,$L144/$M144,""),IF($D144="",IF($M144&gt;0,$L144/$M144/1000,IF($O144&gt;0,$N144/$O144,"")),IF($O144&gt;0,$N144/$O144,"")))),IF($F144="",IF(OR($E144="",$E144="⑩盛付梱包工程入力"),"",IF(OR($D144="g",$D144="ｇ"),INDEX(⑰工程労務費一覧!$N$5:$N$11,MATCH($E144,⑰工程労務費一覧!$K$5:$K$11,0))/1000,IF($D144="kg",INDEX(⑰工程労務費一覧!$N$5:$N$11,MATCH($E144,⑰工程労務費一覧!$K$5:$K$11,0)),IF(OR($D144="個",$D144="切",$D144="本",$D144="枚",$D144="尾"),IF($E144="⑬計量工程入力","",INDEX(⑰工程労務費一覧!$P$5:$P$11,MATCH($E144,⑰工程労務費一覧!$K$5:$K$11,0))),IF(AND($D144="",OR($E144="②釜工程入力",$E144="③スチコン工程入力")),INDEX(⑰工程労務費一覧!$N$5:$N$11,MATCH($E144,⑰工程労務費一覧!$K$5:$K$11,0))/1000,""))))),IF(OR($D144="g",$D144="ｇ"),INDEX(⑰工程労務費一覧!$H$5:$H$753,MATCH($F144,⑰工程労務費一覧!$D$5:$D$753,0))/1000,IF($D144="kg",INDEX(⑰工程労務費一覧!$H$5:$H$753,MATCH($F144,⑰工程労務費一覧!$D$5:$D$753,0)),INDEX(⑰工程労務費一覧!$I$5:$I$753,MATCH($F144,⑰工程労務費一覧!$D$5:$D$753,0)))))),"")</f>
        <v/>
      </c>
      <c r="I144" s="392">
        <f>IF($K144&gt;0,IF(ISNUMBER(IF(OR($D144="g",$D144="ｇ"),IF($M144&gt;0,$L144/$M144/1000,""),IF($D144="kg",IF($M144&gt;0,$L144/$M144,""),IF($D144="",IF($M144&gt;0,$L144/$M144/1000,IF($O144&gt;0,$N144/$O144,"")),IF($O144&gt;0,$N144/$O144,""))))),IF($D144="",IF($M144&gt;0,"◎ JAN紐づけ(g扱い)","◎ JAN紐づけ(個扱い)"),"◎ JAN紐づけ"),"△ JAN紐づけ済・実績不足→仮計算"),IF($F144="",IF(ISNUMBER($H144),IF($D144="","⑤ 工程平均で仮計算(g扱い)","⑤ 工程平均で仮計算"),IF($E144="⑩盛付梱包工程入力","⑥ 盛り込み(⑳F列で計上)",IF(AND($E144="⑬計量工程入力",OR($D144="個",$D144="切",$D144="本",$D144="枚",$D144="尾")),"① 未紐づけ(カット個単位は仮単価なし)","① 未紐づけ"))),IF(NOT(ISNUMBER($H144)),"② 工程側に単価なし",IF($D144="","③ 単位未設定(個で計算)","④ OK"))))</f>
        <v/>
      </c>
      <c r="J144" s="399">
        <f>IFERROR(LOOKUP(2,1/((中間品リスト!$F$2:$F$1299=$B144)*(中間品リスト!$E$2:$E$1299&lt;&gt;"-")*(中間品リスト!$E$2:$E$1299&lt;&gt;"")),中間品リスト!$E$2:$E$1299),"")</f>
        <v/>
      </c>
      <c r="K144" s="400">
        <f>IF($J144="",0,COUNTIF(②釜工程入力!$S$5:$S$117,$J144)+COUNTIF(③スチコン工程入力!$S$5:$S$152,$J144)+COUNTIF(⑪ZEN工程入力!$S$6:$S$35,$J144)+COUNTIF(⑫ミキサー工程入力!$S$6:$S$65,$J144)+COUNTIF(⑬計量工程入力!$S$6:$S$65,$J144)+COUNTIF(⑭手動工程入力!$S$6:$S$47,$J144))</f>
        <v/>
      </c>
      <c r="L144" s="393">
        <f>IF($J144="",0,SUMIFS(②釜工程入力!$M$5:$M$117,②釜工程入力!$S$5:$S$117,$J144,②釜工程入力!$I$5:$I$117,"&gt;0")+SUMIFS(③スチコン工程入力!$M$5:$M$152,③スチコン工程入力!$S$5:$S$152,$J144,③スチコン工程入力!$I$5:$I$152,"&gt;0")+SUMIFS(⑪ZEN工程入力!$M$6:$M$35,⑪ZEN工程入力!$S$6:$S$35,$J144,⑪ZEN工程入力!$I$6:$I$35,"&gt;0")+SUMIFS(⑫ミキサー工程入力!$M$6:$M$65,⑫ミキサー工程入力!$S$6:$S$65,$J144,⑫ミキサー工程入力!$I$6:$I$65,"&gt;0")+SUMIFS(⑬計量工程入力!$M$6:$M$65,⑬計量工程入力!$S$6:$S$65,$J144,⑬計量工程入力!$I$6:$I$65,"&gt;0")+SUMIFS(⑭手動工程入力!$M$6:$M$47,⑭手動工程入力!$S$6:$S$47,$J144,⑭手動工程入力!$I$6:$I$47,"&gt;0"))</f>
        <v/>
      </c>
      <c r="M144" s="393">
        <f>IF($J144="",0,SUMIFS(②釜工程入力!$I$5:$I$117,②釜工程入力!$S$5:$S$117,$J144,②釜工程入力!$I$5:$I$117,"&gt;0",②釜工程入力!$M$5:$M$117,"&gt;0")+SUMIFS(③スチコン工程入力!$I$5:$I$152,③スチコン工程入力!$S$5:$S$152,$J144,③スチコン工程入力!$I$5:$I$152,"&gt;0",③スチコン工程入力!$M$5:$M$152,"&gt;0")+SUMIFS(⑪ZEN工程入力!$I$6:$I$35,⑪ZEN工程入力!$S$6:$S$35,$J144,⑪ZEN工程入力!$I$6:$I$35,"&gt;0",⑪ZEN工程入力!$M$6:$M$35,"&gt;0")+SUMIFS(⑫ミキサー工程入力!$I$6:$I$65,⑫ミキサー工程入力!$S$6:$S$65,$J144,⑫ミキサー工程入力!$I$6:$I$65,"&gt;0",⑫ミキサー工程入力!$M$6:$M$65,"&gt;0")+SUMIFS(⑬計量工程入力!$I$6:$I$65,⑬計量工程入力!$S$6:$S$65,$J144,⑬計量工程入力!$I$6:$I$65,"&gt;0",⑬計量工程入力!$M$6:$M$65,"&gt;0")+SUMIFS(⑭手動工程入力!$I$6:$I$47,⑭手動工程入力!$S$6:$S$47,$J144,⑭手動工程入力!$I$6:$I$47,"&gt;0",⑭手動工程入力!$M$6:$M$47,"&gt;0"))</f>
        <v/>
      </c>
      <c r="N144" s="393">
        <f>IF($J144="",0,SUMIFS(②釜工程入力!$M$5:$M$117,②釜工程入力!$S$5:$S$117,$J144,②釜工程入力!$J$5:$J$117,"&gt;0")-SUMIFS(②釜工程入力!$M$5:$M$117,②釜工程入力!$S$5:$S$117,$J144,②釜工程入力!$J$5:$J$117,"&gt;0",②釜工程入力!$I$5:$I$117,"&gt;0")+SUMIFS(③スチコン工程入力!$M$5:$M$152,③スチコン工程入力!$S$5:$S$152,$J144,③スチコン工程入力!$J$5:$J$152,"&gt;0")-SUMIFS(③スチコン工程入力!$M$5:$M$152,③スチコン工程入力!$S$5:$S$152,$J144,③スチコン工程入力!$J$5:$J$152,"&gt;0",③スチコン工程入力!$I$5:$I$152,"&gt;0")+SUMIFS(⑪ZEN工程入力!$M$6:$M$35,⑪ZEN工程入力!$S$6:$S$35,$J144,⑪ZEN工程入力!$J$6:$J$35,"&gt;0")-SUMIFS(⑪ZEN工程入力!$M$6:$M$35,⑪ZEN工程入力!$S$6:$S$35,$J144,⑪ZEN工程入力!$J$6:$J$35,"&gt;0",⑪ZEN工程入力!$I$6:$I$35,"&gt;0")+SUMIFS(⑫ミキサー工程入力!$M$6:$M$65,⑫ミキサー工程入力!$S$6:$S$65,$J144,⑫ミキサー工程入力!$J$6:$J$65,"&gt;0")-SUMIFS(⑫ミキサー工程入力!$M$6:$M$65,⑫ミキサー工程入力!$S$6:$S$65,$J144,⑫ミキサー工程入力!$J$6:$J$65,"&gt;0",⑫ミキサー工程入力!$I$6:$I$65,"&gt;0")+SUMIFS(⑬計量工程入力!$M$6:$M$65,⑬計量工程入力!$S$6:$S$65,$J144,⑬計量工程入力!$J$6:$J$65,"&gt;0")-SUMIFS(⑬計量工程入力!$M$6:$M$65,⑬計量工程入力!$S$6:$S$65,$J144,⑬計量工程入力!$J$6:$J$65,"&gt;0",⑬計量工程入力!$I$6:$I$65,"&gt;0")+SUMIFS(⑭手動工程入力!$M$6:$M$47,⑭手動工程入力!$S$6:$S$47,$J144,⑭手動工程入力!$J$6:$J$47,"&gt;0")-SUMIFS(⑭手動工程入力!$M$6:$M$47,⑭手動工程入力!$S$6:$S$47,$J144,⑭手動工程入力!$J$6:$J$47,"&gt;0",⑭手動工程入力!$I$6:$I$47,"&gt;0"))</f>
        <v/>
      </c>
      <c r="O144" s="393">
        <f>IF($J144="",0,SUMIFS(②釜工程入力!$J$5:$J$117,②釜工程入力!$S$5:$S$117,$J144,②釜工程入力!$J$5:$J$117,"&gt;0",②釜工程入力!$M$5:$M$117,"&gt;0")-SUMIFS(②釜工程入力!$J$5:$J$117,②釜工程入力!$S$5:$S$117,$J144,②釜工程入力!$J$5:$J$117,"&gt;0",②釜工程入力!$I$5:$I$117,"&gt;0",②釜工程入力!$M$5:$M$117,"&gt;0")+SUMIFS(③スチコン工程入力!$J$5:$J$152,③スチコン工程入力!$S$5:$S$152,$J144,③スチコン工程入力!$J$5:$J$152,"&gt;0",③スチコン工程入力!$M$5:$M$152,"&gt;0")-SUMIFS(③スチコン工程入力!$J$5:$J$152,③スチコン工程入力!$S$5:$S$152,$J144,③スチコン工程入力!$J$5:$J$152,"&gt;0",③スチコン工程入力!$I$5:$I$152,"&gt;0",③スチコン工程入力!$M$5:$M$152,"&gt;0")+SUMIFS(⑪ZEN工程入力!$J$6:$J$35,⑪ZEN工程入力!$S$6:$S$35,$J144,⑪ZEN工程入力!$J$6:$J$35,"&gt;0",⑪ZEN工程入力!$M$6:$M$35,"&gt;0")-SUMIFS(⑪ZEN工程入力!$J$6:$J$35,⑪ZEN工程入力!$S$6:$S$35,$J144,⑪ZEN工程入力!$J$6:$J$35,"&gt;0",⑪ZEN工程入力!$I$6:$I$35,"&gt;0",⑪ZEN工程入力!$M$6:$M$35,"&gt;0")+SUMIFS(⑫ミキサー工程入力!$J$6:$J$65,⑫ミキサー工程入力!$S$6:$S$65,$J144,⑫ミキサー工程入力!$J$6:$J$65,"&gt;0",⑫ミキサー工程入力!$M$6:$M$65,"&gt;0")-SUMIFS(⑫ミキサー工程入力!$J$6:$J$65,⑫ミキサー工程入力!$S$6:$S$65,$J144,⑫ミキサー工程入力!$J$6:$J$65,"&gt;0",⑫ミキサー工程入力!$I$6:$I$65,"&gt;0",⑫ミキサー工程入力!$M$6:$M$65,"&gt;0")+SUMIFS(⑬計量工程入力!$J$6:$J$65,⑬計量工程入力!$S$6:$S$65,$J144,⑬計量工程入力!$J$6:$J$65,"&gt;0",⑬計量工程入力!$M$6:$M$65,"&gt;0")-SUMIFS(⑬計量工程入力!$J$6:$J$65,⑬計量工程入力!$S$6:$S$65,$J144,⑬計量工程入力!$J$6:$J$65,"&gt;0",⑬計量工程入力!$I$6:$I$65,"&gt;0",⑬計量工程入力!$M$6:$M$65,"&gt;0")+SUMIFS(⑭手動工程入力!$J$6:$J$47,⑭手動工程入力!$S$6:$S$47,$J144,⑭手動工程入力!$J$6:$J$47,"&gt;0",⑭手動工程入力!$M$6:$M$47,"&gt;0")-SUMIFS(⑭手動工程入力!$J$6:$J$47,⑭手動工程入力!$S$6:$S$47,$J144,⑭手動工程入力!$J$6:$J$47,"&gt;0",⑭手動工程入力!$I$6:$I$47,"&gt;0",⑭手動工程入力!$M$6:$M$47,"&gt;0"))</f>
        <v/>
      </c>
      <c r="P144" s="392" t="n"/>
    </row>
    <row r="145">
      <c r="A145" s="392" t="n">
        <v>141</v>
      </c>
      <c r="B145" s="392" t="n"/>
      <c r="C145" s="392" t="n"/>
      <c r="D145" s="392" t="n"/>
      <c r="E145" s="392" t="n"/>
      <c r="F145" s="394" t="n"/>
      <c r="G145" s="392" t="n"/>
      <c r="H145" s="604">
        <f>IFERROR(IF(AND($K145&gt;0,ISNUMBER(IF(OR($D145="g",$D145="ｇ"),IF($M145&gt;0,$L145/$M145/1000,""),IF($D145="kg",IF($M145&gt;0,$L145/$M145,""),IF($D145="",IF($M145&gt;0,$L145/$M145/1000,IF($O145&gt;0,$N145/$O145,"")),IF($O145&gt;0,$N145/$O145,"")))))),IF(OR($D145="g",$D145="ｇ"),IF($M145&gt;0,$L145/$M145/1000,""),IF($D145="kg",IF($M145&gt;0,$L145/$M145,""),IF($D145="",IF($M145&gt;0,$L145/$M145/1000,IF($O145&gt;0,$N145/$O145,"")),IF($O145&gt;0,$N145/$O145,"")))),IF($F145="",IF(OR($E145="",$E145="⑩盛付梱包工程入力"),"",IF(OR($D145="g",$D145="ｇ"),INDEX(⑰工程労務費一覧!$N$5:$N$11,MATCH($E145,⑰工程労務費一覧!$K$5:$K$11,0))/1000,IF($D145="kg",INDEX(⑰工程労務費一覧!$N$5:$N$11,MATCH($E145,⑰工程労務費一覧!$K$5:$K$11,0)),IF(OR($D145="個",$D145="切",$D145="本",$D145="枚",$D145="尾"),IF($E145="⑬計量工程入力","",INDEX(⑰工程労務費一覧!$P$5:$P$11,MATCH($E145,⑰工程労務費一覧!$K$5:$K$11,0))),IF(AND($D145="",OR($E145="②釜工程入力",$E145="③スチコン工程入力")),INDEX(⑰工程労務費一覧!$N$5:$N$11,MATCH($E145,⑰工程労務費一覧!$K$5:$K$11,0))/1000,""))))),IF(OR($D145="g",$D145="ｇ"),INDEX(⑰工程労務費一覧!$H$5:$H$753,MATCH($F145,⑰工程労務費一覧!$D$5:$D$753,0))/1000,IF($D145="kg",INDEX(⑰工程労務費一覧!$H$5:$H$753,MATCH($F145,⑰工程労務費一覧!$D$5:$D$753,0)),INDEX(⑰工程労務費一覧!$I$5:$I$753,MATCH($F145,⑰工程労務費一覧!$D$5:$D$753,0)))))),"")</f>
        <v/>
      </c>
      <c r="I145" s="392">
        <f>IF($K145&gt;0,IF(ISNUMBER(IF(OR($D145="g",$D145="ｇ"),IF($M145&gt;0,$L145/$M145/1000,""),IF($D145="kg",IF($M145&gt;0,$L145/$M145,""),IF($D145="",IF($M145&gt;0,$L145/$M145/1000,IF($O145&gt;0,$N145/$O145,"")),IF($O145&gt;0,$N145/$O145,""))))),IF($D145="",IF($M145&gt;0,"◎ JAN紐づけ(g扱い)","◎ JAN紐づけ(個扱い)"),"◎ JAN紐づけ"),"△ JAN紐づけ済・実績不足→仮計算"),IF($F145="",IF(ISNUMBER($H145),IF($D145="","⑤ 工程平均で仮計算(g扱い)","⑤ 工程平均で仮計算"),IF($E145="⑩盛付梱包工程入力","⑥ 盛り込み(⑳F列で計上)",IF(AND($E145="⑬計量工程入力",OR($D145="個",$D145="切",$D145="本",$D145="枚",$D145="尾")),"① 未紐づけ(カット個単位は仮単価なし)","① 未紐づけ"))),IF(NOT(ISNUMBER($H145)),"② 工程側に単価なし",IF($D145="","③ 単位未設定(個で計算)","④ OK"))))</f>
        <v/>
      </c>
      <c r="J145" s="399">
        <f>IFERROR(LOOKUP(2,1/((中間品リスト!$F$2:$F$1299=$B145)*(中間品リスト!$E$2:$E$1299&lt;&gt;"-")*(中間品リスト!$E$2:$E$1299&lt;&gt;"")),中間品リスト!$E$2:$E$1299),"")</f>
        <v/>
      </c>
      <c r="K145" s="400">
        <f>IF($J145="",0,COUNTIF(②釜工程入力!$S$5:$S$117,$J145)+COUNTIF(③スチコン工程入力!$S$5:$S$152,$J145)+COUNTIF(⑪ZEN工程入力!$S$6:$S$35,$J145)+COUNTIF(⑫ミキサー工程入力!$S$6:$S$65,$J145)+COUNTIF(⑬計量工程入力!$S$6:$S$65,$J145)+COUNTIF(⑭手動工程入力!$S$6:$S$47,$J145))</f>
        <v/>
      </c>
      <c r="L145" s="393">
        <f>IF($J145="",0,SUMIFS(②釜工程入力!$M$5:$M$117,②釜工程入力!$S$5:$S$117,$J145,②釜工程入力!$I$5:$I$117,"&gt;0")+SUMIFS(③スチコン工程入力!$M$5:$M$152,③スチコン工程入力!$S$5:$S$152,$J145,③スチコン工程入力!$I$5:$I$152,"&gt;0")+SUMIFS(⑪ZEN工程入力!$M$6:$M$35,⑪ZEN工程入力!$S$6:$S$35,$J145,⑪ZEN工程入力!$I$6:$I$35,"&gt;0")+SUMIFS(⑫ミキサー工程入力!$M$6:$M$65,⑫ミキサー工程入力!$S$6:$S$65,$J145,⑫ミキサー工程入力!$I$6:$I$65,"&gt;0")+SUMIFS(⑬計量工程入力!$M$6:$M$65,⑬計量工程入力!$S$6:$S$65,$J145,⑬計量工程入力!$I$6:$I$65,"&gt;0")+SUMIFS(⑭手動工程入力!$M$6:$M$47,⑭手動工程入力!$S$6:$S$47,$J145,⑭手動工程入力!$I$6:$I$47,"&gt;0"))</f>
        <v/>
      </c>
      <c r="M145" s="393">
        <f>IF($J145="",0,SUMIFS(②釜工程入力!$I$5:$I$117,②釜工程入力!$S$5:$S$117,$J145,②釜工程入力!$I$5:$I$117,"&gt;0",②釜工程入力!$M$5:$M$117,"&gt;0")+SUMIFS(③スチコン工程入力!$I$5:$I$152,③スチコン工程入力!$S$5:$S$152,$J145,③スチコン工程入力!$I$5:$I$152,"&gt;0",③スチコン工程入力!$M$5:$M$152,"&gt;0")+SUMIFS(⑪ZEN工程入力!$I$6:$I$35,⑪ZEN工程入力!$S$6:$S$35,$J145,⑪ZEN工程入力!$I$6:$I$35,"&gt;0",⑪ZEN工程入力!$M$6:$M$35,"&gt;0")+SUMIFS(⑫ミキサー工程入力!$I$6:$I$65,⑫ミキサー工程入力!$S$6:$S$65,$J145,⑫ミキサー工程入力!$I$6:$I$65,"&gt;0",⑫ミキサー工程入力!$M$6:$M$65,"&gt;0")+SUMIFS(⑬計量工程入力!$I$6:$I$65,⑬計量工程入力!$S$6:$S$65,$J145,⑬計量工程入力!$I$6:$I$65,"&gt;0",⑬計量工程入力!$M$6:$M$65,"&gt;0")+SUMIFS(⑭手動工程入力!$I$6:$I$47,⑭手動工程入力!$S$6:$S$47,$J145,⑭手動工程入力!$I$6:$I$47,"&gt;0",⑭手動工程入力!$M$6:$M$47,"&gt;0"))</f>
        <v/>
      </c>
      <c r="N145" s="393">
        <f>IF($J145="",0,SUMIFS(②釜工程入力!$M$5:$M$117,②釜工程入力!$S$5:$S$117,$J145,②釜工程入力!$J$5:$J$117,"&gt;0")-SUMIFS(②釜工程入力!$M$5:$M$117,②釜工程入力!$S$5:$S$117,$J145,②釜工程入力!$J$5:$J$117,"&gt;0",②釜工程入力!$I$5:$I$117,"&gt;0")+SUMIFS(③スチコン工程入力!$M$5:$M$152,③スチコン工程入力!$S$5:$S$152,$J145,③スチコン工程入力!$J$5:$J$152,"&gt;0")-SUMIFS(③スチコン工程入力!$M$5:$M$152,③スチコン工程入力!$S$5:$S$152,$J145,③スチコン工程入力!$J$5:$J$152,"&gt;0",③スチコン工程入力!$I$5:$I$152,"&gt;0")+SUMIFS(⑪ZEN工程入力!$M$6:$M$35,⑪ZEN工程入力!$S$6:$S$35,$J145,⑪ZEN工程入力!$J$6:$J$35,"&gt;0")-SUMIFS(⑪ZEN工程入力!$M$6:$M$35,⑪ZEN工程入力!$S$6:$S$35,$J145,⑪ZEN工程入力!$J$6:$J$35,"&gt;0",⑪ZEN工程入力!$I$6:$I$35,"&gt;0")+SUMIFS(⑫ミキサー工程入力!$M$6:$M$65,⑫ミキサー工程入力!$S$6:$S$65,$J145,⑫ミキサー工程入力!$J$6:$J$65,"&gt;0")-SUMIFS(⑫ミキサー工程入力!$M$6:$M$65,⑫ミキサー工程入力!$S$6:$S$65,$J145,⑫ミキサー工程入力!$J$6:$J$65,"&gt;0",⑫ミキサー工程入力!$I$6:$I$65,"&gt;0")+SUMIFS(⑬計量工程入力!$M$6:$M$65,⑬計量工程入力!$S$6:$S$65,$J145,⑬計量工程入力!$J$6:$J$65,"&gt;0")-SUMIFS(⑬計量工程入力!$M$6:$M$65,⑬計量工程入力!$S$6:$S$65,$J145,⑬計量工程入力!$J$6:$J$65,"&gt;0",⑬計量工程入力!$I$6:$I$65,"&gt;0")+SUMIFS(⑭手動工程入力!$M$6:$M$47,⑭手動工程入力!$S$6:$S$47,$J145,⑭手動工程入力!$J$6:$J$47,"&gt;0")-SUMIFS(⑭手動工程入力!$M$6:$M$47,⑭手動工程入力!$S$6:$S$47,$J145,⑭手動工程入力!$J$6:$J$47,"&gt;0",⑭手動工程入力!$I$6:$I$47,"&gt;0"))</f>
        <v/>
      </c>
      <c r="O145" s="393">
        <f>IF($J145="",0,SUMIFS(②釜工程入力!$J$5:$J$117,②釜工程入力!$S$5:$S$117,$J145,②釜工程入力!$J$5:$J$117,"&gt;0",②釜工程入力!$M$5:$M$117,"&gt;0")-SUMIFS(②釜工程入力!$J$5:$J$117,②釜工程入力!$S$5:$S$117,$J145,②釜工程入力!$J$5:$J$117,"&gt;0",②釜工程入力!$I$5:$I$117,"&gt;0",②釜工程入力!$M$5:$M$117,"&gt;0")+SUMIFS(③スチコン工程入力!$J$5:$J$152,③スチコン工程入力!$S$5:$S$152,$J145,③スチコン工程入力!$J$5:$J$152,"&gt;0",③スチコン工程入力!$M$5:$M$152,"&gt;0")-SUMIFS(③スチコン工程入力!$J$5:$J$152,③スチコン工程入力!$S$5:$S$152,$J145,③スチコン工程入力!$J$5:$J$152,"&gt;0",③スチコン工程入力!$I$5:$I$152,"&gt;0",③スチコン工程入力!$M$5:$M$152,"&gt;0")+SUMIFS(⑪ZEN工程入力!$J$6:$J$35,⑪ZEN工程入力!$S$6:$S$35,$J145,⑪ZEN工程入力!$J$6:$J$35,"&gt;0",⑪ZEN工程入力!$M$6:$M$35,"&gt;0")-SUMIFS(⑪ZEN工程入力!$J$6:$J$35,⑪ZEN工程入力!$S$6:$S$35,$J145,⑪ZEN工程入力!$J$6:$J$35,"&gt;0",⑪ZEN工程入力!$I$6:$I$35,"&gt;0",⑪ZEN工程入力!$M$6:$M$35,"&gt;0")+SUMIFS(⑫ミキサー工程入力!$J$6:$J$65,⑫ミキサー工程入力!$S$6:$S$65,$J145,⑫ミキサー工程入力!$J$6:$J$65,"&gt;0",⑫ミキサー工程入力!$M$6:$M$65,"&gt;0")-SUMIFS(⑫ミキサー工程入力!$J$6:$J$65,⑫ミキサー工程入力!$S$6:$S$65,$J145,⑫ミキサー工程入力!$J$6:$J$65,"&gt;0",⑫ミキサー工程入力!$I$6:$I$65,"&gt;0",⑫ミキサー工程入力!$M$6:$M$65,"&gt;0")+SUMIFS(⑬計量工程入力!$J$6:$J$65,⑬計量工程入力!$S$6:$S$65,$J145,⑬計量工程入力!$J$6:$J$65,"&gt;0",⑬計量工程入力!$M$6:$M$65,"&gt;0")-SUMIFS(⑬計量工程入力!$J$6:$J$65,⑬計量工程入力!$S$6:$S$65,$J145,⑬計量工程入力!$J$6:$J$65,"&gt;0",⑬計量工程入力!$I$6:$I$65,"&gt;0",⑬計量工程入力!$M$6:$M$65,"&gt;0")+SUMIFS(⑭手動工程入力!$J$6:$J$47,⑭手動工程入力!$S$6:$S$47,$J145,⑭手動工程入力!$J$6:$J$47,"&gt;0",⑭手動工程入力!$M$6:$M$47,"&gt;0")-SUMIFS(⑭手動工程入力!$J$6:$J$47,⑭手動工程入力!$S$6:$S$47,$J145,⑭手動工程入力!$J$6:$J$47,"&gt;0",⑭手動工程入力!$I$6:$I$47,"&gt;0",⑭手動工程入力!$M$6:$M$47,"&gt;0"))</f>
        <v/>
      </c>
      <c r="P145" s="392" t="n"/>
    </row>
    <row r="146">
      <c r="A146" s="392" t="n">
        <v>142</v>
      </c>
      <c r="B146" s="392" t="n"/>
      <c r="C146" s="392" t="n"/>
      <c r="D146" s="392" t="n"/>
      <c r="E146" s="392" t="n"/>
      <c r="F146" s="394" t="n"/>
      <c r="G146" s="392" t="n"/>
      <c r="H146" s="604">
        <f>IFERROR(IF(AND($K146&gt;0,ISNUMBER(IF(OR($D146="g",$D146="ｇ"),IF($M146&gt;0,$L146/$M146/1000,""),IF($D146="kg",IF($M146&gt;0,$L146/$M146,""),IF($D146="",IF($M146&gt;0,$L146/$M146/1000,IF($O146&gt;0,$N146/$O146,"")),IF($O146&gt;0,$N146/$O146,"")))))),IF(OR($D146="g",$D146="ｇ"),IF($M146&gt;0,$L146/$M146/1000,""),IF($D146="kg",IF($M146&gt;0,$L146/$M146,""),IF($D146="",IF($M146&gt;0,$L146/$M146/1000,IF($O146&gt;0,$N146/$O146,"")),IF($O146&gt;0,$N146/$O146,"")))),IF($F146="",IF(OR($E146="",$E146="⑩盛付梱包工程入力"),"",IF(OR($D146="g",$D146="ｇ"),INDEX(⑰工程労務費一覧!$N$5:$N$11,MATCH($E146,⑰工程労務費一覧!$K$5:$K$11,0))/1000,IF($D146="kg",INDEX(⑰工程労務費一覧!$N$5:$N$11,MATCH($E146,⑰工程労務費一覧!$K$5:$K$11,0)),IF(OR($D146="個",$D146="切",$D146="本",$D146="枚",$D146="尾"),IF($E146="⑬計量工程入力","",INDEX(⑰工程労務費一覧!$P$5:$P$11,MATCH($E146,⑰工程労務費一覧!$K$5:$K$11,0))),IF(AND($D146="",OR($E146="②釜工程入力",$E146="③スチコン工程入力")),INDEX(⑰工程労務費一覧!$N$5:$N$11,MATCH($E146,⑰工程労務費一覧!$K$5:$K$11,0))/1000,""))))),IF(OR($D146="g",$D146="ｇ"),INDEX(⑰工程労務費一覧!$H$5:$H$753,MATCH($F146,⑰工程労務費一覧!$D$5:$D$753,0))/1000,IF($D146="kg",INDEX(⑰工程労務費一覧!$H$5:$H$753,MATCH($F146,⑰工程労務費一覧!$D$5:$D$753,0)),INDEX(⑰工程労務費一覧!$I$5:$I$753,MATCH($F146,⑰工程労務費一覧!$D$5:$D$753,0)))))),"")</f>
        <v/>
      </c>
      <c r="I146" s="392">
        <f>IF($K146&gt;0,IF(ISNUMBER(IF(OR($D146="g",$D146="ｇ"),IF($M146&gt;0,$L146/$M146/1000,""),IF($D146="kg",IF($M146&gt;0,$L146/$M146,""),IF($D146="",IF($M146&gt;0,$L146/$M146/1000,IF($O146&gt;0,$N146/$O146,"")),IF($O146&gt;0,$N146/$O146,""))))),IF($D146="",IF($M146&gt;0,"◎ JAN紐づけ(g扱い)","◎ JAN紐づけ(個扱い)"),"◎ JAN紐づけ"),"△ JAN紐づけ済・実績不足→仮計算"),IF($F146="",IF(ISNUMBER($H146),IF($D146="","⑤ 工程平均で仮計算(g扱い)","⑤ 工程平均で仮計算"),IF($E146="⑩盛付梱包工程入力","⑥ 盛り込み(⑳F列で計上)",IF(AND($E146="⑬計量工程入力",OR($D146="個",$D146="切",$D146="本",$D146="枚",$D146="尾")),"① 未紐づけ(カット個単位は仮単価なし)","① 未紐づけ"))),IF(NOT(ISNUMBER($H146)),"② 工程側に単価なし",IF($D146="","③ 単位未設定(個で計算)","④ OK"))))</f>
        <v/>
      </c>
      <c r="J146" s="399">
        <f>IFERROR(LOOKUP(2,1/((中間品リスト!$F$2:$F$1299=$B146)*(中間品リスト!$E$2:$E$1299&lt;&gt;"-")*(中間品リスト!$E$2:$E$1299&lt;&gt;"")),中間品リスト!$E$2:$E$1299),"")</f>
        <v/>
      </c>
      <c r="K146" s="400">
        <f>IF($J146="",0,COUNTIF(②釜工程入力!$S$5:$S$117,$J146)+COUNTIF(③スチコン工程入力!$S$5:$S$152,$J146)+COUNTIF(⑪ZEN工程入力!$S$6:$S$35,$J146)+COUNTIF(⑫ミキサー工程入力!$S$6:$S$65,$J146)+COUNTIF(⑬計量工程入力!$S$6:$S$65,$J146)+COUNTIF(⑭手動工程入力!$S$6:$S$47,$J146))</f>
        <v/>
      </c>
      <c r="L146" s="393">
        <f>IF($J146="",0,SUMIFS(②釜工程入力!$M$5:$M$117,②釜工程入力!$S$5:$S$117,$J146,②釜工程入力!$I$5:$I$117,"&gt;0")+SUMIFS(③スチコン工程入力!$M$5:$M$152,③スチコン工程入力!$S$5:$S$152,$J146,③スチコン工程入力!$I$5:$I$152,"&gt;0")+SUMIFS(⑪ZEN工程入力!$M$6:$M$35,⑪ZEN工程入力!$S$6:$S$35,$J146,⑪ZEN工程入力!$I$6:$I$35,"&gt;0")+SUMIFS(⑫ミキサー工程入力!$M$6:$M$65,⑫ミキサー工程入力!$S$6:$S$65,$J146,⑫ミキサー工程入力!$I$6:$I$65,"&gt;0")+SUMIFS(⑬計量工程入力!$M$6:$M$65,⑬計量工程入力!$S$6:$S$65,$J146,⑬計量工程入力!$I$6:$I$65,"&gt;0")+SUMIFS(⑭手動工程入力!$M$6:$M$47,⑭手動工程入力!$S$6:$S$47,$J146,⑭手動工程入力!$I$6:$I$47,"&gt;0"))</f>
        <v/>
      </c>
      <c r="M146" s="393">
        <f>IF($J146="",0,SUMIFS(②釜工程入力!$I$5:$I$117,②釜工程入力!$S$5:$S$117,$J146,②釜工程入力!$I$5:$I$117,"&gt;0",②釜工程入力!$M$5:$M$117,"&gt;0")+SUMIFS(③スチコン工程入力!$I$5:$I$152,③スチコン工程入力!$S$5:$S$152,$J146,③スチコン工程入力!$I$5:$I$152,"&gt;0",③スチコン工程入力!$M$5:$M$152,"&gt;0")+SUMIFS(⑪ZEN工程入力!$I$6:$I$35,⑪ZEN工程入力!$S$6:$S$35,$J146,⑪ZEN工程入力!$I$6:$I$35,"&gt;0",⑪ZEN工程入力!$M$6:$M$35,"&gt;0")+SUMIFS(⑫ミキサー工程入力!$I$6:$I$65,⑫ミキサー工程入力!$S$6:$S$65,$J146,⑫ミキサー工程入力!$I$6:$I$65,"&gt;0",⑫ミキサー工程入力!$M$6:$M$65,"&gt;0")+SUMIFS(⑬計量工程入力!$I$6:$I$65,⑬計量工程入力!$S$6:$S$65,$J146,⑬計量工程入力!$I$6:$I$65,"&gt;0",⑬計量工程入力!$M$6:$M$65,"&gt;0")+SUMIFS(⑭手動工程入力!$I$6:$I$47,⑭手動工程入力!$S$6:$S$47,$J146,⑭手動工程入力!$I$6:$I$47,"&gt;0",⑭手動工程入力!$M$6:$M$47,"&gt;0"))</f>
        <v/>
      </c>
      <c r="N146" s="393">
        <f>IF($J146="",0,SUMIFS(②釜工程入力!$M$5:$M$117,②釜工程入力!$S$5:$S$117,$J146,②釜工程入力!$J$5:$J$117,"&gt;0")-SUMIFS(②釜工程入力!$M$5:$M$117,②釜工程入力!$S$5:$S$117,$J146,②釜工程入力!$J$5:$J$117,"&gt;0",②釜工程入力!$I$5:$I$117,"&gt;0")+SUMIFS(③スチコン工程入力!$M$5:$M$152,③スチコン工程入力!$S$5:$S$152,$J146,③スチコン工程入力!$J$5:$J$152,"&gt;0")-SUMIFS(③スチコン工程入力!$M$5:$M$152,③スチコン工程入力!$S$5:$S$152,$J146,③スチコン工程入力!$J$5:$J$152,"&gt;0",③スチコン工程入力!$I$5:$I$152,"&gt;0")+SUMIFS(⑪ZEN工程入力!$M$6:$M$35,⑪ZEN工程入力!$S$6:$S$35,$J146,⑪ZEN工程入力!$J$6:$J$35,"&gt;0")-SUMIFS(⑪ZEN工程入力!$M$6:$M$35,⑪ZEN工程入力!$S$6:$S$35,$J146,⑪ZEN工程入力!$J$6:$J$35,"&gt;0",⑪ZEN工程入力!$I$6:$I$35,"&gt;0")+SUMIFS(⑫ミキサー工程入力!$M$6:$M$65,⑫ミキサー工程入力!$S$6:$S$65,$J146,⑫ミキサー工程入力!$J$6:$J$65,"&gt;0")-SUMIFS(⑫ミキサー工程入力!$M$6:$M$65,⑫ミキサー工程入力!$S$6:$S$65,$J146,⑫ミキサー工程入力!$J$6:$J$65,"&gt;0",⑫ミキサー工程入力!$I$6:$I$65,"&gt;0")+SUMIFS(⑬計量工程入力!$M$6:$M$65,⑬計量工程入力!$S$6:$S$65,$J146,⑬計量工程入力!$J$6:$J$65,"&gt;0")-SUMIFS(⑬計量工程入力!$M$6:$M$65,⑬計量工程入力!$S$6:$S$65,$J146,⑬計量工程入力!$J$6:$J$65,"&gt;0",⑬計量工程入力!$I$6:$I$65,"&gt;0")+SUMIFS(⑭手動工程入力!$M$6:$M$47,⑭手動工程入力!$S$6:$S$47,$J146,⑭手動工程入力!$J$6:$J$47,"&gt;0")-SUMIFS(⑭手動工程入力!$M$6:$M$47,⑭手動工程入力!$S$6:$S$47,$J146,⑭手動工程入力!$J$6:$J$47,"&gt;0",⑭手動工程入力!$I$6:$I$47,"&gt;0"))</f>
        <v/>
      </c>
      <c r="O146" s="393">
        <f>IF($J146="",0,SUMIFS(②釜工程入力!$J$5:$J$117,②釜工程入力!$S$5:$S$117,$J146,②釜工程入力!$J$5:$J$117,"&gt;0",②釜工程入力!$M$5:$M$117,"&gt;0")-SUMIFS(②釜工程入力!$J$5:$J$117,②釜工程入力!$S$5:$S$117,$J146,②釜工程入力!$J$5:$J$117,"&gt;0",②釜工程入力!$I$5:$I$117,"&gt;0",②釜工程入力!$M$5:$M$117,"&gt;0")+SUMIFS(③スチコン工程入力!$J$5:$J$152,③スチコン工程入力!$S$5:$S$152,$J146,③スチコン工程入力!$J$5:$J$152,"&gt;0",③スチコン工程入力!$M$5:$M$152,"&gt;0")-SUMIFS(③スチコン工程入力!$J$5:$J$152,③スチコン工程入力!$S$5:$S$152,$J146,③スチコン工程入力!$J$5:$J$152,"&gt;0",③スチコン工程入力!$I$5:$I$152,"&gt;0",③スチコン工程入力!$M$5:$M$152,"&gt;0")+SUMIFS(⑪ZEN工程入力!$J$6:$J$35,⑪ZEN工程入力!$S$6:$S$35,$J146,⑪ZEN工程入力!$J$6:$J$35,"&gt;0",⑪ZEN工程入力!$M$6:$M$35,"&gt;0")-SUMIFS(⑪ZEN工程入力!$J$6:$J$35,⑪ZEN工程入力!$S$6:$S$35,$J146,⑪ZEN工程入力!$J$6:$J$35,"&gt;0",⑪ZEN工程入力!$I$6:$I$35,"&gt;0",⑪ZEN工程入力!$M$6:$M$35,"&gt;0")+SUMIFS(⑫ミキサー工程入力!$J$6:$J$65,⑫ミキサー工程入力!$S$6:$S$65,$J146,⑫ミキサー工程入力!$J$6:$J$65,"&gt;0",⑫ミキサー工程入力!$M$6:$M$65,"&gt;0")-SUMIFS(⑫ミキサー工程入力!$J$6:$J$65,⑫ミキサー工程入力!$S$6:$S$65,$J146,⑫ミキサー工程入力!$J$6:$J$65,"&gt;0",⑫ミキサー工程入力!$I$6:$I$65,"&gt;0",⑫ミキサー工程入力!$M$6:$M$65,"&gt;0")+SUMIFS(⑬計量工程入力!$J$6:$J$65,⑬計量工程入力!$S$6:$S$65,$J146,⑬計量工程入力!$J$6:$J$65,"&gt;0",⑬計量工程入力!$M$6:$M$65,"&gt;0")-SUMIFS(⑬計量工程入力!$J$6:$J$65,⑬計量工程入力!$S$6:$S$65,$J146,⑬計量工程入力!$J$6:$J$65,"&gt;0",⑬計量工程入力!$I$6:$I$65,"&gt;0",⑬計量工程入力!$M$6:$M$65,"&gt;0")+SUMIFS(⑭手動工程入力!$J$6:$J$47,⑭手動工程入力!$S$6:$S$47,$J146,⑭手動工程入力!$J$6:$J$47,"&gt;0",⑭手動工程入力!$M$6:$M$47,"&gt;0")-SUMIFS(⑭手動工程入力!$J$6:$J$47,⑭手動工程入力!$S$6:$S$47,$J146,⑭手動工程入力!$J$6:$J$47,"&gt;0",⑭手動工程入力!$I$6:$I$47,"&gt;0",⑭手動工程入力!$M$6:$M$47,"&gt;0"))</f>
        <v/>
      </c>
      <c r="P146" s="392" t="n"/>
    </row>
    <row r="147">
      <c r="A147" s="392" t="n">
        <v>143</v>
      </c>
      <c r="B147" s="392" t="n"/>
      <c r="C147" s="392" t="n"/>
      <c r="D147" s="392" t="n"/>
      <c r="E147" s="392" t="n"/>
      <c r="F147" s="394" t="n"/>
      <c r="G147" s="392" t="n"/>
      <c r="H147" s="604">
        <f>IFERROR(IF(AND($K147&gt;0,ISNUMBER(IF(OR($D147="g",$D147="ｇ"),IF($M147&gt;0,$L147/$M147/1000,""),IF($D147="kg",IF($M147&gt;0,$L147/$M147,""),IF($D147="",IF($M147&gt;0,$L147/$M147/1000,IF($O147&gt;0,$N147/$O147,"")),IF($O147&gt;0,$N147/$O147,"")))))),IF(OR($D147="g",$D147="ｇ"),IF($M147&gt;0,$L147/$M147/1000,""),IF($D147="kg",IF($M147&gt;0,$L147/$M147,""),IF($D147="",IF($M147&gt;0,$L147/$M147/1000,IF($O147&gt;0,$N147/$O147,"")),IF($O147&gt;0,$N147/$O147,"")))),IF($F147="",IF(OR($E147="",$E147="⑩盛付梱包工程入力"),"",IF(OR($D147="g",$D147="ｇ"),INDEX(⑰工程労務費一覧!$N$5:$N$11,MATCH($E147,⑰工程労務費一覧!$K$5:$K$11,0))/1000,IF($D147="kg",INDEX(⑰工程労務費一覧!$N$5:$N$11,MATCH($E147,⑰工程労務費一覧!$K$5:$K$11,0)),IF(OR($D147="個",$D147="切",$D147="本",$D147="枚",$D147="尾"),IF($E147="⑬計量工程入力","",INDEX(⑰工程労務費一覧!$P$5:$P$11,MATCH($E147,⑰工程労務費一覧!$K$5:$K$11,0))),IF(AND($D147="",OR($E147="②釜工程入力",$E147="③スチコン工程入力")),INDEX(⑰工程労務費一覧!$N$5:$N$11,MATCH($E147,⑰工程労務費一覧!$K$5:$K$11,0))/1000,""))))),IF(OR($D147="g",$D147="ｇ"),INDEX(⑰工程労務費一覧!$H$5:$H$753,MATCH($F147,⑰工程労務費一覧!$D$5:$D$753,0))/1000,IF($D147="kg",INDEX(⑰工程労務費一覧!$H$5:$H$753,MATCH($F147,⑰工程労務費一覧!$D$5:$D$753,0)),INDEX(⑰工程労務費一覧!$I$5:$I$753,MATCH($F147,⑰工程労務費一覧!$D$5:$D$753,0)))))),"")</f>
        <v/>
      </c>
      <c r="I147" s="392">
        <f>IF($K147&gt;0,IF(ISNUMBER(IF(OR($D147="g",$D147="ｇ"),IF($M147&gt;0,$L147/$M147/1000,""),IF($D147="kg",IF($M147&gt;0,$L147/$M147,""),IF($D147="",IF($M147&gt;0,$L147/$M147/1000,IF($O147&gt;0,$N147/$O147,"")),IF($O147&gt;0,$N147/$O147,""))))),IF($D147="",IF($M147&gt;0,"◎ JAN紐づけ(g扱い)","◎ JAN紐づけ(個扱い)"),"◎ JAN紐づけ"),"△ JAN紐づけ済・実績不足→仮計算"),IF($F147="",IF(ISNUMBER($H147),IF($D147="","⑤ 工程平均で仮計算(g扱い)","⑤ 工程平均で仮計算"),IF($E147="⑩盛付梱包工程入力","⑥ 盛り込み(⑳F列で計上)",IF(AND($E147="⑬計量工程入力",OR($D147="個",$D147="切",$D147="本",$D147="枚",$D147="尾")),"① 未紐づけ(カット個単位は仮単価なし)","① 未紐づけ"))),IF(NOT(ISNUMBER($H147)),"② 工程側に単価なし",IF($D147="","③ 単位未設定(個で計算)","④ OK"))))</f>
        <v/>
      </c>
      <c r="J147" s="399">
        <f>IFERROR(LOOKUP(2,1/((中間品リスト!$F$2:$F$1299=$B147)*(中間品リスト!$E$2:$E$1299&lt;&gt;"-")*(中間品リスト!$E$2:$E$1299&lt;&gt;"")),中間品リスト!$E$2:$E$1299),"")</f>
        <v/>
      </c>
      <c r="K147" s="400">
        <f>IF($J147="",0,COUNTIF(②釜工程入力!$S$5:$S$117,$J147)+COUNTIF(③スチコン工程入力!$S$5:$S$152,$J147)+COUNTIF(⑪ZEN工程入力!$S$6:$S$35,$J147)+COUNTIF(⑫ミキサー工程入力!$S$6:$S$65,$J147)+COUNTIF(⑬計量工程入力!$S$6:$S$65,$J147)+COUNTIF(⑭手動工程入力!$S$6:$S$47,$J147))</f>
        <v/>
      </c>
      <c r="L147" s="393">
        <f>IF($J147="",0,SUMIFS(②釜工程入力!$M$5:$M$117,②釜工程入力!$S$5:$S$117,$J147,②釜工程入力!$I$5:$I$117,"&gt;0")+SUMIFS(③スチコン工程入力!$M$5:$M$152,③スチコン工程入力!$S$5:$S$152,$J147,③スチコン工程入力!$I$5:$I$152,"&gt;0")+SUMIFS(⑪ZEN工程入力!$M$6:$M$35,⑪ZEN工程入力!$S$6:$S$35,$J147,⑪ZEN工程入力!$I$6:$I$35,"&gt;0")+SUMIFS(⑫ミキサー工程入力!$M$6:$M$65,⑫ミキサー工程入力!$S$6:$S$65,$J147,⑫ミキサー工程入力!$I$6:$I$65,"&gt;0")+SUMIFS(⑬計量工程入力!$M$6:$M$65,⑬計量工程入力!$S$6:$S$65,$J147,⑬計量工程入力!$I$6:$I$65,"&gt;0")+SUMIFS(⑭手動工程入力!$M$6:$M$47,⑭手動工程入力!$S$6:$S$47,$J147,⑭手動工程入力!$I$6:$I$47,"&gt;0"))</f>
        <v/>
      </c>
      <c r="M147" s="393">
        <f>IF($J147="",0,SUMIFS(②釜工程入力!$I$5:$I$117,②釜工程入力!$S$5:$S$117,$J147,②釜工程入力!$I$5:$I$117,"&gt;0",②釜工程入力!$M$5:$M$117,"&gt;0")+SUMIFS(③スチコン工程入力!$I$5:$I$152,③スチコン工程入力!$S$5:$S$152,$J147,③スチコン工程入力!$I$5:$I$152,"&gt;0",③スチコン工程入力!$M$5:$M$152,"&gt;0")+SUMIFS(⑪ZEN工程入力!$I$6:$I$35,⑪ZEN工程入力!$S$6:$S$35,$J147,⑪ZEN工程入力!$I$6:$I$35,"&gt;0",⑪ZEN工程入力!$M$6:$M$35,"&gt;0")+SUMIFS(⑫ミキサー工程入力!$I$6:$I$65,⑫ミキサー工程入力!$S$6:$S$65,$J147,⑫ミキサー工程入力!$I$6:$I$65,"&gt;0",⑫ミキサー工程入力!$M$6:$M$65,"&gt;0")+SUMIFS(⑬計量工程入力!$I$6:$I$65,⑬計量工程入力!$S$6:$S$65,$J147,⑬計量工程入力!$I$6:$I$65,"&gt;0",⑬計量工程入力!$M$6:$M$65,"&gt;0")+SUMIFS(⑭手動工程入力!$I$6:$I$47,⑭手動工程入力!$S$6:$S$47,$J147,⑭手動工程入力!$I$6:$I$47,"&gt;0",⑭手動工程入力!$M$6:$M$47,"&gt;0"))</f>
        <v/>
      </c>
      <c r="N147" s="393">
        <f>IF($J147="",0,SUMIFS(②釜工程入力!$M$5:$M$117,②釜工程入力!$S$5:$S$117,$J147,②釜工程入力!$J$5:$J$117,"&gt;0")-SUMIFS(②釜工程入力!$M$5:$M$117,②釜工程入力!$S$5:$S$117,$J147,②釜工程入力!$J$5:$J$117,"&gt;0",②釜工程入力!$I$5:$I$117,"&gt;0")+SUMIFS(③スチコン工程入力!$M$5:$M$152,③スチコン工程入力!$S$5:$S$152,$J147,③スチコン工程入力!$J$5:$J$152,"&gt;0")-SUMIFS(③スチコン工程入力!$M$5:$M$152,③スチコン工程入力!$S$5:$S$152,$J147,③スチコン工程入力!$J$5:$J$152,"&gt;0",③スチコン工程入力!$I$5:$I$152,"&gt;0")+SUMIFS(⑪ZEN工程入力!$M$6:$M$35,⑪ZEN工程入力!$S$6:$S$35,$J147,⑪ZEN工程入力!$J$6:$J$35,"&gt;0")-SUMIFS(⑪ZEN工程入力!$M$6:$M$35,⑪ZEN工程入力!$S$6:$S$35,$J147,⑪ZEN工程入力!$J$6:$J$35,"&gt;0",⑪ZEN工程入力!$I$6:$I$35,"&gt;0")+SUMIFS(⑫ミキサー工程入力!$M$6:$M$65,⑫ミキサー工程入力!$S$6:$S$65,$J147,⑫ミキサー工程入力!$J$6:$J$65,"&gt;0")-SUMIFS(⑫ミキサー工程入力!$M$6:$M$65,⑫ミキサー工程入力!$S$6:$S$65,$J147,⑫ミキサー工程入力!$J$6:$J$65,"&gt;0",⑫ミキサー工程入力!$I$6:$I$65,"&gt;0")+SUMIFS(⑬計量工程入力!$M$6:$M$65,⑬計量工程入力!$S$6:$S$65,$J147,⑬計量工程入力!$J$6:$J$65,"&gt;0")-SUMIFS(⑬計量工程入力!$M$6:$M$65,⑬計量工程入力!$S$6:$S$65,$J147,⑬計量工程入力!$J$6:$J$65,"&gt;0",⑬計量工程入力!$I$6:$I$65,"&gt;0")+SUMIFS(⑭手動工程入力!$M$6:$M$47,⑭手動工程入力!$S$6:$S$47,$J147,⑭手動工程入力!$J$6:$J$47,"&gt;0")-SUMIFS(⑭手動工程入力!$M$6:$M$47,⑭手動工程入力!$S$6:$S$47,$J147,⑭手動工程入力!$J$6:$J$47,"&gt;0",⑭手動工程入力!$I$6:$I$47,"&gt;0"))</f>
        <v/>
      </c>
      <c r="O147" s="393">
        <f>IF($J147="",0,SUMIFS(②釜工程入力!$J$5:$J$117,②釜工程入力!$S$5:$S$117,$J147,②釜工程入力!$J$5:$J$117,"&gt;0",②釜工程入力!$M$5:$M$117,"&gt;0")-SUMIFS(②釜工程入力!$J$5:$J$117,②釜工程入力!$S$5:$S$117,$J147,②釜工程入力!$J$5:$J$117,"&gt;0",②釜工程入力!$I$5:$I$117,"&gt;0",②釜工程入力!$M$5:$M$117,"&gt;0")+SUMIFS(③スチコン工程入力!$J$5:$J$152,③スチコン工程入力!$S$5:$S$152,$J147,③スチコン工程入力!$J$5:$J$152,"&gt;0",③スチコン工程入力!$M$5:$M$152,"&gt;0")-SUMIFS(③スチコン工程入力!$J$5:$J$152,③スチコン工程入力!$S$5:$S$152,$J147,③スチコン工程入力!$J$5:$J$152,"&gt;0",③スチコン工程入力!$I$5:$I$152,"&gt;0",③スチコン工程入力!$M$5:$M$152,"&gt;0")+SUMIFS(⑪ZEN工程入力!$J$6:$J$35,⑪ZEN工程入力!$S$6:$S$35,$J147,⑪ZEN工程入力!$J$6:$J$35,"&gt;0",⑪ZEN工程入力!$M$6:$M$35,"&gt;0")-SUMIFS(⑪ZEN工程入力!$J$6:$J$35,⑪ZEN工程入力!$S$6:$S$35,$J147,⑪ZEN工程入力!$J$6:$J$35,"&gt;0",⑪ZEN工程入力!$I$6:$I$35,"&gt;0",⑪ZEN工程入力!$M$6:$M$35,"&gt;0")+SUMIFS(⑫ミキサー工程入力!$J$6:$J$65,⑫ミキサー工程入力!$S$6:$S$65,$J147,⑫ミキサー工程入力!$J$6:$J$65,"&gt;0",⑫ミキサー工程入力!$M$6:$M$65,"&gt;0")-SUMIFS(⑫ミキサー工程入力!$J$6:$J$65,⑫ミキサー工程入力!$S$6:$S$65,$J147,⑫ミキサー工程入力!$J$6:$J$65,"&gt;0",⑫ミキサー工程入力!$I$6:$I$65,"&gt;0",⑫ミキサー工程入力!$M$6:$M$65,"&gt;0")+SUMIFS(⑬計量工程入力!$J$6:$J$65,⑬計量工程入力!$S$6:$S$65,$J147,⑬計量工程入力!$J$6:$J$65,"&gt;0",⑬計量工程入力!$M$6:$M$65,"&gt;0")-SUMIFS(⑬計量工程入力!$J$6:$J$65,⑬計量工程入力!$S$6:$S$65,$J147,⑬計量工程入力!$J$6:$J$65,"&gt;0",⑬計量工程入力!$I$6:$I$65,"&gt;0",⑬計量工程入力!$M$6:$M$65,"&gt;0")+SUMIFS(⑭手動工程入力!$J$6:$J$47,⑭手動工程入力!$S$6:$S$47,$J147,⑭手動工程入力!$J$6:$J$47,"&gt;0",⑭手動工程入力!$M$6:$M$47,"&gt;0")-SUMIFS(⑭手動工程入力!$J$6:$J$47,⑭手動工程入力!$S$6:$S$47,$J147,⑭手動工程入力!$J$6:$J$47,"&gt;0",⑭手動工程入力!$I$6:$I$47,"&gt;0",⑭手動工程入力!$M$6:$M$47,"&gt;0"))</f>
        <v/>
      </c>
      <c r="P147" s="392" t="n"/>
    </row>
    <row r="148">
      <c r="A148" s="392" t="n">
        <v>144</v>
      </c>
      <c r="B148" s="392" t="n"/>
      <c r="C148" s="392" t="n"/>
      <c r="D148" s="392" t="n"/>
      <c r="E148" s="392" t="n"/>
      <c r="F148" s="394" t="n"/>
      <c r="G148" s="392" t="n"/>
      <c r="H148" s="604">
        <f>IFERROR(IF(AND($K148&gt;0,ISNUMBER(IF(OR($D148="g",$D148="ｇ"),IF($M148&gt;0,$L148/$M148/1000,""),IF($D148="kg",IF($M148&gt;0,$L148/$M148,""),IF($D148="",IF($M148&gt;0,$L148/$M148/1000,IF($O148&gt;0,$N148/$O148,"")),IF($O148&gt;0,$N148/$O148,"")))))),IF(OR($D148="g",$D148="ｇ"),IF($M148&gt;0,$L148/$M148/1000,""),IF($D148="kg",IF($M148&gt;0,$L148/$M148,""),IF($D148="",IF($M148&gt;0,$L148/$M148/1000,IF($O148&gt;0,$N148/$O148,"")),IF($O148&gt;0,$N148/$O148,"")))),IF($F148="",IF(OR($E148="",$E148="⑩盛付梱包工程入力"),"",IF(OR($D148="g",$D148="ｇ"),INDEX(⑰工程労務費一覧!$N$5:$N$11,MATCH($E148,⑰工程労務費一覧!$K$5:$K$11,0))/1000,IF($D148="kg",INDEX(⑰工程労務費一覧!$N$5:$N$11,MATCH($E148,⑰工程労務費一覧!$K$5:$K$11,0)),IF(OR($D148="個",$D148="切",$D148="本",$D148="枚",$D148="尾"),IF($E148="⑬計量工程入力","",INDEX(⑰工程労務費一覧!$P$5:$P$11,MATCH($E148,⑰工程労務費一覧!$K$5:$K$11,0))),IF(AND($D148="",OR($E148="②釜工程入力",$E148="③スチコン工程入力")),INDEX(⑰工程労務費一覧!$N$5:$N$11,MATCH($E148,⑰工程労務費一覧!$K$5:$K$11,0))/1000,""))))),IF(OR($D148="g",$D148="ｇ"),INDEX(⑰工程労務費一覧!$H$5:$H$753,MATCH($F148,⑰工程労務費一覧!$D$5:$D$753,0))/1000,IF($D148="kg",INDEX(⑰工程労務費一覧!$H$5:$H$753,MATCH($F148,⑰工程労務費一覧!$D$5:$D$753,0)),INDEX(⑰工程労務費一覧!$I$5:$I$753,MATCH($F148,⑰工程労務費一覧!$D$5:$D$753,0)))))),"")</f>
        <v/>
      </c>
      <c r="I148" s="392">
        <f>IF($K148&gt;0,IF(ISNUMBER(IF(OR($D148="g",$D148="ｇ"),IF($M148&gt;0,$L148/$M148/1000,""),IF($D148="kg",IF($M148&gt;0,$L148/$M148,""),IF($D148="",IF($M148&gt;0,$L148/$M148/1000,IF($O148&gt;0,$N148/$O148,"")),IF($O148&gt;0,$N148/$O148,""))))),IF($D148="",IF($M148&gt;0,"◎ JAN紐づけ(g扱い)","◎ JAN紐づけ(個扱い)"),"◎ JAN紐づけ"),"△ JAN紐づけ済・実績不足→仮計算"),IF($F148="",IF(ISNUMBER($H148),IF($D148="","⑤ 工程平均で仮計算(g扱い)","⑤ 工程平均で仮計算"),IF($E148="⑩盛付梱包工程入力","⑥ 盛り込み(⑳F列で計上)",IF(AND($E148="⑬計量工程入力",OR($D148="個",$D148="切",$D148="本",$D148="枚",$D148="尾")),"① 未紐づけ(カット個単位は仮単価なし)","① 未紐づけ"))),IF(NOT(ISNUMBER($H148)),"② 工程側に単価なし",IF($D148="","③ 単位未設定(個で計算)","④ OK"))))</f>
        <v/>
      </c>
      <c r="J148" s="399">
        <f>IFERROR(LOOKUP(2,1/((中間品リスト!$F$2:$F$1299=$B148)*(中間品リスト!$E$2:$E$1299&lt;&gt;"-")*(中間品リスト!$E$2:$E$1299&lt;&gt;"")),中間品リスト!$E$2:$E$1299),"")</f>
        <v/>
      </c>
      <c r="K148" s="400">
        <f>IF($J148="",0,COUNTIF(②釜工程入力!$S$5:$S$117,$J148)+COUNTIF(③スチコン工程入力!$S$5:$S$152,$J148)+COUNTIF(⑪ZEN工程入力!$S$6:$S$35,$J148)+COUNTIF(⑫ミキサー工程入力!$S$6:$S$65,$J148)+COUNTIF(⑬計量工程入力!$S$6:$S$65,$J148)+COUNTIF(⑭手動工程入力!$S$6:$S$47,$J148))</f>
        <v/>
      </c>
      <c r="L148" s="393">
        <f>IF($J148="",0,SUMIFS(②釜工程入力!$M$5:$M$117,②釜工程入力!$S$5:$S$117,$J148,②釜工程入力!$I$5:$I$117,"&gt;0")+SUMIFS(③スチコン工程入力!$M$5:$M$152,③スチコン工程入力!$S$5:$S$152,$J148,③スチコン工程入力!$I$5:$I$152,"&gt;0")+SUMIFS(⑪ZEN工程入力!$M$6:$M$35,⑪ZEN工程入力!$S$6:$S$35,$J148,⑪ZEN工程入力!$I$6:$I$35,"&gt;0")+SUMIFS(⑫ミキサー工程入力!$M$6:$M$65,⑫ミキサー工程入力!$S$6:$S$65,$J148,⑫ミキサー工程入力!$I$6:$I$65,"&gt;0")+SUMIFS(⑬計量工程入力!$M$6:$M$65,⑬計量工程入力!$S$6:$S$65,$J148,⑬計量工程入力!$I$6:$I$65,"&gt;0")+SUMIFS(⑭手動工程入力!$M$6:$M$47,⑭手動工程入力!$S$6:$S$47,$J148,⑭手動工程入力!$I$6:$I$47,"&gt;0"))</f>
        <v/>
      </c>
      <c r="M148" s="393">
        <f>IF($J148="",0,SUMIFS(②釜工程入力!$I$5:$I$117,②釜工程入力!$S$5:$S$117,$J148,②釜工程入力!$I$5:$I$117,"&gt;0",②釜工程入力!$M$5:$M$117,"&gt;0")+SUMIFS(③スチコン工程入力!$I$5:$I$152,③スチコン工程入力!$S$5:$S$152,$J148,③スチコン工程入力!$I$5:$I$152,"&gt;0",③スチコン工程入力!$M$5:$M$152,"&gt;0")+SUMIFS(⑪ZEN工程入力!$I$6:$I$35,⑪ZEN工程入力!$S$6:$S$35,$J148,⑪ZEN工程入力!$I$6:$I$35,"&gt;0",⑪ZEN工程入力!$M$6:$M$35,"&gt;0")+SUMIFS(⑫ミキサー工程入力!$I$6:$I$65,⑫ミキサー工程入力!$S$6:$S$65,$J148,⑫ミキサー工程入力!$I$6:$I$65,"&gt;0",⑫ミキサー工程入力!$M$6:$M$65,"&gt;0")+SUMIFS(⑬計量工程入力!$I$6:$I$65,⑬計量工程入力!$S$6:$S$65,$J148,⑬計量工程入力!$I$6:$I$65,"&gt;0",⑬計量工程入力!$M$6:$M$65,"&gt;0")+SUMIFS(⑭手動工程入力!$I$6:$I$47,⑭手動工程入力!$S$6:$S$47,$J148,⑭手動工程入力!$I$6:$I$47,"&gt;0",⑭手動工程入力!$M$6:$M$47,"&gt;0"))</f>
        <v/>
      </c>
      <c r="N148" s="393">
        <f>IF($J148="",0,SUMIFS(②釜工程入力!$M$5:$M$117,②釜工程入力!$S$5:$S$117,$J148,②釜工程入力!$J$5:$J$117,"&gt;0")-SUMIFS(②釜工程入力!$M$5:$M$117,②釜工程入力!$S$5:$S$117,$J148,②釜工程入力!$J$5:$J$117,"&gt;0",②釜工程入力!$I$5:$I$117,"&gt;0")+SUMIFS(③スチコン工程入力!$M$5:$M$152,③スチコン工程入力!$S$5:$S$152,$J148,③スチコン工程入力!$J$5:$J$152,"&gt;0")-SUMIFS(③スチコン工程入力!$M$5:$M$152,③スチコン工程入力!$S$5:$S$152,$J148,③スチコン工程入力!$J$5:$J$152,"&gt;0",③スチコン工程入力!$I$5:$I$152,"&gt;0")+SUMIFS(⑪ZEN工程入力!$M$6:$M$35,⑪ZEN工程入力!$S$6:$S$35,$J148,⑪ZEN工程入力!$J$6:$J$35,"&gt;0")-SUMIFS(⑪ZEN工程入力!$M$6:$M$35,⑪ZEN工程入力!$S$6:$S$35,$J148,⑪ZEN工程入力!$J$6:$J$35,"&gt;0",⑪ZEN工程入力!$I$6:$I$35,"&gt;0")+SUMIFS(⑫ミキサー工程入力!$M$6:$M$65,⑫ミキサー工程入力!$S$6:$S$65,$J148,⑫ミキサー工程入力!$J$6:$J$65,"&gt;0")-SUMIFS(⑫ミキサー工程入力!$M$6:$M$65,⑫ミキサー工程入力!$S$6:$S$65,$J148,⑫ミキサー工程入力!$J$6:$J$65,"&gt;0",⑫ミキサー工程入力!$I$6:$I$65,"&gt;0")+SUMIFS(⑬計量工程入力!$M$6:$M$65,⑬計量工程入力!$S$6:$S$65,$J148,⑬計量工程入力!$J$6:$J$65,"&gt;0")-SUMIFS(⑬計量工程入力!$M$6:$M$65,⑬計量工程入力!$S$6:$S$65,$J148,⑬計量工程入力!$J$6:$J$65,"&gt;0",⑬計量工程入力!$I$6:$I$65,"&gt;0")+SUMIFS(⑭手動工程入力!$M$6:$M$47,⑭手動工程入力!$S$6:$S$47,$J148,⑭手動工程入力!$J$6:$J$47,"&gt;0")-SUMIFS(⑭手動工程入力!$M$6:$M$47,⑭手動工程入力!$S$6:$S$47,$J148,⑭手動工程入力!$J$6:$J$47,"&gt;0",⑭手動工程入力!$I$6:$I$47,"&gt;0"))</f>
        <v/>
      </c>
      <c r="O148" s="393">
        <f>IF($J148="",0,SUMIFS(②釜工程入力!$J$5:$J$117,②釜工程入力!$S$5:$S$117,$J148,②釜工程入力!$J$5:$J$117,"&gt;0",②釜工程入力!$M$5:$M$117,"&gt;0")-SUMIFS(②釜工程入力!$J$5:$J$117,②釜工程入力!$S$5:$S$117,$J148,②釜工程入力!$J$5:$J$117,"&gt;0",②釜工程入力!$I$5:$I$117,"&gt;0",②釜工程入力!$M$5:$M$117,"&gt;0")+SUMIFS(③スチコン工程入力!$J$5:$J$152,③スチコン工程入力!$S$5:$S$152,$J148,③スチコン工程入力!$J$5:$J$152,"&gt;0",③スチコン工程入力!$M$5:$M$152,"&gt;0")-SUMIFS(③スチコン工程入力!$J$5:$J$152,③スチコン工程入力!$S$5:$S$152,$J148,③スチコン工程入力!$J$5:$J$152,"&gt;0",③スチコン工程入力!$I$5:$I$152,"&gt;0",③スチコン工程入力!$M$5:$M$152,"&gt;0")+SUMIFS(⑪ZEN工程入力!$J$6:$J$35,⑪ZEN工程入力!$S$6:$S$35,$J148,⑪ZEN工程入力!$J$6:$J$35,"&gt;0",⑪ZEN工程入力!$M$6:$M$35,"&gt;0")-SUMIFS(⑪ZEN工程入力!$J$6:$J$35,⑪ZEN工程入力!$S$6:$S$35,$J148,⑪ZEN工程入力!$J$6:$J$35,"&gt;0",⑪ZEN工程入力!$I$6:$I$35,"&gt;0",⑪ZEN工程入力!$M$6:$M$35,"&gt;0")+SUMIFS(⑫ミキサー工程入力!$J$6:$J$65,⑫ミキサー工程入力!$S$6:$S$65,$J148,⑫ミキサー工程入力!$J$6:$J$65,"&gt;0",⑫ミキサー工程入力!$M$6:$M$65,"&gt;0")-SUMIFS(⑫ミキサー工程入力!$J$6:$J$65,⑫ミキサー工程入力!$S$6:$S$65,$J148,⑫ミキサー工程入力!$J$6:$J$65,"&gt;0",⑫ミキサー工程入力!$I$6:$I$65,"&gt;0",⑫ミキサー工程入力!$M$6:$M$65,"&gt;0")+SUMIFS(⑬計量工程入力!$J$6:$J$65,⑬計量工程入力!$S$6:$S$65,$J148,⑬計量工程入力!$J$6:$J$65,"&gt;0",⑬計量工程入力!$M$6:$M$65,"&gt;0")-SUMIFS(⑬計量工程入力!$J$6:$J$65,⑬計量工程入力!$S$6:$S$65,$J148,⑬計量工程入力!$J$6:$J$65,"&gt;0",⑬計量工程入力!$I$6:$I$65,"&gt;0",⑬計量工程入力!$M$6:$M$65,"&gt;0")+SUMIFS(⑭手動工程入力!$J$6:$J$47,⑭手動工程入力!$S$6:$S$47,$J148,⑭手動工程入力!$J$6:$J$47,"&gt;0",⑭手動工程入力!$M$6:$M$47,"&gt;0")-SUMIFS(⑭手動工程入力!$J$6:$J$47,⑭手動工程入力!$S$6:$S$47,$J148,⑭手動工程入力!$J$6:$J$47,"&gt;0",⑭手動工程入力!$I$6:$I$47,"&gt;0",⑭手動工程入力!$M$6:$M$47,"&gt;0"))</f>
        <v/>
      </c>
      <c r="P148" s="392" t="n"/>
    </row>
    <row r="149">
      <c r="A149" s="392" t="n">
        <v>145</v>
      </c>
      <c r="B149" s="392" t="n"/>
      <c r="C149" s="392" t="n"/>
      <c r="D149" s="392" t="n"/>
      <c r="E149" s="392" t="n"/>
      <c r="F149" s="394" t="n"/>
      <c r="G149" s="392" t="n"/>
      <c r="H149" s="604">
        <f>IFERROR(IF(AND($K149&gt;0,ISNUMBER(IF(OR($D149="g",$D149="ｇ"),IF($M149&gt;0,$L149/$M149/1000,""),IF($D149="kg",IF($M149&gt;0,$L149/$M149,""),IF($D149="",IF($M149&gt;0,$L149/$M149/1000,IF($O149&gt;0,$N149/$O149,"")),IF($O149&gt;0,$N149/$O149,"")))))),IF(OR($D149="g",$D149="ｇ"),IF($M149&gt;0,$L149/$M149/1000,""),IF($D149="kg",IF($M149&gt;0,$L149/$M149,""),IF($D149="",IF($M149&gt;0,$L149/$M149/1000,IF($O149&gt;0,$N149/$O149,"")),IF($O149&gt;0,$N149/$O149,"")))),IF($F149="",IF(OR($E149="",$E149="⑩盛付梱包工程入力"),"",IF(OR($D149="g",$D149="ｇ"),INDEX(⑰工程労務費一覧!$N$5:$N$11,MATCH($E149,⑰工程労務費一覧!$K$5:$K$11,0))/1000,IF($D149="kg",INDEX(⑰工程労務費一覧!$N$5:$N$11,MATCH($E149,⑰工程労務費一覧!$K$5:$K$11,0)),IF(OR($D149="個",$D149="切",$D149="本",$D149="枚",$D149="尾"),IF($E149="⑬計量工程入力","",INDEX(⑰工程労務費一覧!$P$5:$P$11,MATCH($E149,⑰工程労務費一覧!$K$5:$K$11,0))),IF(AND($D149="",OR($E149="②釜工程入力",$E149="③スチコン工程入力")),INDEX(⑰工程労務費一覧!$N$5:$N$11,MATCH($E149,⑰工程労務費一覧!$K$5:$K$11,0))/1000,""))))),IF(OR($D149="g",$D149="ｇ"),INDEX(⑰工程労務費一覧!$H$5:$H$753,MATCH($F149,⑰工程労務費一覧!$D$5:$D$753,0))/1000,IF($D149="kg",INDEX(⑰工程労務費一覧!$H$5:$H$753,MATCH($F149,⑰工程労務費一覧!$D$5:$D$753,0)),INDEX(⑰工程労務費一覧!$I$5:$I$753,MATCH($F149,⑰工程労務費一覧!$D$5:$D$753,0)))))),"")</f>
        <v/>
      </c>
      <c r="I149" s="392">
        <f>IF($K149&gt;0,IF(ISNUMBER(IF(OR($D149="g",$D149="ｇ"),IF($M149&gt;0,$L149/$M149/1000,""),IF($D149="kg",IF($M149&gt;0,$L149/$M149,""),IF($D149="",IF($M149&gt;0,$L149/$M149/1000,IF($O149&gt;0,$N149/$O149,"")),IF($O149&gt;0,$N149/$O149,""))))),IF($D149="",IF($M149&gt;0,"◎ JAN紐づけ(g扱い)","◎ JAN紐づけ(個扱い)"),"◎ JAN紐づけ"),"△ JAN紐づけ済・実績不足→仮計算"),IF($F149="",IF(ISNUMBER($H149),IF($D149="","⑤ 工程平均で仮計算(g扱い)","⑤ 工程平均で仮計算"),IF($E149="⑩盛付梱包工程入力","⑥ 盛り込み(⑳F列で計上)",IF(AND($E149="⑬計量工程入力",OR($D149="個",$D149="切",$D149="本",$D149="枚",$D149="尾")),"① 未紐づけ(カット個単位は仮単価なし)","① 未紐づけ"))),IF(NOT(ISNUMBER($H149)),"② 工程側に単価なし",IF($D149="","③ 単位未設定(個で計算)","④ OK"))))</f>
        <v/>
      </c>
      <c r="J149" s="399">
        <f>IFERROR(LOOKUP(2,1/((中間品リスト!$F$2:$F$1299=$B149)*(中間品リスト!$E$2:$E$1299&lt;&gt;"-")*(中間品リスト!$E$2:$E$1299&lt;&gt;"")),中間品リスト!$E$2:$E$1299),"")</f>
        <v/>
      </c>
      <c r="K149" s="400">
        <f>IF($J149="",0,COUNTIF(②釜工程入力!$S$5:$S$117,$J149)+COUNTIF(③スチコン工程入力!$S$5:$S$152,$J149)+COUNTIF(⑪ZEN工程入力!$S$6:$S$35,$J149)+COUNTIF(⑫ミキサー工程入力!$S$6:$S$65,$J149)+COUNTIF(⑬計量工程入力!$S$6:$S$65,$J149)+COUNTIF(⑭手動工程入力!$S$6:$S$47,$J149))</f>
        <v/>
      </c>
      <c r="L149" s="393">
        <f>IF($J149="",0,SUMIFS(②釜工程入力!$M$5:$M$117,②釜工程入力!$S$5:$S$117,$J149,②釜工程入力!$I$5:$I$117,"&gt;0")+SUMIFS(③スチコン工程入力!$M$5:$M$152,③スチコン工程入力!$S$5:$S$152,$J149,③スチコン工程入力!$I$5:$I$152,"&gt;0")+SUMIFS(⑪ZEN工程入力!$M$6:$M$35,⑪ZEN工程入力!$S$6:$S$35,$J149,⑪ZEN工程入力!$I$6:$I$35,"&gt;0")+SUMIFS(⑫ミキサー工程入力!$M$6:$M$65,⑫ミキサー工程入力!$S$6:$S$65,$J149,⑫ミキサー工程入力!$I$6:$I$65,"&gt;0")+SUMIFS(⑬計量工程入力!$M$6:$M$65,⑬計量工程入力!$S$6:$S$65,$J149,⑬計量工程入力!$I$6:$I$65,"&gt;0")+SUMIFS(⑭手動工程入力!$M$6:$M$47,⑭手動工程入力!$S$6:$S$47,$J149,⑭手動工程入力!$I$6:$I$47,"&gt;0"))</f>
        <v/>
      </c>
      <c r="M149" s="393">
        <f>IF($J149="",0,SUMIFS(②釜工程入力!$I$5:$I$117,②釜工程入力!$S$5:$S$117,$J149,②釜工程入力!$I$5:$I$117,"&gt;0",②釜工程入力!$M$5:$M$117,"&gt;0")+SUMIFS(③スチコン工程入力!$I$5:$I$152,③スチコン工程入力!$S$5:$S$152,$J149,③スチコン工程入力!$I$5:$I$152,"&gt;0",③スチコン工程入力!$M$5:$M$152,"&gt;0")+SUMIFS(⑪ZEN工程入力!$I$6:$I$35,⑪ZEN工程入力!$S$6:$S$35,$J149,⑪ZEN工程入力!$I$6:$I$35,"&gt;0",⑪ZEN工程入力!$M$6:$M$35,"&gt;0")+SUMIFS(⑫ミキサー工程入力!$I$6:$I$65,⑫ミキサー工程入力!$S$6:$S$65,$J149,⑫ミキサー工程入力!$I$6:$I$65,"&gt;0",⑫ミキサー工程入力!$M$6:$M$65,"&gt;0")+SUMIFS(⑬計量工程入力!$I$6:$I$65,⑬計量工程入力!$S$6:$S$65,$J149,⑬計量工程入力!$I$6:$I$65,"&gt;0",⑬計量工程入力!$M$6:$M$65,"&gt;0")+SUMIFS(⑭手動工程入力!$I$6:$I$47,⑭手動工程入力!$S$6:$S$47,$J149,⑭手動工程入力!$I$6:$I$47,"&gt;0",⑭手動工程入力!$M$6:$M$47,"&gt;0"))</f>
        <v/>
      </c>
      <c r="N149" s="393">
        <f>IF($J149="",0,SUMIFS(②釜工程入力!$M$5:$M$117,②釜工程入力!$S$5:$S$117,$J149,②釜工程入力!$J$5:$J$117,"&gt;0")-SUMIFS(②釜工程入力!$M$5:$M$117,②釜工程入力!$S$5:$S$117,$J149,②釜工程入力!$J$5:$J$117,"&gt;0",②釜工程入力!$I$5:$I$117,"&gt;0")+SUMIFS(③スチコン工程入力!$M$5:$M$152,③スチコン工程入力!$S$5:$S$152,$J149,③スチコン工程入力!$J$5:$J$152,"&gt;0")-SUMIFS(③スチコン工程入力!$M$5:$M$152,③スチコン工程入力!$S$5:$S$152,$J149,③スチコン工程入力!$J$5:$J$152,"&gt;0",③スチコン工程入力!$I$5:$I$152,"&gt;0")+SUMIFS(⑪ZEN工程入力!$M$6:$M$35,⑪ZEN工程入力!$S$6:$S$35,$J149,⑪ZEN工程入力!$J$6:$J$35,"&gt;0")-SUMIFS(⑪ZEN工程入力!$M$6:$M$35,⑪ZEN工程入力!$S$6:$S$35,$J149,⑪ZEN工程入力!$J$6:$J$35,"&gt;0",⑪ZEN工程入力!$I$6:$I$35,"&gt;0")+SUMIFS(⑫ミキサー工程入力!$M$6:$M$65,⑫ミキサー工程入力!$S$6:$S$65,$J149,⑫ミキサー工程入力!$J$6:$J$65,"&gt;0")-SUMIFS(⑫ミキサー工程入力!$M$6:$M$65,⑫ミキサー工程入力!$S$6:$S$65,$J149,⑫ミキサー工程入力!$J$6:$J$65,"&gt;0",⑫ミキサー工程入力!$I$6:$I$65,"&gt;0")+SUMIFS(⑬計量工程入力!$M$6:$M$65,⑬計量工程入力!$S$6:$S$65,$J149,⑬計量工程入力!$J$6:$J$65,"&gt;0")-SUMIFS(⑬計量工程入力!$M$6:$M$65,⑬計量工程入力!$S$6:$S$65,$J149,⑬計量工程入力!$J$6:$J$65,"&gt;0",⑬計量工程入力!$I$6:$I$65,"&gt;0")+SUMIFS(⑭手動工程入力!$M$6:$M$47,⑭手動工程入力!$S$6:$S$47,$J149,⑭手動工程入力!$J$6:$J$47,"&gt;0")-SUMIFS(⑭手動工程入力!$M$6:$M$47,⑭手動工程入力!$S$6:$S$47,$J149,⑭手動工程入力!$J$6:$J$47,"&gt;0",⑭手動工程入力!$I$6:$I$47,"&gt;0"))</f>
        <v/>
      </c>
      <c r="O149" s="393">
        <f>IF($J149="",0,SUMIFS(②釜工程入力!$J$5:$J$117,②釜工程入力!$S$5:$S$117,$J149,②釜工程入力!$J$5:$J$117,"&gt;0",②釜工程入力!$M$5:$M$117,"&gt;0")-SUMIFS(②釜工程入力!$J$5:$J$117,②釜工程入力!$S$5:$S$117,$J149,②釜工程入力!$J$5:$J$117,"&gt;0",②釜工程入力!$I$5:$I$117,"&gt;0",②釜工程入力!$M$5:$M$117,"&gt;0")+SUMIFS(③スチコン工程入力!$J$5:$J$152,③スチコン工程入力!$S$5:$S$152,$J149,③スチコン工程入力!$J$5:$J$152,"&gt;0",③スチコン工程入力!$M$5:$M$152,"&gt;0")-SUMIFS(③スチコン工程入力!$J$5:$J$152,③スチコン工程入力!$S$5:$S$152,$J149,③スチコン工程入力!$J$5:$J$152,"&gt;0",③スチコン工程入力!$I$5:$I$152,"&gt;0",③スチコン工程入力!$M$5:$M$152,"&gt;0")+SUMIFS(⑪ZEN工程入力!$J$6:$J$35,⑪ZEN工程入力!$S$6:$S$35,$J149,⑪ZEN工程入力!$J$6:$J$35,"&gt;0",⑪ZEN工程入力!$M$6:$M$35,"&gt;0")-SUMIFS(⑪ZEN工程入力!$J$6:$J$35,⑪ZEN工程入力!$S$6:$S$35,$J149,⑪ZEN工程入力!$J$6:$J$35,"&gt;0",⑪ZEN工程入力!$I$6:$I$35,"&gt;0",⑪ZEN工程入力!$M$6:$M$35,"&gt;0")+SUMIFS(⑫ミキサー工程入力!$J$6:$J$65,⑫ミキサー工程入力!$S$6:$S$65,$J149,⑫ミキサー工程入力!$J$6:$J$65,"&gt;0",⑫ミキサー工程入力!$M$6:$M$65,"&gt;0")-SUMIFS(⑫ミキサー工程入力!$J$6:$J$65,⑫ミキサー工程入力!$S$6:$S$65,$J149,⑫ミキサー工程入力!$J$6:$J$65,"&gt;0",⑫ミキサー工程入力!$I$6:$I$65,"&gt;0",⑫ミキサー工程入力!$M$6:$M$65,"&gt;0")+SUMIFS(⑬計量工程入力!$J$6:$J$65,⑬計量工程入力!$S$6:$S$65,$J149,⑬計量工程入力!$J$6:$J$65,"&gt;0",⑬計量工程入力!$M$6:$M$65,"&gt;0")-SUMIFS(⑬計量工程入力!$J$6:$J$65,⑬計量工程入力!$S$6:$S$65,$J149,⑬計量工程入力!$J$6:$J$65,"&gt;0",⑬計量工程入力!$I$6:$I$65,"&gt;0",⑬計量工程入力!$M$6:$M$65,"&gt;0")+SUMIFS(⑭手動工程入力!$J$6:$J$47,⑭手動工程入力!$S$6:$S$47,$J149,⑭手動工程入力!$J$6:$J$47,"&gt;0",⑭手動工程入力!$M$6:$M$47,"&gt;0")-SUMIFS(⑭手動工程入力!$J$6:$J$47,⑭手動工程入力!$S$6:$S$47,$J149,⑭手動工程入力!$J$6:$J$47,"&gt;0",⑭手動工程入力!$I$6:$I$47,"&gt;0",⑭手動工程入力!$M$6:$M$47,"&gt;0"))</f>
        <v/>
      </c>
      <c r="P149" s="392" t="n"/>
    </row>
    <row r="150">
      <c r="A150" s="392" t="n">
        <v>146</v>
      </c>
      <c r="B150" s="392" t="n"/>
      <c r="C150" s="392" t="n"/>
      <c r="D150" s="392" t="n"/>
      <c r="E150" s="392" t="n"/>
      <c r="F150" s="394" t="n"/>
      <c r="G150" s="392" t="n"/>
      <c r="H150" s="604">
        <f>IFERROR(IF(AND($K150&gt;0,ISNUMBER(IF(OR($D150="g",$D150="ｇ"),IF($M150&gt;0,$L150/$M150/1000,""),IF($D150="kg",IF($M150&gt;0,$L150/$M150,""),IF($D150="",IF($M150&gt;0,$L150/$M150/1000,IF($O150&gt;0,$N150/$O150,"")),IF($O150&gt;0,$N150/$O150,"")))))),IF(OR($D150="g",$D150="ｇ"),IF($M150&gt;0,$L150/$M150/1000,""),IF($D150="kg",IF($M150&gt;0,$L150/$M150,""),IF($D150="",IF($M150&gt;0,$L150/$M150/1000,IF($O150&gt;0,$N150/$O150,"")),IF($O150&gt;0,$N150/$O150,"")))),IF($F150="",IF(OR($E150="",$E150="⑩盛付梱包工程入力"),"",IF(OR($D150="g",$D150="ｇ"),INDEX(⑰工程労務費一覧!$N$5:$N$11,MATCH($E150,⑰工程労務費一覧!$K$5:$K$11,0))/1000,IF($D150="kg",INDEX(⑰工程労務費一覧!$N$5:$N$11,MATCH($E150,⑰工程労務費一覧!$K$5:$K$11,0)),IF(OR($D150="個",$D150="切",$D150="本",$D150="枚",$D150="尾"),IF($E150="⑬計量工程入力","",INDEX(⑰工程労務費一覧!$P$5:$P$11,MATCH($E150,⑰工程労務費一覧!$K$5:$K$11,0))),IF(AND($D150="",OR($E150="②釜工程入力",$E150="③スチコン工程入力")),INDEX(⑰工程労務費一覧!$N$5:$N$11,MATCH($E150,⑰工程労務費一覧!$K$5:$K$11,0))/1000,""))))),IF(OR($D150="g",$D150="ｇ"),INDEX(⑰工程労務費一覧!$H$5:$H$753,MATCH($F150,⑰工程労務費一覧!$D$5:$D$753,0))/1000,IF($D150="kg",INDEX(⑰工程労務費一覧!$H$5:$H$753,MATCH($F150,⑰工程労務費一覧!$D$5:$D$753,0)),INDEX(⑰工程労務費一覧!$I$5:$I$753,MATCH($F150,⑰工程労務費一覧!$D$5:$D$753,0)))))),"")</f>
        <v/>
      </c>
      <c r="I150" s="392">
        <f>IF($K150&gt;0,IF(ISNUMBER(IF(OR($D150="g",$D150="ｇ"),IF($M150&gt;0,$L150/$M150/1000,""),IF($D150="kg",IF($M150&gt;0,$L150/$M150,""),IF($D150="",IF($M150&gt;0,$L150/$M150/1000,IF($O150&gt;0,$N150/$O150,"")),IF($O150&gt;0,$N150/$O150,""))))),IF($D150="",IF($M150&gt;0,"◎ JAN紐づけ(g扱い)","◎ JAN紐づけ(個扱い)"),"◎ JAN紐づけ"),"△ JAN紐づけ済・実績不足→仮計算"),IF($F150="",IF(ISNUMBER($H150),IF($D150="","⑤ 工程平均で仮計算(g扱い)","⑤ 工程平均で仮計算"),IF($E150="⑩盛付梱包工程入力","⑥ 盛り込み(⑳F列で計上)",IF(AND($E150="⑬計量工程入力",OR($D150="個",$D150="切",$D150="本",$D150="枚",$D150="尾")),"① 未紐づけ(カット個単位は仮単価なし)","① 未紐づけ"))),IF(NOT(ISNUMBER($H150)),"② 工程側に単価なし",IF($D150="","③ 単位未設定(個で計算)","④ OK"))))</f>
        <v/>
      </c>
      <c r="J150" s="399">
        <f>IFERROR(LOOKUP(2,1/((中間品リスト!$F$2:$F$1299=$B150)*(中間品リスト!$E$2:$E$1299&lt;&gt;"-")*(中間品リスト!$E$2:$E$1299&lt;&gt;"")),中間品リスト!$E$2:$E$1299),"")</f>
        <v/>
      </c>
      <c r="K150" s="400">
        <f>IF($J150="",0,COUNTIF(②釜工程入力!$S$5:$S$117,$J150)+COUNTIF(③スチコン工程入力!$S$5:$S$152,$J150)+COUNTIF(⑪ZEN工程入力!$S$6:$S$35,$J150)+COUNTIF(⑫ミキサー工程入力!$S$6:$S$65,$J150)+COUNTIF(⑬計量工程入力!$S$6:$S$65,$J150)+COUNTIF(⑭手動工程入力!$S$6:$S$47,$J150))</f>
        <v/>
      </c>
      <c r="L150" s="393">
        <f>IF($J150="",0,SUMIFS(②釜工程入力!$M$5:$M$117,②釜工程入力!$S$5:$S$117,$J150,②釜工程入力!$I$5:$I$117,"&gt;0")+SUMIFS(③スチコン工程入力!$M$5:$M$152,③スチコン工程入力!$S$5:$S$152,$J150,③スチコン工程入力!$I$5:$I$152,"&gt;0")+SUMIFS(⑪ZEN工程入力!$M$6:$M$35,⑪ZEN工程入力!$S$6:$S$35,$J150,⑪ZEN工程入力!$I$6:$I$35,"&gt;0")+SUMIFS(⑫ミキサー工程入力!$M$6:$M$65,⑫ミキサー工程入力!$S$6:$S$65,$J150,⑫ミキサー工程入力!$I$6:$I$65,"&gt;0")+SUMIFS(⑬計量工程入力!$M$6:$M$65,⑬計量工程入力!$S$6:$S$65,$J150,⑬計量工程入力!$I$6:$I$65,"&gt;0")+SUMIFS(⑭手動工程入力!$M$6:$M$47,⑭手動工程入力!$S$6:$S$47,$J150,⑭手動工程入力!$I$6:$I$47,"&gt;0"))</f>
        <v/>
      </c>
      <c r="M150" s="393">
        <f>IF($J150="",0,SUMIFS(②釜工程入力!$I$5:$I$117,②釜工程入力!$S$5:$S$117,$J150,②釜工程入力!$I$5:$I$117,"&gt;0",②釜工程入力!$M$5:$M$117,"&gt;0")+SUMIFS(③スチコン工程入力!$I$5:$I$152,③スチコン工程入力!$S$5:$S$152,$J150,③スチコン工程入力!$I$5:$I$152,"&gt;0",③スチコン工程入力!$M$5:$M$152,"&gt;0")+SUMIFS(⑪ZEN工程入力!$I$6:$I$35,⑪ZEN工程入力!$S$6:$S$35,$J150,⑪ZEN工程入力!$I$6:$I$35,"&gt;0",⑪ZEN工程入力!$M$6:$M$35,"&gt;0")+SUMIFS(⑫ミキサー工程入力!$I$6:$I$65,⑫ミキサー工程入力!$S$6:$S$65,$J150,⑫ミキサー工程入力!$I$6:$I$65,"&gt;0",⑫ミキサー工程入力!$M$6:$M$65,"&gt;0")+SUMIFS(⑬計量工程入力!$I$6:$I$65,⑬計量工程入力!$S$6:$S$65,$J150,⑬計量工程入力!$I$6:$I$65,"&gt;0",⑬計量工程入力!$M$6:$M$65,"&gt;0")+SUMIFS(⑭手動工程入力!$I$6:$I$47,⑭手動工程入力!$S$6:$S$47,$J150,⑭手動工程入力!$I$6:$I$47,"&gt;0",⑭手動工程入力!$M$6:$M$47,"&gt;0"))</f>
        <v/>
      </c>
      <c r="N150" s="393">
        <f>IF($J150="",0,SUMIFS(②釜工程入力!$M$5:$M$117,②釜工程入力!$S$5:$S$117,$J150,②釜工程入力!$J$5:$J$117,"&gt;0")-SUMIFS(②釜工程入力!$M$5:$M$117,②釜工程入力!$S$5:$S$117,$J150,②釜工程入力!$J$5:$J$117,"&gt;0",②釜工程入力!$I$5:$I$117,"&gt;0")+SUMIFS(③スチコン工程入力!$M$5:$M$152,③スチコン工程入力!$S$5:$S$152,$J150,③スチコン工程入力!$J$5:$J$152,"&gt;0")-SUMIFS(③スチコン工程入力!$M$5:$M$152,③スチコン工程入力!$S$5:$S$152,$J150,③スチコン工程入力!$J$5:$J$152,"&gt;0",③スチコン工程入力!$I$5:$I$152,"&gt;0")+SUMIFS(⑪ZEN工程入力!$M$6:$M$35,⑪ZEN工程入力!$S$6:$S$35,$J150,⑪ZEN工程入力!$J$6:$J$35,"&gt;0")-SUMIFS(⑪ZEN工程入力!$M$6:$M$35,⑪ZEN工程入力!$S$6:$S$35,$J150,⑪ZEN工程入力!$J$6:$J$35,"&gt;0",⑪ZEN工程入力!$I$6:$I$35,"&gt;0")+SUMIFS(⑫ミキサー工程入力!$M$6:$M$65,⑫ミキサー工程入力!$S$6:$S$65,$J150,⑫ミキサー工程入力!$J$6:$J$65,"&gt;0")-SUMIFS(⑫ミキサー工程入力!$M$6:$M$65,⑫ミキサー工程入力!$S$6:$S$65,$J150,⑫ミキサー工程入力!$J$6:$J$65,"&gt;0",⑫ミキサー工程入力!$I$6:$I$65,"&gt;0")+SUMIFS(⑬計量工程入力!$M$6:$M$65,⑬計量工程入力!$S$6:$S$65,$J150,⑬計量工程入力!$J$6:$J$65,"&gt;0")-SUMIFS(⑬計量工程入力!$M$6:$M$65,⑬計量工程入力!$S$6:$S$65,$J150,⑬計量工程入力!$J$6:$J$65,"&gt;0",⑬計量工程入力!$I$6:$I$65,"&gt;0")+SUMIFS(⑭手動工程入力!$M$6:$M$47,⑭手動工程入力!$S$6:$S$47,$J150,⑭手動工程入力!$J$6:$J$47,"&gt;0")-SUMIFS(⑭手動工程入力!$M$6:$M$47,⑭手動工程入力!$S$6:$S$47,$J150,⑭手動工程入力!$J$6:$J$47,"&gt;0",⑭手動工程入力!$I$6:$I$47,"&gt;0"))</f>
        <v/>
      </c>
      <c r="O150" s="393">
        <f>IF($J150="",0,SUMIFS(②釜工程入力!$J$5:$J$117,②釜工程入力!$S$5:$S$117,$J150,②釜工程入力!$J$5:$J$117,"&gt;0",②釜工程入力!$M$5:$M$117,"&gt;0")-SUMIFS(②釜工程入力!$J$5:$J$117,②釜工程入力!$S$5:$S$117,$J150,②釜工程入力!$J$5:$J$117,"&gt;0",②釜工程入力!$I$5:$I$117,"&gt;0",②釜工程入力!$M$5:$M$117,"&gt;0")+SUMIFS(③スチコン工程入力!$J$5:$J$152,③スチコン工程入力!$S$5:$S$152,$J150,③スチコン工程入力!$J$5:$J$152,"&gt;0",③スチコン工程入力!$M$5:$M$152,"&gt;0")-SUMIFS(③スチコン工程入力!$J$5:$J$152,③スチコン工程入力!$S$5:$S$152,$J150,③スチコン工程入力!$J$5:$J$152,"&gt;0",③スチコン工程入力!$I$5:$I$152,"&gt;0",③スチコン工程入力!$M$5:$M$152,"&gt;0")+SUMIFS(⑪ZEN工程入力!$J$6:$J$35,⑪ZEN工程入力!$S$6:$S$35,$J150,⑪ZEN工程入力!$J$6:$J$35,"&gt;0",⑪ZEN工程入力!$M$6:$M$35,"&gt;0")-SUMIFS(⑪ZEN工程入力!$J$6:$J$35,⑪ZEN工程入力!$S$6:$S$35,$J150,⑪ZEN工程入力!$J$6:$J$35,"&gt;0",⑪ZEN工程入力!$I$6:$I$35,"&gt;0",⑪ZEN工程入力!$M$6:$M$35,"&gt;0")+SUMIFS(⑫ミキサー工程入力!$J$6:$J$65,⑫ミキサー工程入力!$S$6:$S$65,$J150,⑫ミキサー工程入力!$J$6:$J$65,"&gt;0",⑫ミキサー工程入力!$M$6:$M$65,"&gt;0")-SUMIFS(⑫ミキサー工程入力!$J$6:$J$65,⑫ミキサー工程入力!$S$6:$S$65,$J150,⑫ミキサー工程入力!$J$6:$J$65,"&gt;0",⑫ミキサー工程入力!$I$6:$I$65,"&gt;0",⑫ミキサー工程入力!$M$6:$M$65,"&gt;0")+SUMIFS(⑬計量工程入力!$J$6:$J$65,⑬計量工程入力!$S$6:$S$65,$J150,⑬計量工程入力!$J$6:$J$65,"&gt;0",⑬計量工程入力!$M$6:$M$65,"&gt;0")-SUMIFS(⑬計量工程入力!$J$6:$J$65,⑬計量工程入力!$S$6:$S$65,$J150,⑬計量工程入力!$J$6:$J$65,"&gt;0",⑬計量工程入力!$I$6:$I$65,"&gt;0",⑬計量工程入力!$M$6:$M$65,"&gt;0")+SUMIFS(⑭手動工程入力!$J$6:$J$47,⑭手動工程入力!$S$6:$S$47,$J150,⑭手動工程入力!$J$6:$J$47,"&gt;0",⑭手動工程入力!$M$6:$M$47,"&gt;0")-SUMIFS(⑭手動工程入力!$J$6:$J$47,⑭手動工程入力!$S$6:$S$47,$J150,⑭手動工程入力!$J$6:$J$47,"&gt;0",⑭手動工程入力!$I$6:$I$47,"&gt;0",⑭手動工程入力!$M$6:$M$47,"&gt;0"))</f>
        <v/>
      </c>
      <c r="P150" s="392" t="n"/>
    </row>
    <row r="151">
      <c r="A151" s="392" t="n">
        <v>147</v>
      </c>
      <c r="B151" s="392" t="n"/>
      <c r="C151" s="392" t="n"/>
      <c r="D151" s="392" t="n"/>
      <c r="E151" s="392" t="n"/>
      <c r="F151" s="394" t="n"/>
      <c r="G151" s="392" t="n"/>
      <c r="H151" s="604">
        <f>IFERROR(IF(AND($K151&gt;0,ISNUMBER(IF(OR($D151="g",$D151="ｇ"),IF($M151&gt;0,$L151/$M151/1000,""),IF($D151="kg",IF($M151&gt;0,$L151/$M151,""),IF($D151="",IF($M151&gt;0,$L151/$M151/1000,IF($O151&gt;0,$N151/$O151,"")),IF($O151&gt;0,$N151/$O151,"")))))),IF(OR($D151="g",$D151="ｇ"),IF($M151&gt;0,$L151/$M151/1000,""),IF($D151="kg",IF($M151&gt;0,$L151/$M151,""),IF($D151="",IF($M151&gt;0,$L151/$M151/1000,IF($O151&gt;0,$N151/$O151,"")),IF($O151&gt;0,$N151/$O151,"")))),IF($F151="",IF(OR($E151="",$E151="⑩盛付梱包工程入力"),"",IF(OR($D151="g",$D151="ｇ"),INDEX(⑰工程労務費一覧!$N$5:$N$11,MATCH($E151,⑰工程労務費一覧!$K$5:$K$11,0))/1000,IF($D151="kg",INDEX(⑰工程労務費一覧!$N$5:$N$11,MATCH($E151,⑰工程労務費一覧!$K$5:$K$11,0)),IF(OR($D151="個",$D151="切",$D151="本",$D151="枚",$D151="尾"),IF($E151="⑬計量工程入力","",INDEX(⑰工程労務費一覧!$P$5:$P$11,MATCH($E151,⑰工程労務費一覧!$K$5:$K$11,0))),IF(AND($D151="",OR($E151="②釜工程入力",$E151="③スチコン工程入力")),INDEX(⑰工程労務費一覧!$N$5:$N$11,MATCH($E151,⑰工程労務費一覧!$K$5:$K$11,0))/1000,""))))),IF(OR($D151="g",$D151="ｇ"),INDEX(⑰工程労務費一覧!$H$5:$H$753,MATCH($F151,⑰工程労務費一覧!$D$5:$D$753,0))/1000,IF($D151="kg",INDEX(⑰工程労務費一覧!$H$5:$H$753,MATCH($F151,⑰工程労務費一覧!$D$5:$D$753,0)),INDEX(⑰工程労務費一覧!$I$5:$I$753,MATCH($F151,⑰工程労務費一覧!$D$5:$D$753,0)))))),"")</f>
        <v/>
      </c>
      <c r="I151" s="392">
        <f>IF($K151&gt;0,IF(ISNUMBER(IF(OR($D151="g",$D151="ｇ"),IF($M151&gt;0,$L151/$M151/1000,""),IF($D151="kg",IF($M151&gt;0,$L151/$M151,""),IF($D151="",IF($M151&gt;0,$L151/$M151/1000,IF($O151&gt;0,$N151/$O151,"")),IF($O151&gt;0,$N151/$O151,""))))),IF($D151="",IF($M151&gt;0,"◎ JAN紐づけ(g扱い)","◎ JAN紐づけ(個扱い)"),"◎ JAN紐づけ"),"△ JAN紐づけ済・実績不足→仮計算"),IF($F151="",IF(ISNUMBER($H151),IF($D151="","⑤ 工程平均で仮計算(g扱い)","⑤ 工程平均で仮計算"),IF($E151="⑩盛付梱包工程入力","⑥ 盛り込み(⑳F列で計上)",IF(AND($E151="⑬計量工程入力",OR($D151="個",$D151="切",$D151="本",$D151="枚",$D151="尾")),"① 未紐づけ(カット個単位は仮単価なし)","① 未紐づけ"))),IF(NOT(ISNUMBER($H151)),"② 工程側に単価なし",IF($D151="","③ 単位未設定(個で計算)","④ OK"))))</f>
        <v/>
      </c>
      <c r="J151" s="399">
        <f>IFERROR(LOOKUP(2,1/((中間品リスト!$F$2:$F$1299=$B151)*(中間品リスト!$E$2:$E$1299&lt;&gt;"-")*(中間品リスト!$E$2:$E$1299&lt;&gt;"")),中間品リスト!$E$2:$E$1299),"")</f>
        <v/>
      </c>
      <c r="K151" s="400">
        <f>IF($J151="",0,COUNTIF(②釜工程入力!$S$5:$S$117,$J151)+COUNTIF(③スチコン工程入力!$S$5:$S$152,$J151)+COUNTIF(⑪ZEN工程入力!$S$6:$S$35,$J151)+COUNTIF(⑫ミキサー工程入力!$S$6:$S$65,$J151)+COUNTIF(⑬計量工程入力!$S$6:$S$65,$J151)+COUNTIF(⑭手動工程入力!$S$6:$S$47,$J151))</f>
        <v/>
      </c>
      <c r="L151" s="393">
        <f>IF($J151="",0,SUMIFS(②釜工程入力!$M$5:$M$117,②釜工程入力!$S$5:$S$117,$J151,②釜工程入力!$I$5:$I$117,"&gt;0")+SUMIFS(③スチコン工程入力!$M$5:$M$152,③スチコン工程入力!$S$5:$S$152,$J151,③スチコン工程入力!$I$5:$I$152,"&gt;0")+SUMIFS(⑪ZEN工程入力!$M$6:$M$35,⑪ZEN工程入力!$S$6:$S$35,$J151,⑪ZEN工程入力!$I$6:$I$35,"&gt;0")+SUMIFS(⑫ミキサー工程入力!$M$6:$M$65,⑫ミキサー工程入力!$S$6:$S$65,$J151,⑫ミキサー工程入力!$I$6:$I$65,"&gt;0")+SUMIFS(⑬計量工程入力!$M$6:$M$65,⑬計量工程入力!$S$6:$S$65,$J151,⑬計量工程入力!$I$6:$I$65,"&gt;0")+SUMIFS(⑭手動工程入力!$M$6:$M$47,⑭手動工程入力!$S$6:$S$47,$J151,⑭手動工程入力!$I$6:$I$47,"&gt;0"))</f>
        <v/>
      </c>
      <c r="M151" s="393">
        <f>IF($J151="",0,SUMIFS(②釜工程入力!$I$5:$I$117,②釜工程入力!$S$5:$S$117,$J151,②釜工程入力!$I$5:$I$117,"&gt;0",②釜工程入力!$M$5:$M$117,"&gt;0")+SUMIFS(③スチコン工程入力!$I$5:$I$152,③スチコン工程入力!$S$5:$S$152,$J151,③スチコン工程入力!$I$5:$I$152,"&gt;0",③スチコン工程入力!$M$5:$M$152,"&gt;0")+SUMIFS(⑪ZEN工程入力!$I$6:$I$35,⑪ZEN工程入力!$S$6:$S$35,$J151,⑪ZEN工程入力!$I$6:$I$35,"&gt;0",⑪ZEN工程入力!$M$6:$M$35,"&gt;0")+SUMIFS(⑫ミキサー工程入力!$I$6:$I$65,⑫ミキサー工程入力!$S$6:$S$65,$J151,⑫ミキサー工程入力!$I$6:$I$65,"&gt;0",⑫ミキサー工程入力!$M$6:$M$65,"&gt;0")+SUMIFS(⑬計量工程入力!$I$6:$I$65,⑬計量工程入力!$S$6:$S$65,$J151,⑬計量工程入力!$I$6:$I$65,"&gt;0",⑬計量工程入力!$M$6:$M$65,"&gt;0")+SUMIFS(⑭手動工程入力!$I$6:$I$47,⑭手動工程入力!$S$6:$S$47,$J151,⑭手動工程入力!$I$6:$I$47,"&gt;0",⑭手動工程入力!$M$6:$M$47,"&gt;0"))</f>
        <v/>
      </c>
      <c r="N151" s="393">
        <f>IF($J151="",0,SUMIFS(②釜工程入力!$M$5:$M$117,②釜工程入力!$S$5:$S$117,$J151,②釜工程入力!$J$5:$J$117,"&gt;0")-SUMIFS(②釜工程入力!$M$5:$M$117,②釜工程入力!$S$5:$S$117,$J151,②釜工程入力!$J$5:$J$117,"&gt;0",②釜工程入力!$I$5:$I$117,"&gt;0")+SUMIFS(③スチコン工程入力!$M$5:$M$152,③スチコン工程入力!$S$5:$S$152,$J151,③スチコン工程入力!$J$5:$J$152,"&gt;0")-SUMIFS(③スチコン工程入力!$M$5:$M$152,③スチコン工程入力!$S$5:$S$152,$J151,③スチコン工程入力!$J$5:$J$152,"&gt;0",③スチコン工程入力!$I$5:$I$152,"&gt;0")+SUMIFS(⑪ZEN工程入力!$M$6:$M$35,⑪ZEN工程入力!$S$6:$S$35,$J151,⑪ZEN工程入力!$J$6:$J$35,"&gt;0")-SUMIFS(⑪ZEN工程入力!$M$6:$M$35,⑪ZEN工程入力!$S$6:$S$35,$J151,⑪ZEN工程入力!$J$6:$J$35,"&gt;0",⑪ZEN工程入力!$I$6:$I$35,"&gt;0")+SUMIFS(⑫ミキサー工程入力!$M$6:$M$65,⑫ミキサー工程入力!$S$6:$S$65,$J151,⑫ミキサー工程入力!$J$6:$J$65,"&gt;0")-SUMIFS(⑫ミキサー工程入力!$M$6:$M$65,⑫ミキサー工程入力!$S$6:$S$65,$J151,⑫ミキサー工程入力!$J$6:$J$65,"&gt;0",⑫ミキサー工程入力!$I$6:$I$65,"&gt;0")+SUMIFS(⑬計量工程入力!$M$6:$M$65,⑬計量工程入力!$S$6:$S$65,$J151,⑬計量工程入力!$J$6:$J$65,"&gt;0")-SUMIFS(⑬計量工程入力!$M$6:$M$65,⑬計量工程入力!$S$6:$S$65,$J151,⑬計量工程入力!$J$6:$J$65,"&gt;0",⑬計量工程入力!$I$6:$I$65,"&gt;0")+SUMIFS(⑭手動工程入力!$M$6:$M$47,⑭手動工程入力!$S$6:$S$47,$J151,⑭手動工程入力!$J$6:$J$47,"&gt;0")-SUMIFS(⑭手動工程入力!$M$6:$M$47,⑭手動工程入力!$S$6:$S$47,$J151,⑭手動工程入力!$J$6:$J$47,"&gt;0",⑭手動工程入力!$I$6:$I$47,"&gt;0"))</f>
        <v/>
      </c>
      <c r="O151" s="393">
        <f>IF($J151="",0,SUMIFS(②釜工程入力!$J$5:$J$117,②釜工程入力!$S$5:$S$117,$J151,②釜工程入力!$J$5:$J$117,"&gt;0",②釜工程入力!$M$5:$M$117,"&gt;0")-SUMIFS(②釜工程入力!$J$5:$J$117,②釜工程入力!$S$5:$S$117,$J151,②釜工程入力!$J$5:$J$117,"&gt;0",②釜工程入力!$I$5:$I$117,"&gt;0",②釜工程入力!$M$5:$M$117,"&gt;0")+SUMIFS(③スチコン工程入力!$J$5:$J$152,③スチコン工程入力!$S$5:$S$152,$J151,③スチコン工程入力!$J$5:$J$152,"&gt;0",③スチコン工程入力!$M$5:$M$152,"&gt;0")-SUMIFS(③スチコン工程入力!$J$5:$J$152,③スチコン工程入力!$S$5:$S$152,$J151,③スチコン工程入力!$J$5:$J$152,"&gt;0",③スチコン工程入力!$I$5:$I$152,"&gt;0",③スチコン工程入力!$M$5:$M$152,"&gt;0")+SUMIFS(⑪ZEN工程入力!$J$6:$J$35,⑪ZEN工程入力!$S$6:$S$35,$J151,⑪ZEN工程入力!$J$6:$J$35,"&gt;0",⑪ZEN工程入力!$M$6:$M$35,"&gt;0")-SUMIFS(⑪ZEN工程入力!$J$6:$J$35,⑪ZEN工程入力!$S$6:$S$35,$J151,⑪ZEN工程入力!$J$6:$J$35,"&gt;0",⑪ZEN工程入力!$I$6:$I$35,"&gt;0",⑪ZEN工程入力!$M$6:$M$35,"&gt;0")+SUMIFS(⑫ミキサー工程入力!$J$6:$J$65,⑫ミキサー工程入力!$S$6:$S$65,$J151,⑫ミキサー工程入力!$J$6:$J$65,"&gt;0",⑫ミキサー工程入力!$M$6:$M$65,"&gt;0")-SUMIFS(⑫ミキサー工程入力!$J$6:$J$65,⑫ミキサー工程入力!$S$6:$S$65,$J151,⑫ミキサー工程入力!$J$6:$J$65,"&gt;0",⑫ミキサー工程入力!$I$6:$I$65,"&gt;0",⑫ミキサー工程入力!$M$6:$M$65,"&gt;0")+SUMIFS(⑬計量工程入力!$J$6:$J$65,⑬計量工程入力!$S$6:$S$65,$J151,⑬計量工程入力!$J$6:$J$65,"&gt;0",⑬計量工程入力!$M$6:$M$65,"&gt;0")-SUMIFS(⑬計量工程入力!$J$6:$J$65,⑬計量工程入力!$S$6:$S$65,$J151,⑬計量工程入力!$J$6:$J$65,"&gt;0",⑬計量工程入力!$I$6:$I$65,"&gt;0",⑬計量工程入力!$M$6:$M$65,"&gt;0")+SUMIFS(⑭手動工程入力!$J$6:$J$47,⑭手動工程入力!$S$6:$S$47,$J151,⑭手動工程入力!$J$6:$J$47,"&gt;0",⑭手動工程入力!$M$6:$M$47,"&gt;0")-SUMIFS(⑭手動工程入力!$J$6:$J$47,⑭手動工程入力!$S$6:$S$47,$J151,⑭手動工程入力!$J$6:$J$47,"&gt;0",⑭手動工程入力!$I$6:$I$47,"&gt;0",⑭手動工程入力!$M$6:$M$47,"&gt;0"))</f>
        <v/>
      </c>
      <c r="P151" s="392" t="n"/>
    </row>
    <row r="152">
      <c r="A152" s="392" t="n">
        <v>148</v>
      </c>
      <c r="B152" s="392" t="n"/>
      <c r="C152" s="392" t="n"/>
      <c r="D152" s="392" t="n"/>
      <c r="E152" s="392" t="n"/>
      <c r="F152" s="394" t="n"/>
      <c r="G152" s="392" t="n"/>
      <c r="H152" s="604">
        <f>IFERROR(IF(AND($K152&gt;0,ISNUMBER(IF(OR($D152="g",$D152="ｇ"),IF($M152&gt;0,$L152/$M152/1000,""),IF($D152="kg",IF($M152&gt;0,$L152/$M152,""),IF($D152="",IF($M152&gt;0,$L152/$M152/1000,IF($O152&gt;0,$N152/$O152,"")),IF($O152&gt;0,$N152/$O152,"")))))),IF(OR($D152="g",$D152="ｇ"),IF($M152&gt;0,$L152/$M152/1000,""),IF($D152="kg",IF($M152&gt;0,$L152/$M152,""),IF($D152="",IF($M152&gt;0,$L152/$M152/1000,IF($O152&gt;0,$N152/$O152,"")),IF($O152&gt;0,$N152/$O152,"")))),IF($F152="",IF(OR($E152="",$E152="⑩盛付梱包工程入力"),"",IF(OR($D152="g",$D152="ｇ"),INDEX(⑰工程労務費一覧!$N$5:$N$11,MATCH($E152,⑰工程労務費一覧!$K$5:$K$11,0))/1000,IF($D152="kg",INDEX(⑰工程労務費一覧!$N$5:$N$11,MATCH($E152,⑰工程労務費一覧!$K$5:$K$11,0)),IF(OR($D152="個",$D152="切",$D152="本",$D152="枚",$D152="尾"),IF($E152="⑬計量工程入力","",INDEX(⑰工程労務費一覧!$P$5:$P$11,MATCH($E152,⑰工程労務費一覧!$K$5:$K$11,0))),IF(AND($D152="",OR($E152="②釜工程入力",$E152="③スチコン工程入力")),INDEX(⑰工程労務費一覧!$N$5:$N$11,MATCH($E152,⑰工程労務費一覧!$K$5:$K$11,0))/1000,""))))),IF(OR($D152="g",$D152="ｇ"),INDEX(⑰工程労務費一覧!$H$5:$H$753,MATCH($F152,⑰工程労務費一覧!$D$5:$D$753,0))/1000,IF($D152="kg",INDEX(⑰工程労務費一覧!$H$5:$H$753,MATCH($F152,⑰工程労務費一覧!$D$5:$D$753,0)),INDEX(⑰工程労務費一覧!$I$5:$I$753,MATCH($F152,⑰工程労務費一覧!$D$5:$D$753,0)))))),"")</f>
        <v/>
      </c>
      <c r="I152" s="392">
        <f>IF($K152&gt;0,IF(ISNUMBER(IF(OR($D152="g",$D152="ｇ"),IF($M152&gt;0,$L152/$M152/1000,""),IF($D152="kg",IF($M152&gt;0,$L152/$M152,""),IF($D152="",IF($M152&gt;0,$L152/$M152/1000,IF($O152&gt;0,$N152/$O152,"")),IF($O152&gt;0,$N152/$O152,""))))),IF($D152="",IF($M152&gt;0,"◎ JAN紐づけ(g扱い)","◎ JAN紐づけ(個扱い)"),"◎ JAN紐づけ"),"△ JAN紐づけ済・実績不足→仮計算"),IF($F152="",IF(ISNUMBER($H152),IF($D152="","⑤ 工程平均で仮計算(g扱い)","⑤ 工程平均で仮計算"),IF($E152="⑩盛付梱包工程入力","⑥ 盛り込み(⑳F列で計上)",IF(AND($E152="⑬計量工程入力",OR($D152="個",$D152="切",$D152="本",$D152="枚",$D152="尾")),"① 未紐づけ(カット個単位は仮単価なし)","① 未紐づけ"))),IF(NOT(ISNUMBER($H152)),"② 工程側に単価なし",IF($D152="","③ 単位未設定(個で計算)","④ OK"))))</f>
        <v/>
      </c>
      <c r="J152" s="399">
        <f>IFERROR(LOOKUP(2,1/((中間品リスト!$F$2:$F$1299=$B152)*(中間品リスト!$E$2:$E$1299&lt;&gt;"-")*(中間品リスト!$E$2:$E$1299&lt;&gt;"")),中間品リスト!$E$2:$E$1299),"")</f>
        <v/>
      </c>
      <c r="K152" s="400">
        <f>IF($J152="",0,COUNTIF(②釜工程入力!$S$5:$S$117,$J152)+COUNTIF(③スチコン工程入力!$S$5:$S$152,$J152)+COUNTIF(⑪ZEN工程入力!$S$6:$S$35,$J152)+COUNTIF(⑫ミキサー工程入力!$S$6:$S$65,$J152)+COUNTIF(⑬計量工程入力!$S$6:$S$65,$J152)+COUNTIF(⑭手動工程入力!$S$6:$S$47,$J152))</f>
        <v/>
      </c>
      <c r="L152" s="393">
        <f>IF($J152="",0,SUMIFS(②釜工程入力!$M$5:$M$117,②釜工程入力!$S$5:$S$117,$J152,②釜工程入力!$I$5:$I$117,"&gt;0")+SUMIFS(③スチコン工程入力!$M$5:$M$152,③スチコン工程入力!$S$5:$S$152,$J152,③スチコン工程入力!$I$5:$I$152,"&gt;0")+SUMIFS(⑪ZEN工程入力!$M$6:$M$35,⑪ZEN工程入力!$S$6:$S$35,$J152,⑪ZEN工程入力!$I$6:$I$35,"&gt;0")+SUMIFS(⑫ミキサー工程入力!$M$6:$M$65,⑫ミキサー工程入力!$S$6:$S$65,$J152,⑫ミキサー工程入力!$I$6:$I$65,"&gt;0")+SUMIFS(⑬計量工程入力!$M$6:$M$65,⑬計量工程入力!$S$6:$S$65,$J152,⑬計量工程入力!$I$6:$I$65,"&gt;0")+SUMIFS(⑭手動工程入力!$M$6:$M$47,⑭手動工程入力!$S$6:$S$47,$J152,⑭手動工程入力!$I$6:$I$47,"&gt;0"))</f>
        <v/>
      </c>
      <c r="M152" s="393">
        <f>IF($J152="",0,SUMIFS(②釜工程入力!$I$5:$I$117,②釜工程入力!$S$5:$S$117,$J152,②釜工程入力!$I$5:$I$117,"&gt;0",②釜工程入力!$M$5:$M$117,"&gt;0")+SUMIFS(③スチコン工程入力!$I$5:$I$152,③スチコン工程入力!$S$5:$S$152,$J152,③スチコン工程入力!$I$5:$I$152,"&gt;0",③スチコン工程入力!$M$5:$M$152,"&gt;0")+SUMIFS(⑪ZEN工程入力!$I$6:$I$35,⑪ZEN工程入力!$S$6:$S$35,$J152,⑪ZEN工程入力!$I$6:$I$35,"&gt;0",⑪ZEN工程入力!$M$6:$M$35,"&gt;0")+SUMIFS(⑫ミキサー工程入力!$I$6:$I$65,⑫ミキサー工程入力!$S$6:$S$65,$J152,⑫ミキサー工程入力!$I$6:$I$65,"&gt;0",⑫ミキサー工程入力!$M$6:$M$65,"&gt;0")+SUMIFS(⑬計量工程入力!$I$6:$I$65,⑬計量工程入力!$S$6:$S$65,$J152,⑬計量工程入力!$I$6:$I$65,"&gt;0",⑬計量工程入力!$M$6:$M$65,"&gt;0")+SUMIFS(⑭手動工程入力!$I$6:$I$47,⑭手動工程入力!$S$6:$S$47,$J152,⑭手動工程入力!$I$6:$I$47,"&gt;0",⑭手動工程入力!$M$6:$M$47,"&gt;0"))</f>
        <v/>
      </c>
      <c r="N152" s="393">
        <f>IF($J152="",0,SUMIFS(②釜工程入力!$M$5:$M$117,②釜工程入力!$S$5:$S$117,$J152,②釜工程入力!$J$5:$J$117,"&gt;0")-SUMIFS(②釜工程入力!$M$5:$M$117,②釜工程入力!$S$5:$S$117,$J152,②釜工程入力!$J$5:$J$117,"&gt;0",②釜工程入力!$I$5:$I$117,"&gt;0")+SUMIFS(③スチコン工程入力!$M$5:$M$152,③スチコン工程入力!$S$5:$S$152,$J152,③スチコン工程入力!$J$5:$J$152,"&gt;0")-SUMIFS(③スチコン工程入力!$M$5:$M$152,③スチコン工程入力!$S$5:$S$152,$J152,③スチコン工程入力!$J$5:$J$152,"&gt;0",③スチコン工程入力!$I$5:$I$152,"&gt;0")+SUMIFS(⑪ZEN工程入力!$M$6:$M$35,⑪ZEN工程入力!$S$6:$S$35,$J152,⑪ZEN工程入力!$J$6:$J$35,"&gt;0")-SUMIFS(⑪ZEN工程入力!$M$6:$M$35,⑪ZEN工程入力!$S$6:$S$35,$J152,⑪ZEN工程入力!$J$6:$J$35,"&gt;0",⑪ZEN工程入力!$I$6:$I$35,"&gt;0")+SUMIFS(⑫ミキサー工程入力!$M$6:$M$65,⑫ミキサー工程入力!$S$6:$S$65,$J152,⑫ミキサー工程入力!$J$6:$J$65,"&gt;0")-SUMIFS(⑫ミキサー工程入力!$M$6:$M$65,⑫ミキサー工程入力!$S$6:$S$65,$J152,⑫ミキサー工程入力!$J$6:$J$65,"&gt;0",⑫ミキサー工程入力!$I$6:$I$65,"&gt;0")+SUMIFS(⑬計量工程入力!$M$6:$M$65,⑬計量工程入力!$S$6:$S$65,$J152,⑬計量工程入力!$J$6:$J$65,"&gt;0")-SUMIFS(⑬計量工程入力!$M$6:$M$65,⑬計量工程入力!$S$6:$S$65,$J152,⑬計量工程入力!$J$6:$J$65,"&gt;0",⑬計量工程入力!$I$6:$I$65,"&gt;0")+SUMIFS(⑭手動工程入力!$M$6:$M$47,⑭手動工程入力!$S$6:$S$47,$J152,⑭手動工程入力!$J$6:$J$47,"&gt;0")-SUMIFS(⑭手動工程入力!$M$6:$M$47,⑭手動工程入力!$S$6:$S$47,$J152,⑭手動工程入力!$J$6:$J$47,"&gt;0",⑭手動工程入力!$I$6:$I$47,"&gt;0"))</f>
        <v/>
      </c>
      <c r="O152" s="393">
        <f>IF($J152="",0,SUMIFS(②釜工程入力!$J$5:$J$117,②釜工程入力!$S$5:$S$117,$J152,②釜工程入力!$J$5:$J$117,"&gt;0",②釜工程入力!$M$5:$M$117,"&gt;0")-SUMIFS(②釜工程入力!$J$5:$J$117,②釜工程入力!$S$5:$S$117,$J152,②釜工程入力!$J$5:$J$117,"&gt;0",②釜工程入力!$I$5:$I$117,"&gt;0",②釜工程入力!$M$5:$M$117,"&gt;0")+SUMIFS(③スチコン工程入力!$J$5:$J$152,③スチコン工程入力!$S$5:$S$152,$J152,③スチコン工程入力!$J$5:$J$152,"&gt;0",③スチコン工程入力!$M$5:$M$152,"&gt;0")-SUMIFS(③スチコン工程入力!$J$5:$J$152,③スチコン工程入力!$S$5:$S$152,$J152,③スチコン工程入力!$J$5:$J$152,"&gt;0",③スチコン工程入力!$I$5:$I$152,"&gt;0",③スチコン工程入力!$M$5:$M$152,"&gt;0")+SUMIFS(⑪ZEN工程入力!$J$6:$J$35,⑪ZEN工程入力!$S$6:$S$35,$J152,⑪ZEN工程入力!$J$6:$J$35,"&gt;0",⑪ZEN工程入力!$M$6:$M$35,"&gt;0")-SUMIFS(⑪ZEN工程入力!$J$6:$J$35,⑪ZEN工程入力!$S$6:$S$35,$J152,⑪ZEN工程入力!$J$6:$J$35,"&gt;0",⑪ZEN工程入力!$I$6:$I$35,"&gt;0",⑪ZEN工程入力!$M$6:$M$35,"&gt;0")+SUMIFS(⑫ミキサー工程入力!$J$6:$J$65,⑫ミキサー工程入力!$S$6:$S$65,$J152,⑫ミキサー工程入力!$J$6:$J$65,"&gt;0",⑫ミキサー工程入力!$M$6:$M$65,"&gt;0")-SUMIFS(⑫ミキサー工程入力!$J$6:$J$65,⑫ミキサー工程入力!$S$6:$S$65,$J152,⑫ミキサー工程入力!$J$6:$J$65,"&gt;0",⑫ミキサー工程入力!$I$6:$I$65,"&gt;0",⑫ミキサー工程入力!$M$6:$M$65,"&gt;0")+SUMIFS(⑬計量工程入力!$J$6:$J$65,⑬計量工程入力!$S$6:$S$65,$J152,⑬計量工程入力!$J$6:$J$65,"&gt;0",⑬計量工程入力!$M$6:$M$65,"&gt;0")-SUMIFS(⑬計量工程入力!$J$6:$J$65,⑬計量工程入力!$S$6:$S$65,$J152,⑬計量工程入力!$J$6:$J$65,"&gt;0",⑬計量工程入力!$I$6:$I$65,"&gt;0",⑬計量工程入力!$M$6:$M$65,"&gt;0")+SUMIFS(⑭手動工程入力!$J$6:$J$47,⑭手動工程入力!$S$6:$S$47,$J152,⑭手動工程入力!$J$6:$J$47,"&gt;0",⑭手動工程入力!$M$6:$M$47,"&gt;0")-SUMIFS(⑭手動工程入力!$J$6:$J$47,⑭手動工程入力!$S$6:$S$47,$J152,⑭手動工程入力!$J$6:$J$47,"&gt;0",⑭手動工程入力!$I$6:$I$47,"&gt;0",⑭手動工程入力!$M$6:$M$47,"&gt;0"))</f>
        <v/>
      </c>
      <c r="P152" s="392" t="n"/>
    </row>
    <row r="153">
      <c r="A153" s="392" t="n">
        <v>149</v>
      </c>
      <c r="B153" s="392" t="n"/>
      <c r="C153" s="392" t="n"/>
      <c r="D153" s="392" t="n"/>
      <c r="E153" s="392" t="n"/>
      <c r="F153" s="394" t="n"/>
      <c r="G153" s="392" t="n"/>
      <c r="H153" s="604">
        <f>IFERROR(IF(AND($K153&gt;0,ISNUMBER(IF(OR($D153="g",$D153="ｇ"),IF($M153&gt;0,$L153/$M153/1000,""),IF($D153="kg",IF($M153&gt;0,$L153/$M153,""),IF($D153="",IF($M153&gt;0,$L153/$M153/1000,IF($O153&gt;0,$N153/$O153,"")),IF($O153&gt;0,$N153/$O153,"")))))),IF(OR($D153="g",$D153="ｇ"),IF($M153&gt;0,$L153/$M153/1000,""),IF($D153="kg",IF($M153&gt;0,$L153/$M153,""),IF($D153="",IF($M153&gt;0,$L153/$M153/1000,IF($O153&gt;0,$N153/$O153,"")),IF($O153&gt;0,$N153/$O153,"")))),IF($F153="",IF(OR($E153="",$E153="⑩盛付梱包工程入力"),"",IF(OR($D153="g",$D153="ｇ"),INDEX(⑰工程労務費一覧!$N$5:$N$11,MATCH($E153,⑰工程労務費一覧!$K$5:$K$11,0))/1000,IF($D153="kg",INDEX(⑰工程労務費一覧!$N$5:$N$11,MATCH($E153,⑰工程労務費一覧!$K$5:$K$11,0)),IF(OR($D153="個",$D153="切",$D153="本",$D153="枚",$D153="尾"),IF($E153="⑬計量工程入力","",INDEX(⑰工程労務費一覧!$P$5:$P$11,MATCH($E153,⑰工程労務費一覧!$K$5:$K$11,0))),IF(AND($D153="",OR($E153="②釜工程入力",$E153="③スチコン工程入力")),INDEX(⑰工程労務費一覧!$N$5:$N$11,MATCH($E153,⑰工程労務費一覧!$K$5:$K$11,0))/1000,""))))),IF(OR($D153="g",$D153="ｇ"),INDEX(⑰工程労務費一覧!$H$5:$H$753,MATCH($F153,⑰工程労務費一覧!$D$5:$D$753,0))/1000,IF($D153="kg",INDEX(⑰工程労務費一覧!$H$5:$H$753,MATCH($F153,⑰工程労務費一覧!$D$5:$D$753,0)),INDEX(⑰工程労務費一覧!$I$5:$I$753,MATCH($F153,⑰工程労務費一覧!$D$5:$D$753,0)))))),"")</f>
        <v/>
      </c>
      <c r="I153" s="392">
        <f>IF($K153&gt;0,IF(ISNUMBER(IF(OR($D153="g",$D153="ｇ"),IF($M153&gt;0,$L153/$M153/1000,""),IF($D153="kg",IF($M153&gt;0,$L153/$M153,""),IF($D153="",IF($M153&gt;0,$L153/$M153/1000,IF($O153&gt;0,$N153/$O153,"")),IF($O153&gt;0,$N153/$O153,""))))),IF($D153="",IF($M153&gt;0,"◎ JAN紐づけ(g扱い)","◎ JAN紐づけ(個扱い)"),"◎ JAN紐づけ"),"△ JAN紐づけ済・実績不足→仮計算"),IF($F153="",IF(ISNUMBER($H153),IF($D153="","⑤ 工程平均で仮計算(g扱い)","⑤ 工程平均で仮計算"),IF($E153="⑩盛付梱包工程入力","⑥ 盛り込み(⑳F列で計上)",IF(AND($E153="⑬計量工程入力",OR($D153="個",$D153="切",$D153="本",$D153="枚",$D153="尾")),"① 未紐づけ(カット個単位は仮単価なし)","① 未紐づけ"))),IF(NOT(ISNUMBER($H153)),"② 工程側に単価なし",IF($D153="","③ 単位未設定(個で計算)","④ OK"))))</f>
        <v/>
      </c>
      <c r="J153" s="399">
        <f>IFERROR(LOOKUP(2,1/((中間品リスト!$F$2:$F$1299=$B153)*(中間品リスト!$E$2:$E$1299&lt;&gt;"-")*(中間品リスト!$E$2:$E$1299&lt;&gt;"")),中間品リスト!$E$2:$E$1299),"")</f>
        <v/>
      </c>
      <c r="K153" s="400">
        <f>IF($J153="",0,COUNTIF(②釜工程入力!$S$5:$S$117,$J153)+COUNTIF(③スチコン工程入力!$S$5:$S$152,$J153)+COUNTIF(⑪ZEN工程入力!$S$6:$S$35,$J153)+COUNTIF(⑫ミキサー工程入力!$S$6:$S$65,$J153)+COUNTIF(⑬計量工程入力!$S$6:$S$65,$J153)+COUNTIF(⑭手動工程入力!$S$6:$S$47,$J153))</f>
        <v/>
      </c>
      <c r="L153" s="393">
        <f>IF($J153="",0,SUMIFS(②釜工程入力!$M$5:$M$117,②釜工程入力!$S$5:$S$117,$J153,②釜工程入力!$I$5:$I$117,"&gt;0")+SUMIFS(③スチコン工程入力!$M$5:$M$152,③スチコン工程入力!$S$5:$S$152,$J153,③スチコン工程入力!$I$5:$I$152,"&gt;0")+SUMIFS(⑪ZEN工程入力!$M$6:$M$35,⑪ZEN工程入力!$S$6:$S$35,$J153,⑪ZEN工程入力!$I$6:$I$35,"&gt;0")+SUMIFS(⑫ミキサー工程入力!$M$6:$M$65,⑫ミキサー工程入力!$S$6:$S$65,$J153,⑫ミキサー工程入力!$I$6:$I$65,"&gt;0")+SUMIFS(⑬計量工程入力!$M$6:$M$65,⑬計量工程入力!$S$6:$S$65,$J153,⑬計量工程入力!$I$6:$I$65,"&gt;0")+SUMIFS(⑭手動工程入力!$M$6:$M$47,⑭手動工程入力!$S$6:$S$47,$J153,⑭手動工程入力!$I$6:$I$47,"&gt;0"))</f>
        <v/>
      </c>
      <c r="M153" s="393">
        <f>IF($J153="",0,SUMIFS(②釜工程入力!$I$5:$I$117,②釜工程入力!$S$5:$S$117,$J153,②釜工程入力!$I$5:$I$117,"&gt;0",②釜工程入力!$M$5:$M$117,"&gt;0")+SUMIFS(③スチコン工程入力!$I$5:$I$152,③スチコン工程入力!$S$5:$S$152,$J153,③スチコン工程入力!$I$5:$I$152,"&gt;0",③スチコン工程入力!$M$5:$M$152,"&gt;0")+SUMIFS(⑪ZEN工程入力!$I$6:$I$35,⑪ZEN工程入力!$S$6:$S$35,$J153,⑪ZEN工程入力!$I$6:$I$35,"&gt;0",⑪ZEN工程入力!$M$6:$M$35,"&gt;0")+SUMIFS(⑫ミキサー工程入力!$I$6:$I$65,⑫ミキサー工程入力!$S$6:$S$65,$J153,⑫ミキサー工程入力!$I$6:$I$65,"&gt;0",⑫ミキサー工程入力!$M$6:$M$65,"&gt;0")+SUMIFS(⑬計量工程入力!$I$6:$I$65,⑬計量工程入力!$S$6:$S$65,$J153,⑬計量工程入力!$I$6:$I$65,"&gt;0",⑬計量工程入力!$M$6:$M$65,"&gt;0")+SUMIFS(⑭手動工程入力!$I$6:$I$47,⑭手動工程入力!$S$6:$S$47,$J153,⑭手動工程入力!$I$6:$I$47,"&gt;0",⑭手動工程入力!$M$6:$M$47,"&gt;0"))</f>
        <v/>
      </c>
      <c r="N153" s="393">
        <f>IF($J153="",0,SUMIFS(②釜工程入力!$M$5:$M$117,②釜工程入力!$S$5:$S$117,$J153,②釜工程入力!$J$5:$J$117,"&gt;0")-SUMIFS(②釜工程入力!$M$5:$M$117,②釜工程入力!$S$5:$S$117,$J153,②釜工程入力!$J$5:$J$117,"&gt;0",②釜工程入力!$I$5:$I$117,"&gt;0")+SUMIFS(③スチコン工程入力!$M$5:$M$152,③スチコン工程入力!$S$5:$S$152,$J153,③スチコン工程入力!$J$5:$J$152,"&gt;0")-SUMIFS(③スチコン工程入力!$M$5:$M$152,③スチコン工程入力!$S$5:$S$152,$J153,③スチコン工程入力!$J$5:$J$152,"&gt;0",③スチコン工程入力!$I$5:$I$152,"&gt;0")+SUMIFS(⑪ZEN工程入力!$M$6:$M$35,⑪ZEN工程入力!$S$6:$S$35,$J153,⑪ZEN工程入力!$J$6:$J$35,"&gt;0")-SUMIFS(⑪ZEN工程入力!$M$6:$M$35,⑪ZEN工程入力!$S$6:$S$35,$J153,⑪ZEN工程入力!$J$6:$J$35,"&gt;0",⑪ZEN工程入力!$I$6:$I$35,"&gt;0")+SUMIFS(⑫ミキサー工程入力!$M$6:$M$65,⑫ミキサー工程入力!$S$6:$S$65,$J153,⑫ミキサー工程入力!$J$6:$J$65,"&gt;0")-SUMIFS(⑫ミキサー工程入力!$M$6:$M$65,⑫ミキサー工程入力!$S$6:$S$65,$J153,⑫ミキサー工程入力!$J$6:$J$65,"&gt;0",⑫ミキサー工程入力!$I$6:$I$65,"&gt;0")+SUMIFS(⑬計量工程入力!$M$6:$M$65,⑬計量工程入力!$S$6:$S$65,$J153,⑬計量工程入力!$J$6:$J$65,"&gt;0")-SUMIFS(⑬計量工程入力!$M$6:$M$65,⑬計量工程入力!$S$6:$S$65,$J153,⑬計量工程入力!$J$6:$J$65,"&gt;0",⑬計量工程入力!$I$6:$I$65,"&gt;0")+SUMIFS(⑭手動工程入力!$M$6:$M$47,⑭手動工程入力!$S$6:$S$47,$J153,⑭手動工程入力!$J$6:$J$47,"&gt;0")-SUMIFS(⑭手動工程入力!$M$6:$M$47,⑭手動工程入力!$S$6:$S$47,$J153,⑭手動工程入力!$J$6:$J$47,"&gt;0",⑭手動工程入力!$I$6:$I$47,"&gt;0"))</f>
        <v/>
      </c>
      <c r="O153" s="393">
        <f>IF($J153="",0,SUMIFS(②釜工程入力!$J$5:$J$117,②釜工程入力!$S$5:$S$117,$J153,②釜工程入力!$J$5:$J$117,"&gt;0",②釜工程入力!$M$5:$M$117,"&gt;0")-SUMIFS(②釜工程入力!$J$5:$J$117,②釜工程入力!$S$5:$S$117,$J153,②釜工程入力!$J$5:$J$117,"&gt;0",②釜工程入力!$I$5:$I$117,"&gt;0",②釜工程入力!$M$5:$M$117,"&gt;0")+SUMIFS(③スチコン工程入力!$J$5:$J$152,③スチコン工程入力!$S$5:$S$152,$J153,③スチコン工程入力!$J$5:$J$152,"&gt;0",③スチコン工程入力!$M$5:$M$152,"&gt;0")-SUMIFS(③スチコン工程入力!$J$5:$J$152,③スチコン工程入力!$S$5:$S$152,$J153,③スチコン工程入力!$J$5:$J$152,"&gt;0",③スチコン工程入力!$I$5:$I$152,"&gt;0",③スチコン工程入力!$M$5:$M$152,"&gt;0")+SUMIFS(⑪ZEN工程入力!$J$6:$J$35,⑪ZEN工程入力!$S$6:$S$35,$J153,⑪ZEN工程入力!$J$6:$J$35,"&gt;0",⑪ZEN工程入力!$M$6:$M$35,"&gt;0")-SUMIFS(⑪ZEN工程入力!$J$6:$J$35,⑪ZEN工程入力!$S$6:$S$35,$J153,⑪ZEN工程入力!$J$6:$J$35,"&gt;0",⑪ZEN工程入力!$I$6:$I$35,"&gt;0",⑪ZEN工程入力!$M$6:$M$35,"&gt;0")+SUMIFS(⑫ミキサー工程入力!$J$6:$J$65,⑫ミキサー工程入力!$S$6:$S$65,$J153,⑫ミキサー工程入力!$J$6:$J$65,"&gt;0",⑫ミキサー工程入力!$M$6:$M$65,"&gt;0")-SUMIFS(⑫ミキサー工程入力!$J$6:$J$65,⑫ミキサー工程入力!$S$6:$S$65,$J153,⑫ミキサー工程入力!$J$6:$J$65,"&gt;0",⑫ミキサー工程入力!$I$6:$I$65,"&gt;0",⑫ミキサー工程入力!$M$6:$M$65,"&gt;0")+SUMIFS(⑬計量工程入力!$J$6:$J$65,⑬計量工程入力!$S$6:$S$65,$J153,⑬計量工程入力!$J$6:$J$65,"&gt;0",⑬計量工程入力!$M$6:$M$65,"&gt;0")-SUMIFS(⑬計量工程入力!$J$6:$J$65,⑬計量工程入力!$S$6:$S$65,$J153,⑬計量工程入力!$J$6:$J$65,"&gt;0",⑬計量工程入力!$I$6:$I$65,"&gt;0",⑬計量工程入力!$M$6:$M$65,"&gt;0")+SUMIFS(⑭手動工程入力!$J$6:$J$47,⑭手動工程入力!$S$6:$S$47,$J153,⑭手動工程入力!$J$6:$J$47,"&gt;0",⑭手動工程入力!$M$6:$M$47,"&gt;0")-SUMIFS(⑭手動工程入力!$J$6:$J$47,⑭手動工程入力!$S$6:$S$47,$J153,⑭手動工程入力!$J$6:$J$47,"&gt;0",⑭手動工程入力!$I$6:$I$47,"&gt;0",⑭手動工程入力!$M$6:$M$47,"&gt;0"))</f>
        <v/>
      </c>
      <c r="P153" s="392" t="n"/>
    </row>
    <row r="154">
      <c r="A154" s="392" t="n">
        <v>150</v>
      </c>
      <c r="B154" s="392" t="n"/>
      <c r="C154" s="392" t="n"/>
      <c r="D154" s="392" t="n"/>
      <c r="E154" s="392" t="n"/>
      <c r="F154" s="394" t="n"/>
      <c r="G154" s="392" t="n"/>
      <c r="H154" s="604">
        <f>IFERROR(IF(AND($K154&gt;0,ISNUMBER(IF(OR($D154="g",$D154="ｇ"),IF($M154&gt;0,$L154/$M154/1000,""),IF($D154="kg",IF($M154&gt;0,$L154/$M154,""),IF($D154="",IF($M154&gt;0,$L154/$M154/1000,IF($O154&gt;0,$N154/$O154,"")),IF($O154&gt;0,$N154/$O154,"")))))),IF(OR($D154="g",$D154="ｇ"),IF($M154&gt;0,$L154/$M154/1000,""),IF($D154="kg",IF($M154&gt;0,$L154/$M154,""),IF($D154="",IF($M154&gt;0,$L154/$M154/1000,IF($O154&gt;0,$N154/$O154,"")),IF($O154&gt;0,$N154/$O154,"")))),IF($F154="",IF(OR($E154="",$E154="⑩盛付梱包工程入力"),"",IF(OR($D154="g",$D154="ｇ"),INDEX(⑰工程労務費一覧!$N$5:$N$11,MATCH($E154,⑰工程労務費一覧!$K$5:$K$11,0))/1000,IF($D154="kg",INDEX(⑰工程労務費一覧!$N$5:$N$11,MATCH($E154,⑰工程労務費一覧!$K$5:$K$11,0)),IF(OR($D154="個",$D154="切",$D154="本",$D154="枚",$D154="尾"),IF($E154="⑬計量工程入力","",INDEX(⑰工程労務費一覧!$P$5:$P$11,MATCH($E154,⑰工程労務費一覧!$K$5:$K$11,0))),IF(AND($D154="",OR($E154="②釜工程入力",$E154="③スチコン工程入力")),INDEX(⑰工程労務費一覧!$N$5:$N$11,MATCH($E154,⑰工程労務費一覧!$K$5:$K$11,0))/1000,""))))),IF(OR($D154="g",$D154="ｇ"),INDEX(⑰工程労務費一覧!$H$5:$H$753,MATCH($F154,⑰工程労務費一覧!$D$5:$D$753,0))/1000,IF($D154="kg",INDEX(⑰工程労務費一覧!$H$5:$H$753,MATCH($F154,⑰工程労務費一覧!$D$5:$D$753,0)),INDEX(⑰工程労務費一覧!$I$5:$I$753,MATCH($F154,⑰工程労務費一覧!$D$5:$D$753,0)))))),"")</f>
        <v/>
      </c>
      <c r="I154" s="392">
        <f>IF($K154&gt;0,IF(ISNUMBER(IF(OR($D154="g",$D154="ｇ"),IF($M154&gt;0,$L154/$M154/1000,""),IF($D154="kg",IF($M154&gt;0,$L154/$M154,""),IF($D154="",IF($M154&gt;0,$L154/$M154/1000,IF($O154&gt;0,$N154/$O154,"")),IF($O154&gt;0,$N154/$O154,""))))),IF($D154="",IF($M154&gt;0,"◎ JAN紐づけ(g扱い)","◎ JAN紐づけ(個扱い)"),"◎ JAN紐づけ"),"△ JAN紐づけ済・実績不足→仮計算"),IF($F154="",IF(ISNUMBER($H154),IF($D154="","⑤ 工程平均で仮計算(g扱い)","⑤ 工程平均で仮計算"),IF($E154="⑩盛付梱包工程入力","⑥ 盛り込み(⑳F列で計上)",IF(AND($E154="⑬計量工程入力",OR($D154="個",$D154="切",$D154="本",$D154="枚",$D154="尾")),"① 未紐づけ(カット個単位は仮単価なし)","① 未紐づけ"))),IF(NOT(ISNUMBER($H154)),"② 工程側に単価なし",IF($D154="","③ 単位未設定(個で計算)","④ OK"))))</f>
        <v/>
      </c>
      <c r="J154" s="399">
        <f>IFERROR(LOOKUP(2,1/((中間品リスト!$F$2:$F$1299=$B154)*(中間品リスト!$E$2:$E$1299&lt;&gt;"-")*(中間品リスト!$E$2:$E$1299&lt;&gt;"")),中間品リスト!$E$2:$E$1299),"")</f>
        <v/>
      </c>
      <c r="K154" s="400">
        <f>IF($J154="",0,COUNTIF(②釜工程入力!$S$5:$S$117,$J154)+COUNTIF(③スチコン工程入力!$S$5:$S$152,$J154)+COUNTIF(⑪ZEN工程入力!$S$6:$S$35,$J154)+COUNTIF(⑫ミキサー工程入力!$S$6:$S$65,$J154)+COUNTIF(⑬計量工程入力!$S$6:$S$65,$J154)+COUNTIF(⑭手動工程入力!$S$6:$S$47,$J154))</f>
        <v/>
      </c>
      <c r="L154" s="393">
        <f>IF($J154="",0,SUMIFS(②釜工程入力!$M$5:$M$117,②釜工程入力!$S$5:$S$117,$J154,②釜工程入力!$I$5:$I$117,"&gt;0")+SUMIFS(③スチコン工程入力!$M$5:$M$152,③スチコン工程入力!$S$5:$S$152,$J154,③スチコン工程入力!$I$5:$I$152,"&gt;0")+SUMIFS(⑪ZEN工程入力!$M$6:$M$35,⑪ZEN工程入力!$S$6:$S$35,$J154,⑪ZEN工程入力!$I$6:$I$35,"&gt;0")+SUMIFS(⑫ミキサー工程入力!$M$6:$M$65,⑫ミキサー工程入力!$S$6:$S$65,$J154,⑫ミキサー工程入力!$I$6:$I$65,"&gt;0")+SUMIFS(⑬計量工程入力!$M$6:$M$65,⑬計量工程入力!$S$6:$S$65,$J154,⑬計量工程入力!$I$6:$I$65,"&gt;0")+SUMIFS(⑭手動工程入力!$M$6:$M$47,⑭手動工程入力!$S$6:$S$47,$J154,⑭手動工程入力!$I$6:$I$47,"&gt;0"))</f>
        <v/>
      </c>
      <c r="M154" s="393">
        <f>IF($J154="",0,SUMIFS(②釜工程入力!$I$5:$I$117,②釜工程入力!$S$5:$S$117,$J154,②釜工程入力!$I$5:$I$117,"&gt;0",②釜工程入力!$M$5:$M$117,"&gt;0")+SUMIFS(③スチコン工程入力!$I$5:$I$152,③スチコン工程入力!$S$5:$S$152,$J154,③スチコン工程入力!$I$5:$I$152,"&gt;0",③スチコン工程入力!$M$5:$M$152,"&gt;0")+SUMIFS(⑪ZEN工程入力!$I$6:$I$35,⑪ZEN工程入力!$S$6:$S$35,$J154,⑪ZEN工程入力!$I$6:$I$35,"&gt;0",⑪ZEN工程入力!$M$6:$M$35,"&gt;0")+SUMIFS(⑫ミキサー工程入力!$I$6:$I$65,⑫ミキサー工程入力!$S$6:$S$65,$J154,⑫ミキサー工程入力!$I$6:$I$65,"&gt;0",⑫ミキサー工程入力!$M$6:$M$65,"&gt;0")+SUMIFS(⑬計量工程入力!$I$6:$I$65,⑬計量工程入力!$S$6:$S$65,$J154,⑬計量工程入力!$I$6:$I$65,"&gt;0",⑬計量工程入力!$M$6:$M$65,"&gt;0")+SUMIFS(⑭手動工程入力!$I$6:$I$47,⑭手動工程入力!$S$6:$S$47,$J154,⑭手動工程入力!$I$6:$I$47,"&gt;0",⑭手動工程入力!$M$6:$M$47,"&gt;0"))</f>
        <v/>
      </c>
      <c r="N154" s="393">
        <f>IF($J154="",0,SUMIFS(②釜工程入力!$M$5:$M$117,②釜工程入力!$S$5:$S$117,$J154,②釜工程入力!$J$5:$J$117,"&gt;0")-SUMIFS(②釜工程入力!$M$5:$M$117,②釜工程入力!$S$5:$S$117,$J154,②釜工程入力!$J$5:$J$117,"&gt;0",②釜工程入力!$I$5:$I$117,"&gt;0")+SUMIFS(③スチコン工程入力!$M$5:$M$152,③スチコン工程入力!$S$5:$S$152,$J154,③スチコン工程入力!$J$5:$J$152,"&gt;0")-SUMIFS(③スチコン工程入力!$M$5:$M$152,③スチコン工程入力!$S$5:$S$152,$J154,③スチコン工程入力!$J$5:$J$152,"&gt;0",③スチコン工程入力!$I$5:$I$152,"&gt;0")+SUMIFS(⑪ZEN工程入力!$M$6:$M$35,⑪ZEN工程入力!$S$6:$S$35,$J154,⑪ZEN工程入力!$J$6:$J$35,"&gt;0")-SUMIFS(⑪ZEN工程入力!$M$6:$M$35,⑪ZEN工程入力!$S$6:$S$35,$J154,⑪ZEN工程入力!$J$6:$J$35,"&gt;0",⑪ZEN工程入力!$I$6:$I$35,"&gt;0")+SUMIFS(⑫ミキサー工程入力!$M$6:$M$65,⑫ミキサー工程入力!$S$6:$S$65,$J154,⑫ミキサー工程入力!$J$6:$J$65,"&gt;0")-SUMIFS(⑫ミキサー工程入力!$M$6:$M$65,⑫ミキサー工程入力!$S$6:$S$65,$J154,⑫ミキサー工程入力!$J$6:$J$65,"&gt;0",⑫ミキサー工程入力!$I$6:$I$65,"&gt;0")+SUMIFS(⑬計量工程入力!$M$6:$M$65,⑬計量工程入力!$S$6:$S$65,$J154,⑬計量工程入力!$J$6:$J$65,"&gt;0")-SUMIFS(⑬計量工程入力!$M$6:$M$65,⑬計量工程入力!$S$6:$S$65,$J154,⑬計量工程入力!$J$6:$J$65,"&gt;0",⑬計量工程入力!$I$6:$I$65,"&gt;0")+SUMIFS(⑭手動工程入力!$M$6:$M$47,⑭手動工程入力!$S$6:$S$47,$J154,⑭手動工程入力!$J$6:$J$47,"&gt;0")-SUMIFS(⑭手動工程入力!$M$6:$M$47,⑭手動工程入力!$S$6:$S$47,$J154,⑭手動工程入力!$J$6:$J$47,"&gt;0",⑭手動工程入力!$I$6:$I$47,"&gt;0"))</f>
        <v/>
      </c>
      <c r="O154" s="393">
        <f>IF($J154="",0,SUMIFS(②釜工程入力!$J$5:$J$117,②釜工程入力!$S$5:$S$117,$J154,②釜工程入力!$J$5:$J$117,"&gt;0",②釜工程入力!$M$5:$M$117,"&gt;0")-SUMIFS(②釜工程入力!$J$5:$J$117,②釜工程入力!$S$5:$S$117,$J154,②釜工程入力!$J$5:$J$117,"&gt;0",②釜工程入力!$I$5:$I$117,"&gt;0",②釜工程入力!$M$5:$M$117,"&gt;0")+SUMIFS(③スチコン工程入力!$J$5:$J$152,③スチコン工程入力!$S$5:$S$152,$J154,③スチコン工程入力!$J$5:$J$152,"&gt;0",③スチコン工程入力!$M$5:$M$152,"&gt;0")-SUMIFS(③スチコン工程入力!$J$5:$J$152,③スチコン工程入力!$S$5:$S$152,$J154,③スチコン工程入力!$J$5:$J$152,"&gt;0",③スチコン工程入力!$I$5:$I$152,"&gt;0",③スチコン工程入力!$M$5:$M$152,"&gt;0")+SUMIFS(⑪ZEN工程入力!$J$6:$J$35,⑪ZEN工程入力!$S$6:$S$35,$J154,⑪ZEN工程入力!$J$6:$J$35,"&gt;0",⑪ZEN工程入力!$M$6:$M$35,"&gt;0")-SUMIFS(⑪ZEN工程入力!$J$6:$J$35,⑪ZEN工程入力!$S$6:$S$35,$J154,⑪ZEN工程入力!$J$6:$J$35,"&gt;0",⑪ZEN工程入力!$I$6:$I$35,"&gt;0",⑪ZEN工程入力!$M$6:$M$35,"&gt;0")+SUMIFS(⑫ミキサー工程入力!$J$6:$J$65,⑫ミキサー工程入力!$S$6:$S$65,$J154,⑫ミキサー工程入力!$J$6:$J$65,"&gt;0",⑫ミキサー工程入力!$M$6:$M$65,"&gt;0")-SUMIFS(⑫ミキサー工程入力!$J$6:$J$65,⑫ミキサー工程入力!$S$6:$S$65,$J154,⑫ミキサー工程入力!$J$6:$J$65,"&gt;0",⑫ミキサー工程入力!$I$6:$I$65,"&gt;0",⑫ミキサー工程入力!$M$6:$M$65,"&gt;0")+SUMIFS(⑬計量工程入力!$J$6:$J$65,⑬計量工程入力!$S$6:$S$65,$J154,⑬計量工程入力!$J$6:$J$65,"&gt;0",⑬計量工程入力!$M$6:$M$65,"&gt;0")-SUMIFS(⑬計量工程入力!$J$6:$J$65,⑬計量工程入力!$S$6:$S$65,$J154,⑬計量工程入力!$J$6:$J$65,"&gt;0",⑬計量工程入力!$I$6:$I$65,"&gt;0",⑬計量工程入力!$M$6:$M$65,"&gt;0")+SUMIFS(⑭手動工程入力!$J$6:$J$47,⑭手動工程入力!$S$6:$S$47,$J154,⑭手動工程入力!$J$6:$J$47,"&gt;0",⑭手動工程入力!$M$6:$M$47,"&gt;0")-SUMIFS(⑭手動工程入力!$J$6:$J$47,⑭手動工程入力!$S$6:$S$47,$J154,⑭手動工程入力!$J$6:$J$47,"&gt;0",⑭手動工程入力!$I$6:$I$47,"&gt;0",⑭手動工程入力!$M$6:$M$47,"&gt;0"))</f>
        <v/>
      </c>
      <c r="P154" s="392" t="n"/>
    </row>
    <row r="155">
      <c r="A155" s="392" t="n">
        <v>151</v>
      </c>
      <c r="B155" s="392" t="n"/>
      <c r="C155" s="392" t="n"/>
      <c r="D155" s="392" t="n"/>
      <c r="E155" s="392" t="n"/>
      <c r="F155" s="394" t="n"/>
      <c r="G155" s="392" t="n"/>
      <c r="H155" s="604">
        <f>IFERROR(IF(AND($K155&gt;0,ISNUMBER(IF(OR($D155="g",$D155="ｇ"),IF($M155&gt;0,$L155/$M155/1000,""),IF($D155="kg",IF($M155&gt;0,$L155/$M155,""),IF($D155="",IF($M155&gt;0,$L155/$M155/1000,IF($O155&gt;0,$N155/$O155,"")),IF($O155&gt;0,$N155/$O155,"")))))),IF(OR($D155="g",$D155="ｇ"),IF($M155&gt;0,$L155/$M155/1000,""),IF($D155="kg",IF($M155&gt;0,$L155/$M155,""),IF($D155="",IF($M155&gt;0,$L155/$M155/1000,IF($O155&gt;0,$N155/$O155,"")),IF($O155&gt;0,$N155/$O155,"")))),IF($F155="",IF(OR($E155="",$E155="⑩盛付梱包工程入力"),"",IF(OR($D155="g",$D155="ｇ"),INDEX(⑰工程労務費一覧!$N$5:$N$11,MATCH($E155,⑰工程労務費一覧!$K$5:$K$11,0))/1000,IF($D155="kg",INDEX(⑰工程労務費一覧!$N$5:$N$11,MATCH($E155,⑰工程労務費一覧!$K$5:$K$11,0)),IF(OR($D155="個",$D155="切",$D155="本",$D155="枚",$D155="尾"),IF($E155="⑬計量工程入力","",INDEX(⑰工程労務費一覧!$P$5:$P$11,MATCH($E155,⑰工程労務費一覧!$K$5:$K$11,0))),IF(AND($D155="",OR($E155="②釜工程入力",$E155="③スチコン工程入力")),INDEX(⑰工程労務費一覧!$N$5:$N$11,MATCH($E155,⑰工程労務費一覧!$K$5:$K$11,0))/1000,""))))),IF(OR($D155="g",$D155="ｇ"),INDEX(⑰工程労務費一覧!$H$5:$H$753,MATCH($F155,⑰工程労務費一覧!$D$5:$D$753,0))/1000,IF($D155="kg",INDEX(⑰工程労務費一覧!$H$5:$H$753,MATCH($F155,⑰工程労務費一覧!$D$5:$D$753,0)),INDEX(⑰工程労務費一覧!$I$5:$I$753,MATCH($F155,⑰工程労務費一覧!$D$5:$D$753,0)))))),"")</f>
        <v/>
      </c>
      <c r="I155" s="392">
        <f>IF($K155&gt;0,IF(ISNUMBER(IF(OR($D155="g",$D155="ｇ"),IF($M155&gt;0,$L155/$M155/1000,""),IF($D155="kg",IF($M155&gt;0,$L155/$M155,""),IF($D155="",IF($M155&gt;0,$L155/$M155/1000,IF($O155&gt;0,$N155/$O155,"")),IF($O155&gt;0,$N155/$O155,""))))),IF($D155="",IF($M155&gt;0,"◎ JAN紐づけ(g扱い)","◎ JAN紐づけ(個扱い)"),"◎ JAN紐づけ"),"△ JAN紐づけ済・実績不足→仮計算"),IF($F155="",IF(ISNUMBER($H155),IF($D155="","⑤ 工程平均で仮計算(g扱い)","⑤ 工程平均で仮計算"),IF($E155="⑩盛付梱包工程入力","⑥ 盛り込み(⑳F列で計上)",IF(AND($E155="⑬計量工程入力",OR($D155="個",$D155="切",$D155="本",$D155="枚",$D155="尾")),"① 未紐づけ(カット個単位は仮単価なし)","① 未紐づけ"))),IF(NOT(ISNUMBER($H155)),"② 工程側に単価なし",IF($D155="","③ 単位未設定(個で計算)","④ OK"))))</f>
        <v/>
      </c>
      <c r="J155" s="399">
        <f>IFERROR(LOOKUP(2,1/((中間品リスト!$F$2:$F$1299=$B155)*(中間品リスト!$E$2:$E$1299&lt;&gt;"-")*(中間品リスト!$E$2:$E$1299&lt;&gt;"")),中間品リスト!$E$2:$E$1299),"")</f>
        <v/>
      </c>
      <c r="K155" s="400">
        <f>IF($J155="",0,COUNTIF(②釜工程入力!$S$5:$S$117,$J155)+COUNTIF(③スチコン工程入力!$S$5:$S$152,$J155)+COUNTIF(⑪ZEN工程入力!$S$6:$S$35,$J155)+COUNTIF(⑫ミキサー工程入力!$S$6:$S$65,$J155)+COUNTIF(⑬計量工程入力!$S$6:$S$65,$J155)+COUNTIF(⑭手動工程入力!$S$6:$S$47,$J155))</f>
        <v/>
      </c>
      <c r="L155" s="393">
        <f>IF($J155="",0,SUMIFS(②釜工程入力!$M$5:$M$117,②釜工程入力!$S$5:$S$117,$J155,②釜工程入力!$I$5:$I$117,"&gt;0")+SUMIFS(③スチコン工程入力!$M$5:$M$152,③スチコン工程入力!$S$5:$S$152,$J155,③スチコン工程入力!$I$5:$I$152,"&gt;0")+SUMIFS(⑪ZEN工程入力!$M$6:$M$35,⑪ZEN工程入力!$S$6:$S$35,$J155,⑪ZEN工程入力!$I$6:$I$35,"&gt;0")+SUMIFS(⑫ミキサー工程入力!$M$6:$M$65,⑫ミキサー工程入力!$S$6:$S$65,$J155,⑫ミキサー工程入力!$I$6:$I$65,"&gt;0")+SUMIFS(⑬計量工程入力!$M$6:$M$65,⑬計量工程入力!$S$6:$S$65,$J155,⑬計量工程入力!$I$6:$I$65,"&gt;0")+SUMIFS(⑭手動工程入力!$M$6:$M$47,⑭手動工程入力!$S$6:$S$47,$J155,⑭手動工程入力!$I$6:$I$47,"&gt;0"))</f>
        <v/>
      </c>
      <c r="M155" s="393">
        <f>IF($J155="",0,SUMIFS(②釜工程入力!$I$5:$I$117,②釜工程入力!$S$5:$S$117,$J155,②釜工程入力!$I$5:$I$117,"&gt;0",②釜工程入力!$M$5:$M$117,"&gt;0")+SUMIFS(③スチコン工程入力!$I$5:$I$152,③スチコン工程入力!$S$5:$S$152,$J155,③スチコン工程入力!$I$5:$I$152,"&gt;0",③スチコン工程入力!$M$5:$M$152,"&gt;0")+SUMIFS(⑪ZEN工程入力!$I$6:$I$35,⑪ZEN工程入力!$S$6:$S$35,$J155,⑪ZEN工程入力!$I$6:$I$35,"&gt;0",⑪ZEN工程入力!$M$6:$M$35,"&gt;0")+SUMIFS(⑫ミキサー工程入力!$I$6:$I$65,⑫ミキサー工程入力!$S$6:$S$65,$J155,⑫ミキサー工程入力!$I$6:$I$65,"&gt;0",⑫ミキサー工程入力!$M$6:$M$65,"&gt;0")+SUMIFS(⑬計量工程入力!$I$6:$I$65,⑬計量工程入力!$S$6:$S$65,$J155,⑬計量工程入力!$I$6:$I$65,"&gt;0",⑬計量工程入力!$M$6:$M$65,"&gt;0")+SUMIFS(⑭手動工程入力!$I$6:$I$47,⑭手動工程入力!$S$6:$S$47,$J155,⑭手動工程入力!$I$6:$I$47,"&gt;0",⑭手動工程入力!$M$6:$M$47,"&gt;0"))</f>
        <v/>
      </c>
      <c r="N155" s="393">
        <f>IF($J155="",0,SUMIFS(②釜工程入力!$M$5:$M$117,②釜工程入力!$S$5:$S$117,$J155,②釜工程入力!$J$5:$J$117,"&gt;0")-SUMIFS(②釜工程入力!$M$5:$M$117,②釜工程入力!$S$5:$S$117,$J155,②釜工程入力!$J$5:$J$117,"&gt;0",②釜工程入力!$I$5:$I$117,"&gt;0")+SUMIFS(③スチコン工程入力!$M$5:$M$152,③スチコン工程入力!$S$5:$S$152,$J155,③スチコン工程入力!$J$5:$J$152,"&gt;0")-SUMIFS(③スチコン工程入力!$M$5:$M$152,③スチコン工程入力!$S$5:$S$152,$J155,③スチコン工程入力!$J$5:$J$152,"&gt;0",③スチコン工程入力!$I$5:$I$152,"&gt;0")+SUMIFS(⑪ZEN工程入力!$M$6:$M$35,⑪ZEN工程入力!$S$6:$S$35,$J155,⑪ZEN工程入力!$J$6:$J$35,"&gt;0")-SUMIFS(⑪ZEN工程入力!$M$6:$M$35,⑪ZEN工程入力!$S$6:$S$35,$J155,⑪ZEN工程入力!$J$6:$J$35,"&gt;0",⑪ZEN工程入力!$I$6:$I$35,"&gt;0")+SUMIFS(⑫ミキサー工程入力!$M$6:$M$65,⑫ミキサー工程入力!$S$6:$S$65,$J155,⑫ミキサー工程入力!$J$6:$J$65,"&gt;0")-SUMIFS(⑫ミキサー工程入力!$M$6:$M$65,⑫ミキサー工程入力!$S$6:$S$65,$J155,⑫ミキサー工程入力!$J$6:$J$65,"&gt;0",⑫ミキサー工程入力!$I$6:$I$65,"&gt;0")+SUMIFS(⑬計量工程入力!$M$6:$M$65,⑬計量工程入力!$S$6:$S$65,$J155,⑬計量工程入力!$J$6:$J$65,"&gt;0")-SUMIFS(⑬計量工程入力!$M$6:$M$65,⑬計量工程入力!$S$6:$S$65,$J155,⑬計量工程入力!$J$6:$J$65,"&gt;0",⑬計量工程入力!$I$6:$I$65,"&gt;0")+SUMIFS(⑭手動工程入力!$M$6:$M$47,⑭手動工程入力!$S$6:$S$47,$J155,⑭手動工程入力!$J$6:$J$47,"&gt;0")-SUMIFS(⑭手動工程入力!$M$6:$M$47,⑭手動工程入力!$S$6:$S$47,$J155,⑭手動工程入力!$J$6:$J$47,"&gt;0",⑭手動工程入力!$I$6:$I$47,"&gt;0"))</f>
        <v/>
      </c>
      <c r="O155" s="393">
        <f>IF($J155="",0,SUMIFS(②釜工程入力!$J$5:$J$117,②釜工程入力!$S$5:$S$117,$J155,②釜工程入力!$J$5:$J$117,"&gt;0",②釜工程入力!$M$5:$M$117,"&gt;0")-SUMIFS(②釜工程入力!$J$5:$J$117,②釜工程入力!$S$5:$S$117,$J155,②釜工程入力!$J$5:$J$117,"&gt;0",②釜工程入力!$I$5:$I$117,"&gt;0",②釜工程入力!$M$5:$M$117,"&gt;0")+SUMIFS(③スチコン工程入力!$J$5:$J$152,③スチコン工程入力!$S$5:$S$152,$J155,③スチコン工程入力!$J$5:$J$152,"&gt;0",③スチコン工程入力!$M$5:$M$152,"&gt;0")-SUMIFS(③スチコン工程入力!$J$5:$J$152,③スチコン工程入力!$S$5:$S$152,$J155,③スチコン工程入力!$J$5:$J$152,"&gt;0",③スチコン工程入力!$I$5:$I$152,"&gt;0",③スチコン工程入力!$M$5:$M$152,"&gt;0")+SUMIFS(⑪ZEN工程入力!$J$6:$J$35,⑪ZEN工程入力!$S$6:$S$35,$J155,⑪ZEN工程入力!$J$6:$J$35,"&gt;0",⑪ZEN工程入力!$M$6:$M$35,"&gt;0")-SUMIFS(⑪ZEN工程入力!$J$6:$J$35,⑪ZEN工程入力!$S$6:$S$35,$J155,⑪ZEN工程入力!$J$6:$J$35,"&gt;0",⑪ZEN工程入力!$I$6:$I$35,"&gt;0",⑪ZEN工程入力!$M$6:$M$35,"&gt;0")+SUMIFS(⑫ミキサー工程入力!$J$6:$J$65,⑫ミキサー工程入力!$S$6:$S$65,$J155,⑫ミキサー工程入力!$J$6:$J$65,"&gt;0",⑫ミキサー工程入力!$M$6:$M$65,"&gt;0")-SUMIFS(⑫ミキサー工程入力!$J$6:$J$65,⑫ミキサー工程入力!$S$6:$S$65,$J155,⑫ミキサー工程入力!$J$6:$J$65,"&gt;0",⑫ミキサー工程入力!$I$6:$I$65,"&gt;0",⑫ミキサー工程入力!$M$6:$M$65,"&gt;0")+SUMIFS(⑬計量工程入力!$J$6:$J$65,⑬計量工程入力!$S$6:$S$65,$J155,⑬計量工程入力!$J$6:$J$65,"&gt;0",⑬計量工程入力!$M$6:$M$65,"&gt;0")-SUMIFS(⑬計量工程入力!$J$6:$J$65,⑬計量工程入力!$S$6:$S$65,$J155,⑬計量工程入力!$J$6:$J$65,"&gt;0",⑬計量工程入力!$I$6:$I$65,"&gt;0",⑬計量工程入力!$M$6:$M$65,"&gt;0")+SUMIFS(⑭手動工程入力!$J$6:$J$47,⑭手動工程入力!$S$6:$S$47,$J155,⑭手動工程入力!$J$6:$J$47,"&gt;0",⑭手動工程入力!$M$6:$M$47,"&gt;0")-SUMIFS(⑭手動工程入力!$J$6:$J$47,⑭手動工程入力!$S$6:$S$47,$J155,⑭手動工程入力!$J$6:$J$47,"&gt;0",⑭手動工程入力!$I$6:$I$47,"&gt;0",⑭手動工程入力!$M$6:$M$47,"&gt;0"))</f>
        <v/>
      </c>
      <c r="P155" s="392" t="n"/>
    </row>
    <row r="156">
      <c r="A156" s="392" t="n">
        <v>152</v>
      </c>
      <c r="B156" s="392" t="n"/>
      <c r="C156" s="392" t="n"/>
      <c r="D156" s="392" t="n"/>
      <c r="E156" s="392" t="n"/>
      <c r="F156" s="394" t="n"/>
      <c r="G156" s="392" t="n"/>
      <c r="H156" s="604">
        <f>IFERROR(IF(AND($K156&gt;0,ISNUMBER(IF(OR($D156="g",$D156="ｇ"),IF($M156&gt;0,$L156/$M156/1000,""),IF($D156="kg",IF($M156&gt;0,$L156/$M156,""),IF($D156="",IF($M156&gt;0,$L156/$M156/1000,IF($O156&gt;0,$N156/$O156,"")),IF($O156&gt;0,$N156/$O156,"")))))),IF(OR($D156="g",$D156="ｇ"),IF($M156&gt;0,$L156/$M156/1000,""),IF($D156="kg",IF($M156&gt;0,$L156/$M156,""),IF($D156="",IF($M156&gt;0,$L156/$M156/1000,IF($O156&gt;0,$N156/$O156,"")),IF($O156&gt;0,$N156/$O156,"")))),IF($F156="",IF(OR($E156="",$E156="⑩盛付梱包工程入力"),"",IF(OR($D156="g",$D156="ｇ"),INDEX(⑰工程労務費一覧!$N$5:$N$11,MATCH($E156,⑰工程労務費一覧!$K$5:$K$11,0))/1000,IF($D156="kg",INDEX(⑰工程労務費一覧!$N$5:$N$11,MATCH($E156,⑰工程労務費一覧!$K$5:$K$11,0)),IF(OR($D156="個",$D156="切",$D156="本",$D156="枚",$D156="尾"),IF($E156="⑬計量工程入力","",INDEX(⑰工程労務費一覧!$P$5:$P$11,MATCH($E156,⑰工程労務費一覧!$K$5:$K$11,0))),IF(AND($D156="",OR($E156="②釜工程入力",$E156="③スチコン工程入力")),INDEX(⑰工程労務費一覧!$N$5:$N$11,MATCH($E156,⑰工程労務費一覧!$K$5:$K$11,0))/1000,""))))),IF(OR($D156="g",$D156="ｇ"),INDEX(⑰工程労務費一覧!$H$5:$H$753,MATCH($F156,⑰工程労務費一覧!$D$5:$D$753,0))/1000,IF($D156="kg",INDEX(⑰工程労務費一覧!$H$5:$H$753,MATCH($F156,⑰工程労務費一覧!$D$5:$D$753,0)),INDEX(⑰工程労務費一覧!$I$5:$I$753,MATCH($F156,⑰工程労務費一覧!$D$5:$D$753,0)))))),"")</f>
        <v/>
      </c>
      <c r="I156" s="392">
        <f>IF($K156&gt;0,IF(ISNUMBER(IF(OR($D156="g",$D156="ｇ"),IF($M156&gt;0,$L156/$M156/1000,""),IF($D156="kg",IF($M156&gt;0,$L156/$M156,""),IF($D156="",IF($M156&gt;0,$L156/$M156/1000,IF($O156&gt;0,$N156/$O156,"")),IF($O156&gt;0,$N156/$O156,""))))),IF($D156="",IF($M156&gt;0,"◎ JAN紐づけ(g扱い)","◎ JAN紐づけ(個扱い)"),"◎ JAN紐づけ"),"△ JAN紐づけ済・実績不足→仮計算"),IF($F156="",IF(ISNUMBER($H156),IF($D156="","⑤ 工程平均で仮計算(g扱い)","⑤ 工程平均で仮計算"),IF($E156="⑩盛付梱包工程入力","⑥ 盛り込み(⑳F列で計上)",IF(AND($E156="⑬計量工程入力",OR($D156="個",$D156="切",$D156="本",$D156="枚",$D156="尾")),"① 未紐づけ(カット個単位は仮単価なし)","① 未紐づけ"))),IF(NOT(ISNUMBER($H156)),"② 工程側に単価なし",IF($D156="","③ 単位未設定(個で計算)","④ OK"))))</f>
        <v/>
      </c>
      <c r="J156" s="399">
        <f>IFERROR(LOOKUP(2,1/((中間品リスト!$F$2:$F$1299=$B156)*(中間品リスト!$E$2:$E$1299&lt;&gt;"-")*(中間品リスト!$E$2:$E$1299&lt;&gt;"")),中間品リスト!$E$2:$E$1299),"")</f>
        <v/>
      </c>
      <c r="K156" s="400">
        <f>IF($J156="",0,COUNTIF(②釜工程入力!$S$5:$S$117,$J156)+COUNTIF(③スチコン工程入力!$S$5:$S$152,$J156)+COUNTIF(⑪ZEN工程入力!$S$6:$S$35,$J156)+COUNTIF(⑫ミキサー工程入力!$S$6:$S$65,$J156)+COUNTIF(⑬計量工程入力!$S$6:$S$65,$J156)+COUNTIF(⑭手動工程入力!$S$6:$S$47,$J156))</f>
        <v/>
      </c>
      <c r="L156" s="393">
        <f>IF($J156="",0,SUMIFS(②釜工程入力!$M$5:$M$117,②釜工程入力!$S$5:$S$117,$J156,②釜工程入力!$I$5:$I$117,"&gt;0")+SUMIFS(③スチコン工程入力!$M$5:$M$152,③スチコン工程入力!$S$5:$S$152,$J156,③スチコン工程入力!$I$5:$I$152,"&gt;0")+SUMIFS(⑪ZEN工程入力!$M$6:$M$35,⑪ZEN工程入力!$S$6:$S$35,$J156,⑪ZEN工程入力!$I$6:$I$35,"&gt;0")+SUMIFS(⑫ミキサー工程入力!$M$6:$M$65,⑫ミキサー工程入力!$S$6:$S$65,$J156,⑫ミキサー工程入力!$I$6:$I$65,"&gt;0")+SUMIFS(⑬計量工程入力!$M$6:$M$65,⑬計量工程入力!$S$6:$S$65,$J156,⑬計量工程入力!$I$6:$I$65,"&gt;0")+SUMIFS(⑭手動工程入力!$M$6:$M$47,⑭手動工程入力!$S$6:$S$47,$J156,⑭手動工程入力!$I$6:$I$47,"&gt;0"))</f>
        <v/>
      </c>
      <c r="M156" s="393">
        <f>IF($J156="",0,SUMIFS(②釜工程入力!$I$5:$I$117,②釜工程入力!$S$5:$S$117,$J156,②釜工程入力!$I$5:$I$117,"&gt;0",②釜工程入力!$M$5:$M$117,"&gt;0")+SUMIFS(③スチコン工程入力!$I$5:$I$152,③スチコン工程入力!$S$5:$S$152,$J156,③スチコン工程入力!$I$5:$I$152,"&gt;0",③スチコン工程入力!$M$5:$M$152,"&gt;0")+SUMIFS(⑪ZEN工程入力!$I$6:$I$35,⑪ZEN工程入力!$S$6:$S$35,$J156,⑪ZEN工程入力!$I$6:$I$35,"&gt;0",⑪ZEN工程入力!$M$6:$M$35,"&gt;0")+SUMIFS(⑫ミキサー工程入力!$I$6:$I$65,⑫ミキサー工程入力!$S$6:$S$65,$J156,⑫ミキサー工程入力!$I$6:$I$65,"&gt;0",⑫ミキサー工程入力!$M$6:$M$65,"&gt;0")+SUMIFS(⑬計量工程入力!$I$6:$I$65,⑬計量工程入力!$S$6:$S$65,$J156,⑬計量工程入力!$I$6:$I$65,"&gt;0",⑬計量工程入力!$M$6:$M$65,"&gt;0")+SUMIFS(⑭手動工程入力!$I$6:$I$47,⑭手動工程入力!$S$6:$S$47,$J156,⑭手動工程入力!$I$6:$I$47,"&gt;0",⑭手動工程入力!$M$6:$M$47,"&gt;0"))</f>
        <v/>
      </c>
      <c r="N156" s="393">
        <f>IF($J156="",0,SUMIFS(②釜工程入力!$M$5:$M$117,②釜工程入力!$S$5:$S$117,$J156,②釜工程入力!$J$5:$J$117,"&gt;0")-SUMIFS(②釜工程入力!$M$5:$M$117,②釜工程入力!$S$5:$S$117,$J156,②釜工程入力!$J$5:$J$117,"&gt;0",②釜工程入力!$I$5:$I$117,"&gt;0")+SUMIFS(③スチコン工程入力!$M$5:$M$152,③スチコン工程入力!$S$5:$S$152,$J156,③スチコン工程入力!$J$5:$J$152,"&gt;0")-SUMIFS(③スチコン工程入力!$M$5:$M$152,③スチコン工程入力!$S$5:$S$152,$J156,③スチコン工程入力!$J$5:$J$152,"&gt;0",③スチコン工程入力!$I$5:$I$152,"&gt;0")+SUMIFS(⑪ZEN工程入力!$M$6:$M$35,⑪ZEN工程入力!$S$6:$S$35,$J156,⑪ZEN工程入力!$J$6:$J$35,"&gt;0")-SUMIFS(⑪ZEN工程入力!$M$6:$M$35,⑪ZEN工程入力!$S$6:$S$35,$J156,⑪ZEN工程入力!$J$6:$J$35,"&gt;0",⑪ZEN工程入力!$I$6:$I$35,"&gt;0")+SUMIFS(⑫ミキサー工程入力!$M$6:$M$65,⑫ミキサー工程入力!$S$6:$S$65,$J156,⑫ミキサー工程入力!$J$6:$J$65,"&gt;0")-SUMIFS(⑫ミキサー工程入力!$M$6:$M$65,⑫ミキサー工程入力!$S$6:$S$65,$J156,⑫ミキサー工程入力!$J$6:$J$65,"&gt;0",⑫ミキサー工程入力!$I$6:$I$65,"&gt;0")+SUMIFS(⑬計量工程入力!$M$6:$M$65,⑬計量工程入力!$S$6:$S$65,$J156,⑬計量工程入力!$J$6:$J$65,"&gt;0")-SUMIFS(⑬計量工程入力!$M$6:$M$65,⑬計量工程入力!$S$6:$S$65,$J156,⑬計量工程入力!$J$6:$J$65,"&gt;0",⑬計量工程入力!$I$6:$I$65,"&gt;0")+SUMIFS(⑭手動工程入力!$M$6:$M$47,⑭手動工程入力!$S$6:$S$47,$J156,⑭手動工程入力!$J$6:$J$47,"&gt;0")-SUMIFS(⑭手動工程入力!$M$6:$M$47,⑭手動工程入力!$S$6:$S$47,$J156,⑭手動工程入力!$J$6:$J$47,"&gt;0",⑭手動工程入力!$I$6:$I$47,"&gt;0"))</f>
        <v/>
      </c>
      <c r="O156" s="393">
        <f>IF($J156="",0,SUMIFS(②釜工程入力!$J$5:$J$117,②釜工程入力!$S$5:$S$117,$J156,②釜工程入力!$J$5:$J$117,"&gt;0",②釜工程入力!$M$5:$M$117,"&gt;0")-SUMIFS(②釜工程入力!$J$5:$J$117,②釜工程入力!$S$5:$S$117,$J156,②釜工程入力!$J$5:$J$117,"&gt;0",②釜工程入力!$I$5:$I$117,"&gt;0",②釜工程入力!$M$5:$M$117,"&gt;0")+SUMIFS(③スチコン工程入力!$J$5:$J$152,③スチコン工程入力!$S$5:$S$152,$J156,③スチコン工程入力!$J$5:$J$152,"&gt;0",③スチコン工程入力!$M$5:$M$152,"&gt;0")-SUMIFS(③スチコン工程入力!$J$5:$J$152,③スチコン工程入力!$S$5:$S$152,$J156,③スチコン工程入力!$J$5:$J$152,"&gt;0",③スチコン工程入力!$I$5:$I$152,"&gt;0",③スチコン工程入力!$M$5:$M$152,"&gt;0")+SUMIFS(⑪ZEN工程入力!$J$6:$J$35,⑪ZEN工程入力!$S$6:$S$35,$J156,⑪ZEN工程入力!$J$6:$J$35,"&gt;0",⑪ZEN工程入力!$M$6:$M$35,"&gt;0")-SUMIFS(⑪ZEN工程入力!$J$6:$J$35,⑪ZEN工程入力!$S$6:$S$35,$J156,⑪ZEN工程入力!$J$6:$J$35,"&gt;0",⑪ZEN工程入力!$I$6:$I$35,"&gt;0",⑪ZEN工程入力!$M$6:$M$35,"&gt;0")+SUMIFS(⑫ミキサー工程入力!$J$6:$J$65,⑫ミキサー工程入力!$S$6:$S$65,$J156,⑫ミキサー工程入力!$J$6:$J$65,"&gt;0",⑫ミキサー工程入力!$M$6:$M$65,"&gt;0")-SUMIFS(⑫ミキサー工程入力!$J$6:$J$65,⑫ミキサー工程入力!$S$6:$S$65,$J156,⑫ミキサー工程入力!$J$6:$J$65,"&gt;0",⑫ミキサー工程入力!$I$6:$I$65,"&gt;0",⑫ミキサー工程入力!$M$6:$M$65,"&gt;0")+SUMIFS(⑬計量工程入力!$J$6:$J$65,⑬計量工程入力!$S$6:$S$65,$J156,⑬計量工程入力!$J$6:$J$65,"&gt;0",⑬計量工程入力!$M$6:$M$65,"&gt;0")-SUMIFS(⑬計量工程入力!$J$6:$J$65,⑬計量工程入力!$S$6:$S$65,$J156,⑬計量工程入力!$J$6:$J$65,"&gt;0",⑬計量工程入力!$I$6:$I$65,"&gt;0",⑬計量工程入力!$M$6:$M$65,"&gt;0")+SUMIFS(⑭手動工程入力!$J$6:$J$47,⑭手動工程入力!$S$6:$S$47,$J156,⑭手動工程入力!$J$6:$J$47,"&gt;0",⑭手動工程入力!$M$6:$M$47,"&gt;0")-SUMIFS(⑭手動工程入力!$J$6:$J$47,⑭手動工程入力!$S$6:$S$47,$J156,⑭手動工程入力!$J$6:$J$47,"&gt;0",⑭手動工程入力!$I$6:$I$47,"&gt;0",⑭手動工程入力!$M$6:$M$47,"&gt;0"))</f>
        <v/>
      </c>
      <c r="P156" s="392" t="n"/>
    </row>
    <row r="157">
      <c r="A157" s="392" t="n">
        <v>153</v>
      </c>
      <c r="B157" s="392" t="n"/>
      <c r="C157" s="392" t="n"/>
      <c r="D157" s="392" t="n"/>
      <c r="E157" s="392" t="n"/>
      <c r="F157" s="394" t="n"/>
      <c r="G157" s="392" t="n"/>
      <c r="H157" s="604">
        <f>IFERROR(IF(AND($K157&gt;0,ISNUMBER(IF(OR($D157="g",$D157="ｇ"),IF($M157&gt;0,$L157/$M157/1000,""),IF($D157="kg",IF($M157&gt;0,$L157/$M157,""),IF($D157="",IF($M157&gt;0,$L157/$M157/1000,IF($O157&gt;0,$N157/$O157,"")),IF($O157&gt;0,$N157/$O157,"")))))),IF(OR($D157="g",$D157="ｇ"),IF($M157&gt;0,$L157/$M157/1000,""),IF($D157="kg",IF($M157&gt;0,$L157/$M157,""),IF($D157="",IF($M157&gt;0,$L157/$M157/1000,IF($O157&gt;0,$N157/$O157,"")),IF($O157&gt;0,$N157/$O157,"")))),IF($F157="",IF(OR($E157="",$E157="⑩盛付梱包工程入力"),"",IF(OR($D157="g",$D157="ｇ"),INDEX(⑰工程労務費一覧!$N$5:$N$11,MATCH($E157,⑰工程労務費一覧!$K$5:$K$11,0))/1000,IF($D157="kg",INDEX(⑰工程労務費一覧!$N$5:$N$11,MATCH($E157,⑰工程労務費一覧!$K$5:$K$11,0)),IF(OR($D157="個",$D157="切",$D157="本",$D157="枚",$D157="尾"),IF($E157="⑬計量工程入力","",INDEX(⑰工程労務費一覧!$P$5:$P$11,MATCH($E157,⑰工程労務費一覧!$K$5:$K$11,0))),IF(AND($D157="",OR($E157="②釜工程入力",$E157="③スチコン工程入力")),INDEX(⑰工程労務費一覧!$N$5:$N$11,MATCH($E157,⑰工程労務費一覧!$K$5:$K$11,0))/1000,""))))),IF(OR($D157="g",$D157="ｇ"),INDEX(⑰工程労務費一覧!$H$5:$H$753,MATCH($F157,⑰工程労務費一覧!$D$5:$D$753,0))/1000,IF($D157="kg",INDEX(⑰工程労務費一覧!$H$5:$H$753,MATCH($F157,⑰工程労務費一覧!$D$5:$D$753,0)),INDEX(⑰工程労務費一覧!$I$5:$I$753,MATCH($F157,⑰工程労務費一覧!$D$5:$D$753,0)))))),"")</f>
        <v/>
      </c>
      <c r="I157" s="392">
        <f>IF($K157&gt;0,IF(ISNUMBER(IF(OR($D157="g",$D157="ｇ"),IF($M157&gt;0,$L157/$M157/1000,""),IF($D157="kg",IF($M157&gt;0,$L157/$M157,""),IF($D157="",IF($M157&gt;0,$L157/$M157/1000,IF($O157&gt;0,$N157/$O157,"")),IF($O157&gt;0,$N157/$O157,""))))),IF($D157="",IF($M157&gt;0,"◎ JAN紐づけ(g扱い)","◎ JAN紐づけ(個扱い)"),"◎ JAN紐づけ"),"△ JAN紐づけ済・実績不足→仮計算"),IF($F157="",IF(ISNUMBER($H157),IF($D157="","⑤ 工程平均で仮計算(g扱い)","⑤ 工程平均で仮計算"),IF($E157="⑩盛付梱包工程入力","⑥ 盛り込み(⑳F列で計上)",IF(AND($E157="⑬計量工程入力",OR($D157="個",$D157="切",$D157="本",$D157="枚",$D157="尾")),"① 未紐づけ(カット個単位は仮単価なし)","① 未紐づけ"))),IF(NOT(ISNUMBER($H157)),"② 工程側に単価なし",IF($D157="","③ 単位未設定(個で計算)","④ OK"))))</f>
        <v/>
      </c>
      <c r="J157" s="399">
        <f>IFERROR(LOOKUP(2,1/((中間品リスト!$F$2:$F$1299=$B157)*(中間品リスト!$E$2:$E$1299&lt;&gt;"-")*(中間品リスト!$E$2:$E$1299&lt;&gt;"")),中間品リスト!$E$2:$E$1299),"")</f>
        <v/>
      </c>
      <c r="K157" s="400">
        <f>IF($J157="",0,COUNTIF(②釜工程入力!$S$5:$S$117,$J157)+COUNTIF(③スチコン工程入力!$S$5:$S$152,$J157)+COUNTIF(⑪ZEN工程入力!$S$6:$S$35,$J157)+COUNTIF(⑫ミキサー工程入力!$S$6:$S$65,$J157)+COUNTIF(⑬計量工程入力!$S$6:$S$65,$J157)+COUNTIF(⑭手動工程入力!$S$6:$S$47,$J157))</f>
        <v/>
      </c>
      <c r="L157" s="393">
        <f>IF($J157="",0,SUMIFS(②釜工程入力!$M$5:$M$117,②釜工程入力!$S$5:$S$117,$J157,②釜工程入力!$I$5:$I$117,"&gt;0")+SUMIFS(③スチコン工程入力!$M$5:$M$152,③スチコン工程入力!$S$5:$S$152,$J157,③スチコン工程入力!$I$5:$I$152,"&gt;0")+SUMIFS(⑪ZEN工程入力!$M$6:$M$35,⑪ZEN工程入力!$S$6:$S$35,$J157,⑪ZEN工程入力!$I$6:$I$35,"&gt;0")+SUMIFS(⑫ミキサー工程入力!$M$6:$M$65,⑫ミキサー工程入力!$S$6:$S$65,$J157,⑫ミキサー工程入力!$I$6:$I$65,"&gt;0")+SUMIFS(⑬計量工程入力!$M$6:$M$65,⑬計量工程入力!$S$6:$S$65,$J157,⑬計量工程入力!$I$6:$I$65,"&gt;0")+SUMIFS(⑭手動工程入力!$M$6:$M$47,⑭手動工程入力!$S$6:$S$47,$J157,⑭手動工程入力!$I$6:$I$47,"&gt;0"))</f>
        <v/>
      </c>
      <c r="M157" s="393">
        <f>IF($J157="",0,SUMIFS(②釜工程入力!$I$5:$I$117,②釜工程入力!$S$5:$S$117,$J157,②釜工程入力!$I$5:$I$117,"&gt;0",②釜工程入力!$M$5:$M$117,"&gt;0")+SUMIFS(③スチコン工程入力!$I$5:$I$152,③スチコン工程入力!$S$5:$S$152,$J157,③スチコン工程入力!$I$5:$I$152,"&gt;0",③スチコン工程入力!$M$5:$M$152,"&gt;0")+SUMIFS(⑪ZEN工程入力!$I$6:$I$35,⑪ZEN工程入力!$S$6:$S$35,$J157,⑪ZEN工程入力!$I$6:$I$35,"&gt;0",⑪ZEN工程入力!$M$6:$M$35,"&gt;0")+SUMIFS(⑫ミキサー工程入力!$I$6:$I$65,⑫ミキサー工程入力!$S$6:$S$65,$J157,⑫ミキサー工程入力!$I$6:$I$65,"&gt;0",⑫ミキサー工程入力!$M$6:$M$65,"&gt;0")+SUMIFS(⑬計量工程入力!$I$6:$I$65,⑬計量工程入力!$S$6:$S$65,$J157,⑬計量工程入力!$I$6:$I$65,"&gt;0",⑬計量工程入力!$M$6:$M$65,"&gt;0")+SUMIFS(⑭手動工程入力!$I$6:$I$47,⑭手動工程入力!$S$6:$S$47,$J157,⑭手動工程入力!$I$6:$I$47,"&gt;0",⑭手動工程入力!$M$6:$M$47,"&gt;0"))</f>
        <v/>
      </c>
      <c r="N157" s="393">
        <f>IF($J157="",0,SUMIFS(②釜工程入力!$M$5:$M$117,②釜工程入力!$S$5:$S$117,$J157,②釜工程入力!$J$5:$J$117,"&gt;0")-SUMIFS(②釜工程入力!$M$5:$M$117,②釜工程入力!$S$5:$S$117,$J157,②釜工程入力!$J$5:$J$117,"&gt;0",②釜工程入力!$I$5:$I$117,"&gt;0")+SUMIFS(③スチコン工程入力!$M$5:$M$152,③スチコン工程入力!$S$5:$S$152,$J157,③スチコン工程入力!$J$5:$J$152,"&gt;0")-SUMIFS(③スチコン工程入力!$M$5:$M$152,③スチコン工程入力!$S$5:$S$152,$J157,③スチコン工程入力!$J$5:$J$152,"&gt;0",③スチコン工程入力!$I$5:$I$152,"&gt;0")+SUMIFS(⑪ZEN工程入力!$M$6:$M$35,⑪ZEN工程入力!$S$6:$S$35,$J157,⑪ZEN工程入力!$J$6:$J$35,"&gt;0")-SUMIFS(⑪ZEN工程入力!$M$6:$M$35,⑪ZEN工程入力!$S$6:$S$35,$J157,⑪ZEN工程入力!$J$6:$J$35,"&gt;0",⑪ZEN工程入力!$I$6:$I$35,"&gt;0")+SUMIFS(⑫ミキサー工程入力!$M$6:$M$65,⑫ミキサー工程入力!$S$6:$S$65,$J157,⑫ミキサー工程入力!$J$6:$J$65,"&gt;0")-SUMIFS(⑫ミキサー工程入力!$M$6:$M$65,⑫ミキサー工程入力!$S$6:$S$65,$J157,⑫ミキサー工程入力!$J$6:$J$65,"&gt;0",⑫ミキサー工程入力!$I$6:$I$65,"&gt;0")+SUMIFS(⑬計量工程入力!$M$6:$M$65,⑬計量工程入力!$S$6:$S$65,$J157,⑬計量工程入力!$J$6:$J$65,"&gt;0")-SUMIFS(⑬計量工程入力!$M$6:$M$65,⑬計量工程入力!$S$6:$S$65,$J157,⑬計量工程入力!$J$6:$J$65,"&gt;0",⑬計量工程入力!$I$6:$I$65,"&gt;0")+SUMIFS(⑭手動工程入力!$M$6:$M$47,⑭手動工程入力!$S$6:$S$47,$J157,⑭手動工程入力!$J$6:$J$47,"&gt;0")-SUMIFS(⑭手動工程入力!$M$6:$M$47,⑭手動工程入力!$S$6:$S$47,$J157,⑭手動工程入力!$J$6:$J$47,"&gt;0",⑭手動工程入力!$I$6:$I$47,"&gt;0"))</f>
        <v/>
      </c>
      <c r="O157" s="393">
        <f>IF($J157="",0,SUMIFS(②釜工程入力!$J$5:$J$117,②釜工程入力!$S$5:$S$117,$J157,②釜工程入力!$J$5:$J$117,"&gt;0",②釜工程入力!$M$5:$M$117,"&gt;0")-SUMIFS(②釜工程入力!$J$5:$J$117,②釜工程入力!$S$5:$S$117,$J157,②釜工程入力!$J$5:$J$117,"&gt;0",②釜工程入力!$I$5:$I$117,"&gt;0",②釜工程入力!$M$5:$M$117,"&gt;0")+SUMIFS(③スチコン工程入力!$J$5:$J$152,③スチコン工程入力!$S$5:$S$152,$J157,③スチコン工程入力!$J$5:$J$152,"&gt;0",③スチコン工程入力!$M$5:$M$152,"&gt;0")-SUMIFS(③スチコン工程入力!$J$5:$J$152,③スチコン工程入力!$S$5:$S$152,$J157,③スチコン工程入力!$J$5:$J$152,"&gt;0",③スチコン工程入力!$I$5:$I$152,"&gt;0",③スチコン工程入力!$M$5:$M$152,"&gt;0")+SUMIFS(⑪ZEN工程入力!$J$6:$J$35,⑪ZEN工程入力!$S$6:$S$35,$J157,⑪ZEN工程入力!$J$6:$J$35,"&gt;0",⑪ZEN工程入力!$M$6:$M$35,"&gt;0")-SUMIFS(⑪ZEN工程入力!$J$6:$J$35,⑪ZEN工程入力!$S$6:$S$35,$J157,⑪ZEN工程入力!$J$6:$J$35,"&gt;0",⑪ZEN工程入力!$I$6:$I$35,"&gt;0",⑪ZEN工程入力!$M$6:$M$35,"&gt;0")+SUMIFS(⑫ミキサー工程入力!$J$6:$J$65,⑫ミキサー工程入力!$S$6:$S$65,$J157,⑫ミキサー工程入力!$J$6:$J$65,"&gt;0",⑫ミキサー工程入力!$M$6:$M$65,"&gt;0")-SUMIFS(⑫ミキサー工程入力!$J$6:$J$65,⑫ミキサー工程入力!$S$6:$S$65,$J157,⑫ミキサー工程入力!$J$6:$J$65,"&gt;0",⑫ミキサー工程入力!$I$6:$I$65,"&gt;0",⑫ミキサー工程入力!$M$6:$M$65,"&gt;0")+SUMIFS(⑬計量工程入力!$J$6:$J$65,⑬計量工程入力!$S$6:$S$65,$J157,⑬計量工程入力!$J$6:$J$65,"&gt;0",⑬計量工程入力!$M$6:$M$65,"&gt;0")-SUMIFS(⑬計量工程入力!$J$6:$J$65,⑬計量工程入力!$S$6:$S$65,$J157,⑬計量工程入力!$J$6:$J$65,"&gt;0",⑬計量工程入力!$I$6:$I$65,"&gt;0",⑬計量工程入力!$M$6:$M$65,"&gt;0")+SUMIFS(⑭手動工程入力!$J$6:$J$47,⑭手動工程入力!$S$6:$S$47,$J157,⑭手動工程入力!$J$6:$J$47,"&gt;0",⑭手動工程入力!$M$6:$M$47,"&gt;0")-SUMIFS(⑭手動工程入力!$J$6:$J$47,⑭手動工程入力!$S$6:$S$47,$J157,⑭手動工程入力!$J$6:$J$47,"&gt;0",⑭手動工程入力!$I$6:$I$47,"&gt;0",⑭手動工程入力!$M$6:$M$47,"&gt;0"))</f>
        <v/>
      </c>
      <c r="P157" s="392" t="n"/>
    </row>
    <row r="158">
      <c r="A158" s="392" t="n">
        <v>154</v>
      </c>
      <c r="B158" s="392" t="n"/>
      <c r="C158" s="392" t="n"/>
      <c r="D158" s="392" t="n"/>
      <c r="E158" s="392" t="n"/>
      <c r="F158" s="394" t="n"/>
      <c r="G158" s="392" t="n"/>
      <c r="H158" s="604">
        <f>IFERROR(IF(AND($K158&gt;0,ISNUMBER(IF(OR($D158="g",$D158="ｇ"),IF($M158&gt;0,$L158/$M158/1000,""),IF($D158="kg",IF($M158&gt;0,$L158/$M158,""),IF($D158="",IF($M158&gt;0,$L158/$M158/1000,IF($O158&gt;0,$N158/$O158,"")),IF($O158&gt;0,$N158/$O158,"")))))),IF(OR($D158="g",$D158="ｇ"),IF($M158&gt;0,$L158/$M158/1000,""),IF($D158="kg",IF($M158&gt;0,$L158/$M158,""),IF($D158="",IF($M158&gt;0,$L158/$M158/1000,IF($O158&gt;0,$N158/$O158,"")),IF($O158&gt;0,$N158/$O158,"")))),IF($F158="",IF(OR($E158="",$E158="⑩盛付梱包工程入力"),"",IF(OR($D158="g",$D158="ｇ"),INDEX(⑰工程労務費一覧!$N$5:$N$11,MATCH($E158,⑰工程労務費一覧!$K$5:$K$11,0))/1000,IF($D158="kg",INDEX(⑰工程労務費一覧!$N$5:$N$11,MATCH($E158,⑰工程労務費一覧!$K$5:$K$11,0)),IF(OR($D158="個",$D158="切",$D158="本",$D158="枚",$D158="尾"),IF($E158="⑬計量工程入力","",INDEX(⑰工程労務費一覧!$P$5:$P$11,MATCH($E158,⑰工程労務費一覧!$K$5:$K$11,0))),IF(AND($D158="",OR($E158="②釜工程入力",$E158="③スチコン工程入力")),INDEX(⑰工程労務費一覧!$N$5:$N$11,MATCH($E158,⑰工程労務費一覧!$K$5:$K$11,0))/1000,""))))),IF(OR($D158="g",$D158="ｇ"),INDEX(⑰工程労務費一覧!$H$5:$H$753,MATCH($F158,⑰工程労務費一覧!$D$5:$D$753,0))/1000,IF($D158="kg",INDEX(⑰工程労務費一覧!$H$5:$H$753,MATCH($F158,⑰工程労務費一覧!$D$5:$D$753,0)),INDEX(⑰工程労務費一覧!$I$5:$I$753,MATCH($F158,⑰工程労務費一覧!$D$5:$D$753,0)))))),"")</f>
        <v/>
      </c>
      <c r="I158" s="392">
        <f>IF($K158&gt;0,IF(ISNUMBER(IF(OR($D158="g",$D158="ｇ"),IF($M158&gt;0,$L158/$M158/1000,""),IF($D158="kg",IF($M158&gt;0,$L158/$M158,""),IF($D158="",IF($M158&gt;0,$L158/$M158/1000,IF($O158&gt;0,$N158/$O158,"")),IF($O158&gt;0,$N158/$O158,""))))),IF($D158="",IF($M158&gt;0,"◎ JAN紐づけ(g扱い)","◎ JAN紐づけ(個扱い)"),"◎ JAN紐づけ"),"△ JAN紐づけ済・実績不足→仮計算"),IF($F158="",IF(ISNUMBER($H158),IF($D158="","⑤ 工程平均で仮計算(g扱い)","⑤ 工程平均で仮計算"),IF($E158="⑩盛付梱包工程入力","⑥ 盛り込み(⑳F列で計上)",IF(AND($E158="⑬計量工程入力",OR($D158="個",$D158="切",$D158="本",$D158="枚",$D158="尾")),"① 未紐づけ(カット個単位は仮単価なし)","① 未紐づけ"))),IF(NOT(ISNUMBER($H158)),"② 工程側に単価なし",IF($D158="","③ 単位未設定(個で計算)","④ OK"))))</f>
        <v/>
      </c>
      <c r="J158" s="399">
        <f>IFERROR(LOOKUP(2,1/((中間品リスト!$F$2:$F$1299=$B158)*(中間品リスト!$E$2:$E$1299&lt;&gt;"-")*(中間品リスト!$E$2:$E$1299&lt;&gt;"")),中間品リスト!$E$2:$E$1299),"")</f>
        <v/>
      </c>
      <c r="K158" s="400">
        <f>IF($J158="",0,COUNTIF(②釜工程入力!$S$5:$S$117,$J158)+COUNTIF(③スチコン工程入力!$S$5:$S$152,$J158)+COUNTIF(⑪ZEN工程入力!$S$6:$S$35,$J158)+COUNTIF(⑫ミキサー工程入力!$S$6:$S$65,$J158)+COUNTIF(⑬計量工程入力!$S$6:$S$65,$J158)+COUNTIF(⑭手動工程入力!$S$6:$S$47,$J158))</f>
        <v/>
      </c>
      <c r="L158" s="393">
        <f>IF($J158="",0,SUMIFS(②釜工程入力!$M$5:$M$117,②釜工程入力!$S$5:$S$117,$J158,②釜工程入力!$I$5:$I$117,"&gt;0")+SUMIFS(③スチコン工程入力!$M$5:$M$152,③スチコン工程入力!$S$5:$S$152,$J158,③スチコン工程入力!$I$5:$I$152,"&gt;0")+SUMIFS(⑪ZEN工程入力!$M$6:$M$35,⑪ZEN工程入力!$S$6:$S$35,$J158,⑪ZEN工程入力!$I$6:$I$35,"&gt;0")+SUMIFS(⑫ミキサー工程入力!$M$6:$M$65,⑫ミキサー工程入力!$S$6:$S$65,$J158,⑫ミキサー工程入力!$I$6:$I$65,"&gt;0")+SUMIFS(⑬計量工程入力!$M$6:$M$65,⑬計量工程入力!$S$6:$S$65,$J158,⑬計量工程入力!$I$6:$I$65,"&gt;0")+SUMIFS(⑭手動工程入力!$M$6:$M$47,⑭手動工程入力!$S$6:$S$47,$J158,⑭手動工程入力!$I$6:$I$47,"&gt;0"))</f>
        <v/>
      </c>
      <c r="M158" s="393">
        <f>IF($J158="",0,SUMIFS(②釜工程入力!$I$5:$I$117,②釜工程入力!$S$5:$S$117,$J158,②釜工程入力!$I$5:$I$117,"&gt;0",②釜工程入力!$M$5:$M$117,"&gt;0")+SUMIFS(③スチコン工程入力!$I$5:$I$152,③スチコン工程入力!$S$5:$S$152,$J158,③スチコン工程入力!$I$5:$I$152,"&gt;0",③スチコン工程入力!$M$5:$M$152,"&gt;0")+SUMIFS(⑪ZEN工程入力!$I$6:$I$35,⑪ZEN工程入力!$S$6:$S$35,$J158,⑪ZEN工程入力!$I$6:$I$35,"&gt;0",⑪ZEN工程入力!$M$6:$M$35,"&gt;0")+SUMIFS(⑫ミキサー工程入力!$I$6:$I$65,⑫ミキサー工程入力!$S$6:$S$65,$J158,⑫ミキサー工程入力!$I$6:$I$65,"&gt;0",⑫ミキサー工程入力!$M$6:$M$65,"&gt;0")+SUMIFS(⑬計量工程入力!$I$6:$I$65,⑬計量工程入力!$S$6:$S$65,$J158,⑬計量工程入力!$I$6:$I$65,"&gt;0",⑬計量工程入力!$M$6:$M$65,"&gt;0")+SUMIFS(⑭手動工程入力!$I$6:$I$47,⑭手動工程入力!$S$6:$S$47,$J158,⑭手動工程入力!$I$6:$I$47,"&gt;0",⑭手動工程入力!$M$6:$M$47,"&gt;0"))</f>
        <v/>
      </c>
      <c r="N158" s="393">
        <f>IF($J158="",0,SUMIFS(②釜工程入力!$M$5:$M$117,②釜工程入力!$S$5:$S$117,$J158,②釜工程入力!$J$5:$J$117,"&gt;0")-SUMIFS(②釜工程入力!$M$5:$M$117,②釜工程入力!$S$5:$S$117,$J158,②釜工程入力!$J$5:$J$117,"&gt;0",②釜工程入力!$I$5:$I$117,"&gt;0")+SUMIFS(③スチコン工程入力!$M$5:$M$152,③スチコン工程入力!$S$5:$S$152,$J158,③スチコン工程入力!$J$5:$J$152,"&gt;0")-SUMIFS(③スチコン工程入力!$M$5:$M$152,③スチコン工程入力!$S$5:$S$152,$J158,③スチコン工程入力!$J$5:$J$152,"&gt;0",③スチコン工程入力!$I$5:$I$152,"&gt;0")+SUMIFS(⑪ZEN工程入力!$M$6:$M$35,⑪ZEN工程入力!$S$6:$S$35,$J158,⑪ZEN工程入力!$J$6:$J$35,"&gt;0")-SUMIFS(⑪ZEN工程入力!$M$6:$M$35,⑪ZEN工程入力!$S$6:$S$35,$J158,⑪ZEN工程入力!$J$6:$J$35,"&gt;0",⑪ZEN工程入力!$I$6:$I$35,"&gt;0")+SUMIFS(⑫ミキサー工程入力!$M$6:$M$65,⑫ミキサー工程入力!$S$6:$S$65,$J158,⑫ミキサー工程入力!$J$6:$J$65,"&gt;0")-SUMIFS(⑫ミキサー工程入力!$M$6:$M$65,⑫ミキサー工程入力!$S$6:$S$65,$J158,⑫ミキサー工程入力!$J$6:$J$65,"&gt;0",⑫ミキサー工程入力!$I$6:$I$65,"&gt;0")+SUMIFS(⑬計量工程入力!$M$6:$M$65,⑬計量工程入力!$S$6:$S$65,$J158,⑬計量工程入力!$J$6:$J$65,"&gt;0")-SUMIFS(⑬計量工程入力!$M$6:$M$65,⑬計量工程入力!$S$6:$S$65,$J158,⑬計量工程入力!$J$6:$J$65,"&gt;0",⑬計量工程入力!$I$6:$I$65,"&gt;0")+SUMIFS(⑭手動工程入力!$M$6:$M$47,⑭手動工程入力!$S$6:$S$47,$J158,⑭手動工程入力!$J$6:$J$47,"&gt;0")-SUMIFS(⑭手動工程入力!$M$6:$M$47,⑭手動工程入力!$S$6:$S$47,$J158,⑭手動工程入力!$J$6:$J$47,"&gt;0",⑭手動工程入力!$I$6:$I$47,"&gt;0"))</f>
        <v/>
      </c>
      <c r="O158" s="393">
        <f>IF($J158="",0,SUMIFS(②釜工程入力!$J$5:$J$117,②釜工程入力!$S$5:$S$117,$J158,②釜工程入力!$J$5:$J$117,"&gt;0",②釜工程入力!$M$5:$M$117,"&gt;0")-SUMIFS(②釜工程入力!$J$5:$J$117,②釜工程入力!$S$5:$S$117,$J158,②釜工程入力!$J$5:$J$117,"&gt;0",②釜工程入力!$I$5:$I$117,"&gt;0",②釜工程入力!$M$5:$M$117,"&gt;0")+SUMIFS(③スチコン工程入力!$J$5:$J$152,③スチコン工程入力!$S$5:$S$152,$J158,③スチコン工程入力!$J$5:$J$152,"&gt;0",③スチコン工程入力!$M$5:$M$152,"&gt;0")-SUMIFS(③スチコン工程入力!$J$5:$J$152,③スチコン工程入力!$S$5:$S$152,$J158,③スチコン工程入力!$J$5:$J$152,"&gt;0",③スチコン工程入力!$I$5:$I$152,"&gt;0",③スチコン工程入力!$M$5:$M$152,"&gt;0")+SUMIFS(⑪ZEN工程入力!$J$6:$J$35,⑪ZEN工程入力!$S$6:$S$35,$J158,⑪ZEN工程入力!$J$6:$J$35,"&gt;0",⑪ZEN工程入力!$M$6:$M$35,"&gt;0")-SUMIFS(⑪ZEN工程入力!$J$6:$J$35,⑪ZEN工程入力!$S$6:$S$35,$J158,⑪ZEN工程入力!$J$6:$J$35,"&gt;0",⑪ZEN工程入力!$I$6:$I$35,"&gt;0",⑪ZEN工程入力!$M$6:$M$35,"&gt;0")+SUMIFS(⑫ミキサー工程入力!$J$6:$J$65,⑫ミキサー工程入力!$S$6:$S$65,$J158,⑫ミキサー工程入力!$J$6:$J$65,"&gt;0",⑫ミキサー工程入力!$M$6:$M$65,"&gt;0")-SUMIFS(⑫ミキサー工程入力!$J$6:$J$65,⑫ミキサー工程入力!$S$6:$S$65,$J158,⑫ミキサー工程入力!$J$6:$J$65,"&gt;0",⑫ミキサー工程入力!$I$6:$I$65,"&gt;0",⑫ミキサー工程入力!$M$6:$M$65,"&gt;0")+SUMIFS(⑬計量工程入力!$J$6:$J$65,⑬計量工程入力!$S$6:$S$65,$J158,⑬計量工程入力!$J$6:$J$65,"&gt;0",⑬計量工程入力!$M$6:$M$65,"&gt;0")-SUMIFS(⑬計量工程入力!$J$6:$J$65,⑬計量工程入力!$S$6:$S$65,$J158,⑬計量工程入力!$J$6:$J$65,"&gt;0",⑬計量工程入力!$I$6:$I$65,"&gt;0",⑬計量工程入力!$M$6:$M$65,"&gt;0")+SUMIFS(⑭手動工程入力!$J$6:$J$47,⑭手動工程入力!$S$6:$S$47,$J158,⑭手動工程入力!$J$6:$J$47,"&gt;0",⑭手動工程入力!$M$6:$M$47,"&gt;0")-SUMIFS(⑭手動工程入力!$J$6:$J$47,⑭手動工程入力!$S$6:$S$47,$J158,⑭手動工程入力!$J$6:$J$47,"&gt;0",⑭手動工程入力!$I$6:$I$47,"&gt;0",⑭手動工程入力!$M$6:$M$47,"&gt;0"))</f>
        <v/>
      </c>
      <c r="P158" s="392" t="n"/>
    </row>
    <row r="159">
      <c r="A159" s="392" t="n">
        <v>155</v>
      </c>
      <c r="B159" s="392" t="n"/>
      <c r="C159" s="392" t="n"/>
      <c r="D159" s="392" t="n"/>
      <c r="E159" s="392" t="n"/>
      <c r="F159" s="394" t="n"/>
      <c r="G159" s="392" t="n"/>
      <c r="H159" s="604">
        <f>IFERROR(IF(AND($K159&gt;0,ISNUMBER(IF(OR($D159="g",$D159="ｇ"),IF($M159&gt;0,$L159/$M159/1000,""),IF($D159="kg",IF($M159&gt;0,$L159/$M159,""),IF($D159="",IF($M159&gt;0,$L159/$M159/1000,IF($O159&gt;0,$N159/$O159,"")),IF($O159&gt;0,$N159/$O159,"")))))),IF(OR($D159="g",$D159="ｇ"),IF($M159&gt;0,$L159/$M159/1000,""),IF($D159="kg",IF($M159&gt;0,$L159/$M159,""),IF($D159="",IF($M159&gt;0,$L159/$M159/1000,IF($O159&gt;0,$N159/$O159,"")),IF($O159&gt;0,$N159/$O159,"")))),IF($F159="",IF(OR($E159="",$E159="⑩盛付梱包工程入力"),"",IF(OR($D159="g",$D159="ｇ"),INDEX(⑰工程労務費一覧!$N$5:$N$11,MATCH($E159,⑰工程労務費一覧!$K$5:$K$11,0))/1000,IF($D159="kg",INDEX(⑰工程労務費一覧!$N$5:$N$11,MATCH($E159,⑰工程労務費一覧!$K$5:$K$11,0)),IF(OR($D159="個",$D159="切",$D159="本",$D159="枚",$D159="尾"),IF($E159="⑬計量工程入力","",INDEX(⑰工程労務費一覧!$P$5:$P$11,MATCH($E159,⑰工程労務費一覧!$K$5:$K$11,0))),IF(AND($D159="",OR($E159="②釜工程入力",$E159="③スチコン工程入力")),INDEX(⑰工程労務費一覧!$N$5:$N$11,MATCH($E159,⑰工程労務費一覧!$K$5:$K$11,0))/1000,""))))),IF(OR($D159="g",$D159="ｇ"),INDEX(⑰工程労務費一覧!$H$5:$H$753,MATCH($F159,⑰工程労務費一覧!$D$5:$D$753,0))/1000,IF($D159="kg",INDEX(⑰工程労務費一覧!$H$5:$H$753,MATCH($F159,⑰工程労務費一覧!$D$5:$D$753,0)),INDEX(⑰工程労務費一覧!$I$5:$I$753,MATCH($F159,⑰工程労務費一覧!$D$5:$D$753,0)))))),"")</f>
        <v/>
      </c>
      <c r="I159" s="392">
        <f>IF($K159&gt;0,IF(ISNUMBER(IF(OR($D159="g",$D159="ｇ"),IF($M159&gt;0,$L159/$M159/1000,""),IF($D159="kg",IF($M159&gt;0,$L159/$M159,""),IF($D159="",IF($M159&gt;0,$L159/$M159/1000,IF($O159&gt;0,$N159/$O159,"")),IF($O159&gt;0,$N159/$O159,""))))),IF($D159="",IF($M159&gt;0,"◎ JAN紐づけ(g扱い)","◎ JAN紐づけ(個扱い)"),"◎ JAN紐づけ"),"△ JAN紐づけ済・実績不足→仮計算"),IF($F159="",IF(ISNUMBER($H159),IF($D159="","⑤ 工程平均で仮計算(g扱い)","⑤ 工程平均で仮計算"),IF($E159="⑩盛付梱包工程入力","⑥ 盛り込み(⑳F列で計上)",IF(AND($E159="⑬計量工程入力",OR($D159="個",$D159="切",$D159="本",$D159="枚",$D159="尾")),"① 未紐づけ(カット個単位は仮単価なし)","① 未紐づけ"))),IF(NOT(ISNUMBER($H159)),"② 工程側に単価なし",IF($D159="","③ 単位未設定(個で計算)","④ OK"))))</f>
        <v/>
      </c>
      <c r="J159" s="399">
        <f>IFERROR(LOOKUP(2,1/((中間品リスト!$F$2:$F$1299=$B159)*(中間品リスト!$E$2:$E$1299&lt;&gt;"-")*(中間品リスト!$E$2:$E$1299&lt;&gt;"")),中間品リスト!$E$2:$E$1299),"")</f>
        <v/>
      </c>
      <c r="K159" s="400">
        <f>IF($J159="",0,COUNTIF(②釜工程入力!$S$5:$S$117,$J159)+COUNTIF(③スチコン工程入力!$S$5:$S$152,$J159)+COUNTIF(⑪ZEN工程入力!$S$6:$S$35,$J159)+COUNTIF(⑫ミキサー工程入力!$S$6:$S$65,$J159)+COUNTIF(⑬計量工程入力!$S$6:$S$65,$J159)+COUNTIF(⑭手動工程入力!$S$6:$S$47,$J159))</f>
        <v/>
      </c>
      <c r="L159" s="393">
        <f>IF($J159="",0,SUMIFS(②釜工程入力!$M$5:$M$117,②釜工程入力!$S$5:$S$117,$J159,②釜工程入力!$I$5:$I$117,"&gt;0")+SUMIFS(③スチコン工程入力!$M$5:$M$152,③スチコン工程入力!$S$5:$S$152,$J159,③スチコン工程入力!$I$5:$I$152,"&gt;0")+SUMIFS(⑪ZEN工程入力!$M$6:$M$35,⑪ZEN工程入力!$S$6:$S$35,$J159,⑪ZEN工程入力!$I$6:$I$35,"&gt;0")+SUMIFS(⑫ミキサー工程入力!$M$6:$M$65,⑫ミキサー工程入力!$S$6:$S$65,$J159,⑫ミキサー工程入力!$I$6:$I$65,"&gt;0")+SUMIFS(⑬計量工程入力!$M$6:$M$65,⑬計量工程入力!$S$6:$S$65,$J159,⑬計量工程入力!$I$6:$I$65,"&gt;0")+SUMIFS(⑭手動工程入力!$M$6:$M$47,⑭手動工程入力!$S$6:$S$47,$J159,⑭手動工程入力!$I$6:$I$47,"&gt;0"))</f>
        <v/>
      </c>
      <c r="M159" s="393">
        <f>IF($J159="",0,SUMIFS(②釜工程入力!$I$5:$I$117,②釜工程入力!$S$5:$S$117,$J159,②釜工程入力!$I$5:$I$117,"&gt;0",②釜工程入力!$M$5:$M$117,"&gt;0")+SUMIFS(③スチコン工程入力!$I$5:$I$152,③スチコン工程入力!$S$5:$S$152,$J159,③スチコン工程入力!$I$5:$I$152,"&gt;0",③スチコン工程入力!$M$5:$M$152,"&gt;0")+SUMIFS(⑪ZEN工程入力!$I$6:$I$35,⑪ZEN工程入力!$S$6:$S$35,$J159,⑪ZEN工程入力!$I$6:$I$35,"&gt;0",⑪ZEN工程入力!$M$6:$M$35,"&gt;0")+SUMIFS(⑫ミキサー工程入力!$I$6:$I$65,⑫ミキサー工程入力!$S$6:$S$65,$J159,⑫ミキサー工程入力!$I$6:$I$65,"&gt;0",⑫ミキサー工程入力!$M$6:$M$65,"&gt;0")+SUMIFS(⑬計量工程入力!$I$6:$I$65,⑬計量工程入力!$S$6:$S$65,$J159,⑬計量工程入力!$I$6:$I$65,"&gt;0",⑬計量工程入力!$M$6:$M$65,"&gt;0")+SUMIFS(⑭手動工程入力!$I$6:$I$47,⑭手動工程入力!$S$6:$S$47,$J159,⑭手動工程入力!$I$6:$I$47,"&gt;0",⑭手動工程入力!$M$6:$M$47,"&gt;0"))</f>
        <v/>
      </c>
      <c r="N159" s="393">
        <f>IF($J159="",0,SUMIFS(②釜工程入力!$M$5:$M$117,②釜工程入力!$S$5:$S$117,$J159,②釜工程入力!$J$5:$J$117,"&gt;0")-SUMIFS(②釜工程入力!$M$5:$M$117,②釜工程入力!$S$5:$S$117,$J159,②釜工程入力!$J$5:$J$117,"&gt;0",②釜工程入力!$I$5:$I$117,"&gt;0")+SUMIFS(③スチコン工程入力!$M$5:$M$152,③スチコン工程入力!$S$5:$S$152,$J159,③スチコン工程入力!$J$5:$J$152,"&gt;0")-SUMIFS(③スチコン工程入力!$M$5:$M$152,③スチコン工程入力!$S$5:$S$152,$J159,③スチコン工程入力!$J$5:$J$152,"&gt;0",③スチコン工程入力!$I$5:$I$152,"&gt;0")+SUMIFS(⑪ZEN工程入力!$M$6:$M$35,⑪ZEN工程入力!$S$6:$S$35,$J159,⑪ZEN工程入力!$J$6:$J$35,"&gt;0")-SUMIFS(⑪ZEN工程入力!$M$6:$M$35,⑪ZEN工程入力!$S$6:$S$35,$J159,⑪ZEN工程入力!$J$6:$J$35,"&gt;0",⑪ZEN工程入力!$I$6:$I$35,"&gt;0")+SUMIFS(⑫ミキサー工程入力!$M$6:$M$65,⑫ミキサー工程入力!$S$6:$S$65,$J159,⑫ミキサー工程入力!$J$6:$J$65,"&gt;0")-SUMIFS(⑫ミキサー工程入力!$M$6:$M$65,⑫ミキサー工程入力!$S$6:$S$65,$J159,⑫ミキサー工程入力!$J$6:$J$65,"&gt;0",⑫ミキサー工程入力!$I$6:$I$65,"&gt;0")+SUMIFS(⑬計量工程入力!$M$6:$M$65,⑬計量工程入力!$S$6:$S$65,$J159,⑬計量工程入力!$J$6:$J$65,"&gt;0")-SUMIFS(⑬計量工程入力!$M$6:$M$65,⑬計量工程入力!$S$6:$S$65,$J159,⑬計量工程入力!$J$6:$J$65,"&gt;0",⑬計量工程入力!$I$6:$I$65,"&gt;0")+SUMIFS(⑭手動工程入力!$M$6:$M$47,⑭手動工程入力!$S$6:$S$47,$J159,⑭手動工程入力!$J$6:$J$47,"&gt;0")-SUMIFS(⑭手動工程入力!$M$6:$M$47,⑭手動工程入力!$S$6:$S$47,$J159,⑭手動工程入力!$J$6:$J$47,"&gt;0",⑭手動工程入力!$I$6:$I$47,"&gt;0"))</f>
        <v/>
      </c>
      <c r="O159" s="393">
        <f>IF($J159="",0,SUMIFS(②釜工程入力!$J$5:$J$117,②釜工程入力!$S$5:$S$117,$J159,②釜工程入力!$J$5:$J$117,"&gt;0",②釜工程入力!$M$5:$M$117,"&gt;0")-SUMIFS(②釜工程入力!$J$5:$J$117,②釜工程入力!$S$5:$S$117,$J159,②釜工程入力!$J$5:$J$117,"&gt;0",②釜工程入力!$I$5:$I$117,"&gt;0",②釜工程入力!$M$5:$M$117,"&gt;0")+SUMIFS(③スチコン工程入力!$J$5:$J$152,③スチコン工程入力!$S$5:$S$152,$J159,③スチコン工程入力!$J$5:$J$152,"&gt;0",③スチコン工程入力!$M$5:$M$152,"&gt;0")-SUMIFS(③スチコン工程入力!$J$5:$J$152,③スチコン工程入力!$S$5:$S$152,$J159,③スチコン工程入力!$J$5:$J$152,"&gt;0",③スチコン工程入力!$I$5:$I$152,"&gt;0",③スチコン工程入力!$M$5:$M$152,"&gt;0")+SUMIFS(⑪ZEN工程入力!$J$6:$J$35,⑪ZEN工程入力!$S$6:$S$35,$J159,⑪ZEN工程入力!$J$6:$J$35,"&gt;0",⑪ZEN工程入力!$M$6:$M$35,"&gt;0")-SUMIFS(⑪ZEN工程入力!$J$6:$J$35,⑪ZEN工程入力!$S$6:$S$35,$J159,⑪ZEN工程入力!$J$6:$J$35,"&gt;0",⑪ZEN工程入力!$I$6:$I$35,"&gt;0",⑪ZEN工程入力!$M$6:$M$35,"&gt;0")+SUMIFS(⑫ミキサー工程入力!$J$6:$J$65,⑫ミキサー工程入力!$S$6:$S$65,$J159,⑫ミキサー工程入力!$J$6:$J$65,"&gt;0",⑫ミキサー工程入力!$M$6:$M$65,"&gt;0")-SUMIFS(⑫ミキサー工程入力!$J$6:$J$65,⑫ミキサー工程入力!$S$6:$S$65,$J159,⑫ミキサー工程入力!$J$6:$J$65,"&gt;0",⑫ミキサー工程入力!$I$6:$I$65,"&gt;0",⑫ミキサー工程入力!$M$6:$M$65,"&gt;0")+SUMIFS(⑬計量工程入力!$J$6:$J$65,⑬計量工程入力!$S$6:$S$65,$J159,⑬計量工程入力!$J$6:$J$65,"&gt;0",⑬計量工程入力!$M$6:$M$65,"&gt;0")-SUMIFS(⑬計量工程入力!$J$6:$J$65,⑬計量工程入力!$S$6:$S$65,$J159,⑬計量工程入力!$J$6:$J$65,"&gt;0",⑬計量工程入力!$I$6:$I$65,"&gt;0",⑬計量工程入力!$M$6:$M$65,"&gt;0")+SUMIFS(⑭手動工程入力!$J$6:$J$47,⑭手動工程入力!$S$6:$S$47,$J159,⑭手動工程入力!$J$6:$J$47,"&gt;0",⑭手動工程入力!$M$6:$M$47,"&gt;0")-SUMIFS(⑭手動工程入力!$J$6:$J$47,⑭手動工程入力!$S$6:$S$47,$J159,⑭手動工程入力!$J$6:$J$47,"&gt;0",⑭手動工程入力!$I$6:$I$47,"&gt;0",⑭手動工程入力!$M$6:$M$47,"&gt;0"))</f>
        <v/>
      </c>
      <c r="P159" s="392" t="n"/>
    </row>
    <row r="160">
      <c r="A160" s="392" t="n">
        <v>156</v>
      </c>
      <c r="B160" s="392" t="n"/>
      <c r="C160" s="392" t="n"/>
      <c r="D160" s="392" t="n"/>
      <c r="E160" s="392" t="n"/>
      <c r="F160" s="394" t="n"/>
      <c r="G160" s="392" t="n"/>
      <c r="H160" s="604">
        <f>IFERROR(IF(AND($K160&gt;0,ISNUMBER(IF(OR($D160="g",$D160="ｇ"),IF($M160&gt;0,$L160/$M160/1000,""),IF($D160="kg",IF($M160&gt;0,$L160/$M160,""),IF($D160="",IF($M160&gt;0,$L160/$M160/1000,IF($O160&gt;0,$N160/$O160,"")),IF($O160&gt;0,$N160/$O160,"")))))),IF(OR($D160="g",$D160="ｇ"),IF($M160&gt;0,$L160/$M160/1000,""),IF($D160="kg",IF($M160&gt;0,$L160/$M160,""),IF($D160="",IF($M160&gt;0,$L160/$M160/1000,IF($O160&gt;0,$N160/$O160,"")),IF($O160&gt;0,$N160/$O160,"")))),IF($F160="",IF(OR($E160="",$E160="⑩盛付梱包工程入力"),"",IF(OR($D160="g",$D160="ｇ"),INDEX(⑰工程労務費一覧!$N$5:$N$11,MATCH($E160,⑰工程労務費一覧!$K$5:$K$11,0))/1000,IF($D160="kg",INDEX(⑰工程労務費一覧!$N$5:$N$11,MATCH($E160,⑰工程労務費一覧!$K$5:$K$11,0)),IF(OR($D160="個",$D160="切",$D160="本",$D160="枚",$D160="尾"),IF($E160="⑬計量工程入力","",INDEX(⑰工程労務費一覧!$P$5:$P$11,MATCH($E160,⑰工程労務費一覧!$K$5:$K$11,0))),IF(AND($D160="",OR($E160="②釜工程入力",$E160="③スチコン工程入力")),INDEX(⑰工程労務費一覧!$N$5:$N$11,MATCH($E160,⑰工程労務費一覧!$K$5:$K$11,0))/1000,""))))),IF(OR($D160="g",$D160="ｇ"),INDEX(⑰工程労務費一覧!$H$5:$H$753,MATCH($F160,⑰工程労務費一覧!$D$5:$D$753,0))/1000,IF($D160="kg",INDEX(⑰工程労務費一覧!$H$5:$H$753,MATCH($F160,⑰工程労務費一覧!$D$5:$D$753,0)),INDEX(⑰工程労務費一覧!$I$5:$I$753,MATCH($F160,⑰工程労務費一覧!$D$5:$D$753,0)))))),"")</f>
        <v/>
      </c>
      <c r="I160" s="392">
        <f>IF($K160&gt;0,IF(ISNUMBER(IF(OR($D160="g",$D160="ｇ"),IF($M160&gt;0,$L160/$M160/1000,""),IF($D160="kg",IF($M160&gt;0,$L160/$M160,""),IF($D160="",IF($M160&gt;0,$L160/$M160/1000,IF($O160&gt;0,$N160/$O160,"")),IF($O160&gt;0,$N160/$O160,""))))),IF($D160="",IF($M160&gt;0,"◎ JAN紐づけ(g扱い)","◎ JAN紐づけ(個扱い)"),"◎ JAN紐づけ"),"△ JAN紐づけ済・実績不足→仮計算"),IF($F160="",IF(ISNUMBER($H160),IF($D160="","⑤ 工程平均で仮計算(g扱い)","⑤ 工程平均で仮計算"),IF($E160="⑩盛付梱包工程入力","⑥ 盛り込み(⑳F列で計上)",IF(AND($E160="⑬計量工程入力",OR($D160="個",$D160="切",$D160="本",$D160="枚",$D160="尾")),"① 未紐づけ(カット個単位は仮単価なし)","① 未紐づけ"))),IF(NOT(ISNUMBER($H160)),"② 工程側に単価なし",IF($D160="","③ 単位未設定(個で計算)","④ OK"))))</f>
        <v/>
      </c>
      <c r="J160" s="399">
        <f>IFERROR(LOOKUP(2,1/((中間品リスト!$F$2:$F$1299=$B160)*(中間品リスト!$E$2:$E$1299&lt;&gt;"-")*(中間品リスト!$E$2:$E$1299&lt;&gt;"")),中間品リスト!$E$2:$E$1299),"")</f>
        <v/>
      </c>
      <c r="K160" s="400">
        <f>IF($J160="",0,COUNTIF(②釜工程入力!$S$5:$S$117,$J160)+COUNTIF(③スチコン工程入力!$S$5:$S$152,$J160)+COUNTIF(⑪ZEN工程入力!$S$6:$S$35,$J160)+COUNTIF(⑫ミキサー工程入力!$S$6:$S$65,$J160)+COUNTIF(⑬計量工程入力!$S$6:$S$65,$J160)+COUNTIF(⑭手動工程入力!$S$6:$S$47,$J160))</f>
        <v/>
      </c>
      <c r="L160" s="393">
        <f>IF($J160="",0,SUMIFS(②釜工程入力!$M$5:$M$117,②釜工程入力!$S$5:$S$117,$J160,②釜工程入力!$I$5:$I$117,"&gt;0")+SUMIFS(③スチコン工程入力!$M$5:$M$152,③スチコン工程入力!$S$5:$S$152,$J160,③スチコン工程入力!$I$5:$I$152,"&gt;0")+SUMIFS(⑪ZEN工程入力!$M$6:$M$35,⑪ZEN工程入力!$S$6:$S$35,$J160,⑪ZEN工程入力!$I$6:$I$35,"&gt;0")+SUMIFS(⑫ミキサー工程入力!$M$6:$M$65,⑫ミキサー工程入力!$S$6:$S$65,$J160,⑫ミキサー工程入力!$I$6:$I$65,"&gt;0")+SUMIFS(⑬計量工程入力!$M$6:$M$65,⑬計量工程入力!$S$6:$S$65,$J160,⑬計量工程入力!$I$6:$I$65,"&gt;0")+SUMIFS(⑭手動工程入力!$M$6:$M$47,⑭手動工程入力!$S$6:$S$47,$J160,⑭手動工程入力!$I$6:$I$47,"&gt;0"))</f>
        <v/>
      </c>
      <c r="M160" s="393">
        <f>IF($J160="",0,SUMIFS(②釜工程入力!$I$5:$I$117,②釜工程入力!$S$5:$S$117,$J160,②釜工程入力!$I$5:$I$117,"&gt;0",②釜工程入力!$M$5:$M$117,"&gt;0")+SUMIFS(③スチコン工程入力!$I$5:$I$152,③スチコン工程入力!$S$5:$S$152,$J160,③スチコン工程入力!$I$5:$I$152,"&gt;0",③スチコン工程入力!$M$5:$M$152,"&gt;0")+SUMIFS(⑪ZEN工程入力!$I$6:$I$35,⑪ZEN工程入力!$S$6:$S$35,$J160,⑪ZEN工程入力!$I$6:$I$35,"&gt;0",⑪ZEN工程入力!$M$6:$M$35,"&gt;0")+SUMIFS(⑫ミキサー工程入力!$I$6:$I$65,⑫ミキサー工程入力!$S$6:$S$65,$J160,⑫ミキサー工程入力!$I$6:$I$65,"&gt;0",⑫ミキサー工程入力!$M$6:$M$65,"&gt;0")+SUMIFS(⑬計量工程入力!$I$6:$I$65,⑬計量工程入力!$S$6:$S$65,$J160,⑬計量工程入力!$I$6:$I$65,"&gt;0",⑬計量工程入力!$M$6:$M$65,"&gt;0")+SUMIFS(⑭手動工程入力!$I$6:$I$47,⑭手動工程入力!$S$6:$S$47,$J160,⑭手動工程入力!$I$6:$I$47,"&gt;0",⑭手動工程入力!$M$6:$M$47,"&gt;0"))</f>
        <v/>
      </c>
      <c r="N160" s="393">
        <f>IF($J160="",0,SUMIFS(②釜工程入力!$M$5:$M$117,②釜工程入力!$S$5:$S$117,$J160,②釜工程入力!$J$5:$J$117,"&gt;0")-SUMIFS(②釜工程入力!$M$5:$M$117,②釜工程入力!$S$5:$S$117,$J160,②釜工程入力!$J$5:$J$117,"&gt;0",②釜工程入力!$I$5:$I$117,"&gt;0")+SUMIFS(③スチコン工程入力!$M$5:$M$152,③スチコン工程入力!$S$5:$S$152,$J160,③スチコン工程入力!$J$5:$J$152,"&gt;0")-SUMIFS(③スチコン工程入力!$M$5:$M$152,③スチコン工程入力!$S$5:$S$152,$J160,③スチコン工程入力!$J$5:$J$152,"&gt;0",③スチコン工程入力!$I$5:$I$152,"&gt;0")+SUMIFS(⑪ZEN工程入力!$M$6:$M$35,⑪ZEN工程入力!$S$6:$S$35,$J160,⑪ZEN工程入力!$J$6:$J$35,"&gt;0")-SUMIFS(⑪ZEN工程入力!$M$6:$M$35,⑪ZEN工程入力!$S$6:$S$35,$J160,⑪ZEN工程入力!$J$6:$J$35,"&gt;0",⑪ZEN工程入力!$I$6:$I$35,"&gt;0")+SUMIFS(⑫ミキサー工程入力!$M$6:$M$65,⑫ミキサー工程入力!$S$6:$S$65,$J160,⑫ミキサー工程入力!$J$6:$J$65,"&gt;0")-SUMIFS(⑫ミキサー工程入力!$M$6:$M$65,⑫ミキサー工程入力!$S$6:$S$65,$J160,⑫ミキサー工程入力!$J$6:$J$65,"&gt;0",⑫ミキサー工程入力!$I$6:$I$65,"&gt;0")+SUMIFS(⑬計量工程入力!$M$6:$M$65,⑬計量工程入力!$S$6:$S$65,$J160,⑬計量工程入力!$J$6:$J$65,"&gt;0")-SUMIFS(⑬計量工程入力!$M$6:$M$65,⑬計量工程入力!$S$6:$S$65,$J160,⑬計量工程入力!$J$6:$J$65,"&gt;0",⑬計量工程入力!$I$6:$I$65,"&gt;0")+SUMIFS(⑭手動工程入力!$M$6:$M$47,⑭手動工程入力!$S$6:$S$47,$J160,⑭手動工程入力!$J$6:$J$47,"&gt;0")-SUMIFS(⑭手動工程入力!$M$6:$M$47,⑭手動工程入力!$S$6:$S$47,$J160,⑭手動工程入力!$J$6:$J$47,"&gt;0",⑭手動工程入力!$I$6:$I$47,"&gt;0"))</f>
        <v/>
      </c>
      <c r="O160" s="393">
        <f>IF($J160="",0,SUMIFS(②釜工程入力!$J$5:$J$117,②釜工程入力!$S$5:$S$117,$J160,②釜工程入力!$J$5:$J$117,"&gt;0",②釜工程入力!$M$5:$M$117,"&gt;0")-SUMIFS(②釜工程入力!$J$5:$J$117,②釜工程入力!$S$5:$S$117,$J160,②釜工程入力!$J$5:$J$117,"&gt;0",②釜工程入力!$I$5:$I$117,"&gt;0",②釜工程入力!$M$5:$M$117,"&gt;0")+SUMIFS(③スチコン工程入力!$J$5:$J$152,③スチコン工程入力!$S$5:$S$152,$J160,③スチコン工程入力!$J$5:$J$152,"&gt;0",③スチコン工程入力!$M$5:$M$152,"&gt;0")-SUMIFS(③スチコン工程入力!$J$5:$J$152,③スチコン工程入力!$S$5:$S$152,$J160,③スチコン工程入力!$J$5:$J$152,"&gt;0",③スチコン工程入力!$I$5:$I$152,"&gt;0",③スチコン工程入力!$M$5:$M$152,"&gt;0")+SUMIFS(⑪ZEN工程入力!$J$6:$J$35,⑪ZEN工程入力!$S$6:$S$35,$J160,⑪ZEN工程入力!$J$6:$J$35,"&gt;0",⑪ZEN工程入力!$M$6:$M$35,"&gt;0")-SUMIFS(⑪ZEN工程入力!$J$6:$J$35,⑪ZEN工程入力!$S$6:$S$35,$J160,⑪ZEN工程入力!$J$6:$J$35,"&gt;0",⑪ZEN工程入力!$I$6:$I$35,"&gt;0",⑪ZEN工程入力!$M$6:$M$35,"&gt;0")+SUMIFS(⑫ミキサー工程入力!$J$6:$J$65,⑫ミキサー工程入力!$S$6:$S$65,$J160,⑫ミキサー工程入力!$J$6:$J$65,"&gt;0",⑫ミキサー工程入力!$M$6:$M$65,"&gt;0")-SUMIFS(⑫ミキサー工程入力!$J$6:$J$65,⑫ミキサー工程入力!$S$6:$S$65,$J160,⑫ミキサー工程入力!$J$6:$J$65,"&gt;0",⑫ミキサー工程入力!$I$6:$I$65,"&gt;0",⑫ミキサー工程入力!$M$6:$M$65,"&gt;0")+SUMIFS(⑬計量工程入力!$J$6:$J$65,⑬計量工程入力!$S$6:$S$65,$J160,⑬計量工程入力!$J$6:$J$65,"&gt;0",⑬計量工程入力!$M$6:$M$65,"&gt;0")-SUMIFS(⑬計量工程入力!$J$6:$J$65,⑬計量工程入力!$S$6:$S$65,$J160,⑬計量工程入力!$J$6:$J$65,"&gt;0",⑬計量工程入力!$I$6:$I$65,"&gt;0",⑬計量工程入力!$M$6:$M$65,"&gt;0")+SUMIFS(⑭手動工程入力!$J$6:$J$47,⑭手動工程入力!$S$6:$S$47,$J160,⑭手動工程入力!$J$6:$J$47,"&gt;0",⑭手動工程入力!$M$6:$M$47,"&gt;0")-SUMIFS(⑭手動工程入力!$J$6:$J$47,⑭手動工程入力!$S$6:$S$47,$J160,⑭手動工程入力!$J$6:$J$47,"&gt;0",⑭手動工程入力!$I$6:$I$47,"&gt;0",⑭手動工程入力!$M$6:$M$47,"&gt;0"))</f>
        <v/>
      </c>
      <c r="P160" s="392" t="n"/>
    </row>
    <row r="161">
      <c r="A161" s="392" t="n">
        <v>157</v>
      </c>
      <c r="B161" s="392" t="n"/>
      <c r="C161" s="392" t="n"/>
      <c r="D161" s="392" t="n"/>
      <c r="E161" s="392" t="n"/>
      <c r="F161" s="394" t="n"/>
      <c r="G161" s="392" t="n"/>
      <c r="H161" s="604">
        <f>IFERROR(IF(AND($K161&gt;0,ISNUMBER(IF(OR($D161="g",$D161="ｇ"),IF($M161&gt;0,$L161/$M161/1000,""),IF($D161="kg",IF($M161&gt;0,$L161/$M161,""),IF($D161="",IF($M161&gt;0,$L161/$M161/1000,IF($O161&gt;0,$N161/$O161,"")),IF($O161&gt;0,$N161/$O161,"")))))),IF(OR($D161="g",$D161="ｇ"),IF($M161&gt;0,$L161/$M161/1000,""),IF($D161="kg",IF($M161&gt;0,$L161/$M161,""),IF($D161="",IF($M161&gt;0,$L161/$M161/1000,IF($O161&gt;0,$N161/$O161,"")),IF($O161&gt;0,$N161/$O161,"")))),IF($F161="",IF(OR($E161="",$E161="⑩盛付梱包工程入力"),"",IF(OR($D161="g",$D161="ｇ"),INDEX(⑰工程労務費一覧!$N$5:$N$11,MATCH($E161,⑰工程労務費一覧!$K$5:$K$11,0))/1000,IF($D161="kg",INDEX(⑰工程労務費一覧!$N$5:$N$11,MATCH($E161,⑰工程労務費一覧!$K$5:$K$11,0)),IF(OR($D161="個",$D161="切",$D161="本",$D161="枚",$D161="尾"),IF($E161="⑬計量工程入力","",INDEX(⑰工程労務費一覧!$P$5:$P$11,MATCH($E161,⑰工程労務費一覧!$K$5:$K$11,0))),IF(AND($D161="",OR($E161="②釜工程入力",$E161="③スチコン工程入力")),INDEX(⑰工程労務費一覧!$N$5:$N$11,MATCH($E161,⑰工程労務費一覧!$K$5:$K$11,0))/1000,""))))),IF(OR($D161="g",$D161="ｇ"),INDEX(⑰工程労務費一覧!$H$5:$H$753,MATCH($F161,⑰工程労務費一覧!$D$5:$D$753,0))/1000,IF($D161="kg",INDEX(⑰工程労務費一覧!$H$5:$H$753,MATCH($F161,⑰工程労務費一覧!$D$5:$D$753,0)),INDEX(⑰工程労務費一覧!$I$5:$I$753,MATCH($F161,⑰工程労務費一覧!$D$5:$D$753,0)))))),"")</f>
        <v/>
      </c>
      <c r="I161" s="392">
        <f>IF($K161&gt;0,IF(ISNUMBER(IF(OR($D161="g",$D161="ｇ"),IF($M161&gt;0,$L161/$M161/1000,""),IF($D161="kg",IF($M161&gt;0,$L161/$M161,""),IF($D161="",IF($M161&gt;0,$L161/$M161/1000,IF($O161&gt;0,$N161/$O161,"")),IF($O161&gt;0,$N161/$O161,""))))),IF($D161="",IF($M161&gt;0,"◎ JAN紐づけ(g扱い)","◎ JAN紐づけ(個扱い)"),"◎ JAN紐づけ"),"△ JAN紐づけ済・実績不足→仮計算"),IF($F161="",IF(ISNUMBER($H161),IF($D161="","⑤ 工程平均で仮計算(g扱い)","⑤ 工程平均で仮計算"),IF($E161="⑩盛付梱包工程入力","⑥ 盛り込み(⑳F列で計上)",IF(AND($E161="⑬計量工程入力",OR($D161="個",$D161="切",$D161="本",$D161="枚",$D161="尾")),"① 未紐づけ(カット個単位は仮単価なし)","① 未紐づけ"))),IF(NOT(ISNUMBER($H161)),"② 工程側に単価なし",IF($D161="","③ 単位未設定(個で計算)","④ OK"))))</f>
        <v/>
      </c>
      <c r="J161" s="399">
        <f>IFERROR(LOOKUP(2,1/((中間品リスト!$F$2:$F$1299=$B161)*(中間品リスト!$E$2:$E$1299&lt;&gt;"-")*(中間品リスト!$E$2:$E$1299&lt;&gt;"")),中間品リスト!$E$2:$E$1299),"")</f>
        <v/>
      </c>
      <c r="K161" s="400">
        <f>IF($J161="",0,COUNTIF(②釜工程入力!$S$5:$S$117,$J161)+COUNTIF(③スチコン工程入力!$S$5:$S$152,$J161)+COUNTIF(⑪ZEN工程入力!$S$6:$S$35,$J161)+COUNTIF(⑫ミキサー工程入力!$S$6:$S$65,$J161)+COUNTIF(⑬計量工程入力!$S$6:$S$65,$J161)+COUNTIF(⑭手動工程入力!$S$6:$S$47,$J161))</f>
        <v/>
      </c>
      <c r="L161" s="393">
        <f>IF($J161="",0,SUMIFS(②釜工程入力!$M$5:$M$117,②釜工程入力!$S$5:$S$117,$J161,②釜工程入力!$I$5:$I$117,"&gt;0")+SUMIFS(③スチコン工程入力!$M$5:$M$152,③スチコン工程入力!$S$5:$S$152,$J161,③スチコン工程入力!$I$5:$I$152,"&gt;0")+SUMIFS(⑪ZEN工程入力!$M$6:$M$35,⑪ZEN工程入力!$S$6:$S$35,$J161,⑪ZEN工程入力!$I$6:$I$35,"&gt;0")+SUMIFS(⑫ミキサー工程入力!$M$6:$M$65,⑫ミキサー工程入力!$S$6:$S$65,$J161,⑫ミキサー工程入力!$I$6:$I$65,"&gt;0")+SUMIFS(⑬計量工程入力!$M$6:$M$65,⑬計量工程入力!$S$6:$S$65,$J161,⑬計量工程入力!$I$6:$I$65,"&gt;0")+SUMIFS(⑭手動工程入力!$M$6:$M$47,⑭手動工程入力!$S$6:$S$47,$J161,⑭手動工程入力!$I$6:$I$47,"&gt;0"))</f>
        <v/>
      </c>
      <c r="M161" s="393">
        <f>IF($J161="",0,SUMIFS(②釜工程入力!$I$5:$I$117,②釜工程入力!$S$5:$S$117,$J161,②釜工程入力!$I$5:$I$117,"&gt;0",②釜工程入力!$M$5:$M$117,"&gt;0")+SUMIFS(③スチコン工程入力!$I$5:$I$152,③スチコン工程入力!$S$5:$S$152,$J161,③スチコン工程入力!$I$5:$I$152,"&gt;0",③スチコン工程入力!$M$5:$M$152,"&gt;0")+SUMIFS(⑪ZEN工程入力!$I$6:$I$35,⑪ZEN工程入力!$S$6:$S$35,$J161,⑪ZEN工程入力!$I$6:$I$35,"&gt;0",⑪ZEN工程入力!$M$6:$M$35,"&gt;0")+SUMIFS(⑫ミキサー工程入力!$I$6:$I$65,⑫ミキサー工程入力!$S$6:$S$65,$J161,⑫ミキサー工程入力!$I$6:$I$65,"&gt;0",⑫ミキサー工程入力!$M$6:$M$65,"&gt;0")+SUMIFS(⑬計量工程入力!$I$6:$I$65,⑬計量工程入力!$S$6:$S$65,$J161,⑬計量工程入力!$I$6:$I$65,"&gt;0",⑬計量工程入力!$M$6:$M$65,"&gt;0")+SUMIFS(⑭手動工程入力!$I$6:$I$47,⑭手動工程入力!$S$6:$S$47,$J161,⑭手動工程入力!$I$6:$I$47,"&gt;0",⑭手動工程入力!$M$6:$M$47,"&gt;0"))</f>
        <v/>
      </c>
      <c r="N161" s="393">
        <f>IF($J161="",0,SUMIFS(②釜工程入力!$M$5:$M$117,②釜工程入力!$S$5:$S$117,$J161,②釜工程入力!$J$5:$J$117,"&gt;0")-SUMIFS(②釜工程入力!$M$5:$M$117,②釜工程入力!$S$5:$S$117,$J161,②釜工程入力!$J$5:$J$117,"&gt;0",②釜工程入力!$I$5:$I$117,"&gt;0")+SUMIFS(③スチコン工程入力!$M$5:$M$152,③スチコン工程入力!$S$5:$S$152,$J161,③スチコン工程入力!$J$5:$J$152,"&gt;0")-SUMIFS(③スチコン工程入力!$M$5:$M$152,③スチコン工程入力!$S$5:$S$152,$J161,③スチコン工程入力!$J$5:$J$152,"&gt;0",③スチコン工程入力!$I$5:$I$152,"&gt;0")+SUMIFS(⑪ZEN工程入力!$M$6:$M$35,⑪ZEN工程入力!$S$6:$S$35,$J161,⑪ZEN工程入力!$J$6:$J$35,"&gt;0")-SUMIFS(⑪ZEN工程入力!$M$6:$M$35,⑪ZEN工程入力!$S$6:$S$35,$J161,⑪ZEN工程入力!$J$6:$J$35,"&gt;0",⑪ZEN工程入力!$I$6:$I$35,"&gt;0")+SUMIFS(⑫ミキサー工程入力!$M$6:$M$65,⑫ミキサー工程入力!$S$6:$S$65,$J161,⑫ミキサー工程入力!$J$6:$J$65,"&gt;0")-SUMIFS(⑫ミキサー工程入力!$M$6:$M$65,⑫ミキサー工程入力!$S$6:$S$65,$J161,⑫ミキサー工程入力!$J$6:$J$65,"&gt;0",⑫ミキサー工程入力!$I$6:$I$65,"&gt;0")+SUMIFS(⑬計量工程入力!$M$6:$M$65,⑬計量工程入力!$S$6:$S$65,$J161,⑬計量工程入力!$J$6:$J$65,"&gt;0")-SUMIFS(⑬計量工程入力!$M$6:$M$65,⑬計量工程入力!$S$6:$S$65,$J161,⑬計量工程入力!$J$6:$J$65,"&gt;0",⑬計量工程入力!$I$6:$I$65,"&gt;0")+SUMIFS(⑭手動工程入力!$M$6:$M$47,⑭手動工程入力!$S$6:$S$47,$J161,⑭手動工程入力!$J$6:$J$47,"&gt;0")-SUMIFS(⑭手動工程入力!$M$6:$M$47,⑭手動工程入力!$S$6:$S$47,$J161,⑭手動工程入力!$J$6:$J$47,"&gt;0",⑭手動工程入力!$I$6:$I$47,"&gt;0"))</f>
        <v/>
      </c>
      <c r="O161" s="393">
        <f>IF($J161="",0,SUMIFS(②釜工程入力!$J$5:$J$117,②釜工程入力!$S$5:$S$117,$J161,②釜工程入力!$J$5:$J$117,"&gt;0",②釜工程入力!$M$5:$M$117,"&gt;0")-SUMIFS(②釜工程入力!$J$5:$J$117,②釜工程入力!$S$5:$S$117,$J161,②釜工程入力!$J$5:$J$117,"&gt;0",②釜工程入力!$I$5:$I$117,"&gt;0",②釜工程入力!$M$5:$M$117,"&gt;0")+SUMIFS(③スチコン工程入力!$J$5:$J$152,③スチコン工程入力!$S$5:$S$152,$J161,③スチコン工程入力!$J$5:$J$152,"&gt;0",③スチコン工程入力!$M$5:$M$152,"&gt;0")-SUMIFS(③スチコン工程入力!$J$5:$J$152,③スチコン工程入力!$S$5:$S$152,$J161,③スチコン工程入力!$J$5:$J$152,"&gt;0",③スチコン工程入力!$I$5:$I$152,"&gt;0",③スチコン工程入力!$M$5:$M$152,"&gt;0")+SUMIFS(⑪ZEN工程入力!$J$6:$J$35,⑪ZEN工程入力!$S$6:$S$35,$J161,⑪ZEN工程入力!$J$6:$J$35,"&gt;0",⑪ZEN工程入力!$M$6:$M$35,"&gt;0")-SUMIFS(⑪ZEN工程入力!$J$6:$J$35,⑪ZEN工程入力!$S$6:$S$35,$J161,⑪ZEN工程入力!$J$6:$J$35,"&gt;0",⑪ZEN工程入力!$I$6:$I$35,"&gt;0",⑪ZEN工程入力!$M$6:$M$35,"&gt;0")+SUMIFS(⑫ミキサー工程入力!$J$6:$J$65,⑫ミキサー工程入力!$S$6:$S$65,$J161,⑫ミキサー工程入力!$J$6:$J$65,"&gt;0",⑫ミキサー工程入力!$M$6:$M$65,"&gt;0")-SUMIFS(⑫ミキサー工程入力!$J$6:$J$65,⑫ミキサー工程入力!$S$6:$S$65,$J161,⑫ミキサー工程入力!$J$6:$J$65,"&gt;0",⑫ミキサー工程入力!$I$6:$I$65,"&gt;0",⑫ミキサー工程入力!$M$6:$M$65,"&gt;0")+SUMIFS(⑬計量工程入力!$J$6:$J$65,⑬計量工程入力!$S$6:$S$65,$J161,⑬計量工程入力!$J$6:$J$65,"&gt;0",⑬計量工程入力!$M$6:$M$65,"&gt;0")-SUMIFS(⑬計量工程入力!$J$6:$J$65,⑬計量工程入力!$S$6:$S$65,$J161,⑬計量工程入力!$J$6:$J$65,"&gt;0",⑬計量工程入力!$I$6:$I$65,"&gt;0",⑬計量工程入力!$M$6:$M$65,"&gt;0")+SUMIFS(⑭手動工程入力!$J$6:$J$47,⑭手動工程入力!$S$6:$S$47,$J161,⑭手動工程入力!$J$6:$J$47,"&gt;0",⑭手動工程入力!$M$6:$M$47,"&gt;0")-SUMIFS(⑭手動工程入力!$J$6:$J$47,⑭手動工程入力!$S$6:$S$47,$J161,⑭手動工程入力!$J$6:$J$47,"&gt;0",⑭手動工程入力!$I$6:$I$47,"&gt;0",⑭手動工程入力!$M$6:$M$47,"&gt;0"))</f>
        <v/>
      </c>
      <c r="P161" s="392" t="n"/>
    </row>
    <row r="162">
      <c r="A162" s="392" t="n">
        <v>158</v>
      </c>
      <c r="B162" s="392" t="n"/>
      <c r="C162" s="392" t="n"/>
      <c r="D162" s="392" t="n"/>
      <c r="E162" s="392" t="n"/>
      <c r="F162" s="394" t="n"/>
      <c r="G162" s="392" t="n"/>
      <c r="H162" s="604">
        <f>IFERROR(IF(AND($K162&gt;0,ISNUMBER(IF(OR($D162="g",$D162="ｇ"),IF($M162&gt;0,$L162/$M162/1000,""),IF($D162="kg",IF($M162&gt;0,$L162/$M162,""),IF($D162="",IF($M162&gt;0,$L162/$M162/1000,IF($O162&gt;0,$N162/$O162,"")),IF($O162&gt;0,$N162/$O162,"")))))),IF(OR($D162="g",$D162="ｇ"),IF($M162&gt;0,$L162/$M162/1000,""),IF($D162="kg",IF($M162&gt;0,$L162/$M162,""),IF($D162="",IF($M162&gt;0,$L162/$M162/1000,IF($O162&gt;0,$N162/$O162,"")),IF($O162&gt;0,$N162/$O162,"")))),IF($F162="",IF(OR($E162="",$E162="⑩盛付梱包工程入力"),"",IF(OR($D162="g",$D162="ｇ"),INDEX(⑰工程労務費一覧!$N$5:$N$11,MATCH($E162,⑰工程労務費一覧!$K$5:$K$11,0))/1000,IF($D162="kg",INDEX(⑰工程労務費一覧!$N$5:$N$11,MATCH($E162,⑰工程労務費一覧!$K$5:$K$11,0)),IF(OR($D162="個",$D162="切",$D162="本",$D162="枚",$D162="尾"),IF($E162="⑬計量工程入力","",INDEX(⑰工程労務費一覧!$P$5:$P$11,MATCH($E162,⑰工程労務費一覧!$K$5:$K$11,0))),IF(AND($D162="",OR($E162="②釜工程入力",$E162="③スチコン工程入力")),INDEX(⑰工程労務費一覧!$N$5:$N$11,MATCH($E162,⑰工程労務費一覧!$K$5:$K$11,0))/1000,""))))),IF(OR($D162="g",$D162="ｇ"),INDEX(⑰工程労務費一覧!$H$5:$H$753,MATCH($F162,⑰工程労務費一覧!$D$5:$D$753,0))/1000,IF($D162="kg",INDEX(⑰工程労務費一覧!$H$5:$H$753,MATCH($F162,⑰工程労務費一覧!$D$5:$D$753,0)),INDEX(⑰工程労務費一覧!$I$5:$I$753,MATCH($F162,⑰工程労務費一覧!$D$5:$D$753,0)))))),"")</f>
        <v/>
      </c>
      <c r="I162" s="392">
        <f>IF($K162&gt;0,IF(ISNUMBER(IF(OR($D162="g",$D162="ｇ"),IF($M162&gt;0,$L162/$M162/1000,""),IF($D162="kg",IF($M162&gt;0,$L162/$M162,""),IF($D162="",IF($M162&gt;0,$L162/$M162/1000,IF($O162&gt;0,$N162/$O162,"")),IF($O162&gt;0,$N162/$O162,""))))),IF($D162="",IF($M162&gt;0,"◎ JAN紐づけ(g扱い)","◎ JAN紐づけ(個扱い)"),"◎ JAN紐づけ"),"△ JAN紐づけ済・実績不足→仮計算"),IF($F162="",IF(ISNUMBER($H162),IF($D162="","⑤ 工程平均で仮計算(g扱い)","⑤ 工程平均で仮計算"),IF($E162="⑩盛付梱包工程入力","⑥ 盛り込み(⑳F列で計上)",IF(AND($E162="⑬計量工程入力",OR($D162="個",$D162="切",$D162="本",$D162="枚",$D162="尾")),"① 未紐づけ(カット個単位は仮単価なし)","① 未紐づけ"))),IF(NOT(ISNUMBER($H162)),"② 工程側に単価なし",IF($D162="","③ 単位未設定(個で計算)","④ OK"))))</f>
        <v/>
      </c>
      <c r="J162" s="399">
        <f>IFERROR(LOOKUP(2,1/((中間品リスト!$F$2:$F$1299=$B162)*(中間品リスト!$E$2:$E$1299&lt;&gt;"-")*(中間品リスト!$E$2:$E$1299&lt;&gt;"")),中間品リスト!$E$2:$E$1299),"")</f>
        <v/>
      </c>
      <c r="K162" s="400">
        <f>IF($J162="",0,COUNTIF(②釜工程入力!$S$5:$S$117,$J162)+COUNTIF(③スチコン工程入力!$S$5:$S$152,$J162)+COUNTIF(⑪ZEN工程入力!$S$6:$S$35,$J162)+COUNTIF(⑫ミキサー工程入力!$S$6:$S$65,$J162)+COUNTIF(⑬計量工程入力!$S$6:$S$65,$J162)+COUNTIF(⑭手動工程入力!$S$6:$S$47,$J162))</f>
        <v/>
      </c>
      <c r="L162" s="393">
        <f>IF($J162="",0,SUMIFS(②釜工程入力!$M$5:$M$117,②釜工程入力!$S$5:$S$117,$J162,②釜工程入力!$I$5:$I$117,"&gt;0")+SUMIFS(③スチコン工程入力!$M$5:$M$152,③スチコン工程入力!$S$5:$S$152,$J162,③スチコン工程入力!$I$5:$I$152,"&gt;0")+SUMIFS(⑪ZEN工程入力!$M$6:$M$35,⑪ZEN工程入力!$S$6:$S$35,$J162,⑪ZEN工程入力!$I$6:$I$35,"&gt;0")+SUMIFS(⑫ミキサー工程入力!$M$6:$M$65,⑫ミキサー工程入力!$S$6:$S$65,$J162,⑫ミキサー工程入力!$I$6:$I$65,"&gt;0")+SUMIFS(⑬計量工程入力!$M$6:$M$65,⑬計量工程入力!$S$6:$S$65,$J162,⑬計量工程入力!$I$6:$I$65,"&gt;0")+SUMIFS(⑭手動工程入力!$M$6:$M$47,⑭手動工程入力!$S$6:$S$47,$J162,⑭手動工程入力!$I$6:$I$47,"&gt;0"))</f>
        <v/>
      </c>
      <c r="M162" s="393">
        <f>IF($J162="",0,SUMIFS(②釜工程入力!$I$5:$I$117,②釜工程入力!$S$5:$S$117,$J162,②釜工程入力!$I$5:$I$117,"&gt;0",②釜工程入力!$M$5:$M$117,"&gt;0")+SUMIFS(③スチコン工程入力!$I$5:$I$152,③スチコン工程入力!$S$5:$S$152,$J162,③スチコン工程入力!$I$5:$I$152,"&gt;0",③スチコン工程入力!$M$5:$M$152,"&gt;0")+SUMIFS(⑪ZEN工程入力!$I$6:$I$35,⑪ZEN工程入力!$S$6:$S$35,$J162,⑪ZEN工程入力!$I$6:$I$35,"&gt;0",⑪ZEN工程入力!$M$6:$M$35,"&gt;0")+SUMIFS(⑫ミキサー工程入力!$I$6:$I$65,⑫ミキサー工程入力!$S$6:$S$65,$J162,⑫ミキサー工程入力!$I$6:$I$65,"&gt;0",⑫ミキサー工程入力!$M$6:$M$65,"&gt;0")+SUMIFS(⑬計量工程入力!$I$6:$I$65,⑬計量工程入力!$S$6:$S$65,$J162,⑬計量工程入力!$I$6:$I$65,"&gt;0",⑬計量工程入力!$M$6:$M$65,"&gt;0")+SUMIFS(⑭手動工程入力!$I$6:$I$47,⑭手動工程入力!$S$6:$S$47,$J162,⑭手動工程入力!$I$6:$I$47,"&gt;0",⑭手動工程入力!$M$6:$M$47,"&gt;0"))</f>
        <v/>
      </c>
      <c r="N162" s="393">
        <f>IF($J162="",0,SUMIFS(②釜工程入力!$M$5:$M$117,②釜工程入力!$S$5:$S$117,$J162,②釜工程入力!$J$5:$J$117,"&gt;0")-SUMIFS(②釜工程入力!$M$5:$M$117,②釜工程入力!$S$5:$S$117,$J162,②釜工程入力!$J$5:$J$117,"&gt;0",②釜工程入力!$I$5:$I$117,"&gt;0")+SUMIFS(③スチコン工程入力!$M$5:$M$152,③スチコン工程入力!$S$5:$S$152,$J162,③スチコン工程入力!$J$5:$J$152,"&gt;0")-SUMIFS(③スチコン工程入力!$M$5:$M$152,③スチコン工程入力!$S$5:$S$152,$J162,③スチコン工程入力!$J$5:$J$152,"&gt;0",③スチコン工程入力!$I$5:$I$152,"&gt;0")+SUMIFS(⑪ZEN工程入力!$M$6:$M$35,⑪ZEN工程入力!$S$6:$S$35,$J162,⑪ZEN工程入力!$J$6:$J$35,"&gt;0")-SUMIFS(⑪ZEN工程入力!$M$6:$M$35,⑪ZEN工程入力!$S$6:$S$35,$J162,⑪ZEN工程入力!$J$6:$J$35,"&gt;0",⑪ZEN工程入力!$I$6:$I$35,"&gt;0")+SUMIFS(⑫ミキサー工程入力!$M$6:$M$65,⑫ミキサー工程入力!$S$6:$S$65,$J162,⑫ミキサー工程入力!$J$6:$J$65,"&gt;0")-SUMIFS(⑫ミキサー工程入力!$M$6:$M$65,⑫ミキサー工程入力!$S$6:$S$65,$J162,⑫ミキサー工程入力!$J$6:$J$65,"&gt;0",⑫ミキサー工程入力!$I$6:$I$65,"&gt;0")+SUMIFS(⑬計量工程入力!$M$6:$M$65,⑬計量工程入力!$S$6:$S$65,$J162,⑬計量工程入力!$J$6:$J$65,"&gt;0")-SUMIFS(⑬計量工程入力!$M$6:$M$65,⑬計量工程入力!$S$6:$S$65,$J162,⑬計量工程入力!$J$6:$J$65,"&gt;0",⑬計量工程入力!$I$6:$I$65,"&gt;0")+SUMIFS(⑭手動工程入力!$M$6:$M$47,⑭手動工程入力!$S$6:$S$47,$J162,⑭手動工程入力!$J$6:$J$47,"&gt;0")-SUMIFS(⑭手動工程入力!$M$6:$M$47,⑭手動工程入力!$S$6:$S$47,$J162,⑭手動工程入力!$J$6:$J$47,"&gt;0",⑭手動工程入力!$I$6:$I$47,"&gt;0"))</f>
        <v/>
      </c>
      <c r="O162" s="393">
        <f>IF($J162="",0,SUMIFS(②釜工程入力!$J$5:$J$117,②釜工程入力!$S$5:$S$117,$J162,②釜工程入力!$J$5:$J$117,"&gt;0",②釜工程入力!$M$5:$M$117,"&gt;0")-SUMIFS(②釜工程入力!$J$5:$J$117,②釜工程入力!$S$5:$S$117,$J162,②釜工程入力!$J$5:$J$117,"&gt;0",②釜工程入力!$I$5:$I$117,"&gt;0",②釜工程入力!$M$5:$M$117,"&gt;0")+SUMIFS(③スチコン工程入力!$J$5:$J$152,③スチコン工程入力!$S$5:$S$152,$J162,③スチコン工程入力!$J$5:$J$152,"&gt;0",③スチコン工程入力!$M$5:$M$152,"&gt;0")-SUMIFS(③スチコン工程入力!$J$5:$J$152,③スチコン工程入力!$S$5:$S$152,$J162,③スチコン工程入力!$J$5:$J$152,"&gt;0",③スチコン工程入力!$I$5:$I$152,"&gt;0",③スチコン工程入力!$M$5:$M$152,"&gt;0")+SUMIFS(⑪ZEN工程入力!$J$6:$J$35,⑪ZEN工程入力!$S$6:$S$35,$J162,⑪ZEN工程入力!$J$6:$J$35,"&gt;0",⑪ZEN工程入力!$M$6:$M$35,"&gt;0")-SUMIFS(⑪ZEN工程入力!$J$6:$J$35,⑪ZEN工程入力!$S$6:$S$35,$J162,⑪ZEN工程入力!$J$6:$J$35,"&gt;0",⑪ZEN工程入力!$I$6:$I$35,"&gt;0",⑪ZEN工程入力!$M$6:$M$35,"&gt;0")+SUMIFS(⑫ミキサー工程入力!$J$6:$J$65,⑫ミキサー工程入力!$S$6:$S$65,$J162,⑫ミキサー工程入力!$J$6:$J$65,"&gt;0",⑫ミキサー工程入力!$M$6:$M$65,"&gt;0")-SUMIFS(⑫ミキサー工程入力!$J$6:$J$65,⑫ミキサー工程入力!$S$6:$S$65,$J162,⑫ミキサー工程入力!$J$6:$J$65,"&gt;0",⑫ミキサー工程入力!$I$6:$I$65,"&gt;0",⑫ミキサー工程入力!$M$6:$M$65,"&gt;0")+SUMIFS(⑬計量工程入力!$J$6:$J$65,⑬計量工程入力!$S$6:$S$65,$J162,⑬計量工程入力!$J$6:$J$65,"&gt;0",⑬計量工程入力!$M$6:$M$65,"&gt;0")-SUMIFS(⑬計量工程入力!$J$6:$J$65,⑬計量工程入力!$S$6:$S$65,$J162,⑬計量工程入力!$J$6:$J$65,"&gt;0",⑬計量工程入力!$I$6:$I$65,"&gt;0",⑬計量工程入力!$M$6:$M$65,"&gt;0")+SUMIFS(⑭手動工程入力!$J$6:$J$47,⑭手動工程入力!$S$6:$S$47,$J162,⑭手動工程入力!$J$6:$J$47,"&gt;0",⑭手動工程入力!$M$6:$M$47,"&gt;0")-SUMIFS(⑭手動工程入力!$J$6:$J$47,⑭手動工程入力!$S$6:$S$47,$J162,⑭手動工程入力!$J$6:$J$47,"&gt;0",⑭手動工程入力!$I$6:$I$47,"&gt;0",⑭手動工程入力!$M$6:$M$47,"&gt;0"))</f>
        <v/>
      </c>
      <c r="P162" s="392" t="n"/>
    </row>
    <row r="163">
      <c r="A163" s="392" t="n">
        <v>159</v>
      </c>
      <c r="B163" s="392" t="n"/>
      <c r="C163" s="392" t="n"/>
      <c r="D163" s="392" t="n"/>
      <c r="E163" s="392" t="n"/>
      <c r="F163" s="394" t="n"/>
      <c r="G163" s="392" t="n"/>
      <c r="H163" s="604">
        <f>IFERROR(IF(AND($K163&gt;0,ISNUMBER(IF(OR($D163="g",$D163="ｇ"),IF($M163&gt;0,$L163/$M163/1000,""),IF($D163="kg",IF($M163&gt;0,$L163/$M163,""),IF($D163="",IF($M163&gt;0,$L163/$M163/1000,IF($O163&gt;0,$N163/$O163,"")),IF($O163&gt;0,$N163/$O163,"")))))),IF(OR($D163="g",$D163="ｇ"),IF($M163&gt;0,$L163/$M163/1000,""),IF($D163="kg",IF($M163&gt;0,$L163/$M163,""),IF($D163="",IF($M163&gt;0,$L163/$M163/1000,IF($O163&gt;0,$N163/$O163,"")),IF($O163&gt;0,$N163/$O163,"")))),IF($F163="",IF(OR($E163="",$E163="⑩盛付梱包工程入力"),"",IF(OR($D163="g",$D163="ｇ"),INDEX(⑰工程労務費一覧!$N$5:$N$11,MATCH($E163,⑰工程労務費一覧!$K$5:$K$11,0))/1000,IF($D163="kg",INDEX(⑰工程労務費一覧!$N$5:$N$11,MATCH($E163,⑰工程労務費一覧!$K$5:$K$11,0)),IF(OR($D163="個",$D163="切",$D163="本",$D163="枚",$D163="尾"),IF($E163="⑬計量工程入力","",INDEX(⑰工程労務費一覧!$P$5:$P$11,MATCH($E163,⑰工程労務費一覧!$K$5:$K$11,0))),IF(AND($D163="",OR($E163="②釜工程入力",$E163="③スチコン工程入力")),INDEX(⑰工程労務費一覧!$N$5:$N$11,MATCH($E163,⑰工程労務費一覧!$K$5:$K$11,0))/1000,""))))),IF(OR($D163="g",$D163="ｇ"),INDEX(⑰工程労務費一覧!$H$5:$H$753,MATCH($F163,⑰工程労務費一覧!$D$5:$D$753,0))/1000,IF($D163="kg",INDEX(⑰工程労務費一覧!$H$5:$H$753,MATCH($F163,⑰工程労務費一覧!$D$5:$D$753,0)),INDEX(⑰工程労務費一覧!$I$5:$I$753,MATCH($F163,⑰工程労務費一覧!$D$5:$D$753,0)))))),"")</f>
        <v/>
      </c>
      <c r="I163" s="392">
        <f>IF($K163&gt;0,IF(ISNUMBER(IF(OR($D163="g",$D163="ｇ"),IF($M163&gt;0,$L163/$M163/1000,""),IF($D163="kg",IF($M163&gt;0,$L163/$M163,""),IF($D163="",IF($M163&gt;0,$L163/$M163/1000,IF($O163&gt;0,$N163/$O163,"")),IF($O163&gt;0,$N163/$O163,""))))),IF($D163="",IF($M163&gt;0,"◎ JAN紐づけ(g扱い)","◎ JAN紐づけ(個扱い)"),"◎ JAN紐づけ"),"△ JAN紐づけ済・実績不足→仮計算"),IF($F163="",IF(ISNUMBER($H163),IF($D163="","⑤ 工程平均で仮計算(g扱い)","⑤ 工程平均で仮計算"),IF($E163="⑩盛付梱包工程入力","⑥ 盛り込み(⑳F列で計上)",IF(AND($E163="⑬計量工程入力",OR($D163="個",$D163="切",$D163="本",$D163="枚",$D163="尾")),"① 未紐づけ(カット個単位は仮単価なし)","① 未紐づけ"))),IF(NOT(ISNUMBER($H163)),"② 工程側に単価なし",IF($D163="","③ 単位未設定(個で計算)","④ OK"))))</f>
        <v/>
      </c>
      <c r="J163" s="399">
        <f>IFERROR(LOOKUP(2,1/((中間品リスト!$F$2:$F$1299=$B163)*(中間品リスト!$E$2:$E$1299&lt;&gt;"-")*(中間品リスト!$E$2:$E$1299&lt;&gt;"")),中間品リスト!$E$2:$E$1299),"")</f>
        <v/>
      </c>
      <c r="K163" s="400">
        <f>IF($J163="",0,COUNTIF(②釜工程入力!$S$5:$S$117,$J163)+COUNTIF(③スチコン工程入力!$S$5:$S$152,$J163)+COUNTIF(⑪ZEN工程入力!$S$6:$S$35,$J163)+COUNTIF(⑫ミキサー工程入力!$S$6:$S$65,$J163)+COUNTIF(⑬計量工程入力!$S$6:$S$65,$J163)+COUNTIF(⑭手動工程入力!$S$6:$S$47,$J163))</f>
        <v/>
      </c>
      <c r="L163" s="393">
        <f>IF($J163="",0,SUMIFS(②釜工程入力!$M$5:$M$117,②釜工程入力!$S$5:$S$117,$J163,②釜工程入力!$I$5:$I$117,"&gt;0")+SUMIFS(③スチコン工程入力!$M$5:$M$152,③スチコン工程入力!$S$5:$S$152,$J163,③スチコン工程入力!$I$5:$I$152,"&gt;0")+SUMIFS(⑪ZEN工程入力!$M$6:$M$35,⑪ZEN工程入力!$S$6:$S$35,$J163,⑪ZEN工程入力!$I$6:$I$35,"&gt;0")+SUMIFS(⑫ミキサー工程入力!$M$6:$M$65,⑫ミキサー工程入力!$S$6:$S$65,$J163,⑫ミキサー工程入力!$I$6:$I$65,"&gt;0")+SUMIFS(⑬計量工程入力!$M$6:$M$65,⑬計量工程入力!$S$6:$S$65,$J163,⑬計量工程入力!$I$6:$I$65,"&gt;0")+SUMIFS(⑭手動工程入力!$M$6:$M$47,⑭手動工程入力!$S$6:$S$47,$J163,⑭手動工程入力!$I$6:$I$47,"&gt;0"))</f>
        <v/>
      </c>
      <c r="M163" s="393">
        <f>IF($J163="",0,SUMIFS(②釜工程入力!$I$5:$I$117,②釜工程入力!$S$5:$S$117,$J163,②釜工程入力!$I$5:$I$117,"&gt;0",②釜工程入力!$M$5:$M$117,"&gt;0")+SUMIFS(③スチコン工程入力!$I$5:$I$152,③スチコン工程入力!$S$5:$S$152,$J163,③スチコン工程入力!$I$5:$I$152,"&gt;0",③スチコン工程入力!$M$5:$M$152,"&gt;0")+SUMIFS(⑪ZEN工程入力!$I$6:$I$35,⑪ZEN工程入力!$S$6:$S$35,$J163,⑪ZEN工程入力!$I$6:$I$35,"&gt;0",⑪ZEN工程入力!$M$6:$M$35,"&gt;0")+SUMIFS(⑫ミキサー工程入力!$I$6:$I$65,⑫ミキサー工程入力!$S$6:$S$65,$J163,⑫ミキサー工程入力!$I$6:$I$65,"&gt;0",⑫ミキサー工程入力!$M$6:$M$65,"&gt;0")+SUMIFS(⑬計量工程入力!$I$6:$I$65,⑬計量工程入力!$S$6:$S$65,$J163,⑬計量工程入力!$I$6:$I$65,"&gt;0",⑬計量工程入力!$M$6:$M$65,"&gt;0")+SUMIFS(⑭手動工程入力!$I$6:$I$47,⑭手動工程入力!$S$6:$S$47,$J163,⑭手動工程入力!$I$6:$I$47,"&gt;0",⑭手動工程入力!$M$6:$M$47,"&gt;0"))</f>
        <v/>
      </c>
      <c r="N163" s="393">
        <f>IF($J163="",0,SUMIFS(②釜工程入力!$M$5:$M$117,②釜工程入力!$S$5:$S$117,$J163,②釜工程入力!$J$5:$J$117,"&gt;0")-SUMIFS(②釜工程入力!$M$5:$M$117,②釜工程入力!$S$5:$S$117,$J163,②釜工程入力!$J$5:$J$117,"&gt;0",②釜工程入力!$I$5:$I$117,"&gt;0")+SUMIFS(③スチコン工程入力!$M$5:$M$152,③スチコン工程入力!$S$5:$S$152,$J163,③スチコン工程入力!$J$5:$J$152,"&gt;0")-SUMIFS(③スチコン工程入力!$M$5:$M$152,③スチコン工程入力!$S$5:$S$152,$J163,③スチコン工程入力!$J$5:$J$152,"&gt;0",③スチコン工程入力!$I$5:$I$152,"&gt;0")+SUMIFS(⑪ZEN工程入力!$M$6:$M$35,⑪ZEN工程入力!$S$6:$S$35,$J163,⑪ZEN工程入力!$J$6:$J$35,"&gt;0")-SUMIFS(⑪ZEN工程入力!$M$6:$M$35,⑪ZEN工程入力!$S$6:$S$35,$J163,⑪ZEN工程入力!$J$6:$J$35,"&gt;0",⑪ZEN工程入力!$I$6:$I$35,"&gt;0")+SUMIFS(⑫ミキサー工程入力!$M$6:$M$65,⑫ミキサー工程入力!$S$6:$S$65,$J163,⑫ミキサー工程入力!$J$6:$J$65,"&gt;0")-SUMIFS(⑫ミキサー工程入力!$M$6:$M$65,⑫ミキサー工程入力!$S$6:$S$65,$J163,⑫ミキサー工程入力!$J$6:$J$65,"&gt;0",⑫ミキサー工程入力!$I$6:$I$65,"&gt;0")+SUMIFS(⑬計量工程入力!$M$6:$M$65,⑬計量工程入力!$S$6:$S$65,$J163,⑬計量工程入力!$J$6:$J$65,"&gt;0")-SUMIFS(⑬計量工程入力!$M$6:$M$65,⑬計量工程入力!$S$6:$S$65,$J163,⑬計量工程入力!$J$6:$J$65,"&gt;0",⑬計量工程入力!$I$6:$I$65,"&gt;0")+SUMIFS(⑭手動工程入力!$M$6:$M$47,⑭手動工程入力!$S$6:$S$47,$J163,⑭手動工程入力!$J$6:$J$47,"&gt;0")-SUMIFS(⑭手動工程入力!$M$6:$M$47,⑭手動工程入力!$S$6:$S$47,$J163,⑭手動工程入力!$J$6:$J$47,"&gt;0",⑭手動工程入力!$I$6:$I$47,"&gt;0"))</f>
        <v/>
      </c>
      <c r="O163" s="393">
        <f>IF($J163="",0,SUMIFS(②釜工程入力!$J$5:$J$117,②釜工程入力!$S$5:$S$117,$J163,②釜工程入力!$J$5:$J$117,"&gt;0",②釜工程入力!$M$5:$M$117,"&gt;0")-SUMIFS(②釜工程入力!$J$5:$J$117,②釜工程入力!$S$5:$S$117,$J163,②釜工程入力!$J$5:$J$117,"&gt;0",②釜工程入力!$I$5:$I$117,"&gt;0",②釜工程入力!$M$5:$M$117,"&gt;0")+SUMIFS(③スチコン工程入力!$J$5:$J$152,③スチコン工程入力!$S$5:$S$152,$J163,③スチコン工程入力!$J$5:$J$152,"&gt;0",③スチコン工程入力!$M$5:$M$152,"&gt;0")-SUMIFS(③スチコン工程入力!$J$5:$J$152,③スチコン工程入力!$S$5:$S$152,$J163,③スチコン工程入力!$J$5:$J$152,"&gt;0",③スチコン工程入力!$I$5:$I$152,"&gt;0",③スチコン工程入力!$M$5:$M$152,"&gt;0")+SUMIFS(⑪ZEN工程入力!$J$6:$J$35,⑪ZEN工程入力!$S$6:$S$35,$J163,⑪ZEN工程入力!$J$6:$J$35,"&gt;0",⑪ZEN工程入力!$M$6:$M$35,"&gt;0")-SUMIFS(⑪ZEN工程入力!$J$6:$J$35,⑪ZEN工程入力!$S$6:$S$35,$J163,⑪ZEN工程入力!$J$6:$J$35,"&gt;0",⑪ZEN工程入力!$I$6:$I$35,"&gt;0",⑪ZEN工程入力!$M$6:$M$35,"&gt;0")+SUMIFS(⑫ミキサー工程入力!$J$6:$J$65,⑫ミキサー工程入力!$S$6:$S$65,$J163,⑫ミキサー工程入力!$J$6:$J$65,"&gt;0",⑫ミキサー工程入力!$M$6:$M$65,"&gt;0")-SUMIFS(⑫ミキサー工程入力!$J$6:$J$65,⑫ミキサー工程入力!$S$6:$S$65,$J163,⑫ミキサー工程入力!$J$6:$J$65,"&gt;0",⑫ミキサー工程入力!$I$6:$I$65,"&gt;0",⑫ミキサー工程入力!$M$6:$M$65,"&gt;0")+SUMIFS(⑬計量工程入力!$J$6:$J$65,⑬計量工程入力!$S$6:$S$65,$J163,⑬計量工程入力!$J$6:$J$65,"&gt;0",⑬計量工程入力!$M$6:$M$65,"&gt;0")-SUMIFS(⑬計量工程入力!$J$6:$J$65,⑬計量工程入力!$S$6:$S$65,$J163,⑬計量工程入力!$J$6:$J$65,"&gt;0",⑬計量工程入力!$I$6:$I$65,"&gt;0",⑬計量工程入力!$M$6:$M$65,"&gt;0")+SUMIFS(⑭手動工程入力!$J$6:$J$47,⑭手動工程入力!$S$6:$S$47,$J163,⑭手動工程入力!$J$6:$J$47,"&gt;0",⑭手動工程入力!$M$6:$M$47,"&gt;0")-SUMIFS(⑭手動工程入力!$J$6:$J$47,⑭手動工程入力!$S$6:$S$47,$J163,⑭手動工程入力!$J$6:$J$47,"&gt;0",⑭手動工程入力!$I$6:$I$47,"&gt;0",⑭手動工程入力!$M$6:$M$47,"&gt;0"))</f>
        <v/>
      </c>
      <c r="P163" s="392" t="n"/>
    </row>
    <row r="164">
      <c r="A164" s="392" t="n">
        <v>160</v>
      </c>
      <c r="B164" s="392" t="n"/>
      <c r="C164" s="392" t="n"/>
      <c r="D164" s="392" t="n"/>
      <c r="E164" s="392" t="n"/>
      <c r="F164" s="394" t="n"/>
      <c r="G164" s="392" t="n"/>
      <c r="H164" s="604">
        <f>IFERROR(IF(AND($K164&gt;0,ISNUMBER(IF(OR($D164="g",$D164="ｇ"),IF($M164&gt;0,$L164/$M164/1000,""),IF($D164="kg",IF($M164&gt;0,$L164/$M164,""),IF($D164="",IF($M164&gt;0,$L164/$M164/1000,IF($O164&gt;0,$N164/$O164,"")),IF($O164&gt;0,$N164/$O164,"")))))),IF(OR($D164="g",$D164="ｇ"),IF($M164&gt;0,$L164/$M164/1000,""),IF($D164="kg",IF($M164&gt;0,$L164/$M164,""),IF($D164="",IF($M164&gt;0,$L164/$M164/1000,IF($O164&gt;0,$N164/$O164,"")),IF($O164&gt;0,$N164/$O164,"")))),IF($F164="",IF(OR($E164="",$E164="⑩盛付梱包工程入力"),"",IF(OR($D164="g",$D164="ｇ"),INDEX(⑰工程労務費一覧!$N$5:$N$11,MATCH($E164,⑰工程労務費一覧!$K$5:$K$11,0))/1000,IF($D164="kg",INDEX(⑰工程労務費一覧!$N$5:$N$11,MATCH($E164,⑰工程労務費一覧!$K$5:$K$11,0)),IF(OR($D164="個",$D164="切",$D164="本",$D164="枚",$D164="尾"),IF($E164="⑬計量工程入力","",INDEX(⑰工程労務費一覧!$P$5:$P$11,MATCH($E164,⑰工程労務費一覧!$K$5:$K$11,0))),IF(AND($D164="",OR($E164="②釜工程入力",$E164="③スチコン工程入力")),INDEX(⑰工程労務費一覧!$N$5:$N$11,MATCH($E164,⑰工程労務費一覧!$K$5:$K$11,0))/1000,""))))),IF(OR($D164="g",$D164="ｇ"),INDEX(⑰工程労務費一覧!$H$5:$H$753,MATCH($F164,⑰工程労務費一覧!$D$5:$D$753,0))/1000,IF($D164="kg",INDEX(⑰工程労務費一覧!$H$5:$H$753,MATCH($F164,⑰工程労務費一覧!$D$5:$D$753,0)),INDEX(⑰工程労務費一覧!$I$5:$I$753,MATCH($F164,⑰工程労務費一覧!$D$5:$D$753,0)))))),"")</f>
        <v/>
      </c>
      <c r="I164" s="392">
        <f>IF($K164&gt;0,IF(ISNUMBER(IF(OR($D164="g",$D164="ｇ"),IF($M164&gt;0,$L164/$M164/1000,""),IF($D164="kg",IF($M164&gt;0,$L164/$M164,""),IF($D164="",IF($M164&gt;0,$L164/$M164/1000,IF($O164&gt;0,$N164/$O164,"")),IF($O164&gt;0,$N164/$O164,""))))),IF($D164="",IF($M164&gt;0,"◎ JAN紐づけ(g扱い)","◎ JAN紐づけ(個扱い)"),"◎ JAN紐づけ"),"△ JAN紐づけ済・実績不足→仮計算"),IF($F164="",IF(ISNUMBER($H164),IF($D164="","⑤ 工程平均で仮計算(g扱い)","⑤ 工程平均で仮計算"),IF($E164="⑩盛付梱包工程入力","⑥ 盛り込み(⑳F列で計上)",IF(AND($E164="⑬計量工程入力",OR($D164="個",$D164="切",$D164="本",$D164="枚",$D164="尾")),"① 未紐づけ(カット個単位は仮単価なし)","① 未紐づけ"))),IF(NOT(ISNUMBER($H164)),"② 工程側に単価なし",IF($D164="","③ 単位未設定(個で計算)","④ OK"))))</f>
        <v/>
      </c>
      <c r="J164" s="399">
        <f>IFERROR(LOOKUP(2,1/((中間品リスト!$F$2:$F$1299=$B164)*(中間品リスト!$E$2:$E$1299&lt;&gt;"-")*(中間品リスト!$E$2:$E$1299&lt;&gt;"")),中間品リスト!$E$2:$E$1299),"")</f>
        <v/>
      </c>
      <c r="K164" s="400">
        <f>IF($J164="",0,COUNTIF(②釜工程入力!$S$5:$S$117,$J164)+COUNTIF(③スチコン工程入力!$S$5:$S$152,$J164)+COUNTIF(⑪ZEN工程入力!$S$6:$S$35,$J164)+COUNTIF(⑫ミキサー工程入力!$S$6:$S$65,$J164)+COUNTIF(⑬計量工程入力!$S$6:$S$65,$J164)+COUNTIF(⑭手動工程入力!$S$6:$S$47,$J164))</f>
        <v/>
      </c>
      <c r="L164" s="393">
        <f>IF($J164="",0,SUMIFS(②釜工程入力!$M$5:$M$117,②釜工程入力!$S$5:$S$117,$J164,②釜工程入力!$I$5:$I$117,"&gt;0")+SUMIFS(③スチコン工程入力!$M$5:$M$152,③スチコン工程入力!$S$5:$S$152,$J164,③スチコン工程入力!$I$5:$I$152,"&gt;0")+SUMIFS(⑪ZEN工程入力!$M$6:$M$35,⑪ZEN工程入力!$S$6:$S$35,$J164,⑪ZEN工程入力!$I$6:$I$35,"&gt;0")+SUMIFS(⑫ミキサー工程入力!$M$6:$M$65,⑫ミキサー工程入力!$S$6:$S$65,$J164,⑫ミキサー工程入力!$I$6:$I$65,"&gt;0")+SUMIFS(⑬計量工程入力!$M$6:$M$65,⑬計量工程入力!$S$6:$S$65,$J164,⑬計量工程入力!$I$6:$I$65,"&gt;0")+SUMIFS(⑭手動工程入力!$M$6:$M$47,⑭手動工程入力!$S$6:$S$47,$J164,⑭手動工程入力!$I$6:$I$47,"&gt;0"))</f>
        <v/>
      </c>
      <c r="M164" s="393">
        <f>IF($J164="",0,SUMIFS(②釜工程入力!$I$5:$I$117,②釜工程入力!$S$5:$S$117,$J164,②釜工程入力!$I$5:$I$117,"&gt;0",②釜工程入力!$M$5:$M$117,"&gt;0")+SUMIFS(③スチコン工程入力!$I$5:$I$152,③スチコン工程入力!$S$5:$S$152,$J164,③スチコン工程入力!$I$5:$I$152,"&gt;0",③スチコン工程入力!$M$5:$M$152,"&gt;0")+SUMIFS(⑪ZEN工程入力!$I$6:$I$35,⑪ZEN工程入力!$S$6:$S$35,$J164,⑪ZEN工程入力!$I$6:$I$35,"&gt;0",⑪ZEN工程入力!$M$6:$M$35,"&gt;0")+SUMIFS(⑫ミキサー工程入力!$I$6:$I$65,⑫ミキサー工程入力!$S$6:$S$65,$J164,⑫ミキサー工程入力!$I$6:$I$65,"&gt;0",⑫ミキサー工程入力!$M$6:$M$65,"&gt;0")+SUMIFS(⑬計量工程入力!$I$6:$I$65,⑬計量工程入力!$S$6:$S$65,$J164,⑬計量工程入力!$I$6:$I$65,"&gt;0",⑬計量工程入力!$M$6:$M$65,"&gt;0")+SUMIFS(⑭手動工程入力!$I$6:$I$47,⑭手動工程入力!$S$6:$S$47,$J164,⑭手動工程入力!$I$6:$I$47,"&gt;0",⑭手動工程入力!$M$6:$M$47,"&gt;0"))</f>
        <v/>
      </c>
      <c r="N164" s="393">
        <f>IF($J164="",0,SUMIFS(②釜工程入力!$M$5:$M$117,②釜工程入力!$S$5:$S$117,$J164,②釜工程入力!$J$5:$J$117,"&gt;0")-SUMIFS(②釜工程入力!$M$5:$M$117,②釜工程入力!$S$5:$S$117,$J164,②釜工程入力!$J$5:$J$117,"&gt;0",②釜工程入力!$I$5:$I$117,"&gt;0")+SUMIFS(③スチコン工程入力!$M$5:$M$152,③スチコン工程入力!$S$5:$S$152,$J164,③スチコン工程入力!$J$5:$J$152,"&gt;0")-SUMIFS(③スチコン工程入力!$M$5:$M$152,③スチコン工程入力!$S$5:$S$152,$J164,③スチコン工程入力!$J$5:$J$152,"&gt;0",③スチコン工程入力!$I$5:$I$152,"&gt;0")+SUMIFS(⑪ZEN工程入力!$M$6:$M$35,⑪ZEN工程入力!$S$6:$S$35,$J164,⑪ZEN工程入力!$J$6:$J$35,"&gt;0")-SUMIFS(⑪ZEN工程入力!$M$6:$M$35,⑪ZEN工程入力!$S$6:$S$35,$J164,⑪ZEN工程入力!$J$6:$J$35,"&gt;0",⑪ZEN工程入力!$I$6:$I$35,"&gt;0")+SUMIFS(⑫ミキサー工程入力!$M$6:$M$65,⑫ミキサー工程入力!$S$6:$S$65,$J164,⑫ミキサー工程入力!$J$6:$J$65,"&gt;0")-SUMIFS(⑫ミキサー工程入力!$M$6:$M$65,⑫ミキサー工程入力!$S$6:$S$65,$J164,⑫ミキサー工程入力!$J$6:$J$65,"&gt;0",⑫ミキサー工程入力!$I$6:$I$65,"&gt;0")+SUMIFS(⑬計量工程入力!$M$6:$M$65,⑬計量工程入力!$S$6:$S$65,$J164,⑬計量工程入力!$J$6:$J$65,"&gt;0")-SUMIFS(⑬計量工程入力!$M$6:$M$65,⑬計量工程入力!$S$6:$S$65,$J164,⑬計量工程入力!$J$6:$J$65,"&gt;0",⑬計量工程入力!$I$6:$I$65,"&gt;0")+SUMIFS(⑭手動工程入力!$M$6:$M$47,⑭手動工程入力!$S$6:$S$47,$J164,⑭手動工程入力!$J$6:$J$47,"&gt;0")-SUMIFS(⑭手動工程入力!$M$6:$M$47,⑭手動工程入力!$S$6:$S$47,$J164,⑭手動工程入力!$J$6:$J$47,"&gt;0",⑭手動工程入力!$I$6:$I$47,"&gt;0"))</f>
        <v/>
      </c>
      <c r="O164" s="393">
        <f>IF($J164="",0,SUMIFS(②釜工程入力!$J$5:$J$117,②釜工程入力!$S$5:$S$117,$J164,②釜工程入力!$J$5:$J$117,"&gt;0",②釜工程入力!$M$5:$M$117,"&gt;0")-SUMIFS(②釜工程入力!$J$5:$J$117,②釜工程入力!$S$5:$S$117,$J164,②釜工程入力!$J$5:$J$117,"&gt;0",②釜工程入力!$I$5:$I$117,"&gt;0",②釜工程入力!$M$5:$M$117,"&gt;0")+SUMIFS(③スチコン工程入力!$J$5:$J$152,③スチコン工程入力!$S$5:$S$152,$J164,③スチコン工程入力!$J$5:$J$152,"&gt;0",③スチコン工程入力!$M$5:$M$152,"&gt;0")-SUMIFS(③スチコン工程入力!$J$5:$J$152,③スチコン工程入力!$S$5:$S$152,$J164,③スチコン工程入力!$J$5:$J$152,"&gt;0",③スチコン工程入力!$I$5:$I$152,"&gt;0",③スチコン工程入力!$M$5:$M$152,"&gt;0")+SUMIFS(⑪ZEN工程入力!$J$6:$J$35,⑪ZEN工程入力!$S$6:$S$35,$J164,⑪ZEN工程入力!$J$6:$J$35,"&gt;0",⑪ZEN工程入力!$M$6:$M$35,"&gt;0")-SUMIFS(⑪ZEN工程入力!$J$6:$J$35,⑪ZEN工程入力!$S$6:$S$35,$J164,⑪ZEN工程入力!$J$6:$J$35,"&gt;0",⑪ZEN工程入力!$I$6:$I$35,"&gt;0",⑪ZEN工程入力!$M$6:$M$35,"&gt;0")+SUMIFS(⑫ミキサー工程入力!$J$6:$J$65,⑫ミキサー工程入力!$S$6:$S$65,$J164,⑫ミキサー工程入力!$J$6:$J$65,"&gt;0",⑫ミキサー工程入力!$M$6:$M$65,"&gt;0")-SUMIFS(⑫ミキサー工程入力!$J$6:$J$65,⑫ミキサー工程入力!$S$6:$S$65,$J164,⑫ミキサー工程入力!$J$6:$J$65,"&gt;0",⑫ミキサー工程入力!$I$6:$I$65,"&gt;0",⑫ミキサー工程入力!$M$6:$M$65,"&gt;0")+SUMIFS(⑬計量工程入力!$J$6:$J$65,⑬計量工程入力!$S$6:$S$65,$J164,⑬計量工程入力!$J$6:$J$65,"&gt;0",⑬計量工程入力!$M$6:$M$65,"&gt;0")-SUMIFS(⑬計量工程入力!$J$6:$J$65,⑬計量工程入力!$S$6:$S$65,$J164,⑬計量工程入力!$J$6:$J$65,"&gt;0",⑬計量工程入力!$I$6:$I$65,"&gt;0",⑬計量工程入力!$M$6:$M$65,"&gt;0")+SUMIFS(⑭手動工程入力!$J$6:$J$47,⑭手動工程入力!$S$6:$S$47,$J164,⑭手動工程入力!$J$6:$J$47,"&gt;0",⑭手動工程入力!$M$6:$M$47,"&gt;0")-SUMIFS(⑭手動工程入力!$J$6:$J$47,⑭手動工程入力!$S$6:$S$47,$J164,⑭手動工程入力!$J$6:$J$47,"&gt;0",⑭手動工程入力!$I$6:$I$47,"&gt;0",⑭手動工程入力!$M$6:$M$47,"&gt;0"))</f>
        <v/>
      </c>
      <c r="P164" s="392" t="n"/>
    </row>
    <row r="165">
      <c r="A165" s="392" t="n">
        <v>161</v>
      </c>
      <c r="B165" s="392" t="n"/>
      <c r="C165" s="392" t="n"/>
      <c r="D165" s="392" t="n"/>
      <c r="E165" s="392" t="n"/>
      <c r="F165" s="394" t="n"/>
      <c r="G165" s="392" t="n"/>
      <c r="H165" s="604">
        <f>IFERROR(IF(AND($K165&gt;0,ISNUMBER(IF(OR($D165="g",$D165="ｇ"),IF($M165&gt;0,$L165/$M165/1000,""),IF($D165="kg",IF($M165&gt;0,$L165/$M165,""),IF($D165="",IF($M165&gt;0,$L165/$M165/1000,IF($O165&gt;0,$N165/$O165,"")),IF($O165&gt;0,$N165/$O165,"")))))),IF(OR($D165="g",$D165="ｇ"),IF($M165&gt;0,$L165/$M165/1000,""),IF($D165="kg",IF($M165&gt;0,$L165/$M165,""),IF($D165="",IF($M165&gt;0,$L165/$M165/1000,IF($O165&gt;0,$N165/$O165,"")),IF($O165&gt;0,$N165/$O165,"")))),IF($F165="",IF(OR($E165="",$E165="⑩盛付梱包工程入力"),"",IF(OR($D165="g",$D165="ｇ"),INDEX(⑰工程労務費一覧!$N$5:$N$11,MATCH($E165,⑰工程労務費一覧!$K$5:$K$11,0))/1000,IF($D165="kg",INDEX(⑰工程労務費一覧!$N$5:$N$11,MATCH($E165,⑰工程労務費一覧!$K$5:$K$11,0)),IF(OR($D165="個",$D165="切",$D165="本",$D165="枚",$D165="尾"),IF($E165="⑬計量工程入力","",INDEX(⑰工程労務費一覧!$P$5:$P$11,MATCH($E165,⑰工程労務費一覧!$K$5:$K$11,0))),IF(AND($D165="",OR($E165="②釜工程入力",$E165="③スチコン工程入力")),INDEX(⑰工程労務費一覧!$N$5:$N$11,MATCH($E165,⑰工程労務費一覧!$K$5:$K$11,0))/1000,""))))),IF(OR($D165="g",$D165="ｇ"),INDEX(⑰工程労務費一覧!$H$5:$H$753,MATCH($F165,⑰工程労務費一覧!$D$5:$D$753,0))/1000,IF($D165="kg",INDEX(⑰工程労務費一覧!$H$5:$H$753,MATCH($F165,⑰工程労務費一覧!$D$5:$D$753,0)),INDEX(⑰工程労務費一覧!$I$5:$I$753,MATCH($F165,⑰工程労務費一覧!$D$5:$D$753,0)))))),"")</f>
        <v/>
      </c>
      <c r="I165" s="392">
        <f>IF($K165&gt;0,IF(ISNUMBER(IF(OR($D165="g",$D165="ｇ"),IF($M165&gt;0,$L165/$M165/1000,""),IF($D165="kg",IF($M165&gt;0,$L165/$M165,""),IF($D165="",IF($M165&gt;0,$L165/$M165/1000,IF($O165&gt;0,$N165/$O165,"")),IF($O165&gt;0,$N165/$O165,""))))),IF($D165="",IF($M165&gt;0,"◎ JAN紐づけ(g扱い)","◎ JAN紐づけ(個扱い)"),"◎ JAN紐づけ"),"△ JAN紐づけ済・実績不足→仮計算"),IF($F165="",IF(ISNUMBER($H165),IF($D165="","⑤ 工程平均で仮計算(g扱い)","⑤ 工程平均で仮計算"),IF($E165="⑩盛付梱包工程入力","⑥ 盛り込み(⑳F列で計上)",IF(AND($E165="⑬計量工程入力",OR($D165="個",$D165="切",$D165="本",$D165="枚",$D165="尾")),"① 未紐づけ(カット個単位は仮単価なし)","① 未紐づけ"))),IF(NOT(ISNUMBER($H165)),"② 工程側に単価なし",IF($D165="","③ 単位未設定(個で計算)","④ OK"))))</f>
        <v/>
      </c>
      <c r="J165" s="399">
        <f>IFERROR(LOOKUP(2,1/((中間品リスト!$F$2:$F$1299=$B165)*(中間品リスト!$E$2:$E$1299&lt;&gt;"-")*(中間品リスト!$E$2:$E$1299&lt;&gt;"")),中間品リスト!$E$2:$E$1299),"")</f>
        <v/>
      </c>
      <c r="K165" s="400">
        <f>IF($J165="",0,COUNTIF(②釜工程入力!$S$5:$S$117,$J165)+COUNTIF(③スチコン工程入力!$S$5:$S$152,$J165)+COUNTIF(⑪ZEN工程入力!$S$6:$S$35,$J165)+COUNTIF(⑫ミキサー工程入力!$S$6:$S$65,$J165)+COUNTIF(⑬計量工程入力!$S$6:$S$65,$J165)+COUNTIF(⑭手動工程入力!$S$6:$S$47,$J165))</f>
        <v/>
      </c>
      <c r="L165" s="393">
        <f>IF($J165="",0,SUMIFS(②釜工程入力!$M$5:$M$117,②釜工程入力!$S$5:$S$117,$J165,②釜工程入力!$I$5:$I$117,"&gt;0")+SUMIFS(③スチコン工程入力!$M$5:$M$152,③スチコン工程入力!$S$5:$S$152,$J165,③スチコン工程入力!$I$5:$I$152,"&gt;0")+SUMIFS(⑪ZEN工程入力!$M$6:$M$35,⑪ZEN工程入力!$S$6:$S$35,$J165,⑪ZEN工程入力!$I$6:$I$35,"&gt;0")+SUMIFS(⑫ミキサー工程入力!$M$6:$M$65,⑫ミキサー工程入力!$S$6:$S$65,$J165,⑫ミキサー工程入力!$I$6:$I$65,"&gt;0")+SUMIFS(⑬計量工程入力!$M$6:$M$65,⑬計量工程入力!$S$6:$S$65,$J165,⑬計量工程入力!$I$6:$I$65,"&gt;0")+SUMIFS(⑭手動工程入力!$M$6:$M$47,⑭手動工程入力!$S$6:$S$47,$J165,⑭手動工程入力!$I$6:$I$47,"&gt;0"))</f>
        <v/>
      </c>
      <c r="M165" s="393">
        <f>IF($J165="",0,SUMIFS(②釜工程入力!$I$5:$I$117,②釜工程入力!$S$5:$S$117,$J165,②釜工程入力!$I$5:$I$117,"&gt;0",②釜工程入力!$M$5:$M$117,"&gt;0")+SUMIFS(③スチコン工程入力!$I$5:$I$152,③スチコン工程入力!$S$5:$S$152,$J165,③スチコン工程入力!$I$5:$I$152,"&gt;0",③スチコン工程入力!$M$5:$M$152,"&gt;0")+SUMIFS(⑪ZEN工程入力!$I$6:$I$35,⑪ZEN工程入力!$S$6:$S$35,$J165,⑪ZEN工程入力!$I$6:$I$35,"&gt;0",⑪ZEN工程入力!$M$6:$M$35,"&gt;0")+SUMIFS(⑫ミキサー工程入力!$I$6:$I$65,⑫ミキサー工程入力!$S$6:$S$65,$J165,⑫ミキサー工程入力!$I$6:$I$65,"&gt;0",⑫ミキサー工程入力!$M$6:$M$65,"&gt;0")+SUMIFS(⑬計量工程入力!$I$6:$I$65,⑬計量工程入力!$S$6:$S$65,$J165,⑬計量工程入力!$I$6:$I$65,"&gt;0",⑬計量工程入力!$M$6:$M$65,"&gt;0")+SUMIFS(⑭手動工程入力!$I$6:$I$47,⑭手動工程入力!$S$6:$S$47,$J165,⑭手動工程入力!$I$6:$I$47,"&gt;0",⑭手動工程入力!$M$6:$M$47,"&gt;0"))</f>
        <v/>
      </c>
      <c r="N165" s="393">
        <f>IF($J165="",0,SUMIFS(②釜工程入力!$M$5:$M$117,②釜工程入力!$S$5:$S$117,$J165,②釜工程入力!$J$5:$J$117,"&gt;0")-SUMIFS(②釜工程入力!$M$5:$M$117,②釜工程入力!$S$5:$S$117,$J165,②釜工程入力!$J$5:$J$117,"&gt;0",②釜工程入力!$I$5:$I$117,"&gt;0")+SUMIFS(③スチコン工程入力!$M$5:$M$152,③スチコン工程入力!$S$5:$S$152,$J165,③スチコン工程入力!$J$5:$J$152,"&gt;0")-SUMIFS(③スチコン工程入力!$M$5:$M$152,③スチコン工程入力!$S$5:$S$152,$J165,③スチコン工程入力!$J$5:$J$152,"&gt;0",③スチコン工程入力!$I$5:$I$152,"&gt;0")+SUMIFS(⑪ZEN工程入力!$M$6:$M$35,⑪ZEN工程入力!$S$6:$S$35,$J165,⑪ZEN工程入力!$J$6:$J$35,"&gt;0")-SUMIFS(⑪ZEN工程入力!$M$6:$M$35,⑪ZEN工程入力!$S$6:$S$35,$J165,⑪ZEN工程入力!$J$6:$J$35,"&gt;0",⑪ZEN工程入力!$I$6:$I$35,"&gt;0")+SUMIFS(⑫ミキサー工程入力!$M$6:$M$65,⑫ミキサー工程入力!$S$6:$S$65,$J165,⑫ミキサー工程入力!$J$6:$J$65,"&gt;0")-SUMIFS(⑫ミキサー工程入力!$M$6:$M$65,⑫ミキサー工程入力!$S$6:$S$65,$J165,⑫ミキサー工程入力!$J$6:$J$65,"&gt;0",⑫ミキサー工程入力!$I$6:$I$65,"&gt;0")+SUMIFS(⑬計量工程入力!$M$6:$M$65,⑬計量工程入力!$S$6:$S$65,$J165,⑬計量工程入力!$J$6:$J$65,"&gt;0")-SUMIFS(⑬計量工程入力!$M$6:$M$65,⑬計量工程入力!$S$6:$S$65,$J165,⑬計量工程入力!$J$6:$J$65,"&gt;0",⑬計量工程入力!$I$6:$I$65,"&gt;0")+SUMIFS(⑭手動工程入力!$M$6:$M$47,⑭手動工程入力!$S$6:$S$47,$J165,⑭手動工程入力!$J$6:$J$47,"&gt;0")-SUMIFS(⑭手動工程入力!$M$6:$M$47,⑭手動工程入力!$S$6:$S$47,$J165,⑭手動工程入力!$J$6:$J$47,"&gt;0",⑭手動工程入力!$I$6:$I$47,"&gt;0"))</f>
        <v/>
      </c>
      <c r="O165" s="393">
        <f>IF($J165="",0,SUMIFS(②釜工程入力!$J$5:$J$117,②釜工程入力!$S$5:$S$117,$J165,②釜工程入力!$J$5:$J$117,"&gt;0",②釜工程入力!$M$5:$M$117,"&gt;0")-SUMIFS(②釜工程入力!$J$5:$J$117,②釜工程入力!$S$5:$S$117,$J165,②釜工程入力!$J$5:$J$117,"&gt;0",②釜工程入力!$I$5:$I$117,"&gt;0",②釜工程入力!$M$5:$M$117,"&gt;0")+SUMIFS(③スチコン工程入力!$J$5:$J$152,③スチコン工程入力!$S$5:$S$152,$J165,③スチコン工程入力!$J$5:$J$152,"&gt;0",③スチコン工程入力!$M$5:$M$152,"&gt;0")-SUMIFS(③スチコン工程入力!$J$5:$J$152,③スチコン工程入力!$S$5:$S$152,$J165,③スチコン工程入力!$J$5:$J$152,"&gt;0",③スチコン工程入力!$I$5:$I$152,"&gt;0",③スチコン工程入力!$M$5:$M$152,"&gt;0")+SUMIFS(⑪ZEN工程入力!$J$6:$J$35,⑪ZEN工程入力!$S$6:$S$35,$J165,⑪ZEN工程入力!$J$6:$J$35,"&gt;0",⑪ZEN工程入力!$M$6:$M$35,"&gt;0")-SUMIFS(⑪ZEN工程入力!$J$6:$J$35,⑪ZEN工程入力!$S$6:$S$35,$J165,⑪ZEN工程入力!$J$6:$J$35,"&gt;0",⑪ZEN工程入力!$I$6:$I$35,"&gt;0",⑪ZEN工程入力!$M$6:$M$35,"&gt;0")+SUMIFS(⑫ミキサー工程入力!$J$6:$J$65,⑫ミキサー工程入力!$S$6:$S$65,$J165,⑫ミキサー工程入力!$J$6:$J$65,"&gt;0",⑫ミキサー工程入力!$M$6:$M$65,"&gt;0")-SUMIFS(⑫ミキサー工程入力!$J$6:$J$65,⑫ミキサー工程入力!$S$6:$S$65,$J165,⑫ミキサー工程入力!$J$6:$J$65,"&gt;0",⑫ミキサー工程入力!$I$6:$I$65,"&gt;0",⑫ミキサー工程入力!$M$6:$M$65,"&gt;0")+SUMIFS(⑬計量工程入力!$J$6:$J$65,⑬計量工程入力!$S$6:$S$65,$J165,⑬計量工程入力!$J$6:$J$65,"&gt;0",⑬計量工程入力!$M$6:$M$65,"&gt;0")-SUMIFS(⑬計量工程入力!$J$6:$J$65,⑬計量工程入力!$S$6:$S$65,$J165,⑬計量工程入力!$J$6:$J$65,"&gt;0",⑬計量工程入力!$I$6:$I$65,"&gt;0",⑬計量工程入力!$M$6:$M$65,"&gt;0")+SUMIFS(⑭手動工程入力!$J$6:$J$47,⑭手動工程入力!$S$6:$S$47,$J165,⑭手動工程入力!$J$6:$J$47,"&gt;0",⑭手動工程入力!$M$6:$M$47,"&gt;0")-SUMIFS(⑭手動工程入力!$J$6:$J$47,⑭手動工程入力!$S$6:$S$47,$J165,⑭手動工程入力!$J$6:$J$47,"&gt;0",⑭手動工程入力!$I$6:$I$47,"&gt;0",⑭手動工程入力!$M$6:$M$47,"&gt;0"))</f>
        <v/>
      </c>
      <c r="P165" s="392" t="n"/>
    </row>
    <row r="166">
      <c r="A166" s="392" t="n">
        <v>162</v>
      </c>
      <c r="B166" s="392" t="n"/>
      <c r="C166" s="392" t="n"/>
      <c r="D166" s="392" t="n"/>
      <c r="E166" s="392" t="n"/>
      <c r="F166" s="394" t="n"/>
      <c r="G166" s="392" t="n"/>
      <c r="H166" s="604">
        <f>IFERROR(IF(AND($K166&gt;0,ISNUMBER(IF(OR($D166="g",$D166="ｇ"),IF($M166&gt;0,$L166/$M166/1000,""),IF($D166="kg",IF($M166&gt;0,$L166/$M166,""),IF($D166="",IF($M166&gt;0,$L166/$M166/1000,IF($O166&gt;0,$N166/$O166,"")),IF($O166&gt;0,$N166/$O166,"")))))),IF(OR($D166="g",$D166="ｇ"),IF($M166&gt;0,$L166/$M166/1000,""),IF($D166="kg",IF($M166&gt;0,$L166/$M166,""),IF($D166="",IF($M166&gt;0,$L166/$M166/1000,IF($O166&gt;0,$N166/$O166,"")),IF($O166&gt;0,$N166/$O166,"")))),IF($F166="",IF(OR($E166="",$E166="⑩盛付梱包工程入力"),"",IF(OR($D166="g",$D166="ｇ"),INDEX(⑰工程労務費一覧!$N$5:$N$11,MATCH($E166,⑰工程労務費一覧!$K$5:$K$11,0))/1000,IF($D166="kg",INDEX(⑰工程労務費一覧!$N$5:$N$11,MATCH($E166,⑰工程労務費一覧!$K$5:$K$11,0)),IF(OR($D166="個",$D166="切",$D166="本",$D166="枚",$D166="尾"),IF($E166="⑬計量工程入力","",INDEX(⑰工程労務費一覧!$P$5:$P$11,MATCH($E166,⑰工程労務費一覧!$K$5:$K$11,0))),IF(AND($D166="",OR($E166="②釜工程入力",$E166="③スチコン工程入力")),INDEX(⑰工程労務費一覧!$N$5:$N$11,MATCH($E166,⑰工程労務費一覧!$K$5:$K$11,0))/1000,""))))),IF(OR($D166="g",$D166="ｇ"),INDEX(⑰工程労務費一覧!$H$5:$H$753,MATCH($F166,⑰工程労務費一覧!$D$5:$D$753,0))/1000,IF($D166="kg",INDEX(⑰工程労務費一覧!$H$5:$H$753,MATCH($F166,⑰工程労務費一覧!$D$5:$D$753,0)),INDEX(⑰工程労務費一覧!$I$5:$I$753,MATCH($F166,⑰工程労務費一覧!$D$5:$D$753,0)))))),"")</f>
        <v/>
      </c>
      <c r="I166" s="392">
        <f>IF($K166&gt;0,IF(ISNUMBER(IF(OR($D166="g",$D166="ｇ"),IF($M166&gt;0,$L166/$M166/1000,""),IF($D166="kg",IF($M166&gt;0,$L166/$M166,""),IF($D166="",IF($M166&gt;0,$L166/$M166/1000,IF($O166&gt;0,$N166/$O166,"")),IF($O166&gt;0,$N166/$O166,""))))),IF($D166="",IF($M166&gt;0,"◎ JAN紐づけ(g扱い)","◎ JAN紐づけ(個扱い)"),"◎ JAN紐づけ"),"△ JAN紐づけ済・実績不足→仮計算"),IF($F166="",IF(ISNUMBER($H166),IF($D166="","⑤ 工程平均で仮計算(g扱い)","⑤ 工程平均で仮計算"),IF($E166="⑩盛付梱包工程入力","⑥ 盛り込み(⑳F列で計上)",IF(AND($E166="⑬計量工程入力",OR($D166="個",$D166="切",$D166="本",$D166="枚",$D166="尾")),"① 未紐づけ(カット個単位は仮単価なし)","① 未紐づけ"))),IF(NOT(ISNUMBER($H166)),"② 工程側に単価なし",IF($D166="","③ 単位未設定(個で計算)","④ OK"))))</f>
        <v/>
      </c>
      <c r="J166" s="399">
        <f>IFERROR(LOOKUP(2,1/((中間品リスト!$F$2:$F$1299=$B166)*(中間品リスト!$E$2:$E$1299&lt;&gt;"-")*(中間品リスト!$E$2:$E$1299&lt;&gt;"")),中間品リスト!$E$2:$E$1299),"")</f>
        <v/>
      </c>
      <c r="K166" s="400">
        <f>IF($J166="",0,COUNTIF(②釜工程入力!$S$5:$S$117,$J166)+COUNTIF(③スチコン工程入力!$S$5:$S$152,$J166)+COUNTIF(⑪ZEN工程入力!$S$6:$S$35,$J166)+COUNTIF(⑫ミキサー工程入力!$S$6:$S$65,$J166)+COUNTIF(⑬計量工程入力!$S$6:$S$65,$J166)+COUNTIF(⑭手動工程入力!$S$6:$S$47,$J166))</f>
        <v/>
      </c>
      <c r="L166" s="393">
        <f>IF($J166="",0,SUMIFS(②釜工程入力!$M$5:$M$117,②釜工程入力!$S$5:$S$117,$J166,②釜工程入力!$I$5:$I$117,"&gt;0")+SUMIFS(③スチコン工程入力!$M$5:$M$152,③スチコン工程入力!$S$5:$S$152,$J166,③スチコン工程入力!$I$5:$I$152,"&gt;0")+SUMIFS(⑪ZEN工程入力!$M$6:$M$35,⑪ZEN工程入力!$S$6:$S$35,$J166,⑪ZEN工程入力!$I$6:$I$35,"&gt;0")+SUMIFS(⑫ミキサー工程入力!$M$6:$M$65,⑫ミキサー工程入力!$S$6:$S$65,$J166,⑫ミキサー工程入力!$I$6:$I$65,"&gt;0")+SUMIFS(⑬計量工程入力!$M$6:$M$65,⑬計量工程入力!$S$6:$S$65,$J166,⑬計量工程入力!$I$6:$I$65,"&gt;0")+SUMIFS(⑭手動工程入力!$M$6:$M$47,⑭手動工程入力!$S$6:$S$47,$J166,⑭手動工程入力!$I$6:$I$47,"&gt;0"))</f>
        <v/>
      </c>
      <c r="M166" s="393">
        <f>IF($J166="",0,SUMIFS(②釜工程入力!$I$5:$I$117,②釜工程入力!$S$5:$S$117,$J166,②釜工程入力!$I$5:$I$117,"&gt;0",②釜工程入力!$M$5:$M$117,"&gt;0")+SUMIFS(③スチコン工程入力!$I$5:$I$152,③スチコン工程入力!$S$5:$S$152,$J166,③スチコン工程入力!$I$5:$I$152,"&gt;0",③スチコン工程入力!$M$5:$M$152,"&gt;0")+SUMIFS(⑪ZEN工程入力!$I$6:$I$35,⑪ZEN工程入力!$S$6:$S$35,$J166,⑪ZEN工程入力!$I$6:$I$35,"&gt;0",⑪ZEN工程入力!$M$6:$M$35,"&gt;0")+SUMIFS(⑫ミキサー工程入力!$I$6:$I$65,⑫ミキサー工程入力!$S$6:$S$65,$J166,⑫ミキサー工程入力!$I$6:$I$65,"&gt;0",⑫ミキサー工程入力!$M$6:$M$65,"&gt;0")+SUMIFS(⑬計量工程入力!$I$6:$I$65,⑬計量工程入力!$S$6:$S$65,$J166,⑬計量工程入力!$I$6:$I$65,"&gt;0",⑬計量工程入力!$M$6:$M$65,"&gt;0")+SUMIFS(⑭手動工程入力!$I$6:$I$47,⑭手動工程入力!$S$6:$S$47,$J166,⑭手動工程入力!$I$6:$I$47,"&gt;0",⑭手動工程入力!$M$6:$M$47,"&gt;0"))</f>
        <v/>
      </c>
      <c r="N166" s="393">
        <f>IF($J166="",0,SUMIFS(②釜工程入力!$M$5:$M$117,②釜工程入力!$S$5:$S$117,$J166,②釜工程入力!$J$5:$J$117,"&gt;0")-SUMIFS(②釜工程入力!$M$5:$M$117,②釜工程入力!$S$5:$S$117,$J166,②釜工程入力!$J$5:$J$117,"&gt;0",②釜工程入力!$I$5:$I$117,"&gt;0")+SUMIFS(③スチコン工程入力!$M$5:$M$152,③スチコン工程入力!$S$5:$S$152,$J166,③スチコン工程入力!$J$5:$J$152,"&gt;0")-SUMIFS(③スチコン工程入力!$M$5:$M$152,③スチコン工程入力!$S$5:$S$152,$J166,③スチコン工程入力!$J$5:$J$152,"&gt;0",③スチコン工程入力!$I$5:$I$152,"&gt;0")+SUMIFS(⑪ZEN工程入力!$M$6:$M$35,⑪ZEN工程入力!$S$6:$S$35,$J166,⑪ZEN工程入力!$J$6:$J$35,"&gt;0")-SUMIFS(⑪ZEN工程入力!$M$6:$M$35,⑪ZEN工程入力!$S$6:$S$35,$J166,⑪ZEN工程入力!$J$6:$J$35,"&gt;0",⑪ZEN工程入力!$I$6:$I$35,"&gt;0")+SUMIFS(⑫ミキサー工程入力!$M$6:$M$65,⑫ミキサー工程入力!$S$6:$S$65,$J166,⑫ミキサー工程入力!$J$6:$J$65,"&gt;0")-SUMIFS(⑫ミキサー工程入力!$M$6:$M$65,⑫ミキサー工程入力!$S$6:$S$65,$J166,⑫ミキサー工程入力!$J$6:$J$65,"&gt;0",⑫ミキサー工程入力!$I$6:$I$65,"&gt;0")+SUMIFS(⑬計量工程入力!$M$6:$M$65,⑬計量工程入力!$S$6:$S$65,$J166,⑬計量工程入力!$J$6:$J$65,"&gt;0")-SUMIFS(⑬計量工程入力!$M$6:$M$65,⑬計量工程入力!$S$6:$S$65,$J166,⑬計量工程入力!$J$6:$J$65,"&gt;0",⑬計量工程入力!$I$6:$I$65,"&gt;0")+SUMIFS(⑭手動工程入力!$M$6:$M$47,⑭手動工程入力!$S$6:$S$47,$J166,⑭手動工程入力!$J$6:$J$47,"&gt;0")-SUMIFS(⑭手動工程入力!$M$6:$M$47,⑭手動工程入力!$S$6:$S$47,$J166,⑭手動工程入力!$J$6:$J$47,"&gt;0",⑭手動工程入力!$I$6:$I$47,"&gt;0"))</f>
        <v/>
      </c>
      <c r="O166" s="393">
        <f>IF($J166="",0,SUMIFS(②釜工程入力!$J$5:$J$117,②釜工程入力!$S$5:$S$117,$J166,②釜工程入力!$J$5:$J$117,"&gt;0",②釜工程入力!$M$5:$M$117,"&gt;0")-SUMIFS(②釜工程入力!$J$5:$J$117,②釜工程入力!$S$5:$S$117,$J166,②釜工程入力!$J$5:$J$117,"&gt;0",②釜工程入力!$I$5:$I$117,"&gt;0",②釜工程入力!$M$5:$M$117,"&gt;0")+SUMIFS(③スチコン工程入力!$J$5:$J$152,③スチコン工程入力!$S$5:$S$152,$J166,③スチコン工程入力!$J$5:$J$152,"&gt;0",③スチコン工程入力!$M$5:$M$152,"&gt;0")-SUMIFS(③スチコン工程入力!$J$5:$J$152,③スチコン工程入力!$S$5:$S$152,$J166,③スチコン工程入力!$J$5:$J$152,"&gt;0",③スチコン工程入力!$I$5:$I$152,"&gt;0",③スチコン工程入力!$M$5:$M$152,"&gt;0")+SUMIFS(⑪ZEN工程入力!$J$6:$J$35,⑪ZEN工程入力!$S$6:$S$35,$J166,⑪ZEN工程入力!$J$6:$J$35,"&gt;0",⑪ZEN工程入力!$M$6:$M$35,"&gt;0")-SUMIFS(⑪ZEN工程入力!$J$6:$J$35,⑪ZEN工程入力!$S$6:$S$35,$J166,⑪ZEN工程入力!$J$6:$J$35,"&gt;0",⑪ZEN工程入力!$I$6:$I$35,"&gt;0",⑪ZEN工程入力!$M$6:$M$35,"&gt;0")+SUMIFS(⑫ミキサー工程入力!$J$6:$J$65,⑫ミキサー工程入力!$S$6:$S$65,$J166,⑫ミキサー工程入力!$J$6:$J$65,"&gt;0",⑫ミキサー工程入力!$M$6:$M$65,"&gt;0")-SUMIFS(⑫ミキサー工程入力!$J$6:$J$65,⑫ミキサー工程入力!$S$6:$S$65,$J166,⑫ミキサー工程入力!$J$6:$J$65,"&gt;0",⑫ミキサー工程入力!$I$6:$I$65,"&gt;0",⑫ミキサー工程入力!$M$6:$M$65,"&gt;0")+SUMIFS(⑬計量工程入力!$J$6:$J$65,⑬計量工程入力!$S$6:$S$65,$J166,⑬計量工程入力!$J$6:$J$65,"&gt;0",⑬計量工程入力!$M$6:$M$65,"&gt;0")-SUMIFS(⑬計量工程入力!$J$6:$J$65,⑬計量工程入力!$S$6:$S$65,$J166,⑬計量工程入力!$J$6:$J$65,"&gt;0",⑬計量工程入力!$I$6:$I$65,"&gt;0",⑬計量工程入力!$M$6:$M$65,"&gt;0")+SUMIFS(⑭手動工程入力!$J$6:$J$47,⑭手動工程入力!$S$6:$S$47,$J166,⑭手動工程入力!$J$6:$J$47,"&gt;0",⑭手動工程入力!$M$6:$M$47,"&gt;0")-SUMIFS(⑭手動工程入力!$J$6:$J$47,⑭手動工程入力!$S$6:$S$47,$J166,⑭手動工程入力!$J$6:$J$47,"&gt;0",⑭手動工程入力!$I$6:$I$47,"&gt;0",⑭手動工程入力!$M$6:$M$47,"&gt;0"))</f>
        <v/>
      </c>
      <c r="P166" s="392" t="n"/>
    </row>
    <row r="167">
      <c r="A167" s="392" t="n">
        <v>163</v>
      </c>
      <c r="B167" s="392" t="n"/>
      <c r="C167" s="392" t="n"/>
      <c r="D167" s="392" t="n"/>
      <c r="E167" s="392" t="n"/>
      <c r="F167" s="394" t="n"/>
      <c r="G167" s="392" t="n"/>
      <c r="H167" s="604">
        <f>IFERROR(IF(AND($K167&gt;0,ISNUMBER(IF(OR($D167="g",$D167="ｇ"),IF($M167&gt;0,$L167/$M167/1000,""),IF($D167="kg",IF($M167&gt;0,$L167/$M167,""),IF($D167="",IF($M167&gt;0,$L167/$M167/1000,IF($O167&gt;0,$N167/$O167,"")),IF($O167&gt;0,$N167/$O167,"")))))),IF(OR($D167="g",$D167="ｇ"),IF($M167&gt;0,$L167/$M167/1000,""),IF($D167="kg",IF($M167&gt;0,$L167/$M167,""),IF($D167="",IF($M167&gt;0,$L167/$M167/1000,IF($O167&gt;0,$N167/$O167,"")),IF($O167&gt;0,$N167/$O167,"")))),IF($F167="",IF(OR($E167="",$E167="⑩盛付梱包工程入力"),"",IF(OR($D167="g",$D167="ｇ"),INDEX(⑰工程労務費一覧!$N$5:$N$11,MATCH($E167,⑰工程労務費一覧!$K$5:$K$11,0))/1000,IF($D167="kg",INDEX(⑰工程労務費一覧!$N$5:$N$11,MATCH($E167,⑰工程労務費一覧!$K$5:$K$11,0)),IF(OR($D167="個",$D167="切",$D167="本",$D167="枚",$D167="尾"),IF($E167="⑬計量工程入力","",INDEX(⑰工程労務費一覧!$P$5:$P$11,MATCH($E167,⑰工程労務費一覧!$K$5:$K$11,0))),IF(AND($D167="",OR($E167="②釜工程入力",$E167="③スチコン工程入力")),INDEX(⑰工程労務費一覧!$N$5:$N$11,MATCH($E167,⑰工程労務費一覧!$K$5:$K$11,0))/1000,""))))),IF(OR($D167="g",$D167="ｇ"),INDEX(⑰工程労務費一覧!$H$5:$H$753,MATCH($F167,⑰工程労務費一覧!$D$5:$D$753,0))/1000,IF($D167="kg",INDEX(⑰工程労務費一覧!$H$5:$H$753,MATCH($F167,⑰工程労務費一覧!$D$5:$D$753,0)),INDEX(⑰工程労務費一覧!$I$5:$I$753,MATCH($F167,⑰工程労務費一覧!$D$5:$D$753,0)))))),"")</f>
        <v/>
      </c>
      <c r="I167" s="392">
        <f>IF($K167&gt;0,IF(ISNUMBER(IF(OR($D167="g",$D167="ｇ"),IF($M167&gt;0,$L167/$M167/1000,""),IF($D167="kg",IF($M167&gt;0,$L167/$M167,""),IF($D167="",IF($M167&gt;0,$L167/$M167/1000,IF($O167&gt;0,$N167/$O167,"")),IF($O167&gt;0,$N167/$O167,""))))),IF($D167="",IF($M167&gt;0,"◎ JAN紐づけ(g扱い)","◎ JAN紐づけ(個扱い)"),"◎ JAN紐づけ"),"△ JAN紐づけ済・実績不足→仮計算"),IF($F167="",IF(ISNUMBER($H167),IF($D167="","⑤ 工程平均で仮計算(g扱い)","⑤ 工程平均で仮計算"),IF($E167="⑩盛付梱包工程入力","⑥ 盛り込み(⑳F列で計上)",IF(AND($E167="⑬計量工程入力",OR($D167="個",$D167="切",$D167="本",$D167="枚",$D167="尾")),"① 未紐づけ(カット個単位は仮単価なし)","① 未紐づけ"))),IF(NOT(ISNUMBER($H167)),"② 工程側に単価なし",IF($D167="","③ 単位未設定(個で計算)","④ OK"))))</f>
        <v/>
      </c>
      <c r="J167" s="399">
        <f>IFERROR(LOOKUP(2,1/((中間品リスト!$F$2:$F$1299=$B167)*(中間品リスト!$E$2:$E$1299&lt;&gt;"-")*(中間品リスト!$E$2:$E$1299&lt;&gt;"")),中間品リスト!$E$2:$E$1299),"")</f>
        <v/>
      </c>
      <c r="K167" s="400">
        <f>IF($J167="",0,COUNTIF(②釜工程入力!$S$5:$S$117,$J167)+COUNTIF(③スチコン工程入力!$S$5:$S$152,$J167)+COUNTIF(⑪ZEN工程入力!$S$6:$S$35,$J167)+COUNTIF(⑫ミキサー工程入力!$S$6:$S$65,$J167)+COUNTIF(⑬計量工程入力!$S$6:$S$65,$J167)+COUNTIF(⑭手動工程入力!$S$6:$S$47,$J167))</f>
        <v/>
      </c>
      <c r="L167" s="393">
        <f>IF($J167="",0,SUMIFS(②釜工程入力!$M$5:$M$117,②釜工程入力!$S$5:$S$117,$J167,②釜工程入力!$I$5:$I$117,"&gt;0")+SUMIFS(③スチコン工程入力!$M$5:$M$152,③スチコン工程入力!$S$5:$S$152,$J167,③スチコン工程入力!$I$5:$I$152,"&gt;0")+SUMIFS(⑪ZEN工程入力!$M$6:$M$35,⑪ZEN工程入力!$S$6:$S$35,$J167,⑪ZEN工程入力!$I$6:$I$35,"&gt;0")+SUMIFS(⑫ミキサー工程入力!$M$6:$M$65,⑫ミキサー工程入力!$S$6:$S$65,$J167,⑫ミキサー工程入力!$I$6:$I$65,"&gt;0")+SUMIFS(⑬計量工程入力!$M$6:$M$65,⑬計量工程入力!$S$6:$S$65,$J167,⑬計量工程入力!$I$6:$I$65,"&gt;0")+SUMIFS(⑭手動工程入力!$M$6:$M$47,⑭手動工程入力!$S$6:$S$47,$J167,⑭手動工程入力!$I$6:$I$47,"&gt;0"))</f>
        <v/>
      </c>
      <c r="M167" s="393">
        <f>IF($J167="",0,SUMIFS(②釜工程入力!$I$5:$I$117,②釜工程入力!$S$5:$S$117,$J167,②釜工程入力!$I$5:$I$117,"&gt;0",②釜工程入力!$M$5:$M$117,"&gt;0")+SUMIFS(③スチコン工程入力!$I$5:$I$152,③スチコン工程入力!$S$5:$S$152,$J167,③スチコン工程入力!$I$5:$I$152,"&gt;0",③スチコン工程入力!$M$5:$M$152,"&gt;0")+SUMIFS(⑪ZEN工程入力!$I$6:$I$35,⑪ZEN工程入力!$S$6:$S$35,$J167,⑪ZEN工程入力!$I$6:$I$35,"&gt;0",⑪ZEN工程入力!$M$6:$M$35,"&gt;0")+SUMIFS(⑫ミキサー工程入力!$I$6:$I$65,⑫ミキサー工程入力!$S$6:$S$65,$J167,⑫ミキサー工程入力!$I$6:$I$65,"&gt;0",⑫ミキサー工程入力!$M$6:$M$65,"&gt;0")+SUMIFS(⑬計量工程入力!$I$6:$I$65,⑬計量工程入力!$S$6:$S$65,$J167,⑬計量工程入力!$I$6:$I$65,"&gt;0",⑬計量工程入力!$M$6:$M$65,"&gt;0")+SUMIFS(⑭手動工程入力!$I$6:$I$47,⑭手動工程入力!$S$6:$S$47,$J167,⑭手動工程入力!$I$6:$I$47,"&gt;0",⑭手動工程入力!$M$6:$M$47,"&gt;0"))</f>
        <v/>
      </c>
      <c r="N167" s="393">
        <f>IF($J167="",0,SUMIFS(②釜工程入力!$M$5:$M$117,②釜工程入力!$S$5:$S$117,$J167,②釜工程入力!$J$5:$J$117,"&gt;0")-SUMIFS(②釜工程入力!$M$5:$M$117,②釜工程入力!$S$5:$S$117,$J167,②釜工程入力!$J$5:$J$117,"&gt;0",②釜工程入力!$I$5:$I$117,"&gt;0")+SUMIFS(③スチコン工程入力!$M$5:$M$152,③スチコン工程入力!$S$5:$S$152,$J167,③スチコン工程入力!$J$5:$J$152,"&gt;0")-SUMIFS(③スチコン工程入力!$M$5:$M$152,③スチコン工程入力!$S$5:$S$152,$J167,③スチコン工程入力!$J$5:$J$152,"&gt;0",③スチコン工程入力!$I$5:$I$152,"&gt;0")+SUMIFS(⑪ZEN工程入力!$M$6:$M$35,⑪ZEN工程入力!$S$6:$S$35,$J167,⑪ZEN工程入力!$J$6:$J$35,"&gt;0")-SUMIFS(⑪ZEN工程入力!$M$6:$M$35,⑪ZEN工程入力!$S$6:$S$35,$J167,⑪ZEN工程入力!$J$6:$J$35,"&gt;0",⑪ZEN工程入力!$I$6:$I$35,"&gt;0")+SUMIFS(⑫ミキサー工程入力!$M$6:$M$65,⑫ミキサー工程入力!$S$6:$S$65,$J167,⑫ミキサー工程入力!$J$6:$J$65,"&gt;0")-SUMIFS(⑫ミキサー工程入力!$M$6:$M$65,⑫ミキサー工程入力!$S$6:$S$65,$J167,⑫ミキサー工程入力!$J$6:$J$65,"&gt;0",⑫ミキサー工程入力!$I$6:$I$65,"&gt;0")+SUMIFS(⑬計量工程入力!$M$6:$M$65,⑬計量工程入力!$S$6:$S$65,$J167,⑬計量工程入力!$J$6:$J$65,"&gt;0")-SUMIFS(⑬計量工程入力!$M$6:$M$65,⑬計量工程入力!$S$6:$S$65,$J167,⑬計量工程入力!$J$6:$J$65,"&gt;0",⑬計量工程入力!$I$6:$I$65,"&gt;0")+SUMIFS(⑭手動工程入力!$M$6:$M$47,⑭手動工程入力!$S$6:$S$47,$J167,⑭手動工程入力!$J$6:$J$47,"&gt;0")-SUMIFS(⑭手動工程入力!$M$6:$M$47,⑭手動工程入力!$S$6:$S$47,$J167,⑭手動工程入力!$J$6:$J$47,"&gt;0",⑭手動工程入力!$I$6:$I$47,"&gt;0"))</f>
        <v/>
      </c>
      <c r="O167" s="393">
        <f>IF($J167="",0,SUMIFS(②釜工程入力!$J$5:$J$117,②釜工程入力!$S$5:$S$117,$J167,②釜工程入力!$J$5:$J$117,"&gt;0",②釜工程入力!$M$5:$M$117,"&gt;0")-SUMIFS(②釜工程入力!$J$5:$J$117,②釜工程入力!$S$5:$S$117,$J167,②釜工程入力!$J$5:$J$117,"&gt;0",②釜工程入力!$I$5:$I$117,"&gt;0",②釜工程入力!$M$5:$M$117,"&gt;0")+SUMIFS(③スチコン工程入力!$J$5:$J$152,③スチコン工程入力!$S$5:$S$152,$J167,③スチコン工程入力!$J$5:$J$152,"&gt;0",③スチコン工程入力!$M$5:$M$152,"&gt;0")-SUMIFS(③スチコン工程入力!$J$5:$J$152,③スチコン工程入力!$S$5:$S$152,$J167,③スチコン工程入力!$J$5:$J$152,"&gt;0",③スチコン工程入力!$I$5:$I$152,"&gt;0",③スチコン工程入力!$M$5:$M$152,"&gt;0")+SUMIFS(⑪ZEN工程入力!$J$6:$J$35,⑪ZEN工程入力!$S$6:$S$35,$J167,⑪ZEN工程入力!$J$6:$J$35,"&gt;0",⑪ZEN工程入力!$M$6:$M$35,"&gt;0")-SUMIFS(⑪ZEN工程入力!$J$6:$J$35,⑪ZEN工程入力!$S$6:$S$35,$J167,⑪ZEN工程入力!$J$6:$J$35,"&gt;0",⑪ZEN工程入力!$I$6:$I$35,"&gt;0",⑪ZEN工程入力!$M$6:$M$35,"&gt;0")+SUMIFS(⑫ミキサー工程入力!$J$6:$J$65,⑫ミキサー工程入力!$S$6:$S$65,$J167,⑫ミキサー工程入力!$J$6:$J$65,"&gt;0",⑫ミキサー工程入力!$M$6:$M$65,"&gt;0")-SUMIFS(⑫ミキサー工程入力!$J$6:$J$65,⑫ミキサー工程入力!$S$6:$S$65,$J167,⑫ミキサー工程入力!$J$6:$J$65,"&gt;0",⑫ミキサー工程入力!$I$6:$I$65,"&gt;0",⑫ミキサー工程入力!$M$6:$M$65,"&gt;0")+SUMIFS(⑬計量工程入力!$J$6:$J$65,⑬計量工程入力!$S$6:$S$65,$J167,⑬計量工程入力!$J$6:$J$65,"&gt;0",⑬計量工程入力!$M$6:$M$65,"&gt;0")-SUMIFS(⑬計量工程入力!$J$6:$J$65,⑬計量工程入力!$S$6:$S$65,$J167,⑬計量工程入力!$J$6:$J$65,"&gt;0",⑬計量工程入力!$I$6:$I$65,"&gt;0",⑬計量工程入力!$M$6:$M$65,"&gt;0")+SUMIFS(⑭手動工程入力!$J$6:$J$47,⑭手動工程入力!$S$6:$S$47,$J167,⑭手動工程入力!$J$6:$J$47,"&gt;0",⑭手動工程入力!$M$6:$M$47,"&gt;0")-SUMIFS(⑭手動工程入力!$J$6:$J$47,⑭手動工程入力!$S$6:$S$47,$J167,⑭手動工程入力!$J$6:$J$47,"&gt;0",⑭手動工程入力!$I$6:$I$47,"&gt;0",⑭手動工程入力!$M$6:$M$47,"&gt;0"))</f>
        <v/>
      </c>
      <c r="P167" s="392" t="n"/>
    </row>
    <row r="168">
      <c r="A168" s="392" t="n">
        <v>164</v>
      </c>
      <c r="B168" s="392" t="n"/>
      <c r="C168" s="392" t="n"/>
      <c r="D168" s="392" t="n"/>
      <c r="E168" s="392" t="n"/>
      <c r="F168" s="394" t="n"/>
      <c r="G168" s="392" t="n"/>
      <c r="H168" s="604">
        <f>IFERROR(IF(AND($K168&gt;0,ISNUMBER(IF(OR($D168="g",$D168="ｇ"),IF($M168&gt;0,$L168/$M168/1000,""),IF($D168="kg",IF($M168&gt;0,$L168/$M168,""),IF($D168="",IF($M168&gt;0,$L168/$M168/1000,IF($O168&gt;0,$N168/$O168,"")),IF($O168&gt;0,$N168/$O168,"")))))),IF(OR($D168="g",$D168="ｇ"),IF($M168&gt;0,$L168/$M168/1000,""),IF($D168="kg",IF($M168&gt;0,$L168/$M168,""),IF($D168="",IF($M168&gt;0,$L168/$M168/1000,IF($O168&gt;0,$N168/$O168,"")),IF($O168&gt;0,$N168/$O168,"")))),IF($F168="",IF(OR($E168="",$E168="⑩盛付梱包工程入力"),"",IF(OR($D168="g",$D168="ｇ"),INDEX(⑰工程労務費一覧!$N$5:$N$11,MATCH($E168,⑰工程労務費一覧!$K$5:$K$11,0))/1000,IF($D168="kg",INDEX(⑰工程労務費一覧!$N$5:$N$11,MATCH($E168,⑰工程労務費一覧!$K$5:$K$11,0)),IF(OR($D168="個",$D168="切",$D168="本",$D168="枚",$D168="尾"),IF($E168="⑬計量工程入力","",INDEX(⑰工程労務費一覧!$P$5:$P$11,MATCH($E168,⑰工程労務費一覧!$K$5:$K$11,0))),IF(AND($D168="",OR($E168="②釜工程入力",$E168="③スチコン工程入力")),INDEX(⑰工程労務費一覧!$N$5:$N$11,MATCH($E168,⑰工程労務費一覧!$K$5:$K$11,0))/1000,""))))),IF(OR($D168="g",$D168="ｇ"),INDEX(⑰工程労務費一覧!$H$5:$H$753,MATCH($F168,⑰工程労務費一覧!$D$5:$D$753,0))/1000,IF($D168="kg",INDEX(⑰工程労務費一覧!$H$5:$H$753,MATCH($F168,⑰工程労務費一覧!$D$5:$D$753,0)),INDEX(⑰工程労務費一覧!$I$5:$I$753,MATCH($F168,⑰工程労務費一覧!$D$5:$D$753,0)))))),"")</f>
        <v/>
      </c>
      <c r="I168" s="392">
        <f>IF($K168&gt;0,IF(ISNUMBER(IF(OR($D168="g",$D168="ｇ"),IF($M168&gt;0,$L168/$M168/1000,""),IF($D168="kg",IF($M168&gt;0,$L168/$M168,""),IF($D168="",IF($M168&gt;0,$L168/$M168/1000,IF($O168&gt;0,$N168/$O168,"")),IF($O168&gt;0,$N168/$O168,""))))),IF($D168="",IF($M168&gt;0,"◎ JAN紐づけ(g扱い)","◎ JAN紐づけ(個扱い)"),"◎ JAN紐づけ"),"△ JAN紐づけ済・実績不足→仮計算"),IF($F168="",IF(ISNUMBER($H168),IF($D168="","⑤ 工程平均で仮計算(g扱い)","⑤ 工程平均で仮計算"),IF($E168="⑩盛付梱包工程入力","⑥ 盛り込み(⑳F列で計上)",IF(AND($E168="⑬計量工程入力",OR($D168="個",$D168="切",$D168="本",$D168="枚",$D168="尾")),"① 未紐づけ(カット個単位は仮単価なし)","① 未紐づけ"))),IF(NOT(ISNUMBER($H168)),"② 工程側に単価なし",IF($D168="","③ 単位未設定(個で計算)","④ OK"))))</f>
        <v/>
      </c>
      <c r="J168" s="399">
        <f>IFERROR(LOOKUP(2,1/((中間品リスト!$F$2:$F$1299=$B168)*(中間品リスト!$E$2:$E$1299&lt;&gt;"-")*(中間品リスト!$E$2:$E$1299&lt;&gt;"")),中間品リスト!$E$2:$E$1299),"")</f>
        <v/>
      </c>
      <c r="K168" s="400">
        <f>IF($J168="",0,COUNTIF(②釜工程入力!$S$5:$S$117,$J168)+COUNTIF(③スチコン工程入力!$S$5:$S$152,$J168)+COUNTIF(⑪ZEN工程入力!$S$6:$S$35,$J168)+COUNTIF(⑫ミキサー工程入力!$S$6:$S$65,$J168)+COUNTIF(⑬計量工程入力!$S$6:$S$65,$J168)+COUNTIF(⑭手動工程入力!$S$6:$S$47,$J168))</f>
        <v/>
      </c>
      <c r="L168" s="393">
        <f>IF($J168="",0,SUMIFS(②釜工程入力!$M$5:$M$117,②釜工程入力!$S$5:$S$117,$J168,②釜工程入力!$I$5:$I$117,"&gt;0")+SUMIFS(③スチコン工程入力!$M$5:$M$152,③スチコン工程入力!$S$5:$S$152,$J168,③スチコン工程入力!$I$5:$I$152,"&gt;0")+SUMIFS(⑪ZEN工程入力!$M$6:$M$35,⑪ZEN工程入力!$S$6:$S$35,$J168,⑪ZEN工程入力!$I$6:$I$35,"&gt;0")+SUMIFS(⑫ミキサー工程入力!$M$6:$M$65,⑫ミキサー工程入力!$S$6:$S$65,$J168,⑫ミキサー工程入力!$I$6:$I$65,"&gt;0")+SUMIFS(⑬計量工程入力!$M$6:$M$65,⑬計量工程入力!$S$6:$S$65,$J168,⑬計量工程入力!$I$6:$I$65,"&gt;0")+SUMIFS(⑭手動工程入力!$M$6:$M$47,⑭手動工程入力!$S$6:$S$47,$J168,⑭手動工程入力!$I$6:$I$47,"&gt;0"))</f>
        <v/>
      </c>
      <c r="M168" s="393">
        <f>IF($J168="",0,SUMIFS(②釜工程入力!$I$5:$I$117,②釜工程入力!$S$5:$S$117,$J168,②釜工程入力!$I$5:$I$117,"&gt;0",②釜工程入力!$M$5:$M$117,"&gt;0")+SUMIFS(③スチコン工程入力!$I$5:$I$152,③スチコン工程入力!$S$5:$S$152,$J168,③スチコン工程入力!$I$5:$I$152,"&gt;0",③スチコン工程入力!$M$5:$M$152,"&gt;0")+SUMIFS(⑪ZEN工程入力!$I$6:$I$35,⑪ZEN工程入力!$S$6:$S$35,$J168,⑪ZEN工程入力!$I$6:$I$35,"&gt;0",⑪ZEN工程入力!$M$6:$M$35,"&gt;0")+SUMIFS(⑫ミキサー工程入力!$I$6:$I$65,⑫ミキサー工程入力!$S$6:$S$65,$J168,⑫ミキサー工程入力!$I$6:$I$65,"&gt;0",⑫ミキサー工程入力!$M$6:$M$65,"&gt;0")+SUMIFS(⑬計量工程入力!$I$6:$I$65,⑬計量工程入力!$S$6:$S$65,$J168,⑬計量工程入力!$I$6:$I$65,"&gt;0",⑬計量工程入力!$M$6:$M$65,"&gt;0")+SUMIFS(⑭手動工程入力!$I$6:$I$47,⑭手動工程入力!$S$6:$S$47,$J168,⑭手動工程入力!$I$6:$I$47,"&gt;0",⑭手動工程入力!$M$6:$M$47,"&gt;0"))</f>
        <v/>
      </c>
      <c r="N168" s="393">
        <f>IF($J168="",0,SUMIFS(②釜工程入力!$M$5:$M$117,②釜工程入力!$S$5:$S$117,$J168,②釜工程入力!$J$5:$J$117,"&gt;0")-SUMIFS(②釜工程入力!$M$5:$M$117,②釜工程入力!$S$5:$S$117,$J168,②釜工程入力!$J$5:$J$117,"&gt;0",②釜工程入力!$I$5:$I$117,"&gt;0")+SUMIFS(③スチコン工程入力!$M$5:$M$152,③スチコン工程入力!$S$5:$S$152,$J168,③スチコン工程入力!$J$5:$J$152,"&gt;0")-SUMIFS(③スチコン工程入力!$M$5:$M$152,③スチコン工程入力!$S$5:$S$152,$J168,③スチコン工程入力!$J$5:$J$152,"&gt;0",③スチコン工程入力!$I$5:$I$152,"&gt;0")+SUMIFS(⑪ZEN工程入力!$M$6:$M$35,⑪ZEN工程入力!$S$6:$S$35,$J168,⑪ZEN工程入力!$J$6:$J$35,"&gt;0")-SUMIFS(⑪ZEN工程入力!$M$6:$M$35,⑪ZEN工程入力!$S$6:$S$35,$J168,⑪ZEN工程入力!$J$6:$J$35,"&gt;0",⑪ZEN工程入力!$I$6:$I$35,"&gt;0")+SUMIFS(⑫ミキサー工程入力!$M$6:$M$65,⑫ミキサー工程入力!$S$6:$S$65,$J168,⑫ミキサー工程入力!$J$6:$J$65,"&gt;0")-SUMIFS(⑫ミキサー工程入力!$M$6:$M$65,⑫ミキサー工程入力!$S$6:$S$65,$J168,⑫ミキサー工程入力!$J$6:$J$65,"&gt;0",⑫ミキサー工程入力!$I$6:$I$65,"&gt;0")+SUMIFS(⑬計量工程入力!$M$6:$M$65,⑬計量工程入力!$S$6:$S$65,$J168,⑬計量工程入力!$J$6:$J$65,"&gt;0")-SUMIFS(⑬計量工程入力!$M$6:$M$65,⑬計量工程入力!$S$6:$S$65,$J168,⑬計量工程入力!$J$6:$J$65,"&gt;0",⑬計量工程入力!$I$6:$I$65,"&gt;0")+SUMIFS(⑭手動工程入力!$M$6:$M$47,⑭手動工程入力!$S$6:$S$47,$J168,⑭手動工程入力!$J$6:$J$47,"&gt;0")-SUMIFS(⑭手動工程入力!$M$6:$M$47,⑭手動工程入力!$S$6:$S$47,$J168,⑭手動工程入力!$J$6:$J$47,"&gt;0",⑭手動工程入力!$I$6:$I$47,"&gt;0"))</f>
        <v/>
      </c>
      <c r="O168" s="393">
        <f>IF($J168="",0,SUMIFS(②釜工程入力!$J$5:$J$117,②釜工程入力!$S$5:$S$117,$J168,②釜工程入力!$J$5:$J$117,"&gt;0",②釜工程入力!$M$5:$M$117,"&gt;0")-SUMIFS(②釜工程入力!$J$5:$J$117,②釜工程入力!$S$5:$S$117,$J168,②釜工程入力!$J$5:$J$117,"&gt;0",②釜工程入力!$I$5:$I$117,"&gt;0",②釜工程入力!$M$5:$M$117,"&gt;0")+SUMIFS(③スチコン工程入力!$J$5:$J$152,③スチコン工程入力!$S$5:$S$152,$J168,③スチコン工程入力!$J$5:$J$152,"&gt;0",③スチコン工程入力!$M$5:$M$152,"&gt;0")-SUMIFS(③スチコン工程入力!$J$5:$J$152,③スチコン工程入力!$S$5:$S$152,$J168,③スチコン工程入力!$J$5:$J$152,"&gt;0",③スチコン工程入力!$I$5:$I$152,"&gt;0",③スチコン工程入力!$M$5:$M$152,"&gt;0")+SUMIFS(⑪ZEN工程入力!$J$6:$J$35,⑪ZEN工程入力!$S$6:$S$35,$J168,⑪ZEN工程入力!$J$6:$J$35,"&gt;0",⑪ZEN工程入力!$M$6:$M$35,"&gt;0")-SUMIFS(⑪ZEN工程入力!$J$6:$J$35,⑪ZEN工程入力!$S$6:$S$35,$J168,⑪ZEN工程入力!$J$6:$J$35,"&gt;0",⑪ZEN工程入力!$I$6:$I$35,"&gt;0",⑪ZEN工程入力!$M$6:$M$35,"&gt;0")+SUMIFS(⑫ミキサー工程入力!$J$6:$J$65,⑫ミキサー工程入力!$S$6:$S$65,$J168,⑫ミキサー工程入力!$J$6:$J$65,"&gt;0",⑫ミキサー工程入力!$M$6:$M$65,"&gt;0")-SUMIFS(⑫ミキサー工程入力!$J$6:$J$65,⑫ミキサー工程入力!$S$6:$S$65,$J168,⑫ミキサー工程入力!$J$6:$J$65,"&gt;0",⑫ミキサー工程入力!$I$6:$I$65,"&gt;0",⑫ミキサー工程入力!$M$6:$M$65,"&gt;0")+SUMIFS(⑬計量工程入力!$J$6:$J$65,⑬計量工程入力!$S$6:$S$65,$J168,⑬計量工程入力!$J$6:$J$65,"&gt;0",⑬計量工程入力!$M$6:$M$65,"&gt;0")-SUMIFS(⑬計量工程入力!$J$6:$J$65,⑬計量工程入力!$S$6:$S$65,$J168,⑬計量工程入力!$J$6:$J$65,"&gt;0",⑬計量工程入力!$I$6:$I$65,"&gt;0",⑬計量工程入力!$M$6:$M$65,"&gt;0")+SUMIFS(⑭手動工程入力!$J$6:$J$47,⑭手動工程入力!$S$6:$S$47,$J168,⑭手動工程入力!$J$6:$J$47,"&gt;0",⑭手動工程入力!$M$6:$M$47,"&gt;0")-SUMIFS(⑭手動工程入力!$J$6:$J$47,⑭手動工程入力!$S$6:$S$47,$J168,⑭手動工程入力!$J$6:$J$47,"&gt;0",⑭手動工程入力!$I$6:$I$47,"&gt;0",⑭手動工程入力!$M$6:$M$47,"&gt;0"))</f>
        <v/>
      </c>
      <c r="P168" s="392" t="n"/>
    </row>
    <row r="169">
      <c r="A169" s="392" t="n">
        <v>165</v>
      </c>
      <c r="B169" s="392" t="n"/>
      <c r="C169" s="392" t="n"/>
      <c r="D169" s="392" t="n"/>
      <c r="E169" s="392" t="n"/>
      <c r="F169" s="394" t="n"/>
      <c r="G169" s="392" t="n"/>
      <c r="H169" s="604">
        <f>IFERROR(IF(AND($K169&gt;0,ISNUMBER(IF(OR($D169="g",$D169="ｇ"),IF($M169&gt;0,$L169/$M169/1000,""),IF($D169="kg",IF($M169&gt;0,$L169/$M169,""),IF($D169="",IF($M169&gt;0,$L169/$M169/1000,IF($O169&gt;0,$N169/$O169,"")),IF($O169&gt;0,$N169/$O169,"")))))),IF(OR($D169="g",$D169="ｇ"),IF($M169&gt;0,$L169/$M169/1000,""),IF($D169="kg",IF($M169&gt;0,$L169/$M169,""),IF($D169="",IF($M169&gt;0,$L169/$M169/1000,IF($O169&gt;0,$N169/$O169,"")),IF($O169&gt;0,$N169/$O169,"")))),IF($F169="",IF(OR($E169="",$E169="⑩盛付梱包工程入力"),"",IF(OR($D169="g",$D169="ｇ"),INDEX(⑰工程労務費一覧!$N$5:$N$11,MATCH($E169,⑰工程労務費一覧!$K$5:$K$11,0))/1000,IF($D169="kg",INDEX(⑰工程労務費一覧!$N$5:$N$11,MATCH($E169,⑰工程労務費一覧!$K$5:$K$11,0)),IF(OR($D169="個",$D169="切",$D169="本",$D169="枚",$D169="尾"),IF($E169="⑬計量工程入力","",INDEX(⑰工程労務費一覧!$P$5:$P$11,MATCH($E169,⑰工程労務費一覧!$K$5:$K$11,0))),IF(AND($D169="",OR($E169="②釜工程入力",$E169="③スチコン工程入力")),INDEX(⑰工程労務費一覧!$N$5:$N$11,MATCH($E169,⑰工程労務費一覧!$K$5:$K$11,0))/1000,""))))),IF(OR($D169="g",$D169="ｇ"),INDEX(⑰工程労務費一覧!$H$5:$H$753,MATCH($F169,⑰工程労務費一覧!$D$5:$D$753,0))/1000,IF($D169="kg",INDEX(⑰工程労務費一覧!$H$5:$H$753,MATCH($F169,⑰工程労務費一覧!$D$5:$D$753,0)),INDEX(⑰工程労務費一覧!$I$5:$I$753,MATCH($F169,⑰工程労務費一覧!$D$5:$D$753,0)))))),"")</f>
        <v/>
      </c>
      <c r="I169" s="392">
        <f>IF($K169&gt;0,IF(ISNUMBER(IF(OR($D169="g",$D169="ｇ"),IF($M169&gt;0,$L169/$M169/1000,""),IF($D169="kg",IF($M169&gt;0,$L169/$M169,""),IF($D169="",IF($M169&gt;0,$L169/$M169/1000,IF($O169&gt;0,$N169/$O169,"")),IF($O169&gt;0,$N169/$O169,""))))),IF($D169="",IF($M169&gt;0,"◎ JAN紐づけ(g扱い)","◎ JAN紐づけ(個扱い)"),"◎ JAN紐づけ"),"△ JAN紐づけ済・実績不足→仮計算"),IF($F169="",IF(ISNUMBER($H169),IF($D169="","⑤ 工程平均で仮計算(g扱い)","⑤ 工程平均で仮計算"),IF($E169="⑩盛付梱包工程入力","⑥ 盛り込み(⑳F列で計上)",IF(AND($E169="⑬計量工程入力",OR($D169="個",$D169="切",$D169="本",$D169="枚",$D169="尾")),"① 未紐づけ(カット個単位は仮単価なし)","① 未紐づけ"))),IF(NOT(ISNUMBER($H169)),"② 工程側に単価なし",IF($D169="","③ 単位未設定(個で計算)","④ OK"))))</f>
        <v/>
      </c>
      <c r="J169" s="399">
        <f>IFERROR(LOOKUP(2,1/((中間品リスト!$F$2:$F$1299=$B169)*(中間品リスト!$E$2:$E$1299&lt;&gt;"-")*(中間品リスト!$E$2:$E$1299&lt;&gt;"")),中間品リスト!$E$2:$E$1299),"")</f>
        <v/>
      </c>
      <c r="K169" s="400">
        <f>IF($J169="",0,COUNTIF(②釜工程入力!$S$5:$S$117,$J169)+COUNTIF(③スチコン工程入力!$S$5:$S$152,$J169)+COUNTIF(⑪ZEN工程入力!$S$6:$S$35,$J169)+COUNTIF(⑫ミキサー工程入力!$S$6:$S$65,$J169)+COUNTIF(⑬計量工程入力!$S$6:$S$65,$J169)+COUNTIF(⑭手動工程入力!$S$6:$S$47,$J169))</f>
        <v/>
      </c>
      <c r="L169" s="393">
        <f>IF($J169="",0,SUMIFS(②釜工程入力!$M$5:$M$117,②釜工程入力!$S$5:$S$117,$J169,②釜工程入力!$I$5:$I$117,"&gt;0")+SUMIFS(③スチコン工程入力!$M$5:$M$152,③スチコン工程入力!$S$5:$S$152,$J169,③スチコン工程入力!$I$5:$I$152,"&gt;0")+SUMIFS(⑪ZEN工程入力!$M$6:$M$35,⑪ZEN工程入力!$S$6:$S$35,$J169,⑪ZEN工程入力!$I$6:$I$35,"&gt;0")+SUMIFS(⑫ミキサー工程入力!$M$6:$M$65,⑫ミキサー工程入力!$S$6:$S$65,$J169,⑫ミキサー工程入力!$I$6:$I$65,"&gt;0")+SUMIFS(⑬計量工程入力!$M$6:$M$65,⑬計量工程入力!$S$6:$S$65,$J169,⑬計量工程入力!$I$6:$I$65,"&gt;0")+SUMIFS(⑭手動工程入力!$M$6:$M$47,⑭手動工程入力!$S$6:$S$47,$J169,⑭手動工程入力!$I$6:$I$47,"&gt;0"))</f>
        <v/>
      </c>
      <c r="M169" s="393">
        <f>IF($J169="",0,SUMIFS(②釜工程入力!$I$5:$I$117,②釜工程入力!$S$5:$S$117,$J169,②釜工程入力!$I$5:$I$117,"&gt;0",②釜工程入力!$M$5:$M$117,"&gt;0")+SUMIFS(③スチコン工程入力!$I$5:$I$152,③スチコン工程入力!$S$5:$S$152,$J169,③スチコン工程入力!$I$5:$I$152,"&gt;0",③スチコン工程入力!$M$5:$M$152,"&gt;0")+SUMIFS(⑪ZEN工程入力!$I$6:$I$35,⑪ZEN工程入力!$S$6:$S$35,$J169,⑪ZEN工程入力!$I$6:$I$35,"&gt;0",⑪ZEN工程入力!$M$6:$M$35,"&gt;0")+SUMIFS(⑫ミキサー工程入力!$I$6:$I$65,⑫ミキサー工程入力!$S$6:$S$65,$J169,⑫ミキサー工程入力!$I$6:$I$65,"&gt;0",⑫ミキサー工程入力!$M$6:$M$65,"&gt;0")+SUMIFS(⑬計量工程入力!$I$6:$I$65,⑬計量工程入力!$S$6:$S$65,$J169,⑬計量工程入力!$I$6:$I$65,"&gt;0",⑬計量工程入力!$M$6:$M$65,"&gt;0")+SUMIFS(⑭手動工程入力!$I$6:$I$47,⑭手動工程入力!$S$6:$S$47,$J169,⑭手動工程入力!$I$6:$I$47,"&gt;0",⑭手動工程入力!$M$6:$M$47,"&gt;0"))</f>
        <v/>
      </c>
      <c r="N169" s="393">
        <f>IF($J169="",0,SUMIFS(②釜工程入力!$M$5:$M$117,②釜工程入力!$S$5:$S$117,$J169,②釜工程入力!$J$5:$J$117,"&gt;0")-SUMIFS(②釜工程入力!$M$5:$M$117,②釜工程入力!$S$5:$S$117,$J169,②釜工程入力!$J$5:$J$117,"&gt;0",②釜工程入力!$I$5:$I$117,"&gt;0")+SUMIFS(③スチコン工程入力!$M$5:$M$152,③スチコン工程入力!$S$5:$S$152,$J169,③スチコン工程入力!$J$5:$J$152,"&gt;0")-SUMIFS(③スチコン工程入力!$M$5:$M$152,③スチコン工程入力!$S$5:$S$152,$J169,③スチコン工程入力!$J$5:$J$152,"&gt;0",③スチコン工程入力!$I$5:$I$152,"&gt;0")+SUMIFS(⑪ZEN工程入力!$M$6:$M$35,⑪ZEN工程入力!$S$6:$S$35,$J169,⑪ZEN工程入力!$J$6:$J$35,"&gt;0")-SUMIFS(⑪ZEN工程入力!$M$6:$M$35,⑪ZEN工程入力!$S$6:$S$35,$J169,⑪ZEN工程入力!$J$6:$J$35,"&gt;0",⑪ZEN工程入力!$I$6:$I$35,"&gt;0")+SUMIFS(⑫ミキサー工程入力!$M$6:$M$65,⑫ミキサー工程入力!$S$6:$S$65,$J169,⑫ミキサー工程入力!$J$6:$J$65,"&gt;0")-SUMIFS(⑫ミキサー工程入力!$M$6:$M$65,⑫ミキサー工程入力!$S$6:$S$65,$J169,⑫ミキサー工程入力!$J$6:$J$65,"&gt;0",⑫ミキサー工程入力!$I$6:$I$65,"&gt;0")+SUMIFS(⑬計量工程入力!$M$6:$M$65,⑬計量工程入力!$S$6:$S$65,$J169,⑬計量工程入力!$J$6:$J$65,"&gt;0")-SUMIFS(⑬計量工程入力!$M$6:$M$65,⑬計量工程入力!$S$6:$S$65,$J169,⑬計量工程入力!$J$6:$J$65,"&gt;0",⑬計量工程入力!$I$6:$I$65,"&gt;0")+SUMIFS(⑭手動工程入力!$M$6:$M$47,⑭手動工程入力!$S$6:$S$47,$J169,⑭手動工程入力!$J$6:$J$47,"&gt;0")-SUMIFS(⑭手動工程入力!$M$6:$M$47,⑭手動工程入力!$S$6:$S$47,$J169,⑭手動工程入力!$J$6:$J$47,"&gt;0",⑭手動工程入力!$I$6:$I$47,"&gt;0"))</f>
        <v/>
      </c>
      <c r="O169" s="393">
        <f>IF($J169="",0,SUMIFS(②釜工程入力!$J$5:$J$117,②釜工程入力!$S$5:$S$117,$J169,②釜工程入力!$J$5:$J$117,"&gt;0",②釜工程入力!$M$5:$M$117,"&gt;0")-SUMIFS(②釜工程入力!$J$5:$J$117,②釜工程入力!$S$5:$S$117,$J169,②釜工程入力!$J$5:$J$117,"&gt;0",②釜工程入力!$I$5:$I$117,"&gt;0",②釜工程入力!$M$5:$M$117,"&gt;0")+SUMIFS(③スチコン工程入力!$J$5:$J$152,③スチコン工程入力!$S$5:$S$152,$J169,③スチコン工程入力!$J$5:$J$152,"&gt;0",③スチコン工程入力!$M$5:$M$152,"&gt;0")-SUMIFS(③スチコン工程入力!$J$5:$J$152,③スチコン工程入力!$S$5:$S$152,$J169,③スチコン工程入力!$J$5:$J$152,"&gt;0",③スチコン工程入力!$I$5:$I$152,"&gt;0",③スチコン工程入力!$M$5:$M$152,"&gt;0")+SUMIFS(⑪ZEN工程入力!$J$6:$J$35,⑪ZEN工程入力!$S$6:$S$35,$J169,⑪ZEN工程入力!$J$6:$J$35,"&gt;0",⑪ZEN工程入力!$M$6:$M$35,"&gt;0")-SUMIFS(⑪ZEN工程入力!$J$6:$J$35,⑪ZEN工程入力!$S$6:$S$35,$J169,⑪ZEN工程入力!$J$6:$J$35,"&gt;0",⑪ZEN工程入力!$I$6:$I$35,"&gt;0",⑪ZEN工程入力!$M$6:$M$35,"&gt;0")+SUMIFS(⑫ミキサー工程入力!$J$6:$J$65,⑫ミキサー工程入力!$S$6:$S$65,$J169,⑫ミキサー工程入力!$J$6:$J$65,"&gt;0",⑫ミキサー工程入力!$M$6:$M$65,"&gt;0")-SUMIFS(⑫ミキサー工程入力!$J$6:$J$65,⑫ミキサー工程入力!$S$6:$S$65,$J169,⑫ミキサー工程入力!$J$6:$J$65,"&gt;0",⑫ミキサー工程入力!$I$6:$I$65,"&gt;0",⑫ミキサー工程入力!$M$6:$M$65,"&gt;0")+SUMIFS(⑬計量工程入力!$J$6:$J$65,⑬計量工程入力!$S$6:$S$65,$J169,⑬計量工程入力!$J$6:$J$65,"&gt;0",⑬計量工程入力!$M$6:$M$65,"&gt;0")-SUMIFS(⑬計量工程入力!$J$6:$J$65,⑬計量工程入力!$S$6:$S$65,$J169,⑬計量工程入力!$J$6:$J$65,"&gt;0",⑬計量工程入力!$I$6:$I$65,"&gt;0",⑬計量工程入力!$M$6:$M$65,"&gt;0")+SUMIFS(⑭手動工程入力!$J$6:$J$47,⑭手動工程入力!$S$6:$S$47,$J169,⑭手動工程入力!$J$6:$J$47,"&gt;0",⑭手動工程入力!$M$6:$M$47,"&gt;0")-SUMIFS(⑭手動工程入力!$J$6:$J$47,⑭手動工程入力!$S$6:$S$47,$J169,⑭手動工程入力!$J$6:$J$47,"&gt;0",⑭手動工程入力!$I$6:$I$47,"&gt;0",⑭手動工程入力!$M$6:$M$47,"&gt;0"))</f>
        <v/>
      </c>
      <c r="P169" s="392" t="n"/>
    </row>
    <row r="170">
      <c r="A170" s="392" t="n">
        <v>166</v>
      </c>
      <c r="B170" s="392" t="n"/>
      <c r="C170" s="392" t="n"/>
      <c r="D170" s="392" t="n"/>
      <c r="E170" s="392" t="n"/>
      <c r="F170" s="394" t="n"/>
      <c r="G170" s="392" t="n"/>
      <c r="H170" s="604">
        <f>IFERROR(IF(AND($K170&gt;0,ISNUMBER(IF(OR($D170="g",$D170="ｇ"),IF($M170&gt;0,$L170/$M170/1000,""),IF($D170="kg",IF($M170&gt;0,$L170/$M170,""),IF($D170="",IF($M170&gt;0,$L170/$M170/1000,IF($O170&gt;0,$N170/$O170,"")),IF($O170&gt;0,$N170/$O170,"")))))),IF(OR($D170="g",$D170="ｇ"),IF($M170&gt;0,$L170/$M170/1000,""),IF($D170="kg",IF($M170&gt;0,$L170/$M170,""),IF($D170="",IF($M170&gt;0,$L170/$M170/1000,IF($O170&gt;0,$N170/$O170,"")),IF($O170&gt;0,$N170/$O170,"")))),IF($F170="",IF(OR($E170="",$E170="⑩盛付梱包工程入力"),"",IF(OR($D170="g",$D170="ｇ"),INDEX(⑰工程労務費一覧!$N$5:$N$11,MATCH($E170,⑰工程労務費一覧!$K$5:$K$11,0))/1000,IF($D170="kg",INDEX(⑰工程労務費一覧!$N$5:$N$11,MATCH($E170,⑰工程労務費一覧!$K$5:$K$11,0)),IF(OR($D170="個",$D170="切",$D170="本",$D170="枚",$D170="尾"),IF($E170="⑬計量工程入力","",INDEX(⑰工程労務費一覧!$P$5:$P$11,MATCH($E170,⑰工程労務費一覧!$K$5:$K$11,0))),IF(AND($D170="",OR($E170="②釜工程入力",$E170="③スチコン工程入力")),INDEX(⑰工程労務費一覧!$N$5:$N$11,MATCH($E170,⑰工程労務費一覧!$K$5:$K$11,0))/1000,""))))),IF(OR($D170="g",$D170="ｇ"),INDEX(⑰工程労務費一覧!$H$5:$H$753,MATCH($F170,⑰工程労務費一覧!$D$5:$D$753,0))/1000,IF($D170="kg",INDEX(⑰工程労務費一覧!$H$5:$H$753,MATCH($F170,⑰工程労務費一覧!$D$5:$D$753,0)),INDEX(⑰工程労務費一覧!$I$5:$I$753,MATCH($F170,⑰工程労務費一覧!$D$5:$D$753,0)))))),"")</f>
        <v/>
      </c>
      <c r="I170" s="392">
        <f>IF($K170&gt;0,IF(ISNUMBER(IF(OR($D170="g",$D170="ｇ"),IF($M170&gt;0,$L170/$M170/1000,""),IF($D170="kg",IF($M170&gt;0,$L170/$M170,""),IF($D170="",IF($M170&gt;0,$L170/$M170/1000,IF($O170&gt;0,$N170/$O170,"")),IF($O170&gt;0,$N170/$O170,""))))),IF($D170="",IF($M170&gt;0,"◎ JAN紐づけ(g扱い)","◎ JAN紐づけ(個扱い)"),"◎ JAN紐づけ"),"△ JAN紐づけ済・実績不足→仮計算"),IF($F170="",IF(ISNUMBER($H170),IF($D170="","⑤ 工程平均で仮計算(g扱い)","⑤ 工程平均で仮計算"),IF($E170="⑩盛付梱包工程入力","⑥ 盛り込み(⑳F列で計上)",IF(AND($E170="⑬計量工程入力",OR($D170="個",$D170="切",$D170="本",$D170="枚",$D170="尾")),"① 未紐づけ(カット個単位は仮単価なし)","① 未紐づけ"))),IF(NOT(ISNUMBER($H170)),"② 工程側に単価なし",IF($D170="","③ 単位未設定(個で計算)","④ OK"))))</f>
        <v/>
      </c>
      <c r="J170" s="399">
        <f>IFERROR(LOOKUP(2,1/((中間品リスト!$F$2:$F$1299=$B170)*(中間品リスト!$E$2:$E$1299&lt;&gt;"-")*(中間品リスト!$E$2:$E$1299&lt;&gt;"")),中間品リスト!$E$2:$E$1299),"")</f>
        <v/>
      </c>
      <c r="K170" s="400">
        <f>IF($J170="",0,COUNTIF(②釜工程入力!$S$5:$S$117,$J170)+COUNTIF(③スチコン工程入力!$S$5:$S$152,$J170)+COUNTIF(⑪ZEN工程入力!$S$6:$S$35,$J170)+COUNTIF(⑫ミキサー工程入力!$S$6:$S$65,$J170)+COUNTIF(⑬計量工程入力!$S$6:$S$65,$J170)+COUNTIF(⑭手動工程入力!$S$6:$S$47,$J170))</f>
        <v/>
      </c>
      <c r="L170" s="393">
        <f>IF($J170="",0,SUMIFS(②釜工程入力!$M$5:$M$117,②釜工程入力!$S$5:$S$117,$J170,②釜工程入力!$I$5:$I$117,"&gt;0")+SUMIFS(③スチコン工程入力!$M$5:$M$152,③スチコン工程入力!$S$5:$S$152,$J170,③スチコン工程入力!$I$5:$I$152,"&gt;0")+SUMIFS(⑪ZEN工程入力!$M$6:$M$35,⑪ZEN工程入力!$S$6:$S$35,$J170,⑪ZEN工程入力!$I$6:$I$35,"&gt;0")+SUMIFS(⑫ミキサー工程入力!$M$6:$M$65,⑫ミキサー工程入力!$S$6:$S$65,$J170,⑫ミキサー工程入力!$I$6:$I$65,"&gt;0")+SUMIFS(⑬計量工程入力!$M$6:$M$65,⑬計量工程入力!$S$6:$S$65,$J170,⑬計量工程入力!$I$6:$I$65,"&gt;0")+SUMIFS(⑭手動工程入力!$M$6:$M$47,⑭手動工程入力!$S$6:$S$47,$J170,⑭手動工程入力!$I$6:$I$47,"&gt;0"))</f>
        <v/>
      </c>
      <c r="M170" s="393">
        <f>IF($J170="",0,SUMIFS(②釜工程入力!$I$5:$I$117,②釜工程入力!$S$5:$S$117,$J170,②釜工程入力!$I$5:$I$117,"&gt;0",②釜工程入力!$M$5:$M$117,"&gt;0")+SUMIFS(③スチコン工程入力!$I$5:$I$152,③スチコン工程入力!$S$5:$S$152,$J170,③スチコン工程入力!$I$5:$I$152,"&gt;0",③スチコン工程入力!$M$5:$M$152,"&gt;0")+SUMIFS(⑪ZEN工程入力!$I$6:$I$35,⑪ZEN工程入力!$S$6:$S$35,$J170,⑪ZEN工程入力!$I$6:$I$35,"&gt;0",⑪ZEN工程入力!$M$6:$M$35,"&gt;0")+SUMIFS(⑫ミキサー工程入力!$I$6:$I$65,⑫ミキサー工程入力!$S$6:$S$65,$J170,⑫ミキサー工程入力!$I$6:$I$65,"&gt;0",⑫ミキサー工程入力!$M$6:$M$65,"&gt;0")+SUMIFS(⑬計量工程入力!$I$6:$I$65,⑬計量工程入力!$S$6:$S$65,$J170,⑬計量工程入力!$I$6:$I$65,"&gt;0",⑬計量工程入力!$M$6:$M$65,"&gt;0")+SUMIFS(⑭手動工程入力!$I$6:$I$47,⑭手動工程入力!$S$6:$S$47,$J170,⑭手動工程入力!$I$6:$I$47,"&gt;0",⑭手動工程入力!$M$6:$M$47,"&gt;0"))</f>
        <v/>
      </c>
      <c r="N170" s="393">
        <f>IF($J170="",0,SUMIFS(②釜工程入力!$M$5:$M$117,②釜工程入力!$S$5:$S$117,$J170,②釜工程入力!$J$5:$J$117,"&gt;0")-SUMIFS(②釜工程入力!$M$5:$M$117,②釜工程入力!$S$5:$S$117,$J170,②釜工程入力!$J$5:$J$117,"&gt;0",②釜工程入力!$I$5:$I$117,"&gt;0")+SUMIFS(③スチコン工程入力!$M$5:$M$152,③スチコン工程入力!$S$5:$S$152,$J170,③スチコン工程入力!$J$5:$J$152,"&gt;0")-SUMIFS(③スチコン工程入力!$M$5:$M$152,③スチコン工程入力!$S$5:$S$152,$J170,③スチコン工程入力!$J$5:$J$152,"&gt;0",③スチコン工程入力!$I$5:$I$152,"&gt;0")+SUMIFS(⑪ZEN工程入力!$M$6:$M$35,⑪ZEN工程入力!$S$6:$S$35,$J170,⑪ZEN工程入力!$J$6:$J$35,"&gt;0")-SUMIFS(⑪ZEN工程入力!$M$6:$M$35,⑪ZEN工程入力!$S$6:$S$35,$J170,⑪ZEN工程入力!$J$6:$J$35,"&gt;0",⑪ZEN工程入力!$I$6:$I$35,"&gt;0")+SUMIFS(⑫ミキサー工程入力!$M$6:$M$65,⑫ミキサー工程入力!$S$6:$S$65,$J170,⑫ミキサー工程入力!$J$6:$J$65,"&gt;0")-SUMIFS(⑫ミキサー工程入力!$M$6:$M$65,⑫ミキサー工程入力!$S$6:$S$65,$J170,⑫ミキサー工程入力!$J$6:$J$65,"&gt;0",⑫ミキサー工程入力!$I$6:$I$65,"&gt;0")+SUMIFS(⑬計量工程入力!$M$6:$M$65,⑬計量工程入力!$S$6:$S$65,$J170,⑬計量工程入力!$J$6:$J$65,"&gt;0")-SUMIFS(⑬計量工程入力!$M$6:$M$65,⑬計量工程入力!$S$6:$S$65,$J170,⑬計量工程入力!$J$6:$J$65,"&gt;0",⑬計量工程入力!$I$6:$I$65,"&gt;0")+SUMIFS(⑭手動工程入力!$M$6:$M$47,⑭手動工程入力!$S$6:$S$47,$J170,⑭手動工程入力!$J$6:$J$47,"&gt;0")-SUMIFS(⑭手動工程入力!$M$6:$M$47,⑭手動工程入力!$S$6:$S$47,$J170,⑭手動工程入力!$J$6:$J$47,"&gt;0",⑭手動工程入力!$I$6:$I$47,"&gt;0"))</f>
        <v/>
      </c>
      <c r="O170" s="393">
        <f>IF($J170="",0,SUMIFS(②釜工程入力!$J$5:$J$117,②釜工程入力!$S$5:$S$117,$J170,②釜工程入力!$J$5:$J$117,"&gt;0",②釜工程入力!$M$5:$M$117,"&gt;0")-SUMIFS(②釜工程入力!$J$5:$J$117,②釜工程入力!$S$5:$S$117,$J170,②釜工程入力!$J$5:$J$117,"&gt;0",②釜工程入力!$I$5:$I$117,"&gt;0",②釜工程入力!$M$5:$M$117,"&gt;0")+SUMIFS(③スチコン工程入力!$J$5:$J$152,③スチコン工程入力!$S$5:$S$152,$J170,③スチコン工程入力!$J$5:$J$152,"&gt;0",③スチコン工程入力!$M$5:$M$152,"&gt;0")-SUMIFS(③スチコン工程入力!$J$5:$J$152,③スチコン工程入力!$S$5:$S$152,$J170,③スチコン工程入力!$J$5:$J$152,"&gt;0",③スチコン工程入力!$I$5:$I$152,"&gt;0",③スチコン工程入力!$M$5:$M$152,"&gt;0")+SUMIFS(⑪ZEN工程入力!$J$6:$J$35,⑪ZEN工程入力!$S$6:$S$35,$J170,⑪ZEN工程入力!$J$6:$J$35,"&gt;0",⑪ZEN工程入力!$M$6:$M$35,"&gt;0")-SUMIFS(⑪ZEN工程入力!$J$6:$J$35,⑪ZEN工程入力!$S$6:$S$35,$J170,⑪ZEN工程入力!$J$6:$J$35,"&gt;0",⑪ZEN工程入力!$I$6:$I$35,"&gt;0",⑪ZEN工程入力!$M$6:$M$35,"&gt;0")+SUMIFS(⑫ミキサー工程入力!$J$6:$J$65,⑫ミキサー工程入力!$S$6:$S$65,$J170,⑫ミキサー工程入力!$J$6:$J$65,"&gt;0",⑫ミキサー工程入力!$M$6:$M$65,"&gt;0")-SUMIFS(⑫ミキサー工程入力!$J$6:$J$65,⑫ミキサー工程入力!$S$6:$S$65,$J170,⑫ミキサー工程入力!$J$6:$J$65,"&gt;0",⑫ミキサー工程入力!$I$6:$I$65,"&gt;0",⑫ミキサー工程入力!$M$6:$M$65,"&gt;0")+SUMIFS(⑬計量工程入力!$J$6:$J$65,⑬計量工程入力!$S$6:$S$65,$J170,⑬計量工程入力!$J$6:$J$65,"&gt;0",⑬計量工程入力!$M$6:$M$65,"&gt;0")-SUMIFS(⑬計量工程入力!$J$6:$J$65,⑬計量工程入力!$S$6:$S$65,$J170,⑬計量工程入力!$J$6:$J$65,"&gt;0",⑬計量工程入力!$I$6:$I$65,"&gt;0",⑬計量工程入力!$M$6:$M$65,"&gt;0")+SUMIFS(⑭手動工程入力!$J$6:$J$47,⑭手動工程入力!$S$6:$S$47,$J170,⑭手動工程入力!$J$6:$J$47,"&gt;0",⑭手動工程入力!$M$6:$M$47,"&gt;0")-SUMIFS(⑭手動工程入力!$J$6:$J$47,⑭手動工程入力!$S$6:$S$47,$J170,⑭手動工程入力!$J$6:$J$47,"&gt;0",⑭手動工程入力!$I$6:$I$47,"&gt;0",⑭手動工程入力!$M$6:$M$47,"&gt;0"))</f>
        <v/>
      </c>
      <c r="P170" s="392" t="n"/>
    </row>
    <row r="171">
      <c r="A171" s="392" t="n">
        <v>167</v>
      </c>
      <c r="B171" s="392" t="n"/>
      <c r="C171" s="392" t="n"/>
      <c r="D171" s="392" t="n"/>
      <c r="E171" s="392" t="n"/>
      <c r="F171" s="394" t="n"/>
      <c r="G171" s="392" t="n"/>
      <c r="H171" s="604">
        <f>IFERROR(IF(AND($K171&gt;0,ISNUMBER(IF(OR($D171="g",$D171="ｇ"),IF($M171&gt;0,$L171/$M171/1000,""),IF($D171="kg",IF($M171&gt;0,$L171/$M171,""),IF($D171="",IF($M171&gt;0,$L171/$M171/1000,IF($O171&gt;0,$N171/$O171,"")),IF($O171&gt;0,$N171/$O171,"")))))),IF(OR($D171="g",$D171="ｇ"),IF($M171&gt;0,$L171/$M171/1000,""),IF($D171="kg",IF($M171&gt;0,$L171/$M171,""),IF($D171="",IF($M171&gt;0,$L171/$M171/1000,IF($O171&gt;0,$N171/$O171,"")),IF($O171&gt;0,$N171/$O171,"")))),IF($F171="",IF(OR($E171="",$E171="⑩盛付梱包工程入力"),"",IF(OR($D171="g",$D171="ｇ"),INDEX(⑰工程労務費一覧!$N$5:$N$11,MATCH($E171,⑰工程労務費一覧!$K$5:$K$11,0))/1000,IF($D171="kg",INDEX(⑰工程労務費一覧!$N$5:$N$11,MATCH($E171,⑰工程労務費一覧!$K$5:$K$11,0)),IF(OR($D171="個",$D171="切",$D171="本",$D171="枚",$D171="尾"),IF($E171="⑬計量工程入力","",INDEX(⑰工程労務費一覧!$P$5:$P$11,MATCH($E171,⑰工程労務費一覧!$K$5:$K$11,0))),IF(AND($D171="",OR($E171="②釜工程入力",$E171="③スチコン工程入力")),INDEX(⑰工程労務費一覧!$N$5:$N$11,MATCH($E171,⑰工程労務費一覧!$K$5:$K$11,0))/1000,""))))),IF(OR($D171="g",$D171="ｇ"),INDEX(⑰工程労務費一覧!$H$5:$H$753,MATCH($F171,⑰工程労務費一覧!$D$5:$D$753,0))/1000,IF($D171="kg",INDEX(⑰工程労務費一覧!$H$5:$H$753,MATCH($F171,⑰工程労務費一覧!$D$5:$D$753,0)),INDEX(⑰工程労務費一覧!$I$5:$I$753,MATCH($F171,⑰工程労務費一覧!$D$5:$D$753,0)))))),"")</f>
        <v/>
      </c>
      <c r="I171" s="392">
        <f>IF($K171&gt;0,IF(ISNUMBER(IF(OR($D171="g",$D171="ｇ"),IF($M171&gt;0,$L171/$M171/1000,""),IF($D171="kg",IF($M171&gt;0,$L171/$M171,""),IF($D171="",IF($M171&gt;0,$L171/$M171/1000,IF($O171&gt;0,$N171/$O171,"")),IF($O171&gt;0,$N171/$O171,""))))),IF($D171="",IF($M171&gt;0,"◎ JAN紐づけ(g扱い)","◎ JAN紐づけ(個扱い)"),"◎ JAN紐づけ"),"△ JAN紐づけ済・実績不足→仮計算"),IF($F171="",IF(ISNUMBER($H171),IF($D171="","⑤ 工程平均で仮計算(g扱い)","⑤ 工程平均で仮計算"),IF($E171="⑩盛付梱包工程入力","⑥ 盛り込み(⑳F列で計上)",IF(AND($E171="⑬計量工程入力",OR($D171="個",$D171="切",$D171="本",$D171="枚",$D171="尾")),"① 未紐づけ(カット個単位は仮単価なし)","① 未紐づけ"))),IF(NOT(ISNUMBER($H171)),"② 工程側に単価なし",IF($D171="","③ 単位未設定(個で計算)","④ OK"))))</f>
        <v/>
      </c>
      <c r="J171" s="399">
        <f>IFERROR(LOOKUP(2,1/((中間品リスト!$F$2:$F$1299=$B171)*(中間品リスト!$E$2:$E$1299&lt;&gt;"-")*(中間品リスト!$E$2:$E$1299&lt;&gt;"")),中間品リスト!$E$2:$E$1299),"")</f>
        <v/>
      </c>
      <c r="K171" s="400">
        <f>IF($J171="",0,COUNTIF(②釜工程入力!$S$5:$S$117,$J171)+COUNTIF(③スチコン工程入力!$S$5:$S$152,$J171)+COUNTIF(⑪ZEN工程入力!$S$6:$S$35,$J171)+COUNTIF(⑫ミキサー工程入力!$S$6:$S$65,$J171)+COUNTIF(⑬計量工程入力!$S$6:$S$65,$J171)+COUNTIF(⑭手動工程入力!$S$6:$S$47,$J171))</f>
        <v/>
      </c>
      <c r="L171" s="393">
        <f>IF($J171="",0,SUMIFS(②釜工程入力!$M$5:$M$117,②釜工程入力!$S$5:$S$117,$J171,②釜工程入力!$I$5:$I$117,"&gt;0")+SUMIFS(③スチコン工程入力!$M$5:$M$152,③スチコン工程入力!$S$5:$S$152,$J171,③スチコン工程入力!$I$5:$I$152,"&gt;0")+SUMIFS(⑪ZEN工程入力!$M$6:$M$35,⑪ZEN工程入力!$S$6:$S$35,$J171,⑪ZEN工程入力!$I$6:$I$35,"&gt;0")+SUMIFS(⑫ミキサー工程入力!$M$6:$M$65,⑫ミキサー工程入力!$S$6:$S$65,$J171,⑫ミキサー工程入力!$I$6:$I$65,"&gt;0")+SUMIFS(⑬計量工程入力!$M$6:$M$65,⑬計量工程入力!$S$6:$S$65,$J171,⑬計量工程入力!$I$6:$I$65,"&gt;0")+SUMIFS(⑭手動工程入力!$M$6:$M$47,⑭手動工程入力!$S$6:$S$47,$J171,⑭手動工程入力!$I$6:$I$47,"&gt;0"))</f>
        <v/>
      </c>
      <c r="M171" s="393">
        <f>IF($J171="",0,SUMIFS(②釜工程入力!$I$5:$I$117,②釜工程入力!$S$5:$S$117,$J171,②釜工程入力!$I$5:$I$117,"&gt;0",②釜工程入力!$M$5:$M$117,"&gt;0")+SUMIFS(③スチコン工程入力!$I$5:$I$152,③スチコン工程入力!$S$5:$S$152,$J171,③スチコン工程入力!$I$5:$I$152,"&gt;0",③スチコン工程入力!$M$5:$M$152,"&gt;0")+SUMIFS(⑪ZEN工程入力!$I$6:$I$35,⑪ZEN工程入力!$S$6:$S$35,$J171,⑪ZEN工程入力!$I$6:$I$35,"&gt;0",⑪ZEN工程入力!$M$6:$M$35,"&gt;0")+SUMIFS(⑫ミキサー工程入力!$I$6:$I$65,⑫ミキサー工程入力!$S$6:$S$65,$J171,⑫ミキサー工程入力!$I$6:$I$65,"&gt;0",⑫ミキサー工程入力!$M$6:$M$65,"&gt;0")+SUMIFS(⑬計量工程入力!$I$6:$I$65,⑬計量工程入力!$S$6:$S$65,$J171,⑬計量工程入力!$I$6:$I$65,"&gt;0",⑬計量工程入力!$M$6:$M$65,"&gt;0")+SUMIFS(⑭手動工程入力!$I$6:$I$47,⑭手動工程入力!$S$6:$S$47,$J171,⑭手動工程入力!$I$6:$I$47,"&gt;0",⑭手動工程入力!$M$6:$M$47,"&gt;0"))</f>
        <v/>
      </c>
      <c r="N171" s="393">
        <f>IF($J171="",0,SUMIFS(②釜工程入力!$M$5:$M$117,②釜工程入力!$S$5:$S$117,$J171,②釜工程入力!$J$5:$J$117,"&gt;0")-SUMIFS(②釜工程入力!$M$5:$M$117,②釜工程入力!$S$5:$S$117,$J171,②釜工程入力!$J$5:$J$117,"&gt;0",②釜工程入力!$I$5:$I$117,"&gt;0")+SUMIFS(③スチコン工程入力!$M$5:$M$152,③スチコン工程入力!$S$5:$S$152,$J171,③スチコン工程入力!$J$5:$J$152,"&gt;0")-SUMIFS(③スチコン工程入力!$M$5:$M$152,③スチコン工程入力!$S$5:$S$152,$J171,③スチコン工程入力!$J$5:$J$152,"&gt;0",③スチコン工程入力!$I$5:$I$152,"&gt;0")+SUMIFS(⑪ZEN工程入力!$M$6:$M$35,⑪ZEN工程入力!$S$6:$S$35,$J171,⑪ZEN工程入力!$J$6:$J$35,"&gt;0")-SUMIFS(⑪ZEN工程入力!$M$6:$M$35,⑪ZEN工程入力!$S$6:$S$35,$J171,⑪ZEN工程入力!$J$6:$J$35,"&gt;0",⑪ZEN工程入力!$I$6:$I$35,"&gt;0")+SUMIFS(⑫ミキサー工程入力!$M$6:$M$65,⑫ミキサー工程入力!$S$6:$S$65,$J171,⑫ミキサー工程入力!$J$6:$J$65,"&gt;0")-SUMIFS(⑫ミキサー工程入力!$M$6:$M$65,⑫ミキサー工程入力!$S$6:$S$65,$J171,⑫ミキサー工程入力!$J$6:$J$65,"&gt;0",⑫ミキサー工程入力!$I$6:$I$65,"&gt;0")+SUMIFS(⑬計量工程入力!$M$6:$M$65,⑬計量工程入力!$S$6:$S$65,$J171,⑬計量工程入力!$J$6:$J$65,"&gt;0")-SUMIFS(⑬計量工程入力!$M$6:$M$65,⑬計量工程入力!$S$6:$S$65,$J171,⑬計量工程入力!$J$6:$J$65,"&gt;0",⑬計量工程入力!$I$6:$I$65,"&gt;0")+SUMIFS(⑭手動工程入力!$M$6:$M$47,⑭手動工程入力!$S$6:$S$47,$J171,⑭手動工程入力!$J$6:$J$47,"&gt;0")-SUMIFS(⑭手動工程入力!$M$6:$M$47,⑭手動工程入力!$S$6:$S$47,$J171,⑭手動工程入力!$J$6:$J$47,"&gt;0",⑭手動工程入力!$I$6:$I$47,"&gt;0"))</f>
        <v/>
      </c>
      <c r="O171" s="393">
        <f>IF($J171="",0,SUMIFS(②釜工程入力!$J$5:$J$117,②釜工程入力!$S$5:$S$117,$J171,②釜工程入力!$J$5:$J$117,"&gt;0",②釜工程入力!$M$5:$M$117,"&gt;0")-SUMIFS(②釜工程入力!$J$5:$J$117,②釜工程入力!$S$5:$S$117,$J171,②釜工程入力!$J$5:$J$117,"&gt;0",②釜工程入力!$I$5:$I$117,"&gt;0",②釜工程入力!$M$5:$M$117,"&gt;0")+SUMIFS(③スチコン工程入力!$J$5:$J$152,③スチコン工程入力!$S$5:$S$152,$J171,③スチコン工程入力!$J$5:$J$152,"&gt;0",③スチコン工程入力!$M$5:$M$152,"&gt;0")-SUMIFS(③スチコン工程入力!$J$5:$J$152,③スチコン工程入力!$S$5:$S$152,$J171,③スチコン工程入力!$J$5:$J$152,"&gt;0",③スチコン工程入力!$I$5:$I$152,"&gt;0",③スチコン工程入力!$M$5:$M$152,"&gt;0")+SUMIFS(⑪ZEN工程入力!$J$6:$J$35,⑪ZEN工程入力!$S$6:$S$35,$J171,⑪ZEN工程入力!$J$6:$J$35,"&gt;0",⑪ZEN工程入力!$M$6:$M$35,"&gt;0")-SUMIFS(⑪ZEN工程入力!$J$6:$J$35,⑪ZEN工程入力!$S$6:$S$35,$J171,⑪ZEN工程入力!$J$6:$J$35,"&gt;0",⑪ZEN工程入力!$I$6:$I$35,"&gt;0",⑪ZEN工程入力!$M$6:$M$35,"&gt;0")+SUMIFS(⑫ミキサー工程入力!$J$6:$J$65,⑫ミキサー工程入力!$S$6:$S$65,$J171,⑫ミキサー工程入力!$J$6:$J$65,"&gt;0",⑫ミキサー工程入力!$M$6:$M$65,"&gt;0")-SUMIFS(⑫ミキサー工程入力!$J$6:$J$65,⑫ミキサー工程入力!$S$6:$S$65,$J171,⑫ミキサー工程入力!$J$6:$J$65,"&gt;0",⑫ミキサー工程入力!$I$6:$I$65,"&gt;0",⑫ミキサー工程入力!$M$6:$M$65,"&gt;0")+SUMIFS(⑬計量工程入力!$J$6:$J$65,⑬計量工程入力!$S$6:$S$65,$J171,⑬計量工程入力!$J$6:$J$65,"&gt;0",⑬計量工程入力!$M$6:$M$65,"&gt;0")-SUMIFS(⑬計量工程入力!$J$6:$J$65,⑬計量工程入力!$S$6:$S$65,$J171,⑬計量工程入力!$J$6:$J$65,"&gt;0",⑬計量工程入力!$I$6:$I$65,"&gt;0",⑬計量工程入力!$M$6:$M$65,"&gt;0")+SUMIFS(⑭手動工程入力!$J$6:$J$47,⑭手動工程入力!$S$6:$S$47,$J171,⑭手動工程入力!$J$6:$J$47,"&gt;0",⑭手動工程入力!$M$6:$M$47,"&gt;0")-SUMIFS(⑭手動工程入力!$J$6:$J$47,⑭手動工程入力!$S$6:$S$47,$J171,⑭手動工程入力!$J$6:$J$47,"&gt;0",⑭手動工程入力!$I$6:$I$47,"&gt;0",⑭手動工程入力!$M$6:$M$47,"&gt;0"))</f>
        <v/>
      </c>
      <c r="P171" s="392" t="n"/>
    </row>
    <row r="172">
      <c r="A172" s="392" t="n">
        <v>168</v>
      </c>
      <c r="B172" s="392" t="n"/>
      <c r="C172" s="392" t="n"/>
      <c r="D172" s="392" t="n"/>
      <c r="E172" s="392" t="n"/>
      <c r="F172" s="394" t="n"/>
      <c r="G172" s="392" t="n"/>
      <c r="H172" s="604">
        <f>IFERROR(IF(AND($K172&gt;0,ISNUMBER(IF(OR($D172="g",$D172="ｇ"),IF($M172&gt;0,$L172/$M172/1000,""),IF($D172="kg",IF($M172&gt;0,$L172/$M172,""),IF($D172="",IF($M172&gt;0,$L172/$M172/1000,IF($O172&gt;0,$N172/$O172,"")),IF($O172&gt;0,$N172/$O172,"")))))),IF(OR($D172="g",$D172="ｇ"),IF($M172&gt;0,$L172/$M172/1000,""),IF($D172="kg",IF($M172&gt;0,$L172/$M172,""),IF($D172="",IF($M172&gt;0,$L172/$M172/1000,IF($O172&gt;0,$N172/$O172,"")),IF($O172&gt;0,$N172/$O172,"")))),IF($F172="",IF(OR($E172="",$E172="⑩盛付梱包工程入力"),"",IF(OR($D172="g",$D172="ｇ"),INDEX(⑰工程労務費一覧!$N$5:$N$11,MATCH($E172,⑰工程労務費一覧!$K$5:$K$11,0))/1000,IF($D172="kg",INDEX(⑰工程労務費一覧!$N$5:$N$11,MATCH($E172,⑰工程労務費一覧!$K$5:$K$11,0)),IF(OR($D172="個",$D172="切",$D172="本",$D172="枚",$D172="尾"),IF($E172="⑬計量工程入力","",INDEX(⑰工程労務費一覧!$P$5:$P$11,MATCH($E172,⑰工程労務費一覧!$K$5:$K$11,0))),IF(AND($D172="",OR($E172="②釜工程入力",$E172="③スチコン工程入力")),INDEX(⑰工程労務費一覧!$N$5:$N$11,MATCH($E172,⑰工程労務費一覧!$K$5:$K$11,0))/1000,""))))),IF(OR($D172="g",$D172="ｇ"),INDEX(⑰工程労務費一覧!$H$5:$H$753,MATCH($F172,⑰工程労務費一覧!$D$5:$D$753,0))/1000,IF($D172="kg",INDEX(⑰工程労務費一覧!$H$5:$H$753,MATCH($F172,⑰工程労務費一覧!$D$5:$D$753,0)),INDEX(⑰工程労務費一覧!$I$5:$I$753,MATCH($F172,⑰工程労務費一覧!$D$5:$D$753,0)))))),"")</f>
        <v/>
      </c>
      <c r="I172" s="392">
        <f>IF($K172&gt;0,IF(ISNUMBER(IF(OR($D172="g",$D172="ｇ"),IF($M172&gt;0,$L172/$M172/1000,""),IF($D172="kg",IF($M172&gt;0,$L172/$M172,""),IF($D172="",IF($M172&gt;0,$L172/$M172/1000,IF($O172&gt;0,$N172/$O172,"")),IF($O172&gt;0,$N172/$O172,""))))),IF($D172="",IF($M172&gt;0,"◎ JAN紐づけ(g扱い)","◎ JAN紐づけ(個扱い)"),"◎ JAN紐づけ"),"△ JAN紐づけ済・実績不足→仮計算"),IF($F172="",IF(ISNUMBER($H172),IF($D172="","⑤ 工程平均で仮計算(g扱い)","⑤ 工程平均で仮計算"),IF($E172="⑩盛付梱包工程入力","⑥ 盛り込み(⑳F列で計上)",IF(AND($E172="⑬計量工程入力",OR($D172="個",$D172="切",$D172="本",$D172="枚",$D172="尾")),"① 未紐づけ(カット個単位は仮単価なし)","① 未紐づけ"))),IF(NOT(ISNUMBER($H172)),"② 工程側に単価なし",IF($D172="","③ 単位未設定(個で計算)","④ OK"))))</f>
        <v/>
      </c>
      <c r="J172" s="399">
        <f>IFERROR(LOOKUP(2,1/((中間品リスト!$F$2:$F$1299=$B172)*(中間品リスト!$E$2:$E$1299&lt;&gt;"-")*(中間品リスト!$E$2:$E$1299&lt;&gt;"")),中間品リスト!$E$2:$E$1299),"")</f>
        <v/>
      </c>
      <c r="K172" s="400">
        <f>IF($J172="",0,COUNTIF(②釜工程入力!$S$5:$S$117,$J172)+COUNTIF(③スチコン工程入力!$S$5:$S$152,$J172)+COUNTIF(⑪ZEN工程入力!$S$6:$S$35,$J172)+COUNTIF(⑫ミキサー工程入力!$S$6:$S$65,$J172)+COUNTIF(⑬計量工程入力!$S$6:$S$65,$J172)+COUNTIF(⑭手動工程入力!$S$6:$S$47,$J172))</f>
        <v/>
      </c>
      <c r="L172" s="393">
        <f>IF($J172="",0,SUMIFS(②釜工程入力!$M$5:$M$117,②釜工程入力!$S$5:$S$117,$J172,②釜工程入力!$I$5:$I$117,"&gt;0")+SUMIFS(③スチコン工程入力!$M$5:$M$152,③スチコン工程入力!$S$5:$S$152,$J172,③スチコン工程入力!$I$5:$I$152,"&gt;0")+SUMIFS(⑪ZEN工程入力!$M$6:$M$35,⑪ZEN工程入力!$S$6:$S$35,$J172,⑪ZEN工程入力!$I$6:$I$35,"&gt;0")+SUMIFS(⑫ミキサー工程入力!$M$6:$M$65,⑫ミキサー工程入力!$S$6:$S$65,$J172,⑫ミキサー工程入力!$I$6:$I$65,"&gt;0")+SUMIFS(⑬計量工程入力!$M$6:$M$65,⑬計量工程入力!$S$6:$S$65,$J172,⑬計量工程入力!$I$6:$I$65,"&gt;0")+SUMIFS(⑭手動工程入力!$M$6:$M$47,⑭手動工程入力!$S$6:$S$47,$J172,⑭手動工程入力!$I$6:$I$47,"&gt;0"))</f>
        <v/>
      </c>
      <c r="M172" s="393">
        <f>IF($J172="",0,SUMIFS(②釜工程入力!$I$5:$I$117,②釜工程入力!$S$5:$S$117,$J172,②釜工程入力!$I$5:$I$117,"&gt;0",②釜工程入力!$M$5:$M$117,"&gt;0")+SUMIFS(③スチコン工程入力!$I$5:$I$152,③スチコン工程入力!$S$5:$S$152,$J172,③スチコン工程入力!$I$5:$I$152,"&gt;0",③スチコン工程入力!$M$5:$M$152,"&gt;0")+SUMIFS(⑪ZEN工程入力!$I$6:$I$35,⑪ZEN工程入力!$S$6:$S$35,$J172,⑪ZEN工程入力!$I$6:$I$35,"&gt;0",⑪ZEN工程入力!$M$6:$M$35,"&gt;0")+SUMIFS(⑫ミキサー工程入力!$I$6:$I$65,⑫ミキサー工程入力!$S$6:$S$65,$J172,⑫ミキサー工程入力!$I$6:$I$65,"&gt;0",⑫ミキサー工程入力!$M$6:$M$65,"&gt;0")+SUMIFS(⑬計量工程入力!$I$6:$I$65,⑬計量工程入力!$S$6:$S$65,$J172,⑬計量工程入力!$I$6:$I$65,"&gt;0",⑬計量工程入力!$M$6:$M$65,"&gt;0")+SUMIFS(⑭手動工程入力!$I$6:$I$47,⑭手動工程入力!$S$6:$S$47,$J172,⑭手動工程入力!$I$6:$I$47,"&gt;0",⑭手動工程入力!$M$6:$M$47,"&gt;0"))</f>
        <v/>
      </c>
      <c r="N172" s="393">
        <f>IF($J172="",0,SUMIFS(②釜工程入力!$M$5:$M$117,②釜工程入力!$S$5:$S$117,$J172,②釜工程入力!$J$5:$J$117,"&gt;0")-SUMIFS(②釜工程入力!$M$5:$M$117,②釜工程入力!$S$5:$S$117,$J172,②釜工程入力!$J$5:$J$117,"&gt;0",②釜工程入力!$I$5:$I$117,"&gt;0")+SUMIFS(③スチコン工程入力!$M$5:$M$152,③スチコン工程入力!$S$5:$S$152,$J172,③スチコン工程入力!$J$5:$J$152,"&gt;0")-SUMIFS(③スチコン工程入力!$M$5:$M$152,③スチコン工程入力!$S$5:$S$152,$J172,③スチコン工程入力!$J$5:$J$152,"&gt;0",③スチコン工程入力!$I$5:$I$152,"&gt;0")+SUMIFS(⑪ZEN工程入力!$M$6:$M$35,⑪ZEN工程入力!$S$6:$S$35,$J172,⑪ZEN工程入力!$J$6:$J$35,"&gt;0")-SUMIFS(⑪ZEN工程入力!$M$6:$M$35,⑪ZEN工程入力!$S$6:$S$35,$J172,⑪ZEN工程入力!$J$6:$J$35,"&gt;0",⑪ZEN工程入力!$I$6:$I$35,"&gt;0")+SUMIFS(⑫ミキサー工程入力!$M$6:$M$65,⑫ミキサー工程入力!$S$6:$S$65,$J172,⑫ミキサー工程入力!$J$6:$J$65,"&gt;0")-SUMIFS(⑫ミキサー工程入力!$M$6:$M$65,⑫ミキサー工程入力!$S$6:$S$65,$J172,⑫ミキサー工程入力!$J$6:$J$65,"&gt;0",⑫ミキサー工程入力!$I$6:$I$65,"&gt;0")+SUMIFS(⑬計量工程入力!$M$6:$M$65,⑬計量工程入力!$S$6:$S$65,$J172,⑬計量工程入力!$J$6:$J$65,"&gt;0")-SUMIFS(⑬計量工程入力!$M$6:$M$65,⑬計量工程入力!$S$6:$S$65,$J172,⑬計量工程入力!$J$6:$J$65,"&gt;0",⑬計量工程入力!$I$6:$I$65,"&gt;0")+SUMIFS(⑭手動工程入力!$M$6:$M$47,⑭手動工程入力!$S$6:$S$47,$J172,⑭手動工程入力!$J$6:$J$47,"&gt;0")-SUMIFS(⑭手動工程入力!$M$6:$M$47,⑭手動工程入力!$S$6:$S$47,$J172,⑭手動工程入力!$J$6:$J$47,"&gt;0",⑭手動工程入力!$I$6:$I$47,"&gt;0"))</f>
        <v/>
      </c>
      <c r="O172" s="393">
        <f>IF($J172="",0,SUMIFS(②釜工程入力!$J$5:$J$117,②釜工程入力!$S$5:$S$117,$J172,②釜工程入力!$J$5:$J$117,"&gt;0",②釜工程入力!$M$5:$M$117,"&gt;0")-SUMIFS(②釜工程入力!$J$5:$J$117,②釜工程入力!$S$5:$S$117,$J172,②釜工程入力!$J$5:$J$117,"&gt;0",②釜工程入力!$I$5:$I$117,"&gt;0",②釜工程入力!$M$5:$M$117,"&gt;0")+SUMIFS(③スチコン工程入力!$J$5:$J$152,③スチコン工程入力!$S$5:$S$152,$J172,③スチコン工程入力!$J$5:$J$152,"&gt;0",③スチコン工程入力!$M$5:$M$152,"&gt;0")-SUMIFS(③スチコン工程入力!$J$5:$J$152,③スチコン工程入力!$S$5:$S$152,$J172,③スチコン工程入力!$J$5:$J$152,"&gt;0",③スチコン工程入力!$I$5:$I$152,"&gt;0",③スチコン工程入力!$M$5:$M$152,"&gt;0")+SUMIFS(⑪ZEN工程入力!$J$6:$J$35,⑪ZEN工程入力!$S$6:$S$35,$J172,⑪ZEN工程入力!$J$6:$J$35,"&gt;0",⑪ZEN工程入力!$M$6:$M$35,"&gt;0")-SUMIFS(⑪ZEN工程入力!$J$6:$J$35,⑪ZEN工程入力!$S$6:$S$35,$J172,⑪ZEN工程入力!$J$6:$J$35,"&gt;0",⑪ZEN工程入力!$I$6:$I$35,"&gt;0",⑪ZEN工程入力!$M$6:$M$35,"&gt;0")+SUMIFS(⑫ミキサー工程入力!$J$6:$J$65,⑫ミキサー工程入力!$S$6:$S$65,$J172,⑫ミキサー工程入力!$J$6:$J$65,"&gt;0",⑫ミキサー工程入力!$M$6:$M$65,"&gt;0")-SUMIFS(⑫ミキサー工程入力!$J$6:$J$65,⑫ミキサー工程入力!$S$6:$S$65,$J172,⑫ミキサー工程入力!$J$6:$J$65,"&gt;0",⑫ミキサー工程入力!$I$6:$I$65,"&gt;0",⑫ミキサー工程入力!$M$6:$M$65,"&gt;0")+SUMIFS(⑬計量工程入力!$J$6:$J$65,⑬計量工程入力!$S$6:$S$65,$J172,⑬計量工程入力!$J$6:$J$65,"&gt;0",⑬計量工程入力!$M$6:$M$65,"&gt;0")-SUMIFS(⑬計量工程入力!$J$6:$J$65,⑬計量工程入力!$S$6:$S$65,$J172,⑬計量工程入力!$J$6:$J$65,"&gt;0",⑬計量工程入力!$I$6:$I$65,"&gt;0",⑬計量工程入力!$M$6:$M$65,"&gt;0")+SUMIFS(⑭手動工程入力!$J$6:$J$47,⑭手動工程入力!$S$6:$S$47,$J172,⑭手動工程入力!$J$6:$J$47,"&gt;0",⑭手動工程入力!$M$6:$M$47,"&gt;0")-SUMIFS(⑭手動工程入力!$J$6:$J$47,⑭手動工程入力!$S$6:$S$47,$J172,⑭手動工程入力!$J$6:$J$47,"&gt;0",⑭手動工程入力!$I$6:$I$47,"&gt;0",⑭手動工程入力!$M$6:$M$47,"&gt;0"))</f>
        <v/>
      </c>
      <c r="P172" s="392" t="n"/>
    </row>
    <row r="173">
      <c r="A173" s="392" t="n">
        <v>169</v>
      </c>
      <c r="B173" s="392" t="n"/>
      <c r="C173" s="392" t="n"/>
      <c r="D173" s="392" t="n"/>
      <c r="E173" s="392" t="n"/>
      <c r="F173" s="394" t="n"/>
      <c r="G173" s="392" t="n"/>
      <c r="H173" s="604">
        <f>IFERROR(IF(AND($K173&gt;0,ISNUMBER(IF(OR($D173="g",$D173="ｇ"),IF($M173&gt;0,$L173/$M173/1000,""),IF($D173="kg",IF($M173&gt;0,$L173/$M173,""),IF($D173="",IF($M173&gt;0,$L173/$M173/1000,IF($O173&gt;0,$N173/$O173,"")),IF($O173&gt;0,$N173/$O173,"")))))),IF(OR($D173="g",$D173="ｇ"),IF($M173&gt;0,$L173/$M173/1000,""),IF($D173="kg",IF($M173&gt;0,$L173/$M173,""),IF($D173="",IF($M173&gt;0,$L173/$M173/1000,IF($O173&gt;0,$N173/$O173,"")),IF($O173&gt;0,$N173/$O173,"")))),IF($F173="",IF(OR($E173="",$E173="⑩盛付梱包工程入力"),"",IF(OR($D173="g",$D173="ｇ"),INDEX(⑰工程労務費一覧!$N$5:$N$11,MATCH($E173,⑰工程労務費一覧!$K$5:$K$11,0))/1000,IF($D173="kg",INDEX(⑰工程労務費一覧!$N$5:$N$11,MATCH($E173,⑰工程労務費一覧!$K$5:$K$11,0)),IF(OR($D173="個",$D173="切",$D173="本",$D173="枚",$D173="尾"),IF($E173="⑬計量工程入力","",INDEX(⑰工程労務費一覧!$P$5:$P$11,MATCH($E173,⑰工程労務費一覧!$K$5:$K$11,0))),IF(AND($D173="",OR($E173="②釜工程入力",$E173="③スチコン工程入力")),INDEX(⑰工程労務費一覧!$N$5:$N$11,MATCH($E173,⑰工程労務費一覧!$K$5:$K$11,0))/1000,""))))),IF(OR($D173="g",$D173="ｇ"),INDEX(⑰工程労務費一覧!$H$5:$H$753,MATCH($F173,⑰工程労務費一覧!$D$5:$D$753,0))/1000,IF($D173="kg",INDEX(⑰工程労務費一覧!$H$5:$H$753,MATCH($F173,⑰工程労務費一覧!$D$5:$D$753,0)),INDEX(⑰工程労務費一覧!$I$5:$I$753,MATCH($F173,⑰工程労務費一覧!$D$5:$D$753,0)))))),"")</f>
        <v/>
      </c>
      <c r="I173" s="392">
        <f>IF($K173&gt;0,IF(ISNUMBER(IF(OR($D173="g",$D173="ｇ"),IF($M173&gt;0,$L173/$M173/1000,""),IF($D173="kg",IF($M173&gt;0,$L173/$M173,""),IF($D173="",IF($M173&gt;0,$L173/$M173/1000,IF($O173&gt;0,$N173/$O173,"")),IF($O173&gt;0,$N173/$O173,""))))),IF($D173="",IF($M173&gt;0,"◎ JAN紐づけ(g扱い)","◎ JAN紐づけ(個扱い)"),"◎ JAN紐づけ"),"△ JAN紐づけ済・実績不足→仮計算"),IF($F173="",IF(ISNUMBER($H173),IF($D173="","⑤ 工程平均で仮計算(g扱い)","⑤ 工程平均で仮計算"),IF($E173="⑩盛付梱包工程入力","⑥ 盛り込み(⑳F列で計上)",IF(AND($E173="⑬計量工程入力",OR($D173="個",$D173="切",$D173="本",$D173="枚",$D173="尾")),"① 未紐づけ(カット個単位は仮単価なし)","① 未紐づけ"))),IF(NOT(ISNUMBER($H173)),"② 工程側に単価なし",IF($D173="","③ 単位未設定(個で計算)","④ OK"))))</f>
        <v/>
      </c>
      <c r="J173" s="399">
        <f>IFERROR(LOOKUP(2,1/((中間品リスト!$F$2:$F$1299=$B173)*(中間品リスト!$E$2:$E$1299&lt;&gt;"-")*(中間品リスト!$E$2:$E$1299&lt;&gt;"")),中間品リスト!$E$2:$E$1299),"")</f>
        <v/>
      </c>
      <c r="K173" s="400">
        <f>IF($J173="",0,COUNTIF(②釜工程入力!$S$5:$S$117,$J173)+COUNTIF(③スチコン工程入力!$S$5:$S$152,$J173)+COUNTIF(⑪ZEN工程入力!$S$6:$S$35,$J173)+COUNTIF(⑫ミキサー工程入力!$S$6:$S$65,$J173)+COUNTIF(⑬計量工程入力!$S$6:$S$65,$J173)+COUNTIF(⑭手動工程入力!$S$6:$S$47,$J173))</f>
        <v/>
      </c>
      <c r="L173" s="393">
        <f>IF($J173="",0,SUMIFS(②釜工程入力!$M$5:$M$117,②釜工程入力!$S$5:$S$117,$J173,②釜工程入力!$I$5:$I$117,"&gt;0")+SUMIFS(③スチコン工程入力!$M$5:$M$152,③スチコン工程入力!$S$5:$S$152,$J173,③スチコン工程入力!$I$5:$I$152,"&gt;0")+SUMIFS(⑪ZEN工程入力!$M$6:$M$35,⑪ZEN工程入力!$S$6:$S$35,$J173,⑪ZEN工程入力!$I$6:$I$35,"&gt;0")+SUMIFS(⑫ミキサー工程入力!$M$6:$M$65,⑫ミキサー工程入力!$S$6:$S$65,$J173,⑫ミキサー工程入力!$I$6:$I$65,"&gt;0")+SUMIFS(⑬計量工程入力!$M$6:$M$65,⑬計量工程入力!$S$6:$S$65,$J173,⑬計量工程入力!$I$6:$I$65,"&gt;0")+SUMIFS(⑭手動工程入力!$M$6:$M$47,⑭手動工程入力!$S$6:$S$47,$J173,⑭手動工程入力!$I$6:$I$47,"&gt;0"))</f>
        <v/>
      </c>
      <c r="M173" s="393">
        <f>IF($J173="",0,SUMIFS(②釜工程入力!$I$5:$I$117,②釜工程入力!$S$5:$S$117,$J173,②釜工程入力!$I$5:$I$117,"&gt;0",②釜工程入力!$M$5:$M$117,"&gt;0")+SUMIFS(③スチコン工程入力!$I$5:$I$152,③スチコン工程入力!$S$5:$S$152,$J173,③スチコン工程入力!$I$5:$I$152,"&gt;0",③スチコン工程入力!$M$5:$M$152,"&gt;0")+SUMIFS(⑪ZEN工程入力!$I$6:$I$35,⑪ZEN工程入力!$S$6:$S$35,$J173,⑪ZEN工程入力!$I$6:$I$35,"&gt;0",⑪ZEN工程入力!$M$6:$M$35,"&gt;0")+SUMIFS(⑫ミキサー工程入力!$I$6:$I$65,⑫ミキサー工程入力!$S$6:$S$65,$J173,⑫ミキサー工程入力!$I$6:$I$65,"&gt;0",⑫ミキサー工程入力!$M$6:$M$65,"&gt;0")+SUMIFS(⑬計量工程入力!$I$6:$I$65,⑬計量工程入力!$S$6:$S$65,$J173,⑬計量工程入力!$I$6:$I$65,"&gt;0",⑬計量工程入力!$M$6:$M$65,"&gt;0")+SUMIFS(⑭手動工程入力!$I$6:$I$47,⑭手動工程入力!$S$6:$S$47,$J173,⑭手動工程入力!$I$6:$I$47,"&gt;0",⑭手動工程入力!$M$6:$M$47,"&gt;0"))</f>
        <v/>
      </c>
      <c r="N173" s="393">
        <f>IF($J173="",0,SUMIFS(②釜工程入力!$M$5:$M$117,②釜工程入力!$S$5:$S$117,$J173,②釜工程入力!$J$5:$J$117,"&gt;0")-SUMIFS(②釜工程入力!$M$5:$M$117,②釜工程入力!$S$5:$S$117,$J173,②釜工程入力!$J$5:$J$117,"&gt;0",②釜工程入力!$I$5:$I$117,"&gt;0")+SUMIFS(③スチコン工程入力!$M$5:$M$152,③スチコン工程入力!$S$5:$S$152,$J173,③スチコン工程入力!$J$5:$J$152,"&gt;0")-SUMIFS(③スチコン工程入力!$M$5:$M$152,③スチコン工程入力!$S$5:$S$152,$J173,③スチコン工程入力!$J$5:$J$152,"&gt;0",③スチコン工程入力!$I$5:$I$152,"&gt;0")+SUMIFS(⑪ZEN工程入力!$M$6:$M$35,⑪ZEN工程入力!$S$6:$S$35,$J173,⑪ZEN工程入力!$J$6:$J$35,"&gt;0")-SUMIFS(⑪ZEN工程入力!$M$6:$M$35,⑪ZEN工程入力!$S$6:$S$35,$J173,⑪ZEN工程入力!$J$6:$J$35,"&gt;0",⑪ZEN工程入力!$I$6:$I$35,"&gt;0")+SUMIFS(⑫ミキサー工程入力!$M$6:$M$65,⑫ミキサー工程入力!$S$6:$S$65,$J173,⑫ミキサー工程入力!$J$6:$J$65,"&gt;0")-SUMIFS(⑫ミキサー工程入力!$M$6:$M$65,⑫ミキサー工程入力!$S$6:$S$65,$J173,⑫ミキサー工程入力!$J$6:$J$65,"&gt;0",⑫ミキサー工程入力!$I$6:$I$65,"&gt;0")+SUMIFS(⑬計量工程入力!$M$6:$M$65,⑬計量工程入力!$S$6:$S$65,$J173,⑬計量工程入力!$J$6:$J$65,"&gt;0")-SUMIFS(⑬計量工程入力!$M$6:$M$65,⑬計量工程入力!$S$6:$S$65,$J173,⑬計量工程入力!$J$6:$J$65,"&gt;0",⑬計量工程入力!$I$6:$I$65,"&gt;0")+SUMIFS(⑭手動工程入力!$M$6:$M$47,⑭手動工程入力!$S$6:$S$47,$J173,⑭手動工程入力!$J$6:$J$47,"&gt;0")-SUMIFS(⑭手動工程入力!$M$6:$M$47,⑭手動工程入力!$S$6:$S$47,$J173,⑭手動工程入力!$J$6:$J$47,"&gt;0",⑭手動工程入力!$I$6:$I$47,"&gt;0"))</f>
        <v/>
      </c>
      <c r="O173" s="393">
        <f>IF($J173="",0,SUMIFS(②釜工程入力!$J$5:$J$117,②釜工程入力!$S$5:$S$117,$J173,②釜工程入力!$J$5:$J$117,"&gt;0",②釜工程入力!$M$5:$M$117,"&gt;0")-SUMIFS(②釜工程入力!$J$5:$J$117,②釜工程入力!$S$5:$S$117,$J173,②釜工程入力!$J$5:$J$117,"&gt;0",②釜工程入力!$I$5:$I$117,"&gt;0",②釜工程入力!$M$5:$M$117,"&gt;0")+SUMIFS(③スチコン工程入力!$J$5:$J$152,③スチコン工程入力!$S$5:$S$152,$J173,③スチコン工程入力!$J$5:$J$152,"&gt;0",③スチコン工程入力!$M$5:$M$152,"&gt;0")-SUMIFS(③スチコン工程入力!$J$5:$J$152,③スチコン工程入力!$S$5:$S$152,$J173,③スチコン工程入力!$J$5:$J$152,"&gt;0",③スチコン工程入力!$I$5:$I$152,"&gt;0",③スチコン工程入力!$M$5:$M$152,"&gt;0")+SUMIFS(⑪ZEN工程入力!$J$6:$J$35,⑪ZEN工程入力!$S$6:$S$35,$J173,⑪ZEN工程入力!$J$6:$J$35,"&gt;0",⑪ZEN工程入力!$M$6:$M$35,"&gt;0")-SUMIFS(⑪ZEN工程入力!$J$6:$J$35,⑪ZEN工程入力!$S$6:$S$35,$J173,⑪ZEN工程入力!$J$6:$J$35,"&gt;0",⑪ZEN工程入力!$I$6:$I$35,"&gt;0",⑪ZEN工程入力!$M$6:$M$35,"&gt;0")+SUMIFS(⑫ミキサー工程入力!$J$6:$J$65,⑫ミキサー工程入力!$S$6:$S$65,$J173,⑫ミキサー工程入力!$J$6:$J$65,"&gt;0",⑫ミキサー工程入力!$M$6:$M$65,"&gt;0")-SUMIFS(⑫ミキサー工程入力!$J$6:$J$65,⑫ミキサー工程入力!$S$6:$S$65,$J173,⑫ミキサー工程入力!$J$6:$J$65,"&gt;0",⑫ミキサー工程入力!$I$6:$I$65,"&gt;0",⑫ミキサー工程入力!$M$6:$M$65,"&gt;0")+SUMIFS(⑬計量工程入力!$J$6:$J$65,⑬計量工程入力!$S$6:$S$65,$J173,⑬計量工程入力!$J$6:$J$65,"&gt;0",⑬計量工程入力!$M$6:$M$65,"&gt;0")-SUMIFS(⑬計量工程入力!$J$6:$J$65,⑬計量工程入力!$S$6:$S$65,$J173,⑬計量工程入力!$J$6:$J$65,"&gt;0",⑬計量工程入力!$I$6:$I$65,"&gt;0",⑬計量工程入力!$M$6:$M$65,"&gt;0")+SUMIFS(⑭手動工程入力!$J$6:$J$47,⑭手動工程入力!$S$6:$S$47,$J173,⑭手動工程入力!$J$6:$J$47,"&gt;0",⑭手動工程入力!$M$6:$M$47,"&gt;0")-SUMIFS(⑭手動工程入力!$J$6:$J$47,⑭手動工程入力!$S$6:$S$47,$J173,⑭手動工程入力!$J$6:$J$47,"&gt;0",⑭手動工程入力!$I$6:$I$47,"&gt;0",⑭手動工程入力!$M$6:$M$47,"&gt;0"))</f>
        <v/>
      </c>
      <c r="P173" s="392" t="n"/>
    </row>
    <row r="174">
      <c r="A174" s="392" t="n">
        <v>170</v>
      </c>
      <c r="B174" s="392" t="n"/>
      <c r="C174" s="392" t="n"/>
      <c r="D174" s="392" t="n"/>
      <c r="E174" s="392" t="n"/>
      <c r="F174" s="394" t="n"/>
      <c r="G174" s="392" t="n"/>
      <c r="H174" s="604">
        <f>IFERROR(IF(AND($K174&gt;0,ISNUMBER(IF(OR($D174="g",$D174="ｇ"),IF($M174&gt;0,$L174/$M174/1000,""),IF($D174="kg",IF($M174&gt;0,$L174/$M174,""),IF($D174="",IF($M174&gt;0,$L174/$M174/1000,IF($O174&gt;0,$N174/$O174,"")),IF($O174&gt;0,$N174/$O174,"")))))),IF(OR($D174="g",$D174="ｇ"),IF($M174&gt;0,$L174/$M174/1000,""),IF($D174="kg",IF($M174&gt;0,$L174/$M174,""),IF($D174="",IF($M174&gt;0,$L174/$M174/1000,IF($O174&gt;0,$N174/$O174,"")),IF($O174&gt;0,$N174/$O174,"")))),IF($F174="",IF(OR($E174="",$E174="⑩盛付梱包工程入力"),"",IF(OR($D174="g",$D174="ｇ"),INDEX(⑰工程労務費一覧!$N$5:$N$11,MATCH($E174,⑰工程労務費一覧!$K$5:$K$11,0))/1000,IF($D174="kg",INDEX(⑰工程労務費一覧!$N$5:$N$11,MATCH($E174,⑰工程労務費一覧!$K$5:$K$11,0)),IF(OR($D174="個",$D174="切",$D174="本",$D174="枚",$D174="尾"),IF($E174="⑬計量工程入力","",INDEX(⑰工程労務費一覧!$P$5:$P$11,MATCH($E174,⑰工程労務費一覧!$K$5:$K$11,0))),IF(AND($D174="",OR($E174="②釜工程入力",$E174="③スチコン工程入力")),INDEX(⑰工程労務費一覧!$N$5:$N$11,MATCH($E174,⑰工程労務費一覧!$K$5:$K$11,0))/1000,""))))),IF(OR($D174="g",$D174="ｇ"),INDEX(⑰工程労務費一覧!$H$5:$H$753,MATCH($F174,⑰工程労務費一覧!$D$5:$D$753,0))/1000,IF($D174="kg",INDEX(⑰工程労務費一覧!$H$5:$H$753,MATCH($F174,⑰工程労務費一覧!$D$5:$D$753,0)),INDEX(⑰工程労務費一覧!$I$5:$I$753,MATCH($F174,⑰工程労務費一覧!$D$5:$D$753,0)))))),"")</f>
        <v/>
      </c>
      <c r="I174" s="392">
        <f>IF($K174&gt;0,IF(ISNUMBER(IF(OR($D174="g",$D174="ｇ"),IF($M174&gt;0,$L174/$M174/1000,""),IF($D174="kg",IF($M174&gt;0,$L174/$M174,""),IF($D174="",IF($M174&gt;0,$L174/$M174/1000,IF($O174&gt;0,$N174/$O174,"")),IF($O174&gt;0,$N174/$O174,""))))),IF($D174="",IF($M174&gt;0,"◎ JAN紐づけ(g扱い)","◎ JAN紐づけ(個扱い)"),"◎ JAN紐づけ"),"△ JAN紐づけ済・実績不足→仮計算"),IF($F174="",IF(ISNUMBER($H174),IF($D174="","⑤ 工程平均で仮計算(g扱い)","⑤ 工程平均で仮計算"),IF($E174="⑩盛付梱包工程入力","⑥ 盛り込み(⑳F列で計上)",IF(AND($E174="⑬計量工程入力",OR($D174="個",$D174="切",$D174="本",$D174="枚",$D174="尾")),"① 未紐づけ(カット個単位は仮単価なし)","① 未紐づけ"))),IF(NOT(ISNUMBER($H174)),"② 工程側に単価なし",IF($D174="","③ 単位未設定(個で計算)","④ OK"))))</f>
        <v/>
      </c>
      <c r="J174" s="399">
        <f>IFERROR(LOOKUP(2,1/((中間品リスト!$F$2:$F$1299=$B174)*(中間品リスト!$E$2:$E$1299&lt;&gt;"-")*(中間品リスト!$E$2:$E$1299&lt;&gt;"")),中間品リスト!$E$2:$E$1299),"")</f>
        <v/>
      </c>
      <c r="K174" s="400">
        <f>IF($J174="",0,COUNTIF(②釜工程入力!$S$5:$S$117,$J174)+COUNTIF(③スチコン工程入力!$S$5:$S$152,$J174)+COUNTIF(⑪ZEN工程入力!$S$6:$S$35,$J174)+COUNTIF(⑫ミキサー工程入力!$S$6:$S$65,$J174)+COUNTIF(⑬計量工程入力!$S$6:$S$65,$J174)+COUNTIF(⑭手動工程入力!$S$6:$S$47,$J174))</f>
        <v/>
      </c>
      <c r="L174" s="393">
        <f>IF($J174="",0,SUMIFS(②釜工程入力!$M$5:$M$117,②釜工程入力!$S$5:$S$117,$J174,②釜工程入力!$I$5:$I$117,"&gt;0")+SUMIFS(③スチコン工程入力!$M$5:$M$152,③スチコン工程入力!$S$5:$S$152,$J174,③スチコン工程入力!$I$5:$I$152,"&gt;0")+SUMIFS(⑪ZEN工程入力!$M$6:$M$35,⑪ZEN工程入力!$S$6:$S$35,$J174,⑪ZEN工程入力!$I$6:$I$35,"&gt;0")+SUMIFS(⑫ミキサー工程入力!$M$6:$M$65,⑫ミキサー工程入力!$S$6:$S$65,$J174,⑫ミキサー工程入力!$I$6:$I$65,"&gt;0")+SUMIFS(⑬計量工程入力!$M$6:$M$65,⑬計量工程入力!$S$6:$S$65,$J174,⑬計量工程入力!$I$6:$I$65,"&gt;0")+SUMIFS(⑭手動工程入力!$M$6:$M$47,⑭手動工程入力!$S$6:$S$47,$J174,⑭手動工程入力!$I$6:$I$47,"&gt;0"))</f>
        <v/>
      </c>
      <c r="M174" s="393">
        <f>IF($J174="",0,SUMIFS(②釜工程入力!$I$5:$I$117,②釜工程入力!$S$5:$S$117,$J174,②釜工程入力!$I$5:$I$117,"&gt;0",②釜工程入力!$M$5:$M$117,"&gt;0")+SUMIFS(③スチコン工程入力!$I$5:$I$152,③スチコン工程入力!$S$5:$S$152,$J174,③スチコン工程入力!$I$5:$I$152,"&gt;0",③スチコン工程入力!$M$5:$M$152,"&gt;0")+SUMIFS(⑪ZEN工程入力!$I$6:$I$35,⑪ZEN工程入力!$S$6:$S$35,$J174,⑪ZEN工程入力!$I$6:$I$35,"&gt;0",⑪ZEN工程入力!$M$6:$M$35,"&gt;0")+SUMIFS(⑫ミキサー工程入力!$I$6:$I$65,⑫ミキサー工程入力!$S$6:$S$65,$J174,⑫ミキサー工程入力!$I$6:$I$65,"&gt;0",⑫ミキサー工程入力!$M$6:$M$65,"&gt;0")+SUMIFS(⑬計量工程入力!$I$6:$I$65,⑬計量工程入力!$S$6:$S$65,$J174,⑬計量工程入力!$I$6:$I$65,"&gt;0",⑬計量工程入力!$M$6:$M$65,"&gt;0")+SUMIFS(⑭手動工程入力!$I$6:$I$47,⑭手動工程入力!$S$6:$S$47,$J174,⑭手動工程入力!$I$6:$I$47,"&gt;0",⑭手動工程入力!$M$6:$M$47,"&gt;0"))</f>
        <v/>
      </c>
      <c r="N174" s="393">
        <f>IF($J174="",0,SUMIFS(②釜工程入力!$M$5:$M$117,②釜工程入力!$S$5:$S$117,$J174,②釜工程入力!$J$5:$J$117,"&gt;0")-SUMIFS(②釜工程入力!$M$5:$M$117,②釜工程入力!$S$5:$S$117,$J174,②釜工程入力!$J$5:$J$117,"&gt;0",②釜工程入力!$I$5:$I$117,"&gt;0")+SUMIFS(③スチコン工程入力!$M$5:$M$152,③スチコン工程入力!$S$5:$S$152,$J174,③スチコン工程入力!$J$5:$J$152,"&gt;0")-SUMIFS(③スチコン工程入力!$M$5:$M$152,③スチコン工程入力!$S$5:$S$152,$J174,③スチコン工程入力!$J$5:$J$152,"&gt;0",③スチコン工程入力!$I$5:$I$152,"&gt;0")+SUMIFS(⑪ZEN工程入力!$M$6:$M$35,⑪ZEN工程入力!$S$6:$S$35,$J174,⑪ZEN工程入力!$J$6:$J$35,"&gt;0")-SUMIFS(⑪ZEN工程入力!$M$6:$M$35,⑪ZEN工程入力!$S$6:$S$35,$J174,⑪ZEN工程入力!$J$6:$J$35,"&gt;0",⑪ZEN工程入力!$I$6:$I$35,"&gt;0")+SUMIFS(⑫ミキサー工程入力!$M$6:$M$65,⑫ミキサー工程入力!$S$6:$S$65,$J174,⑫ミキサー工程入力!$J$6:$J$65,"&gt;0")-SUMIFS(⑫ミキサー工程入力!$M$6:$M$65,⑫ミキサー工程入力!$S$6:$S$65,$J174,⑫ミキサー工程入力!$J$6:$J$65,"&gt;0",⑫ミキサー工程入力!$I$6:$I$65,"&gt;0")+SUMIFS(⑬計量工程入力!$M$6:$M$65,⑬計量工程入力!$S$6:$S$65,$J174,⑬計量工程入力!$J$6:$J$65,"&gt;0")-SUMIFS(⑬計量工程入力!$M$6:$M$65,⑬計量工程入力!$S$6:$S$65,$J174,⑬計量工程入力!$J$6:$J$65,"&gt;0",⑬計量工程入力!$I$6:$I$65,"&gt;0")+SUMIFS(⑭手動工程入力!$M$6:$M$47,⑭手動工程入力!$S$6:$S$47,$J174,⑭手動工程入力!$J$6:$J$47,"&gt;0")-SUMIFS(⑭手動工程入力!$M$6:$M$47,⑭手動工程入力!$S$6:$S$47,$J174,⑭手動工程入力!$J$6:$J$47,"&gt;0",⑭手動工程入力!$I$6:$I$47,"&gt;0"))</f>
        <v/>
      </c>
      <c r="O174" s="393">
        <f>IF($J174="",0,SUMIFS(②釜工程入力!$J$5:$J$117,②釜工程入力!$S$5:$S$117,$J174,②釜工程入力!$J$5:$J$117,"&gt;0",②釜工程入力!$M$5:$M$117,"&gt;0")-SUMIFS(②釜工程入力!$J$5:$J$117,②釜工程入力!$S$5:$S$117,$J174,②釜工程入力!$J$5:$J$117,"&gt;0",②釜工程入力!$I$5:$I$117,"&gt;0",②釜工程入力!$M$5:$M$117,"&gt;0")+SUMIFS(③スチコン工程入力!$J$5:$J$152,③スチコン工程入力!$S$5:$S$152,$J174,③スチコン工程入力!$J$5:$J$152,"&gt;0",③スチコン工程入力!$M$5:$M$152,"&gt;0")-SUMIFS(③スチコン工程入力!$J$5:$J$152,③スチコン工程入力!$S$5:$S$152,$J174,③スチコン工程入力!$J$5:$J$152,"&gt;0",③スチコン工程入力!$I$5:$I$152,"&gt;0",③スチコン工程入力!$M$5:$M$152,"&gt;0")+SUMIFS(⑪ZEN工程入力!$J$6:$J$35,⑪ZEN工程入力!$S$6:$S$35,$J174,⑪ZEN工程入力!$J$6:$J$35,"&gt;0",⑪ZEN工程入力!$M$6:$M$35,"&gt;0")-SUMIFS(⑪ZEN工程入力!$J$6:$J$35,⑪ZEN工程入力!$S$6:$S$35,$J174,⑪ZEN工程入力!$J$6:$J$35,"&gt;0",⑪ZEN工程入力!$I$6:$I$35,"&gt;0",⑪ZEN工程入力!$M$6:$M$35,"&gt;0")+SUMIFS(⑫ミキサー工程入力!$J$6:$J$65,⑫ミキサー工程入力!$S$6:$S$65,$J174,⑫ミキサー工程入力!$J$6:$J$65,"&gt;0",⑫ミキサー工程入力!$M$6:$M$65,"&gt;0")-SUMIFS(⑫ミキサー工程入力!$J$6:$J$65,⑫ミキサー工程入力!$S$6:$S$65,$J174,⑫ミキサー工程入力!$J$6:$J$65,"&gt;0",⑫ミキサー工程入力!$I$6:$I$65,"&gt;0",⑫ミキサー工程入力!$M$6:$M$65,"&gt;0")+SUMIFS(⑬計量工程入力!$J$6:$J$65,⑬計量工程入力!$S$6:$S$65,$J174,⑬計量工程入力!$J$6:$J$65,"&gt;0",⑬計量工程入力!$M$6:$M$65,"&gt;0")-SUMIFS(⑬計量工程入力!$J$6:$J$65,⑬計量工程入力!$S$6:$S$65,$J174,⑬計量工程入力!$J$6:$J$65,"&gt;0",⑬計量工程入力!$I$6:$I$65,"&gt;0",⑬計量工程入力!$M$6:$M$65,"&gt;0")+SUMIFS(⑭手動工程入力!$J$6:$J$47,⑭手動工程入力!$S$6:$S$47,$J174,⑭手動工程入力!$J$6:$J$47,"&gt;0",⑭手動工程入力!$M$6:$M$47,"&gt;0")-SUMIFS(⑭手動工程入力!$J$6:$J$47,⑭手動工程入力!$S$6:$S$47,$J174,⑭手動工程入力!$J$6:$J$47,"&gt;0",⑭手動工程入力!$I$6:$I$47,"&gt;0",⑭手動工程入力!$M$6:$M$47,"&gt;0"))</f>
        <v/>
      </c>
      <c r="P174" s="392" t="n"/>
    </row>
    <row r="175">
      <c r="A175" s="392" t="n">
        <v>171</v>
      </c>
      <c r="B175" s="392" t="n"/>
      <c r="C175" s="392" t="n"/>
      <c r="D175" s="392" t="n"/>
      <c r="E175" s="392" t="n"/>
      <c r="F175" s="394" t="n"/>
      <c r="G175" s="392" t="n"/>
      <c r="H175" s="604">
        <f>IFERROR(IF(AND($K175&gt;0,ISNUMBER(IF(OR($D175="g",$D175="ｇ"),IF($M175&gt;0,$L175/$M175/1000,""),IF($D175="kg",IF($M175&gt;0,$L175/$M175,""),IF($D175="",IF($M175&gt;0,$L175/$M175/1000,IF($O175&gt;0,$N175/$O175,"")),IF($O175&gt;0,$N175/$O175,"")))))),IF(OR($D175="g",$D175="ｇ"),IF($M175&gt;0,$L175/$M175/1000,""),IF($D175="kg",IF($M175&gt;0,$L175/$M175,""),IF($D175="",IF($M175&gt;0,$L175/$M175/1000,IF($O175&gt;0,$N175/$O175,"")),IF($O175&gt;0,$N175/$O175,"")))),IF($F175="",IF(OR($E175="",$E175="⑩盛付梱包工程入力"),"",IF(OR($D175="g",$D175="ｇ"),INDEX(⑰工程労務費一覧!$N$5:$N$11,MATCH($E175,⑰工程労務費一覧!$K$5:$K$11,0))/1000,IF($D175="kg",INDEX(⑰工程労務費一覧!$N$5:$N$11,MATCH($E175,⑰工程労務費一覧!$K$5:$K$11,0)),IF(OR($D175="個",$D175="切",$D175="本",$D175="枚",$D175="尾"),IF($E175="⑬計量工程入力","",INDEX(⑰工程労務費一覧!$P$5:$P$11,MATCH($E175,⑰工程労務費一覧!$K$5:$K$11,0))),IF(AND($D175="",OR($E175="②釜工程入力",$E175="③スチコン工程入力")),INDEX(⑰工程労務費一覧!$N$5:$N$11,MATCH($E175,⑰工程労務費一覧!$K$5:$K$11,0))/1000,""))))),IF(OR($D175="g",$D175="ｇ"),INDEX(⑰工程労務費一覧!$H$5:$H$753,MATCH($F175,⑰工程労務費一覧!$D$5:$D$753,0))/1000,IF($D175="kg",INDEX(⑰工程労務費一覧!$H$5:$H$753,MATCH($F175,⑰工程労務費一覧!$D$5:$D$753,0)),INDEX(⑰工程労務費一覧!$I$5:$I$753,MATCH($F175,⑰工程労務費一覧!$D$5:$D$753,0)))))),"")</f>
        <v/>
      </c>
      <c r="I175" s="392">
        <f>IF($K175&gt;0,IF(ISNUMBER(IF(OR($D175="g",$D175="ｇ"),IF($M175&gt;0,$L175/$M175/1000,""),IF($D175="kg",IF($M175&gt;0,$L175/$M175,""),IF($D175="",IF($M175&gt;0,$L175/$M175/1000,IF($O175&gt;0,$N175/$O175,"")),IF($O175&gt;0,$N175/$O175,""))))),IF($D175="",IF($M175&gt;0,"◎ JAN紐づけ(g扱い)","◎ JAN紐づけ(個扱い)"),"◎ JAN紐づけ"),"△ JAN紐づけ済・実績不足→仮計算"),IF($F175="",IF(ISNUMBER($H175),IF($D175="","⑤ 工程平均で仮計算(g扱い)","⑤ 工程平均で仮計算"),IF($E175="⑩盛付梱包工程入力","⑥ 盛り込み(⑳F列で計上)",IF(AND($E175="⑬計量工程入力",OR($D175="個",$D175="切",$D175="本",$D175="枚",$D175="尾")),"① 未紐づけ(カット個単位は仮単価なし)","① 未紐づけ"))),IF(NOT(ISNUMBER($H175)),"② 工程側に単価なし",IF($D175="","③ 単位未設定(個で計算)","④ OK"))))</f>
        <v/>
      </c>
      <c r="J175" s="399">
        <f>IFERROR(LOOKUP(2,1/((中間品リスト!$F$2:$F$1299=$B175)*(中間品リスト!$E$2:$E$1299&lt;&gt;"-")*(中間品リスト!$E$2:$E$1299&lt;&gt;"")),中間品リスト!$E$2:$E$1299),"")</f>
        <v/>
      </c>
      <c r="K175" s="400">
        <f>IF($J175="",0,COUNTIF(②釜工程入力!$S$5:$S$117,$J175)+COUNTIF(③スチコン工程入力!$S$5:$S$152,$J175)+COUNTIF(⑪ZEN工程入力!$S$6:$S$35,$J175)+COUNTIF(⑫ミキサー工程入力!$S$6:$S$65,$J175)+COUNTIF(⑬計量工程入力!$S$6:$S$65,$J175)+COUNTIF(⑭手動工程入力!$S$6:$S$47,$J175))</f>
        <v/>
      </c>
      <c r="L175" s="393">
        <f>IF($J175="",0,SUMIFS(②釜工程入力!$M$5:$M$117,②釜工程入力!$S$5:$S$117,$J175,②釜工程入力!$I$5:$I$117,"&gt;0")+SUMIFS(③スチコン工程入力!$M$5:$M$152,③スチコン工程入力!$S$5:$S$152,$J175,③スチコン工程入力!$I$5:$I$152,"&gt;0")+SUMIFS(⑪ZEN工程入力!$M$6:$M$35,⑪ZEN工程入力!$S$6:$S$35,$J175,⑪ZEN工程入力!$I$6:$I$35,"&gt;0")+SUMIFS(⑫ミキサー工程入力!$M$6:$M$65,⑫ミキサー工程入力!$S$6:$S$65,$J175,⑫ミキサー工程入力!$I$6:$I$65,"&gt;0")+SUMIFS(⑬計量工程入力!$M$6:$M$65,⑬計量工程入力!$S$6:$S$65,$J175,⑬計量工程入力!$I$6:$I$65,"&gt;0")+SUMIFS(⑭手動工程入力!$M$6:$M$47,⑭手動工程入力!$S$6:$S$47,$J175,⑭手動工程入力!$I$6:$I$47,"&gt;0"))</f>
        <v/>
      </c>
      <c r="M175" s="393">
        <f>IF($J175="",0,SUMIFS(②釜工程入力!$I$5:$I$117,②釜工程入力!$S$5:$S$117,$J175,②釜工程入力!$I$5:$I$117,"&gt;0",②釜工程入力!$M$5:$M$117,"&gt;0")+SUMIFS(③スチコン工程入力!$I$5:$I$152,③スチコン工程入力!$S$5:$S$152,$J175,③スチコン工程入力!$I$5:$I$152,"&gt;0",③スチコン工程入力!$M$5:$M$152,"&gt;0")+SUMIFS(⑪ZEN工程入力!$I$6:$I$35,⑪ZEN工程入力!$S$6:$S$35,$J175,⑪ZEN工程入力!$I$6:$I$35,"&gt;0",⑪ZEN工程入力!$M$6:$M$35,"&gt;0")+SUMIFS(⑫ミキサー工程入力!$I$6:$I$65,⑫ミキサー工程入力!$S$6:$S$65,$J175,⑫ミキサー工程入力!$I$6:$I$65,"&gt;0",⑫ミキサー工程入力!$M$6:$M$65,"&gt;0")+SUMIFS(⑬計量工程入力!$I$6:$I$65,⑬計量工程入力!$S$6:$S$65,$J175,⑬計量工程入力!$I$6:$I$65,"&gt;0",⑬計量工程入力!$M$6:$M$65,"&gt;0")+SUMIFS(⑭手動工程入力!$I$6:$I$47,⑭手動工程入力!$S$6:$S$47,$J175,⑭手動工程入力!$I$6:$I$47,"&gt;0",⑭手動工程入力!$M$6:$M$47,"&gt;0"))</f>
        <v/>
      </c>
      <c r="N175" s="393">
        <f>IF($J175="",0,SUMIFS(②釜工程入力!$M$5:$M$117,②釜工程入力!$S$5:$S$117,$J175,②釜工程入力!$J$5:$J$117,"&gt;0")-SUMIFS(②釜工程入力!$M$5:$M$117,②釜工程入力!$S$5:$S$117,$J175,②釜工程入力!$J$5:$J$117,"&gt;0",②釜工程入力!$I$5:$I$117,"&gt;0")+SUMIFS(③スチコン工程入力!$M$5:$M$152,③スチコン工程入力!$S$5:$S$152,$J175,③スチコン工程入力!$J$5:$J$152,"&gt;0")-SUMIFS(③スチコン工程入力!$M$5:$M$152,③スチコン工程入力!$S$5:$S$152,$J175,③スチコン工程入力!$J$5:$J$152,"&gt;0",③スチコン工程入力!$I$5:$I$152,"&gt;0")+SUMIFS(⑪ZEN工程入力!$M$6:$M$35,⑪ZEN工程入力!$S$6:$S$35,$J175,⑪ZEN工程入力!$J$6:$J$35,"&gt;0")-SUMIFS(⑪ZEN工程入力!$M$6:$M$35,⑪ZEN工程入力!$S$6:$S$35,$J175,⑪ZEN工程入力!$J$6:$J$35,"&gt;0",⑪ZEN工程入力!$I$6:$I$35,"&gt;0")+SUMIFS(⑫ミキサー工程入力!$M$6:$M$65,⑫ミキサー工程入力!$S$6:$S$65,$J175,⑫ミキサー工程入力!$J$6:$J$65,"&gt;0")-SUMIFS(⑫ミキサー工程入力!$M$6:$M$65,⑫ミキサー工程入力!$S$6:$S$65,$J175,⑫ミキサー工程入力!$J$6:$J$65,"&gt;0",⑫ミキサー工程入力!$I$6:$I$65,"&gt;0")+SUMIFS(⑬計量工程入力!$M$6:$M$65,⑬計量工程入力!$S$6:$S$65,$J175,⑬計量工程入力!$J$6:$J$65,"&gt;0")-SUMIFS(⑬計量工程入力!$M$6:$M$65,⑬計量工程入力!$S$6:$S$65,$J175,⑬計量工程入力!$J$6:$J$65,"&gt;0",⑬計量工程入力!$I$6:$I$65,"&gt;0")+SUMIFS(⑭手動工程入力!$M$6:$M$47,⑭手動工程入力!$S$6:$S$47,$J175,⑭手動工程入力!$J$6:$J$47,"&gt;0")-SUMIFS(⑭手動工程入力!$M$6:$M$47,⑭手動工程入力!$S$6:$S$47,$J175,⑭手動工程入力!$J$6:$J$47,"&gt;0",⑭手動工程入力!$I$6:$I$47,"&gt;0"))</f>
        <v/>
      </c>
      <c r="O175" s="393">
        <f>IF($J175="",0,SUMIFS(②釜工程入力!$J$5:$J$117,②釜工程入力!$S$5:$S$117,$J175,②釜工程入力!$J$5:$J$117,"&gt;0",②釜工程入力!$M$5:$M$117,"&gt;0")-SUMIFS(②釜工程入力!$J$5:$J$117,②釜工程入力!$S$5:$S$117,$J175,②釜工程入力!$J$5:$J$117,"&gt;0",②釜工程入力!$I$5:$I$117,"&gt;0",②釜工程入力!$M$5:$M$117,"&gt;0")+SUMIFS(③スチコン工程入力!$J$5:$J$152,③スチコン工程入力!$S$5:$S$152,$J175,③スチコン工程入力!$J$5:$J$152,"&gt;0",③スチコン工程入力!$M$5:$M$152,"&gt;0")-SUMIFS(③スチコン工程入力!$J$5:$J$152,③スチコン工程入力!$S$5:$S$152,$J175,③スチコン工程入力!$J$5:$J$152,"&gt;0",③スチコン工程入力!$I$5:$I$152,"&gt;0",③スチコン工程入力!$M$5:$M$152,"&gt;0")+SUMIFS(⑪ZEN工程入力!$J$6:$J$35,⑪ZEN工程入力!$S$6:$S$35,$J175,⑪ZEN工程入力!$J$6:$J$35,"&gt;0",⑪ZEN工程入力!$M$6:$M$35,"&gt;0")-SUMIFS(⑪ZEN工程入力!$J$6:$J$35,⑪ZEN工程入力!$S$6:$S$35,$J175,⑪ZEN工程入力!$J$6:$J$35,"&gt;0",⑪ZEN工程入力!$I$6:$I$35,"&gt;0",⑪ZEN工程入力!$M$6:$M$35,"&gt;0")+SUMIFS(⑫ミキサー工程入力!$J$6:$J$65,⑫ミキサー工程入力!$S$6:$S$65,$J175,⑫ミキサー工程入力!$J$6:$J$65,"&gt;0",⑫ミキサー工程入力!$M$6:$M$65,"&gt;0")-SUMIFS(⑫ミキサー工程入力!$J$6:$J$65,⑫ミキサー工程入力!$S$6:$S$65,$J175,⑫ミキサー工程入力!$J$6:$J$65,"&gt;0",⑫ミキサー工程入力!$I$6:$I$65,"&gt;0",⑫ミキサー工程入力!$M$6:$M$65,"&gt;0")+SUMIFS(⑬計量工程入力!$J$6:$J$65,⑬計量工程入力!$S$6:$S$65,$J175,⑬計量工程入力!$J$6:$J$65,"&gt;0",⑬計量工程入力!$M$6:$M$65,"&gt;0")-SUMIFS(⑬計量工程入力!$J$6:$J$65,⑬計量工程入力!$S$6:$S$65,$J175,⑬計量工程入力!$J$6:$J$65,"&gt;0",⑬計量工程入力!$I$6:$I$65,"&gt;0",⑬計量工程入力!$M$6:$M$65,"&gt;0")+SUMIFS(⑭手動工程入力!$J$6:$J$47,⑭手動工程入力!$S$6:$S$47,$J175,⑭手動工程入力!$J$6:$J$47,"&gt;0",⑭手動工程入力!$M$6:$M$47,"&gt;0")-SUMIFS(⑭手動工程入力!$J$6:$J$47,⑭手動工程入力!$S$6:$S$47,$J175,⑭手動工程入力!$J$6:$J$47,"&gt;0",⑭手動工程入力!$I$6:$I$47,"&gt;0",⑭手動工程入力!$M$6:$M$47,"&gt;0"))</f>
        <v/>
      </c>
      <c r="P175" s="392" t="n"/>
    </row>
    <row r="176">
      <c r="A176" s="392" t="n">
        <v>172</v>
      </c>
      <c r="B176" s="392" t="n"/>
      <c r="C176" s="392" t="n"/>
      <c r="D176" s="392" t="n"/>
      <c r="E176" s="392" t="n"/>
      <c r="F176" s="394" t="n"/>
      <c r="G176" s="392" t="n"/>
      <c r="H176" s="604">
        <f>IFERROR(IF(AND($K176&gt;0,ISNUMBER(IF(OR($D176="g",$D176="ｇ"),IF($M176&gt;0,$L176/$M176/1000,""),IF($D176="kg",IF($M176&gt;0,$L176/$M176,""),IF($D176="",IF($M176&gt;0,$L176/$M176/1000,IF($O176&gt;0,$N176/$O176,"")),IF($O176&gt;0,$N176/$O176,"")))))),IF(OR($D176="g",$D176="ｇ"),IF($M176&gt;0,$L176/$M176/1000,""),IF($D176="kg",IF($M176&gt;0,$L176/$M176,""),IF($D176="",IF($M176&gt;0,$L176/$M176/1000,IF($O176&gt;0,$N176/$O176,"")),IF($O176&gt;0,$N176/$O176,"")))),IF($F176="",IF(OR($E176="",$E176="⑩盛付梱包工程入力"),"",IF(OR($D176="g",$D176="ｇ"),INDEX(⑰工程労務費一覧!$N$5:$N$11,MATCH($E176,⑰工程労務費一覧!$K$5:$K$11,0))/1000,IF($D176="kg",INDEX(⑰工程労務費一覧!$N$5:$N$11,MATCH($E176,⑰工程労務費一覧!$K$5:$K$11,0)),IF(OR($D176="個",$D176="切",$D176="本",$D176="枚",$D176="尾"),IF($E176="⑬計量工程入力","",INDEX(⑰工程労務費一覧!$P$5:$P$11,MATCH($E176,⑰工程労務費一覧!$K$5:$K$11,0))),IF(AND($D176="",OR($E176="②釜工程入力",$E176="③スチコン工程入力")),INDEX(⑰工程労務費一覧!$N$5:$N$11,MATCH($E176,⑰工程労務費一覧!$K$5:$K$11,0))/1000,""))))),IF(OR($D176="g",$D176="ｇ"),INDEX(⑰工程労務費一覧!$H$5:$H$753,MATCH($F176,⑰工程労務費一覧!$D$5:$D$753,0))/1000,IF($D176="kg",INDEX(⑰工程労務費一覧!$H$5:$H$753,MATCH($F176,⑰工程労務費一覧!$D$5:$D$753,0)),INDEX(⑰工程労務費一覧!$I$5:$I$753,MATCH($F176,⑰工程労務費一覧!$D$5:$D$753,0)))))),"")</f>
        <v/>
      </c>
      <c r="I176" s="392">
        <f>IF($K176&gt;0,IF(ISNUMBER(IF(OR($D176="g",$D176="ｇ"),IF($M176&gt;0,$L176/$M176/1000,""),IF($D176="kg",IF($M176&gt;0,$L176/$M176,""),IF($D176="",IF($M176&gt;0,$L176/$M176/1000,IF($O176&gt;0,$N176/$O176,"")),IF($O176&gt;0,$N176/$O176,""))))),IF($D176="",IF($M176&gt;0,"◎ JAN紐づけ(g扱い)","◎ JAN紐づけ(個扱い)"),"◎ JAN紐づけ"),"△ JAN紐づけ済・実績不足→仮計算"),IF($F176="",IF(ISNUMBER($H176),IF($D176="","⑤ 工程平均で仮計算(g扱い)","⑤ 工程平均で仮計算"),IF($E176="⑩盛付梱包工程入力","⑥ 盛り込み(⑳F列で計上)",IF(AND($E176="⑬計量工程入力",OR($D176="個",$D176="切",$D176="本",$D176="枚",$D176="尾")),"① 未紐づけ(カット個単位は仮単価なし)","① 未紐づけ"))),IF(NOT(ISNUMBER($H176)),"② 工程側に単価なし",IF($D176="","③ 単位未設定(個で計算)","④ OK"))))</f>
        <v/>
      </c>
      <c r="J176" s="399">
        <f>IFERROR(LOOKUP(2,1/((中間品リスト!$F$2:$F$1299=$B176)*(中間品リスト!$E$2:$E$1299&lt;&gt;"-")*(中間品リスト!$E$2:$E$1299&lt;&gt;"")),中間品リスト!$E$2:$E$1299),"")</f>
        <v/>
      </c>
      <c r="K176" s="400">
        <f>IF($J176="",0,COUNTIF(②釜工程入力!$S$5:$S$117,$J176)+COUNTIF(③スチコン工程入力!$S$5:$S$152,$J176)+COUNTIF(⑪ZEN工程入力!$S$6:$S$35,$J176)+COUNTIF(⑫ミキサー工程入力!$S$6:$S$65,$J176)+COUNTIF(⑬計量工程入力!$S$6:$S$65,$J176)+COUNTIF(⑭手動工程入力!$S$6:$S$47,$J176))</f>
        <v/>
      </c>
      <c r="L176" s="393">
        <f>IF($J176="",0,SUMIFS(②釜工程入力!$M$5:$M$117,②釜工程入力!$S$5:$S$117,$J176,②釜工程入力!$I$5:$I$117,"&gt;0")+SUMIFS(③スチコン工程入力!$M$5:$M$152,③スチコン工程入力!$S$5:$S$152,$J176,③スチコン工程入力!$I$5:$I$152,"&gt;0")+SUMIFS(⑪ZEN工程入力!$M$6:$M$35,⑪ZEN工程入力!$S$6:$S$35,$J176,⑪ZEN工程入力!$I$6:$I$35,"&gt;0")+SUMIFS(⑫ミキサー工程入力!$M$6:$M$65,⑫ミキサー工程入力!$S$6:$S$65,$J176,⑫ミキサー工程入力!$I$6:$I$65,"&gt;0")+SUMIFS(⑬計量工程入力!$M$6:$M$65,⑬計量工程入力!$S$6:$S$65,$J176,⑬計量工程入力!$I$6:$I$65,"&gt;0")+SUMIFS(⑭手動工程入力!$M$6:$M$47,⑭手動工程入力!$S$6:$S$47,$J176,⑭手動工程入力!$I$6:$I$47,"&gt;0"))</f>
        <v/>
      </c>
      <c r="M176" s="393">
        <f>IF($J176="",0,SUMIFS(②釜工程入力!$I$5:$I$117,②釜工程入力!$S$5:$S$117,$J176,②釜工程入力!$I$5:$I$117,"&gt;0",②釜工程入力!$M$5:$M$117,"&gt;0")+SUMIFS(③スチコン工程入力!$I$5:$I$152,③スチコン工程入力!$S$5:$S$152,$J176,③スチコン工程入力!$I$5:$I$152,"&gt;0",③スチコン工程入力!$M$5:$M$152,"&gt;0")+SUMIFS(⑪ZEN工程入力!$I$6:$I$35,⑪ZEN工程入力!$S$6:$S$35,$J176,⑪ZEN工程入力!$I$6:$I$35,"&gt;0",⑪ZEN工程入力!$M$6:$M$35,"&gt;0")+SUMIFS(⑫ミキサー工程入力!$I$6:$I$65,⑫ミキサー工程入力!$S$6:$S$65,$J176,⑫ミキサー工程入力!$I$6:$I$65,"&gt;0",⑫ミキサー工程入力!$M$6:$M$65,"&gt;0")+SUMIFS(⑬計量工程入力!$I$6:$I$65,⑬計量工程入力!$S$6:$S$65,$J176,⑬計量工程入力!$I$6:$I$65,"&gt;0",⑬計量工程入力!$M$6:$M$65,"&gt;0")+SUMIFS(⑭手動工程入力!$I$6:$I$47,⑭手動工程入力!$S$6:$S$47,$J176,⑭手動工程入力!$I$6:$I$47,"&gt;0",⑭手動工程入力!$M$6:$M$47,"&gt;0"))</f>
        <v/>
      </c>
      <c r="N176" s="393">
        <f>IF($J176="",0,SUMIFS(②釜工程入力!$M$5:$M$117,②釜工程入力!$S$5:$S$117,$J176,②釜工程入力!$J$5:$J$117,"&gt;0")-SUMIFS(②釜工程入力!$M$5:$M$117,②釜工程入力!$S$5:$S$117,$J176,②釜工程入力!$J$5:$J$117,"&gt;0",②釜工程入力!$I$5:$I$117,"&gt;0")+SUMIFS(③スチコン工程入力!$M$5:$M$152,③スチコン工程入力!$S$5:$S$152,$J176,③スチコン工程入力!$J$5:$J$152,"&gt;0")-SUMIFS(③スチコン工程入力!$M$5:$M$152,③スチコン工程入力!$S$5:$S$152,$J176,③スチコン工程入力!$J$5:$J$152,"&gt;0",③スチコン工程入力!$I$5:$I$152,"&gt;0")+SUMIFS(⑪ZEN工程入力!$M$6:$M$35,⑪ZEN工程入力!$S$6:$S$35,$J176,⑪ZEN工程入力!$J$6:$J$35,"&gt;0")-SUMIFS(⑪ZEN工程入力!$M$6:$M$35,⑪ZEN工程入力!$S$6:$S$35,$J176,⑪ZEN工程入力!$J$6:$J$35,"&gt;0",⑪ZEN工程入力!$I$6:$I$35,"&gt;0")+SUMIFS(⑫ミキサー工程入力!$M$6:$M$65,⑫ミキサー工程入力!$S$6:$S$65,$J176,⑫ミキサー工程入力!$J$6:$J$65,"&gt;0")-SUMIFS(⑫ミキサー工程入力!$M$6:$M$65,⑫ミキサー工程入力!$S$6:$S$65,$J176,⑫ミキサー工程入力!$J$6:$J$65,"&gt;0",⑫ミキサー工程入力!$I$6:$I$65,"&gt;0")+SUMIFS(⑬計量工程入力!$M$6:$M$65,⑬計量工程入力!$S$6:$S$65,$J176,⑬計量工程入力!$J$6:$J$65,"&gt;0")-SUMIFS(⑬計量工程入力!$M$6:$M$65,⑬計量工程入力!$S$6:$S$65,$J176,⑬計量工程入力!$J$6:$J$65,"&gt;0",⑬計量工程入力!$I$6:$I$65,"&gt;0")+SUMIFS(⑭手動工程入力!$M$6:$M$47,⑭手動工程入力!$S$6:$S$47,$J176,⑭手動工程入力!$J$6:$J$47,"&gt;0")-SUMIFS(⑭手動工程入力!$M$6:$M$47,⑭手動工程入力!$S$6:$S$47,$J176,⑭手動工程入力!$J$6:$J$47,"&gt;0",⑭手動工程入力!$I$6:$I$47,"&gt;0"))</f>
        <v/>
      </c>
      <c r="O176" s="393">
        <f>IF($J176="",0,SUMIFS(②釜工程入力!$J$5:$J$117,②釜工程入力!$S$5:$S$117,$J176,②釜工程入力!$J$5:$J$117,"&gt;0",②釜工程入力!$M$5:$M$117,"&gt;0")-SUMIFS(②釜工程入力!$J$5:$J$117,②釜工程入力!$S$5:$S$117,$J176,②釜工程入力!$J$5:$J$117,"&gt;0",②釜工程入力!$I$5:$I$117,"&gt;0",②釜工程入力!$M$5:$M$117,"&gt;0")+SUMIFS(③スチコン工程入力!$J$5:$J$152,③スチコン工程入力!$S$5:$S$152,$J176,③スチコン工程入力!$J$5:$J$152,"&gt;0",③スチコン工程入力!$M$5:$M$152,"&gt;0")-SUMIFS(③スチコン工程入力!$J$5:$J$152,③スチコン工程入力!$S$5:$S$152,$J176,③スチコン工程入力!$J$5:$J$152,"&gt;0",③スチコン工程入力!$I$5:$I$152,"&gt;0",③スチコン工程入力!$M$5:$M$152,"&gt;0")+SUMIFS(⑪ZEN工程入力!$J$6:$J$35,⑪ZEN工程入力!$S$6:$S$35,$J176,⑪ZEN工程入力!$J$6:$J$35,"&gt;0",⑪ZEN工程入力!$M$6:$M$35,"&gt;0")-SUMIFS(⑪ZEN工程入力!$J$6:$J$35,⑪ZEN工程入力!$S$6:$S$35,$J176,⑪ZEN工程入力!$J$6:$J$35,"&gt;0",⑪ZEN工程入力!$I$6:$I$35,"&gt;0",⑪ZEN工程入力!$M$6:$M$35,"&gt;0")+SUMIFS(⑫ミキサー工程入力!$J$6:$J$65,⑫ミキサー工程入力!$S$6:$S$65,$J176,⑫ミキサー工程入力!$J$6:$J$65,"&gt;0",⑫ミキサー工程入力!$M$6:$M$65,"&gt;0")-SUMIFS(⑫ミキサー工程入力!$J$6:$J$65,⑫ミキサー工程入力!$S$6:$S$65,$J176,⑫ミキサー工程入力!$J$6:$J$65,"&gt;0",⑫ミキサー工程入力!$I$6:$I$65,"&gt;0",⑫ミキサー工程入力!$M$6:$M$65,"&gt;0")+SUMIFS(⑬計量工程入力!$J$6:$J$65,⑬計量工程入力!$S$6:$S$65,$J176,⑬計量工程入力!$J$6:$J$65,"&gt;0",⑬計量工程入力!$M$6:$M$65,"&gt;0")-SUMIFS(⑬計量工程入力!$J$6:$J$65,⑬計量工程入力!$S$6:$S$65,$J176,⑬計量工程入力!$J$6:$J$65,"&gt;0",⑬計量工程入力!$I$6:$I$65,"&gt;0",⑬計量工程入力!$M$6:$M$65,"&gt;0")+SUMIFS(⑭手動工程入力!$J$6:$J$47,⑭手動工程入力!$S$6:$S$47,$J176,⑭手動工程入力!$J$6:$J$47,"&gt;0",⑭手動工程入力!$M$6:$M$47,"&gt;0")-SUMIFS(⑭手動工程入力!$J$6:$J$47,⑭手動工程入力!$S$6:$S$47,$J176,⑭手動工程入力!$J$6:$J$47,"&gt;0",⑭手動工程入力!$I$6:$I$47,"&gt;0",⑭手動工程入力!$M$6:$M$47,"&gt;0"))</f>
        <v/>
      </c>
      <c r="P176" s="392" t="n"/>
    </row>
    <row r="177">
      <c r="A177" s="392" t="n">
        <v>173</v>
      </c>
      <c r="B177" s="392" t="n"/>
      <c r="C177" s="392" t="n"/>
      <c r="D177" s="409" t="n"/>
      <c r="E177" s="392" t="n"/>
      <c r="F177" s="394" t="n"/>
      <c r="G177" s="392" t="n"/>
      <c r="H177" s="604">
        <f>IFERROR(IF(AND($K177&gt;0,ISNUMBER(IF(OR($D177="g",$D177="ｇ"),IF($M177&gt;0,$L177/$M177/1000,""),IF($D177="kg",IF($M177&gt;0,$L177/$M177,""),IF($D177="",IF($M177&gt;0,$L177/$M177/1000,IF($O177&gt;0,$N177/$O177,"")),IF($O177&gt;0,$N177/$O177,"")))))),IF(OR($D177="g",$D177="ｇ"),IF($M177&gt;0,$L177/$M177/1000,""),IF($D177="kg",IF($M177&gt;0,$L177/$M177,""),IF($D177="",IF($M177&gt;0,$L177/$M177/1000,IF($O177&gt;0,$N177/$O177,"")),IF($O177&gt;0,$N177/$O177,"")))),IF($F177="",IF(OR($E177="",$E177="⑩盛付梱包工程入力"),"",IF(OR($D177="g",$D177="ｇ"),INDEX(⑰工程労務費一覧!$N$5:$N$11,MATCH($E177,⑰工程労務費一覧!$K$5:$K$11,0))/1000,IF($D177="kg",INDEX(⑰工程労務費一覧!$N$5:$N$11,MATCH($E177,⑰工程労務費一覧!$K$5:$K$11,0)),IF(OR($D177="個",$D177="切",$D177="本",$D177="枚",$D177="尾"),IF($E177="⑬計量工程入力","",INDEX(⑰工程労務費一覧!$P$5:$P$11,MATCH($E177,⑰工程労務費一覧!$K$5:$K$11,0))),IF(AND($D177="",OR($E177="②釜工程入力",$E177="③スチコン工程入力")),INDEX(⑰工程労務費一覧!$N$5:$N$11,MATCH($E177,⑰工程労務費一覧!$K$5:$K$11,0))/1000,""))))),IF(OR($D177="g",$D177="ｇ"),INDEX(⑰工程労務費一覧!$H$5:$H$753,MATCH($F177,⑰工程労務費一覧!$D$5:$D$753,0))/1000,IF($D177="kg",INDEX(⑰工程労務費一覧!$H$5:$H$753,MATCH($F177,⑰工程労務費一覧!$D$5:$D$753,0)),INDEX(⑰工程労務費一覧!$I$5:$I$753,MATCH($F177,⑰工程労務費一覧!$D$5:$D$753,0)))))),"")</f>
        <v/>
      </c>
      <c r="I177" s="392">
        <f>IF($K177&gt;0,IF(ISNUMBER(IF(OR($D177="g",$D177="ｇ"),IF($M177&gt;0,$L177/$M177/1000,""),IF($D177="kg",IF($M177&gt;0,$L177/$M177,""),IF($D177="",IF($M177&gt;0,$L177/$M177/1000,IF($O177&gt;0,$N177/$O177,"")),IF($O177&gt;0,$N177/$O177,""))))),IF($D177="",IF($M177&gt;0,"◎ JAN紐づけ(g扱い)","◎ JAN紐づけ(個扱い)"),"◎ JAN紐づけ"),"△ JAN紐づけ済・実績不足→仮計算"),IF($F177="",IF(ISNUMBER($H177),IF($D177="","⑤ 工程平均で仮計算(g扱い)","⑤ 工程平均で仮計算"),IF($E177="⑩盛付梱包工程入力","⑥ 盛り込み(⑳F列で計上)",IF(AND($E177="⑬計量工程入力",OR($D177="個",$D177="切",$D177="本",$D177="枚",$D177="尾")),"① 未紐づけ(カット個単位は仮単価なし)","① 未紐づけ"))),IF(NOT(ISNUMBER($H177)),"② 工程側に単価なし",IF($D177="","③ 単位未設定(個で計算)","④ OK"))))</f>
        <v/>
      </c>
      <c r="J177" s="399">
        <f>IFERROR(LOOKUP(2,1/((中間品リスト!$F$2:$F$1299=$B177)*(中間品リスト!$E$2:$E$1299&lt;&gt;"-")*(中間品リスト!$E$2:$E$1299&lt;&gt;"")),中間品リスト!$E$2:$E$1299),"")</f>
        <v/>
      </c>
      <c r="K177" s="400">
        <f>IF($J177="",0,COUNTIF(②釜工程入力!$S$5:$S$117,$J177)+COUNTIF(③スチコン工程入力!$S$5:$S$152,$J177)+COUNTIF(⑪ZEN工程入力!$S$6:$S$35,$J177)+COUNTIF(⑫ミキサー工程入力!$S$6:$S$65,$J177)+COUNTIF(⑬計量工程入力!$S$6:$S$65,$J177)+COUNTIF(⑭手動工程入力!$S$6:$S$47,$J177))</f>
        <v/>
      </c>
      <c r="L177" s="393">
        <f>IF($J177="",0,SUMIFS(②釜工程入力!$M$5:$M$117,②釜工程入力!$S$5:$S$117,$J177,②釜工程入力!$I$5:$I$117,"&gt;0")+SUMIFS(③スチコン工程入力!$M$5:$M$152,③スチコン工程入力!$S$5:$S$152,$J177,③スチコン工程入力!$I$5:$I$152,"&gt;0")+SUMIFS(⑪ZEN工程入力!$M$6:$M$35,⑪ZEN工程入力!$S$6:$S$35,$J177,⑪ZEN工程入力!$I$6:$I$35,"&gt;0")+SUMIFS(⑫ミキサー工程入力!$M$6:$M$65,⑫ミキサー工程入力!$S$6:$S$65,$J177,⑫ミキサー工程入力!$I$6:$I$65,"&gt;0")+SUMIFS(⑬計量工程入力!$M$6:$M$65,⑬計量工程入力!$S$6:$S$65,$J177,⑬計量工程入力!$I$6:$I$65,"&gt;0")+SUMIFS(⑭手動工程入力!$M$6:$M$47,⑭手動工程入力!$S$6:$S$47,$J177,⑭手動工程入力!$I$6:$I$47,"&gt;0"))</f>
        <v/>
      </c>
      <c r="M177" s="393">
        <f>IF($J177="",0,SUMIFS(②釜工程入力!$I$5:$I$117,②釜工程入力!$S$5:$S$117,$J177,②釜工程入力!$I$5:$I$117,"&gt;0",②釜工程入力!$M$5:$M$117,"&gt;0")+SUMIFS(③スチコン工程入力!$I$5:$I$152,③スチコン工程入力!$S$5:$S$152,$J177,③スチコン工程入力!$I$5:$I$152,"&gt;0",③スチコン工程入力!$M$5:$M$152,"&gt;0")+SUMIFS(⑪ZEN工程入力!$I$6:$I$35,⑪ZEN工程入力!$S$6:$S$35,$J177,⑪ZEN工程入力!$I$6:$I$35,"&gt;0",⑪ZEN工程入力!$M$6:$M$35,"&gt;0")+SUMIFS(⑫ミキサー工程入力!$I$6:$I$65,⑫ミキサー工程入力!$S$6:$S$65,$J177,⑫ミキサー工程入力!$I$6:$I$65,"&gt;0",⑫ミキサー工程入力!$M$6:$M$65,"&gt;0")+SUMIFS(⑬計量工程入力!$I$6:$I$65,⑬計量工程入力!$S$6:$S$65,$J177,⑬計量工程入力!$I$6:$I$65,"&gt;0",⑬計量工程入力!$M$6:$M$65,"&gt;0")+SUMIFS(⑭手動工程入力!$I$6:$I$47,⑭手動工程入力!$S$6:$S$47,$J177,⑭手動工程入力!$I$6:$I$47,"&gt;0",⑭手動工程入力!$M$6:$M$47,"&gt;0"))</f>
        <v/>
      </c>
      <c r="N177" s="393">
        <f>IF($J177="",0,SUMIFS(②釜工程入力!$M$5:$M$117,②釜工程入力!$S$5:$S$117,$J177,②釜工程入力!$J$5:$J$117,"&gt;0")-SUMIFS(②釜工程入力!$M$5:$M$117,②釜工程入力!$S$5:$S$117,$J177,②釜工程入力!$J$5:$J$117,"&gt;0",②釜工程入力!$I$5:$I$117,"&gt;0")+SUMIFS(③スチコン工程入力!$M$5:$M$152,③スチコン工程入力!$S$5:$S$152,$J177,③スチコン工程入力!$J$5:$J$152,"&gt;0")-SUMIFS(③スチコン工程入力!$M$5:$M$152,③スチコン工程入力!$S$5:$S$152,$J177,③スチコン工程入力!$J$5:$J$152,"&gt;0",③スチコン工程入力!$I$5:$I$152,"&gt;0")+SUMIFS(⑪ZEN工程入力!$M$6:$M$35,⑪ZEN工程入力!$S$6:$S$35,$J177,⑪ZEN工程入力!$J$6:$J$35,"&gt;0")-SUMIFS(⑪ZEN工程入力!$M$6:$M$35,⑪ZEN工程入力!$S$6:$S$35,$J177,⑪ZEN工程入力!$J$6:$J$35,"&gt;0",⑪ZEN工程入力!$I$6:$I$35,"&gt;0")+SUMIFS(⑫ミキサー工程入力!$M$6:$M$65,⑫ミキサー工程入力!$S$6:$S$65,$J177,⑫ミキサー工程入力!$J$6:$J$65,"&gt;0")-SUMIFS(⑫ミキサー工程入力!$M$6:$M$65,⑫ミキサー工程入力!$S$6:$S$65,$J177,⑫ミキサー工程入力!$J$6:$J$65,"&gt;0",⑫ミキサー工程入力!$I$6:$I$65,"&gt;0")+SUMIFS(⑬計量工程入力!$M$6:$M$65,⑬計量工程入力!$S$6:$S$65,$J177,⑬計量工程入力!$J$6:$J$65,"&gt;0")-SUMIFS(⑬計量工程入力!$M$6:$M$65,⑬計量工程入力!$S$6:$S$65,$J177,⑬計量工程入力!$J$6:$J$65,"&gt;0",⑬計量工程入力!$I$6:$I$65,"&gt;0")+SUMIFS(⑭手動工程入力!$M$6:$M$47,⑭手動工程入力!$S$6:$S$47,$J177,⑭手動工程入力!$J$6:$J$47,"&gt;0")-SUMIFS(⑭手動工程入力!$M$6:$M$47,⑭手動工程入力!$S$6:$S$47,$J177,⑭手動工程入力!$J$6:$J$47,"&gt;0",⑭手動工程入力!$I$6:$I$47,"&gt;0"))</f>
        <v/>
      </c>
      <c r="O177" s="393">
        <f>IF($J177="",0,SUMIFS(②釜工程入力!$J$5:$J$117,②釜工程入力!$S$5:$S$117,$J177,②釜工程入力!$J$5:$J$117,"&gt;0",②釜工程入力!$M$5:$M$117,"&gt;0")-SUMIFS(②釜工程入力!$J$5:$J$117,②釜工程入力!$S$5:$S$117,$J177,②釜工程入力!$J$5:$J$117,"&gt;0",②釜工程入力!$I$5:$I$117,"&gt;0",②釜工程入力!$M$5:$M$117,"&gt;0")+SUMIFS(③スチコン工程入力!$J$5:$J$152,③スチコン工程入力!$S$5:$S$152,$J177,③スチコン工程入力!$J$5:$J$152,"&gt;0",③スチコン工程入力!$M$5:$M$152,"&gt;0")-SUMIFS(③スチコン工程入力!$J$5:$J$152,③スチコン工程入力!$S$5:$S$152,$J177,③スチコン工程入力!$J$5:$J$152,"&gt;0",③スチコン工程入力!$I$5:$I$152,"&gt;0",③スチコン工程入力!$M$5:$M$152,"&gt;0")+SUMIFS(⑪ZEN工程入力!$J$6:$J$35,⑪ZEN工程入力!$S$6:$S$35,$J177,⑪ZEN工程入力!$J$6:$J$35,"&gt;0",⑪ZEN工程入力!$M$6:$M$35,"&gt;0")-SUMIFS(⑪ZEN工程入力!$J$6:$J$35,⑪ZEN工程入力!$S$6:$S$35,$J177,⑪ZEN工程入力!$J$6:$J$35,"&gt;0",⑪ZEN工程入力!$I$6:$I$35,"&gt;0",⑪ZEN工程入力!$M$6:$M$35,"&gt;0")+SUMIFS(⑫ミキサー工程入力!$J$6:$J$65,⑫ミキサー工程入力!$S$6:$S$65,$J177,⑫ミキサー工程入力!$J$6:$J$65,"&gt;0",⑫ミキサー工程入力!$M$6:$M$65,"&gt;0")-SUMIFS(⑫ミキサー工程入力!$J$6:$J$65,⑫ミキサー工程入力!$S$6:$S$65,$J177,⑫ミキサー工程入力!$J$6:$J$65,"&gt;0",⑫ミキサー工程入力!$I$6:$I$65,"&gt;0",⑫ミキサー工程入力!$M$6:$M$65,"&gt;0")+SUMIFS(⑬計量工程入力!$J$6:$J$65,⑬計量工程入力!$S$6:$S$65,$J177,⑬計量工程入力!$J$6:$J$65,"&gt;0",⑬計量工程入力!$M$6:$M$65,"&gt;0")-SUMIFS(⑬計量工程入力!$J$6:$J$65,⑬計量工程入力!$S$6:$S$65,$J177,⑬計量工程入力!$J$6:$J$65,"&gt;0",⑬計量工程入力!$I$6:$I$65,"&gt;0",⑬計量工程入力!$M$6:$M$65,"&gt;0")+SUMIFS(⑭手動工程入力!$J$6:$J$47,⑭手動工程入力!$S$6:$S$47,$J177,⑭手動工程入力!$J$6:$J$47,"&gt;0",⑭手動工程入力!$M$6:$M$47,"&gt;0")-SUMIFS(⑭手動工程入力!$J$6:$J$47,⑭手動工程入力!$S$6:$S$47,$J177,⑭手動工程入力!$J$6:$J$47,"&gt;0",⑭手動工程入力!$I$6:$I$47,"&gt;0",⑭手動工程入力!$M$6:$M$47,"&gt;0"))</f>
        <v/>
      </c>
      <c r="P177" s="392" t="inlineStr">
        <is>
          <t>中間品リスト</t>
        </is>
      </c>
    </row>
    <row r="178">
      <c r="A178" s="392" t="n">
        <v>174</v>
      </c>
      <c r="B178" s="392" t="n"/>
      <c r="C178" s="392" t="n"/>
      <c r="D178" s="409" t="n"/>
      <c r="E178" s="392" t="n"/>
      <c r="F178" s="394" t="n"/>
      <c r="G178" s="392" t="n"/>
      <c r="H178" s="604">
        <f>IFERROR(IF(AND($K178&gt;0,ISNUMBER(IF(OR($D178="g",$D178="ｇ"),IF($M178&gt;0,$L178/$M178/1000,""),IF($D178="kg",IF($M178&gt;0,$L178/$M178,""),IF($D178="",IF($M178&gt;0,$L178/$M178/1000,IF($O178&gt;0,$N178/$O178,"")),IF($O178&gt;0,$N178/$O178,"")))))),IF(OR($D178="g",$D178="ｇ"),IF($M178&gt;0,$L178/$M178/1000,""),IF($D178="kg",IF($M178&gt;0,$L178/$M178,""),IF($D178="",IF($M178&gt;0,$L178/$M178/1000,IF($O178&gt;0,$N178/$O178,"")),IF($O178&gt;0,$N178/$O178,"")))),IF($F178="",IF(OR($E178="",$E178="⑩盛付梱包工程入力"),"",IF(OR($D178="g",$D178="ｇ"),INDEX(⑰工程労務費一覧!$N$5:$N$11,MATCH($E178,⑰工程労務費一覧!$K$5:$K$11,0))/1000,IF($D178="kg",INDEX(⑰工程労務費一覧!$N$5:$N$11,MATCH($E178,⑰工程労務費一覧!$K$5:$K$11,0)),IF(OR($D178="個",$D178="切",$D178="本",$D178="枚",$D178="尾"),IF($E178="⑬計量工程入力","",INDEX(⑰工程労務費一覧!$P$5:$P$11,MATCH($E178,⑰工程労務費一覧!$K$5:$K$11,0))),IF(AND($D178="",OR($E178="②釜工程入力",$E178="③スチコン工程入力")),INDEX(⑰工程労務費一覧!$N$5:$N$11,MATCH($E178,⑰工程労務費一覧!$K$5:$K$11,0))/1000,""))))),IF(OR($D178="g",$D178="ｇ"),INDEX(⑰工程労務費一覧!$H$5:$H$753,MATCH($F178,⑰工程労務費一覧!$D$5:$D$753,0))/1000,IF($D178="kg",INDEX(⑰工程労務費一覧!$H$5:$H$753,MATCH($F178,⑰工程労務費一覧!$D$5:$D$753,0)),INDEX(⑰工程労務費一覧!$I$5:$I$753,MATCH($F178,⑰工程労務費一覧!$D$5:$D$753,0)))))),"")</f>
        <v/>
      </c>
      <c r="I178" s="392">
        <f>IF($K178&gt;0,IF(ISNUMBER(IF(OR($D178="g",$D178="ｇ"),IF($M178&gt;0,$L178/$M178/1000,""),IF($D178="kg",IF($M178&gt;0,$L178/$M178,""),IF($D178="",IF($M178&gt;0,$L178/$M178/1000,IF($O178&gt;0,$N178/$O178,"")),IF($O178&gt;0,$N178/$O178,""))))),IF($D178="",IF($M178&gt;0,"◎ JAN紐づけ(g扱い)","◎ JAN紐づけ(個扱い)"),"◎ JAN紐づけ"),"△ JAN紐づけ済・実績不足→仮計算"),IF($F178="",IF(ISNUMBER($H178),IF($D178="","⑤ 工程平均で仮計算(g扱い)","⑤ 工程平均で仮計算"),IF($E178="⑩盛付梱包工程入力","⑥ 盛り込み(⑳F列で計上)",IF(AND($E178="⑬計量工程入力",OR($D178="個",$D178="切",$D178="本",$D178="枚",$D178="尾")),"① 未紐づけ(カット個単位は仮単価なし)","① 未紐づけ"))),IF(NOT(ISNUMBER($H178)),"② 工程側に単価なし",IF($D178="","③ 単位未設定(個で計算)","④ OK"))))</f>
        <v/>
      </c>
      <c r="J178" s="399">
        <f>IFERROR(LOOKUP(2,1/((中間品リスト!$F$2:$F$1299=$B178)*(中間品リスト!$E$2:$E$1299&lt;&gt;"-")*(中間品リスト!$E$2:$E$1299&lt;&gt;"")),中間品リスト!$E$2:$E$1299),"")</f>
        <v/>
      </c>
      <c r="K178" s="400">
        <f>IF($J178="",0,COUNTIF(②釜工程入力!$S$5:$S$117,$J178)+COUNTIF(③スチコン工程入力!$S$5:$S$152,$J178)+COUNTIF(⑪ZEN工程入力!$S$6:$S$35,$J178)+COUNTIF(⑫ミキサー工程入力!$S$6:$S$65,$J178)+COUNTIF(⑬計量工程入力!$S$6:$S$65,$J178)+COUNTIF(⑭手動工程入力!$S$6:$S$47,$J178))</f>
        <v/>
      </c>
      <c r="L178" s="393">
        <f>IF($J178="",0,SUMIFS(②釜工程入力!$M$5:$M$117,②釜工程入力!$S$5:$S$117,$J178,②釜工程入力!$I$5:$I$117,"&gt;0")+SUMIFS(③スチコン工程入力!$M$5:$M$152,③スチコン工程入力!$S$5:$S$152,$J178,③スチコン工程入力!$I$5:$I$152,"&gt;0")+SUMIFS(⑪ZEN工程入力!$M$6:$M$35,⑪ZEN工程入力!$S$6:$S$35,$J178,⑪ZEN工程入力!$I$6:$I$35,"&gt;0")+SUMIFS(⑫ミキサー工程入力!$M$6:$M$65,⑫ミキサー工程入力!$S$6:$S$65,$J178,⑫ミキサー工程入力!$I$6:$I$65,"&gt;0")+SUMIFS(⑬計量工程入力!$M$6:$M$65,⑬計量工程入力!$S$6:$S$65,$J178,⑬計量工程入力!$I$6:$I$65,"&gt;0")+SUMIFS(⑭手動工程入力!$M$6:$M$47,⑭手動工程入力!$S$6:$S$47,$J178,⑭手動工程入力!$I$6:$I$47,"&gt;0"))</f>
        <v/>
      </c>
      <c r="M178" s="393">
        <f>IF($J178="",0,SUMIFS(②釜工程入力!$I$5:$I$117,②釜工程入力!$S$5:$S$117,$J178,②釜工程入力!$I$5:$I$117,"&gt;0",②釜工程入力!$M$5:$M$117,"&gt;0")+SUMIFS(③スチコン工程入力!$I$5:$I$152,③スチコン工程入力!$S$5:$S$152,$J178,③スチコン工程入力!$I$5:$I$152,"&gt;0",③スチコン工程入力!$M$5:$M$152,"&gt;0")+SUMIFS(⑪ZEN工程入力!$I$6:$I$35,⑪ZEN工程入力!$S$6:$S$35,$J178,⑪ZEN工程入力!$I$6:$I$35,"&gt;0",⑪ZEN工程入力!$M$6:$M$35,"&gt;0")+SUMIFS(⑫ミキサー工程入力!$I$6:$I$65,⑫ミキサー工程入力!$S$6:$S$65,$J178,⑫ミキサー工程入力!$I$6:$I$65,"&gt;0",⑫ミキサー工程入力!$M$6:$M$65,"&gt;0")+SUMIFS(⑬計量工程入力!$I$6:$I$65,⑬計量工程入力!$S$6:$S$65,$J178,⑬計量工程入力!$I$6:$I$65,"&gt;0",⑬計量工程入力!$M$6:$M$65,"&gt;0")+SUMIFS(⑭手動工程入力!$I$6:$I$47,⑭手動工程入力!$S$6:$S$47,$J178,⑭手動工程入力!$I$6:$I$47,"&gt;0",⑭手動工程入力!$M$6:$M$47,"&gt;0"))</f>
        <v/>
      </c>
      <c r="N178" s="393">
        <f>IF($J178="",0,SUMIFS(②釜工程入力!$M$5:$M$117,②釜工程入力!$S$5:$S$117,$J178,②釜工程入力!$J$5:$J$117,"&gt;0")-SUMIFS(②釜工程入力!$M$5:$M$117,②釜工程入力!$S$5:$S$117,$J178,②釜工程入力!$J$5:$J$117,"&gt;0",②釜工程入力!$I$5:$I$117,"&gt;0")+SUMIFS(③スチコン工程入力!$M$5:$M$152,③スチコン工程入力!$S$5:$S$152,$J178,③スチコン工程入力!$J$5:$J$152,"&gt;0")-SUMIFS(③スチコン工程入力!$M$5:$M$152,③スチコン工程入力!$S$5:$S$152,$J178,③スチコン工程入力!$J$5:$J$152,"&gt;0",③スチコン工程入力!$I$5:$I$152,"&gt;0")+SUMIFS(⑪ZEN工程入力!$M$6:$M$35,⑪ZEN工程入力!$S$6:$S$35,$J178,⑪ZEN工程入力!$J$6:$J$35,"&gt;0")-SUMIFS(⑪ZEN工程入力!$M$6:$M$35,⑪ZEN工程入力!$S$6:$S$35,$J178,⑪ZEN工程入力!$J$6:$J$35,"&gt;0",⑪ZEN工程入力!$I$6:$I$35,"&gt;0")+SUMIFS(⑫ミキサー工程入力!$M$6:$M$65,⑫ミキサー工程入力!$S$6:$S$65,$J178,⑫ミキサー工程入力!$J$6:$J$65,"&gt;0")-SUMIFS(⑫ミキサー工程入力!$M$6:$M$65,⑫ミキサー工程入力!$S$6:$S$65,$J178,⑫ミキサー工程入力!$J$6:$J$65,"&gt;0",⑫ミキサー工程入力!$I$6:$I$65,"&gt;0")+SUMIFS(⑬計量工程入力!$M$6:$M$65,⑬計量工程入力!$S$6:$S$65,$J178,⑬計量工程入力!$J$6:$J$65,"&gt;0")-SUMIFS(⑬計量工程入力!$M$6:$M$65,⑬計量工程入力!$S$6:$S$65,$J178,⑬計量工程入力!$J$6:$J$65,"&gt;0",⑬計量工程入力!$I$6:$I$65,"&gt;0")+SUMIFS(⑭手動工程入力!$M$6:$M$47,⑭手動工程入力!$S$6:$S$47,$J178,⑭手動工程入力!$J$6:$J$47,"&gt;0")-SUMIFS(⑭手動工程入力!$M$6:$M$47,⑭手動工程入力!$S$6:$S$47,$J178,⑭手動工程入力!$J$6:$J$47,"&gt;0",⑭手動工程入力!$I$6:$I$47,"&gt;0"))</f>
        <v/>
      </c>
      <c r="O178" s="393">
        <f>IF($J178="",0,SUMIFS(②釜工程入力!$J$5:$J$117,②釜工程入力!$S$5:$S$117,$J178,②釜工程入力!$J$5:$J$117,"&gt;0",②釜工程入力!$M$5:$M$117,"&gt;0")-SUMIFS(②釜工程入力!$J$5:$J$117,②釜工程入力!$S$5:$S$117,$J178,②釜工程入力!$J$5:$J$117,"&gt;0",②釜工程入力!$I$5:$I$117,"&gt;0",②釜工程入力!$M$5:$M$117,"&gt;0")+SUMIFS(③スチコン工程入力!$J$5:$J$152,③スチコン工程入力!$S$5:$S$152,$J178,③スチコン工程入力!$J$5:$J$152,"&gt;0",③スチコン工程入力!$M$5:$M$152,"&gt;0")-SUMIFS(③スチコン工程入力!$J$5:$J$152,③スチコン工程入力!$S$5:$S$152,$J178,③スチコン工程入力!$J$5:$J$152,"&gt;0",③スチコン工程入力!$I$5:$I$152,"&gt;0",③スチコン工程入力!$M$5:$M$152,"&gt;0")+SUMIFS(⑪ZEN工程入力!$J$6:$J$35,⑪ZEN工程入力!$S$6:$S$35,$J178,⑪ZEN工程入力!$J$6:$J$35,"&gt;0",⑪ZEN工程入力!$M$6:$M$35,"&gt;0")-SUMIFS(⑪ZEN工程入力!$J$6:$J$35,⑪ZEN工程入力!$S$6:$S$35,$J178,⑪ZEN工程入力!$J$6:$J$35,"&gt;0",⑪ZEN工程入力!$I$6:$I$35,"&gt;0",⑪ZEN工程入力!$M$6:$M$35,"&gt;0")+SUMIFS(⑫ミキサー工程入力!$J$6:$J$65,⑫ミキサー工程入力!$S$6:$S$65,$J178,⑫ミキサー工程入力!$J$6:$J$65,"&gt;0",⑫ミキサー工程入力!$M$6:$M$65,"&gt;0")-SUMIFS(⑫ミキサー工程入力!$J$6:$J$65,⑫ミキサー工程入力!$S$6:$S$65,$J178,⑫ミキサー工程入力!$J$6:$J$65,"&gt;0",⑫ミキサー工程入力!$I$6:$I$65,"&gt;0",⑫ミキサー工程入力!$M$6:$M$65,"&gt;0")+SUMIFS(⑬計量工程入力!$J$6:$J$65,⑬計量工程入力!$S$6:$S$65,$J178,⑬計量工程入力!$J$6:$J$65,"&gt;0",⑬計量工程入力!$M$6:$M$65,"&gt;0")-SUMIFS(⑬計量工程入力!$J$6:$J$65,⑬計量工程入力!$S$6:$S$65,$J178,⑬計量工程入力!$J$6:$J$65,"&gt;0",⑬計量工程入力!$I$6:$I$65,"&gt;0",⑬計量工程入力!$M$6:$M$65,"&gt;0")+SUMIFS(⑭手動工程入力!$J$6:$J$47,⑭手動工程入力!$S$6:$S$47,$J178,⑭手動工程入力!$J$6:$J$47,"&gt;0",⑭手動工程入力!$M$6:$M$47,"&gt;0")-SUMIFS(⑭手動工程入力!$J$6:$J$47,⑭手動工程入力!$S$6:$S$47,$J178,⑭手動工程入力!$J$6:$J$47,"&gt;0",⑭手動工程入力!$I$6:$I$47,"&gt;0",⑭手動工程入力!$M$6:$M$47,"&gt;0"))</f>
        <v/>
      </c>
      <c r="P178" s="392" t="inlineStr">
        <is>
          <t>中間品リスト</t>
        </is>
      </c>
    </row>
    <row r="179">
      <c r="A179" s="392" t="n">
        <v>175</v>
      </c>
      <c r="B179" s="392" t="n"/>
      <c r="C179" s="392" t="n"/>
      <c r="D179" s="392" t="n"/>
      <c r="E179" s="392" t="n"/>
      <c r="F179" s="394" t="n"/>
      <c r="G179" s="392" t="n"/>
      <c r="H179" s="604">
        <f>IFERROR(IF(AND($K179&gt;0,ISNUMBER(IF(OR($D179="g",$D179="ｇ"),IF($M179&gt;0,$L179/$M179/1000,""),IF($D179="kg",IF($M179&gt;0,$L179/$M179,""),IF($D179="",IF($M179&gt;0,$L179/$M179/1000,IF($O179&gt;0,$N179/$O179,"")),IF($O179&gt;0,$N179/$O179,"")))))),IF(OR($D179="g",$D179="ｇ"),IF($M179&gt;0,$L179/$M179/1000,""),IF($D179="kg",IF($M179&gt;0,$L179/$M179,""),IF($D179="",IF($M179&gt;0,$L179/$M179/1000,IF($O179&gt;0,$N179/$O179,"")),IF($O179&gt;0,$N179/$O179,"")))),IF($F179="",IF(OR($E179="",$E179="⑩盛付梱包工程入力"),"",IF(OR($D179="g",$D179="ｇ"),INDEX(⑰工程労務費一覧!$N$5:$N$11,MATCH($E179,⑰工程労務費一覧!$K$5:$K$11,0))/1000,IF($D179="kg",INDEX(⑰工程労務費一覧!$N$5:$N$11,MATCH($E179,⑰工程労務費一覧!$K$5:$K$11,0)),IF(OR($D179="個",$D179="切",$D179="本",$D179="枚",$D179="尾"),IF($E179="⑬計量工程入力","",INDEX(⑰工程労務費一覧!$P$5:$P$11,MATCH($E179,⑰工程労務費一覧!$K$5:$K$11,0))),IF(AND($D179="",OR($E179="②釜工程入力",$E179="③スチコン工程入力")),INDEX(⑰工程労務費一覧!$N$5:$N$11,MATCH($E179,⑰工程労務費一覧!$K$5:$K$11,0))/1000,""))))),IF(OR($D179="g",$D179="ｇ"),INDEX(⑰工程労務費一覧!$H$5:$H$753,MATCH($F179,⑰工程労務費一覧!$D$5:$D$753,0))/1000,IF($D179="kg",INDEX(⑰工程労務費一覧!$H$5:$H$753,MATCH($F179,⑰工程労務費一覧!$D$5:$D$753,0)),INDEX(⑰工程労務費一覧!$I$5:$I$753,MATCH($F179,⑰工程労務費一覧!$D$5:$D$753,0)))))),"")</f>
        <v/>
      </c>
      <c r="I179" s="392">
        <f>IF($K179&gt;0,IF(ISNUMBER(IF(OR($D179="g",$D179="ｇ"),IF($M179&gt;0,$L179/$M179/1000,""),IF($D179="kg",IF($M179&gt;0,$L179/$M179,""),IF($D179="",IF($M179&gt;0,$L179/$M179/1000,IF($O179&gt;0,$N179/$O179,"")),IF($O179&gt;0,$N179/$O179,""))))),IF($D179="",IF($M179&gt;0,"◎ JAN紐づけ(g扱い)","◎ JAN紐づけ(個扱い)"),"◎ JAN紐づけ"),"△ JAN紐づけ済・実績不足→仮計算"),IF($F179="",IF(ISNUMBER($H179),IF($D179="","⑤ 工程平均で仮計算(g扱い)","⑤ 工程平均で仮計算"),IF($E179="⑩盛付梱包工程入力","⑥ 盛り込み(⑳F列で計上)",IF(AND($E179="⑬計量工程入力",OR($D179="個",$D179="切",$D179="本",$D179="枚",$D179="尾")),"① 未紐づけ(カット個単位は仮単価なし)","① 未紐づけ"))),IF(NOT(ISNUMBER($H179)),"② 工程側に単価なし",IF($D179="","③ 単位未設定(個で計算)","④ OK"))))</f>
        <v/>
      </c>
      <c r="J179" s="399">
        <f>IFERROR(LOOKUP(2,1/((中間品リスト!$F$2:$F$1299=$B179)*(中間品リスト!$E$2:$E$1299&lt;&gt;"-")*(中間品リスト!$E$2:$E$1299&lt;&gt;"")),中間品リスト!$E$2:$E$1299),"")</f>
        <v/>
      </c>
      <c r="K179" s="400">
        <f>IF($J179="",0,COUNTIF(②釜工程入力!$S$5:$S$117,$J179)+COUNTIF(③スチコン工程入力!$S$5:$S$152,$J179)+COUNTIF(⑪ZEN工程入力!$S$6:$S$35,$J179)+COUNTIF(⑫ミキサー工程入力!$S$6:$S$65,$J179)+COUNTIF(⑬計量工程入力!$S$6:$S$65,$J179)+COUNTIF(⑭手動工程入力!$S$6:$S$47,$J179))</f>
        <v/>
      </c>
      <c r="L179" s="393">
        <f>IF($J179="",0,SUMIFS(②釜工程入力!$M$5:$M$117,②釜工程入力!$S$5:$S$117,$J179,②釜工程入力!$I$5:$I$117,"&gt;0")+SUMIFS(③スチコン工程入力!$M$5:$M$152,③スチコン工程入力!$S$5:$S$152,$J179,③スチコン工程入力!$I$5:$I$152,"&gt;0")+SUMIFS(⑪ZEN工程入力!$M$6:$M$35,⑪ZEN工程入力!$S$6:$S$35,$J179,⑪ZEN工程入力!$I$6:$I$35,"&gt;0")+SUMIFS(⑫ミキサー工程入力!$M$6:$M$65,⑫ミキサー工程入力!$S$6:$S$65,$J179,⑫ミキサー工程入力!$I$6:$I$65,"&gt;0")+SUMIFS(⑬計量工程入力!$M$6:$M$65,⑬計量工程入力!$S$6:$S$65,$J179,⑬計量工程入力!$I$6:$I$65,"&gt;0")+SUMIFS(⑭手動工程入力!$M$6:$M$47,⑭手動工程入力!$S$6:$S$47,$J179,⑭手動工程入力!$I$6:$I$47,"&gt;0"))</f>
        <v/>
      </c>
      <c r="M179" s="393">
        <f>IF($J179="",0,SUMIFS(②釜工程入力!$I$5:$I$117,②釜工程入力!$S$5:$S$117,$J179,②釜工程入力!$I$5:$I$117,"&gt;0",②釜工程入力!$M$5:$M$117,"&gt;0")+SUMIFS(③スチコン工程入力!$I$5:$I$152,③スチコン工程入力!$S$5:$S$152,$J179,③スチコン工程入力!$I$5:$I$152,"&gt;0",③スチコン工程入力!$M$5:$M$152,"&gt;0")+SUMIFS(⑪ZEN工程入力!$I$6:$I$35,⑪ZEN工程入力!$S$6:$S$35,$J179,⑪ZEN工程入力!$I$6:$I$35,"&gt;0",⑪ZEN工程入力!$M$6:$M$35,"&gt;0")+SUMIFS(⑫ミキサー工程入力!$I$6:$I$65,⑫ミキサー工程入力!$S$6:$S$65,$J179,⑫ミキサー工程入力!$I$6:$I$65,"&gt;0",⑫ミキサー工程入力!$M$6:$M$65,"&gt;0")+SUMIFS(⑬計量工程入力!$I$6:$I$65,⑬計量工程入力!$S$6:$S$65,$J179,⑬計量工程入力!$I$6:$I$65,"&gt;0",⑬計量工程入力!$M$6:$M$65,"&gt;0")+SUMIFS(⑭手動工程入力!$I$6:$I$47,⑭手動工程入力!$S$6:$S$47,$J179,⑭手動工程入力!$I$6:$I$47,"&gt;0",⑭手動工程入力!$M$6:$M$47,"&gt;0"))</f>
        <v/>
      </c>
      <c r="N179" s="393">
        <f>IF($J179="",0,SUMIFS(②釜工程入力!$M$5:$M$117,②釜工程入力!$S$5:$S$117,$J179,②釜工程入力!$J$5:$J$117,"&gt;0")-SUMIFS(②釜工程入力!$M$5:$M$117,②釜工程入力!$S$5:$S$117,$J179,②釜工程入力!$J$5:$J$117,"&gt;0",②釜工程入力!$I$5:$I$117,"&gt;0")+SUMIFS(③スチコン工程入力!$M$5:$M$152,③スチコン工程入力!$S$5:$S$152,$J179,③スチコン工程入力!$J$5:$J$152,"&gt;0")-SUMIFS(③スチコン工程入力!$M$5:$M$152,③スチコン工程入力!$S$5:$S$152,$J179,③スチコン工程入力!$J$5:$J$152,"&gt;0",③スチコン工程入力!$I$5:$I$152,"&gt;0")+SUMIFS(⑪ZEN工程入力!$M$6:$M$35,⑪ZEN工程入力!$S$6:$S$35,$J179,⑪ZEN工程入力!$J$6:$J$35,"&gt;0")-SUMIFS(⑪ZEN工程入力!$M$6:$M$35,⑪ZEN工程入力!$S$6:$S$35,$J179,⑪ZEN工程入力!$J$6:$J$35,"&gt;0",⑪ZEN工程入力!$I$6:$I$35,"&gt;0")+SUMIFS(⑫ミキサー工程入力!$M$6:$M$65,⑫ミキサー工程入力!$S$6:$S$65,$J179,⑫ミキサー工程入力!$J$6:$J$65,"&gt;0")-SUMIFS(⑫ミキサー工程入力!$M$6:$M$65,⑫ミキサー工程入力!$S$6:$S$65,$J179,⑫ミキサー工程入力!$J$6:$J$65,"&gt;0",⑫ミキサー工程入力!$I$6:$I$65,"&gt;0")+SUMIFS(⑬計量工程入力!$M$6:$M$65,⑬計量工程入力!$S$6:$S$65,$J179,⑬計量工程入力!$J$6:$J$65,"&gt;0")-SUMIFS(⑬計量工程入力!$M$6:$M$65,⑬計量工程入力!$S$6:$S$65,$J179,⑬計量工程入力!$J$6:$J$65,"&gt;0",⑬計量工程入力!$I$6:$I$65,"&gt;0")+SUMIFS(⑭手動工程入力!$M$6:$M$47,⑭手動工程入力!$S$6:$S$47,$J179,⑭手動工程入力!$J$6:$J$47,"&gt;0")-SUMIFS(⑭手動工程入力!$M$6:$M$47,⑭手動工程入力!$S$6:$S$47,$J179,⑭手動工程入力!$J$6:$J$47,"&gt;0",⑭手動工程入力!$I$6:$I$47,"&gt;0"))</f>
        <v/>
      </c>
      <c r="O179" s="393">
        <f>IF($J179="",0,SUMIFS(②釜工程入力!$J$5:$J$117,②釜工程入力!$S$5:$S$117,$J179,②釜工程入力!$J$5:$J$117,"&gt;0",②釜工程入力!$M$5:$M$117,"&gt;0")-SUMIFS(②釜工程入力!$J$5:$J$117,②釜工程入力!$S$5:$S$117,$J179,②釜工程入力!$J$5:$J$117,"&gt;0",②釜工程入力!$I$5:$I$117,"&gt;0",②釜工程入力!$M$5:$M$117,"&gt;0")+SUMIFS(③スチコン工程入力!$J$5:$J$152,③スチコン工程入力!$S$5:$S$152,$J179,③スチコン工程入力!$J$5:$J$152,"&gt;0",③スチコン工程入力!$M$5:$M$152,"&gt;0")-SUMIFS(③スチコン工程入力!$J$5:$J$152,③スチコン工程入力!$S$5:$S$152,$J179,③スチコン工程入力!$J$5:$J$152,"&gt;0",③スチコン工程入力!$I$5:$I$152,"&gt;0",③スチコン工程入力!$M$5:$M$152,"&gt;0")+SUMIFS(⑪ZEN工程入力!$J$6:$J$35,⑪ZEN工程入力!$S$6:$S$35,$J179,⑪ZEN工程入力!$J$6:$J$35,"&gt;0",⑪ZEN工程入力!$M$6:$M$35,"&gt;0")-SUMIFS(⑪ZEN工程入力!$J$6:$J$35,⑪ZEN工程入力!$S$6:$S$35,$J179,⑪ZEN工程入力!$J$6:$J$35,"&gt;0",⑪ZEN工程入力!$I$6:$I$35,"&gt;0",⑪ZEN工程入力!$M$6:$M$35,"&gt;0")+SUMIFS(⑫ミキサー工程入力!$J$6:$J$65,⑫ミキサー工程入力!$S$6:$S$65,$J179,⑫ミキサー工程入力!$J$6:$J$65,"&gt;0",⑫ミキサー工程入力!$M$6:$M$65,"&gt;0")-SUMIFS(⑫ミキサー工程入力!$J$6:$J$65,⑫ミキサー工程入力!$S$6:$S$65,$J179,⑫ミキサー工程入力!$J$6:$J$65,"&gt;0",⑫ミキサー工程入力!$I$6:$I$65,"&gt;0",⑫ミキサー工程入力!$M$6:$M$65,"&gt;0")+SUMIFS(⑬計量工程入力!$J$6:$J$65,⑬計量工程入力!$S$6:$S$65,$J179,⑬計量工程入力!$J$6:$J$65,"&gt;0",⑬計量工程入力!$M$6:$M$65,"&gt;0")-SUMIFS(⑬計量工程入力!$J$6:$J$65,⑬計量工程入力!$S$6:$S$65,$J179,⑬計量工程入力!$J$6:$J$65,"&gt;0",⑬計量工程入力!$I$6:$I$65,"&gt;0",⑬計量工程入力!$M$6:$M$65,"&gt;0")+SUMIFS(⑭手動工程入力!$J$6:$J$47,⑭手動工程入力!$S$6:$S$47,$J179,⑭手動工程入力!$J$6:$J$47,"&gt;0",⑭手動工程入力!$M$6:$M$47,"&gt;0")-SUMIFS(⑭手動工程入力!$J$6:$J$47,⑭手動工程入力!$S$6:$S$47,$J179,⑭手動工程入力!$J$6:$J$47,"&gt;0",⑭手動工程入力!$I$6:$I$47,"&gt;0",⑭手動工程入力!$M$6:$M$47,"&gt;0"))</f>
        <v/>
      </c>
      <c r="P179" s="392" t="n"/>
    </row>
    <row r="180">
      <c r="A180" s="392" t="n">
        <v>176</v>
      </c>
      <c r="B180" s="392" t="n"/>
      <c r="C180" s="392" t="n"/>
      <c r="D180" s="392" t="n"/>
      <c r="E180" s="392" t="n"/>
      <c r="F180" s="394" t="n"/>
      <c r="G180" s="392" t="n"/>
      <c r="H180" s="604">
        <f>IFERROR(IF(AND($K180&gt;0,ISNUMBER(IF(OR($D180="g",$D180="ｇ"),IF($M180&gt;0,$L180/$M180/1000,""),IF($D180="kg",IF($M180&gt;0,$L180/$M180,""),IF($D180="",IF($M180&gt;0,$L180/$M180/1000,IF($O180&gt;0,$N180/$O180,"")),IF($O180&gt;0,$N180/$O180,"")))))),IF(OR($D180="g",$D180="ｇ"),IF($M180&gt;0,$L180/$M180/1000,""),IF($D180="kg",IF($M180&gt;0,$L180/$M180,""),IF($D180="",IF($M180&gt;0,$L180/$M180/1000,IF($O180&gt;0,$N180/$O180,"")),IF($O180&gt;0,$N180/$O180,"")))),IF($F180="",IF(OR($E180="",$E180="⑩盛付梱包工程入力"),"",IF(OR($D180="g",$D180="ｇ"),INDEX(⑰工程労務費一覧!$N$5:$N$11,MATCH($E180,⑰工程労務費一覧!$K$5:$K$11,0))/1000,IF($D180="kg",INDEX(⑰工程労務費一覧!$N$5:$N$11,MATCH($E180,⑰工程労務費一覧!$K$5:$K$11,0)),IF(OR($D180="個",$D180="切",$D180="本",$D180="枚",$D180="尾"),IF($E180="⑬計量工程入力","",INDEX(⑰工程労務費一覧!$P$5:$P$11,MATCH($E180,⑰工程労務費一覧!$K$5:$K$11,0))),IF(AND($D180="",OR($E180="②釜工程入力",$E180="③スチコン工程入力")),INDEX(⑰工程労務費一覧!$N$5:$N$11,MATCH($E180,⑰工程労務費一覧!$K$5:$K$11,0))/1000,""))))),IF(OR($D180="g",$D180="ｇ"),INDEX(⑰工程労務費一覧!$H$5:$H$753,MATCH($F180,⑰工程労務費一覧!$D$5:$D$753,0))/1000,IF($D180="kg",INDEX(⑰工程労務費一覧!$H$5:$H$753,MATCH($F180,⑰工程労務費一覧!$D$5:$D$753,0)),INDEX(⑰工程労務費一覧!$I$5:$I$753,MATCH($F180,⑰工程労務費一覧!$D$5:$D$753,0)))))),"")</f>
        <v/>
      </c>
      <c r="I180" s="392">
        <f>IF($K180&gt;0,IF(ISNUMBER(IF(OR($D180="g",$D180="ｇ"),IF($M180&gt;0,$L180/$M180/1000,""),IF($D180="kg",IF($M180&gt;0,$L180/$M180,""),IF($D180="",IF($M180&gt;0,$L180/$M180/1000,IF($O180&gt;0,$N180/$O180,"")),IF($O180&gt;0,$N180/$O180,""))))),IF($D180="",IF($M180&gt;0,"◎ JAN紐づけ(g扱い)","◎ JAN紐づけ(個扱い)"),"◎ JAN紐づけ"),"△ JAN紐づけ済・実績不足→仮計算"),IF($F180="",IF(ISNUMBER($H180),IF($D180="","⑤ 工程平均で仮計算(g扱い)","⑤ 工程平均で仮計算"),IF($E180="⑩盛付梱包工程入力","⑥ 盛り込み(⑳F列で計上)",IF(AND($E180="⑬計量工程入力",OR($D180="個",$D180="切",$D180="本",$D180="枚",$D180="尾")),"① 未紐づけ(カット個単位は仮単価なし)","① 未紐づけ"))),IF(NOT(ISNUMBER($H180)),"② 工程側に単価なし",IF($D180="","③ 単位未設定(個で計算)","④ OK"))))</f>
        <v/>
      </c>
      <c r="J180" s="399">
        <f>IFERROR(LOOKUP(2,1/((中間品リスト!$F$2:$F$1299=$B180)*(中間品リスト!$E$2:$E$1299&lt;&gt;"-")*(中間品リスト!$E$2:$E$1299&lt;&gt;"")),中間品リスト!$E$2:$E$1299),"")</f>
        <v/>
      </c>
      <c r="K180" s="400">
        <f>IF($J180="",0,COUNTIF(②釜工程入力!$S$5:$S$117,$J180)+COUNTIF(③スチコン工程入力!$S$5:$S$152,$J180)+COUNTIF(⑪ZEN工程入力!$S$6:$S$35,$J180)+COUNTIF(⑫ミキサー工程入力!$S$6:$S$65,$J180)+COUNTIF(⑬計量工程入力!$S$6:$S$65,$J180)+COUNTIF(⑭手動工程入力!$S$6:$S$47,$J180))</f>
        <v/>
      </c>
      <c r="L180" s="393">
        <f>IF($J180="",0,SUMIFS(②釜工程入力!$M$5:$M$117,②釜工程入力!$S$5:$S$117,$J180,②釜工程入力!$I$5:$I$117,"&gt;0")+SUMIFS(③スチコン工程入力!$M$5:$M$152,③スチコン工程入力!$S$5:$S$152,$J180,③スチコン工程入力!$I$5:$I$152,"&gt;0")+SUMIFS(⑪ZEN工程入力!$M$6:$M$35,⑪ZEN工程入力!$S$6:$S$35,$J180,⑪ZEN工程入力!$I$6:$I$35,"&gt;0")+SUMIFS(⑫ミキサー工程入力!$M$6:$M$65,⑫ミキサー工程入力!$S$6:$S$65,$J180,⑫ミキサー工程入力!$I$6:$I$65,"&gt;0")+SUMIFS(⑬計量工程入力!$M$6:$M$65,⑬計量工程入力!$S$6:$S$65,$J180,⑬計量工程入力!$I$6:$I$65,"&gt;0")+SUMIFS(⑭手動工程入力!$M$6:$M$47,⑭手動工程入力!$S$6:$S$47,$J180,⑭手動工程入力!$I$6:$I$47,"&gt;0"))</f>
        <v/>
      </c>
      <c r="M180" s="393">
        <f>IF($J180="",0,SUMIFS(②釜工程入力!$I$5:$I$117,②釜工程入力!$S$5:$S$117,$J180,②釜工程入力!$I$5:$I$117,"&gt;0",②釜工程入力!$M$5:$M$117,"&gt;0")+SUMIFS(③スチコン工程入力!$I$5:$I$152,③スチコン工程入力!$S$5:$S$152,$J180,③スチコン工程入力!$I$5:$I$152,"&gt;0",③スチコン工程入力!$M$5:$M$152,"&gt;0")+SUMIFS(⑪ZEN工程入力!$I$6:$I$35,⑪ZEN工程入力!$S$6:$S$35,$J180,⑪ZEN工程入力!$I$6:$I$35,"&gt;0",⑪ZEN工程入力!$M$6:$M$35,"&gt;0")+SUMIFS(⑫ミキサー工程入力!$I$6:$I$65,⑫ミキサー工程入力!$S$6:$S$65,$J180,⑫ミキサー工程入力!$I$6:$I$65,"&gt;0",⑫ミキサー工程入力!$M$6:$M$65,"&gt;0")+SUMIFS(⑬計量工程入力!$I$6:$I$65,⑬計量工程入力!$S$6:$S$65,$J180,⑬計量工程入力!$I$6:$I$65,"&gt;0",⑬計量工程入力!$M$6:$M$65,"&gt;0")+SUMIFS(⑭手動工程入力!$I$6:$I$47,⑭手動工程入力!$S$6:$S$47,$J180,⑭手動工程入力!$I$6:$I$47,"&gt;0",⑭手動工程入力!$M$6:$M$47,"&gt;0"))</f>
        <v/>
      </c>
      <c r="N180" s="393">
        <f>IF($J180="",0,SUMIFS(②釜工程入力!$M$5:$M$117,②釜工程入力!$S$5:$S$117,$J180,②釜工程入力!$J$5:$J$117,"&gt;0")-SUMIFS(②釜工程入力!$M$5:$M$117,②釜工程入力!$S$5:$S$117,$J180,②釜工程入力!$J$5:$J$117,"&gt;0",②釜工程入力!$I$5:$I$117,"&gt;0")+SUMIFS(③スチコン工程入力!$M$5:$M$152,③スチコン工程入力!$S$5:$S$152,$J180,③スチコン工程入力!$J$5:$J$152,"&gt;0")-SUMIFS(③スチコン工程入力!$M$5:$M$152,③スチコン工程入力!$S$5:$S$152,$J180,③スチコン工程入力!$J$5:$J$152,"&gt;0",③スチコン工程入力!$I$5:$I$152,"&gt;0")+SUMIFS(⑪ZEN工程入力!$M$6:$M$35,⑪ZEN工程入力!$S$6:$S$35,$J180,⑪ZEN工程入力!$J$6:$J$35,"&gt;0")-SUMIFS(⑪ZEN工程入力!$M$6:$M$35,⑪ZEN工程入力!$S$6:$S$35,$J180,⑪ZEN工程入力!$J$6:$J$35,"&gt;0",⑪ZEN工程入力!$I$6:$I$35,"&gt;0")+SUMIFS(⑫ミキサー工程入力!$M$6:$M$65,⑫ミキサー工程入力!$S$6:$S$65,$J180,⑫ミキサー工程入力!$J$6:$J$65,"&gt;0")-SUMIFS(⑫ミキサー工程入力!$M$6:$M$65,⑫ミキサー工程入力!$S$6:$S$65,$J180,⑫ミキサー工程入力!$J$6:$J$65,"&gt;0",⑫ミキサー工程入力!$I$6:$I$65,"&gt;0")+SUMIFS(⑬計量工程入力!$M$6:$M$65,⑬計量工程入力!$S$6:$S$65,$J180,⑬計量工程入力!$J$6:$J$65,"&gt;0")-SUMIFS(⑬計量工程入力!$M$6:$M$65,⑬計量工程入力!$S$6:$S$65,$J180,⑬計量工程入力!$J$6:$J$65,"&gt;0",⑬計量工程入力!$I$6:$I$65,"&gt;0")+SUMIFS(⑭手動工程入力!$M$6:$M$47,⑭手動工程入力!$S$6:$S$47,$J180,⑭手動工程入力!$J$6:$J$47,"&gt;0")-SUMIFS(⑭手動工程入力!$M$6:$M$47,⑭手動工程入力!$S$6:$S$47,$J180,⑭手動工程入力!$J$6:$J$47,"&gt;0",⑭手動工程入力!$I$6:$I$47,"&gt;0"))</f>
        <v/>
      </c>
      <c r="O180" s="393">
        <f>IF($J180="",0,SUMIFS(②釜工程入力!$J$5:$J$117,②釜工程入力!$S$5:$S$117,$J180,②釜工程入力!$J$5:$J$117,"&gt;0",②釜工程入力!$M$5:$M$117,"&gt;0")-SUMIFS(②釜工程入力!$J$5:$J$117,②釜工程入力!$S$5:$S$117,$J180,②釜工程入力!$J$5:$J$117,"&gt;0",②釜工程入力!$I$5:$I$117,"&gt;0",②釜工程入力!$M$5:$M$117,"&gt;0")+SUMIFS(③スチコン工程入力!$J$5:$J$152,③スチコン工程入力!$S$5:$S$152,$J180,③スチコン工程入力!$J$5:$J$152,"&gt;0",③スチコン工程入力!$M$5:$M$152,"&gt;0")-SUMIFS(③スチコン工程入力!$J$5:$J$152,③スチコン工程入力!$S$5:$S$152,$J180,③スチコン工程入力!$J$5:$J$152,"&gt;0",③スチコン工程入力!$I$5:$I$152,"&gt;0",③スチコン工程入力!$M$5:$M$152,"&gt;0")+SUMIFS(⑪ZEN工程入力!$J$6:$J$35,⑪ZEN工程入力!$S$6:$S$35,$J180,⑪ZEN工程入力!$J$6:$J$35,"&gt;0",⑪ZEN工程入力!$M$6:$M$35,"&gt;0")-SUMIFS(⑪ZEN工程入力!$J$6:$J$35,⑪ZEN工程入力!$S$6:$S$35,$J180,⑪ZEN工程入力!$J$6:$J$35,"&gt;0",⑪ZEN工程入力!$I$6:$I$35,"&gt;0",⑪ZEN工程入力!$M$6:$M$35,"&gt;0")+SUMIFS(⑫ミキサー工程入力!$J$6:$J$65,⑫ミキサー工程入力!$S$6:$S$65,$J180,⑫ミキサー工程入力!$J$6:$J$65,"&gt;0",⑫ミキサー工程入力!$M$6:$M$65,"&gt;0")-SUMIFS(⑫ミキサー工程入力!$J$6:$J$65,⑫ミキサー工程入力!$S$6:$S$65,$J180,⑫ミキサー工程入力!$J$6:$J$65,"&gt;0",⑫ミキサー工程入力!$I$6:$I$65,"&gt;0",⑫ミキサー工程入力!$M$6:$M$65,"&gt;0")+SUMIFS(⑬計量工程入力!$J$6:$J$65,⑬計量工程入力!$S$6:$S$65,$J180,⑬計量工程入力!$J$6:$J$65,"&gt;0",⑬計量工程入力!$M$6:$M$65,"&gt;0")-SUMIFS(⑬計量工程入力!$J$6:$J$65,⑬計量工程入力!$S$6:$S$65,$J180,⑬計量工程入力!$J$6:$J$65,"&gt;0",⑬計量工程入力!$I$6:$I$65,"&gt;0",⑬計量工程入力!$M$6:$M$65,"&gt;0")+SUMIFS(⑭手動工程入力!$J$6:$J$47,⑭手動工程入力!$S$6:$S$47,$J180,⑭手動工程入力!$J$6:$J$47,"&gt;0",⑭手動工程入力!$M$6:$M$47,"&gt;0")-SUMIFS(⑭手動工程入力!$J$6:$J$47,⑭手動工程入力!$S$6:$S$47,$J180,⑭手動工程入力!$J$6:$J$47,"&gt;0",⑭手動工程入力!$I$6:$I$47,"&gt;0",⑭手動工程入力!$M$6:$M$47,"&gt;0"))</f>
        <v/>
      </c>
      <c r="P180" s="392" t="n"/>
    </row>
    <row r="181">
      <c r="A181" s="392" t="n">
        <v>177</v>
      </c>
      <c r="B181" s="392" t="n"/>
      <c r="C181" s="392" t="n"/>
      <c r="D181" s="392" t="n"/>
      <c r="E181" s="392" t="n"/>
      <c r="F181" s="394" t="n"/>
      <c r="G181" s="392" t="n"/>
      <c r="H181" s="604">
        <f>IFERROR(IF(AND($K181&gt;0,ISNUMBER(IF(OR($D181="g",$D181="ｇ"),IF($M181&gt;0,$L181/$M181/1000,""),IF($D181="kg",IF($M181&gt;0,$L181/$M181,""),IF($D181="",IF($M181&gt;0,$L181/$M181/1000,IF($O181&gt;0,$N181/$O181,"")),IF($O181&gt;0,$N181/$O181,"")))))),IF(OR($D181="g",$D181="ｇ"),IF($M181&gt;0,$L181/$M181/1000,""),IF($D181="kg",IF($M181&gt;0,$L181/$M181,""),IF($D181="",IF($M181&gt;0,$L181/$M181/1000,IF($O181&gt;0,$N181/$O181,"")),IF($O181&gt;0,$N181/$O181,"")))),IF($F181="",IF(OR($E181="",$E181="⑩盛付梱包工程入力"),"",IF(OR($D181="g",$D181="ｇ"),INDEX(⑰工程労務費一覧!$N$5:$N$11,MATCH($E181,⑰工程労務費一覧!$K$5:$K$11,0))/1000,IF($D181="kg",INDEX(⑰工程労務費一覧!$N$5:$N$11,MATCH($E181,⑰工程労務費一覧!$K$5:$K$11,0)),IF(OR($D181="個",$D181="切",$D181="本",$D181="枚",$D181="尾"),IF($E181="⑬計量工程入力","",INDEX(⑰工程労務費一覧!$P$5:$P$11,MATCH($E181,⑰工程労務費一覧!$K$5:$K$11,0))),IF(AND($D181="",OR($E181="②釜工程入力",$E181="③スチコン工程入力")),INDEX(⑰工程労務費一覧!$N$5:$N$11,MATCH($E181,⑰工程労務費一覧!$K$5:$K$11,0))/1000,""))))),IF(OR($D181="g",$D181="ｇ"),INDEX(⑰工程労務費一覧!$H$5:$H$753,MATCH($F181,⑰工程労務費一覧!$D$5:$D$753,0))/1000,IF($D181="kg",INDEX(⑰工程労務費一覧!$H$5:$H$753,MATCH($F181,⑰工程労務費一覧!$D$5:$D$753,0)),INDEX(⑰工程労務費一覧!$I$5:$I$753,MATCH($F181,⑰工程労務費一覧!$D$5:$D$753,0)))))),"")</f>
        <v/>
      </c>
      <c r="I181" s="392">
        <f>IF($K181&gt;0,IF(ISNUMBER(IF(OR($D181="g",$D181="ｇ"),IF($M181&gt;0,$L181/$M181/1000,""),IF($D181="kg",IF($M181&gt;0,$L181/$M181,""),IF($D181="",IF($M181&gt;0,$L181/$M181/1000,IF($O181&gt;0,$N181/$O181,"")),IF($O181&gt;0,$N181/$O181,""))))),IF($D181="",IF($M181&gt;0,"◎ JAN紐づけ(g扱い)","◎ JAN紐づけ(個扱い)"),"◎ JAN紐づけ"),"△ JAN紐づけ済・実績不足→仮計算"),IF($F181="",IF(ISNUMBER($H181),IF($D181="","⑤ 工程平均で仮計算(g扱い)","⑤ 工程平均で仮計算"),IF($E181="⑩盛付梱包工程入力","⑥ 盛り込み(⑳F列で計上)",IF(AND($E181="⑬計量工程入力",OR($D181="個",$D181="切",$D181="本",$D181="枚",$D181="尾")),"① 未紐づけ(カット個単位は仮単価なし)","① 未紐づけ"))),IF(NOT(ISNUMBER($H181)),"② 工程側に単価なし",IF($D181="","③ 単位未設定(個で計算)","④ OK"))))</f>
        <v/>
      </c>
      <c r="J181" s="399">
        <f>IFERROR(LOOKUP(2,1/((中間品リスト!$F$2:$F$1299=$B181)*(中間品リスト!$E$2:$E$1299&lt;&gt;"-")*(中間品リスト!$E$2:$E$1299&lt;&gt;"")),中間品リスト!$E$2:$E$1299),"")</f>
        <v/>
      </c>
      <c r="K181" s="400">
        <f>IF($J181="",0,COUNTIF(②釜工程入力!$S$5:$S$117,$J181)+COUNTIF(③スチコン工程入力!$S$5:$S$152,$J181)+COUNTIF(⑪ZEN工程入力!$S$6:$S$35,$J181)+COUNTIF(⑫ミキサー工程入力!$S$6:$S$65,$J181)+COUNTIF(⑬計量工程入力!$S$6:$S$65,$J181)+COUNTIF(⑭手動工程入力!$S$6:$S$47,$J181))</f>
        <v/>
      </c>
      <c r="L181" s="393">
        <f>IF($J181="",0,SUMIFS(②釜工程入力!$M$5:$M$117,②釜工程入力!$S$5:$S$117,$J181,②釜工程入力!$I$5:$I$117,"&gt;0")+SUMIFS(③スチコン工程入力!$M$5:$M$152,③スチコン工程入力!$S$5:$S$152,$J181,③スチコン工程入力!$I$5:$I$152,"&gt;0")+SUMIFS(⑪ZEN工程入力!$M$6:$M$35,⑪ZEN工程入力!$S$6:$S$35,$J181,⑪ZEN工程入力!$I$6:$I$35,"&gt;0")+SUMIFS(⑫ミキサー工程入力!$M$6:$M$65,⑫ミキサー工程入力!$S$6:$S$65,$J181,⑫ミキサー工程入力!$I$6:$I$65,"&gt;0")+SUMIFS(⑬計量工程入力!$M$6:$M$65,⑬計量工程入力!$S$6:$S$65,$J181,⑬計量工程入力!$I$6:$I$65,"&gt;0")+SUMIFS(⑭手動工程入力!$M$6:$M$47,⑭手動工程入力!$S$6:$S$47,$J181,⑭手動工程入力!$I$6:$I$47,"&gt;0"))</f>
        <v/>
      </c>
      <c r="M181" s="393">
        <f>IF($J181="",0,SUMIFS(②釜工程入力!$I$5:$I$117,②釜工程入力!$S$5:$S$117,$J181,②釜工程入力!$I$5:$I$117,"&gt;0",②釜工程入力!$M$5:$M$117,"&gt;0")+SUMIFS(③スチコン工程入力!$I$5:$I$152,③スチコン工程入力!$S$5:$S$152,$J181,③スチコン工程入力!$I$5:$I$152,"&gt;0",③スチコン工程入力!$M$5:$M$152,"&gt;0")+SUMIFS(⑪ZEN工程入力!$I$6:$I$35,⑪ZEN工程入力!$S$6:$S$35,$J181,⑪ZEN工程入力!$I$6:$I$35,"&gt;0",⑪ZEN工程入力!$M$6:$M$35,"&gt;0")+SUMIFS(⑫ミキサー工程入力!$I$6:$I$65,⑫ミキサー工程入力!$S$6:$S$65,$J181,⑫ミキサー工程入力!$I$6:$I$65,"&gt;0",⑫ミキサー工程入力!$M$6:$M$65,"&gt;0")+SUMIFS(⑬計量工程入力!$I$6:$I$65,⑬計量工程入力!$S$6:$S$65,$J181,⑬計量工程入力!$I$6:$I$65,"&gt;0",⑬計量工程入力!$M$6:$M$65,"&gt;0")+SUMIFS(⑭手動工程入力!$I$6:$I$47,⑭手動工程入力!$S$6:$S$47,$J181,⑭手動工程入力!$I$6:$I$47,"&gt;0",⑭手動工程入力!$M$6:$M$47,"&gt;0"))</f>
        <v/>
      </c>
      <c r="N181" s="393">
        <f>IF($J181="",0,SUMIFS(②釜工程入力!$M$5:$M$117,②釜工程入力!$S$5:$S$117,$J181,②釜工程入力!$J$5:$J$117,"&gt;0")-SUMIFS(②釜工程入力!$M$5:$M$117,②釜工程入力!$S$5:$S$117,$J181,②釜工程入力!$J$5:$J$117,"&gt;0",②釜工程入力!$I$5:$I$117,"&gt;0")+SUMIFS(③スチコン工程入力!$M$5:$M$152,③スチコン工程入力!$S$5:$S$152,$J181,③スチコン工程入力!$J$5:$J$152,"&gt;0")-SUMIFS(③スチコン工程入力!$M$5:$M$152,③スチコン工程入力!$S$5:$S$152,$J181,③スチコン工程入力!$J$5:$J$152,"&gt;0",③スチコン工程入力!$I$5:$I$152,"&gt;0")+SUMIFS(⑪ZEN工程入力!$M$6:$M$35,⑪ZEN工程入力!$S$6:$S$35,$J181,⑪ZEN工程入力!$J$6:$J$35,"&gt;0")-SUMIFS(⑪ZEN工程入力!$M$6:$M$35,⑪ZEN工程入力!$S$6:$S$35,$J181,⑪ZEN工程入力!$J$6:$J$35,"&gt;0",⑪ZEN工程入力!$I$6:$I$35,"&gt;0")+SUMIFS(⑫ミキサー工程入力!$M$6:$M$65,⑫ミキサー工程入力!$S$6:$S$65,$J181,⑫ミキサー工程入力!$J$6:$J$65,"&gt;0")-SUMIFS(⑫ミキサー工程入力!$M$6:$M$65,⑫ミキサー工程入力!$S$6:$S$65,$J181,⑫ミキサー工程入力!$J$6:$J$65,"&gt;0",⑫ミキサー工程入力!$I$6:$I$65,"&gt;0")+SUMIFS(⑬計量工程入力!$M$6:$M$65,⑬計量工程入力!$S$6:$S$65,$J181,⑬計量工程入力!$J$6:$J$65,"&gt;0")-SUMIFS(⑬計量工程入力!$M$6:$M$65,⑬計量工程入力!$S$6:$S$65,$J181,⑬計量工程入力!$J$6:$J$65,"&gt;0",⑬計量工程入力!$I$6:$I$65,"&gt;0")+SUMIFS(⑭手動工程入力!$M$6:$M$47,⑭手動工程入力!$S$6:$S$47,$J181,⑭手動工程入力!$J$6:$J$47,"&gt;0")-SUMIFS(⑭手動工程入力!$M$6:$M$47,⑭手動工程入力!$S$6:$S$47,$J181,⑭手動工程入力!$J$6:$J$47,"&gt;0",⑭手動工程入力!$I$6:$I$47,"&gt;0"))</f>
        <v/>
      </c>
      <c r="O181" s="393">
        <f>IF($J181="",0,SUMIFS(②釜工程入力!$J$5:$J$117,②釜工程入力!$S$5:$S$117,$J181,②釜工程入力!$J$5:$J$117,"&gt;0",②釜工程入力!$M$5:$M$117,"&gt;0")-SUMIFS(②釜工程入力!$J$5:$J$117,②釜工程入力!$S$5:$S$117,$J181,②釜工程入力!$J$5:$J$117,"&gt;0",②釜工程入力!$I$5:$I$117,"&gt;0",②釜工程入力!$M$5:$M$117,"&gt;0")+SUMIFS(③スチコン工程入力!$J$5:$J$152,③スチコン工程入力!$S$5:$S$152,$J181,③スチコン工程入力!$J$5:$J$152,"&gt;0",③スチコン工程入力!$M$5:$M$152,"&gt;0")-SUMIFS(③スチコン工程入力!$J$5:$J$152,③スチコン工程入力!$S$5:$S$152,$J181,③スチコン工程入力!$J$5:$J$152,"&gt;0",③スチコン工程入力!$I$5:$I$152,"&gt;0",③スチコン工程入力!$M$5:$M$152,"&gt;0")+SUMIFS(⑪ZEN工程入力!$J$6:$J$35,⑪ZEN工程入力!$S$6:$S$35,$J181,⑪ZEN工程入力!$J$6:$J$35,"&gt;0",⑪ZEN工程入力!$M$6:$M$35,"&gt;0")-SUMIFS(⑪ZEN工程入力!$J$6:$J$35,⑪ZEN工程入力!$S$6:$S$35,$J181,⑪ZEN工程入力!$J$6:$J$35,"&gt;0",⑪ZEN工程入力!$I$6:$I$35,"&gt;0",⑪ZEN工程入力!$M$6:$M$35,"&gt;0")+SUMIFS(⑫ミキサー工程入力!$J$6:$J$65,⑫ミキサー工程入力!$S$6:$S$65,$J181,⑫ミキサー工程入力!$J$6:$J$65,"&gt;0",⑫ミキサー工程入力!$M$6:$M$65,"&gt;0")-SUMIFS(⑫ミキサー工程入力!$J$6:$J$65,⑫ミキサー工程入力!$S$6:$S$65,$J181,⑫ミキサー工程入力!$J$6:$J$65,"&gt;0",⑫ミキサー工程入力!$I$6:$I$65,"&gt;0",⑫ミキサー工程入力!$M$6:$M$65,"&gt;0")+SUMIFS(⑬計量工程入力!$J$6:$J$65,⑬計量工程入力!$S$6:$S$65,$J181,⑬計量工程入力!$J$6:$J$65,"&gt;0",⑬計量工程入力!$M$6:$M$65,"&gt;0")-SUMIFS(⑬計量工程入力!$J$6:$J$65,⑬計量工程入力!$S$6:$S$65,$J181,⑬計量工程入力!$J$6:$J$65,"&gt;0",⑬計量工程入力!$I$6:$I$65,"&gt;0",⑬計量工程入力!$M$6:$M$65,"&gt;0")+SUMIFS(⑭手動工程入力!$J$6:$J$47,⑭手動工程入力!$S$6:$S$47,$J181,⑭手動工程入力!$J$6:$J$47,"&gt;0",⑭手動工程入力!$M$6:$M$47,"&gt;0")-SUMIFS(⑭手動工程入力!$J$6:$J$47,⑭手動工程入力!$S$6:$S$47,$J181,⑭手動工程入力!$J$6:$J$47,"&gt;0",⑭手動工程入力!$I$6:$I$47,"&gt;0",⑭手動工程入力!$M$6:$M$47,"&gt;0"))</f>
        <v/>
      </c>
      <c r="P181" s="392" t="n"/>
    </row>
    <row r="182">
      <c r="A182" s="392" t="n">
        <v>178</v>
      </c>
      <c r="B182" s="392" t="n"/>
      <c r="C182" s="392" t="n"/>
      <c r="D182" s="392" t="n"/>
      <c r="E182" s="392" t="n"/>
      <c r="F182" s="394" t="n"/>
      <c r="G182" s="392" t="n"/>
      <c r="H182" s="604">
        <f>IFERROR(IF(AND($K182&gt;0,ISNUMBER(IF(OR($D182="g",$D182="ｇ"),IF($M182&gt;0,$L182/$M182/1000,""),IF($D182="kg",IF($M182&gt;0,$L182/$M182,""),IF($D182="",IF($M182&gt;0,$L182/$M182/1000,IF($O182&gt;0,$N182/$O182,"")),IF($O182&gt;0,$N182/$O182,"")))))),IF(OR($D182="g",$D182="ｇ"),IF($M182&gt;0,$L182/$M182/1000,""),IF($D182="kg",IF($M182&gt;0,$L182/$M182,""),IF($D182="",IF($M182&gt;0,$L182/$M182/1000,IF($O182&gt;0,$N182/$O182,"")),IF($O182&gt;0,$N182/$O182,"")))),IF($F182="",IF(OR($E182="",$E182="⑩盛付梱包工程入力"),"",IF(OR($D182="g",$D182="ｇ"),INDEX(⑰工程労務費一覧!$N$5:$N$11,MATCH($E182,⑰工程労務費一覧!$K$5:$K$11,0))/1000,IF($D182="kg",INDEX(⑰工程労務費一覧!$N$5:$N$11,MATCH($E182,⑰工程労務費一覧!$K$5:$K$11,0)),IF(OR($D182="個",$D182="切",$D182="本",$D182="枚",$D182="尾"),IF($E182="⑬計量工程入力","",INDEX(⑰工程労務費一覧!$P$5:$P$11,MATCH($E182,⑰工程労務費一覧!$K$5:$K$11,0))),IF(AND($D182="",OR($E182="②釜工程入力",$E182="③スチコン工程入力")),INDEX(⑰工程労務費一覧!$N$5:$N$11,MATCH($E182,⑰工程労務費一覧!$K$5:$K$11,0))/1000,""))))),IF(OR($D182="g",$D182="ｇ"),INDEX(⑰工程労務費一覧!$H$5:$H$753,MATCH($F182,⑰工程労務費一覧!$D$5:$D$753,0))/1000,IF($D182="kg",INDEX(⑰工程労務費一覧!$H$5:$H$753,MATCH($F182,⑰工程労務費一覧!$D$5:$D$753,0)),INDEX(⑰工程労務費一覧!$I$5:$I$753,MATCH($F182,⑰工程労務費一覧!$D$5:$D$753,0)))))),"")</f>
        <v/>
      </c>
      <c r="I182" s="392">
        <f>IF($K182&gt;0,IF(ISNUMBER(IF(OR($D182="g",$D182="ｇ"),IF($M182&gt;0,$L182/$M182/1000,""),IF($D182="kg",IF($M182&gt;0,$L182/$M182,""),IF($D182="",IF($M182&gt;0,$L182/$M182/1000,IF($O182&gt;0,$N182/$O182,"")),IF($O182&gt;0,$N182/$O182,""))))),IF($D182="",IF($M182&gt;0,"◎ JAN紐づけ(g扱い)","◎ JAN紐づけ(個扱い)"),"◎ JAN紐づけ"),"△ JAN紐づけ済・実績不足→仮計算"),IF($F182="",IF(ISNUMBER($H182),IF($D182="","⑤ 工程平均で仮計算(g扱い)","⑤ 工程平均で仮計算"),IF($E182="⑩盛付梱包工程入力","⑥ 盛り込み(⑳F列で計上)",IF(AND($E182="⑬計量工程入力",OR($D182="個",$D182="切",$D182="本",$D182="枚",$D182="尾")),"① 未紐づけ(カット個単位は仮単価なし)","① 未紐づけ"))),IF(NOT(ISNUMBER($H182)),"② 工程側に単価なし",IF($D182="","③ 単位未設定(個で計算)","④ OK"))))</f>
        <v/>
      </c>
      <c r="J182" s="399">
        <f>IFERROR(LOOKUP(2,1/((中間品リスト!$F$2:$F$1299=$B182)*(中間品リスト!$E$2:$E$1299&lt;&gt;"-")*(中間品リスト!$E$2:$E$1299&lt;&gt;"")),中間品リスト!$E$2:$E$1299),"")</f>
        <v/>
      </c>
      <c r="K182" s="400">
        <f>IF($J182="",0,COUNTIF(②釜工程入力!$S$5:$S$117,$J182)+COUNTIF(③スチコン工程入力!$S$5:$S$152,$J182)+COUNTIF(⑪ZEN工程入力!$S$6:$S$35,$J182)+COUNTIF(⑫ミキサー工程入力!$S$6:$S$65,$J182)+COUNTIF(⑬計量工程入力!$S$6:$S$65,$J182)+COUNTIF(⑭手動工程入力!$S$6:$S$47,$J182))</f>
        <v/>
      </c>
      <c r="L182" s="393">
        <f>IF($J182="",0,SUMIFS(②釜工程入力!$M$5:$M$117,②釜工程入力!$S$5:$S$117,$J182,②釜工程入力!$I$5:$I$117,"&gt;0")+SUMIFS(③スチコン工程入力!$M$5:$M$152,③スチコン工程入力!$S$5:$S$152,$J182,③スチコン工程入力!$I$5:$I$152,"&gt;0")+SUMIFS(⑪ZEN工程入力!$M$6:$M$35,⑪ZEN工程入力!$S$6:$S$35,$J182,⑪ZEN工程入力!$I$6:$I$35,"&gt;0")+SUMIFS(⑫ミキサー工程入力!$M$6:$M$65,⑫ミキサー工程入力!$S$6:$S$65,$J182,⑫ミキサー工程入力!$I$6:$I$65,"&gt;0")+SUMIFS(⑬計量工程入力!$M$6:$M$65,⑬計量工程入力!$S$6:$S$65,$J182,⑬計量工程入力!$I$6:$I$65,"&gt;0")+SUMIFS(⑭手動工程入力!$M$6:$M$47,⑭手動工程入力!$S$6:$S$47,$J182,⑭手動工程入力!$I$6:$I$47,"&gt;0"))</f>
        <v/>
      </c>
      <c r="M182" s="393">
        <f>IF($J182="",0,SUMIFS(②釜工程入力!$I$5:$I$117,②釜工程入力!$S$5:$S$117,$J182,②釜工程入力!$I$5:$I$117,"&gt;0",②釜工程入力!$M$5:$M$117,"&gt;0")+SUMIFS(③スチコン工程入力!$I$5:$I$152,③スチコン工程入力!$S$5:$S$152,$J182,③スチコン工程入力!$I$5:$I$152,"&gt;0",③スチコン工程入力!$M$5:$M$152,"&gt;0")+SUMIFS(⑪ZEN工程入力!$I$6:$I$35,⑪ZEN工程入力!$S$6:$S$35,$J182,⑪ZEN工程入力!$I$6:$I$35,"&gt;0",⑪ZEN工程入力!$M$6:$M$35,"&gt;0")+SUMIFS(⑫ミキサー工程入力!$I$6:$I$65,⑫ミキサー工程入力!$S$6:$S$65,$J182,⑫ミキサー工程入力!$I$6:$I$65,"&gt;0",⑫ミキサー工程入力!$M$6:$M$65,"&gt;0")+SUMIFS(⑬計量工程入力!$I$6:$I$65,⑬計量工程入力!$S$6:$S$65,$J182,⑬計量工程入力!$I$6:$I$65,"&gt;0",⑬計量工程入力!$M$6:$M$65,"&gt;0")+SUMIFS(⑭手動工程入力!$I$6:$I$47,⑭手動工程入力!$S$6:$S$47,$J182,⑭手動工程入力!$I$6:$I$47,"&gt;0",⑭手動工程入力!$M$6:$M$47,"&gt;0"))</f>
        <v/>
      </c>
      <c r="N182" s="393">
        <f>IF($J182="",0,SUMIFS(②釜工程入力!$M$5:$M$117,②釜工程入力!$S$5:$S$117,$J182,②釜工程入力!$J$5:$J$117,"&gt;0")-SUMIFS(②釜工程入力!$M$5:$M$117,②釜工程入力!$S$5:$S$117,$J182,②釜工程入力!$J$5:$J$117,"&gt;0",②釜工程入力!$I$5:$I$117,"&gt;0")+SUMIFS(③スチコン工程入力!$M$5:$M$152,③スチコン工程入力!$S$5:$S$152,$J182,③スチコン工程入力!$J$5:$J$152,"&gt;0")-SUMIFS(③スチコン工程入力!$M$5:$M$152,③スチコン工程入力!$S$5:$S$152,$J182,③スチコン工程入力!$J$5:$J$152,"&gt;0",③スチコン工程入力!$I$5:$I$152,"&gt;0")+SUMIFS(⑪ZEN工程入力!$M$6:$M$35,⑪ZEN工程入力!$S$6:$S$35,$J182,⑪ZEN工程入力!$J$6:$J$35,"&gt;0")-SUMIFS(⑪ZEN工程入力!$M$6:$M$35,⑪ZEN工程入力!$S$6:$S$35,$J182,⑪ZEN工程入力!$J$6:$J$35,"&gt;0",⑪ZEN工程入力!$I$6:$I$35,"&gt;0")+SUMIFS(⑫ミキサー工程入力!$M$6:$M$65,⑫ミキサー工程入力!$S$6:$S$65,$J182,⑫ミキサー工程入力!$J$6:$J$65,"&gt;0")-SUMIFS(⑫ミキサー工程入力!$M$6:$M$65,⑫ミキサー工程入力!$S$6:$S$65,$J182,⑫ミキサー工程入力!$J$6:$J$65,"&gt;0",⑫ミキサー工程入力!$I$6:$I$65,"&gt;0")+SUMIFS(⑬計量工程入力!$M$6:$M$65,⑬計量工程入力!$S$6:$S$65,$J182,⑬計量工程入力!$J$6:$J$65,"&gt;0")-SUMIFS(⑬計量工程入力!$M$6:$M$65,⑬計量工程入力!$S$6:$S$65,$J182,⑬計量工程入力!$J$6:$J$65,"&gt;0",⑬計量工程入力!$I$6:$I$65,"&gt;0")+SUMIFS(⑭手動工程入力!$M$6:$M$47,⑭手動工程入力!$S$6:$S$47,$J182,⑭手動工程入力!$J$6:$J$47,"&gt;0")-SUMIFS(⑭手動工程入力!$M$6:$M$47,⑭手動工程入力!$S$6:$S$47,$J182,⑭手動工程入力!$J$6:$J$47,"&gt;0",⑭手動工程入力!$I$6:$I$47,"&gt;0"))</f>
        <v/>
      </c>
      <c r="O182" s="393">
        <f>IF($J182="",0,SUMIFS(②釜工程入力!$J$5:$J$117,②釜工程入力!$S$5:$S$117,$J182,②釜工程入力!$J$5:$J$117,"&gt;0",②釜工程入力!$M$5:$M$117,"&gt;0")-SUMIFS(②釜工程入力!$J$5:$J$117,②釜工程入力!$S$5:$S$117,$J182,②釜工程入力!$J$5:$J$117,"&gt;0",②釜工程入力!$I$5:$I$117,"&gt;0",②釜工程入力!$M$5:$M$117,"&gt;0")+SUMIFS(③スチコン工程入力!$J$5:$J$152,③スチコン工程入力!$S$5:$S$152,$J182,③スチコン工程入力!$J$5:$J$152,"&gt;0",③スチコン工程入力!$M$5:$M$152,"&gt;0")-SUMIFS(③スチコン工程入力!$J$5:$J$152,③スチコン工程入力!$S$5:$S$152,$J182,③スチコン工程入力!$J$5:$J$152,"&gt;0",③スチコン工程入力!$I$5:$I$152,"&gt;0",③スチコン工程入力!$M$5:$M$152,"&gt;0")+SUMIFS(⑪ZEN工程入力!$J$6:$J$35,⑪ZEN工程入力!$S$6:$S$35,$J182,⑪ZEN工程入力!$J$6:$J$35,"&gt;0",⑪ZEN工程入力!$M$6:$M$35,"&gt;0")-SUMIFS(⑪ZEN工程入力!$J$6:$J$35,⑪ZEN工程入力!$S$6:$S$35,$J182,⑪ZEN工程入力!$J$6:$J$35,"&gt;0",⑪ZEN工程入力!$I$6:$I$35,"&gt;0",⑪ZEN工程入力!$M$6:$M$35,"&gt;0")+SUMIFS(⑫ミキサー工程入力!$J$6:$J$65,⑫ミキサー工程入力!$S$6:$S$65,$J182,⑫ミキサー工程入力!$J$6:$J$65,"&gt;0",⑫ミキサー工程入力!$M$6:$M$65,"&gt;0")-SUMIFS(⑫ミキサー工程入力!$J$6:$J$65,⑫ミキサー工程入力!$S$6:$S$65,$J182,⑫ミキサー工程入力!$J$6:$J$65,"&gt;0",⑫ミキサー工程入力!$I$6:$I$65,"&gt;0",⑫ミキサー工程入力!$M$6:$M$65,"&gt;0")+SUMIFS(⑬計量工程入力!$J$6:$J$65,⑬計量工程入力!$S$6:$S$65,$J182,⑬計量工程入力!$J$6:$J$65,"&gt;0",⑬計量工程入力!$M$6:$M$65,"&gt;0")-SUMIFS(⑬計量工程入力!$J$6:$J$65,⑬計量工程入力!$S$6:$S$65,$J182,⑬計量工程入力!$J$6:$J$65,"&gt;0",⑬計量工程入力!$I$6:$I$65,"&gt;0",⑬計量工程入力!$M$6:$M$65,"&gt;0")+SUMIFS(⑭手動工程入力!$J$6:$J$47,⑭手動工程入力!$S$6:$S$47,$J182,⑭手動工程入力!$J$6:$J$47,"&gt;0",⑭手動工程入力!$M$6:$M$47,"&gt;0")-SUMIFS(⑭手動工程入力!$J$6:$J$47,⑭手動工程入力!$S$6:$S$47,$J182,⑭手動工程入力!$J$6:$J$47,"&gt;0",⑭手動工程入力!$I$6:$I$47,"&gt;0",⑭手動工程入力!$M$6:$M$47,"&gt;0"))</f>
        <v/>
      </c>
      <c r="P182" s="392" t="n"/>
    </row>
    <row r="183">
      <c r="A183" s="392" t="n">
        <v>179</v>
      </c>
      <c r="B183" s="392" t="n"/>
      <c r="C183" s="392" t="n"/>
      <c r="D183" s="392" t="n"/>
      <c r="E183" s="392" t="n"/>
      <c r="F183" s="394" t="n"/>
      <c r="G183" s="392" t="n"/>
      <c r="H183" s="604">
        <f>IFERROR(IF(AND($K183&gt;0,ISNUMBER(IF(OR($D183="g",$D183="ｇ"),IF($M183&gt;0,$L183/$M183/1000,""),IF($D183="kg",IF($M183&gt;0,$L183/$M183,""),IF($D183="",IF($M183&gt;0,$L183/$M183/1000,IF($O183&gt;0,$N183/$O183,"")),IF($O183&gt;0,$N183/$O183,"")))))),IF(OR($D183="g",$D183="ｇ"),IF($M183&gt;0,$L183/$M183/1000,""),IF($D183="kg",IF($M183&gt;0,$L183/$M183,""),IF($D183="",IF($M183&gt;0,$L183/$M183/1000,IF($O183&gt;0,$N183/$O183,"")),IF($O183&gt;0,$N183/$O183,"")))),IF($F183="",IF(OR($E183="",$E183="⑩盛付梱包工程入力"),"",IF(OR($D183="g",$D183="ｇ"),INDEX(⑰工程労務費一覧!$N$5:$N$11,MATCH($E183,⑰工程労務費一覧!$K$5:$K$11,0))/1000,IF($D183="kg",INDEX(⑰工程労務費一覧!$N$5:$N$11,MATCH($E183,⑰工程労務費一覧!$K$5:$K$11,0)),IF(OR($D183="個",$D183="切",$D183="本",$D183="枚",$D183="尾"),IF($E183="⑬計量工程入力","",INDEX(⑰工程労務費一覧!$P$5:$P$11,MATCH($E183,⑰工程労務費一覧!$K$5:$K$11,0))),IF(AND($D183="",OR($E183="②釜工程入力",$E183="③スチコン工程入力")),INDEX(⑰工程労務費一覧!$N$5:$N$11,MATCH($E183,⑰工程労務費一覧!$K$5:$K$11,0))/1000,""))))),IF(OR($D183="g",$D183="ｇ"),INDEX(⑰工程労務費一覧!$H$5:$H$753,MATCH($F183,⑰工程労務費一覧!$D$5:$D$753,0))/1000,IF($D183="kg",INDEX(⑰工程労務費一覧!$H$5:$H$753,MATCH($F183,⑰工程労務費一覧!$D$5:$D$753,0)),INDEX(⑰工程労務費一覧!$I$5:$I$753,MATCH($F183,⑰工程労務費一覧!$D$5:$D$753,0)))))),"")</f>
        <v/>
      </c>
      <c r="I183" s="392">
        <f>IF($K183&gt;0,IF(ISNUMBER(IF(OR($D183="g",$D183="ｇ"),IF($M183&gt;0,$L183/$M183/1000,""),IF($D183="kg",IF($M183&gt;0,$L183/$M183,""),IF($D183="",IF($M183&gt;0,$L183/$M183/1000,IF($O183&gt;0,$N183/$O183,"")),IF($O183&gt;0,$N183/$O183,""))))),IF($D183="",IF($M183&gt;0,"◎ JAN紐づけ(g扱い)","◎ JAN紐づけ(個扱い)"),"◎ JAN紐づけ"),"△ JAN紐づけ済・実績不足→仮計算"),IF($F183="",IF(ISNUMBER($H183),IF($D183="","⑤ 工程平均で仮計算(g扱い)","⑤ 工程平均で仮計算"),IF($E183="⑩盛付梱包工程入力","⑥ 盛り込み(⑳F列で計上)",IF(AND($E183="⑬計量工程入力",OR($D183="個",$D183="切",$D183="本",$D183="枚",$D183="尾")),"① 未紐づけ(カット個単位は仮単価なし)","① 未紐づけ"))),IF(NOT(ISNUMBER($H183)),"② 工程側に単価なし",IF($D183="","③ 単位未設定(個で計算)","④ OK"))))</f>
        <v/>
      </c>
      <c r="J183" s="399">
        <f>IFERROR(LOOKUP(2,1/((中間品リスト!$F$2:$F$1299=$B183)*(中間品リスト!$E$2:$E$1299&lt;&gt;"-")*(中間品リスト!$E$2:$E$1299&lt;&gt;"")),中間品リスト!$E$2:$E$1299),"")</f>
        <v/>
      </c>
      <c r="K183" s="400">
        <f>IF($J183="",0,COUNTIF(②釜工程入力!$S$5:$S$117,$J183)+COUNTIF(③スチコン工程入力!$S$5:$S$152,$J183)+COUNTIF(⑪ZEN工程入力!$S$6:$S$35,$J183)+COUNTIF(⑫ミキサー工程入力!$S$6:$S$65,$J183)+COUNTIF(⑬計量工程入力!$S$6:$S$65,$J183)+COUNTIF(⑭手動工程入力!$S$6:$S$47,$J183))</f>
        <v/>
      </c>
      <c r="L183" s="393">
        <f>IF($J183="",0,SUMIFS(②釜工程入力!$M$5:$M$117,②釜工程入力!$S$5:$S$117,$J183,②釜工程入力!$I$5:$I$117,"&gt;0")+SUMIFS(③スチコン工程入力!$M$5:$M$152,③スチコン工程入力!$S$5:$S$152,$J183,③スチコン工程入力!$I$5:$I$152,"&gt;0")+SUMIFS(⑪ZEN工程入力!$M$6:$M$35,⑪ZEN工程入力!$S$6:$S$35,$J183,⑪ZEN工程入力!$I$6:$I$35,"&gt;0")+SUMIFS(⑫ミキサー工程入力!$M$6:$M$65,⑫ミキサー工程入力!$S$6:$S$65,$J183,⑫ミキサー工程入力!$I$6:$I$65,"&gt;0")+SUMIFS(⑬計量工程入力!$M$6:$M$65,⑬計量工程入力!$S$6:$S$65,$J183,⑬計量工程入力!$I$6:$I$65,"&gt;0")+SUMIFS(⑭手動工程入力!$M$6:$M$47,⑭手動工程入力!$S$6:$S$47,$J183,⑭手動工程入力!$I$6:$I$47,"&gt;0"))</f>
        <v/>
      </c>
      <c r="M183" s="393">
        <f>IF($J183="",0,SUMIFS(②釜工程入力!$I$5:$I$117,②釜工程入力!$S$5:$S$117,$J183,②釜工程入力!$I$5:$I$117,"&gt;0",②釜工程入力!$M$5:$M$117,"&gt;0")+SUMIFS(③スチコン工程入力!$I$5:$I$152,③スチコン工程入力!$S$5:$S$152,$J183,③スチコン工程入力!$I$5:$I$152,"&gt;0",③スチコン工程入力!$M$5:$M$152,"&gt;0")+SUMIFS(⑪ZEN工程入力!$I$6:$I$35,⑪ZEN工程入力!$S$6:$S$35,$J183,⑪ZEN工程入力!$I$6:$I$35,"&gt;0",⑪ZEN工程入力!$M$6:$M$35,"&gt;0")+SUMIFS(⑫ミキサー工程入力!$I$6:$I$65,⑫ミキサー工程入力!$S$6:$S$65,$J183,⑫ミキサー工程入力!$I$6:$I$65,"&gt;0",⑫ミキサー工程入力!$M$6:$M$65,"&gt;0")+SUMIFS(⑬計量工程入力!$I$6:$I$65,⑬計量工程入力!$S$6:$S$65,$J183,⑬計量工程入力!$I$6:$I$65,"&gt;0",⑬計量工程入力!$M$6:$M$65,"&gt;0")+SUMIFS(⑭手動工程入力!$I$6:$I$47,⑭手動工程入力!$S$6:$S$47,$J183,⑭手動工程入力!$I$6:$I$47,"&gt;0",⑭手動工程入力!$M$6:$M$47,"&gt;0"))</f>
        <v/>
      </c>
      <c r="N183" s="393">
        <f>IF($J183="",0,SUMIFS(②釜工程入力!$M$5:$M$117,②釜工程入力!$S$5:$S$117,$J183,②釜工程入力!$J$5:$J$117,"&gt;0")-SUMIFS(②釜工程入力!$M$5:$M$117,②釜工程入力!$S$5:$S$117,$J183,②釜工程入力!$J$5:$J$117,"&gt;0",②釜工程入力!$I$5:$I$117,"&gt;0")+SUMIFS(③スチコン工程入力!$M$5:$M$152,③スチコン工程入力!$S$5:$S$152,$J183,③スチコン工程入力!$J$5:$J$152,"&gt;0")-SUMIFS(③スチコン工程入力!$M$5:$M$152,③スチコン工程入力!$S$5:$S$152,$J183,③スチコン工程入力!$J$5:$J$152,"&gt;0",③スチコン工程入力!$I$5:$I$152,"&gt;0")+SUMIFS(⑪ZEN工程入力!$M$6:$M$35,⑪ZEN工程入力!$S$6:$S$35,$J183,⑪ZEN工程入力!$J$6:$J$35,"&gt;0")-SUMIFS(⑪ZEN工程入力!$M$6:$M$35,⑪ZEN工程入力!$S$6:$S$35,$J183,⑪ZEN工程入力!$J$6:$J$35,"&gt;0",⑪ZEN工程入力!$I$6:$I$35,"&gt;0")+SUMIFS(⑫ミキサー工程入力!$M$6:$M$65,⑫ミキサー工程入力!$S$6:$S$65,$J183,⑫ミキサー工程入力!$J$6:$J$65,"&gt;0")-SUMIFS(⑫ミキサー工程入力!$M$6:$M$65,⑫ミキサー工程入力!$S$6:$S$65,$J183,⑫ミキサー工程入力!$J$6:$J$65,"&gt;0",⑫ミキサー工程入力!$I$6:$I$65,"&gt;0")+SUMIFS(⑬計量工程入力!$M$6:$M$65,⑬計量工程入力!$S$6:$S$65,$J183,⑬計量工程入力!$J$6:$J$65,"&gt;0")-SUMIFS(⑬計量工程入力!$M$6:$M$65,⑬計量工程入力!$S$6:$S$65,$J183,⑬計量工程入力!$J$6:$J$65,"&gt;0",⑬計量工程入力!$I$6:$I$65,"&gt;0")+SUMIFS(⑭手動工程入力!$M$6:$M$47,⑭手動工程入力!$S$6:$S$47,$J183,⑭手動工程入力!$J$6:$J$47,"&gt;0")-SUMIFS(⑭手動工程入力!$M$6:$M$47,⑭手動工程入力!$S$6:$S$47,$J183,⑭手動工程入力!$J$6:$J$47,"&gt;0",⑭手動工程入力!$I$6:$I$47,"&gt;0"))</f>
        <v/>
      </c>
      <c r="O183" s="393">
        <f>IF($J183="",0,SUMIFS(②釜工程入力!$J$5:$J$117,②釜工程入力!$S$5:$S$117,$J183,②釜工程入力!$J$5:$J$117,"&gt;0",②釜工程入力!$M$5:$M$117,"&gt;0")-SUMIFS(②釜工程入力!$J$5:$J$117,②釜工程入力!$S$5:$S$117,$J183,②釜工程入力!$J$5:$J$117,"&gt;0",②釜工程入力!$I$5:$I$117,"&gt;0",②釜工程入力!$M$5:$M$117,"&gt;0")+SUMIFS(③スチコン工程入力!$J$5:$J$152,③スチコン工程入力!$S$5:$S$152,$J183,③スチコン工程入力!$J$5:$J$152,"&gt;0",③スチコン工程入力!$M$5:$M$152,"&gt;0")-SUMIFS(③スチコン工程入力!$J$5:$J$152,③スチコン工程入力!$S$5:$S$152,$J183,③スチコン工程入力!$J$5:$J$152,"&gt;0",③スチコン工程入力!$I$5:$I$152,"&gt;0",③スチコン工程入力!$M$5:$M$152,"&gt;0")+SUMIFS(⑪ZEN工程入力!$J$6:$J$35,⑪ZEN工程入力!$S$6:$S$35,$J183,⑪ZEN工程入力!$J$6:$J$35,"&gt;0",⑪ZEN工程入力!$M$6:$M$35,"&gt;0")-SUMIFS(⑪ZEN工程入力!$J$6:$J$35,⑪ZEN工程入力!$S$6:$S$35,$J183,⑪ZEN工程入力!$J$6:$J$35,"&gt;0",⑪ZEN工程入力!$I$6:$I$35,"&gt;0",⑪ZEN工程入力!$M$6:$M$35,"&gt;0")+SUMIFS(⑫ミキサー工程入力!$J$6:$J$65,⑫ミキサー工程入力!$S$6:$S$65,$J183,⑫ミキサー工程入力!$J$6:$J$65,"&gt;0",⑫ミキサー工程入力!$M$6:$M$65,"&gt;0")-SUMIFS(⑫ミキサー工程入力!$J$6:$J$65,⑫ミキサー工程入力!$S$6:$S$65,$J183,⑫ミキサー工程入力!$J$6:$J$65,"&gt;0",⑫ミキサー工程入力!$I$6:$I$65,"&gt;0",⑫ミキサー工程入力!$M$6:$M$65,"&gt;0")+SUMIFS(⑬計量工程入力!$J$6:$J$65,⑬計量工程入力!$S$6:$S$65,$J183,⑬計量工程入力!$J$6:$J$65,"&gt;0",⑬計量工程入力!$M$6:$M$65,"&gt;0")-SUMIFS(⑬計量工程入力!$J$6:$J$65,⑬計量工程入力!$S$6:$S$65,$J183,⑬計量工程入力!$J$6:$J$65,"&gt;0",⑬計量工程入力!$I$6:$I$65,"&gt;0",⑬計量工程入力!$M$6:$M$65,"&gt;0")+SUMIFS(⑭手動工程入力!$J$6:$J$47,⑭手動工程入力!$S$6:$S$47,$J183,⑭手動工程入力!$J$6:$J$47,"&gt;0",⑭手動工程入力!$M$6:$M$47,"&gt;0")-SUMIFS(⑭手動工程入力!$J$6:$J$47,⑭手動工程入力!$S$6:$S$47,$J183,⑭手動工程入力!$J$6:$J$47,"&gt;0",⑭手動工程入力!$I$6:$I$47,"&gt;0",⑭手動工程入力!$M$6:$M$47,"&gt;0"))</f>
        <v/>
      </c>
      <c r="P183" s="392" t="n"/>
    </row>
    <row r="184">
      <c r="A184" s="392" t="n">
        <v>180</v>
      </c>
      <c r="B184" s="392" t="n"/>
      <c r="C184" s="392" t="n"/>
      <c r="D184" s="392" t="n"/>
      <c r="E184" s="392" t="n"/>
      <c r="F184" s="394" t="n"/>
      <c r="G184" s="392" t="n"/>
      <c r="H184" s="604">
        <f>IFERROR(IF(AND($K184&gt;0,ISNUMBER(IF(OR($D184="g",$D184="ｇ"),IF($M184&gt;0,$L184/$M184/1000,""),IF($D184="kg",IF($M184&gt;0,$L184/$M184,""),IF($D184="",IF($M184&gt;0,$L184/$M184/1000,IF($O184&gt;0,$N184/$O184,"")),IF($O184&gt;0,$N184/$O184,"")))))),IF(OR($D184="g",$D184="ｇ"),IF($M184&gt;0,$L184/$M184/1000,""),IF($D184="kg",IF($M184&gt;0,$L184/$M184,""),IF($D184="",IF($M184&gt;0,$L184/$M184/1000,IF($O184&gt;0,$N184/$O184,"")),IF($O184&gt;0,$N184/$O184,"")))),IF($F184="",IF(OR($E184="",$E184="⑩盛付梱包工程入力"),"",IF(OR($D184="g",$D184="ｇ"),INDEX(⑰工程労務費一覧!$N$5:$N$11,MATCH($E184,⑰工程労務費一覧!$K$5:$K$11,0))/1000,IF($D184="kg",INDEX(⑰工程労務費一覧!$N$5:$N$11,MATCH($E184,⑰工程労務費一覧!$K$5:$K$11,0)),IF(OR($D184="個",$D184="切",$D184="本",$D184="枚",$D184="尾"),IF($E184="⑬計量工程入力","",INDEX(⑰工程労務費一覧!$P$5:$P$11,MATCH($E184,⑰工程労務費一覧!$K$5:$K$11,0))),IF(AND($D184="",OR($E184="②釜工程入力",$E184="③スチコン工程入力")),INDEX(⑰工程労務費一覧!$N$5:$N$11,MATCH($E184,⑰工程労務費一覧!$K$5:$K$11,0))/1000,""))))),IF(OR($D184="g",$D184="ｇ"),INDEX(⑰工程労務費一覧!$H$5:$H$753,MATCH($F184,⑰工程労務費一覧!$D$5:$D$753,0))/1000,IF($D184="kg",INDEX(⑰工程労務費一覧!$H$5:$H$753,MATCH($F184,⑰工程労務費一覧!$D$5:$D$753,0)),INDEX(⑰工程労務費一覧!$I$5:$I$753,MATCH($F184,⑰工程労務費一覧!$D$5:$D$753,0)))))),"")</f>
        <v/>
      </c>
      <c r="I184" s="392">
        <f>IF($K184&gt;0,IF(ISNUMBER(IF(OR($D184="g",$D184="ｇ"),IF($M184&gt;0,$L184/$M184/1000,""),IF($D184="kg",IF($M184&gt;0,$L184/$M184,""),IF($D184="",IF($M184&gt;0,$L184/$M184/1000,IF($O184&gt;0,$N184/$O184,"")),IF($O184&gt;0,$N184/$O184,""))))),IF($D184="",IF($M184&gt;0,"◎ JAN紐づけ(g扱い)","◎ JAN紐づけ(個扱い)"),"◎ JAN紐づけ"),"△ JAN紐づけ済・実績不足→仮計算"),IF($F184="",IF(ISNUMBER($H184),IF($D184="","⑤ 工程平均で仮計算(g扱い)","⑤ 工程平均で仮計算"),IF($E184="⑩盛付梱包工程入力","⑥ 盛り込み(⑳F列で計上)",IF(AND($E184="⑬計量工程入力",OR($D184="個",$D184="切",$D184="本",$D184="枚",$D184="尾")),"① 未紐づけ(カット個単位は仮単価なし)","① 未紐づけ"))),IF(NOT(ISNUMBER($H184)),"② 工程側に単価なし",IF($D184="","③ 単位未設定(個で計算)","④ OK"))))</f>
        <v/>
      </c>
      <c r="J184" s="399">
        <f>IFERROR(LOOKUP(2,1/((中間品リスト!$F$2:$F$1299=$B184)*(中間品リスト!$E$2:$E$1299&lt;&gt;"-")*(中間品リスト!$E$2:$E$1299&lt;&gt;"")),中間品リスト!$E$2:$E$1299),"")</f>
        <v/>
      </c>
      <c r="K184" s="400">
        <f>IF($J184="",0,COUNTIF(②釜工程入力!$S$5:$S$117,$J184)+COUNTIF(③スチコン工程入力!$S$5:$S$152,$J184)+COUNTIF(⑪ZEN工程入力!$S$6:$S$35,$J184)+COUNTIF(⑫ミキサー工程入力!$S$6:$S$65,$J184)+COUNTIF(⑬計量工程入力!$S$6:$S$65,$J184)+COUNTIF(⑭手動工程入力!$S$6:$S$47,$J184))</f>
        <v/>
      </c>
      <c r="L184" s="393">
        <f>IF($J184="",0,SUMIFS(②釜工程入力!$M$5:$M$117,②釜工程入力!$S$5:$S$117,$J184,②釜工程入力!$I$5:$I$117,"&gt;0")+SUMIFS(③スチコン工程入力!$M$5:$M$152,③スチコン工程入力!$S$5:$S$152,$J184,③スチコン工程入力!$I$5:$I$152,"&gt;0")+SUMIFS(⑪ZEN工程入力!$M$6:$M$35,⑪ZEN工程入力!$S$6:$S$35,$J184,⑪ZEN工程入力!$I$6:$I$35,"&gt;0")+SUMIFS(⑫ミキサー工程入力!$M$6:$M$65,⑫ミキサー工程入力!$S$6:$S$65,$J184,⑫ミキサー工程入力!$I$6:$I$65,"&gt;0")+SUMIFS(⑬計量工程入力!$M$6:$M$65,⑬計量工程入力!$S$6:$S$65,$J184,⑬計量工程入力!$I$6:$I$65,"&gt;0")+SUMIFS(⑭手動工程入力!$M$6:$M$47,⑭手動工程入力!$S$6:$S$47,$J184,⑭手動工程入力!$I$6:$I$47,"&gt;0"))</f>
        <v/>
      </c>
      <c r="M184" s="393">
        <f>IF($J184="",0,SUMIFS(②釜工程入力!$I$5:$I$117,②釜工程入力!$S$5:$S$117,$J184,②釜工程入力!$I$5:$I$117,"&gt;0",②釜工程入力!$M$5:$M$117,"&gt;0")+SUMIFS(③スチコン工程入力!$I$5:$I$152,③スチコン工程入力!$S$5:$S$152,$J184,③スチコン工程入力!$I$5:$I$152,"&gt;0",③スチコン工程入力!$M$5:$M$152,"&gt;0")+SUMIFS(⑪ZEN工程入力!$I$6:$I$35,⑪ZEN工程入力!$S$6:$S$35,$J184,⑪ZEN工程入力!$I$6:$I$35,"&gt;0",⑪ZEN工程入力!$M$6:$M$35,"&gt;0")+SUMIFS(⑫ミキサー工程入力!$I$6:$I$65,⑫ミキサー工程入力!$S$6:$S$65,$J184,⑫ミキサー工程入力!$I$6:$I$65,"&gt;0",⑫ミキサー工程入力!$M$6:$M$65,"&gt;0")+SUMIFS(⑬計量工程入力!$I$6:$I$65,⑬計量工程入力!$S$6:$S$65,$J184,⑬計量工程入力!$I$6:$I$65,"&gt;0",⑬計量工程入力!$M$6:$M$65,"&gt;0")+SUMIFS(⑭手動工程入力!$I$6:$I$47,⑭手動工程入力!$S$6:$S$47,$J184,⑭手動工程入力!$I$6:$I$47,"&gt;0",⑭手動工程入力!$M$6:$M$47,"&gt;0"))</f>
        <v/>
      </c>
      <c r="N184" s="393">
        <f>IF($J184="",0,SUMIFS(②釜工程入力!$M$5:$M$117,②釜工程入力!$S$5:$S$117,$J184,②釜工程入力!$J$5:$J$117,"&gt;0")-SUMIFS(②釜工程入力!$M$5:$M$117,②釜工程入力!$S$5:$S$117,$J184,②釜工程入力!$J$5:$J$117,"&gt;0",②釜工程入力!$I$5:$I$117,"&gt;0")+SUMIFS(③スチコン工程入力!$M$5:$M$152,③スチコン工程入力!$S$5:$S$152,$J184,③スチコン工程入力!$J$5:$J$152,"&gt;0")-SUMIFS(③スチコン工程入力!$M$5:$M$152,③スチコン工程入力!$S$5:$S$152,$J184,③スチコン工程入力!$J$5:$J$152,"&gt;0",③スチコン工程入力!$I$5:$I$152,"&gt;0")+SUMIFS(⑪ZEN工程入力!$M$6:$M$35,⑪ZEN工程入力!$S$6:$S$35,$J184,⑪ZEN工程入力!$J$6:$J$35,"&gt;0")-SUMIFS(⑪ZEN工程入力!$M$6:$M$35,⑪ZEN工程入力!$S$6:$S$35,$J184,⑪ZEN工程入力!$J$6:$J$35,"&gt;0",⑪ZEN工程入力!$I$6:$I$35,"&gt;0")+SUMIFS(⑫ミキサー工程入力!$M$6:$M$65,⑫ミキサー工程入力!$S$6:$S$65,$J184,⑫ミキサー工程入力!$J$6:$J$65,"&gt;0")-SUMIFS(⑫ミキサー工程入力!$M$6:$M$65,⑫ミキサー工程入力!$S$6:$S$65,$J184,⑫ミキサー工程入力!$J$6:$J$65,"&gt;0",⑫ミキサー工程入力!$I$6:$I$65,"&gt;0")+SUMIFS(⑬計量工程入力!$M$6:$M$65,⑬計量工程入力!$S$6:$S$65,$J184,⑬計量工程入力!$J$6:$J$65,"&gt;0")-SUMIFS(⑬計量工程入力!$M$6:$M$65,⑬計量工程入力!$S$6:$S$65,$J184,⑬計量工程入力!$J$6:$J$65,"&gt;0",⑬計量工程入力!$I$6:$I$65,"&gt;0")+SUMIFS(⑭手動工程入力!$M$6:$M$47,⑭手動工程入力!$S$6:$S$47,$J184,⑭手動工程入力!$J$6:$J$47,"&gt;0")-SUMIFS(⑭手動工程入力!$M$6:$M$47,⑭手動工程入力!$S$6:$S$47,$J184,⑭手動工程入力!$J$6:$J$47,"&gt;0",⑭手動工程入力!$I$6:$I$47,"&gt;0"))</f>
        <v/>
      </c>
      <c r="O184" s="393">
        <f>IF($J184="",0,SUMIFS(②釜工程入力!$J$5:$J$117,②釜工程入力!$S$5:$S$117,$J184,②釜工程入力!$J$5:$J$117,"&gt;0",②釜工程入力!$M$5:$M$117,"&gt;0")-SUMIFS(②釜工程入力!$J$5:$J$117,②釜工程入力!$S$5:$S$117,$J184,②釜工程入力!$J$5:$J$117,"&gt;0",②釜工程入力!$I$5:$I$117,"&gt;0",②釜工程入力!$M$5:$M$117,"&gt;0")+SUMIFS(③スチコン工程入力!$J$5:$J$152,③スチコン工程入力!$S$5:$S$152,$J184,③スチコン工程入力!$J$5:$J$152,"&gt;0",③スチコン工程入力!$M$5:$M$152,"&gt;0")-SUMIFS(③スチコン工程入力!$J$5:$J$152,③スチコン工程入力!$S$5:$S$152,$J184,③スチコン工程入力!$J$5:$J$152,"&gt;0",③スチコン工程入力!$I$5:$I$152,"&gt;0",③スチコン工程入力!$M$5:$M$152,"&gt;0")+SUMIFS(⑪ZEN工程入力!$J$6:$J$35,⑪ZEN工程入力!$S$6:$S$35,$J184,⑪ZEN工程入力!$J$6:$J$35,"&gt;0",⑪ZEN工程入力!$M$6:$M$35,"&gt;0")-SUMIFS(⑪ZEN工程入力!$J$6:$J$35,⑪ZEN工程入力!$S$6:$S$35,$J184,⑪ZEN工程入力!$J$6:$J$35,"&gt;0",⑪ZEN工程入力!$I$6:$I$35,"&gt;0",⑪ZEN工程入力!$M$6:$M$35,"&gt;0")+SUMIFS(⑫ミキサー工程入力!$J$6:$J$65,⑫ミキサー工程入力!$S$6:$S$65,$J184,⑫ミキサー工程入力!$J$6:$J$65,"&gt;0",⑫ミキサー工程入力!$M$6:$M$65,"&gt;0")-SUMIFS(⑫ミキサー工程入力!$J$6:$J$65,⑫ミキサー工程入力!$S$6:$S$65,$J184,⑫ミキサー工程入力!$J$6:$J$65,"&gt;0",⑫ミキサー工程入力!$I$6:$I$65,"&gt;0",⑫ミキサー工程入力!$M$6:$M$65,"&gt;0")+SUMIFS(⑬計量工程入力!$J$6:$J$65,⑬計量工程入力!$S$6:$S$65,$J184,⑬計量工程入力!$J$6:$J$65,"&gt;0",⑬計量工程入力!$M$6:$M$65,"&gt;0")-SUMIFS(⑬計量工程入力!$J$6:$J$65,⑬計量工程入力!$S$6:$S$65,$J184,⑬計量工程入力!$J$6:$J$65,"&gt;0",⑬計量工程入力!$I$6:$I$65,"&gt;0",⑬計量工程入力!$M$6:$M$65,"&gt;0")+SUMIFS(⑭手動工程入力!$J$6:$J$47,⑭手動工程入力!$S$6:$S$47,$J184,⑭手動工程入力!$J$6:$J$47,"&gt;0",⑭手動工程入力!$M$6:$M$47,"&gt;0")-SUMIFS(⑭手動工程入力!$J$6:$J$47,⑭手動工程入力!$S$6:$S$47,$J184,⑭手動工程入力!$J$6:$J$47,"&gt;0",⑭手動工程入力!$I$6:$I$47,"&gt;0",⑭手動工程入力!$M$6:$M$47,"&gt;0"))</f>
        <v/>
      </c>
      <c r="P184" s="392" t="n"/>
    </row>
    <row r="185">
      <c r="A185" s="392" t="n">
        <v>181</v>
      </c>
      <c r="B185" s="392" t="n"/>
      <c r="C185" s="392" t="n"/>
      <c r="D185" s="392" t="n"/>
      <c r="E185" s="392" t="n"/>
      <c r="F185" s="394" t="n"/>
      <c r="G185" s="392" t="n"/>
      <c r="H185" s="604">
        <f>IFERROR(IF(AND($K185&gt;0,ISNUMBER(IF(OR($D185="g",$D185="ｇ"),IF($M185&gt;0,$L185/$M185/1000,""),IF($D185="kg",IF($M185&gt;0,$L185/$M185,""),IF($D185="",IF($M185&gt;0,$L185/$M185/1000,IF($O185&gt;0,$N185/$O185,"")),IF($O185&gt;0,$N185/$O185,"")))))),IF(OR($D185="g",$D185="ｇ"),IF($M185&gt;0,$L185/$M185/1000,""),IF($D185="kg",IF($M185&gt;0,$L185/$M185,""),IF($D185="",IF($M185&gt;0,$L185/$M185/1000,IF($O185&gt;0,$N185/$O185,"")),IF($O185&gt;0,$N185/$O185,"")))),IF($F185="",IF(OR($E185="",$E185="⑩盛付梱包工程入力"),"",IF(OR($D185="g",$D185="ｇ"),INDEX(⑰工程労務費一覧!$N$5:$N$11,MATCH($E185,⑰工程労務費一覧!$K$5:$K$11,0))/1000,IF($D185="kg",INDEX(⑰工程労務費一覧!$N$5:$N$11,MATCH($E185,⑰工程労務費一覧!$K$5:$K$11,0)),IF(OR($D185="個",$D185="切",$D185="本",$D185="枚",$D185="尾"),IF($E185="⑬計量工程入力","",INDEX(⑰工程労務費一覧!$P$5:$P$11,MATCH($E185,⑰工程労務費一覧!$K$5:$K$11,0))),IF(AND($D185="",OR($E185="②釜工程入力",$E185="③スチコン工程入力")),INDEX(⑰工程労務費一覧!$N$5:$N$11,MATCH($E185,⑰工程労務費一覧!$K$5:$K$11,0))/1000,""))))),IF(OR($D185="g",$D185="ｇ"),INDEX(⑰工程労務費一覧!$H$5:$H$753,MATCH($F185,⑰工程労務費一覧!$D$5:$D$753,0))/1000,IF($D185="kg",INDEX(⑰工程労務費一覧!$H$5:$H$753,MATCH($F185,⑰工程労務費一覧!$D$5:$D$753,0)),INDEX(⑰工程労務費一覧!$I$5:$I$753,MATCH($F185,⑰工程労務費一覧!$D$5:$D$753,0)))))),"")</f>
        <v/>
      </c>
      <c r="I185" s="392">
        <f>IF($K185&gt;0,IF(ISNUMBER(IF(OR($D185="g",$D185="ｇ"),IF($M185&gt;0,$L185/$M185/1000,""),IF($D185="kg",IF($M185&gt;0,$L185/$M185,""),IF($D185="",IF($M185&gt;0,$L185/$M185/1000,IF($O185&gt;0,$N185/$O185,"")),IF($O185&gt;0,$N185/$O185,""))))),IF($D185="",IF($M185&gt;0,"◎ JAN紐づけ(g扱い)","◎ JAN紐づけ(個扱い)"),"◎ JAN紐づけ"),"△ JAN紐づけ済・実績不足→仮計算"),IF($F185="",IF(ISNUMBER($H185),IF($D185="","⑤ 工程平均で仮計算(g扱い)","⑤ 工程平均で仮計算"),IF($E185="⑩盛付梱包工程入力","⑥ 盛り込み(⑳F列で計上)",IF(AND($E185="⑬計量工程入力",OR($D185="個",$D185="切",$D185="本",$D185="枚",$D185="尾")),"① 未紐づけ(カット個単位は仮単価なし)","① 未紐づけ"))),IF(NOT(ISNUMBER($H185)),"② 工程側に単価なし",IF($D185="","③ 単位未設定(個で計算)","④ OK"))))</f>
        <v/>
      </c>
      <c r="J185" s="399">
        <f>IFERROR(LOOKUP(2,1/((中間品リスト!$F$2:$F$1299=$B185)*(中間品リスト!$E$2:$E$1299&lt;&gt;"-")*(中間品リスト!$E$2:$E$1299&lt;&gt;"")),中間品リスト!$E$2:$E$1299),"")</f>
        <v/>
      </c>
      <c r="K185" s="400">
        <f>IF($J185="",0,COUNTIF(②釜工程入力!$S$5:$S$117,$J185)+COUNTIF(③スチコン工程入力!$S$5:$S$152,$J185)+COUNTIF(⑪ZEN工程入力!$S$6:$S$35,$J185)+COUNTIF(⑫ミキサー工程入力!$S$6:$S$65,$J185)+COUNTIF(⑬計量工程入力!$S$6:$S$65,$J185)+COUNTIF(⑭手動工程入力!$S$6:$S$47,$J185))</f>
        <v/>
      </c>
      <c r="L185" s="393">
        <f>IF($J185="",0,SUMIFS(②釜工程入力!$M$5:$M$117,②釜工程入力!$S$5:$S$117,$J185,②釜工程入力!$I$5:$I$117,"&gt;0")+SUMIFS(③スチコン工程入力!$M$5:$M$152,③スチコン工程入力!$S$5:$S$152,$J185,③スチコン工程入力!$I$5:$I$152,"&gt;0")+SUMIFS(⑪ZEN工程入力!$M$6:$M$35,⑪ZEN工程入力!$S$6:$S$35,$J185,⑪ZEN工程入力!$I$6:$I$35,"&gt;0")+SUMIFS(⑫ミキサー工程入力!$M$6:$M$65,⑫ミキサー工程入力!$S$6:$S$65,$J185,⑫ミキサー工程入力!$I$6:$I$65,"&gt;0")+SUMIFS(⑬計量工程入力!$M$6:$M$65,⑬計量工程入力!$S$6:$S$65,$J185,⑬計量工程入力!$I$6:$I$65,"&gt;0")+SUMIFS(⑭手動工程入力!$M$6:$M$47,⑭手動工程入力!$S$6:$S$47,$J185,⑭手動工程入力!$I$6:$I$47,"&gt;0"))</f>
        <v/>
      </c>
      <c r="M185" s="393">
        <f>IF($J185="",0,SUMIFS(②釜工程入力!$I$5:$I$117,②釜工程入力!$S$5:$S$117,$J185,②釜工程入力!$I$5:$I$117,"&gt;0",②釜工程入力!$M$5:$M$117,"&gt;0")+SUMIFS(③スチコン工程入力!$I$5:$I$152,③スチコン工程入力!$S$5:$S$152,$J185,③スチコン工程入力!$I$5:$I$152,"&gt;0",③スチコン工程入力!$M$5:$M$152,"&gt;0")+SUMIFS(⑪ZEN工程入力!$I$6:$I$35,⑪ZEN工程入力!$S$6:$S$35,$J185,⑪ZEN工程入力!$I$6:$I$35,"&gt;0",⑪ZEN工程入力!$M$6:$M$35,"&gt;0")+SUMIFS(⑫ミキサー工程入力!$I$6:$I$65,⑫ミキサー工程入力!$S$6:$S$65,$J185,⑫ミキサー工程入力!$I$6:$I$65,"&gt;0",⑫ミキサー工程入力!$M$6:$M$65,"&gt;0")+SUMIFS(⑬計量工程入力!$I$6:$I$65,⑬計量工程入力!$S$6:$S$65,$J185,⑬計量工程入力!$I$6:$I$65,"&gt;0",⑬計量工程入力!$M$6:$M$65,"&gt;0")+SUMIFS(⑭手動工程入力!$I$6:$I$47,⑭手動工程入力!$S$6:$S$47,$J185,⑭手動工程入力!$I$6:$I$47,"&gt;0",⑭手動工程入力!$M$6:$M$47,"&gt;0"))</f>
        <v/>
      </c>
      <c r="N185" s="393">
        <f>IF($J185="",0,SUMIFS(②釜工程入力!$M$5:$M$117,②釜工程入力!$S$5:$S$117,$J185,②釜工程入力!$J$5:$J$117,"&gt;0")-SUMIFS(②釜工程入力!$M$5:$M$117,②釜工程入力!$S$5:$S$117,$J185,②釜工程入力!$J$5:$J$117,"&gt;0",②釜工程入力!$I$5:$I$117,"&gt;0")+SUMIFS(③スチコン工程入力!$M$5:$M$152,③スチコン工程入力!$S$5:$S$152,$J185,③スチコン工程入力!$J$5:$J$152,"&gt;0")-SUMIFS(③スチコン工程入力!$M$5:$M$152,③スチコン工程入力!$S$5:$S$152,$J185,③スチコン工程入力!$J$5:$J$152,"&gt;0",③スチコン工程入力!$I$5:$I$152,"&gt;0")+SUMIFS(⑪ZEN工程入力!$M$6:$M$35,⑪ZEN工程入力!$S$6:$S$35,$J185,⑪ZEN工程入力!$J$6:$J$35,"&gt;0")-SUMIFS(⑪ZEN工程入力!$M$6:$M$35,⑪ZEN工程入力!$S$6:$S$35,$J185,⑪ZEN工程入力!$J$6:$J$35,"&gt;0",⑪ZEN工程入力!$I$6:$I$35,"&gt;0")+SUMIFS(⑫ミキサー工程入力!$M$6:$M$65,⑫ミキサー工程入力!$S$6:$S$65,$J185,⑫ミキサー工程入力!$J$6:$J$65,"&gt;0")-SUMIFS(⑫ミキサー工程入力!$M$6:$M$65,⑫ミキサー工程入力!$S$6:$S$65,$J185,⑫ミキサー工程入力!$J$6:$J$65,"&gt;0",⑫ミキサー工程入力!$I$6:$I$65,"&gt;0")+SUMIFS(⑬計量工程入力!$M$6:$M$65,⑬計量工程入力!$S$6:$S$65,$J185,⑬計量工程入力!$J$6:$J$65,"&gt;0")-SUMIFS(⑬計量工程入力!$M$6:$M$65,⑬計量工程入力!$S$6:$S$65,$J185,⑬計量工程入力!$J$6:$J$65,"&gt;0",⑬計量工程入力!$I$6:$I$65,"&gt;0")+SUMIFS(⑭手動工程入力!$M$6:$M$47,⑭手動工程入力!$S$6:$S$47,$J185,⑭手動工程入力!$J$6:$J$47,"&gt;0")-SUMIFS(⑭手動工程入力!$M$6:$M$47,⑭手動工程入力!$S$6:$S$47,$J185,⑭手動工程入力!$J$6:$J$47,"&gt;0",⑭手動工程入力!$I$6:$I$47,"&gt;0"))</f>
        <v/>
      </c>
      <c r="O185" s="393">
        <f>IF($J185="",0,SUMIFS(②釜工程入力!$J$5:$J$117,②釜工程入力!$S$5:$S$117,$J185,②釜工程入力!$J$5:$J$117,"&gt;0",②釜工程入力!$M$5:$M$117,"&gt;0")-SUMIFS(②釜工程入力!$J$5:$J$117,②釜工程入力!$S$5:$S$117,$J185,②釜工程入力!$J$5:$J$117,"&gt;0",②釜工程入力!$I$5:$I$117,"&gt;0",②釜工程入力!$M$5:$M$117,"&gt;0")+SUMIFS(③スチコン工程入力!$J$5:$J$152,③スチコン工程入力!$S$5:$S$152,$J185,③スチコン工程入力!$J$5:$J$152,"&gt;0",③スチコン工程入力!$M$5:$M$152,"&gt;0")-SUMIFS(③スチコン工程入力!$J$5:$J$152,③スチコン工程入力!$S$5:$S$152,$J185,③スチコン工程入力!$J$5:$J$152,"&gt;0",③スチコン工程入力!$I$5:$I$152,"&gt;0",③スチコン工程入力!$M$5:$M$152,"&gt;0")+SUMIFS(⑪ZEN工程入力!$J$6:$J$35,⑪ZEN工程入力!$S$6:$S$35,$J185,⑪ZEN工程入力!$J$6:$J$35,"&gt;0",⑪ZEN工程入力!$M$6:$M$35,"&gt;0")-SUMIFS(⑪ZEN工程入力!$J$6:$J$35,⑪ZEN工程入力!$S$6:$S$35,$J185,⑪ZEN工程入力!$J$6:$J$35,"&gt;0",⑪ZEN工程入力!$I$6:$I$35,"&gt;0",⑪ZEN工程入力!$M$6:$M$35,"&gt;0")+SUMIFS(⑫ミキサー工程入力!$J$6:$J$65,⑫ミキサー工程入力!$S$6:$S$65,$J185,⑫ミキサー工程入力!$J$6:$J$65,"&gt;0",⑫ミキサー工程入力!$M$6:$M$65,"&gt;0")-SUMIFS(⑫ミキサー工程入力!$J$6:$J$65,⑫ミキサー工程入力!$S$6:$S$65,$J185,⑫ミキサー工程入力!$J$6:$J$65,"&gt;0",⑫ミキサー工程入力!$I$6:$I$65,"&gt;0",⑫ミキサー工程入力!$M$6:$M$65,"&gt;0")+SUMIFS(⑬計量工程入力!$J$6:$J$65,⑬計量工程入力!$S$6:$S$65,$J185,⑬計量工程入力!$J$6:$J$65,"&gt;0",⑬計量工程入力!$M$6:$M$65,"&gt;0")-SUMIFS(⑬計量工程入力!$J$6:$J$65,⑬計量工程入力!$S$6:$S$65,$J185,⑬計量工程入力!$J$6:$J$65,"&gt;0",⑬計量工程入力!$I$6:$I$65,"&gt;0",⑬計量工程入力!$M$6:$M$65,"&gt;0")+SUMIFS(⑭手動工程入力!$J$6:$J$47,⑭手動工程入力!$S$6:$S$47,$J185,⑭手動工程入力!$J$6:$J$47,"&gt;0",⑭手動工程入力!$M$6:$M$47,"&gt;0")-SUMIFS(⑭手動工程入力!$J$6:$J$47,⑭手動工程入力!$S$6:$S$47,$J185,⑭手動工程入力!$J$6:$J$47,"&gt;0",⑭手動工程入力!$I$6:$I$47,"&gt;0",⑭手動工程入力!$M$6:$M$47,"&gt;0"))</f>
        <v/>
      </c>
      <c r="P185" s="392" t="n"/>
    </row>
    <row r="186">
      <c r="A186" s="392" t="n">
        <v>182</v>
      </c>
      <c r="B186" s="392" t="n"/>
      <c r="C186" s="392" t="n"/>
      <c r="D186" s="392" t="n"/>
      <c r="E186" s="392" t="n"/>
      <c r="F186" s="394" t="n"/>
      <c r="G186" s="392" t="n"/>
      <c r="H186" s="604">
        <f>IFERROR(IF(AND($K186&gt;0,ISNUMBER(IF(OR($D186="g",$D186="ｇ"),IF($M186&gt;0,$L186/$M186/1000,""),IF($D186="kg",IF($M186&gt;0,$L186/$M186,""),IF($D186="",IF($M186&gt;0,$L186/$M186/1000,IF($O186&gt;0,$N186/$O186,"")),IF($O186&gt;0,$N186/$O186,"")))))),IF(OR($D186="g",$D186="ｇ"),IF($M186&gt;0,$L186/$M186/1000,""),IF($D186="kg",IF($M186&gt;0,$L186/$M186,""),IF($D186="",IF($M186&gt;0,$L186/$M186/1000,IF($O186&gt;0,$N186/$O186,"")),IF($O186&gt;0,$N186/$O186,"")))),IF($F186="",IF(OR($E186="",$E186="⑩盛付梱包工程入力"),"",IF(OR($D186="g",$D186="ｇ"),INDEX(⑰工程労務費一覧!$N$5:$N$11,MATCH($E186,⑰工程労務費一覧!$K$5:$K$11,0))/1000,IF($D186="kg",INDEX(⑰工程労務費一覧!$N$5:$N$11,MATCH($E186,⑰工程労務費一覧!$K$5:$K$11,0)),IF(OR($D186="個",$D186="切",$D186="本",$D186="枚",$D186="尾"),IF($E186="⑬計量工程入力","",INDEX(⑰工程労務費一覧!$P$5:$P$11,MATCH($E186,⑰工程労務費一覧!$K$5:$K$11,0))),IF(AND($D186="",OR($E186="②釜工程入力",$E186="③スチコン工程入力")),INDEX(⑰工程労務費一覧!$N$5:$N$11,MATCH($E186,⑰工程労務費一覧!$K$5:$K$11,0))/1000,""))))),IF(OR($D186="g",$D186="ｇ"),INDEX(⑰工程労務費一覧!$H$5:$H$753,MATCH($F186,⑰工程労務費一覧!$D$5:$D$753,0))/1000,IF($D186="kg",INDEX(⑰工程労務費一覧!$H$5:$H$753,MATCH($F186,⑰工程労務費一覧!$D$5:$D$753,0)),INDEX(⑰工程労務費一覧!$I$5:$I$753,MATCH($F186,⑰工程労務費一覧!$D$5:$D$753,0)))))),"")</f>
        <v/>
      </c>
      <c r="I186" s="392">
        <f>IF($K186&gt;0,IF(ISNUMBER(IF(OR($D186="g",$D186="ｇ"),IF($M186&gt;0,$L186/$M186/1000,""),IF($D186="kg",IF($M186&gt;0,$L186/$M186,""),IF($D186="",IF($M186&gt;0,$L186/$M186/1000,IF($O186&gt;0,$N186/$O186,"")),IF($O186&gt;0,$N186/$O186,""))))),IF($D186="",IF($M186&gt;0,"◎ JAN紐づけ(g扱い)","◎ JAN紐づけ(個扱い)"),"◎ JAN紐づけ"),"△ JAN紐づけ済・実績不足→仮計算"),IF($F186="",IF(ISNUMBER($H186),IF($D186="","⑤ 工程平均で仮計算(g扱い)","⑤ 工程平均で仮計算"),IF($E186="⑩盛付梱包工程入力","⑥ 盛り込み(⑳F列で計上)",IF(AND($E186="⑬計量工程入力",OR($D186="個",$D186="切",$D186="本",$D186="枚",$D186="尾")),"① 未紐づけ(カット個単位は仮単価なし)","① 未紐づけ"))),IF(NOT(ISNUMBER($H186)),"② 工程側に単価なし",IF($D186="","③ 単位未設定(個で計算)","④ OK"))))</f>
        <v/>
      </c>
      <c r="J186" s="399">
        <f>IFERROR(LOOKUP(2,1/((中間品リスト!$F$2:$F$1299=$B186)*(中間品リスト!$E$2:$E$1299&lt;&gt;"-")*(中間品リスト!$E$2:$E$1299&lt;&gt;"")),中間品リスト!$E$2:$E$1299),"")</f>
        <v/>
      </c>
      <c r="K186" s="400">
        <f>IF($J186="",0,COUNTIF(②釜工程入力!$S$5:$S$117,$J186)+COUNTIF(③スチコン工程入力!$S$5:$S$152,$J186)+COUNTIF(⑪ZEN工程入力!$S$6:$S$35,$J186)+COUNTIF(⑫ミキサー工程入力!$S$6:$S$65,$J186)+COUNTIF(⑬計量工程入力!$S$6:$S$65,$J186)+COUNTIF(⑭手動工程入力!$S$6:$S$47,$J186))</f>
        <v/>
      </c>
      <c r="L186" s="393">
        <f>IF($J186="",0,SUMIFS(②釜工程入力!$M$5:$M$117,②釜工程入力!$S$5:$S$117,$J186,②釜工程入力!$I$5:$I$117,"&gt;0")+SUMIFS(③スチコン工程入力!$M$5:$M$152,③スチコン工程入力!$S$5:$S$152,$J186,③スチコン工程入力!$I$5:$I$152,"&gt;0")+SUMIFS(⑪ZEN工程入力!$M$6:$M$35,⑪ZEN工程入力!$S$6:$S$35,$J186,⑪ZEN工程入力!$I$6:$I$35,"&gt;0")+SUMIFS(⑫ミキサー工程入力!$M$6:$M$65,⑫ミキサー工程入力!$S$6:$S$65,$J186,⑫ミキサー工程入力!$I$6:$I$65,"&gt;0")+SUMIFS(⑬計量工程入力!$M$6:$M$65,⑬計量工程入力!$S$6:$S$65,$J186,⑬計量工程入力!$I$6:$I$65,"&gt;0")+SUMIFS(⑭手動工程入力!$M$6:$M$47,⑭手動工程入力!$S$6:$S$47,$J186,⑭手動工程入力!$I$6:$I$47,"&gt;0"))</f>
        <v/>
      </c>
      <c r="M186" s="393">
        <f>IF($J186="",0,SUMIFS(②釜工程入力!$I$5:$I$117,②釜工程入力!$S$5:$S$117,$J186,②釜工程入力!$I$5:$I$117,"&gt;0",②釜工程入力!$M$5:$M$117,"&gt;0")+SUMIFS(③スチコン工程入力!$I$5:$I$152,③スチコン工程入力!$S$5:$S$152,$J186,③スチコン工程入力!$I$5:$I$152,"&gt;0",③スチコン工程入力!$M$5:$M$152,"&gt;0")+SUMIFS(⑪ZEN工程入力!$I$6:$I$35,⑪ZEN工程入力!$S$6:$S$35,$J186,⑪ZEN工程入力!$I$6:$I$35,"&gt;0",⑪ZEN工程入力!$M$6:$M$35,"&gt;0")+SUMIFS(⑫ミキサー工程入力!$I$6:$I$65,⑫ミキサー工程入力!$S$6:$S$65,$J186,⑫ミキサー工程入力!$I$6:$I$65,"&gt;0",⑫ミキサー工程入力!$M$6:$M$65,"&gt;0")+SUMIFS(⑬計量工程入力!$I$6:$I$65,⑬計量工程入力!$S$6:$S$65,$J186,⑬計量工程入力!$I$6:$I$65,"&gt;0",⑬計量工程入力!$M$6:$M$65,"&gt;0")+SUMIFS(⑭手動工程入力!$I$6:$I$47,⑭手動工程入力!$S$6:$S$47,$J186,⑭手動工程入力!$I$6:$I$47,"&gt;0",⑭手動工程入力!$M$6:$M$47,"&gt;0"))</f>
        <v/>
      </c>
      <c r="N186" s="393">
        <f>IF($J186="",0,SUMIFS(②釜工程入力!$M$5:$M$117,②釜工程入力!$S$5:$S$117,$J186,②釜工程入力!$J$5:$J$117,"&gt;0")-SUMIFS(②釜工程入力!$M$5:$M$117,②釜工程入力!$S$5:$S$117,$J186,②釜工程入力!$J$5:$J$117,"&gt;0",②釜工程入力!$I$5:$I$117,"&gt;0")+SUMIFS(③スチコン工程入力!$M$5:$M$152,③スチコン工程入力!$S$5:$S$152,$J186,③スチコン工程入力!$J$5:$J$152,"&gt;0")-SUMIFS(③スチコン工程入力!$M$5:$M$152,③スチコン工程入力!$S$5:$S$152,$J186,③スチコン工程入力!$J$5:$J$152,"&gt;0",③スチコン工程入力!$I$5:$I$152,"&gt;0")+SUMIFS(⑪ZEN工程入力!$M$6:$M$35,⑪ZEN工程入力!$S$6:$S$35,$J186,⑪ZEN工程入力!$J$6:$J$35,"&gt;0")-SUMIFS(⑪ZEN工程入力!$M$6:$M$35,⑪ZEN工程入力!$S$6:$S$35,$J186,⑪ZEN工程入力!$J$6:$J$35,"&gt;0",⑪ZEN工程入力!$I$6:$I$35,"&gt;0")+SUMIFS(⑫ミキサー工程入力!$M$6:$M$65,⑫ミキサー工程入力!$S$6:$S$65,$J186,⑫ミキサー工程入力!$J$6:$J$65,"&gt;0")-SUMIFS(⑫ミキサー工程入力!$M$6:$M$65,⑫ミキサー工程入力!$S$6:$S$65,$J186,⑫ミキサー工程入力!$J$6:$J$65,"&gt;0",⑫ミキサー工程入力!$I$6:$I$65,"&gt;0")+SUMIFS(⑬計量工程入力!$M$6:$M$65,⑬計量工程入力!$S$6:$S$65,$J186,⑬計量工程入力!$J$6:$J$65,"&gt;0")-SUMIFS(⑬計量工程入力!$M$6:$M$65,⑬計量工程入力!$S$6:$S$65,$J186,⑬計量工程入力!$J$6:$J$65,"&gt;0",⑬計量工程入力!$I$6:$I$65,"&gt;0")+SUMIFS(⑭手動工程入力!$M$6:$M$47,⑭手動工程入力!$S$6:$S$47,$J186,⑭手動工程入力!$J$6:$J$47,"&gt;0")-SUMIFS(⑭手動工程入力!$M$6:$M$47,⑭手動工程入力!$S$6:$S$47,$J186,⑭手動工程入力!$J$6:$J$47,"&gt;0",⑭手動工程入力!$I$6:$I$47,"&gt;0"))</f>
        <v/>
      </c>
      <c r="O186" s="393">
        <f>IF($J186="",0,SUMIFS(②釜工程入力!$J$5:$J$117,②釜工程入力!$S$5:$S$117,$J186,②釜工程入力!$J$5:$J$117,"&gt;0",②釜工程入力!$M$5:$M$117,"&gt;0")-SUMIFS(②釜工程入力!$J$5:$J$117,②釜工程入力!$S$5:$S$117,$J186,②釜工程入力!$J$5:$J$117,"&gt;0",②釜工程入力!$I$5:$I$117,"&gt;0",②釜工程入力!$M$5:$M$117,"&gt;0")+SUMIFS(③スチコン工程入力!$J$5:$J$152,③スチコン工程入力!$S$5:$S$152,$J186,③スチコン工程入力!$J$5:$J$152,"&gt;0",③スチコン工程入力!$M$5:$M$152,"&gt;0")-SUMIFS(③スチコン工程入力!$J$5:$J$152,③スチコン工程入力!$S$5:$S$152,$J186,③スチコン工程入力!$J$5:$J$152,"&gt;0",③スチコン工程入力!$I$5:$I$152,"&gt;0",③スチコン工程入力!$M$5:$M$152,"&gt;0")+SUMIFS(⑪ZEN工程入力!$J$6:$J$35,⑪ZEN工程入力!$S$6:$S$35,$J186,⑪ZEN工程入力!$J$6:$J$35,"&gt;0",⑪ZEN工程入力!$M$6:$M$35,"&gt;0")-SUMIFS(⑪ZEN工程入力!$J$6:$J$35,⑪ZEN工程入力!$S$6:$S$35,$J186,⑪ZEN工程入力!$J$6:$J$35,"&gt;0",⑪ZEN工程入力!$I$6:$I$35,"&gt;0",⑪ZEN工程入力!$M$6:$M$35,"&gt;0")+SUMIFS(⑫ミキサー工程入力!$J$6:$J$65,⑫ミキサー工程入力!$S$6:$S$65,$J186,⑫ミキサー工程入力!$J$6:$J$65,"&gt;0",⑫ミキサー工程入力!$M$6:$M$65,"&gt;0")-SUMIFS(⑫ミキサー工程入力!$J$6:$J$65,⑫ミキサー工程入力!$S$6:$S$65,$J186,⑫ミキサー工程入力!$J$6:$J$65,"&gt;0",⑫ミキサー工程入力!$I$6:$I$65,"&gt;0",⑫ミキサー工程入力!$M$6:$M$65,"&gt;0")+SUMIFS(⑬計量工程入力!$J$6:$J$65,⑬計量工程入力!$S$6:$S$65,$J186,⑬計量工程入力!$J$6:$J$65,"&gt;0",⑬計量工程入力!$M$6:$M$65,"&gt;0")-SUMIFS(⑬計量工程入力!$J$6:$J$65,⑬計量工程入力!$S$6:$S$65,$J186,⑬計量工程入力!$J$6:$J$65,"&gt;0",⑬計量工程入力!$I$6:$I$65,"&gt;0",⑬計量工程入力!$M$6:$M$65,"&gt;0")+SUMIFS(⑭手動工程入力!$J$6:$J$47,⑭手動工程入力!$S$6:$S$47,$J186,⑭手動工程入力!$J$6:$J$47,"&gt;0",⑭手動工程入力!$M$6:$M$47,"&gt;0")-SUMIFS(⑭手動工程入力!$J$6:$J$47,⑭手動工程入力!$S$6:$S$47,$J186,⑭手動工程入力!$J$6:$J$47,"&gt;0",⑭手動工程入力!$I$6:$I$47,"&gt;0",⑭手動工程入力!$M$6:$M$47,"&gt;0"))</f>
        <v/>
      </c>
      <c r="P186" s="392" t="n"/>
    </row>
    <row r="187">
      <c r="A187" s="392" t="n">
        <v>183</v>
      </c>
      <c r="B187" s="392" t="n"/>
      <c r="C187" s="392" t="n"/>
      <c r="D187" s="392" t="n"/>
      <c r="E187" s="392" t="n"/>
      <c r="F187" s="394" t="n"/>
      <c r="G187" s="392" t="n"/>
      <c r="H187" s="604">
        <f>IFERROR(IF(AND($K187&gt;0,ISNUMBER(IF(OR($D187="g",$D187="ｇ"),IF($M187&gt;0,$L187/$M187/1000,""),IF($D187="kg",IF($M187&gt;0,$L187/$M187,""),IF($D187="",IF($M187&gt;0,$L187/$M187/1000,IF($O187&gt;0,$N187/$O187,"")),IF($O187&gt;0,$N187/$O187,"")))))),IF(OR($D187="g",$D187="ｇ"),IF($M187&gt;0,$L187/$M187/1000,""),IF($D187="kg",IF($M187&gt;0,$L187/$M187,""),IF($D187="",IF($M187&gt;0,$L187/$M187/1000,IF($O187&gt;0,$N187/$O187,"")),IF($O187&gt;0,$N187/$O187,"")))),IF($F187="",IF(OR($E187="",$E187="⑩盛付梱包工程入力"),"",IF(OR($D187="g",$D187="ｇ"),INDEX(⑰工程労務費一覧!$N$5:$N$11,MATCH($E187,⑰工程労務費一覧!$K$5:$K$11,0))/1000,IF($D187="kg",INDEX(⑰工程労務費一覧!$N$5:$N$11,MATCH($E187,⑰工程労務費一覧!$K$5:$K$11,0)),IF(OR($D187="個",$D187="切",$D187="本",$D187="枚",$D187="尾"),IF($E187="⑬計量工程入力","",INDEX(⑰工程労務費一覧!$P$5:$P$11,MATCH($E187,⑰工程労務費一覧!$K$5:$K$11,0))),IF(AND($D187="",OR($E187="②釜工程入力",$E187="③スチコン工程入力")),INDEX(⑰工程労務費一覧!$N$5:$N$11,MATCH($E187,⑰工程労務費一覧!$K$5:$K$11,0))/1000,""))))),IF(OR($D187="g",$D187="ｇ"),INDEX(⑰工程労務費一覧!$H$5:$H$753,MATCH($F187,⑰工程労務費一覧!$D$5:$D$753,0))/1000,IF($D187="kg",INDEX(⑰工程労務費一覧!$H$5:$H$753,MATCH($F187,⑰工程労務費一覧!$D$5:$D$753,0)),INDEX(⑰工程労務費一覧!$I$5:$I$753,MATCH($F187,⑰工程労務費一覧!$D$5:$D$753,0)))))),"")</f>
        <v/>
      </c>
      <c r="I187" s="392">
        <f>IF($K187&gt;0,IF(ISNUMBER(IF(OR($D187="g",$D187="ｇ"),IF($M187&gt;0,$L187/$M187/1000,""),IF($D187="kg",IF($M187&gt;0,$L187/$M187,""),IF($D187="",IF($M187&gt;0,$L187/$M187/1000,IF($O187&gt;0,$N187/$O187,"")),IF($O187&gt;0,$N187/$O187,""))))),IF($D187="",IF($M187&gt;0,"◎ JAN紐づけ(g扱い)","◎ JAN紐づけ(個扱い)"),"◎ JAN紐づけ"),"△ JAN紐づけ済・実績不足→仮計算"),IF($F187="",IF(ISNUMBER($H187),IF($D187="","⑤ 工程平均で仮計算(g扱い)","⑤ 工程平均で仮計算"),IF($E187="⑩盛付梱包工程入力","⑥ 盛り込み(⑳F列で計上)",IF(AND($E187="⑬計量工程入力",OR($D187="個",$D187="切",$D187="本",$D187="枚",$D187="尾")),"① 未紐づけ(カット個単位は仮単価なし)","① 未紐づけ"))),IF(NOT(ISNUMBER($H187)),"② 工程側に単価なし",IF($D187="","③ 単位未設定(個で計算)","④ OK"))))</f>
        <v/>
      </c>
      <c r="J187" s="399">
        <f>IFERROR(LOOKUP(2,1/((中間品リスト!$F$2:$F$1299=$B187)*(中間品リスト!$E$2:$E$1299&lt;&gt;"-")*(中間品リスト!$E$2:$E$1299&lt;&gt;"")),中間品リスト!$E$2:$E$1299),"")</f>
        <v/>
      </c>
      <c r="K187" s="400">
        <f>IF($J187="",0,COUNTIF(②釜工程入力!$S$5:$S$117,$J187)+COUNTIF(③スチコン工程入力!$S$5:$S$152,$J187)+COUNTIF(⑪ZEN工程入力!$S$6:$S$35,$J187)+COUNTIF(⑫ミキサー工程入力!$S$6:$S$65,$J187)+COUNTIF(⑬計量工程入力!$S$6:$S$65,$J187)+COUNTIF(⑭手動工程入力!$S$6:$S$47,$J187))</f>
        <v/>
      </c>
      <c r="L187" s="393">
        <f>IF($J187="",0,SUMIFS(②釜工程入力!$M$5:$M$117,②釜工程入力!$S$5:$S$117,$J187,②釜工程入力!$I$5:$I$117,"&gt;0")+SUMIFS(③スチコン工程入力!$M$5:$M$152,③スチコン工程入力!$S$5:$S$152,$J187,③スチコン工程入力!$I$5:$I$152,"&gt;0")+SUMIFS(⑪ZEN工程入力!$M$6:$M$35,⑪ZEN工程入力!$S$6:$S$35,$J187,⑪ZEN工程入力!$I$6:$I$35,"&gt;0")+SUMIFS(⑫ミキサー工程入力!$M$6:$M$65,⑫ミキサー工程入力!$S$6:$S$65,$J187,⑫ミキサー工程入力!$I$6:$I$65,"&gt;0")+SUMIFS(⑬計量工程入力!$M$6:$M$65,⑬計量工程入力!$S$6:$S$65,$J187,⑬計量工程入力!$I$6:$I$65,"&gt;0")+SUMIFS(⑭手動工程入力!$M$6:$M$47,⑭手動工程入力!$S$6:$S$47,$J187,⑭手動工程入力!$I$6:$I$47,"&gt;0"))</f>
        <v/>
      </c>
      <c r="M187" s="393">
        <f>IF($J187="",0,SUMIFS(②釜工程入力!$I$5:$I$117,②釜工程入力!$S$5:$S$117,$J187,②釜工程入力!$I$5:$I$117,"&gt;0",②釜工程入力!$M$5:$M$117,"&gt;0")+SUMIFS(③スチコン工程入力!$I$5:$I$152,③スチコン工程入力!$S$5:$S$152,$J187,③スチコン工程入力!$I$5:$I$152,"&gt;0",③スチコン工程入力!$M$5:$M$152,"&gt;0")+SUMIFS(⑪ZEN工程入力!$I$6:$I$35,⑪ZEN工程入力!$S$6:$S$35,$J187,⑪ZEN工程入力!$I$6:$I$35,"&gt;0",⑪ZEN工程入力!$M$6:$M$35,"&gt;0")+SUMIFS(⑫ミキサー工程入力!$I$6:$I$65,⑫ミキサー工程入力!$S$6:$S$65,$J187,⑫ミキサー工程入力!$I$6:$I$65,"&gt;0",⑫ミキサー工程入力!$M$6:$M$65,"&gt;0")+SUMIFS(⑬計量工程入力!$I$6:$I$65,⑬計量工程入力!$S$6:$S$65,$J187,⑬計量工程入力!$I$6:$I$65,"&gt;0",⑬計量工程入力!$M$6:$M$65,"&gt;0")+SUMIFS(⑭手動工程入力!$I$6:$I$47,⑭手動工程入力!$S$6:$S$47,$J187,⑭手動工程入力!$I$6:$I$47,"&gt;0",⑭手動工程入力!$M$6:$M$47,"&gt;0"))</f>
        <v/>
      </c>
      <c r="N187" s="393">
        <f>IF($J187="",0,SUMIFS(②釜工程入力!$M$5:$M$117,②釜工程入力!$S$5:$S$117,$J187,②釜工程入力!$J$5:$J$117,"&gt;0")-SUMIFS(②釜工程入力!$M$5:$M$117,②釜工程入力!$S$5:$S$117,$J187,②釜工程入力!$J$5:$J$117,"&gt;0",②釜工程入力!$I$5:$I$117,"&gt;0")+SUMIFS(③スチコン工程入力!$M$5:$M$152,③スチコン工程入力!$S$5:$S$152,$J187,③スチコン工程入力!$J$5:$J$152,"&gt;0")-SUMIFS(③スチコン工程入力!$M$5:$M$152,③スチコン工程入力!$S$5:$S$152,$J187,③スチコン工程入力!$J$5:$J$152,"&gt;0",③スチコン工程入力!$I$5:$I$152,"&gt;0")+SUMIFS(⑪ZEN工程入力!$M$6:$M$35,⑪ZEN工程入力!$S$6:$S$35,$J187,⑪ZEN工程入力!$J$6:$J$35,"&gt;0")-SUMIFS(⑪ZEN工程入力!$M$6:$M$35,⑪ZEN工程入力!$S$6:$S$35,$J187,⑪ZEN工程入力!$J$6:$J$35,"&gt;0",⑪ZEN工程入力!$I$6:$I$35,"&gt;0")+SUMIFS(⑫ミキサー工程入力!$M$6:$M$65,⑫ミキサー工程入力!$S$6:$S$65,$J187,⑫ミキサー工程入力!$J$6:$J$65,"&gt;0")-SUMIFS(⑫ミキサー工程入力!$M$6:$M$65,⑫ミキサー工程入力!$S$6:$S$65,$J187,⑫ミキサー工程入力!$J$6:$J$65,"&gt;0",⑫ミキサー工程入力!$I$6:$I$65,"&gt;0")+SUMIFS(⑬計量工程入力!$M$6:$M$65,⑬計量工程入力!$S$6:$S$65,$J187,⑬計量工程入力!$J$6:$J$65,"&gt;0")-SUMIFS(⑬計量工程入力!$M$6:$M$65,⑬計量工程入力!$S$6:$S$65,$J187,⑬計量工程入力!$J$6:$J$65,"&gt;0",⑬計量工程入力!$I$6:$I$65,"&gt;0")+SUMIFS(⑭手動工程入力!$M$6:$M$47,⑭手動工程入力!$S$6:$S$47,$J187,⑭手動工程入力!$J$6:$J$47,"&gt;0")-SUMIFS(⑭手動工程入力!$M$6:$M$47,⑭手動工程入力!$S$6:$S$47,$J187,⑭手動工程入力!$J$6:$J$47,"&gt;0",⑭手動工程入力!$I$6:$I$47,"&gt;0"))</f>
        <v/>
      </c>
      <c r="O187" s="393">
        <f>IF($J187="",0,SUMIFS(②釜工程入力!$J$5:$J$117,②釜工程入力!$S$5:$S$117,$J187,②釜工程入力!$J$5:$J$117,"&gt;0",②釜工程入力!$M$5:$M$117,"&gt;0")-SUMIFS(②釜工程入力!$J$5:$J$117,②釜工程入力!$S$5:$S$117,$J187,②釜工程入力!$J$5:$J$117,"&gt;0",②釜工程入力!$I$5:$I$117,"&gt;0",②釜工程入力!$M$5:$M$117,"&gt;0")+SUMIFS(③スチコン工程入力!$J$5:$J$152,③スチコン工程入力!$S$5:$S$152,$J187,③スチコン工程入力!$J$5:$J$152,"&gt;0",③スチコン工程入力!$M$5:$M$152,"&gt;0")-SUMIFS(③スチコン工程入力!$J$5:$J$152,③スチコン工程入力!$S$5:$S$152,$J187,③スチコン工程入力!$J$5:$J$152,"&gt;0",③スチコン工程入力!$I$5:$I$152,"&gt;0",③スチコン工程入力!$M$5:$M$152,"&gt;0")+SUMIFS(⑪ZEN工程入力!$J$6:$J$35,⑪ZEN工程入力!$S$6:$S$35,$J187,⑪ZEN工程入力!$J$6:$J$35,"&gt;0",⑪ZEN工程入力!$M$6:$M$35,"&gt;0")-SUMIFS(⑪ZEN工程入力!$J$6:$J$35,⑪ZEN工程入力!$S$6:$S$35,$J187,⑪ZEN工程入力!$J$6:$J$35,"&gt;0",⑪ZEN工程入力!$I$6:$I$35,"&gt;0",⑪ZEN工程入力!$M$6:$M$35,"&gt;0")+SUMIFS(⑫ミキサー工程入力!$J$6:$J$65,⑫ミキサー工程入力!$S$6:$S$65,$J187,⑫ミキサー工程入力!$J$6:$J$65,"&gt;0",⑫ミキサー工程入力!$M$6:$M$65,"&gt;0")-SUMIFS(⑫ミキサー工程入力!$J$6:$J$65,⑫ミキサー工程入力!$S$6:$S$65,$J187,⑫ミキサー工程入力!$J$6:$J$65,"&gt;0",⑫ミキサー工程入力!$I$6:$I$65,"&gt;0",⑫ミキサー工程入力!$M$6:$M$65,"&gt;0")+SUMIFS(⑬計量工程入力!$J$6:$J$65,⑬計量工程入力!$S$6:$S$65,$J187,⑬計量工程入力!$J$6:$J$65,"&gt;0",⑬計量工程入力!$M$6:$M$65,"&gt;0")-SUMIFS(⑬計量工程入力!$J$6:$J$65,⑬計量工程入力!$S$6:$S$65,$J187,⑬計量工程入力!$J$6:$J$65,"&gt;0",⑬計量工程入力!$I$6:$I$65,"&gt;0",⑬計量工程入力!$M$6:$M$65,"&gt;0")+SUMIFS(⑭手動工程入力!$J$6:$J$47,⑭手動工程入力!$S$6:$S$47,$J187,⑭手動工程入力!$J$6:$J$47,"&gt;0",⑭手動工程入力!$M$6:$M$47,"&gt;0")-SUMIFS(⑭手動工程入力!$J$6:$J$47,⑭手動工程入力!$S$6:$S$47,$J187,⑭手動工程入力!$J$6:$J$47,"&gt;0",⑭手動工程入力!$I$6:$I$47,"&gt;0",⑭手動工程入力!$M$6:$M$47,"&gt;0"))</f>
        <v/>
      </c>
      <c r="P187" s="392" t="n"/>
    </row>
    <row r="188">
      <c r="A188" s="392" t="n">
        <v>184</v>
      </c>
      <c r="B188" s="392" t="n"/>
      <c r="C188" s="392" t="n"/>
      <c r="D188" s="392" t="n"/>
      <c r="E188" s="392" t="n"/>
      <c r="F188" s="394" t="n"/>
      <c r="G188" s="392" t="n"/>
      <c r="H188" s="604">
        <f>IFERROR(IF(AND($K188&gt;0,ISNUMBER(IF(OR($D188="g",$D188="ｇ"),IF($M188&gt;0,$L188/$M188/1000,""),IF($D188="kg",IF($M188&gt;0,$L188/$M188,""),IF($D188="",IF($M188&gt;0,$L188/$M188/1000,IF($O188&gt;0,$N188/$O188,"")),IF($O188&gt;0,$N188/$O188,"")))))),IF(OR($D188="g",$D188="ｇ"),IF($M188&gt;0,$L188/$M188/1000,""),IF($D188="kg",IF($M188&gt;0,$L188/$M188,""),IF($D188="",IF($M188&gt;0,$L188/$M188/1000,IF($O188&gt;0,$N188/$O188,"")),IF($O188&gt;0,$N188/$O188,"")))),IF($F188="",IF(OR($E188="",$E188="⑩盛付梱包工程入力"),"",IF(OR($D188="g",$D188="ｇ"),INDEX(⑰工程労務費一覧!$N$5:$N$11,MATCH($E188,⑰工程労務費一覧!$K$5:$K$11,0))/1000,IF($D188="kg",INDEX(⑰工程労務費一覧!$N$5:$N$11,MATCH($E188,⑰工程労務費一覧!$K$5:$K$11,0)),IF(OR($D188="個",$D188="切",$D188="本",$D188="枚",$D188="尾"),IF($E188="⑬計量工程入力","",INDEX(⑰工程労務費一覧!$P$5:$P$11,MATCH($E188,⑰工程労務費一覧!$K$5:$K$11,0))),IF(AND($D188="",OR($E188="②釜工程入力",$E188="③スチコン工程入力")),INDEX(⑰工程労務費一覧!$N$5:$N$11,MATCH($E188,⑰工程労務費一覧!$K$5:$K$11,0))/1000,""))))),IF(OR($D188="g",$D188="ｇ"),INDEX(⑰工程労務費一覧!$H$5:$H$753,MATCH($F188,⑰工程労務費一覧!$D$5:$D$753,0))/1000,IF($D188="kg",INDEX(⑰工程労務費一覧!$H$5:$H$753,MATCH($F188,⑰工程労務費一覧!$D$5:$D$753,0)),INDEX(⑰工程労務費一覧!$I$5:$I$753,MATCH($F188,⑰工程労務費一覧!$D$5:$D$753,0)))))),"")</f>
        <v/>
      </c>
      <c r="I188" s="392">
        <f>IF($K188&gt;0,IF(ISNUMBER(IF(OR($D188="g",$D188="ｇ"),IF($M188&gt;0,$L188/$M188/1000,""),IF($D188="kg",IF($M188&gt;0,$L188/$M188,""),IF($D188="",IF($M188&gt;0,$L188/$M188/1000,IF($O188&gt;0,$N188/$O188,"")),IF($O188&gt;0,$N188/$O188,""))))),IF($D188="",IF($M188&gt;0,"◎ JAN紐づけ(g扱い)","◎ JAN紐づけ(個扱い)"),"◎ JAN紐づけ"),"△ JAN紐づけ済・実績不足→仮計算"),IF($F188="",IF(ISNUMBER($H188),IF($D188="","⑤ 工程平均で仮計算(g扱い)","⑤ 工程平均で仮計算"),IF($E188="⑩盛付梱包工程入力","⑥ 盛り込み(⑳F列で計上)",IF(AND($E188="⑬計量工程入力",OR($D188="個",$D188="切",$D188="本",$D188="枚",$D188="尾")),"① 未紐づけ(カット個単位は仮単価なし)","① 未紐づけ"))),IF(NOT(ISNUMBER($H188)),"② 工程側に単価なし",IF($D188="","③ 単位未設定(個で計算)","④ OK"))))</f>
        <v/>
      </c>
      <c r="J188" s="399">
        <f>IFERROR(LOOKUP(2,1/((中間品リスト!$F$2:$F$1299=$B188)*(中間品リスト!$E$2:$E$1299&lt;&gt;"-")*(中間品リスト!$E$2:$E$1299&lt;&gt;"")),中間品リスト!$E$2:$E$1299),"")</f>
        <v/>
      </c>
      <c r="K188" s="400">
        <f>IF($J188="",0,COUNTIF(②釜工程入力!$S$5:$S$117,$J188)+COUNTIF(③スチコン工程入力!$S$5:$S$152,$J188)+COUNTIF(⑪ZEN工程入力!$S$6:$S$35,$J188)+COUNTIF(⑫ミキサー工程入力!$S$6:$S$65,$J188)+COUNTIF(⑬計量工程入力!$S$6:$S$65,$J188)+COUNTIF(⑭手動工程入力!$S$6:$S$47,$J188))</f>
        <v/>
      </c>
      <c r="L188" s="393">
        <f>IF($J188="",0,SUMIFS(②釜工程入力!$M$5:$M$117,②釜工程入力!$S$5:$S$117,$J188,②釜工程入力!$I$5:$I$117,"&gt;0")+SUMIFS(③スチコン工程入力!$M$5:$M$152,③スチコン工程入力!$S$5:$S$152,$J188,③スチコン工程入力!$I$5:$I$152,"&gt;0")+SUMIFS(⑪ZEN工程入力!$M$6:$M$35,⑪ZEN工程入力!$S$6:$S$35,$J188,⑪ZEN工程入力!$I$6:$I$35,"&gt;0")+SUMIFS(⑫ミキサー工程入力!$M$6:$M$65,⑫ミキサー工程入力!$S$6:$S$65,$J188,⑫ミキサー工程入力!$I$6:$I$65,"&gt;0")+SUMIFS(⑬計量工程入力!$M$6:$M$65,⑬計量工程入力!$S$6:$S$65,$J188,⑬計量工程入力!$I$6:$I$65,"&gt;0")+SUMIFS(⑭手動工程入力!$M$6:$M$47,⑭手動工程入力!$S$6:$S$47,$J188,⑭手動工程入力!$I$6:$I$47,"&gt;0"))</f>
        <v/>
      </c>
      <c r="M188" s="393">
        <f>IF($J188="",0,SUMIFS(②釜工程入力!$I$5:$I$117,②釜工程入力!$S$5:$S$117,$J188,②釜工程入力!$I$5:$I$117,"&gt;0",②釜工程入力!$M$5:$M$117,"&gt;0")+SUMIFS(③スチコン工程入力!$I$5:$I$152,③スチコン工程入力!$S$5:$S$152,$J188,③スチコン工程入力!$I$5:$I$152,"&gt;0",③スチコン工程入力!$M$5:$M$152,"&gt;0")+SUMIFS(⑪ZEN工程入力!$I$6:$I$35,⑪ZEN工程入力!$S$6:$S$35,$J188,⑪ZEN工程入力!$I$6:$I$35,"&gt;0",⑪ZEN工程入力!$M$6:$M$35,"&gt;0")+SUMIFS(⑫ミキサー工程入力!$I$6:$I$65,⑫ミキサー工程入力!$S$6:$S$65,$J188,⑫ミキサー工程入力!$I$6:$I$65,"&gt;0",⑫ミキサー工程入力!$M$6:$M$65,"&gt;0")+SUMIFS(⑬計量工程入力!$I$6:$I$65,⑬計量工程入力!$S$6:$S$65,$J188,⑬計量工程入力!$I$6:$I$65,"&gt;0",⑬計量工程入力!$M$6:$M$65,"&gt;0")+SUMIFS(⑭手動工程入力!$I$6:$I$47,⑭手動工程入力!$S$6:$S$47,$J188,⑭手動工程入力!$I$6:$I$47,"&gt;0",⑭手動工程入力!$M$6:$M$47,"&gt;0"))</f>
        <v/>
      </c>
      <c r="N188" s="393">
        <f>IF($J188="",0,SUMIFS(②釜工程入力!$M$5:$M$117,②釜工程入力!$S$5:$S$117,$J188,②釜工程入力!$J$5:$J$117,"&gt;0")-SUMIFS(②釜工程入力!$M$5:$M$117,②釜工程入力!$S$5:$S$117,$J188,②釜工程入力!$J$5:$J$117,"&gt;0",②釜工程入力!$I$5:$I$117,"&gt;0")+SUMIFS(③スチコン工程入力!$M$5:$M$152,③スチコン工程入力!$S$5:$S$152,$J188,③スチコン工程入力!$J$5:$J$152,"&gt;0")-SUMIFS(③スチコン工程入力!$M$5:$M$152,③スチコン工程入力!$S$5:$S$152,$J188,③スチコン工程入力!$J$5:$J$152,"&gt;0",③スチコン工程入力!$I$5:$I$152,"&gt;0")+SUMIFS(⑪ZEN工程入力!$M$6:$M$35,⑪ZEN工程入力!$S$6:$S$35,$J188,⑪ZEN工程入力!$J$6:$J$35,"&gt;0")-SUMIFS(⑪ZEN工程入力!$M$6:$M$35,⑪ZEN工程入力!$S$6:$S$35,$J188,⑪ZEN工程入力!$J$6:$J$35,"&gt;0",⑪ZEN工程入力!$I$6:$I$35,"&gt;0")+SUMIFS(⑫ミキサー工程入力!$M$6:$M$65,⑫ミキサー工程入力!$S$6:$S$65,$J188,⑫ミキサー工程入力!$J$6:$J$65,"&gt;0")-SUMIFS(⑫ミキサー工程入力!$M$6:$M$65,⑫ミキサー工程入力!$S$6:$S$65,$J188,⑫ミキサー工程入力!$J$6:$J$65,"&gt;0",⑫ミキサー工程入力!$I$6:$I$65,"&gt;0")+SUMIFS(⑬計量工程入力!$M$6:$M$65,⑬計量工程入力!$S$6:$S$65,$J188,⑬計量工程入力!$J$6:$J$65,"&gt;0")-SUMIFS(⑬計量工程入力!$M$6:$M$65,⑬計量工程入力!$S$6:$S$65,$J188,⑬計量工程入力!$J$6:$J$65,"&gt;0",⑬計量工程入力!$I$6:$I$65,"&gt;0")+SUMIFS(⑭手動工程入力!$M$6:$M$47,⑭手動工程入力!$S$6:$S$47,$J188,⑭手動工程入力!$J$6:$J$47,"&gt;0")-SUMIFS(⑭手動工程入力!$M$6:$M$47,⑭手動工程入力!$S$6:$S$47,$J188,⑭手動工程入力!$J$6:$J$47,"&gt;0",⑭手動工程入力!$I$6:$I$47,"&gt;0"))</f>
        <v/>
      </c>
      <c r="O188" s="393">
        <f>IF($J188="",0,SUMIFS(②釜工程入力!$J$5:$J$117,②釜工程入力!$S$5:$S$117,$J188,②釜工程入力!$J$5:$J$117,"&gt;0",②釜工程入力!$M$5:$M$117,"&gt;0")-SUMIFS(②釜工程入力!$J$5:$J$117,②釜工程入力!$S$5:$S$117,$J188,②釜工程入力!$J$5:$J$117,"&gt;0",②釜工程入力!$I$5:$I$117,"&gt;0",②釜工程入力!$M$5:$M$117,"&gt;0")+SUMIFS(③スチコン工程入力!$J$5:$J$152,③スチコン工程入力!$S$5:$S$152,$J188,③スチコン工程入力!$J$5:$J$152,"&gt;0",③スチコン工程入力!$M$5:$M$152,"&gt;0")-SUMIFS(③スチコン工程入力!$J$5:$J$152,③スチコン工程入力!$S$5:$S$152,$J188,③スチコン工程入力!$J$5:$J$152,"&gt;0",③スチコン工程入力!$I$5:$I$152,"&gt;0",③スチコン工程入力!$M$5:$M$152,"&gt;0")+SUMIFS(⑪ZEN工程入力!$J$6:$J$35,⑪ZEN工程入力!$S$6:$S$35,$J188,⑪ZEN工程入力!$J$6:$J$35,"&gt;0",⑪ZEN工程入力!$M$6:$M$35,"&gt;0")-SUMIFS(⑪ZEN工程入力!$J$6:$J$35,⑪ZEN工程入力!$S$6:$S$35,$J188,⑪ZEN工程入力!$J$6:$J$35,"&gt;0",⑪ZEN工程入力!$I$6:$I$35,"&gt;0",⑪ZEN工程入力!$M$6:$M$35,"&gt;0")+SUMIFS(⑫ミキサー工程入力!$J$6:$J$65,⑫ミキサー工程入力!$S$6:$S$65,$J188,⑫ミキサー工程入力!$J$6:$J$65,"&gt;0",⑫ミキサー工程入力!$M$6:$M$65,"&gt;0")-SUMIFS(⑫ミキサー工程入力!$J$6:$J$65,⑫ミキサー工程入力!$S$6:$S$65,$J188,⑫ミキサー工程入力!$J$6:$J$65,"&gt;0",⑫ミキサー工程入力!$I$6:$I$65,"&gt;0",⑫ミキサー工程入力!$M$6:$M$65,"&gt;0")+SUMIFS(⑬計量工程入力!$J$6:$J$65,⑬計量工程入力!$S$6:$S$65,$J188,⑬計量工程入力!$J$6:$J$65,"&gt;0",⑬計量工程入力!$M$6:$M$65,"&gt;0")-SUMIFS(⑬計量工程入力!$J$6:$J$65,⑬計量工程入力!$S$6:$S$65,$J188,⑬計量工程入力!$J$6:$J$65,"&gt;0",⑬計量工程入力!$I$6:$I$65,"&gt;0",⑬計量工程入力!$M$6:$M$65,"&gt;0")+SUMIFS(⑭手動工程入力!$J$6:$J$47,⑭手動工程入力!$S$6:$S$47,$J188,⑭手動工程入力!$J$6:$J$47,"&gt;0",⑭手動工程入力!$M$6:$M$47,"&gt;0")-SUMIFS(⑭手動工程入力!$J$6:$J$47,⑭手動工程入力!$S$6:$S$47,$J188,⑭手動工程入力!$J$6:$J$47,"&gt;0",⑭手動工程入力!$I$6:$I$47,"&gt;0",⑭手動工程入力!$M$6:$M$47,"&gt;0"))</f>
        <v/>
      </c>
      <c r="P188" s="392" t="n"/>
    </row>
    <row r="189">
      <c r="A189" s="392" t="n">
        <v>185</v>
      </c>
      <c r="B189" s="392" t="n"/>
      <c r="C189" s="392" t="n"/>
      <c r="D189" s="392" t="n"/>
      <c r="E189" s="392" t="n"/>
      <c r="F189" s="394" t="n"/>
      <c r="G189" s="392" t="n"/>
      <c r="H189" s="604">
        <f>IFERROR(IF(AND($K189&gt;0,ISNUMBER(IF(OR($D189="g",$D189="ｇ"),IF($M189&gt;0,$L189/$M189/1000,""),IF($D189="kg",IF($M189&gt;0,$L189/$M189,""),IF($D189="",IF($M189&gt;0,$L189/$M189/1000,IF($O189&gt;0,$N189/$O189,"")),IF($O189&gt;0,$N189/$O189,"")))))),IF(OR($D189="g",$D189="ｇ"),IF($M189&gt;0,$L189/$M189/1000,""),IF($D189="kg",IF($M189&gt;0,$L189/$M189,""),IF($D189="",IF($M189&gt;0,$L189/$M189/1000,IF($O189&gt;0,$N189/$O189,"")),IF($O189&gt;0,$N189/$O189,"")))),IF($F189="",IF(OR($E189="",$E189="⑩盛付梱包工程入力"),"",IF(OR($D189="g",$D189="ｇ"),INDEX(⑰工程労務費一覧!$N$5:$N$11,MATCH($E189,⑰工程労務費一覧!$K$5:$K$11,0))/1000,IF($D189="kg",INDEX(⑰工程労務費一覧!$N$5:$N$11,MATCH($E189,⑰工程労務費一覧!$K$5:$K$11,0)),IF(OR($D189="個",$D189="切",$D189="本",$D189="枚",$D189="尾"),IF($E189="⑬計量工程入力","",INDEX(⑰工程労務費一覧!$P$5:$P$11,MATCH($E189,⑰工程労務費一覧!$K$5:$K$11,0))),IF(AND($D189="",OR($E189="②釜工程入力",$E189="③スチコン工程入力")),INDEX(⑰工程労務費一覧!$N$5:$N$11,MATCH($E189,⑰工程労務費一覧!$K$5:$K$11,0))/1000,""))))),IF(OR($D189="g",$D189="ｇ"),INDEX(⑰工程労務費一覧!$H$5:$H$753,MATCH($F189,⑰工程労務費一覧!$D$5:$D$753,0))/1000,IF($D189="kg",INDEX(⑰工程労務費一覧!$H$5:$H$753,MATCH($F189,⑰工程労務費一覧!$D$5:$D$753,0)),INDEX(⑰工程労務費一覧!$I$5:$I$753,MATCH($F189,⑰工程労務費一覧!$D$5:$D$753,0)))))),"")</f>
        <v/>
      </c>
      <c r="I189" s="392">
        <f>IF($K189&gt;0,IF(ISNUMBER(IF(OR($D189="g",$D189="ｇ"),IF($M189&gt;0,$L189/$M189/1000,""),IF($D189="kg",IF($M189&gt;0,$L189/$M189,""),IF($D189="",IF($M189&gt;0,$L189/$M189/1000,IF($O189&gt;0,$N189/$O189,"")),IF($O189&gt;0,$N189/$O189,""))))),IF($D189="",IF($M189&gt;0,"◎ JAN紐づけ(g扱い)","◎ JAN紐づけ(個扱い)"),"◎ JAN紐づけ"),"△ JAN紐づけ済・実績不足→仮計算"),IF($F189="",IF(ISNUMBER($H189),IF($D189="","⑤ 工程平均で仮計算(g扱い)","⑤ 工程平均で仮計算"),IF($E189="⑩盛付梱包工程入力","⑥ 盛り込み(⑳F列で計上)",IF(AND($E189="⑬計量工程入力",OR($D189="個",$D189="切",$D189="本",$D189="枚",$D189="尾")),"① 未紐づけ(カット個単位は仮単価なし)","① 未紐づけ"))),IF(NOT(ISNUMBER($H189)),"② 工程側に単価なし",IF($D189="","③ 単位未設定(個で計算)","④ OK"))))</f>
        <v/>
      </c>
      <c r="J189" s="399">
        <f>IFERROR(LOOKUP(2,1/((中間品リスト!$F$2:$F$1299=$B189)*(中間品リスト!$E$2:$E$1299&lt;&gt;"-")*(中間品リスト!$E$2:$E$1299&lt;&gt;"")),中間品リスト!$E$2:$E$1299),"")</f>
        <v/>
      </c>
      <c r="K189" s="400">
        <f>IF($J189="",0,COUNTIF(②釜工程入力!$S$5:$S$117,$J189)+COUNTIF(③スチコン工程入力!$S$5:$S$152,$J189)+COUNTIF(⑪ZEN工程入力!$S$6:$S$35,$J189)+COUNTIF(⑫ミキサー工程入力!$S$6:$S$65,$J189)+COUNTIF(⑬計量工程入力!$S$6:$S$65,$J189)+COUNTIF(⑭手動工程入力!$S$6:$S$47,$J189))</f>
        <v/>
      </c>
      <c r="L189" s="393">
        <f>IF($J189="",0,SUMIFS(②釜工程入力!$M$5:$M$117,②釜工程入力!$S$5:$S$117,$J189,②釜工程入力!$I$5:$I$117,"&gt;0")+SUMIFS(③スチコン工程入力!$M$5:$M$152,③スチコン工程入力!$S$5:$S$152,$J189,③スチコン工程入力!$I$5:$I$152,"&gt;0")+SUMIFS(⑪ZEN工程入力!$M$6:$M$35,⑪ZEN工程入力!$S$6:$S$35,$J189,⑪ZEN工程入力!$I$6:$I$35,"&gt;0")+SUMIFS(⑫ミキサー工程入力!$M$6:$M$65,⑫ミキサー工程入力!$S$6:$S$65,$J189,⑫ミキサー工程入力!$I$6:$I$65,"&gt;0")+SUMIFS(⑬計量工程入力!$M$6:$M$65,⑬計量工程入力!$S$6:$S$65,$J189,⑬計量工程入力!$I$6:$I$65,"&gt;0")+SUMIFS(⑭手動工程入力!$M$6:$M$47,⑭手動工程入力!$S$6:$S$47,$J189,⑭手動工程入力!$I$6:$I$47,"&gt;0"))</f>
        <v/>
      </c>
      <c r="M189" s="393">
        <f>IF($J189="",0,SUMIFS(②釜工程入力!$I$5:$I$117,②釜工程入力!$S$5:$S$117,$J189,②釜工程入力!$I$5:$I$117,"&gt;0",②釜工程入力!$M$5:$M$117,"&gt;0")+SUMIFS(③スチコン工程入力!$I$5:$I$152,③スチコン工程入力!$S$5:$S$152,$J189,③スチコン工程入力!$I$5:$I$152,"&gt;0",③スチコン工程入力!$M$5:$M$152,"&gt;0")+SUMIFS(⑪ZEN工程入力!$I$6:$I$35,⑪ZEN工程入力!$S$6:$S$35,$J189,⑪ZEN工程入力!$I$6:$I$35,"&gt;0",⑪ZEN工程入力!$M$6:$M$35,"&gt;0")+SUMIFS(⑫ミキサー工程入力!$I$6:$I$65,⑫ミキサー工程入力!$S$6:$S$65,$J189,⑫ミキサー工程入力!$I$6:$I$65,"&gt;0",⑫ミキサー工程入力!$M$6:$M$65,"&gt;0")+SUMIFS(⑬計量工程入力!$I$6:$I$65,⑬計量工程入力!$S$6:$S$65,$J189,⑬計量工程入力!$I$6:$I$65,"&gt;0",⑬計量工程入力!$M$6:$M$65,"&gt;0")+SUMIFS(⑭手動工程入力!$I$6:$I$47,⑭手動工程入力!$S$6:$S$47,$J189,⑭手動工程入力!$I$6:$I$47,"&gt;0",⑭手動工程入力!$M$6:$M$47,"&gt;0"))</f>
        <v/>
      </c>
      <c r="N189" s="393">
        <f>IF($J189="",0,SUMIFS(②釜工程入力!$M$5:$M$117,②釜工程入力!$S$5:$S$117,$J189,②釜工程入力!$J$5:$J$117,"&gt;0")-SUMIFS(②釜工程入力!$M$5:$M$117,②釜工程入力!$S$5:$S$117,$J189,②釜工程入力!$J$5:$J$117,"&gt;0",②釜工程入力!$I$5:$I$117,"&gt;0")+SUMIFS(③スチコン工程入力!$M$5:$M$152,③スチコン工程入力!$S$5:$S$152,$J189,③スチコン工程入力!$J$5:$J$152,"&gt;0")-SUMIFS(③スチコン工程入力!$M$5:$M$152,③スチコン工程入力!$S$5:$S$152,$J189,③スチコン工程入力!$J$5:$J$152,"&gt;0",③スチコン工程入力!$I$5:$I$152,"&gt;0")+SUMIFS(⑪ZEN工程入力!$M$6:$M$35,⑪ZEN工程入力!$S$6:$S$35,$J189,⑪ZEN工程入力!$J$6:$J$35,"&gt;0")-SUMIFS(⑪ZEN工程入力!$M$6:$M$35,⑪ZEN工程入力!$S$6:$S$35,$J189,⑪ZEN工程入力!$J$6:$J$35,"&gt;0",⑪ZEN工程入力!$I$6:$I$35,"&gt;0")+SUMIFS(⑫ミキサー工程入力!$M$6:$M$65,⑫ミキサー工程入力!$S$6:$S$65,$J189,⑫ミキサー工程入力!$J$6:$J$65,"&gt;0")-SUMIFS(⑫ミキサー工程入力!$M$6:$M$65,⑫ミキサー工程入力!$S$6:$S$65,$J189,⑫ミキサー工程入力!$J$6:$J$65,"&gt;0",⑫ミキサー工程入力!$I$6:$I$65,"&gt;0")+SUMIFS(⑬計量工程入力!$M$6:$M$65,⑬計量工程入力!$S$6:$S$65,$J189,⑬計量工程入力!$J$6:$J$65,"&gt;0")-SUMIFS(⑬計量工程入力!$M$6:$M$65,⑬計量工程入力!$S$6:$S$65,$J189,⑬計量工程入力!$J$6:$J$65,"&gt;0",⑬計量工程入力!$I$6:$I$65,"&gt;0")+SUMIFS(⑭手動工程入力!$M$6:$M$47,⑭手動工程入力!$S$6:$S$47,$J189,⑭手動工程入力!$J$6:$J$47,"&gt;0")-SUMIFS(⑭手動工程入力!$M$6:$M$47,⑭手動工程入力!$S$6:$S$47,$J189,⑭手動工程入力!$J$6:$J$47,"&gt;0",⑭手動工程入力!$I$6:$I$47,"&gt;0"))</f>
        <v/>
      </c>
      <c r="O189" s="393">
        <f>IF($J189="",0,SUMIFS(②釜工程入力!$J$5:$J$117,②釜工程入力!$S$5:$S$117,$J189,②釜工程入力!$J$5:$J$117,"&gt;0",②釜工程入力!$M$5:$M$117,"&gt;0")-SUMIFS(②釜工程入力!$J$5:$J$117,②釜工程入力!$S$5:$S$117,$J189,②釜工程入力!$J$5:$J$117,"&gt;0",②釜工程入力!$I$5:$I$117,"&gt;0",②釜工程入力!$M$5:$M$117,"&gt;0")+SUMIFS(③スチコン工程入力!$J$5:$J$152,③スチコン工程入力!$S$5:$S$152,$J189,③スチコン工程入力!$J$5:$J$152,"&gt;0",③スチコン工程入力!$M$5:$M$152,"&gt;0")-SUMIFS(③スチコン工程入力!$J$5:$J$152,③スチコン工程入力!$S$5:$S$152,$J189,③スチコン工程入力!$J$5:$J$152,"&gt;0",③スチコン工程入力!$I$5:$I$152,"&gt;0",③スチコン工程入力!$M$5:$M$152,"&gt;0")+SUMIFS(⑪ZEN工程入力!$J$6:$J$35,⑪ZEN工程入力!$S$6:$S$35,$J189,⑪ZEN工程入力!$J$6:$J$35,"&gt;0",⑪ZEN工程入力!$M$6:$M$35,"&gt;0")-SUMIFS(⑪ZEN工程入力!$J$6:$J$35,⑪ZEN工程入力!$S$6:$S$35,$J189,⑪ZEN工程入力!$J$6:$J$35,"&gt;0",⑪ZEN工程入力!$I$6:$I$35,"&gt;0",⑪ZEN工程入力!$M$6:$M$35,"&gt;0")+SUMIFS(⑫ミキサー工程入力!$J$6:$J$65,⑫ミキサー工程入力!$S$6:$S$65,$J189,⑫ミキサー工程入力!$J$6:$J$65,"&gt;0",⑫ミキサー工程入力!$M$6:$M$65,"&gt;0")-SUMIFS(⑫ミキサー工程入力!$J$6:$J$65,⑫ミキサー工程入力!$S$6:$S$65,$J189,⑫ミキサー工程入力!$J$6:$J$65,"&gt;0",⑫ミキサー工程入力!$I$6:$I$65,"&gt;0",⑫ミキサー工程入力!$M$6:$M$65,"&gt;0")+SUMIFS(⑬計量工程入力!$J$6:$J$65,⑬計量工程入力!$S$6:$S$65,$J189,⑬計量工程入力!$J$6:$J$65,"&gt;0",⑬計量工程入力!$M$6:$M$65,"&gt;0")-SUMIFS(⑬計量工程入力!$J$6:$J$65,⑬計量工程入力!$S$6:$S$65,$J189,⑬計量工程入力!$J$6:$J$65,"&gt;0",⑬計量工程入力!$I$6:$I$65,"&gt;0",⑬計量工程入力!$M$6:$M$65,"&gt;0")+SUMIFS(⑭手動工程入力!$J$6:$J$47,⑭手動工程入力!$S$6:$S$47,$J189,⑭手動工程入力!$J$6:$J$47,"&gt;0",⑭手動工程入力!$M$6:$M$47,"&gt;0")-SUMIFS(⑭手動工程入力!$J$6:$J$47,⑭手動工程入力!$S$6:$S$47,$J189,⑭手動工程入力!$J$6:$J$47,"&gt;0",⑭手動工程入力!$I$6:$I$47,"&gt;0",⑭手動工程入力!$M$6:$M$47,"&gt;0"))</f>
        <v/>
      </c>
      <c r="P189" s="392" t="n"/>
    </row>
    <row r="190">
      <c r="A190" s="392" t="n">
        <v>186</v>
      </c>
      <c r="B190" s="392" t="n"/>
      <c r="C190" s="392" t="n"/>
      <c r="D190" s="392" t="n"/>
      <c r="E190" s="392" t="n"/>
      <c r="F190" s="394" t="n"/>
      <c r="G190" s="392" t="n"/>
      <c r="H190" s="604">
        <f>IFERROR(IF(AND($K190&gt;0,ISNUMBER(IF(OR($D190="g",$D190="ｇ"),IF($M190&gt;0,$L190/$M190/1000,""),IF($D190="kg",IF($M190&gt;0,$L190/$M190,""),IF($D190="",IF($M190&gt;0,$L190/$M190/1000,IF($O190&gt;0,$N190/$O190,"")),IF($O190&gt;0,$N190/$O190,"")))))),IF(OR($D190="g",$D190="ｇ"),IF($M190&gt;0,$L190/$M190/1000,""),IF($D190="kg",IF($M190&gt;0,$L190/$M190,""),IF($D190="",IF($M190&gt;0,$L190/$M190/1000,IF($O190&gt;0,$N190/$O190,"")),IF($O190&gt;0,$N190/$O190,"")))),IF($F190="",IF(OR($E190="",$E190="⑩盛付梱包工程入力"),"",IF(OR($D190="g",$D190="ｇ"),INDEX(⑰工程労務費一覧!$N$5:$N$11,MATCH($E190,⑰工程労務費一覧!$K$5:$K$11,0))/1000,IF($D190="kg",INDEX(⑰工程労務費一覧!$N$5:$N$11,MATCH($E190,⑰工程労務費一覧!$K$5:$K$11,0)),IF(OR($D190="個",$D190="切",$D190="本",$D190="枚",$D190="尾"),IF($E190="⑬計量工程入力","",INDEX(⑰工程労務費一覧!$P$5:$P$11,MATCH($E190,⑰工程労務費一覧!$K$5:$K$11,0))),IF(AND($D190="",OR($E190="②釜工程入力",$E190="③スチコン工程入力")),INDEX(⑰工程労務費一覧!$N$5:$N$11,MATCH($E190,⑰工程労務費一覧!$K$5:$K$11,0))/1000,""))))),IF(OR($D190="g",$D190="ｇ"),INDEX(⑰工程労務費一覧!$H$5:$H$753,MATCH($F190,⑰工程労務費一覧!$D$5:$D$753,0))/1000,IF($D190="kg",INDEX(⑰工程労務費一覧!$H$5:$H$753,MATCH($F190,⑰工程労務費一覧!$D$5:$D$753,0)),INDEX(⑰工程労務費一覧!$I$5:$I$753,MATCH($F190,⑰工程労務費一覧!$D$5:$D$753,0)))))),"")</f>
        <v/>
      </c>
      <c r="I190" s="392">
        <f>IF($K190&gt;0,IF(ISNUMBER(IF(OR($D190="g",$D190="ｇ"),IF($M190&gt;0,$L190/$M190/1000,""),IF($D190="kg",IF($M190&gt;0,$L190/$M190,""),IF($D190="",IF($M190&gt;0,$L190/$M190/1000,IF($O190&gt;0,$N190/$O190,"")),IF($O190&gt;0,$N190/$O190,""))))),IF($D190="",IF($M190&gt;0,"◎ JAN紐づけ(g扱い)","◎ JAN紐づけ(個扱い)"),"◎ JAN紐づけ"),"△ JAN紐づけ済・実績不足→仮計算"),IF($F190="",IF(ISNUMBER($H190),IF($D190="","⑤ 工程平均で仮計算(g扱い)","⑤ 工程平均で仮計算"),IF($E190="⑩盛付梱包工程入力","⑥ 盛り込み(⑳F列で計上)",IF(AND($E190="⑬計量工程入力",OR($D190="個",$D190="切",$D190="本",$D190="枚",$D190="尾")),"① 未紐づけ(カット個単位は仮単価なし)","① 未紐づけ"))),IF(NOT(ISNUMBER($H190)),"② 工程側に単価なし",IF($D190="","③ 単位未設定(個で計算)","④ OK"))))</f>
        <v/>
      </c>
      <c r="J190" s="399">
        <f>IFERROR(LOOKUP(2,1/((中間品リスト!$F$2:$F$1299=$B190)*(中間品リスト!$E$2:$E$1299&lt;&gt;"-")*(中間品リスト!$E$2:$E$1299&lt;&gt;"")),中間品リスト!$E$2:$E$1299),"")</f>
        <v/>
      </c>
      <c r="K190" s="400">
        <f>IF($J190="",0,COUNTIF(②釜工程入力!$S$5:$S$117,$J190)+COUNTIF(③スチコン工程入力!$S$5:$S$152,$J190)+COUNTIF(⑪ZEN工程入力!$S$6:$S$35,$J190)+COUNTIF(⑫ミキサー工程入力!$S$6:$S$65,$J190)+COUNTIF(⑬計量工程入力!$S$6:$S$65,$J190)+COUNTIF(⑭手動工程入力!$S$6:$S$47,$J190))</f>
        <v/>
      </c>
      <c r="L190" s="393">
        <f>IF($J190="",0,SUMIFS(②釜工程入力!$M$5:$M$117,②釜工程入力!$S$5:$S$117,$J190,②釜工程入力!$I$5:$I$117,"&gt;0")+SUMIFS(③スチコン工程入力!$M$5:$M$152,③スチコン工程入力!$S$5:$S$152,$J190,③スチコン工程入力!$I$5:$I$152,"&gt;0")+SUMIFS(⑪ZEN工程入力!$M$6:$M$35,⑪ZEN工程入力!$S$6:$S$35,$J190,⑪ZEN工程入力!$I$6:$I$35,"&gt;0")+SUMIFS(⑫ミキサー工程入力!$M$6:$M$65,⑫ミキサー工程入力!$S$6:$S$65,$J190,⑫ミキサー工程入力!$I$6:$I$65,"&gt;0")+SUMIFS(⑬計量工程入力!$M$6:$M$65,⑬計量工程入力!$S$6:$S$65,$J190,⑬計量工程入力!$I$6:$I$65,"&gt;0")+SUMIFS(⑭手動工程入力!$M$6:$M$47,⑭手動工程入力!$S$6:$S$47,$J190,⑭手動工程入力!$I$6:$I$47,"&gt;0"))</f>
        <v/>
      </c>
      <c r="M190" s="393">
        <f>IF($J190="",0,SUMIFS(②釜工程入力!$I$5:$I$117,②釜工程入力!$S$5:$S$117,$J190,②釜工程入力!$I$5:$I$117,"&gt;0",②釜工程入力!$M$5:$M$117,"&gt;0")+SUMIFS(③スチコン工程入力!$I$5:$I$152,③スチコン工程入力!$S$5:$S$152,$J190,③スチコン工程入力!$I$5:$I$152,"&gt;0",③スチコン工程入力!$M$5:$M$152,"&gt;0")+SUMIFS(⑪ZEN工程入力!$I$6:$I$35,⑪ZEN工程入力!$S$6:$S$35,$J190,⑪ZEN工程入力!$I$6:$I$35,"&gt;0",⑪ZEN工程入力!$M$6:$M$35,"&gt;0")+SUMIFS(⑫ミキサー工程入力!$I$6:$I$65,⑫ミキサー工程入力!$S$6:$S$65,$J190,⑫ミキサー工程入力!$I$6:$I$65,"&gt;0",⑫ミキサー工程入力!$M$6:$M$65,"&gt;0")+SUMIFS(⑬計量工程入力!$I$6:$I$65,⑬計量工程入力!$S$6:$S$65,$J190,⑬計量工程入力!$I$6:$I$65,"&gt;0",⑬計量工程入力!$M$6:$M$65,"&gt;0")+SUMIFS(⑭手動工程入力!$I$6:$I$47,⑭手動工程入力!$S$6:$S$47,$J190,⑭手動工程入力!$I$6:$I$47,"&gt;0",⑭手動工程入力!$M$6:$M$47,"&gt;0"))</f>
        <v/>
      </c>
      <c r="N190" s="393">
        <f>IF($J190="",0,SUMIFS(②釜工程入力!$M$5:$M$117,②釜工程入力!$S$5:$S$117,$J190,②釜工程入力!$J$5:$J$117,"&gt;0")-SUMIFS(②釜工程入力!$M$5:$M$117,②釜工程入力!$S$5:$S$117,$J190,②釜工程入力!$J$5:$J$117,"&gt;0",②釜工程入力!$I$5:$I$117,"&gt;0")+SUMIFS(③スチコン工程入力!$M$5:$M$152,③スチコン工程入力!$S$5:$S$152,$J190,③スチコン工程入力!$J$5:$J$152,"&gt;0")-SUMIFS(③スチコン工程入力!$M$5:$M$152,③スチコン工程入力!$S$5:$S$152,$J190,③スチコン工程入力!$J$5:$J$152,"&gt;0",③スチコン工程入力!$I$5:$I$152,"&gt;0")+SUMIFS(⑪ZEN工程入力!$M$6:$M$35,⑪ZEN工程入力!$S$6:$S$35,$J190,⑪ZEN工程入力!$J$6:$J$35,"&gt;0")-SUMIFS(⑪ZEN工程入力!$M$6:$M$35,⑪ZEN工程入力!$S$6:$S$35,$J190,⑪ZEN工程入力!$J$6:$J$35,"&gt;0",⑪ZEN工程入力!$I$6:$I$35,"&gt;0")+SUMIFS(⑫ミキサー工程入力!$M$6:$M$65,⑫ミキサー工程入力!$S$6:$S$65,$J190,⑫ミキサー工程入力!$J$6:$J$65,"&gt;0")-SUMIFS(⑫ミキサー工程入力!$M$6:$M$65,⑫ミキサー工程入力!$S$6:$S$65,$J190,⑫ミキサー工程入力!$J$6:$J$65,"&gt;0",⑫ミキサー工程入力!$I$6:$I$65,"&gt;0")+SUMIFS(⑬計量工程入力!$M$6:$M$65,⑬計量工程入力!$S$6:$S$65,$J190,⑬計量工程入力!$J$6:$J$65,"&gt;0")-SUMIFS(⑬計量工程入力!$M$6:$M$65,⑬計量工程入力!$S$6:$S$65,$J190,⑬計量工程入力!$J$6:$J$65,"&gt;0",⑬計量工程入力!$I$6:$I$65,"&gt;0")+SUMIFS(⑭手動工程入力!$M$6:$M$47,⑭手動工程入力!$S$6:$S$47,$J190,⑭手動工程入力!$J$6:$J$47,"&gt;0")-SUMIFS(⑭手動工程入力!$M$6:$M$47,⑭手動工程入力!$S$6:$S$47,$J190,⑭手動工程入力!$J$6:$J$47,"&gt;0",⑭手動工程入力!$I$6:$I$47,"&gt;0"))</f>
        <v/>
      </c>
      <c r="O190" s="393">
        <f>IF($J190="",0,SUMIFS(②釜工程入力!$J$5:$J$117,②釜工程入力!$S$5:$S$117,$J190,②釜工程入力!$J$5:$J$117,"&gt;0",②釜工程入力!$M$5:$M$117,"&gt;0")-SUMIFS(②釜工程入力!$J$5:$J$117,②釜工程入力!$S$5:$S$117,$J190,②釜工程入力!$J$5:$J$117,"&gt;0",②釜工程入力!$I$5:$I$117,"&gt;0",②釜工程入力!$M$5:$M$117,"&gt;0")+SUMIFS(③スチコン工程入力!$J$5:$J$152,③スチコン工程入力!$S$5:$S$152,$J190,③スチコン工程入力!$J$5:$J$152,"&gt;0",③スチコン工程入力!$M$5:$M$152,"&gt;0")-SUMIFS(③スチコン工程入力!$J$5:$J$152,③スチコン工程入力!$S$5:$S$152,$J190,③スチコン工程入力!$J$5:$J$152,"&gt;0",③スチコン工程入力!$I$5:$I$152,"&gt;0",③スチコン工程入力!$M$5:$M$152,"&gt;0")+SUMIFS(⑪ZEN工程入力!$J$6:$J$35,⑪ZEN工程入力!$S$6:$S$35,$J190,⑪ZEN工程入力!$J$6:$J$35,"&gt;0",⑪ZEN工程入力!$M$6:$M$35,"&gt;0")-SUMIFS(⑪ZEN工程入力!$J$6:$J$35,⑪ZEN工程入力!$S$6:$S$35,$J190,⑪ZEN工程入力!$J$6:$J$35,"&gt;0",⑪ZEN工程入力!$I$6:$I$35,"&gt;0",⑪ZEN工程入力!$M$6:$M$35,"&gt;0")+SUMIFS(⑫ミキサー工程入力!$J$6:$J$65,⑫ミキサー工程入力!$S$6:$S$65,$J190,⑫ミキサー工程入力!$J$6:$J$65,"&gt;0",⑫ミキサー工程入力!$M$6:$M$65,"&gt;0")-SUMIFS(⑫ミキサー工程入力!$J$6:$J$65,⑫ミキサー工程入力!$S$6:$S$65,$J190,⑫ミキサー工程入力!$J$6:$J$65,"&gt;0",⑫ミキサー工程入力!$I$6:$I$65,"&gt;0",⑫ミキサー工程入力!$M$6:$M$65,"&gt;0")+SUMIFS(⑬計量工程入力!$J$6:$J$65,⑬計量工程入力!$S$6:$S$65,$J190,⑬計量工程入力!$J$6:$J$65,"&gt;0",⑬計量工程入力!$M$6:$M$65,"&gt;0")-SUMIFS(⑬計量工程入力!$J$6:$J$65,⑬計量工程入力!$S$6:$S$65,$J190,⑬計量工程入力!$J$6:$J$65,"&gt;0",⑬計量工程入力!$I$6:$I$65,"&gt;0",⑬計量工程入力!$M$6:$M$65,"&gt;0")+SUMIFS(⑭手動工程入力!$J$6:$J$47,⑭手動工程入力!$S$6:$S$47,$J190,⑭手動工程入力!$J$6:$J$47,"&gt;0",⑭手動工程入力!$M$6:$M$47,"&gt;0")-SUMIFS(⑭手動工程入力!$J$6:$J$47,⑭手動工程入力!$S$6:$S$47,$J190,⑭手動工程入力!$J$6:$J$47,"&gt;0",⑭手動工程入力!$I$6:$I$47,"&gt;0",⑭手動工程入力!$M$6:$M$47,"&gt;0"))</f>
        <v/>
      </c>
      <c r="P190" s="392" t="n"/>
    </row>
    <row r="191">
      <c r="A191" s="392" t="n">
        <v>187</v>
      </c>
      <c r="B191" s="392" t="n"/>
      <c r="C191" s="392" t="n"/>
      <c r="D191" s="392" t="n"/>
      <c r="E191" s="392" t="n"/>
      <c r="F191" s="394" t="n"/>
      <c r="G191" s="392" t="n"/>
      <c r="H191" s="604">
        <f>IFERROR(IF(AND($K191&gt;0,ISNUMBER(IF(OR($D191="g",$D191="ｇ"),IF($M191&gt;0,$L191/$M191/1000,""),IF($D191="kg",IF($M191&gt;0,$L191/$M191,""),IF($D191="",IF($M191&gt;0,$L191/$M191/1000,IF($O191&gt;0,$N191/$O191,"")),IF($O191&gt;0,$N191/$O191,"")))))),IF(OR($D191="g",$D191="ｇ"),IF($M191&gt;0,$L191/$M191/1000,""),IF($D191="kg",IF($M191&gt;0,$L191/$M191,""),IF($D191="",IF($M191&gt;0,$L191/$M191/1000,IF($O191&gt;0,$N191/$O191,"")),IF($O191&gt;0,$N191/$O191,"")))),IF($F191="",IF(OR($E191="",$E191="⑩盛付梱包工程入力"),"",IF(OR($D191="g",$D191="ｇ"),INDEX(⑰工程労務費一覧!$N$5:$N$11,MATCH($E191,⑰工程労務費一覧!$K$5:$K$11,0))/1000,IF($D191="kg",INDEX(⑰工程労務費一覧!$N$5:$N$11,MATCH($E191,⑰工程労務費一覧!$K$5:$K$11,0)),IF(OR($D191="個",$D191="切",$D191="本",$D191="枚",$D191="尾"),IF($E191="⑬計量工程入力","",INDEX(⑰工程労務費一覧!$P$5:$P$11,MATCH($E191,⑰工程労務費一覧!$K$5:$K$11,0))),IF(AND($D191="",OR($E191="②釜工程入力",$E191="③スチコン工程入力")),INDEX(⑰工程労務費一覧!$N$5:$N$11,MATCH($E191,⑰工程労務費一覧!$K$5:$K$11,0))/1000,""))))),IF(OR($D191="g",$D191="ｇ"),INDEX(⑰工程労務費一覧!$H$5:$H$753,MATCH($F191,⑰工程労務費一覧!$D$5:$D$753,0))/1000,IF($D191="kg",INDEX(⑰工程労務費一覧!$H$5:$H$753,MATCH($F191,⑰工程労務費一覧!$D$5:$D$753,0)),INDEX(⑰工程労務費一覧!$I$5:$I$753,MATCH($F191,⑰工程労務費一覧!$D$5:$D$753,0)))))),"")</f>
        <v/>
      </c>
      <c r="I191" s="392">
        <f>IF($K191&gt;0,IF(ISNUMBER(IF(OR($D191="g",$D191="ｇ"),IF($M191&gt;0,$L191/$M191/1000,""),IF($D191="kg",IF($M191&gt;0,$L191/$M191,""),IF($D191="",IF($M191&gt;0,$L191/$M191/1000,IF($O191&gt;0,$N191/$O191,"")),IF($O191&gt;0,$N191/$O191,""))))),IF($D191="",IF($M191&gt;0,"◎ JAN紐づけ(g扱い)","◎ JAN紐づけ(個扱い)"),"◎ JAN紐づけ"),"△ JAN紐づけ済・実績不足→仮計算"),IF($F191="",IF(ISNUMBER($H191),IF($D191="","⑤ 工程平均で仮計算(g扱い)","⑤ 工程平均で仮計算"),IF($E191="⑩盛付梱包工程入力","⑥ 盛り込み(⑳F列で計上)",IF(AND($E191="⑬計量工程入力",OR($D191="個",$D191="切",$D191="本",$D191="枚",$D191="尾")),"① 未紐づけ(カット個単位は仮単価なし)","① 未紐づけ"))),IF(NOT(ISNUMBER($H191)),"② 工程側に単価なし",IF($D191="","③ 単位未設定(個で計算)","④ OK"))))</f>
        <v/>
      </c>
      <c r="J191" s="399">
        <f>IFERROR(LOOKUP(2,1/((中間品リスト!$F$2:$F$1299=$B191)*(中間品リスト!$E$2:$E$1299&lt;&gt;"-")*(中間品リスト!$E$2:$E$1299&lt;&gt;"")),中間品リスト!$E$2:$E$1299),"")</f>
        <v/>
      </c>
      <c r="K191" s="400">
        <f>IF($J191="",0,COUNTIF(②釜工程入力!$S$5:$S$117,$J191)+COUNTIF(③スチコン工程入力!$S$5:$S$152,$J191)+COUNTIF(⑪ZEN工程入力!$S$6:$S$35,$J191)+COUNTIF(⑫ミキサー工程入力!$S$6:$S$65,$J191)+COUNTIF(⑬計量工程入力!$S$6:$S$65,$J191)+COUNTIF(⑭手動工程入力!$S$6:$S$47,$J191))</f>
        <v/>
      </c>
      <c r="L191" s="393">
        <f>IF($J191="",0,SUMIFS(②釜工程入力!$M$5:$M$117,②釜工程入力!$S$5:$S$117,$J191,②釜工程入力!$I$5:$I$117,"&gt;0")+SUMIFS(③スチコン工程入力!$M$5:$M$152,③スチコン工程入力!$S$5:$S$152,$J191,③スチコン工程入力!$I$5:$I$152,"&gt;0")+SUMIFS(⑪ZEN工程入力!$M$6:$M$35,⑪ZEN工程入力!$S$6:$S$35,$J191,⑪ZEN工程入力!$I$6:$I$35,"&gt;0")+SUMIFS(⑫ミキサー工程入力!$M$6:$M$65,⑫ミキサー工程入力!$S$6:$S$65,$J191,⑫ミキサー工程入力!$I$6:$I$65,"&gt;0")+SUMIFS(⑬計量工程入力!$M$6:$M$65,⑬計量工程入力!$S$6:$S$65,$J191,⑬計量工程入力!$I$6:$I$65,"&gt;0")+SUMIFS(⑭手動工程入力!$M$6:$M$47,⑭手動工程入力!$S$6:$S$47,$J191,⑭手動工程入力!$I$6:$I$47,"&gt;0"))</f>
        <v/>
      </c>
      <c r="M191" s="393">
        <f>IF($J191="",0,SUMIFS(②釜工程入力!$I$5:$I$117,②釜工程入力!$S$5:$S$117,$J191,②釜工程入力!$I$5:$I$117,"&gt;0",②釜工程入力!$M$5:$M$117,"&gt;0")+SUMIFS(③スチコン工程入力!$I$5:$I$152,③スチコン工程入力!$S$5:$S$152,$J191,③スチコン工程入力!$I$5:$I$152,"&gt;0",③スチコン工程入力!$M$5:$M$152,"&gt;0")+SUMIFS(⑪ZEN工程入力!$I$6:$I$35,⑪ZEN工程入力!$S$6:$S$35,$J191,⑪ZEN工程入力!$I$6:$I$35,"&gt;0",⑪ZEN工程入力!$M$6:$M$35,"&gt;0")+SUMIFS(⑫ミキサー工程入力!$I$6:$I$65,⑫ミキサー工程入力!$S$6:$S$65,$J191,⑫ミキサー工程入力!$I$6:$I$65,"&gt;0",⑫ミキサー工程入力!$M$6:$M$65,"&gt;0")+SUMIFS(⑬計量工程入力!$I$6:$I$65,⑬計量工程入力!$S$6:$S$65,$J191,⑬計量工程入力!$I$6:$I$65,"&gt;0",⑬計量工程入力!$M$6:$M$65,"&gt;0")+SUMIFS(⑭手動工程入力!$I$6:$I$47,⑭手動工程入力!$S$6:$S$47,$J191,⑭手動工程入力!$I$6:$I$47,"&gt;0",⑭手動工程入力!$M$6:$M$47,"&gt;0"))</f>
        <v/>
      </c>
      <c r="N191" s="393">
        <f>IF($J191="",0,SUMIFS(②釜工程入力!$M$5:$M$117,②釜工程入力!$S$5:$S$117,$J191,②釜工程入力!$J$5:$J$117,"&gt;0")-SUMIFS(②釜工程入力!$M$5:$M$117,②釜工程入力!$S$5:$S$117,$J191,②釜工程入力!$J$5:$J$117,"&gt;0",②釜工程入力!$I$5:$I$117,"&gt;0")+SUMIFS(③スチコン工程入力!$M$5:$M$152,③スチコン工程入力!$S$5:$S$152,$J191,③スチコン工程入力!$J$5:$J$152,"&gt;0")-SUMIFS(③スチコン工程入力!$M$5:$M$152,③スチコン工程入力!$S$5:$S$152,$J191,③スチコン工程入力!$J$5:$J$152,"&gt;0",③スチコン工程入力!$I$5:$I$152,"&gt;0")+SUMIFS(⑪ZEN工程入力!$M$6:$M$35,⑪ZEN工程入力!$S$6:$S$35,$J191,⑪ZEN工程入力!$J$6:$J$35,"&gt;0")-SUMIFS(⑪ZEN工程入力!$M$6:$M$35,⑪ZEN工程入力!$S$6:$S$35,$J191,⑪ZEN工程入力!$J$6:$J$35,"&gt;0",⑪ZEN工程入力!$I$6:$I$35,"&gt;0")+SUMIFS(⑫ミキサー工程入力!$M$6:$M$65,⑫ミキサー工程入力!$S$6:$S$65,$J191,⑫ミキサー工程入力!$J$6:$J$65,"&gt;0")-SUMIFS(⑫ミキサー工程入力!$M$6:$M$65,⑫ミキサー工程入力!$S$6:$S$65,$J191,⑫ミキサー工程入力!$J$6:$J$65,"&gt;0",⑫ミキサー工程入力!$I$6:$I$65,"&gt;0")+SUMIFS(⑬計量工程入力!$M$6:$M$65,⑬計量工程入力!$S$6:$S$65,$J191,⑬計量工程入力!$J$6:$J$65,"&gt;0")-SUMIFS(⑬計量工程入力!$M$6:$M$65,⑬計量工程入力!$S$6:$S$65,$J191,⑬計量工程入力!$J$6:$J$65,"&gt;0",⑬計量工程入力!$I$6:$I$65,"&gt;0")+SUMIFS(⑭手動工程入力!$M$6:$M$47,⑭手動工程入力!$S$6:$S$47,$J191,⑭手動工程入力!$J$6:$J$47,"&gt;0")-SUMIFS(⑭手動工程入力!$M$6:$M$47,⑭手動工程入力!$S$6:$S$47,$J191,⑭手動工程入力!$J$6:$J$47,"&gt;0",⑭手動工程入力!$I$6:$I$47,"&gt;0"))</f>
        <v/>
      </c>
      <c r="O191" s="393">
        <f>IF($J191="",0,SUMIFS(②釜工程入力!$J$5:$J$117,②釜工程入力!$S$5:$S$117,$J191,②釜工程入力!$J$5:$J$117,"&gt;0",②釜工程入力!$M$5:$M$117,"&gt;0")-SUMIFS(②釜工程入力!$J$5:$J$117,②釜工程入力!$S$5:$S$117,$J191,②釜工程入力!$J$5:$J$117,"&gt;0",②釜工程入力!$I$5:$I$117,"&gt;0",②釜工程入力!$M$5:$M$117,"&gt;0")+SUMIFS(③スチコン工程入力!$J$5:$J$152,③スチコン工程入力!$S$5:$S$152,$J191,③スチコン工程入力!$J$5:$J$152,"&gt;0",③スチコン工程入力!$M$5:$M$152,"&gt;0")-SUMIFS(③スチコン工程入力!$J$5:$J$152,③スチコン工程入力!$S$5:$S$152,$J191,③スチコン工程入力!$J$5:$J$152,"&gt;0",③スチコン工程入力!$I$5:$I$152,"&gt;0",③スチコン工程入力!$M$5:$M$152,"&gt;0")+SUMIFS(⑪ZEN工程入力!$J$6:$J$35,⑪ZEN工程入力!$S$6:$S$35,$J191,⑪ZEN工程入力!$J$6:$J$35,"&gt;0",⑪ZEN工程入力!$M$6:$M$35,"&gt;0")-SUMIFS(⑪ZEN工程入力!$J$6:$J$35,⑪ZEN工程入力!$S$6:$S$35,$J191,⑪ZEN工程入力!$J$6:$J$35,"&gt;0",⑪ZEN工程入力!$I$6:$I$35,"&gt;0",⑪ZEN工程入力!$M$6:$M$35,"&gt;0")+SUMIFS(⑫ミキサー工程入力!$J$6:$J$65,⑫ミキサー工程入力!$S$6:$S$65,$J191,⑫ミキサー工程入力!$J$6:$J$65,"&gt;0",⑫ミキサー工程入力!$M$6:$M$65,"&gt;0")-SUMIFS(⑫ミキサー工程入力!$J$6:$J$65,⑫ミキサー工程入力!$S$6:$S$65,$J191,⑫ミキサー工程入力!$J$6:$J$65,"&gt;0",⑫ミキサー工程入力!$I$6:$I$65,"&gt;0",⑫ミキサー工程入力!$M$6:$M$65,"&gt;0")+SUMIFS(⑬計量工程入力!$J$6:$J$65,⑬計量工程入力!$S$6:$S$65,$J191,⑬計量工程入力!$J$6:$J$65,"&gt;0",⑬計量工程入力!$M$6:$M$65,"&gt;0")-SUMIFS(⑬計量工程入力!$J$6:$J$65,⑬計量工程入力!$S$6:$S$65,$J191,⑬計量工程入力!$J$6:$J$65,"&gt;0",⑬計量工程入力!$I$6:$I$65,"&gt;0",⑬計量工程入力!$M$6:$M$65,"&gt;0")+SUMIFS(⑭手動工程入力!$J$6:$J$47,⑭手動工程入力!$S$6:$S$47,$J191,⑭手動工程入力!$J$6:$J$47,"&gt;0",⑭手動工程入力!$M$6:$M$47,"&gt;0")-SUMIFS(⑭手動工程入力!$J$6:$J$47,⑭手動工程入力!$S$6:$S$47,$J191,⑭手動工程入力!$J$6:$J$47,"&gt;0",⑭手動工程入力!$I$6:$I$47,"&gt;0",⑭手動工程入力!$M$6:$M$47,"&gt;0"))</f>
        <v/>
      </c>
      <c r="P191" s="392" t="n"/>
    </row>
    <row r="192">
      <c r="A192" s="392" t="n">
        <v>188</v>
      </c>
      <c r="B192" s="392" t="n"/>
      <c r="C192" s="392" t="n"/>
      <c r="D192" s="392" t="n"/>
      <c r="E192" s="392" t="n"/>
      <c r="F192" s="394" t="n"/>
      <c r="G192" s="392" t="n"/>
      <c r="H192" s="604">
        <f>IFERROR(IF(AND($K192&gt;0,ISNUMBER(IF(OR($D192="g",$D192="ｇ"),IF($M192&gt;0,$L192/$M192/1000,""),IF($D192="kg",IF($M192&gt;0,$L192/$M192,""),IF($D192="",IF($M192&gt;0,$L192/$M192/1000,IF($O192&gt;0,$N192/$O192,"")),IF($O192&gt;0,$N192/$O192,"")))))),IF(OR($D192="g",$D192="ｇ"),IF($M192&gt;0,$L192/$M192/1000,""),IF($D192="kg",IF($M192&gt;0,$L192/$M192,""),IF($D192="",IF($M192&gt;0,$L192/$M192/1000,IF($O192&gt;0,$N192/$O192,"")),IF($O192&gt;0,$N192/$O192,"")))),IF($F192="",IF(OR($E192="",$E192="⑩盛付梱包工程入力"),"",IF(OR($D192="g",$D192="ｇ"),INDEX(⑰工程労務費一覧!$N$5:$N$11,MATCH($E192,⑰工程労務費一覧!$K$5:$K$11,0))/1000,IF($D192="kg",INDEX(⑰工程労務費一覧!$N$5:$N$11,MATCH($E192,⑰工程労務費一覧!$K$5:$K$11,0)),IF(OR($D192="個",$D192="切",$D192="本",$D192="枚",$D192="尾"),IF($E192="⑬計量工程入力","",INDEX(⑰工程労務費一覧!$P$5:$P$11,MATCH($E192,⑰工程労務費一覧!$K$5:$K$11,0))),IF(AND($D192="",OR($E192="②釜工程入力",$E192="③スチコン工程入力")),INDEX(⑰工程労務費一覧!$N$5:$N$11,MATCH($E192,⑰工程労務費一覧!$K$5:$K$11,0))/1000,""))))),IF(OR($D192="g",$D192="ｇ"),INDEX(⑰工程労務費一覧!$H$5:$H$753,MATCH($F192,⑰工程労務費一覧!$D$5:$D$753,0))/1000,IF($D192="kg",INDEX(⑰工程労務費一覧!$H$5:$H$753,MATCH($F192,⑰工程労務費一覧!$D$5:$D$753,0)),INDEX(⑰工程労務費一覧!$I$5:$I$753,MATCH($F192,⑰工程労務費一覧!$D$5:$D$753,0)))))),"")</f>
        <v/>
      </c>
      <c r="I192" s="392">
        <f>IF($K192&gt;0,IF(ISNUMBER(IF(OR($D192="g",$D192="ｇ"),IF($M192&gt;0,$L192/$M192/1000,""),IF($D192="kg",IF($M192&gt;0,$L192/$M192,""),IF($D192="",IF($M192&gt;0,$L192/$M192/1000,IF($O192&gt;0,$N192/$O192,"")),IF($O192&gt;0,$N192/$O192,""))))),IF($D192="",IF($M192&gt;0,"◎ JAN紐づけ(g扱い)","◎ JAN紐づけ(個扱い)"),"◎ JAN紐づけ"),"△ JAN紐づけ済・実績不足→仮計算"),IF($F192="",IF(ISNUMBER($H192),IF($D192="","⑤ 工程平均で仮計算(g扱い)","⑤ 工程平均で仮計算"),IF($E192="⑩盛付梱包工程入力","⑥ 盛り込み(⑳F列で計上)",IF(AND($E192="⑬計量工程入力",OR($D192="個",$D192="切",$D192="本",$D192="枚",$D192="尾")),"① 未紐づけ(カット個単位は仮単価なし)","① 未紐づけ"))),IF(NOT(ISNUMBER($H192)),"② 工程側に単価なし",IF($D192="","③ 単位未設定(個で計算)","④ OK"))))</f>
        <v/>
      </c>
      <c r="J192" s="399">
        <f>IFERROR(LOOKUP(2,1/((中間品リスト!$F$2:$F$1299=$B192)*(中間品リスト!$E$2:$E$1299&lt;&gt;"-")*(中間品リスト!$E$2:$E$1299&lt;&gt;"")),中間品リスト!$E$2:$E$1299),"")</f>
        <v/>
      </c>
      <c r="K192" s="400">
        <f>IF($J192="",0,COUNTIF(②釜工程入力!$S$5:$S$117,$J192)+COUNTIF(③スチコン工程入力!$S$5:$S$152,$J192)+COUNTIF(⑪ZEN工程入力!$S$6:$S$35,$J192)+COUNTIF(⑫ミキサー工程入力!$S$6:$S$65,$J192)+COUNTIF(⑬計量工程入力!$S$6:$S$65,$J192)+COUNTIF(⑭手動工程入力!$S$6:$S$47,$J192))</f>
        <v/>
      </c>
      <c r="L192" s="393">
        <f>IF($J192="",0,SUMIFS(②釜工程入力!$M$5:$M$117,②釜工程入力!$S$5:$S$117,$J192,②釜工程入力!$I$5:$I$117,"&gt;0")+SUMIFS(③スチコン工程入力!$M$5:$M$152,③スチコン工程入力!$S$5:$S$152,$J192,③スチコン工程入力!$I$5:$I$152,"&gt;0")+SUMIFS(⑪ZEN工程入力!$M$6:$M$35,⑪ZEN工程入力!$S$6:$S$35,$J192,⑪ZEN工程入力!$I$6:$I$35,"&gt;0")+SUMIFS(⑫ミキサー工程入力!$M$6:$M$65,⑫ミキサー工程入力!$S$6:$S$65,$J192,⑫ミキサー工程入力!$I$6:$I$65,"&gt;0")+SUMIFS(⑬計量工程入力!$M$6:$M$65,⑬計量工程入力!$S$6:$S$65,$J192,⑬計量工程入力!$I$6:$I$65,"&gt;0")+SUMIFS(⑭手動工程入力!$M$6:$M$47,⑭手動工程入力!$S$6:$S$47,$J192,⑭手動工程入力!$I$6:$I$47,"&gt;0"))</f>
        <v/>
      </c>
      <c r="M192" s="393">
        <f>IF($J192="",0,SUMIFS(②釜工程入力!$I$5:$I$117,②釜工程入力!$S$5:$S$117,$J192,②釜工程入力!$I$5:$I$117,"&gt;0",②釜工程入力!$M$5:$M$117,"&gt;0")+SUMIFS(③スチコン工程入力!$I$5:$I$152,③スチコン工程入力!$S$5:$S$152,$J192,③スチコン工程入力!$I$5:$I$152,"&gt;0",③スチコン工程入力!$M$5:$M$152,"&gt;0")+SUMIFS(⑪ZEN工程入力!$I$6:$I$35,⑪ZEN工程入力!$S$6:$S$35,$J192,⑪ZEN工程入力!$I$6:$I$35,"&gt;0",⑪ZEN工程入力!$M$6:$M$35,"&gt;0")+SUMIFS(⑫ミキサー工程入力!$I$6:$I$65,⑫ミキサー工程入力!$S$6:$S$65,$J192,⑫ミキサー工程入力!$I$6:$I$65,"&gt;0",⑫ミキサー工程入力!$M$6:$M$65,"&gt;0")+SUMIFS(⑬計量工程入力!$I$6:$I$65,⑬計量工程入力!$S$6:$S$65,$J192,⑬計量工程入力!$I$6:$I$65,"&gt;0",⑬計量工程入力!$M$6:$M$65,"&gt;0")+SUMIFS(⑭手動工程入力!$I$6:$I$47,⑭手動工程入力!$S$6:$S$47,$J192,⑭手動工程入力!$I$6:$I$47,"&gt;0",⑭手動工程入力!$M$6:$M$47,"&gt;0"))</f>
        <v/>
      </c>
      <c r="N192" s="393">
        <f>IF($J192="",0,SUMIFS(②釜工程入力!$M$5:$M$117,②釜工程入力!$S$5:$S$117,$J192,②釜工程入力!$J$5:$J$117,"&gt;0")-SUMIFS(②釜工程入力!$M$5:$M$117,②釜工程入力!$S$5:$S$117,$J192,②釜工程入力!$J$5:$J$117,"&gt;0",②釜工程入力!$I$5:$I$117,"&gt;0")+SUMIFS(③スチコン工程入力!$M$5:$M$152,③スチコン工程入力!$S$5:$S$152,$J192,③スチコン工程入力!$J$5:$J$152,"&gt;0")-SUMIFS(③スチコン工程入力!$M$5:$M$152,③スチコン工程入力!$S$5:$S$152,$J192,③スチコン工程入力!$J$5:$J$152,"&gt;0",③スチコン工程入力!$I$5:$I$152,"&gt;0")+SUMIFS(⑪ZEN工程入力!$M$6:$M$35,⑪ZEN工程入力!$S$6:$S$35,$J192,⑪ZEN工程入力!$J$6:$J$35,"&gt;0")-SUMIFS(⑪ZEN工程入力!$M$6:$M$35,⑪ZEN工程入力!$S$6:$S$35,$J192,⑪ZEN工程入力!$J$6:$J$35,"&gt;0",⑪ZEN工程入力!$I$6:$I$35,"&gt;0")+SUMIFS(⑫ミキサー工程入力!$M$6:$M$65,⑫ミキサー工程入力!$S$6:$S$65,$J192,⑫ミキサー工程入力!$J$6:$J$65,"&gt;0")-SUMIFS(⑫ミキサー工程入力!$M$6:$M$65,⑫ミキサー工程入力!$S$6:$S$65,$J192,⑫ミキサー工程入力!$J$6:$J$65,"&gt;0",⑫ミキサー工程入力!$I$6:$I$65,"&gt;0")+SUMIFS(⑬計量工程入力!$M$6:$M$65,⑬計量工程入力!$S$6:$S$65,$J192,⑬計量工程入力!$J$6:$J$65,"&gt;0")-SUMIFS(⑬計量工程入力!$M$6:$M$65,⑬計量工程入力!$S$6:$S$65,$J192,⑬計量工程入力!$J$6:$J$65,"&gt;0",⑬計量工程入力!$I$6:$I$65,"&gt;0")+SUMIFS(⑭手動工程入力!$M$6:$M$47,⑭手動工程入力!$S$6:$S$47,$J192,⑭手動工程入力!$J$6:$J$47,"&gt;0")-SUMIFS(⑭手動工程入力!$M$6:$M$47,⑭手動工程入力!$S$6:$S$47,$J192,⑭手動工程入力!$J$6:$J$47,"&gt;0",⑭手動工程入力!$I$6:$I$47,"&gt;0"))</f>
        <v/>
      </c>
      <c r="O192" s="393">
        <f>IF($J192="",0,SUMIFS(②釜工程入力!$J$5:$J$117,②釜工程入力!$S$5:$S$117,$J192,②釜工程入力!$J$5:$J$117,"&gt;0",②釜工程入力!$M$5:$M$117,"&gt;0")-SUMIFS(②釜工程入力!$J$5:$J$117,②釜工程入力!$S$5:$S$117,$J192,②釜工程入力!$J$5:$J$117,"&gt;0",②釜工程入力!$I$5:$I$117,"&gt;0",②釜工程入力!$M$5:$M$117,"&gt;0")+SUMIFS(③スチコン工程入力!$J$5:$J$152,③スチコン工程入力!$S$5:$S$152,$J192,③スチコン工程入力!$J$5:$J$152,"&gt;0",③スチコン工程入力!$M$5:$M$152,"&gt;0")-SUMIFS(③スチコン工程入力!$J$5:$J$152,③スチコン工程入力!$S$5:$S$152,$J192,③スチコン工程入力!$J$5:$J$152,"&gt;0",③スチコン工程入力!$I$5:$I$152,"&gt;0",③スチコン工程入力!$M$5:$M$152,"&gt;0")+SUMIFS(⑪ZEN工程入力!$J$6:$J$35,⑪ZEN工程入力!$S$6:$S$35,$J192,⑪ZEN工程入力!$J$6:$J$35,"&gt;0",⑪ZEN工程入力!$M$6:$M$35,"&gt;0")-SUMIFS(⑪ZEN工程入力!$J$6:$J$35,⑪ZEN工程入力!$S$6:$S$35,$J192,⑪ZEN工程入力!$J$6:$J$35,"&gt;0",⑪ZEN工程入力!$I$6:$I$35,"&gt;0",⑪ZEN工程入力!$M$6:$M$35,"&gt;0")+SUMIFS(⑫ミキサー工程入力!$J$6:$J$65,⑫ミキサー工程入力!$S$6:$S$65,$J192,⑫ミキサー工程入力!$J$6:$J$65,"&gt;0",⑫ミキサー工程入力!$M$6:$M$65,"&gt;0")-SUMIFS(⑫ミキサー工程入力!$J$6:$J$65,⑫ミキサー工程入力!$S$6:$S$65,$J192,⑫ミキサー工程入力!$J$6:$J$65,"&gt;0",⑫ミキサー工程入力!$I$6:$I$65,"&gt;0",⑫ミキサー工程入力!$M$6:$M$65,"&gt;0")+SUMIFS(⑬計量工程入力!$J$6:$J$65,⑬計量工程入力!$S$6:$S$65,$J192,⑬計量工程入力!$J$6:$J$65,"&gt;0",⑬計量工程入力!$M$6:$M$65,"&gt;0")-SUMIFS(⑬計量工程入力!$J$6:$J$65,⑬計量工程入力!$S$6:$S$65,$J192,⑬計量工程入力!$J$6:$J$65,"&gt;0",⑬計量工程入力!$I$6:$I$65,"&gt;0",⑬計量工程入力!$M$6:$M$65,"&gt;0")+SUMIFS(⑭手動工程入力!$J$6:$J$47,⑭手動工程入力!$S$6:$S$47,$J192,⑭手動工程入力!$J$6:$J$47,"&gt;0",⑭手動工程入力!$M$6:$M$47,"&gt;0")-SUMIFS(⑭手動工程入力!$J$6:$J$47,⑭手動工程入力!$S$6:$S$47,$J192,⑭手動工程入力!$J$6:$J$47,"&gt;0",⑭手動工程入力!$I$6:$I$47,"&gt;0",⑭手動工程入力!$M$6:$M$47,"&gt;0"))</f>
        <v/>
      </c>
      <c r="P192" s="392" t="n"/>
    </row>
    <row r="193">
      <c r="A193" s="392" t="n">
        <v>189</v>
      </c>
      <c r="B193" s="392" t="n"/>
      <c r="C193" s="392" t="n"/>
      <c r="D193" s="392" t="n"/>
      <c r="E193" s="392" t="n"/>
      <c r="F193" s="394" t="n"/>
      <c r="G193" s="392" t="n"/>
      <c r="H193" s="604">
        <f>IFERROR(IF(AND($K193&gt;0,ISNUMBER(IF(OR($D193="g",$D193="ｇ"),IF($M193&gt;0,$L193/$M193/1000,""),IF($D193="kg",IF($M193&gt;0,$L193/$M193,""),IF($D193="",IF($M193&gt;0,$L193/$M193/1000,IF($O193&gt;0,$N193/$O193,"")),IF($O193&gt;0,$N193/$O193,"")))))),IF(OR($D193="g",$D193="ｇ"),IF($M193&gt;0,$L193/$M193/1000,""),IF($D193="kg",IF($M193&gt;0,$L193/$M193,""),IF($D193="",IF($M193&gt;0,$L193/$M193/1000,IF($O193&gt;0,$N193/$O193,"")),IF($O193&gt;0,$N193/$O193,"")))),IF($F193="",IF(OR($E193="",$E193="⑩盛付梱包工程入力"),"",IF(OR($D193="g",$D193="ｇ"),INDEX(⑰工程労務費一覧!$N$5:$N$11,MATCH($E193,⑰工程労務費一覧!$K$5:$K$11,0))/1000,IF($D193="kg",INDEX(⑰工程労務費一覧!$N$5:$N$11,MATCH($E193,⑰工程労務費一覧!$K$5:$K$11,0)),IF(OR($D193="個",$D193="切",$D193="本",$D193="枚",$D193="尾"),IF($E193="⑬計量工程入力","",INDEX(⑰工程労務費一覧!$P$5:$P$11,MATCH($E193,⑰工程労務費一覧!$K$5:$K$11,0))),IF(AND($D193="",OR($E193="②釜工程入力",$E193="③スチコン工程入力")),INDEX(⑰工程労務費一覧!$N$5:$N$11,MATCH($E193,⑰工程労務費一覧!$K$5:$K$11,0))/1000,""))))),IF(OR($D193="g",$D193="ｇ"),INDEX(⑰工程労務費一覧!$H$5:$H$753,MATCH($F193,⑰工程労務費一覧!$D$5:$D$753,0))/1000,IF($D193="kg",INDEX(⑰工程労務費一覧!$H$5:$H$753,MATCH($F193,⑰工程労務費一覧!$D$5:$D$753,0)),INDEX(⑰工程労務費一覧!$I$5:$I$753,MATCH($F193,⑰工程労務費一覧!$D$5:$D$753,0)))))),"")</f>
        <v/>
      </c>
      <c r="I193" s="392">
        <f>IF($K193&gt;0,IF(ISNUMBER(IF(OR($D193="g",$D193="ｇ"),IF($M193&gt;0,$L193/$M193/1000,""),IF($D193="kg",IF($M193&gt;0,$L193/$M193,""),IF($D193="",IF($M193&gt;0,$L193/$M193/1000,IF($O193&gt;0,$N193/$O193,"")),IF($O193&gt;0,$N193/$O193,""))))),IF($D193="",IF($M193&gt;0,"◎ JAN紐づけ(g扱い)","◎ JAN紐づけ(個扱い)"),"◎ JAN紐づけ"),"△ JAN紐づけ済・実績不足→仮計算"),IF($F193="",IF(ISNUMBER($H193),IF($D193="","⑤ 工程平均で仮計算(g扱い)","⑤ 工程平均で仮計算"),IF($E193="⑩盛付梱包工程入力","⑥ 盛り込み(⑳F列で計上)",IF(AND($E193="⑬計量工程入力",OR($D193="個",$D193="切",$D193="本",$D193="枚",$D193="尾")),"① 未紐づけ(カット個単位は仮単価なし)","① 未紐づけ"))),IF(NOT(ISNUMBER($H193)),"② 工程側に単価なし",IF($D193="","③ 単位未設定(個で計算)","④ OK"))))</f>
        <v/>
      </c>
      <c r="J193" s="399">
        <f>IFERROR(LOOKUP(2,1/((中間品リスト!$F$2:$F$1299=$B193)*(中間品リスト!$E$2:$E$1299&lt;&gt;"-")*(中間品リスト!$E$2:$E$1299&lt;&gt;"")),中間品リスト!$E$2:$E$1299),"")</f>
        <v/>
      </c>
      <c r="K193" s="400">
        <f>IF($J193="",0,COUNTIF(②釜工程入力!$S$5:$S$117,$J193)+COUNTIF(③スチコン工程入力!$S$5:$S$152,$J193)+COUNTIF(⑪ZEN工程入力!$S$6:$S$35,$J193)+COUNTIF(⑫ミキサー工程入力!$S$6:$S$65,$J193)+COUNTIF(⑬計量工程入力!$S$6:$S$65,$J193)+COUNTIF(⑭手動工程入力!$S$6:$S$47,$J193))</f>
        <v/>
      </c>
      <c r="L193" s="393">
        <f>IF($J193="",0,SUMIFS(②釜工程入力!$M$5:$M$117,②釜工程入力!$S$5:$S$117,$J193,②釜工程入力!$I$5:$I$117,"&gt;0")+SUMIFS(③スチコン工程入力!$M$5:$M$152,③スチコン工程入力!$S$5:$S$152,$J193,③スチコン工程入力!$I$5:$I$152,"&gt;0")+SUMIFS(⑪ZEN工程入力!$M$6:$M$35,⑪ZEN工程入力!$S$6:$S$35,$J193,⑪ZEN工程入力!$I$6:$I$35,"&gt;0")+SUMIFS(⑫ミキサー工程入力!$M$6:$M$65,⑫ミキサー工程入力!$S$6:$S$65,$J193,⑫ミキサー工程入力!$I$6:$I$65,"&gt;0")+SUMIFS(⑬計量工程入力!$M$6:$M$65,⑬計量工程入力!$S$6:$S$65,$J193,⑬計量工程入力!$I$6:$I$65,"&gt;0")+SUMIFS(⑭手動工程入力!$M$6:$M$47,⑭手動工程入力!$S$6:$S$47,$J193,⑭手動工程入力!$I$6:$I$47,"&gt;0"))</f>
        <v/>
      </c>
      <c r="M193" s="393">
        <f>IF($J193="",0,SUMIFS(②釜工程入力!$I$5:$I$117,②釜工程入力!$S$5:$S$117,$J193,②釜工程入力!$I$5:$I$117,"&gt;0",②釜工程入力!$M$5:$M$117,"&gt;0")+SUMIFS(③スチコン工程入力!$I$5:$I$152,③スチコン工程入力!$S$5:$S$152,$J193,③スチコン工程入力!$I$5:$I$152,"&gt;0",③スチコン工程入力!$M$5:$M$152,"&gt;0")+SUMIFS(⑪ZEN工程入力!$I$6:$I$35,⑪ZEN工程入力!$S$6:$S$35,$J193,⑪ZEN工程入力!$I$6:$I$35,"&gt;0",⑪ZEN工程入力!$M$6:$M$35,"&gt;0")+SUMIFS(⑫ミキサー工程入力!$I$6:$I$65,⑫ミキサー工程入力!$S$6:$S$65,$J193,⑫ミキサー工程入力!$I$6:$I$65,"&gt;0",⑫ミキサー工程入力!$M$6:$M$65,"&gt;0")+SUMIFS(⑬計量工程入力!$I$6:$I$65,⑬計量工程入力!$S$6:$S$65,$J193,⑬計量工程入力!$I$6:$I$65,"&gt;0",⑬計量工程入力!$M$6:$M$65,"&gt;0")+SUMIFS(⑭手動工程入力!$I$6:$I$47,⑭手動工程入力!$S$6:$S$47,$J193,⑭手動工程入力!$I$6:$I$47,"&gt;0",⑭手動工程入力!$M$6:$M$47,"&gt;0"))</f>
        <v/>
      </c>
      <c r="N193" s="393">
        <f>IF($J193="",0,SUMIFS(②釜工程入力!$M$5:$M$117,②釜工程入力!$S$5:$S$117,$J193,②釜工程入力!$J$5:$J$117,"&gt;0")-SUMIFS(②釜工程入力!$M$5:$M$117,②釜工程入力!$S$5:$S$117,$J193,②釜工程入力!$J$5:$J$117,"&gt;0",②釜工程入力!$I$5:$I$117,"&gt;0")+SUMIFS(③スチコン工程入力!$M$5:$M$152,③スチコン工程入力!$S$5:$S$152,$J193,③スチコン工程入力!$J$5:$J$152,"&gt;0")-SUMIFS(③スチコン工程入力!$M$5:$M$152,③スチコン工程入力!$S$5:$S$152,$J193,③スチコン工程入力!$J$5:$J$152,"&gt;0",③スチコン工程入力!$I$5:$I$152,"&gt;0")+SUMIFS(⑪ZEN工程入力!$M$6:$M$35,⑪ZEN工程入力!$S$6:$S$35,$J193,⑪ZEN工程入力!$J$6:$J$35,"&gt;0")-SUMIFS(⑪ZEN工程入力!$M$6:$M$35,⑪ZEN工程入力!$S$6:$S$35,$J193,⑪ZEN工程入力!$J$6:$J$35,"&gt;0",⑪ZEN工程入力!$I$6:$I$35,"&gt;0")+SUMIFS(⑫ミキサー工程入力!$M$6:$M$65,⑫ミキサー工程入力!$S$6:$S$65,$J193,⑫ミキサー工程入力!$J$6:$J$65,"&gt;0")-SUMIFS(⑫ミキサー工程入力!$M$6:$M$65,⑫ミキサー工程入力!$S$6:$S$65,$J193,⑫ミキサー工程入力!$J$6:$J$65,"&gt;0",⑫ミキサー工程入力!$I$6:$I$65,"&gt;0")+SUMIFS(⑬計量工程入力!$M$6:$M$65,⑬計量工程入力!$S$6:$S$65,$J193,⑬計量工程入力!$J$6:$J$65,"&gt;0")-SUMIFS(⑬計量工程入力!$M$6:$M$65,⑬計量工程入力!$S$6:$S$65,$J193,⑬計量工程入力!$J$6:$J$65,"&gt;0",⑬計量工程入力!$I$6:$I$65,"&gt;0")+SUMIFS(⑭手動工程入力!$M$6:$M$47,⑭手動工程入力!$S$6:$S$47,$J193,⑭手動工程入力!$J$6:$J$47,"&gt;0")-SUMIFS(⑭手動工程入力!$M$6:$M$47,⑭手動工程入力!$S$6:$S$47,$J193,⑭手動工程入力!$J$6:$J$47,"&gt;0",⑭手動工程入力!$I$6:$I$47,"&gt;0"))</f>
        <v/>
      </c>
      <c r="O193" s="393">
        <f>IF($J193="",0,SUMIFS(②釜工程入力!$J$5:$J$117,②釜工程入力!$S$5:$S$117,$J193,②釜工程入力!$J$5:$J$117,"&gt;0",②釜工程入力!$M$5:$M$117,"&gt;0")-SUMIFS(②釜工程入力!$J$5:$J$117,②釜工程入力!$S$5:$S$117,$J193,②釜工程入力!$J$5:$J$117,"&gt;0",②釜工程入力!$I$5:$I$117,"&gt;0",②釜工程入力!$M$5:$M$117,"&gt;0")+SUMIFS(③スチコン工程入力!$J$5:$J$152,③スチコン工程入力!$S$5:$S$152,$J193,③スチコン工程入力!$J$5:$J$152,"&gt;0",③スチコン工程入力!$M$5:$M$152,"&gt;0")-SUMIFS(③スチコン工程入力!$J$5:$J$152,③スチコン工程入力!$S$5:$S$152,$J193,③スチコン工程入力!$J$5:$J$152,"&gt;0",③スチコン工程入力!$I$5:$I$152,"&gt;0",③スチコン工程入力!$M$5:$M$152,"&gt;0")+SUMIFS(⑪ZEN工程入力!$J$6:$J$35,⑪ZEN工程入力!$S$6:$S$35,$J193,⑪ZEN工程入力!$J$6:$J$35,"&gt;0",⑪ZEN工程入力!$M$6:$M$35,"&gt;0")-SUMIFS(⑪ZEN工程入力!$J$6:$J$35,⑪ZEN工程入力!$S$6:$S$35,$J193,⑪ZEN工程入力!$J$6:$J$35,"&gt;0",⑪ZEN工程入力!$I$6:$I$35,"&gt;0",⑪ZEN工程入力!$M$6:$M$35,"&gt;0")+SUMIFS(⑫ミキサー工程入力!$J$6:$J$65,⑫ミキサー工程入力!$S$6:$S$65,$J193,⑫ミキサー工程入力!$J$6:$J$65,"&gt;0",⑫ミキサー工程入力!$M$6:$M$65,"&gt;0")-SUMIFS(⑫ミキサー工程入力!$J$6:$J$65,⑫ミキサー工程入力!$S$6:$S$65,$J193,⑫ミキサー工程入力!$J$6:$J$65,"&gt;0",⑫ミキサー工程入力!$I$6:$I$65,"&gt;0",⑫ミキサー工程入力!$M$6:$M$65,"&gt;0")+SUMIFS(⑬計量工程入力!$J$6:$J$65,⑬計量工程入力!$S$6:$S$65,$J193,⑬計量工程入力!$J$6:$J$65,"&gt;0",⑬計量工程入力!$M$6:$M$65,"&gt;0")-SUMIFS(⑬計量工程入力!$J$6:$J$65,⑬計量工程入力!$S$6:$S$65,$J193,⑬計量工程入力!$J$6:$J$65,"&gt;0",⑬計量工程入力!$I$6:$I$65,"&gt;0",⑬計量工程入力!$M$6:$M$65,"&gt;0")+SUMIFS(⑭手動工程入力!$J$6:$J$47,⑭手動工程入力!$S$6:$S$47,$J193,⑭手動工程入力!$J$6:$J$47,"&gt;0",⑭手動工程入力!$M$6:$M$47,"&gt;0")-SUMIFS(⑭手動工程入力!$J$6:$J$47,⑭手動工程入力!$S$6:$S$47,$J193,⑭手動工程入力!$J$6:$J$47,"&gt;0",⑭手動工程入力!$I$6:$I$47,"&gt;0",⑭手動工程入力!$M$6:$M$47,"&gt;0"))</f>
        <v/>
      </c>
      <c r="P193" s="392" t="n"/>
    </row>
    <row r="194">
      <c r="A194" s="392" t="n">
        <v>190</v>
      </c>
      <c r="B194" s="392" t="n"/>
      <c r="C194" s="392" t="n"/>
      <c r="D194" s="392" t="n"/>
      <c r="E194" s="392" t="n"/>
      <c r="F194" s="394" t="n"/>
      <c r="G194" s="392" t="n"/>
      <c r="H194" s="604">
        <f>IFERROR(IF(AND($K194&gt;0,ISNUMBER(IF(OR($D194="g",$D194="ｇ"),IF($M194&gt;0,$L194/$M194/1000,""),IF($D194="kg",IF($M194&gt;0,$L194/$M194,""),IF($D194="",IF($M194&gt;0,$L194/$M194/1000,IF($O194&gt;0,$N194/$O194,"")),IF($O194&gt;0,$N194/$O194,"")))))),IF(OR($D194="g",$D194="ｇ"),IF($M194&gt;0,$L194/$M194/1000,""),IF($D194="kg",IF($M194&gt;0,$L194/$M194,""),IF($D194="",IF($M194&gt;0,$L194/$M194/1000,IF($O194&gt;0,$N194/$O194,"")),IF($O194&gt;0,$N194/$O194,"")))),IF($F194="",IF(OR($E194="",$E194="⑩盛付梱包工程入力"),"",IF(OR($D194="g",$D194="ｇ"),INDEX(⑰工程労務費一覧!$N$5:$N$11,MATCH($E194,⑰工程労務費一覧!$K$5:$K$11,0))/1000,IF($D194="kg",INDEX(⑰工程労務費一覧!$N$5:$N$11,MATCH($E194,⑰工程労務費一覧!$K$5:$K$11,0)),IF(OR($D194="個",$D194="切",$D194="本",$D194="枚",$D194="尾"),IF($E194="⑬計量工程入力","",INDEX(⑰工程労務費一覧!$P$5:$P$11,MATCH($E194,⑰工程労務費一覧!$K$5:$K$11,0))),IF(AND($D194="",OR($E194="②釜工程入力",$E194="③スチコン工程入力")),INDEX(⑰工程労務費一覧!$N$5:$N$11,MATCH($E194,⑰工程労務費一覧!$K$5:$K$11,0))/1000,""))))),IF(OR($D194="g",$D194="ｇ"),INDEX(⑰工程労務費一覧!$H$5:$H$753,MATCH($F194,⑰工程労務費一覧!$D$5:$D$753,0))/1000,IF($D194="kg",INDEX(⑰工程労務費一覧!$H$5:$H$753,MATCH($F194,⑰工程労務費一覧!$D$5:$D$753,0)),INDEX(⑰工程労務費一覧!$I$5:$I$753,MATCH($F194,⑰工程労務費一覧!$D$5:$D$753,0)))))),"")</f>
        <v/>
      </c>
      <c r="I194" s="392">
        <f>IF($K194&gt;0,IF(ISNUMBER(IF(OR($D194="g",$D194="ｇ"),IF($M194&gt;0,$L194/$M194/1000,""),IF($D194="kg",IF($M194&gt;0,$L194/$M194,""),IF($D194="",IF($M194&gt;0,$L194/$M194/1000,IF($O194&gt;0,$N194/$O194,"")),IF($O194&gt;0,$N194/$O194,""))))),IF($D194="",IF($M194&gt;0,"◎ JAN紐づけ(g扱い)","◎ JAN紐づけ(個扱い)"),"◎ JAN紐づけ"),"△ JAN紐づけ済・実績不足→仮計算"),IF($F194="",IF(ISNUMBER($H194),IF($D194="","⑤ 工程平均で仮計算(g扱い)","⑤ 工程平均で仮計算"),IF($E194="⑩盛付梱包工程入力","⑥ 盛り込み(⑳F列で計上)",IF(AND($E194="⑬計量工程入力",OR($D194="個",$D194="切",$D194="本",$D194="枚",$D194="尾")),"① 未紐づけ(カット個単位は仮単価なし)","① 未紐づけ"))),IF(NOT(ISNUMBER($H194)),"② 工程側に単価なし",IF($D194="","③ 単位未設定(個で計算)","④ OK"))))</f>
        <v/>
      </c>
      <c r="J194" s="399">
        <f>IFERROR(LOOKUP(2,1/((中間品リスト!$F$2:$F$1299=$B194)*(中間品リスト!$E$2:$E$1299&lt;&gt;"-")*(中間品リスト!$E$2:$E$1299&lt;&gt;"")),中間品リスト!$E$2:$E$1299),"")</f>
        <v/>
      </c>
      <c r="K194" s="400">
        <f>IF($J194="",0,COUNTIF(②釜工程入力!$S$5:$S$117,$J194)+COUNTIF(③スチコン工程入力!$S$5:$S$152,$J194)+COUNTIF(⑪ZEN工程入力!$S$6:$S$35,$J194)+COUNTIF(⑫ミキサー工程入力!$S$6:$S$65,$J194)+COUNTIF(⑬計量工程入力!$S$6:$S$65,$J194)+COUNTIF(⑭手動工程入力!$S$6:$S$47,$J194))</f>
        <v/>
      </c>
      <c r="L194" s="393">
        <f>IF($J194="",0,SUMIFS(②釜工程入力!$M$5:$M$117,②釜工程入力!$S$5:$S$117,$J194,②釜工程入力!$I$5:$I$117,"&gt;0")+SUMIFS(③スチコン工程入力!$M$5:$M$152,③スチコン工程入力!$S$5:$S$152,$J194,③スチコン工程入力!$I$5:$I$152,"&gt;0")+SUMIFS(⑪ZEN工程入力!$M$6:$M$35,⑪ZEN工程入力!$S$6:$S$35,$J194,⑪ZEN工程入力!$I$6:$I$35,"&gt;0")+SUMIFS(⑫ミキサー工程入力!$M$6:$M$65,⑫ミキサー工程入力!$S$6:$S$65,$J194,⑫ミキサー工程入力!$I$6:$I$65,"&gt;0")+SUMIFS(⑬計量工程入力!$M$6:$M$65,⑬計量工程入力!$S$6:$S$65,$J194,⑬計量工程入力!$I$6:$I$65,"&gt;0")+SUMIFS(⑭手動工程入力!$M$6:$M$47,⑭手動工程入力!$S$6:$S$47,$J194,⑭手動工程入力!$I$6:$I$47,"&gt;0"))</f>
        <v/>
      </c>
      <c r="M194" s="393">
        <f>IF($J194="",0,SUMIFS(②釜工程入力!$I$5:$I$117,②釜工程入力!$S$5:$S$117,$J194,②釜工程入力!$I$5:$I$117,"&gt;0",②釜工程入力!$M$5:$M$117,"&gt;0")+SUMIFS(③スチコン工程入力!$I$5:$I$152,③スチコン工程入力!$S$5:$S$152,$J194,③スチコン工程入力!$I$5:$I$152,"&gt;0",③スチコン工程入力!$M$5:$M$152,"&gt;0")+SUMIFS(⑪ZEN工程入力!$I$6:$I$35,⑪ZEN工程入力!$S$6:$S$35,$J194,⑪ZEN工程入力!$I$6:$I$35,"&gt;0",⑪ZEN工程入力!$M$6:$M$35,"&gt;0")+SUMIFS(⑫ミキサー工程入力!$I$6:$I$65,⑫ミキサー工程入力!$S$6:$S$65,$J194,⑫ミキサー工程入力!$I$6:$I$65,"&gt;0",⑫ミキサー工程入力!$M$6:$M$65,"&gt;0")+SUMIFS(⑬計量工程入力!$I$6:$I$65,⑬計量工程入力!$S$6:$S$65,$J194,⑬計量工程入力!$I$6:$I$65,"&gt;0",⑬計量工程入力!$M$6:$M$65,"&gt;0")+SUMIFS(⑭手動工程入力!$I$6:$I$47,⑭手動工程入力!$S$6:$S$47,$J194,⑭手動工程入力!$I$6:$I$47,"&gt;0",⑭手動工程入力!$M$6:$M$47,"&gt;0"))</f>
        <v/>
      </c>
      <c r="N194" s="393">
        <f>IF($J194="",0,SUMIFS(②釜工程入力!$M$5:$M$117,②釜工程入力!$S$5:$S$117,$J194,②釜工程入力!$J$5:$J$117,"&gt;0")-SUMIFS(②釜工程入力!$M$5:$M$117,②釜工程入力!$S$5:$S$117,$J194,②釜工程入力!$J$5:$J$117,"&gt;0",②釜工程入力!$I$5:$I$117,"&gt;0")+SUMIFS(③スチコン工程入力!$M$5:$M$152,③スチコン工程入力!$S$5:$S$152,$J194,③スチコン工程入力!$J$5:$J$152,"&gt;0")-SUMIFS(③スチコン工程入力!$M$5:$M$152,③スチコン工程入力!$S$5:$S$152,$J194,③スチコン工程入力!$J$5:$J$152,"&gt;0",③スチコン工程入力!$I$5:$I$152,"&gt;0")+SUMIFS(⑪ZEN工程入力!$M$6:$M$35,⑪ZEN工程入力!$S$6:$S$35,$J194,⑪ZEN工程入力!$J$6:$J$35,"&gt;0")-SUMIFS(⑪ZEN工程入力!$M$6:$M$35,⑪ZEN工程入力!$S$6:$S$35,$J194,⑪ZEN工程入力!$J$6:$J$35,"&gt;0",⑪ZEN工程入力!$I$6:$I$35,"&gt;0")+SUMIFS(⑫ミキサー工程入力!$M$6:$M$65,⑫ミキサー工程入力!$S$6:$S$65,$J194,⑫ミキサー工程入力!$J$6:$J$65,"&gt;0")-SUMIFS(⑫ミキサー工程入力!$M$6:$M$65,⑫ミキサー工程入力!$S$6:$S$65,$J194,⑫ミキサー工程入力!$J$6:$J$65,"&gt;0",⑫ミキサー工程入力!$I$6:$I$65,"&gt;0")+SUMIFS(⑬計量工程入力!$M$6:$M$65,⑬計量工程入力!$S$6:$S$65,$J194,⑬計量工程入力!$J$6:$J$65,"&gt;0")-SUMIFS(⑬計量工程入力!$M$6:$M$65,⑬計量工程入力!$S$6:$S$65,$J194,⑬計量工程入力!$J$6:$J$65,"&gt;0",⑬計量工程入力!$I$6:$I$65,"&gt;0")+SUMIFS(⑭手動工程入力!$M$6:$M$47,⑭手動工程入力!$S$6:$S$47,$J194,⑭手動工程入力!$J$6:$J$47,"&gt;0")-SUMIFS(⑭手動工程入力!$M$6:$M$47,⑭手動工程入力!$S$6:$S$47,$J194,⑭手動工程入力!$J$6:$J$47,"&gt;0",⑭手動工程入力!$I$6:$I$47,"&gt;0"))</f>
        <v/>
      </c>
      <c r="O194" s="393">
        <f>IF($J194="",0,SUMIFS(②釜工程入力!$J$5:$J$117,②釜工程入力!$S$5:$S$117,$J194,②釜工程入力!$J$5:$J$117,"&gt;0",②釜工程入力!$M$5:$M$117,"&gt;0")-SUMIFS(②釜工程入力!$J$5:$J$117,②釜工程入力!$S$5:$S$117,$J194,②釜工程入力!$J$5:$J$117,"&gt;0",②釜工程入力!$I$5:$I$117,"&gt;0",②釜工程入力!$M$5:$M$117,"&gt;0")+SUMIFS(③スチコン工程入力!$J$5:$J$152,③スチコン工程入力!$S$5:$S$152,$J194,③スチコン工程入力!$J$5:$J$152,"&gt;0",③スチコン工程入力!$M$5:$M$152,"&gt;0")-SUMIFS(③スチコン工程入力!$J$5:$J$152,③スチコン工程入力!$S$5:$S$152,$J194,③スチコン工程入力!$J$5:$J$152,"&gt;0",③スチコン工程入力!$I$5:$I$152,"&gt;0",③スチコン工程入力!$M$5:$M$152,"&gt;0")+SUMIFS(⑪ZEN工程入力!$J$6:$J$35,⑪ZEN工程入力!$S$6:$S$35,$J194,⑪ZEN工程入力!$J$6:$J$35,"&gt;0",⑪ZEN工程入力!$M$6:$M$35,"&gt;0")-SUMIFS(⑪ZEN工程入力!$J$6:$J$35,⑪ZEN工程入力!$S$6:$S$35,$J194,⑪ZEN工程入力!$J$6:$J$35,"&gt;0",⑪ZEN工程入力!$I$6:$I$35,"&gt;0",⑪ZEN工程入力!$M$6:$M$35,"&gt;0")+SUMIFS(⑫ミキサー工程入力!$J$6:$J$65,⑫ミキサー工程入力!$S$6:$S$65,$J194,⑫ミキサー工程入力!$J$6:$J$65,"&gt;0",⑫ミキサー工程入力!$M$6:$M$65,"&gt;0")-SUMIFS(⑫ミキサー工程入力!$J$6:$J$65,⑫ミキサー工程入力!$S$6:$S$65,$J194,⑫ミキサー工程入力!$J$6:$J$65,"&gt;0",⑫ミキサー工程入力!$I$6:$I$65,"&gt;0",⑫ミキサー工程入力!$M$6:$M$65,"&gt;0")+SUMIFS(⑬計量工程入力!$J$6:$J$65,⑬計量工程入力!$S$6:$S$65,$J194,⑬計量工程入力!$J$6:$J$65,"&gt;0",⑬計量工程入力!$M$6:$M$65,"&gt;0")-SUMIFS(⑬計量工程入力!$J$6:$J$65,⑬計量工程入力!$S$6:$S$65,$J194,⑬計量工程入力!$J$6:$J$65,"&gt;0",⑬計量工程入力!$I$6:$I$65,"&gt;0",⑬計量工程入力!$M$6:$M$65,"&gt;0")+SUMIFS(⑭手動工程入力!$J$6:$J$47,⑭手動工程入力!$S$6:$S$47,$J194,⑭手動工程入力!$J$6:$J$47,"&gt;0",⑭手動工程入力!$M$6:$M$47,"&gt;0")-SUMIFS(⑭手動工程入力!$J$6:$J$47,⑭手動工程入力!$S$6:$S$47,$J194,⑭手動工程入力!$J$6:$J$47,"&gt;0",⑭手動工程入力!$I$6:$I$47,"&gt;0",⑭手動工程入力!$M$6:$M$47,"&gt;0"))</f>
        <v/>
      </c>
      <c r="P194" s="392" t="n"/>
    </row>
    <row r="195">
      <c r="A195" s="392" t="n">
        <v>191</v>
      </c>
      <c r="B195" s="392" t="n"/>
      <c r="C195" s="392" t="n"/>
      <c r="D195" s="392" t="n"/>
      <c r="E195" s="392" t="n"/>
      <c r="F195" s="394" t="n"/>
      <c r="G195" s="392" t="n"/>
      <c r="H195" s="604">
        <f>IFERROR(IF(AND($K195&gt;0,ISNUMBER(IF(OR($D195="g",$D195="ｇ"),IF($M195&gt;0,$L195/$M195/1000,""),IF($D195="kg",IF($M195&gt;0,$L195/$M195,""),IF($D195="",IF($M195&gt;0,$L195/$M195/1000,IF($O195&gt;0,$N195/$O195,"")),IF($O195&gt;0,$N195/$O195,"")))))),IF(OR($D195="g",$D195="ｇ"),IF($M195&gt;0,$L195/$M195/1000,""),IF($D195="kg",IF($M195&gt;0,$L195/$M195,""),IF($D195="",IF($M195&gt;0,$L195/$M195/1000,IF($O195&gt;0,$N195/$O195,"")),IF($O195&gt;0,$N195/$O195,"")))),IF($F195="",IF(OR($E195="",$E195="⑩盛付梱包工程入力"),"",IF(OR($D195="g",$D195="ｇ"),INDEX(⑰工程労務費一覧!$N$5:$N$11,MATCH($E195,⑰工程労務費一覧!$K$5:$K$11,0))/1000,IF($D195="kg",INDEX(⑰工程労務費一覧!$N$5:$N$11,MATCH($E195,⑰工程労務費一覧!$K$5:$K$11,0)),IF(OR($D195="個",$D195="切",$D195="本",$D195="枚",$D195="尾"),IF($E195="⑬計量工程入力","",INDEX(⑰工程労務費一覧!$P$5:$P$11,MATCH($E195,⑰工程労務費一覧!$K$5:$K$11,0))),IF(AND($D195="",OR($E195="②釜工程入力",$E195="③スチコン工程入力")),INDEX(⑰工程労務費一覧!$N$5:$N$11,MATCH($E195,⑰工程労務費一覧!$K$5:$K$11,0))/1000,""))))),IF(OR($D195="g",$D195="ｇ"),INDEX(⑰工程労務費一覧!$H$5:$H$753,MATCH($F195,⑰工程労務費一覧!$D$5:$D$753,0))/1000,IF($D195="kg",INDEX(⑰工程労務費一覧!$H$5:$H$753,MATCH($F195,⑰工程労務費一覧!$D$5:$D$753,0)),INDEX(⑰工程労務費一覧!$I$5:$I$753,MATCH($F195,⑰工程労務費一覧!$D$5:$D$753,0)))))),"")</f>
        <v/>
      </c>
      <c r="I195" s="392">
        <f>IF($K195&gt;0,IF(ISNUMBER(IF(OR($D195="g",$D195="ｇ"),IF($M195&gt;0,$L195/$M195/1000,""),IF($D195="kg",IF($M195&gt;0,$L195/$M195,""),IF($D195="",IF($M195&gt;0,$L195/$M195/1000,IF($O195&gt;0,$N195/$O195,"")),IF($O195&gt;0,$N195/$O195,""))))),IF($D195="",IF($M195&gt;0,"◎ JAN紐づけ(g扱い)","◎ JAN紐づけ(個扱い)"),"◎ JAN紐づけ"),"△ JAN紐づけ済・実績不足→仮計算"),IF($F195="",IF(ISNUMBER($H195),IF($D195="","⑤ 工程平均で仮計算(g扱い)","⑤ 工程平均で仮計算"),IF($E195="⑩盛付梱包工程入力","⑥ 盛り込み(⑳F列で計上)",IF(AND($E195="⑬計量工程入力",OR($D195="個",$D195="切",$D195="本",$D195="枚",$D195="尾")),"① 未紐づけ(カット個単位は仮単価なし)","① 未紐づけ"))),IF(NOT(ISNUMBER($H195)),"② 工程側に単価なし",IF($D195="","③ 単位未設定(個で計算)","④ OK"))))</f>
        <v/>
      </c>
      <c r="J195" s="399">
        <f>IFERROR(LOOKUP(2,1/((中間品リスト!$F$2:$F$1299=$B195)*(中間品リスト!$E$2:$E$1299&lt;&gt;"-")*(中間品リスト!$E$2:$E$1299&lt;&gt;"")),中間品リスト!$E$2:$E$1299),"")</f>
        <v/>
      </c>
      <c r="K195" s="400">
        <f>IF($J195="",0,COUNTIF(②釜工程入力!$S$5:$S$117,$J195)+COUNTIF(③スチコン工程入力!$S$5:$S$152,$J195)+COUNTIF(⑪ZEN工程入力!$S$6:$S$35,$J195)+COUNTIF(⑫ミキサー工程入力!$S$6:$S$65,$J195)+COUNTIF(⑬計量工程入力!$S$6:$S$65,$J195)+COUNTIF(⑭手動工程入力!$S$6:$S$47,$J195))</f>
        <v/>
      </c>
      <c r="L195" s="393">
        <f>IF($J195="",0,SUMIFS(②釜工程入力!$M$5:$M$117,②釜工程入力!$S$5:$S$117,$J195,②釜工程入力!$I$5:$I$117,"&gt;0")+SUMIFS(③スチコン工程入力!$M$5:$M$152,③スチコン工程入力!$S$5:$S$152,$J195,③スチコン工程入力!$I$5:$I$152,"&gt;0")+SUMIFS(⑪ZEN工程入力!$M$6:$M$35,⑪ZEN工程入力!$S$6:$S$35,$J195,⑪ZEN工程入力!$I$6:$I$35,"&gt;0")+SUMIFS(⑫ミキサー工程入力!$M$6:$M$65,⑫ミキサー工程入力!$S$6:$S$65,$J195,⑫ミキサー工程入力!$I$6:$I$65,"&gt;0")+SUMIFS(⑬計量工程入力!$M$6:$M$65,⑬計量工程入力!$S$6:$S$65,$J195,⑬計量工程入力!$I$6:$I$65,"&gt;0")+SUMIFS(⑭手動工程入力!$M$6:$M$47,⑭手動工程入力!$S$6:$S$47,$J195,⑭手動工程入力!$I$6:$I$47,"&gt;0"))</f>
        <v/>
      </c>
      <c r="M195" s="393">
        <f>IF($J195="",0,SUMIFS(②釜工程入力!$I$5:$I$117,②釜工程入力!$S$5:$S$117,$J195,②釜工程入力!$I$5:$I$117,"&gt;0",②釜工程入力!$M$5:$M$117,"&gt;0")+SUMIFS(③スチコン工程入力!$I$5:$I$152,③スチコン工程入力!$S$5:$S$152,$J195,③スチコン工程入力!$I$5:$I$152,"&gt;0",③スチコン工程入力!$M$5:$M$152,"&gt;0")+SUMIFS(⑪ZEN工程入力!$I$6:$I$35,⑪ZEN工程入力!$S$6:$S$35,$J195,⑪ZEN工程入力!$I$6:$I$35,"&gt;0",⑪ZEN工程入力!$M$6:$M$35,"&gt;0")+SUMIFS(⑫ミキサー工程入力!$I$6:$I$65,⑫ミキサー工程入力!$S$6:$S$65,$J195,⑫ミキサー工程入力!$I$6:$I$65,"&gt;0",⑫ミキサー工程入力!$M$6:$M$65,"&gt;0")+SUMIFS(⑬計量工程入力!$I$6:$I$65,⑬計量工程入力!$S$6:$S$65,$J195,⑬計量工程入力!$I$6:$I$65,"&gt;0",⑬計量工程入力!$M$6:$M$65,"&gt;0")+SUMIFS(⑭手動工程入力!$I$6:$I$47,⑭手動工程入力!$S$6:$S$47,$J195,⑭手動工程入力!$I$6:$I$47,"&gt;0",⑭手動工程入力!$M$6:$M$47,"&gt;0"))</f>
        <v/>
      </c>
      <c r="N195" s="393">
        <f>IF($J195="",0,SUMIFS(②釜工程入力!$M$5:$M$117,②釜工程入力!$S$5:$S$117,$J195,②釜工程入力!$J$5:$J$117,"&gt;0")-SUMIFS(②釜工程入力!$M$5:$M$117,②釜工程入力!$S$5:$S$117,$J195,②釜工程入力!$J$5:$J$117,"&gt;0",②釜工程入力!$I$5:$I$117,"&gt;0")+SUMIFS(③スチコン工程入力!$M$5:$M$152,③スチコン工程入力!$S$5:$S$152,$J195,③スチコン工程入力!$J$5:$J$152,"&gt;0")-SUMIFS(③スチコン工程入力!$M$5:$M$152,③スチコン工程入力!$S$5:$S$152,$J195,③スチコン工程入力!$J$5:$J$152,"&gt;0",③スチコン工程入力!$I$5:$I$152,"&gt;0")+SUMIFS(⑪ZEN工程入力!$M$6:$M$35,⑪ZEN工程入力!$S$6:$S$35,$J195,⑪ZEN工程入力!$J$6:$J$35,"&gt;0")-SUMIFS(⑪ZEN工程入力!$M$6:$M$35,⑪ZEN工程入力!$S$6:$S$35,$J195,⑪ZEN工程入力!$J$6:$J$35,"&gt;0",⑪ZEN工程入力!$I$6:$I$35,"&gt;0")+SUMIFS(⑫ミキサー工程入力!$M$6:$M$65,⑫ミキサー工程入力!$S$6:$S$65,$J195,⑫ミキサー工程入力!$J$6:$J$65,"&gt;0")-SUMIFS(⑫ミキサー工程入力!$M$6:$M$65,⑫ミキサー工程入力!$S$6:$S$65,$J195,⑫ミキサー工程入力!$J$6:$J$65,"&gt;0",⑫ミキサー工程入力!$I$6:$I$65,"&gt;0")+SUMIFS(⑬計量工程入力!$M$6:$M$65,⑬計量工程入力!$S$6:$S$65,$J195,⑬計量工程入力!$J$6:$J$65,"&gt;0")-SUMIFS(⑬計量工程入力!$M$6:$M$65,⑬計量工程入力!$S$6:$S$65,$J195,⑬計量工程入力!$J$6:$J$65,"&gt;0",⑬計量工程入力!$I$6:$I$65,"&gt;0")+SUMIFS(⑭手動工程入力!$M$6:$M$47,⑭手動工程入力!$S$6:$S$47,$J195,⑭手動工程入力!$J$6:$J$47,"&gt;0")-SUMIFS(⑭手動工程入力!$M$6:$M$47,⑭手動工程入力!$S$6:$S$47,$J195,⑭手動工程入力!$J$6:$J$47,"&gt;0",⑭手動工程入力!$I$6:$I$47,"&gt;0"))</f>
        <v/>
      </c>
      <c r="O195" s="393">
        <f>IF($J195="",0,SUMIFS(②釜工程入力!$J$5:$J$117,②釜工程入力!$S$5:$S$117,$J195,②釜工程入力!$J$5:$J$117,"&gt;0",②釜工程入力!$M$5:$M$117,"&gt;0")-SUMIFS(②釜工程入力!$J$5:$J$117,②釜工程入力!$S$5:$S$117,$J195,②釜工程入力!$J$5:$J$117,"&gt;0",②釜工程入力!$I$5:$I$117,"&gt;0",②釜工程入力!$M$5:$M$117,"&gt;0")+SUMIFS(③スチコン工程入力!$J$5:$J$152,③スチコン工程入力!$S$5:$S$152,$J195,③スチコン工程入力!$J$5:$J$152,"&gt;0",③スチコン工程入力!$M$5:$M$152,"&gt;0")-SUMIFS(③スチコン工程入力!$J$5:$J$152,③スチコン工程入力!$S$5:$S$152,$J195,③スチコン工程入力!$J$5:$J$152,"&gt;0",③スチコン工程入力!$I$5:$I$152,"&gt;0",③スチコン工程入力!$M$5:$M$152,"&gt;0")+SUMIFS(⑪ZEN工程入力!$J$6:$J$35,⑪ZEN工程入力!$S$6:$S$35,$J195,⑪ZEN工程入力!$J$6:$J$35,"&gt;0",⑪ZEN工程入力!$M$6:$M$35,"&gt;0")-SUMIFS(⑪ZEN工程入力!$J$6:$J$35,⑪ZEN工程入力!$S$6:$S$35,$J195,⑪ZEN工程入力!$J$6:$J$35,"&gt;0",⑪ZEN工程入力!$I$6:$I$35,"&gt;0",⑪ZEN工程入力!$M$6:$M$35,"&gt;0")+SUMIFS(⑫ミキサー工程入力!$J$6:$J$65,⑫ミキサー工程入力!$S$6:$S$65,$J195,⑫ミキサー工程入力!$J$6:$J$65,"&gt;0",⑫ミキサー工程入力!$M$6:$M$65,"&gt;0")-SUMIFS(⑫ミキサー工程入力!$J$6:$J$65,⑫ミキサー工程入力!$S$6:$S$65,$J195,⑫ミキサー工程入力!$J$6:$J$65,"&gt;0",⑫ミキサー工程入力!$I$6:$I$65,"&gt;0",⑫ミキサー工程入力!$M$6:$M$65,"&gt;0")+SUMIFS(⑬計量工程入力!$J$6:$J$65,⑬計量工程入力!$S$6:$S$65,$J195,⑬計量工程入力!$J$6:$J$65,"&gt;0",⑬計量工程入力!$M$6:$M$65,"&gt;0")-SUMIFS(⑬計量工程入力!$J$6:$J$65,⑬計量工程入力!$S$6:$S$65,$J195,⑬計量工程入力!$J$6:$J$65,"&gt;0",⑬計量工程入力!$I$6:$I$65,"&gt;0",⑬計量工程入力!$M$6:$M$65,"&gt;0")+SUMIFS(⑭手動工程入力!$J$6:$J$47,⑭手動工程入力!$S$6:$S$47,$J195,⑭手動工程入力!$J$6:$J$47,"&gt;0",⑭手動工程入力!$M$6:$M$47,"&gt;0")-SUMIFS(⑭手動工程入力!$J$6:$J$47,⑭手動工程入力!$S$6:$S$47,$J195,⑭手動工程入力!$J$6:$J$47,"&gt;0",⑭手動工程入力!$I$6:$I$47,"&gt;0",⑭手動工程入力!$M$6:$M$47,"&gt;0"))</f>
        <v/>
      </c>
      <c r="P195" s="392" t="n"/>
    </row>
    <row r="196">
      <c r="A196" s="392" t="n">
        <v>192</v>
      </c>
      <c r="B196" s="392" t="n"/>
      <c r="C196" s="392" t="n"/>
      <c r="D196" s="392" t="n"/>
      <c r="E196" s="392" t="n"/>
      <c r="F196" s="394" t="n"/>
      <c r="G196" s="392" t="n"/>
      <c r="H196" s="604">
        <f>IFERROR(IF(AND($K196&gt;0,ISNUMBER(IF(OR($D196="g",$D196="ｇ"),IF($M196&gt;0,$L196/$M196/1000,""),IF($D196="kg",IF($M196&gt;0,$L196/$M196,""),IF($D196="",IF($M196&gt;0,$L196/$M196/1000,IF($O196&gt;0,$N196/$O196,"")),IF($O196&gt;0,$N196/$O196,"")))))),IF(OR($D196="g",$D196="ｇ"),IF($M196&gt;0,$L196/$M196/1000,""),IF($D196="kg",IF($M196&gt;0,$L196/$M196,""),IF($D196="",IF($M196&gt;0,$L196/$M196/1000,IF($O196&gt;0,$N196/$O196,"")),IF($O196&gt;0,$N196/$O196,"")))),IF($F196="",IF(OR($E196="",$E196="⑩盛付梱包工程入力"),"",IF(OR($D196="g",$D196="ｇ"),INDEX(⑰工程労務費一覧!$N$5:$N$11,MATCH($E196,⑰工程労務費一覧!$K$5:$K$11,0))/1000,IF($D196="kg",INDEX(⑰工程労務費一覧!$N$5:$N$11,MATCH($E196,⑰工程労務費一覧!$K$5:$K$11,0)),IF(OR($D196="個",$D196="切",$D196="本",$D196="枚",$D196="尾"),IF($E196="⑬計量工程入力","",INDEX(⑰工程労務費一覧!$P$5:$P$11,MATCH($E196,⑰工程労務費一覧!$K$5:$K$11,0))),IF(AND($D196="",OR($E196="②釜工程入力",$E196="③スチコン工程入力")),INDEX(⑰工程労務費一覧!$N$5:$N$11,MATCH($E196,⑰工程労務費一覧!$K$5:$K$11,0))/1000,""))))),IF(OR($D196="g",$D196="ｇ"),INDEX(⑰工程労務費一覧!$H$5:$H$753,MATCH($F196,⑰工程労務費一覧!$D$5:$D$753,0))/1000,IF($D196="kg",INDEX(⑰工程労務費一覧!$H$5:$H$753,MATCH($F196,⑰工程労務費一覧!$D$5:$D$753,0)),INDEX(⑰工程労務費一覧!$I$5:$I$753,MATCH($F196,⑰工程労務費一覧!$D$5:$D$753,0)))))),"")</f>
        <v/>
      </c>
      <c r="I196" s="392">
        <f>IF($K196&gt;0,IF(ISNUMBER(IF(OR($D196="g",$D196="ｇ"),IF($M196&gt;0,$L196/$M196/1000,""),IF($D196="kg",IF($M196&gt;0,$L196/$M196,""),IF($D196="",IF($M196&gt;0,$L196/$M196/1000,IF($O196&gt;0,$N196/$O196,"")),IF($O196&gt;0,$N196/$O196,""))))),IF($D196="",IF($M196&gt;0,"◎ JAN紐づけ(g扱い)","◎ JAN紐づけ(個扱い)"),"◎ JAN紐づけ"),"△ JAN紐づけ済・実績不足→仮計算"),IF($F196="",IF(ISNUMBER($H196),IF($D196="","⑤ 工程平均で仮計算(g扱い)","⑤ 工程平均で仮計算"),IF($E196="⑩盛付梱包工程入力","⑥ 盛り込み(⑳F列で計上)",IF(AND($E196="⑬計量工程入力",OR($D196="個",$D196="切",$D196="本",$D196="枚",$D196="尾")),"① 未紐づけ(カット個単位は仮単価なし)","① 未紐づけ"))),IF(NOT(ISNUMBER($H196)),"② 工程側に単価なし",IF($D196="","③ 単位未設定(個で計算)","④ OK"))))</f>
        <v/>
      </c>
      <c r="J196" s="399">
        <f>IFERROR(LOOKUP(2,1/((中間品リスト!$F$2:$F$1299=$B196)*(中間品リスト!$E$2:$E$1299&lt;&gt;"-")*(中間品リスト!$E$2:$E$1299&lt;&gt;"")),中間品リスト!$E$2:$E$1299),"")</f>
        <v/>
      </c>
      <c r="K196" s="400">
        <f>IF($J196="",0,COUNTIF(②釜工程入力!$S$5:$S$117,$J196)+COUNTIF(③スチコン工程入力!$S$5:$S$152,$J196)+COUNTIF(⑪ZEN工程入力!$S$6:$S$35,$J196)+COUNTIF(⑫ミキサー工程入力!$S$6:$S$65,$J196)+COUNTIF(⑬計量工程入力!$S$6:$S$65,$J196)+COUNTIF(⑭手動工程入力!$S$6:$S$47,$J196))</f>
        <v/>
      </c>
      <c r="L196" s="393">
        <f>IF($J196="",0,SUMIFS(②釜工程入力!$M$5:$M$117,②釜工程入力!$S$5:$S$117,$J196,②釜工程入力!$I$5:$I$117,"&gt;0")+SUMIFS(③スチコン工程入力!$M$5:$M$152,③スチコン工程入力!$S$5:$S$152,$J196,③スチコン工程入力!$I$5:$I$152,"&gt;0")+SUMIFS(⑪ZEN工程入力!$M$6:$M$35,⑪ZEN工程入力!$S$6:$S$35,$J196,⑪ZEN工程入力!$I$6:$I$35,"&gt;0")+SUMIFS(⑫ミキサー工程入力!$M$6:$M$65,⑫ミキサー工程入力!$S$6:$S$65,$J196,⑫ミキサー工程入力!$I$6:$I$65,"&gt;0")+SUMIFS(⑬計量工程入力!$M$6:$M$65,⑬計量工程入力!$S$6:$S$65,$J196,⑬計量工程入力!$I$6:$I$65,"&gt;0")+SUMIFS(⑭手動工程入力!$M$6:$M$47,⑭手動工程入力!$S$6:$S$47,$J196,⑭手動工程入力!$I$6:$I$47,"&gt;0"))</f>
        <v/>
      </c>
      <c r="M196" s="393">
        <f>IF($J196="",0,SUMIFS(②釜工程入力!$I$5:$I$117,②釜工程入力!$S$5:$S$117,$J196,②釜工程入力!$I$5:$I$117,"&gt;0",②釜工程入力!$M$5:$M$117,"&gt;0")+SUMIFS(③スチコン工程入力!$I$5:$I$152,③スチコン工程入力!$S$5:$S$152,$J196,③スチコン工程入力!$I$5:$I$152,"&gt;0",③スチコン工程入力!$M$5:$M$152,"&gt;0")+SUMIFS(⑪ZEN工程入力!$I$6:$I$35,⑪ZEN工程入力!$S$6:$S$35,$J196,⑪ZEN工程入力!$I$6:$I$35,"&gt;0",⑪ZEN工程入力!$M$6:$M$35,"&gt;0")+SUMIFS(⑫ミキサー工程入力!$I$6:$I$65,⑫ミキサー工程入力!$S$6:$S$65,$J196,⑫ミキサー工程入力!$I$6:$I$65,"&gt;0",⑫ミキサー工程入力!$M$6:$M$65,"&gt;0")+SUMIFS(⑬計量工程入力!$I$6:$I$65,⑬計量工程入力!$S$6:$S$65,$J196,⑬計量工程入力!$I$6:$I$65,"&gt;0",⑬計量工程入力!$M$6:$M$65,"&gt;0")+SUMIFS(⑭手動工程入力!$I$6:$I$47,⑭手動工程入力!$S$6:$S$47,$J196,⑭手動工程入力!$I$6:$I$47,"&gt;0",⑭手動工程入力!$M$6:$M$47,"&gt;0"))</f>
        <v/>
      </c>
      <c r="N196" s="393">
        <f>IF($J196="",0,SUMIFS(②釜工程入力!$M$5:$M$117,②釜工程入力!$S$5:$S$117,$J196,②釜工程入力!$J$5:$J$117,"&gt;0")-SUMIFS(②釜工程入力!$M$5:$M$117,②釜工程入力!$S$5:$S$117,$J196,②釜工程入力!$J$5:$J$117,"&gt;0",②釜工程入力!$I$5:$I$117,"&gt;0")+SUMIFS(③スチコン工程入力!$M$5:$M$152,③スチコン工程入力!$S$5:$S$152,$J196,③スチコン工程入力!$J$5:$J$152,"&gt;0")-SUMIFS(③スチコン工程入力!$M$5:$M$152,③スチコン工程入力!$S$5:$S$152,$J196,③スチコン工程入力!$J$5:$J$152,"&gt;0",③スチコン工程入力!$I$5:$I$152,"&gt;0")+SUMIFS(⑪ZEN工程入力!$M$6:$M$35,⑪ZEN工程入力!$S$6:$S$35,$J196,⑪ZEN工程入力!$J$6:$J$35,"&gt;0")-SUMIFS(⑪ZEN工程入力!$M$6:$M$35,⑪ZEN工程入力!$S$6:$S$35,$J196,⑪ZEN工程入力!$J$6:$J$35,"&gt;0",⑪ZEN工程入力!$I$6:$I$35,"&gt;0")+SUMIFS(⑫ミキサー工程入力!$M$6:$M$65,⑫ミキサー工程入力!$S$6:$S$65,$J196,⑫ミキサー工程入力!$J$6:$J$65,"&gt;0")-SUMIFS(⑫ミキサー工程入力!$M$6:$M$65,⑫ミキサー工程入力!$S$6:$S$65,$J196,⑫ミキサー工程入力!$J$6:$J$65,"&gt;0",⑫ミキサー工程入力!$I$6:$I$65,"&gt;0")+SUMIFS(⑬計量工程入力!$M$6:$M$65,⑬計量工程入力!$S$6:$S$65,$J196,⑬計量工程入力!$J$6:$J$65,"&gt;0")-SUMIFS(⑬計量工程入力!$M$6:$M$65,⑬計量工程入力!$S$6:$S$65,$J196,⑬計量工程入力!$J$6:$J$65,"&gt;0",⑬計量工程入力!$I$6:$I$65,"&gt;0")+SUMIFS(⑭手動工程入力!$M$6:$M$47,⑭手動工程入力!$S$6:$S$47,$J196,⑭手動工程入力!$J$6:$J$47,"&gt;0")-SUMIFS(⑭手動工程入力!$M$6:$M$47,⑭手動工程入力!$S$6:$S$47,$J196,⑭手動工程入力!$J$6:$J$47,"&gt;0",⑭手動工程入力!$I$6:$I$47,"&gt;0"))</f>
        <v/>
      </c>
      <c r="O196" s="393">
        <f>IF($J196="",0,SUMIFS(②釜工程入力!$J$5:$J$117,②釜工程入力!$S$5:$S$117,$J196,②釜工程入力!$J$5:$J$117,"&gt;0",②釜工程入力!$M$5:$M$117,"&gt;0")-SUMIFS(②釜工程入力!$J$5:$J$117,②釜工程入力!$S$5:$S$117,$J196,②釜工程入力!$J$5:$J$117,"&gt;0",②釜工程入力!$I$5:$I$117,"&gt;0",②釜工程入力!$M$5:$M$117,"&gt;0")+SUMIFS(③スチコン工程入力!$J$5:$J$152,③スチコン工程入力!$S$5:$S$152,$J196,③スチコン工程入力!$J$5:$J$152,"&gt;0",③スチコン工程入力!$M$5:$M$152,"&gt;0")-SUMIFS(③スチコン工程入力!$J$5:$J$152,③スチコン工程入力!$S$5:$S$152,$J196,③スチコン工程入力!$J$5:$J$152,"&gt;0",③スチコン工程入力!$I$5:$I$152,"&gt;0",③スチコン工程入力!$M$5:$M$152,"&gt;0")+SUMIFS(⑪ZEN工程入力!$J$6:$J$35,⑪ZEN工程入力!$S$6:$S$35,$J196,⑪ZEN工程入力!$J$6:$J$35,"&gt;0",⑪ZEN工程入力!$M$6:$M$35,"&gt;0")-SUMIFS(⑪ZEN工程入力!$J$6:$J$35,⑪ZEN工程入力!$S$6:$S$35,$J196,⑪ZEN工程入力!$J$6:$J$35,"&gt;0",⑪ZEN工程入力!$I$6:$I$35,"&gt;0",⑪ZEN工程入力!$M$6:$M$35,"&gt;0")+SUMIFS(⑫ミキサー工程入力!$J$6:$J$65,⑫ミキサー工程入力!$S$6:$S$65,$J196,⑫ミキサー工程入力!$J$6:$J$65,"&gt;0",⑫ミキサー工程入力!$M$6:$M$65,"&gt;0")-SUMIFS(⑫ミキサー工程入力!$J$6:$J$65,⑫ミキサー工程入力!$S$6:$S$65,$J196,⑫ミキサー工程入力!$J$6:$J$65,"&gt;0",⑫ミキサー工程入力!$I$6:$I$65,"&gt;0",⑫ミキサー工程入力!$M$6:$M$65,"&gt;0")+SUMIFS(⑬計量工程入力!$J$6:$J$65,⑬計量工程入力!$S$6:$S$65,$J196,⑬計量工程入力!$J$6:$J$65,"&gt;0",⑬計量工程入力!$M$6:$M$65,"&gt;0")-SUMIFS(⑬計量工程入力!$J$6:$J$65,⑬計量工程入力!$S$6:$S$65,$J196,⑬計量工程入力!$J$6:$J$65,"&gt;0",⑬計量工程入力!$I$6:$I$65,"&gt;0",⑬計量工程入力!$M$6:$M$65,"&gt;0")+SUMIFS(⑭手動工程入力!$J$6:$J$47,⑭手動工程入力!$S$6:$S$47,$J196,⑭手動工程入力!$J$6:$J$47,"&gt;0",⑭手動工程入力!$M$6:$M$47,"&gt;0")-SUMIFS(⑭手動工程入力!$J$6:$J$47,⑭手動工程入力!$S$6:$S$47,$J196,⑭手動工程入力!$J$6:$J$47,"&gt;0",⑭手動工程入力!$I$6:$I$47,"&gt;0",⑭手動工程入力!$M$6:$M$47,"&gt;0"))</f>
        <v/>
      </c>
      <c r="P196" s="392" t="n"/>
    </row>
    <row r="197">
      <c r="A197" s="392" t="n">
        <v>193</v>
      </c>
      <c r="B197" s="392" t="n"/>
      <c r="C197" s="392" t="n"/>
      <c r="D197" s="392" t="n"/>
      <c r="E197" s="392" t="n"/>
      <c r="F197" s="394" t="n"/>
      <c r="G197" s="392" t="n"/>
      <c r="H197" s="604">
        <f>IFERROR(IF(AND($K197&gt;0,ISNUMBER(IF(OR($D197="g",$D197="ｇ"),IF($M197&gt;0,$L197/$M197/1000,""),IF($D197="kg",IF($M197&gt;0,$L197/$M197,""),IF($D197="",IF($M197&gt;0,$L197/$M197/1000,IF($O197&gt;0,$N197/$O197,"")),IF($O197&gt;0,$N197/$O197,"")))))),IF(OR($D197="g",$D197="ｇ"),IF($M197&gt;0,$L197/$M197/1000,""),IF($D197="kg",IF($M197&gt;0,$L197/$M197,""),IF($D197="",IF($M197&gt;0,$L197/$M197/1000,IF($O197&gt;0,$N197/$O197,"")),IF($O197&gt;0,$N197/$O197,"")))),IF($F197="",IF(OR($E197="",$E197="⑩盛付梱包工程入力"),"",IF(OR($D197="g",$D197="ｇ"),INDEX(⑰工程労務費一覧!$N$5:$N$11,MATCH($E197,⑰工程労務費一覧!$K$5:$K$11,0))/1000,IF($D197="kg",INDEX(⑰工程労務費一覧!$N$5:$N$11,MATCH($E197,⑰工程労務費一覧!$K$5:$K$11,0)),IF(OR($D197="個",$D197="切",$D197="本",$D197="枚",$D197="尾"),IF($E197="⑬計量工程入力","",INDEX(⑰工程労務費一覧!$P$5:$P$11,MATCH($E197,⑰工程労務費一覧!$K$5:$K$11,0))),IF(AND($D197="",OR($E197="②釜工程入力",$E197="③スチコン工程入力")),INDEX(⑰工程労務費一覧!$N$5:$N$11,MATCH($E197,⑰工程労務費一覧!$K$5:$K$11,0))/1000,""))))),IF(OR($D197="g",$D197="ｇ"),INDEX(⑰工程労務費一覧!$H$5:$H$753,MATCH($F197,⑰工程労務費一覧!$D$5:$D$753,0))/1000,IF($D197="kg",INDEX(⑰工程労務費一覧!$H$5:$H$753,MATCH($F197,⑰工程労務費一覧!$D$5:$D$753,0)),INDEX(⑰工程労務費一覧!$I$5:$I$753,MATCH($F197,⑰工程労務費一覧!$D$5:$D$753,0)))))),"")</f>
        <v/>
      </c>
      <c r="I197" s="392">
        <f>IF($K197&gt;0,IF(ISNUMBER(IF(OR($D197="g",$D197="ｇ"),IF($M197&gt;0,$L197/$M197/1000,""),IF($D197="kg",IF($M197&gt;0,$L197/$M197,""),IF($D197="",IF($M197&gt;0,$L197/$M197/1000,IF($O197&gt;0,$N197/$O197,"")),IF($O197&gt;0,$N197/$O197,""))))),IF($D197="",IF($M197&gt;0,"◎ JAN紐づけ(g扱い)","◎ JAN紐づけ(個扱い)"),"◎ JAN紐づけ"),"△ JAN紐づけ済・実績不足→仮計算"),IF($F197="",IF(ISNUMBER($H197),IF($D197="","⑤ 工程平均で仮計算(g扱い)","⑤ 工程平均で仮計算"),IF($E197="⑩盛付梱包工程入力","⑥ 盛り込み(⑳F列で計上)",IF(AND($E197="⑬計量工程入力",OR($D197="個",$D197="切",$D197="本",$D197="枚",$D197="尾")),"① 未紐づけ(カット個単位は仮単価なし)","① 未紐づけ"))),IF(NOT(ISNUMBER($H197)),"② 工程側に単価なし",IF($D197="","③ 単位未設定(個で計算)","④ OK"))))</f>
        <v/>
      </c>
      <c r="J197" s="399">
        <f>IFERROR(LOOKUP(2,1/((中間品リスト!$F$2:$F$1299=$B197)*(中間品リスト!$E$2:$E$1299&lt;&gt;"-")*(中間品リスト!$E$2:$E$1299&lt;&gt;"")),中間品リスト!$E$2:$E$1299),"")</f>
        <v/>
      </c>
      <c r="K197" s="400">
        <f>IF($J197="",0,COUNTIF(②釜工程入力!$S$5:$S$117,$J197)+COUNTIF(③スチコン工程入力!$S$5:$S$152,$J197)+COUNTIF(⑪ZEN工程入力!$S$6:$S$35,$J197)+COUNTIF(⑫ミキサー工程入力!$S$6:$S$65,$J197)+COUNTIF(⑬計量工程入力!$S$6:$S$65,$J197)+COUNTIF(⑭手動工程入力!$S$6:$S$47,$J197))</f>
        <v/>
      </c>
      <c r="L197" s="393">
        <f>IF($J197="",0,SUMIFS(②釜工程入力!$M$5:$M$117,②釜工程入力!$S$5:$S$117,$J197,②釜工程入力!$I$5:$I$117,"&gt;0")+SUMIFS(③スチコン工程入力!$M$5:$M$152,③スチコン工程入力!$S$5:$S$152,$J197,③スチコン工程入力!$I$5:$I$152,"&gt;0")+SUMIFS(⑪ZEN工程入力!$M$6:$M$35,⑪ZEN工程入力!$S$6:$S$35,$J197,⑪ZEN工程入力!$I$6:$I$35,"&gt;0")+SUMIFS(⑫ミキサー工程入力!$M$6:$M$65,⑫ミキサー工程入力!$S$6:$S$65,$J197,⑫ミキサー工程入力!$I$6:$I$65,"&gt;0")+SUMIFS(⑬計量工程入力!$M$6:$M$65,⑬計量工程入力!$S$6:$S$65,$J197,⑬計量工程入力!$I$6:$I$65,"&gt;0")+SUMIFS(⑭手動工程入力!$M$6:$M$47,⑭手動工程入力!$S$6:$S$47,$J197,⑭手動工程入力!$I$6:$I$47,"&gt;0"))</f>
        <v/>
      </c>
      <c r="M197" s="393">
        <f>IF($J197="",0,SUMIFS(②釜工程入力!$I$5:$I$117,②釜工程入力!$S$5:$S$117,$J197,②釜工程入力!$I$5:$I$117,"&gt;0",②釜工程入力!$M$5:$M$117,"&gt;0")+SUMIFS(③スチコン工程入力!$I$5:$I$152,③スチコン工程入力!$S$5:$S$152,$J197,③スチコン工程入力!$I$5:$I$152,"&gt;0",③スチコン工程入力!$M$5:$M$152,"&gt;0")+SUMIFS(⑪ZEN工程入力!$I$6:$I$35,⑪ZEN工程入力!$S$6:$S$35,$J197,⑪ZEN工程入力!$I$6:$I$35,"&gt;0",⑪ZEN工程入力!$M$6:$M$35,"&gt;0")+SUMIFS(⑫ミキサー工程入力!$I$6:$I$65,⑫ミキサー工程入力!$S$6:$S$65,$J197,⑫ミキサー工程入力!$I$6:$I$65,"&gt;0",⑫ミキサー工程入力!$M$6:$M$65,"&gt;0")+SUMIFS(⑬計量工程入力!$I$6:$I$65,⑬計量工程入力!$S$6:$S$65,$J197,⑬計量工程入力!$I$6:$I$65,"&gt;0",⑬計量工程入力!$M$6:$M$65,"&gt;0")+SUMIFS(⑭手動工程入力!$I$6:$I$47,⑭手動工程入力!$S$6:$S$47,$J197,⑭手動工程入力!$I$6:$I$47,"&gt;0",⑭手動工程入力!$M$6:$M$47,"&gt;0"))</f>
        <v/>
      </c>
      <c r="N197" s="393">
        <f>IF($J197="",0,SUMIFS(②釜工程入力!$M$5:$M$117,②釜工程入力!$S$5:$S$117,$J197,②釜工程入力!$J$5:$J$117,"&gt;0")-SUMIFS(②釜工程入力!$M$5:$M$117,②釜工程入力!$S$5:$S$117,$J197,②釜工程入力!$J$5:$J$117,"&gt;0",②釜工程入力!$I$5:$I$117,"&gt;0")+SUMIFS(③スチコン工程入力!$M$5:$M$152,③スチコン工程入力!$S$5:$S$152,$J197,③スチコン工程入力!$J$5:$J$152,"&gt;0")-SUMIFS(③スチコン工程入力!$M$5:$M$152,③スチコン工程入力!$S$5:$S$152,$J197,③スチコン工程入力!$J$5:$J$152,"&gt;0",③スチコン工程入力!$I$5:$I$152,"&gt;0")+SUMIFS(⑪ZEN工程入力!$M$6:$M$35,⑪ZEN工程入力!$S$6:$S$35,$J197,⑪ZEN工程入力!$J$6:$J$35,"&gt;0")-SUMIFS(⑪ZEN工程入力!$M$6:$M$35,⑪ZEN工程入力!$S$6:$S$35,$J197,⑪ZEN工程入力!$J$6:$J$35,"&gt;0",⑪ZEN工程入力!$I$6:$I$35,"&gt;0")+SUMIFS(⑫ミキサー工程入力!$M$6:$M$65,⑫ミキサー工程入力!$S$6:$S$65,$J197,⑫ミキサー工程入力!$J$6:$J$65,"&gt;0")-SUMIFS(⑫ミキサー工程入力!$M$6:$M$65,⑫ミキサー工程入力!$S$6:$S$65,$J197,⑫ミキサー工程入力!$J$6:$J$65,"&gt;0",⑫ミキサー工程入力!$I$6:$I$65,"&gt;0")+SUMIFS(⑬計量工程入力!$M$6:$M$65,⑬計量工程入力!$S$6:$S$65,$J197,⑬計量工程入力!$J$6:$J$65,"&gt;0")-SUMIFS(⑬計量工程入力!$M$6:$M$65,⑬計量工程入力!$S$6:$S$65,$J197,⑬計量工程入力!$J$6:$J$65,"&gt;0",⑬計量工程入力!$I$6:$I$65,"&gt;0")+SUMIFS(⑭手動工程入力!$M$6:$M$47,⑭手動工程入力!$S$6:$S$47,$J197,⑭手動工程入力!$J$6:$J$47,"&gt;0")-SUMIFS(⑭手動工程入力!$M$6:$M$47,⑭手動工程入力!$S$6:$S$47,$J197,⑭手動工程入力!$J$6:$J$47,"&gt;0",⑭手動工程入力!$I$6:$I$47,"&gt;0"))</f>
        <v/>
      </c>
      <c r="O197" s="393">
        <f>IF($J197="",0,SUMIFS(②釜工程入力!$J$5:$J$117,②釜工程入力!$S$5:$S$117,$J197,②釜工程入力!$J$5:$J$117,"&gt;0",②釜工程入力!$M$5:$M$117,"&gt;0")-SUMIFS(②釜工程入力!$J$5:$J$117,②釜工程入力!$S$5:$S$117,$J197,②釜工程入力!$J$5:$J$117,"&gt;0",②釜工程入力!$I$5:$I$117,"&gt;0",②釜工程入力!$M$5:$M$117,"&gt;0")+SUMIFS(③スチコン工程入力!$J$5:$J$152,③スチコン工程入力!$S$5:$S$152,$J197,③スチコン工程入力!$J$5:$J$152,"&gt;0",③スチコン工程入力!$M$5:$M$152,"&gt;0")-SUMIFS(③スチコン工程入力!$J$5:$J$152,③スチコン工程入力!$S$5:$S$152,$J197,③スチコン工程入力!$J$5:$J$152,"&gt;0",③スチコン工程入力!$I$5:$I$152,"&gt;0",③スチコン工程入力!$M$5:$M$152,"&gt;0")+SUMIFS(⑪ZEN工程入力!$J$6:$J$35,⑪ZEN工程入力!$S$6:$S$35,$J197,⑪ZEN工程入力!$J$6:$J$35,"&gt;0",⑪ZEN工程入力!$M$6:$M$35,"&gt;0")-SUMIFS(⑪ZEN工程入力!$J$6:$J$35,⑪ZEN工程入力!$S$6:$S$35,$J197,⑪ZEN工程入力!$J$6:$J$35,"&gt;0",⑪ZEN工程入力!$I$6:$I$35,"&gt;0",⑪ZEN工程入力!$M$6:$M$35,"&gt;0")+SUMIFS(⑫ミキサー工程入力!$J$6:$J$65,⑫ミキサー工程入力!$S$6:$S$65,$J197,⑫ミキサー工程入力!$J$6:$J$65,"&gt;0",⑫ミキサー工程入力!$M$6:$M$65,"&gt;0")-SUMIFS(⑫ミキサー工程入力!$J$6:$J$65,⑫ミキサー工程入力!$S$6:$S$65,$J197,⑫ミキサー工程入力!$J$6:$J$65,"&gt;0",⑫ミキサー工程入力!$I$6:$I$65,"&gt;0",⑫ミキサー工程入力!$M$6:$M$65,"&gt;0")+SUMIFS(⑬計量工程入力!$J$6:$J$65,⑬計量工程入力!$S$6:$S$65,$J197,⑬計量工程入力!$J$6:$J$65,"&gt;0",⑬計量工程入力!$M$6:$M$65,"&gt;0")-SUMIFS(⑬計量工程入力!$J$6:$J$65,⑬計量工程入力!$S$6:$S$65,$J197,⑬計量工程入力!$J$6:$J$65,"&gt;0",⑬計量工程入力!$I$6:$I$65,"&gt;0",⑬計量工程入力!$M$6:$M$65,"&gt;0")+SUMIFS(⑭手動工程入力!$J$6:$J$47,⑭手動工程入力!$S$6:$S$47,$J197,⑭手動工程入力!$J$6:$J$47,"&gt;0",⑭手動工程入力!$M$6:$M$47,"&gt;0")-SUMIFS(⑭手動工程入力!$J$6:$J$47,⑭手動工程入力!$S$6:$S$47,$J197,⑭手動工程入力!$J$6:$J$47,"&gt;0",⑭手動工程入力!$I$6:$I$47,"&gt;0",⑭手動工程入力!$M$6:$M$47,"&gt;0"))</f>
        <v/>
      </c>
      <c r="P197" s="392" t="n"/>
    </row>
    <row r="198">
      <c r="A198" s="392" t="n">
        <v>194</v>
      </c>
      <c r="B198" s="392" t="n"/>
      <c r="C198" s="392" t="n"/>
      <c r="D198" s="409" t="n"/>
      <c r="E198" s="392" t="n"/>
      <c r="F198" s="394" t="n"/>
      <c r="G198" s="392" t="n"/>
      <c r="H198" s="604">
        <f>IFERROR(IF(AND($K198&gt;0,ISNUMBER(IF(OR($D198="g",$D198="ｇ"),IF($M198&gt;0,$L198/$M198/1000,""),IF($D198="kg",IF($M198&gt;0,$L198/$M198,""),IF($D198="",IF($M198&gt;0,$L198/$M198/1000,IF($O198&gt;0,$N198/$O198,"")),IF($O198&gt;0,$N198/$O198,"")))))),IF(OR($D198="g",$D198="ｇ"),IF($M198&gt;0,$L198/$M198/1000,""),IF($D198="kg",IF($M198&gt;0,$L198/$M198,""),IF($D198="",IF($M198&gt;0,$L198/$M198/1000,IF($O198&gt;0,$N198/$O198,"")),IF($O198&gt;0,$N198/$O198,"")))),IF($F198="",IF(OR($E198="",$E198="⑩盛付梱包工程入力"),"",IF(OR($D198="g",$D198="ｇ"),INDEX(⑰工程労務費一覧!$N$5:$N$11,MATCH($E198,⑰工程労務費一覧!$K$5:$K$11,0))/1000,IF($D198="kg",INDEX(⑰工程労務費一覧!$N$5:$N$11,MATCH($E198,⑰工程労務費一覧!$K$5:$K$11,0)),IF(OR($D198="個",$D198="切",$D198="本",$D198="枚",$D198="尾"),IF($E198="⑬計量工程入力","",INDEX(⑰工程労務費一覧!$P$5:$P$11,MATCH($E198,⑰工程労務費一覧!$K$5:$K$11,0))),IF(AND($D198="",OR($E198="②釜工程入力",$E198="③スチコン工程入力")),INDEX(⑰工程労務費一覧!$N$5:$N$11,MATCH($E198,⑰工程労務費一覧!$K$5:$K$11,0))/1000,""))))),IF(OR($D198="g",$D198="ｇ"),INDEX(⑰工程労務費一覧!$H$5:$H$753,MATCH($F198,⑰工程労務費一覧!$D$5:$D$753,0))/1000,IF($D198="kg",INDEX(⑰工程労務費一覧!$H$5:$H$753,MATCH($F198,⑰工程労務費一覧!$D$5:$D$753,0)),INDEX(⑰工程労務費一覧!$I$5:$I$753,MATCH($F198,⑰工程労務費一覧!$D$5:$D$753,0)))))),"")</f>
        <v/>
      </c>
      <c r="I198" s="392">
        <f>IF($K198&gt;0,IF(ISNUMBER(IF(OR($D198="g",$D198="ｇ"),IF($M198&gt;0,$L198/$M198/1000,""),IF($D198="kg",IF($M198&gt;0,$L198/$M198,""),IF($D198="",IF($M198&gt;0,$L198/$M198/1000,IF($O198&gt;0,$N198/$O198,"")),IF($O198&gt;0,$N198/$O198,""))))),IF($D198="",IF($M198&gt;0,"◎ JAN紐づけ(g扱い)","◎ JAN紐づけ(個扱い)"),"◎ JAN紐づけ"),"△ JAN紐づけ済・実績不足→仮計算"),IF($F198="",IF(ISNUMBER($H198),IF($D198="","⑤ 工程平均で仮計算(g扱い)","⑤ 工程平均で仮計算"),IF($E198="⑩盛付梱包工程入力","⑥ 盛り込み(⑳F列で計上)",IF(AND($E198="⑬計量工程入力",OR($D198="個",$D198="切",$D198="本",$D198="枚",$D198="尾")),"① 未紐づけ(カット個単位は仮単価なし)","① 未紐づけ"))),IF(NOT(ISNUMBER($H198)),"② 工程側に単価なし",IF($D198="","③ 単位未設定(個で計算)","④ OK"))))</f>
        <v/>
      </c>
      <c r="J198" s="399">
        <f>IFERROR(LOOKUP(2,1/((中間品リスト!$F$2:$F$1299=$B198)*(中間品リスト!$E$2:$E$1299&lt;&gt;"-")*(中間品リスト!$E$2:$E$1299&lt;&gt;"")),中間品リスト!$E$2:$E$1299),"")</f>
        <v/>
      </c>
      <c r="K198" s="400">
        <f>IF($J198="",0,COUNTIF(②釜工程入力!$S$5:$S$117,$J198)+COUNTIF(③スチコン工程入力!$S$5:$S$152,$J198)+COUNTIF(⑪ZEN工程入力!$S$6:$S$35,$J198)+COUNTIF(⑫ミキサー工程入力!$S$6:$S$65,$J198)+COUNTIF(⑬計量工程入力!$S$6:$S$65,$J198)+COUNTIF(⑭手動工程入力!$S$6:$S$47,$J198))</f>
        <v/>
      </c>
      <c r="L198" s="393">
        <f>IF($J198="",0,SUMIFS(②釜工程入力!$M$5:$M$117,②釜工程入力!$S$5:$S$117,$J198,②釜工程入力!$I$5:$I$117,"&gt;0")+SUMIFS(③スチコン工程入力!$M$5:$M$152,③スチコン工程入力!$S$5:$S$152,$J198,③スチコン工程入力!$I$5:$I$152,"&gt;0")+SUMIFS(⑪ZEN工程入力!$M$6:$M$35,⑪ZEN工程入力!$S$6:$S$35,$J198,⑪ZEN工程入力!$I$6:$I$35,"&gt;0")+SUMIFS(⑫ミキサー工程入力!$M$6:$M$65,⑫ミキサー工程入力!$S$6:$S$65,$J198,⑫ミキサー工程入力!$I$6:$I$65,"&gt;0")+SUMIFS(⑬計量工程入力!$M$6:$M$65,⑬計量工程入力!$S$6:$S$65,$J198,⑬計量工程入力!$I$6:$I$65,"&gt;0")+SUMIFS(⑭手動工程入力!$M$6:$M$47,⑭手動工程入力!$S$6:$S$47,$J198,⑭手動工程入力!$I$6:$I$47,"&gt;0"))</f>
        <v/>
      </c>
      <c r="M198" s="393">
        <f>IF($J198="",0,SUMIFS(②釜工程入力!$I$5:$I$117,②釜工程入力!$S$5:$S$117,$J198,②釜工程入力!$I$5:$I$117,"&gt;0",②釜工程入力!$M$5:$M$117,"&gt;0")+SUMIFS(③スチコン工程入力!$I$5:$I$152,③スチコン工程入力!$S$5:$S$152,$J198,③スチコン工程入力!$I$5:$I$152,"&gt;0",③スチコン工程入力!$M$5:$M$152,"&gt;0")+SUMIFS(⑪ZEN工程入力!$I$6:$I$35,⑪ZEN工程入力!$S$6:$S$35,$J198,⑪ZEN工程入力!$I$6:$I$35,"&gt;0",⑪ZEN工程入力!$M$6:$M$35,"&gt;0")+SUMIFS(⑫ミキサー工程入力!$I$6:$I$65,⑫ミキサー工程入力!$S$6:$S$65,$J198,⑫ミキサー工程入力!$I$6:$I$65,"&gt;0",⑫ミキサー工程入力!$M$6:$M$65,"&gt;0")+SUMIFS(⑬計量工程入力!$I$6:$I$65,⑬計量工程入力!$S$6:$S$65,$J198,⑬計量工程入力!$I$6:$I$65,"&gt;0",⑬計量工程入力!$M$6:$M$65,"&gt;0")+SUMIFS(⑭手動工程入力!$I$6:$I$47,⑭手動工程入力!$S$6:$S$47,$J198,⑭手動工程入力!$I$6:$I$47,"&gt;0",⑭手動工程入力!$M$6:$M$47,"&gt;0"))</f>
        <v/>
      </c>
      <c r="N198" s="393">
        <f>IF($J198="",0,SUMIFS(②釜工程入力!$M$5:$M$117,②釜工程入力!$S$5:$S$117,$J198,②釜工程入力!$J$5:$J$117,"&gt;0")-SUMIFS(②釜工程入力!$M$5:$M$117,②釜工程入力!$S$5:$S$117,$J198,②釜工程入力!$J$5:$J$117,"&gt;0",②釜工程入力!$I$5:$I$117,"&gt;0")+SUMIFS(③スチコン工程入力!$M$5:$M$152,③スチコン工程入力!$S$5:$S$152,$J198,③スチコン工程入力!$J$5:$J$152,"&gt;0")-SUMIFS(③スチコン工程入力!$M$5:$M$152,③スチコン工程入力!$S$5:$S$152,$J198,③スチコン工程入力!$J$5:$J$152,"&gt;0",③スチコン工程入力!$I$5:$I$152,"&gt;0")+SUMIFS(⑪ZEN工程入力!$M$6:$M$35,⑪ZEN工程入力!$S$6:$S$35,$J198,⑪ZEN工程入力!$J$6:$J$35,"&gt;0")-SUMIFS(⑪ZEN工程入力!$M$6:$M$35,⑪ZEN工程入力!$S$6:$S$35,$J198,⑪ZEN工程入力!$J$6:$J$35,"&gt;0",⑪ZEN工程入力!$I$6:$I$35,"&gt;0")+SUMIFS(⑫ミキサー工程入力!$M$6:$M$65,⑫ミキサー工程入力!$S$6:$S$65,$J198,⑫ミキサー工程入力!$J$6:$J$65,"&gt;0")-SUMIFS(⑫ミキサー工程入力!$M$6:$M$65,⑫ミキサー工程入力!$S$6:$S$65,$J198,⑫ミキサー工程入力!$J$6:$J$65,"&gt;0",⑫ミキサー工程入力!$I$6:$I$65,"&gt;0")+SUMIFS(⑬計量工程入力!$M$6:$M$65,⑬計量工程入力!$S$6:$S$65,$J198,⑬計量工程入力!$J$6:$J$65,"&gt;0")-SUMIFS(⑬計量工程入力!$M$6:$M$65,⑬計量工程入力!$S$6:$S$65,$J198,⑬計量工程入力!$J$6:$J$65,"&gt;0",⑬計量工程入力!$I$6:$I$65,"&gt;0")+SUMIFS(⑭手動工程入力!$M$6:$M$47,⑭手動工程入力!$S$6:$S$47,$J198,⑭手動工程入力!$J$6:$J$47,"&gt;0")-SUMIFS(⑭手動工程入力!$M$6:$M$47,⑭手動工程入力!$S$6:$S$47,$J198,⑭手動工程入力!$J$6:$J$47,"&gt;0",⑭手動工程入力!$I$6:$I$47,"&gt;0"))</f>
        <v/>
      </c>
      <c r="O198" s="393">
        <f>IF($J198="",0,SUMIFS(②釜工程入力!$J$5:$J$117,②釜工程入力!$S$5:$S$117,$J198,②釜工程入力!$J$5:$J$117,"&gt;0",②釜工程入力!$M$5:$M$117,"&gt;0")-SUMIFS(②釜工程入力!$J$5:$J$117,②釜工程入力!$S$5:$S$117,$J198,②釜工程入力!$J$5:$J$117,"&gt;0",②釜工程入力!$I$5:$I$117,"&gt;0",②釜工程入力!$M$5:$M$117,"&gt;0")+SUMIFS(③スチコン工程入力!$J$5:$J$152,③スチコン工程入力!$S$5:$S$152,$J198,③スチコン工程入力!$J$5:$J$152,"&gt;0",③スチコン工程入力!$M$5:$M$152,"&gt;0")-SUMIFS(③スチコン工程入力!$J$5:$J$152,③スチコン工程入力!$S$5:$S$152,$J198,③スチコン工程入力!$J$5:$J$152,"&gt;0",③スチコン工程入力!$I$5:$I$152,"&gt;0",③スチコン工程入力!$M$5:$M$152,"&gt;0")+SUMIFS(⑪ZEN工程入力!$J$6:$J$35,⑪ZEN工程入力!$S$6:$S$35,$J198,⑪ZEN工程入力!$J$6:$J$35,"&gt;0",⑪ZEN工程入力!$M$6:$M$35,"&gt;0")-SUMIFS(⑪ZEN工程入力!$J$6:$J$35,⑪ZEN工程入力!$S$6:$S$35,$J198,⑪ZEN工程入力!$J$6:$J$35,"&gt;0",⑪ZEN工程入力!$I$6:$I$35,"&gt;0",⑪ZEN工程入力!$M$6:$M$35,"&gt;0")+SUMIFS(⑫ミキサー工程入力!$J$6:$J$65,⑫ミキサー工程入力!$S$6:$S$65,$J198,⑫ミキサー工程入力!$J$6:$J$65,"&gt;0",⑫ミキサー工程入力!$M$6:$M$65,"&gt;0")-SUMIFS(⑫ミキサー工程入力!$J$6:$J$65,⑫ミキサー工程入力!$S$6:$S$65,$J198,⑫ミキサー工程入力!$J$6:$J$65,"&gt;0",⑫ミキサー工程入力!$I$6:$I$65,"&gt;0",⑫ミキサー工程入力!$M$6:$M$65,"&gt;0")+SUMIFS(⑬計量工程入力!$J$6:$J$65,⑬計量工程入力!$S$6:$S$65,$J198,⑬計量工程入力!$J$6:$J$65,"&gt;0",⑬計量工程入力!$M$6:$M$65,"&gt;0")-SUMIFS(⑬計量工程入力!$J$6:$J$65,⑬計量工程入力!$S$6:$S$65,$J198,⑬計量工程入力!$J$6:$J$65,"&gt;0",⑬計量工程入力!$I$6:$I$65,"&gt;0",⑬計量工程入力!$M$6:$M$65,"&gt;0")+SUMIFS(⑭手動工程入力!$J$6:$J$47,⑭手動工程入力!$S$6:$S$47,$J198,⑭手動工程入力!$J$6:$J$47,"&gt;0",⑭手動工程入力!$M$6:$M$47,"&gt;0")-SUMIFS(⑭手動工程入力!$J$6:$J$47,⑭手動工程入力!$S$6:$S$47,$J198,⑭手動工程入力!$J$6:$J$47,"&gt;0",⑭手動工程入力!$I$6:$I$47,"&gt;0",⑭手動工程入力!$M$6:$M$47,"&gt;0"))</f>
        <v/>
      </c>
      <c r="P198" s="392" t="inlineStr">
        <is>
          <t>中間品リスト</t>
        </is>
      </c>
    </row>
    <row r="199">
      <c r="A199" s="392" t="n">
        <v>195</v>
      </c>
      <c r="B199" s="392" t="n"/>
      <c r="C199" s="392" t="n"/>
      <c r="D199" s="409" t="n"/>
      <c r="E199" s="392" t="n"/>
      <c r="F199" s="394" t="n"/>
      <c r="G199" s="392" t="n"/>
      <c r="H199" s="604">
        <f>IFERROR(IF(AND($K199&gt;0,ISNUMBER(IF(OR($D199="g",$D199="ｇ"),IF($M199&gt;0,$L199/$M199/1000,""),IF($D199="kg",IF($M199&gt;0,$L199/$M199,""),IF($D199="",IF($M199&gt;0,$L199/$M199/1000,IF($O199&gt;0,$N199/$O199,"")),IF($O199&gt;0,$N199/$O199,"")))))),IF(OR($D199="g",$D199="ｇ"),IF($M199&gt;0,$L199/$M199/1000,""),IF($D199="kg",IF($M199&gt;0,$L199/$M199,""),IF($D199="",IF($M199&gt;0,$L199/$M199/1000,IF($O199&gt;0,$N199/$O199,"")),IF($O199&gt;0,$N199/$O199,"")))),IF($F199="",IF(OR($E199="",$E199="⑩盛付梱包工程入力"),"",IF(OR($D199="g",$D199="ｇ"),INDEX(⑰工程労務費一覧!$N$5:$N$11,MATCH($E199,⑰工程労務費一覧!$K$5:$K$11,0))/1000,IF($D199="kg",INDEX(⑰工程労務費一覧!$N$5:$N$11,MATCH($E199,⑰工程労務費一覧!$K$5:$K$11,0)),IF(OR($D199="個",$D199="切",$D199="本",$D199="枚",$D199="尾"),IF($E199="⑬計量工程入力","",INDEX(⑰工程労務費一覧!$P$5:$P$11,MATCH($E199,⑰工程労務費一覧!$K$5:$K$11,0))),IF(AND($D199="",OR($E199="②釜工程入力",$E199="③スチコン工程入力")),INDEX(⑰工程労務費一覧!$N$5:$N$11,MATCH($E199,⑰工程労務費一覧!$K$5:$K$11,0))/1000,""))))),IF(OR($D199="g",$D199="ｇ"),INDEX(⑰工程労務費一覧!$H$5:$H$753,MATCH($F199,⑰工程労務費一覧!$D$5:$D$753,0))/1000,IF($D199="kg",INDEX(⑰工程労務費一覧!$H$5:$H$753,MATCH($F199,⑰工程労務費一覧!$D$5:$D$753,0)),INDEX(⑰工程労務費一覧!$I$5:$I$753,MATCH($F199,⑰工程労務費一覧!$D$5:$D$753,0)))))),"")</f>
        <v/>
      </c>
      <c r="I199" s="392">
        <f>IF($K199&gt;0,IF(ISNUMBER(IF(OR($D199="g",$D199="ｇ"),IF($M199&gt;0,$L199/$M199/1000,""),IF($D199="kg",IF($M199&gt;0,$L199/$M199,""),IF($D199="",IF($M199&gt;0,$L199/$M199/1000,IF($O199&gt;0,$N199/$O199,"")),IF($O199&gt;0,$N199/$O199,""))))),IF($D199="",IF($M199&gt;0,"◎ JAN紐づけ(g扱い)","◎ JAN紐づけ(個扱い)"),"◎ JAN紐づけ"),"△ JAN紐づけ済・実績不足→仮計算"),IF($F199="",IF(ISNUMBER($H199),IF($D199="","⑤ 工程平均で仮計算(g扱い)","⑤ 工程平均で仮計算"),IF($E199="⑩盛付梱包工程入力","⑥ 盛り込み(⑳F列で計上)",IF(AND($E199="⑬計量工程入力",OR($D199="個",$D199="切",$D199="本",$D199="枚",$D199="尾")),"① 未紐づけ(カット個単位は仮単価なし)","① 未紐づけ"))),IF(NOT(ISNUMBER($H199)),"② 工程側に単価なし",IF($D199="","③ 単位未設定(個で計算)","④ OK"))))</f>
        <v/>
      </c>
      <c r="J199" s="399">
        <f>IFERROR(LOOKUP(2,1/((中間品リスト!$F$2:$F$1299=$B199)*(中間品リスト!$E$2:$E$1299&lt;&gt;"-")*(中間品リスト!$E$2:$E$1299&lt;&gt;"")),中間品リスト!$E$2:$E$1299),"")</f>
        <v/>
      </c>
      <c r="K199" s="400">
        <f>IF($J199="",0,COUNTIF(②釜工程入力!$S$5:$S$117,$J199)+COUNTIF(③スチコン工程入力!$S$5:$S$152,$J199)+COUNTIF(⑪ZEN工程入力!$S$6:$S$35,$J199)+COUNTIF(⑫ミキサー工程入力!$S$6:$S$65,$J199)+COUNTIF(⑬計量工程入力!$S$6:$S$65,$J199)+COUNTIF(⑭手動工程入力!$S$6:$S$47,$J199))</f>
        <v/>
      </c>
      <c r="L199" s="393">
        <f>IF($J199="",0,SUMIFS(②釜工程入力!$M$5:$M$117,②釜工程入力!$S$5:$S$117,$J199,②釜工程入力!$I$5:$I$117,"&gt;0")+SUMIFS(③スチコン工程入力!$M$5:$M$152,③スチコン工程入力!$S$5:$S$152,$J199,③スチコン工程入力!$I$5:$I$152,"&gt;0")+SUMIFS(⑪ZEN工程入力!$M$6:$M$35,⑪ZEN工程入力!$S$6:$S$35,$J199,⑪ZEN工程入力!$I$6:$I$35,"&gt;0")+SUMIFS(⑫ミキサー工程入力!$M$6:$M$65,⑫ミキサー工程入力!$S$6:$S$65,$J199,⑫ミキサー工程入力!$I$6:$I$65,"&gt;0")+SUMIFS(⑬計量工程入力!$M$6:$M$65,⑬計量工程入力!$S$6:$S$65,$J199,⑬計量工程入力!$I$6:$I$65,"&gt;0")+SUMIFS(⑭手動工程入力!$M$6:$M$47,⑭手動工程入力!$S$6:$S$47,$J199,⑭手動工程入力!$I$6:$I$47,"&gt;0"))</f>
        <v/>
      </c>
      <c r="M199" s="393">
        <f>IF($J199="",0,SUMIFS(②釜工程入力!$I$5:$I$117,②釜工程入力!$S$5:$S$117,$J199,②釜工程入力!$I$5:$I$117,"&gt;0",②釜工程入力!$M$5:$M$117,"&gt;0")+SUMIFS(③スチコン工程入力!$I$5:$I$152,③スチコン工程入力!$S$5:$S$152,$J199,③スチコン工程入力!$I$5:$I$152,"&gt;0",③スチコン工程入力!$M$5:$M$152,"&gt;0")+SUMIFS(⑪ZEN工程入力!$I$6:$I$35,⑪ZEN工程入力!$S$6:$S$35,$J199,⑪ZEN工程入力!$I$6:$I$35,"&gt;0",⑪ZEN工程入力!$M$6:$M$35,"&gt;0")+SUMIFS(⑫ミキサー工程入力!$I$6:$I$65,⑫ミキサー工程入力!$S$6:$S$65,$J199,⑫ミキサー工程入力!$I$6:$I$65,"&gt;0",⑫ミキサー工程入力!$M$6:$M$65,"&gt;0")+SUMIFS(⑬計量工程入力!$I$6:$I$65,⑬計量工程入力!$S$6:$S$65,$J199,⑬計量工程入力!$I$6:$I$65,"&gt;0",⑬計量工程入力!$M$6:$M$65,"&gt;0")+SUMIFS(⑭手動工程入力!$I$6:$I$47,⑭手動工程入力!$S$6:$S$47,$J199,⑭手動工程入力!$I$6:$I$47,"&gt;0",⑭手動工程入力!$M$6:$M$47,"&gt;0"))</f>
        <v/>
      </c>
      <c r="N199" s="393">
        <f>IF($J199="",0,SUMIFS(②釜工程入力!$M$5:$M$117,②釜工程入力!$S$5:$S$117,$J199,②釜工程入力!$J$5:$J$117,"&gt;0")-SUMIFS(②釜工程入力!$M$5:$M$117,②釜工程入力!$S$5:$S$117,$J199,②釜工程入力!$J$5:$J$117,"&gt;0",②釜工程入力!$I$5:$I$117,"&gt;0")+SUMIFS(③スチコン工程入力!$M$5:$M$152,③スチコン工程入力!$S$5:$S$152,$J199,③スチコン工程入力!$J$5:$J$152,"&gt;0")-SUMIFS(③スチコン工程入力!$M$5:$M$152,③スチコン工程入力!$S$5:$S$152,$J199,③スチコン工程入力!$J$5:$J$152,"&gt;0",③スチコン工程入力!$I$5:$I$152,"&gt;0")+SUMIFS(⑪ZEN工程入力!$M$6:$M$35,⑪ZEN工程入力!$S$6:$S$35,$J199,⑪ZEN工程入力!$J$6:$J$35,"&gt;0")-SUMIFS(⑪ZEN工程入力!$M$6:$M$35,⑪ZEN工程入力!$S$6:$S$35,$J199,⑪ZEN工程入力!$J$6:$J$35,"&gt;0",⑪ZEN工程入力!$I$6:$I$35,"&gt;0")+SUMIFS(⑫ミキサー工程入力!$M$6:$M$65,⑫ミキサー工程入力!$S$6:$S$65,$J199,⑫ミキサー工程入力!$J$6:$J$65,"&gt;0")-SUMIFS(⑫ミキサー工程入力!$M$6:$M$65,⑫ミキサー工程入力!$S$6:$S$65,$J199,⑫ミキサー工程入力!$J$6:$J$65,"&gt;0",⑫ミキサー工程入力!$I$6:$I$65,"&gt;0")+SUMIFS(⑬計量工程入力!$M$6:$M$65,⑬計量工程入力!$S$6:$S$65,$J199,⑬計量工程入力!$J$6:$J$65,"&gt;0")-SUMIFS(⑬計量工程入力!$M$6:$M$65,⑬計量工程入力!$S$6:$S$65,$J199,⑬計量工程入力!$J$6:$J$65,"&gt;0",⑬計量工程入力!$I$6:$I$65,"&gt;0")+SUMIFS(⑭手動工程入力!$M$6:$M$47,⑭手動工程入力!$S$6:$S$47,$J199,⑭手動工程入力!$J$6:$J$47,"&gt;0")-SUMIFS(⑭手動工程入力!$M$6:$M$47,⑭手動工程入力!$S$6:$S$47,$J199,⑭手動工程入力!$J$6:$J$47,"&gt;0",⑭手動工程入力!$I$6:$I$47,"&gt;0"))</f>
        <v/>
      </c>
      <c r="O199" s="393">
        <f>IF($J199="",0,SUMIFS(②釜工程入力!$J$5:$J$117,②釜工程入力!$S$5:$S$117,$J199,②釜工程入力!$J$5:$J$117,"&gt;0",②釜工程入力!$M$5:$M$117,"&gt;0")-SUMIFS(②釜工程入力!$J$5:$J$117,②釜工程入力!$S$5:$S$117,$J199,②釜工程入力!$J$5:$J$117,"&gt;0",②釜工程入力!$I$5:$I$117,"&gt;0",②釜工程入力!$M$5:$M$117,"&gt;0")+SUMIFS(③スチコン工程入力!$J$5:$J$152,③スチコン工程入力!$S$5:$S$152,$J199,③スチコン工程入力!$J$5:$J$152,"&gt;0",③スチコン工程入力!$M$5:$M$152,"&gt;0")-SUMIFS(③スチコン工程入力!$J$5:$J$152,③スチコン工程入力!$S$5:$S$152,$J199,③スチコン工程入力!$J$5:$J$152,"&gt;0",③スチコン工程入力!$I$5:$I$152,"&gt;0",③スチコン工程入力!$M$5:$M$152,"&gt;0")+SUMIFS(⑪ZEN工程入力!$J$6:$J$35,⑪ZEN工程入力!$S$6:$S$35,$J199,⑪ZEN工程入力!$J$6:$J$35,"&gt;0",⑪ZEN工程入力!$M$6:$M$35,"&gt;0")-SUMIFS(⑪ZEN工程入力!$J$6:$J$35,⑪ZEN工程入力!$S$6:$S$35,$J199,⑪ZEN工程入力!$J$6:$J$35,"&gt;0",⑪ZEN工程入力!$I$6:$I$35,"&gt;0",⑪ZEN工程入力!$M$6:$M$35,"&gt;0")+SUMIFS(⑫ミキサー工程入力!$J$6:$J$65,⑫ミキサー工程入力!$S$6:$S$65,$J199,⑫ミキサー工程入力!$J$6:$J$65,"&gt;0",⑫ミキサー工程入力!$M$6:$M$65,"&gt;0")-SUMIFS(⑫ミキサー工程入力!$J$6:$J$65,⑫ミキサー工程入力!$S$6:$S$65,$J199,⑫ミキサー工程入力!$J$6:$J$65,"&gt;0",⑫ミキサー工程入力!$I$6:$I$65,"&gt;0",⑫ミキサー工程入力!$M$6:$M$65,"&gt;0")+SUMIFS(⑬計量工程入力!$J$6:$J$65,⑬計量工程入力!$S$6:$S$65,$J199,⑬計量工程入力!$J$6:$J$65,"&gt;0",⑬計量工程入力!$M$6:$M$65,"&gt;0")-SUMIFS(⑬計量工程入力!$J$6:$J$65,⑬計量工程入力!$S$6:$S$65,$J199,⑬計量工程入力!$J$6:$J$65,"&gt;0",⑬計量工程入力!$I$6:$I$65,"&gt;0",⑬計量工程入力!$M$6:$M$65,"&gt;0")+SUMIFS(⑭手動工程入力!$J$6:$J$47,⑭手動工程入力!$S$6:$S$47,$J199,⑭手動工程入力!$J$6:$J$47,"&gt;0",⑭手動工程入力!$M$6:$M$47,"&gt;0")-SUMIFS(⑭手動工程入力!$J$6:$J$47,⑭手動工程入力!$S$6:$S$47,$J199,⑭手動工程入力!$J$6:$J$47,"&gt;0",⑭手動工程入力!$I$6:$I$47,"&gt;0",⑭手動工程入力!$M$6:$M$47,"&gt;0"))</f>
        <v/>
      </c>
      <c r="P199" s="392" t="inlineStr">
        <is>
          <t>中間品リスト</t>
        </is>
      </c>
    </row>
    <row r="200">
      <c r="A200" s="392" t="n">
        <v>196</v>
      </c>
      <c r="B200" s="392" t="n"/>
      <c r="C200" s="392" t="n"/>
      <c r="D200" s="392" t="n"/>
      <c r="E200" s="392" t="n"/>
      <c r="F200" s="394" t="n"/>
      <c r="G200" s="392" t="n"/>
      <c r="H200" s="604">
        <f>IFERROR(IF(AND($K200&gt;0,ISNUMBER(IF(OR($D200="g",$D200="ｇ"),IF($M200&gt;0,$L200/$M200/1000,""),IF($D200="kg",IF($M200&gt;0,$L200/$M200,""),IF($D200="",IF($M200&gt;0,$L200/$M200/1000,IF($O200&gt;0,$N200/$O200,"")),IF($O200&gt;0,$N200/$O200,"")))))),IF(OR($D200="g",$D200="ｇ"),IF($M200&gt;0,$L200/$M200/1000,""),IF($D200="kg",IF($M200&gt;0,$L200/$M200,""),IF($D200="",IF($M200&gt;0,$L200/$M200/1000,IF($O200&gt;0,$N200/$O200,"")),IF($O200&gt;0,$N200/$O200,"")))),IF($F200="",IF(OR($E200="",$E200="⑩盛付梱包工程入力"),"",IF(OR($D200="g",$D200="ｇ"),INDEX(⑰工程労務費一覧!$N$5:$N$11,MATCH($E200,⑰工程労務費一覧!$K$5:$K$11,0))/1000,IF($D200="kg",INDEX(⑰工程労務費一覧!$N$5:$N$11,MATCH($E200,⑰工程労務費一覧!$K$5:$K$11,0)),IF(OR($D200="個",$D200="切",$D200="本",$D200="枚",$D200="尾"),IF($E200="⑬計量工程入力","",INDEX(⑰工程労務費一覧!$P$5:$P$11,MATCH($E200,⑰工程労務費一覧!$K$5:$K$11,0))),IF(AND($D200="",OR($E200="②釜工程入力",$E200="③スチコン工程入力")),INDEX(⑰工程労務費一覧!$N$5:$N$11,MATCH($E200,⑰工程労務費一覧!$K$5:$K$11,0))/1000,""))))),IF(OR($D200="g",$D200="ｇ"),INDEX(⑰工程労務費一覧!$H$5:$H$753,MATCH($F200,⑰工程労務費一覧!$D$5:$D$753,0))/1000,IF($D200="kg",INDEX(⑰工程労務費一覧!$H$5:$H$753,MATCH($F200,⑰工程労務費一覧!$D$5:$D$753,0)),INDEX(⑰工程労務費一覧!$I$5:$I$753,MATCH($F200,⑰工程労務費一覧!$D$5:$D$753,0)))))),"")</f>
        <v/>
      </c>
      <c r="I200" s="392">
        <f>IF($K200&gt;0,IF(ISNUMBER(IF(OR($D200="g",$D200="ｇ"),IF($M200&gt;0,$L200/$M200/1000,""),IF($D200="kg",IF($M200&gt;0,$L200/$M200,""),IF($D200="",IF($M200&gt;0,$L200/$M200/1000,IF($O200&gt;0,$N200/$O200,"")),IF($O200&gt;0,$N200/$O200,""))))),IF($D200="",IF($M200&gt;0,"◎ JAN紐づけ(g扱い)","◎ JAN紐づけ(個扱い)"),"◎ JAN紐づけ"),"△ JAN紐づけ済・実績不足→仮計算"),IF($F200="",IF(ISNUMBER($H200),IF($D200="","⑤ 工程平均で仮計算(g扱い)","⑤ 工程平均で仮計算"),IF($E200="⑩盛付梱包工程入力","⑥ 盛り込み(⑳F列で計上)",IF(AND($E200="⑬計量工程入力",OR($D200="個",$D200="切",$D200="本",$D200="枚",$D200="尾")),"① 未紐づけ(カット個単位は仮単価なし)","① 未紐づけ"))),IF(NOT(ISNUMBER($H200)),"② 工程側に単価なし",IF($D200="","③ 単位未設定(個で計算)","④ OK"))))</f>
        <v/>
      </c>
      <c r="J200" s="399">
        <f>IFERROR(LOOKUP(2,1/((中間品リスト!$F$2:$F$1299=$B200)*(中間品リスト!$E$2:$E$1299&lt;&gt;"-")*(中間品リスト!$E$2:$E$1299&lt;&gt;"")),中間品リスト!$E$2:$E$1299),"")</f>
        <v/>
      </c>
      <c r="K200" s="400">
        <f>IF($J200="",0,COUNTIF(②釜工程入力!$S$5:$S$117,$J200)+COUNTIF(③スチコン工程入力!$S$5:$S$152,$J200)+COUNTIF(⑪ZEN工程入力!$S$6:$S$35,$J200)+COUNTIF(⑫ミキサー工程入力!$S$6:$S$65,$J200)+COUNTIF(⑬計量工程入力!$S$6:$S$65,$J200)+COUNTIF(⑭手動工程入力!$S$6:$S$47,$J200))</f>
        <v/>
      </c>
      <c r="L200" s="393">
        <f>IF($J200="",0,SUMIFS(②釜工程入力!$M$5:$M$117,②釜工程入力!$S$5:$S$117,$J200,②釜工程入力!$I$5:$I$117,"&gt;0")+SUMIFS(③スチコン工程入力!$M$5:$M$152,③スチコン工程入力!$S$5:$S$152,$J200,③スチコン工程入力!$I$5:$I$152,"&gt;0")+SUMIFS(⑪ZEN工程入力!$M$6:$M$35,⑪ZEN工程入力!$S$6:$S$35,$J200,⑪ZEN工程入力!$I$6:$I$35,"&gt;0")+SUMIFS(⑫ミキサー工程入力!$M$6:$M$65,⑫ミキサー工程入力!$S$6:$S$65,$J200,⑫ミキサー工程入力!$I$6:$I$65,"&gt;0")+SUMIFS(⑬計量工程入力!$M$6:$M$65,⑬計量工程入力!$S$6:$S$65,$J200,⑬計量工程入力!$I$6:$I$65,"&gt;0")+SUMIFS(⑭手動工程入力!$M$6:$M$47,⑭手動工程入力!$S$6:$S$47,$J200,⑭手動工程入力!$I$6:$I$47,"&gt;0"))</f>
        <v/>
      </c>
      <c r="M200" s="393">
        <f>IF($J200="",0,SUMIFS(②釜工程入力!$I$5:$I$117,②釜工程入力!$S$5:$S$117,$J200,②釜工程入力!$I$5:$I$117,"&gt;0",②釜工程入力!$M$5:$M$117,"&gt;0")+SUMIFS(③スチコン工程入力!$I$5:$I$152,③スチコン工程入力!$S$5:$S$152,$J200,③スチコン工程入力!$I$5:$I$152,"&gt;0",③スチコン工程入力!$M$5:$M$152,"&gt;0")+SUMIFS(⑪ZEN工程入力!$I$6:$I$35,⑪ZEN工程入力!$S$6:$S$35,$J200,⑪ZEN工程入力!$I$6:$I$35,"&gt;0",⑪ZEN工程入力!$M$6:$M$35,"&gt;0")+SUMIFS(⑫ミキサー工程入力!$I$6:$I$65,⑫ミキサー工程入力!$S$6:$S$65,$J200,⑫ミキサー工程入力!$I$6:$I$65,"&gt;0",⑫ミキサー工程入力!$M$6:$M$65,"&gt;0")+SUMIFS(⑬計量工程入力!$I$6:$I$65,⑬計量工程入力!$S$6:$S$65,$J200,⑬計量工程入力!$I$6:$I$65,"&gt;0",⑬計量工程入力!$M$6:$M$65,"&gt;0")+SUMIFS(⑭手動工程入力!$I$6:$I$47,⑭手動工程入力!$S$6:$S$47,$J200,⑭手動工程入力!$I$6:$I$47,"&gt;0",⑭手動工程入力!$M$6:$M$47,"&gt;0"))</f>
        <v/>
      </c>
      <c r="N200" s="393">
        <f>IF($J200="",0,SUMIFS(②釜工程入力!$M$5:$M$117,②釜工程入力!$S$5:$S$117,$J200,②釜工程入力!$J$5:$J$117,"&gt;0")-SUMIFS(②釜工程入力!$M$5:$M$117,②釜工程入力!$S$5:$S$117,$J200,②釜工程入力!$J$5:$J$117,"&gt;0",②釜工程入力!$I$5:$I$117,"&gt;0")+SUMIFS(③スチコン工程入力!$M$5:$M$152,③スチコン工程入力!$S$5:$S$152,$J200,③スチコン工程入力!$J$5:$J$152,"&gt;0")-SUMIFS(③スチコン工程入力!$M$5:$M$152,③スチコン工程入力!$S$5:$S$152,$J200,③スチコン工程入力!$J$5:$J$152,"&gt;0",③スチコン工程入力!$I$5:$I$152,"&gt;0")+SUMIFS(⑪ZEN工程入力!$M$6:$M$35,⑪ZEN工程入力!$S$6:$S$35,$J200,⑪ZEN工程入力!$J$6:$J$35,"&gt;0")-SUMIFS(⑪ZEN工程入力!$M$6:$M$35,⑪ZEN工程入力!$S$6:$S$35,$J200,⑪ZEN工程入力!$J$6:$J$35,"&gt;0",⑪ZEN工程入力!$I$6:$I$35,"&gt;0")+SUMIFS(⑫ミキサー工程入力!$M$6:$M$65,⑫ミキサー工程入力!$S$6:$S$65,$J200,⑫ミキサー工程入力!$J$6:$J$65,"&gt;0")-SUMIFS(⑫ミキサー工程入力!$M$6:$M$65,⑫ミキサー工程入力!$S$6:$S$65,$J200,⑫ミキサー工程入力!$J$6:$J$65,"&gt;0",⑫ミキサー工程入力!$I$6:$I$65,"&gt;0")+SUMIFS(⑬計量工程入力!$M$6:$M$65,⑬計量工程入力!$S$6:$S$65,$J200,⑬計量工程入力!$J$6:$J$65,"&gt;0")-SUMIFS(⑬計量工程入力!$M$6:$M$65,⑬計量工程入力!$S$6:$S$65,$J200,⑬計量工程入力!$J$6:$J$65,"&gt;0",⑬計量工程入力!$I$6:$I$65,"&gt;0")+SUMIFS(⑭手動工程入力!$M$6:$M$47,⑭手動工程入力!$S$6:$S$47,$J200,⑭手動工程入力!$J$6:$J$47,"&gt;0")-SUMIFS(⑭手動工程入力!$M$6:$M$47,⑭手動工程入力!$S$6:$S$47,$J200,⑭手動工程入力!$J$6:$J$47,"&gt;0",⑭手動工程入力!$I$6:$I$47,"&gt;0"))</f>
        <v/>
      </c>
      <c r="O200" s="393">
        <f>IF($J200="",0,SUMIFS(②釜工程入力!$J$5:$J$117,②釜工程入力!$S$5:$S$117,$J200,②釜工程入力!$J$5:$J$117,"&gt;0",②釜工程入力!$M$5:$M$117,"&gt;0")-SUMIFS(②釜工程入力!$J$5:$J$117,②釜工程入力!$S$5:$S$117,$J200,②釜工程入力!$J$5:$J$117,"&gt;0",②釜工程入力!$I$5:$I$117,"&gt;0",②釜工程入力!$M$5:$M$117,"&gt;0")+SUMIFS(③スチコン工程入力!$J$5:$J$152,③スチコン工程入力!$S$5:$S$152,$J200,③スチコン工程入力!$J$5:$J$152,"&gt;0",③スチコン工程入力!$M$5:$M$152,"&gt;0")-SUMIFS(③スチコン工程入力!$J$5:$J$152,③スチコン工程入力!$S$5:$S$152,$J200,③スチコン工程入力!$J$5:$J$152,"&gt;0",③スチコン工程入力!$I$5:$I$152,"&gt;0",③スチコン工程入力!$M$5:$M$152,"&gt;0")+SUMIFS(⑪ZEN工程入力!$J$6:$J$35,⑪ZEN工程入力!$S$6:$S$35,$J200,⑪ZEN工程入力!$J$6:$J$35,"&gt;0",⑪ZEN工程入力!$M$6:$M$35,"&gt;0")-SUMIFS(⑪ZEN工程入力!$J$6:$J$35,⑪ZEN工程入力!$S$6:$S$35,$J200,⑪ZEN工程入力!$J$6:$J$35,"&gt;0",⑪ZEN工程入力!$I$6:$I$35,"&gt;0",⑪ZEN工程入力!$M$6:$M$35,"&gt;0")+SUMIFS(⑫ミキサー工程入力!$J$6:$J$65,⑫ミキサー工程入力!$S$6:$S$65,$J200,⑫ミキサー工程入力!$J$6:$J$65,"&gt;0",⑫ミキサー工程入力!$M$6:$M$65,"&gt;0")-SUMIFS(⑫ミキサー工程入力!$J$6:$J$65,⑫ミキサー工程入力!$S$6:$S$65,$J200,⑫ミキサー工程入力!$J$6:$J$65,"&gt;0",⑫ミキサー工程入力!$I$6:$I$65,"&gt;0",⑫ミキサー工程入力!$M$6:$M$65,"&gt;0")+SUMIFS(⑬計量工程入力!$J$6:$J$65,⑬計量工程入力!$S$6:$S$65,$J200,⑬計量工程入力!$J$6:$J$65,"&gt;0",⑬計量工程入力!$M$6:$M$65,"&gt;0")-SUMIFS(⑬計量工程入力!$J$6:$J$65,⑬計量工程入力!$S$6:$S$65,$J200,⑬計量工程入力!$J$6:$J$65,"&gt;0",⑬計量工程入力!$I$6:$I$65,"&gt;0",⑬計量工程入力!$M$6:$M$65,"&gt;0")+SUMIFS(⑭手動工程入力!$J$6:$J$47,⑭手動工程入力!$S$6:$S$47,$J200,⑭手動工程入力!$J$6:$J$47,"&gt;0",⑭手動工程入力!$M$6:$M$47,"&gt;0")-SUMIFS(⑭手動工程入力!$J$6:$J$47,⑭手動工程入力!$S$6:$S$47,$J200,⑭手動工程入力!$J$6:$J$47,"&gt;0",⑭手動工程入力!$I$6:$I$47,"&gt;0",⑭手動工程入力!$M$6:$M$47,"&gt;0"))</f>
        <v/>
      </c>
      <c r="P200" s="392" t="n"/>
    </row>
    <row r="201">
      <c r="A201" s="392" t="n">
        <v>197</v>
      </c>
      <c r="B201" s="392" t="n"/>
      <c r="C201" s="392" t="n"/>
      <c r="D201" s="409" t="n"/>
      <c r="E201" s="392" t="n"/>
      <c r="F201" s="394" t="n"/>
      <c r="G201" s="392" t="n"/>
      <c r="H201" s="604">
        <f>IFERROR(IF(AND($K201&gt;0,ISNUMBER(IF(OR($D201="g",$D201="ｇ"),IF($M201&gt;0,$L201/$M201/1000,""),IF($D201="kg",IF($M201&gt;0,$L201/$M201,""),IF($D201="",IF($M201&gt;0,$L201/$M201/1000,IF($O201&gt;0,$N201/$O201,"")),IF($O201&gt;0,$N201/$O201,"")))))),IF(OR($D201="g",$D201="ｇ"),IF($M201&gt;0,$L201/$M201/1000,""),IF($D201="kg",IF($M201&gt;0,$L201/$M201,""),IF($D201="",IF($M201&gt;0,$L201/$M201/1000,IF($O201&gt;0,$N201/$O201,"")),IF($O201&gt;0,$N201/$O201,"")))),IF($F201="",IF(OR($E201="",$E201="⑩盛付梱包工程入力"),"",IF(OR($D201="g",$D201="ｇ"),INDEX(⑰工程労務費一覧!$N$5:$N$11,MATCH($E201,⑰工程労務費一覧!$K$5:$K$11,0))/1000,IF($D201="kg",INDEX(⑰工程労務費一覧!$N$5:$N$11,MATCH($E201,⑰工程労務費一覧!$K$5:$K$11,0)),IF(OR($D201="個",$D201="切",$D201="本",$D201="枚",$D201="尾"),IF($E201="⑬計量工程入力","",INDEX(⑰工程労務費一覧!$P$5:$P$11,MATCH($E201,⑰工程労務費一覧!$K$5:$K$11,0))),IF(AND($D201="",OR($E201="②釜工程入力",$E201="③スチコン工程入力")),INDEX(⑰工程労務費一覧!$N$5:$N$11,MATCH($E201,⑰工程労務費一覧!$K$5:$K$11,0))/1000,""))))),IF(OR($D201="g",$D201="ｇ"),INDEX(⑰工程労務費一覧!$H$5:$H$753,MATCH($F201,⑰工程労務費一覧!$D$5:$D$753,0))/1000,IF($D201="kg",INDEX(⑰工程労務費一覧!$H$5:$H$753,MATCH($F201,⑰工程労務費一覧!$D$5:$D$753,0)),INDEX(⑰工程労務費一覧!$I$5:$I$753,MATCH($F201,⑰工程労務費一覧!$D$5:$D$753,0)))))),"")</f>
        <v/>
      </c>
      <c r="I201" s="392">
        <f>IF($K201&gt;0,IF(ISNUMBER(IF(OR($D201="g",$D201="ｇ"),IF($M201&gt;0,$L201/$M201/1000,""),IF($D201="kg",IF($M201&gt;0,$L201/$M201,""),IF($D201="",IF($M201&gt;0,$L201/$M201/1000,IF($O201&gt;0,$N201/$O201,"")),IF($O201&gt;0,$N201/$O201,""))))),IF($D201="",IF($M201&gt;0,"◎ JAN紐づけ(g扱い)","◎ JAN紐づけ(個扱い)"),"◎ JAN紐づけ"),"△ JAN紐づけ済・実績不足→仮計算"),IF($F201="",IF(ISNUMBER($H201),IF($D201="","⑤ 工程平均で仮計算(g扱い)","⑤ 工程平均で仮計算"),IF($E201="⑩盛付梱包工程入力","⑥ 盛り込み(⑳F列で計上)",IF(AND($E201="⑬計量工程入力",OR($D201="個",$D201="切",$D201="本",$D201="枚",$D201="尾")),"① 未紐づけ(カット個単位は仮単価なし)","① 未紐づけ"))),IF(NOT(ISNUMBER($H201)),"② 工程側に単価なし",IF($D201="","③ 単位未設定(個で計算)","④ OK"))))</f>
        <v/>
      </c>
      <c r="J201" s="399">
        <f>IFERROR(LOOKUP(2,1/((中間品リスト!$F$2:$F$1299=$B201)*(中間品リスト!$E$2:$E$1299&lt;&gt;"-")*(中間品リスト!$E$2:$E$1299&lt;&gt;"")),中間品リスト!$E$2:$E$1299),"")</f>
        <v/>
      </c>
      <c r="K201" s="400">
        <f>IF($J201="",0,COUNTIF(②釜工程入力!$S$5:$S$117,$J201)+COUNTIF(③スチコン工程入力!$S$5:$S$152,$J201)+COUNTIF(⑪ZEN工程入力!$S$6:$S$35,$J201)+COUNTIF(⑫ミキサー工程入力!$S$6:$S$65,$J201)+COUNTIF(⑬計量工程入力!$S$6:$S$65,$J201)+COUNTIF(⑭手動工程入力!$S$6:$S$47,$J201))</f>
        <v/>
      </c>
      <c r="L201" s="393">
        <f>IF($J201="",0,SUMIFS(②釜工程入力!$M$5:$M$117,②釜工程入力!$S$5:$S$117,$J201,②釜工程入力!$I$5:$I$117,"&gt;0")+SUMIFS(③スチコン工程入力!$M$5:$M$152,③スチコン工程入力!$S$5:$S$152,$J201,③スチコン工程入力!$I$5:$I$152,"&gt;0")+SUMIFS(⑪ZEN工程入力!$M$6:$M$35,⑪ZEN工程入力!$S$6:$S$35,$J201,⑪ZEN工程入力!$I$6:$I$35,"&gt;0")+SUMIFS(⑫ミキサー工程入力!$M$6:$M$65,⑫ミキサー工程入力!$S$6:$S$65,$J201,⑫ミキサー工程入力!$I$6:$I$65,"&gt;0")+SUMIFS(⑬計量工程入力!$M$6:$M$65,⑬計量工程入力!$S$6:$S$65,$J201,⑬計量工程入力!$I$6:$I$65,"&gt;0")+SUMIFS(⑭手動工程入力!$M$6:$M$47,⑭手動工程入力!$S$6:$S$47,$J201,⑭手動工程入力!$I$6:$I$47,"&gt;0"))</f>
        <v/>
      </c>
      <c r="M201" s="393">
        <f>IF($J201="",0,SUMIFS(②釜工程入力!$I$5:$I$117,②釜工程入力!$S$5:$S$117,$J201,②釜工程入力!$I$5:$I$117,"&gt;0",②釜工程入力!$M$5:$M$117,"&gt;0")+SUMIFS(③スチコン工程入力!$I$5:$I$152,③スチコン工程入力!$S$5:$S$152,$J201,③スチコン工程入力!$I$5:$I$152,"&gt;0",③スチコン工程入力!$M$5:$M$152,"&gt;0")+SUMIFS(⑪ZEN工程入力!$I$6:$I$35,⑪ZEN工程入力!$S$6:$S$35,$J201,⑪ZEN工程入力!$I$6:$I$35,"&gt;0",⑪ZEN工程入力!$M$6:$M$35,"&gt;0")+SUMIFS(⑫ミキサー工程入力!$I$6:$I$65,⑫ミキサー工程入力!$S$6:$S$65,$J201,⑫ミキサー工程入力!$I$6:$I$65,"&gt;0",⑫ミキサー工程入力!$M$6:$M$65,"&gt;0")+SUMIFS(⑬計量工程入力!$I$6:$I$65,⑬計量工程入力!$S$6:$S$65,$J201,⑬計量工程入力!$I$6:$I$65,"&gt;0",⑬計量工程入力!$M$6:$M$65,"&gt;0")+SUMIFS(⑭手動工程入力!$I$6:$I$47,⑭手動工程入力!$S$6:$S$47,$J201,⑭手動工程入力!$I$6:$I$47,"&gt;0",⑭手動工程入力!$M$6:$M$47,"&gt;0"))</f>
        <v/>
      </c>
      <c r="N201" s="393">
        <f>IF($J201="",0,SUMIFS(②釜工程入力!$M$5:$M$117,②釜工程入力!$S$5:$S$117,$J201,②釜工程入力!$J$5:$J$117,"&gt;0")-SUMIFS(②釜工程入力!$M$5:$M$117,②釜工程入力!$S$5:$S$117,$J201,②釜工程入力!$J$5:$J$117,"&gt;0",②釜工程入力!$I$5:$I$117,"&gt;0")+SUMIFS(③スチコン工程入力!$M$5:$M$152,③スチコン工程入力!$S$5:$S$152,$J201,③スチコン工程入力!$J$5:$J$152,"&gt;0")-SUMIFS(③スチコン工程入力!$M$5:$M$152,③スチコン工程入力!$S$5:$S$152,$J201,③スチコン工程入力!$J$5:$J$152,"&gt;0",③スチコン工程入力!$I$5:$I$152,"&gt;0")+SUMIFS(⑪ZEN工程入力!$M$6:$M$35,⑪ZEN工程入力!$S$6:$S$35,$J201,⑪ZEN工程入力!$J$6:$J$35,"&gt;0")-SUMIFS(⑪ZEN工程入力!$M$6:$M$35,⑪ZEN工程入力!$S$6:$S$35,$J201,⑪ZEN工程入力!$J$6:$J$35,"&gt;0",⑪ZEN工程入力!$I$6:$I$35,"&gt;0")+SUMIFS(⑫ミキサー工程入力!$M$6:$M$65,⑫ミキサー工程入力!$S$6:$S$65,$J201,⑫ミキサー工程入力!$J$6:$J$65,"&gt;0")-SUMIFS(⑫ミキサー工程入力!$M$6:$M$65,⑫ミキサー工程入力!$S$6:$S$65,$J201,⑫ミキサー工程入力!$J$6:$J$65,"&gt;0",⑫ミキサー工程入力!$I$6:$I$65,"&gt;0")+SUMIFS(⑬計量工程入力!$M$6:$M$65,⑬計量工程入力!$S$6:$S$65,$J201,⑬計量工程入力!$J$6:$J$65,"&gt;0")-SUMIFS(⑬計量工程入力!$M$6:$M$65,⑬計量工程入力!$S$6:$S$65,$J201,⑬計量工程入力!$J$6:$J$65,"&gt;0",⑬計量工程入力!$I$6:$I$65,"&gt;0")+SUMIFS(⑭手動工程入力!$M$6:$M$47,⑭手動工程入力!$S$6:$S$47,$J201,⑭手動工程入力!$J$6:$J$47,"&gt;0")-SUMIFS(⑭手動工程入力!$M$6:$M$47,⑭手動工程入力!$S$6:$S$47,$J201,⑭手動工程入力!$J$6:$J$47,"&gt;0",⑭手動工程入力!$I$6:$I$47,"&gt;0"))</f>
        <v/>
      </c>
      <c r="O201" s="393">
        <f>IF($J201="",0,SUMIFS(②釜工程入力!$J$5:$J$117,②釜工程入力!$S$5:$S$117,$J201,②釜工程入力!$J$5:$J$117,"&gt;0",②釜工程入力!$M$5:$M$117,"&gt;0")-SUMIFS(②釜工程入力!$J$5:$J$117,②釜工程入力!$S$5:$S$117,$J201,②釜工程入力!$J$5:$J$117,"&gt;0",②釜工程入力!$I$5:$I$117,"&gt;0",②釜工程入力!$M$5:$M$117,"&gt;0")+SUMIFS(③スチコン工程入力!$J$5:$J$152,③スチコン工程入力!$S$5:$S$152,$J201,③スチコン工程入力!$J$5:$J$152,"&gt;0",③スチコン工程入力!$M$5:$M$152,"&gt;0")-SUMIFS(③スチコン工程入力!$J$5:$J$152,③スチコン工程入力!$S$5:$S$152,$J201,③スチコン工程入力!$J$5:$J$152,"&gt;0",③スチコン工程入力!$I$5:$I$152,"&gt;0",③スチコン工程入力!$M$5:$M$152,"&gt;0")+SUMIFS(⑪ZEN工程入力!$J$6:$J$35,⑪ZEN工程入力!$S$6:$S$35,$J201,⑪ZEN工程入力!$J$6:$J$35,"&gt;0",⑪ZEN工程入力!$M$6:$M$35,"&gt;0")-SUMIFS(⑪ZEN工程入力!$J$6:$J$35,⑪ZEN工程入力!$S$6:$S$35,$J201,⑪ZEN工程入力!$J$6:$J$35,"&gt;0",⑪ZEN工程入力!$I$6:$I$35,"&gt;0",⑪ZEN工程入力!$M$6:$M$35,"&gt;0")+SUMIFS(⑫ミキサー工程入力!$J$6:$J$65,⑫ミキサー工程入力!$S$6:$S$65,$J201,⑫ミキサー工程入力!$J$6:$J$65,"&gt;0",⑫ミキサー工程入力!$M$6:$M$65,"&gt;0")-SUMIFS(⑫ミキサー工程入力!$J$6:$J$65,⑫ミキサー工程入力!$S$6:$S$65,$J201,⑫ミキサー工程入力!$J$6:$J$65,"&gt;0",⑫ミキサー工程入力!$I$6:$I$65,"&gt;0",⑫ミキサー工程入力!$M$6:$M$65,"&gt;0")+SUMIFS(⑬計量工程入力!$J$6:$J$65,⑬計量工程入力!$S$6:$S$65,$J201,⑬計量工程入力!$J$6:$J$65,"&gt;0",⑬計量工程入力!$M$6:$M$65,"&gt;0")-SUMIFS(⑬計量工程入力!$J$6:$J$65,⑬計量工程入力!$S$6:$S$65,$J201,⑬計量工程入力!$J$6:$J$65,"&gt;0",⑬計量工程入力!$I$6:$I$65,"&gt;0",⑬計量工程入力!$M$6:$M$65,"&gt;0")+SUMIFS(⑭手動工程入力!$J$6:$J$47,⑭手動工程入力!$S$6:$S$47,$J201,⑭手動工程入力!$J$6:$J$47,"&gt;0",⑭手動工程入力!$M$6:$M$47,"&gt;0")-SUMIFS(⑭手動工程入力!$J$6:$J$47,⑭手動工程入力!$S$6:$S$47,$J201,⑭手動工程入力!$J$6:$J$47,"&gt;0",⑭手動工程入力!$I$6:$I$47,"&gt;0",⑭手動工程入力!$M$6:$M$47,"&gt;0"))</f>
        <v/>
      </c>
      <c r="P201" s="392" t="inlineStr">
        <is>
          <t>中間品リスト</t>
        </is>
      </c>
    </row>
    <row r="202">
      <c r="A202" s="392" t="n">
        <v>198</v>
      </c>
      <c r="B202" s="392" t="n"/>
      <c r="C202" s="392" t="n"/>
      <c r="D202" s="409" t="n"/>
      <c r="E202" s="392" t="n"/>
      <c r="F202" s="394" t="n"/>
      <c r="G202" s="392" t="n"/>
      <c r="H202" s="604">
        <f>IFERROR(IF(AND($K202&gt;0,ISNUMBER(IF(OR($D202="g",$D202="ｇ"),IF($M202&gt;0,$L202/$M202/1000,""),IF($D202="kg",IF($M202&gt;0,$L202/$M202,""),IF($D202="",IF($M202&gt;0,$L202/$M202/1000,IF($O202&gt;0,$N202/$O202,"")),IF($O202&gt;0,$N202/$O202,"")))))),IF(OR($D202="g",$D202="ｇ"),IF($M202&gt;0,$L202/$M202/1000,""),IF($D202="kg",IF($M202&gt;0,$L202/$M202,""),IF($D202="",IF($M202&gt;0,$L202/$M202/1000,IF($O202&gt;0,$N202/$O202,"")),IF($O202&gt;0,$N202/$O202,"")))),IF($F202="",IF(OR($E202="",$E202="⑩盛付梱包工程入力"),"",IF(OR($D202="g",$D202="ｇ"),INDEX(⑰工程労務費一覧!$N$5:$N$11,MATCH($E202,⑰工程労務費一覧!$K$5:$K$11,0))/1000,IF($D202="kg",INDEX(⑰工程労務費一覧!$N$5:$N$11,MATCH($E202,⑰工程労務費一覧!$K$5:$K$11,0)),IF(OR($D202="個",$D202="切",$D202="本",$D202="枚",$D202="尾"),IF($E202="⑬計量工程入力","",INDEX(⑰工程労務費一覧!$P$5:$P$11,MATCH($E202,⑰工程労務費一覧!$K$5:$K$11,0))),IF(AND($D202="",OR($E202="②釜工程入力",$E202="③スチコン工程入力")),INDEX(⑰工程労務費一覧!$N$5:$N$11,MATCH($E202,⑰工程労務費一覧!$K$5:$K$11,0))/1000,""))))),IF(OR($D202="g",$D202="ｇ"),INDEX(⑰工程労務費一覧!$H$5:$H$753,MATCH($F202,⑰工程労務費一覧!$D$5:$D$753,0))/1000,IF($D202="kg",INDEX(⑰工程労務費一覧!$H$5:$H$753,MATCH($F202,⑰工程労務費一覧!$D$5:$D$753,0)),INDEX(⑰工程労務費一覧!$I$5:$I$753,MATCH($F202,⑰工程労務費一覧!$D$5:$D$753,0)))))),"")</f>
        <v/>
      </c>
      <c r="I202" s="392">
        <f>IF($K202&gt;0,IF(ISNUMBER(IF(OR($D202="g",$D202="ｇ"),IF($M202&gt;0,$L202/$M202/1000,""),IF($D202="kg",IF($M202&gt;0,$L202/$M202,""),IF($D202="",IF($M202&gt;0,$L202/$M202/1000,IF($O202&gt;0,$N202/$O202,"")),IF($O202&gt;0,$N202/$O202,""))))),IF($D202="",IF($M202&gt;0,"◎ JAN紐づけ(g扱い)","◎ JAN紐づけ(個扱い)"),"◎ JAN紐づけ"),"△ JAN紐づけ済・実績不足→仮計算"),IF($F202="",IF(ISNUMBER($H202),IF($D202="","⑤ 工程平均で仮計算(g扱い)","⑤ 工程平均で仮計算"),IF($E202="⑩盛付梱包工程入力","⑥ 盛り込み(⑳F列で計上)",IF(AND($E202="⑬計量工程入力",OR($D202="個",$D202="切",$D202="本",$D202="枚",$D202="尾")),"① 未紐づけ(カット個単位は仮単価なし)","① 未紐づけ"))),IF(NOT(ISNUMBER($H202)),"② 工程側に単価なし",IF($D202="","③ 単位未設定(個で計算)","④ OK"))))</f>
        <v/>
      </c>
      <c r="J202" s="399">
        <f>IFERROR(LOOKUP(2,1/((中間品リスト!$F$2:$F$1299=$B202)*(中間品リスト!$E$2:$E$1299&lt;&gt;"-")*(中間品リスト!$E$2:$E$1299&lt;&gt;"")),中間品リスト!$E$2:$E$1299),"")</f>
        <v/>
      </c>
      <c r="K202" s="400">
        <f>IF($J202="",0,COUNTIF(②釜工程入力!$S$5:$S$117,$J202)+COUNTIF(③スチコン工程入力!$S$5:$S$152,$J202)+COUNTIF(⑪ZEN工程入力!$S$6:$S$35,$J202)+COUNTIF(⑫ミキサー工程入力!$S$6:$S$65,$J202)+COUNTIF(⑬計量工程入力!$S$6:$S$65,$J202)+COUNTIF(⑭手動工程入力!$S$6:$S$47,$J202))</f>
        <v/>
      </c>
      <c r="L202" s="393">
        <f>IF($J202="",0,SUMIFS(②釜工程入力!$M$5:$M$117,②釜工程入力!$S$5:$S$117,$J202,②釜工程入力!$I$5:$I$117,"&gt;0")+SUMIFS(③スチコン工程入力!$M$5:$M$152,③スチコン工程入力!$S$5:$S$152,$J202,③スチコン工程入力!$I$5:$I$152,"&gt;0")+SUMIFS(⑪ZEN工程入力!$M$6:$M$35,⑪ZEN工程入力!$S$6:$S$35,$J202,⑪ZEN工程入力!$I$6:$I$35,"&gt;0")+SUMIFS(⑫ミキサー工程入力!$M$6:$M$65,⑫ミキサー工程入力!$S$6:$S$65,$J202,⑫ミキサー工程入力!$I$6:$I$65,"&gt;0")+SUMIFS(⑬計量工程入力!$M$6:$M$65,⑬計量工程入力!$S$6:$S$65,$J202,⑬計量工程入力!$I$6:$I$65,"&gt;0")+SUMIFS(⑭手動工程入力!$M$6:$M$47,⑭手動工程入力!$S$6:$S$47,$J202,⑭手動工程入力!$I$6:$I$47,"&gt;0"))</f>
        <v/>
      </c>
      <c r="M202" s="393">
        <f>IF($J202="",0,SUMIFS(②釜工程入力!$I$5:$I$117,②釜工程入力!$S$5:$S$117,$J202,②釜工程入力!$I$5:$I$117,"&gt;0",②釜工程入力!$M$5:$M$117,"&gt;0")+SUMIFS(③スチコン工程入力!$I$5:$I$152,③スチコン工程入力!$S$5:$S$152,$J202,③スチコン工程入力!$I$5:$I$152,"&gt;0",③スチコン工程入力!$M$5:$M$152,"&gt;0")+SUMIFS(⑪ZEN工程入力!$I$6:$I$35,⑪ZEN工程入力!$S$6:$S$35,$J202,⑪ZEN工程入力!$I$6:$I$35,"&gt;0",⑪ZEN工程入力!$M$6:$M$35,"&gt;0")+SUMIFS(⑫ミキサー工程入力!$I$6:$I$65,⑫ミキサー工程入力!$S$6:$S$65,$J202,⑫ミキサー工程入力!$I$6:$I$65,"&gt;0",⑫ミキサー工程入力!$M$6:$M$65,"&gt;0")+SUMIFS(⑬計量工程入力!$I$6:$I$65,⑬計量工程入力!$S$6:$S$65,$J202,⑬計量工程入力!$I$6:$I$65,"&gt;0",⑬計量工程入力!$M$6:$M$65,"&gt;0")+SUMIFS(⑭手動工程入力!$I$6:$I$47,⑭手動工程入力!$S$6:$S$47,$J202,⑭手動工程入力!$I$6:$I$47,"&gt;0",⑭手動工程入力!$M$6:$M$47,"&gt;0"))</f>
        <v/>
      </c>
      <c r="N202" s="393">
        <f>IF($J202="",0,SUMIFS(②釜工程入力!$M$5:$M$117,②釜工程入力!$S$5:$S$117,$J202,②釜工程入力!$J$5:$J$117,"&gt;0")-SUMIFS(②釜工程入力!$M$5:$M$117,②釜工程入力!$S$5:$S$117,$J202,②釜工程入力!$J$5:$J$117,"&gt;0",②釜工程入力!$I$5:$I$117,"&gt;0")+SUMIFS(③スチコン工程入力!$M$5:$M$152,③スチコン工程入力!$S$5:$S$152,$J202,③スチコン工程入力!$J$5:$J$152,"&gt;0")-SUMIFS(③スチコン工程入力!$M$5:$M$152,③スチコン工程入力!$S$5:$S$152,$J202,③スチコン工程入力!$J$5:$J$152,"&gt;0",③スチコン工程入力!$I$5:$I$152,"&gt;0")+SUMIFS(⑪ZEN工程入力!$M$6:$M$35,⑪ZEN工程入力!$S$6:$S$35,$J202,⑪ZEN工程入力!$J$6:$J$35,"&gt;0")-SUMIFS(⑪ZEN工程入力!$M$6:$M$35,⑪ZEN工程入力!$S$6:$S$35,$J202,⑪ZEN工程入力!$J$6:$J$35,"&gt;0",⑪ZEN工程入力!$I$6:$I$35,"&gt;0")+SUMIFS(⑫ミキサー工程入力!$M$6:$M$65,⑫ミキサー工程入力!$S$6:$S$65,$J202,⑫ミキサー工程入力!$J$6:$J$65,"&gt;0")-SUMIFS(⑫ミキサー工程入力!$M$6:$M$65,⑫ミキサー工程入力!$S$6:$S$65,$J202,⑫ミキサー工程入力!$J$6:$J$65,"&gt;0",⑫ミキサー工程入力!$I$6:$I$65,"&gt;0")+SUMIFS(⑬計量工程入力!$M$6:$M$65,⑬計量工程入力!$S$6:$S$65,$J202,⑬計量工程入力!$J$6:$J$65,"&gt;0")-SUMIFS(⑬計量工程入力!$M$6:$M$65,⑬計量工程入力!$S$6:$S$65,$J202,⑬計量工程入力!$J$6:$J$65,"&gt;0",⑬計量工程入力!$I$6:$I$65,"&gt;0")+SUMIFS(⑭手動工程入力!$M$6:$M$47,⑭手動工程入力!$S$6:$S$47,$J202,⑭手動工程入力!$J$6:$J$47,"&gt;0")-SUMIFS(⑭手動工程入力!$M$6:$M$47,⑭手動工程入力!$S$6:$S$47,$J202,⑭手動工程入力!$J$6:$J$47,"&gt;0",⑭手動工程入力!$I$6:$I$47,"&gt;0"))</f>
        <v/>
      </c>
      <c r="O202" s="393">
        <f>IF($J202="",0,SUMIFS(②釜工程入力!$J$5:$J$117,②釜工程入力!$S$5:$S$117,$J202,②釜工程入力!$J$5:$J$117,"&gt;0",②釜工程入力!$M$5:$M$117,"&gt;0")-SUMIFS(②釜工程入力!$J$5:$J$117,②釜工程入力!$S$5:$S$117,$J202,②釜工程入力!$J$5:$J$117,"&gt;0",②釜工程入力!$I$5:$I$117,"&gt;0",②釜工程入力!$M$5:$M$117,"&gt;0")+SUMIFS(③スチコン工程入力!$J$5:$J$152,③スチコン工程入力!$S$5:$S$152,$J202,③スチコン工程入力!$J$5:$J$152,"&gt;0",③スチコン工程入力!$M$5:$M$152,"&gt;0")-SUMIFS(③スチコン工程入力!$J$5:$J$152,③スチコン工程入力!$S$5:$S$152,$J202,③スチコン工程入力!$J$5:$J$152,"&gt;0",③スチコン工程入力!$I$5:$I$152,"&gt;0",③スチコン工程入力!$M$5:$M$152,"&gt;0")+SUMIFS(⑪ZEN工程入力!$J$6:$J$35,⑪ZEN工程入力!$S$6:$S$35,$J202,⑪ZEN工程入力!$J$6:$J$35,"&gt;0",⑪ZEN工程入力!$M$6:$M$35,"&gt;0")-SUMIFS(⑪ZEN工程入力!$J$6:$J$35,⑪ZEN工程入力!$S$6:$S$35,$J202,⑪ZEN工程入力!$J$6:$J$35,"&gt;0",⑪ZEN工程入力!$I$6:$I$35,"&gt;0",⑪ZEN工程入力!$M$6:$M$35,"&gt;0")+SUMIFS(⑫ミキサー工程入力!$J$6:$J$65,⑫ミキサー工程入力!$S$6:$S$65,$J202,⑫ミキサー工程入力!$J$6:$J$65,"&gt;0",⑫ミキサー工程入力!$M$6:$M$65,"&gt;0")-SUMIFS(⑫ミキサー工程入力!$J$6:$J$65,⑫ミキサー工程入力!$S$6:$S$65,$J202,⑫ミキサー工程入力!$J$6:$J$65,"&gt;0",⑫ミキサー工程入力!$I$6:$I$65,"&gt;0",⑫ミキサー工程入力!$M$6:$M$65,"&gt;0")+SUMIFS(⑬計量工程入力!$J$6:$J$65,⑬計量工程入力!$S$6:$S$65,$J202,⑬計量工程入力!$J$6:$J$65,"&gt;0",⑬計量工程入力!$M$6:$M$65,"&gt;0")-SUMIFS(⑬計量工程入力!$J$6:$J$65,⑬計量工程入力!$S$6:$S$65,$J202,⑬計量工程入力!$J$6:$J$65,"&gt;0",⑬計量工程入力!$I$6:$I$65,"&gt;0",⑬計量工程入力!$M$6:$M$65,"&gt;0")+SUMIFS(⑭手動工程入力!$J$6:$J$47,⑭手動工程入力!$S$6:$S$47,$J202,⑭手動工程入力!$J$6:$J$47,"&gt;0",⑭手動工程入力!$M$6:$M$47,"&gt;0")-SUMIFS(⑭手動工程入力!$J$6:$J$47,⑭手動工程入力!$S$6:$S$47,$J202,⑭手動工程入力!$J$6:$J$47,"&gt;0",⑭手動工程入力!$I$6:$I$47,"&gt;0",⑭手動工程入力!$M$6:$M$47,"&gt;0"))</f>
        <v/>
      </c>
      <c r="P202" s="392" t="inlineStr">
        <is>
          <t>中間品リスト</t>
        </is>
      </c>
    </row>
    <row r="203">
      <c r="A203" s="392" t="n">
        <v>199</v>
      </c>
      <c r="B203" s="392" t="n"/>
      <c r="C203" s="392" t="n"/>
      <c r="D203" s="409" t="n"/>
      <c r="E203" s="392" t="n"/>
      <c r="F203" s="394" t="n"/>
      <c r="G203" s="392" t="n"/>
      <c r="H203" s="604">
        <f>IFERROR(IF(AND($K203&gt;0,ISNUMBER(IF(OR($D203="g",$D203="ｇ"),IF($M203&gt;0,$L203/$M203/1000,""),IF($D203="kg",IF($M203&gt;0,$L203/$M203,""),IF($D203="",IF($M203&gt;0,$L203/$M203/1000,IF($O203&gt;0,$N203/$O203,"")),IF($O203&gt;0,$N203/$O203,"")))))),IF(OR($D203="g",$D203="ｇ"),IF($M203&gt;0,$L203/$M203/1000,""),IF($D203="kg",IF($M203&gt;0,$L203/$M203,""),IF($D203="",IF($M203&gt;0,$L203/$M203/1000,IF($O203&gt;0,$N203/$O203,"")),IF($O203&gt;0,$N203/$O203,"")))),IF($F203="",IF(OR($E203="",$E203="⑩盛付梱包工程入力"),"",IF(OR($D203="g",$D203="ｇ"),INDEX(⑰工程労務費一覧!$N$5:$N$11,MATCH($E203,⑰工程労務費一覧!$K$5:$K$11,0))/1000,IF($D203="kg",INDEX(⑰工程労務費一覧!$N$5:$N$11,MATCH($E203,⑰工程労務費一覧!$K$5:$K$11,0)),IF(OR($D203="個",$D203="切",$D203="本",$D203="枚",$D203="尾"),IF($E203="⑬計量工程入力","",INDEX(⑰工程労務費一覧!$P$5:$P$11,MATCH($E203,⑰工程労務費一覧!$K$5:$K$11,0))),IF(AND($D203="",OR($E203="②釜工程入力",$E203="③スチコン工程入力")),INDEX(⑰工程労務費一覧!$N$5:$N$11,MATCH($E203,⑰工程労務費一覧!$K$5:$K$11,0))/1000,""))))),IF(OR($D203="g",$D203="ｇ"),INDEX(⑰工程労務費一覧!$H$5:$H$753,MATCH($F203,⑰工程労務費一覧!$D$5:$D$753,0))/1000,IF($D203="kg",INDEX(⑰工程労務費一覧!$H$5:$H$753,MATCH($F203,⑰工程労務費一覧!$D$5:$D$753,0)),INDEX(⑰工程労務費一覧!$I$5:$I$753,MATCH($F203,⑰工程労務費一覧!$D$5:$D$753,0)))))),"")</f>
        <v/>
      </c>
      <c r="I203" s="392">
        <f>IF($K203&gt;0,IF(ISNUMBER(IF(OR($D203="g",$D203="ｇ"),IF($M203&gt;0,$L203/$M203/1000,""),IF($D203="kg",IF($M203&gt;0,$L203/$M203,""),IF($D203="",IF($M203&gt;0,$L203/$M203/1000,IF($O203&gt;0,$N203/$O203,"")),IF($O203&gt;0,$N203/$O203,""))))),IF($D203="",IF($M203&gt;0,"◎ JAN紐づけ(g扱い)","◎ JAN紐づけ(個扱い)"),"◎ JAN紐づけ"),"△ JAN紐づけ済・実績不足→仮計算"),IF($F203="",IF(ISNUMBER($H203),IF($D203="","⑤ 工程平均で仮計算(g扱い)","⑤ 工程平均で仮計算"),IF($E203="⑩盛付梱包工程入力","⑥ 盛り込み(⑳F列で計上)",IF(AND($E203="⑬計量工程入力",OR($D203="個",$D203="切",$D203="本",$D203="枚",$D203="尾")),"① 未紐づけ(カット個単位は仮単価なし)","① 未紐づけ"))),IF(NOT(ISNUMBER($H203)),"② 工程側に単価なし",IF($D203="","③ 単位未設定(個で計算)","④ OK"))))</f>
        <v/>
      </c>
      <c r="J203" s="399">
        <f>IFERROR(LOOKUP(2,1/((中間品リスト!$F$2:$F$1299=$B203)*(中間品リスト!$E$2:$E$1299&lt;&gt;"-")*(中間品リスト!$E$2:$E$1299&lt;&gt;"")),中間品リスト!$E$2:$E$1299),"")</f>
        <v/>
      </c>
      <c r="K203" s="400">
        <f>IF($J203="",0,COUNTIF(②釜工程入力!$S$5:$S$117,$J203)+COUNTIF(③スチコン工程入力!$S$5:$S$152,$J203)+COUNTIF(⑪ZEN工程入力!$S$6:$S$35,$J203)+COUNTIF(⑫ミキサー工程入力!$S$6:$S$65,$J203)+COUNTIF(⑬計量工程入力!$S$6:$S$65,$J203)+COUNTIF(⑭手動工程入力!$S$6:$S$47,$J203))</f>
        <v/>
      </c>
      <c r="L203" s="393">
        <f>IF($J203="",0,SUMIFS(②釜工程入力!$M$5:$M$117,②釜工程入力!$S$5:$S$117,$J203,②釜工程入力!$I$5:$I$117,"&gt;0")+SUMIFS(③スチコン工程入力!$M$5:$M$152,③スチコン工程入力!$S$5:$S$152,$J203,③スチコン工程入力!$I$5:$I$152,"&gt;0")+SUMIFS(⑪ZEN工程入力!$M$6:$M$35,⑪ZEN工程入力!$S$6:$S$35,$J203,⑪ZEN工程入力!$I$6:$I$35,"&gt;0")+SUMIFS(⑫ミキサー工程入力!$M$6:$M$65,⑫ミキサー工程入力!$S$6:$S$65,$J203,⑫ミキサー工程入力!$I$6:$I$65,"&gt;0")+SUMIFS(⑬計量工程入力!$M$6:$M$65,⑬計量工程入力!$S$6:$S$65,$J203,⑬計量工程入力!$I$6:$I$65,"&gt;0")+SUMIFS(⑭手動工程入力!$M$6:$M$47,⑭手動工程入力!$S$6:$S$47,$J203,⑭手動工程入力!$I$6:$I$47,"&gt;0"))</f>
        <v/>
      </c>
      <c r="M203" s="393">
        <f>IF($J203="",0,SUMIFS(②釜工程入力!$I$5:$I$117,②釜工程入力!$S$5:$S$117,$J203,②釜工程入力!$I$5:$I$117,"&gt;0",②釜工程入力!$M$5:$M$117,"&gt;0")+SUMIFS(③スチコン工程入力!$I$5:$I$152,③スチコン工程入力!$S$5:$S$152,$J203,③スチコン工程入力!$I$5:$I$152,"&gt;0",③スチコン工程入力!$M$5:$M$152,"&gt;0")+SUMIFS(⑪ZEN工程入力!$I$6:$I$35,⑪ZEN工程入力!$S$6:$S$35,$J203,⑪ZEN工程入力!$I$6:$I$35,"&gt;0",⑪ZEN工程入力!$M$6:$M$35,"&gt;0")+SUMIFS(⑫ミキサー工程入力!$I$6:$I$65,⑫ミキサー工程入力!$S$6:$S$65,$J203,⑫ミキサー工程入力!$I$6:$I$65,"&gt;0",⑫ミキサー工程入力!$M$6:$M$65,"&gt;0")+SUMIFS(⑬計量工程入力!$I$6:$I$65,⑬計量工程入力!$S$6:$S$65,$J203,⑬計量工程入力!$I$6:$I$65,"&gt;0",⑬計量工程入力!$M$6:$M$65,"&gt;0")+SUMIFS(⑭手動工程入力!$I$6:$I$47,⑭手動工程入力!$S$6:$S$47,$J203,⑭手動工程入力!$I$6:$I$47,"&gt;0",⑭手動工程入力!$M$6:$M$47,"&gt;0"))</f>
        <v/>
      </c>
      <c r="N203" s="393">
        <f>IF($J203="",0,SUMIFS(②釜工程入力!$M$5:$M$117,②釜工程入力!$S$5:$S$117,$J203,②釜工程入力!$J$5:$J$117,"&gt;0")-SUMIFS(②釜工程入力!$M$5:$M$117,②釜工程入力!$S$5:$S$117,$J203,②釜工程入力!$J$5:$J$117,"&gt;0",②釜工程入力!$I$5:$I$117,"&gt;0")+SUMIFS(③スチコン工程入力!$M$5:$M$152,③スチコン工程入力!$S$5:$S$152,$J203,③スチコン工程入力!$J$5:$J$152,"&gt;0")-SUMIFS(③スチコン工程入力!$M$5:$M$152,③スチコン工程入力!$S$5:$S$152,$J203,③スチコン工程入力!$J$5:$J$152,"&gt;0",③スチコン工程入力!$I$5:$I$152,"&gt;0")+SUMIFS(⑪ZEN工程入力!$M$6:$M$35,⑪ZEN工程入力!$S$6:$S$35,$J203,⑪ZEN工程入力!$J$6:$J$35,"&gt;0")-SUMIFS(⑪ZEN工程入力!$M$6:$M$35,⑪ZEN工程入力!$S$6:$S$35,$J203,⑪ZEN工程入力!$J$6:$J$35,"&gt;0",⑪ZEN工程入力!$I$6:$I$35,"&gt;0")+SUMIFS(⑫ミキサー工程入力!$M$6:$M$65,⑫ミキサー工程入力!$S$6:$S$65,$J203,⑫ミキサー工程入力!$J$6:$J$65,"&gt;0")-SUMIFS(⑫ミキサー工程入力!$M$6:$M$65,⑫ミキサー工程入力!$S$6:$S$65,$J203,⑫ミキサー工程入力!$J$6:$J$65,"&gt;0",⑫ミキサー工程入力!$I$6:$I$65,"&gt;0")+SUMIFS(⑬計量工程入力!$M$6:$M$65,⑬計量工程入力!$S$6:$S$65,$J203,⑬計量工程入力!$J$6:$J$65,"&gt;0")-SUMIFS(⑬計量工程入力!$M$6:$M$65,⑬計量工程入力!$S$6:$S$65,$J203,⑬計量工程入力!$J$6:$J$65,"&gt;0",⑬計量工程入力!$I$6:$I$65,"&gt;0")+SUMIFS(⑭手動工程入力!$M$6:$M$47,⑭手動工程入力!$S$6:$S$47,$J203,⑭手動工程入力!$J$6:$J$47,"&gt;0")-SUMIFS(⑭手動工程入力!$M$6:$M$47,⑭手動工程入力!$S$6:$S$47,$J203,⑭手動工程入力!$J$6:$J$47,"&gt;0",⑭手動工程入力!$I$6:$I$47,"&gt;0"))</f>
        <v/>
      </c>
      <c r="O203" s="393">
        <f>IF($J203="",0,SUMIFS(②釜工程入力!$J$5:$J$117,②釜工程入力!$S$5:$S$117,$J203,②釜工程入力!$J$5:$J$117,"&gt;0",②釜工程入力!$M$5:$M$117,"&gt;0")-SUMIFS(②釜工程入力!$J$5:$J$117,②釜工程入力!$S$5:$S$117,$J203,②釜工程入力!$J$5:$J$117,"&gt;0",②釜工程入力!$I$5:$I$117,"&gt;0",②釜工程入力!$M$5:$M$117,"&gt;0")+SUMIFS(③スチコン工程入力!$J$5:$J$152,③スチコン工程入力!$S$5:$S$152,$J203,③スチコン工程入力!$J$5:$J$152,"&gt;0",③スチコン工程入力!$M$5:$M$152,"&gt;0")-SUMIFS(③スチコン工程入力!$J$5:$J$152,③スチコン工程入力!$S$5:$S$152,$J203,③スチコン工程入力!$J$5:$J$152,"&gt;0",③スチコン工程入力!$I$5:$I$152,"&gt;0",③スチコン工程入力!$M$5:$M$152,"&gt;0")+SUMIFS(⑪ZEN工程入力!$J$6:$J$35,⑪ZEN工程入力!$S$6:$S$35,$J203,⑪ZEN工程入力!$J$6:$J$35,"&gt;0",⑪ZEN工程入力!$M$6:$M$35,"&gt;0")-SUMIFS(⑪ZEN工程入力!$J$6:$J$35,⑪ZEN工程入力!$S$6:$S$35,$J203,⑪ZEN工程入力!$J$6:$J$35,"&gt;0",⑪ZEN工程入力!$I$6:$I$35,"&gt;0",⑪ZEN工程入力!$M$6:$M$35,"&gt;0")+SUMIFS(⑫ミキサー工程入力!$J$6:$J$65,⑫ミキサー工程入力!$S$6:$S$65,$J203,⑫ミキサー工程入力!$J$6:$J$65,"&gt;0",⑫ミキサー工程入力!$M$6:$M$65,"&gt;0")-SUMIFS(⑫ミキサー工程入力!$J$6:$J$65,⑫ミキサー工程入力!$S$6:$S$65,$J203,⑫ミキサー工程入力!$J$6:$J$65,"&gt;0",⑫ミキサー工程入力!$I$6:$I$65,"&gt;0",⑫ミキサー工程入力!$M$6:$M$65,"&gt;0")+SUMIFS(⑬計量工程入力!$J$6:$J$65,⑬計量工程入力!$S$6:$S$65,$J203,⑬計量工程入力!$J$6:$J$65,"&gt;0",⑬計量工程入力!$M$6:$M$65,"&gt;0")-SUMIFS(⑬計量工程入力!$J$6:$J$65,⑬計量工程入力!$S$6:$S$65,$J203,⑬計量工程入力!$J$6:$J$65,"&gt;0",⑬計量工程入力!$I$6:$I$65,"&gt;0",⑬計量工程入力!$M$6:$M$65,"&gt;0")+SUMIFS(⑭手動工程入力!$J$6:$J$47,⑭手動工程入力!$S$6:$S$47,$J203,⑭手動工程入力!$J$6:$J$47,"&gt;0",⑭手動工程入力!$M$6:$M$47,"&gt;0")-SUMIFS(⑭手動工程入力!$J$6:$J$47,⑭手動工程入力!$S$6:$S$47,$J203,⑭手動工程入力!$J$6:$J$47,"&gt;0",⑭手動工程入力!$I$6:$I$47,"&gt;0",⑭手動工程入力!$M$6:$M$47,"&gt;0"))</f>
        <v/>
      </c>
      <c r="P203" s="392" t="inlineStr">
        <is>
          <t>中間品リスト</t>
        </is>
      </c>
    </row>
    <row r="204">
      <c r="A204" s="392" t="n">
        <v>200</v>
      </c>
      <c r="B204" s="392" t="n"/>
      <c r="C204" s="392" t="n"/>
      <c r="D204" s="409" t="n"/>
      <c r="E204" s="392" t="n"/>
      <c r="F204" s="394" t="n"/>
      <c r="G204" s="392" t="n"/>
      <c r="H204" s="604">
        <f>IFERROR(IF(AND($K204&gt;0,ISNUMBER(IF(OR($D204="g",$D204="ｇ"),IF($M204&gt;0,$L204/$M204/1000,""),IF($D204="kg",IF($M204&gt;0,$L204/$M204,""),IF($D204="",IF($M204&gt;0,$L204/$M204/1000,IF($O204&gt;0,$N204/$O204,"")),IF($O204&gt;0,$N204/$O204,"")))))),IF(OR($D204="g",$D204="ｇ"),IF($M204&gt;0,$L204/$M204/1000,""),IF($D204="kg",IF($M204&gt;0,$L204/$M204,""),IF($D204="",IF($M204&gt;0,$L204/$M204/1000,IF($O204&gt;0,$N204/$O204,"")),IF($O204&gt;0,$N204/$O204,"")))),IF($F204="",IF(OR($E204="",$E204="⑩盛付梱包工程入力"),"",IF(OR($D204="g",$D204="ｇ"),INDEX(⑰工程労務費一覧!$N$5:$N$11,MATCH($E204,⑰工程労務費一覧!$K$5:$K$11,0))/1000,IF($D204="kg",INDEX(⑰工程労務費一覧!$N$5:$N$11,MATCH($E204,⑰工程労務費一覧!$K$5:$K$11,0)),IF(OR($D204="個",$D204="切",$D204="本",$D204="枚",$D204="尾"),IF($E204="⑬計量工程入力","",INDEX(⑰工程労務費一覧!$P$5:$P$11,MATCH($E204,⑰工程労務費一覧!$K$5:$K$11,0))),IF(AND($D204="",OR($E204="②釜工程入力",$E204="③スチコン工程入力")),INDEX(⑰工程労務費一覧!$N$5:$N$11,MATCH($E204,⑰工程労務費一覧!$K$5:$K$11,0))/1000,""))))),IF(OR($D204="g",$D204="ｇ"),INDEX(⑰工程労務費一覧!$H$5:$H$753,MATCH($F204,⑰工程労務費一覧!$D$5:$D$753,0))/1000,IF($D204="kg",INDEX(⑰工程労務費一覧!$H$5:$H$753,MATCH($F204,⑰工程労務費一覧!$D$5:$D$753,0)),INDEX(⑰工程労務費一覧!$I$5:$I$753,MATCH($F204,⑰工程労務費一覧!$D$5:$D$753,0)))))),"")</f>
        <v/>
      </c>
      <c r="I204" s="392">
        <f>IF($K204&gt;0,IF(ISNUMBER(IF(OR($D204="g",$D204="ｇ"),IF($M204&gt;0,$L204/$M204/1000,""),IF($D204="kg",IF($M204&gt;0,$L204/$M204,""),IF($D204="",IF($M204&gt;0,$L204/$M204/1000,IF($O204&gt;0,$N204/$O204,"")),IF($O204&gt;0,$N204/$O204,""))))),IF($D204="",IF($M204&gt;0,"◎ JAN紐づけ(g扱い)","◎ JAN紐づけ(個扱い)"),"◎ JAN紐づけ"),"△ JAN紐づけ済・実績不足→仮計算"),IF($F204="",IF(ISNUMBER($H204),IF($D204="","⑤ 工程平均で仮計算(g扱い)","⑤ 工程平均で仮計算"),IF($E204="⑩盛付梱包工程入力","⑥ 盛り込み(⑳F列で計上)",IF(AND($E204="⑬計量工程入力",OR($D204="個",$D204="切",$D204="本",$D204="枚",$D204="尾")),"① 未紐づけ(カット個単位は仮単価なし)","① 未紐づけ"))),IF(NOT(ISNUMBER($H204)),"② 工程側に単価なし",IF($D204="","③ 単位未設定(個で計算)","④ OK"))))</f>
        <v/>
      </c>
      <c r="J204" s="399">
        <f>IFERROR(LOOKUP(2,1/((中間品リスト!$F$2:$F$1299=$B204)*(中間品リスト!$E$2:$E$1299&lt;&gt;"-")*(中間品リスト!$E$2:$E$1299&lt;&gt;"")),中間品リスト!$E$2:$E$1299),"")</f>
        <v/>
      </c>
      <c r="K204" s="400">
        <f>IF($J204="",0,COUNTIF(②釜工程入力!$S$5:$S$117,$J204)+COUNTIF(③スチコン工程入力!$S$5:$S$152,$J204)+COUNTIF(⑪ZEN工程入力!$S$6:$S$35,$J204)+COUNTIF(⑫ミキサー工程入力!$S$6:$S$65,$J204)+COUNTIF(⑬計量工程入力!$S$6:$S$65,$J204)+COUNTIF(⑭手動工程入力!$S$6:$S$47,$J204))</f>
        <v/>
      </c>
      <c r="L204" s="393">
        <f>IF($J204="",0,SUMIFS(②釜工程入力!$M$5:$M$117,②釜工程入力!$S$5:$S$117,$J204,②釜工程入力!$I$5:$I$117,"&gt;0")+SUMIFS(③スチコン工程入力!$M$5:$M$152,③スチコン工程入力!$S$5:$S$152,$J204,③スチコン工程入力!$I$5:$I$152,"&gt;0")+SUMIFS(⑪ZEN工程入力!$M$6:$M$35,⑪ZEN工程入力!$S$6:$S$35,$J204,⑪ZEN工程入力!$I$6:$I$35,"&gt;0")+SUMIFS(⑫ミキサー工程入力!$M$6:$M$65,⑫ミキサー工程入力!$S$6:$S$65,$J204,⑫ミキサー工程入力!$I$6:$I$65,"&gt;0")+SUMIFS(⑬計量工程入力!$M$6:$M$65,⑬計量工程入力!$S$6:$S$65,$J204,⑬計量工程入力!$I$6:$I$65,"&gt;0")+SUMIFS(⑭手動工程入力!$M$6:$M$47,⑭手動工程入力!$S$6:$S$47,$J204,⑭手動工程入力!$I$6:$I$47,"&gt;0"))</f>
        <v/>
      </c>
      <c r="M204" s="393">
        <f>IF($J204="",0,SUMIFS(②釜工程入力!$I$5:$I$117,②釜工程入力!$S$5:$S$117,$J204,②釜工程入力!$I$5:$I$117,"&gt;0",②釜工程入力!$M$5:$M$117,"&gt;0")+SUMIFS(③スチコン工程入力!$I$5:$I$152,③スチコン工程入力!$S$5:$S$152,$J204,③スチコン工程入力!$I$5:$I$152,"&gt;0",③スチコン工程入力!$M$5:$M$152,"&gt;0")+SUMIFS(⑪ZEN工程入力!$I$6:$I$35,⑪ZEN工程入力!$S$6:$S$35,$J204,⑪ZEN工程入力!$I$6:$I$35,"&gt;0",⑪ZEN工程入力!$M$6:$M$35,"&gt;0")+SUMIFS(⑫ミキサー工程入力!$I$6:$I$65,⑫ミキサー工程入力!$S$6:$S$65,$J204,⑫ミキサー工程入力!$I$6:$I$65,"&gt;0",⑫ミキサー工程入力!$M$6:$M$65,"&gt;0")+SUMIFS(⑬計量工程入力!$I$6:$I$65,⑬計量工程入力!$S$6:$S$65,$J204,⑬計量工程入力!$I$6:$I$65,"&gt;0",⑬計量工程入力!$M$6:$M$65,"&gt;0")+SUMIFS(⑭手動工程入力!$I$6:$I$47,⑭手動工程入力!$S$6:$S$47,$J204,⑭手動工程入力!$I$6:$I$47,"&gt;0",⑭手動工程入力!$M$6:$M$47,"&gt;0"))</f>
        <v/>
      </c>
      <c r="N204" s="393">
        <f>IF($J204="",0,SUMIFS(②釜工程入力!$M$5:$M$117,②釜工程入力!$S$5:$S$117,$J204,②釜工程入力!$J$5:$J$117,"&gt;0")-SUMIFS(②釜工程入力!$M$5:$M$117,②釜工程入力!$S$5:$S$117,$J204,②釜工程入力!$J$5:$J$117,"&gt;0",②釜工程入力!$I$5:$I$117,"&gt;0")+SUMIFS(③スチコン工程入力!$M$5:$M$152,③スチコン工程入力!$S$5:$S$152,$J204,③スチコン工程入力!$J$5:$J$152,"&gt;0")-SUMIFS(③スチコン工程入力!$M$5:$M$152,③スチコン工程入力!$S$5:$S$152,$J204,③スチコン工程入力!$J$5:$J$152,"&gt;0",③スチコン工程入力!$I$5:$I$152,"&gt;0")+SUMIFS(⑪ZEN工程入力!$M$6:$M$35,⑪ZEN工程入力!$S$6:$S$35,$J204,⑪ZEN工程入力!$J$6:$J$35,"&gt;0")-SUMIFS(⑪ZEN工程入力!$M$6:$M$35,⑪ZEN工程入力!$S$6:$S$35,$J204,⑪ZEN工程入力!$J$6:$J$35,"&gt;0",⑪ZEN工程入力!$I$6:$I$35,"&gt;0")+SUMIFS(⑫ミキサー工程入力!$M$6:$M$65,⑫ミキサー工程入力!$S$6:$S$65,$J204,⑫ミキサー工程入力!$J$6:$J$65,"&gt;0")-SUMIFS(⑫ミキサー工程入力!$M$6:$M$65,⑫ミキサー工程入力!$S$6:$S$65,$J204,⑫ミキサー工程入力!$J$6:$J$65,"&gt;0",⑫ミキサー工程入力!$I$6:$I$65,"&gt;0")+SUMIFS(⑬計量工程入力!$M$6:$M$65,⑬計量工程入力!$S$6:$S$65,$J204,⑬計量工程入力!$J$6:$J$65,"&gt;0")-SUMIFS(⑬計量工程入力!$M$6:$M$65,⑬計量工程入力!$S$6:$S$65,$J204,⑬計量工程入力!$J$6:$J$65,"&gt;0",⑬計量工程入力!$I$6:$I$65,"&gt;0")+SUMIFS(⑭手動工程入力!$M$6:$M$47,⑭手動工程入力!$S$6:$S$47,$J204,⑭手動工程入力!$J$6:$J$47,"&gt;0")-SUMIFS(⑭手動工程入力!$M$6:$M$47,⑭手動工程入力!$S$6:$S$47,$J204,⑭手動工程入力!$J$6:$J$47,"&gt;0",⑭手動工程入力!$I$6:$I$47,"&gt;0"))</f>
        <v/>
      </c>
      <c r="O204" s="393">
        <f>IF($J204="",0,SUMIFS(②釜工程入力!$J$5:$J$117,②釜工程入力!$S$5:$S$117,$J204,②釜工程入力!$J$5:$J$117,"&gt;0",②釜工程入力!$M$5:$M$117,"&gt;0")-SUMIFS(②釜工程入力!$J$5:$J$117,②釜工程入力!$S$5:$S$117,$J204,②釜工程入力!$J$5:$J$117,"&gt;0",②釜工程入力!$I$5:$I$117,"&gt;0",②釜工程入力!$M$5:$M$117,"&gt;0")+SUMIFS(③スチコン工程入力!$J$5:$J$152,③スチコン工程入力!$S$5:$S$152,$J204,③スチコン工程入力!$J$5:$J$152,"&gt;0",③スチコン工程入力!$M$5:$M$152,"&gt;0")-SUMIFS(③スチコン工程入力!$J$5:$J$152,③スチコン工程入力!$S$5:$S$152,$J204,③スチコン工程入力!$J$5:$J$152,"&gt;0",③スチコン工程入力!$I$5:$I$152,"&gt;0",③スチコン工程入力!$M$5:$M$152,"&gt;0")+SUMIFS(⑪ZEN工程入力!$J$6:$J$35,⑪ZEN工程入力!$S$6:$S$35,$J204,⑪ZEN工程入力!$J$6:$J$35,"&gt;0",⑪ZEN工程入力!$M$6:$M$35,"&gt;0")-SUMIFS(⑪ZEN工程入力!$J$6:$J$35,⑪ZEN工程入力!$S$6:$S$35,$J204,⑪ZEN工程入力!$J$6:$J$35,"&gt;0",⑪ZEN工程入力!$I$6:$I$35,"&gt;0",⑪ZEN工程入力!$M$6:$M$35,"&gt;0")+SUMIFS(⑫ミキサー工程入力!$J$6:$J$65,⑫ミキサー工程入力!$S$6:$S$65,$J204,⑫ミキサー工程入力!$J$6:$J$65,"&gt;0",⑫ミキサー工程入力!$M$6:$M$65,"&gt;0")-SUMIFS(⑫ミキサー工程入力!$J$6:$J$65,⑫ミキサー工程入力!$S$6:$S$65,$J204,⑫ミキサー工程入力!$J$6:$J$65,"&gt;0",⑫ミキサー工程入力!$I$6:$I$65,"&gt;0",⑫ミキサー工程入力!$M$6:$M$65,"&gt;0")+SUMIFS(⑬計量工程入力!$J$6:$J$65,⑬計量工程入力!$S$6:$S$65,$J204,⑬計量工程入力!$J$6:$J$65,"&gt;0",⑬計量工程入力!$M$6:$M$65,"&gt;0")-SUMIFS(⑬計量工程入力!$J$6:$J$65,⑬計量工程入力!$S$6:$S$65,$J204,⑬計量工程入力!$J$6:$J$65,"&gt;0",⑬計量工程入力!$I$6:$I$65,"&gt;0",⑬計量工程入力!$M$6:$M$65,"&gt;0")+SUMIFS(⑭手動工程入力!$J$6:$J$47,⑭手動工程入力!$S$6:$S$47,$J204,⑭手動工程入力!$J$6:$J$47,"&gt;0",⑭手動工程入力!$M$6:$M$47,"&gt;0")-SUMIFS(⑭手動工程入力!$J$6:$J$47,⑭手動工程入力!$S$6:$S$47,$J204,⑭手動工程入力!$J$6:$J$47,"&gt;0",⑭手動工程入力!$I$6:$I$47,"&gt;0",⑭手動工程入力!$M$6:$M$47,"&gt;0"))</f>
        <v/>
      </c>
      <c r="P204" s="392" t="inlineStr">
        <is>
          <t>中間品リスト（複数あり:個/本）</t>
        </is>
      </c>
    </row>
    <row r="205">
      <c r="A205" s="392" t="n">
        <v>201</v>
      </c>
      <c r="B205" s="392" t="n"/>
      <c r="C205" s="392" t="n"/>
      <c r="D205" s="409" t="n"/>
      <c r="E205" s="392" t="n"/>
      <c r="F205" s="394" t="n"/>
      <c r="G205" s="392" t="n"/>
      <c r="H205" s="604">
        <f>IFERROR(IF(AND($K205&gt;0,ISNUMBER(IF(OR($D205="g",$D205="ｇ"),IF($M205&gt;0,$L205/$M205/1000,""),IF($D205="kg",IF($M205&gt;0,$L205/$M205,""),IF($D205="",IF($M205&gt;0,$L205/$M205/1000,IF($O205&gt;0,$N205/$O205,"")),IF($O205&gt;0,$N205/$O205,"")))))),IF(OR($D205="g",$D205="ｇ"),IF($M205&gt;0,$L205/$M205/1000,""),IF($D205="kg",IF($M205&gt;0,$L205/$M205,""),IF($D205="",IF($M205&gt;0,$L205/$M205/1000,IF($O205&gt;0,$N205/$O205,"")),IF($O205&gt;0,$N205/$O205,"")))),IF($F205="",IF(OR($E205="",$E205="⑩盛付梱包工程入力"),"",IF(OR($D205="g",$D205="ｇ"),INDEX(⑰工程労務費一覧!$N$5:$N$11,MATCH($E205,⑰工程労務費一覧!$K$5:$K$11,0))/1000,IF($D205="kg",INDEX(⑰工程労務費一覧!$N$5:$N$11,MATCH($E205,⑰工程労務費一覧!$K$5:$K$11,0)),IF(OR($D205="個",$D205="切",$D205="本",$D205="枚",$D205="尾"),IF($E205="⑬計量工程入力","",INDEX(⑰工程労務費一覧!$P$5:$P$11,MATCH($E205,⑰工程労務費一覧!$K$5:$K$11,0))),IF(AND($D205="",OR($E205="②釜工程入力",$E205="③スチコン工程入力")),INDEX(⑰工程労務費一覧!$N$5:$N$11,MATCH($E205,⑰工程労務費一覧!$K$5:$K$11,0))/1000,""))))),IF(OR($D205="g",$D205="ｇ"),INDEX(⑰工程労務費一覧!$H$5:$H$753,MATCH($F205,⑰工程労務費一覧!$D$5:$D$753,0))/1000,IF($D205="kg",INDEX(⑰工程労務費一覧!$H$5:$H$753,MATCH($F205,⑰工程労務費一覧!$D$5:$D$753,0)),INDEX(⑰工程労務費一覧!$I$5:$I$753,MATCH($F205,⑰工程労務費一覧!$D$5:$D$753,0)))))),"")</f>
        <v/>
      </c>
      <c r="I205" s="392">
        <f>IF($K205&gt;0,IF(ISNUMBER(IF(OR($D205="g",$D205="ｇ"),IF($M205&gt;0,$L205/$M205/1000,""),IF($D205="kg",IF($M205&gt;0,$L205/$M205,""),IF($D205="",IF($M205&gt;0,$L205/$M205/1000,IF($O205&gt;0,$N205/$O205,"")),IF($O205&gt;0,$N205/$O205,""))))),IF($D205="",IF($M205&gt;0,"◎ JAN紐づけ(g扱い)","◎ JAN紐づけ(個扱い)"),"◎ JAN紐づけ"),"△ JAN紐づけ済・実績不足→仮計算"),IF($F205="",IF(ISNUMBER($H205),IF($D205="","⑤ 工程平均で仮計算(g扱い)","⑤ 工程平均で仮計算"),IF($E205="⑩盛付梱包工程入力","⑥ 盛り込み(⑳F列で計上)",IF(AND($E205="⑬計量工程入力",OR($D205="個",$D205="切",$D205="本",$D205="枚",$D205="尾")),"① 未紐づけ(カット個単位は仮単価なし)","① 未紐づけ"))),IF(NOT(ISNUMBER($H205)),"② 工程側に単価なし",IF($D205="","③ 単位未設定(個で計算)","④ OK"))))</f>
        <v/>
      </c>
      <c r="J205" s="399">
        <f>IFERROR(LOOKUP(2,1/((中間品リスト!$F$2:$F$1299=$B205)*(中間品リスト!$E$2:$E$1299&lt;&gt;"-")*(中間品リスト!$E$2:$E$1299&lt;&gt;"")),中間品リスト!$E$2:$E$1299),"")</f>
        <v/>
      </c>
      <c r="K205" s="400">
        <f>IF($J205="",0,COUNTIF(②釜工程入力!$S$5:$S$117,$J205)+COUNTIF(③スチコン工程入力!$S$5:$S$152,$J205)+COUNTIF(⑪ZEN工程入力!$S$6:$S$35,$J205)+COUNTIF(⑫ミキサー工程入力!$S$6:$S$65,$J205)+COUNTIF(⑬計量工程入力!$S$6:$S$65,$J205)+COUNTIF(⑭手動工程入力!$S$6:$S$47,$J205))</f>
        <v/>
      </c>
      <c r="L205" s="393">
        <f>IF($J205="",0,SUMIFS(②釜工程入力!$M$5:$M$117,②釜工程入力!$S$5:$S$117,$J205,②釜工程入力!$I$5:$I$117,"&gt;0")+SUMIFS(③スチコン工程入力!$M$5:$M$152,③スチコン工程入力!$S$5:$S$152,$J205,③スチコン工程入力!$I$5:$I$152,"&gt;0")+SUMIFS(⑪ZEN工程入力!$M$6:$M$35,⑪ZEN工程入力!$S$6:$S$35,$J205,⑪ZEN工程入力!$I$6:$I$35,"&gt;0")+SUMIFS(⑫ミキサー工程入力!$M$6:$M$65,⑫ミキサー工程入力!$S$6:$S$65,$J205,⑫ミキサー工程入力!$I$6:$I$65,"&gt;0")+SUMIFS(⑬計量工程入力!$M$6:$M$65,⑬計量工程入力!$S$6:$S$65,$J205,⑬計量工程入力!$I$6:$I$65,"&gt;0")+SUMIFS(⑭手動工程入力!$M$6:$M$47,⑭手動工程入力!$S$6:$S$47,$J205,⑭手動工程入力!$I$6:$I$47,"&gt;0"))</f>
        <v/>
      </c>
      <c r="M205" s="393">
        <f>IF($J205="",0,SUMIFS(②釜工程入力!$I$5:$I$117,②釜工程入力!$S$5:$S$117,$J205,②釜工程入力!$I$5:$I$117,"&gt;0",②釜工程入力!$M$5:$M$117,"&gt;0")+SUMIFS(③スチコン工程入力!$I$5:$I$152,③スチコン工程入力!$S$5:$S$152,$J205,③スチコン工程入力!$I$5:$I$152,"&gt;0",③スチコン工程入力!$M$5:$M$152,"&gt;0")+SUMIFS(⑪ZEN工程入力!$I$6:$I$35,⑪ZEN工程入力!$S$6:$S$35,$J205,⑪ZEN工程入力!$I$6:$I$35,"&gt;0",⑪ZEN工程入力!$M$6:$M$35,"&gt;0")+SUMIFS(⑫ミキサー工程入力!$I$6:$I$65,⑫ミキサー工程入力!$S$6:$S$65,$J205,⑫ミキサー工程入力!$I$6:$I$65,"&gt;0",⑫ミキサー工程入力!$M$6:$M$65,"&gt;0")+SUMIFS(⑬計量工程入力!$I$6:$I$65,⑬計量工程入力!$S$6:$S$65,$J205,⑬計量工程入力!$I$6:$I$65,"&gt;0",⑬計量工程入力!$M$6:$M$65,"&gt;0")+SUMIFS(⑭手動工程入力!$I$6:$I$47,⑭手動工程入力!$S$6:$S$47,$J205,⑭手動工程入力!$I$6:$I$47,"&gt;0",⑭手動工程入力!$M$6:$M$47,"&gt;0"))</f>
        <v/>
      </c>
      <c r="N205" s="393">
        <f>IF($J205="",0,SUMIFS(②釜工程入力!$M$5:$M$117,②釜工程入力!$S$5:$S$117,$J205,②釜工程入力!$J$5:$J$117,"&gt;0")-SUMIFS(②釜工程入力!$M$5:$M$117,②釜工程入力!$S$5:$S$117,$J205,②釜工程入力!$J$5:$J$117,"&gt;0",②釜工程入力!$I$5:$I$117,"&gt;0")+SUMIFS(③スチコン工程入力!$M$5:$M$152,③スチコン工程入力!$S$5:$S$152,$J205,③スチコン工程入力!$J$5:$J$152,"&gt;0")-SUMIFS(③スチコン工程入力!$M$5:$M$152,③スチコン工程入力!$S$5:$S$152,$J205,③スチコン工程入力!$J$5:$J$152,"&gt;0",③スチコン工程入力!$I$5:$I$152,"&gt;0")+SUMIFS(⑪ZEN工程入力!$M$6:$M$35,⑪ZEN工程入力!$S$6:$S$35,$J205,⑪ZEN工程入力!$J$6:$J$35,"&gt;0")-SUMIFS(⑪ZEN工程入力!$M$6:$M$35,⑪ZEN工程入力!$S$6:$S$35,$J205,⑪ZEN工程入力!$J$6:$J$35,"&gt;0",⑪ZEN工程入力!$I$6:$I$35,"&gt;0")+SUMIFS(⑫ミキサー工程入力!$M$6:$M$65,⑫ミキサー工程入力!$S$6:$S$65,$J205,⑫ミキサー工程入力!$J$6:$J$65,"&gt;0")-SUMIFS(⑫ミキサー工程入力!$M$6:$M$65,⑫ミキサー工程入力!$S$6:$S$65,$J205,⑫ミキサー工程入力!$J$6:$J$65,"&gt;0",⑫ミキサー工程入力!$I$6:$I$65,"&gt;0")+SUMIFS(⑬計量工程入力!$M$6:$M$65,⑬計量工程入力!$S$6:$S$65,$J205,⑬計量工程入力!$J$6:$J$65,"&gt;0")-SUMIFS(⑬計量工程入力!$M$6:$M$65,⑬計量工程入力!$S$6:$S$65,$J205,⑬計量工程入力!$J$6:$J$65,"&gt;0",⑬計量工程入力!$I$6:$I$65,"&gt;0")+SUMIFS(⑭手動工程入力!$M$6:$M$47,⑭手動工程入力!$S$6:$S$47,$J205,⑭手動工程入力!$J$6:$J$47,"&gt;0")-SUMIFS(⑭手動工程入力!$M$6:$M$47,⑭手動工程入力!$S$6:$S$47,$J205,⑭手動工程入力!$J$6:$J$47,"&gt;0",⑭手動工程入力!$I$6:$I$47,"&gt;0"))</f>
        <v/>
      </c>
      <c r="O205" s="393">
        <f>IF($J205="",0,SUMIFS(②釜工程入力!$J$5:$J$117,②釜工程入力!$S$5:$S$117,$J205,②釜工程入力!$J$5:$J$117,"&gt;0",②釜工程入力!$M$5:$M$117,"&gt;0")-SUMIFS(②釜工程入力!$J$5:$J$117,②釜工程入力!$S$5:$S$117,$J205,②釜工程入力!$J$5:$J$117,"&gt;0",②釜工程入力!$I$5:$I$117,"&gt;0",②釜工程入力!$M$5:$M$117,"&gt;0")+SUMIFS(③スチコン工程入力!$J$5:$J$152,③スチコン工程入力!$S$5:$S$152,$J205,③スチコン工程入力!$J$5:$J$152,"&gt;0",③スチコン工程入力!$M$5:$M$152,"&gt;0")-SUMIFS(③スチコン工程入力!$J$5:$J$152,③スチコン工程入力!$S$5:$S$152,$J205,③スチコン工程入力!$J$5:$J$152,"&gt;0",③スチコン工程入力!$I$5:$I$152,"&gt;0",③スチコン工程入力!$M$5:$M$152,"&gt;0")+SUMIFS(⑪ZEN工程入力!$J$6:$J$35,⑪ZEN工程入力!$S$6:$S$35,$J205,⑪ZEN工程入力!$J$6:$J$35,"&gt;0",⑪ZEN工程入力!$M$6:$M$35,"&gt;0")-SUMIFS(⑪ZEN工程入力!$J$6:$J$35,⑪ZEN工程入力!$S$6:$S$35,$J205,⑪ZEN工程入力!$J$6:$J$35,"&gt;0",⑪ZEN工程入力!$I$6:$I$35,"&gt;0",⑪ZEN工程入力!$M$6:$M$35,"&gt;0")+SUMIFS(⑫ミキサー工程入力!$J$6:$J$65,⑫ミキサー工程入力!$S$6:$S$65,$J205,⑫ミキサー工程入力!$J$6:$J$65,"&gt;0",⑫ミキサー工程入力!$M$6:$M$65,"&gt;0")-SUMIFS(⑫ミキサー工程入力!$J$6:$J$65,⑫ミキサー工程入力!$S$6:$S$65,$J205,⑫ミキサー工程入力!$J$6:$J$65,"&gt;0",⑫ミキサー工程入力!$I$6:$I$65,"&gt;0",⑫ミキサー工程入力!$M$6:$M$65,"&gt;0")+SUMIFS(⑬計量工程入力!$J$6:$J$65,⑬計量工程入力!$S$6:$S$65,$J205,⑬計量工程入力!$J$6:$J$65,"&gt;0",⑬計量工程入力!$M$6:$M$65,"&gt;0")-SUMIFS(⑬計量工程入力!$J$6:$J$65,⑬計量工程入力!$S$6:$S$65,$J205,⑬計量工程入力!$J$6:$J$65,"&gt;0",⑬計量工程入力!$I$6:$I$65,"&gt;0",⑬計量工程入力!$M$6:$M$65,"&gt;0")+SUMIFS(⑭手動工程入力!$J$6:$J$47,⑭手動工程入力!$S$6:$S$47,$J205,⑭手動工程入力!$J$6:$J$47,"&gt;0",⑭手動工程入力!$M$6:$M$47,"&gt;0")-SUMIFS(⑭手動工程入力!$J$6:$J$47,⑭手動工程入力!$S$6:$S$47,$J205,⑭手動工程入力!$J$6:$J$47,"&gt;0",⑭手動工程入力!$I$6:$I$47,"&gt;0",⑭手動工程入力!$M$6:$M$47,"&gt;0"))</f>
        <v/>
      </c>
      <c r="P205" s="392" t="inlineStr">
        <is>
          <t>中間品リスト</t>
        </is>
      </c>
    </row>
    <row r="206">
      <c r="A206" s="392" t="n">
        <v>202</v>
      </c>
      <c r="B206" s="392" t="n"/>
      <c r="C206" s="392" t="n"/>
      <c r="D206" s="409" t="n"/>
      <c r="E206" s="392" t="n"/>
      <c r="F206" s="394" t="n"/>
      <c r="G206" s="392" t="n"/>
      <c r="H206" s="604">
        <f>IFERROR(IF(AND($K206&gt;0,ISNUMBER(IF(OR($D206="g",$D206="ｇ"),IF($M206&gt;0,$L206/$M206/1000,""),IF($D206="kg",IF($M206&gt;0,$L206/$M206,""),IF($D206="",IF($M206&gt;0,$L206/$M206/1000,IF($O206&gt;0,$N206/$O206,"")),IF($O206&gt;0,$N206/$O206,"")))))),IF(OR($D206="g",$D206="ｇ"),IF($M206&gt;0,$L206/$M206/1000,""),IF($D206="kg",IF($M206&gt;0,$L206/$M206,""),IF($D206="",IF($M206&gt;0,$L206/$M206/1000,IF($O206&gt;0,$N206/$O206,"")),IF($O206&gt;0,$N206/$O206,"")))),IF($F206="",IF(OR($E206="",$E206="⑩盛付梱包工程入力"),"",IF(OR($D206="g",$D206="ｇ"),INDEX(⑰工程労務費一覧!$N$5:$N$11,MATCH($E206,⑰工程労務費一覧!$K$5:$K$11,0))/1000,IF($D206="kg",INDEX(⑰工程労務費一覧!$N$5:$N$11,MATCH($E206,⑰工程労務費一覧!$K$5:$K$11,0)),IF(OR($D206="個",$D206="切",$D206="本",$D206="枚",$D206="尾"),IF($E206="⑬計量工程入力","",INDEX(⑰工程労務費一覧!$P$5:$P$11,MATCH($E206,⑰工程労務費一覧!$K$5:$K$11,0))),IF(AND($D206="",OR($E206="②釜工程入力",$E206="③スチコン工程入力")),INDEX(⑰工程労務費一覧!$N$5:$N$11,MATCH($E206,⑰工程労務費一覧!$K$5:$K$11,0))/1000,""))))),IF(OR($D206="g",$D206="ｇ"),INDEX(⑰工程労務費一覧!$H$5:$H$753,MATCH($F206,⑰工程労務費一覧!$D$5:$D$753,0))/1000,IF($D206="kg",INDEX(⑰工程労務費一覧!$H$5:$H$753,MATCH($F206,⑰工程労務費一覧!$D$5:$D$753,0)),INDEX(⑰工程労務費一覧!$I$5:$I$753,MATCH($F206,⑰工程労務費一覧!$D$5:$D$753,0)))))),"")</f>
        <v/>
      </c>
      <c r="I206" s="392">
        <f>IF($K206&gt;0,IF(ISNUMBER(IF(OR($D206="g",$D206="ｇ"),IF($M206&gt;0,$L206/$M206/1000,""),IF($D206="kg",IF($M206&gt;0,$L206/$M206,""),IF($D206="",IF($M206&gt;0,$L206/$M206/1000,IF($O206&gt;0,$N206/$O206,"")),IF($O206&gt;0,$N206/$O206,""))))),IF($D206="",IF($M206&gt;0,"◎ JAN紐づけ(g扱い)","◎ JAN紐づけ(個扱い)"),"◎ JAN紐づけ"),"△ JAN紐づけ済・実績不足→仮計算"),IF($F206="",IF(ISNUMBER($H206),IF($D206="","⑤ 工程平均で仮計算(g扱い)","⑤ 工程平均で仮計算"),IF($E206="⑩盛付梱包工程入力","⑥ 盛り込み(⑳F列で計上)",IF(AND($E206="⑬計量工程入力",OR($D206="個",$D206="切",$D206="本",$D206="枚",$D206="尾")),"① 未紐づけ(カット個単位は仮単価なし)","① 未紐づけ"))),IF(NOT(ISNUMBER($H206)),"② 工程側に単価なし",IF($D206="","③ 単位未設定(個で計算)","④ OK"))))</f>
        <v/>
      </c>
      <c r="J206" s="399">
        <f>IFERROR(LOOKUP(2,1/((中間品リスト!$F$2:$F$1299=$B206)*(中間品リスト!$E$2:$E$1299&lt;&gt;"-")*(中間品リスト!$E$2:$E$1299&lt;&gt;"")),中間品リスト!$E$2:$E$1299),"")</f>
        <v/>
      </c>
      <c r="K206" s="400">
        <f>IF($J206="",0,COUNTIF(②釜工程入力!$S$5:$S$117,$J206)+COUNTIF(③スチコン工程入力!$S$5:$S$152,$J206)+COUNTIF(⑪ZEN工程入力!$S$6:$S$35,$J206)+COUNTIF(⑫ミキサー工程入力!$S$6:$S$65,$J206)+COUNTIF(⑬計量工程入力!$S$6:$S$65,$J206)+COUNTIF(⑭手動工程入力!$S$6:$S$47,$J206))</f>
        <v/>
      </c>
      <c r="L206" s="393">
        <f>IF($J206="",0,SUMIFS(②釜工程入力!$M$5:$M$117,②釜工程入力!$S$5:$S$117,$J206,②釜工程入力!$I$5:$I$117,"&gt;0")+SUMIFS(③スチコン工程入力!$M$5:$M$152,③スチコン工程入力!$S$5:$S$152,$J206,③スチコン工程入力!$I$5:$I$152,"&gt;0")+SUMIFS(⑪ZEN工程入力!$M$6:$M$35,⑪ZEN工程入力!$S$6:$S$35,$J206,⑪ZEN工程入力!$I$6:$I$35,"&gt;0")+SUMIFS(⑫ミキサー工程入力!$M$6:$M$65,⑫ミキサー工程入力!$S$6:$S$65,$J206,⑫ミキサー工程入力!$I$6:$I$65,"&gt;0")+SUMIFS(⑬計量工程入力!$M$6:$M$65,⑬計量工程入力!$S$6:$S$65,$J206,⑬計量工程入力!$I$6:$I$65,"&gt;0")+SUMIFS(⑭手動工程入力!$M$6:$M$47,⑭手動工程入力!$S$6:$S$47,$J206,⑭手動工程入力!$I$6:$I$47,"&gt;0"))</f>
        <v/>
      </c>
      <c r="M206" s="393">
        <f>IF($J206="",0,SUMIFS(②釜工程入力!$I$5:$I$117,②釜工程入力!$S$5:$S$117,$J206,②釜工程入力!$I$5:$I$117,"&gt;0",②釜工程入力!$M$5:$M$117,"&gt;0")+SUMIFS(③スチコン工程入力!$I$5:$I$152,③スチコン工程入力!$S$5:$S$152,$J206,③スチコン工程入力!$I$5:$I$152,"&gt;0",③スチコン工程入力!$M$5:$M$152,"&gt;0")+SUMIFS(⑪ZEN工程入力!$I$6:$I$35,⑪ZEN工程入力!$S$6:$S$35,$J206,⑪ZEN工程入力!$I$6:$I$35,"&gt;0",⑪ZEN工程入力!$M$6:$M$35,"&gt;0")+SUMIFS(⑫ミキサー工程入力!$I$6:$I$65,⑫ミキサー工程入力!$S$6:$S$65,$J206,⑫ミキサー工程入力!$I$6:$I$65,"&gt;0",⑫ミキサー工程入力!$M$6:$M$65,"&gt;0")+SUMIFS(⑬計量工程入力!$I$6:$I$65,⑬計量工程入力!$S$6:$S$65,$J206,⑬計量工程入力!$I$6:$I$65,"&gt;0",⑬計量工程入力!$M$6:$M$65,"&gt;0")+SUMIFS(⑭手動工程入力!$I$6:$I$47,⑭手動工程入力!$S$6:$S$47,$J206,⑭手動工程入力!$I$6:$I$47,"&gt;0",⑭手動工程入力!$M$6:$M$47,"&gt;0"))</f>
        <v/>
      </c>
      <c r="N206" s="393">
        <f>IF($J206="",0,SUMIFS(②釜工程入力!$M$5:$M$117,②釜工程入力!$S$5:$S$117,$J206,②釜工程入力!$J$5:$J$117,"&gt;0")-SUMIFS(②釜工程入力!$M$5:$M$117,②釜工程入力!$S$5:$S$117,$J206,②釜工程入力!$J$5:$J$117,"&gt;0",②釜工程入力!$I$5:$I$117,"&gt;0")+SUMIFS(③スチコン工程入力!$M$5:$M$152,③スチコン工程入力!$S$5:$S$152,$J206,③スチコン工程入力!$J$5:$J$152,"&gt;0")-SUMIFS(③スチコン工程入力!$M$5:$M$152,③スチコン工程入力!$S$5:$S$152,$J206,③スチコン工程入力!$J$5:$J$152,"&gt;0",③スチコン工程入力!$I$5:$I$152,"&gt;0")+SUMIFS(⑪ZEN工程入力!$M$6:$M$35,⑪ZEN工程入力!$S$6:$S$35,$J206,⑪ZEN工程入力!$J$6:$J$35,"&gt;0")-SUMIFS(⑪ZEN工程入力!$M$6:$M$35,⑪ZEN工程入力!$S$6:$S$35,$J206,⑪ZEN工程入力!$J$6:$J$35,"&gt;0",⑪ZEN工程入力!$I$6:$I$35,"&gt;0")+SUMIFS(⑫ミキサー工程入力!$M$6:$M$65,⑫ミキサー工程入力!$S$6:$S$65,$J206,⑫ミキサー工程入力!$J$6:$J$65,"&gt;0")-SUMIFS(⑫ミキサー工程入力!$M$6:$M$65,⑫ミキサー工程入力!$S$6:$S$65,$J206,⑫ミキサー工程入力!$J$6:$J$65,"&gt;0",⑫ミキサー工程入力!$I$6:$I$65,"&gt;0")+SUMIFS(⑬計量工程入力!$M$6:$M$65,⑬計量工程入力!$S$6:$S$65,$J206,⑬計量工程入力!$J$6:$J$65,"&gt;0")-SUMIFS(⑬計量工程入力!$M$6:$M$65,⑬計量工程入力!$S$6:$S$65,$J206,⑬計量工程入力!$J$6:$J$65,"&gt;0",⑬計量工程入力!$I$6:$I$65,"&gt;0")+SUMIFS(⑭手動工程入力!$M$6:$M$47,⑭手動工程入力!$S$6:$S$47,$J206,⑭手動工程入力!$J$6:$J$47,"&gt;0")-SUMIFS(⑭手動工程入力!$M$6:$M$47,⑭手動工程入力!$S$6:$S$47,$J206,⑭手動工程入力!$J$6:$J$47,"&gt;0",⑭手動工程入力!$I$6:$I$47,"&gt;0"))</f>
        <v/>
      </c>
      <c r="O206" s="393">
        <f>IF($J206="",0,SUMIFS(②釜工程入力!$J$5:$J$117,②釜工程入力!$S$5:$S$117,$J206,②釜工程入力!$J$5:$J$117,"&gt;0",②釜工程入力!$M$5:$M$117,"&gt;0")-SUMIFS(②釜工程入力!$J$5:$J$117,②釜工程入力!$S$5:$S$117,$J206,②釜工程入力!$J$5:$J$117,"&gt;0",②釜工程入力!$I$5:$I$117,"&gt;0",②釜工程入力!$M$5:$M$117,"&gt;0")+SUMIFS(③スチコン工程入力!$J$5:$J$152,③スチコン工程入力!$S$5:$S$152,$J206,③スチコン工程入力!$J$5:$J$152,"&gt;0",③スチコン工程入力!$M$5:$M$152,"&gt;0")-SUMIFS(③スチコン工程入力!$J$5:$J$152,③スチコン工程入力!$S$5:$S$152,$J206,③スチコン工程入力!$J$5:$J$152,"&gt;0",③スチコン工程入力!$I$5:$I$152,"&gt;0",③スチコン工程入力!$M$5:$M$152,"&gt;0")+SUMIFS(⑪ZEN工程入力!$J$6:$J$35,⑪ZEN工程入力!$S$6:$S$35,$J206,⑪ZEN工程入力!$J$6:$J$35,"&gt;0",⑪ZEN工程入力!$M$6:$M$35,"&gt;0")-SUMIFS(⑪ZEN工程入力!$J$6:$J$35,⑪ZEN工程入力!$S$6:$S$35,$J206,⑪ZEN工程入力!$J$6:$J$35,"&gt;0",⑪ZEN工程入力!$I$6:$I$35,"&gt;0",⑪ZEN工程入力!$M$6:$M$35,"&gt;0")+SUMIFS(⑫ミキサー工程入力!$J$6:$J$65,⑫ミキサー工程入力!$S$6:$S$65,$J206,⑫ミキサー工程入力!$J$6:$J$65,"&gt;0",⑫ミキサー工程入力!$M$6:$M$65,"&gt;0")-SUMIFS(⑫ミキサー工程入力!$J$6:$J$65,⑫ミキサー工程入力!$S$6:$S$65,$J206,⑫ミキサー工程入力!$J$6:$J$65,"&gt;0",⑫ミキサー工程入力!$I$6:$I$65,"&gt;0",⑫ミキサー工程入力!$M$6:$M$65,"&gt;0")+SUMIFS(⑬計量工程入力!$J$6:$J$65,⑬計量工程入力!$S$6:$S$65,$J206,⑬計量工程入力!$J$6:$J$65,"&gt;0",⑬計量工程入力!$M$6:$M$65,"&gt;0")-SUMIFS(⑬計量工程入力!$J$6:$J$65,⑬計量工程入力!$S$6:$S$65,$J206,⑬計量工程入力!$J$6:$J$65,"&gt;0",⑬計量工程入力!$I$6:$I$65,"&gt;0",⑬計量工程入力!$M$6:$M$65,"&gt;0")+SUMIFS(⑭手動工程入力!$J$6:$J$47,⑭手動工程入力!$S$6:$S$47,$J206,⑭手動工程入力!$J$6:$J$47,"&gt;0",⑭手動工程入力!$M$6:$M$47,"&gt;0")-SUMIFS(⑭手動工程入力!$J$6:$J$47,⑭手動工程入力!$S$6:$S$47,$J206,⑭手動工程入力!$J$6:$J$47,"&gt;0",⑭手動工程入力!$I$6:$I$47,"&gt;0",⑭手動工程入力!$M$6:$M$47,"&gt;0"))</f>
        <v/>
      </c>
      <c r="P206" s="392" t="inlineStr">
        <is>
          <t>中間品リスト</t>
        </is>
      </c>
    </row>
    <row r="207">
      <c r="A207" s="392" t="n">
        <v>203</v>
      </c>
      <c r="B207" s="392" t="n"/>
      <c r="C207" s="392" t="n"/>
      <c r="D207" s="392" t="n"/>
      <c r="E207" s="392" t="n"/>
      <c r="F207" s="394" t="n"/>
      <c r="G207" s="392" t="n"/>
      <c r="H207" s="604">
        <f>IFERROR(IF(AND($K207&gt;0,ISNUMBER(IF(OR($D207="g",$D207="ｇ"),IF($M207&gt;0,$L207/$M207/1000,""),IF($D207="kg",IF($M207&gt;0,$L207/$M207,""),IF($D207="",IF($M207&gt;0,$L207/$M207/1000,IF($O207&gt;0,$N207/$O207,"")),IF($O207&gt;0,$N207/$O207,"")))))),IF(OR($D207="g",$D207="ｇ"),IF($M207&gt;0,$L207/$M207/1000,""),IF($D207="kg",IF($M207&gt;0,$L207/$M207,""),IF($D207="",IF($M207&gt;0,$L207/$M207/1000,IF($O207&gt;0,$N207/$O207,"")),IF($O207&gt;0,$N207/$O207,"")))),IF($F207="",IF(OR($E207="",$E207="⑩盛付梱包工程入力"),"",IF(OR($D207="g",$D207="ｇ"),INDEX(⑰工程労務費一覧!$N$5:$N$11,MATCH($E207,⑰工程労務費一覧!$K$5:$K$11,0))/1000,IF($D207="kg",INDEX(⑰工程労務費一覧!$N$5:$N$11,MATCH($E207,⑰工程労務費一覧!$K$5:$K$11,0)),IF(OR($D207="個",$D207="切",$D207="本",$D207="枚",$D207="尾"),IF($E207="⑬計量工程入力","",INDEX(⑰工程労務費一覧!$P$5:$P$11,MATCH($E207,⑰工程労務費一覧!$K$5:$K$11,0))),IF(AND($D207="",OR($E207="②釜工程入力",$E207="③スチコン工程入力")),INDEX(⑰工程労務費一覧!$N$5:$N$11,MATCH($E207,⑰工程労務費一覧!$K$5:$K$11,0))/1000,""))))),IF(OR($D207="g",$D207="ｇ"),INDEX(⑰工程労務費一覧!$H$5:$H$753,MATCH($F207,⑰工程労務費一覧!$D$5:$D$753,0))/1000,IF($D207="kg",INDEX(⑰工程労務費一覧!$H$5:$H$753,MATCH($F207,⑰工程労務費一覧!$D$5:$D$753,0)),INDEX(⑰工程労務費一覧!$I$5:$I$753,MATCH($F207,⑰工程労務費一覧!$D$5:$D$753,0)))))),"")</f>
        <v/>
      </c>
      <c r="I207" s="392">
        <f>IF($K207&gt;0,IF(ISNUMBER(IF(OR($D207="g",$D207="ｇ"),IF($M207&gt;0,$L207/$M207/1000,""),IF($D207="kg",IF($M207&gt;0,$L207/$M207,""),IF($D207="",IF($M207&gt;0,$L207/$M207/1000,IF($O207&gt;0,$N207/$O207,"")),IF($O207&gt;0,$N207/$O207,""))))),IF($D207="",IF($M207&gt;0,"◎ JAN紐づけ(g扱い)","◎ JAN紐づけ(個扱い)"),"◎ JAN紐づけ"),"△ JAN紐づけ済・実績不足→仮計算"),IF($F207="",IF(ISNUMBER($H207),IF($D207="","⑤ 工程平均で仮計算(g扱い)","⑤ 工程平均で仮計算"),IF($E207="⑩盛付梱包工程入力","⑥ 盛り込み(⑳F列で計上)",IF(AND($E207="⑬計量工程入力",OR($D207="個",$D207="切",$D207="本",$D207="枚",$D207="尾")),"① 未紐づけ(カット個単位は仮単価なし)","① 未紐づけ"))),IF(NOT(ISNUMBER($H207)),"② 工程側に単価なし",IF($D207="","③ 単位未設定(個で計算)","④ OK"))))</f>
        <v/>
      </c>
      <c r="J207" s="399">
        <f>IFERROR(LOOKUP(2,1/((中間品リスト!$F$2:$F$1299=$B207)*(中間品リスト!$E$2:$E$1299&lt;&gt;"-")*(中間品リスト!$E$2:$E$1299&lt;&gt;"")),中間品リスト!$E$2:$E$1299),"")</f>
        <v/>
      </c>
      <c r="K207" s="400">
        <f>IF($J207="",0,COUNTIF(②釜工程入力!$S$5:$S$117,$J207)+COUNTIF(③スチコン工程入力!$S$5:$S$152,$J207)+COUNTIF(⑪ZEN工程入力!$S$6:$S$35,$J207)+COUNTIF(⑫ミキサー工程入力!$S$6:$S$65,$J207)+COUNTIF(⑬計量工程入力!$S$6:$S$65,$J207)+COUNTIF(⑭手動工程入力!$S$6:$S$47,$J207))</f>
        <v/>
      </c>
      <c r="L207" s="393">
        <f>IF($J207="",0,SUMIFS(②釜工程入力!$M$5:$M$117,②釜工程入力!$S$5:$S$117,$J207,②釜工程入力!$I$5:$I$117,"&gt;0")+SUMIFS(③スチコン工程入力!$M$5:$M$152,③スチコン工程入力!$S$5:$S$152,$J207,③スチコン工程入力!$I$5:$I$152,"&gt;0")+SUMIFS(⑪ZEN工程入力!$M$6:$M$35,⑪ZEN工程入力!$S$6:$S$35,$J207,⑪ZEN工程入力!$I$6:$I$35,"&gt;0")+SUMIFS(⑫ミキサー工程入力!$M$6:$M$65,⑫ミキサー工程入力!$S$6:$S$65,$J207,⑫ミキサー工程入力!$I$6:$I$65,"&gt;0")+SUMIFS(⑬計量工程入力!$M$6:$M$65,⑬計量工程入力!$S$6:$S$65,$J207,⑬計量工程入力!$I$6:$I$65,"&gt;0")+SUMIFS(⑭手動工程入力!$M$6:$M$47,⑭手動工程入力!$S$6:$S$47,$J207,⑭手動工程入力!$I$6:$I$47,"&gt;0"))</f>
        <v/>
      </c>
      <c r="M207" s="393">
        <f>IF($J207="",0,SUMIFS(②釜工程入力!$I$5:$I$117,②釜工程入力!$S$5:$S$117,$J207,②釜工程入力!$I$5:$I$117,"&gt;0",②釜工程入力!$M$5:$M$117,"&gt;0")+SUMIFS(③スチコン工程入力!$I$5:$I$152,③スチコン工程入力!$S$5:$S$152,$J207,③スチコン工程入力!$I$5:$I$152,"&gt;0",③スチコン工程入力!$M$5:$M$152,"&gt;0")+SUMIFS(⑪ZEN工程入力!$I$6:$I$35,⑪ZEN工程入力!$S$6:$S$35,$J207,⑪ZEN工程入力!$I$6:$I$35,"&gt;0",⑪ZEN工程入力!$M$6:$M$35,"&gt;0")+SUMIFS(⑫ミキサー工程入力!$I$6:$I$65,⑫ミキサー工程入力!$S$6:$S$65,$J207,⑫ミキサー工程入力!$I$6:$I$65,"&gt;0",⑫ミキサー工程入力!$M$6:$M$65,"&gt;0")+SUMIFS(⑬計量工程入力!$I$6:$I$65,⑬計量工程入力!$S$6:$S$65,$J207,⑬計量工程入力!$I$6:$I$65,"&gt;0",⑬計量工程入力!$M$6:$M$65,"&gt;0")+SUMIFS(⑭手動工程入力!$I$6:$I$47,⑭手動工程入力!$S$6:$S$47,$J207,⑭手動工程入力!$I$6:$I$47,"&gt;0",⑭手動工程入力!$M$6:$M$47,"&gt;0"))</f>
        <v/>
      </c>
      <c r="N207" s="393">
        <f>IF($J207="",0,SUMIFS(②釜工程入力!$M$5:$M$117,②釜工程入力!$S$5:$S$117,$J207,②釜工程入力!$J$5:$J$117,"&gt;0")-SUMIFS(②釜工程入力!$M$5:$M$117,②釜工程入力!$S$5:$S$117,$J207,②釜工程入力!$J$5:$J$117,"&gt;0",②釜工程入力!$I$5:$I$117,"&gt;0")+SUMIFS(③スチコン工程入力!$M$5:$M$152,③スチコン工程入力!$S$5:$S$152,$J207,③スチコン工程入力!$J$5:$J$152,"&gt;0")-SUMIFS(③スチコン工程入力!$M$5:$M$152,③スチコン工程入力!$S$5:$S$152,$J207,③スチコン工程入力!$J$5:$J$152,"&gt;0",③スチコン工程入力!$I$5:$I$152,"&gt;0")+SUMIFS(⑪ZEN工程入力!$M$6:$M$35,⑪ZEN工程入力!$S$6:$S$35,$J207,⑪ZEN工程入力!$J$6:$J$35,"&gt;0")-SUMIFS(⑪ZEN工程入力!$M$6:$M$35,⑪ZEN工程入力!$S$6:$S$35,$J207,⑪ZEN工程入力!$J$6:$J$35,"&gt;0",⑪ZEN工程入力!$I$6:$I$35,"&gt;0")+SUMIFS(⑫ミキサー工程入力!$M$6:$M$65,⑫ミキサー工程入力!$S$6:$S$65,$J207,⑫ミキサー工程入力!$J$6:$J$65,"&gt;0")-SUMIFS(⑫ミキサー工程入力!$M$6:$M$65,⑫ミキサー工程入力!$S$6:$S$65,$J207,⑫ミキサー工程入力!$J$6:$J$65,"&gt;0",⑫ミキサー工程入力!$I$6:$I$65,"&gt;0")+SUMIFS(⑬計量工程入力!$M$6:$M$65,⑬計量工程入力!$S$6:$S$65,$J207,⑬計量工程入力!$J$6:$J$65,"&gt;0")-SUMIFS(⑬計量工程入力!$M$6:$M$65,⑬計量工程入力!$S$6:$S$65,$J207,⑬計量工程入力!$J$6:$J$65,"&gt;0",⑬計量工程入力!$I$6:$I$65,"&gt;0")+SUMIFS(⑭手動工程入力!$M$6:$M$47,⑭手動工程入力!$S$6:$S$47,$J207,⑭手動工程入力!$J$6:$J$47,"&gt;0")-SUMIFS(⑭手動工程入力!$M$6:$M$47,⑭手動工程入力!$S$6:$S$47,$J207,⑭手動工程入力!$J$6:$J$47,"&gt;0",⑭手動工程入力!$I$6:$I$47,"&gt;0"))</f>
        <v/>
      </c>
      <c r="O207" s="393">
        <f>IF($J207="",0,SUMIFS(②釜工程入力!$J$5:$J$117,②釜工程入力!$S$5:$S$117,$J207,②釜工程入力!$J$5:$J$117,"&gt;0",②釜工程入力!$M$5:$M$117,"&gt;0")-SUMIFS(②釜工程入力!$J$5:$J$117,②釜工程入力!$S$5:$S$117,$J207,②釜工程入力!$J$5:$J$117,"&gt;0",②釜工程入力!$I$5:$I$117,"&gt;0",②釜工程入力!$M$5:$M$117,"&gt;0")+SUMIFS(③スチコン工程入力!$J$5:$J$152,③スチコン工程入力!$S$5:$S$152,$J207,③スチコン工程入力!$J$5:$J$152,"&gt;0",③スチコン工程入力!$M$5:$M$152,"&gt;0")-SUMIFS(③スチコン工程入力!$J$5:$J$152,③スチコン工程入力!$S$5:$S$152,$J207,③スチコン工程入力!$J$5:$J$152,"&gt;0",③スチコン工程入力!$I$5:$I$152,"&gt;0",③スチコン工程入力!$M$5:$M$152,"&gt;0")+SUMIFS(⑪ZEN工程入力!$J$6:$J$35,⑪ZEN工程入力!$S$6:$S$35,$J207,⑪ZEN工程入力!$J$6:$J$35,"&gt;0",⑪ZEN工程入力!$M$6:$M$35,"&gt;0")-SUMIFS(⑪ZEN工程入力!$J$6:$J$35,⑪ZEN工程入力!$S$6:$S$35,$J207,⑪ZEN工程入力!$J$6:$J$35,"&gt;0",⑪ZEN工程入力!$I$6:$I$35,"&gt;0",⑪ZEN工程入力!$M$6:$M$35,"&gt;0")+SUMIFS(⑫ミキサー工程入力!$J$6:$J$65,⑫ミキサー工程入力!$S$6:$S$65,$J207,⑫ミキサー工程入力!$J$6:$J$65,"&gt;0",⑫ミキサー工程入力!$M$6:$M$65,"&gt;0")-SUMIFS(⑫ミキサー工程入力!$J$6:$J$65,⑫ミキサー工程入力!$S$6:$S$65,$J207,⑫ミキサー工程入力!$J$6:$J$65,"&gt;0",⑫ミキサー工程入力!$I$6:$I$65,"&gt;0",⑫ミキサー工程入力!$M$6:$M$65,"&gt;0")+SUMIFS(⑬計量工程入力!$J$6:$J$65,⑬計量工程入力!$S$6:$S$65,$J207,⑬計量工程入力!$J$6:$J$65,"&gt;0",⑬計量工程入力!$M$6:$M$65,"&gt;0")-SUMIFS(⑬計量工程入力!$J$6:$J$65,⑬計量工程入力!$S$6:$S$65,$J207,⑬計量工程入力!$J$6:$J$65,"&gt;0",⑬計量工程入力!$I$6:$I$65,"&gt;0",⑬計量工程入力!$M$6:$M$65,"&gt;0")+SUMIFS(⑭手動工程入力!$J$6:$J$47,⑭手動工程入力!$S$6:$S$47,$J207,⑭手動工程入力!$J$6:$J$47,"&gt;0",⑭手動工程入力!$M$6:$M$47,"&gt;0")-SUMIFS(⑭手動工程入力!$J$6:$J$47,⑭手動工程入力!$S$6:$S$47,$J207,⑭手動工程入力!$J$6:$J$47,"&gt;0",⑭手動工程入力!$I$6:$I$47,"&gt;0",⑭手動工程入力!$M$6:$M$47,"&gt;0"))</f>
        <v/>
      </c>
      <c r="P207" s="392" t="n"/>
    </row>
    <row r="208">
      <c r="A208" s="392" t="n">
        <v>204</v>
      </c>
      <c r="B208" s="392" t="n"/>
      <c r="C208" s="392" t="n"/>
      <c r="D208" s="409" t="n"/>
      <c r="E208" s="392" t="n"/>
      <c r="F208" s="394" t="n"/>
      <c r="G208" s="392" t="n"/>
      <c r="H208" s="604">
        <f>IFERROR(IF(AND($K208&gt;0,ISNUMBER(IF(OR($D208="g",$D208="ｇ"),IF($M208&gt;0,$L208/$M208/1000,""),IF($D208="kg",IF($M208&gt;0,$L208/$M208,""),IF($D208="",IF($M208&gt;0,$L208/$M208/1000,IF($O208&gt;0,$N208/$O208,"")),IF($O208&gt;0,$N208/$O208,"")))))),IF(OR($D208="g",$D208="ｇ"),IF($M208&gt;0,$L208/$M208/1000,""),IF($D208="kg",IF($M208&gt;0,$L208/$M208,""),IF($D208="",IF($M208&gt;0,$L208/$M208/1000,IF($O208&gt;0,$N208/$O208,"")),IF($O208&gt;0,$N208/$O208,"")))),IF($F208="",IF(OR($E208="",$E208="⑩盛付梱包工程入力"),"",IF(OR($D208="g",$D208="ｇ"),INDEX(⑰工程労務費一覧!$N$5:$N$11,MATCH($E208,⑰工程労務費一覧!$K$5:$K$11,0))/1000,IF($D208="kg",INDEX(⑰工程労務費一覧!$N$5:$N$11,MATCH($E208,⑰工程労務費一覧!$K$5:$K$11,0)),IF(OR($D208="個",$D208="切",$D208="本",$D208="枚",$D208="尾"),IF($E208="⑬計量工程入力","",INDEX(⑰工程労務費一覧!$P$5:$P$11,MATCH($E208,⑰工程労務費一覧!$K$5:$K$11,0))),IF(AND($D208="",OR($E208="②釜工程入力",$E208="③スチコン工程入力")),INDEX(⑰工程労務費一覧!$N$5:$N$11,MATCH($E208,⑰工程労務費一覧!$K$5:$K$11,0))/1000,""))))),IF(OR($D208="g",$D208="ｇ"),INDEX(⑰工程労務費一覧!$H$5:$H$753,MATCH($F208,⑰工程労務費一覧!$D$5:$D$753,0))/1000,IF($D208="kg",INDEX(⑰工程労務費一覧!$H$5:$H$753,MATCH($F208,⑰工程労務費一覧!$D$5:$D$753,0)),INDEX(⑰工程労務費一覧!$I$5:$I$753,MATCH($F208,⑰工程労務費一覧!$D$5:$D$753,0)))))),"")</f>
        <v/>
      </c>
      <c r="I208" s="392">
        <f>IF($K208&gt;0,IF(ISNUMBER(IF(OR($D208="g",$D208="ｇ"),IF($M208&gt;0,$L208/$M208/1000,""),IF($D208="kg",IF($M208&gt;0,$L208/$M208,""),IF($D208="",IF($M208&gt;0,$L208/$M208/1000,IF($O208&gt;0,$N208/$O208,"")),IF($O208&gt;0,$N208/$O208,""))))),IF($D208="",IF($M208&gt;0,"◎ JAN紐づけ(g扱い)","◎ JAN紐づけ(個扱い)"),"◎ JAN紐づけ"),"△ JAN紐づけ済・実績不足→仮計算"),IF($F208="",IF(ISNUMBER($H208),IF($D208="","⑤ 工程平均で仮計算(g扱い)","⑤ 工程平均で仮計算"),IF($E208="⑩盛付梱包工程入力","⑥ 盛り込み(⑳F列で計上)",IF(AND($E208="⑬計量工程入力",OR($D208="個",$D208="切",$D208="本",$D208="枚",$D208="尾")),"① 未紐づけ(カット個単位は仮単価なし)","① 未紐づけ"))),IF(NOT(ISNUMBER($H208)),"② 工程側に単価なし",IF($D208="","③ 単位未設定(個で計算)","④ OK"))))</f>
        <v/>
      </c>
      <c r="J208" s="399">
        <f>IFERROR(LOOKUP(2,1/((中間品リスト!$F$2:$F$1299=$B208)*(中間品リスト!$E$2:$E$1299&lt;&gt;"-")*(中間品リスト!$E$2:$E$1299&lt;&gt;"")),中間品リスト!$E$2:$E$1299),"")</f>
        <v/>
      </c>
      <c r="K208" s="400">
        <f>IF($J208="",0,COUNTIF(②釜工程入力!$S$5:$S$117,$J208)+COUNTIF(③スチコン工程入力!$S$5:$S$152,$J208)+COUNTIF(⑪ZEN工程入力!$S$6:$S$35,$J208)+COUNTIF(⑫ミキサー工程入力!$S$6:$S$65,$J208)+COUNTIF(⑬計量工程入力!$S$6:$S$65,$J208)+COUNTIF(⑭手動工程入力!$S$6:$S$47,$J208))</f>
        <v/>
      </c>
      <c r="L208" s="393">
        <f>IF($J208="",0,SUMIFS(②釜工程入力!$M$5:$M$117,②釜工程入力!$S$5:$S$117,$J208,②釜工程入力!$I$5:$I$117,"&gt;0")+SUMIFS(③スチコン工程入力!$M$5:$M$152,③スチコン工程入力!$S$5:$S$152,$J208,③スチコン工程入力!$I$5:$I$152,"&gt;0")+SUMIFS(⑪ZEN工程入力!$M$6:$M$35,⑪ZEN工程入力!$S$6:$S$35,$J208,⑪ZEN工程入力!$I$6:$I$35,"&gt;0")+SUMIFS(⑫ミキサー工程入力!$M$6:$M$65,⑫ミキサー工程入力!$S$6:$S$65,$J208,⑫ミキサー工程入力!$I$6:$I$65,"&gt;0")+SUMIFS(⑬計量工程入力!$M$6:$M$65,⑬計量工程入力!$S$6:$S$65,$J208,⑬計量工程入力!$I$6:$I$65,"&gt;0")+SUMIFS(⑭手動工程入力!$M$6:$M$47,⑭手動工程入力!$S$6:$S$47,$J208,⑭手動工程入力!$I$6:$I$47,"&gt;0"))</f>
        <v/>
      </c>
      <c r="M208" s="393">
        <f>IF($J208="",0,SUMIFS(②釜工程入力!$I$5:$I$117,②釜工程入力!$S$5:$S$117,$J208,②釜工程入力!$I$5:$I$117,"&gt;0",②釜工程入力!$M$5:$M$117,"&gt;0")+SUMIFS(③スチコン工程入力!$I$5:$I$152,③スチコン工程入力!$S$5:$S$152,$J208,③スチコン工程入力!$I$5:$I$152,"&gt;0",③スチコン工程入力!$M$5:$M$152,"&gt;0")+SUMIFS(⑪ZEN工程入力!$I$6:$I$35,⑪ZEN工程入力!$S$6:$S$35,$J208,⑪ZEN工程入力!$I$6:$I$35,"&gt;0",⑪ZEN工程入力!$M$6:$M$35,"&gt;0")+SUMIFS(⑫ミキサー工程入力!$I$6:$I$65,⑫ミキサー工程入力!$S$6:$S$65,$J208,⑫ミキサー工程入力!$I$6:$I$65,"&gt;0",⑫ミキサー工程入力!$M$6:$M$65,"&gt;0")+SUMIFS(⑬計量工程入力!$I$6:$I$65,⑬計量工程入力!$S$6:$S$65,$J208,⑬計量工程入力!$I$6:$I$65,"&gt;0",⑬計量工程入力!$M$6:$M$65,"&gt;0")+SUMIFS(⑭手動工程入力!$I$6:$I$47,⑭手動工程入力!$S$6:$S$47,$J208,⑭手動工程入力!$I$6:$I$47,"&gt;0",⑭手動工程入力!$M$6:$M$47,"&gt;0"))</f>
        <v/>
      </c>
      <c r="N208" s="393">
        <f>IF($J208="",0,SUMIFS(②釜工程入力!$M$5:$M$117,②釜工程入力!$S$5:$S$117,$J208,②釜工程入力!$J$5:$J$117,"&gt;0")-SUMIFS(②釜工程入力!$M$5:$M$117,②釜工程入力!$S$5:$S$117,$J208,②釜工程入力!$J$5:$J$117,"&gt;0",②釜工程入力!$I$5:$I$117,"&gt;0")+SUMIFS(③スチコン工程入力!$M$5:$M$152,③スチコン工程入力!$S$5:$S$152,$J208,③スチコン工程入力!$J$5:$J$152,"&gt;0")-SUMIFS(③スチコン工程入力!$M$5:$M$152,③スチコン工程入力!$S$5:$S$152,$J208,③スチコン工程入力!$J$5:$J$152,"&gt;0",③スチコン工程入力!$I$5:$I$152,"&gt;0")+SUMIFS(⑪ZEN工程入力!$M$6:$M$35,⑪ZEN工程入力!$S$6:$S$35,$J208,⑪ZEN工程入力!$J$6:$J$35,"&gt;0")-SUMIFS(⑪ZEN工程入力!$M$6:$M$35,⑪ZEN工程入力!$S$6:$S$35,$J208,⑪ZEN工程入力!$J$6:$J$35,"&gt;0",⑪ZEN工程入力!$I$6:$I$35,"&gt;0")+SUMIFS(⑫ミキサー工程入力!$M$6:$M$65,⑫ミキサー工程入力!$S$6:$S$65,$J208,⑫ミキサー工程入力!$J$6:$J$65,"&gt;0")-SUMIFS(⑫ミキサー工程入力!$M$6:$M$65,⑫ミキサー工程入力!$S$6:$S$65,$J208,⑫ミキサー工程入力!$J$6:$J$65,"&gt;0",⑫ミキサー工程入力!$I$6:$I$65,"&gt;0")+SUMIFS(⑬計量工程入力!$M$6:$M$65,⑬計量工程入力!$S$6:$S$65,$J208,⑬計量工程入力!$J$6:$J$65,"&gt;0")-SUMIFS(⑬計量工程入力!$M$6:$M$65,⑬計量工程入力!$S$6:$S$65,$J208,⑬計量工程入力!$J$6:$J$65,"&gt;0",⑬計量工程入力!$I$6:$I$65,"&gt;0")+SUMIFS(⑭手動工程入力!$M$6:$M$47,⑭手動工程入力!$S$6:$S$47,$J208,⑭手動工程入力!$J$6:$J$47,"&gt;0")-SUMIFS(⑭手動工程入力!$M$6:$M$47,⑭手動工程入力!$S$6:$S$47,$J208,⑭手動工程入力!$J$6:$J$47,"&gt;0",⑭手動工程入力!$I$6:$I$47,"&gt;0"))</f>
        <v/>
      </c>
      <c r="O208" s="393">
        <f>IF($J208="",0,SUMIFS(②釜工程入力!$J$5:$J$117,②釜工程入力!$S$5:$S$117,$J208,②釜工程入力!$J$5:$J$117,"&gt;0",②釜工程入力!$M$5:$M$117,"&gt;0")-SUMIFS(②釜工程入力!$J$5:$J$117,②釜工程入力!$S$5:$S$117,$J208,②釜工程入力!$J$5:$J$117,"&gt;0",②釜工程入力!$I$5:$I$117,"&gt;0",②釜工程入力!$M$5:$M$117,"&gt;0")+SUMIFS(③スチコン工程入力!$J$5:$J$152,③スチコン工程入力!$S$5:$S$152,$J208,③スチコン工程入力!$J$5:$J$152,"&gt;0",③スチコン工程入力!$M$5:$M$152,"&gt;0")-SUMIFS(③スチコン工程入力!$J$5:$J$152,③スチコン工程入力!$S$5:$S$152,$J208,③スチコン工程入力!$J$5:$J$152,"&gt;0",③スチコン工程入力!$I$5:$I$152,"&gt;0",③スチコン工程入力!$M$5:$M$152,"&gt;0")+SUMIFS(⑪ZEN工程入力!$J$6:$J$35,⑪ZEN工程入力!$S$6:$S$35,$J208,⑪ZEN工程入力!$J$6:$J$35,"&gt;0",⑪ZEN工程入力!$M$6:$M$35,"&gt;0")-SUMIFS(⑪ZEN工程入力!$J$6:$J$35,⑪ZEN工程入力!$S$6:$S$35,$J208,⑪ZEN工程入力!$J$6:$J$35,"&gt;0",⑪ZEN工程入力!$I$6:$I$35,"&gt;0",⑪ZEN工程入力!$M$6:$M$35,"&gt;0")+SUMIFS(⑫ミキサー工程入力!$J$6:$J$65,⑫ミキサー工程入力!$S$6:$S$65,$J208,⑫ミキサー工程入力!$J$6:$J$65,"&gt;0",⑫ミキサー工程入力!$M$6:$M$65,"&gt;0")-SUMIFS(⑫ミキサー工程入力!$J$6:$J$65,⑫ミキサー工程入力!$S$6:$S$65,$J208,⑫ミキサー工程入力!$J$6:$J$65,"&gt;0",⑫ミキサー工程入力!$I$6:$I$65,"&gt;0",⑫ミキサー工程入力!$M$6:$M$65,"&gt;0")+SUMIFS(⑬計量工程入力!$J$6:$J$65,⑬計量工程入力!$S$6:$S$65,$J208,⑬計量工程入力!$J$6:$J$65,"&gt;0",⑬計量工程入力!$M$6:$M$65,"&gt;0")-SUMIFS(⑬計量工程入力!$J$6:$J$65,⑬計量工程入力!$S$6:$S$65,$J208,⑬計量工程入力!$J$6:$J$65,"&gt;0",⑬計量工程入力!$I$6:$I$65,"&gt;0",⑬計量工程入力!$M$6:$M$65,"&gt;0")+SUMIFS(⑭手動工程入力!$J$6:$J$47,⑭手動工程入力!$S$6:$S$47,$J208,⑭手動工程入力!$J$6:$J$47,"&gt;0",⑭手動工程入力!$M$6:$M$47,"&gt;0")-SUMIFS(⑭手動工程入力!$J$6:$J$47,⑭手動工程入力!$S$6:$S$47,$J208,⑭手動工程入力!$J$6:$J$47,"&gt;0",⑭手動工程入力!$I$6:$I$47,"&gt;0",⑭手動工程入力!$M$6:$M$47,"&gt;0"))</f>
        <v/>
      </c>
      <c r="P208" s="392" t="inlineStr">
        <is>
          <t>中間品リスト</t>
        </is>
      </c>
    </row>
    <row r="209">
      <c r="A209" s="392" t="n">
        <v>205</v>
      </c>
      <c r="B209" s="392" t="n"/>
      <c r="C209" s="392" t="n"/>
      <c r="D209" s="409" t="n"/>
      <c r="E209" s="392" t="n"/>
      <c r="F209" s="394" t="n"/>
      <c r="G209" s="392" t="n"/>
      <c r="H209" s="604">
        <f>IFERROR(IF(AND($K209&gt;0,ISNUMBER(IF(OR($D209="g",$D209="ｇ"),IF($M209&gt;0,$L209/$M209/1000,""),IF($D209="kg",IF($M209&gt;0,$L209/$M209,""),IF($D209="",IF($M209&gt;0,$L209/$M209/1000,IF($O209&gt;0,$N209/$O209,"")),IF($O209&gt;0,$N209/$O209,"")))))),IF(OR($D209="g",$D209="ｇ"),IF($M209&gt;0,$L209/$M209/1000,""),IF($D209="kg",IF($M209&gt;0,$L209/$M209,""),IF($D209="",IF($M209&gt;0,$L209/$M209/1000,IF($O209&gt;0,$N209/$O209,"")),IF($O209&gt;0,$N209/$O209,"")))),IF($F209="",IF(OR($E209="",$E209="⑩盛付梱包工程入力"),"",IF(OR($D209="g",$D209="ｇ"),INDEX(⑰工程労務費一覧!$N$5:$N$11,MATCH($E209,⑰工程労務費一覧!$K$5:$K$11,0))/1000,IF($D209="kg",INDEX(⑰工程労務費一覧!$N$5:$N$11,MATCH($E209,⑰工程労務費一覧!$K$5:$K$11,0)),IF(OR($D209="個",$D209="切",$D209="本",$D209="枚",$D209="尾"),IF($E209="⑬計量工程入力","",INDEX(⑰工程労務費一覧!$P$5:$P$11,MATCH($E209,⑰工程労務費一覧!$K$5:$K$11,0))),IF(AND($D209="",OR($E209="②釜工程入力",$E209="③スチコン工程入力")),INDEX(⑰工程労務費一覧!$N$5:$N$11,MATCH($E209,⑰工程労務費一覧!$K$5:$K$11,0))/1000,""))))),IF(OR($D209="g",$D209="ｇ"),INDEX(⑰工程労務費一覧!$H$5:$H$753,MATCH($F209,⑰工程労務費一覧!$D$5:$D$753,0))/1000,IF($D209="kg",INDEX(⑰工程労務費一覧!$H$5:$H$753,MATCH($F209,⑰工程労務費一覧!$D$5:$D$753,0)),INDEX(⑰工程労務費一覧!$I$5:$I$753,MATCH($F209,⑰工程労務費一覧!$D$5:$D$753,0)))))),"")</f>
        <v/>
      </c>
      <c r="I209" s="392">
        <f>IF($K209&gt;0,IF(ISNUMBER(IF(OR($D209="g",$D209="ｇ"),IF($M209&gt;0,$L209/$M209/1000,""),IF($D209="kg",IF($M209&gt;0,$L209/$M209,""),IF($D209="",IF($M209&gt;0,$L209/$M209/1000,IF($O209&gt;0,$N209/$O209,"")),IF($O209&gt;0,$N209/$O209,""))))),IF($D209="",IF($M209&gt;0,"◎ JAN紐づけ(g扱い)","◎ JAN紐づけ(個扱い)"),"◎ JAN紐づけ"),"△ JAN紐づけ済・実績不足→仮計算"),IF($F209="",IF(ISNUMBER($H209),IF($D209="","⑤ 工程平均で仮計算(g扱い)","⑤ 工程平均で仮計算"),IF($E209="⑩盛付梱包工程入力","⑥ 盛り込み(⑳F列で計上)",IF(AND($E209="⑬計量工程入力",OR($D209="個",$D209="切",$D209="本",$D209="枚",$D209="尾")),"① 未紐づけ(カット個単位は仮単価なし)","① 未紐づけ"))),IF(NOT(ISNUMBER($H209)),"② 工程側に単価なし",IF($D209="","③ 単位未設定(個で計算)","④ OK"))))</f>
        <v/>
      </c>
      <c r="J209" s="399">
        <f>IFERROR(LOOKUP(2,1/((中間品リスト!$F$2:$F$1299=$B209)*(中間品リスト!$E$2:$E$1299&lt;&gt;"-")*(中間品リスト!$E$2:$E$1299&lt;&gt;"")),中間品リスト!$E$2:$E$1299),"")</f>
        <v/>
      </c>
      <c r="K209" s="400">
        <f>IF($J209="",0,COUNTIF(②釜工程入力!$S$5:$S$117,$J209)+COUNTIF(③スチコン工程入力!$S$5:$S$152,$J209)+COUNTIF(⑪ZEN工程入力!$S$6:$S$35,$J209)+COUNTIF(⑫ミキサー工程入力!$S$6:$S$65,$J209)+COUNTIF(⑬計量工程入力!$S$6:$S$65,$J209)+COUNTIF(⑭手動工程入力!$S$6:$S$47,$J209))</f>
        <v/>
      </c>
      <c r="L209" s="393">
        <f>IF($J209="",0,SUMIFS(②釜工程入力!$M$5:$M$117,②釜工程入力!$S$5:$S$117,$J209,②釜工程入力!$I$5:$I$117,"&gt;0")+SUMIFS(③スチコン工程入力!$M$5:$M$152,③スチコン工程入力!$S$5:$S$152,$J209,③スチコン工程入力!$I$5:$I$152,"&gt;0")+SUMIFS(⑪ZEN工程入力!$M$6:$M$35,⑪ZEN工程入力!$S$6:$S$35,$J209,⑪ZEN工程入力!$I$6:$I$35,"&gt;0")+SUMIFS(⑫ミキサー工程入力!$M$6:$M$65,⑫ミキサー工程入力!$S$6:$S$65,$J209,⑫ミキサー工程入力!$I$6:$I$65,"&gt;0")+SUMIFS(⑬計量工程入力!$M$6:$M$65,⑬計量工程入力!$S$6:$S$65,$J209,⑬計量工程入力!$I$6:$I$65,"&gt;0")+SUMIFS(⑭手動工程入力!$M$6:$M$47,⑭手動工程入力!$S$6:$S$47,$J209,⑭手動工程入力!$I$6:$I$47,"&gt;0"))</f>
        <v/>
      </c>
      <c r="M209" s="393">
        <f>IF($J209="",0,SUMIFS(②釜工程入力!$I$5:$I$117,②釜工程入力!$S$5:$S$117,$J209,②釜工程入力!$I$5:$I$117,"&gt;0",②釜工程入力!$M$5:$M$117,"&gt;0")+SUMIFS(③スチコン工程入力!$I$5:$I$152,③スチコン工程入力!$S$5:$S$152,$J209,③スチコン工程入力!$I$5:$I$152,"&gt;0",③スチコン工程入力!$M$5:$M$152,"&gt;0")+SUMIFS(⑪ZEN工程入力!$I$6:$I$35,⑪ZEN工程入力!$S$6:$S$35,$J209,⑪ZEN工程入力!$I$6:$I$35,"&gt;0",⑪ZEN工程入力!$M$6:$M$35,"&gt;0")+SUMIFS(⑫ミキサー工程入力!$I$6:$I$65,⑫ミキサー工程入力!$S$6:$S$65,$J209,⑫ミキサー工程入力!$I$6:$I$65,"&gt;0",⑫ミキサー工程入力!$M$6:$M$65,"&gt;0")+SUMIFS(⑬計量工程入力!$I$6:$I$65,⑬計量工程入力!$S$6:$S$65,$J209,⑬計量工程入力!$I$6:$I$65,"&gt;0",⑬計量工程入力!$M$6:$M$65,"&gt;0")+SUMIFS(⑭手動工程入力!$I$6:$I$47,⑭手動工程入力!$S$6:$S$47,$J209,⑭手動工程入力!$I$6:$I$47,"&gt;0",⑭手動工程入力!$M$6:$M$47,"&gt;0"))</f>
        <v/>
      </c>
      <c r="N209" s="393">
        <f>IF($J209="",0,SUMIFS(②釜工程入力!$M$5:$M$117,②釜工程入力!$S$5:$S$117,$J209,②釜工程入力!$J$5:$J$117,"&gt;0")-SUMIFS(②釜工程入力!$M$5:$M$117,②釜工程入力!$S$5:$S$117,$J209,②釜工程入力!$J$5:$J$117,"&gt;0",②釜工程入力!$I$5:$I$117,"&gt;0")+SUMIFS(③スチコン工程入力!$M$5:$M$152,③スチコン工程入力!$S$5:$S$152,$J209,③スチコン工程入力!$J$5:$J$152,"&gt;0")-SUMIFS(③スチコン工程入力!$M$5:$M$152,③スチコン工程入力!$S$5:$S$152,$J209,③スチコン工程入力!$J$5:$J$152,"&gt;0",③スチコン工程入力!$I$5:$I$152,"&gt;0")+SUMIFS(⑪ZEN工程入力!$M$6:$M$35,⑪ZEN工程入力!$S$6:$S$35,$J209,⑪ZEN工程入力!$J$6:$J$35,"&gt;0")-SUMIFS(⑪ZEN工程入力!$M$6:$M$35,⑪ZEN工程入力!$S$6:$S$35,$J209,⑪ZEN工程入力!$J$6:$J$35,"&gt;0",⑪ZEN工程入力!$I$6:$I$35,"&gt;0")+SUMIFS(⑫ミキサー工程入力!$M$6:$M$65,⑫ミキサー工程入力!$S$6:$S$65,$J209,⑫ミキサー工程入力!$J$6:$J$65,"&gt;0")-SUMIFS(⑫ミキサー工程入力!$M$6:$M$65,⑫ミキサー工程入力!$S$6:$S$65,$J209,⑫ミキサー工程入力!$J$6:$J$65,"&gt;0",⑫ミキサー工程入力!$I$6:$I$65,"&gt;0")+SUMIFS(⑬計量工程入力!$M$6:$M$65,⑬計量工程入力!$S$6:$S$65,$J209,⑬計量工程入力!$J$6:$J$65,"&gt;0")-SUMIFS(⑬計量工程入力!$M$6:$M$65,⑬計量工程入力!$S$6:$S$65,$J209,⑬計量工程入力!$J$6:$J$65,"&gt;0",⑬計量工程入力!$I$6:$I$65,"&gt;0")+SUMIFS(⑭手動工程入力!$M$6:$M$47,⑭手動工程入力!$S$6:$S$47,$J209,⑭手動工程入力!$J$6:$J$47,"&gt;0")-SUMIFS(⑭手動工程入力!$M$6:$M$47,⑭手動工程入力!$S$6:$S$47,$J209,⑭手動工程入力!$J$6:$J$47,"&gt;0",⑭手動工程入力!$I$6:$I$47,"&gt;0"))</f>
        <v/>
      </c>
      <c r="O209" s="393">
        <f>IF($J209="",0,SUMIFS(②釜工程入力!$J$5:$J$117,②釜工程入力!$S$5:$S$117,$J209,②釜工程入力!$J$5:$J$117,"&gt;0",②釜工程入力!$M$5:$M$117,"&gt;0")-SUMIFS(②釜工程入力!$J$5:$J$117,②釜工程入力!$S$5:$S$117,$J209,②釜工程入力!$J$5:$J$117,"&gt;0",②釜工程入力!$I$5:$I$117,"&gt;0",②釜工程入力!$M$5:$M$117,"&gt;0")+SUMIFS(③スチコン工程入力!$J$5:$J$152,③スチコン工程入力!$S$5:$S$152,$J209,③スチコン工程入力!$J$5:$J$152,"&gt;0",③スチコン工程入力!$M$5:$M$152,"&gt;0")-SUMIFS(③スチコン工程入力!$J$5:$J$152,③スチコン工程入力!$S$5:$S$152,$J209,③スチコン工程入力!$J$5:$J$152,"&gt;0",③スチコン工程入力!$I$5:$I$152,"&gt;0",③スチコン工程入力!$M$5:$M$152,"&gt;0")+SUMIFS(⑪ZEN工程入力!$J$6:$J$35,⑪ZEN工程入力!$S$6:$S$35,$J209,⑪ZEN工程入力!$J$6:$J$35,"&gt;0",⑪ZEN工程入力!$M$6:$M$35,"&gt;0")-SUMIFS(⑪ZEN工程入力!$J$6:$J$35,⑪ZEN工程入力!$S$6:$S$35,$J209,⑪ZEN工程入力!$J$6:$J$35,"&gt;0",⑪ZEN工程入力!$I$6:$I$35,"&gt;0",⑪ZEN工程入力!$M$6:$M$35,"&gt;0")+SUMIFS(⑫ミキサー工程入力!$J$6:$J$65,⑫ミキサー工程入力!$S$6:$S$65,$J209,⑫ミキサー工程入力!$J$6:$J$65,"&gt;0",⑫ミキサー工程入力!$M$6:$M$65,"&gt;0")-SUMIFS(⑫ミキサー工程入力!$J$6:$J$65,⑫ミキサー工程入力!$S$6:$S$65,$J209,⑫ミキサー工程入力!$J$6:$J$65,"&gt;0",⑫ミキサー工程入力!$I$6:$I$65,"&gt;0",⑫ミキサー工程入力!$M$6:$M$65,"&gt;0")+SUMIFS(⑬計量工程入力!$J$6:$J$65,⑬計量工程入力!$S$6:$S$65,$J209,⑬計量工程入力!$J$6:$J$65,"&gt;0",⑬計量工程入力!$M$6:$M$65,"&gt;0")-SUMIFS(⑬計量工程入力!$J$6:$J$65,⑬計量工程入力!$S$6:$S$65,$J209,⑬計量工程入力!$J$6:$J$65,"&gt;0",⑬計量工程入力!$I$6:$I$65,"&gt;0",⑬計量工程入力!$M$6:$M$65,"&gt;0")+SUMIFS(⑭手動工程入力!$J$6:$J$47,⑭手動工程入力!$S$6:$S$47,$J209,⑭手動工程入力!$J$6:$J$47,"&gt;0",⑭手動工程入力!$M$6:$M$47,"&gt;0")-SUMIFS(⑭手動工程入力!$J$6:$J$47,⑭手動工程入力!$S$6:$S$47,$J209,⑭手動工程入力!$J$6:$J$47,"&gt;0",⑭手動工程入力!$I$6:$I$47,"&gt;0",⑭手動工程入力!$M$6:$M$47,"&gt;0"))</f>
        <v/>
      </c>
      <c r="P209" s="392" t="inlineStr">
        <is>
          <t>中間品リスト</t>
        </is>
      </c>
    </row>
    <row r="210">
      <c r="A210" s="392" t="n">
        <v>206</v>
      </c>
      <c r="B210" s="392" t="n"/>
      <c r="C210" s="392" t="n"/>
      <c r="D210" s="409" t="n"/>
      <c r="E210" s="392" t="n"/>
      <c r="F210" s="394" t="n"/>
      <c r="G210" s="392" t="n"/>
      <c r="H210" s="604">
        <f>IFERROR(IF(AND($K210&gt;0,ISNUMBER(IF(OR($D210="g",$D210="ｇ"),IF($M210&gt;0,$L210/$M210/1000,""),IF($D210="kg",IF($M210&gt;0,$L210/$M210,""),IF($D210="",IF($M210&gt;0,$L210/$M210/1000,IF($O210&gt;0,$N210/$O210,"")),IF($O210&gt;0,$N210/$O210,"")))))),IF(OR($D210="g",$D210="ｇ"),IF($M210&gt;0,$L210/$M210/1000,""),IF($D210="kg",IF($M210&gt;0,$L210/$M210,""),IF($D210="",IF($M210&gt;0,$L210/$M210/1000,IF($O210&gt;0,$N210/$O210,"")),IF($O210&gt;0,$N210/$O210,"")))),IF($F210="",IF(OR($E210="",$E210="⑩盛付梱包工程入力"),"",IF(OR($D210="g",$D210="ｇ"),INDEX(⑰工程労務費一覧!$N$5:$N$11,MATCH($E210,⑰工程労務費一覧!$K$5:$K$11,0))/1000,IF($D210="kg",INDEX(⑰工程労務費一覧!$N$5:$N$11,MATCH($E210,⑰工程労務費一覧!$K$5:$K$11,0)),IF(OR($D210="個",$D210="切",$D210="本",$D210="枚",$D210="尾"),IF($E210="⑬計量工程入力","",INDEX(⑰工程労務費一覧!$P$5:$P$11,MATCH($E210,⑰工程労務費一覧!$K$5:$K$11,0))),IF(AND($D210="",OR($E210="②釜工程入力",$E210="③スチコン工程入力")),INDEX(⑰工程労務費一覧!$N$5:$N$11,MATCH($E210,⑰工程労務費一覧!$K$5:$K$11,0))/1000,""))))),IF(OR($D210="g",$D210="ｇ"),INDEX(⑰工程労務費一覧!$H$5:$H$753,MATCH($F210,⑰工程労務費一覧!$D$5:$D$753,0))/1000,IF($D210="kg",INDEX(⑰工程労務費一覧!$H$5:$H$753,MATCH($F210,⑰工程労務費一覧!$D$5:$D$753,0)),INDEX(⑰工程労務費一覧!$I$5:$I$753,MATCH($F210,⑰工程労務費一覧!$D$5:$D$753,0)))))),"")</f>
        <v/>
      </c>
      <c r="I210" s="392">
        <f>IF($K210&gt;0,IF(ISNUMBER(IF(OR($D210="g",$D210="ｇ"),IF($M210&gt;0,$L210/$M210/1000,""),IF($D210="kg",IF($M210&gt;0,$L210/$M210,""),IF($D210="",IF($M210&gt;0,$L210/$M210/1000,IF($O210&gt;0,$N210/$O210,"")),IF($O210&gt;0,$N210/$O210,""))))),IF($D210="",IF($M210&gt;0,"◎ JAN紐づけ(g扱い)","◎ JAN紐づけ(個扱い)"),"◎ JAN紐づけ"),"△ JAN紐づけ済・実績不足→仮計算"),IF($F210="",IF(ISNUMBER($H210),IF($D210="","⑤ 工程平均で仮計算(g扱い)","⑤ 工程平均で仮計算"),IF($E210="⑩盛付梱包工程入力","⑥ 盛り込み(⑳F列で計上)",IF(AND($E210="⑬計量工程入力",OR($D210="個",$D210="切",$D210="本",$D210="枚",$D210="尾")),"① 未紐づけ(カット個単位は仮単価なし)","① 未紐づけ"))),IF(NOT(ISNUMBER($H210)),"② 工程側に単価なし",IF($D210="","③ 単位未設定(個で計算)","④ OK"))))</f>
        <v/>
      </c>
      <c r="J210" s="399">
        <f>IFERROR(LOOKUP(2,1/((中間品リスト!$F$2:$F$1299=$B210)*(中間品リスト!$E$2:$E$1299&lt;&gt;"-")*(中間品リスト!$E$2:$E$1299&lt;&gt;"")),中間品リスト!$E$2:$E$1299),"")</f>
        <v/>
      </c>
      <c r="K210" s="400">
        <f>IF($J210="",0,COUNTIF(②釜工程入力!$S$5:$S$117,$J210)+COUNTIF(③スチコン工程入力!$S$5:$S$152,$J210)+COUNTIF(⑪ZEN工程入力!$S$6:$S$35,$J210)+COUNTIF(⑫ミキサー工程入力!$S$6:$S$65,$J210)+COUNTIF(⑬計量工程入力!$S$6:$S$65,$J210)+COUNTIF(⑭手動工程入力!$S$6:$S$47,$J210))</f>
        <v/>
      </c>
      <c r="L210" s="393">
        <f>IF($J210="",0,SUMIFS(②釜工程入力!$M$5:$M$117,②釜工程入力!$S$5:$S$117,$J210,②釜工程入力!$I$5:$I$117,"&gt;0")+SUMIFS(③スチコン工程入力!$M$5:$M$152,③スチコン工程入力!$S$5:$S$152,$J210,③スチコン工程入力!$I$5:$I$152,"&gt;0")+SUMIFS(⑪ZEN工程入力!$M$6:$M$35,⑪ZEN工程入力!$S$6:$S$35,$J210,⑪ZEN工程入力!$I$6:$I$35,"&gt;0")+SUMIFS(⑫ミキサー工程入力!$M$6:$M$65,⑫ミキサー工程入力!$S$6:$S$65,$J210,⑫ミキサー工程入力!$I$6:$I$65,"&gt;0")+SUMIFS(⑬計量工程入力!$M$6:$M$65,⑬計量工程入力!$S$6:$S$65,$J210,⑬計量工程入力!$I$6:$I$65,"&gt;0")+SUMIFS(⑭手動工程入力!$M$6:$M$47,⑭手動工程入力!$S$6:$S$47,$J210,⑭手動工程入力!$I$6:$I$47,"&gt;0"))</f>
        <v/>
      </c>
      <c r="M210" s="393">
        <f>IF($J210="",0,SUMIFS(②釜工程入力!$I$5:$I$117,②釜工程入力!$S$5:$S$117,$J210,②釜工程入力!$I$5:$I$117,"&gt;0",②釜工程入力!$M$5:$M$117,"&gt;0")+SUMIFS(③スチコン工程入力!$I$5:$I$152,③スチコン工程入力!$S$5:$S$152,$J210,③スチコン工程入力!$I$5:$I$152,"&gt;0",③スチコン工程入力!$M$5:$M$152,"&gt;0")+SUMIFS(⑪ZEN工程入力!$I$6:$I$35,⑪ZEN工程入力!$S$6:$S$35,$J210,⑪ZEN工程入力!$I$6:$I$35,"&gt;0",⑪ZEN工程入力!$M$6:$M$35,"&gt;0")+SUMIFS(⑫ミキサー工程入力!$I$6:$I$65,⑫ミキサー工程入力!$S$6:$S$65,$J210,⑫ミキサー工程入力!$I$6:$I$65,"&gt;0",⑫ミキサー工程入力!$M$6:$M$65,"&gt;0")+SUMIFS(⑬計量工程入力!$I$6:$I$65,⑬計量工程入力!$S$6:$S$65,$J210,⑬計量工程入力!$I$6:$I$65,"&gt;0",⑬計量工程入力!$M$6:$M$65,"&gt;0")+SUMIFS(⑭手動工程入力!$I$6:$I$47,⑭手動工程入力!$S$6:$S$47,$J210,⑭手動工程入力!$I$6:$I$47,"&gt;0",⑭手動工程入力!$M$6:$M$47,"&gt;0"))</f>
        <v/>
      </c>
      <c r="N210" s="393">
        <f>IF($J210="",0,SUMIFS(②釜工程入力!$M$5:$M$117,②釜工程入力!$S$5:$S$117,$J210,②釜工程入力!$J$5:$J$117,"&gt;0")-SUMIFS(②釜工程入力!$M$5:$M$117,②釜工程入力!$S$5:$S$117,$J210,②釜工程入力!$J$5:$J$117,"&gt;0",②釜工程入力!$I$5:$I$117,"&gt;0")+SUMIFS(③スチコン工程入力!$M$5:$M$152,③スチコン工程入力!$S$5:$S$152,$J210,③スチコン工程入力!$J$5:$J$152,"&gt;0")-SUMIFS(③スチコン工程入力!$M$5:$M$152,③スチコン工程入力!$S$5:$S$152,$J210,③スチコン工程入力!$J$5:$J$152,"&gt;0",③スチコン工程入力!$I$5:$I$152,"&gt;0")+SUMIFS(⑪ZEN工程入力!$M$6:$M$35,⑪ZEN工程入力!$S$6:$S$35,$J210,⑪ZEN工程入力!$J$6:$J$35,"&gt;0")-SUMIFS(⑪ZEN工程入力!$M$6:$M$35,⑪ZEN工程入力!$S$6:$S$35,$J210,⑪ZEN工程入力!$J$6:$J$35,"&gt;0",⑪ZEN工程入力!$I$6:$I$35,"&gt;0")+SUMIFS(⑫ミキサー工程入力!$M$6:$M$65,⑫ミキサー工程入力!$S$6:$S$65,$J210,⑫ミキサー工程入力!$J$6:$J$65,"&gt;0")-SUMIFS(⑫ミキサー工程入力!$M$6:$M$65,⑫ミキサー工程入力!$S$6:$S$65,$J210,⑫ミキサー工程入力!$J$6:$J$65,"&gt;0",⑫ミキサー工程入力!$I$6:$I$65,"&gt;0")+SUMIFS(⑬計量工程入力!$M$6:$M$65,⑬計量工程入力!$S$6:$S$65,$J210,⑬計量工程入力!$J$6:$J$65,"&gt;0")-SUMIFS(⑬計量工程入力!$M$6:$M$65,⑬計量工程入力!$S$6:$S$65,$J210,⑬計量工程入力!$J$6:$J$65,"&gt;0",⑬計量工程入力!$I$6:$I$65,"&gt;0")+SUMIFS(⑭手動工程入力!$M$6:$M$47,⑭手動工程入力!$S$6:$S$47,$J210,⑭手動工程入力!$J$6:$J$47,"&gt;0")-SUMIFS(⑭手動工程入力!$M$6:$M$47,⑭手動工程入力!$S$6:$S$47,$J210,⑭手動工程入力!$J$6:$J$47,"&gt;0",⑭手動工程入力!$I$6:$I$47,"&gt;0"))</f>
        <v/>
      </c>
      <c r="O210" s="393">
        <f>IF($J210="",0,SUMIFS(②釜工程入力!$J$5:$J$117,②釜工程入力!$S$5:$S$117,$J210,②釜工程入力!$J$5:$J$117,"&gt;0",②釜工程入力!$M$5:$M$117,"&gt;0")-SUMIFS(②釜工程入力!$J$5:$J$117,②釜工程入力!$S$5:$S$117,$J210,②釜工程入力!$J$5:$J$117,"&gt;0",②釜工程入力!$I$5:$I$117,"&gt;0",②釜工程入力!$M$5:$M$117,"&gt;0")+SUMIFS(③スチコン工程入力!$J$5:$J$152,③スチコン工程入力!$S$5:$S$152,$J210,③スチコン工程入力!$J$5:$J$152,"&gt;0",③スチコン工程入力!$M$5:$M$152,"&gt;0")-SUMIFS(③スチコン工程入力!$J$5:$J$152,③スチコン工程入力!$S$5:$S$152,$J210,③スチコン工程入力!$J$5:$J$152,"&gt;0",③スチコン工程入力!$I$5:$I$152,"&gt;0",③スチコン工程入力!$M$5:$M$152,"&gt;0")+SUMIFS(⑪ZEN工程入力!$J$6:$J$35,⑪ZEN工程入力!$S$6:$S$35,$J210,⑪ZEN工程入力!$J$6:$J$35,"&gt;0",⑪ZEN工程入力!$M$6:$M$35,"&gt;0")-SUMIFS(⑪ZEN工程入力!$J$6:$J$35,⑪ZEN工程入力!$S$6:$S$35,$J210,⑪ZEN工程入力!$J$6:$J$35,"&gt;0",⑪ZEN工程入力!$I$6:$I$35,"&gt;0",⑪ZEN工程入力!$M$6:$M$35,"&gt;0")+SUMIFS(⑫ミキサー工程入力!$J$6:$J$65,⑫ミキサー工程入力!$S$6:$S$65,$J210,⑫ミキサー工程入力!$J$6:$J$65,"&gt;0",⑫ミキサー工程入力!$M$6:$M$65,"&gt;0")-SUMIFS(⑫ミキサー工程入力!$J$6:$J$65,⑫ミキサー工程入力!$S$6:$S$65,$J210,⑫ミキサー工程入力!$J$6:$J$65,"&gt;0",⑫ミキサー工程入力!$I$6:$I$65,"&gt;0",⑫ミキサー工程入力!$M$6:$M$65,"&gt;0")+SUMIFS(⑬計量工程入力!$J$6:$J$65,⑬計量工程入力!$S$6:$S$65,$J210,⑬計量工程入力!$J$6:$J$65,"&gt;0",⑬計量工程入力!$M$6:$M$65,"&gt;0")-SUMIFS(⑬計量工程入力!$J$6:$J$65,⑬計量工程入力!$S$6:$S$65,$J210,⑬計量工程入力!$J$6:$J$65,"&gt;0",⑬計量工程入力!$I$6:$I$65,"&gt;0",⑬計量工程入力!$M$6:$M$65,"&gt;0")+SUMIFS(⑭手動工程入力!$J$6:$J$47,⑭手動工程入力!$S$6:$S$47,$J210,⑭手動工程入力!$J$6:$J$47,"&gt;0",⑭手動工程入力!$M$6:$M$47,"&gt;0")-SUMIFS(⑭手動工程入力!$J$6:$J$47,⑭手動工程入力!$S$6:$S$47,$J210,⑭手動工程入力!$J$6:$J$47,"&gt;0",⑭手動工程入力!$I$6:$I$47,"&gt;0",⑭手動工程入力!$M$6:$M$47,"&gt;0"))</f>
        <v/>
      </c>
      <c r="P210" s="392" t="inlineStr">
        <is>
          <t>中間品リスト</t>
        </is>
      </c>
    </row>
    <row r="211">
      <c r="A211" s="392" t="n">
        <v>207</v>
      </c>
      <c r="B211" s="392" t="n"/>
      <c r="C211" s="392" t="n"/>
      <c r="D211" s="409" t="n"/>
      <c r="E211" s="392" t="n"/>
      <c r="F211" s="394" t="n"/>
      <c r="G211" s="392" t="n"/>
      <c r="H211" s="604">
        <f>IFERROR(IF(AND($K211&gt;0,ISNUMBER(IF(OR($D211="g",$D211="ｇ"),IF($M211&gt;0,$L211/$M211/1000,""),IF($D211="kg",IF($M211&gt;0,$L211/$M211,""),IF($D211="",IF($M211&gt;0,$L211/$M211/1000,IF($O211&gt;0,$N211/$O211,"")),IF($O211&gt;0,$N211/$O211,"")))))),IF(OR($D211="g",$D211="ｇ"),IF($M211&gt;0,$L211/$M211/1000,""),IF($D211="kg",IF($M211&gt;0,$L211/$M211,""),IF($D211="",IF($M211&gt;0,$L211/$M211/1000,IF($O211&gt;0,$N211/$O211,"")),IF($O211&gt;0,$N211/$O211,"")))),IF($F211="",IF(OR($E211="",$E211="⑩盛付梱包工程入力"),"",IF(OR($D211="g",$D211="ｇ"),INDEX(⑰工程労務費一覧!$N$5:$N$11,MATCH($E211,⑰工程労務費一覧!$K$5:$K$11,0))/1000,IF($D211="kg",INDEX(⑰工程労務費一覧!$N$5:$N$11,MATCH($E211,⑰工程労務費一覧!$K$5:$K$11,0)),IF(OR($D211="個",$D211="切",$D211="本",$D211="枚",$D211="尾"),IF($E211="⑬計量工程入力","",INDEX(⑰工程労務費一覧!$P$5:$P$11,MATCH($E211,⑰工程労務費一覧!$K$5:$K$11,0))),IF(AND($D211="",OR($E211="②釜工程入力",$E211="③スチコン工程入力")),INDEX(⑰工程労務費一覧!$N$5:$N$11,MATCH($E211,⑰工程労務費一覧!$K$5:$K$11,0))/1000,""))))),IF(OR($D211="g",$D211="ｇ"),INDEX(⑰工程労務費一覧!$H$5:$H$753,MATCH($F211,⑰工程労務費一覧!$D$5:$D$753,0))/1000,IF($D211="kg",INDEX(⑰工程労務費一覧!$H$5:$H$753,MATCH($F211,⑰工程労務費一覧!$D$5:$D$753,0)),INDEX(⑰工程労務費一覧!$I$5:$I$753,MATCH($F211,⑰工程労務費一覧!$D$5:$D$753,0)))))),"")</f>
        <v/>
      </c>
      <c r="I211" s="392">
        <f>IF($K211&gt;0,IF(ISNUMBER(IF(OR($D211="g",$D211="ｇ"),IF($M211&gt;0,$L211/$M211/1000,""),IF($D211="kg",IF($M211&gt;0,$L211/$M211,""),IF($D211="",IF($M211&gt;0,$L211/$M211/1000,IF($O211&gt;0,$N211/$O211,"")),IF($O211&gt;0,$N211/$O211,""))))),IF($D211="",IF($M211&gt;0,"◎ JAN紐づけ(g扱い)","◎ JAN紐づけ(個扱い)"),"◎ JAN紐づけ"),"△ JAN紐づけ済・実績不足→仮計算"),IF($F211="",IF(ISNUMBER($H211),IF($D211="","⑤ 工程平均で仮計算(g扱い)","⑤ 工程平均で仮計算"),IF($E211="⑩盛付梱包工程入力","⑥ 盛り込み(⑳F列で計上)",IF(AND($E211="⑬計量工程入力",OR($D211="個",$D211="切",$D211="本",$D211="枚",$D211="尾")),"① 未紐づけ(カット個単位は仮単価なし)","① 未紐づけ"))),IF(NOT(ISNUMBER($H211)),"② 工程側に単価なし",IF($D211="","③ 単位未設定(個で計算)","④ OK"))))</f>
        <v/>
      </c>
      <c r="J211" s="399">
        <f>IFERROR(LOOKUP(2,1/((中間品リスト!$F$2:$F$1299=$B211)*(中間品リスト!$E$2:$E$1299&lt;&gt;"-")*(中間品リスト!$E$2:$E$1299&lt;&gt;"")),中間品リスト!$E$2:$E$1299),"")</f>
        <v/>
      </c>
      <c r="K211" s="400">
        <f>IF($J211="",0,COUNTIF(②釜工程入力!$S$5:$S$117,$J211)+COUNTIF(③スチコン工程入力!$S$5:$S$152,$J211)+COUNTIF(⑪ZEN工程入力!$S$6:$S$35,$J211)+COUNTIF(⑫ミキサー工程入力!$S$6:$S$65,$J211)+COUNTIF(⑬計量工程入力!$S$6:$S$65,$J211)+COUNTIF(⑭手動工程入力!$S$6:$S$47,$J211))</f>
        <v/>
      </c>
      <c r="L211" s="393">
        <f>IF($J211="",0,SUMIFS(②釜工程入力!$M$5:$M$117,②釜工程入力!$S$5:$S$117,$J211,②釜工程入力!$I$5:$I$117,"&gt;0")+SUMIFS(③スチコン工程入力!$M$5:$M$152,③スチコン工程入力!$S$5:$S$152,$J211,③スチコン工程入力!$I$5:$I$152,"&gt;0")+SUMIFS(⑪ZEN工程入力!$M$6:$M$35,⑪ZEN工程入力!$S$6:$S$35,$J211,⑪ZEN工程入力!$I$6:$I$35,"&gt;0")+SUMIFS(⑫ミキサー工程入力!$M$6:$M$65,⑫ミキサー工程入力!$S$6:$S$65,$J211,⑫ミキサー工程入力!$I$6:$I$65,"&gt;0")+SUMIFS(⑬計量工程入力!$M$6:$M$65,⑬計量工程入力!$S$6:$S$65,$J211,⑬計量工程入力!$I$6:$I$65,"&gt;0")+SUMIFS(⑭手動工程入力!$M$6:$M$47,⑭手動工程入力!$S$6:$S$47,$J211,⑭手動工程入力!$I$6:$I$47,"&gt;0"))</f>
        <v/>
      </c>
      <c r="M211" s="393">
        <f>IF($J211="",0,SUMIFS(②釜工程入力!$I$5:$I$117,②釜工程入力!$S$5:$S$117,$J211,②釜工程入力!$I$5:$I$117,"&gt;0",②釜工程入力!$M$5:$M$117,"&gt;0")+SUMIFS(③スチコン工程入力!$I$5:$I$152,③スチコン工程入力!$S$5:$S$152,$J211,③スチコン工程入力!$I$5:$I$152,"&gt;0",③スチコン工程入力!$M$5:$M$152,"&gt;0")+SUMIFS(⑪ZEN工程入力!$I$6:$I$35,⑪ZEN工程入力!$S$6:$S$35,$J211,⑪ZEN工程入力!$I$6:$I$35,"&gt;0",⑪ZEN工程入力!$M$6:$M$35,"&gt;0")+SUMIFS(⑫ミキサー工程入力!$I$6:$I$65,⑫ミキサー工程入力!$S$6:$S$65,$J211,⑫ミキサー工程入力!$I$6:$I$65,"&gt;0",⑫ミキサー工程入力!$M$6:$M$65,"&gt;0")+SUMIFS(⑬計量工程入力!$I$6:$I$65,⑬計量工程入力!$S$6:$S$65,$J211,⑬計量工程入力!$I$6:$I$65,"&gt;0",⑬計量工程入力!$M$6:$M$65,"&gt;0")+SUMIFS(⑭手動工程入力!$I$6:$I$47,⑭手動工程入力!$S$6:$S$47,$J211,⑭手動工程入力!$I$6:$I$47,"&gt;0",⑭手動工程入力!$M$6:$M$47,"&gt;0"))</f>
        <v/>
      </c>
      <c r="N211" s="393">
        <f>IF($J211="",0,SUMIFS(②釜工程入力!$M$5:$M$117,②釜工程入力!$S$5:$S$117,$J211,②釜工程入力!$J$5:$J$117,"&gt;0")-SUMIFS(②釜工程入力!$M$5:$M$117,②釜工程入力!$S$5:$S$117,$J211,②釜工程入力!$J$5:$J$117,"&gt;0",②釜工程入力!$I$5:$I$117,"&gt;0")+SUMIFS(③スチコン工程入力!$M$5:$M$152,③スチコン工程入力!$S$5:$S$152,$J211,③スチコン工程入力!$J$5:$J$152,"&gt;0")-SUMIFS(③スチコン工程入力!$M$5:$M$152,③スチコン工程入力!$S$5:$S$152,$J211,③スチコン工程入力!$J$5:$J$152,"&gt;0",③スチコン工程入力!$I$5:$I$152,"&gt;0")+SUMIFS(⑪ZEN工程入力!$M$6:$M$35,⑪ZEN工程入力!$S$6:$S$35,$J211,⑪ZEN工程入力!$J$6:$J$35,"&gt;0")-SUMIFS(⑪ZEN工程入力!$M$6:$M$35,⑪ZEN工程入力!$S$6:$S$35,$J211,⑪ZEN工程入力!$J$6:$J$35,"&gt;0",⑪ZEN工程入力!$I$6:$I$35,"&gt;0")+SUMIFS(⑫ミキサー工程入力!$M$6:$M$65,⑫ミキサー工程入力!$S$6:$S$65,$J211,⑫ミキサー工程入力!$J$6:$J$65,"&gt;0")-SUMIFS(⑫ミキサー工程入力!$M$6:$M$65,⑫ミキサー工程入力!$S$6:$S$65,$J211,⑫ミキサー工程入力!$J$6:$J$65,"&gt;0",⑫ミキサー工程入力!$I$6:$I$65,"&gt;0")+SUMIFS(⑬計量工程入力!$M$6:$M$65,⑬計量工程入力!$S$6:$S$65,$J211,⑬計量工程入力!$J$6:$J$65,"&gt;0")-SUMIFS(⑬計量工程入力!$M$6:$M$65,⑬計量工程入力!$S$6:$S$65,$J211,⑬計量工程入力!$J$6:$J$65,"&gt;0",⑬計量工程入力!$I$6:$I$65,"&gt;0")+SUMIFS(⑭手動工程入力!$M$6:$M$47,⑭手動工程入力!$S$6:$S$47,$J211,⑭手動工程入力!$J$6:$J$47,"&gt;0")-SUMIFS(⑭手動工程入力!$M$6:$M$47,⑭手動工程入力!$S$6:$S$47,$J211,⑭手動工程入力!$J$6:$J$47,"&gt;0",⑭手動工程入力!$I$6:$I$47,"&gt;0"))</f>
        <v/>
      </c>
      <c r="O211" s="393">
        <f>IF($J211="",0,SUMIFS(②釜工程入力!$J$5:$J$117,②釜工程入力!$S$5:$S$117,$J211,②釜工程入力!$J$5:$J$117,"&gt;0",②釜工程入力!$M$5:$M$117,"&gt;0")-SUMIFS(②釜工程入力!$J$5:$J$117,②釜工程入力!$S$5:$S$117,$J211,②釜工程入力!$J$5:$J$117,"&gt;0",②釜工程入力!$I$5:$I$117,"&gt;0",②釜工程入力!$M$5:$M$117,"&gt;0")+SUMIFS(③スチコン工程入力!$J$5:$J$152,③スチコン工程入力!$S$5:$S$152,$J211,③スチコン工程入力!$J$5:$J$152,"&gt;0",③スチコン工程入力!$M$5:$M$152,"&gt;0")-SUMIFS(③スチコン工程入力!$J$5:$J$152,③スチコン工程入力!$S$5:$S$152,$J211,③スチコン工程入力!$J$5:$J$152,"&gt;0",③スチコン工程入力!$I$5:$I$152,"&gt;0",③スチコン工程入力!$M$5:$M$152,"&gt;0")+SUMIFS(⑪ZEN工程入力!$J$6:$J$35,⑪ZEN工程入力!$S$6:$S$35,$J211,⑪ZEN工程入力!$J$6:$J$35,"&gt;0",⑪ZEN工程入力!$M$6:$M$35,"&gt;0")-SUMIFS(⑪ZEN工程入力!$J$6:$J$35,⑪ZEN工程入力!$S$6:$S$35,$J211,⑪ZEN工程入力!$J$6:$J$35,"&gt;0",⑪ZEN工程入力!$I$6:$I$35,"&gt;0",⑪ZEN工程入力!$M$6:$M$35,"&gt;0")+SUMIFS(⑫ミキサー工程入力!$J$6:$J$65,⑫ミキサー工程入力!$S$6:$S$65,$J211,⑫ミキサー工程入力!$J$6:$J$65,"&gt;0",⑫ミキサー工程入力!$M$6:$M$65,"&gt;0")-SUMIFS(⑫ミキサー工程入力!$J$6:$J$65,⑫ミキサー工程入力!$S$6:$S$65,$J211,⑫ミキサー工程入力!$J$6:$J$65,"&gt;0",⑫ミキサー工程入力!$I$6:$I$65,"&gt;0",⑫ミキサー工程入力!$M$6:$M$65,"&gt;0")+SUMIFS(⑬計量工程入力!$J$6:$J$65,⑬計量工程入力!$S$6:$S$65,$J211,⑬計量工程入力!$J$6:$J$65,"&gt;0",⑬計量工程入力!$M$6:$M$65,"&gt;0")-SUMIFS(⑬計量工程入力!$J$6:$J$65,⑬計量工程入力!$S$6:$S$65,$J211,⑬計量工程入力!$J$6:$J$65,"&gt;0",⑬計量工程入力!$I$6:$I$65,"&gt;0",⑬計量工程入力!$M$6:$M$65,"&gt;0")+SUMIFS(⑭手動工程入力!$J$6:$J$47,⑭手動工程入力!$S$6:$S$47,$J211,⑭手動工程入力!$J$6:$J$47,"&gt;0",⑭手動工程入力!$M$6:$M$47,"&gt;0")-SUMIFS(⑭手動工程入力!$J$6:$J$47,⑭手動工程入力!$S$6:$S$47,$J211,⑭手動工程入力!$J$6:$J$47,"&gt;0",⑭手動工程入力!$I$6:$I$47,"&gt;0",⑭手動工程入力!$M$6:$M$47,"&gt;0"))</f>
        <v/>
      </c>
      <c r="P211" s="392" t="inlineStr">
        <is>
          <t>中間品リスト</t>
        </is>
      </c>
    </row>
    <row r="212">
      <c r="A212" s="392" t="n">
        <v>208</v>
      </c>
      <c r="B212" s="392" t="n"/>
      <c r="C212" s="392" t="n"/>
      <c r="D212" s="409" t="n"/>
      <c r="E212" s="392" t="n"/>
      <c r="F212" s="394" t="n"/>
      <c r="G212" s="392" t="n"/>
      <c r="H212" s="604">
        <f>IFERROR(IF(AND($K212&gt;0,ISNUMBER(IF(OR($D212="g",$D212="ｇ"),IF($M212&gt;0,$L212/$M212/1000,""),IF($D212="kg",IF($M212&gt;0,$L212/$M212,""),IF($D212="",IF($M212&gt;0,$L212/$M212/1000,IF($O212&gt;0,$N212/$O212,"")),IF($O212&gt;0,$N212/$O212,"")))))),IF(OR($D212="g",$D212="ｇ"),IF($M212&gt;0,$L212/$M212/1000,""),IF($D212="kg",IF($M212&gt;0,$L212/$M212,""),IF($D212="",IF($M212&gt;0,$L212/$M212/1000,IF($O212&gt;0,$N212/$O212,"")),IF($O212&gt;0,$N212/$O212,"")))),IF($F212="",IF(OR($E212="",$E212="⑩盛付梱包工程入力"),"",IF(OR($D212="g",$D212="ｇ"),INDEX(⑰工程労務費一覧!$N$5:$N$11,MATCH($E212,⑰工程労務費一覧!$K$5:$K$11,0))/1000,IF($D212="kg",INDEX(⑰工程労務費一覧!$N$5:$N$11,MATCH($E212,⑰工程労務費一覧!$K$5:$K$11,0)),IF(OR($D212="個",$D212="切",$D212="本",$D212="枚",$D212="尾"),IF($E212="⑬計量工程入力","",INDEX(⑰工程労務費一覧!$P$5:$P$11,MATCH($E212,⑰工程労務費一覧!$K$5:$K$11,0))),IF(AND($D212="",OR($E212="②釜工程入力",$E212="③スチコン工程入力")),INDEX(⑰工程労務費一覧!$N$5:$N$11,MATCH($E212,⑰工程労務費一覧!$K$5:$K$11,0))/1000,""))))),IF(OR($D212="g",$D212="ｇ"),INDEX(⑰工程労務費一覧!$H$5:$H$753,MATCH($F212,⑰工程労務費一覧!$D$5:$D$753,0))/1000,IF($D212="kg",INDEX(⑰工程労務費一覧!$H$5:$H$753,MATCH($F212,⑰工程労務費一覧!$D$5:$D$753,0)),INDEX(⑰工程労務費一覧!$I$5:$I$753,MATCH($F212,⑰工程労務費一覧!$D$5:$D$753,0)))))),"")</f>
        <v/>
      </c>
      <c r="I212" s="392">
        <f>IF($K212&gt;0,IF(ISNUMBER(IF(OR($D212="g",$D212="ｇ"),IF($M212&gt;0,$L212/$M212/1000,""),IF($D212="kg",IF($M212&gt;0,$L212/$M212,""),IF($D212="",IF($M212&gt;0,$L212/$M212/1000,IF($O212&gt;0,$N212/$O212,"")),IF($O212&gt;0,$N212/$O212,""))))),IF($D212="",IF($M212&gt;0,"◎ JAN紐づけ(g扱い)","◎ JAN紐づけ(個扱い)"),"◎ JAN紐づけ"),"△ JAN紐づけ済・実績不足→仮計算"),IF($F212="",IF(ISNUMBER($H212),IF($D212="","⑤ 工程平均で仮計算(g扱い)","⑤ 工程平均で仮計算"),IF($E212="⑩盛付梱包工程入力","⑥ 盛り込み(⑳F列で計上)",IF(AND($E212="⑬計量工程入力",OR($D212="個",$D212="切",$D212="本",$D212="枚",$D212="尾")),"① 未紐づけ(カット個単位は仮単価なし)","① 未紐づけ"))),IF(NOT(ISNUMBER($H212)),"② 工程側に単価なし",IF($D212="","③ 単位未設定(個で計算)","④ OK"))))</f>
        <v/>
      </c>
      <c r="J212" s="399">
        <f>IFERROR(LOOKUP(2,1/((中間品リスト!$F$2:$F$1299=$B212)*(中間品リスト!$E$2:$E$1299&lt;&gt;"-")*(中間品リスト!$E$2:$E$1299&lt;&gt;"")),中間品リスト!$E$2:$E$1299),"")</f>
        <v/>
      </c>
      <c r="K212" s="400">
        <f>IF($J212="",0,COUNTIF(②釜工程入力!$S$5:$S$117,$J212)+COUNTIF(③スチコン工程入力!$S$5:$S$152,$J212)+COUNTIF(⑪ZEN工程入力!$S$6:$S$35,$J212)+COUNTIF(⑫ミキサー工程入力!$S$6:$S$65,$J212)+COUNTIF(⑬計量工程入力!$S$6:$S$65,$J212)+COUNTIF(⑭手動工程入力!$S$6:$S$47,$J212))</f>
        <v/>
      </c>
      <c r="L212" s="393">
        <f>IF($J212="",0,SUMIFS(②釜工程入力!$M$5:$M$117,②釜工程入力!$S$5:$S$117,$J212,②釜工程入力!$I$5:$I$117,"&gt;0")+SUMIFS(③スチコン工程入力!$M$5:$M$152,③スチコン工程入力!$S$5:$S$152,$J212,③スチコン工程入力!$I$5:$I$152,"&gt;0")+SUMIFS(⑪ZEN工程入力!$M$6:$M$35,⑪ZEN工程入力!$S$6:$S$35,$J212,⑪ZEN工程入力!$I$6:$I$35,"&gt;0")+SUMIFS(⑫ミキサー工程入力!$M$6:$M$65,⑫ミキサー工程入力!$S$6:$S$65,$J212,⑫ミキサー工程入力!$I$6:$I$65,"&gt;0")+SUMIFS(⑬計量工程入力!$M$6:$M$65,⑬計量工程入力!$S$6:$S$65,$J212,⑬計量工程入力!$I$6:$I$65,"&gt;0")+SUMIFS(⑭手動工程入力!$M$6:$M$47,⑭手動工程入力!$S$6:$S$47,$J212,⑭手動工程入力!$I$6:$I$47,"&gt;0"))</f>
        <v/>
      </c>
      <c r="M212" s="393">
        <f>IF($J212="",0,SUMIFS(②釜工程入力!$I$5:$I$117,②釜工程入力!$S$5:$S$117,$J212,②釜工程入力!$I$5:$I$117,"&gt;0",②釜工程入力!$M$5:$M$117,"&gt;0")+SUMIFS(③スチコン工程入力!$I$5:$I$152,③スチコン工程入力!$S$5:$S$152,$J212,③スチコン工程入力!$I$5:$I$152,"&gt;0",③スチコン工程入力!$M$5:$M$152,"&gt;0")+SUMIFS(⑪ZEN工程入力!$I$6:$I$35,⑪ZEN工程入力!$S$6:$S$35,$J212,⑪ZEN工程入力!$I$6:$I$35,"&gt;0",⑪ZEN工程入力!$M$6:$M$35,"&gt;0")+SUMIFS(⑫ミキサー工程入力!$I$6:$I$65,⑫ミキサー工程入力!$S$6:$S$65,$J212,⑫ミキサー工程入力!$I$6:$I$65,"&gt;0",⑫ミキサー工程入力!$M$6:$M$65,"&gt;0")+SUMIFS(⑬計量工程入力!$I$6:$I$65,⑬計量工程入力!$S$6:$S$65,$J212,⑬計量工程入力!$I$6:$I$65,"&gt;0",⑬計量工程入力!$M$6:$M$65,"&gt;0")+SUMIFS(⑭手動工程入力!$I$6:$I$47,⑭手動工程入力!$S$6:$S$47,$J212,⑭手動工程入力!$I$6:$I$47,"&gt;0",⑭手動工程入力!$M$6:$M$47,"&gt;0"))</f>
        <v/>
      </c>
      <c r="N212" s="393">
        <f>IF($J212="",0,SUMIFS(②釜工程入力!$M$5:$M$117,②釜工程入力!$S$5:$S$117,$J212,②釜工程入力!$J$5:$J$117,"&gt;0")-SUMIFS(②釜工程入力!$M$5:$M$117,②釜工程入力!$S$5:$S$117,$J212,②釜工程入力!$J$5:$J$117,"&gt;0",②釜工程入力!$I$5:$I$117,"&gt;0")+SUMIFS(③スチコン工程入力!$M$5:$M$152,③スチコン工程入力!$S$5:$S$152,$J212,③スチコン工程入力!$J$5:$J$152,"&gt;0")-SUMIFS(③スチコン工程入力!$M$5:$M$152,③スチコン工程入力!$S$5:$S$152,$J212,③スチコン工程入力!$J$5:$J$152,"&gt;0",③スチコン工程入力!$I$5:$I$152,"&gt;0")+SUMIFS(⑪ZEN工程入力!$M$6:$M$35,⑪ZEN工程入力!$S$6:$S$35,$J212,⑪ZEN工程入力!$J$6:$J$35,"&gt;0")-SUMIFS(⑪ZEN工程入力!$M$6:$M$35,⑪ZEN工程入力!$S$6:$S$35,$J212,⑪ZEN工程入力!$J$6:$J$35,"&gt;0",⑪ZEN工程入力!$I$6:$I$35,"&gt;0")+SUMIFS(⑫ミキサー工程入力!$M$6:$M$65,⑫ミキサー工程入力!$S$6:$S$65,$J212,⑫ミキサー工程入力!$J$6:$J$65,"&gt;0")-SUMIFS(⑫ミキサー工程入力!$M$6:$M$65,⑫ミキサー工程入力!$S$6:$S$65,$J212,⑫ミキサー工程入力!$J$6:$J$65,"&gt;0",⑫ミキサー工程入力!$I$6:$I$65,"&gt;0")+SUMIFS(⑬計量工程入力!$M$6:$M$65,⑬計量工程入力!$S$6:$S$65,$J212,⑬計量工程入力!$J$6:$J$65,"&gt;0")-SUMIFS(⑬計量工程入力!$M$6:$M$65,⑬計量工程入力!$S$6:$S$65,$J212,⑬計量工程入力!$J$6:$J$65,"&gt;0",⑬計量工程入力!$I$6:$I$65,"&gt;0")+SUMIFS(⑭手動工程入力!$M$6:$M$47,⑭手動工程入力!$S$6:$S$47,$J212,⑭手動工程入力!$J$6:$J$47,"&gt;0")-SUMIFS(⑭手動工程入力!$M$6:$M$47,⑭手動工程入力!$S$6:$S$47,$J212,⑭手動工程入力!$J$6:$J$47,"&gt;0",⑭手動工程入力!$I$6:$I$47,"&gt;0"))</f>
        <v/>
      </c>
      <c r="O212" s="393">
        <f>IF($J212="",0,SUMIFS(②釜工程入力!$J$5:$J$117,②釜工程入力!$S$5:$S$117,$J212,②釜工程入力!$J$5:$J$117,"&gt;0",②釜工程入力!$M$5:$M$117,"&gt;0")-SUMIFS(②釜工程入力!$J$5:$J$117,②釜工程入力!$S$5:$S$117,$J212,②釜工程入力!$J$5:$J$117,"&gt;0",②釜工程入力!$I$5:$I$117,"&gt;0",②釜工程入力!$M$5:$M$117,"&gt;0")+SUMIFS(③スチコン工程入力!$J$5:$J$152,③スチコン工程入力!$S$5:$S$152,$J212,③スチコン工程入力!$J$5:$J$152,"&gt;0",③スチコン工程入力!$M$5:$M$152,"&gt;0")-SUMIFS(③スチコン工程入力!$J$5:$J$152,③スチコン工程入力!$S$5:$S$152,$J212,③スチコン工程入力!$J$5:$J$152,"&gt;0",③スチコン工程入力!$I$5:$I$152,"&gt;0",③スチコン工程入力!$M$5:$M$152,"&gt;0")+SUMIFS(⑪ZEN工程入力!$J$6:$J$35,⑪ZEN工程入力!$S$6:$S$35,$J212,⑪ZEN工程入力!$J$6:$J$35,"&gt;0",⑪ZEN工程入力!$M$6:$M$35,"&gt;0")-SUMIFS(⑪ZEN工程入力!$J$6:$J$35,⑪ZEN工程入力!$S$6:$S$35,$J212,⑪ZEN工程入力!$J$6:$J$35,"&gt;0",⑪ZEN工程入力!$I$6:$I$35,"&gt;0",⑪ZEN工程入力!$M$6:$M$35,"&gt;0")+SUMIFS(⑫ミキサー工程入力!$J$6:$J$65,⑫ミキサー工程入力!$S$6:$S$65,$J212,⑫ミキサー工程入力!$J$6:$J$65,"&gt;0",⑫ミキサー工程入力!$M$6:$M$65,"&gt;0")-SUMIFS(⑫ミキサー工程入力!$J$6:$J$65,⑫ミキサー工程入力!$S$6:$S$65,$J212,⑫ミキサー工程入力!$J$6:$J$65,"&gt;0",⑫ミキサー工程入力!$I$6:$I$65,"&gt;0",⑫ミキサー工程入力!$M$6:$M$65,"&gt;0")+SUMIFS(⑬計量工程入力!$J$6:$J$65,⑬計量工程入力!$S$6:$S$65,$J212,⑬計量工程入力!$J$6:$J$65,"&gt;0",⑬計量工程入力!$M$6:$M$65,"&gt;0")-SUMIFS(⑬計量工程入力!$J$6:$J$65,⑬計量工程入力!$S$6:$S$65,$J212,⑬計量工程入力!$J$6:$J$65,"&gt;0",⑬計量工程入力!$I$6:$I$65,"&gt;0",⑬計量工程入力!$M$6:$M$65,"&gt;0")+SUMIFS(⑭手動工程入力!$J$6:$J$47,⑭手動工程入力!$S$6:$S$47,$J212,⑭手動工程入力!$J$6:$J$47,"&gt;0",⑭手動工程入力!$M$6:$M$47,"&gt;0")-SUMIFS(⑭手動工程入力!$J$6:$J$47,⑭手動工程入力!$S$6:$S$47,$J212,⑭手動工程入力!$J$6:$J$47,"&gt;0",⑭手動工程入力!$I$6:$I$47,"&gt;0",⑭手動工程入力!$M$6:$M$47,"&gt;0"))</f>
        <v/>
      </c>
      <c r="P212" s="392" t="inlineStr">
        <is>
          <t>中間品リスト</t>
        </is>
      </c>
    </row>
    <row r="213">
      <c r="A213" s="392" t="n">
        <v>209</v>
      </c>
      <c r="B213" s="392" t="n"/>
      <c r="C213" s="392" t="n"/>
      <c r="D213" s="409" t="n"/>
      <c r="E213" s="392" t="n"/>
      <c r="F213" s="394" t="n"/>
      <c r="G213" s="392" t="n"/>
      <c r="H213" s="604">
        <f>IFERROR(IF(AND($K213&gt;0,ISNUMBER(IF(OR($D213="g",$D213="ｇ"),IF($M213&gt;0,$L213/$M213/1000,""),IF($D213="kg",IF($M213&gt;0,$L213/$M213,""),IF($D213="",IF($M213&gt;0,$L213/$M213/1000,IF($O213&gt;0,$N213/$O213,"")),IF($O213&gt;0,$N213/$O213,"")))))),IF(OR($D213="g",$D213="ｇ"),IF($M213&gt;0,$L213/$M213/1000,""),IF($D213="kg",IF($M213&gt;0,$L213/$M213,""),IF($D213="",IF($M213&gt;0,$L213/$M213/1000,IF($O213&gt;0,$N213/$O213,"")),IF($O213&gt;0,$N213/$O213,"")))),IF($F213="",IF(OR($E213="",$E213="⑩盛付梱包工程入力"),"",IF(OR($D213="g",$D213="ｇ"),INDEX(⑰工程労務費一覧!$N$5:$N$11,MATCH($E213,⑰工程労務費一覧!$K$5:$K$11,0))/1000,IF($D213="kg",INDEX(⑰工程労務費一覧!$N$5:$N$11,MATCH($E213,⑰工程労務費一覧!$K$5:$K$11,0)),IF(OR($D213="個",$D213="切",$D213="本",$D213="枚",$D213="尾"),IF($E213="⑬計量工程入力","",INDEX(⑰工程労務費一覧!$P$5:$P$11,MATCH($E213,⑰工程労務費一覧!$K$5:$K$11,0))),IF(AND($D213="",OR($E213="②釜工程入力",$E213="③スチコン工程入力")),INDEX(⑰工程労務費一覧!$N$5:$N$11,MATCH($E213,⑰工程労務費一覧!$K$5:$K$11,0))/1000,""))))),IF(OR($D213="g",$D213="ｇ"),INDEX(⑰工程労務費一覧!$H$5:$H$753,MATCH($F213,⑰工程労務費一覧!$D$5:$D$753,0))/1000,IF($D213="kg",INDEX(⑰工程労務費一覧!$H$5:$H$753,MATCH($F213,⑰工程労務費一覧!$D$5:$D$753,0)),INDEX(⑰工程労務費一覧!$I$5:$I$753,MATCH($F213,⑰工程労務費一覧!$D$5:$D$753,0)))))),"")</f>
        <v/>
      </c>
      <c r="I213" s="392">
        <f>IF($K213&gt;0,IF(ISNUMBER(IF(OR($D213="g",$D213="ｇ"),IF($M213&gt;0,$L213/$M213/1000,""),IF($D213="kg",IF($M213&gt;0,$L213/$M213,""),IF($D213="",IF($M213&gt;0,$L213/$M213/1000,IF($O213&gt;0,$N213/$O213,"")),IF($O213&gt;0,$N213/$O213,""))))),IF($D213="",IF($M213&gt;0,"◎ JAN紐づけ(g扱い)","◎ JAN紐づけ(個扱い)"),"◎ JAN紐づけ"),"△ JAN紐づけ済・実績不足→仮計算"),IF($F213="",IF(ISNUMBER($H213),IF($D213="","⑤ 工程平均で仮計算(g扱い)","⑤ 工程平均で仮計算"),IF($E213="⑩盛付梱包工程入力","⑥ 盛り込み(⑳F列で計上)",IF(AND($E213="⑬計量工程入力",OR($D213="個",$D213="切",$D213="本",$D213="枚",$D213="尾")),"① 未紐づけ(カット個単位は仮単価なし)","① 未紐づけ"))),IF(NOT(ISNUMBER($H213)),"② 工程側に単価なし",IF($D213="","③ 単位未設定(個で計算)","④ OK"))))</f>
        <v/>
      </c>
      <c r="J213" s="399">
        <f>IFERROR(LOOKUP(2,1/((中間品リスト!$F$2:$F$1299=$B213)*(中間品リスト!$E$2:$E$1299&lt;&gt;"-")*(中間品リスト!$E$2:$E$1299&lt;&gt;"")),中間品リスト!$E$2:$E$1299),"")</f>
        <v/>
      </c>
      <c r="K213" s="400">
        <f>IF($J213="",0,COUNTIF(②釜工程入力!$S$5:$S$117,$J213)+COUNTIF(③スチコン工程入力!$S$5:$S$152,$J213)+COUNTIF(⑪ZEN工程入力!$S$6:$S$35,$J213)+COUNTIF(⑫ミキサー工程入力!$S$6:$S$65,$J213)+COUNTIF(⑬計量工程入力!$S$6:$S$65,$J213)+COUNTIF(⑭手動工程入力!$S$6:$S$47,$J213))</f>
        <v/>
      </c>
      <c r="L213" s="393">
        <f>IF($J213="",0,SUMIFS(②釜工程入力!$M$5:$M$117,②釜工程入力!$S$5:$S$117,$J213,②釜工程入力!$I$5:$I$117,"&gt;0")+SUMIFS(③スチコン工程入力!$M$5:$M$152,③スチコン工程入力!$S$5:$S$152,$J213,③スチコン工程入力!$I$5:$I$152,"&gt;0")+SUMIFS(⑪ZEN工程入力!$M$6:$M$35,⑪ZEN工程入力!$S$6:$S$35,$J213,⑪ZEN工程入力!$I$6:$I$35,"&gt;0")+SUMIFS(⑫ミキサー工程入力!$M$6:$M$65,⑫ミキサー工程入力!$S$6:$S$65,$J213,⑫ミキサー工程入力!$I$6:$I$65,"&gt;0")+SUMIFS(⑬計量工程入力!$M$6:$M$65,⑬計量工程入力!$S$6:$S$65,$J213,⑬計量工程入力!$I$6:$I$65,"&gt;0")+SUMIFS(⑭手動工程入力!$M$6:$M$47,⑭手動工程入力!$S$6:$S$47,$J213,⑭手動工程入力!$I$6:$I$47,"&gt;0"))</f>
        <v/>
      </c>
      <c r="M213" s="393">
        <f>IF($J213="",0,SUMIFS(②釜工程入力!$I$5:$I$117,②釜工程入力!$S$5:$S$117,$J213,②釜工程入力!$I$5:$I$117,"&gt;0",②釜工程入力!$M$5:$M$117,"&gt;0")+SUMIFS(③スチコン工程入力!$I$5:$I$152,③スチコン工程入力!$S$5:$S$152,$J213,③スチコン工程入力!$I$5:$I$152,"&gt;0",③スチコン工程入力!$M$5:$M$152,"&gt;0")+SUMIFS(⑪ZEN工程入力!$I$6:$I$35,⑪ZEN工程入力!$S$6:$S$35,$J213,⑪ZEN工程入力!$I$6:$I$35,"&gt;0",⑪ZEN工程入力!$M$6:$M$35,"&gt;0")+SUMIFS(⑫ミキサー工程入力!$I$6:$I$65,⑫ミキサー工程入力!$S$6:$S$65,$J213,⑫ミキサー工程入力!$I$6:$I$65,"&gt;0",⑫ミキサー工程入力!$M$6:$M$65,"&gt;0")+SUMIFS(⑬計量工程入力!$I$6:$I$65,⑬計量工程入力!$S$6:$S$65,$J213,⑬計量工程入力!$I$6:$I$65,"&gt;0",⑬計量工程入力!$M$6:$M$65,"&gt;0")+SUMIFS(⑭手動工程入力!$I$6:$I$47,⑭手動工程入力!$S$6:$S$47,$J213,⑭手動工程入力!$I$6:$I$47,"&gt;0",⑭手動工程入力!$M$6:$M$47,"&gt;0"))</f>
        <v/>
      </c>
      <c r="N213" s="393">
        <f>IF($J213="",0,SUMIFS(②釜工程入力!$M$5:$M$117,②釜工程入力!$S$5:$S$117,$J213,②釜工程入力!$J$5:$J$117,"&gt;0")-SUMIFS(②釜工程入力!$M$5:$M$117,②釜工程入力!$S$5:$S$117,$J213,②釜工程入力!$J$5:$J$117,"&gt;0",②釜工程入力!$I$5:$I$117,"&gt;0")+SUMIFS(③スチコン工程入力!$M$5:$M$152,③スチコン工程入力!$S$5:$S$152,$J213,③スチコン工程入力!$J$5:$J$152,"&gt;0")-SUMIFS(③スチコン工程入力!$M$5:$M$152,③スチコン工程入力!$S$5:$S$152,$J213,③スチコン工程入力!$J$5:$J$152,"&gt;0",③スチコン工程入力!$I$5:$I$152,"&gt;0")+SUMIFS(⑪ZEN工程入力!$M$6:$M$35,⑪ZEN工程入力!$S$6:$S$35,$J213,⑪ZEN工程入力!$J$6:$J$35,"&gt;0")-SUMIFS(⑪ZEN工程入力!$M$6:$M$35,⑪ZEN工程入力!$S$6:$S$35,$J213,⑪ZEN工程入力!$J$6:$J$35,"&gt;0",⑪ZEN工程入力!$I$6:$I$35,"&gt;0")+SUMIFS(⑫ミキサー工程入力!$M$6:$M$65,⑫ミキサー工程入力!$S$6:$S$65,$J213,⑫ミキサー工程入力!$J$6:$J$65,"&gt;0")-SUMIFS(⑫ミキサー工程入力!$M$6:$M$65,⑫ミキサー工程入力!$S$6:$S$65,$J213,⑫ミキサー工程入力!$J$6:$J$65,"&gt;0",⑫ミキサー工程入力!$I$6:$I$65,"&gt;0")+SUMIFS(⑬計量工程入力!$M$6:$M$65,⑬計量工程入力!$S$6:$S$65,$J213,⑬計量工程入力!$J$6:$J$65,"&gt;0")-SUMIFS(⑬計量工程入力!$M$6:$M$65,⑬計量工程入力!$S$6:$S$65,$J213,⑬計量工程入力!$J$6:$J$65,"&gt;0",⑬計量工程入力!$I$6:$I$65,"&gt;0")+SUMIFS(⑭手動工程入力!$M$6:$M$47,⑭手動工程入力!$S$6:$S$47,$J213,⑭手動工程入力!$J$6:$J$47,"&gt;0")-SUMIFS(⑭手動工程入力!$M$6:$M$47,⑭手動工程入力!$S$6:$S$47,$J213,⑭手動工程入力!$J$6:$J$47,"&gt;0",⑭手動工程入力!$I$6:$I$47,"&gt;0"))</f>
        <v/>
      </c>
      <c r="O213" s="393">
        <f>IF($J213="",0,SUMIFS(②釜工程入力!$J$5:$J$117,②釜工程入力!$S$5:$S$117,$J213,②釜工程入力!$J$5:$J$117,"&gt;0",②釜工程入力!$M$5:$M$117,"&gt;0")-SUMIFS(②釜工程入力!$J$5:$J$117,②釜工程入力!$S$5:$S$117,$J213,②釜工程入力!$J$5:$J$117,"&gt;0",②釜工程入力!$I$5:$I$117,"&gt;0",②釜工程入力!$M$5:$M$117,"&gt;0")+SUMIFS(③スチコン工程入力!$J$5:$J$152,③スチコン工程入力!$S$5:$S$152,$J213,③スチコン工程入力!$J$5:$J$152,"&gt;0",③スチコン工程入力!$M$5:$M$152,"&gt;0")-SUMIFS(③スチコン工程入力!$J$5:$J$152,③スチコン工程入力!$S$5:$S$152,$J213,③スチコン工程入力!$J$5:$J$152,"&gt;0",③スチコン工程入力!$I$5:$I$152,"&gt;0",③スチコン工程入力!$M$5:$M$152,"&gt;0")+SUMIFS(⑪ZEN工程入力!$J$6:$J$35,⑪ZEN工程入力!$S$6:$S$35,$J213,⑪ZEN工程入力!$J$6:$J$35,"&gt;0",⑪ZEN工程入力!$M$6:$M$35,"&gt;0")-SUMIFS(⑪ZEN工程入力!$J$6:$J$35,⑪ZEN工程入力!$S$6:$S$35,$J213,⑪ZEN工程入力!$J$6:$J$35,"&gt;0",⑪ZEN工程入力!$I$6:$I$35,"&gt;0",⑪ZEN工程入力!$M$6:$M$35,"&gt;0")+SUMIFS(⑫ミキサー工程入力!$J$6:$J$65,⑫ミキサー工程入力!$S$6:$S$65,$J213,⑫ミキサー工程入力!$J$6:$J$65,"&gt;0",⑫ミキサー工程入力!$M$6:$M$65,"&gt;0")-SUMIFS(⑫ミキサー工程入力!$J$6:$J$65,⑫ミキサー工程入力!$S$6:$S$65,$J213,⑫ミキサー工程入力!$J$6:$J$65,"&gt;0",⑫ミキサー工程入力!$I$6:$I$65,"&gt;0",⑫ミキサー工程入力!$M$6:$M$65,"&gt;0")+SUMIFS(⑬計量工程入力!$J$6:$J$65,⑬計量工程入力!$S$6:$S$65,$J213,⑬計量工程入力!$J$6:$J$65,"&gt;0",⑬計量工程入力!$M$6:$M$65,"&gt;0")-SUMIFS(⑬計量工程入力!$J$6:$J$65,⑬計量工程入力!$S$6:$S$65,$J213,⑬計量工程入力!$J$6:$J$65,"&gt;0",⑬計量工程入力!$I$6:$I$65,"&gt;0",⑬計量工程入力!$M$6:$M$65,"&gt;0")+SUMIFS(⑭手動工程入力!$J$6:$J$47,⑭手動工程入力!$S$6:$S$47,$J213,⑭手動工程入力!$J$6:$J$47,"&gt;0",⑭手動工程入力!$M$6:$M$47,"&gt;0")-SUMIFS(⑭手動工程入力!$J$6:$J$47,⑭手動工程入力!$S$6:$S$47,$J213,⑭手動工程入力!$J$6:$J$47,"&gt;0",⑭手動工程入力!$I$6:$I$47,"&gt;0",⑭手動工程入力!$M$6:$M$47,"&gt;0"))</f>
        <v/>
      </c>
      <c r="P213" s="392" t="inlineStr">
        <is>
          <t>中間品リスト</t>
        </is>
      </c>
    </row>
    <row r="214">
      <c r="A214" s="392" t="n">
        <v>210</v>
      </c>
      <c r="B214" s="392" t="n"/>
      <c r="C214" s="392" t="n"/>
      <c r="D214" s="409" t="n"/>
      <c r="E214" s="392" t="n"/>
      <c r="F214" s="394" t="n"/>
      <c r="G214" s="392" t="n"/>
      <c r="H214" s="604">
        <f>IFERROR(IF(AND($K214&gt;0,ISNUMBER(IF(OR($D214="g",$D214="ｇ"),IF($M214&gt;0,$L214/$M214/1000,""),IF($D214="kg",IF($M214&gt;0,$L214/$M214,""),IF($D214="",IF($M214&gt;0,$L214/$M214/1000,IF($O214&gt;0,$N214/$O214,"")),IF($O214&gt;0,$N214/$O214,"")))))),IF(OR($D214="g",$D214="ｇ"),IF($M214&gt;0,$L214/$M214/1000,""),IF($D214="kg",IF($M214&gt;0,$L214/$M214,""),IF($D214="",IF($M214&gt;0,$L214/$M214/1000,IF($O214&gt;0,$N214/$O214,"")),IF($O214&gt;0,$N214/$O214,"")))),IF($F214="",IF(OR($E214="",$E214="⑩盛付梱包工程入力"),"",IF(OR($D214="g",$D214="ｇ"),INDEX(⑰工程労務費一覧!$N$5:$N$11,MATCH($E214,⑰工程労務費一覧!$K$5:$K$11,0))/1000,IF($D214="kg",INDEX(⑰工程労務費一覧!$N$5:$N$11,MATCH($E214,⑰工程労務費一覧!$K$5:$K$11,0)),IF(OR($D214="個",$D214="切",$D214="本",$D214="枚",$D214="尾"),IF($E214="⑬計量工程入力","",INDEX(⑰工程労務費一覧!$P$5:$P$11,MATCH($E214,⑰工程労務費一覧!$K$5:$K$11,0))),IF(AND($D214="",OR($E214="②釜工程入力",$E214="③スチコン工程入力")),INDEX(⑰工程労務費一覧!$N$5:$N$11,MATCH($E214,⑰工程労務費一覧!$K$5:$K$11,0))/1000,""))))),IF(OR($D214="g",$D214="ｇ"),INDEX(⑰工程労務費一覧!$H$5:$H$753,MATCH($F214,⑰工程労務費一覧!$D$5:$D$753,0))/1000,IF($D214="kg",INDEX(⑰工程労務費一覧!$H$5:$H$753,MATCH($F214,⑰工程労務費一覧!$D$5:$D$753,0)),INDEX(⑰工程労務費一覧!$I$5:$I$753,MATCH($F214,⑰工程労務費一覧!$D$5:$D$753,0)))))),"")</f>
        <v/>
      </c>
      <c r="I214" s="392">
        <f>IF($K214&gt;0,IF(ISNUMBER(IF(OR($D214="g",$D214="ｇ"),IF($M214&gt;0,$L214/$M214/1000,""),IF($D214="kg",IF($M214&gt;0,$L214/$M214,""),IF($D214="",IF($M214&gt;0,$L214/$M214/1000,IF($O214&gt;0,$N214/$O214,"")),IF($O214&gt;0,$N214/$O214,""))))),IF($D214="",IF($M214&gt;0,"◎ JAN紐づけ(g扱い)","◎ JAN紐づけ(個扱い)"),"◎ JAN紐づけ"),"△ JAN紐づけ済・実績不足→仮計算"),IF($F214="",IF(ISNUMBER($H214),IF($D214="","⑤ 工程平均で仮計算(g扱い)","⑤ 工程平均で仮計算"),IF($E214="⑩盛付梱包工程入力","⑥ 盛り込み(⑳F列で計上)",IF(AND($E214="⑬計量工程入力",OR($D214="個",$D214="切",$D214="本",$D214="枚",$D214="尾")),"① 未紐づけ(カット個単位は仮単価なし)","① 未紐づけ"))),IF(NOT(ISNUMBER($H214)),"② 工程側に単価なし",IF($D214="","③ 単位未設定(個で計算)","④ OK"))))</f>
        <v/>
      </c>
      <c r="J214" s="399">
        <f>IFERROR(LOOKUP(2,1/((中間品リスト!$F$2:$F$1299=$B214)*(中間品リスト!$E$2:$E$1299&lt;&gt;"-")*(中間品リスト!$E$2:$E$1299&lt;&gt;"")),中間品リスト!$E$2:$E$1299),"")</f>
        <v/>
      </c>
      <c r="K214" s="400">
        <f>IF($J214="",0,COUNTIF(②釜工程入力!$S$5:$S$117,$J214)+COUNTIF(③スチコン工程入力!$S$5:$S$152,$J214)+COUNTIF(⑪ZEN工程入力!$S$6:$S$35,$J214)+COUNTIF(⑫ミキサー工程入力!$S$6:$S$65,$J214)+COUNTIF(⑬計量工程入力!$S$6:$S$65,$J214)+COUNTIF(⑭手動工程入力!$S$6:$S$47,$J214))</f>
        <v/>
      </c>
      <c r="L214" s="393">
        <f>IF($J214="",0,SUMIFS(②釜工程入力!$M$5:$M$117,②釜工程入力!$S$5:$S$117,$J214,②釜工程入力!$I$5:$I$117,"&gt;0")+SUMIFS(③スチコン工程入力!$M$5:$M$152,③スチコン工程入力!$S$5:$S$152,$J214,③スチコン工程入力!$I$5:$I$152,"&gt;0")+SUMIFS(⑪ZEN工程入力!$M$6:$M$35,⑪ZEN工程入力!$S$6:$S$35,$J214,⑪ZEN工程入力!$I$6:$I$35,"&gt;0")+SUMIFS(⑫ミキサー工程入力!$M$6:$M$65,⑫ミキサー工程入力!$S$6:$S$65,$J214,⑫ミキサー工程入力!$I$6:$I$65,"&gt;0")+SUMIFS(⑬計量工程入力!$M$6:$M$65,⑬計量工程入力!$S$6:$S$65,$J214,⑬計量工程入力!$I$6:$I$65,"&gt;0")+SUMIFS(⑭手動工程入力!$M$6:$M$47,⑭手動工程入力!$S$6:$S$47,$J214,⑭手動工程入力!$I$6:$I$47,"&gt;0"))</f>
        <v/>
      </c>
      <c r="M214" s="393">
        <f>IF($J214="",0,SUMIFS(②釜工程入力!$I$5:$I$117,②釜工程入力!$S$5:$S$117,$J214,②釜工程入力!$I$5:$I$117,"&gt;0",②釜工程入力!$M$5:$M$117,"&gt;0")+SUMIFS(③スチコン工程入力!$I$5:$I$152,③スチコン工程入力!$S$5:$S$152,$J214,③スチコン工程入力!$I$5:$I$152,"&gt;0",③スチコン工程入力!$M$5:$M$152,"&gt;0")+SUMIFS(⑪ZEN工程入力!$I$6:$I$35,⑪ZEN工程入力!$S$6:$S$35,$J214,⑪ZEN工程入力!$I$6:$I$35,"&gt;0",⑪ZEN工程入力!$M$6:$M$35,"&gt;0")+SUMIFS(⑫ミキサー工程入力!$I$6:$I$65,⑫ミキサー工程入力!$S$6:$S$65,$J214,⑫ミキサー工程入力!$I$6:$I$65,"&gt;0",⑫ミキサー工程入力!$M$6:$M$65,"&gt;0")+SUMIFS(⑬計量工程入力!$I$6:$I$65,⑬計量工程入力!$S$6:$S$65,$J214,⑬計量工程入力!$I$6:$I$65,"&gt;0",⑬計量工程入力!$M$6:$M$65,"&gt;0")+SUMIFS(⑭手動工程入力!$I$6:$I$47,⑭手動工程入力!$S$6:$S$47,$J214,⑭手動工程入力!$I$6:$I$47,"&gt;0",⑭手動工程入力!$M$6:$M$47,"&gt;0"))</f>
        <v/>
      </c>
      <c r="N214" s="393">
        <f>IF($J214="",0,SUMIFS(②釜工程入力!$M$5:$M$117,②釜工程入力!$S$5:$S$117,$J214,②釜工程入力!$J$5:$J$117,"&gt;0")-SUMIFS(②釜工程入力!$M$5:$M$117,②釜工程入力!$S$5:$S$117,$J214,②釜工程入力!$J$5:$J$117,"&gt;0",②釜工程入力!$I$5:$I$117,"&gt;0")+SUMIFS(③スチコン工程入力!$M$5:$M$152,③スチコン工程入力!$S$5:$S$152,$J214,③スチコン工程入力!$J$5:$J$152,"&gt;0")-SUMIFS(③スチコン工程入力!$M$5:$M$152,③スチコン工程入力!$S$5:$S$152,$J214,③スチコン工程入力!$J$5:$J$152,"&gt;0",③スチコン工程入力!$I$5:$I$152,"&gt;0")+SUMIFS(⑪ZEN工程入力!$M$6:$M$35,⑪ZEN工程入力!$S$6:$S$35,$J214,⑪ZEN工程入力!$J$6:$J$35,"&gt;0")-SUMIFS(⑪ZEN工程入力!$M$6:$M$35,⑪ZEN工程入力!$S$6:$S$35,$J214,⑪ZEN工程入力!$J$6:$J$35,"&gt;0",⑪ZEN工程入力!$I$6:$I$35,"&gt;0")+SUMIFS(⑫ミキサー工程入力!$M$6:$M$65,⑫ミキサー工程入力!$S$6:$S$65,$J214,⑫ミキサー工程入力!$J$6:$J$65,"&gt;0")-SUMIFS(⑫ミキサー工程入力!$M$6:$M$65,⑫ミキサー工程入力!$S$6:$S$65,$J214,⑫ミキサー工程入力!$J$6:$J$65,"&gt;0",⑫ミキサー工程入力!$I$6:$I$65,"&gt;0")+SUMIFS(⑬計量工程入力!$M$6:$M$65,⑬計量工程入力!$S$6:$S$65,$J214,⑬計量工程入力!$J$6:$J$65,"&gt;0")-SUMIFS(⑬計量工程入力!$M$6:$M$65,⑬計量工程入力!$S$6:$S$65,$J214,⑬計量工程入力!$J$6:$J$65,"&gt;0",⑬計量工程入力!$I$6:$I$65,"&gt;0")+SUMIFS(⑭手動工程入力!$M$6:$M$47,⑭手動工程入力!$S$6:$S$47,$J214,⑭手動工程入力!$J$6:$J$47,"&gt;0")-SUMIFS(⑭手動工程入力!$M$6:$M$47,⑭手動工程入力!$S$6:$S$47,$J214,⑭手動工程入力!$J$6:$J$47,"&gt;0",⑭手動工程入力!$I$6:$I$47,"&gt;0"))</f>
        <v/>
      </c>
      <c r="O214" s="393">
        <f>IF($J214="",0,SUMIFS(②釜工程入力!$J$5:$J$117,②釜工程入力!$S$5:$S$117,$J214,②釜工程入力!$J$5:$J$117,"&gt;0",②釜工程入力!$M$5:$M$117,"&gt;0")-SUMIFS(②釜工程入力!$J$5:$J$117,②釜工程入力!$S$5:$S$117,$J214,②釜工程入力!$J$5:$J$117,"&gt;0",②釜工程入力!$I$5:$I$117,"&gt;0",②釜工程入力!$M$5:$M$117,"&gt;0")+SUMIFS(③スチコン工程入力!$J$5:$J$152,③スチコン工程入力!$S$5:$S$152,$J214,③スチコン工程入力!$J$5:$J$152,"&gt;0",③スチコン工程入力!$M$5:$M$152,"&gt;0")-SUMIFS(③スチコン工程入力!$J$5:$J$152,③スチコン工程入力!$S$5:$S$152,$J214,③スチコン工程入力!$J$5:$J$152,"&gt;0",③スチコン工程入力!$I$5:$I$152,"&gt;0",③スチコン工程入力!$M$5:$M$152,"&gt;0")+SUMIFS(⑪ZEN工程入力!$J$6:$J$35,⑪ZEN工程入力!$S$6:$S$35,$J214,⑪ZEN工程入力!$J$6:$J$35,"&gt;0",⑪ZEN工程入力!$M$6:$M$35,"&gt;0")-SUMIFS(⑪ZEN工程入力!$J$6:$J$35,⑪ZEN工程入力!$S$6:$S$35,$J214,⑪ZEN工程入力!$J$6:$J$35,"&gt;0",⑪ZEN工程入力!$I$6:$I$35,"&gt;0",⑪ZEN工程入力!$M$6:$M$35,"&gt;0")+SUMIFS(⑫ミキサー工程入力!$J$6:$J$65,⑫ミキサー工程入力!$S$6:$S$65,$J214,⑫ミキサー工程入力!$J$6:$J$65,"&gt;0",⑫ミキサー工程入力!$M$6:$M$65,"&gt;0")-SUMIFS(⑫ミキサー工程入力!$J$6:$J$65,⑫ミキサー工程入力!$S$6:$S$65,$J214,⑫ミキサー工程入力!$J$6:$J$65,"&gt;0",⑫ミキサー工程入力!$I$6:$I$65,"&gt;0",⑫ミキサー工程入力!$M$6:$M$65,"&gt;0")+SUMIFS(⑬計量工程入力!$J$6:$J$65,⑬計量工程入力!$S$6:$S$65,$J214,⑬計量工程入力!$J$6:$J$65,"&gt;0",⑬計量工程入力!$M$6:$M$65,"&gt;0")-SUMIFS(⑬計量工程入力!$J$6:$J$65,⑬計量工程入力!$S$6:$S$65,$J214,⑬計量工程入力!$J$6:$J$65,"&gt;0",⑬計量工程入力!$I$6:$I$65,"&gt;0",⑬計量工程入力!$M$6:$M$65,"&gt;0")+SUMIFS(⑭手動工程入力!$J$6:$J$47,⑭手動工程入力!$S$6:$S$47,$J214,⑭手動工程入力!$J$6:$J$47,"&gt;0",⑭手動工程入力!$M$6:$M$47,"&gt;0")-SUMIFS(⑭手動工程入力!$J$6:$J$47,⑭手動工程入力!$S$6:$S$47,$J214,⑭手動工程入力!$J$6:$J$47,"&gt;0",⑭手動工程入力!$I$6:$I$47,"&gt;0",⑭手動工程入力!$M$6:$M$47,"&gt;0"))</f>
        <v/>
      </c>
      <c r="P214" s="392" t="inlineStr">
        <is>
          <t>中間品リスト</t>
        </is>
      </c>
    </row>
    <row r="215">
      <c r="A215" s="392" t="n">
        <v>211</v>
      </c>
      <c r="B215" s="392" t="n"/>
      <c r="C215" s="392" t="n"/>
      <c r="D215" s="409" t="n"/>
      <c r="E215" s="392" t="n"/>
      <c r="F215" s="394" t="n"/>
      <c r="G215" s="392" t="n"/>
      <c r="H215" s="604">
        <f>IFERROR(IF(AND($K215&gt;0,ISNUMBER(IF(OR($D215="g",$D215="ｇ"),IF($M215&gt;0,$L215/$M215/1000,""),IF($D215="kg",IF($M215&gt;0,$L215/$M215,""),IF($D215="",IF($M215&gt;0,$L215/$M215/1000,IF($O215&gt;0,$N215/$O215,"")),IF($O215&gt;0,$N215/$O215,"")))))),IF(OR($D215="g",$D215="ｇ"),IF($M215&gt;0,$L215/$M215/1000,""),IF($D215="kg",IF($M215&gt;0,$L215/$M215,""),IF($D215="",IF($M215&gt;0,$L215/$M215/1000,IF($O215&gt;0,$N215/$O215,"")),IF($O215&gt;0,$N215/$O215,"")))),IF($F215="",IF(OR($E215="",$E215="⑩盛付梱包工程入力"),"",IF(OR($D215="g",$D215="ｇ"),INDEX(⑰工程労務費一覧!$N$5:$N$11,MATCH($E215,⑰工程労務費一覧!$K$5:$K$11,0))/1000,IF($D215="kg",INDEX(⑰工程労務費一覧!$N$5:$N$11,MATCH($E215,⑰工程労務費一覧!$K$5:$K$11,0)),IF(OR($D215="個",$D215="切",$D215="本",$D215="枚",$D215="尾"),IF($E215="⑬計量工程入力","",INDEX(⑰工程労務費一覧!$P$5:$P$11,MATCH($E215,⑰工程労務費一覧!$K$5:$K$11,0))),IF(AND($D215="",OR($E215="②釜工程入力",$E215="③スチコン工程入力")),INDEX(⑰工程労務費一覧!$N$5:$N$11,MATCH($E215,⑰工程労務費一覧!$K$5:$K$11,0))/1000,""))))),IF(OR($D215="g",$D215="ｇ"),INDEX(⑰工程労務費一覧!$H$5:$H$753,MATCH($F215,⑰工程労務費一覧!$D$5:$D$753,0))/1000,IF($D215="kg",INDEX(⑰工程労務費一覧!$H$5:$H$753,MATCH($F215,⑰工程労務費一覧!$D$5:$D$753,0)),INDEX(⑰工程労務費一覧!$I$5:$I$753,MATCH($F215,⑰工程労務費一覧!$D$5:$D$753,0)))))),"")</f>
        <v/>
      </c>
      <c r="I215" s="392">
        <f>IF($K215&gt;0,IF(ISNUMBER(IF(OR($D215="g",$D215="ｇ"),IF($M215&gt;0,$L215/$M215/1000,""),IF($D215="kg",IF($M215&gt;0,$L215/$M215,""),IF($D215="",IF($M215&gt;0,$L215/$M215/1000,IF($O215&gt;0,$N215/$O215,"")),IF($O215&gt;0,$N215/$O215,""))))),IF($D215="",IF($M215&gt;0,"◎ JAN紐づけ(g扱い)","◎ JAN紐づけ(個扱い)"),"◎ JAN紐づけ"),"△ JAN紐づけ済・実績不足→仮計算"),IF($F215="",IF(ISNUMBER($H215),IF($D215="","⑤ 工程平均で仮計算(g扱い)","⑤ 工程平均で仮計算"),IF($E215="⑩盛付梱包工程入力","⑥ 盛り込み(⑳F列で計上)",IF(AND($E215="⑬計量工程入力",OR($D215="個",$D215="切",$D215="本",$D215="枚",$D215="尾")),"① 未紐づけ(カット個単位は仮単価なし)","① 未紐づけ"))),IF(NOT(ISNUMBER($H215)),"② 工程側に単価なし",IF($D215="","③ 単位未設定(個で計算)","④ OK"))))</f>
        <v/>
      </c>
      <c r="J215" s="399">
        <f>IFERROR(LOOKUP(2,1/((中間品リスト!$F$2:$F$1299=$B215)*(中間品リスト!$E$2:$E$1299&lt;&gt;"-")*(中間品リスト!$E$2:$E$1299&lt;&gt;"")),中間品リスト!$E$2:$E$1299),"")</f>
        <v/>
      </c>
      <c r="K215" s="400">
        <f>IF($J215="",0,COUNTIF(②釜工程入力!$S$5:$S$117,$J215)+COUNTIF(③スチコン工程入力!$S$5:$S$152,$J215)+COUNTIF(⑪ZEN工程入力!$S$6:$S$35,$J215)+COUNTIF(⑫ミキサー工程入力!$S$6:$S$65,$J215)+COUNTIF(⑬計量工程入力!$S$6:$S$65,$J215)+COUNTIF(⑭手動工程入力!$S$6:$S$47,$J215))</f>
        <v/>
      </c>
      <c r="L215" s="393">
        <f>IF($J215="",0,SUMIFS(②釜工程入力!$M$5:$M$117,②釜工程入力!$S$5:$S$117,$J215,②釜工程入力!$I$5:$I$117,"&gt;0")+SUMIFS(③スチコン工程入力!$M$5:$M$152,③スチコン工程入力!$S$5:$S$152,$J215,③スチコン工程入力!$I$5:$I$152,"&gt;0")+SUMIFS(⑪ZEN工程入力!$M$6:$M$35,⑪ZEN工程入力!$S$6:$S$35,$J215,⑪ZEN工程入力!$I$6:$I$35,"&gt;0")+SUMIFS(⑫ミキサー工程入力!$M$6:$M$65,⑫ミキサー工程入力!$S$6:$S$65,$J215,⑫ミキサー工程入力!$I$6:$I$65,"&gt;0")+SUMIFS(⑬計量工程入力!$M$6:$M$65,⑬計量工程入力!$S$6:$S$65,$J215,⑬計量工程入力!$I$6:$I$65,"&gt;0")+SUMIFS(⑭手動工程入力!$M$6:$M$47,⑭手動工程入力!$S$6:$S$47,$J215,⑭手動工程入力!$I$6:$I$47,"&gt;0"))</f>
        <v/>
      </c>
      <c r="M215" s="393">
        <f>IF($J215="",0,SUMIFS(②釜工程入力!$I$5:$I$117,②釜工程入力!$S$5:$S$117,$J215,②釜工程入力!$I$5:$I$117,"&gt;0",②釜工程入力!$M$5:$M$117,"&gt;0")+SUMIFS(③スチコン工程入力!$I$5:$I$152,③スチコン工程入力!$S$5:$S$152,$J215,③スチコン工程入力!$I$5:$I$152,"&gt;0",③スチコン工程入力!$M$5:$M$152,"&gt;0")+SUMIFS(⑪ZEN工程入力!$I$6:$I$35,⑪ZEN工程入力!$S$6:$S$35,$J215,⑪ZEN工程入力!$I$6:$I$35,"&gt;0",⑪ZEN工程入力!$M$6:$M$35,"&gt;0")+SUMIFS(⑫ミキサー工程入力!$I$6:$I$65,⑫ミキサー工程入力!$S$6:$S$65,$J215,⑫ミキサー工程入力!$I$6:$I$65,"&gt;0",⑫ミキサー工程入力!$M$6:$M$65,"&gt;0")+SUMIFS(⑬計量工程入力!$I$6:$I$65,⑬計量工程入力!$S$6:$S$65,$J215,⑬計量工程入力!$I$6:$I$65,"&gt;0",⑬計量工程入力!$M$6:$M$65,"&gt;0")+SUMIFS(⑭手動工程入力!$I$6:$I$47,⑭手動工程入力!$S$6:$S$47,$J215,⑭手動工程入力!$I$6:$I$47,"&gt;0",⑭手動工程入力!$M$6:$M$47,"&gt;0"))</f>
        <v/>
      </c>
      <c r="N215" s="393">
        <f>IF($J215="",0,SUMIFS(②釜工程入力!$M$5:$M$117,②釜工程入力!$S$5:$S$117,$J215,②釜工程入力!$J$5:$J$117,"&gt;0")-SUMIFS(②釜工程入力!$M$5:$M$117,②釜工程入力!$S$5:$S$117,$J215,②釜工程入力!$J$5:$J$117,"&gt;0",②釜工程入力!$I$5:$I$117,"&gt;0")+SUMIFS(③スチコン工程入力!$M$5:$M$152,③スチコン工程入力!$S$5:$S$152,$J215,③スチコン工程入力!$J$5:$J$152,"&gt;0")-SUMIFS(③スチコン工程入力!$M$5:$M$152,③スチコン工程入力!$S$5:$S$152,$J215,③スチコン工程入力!$J$5:$J$152,"&gt;0",③スチコン工程入力!$I$5:$I$152,"&gt;0")+SUMIFS(⑪ZEN工程入力!$M$6:$M$35,⑪ZEN工程入力!$S$6:$S$35,$J215,⑪ZEN工程入力!$J$6:$J$35,"&gt;0")-SUMIFS(⑪ZEN工程入力!$M$6:$M$35,⑪ZEN工程入力!$S$6:$S$35,$J215,⑪ZEN工程入力!$J$6:$J$35,"&gt;0",⑪ZEN工程入力!$I$6:$I$35,"&gt;0")+SUMIFS(⑫ミキサー工程入力!$M$6:$M$65,⑫ミキサー工程入力!$S$6:$S$65,$J215,⑫ミキサー工程入力!$J$6:$J$65,"&gt;0")-SUMIFS(⑫ミキサー工程入力!$M$6:$M$65,⑫ミキサー工程入力!$S$6:$S$65,$J215,⑫ミキサー工程入力!$J$6:$J$65,"&gt;0",⑫ミキサー工程入力!$I$6:$I$65,"&gt;0")+SUMIFS(⑬計量工程入力!$M$6:$M$65,⑬計量工程入力!$S$6:$S$65,$J215,⑬計量工程入力!$J$6:$J$65,"&gt;0")-SUMIFS(⑬計量工程入力!$M$6:$M$65,⑬計量工程入力!$S$6:$S$65,$J215,⑬計量工程入力!$J$6:$J$65,"&gt;0",⑬計量工程入力!$I$6:$I$65,"&gt;0")+SUMIFS(⑭手動工程入力!$M$6:$M$47,⑭手動工程入力!$S$6:$S$47,$J215,⑭手動工程入力!$J$6:$J$47,"&gt;0")-SUMIFS(⑭手動工程入力!$M$6:$M$47,⑭手動工程入力!$S$6:$S$47,$J215,⑭手動工程入力!$J$6:$J$47,"&gt;0",⑭手動工程入力!$I$6:$I$47,"&gt;0"))</f>
        <v/>
      </c>
      <c r="O215" s="393">
        <f>IF($J215="",0,SUMIFS(②釜工程入力!$J$5:$J$117,②釜工程入力!$S$5:$S$117,$J215,②釜工程入力!$J$5:$J$117,"&gt;0",②釜工程入力!$M$5:$M$117,"&gt;0")-SUMIFS(②釜工程入力!$J$5:$J$117,②釜工程入力!$S$5:$S$117,$J215,②釜工程入力!$J$5:$J$117,"&gt;0",②釜工程入力!$I$5:$I$117,"&gt;0",②釜工程入力!$M$5:$M$117,"&gt;0")+SUMIFS(③スチコン工程入力!$J$5:$J$152,③スチコン工程入力!$S$5:$S$152,$J215,③スチコン工程入力!$J$5:$J$152,"&gt;0",③スチコン工程入力!$M$5:$M$152,"&gt;0")-SUMIFS(③スチコン工程入力!$J$5:$J$152,③スチコン工程入力!$S$5:$S$152,$J215,③スチコン工程入力!$J$5:$J$152,"&gt;0",③スチコン工程入力!$I$5:$I$152,"&gt;0",③スチコン工程入力!$M$5:$M$152,"&gt;0")+SUMIFS(⑪ZEN工程入力!$J$6:$J$35,⑪ZEN工程入力!$S$6:$S$35,$J215,⑪ZEN工程入力!$J$6:$J$35,"&gt;0",⑪ZEN工程入力!$M$6:$M$35,"&gt;0")-SUMIFS(⑪ZEN工程入力!$J$6:$J$35,⑪ZEN工程入力!$S$6:$S$35,$J215,⑪ZEN工程入力!$J$6:$J$35,"&gt;0",⑪ZEN工程入力!$I$6:$I$35,"&gt;0",⑪ZEN工程入力!$M$6:$M$35,"&gt;0")+SUMIFS(⑫ミキサー工程入力!$J$6:$J$65,⑫ミキサー工程入力!$S$6:$S$65,$J215,⑫ミキサー工程入力!$J$6:$J$65,"&gt;0",⑫ミキサー工程入力!$M$6:$M$65,"&gt;0")-SUMIFS(⑫ミキサー工程入力!$J$6:$J$65,⑫ミキサー工程入力!$S$6:$S$65,$J215,⑫ミキサー工程入力!$J$6:$J$65,"&gt;0",⑫ミキサー工程入力!$I$6:$I$65,"&gt;0",⑫ミキサー工程入力!$M$6:$M$65,"&gt;0")+SUMIFS(⑬計量工程入力!$J$6:$J$65,⑬計量工程入力!$S$6:$S$65,$J215,⑬計量工程入力!$J$6:$J$65,"&gt;0",⑬計量工程入力!$M$6:$M$65,"&gt;0")-SUMIFS(⑬計量工程入力!$J$6:$J$65,⑬計量工程入力!$S$6:$S$65,$J215,⑬計量工程入力!$J$6:$J$65,"&gt;0",⑬計量工程入力!$I$6:$I$65,"&gt;0",⑬計量工程入力!$M$6:$M$65,"&gt;0")+SUMIFS(⑭手動工程入力!$J$6:$J$47,⑭手動工程入力!$S$6:$S$47,$J215,⑭手動工程入力!$J$6:$J$47,"&gt;0",⑭手動工程入力!$M$6:$M$47,"&gt;0")-SUMIFS(⑭手動工程入力!$J$6:$J$47,⑭手動工程入力!$S$6:$S$47,$J215,⑭手動工程入力!$J$6:$J$47,"&gt;0",⑭手動工程入力!$I$6:$I$47,"&gt;0",⑭手動工程入力!$M$6:$M$47,"&gt;0"))</f>
        <v/>
      </c>
      <c r="P215" s="392" t="inlineStr">
        <is>
          <t>中間品リスト</t>
        </is>
      </c>
    </row>
    <row r="216">
      <c r="A216" s="392" t="n">
        <v>212</v>
      </c>
      <c r="B216" s="392" t="n"/>
      <c r="C216" s="392" t="n"/>
      <c r="D216" s="409" t="n"/>
      <c r="E216" s="392" t="n"/>
      <c r="F216" s="394" t="n"/>
      <c r="G216" s="392" t="n"/>
      <c r="H216" s="604">
        <f>IFERROR(IF(AND($K216&gt;0,ISNUMBER(IF(OR($D216="g",$D216="ｇ"),IF($M216&gt;0,$L216/$M216/1000,""),IF($D216="kg",IF($M216&gt;0,$L216/$M216,""),IF($D216="",IF($M216&gt;0,$L216/$M216/1000,IF($O216&gt;0,$N216/$O216,"")),IF($O216&gt;0,$N216/$O216,"")))))),IF(OR($D216="g",$D216="ｇ"),IF($M216&gt;0,$L216/$M216/1000,""),IF($D216="kg",IF($M216&gt;0,$L216/$M216,""),IF($D216="",IF($M216&gt;0,$L216/$M216/1000,IF($O216&gt;0,$N216/$O216,"")),IF($O216&gt;0,$N216/$O216,"")))),IF($F216="",IF(OR($E216="",$E216="⑩盛付梱包工程入力"),"",IF(OR($D216="g",$D216="ｇ"),INDEX(⑰工程労務費一覧!$N$5:$N$11,MATCH($E216,⑰工程労務費一覧!$K$5:$K$11,0))/1000,IF($D216="kg",INDEX(⑰工程労務費一覧!$N$5:$N$11,MATCH($E216,⑰工程労務費一覧!$K$5:$K$11,0)),IF(OR($D216="個",$D216="切",$D216="本",$D216="枚",$D216="尾"),IF($E216="⑬計量工程入力","",INDEX(⑰工程労務費一覧!$P$5:$P$11,MATCH($E216,⑰工程労務費一覧!$K$5:$K$11,0))),IF(AND($D216="",OR($E216="②釜工程入力",$E216="③スチコン工程入力")),INDEX(⑰工程労務費一覧!$N$5:$N$11,MATCH($E216,⑰工程労務費一覧!$K$5:$K$11,0))/1000,""))))),IF(OR($D216="g",$D216="ｇ"),INDEX(⑰工程労務費一覧!$H$5:$H$753,MATCH($F216,⑰工程労務費一覧!$D$5:$D$753,0))/1000,IF($D216="kg",INDEX(⑰工程労務費一覧!$H$5:$H$753,MATCH($F216,⑰工程労務費一覧!$D$5:$D$753,0)),INDEX(⑰工程労務費一覧!$I$5:$I$753,MATCH($F216,⑰工程労務費一覧!$D$5:$D$753,0)))))),"")</f>
        <v/>
      </c>
      <c r="I216" s="392">
        <f>IF($K216&gt;0,IF(ISNUMBER(IF(OR($D216="g",$D216="ｇ"),IF($M216&gt;0,$L216/$M216/1000,""),IF($D216="kg",IF($M216&gt;0,$L216/$M216,""),IF($D216="",IF($M216&gt;0,$L216/$M216/1000,IF($O216&gt;0,$N216/$O216,"")),IF($O216&gt;0,$N216/$O216,""))))),IF($D216="",IF($M216&gt;0,"◎ JAN紐づけ(g扱い)","◎ JAN紐づけ(個扱い)"),"◎ JAN紐づけ"),"△ JAN紐づけ済・実績不足→仮計算"),IF($F216="",IF(ISNUMBER($H216),IF($D216="","⑤ 工程平均で仮計算(g扱い)","⑤ 工程平均で仮計算"),IF($E216="⑩盛付梱包工程入力","⑥ 盛り込み(⑳F列で計上)",IF(AND($E216="⑬計量工程入力",OR($D216="個",$D216="切",$D216="本",$D216="枚",$D216="尾")),"① 未紐づけ(カット個単位は仮単価なし)","① 未紐づけ"))),IF(NOT(ISNUMBER($H216)),"② 工程側に単価なし",IF($D216="","③ 単位未設定(個で計算)","④ OK"))))</f>
        <v/>
      </c>
      <c r="J216" s="399">
        <f>IFERROR(LOOKUP(2,1/((中間品リスト!$F$2:$F$1299=$B216)*(中間品リスト!$E$2:$E$1299&lt;&gt;"-")*(中間品リスト!$E$2:$E$1299&lt;&gt;"")),中間品リスト!$E$2:$E$1299),"")</f>
        <v/>
      </c>
      <c r="K216" s="400">
        <f>IF($J216="",0,COUNTIF(②釜工程入力!$S$5:$S$117,$J216)+COUNTIF(③スチコン工程入力!$S$5:$S$152,$J216)+COUNTIF(⑪ZEN工程入力!$S$6:$S$35,$J216)+COUNTIF(⑫ミキサー工程入力!$S$6:$S$65,$J216)+COUNTIF(⑬計量工程入力!$S$6:$S$65,$J216)+COUNTIF(⑭手動工程入力!$S$6:$S$47,$J216))</f>
        <v/>
      </c>
      <c r="L216" s="393">
        <f>IF($J216="",0,SUMIFS(②釜工程入力!$M$5:$M$117,②釜工程入力!$S$5:$S$117,$J216,②釜工程入力!$I$5:$I$117,"&gt;0")+SUMIFS(③スチコン工程入力!$M$5:$M$152,③スチコン工程入力!$S$5:$S$152,$J216,③スチコン工程入力!$I$5:$I$152,"&gt;0")+SUMIFS(⑪ZEN工程入力!$M$6:$M$35,⑪ZEN工程入力!$S$6:$S$35,$J216,⑪ZEN工程入力!$I$6:$I$35,"&gt;0")+SUMIFS(⑫ミキサー工程入力!$M$6:$M$65,⑫ミキサー工程入力!$S$6:$S$65,$J216,⑫ミキサー工程入力!$I$6:$I$65,"&gt;0")+SUMIFS(⑬計量工程入力!$M$6:$M$65,⑬計量工程入力!$S$6:$S$65,$J216,⑬計量工程入力!$I$6:$I$65,"&gt;0")+SUMIFS(⑭手動工程入力!$M$6:$M$47,⑭手動工程入力!$S$6:$S$47,$J216,⑭手動工程入力!$I$6:$I$47,"&gt;0"))</f>
        <v/>
      </c>
      <c r="M216" s="393">
        <f>IF($J216="",0,SUMIFS(②釜工程入力!$I$5:$I$117,②釜工程入力!$S$5:$S$117,$J216,②釜工程入力!$I$5:$I$117,"&gt;0",②釜工程入力!$M$5:$M$117,"&gt;0")+SUMIFS(③スチコン工程入力!$I$5:$I$152,③スチコン工程入力!$S$5:$S$152,$J216,③スチコン工程入力!$I$5:$I$152,"&gt;0",③スチコン工程入力!$M$5:$M$152,"&gt;0")+SUMIFS(⑪ZEN工程入力!$I$6:$I$35,⑪ZEN工程入力!$S$6:$S$35,$J216,⑪ZEN工程入力!$I$6:$I$35,"&gt;0",⑪ZEN工程入力!$M$6:$M$35,"&gt;0")+SUMIFS(⑫ミキサー工程入力!$I$6:$I$65,⑫ミキサー工程入力!$S$6:$S$65,$J216,⑫ミキサー工程入力!$I$6:$I$65,"&gt;0",⑫ミキサー工程入力!$M$6:$M$65,"&gt;0")+SUMIFS(⑬計量工程入力!$I$6:$I$65,⑬計量工程入力!$S$6:$S$65,$J216,⑬計量工程入力!$I$6:$I$65,"&gt;0",⑬計量工程入力!$M$6:$M$65,"&gt;0")+SUMIFS(⑭手動工程入力!$I$6:$I$47,⑭手動工程入力!$S$6:$S$47,$J216,⑭手動工程入力!$I$6:$I$47,"&gt;0",⑭手動工程入力!$M$6:$M$47,"&gt;0"))</f>
        <v/>
      </c>
      <c r="N216" s="393">
        <f>IF($J216="",0,SUMIFS(②釜工程入力!$M$5:$M$117,②釜工程入力!$S$5:$S$117,$J216,②釜工程入力!$J$5:$J$117,"&gt;0")-SUMIFS(②釜工程入力!$M$5:$M$117,②釜工程入力!$S$5:$S$117,$J216,②釜工程入力!$J$5:$J$117,"&gt;0",②釜工程入力!$I$5:$I$117,"&gt;0")+SUMIFS(③スチコン工程入力!$M$5:$M$152,③スチコン工程入力!$S$5:$S$152,$J216,③スチコン工程入力!$J$5:$J$152,"&gt;0")-SUMIFS(③スチコン工程入力!$M$5:$M$152,③スチコン工程入力!$S$5:$S$152,$J216,③スチコン工程入力!$J$5:$J$152,"&gt;0",③スチコン工程入力!$I$5:$I$152,"&gt;0")+SUMIFS(⑪ZEN工程入力!$M$6:$M$35,⑪ZEN工程入力!$S$6:$S$35,$J216,⑪ZEN工程入力!$J$6:$J$35,"&gt;0")-SUMIFS(⑪ZEN工程入力!$M$6:$M$35,⑪ZEN工程入力!$S$6:$S$35,$J216,⑪ZEN工程入力!$J$6:$J$35,"&gt;0",⑪ZEN工程入力!$I$6:$I$35,"&gt;0")+SUMIFS(⑫ミキサー工程入力!$M$6:$M$65,⑫ミキサー工程入力!$S$6:$S$65,$J216,⑫ミキサー工程入力!$J$6:$J$65,"&gt;0")-SUMIFS(⑫ミキサー工程入力!$M$6:$M$65,⑫ミキサー工程入力!$S$6:$S$65,$J216,⑫ミキサー工程入力!$J$6:$J$65,"&gt;0",⑫ミキサー工程入力!$I$6:$I$65,"&gt;0")+SUMIFS(⑬計量工程入力!$M$6:$M$65,⑬計量工程入力!$S$6:$S$65,$J216,⑬計量工程入力!$J$6:$J$65,"&gt;0")-SUMIFS(⑬計量工程入力!$M$6:$M$65,⑬計量工程入力!$S$6:$S$65,$J216,⑬計量工程入力!$J$6:$J$65,"&gt;0",⑬計量工程入力!$I$6:$I$65,"&gt;0")+SUMIFS(⑭手動工程入力!$M$6:$M$47,⑭手動工程入力!$S$6:$S$47,$J216,⑭手動工程入力!$J$6:$J$47,"&gt;0")-SUMIFS(⑭手動工程入力!$M$6:$M$47,⑭手動工程入力!$S$6:$S$47,$J216,⑭手動工程入力!$J$6:$J$47,"&gt;0",⑭手動工程入力!$I$6:$I$47,"&gt;0"))</f>
        <v/>
      </c>
      <c r="O216" s="393">
        <f>IF($J216="",0,SUMIFS(②釜工程入力!$J$5:$J$117,②釜工程入力!$S$5:$S$117,$J216,②釜工程入力!$J$5:$J$117,"&gt;0",②釜工程入力!$M$5:$M$117,"&gt;0")-SUMIFS(②釜工程入力!$J$5:$J$117,②釜工程入力!$S$5:$S$117,$J216,②釜工程入力!$J$5:$J$117,"&gt;0",②釜工程入力!$I$5:$I$117,"&gt;0",②釜工程入力!$M$5:$M$117,"&gt;0")+SUMIFS(③スチコン工程入力!$J$5:$J$152,③スチコン工程入力!$S$5:$S$152,$J216,③スチコン工程入力!$J$5:$J$152,"&gt;0",③スチコン工程入力!$M$5:$M$152,"&gt;0")-SUMIFS(③スチコン工程入力!$J$5:$J$152,③スチコン工程入力!$S$5:$S$152,$J216,③スチコン工程入力!$J$5:$J$152,"&gt;0",③スチコン工程入力!$I$5:$I$152,"&gt;0",③スチコン工程入力!$M$5:$M$152,"&gt;0")+SUMIFS(⑪ZEN工程入力!$J$6:$J$35,⑪ZEN工程入力!$S$6:$S$35,$J216,⑪ZEN工程入力!$J$6:$J$35,"&gt;0",⑪ZEN工程入力!$M$6:$M$35,"&gt;0")-SUMIFS(⑪ZEN工程入力!$J$6:$J$35,⑪ZEN工程入力!$S$6:$S$35,$J216,⑪ZEN工程入力!$J$6:$J$35,"&gt;0",⑪ZEN工程入力!$I$6:$I$35,"&gt;0",⑪ZEN工程入力!$M$6:$M$35,"&gt;0")+SUMIFS(⑫ミキサー工程入力!$J$6:$J$65,⑫ミキサー工程入力!$S$6:$S$65,$J216,⑫ミキサー工程入力!$J$6:$J$65,"&gt;0",⑫ミキサー工程入力!$M$6:$M$65,"&gt;0")-SUMIFS(⑫ミキサー工程入力!$J$6:$J$65,⑫ミキサー工程入力!$S$6:$S$65,$J216,⑫ミキサー工程入力!$J$6:$J$65,"&gt;0",⑫ミキサー工程入力!$I$6:$I$65,"&gt;0",⑫ミキサー工程入力!$M$6:$M$65,"&gt;0")+SUMIFS(⑬計量工程入力!$J$6:$J$65,⑬計量工程入力!$S$6:$S$65,$J216,⑬計量工程入力!$J$6:$J$65,"&gt;0",⑬計量工程入力!$M$6:$M$65,"&gt;0")-SUMIFS(⑬計量工程入力!$J$6:$J$65,⑬計量工程入力!$S$6:$S$65,$J216,⑬計量工程入力!$J$6:$J$65,"&gt;0",⑬計量工程入力!$I$6:$I$65,"&gt;0",⑬計量工程入力!$M$6:$M$65,"&gt;0")+SUMIFS(⑭手動工程入力!$J$6:$J$47,⑭手動工程入力!$S$6:$S$47,$J216,⑭手動工程入力!$J$6:$J$47,"&gt;0",⑭手動工程入力!$M$6:$M$47,"&gt;0")-SUMIFS(⑭手動工程入力!$J$6:$J$47,⑭手動工程入力!$S$6:$S$47,$J216,⑭手動工程入力!$J$6:$J$47,"&gt;0",⑭手動工程入力!$I$6:$I$47,"&gt;0",⑭手動工程入力!$M$6:$M$47,"&gt;0"))</f>
        <v/>
      </c>
      <c r="P216" s="392" t="inlineStr">
        <is>
          <t>中間品リスト</t>
        </is>
      </c>
    </row>
    <row r="217">
      <c r="A217" s="392" t="n">
        <v>213</v>
      </c>
      <c r="B217" s="392" t="n"/>
      <c r="C217" s="392" t="n"/>
      <c r="D217" s="409" t="n"/>
      <c r="E217" s="392" t="n"/>
      <c r="F217" s="394" t="n"/>
      <c r="G217" s="392" t="n"/>
      <c r="H217" s="604">
        <f>IFERROR(IF(AND($K217&gt;0,ISNUMBER(IF(OR($D217="g",$D217="ｇ"),IF($M217&gt;0,$L217/$M217/1000,""),IF($D217="kg",IF($M217&gt;0,$L217/$M217,""),IF($D217="",IF($M217&gt;0,$L217/$M217/1000,IF($O217&gt;0,$N217/$O217,"")),IF($O217&gt;0,$N217/$O217,"")))))),IF(OR($D217="g",$D217="ｇ"),IF($M217&gt;0,$L217/$M217/1000,""),IF($D217="kg",IF($M217&gt;0,$L217/$M217,""),IF($D217="",IF($M217&gt;0,$L217/$M217/1000,IF($O217&gt;0,$N217/$O217,"")),IF($O217&gt;0,$N217/$O217,"")))),IF($F217="",IF(OR($E217="",$E217="⑩盛付梱包工程入力"),"",IF(OR($D217="g",$D217="ｇ"),INDEX(⑰工程労務費一覧!$N$5:$N$11,MATCH($E217,⑰工程労務費一覧!$K$5:$K$11,0))/1000,IF($D217="kg",INDEX(⑰工程労務費一覧!$N$5:$N$11,MATCH($E217,⑰工程労務費一覧!$K$5:$K$11,0)),IF(OR($D217="個",$D217="切",$D217="本",$D217="枚",$D217="尾"),IF($E217="⑬計量工程入力","",INDEX(⑰工程労務費一覧!$P$5:$P$11,MATCH($E217,⑰工程労務費一覧!$K$5:$K$11,0))),IF(AND($D217="",OR($E217="②釜工程入力",$E217="③スチコン工程入力")),INDEX(⑰工程労務費一覧!$N$5:$N$11,MATCH($E217,⑰工程労務費一覧!$K$5:$K$11,0))/1000,""))))),IF(OR($D217="g",$D217="ｇ"),INDEX(⑰工程労務費一覧!$H$5:$H$753,MATCH($F217,⑰工程労務費一覧!$D$5:$D$753,0))/1000,IF($D217="kg",INDEX(⑰工程労務費一覧!$H$5:$H$753,MATCH($F217,⑰工程労務費一覧!$D$5:$D$753,0)),INDEX(⑰工程労務費一覧!$I$5:$I$753,MATCH($F217,⑰工程労務費一覧!$D$5:$D$753,0)))))),"")</f>
        <v/>
      </c>
      <c r="I217" s="392">
        <f>IF($K217&gt;0,IF(ISNUMBER(IF(OR($D217="g",$D217="ｇ"),IF($M217&gt;0,$L217/$M217/1000,""),IF($D217="kg",IF($M217&gt;0,$L217/$M217,""),IF($D217="",IF($M217&gt;0,$L217/$M217/1000,IF($O217&gt;0,$N217/$O217,"")),IF($O217&gt;0,$N217/$O217,""))))),IF($D217="",IF($M217&gt;0,"◎ JAN紐づけ(g扱い)","◎ JAN紐づけ(個扱い)"),"◎ JAN紐づけ"),"△ JAN紐づけ済・実績不足→仮計算"),IF($F217="",IF(ISNUMBER($H217),IF($D217="","⑤ 工程平均で仮計算(g扱い)","⑤ 工程平均で仮計算"),IF($E217="⑩盛付梱包工程入力","⑥ 盛り込み(⑳F列で計上)",IF(AND($E217="⑬計量工程入力",OR($D217="個",$D217="切",$D217="本",$D217="枚",$D217="尾")),"① 未紐づけ(カット個単位は仮単価なし)","① 未紐づけ"))),IF(NOT(ISNUMBER($H217)),"② 工程側に単価なし",IF($D217="","③ 単位未設定(個で計算)","④ OK"))))</f>
        <v/>
      </c>
      <c r="J217" s="399">
        <f>IFERROR(LOOKUP(2,1/((中間品リスト!$F$2:$F$1299=$B217)*(中間品リスト!$E$2:$E$1299&lt;&gt;"-")*(中間品リスト!$E$2:$E$1299&lt;&gt;"")),中間品リスト!$E$2:$E$1299),"")</f>
        <v/>
      </c>
      <c r="K217" s="400">
        <f>IF($J217="",0,COUNTIF(②釜工程入力!$S$5:$S$117,$J217)+COUNTIF(③スチコン工程入力!$S$5:$S$152,$J217)+COUNTIF(⑪ZEN工程入力!$S$6:$S$35,$J217)+COUNTIF(⑫ミキサー工程入力!$S$6:$S$65,$J217)+COUNTIF(⑬計量工程入力!$S$6:$S$65,$J217)+COUNTIF(⑭手動工程入力!$S$6:$S$47,$J217))</f>
        <v/>
      </c>
      <c r="L217" s="393">
        <f>IF($J217="",0,SUMIFS(②釜工程入力!$M$5:$M$117,②釜工程入力!$S$5:$S$117,$J217,②釜工程入力!$I$5:$I$117,"&gt;0")+SUMIFS(③スチコン工程入力!$M$5:$M$152,③スチコン工程入力!$S$5:$S$152,$J217,③スチコン工程入力!$I$5:$I$152,"&gt;0")+SUMIFS(⑪ZEN工程入力!$M$6:$M$35,⑪ZEN工程入力!$S$6:$S$35,$J217,⑪ZEN工程入力!$I$6:$I$35,"&gt;0")+SUMIFS(⑫ミキサー工程入力!$M$6:$M$65,⑫ミキサー工程入力!$S$6:$S$65,$J217,⑫ミキサー工程入力!$I$6:$I$65,"&gt;0")+SUMIFS(⑬計量工程入力!$M$6:$M$65,⑬計量工程入力!$S$6:$S$65,$J217,⑬計量工程入力!$I$6:$I$65,"&gt;0")+SUMIFS(⑭手動工程入力!$M$6:$M$47,⑭手動工程入力!$S$6:$S$47,$J217,⑭手動工程入力!$I$6:$I$47,"&gt;0"))</f>
        <v/>
      </c>
      <c r="M217" s="393">
        <f>IF($J217="",0,SUMIFS(②釜工程入力!$I$5:$I$117,②釜工程入力!$S$5:$S$117,$J217,②釜工程入力!$I$5:$I$117,"&gt;0",②釜工程入力!$M$5:$M$117,"&gt;0")+SUMIFS(③スチコン工程入力!$I$5:$I$152,③スチコン工程入力!$S$5:$S$152,$J217,③スチコン工程入力!$I$5:$I$152,"&gt;0",③スチコン工程入力!$M$5:$M$152,"&gt;0")+SUMIFS(⑪ZEN工程入力!$I$6:$I$35,⑪ZEN工程入力!$S$6:$S$35,$J217,⑪ZEN工程入力!$I$6:$I$35,"&gt;0",⑪ZEN工程入力!$M$6:$M$35,"&gt;0")+SUMIFS(⑫ミキサー工程入力!$I$6:$I$65,⑫ミキサー工程入力!$S$6:$S$65,$J217,⑫ミキサー工程入力!$I$6:$I$65,"&gt;0",⑫ミキサー工程入力!$M$6:$M$65,"&gt;0")+SUMIFS(⑬計量工程入力!$I$6:$I$65,⑬計量工程入力!$S$6:$S$65,$J217,⑬計量工程入力!$I$6:$I$65,"&gt;0",⑬計量工程入力!$M$6:$M$65,"&gt;0")+SUMIFS(⑭手動工程入力!$I$6:$I$47,⑭手動工程入力!$S$6:$S$47,$J217,⑭手動工程入力!$I$6:$I$47,"&gt;0",⑭手動工程入力!$M$6:$M$47,"&gt;0"))</f>
        <v/>
      </c>
      <c r="N217" s="393">
        <f>IF($J217="",0,SUMIFS(②釜工程入力!$M$5:$M$117,②釜工程入力!$S$5:$S$117,$J217,②釜工程入力!$J$5:$J$117,"&gt;0")-SUMIFS(②釜工程入力!$M$5:$M$117,②釜工程入力!$S$5:$S$117,$J217,②釜工程入力!$J$5:$J$117,"&gt;0",②釜工程入力!$I$5:$I$117,"&gt;0")+SUMIFS(③スチコン工程入力!$M$5:$M$152,③スチコン工程入力!$S$5:$S$152,$J217,③スチコン工程入力!$J$5:$J$152,"&gt;0")-SUMIFS(③スチコン工程入力!$M$5:$M$152,③スチコン工程入力!$S$5:$S$152,$J217,③スチコン工程入力!$J$5:$J$152,"&gt;0",③スチコン工程入力!$I$5:$I$152,"&gt;0")+SUMIFS(⑪ZEN工程入力!$M$6:$M$35,⑪ZEN工程入力!$S$6:$S$35,$J217,⑪ZEN工程入力!$J$6:$J$35,"&gt;0")-SUMIFS(⑪ZEN工程入力!$M$6:$M$35,⑪ZEN工程入力!$S$6:$S$35,$J217,⑪ZEN工程入力!$J$6:$J$35,"&gt;0",⑪ZEN工程入力!$I$6:$I$35,"&gt;0")+SUMIFS(⑫ミキサー工程入力!$M$6:$M$65,⑫ミキサー工程入力!$S$6:$S$65,$J217,⑫ミキサー工程入力!$J$6:$J$65,"&gt;0")-SUMIFS(⑫ミキサー工程入力!$M$6:$M$65,⑫ミキサー工程入力!$S$6:$S$65,$J217,⑫ミキサー工程入力!$J$6:$J$65,"&gt;0",⑫ミキサー工程入力!$I$6:$I$65,"&gt;0")+SUMIFS(⑬計量工程入力!$M$6:$M$65,⑬計量工程入力!$S$6:$S$65,$J217,⑬計量工程入力!$J$6:$J$65,"&gt;0")-SUMIFS(⑬計量工程入力!$M$6:$M$65,⑬計量工程入力!$S$6:$S$65,$J217,⑬計量工程入力!$J$6:$J$65,"&gt;0",⑬計量工程入力!$I$6:$I$65,"&gt;0")+SUMIFS(⑭手動工程入力!$M$6:$M$47,⑭手動工程入力!$S$6:$S$47,$J217,⑭手動工程入力!$J$6:$J$47,"&gt;0")-SUMIFS(⑭手動工程入力!$M$6:$M$47,⑭手動工程入力!$S$6:$S$47,$J217,⑭手動工程入力!$J$6:$J$47,"&gt;0",⑭手動工程入力!$I$6:$I$47,"&gt;0"))</f>
        <v/>
      </c>
      <c r="O217" s="393">
        <f>IF($J217="",0,SUMIFS(②釜工程入力!$J$5:$J$117,②釜工程入力!$S$5:$S$117,$J217,②釜工程入力!$J$5:$J$117,"&gt;0",②釜工程入力!$M$5:$M$117,"&gt;0")-SUMIFS(②釜工程入力!$J$5:$J$117,②釜工程入力!$S$5:$S$117,$J217,②釜工程入力!$J$5:$J$117,"&gt;0",②釜工程入力!$I$5:$I$117,"&gt;0",②釜工程入力!$M$5:$M$117,"&gt;0")+SUMIFS(③スチコン工程入力!$J$5:$J$152,③スチコン工程入力!$S$5:$S$152,$J217,③スチコン工程入力!$J$5:$J$152,"&gt;0",③スチコン工程入力!$M$5:$M$152,"&gt;0")-SUMIFS(③スチコン工程入力!$J$5:$J$152,③スチコン工程入力!$S$5:$S$152,$J217,③スチコン工程入力!$J$5:$J$152,"&gt;0",③スチコン工程入力!$I$5:$I$152,"&gt;0",③スチコン工程入力!$M$5:$M$152,"&gt;0")+SUMIFS(⑪ZEN工程入力!$J$6:$J$35,⑪ZEN工程入力!$S$6:$S$35,$J217,⑪ZEN工程入力!$J$6:$J$35,"&gt;0",⑪ZEN工程入力!$M$6:$M$35,"&gt;0")-SUMIFS(⑪ZEN工程入力!$J$6:$J$35,⑪ZEN工程入力!$S$6:$S$35,$J217,⑪ZEN工程入力!$J$6:$J$35,"&gt;0",⑪ZEN工程入力!$I$6:$I$35,"&gt;0",⑪ZEN工程入力!$M$6:$M$35,"&gt;0")+SUMIFS(⑫ミキサー工程入力!$J$6:$J$65,⑫ミキサー工程入力!$S$6:$S$65,$J217,⑫ミキサー工程入力!$J$6:$J$65,"&gt;0",⑫ミキサー工程入力!$M$6:$M$65,"&gt;0")-SUMIFS(⑫ミキサー工程入力!$J$6:$J$65,⑫ミキサー工程入力!$S$6:$S$65,$J217,⑫ミキサー工程入力!$J$6:$J$65,"&gt;0",⑫ミキサー工程入力!$I$6:$I$65,"&gt;0",⑫ミキサー工程入力!$M$6:$M$65,"&gt;0")+SUMIFS(⑬計量工程入力!$J$6:$J$65,⑬計量工程入力!$S$6:$S$65,$J217,⑬計量工程入力!$J$6:$J$65,"&gt;0",⑬計量工程入力!$M$6:$M$65,"&gt;0")-SUMIFS(⑬計量工程入力!$J$6:$J$65,⑬計量工程入力!$S$6:$S$65,$J217,⑬計量工程入力!$J$6:$J$65,"&gt;0",⑬計量工程入力!$I$6:$I$65,"&gt;0",⑬計量工程入力!$M$6:$M$65,"&gt;0")+SUMIFS(⑭手動工程入力!$J$6:$J$47,⑭手動工程入力!$S$6:$S$47,$J217,⑭手動工程入力!$J$6:$J$47,"&gt;0",⑭手動工程入力!$M$6:$M$47,"&gt;0")-SUMIFS(⑭手動工程入力!$J$6:$J$47,⑭手動工程入力!$S$6:$S$47,$J217,⑭手動工程入力!$J$6:$J$47,"&gt;0",⑭手動工程入力!$I$6:$I$47,"&gt;0",⑭手動工程入力!$M$6:$M$47,"&gt;0"))</f>
        <v/>
      </c>
      <c r="P217" s="392" t="inlineStr">
        <is>
          <t>中間品リスト</t>
        </is>
      </c>
    </row>
    <row r="218">
      <c r="A218" s="392" t="n">
        <v>214</v>
      </c>
      <c r="B218" s="392" t="n"/>
      <c r="C218" s="392" t="n"/>
      <c r="D218" s="409" t="n"/>
      <c r="E218" s="392" t="n"/>
      <c r="F218" s="394" t="n"/>
      <c r="G218" s="392" t="n"/>
      <c r="H218" s="604">
        <f>IFERROR(IF(AND($K218&gt;0,ISNUMBER(IF(OR($D218="g",$D218="ｇ"),IF($M218&gt;0,$L218/$M218/1000,""),IF($D218="kg",IF($M218&gt;0,$L218/$M218,""),IF($D218="",IF($M218&gt;0,$L218/$M218/1000,IF($O218&gt;0,$N218/$O218,"")),IF($O218&gt;0,$N218/$O218,"")))))),IF(OR($D218="g",$D218="ｇ"),IF($M218&gt;0,$L218/$M218/1000,""),IF($D218="kg",IF($M218&gt;0,$L218/$M218,""),IF($D218="",IF($M218&gt;0,$L218/$M218/1000,IF($O218&gt;0,$N218/$O218,"")),IF($O218&gt;0,$N218/$O218,"")))),IF($F218="",IF(OR($E218="",$E218="⑩盛付梱包工程入力"),"",IF(OR($D218="g",$D218="ｇ"),INDEX(⑰工程労務費一覧!$N$5:$N$11,MATCH($E218,⑰工程労務費一覧!$K$5:$K$11,0))/1000,IF($D218="kg",INDEX(⑰工程労務費一覧!$N$5:$N$11,MATCH($E218,⑰工程労務費一覧!$K$5:$K$11,0)),IF(OR($D218="個",$D218="切",$D218="本",$D218="枚",$D218="尾"),IF($E218="⑬計量工程入力","",INDEX(⑰工程労務費一覧!$P$5:$P$11,MATCH($E218,⑰工程労務費一覧!$K$5:$K$11,0))),IF(AND($D218="",OR($E218="②釜工程入力",$E218="③スチコン工程入力")),INDEX(⑰工程労務費一覧!$N$5:$N$11,MATCH($E218,⑰工程労務費一覧!$K$5:$K$11,0))/1000,""))))),IF(OR($D218="g",$D218="ｇ"),INDEX(⑰工程労務費一覧!$H$5:$H$753,MATCH($F218,⑰工程労務費一覧!$D$5:$D$753,0))/1000,IF($D218="kg",INDEX(⑰工程労務費一覧!$H$5:$H$753,MATCH($F218,⑰工程労務費一覧!$D$5:$D$753,0)),INDEX(⑰工程労務費一覧!$I$5:$I$753,MATCH($F218,⑰工程労務費一覧!$D$5:$D$753,0)))))),"")</f>
        <v/>
      </c>
      <c r="I218" s="392">
        <f>IF($K218&gt;0,IF(ISNUMBER(IF(OR($D218="g",$D218="ｇ"),IF($M218&gt;0,$L218/$M218/1000,""),IF($D218="kg",IF($M218&gt;0,$L218/$M218,""),IF($D218="",IF($M218&gt;0,$L218/$M218/1000,IF($O218&gt;0,$N218/$O218,"")),IF($O218&gt;0,$N218/$O218,""))))),IF($D218="",IF($M218&gt;0,"◎ JAN紐づけ(g扱い)","◎ JAN紐づけ(個扱い)"),"◎ JAN紐づけ"),"△ JAN紐づけ済・実績不足→仮計算"),IF($F218="",IF(ISNUMBER($H218),IF($D218="","⑤ 工程平均で仮計算(g扱い)","⑤ 工程平均で仮計算"),IF($E218="⑩盛付梱包工程入力","⑥ 盛り込み(⑳F列で計上)",IF(AND($E218="⑬計量工程入力",OR($D218="個",$D218="切",$D218="本",$D218="枚",$D218="尾")),"① 未紐づけ(カット個単位は仮単価なし)","① 未紐づけ"))),IF(NOT(ISNUMBER($H218)),"② 工程側に単価なし",IF($D218="","③ 単位未設定(個で計算)","④ OK"))))</f>
        <v/>
      </c>
      <c r="J218" s="399">
        <f>IFERROR(LOOKUP(2,1/((中間品リスト!$F$2:$F$1299=$B218)*(中間品リスト!$E$2:$E$1299&lt;&gt;"-")*(中間品リスト!$E$2:$E$1299&lt;&gt;"")),中間品リスト!$E$2:$E$1299),"")</f>
        <v/>
      </c>
      <c r="K218" s="400">
        <f>IF($J218="",0,COUNTIF(②釜工程入力!$S$5:$S$117,$J218)+COUNTIF(③スチコン工程入力!$S$5:$S$152,$J218)+COUNTIF(⑪ZEN工程入力!$S$6:$S$35,$J218)+COUNTIF(⑫ミキサー工程入力!$S$6:$S$65,$J218)+COUNTIF(⑬計量工程入力!$S$6:$S$65,$J218)+COUNTIF(⑭手動工程入力!$S$6:$S$47,$J218))</f>
        <v/>
      </c>
      <c r="L218" s="393">
        <f>IF($J218="",0,SUMIFS(②釜工程入力!$M$5:$M$117,②釜工程入力!$S$5:$S$117,$J218,②釜工程入力!$I$5:$I$117,"&gt;0")+SUMIFS(③スチコン工程入力!$M$5:$M$152,③スチコン工程入力!$S$5:$S$152,$J218,③スチコン工程入力!$I$5:$I$152,"&gt;0")+SUMIFS(⑪ZEN工程入力!$M$6:$M$35,⑪ZEN工程入力!$S$6:$S$35,$J218,⑪ZEN工程入力!$I$6:$I$35,"&gt;0")+SUMIFS(⑫ミキサー工程入力!$M$6:$M$65,⑫ミキサー工程入力!$S$6:$S$65,$J218,⑫ミキサー工程入力!$I$6:$I$65,"&gt;0")+SUMIFS(⑬計量工程入力!$M$6:$M$65,⑬計量工程入力!$S$6:$S$65,$J218,⑬計量工程入力!$I$6:$I$65,"&gt;0")+SUMIFS(⑭手動工程入力!$M$6:$M$47,⑭手動工程入力!$S$6:$S$47,$J218,⑭手動工程入力!$I$6:$I$47,"&gt;0"))</f>
        <v/>
      </c>
      <c r="M218" s="393">
        <f>IF($J218="",0,SUMIFS(②釜工程入力!$I$5:$I$117,②釜工程入力!$S$5:$S$117,$J218,②釜工程入力!$I$5:$I$117,"&gt;0",②釜工程入力!$M$5:$M$117,"&gt;0")+SUMIFS(③スチコン工程入力!$I$5:$I$152,③スチコン工程入力!$S$5:$S$152,$J218,③スチコン工程入力!$I$5:$I$152,"&gt;0",③スチコン工程入力!$M$5:$M$152,"&gt;0")+SUMIFS(⑪ZEN工程入力!$I$6:$I$35,⑪ZEN工程入力!$S$6:$S$35,$J218,⑪ZEN工程入力!$I$6:$I$35,"&gt;0",⑪ZEN工程入力!$M$6:$M$35,"&gt;0")+SUMIFS(⑫ミキサー工程入力!$I$6:$I$65,⑫ミキサー工程入力!$S$6:$S$65,$J218,⑫ミキサー工程入力!$I$6:$I$65,"&gt;0",⑫ミキサー工程入力!$M$6:$M$65,"&gt;0")+SUMIFS(⑬計量工程入力!$I$6:$I$65,⑬計量工程入力!$S$6:$S$65,$J218,⑬計量工程入力!$I$6:$I$65,"&gt;0",⑬計量工程入力!$M$6:$M$65,"&gt;0")+SUMIFS(⑭手動工程入力!$I$6:$I$47,⑭手動工程入力!$S$6:$S$47,$J218,⑭手動工程入力!$I$6:$I$47,"&gt;0",⑭手動工程入力!$M$6:$M$47,"&gt;0"))</f>
        <v/>
      </c>
      <c r="N218" s="393">
        <f>IF($J218="",0,SUMIFS(②釜工程入力!$M$5:$M$117,②釜工程入力!$S$5:$S$117,$J218,②釜工程入力!$J$5:$J$117,"&gt;0")-SUMIFS(②釜工程入力!$M$5:$M$117,②釜工程入力!$S$5:$S$117,$J218,②釜工程入力!$J$5:$J$117,"&gt;0",②釜工程入力!$I$5:$I$117,"&gt;0")+SUMIFS(③スチコン工程入力!$M$5:$M$152,③スチコン工程入力!$S$5:$S$152,$J218,③スチコン工程入力!$J$5:$J$152,"&gt;0")-SUMIFS(③スチコン工程入力!$M$5:$M$152,③スチコン工程入力!$S$5:$S$152,$J218,③スチコン工程入力!$J$5:$J$152,"&gt;0",③スチコン工程入力!$I$5:$I$152,"&gt;0")+SUMIFS(⑪ZEN工程入力!$M$6:$M$35,⑪ZEN工程入力!$S$6:$S$35,$J218,⑪ZEN工程入力!$J$6:$J$35,"&gt;0")-SUMIFS(⑪ZEN工程入力!$M$6:$M$35,⑪ZEN工程入力!$S$6:$S$35,$J218,⑪ZEN工程入力!$J$6:$J$35,"&gt;0",⑪ZEN工程入力!$I$6:$I$35,"&gt;0")+SUMIFS(⑫ミキサー工程入力!$M$6:$M$65,⑫ミキサー工程入力!$S$6:$S$65,$J218,⑫ミキサー工程入力!$J$6:$J$65,"&gt;0")-SUMIFS(⑫ミキサー工程入力!$M$6:$M$65,⑫ミキサー工程入力!$S$6:$S$65,$J218,⑫ミキサー工程入力!$J$6:$J$65,"&gt;0",⑫ミキサー工程入力!$I$6:$I$65,"&gt;0")+SUMIFS(⑬計量工程入力!$M$6:$M$65,⑬計量工程入力!$S$6:$S$65,$J218,⑬計量工程入力!$J$6:$J$65,"&gt;0")-SUMIFS(⑬計量工程入力!$M$6:$M$65,⑬計量工程入力!$S$6:$S$65,$J218,⑬計量工程入力!$J$6:$J$65,"&gt;0",⑬計量工程入力!$I$6:$I$65,"&gt;0")+SUMIFS(⑭手動工程入力!$M$6:$M$47,⑭手動工程入力!$S$6:$S$47,$J218,⑭手動工程入力!$J$6:$J$47,"&gt;0")-SUMIFS(⑭手動工程入力!$M$6:$M$47,⑭手動工程入力!$S$6:$S$47,$J218,⑭手動工程入力!$J$6:$J$47,"&gt;0",⑭手動工程入力!$I$6:$I$47,"&gt;0"))</f>
        <v/>
      </c>
      <c r="O218" s="393">
        <f>IF($J218="",0,SUMIFS(②釜工程入力!$J$5:$J$117,②釜工程入力!$S$5:$S$117,$J218,②釜工程入力!$J$5:$J$117,"&gt;0",②釜工程入力!$M$5:$M$117,"&gt;0")-SUMIFS(②釜工程入力!$J$5:$J$117,②釜工程入力!$S$5:$S$117,$J218,②釜工程入力!$J$5:$J$117,"&gt;0",②釜工程入力!$I$5:$I$117,"&gt;0",②釜工程入力!$M$5:$M$117,"&gt;0")+SUMIFS(③スチコン工程入力!$J$5:$J$152,③スチコン工程入力!$S$5:$S$152,$J218,③スチコン工程入力!$J$5:$J$152,"&gt;0",③スチコン工程入力!$M$5:$M$152,"&gt;0")-SUMIFS(③スチコン工程入力!$J$5:$J$152,③スチコン工程入力!$S$5:$S$152,$J218,③スチコン工程入力!$J$5:$J$152,"&gt;0",③スチコン工程入力!$I$5:$I$152,"&gt;0",③スチコン工程入力!$M$5:$M$152,"&gt;0")+SUMIFS(⑪ZEN工程入力!$J$6:$J$35,⑪ZEN工程入力!$S$6:$S$35,$J218,⑪ZEN工程入力!$J$6:$J$35,"&gt;0",⑪ZEN工程入力!$M$6:$M$35,"&gt;0")-SUMIFS(⑪ZEN工程入力!$J$6:$J$35,⑪ZEN工程入力!$S$6:$S$35,$J218,⑪ZEN工程入力!$J$6:$J$35,"&gt;0",⑪ZEN工程入力!$I$6:$I$35,"&gt;0",⑪ZEN工程入力!$M$6:$M$35,"&gt;0")+SUMIFS(⑫ミキサー工程入力!$J$6:$J$65,⑫ミキサー工程入力!$S$6:$S$65,$J218,⑫ミキサー工程入力!$J$6:$J$65,"&gt;0",⑫ミキサー工程入力!$M$6:$M$65,"&gt;0")-SUMIFS(⑫ミキサー工程入力!$J$6:$J$65,⑫ミキサー工程入力!$S$6:$S$65,$J218,⑫ミキサー工程入力!$J$6:$J$65,"&gt;0",⑫ミキサー工程入力!$I$6:$I$65,"&gt;0",⑫ミキサー工程入力!$M$6:$M$65,"&gt;0")+SUMIFS(⑬計量工程入力!$J$6:$J$65,⑬計量工程入力!$S$6:$S$65,$J218,⑬計量工程入力!$J$6:$J$65,"&gt;0",⑬計量工程入力!$M$6:$M$65,"&gt;0")-SUMIFS(⑬計量工程入力!$J$6:$J$65,⑬計量工程入力!$S$6:$S$65,$J218,⑬計量工程入力!$J$6:$J$65,"&gt;0",⑬計量工程入力!$I$6:$I$65,"&gt;0",⑬計量工程入力!$M$6:$M$65,"&gt;0")+SUMIFS(⑭手動工程入力!$J$6:$J$47,⑭手動工程入力!$S$6:$S$47,$J218,⑭手動工程入力!$J$6:$J$47,"&gt;0",⑭手動工程入力!$M$6:$M$47,"&gt;0")-SUMIFS(⑭手動工程入力!$J$6:$J$47,⑭手動工程入力!$S$6:$S$47,$J218,⑭手動工程入力!$J$6:$J$47,"&gt;0",⑭手動工程入力!$I$6:$I$47,"&gt;0",⑭手動工程入力!$M$6:$M$47,"&gt;0"))</f>
        <v/>
      </c>
      <c r="P218" s="392" t="inlineStr">
        <is>
          <t>中間品リスト</t>
        </is>
      </c>
    </row>
    <row r="219">
      <c r="A219" s="392" t="n">
        <v>215</v>
      </c>
      <c r="B219" s="392" t="n"/>
      <c r="C219" s="392" t="n"/>
      <c r="D219" s="409" t="n"/>
      <c r="E219" s="392" t="n"/>
      <c r="F219" s="394" t="n"/>
      <c r="G219" s="392" t="n"/>
      <c r="H219" s="604">
        <f>IFERROR(IF(AND($K219&gt;0,ISNUMBER(IF(OR($D219="g",$D219="ｇ"),IF($M219&gt;0,$L219/$M219/1000,""),IF($D219="kg",IF($M219&gt;0,$L219/$M219,""),IF($D219="",IF($M219&gt;0,$L219/$M219/1000,IF($O219&gt;0,$N219/$O219,"")),IF($O219&gt;0,$N219/$O219,"")))))),IF(OR($D219="g",$D219="ｇ"),IF($M219&gt;0,$L219/$M219/1000,""),IF($D219="kg",IF($M219&gt;0,$L219/$M219,""),IF($D219="",IF($M219&gt;0,$L219/$M219/1000,IF($O219&gt;0,$N219/$O219,"")),IF($O219&gt;0,$N219/$O219,"")))),IF($F219="",IF(OR($E219="",$E219="⑩盛付梱包工程入力"),"",IF(OR($D219="g",$D219="ｇ"),INDEX(⑰工程労務費一覧!$N$5:$N$11,MATCH($E219,⑰工程労務費一覧!$K$5:$K$11,0))/1000,IF($D219="kg",INDEX(⑰工程労務費一覧!$N$5:$N$11,MATCH($E219,⑰工程労務費一覧!$K$5:$K$11,0)),IF(OR($D219="個",$D219="切",$D219="本",$D219="枚",$D219="尾"),IF($E219="⑬計量工程入力","",INDEX(⑰工程労務費一覧!$P$5:$P$11,MATCH($E219,⑰工程労務費一覧!$K$5:$K$11,0))),IF(AND($D219="",OR($E219="②釜工程入力",$E219="③スチコン工程入力")),INDEX(⑰工程労務費一覧!$N$5:$N$11,MATCH($E219,⑰工程労務費一覧!$K$5:$K$11,0))/1000,""))))),IF(OR($D219="g",$D219="ｇ"),INDEX(⑰工程労務費一覧!$H$5:$H$753,MATCH($F219,⑰工程労務費一覧!$D$5:$D$753,0))/1000,IF($D219="kg",INDEX(⑰工程労務費一覧!$H$5:$H$753,MATCH($F219,⑰工程労務費一覧!$D$5:$D$753,0)),INDEX(⑰工程労務費一覧!$I$5:$I$753,MATCH($F219,⑰工程労務費一覧!$D$5:$D$753,0)))))),"")</f>
        <v/>
      </c>
      <c r="I219" s="392">
        <f>IF($K219&gt;0,IF(ISNUMBER(IF(OR($D219="g",$D219="ｇ"),IF($M219&gt;0,$L219/$M219/1000,""),IF($D219="kg",IF($M219&gt;0,$L219/$M219,""),IF($D219="",IF($M219&gt;0,$L219/$M219/1000,IF($O219&gt;0,$N219/$O219,"")),IF($O219&gt;0,$N219/$O219,""))))),IF($D219="",IF($M219&gt;0,"◎ JAN紐づけ(g扱い)","◎ JAN紐づけ(個扱い)"),"◎ JAN紐づけ"),"△ JAN紐づけ済・実績不足→仮計算"),IF($F219="",IF(ISNUMBER($H219),IF($D219="","⑤ 工程平均で仮計算(g扱い)","⑤ 工程平均で仮計算"),IF($E219="⑩盛付梱包工程入力","⑥ 盛り込み(⑳F列で計上)",IF(AND($E219="⑬計量工程入力",OR($D219="個",$D219="切",$D219="本",$D219="枚",$D219="尾")),"① 未紐づけ(カット個単位は仮単価なし)","① 未紐づけ"))),IF(NOT(ISNUMBER($H219)),"② 工程側に単価なし",IF($D219="","③ 単位未設定(個で計算)","④ OK"))))</f>
        <v/>
      </c>
      <c r="J219" s="399">
        <f>IFERROR(LOOKUP(2,1/((中間品リスト!$F$2:$F$1299=$B219)*(中間品リスト!$E$2:$E$1299&lt;&gt;"-")*(中間品リスト!$E$2:$E$1299&lt;&gt;"")),中間品リスト!$E$2:$E$1299),"")</f>
        <v/>
      </c>
      <c r="K219" s="400">
        <f>IF($J219="",0,COUNTIF(②釜工程入力!$S$5:$S$117,$J219)+COUNTIF(③スチコン工程入力!$S$5:$S$152,$J219)+COUNTIF(⑪ZEN工程入力!$S$6:$S$35,$J219)+COUNTIF(⑫ミキサー工程入力!$S$6:$S$65,$J219)+COUNTIF(⑬計量工程入力!$S$6:$S$65,$J219)+COUNTIF(⑭手動工程入力!$S$6:$S$47,$J219))</f>
        <v/>
      </c>
      <c r="L219" s="393">
        <f>IF($J219="",0,SUMIFS(②釜工程入力!$M$5:$M$117,②釜工程入力!$S$5:$S$117,$J219,②釜工程入力!$I$5:$I$117,"&gt;0")+SUMIFS(③スチコン工程入力!$M$5:$M$152,③スチコン工程入力!$S$5:$S$152,$J219,③スチコン工程入力!$I$5:$I$152,"&gt;0")+SUMIFS(⑪ZEN工程入力!$M$6:$M$35,⑪ZEN工程入力!$S$6:$S$35,$J219,⑪ZEN工程入力!$I$6:$I$35,"&gt;0")+SUMIFS(⑫ミキサー工程入力!$M$6:$M$65,⑫ミキサー工程入力!$S$6:$S$65,$J219,⑫ミキサー工程入力!$I$6:$I$65,"&gt;0")+SUMIFS(⑬計量工程入力!$M$6:$M$65,⑬計量工程入力!$S$6:$S$65,$J219,⑬計量工程入力!$I$6:$I$65,"&gt;0")+SUMIFS(⑭手動工程入力!$M$6:$M$47,⑭手動工程入力!$S$6:$S$47,$J219,⑭手動工程入力!$I$6:$I$47,"&gt;0"))</f>
        <v/>
      </c>
      <c r="M219" s="393">
        <f>IF($J219="",0,SUMIFS(②釜工程入力!$I$5:$I$117,②釜工程入力!$S$5:$S$117,$J219,②釜工程入力!$I$5:$I$117,"&gt;0",②釜工程入力!$M$5:$M$117,"&gt;0")+SUMIFS(③スチコン工程入力!$I$5:$I$152,③スチコン工程入力!$S$5:$S$152,$J219,③スチコン工程入力!$I$5:$I$152,"&gt;0",③スチコン工程入力!$M$5:$M$152,"&gt;0")+SUMIFS(⑪ZEN工程入力!$I$6:$I$35,⑪ZEN工程入力!$S$6:$S$35,$J219,⑪ZEN工程入力!$I$6:$I$35,"&gt;0",⑪ZEN工程入力!$M$6:$M$35,"&gt;0")+SUMIFS(⑫ミキサー工程入力!$I$6:$I$65,⑫ミキサー工程入力!$S$6:$S$65,$J219,⑫ミキサー工程入力!$I$6:$I$65,"&gt;0",⑫ミキサー工程入力!$M$6:$M$65,"&gt;0")+SUMIFS(⑬計量工程入力!$I$6:$I$65,⑬計量工程入力!$S$6:$S$65,$J219,⑬計量工程入力!$I$6:$I$65,"&gt;0",⑬計量工程入力!$M$6:$M$65,"&gt;0")+SUMIFS(⑭手動工程入力!$I$6:$I$47,⑭手動工程入力!$S$6:$S$47,$J219,⑭手動工程入力!$I$6:$I$47,"&gt;0",⑭手動工程入力!$M$6:$M$47,"&gt;0"))</f>
        <v/>
      </c>
      <c r="N219" s="393">
        <f>IF($J219="",0,SUMIFS(②釜工程入力!$M$5:$M$117,②釜工程入力!$S$5:$S$117,$J219,②釜工程入力!$J$5:$J$117,"&gt;0")-SUMIFS(②釜工程入力!$M$5:$M$117,②釜工程入力!$S$5:$S$117,$J219,②釜工程入力!$J$5:$J$117,"&gt;0",②釜工程入力!$I$5:$I$117,"&gt;0")+SUMIFS(③スチコン工程入力!$M$5:$M$152,③スチコン工程入力!$S$5:$S$152,$J219,③スチコン工程入力!$J$5:$J$152,"&gt;0")-SUMIFS(③スチコン工程入力!$M$5:$M$152,③スチコン工程入力!$S$5:$S$152,$J219,③スチコン工程入力!$J$5:$J$152,"&gt;0",③スチコン工程入力!$I$5:$I$152,"&gt;0")+SUMIFS(⑪ZEN工程入力!$M$6:$M$35,⑪ZEN工程入力!$S$6:$S$35,$J219,⑪ZEN工程入力!$J$6:$J$35,"&gt;0")-SUMIFS(⑪ZEN工程入力!$M$6:$M$35,⑪ZEN工程入力!$S$6:$S$35,$J219,⑪ZEN工程入力!$J$6:$J$35,"&gt;0",⑪ZEN工程入力!$I$6:$I$35,"&gt;0")+SUMIFS(⑫ミキサー工程入力!$M$6:$M$65,⑫ミキサー工程入力!$S$6:$S$65,$J219,⑫ミキサー工程入力!$J$6:$J$65,"&gt;0")-SUMIFS(⑫ミキサー工程入力!$M$6:$M$65,⑫ミキサー工程入力!$S$6:$S$65,$J219,⑫ミキサー工程入力!$J$6:$J$65,"&gt;0",⑫ミキサー工程入力!$I$6:$I$65,"&gt;0")+SUMIFS(⑬計量工程入力!$M$6:$M$65,⑬計量工程入力!$S$6:$S$65,$J219,⑬計量工程入力!$J$6:$J$65,"&gt;0")-SUMIFS(⑬計量工程入力!$M$6:$M$65,⑬計量工程入力!$S$6:$S$65,$J219,⑬計量工程入力!$J$6:$J$65,"&gt;0",⑬計量工程入力!$I$6:$I$65,"&gt;0")+SUMIFS(⑭手動工程入力!$M$6:$M$47,⑭手動工程入力!$S$6:$S$47,$J219,⑭手動工程入力!$J$6:$J$47,"&gt;0")-SUMIFS(⑭手動工程入力!$M$6:$M$47,⑭手動工程入力!$S$6:$S$47,$J219,⑭手動工程入力!$J$6:$J$47,"&gt;0",⑭手動工程入力!$I$6:$I$47,"&gt;0"))</f>
        <v/>
      </c>
      <c r="O219" s="393">
        <f>IF($J219="",0,SUMIFS(②釜工程入力!$J$5:$J$117,②釜工程入力!$S$5:$S$117,$J219,②釜工程入力!$J$5:$J$117,"&gt;0",②釜工程入力!$M$5:$M$117,"&gt;0")-SUMIFS(②釜工程入力!$J$5:$J$117,②釜工程入力!$S$5:$S$117,$J219,②釜工程入力!$J$5:$J$117,"&gt;0",②釜工程入力!$I$5:$I$117,"&gt;0",②釜工程入力!$M$5:$M$117,"&gt;0")+SUMIFS(③スチコン工程入力!$J$5:$J$152,③スチコン工程入力!$S$5:$S$152,$J219,③スチコン工程入力!$J$5:$J$152,"&gt;0",③スチコン工程入力!$M$5:$M$152,"&gt;0")-SUMIFS(③スチコン工程入力!$J$5:$J$152,③スチコン工程入力!$S$5:$S$152,$J219,③スチコン工程入力!$J$5:$J$152,"&gt;0",③スチコン工程入力!$I$5:$I$152,"&gt;0",③スチコン工程入力!$M$5:$M$152,"&gt;0")+SUMIFS(⑪ZEN工程入力!$J$6:$J$35,⑪ZEN工程入力!$S$6:$S$35,$J219,⑪ZEN工程入力!$J$6:$J$35,"&gt;0",⑪ZEN工程入力!$M$6:$M$35,"&gt;0")-SUMIFS(⑪ZEN工程入力!$J$6:$J$35,⑪ZEN工程入力!$S$6:$S$35,$J219,⑪ZEN工程入力!$J$6:$J$35,"&gt;0",⑪ZEN工程入力!$I$6:$I$35,"&gt;0",⑪ZEN工程入力!$M$6:$M$35,"&gt;0")+SUMIFS(⑫ミキサー工程入力!$J$6:$J$65,⑫ミキサー工程入力!$S$6:$S$65,$J219,⑫ミキサー工程入力!$J$6:$J$65,"&gt;0",⑫ミキサー工程入力!$M$6:$M$65,"&gt;0")-SUMIFS(⑫ミキサー工程入力!$J$6:$J$65,⑫ミキサー工程入力!$S$6:$S$65,$J219,⑫ミキサー工程入力!$J$6:$J$65,"&gt;0",⑫ミキサー工程入力!$I$6:$I$65,"&gt;0",⑫ミキサー工程入力!$M$6:$M$65,"&gt;0")+SUMIFS(⑬計量工程入力!$J$6:$J$65,⑬計量工程入力!$S$6:$S$65,$J219,⑬計量工程入力!$J$6:$J$65,"&gt;0",⑬計量工程入力!$M$6:$M$65,"&gt;0")-SUMIFS(⑬計量工程入力!$J$6:$J$65,⑬計量工程入力!$S$6:$S$65,$J219,⑬計量工程入力!$J$6:$J$65,"&gt;0",⑬計量工程入力!$I$6:$I$65,"&gt;0",⑬計量工程入力!$M$6:$M$65,"&gt;0")+SUMIFS(⑭手動工程入力!$J$6:$J$47,⑭手動工程入力!$S$6:$S$47,$J219,⑭手動工程入力!$J$6:$J$47,"&gt;0",⑭手動工程入力!$M$6:$M$47,"&gt;0")-SUMIFS(⑭手動工程入力!$J$6:$J$47,⑭手動工程入力!$S$6:$S$47,$J219,⑭手動工程入力!$J$6:$J$47,"&gt;0",⑭手動工程入力!$I$6:$I$47,"&gt;0",⑭手動工程入力!$M$6:$M$47,"&gt;0"))</f>
        <v/>
      </c>
      <c r="P219" s="392" t="inlineStr">
        <is>
          <t>中間品リスト</t>
        </is>
      </c>
    </row>
    <row r="220">
      <c r="A220" s="392" t="n">
        <v>216</v>
      </c>
      <c r="B220" s="392" t="n"/>
      <c r="C220" s="392" t="n"/>
      <c r="D220" s="409" t="n"/>
      <c r="E220" s="392" t="n"/>
      <c r="F220" s="394" t="n"/>
      <c r="G220" s="392" t="n"/>
      <c r="H220" s="604">
        <f>IFERROR(IF(AND($K220&gt;0,ISNUMBER(IF(OR($D220="g",$D220="ｇ"),IF($M220&gt;0,$L220/$M220/1000,""),IF($D220="kg",IF($M220&gt;0,$L220/$M220,""),IF($D220="",IF($M220&gt;0,$L220/$M220/1000,IF($O220&gt;0,$N220/$O220,"")),IF($O220&gt;0,$N220/$O220,"")))))),IF(OR($D220="g",$D220="ｇ"),IF($M220&gt;0,$L220/$M220/1000,""),IF($D220="kg",IF($M220&gt;0,$L220/$M220,""),IF($D220="",IF($M220&gt;0,$L220/$M220/1000,IF($O220&gt;0,$N220/$O220,"")),IF($O220&gt;0,$N220/$O220,"")))),IF($F220="",IF(OR($E220="",$E220="⑩盛付梱包工程入力"),"",IF(OR($D220="g",$D220="ｇ"),INDEX(⑰工程労務費一覧!$N$5:$N$11,MATCH($E220,⑰工程労務費一覧!$K$5:$K$11,0))/1000,IF($D220="kg",INDEX(⑰工程労務費一覧!$N$5:$N$11,MATCH($E220,⑰工程労務費一覧!$K$5:$K$11,0)),IF(OR($D220="個",$D220="切",$D220="本",$D220="枚",$D220="尾"),IF($E220="⑬計量工程入力","",INDEX(⑰工程労務費一覧!$P$5:$P$11,MATCH($E220,⑰工程労務費一覧!$K$5:$K$11,0))),IF(AND($D220="",OR($E220="②釜工程入力",$E220="③スチコン工程入力")),INDEX(⑰工程労務費一覧!$N$5:$N$11,MATCH($E220,⑰工程労務費一覧!$K$5:$K$11,0))/1000,""))))),IF(OR($D220="g",$D220="ｇ"),INDEX(⑰工程労務費一覧!$H$5:$H$753,MATCH($F220,⑰工程労務費一覧!$D$5:$D$753,0))/1000,IF($D220="kg",INDEX(⑰工程労務費一覧!$H$5:$H$753,MATCH($F220,⑰工程労務費一覧!$D$5:$D$753,0)),INDEX(⑰工程労務費一覧!$I$5:$I$753,MATCH($F220,⑰工程労務費一覧!$D$5:$D$753,0)))))),"")</f>
        <v/>
      </c>
      <c r="I220" s="392">
        <f>IF($K220&gt;0,IF(ISNUMBER(IF(OR($D220="g",$D220="ｇ"),IF($M220&gt;0,$L220/$M220/1000,""),IF($D220="kg",IF($M220&gt;0,$L220/$M220,""),IF($D220="",IF($M220&gt;0,$L220/$M220/1000,IF($O220&gt;0,$N220/$O220,"")),IF($O220&gt;0,$N220/$O220,""))))),IF($D220="",IF($M220&gt;0,"◎ JAN紐づけ(g扱い)","◎ JAN紐づけ(個扱い)"),"◎ JAN紐づけ"),"△ JAN紐づけ済・実績不足→仮計算"),IF($F220="",IF(ISNUMBER($H220),IF($D220="","⑤ 工程平均で仮計算(g扱い)","⑤ 工程平均で仮計算"),IF($E220="⑩盛付梱包工程入力","⑥ 盛り込み(⑳F列で計上)",IF(AND($E220="⑬計量工程入力",OR($D220="個",$D220="切",$D220="本",$D220="枚",$D220="尾")),"① 未紐づけ(カット個単位は仮単価なし)","① 未紐づけ"))),IF(NOT(ISNUMBER($H220)),"② 工程側に単価なし",IF($D220="","③ 単位未設定(個で計算)","④ OK"))))</f>
        <v/>
      </c>
      <c r="J220" s="399">
        <f>IFERROR(LOOKUP(2,1/((中間品リスト!$F$2:$F$1299=$B220)*(中間品リスト!$E$2:$E$1299&lt;&gt;"-")*(中間品リスト!$E$2:$E$1299&lt;&gt;"")),中間品リスト!$E$2:$E$1299),"")</f>
        <v/>
      </c>
      <c r="K220" s="400">
        <f>IF($J220="",0,COUNTIF(②釜工程入力!$S$5:$S$117,$J220)+COUNTIF(③スチコン工程入力!$S$5:$S$152,$J220)+COUNTIF(⑪ZEN工程入力!$S$6:$S$35,$J220)+COUNTIF(⑫ミキサー工程入力!$S$6:$S$65,$J220)+COUNTIF(⑬計量工程入力!$S$6:$S$65,$J220)+COUNTIF(⑭手動工程入力!$S$6:$S$47,$J220))</f>
        <v/>
      </c>
      <c r="L220" s="393">
        <f>IF($J220="",0,SUMIFS(②釜工程入力!$M$5:$M$117,②釜工程入力!$S$5:$S$117,$J220,②釜工程入力!$I$5:$I$117,"&gt;0")+SUMIFS(③スチコン工程入力!$M$5:$M$152,③スチコン工程入力!$S$5:$S$152,$J220,③スチコン工程入力!$I$5:$I$152,"&gt;0")+SUMIFS(⑪ZEN工程入力!$M$6:$M$35,⑪ZEN工程入力!$S$6:$S$35,$J220,⑪ZEN工程入力!$I$6:$I$35,"&gt;0")+SUMIFS(⑫ミキサー工程入力!$M$6:$M$65,⑫ミキサー工程入力!$S$6:$S$65,$J220,⑫ミキサー工程入力!$I$6:$I$65,"&gt;0")+SUMIFS(⑬計量工程入力!$M$6:$M$65,⑬計量工程入力!$S$6:$S$65,$J220,⑬計量工程入力!$I$6:$I$65,"&gt;0")+SUMIFS(⑭手動工程入力!$M$6:$M$47,⑭手動工程入力!$S$6:$S$47,$J220,⑭手動工程入力!$I$6:$I$47,"&gt;0"))</f>
        <v/>
      </c>
      <c r="M220" s="393">
        <f>IF($J220="",0,SUMIFS(②釜工程入力!$I$5:$I$117,②釜工程入力!$S$5:$S$117,$J220,②釜工程入力!$I$5:$I$117,"&gt;0",②釜工程入力!$M$5:$M$117,"&gt;0")+SUMIFS(③スチコン工程入力!$I$5:$I$152,③スチコン工程入力!$S$5:$S$152,$J220,③スチコン工程入力!$I$5:$I$152,"&gt;0",③スチコン工程入力!$M$5:$M$152,"&gt;0")+SUMIFS(⑪ZEN工程入力!$I$6:$I$35,⑪ZEN工程入力!$S$6:$S$35,$J220,⑪ZEN工程入力!$I$6:$I$35,"&gt;0",⑪ZEN工程入力!$M$6:$M$35,"&gt;0")+SUMIFS(⑫ミキサー工程入力!$I$6:$I$65,⑫ミキサー工程入力!$S$6:$S$65,$J220,⑫ミキサー工程入力!$I$6:$I$65,"&gt;0",⑫ミキサー工程入力!$M$6:$M$65,"&gt;0")+SUMIFS(⑬計量工程入力!$I$6:$I$65,⑬計量工程入力!$S$6:$S$65,$J220,⑬計量工程入力!$I$6:$I$65,"&gt;0",⑬計量工程入力!$M$6:$M$65,"&gt;0")+SUMIFS(⑭手動工程入力!$I$6:$I$47,⑭手動工程入力!$S$6:$S$47,$J220,⑭手動工程入力!$I$6:$I$47,"&gt;0",⑭手動工程入力!$M$6:$M$47,"&gt;0"))</f>
        <v/>
      </c>
      <c r="N220" s="393">
        <f>IF($J220="",0,SUMIFS(②釜工程入力!$M$5:$M$117,②釜工程入力!$S$5:$S$117,$J220,②釜工程入力!$J$5:$J$117,"&gt;0")-SUMIFS(②釜工程入力!$M$5:$M$117,②釜工程入力!$S$5:$S$117,$J220,②釜工程入力!$J$5:$J$117,"&gt;0",②釜工程入力!$I$5:$I$117,"&gt;0")+SUMIFS(③スチコン工程入力!$M$5:$M$152,③スチコン工程入力!$S$5:$S$152,$J220,③スチコン工程入力!$J$5:$J$152,"&gt;0")-SUMIFS(③スチコン工程入力!$M$5:$M$152,③スチコン工程入力!$S$5:$S$152,$J220,③スチコン工程入力!$J$5:$J$152,"&gt;0",③スチコン工程入力!$I$5:$I$152,"&gt;0")+SUMIFS(⑪ZEN工程入力!$M$6:$M$35,⑪ZEN工程入力!$S$6:$S$35,$J220,⑪ZEN工程入力!$J$6:$J$35,"&gt;0")-SUMIFS(⑪ZEN工程入力!$M$6:$M$35,⑪ZEN工程入力!$S$6:$S$35,$J220,⑪ZEN工程入力!$J$6:$J$35,"&gt;0",⑪ZEN工程入力!$I$6:$I$35,"&gt;0")+SUMIFS(⑫ミキサー工程入力!$M$6:$M$65,⑫ミキサー工程入力!$S$6:$S$65,$J220,⑫ミキサー工程入力!$J$6:$J$65,"&gt;0")-SUMIFS(⑫ミキサー工程入力!$M$6:$M$65,⑫ミキサー工程入力!$S$6:$S$65,$J220,⑫ミキサー工程入力!$J$6:$J$65,"&gt;0",⑫ミキサー工程入力!$I$6:$I$65,"&gt;0")+SUMIFS(⑬計量工程入力!$M$6:$M$65,⑬計量工程入力!$S$6:$S$65,$J220,⑬計量工程入力!$J$6:$J$65,"&gt;0")-SUMIFS(⑬計量工程入力!$M$6:$M$65,⑬計量工程入力!$S$6:$S$65,$J220,⑬計量工程入力!$J$6:$J$65,"&gt;0",⑬計量工程入力!$I$6:$I$65,"&gt;0")+SUMIFS(⑭手動工程入力!$M$6:$M$47,⑭手動工程入力!$S$6:$S$47,$J220,⑭手動工程入力!$J$6:$J$47,"&gt;0")-SUMIFS(⑭手動工程入力!$M$6:$M$47,⑭手動工程入力!$S$6:$S$47,$J220,⑭手動工程入力!$J$6:$J$47,"&gt;0",⑭手動工程入力!$I$6:$I$47,"&gt;0"))</f>
        <v/>
      </c>
      <c r="O220" s="393">
        <f>IF($J220="",0,SUMIFS(②釜工程入力!$J$5:$J$117,②釜工程入力!$S$5:$S$117,$J220,②釜工程入力!$J$5:$J$117,"&gt;0",②釜工程入力!$M$5:$M$117,"&gt;0")-SUMIFS(②釜工程入力!$J$5:$J$117,②釜工程入力!$S$5:$S$117,$J220,②釜工程入力!$J$5:$J$117,"&gt;0",②釜工程入力!$I$5:$I$117,"&gt;0",②釜工程入力!$M$5:$M$117,"&gt;0")+SUMIFS(③スチコン工程入力!$J$5:$J$152,③スチコン工程入力!$S$5:$S$152,$J220,③スチコン工程入力!$J$5:$J$152,"&gt;0",③スチコン工程入力!$M$5:$M$152,"&gt;0")-SUMIFS(③スチコン工程入力!$J$5:$J$152,③スチコン工程入力!$S$5:$S$152,$J220,③スチコン工程入力!$J$5:$J$152,"&gt;0",③スチコン工程入力!$I$5:$I$152,"&gt;0",③スチコン工程入力!$M$5:$M$152,"&gt;0")+SUMIFS(⑪ZEN工程入力!$J$6:$J$35,⑪ZEN工程入力!$S$6:$S$35,$J220,⑪ZEN工程入力!$J$6:$J$35,"&gt;0",⑪ZEN工程入力!$M$6:$M$35,"&gt;0")-SUMIFS(⑪ZEN工程入力!$J$6:$J$35,⑪ZEN工程入力!$S$6:$S$35,$J220,⑪ZEN工程入力!$J$6:$J$35,"&gt;0",⑪ZEN工程入力!$I$6:$I$35,"&gt;0",⑪ZEN工程入力!$M$6:$M$35,"&gt;0")+SUMIFS(⑫ミキサー工程入力!$J$6:$J$65,⑫ミキサー工程入力!$S$6:$S$65,$J220,⑫ミキサー工程入力!$J$6:$J$65,"&gt;0",⑫ミキサー工程入力!$M$6:$M$65,"&gt;0")-SUMIFS(⑫ミキサー工程入力!$J$6:$J$65,⑫ミキサー工程入力!$S$6:$S$65,$J220,⑫ミキサー工程入力!$J$6:$J$65,"&gt;0",⑫ミキサー工程入力!$I$6:$I$65,"&gt;0",⑫ミキサー工程入力!$M$6:$M$65,"&gt;0")+SUMIFS(⑬計量工程入力!$J$6:$J$65,⑬計量工程入力!$S$6:$S$65,$J220,⑬計量工程入力!$J$6:$J$65,"&gt;0",⑬計量工程入力!$M$6:$M$65,"&gt;0")-SUMIFS(⑬計量工程入力!$J$6:$J$65,⑬計量工程入力!$S$6:$S$65,$J220,⑬計量工程入力!$J$6:$J$65,"&gt;0",⑬計量工程入力!$I$6:$I$65,"&gt;0",⑬計量工程入力!$M$6:$M$65,"&gt;0")+SUMIFS(⑭手動工程入力!$J$6:$J$47,⑭手動工程入力!$S$6:$S$47,$J220,⑭手動工程入力!$J$6:$J$47,"&gt;0",⑭手動工程入力!$M$6:$M$47,"&gt;0")-SUMIFS(⑭手動工程入力!$J$6:$J$47,⑭手動工程入力!$S$6:$S$47,$J220,⑭手動工程入力!$J$6:$J$47,"&gt;0",⑭手動工程入力!$I$6:$I$47,"&gt;0",⑭手動工程入力!$M$6:$M$47,"&gt;0"))</f>
        <v/>
      </c>
      <c r="P220" s="392" t="inlineStr">
        <is>
          <t>中間品リスト</t>
        </is>
      </c>
    </row>
    <row r="221">
      <c r="A221" s="392" t="n">
        <v>217</v>
      </c>
      <c r="B221" s="392" t="n"/>
      <c r="C221" s="392" t="n"/>
      <c r="D221" s="409" t="n"/>
      <c r="E221" s="392" t="n"/>
      <c r="F221" s="394" t="n"/>
      <c r="G221" s="392" t="n"/>
      <c r="H221" s="604">
        <f>IFERROR(IF(AND($K221&gt;0,ISNUMBER(IF(OR($D221="g",$D221="ｇ"),IF($M221&gt;0,$L221/$M221/1000,""),IF($D221="kg",IF($M221&gt;0,$L221/$M221,""),IF($D221="",IF($M221&gt;0,$L221/$M221/1000,IF($O221&gt;0,$N221/$O221,"")),IF($O221&gt;0,$N221/$O221,"")))))),IF(OR($D221="g",$D221="ｇ"),IF($M221&gt;0,$L221/$M221/1000,""),IF($D221="kg",IF($M221&gt;0,$L221/$M221,""),IF($D221="",IF($M221&gt;0,$L221/$M221/1000,IF($O221&gt;0,$N221/$O221,"")),IF($O221&gt;0,$N221/$O221,"")))),IF($F221="",IF(OR($E221="",$E221="⑩盛付梱包工程入力"),"",IF(OR($D221="g",$D221="ｇ"),INDEX(⑰工程労務費一覧!$N$5:$N$11,MATCH($E221,⑰工程労務費一覧!$K$5:$K$11,0))/1000,IF($D221="kg",INDEX(⑰工程労務費一覧!$N$5:$N$11,MATCH($E221,⑰工程労務費一覧!$K$5:$K$11,0)),IF(OR($D221="個",$D221="切",$D221="本",$D221="枚",$D221="尾"),IF($E221="⑬計量工程入力","",INDEX(⑰工程労務費一覧!$P$5:$P$11,MATCH($E221,⑰工程労務費一覧!$K$5:$K$11,0))),IF(AND($D221="",OR($E221="②釜工程入力",$E221="③スチコン工程入力")),INDEX(⑰工程労務費一覧!$N$5:$N$11,MATCH($E221,⑰工程労務費一覧!$K$5:$K$11,0))/1000,""))))),IF(OR($D221="g",$D221="ｇ"),INDEX(⑰工程労務費一覧!$H$5:$H$753,MATCH($F221,⑰工程労務費一覧!$D$5:$D$753,0))/1000,IF($D221="kg",INDEX(⑰工程労務費一覧!$H$5:$H$753,MATCH($F221,⑰工程労務費一覧!$D$5:$D$753,0)),INDEX(⑰工程労務費一覧!$I$5:$I$753,MATCH($F221,⑰工程労務費一覧!$D$5:$D$753,0)))))),"")</f>
        <v/>
      </c>
      <c r="I221" s="392">
        <f>IF($K221&gt;0,IF(ISNUMBER(IF(OR($D221="g",$D221="ｇ"),IF($M221&gt;0,$L221/$M221/1000,""),IF($D221="kg",IF($M221&gt;0,$L221/$M221,""),IF($D221="",IF($M221&gt;0,$L221/$M221/1000,IF($O221&gt;0,$N221/$O221,"")),IF($O221&gt;0,$N221/$O221,""))))),IF($D221="",IF($M221&gt;0,"◎ JAN紐づけ(g扱い)","◎ JAN紐づけ(個扱い)"),"◎ JAN紐づけ"),"△ JAN紐づけ済・実績不足→仮計算"),IF($F221="",IF(ISNUMBER($H221),IF($D221="","⑤ 工程平均で仮計算(g扱い)","⑤ 工程平均で仮計算"),IF($E221="⑩盛付梱包工程入力","⑥ 盛り込み(⑳F列で計上)",IF(AND($E221="⑬計量工程入力",OR($D221="個",$D221="切",$D221="本",$D221="枚",$D221="尾")),"① 未紐づけ(カット個単位は仮単価なし)","① 未紐づけ"))),IF(NOT(ISNUMBER($H221)),"② 工程側に単価なし",IF($D221="","③ 単位未設定(個で計算)","④ OK"))))</f>
        <v/>
      </c>
      <c r="J221" s="399">
        <f>IFERROR(LOOKUP(2,1/((中間品リスト!$F$2:$F$1299=$B221)*(中間品リスト!$E$2:$E$1299&lt;&gt;"-")*(中間品リスト!$E$2:$E$1299&lt;&gt;"")),中間品リスト!$E$2:$E$1299),"")</f>
        <v/>
      </c>
      <c r="K221" s="400">
        <f>IF($J221="",0,COUNTIF(②釜工程入力!$S$5:$S$117,$J221)+COUNTIF(③スチコン工程入力!$S$5:$S$152,$J221)+COUNTIF(⑪ZEN工程入力!$S$6:$S$35,$J221)+COUNTIF(⑫ミキサー工程入力!$S$6:$S$65,$J221)+COUNTIF(⑬計量工程入力!$S$6:$S$65,$J221)+COUNTIF(⑭手動工程入力!$S$6:$S$47,$J221))</f>
        <v/>
      </c>
      <c r="L221" s="393">
        <f>IF($J221="",0,SUMIFS(②釜工程入力!$M$5:$M$117,②釜工程入力!$S$5:$S$117,$J221,②釜工程入力!$I$5:$I$117,"&gt;0")+SUMIFS(③スチコン工程入力!$M$5:$M$152,③スチコン工程入力!$S$5:$S$152,$J221,③スチコン工程入力!$I$5:$I$152,"&gt;0")+SUMIFS(⑪ZEN工程入力!$M$6:$M$35,⑪ZEN工程入力!$S$6:$S$35,$J221,⑪ZEN工程入力!$I$6:$I$35,"&gt;0")+SUMIFS(⑫ミキサー工程入力!$M$6:$M$65,⑫ミキサー工程入力!$S$6:$S$65,$J221,⑫ミキサー工程入力!$I$6:$I$65,"&gt;0")+SUMIFS(⑬計量工程入力!$M$6:$M$65,⑬計量工程入力!$S$6:$S$65,$J221,⑬計量工程入力!$I$6:$I$65,"&gt;0")+SUMIFS(⑭手動工程入力!$M$6:$M$47,⑭手動工程入力!$S$6:$S$47,$J221,⑭手動工程入力!$I$6:$I$47,"&gt;0"))</f>
        <v/>
      </c>
      <c r="M221" s="393">
        <f>IF($J221="",0,SUMIFS(②釜工程入力!$I$5:$I$117,②釜工程入力!$S$5:$S$117,$J221,②釜工程入力!$I$5:$I$117,"&gt;0",②釜工程入力!$M$5:$M$117,"&gt;0")+SUMIFS(③スチコン工程入力!$I$5:$I$152,③スチコン工程入力!$S$5:$S$152,$J221,③スチコン工程入力!$I$5:$I$152,"&gt;0",③スチコン工程入力!$M$5:$M$152,"&gt;0")+SUMIFS(⑪ZEN工程入力!$I$6:$I$35,⑪ZEN工程入力!$S$6:$S$35,$J221,⑪ZEN工程入力!$I$6:$I$35,"&gt;0",⑪ZEN工程入力!$M$6:$M$35,"&gt;0")+SUMIFS(⑫ミキサー工程入力!$I$6:$I$65,⑫ミキサー工程入力!$S$6:$S$65,$J221,⑫ミキサー工程入力!$I$6:$I$65,"&gt;0",⑫ミキサー工程入力!$M$6:$M$65,"&gt;0")+SUMIFS(⑬計量工程入力!$I$6:$I$65,⑬計量工程入力!$S$6:$S$65,$J221,⑬計量工程入力!$I$6:$I$65,"&gt;0",⑬計量工程入力!$M$6:$M$65,"&gt;0")+SUMIFS(⑭手動工程入力!$I$6:$I$47,⑭手動工程入力!$S$6:$S$47,$J221,⑭手動工程入力!$I$6:$I$47,"&gt;0",⑭手動工程入力!$M$6:$M$47,"&gt;0"))</f>
        <v/>
      </c>
      <c r="N221" s="393">
        <f>IF($J221="",0,SUMIFS(②釜工程入力!$M$5:$M$117,②釜工程入力!$S$5:$S$117,$J221,②釜工程入力!$J$5:$J$117,"&gt;0")-SUMIFS(②釜工程入力!$M$5:$M$117,②釜工程入力!$S$5:$S$117,$J221,②釜工程入力!$J$5:$J$117,"&gt;0",②釜工程入力!$I$5:$I$117,"&gt;0")+SUMIFS(③スチコン工程入力!$M$5:$M$152,③スチコン工程入力!$S$5:$S$152,$J221,③スチコン工程入力!$J$5:$J$152,"&gt;0")-SUMIFS(③スチコン工程入力!$M$5:$M$152,③スチコン工程入力!$S$5:$S$152,$J221,③スチコン工程入力!$J$5:$J$152,"&gt;0",③スチコン工程入力!$I$5:$I$152,"&gt;0")+SUMIFS(⑪ZEN工程入力!$M$6:$M$35,⑪ZEN工程入力!$S$6:$S$35,$J221,⑪ZEN工程入力!$J$6:$J$35,"&gt;0")-SUMIFS(⑪ZEN工程入力!$M$6:$M$35,⑪ZEN工程入力!$S$6:$S$35,$J221,⑪ZEN工程入力!$J$6:$J$35,"&gt;0",⑪ZEN工程入力!$I$6:$I$35,"&gt;0")+SUMIFS(⑫ミキサー工程入力!$M$6:$M$65,⑫ミキサー工程入力!$S$6:$S$65,$J221,⑫ミキサー工程入力!$J$6:$J$65,"&gt;0")-SUMIFS(⑫ミキサー工程入力!$M$6:$M$65,⑫ミキサー工程入力!$S$6:$S$65,$J221,⑫ミキサー工程入力!$J$6:$J$65,"&gt;0",⑫ミキサー工程入力!$I$6:$I$65,"&gt;0")+SUMIFS(⑬計量工程入力!$M$6:$M$65,⑬計量工程入力!$S$6:$S$65,$J221,⑬計量工程入力!$J$6:$J$65,"&gt;0")-SUMIFS(⑬計量工程入力!$M$6:$M$65,⑬計量工程入力!$S$6:$S$65,$J221,⑬計量工程入力!$J$6:$J$65,"&gt;0",⑬計量工程入力!$I$6:$I$65,"&gt;0")+SUMIFS(⑭手動工程入力!$M$6:$M$47,⑭手動工程入力!$S$6:$S$47,$J221,⑭手動工程入力!$J$6:$J$47,"&gt;0")-SUMIFS(⑭手動工程入力!$M$6:$M$47,⑭手動工程入力!$S$6:$S$47,$J221,⑭手動工程入力!$J$6:$J$47,"&gt;0",⑭手動工程入力!$I$6:$I$47,"&gt;0"))</f>
        <v/>
      </c>
      <c r="O221" s="393">
        <f>IF($J221="",0,SUMIFS(②釜工程入力!$J$5:$J$117,②釜工程入力!$S$5:$S$117,$J221,②釜工程入力!$J$5:$J$117,"&gt;0",②釜工程入力!$M$5:$M$117,"&gt;0")-SUMIFS(②釜工程入力!$J$5:$J$117,②釜工程入力!$S$5:$S$117,$J221,②釜工程入力!$J$5:$J$117,"&gt;0",②釜工程入力!$I$5:$I$117,"&gt;0",②釜工程入力!$M$5:$M$117,"&gt;0")+SUMIFS(③スチコン工程入力!$J$5:$J$152,③スチコン工程入力!$S$5:$S$152,$J221,③スチコン工程入力!$J$5:$J$152,"&gt;0",③スチコン工程入力!$M$5:$M$152,"&gt;0")-SUMIFS(③スチコン工程入力!$J$5:$J$152,③スチコン工程入力!$S$5:$S$152,$J221,③スチコン工程入力!$J$5:$J$152,"&gt;0",③スチコン工程入力!$I$5:$I$152,"&gt;0",③スチコン工程入力!$M$5:$M$152,"&gt;0")+SUMIFS(⑪ZEN工程入力!$J$6:$J$35,⑪ZEN工程入力!$S$6:$S$35,$J221,⑪ZEN工程入力!$J$6:$J$35,"&gt;0",⑪ZEN工程入力!$M$6:$M$35,"&gt;0")-SUMIFS(⑪ZEN工程入力!$J$6:$J$35,⑪ZEN工程入力!$S$6:$S$35,$J221,⑪ZEN工程入力!$J$6:$J$35,"&gt;0",⑪ZEN工程入力!$I$6:$I$35,"&gt;0",⑪ZEN工程入力!$M$6:$M$35,"&gt;0")+SUMIFS(⑫ミキサー工程入力!$J$6:$J$65,⑫ミキサー工程入力!$S$6:$S$65,$J221,⑫ミキサー工程入力!$J$6:$J$65,"&gt;0",⑫ミキサー工程入力!$M$6:$M$65,"&gt;0")-SUMIFS(⑫ミキサー工程入力!$J$6:$J$65,⑫ミキサー工程入力!$S$6:$S$65,$J221,⑫ミキサー工程入力!$J$6:$J$65,"&gt;0",⑫ミキサー工程入力!$I$6:$I$65,"&gt;0",⑫ミキサー工程入力!$M$6:$M$65,"&gt;0")+SUMIFS(⑬計量工程入力!$J$6:$J$65,⑬計量工程入力!$S$6:$S$65,$J221,⑬計量工程入力!$J$6:$J$65,"&gt;0",⑬計量工程入力!$M$6:$M$65,"&gt;0")-SUMIFS(⑬計量工程入力!$J$6:$J$65,⑬計量工程入力!$S$6:$S$65,$J221,⑬計量工程入力!$J$6:$J$65,"&gt;0",⑬計量工程入力!$I$6:$I$65,"&gt;0",⑬計量工程入力!$M$6:$M$65,"&gt;0")+SUMIFS(⑭手動工程入力!$J$6:$J$47,⑭手動工程入力!$S$6:$S$47,$J221,⑭手動工程入力!$J$6:$J$47,"&gt;0",⑭手動工程入力!$M$6:$M$47,"&gt;0")-SUMIFS(⑭手動工程入力!$J$6:$J$47,⑭手動工程入力!$S$6:$S$47,$J221,⑭手動工程入力!$J$6:$J$47,"&gt;0",⑭手動工程入力!$I$6:$I$47,"&gt;0",⑭手動工程入力!$M$6:$M$47,"&gt;0"))</f>
        <v/>
      </c>
      <c r="P221" s="392" t="inlineStr">
        <is>
          <t>中間品リスト</t>
        </is>
      </c>
    </row>
    <row r="222">
      <c r="A222" s="392" t="n">
        <v>218</v>
      </c>
      <c r="B222" s="392" t="n"/>
      <c r="C222" s="392" t="n"/>
      <c r="D222" s="409" t="n"/>
      <c r="E222" s="392" t="n"/>
      <c r="F222" s="394" t="n"/>
      <c r="G222" s="392" t="n"/>
      <c r="H222" s="604">
        <f>IFERROR(IF(AND($K222&gt;0,ISNUMBER(IF(OR($D222="g",$D222="ｇ"),IF($M222&gt;0,$L222/$M222/1000,""),IF($D222="kg",IF($M222&gt;0,$L222/$M222,""),IF($D222="",IF($M222&gt;0,$L222/$M222/1000,IF($O222&gt;0,$N222/$O222,"")),IF($O222&gt;0,$N222/$O222,"")))))),IF(OR($D222="g",$D222="ｇ"),IF($M222&gt;0,$L222/$M222/1000,""),IF($D222="kg",IF($M222&gt;0,$L222/$M222,""),IF($D222="",IF($M222&gt;0,$L222/$M222/1000,IF($O222&gt;0,$N222/$O222,"")),IF($O222&gt;0,$N222/$O222,"")))),IF($F222="",IF(OR($E222="",$E222="⑩盛付梱包工程入力"),"",IF(OR($D222="g",$D222="ｇ"),INDEX(⑰工程労務費一覧!$N$5:$N$11,MATCH($E222,⑰工程労務費一覧!$K$5:$K$11,0))/1000,IF($D222="kg",INDEX(⑰工程労務費一覧!$N$5:$N$11,MATCH($E222,⑰工程労務費一覧!$K$5:$K$11,0)),IF(OR($D222="個",$D222="切",$D222="本",$D222="枚",$D222="尾"),IF($E222="⑬計量工程入力","",INDEX(⑰工程労務費一覧!$P$5:$P$11,MATCH($E222,⑰工程労務費一覧!$K$5:$K$11,0))),IF(AND($D222="",OR($E222="②釜工程入力",$E222="③スチコン工程入力")),INDEX(⑰工程労務費一覧!$N$5:$N$11,MATCH($E222,⑰工程労務費一覧!$K$5:$K$11,0))/1000,""))))),IF(OR($D222="g",$D222="ｇ"),INDEX(⑰工程労務費一覧!$H$5:$H$753,MATCH($F222,⑰工程労務費一覧!$D$5:$D$753,0))/1000,IF($D222="kg",INDEX(⑰工程労務費一覧!$H$5:$H$753,MATCH($F222,⑰工程労務費一覧!$D$5:$D$753,0)),INDEX(⑰工程労務費一覧!$I$5:$I$753,MATCH($F222,⑰工程労務費一覧!$D$5:$D$753,0)))))),"")</f>
        <v/>
      </c>
      <c r="I222" s="392">
        <f>IF($K222&gt;0,IF(ISNUMBER(IF(OR($D222="g",$D222="ｇ"),IF($M222&gt;0,$L222/$M222/1000,""),IF($D222="kg",IF($M222&gt;0,$L222/$M222,""),IF($D222="",IF($M222&gt;0,$L222/$M222/1000,IF($O222&gt;0,$N222/$O222,"")),IF($O222&gt;0,$N222/$O222,""))))),IF($D222="",IF($M222&gt;0,"◎ JAN紐づけ(g扱い)","◎ JAN紐づけ(個扱い)"),"◎ JAN紐づけ"),"△ JAN紐づけ済・実績不足→仮計算"),IF($F222="",IF(ISNUMBER($H222),IF($D222="","⑤ 工程平均で仮計算(g扱い)","⑤ 工程平均で仮計算"),IF($E222="⑩盛付梱包工程入力","⑥ 盛り込み(⑳F列で計上)",IF(AND($E222="⑬計量工程入力",OR($D222="個",$D222="切",$D222="本",$D222="枚",$D222="尾")),"① 未紐づけ(カット個単位は仮単価なし)","① 未紐づけ"))),IF(NOT(ISNUMBER($H222)),"② 工程側に単価なし",IF($D222="","③ 単位未設定(個で計算)","④ OK"))))</f>
        <v/>
      </c>
      <c r="J222" s="399">
        <f>IFERROR(LOOKUP(2,1/((中間品リスト!$F$2:$F$1299=$B222)*(中間品リスト!$E$2:$E$1299&lt;&gt;"-")*(中間品リスト!$E$2:$E$1299&lt;&gt;"")),中間品リスト!$E$2:$E$1299),"")</f>
        <v/>
      </c>
      <c r="K222" s="400">
        <f>IF($J222="",0,COUNTIF(②釜工程入力!$S$5:$S$117,$J222)+COUNTIF(③スチコン工程入力!$S$5:$S$152,$J222)+COUNTIF(⑪ZEN工程入力!$S$6:$S$35,$J222)+COUNTIF(⑫ミキサー工程入力!$S$6:$S$65,$J222)+COUNTIF(⑬計量工程入力!$S$6:$S$65,$J222)+COUNTIF(⑭手動工程入力!$S$6:$S$47,$J222))</f>
        <v/>
      </c>
      <c r="L222" s="393">
        <f>IF($J222="",0,SUMIFS(②釜工程入力!$M$5:$M$117,②釜工程入力!$S$5:$S$117,$J222,②釜工程入力!$I$5:$I$117,"&gt;0")+SUMIFS(③スチコン工程入力!$M$5:$M$152,③スチコン工程入力!$S$5:$S$152,$J222,③スチコン工程入力!$I$5:$I$152,"&gt;0")+SUMIFS(⑪ZEN工程入力!$M$6:$M$35,⑪ZEN工程入力!$S$6:$S$35,$J222,⑪ZEN工程入力!$I$6:$I$35,"&gt;0")+SUMIFS(⑫ミキサー工程入力!$M$6:$M$65,⑫ミキサー工程入力!$S$6:$S$65,$J222,⑫ミキサー工程入力!$I$6:$I$65,"&gt;0")+SUMIFS(⑬計量工程入力!$M$6:$M$65,⑬計量工程入力!$S$6:$S$65,$J222,⑬計量工程入力!$I$6:$I$65,"&gt;0")+SUMIFS(⑭手動工程入力!$M$6:$M$47,⑭手動工程入力!$S$6:$S$47,$J222,⑭手動工程入力!$I$6:$I$47,"&gt;0"))</f>
        <v/>
      </c>
      <c r="M222" s="393">
        <f>IF($J222="",0,SUMIFS(②釜工程入力!$I$5:$I$117,②釜工程入力!$S$5:$S$117,$J222,②釜工程入力!$I$5:$I$117,"&gt;0",②釜工程入力!$M$5:$M$117,"&gt;0")+SUMIFS(③スチコン工程入力!$I$5:$I$152,③スチコン工程入力!$S$5:$S$152,$J222,③スチコン工程入力!$I$5:$I$152,"&gt;0",③スチコン工程入力!$M$5:$M$152,"&gt;0")+SUMIFS(⑪ZEN工程入力!$I$6:$I$35,⑪ZEN工程入力!$S$6:$S$35,$J222,⑪ZEN工程入力!$I$6:$I$35,"&gt;0",⑪ZEN工程入力!$M$6:$M$35,"&gt;0")+SUMIFS(⑫ミキサー工程入力!$I$6:$I$65,⑫ミキサー工程入力!$S$6:$S$65,$J222,⑫ミキサー工程入力!$I$6:$I$65,"&gt;0",⑫ミキサー工程入力!$M$6:$M$65,"&gt;0")+SUMIFS(⑬計量工程入力!$I$6:$I$65,⑬計量工程入力!$S$6:$S$65,$J222,⑬計量工程入力!$I$6:$I$65,"&gt;0",⑬計量工程入力!$M$6:$M$65,"&gt;0")+SUMIFS(⑭手動工程入力!$I$6:$I$47,⑭手動工程入力!$S$6:$S$47,$J222,⑭手動工程入力!$I$6:$I$47,"&gt;0",⑭手動工程入力!$M$6:$M$47,"&gt;0"))</f>
        <v/>
      </c>
      <c r="N222" s="393">
        <f>IF($J222="",0,SUMIFS(②釜工程入力!$M$5:$M$117,②釜工程入力!$S$5:$S$117,$J222,②釜工程入力!$J$5:$J$117,"&gt;0")-SUMIFS(②釜工程入力!$M$5:$M$117,②釜工程入力!$S$5:$S$117,$J222,②釜工程入力!$J$5:$J$117,"&gt;0",②釜工程入力!$I$5:$I$117,"&gt;0")+SUMIFS(③スチコン工程入力!$M$5:$M$152,③スチコン工程入力!$S$5:$S$152,$J222,③スチコン工程入力!$J$5:$J$152,"&gt;0")-SUMIFS(③スチコン工程入力!$M$5:$M$152,③スチコン工程入力!$S$5:$S$152,$J222,③スチコン工程入力!$J$5:$J$152,"&gt;0",③スチコン工程入力!$I$5:$I$152,"&gt;0")+SUMIFS(⑪ZEN工程入力!$M$6:$M$35,⑪ZEN工程入力!$S$6:$S$35,$J222,⑪ZEN工程入力!$J$6:$J$35,"&gt;0")-SUMIFS(⑪ZEN工程入力!$M$6:$M$35,⑪ZEN工程入力!$S$6:$S$35,$J222,⑪ZEN工程入力!$J$6:$J$35,"&gt;0",⑪ZEN工程入力!$I$6:$I$35,"&gt;0")+SUMIFS(⑫ミキサー工程入力!$M$6:$M$65,⑫ミキサー工程入力!$S$6:$S$65,$J222,⑫ミキサー工程入力!$J$6:$J$65,"&gt;0")-SUMIFS(⑫ミキサー工程入力!$M$6:$M$65,⑫ミキサー工程入力!$S$6:$S$65,$J222,⑫ミキサー工程入力!$J$6:$J$65,"&gt;0",⑫ミキサー工程入力!$I$6:$I$65,"&gt;0")+SUMIFS(⑬計量工程入力!$M$6:$M$65,⑬計量工程入力!$S$6:$S$65,$J222,⑬計量工程入力!$J$6:$J$65,"&gt;0")-SUMIFS(⑬計量工程入力!$M$6:$M$65,⑬計量工程入力!$S$6:$S$65,$J222,⑬計量工程入力!$J$6:$J$65,"&gt;0",⑬計量工程入力!$I$6:$I$65,"&gt;0")+SUMIFS(⑭手動工程入力!$M$6:$M$47,⑭手動工程入力!$S$6:$S$47,$J222,⑭手動工程入力!$J$6:$J$47,"&gt;0")-SUMIFS(⑭手動工程入力!$M$6:$M$47,⑭手動工程入力!$S$6:$S$47,$J222,⑭手動工程入力!$J$6:$J$47,"&gt;0",⑭手動工程入力!$I$6:$I$47,"&gt;0"))</f>
        <v/>
      </c>
      <c r="O222" s="393">
        <f>IF($J222="",0,SUMIFS(②釜工程入力!$J$5:$J$117,②釜工程入力!$S$5:$S$117,$J222,②釜工程入力!$J$5:$J$117,"&gt;0",②釜工程入力!$M$5:$M$117,"&gt;0")-SUMIFS(②釜工程入力!$J$5:$J$117,②釜工程入力!$S$5:$S$117,$J222,②釜工程入力!$J$5:$J$117,"&gt;0",②釜工程入力!$I$5:$I$117,"&gt;0",②釜工程入力!$M$5:$M$117,"&gt;0")+SUMIFS(③スチコン工程入力!$J$5:$J$152,③スチコン工程入力!$S$5:$S$152,$J222,③スチコン工程入力!$J$5:$J$152,"&gt;0",③スチコン工程入力!$M$5:$M$152,"&gt;0")-SUMIFS(③スチコン工程入力!$J$5:$J$152,③スチコン工程入力!$S$5:$S$152,$J222,③スチコン工程入力!$J$5:$J$152,"&gt;0",③スチコン工程入力!$I$5:$I$152,"&gt;0",③スチコン工程入力!$M$5:$M$152,"&gt;0")+SUMIFS(⑪ZEN工程入力!$J$6:$J$35,⑪ZEN工程入力!$S$6:$S$35,$J222,⑪ZEN工程入力!$J$6:$J$35,"&gt;0",⑪ZEN工程入力!$M$6:$M$35,"&gt;0")-SUMIFS(⑪ZEN工程入力!$J$6:$J$35,⑪ZEN工程入力!$S$6:$S$35,$J222,⑪ZEN工程入力!$J$6:$J$35,"&gt;0",⑪ZEN工程入力!$I$6:$I$35,"&gt;0",⑪ZEN工程入力!$M$6:$M$35,"&gt;0")+SUMIFS(⑫ミキサー工程入力!$J$6:$J$65,⑫ミキサー工程入力!$S$6:$S$65,$J222,⑫ミキサー工程入力!$J$6:$J$65,"&gt;0",⑫ミキサー工程入力!$M$6:$M$65,"&gt;0")-SUMIFS(⑫ミキサー工程入力!$J$6:$J$65,⑫ミキサー工程入力!$S$6:$S$65,$J222,⑫ミキサー工程入力!$J$6:$J$65,"&gt;0",⑫ミキサー工程入力!$I$6:$I$65,"&gt;0",⑫ミキサー工程入力!$M$6:$M$65,"&gt;0")+SUMIFS(⑬計量工程入力!$J$6:$J$65,⑬計量工程入力!$S$6:$S$65,$J222,⑬計量工程入力!$J$6:$J$65,"&gt;0",⑬計量工程入力!$M$6:$M$65,"&gt;0")-SUMIFS(⑬計量工程入力!$J$6:$J$65,⑬計量工程入力!$S$6:$S$65,$J222,⑬計量工程入力!$J$6:$J$65,"&gt;0",⑬計量工程入力!$I$6:$I$65,"&gt;0",⑬計量工程入力!$M$6:$M$65,"&gt;0")+SUMIFS(⑭手動工程入力!$J$6:$J$47,⑭手動工程入力!$S$6:$S$47,$J222,⑭手動工程入力!$J$6:$J$47,"&gt;0",⑭手動工程入力!$M$6:$M$47,"&gt;0")-SUMIFS(⑭手動工程入力!$J$6:$J$47,⑭手動工程入力!$S$6:$S$47,$J222,⑭手動工程入力!$J$6:$J$47,"&gt;0",⑭手動工程入力!$I$6:$I$47,"&gt;0",⑭手動工程入力!$M$6:$M$47,"&gt;0"))</f>
        <v/>
      </c>
      <c r="P222" s="392" t="inlineStr">
        <is>
          <t>中間品リスト</t>
        </is>
      </c>
    </row>
    <row r="223">
      <c r="A223" s="392" t="n">
        <v>219</v>
      </c>
      <c r="B223" s="392" t="n"/>
      <c r="C223" s="392" t="n"/>
      <c r="D223" s="409" t="n"/>
      <c r="E223" s="392" t="n"/>
      <c r="F223" s="394" t="n"/>
      <c r="G223" s="392" t="n"/>
      <c r="H223" s="604">
        <f>IFERROR(IF(AND($K223&gt;0,ISNUMBER(IF(OR($D223="g",$D223="ｇ"),IF($M223&gt;0,$L223/$M223/1000,""),IF($D223="kg",IF($M223&gt;0,$L223/$M223,""),IF($D223="",IF($M223&gt;0,$L223/$M223/1000,IF($O223&gt;0,$N223/$O223,"")),IF($O223&gt;0,$N223/$O223,"")))))),IF(OR($D223="g",$D223="ｇ"),IF($M223&gt;0,$L223/$M223/1000,""),IF($D223="kg",IF($M223&gt;0,$L223/$M223,""),IF($D223="",IF($M223&gt;0,$L223/$M223/1000,IF($O223&gt;0,$N223/$O223,"")),IF($O223&gt;0,$N223/$O223,"")))),IF($F223="",IF(OR($E223="",$E223="⑩盛付梱包工程入力"),"",IF(OR($D223="g",$D223="ｇ"),INDEX(⑰工程労務費一覧!$N$5:$N$11,MATCH($E223,⑰工程労務費一覧!$K$5:$K$11,0))/1000,IF($D223="kg",INDEX(⑰工程労務費一覧!$N$5:$N$11,MATCH($E223,⑰工程労務費一覧!$K$5:$K$11,0)),IF(OR($D223="個",$D223="切",$D223="本",$D223="枚",$D223="尾"),IF($E223="⑬計量工程入力","",INDEX(⑰工程労務費一覧!$P$5:$P$11,MATCH($E223,⑰工程労務費一覧!$K$5:$K$11,0))),IF(AND($D223="",OR($E223="②釜工程入力",$E223="③スチコン工程入力")),INDEX(⑰工程労務費一覧!$N$5:$N$11,MATCH($E223,⑰工程労務費一覧!$K$5:$K$11,0))/1000,""))))),IF(OR($D223="g",$D223="ｇ"),INDEX(⑰工程労務費一覧!$H$5:$H$753,MATCH($F223,⑰工程労務費一覧!$D$5:$D$753,0))/1000,IF($D223="kg",INDEX(⑰工程労務費一覧!$H$5:$H$753,MATCH($F223,⑰工程労務費一覧!$D$5:$D$753,0)),INDEX(⑰工程労務費一覧!$I$5:$I$753,MATCH($F223,⑰工程労務費一覧!$D$5:$D$753,0)))))),"")</f>
        <v/>
      </c>
      <c r="I223" s="392">
        <f>IF($K223&gt;0,IF(ISNUMBER(IF(OR($D223="g",$D223="ｇ"),IF($M223&gt;0,$L223/$M223/1000,""),IF($D223="kg",IF($M223&gt;0,$L223/$M223,""),IF($D223="",IF($M223&gt;0,$L223/$M223/1000,IF($O223&gt;0,$N223/$O223,"")),IF($O223&gt;0,$N223/$O223,""))))),IF($D223="",IF($M223&gt;0,"◎ JAN紐づけ(g扱い)","◎ JAN紐づけ(個扱い)"),"◎ JAN紐づけ"),"△ JAN紐づけ済・実績不足→仮計算"),IF($F223="",IF(ISNUMBER($H223),IF($D223="","⑤ 工程平均で仮計算(g扱い)","⑤ 工程平均で仮計算"),IF($E223="⑩盛付梱包工程入力","⑥ 盛り込み(⑳F列で計上)",IF(AND($E223="⑬計量工程入力",OR($D223="個",$D223="切",$D223="本",$D223="枚",$D223="尾")),"① 未紐づけ(カット個単位は仮単価なし)","① 未紐づけ"))),IF(NOT(ISNUMBER($H223)),"② 工程側に単価なし",IF($D223="","③ 単位未設定(個で計算)","④ OK"))))</f>
        <v/>
      </c>
      <c r="J223" s="399">
        <f>IFERROR(LOOKUP(2,1/((中間品リスト!$F$2:$F$1299=$B223)*(中間品リスト!$E$2:$E$1299&lt;&gt;"-")*(中間品リスト!$E$2:$E$1299&lt;&gt;"")),中間品リスト!$E$2:$E$1299),"")</f>
        <v/>
      </c>
      <c r="K223" s="400">
        <f>IF($J223="",0,COUNTIF(②釜工程入力!$S$5:$S$117,$J223)+COUNTIF(③スチコン工程入力!$S$5:$S$152,$J223)+COUNTIF(⑪ZEN工程入力!$S$6:$S$35,$J223)+COUNTIF(⑫ミキサー工程入力!$S$6:$S$65,$J223)+COUNTIF(⑬計量工程入力!$S$6:$S$65,$J223)+COUNTIF(⑭手動工程入力!$S$6:$S$47,$J223))</f>
        <v/>
      </c>
      <c r="L223" s="393">
        <f>IF($J223="",0,SUMIFS(②釜工程入力!$M$5:$M$117,②釜工程入力!$S$5:$S$117,$J223,②釜工程入力!$I$5:$I$117,"&gt;0")+SUMIFS(③スチコン工程入力!$M$5:$M$152,③スチコン工程入力!$S$5:$S$152,$J223,③スチコン工程入力!$I$5:$I$152,"&gt;0")+SUMIFS(⑪ZEN工程入力!$M$6:$M$35,⑪ZEN工程入力!$S$6:$S$35,$J223,⑪ZEN工程入力!$I$6:$I$35,"&gt;0")+SUMIFS(⑫ミキサー工程入力!$M$6:$M$65,⑫ミキサー工程入力!$S$6:$S$65,$J223,⑫ミキサー工程入力!$I$6:$I$65,"&gt;0")+SUMIFS(⑬計量工程入力!$M$6:$M$65,⑬計量工程入力!$S$6:$S$65,$J223,⑬計量工程入力!$I$6:$I$65,"&gt;0")+SUMIFS(⑭手動工程入力!$M$6:$M$47,⑭手動工程入力!$S$6:$S$47,$J223,⑭手動工程入力!$I$6:$I$47,"&gt;0"))</f>
        <v/>
      </c>
      <c r="M223" s="393">
        <f>IF($J223="",0,SUMIFS(②釜工程入力!$I$5:$I$117,②釜工程入力!$S$5:$S$117,$J223,②釜工程入力!$I$5:$I$117,"&gt;0",②釜工程入力!$M$5:$M$117,"&gt;0")+SUMIFS(③スチコン工程入力!$I$5:$I$152,③スチコン工程入力!$S$5:$S$152,$J223,③スチコン工程入力!$I$5:$I$152,"&gt;0",③スチコン工程入力!$M$5:$M$152,"&gt;0")+SUMIFS(⑪ZEN工程入力!$I$6:$I$35,⑪ZEN工程入力!$S$6:$S$35,$J223,⑪ZEN工程入力!$I$6:$I$35,"&gt;0",⑪ZEN工程入力!$M$6:$M$35,"&gt;0")+SUMIFS(⑫ミキサー工程入力!$I$6:$I$65,⑫ミキサー工程入力!$S$6:$S$65,$J223,⑫ミキサー工程入力!$I$6:$I$65,"&gt;0",⑫ミキサー工程入力!$M$6:$M$65,"&gt;0")+SUMIFS(⑬計量工程入力!$I$6:$I$65,⑬計量工程入力!$S$6:$S$65,$J223,⑬計量工程入力!$I$6:$I$65,"&gt;0",⑬計量工程入力!$M$6:$M$65,"&gt;0")+SUMIFS(⑭手動工程入力!$I$6:$I$47,⑭手動工程入力!$S$6:$S$47,$J223,⑭手動工程入力!$I$6:$I$47,"&gt;0",⑭手動工程入力!$M$6:$M$47,"&gt;0"))</f>
        <v/>
      </c>
      <c r="N223" s="393">
        <f>IF($J223="",0,SUMIFS(②釜工程入力!$M$5:$M$117,②釜工程入力!$S$5:$S$117,$J223,②釜工程入力!$J$5:$J$117,"&gt;0")-SUMIFS(②釜工程入力!$M$5:$M$117,②釜工程入力!$S$5:$S$117,$J223,②釜工程入力!$J$5:$J$117,"&gt;0",②釜工程入力!$I$5:$I$117,"&gt;0")+SUMIFS(③スチコン工程入力!$M$5:$M$152,③スチコン工程入力!$S$5:$S$152,$J223,③スチコン工程入力!$J$5:$J$152,"&gt;0")-SUMIFS(③スチコン工程入力!$M$5:$M$152,③スチコン工程入力!$S$5:$S$152,$J223,③スチコン工程入力!$J$5:$J$152,"&gt;0",③スチコン工程入力!$I$5:$I$152,"&gt;0")+SUMIFS(⑪ZEN工程入力!$M$6:$M$35,⑪ZEN工程入力!$S$6:$S$35,$J223,⑪ZEN工程入力!$J$6:$J$35,"&gt;0")-SUMIFS(⑪ZEN工程入力!$M$6:$M$35,⑪ZEN工程入力!$S$6:$S$35,$J223,⑪ZEN工程入力!$J$6:$J$35,"&gt;0",⑪ZEN工程入力!$I$6:$I$35,"&gt;0")+SUMIFS(⑫ミキサー工程入力!$M$6:$M$65,⑫ミキサー工程入力!$S$6:$S$65,$J223,⑫ミキサー工程入力!$J$6:$J$65,"&gt;0")-SUMIFS(⑫ミキサー工程入力!$M$6:$M$65,⑫ミキサー工程入力!$S$6:$S$65,$J223,⑫ミキサー工程入力!$J$6:$J$65,"&gt;0",⑫ミキサー工程入力!$I$6:$I$65,"&gt;0")+SUMIFS(⑬計量工程入力!$M$6:$M$65,⑬計量工程入力!$S$6:$S$65,$J223,⑬計量工程入力!$J$6:$J$65,"&gt;0")-SUMIFS(⑬計量工程入力!$M$6:$M$65,⑬計量工程入力!$S$6:$S$65,$J223,⑬計量工程入力!$J$6:$J$65,"&gt;0",⑬計量工程入力!$I$6:$I$65,"&gt;0")+SUMIFS(⑭手動工程入力!$M$6:$M$47,⑭手動工程入力!$S$6:$S$47,$J223,⑭手動工程入力!$J$6:$J$47,"&gt;0")-SUMIFS(⑭手動工程入力!$M$6:$M$47,⑭手動工程入力!$S$6:$S$47,$J223,⑭手動工程入力!$J$6:$J$47,"&gt;0",⑭手動工程入力!$I$6:$I$47,"&gt;0"))</f>
        <v/>
      </c>
      <c r="O223" s="393">
        <f>IF($J223="",0,SUMIFS(②釜工程入力!$J$5:$J$117,②釜工程入力!$S$5:$S$117,$J223,②釜工程入力!$J$5:$J$117,"&gt;0",②釜工程入力!$M$5:$M$117,"&gt;0")-SUMIFS(②釜工程入力!$J$5:$J$117,②釜工程入力!$S$5:$S$117,$J223,②釜工程入力!$J$5:$J$117,"&gt;0",②釜工程入力!$I$5:$I$117,"&gt;0",②釜工程入力!$M$5:$M$117,"&gt;0")+SUMIFS(③スチコン工程入力!$J$5:$J$152,③スチコン工程入力!$S$5:$S$152,$J223,③スチコン工程入力!$J$5:$J$152,"&gt;0",③スチコン工程入力!$M$5:$M$152,"&gt;0")-SUMIFS(③スチコン工程入力!$J$5:$J$152,③スチコン工程入力!$S$5:$S$152,$J223,③スチコン工程入力!$J$5:$J$152,"&gt;0",③スチコン工程入力!$I$5:$I$152,"&gt;0",③スチコン工程入力!$M$5:$M$152,"&gt;0")+SUMIFS(⑪ZEN工程入力!$J$6:$J$35,⑪ZEN工程入力!$S$6:$S$35,$J223,⑪ZEN工程入力!$J$6:$J$35,"&gt;0",⑪ZEN工程入力!$M$6:$M$35,"&gt;0")-SUMIFS(⑪ZEN工程入力!$J$6:$J$35,⑪ZEN工程入力!$S$6:$S$35,$J223,⑪ZEN工程入力!$J$6:$J$35,"&gt;0",⑪ZEN工程入力!$I$6:$I$35,"&gt;0",⑪ZEN工程入力!$M$6:$M$35,"&gt;0")+SUMIFS(⑫ミキサー工程入力!$J$6:$J$65,⑫ミキサー工程入力!$S$6:$S$65,$J223,⑫ミキサー工程入力!$J$6:$J$65,"&gt;0",⑫ミキサー工程入力!$M$6:$M$65,"&gt;0")-SUMIFS(⑫ミキサー工程入力!$J$6:$J$65,⑫ミキサー工程入力!$S$6:$S$65,$J223,⑫ミキサー工程入力!$J$6:$J$65,"&gt;0",⑫ミキサー工程入力!$I$6:$I$65,"&gt;0",⑫ミキサー工程入力!$M$6:$M$65,"&gt;0")+SUMIFS(⑬計量工程入力!$J$6:$J$65,⑬計量工程入力!$S$6:$S$65,$J223,⑬計量工程入力!$J$6:$J$65,"&gt;0",⑬計量工程入力!$M$6:$M$65,"&gt;0")-SUMIFS(⑬計量工程入力!$J$6:$J$65,⑬計量工程入力!$S$6:$S$65,$J223,⑬計量工程入力!$J$6:$J$65,"&gt;0",⑬計量工程入力!$I$6:$I$65,"&gt;0",⑬計量工程入力!$M$6:$M$65,"&gt;0")+SUMIFS(⑭手動工程入力!$J$6:$J$47,⑭手動工程入力!$S$6:$S$47,$J223,⑭手動工程入力!$J$6:$J$47,"&gt;0",⑭手動工程入力!$M$6:$M$47,"&gt;0")-SUMIFS(⑭手動工程入力!$J$6:$J$47,⑭手動工程入力!$S$6:$S$47,$J223,⑭手動工程入力!$J$6:$J$47,"&gt;0",⑭手動工程入力!$I$6:$I$47,"&gt;0",⑭手動工程入力!$M$6:$M$47,"&gt;0"))</f>
        <v/>
      </c>
      <c r="P223" s="392" t="inlineStr">
        <is>
          <t>中間品リスト</t>
        </is>
      </c>
    </row>
    <row r="224">
      <c r="A224" s="392" t="n">
        <v>220</v>
      </c>
      <c r="B224" s="392" t="n"/>
      <c r="C224" s="392" t="n"/>
      <c r="D224" s="409" t="n"/>
      <c r="E224" s="392" t="n"/>
      <c r="F224" s="394" t="n"/>
      <c r="G224" s="392" t="n"/>
      <c r="H224" s="604">
        <f>IFERROR(IF(AND($K224&gt;0,ISNUMBER(IF(OR($D224="g",$D224="ｇ"),IF($M224&gt;0,$L224/$M224/1000,""),IF($D224="kg",IF($M224&gt;0,$L224/$M224,""),IF($D224="",IF($M224&gt;0,$L224/$M224/1000,IF($O224&gt;0,$N224/$O224,"")),IF($O224&gt;0,$N224/$O224,"")))))),IF(OR($D224="g",$D224="ｇ"),IF($M224&gt;0,$L224/$M224/1000,""),IF($D224="kg",IF($M224&gt;0,$L224/$M224,""),IF($D224="",IF($M224&gt;0,$L224/$M224/1000,IF($O224&gt;0,$N224/$O224,"")),IF($O224&gt;0,$N224/$O224,"")))),IF($F224="",IF(OR($E224="",$E224="⑩盛付梱包工程入力"),"",IF(OR($D224="g",$D224="ｇ"),INDEX(⑰工程労務費一覧!$N$5:$N$11,MATCH($E224,⑰工程労務費一覧!$K$5:$K$11,0))/1000,IF($D224="kg",INDEX(⑰工程労務費一覧!$N$5:$N$11,MATCH($E224,⑰工程労務費一覧!$K$5:$K$11,0)),IF(OR($D224="個",$D224="切",$D224="本",$D224="枚",$D224="尾"),IF($E224="⑬計量工程入力","",INDEX(⑰工程労務費一覧!$P$5:$P$11,MATCH($E224,⑰工程労務費一覧!$K$5:$K$11,0))),IF(AND($D224="",OR($E224="②釜工程入力",$E224="③スチコン工程入力")),INDEX(⑰工程労務費一覧!$N$5:$N$11,MATCH($E224,⑰工程労務費一覧!$K$5:$K$11,0))/1000,""))))),IF(OR($D224="g",$D224="ｇ"),INDEX(⑰工程労務費一覧!$H$5:$H$753,MATCH($F224,⑰工程労務費一覧!$D$5:$D$753,0))/1000,IF($D224="kg",INDEX(⑰工程労務費一覧!$H$5:$H$753,MATCH($F224,⑰工程労務費一覧!$D$5:$D$753,0)),INDEX(⑰工程労務費一覧!$I$5:$I$753,MATCH($F224,⑰工程労務費一覧!$D$5:$D$753,0)))))),"")</f>
        <v/>
      </c>
      <c r="I224" s="392">
        <f>IF($K224&gt;0,IF(ISNUMBER(IF(OR($D224="g",$D224="ｇ"),IF($M224&gt;0,$L224/$M224/1000,""),IF($D224="kg",IF($M224&gt;0,$L224/$M224,""),IF($D224="",IF($M224&gt;0,$L224/$M224/1000,IF($O224&gt;0,$N224/$O224,"")),IF($O224&gt;0,$N224/$O224,""))))),IF($D224="",IF($M224&gt;0,"◎ JAN紐づけ(g扱い)","◎ JAN紐づけ(個扱い)"),"◎ JAN紐づけ"),"△ JAN紐づけ済・実績不足→仮計算"),IF($F224="",IF(ISNUMBER($H224),IF($D224="","⑤ 工程平均で仮計算(g扱い)","⑤ 工程平均で仮計算"),IF($E224="⑩盛付梱包工程入力","⑥ 盛り込み(⑳F列で計上)",IF(AND($E224="⑬計量工程入力",OR($D224="個",$D224="切",$D224="本",$D224="枚",$D224="尾")),"① 未紐づけ(カット個単位は仮単価なし)","① 未紐づけ"))),IF(NOT(ISNUMBER($H224)),"② 工程側に単価なし",IF($D224="","③ 単位未設定(個で計算)","④ OK"))))</f>
        <v/>
      </c>
      <c r="J224" s="399">
        <f>IFERROR(LOOKUP(2,1/((中間品リスト!$F$2:$F$1299=$B224)*(中間品リスト!$E$2:$E$1299&lt;&gt;"-")*(中間品リスト!$E$2:$E$1299&lt;&gt;"")),中間品リスト!$E$2:$E$1299),"")</f>
        <v/>
      </c>
      <c r="K224" s="400">
        <f>IF($J224="",0,COUNTIF(②釜工程入力!$S$5:$S$117,$J224)+COUNTIF(③スチコン工程入力!$S$5:$S$152,$J224)+COUNTIF(⑪ZEN工程入力!$S$6:$S$35,$J224)+COUNTIF(⑫ミキサー工程入力!$S$6:$S$65,$J224)+COUNTIF(⑬計量工程入力!$S$6:$S$65,$J224)+COUNTIF(⑭手動工程入力!$S$6:$S$47,$J224))</f>
        <v/>
      </c>
      <c r="L224" s="393">
        <f>IF($J224="",0,SUMIFS(②釜工程入力!$M$5:$M$117,②釜工程入力!$S$5:$S$117,$J224,②釜工程入力!$I$5:$I$117,"&gt;0")+SUMIFS(③スチコン工程入力!$M$5:$M$152,③スチコン工程入力!$S$5:$S$152,$J224,③スチコン工程入力!$I$5:$I$152,"&gt;0")+SUMIFS(⑪ZEN工程入力!$M$6:$M$35,⑪ZEN工程入力!$S$6:$S$35,$J224,⑪ZEN工程入力!$I$6:$I$35,"&gt;0")+SUMIFS(⑫ミキサー工程入力!$M$6:$M$65,⑫ミキサー工程入力!$S$6:$S$65,$J224,⑫ミキサー工程入力!$I$6:$I$65,"&gt;0")+SUMIFS(⑬計量工程入力!$M$6:$M$65,⑬計量工程入力!$S$6:$S$65,$J224,⑬計量工程入力!$I$6:$I$65,"&gt;0")+SUMIFS(⑭手動工程入力!$M$6:$M$47,⑭手動工程入力!$S$6:$S$47,$J224,⑭手動工程入力!$I$6:$I$47,"&gt;0"))</f>
        <v/>
      </c>
      <c r="M224" s="393">
        <f>IF($J224="",0,SUMIFS(②釜工程入力!$I$5:$I$117,②釜工程入力!$S$5:$S$117,$J224,②釜工程入力!$I$5:$I$117,"&gt;0",②釜工程入力!$M$5:$M$117,"&gt;0")+SUMIFS(③スチコン工程入力!$I$5:$I$152,③スチコン工程入力!$S$5:$S$152,$J224,③スチコン工程入力!$I$5:$I$152,"&gt;0",③スチコン工程入力!$M$5:$M$152,"&gt;0")+SUMIFS(⑪ZEN工程入力!$I$6:$I$35,⑪ZEN工程入力!$S$6:$S$35,$J224,⑪ZEN工程入力!$I$6:$I$35,"&gt;0",⑪ZEN工程入力!$M$6:$M$35,"&gt;0")+SUMIFS(⑫ミキサー工程入力!$I$6:$I$65,⑫ミキサー工程入力!$S$6:$S$65,$J224,⑫ミキサー工程入力!$I$6:$I$65,"&gt;0",⑫ミキサー工程入力!$M$6:$M$65,"&gt;0")+SUMIFS(⑬計量工程入力!$I$6:$I$65,⑬計量工程入力!$S$6:$S$65,$J224,⑬計量工程入力!$I$6:$I$65,"&gt;0",⑬計量工程入力!$M$6:$M$65,"&gt;0")+SUMIFS(⑭手動工程入力!$I$6:$I$47,⑭手動工程入力!$S$6:$S$47,$J224,⑭手動工程入力!$I$6:$I$47,"&gt;0",⑭手動工程入力!$M$6:$M$47,"&gt;0"))</f>
        <v/>
      </c>
      <c r="N224" s="393">
        <f>IF($J224="",0,SUMIFS(②釜工程入力!$M$5:$M$117,②釜工程入力!$S$5:$S$117,$J224,②釜工程入力!$J$5:$J$117,"&gt;0")-SUMIFS(②釜工程入力!$M$5:$M$117,②釜工程入力!$S$5:$S$117,$J224,②釜工程入力!$J$5:$J$117,"&gt;0",②釜工程入力!$I$5:$I$117,"&gt;0")+SUMIFS(③スチコン工程入力!$M$5:$M$152,③スチコン工程入力!$S$5:$S$152,$J224,③スチコン工程入力!$J$5:$J$152,"&gt;0")-SUMIFS(③スチコン工程入力!$M$5:$M$152,③スチコン工程入力!$S$5:$S$152,$J224,③スチコン工程入力!$J$5:$J$152,"&gt;0",③スチコン工程入力!$I$5:$I$152,"&gt;0")+SUMIFS(⑪ZEN工程入力!$M$6:$M$35,⑪ZEN工程入力!$S$6:$S$35,$J224,⑪ZEN工程入力!$J$6:$J$35,"&gt;0")-SUMIFS(⑪ZEN工程入力!$M$6:$M$35,⑪ZEN工程入力!$S$6:$S$35,$J224,⑪ZEN工程入力!$J$6:$J$35,"&gt;0",⑪ZEN工程入力!$I$6:$I$35,"&gt;0")+SUMIFS(⑫ミキサー工程入力!$M$6:$M$65,⑫ミキサー工程入力!$S$6:$S$65,$J224,⑫ミキサー工程入力!$J$6:$J$65,"&gt;0")-SUMIFS(⑫ミキサー工程入力!$M$6:$M$65,⑫ミキサー工程入力!$S$6:$S$65,$J224,⑫ミキサー工程入力!$J$6:$J$65,"&gt;0",⑫ミキサー工程入力!$I$6:$I$65,"&gt;0")+SUMIFS(⑬計量工程入力!$M$6:$M$65,⑬計量工程入力!$S$6:$S$65,$J224,⑬計量工程入力!$J$6:$J$65,"&gt;0")-SUMIFS(⑬計量工程入力!$M$6:$M$65,⑬計量工程入力!$S$6:$S$65,$J224,⑬計量工程入力!$J$6:$J$65,"&gt;0",⑬計量工程入力!$I$6:$I$65,"&gt;0")+SUMIFS(⑭手動工程入力!$M$6:$M$47,⑭手動工程入力!$S$6:$S$47,$J224,⑭手動工程入力!$J$6:$J$47,"&gt;0")-SUMIFS(⑭手動工程入力!$M$6:$M$47,⑭手動工程入力!$S$6:$S$47,$J224,⑭手動工程入力!$J$6:$J$47,"&gt;0",⑭手動工程入力!$I$6:$I$47,"&gt;0"))</f>
        <v/>
      </c>
      <c r="O224" s="393">
        <f>IF($J224="",0,SUMIFS(②釜工程入力!$J$5:$J$117,②釜工程入力!$S$5:$S$117,$J224,②釜工程入力!$J$5:$J$117,"&gt;0",②釜工程入力!$M$5:$M$117,"&gt;0")-SUMIFS(②釜工程入力!$J$5:$J$117,②釜工程入力!$S$5:$S$117,$J224,②釜工程入力!$J$5:$J$117,"&gt;0",②釜工程入力!$I$5:$I$117,"&gt;0",②釜工程入力!$M$5:$M$117,"&gt;0")+SUMIFS(③スチコン工程入力!$J$5:$J$152,③スチコン工程入力!$S$5:$S$152,$J224,③スチコン工程入力!$J$5:$J$152,"&gt;0",③スチコン工程入力!$M$5:$M$152,"&gt;0")-SUMIFS(③スチコン工程入力!$J$5:$J$152,③スチコン工程入力!$S$5:$S$152,$J224,③スチコン工程入力!$J$5:$J$152,"&gt;0",③スチコン工程入力!$I$5:$I$152,"&gt;0",③スチコン工程入力!$M$5:$M$152,"&gt;0")+SUMIFS(⑪ZEN工程入力!$J$6:$J$35,⑪ZEN工程入力!$S$6:$S$35,$J224,⑪ZEN工程入力!$J$6:$J$35,"&gt;0",⑪ZEN工程入力!$M$6:$M$35,"&gt;0")-SUMIFS(⑪ZEN工程入力!$J$6:$J$35,⑪ZEN工程入力!$S$6:$S$35,$J224,⑪ZEN工程入力!$J$6:$J$35,"&gt;0",⑪ZEN工程入力!$I$6:$I$35,"&gt;0",⑪ZEN工程入力!$M$6:$M$35,"&gt;0")+SUMIFS(⑫ミキサー工程入力!$J$6:$J$65,⑫ミキサー工程入力!$S$6:$S$65,$J224,⑫ミキサー工程入力!$J$6:$J$65,"&gt;0",⑫ミキサー工程入力!$M$6:$M$65,"&gt;0")-SUMIFS(⑫ミキサー工程入力!$J$6:$J$65,⑫ミキサー工程入力!$S$6:$S$65,$J224,⑫ミキサー工程入力!$J$6:$J$65,"&gt;0",⑫ミキサー工程入力!$I$6:$I$65,"&gt;0",⑫ミキサー工程入力!$M$6:$M$65,"&gt;0")+SUMIFS(⑬計量工程入力!$J$6:$J$65,⑬計量工程入力!$S$6:$S$65,$J224,⑬計量工程入力!$J$6:$J$65,"&gt;0",⑬計量工程入力!$M$6:$M$65,"&gt;0")-SUMIFS(⑬計量工程入力!$J$6:$J$65,⑬計量工程入力!$S$6:$S$65,$J224,⑬計量工程入力!$J$6:$J$65,"&gt;0",⑬計量工程入力!$I$6:$I$65,"&gt;0",⑬計量工程入力!$M$6:$M$65,"&gt;0")+SUMIFS(⑭手動工程入力!$J$6:$J$47,⑭手動工程入力!$S$6:$S$47,$J224,⑭手動工程入力!$J$6:$J$47,"&gt;0",⑭手動工程入力!$M$6:$M$47,"&gt;0")-SUMIFS(⑭手動工程入力!$J$6:$J$47,⑭手動工程入力!$S$6:$S$47,$J224,⑭手動工程入力!$J$6:$J$47,"&gt;0",⑭手動工程入力!$I$6:$I$47,"&gt;0",⑭手動工程入力!$M$6:$M$47,"&gt;0"))</f>
        <v/>
      </c>
      <c r="P224" s="392" t="inlineStr">
        <is>
          <t>中間品リスト</t>
        </is>
      </c>
    </row>
    <row r="225">
      <c r="A225" s="392" t="n">
        <v>221</v>
      </c>
      <c r="B225" s="392" t="n"/>
      <c r="C225" s="392" t="n"/>
      <c r="D225" s="409" t="n"/>
      <c r="E225" s="392" t="n"/>
      <c r="F225" s="394" t="n"/>
      <c r="G225" s="392" t="n"/>
      <c r="H225" s="604">
        <f>IFERROR(IF(AND($K225&gt;0,ISNUMBER(IF(OR($D225="g",$D225="ｇ"),IF($M225&gt;0,$L225/$M225/1000,""),IF($D225="kg",IF($M225&gt;0,$L225/$M225,""),IF($D225="",IF($M225&gt;0,$L225/$M225/1000,IF($O225&gt;0,$N225/$O225,"")),IF($O225&gt;0,$N225/$O225,"")))))),IF(OR($D225="g",$D225="ｇ"),IF($M225&gt;0,$L225/$M225/1000,""),IF($D225="kg",IF($M225&gt;0,$L225/$M225,""),IF($D225="",IF($M225&gt;0,$L225/$M225/1000,IF($O225&gt;0,$N225/$O225,"")),IF($O225&gt;0,$N225/$O225,"")))),IF($F225="",IF(OR($E225="",$E225="⑩盛付梱包工程入力"),"",IF(OR($D225="g",$D225="ｇ"),INDEX(⑰工程労務費一覧!$N$5:$N$11,MATCH($E225,⑰工程労務費一覧!$K$5:$K$11,0))/1000,IF($D225="kg",INDEX(⑰工程労務費一覧!$N$5:$N$11,MATCH($E225,⑰工程労務費一覧!$K$5:$K$11,0)),IF(OR($D225="個",$D225="切",$D225="本",$D225="枚",$D225="尾"),IF($E225="⑬計量工程入力","",INDEX(⑰工程労務費一覧!$P$5:$P$11,MATCH($E225,⑰工程労務費一覧!$K$5:$K$11,0))),IF(AND($D225="",OR($E225="②釜工程入力",$E225="③スチコン工程入力")),INDEX(⑰工程労務費一覧!$N$5:$N$11,MATCH($E225,⑰工程労務費一覧!$K$5:$K$11,0))/1000,""))))),IF(OR($D225="g",$D225="ｇ"),INDEX(⑰工程労務費一覧!$H$5:$H$753,MATCH($F225,⑰工程労務費一覧!$D$5:$D$753,0))/1000,IF($D225="kg",INDEX(⑰工程労務費一覧!$H$5:$H$753,MATCH($F225,⑰工程労務費一覧!$D$5:$D$753,0)),INDEX(⑰工程労務費一覧!$I$5:$I$753,MATCH($F225,⑰工程労務費一覧!$D$5:$D$753,0)))))),"")</f>
        <v/>
      </c>
      <c r="I225" s="392">
        <f>IF($K225&gt;0,IF(ISNUMBER(IF(OR($D225="g",$D225="ｇ"),IF($M225&gt;0,$L225/$M225/1000,""),IF($D225="kg",IF($M225&gt;0,$L225/$M225,""),IF($D225="",IF($M225&gt;0,$L225/$M225/1000,IF($O225&gt;0,$N225/$O225,"")),IF($O225&gt;0,$N225/$O225,""))))),IF($D225="",IF($M225&gt;0,"◎ JAN紐づけ(g扱い)","◎ JAN紐づけ(個扱い)"),"◎ JAN紐づけ"),"△ JAN紐づけ済・実績不足→仮計算"),IF($F225="",IF(ISNUMBER($H225),IF($D225="","⑤ 工程平均で仮計算(g扱い)","⑤ 工程平均で仮計算"),IF($E225="⑩盛付梱包工程入力","⑥ 盛り込み(⑳F列で計上)",IF(AND($E225="⑬計量工程入力",OR($D225="個",$D225="切",$D225="本",$D225="枚",$D225="尾")),"① 未紐づけ(カット個単位は仮単価なし)","① 未紐づけ"))),IF(NOT(ISNUMBER($H225)),"② 工程側に単価なし",IF($D225="","③ 単位未設定(個で計算)","④ OK"))))</f>
        <v/>
      </c>
      <c r="J225" s="399">
        <f>IFERROR(LOOKUP(2,1/((中間品リスト!$F$2:$F$1299=$B225)*(中間品リスト!$E$2:$E$1299&lt;&gt;"-")*(中間品リスト!$E$2:$E$1299&lt;&gt;"")),中間品リスト!$E$2:$E$1299),"")</f>
        <v/>
      </c>
      <c r="K225" s="400">
        <f>IF($J225="",0,COUNTIF(②釜工程入力!$S$5:$S$117,$J225)+COUNTIF(③スチコン工程入力!$S$5:$S$152,$J225)+COUNTIF(⑪ZEN工程入力!$S$6:$S$35,$J225)+COUNTIF(⑫ミキサー工程入力!$S$6:$S$65,$J225)+COUNTIF(⑬計量工程入力!$S$6:$S$65,$J225)+COUNTIF(⑭手動工程入力!$S$6:$S$47,$J225))</f>
        <v/>
      </c>
      <c r="L225" s="393">
        <f>IF($J225="",0,SUMIFS(②釜工程入力!$M$5:$M$117,②釜工程入力!$S$5:$S$117,$J225,②釜工程入力!$I$5:$I$117,"&gt;0")+SUMIFS(③スチコン工程入力!$M$5:$M$152,③スチコン工程入力!$S$5:$S$152,$J225,③スチコン工程入力!$I$5:$I$152,"&gt;0")+SUMIFS(⑪ZEN工程入力!$M$6:$M$35,⑪ZEN工程入力!$S$6:$S$35,$J225,⑪ZEN工程入力!$I$6:$I$35,"&gt;0")+SUMIFS(⑫ミキサー工程入力!$M$6:$M$65,⑫ミキサー工程入力!$S$6:$S$65,$J225,⑫ミキサー工程入力!$I$6:$I$65,"&gt;0")+SUMIFS(⑬計量工程入力!$M$6:$M$65,⑬計量工程入力!$S$6:$S$65,$J225,⑬計量工程入力!$I$6:$I$65,"&gt;0")+SUMIFS(⑭手動工程入力!$M$6:$M$47,⑭手動工程入力!$S$6:$S$47,$J225,⑭手動工程入力!$I$6:$I$47,"&gt;0"))</f>
        <v/>
      </c>
      <c r="M225" s="393">
        <f>IF($J225="",0,SUMIFS(②釜工程入力!$I$5:$I$117,②釜工程入力!$S$5:$S$117,$J225,②釜工程入力!$I$5:$I$117,"&gt;0",②釜工程入力!$M$5:$M$117,"&gt;0")+SUMIFS(③スチコン工程入力!$I$5:$I$152,③スチコン工程入力!$S$5:$S$152,$J225,③スチコン工程入力!$I$5:$I$152,"&gt;0",③スチコン工程入力!$M$5:$M$152,"&gt;0")+SUMIFS(⑪ZEN工程入力!$I$6:$I$35,⑪ZEN工程入力!$S$6:$S$35,$J225,⑪ZEN工程入力!$I$6:$I$35,"&gt;0",⑪ZEN工程入力!$M$6:$M$35,"&gt;0")+SUMIFS(⑫ミキサー工程入力!$I$6:$I$65,⑫ミキサー工程入力!$S$6:$S$65,$J225,⑫ミキサー工程入力!$I$6:$I$65,"&gt;0",⑫ミキサー工程入力!$M$6:$M$65,"&gt;0")+SUMIFS(⑬計量工程入力!$I$6:$I$65,⑬計量工程入力!$S$6:$S$65,$J225,⑬計量工程入力!$I$6:$I$65,"&gt;0",⑬計量工程入力!$M$6:$M$65,"&gt;0")+SUMIFS(⑭手動工程入力!$I$6:$I$47,⑭手動工程入力!$S$6:$S$47,$J225,⑭手動工程入力!$I$6:$I$47,"&gt;0",⑭手動工程入力!$M$6:$M$47,"&gt;0"))</f>
        <v/>
      </c>
      <c r="N225" s="393">
        <f>IF($J225="",0,SUMIFS(②釜工程入力!$M$5:$M$117,②釜工程入力!$S$5:$S$117,$J225,②釜工程入力!$J$5:$J$117,"&gt;0")-SUMIFS(②釜工程入力!$M$5:$M$117,②釜工程入力!$S$5:$S$117,$J225,②釜工程入力!$J$5:$J$117,"&gt;0",②釜工程入力!$I$5:$I$117,"&gt;0")+SUMIFS(③スチコン工程入力!$M$5:$M$152,③スチコン工程入力!$S$5:$S$152,$J225,③スチコン工程入力!$J$5:$J$152,"&gt;0")-SUMIFS(③スチコン工程入力!$M$5:$M$152,③スチコン工程入力!$S$5:$S$152,$J225,③スチコン工程入力!$J$5:$J$152,"&gt;0",③スチコン工程入力!$I$5:$I$152,"&gt;0")+SUMIFS(⑪ZEN工程入力!$M$6:$M$35,⑪ZEN工程入力!$S$6:$S$35,$J225,⑪ZEN工程入力!$J$6:$J$35,"&gt;0")-SUMIFS(⑪ZEN工程入力!$M$6:$M$35,⑪ZEN工程入力!$S$6:$S$35,$J225,⑪ZEN工程入力!$J$6:$J$35,"&gt;0",⑪ZEN工程入力!$I$6:$I$35,"&gt;0")+SUMIFS(⑫ミキサー工程入力!$M$6:$M$65,⑫ミキサー工程入力!$S$6:$S$65,$J225,⑫ミキサー工程入力!$J$6:$J$65,"&gt;0")-SUMIFS(⑫ミキサー工程入力!$M$6:$M$65,⑫ミキサー工程入力!$S$6:$S$65,$J225,⑫ミキサー工程入力!$J$6:$J$65,"&gt;0",⑫ミキサー工程入力!$I$6:$I$65,"&gt;0")+SUMIFS(⑬計量工程入力!$M$6:$M$65,⑬計量工程入力!$S$6:$S$65,$J225,⑬計量工程入力!$J$6:$J$65,"&gt;0")-SUMIFS(⑬計量工程入力!$M$6:$M$65,⑬計量工程入力!$S$6:$S$65,$J225,⑬計量工程入力!$J$6:$J$65,"&gt;0",⑬計量工程入力!$I$6:$I$65,"&gt;0")+SUMIFS(⑭手動工程入力!$M$6:$M$47,⑭手動工程入力!$S$6:$S$47,$J225,⑭手動工程入力!$J$6:$J$47,"&gt;0")-SUMIFS(⑭手動工程入力!$M$6:$M$47,⑭手動工程入力!$S$6:$S$47,$J225,⑭手動工程入力!$J$6:$J$47,"&gt;0",⑭手動工程入力!$I$6:$I$47,"&gt;0"))</f>
        <v/>
      </c>
      <c r="O225" s="393">
        <f>IF($J225="",0,SUMIFS(②釜工程入力!$J$5:$J$117,②釜工程入力!$S$5:$S$117,$J225,②釜工程入力!$J$5:$J$117,"&gt;0",②釜工程入力!$M$5:$M$117,"&gt;0")-SUMIFS(②釜工程入力!$J$5:$J$117,②釜工程入力!$S$5:$S$117,$J225,②釜工程入力!$J$5:$J$117,"&gt;0",②釜工程入力!$I$5:$I$117,"&gt;0",②釜工程入力!$M$5:$M$117,"&gt;0")+SUMIFS(③スチコン工程入力!$J$5:$J$152,③スチコン工程入力!$S$5:$S$152,$J225,③スチコン工程入力!$J$5:$J$152,"&gt;0",③スチコン工程入力!$M$5:$M$152,"&gt;0")-SUMIFS(③スチコン工程入力!$J$5:$J$152,③スチコン工程入力!$S$5:$S$152,$J225,③スチコン工程入力!$J$5:$J$152,"&gt;0",③スチコン工程入力!$I$5:$I$152,"&gt;0",③スチコン工程入力!$M$5:$M$152,"&gt;0")+SUMIFS(⑪ZEN工程入力!$J$6:$J$35,⑪ZEN工程入力!$S$6:$S$35,$J225,⑪ZEN工程入力!$J$6:$J$35,"&gt;0",⑪ZEN工程入力!$M$6:$M$35,"&gt;0")-SUMIFS(⑪ZEN工程入力!$J$6:$J$35,⑪ZEN工程入力!$S$6:$S$35,$J225,⑪ZEN工程入力!$J$6:$J$35,"&gt;0",⑪ZEN工程入力!$I$6:$I$35,"&gt;0",⑪ZEN工程入力!$M$6:$M$35,"&gt;0")+SUMIFS(⑫ミキサー工程入力!$J$6:$J$65,⑫ミキサー工程入力!$S$6:$S$65,$J225,⑫ミキサー工程入力!$J$6:$J$65,"&gt;0",⑫ミキサー工程入力!$M$6:$M$65,"&gt;0")-SUMIFS(⑫ミキサー工程入力!$J$6:$J$65,⑫ミキサー工程入力!$S$6:$S$65,$J225,⑫ミキサー工程入力!$J$6:$J$65,"&gt;0",⑫ミキサー工程入力!$I$6:$I$65,"&gt;0",⑫ミキサー工程入力!$M$6:$M$65,"&gt;0")+SUMIFS(⑬計量工程入力!$J$6:$J$65,⑬計量工程入力!$S$6:$S$65,$J225,⑬計量工程入力!$J$6:$J$65,"&gt;0",⑬計量工程入力!$M$6:$M$65,"&gt;0")-SUMIFS(⑬計量工程入力!$J$6:$J$65,⑬計量工程入力!$S$6:$S$65,$J225,⑬計量工程入力!$J$6:$J$65,"&gt;0",⑬計量工程入力!$I$6:$I$65,"&gt;0",⑬計量工程入力!$M$6:$M$65,"&gt;0")+SUMIFS(⑭手動工程入力!$J$6:$J$47,⑭手動工程入力!$S$6:$S$47,$J225,⑭手動工程入力!$J$6:$J$47,"&gt;0",⑭手動工程入力!$M$6:$M$47,"&gt;0")-SUMIFS(⑭手動工程入力!$J$6:$J$47,⑭手動工程入力!$S$6:$S$47,$J225,⑭手動工程入力!$J$6:$J$47,"&gt;0",⑭手動工程入力!$I$6:$I$47,"&gt;0",⑭手動工程入力!$M$6:$M$47,"&gt;0"))</f>
        <v/>
      </c>
      <c r="P225" s="392" t="inlineStr">
        <is>
          <t>中間品リスト</t>
        </is>
      </c>
    </row>
    <row r="226">
      <c r="A226" s="392" t="n">
        <v>222</v>
      </c>
      <c r="B226" s="392" t="n"/>
      <c r="C226" s="392" t="n"/>
      <c r="D226" s="409" t="n"/>
      <c r="E226" s="392" t="n"/>
      <c r="F226" s="394" t="n"/>
      <c r="G226" s="392" t="n"/>
      <c r="H226" s="604">
        <f>IFERROR(IF(AND($K226&gt;0,ISNUMBER(IF(OR($D226="g",$D226="ｇ"),IF($M226&gt;0,$L226/$M226/1000,""),IF($D226="kg",IF($M226&gt;0,$L226/$M226,""),IF($D226="",IF($M226&gt;0,$L226/$M226/1000,IF($O226&gt;0,$N226/$O226,"")),IF($O226&gt;0,$N226/$O226,"")))))),IF(OR($D226="g",$D226="ｇ"),IF($M226&gt;0,$L226/$M226/1000,""),IF($D226="kg",IF($M226&gt;0,$L226/$M226,""),IF($D226="",IF($M226&gt;0,$L226/$M226/1000,IF($O226&gt;0,$N226/$O226,"")),IF($O226&gt;0,$N226/$O226,"")))),IF($F226="",IF(OR($E226="",$E226="⑩盛付梱包工程入力"),"",IF(OR($D226="g",$D226="ｇ"),INDEX(⑰工程労務費一覧!$N$5:$N$11,MATCH($E226,⑰工程労務費一覧!$K$5:$K$11,0))/1000,IF($D226="kg",INDEX(⑰工程労務費一覧!$N$5:$N$11,MATCH($E226,⑰工程労務費一覧!$K$5:$K$11,0)),IF(OR($D226="個",$D226="切",$D226="本",$D226="枚",$D226="尾"),IF($E226="⑬計量工程入力","",INDEX(⑰工程労務費一覧!$P$5:$P$11,MATCH($E226,⑰工程労務費一覧!$K$5:$K$11,0))),IF(AND($D226="",OR($E226="②釜工程入力",$E226="③スチコン工程入力")),INDEX(⑰工程労務費一覧!$N$5:$N$11,MATCH($E226,⑰工程労務費一覧!$K$5:$K$11,0))/1000,""))))),IF(OR($D226="g",$D226="ｇ"),INDEX(⑰工程労務費一覧!$H$5:$H$753,MATCH($F226,⑰工程労務費一覧!$D$5:$D$753,0))/1000,IF($D226="kg",INDEX(⑰工程労務費一覧!$H$5:$H$753,MATCH($F226,⑰工程労務費一覧!$D$5:$D$753,0)),INDEX(⑰工程労務費一覧!$I$5:$I$753,MATCH($F226,⑰工程労務費一覧!$D$5:$D$753,0)))))),"")</f>
        <v/>
      </c>
      <c r="I226" s="392">
        <f>IF($K226&gt;0,IF(ISNUMBER(IF(OR($D226="g",$D226="ｇ"),IF($M226&gt;0,$L226/$M226/1000,""),IF($D226="kg",IF($M226&gt;0,$L226/$M226,""),IF($D226="",IF($M226&gt;0,$L226/$M226/1000,IF($O226&gt;0,$N226/$O226,"")),IF($O226&gt;0,$N226/$O226,""))))),IF($D226="",IF($M226&gt;0,"◎ JAN紐づけ(g扱い)","◎ JAN紐づけ(個扱い)"),"◎ JAN紐づけ"),"△ JAN紐づけ済・実績不足→仮計算"),IF($F226="",IF(ISNUMBER($H226),IF($D226="","⑤ 工程平均で仮計算(g扱い)","⑤ 工程平均で仮計算"),IF($E226="⑩盛付梱包工程入力","⑥ 盛り込み(⑳F列で計上)",IF(AND($E226="⑬計量工程入力",OR($D226="個",$D226="切",$D226="本",$D226="枚",$D226="尾")),"① 未紐づけ(カット個単位は仮単価なし)","① 未紐づけ"))),IF(NOT(ISNUMBER($H226)),"② 工程側に単価なし",IF($D226="","③ 単位未設定(個で計算)","④ OK"))))</f>
        <v/>
      </c>
      <c r="J226" s="399">
        <f>IFERROR(LOOKUP(2,1/((中間品リスト!$F$2:$F$1299=$B226)*(中間品リスト!$E$2:$E$1299&lt;&gt;"-")*(中間品リスト!$E$2:$E$1299&lt;&gt;"")),中間品リスト!$E$2:$E$1299),"")</f>
        <v/>
      </c>
      <c r="K226" s="400">
        <f>IF($J226="",0,COUNTIF(②釜工程入力!$S$5:$S$117,$J226)+COUNTIF(③スチコン工程入力!$S$5:$S$152,$J226)+COUNTIF(⑪ZEN工程入力!$S$6:$S$35,$J226)+COUNTIF(⑫ミキサー工程入力!$S$6:$S$65,$J226)+COUNTIF(⑬計量工程入力!$S$6:$S$65,$J226)+COUNTIF(⑭手動工程入力!$S$6:$S$47,$J226))</f>
        <v/>
      </c>
      <c r="L226" s="393">
        <f>IF($J226="",0,SUMIFS(②釜工程入力!$M$5:$M$117,②釜工程入力!$S$5:$S$117,$J226,②釜工程入力!$I$5:$I$117,"&gt;0")+SUMIFS(③スチコン工程入力!$M$5:$M$152,③スチコン工程入力!$S$5:$S$152,$J226,③スチコン工程入力!$I$5:$I$152,"&gt;0")+SUMIFS(⑪ZEN工程入力!$M$6:$M$35,⑪ZEN工程入力!$S$6:$S$35,$J226,⑪ZEN工程入力!$I$6:$I$35,"&gt;0")+SUMIFS(⑫ミキサー工程入力!$M$6:$M$65,⑫ミキサー工程入力!$S$6:$S$65,$J226,⑫ミキサー工程入力!$I$6:$I$65,"&gt;0")+SUMIFS(⑬計量工程入力!$M$6:$M$65,⑬計量工程入力!$S$6:$S$65,$J226,⑬計量工程入力!$I$6:$I$65,"&gt;0")+SUMIFS(⑭手動工程入力!$M$6:$M$47,⑭手動工程入力!$S$6:$S$47,$J226,⑭手動工程入力!$I$6:$I$47,"&gt;0"))</f>
        <v/>
      </c>
      <c r="M226" s="393">
        <f>IF($J226="",0,SUMIFS(②釜工程入力!$I$5:$I$117,②釜工程入力!$S$5:$S$117,$J226,②釜工程入力!$I$5:$I$117,"&gt;0",②釜工程入力!$M$5:$M$117,"&gt;0")+SUMIFS(③スチコン工程入力!$I$5:$I$152,③スチコン工程入力!$S$5:$S$152,$J226,③スチコン工程入力!$I$5:$I$152,"&gt;0",③スチコン工程入力!$M$5:$M$152,"&gt;0")+SUMIFS(⑪ZEN工程入力!$I$6:$I$35,⑪ZEN工程入力!$S$6:$S$35,$J226,⑪ZEN工程入力!$I$6:$I$35,"&gt;0",⑪ZEN工程入力!$M$6:$M$35,"&gt;0")+SUMIFS(⑫ミキサー工程入力!$I$6:$I$65,⑫ミキサー工程入力!$S$6:$S$65,$J226,⑫ミキサー工程入力!$I$6:$I$65,"&gt;0",⑫ミキサー工程入力!$M$6:$M$65,"&gt;0")+SUMIFS(⑬計量工程入力!$I$6:$I$65,⑬計量工程入力!$S$6:$S$65,$J226,⑬計量工程入力!$I$6:$I$65,"&gt;0",⑬計量工程入力!$M$6:$M$65,"&gt;0")+SUMIFS(⑭手動工程入力!$I$6:$I$47,⑭手動工程入力!$S$6:$S$47,$J226,⑭手動工程入力!$I$6:$I$47,"&gt;0",⑭手動工程入力!$M$6:$M$47,"&gt;0"))</f>
        <v/>
      </c>
      <c r="N226" s="393">
        <f>IF($J226="",0,SUMIFS(②釜工程入力!$M$5:$M$117,②釜工程入力!$S$5:$S$117,$J226,②釜工程入力!$J$5:$J$117,"&gt;0")-SUMIFS(②釜工程入力!$M$5:$M$117,②釜工程入力!$S$5:$S$117,$J226,②釜工程入力!$J$5:$J$117,"&gt;0",②釜工程入力!$I$5:$I$117,"&gt;0")+SUMIFS(③スチコン工程入力!$M$5:$M$152,③スチコン工程入力!$S$5:$S$152,$J226,③スチコン工程入力!$J$5:$J$152,"&gt;0")-SUMIFS(③スチコン工程入力!$M$5:$M$152,③スチコン工程入力!$S$5:$S$152,$J226,③スチコン工程入力!$J$5:$J$152,"&gt;0",③スチコン工程入力!$I$5:$I$152,"&gt;0")+SUMIFS(⑪ZEN工程入力!$M$6:$M$35,⑪ZEN工程入力!$S$6:$S$35,$J226,⑪ZEN工程入力!$J$6:$J$35,"&gt;0")-SUMIFS(⑪ZEN工程入力!$M$6:$M$35,⑪ZEN工程入力!$S$6:$S$35,$J226,⑪ZEN工程入力!$J$6:$J$35,"&gt;0",⑪ZEN工程入力!$I$6:$I$35,"&gt;0")+SUMIFS(⑫ミキサー工程入力!$M$6:$M$65,⑫ミキサー工程入力!$S$6:$S$65,$J226,⑫ミキサー工程入力!$J$6:$J$65,"&gt;0")-SUMIFS(⑫ミキサー工程入力!$M$6:$M$65,⑫ミキサー工程入力!$S$6:$S$65,$J226,⑫ミキサー工程入力!$J$6:$J$65,"&gt;0",⑫ミキサー工程入力!$I$6:$I$65,"&gt;0")+SUMIFS(⑬計量工程入力!$M$6:$M$65,⑬計量工程入力!$S$6:$S$65,$J226,⑬計量工程入力!$J$6:$J$65,"&gt;0")-SUMIFS(⑬計量工程入力!$M$6:$M$65,⑬計量工程入力!$S$6:$S$65,$J226,⑬計量工程入力!$J$6:$J$65,"&gt;0",⑬計量工程入力!$I$6:$I$65,"&gt;0")+SUMIFS(⑭手動工程入力!$M$6:$M$47,⑭手動工程入力!$S$6:$S$47,$J226,⑭手動工程入力!$J$6:$J$47,"&gt;0")-SUMIFS(⑭手動工程入力!$M$6:$M$47,⑭手動工程入力!$S$6:$S$47,$J226,⑭手動工程入力!$J$6:$J$47,"&gt;0",⑭手動工程入力!$I$6:$I$47,"&gt;0"))</f>
        <v/>
      </c>
      <c r="O226" s="393">
        <f>IF($J226="",0,SUMIFS(②釜工程入力!$J$5:$J$117,②釜工程入力!$S$5:$S$117,$J226,②釜工程入力!$J$5:$J$117,"&gt;0",②釜工程入力!$M$5:$M$117,"&gt;0")-SUMIFS(②釜工程入力!$J$5:$J$117,②釜工程入力!$S$5:$S$117,$J226,②釜工程入力!$J$5:$J$117,"&gt;0",②釜工程入力!$I$5:$I$117,"&gt;0",②釜工程入力!$M$5:$M$117,"&gt;0")+SUMIFS(③スチコン工程入力!$J$5:$J$152,③スチコン工程入力!$S$5:$S$152,$J226,③スチコン工程入力!$J$5:$J$152,"&gt;0",③スチコン工程入力!$M$5:$M$152,"&gt;0")-SUMIFS(③スチコン工程入力!$J$5:$J$152,③スチコン工程入力!$S$5:$S$152,$J226,③スチコン工程入力!$J$5:$J$152,"&gt;0",③スチコン工程入力!$I$5:$I$152,"&gt;0",③スチコン工程入力!$M$5:$M$152,"&gt;0")+SUMIFS(⑪ZEN工程入力!$J$6:$J$35,⑪ZEN工程入力!$S$6:$S$35,$J226,⑪ZEN工程入力!$J$6:$J$35,"&gt;0",⑪ZEN工程入力!$M$6:$M$35,"&gt;0")-SUMIFS(⑪ZEN工程入力!$J$6:$J$35,⑪ZEN工程入力!$S$6:$S$35,$J226,⑪ZEN工程入力!$J$6:$J$35,"&gt;0",⑪ZEN工程入力!$I$6:$I$35,"&gt;0",⑪ZEN工程入力!$M$6:$M$35,"&gt;0")+SUMIFS(⑫ミキサー工程入力!$J$6:$J$65,⑫ミキサー工程入力!$S$6:$S$65,$J226,⑫ミキサー工程入力!$J$6:$J$65,"&gt;0",⑫ミキサー工程入力!$M$6:$M$65,"&gt;0")-SUMIFS(⑫ミキサー工程入力!$J$6:$J$65,⑫ミキサー工程入力!$S$6:$S$65,$J226,⑫ミキサー工程入力!$J$6:$J$65,"&gt;0",⑫ミキサー工程入力!$I$6:$I$65,"&gt;0",⑫ミキサー工程入力!$M$6:$M$65,"&gt;0")+SUMIFS(⑬計量工程入力!$J$6:$J$65,⑬計量工程入力!$S$6:$S$65,$J226,⑬計量工程入力!$J$6:$J$65,"&gt;0",⑬計量工程入力!$M$6:$M$65,"&gt;0")-SUMIFS(⑬計量工程入力!$J$6:$J$65,⑬計量工程入力!$S$6:$S$65,$J226,⑬計量工程入力!$J$6:$J$65,"&gt;0",⑬計量工程入力!$I$6:$I$65,"&gt;0",⑬計量工程入力!$M$6:$M$65,"&gt;0")+SUMIFS(⑭手動工程入力!$J$6:$J$47,⑭手動工程入力!$S$6:$S$47,$J226,⑭手動工程入力!$J$6:$J$47,"&gt;0",⑭手動工程入力!$M$6:$M$47,"&gt;0")-SUMIFS(⑭手動工程入力!$J$6:$J$47,⑭手動工程入力!$S$6:$S$47,$J226,⑭手動工程入力!$J$6:$J$47,"&gt;0",⑭手動工程入力!$I$6:$I$47,"&gt;0",⑭手動工程入力!$M$6:$M$47,"&gt;0"))</f>
        <v/>
      </c>
      <c r="P226" s="392" t="inlineStr">
        <is>
          <t>中間品リスト</t>
        </is>
      </c>
    </row>
    <row r="227">
      <c r="A227" s="392" t="n">
        <v>223</v>
      </c>
      <c r="B227" s="392" t="n"/>
      <c r="C227" s="392" t="n"/>
      <c r="D227" s="409" t="n"/>
      <c r="E227" s="392" t="n"/>
      <c r="F227" s="394" t="n"/>
      <c r="G227" s="392" t="n"/>
      <c r="H227" s="604">
        <f>IFERROR(IF(AND($K227&gt;0,ISNUMBER(IF(OR($D227="g",$D227="ｇ"),IF($M227&gt;0,$L227/$M227/1000,""),IF($D227="kg",IF($M227&gt;0,$L227/$M227,""),IF($D227="",IF($M227&gt;0,$L227/$M227/1000,IF($O227&gt;0,$N227/$O227,"")),IF($O227&gt;0,$N227/$O227,"")))))),IF(OR($D227="g",$D227="ｇ"),IF($M227&gt;0,$L227/$M227/1000,""),IF($D227="kg",IF($M227&gt;0,$L227/$M227,""),IF($D227="",IF($M227&gt;0,$L227/$M227/1000,IF($O227&gt;0,$N227/$O227,"")),IF($O227&gt;0,$N227/$O227,"")))),IF($F227="",IF(OR($E227="",$E227="⑩盛付梱包工程入力"),"",IF(OR($D227="g",$D227="ｇ"),INDEX(⑰工程労務費一覧!$N$5:$N$11,MATCH($E227,⑰工程労務費一覧!$K$5:$K$11,0))/1000,IF($D227="kg",INDEX(⑰工程労務費一覧!$N$5:$N$11,MATCH($E227,⑰工程労務費一覧!$K$5:$K$11,0)),IF(OR($D227="個",$D227="切",$D227="本",$D227="枚",$D227="尾"),IF($E227="⑬計量工程入力","",INDEX(⑰工程労務費一覧!$P$5:$P$11,MATCH($E227,⑰工程労務費一覧!$K$5:$K$11,0))),IF(AND($D227="",OR($E227="②釜工程入力",$E227="③スチコン工程入力")),INDEX(⑰工程労務費一覧!$N$5:$N$11,MATCH($E227,⑰工程労務費一覧!$K$5:$K$11,0))/1000,""))))),IF(OR($D227="g",$D227="ｇ"),INDEX(⑰工程労務費一覧!$H$5:$H$753,MATCH($F227,⑰工程労務費一覧!$D$5:$D$753,0))/1000,IF($D227="kg",INDEX(⑰工程労務費一覧!$H$5:$H$753,MATCH($F227,⑰工程労務費一覧!$D$5:$D$753,0)),INDEX(⑰工程労務費一覧!$I$5:$I$753,MATCH($F227,⑰工程労務費一覧!$D$5:$D$753,0)))))),"")</f>
        <v/>
      </c>
      <c r="I227" s="392">
        <f>IF($K227&gt;0,IF(ISNUMBER(IF(OR($D227="g",$D227="ｇ"),IF($M227&gt;0,$L227/$M227/1000,""),IF($D227="kg",IF($M227&gt;0,$L227/$M227,""),IF($D227="",IF($M227&gt;0,$L227/$M227/1000,IF($O227&gt;0,$N227/$O227,"")),IF($O227&gt;0,$N227/$O227,""))))),IF($D227="",IF($M227&gt;0,"◎ JAN紐づけ(g扱い)","◎ JAN紐づけ(個扱い)"),"◎ JAN紐づけ"),"△ JAN紐づけ済・実績不足→仮計算"),IF($F227="",IF(ISNUMBER($H227),IF($D227="","⑤ 工程平均で仮計算(g扱い)","⑤ 工程平均で仮計算"),IF($E227="⑩盛付梱包工程入力","⑥ 盛り込み(⑳F列で計上)",IF(AND($E227="⑬計量工程入力",OR($D227="個",$D227="切",$D227="本",$D227="枚",$D227="尾")),"① 未紐づけ(カット個単位は仮単価なし)","① 未紐づけ"))),IF(NOT(ISNUMBER($H227)),"② 工程側に単価なし",IF($D227="","③ 単位未設定(個で計算)","④ OK"))))</f>
        <v/>
      </c>
      <c r="J227" s="399">
        <f>IFERROR(LOOKUP(2,1/((中間品リスト!$F$2:$F$1299=$B227)*(中間品リスト!$E$2:$E$1299&lt;&gt;"-")*(中間品リスト!$E$2:$E$1299&lt;&gt;"")),中間品リスト!$E$2:$E$1299),"")</f>
        <v/>
      </c>
      <c r="K227" s="400">
        <f>IF($J227="",0,COUNTIF(②釜工程入力!$S$5:$S$117,$J227)+COUNTIF(③スチコン工程入力!$S$5:$S$152,$J227)+COUNTIF(⑪ZEN工程入力!$S$6:$S$35,$J227)+COUNTIF(⑫ミキサー工程入力!$S$6:$S$65,$J227)+COUNTIF(⑬計量工程入力!$S$6:$S$65,$J227)+COUNTIF(⑭手動工程入力!$S$6:$S$47,$J227))</f>
        <v/>
      </c>
      <c r="L227" s="393">
        <f>IF($J227="",0,SUMIFS(②釜工程入力!$M$5:$M$117,②釜工程入力!$S$5:$S$117,$J227,②釜工程入力!$I$5:$I$117,"&gt;0")+SUMIFS(③スチコン工程入力!$M$5:$M$152,③スチコン工程入力!$S$5:$S$152,$J227,③スチコン工程入力!$I$5:$I$152,"&gt;0")+SUMIFS(⑪ZEN工程入力!$M$6:$M$35,⑪ZEN工程入力!$S$6:$S$35,$J227,⑪ZEN工程入力!$I$6:$I$35,"&gt;0")+SUMIFS(⑫ミキサー工程入力!$M$6:$M$65,⑫ミキサー工程入力!$S$6:$S$65,$J227,⑫ミキサー工程入力!$I$6:$I$65,"&gt;0")+SUMIFS(⑬計量工程入力!$M$6:$M$65,⑬計量工程入力!$S$6:$S$65,$J227,⑬計量工程入力!$I$6:$I$65,"&gt;0")+SUMIFS(⑭手動工程入力!$M$6:$M$47,⑭手動工程入力!$S$6:$S$47,$J227,⑭手動工程入力!$I$6:$I$47,"&gt;0"))</f>
        <v/>
      </c>
      <c r="M227" s="393">
        <f>IF($J227="",0,SUMIFS(②釜工程入力!$I$5:$I$117,②釜工程入力!$S$5:$S$117,$J227,②釜工程入力!$I$5:$I$117,"&gt;0",②釜工程入力!$M$5:$M$117,"&gt;0")+SUMIFS(③スチコン工程入力!$I$5:$I$152,③スチコン工程入力!$S$5:$S$152,$J227,③スチコン工程入力!$I$5:$I$152,"&gt;0",③スチコン工程入力!$M$5:$M$152,"&gt;0")+SUMIFS(⑪ZEN工程入力!$I$6:$I$35,⑪ZEN工程入力!$S$6:$S$35,$J227,⑪ZEN工程入力!$I$6:$I$35,"&gt;0",⑪ZEN工程入力!$M$6:$M$35,"&gt;0")+SUMIFS(⑫ミキサー工程入力!$I$6:$I$65,⑫ミキサー工程入力!$S$6:$S$65,$J227,⑫ミキサー工程入力!$I$6:$I$65,"&gt;0",⑫ミキサー工程入力!$M$6:$M$65,"&gt;0")+SUMIFS(⑬計量工程入力!$I$6:$I$65,⑬計量工程入力!$S$6:$S$65,$J227,⑬計量工程入力!$I$6:$I$65,"&gt;0",⑬計量工程入力!$M$6:$M$65,"&gt;0")+SUMIFS(⑭手動工程入力!$I$6:$I$47,⑭手動工程入力!$S$6:$S$47,$J227,⑭手動工程入力!$I$6:$I$47,"&gt;0",⑭手動工程入力!$M$6:$M$47,"&gt;0"))</f>
        <v/>
      </c>
      <c r="N227" s="393">
        <f>IF($J227="",0,SUMIFS(②釜工程入力!$M$5:$M$117,②釜工程入力!$S$5:$S$117,$J227,②釜工程入力!$J$5:$J$117,"&gt;0")-SUMIFS(②釜工程入力!$M$5:$M$117,②釜工程入力!$S$5:$S$117,$J227,②釜工程入力!$J$5:$J$117,"&gt;0",②釜工程入力!$I$5:$I$117,"&gt;0")+SUMIFS(③スチコン工程入力!$M$5:$M$152,③スチコン工程入力!$S$5:$S$152,$J227,③スチコン工程入力!$J$5:$J$152,"&gt;0")-SUMIFS(③スチコン工程入力!$M$5:$M$152,③スチコン工程入力!$S$5:$S$152,$J227,③スチコン工程入力!$J$5:$J$152,"&gt;0",③スチコン工程入力!$I$5:$I$152,"&gt;0")+SUMIFS(⑪ZEN工程入力!$M$6:$M$35,⑪ZEN工程入力!$S$6:$S$35,$J227,⑪ZEN工程入力!$J$6:$J$35,"&gt;0")-SUMIFS(⑪ZEN工程入力!$M$6:$M$35,⑪ZEN工程入力!$S$6:$S$35,$J227,⑪ZEN工程入力!$J$6:$J$35,"&gt;0",⑪ZEN工程入力!$I$6:$I$35,"&gt;0")+SUMIFS(⑫ミキサー工程入力!$M$6:$M$65,⑫ミキサー工程入力!$S$6:$S$65,$J227,⑫ミキサー工程入力!$J$6:$J$65,"&gt;0")-SUMIFS(⑫ミキサー工程入力!$M$6:$M$65,⑫ミキサー工程入力!$S$6:$S$65,$J227,⑫ミキサー工程入力!$J$6:$J$65,"&gt;0",⑫ミキサー工程入力!$I$6:$I$65,"&gt;0")+SUMIFS(⑬計量工程入力!$M$6:$M$65,⑬計量工程入力!$S$6:$S$65,$J227,⑬計量工程入力!$J$6:$J$65,"&gt;0")-SUMIFS(⑬計量工程入力!$M$6:$M$65,⑬計量工程入力!$S$6:$S$65,$J227,⑬計量工程入力!$J$6:$J$65,"&gt;0",⑬計量工程入力!$I$6:$I$65,"&gt;0")+SUMIFS(⑭手動工程入力!$M$6:$M$47,⑭手動工程入力!$S$6:$S$47,$J227,⑭手動工程入力!$J$6:$J$47,"&gt;0")-SUMIFS(⑭手動工程入力!$M$6:$M$47,⑭手動工程入力!$S$6:$S$47,$J227,⑭手動工程入力!$J$6:$J$47,"&gt;0",⑭手動工程入力!$I$6:$I$47,"&gt;0"))</f>
        <v/>
      </c>
      <c r="O227" s="393">
        <f>IF($J227="",0,SUMIFS(②釜工程入力!$J$5:$J$117,②釜工程入力!$S$5:$S$117,$J227,②釜工程入力!$J$5:$J$117,"&gt;0",②釜工程入力!$M$5:$M$117,"&gt;0")-SUMIFS(②釜工程入力!$J$5:$J$117,②釜工程入力!$S$5:$S$117,$J227,②釜工程入力!$J$5:$J$117,"&gt;0",②釜工程入力!$I$5:$I$117,"&gt;0",②釜工程入力!$M$5:$M$117,"&gt;0")+SUMIFS(③スチコン工程入力!$J$5:$J$152,③スチコン工程入力!$S$5:$S$152,$J227,③スチコン工程入力!$J$5:$J$152,"&gt;0",③スチコン工程入力!$M$5:$M$152,"&gt;0")-SUMIFS(③スチコン工程入力!$J$5:$J$152,③スチコン工程入力!$S$5:$S$152,$J227,③スチコン工程入力!$J$5:$J$152,"&gt;0",③スチコン工程入力!$I$5:$I$152,"&gt;0",③スチコン工程入力!$M$5:$M$152,"&gt;0")+SUMIFS(⑪ZEN工程入力!$J$6:$J$35,⑪ZEN工程入力!$S$6:$S$35,$J227,⑪ZEN工程入力!$J$6:$J$35,"&gt;0",⑪ZEN工程入力!$M$6:$M$35,"&gt;0")-SUMIFS(⑪ZEN工程入力!$J$6:$J$35,⑪ZEN工程入力!$S$6:$S$35,$J227,⑪ZEN工程入力!$J$6:$J$35,"&gt;0",⑪ZEN工程入力!$I$6:$I$35,"&gt;0",⑪ZEN工程入力!$M$6:$M$35,"&gt;0")+SUMIFS(⑫ミキサー工程入力!$J$6:$J$65,⑫ミキサー工程入力!$S$6:$S$65,$J227,⑫ミキサー工程入力!$J$6:$J$65,"&gt;0",⑫ミキサー工程入力!$M$6:$M$65,"&gt;0")-SUMIFS(⑫ミキサー工程入力!$J$6:$J$65,⑫ミキサー工程入力!$S$6:$S$65,$J227,⑫ミキサー工程入力!$J$6:$J$65,"&gt;0",⑫ミキサー工程入力!$I$6:$I$65,"&gt;0",⑫ミキサー工程入力!$M$6:$M$65,"&gt;0")+SUMIFS(⑬計量工程入力!$J$6:$J$65,⑬計量工程入力!$S$6:$S$65,$J227,⑬計量工程入力!$J$6:$J$65,"&gt;0",⑬計量工程入力!$M$6:$M$65,"&gt;0")-SUMIFS(⑬計量工程入力!$J$6:$J$65,⑬計量工程入力!$S$6:$S$65,$J227,⑬計量工程入力!$J$6:$J$65,"&gt;0",⑬計量工程入力!$I$6:$I$65,"&gt;0",⑬計量工程入力!$M$6:$M$65,"&gt;0")+SUMIFS(⑭手動工程入力!$J$6:$J$47,⑭手動工程入力!$S$6:$S$47,$J227,⑭手動工程入力!$J$6:$J$47,"&gt;0",⑭手動工程入力!$M$6:$M$47,"&gt;0")-SUMIFS(⑭手動工程入力!$J$6:$J$47,⑭手動工程入力!$S$6:$S$47,$J227,⑭手動工程入力!$J$6:$J$47,"&gt;0",⑭手動工程入力!$I$6:$I$47,"&gt;0",⑭手動工程入力!$M$6:$M$47,"&gt;0"))</f>
        <v/>
      </c>
      <c r="P227" s="392" t="inlineStr">
        <is>
          <t>中間品リスト</t>
        </is>
      </c>
    </row>
    <row r="228">
      <c r="A228" s="392" t="n">
        <v>224</v>
      </c>
      <c r="B228" s="392" t="n"/>
      <c r="C228" s="392" t="n"/>
      <c r="D228" s="409" t="n"/>
      <c r="E228" s="392" t="n"/>
      <c r="F228" s="394" t="n"/>
      <c r="G228" s="392" t="n"/>
      <c r="H228" s="604">
        <f>IFERROR(IF(AND($K228&gt;0,ISNUMBER(IF(OR($D228="g",$D228="ｇ"),IF($M228&gt;0,$L228/$M228/1000,""),IF($D228="kg",IF($M228&gt;0,$L228/$M228,""),IF($D228="",IF($M228&gt;0,$L228/$M228/1000,IF($O228&gt;0,$N228/$O228,"")),IF($O228&gt;0,$N228/$O228,"")))))),IF(OR($D228="g",$D228="ｇ"),IF($M228&gt;0,$L228/$M228/1000,""),IF($D228="kg",IF($M228&gt;0,$L228/$M228,""),IF($D228="",IF($M228&gt;0,$L228/$M228/1000,IF($O228&gt;0,$N228/$O228,"")),IF($O228&gt;0,$N228/$O228,"")))),IF($F228="",IF(OR($E228="",$E228="⑩盛付梱包工程入力"),"",IF(OR($D228="g",$D228="ｇ"),INDEX(⑰工程労務費一覧!$N$5:$N$11,MATCH($E228,⑰工程労務費一覧!$K$5:$K$11,0))/1000,IF($D228="kg",INDEX(⑰工程労務費一覧!$N$5:$N$11,MATCH($E228,⑰工程労務費一覧!$K$5:$K$11,0)),IF(OR($D228="個",$D228="切",$D228="本",$D228="枚",$D228="尾"),IF($E228="⑬計量工程入力","",INDEX(⑰工程労務費一覧!$P$5:$P$11,MATCH($E228,⑰工程労務費一覧!$K$5:$K$11,0))),IF(AND($D228="",OR($E228="②釜工程入力",$E228="③スチコン工程入力")),INDEX(⑰工程労務費一覧!$N$5:$N$11,MATCH($E228,⑰工程労務費一覧!$K$5:$K$11,0))/1000,""))))),IF(OR($D228="g",$D228="ｇ"),INDEX(⑰工程労務費一覧!$H$5:$H$753,MATCH($F228,⑰工程労務費一覧!$D$5:$D$753,0))/1000,IF($D228="kg",INDEX(⑰工程労務費一覧!$H$5:$H$753,MATCH($F228,⑰工程労務費一覧!$D$5:$D$753,0)),INDEX(⑰工程労務費一覧!$I$5:$I$753,MATCH($F228,⑰工程労務費一覧!$D$5:$D$753,0)))))),"")</f>
        <v/>
      </c>
      <c r="I228" s="392">
        <f>IF($K228&gt;0,IF(ISNUMBER(IF(OR($D228="g",$D228="ｇ"),IF($M228&gt;0,$L228/$M228/1000,""),IF($D228="kg",IF($M228&gt;0,$L228/$M228,""),IF($D228="",IF($M228&gt;0,$L228/$M228/1000,IF($O228&gt;0,$N228/$O228,"")),IF($O228&gt;0,$N228/$O228,""))))),IF($D228="",IF($M228&gt;0,"◎ JAN紐づけ(g扱い)","◎ JAN紐づけ(個扱い)"),"◎ JAN紐づけ"),"△ JAN紐づけ済・実績不足→仮計算"),IF($F228="",IF(ISNUMBER($H228),IF($D228="","⑤ 工程平均で仮計算(g扱い)","⑤ 工程平均で仮計算"),IF($E228="⑩盛付梱包工程入力","⑥ 盛り込み(⑳F列で計上)",IF(AND($E228="⑬計量工程入力",OR($D228="個",$D228="切",$D228="本",$D228="枚",$D228="尾")),"① 未紐づけ(カット個単位は仮単価なし)","① 未紐づけ"))),IF(NOT(ISNUMBER($H228)),"② 工程側に単価なし",IF($D228="","③ 単位未設定(個で計算)","④ OK"))))</f>
        <v/>
      </c>
      <c r="J228" s="399">
        <f>IFERROR(LOOKUP(2,1/((中間品リスト!$F$2:$F$1299=$B228)*(中間品リスト!$E$2:$E$1299&lt;&gt;"-")*(中間品リスト!$E$2:$E$1299&lt;&gt;"")),中間品リスト!$E$2:$E$1299),"")</f>
        <v/>
      </c>
      <c r="K228" s="400">
        <f>IF($J228="",0,COUNTIF(②釜工程入力!$S$5:$S$117,$J228)+COUNTIF(③スチコン工程入力!$S$5:$S$152,$J228)+COUNTIF(⑪ZEN工程入力!$S$6:$S$35,$J228)+COUNTIF(⑫ミキサー工程入力!$S$6:$S$65,$J228)+COUNTIF(⑬計量工程入力!$S$6:$S$65,$J228)+COUNTIF(⑭手動工程入力!$S$6:$S$47,$J228))</f>
        <v/>
      </c>
      <c r="L228" s="393">
        <f>IF($J228="",0,SUMIFS(②釜工程入力!$M$5:$M$117,②釜工程入力!$S$5:$S$117,$J228,②釜工程入力!$I$5:$I$117,"&gt;0")+SUMIFS(③スチコン工程入力!$M$5:$M$152,③スチコン工程入力!$S$5:$S$152,$J228,③スチコン工程入力!$I$5:$I$152,"&gt;0")+SUMIFS(⑪ZEN工程入力!$M$6:$M$35,⑪ZEN工程入力!$S$6:$S$35,$J228,⑪ZEN工程入力!$I$6:$I$35,"&gt;0")+SUMIFS(⑫ミキサー工程入力!$M$6:$M$65,⑫ミキサー工程入力!$S$6:$S$65,$J228,⑫ミキサー工程入力!$I$6:$I$65,"&gt;0")+SUMIFS(⑬計量工程入力!$M$6:$M$65,⑬計量工程入力!$S$6:$S$65,$J228,⑬計量工程入力!$I$6:$I$65,"&gt;0")+SUMIFS(⑭手動工程入力!$M$6:$M$47,⑭手動工程入力!$S$6:$S$47,$J228,⑭手動工程入力!$I$6:$I$47,"&gt;0"))</f>
        <v/>
      </c>
      <c r="M228" s="393">
        <f>IF($J228="",0,SUMIFS(②釜工程入力!$I$5:$I$117,②釜工程入力!$S$5:$S$117,$J228,②釜工程入力!$I$5:$I$117,"&gt;0",②釜工程入力!$M$5:$M$117,"&gt;0")+SUMIFS(③スチコン工程入力!$I$5:$I$152,③スチコン工程入力!$S$5:$S$152,$J228,③スチコン工程入力!$I$5:$I$152,"&gt;0",③スチコン工程入力!$M$5:$M$152,"&gt;0")+SUMIFS(⑪ZEN工程入力!$I$6:$I$35,⑪ZEN工程入力!$S$6:$S$35,$J228,⑪ZEN工程入力!$I$6:$I$35,"&gt;0",⑪ZEN工程入力!$M$6:$M$35,"&gt;0")+SUMIFS(⑫ミキサー工程入力!$I$6:$I$65,⑫ミキサー工程入力!$S$6:$S$65,$J228,⑫ミキサー工程入力!$I$6:$I$65,"&gt;0",⑫ミキサー工程入力!$M$6:$M$65,"&gt;0")+SUMIFS(⑬計量工程入力!$I$6:$I$65,⑬計量工程入力!$S$6:$S$65,$J228,⑬計量工程入力!$I$6:$I$65,"&gt;0",⑬計量工程入力!$M$6:$M$65,"&gt;0")+SUMIFS(⑭手動工程入力!$I$6:$I$47,⑭手動工程入力!$S$6:$S$47,$J228,⑭手動工程入力!$I$6:$I$47,"&gt;0",⑭手動工程入力!$M$6:$M$47,"&gt;0"))</f>
        <v/>
      </c>
      <c r="N228" s="393">
        <f>IF($J228="",0,SUMIFS(②釜工程入力!$M$5:$M$117,②釜工程入力!$S$5:$S$117,$J228,②釜工程入力!$J$5:$J$117,"&gt;0")-SUMIFS(②釜工程入力!$M$5:$M$117,②釜工程入力!$S$5:$S$117,$J228,②釜工程入力!$J$5:$J$117,"&gt;0",②釜工程入力!$I$5:$I$117,"&gt;0")+SUMIFS(③スチコン工程入力!$M$5:$M$152,③スチコン工程入力!$S$5:$S$152,$J228,③スチコン工程入力!$J$5:$J$152,"&gt;0")-SUMIFS(③スチコン工程入力!$M$5:$M$152,③スチコン工程入力!$S$5:$S$152,$J228,③スチコン工程入力!$J$5:$J$152,"&gt;0",③スチコン工程入力!$I$5:$I$152,"&gt;0")+SUMIFS(⑪ZEN工程入力!$M$6:$M$35,⑪ZEN工程入力!$S$6:$S$35,$J228,⑪ZEN工程入力!$J$6:$J$35,"&gt;0")-SUMIFS(⑪ZEN工程入力!$M$6:$M$35,⑪ZEN工程入力!$S$6:$S$35,$J228,⑪ZEN工程入力!$J$6:$J$35,"&gt;0",⑪ZEN工程入力!$I$6:$I$35,"&gt;0")+SUMIFS(⑫ミキサー工程入力!$M$6:$M$65,⑫ミキサー工程入力!$S$6:$S$65,$J228,⑫ミキサー工程入力!$J$6:$J$65,"&gt;0")-SUMIFS(⑫ミキサー工程入力!$M$6:$M$65,⑫ミキサー工程入力!$S$6:$S$65,$J228,⑫ミキサー工程入力!$J$6:$J$65,"&gt;0",⑫ミキサー工程入力!$I$6:$I$65,"&gt;0")+SUMIFS(⑬計量工程入力!$M$6:$M$65,⑬計量工程入力!$S$6:$S$65,$J228,⑬計量工程入力!$J$6:$J$65,"&gt;0")-SUMIFS(⑬計量工程入力!$M$6:$M$65,⑬計量工程入力!$S$6:$S$65,$J228,⑬計量工程入力!$J$6:$J$65,"&gt;0",⑬計量工程入力!$I$6:$I$65,"&gt;0")+SUMIFS(⑭手動工程入力!$M$6:$M$47,⑭手動工程入力!$S$6:$S$47,$J228,⑭手動工程入力!$J$6:$J$47,"&gt;0")-SUMIFS(⑭手動工程入力!$M$6:$M$47,⑭手動工程入力!$S$6:$S$47,$J228,⑭手動工程入力!$J$6:$J$47,"&gt;0",⑭手動工程入力!$I$6:$I$47,"&gt;0"))</f>
        <v/>
      </c>
      <c r="O228" s="393">
        <f>IF($J228="",0,SUMIFS(②釜工程入力!$J$5:$J$117,②釜工程入力!$S$5:$S$117,$J228,②釜工程入力!$J$5:$J$117,"&gt;0",②釜工程入力!$M$5:$M$117,"&gt;0")-SUMIFS(②釜工程入力!$J$5:$J$117,②釜工程入力!$S$5:$S$117,$J228,②釜工程入力!$J$5:$J$117,"&gt;0",②釜工程入力!$I$5:$I$117,"&gt;0",②釜工程入力!$M$5:$M$117,"&gt;0")+SUMIFS(③スチコン工程入力!$J$5:$J$152,③スチコン工程入力!$S$5:$S$152,$J228,③スチコン工程入力!$J$5:$J$152,"&gt;0",③スチコン工程入力!$M$5:$M$152,"&gt;0")-SUMIFS(③スチコン工程入力!$J$5:$J$152,③スチコン工程入力!$S$5:$S$152,$J228,③スチコン工程入力!$J$5:$J$152,"&gt;0",③スチコン工程入力!$I$5:$I$152,"&gt;0",③スチコン工程入力!$M$5:$M$152,"&gt;0")+SUMIFS(⑪ZEN工程入力!$J$6:$J$35,⑪ZEN工程入力!$S$6:$S$35,$J228,⑪ZEN工程入力!$J$6:$J$35,"&gt;0",⑪ZEN工程入力!$M$6:$M$35,"&gt;0")-SUMIFS(⑪ZEN工程入力!$J$6:$J$35,⑪ZEN工程入力!$S$6:$S$35,$J228,⑪ZEN工程入力!$J$6:$J$35,"&gt;0",⑪ZEN工程入力!$I$6:$I$35,"&gt;0",⑪ZEN工程入力!$M$6:$M$35,"&gt;0")+SUMIFS(⑫ミキサー工程入力!$J$6:$J$65,⑫ミキサー工程入力!$S$6:$S$65,$J228,⑫ミキサー工程入力!$J$6:$J$65,"&gt;0",⑫ミキサー工程入力!$M$6:$M$65,"&gt;0")-SUMIFS(⑫ミキサー工程入力!$J$6:$J$65,⑫ミキサー工程入力!$S$6:$S$65,$J228,⑫ミキサー工程入力!$J$6:$J$65,"&gt;0",⑫ミキサー工程入力!$I$6:$I$65,"&gt;0",⑫ミキサー工程入力!$M$6:$M$65,"&gt;0")+SUMIFS(⑬計量工程入力!$J$6:$J$65,⑬計量工程入力!$S$6:$S$65,$J228,⑬計量工程入力!$J$6:$J$65,"&gt;0",⑬計量工程入力!$M$6:$M$65,"&gt;0")-SUMIFS(⑬計量工程入力!$J$6:$J$65,⑬計量工程入力!$S$6:$S$65,$J228,⑬計量工程入力!$J$6:$J$65,"&gt;0",⑬計量工程入力!$I$6:$I$65,"&gt;0",⑬計量工程入力!$M$6:$M$65,"&gt;0")+SUMIFS(⑭手動工程入力!$J$6:$J$47,⑭手動工程入力!$S$6:$S$47,$J228,⑭手動工程入力!$J$6:$J$47,"&gt;0",⑭手動工程入力!$M$6:$M$47,"&gt;0")-SUMIFS(⑭手動工程入力!$J$6:$J$47,⑭手動工程入力!$S$6:$S$47,$J228,⑭手動工程入力!$J$6:$J$47,"&gt;0",⑭手動工程入力!$I$6:$I$47,"&gt;0",⑭手動工程入力!$M$6:$M$47,"&gt;0"))</f>
        <v/>
      </c>
      <c r="P228" s="392" t="inlineStr">
        <is>
          <t>中間品リスト</t>
        </is>
      </c>
    </row>
    <row r="229">
      <c r="A229" s="392" t="n">
        <v>225</v>
      </c>
      <c r="B229" s="392" t="n"/>
      <c r="C229" s="392" t="n"/>
      <c r="D229" s="409" t="n"/>
      <c r="E229" s="392" t="n"/>
      <c r="F229" s="394" t="n"/>
      <c r="G229" s="392" t="n"/>
      <c r="H229" s="604">
        <f>IFERROR(IF(AND($K229&gt;0,ISNUMBER(IF(OR($D229="g",$D229="ｇ"),IF($M229&gt;0,$L229/$M229/1000,""),IF($D229="kg",IF($M229&gt;0,$L229/$M229,""),IF($D229="",IF($M229&gt;0,$L229/$M229/1000,IF($O229&gt;0,$N229/$O229,"")),IF($O229&gt;0,$N229/$O229,"")))))),IF(OR($D229="g",$D229="ｇ"),IF($M229&gt;0,$L229/$M229/1000,""),IF($D229="kg",IF($M229&gt;0,$L229/$M229,""),IF($D229="",IF($M229&gt;0,$L229/$M229/1000,IF($O229&gt;0,$N229/$O229,"")),IF($O229&gt;0,$N229/$O229,"")))),IF($F229="",IF(OR($E229="",$E229="⑩盛付梱包工程入力"),"",IF(OR($D229="g",$D229="ｇ"),INDEX(⑰工程労務費一覧!$N$5:$N$11,MATCH($E229,⑰工程労務費一覧!$K$5:$K$11,0))/1000,IF($D229="kg",INDEX(⑰工程労務費一覧!$N$5:$N$11,MATCH($E229,⑰工程労務費一覧!$K$5:$K$11,0)),IF(OR($D229="個",$D229="切",$D229="本",$D229="枚",$D229="尾"),IF($E229="⑬計量工程入力","",INDEX(⑰工程労務費一覧!$P$5:$P$11,MATCH($E229,⑰工程労務費一覧!$K$5:$K$11,0))),IF(AND($D229="",OR($E229="②釜工程入力",$E229="③スチコン工程入力")),INDEX(⑰工程労務費一覧!$N$5:$N$11,MATCH($E229,⑰工程労務費一覧!$K$5:$K$11,0))/1000,""))))),IF(OR($D229="g",$D229="ｇ"),INDEX(⑰工程労務費一覧!$H$5:$H$753,MATCH($F229,⑰工程労務費一覧!$D$5:$D$753,0))/1000,IF($D229="kg",INDEX(⑰工程労務費一覧!$H$5:$H$753,MATCH($F229,⑰工程労務費一覧!$D$5:$D$753,0)),INDEX(⑰工程労務費一覧!$I$5:$I$753,MATCH($F229,⑰工程労務費一覧!$D$5:$D$753,0)))))),"")</f>
        <v/>
      </c>
      <c r="I229" s="392">
        <f>IF($K229&gt;0,IF(ISNUMBER(IF(OR($D229="g",$D229="ｇ"),IF($M229&gt;0,$L229/$M229/1000,""),IF($D229="kg",IF($M229&gt;0,$L229/$M229,""),IF($D229="",IF($M229&gt;0,$L229/$M229/1000,IF($O229&gt;0,$N229/$O229,"")),IF($O229&gt;0,$N229/$O229,""))))),IF($D229="",IF($M229&gt;0,"◎ JAN紐づけ(g扱い)","◎ JAN紐づけ(個扱い)"),"◎ JAN紐づけ"),"△ JAN紐づけ済・実績不足→仮計算"),IF($F229="",IF(ISNUMBER($H229),IF($D229="","⑤ 工程平均で仮計算(g扱い)","⑤ 工程平均で仮計算"),IF($E229="⑩盛付梱包工程入力","⑥ 盛り込み(⑳F列で計上)",IF(AND($E229="⑬計量工程入力",OR($D229="個",$D229="切",$D229="本",$D229="枚",$D229="尾")),"① 未紐づけ(カット個単位は仮単価なし)","① 未紐づけ"))),IF(NOT(ISNUMBER($H229)),"② 工程側に単価なし",IF($D229="","③ 単位未設定(個で計算)","④ OK"))))</f>
        <v/>
      </c>
      <c r="J229" s="399">
        <f>IFERROR(LOOKUP(2,1/((中間品リスト!$F$2:$F$1299=$B229)*(中間品リスト!$E$2:$E$1299&lt;&gt;"-")*(中間品リスト!$E$2:$E$1299&lt;&gt;"")),中間品リスト!$E$2:$E$1299),"")</f>
        <v/>
      </c>
      <c r="K229" s="400">
        <f>IF($J229="",0,COUNTIF(②釜工程入力!$S$5:$S$117,$J229)+COUNTIF(③スチコン工程入力!$S$5:$S$152,$J229)+COUNTIF(⑪ZEN工程入力!$S$6:$S$35,$J229)+COUNTIF(⑫ミキサー工程入力!$S$6:$S$65,$J229)+COUNTIF(⑬計量工程入力!$S$6:$S$65,$J229)+COUNTIF(⑭手動工程入力!$S$6:$S$47,$J229))</f>
        <v/>
      </c>
      <c r="L229" s="393">
        <f>IF($J229="",0,SUMIFS(②釜工程入力!$M$5:$M$117,②釜工程入力!$S$5:$S$117,$J229,②釜工程入力!$I$5:$I$117,"&gt;0")+SUMIFS(③スチコン工程入力!$M$5:$M$152,③スチコン工程入力!$S$5:$S$152,$J229,③スチコン工程入力!$I$5:$I$152,"&gt;0")+SUMIFS(⑪ZEN工程入力!$M$6:$M$35,⑪ZEN工程入力!$S$6:$S$35,$J229,⑪ZEN工程入力!$I$6:$I$35,"&gt;0")+SUMIFS(⑫ミキサー工程入力!$M$6:$M$65,⑫ミキサー工程入力!$S$6:$S$65,$J229,⑫ミキサー工程入力!$I$6:$I$65,"&gt;0")+SUMIFS(⑬計量工程入力!$M$6:$M$65,⑬計量工程入力!$S$6:$S$65,$J229,⑬計量工程入力!$I$6:$I$65,"&gt;0")+SUMIFS(⑭手動工程入力!$M$6:$M$47,⑭手動工程入力!$S$6:$S$47,$J229,⑭手動工程入力!$I$6:$I$47,"&gt;0"))</f>
        <v/>
      </c>
      <c r="M229" s="393">
        <f>IF($J229="",0,SUMIFS(②釜工程入力!$I$5:$I$117,②釜工程入力!$S$5:$S$117,$J229,②釜工程入力!$I$5:$I$117,"&gt;0",②釜工程入力!$M$5:$M$117,"&gt;0")+SUMIFS(③スチコン工程入力!$I$5:$I$152,③スチコン工程入力!$S$5:$S$152,$J229,③スチコン工程入力!$I$5:$I$152,"&gt;0",③スチコン工程入力!$M$5:$M$152,"&gt;0")+SUMIFS(⑪ZEN工程入力!$I$6:$I$35,⑪ZEN工程入力!$S$6:$S$35,$J229,⑪ZEN工程入力!$I$6:$I$35,"&gt;0",⑪ZEN工程入力!$M$6:$M$35,"&gt;0")+SUMIFS(⑫ミキサー工程入力!$I$6:$I$65,⑫ミキサー工程入力!$S$6:$S$65,$J229,⑫ミキサー工程入力!$I$6:$I$65,"&gt;0",⑫ミキサー工程入力!$M$6:$M$65,"&gt;0")+SUMIFS(⑬計量工程入力!$I$6:$I$65,⑬計量工程入力!$S$6:$S$65,$J229,⑬計量工程入力!$I$6:$I$65,"&gt;0",⑬計量工程入力!$M$6:$M$65,"&gt;0")+SUMIFS(⑭手動工程入力!$I$6:$I$47,⑭手動工程入力!$S$6:$S$47,$J229,⑭手動工程入力!$I$6:$I$47,"&gt;0",⑭手動工程入力!$M$6:$M$47,"&gt;0"))</f>
        <v/>
      </c>
      <c r="N229" s="393">
        <f>IF($J229="",0,SUMIFS(②釜工程入力!$M$5:$M$117,②釜工程入力!$S$5:$S$117,$J229,②釜工程入力!$J$5:$J$117,"&gt;0")-SUMIFS(②釜工程入力!$M$5:$M$117,②釜工程入力!$S$5:$S$117,$J229,②釜工程入力!$J$5:$J$117,"&gt;0",②釜工程入力!$I$5:$I$117,"&gt;0")+SUMIFS(③スチコン工程入力!$M$5:$M$152,③スチコン工程入力!$S$5:$S$152,$J229,③スチコン工程入力!$J$5:$J$152,"&gt;0")-SUMIFS(③スチコン工程入力!$M$5:$M$152,③スチコン工程入力!$S$5:$S$152,$J229,③スチコン工程入力!$J$5:$J$152,"&gt;0",③スチコン工程入力!$I$5:$I$152,"&gt;0")+SUMIFS(⑪ZEN工程入力!$M$6:$M$35,⑪ZEN工程入力!$S$6:$S$35,$J229,⑪ZEN工程入力!$J$6:$J$35,"&gt;0")-SUMIFS(⑪ZEN工程入力!$M$6:$M$35,⑪ZEN工程入力!$S$6:$S$35,$J229,⑪ZEN工程入力!$J$6:$J$35,"&gt;0",⑪ZEN工程入力!$I$6:$I$35,"&gt;0")+SUMIFS(⑫ミキサー工程入力!$M$6:$M$65,⑫ミキサー工程入力!$S$6:$S$65,$J229,⑫ミキサー工程入力!$J$6:$J$65,"&gt;0")-SUMIFS(⑫ミキサー工程入力!$M$6:$M$65,⑫ミキサー工程入力!$S$6:$S$65,$J229,⑫ミキサー工程入力!$J$6:$J$65,"&gt;0",⑫ミキサー工程入力!$I$6:$I$65,"&gt;0")+SUMIFS(⑬計量工程入力!$M$6:$M$65,⑬計量工程入力!$S$6:$S$65,$J229,⑬計量工程入力!$J$6:$J$65,"&gt;0")-SUMIFS(⑬計量工程入力!$M$6:$M$65,⑬計量工程入力!$S$6:$S$65,$J229,⑬計量工程入力!$J$6:$J$65,"&gt;0",⑬計量工程入力!$I$6:$I$65,"&gt;0")+SUMIFS(⑭手動工程入力!$M$6:$M$47,⑭手動工程入力!$S$6:$S$47,$J229,⑭手動工程入力!$J$6:$J$47,"&gt;0")-SUMIFS(⑭手動工程入力!$M$6:$M$47,⑭手動工程入力!$S$6:$S$47,$J229,⑭手動工程入力!$J$6:$J$47,"&gt;0",⑭手動工程入力!$I$6:$I$47,"&gt;0"))</f>
        <v/>
      </c>
      <c r="O229" s="393">
        <f>IF($J229="",0,SUMIFS(②釜工程入力!$J$5:$J$117,②釜工程入力!$S$5:$S$117,$J229,②釜工程入力!$J$5:$J$117,"&gt;0",②釜工程入力!$M$5:$M$117,"&gt;0")-SUMIFS(②釜工程入力!$J$5:$J$117,②釜工程入力!$S$5:$S$117,$J229,②釜工程入力!$J$5:$J$117,"&gt;0",②釜工程入力!$I$5:$I$117,"&gt;0",②釜工程入力!$M$5:$M$117,"&gt;0")+SUMIFS(③スチコン工程入力!$J$5:$J$152,③スチコン工程入力!$S$5:$S$152,$J229,③スチコン工程入力!$J$5:$J$152,"&gt;0",③スチコン工程入力!$M$5:$M$152,"&gt;0")-SUMIFS(③スチコン工程入力!$J$5:$J$152,③スチコン工程入力!$S$5:$S$152,$J229,③スチコン工程入力!$J$5:$J$152,"&gt;0",③スチコン工程入力!$I$5:$I$152,"&gt;0",③スチコン工程入力!$M$5:$M$152,"&gt;0")+SUMIFS(⑪ZEN工程入力!$J$6:$J$35,⑪ZEN工程入力!$S$6:$S$35,$J229,⑪ZEN工程入力!$J$6:$J$35,"&gt;0",⑪ZEN工程入力!$M$6:$M$35,"&gt;0")-SUMIFS(⑪ZEN工程入力!$J$6:$J$35,⑪ZEN工程入力!$S$6:$S$35,$J229,⑪ZEN工程入力!$J$6:$J$35,"&gt;0",⑪ZEN工程入力!$I$6:$I$35,"&gt;0",⑪ZEN工程入力!$M$6:$M$35,"&gt;0")+SUMIFS(⑫ミキサー工程入力!$J$6:$J$65,⑫ミキサー工程入力!$S$6:$S$65,$J229,⑫ミキサー工程入力!$J$6:$J$65,"&gt;0",⑫ミキサー工程入力!$M$6:$M$65,"&gt;0")-SUMIFS(⑫ミキサー工程入力!$J$6:$J$65,⑫ミキサー工程入力!$S$6:$S$65,$J229,⑫ミキサー工程入力!$J$6:$J$65,"&gt;0",⑫ミキサー工程入力!$I$6:$I$65,"&gt;0",⑫ミキサー工程入力!$M$6:$M$65,"&gt;0")+SUMIFS(⑬計量工程入力!$J$6:$J$65,⑬計量工程入力!$S$6:$S$65,$J229,⑬計量工程入力!$J$6:$J$65,"&gt;0",⑬計量工程入力!$M$6:$M$65,"&gt;0")-SUMIFS(⑬計量工程入力!$J$6:$J$65,⑬計量工程入力!$S$6:$S$65,$J229,⑬計量工程入力!$J$6:$J$65,"&gt;0",⑬計量工程入力!$I$6:$I$65,"&gt;0",⑬計量工程入力!$M$6:$M$65,"&gt;0")+SUMIFS(⑭手動工程入力!$J$6:$J$47,⑭手動工程入力!$S$6:$S$47,$J229,⑭手動工程入力!$J$6:$J$47,"&gt;0",⑭手動工程入力!$M$6:$M$47,"&gt;0")-SUMIFS(⑭手動工程入力!$J$6:$J$47,⑭手動工程入力!$S$6:$S$47,$J229,⑭手動工程入力!$J$6:$J$47,"&gt;0",⑭手動工程入力!$I$6:$I$47,"&gt;0",⑭手動工程入力!$M$6:$M$47,"&gt;0"))</f>
        <v/>
      </c>
      <c r="P229" s="392" t="inlineStr">
        <is>
          <t>中間品リスト</t>
        </is>
      </c>
    </row>
    <row r="230">
      <c r="A230" s="392" t="n">
        <v>226</v>
      </c>
      <c r="B230" s="392" t="n"/>
      <c r="C230" s="392" t="n"/>
      <c r="D230" s="409" t="n"/>
      <c r="E230" s="392" t="n"/>
      <c r="F230" s="394" t="n"/>
      <c r="G230" s="392" t="n"/>
      <c r="H230" s="604">
        <f>IFERROR(IF(AND($K230&gt;0,ISNUMBER(IF(OR($D230="g",$D230="ｇ"),IF($M230&gt;0,$L230/$M230/1000,""),IF($D230="kg",IF($M230&gt;0,$L230/$M230,""),IF($D230="",IF($M230&gt;0,$L230/$M230/1000,IF($O230&gt;0,$N230/$O230,"")),IF($O230&gt;0,$N230/$O230,"")))))),IF(OR($D230="g",$D230="ｇ"),IF($M230&gt;0,$L230/$M230/1000,""),IF($D230="kg",IF($M230&gt;0,$L230/$M230,""),IF($D230="",IF($M230&gt;0,$L230/$M230/1000,IF($O230&gt;0,$N230/$O230,"")),IF($O230&gt;0,$N230/$O230,"")))),IF($F230="",IF(OR($E230="",$E230="⑩盛付梱包工程入力"),"",IF(OR($D230="g",$D230="ｇ"),INDEX(⑰工程労務費一覧!$N$5:$N$11,MATCH($E230,⑰工程労務費一覧!$K$5:$K$11,0))/1000,IF($D230="kg",INDEX(⑰工程労務費一覧!$N$5:$N$11,MATCH($E230,⑰工程労務費一覧!$K$5:$K$11,0)),IF(OR($D230="個",$D230="切",$D230="本",$D230="枚",$D230="尾"),IF($E230="⑬計量工程入力","",INDEX(⑰工程労務費一覧!$P$5:$P$11,MATCH($E230,⑰工程労務費一覧!$K$5:$K$11,0))),IF(AND($D230="",OR($E230="②釜工程入力",$E230="③スチコン工程入力")),INDEX(⑰工程労務費一覧!$N$5:$N$11,MATCH($E230,⑰工程労務費一覧!$K$5:$K$11,0))/1000,""))))),IF(OR($D230="g",$D230="ｇ"),INDEX(⑰工程労務費一覧!$H$5:$H$753,MATCH($F230,⑰工程労務費一覧!$D$5:$D$753,0))/1000,IF($D230="kg",INDEX(⑰工程労務費一覧!$H$5:$H$753,MATCH($F230,⑰工程労務費一覧!$D$5:$D$753,0)),INDEX(⑰工程労務費一覧!$I$5:$I$753,MATCH($F230,⑰工程労務費一覧!$D$5:$D$753,0)))))),"")</f>
        <v/>
      </c>
      <c r="I230" s="392">
        <f>IF($K230&gt;0,IF(ISNUMBER(IF(OR($D230="g",$D230="ｇ"),IF($M230&gt;0,$L230/$M230/1000,""),IF($D230="kg",IF($M230&gt;0,$L230/$M230,""),IF($D230="",IF($M230&gt;0,$L230/$M230/1000,IF($O230&gt;0,$N230/$O230,"")),IF($O230&gt;0,$N230/$O230,""))))),IF($D230="",IF($M230&gt;0,"◎ JAN紐づけ(g扱い)","◎ JAN紐づけ(個扱い)"),"◎ JAN紐づけ"),"△ JAN紐づけ済・実績不足→仮計算"),IF($F230="",IF(ISNUMBER($H230),IF($D230="","⑤ 工程平均で仮計算(g扱い)","⑤ 工程平均で仮計算"),IF($E230="⑩盛付梱包工程入力","⑥ 盛り込み(⑳F列で計上)",IF(AND($E230="⑬計量工程入力",OR($D230="個",$D230="切",$D230="本",$D230="枚",$D230="尾")),"① 未紐づけ(カット個単位は仮単価なし)","① 未紐づけ"))),IF(NOT(ISNUMBER($H230)),"② 工程側に単価なし",IF($D230="","③ 単位未設定(個で計算)","④ OK"))))</f>
        <v/>
      </c>
      <c r="J230" s="399">
        <f>IFERROR(LOOKUP(2,1/((中間品リスト!$F$2:$F$1299=$B230)*(中間品リスト!$E$2:$E$1299&lt;&gt;"-")*(中間品リスト!$E$2:$E$1299&lt;&gt;"")),中間品リスト!$E$2:$E$1299),"")</f>
        <v/>
      </c>
      <c r="K230" s="400">
        <f>IF($J230="",0,COUNTIF(②釜工程入力!$S$5:$S$117,$J230)+COUNTIF(③スチコン工程入力!$S$5:$S$152,$J230)+COUNTIF(⑪ZEN工程入力!$S$6:$S$35,$J230)+COUNTIF(⑫ミキサー工程入力!$S$6:$S$65,$J230)+COUNTIF(⑬計量工程入力!$S$6:$S$65,$J230)+COUNTIF(⑭手動工程入力!$S$6:$S$47,$J230))</f>
        <v/>
      </c>
      <c r="L230" s="393">
        <f>IF($J230="",0,SUMIFS(②釜工程入力!$M$5:$M$117,②釜工程入力!$S$5:$S$117,$J230,②釜工程入力!$I$5:$I$117,"&gt;0")+SUMIFS(③スチコン工程入力!$M$5:$M$152,③スチコン工程入力!$S$5:$S$152,$J230,③スチコン工程入力!$I$5:$I$152,"&gt;0")+SUMIFS(⑪ZEN工程入力!$M$6:$M$35,⑪ZEN工程入力!$S$6:$S$35,$J230,⑪ZEN工程入力!$I$6:$I$35,"&gt;0")+SUMIFS(⑫ミキサー工程入力!$M$6:$M$65,⑫ミキサー工程入力!$S$6:$S$65,$J230,⑫ミキサー工程入力!$I$6:$I$65,"&gt;0")+SUMIFS(⑬計量工程入力!$M$6:$M$65,⑬計量工程入力!$S$6:$S$65,$J230,⑬計量工程入力!$I$6:$I$65,"&gt;0")+SUMIFS(⑭手動工程入力!$M$6:$M$47,⑭手動工程入力!$S$6:$S$47,$J230,⑭手動工程入力!$I$6:$I$47,"&gt;0"))</f>
        <v/>
      </c>
      <c r="M230" s="393">
        <f>IF($J230="",0,SUMIFS(②釜工程入力!$I$5:$I$117,②釜工程入力!$S$5:$S$117,$J230,②釜工程入力!$I$5:$I$117,"&gt;0",②釜工程入力!$M$5:$M$117,"&gt;0")+SUMIFS(③スチコン工程入力!$I$5:$I$152,③スチコン工程入力!$S$5:$S$152,$J230,③スチコン工程入力!$I$5:$I$152,"&gt;0",③スチコン工程入力!$M$5:$M$152,"&gt;0")+SUMIFS(⑪ZEN工程入力!$I$6:$I$35,⑪ZEN工程入力!$S$6:$S$35,$J230,⑪ZEN工程入力!$I$6:$I$35,"&gt;0",⑪ZEN工程入力!$M$6:$M$35,"&gt;0")+SUMIFS(⑫ミキサー工程入力!$I$6:$I$65,⑫ミキサー工程入力!$S$6:$S$65,$J230,⑫ミキサー工程入力!$I$6:$I$65,"&gt;0",⑫ミキサー工程入力!$M$6:$M$65,"&gt;0")+SUMIFS(⑬計量工程入力!$I$6:$I$65,⑬計量工程入力!$S$6:$S$65,$J230,⑬計量工程入力!$I$6:$I$65,"&gt;0",⑬計量工程入力!$M$6:$M$65,"&gt;0")+SUMIFS(⑭手動工程入力!$I$6:$I$47,⑭手動工程入力!$S$6:$S$47,$J230,⑭手動工程入力!$I$6:$I$47,"&gt;0",⑭手動工程入力!$M$6:$M$47,"&gt;0"))</f>
        <v/>
      </c>
      <c r="N230" s="393">
        <f>IF($J230="",0,SUMIFS(②釜工程入力!$M$5:$M$117,②釜工程入力!$S$5:$S$117,$J230,②釜工程入力!$J$5:$J$117,"&gt;0")-SUMIFS(②釜工程入力!$M$5:$M$117,②釜工程入力!$S$5:$S$117,$J230,②釜工程入力!$J$5:$J$117,"&gt;0",②釜工程入力!$I$5:$I$117,"&gt;0")+SUMIFS(③スチコン工程入力!$M$5:$M$152,③スチコン工程入力!$S$5:$S$152,$J230,③スチコン工程入力!$J$5:$J$152,"&gt;0")-SUMIFS(③スチコン工程入力!$M$5:$M$152,③スチコン工程入力!$S$5:$S$152,$J230,③スチコン工程入力!$J$5:$J$152,"&gt;0",③スチコン工程入力!$I$5:$I$152,"&gt;0")+SUMIFS(⑪ZEN工程入力!$M$6:$M$35,⑪ZEN工程入力!$S$6:$S$35,$J230,⑪ZEN工程入力!$J$6:$J$35,"&gt;0")-SUMIFS(⑪ZEN工程入力!$M$6:$M$35,⑪ZEN工程入力!$S$6:$S$35,$J230,⑪ZEN工程入力!$J$6:$J$35,"&gt;0",⑪ZEN工程入力!$I$6:$I$35,"&gt;0")+SUMIFS(⑫ミキサー工程入力!$M$6:$M$65,⑫ミキサー工程入力!$S$6:$S$65,$J230,⑫ミキサー工程入力!$J$6:$J$65,"&gt;0")-SUMIFS(⑫ミキサー工程入力!$M$6:$M$65,⑫ミキサー工程入力!$S$6:$S$65,$J230,⑫ミキサー工程入力!$J$6:$J$65,"&gt;0",⑫ミキサー工程入力!$I$6:$I$65,"&gt;0")+SUMIFS(⑬計量工程入力!$M$6:$M$65,⑬計量工程入力!$S$6:$S$65,$J230,⑬計量工程入力!$J$6:$J$65,"&gt;0")-SUMIFS(⑬計量工程入力!$M$6:$M$65,⑬計量工程入力!$S$6:$S$65,$J230,⑬計量工程入力!$J$6:$J$65,"&gt;0",⑬計量工程入力!$I$6:$I$65,"&gt;0")+SUMIFS(⑭手動工程入力!$M$6:$M$47,⑭手動工程入力!$S$6:$S$47,$J230,⑭手動工程入力!$J$6:$J$47,"&gt;0")-SUMIFS(⑭手動工程入力!$M$6:$M$47,⑭手動工程入力!$S$6:$S$47,$J230,⑭手動工程入力!$J$6:$J$47,"&gt;0",⑭手動工程入力!$I$6:$I$47,"&gt;0"))</f>
        <v/>
      </c>
      <c r="O230" s="393">
        <f>IF($J230="",0,SUMIFS(②釜工程入力!$J$5:$J$117,②釜工程入力!$S$5:$S$117,$J230,②釜工程入力!$J$5:$J$117,"&gt;0",②釜工程入力!$M$5:$M$117,"&gt;0")-SUMIFS(②釜工程入力!$J$5:$J$117,②釜工程入力!$S$5:$S$117,$J230,②釜工程入力!$J$5:$J$117,"&gt;0",②釜工程入力!$I$5:$I$117,"&gt;0",②釜工程入力!$M$5:$M$117,"&gt;0")+SUMIFS(③スチコン工程入力!$J$5:$J$152,③スチコン工程入力!$S$5:$S$152,$J230,③スチコン工程入力!$J$5:$J$152,"&gt;0",③スチコン工程入力!$M$5:$M$152,"&gt;0")-SUMIFS(③スチコン工程入力!$J$5:$J$152,③スチコン工程入力!$S$5:$S$152,$J230,③スチコン工程入力!$J$5:$J$152,"&gt;0",③スチコン工程入力!$I$5:$I$152,"&gt;0",③スチコン工程入力!$M$5:$M$152,"&gt;0")+SUMIFS(⑪ZEN工程入力!$J$6:$J$35,⑪ZEN工程入力!$S$6:$S$35,$J230,⑪ZEN工程入力!$J$6:$J$35,"&gt;0",⑪ZEN工程入力!$M$6:$M$35,"&gt;0")-SUMIFS(⑪ZEN工程入力!$J$6:$J$35,⑪ZEN工程入力!$S$6:$S$35,$J230,⑪ZEN工程入力!$J$6:$J$35,"&gt;0",⑪ZEN工程入力!$I$6:$I$35,"&gt;0",⑪ZEN工程入力!$M$6:$M$35,"&gt;0")+SUMIFS(⑫ミキサー工程入力!$J$6:$J$65,⑫ミキサー工程入力!$S$6:$S$65,$J230,⑫ミキサー工程入力!$J$6:$J$65,"&gt;0",⑫ミキサー工程入力!$M$6:$M$65,"&gt;0")-SUMIFS(⑫ミキサー工程入力!$J$6:$J$65,⑫ミキサー工程入力!$S$6:$S$65,$J230,⑫ミキサー工程入力!$J$6:$J$65,"&gt;0",⑫ミキサー工程入力!$I$6:$I$65,"&gt;0",⑫ミキサー工程入力!$M$6:$M$65,"&gt;0")+SUMIFS(⑬計量工程入力!$J$6:$J$65,⑬計量工程入力!$S$6:$S$65,$J230,⑬計量工程入力!$J$6:$J$65,"&gt;0",⑬計量工程入力!$M$6:$M$65,"&gt;0")-SUMIFS(⑬計量工程入力!$J$6:$J$65,⑬計量工程入力!$S$6:$S$65,$J230,⑬計量工程入力!$J$6:$J$65,"&gt;0",⑬計量工程入力!$I$6:$I$65,"&gt;0",⑬計量工程入力!$M$6:$M$65,"&gt;0")+SUMIFS(⑭手動工程入力!$J$6:$J$47,⑭手動工程入力!$S$6:$S$47,$J230,⑭手動工程入力!$J$6:$J$47,"&gt;0",⑭手動工程入力!$M$6:$M$47,"&gt;0")-SUMIFS(⑭手動工程入力!$J$6:$J$47,⑭手動工程入力!$S$6:$S$47,$J230,⑭手動工程入力!$J$6:$J$47,"&gt;0",⑭手動工程入力!$I$6:$I$47,"&gt;0",⑭手動工程入力!$M$6:$M$47,"&gt;0"))</f>
        <v/>
      </c>
      <c r="P230" s="392" t="inlineStr">
        <is>
          <t>中間品リスト</t>
        </is>
      </c>
    </row>
    <row r="231">
      <c r="A231" s="392" t="n">
        <v>227</v>
      </c>
      <c r="B231" s="392" t="n"/>
      <c r="C231" s="392" t="n"/>
      <c r="D231" s="409" t="n"/>
      <c r="E231" s="392" t="n"/>
      <c r="F231" s="394" t="n"/>
      <c r="G231" s="392" t="n"/>
      <c r="H231" s="604">
        <f>IFERROR(IF(AND($K231&gt;0,ISNUMBER(IF(OR($D231="g",$D231="ｇ"),IF($M231&gt;0,$L231/$M231/1000,""),IF($D231="kg",IF($M231&gt;0,$L231/$M231,""),IF($D231="",IF($M231&gt;0,$L231/$M231/1000,IF($O231&gt;0,$N231/$O231,"")),IF($O231&gt;0,$N231/$O231,"")))))),IF(OR($D231="g",$D231="ｇ"),IF($M231&gt;0,$L231/$M231/1000,""),IF($D231="kg",IF($M231&gt;0,$L231/$M231,""),IF($D231="",IF($M231&gt;0,$L231/$M231/1000,IF($O231&gt;0,$N231/$O231,"")),IF($O231&gt;0,$N231/$O231,"")))),IF($F231="",IF(OR($E231="",$E231="⑩盛付梱包工程入力"),"",IF(OR($D231="g",$D231="ｇ"),INDEX(⑰工程労務費一覧!$N$5:$N$11,MATCH($E231,⑰工程労務費一覧!$K$5:$K$11,0))/1000,IF($D231="kg",INDEX(⑰工程労務費一覧!$N$5:$N$11,MATCH($E231,⑰工程労務費一覧!$K$5:$K$11,0)),IF(OR($D231="個",$D231="切",$D231="本",$D231="枚",$D231="尾"),IF($E231="⑬計量工程入力","",INDEX(⑰工程労務費一覧!$P$5:$P$11,MATCH($E231,⑰工程労務費一覧!$K$5:$K$11,0))),IF(AND($D231="",OR($E231="②釜工程入力",$E231="③スチコン工程入力")),INDEX(⑰工程労務費一覧!$N$5:$N$11,MATCH($E231,⑰工程労務費一覧!$K$5:$K$11,0))/1000,""))))),IF(OR($D231="g",$D231="ｇ"),INDEX(⑰工程労務費一覧!$H$5:$H$753,MATCH($F231,⑰工程労務費一覧!$D$5:$D$753,0))/1000,IF($D231="kg",INDEX(⑰工程労務費一覧!$H$5:$H$753,MATCH($F231,⑰工程労務費一覧!$D$5:$D$753,0)),INDEX(⑰工程労務費一覧!$I$5:$I$753,MATCH($F231,⑰工程労務費一覧!$D$5:$D$753,0)))))),"")</f>
        <v/>
      </c>
      <c r="I231" s="392">
        <f>IF($K231&gt;0,IF(ISNUMBER(IF(OR($D231="g",$D231="ｇ"),IF($M231&gt;0,$L231/$M231/1000,""),IF($D231="kg",IF($M231&gt;0,$L231/$M231,""),IF($D231="",IF($M231&gt;0,$L231/$M231/1000,IF($O231&gt;0,$N231/$O231,"")),IF($O231&gt;0,$N231/$O231,""))))),IF($D231="",IF($M231&gt;0,"◎ JAN紐づけ(g扱い)","◎ JAN紐づけ(個扱い)"),"◎ JAN紐づけ"),"△ JAN紐づけ済・実績不足→仮計算"),IF($F231="",IF(ISNUMBER($H231),IF($D231="","⑤ 工程平均で仮計算(g扱い)","⑤ 工程平均で仮計算"),IF($E231="⑩盛付梱包工程入力","⑥ 盛り込み(⑳F列で計上)",IF(AND($E231="⑬計量工程入力",OR($D231="個",$D231="切",$D231="本",$D231="枚",$D231="尾")),"① 未紐づけ(カット個単位は仮単価なし)","① 未紐づけ"))),IF(NOT(ISNUMBER($H231)),"② 工程側に単価なし",IF($D231="","③ 単位未設定(個で計算)","④ OK"))))</f>
        <v/>
      </c>
      <c r="J231" s="399">
        <f>IFERROR(LOOKUP(2,1/((中間品リスト!$F$2:$F$1299=$B231)*(中間品リスト!$E$2:$E$1299&lt;&gt;"-")*(中間品リスト!$E$2:$E$1299&lt;&gt;"")),中間品リスト!$E$2:$E$1299),"")</f>
        <v/>
      </c>
      <c r="K231" s="400">
        <f>IF($J231="",0,COUNTIF(②釜工程入力!$S$5:$S$117,$J231)+COUNTIF(③スチコン工程入力!$S$5:$S$152,$J231)+COUNTIF(⑪ZEN工程入力!$S$6:$S$35,$J231)+COUNTIF(⑫ミキサー工程入力!$S$6:$S$65,$J231)+COUNTIF(⑬計量工程入力!$S$6:$S$65,$J231)+COUNTIF(⑭手動工程入力!$S$6:$S$47,$J231))</f>
        <v/>
      </c>
      <c r="L231" s="393">
        <f>IF($J231="",0,SUMIFS(②釜工程入力!$M$5:$M$117,②釜工程入力!$S$5:$S$117,$J231,②釜工程入力!$I$5:$I$117,"&gt;0")+SUMIFS(③スチコン工程入力!$M$5:$M$152,③スチコン工程入力!$S$5:$S$152,$J231,③スチコン工程入力!$I$5:$I$152,"&gt;0")+SUMIFS(⑪ZEN工程入力!$M$6:$M$35,⑪ZEN工程入力!$S$6:$S$35,$J231,⑪ZEN工程入力!$I$6:$I$35,"&gt;0")+SUMIFS(⑫ミキサー工程入力!$M$6:$M$65,⑫ミキサー工程入力!$S$6:$S$65,$J231,⑫ミキサー工程入力!$I$6:$I$65,"&gt;0")+SUMIFS(⑬計量工程入力!$M$6:$M$65,⑬計量工程入力!$S$6:$S$65,$J231,⑬計量工程入力!$I$6:$I$65,"&gt;0")+SUMIFS(⑭手動工程入力!$M$6:$M$47,⑭手動工程入力!$S$6:$S$47,$J231,⑭手動工程入力!$I$6:$I$47,"&gt;0"))</f>
        <v/>
      </c>
      <c r="M231" s="393">
        <f>IF($J231="",0,SUMIFS(②釜工程入力!$I$5:$I$117,②釜工程入力!$S$5:$S$117,$J231,②釜工程入力!$I$5:$I$117,"&gt;0",②釜工程入力!$M$5:$M$117,"&gt;0")+SUMIFS(③スチコン工程入力!$I$5:$I$152,③スチコン工程入力!$S$5:$S$152,$J231,③スチコン工程入力!$I$5:$I$152,"&gt;0",③スチコン工程入力!$M$5:$M$152,"&gt;0")+SUMIFS(⑪ZEN工程入力!$I$6:$I$35,⑪ZEN工程入力!$S$6:$S$35,$J231,⑪ZEN工程入力!$I$6:$I$35,"&gt;0",⑪ZEN工程入力!$M$6:$M$35,"&gt;0")+SUMIFS(⑫ミキサー工程入力!$I$6:$I$65,⑫ミキサー工程入力!$S$6:$S$65,$J231,⑫ミキサー工程入力!$I$6:$I$65,"&gt;0",⑫ミキサー工程入力!$M$6:$M$65,"&gt;0")+SUMIFS(⑬計量工程入力!$I$6:$I$65,⑬計量工程入力!$S$6:$S$65,$J231,⑬計量工程入力!$I$6:$I$65,"&gt;0",⑬計量工程入力!$M$6:$M$65,"&gt;0")+SUMIFS(⑭手動工程入力!$I$6:$I$47,⑭手動工程入力!$S$6:$S$47,$J231,⑭手動工程入力!$I$6:$I$47,"&gt;0",⑭手動工程入力!$M$6:$M$47,"&gt;0"))</f>
        <v/>
      </c>
      <c r="N231" s="393">
        <f>IF($J231="",0,SUMIFS(②釜工程入力!$M$5:$M$117,②釜工程入力!$S$5:$S$117,$J231,②釜工程入力!$J$5:$J$117,"&gt;0")-SUMIFS(②釜工程入力!$M$5:$M$117,②釜工程入力!$S$5:$S$117,$J231,②釜工程入力!$J$5:$J$117,"&gt;0",②釜工程入力!$I$5:$I$117,"&gt;0")+SUMIFS(③スチコン工程入力!$M$5:$M$152,③スチコン工程入力!$S$5:$S$152,$J231,③スチコン工程入力!$J$5:$J$152,"&gt;0")-SUMIFS(③スチコン工程入力!$M$5:$M$152,③スチコン工程入力!$S$5:$S$152,$J231,③スチコン工程入力!$J$5:$J$152,"&gt;0",③スチコン工程入力!$I$5:$I$152,"&gt;0")+SUMIFS(⑪ZEN工程入力!$M$6:$M$35,⑪ZEN工程入力!$S$6:$S$35,$J231,⑪ZEN工程入力!$J$6:$J$35,"&gt;0")-SUMIFS(⑪ZEN工程入力!$M$6:$M$35,⑪ZEN工程入力!$S$6:$S$35,$J231,⑪ZEN工程入力!$J$6:$J$35,"&gt;0",⑪ZEN工程入力!$I$6:$I$35,"&gt;0")+SUMIFS(⑫ミキサー工程入力!$M$6:$M$65,⑫ミキサー工程入力!$S$6:$S$65,$J231,⑫ミキサー工程入力!$J$6:$J$65,"&gt;0")-SUMIFS(⑫ミキサー工程入力!$M$6:$M$65,⑫ミキサー工程入力!$S$6:$S$65,$J231,⑫ミキサー工程入力!$J$6:$J$65,"&gt;0",⑫ミキサー工程入力!$I$6:$I$65,"&gt;0")+SUMIFS(⑬計量工程入力!$M$6:$M$65,⑬計量工程入力!$S$6:$S$65,$J231,⑬計量工程入力!$J$6:$J$65,"&gt;0")-SUMIFS(⑬計量工程入力!$M$6:$M$65,⑬計量工程入力!$S$6:$S$65,$J231,⑬計量工程入力!$J$6:$J$65,"&gt;0",⑬計量工程入力!$I$6:$I$65,"&gt;0")+SUMIFS(⑭手動工程入力!$M$6:$M$47,⑭手動工程入力!$S$6:$S$47,$J231,⑭手動工程入力!$J$6:$J$47,"&gt;0")-SUMIFS(⑭手動工程入力!$M$6:$M$47,⑭手動工程入力!$S$6:$S$47,$J231,⑭手動工程入力!$J$6:$J$47,"&gt;0",⑭手動工程入力!$I$6:$I$47,"&gt;0"))</f>
        <v/>
      </c>
      <c r="O231" s="393">
        <f>IF($J231="",0,SUMIFS(②釜工程入力!$J$5:$J$117,②釜工程入力!$S$5:$S$117,$J231,②釜工程入力!$J$5:$J$117,"&gt;0",②釜工程入力!$M$5:$M$117,"&gt;0")-SUMIFS(②釜工程入力!$J$5:$J$117,②釜工程入力!$S$5:$S$117,$J231,②釜工程入力!$J$5:$J$117,"&gt;0",②釜工程入力!$I$5:$I$117,"&gt;0",②釜工程入力!$M$5:$M$117,"&gt;0")+SUMIFS(③スチコン工程入力!$J$5:$J$152,③スチコン工程入力!$S$5:$S$152,$J231,③スチコン工程入力!$J$5:$J$152,"&gt;0",③スチコン工程入力!$M$5:$M$152,"&gt;0")-SUMIFS(③スチコン工程入力!$J$5:$J$152,③スチコン工程入力!$S$5:$S$152,$J231,③スチコン工程入力!$J$5:$J$152,"&gt;0",③スチコン工程入力!$I$5:$I$152,"&gt;0",③スチコン工程入力!$M$5:$M$152,"&gt;0")+SUMIFS(⑪ZEN工程入力!$J$6:$J$35,⑪ZEN工程入力!$S$6:$S$35,$J231,⑪ZEN工程入力!$J$6:$J$35,"&gt;0",⑪ZEN工程入力!$M$6:$M$35,"&gt;0")-SUMIFS(⑪ZEN工程入力!$J$6:$J$35,⑪ZEN工程入力!$S$6:$S$35,$J231,⑪ZEN工程入力!$J$6:$J$35,"&gt;0",⑪ZEN工程入力!$I$6:$I$35,"&gt;0",⑪ZEN工程入力!$M$6:$M$35,"&gt;0")+SUMIFS(⑫ミキサー工程入力!$J$6:$J$65,⑫ミキサー工程入力!$S$6:$S$65,$J231,⑫ミキサー工程入力!$J$6:$J$65,"&gt;0",⑫ミキサー工程入力!$M$6:$M$65,"&gt;0")-SUMIFS(⑫ミキサー工程入力!$J$6:$J$65,⑫ミキサー工程入力!$S$6:$S$65,$J231,⑫ミキサー工程入力!$J$6:$J$65,"&gt;0",⑫ミキサー工程入力!$I$6:$I$65,"&gt;0",⑫ミキサー工程入力!$M$6:$M$65,"&gt;0")+SUMIFS(⑬計量工程入力!$J$6:$J$65,⑬計量工程入力!$S$6:$S$65,$J231,⑬計量工程入力!$J$6:$J$65,"&gt;0",⑬計量工程入力!$M$6:$M$65,"&gt;0")-SUMIFS(⑬計量工程入力!$J$6:$J$65,⑬計量工程入力!$S$6:$S$65,$J231,⑬計量工程入力!$J$6:$J$65,"&gt;0",⑬計量工程入力!$I$6:$I$65,"&gt;0",⑬計量工程入力!$M$6:$M$65,"&gt;0")+SUMIFS(⑭手動工程入力!$J$6:$J$47,⑭手動工程入力!$S$6:$S$47,$J231,⑭手動工程入力!$J$6:$J$47,"&gt;0",⑭手動工程入力!$M$6:$M$47,"&gt;0")-SUMIFS(⑭手動工程入力!$J$6:$J$47,⑭手動工程入力!$S$6:$S$47,$J231,⑭手動工程入力!$J$6:$J$47,"&gt;0",⑭手動工程入力!$I$6:$I$47,"&gt;0",⑭手動工程入力!$M$6:$M$47,"&gt;0"))</f>
        <v/>
      </c>
      <c r="P231" s="392" t="inlineStr">
        <is>
          <t>中間品リスト</t>
        </is>
      </c>
    </row>
    <row r="232">
      <c r="A232" s="392" t="n">
        <v>228</v>
      </c>
      <c r="B232" s="392" t="n"/>
      <c r="C232" s="392" t="n"/>
      <c r="D232" s="392" t="n"/>
      <c r="E232" s="392" t="n"/>
      <c r="F232" s="394" t="n"/>
      <c r="G232" s="392" t="n"/>
      <c r="H232" s="604">
        <f>IFERROR(IF(AND($K232&gt;0,ISNUMBER(IF(OR($D232="g",$D232="ｇ"),IF($M232&gt;0,$L232/$M232/1000,""),IF($D232="kg",IF($M232&gt;0,$L232/$M232,""),IF($D232="",IF($M232&gt;0,$L232/$M232/1000,IF($O232&gt;0,$N232/$O232,"")),IF($O232&gt;0,$N232/$O232,"")))))),IF(OR($D232="g",$D232="ｇ"),IF($M232&gt;0,$L232/$M232/1000,""),IF($D232="kg",IF($M232&gt;0,$L232/$M232,""),IF($D232="",IF($M232&gt;0,$L232/$M232/1000,IF($O232&gt;0,$N232/$O232,"")),IF($O232&gt;0,$N232/$O232,"")))),IF($F232="",IF(OR($E232="",$E232="⑩盛付梱包工程入力"),"",IF(OR($D232="g",$D232="ｇ"),INDEX(⑰工程労務費一覧!$N$5:$N$11,MATCH($E232,⑰工程労務費一覧!$K$5:$K$11,0))/1000,IF($D232="kg",INDEX(⑰工程労務費一覧!$N$5:$N$11,MATCH($E232,⑰工程労務費一覧!$K$5:$K$11,0)),IF(OR($D232="個",$D232="切",$D232="本",$D232="枚",$D232="尾"),IF($E232="⑬計量工程入力","",INDEX(⑰工程労務費一覧!$P$5:$P$11,MATCH($E232,⑰工程労務費一覧!$K$5:$K$11,0))),IF(AND($D232="",OR($E232="②釜工程入力",$E232="③スチコン工程入力")),INDEX(⑰工程労務費一覧!$N$5:$N$11,MATCH($E232,⑰工程労務費一覧!$K$5:$K$11,0))/1000,""))))),IF(OR($D232="g",$D232="ｇ"),INDEX(⑰工程労務費一覧!$H$5:$H$753,MATCH($F232,⑰工程労務費一覧!$D$5:$D$753,0))/1000,IF($D232="kg",INDEX(⑰工程労務費一覧!$H$5:$H$753,MATCH($F232,⑰工程労務費一覧!$D$5:$D$753,0)),INDEX(⑰工程労務費一覧!$I$5:$I$753,MATCH($F232,⑰工程労務費一覧!$D$5:$D$753,0)))))),"")</f>
        <v/>
      </c>
      <c r="I232" s="392">
        <f>IF($K232&gt;0,IF(ISNUMBER(IF(OR($D232="g",$D232="ｇ"),IF($M232&gt;0,$L232/$M232/1000,""),IF($D232="kg",IF($M232&gt;0,$L232/$M232,""),IF($D232="",IF($M232&gt;0,$L232/$M232/1000,IF($O232&gt;0,$N232/$O232,"")),IF($O232&gt;0,$N232/$O232,""))))),IF($D232="",IF($M232&gt;0,"◎ JAN紐づけ(g扱い)","◎ JAN紐づけ(個扱い)"),"◎ JAN紐づけ"),"△ JAN紐づけ済・実績不足→仮計算"),IF($F232="",IF(ISNUMBER($H232),IF($D232="","⑤ 工程平均で仮計算(g扱い)","⑤ 工程平均で仮計算"),IF($E232="⑩盛付梱包工程入力","⑥ 盛り込み(⑳F列で計上)",IF(AND($E232="⑬計量工程入力",OR($D232="個",$D232="切",$D232="本",$D232="枚",$D232="尾")),"① 未紐づけ(カット個単位は仮単価なし)","① 未紐づけ"))),IF(NOT(ISNUMBER($H232)),"② 工程側に単価なし",IF($D232="","③ 単位未設定(個で計算)","④ OK"))))</f>
        <v/>
      </c>
      <c r="J232" s="399">
        <f>IFERROR(LOOKUP(2,1/((中間品リスト!$F$2:$F$1299=$B232)*(中間品リスト!$E$2:$E$1299&lt;&gt;"-")*(中間品リスト!$E$2:$E$1299&lt;&gt;"")),中間品リスト!$E$2:$E$1299),"")</f>
        <v/>
      </c>
      <c r="K232" s="400">
        <f>IF($J232="",0,COUNTIF(②釜工程入力!$S$5:$S$117,$J232)+COUNTIF(③スチコン工程入力!$S$5:$S$152,$J232)+COUNTIF(⑪ZEN工程入力!$S$6:$S$35,$J232)+COUNTIF(⑫ミキサー工程入力!$S$6:$S$65,$J232)+COUNTIF(⑬計量工程入力!$S$6:$S$65,$J232)+COUNTIF(⑭手動工程入力!$S$6:$S$47,$J232))</f>
        <v/>
      </c>
      <c r="L232" s="393">
        <f>IF($J232="",0,SUMIFS(②釜工程入力!$M$5:$M$117,②釜工程入力!$S$5:$S$117,$J232,②釜工程入力!$I$5:$I$117,"&gt;0")+SUMIFS(③スチコン工程入力!$M$5:$M$152,③スチコン工程入力!$S$5:$S$152,$J232,③スチコン工程入力!$I$5:$I$152,"&gt;0")+SUMIFS(⑪ZEN工程入力!$M$6:$M$35,⑪ZEN工程入力!$S$6:$S$35,$J232,⑪ZEN工程入力!$I$6:$I$35,"&gt;0")+SUMIFS(⑫ミキサー工程入力!$M$6:$M$65,⑫ミキサー工程入力!$S$6:$S$65,$J232,⑫ミキサー工程入力!$I$6:$I$65,"&gt;0")+SUMIFS(⑬計量工程入力!$M$6:$M$65,⑬計量工程入力!$S$6:$S$65,$J232,⑬計量工程入力!$I$6:$I$65,"&gt;0")+SUMIFS(⑭手動工程入力!$M$6:$M$47,⑭手動工程入力!$S$6:$S$47,$J232,⑭手動工程入力!$I$6:$I$47,"&gt;0"))</f>
        <v/>
      </c>
      <c r="M232" s="393">
        <f>IF($J232="",0,SUMIFS(②釜工程入力!$I$5:$I$117,②釜工程入力!$S$5:$S$117,$J232,②釜工程入力!$I$5:$I$117,"&gt;0",②釜工程入力!$M$5:$M$117,"&gt;0")+SUMIFS(③スチコン工程入力!$I$5:$I$152,③スチコン工程入力!$S$5:$S$152,$J232,③スチコン工程入力!$I$5:$I$152,"&gt;0",③スチコン工程入力!$M$5:$M$152,"&gt;0")+SUMIFS(⑪ZEN工程入力!$I$6:$I$35,⑪ZEN工程入力!$S$6:$S$35,$J232,⑪ZEN工程入力!$I$6:$I$35,"&gt;0",⑪ZEN工程入力!$M$6:$M$35,"&gt;0")+SUMIFS(⑫ミキサー工程入力!$I$6:$I$65,⑫ミキサー工程入力!$S$6:$S$65,$J232,⑫ミキサー工程入力!$I$6:$I$65,"&gt;0",⑫ミキサー工程入力!$M$6:$M$65,"&gt;0")+SUMIFS(⑬計量工程入力!$I$6:$I$65,⑬計量工程入力!$S$6:$S$65,$J232,⑬計量工程入力!$I$6:$I$65,"&gt;0",⑬計量工程入力!$M$6:$M$65,"&gt;0")+SUMIFS(⑭手動工程入力!$I$6:$I$47,⑭手動工程入力!$S$6:$S$47,$J232,⑭手動工程入力!$I$6:$I$47,"&gt;0",⑭手動工程入力!$M$6:$M$47,"&gt;0"))</f>
        <v/>
      </c>
      <c r="N232" s="393">
        <f>IF($J232="",0,SUMIFS(②釜工程入力!$M$5:$M$117,②釜工程入力!$S$5:$S$117,$J232,②釜工程入力!$J$5:$J$117,"&gt;0")-SUMIFS(②釜工程入力!$M$5:$M$117,②釜工程入力!$S$5:$S$117,$J232,②釜工程入力!$J$5:$J$117,"&gt;0",②釜工程入力!$I$5:$I$117,"&gt;0")+SUMIFS(③スチコン工程入力!$M$5:$M$152,③スチコン工程入力!$S$5:$S$152,$J232,③スチコン工程入力!$J$5:$J$152,"&gt;0")-SUMIFS(③スチコン工程入力!$M$5:$M$152,③スチコン工程入力!$S$5:$S$152,$J232,③スチコン工程入力!$J$5:$J$152,"&gt;0",③スチコン工程入力!$I$5:$I$152,"&gt;0")+SUMIFS(⑪ZEN工程入力!$M$6:$M$35,⑪ZEN工程入力!$S$6:$S$35,$J232,⑪ZEN工程入力!$J$6:$J$35,"&gt;0")-SUMIFS(⑪ZEN工程入力!$M$6:$M$35,⑪ZEN工程入力!$S$6:$S$35,$J232,⑪ZEN工程入力!$J$6:$J$35,"&gt;0",⑪ZEN工程入力!$I$6:$I$35,"&gt;0")+SUMIFS(⑫ミキサー工程入力!$M$6:$M$65,⑫ミキサー工程入力!$S$6:$S$65,$J232,⑫ミキサー工程入力!$J$6:$J$65,"&gt;0")-SUMIFS(⑫ミキサー工程入力!$M$6:$M$65,⑫ミキサー工程入力!$S$6:$S$65,$J232,⑫ミキサー工程入力!$J$6:$J$65,"&gt;0",⑫ミキサー工程入力!$I$6:$I$65,"&gt;0")+SUMIFS(⑬計量工程入力!$M$6:$M$65,⑬計量工程入力!$S$6:$S$65,$J232,⑬計量工程入力!$J$6:$J$65,"&gt;0")-SUMIFS(⑬計量工程入力!$M$6:$M$65,⑬計量工程入力!$S$6:$S$65,$J232,⑬計量工程入力!$J$6:$J$65,"&gt;0",⑬計量工程入力!$I$6:$I$65,"&gt;0")+SUMIFS(⑭手動工程入力!$M$6:$M$47,⑭手動工程入力!$S$6:$S$47,$J232,⑭手動工程入力!$J$6:$J$47,"&gt;0")-SUMIFS(⑭手動工程入力!$M$6:$M$47,⑭手動工程入力!$S$6:$S$47,$J232,⑭手動工程入力!$J$6:$J$47,"&gt;0",⑭手動工程入力!$I$6:$I$47,"&gt;0"))</f>
        <v/>
      </c>
      <c r="O232" s="393">
        <f>IF($J232="",0,SUMIFS(②釜工程入力!$J$5:$J$117,②釜工程入力!$S$5:$S$117,$J232,②釜工程入力!$J$5:$J$117,"&gt;0",②釜工程入力!$M$5:$M$117,"&gt;0")-SUMIFS(②釜工程入力!$J$5:$J$117,②釜工程入力!$S$5:$S$117,$J232,②釜工程入力!$J$5:$J$117,"&gt;0",②釜工程入力!$I$5:$I$117,"&gt;0",②釜工程入力!$M$5:$M$117,"&gt;0")+SUMIFS(③スチコン工程入力!$J$5:$J$152,③スチコン工程入力!$S$5:$S$152,$J232,③スチコン工程入力!$J$5:$J$152,"&gt;0",③スチコン工程入力!$M$5:$M$152,"&gt;0")-SUMIFS(③スチコン工程入力!$J$5:$J$152,③スチコン工程入力!$S$5:$S$152,$J232,③スチコン工程入力!$J$5:$J$152,"&gt;0",③スチコン工程入力!$I$5:$I$152,"&gt;0",③スチコン工程入力!$M$5:$M$152,"&gt;0")+SUMIFS(⑪ZEN工程入力!$J$6:$J$35,⑪ZEN工程入力!$S$6:$S$35,$J232,⑪ZEN工程入力!$J$6:$J$35,"&gt;0",⑪ZEN工程入力!$M$6:$M$35,"&gt;0")-SUMIFS(⑪ZEN工程入力!$J$6:$J$35,⑪ZEN工程入力!$S$6:$S$35,$J232,⑪ZEN工程入力!$J$6:$J$35,"&gt;0",⑪ZEN工程入力!$I$6:$I$35,"&gt;0",⑪ZEN工程入力!$M$6:$M$35,"&gt;0")+SUMIFS(⑫ミキサー工程入力!$J$6:$J$65,⑫ミキサー工程入力!$S$6:$S$65,$J232,⑫ミキサー工程入力!$J$6:$J$65,"&gt;0",⑫ミキサー工程入力!$M$6:$M$65,"&gt;0")-SUMIFS(⑫ミキサー工程入力!$J$6:$J$65,⑫ミキサー工程入力!$S$6:$S$65,$J232,⑫ミキサー工程入力!$J$6:$J$65,"&gt;0",⑫ミキサー工程入力!$I$6:$I$65,"&gt;0",⑫ミキサー工程入力!$M$6:$M$65,"&gt;0")+SUMIFS(⑬計量工程入力!$J$6:$J$65,⑬計量工程入力!$S$6:$S$65,$J232,⑬計量工程入力!$J$6:$J$65,"&gt;0",⑬計量工程入力!$M$6:$M$65,"&gt;0")-SUMIFS(⑬計量工程入力!$J$6:$J$65,⑬計量工程入力!$S$6:$S$65,$J232,⑬計量工程入力!$J$6:$J$65,"&gt;0",⑬計量工程入力!$I$6:$I$65,"&gt;0",⑬計量工程入力!$M$6:$M$65,"&gt;0")+SUMIFS(⑭手動工程入力!$J$6:$J$47,⑭手動工程入力!$S$6:$S$47,$J232,⑭手動工程入力!$J$6:$J$47,"&gt;0",⑭手動工程入力!$M$6:$M$47,"&gt;0")-SUMIFS(⑭手動工程入力!$J$6:$J$47,⑭手動工程入力!$S$6:$S$47,$J232,⑭手動工程入力!$J$6:$J$47,"&gt;0",⑭手動工程入力!$I$6:$I$47,"&gt;0",⑭手動工程入力!$M$6:$M$47,"&gt;0"))</f>
        <v/>
      </c>
      <c r="P232" s="392" t="n"/>
    </row>
    <row r="233">
      <c r="A233" s="392" t="n">
        <v>229</v>
      </c>
      <c r="B233" s="392" t="n"/>
      <c r="C233" s="392" t="n"/>
      <c r="D233" s="392" t="n"/>
      <c r="E233" s="392" t="n"/>
      <c r="F233" s="394" t="n"/>
      <c r="G233" s="392" t="n"/>
      <c r="H233" s="604">
        <f>IFERROR(IF(AND($K233&gt;0,ISNUMBER(IF(OR($D233="g",$D233="ｇ"),IF($M233&gt;0,$L233/$M233/1000,""),IF($D233="kg",IF($M233&gt;0,$L233/$M233,""),IF($D233="",IF($M233&gt;0,$L233/$M233/1000,IF($O233&gt;0,$N233/$O233,"")),IF($O233&gt;0,$N233/$O233,"")))))),IF(OR($D233="g",$D233="ｇ"),IF($M233&gt;0,$L233/$M233/1000,""),IF($D233="kg",IF($M233&gt;0,$L233/$M233,""),IF($D233="",IF($M233&gt;0,$L233/$M233/1000,IF($O233&gt;0,$N233/$O233,"")),IF($O233&gt;0,$N233/$O233,"")))),IF($F233="",IF(OR($E233="",$E233="⑩盛付梱包工程入力"),"",IF(OR($D233="g",$D233="ｇ"),INDEX(⑰工程労務費一覧!$N$5:$N$11,MATCH($E233,⑰工程労務費一覧!$K$5:$K$11,0))/1000,IF($D233="kg",INDEX(⑰工程労務費一覧!$N$5:$N$11,MATCH($E233,⑰工程労務費一覧!$K$5:$K$11,0)),IF(OR($D233="個",$D233="切",$D233="本",$D233="枚",$D233="尾"),IF($E233="⑬計量工程入力","",INDEX(⑰工程労務費一覧!$P$5:$P$11,MATCH($E233,⑰工程労務費一覧!$K$5:$K$11,0))),IF(AND($D233="",OR($E233="②釜工程入力",$E233="③スチコン工程入力")),INDEX(⑰工程労務費一覧!$N$5:$N$11,MATCH($E233,⑰工程労務費一覧!$K$5:$K$11,0))/1000,""))))),IF(OR($D233="g",$D233="ｇ"),INDEX(⑰工程労務費一覧!$H$5:$H$753,MATCH($F233,⑰工程労務費一覧!$D$5:$D$753,0))/1000,IF($D233="kg",INDEX(⑰工程労務費一覧!$H$5:$H$753,MATCH($F233,⑰工程労務費一覧!$D$5:$D$753,0)),INDEX(⑰工程労務費一覧!$I$5:$I$753,MATCH($F233,⑰工程労務費一覧!$D$5:$D$753,0)))))),"")</f>
        <v/>
      </c>
      <c r="I233" s="392">
        <f>IF($K233&gt;0,IF(ISNUMBER(IF(OR($D233="g",$D233="ｇ"),IF($M233&gt;0,$L233/$M233/1000,""),IF($D233="kg",IF($M233&gt;0,$L233/$M233,""),IF($D233="",IF($M233&gt;0,$L233/$M233/1000,IF($O233&gt;0,$N233/$O233,"")),IF($O233&gt;0,$N233/$O233,""))))),IF($D233="",IF($M233&gt;0,"◎ JAN紐づけ(g扱い)","◎ JAN紐づけ(個扱い)"),"◎ JAN紐づけ"),"△ JAN紐づけ済・実績不足→仮計算"),IF($F233="",IF(ISNUMBER($H233),IF($D233="","⑤ 工程平均で仮計算(g扱い)","⑤ 工程平均で仮計算"),IF($E233="⑩盛付梱包工程入力","⑥ 盛り込み(⑳F列で計上)",IF(AND($E233="⑬計量工程入力",OR($D233="個",$D233="切",$D233="本",$D233="枚",$D233="尾")),"① 未紐づけ(カット個単位は仮単価なし)","① 未紐づけ"))),IF(NOT(ISNUMBER($H233)),"② 工程側に単価なし",IF($D233="","③ 単位未設定(個で計算)","④ OK"))))</f>
        <v/>
      </c>
      <c r="J233" s="399">
        <f>IFERROR(LOOKUP(2,1/((中間品リスト!$F$2:$F$1299=$B233)*(中間品リスト!$E$2:$E$1299&lt;&gt;"-")*(中間品リスト!$E$2:$E$1299&lt;&gt;"")),中間品リスト!$E$2:$E$1299),"")</f>
        <v/>
      </c>
      <c r="K233" s="400">
        <f>IF($J233="",0,COUNTIF(②釜工程入力!$S$5:$S$117,$J233)+COUNTIF(③スチコン工程入力!$S$5:$S$152,$J233)+COUNTIF(⑪ZEN工程入力!$S$6:$S$35,$J233)+COUNTIF(⑫ミキサー工程入力!$S$6:$S$65,$J233)+COUNTIF(⑬計量工程入力!$S$6:$S$65,$J233)+COUNTIF(⑭手動工程入力!$S$6:$S$47,$J233))</f>
        <v/>
      </c>
      <c r="L233" s="393">
        <f>IF($J233="",0,SUMIFS(②釜工程入力!$M$5:$M$117,②釜工程入力!$S$5:$S$117,$J233,②釜工程入力!$I$5:$I$117,"&gt;0")+SUMIFS(③スチコン工程入力!$M$5:$M$152,③スチコン工程入力!$S$5:$S$152,$J233,③スチコン工程入力!$I$5:$I$152,"&gt;0")+SUMIFS(⑪ZEN工程入力!$M$6:$M$35,⑪ZEN工程入力!$S$6:$S$35,$J233,⑪ZEN工程入力!$I$6:$I$35,"&gt;0")+SUMIFS(⑫ミキサー工程入力!$M$6:$M$65,⑫ミキサー工程入力!$S$6:$S$65,$J233,⑫ミキサー工程入力!$I$6:$I$65,"&gt;0")+SUMIFS(⑬計量工程入力!$M$6:$M$65,⑬計量工程入力!$S$6:$S$65,$J233,⑬計量工程入力!$I$6:$I$65,"&gt;0")+SUMIFS(⑭手動工程入力!$M$6:$M$47,⑭手動工程入力!$S$6:$S$47,$J233,⑭手動工程入力!$I$6:$I$47,"&gt;0"))</f>
        <v/>
      </c>
      <c r="M233" s="393">
        <f>IF($J233="",0,SUMIFS(②釜工程入力!$I$5:$I$117,②釜工程入力!$S$5:$S$117,$J233,②釜工程入力!$I$5:$I$117,"&gt;0",②釜工程入力!$M$5:$M$117,"&gt;0")+SUMIFS(③スチコン工程入力!$I$5:$I$152,③スチコン工程入力!$S$5:$S$152,$J233,③スチコン工程入力!$I$5:$I$152,"&gt;0",③スチコン工程入力!$M$5:$M$152,"&gt;0")+SUMIFS(⑪ZEN工程入力!$I$6:$I$35,⑪ZEN工程入力!$S$6:$S$35,$J233,⑪ZEN工程入力!$I$6:$I$35,"&gt;0",⑪ZEN工程入力!$M$6:$M$35,"&gt;0")+SUMIFS(⑫ミキサー工程入力!$I$6:$I$65,⑫ミキサー工程入力!$S$6:$S$65,$J233,⑫ミキサー工程入力!$I$6:$I$65,"&gt;0",⑫ミキサー工程入力!$M$6:$M$65,"&gt;0")+SUMIFS(⑬計量工程入力!$I$6:$I$65,⑬計量工程入力!$S$6:$S$65,$J233,⑬計量工程入力!$I$6:$I$65,"&gt;0",⑬計量工程入力!$M$6:$M$65,"&gt;0")+SUMIFS(⑭手動工程入力!$I$6:$I$47,⑭手動工程入力!$S$6:$S$47,$J233,⑭手動工程入力!$I$6:$I$47,"&gt;0",⑭手動工程入力!$M$6:$M$47,"&gt;0"))</f>
        <v/>
      </c>
      <c r="N233" s="393">
        <f>IF($J233="",0,SUMIFS(②釜工程入力!$M$5:$M$117,②釜工程入力!$S$5:$S$117,$J233,②釜工程入力!$J$5:$J$117,"&gt;0")-SUMIFS(②釜工程入力!$M$5:$M$117,②釜工程入力!$S$5:$S$117,$J233,②釜工程入力!$J$5:$J$117,"&gt;0",②釜工程入力!$I$5:$I$117,"&gt;0")+SUMIFS(③スチコン工程入力!$M$5:$M$152,③スチコン工程入力!$S$5:$S$152,$J233,③スチコン工程入力!$J$5:$J$152,"&gt;0")-SUMIFS(③スチコン工程入力!$M$5:$M$152,③スチコン工程入力!$S$5:$S$152,$J233,③スチコン工程入力!$J$5:$J$152,"&gt;0",③スチコン工程入力!$I$5:$I$152,"&gt;0")+SUMIFS(⑪ZEN工程入力!$M$6:$M$35,⑪ZEN工程入力!$S$6:$S$35,$J233,⑪ZEN工程入力!$J$6:$J$35,"&gt;0")-SUMIFS(⑪ZEN工程入力!$M$6:$M$35,⑪ZEN工程入力!$S$6:$S$35,$J233,⑪ZEN工程入力!$J$6:$J$35,"&gt;0",⑪ZEN工程入力!$I$6:$I$35,"&gt;0")+SUMIFS(⑫ミキサー工程入力!$M$6:$M$65,⑫ミキサー工程入力!$S$6:$S$65,$J233,⑫ミキサー工程入力!$J$6:$J$65,"&gt;0")-SUMIFS(⑫ミキサー工程入力!$M$6:$M$65,⑫ミキサー工程入力!$S$6:$S$65,$J233,⑫ミキサー工程入力!$J$6:$J$65,"&gt;0",⑫ミキサー工程入力!$I$6:$I$65,"&gt;0")+SUMIFS(⑬計量工程入力!$M$6:$M$65,⑬計量工程入力!$S$6:$S$65,$J233,⑬計量工程入力!$J$6:$J$65,"&gt;0")-SUMIFS(⑬計量工程入力!$M$6:$M$65,⑬計量工程入力!$S$6:$S$65,$J233,⑬計量工程入力!$J$6:$J$65,"&gt;0",⑬計量工程入力!$I$6:$I$65,"&gt;0")+SUMIFS(⑭手動工程入力!$M$6:$M$47,⑭手動工程入力!$S$6:$S$47,$J233,⑭手動工程入力!$J$6:$J$47,"&gt;0")-SUMIFS(⑭手動工程入力!$M$6:$M$47,⑭手動工程入力!$S$6:$S$47,$J233,⑭手動工程入力!$J$6:$J$47,"&gt;0",⑭手動工程入力!$I$6:$I$47,"&gt;0"))</f>
        <v/>
      </c>
      <c r="O233" s="393">
        <f>IF($J233="",0,SUMIFS(②釜工程入力!$J$5:$J$117,②釜工程入力!$S$5:$S$117,$J233,②釜工程入力!$J$5:$J$117,"&gt;0",②釜工程入力!$M$5:$M$117,"&gt;0")-SUMIFS(②釜工程入力!$J$5:$J$117,②釜工程入力!$S$5:$S$117,$J233,②釜工程入力!$J$5:$J$117,"&gt;0",②釜工程入力!$I$5:$I$117,"&gt;0",②釜工程入力!$M$5:$M$117,"&gt;0")+SUMIFS(③スチコン工程入力!$J$5:$J$152,③スチコン工程入力!$S$5:$S$152,$J233,③スチコン工程入力!$J$5:$J$152,"&gt;0",③スチコン工程入力!$M$5:$M$152,"&gt;0")-SUMIFS(③スチコン工程入力!$J$5:$J$152,③スチコン工程入力!$S$5:$S$152,$J233,③スチコン工程入力!$J$5:$J$152,"&gt;0",③スチコン工程入力!$I$5:$I$152,"&gt;0",③スチコン工程入力!$M$5:$M$152,"&gt;0")+SUMIFS(⑪ZEN工程入力!$J$6:$J$35,⑪ZEN工程入力!$S$6:$S$35,$J233,⑪ZEN工程入力!$J$6:$J$35,"&gt;0",⑪ZEN工程入力!$M$6:$M$35,"&gt;0")-SUMIFS(⑪ZEN工程入力!$J$6:$J$35,⑪ZEN工程入力!$S$6:$S$35,$J233,⑪ZEN工程入力!$J$6:$J$35,"&gt;0",⑪ZEN工程入力!$I$6:$I$35,"&gt;0",⑪ZEN工程入力!$M$6:$M$35,"&gt;0")+SUMIFS(⑫ミキサー工程入力!$J$6:$J$65,⑫ミキサー工程入力!$S$6:$S$65,$J233,⑫ミキサー工程入力!$J$6:$J$65,"&gt;0",⑫ミキサー工程入力!$M$6:$M$65,"&gt;0")-SUMIFS(⑫ミキサー工程入力!$J$6:$J$65,⑫ミキサー工程入力!$S$6:$S$65,$J233,⑫ミキサー工程入力!$J$6:$J$65,"&gt;0",⑫ミキサー工程入力!$I$6:$I$65,"&gt;0",⑫ミキサー工程入力!$M$6:$M$65,"&gt;0")+SUMIFS(⑬計量工程入力!$J$6:$J$65,⑬計量工程入力!$S$6:$S$65,$J233,⑬計量工程入力!$J$6:$J$65,"&gt;0",⑬計量工程入力!$M$6:$M$65,"&gt;0")-SUMIFS(⑬計量工程入力!$J$6:$J$65,⑬計量工程入力!$S$6:$S$65,$J233,⑬計量工程入力!$J$6:$J$65,"&gt;0",⑬計量工程入力!$I$6:$I$65,"&gt;0",⑬計量工程入力!$M$6:$M$65,"&gt;0")+SUMIFS(⑭手動工程入力!$J$6:$J$47,⑭手動工程入力!$S$6:$S$47,$J233,⑭手動工程入力!$J$6:$J$47,"&gt;0",⑭手動工程入力!$M$6:$M$47,"&gt;0")-SUMIFS(⑭手動工程入力!$J$6:$J$47,⑭手動工程入力!$S$6:$S$47,$J233,⑭手動工程入力!$J$6:$J$47,"&gt;0",⑭手動工程入力!$I$6:$I$47,"&gt;0",⑭手動工程入力!$M$6:$M$47,"&gt;0"))</f>
        <v/>
      </c>
      <c r="P233" s="392" t="n"/>
    </row>
    <row r="234">
      <c r="A234" s="392" t="n">
        <v>230</v>
      </c>
      <c r="B234" s="392" t="n"/>
      <c r="C234" s="392" t="n"/>
      <c r="D234" s="392" t="n"/>
      <c r="E234" s="392" t="n"/>
      <c r="F234" s="394" t="n"/>
      <c r="G234" s="392" t="n"/>
      <c r="H234" s="604">
        <f>IFERROR(IF(AND($K234&gt;0,ISNUMBER(IF(OR($D234="g",$D234="ｇ"),IF($M234&gt;0,$L234/$M234/1000,""),IF($D234="kg",IF($M234&gt;0,$L234/$M234,""),IF($D234="",IF($M234&gt;0,$L234/$M234/1000,IF($O234&gt;0,$N234/$O234,"")),IF($O234&gt;0,$N234/$O234,"")))))),IF(OR($D234="g",$D234="ｇ"),IF($M234&gt;0,$L234/$M234/1000,""),IF($D234="kg",IF($M234&gt;0,$L234/$M234,""),IF($D234="",IF($M234&gt;0,$L234/$M234/1000,IF($O234&gt;0,$N234/$O234,"")),IF($O234&gt;0,$N234/$O234,"")))),IF($F234="",IF(OR($E234="",$E234="⑩盛付梱包工程入力"),"",IF(OR($D234="g",$D234="ｇ"),INDEX(⑰工程労務費一覧!$N$5:$N$11,MATCH($E234,⑰工程労務費一覧!$K$5:$K$11,0))/1000,IF($D234="kg",INDEX(⑰工程労務費一覧!$N$5:$N$11,MATCH($E234,⑰工程労務費一覧!$K$5:$K$11,0)),IF(OR($D234="個",$D234="切",$D234="本",$D234="枚",$D234="尾"),IF($E234="⑬計量工程入力","",INDEX(⑰工程労務費一覧!$P$5:$P$11,MATCH($E234,⑰工程労務費一覧!$K$5:$K$11,0))),IF(AND($D234="",OR($E234="②釜工程入力",$E234="③スチコン工程入力")),INDEX(⑰工程労務費一覧!$N$5:$N$11,MATCH($E234,⑰工程労務費一覧!$K$5:$K$11,0))/1000,""))))),IF(OR($D234="g",$D234="ｇ"),INDEX(⑰工程労務費一覧!$H$5:$H$753,MATCH($F234,⑰工程労務費一覧!$D$5:$D$753,0))/1000,IF($D234="kg",INDEX(⑰工程労務費一覧!$H$5:$H$753,MATCH($F234,⑰工程労務費一覧!$D$5:$D$753,0)),INDEX(⑰工程労務費一覧!$I$5:$I$753,MATCH($F234,⑰工程労務費一覧!$D$5:$D$753,0)))))),"")</f>
        <v/>
      </c>
      <c r="I234" s="392">
        <f>IF($K234&gt;0,IF(ISNUMBER(IF(OR($D234="g",$D234="ｇ"),IF($M234&gt;0,$L234/$M234/1000,""),IF($D234="kg",IF($M234&gt;0,$L234/$M234,""),IF($D234="",IF($M234&gt;0,$L234/$M234/1000,IF($O234&gt;0,$N234/$O234,"")),IF($O234&gt;0,$N234/$O234,""))))),IF($D234="",IF($M234&gt;0,"◎ JAN紐づけ(g扱い)","◎ JAN紐づけ(個扱い)"),"◎ JAN紐づけ"),"△ JAN紐づけ済・実績不足→仮計算"),IF($F234="",IF(ISNUMBER($H234),IF($D234="","⑤ 工程平均で仮計算(g扱い)","⑤ 工程平均で仮計算"),IF($E234="⑩盛付梱包工程入力","⑥ 盛り込み(⑳F列で計上)",IF(AND($E234="⑬計量工程入力",OR($D234="個",$D234="切",$D234="本",$D234="枚",$D234="尾")),"① 未紐づけ(カット個単位は仮単価なし)","① 未紐づけ"))),IF(NOT(ISNUMBER($H234)),"② 工程側に単価なし",IF($D234="","③ 単位未設定(個で計算)","④ OK"))))</f>
        <v/>
      </c>
      <c r="J234" s="399">
        <f>IFERROR(LOOKUP(2,1/((中間品リスト!$F$2:$F$1299=$B234)*(中間品リスト!$E$2:$E$1299&lt;&gt;"-")*(中間品リスト!$E$2:$E$1299&lt;&gt;"")),中間品リスト!$E$2:$E$1299),"")</f>
        <v/>
      </c>
      <c r="K234" s="400">
        <f>IF($J234="",0,COUNTIF(②釜工程入力!$S$5:$S$117,$J234)+COUNTIF(③スチコン工程入力!$S$5:$S$152,$J234)+COUNTIF(⑪ZEN工程入力!$S$6:$S$35,$J234)+COUNTIF(⑫ミキサー工程入力!$S$6:$S$65,$J234)+COUNTIF(⑬計量工程入力!$S$6:$S$65,$J234)+COUNTIF(⑭手動工程入力!$S$6:$S$47,$J234))</f>
        <v/>
      </c>
      <c r="L234" s="393">
        <f>IF($J234="",0,SUMIFS(②釜工程入力!$M$5:$M$117,②釜工程入力!$S$5:$S$117,$J234,②釜工程入力!$I$5:$I$117,"&gt;0")+SUMIFS(③スチコン工程入力!$M$5:$M$152,③スチコン工程入力!$S$5:$S$152,$J234,③スチコン工程入力!$I$5:$I$152,"&gt;0")+SUMIFS(⑪ZEN工程入力!$M$6:$M$35,⑪ZEN工程入力!$S$6:$S$35,$J234,⑪ZEN工程入力!$I$6:$I$35,"&gt;0")+SUMIFS(⑫ミキサー工程入力!$M$6:$M$65,⑫ミキサー工程入力!$S$6:$S$65,$J234,⑫ミキサー工程入力!$I$6:$I$65,"&gt;0")+SUMIFS(⑬計量工程入力!$M$6:$M$65,⑬計量工程入力!$S$6:$S$65,$J234,⑬計量工程入力!$I$6:$I$65,"&gt;0")+SUMIFS(⑭手動工程入力!$M$6:$M$47,⑭手動工程入力!$S$6:$S$47,$J234,⑭手動工程入力!$I$6:$I$47,"&gt;0"))</f>
        <v/>
      </c>
      <c r="M234" s="393">
        <f>IF($J234="",0,SUMIFS(②釜工程入力!$I$5:$I$117,②釜工程入力!$S$5:$S$117,$J234,②釜工程入力!$I$5:$I$117,"&gt;0",②釜工程入力!$M$5:$M$117,"&gt;0")+SUMIFS(③スチコン工程入力!$I$5:$I$152,③スチコン工程入力!$S$5:$S$152,$J234,③スチコン工程入力!$I$5:$I$152,"&gt;0",③スチコン工程入力!$M$5:$M$152,"&gt;0")+SUMIFS(⑪ZEN工程入力!$I$6:$I$35,⑪ZEN工程入力!$S$6:$S$35,$J234,⑪ZEN工程入力!$I$6:$I$35,"&gt;0",⑪ZEN工程入力!$M$6:$M$35,"&gt;0")+SUMIFS(⑫ミキサー工程入力!$I$6:$I$65,⑫ミキサー工程入力!$S$6:$S$65,$J234,⑫ミキサー工程入力!$I$6:$I$65,"&gt;0",⑫ミキサー工程入力!$M$6:$M$65,"&gt;0")+SUMIFS(⑬計量工程入力!$I$6:$I$65,⑬計量工程入力!$S$6:$S$65,$J234,⑬計量工程入力!$I$6:$I$65,"&gt;0",⑬計量工程入力!$M$6:$M$65,"&gt;0")+SUMIFS(⑭手動工程入力!$I$6:$I$47,⑭手動工程入力!$S$6:$S$47,$J234,⑭手動工程入力!$I$6:$I$47,"&gt;0",⑭手動工程入力!$M$6:$M$47,"&gt;0"))</f>
        <v/>
      </c>
      <c r="N234" s="393">
        <f>IF($J234="",0,SUMIFS(②釜工程入力!$M$5:$M$117,②釜工程入力!$S$5:$S$117,$J234,②釜工程入力!$J$5:$J$117,"&gt;0")-SUMIFS(②釜工程入力!$M$5:$M$117,②釜工程入力!$S$5:$S$117,$J234,②釜工程入力!$J$5:$J$117,"&gt;0",②釜工程入力!$I$5:$I$117,"&gt;0")+SUMIFS(③スチコン工程入力!$M$5:$M$152,③スチコン工程入力!$S$5:$S$152,$J234,③スチコン工程入力!$J$5:$J$152,"&gt;0")-SUMIFS(③スチコン工程入力!$M$5:$M$152,③スチコン工程入力!$S$5:$S$152,$J234,③スチコン工程入力!$J$5:$J$152,"&gt;0",③スチコン工程入力!$I$5:$I$152,"&gt;0")+SUMIFS(⑪ZEN工程入力!$M$6:$M$35,⑪ZEN工程入力!$S$6:$S$35,$J234,⑪ZEN工程入力!$J$6:$J$35,"&gt;0")-SUMIFS(⑪ZEN工程入力!$M$6:$M$35,⑪ZEN工程入力!$S$6:$S$35,$J234,⑪ZEN工程入力!$J$6:$J$35,"&gt;0",⑪ZEN工程入力!$I$6:$I$35,"&gt;0")+SUMIFS(⑫ミキサー工程入力!$M$6:$M$65,⑫ミキサー工程入力!$S$6:$S$65,$J234,⑫ミキサー工程入力!$J$6:$J$65,"&gt;0")-SUMIFS(⑫ミキサー工程入力!$M$6:$M$65,⑫ミキサー工程入力!$S$6:$S$65,$J234,⑫ミキサー工程入力!$J$6:$J$65,"&gt;0",⑫ミキサー工程入力!$I$6:$I$65,"&gt;0")+SUMIFS(⑬計量工程入力!$M$6:$M$65,⑬計量工程入力!$S$6:$S$65,$J234,⑬計量工程入力!$J$6:$J$65,"&gt;0")-SUMIFS(⑬計量工程入力!$M$6:$M$65,⑬計量工程入力!$S$6:$S$65,$J234,⑬計量工程入力!$J$6:$J$65,"&gt;0",⑬計量工程入力!$I$6:$I$65,"&gt;0")+SUMIFS(⑭手動工程入力!$M$6:$M$47,⑭手動工程入力!$S$6:$S$47,$J234,⑭手動工程入力!$J$6:$J$47,"&gt;0")-SUMIFS(⑭手動工程入力!$M$6:$M$47,⑭手動工程入力!$S$6:$S$47,$J234,⑭手動工程入力!$J$6:$J$47,"&gt;0",⑭手動工程入力!$I$6:$I$47,"&gt;0"))</f>
        <v/>
      </c>
      <c r="O234" s="393">
        <f>IF($J234="",0,SUMIFS(②釜工程入力!$J$5:$J$117,②釜工程入力!$S$5:$S$117,$J234,②釜工程入力!$J$5:$J$117,"&gt;0",②釜工程入力!$M$5:$M$117,"&gt;0")-SUMIFS(②釜工程入力!$J$5:$J$117,②釜工程入力!$S$5:$S$117,$J234,②釜工程入力!$J$5:$J$117,"&gt;0",②釜工程入力!$I$5:$I$117,"&gt;0",②釜工程入力!$M$5:$M$117,"&gt;0")+SUMIFS(③スチコン工程入力!$J$5:$J$152,③スチコン工程入力!$S$5:$S$152,$J234,③スチコン工程入力!$J$5:$J$152,"&gt;0",③スチコン工程入力!$M$5:$M$152,"&gt;0")-SUMIFS(③スチコン工程入力!$J$5:$J$152,③スチコン工程入力!$S$5:$S$152,$J234,③スチコン工程入力!$J$5:$J$152,"&gt;0",③スチコン工程入力!$I$5:$I$152,"&gt;0",③スチコン工程入力!$M$5:$M$152,"&gt;0")+SUMIFS(⑪ZEN工程入力!$J$6:$J$35,⑪ZEN工程入力!$S$6:$S$35,$J234,⑪ZEN工程入力!$J$6:$J$35,"&gt;0",⑪ZEN工程入力!$M$6:$M$35,"&gt;0")-SUMIFS(⑪ZEN工程入力!$J$6:$J$35,⑪ZEN工程入力!$S$6:$S$35,$J234,⑪ZEN工程入力!$J$6:$J$35,"&gt;0",⑪ZEN工程入力!$I$6:$I$35,"&gt;0",⑪ZEN工程入力!$M$6:$M$35,"&gt;0")+SUMIFS(⑫ミキサー工程入力!$J$6:$J$65,⑫ミキサー工程入力!$S$6:$S$65,$J234,⑫ミキサー工程入力!$J$6:$J$65,"&gt;0",⑫ミキサー工程入力!$M$6:$M$65,"&gt;0")-SUMIFS(⑫ミキサー工程入力!$J$6:$J$65,⑫ミキサー工程入力!$S$6:$S$65,$J234,⑫ミキサー工程入力!$J$6:$J$65,"&gt;0",⑫ミキサー工程入力!$I$6:$I$65,"&gt;0",⑫ミキサー工程入力!$M$6:$M$65,"&gt;0")+SUMIFS(⑬計量工程入力!$J$6:$J$65,⑬計量工程入力!$S$6:$S$65,$J234,⑬計量工程入力!$J$6:$J$65,"&gt;0",⑬計量工程入力!$M$6:$M$65,"&gt;0")-SUMIFS(⑬計量工程入力!$J$6:$J$65,⑬計量工程入力!$S$6:$S$65,$J234,⑬計量工程入力!$J$6:$J$65,"&gt;0",⑬計量工程入力!$I$6:$I$65,"&gt;0",⑬計量工程入力!$M$6:$M$65,"&gt;0")+SUMIFS(⑭手動工程入力!$J$6:$J$47,⑭手動工程入力!$S$6:$S$47,$J234,⑭手動工程入力!$J$6:$J$47,"&gt;0",⑭手動工程入力!$M$6:$M$47,"&gt;0")-SUMIFS(⑭手動工程入力!$J$6:$J$47,⑭手動工程入力!$S$6:$S$47,$J234,⑭手動工程入力!$J$6:$J$47,"&gt;0",⑭手動工程入力!$I$6:$I$47,"&gt;0",⑭手動工程入力!$M$6:$M$47,"&gt;0"))</f>
        <v/>
      </c>
      <c r="P234" s="392" t="n"/>
    </row>
    <row r="235">
      <c r="A235" s="392" t="n">
        <v>231</v>
      </c>
      <c r="B235" s="392" t="n"/>
      <c r="C235" s="392" t="n"/>
      <c r="D235" s="392" t="n"/>
      <c r="E235" s="392" t="n"/>
      <c r="F235" s="394" t="n"/>
      <c r="G235" s="392" t="n"/>
      <c r="H235" s="604">
        <f>IFERROR(IF(AND($K235&gt;0,ISNUMBER(IF(OR($D235="g",$D235="ｇ"),IF($M235&gt;0,$L235/$M235/1000,""),IF($D235="kg",IF($M235&gt;0,$L235/$M235,""),IF($D235="",IF($M235&gt;0,$L235/$M235/1000,IF($O235&gt;0,$N235/$O235,"")),IF($O235&gt;0,$N235/$O235,"")))))),IF(OR($D235="g",$D235="ｇ"),IF($M235&gt;0,$L235/$M235/1000,""),IF($D235="kg",IF($M235&gt;0,$L235/$M235,""),IF($D235="",IF($M235&gt;0,$L235/$M235/1000,IF($O235&gt;0,$N235/$O235,"")),IF($O235&gt;0,$N235/$O235,"")))),IF($F235="",IF(OR($E235="",$E235="⑩盛付梱包工程入力"),"",IF(OR($D235="g",$D235="ｇ"),INDEX(⑰工程労務費一覧!$N$5:$N$11,MATCH($E235,⑰工程労務費一覧!$K$5:$K$11,0))/1000,IF($D235="kg",INDEX(⑰工程労務費一覧!$N$5:$N$11,MATCH($E235,⑰工程労務費一覧!$K$5:$K$11,0)),IF(OR($D235="個",$D235="切",$D235="本",$D235="枚",$D235="尾"),IF($E235="⑬計量工程入力","",INDEX(⑰工程労務費一覧!$P$5:$P$11,MATCH($E235,⑰工程労務費一覧!$K$5:$K$11,0))),IF(AND($D235="",OR($E235="②釜工程入力",$E235="③スチコン工程入力")),INDEX(⑰工程労務費一覧!$N$5:$N$11,MATCH($E235,⑰工程労務費一覧!$K$5:$K$11,0))/1000,""))))),IF(OR($D235="g",$D235="ｇ"),INDEX(⑰工程労務費一覧!$H$5:$H$753,MATCH($F235,⑰工程労務費一覧!$D$5:$D$753,0))/1000,IF($D235="kg",INDEX(⑰工程労務費一覧!$H$5:$H$753,MATCH($F235,⑰工程労務費一覧!$D$5:$D$753,0)),INDEX(⑰工程労務費一覧!$I$5:$I$753,MATCH($F235,⑰工程労務費一覧!$D$5:$D$753,0)))))),"")</f>
        <v/>
      </c>
      <c r="I235" s="392">
        <f>IF($K235&gt;0,IF(ISNUMBER(IF(OR($D235="g",$D235="ｇ"),IF($M235&gt;0,$L235/$M235/1000,""),IF($D235="kg",IF($M235&gt;0,$L235/$M235,""),IF($D235="",IF($M235&gt;0,$L235/$M235/1000,IF($O235&gt;0,$N235/$O235,"")),IF($O235&gt;0,$N235/$O235,""))))),IF($D235="",IF($M235&gt;0,"◎ JAN紐づけ(g扱い)","◎ JAN紐づけ(個扱い)"),"◎ JAN紐づけ"),"△ JAN紐づけ済・実績不足→仮計算"),IF($F235="",IF(ISNUMBER($H235),IF($D235="","⑤ 工程平均で仮計算(g扱い)","⑤ 工程平均で仮計算"),IF($E235="⑩盛付梱包工程入力","⑥ 盛り込み(⑳F列で計上)",IF(AND($E235="⑬計量工程入力",OR($D235="個",$D235="切",$D235="本",$D235="枚",$D235="尾")),"① 未紐づけ(カット個単位は仮単価なし)","① 未紐づけ"))),IF(NOT(ISNUMBER($H235)),"② 工程側に単価なし",IF($D235="","③ 単位未設定(個で計算)","④ OK"))))</f>
        <v/>
      </c>
      <c r="J235" s="399">
        <f>IFERROR(LOOKUP(2,1/((中間品リスト!$F$2:$F$1299=$B235)*(中間品リスト!$E$2:$E$1299&lt;&gt;"-")*(中間品リスト!$E$2:$E$1299&lt;&gt;"")),中間品リスト!$E$2:$E$1299),"")</f>
        <v/>
      </c>
      <c r="K235" s="400">
        <f>IF($J235="",0,COUNTIF(②釜工程入力!$S$5:$S$117,$J235)+COUNTIF(③スチコン工程入力!$S$5:$S$152,$J235)+COUNTIF(⑪ZEN工程入力!$S$6:$S$35,$J235)+COUNTIF(⑫ミキサー工程入力!$S$6:$S$65,$J235)+COUNTIF(⑬計量工程入力!$S$6:$S$65,$J235)+COUNTIF(⑭手動工程入力!$S$6:$S$47,$J235))</f>
        <v/>
      </c>
      <c r="L235" s="393">
        <f>IF($J235="",0,SUMIFS(②釜工程入力!$M$5:$M$117,②釜工程入力!$S$5:$S$117,$J235,②釜工程入力!$I$5:$I$117,"&gt;0")+SUMIFS(③スチコン工程入力!$M$5:$M$152,③スチコン工程入力!$S$5:$S$152,$J235,③スチコン工程入力!$I$5:$I$152,"&gt;0")+SUMIFS(⑪ZEN工程入力!$M$6:$M$35,⑪ZEN工程入力!$S$6:$S$35,$J235,⑪ZEN工程入力!$I$6:$I$35,"&gt;0")+SUMIFS(⑫ミキサー工程入力!$M$6:$M$65,⑫ミキサー工程入力!$S$6:$S$65,$J235,⑫ミキサー工程入力!$I$6:$I$65,"&gt;0")+SUMIFS(⑬計量工程入力!$M$6:$M$65,⑬計量工程入力!$S$6:$S$65,$J235,⑬計量工程入力!$I$6:$I$65,"&gt;0")+SUMIFS(⑭手動工程入力!$M$6:$M$47,⑭手動工程入力!$S$6:$S$47,$J235,⑭手動工程入力!$I$6:$I$47,"&gt;0"))</f>
        <v/>
      </c>
      <c r="M235" s="393">
        <f>IF($J235="",0,SUMIFS(②釜工程入力!$I$5:$I$117,②釜工程入力!$S$5:$S$117,$J235,②釜工程入力!$I$5:$I$117,"&gt;0",②釜工程入力!$M$5:$M$117,"&gt;0")+SUMIFS(③スチコン工程入力!$I$5:$I$152,③スチコン工程入力!$S$5:$S$152,$J235,③スチコン工程入力!$I$5:$I$152,"&gt;0",③スチコン工程入力!$M$5:$M$152,"&gt;0")+SUMIFS(⑪ZEN工程入力!$I$6:$I$35,⑪ZEN工程入力!$S$6:$S$35,$J235,⑪ZEN工程入力!$I$6:$I$35,"&gt;0",⑪ZEN工程入力!$M$6:$M$35,"&gt;0")+SUMIFS(⑫ミキサー工程入力!$I$6:$I$65,⑫ミキサー工程入力!$S$6:$S$65,$J235,⑫ミキサー工程入力!$I$6:$I$65,"&gt;0",⑫ミキサー工程入力!$M$6:$M$65,"&gt;0")+SUMIFS(⑬計量工程入力!$I$6:$I$65,⑬計量工程入力!$S$6:$S$65,$J235,⑬計量工程入力!$I$6:$I$65,"&gt;0",⑬計量工程入力!$M$6:$M$65,"&gt;0")+SUMIFS(⑭手動工程入力!$I$6:$I$47,⑭手動工程入力!$S$6:$S$47,$J235,⑭手動工程入力!$I$6:$I$47,"&gt;0",⑭手動工程入力!$M$6:$M$47,"&gt;0"))</f>
        <v/>
      </c>
      <c r="N235" s="393">
        <f>IF($J235="",0,SUMIFS(②釜工程入力!$M$5:$M$117,②釜工程入力!$S$5:$S$117,$J235,②釜工程入力!$J$5:$J$117,"&gt;0")-SUMIFS(②釜工程入力!$M$5:$M$117,②釜工程入力!$S$5:$S$117,$J235,②釜工程入力!$J$5:$J$117,"&gt;0",②釜工程入力!$I$5:$I$117,"&gt;0")+SUMIFS(③スチコン工程入力!$M$5:$M$152,③スチコン工程入力!$S$5:$S$152,$J235,③スチコン工程入力!$J$5:$J$152,"&gt;0")-SUMIFS(③スチコン工程入力!$M$5:$M$152,③スチコン工程入力!$S$5:$S$152,$J235,③スチコン工程入力!$J$5:$J$152,"&gt;0",③スチコン工程入力!$I$5:$I$152,"&gt;0")+SUMIFS(⑪ZEN工程入力!$M$6:$M$35,⑪ZEN工程入力!$S$6:$S$35,$J235,⑪ZEN工程入力!$J$6:$J$35,"&gt;0")-SUMIFS(⑪ZEN工程入力!$M$6:$M$35,⑪ZEN工程入力!$S$6:$S$35,$J235,⑪ZEN工程入力!$J$6:$J$35,"&gt;0",⑪ZEN工程入力!$I$6:$I$35,"&gt;0")+SUMIFS(⑫ミキサー工程入力!$M$6:$M$65,⑫ミキサー工程入力!$S$6:$S$65,$J235,⑫ミキサー工程入力!$J$6:$J$65,"&gt;0")-SUMIFS(⑫ミキサー工程入力!$M$6:$M$65,⑫ミキサー工程入力!$S$6:$S$65,$J235,⑫ミキサー工程入力!$J$6:$J$65,"&gt;0",⑫ミキサー工程入力!$I$6:$I$65,"&gt;0")+SUMIFS(⑬計量工程入力!$M$6:$M$65,⑬計量工程入力!$S$6:$S$65,$J235,⑬計量工程入力!$J$6:$J$65,"&gt;0")-SUMIFS(⑬計量工程入力!$M$6:$M$65,⑬計量工程入力!$S$6:$S$65,$J235,⑬計量工程入力!$J$6:$J$65,"&gt;0",⑬計量工程入力!$I$6:$I$65,"&gt;0")+SUMIFS(⑭手動工程入力!$M$6:$M$47,⑭手動工程入力!$S$6:$S$47,$J235,⑭手動工程入力!$J$6:$J$47,"&gt;0")-SUMIFS(⑭手動工程入力!$M$6:$M$47,⑭手動工程入力!$S$6:$S$47,$J235,⑭手動工程入力!$J$6:$J$47,"&gt;0",⑭手動工程入力!$I$6:$I$47,"&gt;0"))</f>
        <v/>
      </c>
      <c r="O235" s="393">
        <f>IF($J235="",0,SUMIFS(②釜工程入力!$J$5:$J$117,②釜工程入力!$S$5:$S$117,$J235,②釜工程入力!$J$5:$J$117,"&gt;0",②釜工程入力!$M$5:$M$117,"&gt;0")-SUMIFS(②釜工程入力!$J$5:$J$117,②釜工程入力!$S$5:$S$117,$J235,②釜工程入力!$J$5:$J$117,"&gt;0",②釜工程入力!$I$5:$I$117,"&gt;0",②釜工程入力!$M$5:$M$117,"&gt;0")+SUMIFS(③スチコン工程入力!$J$5:$J$152,③スチコン工程入力!$S$5:$S$152,$J235,③スチコン工程入力!$J$5:$J$152,"&gt;0",③スチコン工程入力!$M$5:$M$152,"&gt;0")-SUMIFS(③スチコン工程入力!$J$5:$J$152,③スチコン工程入力!$S$5:$S$152,$J235,③スチコン工程入力!$J$5:$J$152,"&gt;0",③スチコン工程入力!$I$5:$I$152,"&gt;0",③スチコン工程入力!$M$5:$M$152,"&gt;0")+SUMIFS(⑪ZEN工程入力!$J$6:$J$35,⑪ZEN工程入力!$S$6:$S$35,$J235,⑪ZEN工程入力!$J$6:$J$35,"&gt;0",⑪ZEN工程入力!$M$6:$M$35,"&gt;0")-SUMIFS(⑪ZEN工程入力!$J$6:$J$35,⑪ZEN工程入力!$S$6:$S$35,$J235,⑪ZEN工程入力!$J$6:$J$35,"&gt;0",⑪ZEN工程入力!$I$6:$I$35,"&gt;0",⑪ZEN工程入力!$M$6:$M$35,"&gt;0")+SUMIFS(⑫ミキサー工程入力!$J$6:$J$65,⑫ミキサー工程入力!$S$6:$S$65,$J235,⑫ミキサー工程入力!$J$6:$J$65,"&gt;0",⑫ミキサー工程入力!$M$6:$M$65,"&gt;0")-SUMIFS(⑫ミキサー工程入力!$J$6:$J$65,⑫ミキサー工程入力!$S$6:$S$65,$J235,⑫ミキサー工程入力!$J$6:$J$65,"&gt;0",⑫ミキサー工程入力!$I$6:$I$65,"&gt;0",⑫ミキサー工程入力!$M$6:$M$65,"&gt;0")+SUMIFS(⑬計量工程入力!$J$6:$J$65,⑬計量工程入力!$S$6:$S$65,$J235,⑬計量工程入力!$J$6:$J$65,"&gt;0",⑬計量工程入力!$M$6:$M$65,"&gt;0")-SUMIFS(⑬計量工程入力!$J$6:$J$65,⑬計量工程入力!$S$6:$S$65,$J235,⑬計量工程入力!$J$6:$J$65,"&gt;0",⑬計量工程入力!$I$6:$I$65,"&gt;0",⑬計量工程入力!$M$6:$M$65,"&gt;0")+SUMIFS(⑭手動工程入力!$J$6:$J$47,⑭手動工程入力!$S$6:$S$47,$J235,⑭手動工程入力!$J$6:$J$47,"&gt;0",⑭手動工程入力!$M$6:$M$47,"&gt;0")-SUMIFS(⑭手動工程入力!$J$6:$J$47,⑭手動工程入力!$S$6:$S$47,$J235,⑭手動工程入力!$J$6:$J$47,"&gt;0",⑭手動工程入力!$I$6:$I$47,"&gt;0",⑭手動工程入力!$M$6:$M$47,"&gt;0"))</f>
        <v/>
      </c>
      <c r="P235" s="392" t="n"/>
    </row>
    <row r="236">
      <c r="A236" s="392" t="n">
        <v>232</v>
      </c>
      <c r="B236" s="392" t="n"/>
      <c r="C236" s="392" t="n"/>
      <c r="D236" s="392" t="n"/>
      <c r="E236" s="392" t="n"/>
      <c r="F236" s="394" t="n"/>
      <c r="G236" s="392" t="n"/>
      <c r="H236" s="604">
        <f>IFERROR(IF(AND($K236&gt;0,ISNUMBER(IF(OR($D236="g",$D236="ｇ"),IF($M236&gt;0,$L236/$M236/1000,""),IF($D236="kg",IF($M236&gt;0,$L236/$M236,""),IF($D236="",IF($M236&gt;0,$L236/$M236/1000,IF($O236&gt;0,$N236/$O236,"")),IF($O236&gt;0,$N236/$O236,"")))))),IF(OR($D236="g",$D236="ｇ"),IF($M236&gt;0,$L236/$M236/1000,""),IF($D236="kg",IF($M236&gt;0,$L236/$M236,""),IF($D236="",IF($M236&gt;0,$L236/$M236/1000,IF($O236&gt;0,$N236/$O236,"")),IF($O236&gt;0,$N236/$O236,"")))),IF($F236="",IF(OR($E236="",$E236="⑩盛付梱包工程入力"),"",IF(OR($D236="g",$D236="ｇ"),INDEX(⑰工程労務費一覧!$N$5:$N$11,MATCH($E236,⑰工程労務費一覧!$K$5:$K$11,0))/1000,IF($D236="kg",INDEX(⑰工程労務費一覧!$N$5:$N$11,MATCH($E236,⑰工程労務費一覧!$K$5:$K$11,0)),IF(OR($D236="個",$D236="切",$D236="本",$D236="枚",$D236="尾"),IF($E236="⑬計量工程入力","",INDEX(⑰工程労務費一覧!$P$5:$P$11,MATCH($E236,⑰工程労務費一覧!$K$5:$K$11,0))),IF(AND($D236="",OR($E236="②釜工程入力",$E236="③スチコン工程入力")),INDEX(⑰工程労務費一覧!$N$5:$N$11,MATCH($E236,⑰工程労務費一覧!$K$5:$K$11,0))/1000,""))))),IF(OR($D236="g",$D236="ｇ"),INDEX(⑰工程労務費一覧!$H$5:$H$753,MATCH($F236,⑰工程労務費一覧!$D$5:$D$753,0))/1000,IF($D236="kg",INDEX(⑰工程労務費一覧!$H$5:$H$753,MATCH($F236,⑰工程労務費一覧!$D$5:$D$753,0)),INDEX(⑰工程労務費一覧!$I$5:$I$753,MATCH($F236,⑰工程労務費一覧!$D$5:$D$753,0)))))),"")</f>
        <v/>
      </c>
      <c r="I236" s="392">
        <f>IF($K236&gt;0,IF(ISNUMBER(IF(OR($D236="g",$D236="ｇ"),IF($M236&gt;0,$L236/$M236/1000,""),IF($D236="kg",IF($M236&gt;0,$L236/$M236,""),IF($D236="",IF($M236&gt;0,$L236/$M236/1000,IF($O236&gt;0,$N236/$O236,"")),IF($O236&gt;0,$N236/$O236,""))))),IF($D236="",IF($M236&gt;0,"◎ JAN紐づけ(g扱い)","◎ JAN紐づけ(個扱い)"),"◎ JAN紐づけ"),"△ JAN紐づけ済・実績不足→仮計算"),IF($F236="",IF(ISNUMBER($H236),IF($D236="","⑤ 工程平均で仮計算(g扱い)","⑤ 工程平均で仮計算"),IF($E236="⑩盛付梱包工程入力","⑥ 盛り込み(⑳F列で計上)",IF(AND($E236="⑬計量工程入力",OR($D236="個",$D236="切",$D236="本",$D236="枚",$D236="尾")),"① 未紐づけ(カット個単位は仮単価なし)","① 未紐づけ"))),IF(NOT(ISNUMBER($H236)),"② 工程側に単価なし",IF($D236="","③ 単位未設定(個で計算)","④ OK"))))</f>
        <v/>
      </c>
      <c r="J236" s="399">
        <f>IFERROR(LOOKUP(2,1/((中間品リスト!$F$2:$F$1299=$B236)*(中間品リスト!$E$2:$E$1299&lt;&gt;"-")*(中間品リスト!$E$2:$E$1299&lt;&gt;"")),中間品リスト!$E$2:$E$1299),"")</f>
        <v/>
      </c>
      <c r="K236" s="400">
        <f>IF($J236="",0,COUNTIF(②釜工程入力!$S$5:$S$117,$J236)+COUNTIF(③スチコン工程入力!$S$5:$S$152,$J236)+COUNTIF(⑪ZEN工程入力!$S$6:$S$35,$J236)+COUNTIF(⑫ミキサー工程入力!$S$6:$S$65,$J236)+COUNTIF(⑬計量工程入力!$S$6:$S$65,$J236)+COUNTIF(⑭手動工程入力!$S$6:$S$47,$J236))</f>
        <v/>
      </c>
      <c r="L236" s="393">
        <f>IF($J236="",0,SUMIFS(②釜工程入力!$M$5:$M$117,②釜工程入力!$S$5:$S$117,$J236,②釜工程入力!$I$5:$I$117,"&gt;0")+SUMIFS(③スチコン工程入力!$M$5:$M$152,③スチコン工程入力!$S$5:$S$152,$J236,③スチコン工程入力!$I$5:$I$152,"&gt;0")+SUMIFS(⑪ZEN工程入力!$M$6:$M$35,⑪ZEN工程入力!$S$6:$S$35,$J236,⑪ZEN工程入力!$I$6:$I$35,"&gt;0")+SUMIFS(⑫ミキサー工程入力!$M$6:$M$65,⑫ミキサー工程入力!$S$6:$S$65,$J236,⑫ミキサー工程入力!$I$6:$I$65,"&gt;0")+SUMIFS(⑬計量工程入力!$M$6:$M$65,⑬計量工程入力!$S$6:$S$65,$J236,⑬計量工程入力!$I$6:$I$65,"&gt;0")+SUMIFS(⑭手動工程入力!$M$6:$M$47,⑭手動工程入力!$S$6:$S$47,$J236,⑭手動工程入力!$I$6:$I$47,"&gt;0"))</f>
        <v/>
      </c>
      <c r="M236" s="393">
        <f>IF($J236="",0,SUMIFS(②釜工程入力!$I$5:$I$117,②釜工程入力!$S$5:$S$117,$J236,②釜工程入力!$I$5:$I$117,"&gt;0",②釜工程入力!$M$5:$M$117,"&gt;0")+SUMIFS(③スチコン工程入力!$I$5:$I$152,③スチコン工程入力!$S$5:$S$152,$J236,③スチコン工程入力!$I$5:$I$152,"&gt;0",③スチコン工程入力!$M$5:$M$152,"&gt;0")+SUMIFS(⑪ZEN工程入力!$I$6:$I$35,⑪ZEN工程入力!$S$6:$S$35,$J236,⑪ZEN工程入力!$I$6:$I$35,"&gt;0",⑪ZEN工程入力!$M$6:$M$35,"&gt;0")+SUMIFS(⑫ミキサー工程入力!$I$6:$I$65,⑫ミキサー工程入力!$S$6:$S$65,$J236,⑫ミキサー工程入力!$I$6:$I$65,"&gt;0",⑫ミキサー工程入力!$M$6:$M$65,"&gt;0")+SUMIFS(⑬計量工程入力!$I$6:$I$65,⑬計量工程入力!$S$6:$S$65,$J236,⑬計量工程入力!$I$6:$I$65,"&gt;0",⑬計量工程入力!$M$6:$M$65,"&gt;0")+SUMIFS(⑭手動工程入力!$I$6:$I$47,⑭手動工程入力!$S$6:$S$47,$J236,⑭手動工程入力!$I$6:$I$47,"&gt;0",⑭手動工程入力!$M$6:$M$47,"&gt;0"))</f>
        <v/>
      </c>
      <c r="N236" s="393">
        <f>IF($J236="",0,SUMIFS(②釜工程入力!$M$5:$M$117,②釜工程入力!$S$5:$S$117,$J236,②釜工程入力!$J$5:$J$117,"&gt;0")-SUMIFS(②釜工程入力!$M$5:$M$117,②釜工程入力!$S$5:$S$117,$J236,②釜工程入力!$J$5:$J$117,"&gt;0",②釜工程入力!$I$5:$I$117,"&gt;0")+SUMIFS(③スチコン工程入力!$M$5:$M$152,③スチコン工程入力!$S$5:$S$152,$J236,③スチコン工程入力!$J$5:$J$152,"&gt;0")-SUMIFS(③スチコン工程入力!$M$5:$M$152,③スチコン工程入力!$S$5:$S$152,$J236,③スチコン工程入力!$J$5:$J$152,"&gt;0",③スチコン工程入力!$I$5:$I$152,"&gt;0")+SUMIFS(⑪ZEN工程入力!$M$6:$M$35,⑪ZEN工程入力!$S$6:$S$35,$J236,⑪ZEN工程入力!$J$6:$J$35,"&gt;0")-SUMIFS(⑪ZEN工程入力!$M$6:$M$35,⑪ZEN工程入力!$S$6:$S$35,$J236,⑪ZEN工程入力!$J$6:$J$35,"&gt;0",⑪ZEN工程入力!$I$6:$I$35,"&gt;0")+SUMIFS(⑫ミキサー工程入力!$M$6:$M$65,⑫ミキサー工程入力!$S$6:$S$65,$J236,⑫ミキサー工程入力!$J$6:$J$65,"&gt;0")-SUMIFS(⑫ミキサー工程入力!$M$6:$M$65,⑫ミキサー工程入力!$S$6:$S$65,$J236,⑫ミキサー工程入力!$J$6:$J$65,"&gt;0",⑫ミキサー工程入力!$I$6:$I$65,"&gt;0")+SUMIFS(⑬計量工程入力!$M$6:$M$65,⑬計量工程入力!$S$6:$S$65,$J236,⑬計量工程入力!$J$6:$J$65,"&gt;0")-SUMIFS(⑬計量工程入力!$M$6:$M$65,⑬計量工程入力!$S$6:$S$65,$J236,⑬計量工程入力!$J$6:$J$65,"&gt;0",⑬計量工程入力!$I$6:$I$65,"&gt;0")+SUMIFS(⑭手動工程入力!$M$6:$M$47,⑭手動工程入力!$S$6:$S$47,$J236,⑭手動工程入力!$J$6:$J$47,"&gt;0")-SUMIFS(⑭手動工程入力!$M$6:$M$47,⑭手動工程入力!$S$6:$S$47,$J236,⑭手動工程入力!$J$6:$J$47,"&gt;0",⑭手動工程入力!$I$6:$I$47,"&gt;0"))</f>
        <v/>
      </c>
      <c r="O236" s="393">
        <f>IF($J236="",0,SUMIFS(②釜工程入力!$J$5:$J$117,②釜工程入力!$S$5:$S$117,$J236,②釜工程入力!$J$5:$J$117,"&gt;0",②釜工程入力!$M$5:$M$117,"&gt;0")-SUMIFS(②釜工程入力!$J$5:$J$117,②釜工程入力!$S$5:$S$117,$J236,②釜工程入力!$J$5:$J$117,"&gt;0",②釜工程入力!$I$5:$I$117,"&gt;0",②釜工程入力!$M$5:$M$117,"&gt;0")+SUMIFS(③スチコン工程入力!$J$5:$J$152,③スチコン工程入力!$S$5:$S$152,$J236,③スチコン工程入力!$J$5:$J$152,"&gt;0",③スチコン工程入力!$M$5:$M$152,"&gt;0")-SUMIFS(③スチコン工程入力!$J$5:$J$152,③スチコン工程入力!$S$5:$S$152,$J236,③スチコン工程入力!$J$5:$J$152,"&gt;0",③スチコン工程入力!$I$5:$I$152,"&gt;0",③スチコン工程入力!$M$5:$M$152,"&gt;0")+SUMIFS(⑪ZEN工程入力!$J$6:$J$35,⑪ZEN工程入力!$S$6:$S$35,$J236,⑪ZEN工程入力!$J$6:$J$35,"&gt;0",⑪ZEN工程入力!$M$6:$M$35,"&gt;0")-SUMIFS(⑪ZEN工程入力!$J$6:$J$35,⑪ZEN工程入力!$S$6:$S$35,$J236,⑪ZEN工程入力!$J$6:$J$35,"&gt;0",⑪ZEN工程入力!$I$6:$I$35,"&gt;0",⑪ZEN工程入力!$M$6:$M$35,"&gt;0")+SUMIFS(⑫ミキサー工程入力!$J$6:$J$65,⑫ミキサー工程入力!$S$6:$S$65,$J236,⑫ミキサー工程入力!$J$6:$J$65,"&gt;0",⑫ミキサー工程入力!$M$6:$M$65,"&gt;0")-SUMIFS(⑫ミキサー工程入力!$J$6:$J$65,⑫ミキサー工程入力!$S$6:$S$65,$J236,⑫ミキサー工程入力!$J$6:$J$65,"&gt;0",⑫ミキサー工程入力!$I$6:$I$65,"&gt;0",⑫ミキサー工程入力!$M$6:$M$65,"&gt;0")+SUMIFS(⑬計量工程入力!$J$6:$J$65,⑬計量工程入力!$S$6:$S$65,$J236,⑬計量工程入力!$J$6:$J$65,"&gt;0",⑬計量工程入力!$M$6:$M$65,"&gt;0")-SUMIFS(⑬計量工程入力!$J$6:$J$65,⑬計量工程入力!$S$6:$S$65,$J236,⑬計量工程入力!$J$6:$J$65,"&gt;0",⑬計量工程入力!$I$6:$I$65,"&gt;0",⑬計量工程入力!$M$6:$M$65,"&gt;0")+SUMIFS(⑭手動工程入力!$J$6:$J$47,⑭手動工程入力!$S$6:$S$47,$J236,⑭手動工程入力!$J$6:$J$47,"&gt;0",⑭手動工程入力!$M$6:$M$47,"&gt;0")-SUMIFS(⑭手動工程入力!$J$6:$J$47,⑭手動工程入力!$S$6:$S$47,$J236,⑭手動工程入力!$J$6:$J$47,"&gt;0",⑭手動工程入力!$I$6:$I$47,"&gt;0",⑭手動工程入力!$M$6:$M$47,"&gt;0"))</f>
        <v/>
      </c>
      <c r="P236" s="392" t="n"/>
    </row>
    <row r="237">
      <c r="A237" s="392" t="n">
        <v>233</v>
      </c>
      <c r="B237" s="392" t="n"/>
      <c r="C237" s="392" t="n"/>
      <c r="D237" s="409" t="n"/>
      <c r="E237" s="392" t="n"/>
      <c r="F237" s="394" t="n"/>
      <c r="G237" s="392" t="n"/>
      <c r="H237" s="604">
        <f>IFERROR(IF(AND($K237&gt;0,ISNUMBER(IF(OR($D237="g",$D237="ｇ"),IF($M237&gt;0,$L237/$M237/1000,""),IF($D237="kg",IF($M237&gt;0,$L237/$M237,""),IF($D237="",IF($M237&gt;0,$L237/$M237/1000,IF($O237&gt;0,$N237/$O237,"")),IF($O237&gt;0,$N237/$O237,"")))))),IF(OR($D237="g",$D237="ｇ"),IF($M237&gt;0,$L237/$M237/1000,""),IF($D237="kg",IF($M237&gt;0,$L237/$M237,""),IF($D237="",IF($M237&gt;0,$L237/$M237/1000,IF($O237&gt;0,$N237/$O237,"")),IF($O237&gt;0,$N237/$O237,"")))),IF($F237="",IF(OR($E237="",$E237="⑩盛付梱包工程入力"),"",IF(OR($D237="g",$D237="ｇ"),INDEX(⑰工程労務費一覧!$N$5:$N$11,MATCH($E237,⑰工程労務費一覧!$K$5:$K$11,0))/1000,IF($D237="kg",INDEX(⑰工程労務費一覧!$N$5:$N$11,MATCH($E237,⑰工程労務費一覧!$K$5:$K$11,0)),IF(OR($D237="個",$D237="切",$D237="本",$D237="枚",$D237="尾"),IF($E237="⑬計量工程入力","",INDEX(⑰工程労務費一覧!$P$5:$P$11,MATCH($E237,⑰工程労務費一覧!$K$5:$K$11,0))),IF(AND($D237="",OR($E237="②釜工程入力",$E237="③スチコン工程入力")),INDEX(⑰工程労務費一覧!$N$5:$N$11,MATCH($E237,⑰工程労務費一覧!$K$5:$K$11,0))/1000,""))))),IF(OR($D237="g",$D237="ｇ"),INDEX(⑰工程労務費一覧!$H$5:$H$753,MATCH($F237,⑰工程労務費一覧!$D$5:$D$753,0))/1000,IF($D237="kg",INDEX(⑰工程労務費一覧!$H$5:$H$753,MATCH($F237,⑰工程労務費一覧!$D$5:$D$753,0)),INDEX(⑰工程労務費一覧!$I$5:$I$753,MATCH($F237,⑰工程労務費一覧!$D$5:$D$753,0)))))),"")</f>
        <v/>
      </c>
      <c r="I237" s="392">
        <f>IF($K237&gt;0,IF(ISNUMBER(IF(OR($D237="g",$D237="ｇ"),IF($M237&gt;0,$L237/$M237/1000,""),IF($D237="kg",IF($M237&gt;0,$L237/$M237,""),IF($D237="",IF($M237&gt;0,$L237/$M237/1000,IF($O237&gt;0,$N237/$O237,"")),IF($O237&gt;0,$N237/$O237,""))))),IF($D237="",IF($M237&gt;0,"◎ JAN紐づけ(g扱い)","◎ JAN紐づけ(個扱い)"),"◎ JAN紐づけ"),"△ JAN紐づけ済・実績不足→仮計算"),IF($F237="",IF(ISNUMBER($H237),IF($D237="","⑤ 工程平均で仮計算(g扱い)","⑤ 工程平均で仮計算"),IF($E237="⑩盛付梱包工程入力","⑥ 盛り込み(⑳F列で計上)",IF(AND($E237="⑬計量工程入力",OR($D237="個",$D237="切",$D237="本",$D237="枚",$D237="尾")),"① 未紐づけ(カット個単位は仮単価なし)","① 未紐づけ"))),IF(NOT(ISNUMBER($H237)),"② 工程側に単価なし",IF($D237="","③ 単位未設定(個で計算)","④ OK"))))</f>
        <v/>
      </c>
      <c r="J237" s="399">
        <f>IFERROR(LOOKUP(2,1/((中間品リスト!$F$2:$F$1299=$B237)*(中間品リスト!$E$2:$E$1299&lt;&gt;"-")*(中間品リスト!$E$2:$E$1299&lt;&gt;"")),中間品リスト!$E$2:$E$1299),"")</f>
        <v/>
      </c>
      <c r="K237" s="400">
        <f>IF($J237="",0,COUNTIF(②釜工程入力!$S$5:$S$117,$J237)+COUNTIF(③スチコン工程入力!$S$5:$S$152,$J237)+COUNTIF(⑪ZEN工程入力!$S$6:$S$35,$J237)+COUNTIF(⑫ミキサー工程入力!$S$6:$S$65,$J237)+COUNTIF(⑬計量工程入力!$S$6:$S$65,$J237)+COUNTIF(⑭手動工程入力!$S$6:$S$47,$J237))</f>
        <v/>
      </c>
      <c r="L237" s="393">
        <f>IF($J237="",0,SUMIFS(②釜工程入力!$M$5:$M$117,②釜工程入力!$S$5:$S$117,$J237,②釜工程入力!$I$5:$I$117,"&gt;0")+SUMIFS(③スチコン工程入力!$M$5:$M$152,③スチコン工程入力!$S$5:$S$152,$J237,③スチコン工程入力!$I$5:$I$152,"&gt;0")+SUMIFS(⑪ZEN工程入力!$M$6:$M$35,⑪ZEN工程入力!$S$6:$S$35,$J237,⑪ZEN工程入力!$I$6:$I$35,"&gt;0")+SUMIFS(⑫ミキサー工程入力!$M$6:$M$65,⑫ミキサー工程入力!$S$6:$S$65,$J237,⑫ミキサー工程入力!$I$6:$I$65,"&gt;0")+SUMIFS(⑬計量工程入力!$M$6:$M$65,⑬計量工程入力!$S$6:$S$65,$J237,⑬計量工程入力!$I$6:$I$65,"&gt;0")+SUMIFS(⑭手動工程入力!$M$6:$M$47,⑭手動工程入力!$S$6:$S$47,$J237,⑭手動工程入力!$I$6:$I$47,"&gt;0"))</f>
        <v/>
      </c>
      <c r="M237" s="393">
        <f>IF($J237="",0,SUMIFS(②釜工程入力!$I$5:$I$117,②釜工程入力!$S$5:$S$117,$J237,②釜工程入力!$I$5:$I$117,"&gt;0",②釜工程入力!$M$5:$M$117,"&gt;0")+SUMIFS(③スチコン工程入力!$I$5:$I$152,③スチコン工程入力!$S$5:$S$152,$J237,③スチコン工程入力!$I$5:$I$152,"&gt;0",③スチコン工程入力!$M$5:$M$152,"&gt;0")+SUMIFS(⑪ZEN工程入力!$I$6:$I$35,⑪ZEN工程入力!$S$6:$S$35,$J237,⑪ZEN工程入力!$I$6:$I$35,"&gt;0",⑪ZEN工程入力!$M$6:$M$35,"&gt;0")+SUMIFS(⑫ミキサー工程入力!$I$6:$I$65,⑫ミキサー工程入力!$S$6:$S$65,$J237,⑫ミキサー工程入力!$I$6:$I$65,"&gt;0",⑫ミキサー工程入力!$M$6:$M$65,"&gt;0")+SUMIFS(⑬計量工程入力!$I$6:$I$65,⑬計量工程入力!$S$6:$S$65,$J237,⑬計量工程入力!$I$6:$I$65,"&gt;0",⑬計量工程入力!$M$6:$M$65,"&gt;0")+SUMIFS(⑭手動工程入力!$I$6:$I$47,⑭手動工程入力!$S$6:$S$47,$J237,⑭手動工程入力!$I$6:$I$47,"&gt;0",⑭手動工程入力!$M$6:$M$47,"&gt;0"))</f>
        <v/>
      </c>
      <c r="N237" s="393">
        <f>IF($J237="",0,SUMIFS(②釜工程入力!$M$5:$M$117,②釜工程入力!$S$5:$S$117,$J237,②釜工程入力!$J$5:$J$117,"&gt;0")-SUMIFS(②釜工程入力!$M$5:$M$117,②釜工程入力!$S$5:$S$117,$J237,②釜工程入力!$J$5:$J$117,"&gt;0",②釜工程入力!$I$5:$I$117,"&gt;0")+SUMIFS(③スチコン工程入力!$M$5:$M$152,③スチコン工程入力!$S$5:$S$152,$J237,③スチコン工程入力!$J$5:$J$152,"&gt;0")-SUMIFS(③スチコン工程入力!$M$5:$M$152,③スチコン工程入力!$S$5:$S$152,$J237,③スチコン工程入力!$J$5:$J$152,"&gt;0",③スチコン工程入力!$I$5:$I$152,"&gt;0")+SUMIFS(⑪ZEN工程入力!$M$6:$M$35,⑪ZEN工程入力!$S$6:$S$35,$J237,⑪ZEN工程入力!$J$6:$J$35,"&gt;0")-SUMIFS(⑪ZEN工程入力!$M$6:$M$35,⑪ZEN工程入力!$S$6:$S$35,$J237,⑪ZEN工程入力!$J$6:$J$35,"&gt;0",⑪ZEN工程入力!$I$6:$I$35,"&gt;0")+SUMIFS(⑫ミキサー工程入力!$M$6:$M$65,⑫ミキサー工程入力!$S$6:$S$65,$J237,⑫ミキサー工程入力!$J$6:$J$65,"&gt;0")-SUMIFS(⑫ミキサー工程入力!$M$6:$M$65,⑫ミキサー工程入力!$S$6:$S$65,$J237,⑫ミキサー工程入力!$J$6:$J$65,"&gt;0",⑫ミキサー工程入力!$I$6:$I$65,"&gt;0")+SUMIFS(⑬計量工程入力!$M$6:$M$65,⑬計量工程入力!$S$6:$S$65,$J237,⑬計量工程入力!$J$6:$J$65,"&gt;0")-SUMIFS(⑬計量工程入力!$M$6:$M$65,⑬計量工程入力!$S$6:$S$65,$J237,⑬計量工程入力!$J$6:$J$65,"&gt;0",⑬計量工程入力!$I$6:$I$65,"&gt;0")+SUMIFS(⑭手動工程入力!$M$6:$M$47,⑭手動工程入力!$S$6:$S$47,$J237,⑭手動工程入力!$J$6:$J$47,"&gt;0")-SUMIFS(⑭手動工程入力!$M$6:$M$47,⑭手動工程入力!$S$6:$S$47,$J237,⑭手動工程入力!$J$6:$J$47,"&gt;0",⑭手動工程入力!$I$6:$I$47,"&gt;0"))</f>
        <v/>
      </c>
      <c r="O237" s="393">
        <f>IF($J237="",0,SUMIFS(②釜工程入力!$J$5:$J$117,②釜工程入力!$S$5:$S$117,$J237,②釜工程入力!$J$5:$J$117,"&gt;0",②釜工程入力!$M$5:$M$117,"&gt;0")-SUMIFS(②釜工程入力!$J$5:$J$117,②釜工程入力!$S$5:$S$117,$J237,②釜工程入力!$J$5:$J$117,"&gt;0",②釜工程入力!$I$5:$I$117,"&gt;0",②釜工程入力!$M$5:$M$117,"&gt;0")+SUMIFS(③スチコン工程入力!$J$5:$J$152,③スチコン工程入力!$S$5:$S$152,$J237,③スチコン工程入力!$J$5:$J$152,"&gt;0",③スチコン工程入力!$M$5:$M$152,"&gt;0")-SUMIFS(③スチコン工程入力!$J$5:$J$152,③スチコン工程入力!$S$5:$S$152,$J237,③スチコン工程入力!$J$5:$J$152,"&gt;0",③スチコン工程入力!$I$5:$I$152,"&gt;0",③スチコン工程入力!$M$5:$M$152,"&gt;0")+SUMIFS(⑪ZEN工程入力!$J$6:$J$35,⑪ZEN工程入力!$S$6:$S$35,$J237,⑪ZEN工程入力!$J$6:$J$35,"&gt;0",⑪ZEN工程入力!$M$6:$M$35,"&gt;0")-SUMIFS(⑪ZEN工程入力!$J$6:$J$35,⑪ZEN工程入力!$S$6:$S$35,$J237,⑪ZEN工程入力!$J$6:$J$35,"&gt;0",⑪ZEN工程入力!$I$6:$I$35,"&gt;0",⑪ZEN工程入力!$M$6:$M$35,"&gt;0")+SUMIFS(⑫ミキサー工程入力!$J$6:$J$65,⑫ミキサー工程入力!$S$6:$S$65,$J237,⑫ミキサー工程入力!$J$6:$J$65,"&gt;0",⑫ミキサー工程入力!$M$6:$M$65,"&gt;0")-SUMIFS(⑫ミキサー工程入力!$J$6:$J$65,⑫ミキサー工程入力!$S$6:$S$65,$J237,⑫ミキサー工程入力!$J$6:$J$65,"&gt;0",⑫ミキサー工程入力!$I$6:$I$65,"&gt;0",⑫ミキサー工程入力!$M$6:$M$65,"&gt;0")+SUMIFS(⑬計量工程入力!$J$6:$J$65,⑬計量工程入力!$S$6:$S$65,$J237,⑬計量工程入力!$J$6:$J$65,"&gt;0",⑬計量工程入力!$M$6:$M$65,"&gt;0")-SUMIFS(⑬計量工程入力!$J$6:$J$65,⑬計量工程入力!$S$6:$S$65,$J237,⑬計量工程入力!$J$6:$J$65,"&gt;0",⑬計量工程入力!$I$6:$I$65,"&gt;0",⑬計量工程入力!$M$6:$M$65,"&gt;0")+SUMIFS(⑭手動工程入力!$J$6:$J$47,⑭手動工程入力!$S$6:$S$47,$J237,⑭手動工程入力!$J$6:$J$47,"&gt;0",⑭手動工程入力!$M$6:$M$47,"&gt;0")-SUMIFS(⑭手動工程入力!$J$6:$J$47,⑭手動工程入力!$S$6:$S$47,$J237,⑭手動工程入力!$J$6:$J$47,"&gt;0",⑭手動工程入力!$I$6:$I$47,"&gt;0",⑭手動工程入力!$M$6:$M$47,"&gt;0"))</f>
        <v/>
      </c>
      <c r="P237" s="392" t="inlineStr">
        <is>
          <t>中間品リスト</t>
        </is>
      </c>
    </row>
    <row r="238">
      <c r="A238" s="392" t="n">
        <v>234</v>
      </c>
      <c r="B238" s="392" t="n"/>
      <c r="C238" s="392" t="n"/>
      <c r="D238" s="392" t="n"/>
      <c r="E238" s="392" t="n"/>
      <c r="F238" s="394" t="n"/>
      <c r="G238" s="392" t="n"/>
      <c r="H238" s="604">
        <f>IFERROR(IF(AND($K238&gt;0,ISNUMBER(IF(OR($D238="g",$D238="ｇ"),IF($M238&gt;0,$L238/$M238/1000,""),IF($D238="kg",IF($M238&gt;0,$L238/$M238,""),IF($D238="",IF($M238&gt;0,$L238/$M238/1000,IF($O238&gt;0,$N238/$O238,"")),IF($O238&gt;0,$N238/$O238,"")))))),IF(OR($D238="g",$D238="ｇ"),IF($M238&gt;0,$L238/$M238/1000,""),IF($D238="kg",IF($M238&gt;0,$L238/$M238,""),IF($D238="",IF($M238&gt;0,$L238/$M238/1000,IF($O238&gt;0,$N238/$O238,"")),IF($O238&gt;0,$N238/$O238,"")))),IF($F238="",IF(OR($E238="",$E238="⑩盛付梱包工程入力"),"",IF(OR($D238="g",$D238="ｇ"),INDEX(⑰工程労務費一覧!$N$5:$N$11,MATCH($E238,⑰工程労務費一覧!$K$5:$K$11,0))/1000,IF($D238="kg",INDEX(⑰工程労務費一覧!$N$5:$N$11,MATCH($E238,⑰工程労務費一覧!$K$5:$K$11,0)),IF(OR($D238="個",$D238="切",$D238="本",$D238="枚",$D238="尾"),IF($E238="⑬計量工程入力","",INDEX(⑰工程労務費一覧!$P$5:$P$11,MATCH($E238,⑰工程労務費一覧!$K$5:$K$11,0))),IF(AND($D238="",OR($E238="②釜工程入力",$E238="③スチコン工程入力")),INDEX(⑰工程労務費一覧!$N$5:$N$11,MATCH($E238,⑰工程労務費一覧!$K$5:$K$11,0))/1000,""))))),IF(OR($D238="g",$D238="ｇ"),INDEX(⑰工程労務費一覧!$H$5:$H$753,MATCH($F238,⑰工程労務費一覧!$D$5:$D$753,0))/1000,IF($D238="kg",INDEX(⑰工程労務費一覧!$H$5:$H$753,MATCH($F238,⑰工程労務費一覧!$D$5:$D$753,0)),INDEX(⑰工程労務費一覧!$I$5:$I$753,MATCH($F238,⑰工程労務費一覧!$D$5:$D$753,0)))))),"")</f>
        <v/>
      </c>
      <c r="I238" s="392">
        <f>IF($K238&gt;0,IF(ISNUMBER(IF(OR($D238="g",$D238="ｇ"),IF($M238&gt;0,$L238/$M238/1000,""),IF($D238="kg",IF($M238&gt;0,$L238/$M238,""),IF($D238="",IF($M238&gt;0,$L238/$M238/1000,IF($O238&gt;0,$N238/$O238,"")),IF($O238&gt;0,$N238/$O238,""))))),IF($D238="",IF($M238&gt;0,"◎ JAN紐づけ(g扱い)","◎ JAN紐づけ(個扱い)"),"◎ JAN紐づけ"),"△ JAN紐づけ済・実績不足→仮計算"),IF($F238="",IF(ISNUMBER($H238),IF($D238="","⑤ 工程平均で仮計算(g扱い)","⑤ 工程平均で仮計算"),IF($E238="⑩盛付梱包工程入力","⑥ 盛り込み(⑳F列で計上)",IF(AND($E238="⑬計量工程入力",OR($D238="個",$D238="切",$D238="本",$D238="枚",$D238="尾")),"① 未紐づけ(カット個単位は仮単価なし)","① 未紐づけ"))),IF(NOT(ISNUMBER($H238)),"② 工程側に単価なし",IF($D238="","③ 単位未設定(個で計算)","④ OK"))))</f>
        <v/>
      </c>
      <c r="J238" s="399">
        <f>IFERROR(LOOKUP(2,1/((中間品リスト!$F$2:$F$1299=$B238)*(中間品リスト!$E$2:$E$1299&lt;&gt;"-")*(中間品リスト!$E$2:$E$1299&lt;&gt;"")),中間品リスト!$E$2:$E$1299),"")</f>
        <v/>
      </c>
      <c r="K238" s="400">
        <f>IF($J238="",0,COUNTIF(②釜工程入力!$S$5:$S$117,$J238)+COUNTIF(③スチコン工程入力!$S$5:$S$152,$J238)+COUNTIF(⑪ZEN工程入力!$S$6:$S$35,$J238)+COUNTIF(⑫ミキサー工程入力!$S$6:$S$65,$J238)+COUNTIF(⑬計量工程入力!$S$6:$S$65,$J238)+COUNTIF(⑭手動工程入力!$S$6:$S$47,$J238))</f>
        <v/>
      </c>
      <c r="L238" s="393">
        <f>IF($J238="",0,SUMIFS(②釜工程入力!$M$5:$M$117,②釜工程入力!$S$5:$S$117,$J238,②釜工程入力!$I$5:$I$117,"&gt;0")+SUMIFS(③スチコン工程入力!$M$5:$M$152,③スチコン工程入力!$S$5:$S$152,$J238,③スチコン工程入力!$I$5:$I$152,"&gt;0")+SUMIFS(⑪ZEN工程入力!$M$6:$M$35,⑪ZEN工程入力!$S$6:$S$35,$J238,⑪ZEN工程入力!$I$6:$I$35,"&gt;0")+SUMIFS(⑫ミキサー工程入力!$M$6:$M$65,⑫ミキサー工程入力!$S$6:$S$65,$J238,⑫ミキサー工程入力!$I$6:$I$65,"&gt;0")+SUMIFS(⑬計量工程入力!$M$6:$M$65,⑬計量工程入力!$S$6:$S$65,$J238,⑬計量工程入力!$I$6:$I$65,"&gt;0")+SUMIFS(⑭手動工程入力!$M$6:$M$47,⑭手動工程入力!$S$6:$S$47,$J238,⑭手動工程入力!$I$6:$I$47,"&gt;0"))</f>
        <v/>
      </c>
      <c r="M238" s="393">
        <f>IF($J238="",0,SUMIFS(②釜工程入力!$I$5:$I$117,②釜工程入力!$S$5:$S$117,$J238,②釜工程入力!$I$5:$I$117,"&gt;0",②釜工程入力!$M$5:$M$117,"&gt;0")+SUMIFS(③スチコン工程入力!$I$5:$I$152,③スチコン工程入力!$S$5:$S$152,$J238,③スチコン工程入力!$I$5:$I$152,"&gt;0",③スチコン工程入力!$M$5:$M$152,"&gt;0")+SUMIFS(⑪ZEN工程入力!$I$6:$I$35,⑪ZEN工程入力!$S$6:$S$35,$J238,⑪ZEN工程入力!$I$6:$I$35,"&gt;0",⑪ZEN工程入力!$M$6:$M$35,"&gt;0")+SUMIFS(⑫ミキサー工程入力!$I$6:$I$65,⑫ミキサー工程入力!$S$6:$S$65,$J238,⑫ミキサー工程入力!$I$6:$I$65,"&gt;0",⑫ミキサー工程入力!$M$6:$M$65,"&gt;0")+SUMIFS(⑬計量工程入力!$I$6:$I$65,⑬計量工程入力!$S$6:$S$65,$J238,⑬計量工程入力!$I$6:$I$65,"&gt;0",⑬計量工程入力!$M$6:$M$65,"&gt;0")+SUMIFS(⑭手動工程入力!$I$6:$I$47,⑭手動工程入力!$S$6:$S$47,$J238,⑭手動工程入力!$I$6:$I$47,"&gt;0",⑭手動工程入力!$M$6:$M$47,"&gt;0"))</f>
        <v/>
      </c>
      <c r="N238" s="393">
        <f>IF($J238="",0,SUMIFS(②釜工程入力!$M$5:$M$117,②釜工程入力!$S$5:$S$117,$J238,②釜工程入力!$J$5:$J$117,"&gt;0")-SUMIFS(②釜工程入力!$M$5:$M$117,②釜工程入力!$S$5:$S$117,$J238,②釜工程入力!$J$5:$J$117,"&gt;0",②釜工程入力!$I$5:$I$117,"&gt;0")+SUMIFS(③スチコン工程入力!$M$5:$M$152,③スチコン工程入力!$S$5:$S$152,$J238,③スチコン工程入力!$J$5:$J$152,"&gt;0")-SUMIFS(③スチコン工程入力!$M$5:$M$152,③スチコン工程入力!$S$5:$S$152,$J238,③スチコン工程入力!$J$5:$J$152,"&gt;0",③スチコン工程入力!$I$5:$I$152,"&gt;0")+SUMIFS(⑪ZEN工程入力!$M$6:$M$35,⑪ZEN工程入力!$S$6:$S$35,$J238,⑪ZEN工程入力!$J$6:$J$35,"&gt;0")-SUMIFS(⑪ZEN工程入力!$M$6:$M$35,⑪ZEN工程入力!$S$6:$S$35,$J238,⑪ZEN工程入力!$J$6:$J$35,"&gt;0",⑪ZEN工程入力!$I$6:$I$35,"&gt;0")+SUMIFS(⑫ミキサー工程入力!$M$6:$M$65,⑫ミキサー工程入力!$S$6:$S$65,$J238,⑫ミキサー工程入力!$J$6:$J$65,"&gt;0")-SUMIFS(⑫ミキサー工程入力!$M$6:$M$65,⑫ミキサー工程入力!$S$6:$S$65,$J238,⑫ミキサー工程入力!$J$6:$J$65,"&gt;0",⑫ミキサー工程入力!$I$6:$I$65,"&gt;0")+SUMIFS(⑬計量工程入力!$M$6:$M$65,⑬計量工程入力!$S$6:$S$65,$J238,⑬計量工程入力!$J$6:$J$65,"&gt;0")-SUMIFS(⑬計量工程入力!$M$6:$M$65,⑬計量工程入力!$S$6:$S$65,$J238,⑬計量工程入力!$J$6:$J$65,"&gt;0",⑬計量工程入力!$I$6:$I$65,"&gt;0")+SUMIFS(⑭手動工程入力!$M$6:$M$47,⑭手動工程入力!$S$6:$S$47,$J238,⑭手動工程入力!$J$6:$J$47,"&gt;0")-SUMIFS(⑭手動工程入力!$M$6:$M$47,⑭手動工程入力!$S$6:$S$47,$J238,⑭手動工程入力!$J$6:$J$47,"&gt;0",⑭手動工程入力!$I$6:$I$47,"&gt;0"))</f>
        <v/>
      </c>
      <c r="O238" s="393">
        <f>IF($J238="",0,SUMIFS(②釜工程入力!$J$5:$J$117,②釜工程入力!$S$5:$S$117,$J238,②釜工程入力!$J$5:$J$117,"&gt;0",②釜工程入力!$M$5:$M$117,"&gt;0")-SUMIFS(②釜工程入力!$J$5:$J$117,②釜工程入力!$S$5:$S$117,$J238,②釜工程入力!$J$5:$J$117,"&gt;0",②釜工程入力!$I$5:$I$117,"&gt;0",②釜工程入力!$M$5:$M$117,"&gt;0")+SUMIFS(③スチコン工程入力!$J$5:$J$152,③スチコン工程入力!$S$5:$S$152,$J238,③スチコン工程入力!$J$5:$J$152,"&gt;0",③スチコン工程入力!$M$5:$M$152,"&gt;0")-SUMIFS(③スチコン工程入力!$J$5:$J$152,③スチコン工程入力!$S$5:$S$152,$J238,③スチコン工程入力!$J$5:$J$152,"&gt;0",③スチコン工程入力!$I$5:$I$152,"&gt;0",③スチコン工程入力!$M$5:$M$152,"&gt;0")+SUMIFS(⑪ZEN工程入力!$J$6:$J$35,⑪ZEN工程入力!$S$6:$S$35,$J238,⑪ZEN工程入力!$J$6:$J$35,"&gt;0",⑪ZEN工程入力!$M$6:$M$35,"&gt;0")-SUMIFS(⑪ZEN工程入力!$J$6:$J$35,⑪ZEN工程入力!$S$6:$S$35,$J238,⑪ZEN工程入力!$J$6:$J$35,"&gt;0",⑪ZEN工程入力!$I$6:$I$35,"&gt;0",⑪ZEN工程入力!$M$6:$M$35,"&gt;0")+SUMIFS(⑫ミキサー工程入力!$J$6:$J$65,⑫ミキサー工程入力!$S$6:$S$65,$J238,⑫ミキサー工程入力!$J$6:$J$65,"&gt;0",⑫ミキサー工程入力!$M$6:$M$65,"&gt;0")-SUMIFS(⑫ミキサー工程入力!$J$6:$J$65,⑫ミキサー工程入力!$S$6:$S$65,$J238,⑫ミキサー工程入力!$J$6:$J$65,"&gt;0",⑫ミキサー工程入力!$I$6:$I$65,"&gt;0",⑫ミキサー工程入力!$M$6:$M$65,"&gt;0")+SUMIFS(⑬計量工程入力!$J$6:$J$65,⑬計量工程入力!$S$6:$S$65,$J238,⑬計量工程入力!$J$6:$J$65,"&gt;0",⑬計量工程入力!$M$6:$M$65,"&gt;0")-SUMIFS(⑬計量工程入力!$J$6:$J$65,⑬計量工程入力!$S$6:$S$65,$J238,⑬計量工程入力!$J$6:$J$65,"&gt;0",⑬計量工程入力!$I$6:$I$65,"&gt;0",⑬計量工程入力!$M$6:$M$65,"&gt;0")+SUMIFS(⑭手動工程入力!$J$6:$J$47,⑭手動工程入力!$S$6:$S$47,$J238,⑭手動工程入力!$J$6:$J$47,"&gt;0",⑭手動工程入力!$M$6:$M$47,"&gt;0")-SUMIFS(⑭手動工程入力!$J$6:$J$47,⑭手動工程入力!$S$6:$S$47,$J238,⑭手動工程入力!$J$6:$J$47,"&gt;0",⑭手動工程入力!$I$6:$I$47,"&gt;0",⑭手動工程入力!$M$6:$M$47,"&gt;0"))</f>
        <v/>
      </c>
      <c r="P238" s="392" t="n"/>
    </row>
    <row r="239">
      <c r="A239" s="392" t="n">
        <v>235</v>
      </c>
      <c r="B239" s="392" t="n"/>
      <c r="C239" s="392" t="n"/>
      <c r="D239" s="392" t="n"/>
      <c r="E239" s="392" t="n"/>
      <c r="F239" s="394" t="n"/>
      <c r="G239" s="392" t="n"/>
      <c r="H239" s="604">
        <f>IFERROR(IF(AND($K239&gt;0,ISNUMBER(IF(OR($D239="g",$D239="ｇ"),IF($M239&gt;0,$L239/$M239/1000,""),IF($D239="kg",IF($M239&gt;0,$L239/$M239,""),IF($D239="",IF($M239&gt;0,$L239/$M239/1000,IF($O239&gt;0,$N239/$O239,"")),IF($O239&gt;0,$N239/$O239,"")))))),IF(OR($D239="g",$D239="ｇ"),IF($M239&gt;0,$L239/$M239/1000,""),IF($D239="kg",IF($M239&gt;0,$L239/$M239,""),IF($D239="",IF($M239&gt;0,$L239/$M239/1000,IF($O239&gt;0,$N239/$O239,"")),IF($O239&gt;0,$N239/$O239,"")))),IF($F239="",IF(OR($E239="",$E239="⑩盛付梱包工程入力"),"",IF(OR($D239="g",$D239="ｇ"),INDEX(⑰工程労務費一覧!$N$5:$N$11,MATCH($E239,⑰工程労務費一覧!$K$5:$K$11,0))/1000,IF($D239="kg",INDEX(⑰工程労務費一覧!$N$5:$N$11,MATCH($E239,⑰工程労務費一覧!$K$5:$K$11,0)),IF(OR($D239="個",$D239="切",$D239="本",$D239="枚",$D239="尾"),IF($E239="⑬計量工程入力","",INDEX(⑰工程労務費一覧!$P$5:$P$11,MATCH($E239,⑰工程労務費一覧!$K$5:$K$11,0))),IF(AND($D239="",OR($E239="②釜工程入力",$E239="③スチコン工程入力")),INDEX(⑰工程労務費一覧!$N$5:$N$11,MATCH($E239,⑰工程労務費一覧!$K$5:$K$11,0))/1000,""))))),IF(OR($D239="g",$D239="ｇ"),INDEX(⑰工程労務費一覧!$H$5:$H$753,MATCH($F239,⑰工程労務費一覧!$D$5:$D$753,0))/1000,IF($D239="kg",INDEX(⑰工程労務費一覧!$H$5:$H$753,MATCH($F239,⑰工程労務費一覧!$D$5:$D$753,0)),INDEX(⑰工程労務費一覧!$I$5:$I$753,MATCH($F239,⑰工程労務費一覧!$D$5:$D$753,0)))))),"")</f>
        <v/>
      </c>
      <c r="I239" s="392">
        <f>IF($K239&gt;0,IF(ISNUMBER(IF(OR($D239="g",$D239="ｇ"),IF($M239&gt;0,$L239/$M239/1000,""),IF($D239="kg",IF($M239&gt;0,$L239/$M239,""),IF($D239="",IF($M239&gt;0,$L239/$M239/1000,IF($O239&gt;0,$N239/$O239,"")),IF($O239&gt;0,$N239/$O239,""))))),IF($D239="",IF($M239&gt;0,"◎ JAN紐づけ(g扱い)","◎ JAN紐づけ(個扱い)"),"◎ JAN紐づけ"),"△ JAN紐づけ済・実績不足→仮計算"),IF($F239="",IF(ISNUMBER($H239),IF($D239="","⑤ 工程平均で仮計算(g扱い)","⑤ 工程平均で仮計算"),IF($E239="⑩盛付梱包工程入力","⑥ 盛り込み(⑳F列で計上)",IF(AND($E239="⑬計量工程入力",OR($D239="個",$D239="切",$D239="本",$D239="枚",$D239="尾")),"① 未紐づけ(カット個単位は仮単価なし)","① 未紐づけ"))),IF(NOT(ISNUMBER($H239)),"② 工程側に単価なし",IF($D239="","③ 単位未設定(個で計算)","④ OK"))))</f>
        <v/>
      </c>
      <c r="J239" s="399">
        <f>IFERROR(LOOKUP(2,1/((中間品リスト!$F$2:$F$1299=$B239)*(中間品リスト!$E$2:$E$1299&lt;&gt;"-")*(中間品リスト!$E$2:$E$1299&lt;&gt;"")),中間品リスト!$E$2:$E$1299),"")</f>
        <v/>
      </c>
      <c r="K239" s="400">
        <f>IF($J239="",0,COUNTIF(②釜工程入力!$S$5:$S$117,$J239)+COUNTIF(③スチコン工程入力!$S$5:$S$152,$J239)+COUNTIF(⑪ZEN工程入力!$S$6:$S$35,$J239)+COUNTIF(⑫ミキサー工程入力!$S$6:$S$65,$J239)+COUNTIF(⑬計量工程入力!$S$6:$S$65,$J239)+COUNTIF(⑭手動工程入力!$S$6:$S$47,$J239))</f>
        <v/>
      </c>
      <c r="L239" s="393">
        <f>IF($J239="",0,SUMIFS(②釜工程入力!$M$5:$M$117,②釜工程入力!$S$5:$S$117,$J239,②釜工程入力!$I$5:$I$117,"&gt;0")+SUMIFS(③スチコン工程入力!$M$5:$M$152,③スチコン工程入力!$S$5:$S$152,$J239,③スチコン工程入力!$I$5:$I$152,"&gt;0")+SUMIFS(⑪ZEN工程入力!$M$6:$M$35,⑪ZEN工程入力!$S$6:$S$35,$J239,⑪ZEN工程入力!$I$6:$I$35,"&gt;0")+SUMIFS(⑫ミキサー工程入力!$M$6:$M$65,⑫ミキサー工程入力!$S$6:$S$65,$J239,⑫ミキサー工程入力!$I$6:$I$65,"&gt;0")+SUMIFS(⑬計量工程入力!$M$6:$M$65,⑬計量工程入力!$S$6:$S$65,$J239,⑬計量工程入力!$I$6:$I$65,"&gt;0")+SUMIFS(⑭手動工程入力!$M$6:$M$47,⑭手動工程入力!$S$6:$S$47,$J239,⑭手動工程入力!$I$6:$I$47,"&gt;0"))</f>
        <v/>
      </c>
      <c r="M239" s="393">
        <f>IF($J239="",0,SUMIFS(②釜工程入力!$I$5:$I$117,②釜工程入力!$S$5:$S$117,$J239,②釜工程入力!$I$5:$I$117,"&gt;0",②釜工程入力!$M$5:$M$117,"&gt;0")+SUMIFS(③スチコン工程入力!$I$5:$I$152,③スチコン工程入力!$S$5:$S$152,$J239,③スチコン工程入力!$I$5:$I$152,"&gt;0",③スチコン工程入力!$M$5:$M$152,"&gt;0")+SUMIFS(⑪ZEN工程入力!$I$6:$I$35,⑪ZEN工程入力!$S$6:$S$35,$J239,⑪ZEN工程入力!$I$6:$I$35,"&gt;0",⑪ZEN工程入力!$M$6:$M$35,"&gt;0")+SUMIFS(⑫ミキサー工程入力!$I$6:$I$65,⑫ミキサー工程入力!$S$6:$S$65,$J239,⑫ミキサー工程入力!$I$6:$I$65,"&gt;0",⑫ミキサー工程入力!$M$6:$M$65,"&gt;0")+SUMIFS(⑬計量工程入力!$I$6:$I$65,⑬計量工程入力!$S$6:$S$65,$J239,⑬計量工程入力!$I$6:$I$65,"&gt;0",⑬計量工程入力!$M$6:$M$65,"&gt;0")+SUMIFS(⑭手動工程入力!$I$6:$I$47,⑭手動工程入力!$S$6:$S$47,$J239,⑭手動工程入力!$I$6:$I$47,"&gt;0",⑭手動工程入力!$M$6:$M$47,"&gt;0"))</f>
        <v/>
      </c>
      <c r="N239" s="393">
        <f>IF($J239="",0,SUMIFS(②釜工程入力!$M$5:$M$117,②釜工程入力!$S$5:$S$117,$J239,②釜工程入力!$J$5:$J$117,"&gt;0")-SUMIFS(②釜工程入力!$M$5:$M$117,②釜工程入力!$S$5:$S$117,$J239,②釜工程入力!$J$5:$J$117,"&gt;0",②釜工程入力!$I$5:$I$117,"&gt;0")+SUMIFS(③スチコン工程入力!$M$5:$M$152,③スチコン工程入力!$S$5:$S$152,$J239,③スチコン工程入力!$J$5:$J$152,"&gt;0")-SUMIFS(③スチコン工程入力!$M$5:$M$152,③スチコン工程入力!$S$5:$S$152,$J239,③スチコン工程入力!$J$5:$J$152,"&gt;0",③スチコン工程入力!$I$5:$I$152,"&gt;0")+SUMIFS(⑪ZEN工程入力!$M$6:$M$35,⑪ZEN工程入力!$S$6:$S$35,$J239,⑪ZEN工程入力!$J$6:$J$35,"&gt;0")-SUMIFS(⑪ZEN工程入力!$M$6:$M$35,⑪ZEN工程入力!$S$6:$S$35,$J239,⑪ZEN工程入力!$J$6:$J$35,"&gt;0",⑪ZEN工程入力!$I$6:$I$35,"&gt;0")+SUMIFS(⑫ミキサー工程入力!$M$6:$M$65,⑫ミキサー工程入力!$S$6:$S$65,$J239,⑫ミキサー工程入力!$J$6:$J$65,"&gt;0")-SUMIFS(⑫ミキサー工程入力!$M$6:$M$65,⑫ミキサー工程入力!$S$6:$S$65,$J239,⑫ミキサー工程入力!$J$6:$J$65,"&gt;0",⑫ミキサー工程入力!$I$6:$I$65,"&gt;0")+SUMIFS(⑬計量工程入力!$M$6:$M$65,⑬計量工程入力!$S$6:$S$65,$J239,⑬計量工程入力!$J$6:$J$65,"&gt;0")-SUMIFS(⑬計量工程入力!$M$6:$M$65,⑬計量工程入力!$S$6:$S$65,$J239,⑬計量工程入力!$J$6:$J$65,"&gt;0",⑬計量工程入力!$I$6:$I$65,"&gt;0")+SUMIFS(⑭手動工程入力!$M$6:$M$47,⑭手動工程入力!$S$6:$S$47,$J239,⑭手動工程入力!$J$6:$J$47,"&gt;0")-SUMIFS(⑭手動工程入力!$M$6:$M$47,⑭手動工程入力!$S$6:$S$47,$J239,⑭手動工程入力!$J$6:$J$47,"&gt;0",⑭手動工程入力!$I$6:$I$47,"&gt;0"))</f>
        <v/>
      </c>
      <c r="O239" s="393">
        <f>IF($J239="",0,SUMIFS(②釜工程入力!$J$5:$J$117,②釜工程入力!$S$5:$S$117,$J239,②釜工程入力!$J$5:$J$117,"&gt;0",②釜工程入力!$M$5:$M$117,"&gt;0")-SUMIFS(②釜工程入力!$J$5:$J$117,②釜工程入力!$S$5:$S$117,$J239,②釜工程入力!$J$5:$J$117,"&gt;0",②釜工程入力!$I$5:$I$117,"&gt;0",②釜工程入力!$M$5:$M$117,"&gt;0")+SUMIFS(③スチコン工程入力!$J$5:$J$152,③スチコン工程入力!$S$5:$S$152,$J239,③スチコン工程入力!$J$5:$J$152,"&gt;0",③スチコン工程入力!$M$5:$M$152,"&gt;0")-SUMIFS(③スチコン工程入力!$J$5:$J$152,③スチコン工程入力!$S$5:$S$152,$J239,③スチコン工程入力!$J$5:$J$152,"&gt;0",③スチコン工程入力!$I$5:$I$152,"&gt;0",③スチコン工程入力!$M$5:$M$152,"&gt;0")+SUMIFS(⑪ZEN工程入力!$J$6:$J$35,⑪ZEN工程入力!$S$6:$S$35,$J239,⑪ZEN工程入力!$J$6:$J$35,"&gt;0",⑪ZEN工程入力!$M$6:$M$35,"&gt;0")-SUMIFS(⑪ZEN工程入力!$J$6:$J$35,⑪ZEN工程入力!$S$6:$S$35,$J239,⑪ZEN工程入力!$J$6:$J$35,"&gt;0",⑪ZEN工程入力!$I$6:$I$35,"&gt;0",⑪ZEN工程入力!$M$6:$M$35,"&gt;0")+SUMIFS(⑫ミキサー工程入力!$J$6:$J$65,⑫ミキサー工程入力!$S$6:$S$65,$J239,⑫ミキサー工程入力!$J$6:$J$65,"&gt;0",⑫ミキサー工程入力!$M$6:$M$65,"&gt;0")-SUMIFS(⑫ミキサー工程入力!$J$6:$J$65,⑫ミキサー工程入力!$S$6:$S$65,$J239,⑫ミキサー工程入力!$J$6:$J$65,"&gt;0",⑫ミキサー工程入力!$I$6:$I$65,"&gt;0",⑫ミキサー工程入力!$M$6:$M$65,"&gt;0")+SUMIFS(⑬計量工程入力!$J$6:$J$65,⑬計量工程入力!$S$6:$S$65,$J239,⑬計量工程入力!$J$6:$J$65,"&gt;0",⑬計量工程入力!$M$6:$M$65,"&gt;0")-SUMIFS(⑬計量工程入力!$J$6:$J$65,⑬計量工程入力!$S$6:$S$65,$J239,⑬計量工程入力!$J$6:$J$65,"&gt;0",⑬計量工程入力!$I$6:$I$65,"&gt;0",⑬計量工程入力!$M$6:$M$65,"&gt;0")+SUMIFS(⑭手動工程入力!$J$6:$J$47,⑭手動工程入力!$S$6:$S$47,$J239,⑭手動工程入力!$J$6:$J$47,"&gt;0",⑭手動工程入力!$M$6:$M$47,"&gt;0")-SUMIFS(⑭手動工程入力!$J$6:$J$47,⑭手動工程入力!$S$6:$S$47,$J239,⑭手動工程入力!$J$6:$J$47,"&gt;0",⑭手動工程入力!$I$6:$I$47,"&gt;0",⑭手動工程入力!$M$6:$M$47,"&gt;0"))</f>
        <v/>
      </c>
      <c r="P239" s="392" t="n"/>
    </row>
    <row r="240">
      <c r="A240" s="392" t="n">
        <v>236</v>
      </c>
      <c r="B240" s="392" t="n"/>
      <c r="C240" s="392" t="n"/>
      <c r="D240" s="392" t="n"/>
      <c r="E240" s="392" t="n"/>
      <c r="F240" s="394" t="n"/>
      <c r="G240" s="392" t="n"/>
      <c r="H240" s="604">
        <f>IFERROR(IF(AND($K240&gt;0,ISNUMBER(IF(OR($D240="g",$D240="ｇ"),IF($M240&gt;0,$L240/$M240/1000,""),IF($D240="kg",IF($M240&gt;0,$L240/$M240,""),IF($D240="",IF($M240&gt;0,$L240/$M240/1000,IF($O240&gt;0,$N240/$O240,"")),IF($O240&gt;0,$N240/$O240,"")))))),IF(OR($D240="g",$D240="ｇ"),IF($M240&gt;0,$L240/$M240/1000,""),IF($D240="kg",IF($M240&gt;0,$L240/$M240,""),IF($D240="",IF($M240&gt;0,$L240/$M240/1000,IF($O240&gt;0,$N240/$O240,"")),IF($O240&gt;0,$N240/$O240,"")))),IF($F240="",IF(OR($E240="",$E240="⑩盛付梱包工程入力"),"",IF(OR($D240="g",$D240="ｇ"),INDEX(⑰工程労務費一覧!$N$5:$N$11,MATCH($E240,⑰工程労務費一覧!$K$5:$K$11,0))/1000,IF($D240="kg",INDEX(⑰工程労務費一覧!$N$5:$N$11,MATCH($E240,⑰工程労務費一覧!$K$5:$K$11,0)),IF(OR($D240="個",$D240="切",$D240="本",$D240="枚",$D240="尾"),IF($E240="⑬計量工程入力","",INDEX(⑰工程労務費一覧!$P$5:$P$11,MATCH($E240,⑰工程労務費一覧!$K$5:$K$11,0))),IF(AND($D240="",OR($E240="②釜工程入力",$E240="③スチコン工程入力")),INDEX(⑰工程労務費一覧!$N$5:$N$11,MATCH($E240,⑰工程労務費一覧!$K$5:$K$11,0))/1000,""))))),IF(OR($D240="g",$D240="ｇ"),INDEX(⑰工程労務費一覧!$H$5:$H$753,MATCH($F240,⑰工程労務費一覧!$D$5:$D$753,0))/1000,IF($D240="kg",INDEX(⑰工程労務費一覧!$H$5:$H$753,MATCH($F240,⑰工程労務費一覧!$D$5:$D$753,0)),INDEX(⑰工程労務費一覧!$I$5:$I$753,MATCH($F240,⑰工程労務費一覧!$D$5:$D$753,0)))))),"")</f>
        <v/>
      </c>
      <c r="I240" s="392">
        <f>IF($K240&gt;0,IF(ISNUMBER(IF(OR($D240="g",$D240="ｇ"),IF($M240&gt;0,$L240/$M240/1000,""),IF($D240="kg",IF($M240&gt;0,$L240/$M240,""),IF($D240="",IF($M240&gt;0,$L240/$M240/1000,IF($O240&gt;0,$N240/$O240,"")),IF($O240&gt;0,$N240/$O240,""))))),IF($D240="",IF($M240&gt;0,"◎ JAN紐づけ(g扱い)","◎ JAN紐づけ(個扱い)"),"◎ JAN紐づけ"),"△ JAN紐づけ済・実績不足→仮計算"),IF($F240="",IF(ISNUMBER($H240),IF($D240="","⑤ 工程平均で仮計算(g扱い)","⑤ 工程平均で仮計算"),IF($E240="⑩盛付梱包工程入力","⑥ 盛り込み(⑳F列で計上)",IF(AND($E240="⑬計量工程入力",OR($D240="個",$D240="切",$D240="本",$D240="枚",$D240="尾")),"① 未紐づけ(カット個単位は仮単価なし)","① 未紐づけ"))),IF(NOT(ISNUMBER($H240)),"② 工程側に単価なし",IF($D240="","③ 単位未設定(個で計算)","④ OK"))))</f>
        <v/>
      </c>
      <c r="J240" s="399">
        <f>IFERROR(LOOKUP(2,1/((中間品リスト!$F$2:$F$1299=$B240)*(中間品リスト!$E$2:$E$1299&lt;&gt;"-")*(中間品リスト!$E$2:$E$1299&lt;&gt;"")),中間品リスト!$E$2:$E$1299),"")</f>
        <v/>
      </c>
      <c r="K240" s="400">
        <f>IF($J240="",0,COUNTIF(②釜工程入力!$S$5:$S$117,$J240)+COUNTIF(③スチコン工程入力!$S$5:$S$152,$J240)+COUNTIF(⑪ZEN工程入力!$S$6:$S$35,$J240)+COUNTIF(⑫ミキサー工程入力!$S$6:$S$65,$J240)+COUNTIF(⑬計量工程入力!$S$6:$S$65,$J240)+COUNTIF(⑭手動工程入力!$S$6:$S$47,$J240))</f>
        <v/>
      </c>
      <c r="L240" s="393">
        <f>IF($J240="",0,SUMIFS(②釜工程入力!$M$5:$M$117,②釜工程入力!$S$5:$S$117,$J240,②釜工程入力!$I$5:$I$117,"&gt;0")+SUMIFS(③スチコン工程入力!$M$5:$M$152,③スチコン工程入力!$S$5:$S$152,$J240,③スチコン工程入力!$I$5:$I$152,"&gt;0")+SUMIFS(⑪ZEN工程入力!$M$6:$M$35,⑪ZEN工程入力!$S$6:$S$35,$J240,⑪ZEN工程入力!$I$6:$I$35,"&gt;0")+SUMIFS(⑫ミキサー工程入力!$M$6:$M$65,⑫ミキサー工程入力!$S$6:$S$65,$J240,⑫ミキサー工程入力!$I$6:$I$65,"&gt;0")+SUMIFS(⑬計量工程入力!$M$6:$M$65,⑬計量工程入力!$S$6:$S$65,$J240,⑬計量工程入力!$I$6:$I$65,"&gt;0")+SUMIFS(⑭手動工程入力!$M$6:$M$47,⑭手動工程入力!$S$6:$S$47,$J240,⑭手動工程入力!$I$6:$I$47,"&gt;0"))</f>
        <v/>
      </c>
      <c r="M240" s="393">
        <f>IF($J240="",0,SUMIFS(②釜工程入力!$I$5:$I$117,②釜工程入力!$S$5:$S$117,$J240,②釜工程入力!$I$5:$I$117,"&gt;0",②釜工程入力!$M$5:$M$117,"&gt;0")+SUMIFS(③スチコン工程入力!$I$5:$I$152,③スチコン工程入力!$S$5:$S$152,$J240,③スチコン工程入力!$I$5:$I$152,"&gt;0",③スチコン工程入力!$M$5:$M$152,"&gt;0")+SUMIFS(⑪ZEN工程入力!$I$6:$I$35,⑪ZEN工程入力!$S$6:$S$35,$J240,⑪ZEN工程入力!$I$6:$I$35,"&gt;0",⑪ZEN工程入力!$M$6:$M$35,"&gt;0")+SUMIFS(⑫ミキサー工程入力!$I$6:$I$65,⑫ミキサー工程入力!$S$6:$S$65,$J240,⑫ミキサー工程入力!$I$6:$I$65,"&gt;0",⑫ミキサー工程入力!$M$6:$M$65,"&gt;0")+SUMIFS(⑬計量工程入力!$I$6:$I$65,⑬計量工程入力!$S$6:$S$65,$J240,⑬計量工程入力!$I$6:$I$65,"&gt;0",⑬計量工程入力!$M$6:$M$65,"&gt;0")+SUMIFS(⑭手動工程入力!$I$6:$I$47,⑭手動工程入力!$S$6:$S$47,$J240,⑭手動工程入力!$I$6:$I$47,"&gt;0",⑭手動工程入力!$M$6:$M$47,"&gt;0"))</f>
        <v/>
      </c>
      <c r="N240" s="393">
        <f>IF($J240="",0,SUMIFS(②釜工程入力!$M$5:$M$117,②釜工程入力!$S$5:$S$117,$J240,②釜工程入力!$J$5:$J$117,"&gt;0")-SUMIFS(②釜工程入力!$M$5:$M$117,②釜工程入力!$S$5:$S$117,$J240,②釜工程入力!$J$5:$J$117,"&gt;0",②釜工程入力!$I$5:$I$117,"&gt;0")+SUMIFS(③スチコン工程入力!$M$5:$M$152,③スチコン工程入力!$S$5:$S$152,$J240,③スチコン工程入力!$J$5:$J$152,"&gt;0")-SUMIFS(③スチコン工程入力!$M$5:$M$152,③スチコン工程入力!$S$5:$S$152,$J240,③スチコン工程入力!$J$5:$J$152,"&gt;0",③スチコン工程入力!$I$5:$I$152,"&gt;0")+SUMIFS(⑪ZEN工程入力!$M$6:$M$35,⑪ZEN工程入力!$S$6:$S$35,$J240,⑪ZEN工程入力!$J$6:$J$35,"&gt;0")-SUMIFS(⑪ZEN工程入力!$M$6:$M$35,⑪ZEN工程入力!$S$6:$S$35,$J240,⑪ZEN工程入力!$J$6:$J$35,"&gt;0",⑪ZEN工程入力!$I$6:$I$35,"&gt;0")+SUMIFS(⑫ミキサー工程入力!$M$6:$M$65,⑫ミキサー工程入力!$S$6:$S$65,$J240,⑫ミキサー工程入力!$J$6:$J$65,"&gt;0")-SUMIFS(⑫ミキサー工程入力!$M$6:$M$65,⑫ミキサー工程入力!$S$6:$S$65,$J240,⑫ミキサー工程入力!$J$6:$J$65,"&gt;0",⑫ミキサー工程入力!$I$6:$I$65,"&gt;0")+SUMIFS(⑬計量工程入力!$M$6:$M$65,⑬計量工程入力!$S$6:$S$65,$J240,⑬計量工程入力!$J$6:$J$65,"&gt;0")-SUMIFS(⑬計量工程入力!$M$6:$M$65,⑬計量工程入力!$S$6:$S$65,$J240,⑬計量工程入力!$J$6:$J$65,"&gt;0",⑬計量工程入力!$I$6:$I$65,"&gt;0")+SUMIFS(⑭手動工程入力!$M$6:$M$47,⑭手動工程入力!$S$6:$S$47,$J240,⑭手動工程入力!$J$6:$J$47,"&gt;0")-SUMIFS(⑭手動工程入力!$M$6:$M$47,⑭手動工程入力!$S$6:$S$47,$J240,⑭手動工程入力!$J$6:$J$47,"&gt;0",⑭手動工程入力!$I$6:$I$47,"&gt;0"))</f>
        <v/>
      </c>
      <c r="O240" s="393">
        <f>IF($J240="",0,SUMIFS(②釜工程入力!$J$5:$J$117,②釜工程入力!$S$5:$S$117,$J240,②釜工程入力!$J$5:$J$117,"&gt;0",②釜工程入力!$M$5:$M$117,"&gt;0")-SUMIFS(②釜工程入力!$J$5:$J$117,②釜工程入力!$S$5:$S$117,$J240,②釜工程入力!$J$5:$J$117,"&gt;0",②釜工程入力!$I$5:$I$117,"&gt;0",②釜工程入力!$M$5:$M$117,"&gt;0")+SUMIFS(③スチコン工程入力!$J$5:$J$152,③スチコン工程入力!$S$5:$S$152,$J240,③スチコン工程入力!$J$5:$J$152,"&gt;0",③スチコン工程入力!$M$5:$M$152,"&gt;0")-SUMIFS(③スチコン工程入力!$J$5:$J$152,③スチコン工程入力!$S$5:$S$152,$J240,③スチコン工程入力!$J$5:$J$152,"&gt;0",③スチコン工程入力!$I$5:$I$152,"&gt;0",③スチコン工程入力!$M$5:$M$152,"&gt;0")+SUMIFS(⑪ZEN工程入力!$J$6:$J$35,⑪ZEN工程入力!$S$6:$S$35,$J240,⑪ZEN工程入力!$J$6:$J$35,"&gt;0",⑪ZEN工程入力!$M$6:$M$35,"&gt;0")-SUMIFS(⑪ZEN工程入力!$J$6:$J$35,⑪ZEN工程入力!$S$6:$S$35,$J240,⑪ZEN工程入力!$J$6:$J$35,"&gt;0",⑪ZEN工程入力!$I$6:$I$35,"&gt;0",⑪ZEN工程入力!$M$6:$M$35,"&gt;0")+SUMIFS(⑫ミキサー工程入力!$J$6:$J$65,⑫ミキサー工程入力!$S$6:$S$65,$J240,⑫ミキサー工程入力!$J$6:$J$65,"&gt;0",⑫ミキサー工程入力!$M$6:$M$65,"&gt;0")-SUMIFS(⑫ミキサー工程入力!$J$6:$J$65,⑫ミキサー工程入力!$S$6:$S$65,$J240,⑫ミキサー工程入力!$J$6:$J$65,"&gt;0",⑫ミキサー工程入力!$I$6:$I$65,"&gt;0",⑫ミキサー工程入力!$M$6:$M$65,"&gt;0")+SUMIFS(⑬計量工程入力!$J$6:$J$65,⑬計量工程入力!$S$6:$S$65,$J240,⑬計量工程入力!$J$6:$J$65,"&gt;0",⑬計量工程入力!$M$6:$M$65,"&gt;0")-SUMIFS(⑬計量工程入力!$J$6:$J$65,⑬計量工程入力!$S$6:$S$65,$J240,⑬計量工程入力!$J$6:$J$65,"&gt;0",⑬計量工程入力!$I$6:$I$65,"&gt;0",⑬計量工程入力!$M$6:$M$65,"&gt;0")+SUMIFS(⑭手動工程入力!$J$6:$J$47,⑭手動工程入力!$S$6:$S$47,$J240,⑭手動工程入力!$J$6:$J$47,"&gt;0",⑭手動工程入力!$M$6:$M$47,"&gt;0")-SUMIFS(⑭手動工程入力!$J$6:$J$47,⑭手動工程入力!$S$6:$S$47,$J240,⑭手動工程入力!$J$6:$J$47,"&gt;0",⑭手動工程入力!$I$6:$I$47,"&gt;0",⑭手動工程入力!$M$6:$M$47,"&gt;0"))</f>
        <v/>
      </c>
      <c r="P240" s="392" t="n"/>
    </row>
    <row r="241">
      <c r="A241" s="392" t="n">
        <v>237</v>
      </c>
      <c r="B241" s="392" t="n"/>
      <c r="C241" s="392" t="n"/>
      <c r="D241" s="392" t="n"/>
      <c r="E241" s="392" t="n"/>
      <c r="F241" s="394" t="n"/>
      <c r="G241" s="392" t="n"/>
      <c r="H241" s="604">
        <f>IFERROR(IF(AND($K241&gt;0,ISNUMBER(IF(OR($D241="g",$D241="ｇ"),IF($M241&gt;0,$L241/$M241/1000,""),IF($D241="kg",IF($M241&gt;0,$L241/$M241,""),IF($D241="",IF($M241&gt;0,$L241/$M241/1000,IF($O241&gt;0,$N241/$O241,"")),IF($O241&gt;0,$N241/$O241,"")))))),IF(OR($D241="g",$D241="ｇ"),IF($M241&gt;0,$L241/$M241/1000,""),IF($D241="kg",IF($M241&gt;0,$L241/$M241,""),IF($D241="",IF($M241&gt;0,$L241/$M241/1000,IF($O241&gt;0,$N241/$O241,"")),IF($O241&gt;0,$N241/$O241,"")))),IF($F241="",IF(OR($E241="",$E241="⑩盛付梱包工程入力"),"",IF(OR($D241="g",$D241="ｇ"),INDEX(⑰工程労務費一覧!$N$5:$N$11,MATCH($E241,⑰工程労務費一覧!$K$5:$K$11,0))/1000,IF($D241="kg",INDEX(⑰工程労務費一覧!$N$5:$N$11,MATCH($E241,⑰工程労務費一覧!$K$5:$K$11,0)),IF(OR($D241="個",$D241="切",$D241="本",$D241="枚",$D241="尾"),IF($E241="⑬計量工程入力","",INDEX(⑰工程労務費一覧!$P$5:$P$11,MATCH($E241,⑰工程労務費一覧!$K$5:$K$11,0))),IF(AND($D241="",OR($E241="②釜工程入力",$E241="③スチコン工程入力")),INDEX(⑰工程労務費一覧!$N$5:$N$11,MATCH($E241,⑰工程労務費一覧!$K$5:$K$11,0))/1000,""))))),IF(OR($D241="g",$D241="ｇ"),INDEX(⑰工程労務費一覧!$H$5:$H$753,MATCH($F241,⑰工程労務費一覧!$D$5:$D$753,0))/1000,IF($D241="kg",INDEX(⑰工程労務費一覧!$H$5:$H$753,MATCH($F241,⑰工程労務費一覧!$D$5:$D$753,0)),INDEX(⑰工程労務費一覧!$I$5:$I$753,MATCH($F241,⑰工程労務費一覧!$D$5:$D$753,0)))))),"")</f>
        <v/>
      </c>
      <c r="I241" s="392">
        <f>IF($K241&gt;0,IF(ISNUMBER(IF(OR($D241="g",$D241="ｇ"),IF($M241&gt;0,$L241/$M241/1000,""),IF($D241="kg",IF($M241&gt;0,$L241/$M241,""),IF($D241="",IF($M241&gt;0,$L241/$M241/1000,IF($O241&gt;0,$N241/$O241,"")),IF($O241&gt;0,$N241/$O241,""))))),IF($D241="",IF($M241&gt;0,"◎ JAN紐づけ(g扱い)","◎ JAN紐づけ(個扱い)"),"◎ JAN紐づけ"),"△ JAN紐づけ済・実績不足→仮計算"),IF($F241="",IF(ISNUMBER($H241),IF($D241="","⑤ 工程平均で仮計算(g扱い)","⑤ 工程平均で仮計算"),IF($E241="⑩盛付梱包工程入力","⑥ 盛り込み(⑳F列で計上)",IF(AND($E241="⑬計量工程入力",OR($D241="個",$D241="切",$D241="本",$D241="枚",$D241="尾")),"① 未紐づけ(カット個単位は仮単価なし)","① 未紐づけ"))),IF(NOT(ISNUMBER($H241)),"② 工程側に単価なし",IF($D241="","③ 単位未設定(個で計算)","④ OK"))))</f>
        <v/>
      </c>
      <c r="J241" s="399">
        <f>IFERROR(LOOKUP(2,1/((中間品リスト!$F$2:$F$1299=$B241)*(中間品リスト!$E$2:$E$1299&lt;&gt;"-")*(中間品リスト!$E$2:$E$1299&lt;&gt;"")),中間品リスト!$E$2:$E$1299),"")</f>
        <v/>
      </c>
      <c r="K241" s="400">
        <f>IF($J241="",0,COUNTIF(②釜工程入力!$S$5:$S$117,$J241)+COUNTIF(③スチコン工程入力!$S$5:$S$152,$J241)+COUNTIF(⑪ZEN工程入力!$S$6:$S$35,$J241)+COUNTIF(⑫ミキサー工程入力!$S$6:$S$65,$J241)+COUNTIF(⑬計量工程入力!$S$6:$S$65,$J241)+COUNTIF(⑭手動工程入力!$S$6:$S$47,$J241))</f>
        <v/>
      </c>
      <c r="L241" s="393">
        <f>IF($J241="",0,SUMIFS(②釜工程入力!$M$5:$M$117,②釜工程入力!$S$5:$S$117,$J241,②釜工程入力!$I$5:$I$117,"&gt;0")+SUMIFS(③スチコン工程入力!$M$5:$M$152,③スチコン工程入力!$S$5:$S$152,$J241,③スチコン工程入力!$I$5:$I$152,"&gt;0")+SUMIFS(⑪ZEN工程入力!$M$6:$M$35,⑪ZEN工程入力!$S$6:$S$35,$J241,⑪ZEN工程入力!$I$6:$I$35,"&gt;0")+SUMIFS(⑫ミキサー工程入力!$M$6:$M$65,⑫ミキサー工程入力!$S$6:$S$65,$J241,⑫ミキサー工程入力!$I$6:$I$65,"&gt;0")+SUMIFS(⑬計量工程入力!$M$6:$M$65,⑬計量工程入力!$S$6:$S$65,$J241,⑬計量工程入力!$I$6:$I$65,"&gt;0")+SUMIFS(⑭手動工程入力!$M$6:$M$47,⑭手動工程入力!$S$6:$S$47,$J241,⑭手動工程入力!$I$6:$I$47,"&gt;0"))</f>
        <v/>
      </c>
      <c r="M241" s="393">
        <f>IF($J241="",0,SUMIFS(②釜工程入力!$I$5:$I$117,②釜工程入力!$S$5:$S$117,$J241,②釜工程入力!$I$5:$I$117,"&gt;0",②釜工程入力!$M$5:$M$117,"&gt;0")+SUMIFS(③スチコン工程入力!$I$5:$I$152,③スチコン工程入力!$S$5:$S$152,$J241,③スチコン工程入力!$I$5:$I$152,"&gt;0",③スチコン工程入力!$M$5:$M$152,"&gt;0")+SUMIFS(⑪ZEN工程入力!$I$6:$I$35,⑪ZEN工程入力!$S$6:$S$35,$J241,⑪ZEN工程入力!$I$6:$I$35,"&gt;0",⑪ZEN工程入力!$M$6:$M$35,"&gt;0")+SUMIFS(⑫ミキサー工程入力!$I$6:$I$65,⑫ミキサー工程入力!$S$6:$S$65,$J241,⑫ミキサー工程入力!$I$6:$I$65,"&gt;0",⑫ミキサー工程入力!$M$6:$M$65,"&gt;0")+SUMIFS(⑬計量工程入力!$I$6:$I$65,⑬計量工程入力!$S$6:$S$65,$J241,⑬計量工程入力!$I$6:$I$65,"&gt;0",⑬計量工程入力!$M$6:$M$65,"&gt;0")+SUMIFS(⑭手動工程入力!$I$6:$I$47,⑭手動工程入力!$S$6:$S$47,$J241,⑭手動工程入力!$I$6:$I$47,"&gt;0",⑭手動工程入力!$M$6:$M$47,"&gt;0"))</f>
        <v/>
      </c>
      <c r="N241" s="393">
        <f>IF($J241="",0,SUMIFS(②釜工程入力!$M$5:$M$117,②釜工程入力!$S$5:$S$117,$J241,②釜工程入力!$J$5:$J$117,"&gt;0")-SUMIFS(②釜工程入力!$M$5:$M$117,②釜工程入力!$S$5:$S$117,$J241,②釜工程入力!$J$5:$J$117,"&gt;0",②釜工程入力!$I$5:$I$117,"&gt;0")+SUMIFS(③スチコン工程入力!$M$5:$M$152,③スチコン工程入力!$S$5:$S$152,$J241,③スチコン工程入力!$J$5:$J$152,"&gt;0")-SUMIFS(③スチコン工程入力!$M$5:$M$152,③スチコン工程入力!$S$5:$S$152,$J241,③スチコン工程入力!$J$5:$J$152,"&gt;0",③スチコン工程入力!$I$5:$I$152,"&gt;0")+SUMIFS(⑪ZEN工程入力!$M$6:$M$35,⑪ZEN工程入力!$S$6:$S$35,$J241,⑪ZEN工程入力!$J$6:$J$35,"&gt;0")-SUMIFS(⑪ZEN工程入力!$M$6:$M$35,⑪ZEN工程入力!$S$6:$S$35,$J241,⑪ZEN工程入力!$J$6:$J$35,"&gt;0",⑪ZEN工程入力!$I$6:$I$35,"&gt;0")+SUMIFS(⑫ミキサー工程入力!$M$6:$M$65,⑫ミキサー工程入力!$S$6:$S$65,$J241,⑫ミキサー工程入力!$J$6:$J$65,"&gt;0")-SUMIFS(⑫ミキサー工程入力!$M$6:$M$65,⑫ミキサー工程入力!$S$6:$S$65,$J241,⑫ミキサー工程入力!$J$6:$J$65,"&gt;0",⑫ミキサー工程入力!$I$6:$I$65,"&gt;0")+SUMIFS(⑬計量工程入力!$M$6:$M$65,⑬計量工程入力!$S$6:$S$65,$J241,⑬計量工程入力!$J$6:$J$65,"&gt;0")-SUMIFS(⑬計量工程入力!$M$6:$M$65,⑬計量工程入力!$S$6:$S$65,$J241,⑬計量工程入力!$J$6:$J$65,"&gt;0",⑬計量工程入力!$I$6:$I$65,"&gt;0")+SUMIFS(⑭手動工程入力!$M$6:$M$47,⑭手動工程入力!$S$6:$S$47,$J241,⑭手動工程入力!$J$6:$J$47,"&gt;0")-SUMIFS(⑭手動工程入力!$M$6:$M$47,⑭手動工程入力!$S$6:$S$47,$J241,⑭手動工程入力!$J$6:$J$47,"&gt;0",⑭手動工程入力!$I$6:$I$47,"&gt;0"))</f>
        <v/>
      </c>
      <c r="O241" s="393">
        <f>IF($J241="",0,SUMIFS(②釜工程入力!$J$5:$J$117,②釜工程入力!$S$5:$S$117,$J241,②釜工程入力!$J$5:$J$117,"&gt;0",②釜工程入力!$M$5:$M$117,"&gt;0")-SUMIFS(②釜工程入力!$J$5:$J$117,②釜工程入力!$S$5:$S$117,$J241,②釜工程入力!$J$5:$J$117,"&gt;0",②釜工程入力!$I$5:$I$117,"&gt;0",②釜工程入力!$M$5:$M$117,"&gt;0")+SUMIFS(③スチコン工程入力!$J$5:$J$152,③スチコン工程入力!$S$5:$S$152,$J241,③スチコン工程入力!$J$5:$J$152,"&gt;0",③スチコン工程入力!$M$5:$M$152,"&gt;0")-SUMIFS(③スチコン工程入力!$J$5:$J$152,③スチコン工程入力!$S$5:$S$152,$J241,③スチコン工程入力!$J$5:$J$152,"&gt;0",③スチコン工程入力!$I$5:$I$152,"&gt;0",③スチコン工程入力!$M$5:$M$152,"&gt;0")+SUMIFS(⑪ZEN工程入力!$J$6:$J$35,⑪ZEN工程入力!$S$6:$S$35,$J241,⑪ZEN工程入力!$J$6:$J$35,"&gt;0",⑪ZEN工程入力!$M$6:$M$35,"&gt;0")-SUMIFS(⑪ZEN工程入力!$J$6:$J$35,⑪ZEN工程入力!$S$6:$S$35,$J241,⑪ZEN工程入力!$J$6:$J$35,"&gt;0",⑪ZEN工程入力!$I$6:$I$35,"&gt;0",⑪ZEN工程入力!$M$6:$M$35,"&gt;0")+SUMIFS(⑫ミキサー工程入力!$J$6:$J$65,⑫ミキサー工程入力!$S$6:$S$65,$J241,⑫ミキサー工程入力!$J$6:$J$65,"&gt;0",⑫ミキサー工程入力!$M$6:$M$65,"&gt;0")-SUMIFS(⑫ミキサー工程入力!$J$6:$J$65,⑫ミキサー工程入力!$S$6:$S$65,$J241,⑫ミキサー工程入力!$J$6:$J$65,"&gt;0",⑫ミキサー工程入力!$I$6:$I$65,"&gt;0",⑫ミキサー工程入力!$M$6:$M$65,"&gt;0")+SUMIFS(⑬計量工程入力!$J$6:$J$65,⑬計量工程入力!$S$6:$S$65,$J241,⑬計量工程入力!$J$6:$J$65,"&gt;0",⑬計量工程入力!$M$6:$M$65,"&gt;0")-SUMIFS(⑬計量工程入力!$J$6:$J$65,⑬計量工程入力!$S$6:$S$65,$J241,⑬計量工程入力!$J$6:$J$65,"&gt;0",⑬計量工程入力!$I$6:$I$65,"&gt;0",⑬計量工程入力!$M$6:$M$65,"&gt;0")+SUMIFS(⑭手動工程入力!$J$6:$J$47,⑭手動工程入力!$S$6:$S$47,$J241,⑭手動工程入力!$J$6:$J$47,"&gt;0",⑭手動工程入力!$M$6:$M$47,"&gt;0")-SUMIFS(⑭手動工程入力!$J$6:$J$47,⑭手動工程入力!$S$6:$S$47,$J241,⑭手動工程入力!$J$6:$J$47,"&gt;0",⑭手動工程入力!$I$6:$I$47,"&gt;0",⑭手動工程入力!$M$6:$M$47,"&gt;0"))</f>
        <v/>
      </c>
      <c r="P241" s="392" t="n"/>
    </row>
    <row r="242">
      <c r="A242" s="392" t="n">
        <v>238</v>
      </c>
      <c r="B242" s="392" t="n"/>
      <c r="C242" s="392" t="n"/>
      <c r="D242" s="392" t="n"/>
      <c r="E242" s="392" t="n"/>
      <c r="F242" s="394" t="n"/>
      <c r="G242" s="392" t="n"/>
      <c r="H242" s="604">
        <f>IFERROR(IF(AND($K242&gt;0,ISNUMBER(IF(OR($D242="g",$D242="ｇ"),IF($M242&gt;0,$L242/$M242/1000,""),IF($D242="kg",IF($M242&gt;0,$L242/$M242,""),IF($D242="",IF($M242&gt;0,$L242/$M242/1000,IF($O242&gt;0,$N242/$O242,"")),IF($O242&gt;0,$N242/$O242,"")))))),IF(OR($D242="g",$D242="ｇ"),IF($M242&gt;0,$L242/$M242/1000,""),IF($D242="kg",IF($M242&gt;0,$L242/$M242,""),IF($D242="",IF($M242&gt;0,$L242/$M242/1000,IF($O242&gt;0,$N242/$O242,"")),IF($O242&gt;0,$N242/$O242,"")))),IF($F242="",IF(OR($E242="",$E242="⑩盛付梱包工程入力"),"",IF(OR($D242="g",$D242="ｇ"),INDEX(⑰工程労務費一覧!$N$5:$N$11,MATCH($E242,⑰工程労務費一覧!$K$5:$K$11,0))/1000,IF($D242="kg",INDEX(⑰工程労務費一覧!$N$5:$N$11,MATCH($E242,⑰工程労務費一覧!$K$5:$K$11,0)),IF(OR($D242="個",$D242="切",$D242="本",$D242="枚",$D242="尾"),IF($E242="⑬計量工程入力","",INDEX(⑰工程労務費一覧!$P$5:$P$11,MATCH($E242,⑰工程労務費一覧!$K$5:$K$11,0))),IF(AND($D242="",OR($E242="②釜工程入力",$E242="③スチコン工程入力")),INDEX(⑰工程労務費一覧!$N$5:$N$11,MATCH($E242,⑰工程労務費一覧!$K$5:$K$11,0))/1000,""))))),IF(OR($D242="g",$D242="ｇ"),INDEX(⑰工程労務費一覧!$H$5:$H$753,MATCH($F242,⑰工程労務費一覧!$D$5:$D$753,0))/1000,IF($D242="kg",INDEX(⑰工程労務費一覧!$H$5:$H$753,MATCH($F242,⑰工程労務費一覧!$D$5:$D$753,0)),INDEX(⑰工程労務費一覧!$I$5:$I$753,MATCH($F242,⑰工程労務費一覧!$D$5:$D$753,0)))))),"")</f>
        <v/>
      </c>
      <c r="I242" s="392">
        <f>IF($K242&gt;0,IF(ISNUMBER(IF(OR($D242="g",$D242="ｇ"),IF($M242&gt;0,$L242/$M242/1000,""),IF($D242="kg",IF($M242&gt;0,$L242/$M242,""),IF($D242="",IF($M242&gt;0,$L242/$M242/1000,IF($O242&gt;0,$N242/$O242,"")),IF($O242&gt;0,$N242/$O242,""))))),IF($D242="",IF($M242&gt;0,"◎ JAN紐づけ(g扱い)","◎ JAN紐づけ(個扱い)"),"◎ JAN紐づけ"),"△ JAN紐づけ済・実績不足→仮計算"),IF($F242="",IF(ISNUMBER($H242),IF($D242="","⑤ 工程平均で仮計算(g扱い)","⑤ 工程平均で仮計算"),IF($E242="⑩盛付梱包工程入力","⑥ 盛り込み(⑳F列で計上)",IF(AND($E242="⑬計量工程入力",OR($D242="個",$D242="切",$D242="本",$D242="枚",$D242="尾")),"① 未紐づけ(カット個単位は仮単価なし)","① 未紐づけ"))),IF(NOT(ISNUMBER($H242)),"② 工程側に単価なし",IF($D242="","③ 単位未設定(個で計算)","④ OK"))))</f>
        <v/>
      </c>
      <c r="J242" s="399">
        <f>IFERROR(LOOKUP(2,1/((中間品リスト!$F$2:$F$1299=$B242)*(中間品リスト!$E$2:$E$1299&lt;&gt;"-")*(中間品リスト!$E$2:$E$1299&lt;&gt;"")),中間品リスト!$E$2:$E$1299),"")</f>
        <v/>
      </c>
      <c r="K242" s="400">
        <f>IF($J242="",0,COUNTIF(②釜工程入力!$S$5:$S$117,$J242)+COUNTIF(③スチコン工程入力!$S$5:$S$152,$J242)+COUNTIF(⑪ZEN工程入力!$S$6:$S$35,$J242)+COUNTIF(⑫ミキサー工程入力!$S$6:$S$65,$J242)+COUNTIF(⑬計量工程入力!$S$6:$S$65,$J242)+COUNTIF(⑭手動工程入力!$S$6:$S$47,$J242))</f>
        <v/>
      </c>
      <c r="L242" s="393">
        <f>IF($J242="",0,SUMIFS(②釜工程入力!$M$5:$M$117,②釜工程入力!$S$5:$S$117,$J242,②釜工程入力!$I$5:$I$117,"&gt;0")+SUMIFS(③スチコン工程入力!$M$5:$M$152,③スチコン工程入力!$S$5:$S$152,$J242,③スチコン工程入力!$I$5:$I$152,"&gt;0")+SUMIFS(⑪ZEN工程入力!$M$6:$M$35,⑪ZEN工程入力!$S$6:$S$35,$J242,⑪ZEN工程入力!$I$6:$I$35,"&gt;0")+SUMIFS(⑫ミキサー工程入力!$M$6:$M$65,⑫ミキサー工程入力!$S$6:$S$65,$J242,⑫ミキサー工程入力!$I$6:$I$65,"&gt;0")+SUMIFS(⑬計量工程入力!$M$6:$M$65,⑬計量工程入力!$S$6:$S$65,$J242,⑬計量工程入力!$I$6:$I$65,"&gt;0")+SUMIFS(⑭手動工程入力!$M$6:$M$47,⑭手動工程入力!$S$6:$S$47,$J242,⑭手動工程入力!$I$6:$I$47,"&gt;0"))</f>
        <v/>
      </c>
      <c r="M242" s="393">
        <f>IF($J242="",0,SUMIFS(②釜工程入力!$I$5:$I$117,②釜工程入力!$S$5:$S$117,$J242,②釜工程入力!$I$5:$I$117,"&gt;0",②釜工程入力!$M$5:$M$117,"&gt;0")+SUMIFS(③スチコン工程入力!$I$5:$I$152,③スチコン工程入力!$S$5:$S$152,$J242,③スチコン工程入力!$I$5:$I$152,"&gt;0",③スチコン工程入力!$M$5:$M$152,"&gt;0")+SUMIFS(⑪ZEN工程入力!$I$6:$I$35,⑪ZEN工程入力!$S$6:$S$35,$J242,⑪ZEN工程入力!$I$6:$I$35,"&gt;0",⑪ZEN工程入力!$M$6:$M$35,"&gt;0")+SUMIFS(⑫ミキサー工程入力!$I$6:$I$65,⑫ミキサー工程入力!$S$6:$S$65,$J242,⑫ミキサー工程入力!$I$6:$I$65,"&gt;0",⑫ミキサー工程入力!$M$6:$M$65,"&gt;0")+SUMIFS(⑬計量工程入力!$I$6:$I$65,⑬計量工程入力!$S$6:$S$65,$J242,⑬計量工程入力!$I$6:$I$65,"&gt;0",⑬計量工程入力!$M$6:$M$65,"&gt;0")+SUMIFS(⑭手動工程入力!$I$6:$I$47,⑭手動工程入力!$S$6:$S$47,$J242,⑭手動工程入力!$I$6:$I$47,"&gt;0",⑭手動工程入力!$M$6:$M$47,"&gt;0"))</f>
        <v/>
      </c>
      <c r="N242" s="393">
        <f>IF($J242="",0,SUMIFS(②釜工程入力!$M$5:$M$117,②釜工程入力!$S$5:$S$117,$J242,②釜工程入力!$J$5:$J$117,"&gt;0")-SUMIFS(②釜工程入力!$M$5:$M$117,②釜工程入力!$S$5:$S$117,$J242,②釜工程入力!$J$5:$J$117,"&gt;0",②釜工程入力!$I$5:$I$117,"&gt;0")+SUMIFS(③スチコン工程入力!$M$5:$M$152,③スチコン工程入力!$S$5:$S$152,$J242,③スチコン工程入力!$J$5:$J$152,"&gt;0")-SUMIFS(③スチコン工程入力!$M$5:$M$152,③スチコン工程入力!$S$5:$S$152,$J242,③スチコン工程入力!$J$5:$J$152,"&gt;0",③スチコン工程入力!$I$5:$I$152,"&gt;0")+SUMIFS(⑪ZEN工程入力!$M$6:$M$35,⑪ZEN工程入力!$S$6:$S$35,$J242,⑪ZEN工程入力!$J$6:$J$35,"&gt;0")-SUMIFS(⑪ZEN工程入力!$M$6:$M$35,⑪ZEN工程入力!$S$6:$S$35,$J242,⑪ZEN工程入力!$J$6:$J$35,"&gt;0",⑪ZEN工程入力!$I$6:$I$35,"&gt;0")+SUMIFS(⑫ミキサー工程入力!$M$6:$M$65,⑫ミキサー工程入力!$S$6:$S$65,$J242,⑫ミキサー工程入力!$J$6:$J$65,"&gt;0")-SUMIFS(⑫ミキサー工程入力!$M$6:$M$65,⑫ミキサー工程入力!$S$6:$S$65,$J242,⑫ミキサー工程入力!$J$6:$J$65,"&gt;0",⑫ミキサー工程入力!$I$6:$I$65,"&gt;0")+SUMIFS(⑬計量工程入力!$M$6:$M$65,⑬計量工程入力!$S$6:$S$65,$J242,⑬計量工程入力!$J$6:$J$65,"&gt;0")-SUMIFS(⑬計量工程入力!$M$6:$M$65,⑬計量工程入力!$S$6:$S$65,$J242,⑬計量工程入力!$J$6:$J$65,"&gt;0",⑬計量工程入力!$I$6:$I$65,"&gt;0")+SUMIFS(⑭手動工程入力!$M$6:$M$47,⑭手動工程入力!$S$6:$S$47,$J242,⑭手動工程入力!$J$6:$J$47,"&gt;0")-SUMIFS(⑭手動工程入力!$M$6:$M$47,⑭手動工程入力!$S$6:$S$47,$J242,⑭手動工程入力!$J$6:$J$47,"&gt;0",⑭手動工程入力!$I$6:$I$47,"&gt;0"))</f>
        <v/>
      </c>
      <c r="O242" s="393">
        <f>IF($J242="",0,SUMIFS(②釜工程入力!$J$5:$J$117,②釜工程入力!$S$5:$S$117,$J242,②釜工程入力!$J$5:$J$117,"&gt;0",②釜工程入力!$M$5:$M$117,"&gt;0")-SUMIFS(②釜工程入力!$J$5:$J$117,②釜工程入力!$S$5:$S$117,$J242,②釜工程入力!$J$5:$J$117,"&gt;0",②釜工程入力!$I$5:$I$117,"&gt;0",②釜工程入力!$M$5:$M$117,"&gt;0")+SUMIFS(③スチコン工程入力!$J$5:$J$152,③スチコン工程入力!$S$5:$S$152,$J242,③スチコン工程入力!$J$5:$J$152,"&gt;0",③スチコン工程入力!$M$5:$M$152,"&gt;0")-SUMIFS(③スチコン工程入力!$J$5:$J$152,③スチコン工程入力!$S$5:$S$152,$J242,③スチコン工程入力!$J$5:$J$152,"&gt;0",③スチコン工程入力!$I$5:$I$152,"&gt;0",③スチコン工程入力!$M$5:$M$152,"&gt;0")+SUMIFS(⑪ZEN工程入力!$J$6:$J$35,⑪ZEN工程入力!$S$6:$S$35,$J242,⑪ZEN工程入力!$J$6:$J$35,"&gt;0",⑪ZEN工程入力!$M$6:$M$35,"&gt;0")-SUMIFS(⑪ZEN工程入力!$J$6:$J$35,⑪ZEN工程入力!$S$6:$S$35,$J242,⑪ZEN工程入力!$J$6:$J$35,"&gt;0",⑪ZEN工程入力!$I$6:$I$35,"&gt;0",⑪ZEN工程入力!$M$6:$M$35,"&gt;0")+SUMIFS(⑫ミキサー工程入力!$J$6:$J$65,⑫ミキサー工程入力!$S$6:$S$65,$J242,⑫ミキサー工程入力!$J$6:$J$65,"&gt;0",⑫ミキサー工程入力!$M$6:$M$65,"&gt;0")-SUMIFS(⑫ミキサー工程入力!$J$6:$J$65,⑫ミキサー工程入力!$S$6:$S$65,$J242,⑫ミキサー工程入力!$J$6:$J$65,"&gt;0",⑫ミキサー工程入力!$I$6:$I$65,"&gt;0",⑫ミキサー工程入力!$M$6:$M$65,"&gt;0")+SUMIFS(⑬計量工程入力!$J$6:$J$65,⑬計量工程入力!$S$6:$S$65,$J242,⑬計量工程入力!$J$6:$J$65,"&gt;0",⑬計量工程入力!$M$6:$M$65,"&gt;0")-SUMIFS(⑬計量工程入力!$J$6:$J$65,⑬計量工程入力!$S$6:$S$65,$J242,⑬計量工程入力!$J$6:$J$65,"&gt;0",⑬計量工程入力!$I$6:$I$65,"&gt;0",⑬計量工程入力!$M$6:$M$65,"&gt;0")+SUMIFS(⑭手動工程入力!$J$6:$J$47,⑭手動工程入力!$S$6:$S$47,$J242,⑭手動工程入力!$J$6:$J$47,"&gt;0",⑭手動工程入力!$M$6:$M$47,"&gt;0")-SUMIFS(⑭手動工程入力!$J$6:$J$47,⑭手動工程入力!$S$6:$S$47,$J242,⑭手動工程入力!$J$6:$J$47,"&gt;0",⑭手動工程入力!$I$6:$I$47,"&gt;0",⑭手動工程入力!$M$6:$M$47,"&gt;0"))</f>
        <v/>
      </c>
      <c r="P242" s="392" t="n"/>
    </row>
    <row r="243">
      <c r="A243" s="392" t="n">
        <v>239</v>
      </c>
      <c r="B243" s="392" t="n"/>
      <c r="C243" s="392" t="n"/>
      <c r="D243" s="392" t="n"/>
      <c r="E243" s="392" t="n"/>
      <c r="F243" s="394" t="n"/>
      <c r="G243" s="392" t="n"/>
      <c r="H243" s="604">
        <f>IFERROR(IF(AND($K243&gt;0,ISNUMBER(IF(OR($D243="g",$D243="ｇ"),IF($M243&gt;0,$L243/$M243/1000,""),IF($D243="kg",IF($M243&gt;0,$L243/$M243,""),IF($D243="",IF($M243&gt;0,$L243/$M243/1000,IF($O243&gt;0,$N243/$O243,"")),IF($O243&gt;0,$N243/$O243,"")))))),IF(OR($D243="g",$D243="ｇ"),IF($M243&gt;0,$L243/$M243/1000,""),IF($D243="kg",IF($M243&gt;0,$L243/$M243,""),IF($D243="",IF($M243&gt;0,$L243/$M243/1000,IF($O243&gt;0,$N243/$O243,"")),IF($O243&gt;0,$N243/$O243,"")))),IF($F243="",IF(OR($E243="",$E243="⑩盛付梱包工程入力"),"",IF(OR($D243="g",$D243="ｇ"),INDEX(⑰工程労務費一覧!$N$5:$N$11,MATCH($E243,⑰工程労務費一覧!$K$5:$K$11,0))/1000,IF($D243="kg",INDEX(⑰工程労務費一覧!$N$5:$N$11,MATCH($E243,⑰工程労務費一覧!$K$5:$K$11,0)),IF(OR($D243="個",$D243="切",$D243="本",$D243="枚",$D243="尾"),IF($E243="⑬計量工程入力","",INDEX(⑰工程労務費一覧!$P$5:$P$11,MATCH($E243,⑰工程労務費一覧!$K$5:$K$11,0))),IF(AND($D243="",OR($E243="②釜工程入力",$E243="③スチコン工程入力")),INDEX(⑰工程労務費一覧!$N$5:$N$11,MATCH($E243,⑰工程労務費一覧!$K$5:$K$11,0))/1000,""))))),IF(OR($D243="g",$D243="ｇ"),INDEX(⑰工程労務費一覧!$H$5:$H$753,MATCH($F243,⑰工程労務費一覧!$D$5:$D$753,0))/1000,IF($D243="kg",INDEX(⑰工程労務費一覧!$H$5:$H$753,MATCH($F243,⑰工程労務費一覧!$D$5:$D$753,0)),INDEX(⑰工程労務費一覧!$I$5:$I$753,MATCH($F243,⑰工程労務費一覧!$D$5:$D$753,0)))))),"")</f>
        <v/>
      </c>
      <c r="I243" s="392">
        <f>IF($K243&gt;0,IF(ISNUMBER(IF(OR($D243="g",$D243="ｇ"),IF($M243&gt;0,$L243/$M243/1000,""),IF($D243="kg",IF($M243&gt;0,$L243/$M243,""),IF($D243="",IF($M243&gt;0,$L243/$M243/1000,IF($O243&gt;0,$N243/$O243,"")),IF($O243&gt;0,$N243/$O243,""))))),IF($D243="",IF($M243&gt;0,"◎ JAN紐づけ(g扱い)","◎ JAN紐づけ(個扱い)"),"◎ JAN紐づけ"),"△ JAN紐づけ済・実績不足→仮計算"),IF($F243="",IF(ISNUMBER($H243),IF($D243="","⑤ 工程平均で仮計算(g扱い)","⑤ 工程平均で仮計算"),IF($E243="⑩盛付梱包工程入力","⑥ 盛り込み(⑳F列で計上)",IF(AND($E243="⑬計量工程入力",OR($D243="個",$D243="切",$D243="本",$D243="枚",$D243="尾")),"① 未紐づけ(カット個単位は仮単価なし)","① 未紐づけ"))),IF(NOT(ISNUMBER($H243)),"② 工程側に単価なし",IF($D243="","③ 単位未設定(個で計算)","④ OK"))))</f>
        <v/>
      </c>
      <c r="J243" s="399">
        <f>IFERROR(LOOKUP(2,1/((中間品リスト!$F$2:$F$1299=$B243)*(中間品リスト!$E$2:$E$1299&lt;&gt;"-")*(中間品リスト!$E$2:$E$1299&lt;&gt;"")),中間品リスト!$E$2:$E$1299),"")</f>
        <v/>
      </c>
      <c r="K243" s="400">
        <f>IF($J243="",0,COUNTIF(②釜工程入力!$S$5:$S$117,$J243)+COUNTIF(③スチコン工程入力!$S$5:$S$152,$J243)+COUNTIF(⑪ZEN工程入力!$S$6:$S$35,$J243)+COUNTIF(⑫ミキサー工程入力!$S$6:$S$65,$J243)+COUNTIF(⑬計量工程入力!$S$6:$S$65,$J243)+COUNTIF(⑭手動工程入力!$S$6:$S$47,$J243))</f>
        <v/>
      </c>
      <c r="L243" s="393">
        <f>IF($J243="",0,SUMIFS(②釜工程入力!$M$5:$M$117,②釜工程入力!$S$5:$S$117,$J243,②釜工程入力!$I$5:$I$117,"&gt;0")+SUMIFS(③スチコン工程入力!$M$5:$M$152,③スチコン工程入力!$S$5:$S$152,$J243,③スチコン工程入力!$I$5:$I$152,"&gt;0")+SUMIFS(⑪ZEN工程入力!$M$6:$M$35,⑪ZEN工程入力!$S$6:$S$35,$J243,⑪ZEN工程入力!$I$6:$I$35,"&gt;0")+SUMIFS(⑫ミキサー工程入力!$M$6:$M$65,⑫ミキサー工程入力!$S$6:$S$65,$J243,⑫ミキサー工程入力!$I$6:$I$65,"&gt;0")+SUMIFS(⑬計量工程入力!$M$6:$M$65,⑬計量工程入力!$S$6:$S$65,$J243,⑬計量工程入力!$I$6:$I$65,"&gt;0")+SUMIFS(⑭手動工程入力!$M$6:$M$47,⑭手動工程入力!$S$6:$S$47,$J243,⑭手動工程入力!$I$6:$I$47,"&gt;0"))</f>
        <v/>
      </c>
      <c r="M243" s="393">
        <f>IF($J243="",0,SUMIFS(②釜工程入力!$I$5:$I$117,②釜工程入力!$S$5:$S$117,$J243,②釜工程入力!$I$5:$I$117,"&gt;0",②釜工程入力!$M$5:$M$117,"&gt;0")+SUMIFS(③スチコン工程入力!$I$5:$I$152,③スチコン工程入力!$S$5:$S$152,$J243,③スチコン工程入力!$I$5:$I$152,"&gt;0",③スチコン工程入力!$M$5:$M$152,"&gt;0")+SUMIFS(⑪ZEN工程入力!$I$6:$I$35,⑪ZEN工程入力!$S$6:$S$35,$J243,⑪ZEN工程入力!$I$6:$I$35,"&gt;0",⑪ZEN工程入力!$M$6:$M$35,"&gt;0")+SUMIFS(⑫ミキサー工程入力!$I$6:$I$65,⑫ミキサー工程入力!$S$6:$S$65,$J243,⑫ミキサー工程入力!$I$6:$I$65,"&gt;0",⑫ミキサー工程入力!$M$6:$M$65,"&gt;0")+SUMIFS(⑬計量工程入力!$I$6:$I$65,⑬計量工程入力!$S$6:$S$65,$J243,⑬計量工程入力!$I$6:$I$65,"&gt;0",⑬計量工程入力!$M$6:$M$65,"&gt;0")+SUMIFS(⑭手動工程入力!$I$6:$I$47,⑭手動工程入力!$S$6:$S$47,$J243,⑭手動工程入力!$I$6:$I$47,"&gt;0",⑭手動工程入力!$M$6:$M$47,"&gt;0"))</f>
        <v/>
      </c>
      <c r="N243" s="393">
        <f>IF($J243="",0,SUMIFS(②釜工程入力!$M$5:$M$117,②釜工程入力!$S$5:$S$117,$J243,②釜工程入力!$J$5:$J$117,"&gt;0")-SUMIFS(②釜工程入力!$M$5:$M$117,②釜工程入力!$S$5:$S$117,$J243,②釜工程入力!$J$5:$J$117,"&gt;0",②釜工程入力!$I$5:$I$117,"&gt;0")+SUMIFS(③スチコン工程入力!$M$5:$M$152,③スチコン工程入力!$S$5:$S$152,$J243,③スチコン工程入力!$J$5:$J$152,"&gt;0")-SUMIFS(③スチコン工程入力!$M$5:$M$152,③スチコン工程入力!$S$5:$S$152,$J243,③スチコン工程入力!$J$5:$J$152,"&gt;0",③スチコン工程入力!$I$5:$I$152,"&gt;0")+SUMIFS(⑪ZEN工程入力!$M$6:$M$35,⑪ZEN工程入力!$S$6:$S$35,$J243,⑪ZEN工程入力!$J$6:$J$35,"&gt;0")-SUMIFS(⑪ZEN工程入力!$M$6:$M$35,⑪ZEN工程入力!$S$6:$S$35,$J243,⑪ZEN工程入力!$J$6:$J$35,"&gt;0",⑪ZEN工程入力!$I$6:$I$35,"&gt;0")+SUMIFS(⑫ミキサー工程入力!$M$6:$M$65,⑫ミキサー工程入力!$S$6:$S$65,$J243,⑫ミキサー工程入力!$J$6:$J$65,"&gt;0")-SUMIFS(⑫ミキサー工程入力!$M$6:$M$65,⑫ミキサー工程入力!$S$6:$S$65,$J243,⑫ミキサー工程入力!$J$6:$J$65,"&gt;0",⑫ミキサー工程入力!$I$6:$I$65,"&gt;0")+SUMIFS(⑬計量工程入力!$M$6:$M$65,⑬計量工程入力!$S$6:$S$65,$J243,⑬計量工程入力!$J$6:$J$65,"&gt;0")-SUMIFS(⑬計量工程入力!$M$6:$M$65,⑬計量工程入力!$S$6:$S$65,$J243,⑬計量工程入力!$J$6:$J$65,"&gt;0",⑬計量工程入力!$I$6:$I$65,"&gt;0")+SUMIFS(⑭手動工程入力!$M$6:$M$47,⑭手動工程入力!$S$6:$S$47,$J243,⑭手動工程入力!$J$6:$J$47,"&gt;0")-SUMIFS(⑭手動工程入力!$M$6:$M$47,⑭手動工程入力!$S$6:$S$47,$J243,⑭手動工程入力!$J$6:$J$47,"&gt;0",⑭手動工程入力!$I$6:$I$47,"&gt;0"))</f>
        <v/>
      </c>
      <c r="O243" s="393">
        <f>IF($J243="",0,SUMIFS(②釜工程入力!$J$5:$J$117,②釜工程入力!$S$5:$S$117,$J243,②釜工程入力!$J$5:$J$117,"&gt;0",②釜工程入力!$M$5:$M$117,"&gt;0")-SUMIFS(②釜工程入力!$J$5:$J$117,②釜工程入力!$S$5:$S$117,$J243,②釜工程入力!$J$5:$J$117,"&gt;0",②釜工程入力!$I$5:$I$117,"&gt;0",②釜工程入力!$M$5:$M$117,"&gt;0")+SUMIFS(③スチコン工程入力!$J$5:$J$152,③スチコン工程入力!$S$5:$S$152,$J243,③スチコン工程入力!$J$5:$J$152,"&gt;0",③スチコン工程入力!$M$5:$M$152,"&gt;0")-SUMIFS(③スチコン工程入力!$J$5:$J$152,③スチコン工程入力!$S$5:$S$152,$J243,③スチコン工程入力!$J$5:$J$152,"&gt;0",③スチコン工程入力!$I$5:$I$152,"&gt;0",③スチコン工程入力!$M$5:$M$152,"&gt;0")+SUMIFS(⑪ZEN工程入力!$J$6:$J$35,⑪ZEN工程入力!$S$6:$S$35,$J243,⑪ZEN工程入力!$J$6:$J$35,"&gt;0",⑪ZEN工程入力!$M$6:$M$35,"&gt;0")-SUMIFS(⑪ZEN工程入力!$J$6:$J$35,⑪ZEN工程入力!$S$6:$S$35,$J243,⑪ZEN工程入力!$J$6:$J$35,"&gt;0",⑪ZEN工程入力!$I$6:$I$35,"&gt;0",⑪ZEN工程入力!$M$6:$M$35,"&gt;0")+SUMIFS(⑫ミキサー工程入力!$J$6:$J$65,⑫ミキサー工程入力!$S$6:$S$65,$J243,⑫ミキサー工程入力!$J$6:$J$65,"&gt;0",⑫ミキサー工程入力!$M$6:$M$65,"&gt;0")-SUMIFS(⑫ミキサー工程入力!$J$6:$J$65,⑫ミキサー工程入力!$S$6:$S$65,$J243,⑫ミキサー工程入力!$J$6:$J$65,"&gt;0",⑫ミキサー工程入力!$I$6:$I$65,"&gt;0",⑫ミキサー工程入力!$M$6:$M$65,"&gt;0")+SUMIFS(⑬計量工程入力!$J$6:$J$65,⑬計量工程入力!$S$6:$S$65,$J243,⑬計量工程入力!$J$6:$J$65,"&gt;0",⑬計量工程入力!$M$6:$M$65,"&gt;0")-SUMIFS(⑬計量工程入力!$J$6:$J$65,⑬計量工程入力!$S$6:$S$65,$J243,⑬計量工程入力!$J$6:$J$65,"&gt;0",⑬計量工程入力!$I$6:$I$65,"&gt;0",⑬計量工程入力!$M$6:$M$65,"&gt;0")+SUMIFS(⑭手動工程入力!$J$6:$J$47,⑭手動工程入力!$S$6:$S$47,$J243,⑭手動工程入力!$J$6:$J$47,"&gt;0",⑭手動工程入力!$M$6:$M$47,"&gt;0")-SUMIFS(⑭手動工程入力!$J$6:$J$47,⑭手動工程入力!$S$6:$S$47,$J243,⑭手動工程入力!$J$6:$J$47,"&gt;0",⑭手動工程入力!$I$6:$I$47,"&gt;0",⑭手動工程入力!$M$6:$M$47,"&gt;0"))</f>
        <v/>
      </c>
      <c r="P243" s="392" t="n"/>
    </row>
    <row r="244">
      <c r="A244" s="392" t="n">
        <v>240</v>
      </c>
      <c r="B244" s="392" t="n"/>
      <c r="C244" s="392" t="n"/>
      <c r="D244" s="392" t="n"/>
      <c r="E244" s="392" t="n"/>
      <c r="F244" s="394" t="n"/>
      <c r="G244" s="392" t="n"/>
      <c r="H244" s="604">
        <f>IFERROR(IF(AND($K244&gt;0,ISNUMBER(IF(OR($D244="g",$D244="ｇ"),IF($M244&gt;0,$L244/$M244/1000,""),IF($D244="kg",IF($M244&gt;0,$L244/$M244,""),IF($D244="",IF($M244&gt;0,$L244/$M244/1000,IF($O244&gt;0,$N244/$O244,"")),IF($O244&gt;0,$N244/$O244,"")))))),IF(OR($D244="g",$D244="ｇ"),IF($M244&gt;0,$L244/$M244/1000,""),IF($D244="kg",IF($M244&gt;0,$L244/$M244,""),IF($D244="",IF($M244&gt;0,$L244/$M244/1000,IF($O244&gt;0,$N244/$O244,"")),IF($O244&gt;0,$N244/$O244,"")))),IF($F244="",IF(OR($E244="",$E244="⑩盛付梱包工程入力"),"",IF(OR($D244="g",$D244="ｇ"),INDEX(⑰工程労務費一覧!$N$5:$N$11,MATCH($E244,⑰工程労務費一覧!$K$5:$K$11,0))/1000,IF($D244="kg",INDEX(⑰工程労務費一覧!$N$5:$N$11,MATCH($E244,⑰工程労務費一覧!$K$5:$K$11,0)),IF(OR($D244="個",$D244="切",$D244="本",$D244="枚",$D244="尾"),IF($E244="⑬計量工程入力","",INDEX(⑰工程労務費一覧!$P$5:$P$11,MATCH($E244,⑰工程労務費一覧!$K$5:$K$11,0))),IF(AND($D244="",OR($E244="②釜工程入力",$E244="③スチコン工程入力")),INDEX(⑰工程労務費一覧!$N$5:$N$11,MATCH($E244,⑰工程労務費一覧!$K$5:$K$11,0))/1000,""))))),IF(OR($D244="g",$D244="ｇ"),INDEX(⑰工程労務費一覧!$H$5:$H$753,MATCH($F244,⑰工程労務費一覧!$D$5:$D$753,0))/1000,IF($D244="kg",INDEX(⑰工程労務費一覧!$H$5:$H$753,MATCH($F244,⑰工程労務費一覧!$D$5:$D$753,0)),INDEX(⑰工程労務費一覧!$I$5:$I$753,MATCH($F244,⑰工程労務費一覧!$D$5:$D$753,0)))))),"")</f>
        <v/>
      </c>
      <c r="I244" s="392">
        <f>IF($K244&gt;0,IF(ISNUMBER(IF(OR($D244="g",$D244="ｇ"),IF($M244&gt;0,$L244/$M244/1000,""),IF($D244="kg",IF($M244&gt;0,$L244/$M244,""),IF($D244="",IF($M244&gt;0,$L244/$M244/1000,IF($O244&gt;0,$N244/$O244,"")),IF($O244&gt;0,$N244/$O244,""))))),IF($D244="",IF($M244&gt;0,"◎ JAN紐づけ(g扱い)","◎ JAN紐づけ(個扱い)"),"◎ JAN紐づけ"),"△ JAN紐づけ済・実績不足→仮計算"),IF($F244="",IF(ISNUMBER($H244),IF($D244="","⑤ 工程平均で仮計算(g扱い)","⑤ 工程平均で仮計算"),IF($E244="⑩盛付梱包工程入力","⑥ 盛り込み(⑳F列で計上)",IF(AND($E244="⑬計量工程入力",OR($D244="個",$D244="切",$D244="本",$D244="枚",$D244="尾")),"① 未紐づけ(カット個単位は仮単価なし)","① 未紐づけ"))),IF(NOT(ISNUMBER($H244)),"② 工程側に単価なし",IF($D244="","③ 単位未設定(個で計算)","④ OK"))))</f>
        <v/>
      </c>
      <c r="J244" s="399">
        <f>IFERROR(LOOKUP(2,1/((中間品リスト!$F$2:$F$1299=$B244)*(中間品リスト!$E$2:$E$1299&lt;&gt;"-")*(中間品リスト!$E$2:$E$1299&lt;&gt;"")),中間品リスト!$E$2:$E$1299),"")</f>
        <v/>
      </c>
      <c r="K244" s="400">
        <f>IF($J244="",0,COUNTIF(②釜工程入力!$S$5:$S$117,$J244)+COUNTIF(③スチコン工程入力!$S$5:$S$152,$J244)+COUNTIF(⑪ZEN工程入力!$S$6:$S$35,$J244)+COUNTIF(⑫ミキサー工程入力!$S$6:$S$65,$J244)+COUNTIF(⑬計量工程入力!$S$6:$S$65,$J244)+COUNTIF(⑭手動工程入力!$S$6:$S$47,$J244))</f>
        <v/>
      </c>
      <c r="L244" s="393">
        <f>IF($J244="",0,SUMIFS(②釜工程入力!$M$5:$M$117,②釜工程入力!$S$5:$S$117,$J244,②釜工程入力!$I$5:$I$117,"&gt;0")+SUMIFS(③スチコン工程入力!$M$5:$M$152,③スチコン工程入力!$S$5:$S$152,$J244,③スチコン工程入力!$I$5:$I$152,"&gt;0")+SUMIFS(⑪ZEN工程入力!$M$6:$M$35,⑪ZEN工程入力!$S$6:$S$35,$J244,⑪ZEN工程入力!$I$6:$I$35,"&gt;0")+SUMIFS(⑫ミキサー工程入力!$M$6:$M$65,⑫ミキサー工程入力!$S$6:$S$65,$J244,⑫ミキサー工程入力!$I$6:$I$65,"&gt;0")+SUMIFS(⑬計量工程入力!$M$6:$M$65,⑬計量工程入力!$S$6:$S$65,$J244,⑬計量工程入力!$I$6:$I$65,"&gt;0")+SUMIFS(⑭手動工程入力!$M$6:$M$47,⑭手動工程入力!$S$6:$S$47,$J244,⑭手動工程入力!$I$6:$I$47,"&gt;0"))</f>
        <v/>
      </c>
      <c r="M244" s="393">
        <f>IF($J244="",0,SUMIFS(②釜工程入力!$I$5:$I$117,②釜工程入力!$S$5:$S$117,$J244,②釜工程入力!$I$5:$I$117,"&gt;0",②釜工程入力!$M$5:$M$117,"&gt;0")+SUMIFS(③スチコン工程入力!$I$5:$I$152,③スチコン工程入力!$S$5:$S$152,$J244,③スチコン工程入力!$I$5:$I$152,"&gt;0",③スチコン工程入力!$M$5:$M$152,"&gt;0")+SUMIFS(⑪ZEN工程入力!$I$6:$I$35,⑪ZEN工程入力!$S$6:$S$35,$J244,⑪ZEN工程入力!$I$6:$I$35,"&gt;0",⑪ZEN工程入力!$M$6:$M$35,"&gt;0")+SUMIFS(⑫ミキサー工程入力!$I$6:$I$65,⑫ミキサー工程入力!$S$6:$S$65,$J244,⑫ミキサー工程入力!$I$6:$I$65,"&gt;0",⑫ミキサー工程入力!$M$6:$M$65,"&gt;0")+SUMIFS(⑬計量工程入力!$I$6:$I$65,⑬計量工程入力!$S$6:$S$65,$J244,⑬計量工程入力!$I$6:$I$65,"&gt;0",⑬計量工程入力!$M$6:$M$65,"&gt;0")+SUMIFS(⑭手動工程入力!$I$6:$I$47,⑭手動工程入力!$S$6:$S$47,$J244,⑭手動工程入力!$I$6:$I$47,"&gt;0",⑭手動工程入力!$M$6:$M$47,"&gt;0"))</f>
        <v/>
      </c>
      <c r="N244" s="393">
        <f>IF($J244="",0,SUMIFS(②釜工程入力!$M$5:$M$117,②釜工程入力!$S$5:$S$117,$J244,②釜工程入力!$J$5:$J$117,"&gt;0")-SUMIFS(②釜工程入力!$M$5:$M$117,②釜工程入力!$S$5:$S$117,$J244,②釜工程入力!$J$5:$J$117,"&gt;0",②釜工程入力!$I$5:$I$117,"&gt;0")+SUMIFS(③スチコン工程入力!$M$5:$M$152,③スチコン工程入力!$S$5:$S$152,$J244,③スチコン工程入力!$J$5:$J$152,"&gt;0")-SUMIFS(③スチコン工程入力!$M$5:$M$152,③スチコン工程入力!$S$5:$S$152,$J244,③スチコン工程入力!$J$5:$J$152,"&gt;0",③スチコン工程入力!$I$5:$I$152,"&gt;0")+SUMIFS(⑪ZEN工程入力!$M$6:$M$35,⑪ZEN工程入力!$S$6:$S$35,$J244,⑪ZEN工程入力!$J$6:$J$35,"&gt;0")-SUMIFS(⑪ZEN工程入力!$M$6:$M$35,⑪ZEN工程入力!$S$6:$S$35,$J244,⑪ZEN工程入力!$J$6:$J$35,"&gt;0",⑪ZEN工程入力!$I$6:$I$35,"&gt;0")+SUMIFS(⑫ミキサー工程入力!$M$6:$M$65,⑫ミキサー工程入力!$S$6:$S$65,$J244,⑫ミキサー工程入力!$J$6:$J$65,"&gt;0")-SUMIFS(⑫ミキサー工程入力!$M$6:$M$65,⑫ミキサー工程入力!$S$6:$S$65,$J244,⑫ミキサー工程入力!$J$6:$J$65,"&gt;0",⑫ミキサー工程入力!$I$6:$I$65,"&gt;0")+SUMIFS(⑬計量工程入力!$M$6:$M$65,⑬計量工程入力!$S$6:$S$65,$J244,⑬計量工程入力!$J$6:$J$65,"&gt;0")-SUMIFS(⑬計量工程入力!$M$6:$M$65,⑬計量工程入力!$S$6:$S$65,$J244,⑬計量工程入力!$J$6:$J$65,"&gt;0",⑬計量工程入力!$I$6:$I$65,"&gt;0")+SUMIFS(⑭手動工程入力!$M$6:$M$47,⑭手動工程入力!$S$6:$S$47,$J244,⑭手動工程入力!$J$6:$J$47,"&gt;0")-SUMIFS(⑭手動工程入力!$M$6:$M$47,⑭手動工程入力!$S$6:$S$47,$J244,⑭手動工程入力!$J$6:$J$47,"&gt;0",⑭手動工程入力!$I$6:$I$47,"&gt;0"))</f>
        <v/>
      </c>
      <c r="O244" s="393">
        <f>IF($J244="",0,SUMIFS(②釜工程入力!$J$5:$J$117,②釜工程入力!$S$5:$S$117,$J244,②釜工程入力!$J$5:$J$117,"&gt;0",②釜工程入力!$M$5:$M$117,"&gt;0")-SUMIFS(②釜工程入力!$J$5:$J$117,②釜工程入力!$S$5:$S$117,$J244,②釜工程入力!$J$5:$J$117,"&gt;0",②釜工程入力!$I$5:$I$117,"&gt;0",②釜工程入力!$M$5:$M$117,"&gt;0")+SUMIFS(③スチコン工程入力!$J$5:$J$152,③スチコン工程入力!$S$5:$S$152,$J244,③スチコン工程入力!$J$5:$J$152,"&gt;0",③スチコン工程入力!$M$5:$M$152,"&gt;0")-SUMIFS(③スチコン工程入力!$J$5:$J$152,③スチコン工程入力!$S$5:$S$152,$J244,③スチコン工程入力!$J$5:$J$152,"&gt;0",③スチコン工程入力!$I$5:$I$152,"&gt;0",③スチコン工程入力!$M$5:$M$152,"&gt;0")+SUMIFS(⑪ZEN工程入力!$J$6:$J$35,⑪ZEN工程入力!$S$6:$S$35,$J244,⑪ZEN工程入力!$J$6:$J$35,"&gt;0",⑪ZEN工程入力!$M$6:$M$35,"&gt;0")-SUMIFS(⑪ZEN工程入力!$J$6:$J$35,⑪ZEN工程入力!$S$6:$S$35,$J244,⑪ZEN工程入力!$J$6:$J$35,"&gt;0",⑪ZEN工程入力!$I$6:$I$35,"&gt;0",⑪ZEN工程入力!$M$6:$M$35,"&gt;0")+SUMIFS(⑫ミキサー工程入力!$J$6:$J$65,⑫ミキサー工程入力!$S$6:$S$65,$J244,⑫ミキサー工程入力!$J$6:$J$65,"&gt;0",⑫ミキサー工程入力!$M$6:$M$65,"&gt;0")-SUMIFS(⑫ミキサー工程入力!$J$6:$J$65,⑫ミキサー工程入力!$S$6:$S$65,$J244,⑫ミキサー工程入力!$J$6:$J$65,"&gt;0",⑫ミキサー工程入力!$I$6:$I$65,"&gt;0",⑫ミキサー工程入力!$M$6:$M$65,"&gt;0")+SUMIFS(⑬計量工程入力!$J$6:$J$65,⑬計量工程入力!$S$6:$S$65,$J244,⑬計量工程入力!$J$6:$J$65,"&gt;0",⑬計量工程入力!$M$6:$M$65,"&gt;0")-SUMIFS(⑬計量工程入力!$J$6:$J$65,⑬計量工程入力!$S$6:$S$65,$J244,⑬計量工程入力!$J$6:$J$65,"&gt;0",⑬計量工程入力!$I$6:$I$65,"&gt;0",⑬計量工程入力!$M$6:$M$65,"&gt;0")+SUMIFS(⑭手動工程入力!$J$6:$J$47,⑭手動工程入力!$S$6:$S$47,$J244,⑭手動工程入力!$J$6:$J$47,"&gt;0",⑭手動工程入力!$M$6:$M$47,"&gt;0")-SUMIFS(⑭手動工程入力!$J$6:$J$47,⑭手動工程入力!$S$6:$S$47,$J244,⑭手動工程入力!$J$6:$J$47,"&gt;0",⑭手動工程入力!$I$6:$I$47,"&gt;0",⑭手動工程入力!$M$6:$M$47,"&gt;0"))</f>
        <v/>
      </c>
      <c r="P244" s="392" t="n"/>
    </row>
    <row r="245">
      <c r="A245" s="392" t="n">
        <v>241</v>
      </c>
      <c r="B245" s="392" t="n"/>
      <c r="C245" s="392" t="n"/>
      <c r="D245" s="392" t="n"/>
      <c r="E245" s="392" t="n"/>
      <c r="F245" s="394" t="n"/>
      <c r="G245" s="392" t="n"/>
      <c r="H245" s="604">
        <f>IFERROR(IF(AND($K245&gt;0,ISNUMBER(IF(OR($D245="g",$D245="ｇ"),IF($M245&gt;0,$L245/$M245/1000,""),IF($D245="kg",IF($M245&gt;0,$L245/$M245,""),IF($D245="",IF($M245&gt;0,$L245/$M245/1000,IF($O245&gt;0,$N245/$O245,"")),IF($O245&gt;0,$N245/$O245,"")))))),IF(OR($D245="g",$D245="ｇ"),IF($M245&gt;0,$L245/$M245/1000,""),IF($D245="kg",IF($M245&gt;0,$L245/$M245,""),IF($D245="",IF($M245&gt;0,$L245/$M245/1000,IF($O245&gt;0,$N245/$O245,"")),IF($O245&gt;0,$N245/$O245,"")))),IF($F245="",IF(OR($E245="",$E245="⑩盛付梱包工程入力"),"",IF(OR($D245="g",$D245="ｇ"),INDEX(⑰工程労務費一覧!$N$5:$N$11,MATCH($E245,⑰工程労務費一覧!$K$5:$K$11,0))/1000,IF($D245="kg",INDEX(⑰工程労務費一覧!$N$5:$N$11,MATCH($E245,⑰工程労務費一覧!$K$5:$K$11,0)),IF(OR($D245="個",$D245="切",$D245="本",$D245="枚",$D245="尾"),IF($E245="⑬計量工程入力","",INDEX(⑰工程労務費一覧!$P$5:$P$11,MATCH($E245,⑰工程労務費一覧!$K$5:$K$11,0))),IF(AND($D245="",OR($E245="②釜工程入力",$E245="③スチコン工程入力")),INDEX(⑰工程労務費一覧!$N$5:$N$11,MATCH($E245,⑰工程労務費一覧!$K$5:$K$11,0))/1000,""))))),IF(OR($D245="g",$D245="ｇ"),INDEX(⑰工程労務費一覧!$H$5:$H$753,MATCH($F245,⑰工程労務費一覧!$D$5:$D$753,0))/1000,IF($D245="kg",INDEX(⑰工程労務費一覧!$H$5:$H$753,MATCH($F245,⑰工程労務費一覧!$D$5:$D$753,0)),INDEX(⑰工程労務費一覧!$I$5:$I$753,MATCH($F245,⑰工程労務費一覧!$D$5:$D$753,0)))))),"")</f>
        <v/>
      </c>
      <c r="I245" s="392">
        <f>IF($K245&gt;0,IF(ISNUMBER(IF(OR($D245="g",$D245="ｇ"),IF($M245&gt;0,$L245/$M245/1000,""),IF($D245="kg",IF($M245&gt;0,$L245/$M245,""),IF($D245="",IF($M245&gt;0,$L245/$M245/1000,IF($O245&gt;0,$N245/$O245,"")),IF($O245&gt;0,$N245/$O245,""))))),IF($D245="",IF($M245&gt;0,"◎ JAN紐づけ(g扱い)","◎ JAN紐づけ(個扱い)"),"◎ JAN紐づけ"),"△ JAN紐づけ済・実績不足→仮計算"),IF($F245="",IF(ISNUMBER($H245),IF($D245="","⑤ 工程平均で仮計算(g扱い)","⑤ 工程平均で仮計算"),IF($E245="⑩盛付梱包工程入力","⑥ 盛り込み(⑳F列で計上)",IF(AND($E245="⑬計量工程入力",OR($D245="個",$D245="切",$D245="本",$D245="枚",$D245="尾")),"① 未紐づけ(カット個単位は仮単価なし)","① 未紐づけ"))),IF(NOT(ISNUMBER($H245)),"② 工程側に単価なし",IF($D245="","③ 単位未設定(個で計算)","④ OK"))))</f>
        <v/>
      </c>
      <c r="J245" s="399">
        <f>IFERROR(LOOKUP(2,1/((中間品リスト!$F$2:$F$1299=$B245)*(中間品リスト!$E$2:$E$1299&lt;&gt;"-")*(中間品リスト!$E$2:$E$1299&lt;&gt;"")),中間品リスト!$E$2:$E$1299),"")</f>
        <v/>
      </c>
      <c r="K245" s="400">
        <f>IF($J245="",0,COUNTIF(②釜工程入力!$S$5:$S$117,$J245)+COUNTIF(③スチコン工程入力!$S$5:$S$152,$J245)+COUNTIF(⑪ZEN工程入力!$S$6:$S$35,$J245)+COUNTIF(⑫ミキサー工程入力!$S$6:$S$65,$J245)+COUNTIF(⑬計量工程入力!$S$6:$S$65,$J245)+COUNTIF(⑭手動工程入力!$S$6:$S$47,$J245))</f>
        <v/>
      </c>
      <c r="L245" s="393">
        <f>IF($J245="",0,SUMIFS(②釜工程入力!$M$5:$M$117,②釜工程入力!$S$5:$S$117,$J245,②釜工程入力!$I$5:$I$117,"&gt;0")+SUMIFS(③スチコン工程入力!$M$5:$M$152,③スチコン工程入力!$S$5:$S$152,$J245,③スチコン工程入力!$I$5:$I$152,"&gt;0")+SUMIFS(⑪ZEN工程入力!$M$6:$M$35,⑪ZEN工程入力!$S$6:$S$35,$J245,⑪ZEN工程入力!$I$6:$I$35,"&gt;0")+SUMIFS(⑫ミキサー工程入力!$M$6:$M$65,⑫ミキサー工程入力!$S$6:$S$65,$J245,⑫ミキサー工程入力!$I$6:$I$65,"&gt;0")+SUMIFS(⑬計量工程入力!$M$6:$M$65,⑬計量工程入力!$S$6:$S$65,$J245,⑬計量工程入力!$I$6:$I$65,"&gt;0")+SUMIFS(⑭手動工程入力!$M$6:$M$47,⑭手動工程入力!$S$6:$S$47,$J245,⑭手動工程入力!$I$6:$I$47,"&gt;0"))</f>
        <v/>
      </c>
      <c r="M245" s="393">
        <f>IF($J245="",0,SUMIFS(②釜工程入力!$I$5:$I$117,②釜工程入力!$S$5:$S$117,$J245,②釜工程入力!$I$5:$I$117,"&gt;0",②釜工程入力!$M$5:$M$117,"&gt;0")+SUMIFS(③スチコン工程入力!$I$5:$I$152,③スチコン工程入力!$S$5:$S$152,$J245,③スチコン工程入力!$I$5:$I$152,"&gt;0",③スチコン工程入力!$M$5:$M$152,"&gt;0")+SUMIFS(⑪ZEN工程入力!$I$6:$I$35,⑪ZEN工程入力!$S$6:$S$35,$J245,⑪ZEN工程入力!$I$6:$I$35,"&gt;0",⑪ZEN工程入力!$M$6:$M$35,"&gt;0")+SUMIFS(⑫ミキサー工程入力!$I$6:$I$65,⑫ミキサー工程入力!$S$6:$S$65,$J245,⑫ミキサー工程入力!$I$6:$I$65,"&gt;0",⑫ミキサー工程入力!$M$6:$M$65,"&gt;0")+SUMIFS(⑬計量工程入力!$I$6:$I$65,⑬計量工程入力!$S$6:$S$65,$J245,⑬計量工程入力!$I$6:$I$65,"&gt;0",⑬計量工程入力!$M$6:$M$65,"&gt;0")+SUMIFS(⑭手動工程入力!$I$6:$I$47,⑭手動工程入力!$S$6:$S$47,$J245,⑭手動工程入力!$I$6:$I$47,"&gt;0",⑭手動工程入力!$M$6:$M$47,"&gt;0"))</f>
        <v/>
      </c>
      <c r="N245" s="393">
        <f>IF($J245="",0,SUMIFS(②釜工程入力!$M$5:$M$117,②釜工程入力!$S$5:$S$117,$J245,②釜工程入力!$J$5:$J$117,"&gt;0")-SUMIFS(②釜工程入力!$M$5:$M$117,②釜工程入力!$S$5:$S$117,$J245,②釜工程入力!$J$5:$J$117,"&gt;0",②釜工程入力!$I$5:$I$117,"&gt;0")+SUMIFS(③スチコン工程入力!$M$5:$M$152,③スチコン工程入力!$S$5:$S$152,$J245,③スチコン工程入力!$J$5:$J$152,"&gt;0")-SUMIFS(③スチコン工程入力!$M$5:$M$152,③スチコン工程入力!$S$5:$S$152,$J245,③スチコン工程入力!$J$5:$J$152,"&gt;0",③スチコン工程入力!$I$5:$I$152,"&gt;0")+SUMIFS(⑪ZEN工程入力!$M$6:$M$35,⑪ZEN工程入力!$S$6:$S$35,$J245,⑪ZEN工程入力!$J$6:$J$35,"&gt;0")-SUMIFS(⑪ZEN工程入力!$M$6:$M$35,⑪ZEN工程入力!$S$6:$S$35,$J245,⑪ZEN工程入力!$J$6:$J$35,"&gt;0",⑪ZEN工程入力!$I$6:$I$35,"&gt;0")+SUMIFS(⑫ミキサー工程入力!$M$6:$M$65,⑫ミキサー工程入力!$S$6:$S$65,$J245,⑫ミキサー工程入力!$J$6:$J$65,"&gt;0")-SUMIFS(⑫ミキサー工程入力!$M$6:$M$65,⑫ミキサー工程入力!$S$6:$S$65,$J245,⑫ミキサー工程入力!$J$6:$J$65,"&gt;0",⑫ミキサー工程入力!$I$6:$I$65,"&gt;0")+SUMIFS(⑬計量工程入力!$M$6:$M$65,⑬計量工程入力!$S$6:$S$65,$J245,⑬計量工程入力!$J$6:$J$65,"&gt;0")-SUMIFS(⑬計量工程入力!$M$6:$M$65,⑬計量工程入力!$S$6:$S$65,$J245,⑬計量工程入力!$J$6:$J$65,"&gt;0",⑬計量工程入力!$I$6:$I$65,"&gt;0")+SUMIFS(⑭手動工程入力!$M$6:$M$47,⑭手動工程入力!$S$6:$S$47,$J245,⑭手動工程入力!$J$6:$J$47,"&gt;0")-SUMIFS(⑭手動工程入力!$M$6:$M$47,⑭手動工程入力!$S$6:$S$47,$J245,⑭手動工程入力!$J$6:$J$47,"&gt;0",⑭手動工程入力!$I$6:$I$47,"&gt;0"))</f>
        <v/>
      </c>
      <c r="O245" s="393">
        <f>IF($J245="",0,SUMIFS(②釜工程入力!$J$5:$J$117,②釜工程入力!$S$5:$S$117,$J245,②釜工程入力!$J$5:$J$117,"&gt;0",②釜工程入力!$M$5:$M$117,"&gt;0")-SUMIFS(②釜工程入力!$J$5:$J$117,②釜工程入力!$S$5:$S$117,$J245,②釜工程入力!$J$5:$J$117,"&gt;0",②釜工程入力!$I$5:$I$117,"&gt;0",②釜工程入力!$M$5:$M$117,"&gt;0")+SUMIFS(③スチコン工程入力!$J$5:$J$152,③スチコン工程入力!$S$5:$S$152,$J245,③スチコン工程入力!$J$5:$J$152,"&gt;0",③スチコン工程入力!$M$5:$M$152,"&gt;0")-SUMIFS(③スチコン工程入力!$J$5:$J$152,③スチコン工程入力!$S$5:$S$152,$J245,③スチコン工程入力!$J$5:$J$152,"&gt;0",③スチコン工程入力!$I$5:$I$152,"&gt;0",③スチコン工程入力!$M$5:$M$152,"&gt;0")+SUMIFS(⑪ZEN工程入力!$J$6:$J$35,⑪ZEN工程入力!$S$6:$S$35,$J245,⑪ZEN工程入力!$J$6:$J$35,"&gt;0",⑪ZEN工程入力!$M$6:$M$35,"&gt;0")-SUMIFS(⑪ZEN工程入力!$J$6:$J$35,⑪ZEN工程入力!$S$6:$S$35,$J245,⑪ZEN工程入力!$J$6:$J$35,"&gt;0",⑪ZEN工程入力!$I$6:$I$35,"&gt;0",⑪ZEN工程入力!$M$6:$M$35,"&gt;0")+SUMIFS(⑫ミキサー工程入力!$J$6:$J$65,⑫ミキサー工程入力!$S$6:$S$65,$J245,⑫ミキサー工程入力!$J$6:$J$65,"&gt;0",⑫ミキサー工程入力!$M$6:$M$65,"&gt;0")-SUMIFS(⑫ミキサー工程入力!$J$6:$J$65,⑫ミキサー工程入力!$S$6:$S$65,$J245,⑫ミキサー工程入力!$J$6:$J$65,"&gt;0",⑫ミキサー工程入力!$I$6:$I$65,"&gt;0",⑫ミキサー工程入力!$M$6:$M$65,"&gt;0")+SUMIFS(⑬計量工程入力!$J$6:$J$65,⑬計量工程入力!$S$6:$S$65,$J245,⑬計量工程入力!$J$6:$J$65,"&gt;0",⑬計量工程入力!$M$6:$M$65,"&gt;0")-SUMIFS(⑬計量工程入力!$J$6:$J$65,⑬計量工程入力!$S$6:$S$65,$J245,⑬計量工程入力!$J$6:$J$65,"&gt;0",⑬計量工程入力!$I$6:$I$65,"&gt;0",⑬計量工程入力!$M$6:$M$65,"&gt;0")+SUMIFS(⑭手動工程入力!$J$6:$J$47,⑭手動工程入力!$S$6:$S$47,$J245,⑭手動工程入力!$J$6:$J$47,"&gt;0",⑭手動工程入力!$M$6:$M$47,"&gt;0")-SUMIFS(⑭手動工程入力!$J$6:$J$47,⑭手動工程入力!$S$6:$S$47,$J245,⑭手動工程入力!$J$6:$J$47,"&gt;0",⑭手動工程入力!$I$6:$I$47,"&gt;0",⑭手動工程入力!$M$6:$M$47,"&gt;0"))</f>
        <v/>
      </c>
      <c r="P245" s="392" t="n"/>
    </row>
    <row r="246">
      <c r="A246" s="392" t="n">
        <v>242</v>
      </c>
      <c r="B246" s="392" t="n"/>
      <c r="C246" s="392" t="n"/>
      <c r="D246" s="392" t="n"/>
      <c r="E246" s="392" t="n"/>
      <c r="F246" s="394" t="n"/>
      <c r="G246" s="392" t="n"/>
      <c r="H246" s="604">
        <f>IFERROR(IF(AND($K246&gt;0,ISNUMBER(IF(OR($D246="g",$D246="ｇ"),IF($M246&gt;0,$L246/$M246/1000,""),IF($D246="kg",IF($M246&gt;0,$L246/$M246,""),IF($D246="",IF($M246&gt;0,$L246/$M246/1000,IF($O246&gt;0,$N246/$O246,"")),IF($O246&gt;0,$N246/$O246,"")))))),IF(OR($D246="g",$D246="ｇ"),IF($M246&gt;0,$L246/$M246/1000,""),IF($D246="kg",IF($M246&gt;0,$L246/$M246,""),IF($D246="",IF($M246&gt;0,$L246/$M246/1000,IF($O246&gt;0,$N246/$O246,"")),IF($O246&gt;0,$N246/$O246,"")))),IF($F246="",IF(OR($E246="",$E246="⑩盛付梱包工程入力"),"",IF(OR($D246="g",$D246="ｇ"),INDEX(⑰工程労務費一覧!$N$5:$N$11,MATCH($E246,⑰工程労務費一覧!$K$5:$K$11,0))/1000,IF($D246="kg",INDEX(⑰工程労務費一覧!$N$5:$N$11,MATCH($E246,⑰工程労務費一覧!$K$5:$K$11,0)),IF(OR($D246="個",$D246="切",$D246="本",$D246="枚",$D246="尾"),IF($E246="⑬計量工程入力","",INDEX(⑰工程労務費一覧!$P$5:$P$11,MATCH($E246,⑰工程労務費一覧!$K$5:$K$11,0))),IF(AND($D246="",OR($E246="②釜工程入力",$E246="③スチコン工程入力")),INDEX(⑰工程労務費一覧!$N$5:$N$11,MATCH($E246,⑰工程労務費一覧!$K$5:$K$11,0))/1000,""))))),IF(OR($D246="g",$D246="ｇ"),INDEX(⑰工程労務費一覧!$H$5:$H$753,MATCH($F246,⑰工程労務費一覧!$D$5:$D$753,0))/1000,IF($D246="kg",INDEX(⑰工程労務費一覧!$H$5:$H$753,MATCH($F246,⑰工程労務費一覧!$D$5:$D$753,0)),INDEX(⑰工程労務費一覧!$I$5:$I$753,MATCH($F246,⑰工程労務費一覧!$D$5:$D$753,0)))))),"")</f>
        <v/>
      </c>
      <c r="I246" s="392">
        <f>IF($K246&gt;0,IF(ISNUMBER(IF(OR($D246="g",$D246="ｇ"),IF($M246&gt;0,$L246/$M246/1000,""),IF($D246="kg",IF($M246&gt;0,$L246/$M246,""),IF($D246="",IF($M246&gt;0,$L246/$M246/1000,IF($O246&gt;0,$N246/$O246,"")),IF($O246&gt;0,$N246/$O246,""))))),IF($D246="",IF($M246&gt;0,"◎ JAN紐づけ(g扱い)","◎ JAN紐づけ(個扱い)"),"◎ JAN紐づけ"),"△ JAN紐づけ済・実績不足→仮計算"),IF($F246="",IF(ISNUMBER($H246),IF($D246="","⑤ 工程平均で仮計算(g扱い)","⑤ 工程平均で仮計算"),IF($E246="⑩盛付梱包工程入力","⑥ 盛り込み(⑳F列で計上)",IF(AND($E246="⑬計量工程入力",OR($D246="個",$D246="切",$D246="本",$D246="枚",$D246="尾")),"① 未紐づけ(カット個単位は仮単価なし)","① 未紐づけ"))),IF(NOT(ISNUMBER($H246)),"② 工程側に単価なし",IF($D246="","③ 単位未設定(個で計算)","④ OK"))))</f>
        <v/>
      </c>
      <c r="J246" s="399">
        <f>IFERROR(LOOKUP(2,1/((中間品リスト!$F$2:$F$1299=$B246)*(中間品リスト!$E$2:$E$1299&lt;&gt;"-")*(中間品リスト!$E$2:$E$1299&lt;&gt;"")),中間品リスト!$E$2:$E$1299),"")</f>
        <v/>
      </c>
      <c r="K246" s="400">
        <f>IF($J246="",0,COUNTIF(②釜工程入力!$S$5:$S$117,$J246)+COUNTIF(③スチコン工程入力!$S$5:$S$152,$J246)+COUNTIF(⑪ZEN工程入力!$S$6:$S$35,$J246)+COUNTIF(⑫ミキサー工程入力!$S$6:$S$65,$J246)+COUNTIF(⑬計量工程入力!$S$6:$S$65,$J246)+COUNTIF(⑭手動工程入力!$S$6:$S$47,$J246))</f>
        <v/>
      </c>
      <c r="L246" s="393">
        <f>IF($J246="",0,SUMIFS(②釜工程入力!$M$5:$M$117,②釜工程入力!$S$5:$S$117,$J246,②釜工程入力!$I$5:$I$117,"&gt;0")+SUMIFS(③スチコン工程入力!$M$5:$M$152,③スチコン工程入力!$S$5:$S$152,$J246,③スチコン工程入力!$I$5:$I$152,"&gt;0")+SUMIFS(⑪ZEN工程入力!$M$6:$M$35,⑪ZEN工程入力!$S$6:$S$35,$J246,⑪ZEN工程入力!$I$6:$I$35,"&gt;0")+SUMIFS(⑫ミキサー工程入力!$M$6:$M$65,⑫ミキサー工程入力!$S$6:$S$65,$J246,⑫ミキサー工程入力!$I$6:$I$65,"&gt;0")+SUMIFS(⑬計量工程入力!$M$6:$M$65,⑬計量工程入力!$S$6:$S$65,$J246,⑬計量工程入力!$I$6:$I$65,"&gt;0")+SUMIFS(⑭手動工程入力!$M$6:$M$47,⑭手動工程入力!$S$6:$S$47,$J246,⑭手動工程入力!$I$6:$I$47,"&gt;0"))</f>
        <v/>
      </c>
      <c r="M246" s="393">
        <f>IF($J246="",0,SUMIFS(②釜工程入力!$I$5:$I$117,②釜工程入力!$S$5:$S$117,$J246,②釜工程入力!$I$5:$I$117,"&gt;0",②釜工程入力!$M$5:$M$117,"&gt;0")+SUMIFS(③スチコン工程入力!$I$5:$I$152,③スチコン工程入力!$S$5:$S$152,$J246,③スチコン工程入力!$I$5:$I$152,"&gt;0",③スチコン工程入力!$M$5:$M$152,"&gt;0")+SUMIFS(⑪ZEN工程入力!$I$6:$I$35,⑪ZEN工程入力!$S$6:$S$35,$J246,⑪ZEN工程入力!$I$6:$I$35,"&gt;0",⑪ZEN工程入力!$M$6:$M$35,"&gt;0")+SUMIFS(⑫ミキサー工程入力!$I$6:$I$65,⑫ミキサー工程入力!$S$6:$S$65,$J246,⑫ミキサー工程入力!$I$6:$I$65,"&gt;0",⑫ミキサー工程入力!$M$6:$M$65,"&gt;0")+SUMIFS(⑬計量工程入力!$I$6:$I$65,⑬計量工程入力!$S$6:$S$65,$J246,⑬計量工程入力!$I$6:$I$65,"&gt;0",⑬計量工程入力!$M$6:$M$65,"&gt;0")+SUMIFS(⑭手動工程入力!$I$6:$I$47,⑭手動工程入力!$S$6:$S$47,$J246,⑭手動工程入力!$I$6:$I$47,"&gt;0",⑭手動工程入力!$M$6:$M$47,"&gt;0"))</f>
        <v/>
      </c>
      <c r="N246" s="393">
        <f>IF($J246="",0,SUMIFS(②釜工程入力!$M$5:$M$117,②釜工程入力!$S$5:$S$117,$J246,②釜工程入力!$J$5:$J$117,"&gt;0")-SUMIFS(②釜工程入力!$M$5:$M$117,②釜工程入力!$S$5:$S$117,$J246,②釜工程入力!$J$5:$J$117,"&gt;0",②釜工程入力!$I$5:$I$117,"&gt;0")+SUMIFS(③スチコン工程入力!$M$5:$M$152,③スチコン工程入力!$S$5:$S$152,$J246,③スチコン工程入力!$J$5:$J$152,"&gt;0")-SUMIFS(③スチコン工程入力!$M$5:$M$152,③スチコン工程入力!$S$5:$S$152,$J246,③スチコン工程入力!$J$5:$J$152,"&gt;0",③スチコン工程入力!$I$5:$I$152,"&gt;0")+SUMIFS(⑪ZEN工程入力!$M$6:$M$35,⑪ZEN工程入力!$S$6:$S$35,$J246,⑪ZEN工程入力!$J$6:$J$35,"&gt;0")-SUMIFS(⑪ZEN工程入力!$M$6:$M$35,⑪ZEN工程入力!$S$6:$S$35,$J246,⑪ZEN工程入力!$J$6:$J$35,"&gt;0",⑪ZEN工程入力!$I$6:$I$35,"&gt;0")+SUMIFS(⑫ミキサー工程入力!$M$6:$M$65,⑫ミキサー工程入力!$S$6:$S$65,$J246,⑫ミキサー工程入力!$J$6:$J$65,"&gt;0")-SUMIFS(⑫ミキサー工程入力!$M$6:$M$65,⑫ミキサー工程入力!$S$6:$S$65,$J246,⑫ミキサー工程入力!$J$6:$J$65,"&gt;0",⑫ミキサー工程入力!$I$6:$I$65,"&gt;0")+SUMIFS(⑬計量工程入力!$M$6:$M$65,⑬計量工程入力!$S$6:$S$65,$J246,⑬計量工程入力!$J$6:$J$65,"&gt;0")-SUMIFS(⑬計量工程入力!$M$6:$M$65,⑬計量工程入力!$S$6:$S$65,$J246,⑬計量工程入力!$J$6:$J$65,"&gt;0",⑬計量工程入力!$I$6:$I$65,"&gt;0")+SUMIFS(⑭手動工程入力!$M$6:$M$47,⑭手動工程入力!$S$6:$S$47,$J246,⑭手動工程入力!$J$6:$J$47,"&gt;0")-SUMIFS(⑭手動工程入力!$M$6:$M$47,⑭手動工程入力!$S$6:$S$47,$J246,⑭手動工程入力!$J$6:$J$47,"&gt;0",⑭手動工程入力!$I$6:$I$47,"&gt;0"))</f>
        <v/>
      </c>
      <c r="O246" s="393">
        <f>IF($J246="",0,SUMIFS(②釜工程入力!$J$5:$J$117,②釜工程入力!$S$5:$S$117,$J246,②釜工程入力!$J$5:$J$117,"&gt;0",②釜工程入力!$M$5:$M$117,"&gt;0")-SUMIFS(②釜工程入力!$J$5:$J$117,②釜工程入力!$S$5:$S$117,$J246,②釜工程入力!$J$5:$J$117,"&gt;0",②釜工程入力!$I$5:$I$117,"&gt;0",②釜工程入力!$M$5:$M$117,"&gt;0")+SUMIFS(③スチコン工程入力!$J$5:$J$152,③スチコン工程入力!$S$5:$S$152,$J246,③スチコン工程入力!$J$5:$J$152,"&gt;0",③スチコン工程入力!$M$5:$M$152,"&gt;0")-SUMIFS(③スチコン工程入力!$J$5:$J$152,③スチコン工程入力!$S$5:$S$152,$J246,③スチコン工程入力!$J$5:$J$152,"&gt;0",③スチコン工程入力!$I$5:$I$152,"&gt;0",③スチコン工程入力!$M$5:$M$152,"&gt;0")+SUMIFS(⑪ZEN工程入力!$J$6:$J$35,⑪ZEN工程入力!$S$6:$S$35,$J246,⑪ZEN工程入力!$J$6:$J$35,"&gt;0",⑪ZEN工程入力!$M$6:$M$35,"&gt;0")-SUMIFS(⑪ZEN工程入力!$J$6:$J$35,⑪ZEN工程入力!$S$6:$S$35,$J246,⑪ZEN工程入力!$J$6:$J$35,"&gt;0",⑪ZEN工程入力!$I$6:$I$35,"&gt;0",⑪ZEN工程入力!$M$6:$M$35,"&gt;0")+SUMIFS(⑫ミキサー工程入力!$J$6:$J$65,⑫ミキサー工程入力!$S$6:$S$65,$J246,⑫ミキサー工程入力!$J$6:$J$65,"&gt;0",⑫ミキサー工程入力!$M$6:$M$65,"&gt;0")-SUMIFS(⑫ミキサー工程入力!$J$6:$J$65,⑫ミキサー工程入力!$S$6:$S$65,$J246,⑫ミキサー工程入力!$J$6:$J$65,"&gt;0",⑫ミキサー工程入力!$I$6:$I$65,"&gt;0",⑫ミキサー工程入力!$M$6:$M$65,"&gt;0")+SUMIFS(⑬計量工程入力!$J$6:$J$65,⑬計量工程入力!$S$6:$S$65,$J246,⑬計量工程入力!$J$6:$J$65,"&gt;0",⑬計量工程入力!$M$6:$M$65,"&gt;0")-SUMIFS(⑬計量工程入力!$J$6:$J$65,⑬計量工程入力!$S$6:$S$65,$J246,⑬計量工程入力!$J$6:$J$65,"&gt;0",⑬計量工程入力!$I$6:$I$65,"&gt;0",⑬計量工程入力!$M$6:$M$65,"&gt;0")+SUMIFS(⑭手動工程入力!$J$6:$J$47,⑭手動工程入力!$S$6:$S$47,$J246,⑭手動工程入力!$J$6:$J$47,"&gt;0",⑭手動工程入力!$M$6:$M$47,"&gt;0")-SUMIFS(⑭手動工程入力!$J$6:$J$47,⑭手動工程入力!$S$6:$S$47,$J246,⑭手動工程入力!$J$6:$J$47,"&gt;0",⑭手動工程入力!$I$6:$I$47,"&gt;0",⑭手動工程入力!$M$6:$M$47,"&gt;0"))</f>
        <v/>
      </c>
      <c r="P246" s="392" t="n"/>
    </row>
    <row r="247">
      <c r="A247" s="392" t="n">
        <v>243</v>
      </c>
      <c r="B247" s="392" t="n"/>
      <c r="C247" s="392" t="n"/>
      <c r="D247" s="409" t="n"/>
      <c r="E247" s="392" t="n"/>
      <c r="F247" s="394" t="n"/>
      <c r="G247" s="392" t="n"/>
      <c r="H247" s="604">
        <f>IFERROR(IF(AND($K247&gt;0,ISNUMBER(IF(OR($D247="g",$D247="ｇ"),IF($M247&gt;0,$L247/$M247/1000,""),IF($D247="kg",IF($M247&gt;0,$L247/$M247,""),IF($D247="",IF($M247&gt;0,$L247/$M247/1000,IF($O247&gt;0,$N247/$O247,"")),IF($O247&gt;0,$N247/$O247,"")))))),IF(OR($D247="g",$D247="ｇ"),IF($M247&gt;0,$L247/$M247/1000,""),IF($D247="kg",IF($M247&gt;0,$L247/$M247,""),IF($D247="",IF($M247&gt;0,$L247/$M247/1000,IF($O247&gt;0,$N247/$O247,"")),IF($O247&gt;0,$N247/$O247,"")))),IF($F247="",IF(OR($E247="",$E247="⑩盛付梱包工程入力"),"",IF(OR($D247="g",$D247="ｇ"),INDEX(⑰工程労務費一覧!$N$5:$N$11,MATCH($E247,⑰工程労務費一覧!$K$5:$K$11,0))/1000,IF($D247="kg",INDEX(⑰工程労務費一覧!$N$5:$N$11,MATCH($E247,⑰工程労務費一覧!$K$5:$K$11,0)),IF(OR($D247="個",$D247="切",$D247="本",$D247="枚",$D247="尾"),IF($E247="⑬計量工程入力","",INDEX(⑰工程労務費一覧!$P$5:$P$11,MATCH($E247,⑰工程労務費一覧!$K$5:$K$11,0))),IF(AND($D247="",OR($E247="②釜工程入力",$E247="③スチコン工程入力")),INDEX(⑰工程労務費一覧!$N$5:$N$11,MATCH($E247,⑰工程労務費一覧!$K$5:$K$11,0))/1000,""))))),IF(OR($D247="g",$D247="ｇ"),INDEX(⑰工程労務費一覧!$H$5:$H$753,MATCH($F247,⑰工程労務費一覧!$D$5:$D$753,0))/1000,IF($D247="kg",INDEX(⑰工程労務費一覧!$H$5:$H$753,MATCH($F247,⑰工程労務費一覧!$D$5:$D$753,0)),INDEX(⑰工程労務費一覧!$I$5:$I$753,MATCH($F247,⑰工程労務費一覧!$D$5:$D$753,0)))))),"")</f>
        <v/>
      </c>
      <c r="I247" s="392">
        <f>IF($K247&gt;0,IF(ISNUMBER(IF(OR($D247="g",$D247="ｇ"),IF($M247&gt;0,$L247/$M247/1000,""),IF($D247="kg",IF($M247&gt;0,$L247/$M247,""),IF($D247="",IF($M247&gt;0,$L247/$M247/1000,IF($O247&gt;0,$N247/$O247,"")),IF($O247&gt;0,$N247/$O247,""))))),IF($D247="",IF($M247&gt;0,"◎ JAN紐づけ(g扱い)","◎ JAN紐づけ(個扱い)"),"◎ JAN紐づけ"),"△ JAN紐づけ済・実績不足→仮計算"),IF($F247="",IF(ISNUMBER($H247),IF($D247="","⑤ 工程平均で仮計算(g扱い)","⑤ 工程平均で仮計算"),IF($E247="⑩盛付梱包工程入力","⑥ 盛り込み(⑳F列で計上)",IF(AND($E247="⑬計量工程入力",OR($D247="個",$D247="切",$D247="本",$D247="枚",$D247="尾")),"① 未紐づけ(カット個単位は仮単価なし)","① 未紐づけ"))),IF(NOT(ISNUMBER($H247)),"② 工程側に単価なし",IF($D247="","③ 単位未設定(個で計算)","④ OK"))))</f>
        <v/>
      </c>
      <c r="J247" s="399">
        <f>IFERROR(LOOKUP(2,1/((中間品リスト!$F$2:$F$1299=$B247)*(中間品リスト!$E$2:$E$1299&lt;&gt;"-")*(中間品リスト!$E$2:$E$1299&lt;&gt;"")),中間品リスト!$E$2:$E$1299),"")</f>
        <v/>
      </c>
      <c r="K247" s="400">
        <f>IF($J247="",0,COUNTIF(②釜工程入力!$S$5:$S$117,$J247)+COUNTIF(③スチコン工程入力!$S$5:$S$152,$J247)+COUNTIF(⑪ZEN工程入力!$S$6:$S$35,$J247)+COUNTIF(⑫ミキサー工程入力!$S$6:$S$65,$J247)+COUNTIF(⑬計量工程入力!$S$6:$S$65,$J247)+COUNTIF(⑭手動工程入力!$S$6:$S$47,$J247))</f>
        <v/>
      </c>
      <c r="L247" s="393">
        <f>IF($J247="",0,SUMIFS(②釜工程入力!$M$5:$M$117,②釜工程入力!$S$5:$S$117,$J247,②釜工程入力!$I$5:$I$117,"&gt;0")+SUMIFS(③スチコン工程入力!$M$5:$M$152,③スチコン工程入力!$S$5:$S$152,$J247,③スチコン工程入力!$I$5:$I$152,"&gt;0")+SUMIFS(⑪ZEN工程入力!$M$6:$M$35,⑪ZEN工程入力!$S$6:$S$35,$J247,⑪ZEN工程入力!$I$6:$I$35,"&gt;0")+SUMIFS(⑫ミキサー工程入力!$M$6:$M$65,⑫ミキサー工程入力!$S$6:$S$65,$J247,⑫ミキサー工程入力!$I$6:$I$65,"&gt;0")+SUMIFS(⑬計量工程入力!$M$6:$M$65,⑬計量工程入力!$S$6:$S$65,$J247,⑬計量工程入力!$I$6:$I$65,"&gt;0")+SUMIFS(⑭手動工程入力!$M$6:$M$47,⑭手動工程入力!$S$6:$S$47,$J247,⑭手動工程入力!$I$6:$I$47,"&gt;0"))</f>
        <v/>
      </c>
      <c r="M247" s="393">
        <f>IF($J247="",0,SUMIFS(②釜工程入力!$I$5:$I$117,②釜工程入力!$S$5:$S$117,$J247,②釜工程入力!$I$5:$I$117,"&gt;0",②釜工程入力!$M$5:$M$117,"&gt;0")+SUMIFS(③スチコン工程入力!$I$5:$I$152,③スチコン工程入力!$S$5:$S$152,$J247,③スチコン工程入力!$I$5:$I$152,"&gt;0",③スチコン工程入力!$M$5:$M$152,"&gt;0")+SUMIFS(⑪ZEN工程入力!$I$6:$I$35,⑪ZEN工程入力!$S$6:$S$35,$J247,⑪ZEN工程入力!$I$6:$I$35,"&gt;0",⑪ZEN工程入力!$M$6:$M$35,"&gt;0")+SUMIFS(⑫ミキサー工程入力!$I$6:$I$65,⑫ミキサー工程入力!$S$6:$S$65,$J247,⑫ミキサー工程入力!$I$6:$I$65,"&gt;0",⑫ミキサー工程入力!$M$6:$M$65,"&gt;0")+SUMIFS(⑬計量工程入力!$I$6:$I$65,⑬計量工程入力!$S$6:$S$65,$J247,⑬計量工程入力!$I$6:$I$65,"&gt;0",⑬計量工程入力!$M$6:$M$65,"&gt;0")+SUMIFS(⑭手動工程入力!$I$6:$I$47,⑭手動工程入力!$S$6:$S$47,$J247,⑭手動工程入力!$I$6:$I$47,"&gt;0",⑭手動工程入力!$M$6:$M$47,"&gt;0"))</f>
        <v/>
      </c>
      <c r="N247" s="393">
        <f>IF($J247="",0,SUMIFS(②釜工程入力!$M$5:$M$117,②釜工程入力!$S$5:$S$117,$J247,②釜工程入力!$J$5:$J$117,"&gt;0")-SUMIFS(②釜工程入力!$M$5:$M$117,②釜工程入力!$S$5:$S$117,$J247,②釜工程入力!$J$5:$J$117,"&gt;0",②釜工程入力!$I$5:$I$117,"&gt;0")+SUMIFS(③スチコン工程入力!$M$5:$M$152,③スチコン工程入力!$S$5:$S$152,$J247,③スチコン工程入力!$J$5:$J$152,"&gt;0")-SUMIFS(③スチコン工程入力!$M$5:$M$152,③スチコン工程入力!$S$5:$S$152,$J247,③スチコン工程入力!$J$5:$J$152,"&gt;0",③スチコン工程入力!$I$5:$I$152,"&gt;0")+SUMIFS(⑪ZEN工程入力!$M$6:$M$35,⑪ZEN工程入力!$S$6:$S$35,$J247,⑪ZEN工程入力!$J$6:$J$35,"&gt;0")-SUMIFS(⑪ZEN工程入力!$M$6:$M$35,⑪ZEN工程入力!$S$6:$S$35,$J247,⑪ZEN工程入力!$J$6:$J$35,"&gt;0",⑪ZEN工程入力!$I$6:$I$35,"&gt;0")+SUMIFS(⑫ミキサー工程入力!$M$6:$M$65,⑫ミキサー工程入力!$S$6:$S$65,$J247,⑫ミキサー工程入力!$J$6:$J$65,"&gt;0")-SUMIFS(⑫ミキサー工程入力!$M$6:$M$65,⑫ミキサー工程入力!$S$6:$S$65,$J247,⑫ミキサー工程入力!$J$6:$J$65,"&gt;0",⑫ミキサー工程入力!$I$6:$I$65,"&gt;0")+SUMIFS(⑬計量工程入力!$M$6:$M$65,⑬計量工程入力!$S$6:$S$65,$J247,⑬計量工程入力!$J$6:$J$65,"&gt;0")-SUMIFS(⑬計量工程入力!$M$6:$M$65,⑬計量工程入力!$S$6:$S$65,$J247,⑬計量工程入力!$J$6:$J$65,"&gt;0",⑬計量工程入力!$I$6:$I$65,"&gt;0")+SUMIFS(⑭手動工程入力!$M$6:$M$47,⑭手動工程入力!$S$6:$S$47,$J247,⑭手動工程入力!$J$6:$J$47,"&gt;0")-SUMIFS(⑭手動工程入力!$M$6:$M$47,⑭手動工程入力!$S$6:$S$47,$J247,⑭手動工程入力!$J$6:$J$47,"&gt;0",⑭手動工程入力!$I$6:$I$47,"&gt;0"))</f>
        <v/>
      </c>
      <c r="O247" s="393">
        <f>IF($J247="",0,SUMIFS(②釜工程入力!$J$5:$J$117,②釜工程入力!$S$5:$S$117,$J247,②釜工程入力!$J$5:$J$117,"&gt;0",②釜工程入力!$M$5:$M$117,"&gt;0")-SUMIFS(②釜工程入力!$J$5:$J$117,②釜工程入力!$S$5:$S$117,$J247,②釜工程入力!$J$5:$J$117,"&gt;0",②釜工程入力!$I$5:$I$117,"&gt;0",②釜工程入力!$M$5:$M$117,"&gt;0")+SUMIFS(③スチコン工程入力!$J$5:$J$152,③スチコン工程入力!$S$5:$S$152,$J247,③スチコン工程入力!$J$5:$J$152,"&gt;0",③スチコン工程入力!$M$5:$M$152,"&gt;0")-SUMIFS(③スチコン工程入力!$J$5:$J$152,③スチコン工程入力!$S$5:$S$152,$J247,③スチコン工程入力!$J$5:$J$152,"&gt;0",③スチコン工程入力!$I$5:$I$152,"&gt;0",③スチコン工程入力!$M$5:$M$152,"&gt;0")+SUMIFS(⑪ZEN工程入力!$J$6:$J$35,⑪ZEN工程入力!$S$6:$S$35,$J247,⑪ZEN工程入力!$J$6:$J$35,"&gt;0",⑪ZEN工程入力!$M$6:$M$35,"&gt;0")-SUMIFS(⑪ZEN工程入力!$J$6:$J$35,⑪ZEN工程入力!$S$6:$S$35,$J247,⑪ZEN工程入力!$J$6:$J$35,"&gt;0",⑪ZEN工程入力!$I$6:$I$35,"&gt;0",⑪ZEN工程入力!$M$6:$M$35,"&gt;0")+SUMIFS(⑫ミキサー工程入力!$J$6:$J$65,⑫ミキサー工程入力!$S$6:$S$65,$J247,⑫ミキサー工程入力!$J$6:$J$65,"&gt;0",⑫ミキサー工程入力!$M$6:$M$65,"&gt;0")-SUMIFS(⑫ミキサー工程入力!$J$6:$J$65,⑫ミキサー工程入力!$S$6:$S$65,$J247,⑫ミキサー工程入力!$J$6:$J$65,"&gt;0",⑫ミキサー工程入力!$I$6:$I$65,"&gt;0",⑫ミキサー工程入力!$M$6:$M$65,"&gt;0")+SUMIFS(⑬計量工程入力!$J$6:$J$65,⑬計量工程入力!$S$6:$S$65,$J247,⑬計量工程入力!$J$6:$J$65,"&gt;0",⑬計量工程入力!$M$6:$M$65,"&gt;0")-SUMIFS(⑬計量工程入力!$J$6:$J$65,⑬計量工程入力!$S$6:$S$65,$J247,⑬計量工程入力!$J$6:$J$65,"&gt;0",⑬計量工程入力!$I$6:$I$65,"&gt;0",⑬計量工程入力!$M$6:$M$65,"&gt;0")+SUMIFS(⑭手動工程入力!$J$6:$J$47,⑭手動工程入力!$S$6:$S$47,$J247,⑭手動工程入力!$J$6:$J$47,"&gt;0",⑭手動工程入力!$M$6:$M$47,"&gt;0")-SUMIFS(⑭手動工程入力!$J$6:$J$47,⑭手動工程入力!$S$6:$S$47,$J247,⑭手動工程入力!$J$6:$J$47,"&gt;0",⑭手動工程入力!$I$6:$I$47,"&gt;0",⑭手動工程入力!$M$6:$M$47,"&gt;0"))</f>
        <v/>
      </c>
      <c r="P247" s="392" t="inlineStr">
        <is>
          <t>中間品リスト</t>
        </is>
      </c>
    </row>
    <row r="248">
      <c r="A248" s="392" t="n">
        <v>244</v>
      </c>
      <c r="B248" s="392" t="n"/>
      <c r="C248" s="392" t="n"/>
      <c r="D248" s="392" t="n"/>
      <c r="E248" s="392" t="n"/>
      <c r="F248" s="394" t="n"/>
      <c r="G248" s="392" t="n"/>
      <c r="H248" s="604">
        <f>IFERROR(IF(AND($K248&gt;0,ISNUMBER(IF(OR($D248="g",$D248="ｇ"),IF($M248&gt;0,$L248/$M248/1000,""),IF($D248="kg",IF($M248&gt;0,$L248/$M248,""),IF($D248="",IF($M248&gt;0,$L248/$M248/1000,IF($O248&gt;0,$N248/$O248,"")),IF($O248&gt;0,$N248/$O248,"")))))),IF(OR($D248="g",$D248="ｇ"),IF($M248&gt;0,$L248/$M248/1000,""),IF($D248="kg",IF($M248&gt;0,$L248/$M248,""),IF($D248="",IF($M248&gt;0,$L248/$M248/1000,IF($O248&gt;0,$N248/$O248,"")),IF($O248&gt;0,$N248/$O248,"")))),IF($F248="",IF(OR($E248="",$E248="⑩盛付梱包工程入力"),"",IF(OR($D248="g",$D248="ｇ"),INDEX(⑰工程労務費一覧!$N$5:$N$11,MATCH($E248,⑰工程労務費一覧!$K$5:$K$11,0))/1000,IF($D248="kg",INDEX(⑰工程労務費一覧!$N$5:$N$11,MATCH($E248,⑰工程労務費一覧!$K$5:$K$11,0)),IF(OR($D248="個",$D248="切",$D248="本",$D248="枚",$D248="尾"),IF($E248="⑬計量工程入力","",INDEX(⑰工程労務費一覧!$P$5:$P$11,MATCH($E248,⑰工程労務費一覧!$K$5:$K$11,0))),IF(AND($D248="",OR($E248="②釜工程入力",$E248="③スチコン工程入力")),INDEX(⑰工程労務費一覧!$N$5:$N$11,MATCH($E248,⑰工程労務費一覧!$K$5:$K$11,0))/1000,""))))),IF(OR($D248="g",$D248="ｇ"),INDEX(⑰工程労務費一覧!$H$5:$H$753,MATCH($F248,⑰工程労務費一覧!$D$5:$D$753,0))/1000,IF($D248="kg",INDEX(⑰工程労務費一覧!$H$5:$H$753,MATCH($F248,⑰工程労務費一覧!$D$5:$D$753,0)),INDEX(⑰工程労務費一覧!$I$5:$I$753,MATCH($F248,⑰工程労務費一覧!$D$5:$D$753,0)))))),"")</f>
        <v/>
      </c>
      <c r="I248" s="392">
        <f>IF($K248&gt;0,IF(ISNUMBER(IF(OR($D248="g",$D248="ｇ"),IF($M248&gt;0,$L248/$M248/1000,""),IF($D248="kg",IF($M248&gt;0,$L248/$M248,""),IF($D248="",IF($M248&gt;0,$L248/$M248/1000,IF($O248&gt;0,$N248/$O248,"")),IF($O248&gt;0,$N248/$O248,""))))),IF($D248="",IF($M248&gt;0,"◎ JAN紐づけ(g扱い)","◎ JAN紐づけ(個扱い)"),"◎ JAN紐づけ"),"△ JAN紐づけ済・実績不足→仮計算"),IF($F248="",IF(ISNUMBER($H248),IF($D248="","⑤ 工程平均で仮計算(g扱い)","⑤ 工程平均で仮計算"),IF($E248="⑩盛付梱包工程入力","⑥ 盛り込み(⑳F列で計上)",IF(AND($E248="⑬計量工程入力",OR($D248="個",$D248="切",$D248="本",$D248="枚",$D248="尾")),"① 未紐づけ(カット個単位は仮単価なし)","① 未紐づけ"))),IF(NOT(ISNUMBER($H248)),"② 工程側に単価なし",IF($D248="","③ 単位未設定(個で計算)","④ OK"))))</f>
        <v/>
      </c>
      <c r="J248" s="399">
        <f>IFERROR(LOOKUP(2,1/((中間品リスト!$F$2:$F$1299=$B248)*(中間品リスト!$E$2:$E$1299&lt;&gt;"-")*(中間品リスト!$E$2:$E$1299&lt;&gt;"")),中間品リスト!$E$2:$E$1299),"")</f>
        <v/>
      </c>
      <c r="K248" s="400">
        <f>IF($J248="",0,COUNTIF(②釜工程入力!$S$5:$S$117,$J248)+COUNTIF(③スチコン工程入力!$S$5:$S$152,$J248)+COUNTIF(⑪ZEN工程入力!$S$6:$S$35,$J248)+COUNTIF(⑫ミキサー工程入力!$S$6:$S$65,$J248)+COUNTIF(⑬計量工程入力!$S$6:$S$65,$J248)+COUNTIF(⑭手動工程入力!$S$6:$S$47,$J248))</f>
        <v/>
      </c>
      <c r="L248" s="393">
        <f>IF($J248="",0,SUMIFS(②釜工程入力!$M$5:$M$117,②釜工程入力!$S$5:$S$117,$J248,②釜工程入力!$I$5:$I$117,"&gt;0")+SUMIFS(③スチコン工程入力!$M$5:$M$152,③スチコン工程入力!$S$5:$S$152,$J248,③スチコン工程入力!$I$5:$I$152,"&gt;0")+SUMIFS(⑪ZEN工程入力!$M$6:$M$35,⑪ZEN工程入力!$S$6:$S$35,$J248,⑪ZEN工程入力!$I$6:$I$35,"&gt;0")+SUMIFS(⑫ミキサー工程入力!$M$6:$M$65,⑫ミキサー工程入力!$S$6:$S$65,$J248,⑫ミキサー工程入力!$I$6:$I$65,"&gt;0")+SUMIFS(⑬計量工程入力!$M$6:$M$65,⑬計量工程入力!$S$6:$S$65,$J248,⑬計量工程入力!$I$6:$I$65,"&gt;0")+SUMIFS(⑭手動工程入力!$M$6:$M$47,⑭手動工程入力!$S$6:$S$47,$J248,⑭手動工程入力!$I$6:$I$47,"&gt;0"))</f>
        <v/>
      </c>
      <c r="M248" s="393">
        <f>IF($J248="",0,SUMIFS(②釜工程入力!$I$5:$I$117,②釜工程入力!$S$5:$S$117,$J248,②釜工程入力!$I$5:$I$117,"&gt;0",②釜工程入力!$M$5:$M$117,"&gt;0")+SUMIFS(③スチコン工程入力!$I$5:$I$152,③スチコン工程入力!$S$5:$S$152,$J248,③スチコン工程入力!$I$5:$I$152,"&gt;0",③スチコン工程入力!$M$5:$M$152,"&gt;0")+SUMIFS(⑪ZEN工程入力!$I$6:$I$35,⑪ZEN工程入力!$S$6:$S$35,$J248,⑪ZEN工程入力!$I$6:$I$35,"&gt;0",⑪ZEN工程入力!$M$6:$M$35,"&gt;0")+SUMIFS(⑫ミキサー工程入力!$I$6:$I$65,⑫ミキサー工程入力!$S$6:$S$65,$J248,⑫ミキサー工程入力!$I$6:$I$65,"&gt;0",⑫ミキサー工程入力!$M$6:$M$65,"&gt;0")+SUMIFS(⑬計量工程入力!$I$6:$I$65,⑬計量工程入力!$S$6:$S$65,$J248,⑬計量工程入力!$I$6:$I$65,"&gt;0",⑬計量工程入力!$M$6:$M$65,"&gt;0")+SUMIFS(⑭手動工程入力!$I$6:$I$47,⑭手動工程入力!$S$6:$S$47,$J248,⑭手動工程入力!$I$6:$I$47,"&gt;0",⑭手動工程入力!$M$6:$M$47,"&gt;0"))</f>
        <v/>
      </c>
      <c r="N248" s="393">
        <f>IF($J248="",0,SUMIFS(②釜工程入力!$M$5:$M$117,②釜工程入力!$S$5:$S$117,$J248,②釜工程入力!$J$5:$J$117,"&gt;0")-SUMIFS(②釜工程入力!$M$5:$M$117,②釜工程入力!$S$5:$S$117,$J248,②釜工程入力!$J$5:$J$117,"&gt;0",②釜工程入力!$I$5:$I$117,"&gt;0")+SUMIFS(③スチコン工程入力!$M$5:$M$152,③スチコン工程入力!$S$5:$S$152,$J248,③スチコン工程入力!$J$5:$J$152,"&gt;0")-SUMIFS(③スチコン工程入力!$M$5:$M$152,③スチコン工程入力!$S$5:$S$152,$J248,③スチコン工程入力!$J$5:$J$152,"&gt;0",③スチコン工程入力!$I$5:$I$152,"&gt;0")+SUMIFS(⑪ZEN工程入力!$M$6:$M$35,⑪ZEN工程入力!$S$6:$S$35,$J248,⑪ZEN工程入力!$J$6:$J$35,"&gt;0")-SUMIFS(⑪ZEN工程入力!$M$6:$M$35,⑪ZEN工程入力!$S$6:$S$35,$J248,⑪ZEN工程入力!$J$6:$J$35,"&gt;0",⑪ZEN工程入力!$I$6:$I$35,"&gt;0")+SUMIFS(⑫ミキサー工程入力!$M$6:$M$65,⑫ミキサー工程入力!$S$6:$S$65,$J248,⑫ミキサー工程入力!$J$6:$J$65,"&gt;0")-SUMIFS(⑫ミキサー工程入力!$M$6:$M$65,⑫ミキサー工程入力!$S$6:$S$65,$J248,⑫ミキサー工程入力!$J$6:$J$65,"&gt;0",⑫ミキサー工程入力!$I$6:$I$65,"&gt;0")+SUMIFS(⑬計量工程入力!$M$6:$M$65,⑬計量工程入力!$S$6:$S$65,$J248,⑬計量工程入力!$J$6:$J$65,"&gt;0")-SUMIFS(⑬計量工程入力!$M$6:$M$65,⑬計量工程入力!$S$6:$S$65,$J248,⑬計量工程入力!$J$6:$J$65,"&gt;0",⑬計量工程入力!$I$6:$I$65,"&gt;0")+SUMIFS(⑭手動工程入力!$M$6:$M$47,⑭手動工程入力!$S$6:$S$47,$J248,⑭手動工程入力!$J$6:$J$47,"&gt;0")-SUMIFS(⑭手動工程入力!$M$6:$M$47,⑭手動工程入力!$S$6:$S$47,$J248,⑭手動工程入力!$J$6:$J$47,"&gt;0",⑭手動工程入力!$I$6:$I$47,"&gt;0"))</f>
        <v/>
      </c>
      <c r="O248" s="393">
        <f>IF($J248="",0,SUMIFS(②釜工程入力!$J$5:$J$117,②釜工程入力!$S$5:$S$117,$J248,②釜工程入力!$J$5:$J$117,"&gt;0",②釜工程入力!$M$5:$M$117,"&gt;0")-SUMIFS(②釜工程入力!$J$5:$J$117,②釜工程入力!$S$5:$S$117,$J248,②釜工程入力!$J$5:$J$117,"&gt;0",②釜工程入力!$I$5:$I$117,"&gt;0",②釜工程入力!$M$5:$M$117,"&gt;0")+SUMIFS(③スチコン工程入力!$J$5:$J$152,③スチコン工程入力!$S$5:$S$152,$J248,③スチコン工程入力!$J$5:$J$152,"&gt;0",③スチコン工程入力!$M$5:$M$152,"&gt;0")-SUMIFS(③スチコン工程入力!$J$5:$J$152,③スチコン工程入力!$S$5:$S$152,$J248,③スチコン工程入力!$J$5:$J$152,"&gt;0",③スチコン工程入力!$I$5:$I$152,"&gt;0",③スチコン工程入力!$M$5:$M$152,"&gt;0")+SUMIFS(⑪ZEN工程入力!$J$6:$J$35,⑪ZEN工程入力!$S$6:$S$35,$J248,⑪ZEN工程入力!$J$6:$J$35,"&gt;0",⑪ZEN工程入力!$M$6:$M$35,"&gt;0")-SUMIFS(⑪ZEN工程入力!$J$6:$J$35,⑪ZEN工程入力!$S$6:$S$35,$J248,⑪ZEN工程入力!$J$6:$J$35,"&gt;0",⑪ZEN工程入力!$I$6:$I$35,"&gt;0",⑪ZEN工程入力!$M$6:$M$35,"&gt;0")+SUMIFS(⑫ミキサー工程入力!$J$6:$J$65,⑫ミキサー工程入力!$S$6:$S$65,$J248,⑫ミキサー工程入力!$J$6:$J$65,"&gt;0",⑫ミキサー工程入力!$M$6:$M$65,"&gt;0")-SUMIFS(⑫ミキサー工程入力!$J$6:$J$65,⑫ミキサー工程入力!$S$6:$S$65,$J248,⑫ミキサー工程入力!$J$6:$J$65,"&gt;0",⑫ミキサー工程入力!$I$6:$I$65,"&gt;0",⑫ミキサー工程入力!$M$6:$M$65,"&gt;0")+SUMIFS(⑬計量工程入力!$J$6:$J$65,⑬計量工程入力!$S$6:$S$65,$J248,⑬計量工程入力!$J$6:$J$65,"&gt;0",⑬計量工程入力!$M$6:$M$65,"&gt;0")-SUMIFS(⑬計量工程入力!$J$6:$J$65,⑬計量工程入力!$S$6:$S$65,$J248,⑬計量工程入力!$J$6:$J$65,"&gt;0",⑬計量工程入力!$I$6:$I$65,"&gt;0",⑬計量工程入力!$M$6:$M$65,"&gt;0")+SUMIFS(⑭手動工程入力!$J$6:$J$47,⑭手動工程入力!$S$6:$S$47,$J248,⑭手動工程入力!$J$6:$J$47,"&gt;0",⑭手動工程入力!$M$6:$M$47,"&gt;0")-SUMIFS(⑭手動工程入力!$J$6:$J$47,⑭手動工程入力!$S$6:$S$47,$J248,⑭手動工程入力!$J$6:$J$47,"&gt;0",⑭手動工程入力!$I$6:$I$47,"&gt;0",⑭手動工程入力!$M$6:$M$47,"&gt;0"))</f>
        <v/>
      </c>
      <c r="P248" s="392" t="n"/>
    </row>
    <row r="249">
      <c r="A249" s="392" t="n">
        <v>245</v>
      </c>
      <c r="B249" s="392" t="n"/>
      <c r="C249" s="392" t="n"/>
      <c r="D249" s="409" t="n"/>
      <c r="E249" s="392" t="n"/>
      <c r="F249" s="394" t="n"/>
      <c r="G249" s="392" t="n"/>
      <c r="H249" s="604">
        <f>IFERROR(IF(AND($K249&gt;0,ISNUMBER(IF(OR($D249="g",$D249="ｇ"),IF($M249&gt;0,$L249/$M249/1000,""),IF($D249="kg",IF($M249&gt;0,$L249/$M249,""),IF($D249="",IF($M249&gt;0,$L249/$M249/1000,IF($O249&gt;0,$N249/$O249,"")),IF($O249&gt;0,$N249/$O249,"")))))),IF(OR($D249="g",$D249="ｇ"),IF($M249&gt;0,$L249/$M249/1000,""),IF($D249="kg",IF($M249&gt;0,$L249/$M249,""),IF($D249="",IF($M249&gt;0,$L249/$M249/1000,IF($O249&gt;0,$N249/$O249,"")),IF($O249&gt;0,$N249/$O249,"")))),IF($F249="",IF(OR($E249="",$E249="⑩盛付梱包工程入力"),"",IF(OR($D249="g",$D249="ｇ"),INDEX(⑰工程労務費一覧!$N$5:$N$11,MATCH($E249,⑰工程労務費一覧!$K$5:$K$11,0))/1000,IF($D249="kg",INDEX(⑰工程労務費一覧!$N$5:$N$11,MATCH($E249,⑰工程労務費一覧!$K$5:$K$11,0)),IF(OR($D249="個",$D249="切",$D249="本",$D249="枚",$D249="尾"),IF($E249="⑬計量工程入力","",INDEX(⑰工程労務費一覧!$P$5:$P$11,MATCH($E249,⑰工程労務費一覧!$K$5:$K$11,0))),IF(AND($D249="",OR($E249="②釜工程入力",$E249="③スチコン工程入力")),INDEX(⑰工程労務費一覧!$N$5:$N$11,MATCH($E249,⑰工程労務費一覧!$K$5:$K$11,0))/1000,""))))),IF(OR($D249="g",$D249="ｇ"),INDEX(⑰工程労務費一覧!$H$5:$H$753,MATCH($F249,⑰工程労務費一覧!$D$5:$D$753,0))/1000,IF($D249="kg",INDEX(⑰工程労務費一覧!$H$5:$H$753,MATCH($F249,⑰工程労務費一覧!$D$5:$D$753,0)),INDEX(⑰工程労務費一覧!$I$5:$I$753,MATCH($F249,⑰工程労務費一覧!$D$5:$D$753,0)))))),"")</f>
        <v/>
      </c>
      <c r="I249" s="392">
        <f>IF($K249&gt;0,IF(ISNUMBER(IF(OR($D249="g",$D249="ｇ"),IF($M249&gt;0,$L249/$M249/1000,""),IF($D249="kg",IF($M249&gt;0,$L249/$M249,""),IF($D249="",IF($M249&gt;0,$L249/$M249/1000,IF($O249&gt;0,$N249/$O249,"")),IF($O249&gt;0,$N249/$O249,""))))),IF($D249="",IF($M249&gt;0,"◎ JAN紐づけ(g扱い)","◎ JAN紐づけ(個扱い)"),"◎ JAN紐づけ"),"△ JAN紐づけ済・実績不足→仮計算"),IF($F249="",IF(ISNUMBER($H249),IF($D249="","⑤ 工程平均で仮計算(g扱い)","⑤ 工程平均で仮計算"),IF($E249="⑩盛付梱包工程入力","⑥ 盛り込み(⑳F列で計上)",IF(AND($E249="⑬計量工程入力",OR($D249="個",$D249="切",$D249="本",$D249="枚",$D249="尾")),"① 未紐づけ(カット個単位は仮単価なし)","① 未紐づけ"))),IF(NOT(ISNUMBER($H249)),"② 工程側に単価なし",IF($D249="","③ 単位未設定(個で計算)","④ OK"))))</f>
        <v/>
      </c>
      <c r="J249" s="399">
        <f>IFERROR(LOOKUP(2,1/((中間品リスト!$F$2:$F$1299=$B249)*(中間品リスト!$E$2:$E$1299&lt;&gt;"-")*(中間品リスト!$E$2:$E$1299&lt;&gt;"")),中間品リスト!$E$2:$E$1299),"")</f>
        <v/>
      </c>
      <c r="K249" s="400">
        <f>IF($J249="",0,COUNTIF(②釜工程入力!$S$5:$S$117,$J249)+COUNTIF(③スチコン工程入力!$S$5:$S$152,$J249)+COUNTIF(⑪ZEN工程入力!$S$6:$S$35,$J249)+COUNTIF(⑫ミキサー工程入力!$S$6:$S$65,$J249)+COUNTIF(⑬計量工程入力!$S$6:$S$65,$J249)+COUNTIF(⑭手動工程入力!$S$6:$S$47,$J249))</f>
        <v/>
      </c>
      <c r="L249" s="393">
        <f>IF($J249="",0,SUMIFS(②釜工程入力!$M$5:$M$117,②釜工程入力!$S$5:$S$117,$J249,②釜工程入力!$I$5:$I$117,"&gt;0")+SUMIFS(③スチコン工程入力!$M$5:$M$152,③スチコン工程入力!$S$5:$S$152,$J249,③スチコン工程入力!$I$5:$I$152,"&gt;0")+SUMIFS(⑪ZEN工程入力!$M$6:$M$35,⑪ZEN工程入力!$S$6:$S$35,$J249,⑪ZEN工程入力!$I$6:$I$35,"&gt;0")+SUMIFS(⑫ミキサー工程入力!$M$6:$M$65,⑫ミキサー工程入力!$S$6:$S$65,$J249,⑫ミキサー工程入力!$I$6:$I$65,"&gt;0")+SUMIFS(⑬計量工程入力!$M$6:$M$65,⑬計量工程入力!$S$6:$S$65,$J249,⑬計量工程入力!$I$6:$I$65,"&gt;0")+SUMIFS(⑭手動工程入力!$M$6:$M$47,⑭手動工程入力!$S$6:$S$47,$J249,⑭手動工程入力!$I$6:$I$47,"&gt;0"))</f>
        <v/>
      </c>
      <c r="M249" s="393">
        <f>IF($J249="",0,SUMIFS(②釜工程入力!$I$5:$I$117,②釜工程入力!$S$5:$S$117,$J249,②釜工程入力!$I$5:$I$117,"&gt;0",②釜工程入力!$M$5:$M$117,"&gt;0")+SUMIFS(③スチコン工程入力!$I$5:$I$152,③スチコン工程入力!$S$5:$S$152,$J249,③スチコン工程入力!$I$5:$I$152,"&gt;0",③スチコン工程入力!$M$5:$M$152,"&gt;0")+SUMIFS(⑪ZEN工程入力!$I$6:$I$35,⑪ZEN工程入力!$S$6:$S$35,$J249,⑪ZEN工程入力!$I$6:$I$35,"&gt;0",⑪ZEN工程入力!$M$6:$M$35,"&gt;0")+SUMIFS(⑫ミキサー工程入力!$I$6:$I$65,⑫ミキサー工程入力!$S$6:$S$65,$J249,⑫ミキサー工程入力!$I$6:$I$65,"&gt;0",⑫ミキサー工程入力!$M$6:$M$65,"&gt;0")+SUMIFS(⑬計量工程入力!$I$6:$I$65,⑬計量工程入力!$S$6:$S$65,$J249,⑬計量工程入力!$I$6:$I$65,"&gt;0",⑬計量工程入力!$M$6:$M$65,"&gt;0")+SUMIFS(⑭手動工程入力!$I$6:$I$47,⑭手動工程入力!$S$6:$S$47,$J249,⑭手動工程入力!$I$6:$I$47,"&gt;0",⑭手動工程入力!$M$6:$M$47,"&gt;0"))</f>
        <v/>
      </c>
      <c r="N249" s="393">
        <f>IF($J249="",0,SUMIFS(②釜工程入力!$M$5:$M$117,②釜工程入力!$S$5:$S$117,$J249,②釜工程入力!$J$5:$J$117,"&gt;0")-SUMIFS(②釜工程入力!$M$5:$M$117,②釜工程入力!$S$5:$S$117,$J249,②釜工程入力!$J$5:$J$117,"&gt;0",②釜工程入力!$I$5:$I$117,"&gt;0")+SUMIFS(③スチコン工程入力!$M$5:$M$152,③スチコン工程入力!$S$5:$S$152,$J249,③スチコン工程入力!$J$5:$J$152,"&gt;0")-SUMIFS(③スチコン工程入力!$M$5:$M$152,③スチコン工程入力!$S$5:$S$152,$J249,③スチコン工程入力!$J$5:$J$152,"&gt;0",③スチコン工程入力!$I$5:$I$152,"&gt;0")+SUMIFS(⑪ZEN工程入力!$M$6:$M$35,⑪ZEN工程入力!$S$6:$S$35,$J249,⑪ZEN工程入力!$J$6:$J$35,"&gt;0")-SUMIFS(⑪ZEN工程入力!$M$6:$M$35,⑪ZEN工程入力!$S$6:$S$35,$J249,⑪ZEN工程入力!$J$6:$J$35,"&gt;0",⑪ZEN工程入力!$I$6:$I$35,"&gt;0")+SUMIFS(⑫ミキサー工程入力!$M$6:$M$65,⑫ミキサー工程入力!$S$6:$S$65,$J249,⑫ミキサー工程入力!$J$6:$J$65,"&gt;0")-SUMIFS(⑫ミキサー工程入力!$M$6:$M$65,⑫ミキサー工程入力!$S$6:$S$65,$J249,⑫ミキサー工程入力!$J$6:$J$65,"&gt;0",⑫ミキサー工程入力!$I$6:$I$65,"&gt;0")+SUMIFS(⑬計量工程入力!$M$6:$M$65,⑬計量工程入力!$S$6:$S$65,$J249,⑬計量工程入力!$J$6:$J$65,"&gt;0")-SUMIFS(⑬計量工程入力!$M$6:$M$65,⑬計量工程入力!$S$6:$S$65,$J249,⑬計量工程入力!$J$6:$J$65,"&gt;0",⑬計量工程入力!$I$6:$I$65,"&gt;0")+SUMIFS(⑭手動工程入力!$M$6:$M$47,⑭手動工程入力!$S$6:$S$47,$J249,⑭手動工程入力!$J$6:$J$47,"&gt;0")-SUMIFS(⑭手動工程入力!$M$6:$M$47,⑭手動工程入力!$S$6:$S$47,$J249,⑭手動工程入力!$J$6:$J$47,"&gt;0",⑭手動工程入力!$I$6:$I$47,"&gt;0"))</f>
        <v/>
      </c>
      <c r="O249" s="393">
        <f>IF($J249="",0,SUMIFS(②釜工程入力!$J$5:$J$117,②釜工程入力!$S$5:$S$117,$J249,②釜工程入力!$J$5:$J$117,"&gt;0",②釜工程入力!$M$5:$M$117,"&gt;0")-SUMIFS(②釜工程入力!$J$5:$J$117,②釜工程入力!$S$5:$S$117,$J249,②釜工程入力!$J$5:$J$117,"&gt;0",②釜工程入力!$I$5:$I$117,"&gt;0",②釜工程入力!$M$5:$M$117,"&gt;0")+SUMIFS(③スチコン工程入力!$J$5:$J$152,③スチコン工程入力!$S$5:$S$152,$J249,③スチコン工程入力!$J$5:$J$152,"&gt;0",③スチコン工程入力!$M$5:$M$152,"&gt;0")-SUMIFS(③スチコン工程入力!$J$5:$J$152,③スチコン工程入力!$S$5:$S$152,$J249,③スチコン工程入力!$J$5:$J$152,"&gt;0",③スチコン工程入力!$I$5:$I$152,"&gt;0",③スチコン工程入力!$M$5:$M$152,"&gt;0")+SUMIFS(⑪ZEN工程入力!$J$6:$J$35,⑪ZEN工程入力!$S$6:$S$35,$J249,⑪ZEN工程入力!$J$6:$J$35,"&gt;0",⑪ZEN工程入力!$M$6:$M$35,"&gt;0")-SUMIFS(⑪ZEN工程入力!$J$6:$J$35,⑪ZEN工程入力!$S$6:$S$35,$J249,⑪ZEN工程入力!$J$6:$J$35,"&gt;0",⑪ZEN工程入力!$I$6:$I$35,"&gt;0",⑪ZEN工程入力!$M$6:$M$35,"&gt;0")+SUMIFS(⑫ミキサー工程入力!$J$6:$J$65,⑫ミキサー工程入力!$S$6:$S$65,$J249,⑫ミキサー工程入力!$J$6:$J$65,"&gt;0",⑫ミキサー工程入力!$M$6:$M$65,"&gt;0")-SUMIFS(⑫ミキサー工程入力!$J$6:$J$65,⑫ミキサー工程入力!$S$6:$S$65,$J249,⑫ミキサー工程入力!$J$6:$J$65,"&gt;0",⑫ミキサー工程入力!$I$6:$I$65,"&gt;0",⑫ミキサー工程入力!$M$6:$M$65,"&gt;0")+SUMIFS(⑬計量工程入力!$J$6:$J$65,⑬計量工程入力!$S$6:$S$65,$J249,⑬計量工程入力!$J$6:$J$65,"&gt;0",⑬計量工程入力!$M$6:$M$65,"&gt;0")-SUMIFS(⑬計量工程入力!$J$6:$J$65,⑬計量工程入力!$S$6:$S$65,$J249,⑬計量工程入力!$J$6:$J$65,"&gt;0",⑬計量工程入力!$I$6:$I$65,"&gt;0",⑬計量工程入力!$M$6:$M$65,"&gt;0")+SUMIFS(⑭手動工程入力!$J$6:$J$47,⑭手動工程入力!$S$6:$S$47,$J249,⑭手動工程入力!$J$6:$J$47,"&gt;0",⑭手動工程入力!$M$6:$M$47,"&gt;0")-SUMIFS(⑭手動工程入力!$J$6:$J$47,⑭手動工程入力!$S$6:$S$47,$J249,⑭手動工程入力!$J$6:$J$47,"&gt;0",⑭手動工程入力!$I$6:$I$47,"&gt;0",⑭手動工程入力!$M$6:$M$47,"&gt;0"))</f>
        <v/>
      </c>
      <c r="P249" s="392" t="inlineStr">
        <is>
          <t>中間品リスト</t>
        </is>
      </c>
    </row>
    <row r="250">
      <c r="A250" s="392" t="n">
        <v>246</v>
      </c>
      <c r="B250" s="392" t="n"/>
      <c r="C250" s="392" t="n"/>
      <c r="D250" s="392" t="n"/>
      <c r="E250" s="392" t="n"/>
      <c r="F250" s="394" t="n"/>
      <c r="G250" s="392" t="n"/>
      <c r="H250" s="604">
        <f>IFERROR(IF(AND($K250&gt;0,ISNUMBER(IF(OR($D250="g",$D250="ｇ"),IF($M250&gt;0,$L250/$M250/1000,""),IF($D250="kg",IF($M250&gt;0,$L250/$M250,""),IF($D250="",IF($M250&gt;0,$L250/$M250/1000,IF($O250&gt;0,$N250/$O250,"")),IF($O250&gt;0,$N250/$O250,"")))))),IF(OR($D250="g",$D250="ｇ"),IF($M250&gt;0,$L250/$M250/1000,""),IF($D250="kg",IF($M250&gt;0,$L250/$M250,""),IF($D250="",IF($M250&gt;0,$L250/$M250/1000,IF($O250&gt;0,$N250/$O250,"")),IF($O250&gt;0,$N250/$O250,"")))),IF($F250="",IF(OR($E250="",$E250="⑩盛付梱包工程入力"),"",IF(OR($D250="g",$D250="ｇ"),INDEX(⑰工程労務費一覧!$N$5:$N$11,MATCH($E250,⑰工程労務費一覧!$K$5:$K$11,0))/1000,IF($D250="kg",INDEX(⑰工程労務費一覧!$N$5:$N$11,MATCH($E250,⑰工程労務費一覧!$K$5:$K$11,0)),IF(OR($D250="個",$D250="切",$D250="本",$D250="枚",$D250="尾"),IF($E250="⑬計量工程入力","",INDEX(⑰工程労務費一覧!$P$5:$P$11,MATCH($E250,⑰工程労務費一覧!$K$5:$K$11,0))),IF(AND($D250="",OR($E250="②釜工程入力",$E250="③スチコン工程入力")),INDEX(⑰工程労務費一覧!$N$5:$N$11,MATCH($E250,⑰工程労務費一覧!$K$5:$K$11,0))/1000,""))))),IF(OR($D250="g",$D250="ｇ"),INDEX(⑰工程労務費一覧!$H$5:$H$753,MATCH($F250,⑰工程労務費一覧!$D$5:$D$753,0))/1000,IF($D250="kg",INDEX(⑰工程労務費一覧!$H$5:$H$753,MATCH($F250,⑰工程労務費一覧!$D$5:$D$753,0)),INDEX(⑰工程労務費一覧!$I$5:$I$753,MATCH($F250,⑰工程労務費一覧!$D$5:$D$753,0)))))),"")</f>
        <v/>
      </c>
      <c r="I250" s="392">
        <f>IF($K250&gt;0,IF(ISNUMBER(IF(OR($D250="g",$D250="ｇ"),IF($M250&gt;0,$L250/$M250/1000,""),IF($D250="kg",IF($M250&gt;0,$L250/$M250,""),IF($D250="",IF($M250&gt;0,$L250/$M250/1000,IF($O250&gt;0,$N250/$O250,"")),IF($O250&gt;0,$N250/$O250,""))))),IF($D250="",IF($M250&gt;0,"◎ JAN紐づけ(g扱い)","◎ JAN紐づけ(個扱い)"),"◎ JAN紐づけ"),"△ JAN紐づけ済・実績不足→仮計算"),IF($F250="",IF(ISNUMBER($H250),IF($D250="","⑤ 工程平均で仮計算(g扱い)","⑤ 工程平均で仮計算"),IF($E250="⑩盛付梱包工程入力","⑥ 盛り込み(⑳F列で計上)",IF(AND($E250="⑬計量工程入力",OR($D250="個",$D250="切",$D250="本",$D250="枚",$D250="尾")),"① 未紐づけ(カット個単位は仮単価なし)","① 未紐づけ"))),IF(NOT(ISNUMBER($H250)),"② 工程側に単価なし",IF($D250="","③ 単位未設定(個で計算)","④ OK"))))</f>
        <v/>
      </c>
      <c r="J250" s="399">
        <f>IFERROR(LOOKUP(2,1/((中間品リスト!$F$2:$F$1299=$B250)*(中間品リスト!$E$2:$E$1299&lt;&gt;"-")*(中間品リスト!$E$2:$E$1299&lt;&gt;"")),中間品リスト!$E$2:$E$1299),"")</f>
        <v/>
      </c>
      <c r="K250" s="400">
        <f>IF($J250="",0,COUNTIF(②釜工程入力!$S$5:$S$117,$J250)+COUNTIF(③スチコン工程入力!$S$5:$S$152,$J250)+COUNTIF(⑪ZEN工程入力!$S$6:$S$35,$J250)+COUNTIF(⑫ミキサー工程入力!$S$6:$S$65,$J250)+COUNTIF(⑬計量工程入力!$S$6:$S$65,$J250)+COUNTIF(⑭手動工程入力!$S$6:$S$47,$J250))</f>
        <v/>
      </c>
      <c r="L250" s="393">
        <f>IF($J250="",0,SUMIFS(②釜工程入力!$M$5:$M$117,②釜工程入力!$S$5:$S$117,$J250,②釜工程入力!$I$5:$I$117,"&gt;0")+SUMIFS(③スチコン工程入力!$M$5:$M$152,③スチコン工程入力!$S$5:$S$152,$J250,③スチコン工程入力!$I$5:$I$152,"&gt;0")+SUMIFS(⑪ZEN工程入力!$M$6:$M$35,⑪ZEN工程入力!$S$6:$S$35,$J250,⑪ZEN工程入力!$I$6:$I$35,"&gt;0")+SUMIFS(⑫ミキサー工程入力!$M$6:$M$65,⑫ミキサー工程入力!$S$6:$S$65,$J250,⑫ミキサー工程入力!$I$6:$I$65,"&gt;0")+SUMIFS(⑬計量工程入力!$M$6:$M$65,⑬計量工程入力!$S$6:$S$65,$J250,⑬計量工程入力!$I$6:$I$65,"&gt;0")+SUMIFS(⑭手動工程入力!$M$6:$M$47,⑭手動工程入力!$S$6:$S$47,$J250,⑭手動工程入力!$I$6:$I$47,"&gt;0"))</f>
        <v/>
      </c>
      <c r="M250" s="393">
        <f>IF($J250="",0,SUMIFS(②釜工程入力!$I$5:$I$117,②釜工程入力!$S$5:$S$117,$J250,②釜工程入力!$I$5:$I$117,"&gt;0",②釜工程入力!$M$5:$M$117,"&gt;0")+SUMIFS(③スチコン工程入力!$I$5:$I$152,③スチコン工程入力!$S$5:$S$152,$J250,③スチコン工程入力!$I$5:$I$152,"&gt;0",③スチコン工程入力!$M$5:$M$152,"&gt;0")+SUMIFS(⑪ZEN工程入力!$I$6:$I$35,⑪ZEN工程入力!$S$6:$S$35,$J250,⑪ZEN工程入力!$I$6:$I$35,"&gt;0",⑪ZEN工程入力!$M$6:$M$35,"&gt;0")+SUMIFS(⑫ミキサー工程入力!$I$6:$I$65,⑫ミキサー工程入力!$S$6:$S$65,$J250,⑫ミキサー工程入力!$I$6:$I$65,"&gt;0",⑫ミキサー工程入力!$M$6:$M$65,"&gt;0")+SUMIFS(⑬計量工程入力!$I$6:$I$65,⑬計量工程入力!$S$6:$S$65,$J250,⑬計量工程入力!$I$6:$I$65,"&gt;0",⑬計量工程入力!$M$6:$M$65,"&gt;0")+SUMIFS(⑭手動工程入力!$I$6:$I$47,⑭手動工程入力!$S$6:$S$47,$J250,⑭手動工程入力!$I$6:$I$47,"&gt;0",⑭手動工程入力!$M$6:$M$47,"&gt;0"))</f>
        <v/>
      </c>
      <c r="N250" s="393">
        <f>IF($J250="",0,SUMIFS(②釜工程入力!$M$5:$M$117,②釜工程入力!$S$5:$S$117,$J250,②釜工程入力!$J$5:$J$117,"&gt;0")-SUMIFS(②釜工程入力!$M$5:$M$117,②釜工程入力!$S$5:$S$117,$J250,②釜工程入力!$J$5:$J$117,"&gt;0",②釜工程入力!$I$5:$I$117,"&gt;0")+SUMIFS(③スチコン工程入力!$M$5:$M$152,③スチコン工程入力!$S$5:$S$152,$J250,③スチコン工程入力!$J$5:$J$152,"&gt;0")-SUMIFS(③スチコン工程入力!$M$5:$M$152,③スチコン工程入力!$S$5:$S$152,$J250,③スチコン工程入力!$J$5:$J$152,"&gt;0",③スチコン工程入力!$I$5:$I$152,"&gt;0")+SUMIFS(⑪ZEN工程入力!$M$6:$M$35,⑪ZEN工程入力!$S$6:$S$35,$J250,⑪ZEN工程入力!$J$6:$J$35,"&gt;0")-SUMIFS(⑪ZEN工程入力!$M$6:$M$35,⑪ZEN工程入力!$S$6:$S$35,$J250,⑪ZEN工程入力!$J$6:$J$35,"&gt;0",⑪ZEN工程入力!$I$6:$I$35,"&gt;0")+SUMIFS(⑫ミキサー工程入力!$M$6:$M$65,⑫ミキサー工程入力!$S$6:$S$65,$J250,⑫ミキサー工程入力!$J$6:$J$65,"&gt;0")-SUMIFS(⑫ミキサー工程入力!$M$6:$M$65,⑫ミキサー工程入力!$S$6:$S$65,$J250,⑫ミキサー工程入力!$J$6:$J$65,"&gt;0",⑫ミキサー工程入力!$I$6:$I$65,"&gt;0")+SUMIFS(⑬計量工程入力!$M$6:$M$65,⑬計量工程入力!$S$6:$S$65,$J250,⑬計量工程入力!$J$6:$J$65,"&gt;0")-SUMIFS(⑬計量工程入力!$M$6:$M$65,⑬計量工程入力!$S$6:$S$65,$J250,⑬計量工程入力!$J$6:$J$65,"&gt;0",⑬計量工程入力!$I$6:$I$65,"&gt;0")+SUMIFS(⑭手動工程入力!$M$6:$M$47,⑭手動工程入力!$S$6:$S$47,$J250,⑭手動工程入力!$J$6:$J$47,"&gt;0")-SUMIFS(⑭手動工程入力!$M$6:$M$47,⑭手動工程入力!$S$6:$S$47,$J250,⑭手動工程入力!$J$6:$J$47,"&gt;0",⑭手動工程入力!$I$6:$I$47,"&gt;0"))</f>
        <v/>
      </c>
      <c r="O250" s="393">
        <f>IF($J250="",0,SUMIFS(②釜工程入力!$J$5:$J$117,②釜工程入力!$S$5:$S$117,$J250,②釜工程入力!$J$5:$J$117,"&gt;0",②釜工程入力!$M$5:$M$117,"&gt;0")-SUMIFS(②釜工程入力!$J$5:$J$117,②釜工程入力!$S$5:$S$117,$J250,②釜工程入力!$J$5:$J$117,"&gt;0",②釜工程入力!$I$5:$I$117,"&gt;0",②釜工程入力!$M$5:$M$117,"&gt;0")+SUMIFS(③スチコン工程入力!$J$5:$J$152,③スチコン工程入力!$S$5:$S$152,$J250,③スチコン工程入力!$J$5:$J$152,"&gt;0",③スチコン工程入力!$M$5:$M$152,"&gt;0")-SUMIFS(③スチコン工程入力!$J$5:$J$152,③スチコン工程入力!$S$5:$S$152,$J250,③スチコン工程入力!$J$5:$J$152,"&gt;0",③スチコン工程入力!$I$5:$I$152,"&gt;0",③スチコン工程入力!$M$5:$M$152,"&gt;0")+SUMIFS(⑪ZEN工程入力!$J$6:$J$35,⑪ZEN工程入力!$S$6:$S$35,$J250,⑪ZEN工程入力!$J$6:$J$35,"&gt;0",⑪ZEN工程入力!$M$6:$M$35,"&gt;0")-SUMIFS(⑪ZEN工程入力!$J$6:$J$35,⑪ZEN工程入力!$S$6:$S$35,$J250,⑪ZEN工程入力!$J$6:$J$35,"&gt;0",⑪ZEN工程入力!$I$6:$I$35,"&gt;0",⑪ZEN工程入力!$M$6:$M$35,"&gt;0")+SUMIFS(⑫ミキサー工程入力!$J$6:$J$65,⑫ミキサー工程入力!$S$6:$S$65,$J250,⑫ミキサー工程入力!$J$6:$J$65,"&gt;0",⑫ミキサー工程入力!$M$6:$M$65,"&gt;0")-SUMIFS(⑫ミキサー工程入力!$J$6:$J$65,⑫ミキサー工程入力!$S$6:$S$65,$J250,⑫ミキサー工程入力!$J$6:$J$65,"&gt;0",⑫ミキサー工程入力!$I$6:$I$65,"&gt;0",⑫ミキサー工程入力!$M$6:$M$65,"&gt;0")+SUMIFS(⑬計量工程入力!$J$6:$J$65,⑬計量工程入力!$S$6:$S$65,$J250,⑬計量工程入力!$J$6:$J$65,"&gt;0",⑬計量工程入力!$M$6:$M$65,"&gt;0")-SUMIFS(⑬計量工程入力!$J$6:$J$65,⑬計量工程入力!$S$6:$S$65,$J250,⑬計量工程入力!$J$6:$J$65,"&gt;0",⑬計量工程入力!$I$6:$I$65,"&gt;0",⑬計量工程入力!$M$6:$M$65,"&gt;0")+SUMIFS(⑭手動工程入力!$J$6:$J$47,⑭手動工程入力!$S$6:$S$47,$J250,⑭手動工程入力!$J$6:$J$47,"&gt;0",⑭手動工程入力!$M$6:$M$47,"&gt;0")-SUMIFS(⑭手動工程入力!$J$6:$J$47,⑭手動工程入力!$S$6:$S$47,$J250,⑭手動工程入力!$J$6:$J$47,"&gt;0",⑭手動工程入力!$I$6:$I$47,"&gt;0",⑭手動工程入力!$M$6:$M$47,"&gt;0"))</f>
        <v/>
      </c>
      <c r="P250" s="392" t="n"/>
    </row>
    <row r="251">
      <c r="A251" s="392" t="n">
        <v>247</v>
      </c>
      <c r="B251" s="392" t="n"/>
      <c r="C251" s="392" t="n"/>
      <c r="D251" s="409" t="n"/>
      <c r="E251" s="392" t="n"/>
      <c r="F251" s="394" t="n"/>
      <c r="G251" s="392" t="n"/>
      <c r="H251" s="604">
        <f>IFERROR(IF(AND($K251&gt;0,ISNUMBER(IF(OR($D251="g",$D251="ｇ"),IF($M251&gt;0,$L251/$M251/1000,""),IF($D251="kg",IF($M251&gt;0,$L251/$M251,""),IF($D251="",IF($M251&gt;0,$L251/$M251/1000,IF($O251&gt;0,$N251/$O251,"")),IF($O251&gt;0,$N251/$O251,"")))))),IF(OR($D251="g",$D251="ｇ"),IF($M251&gt;0,$L251/$M251/1000,""),IF($D251="kg",IF($M251&gt;0,$L251/$M251,""),IF($D251="",IF($M251&gt;0,$L251/$M251/1000,IF($O251&gt;0,$N251/$O251,"")),IF($O251&gt;0,$N251/$O251,"")))),IF($F251="",IF(OR($E251="",$E251="⑩盛付梱包工程入力"),"",IF(OR($D251="g",$D251="ｇ"),INDEX(⑰工程労務費一覧!$N$5:$N$11,MATCH($E251,⑰工程労務費一覧!$K$5:$K$11,0))/1000,IF($D251="kg",INDEX(⑰工程労務費一覧!$N$5:$N$11,MATCH($E251,⑰工程労務費一覧!$K$5:$K$11,0)),IF(OR($D251="個",$D251="切",$D251="本",$D251="枚",$D251="尾"),IF($E251="⑬計量工程入力","",INDEX(⑰工程労務費一覧!$P$5:$P$11,MATCH($E251,⑰工程労務費一覧!$K$5:$K$11,0))),IF(AND($D251="",OR($E251="②釜工程入力",$E251="③スチコン工程入力")),INDEX(⑰工程労務費一覧!$N$5:$N$11,MATCH($E251,⑰工程労務費一覧!$K$5:$K$11,0))/1000,""))))),IF(OR($D251="g",$D251="ｇ"),INDEX(⑰工程労務費一覧!$H$5:$H$753,MATCH($F251,⑰工程労務費一覧!$D$5:$D$753,0))/1000,IF($D251="kg",INDEX(⑰工程労務費一覧!$H$5:$H$753,MATCH($F251,⑰工程労務費一覧!$D$5:$D$753,0)),INDEX(⑰工程労務費一覧!$I$5:$I$753,MATCH($F251,⑰工程労務費一覧!$D$5:$D$753,0)))))),"")</f>
        <v/>
      </c>
      <c r="I251" s="392">
        <f>IF($K251&gt;0,IF(ISNUMBER(IF(OR($D251="g",$D251="ｇ"),IF($M251&gt;0,$L251/$M251/1000,""),IF($D251="kg",IF($M251&gt;0,$L251/$M251,""),IF($D251="",IF($M251&gt;0,$L251/$M251/1000,IF($O251&gt;0,$N251/$O251,"")),IF($O251&gt;0,$N251/$O251,""))))),IF($D251="",IF($M251&gt;0,"◎ JAN紐づけ(g扱い)","◎ JAN紐づけ(個扱い)"),"◎ JAN紐づけ"),"△ JAN紐づけ済・実績不足→仮計算"),IF($F251="",IF(ISNUMBER($H251),IF($D251="","⑤ 工程平均で仮計算(g扱い)","⑤ 工程平均で仮計算"),IF($E251="⑩盛付梱包工程入力","⑥ 盛り込み(⑳F列で計上)",IF(AND($E251="⑬計量工程入力",OR($D251="個",$D251="切",$D251="本",$D251="枚",$D251="尾")),"① 未紐づけ(カット個単位は仮単価なし)","① 未紐づけ"))),IF(NOT(ISNUMBER($H251)),"② 工程側に単価なし",IF($D251="","③ 単位未設定(個で計算)","④ OK"))))</f>
        <v/>
      </c>
      <c r="J251" s="399">
        <f>IFERROR(LOOKUP(2,1/((中間品リスト!$F$2:$F$1299=$B251)*(中間品リスト!$E$2:$E$1299&lt;&gt;"-")*(中間品リスト!$E$2:$E$1299&lt;&gt;"")),中間品リスト!$E$2:$E$1299),"")</f>
        <v/>
      </c>
      <c r="K251" s="400">
        <f>IF($J251="",0,COUNTIF(②釜工程入力!$S$5:$S$117,$J251)+COUNTIF(③スチコン工程入力!$S$5:$S$152,$J251)+COUNTIF(⑪ZEN工程入力!$S$6:$S$35,$J251)+COUNTIF(⑫ミキサー工程入力!$S$6:$S$65,$J251)+COUNTIF(⑬計量工程入力!$S$6:$S$65,$J251)+COUNTIF(⑭手動工程入力!$S$6:$S$47,$J251))</f>
        <v/>
      </c>
      <c r="L251" s="393">
        <f>IF($J251="",0,SUMIFS(②釜工程入力!$M$5:$M$117,②釜工程入力!$S$5:$S$117,$J251,②釜工程入力!$I$5:$I$117,"&gt;0")+SUMIFS(③スチコン工程入力!$M$5:$M$152,③スチコン工程入力!$S$5:$S$152,$J251,③スチコン工程入力!$I$5:$I$152,"&gt;0")+SUMIFS(⑪ZEN工程入力!$M$6:$M$35,⑪ZEN工程入力!$S$6:$S$35,$J251,⑪ZEN工程入力!$I$6:$I$35,"&gt;0")+SUMIFS(⑫ミキサー工程入力!$M$6:$M$65,⑫ミキサー工程入力!$S$6:$S$65,$J251,⑫ミキサー工程入力!$I$6:$I$65,"&gt;0")+SUMIFS(⑬計量工程入力!$M$6:$M$65,⑬計量工程入力!$S$6:$S$65,$J251,⑬計量工程入力!$I$6:$I$65,"&gt;0")+SUMIFS(⑭手動工程入力!$M$6:$M$47,⑭手動工程入力!$S$6:$S$47,$J251,⑭手動工程入力!$I$6:$I$47,"&gt;0"))</f>
        <v/>
      </c>
      <c r="M251" s="393">
        <f>IF($J251="",0,SUMIFS(②釜工程入力!$I$5:$I$117,②釜工程入力!$S$5:$S$117,$J251,②釜工程入力!$I$5:$I$117,"&gt;0",②釜工程入力!$M$5:$M$117,"&gt;0")+SUMIFS(③スチコン工程入力!$I$5:$I$152,③スチコン工程入力!$S$5:$S$152,$J251,③スチコン工程入力!$I$5:$I$152,"&gt;0",③スチコン工程入力!$M$5:$M$152,"&gt;0")+SUMIFS(⑪ZEN工程入力!$I$6:$I$35,⑪ZEN工程入力!$S$6:$S$35,$J251,⑪ZEN工程入力!$I$6:$I$35,"&gt;0",⑪ZEN工程入力!$M$6:$M$35,"&gt;0")+SUMIFS(⑫ミキサー工程入力!$I$6:$I$65,⑫ミキサー工程入力!$S$6:$S$65,$J251,⑫ミキサー工程入力!$I$6:$I$65,"&gt;0",⑫ミキサー工程入力!$M$6:$M$65,"&gt;0")+SUMIFS(⑬計量工程入力!$I$6:$I$65,⑬計量工程入力!$S$6:$S$65,$J251,⑬計量工程入力!$I$6:$I$65,"&gt;0",⑬計量工程入力!$M$6:$M$65,"&gt;0")+SUMIFS(⑭手動工程入力!$I$6:$I$47,⑭手動工程入力!$S$6:$S$47,$J251,⑭手動工程入力!$I$6:$I$47,"&gt;0",⑭手動工程入力!$M$6:$M$47,"&gt;0"))</f>
        <v/>
      </c>
      <c r="N251" s="393">
        <f>IF($J251="",0,SUMIFS(②釜工程入力!$M$5:$M$117,②釜工程入力!$S$5:$S$117,$J251,②釜工程入力!$J$5:$J$117,"&gt;0")-SUMIFS(②釜工程入力!$M$5:$M$117,②釜工程入力!$S$5:$S$117,$J251,②釜工程入力!$J$5:$J$117,"&gt;0",②釜工程入力!$I$5:$I$117,"&gt;0")+SUMIFS(③スチコン工程入力!$M$5:$M$152,③スチコン工程入力!$S$5:$S$152,$J251,③スチコン工程入力!$J$5:$J$152,"&gt;0")-SUMIFS(③スチコン工程入力!$M$5:$M$152,③スチコン工程入力!$S$5:$S$152,$J251,③スチコン工程入力!$J$5:$J$152,"&gt;0",③スチコン工程入力!$I$5:$I$152,"&gt;0")+SUMIFS(⑪ZEN工程入力!$M$6:$M$35,⑪ZEN工程入力!$S$6:$S$35,$J251,⑪ZEN工程入力!$J$6:$J$35,"&gt;0")-SUMIFS(⑪ZEN工程入力!$M$6:$M$35,⑪ZEN工程入力!$S$6:$S$35,$J251,⑪ZEN工程入力!$J$6:$J$35,"&gt;0",⑪ZEN工程入力!$I$6:$I$35,"&gt;0")+SUMIFS(⑫ミキサー工程入力!$M$6:$M$65,⑫ミキサー工程入力!$S$6:$S$65,$J251,⑫ミキサー工程入力!$J$6:$J$65,"&gt;0")-SUMIFS(⑫ミキサー工程入力!$M$6:$M$65,⑫ミキサー工程入力!$S$6:$S$65,$J251,⑫ミキサー工程入力!$J$6:$J$65,"&gt;0",⑫ミキサー工程入力!$I$6:$I$65,"&gt;0")+SUMIFS(⑬計量工程入力!$M$6:$M$65,⑬計量工程入力!$S$6:$S$65,$J251,⑬計量工程入力!$J$6:$J$65,"&gt;0")-SUMIFS(⑬計量工程入力!$M$6:$M$65,⑬計量工程入力!$S$6:$S$65,$J251,⑬計量工程入力!$J$6:$J$65,"&gt;0",⑬計量工程入力!$I$6:$I$65,"&gt;0")+SUMIFS(⑭手動工程入力!$M$6:$M$47,⑭手動工程入力!$S$6:$S$47,$J251,⑭手動工程入力!$J$6:$J$47,"&gt;0")-SUMIFS(⑭手動工程入力!$M$6:$M$47,⑭手動工程入力!$S$6:$S$47,$J251,⑭手動工程入力!$J$6:$J$47,"&gt;0",⑭手動工程入力!$I$6:$I$47,"&gt;0"))</f>
        <v/>
      </c>
      <c r="O251" s="393">
        <f>IF($J251="",0,SUMIFS(②釜工程入力!$J$5:$J$117,②釜工程入力!$S$5:$S$117,$J251,②釜工程入力!$J$5:$J$117,"&gt;0",②釜工程入力!$M$5:$M$117,"&gt;0")-SUMIFS(②釜工程入力!$J$5:$J$117,②釜工程入力!$S$5:$S$117,$J251,②釜工程入力!$J$5:$J$117,"&gt;0",②釜工程入力!$I$5:$I$117,"&gt;0",②釜工程入力!$M$5:$M$117,"&gt;0")+SUMIFS(③スチコン工程入力!$J$5:$J$152,③スチコン工程入力!$S$5:$S$152,$J251,③スチコン工程入力!$J$5:$J$152,"&gt;0",③スチコン工程入力!$M$5:$M$152,"&gt;0")-SUMIFS(③スチコン工程入力!$J$5:$J$152,③スチコン工程入力!$S$5:$S$152,$J251,③スチコン工程入力!$J$5:$J$152,"&gt;0",③スチコン工程入力!$I$5:$I$152,"&gt;0",③スチコン工程入力!$M$5:$M$152,"&gt;0")+SUMIFS(⑪ZEN工程入力!$J$6:$J$35,⑪ZEN工程入力!$S$6:$S$35,$J251,⑪ZEN工程入力!$J$6:$J$35,"&gt;0",⑪ZEN工程入力!$M$6:$M$35,"&gt;0")-SUMIFS(⑪ZEN工程入力!$J$6:$J$35,⑪ZEN工程入力!$S$6:$S$35,$J251,⑪ZEN工程入力!$J$6:$J$35,"&gt;0",⑪ZEN工程入力!$I$6:$I$35,"&gt;0",⑪ZEN工程入力!$M$6:$M$35,"&gt;0")+SUMIFS(⑫ミキサー工程入力!$J$6:$J$65,⑫ミキサー工程入力!$S$6:$S$65,$J251,⑫ミキサー工程入力!$J$6:$J$65,"&gt;0",⑫ミキサー工程入力!$M$6:$M$65,"&gt;0")-SUMIFS(⑫ミキサー工程入力!$J$6:$J$65,⑫ミキサー工程入力!$S$6:$S$65,$J251,⑫ミキサー工程入力!$J$6:$J$65,"&gt;0",⑫ミキサー工程入力!$I$6:$I$65,"&gt;0",⑫ミキサー工程入力!$M$6:$M$65,"&gt;0")+SUMIFS(⑬計量工程入力!$J$6:$J$65,⑬計量工程入力!$S$6:$S$65,$J251,⑬計量工程入力!$J$6:$J$65,"&gt;0",⑬計量工程入力!$M$6:$M$65,"&gt;0")-SUMIFS(⑬計量工程入力!$J$6:$J$65,⑬計量工程入力!$S$6:$S$65,$J251,⑬計量工程入力!$J$6:$J$65,"&gt;0",⑬計量工程入力!$I$6:$I$65,"&gt;0",⑬計量工程入力!$M$6:$M$65,"&gt;0")+SUMIFS(⑭手動工程入力!$J$6:$J$47,⑭手動工程入力!$S$6:$S$47,$J251,⑭手動工程入力!$J$6:$J$47,"&gt;0",⑭手動工程入力!$M$6:$M$47,"&gt;0")-SUMIFS(⑭手動工程入力!$J$6:$J$47,⑭手動工程入力!$S$6:$S$47,$J251,⑭手動工程入力!$J$6:$J$47,"&gt;0",⑭手動工程入力!$I$6:$I$47,"&gt;0",⑭手動工程入力!$M$6:$M$47,"&gt;0"))</f>
        <v/>
      </c>
      <c r="P251" s="392" t="inlineStr">
        <is>
          <t>中間品リスト</t>
        </is>
      </c>
    </row>
    <row r="252">
      <c r="A252" s="392" t="n">
        <v>248</v>
      </c>
      <c r="B252" s="392" t="n"/>
      <c r="C252" s="392" t="n"/>
      <c r="D252" s="409" t="n"/>
      <c r="E252" s="392" t="n"/>
      <c r="F252" s="394" t="n"/>
      <c r="G252" s="392" t="n"/>
      <c r="H252" s="604">
        <f>IFERROR(IF(AND($K252&gt;0,ISNUMBER(IF(OR($D252="g",$D252="ｇ"),IF($M252&gt;0,$L252/$M252/1000,""),IF($D252="kg",IF($M252&gt;0,$L252/$M252,""),IF($D252="",IF($M252&gt;0,$L252/$M252/1000,IF($O252&gt;0,$N252/$O252,"")),IF($O252&gt;0,$N252/$O252,"")))))),IF(OR($D252="g",$D252="ｇ"),IF($M252&gt;0,$L252/$M252/1000,""),IF($D252="kg",IF($M252&gt;0,$L252/$M252,""),IF($D252="",IF($M252&gt;0,$L252/$M252/1000,IF($O252&gt;0,$N252/$O252,"")),IF($O252&gt;0,$N252/$O252,"")))),IF($F252="",IF(OR($E252="",$E252="⑩盛付梱包工程入力"),"",IF(OR($D252="g",$D252="ｇ"),INDEX(⑰工程労務費一覧!$N$5:$N$11,MATCH($E252,⑰工程労務費一覧!$K$5:$K$11,0))/1000,IF($D252="kg",INDEX(⑰工程労務費一覧!$N$5:$N$11,MATCH($E252,⑰工程労務費一覧!$K$5:$K$11,0)),IF(OR($D252="個",$D252="切",$D252="本",$D252="枚",$D252="尾"),IF($E252="⑬計量工程入力","",INDEX(⑰工程労務費一覧!$P$5:$P$11,MATCH($E252,⑰工程労務費一覧!$K$5:$K$11,0))),IF(AND($D252="",OR($E252="②釜工程入力",$E252="③スチコン工程入力")),INDEX(⑰工程労務費一覧!$N$5:$N$11,MATCH($E252,⑰工程労務費一覧!$K$5:$K$11,0))/1000,""))))),IF(OR($D252="g",$D252="ｇ"),INDEX(⑰工程労務費一覧!$H$5:$H$753,MATCH($F252,⑰工程労務費一覧!$D$5:$D$753,0))/1000,IF($D252="kg",INDEX(⑰工程労務費一覧!$H$5:$H$753,MATCH($F252,⑰工程労務費一覧!$D$5:$D$753,0)),INDEX(⑰工程労務費一覧!$I$5:$I$753,MATCH($F252,⑰工程労務費一覧!$D$5:$D$753,0)))))),"")</f>
        <v/>
      </c>
      <c r="I252" s="392">
        <f>IF($K252&gt;0,IF(ISNUMBER(IF(OR($D252="g",$D252="ｇ"),IF($M252&gt;0,$L252/$M252/1000,""),IF($D252="kg",IF($M252&gt;0,$L252/$M252,""),IF($D252="",IF($M252&gt;0,$L252/$M252/1000,IF($O252&gt;0,$N252/$O252,"")),IF($O252&gt;0,$N252/$O252,""))))),IF($D252="",IF($M252&gt;0,"◎ JAN紐づけ(g扱い)","◎ JAN紐づけ(個扱い)"),"◎ JAN紐づけ"),"△ JAN紐づけ済・実績不足→仮計算"),IF($F252="",IF(ISNUMBER($H252),IF($D252="","⑤ 工程平均で仮計算(g扱い)","⑤ 工程平均で仮計算"),IF($E252="⑩盛付梱包工程入力","⑥ 盛り込み(⑳F列で計上)",IF(AND($E252="⑬計量工程入力",OR($D252="個",$D252="切",$D252="本",$D252="枚",$D252="尾")),"① 未紐づけ(カット個単位は仮単価なし)","① 未紐づけ"))),IF(NOT(ISNUMBER($H252)),"② 工程側に単価なし",IF($D252="","③ 単位未設定(個で計算)","④ OK"))))</f>
        <v/>
      </c>
      <c r="J252" s="399">
        <f>IFERROR(LOOKUP(2,1/((中間品リスト!$F$2:$F$1299=$B252)*(中間品リスト!$E$2:$E$1299&lt;&gt;"-")*(中間品リスト!$E$2:$E$1299&lt;&gt;"")),中間品リスト!$E$2:$E$1299),"")</f>
        <v/>
      </c>
      <c r="K252" s="400">
        <f>IF($J252="",0,COUNTIF(②釜工程入力!$S$5:$S$117,$J252)+COUNTIF(③スチコン工程入力!$S$5:$S$152,$J252)+COUNTIF(⑪ZEN工程入力!$S$6:$S$35,$J252)+COUNTIF(⑫ミキサー工程入力!$S$6:$S$65,$J252)+COUNTIF(⑬計量工程入力!$S$6:$S$65,$J252)+COUNTIF(⑭手動工程入力!$S$6:$S$47,$J252))</f>
        <v/>
      </c>
      <c r="L252" s="393">
        <f>IF($J252="",0,SUMIFS(②釜工程入力!$M$5:$M$117,②釜工程入力!$S$5:$S$117,$J252,②釜工程入力!$I$5:$I$117,"&gt;0")+SUMIFS(③スチコン工程入力!$M$5:$M$152,③スチコン工程入力!$S$5:$S$152,$J252,③スチコン工程入力!$I$5:$I$152,"&gt;0")+SUMIFS(⑪ZEN工程入力!$M$6:$M$35,⑪ZEN工程入力!$S$6:$S$35,$J252,⑪ZEN工程入力!$I$6:$I$35,"&gt;0")+SUMIFS(⑫ミキサー工程入力!$M$6:$M$65,⑫ミキサー工程入力!$S$6:$S$65,$J252,⑫ミキサー工程入力!$I$6:$I$65,"&gt;0")+SUMIFS(⑬計量工程入力!$M$6:$M$65,⑬計量工程入力!$S$6:$S$65,$J252,⑬計量工程入力!$I$6:$I$65,"&gt;0")+SUMIFS(⑭手動工程入力!$M$6:$M$47,⑭手動工程入力!$S$6:$S$47,$J252,⑭手動工程入力!$I$6:$I$47,"&gt;0"))</f>
        <v/>
      </c>
      <c r="M252" s="393">
        <f>IF($J252="",0,SUMIFS(②釜工程入力!$I$5:$I$117,②釜工程入力!$S$5:$S$117,$J252,②釜工程入力!$I$5:$I$117,"&gt;0",②釜工程入力!$M$5:$M$117,"&gt;0")+SUMIFS(③スチコン工程入力!$I$5:$I$152,③スチコン工程入力!$S$5:$S$152,$J252,③スチコン工程入力!$I$5:$I$152,"&gt;0",③スチコン工程入力!$M$5:$M$152,"&gt;0")+SUMIFS(⑪ZEN工程入力!$I$6:$I$35,⑪ZEN工程入力!$S$6:$S$35,$J252,⑪ZEN工程入力!$I$6:$I$35,"&gt;0",⑪ZEN工程入力!$M$6:$M$35,"&gt;0")+SUMIFS(⑫ミキサー工程入力!$I$6:$I$65,⑫ミキサー工程入力!$S$6:$S$65,$J252,⑫ミキサー工程入力!$I$6:$I$65,"&gt;0",⑫ミキサー工程入力!$M$6:$M$65,"&gt;0")+SUMIFS(⑬計量工程入力!$I$6:$I$65,⑬計量工程入力!$S$6:$S$65,$J252,⑬計量工程入力!$I$6:$I$65,"&gt;0",⑬計量工程入力!$M$6:$M$65,"&gt;0")+SUMIFS(⑭手動工程入力!$I$6:$I$47,⑭手動工程入力!$S$6:$S$47,$J252,⑭手動工程入力!$I$6:$I$47,"&gt;0",⑭手動工程入力!$M$6:$M$47,"&gt;0"))</f>
        <v/>
      </c>
      <c r="N252" s="393">
        <f>IF($J252="",0,SUMIFS(②釜工程入力!$M$5:$M$117,②釜工程入力!$S$5:$S$117,$J252,②釜工程入力!$J$5:$J$117,"&gt;0")-SUMIFS(②釜工程入力!$M$5:$M$117,②釜工程入力!$S$5:$S$117,$J252,②釜工程入力!$J$5:$J$117,"&gt;0",②釜工程入力!$I$5:$I$117,"&gt;0")+SUMIFS(③スチコン工程入力!$M$5:$M$152,③スチコン工程入力!$S$5:$S$152,$J252,③スチコン工程入力!$J$5:$J$152,"&gt;0")-SUMIFS(③スチコン工程入力!$M$5:$M$152,③スチコン工程入力!$S$5:$S$152,$J252,③スチコン工程入力!$J$5:$J$152,"&gt;0",③スチコン工程入力!$I$5:$I$152,"&gt;0")+SUMIFS(⑪ZEN工程入力!$M$6:$M$35,⑪ZEN工程入力!$S$6:$S$35,$J252,⑪ZEN工程入力!$J$6:$J$35,"&gt;0")-SUMIFS(⑪ZEN工程入力!$M$6:$M$35,⑪ZEN工程入力!$S$6:$S$35,$J252,⑪ZEN工程入力!$J$6:$J$35,"&gt;0",⑪ZEN工程入力!$I$6:$I$35,"&gt;0")+SUMIFS(⑫ミキサー工程入力!$M$6:$M$65,⑫ミキサー工程入力!$S$6:$S$65,$J252,⑫ミキサー工程入力!$J$6:$J$65,"&gt;0")-SUMIFS(⑫ミキサー工程入力!$M$6:$M$65,⑫ミキサー工程入力!$S$6:$S$65,$J252,⑫ミキサー工程入力!$J$6:$J$65,"&gt;0",⑫ミキサー工程入力!$I$6:$I$65,"&gt;0")+SUMIFS(⑬計量工程入力!$M$6:$M$65,⑬計量工程入力!$S$6:$S$65,$J252,⑬計量工程入力!$J$6:$J$65,"&gt;0")-SUMIFS(⑬計量工程入力!$M$6:$M$65,⑬計量工程入力!$S$6:$S$65,$J252,⑬計量工程入力!$J$6:$J$65,"&gt;0",⑬計量工程入力!$I$6:$I$65,"&gt;0")+SUMIFS(⑭手動工程入力!$M$6:$M$47,⑭手動工程入力!$S$6:$S$47,$J252,⑭手動工程入力!$J$6:$J$47,"&gt;0")-SUMIFS(⑭手動工程入力!$M$6:$M$47,⑭手動工程入力!$S$6:$S$47,$J252,⑭手動工程入力!$J$6:$J$47,"&gt;0",⑭手動工程入力!$I$6:$I$47,"&gt;0"))</f>
        <v/>
      </c>
      <c r="O252" s="393">
        <f>IF($J252="",0,SUMIFS(②釜工程入力!$J$5:$J$117,②釜工程入力!$S$5:$S$117,$J252,②釜工程入力!$J$5:$J$117,"&gt;0",②釜工程入力!$M$5:$M$117,"&gt;0")-SUMIFS(②釜工程入力!$J$5:$J$117,②釜工程入力!$S$5:$S$117,$J252,②釜工程入力!$J$5:$J$117,"&gt;0",②釜工程入力!$I$5:$I$117,"&gt;0",②釜工程入力!$M$5:$M$117,"&gt;0")+SUMIFS(③スチコン工程入力!$J$5:$J$152,③スチコン工程入力!$S$5:$S$152,$J252,③スチコン工程入力!$J$5:$J$152,"&gt;0",③スチコン工程入力!$M$5:$M$152,"&gt;0")-SUMIFS(③スチコン工程入力!$J$5:$J$152,③スチコン工程入力!$S$5:$S$152,$J252,③スチコン工程入力!$J$5:$J$152,"&gt;0",③スチコン工程入力!$I$5:$I$152,"&gt;0",③スチコン工程入力!$M$5:$M$152,"&gt;0")+SUMIFS(⑪ZEN工程入力!$J$6:$J$35,⑪ZEN工程入力!$S$6:$S$35,$J252,⑪ZEN工程入力!$J$6:$J$35,"&gt;0",⑪ZEN工程入力!$M$6:$M$35,"&gt;0")-SUMIFS(⑪ZEN工程入力!$J$6:$J$35,⑪ZEN工程入力!$S$6:$S$35,$J252,⑪ZEN工程入力!$J$6:$J$35,"&gt;0",⑪ZEN工程入力!$I$6:$I$35,"&gt;0",⑪ZEN工程入力!$M$6:$M$35,"&gt;0")+SUMIFS(⑫ミキサー工程入力!$J$6:$J$65,⑫ミキサー工程入力!$S$6:$S$65,$J252,⑫ミキサー工程入力!$J$6:$J$65,"&gt;0",⑫ミキサー工程入力!$M$6:$M$65,"&gt;0")-SUMIFS(⑫ミキサー工程入力!$J$6:$J$65,⑫ミキサー工程入力!$S$6:$S$65,$J252,⑫ミキサー工程入力!$J$6:$J$65,"&gt;0",⑫ミキサー工程入力!$I$6:$I$65,"&gt;0",⑫ミキサー工程入力!$M$6:$M$65,"&gt;0")+SUMIFS(⑬計量工程入力!$J$6:$J$65,⑬計量工程入力!$S$6:$S$65,$J252,⑬計量工程入力!$J$6:$J$65,"&gt;0",⑬計量工程入力!$M$6:$M$65,"&gt;0")-SUMIFS(⑬計量工程入力!$J$6:$J$65,⑬計量工程入力!$S$6:$S$65,$J252,⑬計量工程入力!$J$6:$J$65,"&gt;0",⑬計量工程入力!$I$6:$I$65,"&gt;0",⑬計量工程入力!$M$6:$M$65,"&gt;0")+SUMIFS(⑭手動工程入力!$J$6:$J$47,⑭手動工程入力!$S$6:$S$47,$J252,⑭手動工程入力!$J$6:$J$47,"&gt;0",⑭手動工程入力!$M$6:$M$47,"&gt;0")-SUMIFS(⑭手動工程入力!$J$6:$J$47,⑭手動工程入力!$S$6:$S$47,$J252,⑭手動工程入力!$J$6:$J$47,"&gt;0",⑭手動工程入力!$I$6:$I$47,"&gt;0",⑭手動工程入力!$M$6:$M$47,"&gt;0"))</f>
        <v/>
      </c>
      <c r="P252" s="392" t="inlineStr">
        <is>
          <t>中間品リスト</t>
        </is>
      </c>
    </row>
    <row r="253">
      <c r="A253" s="392" t="n">
        <v>249</v>
      </c>
      <c r="B253" s="392" t="n"/>
      <c r="C253" s="392" t="n"/>
      <c r="D253" s="392" t="n"/>
      <c r="E253" s="392" t="n"/>
      <c r="F253" s="394" t="n"/>
      <c r="G253" s="392" t="n"/>
      <c r="H253" s="604">
        <f>IFERROR(IF(AND($K253&gt;0,ISNUMBER(IF(OR($D253="g",$D253="ｇ"),IF($M253&gt;0,$L253/$M253/1000,""),IF($D253="kg",IF($M253&gt;0,$L253/$M253,""),IF($D253="",IF($M253&gt;0,$L253/$M253/1000,IF($O253&gt;0,$N253/$O253,"")),IF($O253&gt;0,$N253/$O253,"")))))),IF(OR($D253="g",$D253="ｇ"),IF($M253&gt;0,$L253/$M253/1000,""),IF($D253="kg",IF($M253&gt;0,$L253/$M253,""),IF($D253="",IF($M253&gt;0,$L253/$M253/1000,IF($O253&gt;0,$N253/$O253,"")),IF($O253&gt;0,$N253/$O253,"")))),IF($F253="",IF(OR($E253="",$E253="⑩盛付梱包工程入力"),"",IF(OR($D253="g",$D253="ｇ"),INDEX(⑰工程労務費一覧!$N$5:$N$11,MATCH($E253,⑰工程労務費一覧!$K$5:$K$11,0))/1000,IF($D253="kg",INDEX(⑰工程労務費一覧!$N$5:$N$11,MATCH($E253,⑰工程労務費一覧!$K$5:$K$11,0)),IF(OR($D253="個",$D253="切",$D253="本",$D253="枚",$D253="尾"),IF($E253="⑬計量工程入力","",INDEX(⑰工程労務費一覧!$P$5:$P$11,MATCH($E253,⑰工程労務費一覧!$K$5:$K$11,0))),IF(AND($D253="",OR($E253="②釜工程入力",$E253="③スチコン工程入力")),INDEX(⑰工程労務費一覧!$N$5:$N$11,MATCH($E253,⑰工程労務費一覧!$K$5:$K$11,0))/1000,""))))),IF(OR($D253="g",$D253="ｇ"),INDEX(⑰工程労務費一覧!$H$5:$H$753,MATCH($F253,⑰工程労務費一覧!$D$5:$D$753,0))/1000,IF($D253="kg",INDEX(⑰工程労務費一覧!$H$5:$H$753,MATCH($F253,⑰工程労務費一覧!$D$5:$D$753,0)),INDEX(⑰工程労務費一覧!$I$5:$I$753,MATCH($F253,⑰工程労務費一覧!$D$5:$D$753,0)))))),"")</f>
        <v/>
      </c>
      <c r="I253" s="392">
        <f>IF($K253&gt;0,IF(ISNUMBER(IF(OR($D253="g",$D253="ｇ"),IF($M253&gt;0,$L253/$M253/1000,""),IF($D253="kg",IF($M253&gt;0,$L253/$M253,""),IF($D253="",IF($M253&gt;0,$L253/$M253/1000,IF($O253&gt;0,$N253/$O253,"")),IF($O253&gt;0,$N253/$O253,""))))),IF($D253="",IF($M253&gt;0,"◎ JAN紐づけ(g扱い)","◎ JAN紐づけ(個扱い)"),"◎ JAN紐づけ"),"△ JAN紐づけ済・実績不足→仮計算"),IF($F253="",IF(ISNUMBER($H253),IF($D253="","⑤ 工程平均で仮計算(g扱い)","⑤ 工程平均で仮計算"),IF($E253="⑩盛付梱包工程入力","⑥ 盛り込み(⑳F列で計上)",IF(AND($E253="⑬計量工程入力",OR($D253="個",$D253="切",$D253="本",$D253="枚",$D253="尾")),"① 未紐づけ(カット個単位は仮単価なし)","① 未紐づけ"))),IF(NOT(ISNUMBER($H253)),"② 工程側に単価なし",IF($D253="","③ 単位未設定(個で計算)","④ OK"))))</f>
        <v/>
      </c>
      <c r="J253" s="399">
        <f>IFERROR(LOOKUP(2,1/((中間品リスト!$F$2:$F$1299=$B253)*(中間品リスト!$E$2:$E$1299&lt;&gt;"-")*(中間品リスト!$E$2:$E$1299&lt;&gt;"")),中間品リスト!$E$2:$E$1299),"")</f>
        <v/>
      </c>
      <c r="K253" s="400">
        <f>IF($J253="",0,COUNTIF(②釜工程入力!$S$5:$S$117,$J253)+COUNTIF(③スチコン工程入力!$S$5:$S$152,$J253)+COUNTIF(⑪ZEN工程入力!$S$6:$S$35,$J253)+COUNTIF(⑫ミキサー工程入力!$S$6:$S$65,$J253)+COUNTIF(⑬計量工程入力!$S$6:$S$65,$J253)+COUNTIF(⑭手動工程入力!$S$6:$S$47,$J253))</f>
        <v/>
      </c>
      <c r="L253" s="393">
        <f>IF($J253="",0,SUMIFS(②釜工程入力!$M$5:$M$117,②釜工程入力!$S$5:$S$117,$J253,②釜工程入力!$I$5:$I$117,"&gt;0")+SUMIFS(③スチコン工程入力!$M$5:$M$152,③スチコン工程入力!$S$5:$S$152,$J253,③スチコン工程入力!$I$5:$I$152,"&gt;0")+SUMIFS(⑪ZEN工程入力!$M$6:$M$35,⑪ZEN工程入力!$S$6:$S$35,$J253,⑪ZEN工程入力!$I$6:$I$35,"&gt;0")+SUMIFS(⑫ミキサー工程入力!$M$6:$M$65,⑫ミキサー工程入力!$S$6:$S$65,$J253,⑫ミキサー工程入力!$I$6:$I$65,"&gt;0")+SUMIFS(⑬計量工程入力!$M$6:$M$65,⑬計量工程入力!$S$6:$S$65,$J253,⑬計量工程入力!$I$6:$I$65,"&gt;0")+SUMIFS(⑭手動工程入力!$M$6:$M$47,⑭手動工程入力!$S$6:$S$47,$J253,⑭手動工程入力!$I$6:$I$47,"&gt;0"))</f>
        <v/>
      </c>
      <c r="M253" s="393">
        <f>IF($J253="",0,SUMIFS(②釜工程入力!$I$5:$I$117,②釜工程入力!$S$5:$S$117,$J253,②釜工程入力!$I$5:$I$117,"&gt;0",②釜工程入力!$M$5:$M$117,"&gt;0")+SUMIFS(③スチコン工程入力!$I$5:$I$152,③スチコン工程入力!$S$5:$S$152,$J253,③スチコン工程入力!$I$5:$I$152,"&gt;0",③スチコン工程入力!$M$5:$M$152,"&gt;0")+SUMIFS(⑪ZEN工程入力!$I$6:$I$35,⑪ZEN工程入力!$S$6:$S$35,$J253,⑪ZEN工程入力!$I$6:$I$35,"&gt;0",⑪ZEN工程入力!$M$6:$M$35,"&gt;0")+SUMIFS(⑫ミキサー工程入力!$I$6:$I$65,⑫ミキサー工程入力!$S$6:$S$65,$J253,⑫ミキサー工程入力!$I$6:$I$65,"&gt;0",⑫ミキサー工程入力!$M$6:$M$65,"&gt;0")+SUMIFS(⑬計量工程入力!$I$6:$I$65,⑬計量工程入力!$S$6:$S$65,$J253,⑬計量工程入力!$I$6:$I$65,"&gt;0",⑬計量工程入力!$M$6:$M$65,"&gt;0")+SUMIFS(⑭手動工程入力!$I$6:$I$47,⑭手動工程入力!$S$6:$S$47,$J253,⑭手動工程入力!$I$6:$I$47,"&gt;0",⑭手動工程入力!$M$6:$M$47,"&gt;0"))</f>
        <v/>
      </c>
      <c r="N253" s="393">
        <f>IF($J253="",0,SUMIFS(②釜工程入力!$M$5:$M$117,②釜工程入力!$S$5:$S$117,$J253,②釜工程入力!$J$5:$J$117,"&gt;0")-SUMIFS(②釜工程入力!$M$5:$M$117,②釜工程入力!$S$5:$S$117,$J253,②釜工程入力!$J$5:$J$117,"&gt;0",②釜工程入力!$I$5:$I$117,"&gt;0")+SUMIFS(③スチコン工程入力!$M$5:$M$152,③スチコン工程入力!$S$5:$S$152,$J253,③スチコン工程入力!$J$5:$J$152,"&gt;0")-SUMIFS(③スチコン工程入力!$M$5:$M$152,③スチコン工程入力!$S$5:$S$152,$J253,③スチコン工程入力!$J$5:$J$152,"&gt;0",③スチコン工程入力!$I$5:$I$152,"&gt;0")+SUMIFS(⑪ZEN工程入力!$M$6:$M$35,⑪ZEN工程入力!$S$6:$S$35,$J253,⑪ZEN工程入力!$J$6:$J$35,"&gt;0")-SUMIFS(⑪ZEN工程入力!$M$6:$M$35,⑪ZEN工程入力!$S$6:$S$35,$J253,⑪ZEN工程入力!$J$6:$J$35,"&gt;0",⑪ZEN工程入力!$I$6:$I$35,"&gt;0")+SUMIFS(⑫ミキサー工程入力!$M$6:$M$65,⑫ミキサー工程入力!$S$6:$S$65,$J253,⑫ミキサー工程入力!$J$6:$J$65,"&gt;0")-SUMIFS(⑫ミキサー工程入力!$M$6:$M$65,⑫ミキサー工程入力!$S$6:$S$65,$J253,⑫ミキサー工程入力!$J$6:$J$65,"&gt;0",⑫ミキサー工程入力!$I$6:$I$65,"&gt;0")+SUMIFS(⑬計量工程入力!$M$6:$M$65,⑬計量工程入力!$S$6:$S$65,$J253,⑬計量工程入力!$J$6:$J$65,"&gt;0")-SUMIFS(⑬計量工程入力!$M$6:$M$65,⑬計量工程入力!$S$6:$S$65,$J253,⑬計量工程入力!$J$6:$J$65,"&gt;0",⑬計量工程入力!$I$6:$I$65,"&gt;0")+SUMIFS(⑭手動工程入力!$M$6:$M$47,⑭手動工程入力!$S$6:$S$47,$J253,⑭手動工程入力!$J$6:$J$47,"&gt;0")-SUMIFS(⑭手動工程入力!$M$6:$M$47,⑭手動工程入力!$S$6:$S$47,$J253,⑭手動工程入力!$J$6:$J$47,"&gt;0",⑭手動工程入力!$I$6:$I$47,"&gt;0"))</f>
        <v/>
      </c>
      <c r="O253" s="393">
        <f>IF($J253="",0,SUMIFS(②釜工程入力!$J$5:$J$117,②釜工程入力!$S$5:$S$117,$J253,②釜工程入力!$J$5:$J$117,"&gt;0",②釜工程入力!$M$5:$M$117,"&gt;0")-SUMIFS(②釜工程入力!$J$5:$J$117,②釜工程入力!$S$5:$S$117,$J253,②釜工程入力!$J$5:$J$117,"&gt;0",②釜工程入力!$I$5:$I$117,"&gt;0",②釜工程入力!$M$5:$M$117,"&gt;0")+SUMIFS(③スチコン工程入力!$J$5:$J$152,③スチコン工程入力!$S$5:$S$152,$J253,③スチコン工程入力!$J$5:$J$152,"&gt;0",③スチコン工程入力!$M$5:$M$152,"&gt;0")-SUMIFS(③スチコン工程入力!$J$5:$J$152,③スチコン工程入力!$S$5:$S$152,$J253,③スチコン工程入力!$J$5:$J$152,"&gt;0",③スチコン工程入力!$I$5:$I$152,"&gt;0",③スチコン工程入力!$M$5:$M$152,"&gt;0")+SUMIFS(⑪ZEN工程入力!$J$6:$J$35,⑪ZEN工程入力!$S$6:$S$35,$J253,⑪ZEN工程入力!$J$6:$J$35,"&gt;0",⑪ZEN工程入力!$M$6:$M$35,"&gt;0")-SUMIFS(⑪ZEN工程入力!$J$6:$J$35,⑪ZEN工程入力!$S$6:$S$35,$J253,⑪ZEN工程入力!$J$6:$J$35,"&gt;0",⑪ZEN工程入力!$I$6:$I$35,"&gt;0",⑪ZEN工程入力!$M$6:$M$35,"&gt;0")+SUMIFS(⑫ミキサー工程入力!$J$6:$J$65,⑫ミキサー工程入力!$S$6:$S$65,$J253,⑫ミキサー工程入力!$J$6:$J$65,"&gt;0",⑫ミキサー工程入力!$M$6:$M$65,"&gt;0")-SUMIFS(⑫ミキサー工程入力!$J$6:$J$65,⑫ミキサー工程入力!$S$6:$S$65,$J253,⑫ミキサー工程入力!$J$6:$J$65,"&gt;0",⑫ミキサー工程入力!$I$6:$I$65,"&gt;0",⑫ミキサー工程入力!$M$6:$M$65,"&gt;0")+SUMIFS(⑬計量工程入力!$J$6:$J$65,⑬計量工程入力!$S$6:$S$65,$J253,⑬計量工程入力!$J$6:$J$65,"&gt;0",⑬計量工程入力!$M$6:$M$65,"&gt;0")-SUMIFS(⑬計量工程入力!$J$6:$J$65,⑬計量工程入力!$S$6:$S$65,$J253,⑬計量工程入力!$J$6:$J$65,"&gt;0",⑬計量工程入力!$I$6:$I$65,"&gt;0",⑬計量工程入力!$M$6:$M$65,"&gt;0")+SUMIFS(⑭手動工程入力!$J$6:$J$47,⑭手動工程入力!$S$6:$S$47,$J253,⑭手動工程入力!$J$6:$J$47,"&gt;0",⑭手動工程入力!$M$6:$M$47,"&gt;0")-SUMIFS(⑭手動工程入力!$J$6:$J$47,⑭手動工程入力!$S$6:$S$47,$J253,⑭手動工程入力!$J$6:$J$47,"&gt;0",⑭手動工程入力!$I$6:$I$47,"&gt;0",⑭手動工程入力!$M$6:$M$47,"&gt;0"))</f>
        <v/>
      </c>
      <c r="P253" s="392" t="n"/>
    </row>
    <row r="254">
      <c r="A254" s="392" t="n">
        <v>250</v>
      </c>
      <c r="B254" s="392" t="n"/>
      <c r="C254" s="392" t="n"/>
      <c r="D254" s="392" t="n"/>
      <c r="E254" s="392" t="n"/>
      <c r="F254" s="394" t="n"/>
      <c r="G254" s="392" t="n"/>
      <c r="H254" s="604">
        <f>IFERROR(IF(AND($K254&gt;0,ISNUMBER(IF(OR($D254="g",$D254="ｇ"),IF($M254&gt;0,$L254/$M254/1000,""),IF($D254="kg",IF($M254&gt;0,$L254/$M254,""),IF($D254="",IF($M254&gt;0,$L254/$M254/1000,IF($O254&gt;0,$N254/$O254,"")),IF($O254&gt;0,$N254/$O254,"")))))),IF(OR($D254="g",$D254="ｇ"),IF($M254&gt;0,$L254/$M254/1000,""),IF($D254="kg",IF($M254&gt;0,$L254/$M254,""),IF($D254="",IF($M254&gt;0,$L254/$M254/1000,IF($O254&gt;0,$N254/$O254,"")),IF($O254&gt;0,$N254/$O254,"")))),IF($F254="",IF(OR($E254="",$E254="⑩盛付梱包工程入力"),"",IF(OR($D254="g",$D254="ｇ"),INDEX(⑰工程労務費一覧!$N$5:$N$11,MATCH($E254,⑰工程労務費一覧!$K$5:$K$11,0))/1000,IF($D254="kg",INDEX(⑰工程労務費一覧!$N$5:$N$11,MATCH($E254,⑰工程労務費一覧!$K$5:$K$11,0)),IF(OR($D254="個",$D254="切",$D254="本",$D254="枚",$D254="尾"),IF($E254="⑬計量工程入力","",INDEX(⑰工程労務費一覧!$P$5:$P$11,MATCH($E254,⑰工程労務費一覧!$K$5:$K$11,0))),IF(AND($D254="",OR($E254="②釜工程入力",$E254="③スチコン工程入力")),INDEX(⑰工程労務費一覧!$N$5:$N$11,MATCH($E254,⑰工程労務費一覧!$K$5:$K$11,0))/1000,""))))),IF(OR($D254="g",$D254="ｇ"),INDEX(⑰工程労務費一覧!$H$5:$H$753,MATCH($F254,⑰工程労務費一覧!$D$5:$D$753,0))/1000,IF($D254="kg",INDEX(⑰工程労務費一覧!$H$5:$H$753,MATCH($F254,⑰工程労務費一覧!$D$5:$D$753,0)),INDEX(⑰工程労務費一覧!$I$5:$I$753,MATCH($F254,⑰工程労務費一覧!$D$5:$D$753,0)))))),"")</f>
        <v/>
      </c>
      <c r="I254" s="392">
        <f>IF($K254&gt;0,IF(ISNUMBER(IF(OR($D254="g",$D254="ｇ"),IF($M254&gt;0,$L254/$M254/1000,""),IF($D254="kg",IF($M254&gt;0,$L254/$M254,""),IF($D254="",IF($M254&gt;0,$L254/$M254/1000,IF($O254&gt;0,$N254/$O254,"")),IF($O254&gt;0,$N254/$O254,""))))),IF($D254="",IF($M254&gt;0,"◎ JAN紐づけ(g扱い)","◎ JAN紐づけ(個扱い)"),"◎ JAN紐づけ"),"△ JAN紐づけ済・実績不足→仮計算"),IF($F254="",IF(ISNUMBER($H254),IF($D254="","⑤ 工程平均で仮計算(g扱い)","⑤ 工程平均で仮計算"),IF($E254="⑩盛付梱包工程入力","⑥ 盛り込み(⑳F列で計上)",IF(AND($E254="⑬計量工程入力",OR($D254="個",$D254="切",$D254="本",$D254="枚",$D254="尾")),"① 未紐づけ(カット個単位は仮単価なし)","① 未紐づけ"))),IF(NOT(ISNUMBER($H254)),"② 工程側に単価なし",IF($D254="","③ 単位未設定(個で計算)","④ OK"))))</f>
        <v/>
      </c>
      <c r="J254" s="399">
        <f>IFERROR(LOOKUP(2,1/((中間品リスト!$F$2:$F$1299=$B254)*(中間品リスト!$E$2:$E$1299&lt;&gt;"-")*(中間品リスト!$E$2:$E$1299&lt;&gt;"")),中間品リスト!$E$2:$E$1299),"")</f>
        <v/>
      </c>
      <c r="K254" s="400">
        <f>IF($J254="",0,COUNTIF(②釜工程入力!$S$5:$S$117,$J254)+COUNTIF(③スチコン工程入力!$S$5:$S$152,$J254)+COUNTIF(⑪ZEN工程入力!$S$6:$S$35,$J254)+COUNTIF(⑫ミキサー工程入力!$S$6:$S$65,$J254)+COUNTIF(⑬計量工程入力!$S$6:$S$65,$J254)+COUNTIF(⑭手動工程入力!$S$6:$S$47,$J254))</f>
        <v/>
      </c>
      <c r="L254" s="393">
        <f>IF($J254="",0,SUMIFS(②釜工程入力!$M$5:$M$117,②釜工程入力!$S$5:$S$117,$J254,②釜工程入力!$I$5:$I$117,"&gt;0")+SUMIFS(③スチコン工程入力!$M$5:$M$152,③スチコン工程入力!$S$5:$S$152,$J254,③スチコン工程入力!$I$5:$I$152,"&gt;0")+SUMIFS(⑪ZEN工程入力!$M$6:$M$35,⑪ZEN工程入力!$S$6:$S$35,$J254,⑪ZEN工程入力!$I$6:$I$35,"&gt;0")+SUMIFS(⑫ミキサー工程入力!$M$6:$M$65,⑫ミキサー工程入力!$S$6:$S$65,$J254,⑫ミキサー工程入力!$I$6:$I$65,"&gt;0")+SUMIFS(⑬計量工程入力!$M$6:$M$65,⑬計量工程入力!$S$6:$S$65,$J254,⑬計量工程入力!$I$6:$I$65,"&gt;0")+SUMIFS(⑭手動工程入力!$M$6:$M$47,⑭手動工程入力!$S$6:$S$47,$J254,⑭手動工程入力!$I$6:$I$47,"&gt;0"))</f>
        <v/>
      </c>
      <c r="M254" s="393">
        <f>IF($J254="",0,SUMIFS(②釜工程入力!$I$5:$I$117,②釜工程入力!$S$5:$S$117,$J254,②釜工程入力!$I$5:$I$117,"&gt;0",②釜工程入力!$M$5:$M$117,"&gt;0")+SUMIFS(③スチコン工程入力!$I$5:$I$152,③スチコン工程入力!$S$5:$S$152,$J254,③スチコン工程入力!$I$5:$I$152,"&gt;0",③スチコン工程入力!$M$5:$M$152,"&gt;0")+SUMIFS(⑪ZEN工程入力!$I$6:$I$35,⑪ZEN工程入力!$S$6:$S$35,$J254,⑪ZEN工程入力!$I$6:$I$35,"&gt;0",⑪ZEN工程入力!$M$6:$M$35,"&gt;0")+SUMIFS(⑫ミキサー工程入力!$I$6:$I$65,⑫ミキサー工程入力!$S$6:$S$65,$J254,⑫ミキサー工程入力!$I$6:$I$65,"&gt;0",⑫ミキサー工程入力!$M$6:$M$65,"&gt;0")+SUMIFS(⑬計量工程入力!$I$6:$I$65,⑬計量工程入力!$S$6:$S$65,$J254,⑬計量工程入力!$I$6:$I$65,"&gt;0",⑬計量工程入力!$M$6:$M$65,"&gt;0")+SUMIFS(⑭手動工程入力!$I$6:$I$47,⑭手動工程入力!$S$6:$S$47,$J254,⑭手動工程入力!$I$6:$I$47,"&gt;0",⑭手動工程入力!$M$6:$M$47,"&gt;0"))</f>
        <v/>
      </c>
      <c r="N254" s="393">
        <f>IF($J254="",0,SUMIFS(②釜工程入力!$M$5:$M$117,②釜工程入力!$S$5:$S$117,$J254,②釜工程入力!$J$5:$J$117,"&gt;0")-SUMIFS(②釜工程入力!$M$5:$M$117,②釜工程入力!$S$5:$S$117,$J254,②釜工程入力!$J$5:$J$117,"&gt;0",②釜工程入力!$I$5:$I$117,"&gt;0")+SUMIFS(③スチコン工程入力!$M$5:$M$152,③スチコン工程入力!$S$5:$S$152,$J254,③スチコン工程入力!$J$5:$J$152,"&gt;0")-SUMIFS(③スチコン工程入力!$M$5:$M$152,③スチコン工程入力!$S$5:$S$152,$J254,③スチコン工程入力!$J$5:$J$152,"&gt;0",③スチコン工程入力!$I$5:$I$152,"&gt;0")+SUMIFS(⑪ZEN工程入力!$M$6:$M$35,⑪ZEN工程入力!$S$6:$S$35,$J254,⑪ZEN工程入力!$J$6:$J$35,"&gt;0")-SUMIFS(⑪ZEN工程入力!$M$6:$M$35,⑪ZEN工程入力!$S$6:$S$35,$J254,⑪ZEN工程入力!$J$6:$J$35,"&gt;0",⑪ZEN工程入力!$I$6:$I$35,"&gt;0")+SUMIFS(⑫ミキサー工程入力!$M$6:$M$65,⑫ミキサー工程入力!$S$6:$S$65,$J254,⑫ミキサー工程入力!$J$6:$J$65,"&gt;0")-SUMIFS(⑫ミキサー工程入力!$M$6:$M$65,⑫ミキサー工程入力!$S$6:$S$65,$J254,⑫ミキサー工程入力!$J$6:$J$65,"&gt;0",⑫ミキサー工程入力!$I$6:$I$65,"&gt;0")+SUMIFS(⑬計量工程入力!$M$6:$M$65,⑬計量工程入力!$S$6:$S$65,$J254,⑬計量工程入力!$J$6:$J$65,"&gt;0")-SUMIFS(⑬計量工程入力!$M$6:$M$65,⑬計量工程入力!$S$6:$S$65,$J254,⑬計量工程入力!$J$6:$J$65,"&gt;0",⑬計量工程入力!$I$6:$I$65,"&gt;0")+SUMIFS(⑭手動工程入力!$M$6:$M$47,⑭手動工程入力!$S$6:$S$47,$J254,⑭手動工程入力!$J$6:$J$47,"&gt;0")-SUMIFS(⑭手動工程入力!$M$6:$M$47,⑭手動工程入力!$S$6:$S$47,$J254,⑭手動工程入力!$J$6:$J$47,"&gt;0",⑭手動工程入力!$I$6:$I$47,"&gt;0"))</f>
        <v/>
      </c>
      <c r="O254" s="393">
        <f>IF($J254="",0,SUMIFS(②釜工程入力!$J$5:$J$117,②釜工程入力!$S$5:$S$117,$J254,②釜工程入力!$J$5:$J$117,"&gt;0",②釜工程入力!$M$5:$M$117,"&gt;0")-SUMIFS(②釜工程入力!$J$5:$J$117,②釜工程入力!$S$5:$S$117,$J254,②釜工程入力!$J$5:$J$117,"&gt;0",②釜工程入力!$I$5:$I$117,"&gt;0",②釜工程入力!$M$5:$M$117,"&gt;0")+SUMIFS(③スチコン工程入力!$J$5:$J$152,③スチコン工程入力!$S$5:$S$152,$J254,③スチコン工程入力!$J$5:$J$152,"&gt;0",③スチコン工程入力!$M$5:$M$152,"&gt;0")-SUMIFS(③スチコン工程入力!$J$5:$J$152,③スチコン工程入力!$S$5:$S$152,$J254,③スチコン工程入力!$J$5:$J$152,"&gt;0",③スチコン工程入力!$I$5:$I$152,"&gt;0",③スチコン工程入力!$M$5:$M$152,"&gt;0")+SUMIFS(⑪ZEN工程入力!$J$6:$J$35,⑪ZEN工程入力!$S$6:$S$35,$J254,⑪ZEN工程入力!$J$6:$J$35,"&gt;0",⑪ZEN工程入力!$M$6:$M$35,"&gt;0")-SUMIFS(⑪ZEN工程入力!$J$6:$J$35,⑪ZEN工程入力!$S$6:$S$35,$J254,⑪ZEN工程入力!$J$6:$J$35,"&gt;0",⑪ZEN工程入力!$I$6:$I$35,"&gt;0",⑪ZEN工程入力!$M$6:$M$35,"&gt;0")+SUMIFS(⑫ミキサー工程入力!$J$6:$J$65,⑫ミキサー工程入力!$S$6:$S$65,$J254,⑫ミキサー工程入力!$J$6:$J$65,"&gt;0",⑫ミキサー工程入力!$M$6:$M$65,"&gt;0")-SUMIFS(⑫ミキサー工程入力!$J$6:$J$65,⑫ミキサー工程入力!$S$6:$S$65,$J254,⑫ミキサー工程入力!$J$6:$J$65,"&gt;0",⑫ミキサー工程入力!$I$6:$I$65,"&gt;0",⑫ミキサー工程入力!$M$6:$M$65,"&gt;0")+SUMIFS(⑬計量工程入力!$J$6:$J$65,⑬計量工程入力!$S$6:$S$65,$J254,⑬計量工程入力!$J$6:$J$65,"&gt;0",⑬計量工程入力!$M$6:$M$65,"&gt;0")-SUMIFS(⑬計量工程入力!$J$6:$J$65,⑬計量工程入力!$S$6:$S$65,$J254,⑬計量工程入力!$J$6:$J$65,"&gt;0",⑬計量工程入力!$I$6:$I$65,"&gt;0",⑬計量工程入力!$M$6:$M$65,"&gt;0")+SUMIFS(⑭手動工程入力!$J$6:$J$47,⑭手動工程入力!$S$6:$S$47,$J254,⑭手動工程入力!$J$6:$J$47,"&gt;0",⑭手動工程入力!$M$6:$M$47,"&gt;0")-SUMIFS(⑭手動工程入力!$J$6:$J$47,⑭手動工程入力!$S$6:$S$47,$J254,⑭手動工程入力!$J$6:$J$47,"&gt;0",⑭手動工程入力!$I$6:$I$47,"&gt;0",⑭手動工程入力!$M$6:$M$47,"&gt;0"))</f>
        <v/>
      </c>
      <c r="P254" s="392" t="n"/>
    </row>
    <row r="255">
      <c r="A255" s="392" t="n">
        <v>251</v>
      </c>
      <c r="B255" s="392" t="n"/>
      <c r="C255" s="392" t="n"/>
      <c r="D255" s="392" t="n"/>
      <c r="E255" s="392" t="n"/>
      <c r="F255" s="394" t="n"/>
      <c r="G255" s="392" t="n"/>
      <c r="H255" s="604">
        <f>IFERROR(IF(AND($K255&gt;0,ISNUMBER(IF(OR($D255="g",$D255="ｇ"),IF($M255&gt;0,$L255/$M255/1000,""),IF($D255="kg",IF($M255&gt;0,$L255/$M255,""),IF($D255="",IF($M255&gt;0,$L255/$M255/1000,IF($O255&gt;0,$N255/$O255,"")),IF($O255&gt;0,$N255/$O255,"")))))),IF(OR($D255="g",$D255="ｇ"),IF($M255&gt;0,$L255/$M255/1000,""),IF($D255="kg",IF($M255&gt;0,$L255/$M255,""),IF($D255="",IF($M255&gt;0,$L255/$M255/1000,IF($O255&gt;0,$N255/$O255,"")),IF($O255&gt;0,$N255/$O255,"")))),IF($F255="",IF(OR($E255="",$E255="⑩盛付梱包工程入力"),"",IF(OR($D255="g",$D255="ｇ"),INDEX(⑰工程労務費一覧!$N$5:$N$11,MATCH($E255,⑰工程労務費一覧!$K$5:$K$11,0))/1000,IF($D255="kg",INDEX(⑰工程労務費一覧!$N$5:$N$11,MATCH($E255,⑰工程労務費一覧!$K$5:$K$11,0)),IF(OR($D255="個",$D255="切",$D255="本",$D255="枚",$D255="尾"),IF($E255="⑬計量工程入力","",INDEX(⑰工程労務費一覧!$P$5:$P$11,MATCH($E255,⑰工程労務費一覧!$K$5:$K$11,0))),IF(AND($D255="",OR($E255="②釜工程入力",$E255="③スチコン工程入力")),INDEX(⑰工程労務費一覧!$N$5:$N$11,MATCH($E255,⑰工程労務費一覧!$K$5:$K$11,0))/1000,""))))),IF(OR($D255="g",$D255="ｇ"),INDEX(⑰工程労務費一覧!$H$5:$H$753,MATCH($F255,⑰工程労務費一覧!$D$5:$D$753,0))/1000,IF($D255="kg",INDEX(⑰工程労務費一覧!$H$5:$H$753,MATCH($F255,⑰工程労務費一覧!$D$5:$D$753,0)),INDEX(⑰工程労務費一覧!$I$5:$I$753,MATCH($F255,⑰工程労務費一覧!$D$5:$D$753,0)))))),"")</f>
        <v/>
      </c>
      <c r="I255" s="392">
        <f>IF($K255&gt;0,IF(ISNUMBER(IF(OR($D255="g",$D255="ｇ"),IF($M255&gt;0,$L255/$M255/1000,""),IF($D255="kg",IF($M255&gt;0,$L255/$M255,""),IF($D255="",IF($M255&gt;0,$L255/$M255/1000,IF($O255&gt;0,$N255/$O255,"")),IF($O255&gt;0,$N255/$O255,""))))),IF($D255="",IF($M255&gt;0,"◎ JAN紐づけ(g扱い)","◎ JAN紐づけ(個扱い)"),"◎ JAN紐づけ"),"△ JAN紐づけ済・実績不足→仮計算"),IF($F255="",IF(ISNUMBER($H255),IF($D255="","⑤ 工程平均で仮計算(g扱い)","⑤ 工程平均で仮計算"),IF($E255="⑩盛付梱包工程入力","⑥ 盛り込み(⑳F列で計上)",IF(AND($E255="⑬計量工程入力",OR($D255="個",$D255="切",$D255="本",$D255="枚",$D255="尾")),"① 未紐づけ(カット個単位は仮単価なし)","① 未紐づけ"))),IF(NOT(ISNUMBER($H255)),"② 工程側に単価なし",IF($D255="","③ 単位未設定(個で計算)","④ OK"))))</f>
        <v/>
      </c>
      <c r="J255" s="399">
        <f>IFERROR(LOOKUP(2,1/((中間品リスト!$F$2:$F$1299=$B255)*(中間品リスト!$E$2:$E$1299&lt;&gt;"-")*(中間品リスト!$E$2:$E$1299&lt;&gt;"")),中間品リスト!$E$2:$E$1299),"")</f>
        <v/>
      </c>
      <c r="K255" s="400">
        <f>IF($J255="",0,COUNTIF(②釜工程入力!$S$5:$S$117,$J255)+COUNTIF(③スチコン工程入力!$S$5:$S$152,$J255)+COUNTIF(⑪ZEN工程入力!$S$6:$S$35,$J255)+COUNTIF(⑫ミキサー工程入力!$S$6:$S$65,$J255)+COUNTIF(⑬計量工程入力!$S$6:$S$65,$J255)+COUNTIF(⑭手動工程入力!$S$6:$S$47,$J255))</f>
        <v/>
      </c>
      <c r="L255" s="393">
        <f>IF($J255="",0,SUMIFS(②釜工程入力!$M$5:$M$117,②釜工程入力!$S$5:$S$117,$J255,②釜工程入力!$I$5:$I$117,"&gt;0")+SUMIFS(③スチコン工程入力!$M$5:$M$152,③スチコン工程入力!$S$5:$S$152,$J255,③スチコン工程入力!$I$5:$I$152,"&gt;0")+SUMIFS(⑪ZEN工程入力!$M$6:$M$35,⑪ZEN工程入力!$S$6:$S$35,$J255,⑪ZEN工程入力!$I$6:$I$35,"&gt;0")+SUMIFS(⑫ミキサー工程入力!$M$6:$M$65,⑫ミキサー工程入力!$S$6:$S$65,$J255,⑫ミキサー工程入力!$I$6:$I$65,"&gt;0")+SUMIFS(⑬計量工程入力!$M$6:$M$65,⑬計量工程入力!$S$6:$S$65,$J255,⑬計量工程入力!$I$6:$I$65,"&gt;0")+SUMIFS(⑭手動工程入力!$M$6:$M$47,⑭手動工程入力!$S$6:$S$47,$J255,⑭手動工程入力!$I$6:$I$47,"&gt;0"))</f>
        <v/>
      </c>
      <c r="M255" s="393">
        <f>IF($J255="",0,SUMIFS(②釜工程入力!$I$5:$I$117,②釜工程入力!$S$5:$S$117,$J255,②釜工程入力!$I$5:$I$117,"&gt;0",②釜工程入力!$M$5:$M$117,"&gt;0")+SUMIFS(③スチコン工程入力!$I$5:$I$152,③スチコン工程入力!$S$5:$S$152,$J255,③スチコン工程入力!$I$5:$I$152,"&gt;0",③スチコン工程入力!$M$5:$M$152,"&gt;0")+SUMIFS(⑪ZEN工程入力!$I$6:$I$35,⑪ZEN工程入力!$S$6:$S$35,$J255,⑪ZEN工程入力!$I$6:$I$35,"&gt;0",⑪ZEN工程入力!$M$6:$M$35,"&gt;0")+SUMIFS(⑫ミキサー工程入力!$I$6:$I$65,⑫ミキサー工程入力!$S$6:$S$65,$J255,⑫ミキサー工程入力!$I$6:$I$65,"&gt;0",⑫ミキサー工程入力!$M$6:$M$65,"&gt;0")+SUMIFS(⑬計量工程入力!$I$6:$I$65,⑬計量工程入力!$S$6:$S$65,$J255,⑬計量工程入力!$I$6:$I$65,"&gt;0",⑬計量工程入力!$M$6:$M$65,"&gt;0")+SUMIFS(⑭手動工程入力!$I$6:$I$47,⑭手動工程入力!$S$6:$S$47,$J255,⑭手動工程入力!$I$6:$I$47,"&gt;0",⑭手動工程入力!$M$6:$M$47,"&gt;0"))</f>
        <v/>
      </c>
      <c r="N255" s="393">
        <f>IF($J255="",0,SUMIFS(②釜工程入力!$M$5:$M$117,②釜工程入力!$S$5:$S$117,$J255,②釜工程入力!$J$5:$J$117,"&gt;0")-SUMIFS(②釜工程入力!$M$5:$M$117,②釜工程入力!$S$5:$S$117,$J255,②釜工程入力!$J$5:$J$117,"&gt;0",②釜工程入力!$I$5:$I$117,"&gt;0")+SUMIFS(③スチコン工程入力!$M$5:$M$152,③スチコン工程入力!$S$5:$S$152,$J255,③スチコン工程入力!$J$5:$J$152,"&gt;0")-SUMIFS(③スチコン工程入力!$M$5:$M$152,③スチコン工程入力!$S$5:$S$152,$J255,③スチコン工程入力!$J$5:$J$152,"&gt;0",③スチコン工程入力!$I$5:$I$152,"&gt;0")+SUMIFS(⑪ZEN工程入力!$M$6:$M$35,⑪ZEN工程入力!$S$6:$S$35,$J255,⑪ZEN工程入力!$J$6:$J$35,"&gt;0")-SUMIFS(⑪ZEN工程入力!$M$6:$M$35,⑪ZEN工程入力!$S$6:$S$35,$J255,⑪ZEN工程入力!$J$6:$J$35,"&gt;0",⑪ZEN工程入力!$I$6:$I$35,"&gt;0")+SUMIFS(⑫ミキサー工程入力!$M$6:$M$65,⑫ミキサー工程入力!$S$6:$S$65,$J255,⑫ミキサー工程入力!$J$6:$J$65,"&gt;0")-SUMIFS(⑫ミキサー工程入力!$M$6:$M$65,⑫ミキサー工程入力!$S$6:$S$65,$J255,⑫ミキサー工程入力!$J$6:$J$65,"&gt;0",⑫ミキサー工程入力!$I$6:$I$65,"&gt;0")+SUMIFS(⑬計量工程入力!$M$6:$M$65,⑬計量工程入力!$S$6:$S$65,$J255,⑬計量工程入力!$J$6:$J$65,"&gt;0")-SUMIFS(⑬計量工程入力!$M$6:$M$65,⑬計量工程入力!$S$6:$S$65,$J255,⑬計量工程入力!$J$6:$J$65,"&gt;0",⑬計量工程入力!$I$6:$I$65,"&gt;0")+SUMIFS(⑭手動工程入力!$M$6:$M$47,⑭手動工程入力!$S$6:$S$47,$J255,⑭手動工程入力!$J$6:$J$47,"&gt;0")-SUMIFS(⑭手動工程入力!$M$6:$M$47,⑭手動工程入力!$S$6:$S$47,$J255,⑭手動工程入力!$J$6:$J$47,"&gt;0",⑭手動工程入力!$I$6:$I$47,"&gt;0"))</f>
        <v/>
      </c>
      <c r="O255" s="393">
        <f>IF($J255="",0,SUMIFS(②釜工程入力!$J$5:$J$117,②釜工程入力!$S$5:$S$117,$J255,②釜工程入力!$J$5:$J$117,"&gt;0",②釜工程入力!$M$5:$M$117,"&gt;0")-SUMIFS(②釜工程入力!$J$5:$J$117,②釜工程入力!$S$5:$S$117,$J255,②釜工程入力!$J$5:$J$117,"&gt;0",②釜工程入力!$I$5:$I$117,"&gt;0",②釜工程入力!$M$5:$M$117,"&gt;0")+SUMIFS(③スチコン工程入力!$J$5:$J$152,③スチコン工程入力!$S$5:$S$152,$J255,③スチコン工程入力!$J$5:$J$152,"&gt;0",③スチコン工程入力!$M$5:$M$152,"&gt;0")-SUMIFS(③スチコン工程入力!$J$5:$J$152,③スチコン工程入力!$S$5:$S$152,$J255,③スチコン工程入力!$J$5:$J$152,"&gt;0",③スチコン工程入力!$I$5:$I$152,"&gt;0",③スチコン工程入力!$M$5:$M$152,"&gt;0")+SUMIFS(⑪ZEN工程入力!$J$6:$J$35,⑪ZEN工程入力!$S$6:$S$35,$J255,⑪ZEN工程入力!$J$6:$J$35,"&gt;0",⑪ZEN工程入力!$M$6:$M$35,"&gt;0")-SUMIFS(⑪ZEN工程入力!$J$6:$J$35,⑪ZEN工程入力!$S$6:$S$35,$J255,⑪ZEN工程入力!$J$6:$J$35,"&gt;0",⑪ZEN工程入力!$I$6:$I$35,"&gt;0",⑪ZEN工程入力!$M$6:$M$35,"&gt;0")+SUMIFS(⑫ミキサー工程入力!$J$6:$J$65,⑫ミキサー工程入力!$S$6:$S$65,$J255,⑫ミキサー工程入力!$J$6:$J$65,"&gt;0",⑫ミキサー工程入力!$M$6:$M$65,"&gt;0")-SUMIFS(⑫ミキサー工程入力!$J$6:$J$65,⑫ミキサー工程入力!$S$6:$S$65,$J255,⑫ミキサー工程入力!$J$6:$J$65,"&gt;0",⑫ミキサー工程入力!$I$6:$I$65,"&gt;0",⑫ミキサー工程入力!$M$6:$M$65,"&gt;0")+SUMIFS(⑬計量工程入力!$J$6:$J$65,⑬計量工程入力!$S$6:$S$65,$J255,⑬計量工程入力!$J$6:$J$65,"&gt;0",⑬計量工程入力!$M$6:$M$65,"&gt;0")-SUMIFS(⑬計量工程入力!$J$6:$J$65,⑬計量工程入力!$S$6:$S$65,$J255,⑬計量工程入力!$J$6:$J$65,"&gt;0",⑬計量工程入力!$I$6:$I$65,"&gt;0",⑬計量工程入力!$M$6:$M$65,"&gt;0")+SUMIFS(⑭手動工程入力!$J$6:$J$47,⑭手動工程入力!$S$6:$S$47,$J255,⑭手動工程入力!$J$6:$J$47,"&gt;0",⑭手動工程入力!$M$6:$M$47,"&gt;0")-SUMIFS(⑭手動工程入力!$J$6:$J$47,⑭手動工程入力!$S$6:$S$47,$J255,⑭手動工程入力!$J$6:$J$47,"&gt;0",⑭手動工程入力!$I$6:$I$47,"&gt;0",⑭手動工程入力!$M$6:$M$47,"&gt;0"))</f>
        <v/>
      </c>
      <c r="P255" s="392" t="n"/>
    </row>
    <row r="256">
      <c r="A256" s="392" t="n">
        <v>252</v>
      </c>
      <c r="B256" s="392" t="n"/>
      <c r="C256" s="392" t="n"/>
      <c r="D256" s="409" t="n"/>
      <c r="E256" s="392" t="n"/>
      <c r="F256" s="394" t="n"/>
      <c r="G256" s="392" t="n"/>
      <c r="H256" s="604">
        <f>IFERROR(IF(AND($K256&gt;0,ISNUMBER(IF(OR($D256="g",$D256="ｇ"),IF($M256&gt;0,$L256/$M256/1000,""),IF($D256="kg",IF($M256&gt;0,$L256/$M256,""),IF($D256="",IF($M256&gt;0,$L256/$M256/1000,IF($O256&gt;0,$N256/$O256,"")),IF($O256&gt;0,$N256/$O256,"")))))),IF(OR($D256="g",$D256="ｇ"),IF($M256&gt;0,$L256/$M256/1000,""),IF($D256="kg",IF($M256&gt;0,$L256/$M256,""),IF($D256="",IF($M256&gt;0,$L256/$M256/1000,IF($O256&gt;0,$N256/$O256,"")),IF($O256&gt;0,$N256/$O256,"")))),IF($F256="",IF(OR($E256="",$E256="⑩盛付梱包工程入力"),"",IF(OR($D256="g",$D256="ｇ"),INDEX(⑰工程労務費一覧!$N$5:$N$11,MATCH($E256,⑰工程労務費一覧!$K$5:$K$11,0))/1000,IF($D256="kg",INDEX(⑰工程労務費一覧!$N$5:$N$11,MATCH($E256,⑰工程労務費一覧!$K$5:$K$11,0)),IF(OR($D256="個",$D256="切",$D256="本",$D256="枚",$D256="尾"),IF($E256="⑬計量工程入力","",INDEX(⑰工程労務費一覧!$P$5:$P$11,MATCH($E256,⑰工程労務費一覧!$K$5:$K$11,0))),IF(AND($D256="",OR($E256="②釜工程入力",$E256="③スチコン工程入力")),INDEX(⑰工程労務費一覧!$N$5:$N$11,MATCH($E256,⑰工程労務費一覧!$K$5:$K$11,0))/1000,""))))),IF(OR($D256="g",$D256="ｇ"),INDEX(⑰工程労務費一覧!$H$5:$H$753,MATCH($F256,⑰工程労務費一覧!$D$5:$D$753,0))/1000,IF($D256="kg",INDEX(⑰工程労務費一覧!$H$5:$H$753,MATCH($F256,⑰工程労務費一覧!$D$5:$D$753,0)),INDEX(⑰工程労務費一覧!$I$5:$I$753,MATCH($F256,⑰工程労務費一覧!$D$5:$D$753,0)))))),"")</f>
        <v/>
      </c>
      <c r="I256" s="392">
        <f>IF($K256&gt;0,IF(ISNUMBER(IF(OR($D256="g",$D256="ｇ"),IF($M256&gt;0,$L256/$M256/1000,""),IF($D256="kg",IF($M256&gt;0,$L256/$M256,""),IF($D256="",IF($M256&gt;0,$L256/$M256/1000,IF($O256&gt;0,$N256/$O256,"")),IF($O256&gt;0,$N256/$O256,""))))),IF($D256="",IF($M256&gt;0,"◎ JAN紐づけ(g扱い)","◎ JAN紐づけ(個扱い)"),"◎ JAN紐づけ"),"△ JAN紐づけ済・実績不足→仮計算"),IF($F256="",IF(ISNUMBER($H256),IF($D256="","⑤ 工程平均で仮計算(g扱い)","⑤ 工程平均で仮計算"),IF($E256="⑩盛付梱包工程入力","⑥ 盛り込み(⑳F列で計上)",IF(AND($E256="⑬計量工程入力",OR($D256="個",$D256="切",$D256="本",$D256="枚",$D256="尾")),"① 未紐づけ(カット個単位は仮単価なし)","① 未紐づけ"))),IF(NOT(ISNUMBER($H256)),"② 工程側に単価なし",IF($D256="","③ 単位未設定(個で計算)","④ OK"))))</f>
        <v/>
      </c>
      <c r="J256" s="399">
        <f>IFERROR(LOOKUP(2,1/((中間品リスト!$F$2:$F$1299=$B256)*(中間品リスト!$E$2:$E$1299&lt;&gt;"-")*(中間品リスト!$E$2:$E$1299&lt;&gt;"")),中間品リスト!$E$2:$E$1299),"")</f>
        <v/>
      </c>
      <c r="K256" s="400">
        <f>IF($J256="",0,COUNTIF(②釜工程入力!$S$5:$S$117,$J256)+COUNTIF(③スチコン工程入力!$S$5:$S$152,$J256)+COUNTIF(⑪ZEN工程入力!$S$6:$S$35,$J256)+COUNTIF(⑫ミキサー工程入力!$S$6:$S$65,$J256)+COUNTIF(⑬計量工程入力!$S$6:$S$65,$J256)+COUNTIF(⑭手動工程入力!$S$6:$S$47,$J256))</f>
        <v/>
      </c>
      <c r="L256" s="393">
        <f>IF($J256="",0,SUMIFS(②釜工程入力!$M$5:$M$117,②釜工程入力!$S$5:$S$117,$J256,②釜工程入力!$I$5:$I$117,"&gt;0")+SUMIFS(③スチコン工程入力!$M$5:$M$152,③スチコン工程入力!$S$5:$S$152,$J256,③スチコン工程入力!$I$5:$I$152,"&gt;0")+SUMIFS(⑪ZEN工程入力!$M$6:$M$35,⑪ZEN工程入力!$S$6:$S$35,$J256,⑪ZEN工程入力!$I$6:$I$35,"&gt;0")+SUMIFS(⑫ミキサー工程入力!$M$6:$M$65,⑫ミキサー工程入力!$S$6:$S$65,$J256,⑫ミキサー工程入力!$I$6:$I$65,"&gt;0")+SUMIFS(⑬計量工程入力!$M$6:$M$65,⑬計量工程入力!$S$6:$S$65,$J256,⑬計量工程入力!$I$6:$I$65,"&gt;0")+SUMIFS(⑭手動工程入力!$M$6:$M$47,⑭手動工程入力!$S$6:$S$47,$J256,⑭手動工程入力!$I$6:$I$47,"&gt;0"))</f>
        <v/>
      </c>
      <c r="M256" s="393">
        <f>IF($J256="",0,SUMIFS(②釜工程入力!$I$5:$I$117,②釜工程入力!$S$5:$S$117,$J256,②釜工程入力!$I$5:$I$117,"&gt;0",②釜工程入力!$M$5:$M$117,"&gt;0")+SUMIFS(③スチコン工程入力!$I$5:$I$152,③スチコン工程入力!$S$5:$S$152,$J256,③スチコン工程入力!$I$5:$I$152,"&gt;0",③スチコン工程入力!$M$5:$M$152,"&gt;0")+SUMIFS(⑪ZEN工程入力!$I$6:$I$35,⑪ZEN工程入力!$S$6:$S$35,$J256,⑪ZEN工程入力!$I$6:$I$35,"&gt;0",⑪ZEN工程入力!$M$6:$M$35,"&gt;0")+SUMIFS(⑫ミキサー工程入力!$I$6:$I$65,⑫ミキサー工程入力!$S$6:$S$65,$J256,⑫ミキサー工程入力!$I$6:$I$65,"&gt;0",⑫ミキサー工程入力!$M$6:$M$65,"&gt;0")+SUMIFS(⑬計量工程入力!$I$6:$I$65,⑬計量工程入力!$S$6:$S$65,$J256,⑬計量工程入力!$I$6:$I$65,"&gt;0",⑬計量工程入力!$M$6:$M$65,"&gt;0")+SUMIFS(⑭手動工程入力!$I$6:$I$47,⑭手動工程入力!$S$6:$S$47,$J256,⑭手動工程入力!$I$6:$I$47,"&gt;0",⑭手動工程入力!$M$6:$M$47,"&gt;0"))</f>
        <v/>
      </c>
      <c r="N256" s="393">
        <f>IF($J256="",0,SUMIFS(②釜工程入力!$M$5:$M$117,②釜工程入力!$S$5:$S$117,$J256,②釜工程入力!$J$5:$J$117,"&gt;0")-SUMIFS(②釜工程入力!$M$5:$M$117,②釜工程入力!$S$5:$S$117,$J256,②釜工程入力!$J$5:$J$117,"&gt;0",②釜工程入力!$I$5:$I$117,"&gt;0")+SUMIFS(③スチコン工程入力!$M$5:$M$152,③スチコン工程入力!$S$5:$S$152,$J256,③スチコン工程入力!$J$5:$J$152,"&gt;0")-SUMIFS(③スチコン工程入力!$M$5:$M$152,③スチコン工程入力!$S$5:$S$152,$J256,③スチコン工程入力!$J$5:$J$152,"&gt;0",③スチコン工程入力!$I$5:$I$152,"&gt;0")+SUMIFS(⑪ZEN工程入力!$M$6:$M$35,⑪ZEN工程入力!$S$6:$S$35,$J256,⑪ZEN工程入力!$J$6:$J$35,"&gt;0")-SUMIFS(⑪ZEN工程入力!$M$6:$M$35,⑪ZEN工程入力!$S$6:$S$35,$J256,⑪ZEN工程入力!$J$6:$J$35,"&gt;0",⑪ZEN工程入力!$I$6:$I$35,"&gt;0")+SUMIFS(⑫ミキサー工程入力!$M$6:$M$65,⑫ミキサー工程入力!$S$6:$S$65,$J256,⑫ミキサー工程入力!$J$6:$J$65,"&gt;0")-SUMIFS(⑫ミキサー工程入力!$M$6:$M$65,⑫ミキサー工程入力!$S$6:$S$65,$J256,⑫ミキサー工程入力!$J$6:$J$65,"&gt;0",⑫ミキサー工程入力!$I$6:$I$65,"&gt;0")+SUMIFS(⑬計量工程入力!$M$6:$M$65,⑬計量工程入力!$S$6:$S$65,$J256,⑬計量工程入力!$J$6:$J$65,"&gt;0")-SUMIFS(⑬計量工程入力!$M$6:$M$65,⑬計量工程入力!$S$6:$S$65,$J256,⑬計量工程入力!$J$6:$J$65,"&gt;0",⑬計量工程入力!$I$6:$I$65,"&gt;0")+SUMIFS(⑭手動工程入力!$M$6:$M$47,⑭手動工程入力!$S$6:$S$47,$J256,⑭手動工程入力!$J$6:$J$47,"&gt;0")-SUMIFS(⑭手動工程入力!$M$6:$M$47,⑭手動工程入力!$S$6:$S$47,$J256,⑭手動工程入力!$J$6:$J$47,"&gt;0",⑭手動工程入力!$I$6:$I$47,"&gt;0"))</f>
        <v/>
      </c>
      <c r="O256" s="393">
        <f>IF($J256="",0,SUMIFS(②釜工程入力!$J$5:$J$117,②釜工程入力!$S$5:$S$117,$J256,②釜工程入力!$J$5:$J$117,"&gt;0",②釜工程入力!$M$5:$M$117,"&gt;0")-SUMIFS(②釜工程入力!$J$5:$J$117,②釜工程入力!$S$5:$S$117,$J256,②釜工程入力!$J$5:$J$117,"&gt;0",②釜工程入力!$I$5:$I$117,"&gt;0",②釜工程入力!$M$5:$M$117,"&gt;0")+SUMIFS(③スチコン工程入力!$J$5:$J$152,③スチコン工程入力!$S$5:$S$152,$J256,③スチコン工程入力!$J$5:$J$152,"&gt;0",③スチコン工程入力!$M$5:$M$152,"&gt;0")-SUMIFS(③スチコン工程入力!$J$5:$J$152,③スチコン工程入力!$S$5:$S$152,$J256,③スチコン工程入力!$J$5:$J$152,"&gt;0",③スチコン工程入力!$I$5:$I$152,"&gt;0",③スチコン工程入力!$M$5:$M$152,"&gt;0")+SUMIFS(⑪ZEN工程入力!$J$6:$J$35,⑪ZEN工程入力!$S$6:$S$35,$J256,⑪ZEN工程入力!$J$6:$J$35,"&gt;0",⑪ZEN工程入力!$M$6:$M$35,"&gt;0")-SUMIFS(⑪ZEN工程入力!$J$6:$J$35,⑪ZEN工程入力!$S$6:$S$35,$J256,⑪ZEN工程入力!$J$6:$J$35,"&gt;0",⑪ZEN工程入力!$I$6:$I$35,"&gt;0",⑪ZEN工程入力!$M$6:$M$35,"&gt;0")+SUMIFS(⑫ミキサー工程入力!$J$6:$J$65,⑫ミキサー工程入力!$S$6:$S$65,$J256,⑫ミキサー工程入力!$J$6:$J$65,"&gt;0",⑫ミキサー工程入力!$M$6:$M$65,"&gt;0")-SUMIFS(⑫ミキサー工程入力!$J$6:$J$65,⑫ミキサー工程入力!$S$6:$S$65,$J256,⑫ミキサー工程入力!$J$6:$J$65,"&gt;0",⑫ミキサー工程入力!$I$6:$I$65,"&gt;0",⑫ミキサー工程入力!$M$6:$M$65,"&gt;0")+SUMIFS(⑬計量工程入力!$J$6:$J$65,⑬計量工程入力!$S$6:$S$65,$J256,⑬計量工程入力!$J$6:$J$65,"&gt;0",⑬計量工程入力!$M$6:$M$65,"&gt;0")-SUMIFS(⑬計量工程入力!$J$6:$J$65,⑬計量工程入力!$S$6:$S$65,$J256,⑬計量工程入力!$J$6:$J$65,"&gt;0",⑬計量工程入力!$I$6:$I$65,"&gt;0",⑬計量工程入力!$M$6:$M$65,"&gt;0")+SUMIFS(⑭手動工程入力!$J$6:$J$47,⑭手動工程入力!$S$6:$S$47,$J256,⑭手動工程入力!$J$6:$J$47,"&gt;0",⑭手動工程入力!$M$6:$M$47,"&gt;0")-SUMIFS(⑭手動工程入力!$J$6:$J$47,⑭手動工程入力!$S$6:$S$47,$J256,⑭手動工程入力!$J$6:$J$47,"&gt;0",⑭手動工程入力!$I$6:$I$47,"&gt;0",⑭手動工程入力!$M$6:$M$47,"&gt;0"))</f>
        <v/>
      </c>
      <c r="P256" s="392" t="inlineStr">
        <is>
          <t>中間品リスト</t>
        </is>
      </c>
    </row>
    <row r="257">
      <c r="A257" s="392" t="n">
        <v>253</v>
      </c>
      <c r="B257" s="392" t="n"/>
      <c r="C257" s="392" t="n"/>
      <c r="D257" s="409" t="n"/>
      <c r="E257" s="392" t="n"/>
      <c r="F257" s="394" t="n"/>
      <c r="G257" s="392" t="n"/>
      <c r="H257" s="604">
        <f>IFERROR(IF(AND($K257&gt;0,ISNUMBER(IF(OR($D257="g",$D257="ｇ"),IF($M257&gt;0,$L257/$M257/1000,""),IF($D257="kg",IF($M257&gt;0,$L257/$M257,""),IF($D257="",IF($M257&gt;0,$L257/$M257/1000,IF($O257&gt;0,$N257/$O257,"")),IF($O257&gt;0,$N257/$O257,"")))))),IF(OR($D257="g",$D257="ｇ"),IF($M257&gt;0,$L257/$M257/1000,""),IF($D257="kg",IF($M257&gt;0,$L257/$M257,""),IF($D257="",IF($M257&gt;0,$L257/$M257/1000,IF($O257&gt;0,$N257/$O257,"")),IF($O257&gt;0,$N257/$O257,"")))),IF($F257="",IF(OR($E257="",$E257="⑩盛付梱包工程入力"),"",IF(OR($D257="g",$D257="ｇ"),INDEX(⑰工程労務費一覧!$N$5:$N$11,MATCH($E257,⑰工程労務費一覧!$K$5:$K$11,0))/1000,IF($D257="kg",INDEX(⑰工程労務費一覧!$N$5:$N$11,MATCH($E257,⑰工程労務費一覧!$K$5:$K$11,0)),IF(OR($D257="個",$D257="切",$D257="本",$D257="枚",$D257="尾"),IF($E257="⑬計量工程入力","",INDEX(⑰工程労務費一覧!$P$5:$P$11,MATCH($E257,⑰工程労務費一覧!$K$5:$K$11,0))),IF(AND($D257="",OR($E257="②釜工程入力",$E257="③スチコン工程入力")),INDEX(⑰工程労務費一覧!$N$5:$N$11,MATCH($E257,⑰工程労務費一覧!$K$5:$K$11,0))/1000,""))))),IF(OR($D257="g",$D257="ｇ"),INDEX(⑰工程労務費一覧!$H$5:$H$753,MATCH($F257,⑰工程労務費一覧!$D$5:$D$753,0))/1000,IF($D257="kg",INDEX(⑰工程労務費一覧!$H$5:$H$753,MATCH($F257,⑰工程労務費一覧!$D$5:$D$753,0)),INDEX(⑰工程労務費一覧!$I$5:$I$753,MATCH($F257,⑰工程労務費一覧!$D$5:$D$753,0)))))),"")</f>
        <v/>
      </c>
      <c r="I257" s="392">
        <f>IF($K257&gt;0,IF(ISNUMBER(IF(OR($D257="g",$D257="ｇ"),IF($M257&gt;0,$L257/$M257/1000,""),IF($D257="kg",IF($M257&gt;0,$L257/$M257,""),IF($D257="",IF($M257&gt;0,$L257/$M257/1000,IF($O257&gt;0,$N257/$O257,"")),IF($O257&gt;0,$N257/$O257,""))))),IF($D257="",IF($M257&gt;0,"◎ JAN紐づけ(g扱い)","◎ JAN紐づけ(個扱い)"),"◎ JAN紐づけ"),"△ JAN紐づけ済・実績不足→仮計算"),IF($F257="",IF(ISNUMBER($H257),IF($D257="","⑤ 工程平均で仮計算(g扱い)","⑤ 工程平均で仮計算"),IF($E257="⑩盛付梱包工程入力","⑥ 盛り込み(⑳F列で計上)",IF(AND($E257="⑬計量工程入力",OR($D257="個",$D257="切",$D257="本",$D257="枚",$D257="尾")),"① 未紐づけ(カット個単位は仮単価なし)","① 未紐づけ"))),IF(NOT(ISNUMBER($H257)),"② 工程側に単価なし",IF($D257="","③ 単位未設定(個で計算)","④ OK"))))</f>
        <v/>
      </c>
      <c r="J257" s="399">
        <f>IFERROR(LOOKUP(2,1/((中間品リスト!$F$2:$F$1299=$B257)*(中間品リスト!$E$2:$E$1299&lt;&gt;"-")*(中間品リスト!$E$2:$E$1299&lt;&gt;"")),中間品リスト!$E$2:$E$1299),"")</f>
        <v/>
      </c>
      <c r="K257" s="400">
        <f>IF($J257="",0,COUNTIF(②釜工程入力!$S$5:$S$117,$J257)+COUNTIF(③スチコン工程入力!$S$5:$S$152,$J257)+COUNTIF(⑪ZEN工程入力!$S$6:$S$35,$J257)+COUNTIF(⑫ミキサー工程入力!$S$6:$S$65,$J257)+COUNTIF(⑬計量工程入力!$S$6:$S$65,$J257)+COUNTIF(⑭手動工程入力!$S$6:$S$47,$J257))</f>
        <v/>
      </c>
      <c r="L257" s="393">
        <f>IF($J257="",0,SUMIFS(②釜工程入力!$M$5:$M$117,②釜工程入力!$S$5:$S$117,$J257,②釜工程入力!$I$5:$I$117,"&gt;0")+SUMIFS(③スチコン工程入力!$M$5:$M$152,③スチコン工程入力!$S$5:$S$152,$J257,③スチコン工程入力!$I$5:$I$152,"&gt;0")+SUMIFS(⑪ZEN工程入力!$M$6:$M$35,⑪ZEN工程入力!$S$6:$S$35,$J257,⑪ZEN工程入力!$I$6:$I$35,"&gt;0")+SUMIFS(⑫ミキサー工程入力!$M$6:$M$65,⑫ミキサー工程入力!$S$6:$S$65,$J257,⑫ミキサー工程入力!$I$6:$I$65,"&gt;0")+SUMIFS(⑬計量工程入力!$M$6:$M$65,⑬計量工程入力!$S$6:$S$65,$J257,⑬計量工程入力!$I$6:$I$65,"&gt;0")+SUMIFS(⑭手動工程入力!$M$6:$M$47,⑭手動工程入力!$S$6:$S$47,$J257,⑭手動工程入力!$I$6:$I$47,"&gt;0"))</f>
        <v/>
      </c>
      <c r="M257" s="393">
        <f>IF($J257="",0,SUMIFS(②釜工程入力!$I$5:$I$117,②釜工程入力!$S$5:$S$117,$J257,②釜工程入力!$I$5:$I$117,"&gt;0",②釜工程入力!$M$5:$M$117,"&gt;0")+SUMIFS(③スチコン工程入力!$I$5:$I$152,③スチコン工程入力!$S$5:$S$152,$J257,③スチコン工程入力!$I$5:$I$152,"&gt;0",③スチコン工程入力!$M$5:$M$152,"&gt;0")+SUMIFS(⑪ZEN工程入力!$I$6:$I$35,⑪ZEN工程入力!$S$6:$S$35,$J257,⑪ZEN工程入力!$I$6:$I$35,"&gt;0",⑪ZEN工程入力!$M$6:$M$35,"&gt;0")+SUMIFS(⑫ミキサー工程入力!$I$6:$I$65,⑫ミキサー工程入力!$S$6:$S$65,$J257,⑫ミキサー工程入力!$I$6:$I$65,"&gt;0",⑫ミキサー工程入力!$M$6:$M$65,"&gt;0")+SUMIFS(⑬計量工程入力!$I$6:$I$65,⑬計量工程入力!$S$6:$S$65,$J257,⑬計量工程入力!$I$6:$I$65,"&gt;0",⑬計量工程入力!$M$6:$M$65,"&gt;0")+SUMIFS(⑭手動工程入力!$I$6:$I$47,⑭手動工程入力!$S$6:$S$47,$J257,⑭手動工程入力!$I$6:$I$47,"&gt;0",⑭手動工程入力!$M$6:$M$47,"&gt;0"))</f>
        <v/>
      </c>
      <c r="N257" s="393">
        <f>IF($J257="",0,SUMIFS(②釜工程入力!$M$5:$M$117,②釜工程入力!$S$5:$S$117,$J257,②釜工程入力!$J$5:$J$117,"&gt;0")-SUMIFS(②釜工程入力!$M$5:$M$117,②釜工程入力!$S$5:$S$117,$J257,②釜工程入力!$J$5:$J$117,"&gt;0",②釜工程入力!$I$5:$I$117,"&gt;0")+SUMIFS(③スチコン工程入力!$M$5:$M$152,③スチコン工程入力!$S$5:$S$152,$J257,③スチコン工程入力!$J$5:$J$152,"&gt;0")-SUMIFS(③スチコン工程入力!$M$5:$M$152,③スチコン工程入力!$S$5:$S$152,$J257,③スチコン工程入力!$J$5:$J$152,"&gt;0",③スチコン工程入力!$I$5:$I$152,"&gt;0")+SUMIFS(⑪ZEN工程入力!$M$6:$M$35,⑪ZEN工程入力!$S$6:$S$35,$J257,⑪ZEN工程入力!$J$6:$J$35,"&gt;0")-SUMIFS(⑪ZEN工程入力!$M$6:$M$35,⑪ZEN工程入力!$S$6:$S$35,$J257,⑪ZEN工程入力!$J$6:$J$35,"&gt;0",⑪ZEN工程入力!$I$6:$I$35,"&gt;0")+SUMIFS(⑫ミキサー工程入力!$M$6:$M$65,⑫ミキサー工程入力!$S$6:$S$65,$J257,⑫ミキサー工程入力!$J$6:$J$65,"&gt;0")-SUMIFS(⑫ミキサー工程入力!$M$6:$M$65,⑫ミキサー工程入力!$S$6:$S$65,$J257,⑫ミキサー工程入力!$J$6:$J$65,"&gt;0",⑫ミキサー工程入力!$I$6:$I$65,"&gt;0")+SUMIFS(⑬計量工程入力!$M$6:$M$65,⑬計量工程入力!$S$6:$S$65,$J257,⑬計量工程入力!$J$6:$J$65,"&gt;0")-SUMIFS(⑬計量工程入力!$M$6:$M$65,⑬計量工程入力!$S$6:$S$65,$J257,⑬計量工程入力!$J$6:$J$65,"&gt;0",⑬計量工程入力!$I$6:$I$65,"&gt;0")+SUMIFS(⑭手動工程入力!$M$6:$M$47,⑭手動工程入力!$S$6:$S$47,$J257,⑭手動工程入力!$J$6:$J$47,"&gt;0")-SUMIFS(⑭手動工程入力!$M$6:$M$47,⑭手動工程入力!$S$6:$S$47,$J257,⑭手動工程入力!$J$6:$J$47,"&gt;0",⑭手動工程入力!$I$6:$I$47,"&gt;0"))</f>
        <v/>
      </c>
      <c r="O257" s="393">
        <f>IF($J257="",0,SUMIFS(②釜工程入力!$J$5:$J$117,②釜工程入力!$S$5:$S$117,$J257,②釜工程入力!$J$5:$J$117,"&gt;0",②釜工程入力!$M$5:$M$117,"&gt;0")-SUMIFS(②釜工程入力!$J$5:$J$117,②釜工程入力!$S$5:$S$117,$J257,②釜工程入力!$J$5:$J$117,"&gt;0",②釜工程入力!$I$5:$I$117,"&gt;0",②釜工程入力!$M$5:$M$117,"&gt;0")+SUMIFS(③スチコン工程入力!$J$5:$J$152,③スチコン工程入力!$S$5:$S$152,$J257,③スチコン工程入力!$J$5:$J$152,"&gt;0",③スチコン工程入力!$M$5:$M$152,"&gt;0")-SUMIFS(③スチコン工程入力!$J$5:$J$152,③スチコン工程入力!$S$5:$S$152,$J257,③スチコン工程入力!$J$5:$J$152,"&gt;0",③スチコン工程入力!$I$5:$I$152,"&gt;0",③スチコン工程入力!$M$5:$M$152,"&gt;0")+SUMIFS(⑪ZEN工程入力!$J$6:$J$35,⑪ZEN工程入力!$S$6:$S$35,$J257,⑪ZEN工程入力!$J$6:$J$35,"&gt;0",⑪ZEN工程入力!$M$6:$M$35,"&gt;0")-SUMIFS(⑪ZEN工程入力!$J$6:$J$35,⑪ZEN工程入力!$S$6:$S$35,$J257,⑪ZEN工程入力!$J$6:$J$35,"&gt;0",⑪ZEN工程入力!$I$6:$I$35,"&gt;0",⑪ZEN工程入力!$M$6:$M$35,"&gt;0")+SUMIFS(⑫ミキサー工程入力!$J$6:$J$65,⑫ミキサー工程入力!$S$6:$S$65,$J257,⑫ミキサー工程入力!$J$6:$J$65,"&gt;0",⑫ミキサー工程入力!$M$6:$M$65,"&gt;0")-SUMIFS(⑫ミキサー工程入力!$J$6:$J$65,⑫ミキサー工程入力!$S$6:$S$65,$J257,⑫ミキサー工程入力!$J$6:$J$65,"&gt;0",⑫ミキサー工程入力!$I$6:$I$65,"&gt;0",⑫ミキサー工程入力!$M$6:$M$65,"&gt;0")+SUMIFS(⑬計量工程入力!$J$6:$J$65,⑬計量工程入力!$S$6:$S$65,$J257,⑬計量工程入力!$J$6:$J$65,"&gt;0",⑬計量工程入力!$M$6:$M$65,"&gt;0")-SUMIFS(⑬計量工程入力!$J$6:$J$65,⑬計量工程入力!$S$6:$S$65,$J257,⑬計量工程入力!$J$6:$J$65,"&gt;0",⑬計量工程入力!$I$6:$I$65,"&gt;0",⑬計量工程入力!$M$6:$M$65,"&gt;0")+SUMIFS(⑭手動工程入力!$J$6:$J$47,⑭手動工程入力!$S$6:$S$47,$J257,⑭手動工程入力!$J$6:$J$47,"&gt;0",⑭手動工程入力!$M$6:$M$47,"&gt;0")-SUMIFS(⑭手動工程入力!$J$6:$J$47,⑭手動工程入力!$S$6:$S$47,$J257,⑭手動工程入力!$J$6:$J$47,"&gt;0",⑭手動工程入力!$I$6:$I$47,"&gt;0",⑭手動工程入力!$M$6:$M$47,"&gt;0"))</f>
        <v/>
      </c>
      <c r="P257" s="392" t="inlineStr">
        <is>
          <t>中間品リスト</t>
        </is>
      </c>
    </row>
    <row r="258">
      <c r="A258" s="392" t="n">
        <v>254</v>
      </c>
      <c r="B258" s="392" t="n"/>
      <c r="C258" s="392" t="n"/>
      <c r="D258" s="409" t="n"/>
      <c r="E258" s="392" t="n"/>
      <c r="F258" s="394" t="n"/>
      <c r="G258" s="392" t="n"/>
      <c r="H258" s="604">
        <f>IFERROR(IF(AND($K258&gt;0,ISNUMBER(IF(OR($D258="g",$D258="ｇ"),IF($M258&gt;0,$L258/$M258/1000,""),IF($D258="kg",IF($M258&gt;0,$L258/$M258,""),IF($D258="",IF($M258&gt;0,$L258/$M258/1000,IF($O258&gt;0,$N258/$O258,"")),IF($O258&gt;0,$N258/$O258,"")))))),IF(OR($D258="g",$D258="ｇ"),IF($M258&gt;0,$L258/$M258/1000,""),IF($D258="kg",IF($M258&gt;0,$L258/$M258,""),IF($D258="",IF($M258&gt;0,$L258/$M258/1000,IF($O258&gt;0,$N258/$O258,"")),IF($O258&gt;0,$N258/$O258,"")))),IF($F258="",IF(OR($E258="",$E258="⑩盛付梱包工程入力"),"",IF(OR($D258="g",$D258="ｇ"),INDEX(⑰工程労務費一覧!$N$5:$N$11,MATCH($E258,⑰工程労務費一覧!$K$5:$K$11,0))/1000,IF($D258="kg",INDEX(⑰工程労務費一覧!$N$5:$N$11,MATCH($E258,⑰工程労務費一覧!$K$5:$K$11,0)),IF(OR($D258="個",$D258="切",$D258="本",$D258="枚",$D258="尾"),IF($E258="⑬計量工程入力","",INDEX(⑰工程労務費一覧!$P$5:$P$11,MATCH($E258,⑰工程労務費一覧!$K$5:$K$11,0))),IF(AND($D258="",OR($E258="②釜工程入力",$E258="③スチコン工程入力")),INDEX(⑰工程労務費一覧!$N$5:$N$11,MATCH($E258,⑰工程労務費一覧!$K$5:$K$11,0))/1000,""))))),IF(OR($D258="g",$D258="ｇ"),INDEX(⑰工程労務費一覧!$H$5:$H$753,MATCH($F258,⑰工程労務費一覧!$D$5:$D$753,0))/1000,IF($D258="kg",INDEX(⑰工程労務費一覧!$H$5:$H$753,MATCH($F258,⑰工程労務費一覧!$D$5:$D$753,0)),INDEX(⑰工程労務費一覧!$I$5:$I$753,MATCH($F258,⑰工程労務費一覧!$D$5:$D$753,0)))))),"")</f>
        <v/>
      </c>
      <c r="I258" s="392">
        <f>IF($K258&gt;0,IF(ISNUMBER(IF(OR($D258="g",$D258="ｇ"),IF($M258&gt;0,$L258/$M258/1000,""),IF($D258="kg",IF($M258&gt;0,$L258/$M258,""),IF($D258="",IF($M258&gt;0,$L258/$M258/1000,IF($O258&gt;0,$N258/$O258,"")),IF($O258&gt;0,$N258/$O258,""))))),IF($D258="",IF($M258&gt;0,"◎ JAN紐づけ(g扱い)","◎ JAN紐づけ(個扱い)"),"◎ JAN紐づけ"),"△ JAN紐づけ済・実績不足→仮計算"),IF($F258="",IF(ISNUMBER($H258),IF($D258="","⑤ 工程平均で仮計算(g扱い)","⑤ 工程平均で仮計算"),IF($E258="⑩盛付梱包工程入力","⑥ 盛り込み(⑳F列で計上)",IF(AND($E258="⑬計量工程入力",OR($D258="個",$D258="切",$D258="本",$D258="枚",$D258="尾")),"① 未紐づけ(カット個単位は仮単価なし)","① 未紐づけ"))),IF(NOT(ISNUMBER($H258)),"② 工程側に単価なし",IF($D258="","③ 単位未設定(個で計算)","④ OK"))))</f>
        <v/>
      </c>
      <c r="J258" s="399">
        <f>IFERROR(LOOKUP(2,1/((中間品リスト!$F$2:$F$1299=$B258)*(中間品リスト!$E$2:$E$1299&lt;&gt;"-")*(中間品リスト!$E$2:$E$1299&lt;&gt;"")),中間品リスト!$E$2:$E$1299),"")</f>
        <v/>
      </c>
      <c r="K258" s="400">
        <f>IF($J258="",0,COUNTIF(②釜工程入力!$S$5:$S$117,$J258)+COUNTIF(③スチコン工程入力!$S$5:$S$152,$J258)+COUNTIF(⑪ZEN工程入力!$S$6:$S$35,$J258)+COUNTIF(⑫ミキサー工程入力!$S$6:$S$65,$J258)+COUNTIF(⑬計量工程入力!$S$6:$S$65,$J258)+COUNTIF(⑭手動工程入力!$S$6:$S$47,$J258))</f>
        <v/>
      </c>
      <c r="L258" s="393">
        <f>IF($J258="",0,SUMIFS(②釜工程入力!$M$5:$M$117,②釜工程入力!$S$5:$S$117,$J258,②釜工程入力!$I$5:$I$117,"&gt;0")+SUMIFS(③スチコン工程入力!$M$5:$M$152,③スチコン工程入力!$S$5:$S$152,$J258,③スチコン工程入力!$I$5:$I$152,"&gt;0")+SUMIFS(⑪ZEN工程入力!$M$6:$M$35,⑪ZEN工程入力!$S$6:$S$35,$J258,⑪ZEN工程入力!$I$6:$I$35,"&gt;0")+SUMIFS(⑫ミキサー工程入力!$M$6:$M$65,⑫ミキサー工程入力!$S$6:$S$65,$J258,⑫ミキサー工程入力!$I$6:$I$65,"&gt;0")+SUMIFS(⑬計量工程入力!$M$6:$M$65,⑬計量工程入力!$S$6:$S$65,$J258,⑬計量工程入力!$I$6:$I$65,"&gt;0")+SUMIFS(⑭手動工程入力!$M$6:$M$47,⑭手動工程入力!$S$6:$S$47,$J258,⑭手動工程入力!$I$6:$I$47,"&gt;0"))</f>
        <v/>
      </c>
      <c r="M258" s="393">
        <f>IF($J258="",0,SUMIFS(②釜工程入力!$I$5:$I$117,②釜工程入力!$S$5:$S$117,$J258,②釜工程入力!$I$5:$I$117,"&gt;0",②釜工程入力!$M$5:$M$117,"&gt;0")+SUMIFS(③スチコン工程入力!$I$5:$I$152,③スチコン工程入力!$S$5:$S$152,$J258,③スチコン工程入力!$I$5:$I$152,"&gt;0",③スチコン工程入力!$M$5:$M$152,"&gt;0")+SUMIFS(⑪ZEN工程入力!$I$6:$I$35,⑪ZEN工程入力!$S$6:$S$35,$J258,⑪ZEN工程入力!$I$6:$I$35,"&gt;0",⑪ZEN工程入力!$M$6:$M$35,"&gt;0")+SUMIFS(⑫ミキサー工程入力!$I$6:$I$65,⑫ミキサー工程入力!$S$6:$S$65,$J258,⑫ミキサー工程入力!$I$6:$I$65,"&gt;0",⑫ミキサー工程入力!$M$6:$M$65,"&gt;0")+SUMIFS(⑬計量工程入力!$I$6:$I$65,⑬計量工程入力!$S$6:$S$65,$J258,⑬計量工程入力!$I$6:$I$65,"&gt;0",⑬計量工程入力!$M$6:$M$65,"&gt;0")+SUMIFS(⑭手動工程入力!$I$6:$I$47,⑭手動工程入力!$S$6:$S$47,$J258,⑭手動工程入力!$I$6:$I$47,"&gt;0",⑭手動工程入力!$M$6:$M$47,"&gt;0"))</f>
        <v/>
      </c>
      <c r="N258" s="393">
        <f>IF($J258="",0,SUMIFS(②釜工程入力!$M$5:$M$117,②釜工程入力!$S$5:$S$117,$J258,②釜工程入力!$J$5:$J$117,"&gt;0")-SUMIFS(②釜工程入力!$M$5:$M$117,②釜工程入力!$S$5:$S$117,$J258,②釜工程入力!$J$5:$J$117,"&gt;0",②釜工程入力!$I$5:$I$117,"&gt;0")+SUMIFS(③スチコン工程入力!$M$5:$M$152,③スチコン工程入力!$S$5:$S$152,$J258,③スチコン工程入力!$J$5:$J$152,"&gt;0")-SUMIFS(③スチコン工程入力!$M$5:$M$152,③スチコン工程入力!$S$5:$S$152,$J258,③スチコン工程入力!$J$5:$J$152,"&gt;0",③スチコン工程入力!$I$5:$I$152,"&gt;0")+SUMIFS(⑪ZEN工程入力!$M$6:$M$35,⑪ZEN工程入力!$S$6:$S$35,$J258,⑪ZEN工程入力!$J$6:$J$35,"&gt;0")-SUMIFS(⑪ZEN工程入力!$M$6:$M$35,⑪ZEN工程入力!$S$6:$S$35,$J258,⑪ZEN工程入力!$J$6:$J$35,"&gt;0",⑪ZEN工程入力!$I$6:$I$35,"&gt;0")+SUMIFS(⑫ミキサー工程入力!$M$6:$M$65,⑫ミキサー工程入力!$S$6:$S$65,$J258,⑫ミキサー工程入力!$J$6:$J$65,"&gt;0")-SUMIFS(⑫ミキサー工程入力!$M$6:$M$65,⑫ミキサー工程入力!$S$6:$S$65,$J258,⑫ミキサー工程入力!$J$6:$J$65,"&gt;0",⑫ミキサー工程入力!$I$6:$I$65,"&gt;0")+SUMIFS(⑬計量工程入力!$M$6:$M$65,⑬計量工程入力!$S$6:$S$65,$J258,⑬計量工程入力!$J$6:$J$65,"&gt;0")-SUMIFS(⑬計量工程入力!$M$6:$M$65,⑬計量工程入力!$S$6:$S$65,$J258,⑬計量工程入力!$J$6:$J$65,"&gt;0",⑬計量工程入力!$I$6:$I$65,"&gt;0")+SUMIFS(⑭手動工程入力!$M$6:$M$47,⑭手動工程入力!$S$6:$S$47,$J258,⑭手動工程入力!$J$6:$J$47,"&gt;0")-SUMIFS(⑭手動工程入力!$M$6:$M$47,⑭手動工程入力!$S$6:$S$47,$J258,⑭手動工程入力!$J$6:$J$47,"&gt;0",⑭手動工程入力!$I$6:$I$47,"&gt;0"))</f>
        <v/>
      </c>
      <c r="O258" s="393">
        <f>IF($J258="",0,SUMIFS(②釜工程入力!$J$5:$J$117,②釜工程入力!$S$5:$S$117,$J258,②釜工程入力!$J$5:$J$117,"&gt;0",②釜工程入力!$M$5:$M$117,"&gt;0")-SUMIFS(②釜工程入力!$J$5:$J$117,②釜工程入力!$S$5:$S$117,$J258,②釜工程入力!$J$5:$J$117,"&gt;0",②釜工程入力!$I$5:$I$117,"&gt;0",②釜工程入力!$M$5:$M$117,"&gt;0")+SUMIFS(③スチコン工程入力!$J$5:$J$152,③スチコン工程入力!$S$5:$S$152,$J258,③スチコン工程入力!$J$5:$J$152,"&gt;0",③スチコン工程入力!$M$5:$M$152,"&gt;0")-SUMIFS(③スチコン工程入力!$J$5:$J$152,③スチコン工程入力!$S$5:$S$152,$J258,③スチコン工程入力!$J$5:$J$152,"&gt;0",③スチコン工程入力!$I$5:$I$152,"&gt;0",③スチコン工程入力!$M$5:$M$152,"&gt;0")+SUMIFS(⑪ZEN工程入力!$J$6:$J$35,⑪ZEN工程入力!$S$6:$S$35,$J258,⑪ZEN工程入力!$J$6:$J$35,"&gt;0",⑪ZEN工程入力!$M$6:$M$35,"&gt;0")-SUMIFS(⑪ZEN工程入力!$J$6:$J$35,⑪ZEN工程入力!$S$6:$S$35,$J258,⑪ZEN工程入力!$J$6:$J$35,"&gt;0",⑪ZEN工程入力!$I$6:$I$35,"&gt;0",⑪ZEN工程入力!$M$6:$M$35,"&gt;0")+SUMIFS(⑫ミキサー工程入力!$J$6:$J$65,⑫ミキサー工程入力!$S$6:$S$65,$J258,⑫ミキサー工程入力!$J$6:$J$65,"&gt;0",⑫ミキサー工程入力!$M$6:$M$65,"&gt;0")-SUMIFS(⑫ミキサー工程入力!$J$6:$J$65,⑫ミキサー工程入力!$S$6:$S$65,$J258,⑫ミキサー工程入力!$J$6:$J$65,"&gt;0",⑫ミキサー工程入力!$I$6:$I$65,"&gt;0",⑫ミキサー工程入力!$M$6:$M$65,"&gt;0")+SUMIFS(⑬計量工程入力!$J$6:$J$65,⑬計量工程入力!$S$6:$S$65,$J258,⑬計量工程入力!$J$6:$J$65,"&gt;0",⑬計量工程入力!$M$6:$M$65,"&gt;0")-SUMIFS(⑬計量工程入力!$J$6:$J$65,⑬計量工程入力!$S$6:$S$65,$J258,⑬計量工程入力!$J$6:$J$65,"&gt;0",⑬計量工程入力!$I$6:$I$65,"&gt;0",⑬計量工程入力!$M$6:$M$65,"&gt;0")+SUMIFS(⑭手動工程入力!$J$6:$J$47,⑭手動工程入力!$S$6:$S$47,$J258,⑭手動工程入力!$J$6:$J$47,"&gt;0",⑭手動工程入力!$M$6:$M$47,"&gt;0")-SUMIFS(⑭手動工程入力!$J$6:$J$47,⑭手動工程入力!$S$6:$S$47,$J258,⑭手動工程入力!$J$6:$J$47,"&gt;0",⑭手動工程入力!$I$6:$I$47,"&gt;0",⑭手動工程入力!$M$6:$M$47,"&gt;0"))</f>
        <v/>
      </c>
      <c r="P258" s="392" t="inlineStr">
        <is>
          <t>中間品リスト</t>
        </is>
      </c>
    </row>
    <row r="259">
      <c r="A259" s="392" t="n">
        <v>255</v>
      </c>
      <c r="B259" s="392" t="n"/>
      <c r="C259" s="392" t="n"/>
      <c r="D259" s="392" t="n"/>
      <c r="E259" s="392" t="n"/>
      <c r="F259" s="394" t="n"/>
      <c r="G259" s="392" t="n"/>
      <c r="H259" s="604">
        <f>IFERROR(IF(AND($K259&gt;0,ISNUMBER(IF(OR($D259="g",$D259="ｇ"),IF($M259&gt;0,$L259/$M259/1000,""),IF($D259="kg",IF($M259&gt;0,$L259/$M259,""),IF($D259="",IF($M259&gt;0,$L259/$M259/1000,IF($O259&gt;0,$N259/$O259,"")),IF($O259&gt;0,$N259/$O259,"")))))),IF(OR($D259="g",$D259="ｇ"),IF($M259&gt;0,$L259/$M259/1000,""),IF($D259="kg",IF($M259&gt;0,$L259/$M259,""),IF($D259="",IF($M259&gt;0,$L259/$M259/1000,IF($O259&gt;0,$N259/$O259,"")),IF($O259&gt;0,$N259/$O259,"")))),IF($F259="",IF(OR($E259="",$E259="⑩盛付梱包工程入力"),"",IF(OR($D259="g",$D259="ｇ"),INDEX(⑰工程労務費一覧!$N$5:$N$11,MATCH($E259,⑰工程労務費一覧!$K$5:$K$11,0))/1000,IF($D259="kg",INDEX(⑰工程労務費一覧!$N$5:$N$11,MATCH($E259,⑰工程労務費一覧!$K$5:$K$11,0)),IF(OR($D259="個",$D259="切",$D259="本",$D259="枚",$D259="尾"),IF($E259="⑬計量工程入力","",INDEX(⑰工程労務費一覧!$P$5:$P$11,MATCH($E259,⑰工程労務費一覧!$K$5:$K$11,0))),IF(AND($D259="",OR($E259="②釜工程入力",$E259="③スチコン工程入力")),INDEX(⑰工程労務費一覧!$N$5:$N$11,MATCH($E259,⑰工程労務費一覧!$K$5:$K$11,0))/1000,""))))),IF(OR($D259="g",$D259="ｇ"),INDEX(⑰工程労務費一覧!$H$5:$H$753,MATCH($F259,⑰工程労務費一覧!$D$5:$D$753,0))/1000,IF($D259="kg",INDEX(⑰工程労務費一覧!$H$5:$H$753,MATCH($F259,⑰工程労務費一覧!$D$5:$D$753,0)),INDEX(⑰工程労務費一覧!$I$5:$I$753,MATCH($F259,⑰工程労務費一覧!$D$5:$D$753,0)))))),"")</f>
        <v/>
      </c>
      <c r="I259" s="392">
        <f>IF($K259&gt;0,IF(ISNUMBER(IF(OR($D259="g",$D259="ｇ"),IF($M259&gt;0,$L259/$M259/1000,""),IF($D259="kg",IF($M259&gt;0,$L259/$M259,""),IF($D259="",IF($M259&gt;0,$L259/$M259/1000,IF($O259&gt;0,$N259/$O259,"")),IF($O259&gt;0,$N259/$O259,""))))),IF($D259="",IF($M259&gt;0,"◎ JAN紐づけ(g扱い)","◎ JAN紐づけ(個扱い)"),"◎ JAN紐づけ"),"△ JAN紐づけ済・実績不足→仮計算"),IF($F259="",IF(ISNUMBER($H259),IF($D259="","⑤ 工程平均で仮計算(g扱い)","⑤ 工程平均で仮計算"),IF($E259="⑩盛付梱包工程入力","⑥ 盛り込み(⑳F列で計上)",IF(AND($E259="⑬計量工程入力",OR($D259="個",$D259="切",$D259="本",$D259="枚",$D259="尾")),"① 未紐づけ(カット個単位は仮単価なし)","① 未紐づけ"))),IF(NOT(ISNUMBER($H259)),"② 工程側に単価なし",IF($D259="","③ 単位未設定(個で計算)","④ OK"))))</f>
        <v/>
      </c>
      <c r="J259" s="399">
        <f>IFERROR(LOOKUP(2,1/((中間品リスト!$F$2:$F$1299=$B259)*(中間品リスト!$E$2:$E$1299&lt;&gt;"-")*(中間品リスト!$E$2:$E$1299&lt;&gt;"")),中間品リスト!$E$2:$E$1299),"")</f>
        <v/>
      </c>
      <c r="K259" s="400">
        <f>IF($J259="",0,COUNTIF(②釜工程入力!$S$5:$S$117,$J259)+COUNTIF(③スチコン工程入力!$S$5:$S$152,$J259)+COUNTIF(⑪ZEN工程入力!$S$6:$S$35,$J259)+COUNTIF(⑫ミキサー工程入力!$S$6:$S$65,$J259)+COUNTIF(⑬計量工程入力!$S$6:$S$65,$J259)+COUNTIF(⑭手動工程入力!$S$6:$S$47,$J259))</f>
        <v/>
      </c>
      <c r="L259" s="393">
        <f>IF($J259="",0,SUMIFS(②釜工程入力!$M$5:$M$117,②釜工程入力!$S$5:$S$117,$J259,②釜工程入力!$I$5:$I$117,"&gt;0")+SUMIFS(③スチコン工程入力!$M$5:$M$152,③スチコン工程入力!$S$5:$S$152,$J259,③スチコン工程入力!$I$5:$I$152,"&gt;0")+SUMIFS(⑪ZEN工程入力!$M$6:$M$35,⑪ZEN工程入力!$S$6:$S$35,$J259,⑪ZEN工程入力!$I$6:$I$35,"&gt;0")+SUMIFS(⑫ミキサー工程入力!$M$6:$M$65,⑫ミキサー工程入力!$S$6:$S$65,$J259,⑫ミキサー工程入力!$I$6:$I$65,"&gt;0")+SUMIFS(⑬計量工程入力!$M$6:$M$65,⑬計量工程入力!$S$6:$S$65,$J259,⑬計量工程入力!$I$6:$I$65,"&gt;0")+SUMIFS(⑭手動工程入力!$M$6:$M$47,⑭手動工程入力!$S$6:$S$47,$J259,⑭手動工程入力!$I$6:$I$47,"&gt;0"))</f>
        <v/>
      </c>
      <c r="M259" s="393">
        <f>IF($J259="",0,SUMIFS(②釜工程入力!$I$5:$I$117,②釜工程入力!$S$5:$S$117,$J259,②釜工程入力!$I$5:$I$117,"&gt;0",②釜工程入力!$M$5:$M$117,"&gt;0")+SUMIFS(③スチコン工程入力!$I$5:$I$152,③スチコン工程入力!$S$5:$S$152,$J259,③スチコン工程入力!$I$5:$I$152,"&gt;0",③スチコン工程入力!$M$5:$M$152,"&gt;0")+SUMIFS(⑪ZEN工程入力!$I$6:$I$35,⑪ZEN工程入力!$S$6:$S$35,$J259,⑪ZEN工程入力!$I$6:$I$35,"&gt;0",⑪ZEN工程入力!$M$6:$M$35,"&gt;0")+SUMIFS(⑫ミキサー工程入力!$I$6:$I$65,⑫ミキサー工程入力!$S$6:$S$65,$J259,⑫ミキサー工程入力!$I$6:$I$65,"&gt;0",⑫ミキサー工程入力!$M$6:$M$65,"&gt;0")+SUMIFS(⑬計量工程入力!$I$6:$I$65,⑬計量工程入力!$S$6:$S$65,$J259,⑬計量工程入力!$I$6:$I$65,"&gt;0",⑬計量工程入力!$M$6:$M$65,"&gt;0")+SUMIFS(⑭手動工程入力!$I$6:$I$47,⑭手動工程入力!$S$6:$S$47,$J259,⑭手動工程入力!$I$6:$I$47,"&gt;0",⑭手動工程入力!$M$6:$M$47,"&gt;0"))</f>
        <v/>
      </c>
      <c r="N259" s="393">
        <f>IF($J259="",0,SUMIFS(②釜工程入力!$M$5:$M$117,②釜工程入力!$S$5:$S$117,$J259,②釜工程入力!$J$5:$J$117,"&gt;0")-SUMIFS(②釜工程入力!$M$5:$M$117,②釜工程入力!$S$5:$S$117,$J259,②釜工程入力!$J$5:$J$117,"&gt;0",②釜工程入力!$I$5:$I$117,"&gt;0")+SUMIFS(③スチコン工程入力!$M$5:$M$152,③スチコン工程入力!$S$5:$S$152,$J259,③スチコン工程入力!$J$5:$J$152,"&gt;0")-SUMIFS(③スチコン工程入力!$M$5:$M$152,③スチコン工程入力!$S$5:$S$152,$J259,③スチコン工程入力!$J$5:$J$152,"&gt;0",③スチコン工程入力!$I$5:$I$152,"&gt;0")+SUMIFS(⑪ZEN工程入力!$M$6:$M$35,⑪ZEN工程入力!$S$6:$S$35,$J259,⑪ZEN工程入力!$J$6:$J$35,"&gt;0")-SUMIFS(⑪ZEN工程入力!$M$6:$M$35,⑪ZEN工程入力!$S$6:$S$35,$J259,⑪ZEN工程入力!$J$6:$J$35,"&gt;0",⑪ZEN工程入力!$I$6:$I$35,"&gt;0")+SUMIFS(⑫ミキサー工程入力!$M$6:$M$65,⑫ミキサー工程入力!$S$6:$S$65,$J259,⑫ミキサー工程入力!$J$6:$J$65,"&gt;0")-SUMIFS(⑫ミキサー工程入力!$M$6:$M$65,⑫ミキサー工程入力!$S$6:$S$65,$J259,⑫ミキサー工程入力!$J$6:$J$65,"&gt;0",⑫ミキサー工程入力!$I$6:$I$65,"&gt;0")+SUMIFS(⑬計量工程入力!$M$6:$M$65,⑬計量工程入力!$S$6:$S$65,$J259,⑬計量工程入力!$J$6:$J$65,"&gt;0")-SUMIFS(⑬計量工程入力!$M$6:$M$65,⑬計量工程入力!$S$6:$S$65,$J259,⑬計量工程入力!$J$6:$J$65,"&gt;0",⑬計量工程入力!$I$6:$I$65,"&gt;0")+SUMIFS(⑭手動工程入力!$M$6:$M$47,⑭手動工程入力!$S$6:$S$47,$J259,⑭手動工程入力!$J$6:$J$47,"&gt;0")-SUMIFS(⑭手動工程入力!$M$6:$M$47,⑭手動工程入力!$S$6:$S$47,$J259,⑭手動工程入力!$J$6:$J$47,"&gt;0",⑭手動工程入力!$I$6:$I$47,"&gt;0"))</f>
        <v/>
      </c>
      <c r="O259" s="393">
        <f>IF($J259="",0,SUMIFS(②釜工程入力!$J$5:$J$117,②釜工程入力!$S$5:$S$117,$J259,②釜工程入力!$J$5:$J$117,"&gt;0",②釜工程入力!$M$5:$M$117,"&gt;0")-SUMIFS(②釜工程入力!$J$5:$J$117,②釜工程入力!$S$5:$S$117,$J259,②釜工程入力!$J$5:$J$117,"&gt;0",②釜工程入力!$I$5:$I$117,"&gt;0",②釜工程入力!$M$5:$M$117,"&gt;0")+SUMIFS(③スチコン工程入力!$J$5:$J$152,③スチコン工程入力!$S$5:$S$152,$J259,③スチコン工程入力!$J$5:$J$152,"&gt;0",③スチコン工程入力!$M$5:$M$152,"&gt;0")-SUMIFS(③スチコン工程入力!$J$5:$J$152,③スチコン工程入力!$S$5:$S$152,$J259,③スチコン工程入力!$J$5:$J$152,"&gt;0",③スチコン工程入力!$I$5:$I$152,"&gt;0",③スチコン工程入力!$M$5:$M$152,"&gt;0")+SUMIFS(⑪ZEN工程入力!$J$6:$J$35,⑪ZEN工程入力!$S$6:$S$35,$J259,⑪ZEN工程入力!$J$6:$J$35,"&gt;0",⑪ZEN工程入力!$M$6:$M$35,"&gt;0")-SUMIFS(⑪ZEN工程入力!$J$6:$J$35,⑪ZEN工程入力!$S$6:$S$35,$J259,⑪ZEN工程入力!$J$6:$J$35,"&gt;0",⑪ZEN工程入力!$I$6:$I$35,"&gt;0",⑪ZEN工程入力!$M$6:$M$35,"&gt;0")+SUMIFS(⑫ミキサー工程入力!$J$6:$J$65,⑫ミキサー工程入力!$S$6:$S$65,$J259,⑫ミキサー工程入力!$J$6:$J$65,"&gt;0",⑫ミキサー工程入力!$M$6:$M$65,"&gt;0")-SUMIFS(⑫ミキサー工程入力!$J$6:$J$65,⑫ミキサー工程入力!$S$6:$S$65,$J259,⑫ミキサー工程入力!$J$6:$J$65,"&gt;0",⑫ミキサー工程入力!$I$6:$I$65,"&gt;0",⑫ミキサー工程入力!$M$6:$M$65,"&gt;0")+SUMIFS(⑬計量工程入力!$J$6:$J$65,⑬計量工程入力!$S$6:$S$65,$J259,⑬計量工程入力!$J$6:$J$65,"&gt;0",⑬計量工程入力!$M$6:$M$65,"&gt;0")-SUMIFS(⑬計量工程入力!$J$6:$J$65,⑬計量工程入力!$S$6:$S$65,$J259,⑬計量工程入力!$J$6:$J$65,"&gt;0",⑬計量工程入力!$I$6:$I$65,"&gt;0",⑬計量工程入力!$M$6:$M$65,"&gt;0")+SUMIFS(⑭手動工程入力!$J$6:$J$47,⑭手動工程入力!$S$6:$S$47,$J259,⑭手動工程入力!$J$6:$J$47,"&gt;0",⑭手動工程入力!$M$6:$M$47,"&gt;0")-SUMIFS(⑭手動工程入力!$J$6:$J$47,⑭手動工程入力!$S$6:$S$47,$J259,⑭手動工程入力!$J$6:$J$47,"&gt;0",⑭手動工程入力!$I$6:$I$47,"&gt;0",⑭手動工程入力!$M$6:$M$47,"&gt;0"))</f>
        <v/>
      </c>
      <c r="P259" s="392" t="inlineStr">
        <is>
          <t>手がかりなし（空欄のまま）</t>
        </is>
      </c>
    </row>
    <row r="260">
      <c r="A260" s="392" t="n">
        <v>256</v>
      </c>
      <c r="B260" s="392" t="n"/>
      <c r="C260" s="392" t="n"/>
      <c r="D260" s="409" t="n"/>
      <c r="E260" s="392" t="n"/>
      <c r="F260" s="394" t="n"/>
      <c r="G260" s="392" t="n"/>
      <c r="H260" s="604">
        <f>IFERROR(IF(AND($K260&gt;0,ISNUMBER(IF(OR($D260="g",$D260="ｇ"),IF($M260&gt;0,$L260/$M260/1000,""),IF($D260="kg",IF($M260&gt;0,$L260/$M260,""),IF($D260="",IF($M260&gt;0,$L260/$M260/1000,IF($O260&gt;0,$N260/$O260,"")),IF($O260&gt;0,$N260/$O260,"")))))),IF(OR($D260="g",$D260="ｇ"),IF($M260&gt;0,$L260/$M260/1000,""),IF($D260="kg",IF($M260&gt;0,$L260/$M260,""),IF($D260="",IF($M260&gt;0,$L260/$M260/1000,IF($O260&gt;0,$N260/$O260,"")),IF($O260&gt;0,$N260/$O260,"")))),IF($F260="",IF(OR($E260="",$E260="⑩盛付梱包工程入力"),"",IF(OR($D260="g",$D260="ｇ"),INDEX(⑰工程労務費一覧!$N$5:$N$11,MATCH($E260,⑰工程労務費一覧!$K$5:$K$11,0))/1000,IF($D260="kg",INDEX(⑰工程労務費一覧!$N$5:$N$11,MATCH($E260,⑰工程労務費一覧!$K$5:$K$11,0)),IF(OR($D260="個",$D260="切",$D260="本",$D260="枚",$D260="尾"),IF($E260="⑬計量工程入力","",INDEX(⑰工程労務費一覧!$P$5:$P$11,MATCH($E260,⑰工程労務費一覧!$K$5:$K$11,0))),IF(AND($D260="",OR($E260="②釜工程入力",$E260="③スチコン工程入力")),INDEX(⑰工程労務費一覧!$N$5:$N$11,MATCH($E260,⑰工程労務費一覧!$K$5:$K$11,0))/1000,""))))),IF(OR($D260="g",$D260="ｇ"),INDEX(⑰工程労務費一覧!$H$5:$H$753,MATCH($F260,⑰工程労務費一覧!$D$5:$D$753,0))/1000,IF($D260="kg",INDEX(⑰工程労務費一覧!$H$5:$H$753,MATCH($F260,⑰工程労務費一覧!$D$5:$D$753,0)),INDEX(⑰工程労務費一覧!$I$5:$I$753,MATCH($F260,⑰工程労務費一覧!$D$5:$D$753,0)))))),"")</f>
        <v/>
      </c>
      <c r="I260" s="392">
        <f>IF($K260&gt;0,IF(ISNUMBER(IF(OR($D260="g",$D260="ｇ"),IF($M260&gt;0,$L260/$M260/1000,""),IF($D260="kg",IF($M260&gt;0,$L260/$M260,""),IF($D260="",IF($M260&gt;0,$L260/$M260/1000,IF($O260&gt;0,$N260/$O260,"")),IF($O260&gt;0,$N260/$O260,""))))),IF($D260="",IF($M260&gt;0,"◎ JAN紐づけ(g扱い)","◎ JAN紐づけ(個扱い)"),"◎ JAN紐づけ"),"△ JAN紐づけ済・実績不足→仮計算"),IF($F260="",IF(ISNUMBER($H260),IF($D260="","⑤ 工程平均で仮計算(g扱い)","⑤ 工程平均で仮計算"),IF($E260="⑩盛付梱包工程入力","⑥ 盛り込み(⑳F列で計上)",IF(AND($E260="⑬計量工程入力",OR($D260="個",$D260="切",$D260="本",$D260="枚",$D260="尾")),"① 未紐づけ(カット個単位は仮単価なし)","① 未紐づけ"))),IF(NOT(ISNUMBER($H260)),"② 工程側に単価なし",IF($D260="","③ 単位未設定(個で計算)","④ OK"))))</f>
        <v/>
      </c>
      <c r="J260" s="399">
        <f>IFERROR(LOOKUP(2,1/((中間品リスト!$F$2:$F$1299=$B260)*(中間品リスト!$E$2:$E$1299&lt;&gt;"-")*(中間品リスト!$E$2:$E$1299&lt;&gt;"")),中間品リスト!$E$2:$E$1299),"")</f>
        <v/>
      </c>
      <c r="K260" s="400">
        <f>IF($J260="",0,COUNTIF(②釜工程入力!$S$5:$S$117,$J260)+COUNTIF(③スチコン工程入力!$S$5:$S$152,$J260)+COUNTIF(⑪ZEN工程入力!$S$6:$S$35,$J260)+COUNTIF(⑫ミキサー工程入力!$S$6:$S$65,$J260)+COUNTIF(⑬計量工程入力!$S$6:$S$65,$J260)+COUNTIF(⑭手動工程入力!$S$6:$S$47,$J260))</f>
        <v/>
      </c>
      <c r="L260" s="393">
        <f>IF($J260="",0,SUMIFS(②釜工程入力!$M$5:$M$117,②釜工程入力!$S$5:$S$117,$J260,②釜工程入力!$I$5:$I$117,"&gt;0")+SUMIFS(③スチコン工程入力!$M$5:$M$152,③スチコン工程入力!$S$5:$S$152,$J260,③スチコン工程入力!$I$5:$I$152,"&gt;0")+SUMIFS(⑪ZEN工程入力!$M$6:$M$35,⑪ZEN工程入力!$S$6:$S$35,$J260,⑪ZEN工程入力!$I$6:$I$35,"&gt;0")+SUMIFS(⑫ミキサー工程入力!$M$6:$M$65,⑫ミキサー工程入力!$S$6:$S$65,$J260,⑫ミキサー工程入力!$I$6:$I$65,"&gt;0")+SUMIFS(⑬計量工程入力!$M$6:$M$65,⑬計量工程入力!$S$6:$S$65,$J260,⑬計量工程入力!$I$6:$I$65,"&gt;0")+SUMIFS(⑭手動工程入力!$M$6:$M$47,⑭手動工程入力!$S$6:$S$47,$J260,⑭手動工程入力!$I$6:$I$47,"&gt;0"))</f>
        <v/>
      </c>
      <c r="M260" s="393">
        <f>IF($J260="",0,SUMIFS(②釜工程入力!$I$5:$I$117,②釜工程入力!$S$5:$S$117,$J260,②釜工程入力!$I$5:$I$117,"&gt;0",②釜工程入力!$M$5:$M$117,"&gt;0")+SUMIFS(③スチコン工程入力!$I$5:$I$152,③スチコン工程入力!$S$5:$S$152,$J260,③スチコン工程入力!$I$5:$I$152,"&gt;0",③スチコン工程入力!$M$5:$M$152,"&gt;0")+SUMIFS(⑪ZEN工程入力!$I$6:$I$35,⑪ZEN工程入力!$S$6:$S$35,$J260,⑪ZEN工程入力!$I$6:$I$35,"&gt;0",⑪ZEN工程入力!$M$6:$M$35,"&gt;0")+SUMIFS(⑫ミキサー工程入力!$I$6:$I$65,⑫ミキサー工程入力!$S$6:$S$65,$J260,⑫ミキサー工程入力!$I$6:$I$65,"&gt;0",⑫ミキサー工程入力!$M$6:$M$65,"&gt;0")+SUMIFS(⑬計量工程入力!$I$6:$I$65,⑬計量工程入力!$S$6:$S$65,$J260,⑬計量工程入力!$I$6:$I$65,"&gt;0",⑬計量工程入力!$M$6:$M$65,"&gt;0")+SUMIFS(⑭手動工程入力!$I$6:$I$47,⑭手動工程入力!$S$6:$S$47,$J260,⑭手動工程入力!$I$6:$I$47,"&gt;0",⑭手動工程入力!$M$6:$M$47,"&gt;0"))</f>
        <v/>
      </c>
      <c r="N260" s="393">
        <f>IF($J260="",0,SUMIFS(②釜工程入力!$M$5:$M$117,②釜工程入力!$S$5:$S$117,$J260,②釜工程入力!$J$5:$J$117,"&gt;0")-SUMIFS(②釜工程入力!$M$5:$M$117,②釜工程入力!$S$5:$S$117,$J260,②釜工程入力!$J$5:$J$117,"&gt;0",②釜工程入力!$I$5:$I$117,"&gt;0")+SUMIFS(③スチコン工程入力!$M$5:$M$152,③スチコン工程入力!$S$5:$S$152,$J260,③スチコン工程入力!$J$5:$J$152,"&gt;0")-SUMIFS(③スチコン工程入力!$M$5:$M$152,③スチコン工程入力!$S$5:$S$152,$J260,③スチコン工程入力!$J$5:$J$152,"&gt;0",③スチコン工程入力!$I$5:$I$152,"&gt;0")+SUMIFS(⑪ZEN工程入力!$M$6:$M$35,⑪ZEN工程入力!$S$6:$S$35,$J260,⑪ZEN工程入力!$J$6:$J$35,"&gt;0")-SUMIFS(⑪ZEN工程入力!$M$6:$M$35,⑪ZEN工程入力!$S$6:$S$35,$J260,⑪ZEN工程入力!$J$6:$J$35,"&gt;0",⑪ZEN工程入力!$I$6:$I$35,"&gt;0")+SUMIFS(⑫ミキサー工程入力!$M$6:$M$65,⑫ミキサー工程入力!$S$6:$S$65,$J260,⑫ミキサー工程入力!$J$6:$J$65,"&gt;0")-SUMIFS(⑫ミキサー工程入力!$M$6:$M$65,⑫ミキサー工程入力!$S$6:$S$65,$J260,⑫ミキサー工程入力!$J$6:$J$65,"&gt;0",⑫ミキサー工程入力!$I$6:$I$65,"&gt;0")+SUMIFS(⑬計量工程入力!$M$6:$M$65,⑬計量工程入力!$S$6:$S$65,$J260,⑬計量工程入力!$J$6:$J$65,"&gt;0")-SUMIFS(⑬計量工程入力!$M$6:$M$65,⑬計量工程入力!$S$6:$S$65,$J260,⑬計量工程入力!$J$6:$J$65,"&gt;0",⑬計量工程入力!$I$6:$I$65,"&gt;0")+SUMIFS(⑭手動工程入力!$M$6:$M$47,⑭手動工程入力!$S$6:$S$47,$J260,⑭手動工程入力!$J$6:$J$47,"&gt;0")-SUMIFS(⑭手動工程入力!$M$6:$M$47,⑭手動工程入力!$S$6:$S$47,$J260,⑭手動工程入力!$J$6:$J$47,"&gt;0",⑭手動工程入力!$I$6:$I$47,"&gt;0"))</f>
        <v/>
      </c>
      <c r="O260" s="393">
        <f>IF($J260="",0,SUMIFS(②釜工程入力!$J$5:$J$117,②釜工程入力!$S$5:$S$117,$J260,②釜工程入力!$J$5:$J$117,"&gt;0",②釜工程入力!$M$5:$M$117,"&gt;0")-SUMIFS(②釜工程入力!$J$5:$J$117,②釜工程入力!$S$5:$S$117,$J260,②釜工程入力!$J$5:$J$117,"&gt;0",②釜工程入力!$I$5:$I$117,"&gt;0",②釜工程入力!$M$5:$M$117,"&gt;0")+SUMIFS(③スチコン工程入力!$J$5:$J$152,③スチコン工程入力!$S$5:$S$152,$J260,③スチコン工程入力!$J$5:$J$152,"&gt;0",③スチコン工程入力!$M$5:$M$152,"&gt;0")-SUMIFS(③スチコン工程入力!$J$5:$J$152,③スチコン工程入力!$S$5:$S$152,$J260,③スチコン工程入力!$J$5:$J$152,"&gt;0",③スチコン工程入力!$I$5:$I$152,"&gt;0",③スチコン工程入力!$M$5:$M$152,"&gt;0")+SUMIFS(⑪ZEN工程入力!$J$6:$J$35,⑪ZEN工程入力!$S$6:$S$35,$J260,⑪ZEN工程入力!$J$6:$J$35,"&gt;0",⑪ZEN工程入力!$M$6:$M$35,"&gt;0")-SUMIFS(⑪ZEN工程入力!$J$6:$J$35,⑪ZEN工程入力!$S$6:$S$35,$J260,⑪ZEN工程入力!$J$6:$J$35,"&gt;0",⑪ZEN工程入力!$I$6:$I$35,"&gt;0",⑪ZEN工程入力!$M$6:$M$35,"&gt;0")+SUMIFS(⑫ミキサー工程入力!$J$6:$J$65,⑫ミキサー工程入力!$S$6:$S$65,$J260,⑫ミキサー工程入力!$J$6:$J$65,"&gt;0",⑫ミキサー工程入力!$M$6:$M$65,"&gt;0")-SUMIFS(⑫ミキサー工程入力!$J$6:$J$65,⑫ミキサー工程入力!$S$6:$S$65,$J260,⑫ミキサー工程入力!$J$6:$J$65,"&gt;0",⑫ミキサー工程入力!$I$6:$I$65,"&gt;0",⑫ミキサー工程入力!$M$6:$M$65,"&gt;0")+SUMIFS(⑬計量工程入力!$J$6:$J$65,⑬計量工程入力!$S$6:$S$65,$J260,⑬計量工程入力!$J$6:$J$65,"&gt;0",⑬計量工程入力!$M$6:$M$65,"&gt;0")-SUMIFS(⑬計量工程入力!$J$6:$J$65,⑬計量工程入力!$S$6:$S$65,$J260,⑬計量工程入力!$J$6:$J$65,"&gt;0",⑬計量工程入力!$I$6:$I$65,"&gt;0",⑬計量工程入力!$M$6:$M$65,"&gt;0")+SUMIFS(⑭手動工程入力!$J$6:$J$47,⑭手動工程入力!$S$6:$S$47,$J260,⑭手動工程入力!$J$6:$J$47,"&gt;0",⑭手動工程入力!$M$6:$M$47,"&gt;0")-SUMIFS(⑭手動工程入力!$J$6:$J$47,⑭手動工程入力!$S$6:$S$47,$J260,⑭手動工程入力!$J$6:$J$47,"&gt;0",⑭手動工程入力!$I$6:$I$47,"&gt;0",⑭手動工程入力!$M$6:$M$47,"&gt;0"))</f>
        <v/>
      </c>
      <c r="P260" s="392" t="inlineStr">
        <is>
          <t>中間品リスト</t>
        </is>
      </c>
    </row>
    <row r="261">
      <c r="A261" s="392" t="n">
        <v>257</v>
      </c>
      <c r="B261" s="392" t="n"/>
      <c r="C261" s="392" t="n"/>
      <c r="D261" s="409" t="n"/>
      <c r="E261" s="392" t="n"/>
      <c r="F261" s="394" t="n"/>
      <c r="G261" s="392" t="n"/>
      <c r="H261" s="604">
        <f>IFERROR(IF(AND($K261&gt;0,ISNUMBER(IF(OR($D261="g",$D261="ｇ"),IF($M261&gt;0,$L261/$M261/1000,""),IF($D261="kg",IF($M261&gt;0,$L261/$M261,""),IF($D261="",IF($M261&gt;0,$L261/$M261/1000,IF($O261&gt;0,$N261/$O261,"")),IF($O261&gt;0,$N261/$O261,"")))))),IF(OR($D261="g",$D261="ｇ"),IF($M261&gt;0,$L261/$M261/1000,""),IF($D261="kg",IF($M261&gt;0,$L261/$M261,""),IF($D261="",IF($M261&gt;0,$L261/$M261/1000,IF($O261&gt;0,$N261/$O261,"")),IF($O261&gt;0,$N261/$O261,"")))),IF($F261="",IF(OR($E261="",$E261="⑩盛付梱包工程入力"),"",IF(OR($D261="g",$D261="ｇ"),INDEX(⑰工程労務費一覧!$N$5:$N$11,MATCH($E261,⑰工程労務費一覧!$K$5:$K$11,0))/1000,IF($D261="kg",INDEX(⑰工程労務費一覧!$N$5:$N$11,MATCH($E261,⑰工程労務費一覧!$K$5:$K$11,0)),IF(OR($D261="個",$D261="切",$D261="本",$D261="枚",$D261="尾"),IF($E261="⑬計量工程入力","",INDEX(⑰工程労務費一覧!$P$5:$P$11,MATCH($E261,⑰工程労務費一覧!$K$5:$K$11,0))),IF(AND($D261="",OR($E261="②釜工程入力",$E261="③スチコン工程入力")),INDEX(⑰工程労務費一覧!$N$5:$N$11,MATCH($E261,⑰工程労務費一覧!$K$5:$K$11,0))/1000,""))))),IF(OR($D261="g",$D261="ｇ"),INDEX(⑰工程労務費一覧!$H$5:$H$753,MATCH($F261,⑰工程労務費一覧!$D$5:$D$753,0))/1000,IF($D261="kg",INDEX(⑰工程労務費一覧!$H$5:$H$753,MATCH($F261,⑰工程労務費一覧!$D$5:$D$753,0)),INDEX(⑰工程労務費一覧!$I$5:$I$753,MATCH($F261,⑰工程労務費一覧!$D$5:$D$753,0)))))),"")</f>
        <v/>
      </c>
      <c r="I261" s="392">
        <f>IF($K261&gt;0,IF(ISNUMBER(IF(OR($D261="g",$D261="ｇ"),IF($M261&gt;0,$L261/$M261/1000,""),IF($D261="kg",IF($M261&gt;0,$L261/$M261,""),IF($D261="",IF($M261&gt;0,$L261/$M261/1000,IF($O261&gt;0,$N261/$O261,"")),IF($O261&gt;0,$N261/$O261,""))))),IF($D261="",IF($M261&gt;0,"◎ JAN紐づけ(g扱い)","◎ JAN紐づけ(個扱い)"),"◎ JAN紐づけ"),"△ JAN紐づけ済・実績不足→仮計算"),IF($F261="",IF(ISNUMBER($H261),IF($D261="","⑤ 工程平均で仮計算(g扱い)","⑤ 工程平均で仮計算"),IF($E261="⑩盛付梱包工程入力","⑥ 盛り込み(⑳F列で計上)",IF(AND($E261="⑬計量工程入力",OR($D261="個",$D261="切",$D261="本",$D261="枚",$D261="尾")),"① 未紐づけ(カット個単位は仮単価なし)","① 未紐づけ"))),IF(NOT(ISNUMBER($H261)),"② 工程側に単価なし",IF($D261="","③ 単位未設定(個で計算)","④ OK"))))</f>
        <v/>
      </c>
      <c r="J261" s="399">
        <f>IFERROR(LOOKUP(2,1/((中間品リスト!$F$2:$F$1299=$B261)*(中間品リスト!$E$2:$E$1299&lt;&gt;"-")*(中間品リスト!$E$2:$E$1299&lt;&gt;"")),中間品リスト!$E$2:$E$1299),"")</f>
        <v/>
      </c>
      <c r="K261" s="400">
        <f>IF($J261="",0,COUNTIF(②釜工程入力!$S$5:$S$117,$J261)+COUNTIF(③スチコン工程入力!$S$5:$S$152,$J261)+COUNTIF(⑪ZEN工程入力!$S$6:$S$35,$J261)+COUNTIF(⑫ミキサー工程入力!$S$6:$S$65,$J261)+COUNTIF(⑬計量工程入力!$S$6:$S$65,$J261)+COUNTIF(⑭手動工程入力!$S$6:$S$47,$J261))</f>
        <v/>
      </c>
      <c r="L261" s="393">
        <f>IF($J261="",0,SUMIFS(②釜工程入力!$M$5:$M$117,②釜工程入力!$S$5:$S$117,$J261,②釜工程入力!$I$5:$I$117,"&gt;0")+SUMIFS(③スチコン工程入力!$M$5:$M$152,③スチコン工程入力!$S$5:$S$152,$J261,③スチコン工程入力!$I$5:$I$152,"&gt;0")+SUMIFS(⑪ZEN工程入力!$M$6:$M$35,⑪ZEN工程入力!$S$6:$S$35,$J261,⑪ZEN工程入力!$I$6:$I$35,"&gt;0")+SUMIFS(⑫ミキサー工程入力!$M$6:$M$65,⑫ミキサー工程入力!$S$6:$S$65,$J261,⑫ミキサー工程入力!$I$6:$I$65,"&gt;0")+SUMIFS(⑬計量工程入力!$M$6:$M$65,⑬計量工程入力!$S$6:$S$65,$J261,⑬計量工程入力!$I$6:$I$65,"&gt;0")+SUMIFS(⑭手動工程入力!$M$6:$M$47,⑭手動工程入力!$S$6:$S$47,$J261,⑭手動工程入力!$I$6:$I$47,"&gt;0"))</f>
        <v/>
      </c>
      <c r="M261" s="393">
        <f>IF($J261="",0,SUMIFS(②釜工程入力!$I$5:$I$117,②釜工程入力!$S$5:$S$117,$J261,②釜工程入力!$I$5:$I$117,"&gt;0",②釜工程入力!$M$5:$M$117,"&gt;0")+SUMIFS(③スチコン工程入力!$I$5:$I$152,③スチコン工程入力!$S$5:$S$152,$J261,③スチコン工程入力!$I$5:$I$152,"&gt;0",③スチコン工程入力!$M$5:$M$152,"&gt;0")+SUMIFS(⑪ZEN工程入力!$I$6:$I$35,⑪ZEN工程入力!$S$6:$S$35,$J261,⑪ZEN工程入力!$I$6:$I$35,"&gt;0",⑪ZEN工程入力!$M$6:$M$35,"&gt;0")+SUMIFS(⑫ミキサー工程入力!$I$6:$I$65,⑫ミキサー工程入力!$S$6:$S$65,$J261,⑫ミキサー工程入力!$I$6:$I$65,"&gt;0",⑫ミキサー工程入力!$M$6:$M$65,"&gt;0")+SUMIFS(⑬計量工程入力!$I$6:$I$65,⑬計量工程入力!$S$6:$S$65,$J261,⑬計量工程入力!$I$6:$I$65,"&gt;0",⑬計量工程入力!$M$6:$M$65,"&gt;0")+SUMIFS(⑭手動工程入力!$I$6:$I$47,⑭手動工程入力!$S$6:$S$47,$J261,⑭手動工程入力!$I$6:$I$47,"&gt;0",⑭手動工程入力!$M$6:$M$47,"&gt;0"))</f>
        <v/>
      </c>
      <c r="N261" s="393">
        <f>IF($J261="",0,SUMIFS(②釜工程入力!$M$5:$M$117,②釜工程入力!$S$5:$S$117,$J261,②釜工程入力!$J$5:$J$117,"&gt;0")-SUMIFS(②釜工程入力!$M$5:$M$117,②釜工程入力!$S$5:$S$117,$J261,②釜工程入力!$J$5:$J$117,"&gt;0",②釜工程入力!$I$5:$I$117,"&gt;0")+SUMIFS(③スチコン工程入力!$M$5:$M$152,③スチコン工程入力!$S$5:$S$152,$J261,③スチコン工程入力!$J$5:$J$152,"&gt;0")-SUMIFS(③スチコン工程入力!$M$5:$M$152,③スチコン工程入力!$S$5:$S$152,$J261,③スチコン工程入力!$J$5:$J$152,"&gt;0",③スチコン工程入力!$I$5:$I$152,"&gt;0")+SUMIFS(⑪ZEN工程入力!$M$6:$M$35,⑪ZEN工程入力!$S$6:$S$35,$J261,⑪ZEN工程入力!$J$6:$J$35,"&gt;0")-SUMIFS(⑪ZEN工程入力!$M$6:$M$35,⑪ZEN工程入力!$S$6:$S$35,$J261,⑪ZEN工程入力!$J$6:$J$35,"&gt;0",⑪ZEN工程入力!$I$6:$I$35,"&gt;0")+SUMIFS(⑫ミキサー工程入力!$M$6:$M$65,⑫ミキサー工程入力!$S$6:$S$65,$J261,⑫ミキサー工程入力!$J$6:$J$65,"&gt;0")-SUMIFS(⑫ミキサー工程入力!$M$6:$M$65,⑫ミキサー工程入力!$S$6:$S$65,$J261,⑫ミキサー工程入力!$J$6:$J$65,"&gt;0",⑫ミキサー工程入力!$I$6:$I$65,"&gt;0")+SUMIFS(⑬計量工程入力!$M$6:$M$65,⑬計量工程入力!$S$6:$S$65,$J261,⑬計量工程入力!$J$6:$J$65,"&gt;0")-SUMIFS(⑬計量工程入力!$M$6:$M$65,⑬計量工程入力!$S$6:$S$65,$J261,⑬計量工程入力!$J$6:$J$65,"&gt;0",⑬計量工程入力!$I$6:$I$65,"&gt;0")+SUMIFS(⑭手動工程入力!$M$6:$M$47,⑭手動工程入力!$S$6:$S$47,$J261,⑭手動工程入力!$J$6:$J$47,"&gt;0")-SUMIFS(⑭手動工程入力!$M$6:$M$47,⑭手動工程入力!$S$6:$S$47,$J261,⑭手動工程入力!$J$6:$J$47,"&gt;0",⑭手動工程入力!$I$6:$I$47,"&gt;0"))</f>
        <v/>
      </c>
      <c r="O261" s="393">
        <f>IF($J261="",0,SUMIFS(②釜工程入力!$J$5:$J$117,②釜工程入力!$S$5:$S$117,$J261,②釜工程入力!$J$5:$J$117,"&gt;0",②釜工程入力!$M$5:$M$117,"&gt;0")-SUMIFS(②釜工程入力!$J$5:$J$117,②釜工程入力!$S$5:$S$117,$J261,②釜工程入力!$J$5:$J$117,"&gt;0",②釜工程入力!$I$5:$I$117,"&gt;0",②釜工程入力!$M$5:$M$117,"&gt;0")+SUMIFS(③スチコン工程入力!$J$5:$J$152,③スチコン工程入力!$S$5:$S$152,$J261,③スチコン工程入力!$J$5:$J$152,"&gt;0",③スチコン工程入力!$M$5:$M$152,"&gt;0")-SUMIFS(③スチコン工程入力!$J$5:$J$152,③スチコン工程入力!$S$5:$S$152,$J261,③スチコン工程入力!$J$5:$J$152,"&gt;0",③スチコン工程入力!$I$5:$I$152,"&gt;0",③スチコン工程入力!$M$5:$M$152,"&gt;0")+SUMIFS(⑪ZEN工程入力!$J$6:$J$35,⑪ZEN工程入力!$S$6:$S$35,$J261,⑪ZEN工程入力!$J$6:$J$35,"&gt;0",⑪ZEN工程入力!$M$6:$M$35,"&gt;0")-SUMIFS(⑪ZEN工程入力!$J$6:$J$35,⑪ZEN工程入力!$S$6:$S$35,$J261,⑪ZEN工程入力!$J$6:$J$35,"&gt;0",⑪ZEN工程入力!$I$6:$I$35,"&gt;0",⑪ZEN工程入力!$M$6:$M$35,"&gt;0")+SUMIFS(⑫ミキサー工程入力!$J$6:$J$65,⑫ミキサー工程入力!$S$6:$S$65,$J261,⑫ミキサー工程入力!$J$6:$J$65,"&gt;0",⑫ミキサー工程入力!$M$6:$M$65,"&gt;0")-SUMIFS(⑫ミキサー工程入力!$J$6:$J$65,⑫ミキサー工程入力!$S$6:$S$65,$J261,⑫ミキサー工程入力!$J$6:$J$65,"&gt;0",⑫ミキサー工程入力!$I$6:$I$65,"&gt;0",⑫ミキサー工程入力!$M$6:$M$65,"&gt;0")+SUMIFS(⑬計量工程入力!$J$6:$J$65,⑬計量工程入力!$S$6:$S$65,$J261,⑬計量工程入力!$J$6:$J$65,"&gt;0",⑬計量工程入力!$M$6:$M$65,"&gt;0")-SUMIFS(⑬計量工程入力!$J$6:$J$65,⑬計量工程入力!$S$6:$S$65,$J261,⑬計量工程入力!$J$6:$J$65,"&gt;0",⑬計量工程入力!$I$6:$I$65,"&gt;0",⑬計量工程入力!$M$6:$M$65,"&gt;0")+SUMIFS(⑭手動工程入力!$J$6:$J$47,⑭手動工程入力!$S$6:$S$47,$J261,⑭手動工程入力!$J$6:$J$47,"&gt;0",⑭手動工程入力!$M$6:$M$47,"&gt;0")-SUMIFS(⑭手動工程入力!$J$6:$J$47,⑭手動工程入力!$S$6:$S$47,$J261,⑭手動工程入力!$J$6:$J$47,"&gt;0",⑭手動工程入力!$I$6:$I$47,"&gt;0",⑭手動工程入力!$M$6:$M$47,"&gt;0"))</f>
        <v/>
      </c>
      <c r="P261" s="392" t="inlineStr">
        <is>
          <t>中間品リスト</t>
        </is>
      </c>
    </row>
    <row r="262">
      <c r="A262" s="392" t="n">
        <v>258</v>
      </c>
      <c r="B262" s="392" t="n"/>
      <c r="C262" s="392" t="n"/>
      <c r="D262" s="409" t="n"/>
      <c r="E262" s="392" t="n"/>
      <c r="F262" s="394" t="n"/>
      <c r="G262" s="392" t="n"/>
      <c r="H262" s="604">
        <f>IFERROR(IF(AND($K262&gt;0,ISNUMBER(IF(OR($D262="g",$D262="ｇ"),IF($M262&gt;0,$L262/$M262/1000,""),IF($D262="kg",IF($M262&gt;0,$L262/$M262,""),IF($D262="",IF($M262&gt;0,$L262/$M262/1000,IF($O262&gt;0,$N262/$O262,"")),IF($O262&gt;0,$N262/$O262,"")))))),IF(OR($D262="g",$D262="ｇ"),IF($M262&gt;0,$L262/$M262/1000,""),IF($D262="kg",IF($M262&gt;0,$L262/$M262,""),IF($D262="",IF($M262&gt;0,$L262/$M262/1000,IF($O262&gt;0,$N262/$O262,"")),IF($O262&gt;0,$N262/$O262,"")))),IF($F262="",IF(OR($E262="",$E262="⑩盛付梱包工程入力"),"",IF(OR($D262="g",$D262="ｇ"),INDEX(⑰工程労務費一覧!$N$5:$N$11,MATCH($E262,⑰工程労務費一覧!$K$5:$K$11,0))/1000,IF($D262="kg",INDEX(⑰工程労務費一覧!$N$5:$N$11,MATCH($E262,⑰工程労務費一覧!$K$5:$K$11,0)),IF(OR($D262="個",$D262="切",$D262="本",$D262="枚",$D262="尾"),IF($E262="⑬計量工程入力","",INDEX(⑰工程労務費一覧!$P$5:$P$11,MATCH($E262,⑰工程労務費一覧!$K$5:$K$11,0))),IF(AND($D262="",OR($E262="②釜工程入力",$E262="③スチコン工程入力")),INDEX(⑰工程労務費一覧!$N$5:$N$11,MATCH($E262,⑰工程労務費一覧!$K$5:$K$11,0))/1000,""))))),IF(OR($D262="g",$D262="ｇ"),INDEX(⑰工程労務費一覧!$H$5:$H$753,MATCH($F262,⑰工程労務費一覧!$D$5:$D$753,0))/1000,IF($D262="kg",INDEX(⑰工程労務費一覧!$H$5:$H$753,MATCH($F262,⑰工程労務費一覧!$D$5:$D$753,0)),INDEX(⑰工程労務費一覧!$I$5:$I$753,MATCH($F262,⑰工程労務費一覧!$D$5:$D$753,0)))))),"")</f>
        <v/>
      </c>
      <c r="I262" s="392">
        <f>IF($K262&gt;0,IF(ISNUMBER(IF(OR($D262="g",$D262="ｇ"),IF($M262&gt;0,$L262/$M262/1000,""),IF($D262="kg",IF($M262&gt;0,$L262/$M262,""),IF($D262="",IF($M262&gt;0,$L262/$M262/1000,IF($O262&gt;0,$N262/$O262,"")),IF($O262&gt;0,$N262/$O262,""))))),IF($D262="",IF($M262&gt;0,"◎ JAN紐づけ(g扱い)","◎ JAN紐づけ(個扱い)"),"◎ JAN紐づけ"),"△ JAN紐づけ済・実績不足→仮計算"),IF($F262="",IF(ISNUMBER($H262),IF($D262="","⑤ 工程平均で仮計算(g扱い)","⑤ 工程平均で仮計算"),IF($E262="⑩盛付梱包工程入力","⑥ 盛り込み(⑳F列で計上)",IF(AND($E262="⑬計量工程入力",OR($D262="個",$D262="切",$D262="本",$D262="枚",$D262="尾")),"① 未紐づけ(カット個単位は仮単価なし)","① 未紐づけ"))),IF(NOT(ISNUMBER($H262)),"② 工程側に単価なし",IF($D262="","③ 単位未設定(個で計算)","④ OK"))))</f>
        <v/>
      </c>
      <c r="J262" s="399">
        <f>IFERROR(LOOKUP(2,1/((中間品リスト!$F$2:$F$1299=$B262)*(中間品リスト!$E$2:$E$1299&lt;&gt;"-")*(中間品リスト!$E$2:$E$1299&lt;&gt;"")),中間品リスト!$E$2:$E$1299),"")</f>
        <v/>
      </c>
      <c r="K262" s="400">
        <f>IF($J262="",0,COUNTIF(②釜工程入力!$S$5:$S$117,$J262)+COUNTIF(③スチコン工程入力!$S$5:$S$152,$J262)+COUNTIF(⑪ZEN工程入力!$S$6:$S$35,$J262)+COUNTIF(⑫ミキサー工程入力!$S$6:$S$65,$J262)+COUNTIF(⑬計量工程入力!$S$6:$S$65,$J262)+COUNTIF(⑭手動工程入力!$S$6:$S$47,$J262))</f>
        <v/>
      </c>
      <c r="L262" s="393">
        <f>IF($J262="",0,SUMIFS(②釜工程入力!$M$5:$M$117,②釜工程入力!$S$5:$S$117,$J262,②釜工程入力!$I$5:$I$117,"&gt;0")+SUMIFS(③スチコン工程入力!$M$5:$M$152,③スチコン工程入力!$S$5:$S$152,$J262,③スチコン工程入力!$I$5:$I$152,"&gt;0")+SUMIFS(⑪ZEN工程入力!$M$6:$M$35,⑪ZEN工程入力!$S$6:$S$35,$J262,⑪ZEN工程入力!$I$6:$I$35,"&gt;0")+SUMIFS(⑫ミキサー工程入力!$M$6:$M$65,⑫ミキサー工程入力!$S$6:$S$65,$J262,⑫ミキサー工程入力!$I$6:$I$65,"&gt;0")+SUMIFS(⑬計量工程入力!$M$6:$M$65,⑬計量工程入力!$S$6:$S$65,$J262,⑬計量工程入力!$I$6:$I$65,"&gt;0")+SUMIFS(⑭手動工程入力!$M$6:$M$47,⑭手動工程入力!$S$6:$S$47,$J262,⑭手動工程入力!$I$6:$I$47,"&gt;0"))</f>
        <v/>
      </c>
      <c r="M262" s="393">
        <f>IF($J262="",0,SUMIFS(②釜工程入力!$I$5:$I$117,②釜工程入力!$S$5:$S$117,$J262,②釜工程入力!$I$5:$I$117,"&gt;0",②釜工程入力!$M$5:$M$117,"&gt;0")+SUMIFS(③スチコン工程入力!$I$5:$I$152,③スチコン工程入力!$S$5:$S$152,$J262,③スチコン工程入力!$I$5:$I$152,"&gt;0",③スチコン工程入力!$M$5:$M$152,"&gt;0")+SUMIFS(⑪ZEN工程入力!$I$6:$I$35,⑪ZEN工程入力!$S$6:$S$35,$J262,⑪ZEN工程入力!$I$6:$I$35,"&gt;0",⑪ZEN工程入力!$M$6:$M$35,"&gt;0")+SUMIFS(⑫ミキサー工程入力!$I$6:$I$65,⑫ミキサー工程入力!$S$6:$S$65,$J262,⑫ミキサー工程入力!$I$6:$I$65,"&gt;0",⑫ミキサー工程入力!$M$6:$M$65,"&gt;0")+SUMIFS(⑬計量工程入力!$I$6:$I$65,⑬計量工程入力!$S$6:$S$65,$J262,⑬計量工程入力!$I$6:$I$65,"&gt;0",⑬計量工程入力!$M$6:$M$65,"&gt;0")+SUMIFS(⑭手動工程入力!$I$6:$I$47,⑭手動工程入力!$S$6:$S$47,$J262,⑭手動工程入力!$I$6:$I$47,"&gt;0",⑭手動工程入力!$M$6:$M$47,"&gt;0"))</f>
        <v/>
      </c>
      <c r="N262" s="393">
        <f>IF($J262="",0,SUMIFS(②釜工程入力!$M$5:$M$117,②釜工程入力!$S$5:$S$117,$J262,②釜工程入力!$J$5:$J$117,"&gt;0")-SUMIFS(②釜工程入力!$M$5:$M$117,②釜工程入力!$S$5:$S$117,$J262,②釜工程入力!$J$5:$J$117,"&gt;0",②釜工程入力!$I$5:$I$117,"&gt;0")+SUMIFS(③スチコン工程入力!$M$5:$M$152,③スチコン工程入力!$S$5:$S$152,$J262,③スチコン工程入力!$J$5:$J$152,"&gt;0")-SUMIFS(③スチコン工程入力!$M$5:$M$152,③スチコン工程入力!$S$5:$S$152,$J262,③スチコン工程入力!$J$5:$J$152,"&gt;0",③スチコン工程入力!$I$5:$I$152,"&gt;0")+SUMIFS(⑪ZEN工程入力!$M$6:$M$35,⑪ZEN工程入力!$S$6:$S$35,$J262,⑪ZEN工程入力!$J$6:$J$35,"&gt;0")-SUMIFS(⑪ZEN工程入力!$M$6:$M$35,⑪ZEN工程入力!$S$6:$S$35,$J262,⑪ZEN工程入力!$J$6:$J$35,"&gt;0",⑪ZEN工程入力!$I$6:$I$35,"&gt;0")+SUMIFS(⑫ミキサー工程入力!$M$6:$M$65,⑫ミキサー工程入力!$S$6:$S$65,$J262,⑫ミキサー工程入力!$J$6:$J$65,"&gt;0")-SUMIFS(⑫ミキサー工程入力!$M$6:$M$65,⑫ミキサー工程入力!$S$6:$S$65,$J262,⑫ミキサー工程入力!$J$6:$J$65,"&gt;0",⑫ミキサー工程入力!$I$6:$I$65,"&gt;0")+SUMIFS(⑬計量工程入力!$M$6:$M$65,⑬計量工程入力!$S$6:$S$65,$J262,⑬計量工程入力!$J$6:$J$65,"&gt;0")-SUMIFS(⑬計量工程入力!$M$6:$M$65,⑬計量工程入力!$S$6:$S$65,$J262,⑬計量工程入力!$J$6:$J$65,"&gt;0",⑬計量工程入力!$I$6:$I$65,"&gt;0")+SUMIFS(⑭手動工程入力!$M$6:$M$47,⑭手動工程入力!$S$6:$S$47,$J262,⑭手動工程入力!$J$6:$J$47,"&gt;0")-SUMIFS(⑭手動工程入力!$M$6:$M$47,⑭手動工程入力!$S$6:$S$47,$J262,⑭手動工程入力!$J$6:$J$47,"&gt;0",⑭手動工程入力!$I$6:$I$47,"&gt;0"))</f>
        <v/>
      </c>
      <c r="O262" s="393">
        <f>IF($J262="",0,SUMIFS(②釜工程入力!$J$5:$J$117,②釜工程入力!$S$5:$S$117,$J262,②釜工程入力!$J$5:$J$117,"&gt;0",②釜工程入力!$M$5:$M$117,"&gt;0")-SUMIFS(②釜工程入力!$J$5:$J$117,②釜工程入力!$S$5:$S$117,$J262,②釜工程入力!$J$5:$J$117,"&gt;0",②釜工程入力!$I$5:$I$117,"&gt;0",②釜工程入力!$M$5:$M$117,"&gt;0")+SUMIFS(③スチコン工程入力!$J$5:$J$152,③スチコン工程入力!$S$5:$S$152,$J262,③スチコン工程入力!$J$5:$J$152,"&gt;0",③スチコン工程入力!$M$5:$M$152,"&gt;0")-SUMIFS(③スチコン工程入力!$J$5:$J$152,③スチコン工程入力!$S$5:$S$152,$J262,③スチコン工程入力!$J$5:$J$152,"&gt;0",③スチコン工程入力!$I$5:$I$152,"&gt;0",③スチコン工程入力!$M$5:$M$152,"&gt;0")+SUMIFS(⑪ZEN工程入力!$J$6:$J$35,⑪ZEN工程入力!$S$6:$S$35,$J262,⑪ZEN工程入力!$J$6:$J$35,"&gt;0",⑪ZEN工程入力!$M$6:$M$35,"&gt;0")-SUMIFS(⑪ZEN工程入力!$J$6:$J$35,⑪ZEN工程入力!$S$6:$S$35,$J262,⑪ZEN工程入力!$J$6:$J$35,"&gt;0",⑪ZEN工程入力!$I$6:$I$35,"&gt;0",⑪ZEN工程入力!$M$6:$M$35,"&gt;0")+SUMIFS(⑫ミキサー工程入力!$J$6:$J$65,⑫ミキサー工程入力!$S$6:$S$65,$J262,⑫ミキサー工程入力!$J$6:$J$65,"&gt;0",⑫ミキサー工程入力!$M$6:$M$65,"&gt;0")-SUMIFS(⑫ミキサー工程入力!$J$6:$J$65,⑫ミキサー工程入力!$S$6:$S$65,$J262,⑫ミキサー工程入力!$J$6:$J$65,"&gt;0",⑫ミキサー工程入力!$I$6:$I$65,"&gt;0",⑫ミキサー工程入力!$M$6:$M$65,"&gt;0")+SUMIFS(⑬計量工程入力!$J$6:$J$65,⑬計量工程入力!$S$6:$S$65,$J262,⑬計量工程入力!$J$6:$J$65,"&gt;0",⑬計量工程入力!$M$6:$M$65,"&gt;0")-SUMIFS(⑬計量工程入力!$J$6:$J$65,⑬計量工程入力!$S$6:$S$65,$J262,⑬計量工程入力!$J$6:$J$65,"&gt;0",⑬計量工程入力!$I$6:$I$65,"&gt;0",⑬計量工程入力!$M$6:$M$65,"&gt;0")+SUMIFS(⑭手動工程入力!$J$6:$J$47,⑭手動工程入力!$S$6:$S$47,$J262,⑭手動工程入力!$J$6:$J$47,"&gt;0",⑭手動工程入力!$M$6:$M$47,"&gt;0")-SUMIFS(⑭手動工程入力!$J$6:$J$47,⑭手動工程入力!$S$6:$S$47,$J262,⑭手動工程入力!$J$6:$J$47,"&gt;0",⑭手動工程入力!$I$6:$I$47,"&gt;0",⑭手動工程入力!$M$6:$M$47,"&gt;0"))</f>
        <v/>
      </c>
      <c r="P262" s="392" t="inlineStr">
        <is>
          <t>中間品リスト</t>
        </is>
      </c>
    </row>
    <row r="263">
      <c r="A263" s="392" t="n">
        <v>259</v>
      </c>
      <c r="B263" s="392" t="n"/>
      <c r="C263" s="392" t="n"/>
      <c r="D263" s="409" t="n"/>
      <c r="E263" s="392" t="n"/>
      <c r="F263" s="394" t="n"/>
      <c r="G263" s="392" t="n"/>
      <c r="H263" s="604">
        <f>IFERROR(IF(AND($K263&gt;0,ISNUMBER(IF(OR($D263="g",$D263="ｇ"),IF($M263&gt;0,$L263/$M263/1000,""),IF($D263="kg",IF($M263&gt;0,$L263/$M263,""),IF($D263="",IF($M263&gt;0,$L263/$M263/1000,IF($O263&gt;0,$N263/$O263,"")),IF($O263&gt;0,$N263/$O263,"")))))),IF(OR($D263="g",$D263="ｇ"),IF($M263&gt;0,$L263/$M263/1000,""),IF($D263="kg",IF($M263&gt;0,$L263/$M263,""),IF($D263="",IF($M263&gt;0,$L263/$M263/1000,IF($O263&gt;0,$N263/$O263,"")),IF($O263&gt;0,$N263/$O263,"")))),IF($F263="",IF(OR($E263="",$E263="⑩盛付梱包工程入力"),"",IF(OR($D263="g",$D263="ｇ"),INDEX(⑰工程労務費一覧!$N$5:$N$11,MATCH($E263,⑰工程労務費一覧!$K$5:$K$11,0))/1000,IF($D263="kg",INDEX(⑰工程労務費一覧!$N$5:$N$11,MATCH($E263,⑰工程労務費一覧!$K$5:$K$11,0)),IF(OR($D263="個",$D263="切",$D263="本",$D263="枚",$D263="尾"),IF($E263="⑬計量工程入力","",INDEX(⑰工程労務費一覧!$P$5:$P$11,MATCH($E263,⑰工程労務費一覧!$K$5:$K$11,0))),IF(AND($D263="",OR($E263="②釜工程入力",$E263="③スチコン工程入力")),INDEX(⑰工程労務費一覧!$N$5:$N$11,MATCH($E263,⑰工程労務費一覧!$K$5:$K$11,0))/1000,""))))),IF(OR($D263="g",$D263="ｇ"),INDEX(⑰工程労務費一覧!$H$5:$H$753,MATCH($F263,⑰工程労務費一覧!$D$5:$D$753,0))/1000,IF($D263="kg",INDEX(⑰工程労務費一覧!$H$5:$H$753,MATCH($F263,⑰工程労務費一覧!$D$5:$D$753,0)),INDEX(⑰工程労務費一覧!$I$5:$I$753,MATCH($F263,⑰工程労務費一覧!$D$5:$D$753,0)))))),"")</f>
        <v/>
      </c>
      <c r="I263" s="392">
        <f>IF($K263&gt;0,IF(ISNUMBER(IF(OR($D263="g",$D263="ｇ"),IF($M263&gt;0,$L263/$M263/1000,""),IF($D263="kg",IF($M263&gt;0,$L263/$M263,""),IF($D263="",IF($M263&gt;0,$L263/$M263/1000,IF($O263&gt;0,$N263/$O263,"")),IF($O263&gt;0,$N263/$O263,""))))),IF($D263="",IF($M263&gt;0,"◎ JAN紐づけ(g扱い)","◎ JAN紐づけ(個扱い)"),"◎ JAN紐づけ"),"△ JAN紐づけ済・実績不足→仮計算"),IF($F263="",IF(ISNUMBER($H263),IF($D263="","⑤ 工程平均で仮計算(g扱い)","⑤ 工程平均で仮計算"),IF($E263="⑩盛付梱包工程入力","⑥ 盛り込み(⑳F列で計上)",IF(AND($E263="⑬計量工程入力",OR($D263="個",$D263="切",$D263="本",$D263="枚",$D263="尾")),"① 未紐づけ(カット個単位は仮単価なし)","① 未紐づけ"))),IF(NOT(ISNUMBER($H263)),"② 工程側に単価なし",IF($D263="","③ 単位未設定(個で計算)","④ OK"))))</f>
        <v/>
      </c>
      <c r="J263" s="399">
        <f>IFERROR(LOOKUP(2,1/((中間品リスト!$F$2:$F$1299=$B263)*(中間品リスト!$E$2:$E$1299&lt;&gt;"-")*(中間品リスト!$E$2:$E$1299&lt;&gt;"")),中間品リスト!$E$2:$E$1299),"")</f>
        <v/>
      </c>
      <c r="K263" s="400">
        <f>IF($J263="",0,COUNTIF(②釜工程入力!$S$5:$S$117,$J263)+COUNTIF(③スチコン工程入力!$S$5:$S$152,$J263)+COUNTIF(⑪ZEN工程入力!$S$6:$S$35,$J263)+COUNTIF(⑫ミキサー工程入力!$S$6:$S$65,$J263)+COUNTIF(⑬計量工程入力!$S$6:$S$65,$J263)+COUNTIF(⑭手動工程入力!$S$6:$S$47,$J263))</f>
        <v/>
      </c>
      <c r="L263" s="393">
        <f>IF($J263="",0,SUMIFS(②釜工程入力!$M$5:$M$117,②釜工程入力!$S$5:$S$117,$J263,②釜工程入力!$I$5:$I$117,"&gt;0")+SUMIFS(③スチコン工程入力!$M$5:$M$152,③スチコン工程入力!$S$5:$S$152,$J263,③スチコン工程入力!$I$5:$I$152,"&gt;0")+SUMIFS(⑪ZEN工程入力!$M$6:$M$35,⑪ZEN工程入力!$S$6:$S$35,$J263,⑪ZEN工程入力!$I$6:$I$35,"&gt;0")+SUMIFS(⑫ミキサー工程入力!$M$6:$M$65,⑫ミキサー工程入力!$S$6:$S$65,$J263,⑫ミキサー工程入力!$I$6:$I$65,"&gt;0")+SUMIFS(⑬計量工程入力!$M$6:$M$65,⑬計量工程入力!$S$6:$S$65,$J263,⑬計量工程入力!$I$6:$I$65,"&gt;0")+SUMIFS(⑭手動工程入力!$M$6:$M$47,⑭手動工程入力!$S$6:$S$47,$J263,⑭手動工程入力!$I$6:$I$47,"&gt;0"))</f>
        <v/>
      </c>
      <c r="M263" s="393">
        <f>IF($J263="",0,SUMIFS(②釜工程入力!$I$5:$I$117,②釜工程入力!$S$5:$S$117,$J263,②釜工程入力!$I$5:$I$117,"&gt;0",②釜工程入力!$M$5:$M$117,"&gt;0")+SUMIFS(③スチコン工程入力!$I$5:$I$152,③スチコン工程入力!$S$5:$S$152,$J263,③スチコン工程入力!$I$5:$I$152,"&gt;0",③スチコン工程入力!$M$5:$M$152,"&gt;0")+SUMIFS(⑪ZEN工程入力!$I$6:$I$35,⑪ZEN工程入力!$S$6:$S$35,$J263,⑪ZEN工程入力!$I$6:$I$35,"&gt;0",⑪ZEN工程入力!$M$6:$M$35,"&gt;0")+SUMIFS(⑫ミキサー工程入力!$I$6:$I$65,⑫ミキサー工程入力!$S$6:$S$65,$J263,⑫ミキサー工程入力!$I$6:$I$65,"&gt;0",⑫ミキサー工程入力!$M$6:$M$65,"&gt;0")+SUMIFS(⑬計量工程入力!$I$6:$I$65,⑬計量工程入力!$S$6:$S$65,$J263,⑬計量工程入力!$I$6:$I$65,"&gt;0",⑬計量工程入力!$M$6:$M$65,"&gt;0")+SUMIFS(⑭手動工程入力!$I$6:$I$47,⑭手動工程入力!$S$6:$S$47,$J263,⑭手動工程入力!$I$6:$I$47,"&gt;0",⑭手動工程入力!$M$6:$M$47,"&gt;0"))</f>
        <v/>
      </c>
      <c r="N263" s="393">
        <f>IF($J263="",0,SUMIFS(②釜工程入力!$M$5:$M$117,②釜工程入力!$S$5:$S$117,$J263,②釜工程入力!$J$5:$J$117,"&gt;0")-SUMIFS(②釜工程入力!$M$5:$M$117,②釜工程入力!$S$5:$S$117,$J263,②釜工程入力!$J$5:$J$117,"&gt;0",②釜工程入力!$I$5:$I$117,"&gt;0")+SUMIFS(③スチコン工程入力!$M$5:$M$152,③スチコン工程入力!$S$5:$S$152,$J263,③スチコン工程入力!$J$5:$J$152,"&gt;0")-SUMIFS(③スチコン工程入力!$M$5:$M$152,③スチコン工程入力!$S$5:$S$152,$J263,③スチコン工程入力!$J$5:$J$152,"&gt;0",③スチコン工程入力!$I$5:$I$152,"&gt;0")+SUMIFS(⑪ZEN工程入力!$M$6:$M$35,⑪ZEN工程入力!$S$6:$S$35,$J263,⑪ZEN工程入力!$J$6:$J$35,"&gt;0")-SUMIFS(⑪ZEN工程入力!$M$6:$M$35,⑪ZEN工程入力!$S$6:$S$35,$J263,⑪ZEN工程入力!$J$6:$J$35,"&gt;0",⑪ZEN工程入力!$I$6:$I$35,"&gt;0")+SUMIFS(⑫ミキサー工程入力!$M$6:$M$65,⑫ミキサー工程入力!$S$6:$S$65,$J263,⑫ミキサー工程入力!$J$6:$J$65,"&gt;0")-SUMIFS(⑫ミキサー工程入力!$M$6:$M$65,⑫ミキサー工程入力!$S$6:$S$65,$J263,⑫ミキサー工程入力!$J$6:$J$65,"&gt;0",⑫ミキサー工程入力!$I$6:$I$65,"&gt;0")+SUMIFS(⑬計量工程入力!$M$6:$M$65,⑬計量工程入力!$S$6:$S$65,$J263,⑬計量工程入力!$J$6:$J$65,"&gt;0")-SUMIFS(⑬計量工程入力!$M$6:$M$65,⑬計量工程入力!$S$6:$S$65,$J263,⑬計量工程入力!$J$6:$J$65,"&gt;0",⑬計量工程入力!$I$6:$I$65,"&gt;0")+SUMIFS(⑭手動工程入力!$M$6:$M$47,⑭手動工程入力!$S$6:$S$47,$J263,⑭手動工程入力!$J$6:$J$47,"&gt;0")-SUMIFS(⑭手動工程入力!$M$6:$M$47,⑭手動工程入力!$S$6:$S$47,$J263,⑭手動工程入力!$J$6:$J$47,"&gt;0",⑭手動工程入力!$I$6:$I$47,"&gt;0"))</f>
        <v/>
      </c>
      <c r="O263" s="393">
        <f>IF($J263="",0,SUMIFS(②釜工程入力!$J$5:$J$117,②釜工程入力!$S$5:$S$117,$J263,②釜工程入力!$J$5:$J$117,"&gt;0",②釜工程入力!$M$5:$M$117,"&gt;0")-SUMIFS(②釜工程入力!$J$5:$J$117,②釜工程入力!$S$5:$S$117,$J263,②釜工程入力!$J$5:$J$117,"&gt;0",②釜工程入力!$I$5:$I$117,"&gt;0",②釜工程入力!$M$5:$M$117,"&gt;0")+SUMIFS(③スチコン工程入力!$J$5:$J$152,③スチコン工程入力!$S$5:$S$152,$J263,③スチコン工程入力!$J$5:$J$152,"&gt;0",③スチコン工程入力!$M$5:$M$152,"&gt;0")-SUMIFS(③スチコン工程入力!$J$5:$J$152,③スチコン工程入力!$S$5:$S$152,$J263,③スチコン工程入力!$J$5:$J$152,"&gt;0",③スチコン工程入力!$I$5:$I$152,"&gt;0",③スチコン工程入力!$M$5:$M$152,"&gt;0")+SUMIFS(⑪ZEN工程入力!$J$6:$J$35,⑪ZEN工程入力!$S$6:$S$35,$J263,⑪ZEN工程入力!$J$6:$J$35,"&gt;0",⑪ZEN工程入力!$M$6:$M$35,"&gt;0")-SUMIFS(⑪ZEN工程入力!$J$6:$J$35,⑪ZEN工程入力!$S$6:$S$35,$J263,⑪ZEN工程入力!$J$6:$J$35,"&gt;0",⑪ZEN工程入力!$I$6:$I$35,"&gt;0",⑪ZEN工程入力!$M$6:$M$35,"&gt;0")+SUMIFS(⑫ミキサー工程入力!$J$6:$J$65,⑫ミキサー工程入力!$S$6:$S$65,$J263,⑫ミキサー工程入力!$J$6:$J$65,"&gt;0",⑫ミキサー工程入力!$M$6:$M$65,"&gt;0")-SUMIFS(⑫ミキサー工程入力!$J$6:$J$65,⑫ミキサー工程入力!$S$6:$S$65,$J263,⑫ミキサー工程入力!$J$6:$J$65,"&gt;0",⑫ミキサー工程入力!$I$6:$I$65,"&gt;0",⑫ミキサー工程入力!$M$6:$M$65,"&gt;0")+SUMIFS(⑬計量工程入力!$J$6:$J$65,⑬計量工程入力!$S$6:$S$65,$J263,⑬計量工程入力!$J$6:$J$65,"&gt;0",⑬計量工程入力!$M$6:$M$65,"&gt;0")-SUMIFS(⑬計量工程入力!$J$6:$J$65,⑬計量工程入力!$S$6:$S$65,$J263,⑬計量工程入力!$J$6:$J$65,"&gt;0",⑬計量工程入力!$I$6:$I$65,"&gt;0",⑬計量工程入力!$M$6:$M$65,"&gt;0")+SUMIFS(⑭手動工程入力!$J$6:$J$47,⑭手動工程入力!$S$6:$S$47,$J263,⑭手動工程入力!$J$6:$J$47,"&gt;0",⑭手動工程入力!$M$6:$M$47,"&gt;0")-SUMIFS(⑭手動工程入力!$J$6:$J$47,⑭手動工程入力!$S$6:$S$47,$J263,⑭手動工程入力!$J$6:$J$47,"&gt;0",⑭手動工程入力!$I$6:$I$47,"&gt;0",⑭手動工程入力!$M$6:$M$47,"&gt;0"))</f>
        <v/>
      </c>
      <c r="P263" s="392" t="inlineStr">
        <is>
          <t>中間品リスト</t>
        </is>
      </c>
    </row>
    <row r="264">
      <c r="A264" s="392" t="n">
        <v>260</v>
      </c>
      <c r="B264" s="392" t="n"/>
      <c r="C264" s="392" t="n"/>
      <c r="D264" s="409" t="n"/>
      <c r="E264" s="392" t="n"/>
      <c r="F264" s="394" t="n"/>
      <c r="G264" s="392" t="n"/>
      <c r="H264" s="604">
        <f>IFERROR(IF(AND($K264&gt;0,ISNUMBER(IF(OR($D264="g",$D264="ｇ"),IF($M264&gt;0,$L264/$M264/1000,""),IF($D264="kg",IF($M264&gt;0,$L264/$M264,""),IF($D264="",IF($M264&gt;0,$L264/$M264/1000,IF($O264&gt;0,$N264/$O264,"")),IF($O264&gt;0,$N264/$O264,"")))))),IF(OR($D264="g",$D264="ｇ"),IF($M264&gt;0,$L264/$M264/1000,""),IF($D264="kg",IF($M264&gt;0,$L264/$M264,""),IF($D264="",IF($M264&gt;0,$L264/$M264/1000,IF($O264&gt;0,$N264/$O264,"")),IF($O264&gt;0,$N264/$O264,"")))),IF($F264="",IF(OR($E264="",$E264="⑩盛付梱包工程入力"),"",IF(OR($D264="g",$D264="ｇ"),INDEX(⑰工程労務費一覧!$N$5:$N$11,MATCH($E264,⑰工程労務費一覧!$K$5:$K$11,0))/1000,IF($D264="kg",INDEX(⑰工程労務費一覧!$N$5:$N$11,MATCH($E264,⑰工程労務費一覧!$K$5:$K$11,0)),IF(OR($D264="個",$D264="切",$D264="本",$D264="枚",$D264="尾"),IF($E264="⑬計量工程入力","",INDEX(⑰工程労務費一覧!$P$5:$P$11,MATCH($E264,⑰工程労務費一覧!$K$5:$K$11,0))),IF(AND($D264="",OR($E264="②釜工程入力",$E264="③スチコン工程入力")),INDEX(⑰工程労務費一覧!$N$5:$N$11,MATCH($E264,⑰工程労務費一覧!$K$5:$K$11,0))/1000,""))))),IF(OR($D264="g",$D264="ｇ"),INDEX(⑰工程労務費一覧!$H$5:$H$753,MATCH($F264,⑰工程労務費一覧!$D$5:$D$753,0))/1000,IF($D264="kg",INDEX(⑰工程労務費一覧!$H$5:$H$753,MATCH($F264,⑰工程労務費一覧!$D$5:$D$753,0)),INDEX(⑰工程労務費一覧!$I$5:$I$753,MATCH($F264,⑰工程労務費一覧!$D$5:$D$753,0)))))),"")</f>
        <v/>
      </c>
      <c r="I264" s="392">
        <f>IF($K264&gt;0,IF(ISNUMBER(IF(OR($D264="g",$D264="ｇ"),IF($M264&gt;0,$L264/$M264/1000,""),IF($D264="kg",IF($M264&gt;0,$L264/$M264,""),IF($D264="",IF($M264&gt;0,$L264/$M264/1000,IF($O264&gt;0,$N264/$O264,"")),IF($O264&gt;0,$N264/$O264,""))))),IF($D264="",IF($M264&gt;0,"◎ JAN紐づけ(g扱い)","◎ JAN紐づけ(個扱い)"),"◎ JAN紐づけ"),"△ JAN紐づけ済・実績不足→仮計算"),IF($F264="",IF(ISNUMBER($H264),IF($D264="","⑤ 工程平均で仮計算(g扱い)","⑤ 工程平均で仮計算"),IF($E264="⑩盛付梱包工程入力","⑥ 盛り込み(⑳F列で計上)",IF(AND($E264="⑬計量工程入力",OR($D264="個",$D264="切",$D264="本",$D264="枚",$D264="尾")),"① 未紐づけ(カット個単位は仮単価なし)","① 未紐づけ"))),IF(NOT(ISNUMBER($H264)),"② 工程側に単価なし",IF($D264="","③ 単位未設定(個で計算)","④ OK"))))</f>
        <v/>
      </c>
      <c r="J264" s="399">
        <f>IFERROR(LOOKUP(2,1/((中間品リスト!$F$2:$F$1299=$B264)*(中間品リスト!$E$2:$E$1299&lt;&gt;"-")*(中間品リスト!$E$2:$E$1299&lt;&gt;"")),中間品リスト!$E$2:$E$1299),"")</f>
        <v/>
      </c>
      <c r="K264" s="400">
        <f>IF($J264="",0,COUNTIF(②釜工程入力!$S$5:$S$117,$J264)+COUNTIF(③スチコン工程入力!$S$5:$S$152,$J264)+COUNTIF(⑪ZEN工程入力!$S$6:$S$35,$J264)+COUNTIF(⑫ミキサー工程入力!$S$6:$S$65,$J264)+COUNTIF(⑬計量工程入力!$S$6:$S$65,$J264)+COUNTIF(⑭手動工程入力!$S$6:$S$47,$J264))</f>
        <v/>
      </c>
      <c r="L264" s="393">
        <f>IF($J264="",0,SUMIFS(②釜工程入力!$M$5:$M$117,②釜工程入力!$S$5:$S$117,$J264,②釜工程入力!$I$5:$I$117,"&gt;0")+SUMIFS(③スチコン工程入力!$M$5:$M$152,③スチコン工程入力!$S$5:$S$152,$J264,③スチコン工程入力!$I$5:$I$152,"&gt;0")+SUMIFS(⑪ZEN工程入力!$M$6:$M$35,⑪ZEN工程入力!$S$6:$S$35,$J264,⑪ZEN工程入力!$I$6:$I$35,"&gt;0")+SUMIFS(⑫ミキサー工程入力!$M$6:$M$65,⑫ミキサー工程入力!$S$6:$S$65,$J264,⑫ミキサー工程入力!$I$6:$I$65,"&gt;0")+SUMIFS(⑬計量工程入力!$M$6:$M$65,⑬計量工程入力!$S$6:$S$65,$J264,⑬計量工程入力!$I$6:$I$65,"&gt;0")+SUMIFS(⑭手動工程入力!$M$6:$M$47,⑭手動工程入力!$S$6:$S$47,$J264,⑭手動工程入力!$I$6:$I$47,"&gt;0"))</f>
        <v/>
      </c>
      <c r="M264" s="393">
        <f>IF($J264="",0,SUMIFS(②釜工程入力!$I$5:$I$117,②釜工程入力!$S$5:$S$117,$J264,②釜工程入力!$I$5:$I$117,"&gt;0",②釜工程入力!$M$5:$M$117,"&gt;0")+SUMIFS(③スチコン工程入力!$I$5:$I$152,③スチコン工程入力!$S$5:$S$152,$J264,③スチコン工程入力!$I$5:$I$152,"&gt;0",③スチコン工程入力!$M$5:$M$152,"&gt;0")+SUMIFS(⑪ZEN工程入力!$I$6:$I$35,⑪ZEN工程入力!$S$6:$S$35,$J264,⑪ZEN工程入力!$I$6:$I$35,"&gt;0",⑪ZEN工程入力!$M$6:$M$35,"&gt;0")+SUMIFS(⑫ミキサー工程入力!$I$6:$I$65,⑫ミキサー工程入力!$S$6:$S$65,$J264,⑫ミキサー工程入力!$I$6:$I$65,"&gt;0",⑫ミキサー工程入力!$M$6:$M$65,"&gt;0")+SUMIFS(⑬計量工程入力!$I$6:$I$65,⑬計量工程入力!$S$6:$S$65,$J264,⑬計量工程入力!$I$6:$I$65,"&gt;0",⑬計量工程入力!$M$6:$M$65,"&gt;0")+SUMIFS(⑭手動工程入力!$I$6:$I$47,⑭手動工程入力!$S$6:$S$47,$J264,⑭手動工程入力!$I$6:$I$47,"&gt;0",⑭手動工程入力!$M$6:$M$47,"&gt;0"))</f>
        <v/>
      </c>
      <c r="N264" s="393">
        <f>IF($J264="",0,SUMIFS(②釜工程入力!$M$5:$M$117,②釜工程入力!$S$5:$S$117,$J264,②釜工程入力!$J$5:$J$117,"&gt;0")-SUMIFS(②釜工程入力!$M$5:$M$117,②釜工程入力!$S$5:$S$117,$J264,②釜工程入力!$J$5:$J$117,"&gt;0",②釜工程入力!$I$5:$I$117,"&gt;0")+SUMIFS(③スチコン工程入力!$M$5:$M$152,③スチコン工程入力!$S$5:$S$152,$J264,③スチコン工程入力!$J$5:$J$152,"&gt;0")-SUMIFS(③スチコン工程入力!$M$5:$M$152,③スチコン工程入力!$S$5:$S$152,$J264,③スチコン工程入力!$J$5:$J$152,"&gt;0",③スチコン工程入力!$I$5:$I$152,"&gt;0")+SUMIFS(⑪ZEN工程入力!$M$6:$M$35,⑪ZEN工程入力!$S$6:$S$35,$J264,⑪ZEN工程入力!$J$6:$J$35,"&gt;0")-SUMIFS(⑪ZEN工程入力!$M$6:$M$35,⑪ZEN工程入力!$S$6:$S$35,$J264,⑪ZEN工程入力!$J$6:$J$35,"&gt;0",⑪ZEN工程入力!$I$6:$I$35,"&gt;0")+SUMIFS(⑫ミキサー工程入力!$M$6:$M$65,⑫ミキサー工程入力!$S$6:$S$65,$J264,⑫ミキサー工程入力!$J$6:$J$65,"&gt;0")-SUMIFS(⑫ミキサー工程入力!$M$6:$M$65,⑫ミキサー工程入力!$S$6:$S$65,$J264,⑫ミキサー工程入力!$J$6:$J$65,"&gt;0",⑫ミキサー工程入力!$I$6:$I$65,"&gt;0")+SUMIFS(⑬計量工程入力!$M$6:$M$65,⑬計量工程入力!$S$6:$S$65,$J264,⑬計量工程入力!$J$6:$J$65,"&gt;0")-SUMIFS(⑬計量工程入力!$M$6:$M$65,⑬計量工程入力!$S$6:$S$65,$J264,⑬計量工程入力!$J$6:$J$65,"&gt;0",⑬計量工程入力!$I$6:$I$65,"&gt;0")+SUMIFS(⑭手動工程入力!$M$6:$M$47,⑭手動工程入力!$S$6:$S$47,$J264,⑭手動工程入力!$J$6:$J$47,"&gt;0")-SUMIFS(⑭手動工程入力!$M$6:$M$47,⑭手動工程入力!$S$6:$S$47,$J264,⑭手動工程入力!$J$6:$J$47,"&gt;0",⑭手動工程入力!$I$6:$I$47,"&gt;0"))</f>
        <v/>
      </c>
      <c r="O264" s="393">
        <f>IF($J264="",0,SUMIFS(②釜工程入力!$J$5:$J$117,②釜工程入力!$S$5:$S$117,$J264,②釜工程入力!$J$5:$J$117,"&gt;0",②釜工程入力!$M$5:$M$117,"&gt;0")-SUMIFS(②釜工程入力!$J$5:$J$117,②釜工程入力!$S$5:$S$117,$J264,②釜工程入力!$J$5:$J$117,"&gt;0",②釜工程入力!$I$5:$I$117,"&gt;0",②釜工程入力!$M$5:$M$117,"&gt;0")+SUMIFS(③スチコン工程入力!$J$5:$J$152,③スチコン工程入力!$S$5:$S$152,$J264,③スチコン工程入力!$J$5:$J$152,"&gt;0",③スチコン工程入力!$M$5:$M$152,"&gt;0")-SUMIFS(③スチコン工程入力!$J$5:$J$152,③スチコン工程入力!$S$5:$S$152,$J264,③スチコン工程入力!$J$5:$J$152,"&gt;0",③スチコン工程入力!$I$5:$I$152,"&gt;0",③スチコン工程入力!$M$5:$M$152,"&gt;0")+SUMIFS(⑪ZEN工程入力!$J$6:$J$35,⑪ZEN工程入力!$S$6:$S$35,$J264,⑪ZEN工程入力!$J$6:$J$35,"&gt;0",⑪ZEN工程入力!$M$6:$M$35,"&gt;0")-SUMIFS(⑪ZEN工程入力!$J$6:$J$35,⑪ZEN工程入力!$S$6:$S$35,$J264,⑪ZEN工程入力!$J$6:$J$35,"&gt;0",⑪ZEN工程入力!$I$6:$I$35,"&gt;0",⑪ZEN工程入力!$M$6:$M$35,"&gt;0")+SUMIFS(⑫ミキサー工程入力!$J$6:$J$65,⑫ミキサー工程入力!$S$6:$S$65,$J264,⑫ミキサー工程入力!$J$6:$J$65,"&gt;0",⑫ミキサー工程入力!$M$6:$M$65,"&gt;0")-SUMIFS(⑫ミキサー工程入力!$J$6:$J$65,⑫ミキサー工程入力!$S$6:$S$65,$J264,⑫ミキサー工程入力!$J$6:$J$65,"&gt;0",⑫ミキサー工程入力!$I$6:$I$65,"&gt;0",⑫ミキサー工程入力!$M$6:$M$65,"&gt;0")+SUMIFS(⑬計量工程入力!$J$6:$J$65,⑬計量工程入力!$S$6:$S$65,$J264,⑬計量工程入力!$J$6:$J$65,"&gt;0",⑬計量工程入力!$M$6:$M$65,"&gt;0")-SUMIFS(⑬計量工程入力!$J$6:$J$65,⑬計量工程入力!$S$6:$S$65,$J264,⑬計量工程入力!$J$6:$J$65,"&gt;0",⑬計量工程入力!$I$6:$I$65,"&gt;0",⑬計量工程入力!$M$6:$M$65,"&gt;0")+SUMIFS(⑭手動工程入力!$J$6:$J$47,⑭手動工程入力!$S$6:$S$47,$J264,⑭手動工程入力!$J$6:$J$47,"&gt;0",⑭手動工程入力!$M$6:$M$47,"&gt;0")-SUMIFS(⑭手動工程入力!$J$6:$J$47,⑭手動工程入力!$S$6:$S$47,$J264,⑭手動工程入力!$J$6:$J$47,"&gt;0",⑭手動工程入力!$I$6:$I$47,"&gt;0",⑭手動工程入力!$M$6:$M$47,"&gt;0"))</f>
        <v/>
      </c>
      <c r="P264" s="392" t="inlineStr">
        <is>
          <t>中間品リスト</t>
        </is>
      </c>
    </row>
    <row r="265">
      <c r="A265" s="392" t="n">
        <v>261</v>
      </c>
      <c r="B265" s="392" t="n"/>
      <c r="C265" s="392" t="n"/>
      <c r="D265" s="409" t="n"/>
      <c r="E265" s="392" t="n"/>
      <c r="F265" s="394" t="n"/>
      <c r="G265" s="392" t="n"/>
      <c r="H265" s="604">
        <f>IFERROR(IF(AND($K265&gt;0,ISNUMBER(IF(OR($D265="g",$D265="ｇ"),IF($M265&gt;0,$L265/$M265/1000,""),IF($D265="kg",IF($M265&gt;0,$L265/$M265,""),IF($D265="",IF($M265&gt;0,$L265/$M265/1000,IF($O265&gt;0,$N265/$O265,"")),IF($O265&gt;0,$N265/$O265,"")))))),IF(OR($D265="g",$D265="ｇ"),IF($M265&gt;0,$L265/$M265/1000,""),IF($D265="kg",IF($M265&gt;0,$L265/$M265,""),IF($D265="",IF($M265&gt;0,$L265/$M265/1000,IF($O265&gt;0,$N265/$O265,"")),IF($O265&gt;0,$N265/$O265,"")))),IF($F265="",IF(OR($E265="",$E265="⑩盛付梱包工程入力"),"",IF(OR($D265="g",$D265="ｇ"),INDEX(⑰工程労務費一覧!$N$5:$N$11,MATCH($E265,⑰工程労務費一覧!$K$5:$K$11,0))/1000,IF($D265="kg",INDEX(⑰工程労務費一覧!$N$5:$N$11,MATCH($E265,⑰工程労務費一覧!$K$5:$K$11,0)),IF(OR($D265="個",$D265="切",$D265="本",$D265="枚",$D265="尾"),IF($E265="⑬計量工程入力","",INDEX(⑰工程労務費一覧!$P$5:$P$11,MATCH($E265,⑰工程労務費一覧!$K$5:$K$11,0))),IF(AND($D265="",OR($E265="②釜工程入力",$E265="③スチコン工程入力")),INDEX(⑰工程労務費一覧!$N$5:$N$11,MATCH($E265,⑰工程労務費一覧!$K$5:$K$11,0))/1000,""))))),IF(OR($D265="g",$D265="ｇ"),INDEX(⑰工程労務費一覧!$H$5:$H$753,MATCH($F265,⑰工程労務費一覧!$D$5:$D$753,0))/1000,IF($D265="kg",INDEX(⑰工程労務費一覧!$H$5:$H$753,MATCH($F265,⑰工程労務費一覧!$D$5:$D$753,0)),INDEX(⑰工程労務費一覧!$I$5:$I$753,MATCH($F265,⑰工程労務費一覧!$D$5:$D$753,0)))))),"")</f>
        <v/>
      </c>
      <c r="I265" s="392">
        <f>IF($K265&gt;0,IF(ISNUMBER(IF(OR($D265="g",$D265="ｇ"),IF($M265&gt;0,$L265/$M265/1000,""),IF($D265="kg",IF($M265&gt;0,$L265/$M265,""),IF($D265="",IF($M265&gt;0,$L265/$M265/1000,IF($O265&gt;0,$N265/$O265,"")),IF($O265&gt;0,$N265/$O265,""))))),IF($D265="",IF($M265&gt;0,"◎ JAN紐づけ(g扱い)","◎ JAN紐づけ(個扱い)"),"◎ JAN紐づけ"),"△ JAN紐づけ済・実績不足→仮計算"),IF($F265="",IF(ISNUMBER($H265),IF($D265="","⑤ 工程平均で仮計算(g扱い)","⑤ 工程平均で仮計算"),IF($E265="⑩盛付梱包工程入力","⑥ 盛り込み(⑳F列で計上)",IF(AND($E265="⑬計量工程入力",OR($D265="個",$D265="切",$D265="本",$D265="枚",$D265="尾")),"① 未紐づけ(カット個単位は仮単価なし)","① 未紐づけ"))),IF(NOT(ISNUMBER($H265)),"② 工程側に単価なし",IF($D265="","③ 単位未設定(個で計算)","④ OK"))))</f>
        <v/>
      </c>
      <c r="J265" s="399">
        <f>IFERROR(LOOKUP(2,1/((中間品リスト!$F$2:$F$1299=$B265)*(中間品リスト!$E$2:$E$1299&lt;&gt;"-")*(中間品リスト!$E$2:$E$1299&lt;&gt;"")),中間品リスト!$E$2:$E$1299),"")</f>
        <v/>
      </c>
      <c r="K265" s="400">
        <f>IF($J265="",0,COUNTIF(②釜工程入力!$S$5:$S$117,$J265)+COUNTIF(③スチコン工程入力!$S$5:$S$152,$J265)+COUNTIF(⑪ZEN工程入力!$S$6:$S$35,$J265)+COUNTIF(⑫ミキサー工程入力!$S$6:$S$65,$J265)+COUNTIF(⑬計量工程入力!$S$6:$S$65,$J265)+COUNTIF(⑭手動工程入力!$S$6:$S$47,$J265))</f>
        <v/>
      </c>
      <c r="L265" s="393">
        <f>IF($J265="",0,SUMIFS(②釜工程入力!$M$5:$M$117,②釜工程入力!$S$5:$S$117,$J265,②釜工程入力!$I$5:$I$117,"&gt;0")+SUMIFS(③スチコン工程入力!$M$5:$M$152,③スチコン工程入力!$S$5:$S$152,$J265,③スチコン工程入力!$I$5:$I$152,"&gt;0")+SUMIFS(⑪ZEN工程入力!$M$6:$M$35,⑪ZEN工程入力!$S$6:$S$35,$J265,⑪ZEN工程入力!$I$6:$I$35,"&gt;0")+SUMIFS(⑫ミキサー工程入力!$M$6:$M$65,⑫ミキサー工程入力!$S$6:$S$65,$J265,⑫ミキサー工程入力!$I$6:$I$65,"&gt;0")+SUMIFS(⑬計量工程入力!$M$6:$M$65,⑬計量工程入力!$S$6:$S$65,$J265,⑬計量工程入力!$I$6:$I$65,"&gt;0")+SUMIFS(⑭手動工程入力!$M$6:$M$47,⑭手動工程入力!$S$6:$S$47,$J265,⑭手動工程入力!$I$6:$I$47,"&gt;0"))</f>
        <v/>
      </c>
      <c r="M265" s="393">
        <f>IF($J265="",0,SUMIFS(②釜工程入力!$I$5:$I$117,②釜工程入力!$S$5:$S$117,$J265,②釜工程入力!$I$5:$I$117,"&gt;0",②釜工程入力!$M$5:$M$117,"&gt;0")+SUMIFS(③スチコン工程入力!$I$5:$I$152,③スチコン工程入力!$S$5:$S$152,$J265,③スチコン工程入力!$I$5:$I$152,"&gt;0",③スチコン工程入力!$M$5:$M$152,"&gt;0")+SUMIFS(⑪ZEN工程入力!$I$6:$I$35,⑪ZEN工程入力!$S$6:$S$35,$J265,⑪ZEN工程入力!$I$6:$I$35,"&gt;0",⑪ZEN工程入力!$M$6:$M$35,"&gt;0")+SUMIFS(⑫ミキサー工程入力!$I$6:$I$65,⑫ミキサー工程入力!$S$6:$S$65,$J265,⑫ミキサー工程入力!$I$6:$I$65,"&gt;0",⑫ミキサー工程入力!$M$6:$M$65,"&gt;0")+SUMIFS(⑬計量工程入力!$I$6:$I$65,⑬計量工程入力!$S$6:$S$65,$J265,⑬計量工程入力!$I$6:$I$65,"&gt;0",⑬計量工程入力!$M$6:$M$65,"&gt;0")+SUMIFS(⑭手動工程入力!$I$6:$I$47,⑭手動工程入力!$S$6:$S$47,$J265,⑭手動工程入力!$I$6:$I$47,"&gt;0",⑭手動工程入力!$M$6:$M$47,"&gt;0"))</f>
        <v/>
      </c>
      <c r="N265" s="393">
        <f>IF($J265="",0,SUMIFS(②釜工程入力!$M$5:$M$117,②釜工程入力!$S$5:$S$117,$J265,②釜工程入力!$J$5:$J$117,"&gt;0")-SUMIFS(②釜工程入力!$M$5:$M$117,②釜工程入力!$S$5:$S$117,$J265,②釜工程入力!$J$5:$J$117,"&gt;0",②釜工程入力!$I$5:$I$117,"&gt;0")+SUMIFS(③スチコン工程入力!$M$5:$M$152,③スチコン工程入力!$S$5:$S$152,$J265,③スチコン工程入力!$J$5:$J$152,"&gt;0")-SUMIFS(③スチコン工程入力!$M$5:$M$152,③スチコン工程入力!$S$5:$S$152,$J265,③スチコン工程入力!$J$5:$J$152,"&gt;0",③スチコン工程入力!$I$5:$I$152,"&gt;0")+SUMIFS(⑪ZEN工程入力!$M$6:$M$35,⑪ZEN工程入力!$S$6:$S$35,$J265,⑪ZEN工程入力!$J$6:$J$35,"&gt;0")-SUMIFS(⑪ZEN工程入力!$M$6:$M$35,⑪ZEN工程入力!$S$6:$S$35,$J265,⑪ZEN工程入力!$J$6:$J$35,"&gt;0",⑪ZEN工程入力!$I$6:$I$35,"&gt;0")+SUMIFS(⑫ミキサー工程入力!$M$6:$M$65,⑫ミキサー工程入力!$S$6:$S$65,$J265,⑫ミキサー工程入力!$J$6:$J$65,"&gt;0")-SUMIFS(⑫ミキサー工程入力!$M$6:$M$65,⑫ミキサー工程入力!$S$6:$S$65,$J265,⑫ミキサー工程入力!$J$6:$J$65,"&gt;0",⑫ミキサー工程入力!$I$6:$I$65,"&gt;0")+SUMIFS(⑬計量工程入力!$M$6:$M$65,⑬計量工程入力!$S$6:$S$65,$J265,⑬計量工程入力!$J$6:$J$65,"&gt;0")-SUMIFS(⑬計量工程入力!$M$6:$M$65,⑬計量工程入力!$S$6:$S$65,$J265,⑬計量工程入力!$J$6:$J$65,"&gt;0",⑬計量工程入力!$I$6:$I$65,"&gt;0")+SUMIFS(⑭手動工程入力!$M$6:$M$47,⑭手動工程入力!$S$6:$S$47,$J265,⑭手動工程入力!$J$6:$J$47,"&gt;0")-SUMIFS(⑭手動工程入力!$M$6:$M$47,⑭手動工程入力!$S$6:$S$47,$J265,⑭手動工程入力!$J$6:$J$47,"&gt;0",⑭手動工程入力!$I$6:$I$47,"&gt;0"))</f>
        <v/>
      </c>
      <c r="O265" s="393">
        <f>IF($J265="",0,SUMIFS(②釜工程入力!$J$5:$J$117,②釜工程入力!$S$5:$S$117,$J265,②釜工程入力!$J$5:$J$117,"&gt;0",②釜工程入力!$M$5:$M$117,"&gt;0")-SUMIFS(②釜工程入力!$J$5:$J$117,②釜工程入力!$S$5:$S$117,$J265,②釜工程入力!$J$5:$J$117,"&gt;0",②釜工程入力!$I$5:$I$117,"&gt;0",②釜工程入力!$M$5:$M$117,"&gt;0")+SUMIFS(③スチコン工程入力!$J$5:$J$152,③スチコン工程入力!$S$5:$S$152,$J265,③スチコン工程入力!$J$5:$J$152,"&gt;0",③スチコン工程入力!$M$5:$M$152,"&gt;0")-SUMIFS(③スチコン工程入力!$J$5:$J$152,③スチコン工程入力!$S$5:$S$152,$J265,③スチコン工程入力!$J$5:$J$152,"&gt;0",③スチコン工程入力!$I$5:$I$152,"&gt;0",③スチコン工程入力!$M$5:$M$152,"&gt;0")+SUMIFS(⑪ZEN工程入力!$J$6:$J$35,⑪ZEN工程入力!$S$6:$S$35,$J265,⑪ZEN工程入力!$J$6:$J$35,"&gt;0",⑪ZEN工程入力!$M$6:$M$35,"&gt;0")-SUMIFS(⑪ZEN工程入力!$J$6:$J$35,⑪ZEN工程入力!$S$6:$S$35,$J265,⑪ZEN工程入力!$J$6:$J$35,"&gt;0",⑪ZEN工程入力!$I$6:$I$35,"&gt;0",⑪ZEN工程入力!$M$6:$M$35,"&gt;0")+SUMIFS(⑫ミキサー工程入力!$J$6:$J$65,⑫ミキサー工程入力!$S$6:$S$65,$J265,⑫ミキサー工程入力!$J$6:$J$65,"&gt;0",⑫ミキサー工程入力!$M$6:$M$65,"&gt;0")-SUMIFS(⑫ミキサー工程入力!$J$6:$J$65,⑫ミキサー工程入力!$S$6:$S$65,$J265,⑫ミキサー工程入力!$J$6:$J$65,"&gt;0",⑫ミキサー工程入力!$I$6:$I$65,"&gt;0",⑫ミキサー工程入力!$M$6:$M$65,"&gt;0")+SUMIFS(⑬計量工程入力!$J$6:$J$65,⑬計量工程入力!$S$6:$S$65,$J265,⑬計量工程入力!$J$6:$J$65,"&gt;0",⑬計量工程入力!$M$6:$M$65,"&gt;0")-SUMIFS(⑬計量工程入力!$J$6:$J$65,⑬計量工程入力!$S$6:$S$65,$J265,⑬計量工程入力!$J$6:$J$65,"&gt;0",⑬計量工程入力!$I$6:$I$65,"&gt;0",⑬計量工程入力!$M$6:$M$65,"&gt;0")+SUMIFS(⑭手動工程入力!$J$6:$J$47,⑭手動工程入力!$S$6:$S$47,$J265,⑭手動工程入力!$J$6:$J$47,"&gt;0",⑭手動工程入力!$M$6:$M$47,"&gt;0")-SUMIFS(⑭手動工程入力!$J$6:$J$47,⑭手動工程入力!$S$6:$S$47,$J265,⑭手動工程入力!$J$6:$J$47,"&gt;0",⑭手動工程入力!$I$6:$I$47,"&gt;0",⑭手動工程入力!$M$6:$M$47,"&gt;0"))</f>
        <v/>
      </c>
      <c r="P265" s="392" t="inlineStr">
        <is>
          <t>中間品リスト</t>
        </is>
      </c>
    </row>
    <row r="266">
      <c r="A266" s="392" t="n">
        <v>262</v>
      </c>
      <c r="B266" s="392" t="n"/>
      <c r="C266" s="392" t="n"/>
      <c r="D266" s="409" t="n"/>
      <c r="E266" s="392" t="n"/>
      <c r="F266" s="394" t="n"/>
      <c r="G266" s="392" t="n"/>
      <c r="H266" s="604">
        <f>IFERROR(IF(AND($K266&gt;0,ISNUMBER(IF(OR($D266="g",$D266="ｇ"),IF($M266&gt;0,$L266/$M266/1000,""),IF($D266="kg",IF($M266&gt;0,$L266/$M266,""),IF($D266="",IF($M266&gt;0,$L266/$M266/1000,IF($O266&gt;0,$N266/$O266,"")),IF($O266&gt;0,$N266/$O266,"")))))),IF(OR($D266="g",$D266="ｇ"),IF($M266&gt;0,$L266/$M266/1000,""),IF($D266="kg",IF($M266&gt;0,$L266/$M266,""),IF($D266="",IF($M266&gt;0,$L266/$M266/1000,IF($O266&gt;0,$N266/$O266,"")),IF($O266&gt;0,$N266/$O266,"")))),IF($F266="",IF(OR($E266="",$E266="⑩盛付梱包工程入力"),"",IF(OR($D266="g",$D266="ｇ"),INDEX(⑰工程労務費一覧!$N$5:$N$11,MATCH($E266,⑰工程労務費一覧!$K$5:$K$11,0))/1000,IF($D266="kg",INDEX(⑰工程労務費一覧!$N$5:$N$11,MATCH($E266,⑰工程労務費一覧!$K$5:$K$11,0)),IF(OR($D266="個",$D266="切",$D266="本",$D266="枚",$D266="尾"),IF($E266="⑬計量工程入力","",INDEX(⑰工程労務費一覧!$P$5:$P$11,MATCH($E266,⑰工程労務費一覧!$K$5:$K$11,0))),IF(AND($D266="",OR($E266="②釜工程入力",$E266="③スチコン工程入力")),INDEX(⑰工程労務費一覧!$N$5:$N$11,MATCH($E266,⑰工程労務費一覧!$K$5:$K$11,0))/1000,""))))),IF(OR($D266="g",$D266="ｇ"),INDEX(⑰工程労務費一覧!$H$5:$H$753,MATCH($F266,⑰工程労務費一覧!$D$5:$D$753,0))/1000,IF($D266="kg",INDEX(⑰工程労務費一覧!$H$5:$H$753,MATCH($F266,⑰工程労務費一覧!$D$5:$D$753,0)),INDEX(⑰工程労務費一覧!$I$5:$I$753,MATCH($F266,⑰工程労務費一覧!$D$5:$D$753,0)))))),"")</f>
        <v/>
      </c>
      <c r="I266" s="392">
        <f>IF($K266&gt;0,IF(ISNUMBER(IF(OR($D266="g",$D266="ｇ"),IF($M266&gt;0,$L266/$M266/1000,""),IF($D266="kg",IF($M266&gt;0,$L266/$M266,""),IF($D266="",IF($M266&gt;0,$L266/$M266/1000,IF($O266&gt;0,$N266/$O266,"")),IF($O266&gt;0,$N266/$O266,""))))),IF($D266="",IF($M266&gt;0,"◎ JAN紐づけ(g扱い)","◎ JAN紐づけ(個扱い)"),"◎ JAN紐づけ"),"△ JAN紐づけ済・実績不足→仮計算"),IF($F266="",IF(ISNUMBER($H266),IF($D266="","⑤ 工程平均で仮計算(g扱い)","⑤ 工程平均で仮計算"),IF($E266="⑩盛付梱包工程入力","⑥ 盛り込み(⑳F列で計上)",IF(AND($E266="⑬計量工程入力",OR($D266="個",$D266="切",$D266="本",$D266="枚",$D266="尾")),"① 未紐づけ(カット個単位は仮単価なし)","① 未紐づけ"))),IF(NOT(ISNUMBER($H266)),"② 工程側に単価なし",IF($D266="","③ 単位未設定(個で計算)","④ OK"))))</f>
        <v/>
      </c>
      <c r="J266" s="399">
        <f>IFERROR(LOOKUP(2,1/((中間品リスト!$F$2:$F$1299=$B266)*(中間品リスト!$E$2:$E$1299&lt;&gt;"-")*(中間品リスト!$E$2:$E$1299&lt;&gt;"")),中間品リスト!$E$2:$E$1299),"")</f>
        <v/>
      </c>
      <c r="K266" s="400">
        <f>IF($J266="",0,COUNTIF(②釜工程入力!$S$5:$S$117,$J266)+COUNTIF(③スチコン工程入力!$S$5:$S$152,$J266)+COUNTIF(⑪ZEN工程入力!$S$6:$S$35,$J266)+COUNTIF(⑫ミキサー工程入力!$S$6:$S$65,$J266)+COUNTIF(⑬計量工程入力!$S$6:$S$65,$J266)+COUNTIF(⑭手動工程入力!$S$6:$S$47,$J266))</f>
        <v/>
      </c>
      <c r="L266" s="393">
        <f>IF($J266="",0,SUMIFS(②釜工程入力!$M$5:$M$117,②釜工程入力!$S$5:$S$117,$J266,②釜工程入力!$I$5:$I$117,"&gt;0")+SUMIFS(③スチコン工程入力!$M$5:$M$152,③スチコン工程入力!$S$5:$S$152,$J266,③スチコン工程入力!$I$5:$I$152,"&gt;0")+SUMIFS(⑪ZEN工程入力!$M$6:$M$35,⑪ZEN工程入力!$S$6:$S$35,$J266,⑪ZEN工程入力!$I$6:$I$35,"&gt;0")+SUMIFS(⑫ミキサー工程入力!$M$6:$M$65,⑫ミキサー工程入力!$S$6:$S$65,$J266,⑫ミキサー工程入力!$I$6:$I$65,"&gt;0")+SUMIFS(⑬計量工程入力!$M$6:$M$65,⑬計量工程入力!$S$6:$S$65,$J266,⑬計量工程入力!$I$6:$I$65,"&gt;0")+SUMIFS(⑭手動工程入力!$M$6:$M$47,⑭手動工程入力!$S$6:$S$47,$J266,⑭手動工程入力!$I$6:$I$47,"&gt;0"))</f>
        <v/>
      </c>
      <c r="M266" s="393">
        <f>IF($J266="",0,SUMIFS(②釜工程入力!$I$5:$I$117,②釜工程入力!$S$5:$S$117,$J266,②釜工程入力!$I$5:$I$117,"&gt;0",②釜工程入力!$M$5:$M$117,"&gt;0")+SUMIFS(③スチコン工程入力!$I$5:$I$152,③スチコン工程入力!$S$5:$S$152,$J266,③スチコン工程入力!$I$5:$I$152,"&gt;0",③スチコン工程入力!$M$5:$M$152,"&gt;0")+SUMIFS(⑪ZEN工程入力!$I$6:$I$35,⑪ZEN工程入力!$S$6:$S$35,$J266,⑪ZEN工程入力!$I$6:$I$35,"&gt;0",⑪ZEN工程入力!$M$6:$M$35,"&gt;0")+SUMIFS(⑫ミキサー工程入力!$I$6:$I$65,⑫ミキサー工程入力!$S$6:$S$65,$J266,⑫ミキサー工程入力!$I$6:$I$65,"&gt;0",⑫ミキサー工程入力!$M$6:$M$65,"&gt;0")+SUMIFS(⑬計量工程入力!$I$6:$I$65,⑬計量工程入力!$S$6:$S$65,$J266,⑬計量工程入力!$I$6:$I$65,"&gt;0",⑬計量工程入力!$M$6:$M$65,"&gt;0")+SUMIFS(⑭手動工程入力!$I$6:$I$47,⑭手動工程入力!$S$6:$S$47,$J266,⑭手動工程入力!$I$6:$I$47,"&gt;0",⑭手動工程入力!$M$6:$M$47,"&gt;0"))</f>
        <v/>
      </c>
      <c r="N266" s="393">
        <f>IF($J266="",0,SUMIFS(②釜工程入力!$M$5:$M$117,②釜工程入力!$S$5:$S$117,$J266,②釜工程入力!$J$5:$J$117,"&gt;0")-SUMIFS(②釜工程入力!$M$5:$M$117,②釜工程入力!$S$5:$S$117,$J266,②釜工程入力!$J$5:$J$117,"&gt;0",②釜工程入力!$I$5:$I$117,"&gt;0")+SUMIFS(③スチコン工程入力!$M$5:$M$152,③スチコン工程入力!$S$5:$S$152,$J266,③スチコン工程入力!$J$5:$J$152,"&gt;0")-SUMIFS(③スチコン工程入力!$M$5:$M$152,③スチコン工程入力!$S$5:$S$152,$J266,③スチコン工程入力!$J$5:$J$152,"&gt;0",③スチコン工程入力!$I$5:$I$152,"&gt;0")+SUMIFS(⑪ZEN工程入力!$M$6:$M$35,⑪ZEN工程入力!$S$6:$S$35,$J266,⑪ZEN工程入力!$J$6:$J$35,"&gt;0")-SUMIFS(⑪ZEN工程入力!$M$6:$M$35,⑪ZEN工程入力!$S$6:$S$35,$J266,⑪ZEN工程入力!$J$6:$J$35,"&gt;0",⑪ZEN工程入力!$I$6:$I$35,"&gt;0")+SUMIFS(⑫ミキサー工程入力!$M$6:$M$65,⑫ミキサー工程入力!$S$6:$S$65,$J266,⑫ミキサー工程入力!$J$6:$J$65,"&gt;0")-SUMIFS(⑫ミキサー工程入力!$M$6:$M$65,⑫ミキサー工程入力!$S$6:$S$65,$J266,⑫ミキサー工程入力!$J$6:$J$65,"&gt;0",⑫ミキサー工程入力!$I$6:$I$65,"&gt;0")+SUMIFS(⑬計量工程入力!$M$6:$M$65,⑬計量工程入力!$S$6:$S$65,$J266,⑬計量工程入力!$J$6:$J$65,"&gt;0")-SUMIFS(⑬計量工程入力!$M$6:$M$65,⑬計量工程入力!$S$6:$S$65,$J266,⑬計量工程入力!$J$6:$J$65,"&gt;0",⑬計量工程入力!$I$6:$I$65,"&gt;0")+SUMIFS(⑭手動工程入力!$M$6:$M$47,⑭手動工程入力!$S$6:$S$47,$J266,⑭手動工程入力!$J$6:$J$47,"&gt;0")-SUMIFS(⑭手動工程入力!$M$6:$M$47,⑭手動工程入力!$S$6:$S$47,$J266,⑭手動工程入力!$J$6:$J$47,"&gt;0",⑭手動工程入力!$I$6:$I$47,"&gt;0"))</f>
        <v/>
      </c>
      <c r="O266" s="393">
        <f>IF($J266="",0,SUMIFS(②釜工程入力!$J$5:$J$117,②釜工程入力!$S$5:$S$117,$J266,②釜工程入力!$J$5:$J$117,"&gt;0",②釜工程入力!$M$5:$M$117,"&gt;0")-SUMIFS(②釜工程入力!$J$5:$J$117,②釜工程入力!$S$5:$S$117,$J266,②釜工程入力!$J$5:$J$117,"&gt;0",②釜工程入力!$I$5:$I$117,"&gt;0",②釜工程入力!$M$5:$M$117,"&gt;0")+SUMIFS(③スチコン工程入力!$J$5:$J$152,③スチコン工程入力!$S$5:$S$152,$J266,③スチコン工程入力!$J$5:$J$152,"&gt;0",③スチコン工程入力!$M$5:$M$152,"&gt;0")-SUMIFS(③スチコン工程入力!$J$5:$J$152,③スチコン工程入力!$S$5:$S$152,$J266,③スチコン工程入力!$J$5:$J$152,"&gt;0",③スチコン工程入力!$I$5:$I$152,"&gt;0",③スチコン工程入力!$M$5:$M$152,"&gt;0")+SUMIFS(⑪ZEN工程入力!$J$6:$J$35,⑪ZEN工程入力!$S$6:$S$35,$J266,⑪ZEN工程入力!$J$6:$J$35,"&gt;0",⑪ZEN工程入力!$M$6:$M$35,"&gt;0")-SUMIFS(⑪ZEN工程入力!$J$6:$J$35,⑪ZEN工程入力!$S$6:$S$35,$J266,⑪ZEN工程入力!$J$6:$J$35,"&gt;0",⑪ZEN工程入力!$I$6:$I$35,"&gt;0",⑪ZEN工程入力!$M$6:$M$35,"&gt;0")+SUMIFS(⑫ミキサー工程入力!$J$6:$J$65,⑫ミキサー工程入力!$S$6:$S$65,$J266,⑫ミキサー工程入力!$J$6:$J$65,"&gt;0",⑫ミキサー工程入力!$M$6:$M$65,"&gt;0")-SUMIFS(⑫ミキサー工程入力!$J$6:$J$65,⑫ミキサー工程入力!$S$6:$S$65,$J266,⑫ミキサー工程入力!$J$6:$J$65,"&gt;0",⑫ミキサー工程入力!$I$6:$I$65,"&gt;0",⑫ミキサー工程入力!$M$6:$M$65,"&gt;0")+SUMIFS(⑬計量工程入力!$J$6:$J$65,⑬計量工程入力!$S$6:$S$65,$J266,⑬計量工程入力!$J$6:$J$65,"&gt;0",⑬計量工程入力!$M$6:$M$65,"&gt;0")-SUMIFS(⑬計量工程入力!$J$6:$J$65,⑬計量工程入力!$S$6:$S$65,$J266,⑬計量工程入力!$J$6:$J$65,"&gt;0",⑬計量工程入力!$I$6:$I$65,"&gt;0",⑬計量工程入力!$M$6:$M$65,"&gt;0")+SUMIFS(⑭手動工程入力!$J$6:$J$47,⑭手動工程入力!$S$6:$S$47,$J266,⑭手動工程入力!$J$6:$J$47,"&gt;0",⑭手動工程入力!$M$6:$M$47,"&gt;0")-SUMIFS(⑭手動工程入力!$J$6:$J$47,⑭手動工程入力!$S$6:$S$47,$J266,⑭手動工程入力!$J$6:$J$47,"&gt;0",⑭手動工程入力!$I$6:$I$47,"&gt;0",⑭手動工程入力!$M$6:$M$47,"&gt;0"))</f>
        <v/>
      </c>
      <c r="P266" s="392" t="inlineStr">
        <is>
          <t>中間品リスト</t>
        </is>
      </c>
    </row>
    <row r="267">
      <c r="A267" s="392" t="n">
        <v>263</v>
      </c>
      <c r="B267" s="392" t="n"/>
      <c r="C267" s="392" t="n"/>
      <c r="D267" s="409" t="n"/>
      <c r="E267" s="392" t="n"/>
      <c r="F267" s="394" t="n"/>
      <c r="G267" s="392" t="n"/>
      <c r="H267" s="604">
        <f>IFERROR(IF(AND($K267&gt;0,ISNUMBER(IF(OR($D267="g",$D267="ｇ"),IF($M267&gt;0,$L267/$M267/1000,""),IF($D267="kg",IF($M267&gt;0,$L267/$M267,""),IF($D267="",IF($M267&gt;0,$L267/$M267/1000,IF($O267&gt;0,$N267/$O267,"")),IF($O267&gt;0,$N267/$O267,"")))))),IF(OR($D267="g",$D267="ｇ"),IF($M267&gt;0,$L267/$M267/1000,""),IF($D267="kg",IF($M267&gt;0,$L267/$M267,""),IF($D267="",IF($M267&gt;0,$L267/$M267/1000,IF($O267&gt;0,$N267/$O267,"")),IF($O267&gt;0,$N267/$O267,"")))),IF($F267="",IF(OR($E267="",$E267="⑩盛付梱包工程入力"),"",IF(OR($D267="g",$D267="ｇ"),INDEX(⑰工程労務費一覧!$N$5:$N$11,MATCH($E267,⑰工程労務費一覧!$K$5:$K$11,0))/1000,IF($D267="kg",INDEX(⑰工程労務費一覧!$N$5:$N$11,MATCH($E267,⑰工程労務費一覧!$K$5:$K$11,0)),IF(OR($D267="個",$D267="切",$D267="本",$D267="枚",$D267="尾"),IF($E267="⑬計量工程入力","",INDEX(⑰工程労務費一覧!$P$5:$P$11,MATCH($E267,⑰工程労務費一覧!$K$5:$K$11,0))),IF(AND($D267="",OR($E267="②釜工程入力",$E267="③スチコン工程入力")),INDEX(⑰工程労務費一覧!$N$5:$N$11,MATCH($E267,⑰工程労務費一覧!$K$5:$K$11,0))/1000,""))))),IF(OR($D267="g",$D267="ｇ"),INDEX(⑰工程労務費一覧!$H$5:$H$753,MATCH($F267,⑰工程労務費一覧!$D$5:$D$753,0))/1000,IF($D267="kg",INDEX(⑰工程労務費一覧!$H$5:$H$753,MATCH($F267,⑰工程労務費一覧!$D$5:$D$753,0)),INDEX(⑰工程労務費一覧!$I$5:$I$753,MATCH($F267,⑰工程労務費一覧!$D$5:$D$753,0)))))),"")</f>
        <v/>
      </c>
      <c r="I267" s="392">
        <f>IF($K267&gt;0,IF(ISNUMBER(IF(OR($D267="g",$D267="ｇ"),IF($M267&gt;0,$L267/$M267/1000,""),IF($D267="kg",IF($M267&gt;0,$L267/$M267,""),IF($D267="",IF($M267&gt;0,$L267/$M267/1000,IF($O267&gt;0,$N267/$O267,"")),IF($O267&gt;0,$N267/$O267,""))))),IF($D267="",IF($M267&gt;0,"◎ JAN紐づけ(g扱い)","◎ JAN紐づけ(個扱い)"),"◎ JAN紐づけ"),"△ JAN紐づけ済・実績不足→仮計算"),IF($F267="",IF(ISNUMBER($H267),IF($D267="","⑤ 工程平均で仮計算(g扱い)","⑤ 工程平均で仮計算"),IF($E267="⑩盛付梱包工程入力","⑥ 盛り込み(⑳F列で計上)",IF(AND($E267="⑬計量工程入力",OR($D267="個",$D267="切",$D267="本",$D267="枚",$D267="尾")),"① 未紐づけ(カット個単位は仮単価なし)","① 未紐づけ"))),IF(NOT(ISNUMBER($H267)),"② 工程側に単価なし",IF($D267="","③ 単位未設定(個で計算)","④ OK"))))</f>
        <v/>
      </c>
      <c r="J267" s="399">
        <f>IFERROR(LOOKUP(2,1/((中間品リスト!$F$2:$F$1299=$B267)*(中間品リスト!$E$2:$E$1299&lt;&gt;"-")*(中間品リスト!$E$2:$E$1299&lt;&gt;"")),中間品リスト!$E$2:$E$1299),"")</f>
        <v/>
      </c>
      <c r="K267" s="400">
        <f>IF($J267="",0,COUNTIF(②釜工程入力!$S$5:$S$117,$J267)+COUNTIF(③スチコン工程入力!$S$5:$S$152,$J267)+COUNTIF(⑪ZEN工程入力!$S$6:$S$35,$J267)+COUNTIF(⑫ミキサー工程入力!$S$6:$S$65,$J267)+COUNTIF(⑬計量工程入力!$S$6:$S$65,$J267)+COUNTIF(⑭手動工程入力!$S$6:$S$47,$J267))</f>
        <v/>
      </c>
      <c r="L267" s="393">
        <f>IF($J267="",0,SUMIFS(②釜工程入力!$M$5:$M$117,②釜工程入力!$S$5:$S$117,$J267,②釜工程入力!$I$5:$I$117,"&gt;0")+SUMIFS(③スチコン工程入力!$M$5:$M$152,③スチコン工程入力!$S$5:$S$152,$J267,③スチコン工程入力!$I$5:$I$152,"&gt;0")+SUMIFS(⑪ZEN工程入力!$M$6:$M$35,⑪ZEN工程入力!$S$6:$S$35,$J267,⑪ZEN工程入力!$I$6:$I$35,"&gt;0")+SUMIFS(⑫ミキサー工程入力!$M$6:$M$65,⑫ミキサー工程入力!$S$6:$S$65,$J267,⑫ミキサー工程入力!$I$6:$I$65,"&gt;0")+SUMIFS(⑬計量工程入力!$M$6:$M$65,⑬計量工程入力!$S$6:$S$65,$J267,⑬計量工程入力!$I$6:$I$65,"&gt;0")+SUMIFS(⑭手動工程入力!$M$6:$M$47,⑭手動工程入力!$S$6:$S$47,$J267,⑭手動工程入力!$I$6:$I$47,"&gt;0"))</f>
        <v/>
      </c>
      <c r="M267" s="393">
        <f>IF($J267="",0,SUMIFS(②釜工程入力!$I$5:$I$117,②釜工程入力!$S$5:$S$117,$J267,②釜工程入力!$I$5:$I$117,"&gt;0",②釜工程入力!$M$5:$M$117,"&gt;0")+SUMIFS(③スチコン工程入力!$I$5:$I$152,③スチコン工程入力!$S$5:$S$152,$J267,③スチコン工程入力!$I$5:$I$152,"&gt;0",③スチコン工程入力!$M$5:$M$152,"&gt;0")+SUMIFS(⑪ZEN工程入力!$I$6:$I$35,⑪ZEN工程入力!$S$6:$S$35,$J267,⑪ZEN工程入力!$I$6:$I$35,"&gt;0",⑪ZEN工程入力!$M$6:$M$35,"&gt;0")+SUMIFS(⑫ミキサー工程入力!$I$6:$I$65,⑫ミキサー工程入力!$S$6:$S$65,$J267,⑫ミキサー工程入力!$I$6:$I$65,"&gt;0",⑫ミキサー工程入力!$M$6:$M$65,"&gt;0")+SUMIFS(⑬計量工程入力!$I$6:$I$65,⑬計量工程入力!$S$6:$S$65,$J267,⑬計量工程入力!$I$6:$I$65,"&gt;0",⑬計量工程入力!$M$6:$M$65,"&gt;0")+SUMIFS(⑭手動工程入力!$I$6:$I$47,⑭手動工程入力!$S$6:$S$47,$J267,⑭手動工程入力!$I$6:$I$47,"&gt;0",⑭手動工程入力!$M$6:$M$47,"&gt;0"))</f>
        <v/>
      </c>
      <c r="N267" s="393">
        <f>IF($J267="",0,SUMIFS(②釜工程入力!$M$5:$M$117,②釜工程入力!$S$5:$S$117,$J267,②釜工程入力!$J$5:$J$117,"&gt;0")-SUMIFS(②釜工程入力!$M$5:$M$117,②釜工程入力!$S$5:$S$117,$J267,②釜工程入力!$J$5:$J$117,"&gt;0",②釜工程入力!$I$5:$I$117,"&gt;0")+SUMIFS(③スチコン工程入力!$M$5:$M$152,③スチコン工程入力!$S$5:$S$152,$J267,③スチコン工程入力!$J$5:$J$152,"&gt;0")-SUMIFS(③スチコン工程入力!$M$5:$M$152,③スチコン工程入力!$S$5:$S$152,$J267,③スチコン工程入力!$J$5:$J$152,"&gt;0",③スチコン工程入力!$I$5:$I$152,"&gt;0")+SUMIFS(⑪ZEN工程入力!$M$6:$M$35,⑪ZEN工程入力!$S$6:$S$35,$J267,⑪ZEN工程入力!$J$6:$J$35,"&gt;0")-SUMIFS(⑪ZEN工程入力!$M$6:$M$35,⑪ZEN工程入力!$S$6:$S$35,$J267,⑪ZEN工程入力!$J$6:$J$35,"&gt;0",⑪ZEN工程入力!$I$6:$I$35,"&gt;0")+SUMIFS(⑫ミキサー工程入力!$M$6:$M$65,⑫ミキサー工程入力!$S$6:$S$65,$J267,⑫ミキサー工程入力!$J$6:$J$65,"&gt;0")-SUMIFS(⑫ミキサー工程入力!$M$6:$M$65,⑫ミキサー工程入力!$S$6:$S$65,$J267,⑫ミキサー工程入力!$J$6:$J$65,"&gt;0",⑫ミキサー工程入力!$I$6:$I$65,"&gt;0")+SUMIFS(⑬計量工程入力!$M$6:$M$65,⑬計量工程入力!$S$6:$S$65,$J267,⑬計量工程入力!$J$6:$J$65,"&gt;0")-SUMIFS(⑬計量工程入力!$M$6:$M$65,⑬計量工程入力!$S$6:$S$65,$J267,⑬計量工程入力!$J$6:$J$65,"&gt;0",⑬計量工程入力!$I$6:$I$65,"&gt;0")+SUMIFS(⑭手動工程入力!$M$6:$M$47,⑭手動工程入力!$S$6:$S$47,$J267,⑭手動工程入力!$J$6:$J$47,"&gt;0")-SUMIFS(⑭手動工程入力!$M$6:$M$47,⑭手動工程入力!$S$6:$S$47,$J267,⑭手動工程入力!$J$6:$J$47,"&gt;0",⑭手動工程入力!$I$6:$I$47,"&gt;0"))</f>
        <v/>
      </c>
      <c r="O267" s="393">
        <f>IF($J267="",0,SUMIFS(②釜工程入力!$J$5:$J$117,②釜工程入力!$S$5:$S$117,$J267,②釜工程入力!$J$5:$J$117,"&gt;0",②釜工程入力!$M$5:$M$117,"&gt;0")-SUMIFS(②釜工程入力!$J$5:$J$117,②釜工程入力!$S$5:$S$117,$J267,②釜工程入力!$J$5:$J$117,"&gt;0",②釜工程入力!$I$5:$I$117,"&gt;0",②釜工程入力!$M$5:$M$117,"&gt;0")+SUMIFS(③スチコン工程入力!$J$5:$J$152,③スチコン工程入力!$S$5:$S$152,$J267,③スチコン工程入力!$J$5:$J$152,"&gt;0",③スチコン工程入力!$M$5:$M$152,"&gt;0")-SUMIFS(③スチコン工程入力!$J$5:$J$152,③スチコン工程入力!$S$5:$S$152,$J267,③スチコン工程入力!$J$5:$J$152,"&gt;0",③スチコン工程入力!$I$5:$I$152,"&gt;0",③スチコン工程入力!$M$5:$M$152,"&gt;0")+SUMIFS(⑪ZEN工程入力!$J$6:$J$35,⑪ZEN工程入力!$S$6:$S$35,$J267,⑪ZEN工程入力!$J$6:$J$35,"&gt;0",⑪ZEN工程入力!$M$6:$M$35,"&gt;0")-SUMIFS(⑪ZEN工程入力!$J$6:$J$35,⑪ZEN工程入力!$S$6:$S$35,$J267,⑪ZEN工程入力!$J$6:$J$35,"&gt;0",⑪ZEN工程入力!$I$6:$I$35,"&gt;0",⑪ZEN工程入力!$M$6:$M$35,"&gt;0")+SUMIFS(⑫ミキサー工程入力!$J$6:$J$65,⑫ミキサー工程入力!$S$6:$S$65,$J267,⑫ミキサー工程入力!$J$6:$J$65,"&gt;0",⑫ミキサー工程入力!$M$6:$M$65,"&gt;0")-SUMIFS(⑫ミキサー工程入力!$J$6:$J$65,⑫ミキサー工程入力!$S$6:$S$65,$J267,⑫ミキサー工程入力!$J$6:$J$65,"&gt;0",⑫ミキサー工程入力!$I$6:$I$65,"&gt;0",⑫ミキサー工程入力!$M$6:$M$65,"&gt;0")+SUMIFS(⑬計量工程入力!$J$6:$J$65,⑬計量工程入力!$S$6:$S$65,$J267,⑬計量工程入力!$J$6:$J$65,"&gt;0",⑬計量工程入力!$M$6:$M$65,"&gt;0")-SUMIFS(⑬計量工程入力!$J$6:$J$65,⑬計量工程入力!$S$6:$S$65,$J267,⑬計量工程入力!$J$6:$J$65,"&gt;0",⑬計量工程入力!$I$6:$I$65,"&gt;0",⑬計量工程入力!$M$6:$M$65,"&gt;0")+SUMIFS(⑭手動工程入力!$J$6:$J$47,⑭手動工程入力!$S$6:$S$47,$J267,⑭手動工程入力!$J$6:$J$47,"&gt;0",⑭手動工程入力!$M$6:$M$47,"&gt;0")-SUMIFS(⑭手動工程入力!$J$6:$J$47,⑭手動工程入力!$S$6:$S$47,$J267,⑭手動工程入力!$J$6:$J$47,"&gt;0",⑭手動工程入力!$I$6:$I$47,"&gt;0",⑭手動工程入力!$M$6:$M$47,"&gt;0"))</f>
        <v/>
      </c>
      <c r="P267" s="392" t="inlineStr">
        <is>
          <t>中間品リスト</t>
        </is>
      </c>
    </row>
    <row r="268">
      <c r="A268" s="392" t="n">
        <v>264</v>
      </c>
      <c r="B268" s="392" t="n"/>
      <c r="C268" s="392" t="n"/>
      <c r="D268" s="409" t="n"/>
      <c r="E268" s="392" t="n"/>
      <c r="F268" s="394" t="n"/>
      <c r="G268" s="392" t="n"/>
      <c r="H268" s="604">
        <f>IFERROR(IF(AND($K268&gt;0,ISNUMBER(IF(OR($D268="g",$D268="ｇ"),IF($M268&gt;0,$L268/$M268/1000,""),IF($D268="kg",IF($M268&gt;0,$L268/$M268,""),IF($D268="",IF($M268&gt;0,$L268/$M268/1000,IF($O268&gt;0,$N268/$O268,"")),IF($O268&gt;0,$N268/$O268,"")))))),IF(OR($D268="g",$D268="ｇ"),IF($M268&gt;0,$L268/$M268/1000,""),IF($D268="kg",IF($M268&gt;0,$L268/$M268,""),IF($D268="",IF($M268&gt;0,$L268/$M268/1000,IF($O268&gt;0,$N268/$O268,"")),IF($O268&gt;0,$N268/$O268,"")))),IF($F268="",IF(OR($E268="",$E268="⑩盛付梱包工程入力"),"",IF(OR($D268="g",$D268="ｇ"),INDEX(⑰工程労務費一覧!$N$5:$N$11,MATCH($E268,⑰工程労務費一覧!$K$5:$K$11,0))/1000,IF($D268="kg",INDEX(⑰工程労務費一覧!$N$5:$N$11,MATCH($E268,⑰工程労務費一覧!$K$5:$K$11,0)),IF(OR($D268="個",$D268="切",$D268="本",$D268="枚",$D268="尾"),IF($E268="⑬計量工程入力","",INDEX(⑰工程労務費一覧!$P$5:$P$11,MATCH($E268,⑰工程労務費一覧!$K$5:$K$11,0))),IF(AND($D268="",OR($E268="②釜工程入力",$E268="③スチコン工程入力")),INDEX(⑰工程労務費一覧!$N$5:$N$11,MATCH($E268,⑰工程労務費一覧!$K$5:$K$11,0))/1000,""))))),IF(OR($D268="g",$D268="ｇ"),INDEX(⑰工程労務費一覧!$H$5:$H$753,MATCH($F268,⑰工程労務費一覧!$D$5:$D$753,0))/1000,IF($D268="kg",INDEX(⑰工程労務費一覧!$H$5:$H$753,MATCH($F268,⑰工程労務費一覧!$D$5:$D$753,0)),INDEX(⑰工程労務費一覧!$I$5:$I$753,MATCH($F268,⑰工程労務費一覧!$D$5:$D$753,0)))))),"")</f>
        <v/>
      </c>
      <c r="I268" s="392">
        <f>IF($K268&gt;0,IF(ISNUMBER(IF(OR($D268="g",$D268="ｇ"),IF($M268&gt;0,$L268/$M268/1000,""),IF($D268="kg",IF($M268&gt;0,$L268/$M268,""),IF($D268="",IF($M268&gt;0,$L268/$M268/1000,IF($O268&gt;0,$N268/$O268,"")),IF($O268&gt;0,$N268/$O268,""))))),IF($D268="",IF($M268&gt;0,"◎ JAN紐づけ(g扱い)","◎ JAN紐づけ(個扱い)"),"◎ JAN紐づけ"),"△ JAN紐づけ済・実績不足→仮計算"),IF($F268="",IF(ISNUMBER($H268),IF($D268="","⑤ 工程平均で仮計算(g扱い)","⑤ 工程平均で仮計算"),IF($E268="⑩盛付梱包工程入力","⑥ 盛り込み(⑳F列で計上)",IF(AND($E268="⑬計量工程入力",OR($D268="個",$D268="切",$D268="本",$D268="枚",$D268="尾")),"① 未紐づけ(カット個単位は仮単価なし)","① 未紐づけ"))),IF(NOT(ISNUMBER($H268)),"② 工程側に単価なし",IF($D268="","③ 単位未設定(個で計算)","④ OK"))))</f>
        <v/>
      </c>
      <c r="J268" s="399">
        <f>IFERROR(LOOKUP(2,1/((中間品リスト!$F$2:$F$1299=$B268)*(中間品リスト!$E$2:$E$1299&lt;&gt;"-")*(中間品リスト!$E$2:$E$1299&lt;&gt;"")),中間品リスト!$E$2:$E$1299),"")</f>
        <v/>
      </c>
      <c r="K268" s="400">
        <f>IF($J268="",0,COUNTIF(②釜工程入力!$S$5:$S$117,$J268)+COUNTIF(③スチコン工程入力!$S$5:$S$152,$J268)+COUNTIF(⑪ZEN工程入力!$S$6:$S$35,$J268)+COUNTIF(⑫ミキサー工程入力!$S$6:$S$65,$J268)+COUNTIF(⑬計量工程入力!$S$6:$S$65,$J268)+COUNTIF(⑭手動工程入力!$S$6:$S$47,$J268))</f>
        <v/>
      </c>
      <c r="L268" s="393">
        <f>IF($J268="",0,SUMIFS(②釜工程入力!$M$5:$M$117,②釜工程入力!$S$5:$S$117,$J268,②釜工程入力!$I$5:$I$117,"&gt;0")+SUMIFS(③スチコン工程入力!$M$5:$M$152,③スチコン工程入力!$S$5:$S$152,$J268,③スチコン工程入力!$I$5:$I$152,"&gt;0")+SUMIFS(⑪ZEN工程入力!$M$6:$M$35,⑪ZEN工程入力!$S$6:$S$35,$J268,⑪ZEN工程入力!$I$6:$I$35,"&gt;0")+SUMIFS(⑫ミキサー工程入力!$M$6:$M$65,⑫ミキサー工程入力!$S$6:$S$65,$J268,⑫ミキサー工程入力!$I$6:$I$65,"&gt;0")+SUMIFS(⑬計量工程入力!$M$6:$M$65,⑬計量工程入力!$S$6:$S$65,$J268,⑬計量工程入力!$I$6:$I$65,"&gt;0")+SUMIFS(⑭手動工程入力!$M$6:$M$47,⑭手動工程入力!$S$6:$S$47,$J268,⑭手動工程入力!$I$6:$I$47,"&gt;0"))</f>
        <v/>
      </c>
      <c r="M268" s="393">
        <f>IF($J268="",0,SUMIFS(②釜工程入力!$I$5:$I$117,②釜工程入力!$S$5:$S$117,$J268,②釜工程入力!$I$5:$I$117,"&gt;0",②釜工程入力!$M$5:$M$117,"&gt;0")+SUMIFS(③スチコン工程入力!$I$5:$I$152,③スチコン工程入力!$S$5:$S$152,$J268,③スチコン工程入力!$I$5:$I$152,"&gt;0",③スチコン工程入力!$M$5:$M$152,"&gt;0")+SUMIFS(⑪ZEN工程入力!$I$6:$I$35,⑪ZEN工程入力!$S$6:$S$35,$J268,⑪ZEN工程入力!$I$6:$I$35,"&gt;0",⑪ZEN工程入力!$M$6:$M$35,"&gt;0")+SUMIFS(⑫ミキサー工程入力!$I$6:$I$65,⑫ミキサー工程入力!$S$6:$S$65,$J268,⑫ミキサー工程入力!$I$6:$I$65,"&gt;0",⑫ミキサー工程入力!$M$6:$M$65,"&gt;0")+SUMIFS(⑬計量工程入力!$I$6:$I$65,⑬計量工程入力!$S$6:$S$65,$J268,⑬計量工程入力!$I$6:$I$65,"&gt;0",⑬計量工程入力!$M$6:$M$65,"&gt;0")+SUMIFS(⑭手動工程入力!$I$6:$I$47,⑭手動工程入力!$S$6:$S$47,$J268,⑭手動工程入力!$I$6:$I$47,"&gt;0",⑭手動工程入力!$M$6:$M$47,"&gt;0"))</f>
        <v/>
      </c>
      <c r="N268" s="393">
        <f>IF($J268="",0,SUMIFS(②釜工程入力!$M$5:$M$117,②釜工程入力!$S$5:$S$117,$J268,②釜工程入力!$J$5:$J$117,"&gt;0")-SUMIFS(②釜工程入力!$M$5:$M$117,②釜工程入力!$S$5:$S$117,$J268,②釜工程入力!$J$5:$J$117,"&gt;0",②釜工程入力!$I$5:$I$117,"&gt;0")+SUMIFS(③スチコン工程入力!$M$5:$M$152,③スチコン工程入力!$S$5:$S$152,$J268,③スチコン工程入力!$J$5:$J$152,"&gt;0")-SUMIFS(③スチコン工程入力!$M$5:$M$152,③スチコン工程入力!$S$5:$S$152,$J268,③スチコン工程入力!$J$5:$J$152,"&gt;0",③スチコン工程入力!$I$5:$I$152,"&gt;0")+SUMIFS(⑪ZEN工程入力!$M$6:$M$35,⑪ZEN工程入力!$S$6:$S$35,$J268,⑪ZEN工程入力!$J$6:$J$35,"&gt;0")-SUMIFS(⑪ZEN工程入力!$M$6:$M$35,⑪ZEN工程入力!$S$6:$S$35,$J268,⑪ZEN工程入力!$J$6:$J$35,"&gt;0",⑪ZEN工程入力!$I$6:$I$35,"&gt;0")+SUMIFS(⑫ミキサー工程入力!$M$6:$M$65,⑫ミキサー工程入力!$S$6:$S$65,$J268,⑫ミキサー工程入力!$J$6:$J$65,"&gt;0")-SUMIFS(⑫ミキサー工程入力!$M$6:$M$65,⑫ミキサー工程入力!$S$6:$S$65,$J268,⑫ミキサー工程入力!$J$6:$J$65,"&gt;0",⑫ミキサー工程入力!$I$6:$I$65,"&gt;0")+SUMIFS(⑬計量工程入力!$M$6:$M$65,⑬計量工程入力!$S$6:$S$65,$J268,⑬計量工程入力!$J$6:$J$65,"&gt;0")-SUMIFS(⑬計量工程入力!$M$6:$M$65,⑬計量工程入力!$S$6:$S$65,$J268,⑬計量工程入力!$J$6:$J$65,"&gt;0",⑬計量工程入力!$I$6:$I$65,"&gt;0")+SUMIFS(⑭手動工程入力!$M$6:$M$47,⑭手動工程入力!$S$6:$S$47,$J268,⑭手動工程入力!$J$6:$J$47,"&gt;0")-SUMIFS(⑭手動工程入力!$M$6:$M$47,⑭手動工程入力!$S$6:$S$47,$J268,⑭手動工程入力!$J$6:$J$47,"&gt;0",⑭手動工程入力!$I$6:$I$47,"&gt;0"))</f>
        <v/>
      </c>
      <c r="O268" s="393">
        <f>IF($J268="",0,SUMIFS(②釜工程入力!$J$5:$J$117,②釜工程入力!$S$5:$S$117,$J268,②釜工程入力!$J$5:$J$117,"&gt;0",②釜工程入力!$M$5:$M$117,"&gt;0")-SUMIFS(②釜工程入力!$J$5:$J$117,②釜工程入力!$S$5:$S$117,$J268,②釜工程入力!$J$5:$J$117,"&gt;0",②釜工程入力!$I$5:$I$117,"&gt;0",②釜工程入力!$M$5:$M$117,"&gt;0")+SUMIFS(③スチコン工程入力!$J$5:$J$152,③スチコン工程入力!$S$5:$S$152,$J268,③スチコン工程入力!$J$5:$J$152,"&gt;0",③スチコン工程入力!$M$5:$M$152,"&gt;0")-SUMIFS(③スチコン工程入力!$J$5:$J$152,③スチコン工程入力!$S$5:$S$152,$J268,③スチコン工程入力!$J$5:$J$152,"&gt;0",③スチコン工程入力!$I$5:$I$152,"&gt;0",③スチコン工程入力!$M$5:$M$152,"&gt;0")+SUMIFS(⑪ZEN工程入力!$J$6:$J$35,⑪ZEN工程入力!$S$6:$S$35,$J268,⑪ZEN工程入力!$J$6:$J$35,"&gt;0",⑪ZEN工程入力!$M$6:$M$35,"&gt;0")-SUMIFS(⑪ZEN工程入力!$J$6:$J$35,⑪ZEN工程入力!$S$6:$S$35,$J268,⑪ZEN工程入力!$J$6:$J$35,"&gt;0",⑪ZEN工程入力!$I$6:$I$35,"&gt;0",⑪ZEN工程入力!$M$6:$M$35,"&gt;0")+SUMIFS(⑫ミキサー工程入力!$J$6:$J$65,⑫ミキサー工程入力!$S$6:$S$65,$J268,⑫ミキサー工程入力!$J$6:$J$65,"&gt;0",⑫ミキサー工程入力!$M$6:$M$65,"&gt;0")-SUMIFS(⑫ミキサー工程入力!$J$6:$J$65,⑫ミキサー工程入力!$S$6:$S$65,$J268,⑫ミキサー工程入力!$J$6:$J$65,"&gt;0",⑫ミキサー工程入力!$I$6:$I$65,"&gt;0",⑫ミキサー工程入力!$M$6:$M$65,"&gt;0")+SUMIFS(⑬計量工程入力!$J$6:$J$65,⑬計量工程入力!$S$6:$S$65,$J268,⑬計量工程入力!$J$6:$J$65,"&gt;0",⑬計量工程入力!$M$6:$M$65,"&gt;0")-SUMIFS(⑬計量工程入力!$J$6:$J$65,⑬計量工程入力!$S$6:$S$65,$J268,⑬計量工程入力!$J$6:$J$65,"&gt;0",⑬計量工程入力!$I$6:$I$65,"&gt;0",⑬計量工程入力!$M$6:$M$65,"&gt;0")+SUMIFS(⑭手動工程入力!$J$6:$J$47,⑭手動工程入力!$S$6:$S$47,$J268,⑭手動工程入力!$J$6:$J$47,"&gt;0",⑭手動工程入力!$M$6:$M$47,"&gt;0")-SUMIFS(⑭手動工程入力!$J$6:$J$47,⑭手動工程入力!$S$6:$S$47,$J268,⑭手動工程入力!$J$6:$J$47,"&gt;0",⑭手動工程入力!$I$6:$I$47,"&gt;0",⑭手動工程入力!$M$6:$M$47,"&gt;0"))</f>
        <v/>
      </c>
      <c r="P268" s="392" t="inlineStr">
        <is>
          <t>中間品リスト</t>
        </is>
      </c>
    </row>
    <row r="269">
      <c r="A269" s="392" t="n">
        <v>265</v>
      </c>
      <c r="B269" s="392" t="n"/>
      <c r="C269" s="392" t="n"/>
      <c r="D269" s="409" t="n"/>
      <c r="E269" s="392" t="n"/>
      <c r="F269" s="394" t="n"/>
      <c r="G269" s="392" t="n"/>
      <c r="H269" s="604">
        <f>IFERROR(IF(AND($K269&gt;0,ISNUMBER(IF(OR($D269="g",$D269="ｇ"),IF($M269&gt;0,$L269/$M269/1000,""),IF($D269="kg",IF($M269&gt;0,$L269/$M269,""),IF($D269="",IF($M269&gt;0,$L269/$M269/1000,IF($O269&gt;0,$N269/$O269,"")),IF($O269&gt;0,$N269/$O269,"")))))),IF(OR($D269="g",$D269="ｇ"),IF($M269&gt;0,$L269/$M269/1000,""),IF($D269="kg",IF($M269&gt;0,$L269/$M269,""),IF($D269="",IF($M269&gt;0,$L269/$M269/1000,IF($O269&gt;0,$N269/$O269,"")),IF($O269&gt;0,$N269/$O269,"")))),IF($F269="",IF(OR($E269="",$E269="⑩盛付梱包工程入力"),"",IF(OR($D269="g",$D269="ｇ"),INDEX(⑰工程労務費一覧!$N$5:$N$11,MATCH($E269,⑰工程労務費一覧!$K$5:$K$11,0))/1000,IF($D269="kg",INDEX(⑰工程労務費一覧!$N$5:$N$11,MATCH($E269,⑰工程労務費一覧!$K$5:$K$11,0)),IF(OR($D269="個",$D269="切",$D269="本",$D269="枚",$D269="尾"),IF($E269="⑬計量工程入力","",INDEX(⑰工程労務費一覧!$P$5:$P$11,MATCH($E269,⑰工程労務費一覧!$K$5:$K$11,0))),IF(AND($D269="",OR($E269="②釜工程入力",$E269="③スチコン工程入力")),INDEX(⑰工程労務費一覧!$N$5:$N$11,MATCH($E269,⑰工程労務費一覧!$K$5:$K$11,0))/1000,""))))),IF(OR($D269="g",$D269="ｇ"),INDEX(⑰工程労務費一覧!$H$5:$H$753,MATCH($F269,⑰工程労務費一覧!$D$5:$D$753,0))/1000,IF($D269="kg",INDEX(⑰工程労務費一覧!$H$5:$H$753,MATCH($F269,⑰工程労務費一覧!$D$5:$D$753,0)),INDEX(⑰工程労務費一覧!$I$5:$I$753,MATCH($F269,⑰工程労務費一覧!$D$5:$D$753,0)))))),"")</f>
        <v/>
      </c>
      <c r="I269" s="392">
        <f>IF($K269&gt;0,IF(ISNUMBER(IF(OR($D269="g",$D269="ｇ"),IF($M269&gt;0,$L269/$M269/1000,""),IF($D269="kg",IF($M269&gt;0,$L269/$M269,""),IF($D269="",IF($M269&gt;0,$L269/$M269/1000,IF($O269&gt;0,$N269/$O269,"")),IF($O269&gt;0,$N269/$O269,""))))),IF($D269="",IF($M269&gt;0,"◎ JAN紐づけ(g扱い)","◎ JAN紐づけ(個扱い)"),"◎ JAN紐づけ"),"△ JAN紐づけ済・実績不足→仮計算"),IF($F269="",IF(ISNUMBER($H269),IF($D269="","⑤ 工程平均で仮計算(g扱い)","⑤ 工程平均で仮計算"),IF($E269="⑩盛付梱包工程入力","⑥ 盛り込み(⑳F列で計上)",IF(AND($E269="⑬計量工程入力",OR($D269="個",$D269="切",$D269="本",$D269="枚",$D269="尾")),"① 未紐づけ(カット個単位は仮単価なし)","① 未紐づけ"))),IF(NOT(ISNUMBER($H269)),"② 工程側に単価なし",IF($D269="","③ 単位未設定(個で計算)","④ OK"))))</f>
        <v/>
      </c>
      <c r="J269" s="399">
        <f>IFERROR(LOOKUP(2,1/((中間品リスト!$F$2:$F$1299=$B269)*(中間品リスト!$E$2:$E$1299&lt;&gt;"-")*(中間品リスト!$E$2:$E$1299&lt;&gt;"")),中間品リスト!$E$2:$E$1299),"")</f>
        <v/>
      </c>
      <c r="K269" s="400">
        <f>IF($J269="",0,COUNTIF(②釜工程入力!$S$5:$S$117,$J269)+COUNTIF(③スチコン工程入力!$S$5:$S$152,$J269)+COUNTIF(⑪ZEN工程入力!$S$6:$S$35,$J269)+COUNTIF(⑫ミキサー工程入力!$S$6:$S$65,$J269)+COUNTIF(⑬計量工程入力!$S$6:$S$65,$J269)+COUNTIF(⑭手動工程入力!$S$6:$S$47,$J269))</f>
        <v/>
      </c>
      <c r="L269" s="393">
        <f>IF($J269="",0,SUMIFS(②釜工程入力!$M$5:$M$117,②釜工程入力!$S$5:$S$117,$J269,②釜工程入力!$I$5:$I$117,"&gt;0")+SUMIFS(③スチコン工程入力!$M$5:$M$152,③スチコン工程入力!$S$5:$S$152,$J269,③スチコン工程入力!$I$5:$I$152,"&gt;0")+SUMIFS(⑪ZEN工程入力!$M$6:$M$35,⑪ZEN工程入力!$S$6:$S$35,$J269,⑪ZEN工程入力!$I$6:$I$35,"&gt;0")+SUMIFS(⑫ミキサー工程入力!$M$6:$M$65,⑫ミキサー工程入力!$S$6:$S$65,$J269,⑫ミキサー工程入力!$I$6:$I$65,"&gt;0")+SUMIFS(⑬計量工程入力!$M$6:$M$65,⑬計量工程入力!$S$6:$S$65,$J269,⑬計量工程入力!$I$6:$I$65,"&gt;0")+SUMIFS(⑭手動工程入力!$M$6:$M$47,⑭手動工程入力!$S$6:$S$47,$J269,⑭手動工程入力!$I$6:$I$47,"&gt;0"))</f>
        <v/>
      </c>
      <c r="M269" s="393">
        <f>IF($J269="",0,SUMIFS(②釜工程入力!$I$5:$I$117,②釜工程入力!$S$5:$S$117,$J269,②釜工程入力!$I$5:$I$117,"&gt;0",②釜工程入力!$M$5:$M$117,"&gt;0")+SUMIFS(③スチコン工程入力!$I$5:$I$152,③スチコン工程入力!$S$5:$S$152,$J269,③スチコン工程入力!$I$5:$I$152,"&gt;0",③スチコン工程入力!$M$5:$M$152,"&gt;0")+SUMIFS(⑪ZEN工程入力!$I$6:$I$35,⑪ZEN工程入力!$S$6:$S$35,$J269,⑪ZEN工程入力!$I$6:$I$35,"&gt;0",⑪ZEN工程入力!$M$6:$M$35,"&gt;0")+SUMIFS(⑫ミキサー工程入力!$I$6:$I$65,⑫ミキサー工程入力!$S$6:$S$65,$J269,⑫ミキサー工程入力!$I$6:$I$65,"&gt;0",⑫ミキサー工程入力!$M$6:$M$65,"&gt;0")+SUMIFS(⑬計量工程入力!$I$6:$I$65,⑬計量工程入力!$S$6:$S$65,$J269,⑬計量工程入力!$I$6:$I$65,"&gt;0",⑬計量工程入力!$M$6:$M$65,"&gt;0")+SUMIFS(⑭手動工程入力!$I$6:$I$47,⑭手動工程入力!$S$6:$S$47,$J269,⑭手動工程入力!$I$6:$I$47,"&gt;0",⑭手動工程入力!$M$6:$M$47,"&gt;0"))</f>
        <v/>
      </c>
      <c r="N269" s="393">
        <f>IF($J269="",0,SUMIFS(②釜工程入力!$M$5:$M$117,②釜工程入力!$S$5:$S$117,$J269,②釜工程入力!$J$5:$J$117,"&gt;0")-SUMIFS(②釜工程入力!$M$5:$M$117,②釜工程入力!$S$5:$S$117,$J269,②釜工程入力!$J$5:$J$117,"&gt;0",②釜工程入力!$I$5:$I$117,"&gt;0")+SUMIFS(③スチコン工程入力!$M$5:$M$152,③スチコン工程入力!$S$5:$S$152,$J269,③スチコン工程入力!$J$5:$J$152,"&gt;0")-SUMIFS(③スチコン工程入力!$M$5:$M$152,③スチコン工程入力!$S$5:$S$152,$J269,③スチコン工程入力!$J$5:$J$152,"&gt;0",③スチコン工程入力!$I$5:$I$152,"&gt;0")+SUMIFS(⑪ZEN工程入力!$M$6:$M$35,⑪ZEN工程入力!$S$6:$S$35,$J269,⑪ZEN工程入力!$J$6:$J$35,"&gt;0")-SUMIFS(⑪ZEN工程入力!$M$6:$M$35,⑪ZEN工程入力!$S$6:$S$35,$J269,⑪ZEN工程入力!$J$6:$J$35,"&gt;0",⑪ZEN工程入力!$I$6:$I$35,"&gt;0")+SUMIFS(⑫ミキサー工程入力!$M$6:$M$65,⑫ミキサー工程入力!$S$6:$S$65,$J269,⑫ミキサー工程入力!$J$6:$J$65,"&gt;0")-SUMIFS(⑫ミキサー工程入力!$M$6:$M$65,⑫ミキサー工程入力!$S$6:$S$65,$J269,⑫ミキサー工程入力!$J$6:$J$65,"&gt;0",⑫ミキサー工程入力!$I$6:$I$65,"&gt;0")+SUMIFS(⑬計量工程入力!$M$6:$M$65,⑬計量工程入力!$S$6:$S$65,$J269,⑬計量工程入力!$J$6:$J$65,"&gt;0")-SUMIFS(⑬計量工程入力!$M$6:$M$65,⑬計量工程入力!$S$6:$S$65,$J269,⑬計量工程入力!$J$6:$J$65,"&gt;0",⑬計量工程入力!$I$6:$I$65,"&gt;0")+SUMIFS(⑭手動工程入力!$M$6:$M$47,⑭手動工程入力!$S$6:$S$47,$J269,⑭手動工程入力!$J$6:$J$47,"&gt;0")-SUMIFS(⑭手動工程入力!$M$6:$M$47,⑭手動工程入力!$S$6:$S$47,$J269,⑭手動工程入力!$J$6:$J$47,"&gt;0",⑭手動工程入力!$I$6:$I$47,"&gt;0"))</f>
        <v/>
      </c>
      <c r="O269" s="393">
        <f>IF($J269="",0,SUMIFS(②釜工程入力!$J$5:$J$117,②釜工程入力!$S$5:$S$117,$J269,②釜工程入力!$J$5:$J$117,"&gt;0",②釜工程入力!$M$5:$M$117,"&gt;0")-SUMIFS(②釜工程入力!$J$5:$J$117,②釜工程入力!$S$5:$S$117,$J269,②釜工程入力!$J$5:$J$117,"&gt;0",②釜工程入力!$I$5:$I$117,"&gt;0",②釜工程入力!$M$5:$M$117,"&gt;0")+SUMIFS(③スチコン工程入力!$J$5:$J$152,③スチコン工程入力!$S$5:$S$152,$J269,③スチコン工程入力!$J$5:$J$152,"&gt;0",③スチコン工程入力!$M$5:$M$152,"&gt;0")-SUMIFS(③スチコン工程入力!$J$5:$J$152,③スチコン工程入力!$S$5:$S$152,$J269,③スチコン工程入力!$J$5:$J$152,"&gt;0",③スチコン工程入力!$I$5:$I$152,"&gt;0",③スチコン工程入力!$M$5:$M$152,"&gt;0")+SUMIFS(⑪ZEN工程入力!$J$6:$J$35,⑪ZEN工程入力!$S$6:$S$35,$J269,⑪ZEN工程入力!$J$6:$J$35,"&gt;0",⑪ZEN工程入力!$M$6:$M$35,"&gt;0")-SUMIFS(⑪ZEN工程入力!$J$6:$J$35,⑪ZEN工程入力!$S$6:$S$35,$J269,⑪ZEN工程入力!$J$6:$J$35,"&gt;0",⑪ZEN工程入力!$I$6:$I$35,"&gt;0",⑪ZEN工程入力!$M$6:$M$35,"&gt;0")+SUMIFS(⑫ミキサー工程入力!$J$6:$J$65,⑫ミキサー工程入力!$S$6:$S$65,$J269,⑫ミキサー工程入力!$J$6:$J$65,"&gt;0",⑫ミキサー工程入力!$M$6:$M$65,"&gt;0")-SUMIFS(⑫ミキサー工程入力!$J$6:$J$65,⑫ミキサー工程入力!$S$6:$S$65,$J269,⑫ミキサー工程入力!$J$6:$J$65,"&gt;0",⑫ミキサー工程入力!$I$6:$I$65,"&gt;0",⑫ミキサー工程入力!$M$6:$M$65,"&gt;0")+SUMIFS(⑬計量工程入力!$J$6:$J$65,⑬計量工程入力!$S$6:$S$65,$J269,⑬計量工程入力!$J$6:$J$65,"&gt;0",⑬計量工程入力!$M$6:$M$65,"&gt;0")-SUMIFS(⑬計量工程入力!$J$6:$J$65,⑬計量工程入力!$S$6:$S$65,$J269,⑬計量工程入力!$J$6:$J$65,"&gt;0",⑬計量工程入力!$I$6:$I$65,"&gt;0",⑬計量工程入力!$M$6:$M$65,"&gt;0")+SUMIFS(⑭手動工程入力!$J$6:$J$47,⑭手動工程入力!$S$6:$S$47,$J269,⑭手動工程入力!$J$6:$J$47,"&gt;0",⑭手動工程入力!$M$6:$M$47,"&gt;0")-SUMIFS(⑭手動工程入力!$J$6:$J$47,⑭手動工程入力!$S$6:$S$47,$J269,⑭手動工程入力!$J$6:$J$47,"&gt;0",⑭手動工程入力!$I$6:$I$47,"&gt;0",⑭手動工程入力!$M$6:$M$47,"&gt;0"))</f>
        <v/>
      </c>
      <c r="P269" s="392" t="inlineStr">
        <is>
          <t>中間品リスト</t>
        </is>
      </c>
    </row>
    <row r="270">
      <c r="A270" s="392" t="n">
        <v>266</v>
      </c>
      <c r="B270" s="392" t="n"/>
      <c r="C270" s="392" t="n"/>
      <c r="D270" s="392" t="n"/>
      <c r="E270" s="392" t="n"/>
      <c r="F270" s="394" t="n"/>
      <c r="G270" s="392" t="n"/>
      <c r="H270" s="604">
        <f>IFERROR(IF(AND($K270&gt;0,ISNUMBER(IF(OR($D270="g",$D270="ｇ"),IF($M270&gt;0,$L270/$M270/1000,""),IF($D270="kg",IF($M270&gt;0,$L270/$M270,""),IF($D270="",IF($M270&gt;0,$L270/$M270/1000,IF($O270&gt;0,$N270/$O270,"")),IF($O270&gt;0,$N270/$O270,"")))))),IF(OR($D270="g",$D270="ｇ"),IF($M270&gt;0,$L270/$M270/1000,""),IF($D270="kg",IF($M270&gt;0,$L270/$M270,""),IF($D270="",IF($M270&gt;0,$L270/$M270/1000,IF($O270&gt;0,$N270/$O270,"")),IF($O270&gt;0,$N270/$O270,"")))),IF($F270="",IF(OR($E270="",$E270="⑩盛付梱包工程入力"),"",IF(OR($D270="g",$D270="ｇ"),INDEX(⑰工程労務費一覧!$N$5:$N$11,MATCH($E270,⑰工程労務費一覧!$K$5:$K$11,0))/1000,IF($D270="kg",INDEX(⑰工程労務費一覧!$N$5:$N$11,MATCH($E270,⑰工程労務費一覧!$K$5:$K$11,0)),IF(OR($D270="個",$D270="切",$D270="本",$D270="枚",$D270="尾"),IF($E270="⑬計量工程入力","",INDEX(⑰工程労務費一覧!$P$5:$P$11,MATCH($E270,⑰工程労務費一覧!$K$5:$K$11,0))),IF(AND($D270="",OR($E270="②釜工程入力",$E270="③スチコン工程入力")),INDEX(⑰工程労務費一覧!$N$5:$N$11,MATCH($E270,⑰工程労務費一覧!$K$5:$K$11,0))/1000,""))))),IF(OR($D270="g",$D270="ｇ"),INDEX(⑰工程労務費一覧!$H$5:$H$753,MATCH($F270,⑰工程労務費一覧!$D$5:$D$753,0))/1000,IF($D270="kg",INDEX(⑰工程労務費一覧!$H$5:$H$753,MATCH($F270,⑰工程労務費一覧!$D$5:$D$753,0)),INDEX(⑰工程労務費一覧!$I$5:$I$753,MATCH($F270,⑰工程労務費一覧!$D$5:$D$753,0)))))),"")</f>
        <v/>
      </c>
      <c r="I270" s="392">
        <f>IF($K270&gt;0,IF(ISNUMBER(IF(OR($D270="g",$D270="ｇ"),IF($M270&gt;0,$L270/$M270/1000,""),IF($D270="kg",IF($M270&gt;0,$L270/$M270,""),IF($D270="",IF($M270&gt;0,$L270/$M270/1000,IF($O270&gt;0,$N270/$O270,"")),IF($O270&gt;0,$N270/$O270,""))))),IF($D270="",IF($M270&gt;0,"◎ JAN紐づけ(g扱い)","◎ JAN紐づけ(個扱い)"),"◎ JAN紐づけ"),"△ JAN紐づけ済・実績不足→仮計算"),IF($F270="",IF(ISNUMBER($H270),IF($D270="","⑤ 工程平均で仮計算(g扱い)","⑤ 工程平均で仮計算"),IF($E270="⑩盛付梱包工程入力","⑥ 盛り込み(⑳F列で計上)",IF(AND($E270="⑬計量工程入力",OR($D270="個",$D270="切",$D270="本",$D270="枚",$D270="尾")),"① 未紐づけ(カット個単位は仮単価なし)","① 未紐づけ"))),IF(NOT(ISNUMBER($H270)),"② 工程側に単価なし",IF($D270="","③ 単位未設定(個で計算)","④ OK"))))</f>
        <v/>
      </c>
      <c r="J270" s="399">
        <f>IFERROR(LOOKUP(2,1/((中間品リスト!$F$2:$F$1299=$B270)*(中間品リスト!$E$2:$E$1299&lt;&gt;"-")*(中間品リスト!$E$2:$E$1299&lt;&gt;"")),中間品リスト!$E$2:$E$1299),"")</f>
        <v/>
      </c>
      <c r="K270" s="400">
        <f>IF($J270="",0,COUNTIF(②釜工程入力!$S$5:$S$117,$J270)+COUNTIF(③スチコン工程入力!$S$5:$S$152,$J270)+COUNTIF(⑪ZEN工程入力!$S$6:$S$35,$J270)+COUNTIF(⑫ミキサー工程入力!$S$6:$S$65,$J270)+COUNTIF(⑬計量工程入力!$S$6:$S$65,$J270)+COUNTIF(⑭手動工程入力!$S$6:$S$47,$J270))</f>
        <v/>
      </c>
      <c r="L270" s="393">
        <f>IF($J270="",0,SUMIFS(②釜工程入力!$M$5:$M$117,②釜工程入力!$S$5:$S$117,$J270,②釜工程入力!$I$5:$I$117,"&gt;0")+SUMIFS(③スチコン工程入力!$M$5:$M$152,③スチコン工程入力!$S$5:$S$152,$J270,③スチコン工程入力!$I$5:$I$152,"&gt;0")+SUMIFS(⑪ZEN工程入力!$M$6:$M$35,⑪ZEN工程入力!$S$6:$S$35,$J270,⑪ZEN工程入力!$I$6:$I$35,"&gt;0")+SUMIFS(⑫ミキサー工程入力!$M$6:$M$65,⑫ミキサー工程入力!$S$6:$S$65,$J270,⑫ミキサー工程入力!$I$6:$I$65,"&gt;0")+SUMIFS(⑬計量工程入力!$M$6:$M$65,⑬計量工程入力!$S$6:$S$65,$J270,⑬計量工程入力!$I$6:$I$65,"&gt;0")+SUMIFS(⑭手動工程入力!$M$6:$M$47,⑭手動工程入力!$S$6:$S$47,$J270,⑭手動工程入力!$I$6:$I$47,"&gt;0"))</f>
        <v/>
      </c>
      <c r="M270" s="393">
        <f>IF($J270="",0,SUMIFS(②釜工程入力!$I$5:$I$117,②釜工程入力!$S$5:$S$117,$J270,②釜工程入力!$I$5:$I$117,"&gt;0",②釜工程入力!$M$5:$M$117,"&gt;0")+SUMIFS(③スチコン工程入力!$I$5:$I$152,③スチコン工程入力!$S$5:$S$152,$J270,③スチコン工程入力!$I$5:$I$152,"&gt;0",③スチコン工程入力!$M$5:$M$152,"&gt;0")+SUMIFS(⑪ZEN工程入力!$I$6:$I$35,⑪ZEN工程入力!$S$6:$S$35,$J270,⑪ZEN工程入力!$I$6:$I$35,"&gt;0",⑪ZEN工程入力!$M$6:$M$35,"&gt;0")+SUMIFS(⑫ミキサー工程入力!$I$6:$I$65,⑫ミキサー工程入力!$S$6:$S$65,$J270,⑫ミキサー工程入力!$I$6:$I$65,"&gt;0",⑫ミキサー工程入力!$M$6:$M$65,"&gt;0")+SUMIFS(⑬計量工程入力!$I$6:$I$65,⑬計量工程入力!$S$6:$S$65,$J270,⑬計量工程入力!$I$6:$I$65,"&gt;0",⑬計量工程入力!$M$6:$M$65,"&gt;0")+SUMIFS(⑭手動工程入力!$I$6:$I$47,⑭手動工程入力!$S$6:$S$47,$J270,⑭手動工程入力!$I$6:$I$47,"&gt;0",⑭手動工程入力!$M$6:$M$47,"&gt;0"))</f>
        <v/>
      </c>
      <c r="N270" s="393">
        <f>IF($J270="",0,SUMIFS(②釜工程入力!$M$5:$M$117,②釜工程入力!$S$5:$S$117,$J270,②釜工程入力!$J$5:$J$117,"&gt;0")-SUMIFS(②釜工程入力!$M$5:$M$117,②釜工程入力!$S$5:$S$117,$J270,②釜工程入力!$J$5:$J$117,"&gt;0",②釜工程入力!$I$5:$I$117,"&gt;0")+SUMIFS(③スチコン工程入力!$M$5:$M$152,③スチコン工程入力!$S$5:$S$152,$J270,③スチコン工程入力!$J$5:$J$152,"&gt;0")-SUMIFS(③スチコン工程入力!$M$5:$M$152,③スチコン工程入力!$S$5:$S$152,$J270,③スチコン工程入力!$J$5:$J$152,"&gt;0",③スチコン工程入力!$I$5:$I$152,"&gt;0")+SUMIFS(⑪ZEN工程入力!$M$6:$M$35,⑪ZEN工程入力!$S$6:$S$35,$J270,⑪ZEN工程入力!$J$6:$J$35,"&gt;0")-SUMIFS(⑪ZEN工程入力!$M$6:$M$35,⑪ZEN工程入力!$S$6:$S$35,$J270,⑪ZEN工程入力!$J$6:$J$35,"&gt;0",⑪ZEN工程入力!$I$6:$I$35,"&gt;0")+SUMIFS(⑫ミキサー工程入力!$M$6:$M$65,⑫ミキサー工程入力!$S$6:$S$65,$J270,⑫ミキサー工程入力!$J$6:$J$65,"&gt;0")-SUMIFS(⑫ミキサー工程入力!$M$6:$M$65,⑫ミキサー工程入力!$S$6:$S$65,$J270,⑫ミキサー工程入力!$J$6:$J$65,"&gt;0",⑫ミキサー工程入力!$I$6:$I$65,"&gt;0")+SUMIFS(⑬計量工程入力!$M$6:$M$65,⑬計量工程入力!$S$6:$S$65,$J270,⑬計量工程入力!$J$6:$J$65,"&gt;0")-SUMIFS(⑬計量工程入力!$M$6:$M$65,⑬計量工程入力!$S$6:$S$65,$J270,⑬計量工程入力!$J$6:$J$65,"&gt;0",⑬計量工程入力!$I$6:$I$65,"&gt;0")+SUMIFS(⑭手動工程入力!$M$6:$M$47,⑭手動工程入力!$S$6:$S$47,$J270,⑭手動工程入力!$J$6:$J$47,"&gt;0")-SUMIFS(⑭手動工程入力!$M$6:$M$47,⑭手動工程入力!$S$6:$S$47,$J270,⑭手動工程入力!$J$6:$J$47,"&gt;0",⑭手動工程入力!$I$6:$I$47,"&gt;0"))</f>
        <v/>
      </c>
      <c r="O270" s="393">
        <f>IF($J270="",0,SUMIFS(②釜工程入力!$J$5:$J$117,②釜工程入力!$S$5:$S$117,$J270,②釜工程入力!$J$5:$J$117,"&gt;0",②釜工程入力!$M$5:$M$117,"&gt;0")-SUMIFS(②釜工程入力!$J$5:$J$117,②釜工程入力!$S$5:$S$117,$J270,②釜工程入力!$J$5:$J$117,"&gt;0",②釜工程入力!$I$5:$I$117,"&gt;0",②釜工程入力!$M$5:$M$117,"&gt;0")+SUMIFS(③スチコン工程入力!$J$5:$J$152,③スチコン工程入力!$S$5:$S$152,$J270,③スチコン工程入力!$J$5:$J$152,"&gt;0",③スチコン工程入力!$M$5:$M$152,"&gt;0")-SUMIFS(③スチコン工程入力!$J$5:$J$152,③スチコン工程入力!$S$5:$S$152,$J270,③スチコン工程入力!$J$5:$J$152,"&gt;0",③スチコン工程入力!$I$5:$I$152,"&gt;0",③スチコン工程入力!$M$5:$M$152,"&gt;0")+SUMIFS(⑪ZEN工程入力!$J$6:$J$35,⑪ZEN工程入力!$S$6:$S$35,$J270,⑪ZEN工程入力!$J$6:$J$35,"&gt;0",⑪ZEN工程入力!$M$6:$M$35,"&gt;0")-SUMIFS(⑪ZEN工程入力!$J$6:$J$35,⑪ZEN工程入力!$S$6:$S$35,$J270,⑪ZEN工程入力!$J$6:$J$35,"&gt;0",⑪ZEN工程入力!$I$6:$I$35,"&gt;0",⑪ZEN工程入力!$M$6:$M$35,"&gt;0")+SUMIFS(⑫ミキサー工程入力!$J$6:$J$65,⑫ミキサー工程入力!$S$6:$S$65,$J270,⑫ミキサー工程入力!$J$6:$J$65,"&gt;0",⑫ミキサー工程入力!$M$6:$M$65,"&gt;0")-SUMIFS(⑫ミキサー工程入力!$J$6:$J$65,⑫ミキサー工程入力!$S$6:$S$65,$J270,⑫ミキサー工程入力!$J$6:$J$65,"&gt;0",⑫ミキサー工程入力!$I$6:$I$65,"&gt;0",⑫ミキサー工程入力!$M$6:$M$65,"&gt;0")+SUMIFS(⑬計量工程入力!$J$6:$J$65,⑬計量工程入力!$S$6:$S$65,$J270,⑬計量工程入力!$J$6:$J$65,"&gt;0",⑬計量工程入力!$M$6:$M$65,"&gt;0")-SUMIFS(⑬計量工程入力!$J$6:$J$65,⑬計量工程入力!$S$6:$S$65,$J270,⑬計量工程入力!$J$6:$J$65,"&gt;0",⑬計量工程入力!$I$6:$I$65,"&gt;0",⑬計量工程入力!$M$6:$M$65,"&gt;0")+SUMIFS(⑭手動工程入力!$J$6:$J$47,⑭手動工程入力!$S$6:$S$47,$J270,⑭手動工程入力!$J$6:$J$47,"&gt;0",⑭手動工程入力!$M$6:$M$47,"&gt;0")-SUMIFS(⑭手動工程入力!$J$6:$J$47,⑭手動工程入力!$S$6:$S$47,$J270,⑭手動工程入力!$J$6:$J$47,"&gt;0",⑭手動工程入力!$I$6:$I$47,"&gt;0",⑭手動工程入力!$M$6:$M$47,"&gt;0"))</f>
        <v/>
      </c>
      <c r="P270" s="392" t="n"/>
    </row>
    <row r="271">
      <c r="A271" s="392" t="n">
        <v>267</v>
      </c>
      <c r="B271" s="392" t="n"/>
      <c r="C271" s="392" t="n"/>
      <c r="D271" s="409" t="n"/>
      <c r="E271" s="392" t="n"/>
      <c r="F271" s="394" t="n"/>
      <c r="G271" s="392" t="n"/>
      <c r="H271" s="604">
        <f>IFERROR(IF(AND($K271&gt;0,ISNUMBER(IF(OR($D271="g",$D271="ｇ"),IF($M271&gt;0,$L271/$M271/1000,""),IF($D271="kg",IF($M271&gt;0,$L271/$M271,""),IF($D271="",IF($M271&gt;0,$L271/$M271/1000,IF($O271&gt;0,$N271/$O271,"")),IF($O271&gt;0,$N271/$O271,"")))))),IF(OR($D271="g",$D271="ｇ"),IF($M271&gt;0,$L271/$M271/1000,""),IF($D271="kg",IF($M271&gt;0,$L271/$M271,""),IF($D271="",IF($M271&gt;0,$L271/$M271/1000,IF($O271&gt;0,$N271/$O271,"")),IF($O271&gt;0,$N271/$O271,"")))),IF($F271="",IF(OR($E271="",$E271="⑩盛付梱包工程入力"),"",IF(OR($D271="g",$D271="ｇ"),INDEX(⑰工程労務費一覧!$N$5:$N$11,MATCH($E271,⑰工程労務費一覧!$K$5:$K$11,0))/1000,IF($D271="kg",INDEX(⑰工程労務費一覧!$N$5:$N$11,MATCH($E271,⑰工程労務費一覧!$K$5:$K$11,0)),IF(OR($D271="個",$D271="切",$D271="本",$D271="枚",$D271="尾"),IF($E271="⑬計量工程入力","",INDEX(⑰工程労務費一覧!$P$5:$P$11,MATCH($E271,⑰工程労務費一覧!$K$5:$K$11,0))),IF(AND($D271="",OR($E271="②釜工程入力",$E271="③スチコン工程入力")),INDEX(⑰工程労務費一覧!$N$5:$N$11,MATCH($E271,⑰工程労務費一覧!$K$5:$K$11,0))/1000,""))))),IF(OR($D271="g",$D271="ｇ"),INDEX(⑰工程労務費一覧!$H$5:$H$753,MATCH($F271,⑰工程労務費一覧!$D$5:$D$753,0))/1000,IF($D271="kg",INDEX(⑰工程労務費一覧!$H$5:$H$753,MATCH($F271,⑰工程労務費一覧!$D$5:$D$753,0)),INDEX(⑰工程労務費一覧!$I$5:$I$753,MATCH($F271,⑰工程労務費一覧!$D$5:$D$753,0)))))),"")</f>
        <v/>
      </c>
      <c r="I271" s="392">
        <f>IF($K271&gt;0,IF(ISNUMBER(IF(OR($D271="g",$D271="ｇ"),IF($M271&gt;0,$L271/$M271/1000,""),IF($D271="kg",IF($M271&gt;0,$L271/$M271,""),IF($D271="",IF($M271&gt;0,$L271/$M271/1000,IF($O271&gt;0,$N271/$O271,"")),IF($O271&gt;0,$N271/$O271,""))))),IF($D271="",IF($M271&gt;0,"◎ JAN紐づけ(g扱い)","◎ JAN紐づけ(個扱い)"),"◎ JAN紐づけ"),"△ JAN紐づけ済・実績不足→仮計算"),IF($F271="",IF(ISNUMBER($H271),IF($D271="","⑤ 工程平均で仮計算(g扱い)","⑤ 工程平均で仮計算"),IF($E271="⑩盛付梱包工程入力","⑥ 盛り込み(⑳F列で計上)",IF(AND($E271="⑬計量工程入力",OR($D271="個",$D271="切",$D271="本",$D271="枚",$D271="尾")),"① 未紐づけ(カット個単位は仮単価なし)","① 未紐づけ"))),IF(NOT(ISNUMBER($H271)),"② 工程側に単価なし",IF($D271="","③ 単位未設定(個で計算)","④ OK"))))</f>
        <v/>
      </c>
      <c r="J271" s="399">
        <f>IFERROR(LOOKUP(2,1/((中間品リスト!$F$2:$F$1299=$B271)*(中間品リスト!$E$2:$E$1299&lt;&gt;"-")*(中間品リスト!$E$2:$E$1299&lt;&gt;"")),中間品リスト!$E$2:$E$1299),"")</f>
        <v/>
      </c>
      <c r="K271" s="400">
        <f>IF($J271="",0,COUNTIF(②釜工程入力!$S$5:$S$117,$J271)+COUNTIF(③スチコン工程入力!$S$5:$S$152,$J271)+COUNTIF(⑪ZEN工程入力!$S$6:$S$35,$J271)+COUNTIF(⑫ミキサー工程入力!$S$6:$S$65,$J271)+COUNTIF(⑬計量工程入力!$S$6:$S$65,$J271)+COUNTIF(⑭手動工程入力!$S$6:$S$47,$J271))</f>
        <v/>
      </c>
      <c r="L271" s="393">
        <f>IF($J271="",0,SUMIFS(②釜工程入力!$M$5:$M$117,②釜工程入力!$S$5:$S$117,$J271,②釜工程入力!$I$5:$I$117,"&gt;0")+SUMIFS(③スチコン工程入力!$M$5:$M$152,③スチコン工程入力!$S$5:$S$152,$J271,③スチコン工程入力!$I$5:$I$152,"&gt;0")+SUMIFS(⑪ZEN工程入力!$M$6:$M$35,⑪ZEN工程入力!$S$6:$S$35,$J271,⑪ZEN工程入力!$I$6:$I$35,"&gt;0")+SUMIFS(⑫ミキサー工程入力!$M$6:$M$65,⑫ミキサー工程入力!$S$6:$S$65,$J271,⑫ミキサー工程入力!$I$6:$I$65,"&gt;0")+SUMIFS(⑬計量工程入力!$M$6:$M$65,⑬計量工程入力!$S$6:$S$65,$J271,⑬計量工程入力!$I$6:$I$65,"&gt;0")+SUMIFS(⑭手動工程入力!$M$6:$M$47,⑭手動工程入力!$S$6:$S$47,$J271,⑭手動工程入力!$I$6:$I$47,"&gt;0"))</f>
        <v/>
      </c>
      <c r="M271" s="393">
        <f>IF($J271="",0,SUMIFS(②釜工程入力!$I$5:$I$117,②釜工程入力!$S$5:$S$117,$J271,②釜工程入力!$I$5:$I$117,"&gt;0",②釜工程入力!$M$5:$M$117,"&gt;0")+SUMIFS(③スチコン工程入力!$I$5:$I$152,③スチコン工程入力!$S$5:$S$152,$J271,③スチコン工程入力!$I$5:$I$152,"&gt;0",③スチコン工程入力!$M$5:$M$152,"&gt;0")+SUMIFS(⑪ZEN工程入力!$I$6:$I$35,⑪ZEN工程入力!$S$6:$S$35,$J271,⑪ZEN工程入力!$I$6:$I$35,"&gt;0",⑪ZEN工程入力!$M$6:$M$35,"&gt;0")+SUMIFS(⑫ミキサー工程入力!$I$6:$I$65,⑫ミキサー工程入力!$S$6:$S$65,$J271,⑫ミキサー工程入力!$I$6:$I$65,"&gt;0",⑫ミキサー工程入力!$M$6:$M$65,"&gt;0")+SUMIFS(⑬計量工程入力!$I$6:$I$65,⑬計量工程入力!$S$6:$S$65,$J271,⑬計量工程入力!$I$6:$I$65,"&gt;0",⑬計量工程入力!$M$6:$M$65,"&gt;0")+SUMIFS(⑭手動工程入力!$I$6:$I$47,⑭手動工程入力!$S$6:$S$47,$J271,⑭手動工程入力!$I$6:$I$47,"&gt;0",⑭手動工程入力!$M$6:$M$47,"&gt;0"))</f>
        <v/>
      </c>
      <c r="N271" s="393">
        <f>IF($J271="",0,SUMIFS(②釜工程入力!$M$5:$M$117,②釜工程入力!$S$5:$S$117,$J271,②釜工程入力!$J$5:$J$117,"&gt;0")-SUMIFS(②釜工程入力!$M$5:$M$117,②釜工程入力!$S$5:$S$117,$J271,②釜工程入力!$J$5:$J$117,"&gt;0",②釜工程入力!$I$5:$I$117,"&gt;0")+SUMIFS(③スチコン工程入力!$M$5:$M$152,③スチコン工程入力!$S$5:$S$152,$J271,③スチコン工程入力!$J$5:$J$152,"&gt;0")-SUMIFS(③スチコン工程入力!$M$5:$M$152,③スチコン工程入力!$S$5:$S$152,$J271,③スチコン工程入力!$J$5:$J$152,"&gt;0",③スチコン工程入力!$I$5:$I$152,"&gt;0")+SUMIFS(⑪ZEN工程入力!$M$6:$M$35,⑪ZEN工程入力!$S$6:$S$35,$J271,⑪ZEN工程入力!$J$6:$J$35,"&gt;0")-SUMIFS(⑪ZEN工程入力!$M$6:$M$35,⑪ZEN工程入力!$S$6:$S$35,$J271,⑪ZEN工程入力!$J$6:$J$35,"&gt;0",⑪ZEN工程入力!$I$6:$I$35,"&gt;0")+SUMIFS(⑫ミキサー工程入力!$M$6:$M$65,⑫ミキサー工程入力!$S$6:$S$65,$J271,⑫ミキサー工程入力!$J$6:$J$65,"&gt;0")-SUMIFS(⑫ミキサー工程入力!$M$6:$M$65,⑫ミキサー工程入力!$S$6:$S$65,$J271,⑫ミキサー工程入力!$J$6:$J$65,"&gt;0",⑫ミキサー工程入力!$I$6:$I$65,"&gt;0")+SUMIFS(⑬計量工程入力!$M$6:$M$65,⑬計量工程入力!$S$6:$S$65,$J271,⑬計量工程入力!$J$6:$J$65,"&gt;0")-SUMIFS(⑬計量工程入力!$M$6:$M$65,⑬計量工程入力!$S$6:$S$65,$J271,⑬計量工程入力!$J$6:$J$65,"&gt;0",⑬計量工程入力!$I$6:$I$65,"&gt;0")+SUMIFS(⑭手動工程入力!$M$6:$M$47,⑭手動工程入力!$S$6:$S$47,$J271,⑭手動工程入力!$J$6:$J$47,"&gt;0")-SUMIFS(⑭手動工程入力!$M$6:$M$47,⑭手動工程入力!$S$6:$S$47,$J271,⑭手動工程入力!$J$6:$J$47,"&gt;0",⑭手動工程入力!$I$6:$I$47,"&gt;0"))</f>
        <v/>
      </c>
      <c r="O271" s="393">
        <f>IF($J271="",0,SUMIFS(②釜工程入力!$J$5:$J$117,②釜工程入力!$S$5:$S$117,$J271,②釜工程入力!$J$5:$J$117,"&gt;0",②釜工程入力!$M$5:$M$117,"&gt;0")-SUMIFS(②釜工程入力!$J$5:$J$117,②釜工程入力!$S$5:$S$117,$J271,②釜工程入力!$J$5:$J$117,"&gt;0",②釜工程入力!$I$5:$I$117,"&gt;0",②釜工程入力!$M$5:$M$117,"&gt;0")+SUMIFS(③スチコン工程入力!$J$5:$J$152,③スチコン工程入力!$S$5:$S$152,$J271,③スチコン工程入力!$J$5:$J$152,"&gt;0",③スチコン工程入力!$M$5:$M$152,"&gt;0")-SUMIFS(③スチコン工程入力!$J$5:$J$152,③スチコン工程入力!$S$5:$S$152,$J271,③スチコン工程入力!$J$5:$J$152,"&gt;0",③スチコン工程入力!$I$5:$I$152,"&gt;0",③スチコン工程入力!$M$5:$M$152,"&gt;0")+SUMIFS(⑪ZEN工程入力!$J$6:$J$35,⑪ZEN工程入力!$S$6:$S$35,$J271,⑪ZEN工程入力!$J$6:$J$35,"&gt;0",⑪ZEN工程入力!$M$6:$M$35,"&gt;0")-SUMIFS(⑪ZEN工程入力!$J$6:$J$35,⑪ZEN工程入力!$S$6:$S$35,$J271,⑪ZEN工程入力!$J$6:$J$35,"&gt;0",⑪ZEN工程入力!$I$6:$I$35,"&gt;0",⑪ZEN工程入力!$M$6:$M$35,"&gt;0")+SUMIFS(⑫ミキサー工程入力!$J$6:$J$65,⑫ミキサー工程入力!$S$6:$S$65,$J271,⑫ミキサー工程入力!$J$6:$J$65,"&gt;0",⑫ミキサー工程入力!$M$6:$M$65,"&gt;0")-SUMIFS(⑫ミキサー工程入力!$J$6:$J$65,⑫ミキサー工程入力!$S$6:$S$65,$J271,⑫ミキサー工程入力!$J$6:$J$65,"&gt;0",⑫ミキサー工程入力!$I$6:$I$65,"&gt;0",⑫ミキサー工程入力!$M$6:$M$65,"&gt;0")+SUMIFS(⑬計量工程入力!$J$6:$J$65,⑬計量工程入力!$S$6:$S$65,$J271,⑬計量工程入力!$J$6:$J$65,"&gt;0",⑬計量工程入力!$M$6:$M$65,"&gt;0")-SUMIFS(⑬計量工程入力!$J$6:$J$65,⑬計量工程入力!$S$6:$S$65,$J271,⑬計量工程入力!$J$6:$J$65,"&gt;0",⑬計量工程入力!$I$6:$I$65,"&gt;0",⑬計量工程入力!$M$6:$M$65,"&gt;0")+SUMIFS(⑭手動工程入力!$J$6:$J$47,⑭手動工程入力!$S$6:$S$47,$J271,⑭手動工程入力!$J$6:$J$47,"&gt;0",⑭手動工程入力!$M$6:$M$47,"&gt;0")-SUMIFS(⑭手動工程入力!$J$6:$J$47,⑭手動工程入力!$S$6:$S$47,$J271,⑭手動工程入力!$J$6:$J$47,"&gt;0",⑭手動工程入力!$I$6:$I$47,"&gt;0",⑭手動工程入力!$M$6:$M$47,"&gt;0"))</f>
        <v/>
      </c>
      <c r="P271" s="392" t="inlineStr">
        <is>
          <t>中間品リスト</t>
        </is>
      </c>
    </row>
    <row r="272">
      <c r="A272" s="392" t="n">
        <v>268</v>
      </c>
      <c r="B272" s="392" t="n"/>
      <c r="C272" s="392" t="n"/>
      <c r="D272" s="409" t="n"/>
      <c r="E272" s="392" t="n"/>
      <c r="F272" s="394" t="n"/>
      <c r="G272" s="392" t="n"/>
      <c r="H272" s="604">
        <f>IFERROR(IF(AND($K272&gt;0,ISNUMBER(IF(OR($D272="g",$D272="ｇ"),IF($M272&gt;0,$L272/$M272/1000,""),IF($D272="kg",IF($M272&gt;0,$L272/$M272,""),IF($D272="",IF($M272&gt;0,$L272/$M272/1000,IF($O272&gt;0,$N272/$O272,"")),IF($O272&gt;0,$N272/$O272,"")))))),IF(OR($D272="g",$D272="ｇ"),IF($M272&gt;0,$L272/$M272/1000,""),IF($D272="kg",IF($M272&gt;0,$L272/$M272,""),IF($D272="",IF($M272&gt;0,$L272/$M272/1000,IF($O272&gt;0,$N272/$O272,"")),IF($O272&gt;0,$N272/$O272,"")))),IF($F272="",IF(OR($E272="",$E272="⑩盛付梱包工程入力"),"",IF(OR($D272="g",$D272="ｇ"),INDEX(⑰工程労務費一覧!$N$5:$N$11,MATCH($E272,⑰工程労務費一覧!$K$5:$K$11,0))/1000,IF($D272="kg",INDEX(⑰工程労務費一覧!$N$5:$N$11,MATCH($E272,⑰工程労務費一覧!$K$5:$K$11,0)),IF(OR($D272="個",$D272="切",$D272="本",$D272="枚",$D272="尾"),IF($E272="⑬計量工程入力","",INDEX(⑰工程労務費一覧!$P$5:$P$11,MATCH($E272,⑰工程労務費一覧!$K$5:$K$11,0))),IF(AND($D272="",OR($E272="②釜工程入力",$E272="③スチコン工程入力")),INDEX(⑰工程労務費一覧!$N$5:$N$11,MATCH($E272,⑰工程労務費一覧!$K$5:$K$11,0))/1000,""))))),IF(OR($D272="g",$D272="ｇ"),INDEX(⑰工程労務費一覧!$H$5:$H$753,MATCH($F272,⑰工程労務費一覧!$D$5:$D$753,0))/1000,IF($D272="kg",INDEX(⑰工程労務費一覧!$H$5:$H$753,MATCH($F272,⑰工程労務費一覧!$D$5:$D$753,0)),INDEX(⑰工程労務費一覧!$I$5:$I$753,MATCH($F272,⑰工程労務費一覧!$D$5:$D$753,0)))))),"")</f>
        <v/>
      </c>
      <c r="I272" s="392">
        <f>IF($K272&gt;0,IF(ISNUMBER(IF(OR($D272="g",$D272="ｇ"),IF($M272&gt;0,$L272/$M272/1000,""),IF($D272="kg",IF($M272&gt;0,$L272/$M272,""),IF($D272="",IF($M272&gt;0,$L272/$M272/1000,IF($O272&gt;0,$N272/$O272,"")),IF($O272&gt;0,$N272/$O272,""))))),IF($D272="",IF($M272&gt;0,"◎ JAN紐づけ(g扱い)","◎ JAN紐づけ(個扱い)"),"◎ JAN紐づけ"),"△ JAN紐づけ済・実績不足→仮計算"),IF($F272="",IF(ISNUMBER($H272),IF($D272="","⑤ 工程平均で仮計算(g扱い)","⑤ 工程平均で仮計算"),IF($E272="⑩盛付梱包工程入力","⑥ 盛り込み(⑳F列で計上)",IF(AND($E272="⑬計量工程入力",OR($D272="個",$D272="切",$D272="本",$D272="枚",$D272="尾")),"① 未紐づけ(カット個単位は仮単価なし)","① 未紐づけ"))),IF(NOT(ISNUMBER($H272)),"② 工程側に単価なし",IF($D272="","③ 単位未設定(個で計算)","④ OK"))))</f>
        <v/>
      </c>
      <c r="J272" s="399">
        <f>IFERROR(LOOKUP(2,1/((中間品リスト!$F$2:$F$1299=$B272)*(中間品リスト!$E$2:$E$1299&lt;&gt;"-")*(中間品リスト!$E$2:$E$1299&lt;&gt;"")),中間品リスト!$E$2:$E$1299),"")</f>
        <v/>
      </c>
      <c r="K272" s="400">
        <f>IF($J272="",0,COUNTIF(②釜工程入力!$S$5:$S$117,$J272)+COUNTIF(③スチコン工程入力!$S$5:$S$152,$J272)+COUNTIF(⑪ZEN工程入力!$S$6:$S$35,$J272)+COUNTIF(⑫ミキサー工程入力!$S$6:$S$65,$J272)+COUNTIF(⑬計量工程入力!$S$6:$S$65,$J272)+COUNTIF(⑭手動工程入力!$S$6:$S$47,$J272))</f>
        <v/>
      </c>
      <c r="L272" s="393">
        <f>IF($J272="",0,SUMIFS(②釜工程入力!$M$5:$M$117,②釜工程入力!$S$5:$S$117,$J272,②釜工程入力!$I$5:$I$117,"&gt;0")+SUMIFS(③スチコン工程入力!$M$5:$M$152,③スチコン工程入力!$S$5:$S$152,$J272,③スチコン工程入力!$I$5:$I$152,"&gt;0")+SUMIFS(⑪ZEN工程入力!$M$6:$M$35,⑪ZEN工程入力!$S$6:$S$35,$J272,⑪ZEN工程入力!$I$6:$I$35,"&gt;0")+SUMIFS(⑫ミキサー工程入力!$M$6:$M$65,⑫ミキサー工程入力!$S$6:$S$65,$J272,⑫ミキサー工程入力!$I$6:$I$65,"&gt;0")+SUMIFS(⑬計量工程入力!$M$6:$M$65,⑬計量工程入力!$S$6:$S$65,$J272,⑬計量工程入力!$I$6:$I$65,"&gt;0")+SUMIFS(⑭手動工程入力!$M$6:$M$47,⑭手動工程入力!$S$6:$S$47,$J272,⑭手動工程入力!$I$6:$I$47,"&gt;0"))</f>
        <v/>
      </c>
      <c r="M272" s="393">
        <f>IF($J272="",0,SUMIFS(②釜工程入力!$I$5:$I$117,②釜工程入力!$S$5:$S$117,$J272,②釜工程入力!$I$5:$I$117,"&gt;0",②釜工程入力!$M$5:$M$117,"&gt;0")+SUMIFS(③スチコン工程入力!$I$5:$I$152,③スチコン工程入力!$S$5:$S$152,$J272,③スチコン工程入力!$I$5:$I$152,"&gt;0",③スチコン工程入力!$M$5:$M$152,"&gt;0")+SUMIFS(⑪ZEN工程入力!$I$6:$I$35,⑪ZEN工程入力!$S$6:$S$35,$J272,⑪ZEN工程入力!$I$6:$I$35,"&gt;0",⑪ZEN工程入力!$M$6:$M$35,"&gt;0")+SUMIFS(⑫ミキサー工程入力!$I$6:$I$65,⑫ミキサー工程入力!$S$6:$S$65,$J272,⑫ミキサー工程入力!$I$6:$I$65,"&gt;0",⑫ミキサー工程入力!$M$6:$M$65,"&gt;0")+SUMIFS(⑬計量工程入力!$I$6:$I$65,⑬計量工程入力!$S$6:$S$65,$J272,⑬計量工程入力!$I$6:$I$65,"&gt;0",⑬計量工程入力!$M$6:$M$65,"&gt;0")+SUMIFS(⑭手動工程入力!$I$6:$I$47,⑭手動工程入力!$S$6:$S$47,$J272,⑭手動工程入力!$I$6:$I$47,"&gt;0",⑭手動工程入力!$M$6:$M$47,"&gt;0"))</f>
        <v/>
      </c>
      <c r="N272" s="393">
        <f>IF($J272="",0,SUMIFS(②釜工程入力!$M$5:$M$117,②釜工程入力!$S$5:$S$117,$J272,②釜工程入力!$J$5:$J$117,"&gt;0")-SUMIFS(②釜工程入力!$M$5:$M$117,②釜工程入力!$S$5:$S$117,$J272,②釜工程入力!$J$5:$J$117,"&gt;0",②釜工程入力!$I$5:$I$117,"&gt;0")+SUMIFS(③スチコン工程入力!$M$5:$M$152,③スチコン工程入力!$S$5:$S$152,$J272,③スチコン工程入力!$J$5:$J$152,"&gt;0")-SUMIFS(③スチコン工程入力!$M$5:$M$152,③スチコン工程入力!$S$5:$S$152,$J272,③スチコン工程入力!$J$5:$J$152,"&gt;0",③スチコン工程入力!$I$5:$I$152,"&gt;0")+SUMIFS(⑪ZEN工程入力!$M$6:$M$35,⑪ZEN工程入力!$S$6:$S$35,$J272,⑪ZEN工程入力!$J$6:$J$35,"&gt;0")-SUMIFS(⑪ZEN工程入力!$M$6:$M$35,⑪ZEN工程入力!$S$6:$S$35,$J272,⑪ZEN工程入力!$J$6:$J$35,"&gt;0",⑪ZEN工程入力!$I$6:$I$35,"&gt;0")+SUMIFS(⑫ミキサー工程入力!$M$6:$M$65,⑫ミキサー工程入力!$S$6:$S$65,$J272,⑫ミキサー工程入力!$J$6:$J$65,"&gt;0")-SUMIFS(⑫ミキサー工程入力!$M$6:$M$65,⑫ミキサー工程入力!$S$6:$S$65,$J272,⑫ミキサー工程入力!$J$6:$J$65,"&gt;0",⑫ミキサー工程入力!$I$6:$I$65,"&gt;0")+SUMIFS(⑬計量工程入力!$M$6:$M$65,⑬計量工程入力!$S$6:$S$65,$J272,⑬計量工程入力!$J$6:$J$65,"&gt;0")-SUMIFS(⑬計量工程入力!$M$6:$M$65,⑬計量工程入力!$S$6:$S$65,$J272,⑬計量工程入力!$J$6:$J$65,"&gt;0",⑬計量工程入力!$I$6:$I$65,"&gt;0")+SUMIFS(⑭手動工程入力!$M$6:$M$47,⑭手動工程入力!$S$6:$S$47,$J272,⑭手動工程入力!$J$6:$J$47,"&gt;0")-SUMIFS(⑭手動工程入力!$M$6:$M$47,⑭手動工程入力!$S$6:$S$47,$J272,⑭手動工程入力!$J$6:$J$47,"&gt;0",⑭手動工程入力!$I$6:$I$47,"&gt;0"))</f>
        <v/>
      </c>
      <c r="O272" s="393">
        <f>IF($J272="",0,SUMIFS(②釜工程入力!$J$5:$J$117,②釜工程入力!$S$5:$S$117,$J272,②釜工程入力!$J$5:$J$117,"&gt;0",②釜工程入力!$M$5:$M$117,"&gt;0")-SUMIFS(②釜工程入力!$J$5:$J$117,②釜工程入力!$S$5:$S$117,$J272,②釜工程入力!$J$5:$J$117,"&gt;0",②釜工程入力!$I$5:$I$117,"&gt;0",②釜工程入力!$M$5:$M$117,"&gt;0")+SUMIFS(③スチコン工程入力!$J$5:$J$152,③スチコン工程入力!$S$5:$S$152,$J272,③スチコン工程入力!$J$5:$J$152,"&gt;0",③スチコン工程入力!$M$5:$M$152,"&gt;0")-SUMIFS(③スチコン工程入力!$J$5:$J$152,③スチコン工程入力!$S$5:$S$152,$J272,③スチコン工程入力!$J$5:$J$152,"&gt;0",③スチコン工程入力!$I$5:$I$152,"&gt;0",③スチコン工程入力!$M$5:$M$152,"&gt;0")+SUMIFS(⑪ZEN工程入力!$J$6:$J$35,⑪ZEN工程入力!$S$6:$S$35,$J272,⑪ZEN工程入力!$J$6:$J$35,"&gt;0",⑪ZEN工程入力!$M$6:$M$35,"&gt;0")-SUMIFS(⑪ZEN工程入力!$J$6:$J$35,⑪ZEN工程入力!$S$6:$S$35,$J272,⑪ZEN工程入力!$J$6:$J$35,"&gt;0",⑪ZEN工程入力!$I$6:$I$35,"&gt;0",⑪ZEN工程入力!$M$6:$M$35,"&gt;0")+SUMIFS(⑫ミキサー工程入力!$J$6:$J$65,⑫ミキサー工程入力!$S$6:$S$65,$J272,⑫ミキサー工程入力!$J$6:$J$65,"&gt;0",⑫ミキサー工程入力!$M$6:$M$65,"&gt;0")-SUMIFS(⑫ミキサー工程入力!$J$6:$J$65,⑫ミキサー工程入力!$S$6:$S$65,$J272,⑫ミキサー工程入力!$J$6:$J$65,"&gt;0",⑫ミキサー工程入力!$I$6:$I$65,"&gt;0",⑫ミキサー工程入力!$M$6:$M$65,"&gt;0")+SUMIFS(⑬計量工程入力!$J$6:$J$65,⑬計量工程入力!$S$6:$S$65,$J272,⑬計量工程入力!$J$6:$J$65,"&gt;0",⑬計量工程入力!$M$6:$M$65,"&gt;0")-SUMIFS(⑬計量工程入力!$J$6:$J$65,⑬計量工程入力!$S$6:$S$65,$J272,⑬計量工程入力!$J$6:$J$65,"&gt;0",⑬計量工程入力!$I$6:$I$65,"&gt;0",⑬計量工程入力!$M$6:$M$65,"&gt;0")+SUMIFS(⑭手動工程入力!$J$6:$J$47,⑭手動工程入力!$S$6:$S$47,$J272,⑭手動工程入力!$J$6:$J$47,"&gt;0",⑭手動工程入力!$M$6:$M$47,"&gt;0")-SUMIFS(⑭手動工程入力!$J$6:$J$47,⑭手動工程入力!$S$6:$S$47,$J272,⑭手動工程入力!$J$6:$J$47,"&gt;0",⑭手動工程入力!$I$6:$I$47,"&gt;0",⑭手動工程入力!$M$6:$M$47,"&gt;0"))</f>
        <v/>
      </c>
      <c r="P272" s="392" t="inlineStr">
        <is>
          <t>中間品リスト</t>
        </is>
      </c>
    </row>
    <row r="273">
      <c r="A273" s="392" t="n">
        <v>269</v>
      </c>
      <c r="B273" s="392" t="n"/>
      <c r="C273" s="392" t="n"/>
      <c r="D273" s="409" t="n"/>
      <c r="E273" s="392" t="n"/>
      <c r="F273" s="394" t="n"/>
      <c r="G273" s="392" t="n"/>
      <c r="H273" s="604">
        <f>IFERROR(IF(AND($K273&gt;0,ISNUMBER(IF(OR($D273="g",$D273="ｇ"),IF($M273&gt;0,$L273/$M273/1000,""),IF($D273="kg",IF($M273&gt;0,$L273/$M273,""),IF($D273="",IF($M273&gt;0,$L273/$M273/1000,IF($O273&gt;0,$N273/$O273,"")),IF($O273&gt;0,$N273/$O273,"")))))),IF(OR($D273="g",$D273="ｇ"),IF($M273&gt;0,$L273/$M273/1000,""),IF($D273="kg",IF($M273&gt;0,$L273/$M273,""),IF($D273="",IF($M273&gt;0,$L273/$M273/1000,IF($O273&gt;0,$N273/$O273,"")),IF($O273&gt;0,$N273/$O273,"")))),IF($F273="",IF(OR($E273="",$E273="⑩盛付梱包工程入力"),"",IF(OR($D273="g",$D273="ｇ"),INDEX(⑰工程労務費一覧!$N$5:$N$11,MATCH($E273,⑰工程労務費一覧!$K$5:$K$11,0))/1000,IF($D273="kg",INDEX(⑰工程労務費一覧!$N$5:$N$11,MATCH($E273,⑰工程労務費一覧!$K$5:$K$11,0)),IF(OR($D273="個",$D273="切",$D273="本",$D273="枚",$D273="尾"),IF($E273="⑬計量工程入力","",INDEX(⑰工程労務費一覧!$P$5:$P$11,MATCH($E273,⑰工程労務費一覧!$K$5:$K$11,0))),IF(AND($D273="",OR($E273="②釜工程入力",$E273="③スチコン工程入力")),INDEX(⑰工程労務費一覧!$N$5:$N$11,MATCH($E273,⑰工程労務費一覧!$K$5:$K$11,0))/1000,""))))),IF(OR($D273="g",$D273="ｇ"),INDEX(⑰工程労務費一覧!$H$5:$H$753,MATCH($F273,⑰工程労務費一覧!$D$5:$D$753,0))/1000,IF($D273="kg",INDEX(⑰工程労務費一覧!$H$5:$H$753,MATCH($F273,⑰工程労務費一覧!$D$5:$D$753,0)),INDEX(⑰工程労務費一覧!$I$5:$I$753,MATCH($F273,⑰工程労務費一覧!$D$5:$D$753,0)))))),"")</f>
        <v/>
      </c>
      <c r="I273" s="392">
        <f>IF($K273&gt;0,IF(ISNUMBER(IF(OR($D273="g",$D273="ｇ"),IF($M273&gt;0,$L273/$M273/1000,""),IF($D273="kg",IF($M273&gt;0,$L273/$M273,""),IF($D273="",IF($M273&gt;0,$L273/$M273/1000,IF($O273&gt;0,$N273/$O273,"")),IF($O273&gt;0,$N273/$O273,""))))),IF($D273="",IF($M273&gt;0,"◎ JAN紐づけ(g扱い)","◎ JAN紐づけ(個扱い)"),"◎ JAN紐づけ"),"△ JAN紐づけ済・実績不足→仮計算"),IF($F273="",IF(ISNUMBER($H273),IF($D273="","⑤ 工程平均で仮計算(g扱い)","⑤ 工程平均で仮計算"),IF($E273="⑩盛付梱包工程入力","⑥ 盛り込み(⑳F列で計上)",IF(AND($E273="⑬計量工程入力",OR($D273="個",$D273="切",$D273="本",$D273="枚",$D273="尾")),"① 未紐づけ(カット個単位は仮単価なし)","① 未紐づけ"))),IF(NOT(ISNUMBER($H273)),"② 工程側に単価なし",IF($D273="","③ 単位未設定(個で計算)","④ OK"))))</f>
        <v/>
      </c>
      <c r="J273" s="399">
        <f>IFERROR(LOOKUP(2,1/((中間品リスト!$F$2:$F$1299=$B273)*(中間品リスト!$E$2:$E$1299&lt;&gt;"-")*(中間品リスト!$E$2:$E$1299&lt;&gt;"")),中間品リスト!$E$2:$E$1299),"")</f>
        <v/>
      </c>
      <c r="K273" s="400">
        <f>IF($J273="",0,COUNTIF(②釜工程入力!$S$5:$S$117,$J273)+COUNTIF(③スチコン工程入力!$S$5:$S$152,$J273)+COUNTIF(⑪ZEN工程入力!$S$6:$S$35,$J273)+COUNTIF(⑫ミキサー工程入力!$S$6:$S$65,$J273)+COUNTIF(⑬計量工程入力!$S$6:$S$65,$J273)+COUNTIF(⑭手動工程入力!$S$6:$S$47,$J273))</f>
        <v/>
      </c>
      <c r="L273" s="393">
        <f>IF($J273="",0,SUMIFS(②釜工程入力!$M$5:$M$117,②釜工程入力!$S$5:$S$117,$J273,②釜工程入力!$I$5:$I$117,"&gt;0")+SUMIFS(③スチコン工程入力!$M$5:$M$152,③スチコン工程入力!$S$5:$S$152,$J273,③スチコン工程入力!$I$5:$I$152,"&gt;0")+SUMIFS(⑪ZEN工程入力!$M$6:$M$35,⑪ZEN工程入力!$S$6:$S$35,$J273,⑪ZEN工程入力!$I$6:$I$35,"&gt;0")+SUMIFS(⑫ミキサー工程入力!$M$6:$M$65,⑫ミキサー工程入力!$S$6:$S$65,$J273,⑫ミキサー工程入力!$I$6:$I$65,"&gt;0")+SUMIFS(⑬計量工程入力!$M$6:$M$65,⑬計量工程入力!$S$6:$S$65,$J273,⑬計量工程入力!$I$6:$I$65,"&gt;0")+SUMIFS(⑭手動工程入力!$M$6:$M$47,⑭手動工程入力!$S$6:$S$47,$J273,⑭手動工程入力!$I$6:$I$47,"&gt;0"))</f>
        <v/>
      </c>
      <c r="M273" s="393">
        <f>IF($J273="",0,SUMIFS(②釜工程入力!$I$5:$I$117,②釜工程入力!$S$5:$S$117,$J273,②釜工程入力!$I$5:$I$117,"&gt;0",②釜工程入力!$M$5:$M$117,"&gt;0")+SUMIFS(③スチコン工程入力!$I$5:$I$152,③スチコン工程入力!$S$5:$S$152,$J273,③スチコン工程入力!$I$5:$I$152,"&gt;0",③スチコン工程入力!$M$5:$M$152,"&gt;0")+SUMIFS(⑪ZEN工程入力!$I$6:$I$35,⑪ZEN工程入力!$S$6:$S$35,$J273,⑪ZEN工程入力!$I$6:$I$35,"&gt;0",⑪ZEN工程入力!$M$6:$M$35,"&gt;0")+SUMIFS(⑫ミキサー工程入力!$I$6:$I$65,⑫ミキサー工程入力!$S$6:$S$65,$J273,⑫ミキサー工程入力!$I$6:$I$65,"&gt;0",⑫ミキサー工程入力!$M$6:$M$65,"&gt;0")+SUMIFS(⑬計量工程入力!$I$6:$I$65,⑬計量工程入力!$S$6:$S$65,$J273,⑬計量工程入力!$I$6:$I$65,"&gt;0",⑬計量工程入力!$M$6:$M$65,"&gt;0")+SUMIFS(⑭手動工程入力!$I$6:$I$47,⑭手動工程入力!$S$6:$S$47,$J273,⑭手動工程入力!$I$6:$I$47,"&gt;0",⑭手動工程入力!$M$6:$M$47,"&gt;0"))</f>
        <v/>
      </c>
      <c r="N273" s="393">
        <f>IF($J273="",0,SUMIFS(②釜工程入力!$M$5:$M$117,②釜工程入力!$S$5:$S$117,$J273,②釜工程入力!$J$5:$J$117,"&gt;0")-SUMIFS(②釜工程入力!$M$5:$M$117,②釜工程入力!$S$5:$S$117,$J273,②釜工程入力!$J$5:$J$117,"&gt;0",②釜工程入力!$I$5:$I$117,"&gt;0")+SUMIFS(③スチコン工程入力!$M$5:$M$152,③スチコン工程入力!$S$5:$S$152,$J273,③スチコン工程入力!$J$5:$J$152,"&gt;0")-SUMIFS(③スチコン工程入力!$M$5:$M$152,③スチコン工程入力!$S$5:$S$152,$J273,③スチコン工程入力!$J$5:$J$152,"&gt;0",③スチコン工程入力!$I$5:$I$152,"&gt;0")+SUMIFS(⑪ZEN工程入力!$M$6:$M$35,⑪ZEN工程入力!$S$6:$S$35,$J273,⑪ZEN工程入力!$J$6:$J$35,"&gt;0")-SUMIFS(⑪ZEN工程入力!$M$6:$M$35,⑪ZEN工程入力!$S$6:$S$35,$J273,⑪ZEN工程入力!$J$6:$J$35,"&gt;0",⑪ZEN工程入力!$I$6:$I$35,"&gt;0")+SUMIFS(⑫ミキサー工程入力!$M$6:$M$65,⑫ミキサー工程入力!$S$6:$S$65,$J273,⑫ミキサー工程入力!$J$6:$J$65,"&gt;0")-SUMIFS(⑫ミキサー工程入力!$M$6:$M$65,⑫ミキサー工程入力!$S$6:$S$65,$J273,⑫ミキサー工程入力!$J$6:$J$65,"&gt;0",⑫ミキサー工程入力!$I$6:$I$65,"&gt;0")+SUMIFS(⑬計量工程入力!$M$6:$M$65,⑬計量工程入力!$S$6:$S$65,$J273,⑬計量工程入力!$J$6:$J$65,"&gt;0")-SUMIFS(⑬計量工程入力!$M$6:$M$65,⑬計量工程入力!$S$6:$S$65,$J273,⑬計量工程入力!$J$6:$J$65,"&gt;0",⑬計量工程入力!$I$6:$I$65,"&gt;0")+SUMIFS(⑭手動工程入力!$M$6:$M$47,⑭手動工程入力!$S$6:$S$47,$J273,⑭手動工程入力!$J$6:$J$47,"&gt;0")-SUMIFS(⑭手動工程入力!$M$6:$M$47,⑭手動工程入力!$S$6:$S$47,$J273,⑭手動工程入力!$J$6:$J$47,"&gt;0",⑭手動工程入力!$I$6:$I$47,"&gt;0"))</f>
        <v/>
      </c>
      <c r="O273" s="393">
        <f>IF($J273="",0,SUMIFS(②釜工程入力!$J$5:$J$117,②釜工程入力!$S$5:$S$117,$J273,②釜工程入力!$J$5:$J$117,"&gt;0",②釜工程入力!$M$5:$M$117,"&gt;0")-SUMIFS(②釜工程入力!$J$5:$J$117,②釜工程入力!$S$5:$S$117,$J273,②釜工程入力!$J$5:$J$117,"&gt;0",②釜工程入力!$I$5:$I$117,"&gt;0",②釜工程入力!$M$5:$M$117,"&gt;0")+SUMIFS(③スチコン工程入力!$J$5:$J$152,③スチコン工程入力!$S$5:$S$152,$J273,③スチコン工程入力!$J$5:$J$152,"&gt;0",③スチコン工程入力!$M$5:$M$152,"&gt;0")-SUMIFS(③スチコン工程入力!$J$5:$J$152,③スチコン工程入力!$S$5:$S$152,$J273,③スチコン工程入力!$J$5:$J$152,"&gt;0",③スチコン工程入力!$I$5:$I$152,"&gt;0",③スチコン工程入力!$M$5:$M$152,"&gt;0")+SUMIFS(⑪ZEN工程入力!$J$6:$J$35,⑪ZEN工程入力!$S$6:$S$35,$J273,⑪ZEN工程入力!$J$6:$J$35,"&gt;0",⑪ZEN工程入力!$M$6:$M$35,"&gt;0")-SUMIFS(⑪ZEN工程入力!$J$6:$J$35,⑪ZEN工程入力!$S$6:$S$35,$J273,⑪ZEN工程入力!$J$6:$J$35,"&gt;0",⑪ZEN工程入力!$I$6:$I$35,"&gt;0",⑪ZEN工程入力!$M$6:$M$35,"&gt;0")+SUMIFS(⑫ミキサー工程入力!$J$6:$J$65,⑫ミキサー工程入力!$S$6:$S$65,$J273,⑫ミキサー工程入力!$J$6:$J$65,"&gt;0",⑫ミキサー工程入力!$M$6:$M$65,"&gt;0")-SUMIFS(⑫ミキサー工程入力!$J$6:$J$65,⑫ミキサー工程入力!$S$6:$S$65,$J273,⑫ミキサー工程入力!$J$6:$J$65,"&gt;0",⑫ミキサー工程入力!$I$6:$I$65,"&gt;0",⑫ミキサー工程入力!$M$6:$M$65,"&gt;0")+SUMIFS(⑬計量工程入力!$J$6:$J$65,⑬計量工程入力!$S$6:$S$65,$J273,⑬計量工程入力!$J$6:$J$65,"&gt;0",⑬計量工程入力!$M$6:$M$65,"&gt;0")-SUMIFS(⑬計量工程入力!$J$6:$J$65,⑬計量工程入力!$S$6:$S$65,$J273,⑬計量工程入力!$J$6:$J$65,"&gt;0",⑬計量工程入力!$I$6:$I$65,"&gt;0",⑬計量工程入力!$M$6:$M$65,"&gt;0")+SUMIFS(⑭手動工程入力!$J$6:$J$47,⑭手動工程入力!$S$6:$S$47,$J273,⑭手動工程入力!$J$6:$J$47,"&gt;0",⑭手動工程入力!$M$6:$M$47,"&gt;0")-SUMIFS(⑭手動工程入力!$J$6:$J$47,⑭手動工程入力!$S$6:$S$47,$J273,⑭手動工程入力!$J$6:$J$47,"&gt;0",⑭手動工程入力!$I$6:$I$47,"&gt;0",⑭手動工程入力!$M$6:$M$47,"&gt;0"))</f>
        <v/>
      </c>
      <c r="P273" s="392" t="inlineStr">
        <is>
          <t>中間品リスト</t>
        </is>
      </c>
    </row>
    <row r="274">
      <c r="A274" s="392" t="n">
        <v>270</v>
      </c>
      <c r="B274" s="392" t="n"/>
      <c r="C274" s="392" t="n"/>
      <c r="D274" s="409" t="n"/>
      <c r="E274" s="392" t="n"/>
      <c r="F274" s="394" t="n"/>
      <c r="G274" s="392" t="n"/>
      <c r="H274" s="604">
        <f>IFERROR(IF(AND($K274&gt;0,ISNUMBER(IF(OR($D274="g",$D274="ｇ"),IF($M274&gt;0,$L274/$M274/1000,""),IF($D274="kg",IF($M274&gt;0,$L274/$M274,""),IF($D274="",IF($M274&gt;0,$L274/$M274/1000,IF($O274&gt;0,$N274/$O274,"")),IF($O274&gt;0,$N274/$O274,"")))))),IF(OR($D274="g",$D274="ｇ"),IF($M274&gt;0,$L274/$M274/1000,""),IF($D274="kg",IF($M274&gt;0,$L274/$M274,""),IF($D274="",IF($M274&gt;0,$L274/$M274/1000,IF($O274&gt;0,$N274/$O274,"")),IF($O274&gt;0,$N274/$O274,"")))),IF($F274="",IF(OR($E274="",$E274="⑩盛付梱包工程入力"),"",IF(OR($D274="g",$D274="ｇ"),INDEX(⑰工程労務費一覧!$N$5:$N$11,MATCH($E274,⑰工程労務費一覧!$K$5:$K$11,0))/1000,IF($D274="kg",INDEX(⑰工程労務費一覧!$N$5:$N$11,MATCH($E274,⑰工程労務費一覧!$K$5:$K$11,0)),IF(OR($D274="個",$D274="切",$D274="本",$D274="枚",$D274="尾"),IF($E274="⑬計量工程入力","",INDEX(⑰工程労務費一覧!$P$5:$P$11,MATCH($E274,⑰工程労務費一覧!$K$5:$K$11,0))),IF(AND($D274="",OR($E274="②釜工程入力",$E274="③スチコン工程入力")),INDEX(⑰工程労務費一覧!$N$5:$N$11,MATCH($E274,⑰工程労務費一覧!$K$5:$K$11,0))/1000,""))))),IF(OR($D274="g",$D274="ｇ"),INDEX(⑰工程労務費一覧!$H$5:$H$753,MATCH($F274,⑰工程労務費一覧!$D$5:$D$753,0))/1000,IF($D274="kg",INDEX(⑰工程労務費一覧!$H$5:$H$753,MATCH($F274,⑰工程労務費一覧!$D$5:$D$753,0)),INDEX(⑰工程労務費一覧!$I$5:$I$753,MATCH($F274,⑰工程労務費一覧!$D$5:$D$753,0)))))),"")</f>
        <v/>
      </c>
      <c r="I274" s="392">
        <f>IF($K274&gt;0,IF(ISNUMBER(IF(OR($D274="g",$D274="ｇ"),IF($M274&gt;0,$L274/$M274/1000,""),IF($D274="kg",IF($M274&gt;0,$L274/$M274,""),IF($D274="",IF($M274&gt;0,$L274/$M274/1000,IF($O274&gt;0,$N274/$O274,"")),IF($O274&gt;0,$N274/$O274,""))))),IF($D274="",IF($M274&gt;0,"◎ JAN紐づけ(g扱い)","◎ JAN紐づけ(個扱い)"),"◎ JAN紐づけ"),"△ JAN紐づけ済・実績不足→仮計算"),IF($F274="",IF(ISNUMBER($H274),IF($D274="","⑤ 工程平均で仮計算(g扱い)","⑤ 工程平均で仮計算"),IF($E274="⑩盛付梱包工程入力","⑥ 盛り込み(⑳F列で計上)",IF(AND($E274="⑬計量工程入力",OR($D274="個",$D274="切",$D274="本",$D274="枚",$D274="尾")),"① 未紐づけ(カット個単位は仮単価なし)","① 未紐づけ"))),IF(NOT(ISNUMBER($H274)),"② 工程側に単価なし",IF($D274="","③ 単位未設定(個で計算)","④ OK"))))</f>
        <v/>
      </c>
      <c r="J274" s="399">
        <f>IFERROR(LOOKUP(2,1/((中間品リスト!$F$2:$F$1299=$B274)*(中間品リスト!$E$2:$E$1299&lt;&gt;"-")*(中間品リスト!$E$2:$E$1299&lt;&gt;"")),中間品リスト!$E$2:$E$1299),"")</f>
        <v/>
      </c>
      <c r="K274" s="400">
        <f>IF($J274="",0,COUNTIF(②釜工程入力!$S$5:$S$117,$J274)+COUNTIF(③スチコン工程入力!$S$5:$S$152,$J274)+COUNTIF(⑪ZEN工程入力!$S$6:$S$35,$J274)+COUNTIF(⑫ミキサー工程入力!$S$6:$S$65,$J274)+COUNTIF(⑬計量工程入力!$S$6:$S$65,$J274)+COUNTIF(⑭手動工程入力!$S$6:$S$47,$J274))</f>
        <v/>
      </c>
      <c r="L274" s="393">
        <f>IF($J274="",0,SUMIFS(②釜工程入力!$M$5:$M$117,②釜工程入力!$S$5:$S$117,$J274,②釜工程入力!$I$5:$I$117,"&gt;0")+SUMIFS(③スチコン工程入力!$M$5:$M$152,③スチコン工程入力!$S$5:$S$152,$J274,③スチコン工程入力!$I$5:$I$152,"&gt;0")+SUMIFS(⑪ZEN工程入力!$M$6:$M$35,⑪ZEN工程入力!$S$6:$S$35,$J274,⑪ZEN工程入力!$I$6:$I$35,"&gt;0")+SUMIFS(⑫ミキサー工程入力!$M$6:$M$65,⑫ミキサー工程入力!$S$6:$S$65,$J274,⑫ミキサー工程入力!$I$6:$I$65,"&gt;0")+SUMIFS(⑬計量工程入力!$M$6:$M$65,⑬計量工程入力!$S$6:$S$65,$J274,⑬計量工程入力!$I$6:$I$65,"&gt;0")+SUMIFS(⑭手動工程入力!$M$6:$M$47,⑭手動工程入力!$S$6:$S$47,$J274,⑭手動工程入力!$I$6:$I$47,"&gt;0"))</f>
        <v/>
      </c>
      <c r="M274" s="393">
        <f>IF($J274="",0,SUMIFS(②釜工程入力!$I$5:$I$117,②釜工程入力!$S$5:$S$117,$J274,②釜工程入力!$I$5:$I$117,"&gt;0",②釜工程入力!$M$5:$M$117,"&gt;0")+SUMIFS(③スチコン工程入力!$I$5:$I$152,③スチコン工程入力!$S$5:$S$152,$J274,③スチコン工程入力!$I$5:$I$152,"&gt;0",③スチコン工程入力!$M$5:$M$152,"&gt;0")+SUMIFS(⑪ZEN工程入力!$I$6:$I$35,⑪ZEN工程入力!$S$6:$S$35,$J274,⑪ZEN工程入力!$I$6:$I$35,"&gt;0",⑪ZEN工程入力!$M$6:$M$35,"&gt;0")+SUMIFS(⑫ミキサー工程入力!$I$6:$I$65,⑫ミキサー工程入力!$S$6:$S$65,$J274,⑫ミキサー工程入力!$I$6:$I$65,"&gt;0",⑫ミキサー工程入力!$M$6:$M$65,"&gt;0")+SUMIFS(⑬計量工程入力!$I$6:$I$65,⑬計量工程入力!$S$6:$S$65,$J274,⑬計量工程入力!$I$6:$I$65,"&gt;0",⑬計量工程入力!$M$6:$M$65,"&gt;0")+SUMIFS(⑭手動工程入力!$I$6:$I$47,⑭手動工程入力!$S$6:$S$47,$J274,⑭手動工程入力!$I$6:$I$47,"&gt;0",⑭手動工程入力!$M$6:$M$47,"&gt;0"))</f>
        <v/>
      </c>
      <c r="N274" s="393">
        <f>IF($J274="",0,SUMIFS(②釜工程入力!$M$5:$M$117,②釜工程入力!$S$5:$S$117,$J274,②釜工程入力!$J$5:$J$117,"&gt;0")-SUMIFS(②釜工程入力!$M$5:$M$117,②釜工程入力!$S$5:$S$117,$J274,②釜工程入力!$J$5:$J$117,"&gt;0",②釜工程入力!$I$5:$I$117,"&gt;0")+SUMIFS(③スチコン工程入力!$M$5:$M$152,③スチコン工程入力!$S$5:$S$152,$J274,③スチコン工程入力!$J$5:$J$152,"&gt;0")-SUMIFS(③スチコン工程入力!$M$5:$M$152,③スチコン工程入力!$S$5:$S$152,$J274,③スチコン工程入力!$J$5:$J$152,"&gt;0",③スチコン工程入力!$I$5:$I$152,"&gt;0")+SUMIFS(⑪ZEN工程入力!$M$6:$M$35,⑪ZEN工程入力!$S$6:$S$35,$J274,⑪ZEN工程入力!$J$6:$J$35,"&gt;0")-SUMIFS(⑪ZEN工程入力!$M$6:$M$35,⑪ZEN工程入力!$S$6:$S$35,$J274,⑪ZEN工程入力!$J$6:$J$35,"&gt;0",⑪ZEN工程入力!$I$6:$I$35,"&gt;0")+SUMIFS(⑫ミキサー工程入力!$M$6:$M$65,⑫ミキサー工程入力!$S$6:$S$65,$J274,⑫ミキサー工程入力!$J$6:$J$65,"&gt;0")-SUMIFS(⑫ミキサー工程入力!$M$6:$M$65,⑫ミキサー工程入力!$S$6:$S$65,$J274,⑫ミキサー工程入力!$J$6:$J$65,"&gt;0",⑫ミキサー工程入力!$I$6:$I$65,"&gt;0")+SUMIFS(⑬計量工程入力!$M$6:$M$65,⑬計量工程入力!$S$6:$S$65,$J274,⑬計量工程入力!$J$6:$J$65,"&gt;0")-SUMIFS(⑬計量工程入力!$M$6:$M$65,⑬計量工程入力!$S$6:$S$65,$J274,⑬計量工程入力!$J$6:$J$65,"&gt;0",⑬計量工程入力!$I$6:$I$65,"&gt;0")+SUMIFS(⑭手動工程入力!$M$6:$M$47,⑭手動工程入力!$S$6:$S$47,$J274,⑭手動工程入力!$J$6:$J$47,"&gt;0")-SUMIFS(⑭手動工程入力!$M$6:$M$47,⑭手動工程入力!$S$6:$S$47,$J274,⑭手動工程入力!$J$6:$J$47,"&gt;0",⑭手動工程入力!$I$6:$I$47,"&gt;0"))</f>
        <v/>
      </c>
      <c r="O274" s="393">
        <f>IF($J274="",0,SUMIFS(②釜工程入力!$J$5:$J$117,②釜工程入力!$S$5:$S$117,$J274,②釜工程入力!$J$5:$J$117,"&gt;0",②釜工程入力!$M$5:$M$117,"&gt;0")-SUMIFS(②釜工程入力!$J$5:$J$117,②釜工程入力!$S$5:$S$117,$J274,②釜工程入力!$J$5:$J$117,"&gt;0",②釜工程入力!$I$5:$I$117,"&gt;0",②釜工程入力!$M$5:$M$117,"&gt;0")+SUMIFS(③スチコン工程入力!$J$5:$J$152,③スチコン工程入力!$S$5:$S$152,$J274,③スチコン工程入力!$J$5:$J$152,"&gt;0",③スチコン工程入力!$M$5:$M$152,"&gt;0")-SUMIFS(③スチコン工程入力!$J$5:$J$152,③スチコン工程入力!$S$5:$S$152,$J274,③スチコン工程入力!$J$5:$J$152,"&gt;0",③スチコン工程入力!$I$5:$I$152,"&gt;0",③スチコン工程入力!$M$5:$M$152,"&gt;0")+SUMIFS(⑪ZEN工程入力!$J$6:$J$35,⑪ZEN工程入力!$S$6:$S$35,$J274,⑪ZEN工程入力!$J$6:$J$35,"&gt;0",⑪ZEN工程入力!$M$6:$M$35,"&gt;0")-SUMIFS(⑪ZEN工程入力!$J$6:$J$35,⑪ZEN工程入力!$S$6:$S$35,$J274,⑪ZEN工程入力!$J$6:$J$35,"&gt;0",⑪ZEN工程入力!$I$6:$I$35,"&gt;0",⑪ZEN工程入力!$M$6:$M$35,"&gt;0")+SUMIFS(⑫ミキサー工程入力!$J$6:$J$65,⑫ミキサー工程入力!$S$6:$S$65,$J274,⑫ミキサー工程入力!$J$6:$J$65,"&gt;0",⑫ミキサー工程入力!$M$6:$M$65,"&gt;0")-SUMIFS(⑫ミキサー工程入力!$J$6:$J$65,⑫ミキサー工程入力!$S$6:$S$65,$J274,⑫ミキサー工程入力!$J$6:$J$65,"&gt;0",⑫ミキサー工程入力!$I$6:$I$65,"&gt;0",⑫ミキサー工程入力!$M$6:$M$65,"&gt;0")+SUMIFS(⑬計量工程入力!$J$6:$J$65,⑬計量工程入力!$S$6:$S$65,$J274,⑬計量工程入力!$J$6:$J$65,"&gt;0",⑬計量工程入力!$M$6:$M$65,"&gt;0")-SUMIFS(⑬計量工程入力!$J$6:$J$65,⑬計量工程入力!$S$6:$S$65,$J274,⑬計量工程入力!$J$6:$J$65,"&gt;0",⑬計量工程入力!$I$6:$I$65,"&gt;0",⑬計量工程入力!$M$6:$M$65,"&gt;0")+SUMIFS(⑭手動工程入力!$J$6:$J$47,⑭手動工程入力!$S$6:$S$47,$J274,⑭手動工程入力!$J$6:$J$47,"&gt;0",⑭手動工程入力!$M$6:$M$47,"&gt;0")-SUMIFS(⑭手動工程入力!$J$6:$J$47,⑭手動工程入力!$S$6:$S$47,$J274,⑭手動工程入力!$J$6:$J$47,"&gt;0",⑭手動工程入力!$I$6:$I$47,"&gt;0",⑭手動工程入力!$M$6:$M$47,"&gt;0"))</f>
        <v/>
      </c>
      <c r="P274" s="392" t="inlineStr">
        <is>
          <t>中間品リスト</t>
        </is>
      </c>
    </row>
    <row r="275">
      <c r="A275" s="392" t="n">
        <v>271</v>
      </c>
      <c r="B275" s="392" t="n"/>
      <c r="C275" s="392" t="n"/>
      <c r="D275" s="409" t="n"/>
      <c r="E275" s="392" t="n"/>
      <c r="F275" s="394" t="n"/>
      <c r="G275" s="392" t="n"/>
      <c r="H275" s="604">
        <f>IFERROR(IF(AND($K275&gt;0,ISNUMBER(IF(OR($D275="g",$D275="ｇ"),IF($M275&gt;0,$L275/$M275/1000,""),IF($D275="kg",IF($M275&gt;0,$L275/$M275,""),IF($D275="",IF($M275&gt;0,$L275/$M275/1000,IF($O275&gt;0,$N275/$O275,"")),IF($O275&gt;0,$N275/$O275,"")))))),IF(OR($D275="g",$D275="ｇ"),IF($M275&gt;0,$L275/$M275/1000,""),IF($D275="kg",IF($M275&gt;0,$L275/$M275,""),IF($D275="",IF($M275&gt;0,$L275/$M275/1000,IF($O275&gt;0,$N275/$O275,"")),IF($O275&gt;0,$N275/$O275,"")))),IF($F275="",IF(OR($E275="",$E275="⑩盛付梱包工程入力"),"",IF(OR($D275="g",$D275="ｇ"),INDEX(⑰工程労務費一覧!$N$5:$N$11,MATCH($E275,⑰工程労務費一覧!$K$5:$K$11,0))/1000,IF($D275="kg",INDEX(⑰工程労務費一覧!$N$5:$N$11,MATCH($E275,⑰工程労務費一覧!$K$5:$K$11,0)),IF(OR($D275="個",$D275="切",$D275="本",$D275="枚",$D275="尾"),IF($E275="⑬計量工程入力","",INDEX(⑰工程労務費一覧!$P$5:$P$11,MATCH($E275,⑰工程労務費一覧!$K$5:$K$11,0))),IF(AND($D275="",OR($E275="②釜工程入力",$E275="③スチコン工程入力")),INDEX(⑰工程労務費一覧!$N$5:$N$11,MATCH($E275,⑰工程労務費一覧!$K$5:$K$11,0))/1000,""))))),IF(OR($D275="g",$D275="ｇ"),INDEX(⑰工程労務費一覧!$H$5:$H$753,MATCH($F275,⑰工程労務費一覧!$D$5:$D$753,0))/1000,IF($D275="kg",INDEX(⑰工程労務費一覧!$H$5:$H$753,MATCH($F275,⑰工程労務費一覧!$D$5:$D$753,0)),INDEX(⑰工程労務費一覧!$I$5:$I$753,MATCH($F275,⑰工程労務費一覧!$D$5:$D$753,0)))))),"")</f>
        <v/>
      </c>
      <c r="I275" s="392">
        <f>IF($K275&gt;0,IF(ISNUMBER(IF(OR($D275="g",$D275="ｇ"),IF($M275&gt;0,$L275/$M275/1000,""),IF($D275="kg",IF($M275&gt;0,$L275/$M275,""),IF($D275="",IF($M275&gt;0,$L275/$M275/1000,IF($O275&gt;0,$N275/$O275,"")),IF($O275&gt;0,$N275/$O275,""))))),IF($D275="",IF($M275&gt;0,"◎ JAN紐づけ(g扱い)","◎ JAN紐づけ(個扱い)"),"◎ JAN紐づけ"),"△ JAN紐づけ済・実績不足→仮計算"),IF($F275="",IF(ISNUMBER($H275),IF($D275="","⑤ 工程平均で仮計算(g扱い)","⑤ 工程平均で仮計算"),IF($E275="⑩盛付梱包工程入力","⑥ 盛り込み(⑳F列で計上)",IF(AND($E275="⑬計量工程入力",OR($D275="個",$D275="切",$D275="本",$D275="枚",$D275="尾")),"① 未紐づけ(カット個単位は仮単価なし)","① 未紐づけ"))),IF(NOT(ISNUMBER($H275)),"② 工程側に単価なし",IF($D275="","③ 単位未設定(個で計算)","④ OK"))))</f>
        <v/>
      </c>
      <c r="J275" s="399">
        <f>IFERROR(LOOKUP(2,1/((中間品リスト!$F$2:$F$1299=$B275)*(中間品リスト!$E$2:$E$1299&lt;&gt;"-")*(中間品リスト!$E$2:$E$1299&lt;&gt;"")),中間品リスト!$E$2:$E$1299),"")</f>
        <v/>
      </c>
      <c r="K275" s="400">
        <f>IF($J275="",0,COUNTIF(②釜工程入力!$S$5:$S$117,$J275)+COUNTIF(③スチコン工程入力!$S$5:$S$152,$J275)+COUNTIF(⑪ZEN工程入力!$S$6:$S$35,$J275)+COUNTIF(⑫ミキサー工程入力!$S$6:$S$65,$J275)+COUNTIF(⑬計量工程入力!$S$6:$S$65,$J275)+COUNTIF(⑭手動工程入力!$S$6:$S$47,$J275))</f>
        <v/>
      </c>
      <c r="L275" s="393">
        <f>IF($J275="",0,SUMIFS(②釜工程入力!$M$5:$M$117,②釜工程入力!$S$5:$S$117,$J275,②釜工程入力!$I$5:$I$117,"&gt;0")+SUMIFS(③スチコン工程入力!$M$5:$M$152,③スチコン工程入力!$S$5:$S$152,$J275,③スチコン工程入力!$I$5:$I$152,"&gt;0")+SUMIFS(⑪ZEN工程入力!$M$6:$M$35,⑪ZEN工程入力!$S$6:$S$35,$J275,⑪ZEN工程入力!$I$6:$I$35,"&gt;0")+SUMIFS(⑫ミキサー工程入力!$M$6:$M$65,⑫ミキサー工程入力!$S$6:$S$65,$J275,⑫ミキサー工程入力!$I$6:$I$65,"&gt;0")+SUMIFS(⑬計量工程入力!$M$6:$M$65,⑬計量工程入力!$S$6:$S$65,$J275,⑬計量工程入力!$I$6:$I$65,"&gt;0")+SUMIFS(⑭手動工程入力!$M$6:$M$47,⑭手動工程入力!$S$6:$S$47,$J275,⑭手動工程入力!$I$6:$I$47,"&gt;0"))</f>
        <v/>
      </c>
      <c r="M275" s="393">
        <f>IF($J275="",0,SUMIFS(②釜工程入力!$I$5:$I$117,②釜工程入力!$S$5:$S$117,$J275,②釜工程入力!$I$5:$I$117,"&gt;0",②釜工程入力!$M$5:$M$117,"&gt;0")+SUMIFS(③スチコン工程入力!$I$5:$I$152,③スチコン工程入力!$S$5:$S$152,$J275,③スチコン工程入力!$I$5:$I$152,"&gt;0",③スチコン工程入力!$M$5:$M$152,"&gt;0")+SUMIFS(⑪ZEN工程入力!$I$6:$I$35,⑪ZEN工程入力!$S$6:$S$35,$J275,⑪ZEN工程入力!$I$6:$I$35,"&gt;0",⑪ZEN工程入力!$M$6:$M$35,"&gt;0")+SUMIFS(⑫ミキサー工程入力!$I$6:$I$65,⑫ミキサー工程入力!$S$6:$S$65,$J275,⑫ミキサー工程入力!$I$6:$I$65,"&gt;0",⑫ミキサー工程入力!$M$6:$M$65,"&gt;0")+SUMIFS(⑬計量工程入力!$I$6:$I$65,⑬計量工程入力!$S$6:$S$65,$J275,⑬計量工程入力!$I$6:$I$65,"&gt;0",⑬計量工程入力!$M$6:$M$65,"&gt;0")+SUMIFS(⑭手動工程入力!$I$6:$I$47,⑭手動工程入力!$S$6:$S$47,$J275,⑭手動工程入力!$I$6:$I$47,"&gt;0",⑭手動工程入力!$M$6:$M$47,"&gt;0"))</f>
        <v/>
      </c>
      <c r="N275" s="393">
        <f>IF($J275="",0,SUMIFS(②釜工程入力!$M$5:$M$117,②釜工程入力!$S$5:$S$117,$J275,②釜工程入力!$J$5:$J$117,"&gt;0")-SUMIFS(②釜工程入力!$M$5:$M$117,②釜工程入力!$S$5:$S$117,$J275,②釜工程入力!$J$5:$J$117,"&gt;0",②釜工程入力!$I$5:$I$117,"&gt;0")+SUMIFS(③スチコン工程入力!$M$5:$M$152,③スチコン工程入力!$S$5:$S$152,$J275,③スチコン工程入力!$J$5:$J$152,"&gt;0")-SUMIFS(③スチコン工程入力!$M$5:$M$152,③スチコン工程入力!$S$5:$S$152,$J275,③スチコン工程入力!$J$5:$J$152,"&gt;0",③スチコン工程入力!$I$5:$I$152,"&gt;0")+SUMIFS(⑪ZEN工程入力!$M$6:$M$35,⑪ZEN工程入力!$S$6:$S$35,$J275,⑪ZEN工程入力!$J$6:$J$35,"&gt;0")-SUMIFS(⑪ZEN工程入力!$M$6:$M$35,⑪ZEN工程入力!$S$6:$S$35,$J275,⑪ZEN工程入力!$J$6:$J$35,"&gt;0",⑪ZEN工程入力!$I$6:$I$35,"&gt;0")+SUMIFS(⑫ミキサー工程入力!$M$6:$M$65,⑫ミキサー工程入力!$S$6:$S$65,$J275,⑫ミキサー工程入力!$J$6:$J$65,"&gt;0")-SUMIFS(⑫ミキサー工程入力!$M$6:$M$65,⑫ミキサー工程入力!$S$6:$S$65,$J275,⑫ミキサー工程入力!$J$6:$J$65,"&gt;0",⑫ミキサー工程入力!$I$6:$I$65,"&gt;0")+SUMIFS(⑬計量工程入力!$M$6:$M$65,⑬計量工程入力!$S$6:$S$65,$J275,⑬計量工程入力!$J$6:$J$65,"&gt;0")-SUMIFS(⑬計量工程入力!$M$6:$M$65,⑬計量工程入力!$S$6:$S$65,$J275,⑬計量工程入力!$J$6:$J$65,"&gt;0",⑬計量工程入力!$I$6:$I$65,"&gt;0")+SUMIFS(⑭手動工程入力!$M$6:$M$47,⑭手動工程入力!$S$6:$S$47,$J275,⑭手動工程入力!$J$6:$J$47,"&gt;0")-SUMIFS(⑭手動工程入力!$M$6:$M$47,⑭手動工程入力!$S$6:$S$47,$J275,⑭手動工程入力!$J$6:$J$47,"&gt;0",⑭手動工程入力!$I$6:$I$47,"&gt;0"))</f>
        <v/>
      </c>
      <c r="O275" s="393">
        <f>IF($J275="",0,SUMIFS(②釜工程入力!$J$5:$J$117,②釜工程入力!$S$5:$S$117,$J275,②釜工程入力!$J$5:$J$117,"&gt;0",②釜工程入力!$M$5:$M$117,"&gt;0")-SUMIFS(②釜工程入力!$J$5:$J$117,②釜工程入力!$S$5:$S$117,$J275,②釜工程入力!$J$5:$J$117,"&gt;0",②釜工程入力!$I$5:$I$117,"&gt;0",②釜工程入力!$M$5:$M$117,"&gt;0")+SUMIFS(③スチコン工程入力!$J$5:$J$152,③スチコン工程入力!$S$5:$S$152,$J275,③スチコン工程入力!$J$5:$J$152,"&gt;0",③スチコン工程入力!$M$5:$M$152,"&gt;0")-SUMIFS(③スチコン工程入力!$J$5:$J$152,③スチコン工程入力!$S$5:$S$152,$J275,③スチコン工程入力!$J$5:$J$152,"&gt;0",③スチコン工程入力!$I$5:$I$152,"&gt;0",③スチコン工程入力!$M$5:$M$152,"&gt;0")+SUMIFS(⑪ZEN工程入力!$J$6:$J$35,⑪ZEN工程入力!$S$6:$S$35,$J275,⑪ZEN工程入力!$J$6:$J$35,"&gt;0",⑪ZEN工程入力!$M$6:$M$35,"&gt;0")-SUMIFS(⑪ZEN工程入力!$J$6:$J$35,⑪ZEN工程入力!$S$6:$S$35,$J275,⑪ZEN工程入力!$J$6:$J$35,"&gt;0",⑪ZEN工程入力!$I$6:$I$35,"&gt;0",⑪ZEN工程入力!$M$6:$M$35,"&gt;0")+SUMIFS(⑫ミキサー工程入力!$J$6:$J$65,⑫ミキサー工程入力!$S$6:$S$65,$J275,⑫ミキサー工程入力!$J$6:$J$65,"&gt;0",⑫ミキサー工程入力!$M$6:$M$65,"&gt;0")-SUMIFS(⑫ミキサー工程入力!$J$6:$J$65,⑫ミキサー工程入力!$S$6:$S$65,$J275,⑫ミキサー工程入力!$J$6:$J$65,"&gt;0",⑫ミキサー工程入力!$I$6:$I$65,"&gt;0",⑫ミキサー工程入力!$M$6:$M$65,"&gt;0")+SUMIFS(⑬計量工程入力!$J$6:$J$65,⑬計量工程入力!$S$6:$S$65,$J275,⑬計量工程入力!$J$6:$J$65,"&gt;0",⑬計量工程入力!$M$6:$M$65,"&gt;0")-SUMIFS(⑬計量工程入力!$J$6:$J$65,⑬計量工程入力!$S$6:$S$65,$J275,⑬計量工程入力!$J$6:$J$65,"&gt;0",⑬計量工程入力!$I$6:$I$65,"&gt;0",⑬計量工程入力!$M$6:$M$65,"&gt;0")+SUMIFS(⑭手動工程入力!$J$6:$J$47,⑭手動工程入力!$S$6:$S$47,$J275,⑭手動工程入力!$J$6:$J$47,"&gt;0",⑭手動工程入力!$M$6:$M$47,"&gt;0")-SUMIFS(⑭手動工程入力!$J$6:$J$47,⑭手動工程入力!$S$6:$S$47,$J275,⑭手動工程入力!$J$6:$J$47,"&gt;0",⑭手動工程入力!$I$6:$I$47,"&gt;0",⑭手動工程入力!$M$6:$M$47,"&gt;0"))</f>
        <v/>
      </c>
      <c r="P275" s="392" t="inlineStr">
        <is>
          <t>中間品リスト</t>
        </is>
      </c>
    </row>
    <row r="276">
      <c r="A276" s="392" t="n">
        <v>272</v>
      </c>
      <c r="B276" s="392" t="n"/>
      <c r="C276" s="392" t="n"/>
      <c r="D276" s="392" t="n"/>
      <c r="E276" s="392" t="n"/>
      <c r="F276" s="394" t="n"/>
      <c r="G276" s="392" t="n"/>
      <c r="H276" s="604">
        <f>IFERROR(IF(AND($K276&gt;0,ISNUMBER(IF(OR($D276="g",$D276="ｇ"),IF($M276&gt;0,$L276/$M276/1000,""),IF($D276="kg",IF($M276&gt;0,$L276/$M276,""),IF($D276="",IF($M276&gt;0,$L276/$M276/1000,IF($O276&gt;0,$N276/$O276,"")),IF($O276&gt;0,$N276/$O276,"")))))),IF(OR($D276="g",$D276="ｇ"),IF($M276&gt;0,$L276/$M276/1000,""),IF($D276="kg",IF($M276&gt;0,$L276/$M276,""),IF($D276="",IF($M276&gt;0,$L276/$M276/1000,IF($O276&gt;0,$N276/$O276,"")),IF($O276&gt;0,$N276/$O276,"")))),IF($F276="",IF(OR($E276="",$E276="⑩盛付梱包工程入力"),"",IF(OR($D276="g",$D276="ｇ"),INDEX(⑰工程労務費一覧!$N$5:$N$11,MATCH($E276,⑰工程労務費一覧!$K$5:$K$11,0))/1000,IF($D276="kg",INDEX(⑰工程労務費一覧!$N$5:$N$11,MATCH($E276,⑰工程労務費一覧!$K$5:$K$11,0)),IF(OR($D276="個",$D276="切",$D276="本",$D276="枚",$D276="尾"),IF($E276="⑬計量工程入力","",INDEX(⑰工程労務費一覧!$P$5:$P$11,MATCH($E276,⑰工程労務費一覧!$K$5:$K$11,0))),IF(AND($D276="",OR($E276="②釜工程入力",$E276="③スチコン工程入力")),INDEX(⑰工程労務費一覧!$N$5:$N$11,MATCH($E276,⑰工程労務費一覧!$K$5:$K$11,0))/1000,""))))),IF(OR($D276="g",$D276="ｇ"),INDEX(⑰工程労務費一覧!$H$5:$H$753,MATCH($F276,⑰工程労務費一覧!$D$5:$D$753,0))/1000,IF($D276="kg",INDEX(⑰工程労務費一覧!$H$5:$H$753,MATCH($F276,⑰工程労務費一覧!$D$5:$D$753,0)),INDEX(⑰工程労務費一覧!$I$5:$I$753,MATCH($F276,⑰工程労務費一覧!$D$5:$D$753,0)))))),"")</f>
        <v/>
      </c>
      <c r="I276" s="392">
        <f>IF($K276&gt;0,IF(ISNUMBER(IF(OR($D276="g",$D276="ｇ"),IF($M276&gt;0,$L276/$M276/1000,""),IF($D276="kg",IF($M276&gt;0,$L276/$M276,""),IF($D276="",IF($M276&gt;0,$L276/$M276/1000,IF($O276&gt;0,$N276/$O276,"")),IF($O276&gt;0,$N276/$O276,""))))),IF($D276="",IF($M276&gt;0,"◎ JAN紐づけ(g扱い)","◎ JAN紐づけ(個扱い)"),"◎ JAN紐づけ"),"△ JAN紐づけ済・実績不足→仮計算"),IF($F276="",IF(ISNUMBER($H276),IF($D276="","⑤ 工程平均で仮計算(g扱い)","⑤ 工程平均で仮計算"),IF($E276="⑩盛付梱包工程入力","⑥ 盛り込み(⑳F列で計上)",IF(AND($E276="⑬計量工程入力",OR($D276="個",$D276="切",$D276="本",$D276="枚",$D276="尾")),"① 未紐づけ(カット個単位は仮単価なし)","① 未紐づけ"))),IF(NOT(ISNUMBER($H276)),"② 工程側に単価なし",IF($D276="","③ 単位未設定(個で計算)","④ OK"))))</f>
        <v/>
      </c>
      <c r="J276" s="399">
        <f>IFERROR(LOOKUP(2,1/((中間品リスト!$F$2:$F$1299=$B276)*(中間品リスト!$E$2:$E$1299&lt;&gt;"-")*(中間品リスト!$E$2:$E$1299&lt;&gt;"")),中間品リスト!$E$2:$E$1299),"")</f>
        <v/>
      </c>
      <c r="K276" s="400">
        <f>IF($J276="",0,COUNTIF(②釜工程入力!$S$5:$S$117,$J276)+COUNTIF(③スチコン工程入力!$S$5:$S$152,$J276)+COUNTIF(⑪ZEN工程入力!$S$6:$S$35,$J276)+COUNTIF(⑫ミキサー工程入力!$S$6:$S$65,$J276)+COUNTIF(⑬計量工程入力!$S$6:$S$65,$J276)+COUNTIF(⑭手動工程入力!$S$6:$S$47,$J276))</f>
        <v/>
      </c>
      <c r="L276" s="393">
        <f>IF($J276="",0,SUMIFS(②釜工程入力!$M$5:$M$117,②釜工程入力!$S$5:$S$117,$J276,②釜工程入力!$I$5:$I$117,"&gt;0")+SUMIFS(③スチコン工程入力!$M$5:$M$152,③スチコン工程入力!$S$5:$S$152,$J276,③スチコン工程入力!$I$5:$I$152,"&gt;0")+SUMIFS(⑪ZEN工程入力!$M$6:$M$35,⑪ZEN工程入力!$S$6:$S$35,$J276,⑪ZEN工程入力!$I$6:$I$35,"&gt;0")+SUMIFS(⑫ミキサー工程入力!$M$6:$M$65,⑫ミキサー工程入力!$S$6:$S$65,$J276,⑫ミキサー工程入力!$I$6:$I$65,"&gt;0")+SUMIFS(⑬計量工程入力!$M$6:$M$65,⑬計量工程入力!$S$6:$S$65,$J276,⑬計量工程入力!$I$6:$I$65,"&gt;0")+SUMIFS(⑭手動工程入力!$M$6:$M$47,⑭手動工程入力!$S$6:$S$47,$J276,⑭手動工程入力!$I$6:$I$47,"&gt;0"))</f>
        <v/>
      </c>
      <c r="M276" s="393">
        <f>IF($J276="",0,SUMIFS(②釜工程入力!$I$5:$I$117,②釜工程入力!$S$5:$S$117,$J276,②釜工程入力!$I$5:$I$117,"&gt;0",②釜工程入力!$M$5:$M$117,"&gt;0")+SUMIFS(③スチコン工程入力!$I$5:$I$152,③スチコン工程入力!$S$5:$S$152,$J276,③スチコン工程入力!$I$5:$I$152,"&gt;0",③スチコン工程入力!$M$5:$M$152,"&gt;0")+SUMIFS(⑪ZEN工程入力!$I$6:$I$35,⑪ZEN工程入力!$S$6:$S$35,$J276,⑪ZEN工程入力!$I$6:$I$35,"&gt;0",⑪ZEN工程入力!$M$6:$M$35,"&gt;0")+SUMIFS(⑫ミキサー工程入力!$I$6:$I$65,⑫ミキサー工程入力!$S$6:$S$65,$J276,⑫ミキサー工程入力!$I$6:$I$65,"&gt;0",⑫ミキサー工程入力!$M$6:$M$65,"&gt;0")+SUMIFS(⑬計量工程入力!$I$6:$I$65,⑬計量工程入力!$S$6:$S$65,$J276,⑬計量工程入力!$I$6:$I$65,"&gt;0",⑬計量工程入力!$M$6:$M$65,"&gt;0")+SUMIFS(⑭手動工程入力!$I$6:$I$47,⑭手動工程入力!$S$6:$S$47,$J276,⑭手動工程入力!$I$6:$I$47,"&gt;0",⑭手動工程入力!$M$6:$M$47,"&gt;0"))</f>
        <v/>
      </c>
      <c r="N276" s="393">
        <f>IF($J276="",0,SUMIFS(②釜工程入力!$M$5:$M$117,②釜工程入力!$S$5:$S$117,$J276,②釜工程入力!$J$5:$J$117,"&gt;0")-SUMIFS(②釜工程入力!$M$5:$M$117,②釜工程入力!$S$5:$S$117,$J276,②釜工程入力!$J$5:$J$117,"&gt;0",②釜工程入力!$I$5:$I$117,"&gt;0")+SUMIFS(③スチコン工程入力!$M$5:$M$152,③スチコン工程入力!$S$5:$S$152,$J276,③スチコン工程入力!$J$5:$J$152,"&gt;0")-SUMIFS(③スチコン工程入力!$M$5:$M$152,③スチコン工程入力!$S$5:$S$152,$J276,③スチコン工程入力!$J$5:$J$152,"&gt;0",③スチコン工程入力!$I$5:$I$152,"&gt;0")+SUMIFS(⑪ZEN工程入力!$M$6:$M$35,⑪ZEN工程入力!$S$6:$S$35,$J276,⑪ZEN工程入力!$J$6:$J$35,"&gt;0")-SUMIFS(⑪ZEN工程入力!$M$6:$M$35,⑪ZEN工程入力!$S$6:$S$35,$J276,⑪ZEN工程入力!$J$6:$J$35,"&gt;0",⑪ZEN工程入力!$I$6:$I$35,"&gt;0")+SUMIFS(⑫ミキサー工程入力!$M$6:$M$65,⑫ミキサー工程入力!$S$6:$S$65,$J276,⑫ミキサー工程入力!$J$6:$J$65,"&gt;0")-SUMIFS(⑫ミキサー工程入力!$M$6:$M$65,⑫ミキサー工程入力!$S$6:$S$65,$J276,⑫ミキサー工程入力!$J$6:$J$65,"&gt;0",⑫ミキサー工程入力!$I$6:$I$65,"&gt;0")+SUMIFS(⑬計量工程入力!$M$6:$M$65,⑬計量工程入力!$S$6:$S$65,$J276,⑬計量工程入力!$J$6:$J$65,"&gt;0")-SUMIFS(⑬計量工程入力!$M$6:$M$65,⑬計量工程入力!$S$6:$S$65,$J276,⑬計量工程入力!$J$6:$J$65,"&gt;0",⑬計量工程入力!$I$6:$I$65,"&gt;0")+SUMIFS(⑭手動工程入力!$M$6:$M$47,⑭手動工程入力!$S$6:$S$47,$J276,⑭手動工程入力!$J$6:$J$47,"&gt;0")-SUMIFS(⑭手動工程入力!$M$6:$M$47,⑭手動工程入力!$S$6:$S$47,$J276,⑭手動工程入力!$J$6:$J$47,"&gt;0",⑭手動工程入力!$I$6:$I$47,"&gt;0"))</f>
        <v/>
      </c>
      <c r="O276" s="393">
        <f>IF($J276="",0,SUMIFS(②釜工程入力!$J$5:$J$117,②釜工程入力!$S$5:$S$117,$J276,②釜工程入力!$J$5:$J$117,"&gt;0",②釜工程入力!$M$5:$M$117,"&gt;0")-SUMIFS(②釜工程入力!$J$5:$J$117,②釜工程入力!$S$5:$S$117,$J276,②釜工程入力!$J$5:$J$117,"&gt;0",②釜工程入力!$I$5:$I$117,"&gt;0",②釜工程入力!$M$5:$M$117,"&gt;0")+SUMIFS(③スチコン工程入力!$J$5:$J$152,③スチコン工程入力!$S$5:$S$152,$J276,③スチコン工程入力!$J$5:$J$152,"&gt;0",③スチコン工程入力!$M$5:$M$152,"&gt;0")-SUMIFS(③スチコン工程入力!$J$5:$J$152,③スチコン工程入力!$S$5:$S$152,$J276,③スチコン工程入力!$J$5:$J$152,"&gt;0",③スチコン工程入力!$I$5:$I$152,"&gt;0",③スチコン工程入力!$M$5:$M$152,"&gt;0")+SUMIFS(⑪ZEN工程入力!$J$6:$J$35,⑪ZEN工程入力!$S$6:$S$35,$J276,⑪ZEN工程入力!$J$6:$J$35,"&gt;0",⑪ZEN工程入力!$M$6:$M$35,"&gt;0")-SUMIFS(⑪ZEN工程入力!$J$6:$J$35,⑪ZEN工程入力!$S$6:$S$35,$J276,⑪ZEN工程入力!$J$6:$J$35,"&gt;0",⑪ZEN工程入力!$I$6:$I$35,"&gt;0",⑪ZEN工程入力!$M$6:$M$35,"&gt;0")+SUMIFS(⑫ミキサー工程入力!$J$6:$J$65,⑫ミキサー工程入力!$S$6:$S$65,$J276,⑫ミキサー工程入力!$J$6:$J$65,"&gt;0",⑫ミキサー工程入力!$M$6:$M$65,"&gt;0")-SUMIFS(⑫ミキサー工程入力!$J$6:$J$65,⑫ミキサー工程入力!$S$6:$S$65,$J276,⑫ミキサー工程入力!$J$6:$J$65,"&gt;0",⑫ミキサー工程入力!$I$6:$I$65,"&gt;0",⑫ミキサー工程入力!$M$6:$M$65,"&gt;0")+SUMIFS(⑬計量工程入力!$J$6:$J$65,⑬計量工程入力!$S$6:$S$65,$J276,⑬計量工程入力!$J$6:$J$65,"&gt;0",⑬計量工程入力!$M$6:$M$65,"&gt;0")-SUMIFS(⑬計量工程入力!$J$6:$J$65,⑬計量工程入力!$S$6:$S$65,$J276,⑬計量工程入力!$J$6:$J$65,"&gt;0",⑬計量工程入力!$I$6:$I$65,"&gt;0",⑬計量工程入力!$M$6:$M$65,"&gt;0")+SUMIFS(⑭手動工程入力!$J$6:$J$47,⑭手動工程入力!$S$6:$S$47,$J276,⑭手動工程入力!$J$6:$J$47,"&gt;0",⑭手動工程入力!$M$6:$M$47,"&gt;0")-SUMIFS(⑭手動工程入力!$J$6:$J$47,⑭手動工程入力!$S$6:$S$47,$J276,⑭手動工程入力!$J$6:$J$47,"&gt;0",⑭手動工程入力!$I$6:$I$47,"&gt;0",⑭手動工程入力!$M$6:$M$47,"&gt;0"))</f>
        <v/>
      </c>
      <c r="P276" s="392" t="n"/>
    </row>
    <row r="277">
      <c r="A277" s="392" t="n">
        <v>273</v>
      </c>
      <c r="B277" s="392" t="n"/>
      <c r="C277" s="392" t="n"/>
      <c r="D277" s="409" t="n"/>
      <c r="E277" s="392" t="n"/>
      <c r="F277" s="394" t="n"/>
      <c r="G277" s="392" t="n"/>
      <c r="H277" s="604">
        <f>IFERROR(IF(AND($K277&gt;0,ISNUMBER(IF(OR($D277="g",$D277="ｇ"),IF($M277&gt;0,$L277/$M277/1000,""),IF($D277="kg",IF($M277&gt;0,$L277/$M277,""),IF($D277="",IF($M277&gt;0,$L277/$M277/1000,IF($O277&gt;0,$N277/$O277,"")),IF($O277&gt;0,$N277/$O277,"")))))),IF(OR($D277="g",$D277="ｇ"),IF($M277&gt;0,$L277/$M277/1000,""),IF($D277="kg",IF($M277&gt;0,$L277/$M277,""),IF($D277="",IF($M277&gt;0,$L277/$M277/1000,IF($O277&gt;0,$N277/$O277,"")),IF($O277&gt;0,$N277/$O277,"")))),IF($F277="",IF(OR($E277="",$E277="⑩盛付梱包工程入力"),"",IF(OR($D277="g",$D277="ｇ"),INDEX(⑰工程労務費一覧!$N$5:$N$11,MATCH($E277,⑰工程労務費一覧!$K$5:$K$11,0))/1000,IF($D277="kg",INDEX(⑰工程労務費一覧!$N$5:$N$11,MATCH($E277,⑰工程労務費一覧!$K$5:$K$11,0)),IF(OR($D277="個",$D277="切",$D277="本",$D277="枚",$D277="尾"),IF($E277="⑬計量工程入力","",INDEX(⑰工程労務費一覧!$P$5:$P$11,MATCH($E277,⑰工程労務費一覧!$K$5:$K$11,0))),IF(AND($D277="",OR($E277="②釜工程入力",$E277="③スチコン工程入力")),INDEX(⑰工程労務費一覧!$N$5:$N$11,MATCH($E277,⑰工程労務費一覧!$K$5:$K$11,0))/1000,""))))),IF(OR($D277="g",$D277="ｇ"),INDEX(⑰工程労務費一覧!$H$5:$H$753,MATCH($F277,⑰工程労務費一覧!$D$5:$D$753,0))/1000,IF($D277="kg",INDEX(⑰工程労務費一覧!$H$5:$H$753,MATCH($F277,⑰工程労務費一覧!$D$5:$D$753,0)),INDEX(⑰工程労務費一覧!$I$5:$I$753,MATCH($F277,⑰工程労務費一覧!$D$5:$D$753,0)))))),"")</f>
        <v/>
      </c>
      <c r="I277" s="392">
        <f>IF($K277&gt;0,IF(ISNUMBER(IF(OR($D277="g",$D277="ｇ"),IF($M277&gt;0,$L277/$M277/1000,""),IF($D277="kg",IF($M277&gt;0,$L277/$M277,""),IF($D277="",IF($M277&gt;0,$L277/$M277/1000,IF($O277&gt;0,$N277/$O277,"")),IF($O277&gt;0,$N277/$O277,""))))),IF($D277="",IF($M277&gt;0,"◎ JAN紐づけ(g扱い)","◎ JAN紐づけ(個扱い)"),"◎ JAN紐づけ"),"△ JAN紐づけ済・実績不足→仮計算"),IF($F277="",IF(ISNUMBER($H277),IF($D277="","⑤ 工程平均で仮計算(g扱い)","⑤ 工程平均で仮計算"),IF($E277="⑩盛付梱包工程入力","⑥ 盛り込み(⑳F列で計上)",IF(AND($E277="⑬計量工程入力",OR($D277="個",$D277="切",$D277="本",$D277="枚",$D277="尾")),"① 未紐づけ(カット個単位は仮単価なし)","① 未紐づけ"))),IF(NOT(ISNUMBER($H277)),"② 工程側に単価なし",IF($D277="","③ 単位未設定(個で計算)","④ OK"))))</f>
        <v/>
      </c>
      <c r="J277" s="399">
        <f>IFERROR(LOOKUP(2,1/((中間品リスト!$F$2:$F$1299=$B277)*(中間品リスト!$E$2:$E$1299&lt;&gt;"-")*(中間品リスト!$E$2:$E$1299&lt;&gt;"")),中間品リスト!$E$2:$E$1299),"")</f>
        <v/>
      </c>
      <c r="K277" s="400">
        <f>IF($J277="",0,COUNTIF(②釜工程入力!$S$5:$S$117,$J277)+COUNTIF(③スチコン工程入力!$S$5:$S$152,$J277)+COUNTIF(⑪ZEN工程入力!$S$6:$S$35,$J277)+COUNTIF(⑫ミキサー工程入力!$S$6:$S$65,$J277)+COUNTIF(⑬計量工程入力!$S$6:$S$65,$J277)+COUNTIF(⑭手動工程入力!$S$6:$S$47,$J277))</f>
        <v/>
      </c>
      <c r="L277" s="393">
        <f>IF($J277="",0,SUMIFS(②釜工程入力!$M$5:$M$117,②釜工程入力!$S$5:$S$117,$J277,②釜工程入力!$I$5:$I$117,"&gt;0")+SUMIFS(③スチコン工程入力!$M$5:$M$152,③スチコン工程入力!$S$5:$S$152,$J277,③スチコン工程入力!$I$5:$I$152,"&gt;0")+SUMIFS(⑪ZEN工程入力!$M$6:$M$35,⑪ZEN工程入力!$S$6:$S$35,$J277,⑪ZEN工程入力!$I$6:$I$35,"&gt;0")+SUMIFS(⑫ミキサー工程入力!$M$6:$M$65,⑫ミキサー工程入力!$S$6:$S$65,$J277,⑫ミキサー工程入力!$I$6:$I$65,"&gt;0")+SUMIFS(⑬計量工程入力!$M$6:$M$65,⑬計量工程入力!$S$6:$S$65,$J277,⑬計量工程入力!$I$6:$I$65,"&gt;0")+SUMIFS(⑭手動工程入力!$M$6:$M$47,⑭手動工程入力!$S$6:$S$47,$J277,⑭手動工程入力!$I$6:$I$47,"&gt;0"))</f>
        <v/>
      </c>
      <c r="M277" s="393">
        <f>IF($J277="",0,SUMIFS(②釜工程入力!$I$5:$I$117,②釜工程入力!$S$5:$S$117,$J277,②釜工程入力!$I$5:$I$117,"&gt;0",②釜工程入力!$M$5:$M$117,"&gt;0")+SUMIFS(③スチコン工程入力!$I$5:$I$152,③スチコン工程入力!$S$5:$S$152,$J277,③スチコン工程入力!$I$5:$I$152,"&gt;0",③スチコン工程入力!$M$5:$M$152,"&gt;0")+SUMIFS(⑪ZEN工程入力!$I$6:$I$35,⑪ZEN工程入力!$S$6:$S$35,$J277,⑪ZEN工程入力!$I$6:$I$35,"&gt;0",⑪ZEN工程入力!$M$6:$M$35,"&gt;0")+SUMIFS(⑫ミキサー工程入力!$I$6:$I$65,⑫ミキサー工程入力!$S$6:$S$65,$J277,⑫ミキサー工程入力!$I$6:$I$65,"&gt;0",⑫ミキサー工程入力!$M$6:$M$65,"&gt;0")+SUMIFS(⑬計量工程入力!$I$6:$I$65,⑬計量工程入力!$S$6:$S$65,$J277,⑬計量工程入力!$I$6:$I$65,"&gt;0",⑬計量工程入力!$M$6:$M$65,"&gt;0")+SUMIFS(⑭手動工程入力!$I$6:$I$47,⑭手動工程入力!$S$6:$S$47,$J277,⑭手動工程入力!$I$6:$I$47,"&gt;0",⑭手動工程入力!$M$6:$M$47,"&gt;0"))</f>
        <v/>
      </c>
      <c r="N277" s="393">
        <f>IF($J277="",0,SUMIFS(②釜工程入力!$M$5:$M$117,②釜工程入力!$S$5:$S$117,$J277,②釜工程入力!$J$5:$J$117,"&gt;0")-SUMIFS(②釜工程入力!$M$5:$M$117,②釜工程入力!$S$5:$S$117,$J277,②釜工程入力!$J$5:$J$117,"&gt;0",②釜工程入力!$I$5:$I$117,"&gt;0")+SUMIFS(③スチコン工程入力!$M$5:$M$152,③スチコン工程入力!$S$5:$S$152,$J277,③スチコン工程入力!$J$5:$J$152,"&gt;0")-SUMIFS(③スチコン工程入力!$M$5:$M$152,③スチコン工程入力!$S$5:$S$152,$J277,③スチコン工程入力!$J$5:$J$152,"&gt;0",③スチコン工程入力!$I$5:$I$152,"&gt;0")+SUMIFS(⑪ZEN工程入力!$M$6:$M$35,⑪ZEN工程入力!$S$6:$S$35,$J277,⑪ZEN工程入力!$J$6:$J$35,"&gt;0")-SUMIFS(⑪ZEN工程入力!$M$6:$M$35,⑪ZEN工程入力!$S$6:$S$35,$J277,⑪ZEN工程入力!$J$6:$J$35,"&gt;0",⑪ZEN工程入力!$I$6:$I$35,"&gt;0")+SUMIFS(⑫ミキサー工程入力!$M$6:$M$65,⑫ミキサー工程入力!$S$6:$S$65,$J277,⑫ミキサー工程入力!$J$6:$J$65,"&gt;0")-SUMIFS(⑫ミキサー工程入力!$M$6:$M$65,⑫ミキサー工程入力!$S$6:$S$65,$J277,⑫ミキサー工程入力!$J$6:$J$65,"&gt;0",⑫ミキサー工程入力!$I$6:$I$65,"&gt;0")+SUMIFS(⑬計量工程入力!$M$6:$M$65,⑬計量工程入力!$S$6:$S$65,$J277,⑬計量工程入力!$J$6:$J$65,"&gt;0")-SUMIFS(⑬計量工程入力!$M$6:$M$65,⑬計量工程入力!$S$6:$S$65,$J277,⑬計量工程入力!$J$6:$J$65,"&gt;0",⑬計量工程入力!$I$6:$I$65,"&gt;0")+SUMIFS(⑭手動工程入力!$M$6:$M$47,⑭手動工程入力!$S$6:$S$47,$J277,⑭手動工程入力!$J$6:$J$47,"&gt;0")-SUMIFS(⑭手動工程入力!$M$6:$M$47,⑭手動工程入力!$S$6:$S$47,$J277,⑭手動工程入力!$J$6:$J$47,"&gt;0",⑭手動工程入力!$I$6:$I$47,"&gt;0"))</f>
        <v/>
      </c>
      <c r="O277" s="393">
        <f>IF($J277="",0,SUMIFS(②釜工程入力!$J$5:$J$117,②釜工程入力!$S$5:$S$117,$J277,②釜工程入力!$J$5:$J$117,"&gt;0",②釜工程入力!$M$5:$M$117,"&gt;0")-SUMIFS(②釜工程入力!$J$5:$J$117,②釜工程入力!$S$5:$S$117,$J277,②釜工程入力!$J$5:$J$117,"&gt;0",②釜工程入力!$I$5:$I$117,"&gt;0",②釜工程入力!$M$5:$M$117,"&gt;0")+SUMIFS(③スチコン工程入力!$J$5:$J$152,③スチコン工程入力!$S$5:$S$152,$J277,③スチコン工程入力!$J$5:$J$152,"&gt;0",③スチコン工程入力!$M$5:$M$152,"&gt;0")-SUMIFS(③スチコン工程入力!$J$5:$J$152,③スチコン工程入力!$S$5:$S$152,$J277,③スチコン工程入力!$J$5:$J$152,"&gt;0",③スチコン工程入力!$I$5:$I$152,"&gt;0",③スチコン工程入力!$M$5:$M$152,"&gt;0")+SUMIFS(⑪ZEN工程入力!$J$6:$J$35,⑪ZEN工程入力!$S$6:$S$35,$J277,⑪ZEN工程入力!$J$6:$J$35,"&gt;0",⑪ZEN工程入力!$M$6:$M$35,"&gt;0")-SUMIFS(⑪ZEN工程入力!$J$6:$J$35,⑪ZEN工程入力!$S$6:$S$35,$J277,⑪ZEN工程入力!$J$6:$J$35,"&gt;0",⑪ZEN工程入力!$I$6:$I$35,"&gt;0",⑪ZEN工程入力!$M$6:$M$35,"&gt;0")+SUMIFS(⑫ミキサー工程入力!$J$6:$J$65,⑫ミキサー工程入力!$S$6:$S$65,$J277,⑫ミキサー工程入力!$J$6:$J$65,"&gt;0",⑫ミキサー工程入力!$M$6:$M$65,"&gt;0")-SUMIFS(⑫ミキサー工程入力!$J$6:$J$65,⑫ミキサー工程入力!$S$6:$S$65,$J277,⑫ミキサー工程入力!$J$6:$J$65,"&gt;0",⑫ミキサー工程入力!$I$6:$I$65,"&gt;0",⑫ミキサー工程入力!$M$6:$M$65,"&gt;0")+SUMIFS(⑬計量工程入力!$J$6:$J$65,⑬計量工程入力!$S$6:$S$65,$J277,⑬計量工程入力!$J$6:$J$65,"&gt;0",⑬計量工程入力!$M$6:$M$65,"&gt;0")-SUMIFS(⑬計量工程入力!$J$6:$J$65,⑬計量工程入力!$S$6:$S$65,$J277,⑬計量工程入力!$J$6:$J$65,"&gt;0",⑬計量工程入力!$I$6:$I$65,"&gt;0",⑬計量工程入力!$M$6:$M$65,"&gt;0")+SUMIFS(⑭手動工程入力!$J$6:$J$47,⑭手動工程入力!$S$6:$S$47,$J277,⑭手動工程入力!$J$6:$J$47,"&gt;0",⑭手動工程入力!$M$6:$M$47,"&gt;0")-SUMIFS(⑭手動工程入力!$J$6:$J$47,⑭手動工程入力!$S$6:$S$47,$J277,⑭手動工程入力!$J$6:$J$47,"&gt;0",⑭手動工程入力!$I$6:$I$47,"&gt;0",⑭手動工程入力!$M$6:$M$47,"&gt;0"))</f>
        <v/>
      </c>
      <c r="P277" s="392" t="inlineStr">
        <is>
          <t>中間品リスト</t>
        </is>
      </c>
    </row>
    <row r="278">
      <c r="A278" s="392" t="n">
        <v>274</v>
      </c>
      <c r="B278" s="392" t="n"/>
      <c r="C278" s="392" t="n"/>
      <c r="D278" s="409" t="n"/>
      <c r="E278" s="392" t="n"/>
      <c r="F278" s="394" t="n"/>
      <c r="G278" s="392" t="n"/>
      <c r="H278" s="604">
        <f>IFERROR(IF(AND($K278&gt;0,ISNUMBER(IF(OR($D278="g",$D278="ｇ"),IF($M278&gt;0,$L278/$M278/1000,""),IF($D278="kg",IF($M278&gt;0,$L278/$M278,""),IF($D278="",IF($M278&gt;0,$L278/$M278/1000,IF($O278&gt;0,$N278/$O278,"")),IF($O278&gt;0,$N278/$O278,"")))))),IF(OR($D278="g",$D278="ｇ"),IF($M278&gt;0,$L278/$M278/1000,""),IF($D278="kg",IF($M278&gt;0,$L278/$M278,""),IF($D278="",IF($M278&gt;0,$L278/$M278/1000,IF($O278&gt;0,$N278/$O278,"")),IF($O278&gt;0,$N278/$O278,"")))),IF($F278="",IF(OR($E278="",$E278="⑩盛付梱包工程入力"),"",IF(OR($D278="g",$D278="ｇ"),INDEX(⑰工程労務費一覧!$N$5:$N$11,MATCH($E278,⑰工程労務費一覧!$K$5:$K$11,0))/1000,IF($D278="kg",INDEX(⑰工程労務費一覧!$N$5:$N$11,MATCH($E278,⑰工程労務費一覧!$K$5:$K$11,0)),IF(OR($D278="個",$D278="切",$D278="本",$D278="枚",$D278="尾"),IF($E278="⑬計量工程入力","",INDEX(⑰工程労務費一覧!$P$5:$P$11,MATCH($E278,⑰工程労務費一覧!$K$5:$K$11,0))),IF(AND($D278="",OR($E278="②釜工程入力",$E278="③スチコン工程入力")),INDEX(⑰工程労務費一覧!$N$5:$N$11,MATCH($E278,⑰工程労務費一覧!$K$5:$K$11,0))/1000,""))))),IF(OR($D278="g",$D278="ｇ"),INDEX(⑰工程労務費一覧!$H$5:$H$753,MATCH($F278,⑰工程労務費一覧!$D$5:$D$753,0))/1000,IF($D278="kg",INDEX(⑰工程労務費一覧!$H$5:$H$753,MATCH($F278,⑰工程労務費一覧!$D$5:$D$753,0)),INDEX(⑰工程労務費一覧!$I$5:$I$753,MATCH($F278,⑰工程労務費一覧!$D$5:$D$753,0)))))),"")</f>
        <v/>
      </c>
      <c r="I278" s="392">
        <f>IF($K278&gt;0,IF(ISNUMBER(IF(OR($D278="g",$D278="ｇ"),IF($M278&gt;0,$L278/$M278/1000,""),IF($D278="kg",IF($M278&gt;0,$L278/$M278,""),IF($D278="",IF($M278&gt;0,$L278/$M278/1000,IF($O278&gt;0,$N278/$O278,"")),IF($O278&gt;0,$N278/$O278,""))))),IF($D278="",IF($M278&gt;0,"◎ JAN紐づけ(g扱い)","◎ JAN紐づけ(個扱い)"),"◎ JAN紐づけ"),"△ JAN紐づけ済・実績不足→仮計算"),IF($F278="",IF(ISNUMBER($H278),IF($D278="","⑤ 工程平均で仮計算(g扱い)","⑤ 工程平均で仮計算"),IF($E278="⑩盛付梱包工程入力","⑥ 盛り込み(⑳F列で計上)",IF(AND($E278="⑬計量工程入力",OR($D278="個",$D278="切",$D278="本",$D278="枚",$D278="尾")),"① 未紐づけ(カット個単位は仮単価なし)","① 未紐づけ"))),IF(NOT(ISNUMBER($H278)),"② 工程側に単価なし",IF($D278="","③ 単位未設定(個で計算)","④ OK"))))</f>
        <v/>
      </c>
      <c r="J278" s="399">
        <f>IFERROR(LOOKUP(2,1/((中間品リスト!$F$2:$F$1299=$B278)*(中間品リスト!$E$2:$E$1299&lt;&gt;"-")*(中間品リスト!$E$2:$E$1299&lt;&gt;"")),中間品リスト!$E$2:$E$1299),"")</f>
        <v/>
      </c>
      <c r="K278" s="400">
        <f>IF($J278="",0,COUNTIF(②釜工程入力!$S$5:$S$117,$J278)+COUNTIF(③スチコン工程入力!$S$5:$S$152,$J278)+COUNTIF(⑪ZEN工程入力!$S$6:$S$35,$J278)+COUNTIF(⑫ミキサー工程入力!$S$6:$S$65,$J278)+COUNTIF(⑬計量工程入力!$S$6:$S$65,$J278)+COUNTIF(⑭手動工程入力!$S$6:$S$47,$J278))</f>
        <v/>
      </c>
      <c r="L278" s="393">
        <f>IF($J278="",0,SUMIFS(②釜工程入力!$M$5:$M$117,②釜工程入力!$S$5:$S$117,$J278,②釜工程入力!$I$5:$I$117,"&gt;0")+SUMIFS(③スチコン工程入力!$M$5:$M$152,③スチコン工程入力!$S$5:$S$152,$J278,③スチコン工程入力!$I$5:$I$152,"&gt;0")+SUMIFS(⑪ZEN工程入力!$M$6:$M$35,⑪ZEN工程入力!$S$6:$S$35,$J278,⑪ZEN工程入力!$I$6:$I$35,"&gt;0")+SUMIFS(⑫ミキサー工程入力!$M$6:$M$65,⑫ミキサー工程入力!$S$6:$S$65,$J278,⑫ミキサー工程入力!$I$6:$I$65,"&gt;0")+SUMIFS(⑬計量工程入力!$M$6:$M$65,⑬計量工程入力!$S$6:$S$65,$J278,⑬計量工程入力!$I$6:$I$65,"&gt;0")+SUMIFS(⑭手動工程入力!$M$6:$M$47,⑭手動工程入力!$S$6:$S$47,$J278,⑭手動工程入力!$I$6:$I$47,"&gt;0"))</f>
        <v/>
      </c>
      <c r="M278" s="393">
        <f>IF($J278="",0,SUMIFS(②釜工程入力!$I$5:$I$117,②釜工程入力!$S$5:$S$117,$J278,②釜工程入力!$I$5:$I$117,"&gt;0",②釜工程入力!$M$5:$M$117,"&gt;0")+SUMIFS(③スチコン工程入力!$I$5:$I$152,③スチコン工程入力!$S$5:$S$152,$J278,③スチコン工程入力!$I$5:$I$152,"&gt;0",③スチコン工程入力!$M$5:$M$152,"&gt;0")+SUMIFS(⑪ZEN工程入力!$I$6:$I$35,⑪ZEN工程入力!$S$6:$S$35,$J278,⑪ZEN工程入力!$I$6:$I$35,"&gt;0",⑪ZEN工程入力!$M$6:$M$35,"&gt;0")+SUMIFS(⑫ミキサー工程入力!$I$6:$I$65,⑫ミキサー工程入力!$S$6:$S$65,$J278,⑫ミキサー工程入力!$I$6:$I$65,"&gt;0",⑫ミキサー工程入力!$M$6:$M$65,"&gt;0")+SUMIFS(⑬計量工程入力!$I$6:$I$65,⑬計量工程入力!$S$6:$S$65,$J278,⑬計量工程入力!$I$6:$I$65,"&gt;0",⑬計量工程入力!$M$6:$M$65,"&gt;0")+SUMIFS(⑭手動工程入力!$I$6:$I$47,⑭手動工程入力!$S$6:$S$47,$J278,⑭手動工程入力!$I$6:$I$47,"&gt;0",⑭手動工程入力!$M$6:$M$47,"&gt;0"))</f>
        <v/>
      </c>
      <c r="N278" s="393">
        <f>IF($J278="",0,SUMIFS(②釜工程入力!$M$5:$M$117,②釜工程入力!$S$5:$S$117,$J278,②釜工程入力!$J$5:$J$117,"&gt;0")-SUMIFS(②釜工程入力!$M$5:$M$117,②釜工程入力!$S$5:$S$117,$J278,②釜工程入力!$J$5:$J$117,"&gt;0",②釜工程入力!$I$5:$I$117,"&gt;0")+SUMIFS(③スチコン工程入力!$M$5:$M$152,③スチコン工程入力!$S$5:$S$152,$J278,③スチコン工程入力!$J$5:$J$152,"&gt;0")-SUMIFS(③スチコン工程入力!$M$5:$M$152,③スチコン工程入力!$S$5:$S$152,$J278,③スチコン工程入力!$J$5:$J$152,"&gt;0",③スチコン工程入力!$I$5:$I$152,"&gt;0")+SUMIFS(⑪ZEN工程入力!$M$6:$M$35,⑪ZEN工程入力!$S$6:$S$35,$J278,⑪ZEN工程入力!$J$6:$J$35,"&gt;0")-SUMIFS(⑪ZEN工程入力!$M$6:$M$35,⑪ZEN工程入力!$S$6:$S$35,$J278,⑪ZEN工程入力!$J$6:$J$35,"&gt;0",⑪ZEN工程入力!$I$6:$I$35,"&gt;0")+SUMIFS(⑫ミキサー工程入力!$M$6:$M$65,⑫ミキサー工程入力!$S$6:$S$65,$J278,⑫ミキサー工程入力!$J$6:$J$65,"&gt;0")-SUMIFS(⑫ミキサー工程入力!$M$6:$M$65,⑫ミキサー工程入力!$S$6:$S$65,$J278,⑫ミキサー工程入力!$J$6:$J$65,"&gt;0",⑫ミキサー工程入力!$I$6:$I$65,"&gt;0")+SUMIFS(⑬計量工程入力!$M$6:$M$65,⑬計量工程入力!$S$6:$S$65,$J278,⑬計量工程入力!$J$6:$J$65,"&gt;0")-SUMIFS(⑬計量工程入力!$M$6:$M$65,⑬計量工程入力!$S$6:$S$65,$J278,⑬計量工程入力!$J$6:$J$65,"&gt;0",⑬計量工程入力!$I$6:$I$65,"&gt;0")+SUMIFS(⑭手動工程入力!$M$6:$M$47,⑭手動工程入力!$S$6:$S$47,$J278,⑭手動工程入力!$J$6:$J$47,"&gt;0")-SUMIFS(⑭手動工程入力!$M$6:$M$47,⑭手動工程入力!$S$6:$S$47,$J278,⑭手動工程入力!$J$6:$J$47,"&gt;0",⑭手動工程入力!$I$6:$I$47,"&gt;0"))</f>
        <v/>
      </c>
      <c r="O278" s="393">
        <f>IF($J278="",0,SUMIFS(②釜工程入力!$J$5:$J$117,②釜工程入力!$S$5:$S$117,$J278,②釜工程入力!$J$5:$J$117,"&gt;0",②釜工程入力!$M$5:$M$117,"&gt;0")-SUMIFS(②釜工程入力!$J$5:$J$117,②釜工程入力!$S$5:$S$117,$J278,②釜工程入力!$J$5:$J$117,"&gt;0",②釜工程入力!$I$5:$I$117,"&gt;0",②釜工程入力!$M$5:$M$117,"&gt;0")+SUMIFS(③スチコン工程入力!$J$5:$J$152,③スチコン工程入力!$S$5:$S$152,$J278,③スチコン工程入力!$J$5:$J$152,"&gt;0",③スチコン工程入力!$M$5:$M$152,"&gt;0")-SUMIFS(③スチコン工程入力!$J$5:$J$152,③スチコン工程入力!$S$5:$S$152,$J278,③スチコン工程入力!$J$5:$J$152,"&gt;0",③スチコン工程入力!$I$5:$I$152,"&gt;0",③スチコン工程入力!$M$5:$M$152,"&gt;0")+SUMIFS(⑪ZEN工程入力!$J$6:$J$35,⑪ZEN工程入力!$S$6:$S$35,$J278,⑪ZEN工程入力!$J$6:$J$35,"&gt;0",⑪ZEN工程入力!$M$6:$M$35,"&gt;0")-SUMIFS(⑪ZEN工程入力!$J$6:$J$35,⑪ZEN工程入力!$S$6:$S$35,$J278,⑪ZEN工程入力!$J$6:$J$35,"&gt;0",⑪ZEN工程入力!$I$6:$I$35,"&gt;0",⑪ZEN工程入力!$M$6:$M$35,"&gt;0")+SUMIFS(⑫ミキサー工程入力!$J$6:$J$65,⑫ミキサー工程入力!$S$6:$S$65,$J278,⑫ミキサー工程入力!$J$6:$J$65,"&gt;0",⑫ミキサー工程入力!$M$6:$M$65,"&gt;0")-SUMIFS(⑫ミキサー工程入力!$J$6:$J$65,⑫ミキサー工程入力!$S$6:$S$65,$J278,⑫ミキサー工程入力!$J$6:$J$65,"&gt;0",⑫ミキサー工程入力!$I$6:$I$65,"&gt;0",⑫ミキサー工程入力!$M$6:$M$65,"&gt;0")+SUMIFS(⑬計量工程入力!$J$6:$J$65,⑬計量工程入力!$S$6:$S$65,$J278,⑬計量工程入力!$J$6:$J$65,"&gt;0",⑬計量工程入力!$M$6:$M$65,"&gt;0")-SUMIFS(⑬計量工程入力!$J$6:$J$65,⑬計量工程入力!$S$6:$S$65,$J278,⑬計量工程入力!$J$6:$J$65,"&gt;0",⑬計量工程入力!$I$6:$I$65,"&gt;0",⑬計量工程入力!$M$6:$M$65,"&gt;0")+SUMIFS(⑭手動工程入力!$J$6:$J$47,⑭手動工程入力!$S$6:$S$47,$J278,⑭手動工程入力!$J$6:$J$47,"&gt;0",⑭手動工程入力!$M$6:$M$47,"&gt;0")-SUMIFS(⑭手動工程入力!$J$6:$J$47,⑭手動工程入力!$S$6:$S$47,$J278,⑭手動工程入力!$J$6:$J$47,"&gt;0",⑭手動工程入力!$I$6:$I$47,"&gt;0",⑭手動工程入力!$M$6:$M$47,"&gt;0"))</f>
        <v/>
      </c>
      <c r="P278" s="392" t="inlineStr">
        <is>
          <t>中間品リスト</t>
        </is>
      </c>
    </row>
    <row r="279">
      <c r="A279" s="392" t="n">
        <v>275</v>
      </c>
      <c r="B279" s="392" t="n"/>
      <c r="C279" s="392" t="n"/>
      <c r="D279" s="409" t="n"/>
      <c r="E279" s="392" t="n"/>
      <c r="F279" s="394" t="n"/>
      <c r="G279" s="392" t="n"/>
      <c r="H279" s="604">
        <f>IFERROR(IF(AND($K279&gt;0,ISNUMBER(IF(OR($D279="g",$D279="ｇ"),IF($M279&gt;0,$L279/$M279/1000,""),IF($D279="kg",IF($M279&gt;0,$L279/$M279,""),IF($D279="",IF($M279&gt;0,$L279/$M279/1000,IF($O279&gt;0,$N279/$O279,"")),IF($O279&gt;0,$N279/$O279,"")))))),IF(OR($D279="g",$D279="ｇ"),IF($M279&gt;0,$L279/$M279/1000,""),IF($D279="kg",IF($M279&gt;0,$L279/$M279,""),IF($D279="",IF($M279&gt;0,$L279/$M279/1000,IF($O279&gt;0,$N279/$O279,"")),IF($O279&gt;0,$N279/$O279,"")))),IF($F279="",IF(OR($E279="",$E279="⑩盛付梱包工程入力"),"",IF(OR($D279="g",$D279="ｇ"),INDEX(⑰工程労務費一覧!$N$5:$N$11,MATCH($E279,⑰工程労務費一覧!$K$5:$K$11,0))/1000,IF($D279="kg",INDEX(⑰工程労務費一覧!$N$5:$N$11,MATCH($E279,⑰工程労務費一覧!$K$5:$K$11,0)),IF(OR($D279="個",$D279="切",$D279="本",$D279="枚",$D279="尾"),IF($E279="⑬計量工程入力","",INDEX(⑰工程労務費一覧!$P$5:$P$11,MATCH($E279,⑰工程労務費一覧!$K$5:$K$11,0))),IF(AND($D279="",OR($E279="②釜工程入力",$E279="③スチコン工程入力")),INDEX(⑰工程労務費一覧!$N$5:$N$11,MATCH($E279,⑰工程労務費一覧!$K$5:$K$11,0))/1000,""))))),IF(OR($D279="g",$D279="ｇ"),INDEX(⑰工程労務費一覧!$H$5:$H$753,MATCH($F279,⑰工程労務費一覧!$D$5:$D$753,0))/1000,IF($D279="kg",INDEX(⑰工程労務費一覧!$H$5:$H$753,MATCH($F279,⑰工程労務費一覧!$D$5:$D$753,0)),INDEX(⑰工程労務費一覧!$I$5:$I$753,MATCH($F279,⑰工程労務費一覧!$D$5:$D$753,0)))))),"")</f>
        <v/>
      </c>
      <c r="I279" s="392">
        <f>IF($K279&gt;0,IF(ISNUMBER(IF(OR($D279="g",$D279="ｇ"),IF($M279&gt;0,$L279/$M279/1000,""),IF($D279="kg",IF($M279&gt;0,$L279/$M279,""),IF($D279="",IF($M279&gt;0,$L279/$M279/1000,IF($O279&gt;0,$N279/$O279,"")),IF($O279&gt;0,$N279/$O279,""))))),IF($D279="",IF($M279&gt;0,"◎ JAN紐づけ(g扱い)","◎ JAN紐づけ(個扱い)"),"◎ JAN紐づけ"),"△ JAN紐づけ済・実績不足→仮計算"),IF($F279="",IF(ISNUMBER($H279),IF($D279="","⑤ 工程平均で仮計算(g扱い)","⑤ 工程平均で仮計算"),IF($E279="⑩盛付梱包工程入力","⑥ 盛り込み(⑳F列で計上)",IF(AND($E279="⑬計量工程入力",OR($D279="個",$D279="切",$D279="本",$D279="枚",$D279="尾")),"① 未紐づけ(カット個単位は仮単価なし)","① 未紐づけ"))),IF(NOT(ISNUMBER($H279)),"② 工程側に単価なし",IF($D279="","③ 単位未設定(個で計算)","④ OK"))))</f>
        <v/>
      </c>
      <c r="J279" s="399">
        <f>IFERROR(LOOKUP(2,1/((中間品リスト!$F$2:$F$1299=$B279)*(中間品リスト!$E$2:$E$1299&lt;&gt;"-")*(中間品リスト!$E$2:$E$1299&lt;&gt;"")),中間品リスト!$E$2:$E$1299),"")</f>
        <v/>
      </c>
      <c r="K279" s="400">
        <f>IF($J279="",0,COUNTIF(②釜工程入力!$S$5:$S$117,$J279)+COUNTIF(③スチコン工程入力!$S$5:$S$152,$J279)+COUNTIF(⑪ZEN工程入力!$S$6:$S$35,$J279)+COUNTIF(⑫ミキサー工程入力!$S$6:$S$65,$J279)+COUNTIF(⑬計量工程入力!$S$6:$S$65,$J279)+COUNTIF(⑭手動工程入力!$S$6:$S$47,$J279))</f>
        <v/>
      </c>
      <c r="L279" s="393">
        <f>IF($J279="",0,SUMIFS(②釜工程入力!$M$5:$M$117,②釜工程入力!$S$5:$S$117,$J279,②釜工程入力!$I$5:$I$117,"&gt;0")+SUMIFS(③スチコン工程入力!$M$5:$M$152,③スチコン工程入力!$S$5:$S$152,$J279,③スチコン工程入力!$I$5:$I$152,"&gt;0")+SUMIFS(⑪ZEN工程入力!$M$6:$M$35,⑪ZEN工程入力!$S$6:$S$35,$J279,⑪ZEN工程入力!$I$6:$I$35,"&gt;0")+SUMIFS(⑫ミキサー工程入力!$M$6:$M$65,⑫ミキサー工程入力!$S$6:$S$65,$J279,⑫ミキサー工程入力!$I$6:$I$65,"&gt;0")+SUMIFS(⑬計量工程入力!$M$6:$M$65,⑬計量工程入力!$S$6:$S$65,$J279,⑬計量工程入力!$I$6:$I$65,"&gt;0")+SUMIFS(⑭手動工程入力!$M$6:$M$47,⑭手動工程入力!$S$6:$S$47,$J279,⑭手動工程入力!$I$6:$I$47,"&gt;0"))</f>
        <v/>
      </c>
      <c r="M279" s="393">
        <f>IF($J279="",0,SUMIFS(②釜工程入力!$I$5:$I$117,②釜工程入力!$S$5:$S$117,$J279,②釜工程入力!$I$5:$I$117,"&gt;0",②釜工程入力!$M$5:$M$117,"&gt;0")+SUMIFS(③スチコン工程入力!$I$5:$I$152,③スチコン工程入力!$S$5:$S$152,$J279,③スチコン工程入力!$I$5:$I$152,"&gt;0",③スチコン工程入力!$M$5:$M$152,"&gt;0")+SUMIFS(⑪ZEN工程入力!$I$6:$I$35,⑪ZEN工程入力!$S$6:$S$35,$J279,⑪ZEN工程入力!$I$6:$I$35,"&gt;0",⑪ZEN工程入力!$M$6:$M$35,"&gt;0")+SUMIFS(⑫ミキサー工程入力!$I$6:$I$65,⑫ミキサー工程入力!$S$6:$S$65,$J279,⑫ミキサー工程入力!$I$6:$I$65,"&gt;0",⑫ミキサー工程入力!$M$6:$M$65,"&gt;0")+SUMIFS(⑬計量工程入力!$I$6:$I$65,⑬計量工程入力!$S$6:$S$65,$J279,⑬計量工程入力!$I$6:$I$65,"&gt;0",⑬計量工程入力!$M$6:$M$65,"&gt;0")+SUMIFS(⑭手動工程入力!$I$6:$I$47,⑭手動工程入力!$S$6:$S$47,$J279,⑭手動工程入力!$I$6:$I$47,"&gt;0",⑭手動工程入力!$M$6:$M$47,"&gt;0"))</f>
        <v/>
      </c>
      <c r="N279" s="393">
        <f>IF($J279="",0,SUMIFS(②釜工程入力!$M$5:$M$117,②釜工程入力!$S$5:$S$117,$J279,②釜工程入力!$J$5:$J$117,"&gt;0")-SUMIFS(②釜工程入力!$M$5:$M$117,②釜工程入力!$S$5:$S$117,$J279,②釜工程入力!$J$5:$J$117,"&gt;0",②釜工程入力!$I$5:$I$117,"&gt;0")+SUMIFS(③スチコン工程入力!$M$5:$M$152,③スチコン工程入力!$S$5:$S$152,$J279,③スチコン工程入力!$J$5:$J$152,"&gt;0")-SUMIFS(③スチコン工程入力!$M$5:$M$152,③スチコン工程入力!$S$5:$S$152,$J279,③スチコン工程入力!$J$5:$J$152,"&gt;0",③スチコン工程入力!$I$5:$I$152,"&gt;0")+SUMIFS(⑪ZEN工程入力!$M$6:$M$35,⑪ZEN工程入力!$S$6:$S$35,$J279,⑪ZEN工程入力!$J$6:$J$35,"&gt;0")-SUMIFS(⑪ZEN工程入力!$M$6:$M$35,⑪ZEN工程入力!$S$6:$S$35,$J279,⑪ZEN工程入力!$J$6:$J$35,"&gt;0",⑪ZEN工程入力!$I$6:$I$35,"&gt;0")+SUMIFS(⑫ミキサー工程入力!$M$6:$M$65,⑫ミキサー工程入力!$S$6:$S$65,$J279,⑫ミキサー工程入力!$J$6:$J$65,"&gt;0")-SUMIFS(⑫ミキサー工程入力!$M$6:$M$65,⑫ミキサー工程入力!$S$6:$S$65,$J279,⑫ミキサー工程入力!$J$6:$J$65,"&gt;0",⑫ミキサー工程入力!$I$6:$I$65,"&gt;0")+SUMIFS(⑬計量工程入力!$M$6:$M$65,⑬計量工程入力!$S$6:$S$65,$J279,⑬計量工程入力!$J$6:$J$65,"&gt;0")-SUMIFS(⑬計量工程入力!$M$6:$M$65,⑬計量工程入力!$S$6:$S$65,$J279,⑬計量工程入力!$J$6:$J$65,"&gt;0",⑬計量工程入力!$I$6:$I$65,"&gt;0")+SUMIFS(⑭手動工程入力!$M$6:$M$47,⑭手動工程入力!$S$6:$S$47,$J279,⑭手動工程入力!$J$6:$J$47,"&gt;0")-SUMIFS(⑭手動工程入力!$M$6:$M$47,⑭手動工程入力!$S$6:$S$47,$J279,⑭手動工程入力!$J$6:$J$47,"&gt;0",⑭手動工程入力!$I$6:$I$47,"&gt;0"))</f>
        <v/>
      </c>
      <c r="O279" s="393">
        <f>IF($J279="",0,SUMIFS(②釜工程入力!$J$5:$J$117,②釜工程入力!$S$5:$S$117,$J279,②釜工程入力!$J$5:$J$117,"&gt;0",②釜工程入力!$M$5:$M$117,"&gt;0")-SUMIFS(②釜工程入力!$J$5:$J$117,②釜工程入力!$S$5:$S$117,$J279,②釜工程入力!$J$5:$J$117,"&gt;0",②釜工程入力!$I$5:$I$117,"&gt;0",②釜工程入力!$M$5:$M$117,"&gt;0")+SUMIFS(③スチコン工程入力!$J$5:$J$152,③スチコン工程入力!$S$5:$S$152,$J279,③スチコン工程入力!$J$5:$J$152,"&gt;0",③スチコン工程入力!$M$5:$M$152,"&gt;0")-SUMIFS(③スチコン工程入力!$J$5:$J$152,③スチコン工程入力!$S$5:$S$152,$J279,③スチコン工程入力!$J$5:$J$152,"&gt;0",③スチコン工程入力!$I$5:$I$152,"&gt;0",③スチコン工程入力!$M$5:$M$152,"&gt;0")+SUMIFS(⑪ZEN工程入力!$J$6:$J$35,⑪ZEN工程入力!$S$6:$S$35,$J279,⑪ZEN工程入力!$J$6:$J$35,"&gt;0",⑪ZEN工程入力!$M$6:$M$35,"&gt;0")-SUMIFS(⑪ZEN工程入力!$J$6:$J$35,⑪ZEN工程入力!$S$6:$S$35,$J279,⑪ZEN工程入力!$J$6:$J$35,"&gt;0",⑪ZEN工程入力!$I$6:$I$35,"&gt;0",⑪ZEN工程入力!$M$6:$M$35,"&gt;0")+SUMIFS(⑫ミキサー工程入力!$J$6:$J$65,⑫ミキサー工程入力!$S$6:$S$65,$J279,⑫ミキサー工程入力!$J$6:$J$65,"&gt;0",⑫ミキサー工程入力!$M$6:$M$65,"&gt;0")-SUMIFS(⑫ミキサー工程入力!$J$6:$J$65,⑫ミキサー工程入力!$S$6:$S$65,$J279,⑫ミキサー工程入力!$J$6:$J$65,"&gt;0",⑫ミキサー工程入力!$I$6:$I$65,"&gt;0",⑫ミキサー工程入力!$M$6:$M$65,"&gt;0")+SUMIFS(⑬計量工程入力!$J$6:$J$65,⑬計量工程入力!$S$6:$S$65,$J279,⑬計量工程入力!$J$6:$J$65,"&gt;0",⑬計量工程入力!$M$6:$M$65,"&gt;0")-SUMIFS(⑬計量工程入力!$J$6:$J$65,⑬計量工程入力!$S$6:$S$65,$J279,⑬計量工程入力!$J$6:$J$65,"&gt;0",⑬計量工程入力!$I$6:$I$65,"&gt;0",⑬計量工程入力!$M$6:$M$65,"&gt;0")+SUMIFS(⑭手動工程入力!$J$6:$J$47,⑭手動工程入力!$S$6:$S$47,$J279,⑭手動工程入力!$J$6:$J$47,"&gt;0",⑭手動工程入力!$M$6:$M$47,"&gt;0")-SUMIFS(⑭手動工程入力!$J$6:$J$47,⑭手動工程入力!$S$6:$S$47,$J279,⑭手動工程入力!$J$6:$J$47,"&gt;0",⑭手動工程入力!$I$6:$I$47,"&gt;0",⑭手動工程入力!$M$6:$M$47,"&gt;0"))</f>
        <v/>
      </c>
      <c r="P279" s="392" t="inlineStr">
        <is>
          <t>中間品リスト</t>
        </is>
      </c>
    </row>
    <row r="280">
      <c r="A280" s="392" t="n">
        <v>276</v>
      </c>
      <c r="B280" s="392" t="n"/>
      <c r="C280" s="392" t="n"/>
      <c r="D280" s="409" t="n"/>
      <c r="E280" s="392" t="n"/>
      <c r="F280" s="394" t="n"/>
      <c r="G280" s="392" t="n"/>
      <c r="H280" s="604">
        <f>IFERROR(IF(AND($K280&gt;0,ISNUMBER(IF(OR($D280="g",$D280="ｇ"),IF($M280&gt;0,$L280/$M280/1000,""),IF($D280="kg",IF($M280&gt;0,$L280/$M280,""),IF($D280="",IF($M280&gt;0,$L280/$M280/1000,IF($O280&gt;0,$N280/$O280,"")),IF($O280&gt;0,$N280/$O280,"")))))),IF(OR($D280="g",$D280="ｇ"),IF($M280&gt;0,$L280/$M280/1000,""),IF($D280="kg",IF($M280&gt;0,$L280/$M280,""),IF($D280="",IF($M280&gt;0,$L280/$M280/1000,IF($O280&gt;0,$N280/$O280,"")),IF($O280&gt;0,$N280/$O280,"")))),IF($F280="",IF(OR($E280="",$E280="⑩盛付梱包工程入力"),"",IF(OR($D280="g",$D280="ｇ"),INDEX(⑰工程労務費一覧!$N$5:$N$11,MATCH($E280,⑰工程労務費一覧!$K$5:$K$11,0))/1000,IF($D280="kg",INDEX(⑰工程労務費一覧!$N$5:$N$11,MATCH($E280,⑰工程労務費一覧!$K$5:$K$11,0)),IF(OR($D280="個",$D280="切",$D280="本",$D280="枚",$D280="尾"),IF($E280="⑬計量工程入力","",INDEX(⑰工程労務費一覧!$P$5:$P$11,MATCH($E280,⑰工程労務費一覧!$K$5:$K$11,0))),IF(AND($D280="",OR($E280="②釜工程入力",$E280="③スチコン工程入力")),INDEX(⑰工程労務費一覧!$N$5:$N$11,MATCH($E280,⑰工程労務費一覧!$K$5:$K$11,0))/1000,""))))),IF(OR($D280="g",$D280="ｇ"),INDEX(⑰工程労務費一覧!$H$5:$H$753,MATCH($F280,⑰工程労務費一覧!$D$5:$D$753,0))/1000,IF($D280="kg",INDEX(⑰工程労務費一覧!$H$5:$H$753,MATCH($F280,⑰工程労務費一覧!$D$5:$D$753,0)),INDEX(⑰工程労務費一覧!$I$5:$I$753,MATCH($F280,⑰工程労務費一覧!$D$5:$D$753,0)))))),"")</f>
        <v/>
      </c>
      <c r="I280" s="392">
        <f>IF($K280&gt;0,IF(ISNUMBER(IF(OR($D280="g",$D280="ｇ"),IF($M280&gt;0,$L280/$M280/1000,""),IF($D280="kg",IF($M280&gt;0,$L280/$M280,""),IF($D280="",IF($M280&gt;0,$L280/$M280/1000,IF($O280&gt;0,$N280/$O280,"")),IF($O280&gt;0,$N280/$O280,""))))),IF($D280="",IF($M280&gt;0,"◎ JAN紐づけ(g扱い)","◎ JAN紐づけ(個扱い)"),"◎ JAN紐づけ"),"△ JAN紐づけ済・実績不足→仮計算"),IF($F280="",IF(ISNUMBER($H280),IF($D280="","⑤ 工程平均で仮計算(g扱い)","⑤ 工程平均で仮計算"),IF($E280="⑩盛付梱包工程入力","⑥ 盛り込み(⑳F列で計上)",IF(AND($E280="⑬計量工程入力",OR($D280="個",$D280="切",$D280="本",$D280="枚",$D280="尾")),"① 未紐づけ(カット個単位は仮単価なし)","① 未紐づけ"))),IF(NOT(ISNUMBER($H280)),"② 工程側に単価なし",IF($D280="","③ 単位未設定(個で計算)","④ OK"))))</f>
        <v/>
      </c>
      <c r="J280" s="399">
        <f>IFERROR(LOOKUP(2,1/((中間品リスト!$F$2:$F$1299=$B280)*(中間品リスト!$E$2:$E$1299&lt;&gt;"-")*(中間品リスト!$E$2:$E$1299&lt;&gt;"")),中間品リスト!$E$2:$E$1299),"")</f>
        <v/>
      </c>
      <c r="K280" s="400">
        <f>IF($J280="",0,COUNTIF(②釜工程入力!$S$5:$S$117,$J280)+COUNTIF(③スチコン工程入力!$S$5:$S$152,$J280)+COUNTIF(⑪ZEN工程入力!$S$6:$S$35,$J280)+COUNTIF(⑫ミキサー工程入力!$S$6:$S$65,$J280)+COUNTIF(⑬計量工程入力!$S$6:$S$65,$J280)+COUNTIF(⑭手動工程入力!$S$6:$S$47,$J280))</f>
        <v/>
      </c>
      <c r="L280" s="393">
        <f>IF($J280="",0,SUMIFS(②釜工程入力!$M$5:$M$117,②釜工程入力!$S$5:$S$117,$J280,②釜工程入力!$I$5:$I$117,"&gt;0")+SUMIFS(③スチコン工程入力!$M$5:$M$152,③スチコン工程入力!$S$5:$S$152,$J280,③スチコン工程入力!$I$5:$I$152,"&gt;0")+SUMIFS(⑪ZEN工程入力!$M$6:$M$35,⑪ZEN工程入力!$S$6:$S$35,$J280,⑪ZEN工程入力!$I$6:$I$35,"&gt;0")+SUMIFS(⑫ミキサー工程入力!$M$6:$M$65,⑫ミキサー工程入力!$S$6:$S$65,$J280,⑫ミキサー工程入力!$I$6:$I$65,"&gt;0")+SUMIFS(⑬計量工程入力!$M$6:$M$65,⑬計量工程入力!$S$6:$S$65,$J280,⑬計量工程入力!$I$6:$I$65,"&gt;0")+SUMIFS(⑭手動工程入力!$M$6:$M$47,⑭手動工程入力!$S$6:$S$47,$J280,⑭手動工程入力!$I$6:$I$47,"&gt;0"))</f>
        <v/>
      </c>
      <c r="M280" s="393">
        <f>IF($J280="",0,SUMIFS(②釜工程入力!$I$5:$I$117,②釜工程入力!$S$5:$S$117,$J280,②釜工程入力!$I$5:$I$117,"&gt;0",②釜工程入力!$M$5:$M$117,"&gt;0")+SUMIFS(③スチコン工程入力!$I$5:$I$152,③スチコン工程入力!$S$5:$S$152,$J280,③スチコン工程入力!$I$5:$I$152,"&gt;0",③スチコン工程入力!$M$5:$M$152,"&gt;0")+SUMIFS(⑪ZEN工程入力!$I$6:$I$35,⑪ZEN工程入力!$S$6:$S$35,$J280,⑪ZEN工程入力!$I$6:$I$35,"&gt;0",⑪ZEN工程入力!$M$6:$M$35,"&gt;0")+SUMIFS(⑫ミキサー工程入力!$I$6:$I$65,⑫ミキサー工程入力!$S$6:$S$65,$J280,⑫ミキサー工程入力!$I$6:$I$65,"&gt;0",⑫ミキサー工程入力!$M$6:$M$65,"&gt;0")+SUMIFS(⑬計量工程入力!$I$6:$I$65,⑬計量工程入力!$S$6:$S$65,$J280,⑬計量工程入力!$I$6:$I$65,"&gt;0",⑬計量工程入力!$M$6:$M$65,"&gt;0")+SUMIFS(⑭手動工程入力!$I$6:$I$47,⑭手動工程入力!$S$6:$S$47,$J280,⑭手動工程入力!$I$6:$I$47,"&gt;0",⑭手動工程入力!$M$6:$M$47,"&gt;0"))</f>
        <v/>
      </c>
      <c r="N280" s="393">
        <f>IF($J280="",0,SUMIFS(②釜工程入力!$M$5:$M$117,②釜工程入力!$S$5:$S$117,$J280,②釜工程入力!$J$5:$J$117,"&gt;0")-SUMIFS(②釜工程入力!$M$5:$M$117,②釜工程入力!$S$5:$S$117,$J280,②釜工程入力!$J$5:$J$117,"&gt;0",②釜工程入力!$I$5:$I$117,"&gt;0")+SUMIFS(③スチコン工程入力!$M$5:$M$152,③スチコン工程入力!$S$5:$S$152,$J280,③スチコン工程入力!$J$5:$J$152,"&gt;0")-SUMIFS(③スチコン工程入力!$M$5:$M$152,③スチコン工程入力!$S$5:$S$152,$J280,③スチコン工程入力!$J$5:$J$152,"&gt;0",③スチコン工程入力!$I$5:$I$152,"&gt;0")+SUMIFS(⑪ZEN工程入力!$M$6:$M$35,⑪ZEN工程入力!$S$6:$S$35,$J280,⑪ZEN工程入力!$J$6:$J$35,"&gt;0")-SUMIFS(⑪ZEN工程入力!$M$6:$M$35,⑪ZEN工程入力!$S$6:$S$35,$J280,⑪ZEN工程入力!$J$6:$J$35,"&gt;0",⑪ZEN工程入力!$I$6:$I$35,"&gt;0")+SUMIFS(⑫ミキサー工程入力!$M$6:$M$65,⑫ミキサー工程入力!$S$6:$S$65,$J280,⑫ミキサー工程入力!$J$6:$J$65,"&gt;0")-SUMIFS(⑫ミキサー工程入力!$M$6:$M$65,⑫ミキサー工程入力!$S$6:$S$65,$J280,⑫ミキサー工程入力!$J$6:$J$65,"&gt;0",⑫ミキサー工程入力!$I$6:$I$65,"&gt;0")+SUMIFS(⑬計量工程入力!$M$6:$M$65,⑬計量工程入力!$S$6:$S$65,$J280,⑬計量工程入力!$J$6:$J$65,"&gt;0")-SUMIFS(⑬計量工程入力!$M$6:$M$65,⑬計量工程入力!$S$6:$S$65,$J280,⑬計量工程入力!$J$6:$J$65,"&gt;0",⑬計量工程入力!$I$6:$I$65,"&gt;0")+SUMIFS(⑭手動工程入力!$M$6:$M$47,⑭手動工程入力!$S$6:$S$47,$J280,⑭手動工程入力!$J$6:$J$47,"&gt;0")-SUMIFS(⑭手動工程入力!$M$6:$M$47,⑭手動工程入力!$S$6:$S$47,$J280,⑭手動工程入力!$J$6:$J$47,"&gt;0",⑭手動工程入力!$I$6:$I$47,"&gt;0"))</f>
        <v/>
      </c>
      <c r="O280" s="393">
        <f>IF($J280="",0,SUMIFS(②釜工程入力!$J$5:$J$117,②釜工程入力!$S$5:$S$117,$J280,②釜工程入力!$J$5:$J$117,"&gt;0",②釜工程入力!$M$5:$M$117,"&gt;0")-SUMIFS(②釜工程入力!$J$5:$J$117,②釜工程入力!$S$5:$S$117,$J280,②釜工程入力!$J$5:$J$117,"&gt;0",②釜工程入力!$I$5:$I$117,"&gt;0",②釜工程入力!$M$5:$M$117,"&gt;0")+SUMIFS(③スチコン工程入力!$J$5:$J$152,③スチコン工程入力!$S$5:$S$152,$J280,③スチコン工程入力!$J$5:$J$152,"&gt;0",③スチコン工程入力!$M$5:$M$152,"&gt;0")-SUMIFS(③スチコン工程入力!$J$5:$J$152,③スチコン工程入力!$S$5:$S$152,$J280,③スチコン工程入力!$J$5:$J$152,"&gt;0",③スチコン工程入力!$I$5:$I$152,"&gt;0",③スチコン工程入力!$M$5:$M$152,"&gt;0")+SUMIFS(⑪ZEN工程入力!$J$6:$J$35,⑪ZEN工程入力!$S$6:$S$35,$J280,⑪ZEN工程入力!$J$6:$J$35,"&gt;0",⑪ZEN工程入力!$M$6:$M$35,"&gt;0")-SUMIFS(⑪ZEN工程入力!$J$6:$J$35,⑪ZEN工程入力!$S$6:$S$35,$J280,⑪ZEN工程入力!$J$6:$J$35,"&gt;0",⑪ZEN工程入力!$I$6:$I$35,"&gt;0",⑪ZEN工程入力!$M$6:$M$35,"&gt;0")+SUMIFS(⑫ミキサー工程入力!$J$6:$J$65,⑫ミキサー工程入力!$S$6:$S$65,$J280,⑫ミキサー工程入力!$J$6:$J$65,"&gt;0",⑫ミキサー工程入力!$M$6:$M$65,"&gt;0")-SUMIFS(⑫ミキサー工程入力!$J$6:$J$65,⑫ミキサー工程入力!$S$6:$S$65,$J280,⑫ミキサー工程入力!$J$6:$J$65,"&gt;0",⑫ミキサー工程入力!$I$6:$I$65,"&gt;0",⑫ミキサー工程入力!$M$6:$M$65,"&gt;0")+SUMIFS(⑬計量工程入力!$J$6:$J$65,⑬計量工程入力!$S$6:$S$65,$J280,⑬計量工程入力!$J$6:$J$65,"&gt;0",⑬計量工程入力!$M$6:$M$65,"&gt;0")-SUMIFS(⑬計量工程入力!$J$6:$J$65,⑬計量工程入力!$S$6:$S$65,$J280,⑬計量工程入力!$J$6:$J$65,"&gt;0",⑬計量工程入力!$I$6:$I$65,"&gt;0",⑬計量工程入力!$M$6:$M$65,"&gt;0")+SUMIFS(⑭手動工程入力!$J$6:$J$47,⑭手動工程入力!$S$6:$S$47,$J280,⑭手動工程入力!$J$6:$J$47,"&gt;0",⑭手動工程入力!$M$6:$M$47,"&gt;0")-SUMIFS(⑭手動工程入力!$J$6:$J$47,⑭手動工程入力!$S$6:$S$47,$J280,⑭手動工程入力!$J$6:$J$47,"&gt;0",⑭手動工程入力!$I$6:$I$47,"&gt;0",⑭手動工程入力!$M$6:$M$47,"&gt;0"))</f>
        <v/>
      </c>
      <c r="P280" s="392" t="inlineStr">
        <is>
          <t>中間品リスト</t>
        </is>
      </c>
    </row>
    <row r="281">
      <c r="A281" s="392" t="n">
        <v>277</v>
      </c>
      <c r="B281" s="392" t="n"/>
      <c r="C281" s="392" t="n"/>
      <c r="D281" s="409" t="n"/>
      <c r="E281" s="392" t="n"/>
      <c r="F281" s="394" t="n"/>
      <c r="G281" s="392" t="n"/>
      <c r="H281" s="604">
        <f>IFERROR(IF(AND($K281&gt;0,ISNUMBER(IF(OR($D281="g",$D281="ｇ"),IF($M281&gt;0,$L281/$M281/1000,""),IF($D281="kg",IF($M281&gt;0,$L281/$M281,""),IF($D281="",IF($M281&gt;0,$L281/$M281/1000,IF($O281&gt;0,$N281/$O281,"")),IF($O281&gt;0,$N281/$O281,"")))))),IF(OR($D281="g",$D281="ｇ"),IF($M281&gt;0,$L281/$M281/1000,""),IF($D281="kg",IF($M281&gt;0,$L281/$M281,""),IF($D281="",IF($M281&gt;0,$L281/$M281/1000,IF($O281&gt;0,$N281/$O281,"")),IF($O281&gt;0,$N281/$O281,"")))),IF($F281="",IF(OR($E281="",$E281="⑩盛付梱包工程入力"),"",IF(OR($D281="g",$D281="ｇ"),INDEX(⑰工程労務費一覧!$N$5:$N$11,MATCH($E281,⑰工程労務費一覧!$K$5:$K$11,0))/1000,IF($D281="kg",INDEX(⑰工程労務費一覧!$N$5:$N$11,MATCH($E281,⑰工程労務費一覧!$K$5:$K$11,0)),IF(OR($D281="個",$D281="切",$D281="本",$D281="枚",$D281="尾"),IF($E281="⑬計量工程入力","",INDEX(⑰工程労務費一覧!$P$5:$P$11,MATCH($E281,⑰工程労務費一覧!$K$5:$K$11,0))),IF(AND($D281="",OR($E281="②釜工程入力",$E281="③スチコン工程入力")),INDEX(⑰工程労務費一覧!$N$5:$N$11,MATCH($E281,⑰工程労務費一覧!$K$5:$K$11,0))/1000,""))))),IF(OR($D281="g",$D281="ｇ"),INDEX(⑰工程労務費一覧!$H$5:$H$753,MATCH($F281,⑰工程労務費一覧!$D$5:$D$753,0))/1000,IF($D281="kg",INDEX(⑰工程労務費一覧!$H$5:$H$753,MATCH($F281,⑰工程労務費一覧!$D$5:$D$753,0)),INDEX(⑰工程労務費一覧!$I$5:$I$753,MATCH($F281,⑰工程労務費一覧!$D$5:$D$753,0)))))),"")</f>
        <v/>
      </c>
      <c r="I281" s="392">
        <f>IF($K281&gt;0,IF(ISNUMBER(IF(OR($D281="g",$D281="ｇ"),IF($M281&gt;0,$L281/$M281/1000,""),IF($D281="kg",IF($M281&gt;0,$L281/$M281,""),IF($D281="",IF($M281&gt;0,$L281/$M281/1000,IF($O281&gt;0,$N281/$O281,"")),IF($O281&gt;0,$N281/$O281,""))))),IF($D281="",IF($M281&gt;0,"◎ JAN紐づけ(g扱い)","◎ JAN紐づけ(個扱い)"),"◎ JAN紐づけ"),"△ JAN紐づけ済・実績不足→仮計算"),IF($F281="",IF(ISNUMBER($H281),IF($D281="","⑤ 工程平均で仮計算(g扱い)","⑤ 工程平均で仮計算"),IF($E281="⑩盛付梱包工程入力","⑥ 盛り込み(⑳F列で計上)",IF(AND($E281="⑬計量工程入力",OR($D281="個",$D281="切",$D281="本",$D281="枚",$D281="尾")),"① 未紐づけ(カット個単位は仮単価なし)","① 未紐づけ"))),IF(NOT(ISNUMBER($H281)),"② 工程側に単価なし",IF($D281="","③ 単位未設定(個で計算)","④ OK"))))</f>
        <v/>
      </c>
      <c r="J281" s="399">
        <f>IFERROR(LOOKUP(2,1/((中間品リスト!$F$2:$F$1299=$B281)*(中間品リスト!$E$2:$E$1299&lt;&gt;"-")*(中間品リスト!$E$2:$E$1299&lt;&gt;"")),中間品リスト!$E$2:$E$1299),"")</f>
        <v/>
      </c>
      <c r="K281" s="400">
        <f>IF($J281="",0,COUNTIF(②釜工程入力!$S$5:$S$117,$J281)+COUNTIF(③スチコン工程入力!$S$5:$S$152,$J281)+COUNTIF(⑪ZEN工程入力!$S$6:$S$35,$J281)+COUNTIF(⑫ミキサー工程入力!$S$6:$S$65,$J281)+COUNTIF(⑬計量工程入力!$S$6:$S$65,$J281)+COUNTIF(⑭手動工程入力!$S$6:$S$47,$J281))</f>
        <v/>
      </c>
      <c r="L281" s="393">
        <f>IF($J281="",0,SUMIFS(②釜工程入力!$M$5:$M$117,②釜工程入力!$S$5:$S$117,$J281,②釜工程入力!$I$5:$I$117,"&gt;0")+SUMIFS(③スチコン工程入力!$M$5:$M$152,③スチコン工程入力!$S$5:$S$152,$J281,③スチコン工程入力!$I$5:$I$152,"&gt;0")+SUMIFS(⑪ZEN工程入力!$M$6:$M$35,⑪ZEN工程入力!$S$6:$S$35,$J281,⑪ZEN工程入力!$I$6:$I$35,"&gt;0")+SUMIFS(⑫ミキサー工程入力!$M$6:$M$65,⑫ミキサー工程入力!$S$6:$S$65,$J281,⑫ミキサー工程入力!$I$6:$I$65,"&gt;0")+SUMIFS(⑬計量工程入力!$M$6:$M$65,⑬計量工程入力!$S$6:$S$65,$J281,⑬計量工程入力!$I$6:$I$65,"&gt;0")+SUMIFS(⑭手動工程入力!$M$6:$M$47,⑭手動工程入力!$S$6:$S$47,$J281,⑭手動工程入力!$I$6:$I$47,"&gt;0"))</f>
        <v/>
      </c>
      <c r="M281" s="393">
        <f>IF($J281="",0,SUMIFS(②釜工程入力!$I$5:$I$117,②釜工程入力!$S$5:$S$117,$J281,②釜工程入力!$I$5:$I$117,"&gt;0",②釜工程入力!$M$5:$M$117,"&gt;0")+SUMIFS(③スチコン工程入力!$I$5:$I$152,③スチコン工程入力!$S$5:$S$152,$J281,③スチコン工程入力!$I$5:$I$152,"&gt;0",③スチコン工程入力!$M$5:$M$152,"&gt;0")+SUMIFS(⑪ZEN工程入力!$I$6:$I$35,⑪ZEN工程入力!$S$6:$S$35,$J281,⑪ZEN工程入力!$I$6:$I$35,"&gt;0",⑪ZEN工程入力!$M$6:$M$35,"&gt;0")+SUMIFS(⑫ミキサー工程入力!$I$6:$I$65,⑫ミキサー工程入力!$S$6:$S$65,$J281,⑫ミキサー工程入力!$I$6:$I$65,"&gt;0",⑫ミキサー工程入力!$M$6:$M$65,"&gt;0")+SUMIFS(⑬計量工程入力!$I$6:$I$65,⑬計量工程入力!$S$6:$S$65,$J281,⑬計量工程入力!$I$6:$I$65,"&gt;0",⑬計量工程入力!$M$6:$M$65,"&gt;0")+SUMIFS(⑭手動工程入力!$I$6:$I$47,⑭手動工程入力!$S$6:$S$47,$J281,⑭手動工程入力!$I$6:$I$47,"&gt;0",⑭手動工程入力!$M$6:$M$47,"&gt;0"))</f>
        <v/>
      </c>
      <c r="N281" s="393">
        <f>IF($J281="",0,SUMIFS(②釜工程入力!$M$5:$M$117,②釜工程入力!$S$5:$S$117,$J281,②釜工程入力!$J$5:$J$117,"&gt;0")-SUMIFS(②釜工程入力!$M$5:$M$117,②釜工程入力!$S$5:$S$117,$J281,②釜工程入力!$J$5:$J$117,"&gt;0",②釜工程入力!$I$5:$I$117,"&gt;0")+SUMIFS(③スチコン工程入力!$M$5:$M$152,③スチコン工程入力!$S$5:$S$152,$J281,③スチコン工程入力!$J$5:$J$152,"&gt;0")-SUMIFS(③スチコン工程入力!$M$5:$M$152,③スチコン工程入力!$S$5:$S$152,$J281,③スチコン工程入力!$J$5:$J$152,"&gt;0",③スチコン工程入力!$I$5:$I$152,"&gt;0")+SUMIFS(⑪ZEN工程入力!$M$6:$M$35,⑪ZEN工程入力!$S$6:$S$35,$J281,⑪ZEN工程入力!$J$6:$J$35,"&gt;0")-SUMIFS(⑪ZEN工程入力!$M$6:$M$35,⑪ZEN工程入力!$S$6:$S$35,$J281,⑪ZEN工程入力!$J$6:$J$35,"&gt;0",⑪ZEN工程入力!$I$6:$I$35,"&gt;0")+SUMIFS(⑫ミキサー工程入力!$M$6:$M$65,⑫ミキサー工程入力!$S$6:$S$65,$J281,⑫ミキサー工程入力!$J$6:$J$65,"&gt;0")-SUMIFS(⑫ミキサー工程入力!$M$6:$M$65,⑫ミキサー工程入力!$S$6:$S$65,$J281,⑫ミキサー工程入力!$J$6:$J$65,"&gt;0",⑫ミキサー工程入力!$I$6:$I$65,"&gt;0")+SUMIFS(⑬計量工程入力!$M$6:$M$65,⑬計量工程入力!$S$6:$S$65,$J281,⑬計量工程入力!$J$6:$J$65,"&gt;0")-SUMIFS(⑬計量工程入力!$M$6:$M$65,⑬計量工程入力!$S$6:$S$65,$J281,⑬計量工程入力!$J$6:$J$65,"&gt;0",⑬計量工程入力!$I$6:$I$65,"&gt;0")+SUMIFS(⑭手動工程入力!$M$6:$M$47,⑭手動工程入力!$S$6:$S$47,$J281,⑭手動工程入力!$J$6:$J$47,"&gt;0")-SUMIFS(⑭手動工程入力!$M$6:$M$47,⑭手動工程入力!$S$6:$S$47,$J281,⑭手動工程入力!$J$6:$J$47,"&gt;0",⑭手動工程入力!$I$6:$I$47,"&gt;0"))</f>
        <v/>
      </c>
      <c r="O281" s="393">
        <f>IF($J281="",0,SUMIFS(②釜工程入力!$J$5:$J$117,②釜工程入力!$S$5:$S$117,$J281,②釜工程入力!$J$5:$J$117,"&gt;0",②釜工程入力!$M$5:$M$117,"&gt;0")-SUMIFS(②釜工程入力!$J$5:$J$117,②釜工程入力!$S$5:$S$117,$J281,②釜工程入力!$J$5:$J$117,"&gt;0",②釜工程入力!$I$5:$I$117,"&gt;0",②釜工程入力!$M$5:$M$117,"&gt;0")+SUMIFS(③スチコン工程入力!$J$5:$J$152,③スチコン工程入力!$S$5:$S$152,$J281,③スチコン工程入力!$J$5:$J$152,"&gt;0",③スチコン工程入力!$M$5:$M$152,"&gt;0")-SUMIFS(③スチコン工程入力!$J$5:$J$152,③スチコン工程入力!$S$5:$S$152,$J281,③スチコン工程入力!$J$5:$J$152,"&gt;0",③スチコン工程入力!$I$5:$I$152,"&gt;0",③スチコン工程入力!$M$5:$M$152,"&gt;0")+SUMIFS(⑪ZEN工程入力!$J$6:$J$35,⑪ZEN工程入力!$S$6:$S$35,$J281,⑪ZEN工程入力!$J$6:$J$35,"&gt;0",⑪ZEN工程入力!$M$6:$M$35,"&gt;0")-SUMIFS(⑪ZEN工程入力!$J$6:$J$35,⑪ZEN工程入力!$S$6:$S$35,$J281,⑪ZEN工程入力!$J$6:$J$35,"&gt;0",⑪ZEN工程入力!$I$6:$I$35,"&gt;0",⑪ZEN工程入力!$M$6:$M$35,"&gt;0")+SUMIFS(⑫ミキサー工程入力!$J$6:$J$65,⑫ミキサー工程入力!$S$6:$S$65,$J281,⑫ミキサー工程入力!$J$6:$J$65,"&gt;0",⑫ミキサー工程入力!$M$6:$M$65,"&gt;0")-SUMIFS(⑫ミキサー工程入力!$J$6:$J$65,⑫ミキサー工程入力!$S$6:$S$65,$J281,⑫ミキサー工程入力!$J$6:$J$65,"&gt;0",⑫ミキサー工程入力!$I$6:$I$65,"&gt;0",⑫ミキサー工程入力!$M$6:$M$65,"&gt;0")+SUMIFS(⑬計量工程入力!$J$6:$J$65,⑬計量工程入力!$S$6:$S$65,$J281,⑬計量工程入力!$J$6:$J$65,"&gt;0",⑬計量工程入力!$M$6:$M$65,"&gt;0")-SUMIFS(⑬計量工程入力!$J$6:$J$65,⑬計量工程入力!$S$6:$S$65,$J281,⑬計量工程入力!$J$6:$J$65,"&gt;0",⑬計量工程入力!$I$6:$I$65,"&gt;0",⑬計量工程入力!$M$6:$M$65,"&gt;0")+SUMIFS(⑭手動工程入力!$J$6:$J$47,⑭手動工程入力!$S$6:$S$47,$J281,⑭手動工程入力!$J$6:$J$47,"&gt;0",⑭手動工程入力!$M$6:$M$47,"&gt;0")-SUMIFS(⑭手動工程入力!$J$6:$J$47,⑭手動工程入力!$S$6:$S$47,$J281,⑭手動工程入力!$J$6:$J$47,"&gt;0",⑭手動工程入力!$I$6:$I$47,"&gt;0",⑭手動工程入力!$M$6:$M$47,"&gt;0"))</f>
        <v/>
      </c>
      <c r="P281" s="392" t="inlineStr">
        <is>
          <t>中間品リスト</t>
        </is>
      </c>
    </row>
    <row r="282">
      <c r="A282" s="392" t="n">
        <v>278</v>
      </c>
      <c r="B282" s="392" t="n"/>
      <c r="C282" s="392" t="n"/>
      <c r="D282" s="409" t="n"/>
      <c r="E282" s="392" t="n"/>
      <c r="F282" s="394" t="n"/>
      <c r="G282" s="392" t="n"/>
      <c r="H282" s="604">
        <f>IFERROR(IF(AND($K282&gt;0,ISNUMBER(IF(OR($D282="g",$D282="ｇ"),IF($M282&gt;0,$L282/$M282/1000,""),IF($D282="kg",IF($M282&gt;0,$L282/$M282,""),IF($D282="",IF($M282&gt;0,$L282/$M282/1000,IF($O282&gt;0,$N282/$O282,"")),IF($O282&gt;0,$N282/$O282,"")))))),IF(OR($D282="g",$D282="ｇ"),IF($M282&gt;0,$L282/$M282/1000,""),IF($D282="kg",IF($M282&gt;0,$L282/$M282,""),IF($D282="",IF($M282&gt;0,$L282/$M282/1000,IF($O282&gt;0,$N282/$O282,"")),IF($O282&gt;0,$N282/$O282,"")))),IF($F282="",IF(OR($E282="",$E282="⑩盛付梱包工程入力"),"",IF(OR($D282="g",$D282="ｇ"),INDEX(⑰工程労務費一覧!$N$5:$N$11,MATCH($E282,⑰工程労務費一覧!$K$5:$K$11,0))/1000,IF($D282="kg",INDEX(⑰工程労務費一覧!$N$5:$N$11,MATCH($E282,⑰工程労務費一覧!$K$5:$K$11,0)),IF(OR($D282="個",$D282="切",$D282="本",$D282="枚",$D282="尾"),IF($E282="⑬計量工程入力","",INDEX(⑰工程労務費一覧!$P$5:$P$11,MATCH($E282,⑰工程労務費一覧!$K$5:$K$11,0))),IF(AND($D282="",OR($E282="②釜工程入力",$E282="③スチコン工程入力")),INDEX(⑰工程労務費一覧!$N$5:$N$11,MATCH($E282,⑰工程労務費一覧!$K$5:$K$11,0))/1000,""))))),IF(OR($D282="g",$D282="ｇ"),INDEX(⑰工程労務費一覧!$H$5:$H$753,MATCH($F282,⑰工程労務費一覧!$D$5:$D$753,0))/1000,IF($D282="kg",INDEX(⑰工程労務費一覧!$H$5:$H$753,MATCH($F282,⑰工程労務費一覧!$D$5:$D$753,0)),INDEX(⑰工程労務費一覧!$I$5:$I$753,MATCH($F282,⑰工程労務費一覧!$D$5:$D$753,0)))))),"")</f>
        <v/>
      </c>
      <c r="I282" s="392">
        <f>IF($K282&gt;0,IF(ISNUMBER(IF(OR($D282="g",$D282="ｇ"),IF($M282&gt;0,$L282/$M282/1000,""),IF($D282="kg",IF($M282&gt;0,$L282/$M282,""),IF($D282="",IF($M282&gt;0,$L282/$M282/1000,IF($O282&gt;0,$N282/$O282,"")),IF($O282&gt;0,$N282/$O282,""))))),IF($D282="",IF($M282&gt;0,"◎ JAN紐づけ(g扱い)","◎ JAN紐づけ(個扱い)"),"◎ JAN紐づけ"),"△ JAN紐づけ済・実績不足→仮計算"),IF($F282="",IF(ISNUMBER($H282),IF($D282="","⑤ 工程平均で仮計算(g扱い)","⑤ 工程平均で仮計算"),IF($E282="⑩盛付梱包工程入力","⑥ 盛り込み(⑳F列で計上)",IF(AND($E282="⑬計量工程入力",OR($D282="個",$D282="切",$D282="本",$D282="枚",$D282="尾")),"① 未紐づけ(カット個単位は仮単価なし)","① 未紐づけ"))),IF(NOT(ISNUMBER($H282)),"② 工程側に単価なし",IF($D282="","③ 単位未設定(個で計算)","④ OK"))))</f>
        <v/>
      </c>
      <c r="J282" s="399">
        <f>IFERROR(LOOKUP(2,1/((中間品リスト!$F$2:$F$1299=$B282)*(中間品リスト!$E$2:$E$1299&lt;&gt;"-")*(中間品リスト!$E$2:$E$1299&lt;&gt;"")),中間品リスト!$E$2:$E$1299),"")</f>
        <v/>
      </c>
      <c r="K282" s="400">
        <f>IF($J282="",0,COUNTIF(②釜工程入力!$S$5:$S$117,$J282)+COUNTIF(③スチコン工程入力!$S$5:$S$152,$J282)+COUNTIF(⑪ZEN工程入力!$S$6:$S$35,$J282)+COUNTIF(⑫ミキサー工程入力!$S$6:$S$65,$J282)+COUNTIF(⑬計量工程入力!$S$6:$S$65,$J282)+COUNTIF(⑭手動工程入力!$S$6:$S$47,$J282))</f>
        <v/>
      </c>
      <c r="L282" s="393">
        <f>IF($J282="",0,SUMIFS(②釜工程入力!$M$5:$M$117,②釜工程入力!$S$5:$S$117,$J282,②釜工程入力!$I$5:$I$117,"&gt;0")+SUMIFS(③スチコン工程入力!$M$5:$M$152,③スチコン工程入力!$S$5:$S$152,$J282,③スチコン工程入力!$I$5:$I$152,"&gt;0")+SUMIFS(⑪ZEN工程入力!$M$6:$M$35,⑪ZEN工程入力!$S$6:$S$35,$J282,⑪ZEN工程入力!$I$6:$I$35,"&gt;0")+SUMIFS(⑫ミキサー工程入力!$M$6:$M$65,⑫ミキサー工程入力!$S$6:$S$65,$J282,⑫ミキサー工程入力!$I$6:$I$65,"&gt;0")+SUMIFS(⑬計量工程入力!$M$6:$M$65,⑬計量工程入力!$S$6:$S$65,$J282,⑬計量工程入力!$I$6:$I$65,"&gt;0")+SUMIFS(⑭手動工程入力!$M$6:$M$47,⑭手動工程入力!$S$6:$S$47,$J282,⑭手動工程入力!$I$6:$I$47,"&gt;0"))</f>
        <v/>
      </c>
      <c r="M282" s="393">
        <f>IF($J282="",0,SUMIFS(②釜工程入力!$I$5:$I$117,②釜工程入力!$S$5:$S$117,$J282,②釜工程入力!$I$5:$I$117,"&gt;0",②釜工程入力!$M$5:$M$117,"&gt;0")+SUMIFS(③スチコン工程入力!$I$5:$I$152,③スチコン工程入力!$S$5:$S$152,$J282,③スチコン工程入力!$I$5:$I$152,"&gt;0",③スチコン工程入力!$M$5:$M$152,"&gt;0")+SUMIFS(⑪ZEN工程入力!$I$6:$I$35,⑪ZEN工程入力!$S$6:$S$35,$J282,⑪ZEN工程入力!$I$6:$I$35,"&gt;0",⑪ZEN工程入力!$M$6:$M$35,"&gt;0")+SUMIFS(⑫ミキサー工程入力!$I$6:$I$65,⑫ミキサー工程入力!$S$6:$S$65,$J282,⑫ミキサー工程入力!$I$6:$I$65,"&gt;0",⑫ミキサー工程入力!$M$6:$M$65,"&gt;0")+SUMIFS(⑬計量工程入力!$I$6:$I$65,⑬計量工程入力!$S$6:$S$65,$J282,⑬計量工程入力!$I$6:$I$65,"&gt;0",⑬計量工程入力!$M$6:$M$65,"&gt;0")+SUMIFS(⑭手動工程入力!$I$6:$I$47,⑭手動工程入力!$S$6:$S$47,$J282,⑭手動工程入力!$I$6:$I$47,"&gt;0",⑭手動工程入力!$M$6:$M$47,"&gt;0"))</f>
        <v/>
      </c>
      <c r="N282" s="393">
        <f>IF($J282="",0,SUMIFS(②釜工程入力!$M$5:$M$117,②釜工程入力!$S$5:$S$117,$J282,②釜工程入力!$J$5:$J$117,"&gt;0")-SUMIFS(②釜工程入力!$M$5:$M$117,②釜工程入力!$S$5:$S$117,$J282,②釜工程入力!$J$5:$J$117,"&gt;0",②釜工程入力!$I$5:$I$117,"&gt;0")+SUMIFS(③スチコン工程入力!$M$5:$M$152,③スチコン工程入力!$S$5:$S$152,$J282,③スチコン工程入力!$J$5:$J$152,"&gt;0")-SUMIFS(③スチコン工程入力!$M$5:$M$152,③スチコン工程入力!$S$5:$S$152,$J282,③スチコン工程入力!$J$5:$J$152,"&gt;0",③スチコン工程入力!$I$5:$I$152,"&gt;0")+SUMIFS(⑪ZEN工程入力!$M$6:$M$35,⑪ZEN工程入力!$S$6:$S$35,$J282,⑪ZEN工程入力!$J$6:$J$35,"&gt;0")-SUMIFS(⑪ZEN工程入力!$M$6:$M$35,⑪ZEN工程入力!$S$6:$S$35,$J282,⑪ZEN工程入力!$J$6:$J$35,"&gt;0",⑪ZEN工程入力!$I$6:$I$35,"&gt;0")+SUMIFS(⑫ミキサー工程入力!$M$6:$M$65,⑫ミキサー工程入力!$S$6:$S$65,$J282,⑫ミキサー工程入力!$J$6:$J$65,"&gt;0")-SUMIFS(⑫ミキサー工程入力!$M$6:$M$65,⑫ミキサー工程入力!$S$6:$S$65,$J282,⑫ミキサー工程入力!$J$6:$J$65,"&gt;0",⑫ミキサー工程入力!$I$6:$I$65,"&gt;0")+SUMIFS(⑬計量工程入力!$M$6:$M$65,⑬計量工程入力!$S$6:$S$65,$J282,⑬計量工程入力!$J$6:$J$65,"&gt;0")-SUMIFS(⑬計量工程入力!$M$6:$M$65,⑬計量工程入力!$S$6:$S$65,$J282,⑬計量工程入力!$J$6:$J$65,"&gt;0",⑬計量工程入力!$I$6:$I$65,"&gt;0")+SUMIFS(⑭手動工程入力!$M$6:$M$47,⑭手動工程入力!$S$6:$S$47,$J282,⑭手動工程入力!$J$6:$J$47,"&gt;0")-SUMIFS(⑭手動工程入力!$M$6:$M$47,⑭手動工程入力!$S$6:$S$47,$J282,⑭手動工程入力!$J$6:$J$47,"&gt;0",⑭手動工程入力!$I$6:$I$47,"&gt;0"))</f>
        <v/>
      </c>
      <c r="O282" s="393">
        <f>IF($J282="",0,SUMIFS(②釜工程入力!$J$5:$J$117,②釜工程入力!$S$5:$S$117,$J282,②釜工程入力!$J$5:$J$117,"&gt;0",②釜工程入力!$M$5:$M$117,"&gt;0")-SUMIFS(②釜工程入力!$J$5:$J$117,②釜工程入力!$S$5:$S$117,$J282,②釜工程入力!$J$5:$J$117,"&gt;0",②釜工程入力!$I$5:$I$117,"&gt;0",②釜工程入力!$M$5:$M$117,"&gt;0")+SUMIFS(③スチコン工程入力!$J$5:$J$152,③スチコン工程入力!$S$5:$S$152,$J282,③スチコン工程入力!$J$5:$J$152,"&gt;0",③スチコン工程入力!$M$5:$M$152,"&gt;0")-SUMIFS(③スチコン工程入力!$J$5:$J$152,③スチコン工程入力!$S$5:$S$152,$J282,③スチコン工程入力!$J$5:$J$152,"&gt;0",③スチコン工程入力!$I$5:$I$152,"&gt;0",③スチコン工程入力!$M$5:$M$152,"&gt;0")+SUMIFS(⑪ZEN工程入力!$J$6:$J$35,⑪ZEN工程入力!$S$6:$S$35,$J282,⑪ZEN工程入力!$J$6:$J$35,"&gt;0",⑪ZEN工程入力!$M$6:$M$35,"&gt;0")-SUMIFS(⑪ZEN工程入力!$J$6:$J$35,⑪ZEN工程入力!$S$6:$S$35,$J282,⑪ZEN工程入力!$J$6:$J$35,"&gt;0",⑪ZEN工程入力!$I$6:$I$35,"&gt;0",⑪ZEN工程入力!$M$6:$M$35,"&gt;0")+SUMIFS(⑫ミキサー工程入力!$J$6:$J$65,⑫ミキサー工程入力!$S$6:$S$65,$J282,⑫ミキサー工程入力!$J$6:$J$65,"&gt;0",⑫ミキサー工程入力!$M$6:$M$65,"&gt;0")-SUMIFS(⑫ミキサー工程入力!$J$6:$J$65,⑫ミキサー工程入力!$S$6:$S$65,$J282,⑫ミキサー工程入力!$J$6:$J$65,"&gt;0",⑫ミキサー工程入力!$I$6:$I$65,"&gt;0",⑫ミキサー工程入力!$M$6:$M$65,"&gt;0")+SUMIFS(⑬計量工程入力!$J$6:$J$65,⑬計量工程入力!$S$6:$S$65,$J282,⑬計量工程入力!$J$6:$J$65,"&gt;0",⑬計量工程入力!$M$6:$M$65,"&gt;0")-SUMIFS(⑬計量工程入力!$J$6:$J$65,⑬計量工程入力!$S$6:$S$65,$J282,⑬計量工程入力!$J$6:$J$65,"&gt;0",⑬計量工程入力!$I$6:$I$65,"&gt;0",⑬計量工程入力!$M$6:$M$65,"&gt;0")+SUMIFS(⑭手動工程入力!$J$6:$J$47,⑭手動工程入力!$S$6:$S$47,$J282,⑭手動工程入力!$J$6:$J$47,"&gt;0",⑭手動工程入力!$M$6:$M$47,"&gt;0")-SUMIFS(⑭手動工程入力!$J$6:$J$47,⑭手動工程入力!$S$6:$S$47,$J282,⑭手動工程入力!$J$6:$J$47,"&gt;0",⑭手動工程入力!$I$6:$I$47,"&gt;0",⑭手動工程入力!$M$6:$M$47,"&gt;0"))</f>
        <v/>
      </c>
      <c r="P282" s="392" t="inlineStr">
        <is>
          <t>中間品リスト</t>
        </is>
      </c>
    </row>
    <row r="283">
      <c r="A283" s="392" t="n">
        <v>279</v>
      </c>
      <c r="B283" s="392" t="n"/>
      <c r="C283" s="392" t="n"/>
      <c r="D283" s="409" t="n"/>
      <c r="E283" s="392" t="n"/>
      <c r="F283" s="394" t="n"/>
      <c r="G283" s="392" t="n"/>
      <c r="H283" s="604">
        <f>IFERROR(IF(AND($K283&gt;0,ISNUMBER(IF(OR($D283="g",$D283="ｇ"),IF($M283&gt;0,$L283/$M283/1000,""),IF($D283="kg",IF($M283&gt;0,$L283/$M283,""),IF($D283="",IF($M283&gt;0,$L283/$M283/1000,IF($O283&gt;0,$N283/$O283,"")),IF($O283&gt;0,$N283/$O283,"")))))),IF(OR($D283="g",$D283="ｇ"),IF($M283&gt;0,$L283/$M283/1000,""),IF($D283="kg",IF($M283&gt;0,$L283/$M283,""),IF($D283="",IF($M283&gt;0,$L283/$M283/1000,IF($O283&gt;0,$N283/$O283,"")),IF($O283&gt;0,$N283/$O283,"")))),IF($F283="",IF(OR($E283="",$E283="⑩盛付梱包工程入力"),"",IF(OR($D283="g",$D283="ｇ"),INDEX(⑰工程労務費一覧!$N$5:$N$11,MATCH($E283,⑰工程労務費一覧!$K$5:$K$11,0))/1000,IF($D283="kg",INDEX(⑰工程労務費一覧!$N$5:$N$11,MATCH($E283,⑰工程労務費一覧!$K$5:$K$11,0)),IF(OR($D283="個",$D283="切",$D283="本",$D283="枚",$D283="尾"),IF($E283="⑬計量工程入力","",INDEX(⑰工程労務費一覧!$P$5:$P$11,MATCH($E283,⑰工程労務費一覧!$K$5:$K$11,0))),IF(AND($D283="",OR($E283="②釜工程入力",$E283="③スチコン工程入力")),INDEX(⑰工程労務費一覧!$N$5:$N$11,MATCH($E283,⑰工程労務費一覧!$K$5:$K$11,0))/1000,""))))),IF(OR($D283="g",$D283="ｇ"),INDEX(⑰工程労務費一覧!$H$5:$H$753,MATCH($F283,⑰工程労務費一覧!$D$5:$D$753,0))/1000,IF($D283="kg",INDEX(⑰工程労務費一覧!$H$5:$H$753,MATCH($F283,⑰工程労務費一覧!$D$5:$D$753,0)),INDEX(⑰工程労務費一覧!$I$5:$I$753,MATCH($F283,⑰工程労務費一覧!$D$5:$D$753,0)))))),"")</f>
        <v/>
      </c>
      <c r="I283" s="392">
        <f>IF($K283&gt;0,IF(ISNUMBER(IF(OR($D283="g",$D283="ｇ"),IF($M283&gt;0,$L283/$M283/1000,""),IF($D283="kg",IF($M283&gt;0,$L283/$M283,""),IF($D283="",IF($M283&gt;0,$L283/$M283/1000,IF($O283&gt;0,$N283/$O283,"")),IF($O283&gt;0,$N283/$O283,""))))),IF($D283="",IF($M283&gt;0,"◎ JAN紐づけ(g扱い)","◎ JAN紐づけ(個扱い)"),"◎ JAN紐づけ"),"△ JAN紐づけ済・実績不足→仮計算"),IF($F283="",IF(ISNUMBER($H283),IF($D283="","⑤ 工程平均で仮計算(g扱い)","⑤ 工程平均で仮計算"),IF($E283="⑩盛付梱包工程入力","⑥ 盛り込み(⑳F列で計上)",IF(AND($E283="⑬計量工程入力",OR($D283="個",$D283="切",$D283="本",$D283="枚",$D283="尾")),"① 未紐づけ(カット個単位は仮単価なし)","① 未紐づけ"))),IF(NOT(ISNUMBER($H283)),"② 工程側に単価なし",IF($D283="","③ 単位未設定(個で計算)","④ OK"))))</f>
        <v/>
      </c>
      <c r="J283" s="399">
        <f>IFERROR(LOOKUP(2,1/((中間品リスト!$F$2:$F$1299=$B283)*(中間品リスト!$E$2:$E$1299&lt;&gt;"-")*(中間品リスト!$E$2:$E$1299&lt;&gt;"")),中間品リスト!$E$2:$E$1299),"")</f>
        <v/>
      </c>
      <c r="K283" s="400">
        <f>IF($J283="",0,COUNTIF(②釜工程入力!$S$5:$S$117,$J283)+COUNTIF(③スチコン工程入力!$S$5:$S$152,$J283)+COUNTIF(⑪ZEN工程入力!$S$6:$S$35,$J283)+COUNTIF(⑫ミキサー工程入力!$S$6:$S$65,$J283)+COUNTIF(⑬計量工程入力!$S$6:$S$65,$J283)+COUNTIF(⑭手動工程入力!$S$6:$S$47,$J283))</f>
        <v/>
      </c>
      <c r="L283" s="393">
        <f>IF($J283="",0,SUMIFS(②釜工程入力!$M$5:$M$117,②釜工程入力!$S$5:$S$117,$J283,②釜工程入力!$I$5:$I$117,"&gt;0")+SUMIFS(③スチコン工程入力!$M$5:$M$152,③スチコン工程入力!$S$5:$S$152,$J283,③スチコン工程入力!$I$5:$I$152,"&gt;0")+SUMIFS(⑪ZEN工程入力!$M$6:$M$35,⑪ZEN工程入力!$S$6:$S$35,$J283,⑪ZEN工程入力!$I$6:$I$35,"&gt;0")+SUMIFS(⑫ミキサー工程入力!$M$6:$M$65,⑫ミキサー工程入力!$S$6:$S$65,$J283,⑫ミキサー工程入力!$I$6:$I$65,"&gt;0")+SUMIFS(⑬計量工程入力!$M$6:$M$65,⑬計量工程入力!$S$6:$S$65,$J283,⑬計量工程入力!$I$6:$I$65,"&gt;0")+SUMIFS(⑭手動工程入力!$M$6:$M$47,⑭手動工程入力!$S$6:$S$47,$J283,⑭手動工程入力!$I$6:$I$47,"&gt;0"))</f>
        <v/>
      </c>
      <c r="M283" s="393">
        <f>IF($J283="",0,SUMIFS(②釜工程入力!$I$5:$I$117,②釜工程入力!$S$5:$S$117,$J283,②釜工程入力!$I$5:$I$117,"&gt;0",②釜工程入力!$M$5:$M$117,"&gt;0")+SUMIFS(③スチコン工程入力!$I$5:$I$152,③スチコン工程入力!$S$5:$S$152,$J283,③スチコン工程入力!$I$5:$I$152,"&gt;0",③スチコン工程入力!$M$5:$M$152,"&gt;0")+SUMIFS(⑪ZEN工程入力!$I$6:$I$35,⑪ZEN工程入力!$S$6:$S$35,$J283,⑪ZEN工程入力!$I$6:$I$35,"&gt;0",⑪ZEN工程入力!$M$6:$M$35,"&gt;0")+SUMIFS(⑫ミキサー工程入力!$I$6:$I$65,⑫ミキサー工程入力!$S$6:$S$65,$J283,⑫ミキサー工程入力!$I$6:$I$65,"&gt;0",⑫ミキサー工程入力!$M$6:$M$65,"&gt;0")+SUMIFS(⑬計量工程入力!$I$6:$I$65,⑬計量工程入力!$S$6:$S$65,$J283,⑬計量工程入力!$I$6:$I$65,"&gt;0",⑬計量工程入力!$M$6:$M$65,"&gt;0")+SUMIFS(⑭手動工程入力!$I$6:$I$47,⑭手動工程入力!$S$6:$S$47,$J283,⑭手動工程入力!$I$6:$I$47,"&gt;0",⑭手動工程入力!$M$6:$M$47,"&gt;0"))</f>
        <v/>
      </c>
      <c r="N283" s="393">
        <f>IF($J283="",0,SUMIFS(②釜工程入力!$M$5:$M$117,②釜工程入力!$S$5:$S$117,$J283,②釜工程入力!$J$5:$J$117,"&gt;0")-SUMIFS(②釜工程入力!$M$5:$M$117,②釜工程入力!$S$5:$S$117,$J283,②釜工程入力!$J$5:$J$117,"&gt;0",②釜工程入力!$I$5:$I$117,"&gt;0")+SUMIFS(③スチコン工程入力!$M$5:$M$152,③スチコン工程入力!$S$5:$S$152,$J283,③スチコン工程入力!$J$5:$J$152,"&gt;0")-SUMIFS(③スチコン工程入力!$M$5:$M$152,③スチコン工程入力!$S$5:$S$152,$J283,③スチコン工程入力!$J$5:$J$152,"&gt;0",③スチコン工程入力!$I$5:$I$152,"&gt;0")+SUMIFS(⑪ZEN工程入力!$M$6:$M$35,⑪ZEN工程入力!$S$6:$S$35,$J283,⑪ZEN工程入力!$J$6:$J$35,"&gt;0")-SUMIFS(⑪ZEN工程入力!$M$6:$M$35,⑪ZEN工程入力!$S$6:$S$35,$J283,⑪ZEN工程入力!$J$6:$J$35,"&gt;0",⑪ZEN工程入力!$I$6:$I$35,"&gt;0")+SUMIFS(⑫ミキサー工程入力!$M$6:$M$65,⑫ミキサー工程入力!$S$6:$S$65,$J283,⑫ミキサー工程入力!$J$6:$J$65,"&gt;0")-SUMIFS(⑫ミキサー工程入力!$M$6:$M$65,⑫ミキサー工程入力!$S$6:$S$65,$J283,⑫ミキサー工程入力!$J$6:$J$65,"&gt;0",⑫ミキサー工程入力!$I$6:$I$65,"&gt;0")+SUMIFS(⑬計量工程入力!$M$6:$M$65,⑬計量工程入力!$S$6:$S$65,$J283,⑬計量工程入力!$J$6:$J$65,"&gt;0")-SUMIFS(⑬計量工程入力!$M$6:$M$65,⑬計量工程入力!$S$6:$S$65,$J283,⑬計量工程入力!$J$6:$J$65,"&gt;0",⑬計量工程入力!$I$6:$I$65,"&gt;0")+SUMIFS(⑭手動工程入力!$M$6:$M$47,⑭手動工程入力!$S$6:$S$47,$J283,⑭手動工程入力!$J$6:$J$47,"&gt;0")-SUMIFS(⑭手動工程入力!$M$6:$M$47,⑭手動工程入力!$S$6:$S$47,$J283,⑭手動工程入力!$J$6:$J$47,"&gt;0",⑭手動工程入力!$I$6:$I$47,"&gt;0"))</f>
        <v/>
      </c>
      <c r="O283" s="393">
        <f>IF($J283="",0,SUMIFS(②釜工程入力!$J$5:$J$117,②釜工程入力!$S$5:$S$117,$J283,②釜工程入力!$J$5:$J$117,"&gt;0",②釜工程入力!$M$5:$M$117,"&gt;0")-SUMIFS(②釜工程入力!$J$5:$J$117,②釜工程入力!$S$5:$S$117,$J283,②釜工程入力!$J$5:$J$117,"&gt;0",②釜工程入力!$I$5:$I$117,"&gt;0",②釜工程入力!$M$5:$M$117,"&gt;0")+SUMIFS(③スチコン工程入力!$J$5:$J$152,③スチコン工程入力!$S$5:$S$152,$J283,③スチコン工程入力!$J$5:$J$152,"&gt;0",③スチコン工程入力!$M$5:$M$152,"&gt;0")-SUMIFS(③スチコン工程入力!$J$5:$J$152,③スチコン工程入力!$S$5:$S$152,$J283,③スチコン工程入力!$J$5:$J$152,"&gt;0",③スチコン工程入力!$I$5:$I$152,"&gt;0",③スチコン工程入力!$M$5:$M$152,"&gt;0")+SUMIFS(⑪ZEN工程入力!$J$6:$J$35,⑪ZEN工程入力!$S$6:$S$35,$J283,⑪ZEN工程入力!$J$6:$J$35,"&gt;0",⑪ZEN工程入力!$M$6:$M$35,"&gt;0")-SUMIFS(⑪ZEN工程入力!$J$6:$J$35,⑪ZEN工程入力!$S$6:$S$35,$J283,⑪ZEN工程入力!$J$6:$J$35,"&gt;0",⑪ZEN工程入力!$I$6:$I$35,"&gt;0",⑪ZEN工程入力!$M$6:$M$35,"&gt;0")+SUMIFS(⑫ミキサー工程入力!$J$6:$J$65,⑫ミキサー工程入力!$S$6:$S$65,$J283,⑫ミキサー工程入力!$J$6:$J$65,"&gt;0",⑫ミキサー工程入力!$M$6:$M$65,"&gt;0")-SUMIFS(⑫ミキサー工程入力!$J$6:$J$65,⑫ミキサー工程入力!$S$6:$S$65,$J283,⑫ミキサー工程入力!$J$6:$J$65,"&gt;0",⑫ミキサー工程入力!$I$6:$I$65,"&gt;0",⑫ミキサー工程入力!$M$6:$M$65,"&gt;0")+SUMIFS(⑬計量工程入力!$J$6:$J$65,⑬計量工程入力!$S$6:$S$65,$J283,⑬計量工程入力!$J$6:$J$65,"&gt;0",⑬計量工程入力!$M$6:$M$65,"&gt;0")-SUMIFS(⑬計量工程入力!$J$6:$J$65,⑬計量工程入力!$S$6:$S$65,$J283,⑬計量工程入力!$J$6:$J$65,"&gt;0",⑬計量工程入力!$I$6:$I$65,"&gt;0",⑬計量工程入力!$M$6:$M$65,"&gt;0")+SUMIFS(⑭手動工程入力!$J$6:$J$47,⑭手動工程入力!$S$6:$S$47,$J283,⑭手動工程入力!$J$6:$J$47,"&gt;0",⑭手動工程入力!$M$6:$M$47,"&gt;0")-SUMIFS(⑭手動工程入力!$J$6:$J$47,⑭手動工程入力!$S$6:$S$47,$J283,⑭手動工程入力!$J$6:$J$47,"&gt;0",⑭手動工程入力!$I$6:$I$47,"&gt;0",⑭手動工程入力!$M$6:$M$47,"&gt;0"))</f>
        <v/>
      </c>
      <c r="P283" s="392" t="inlineStr">
        <is>
          <t>中間品リスト</t>
        </is>
      </c>
    </row>
    <row r="284">
      <c r="A284" s="392" t="n">
        <v>280</v>
      </c>
      <c r="B284" s="392" t="n"/>
      <c r="C284" s="392" t="n"/>
      <c r="D284" s="409" t="n"/>
      <c r="E284" s="392" t="n"/>
      <c r="F284" s="394" t="n"/>
      <c r="G284" s="392" t="n"/>
      <c r="H284" s="604">
        <f>IFERROR(IF(AND($K284&gt;0,ISNUMBER(IF(OR($D284="g",$D284="ｇ"),IF($M284&gt;0,$L284/$M284/1000,""),IF($D284="kg",IF($M284&gt;0,$L284/$M284,""),IF($D284="",IF($M284&gt;0,$L284/$M284/1000,IF($O284&gt;0,$N284/$O284,"")),IF($O284&gt;0,$N284/$O284,"")))))),IF(OR($D284="g",$D284="ｇ"),IF($M284&gt;0,$L284/$M284/1000,""),IF($D284="kg",IF($M284&gt;0,$L284/$M284,""),IF($D284="",IF($M284&gt;0,$L284/$M284/1000,IF($O284&gt;0,$N284/$O284,"")),IF($O284&gt;0,$N284/$O284,"")))),IF($F284="",IF(OR($E284="",$E284="⑩盛付梱包工程入力"),"",IF(OR($D284="g",$D284="ｇ"),INDEX(⑰工程労務費一覧!$N$5:$N$11,MATCH($E284,⑰工程労務費一覧!$K$5:$K$11,0))/1000,IF($D284="kg",INDEX(⑰工程労務費一覧!$N$5:$N$11,MATCH($E284,⑰工程労務費一覧!$K$5:$K$11,0)),IF(OR($D284="個",$D284="切",$D284="本",$D284="枚",$D284="尾"),IF($E284="⑬計量工程入力","",INDEX(⑰工程労務費一覧!$P$5:$P$11,MATCH($E284,⑰工程労務費一覧!$K$5:$K$11,0))),IF(AND($D284="",OR($E284="②釜工程入力",$E284="③スチコン工程入力")),INDEX(⑰工程労務費一覧!$N$5:$N$11,MATCH($E284,⑰工程労務費一覧!$K$5:$K$11,0))/1000,""))))),IF(OR($D284="g",$D284="ｇ"),INDEX(⑰工程労務費一覧!$H$5:$H$753,MATCH($F284,⑰工程労務費一覧!$D$5:$D$753,0))/1000,IF($D284="kg",INDEX(⑰工程労務費一覧!$H$5:$H$753,MATCH($F284,⑰工程労務費一覧!$D$5:$D$753,0)),INDEX(⑰工程労務費一覧!$I$5:$I$753,MATCH($F284,⑰工程労務費一覧!$D$5:$D$753,0)))))),"")</f>
        <v/>
      </c>
      <c r="I284" s="392">
        <f>IF($K284&gt;0,IF(ISNUMBER(IF(OR($D284="g",$D284="ｇ"),IF($M284&gt;0,$L284/$M284/1000,""),IF($D284="kg",IF($M284&gt;0,$L284/$M284,""),IF($D284="",IF($M284&gt;0,$L284/$M284/1000,IF($O284&gt;0,$N284/$O284,"")),IF($O284&gt;0,$N284/$O284,""))))),IF($D284="",IF($M284&gt;0,"◎ JAN紐づけ(g扱い)","◎ JAN紐づけ(個扱い)"),"◎ JAN紐づけ"),"△ JAN紐づけ済・実績不足→仮計算"),IF($F284="",IF(ISNUMBER($H284),IF($D284="","⑤ 工程平均で仮計算(g扱い)","⑤ 工程平均で仮計算"),IF($E284="⑩盛付梱包工程入力","⑥ 盛り込み(⑳F列で計上)",IF(AND($E284="⑬計量工程入力",OR($D284="個",$D284="切",$D284="本",$D284="枚",$D284="尾")),"① 未紐づけ(カット個単位は仮単価なし)","① 未紐づけ"))),IF(NOT(ISNUMBER($H284)),"② 工程側に単価なし",IF($D284="","③ 単位未設定(個で計算)","④ OK"))))</f>
        <v/>
      </c>
      <c r="J284" s="399">
        <f>IFERROR(LOOKUP(2,1/((中間品リスト!$F$2:$F$1299=$B284)*(中間品リスト!$E$2:$E$1299&lt;&gt;"-")*(中間品リスト!$E$2:$E$1299&lt;&gt;"")),中間品リスト!$E$2:$E$1299),"")</f>
        <v/>
      </c>
      <c r="K284" s="400">
        <f>IF($J284="",0,COUNTIF(②釜工程入力!$S$5:$S$117,$J284)+COUNTIF(③スチコン工程入力!$S$5:$S$152,$J284)+COUNTIF(⑪ZEN工程入力!$S$6:$S$35,$J284)+COUNTIF(⑫ミキサー工程入力!$S$6:$S$65,$J284)+COUNTIF(⑬計量工程入力!$S$6:$S$65,$J284)+COUNTIF(⑭手動工程入力!$S$6:$S$47,$J284))</f>
        <v/>
      </c>
      <c r="L284" s="393">
        <f>IF($J284="",0,SUMIFS(②釜工程入力!$M$5:$M$117,②釜工程入力!$S$5:$S$117,$J284,②釜工程入力!$I$5:$I$117,"&gt;0")+SUMIFS(③スチコン工程入力!$M$5:$M$152,③スチコン工程入力!$S$5:$S$152,$J284,③スチコン工程入力!$I$5:$I$152,"&gt;0")+SUMIFS(⑪ZEN工程入力!$M$6:$M$35,⑪ZEN工程入力!$S$6:$S$35,$J284,⑪ZEN工程入力!$I$6:$I$35,"&gt;0")+SUMIFS(⑫ミキサー工程入力!$M$6:$M$65,⑫ミキサー工程入力!$S$6:$S$65,$J284,⑫ミキサー工程入力!$I$6:$I$65,"&gt;0")+SUMIFS(⑬計量工程入力!$M$6:$M$65,⑬計量工程入力!$S$6:$S$65,$J284,⑬計量工程入力!$I$6:$I$65,"&gt;0")+SUMIFS(⑭手動工程入力!$M$6:$M$47,⑭手動工程入力!$S$6:$S$47,$J284,⑭手動工程入力!$I$6:$I$47,"&gt;0"))</f>
        <v/>
      </c>
      <c r="M284" s="393">
        <f>IF($J284="",0,SUMIFS(②釜工程入力!$I$5:$I$117,②釜工程入力!$S$5:$S$117,$J284,②釜工程入力!$I$5:$I$117,"&gt;0",②釜工程入力!$M$5:$M$117,"&gt;0")+SUMIFS(③スチコン工程入力!$I$5:$I$152,③スチコン工程入力!$S$5:$S$152,$J284,③スチコン工程入力!$I$5:$I$152,"&gt;0",③スチコン工程入力!$M$5:$M$152,"&gt;0")+SUMIFS(⑪ZEN工程入力!$I$6:$I$35,⑪ZEN工程入力!$S$6:$S$35,$J284,⑪ZEN工程入力!$I$6:$I$35,"&gt;0",⑪ZEN工程入力!$M$6:$M$35,"&gt;0")+SUMIFS(⑫ミキサー工程入力!$I$6:$I$65,⑫ミキサー工程入力!$S$6:$S$65,$J284,⑫ミキサー工程入力!$I$6:$I$65,"&gt;0",⑫ミキサー工程入力!$M$6:$M$65,"&gt;0")+SUMIFS(⑬計量工程入力!$I$6:$I$65,⑬計量工程入力!$S$6:$S$65,$J284,⑬計量工程入力!$I$6:$I$65,"&gt;0",⑬計量工程入力!$M$6:$M$65,"&gt;0")+SUMIFS(⑭手動工程入力!$I$6:$I$47,⑭手動工程入力!$S$6:$S$47,$J284,⑭手動工程入力!$I$6:$I$47,"&gt;0",⑭手動工程入力!$M$6:$M$47,"&gt;0"))</f>
        <v/>
      </c>
      <c r="N284" s="393">
        <f>IF($J284="",0,SUMIFS(②釜工程入力!$M$5:$M$117,②釜工程入力!$S$5:$S$117,$J284,②釜工程入力!$J$5:$J$117,"&gt;0")-SUMIFS(②釜工程入力!$M$5:$M$117,②釜工程入力!$S$5:$S$117,$J284,②釜工程入力!$J$5:$J$117,"&gt;0",②釜工程入力!$I$5:$I$117,"&gt;0")+SUMIFS(③スチコン工程入力!$M$5:$M$152,③スチコン工程入力!$S$5:$S$152,$J284,③スチコン工程入力!$J$5:$J$152,"&gt;0")-SUMIFS(③スチコン工程入力!$M$5:$M$152,③スチコン工程入力!$S$5:$S$152,$J284,③スチコン工程入力!$J$5:$J$152,"&gt;0",③スチコン工程入力!$I$5:$I$152,"&gt;0")+SUMIFS(⑪ZEN工程入力!$M$6:$M$35,⑪ZEN工程入力!$S$6:$S$35,$J284,⑪ZEN工程入力!$J$6:$J$35,"&gt;0")-SUMIFS(⑪ZEN工程入力!$M$6:$M$35,⑪ZEN工程入力!$S$6:$S$35,$J284,⑪ZEN工程入力!$J$6:$J$35,"&gt;0",⑪ZEN工程入力!$I$6:$I$35,"&gt;0")+SUMIFS(⑫ミキサー工程入力!$M$6:$M$65,⑫ミキサー工程入力!$S$6:$S$65,$J284,⑫ミキサー工程入力!$J$6:$J$65,"&gt;0")-SUMIFS(⑫ミキサー工程入力!$M$6:$M$65,⑫ミキサー工程入力!$S$6:$S$65,$J284,⑫ミキサー工程入力!$J$6:$J$65,"&gt;0",⑫ミキサー工程入力!$I$6:$I$65,"&gt;0")+SUMIFS(⑬計量工程入力!$M$6:$M$65,⑬計量工程入力!$S$6:$S$65,$J284,⑬計量工程入力!$J$6:$J$65,"&gt;0")-SUMIFS(⑬計量工程入力!$M$6:$M$65,⑬計量工程入力!$S$6:$S$65,$J284,⑬計量工程入力!$J$6:$J$65,"&gt;0",⑬計量工程入力!$I$6:$I$65,"&gt;0")+SUMIFS(⑭手動工程入力!$M$6:$M$47,⑭手動工程入力!$S$6:$S$47,$J284,⑭手動工程入力!$J$6:$J$47,"&gt;0")-SUMIFS(⑭手動工程入力!$M$6:$M$47,⑭手動工程入力!$S$6:$S$47,$J284,⑭手動工程入力!$J$6:$J$47,"&gt;0",⑭手動工程入力!$I$6:$I$47,"&gt;0"))</f>
        <v/>
      </c>
      <c r="O284" s="393">
        <f>IF($J284="",0,SUMIFS(②釜工程入力!$J$5:$J$117,②釜工程入力!$S$5:$S$117,$J284,②釜工程入力!$J$5:$J$117,"&gt;0",②釜工程入力!$M$5:$M$117,"&gt;0")-SUMIFS(②釜工程入力!$J$5:$J$117,②釜工程入力!$S$5:$S$117,$J284,②釜工程入力!$J$5:$J$117,"&gt;0",②釜工程入力!$I$5:$I$117,"&gt;0",②釜工程入力!$M$5:$M$117,"&gt;0")+SUMIFS(③スチコン工程入力!$J$5:$J$152,③スチコン工程入力!$S$5:$S$152,$J284,③スチコン工程入力!$J$5:$J$152,"&gt;0",③スチコン工程入力!$M$5:$M$152,"&gt;0")-SUMIFS(③スチコン工程入力!$J$5:$J$152,③スチコン工程入力!$S$5:$S$152,$J284,③スチコン工程入力!$J$5:$J$152,"&gt;0",③スチコン工程入力!$I$5:$I$152,"&gt;0",③スチコン工程入力!$M$5:$M$152,"&gt;0")+SUMIFS(⑪ZEN工程入力!$J$6:$J$35,⑪ZEN工程入力!$S$6:$S$35,$J284,⑪ZEN工程入力!$J$6:$J$35,"&gt;0",⑪ZEN工程入力!$M$6:$M$35,"&gt;0")-SUMIFS(⑪ZEN工程入力!$J$6:$J$35,⑪ZEN工程入力!$S$6:$S$35,$J284,⑪ZEN工程入力!$J$6:$J$35,"&gt;0",⑪ZEN工程入力!$I$6:$I$35,"&gt;0",⑪ZEN工程入力!$M$6:$M$35,"&gt;0")+SUMIFS(⑫ミキサー工程入力!$J$6:$J$65,⑫ミキサー工程入力!$S$6:$S$65,$J284,⑫ミキサー工程入力!$J$6:$J$65,"&gt;0",⑫ミキサー工程入力!$M$6:$M$65,"&gt;0")-SUMIFS(⑫ミキサー工程入力!$J$6:$J$65,⑫ミキサー工程入力!$S$6:$S$65,$J284,⑫ミキサー工程入力!$J$6:$J$65,"&gt;0",⑫ミキサー工程入力!$I$6:$I$65,"&gt;0",⑫ミキサー工程入力!$M$6:$M$65,"&gt;0")+SUMIFS(⑬計量工程入力!$J$6:$J$65,⑬計量工程入力!$S$6:$S$65,$J284,⑬計量工程入力!$J$6:$J$65,"&gt;0",⑬計量工程入力!$M$6:$M$65,"&gt;0")-SUMIFS(⑬計量工程入力!$J$6:$J$65,⑬計量工程入力!$S$6:$S$65,$J284,⑬計量工程入力!$J$6:$J$65,"&gt;0",⑬計量工程入力!$I$6:$I$65,"&gt;0",⑬計量工程入力!$M$6:$M$65,"&gt;0")+SUMIFS(⑭手動工程入力!$J$6:$J$47,⑭手動工程入力!$S$6:$S$47,$J284,⑭手動工程入力!$J$6:$J$47,"&gt;0",⑭手動工程入力!$M$6:$M$47,"&gt;0")-SUMIFS(⑭手動工程入力!$J$6:$J$47,⑭手動工程入力!$S$6:$S$47,$J284,⑭手動工程入力!$J$6:$J$47,"&gt;0",⑭手動工程入力!$I$6:$I$47,"&gt;0",⑭手動工程入力!$M$6:$M$47,"&gt;0"))</f>
        <v/>
      </c>
      <c r="P284" s="392" t="inlineStr">
        <is>
          <t>中間品リスト</t>
        </is>
      </c>
    </row>
    <row r="285">
      <c r="A285" s="392" t="n">
        <v>281</v>
      </c>
      <c r="B285" s="392" t="n"/>
      <c r="C285" s="392" t="n"/>
      <c r="D285" s="409" t="n"/>
      <c r="E285" s="392" t="n"/>
      <c r="F285" s="394" t="n"/>
      <c r="G285" s="392" t="n"/>
      <c r="H285" s="604">
        <f>IFERROR(IF(AND($K285&gt;0,ISNUMBER(IF(OR($D285="g",$D285="ｇ"),IF($M285&gt;0,$L285/$M285/1000,""),IF($D285="kg",IF($M285&gt;0,$L285/$M285,""),IF($D285="",IF($M285&gt;0,$L285/$M285/1000,IF($O285&gt;0,$N285/$O285,"")),IF($O285&gt;0,$N285/$O285,"")))))),IF(OR($D285="g",$D285="ｇ"),IF($M285&gt;0,$L285/$M285/1000,""),IF($D285="kg",IF($M285&gt;0,$L285/$M285,""),IF($D285="",IF($M285&gt;0,$L285/$M285/1000,IF($O285&gt;0,$N285/$O285,"")),IF($O285&gt;0,$N285/$O285,"")))),IF($F285="",IF(OR($E285="",$E285="⑩盛付梱包工程入力"),"",IF(OR($D285="g",$D285="ｇ"),INDEX(⑰工程労務費一覧!$N$5:$N$11,MATCH($E285,⑰工程労務費一覧!$K$5:$K$11,0))/1000,IF($D285="kg",INDEX(⑰工程労務費一覧!$N$5:$N$11,MATCH($E285,⑰工程労務費一覧!$K$5:$K$11,0)),IF(OR($D285="個",$D285="切",$D285="本",$D285="枚",$D285="尾"),IF($E285="⑬計量工程入力","",INDEX(⑰工程労務費一覧!$P$5:$P$11,MATCH($E285,⑰工程労務費一覧!$K$5:$K$11,0))),IF(AND($D285="",OR($E285="②釜工程入力",$E285="③スチコン工程入力")),INDEX(⑰工程労務費一覧!$N$5:$N$11,MATCH($E285,⑰工程労務費一覧!$K$5:$K$11,0))/1000,""))))),IF(OR($D285="g",$D285="ｇ"),INDEX(⑰工程労務費一覧!$H$5:$H$753,MATCH($F285,⑰工程労務費一覧!$D$5:$D$753,0))/1000,IF($D285="kg",INDEX(⑰工程労務費一覧!$H$5:$H$753,MATCH($F285,⑰工程労務費一覧!$D$5:$D$753,0)),INDEX(⑰工程労務費一覧!$I$5:$I$753,MATCH($F285,⑰工程労務費一覧!$D$5:$D$753,0)))))),"")</f>
        <v/>
      </c>
      <c r="I285" s="392">
        <f>IF($K285&gt;0,IF(ISNUMBER(IF(OR($D285="g",$D285="ｇ"),IF($M285&gt;0,$L285/$M285/1000,""),IF($D285="kg",IF($M285&gt;0,$L285/$M285,""),IF($D285="",IF($M285&gt;0,$L285/$M285/1000,IF($O285&gt;0,$N285/$O285,"")),IF($O285&gt;0,$N285/$O285,""))))),IF($D285="",IF($M285&gt;0,"◎ JAN紐づけ(g扱い)","◎ JAN紐づけ(個扱い)"),"◎ JAN紐づけ"),"△ JAN紐づけ済・実績不足→仮計算"),IF($F285="",IF(ISNUMBER($H285),IF($D285="","⑤ 工程平均で仮計算(g扱い)","⑤ 工程平均で仮計算"),IF($E285="⑩盛付梱包工程入力","⑥ 盛り込み(⑳F列で計上)",IF(AND($E285="⑬計量工程入力",OR($D285="個",$D285="切",$D285="本",$D285="枚",$D285="尾")),"① 未紐づけ(カット個単位は仮単価なし)","① 未紐づけ"))),IF(NOT(ISNUMBER($H285)),"② 工程側に単価なし",IF($D285="","③ 単位未設定(個で計算)","④ OK"))))</f>
        <v/>
      </c>
      <c r="J285" s="399">
        <f>IFERROR(LOOKUP(2,1/((中間品リスト!$F$2:$F$1299=$B285)*(中間品リスト!$E$2:$E$1299&lt;&gt;"-")*(中間品リスト!$E$2:$E$1299&lt;&gt;"")),中間品リスト!$E$2:$E$1299),"")</f>
        <v/>
      </c>
      <c r="K285" s="400">
        <f>IF($J285="",0,COUNTIF(②釜工程入力!$S$5:$S$117,$J285)+COUNTIF(③スチコン工程入力!$S$5:$S$152,$J285)+COUNTIF(⑪ZEN工程入力!$S$6:$S$35,$J285)+COUNTIF(⑫ミキサー工程入力!$S$6:$S$65,$J285)+COUNTIF(⑬計量工程入力!$S$6:$S$65,$J285)+COUNTIF(⑭手動工程入力!$S$6:$S$47,$J285))</f>
        <v/>
      </c>
      <c r="L285" s="393">
        <f>IF($J285="",0,SUMIFS(②釜工程入力!$M$5:$M$117,②釜工程入力!$S$5:$S$117,$J285,②釜工程入力!$I$5:$I$117,"&gt;0")+SUMIFS(③スチコン工程入力!$M$5:$M$152,③スチコン工程入力!$S$5:$S$152,$J285,③スチコン工程入力!$I$5:$I$152,"&gt;0")+SUMIFS(⑪ZEN工程入力!$M$6:$M$35,⑪ZEN工程入力!$S$6:$S$35,$J285,⑪ZEN工程入力!$I$6:$I$35,"&gt;0")+SUMIFS(⑫ミキサー工程入力!$M$6:$M$65,⑫ミキサー工程入力!$S$6:$S$65,$J285,⑫ミキサー工程入力!$I$6:$I$65,"&gt;0")+SUMIFS(⑬計量工程入力!$M$6:$M$65,⑬計量工程入力!$S$6:$S$65,$J285,⑬計量工程入力!$I$6:$I$65,"&gt;0")+SUMIFS(⑭手動工程入力!$M$6:$M$47,⑭手動工程入力!$S$6:$S$47,$J285,⑭手動工程入力!$I$6:$I$47,"&gt;0"))</f>
        <v/>
      </c>
      <c r="M285" s="393">
        <f>IF($J285="",0,SUMIFS(②釜工程入力!$I$5:$I$117,②釜工程入力!$S$5:$S$117,$J285,②釜工程入力!$I$5:$I$117,"&gt;0",②釜工程入力!$M$5:$M$117,"&gt;0")+SUMIFS(③スチコン工程入力!$I$5:$I$152,③スチコン工程入力!$S$5:$S$152,$J285,③スチコン工程入力!$I$5:$I$152,"&gt;0",③スチコン工程入力!$M$5:$M$152,"&gt;0")+SUMIFS(⑪ZEN工程入力!$I$6:$I$35,⑪ZEN工程入力!$S$6:$S$35,$J285,⑪ZEN工程入力!$I$6:$I$35,"&gt;0",⑪ZEN工程入力!$M$6:$M$35,"&gt;0")+SUMIFS(⑫ミキサー工程入力!$I$6:$I$65,⑫ミキサー工程入力!$S$6:$S$65,$J285,⑫ミキサー工程入力!$I$6:$I$65,"&gt;0",⑫ミキサー工程入力!$M$6:$M$65,"&gt;0")+SUMIFS(⑬計量工程入力!$I$6:$I$65,⑬計量工程入力!$S$6:$S$65,$J285,⑬計量工程入力!$I$6:$I$65,"&gt;0",⑬計量工程入力!$M$6:$M$65,"&gt;0")+SUMIFS(⑭手動工程入力!$I$6:$I$47,⑭手動工程入力!$S$6:$S$47,$J285,⑭手動工程入力!$I$6:$I$47,"&gt;0",⑭手動工程入力!$M$6:$M$47,"&gt;0"))</f>
        <v/>
      </c>
      <c r="N285" s="393">
        <f>IF($J285="",0,SUMIFS(②釜工程入力!$M$5:$M$117,②釜工程入力!$S$5:$S$117,$J285,②釜工程入力!$J$5:$J$117,"&gt;0")-SUMIFS(②釜工程入力!$M$5:$M$117,②釜工程入力!$S$5:$S$117,$J285,②釜工程入力!$J$5:$J$117,"&gt;0",②釜工程入力!$I$5:$I$117,"&gt;0")+SUMIFS(③スチコン工程入力!$M$5:$M$152,③スチコン工程入力!$S$5:$S$152,$J285,③スチコン工程入力!$J$5:$J$152,"&gt;0")-SUMIFS(③スチコン工程入力!$M$5:$M$152,③スチコン工程入力!$S$5:$S$152,$J285,③スチコン工程入力!$J$5:$J$152,"&gt;0",③スチコン工程入力!$I$5:$I$152,"&gt;0")+SUMIFS(⑪ZEN工程入力!$M$6:$M$35,⑪ZEN工程入力!$S$6:$S$35,$J285,⑪ZEN工程入力!$J$6:$J$35,"&gt;0")-SUMIFS(⑪ZEN工程入力!$M$6:$M$35,⑪ZEN工程入力!$S$6:$S$35,$J285,⑪ZEN工程入力!$J$6:$J$35,"&gt;0",⑪ZEN工程入力!$I$6:$I$35,"&gt;0")+SUMIFS(⑫ミキサー工程入力!$M$6:$M$65,⑫ミキサー工程入力!$S$6:$S$65,$J285,⑫ミキサー工程入力!$J$6:$J$65,"&gt;0")-SUMIFS(⑫ミキサー工程入力!$M$6:$M$65,⑫ミキサー工程入力!$S$6:$S$65,$J285,⑫ミキサー工程入力!$J$6:$J$65,"&gt;0",⑫ミキサー工程入力!$I$6:$I$65,"&gt;0")+SUMIFS(⑬計量工程入力!$M$6:$M$65,⑬計量工程入力!$S$6:$S$65,$J285,⑬計量工程入力!$J$6:$J$65,"&gt;0")-SUMIFS(⑬計量工程入力!$M$6:$M$65,⑬計量工程入力!$S$6:$S$65,$J285,⑬計量工程入力!$J$6:$J$65,"&gt;0",⑬計量工程入力!$I$6:$I$65,"&gt;0")+SUMIFS(⑭手動工程入力!$M$6:$M$47,⑭手動工程入力!$S$6:$S$47,$J285,⑭手動工程入力!$J$6:$J$47,"&gt;0")-SUMIFS(⑭手動工程入力!$M$6:$M$47,⑭手動工程入力!$S$6:$S$47,$J285,⑭手動工程入力!$J$6:$J$47,"&gt;0",⑭手動工程入力!$I$6:$I$47,"&gt;0"))</f>
        <v/>
      </c>
      <c r="O285" s="393">
        <f>IF($J285="",0,SUMIFS(②釜工程入力!$J$5:$J$117,②釜工程入力!$S$5:$S$117,$J285,②釜工程入力!$J$5:$J$117,"&gt;0",②釜工程入力!$M$5:$M$117,"&gt;0")-SUMIFS(②釜工程入力!$J$5:$J$117,②釜工程入力!$S$5:$S$117,$J285,②釜工程入力!$J$5:$J$117,"&gt;0",②釜工程入力!$I$5:$I$117,"&gt;0",②釜工程入力!$M$5:$M$117,"&gt;0")+SUMIFS(③スチコン工程入力!$J$5:$J$152,③スチコン工程入力!$S$5:$S$152,$J285,③スチコン工程入力!$J$5:$J$152,"&gt;0",③スチコン工程入力!$M$5:$M$152,"&gt;0")-SUMIFS(③スチコン工程入力!$J$5:$J$152,③スチコン工程入力!$S$5:$S$152,$J285,③スチコン工程入力!$J$5:$J$152,"&gt;0",③スチコン工程入力!$I$5:$I$152,"&gt;0",③スチコン工程入力!$M$5:$M$152,"&gt;0")+SUMIFS(⑪ZEN工程入力!$J$6:$J$35,⑪ZEN工程入力!$S$6:$S$35,$J285,⑪ZEN工程入力!$J$6:$J$35,"&gt;0",⑪ZEN工程入力!$M$6:$M$35,"&gt;0")-SUMIFS(⑪ZEN工程入力!$J$6:$J$35,⑪ZEN工程入力!$S$6:$S$35,$J285,⑪ZEN工程入力!$J$6:$J$35,"&gt;0",⑪ZEN工程入力!$I$6:$I$35,"&gt;0",⑪ZEN工程入力!$M$6:$M$35,"&gt;0")+SUMIFS(⑫ミキサー工程入力!$J$6:$J$65,⑫ミキサー工程入力!$S$6:$S$65,$J285,⑫ミキサー工程入力!$J$6:$J$65,"&gt;0",⑫ミキサー工程入力!$M$6:$M$65,"&gt;0")-SUMIFS(⑫ミキサー工程入力!$J$6:$J$65,⑫ミキサー工程入力!$S$6:$S$65,$J285,⑫ミキサー工程入力!$J$6:$J$65,"&gt;0",⑫ミキサー工程入力!$I$6:$I$65,"&gt;0",⑫ミキサー工程入力!$M$6:$M$65,"&gt;0")+SUMIFS(⑬計量工程入力!$J$6:$J$65,⑬計量工程入力!$S$6:$S$65,$J285,⑬計量工程入力!$J$6:$J$65,"&gt;0",⑬計量工程入力!$M$6:$M$65,"&gt;0")-SUMIFS(⑬計量工程入力!$J$6:$J$65,⑬計量工程入力!$S$6:$S$65,$J285,⑬計量工程入力!$J$6:$J$65,"&gt;0",⑬計量工程入力!$I$6:$I$65,"&gt;0",⑬計量工程入力!$M$6:$M$65,"&gt;0")+SUMIFS(⑭手動工程入力!$J$6:$J$47,⑭手動工程入力!$S$6:$S$47,$J285,⑭手動工程入力!$J$6:$J$47,"&gt;0",⑭手動工程入力!$M$6:$M$47,"&gt;0")-SUMIFS(⑭手動工程入力!$J$6:$J$47,⑭手動工程入力!$S$6:$S$47,$J285,⑭手動工程入力!$J$6:$J$47,"&gt;0",⑭手動工程入力!$I$6:$I$47,"&gt;0",⑭手動工程入力!$M$6:$M$47,"&gt;0"))</f>
        <v/>
      </c>
      <c r="P285" s="392" t="inlineStr">
        <is>
          <t>中間品リスト</t>
        </is>
      </c>
    </row>
    <row r="286">
      <c r="A286" s="392" t="n">
        <v>282</v>
      </c>
      <c r="B286" s="392" t="n"/>
      <c r="C286" s="392" t="n"/>
      <c r="D286" s="409" t="n"/>
      <c r="E286" s="392" t="n"/>
      <c r="F286" s="394" t="n"/>
      <c r="G286" s="392" t="n"/>
      <c r="H286" s="604">
        <f>IFERROR(IF(AND($K286&gt;0,ISNUMBER(IF(OR($D286="g",$D286="ｇ"),IF($M286&gt;0,$L286/$M286/1000,""),IF($D286="kg",IF($M286&gt;0,$L286/$M286,""),IF($D286="",IF($M286&gt;0,$L286/$M286/1000,IF($O286&gt;0,$N286/$O286,"")),IF($O286&gt;0,$N286/$O286,"")))))),IF(OR($D286="g",$D286="ｇ"),IF($M286&gt;0,$L286/$M286/1000,""),IF($D286="kg",IF($M286&gt;0,$L286/$M286,""),IF($D286="",IF($M286&gt;0,$L286/$M286/1000,IF($O286&gt;0,$N286/$O286,"")),IF($O286&gt;0,$N286/$O286,"")))),IF($F286="",IF(OR($E286="",$E286="⑩盛付梱包工程入力"),"",IF(OR($D286="g",$D286="ｇ"),INDEX(⑰工程労務費一覧!$N$5:$N$11,MATCH($E286,⑰工程労務費一覧!$K$5:$K$11,0))/1000,IF($D286="kg",INDEX(⑰工程労務費一覧!$N$5:$N$11,MATCH($E286,⑰工程労務費一覧!$K$5:$K$11,0)),IF(OR($D286="個",$D286="切",$D286="本",$D286="枚",$D286="尾"),IF($E286="⑬計量工程入力","",INDEX(⑰工程労務費一覧!$P$5:$P$11,MATCH($E286,⑰工程労務費一覧!$K$5:$K$11,0))),IF(AND($D286="",OR($E286="②釜工程入力",$E286="③スチコン工程入力")),INDEX(⑰工程労務費一覧!$N$5:$N$11,MATCH($E286,⑰工程労務費一覧!$K$5:$K$11,0))/1000,""))))),IF(OR($D286="g",$D286="ｇ"),INDEX(⑰工程労務費一覧!$H$5:$H$753,MATCH($F286,⑰工程労務費一覧!$D$5:$D$753,0))/1000,IF($D286="kg",INDEX(⑰工程労務費一覧!$H$5:$H$753,MATCH($F286,⑰工程労務費一覧!$D$5:$D$753,0)),INDEX(⑰工程労務費一覧!$I$5:$I$753,MATCH($F286,⑰工程労務費一覧!$D$5:$D$753,0)))))),"")</f>
        <v/>
      </c>
      <c r="I286" s="392">
        <f>IF($K286&gt;0,IF(ISNUMBER(IF(OR($D286="g",$D286="ｇ"),IF($M286&gt;0,$L286/$M286/1000,""),IF($D286="kg",IF($M286&gt;0,$L286/$M286,""),IF($D286="",IF($M286&gt;0,$L286/$M286/1000,IF($O286&gt;0,$N286/$O286,"")),IF($O286&gt;0,$N286/$O286,""))))),IF($D286="",IF($M286&gt;0,"◎ JAN紐づけ(g扱い)","◎ JAN紐づけ(個扱い)"),"◎ JAN紐づけ"),"△ JAN紐づけ済・実績不足→仮計算"),IF($F286="",IF(ISNUMBER($H286),IF($D286="","⑤ 工程平均で仮計算(g扱い)","⑤ 工程平均で仮計算"),IF($E286="⑩盛付梱包工程入力","⑥ 盛り込み(⑳F列で計上)",IF(AND($E286="⑬計量工程入力",OR($D286="個",$D286="切",$D286="本",$D286="枚",$D286="尾")),"① 未紐づけ(カット個単位は仮単価なし)","① 未紐づけ"))),IF(NOT(ISNUMBER($H286)),"② 工程側に単価なし",IF($D286="","③ 単位未設定(個で計算)","④ OK"))))</f>
        <v/>
      </c>
      <c r="J286" s="399">
        <f>IFERROR(LOOKUP(2,1/((中間品リスト!$F$2:$F$1299=$B286)*(中間品リスト!$E$2:$E$1299&lt;&gt;"-")*(中間品リスト!$E$2:$E$1299&lt;&gt;"")),中間品リスト!$E$2:$E$1299),"")</f>
        <v/>
      </c>
      <c r="K286" s="400">
        <f>IF($J286="",0,COUNTIF(②釜工程入力!$S$5:$S$117,$J286)+COUNTIF(③スチコン工程入力!$S$5:$S$152,$J286)+COUNTIF(⑪ZEN工程入力!$S$6:$S$35,$J286)+COUNTIF(⑫ミキサー工程入力!$S$6:$S$65,$J286)+COUNTIF(⑬計量工程入力!$S$6:$S$65,$J286)+COUNTIF(⑭手動工程入力!$S$6:$S$47,$J286))</f>
        <v/>
      </c>
      <c r="L286" s="393">
        <f>IF($J286="",0,SUMIFS(②釜工程入力!$M$5:$M$117,②釜工程入力!$S$5:$S$117,$J286,②釜工程入力!$I$5:$I$117,"&gt;0")+SUMIFS(③スチコン工程入力!$M$5:$M$152,③スチコン工程入力!$S$5:$S$152,$J286,③スチコン工程入力!$I$5:$I$152,"&gt;0")+SUMIFS(⑪ZEN工程入力!$M$6:$M$35,⑪ZEN工程入力!$S$6:$S$35,$J286,⑪ZEN工程入力!$I$6:$I$35,"&gt;0")+SUMIFS(⑫ミキサー工程入力!$M$6:$M$65,⑫ミキサー工程入力!$S$6:$S$65,$J286,⑫ミキサー工程入力!$I$6:$I$65,"&gt;0")+SUMIFS(⑬計量工程入力!$M$6:$M$65,⑬計量工程入力!$S$6:$S$65,$J286,⑬計量工程入力!$I$6:$I$65,"&gt;0")+SUMIFS(⑭手動工程入力!$M$6:$M$47,⑭手動工程入力!$S$6:$S$47,$J286,⑭手動工程入力!$I$6:$I$47,"&gt;0"))</f>
        <v/>
      </c>
      <c r="M286" s="393">
        <f>IF($J286="",0,SUMIFS(②釜工程入力!$I$5:$I$117,②釜工程入力!$S$5:$S$117,$J286,②釜工程入力!$I$5:$I$117,"&gt;0",②釜工程入力!$M$5:$M$117,"&gt;0")+SUMIFS(③スチコン工程入力!$I$5:$I$152,③スチコン工程入力!$S$5:$S$152,$J286,③スチコン工程入力!$I$5:$I$152,"&gt;0",③スチコン工程入力!$M$5:$M$152,"&gt;0")+SUMIFS(⑪ZEN工程入力!$I$6:$I$35,⑪ZEN工程入力!$S$6:$S$35,$J286,⑪ZEN工程入力!$I$6:$I$35,"&gt;0",⑪ZEN工程入力!$M$6:$M$35,"&gt;0")+SUMIFS(⑫ミキサー工程入力!$I$6:$I$65,⑫ミキサー工程入力!$S$6:$S$65,$J286,⑫ミキサー工程入力!$I$6:$I$65,"&gt;0",⑫ミキサー工程入力!$M$6:$M$65,"&gt;0")+SUMIFS(⑬計量工程入力!$I$6:$I$65,⑬計量工程入力!$S$6:$S$65,$J286,⑬計量工程入力!$I$6:$I$65,"&gt;0",⑬計量工程入力!$M$6:$M$65,"&gt;0")+SUMIFS(⑭手動工程入力!$I$6:$I$47,⑭手動工程入力!$S$6:$S$47,$J286,⑭手動工程入力!$I$6:$I$47,"&gt;0",⑭手動工程入力!$M$6:$M$47,"&gt;0"))</f>
        <v/>
      </c>
      <c r="N286" s="393">
        <f>IF($J286="",0,SUMIFS(②釜工程入力!$M$5:$M$117,②釜工程入力!$S$5:$S$117,$J286,②釜工程入力!$J$5:$J$117,"&gt;0")-SUMIFS(②釜工程入力!$M$5:$M$117,②釜工程入力!$S$5:$S$117,$J286,②釜工程入力!$J$5:$J$117,"&gt;0",②釜工程入力!$I$5:$I$117,"&gt;0")+SUMIFS(③スチコン工程入力!$M$5:$M$152,③スチコン工程入力!$S$5:$S$152,$J286,③スチコン工程入力!$J$5:$J$152,"&gt;0")-SUMIFS(③スチコン工程入力!$M$5:$M$152,③スチコン工程入力!$S$5:$S$152,$J286,③スチコン工程入力!$J$5:$J$152,"&gt;0",③スチコン工程入力!$I$5:$I$152,"&gt;0")+SUMIFS(⑪ZEN工程入力!$M$6:$M$35,⑪ZEN工程入力!$S$6:$S$35,$J286,⑪ZEN工程入力!$J$6:$J$35,"&gt;0")-SUMIFS(⑪ZEN工程入力!$M$6:$M$35,⑪ZEN工程入力!$S$6:$S$35,$J286,⑪ZEN工程入力!$J$6:$J$35,"&gt;0",⑪ZEN工程入力!$I$6:$I$35,"&gt;0")+SUMIFS(⑫ミキサー工程入力!$M$6:$M$65,⑫ミキサー工程入力!$S$6:$S$65,$J286,⑫ミキサー工程入力!$J$6:$J$65,"&gt;0")-SUMIFS(⑫ミキサー工程入力!$M$6:$M$65,⑫ミキサー工程入力!$S$6:$S$65,$J286,⑫ミキサー工程入力!$J$6:$J$65,"&gt;0",⑫ミキサー工程入力!$I$6:$I$65,"&gt;0")+SUMIFS(⑬計量工程入力!$M$6:$M$65,⑬計量工程入力!$S$6:$S$65,$J286,⑬計量工程入力!$J$6:$J$65,"&gt;0")-SUMIFS(⑬計量工程入力!$M$6:$M$65,⑬計量工程入力!$S$6:$S$65,$J286,⑬計量工程入力!$J$6:$J$65,"&gt;0",⑬計量工程入力!$I$6:$I$65,"&gt;0")+SUMIFS(⑭手動工程入力!$M$6:$M$47,⑭手動工程入力!$S$6:$S$47,$J286,⑭手動工程入力!$J$6:$J$47,"&gt;0")-SUMIFS(⑭手動工程入力!$M$6:$M$47,⑭手動工程入力!$S$6:$S$47,$J286,⑭手動工程入力!$J$6:$J$47,"&gt;0",⑭手動工程入力!$I$6:$I$47,"&gt;0"))</f>
        <v/>
      </c>
      <c r="O286" s="393">
        <f>IF($J286="",0,SUMIFS(②釜工程入力!$J$5:$J$117,②釜工程入力!$S$5:$S$117,$J286,②釜工程入力!$J$5:$J$117,"&gt;0",②釜工程入力!$M$5:$M$117,"&gt;0")-SUMIFS(②釜工程入力!$J$5:$J$117,②釜工程入力!$S$5:$S$117,$J286,②釜工程入力!$J$5:$J$117,"&gt;0",②釜工程入力!$I$5:$I$117,"&gt;0",②釜工程入力!$M$5:$M$117,"&gt;0")+SUMIFS(③スチコン工程入力!$J$5:$J$152,③スチコン工程入力!$S$5:$S$152,$J286,③スチコン工程入力!$J$5:$J$152,"&gt;0",③スチコン工程入力!$M$5:$M$152,"&gt;0")-SUMIFS(③スチコン工程入力!$J$5:$J$152,③スチコン工程入力!$S$5:$S$152,$J286,③スチコン工程入力!$J$5:$J$152,"&gt;0",③スチコン工程入力!$I$5:$I$152,"&gt;0",③スチコン工程入力!$M$5:$M$152,"&gt;0")+SUMIFS(⑪ZEN工程入力!$J$6:$J$35,⑪ZEN工程入力!$S$6:$S$35,$J286,⑪ZEN工程入力!$J$6:$J$35,"&gt;0",⑪ZEN工程入力!$M$6:$M$35,"&gt;0")-SUMIFS(⑪ZEN工程入力!$J$6:$J$35,⑪ZEN工程入力!$S$6:$S$35,$J286,⑪ZEN工程入力!$J$6:$J$35,"&gt;0",⑪ZEN工程入力!$I$6:$I$35,"&gt;0",⑪ZEN工程入力!$M$6:$M$35,"&gt;0")+SUMIFS(⑫ミキサー工程入力!$J$6:$J$65,⑫ミキサー工程入力!$S$6:$S$65,$J286,⑫ミキサー工程入力!$J$6:$J$65,"&gt;0",⑫ミキサー工程入力!$M$6:$M$65,"&gt;0")-SUMIFS(⑫ミキサー工程入力!$J$6:$J$65,⑫ミキサー工程入力!$S$6:$S$65,$J286,⑫ミキサー工程入力!$J$6:$J$65,"&gt;0",⑫ミキサー工程入力!$I$6:$I$65,"&gt;0",⑫ミキサー工程入力!$M$6:$M$65,"&gt;0")+SUMIFS(⑬計量工程入力!$J$6:$J$65,⑬計量工程入力!$S$6:$S$65,$J286,⑬計量工程入力!$J$6:$J$65,"&gt;0",⑬計量工程入力!$M$6:$M$65,"&gt;0")-SUMIFS(⑬計量工程入力!$J$6:$J$65,⑬計量工程入力!$S$6:$S$65,$J286,⑬計量工程入力!$J$6:$J$65,"&gt;0",⑬計量工程入力!$I$6:$I$65,"&gt;0",⑬計量工程入力!$M$6:$M$65,"&gt;0")+SUMIFS(⑭手動工程入力!$J$6:$J$47,⑭手動工程入力!$S$6:$S$47,$J286,⑭手動工程入力!$J$6:$J$47,"&gt;0",⑭手動工程入力!$M$6:$M$47,"&gt;0")-SUMIFS(⑭手動工程入力!$J$6:$J$47,⑭手動工程入力!$S$6:$S$47,$J286,⑭手動工程入力!$J$6:$J$47,"&gt;0",⑭手動工程入力!$I$6:$I$47,"&gt;0",⑭手動工程入力!$M$6:$M$47,"&gt;0"))</f>
        <v/>
      </c>
      <c r="P286" s="392" t="inlineStr">
        <is>
          <t>中間品リスト</t>
        </is>
      </c>
    </row>
    <row r="287">
      <c r="A287" s="392" t="n">
        <v>283</v>
      </c>
      <c r="B287" s="392" t="n"/>
      <c r="C287" s="392" t="n"/>
      <c r="D287" s="409" t="n"/>
      <c r="E287" s="392" t="n"/>
      <c r="F287" s="394" t="n"/>
      <c r="G287" s="392" t="n"/>
      <c r="H287" s="604">
        <f>IFERROR(IF(AND($K287&gt;0,ISNUMBER(IF(OR($D287="g",$D287="ｇ"),IF($M287&gt;0,$L287/$M287/1000,""),IF($D287="kg",IF($M287&gt;0,$L287/$M287,""),IF($D287="",IF($M287&gt;0,$L287/$M287/1000,IF($O287&gt;0,$N287/$O287,"")),IF($O287&gt;0,$N287/$O287,"")))))),IF(OR($D287="g",$D287="ｇ"),IF($M287&gt;0,$L287/$M287/1000,""),IF($D287="kg",IF($M287&gt;0,$L287/$M287,""),IF($D287="",IF($M287&gt;0,$L287/$M287/1000,IF($O287&gt;0,$N287/$O287,"")),IF($O287&gt;0,$N287/$O287,"")))),IF($F287="",IF(OR($E287="",$E287="⑩盛付梱包工程入力"),"",IF(OR($D287="g",$D287="ｇ"),INDEX(⑰工程労務費一覧!$N$5:$N$11,MATCH($E287,⑰工程労務費一覧!$K$5:$K$11,0))/1000,IF($D287="kg",INDEX(⑰工程労務費一覧!$N$5:$N$11,MATCH($E287,⑰工程労務費一覧!$K$5:$K$11,0)),IF(OR($D287="個",$D287="切",$D287="本",$D287="枚",$D287="尾"),IF($E287="⑬計量工程入力","",INDEX(⑰工程労務費一覧!$P$5:$P$11,MATCH($E287,⑰工程労務費一覧!$K$5:$K$11,0))),IF(AND($D287="",OR($E287="②釜工程入力",$E287="③スチコン工程入力")),INDEX(⑰工程労務費一覧!$N$5:$N$11,MATCH($E287,⑰工程労務費一覧!$K$5:$K$11,0))/1000,""))))),IF(OR($D287="g",$D287="ｇ"),INDEX(⑰工程労務費一覧!$H$5:$H$753,MATCH($F287,⑰工程労務費一覧!$D$5:$D$753,0))/1000,IF($D287="kg",INDEX(⑰工程労務費一覧!$H$5:$H$753,MATCH($F287,⑰工程労務費一覧!$D$5:$D$753,0)),INDEX(⑰工程労務費一覧!$I$5:$I$753,MATCH($F287,⑰工程労務費一覧!$D$5:$D$753,0)))))),"")</f>
        <v/>
      </c>
      <c r="I287" s="392">
        <f>IF($K287&gt;0,IF(ISNUMBER(IF(OR($D287="g",$D287="ｇ"),IF($M287&gt;0,$L287/$M287/1000,""),IF($D287="kg",IF($M287&gt;0,$L287/$M287,""),IF($D287="",IF($M287&gt;0,$L287/$M287/1000,IF($O287&gt;0,$N287/$O287,"")),IF($O287&gt;0,$N287/$O287,""))))),IF($D287="",IF($M287&gt;0,"◎ JAN紐づけ(g扱い)","◎ JAN紐づけ(個扱い)"),"◎ JAN紐づけ"),"△ JAN紐づけ済・実績不足→仮計算"),IF($F287="",IF(ISNUMBER($H287),IF($D287="","⑤ 工程平均で仮計算(g扱い)","⑤ 工程平均で仮計算"),IF($E287="⑩盛付梱包工程入力","⑥ 盛り込み(⑳F列で計上)",IF(AND($E287="⑬計量工程入力",OR($D287="個",$D287="切",$D287="本",$D287="枚",$D287="尾")),"① 未紐づけ(カット個単位は仮単価なし)","① 未紐づけ"))),IF(NOT(ISNUMBER($H287)),"② 工程側に単価なし",IF($D287="","③ 単位未設定(個で計算)","④ OK"))))</f>
        <v/>
      </c>
      <c r="J287" s="399">
        <f>IFERROR(LOOKUP(2,1/((中間品リスト!$F$2:$F$1299=$B287)*(中間品リスト!$E$2:$E$1299&lt;&gt;"-")*(中間品リスト!$E$2:$E$1299&lt;&gt;"")),中間品リスト!$E$2:$E$1299),"")</f>
        <v/>
      </c>
      <c r="K287" s="400">
        <f>IF($J287="",0,COUNTIF(②釜工程入力!$S$5:$S$117,$J287)+COUNTIF(③スチコン工程入力!$S$5:$S$152,$J287)+COUNTIF(⑪ZEN工程入力!$S$6:$S$35,$J287)+COUNTIF(⑫ミキサー工程入力!$S$6:$S$65,$J287)+COUNTIF(⑬計量工程入力!$S$6:$S$65,$J287)+COUNTIF(⑭手動工程入力!$S$6:$S$47,$J287))</f>
        <v/>
      </c>
      <c r="L287" s="393">
        <f>IF($J287="",0,SUMIFS(②釜工程入力!$M$5:$M$117,②釜工程入力!$S$5:$S$117,$J287,②釜工程入力!$I$5:$I$117,"&gt;0")+SUMIFS(③スチコン工程入力!$M$5:$M$152,③スチコン工程入力!$S$5:$S$152,$J287,③スチコン工程入力!$I$5:$I$152,"&gt;0")+SUMIFS(⑪ZEN工程入力!$M$6:$M$35,⑪ZEN工程入力!$S$6:$S$35,$J287,⑪ZEN工程入力!$I$6:$I$35,"&gt;0")+SUMIFS(⑫ミキサー工程入力!$M$6:$M$65,⑫ミキサー工程入力!$S$6:$S$65,$J287,⑫ミキサー工程入力!$I$6:$I$65,"&gt;0")+SUMIFS(⑬計量工程入力!$M$6:$M$65,⑬計量工程入力!$S$6:$S$65,$J287,⑬計量工程入力!$I$6:$I$65,"&gt;0")+SUMIFS(⑭手動工程入力!$M$6:$M$47,⑭手動工程入力!$S$6:$S$47,$J287,⑭手動工程入力!$I$6:$I$47,"&gt;0"))</f>
        <v/>
      </c>
      <c r="M287" s="393">
        <f>IF($J287="",0,SUMIFS(②釜工程入力!$I$5:$I$117,②釜工程入力!$S$5:$S$117,$J287,②釜工程入力!$I$5:$I$117,"&gt;0",②釜工程入力!$M$5:$M$117,"&gt;0")+SUMIFS(③スチコン工程入力!$I$5:$I$152,③スチコン工程入力!$S$5:$S$152,$J287,③スチコン工程入力!$I$5:$I$152,"&gt;0",③スチコン工程入力!$M$5:$M$152,"&gt;0")+SUMIFS(⑪ZEN工程入力!$I$6:$I$35,⑪ZEN工程入力!$S$6:$S$35,$J287,⑪ZEN工程入力!$I$6:$I$35,"&gt;0",⑪ZEN工程入力!$M$6:$M$35,"&gt;0")+SUMIFS(⑫ミキサー工程入力!$I$6:$I$65,⑫ミキサー工程入力!$S$6:$S$65,$J287,⑫ミキサー工程入力!$I$6:$I$65,"&gt;0",⑫ミキサー工程入力!$M$6:$M$65,"&gt;0")+SUMIFS(⑬計量工程入力!$I$6:$I$65,⑬計量工程入力!$S$6:$S$65,$J287,⑬計量工程入力!$I$6:$I$65,"&gt;0",⑬計量工程入力!$M$6:$M$65,"&gt;0")+SUMIFS(⑭手動工程入力!$I$6:$I$47,⑭手動工程入力!$S$6:$S$47,$J287,⑭手動工程入力!$I$6:$I$47,"&gt;0",⑭手動工程入力!$M$6:$M$47,"&gt;0"))</f>
        <v/>
      </c>
      <c r="N287" s="393">
        <f>IF($J287="",0,SUMIFS(②釜工程入力!$M$5:$M$117,②釜工程入力!$S$5:$S$117,$J287,②釜工程入力!$J$5:$J$117,"&gt;0")-SUMIFS(②釜工程入力!$M$5:$M$117,②釜工程入力!$S$5:$S$117,$J287,②釜工程入力!$J$5:$J$117,"&gt;0",②釜工程入力!$I$5:$I$117,"&gt;0")+SUMIFS(③スチコン工程入力!$M$5:$M$152,③スチコン工程入力!$S$5:$S$152,$J287,③スチコン工程入力!$J$5:$J$152,"&gt;0")-SUMIFS(③スチコン工程入力!$M$5:$M$152,③スチコン工程入力!$S$5:$S$152,$J287,③スチコン工程入力!$J$5:$J$152,"&gt;0",③スチコン工程入力!$I$5:$I$152,"&gt;0")+SUMIFS(⑪ZEN工程入力!$M$6:$M$35,⑪ZEN工程入力!$S$6:$S$35,$J287,⑪ZEN工程入力!$J$6:$J$35,"&gt;0")-SUMIFS(⑪ZEN工程入力!$M$6:$M$35,⑪ZEN工程入力!$S$6:$S$35,$J287,⑪ZEN工程入力!$J$6:$J$35,"&gt;0",⑪ZEN工程入力!$I$6:$I$35,"&gt;0")+SUMIFS(⑫ミキサー工程入力!$M$6:$M$65,⑫ミキサー工程入力!$S$6:$S$65,$J287,⑫ミキサー工程入力!$J$6:$J$65,"&gt;0")-SUMIFS(⑫ミキサー工程入力!$M$6:$M$65,⑫ミキサー工程入力!$S$6:$S$65,$J287,⑫ミキサー工程入力!$J$6:$J$65,"&gt;0",⑫ミキサー工程入力!$I$6:$I$65,"&gt;0")+SUMIFS(⑬計量工程入力!$M$6:$M$65,⑬計量工程入力!$S$6:$S$65,$J287,⑬計量工程入力!$J$6:$J$65,"&gt;0")-SUMIFS(⑬計量工程入力!$M$6:$M$65,⑬計量工程入力!$S$6:$S$65,$J287,⑬計量工程入力!$J$6:$J$65,"&gt;0",⑬計量工程入力!$I$6:$I$65,"&gt;0")+SUMIFS(⑭手動工程入力!$M$6:$M$47,⑭手動工程入力!$S$6:$S$47,$J287,⑭手動工程入力!$J$6:$J$47,"&gt;0")-SUMIFS(⑭手動工程入力!$M$6:$M$47,⑭手動工程入力!$S$6:$S$47,$J287,⑭手動工程入力!$J$6:$J$47,"&gt;0",⑭手動工程入力!$I$6:$I$47,"&gt;0"))</f>
        <v/>
      </c>
      <c r="O287" s="393">
        <f>IF($J287="",0,SUMIFS(②釜工程入力!$J$5:$J$117,②釜工程入力!$S$5:$S$117,$J287,②釜工程入力!$J$5:$J$117,"&gt;0",②釜工程入力!$M$5:$M$117,"&gt;0")-SUMIFS(②釜工程入力!$J$5:$J$117,②釜工程入力!$S$5:$S$117,$J287,②釜工程入力!$J$5:$J$117,"&gt;0",②釜工程入力!$I$5:$I$117,"&gt;0",②釜工程入力!$M$5:$M$117,"&gt;0")+SUMIFS(③スチコン工程入力!$J$5:$J$152,③スチコン工程入力!$S$5:$S$152,$J287,③スチコン工程入力!$J$5:$J$152,"&gt;0",③スチコン工程入力!$M$5:$M$152,"&gt;0")-SUMIFS(③スチコン工程入力!$J$5:$J$152,③スチコン工程入力!$S$5:$S$152,$J287,③スチコン工程入力!$J$5:$J$152,"&gt;0",③スチコン工程入力!$I$5:$I$152,"&gt;0",③スチコン工程入力!$M$5:$M$152,"&gt;0")+SUMIFS(⑪ZEN工程入力!$J$6:$J$35,⑪ZEN工程入力!$S$6:$S$35,$J287,⑪ZEN工程入力!$J$6:$J$35,"&gt;0",⑪ZEN工程入力!$M$6:$M$35,"&gt;0")-SUMIFS(⑪ZEN工程入力!$J$6:$J$35,⑪ZEN工程入力!$S$6:$S$35,$J287,⑪ZEN工程入力!$J$6:$J$35,"&gt;0",⑪ZEN工程入力!$I$6:$I$35,"&gt;0",⑪ZEN工程入力!$M$6:$M$35,"&gt;0")+SUMIFS(⑫ミキサー工程入力!$J$6:$J$65,⑫ミキサー工程入力!$S$6:$S$65,$J287,⑫ミキサー工程入力!$J$6:$J$65,"&gt;0",⑫ミキサー工程入力!$M$6:$M$65,"&gt;0")-SUMIFS(⑫ミキサー工程入力!$J$6:$J$65,⑫ミキサー工程入力!$S$6:$S$65,$J287,⑫ミキサー工程入力!$J$6:$J$65,"&gt;0",⑫ミキサー工程入力!$I$6:$I$65,"&gt;0",⑫ミキサー工程入力!$M$6:$M$65,"&gt;0")+SUMIFS(⑬計量工程入力!$J$6:$J$65,⑬計量工程入力!$S$6:$S$65,$J287,⑬計量工程入力!$J$6:$J$65,"&gt;0",⑬計量工程入力!$M$6:$M$65,"&gt;0")-SUMIFS(⑬計量工程入力!$J$6:$J$65,⑬計量工程入力!$S$6:$S$65,$J287,⑬計量工程入力!$J$6:$J$65,"&gt;0",⑬計量工程入力!$I$6:$I$65,"&gt;0",⑬計量工程入力!$M$6:$M$65,"&gt;0")+SUMIFS(⑭手動工程入力!$J$6:$J$47,⑭手動工程入力!$S$6:$S$47,$J287,⑭手動工程入力!$J$6:$J$47,"&gt;0",⑭手動工程入力!$M$6:$M$47,"&gt;0")-SUMIFS(⑭手動工程入力!$J$6:$J$47,⑭手動工程入力!$S$6:$S$47,$J287,⑭手動工程入力!$J$6:$J$47,"&gt;0",⑭手動工程入力!$I$6:$I$47,"&gt;0",⑭手動工程入力!$M$6:$M$47,"&gt;0"))</f>
        <v/>
      </c>
      <c r="P287" s="392" t="inlineStr">
        <is>
          <t>中間品リスト</t>
        </is>
      </c>
    </row>
    <row r="288">
      <c r="A288" s="392" t="n">
        <v>284</v>
      </c>
      <c r="B288" s="392" t="n"/>
      <c r="C288" s="392" t="n"/>
      <c r="D288" s="392" t="n"/>
      <c r="E288" s="392" t="n"/>
      <c r="F288" s="394" t="n"/>
      <c r="G288" s="392" t="n"/>
      <c r="H288" s="604">
        <f>IFERROR(IF(AND($K288&gt;0,ISNUMBER(IF(OR($D288="g",$D288="ｇ"),IF($M288&gt;0,$L288/$M288/1000,""),IF($D288="kg",IF($M288&gt;0,$L288/$M288,""),IF($D288="",IF($M288&gt;0,$L288/$M288/1000,IF($O288&gt;0,$N288/$O288,"")),IF($O288&gt;0,$N288/$O288,"")))))),IF(OR($D288="g",$D288="ｇ"),IF($M288&gt;0,$L288/$M288/1000,""),IF($D288="kg",IF($M288&gt;0,$L288/$M288,""),IF($D288="",IF($M288&gt;0,$L288/$M288/1000,IF($O288&gt;0,$N288/$O288,"")),IF($O288&gt;0,$N288/$O288,"")))),IF($F288="",IF(OR($E288="",$E288="⑩盛付梱包工程入力"),"",IF(OR($D288="g",$D288="ｇ"),INDEX(⑰工程労務費一覧!$N$5:$N$11,MATCH($E288,⑰工程労務費一覧!$K$5:$K$11,0))/1000,IF($D288="kg",INDEX(⑰工程労務費一覧!$N$5:$N$11,MATCH($E288,⑰工程労務費一覧!$K$5:$K$11,0)),IF(OR($D288="個",$D288="切",$D288="本",$D288="枚",$D288="尾"),IF($E288="⑬計量工程入力","",INDEX(⑰工程労務費一覧!$P$5:$P$11,MATCH($E288,⑰工程労務費一覧!$K$5:$K$11,0))),IF(AND($D288="",OR($E288="②釜工程入力",$E288="③スチコン工程入力")),INDEX(⑰工程労務費一覧!$N$5:$N$11,MATCH($E288,⑰工程労務費一覧!$K$5:$K$11,0))/1000,""))))),IF(OR($D288="g",$D288="ｇ"),INDEX(⑰工程労務費一覧!$H$5:$H$753,MATCH($F288,⑰工程労務費一覧!$D$5:$D$753,0))/1000,IF($D288="kg",INDEX(⑰工程労務費一覧!$H$5:$H$753,MATCH($F288,⑰工程労務費一覧!$D$5:$D$753,0)),INDEX(⑰工程労務費一覧!$I$5:$I$753,MATCH($F288,⑰工程労務費一覧!$D$5:$D$753,0)))))),"")</f>
        <v/>
      </c>
      <c r="I288" s="392">
        <f>IF($K288&gt;0,IF(ISNUMBER(IF(OR($D288="g",$D288="ｇ"),IF($M288&gt;0,$L288/$M288/1000,""),IF($D288="kg",IF($M288&gt;0,$L288/$M288,""),IF($D288="",IF($M288&gt;0,$L288/$M288/1000,IF($O288&gt;0,$N288/$O288,"")),IF($O288&gt;0,$N288/$O288,""))))),IF($D288="",IF($M288&gt;0,"◎ JAN紐づけ(g扱い)","◎ JAN紐づけ(個扱い)"),"◎ JAN紐づけ"),"△ JAN紐づけ済・実績不足→仮計算"),IF($F288="",IF(ISNUMBER($H288),IF($D288="","⑤ 工程平均で仮計算(g扱い)","⑤ 工程平均で仮計算"),IF($E288="⑩盛付梱包工程入力","⑥ 盛り込み(⑳F列で計上)",IF(AND($E288="⑬計量工程入力",OR($D288="個",$D288="切",$D288="本",$D288="枚",$D288="尾")),"① 未紐づけ(カット個単位は仮単価なし)","① 未紐づけ"))),IF(NOT(ISNUMBER($H288)),"② 工程側に単価なし",IF($D288="","③ 単位未設定(個で計算)","④ OK"))))</f>
        <v/>
      </c>
      <c r="J288" s="399">
        <f>IFERROR(LOOKUP(2,1/((中間品リスト!$F$2:$F$1299=$B288)*(中間品リスト!$E$2:$E$1299&lt;&gt;"-")*(中間品リスト!$E$2:$E$1299&lt;&gt;"")),中間品リスト!$E$2:$E$1299),"")</f>
        <v/>
      </c>
      <c r="K288" s="400">
        <f>IF($J288="",0,COUNTIF(②釜工程入力!$S$5:$S$117,$J288)+COUNTIF(③スチコン工程入力!$S$5:$S$152,$J288)+COUNTIF(⑪ZEN工程入力!$S$6:$S$35,$J288)+COUNTIF(⑫ミキサー工程入力!$S$6:$S$65,$J288)+COUNTIF(⑬計量工程入力!$S$6:$S$65,$J288)+COUNTIF(⑭手動工程入力!$S$6:$S$47,$J288))</f>
        <v/>
      </c>
      <c r="L288" s="393">
        <f>IF($J288="",0,SUMIFS(②釜工程入力!$M$5:$M$117,②釜工程入力!$S$5:$S$117,$J288,②釜工程入力!$I$5:$I$117,"&gt;0")+SUMIFS(③スチコン工程入力!$M$5:$M$152,③スチコン工程入力!$S$5:$S$152,$J288,③スチコン工程入力!$I$5:$I$152,"&gt;0")+SUMIFS(⑪ZEN工程入力!$M$6:$M$35,⑪ZEN工程入力!$S$6:$S$35,$J288,⑪ZEN工程入力!$I$6:$I$35,"&gt;0")+SUMIFS(⑫ミキサー工程入力!$M$6:$M$65,⑫ミキサー工程入力!$S$6:$S$65,$J288,⑫ミキサー工程入力!$I$6:$I$65,"&gt;0")+SUMIFS(⑬計量工程入力!$M$6:$M$65,⑬計量工程入力!$S$6:$S$65,$J288,⑬計量工程入力!$I$6:$I$65,"&gt;0")+SUMIFS(⑭手動工程入力!$M$6:$M$47,⑭手動工程入力!$S$6:$S$47,$J288,⑭手動工程入力!$I$6:$I$47,"&gt;0"))</f>
        <v/>
      </c>
      <c r="M288" s="393">
        <f>IF($J288="",0,SUMIFS(②釜工程入力!$I$5:$I$117,②釜工程入力!$S$5:$S$117,$J288,②釜工程入力!$I$5:$I$117,"&gt;0",②釜工程入力!$M$5:$M$117,"&gt;0")+SUMIFS(③スチコン工程入力!$I$5:$I$152,③スチコン工程入力!$S$5:$S$152,$J288,③スチコン工程入力!$I$5:$I$152,"&gt;0",③スチコン工程入力!$M$5:$M$152,"&gt;0")+SUMIFS(⑪ZEN工程入力!$I$6:$I$35,⑪ZEN工程入力!$S$6:$S$35,$J288,⑪ZEN工程入力!$I$6:$I$35,"&gt;0",⑪ZEN工程入力!$M$6:$M$35,"&gt;0")+SUMIFS(⑫ミキサー工程入力!$I$6:$I$65,⑫ミキサー工程入力!$S$6:$S$65,$J288,⑫ミキサー工程入力!$I$6:$I$65,"&gt;0",⑫ミキサー工程入力!$M$6:$M$65,"&gt;0")+SUMIFS(⑬計量工程入力!$I$6:$I$65,⑬計量工程入力!$S$6:$S$65,$J288,⑬計量工程入力!$I$6:$I$65,"&gt;0",⑬計量工程入力!$M$6:$M$65,"&gt;0")+SUMIFS(⑭手動工程入力!$I$6:$I$47,⑭手動工程入力!$S$6:$S$47,$J288,⑭手動工程入力!$I$6:$I$47,"&gt;0",⑭手動工程入力!$M$6:$M$47,"&gt;0"))</f>
        <v/>
      </c>
      <c r="N288" s="393">
        <f>IF($J288="",0,SUMIFS(②釜工程入力!$M$5:$M$117,②釜工程入力!$S$5:$S$117,$J288,②釜工程入力!$J$5:$J$117,"&gt;0")-SUMIFS(②釜工程入力!$M$5:$M$117,②釜工程入力!$S$5:$S$117,$J288,②釜工程入力!$J$5:$J$117,"&gt;0",②釜工程入力!$I$5:$I$117,"&gt;0")+SUMIFS(③スチコン工程入力!$M$5:$M$152,③スチコン工程入力!$S$5:$S$152,$J288,③スチコン工程入力!$J$5:$J$152,"&gt;0")-SUMIFS(③スチコン工程入力!$M$5:$M$152,③スチコン工程入力!$S$5:$S$152,$J288,③スチコン工程入力!$J$5:$J$152,"&gt;0",③スチコン工程入力!$I$5:$I$152,"&gt;0")+SUMIFS(⑪ZEN工程入力!$M$6:$M$35,⑪ZEN工程入力!$S$6:$S$35,$J288,⑪ZEN工程入力!$J$6:$J$35,"&gt;0")-SUMIFS(⑪ZEN工程入力!$M$6:$M$35,⑪ZEN工程入力!$S$6:$S$35,$J288,⑪ZEN工程入力!$J$6:$J$35,"&gt;0",⑪ZEN工程入力!$I$6:$I$35,"&gt;0")+SUMIFS(⑫ミキサー工程入力!$M$6:$M$65,⑫ミキサー工程入力!$S$6:$S$65,$J288,⑫ミキサー工程入力!$J$6:$J$65,"&gt;0")-SUMIFS(⑫ミキサー工程入力!$M$6:$M$65,⑫ミキサー工程入力!$S$6:$S$65,$J288,⑫ミキサー工程入力!$J$6:$J$65,"&gt;0",⑫ミキサー工程入力!$I$6:$I$65,"&gt;0")+SUMIFS(⑬計量工程入力!$M$6:$M$65,⑬計量工程入力!$S$6:$S$65,$J288,⑬計量工程入力!$J$6:$J$65,"&gt;0")-SUMIFS(⑬計量工程入力!$M$6:$M$65,⑬計量工程入力!$S$6:$S$65,$J288,⑬計量工程入力!$J$6:$J$65,"&gt;0",⑬計量工程入力!$I$6:$I$65,"&gt;0")+SUMIFS(⑭手動工程入力!$M$6:$M$47,⑭手動工程入力!$S$6:$S$47,$J288,⑭手動工程入力!$J$6:$J$47,"&gt;0")-SUMIFS(⑭手動工程入力!$M$6:$M$47,⑭手動工程入力!$S$6:$S$47,$J288,⑭手動工程入力!$J$6:$J$47,"&gt;0",⑭手動工程入力!$I$6:$I$47,"&gt;0"))</f>
        <v/>
      </c>
      <c r="O288" s="393">
        <f>IF($J288="",0,SUMIFS(②釜工程入力!$J$5:$J$117,②釜工程入力!$S$5:$S$117,$J288,②釜工程入力!$J$5:$J$117,"&gt;0",②釜工程入力!$M$5:$M$117,"&gt;0")-SUMIFS(②釜工程入力!$J$5:$J$117,②釜工程入力!$S$5:$S$117,$J288,②釜工程入力!$J$5:$J$117,"&gt;0",②釜工程入力!$I$5:$I$117,"&gt;0",②釜工程入力!$M$5:$M$117,"&gt;0")+SUMIFS(③スチコン工程入力!$J$5:$J$152,③スチコン工程入力!$S$5:$S$152,$J288,③スチコン工程入力!$J$5:$J$152,"&gt;0",③スチコン工程入力!$M$5:$M$152,"&gt;0")-SUMIFS(③スチコン工程入力!$J$5:$J$152,③スチコン工程入力!$S$5:$S$152,$J288,③スチコン工程入力!$J$5:$J$152,"&gt;0",③スチコン工程入力!$I$5:$I$152,"&gt;0",③スチコン工程入力!$M$5:$M$152,"&gt;0")+SUMIFS(⑪ZEN工程入力!$J$6:$J$35,⑪ZEN工程入力!$S$6:$S$35,$J288,⑪ZEN工程入力!$J$6:$J$35,"&gt;0",⑪ZEN工程入力!$M$6:$M$35,"&gt;0")-SUMIFS(⑪ZEN工程入力!$J$6:$J$35,⑪ZEN工程入力!$S$6:$S$35,$J288,⑪ZEN工程入力!$J$6:$J$35,"&gt;0",⑪ZEN工程入力!$I$6:$I$35,"&gt;0",⑪ZEN工程入力!$M$6:$M$35,"&gt;0")+SUMIFS(⑫ミキサー工程入力!$J$6:$J$65,⑫ミキサー工程入力!$S$6:$S$65,$J288,⑫ミキサー工程入力!$J$6:$J$65,"&gt;0",⑫ミキサー工程入力!$M$6:$M$65,"&gt;0")-SUMIFS(⑫ミキサー工程入力!$J$6:$J$65,⑫ミキサー工程入力!$S$6:$S$65,$J288,⑫ミキサー工程入力!$J$6:$J$65,"&gt;0",⑫ミキサー工程入力!$I$6:$I$65,"&gt;0",⑫ミキサー工程入力!$M$6:$M$65,"&gt;0")+SUMIFS(⑬計量工程入力!$J$6:$J$65,⑬計量工程入力!$S$6:$S$65,$J288,⑬計量工程入力!$J$6:$J$65,"&gt;0",⑬計量工程入力!$M$6:$M$65,"&gt;0")-SUMIFS(⑬計量工程入力!$J$6:$J$65,⑬計量工程入力!$S$6:$S$65,$J288,⑬計量工程入力!$J$6:$J$65,"&gt;0",⑬計量工程入力!$I$6:$I$65,"&gt;0",⑬計量工程入力!$M$6:$M$65,"&gt;0")+SUMIFS(⑭手動工程入力!$J$6:$J$47,⑭手動工程入力!$S$6:$S$47,$J288,⑭手動工程入力!$J$6:$J$47,"&gt;0",⑭手動工程入力!$M$6:$M$47,"&gt;0")-SUMIFS(⑭手動工程入力!$J$6:$J$47,⑭手動工程入力!$S$6:$S$47,$J288,⑭手動工程入力!$J$6:$J$47,"&gt;0",⑭手動工程入力!$I$6:$I$47,"&gt;0",⑭手動工程入力!$M$6:$M$47,"&gt;0"))</f>
        <v/>
      </c>
      <c r="P288" s="392" t="n"/>
    </row>
    <row r="289">
      <c r="A289" s="392" t="n">
        <v>285</v>
      </c>
      <c r="B289" s="392" t="n"/>
      <c r="C289" s="392" t="n"/>
      <c r="D289" s="392" t="n"/>
      <c r="E289" s="392" t="n"/>
      <c r="F289" s="394" t="n"/>
      <c r="G289" s="392" t="n"/>
      <c r="H289" s="604">
        <f>IFERROR(IF(AND($K289&gt;0,ISNUMBER(IF(OR($D289="g",$D289="ｇ"),IF($M289&gt;0,$L289/$M289/1000,""),IF($D289="kg",IF($M289&gt;0,$L289/$M289,""),IF($D289="",IF($M289&gt;0,$L289/$M289/1000,IF($O289&gt;0,$N289/$O289,"")),IF($O289&gt;0,$N289/$O289,"")))))),IF(OR($D289="g",$D289="ｇ"),IF($M289&gt;0,$L289/$M289/1000,""),IF($D289="kg",IF($M289&gt;0,$L289/$M289,""),IF($D289="",IF($M289&gt;0,$L289/$M289/1000,IF($O289&gt;0,$N289/$O289,"")),IF($O289&gt;0,$N289/$O289,"")))),IF($F289="",IF(OR($E289="",$E289="⑩盛付梱包工程入力"),"",IF(OR($D289="g",$D289="ｇ"),INDEX(⑰工程労務費一覧!$N$5:$N$11,MATCH($E289,⑰工程労務費一覧!$K$5:$K$11,0))/1000,IF($D289="kg",INDEX(⑰工程労務費一覧!$N$5:$N$11,MATCH($E289,⑰工程労務費一覧!$K$5:$K$11,0)),IF(OR($D289="個",$D289="切",$D289="本",$D289="枚",$D289="尾"),IF($E289="⑬計量工程入力","",INDEX(⑰工程労務費一覧!$P$5:$P$11,MATCH($E289,⑰工程労務費一覧!$K$5:$K$11,0))),IF(AND($D289="",OR($E289="②釜工程入力",$E289="③スチコン工程入力")),INDEX(⑰工程労務費一覧!$N$5:$N$11,MATCH($E289,⑰工程労務費一覧!$K$5:$K$11,0))/1000,""))))),IF(OR($D289="g",$D289="ｇ"),INDEX(⑰工程労務費一覧!$H$5:$H$753,MATCH($F289,⑰工程労務費一覧!$D$5:$D$753,0))/1000,IF($D289="kg",INDEX(⑰工程労務費一覧!$H$5:$H$753,MATCH($F289,⑰工程労務費一覧!$D$5:$D$753,0)),INDEX(⑰工程労務費一覧!$I$5:$I$753,MATCH($F289,⑰工程労務費一覧!$D$5:$D$753,0)))))),"")</f>
        <v/>
      </c>
      <c r="I289" s="392">
        <f>IF($K289&gt;0,IF(ISNUMBER(IF(OR($D289="g",$D289="ｇ"),IF($M289&gt;0,$L289/$M289/1000,""),IF($D289="kg",IF($M289&gt;0,$L289/$M289,""),IF($D289="",IF($M289&gt;0,$L289/$M289/1000,IF($O289&gt;0,$N289/$O289,"")),IF($O289&gt;0,$N289/$O289,""))))),IF($D289="",IF($M289&gt;0,"◎ JAN紐づけ(g扱い)","◎ JAN紐づけ(個扱い)"),"◎ JAN紐づけ"),"△ JAN紐づけ済・実績不足→仮計算"),IF($F289="",IF(ISNUMBER($H289),IF($D289="","⑤ 工程平均で仮計算(g扱い)","⑤ 工程平均で仮計算"),IF($E289="⑩盛付梱包工程入力","⑥ 盛り込み(⑳F列で計上)",IF(AND($E289="⑬計量工程入力",OR($D289="個",$D289="切",$D289="本",$D289="枚",$D289="尾")),"① 未紐づけ(カット個単位は仮単価なし)","① 未紐づけ"))),IF(NOT(ISNUMBER($H289)),"② 工程側に単価なし",IF($D289="","③ 単位未設定(個で計算)","④ OK"))))</f>
        <v/>
      </c>
      <c r="J289" s="399">
        <f>IFERROR(LOOKUP(2,1/((中間品リスト!$F$2:$F$1299=$B289)*(中間品リスト!$E$2:$E$1299&lt;&gt;"-")*(中間品リスト!$E$2:$E$1299&lt;&gt;"")),中間品リスト!$E$2:$E$1299),"")</f>
        <v/>
      </c>
      <c r="K289" s="400">
        <f>IF($J289="",0,COUNTIF(②釜工程入力!$S$5:$S$117,$J289)+COUNTIF(③スチコン工程入力!$S$5:$S$152,$J289)+COUNTIF(⑪ZEN工程入力!$S$6:$S$35,$J289)+COUNTIF(⑫ミキサー工程入力!$S$6:$S$65,$J289)+COUNTIF(⑬計量工程入力!$S$6:$S$65,$J289)+COUNTIF(⑭手動工程入力!$S$6:$S$47,$J289))</f>
        <v/>
      </c>
      <c r="L289" s="393">
        <f>IF($J289="",0,SUMIFS(②釜工程入力!$M$5:$M$117,②釜工程入力!$S$5:$S$117,$J289,②釜工程入力!$I$5:$I$117,"&gt;0")+SUMIFS(③スチコン工程入力!$M$5:$M$152,③スチコン工程入力!$S$5:$S$152,$J289,③スチコン工程入力!$I$5:$I$152,"&gt;0")+SUMIFS(⑪ZEN工程入力!$M$6:$M$35,⑪ZEN工程入力!$S$6:$S$35,$J289,⑪ZEN工程入力!$I$6:$I$35,"&gt;0")+SUMIFS(⑫ミキサー工程入力!$M$6:$M$65,⑫ミキサー工程入力!$S$6:$S$65,$J289,⑫ミキサー工程入力!$I$6:$I$65,"&gt;0")+SUMIFS(⑬計量工程入力!$M$6:$M$65,⑬計量工程入力!$S$6:$S$65,$J289,⑬計量工程入力!$I$6:$I$65,"&gt;0")+SUMIFS(⑭手動工程入力!$M$6:$M$47,⑭手動工程入力!$S$6:$S$47,$J289,⑭手動工程入力!$I$6:$I$47,"&gt;0"))</f>
        <v/>
      </c>
      <c r="M289" s="393">
        <f>IF($J289="",0,SUMIFS(②釜工程入力!$I$5:$I$117,②釜工程入力!$S$5:$S$117,$J289,②釜工程入力!$I$5:$I$117,"&gt;0",②釜工程入力!$M$5:$M$117,"&gt;0")+SUMIFS(③スチコン工程入力!$I$5:$I$152,③スチコン工程入力!$S$5:$S$152,$J289,③スチコン工程入力!$I$5:$I$152,"&gt;0",③スチコン工程入力!$M$5:$M$152,"&gt;0")+SUMIFS(⑪ZEN工程入力!$I$6:$I$35,⑪ZEN工程入力!$S$6:$S$35,$J289,⑪ZEN工程入力!$I$6:$I$35,"&gt;0",⑪ZEN工程入力!$M$6:$M$35,"&gt;0")+SUMIFS(⑫ミキサー工程入力!$I$6:$I$65,⑫ミキサー工程入力!$S$6:$S$65,$J289,⑫ミキサー工程入力!$I$6:$I$65,"&gt;0",⑫ミキサー工程入力!$M$6:$M$65,"&gt;0")+SUMIFS(⑬計量工程入力!$I$6:$I$65,⑬計量工程入力!$S$6:$S$65,$J289,⑬計量工程入力!$I$6:$I$65,"&gt;0",⑬計量工程入力!$M$6:$M$65,"&gt;0")+SUMIFS(⑭手動工程入力!$I$6:$I$47,⑭手動工程入力!$S$6:$S$47,$J289,⑭手動工程入力!$I$6:$I$47,"&gt;0",⑭手動工程入力!$M$6:$M$47,"&gt;0"))</f>
        <v/>
      </c>
      <c r="N289" s="393">
        <f>IF($J289="",0,SUMIFS(②釜工程入力!$M$5:$M$117,②釜工程入力!$S$5:$S$117,$J289,②釜工程入力!$J$5:$J$117,"&gt;0")-SUMIFS(②釜工程入力!$M$5:$M$117,②釜工程入力!$S$5:$S$117,$J289,②釜工程入力!$J$5:$J$117,"&gt;0",②釜工程入力!$I$5:$I$117,"&gt;0")+SUMIFS(③スチコン工程入力!$M$5:$M$152,③スチコン工程入力!$S$5:$S$152,$J289,③スチコン工程入力!$J$5:$J$152,"&gt;0")-SUMIFS(③スチコン工程入力!$M$5:$M$152,③スチコン工程入力!$S$5:$S$152,$J289,③スチコン工程入力!$J$5:$J$152,"&gt;0",③スチコン工程入力!$I$5:$I$152,"&gt;0")+SUMIFS(⑪ZEN工程入力!$M$6:$M$35,⑪ZEN工程入力!$S$6:$S$35,$J289,⑪ZEN工程入力!$J$6:$J$35,"&gt;0")-SUMIFS(⑪ZEN工程入力!$M$6:$M$35,⑪ZEN工程入力!$S$6:$S$35,$J289,⑪ZEN工程入力!$J$6:$J$35,"&gt;0",⑪ZEN工程入力!$I$6:$I$35,"&gt;0")+SUMIFS(⑫ミキサー工程入力!$M$6:$M$65,⑫ミキサー工程入力!$S$6:$S$65,$J289,⑫ミキサー工程入力!$J$6:$J$65,"&gt;0")-SUMIFS(⑫ミキサー工程入力!$M$6:$M$65,⑫ミキサー工程入力!$S$6:$S$65,$J289,⑫ミキサー工程入力!$J$6:$J$65,"&gt;0",⑫ミキサー工程入力!$I$6:$I$65,"&gt;0")+SUMIFS(⑬計量工程入力!$M$6:$M$65,⑬計量工程入力!$S$6:$S$65,$J289,⑬計量工程入力!$J$6:$J$65,"&gt;0")-SUMIFS(⑬計量工程入力!$M$6:$M$65,⑬計量工程入力!$S$6:$S$65,$J289,⑬計量工程入力!$J$6:$J$65,"&gt;0",⑬計量工程入力!$I$6:$I$65,"&gt;0")+SUMIFS(⑭手動工程入力!$M$6:$M$47,⑭手動工程入力!$S$6:$S$47,$J289,⑭手動工程入力!$J$6:$J$47,"&gt;0")-SUMIFS(⑭手動工程入力!$M$6:$M$47,⑭手動工程入力!$S$6:$S$47,$J289,⑭手動工程入力!$J$6:$J$47,"&gt;0",⑭手動工程入力!$I$6:$I$47,"&gt;0"))</f>
        <v/>
      </c>
      <c r="O289" s="393">
        <f>IF($J289="",0,SUMIFS(②釜工程入力!$J$5:$J$117,②釜工程入力!$S$5:$S$117,$J289,②釜工程入力!$J$5:$J$117,"&gt;0",②釜工程入力!$M$5:$M$117,"&gt;0")-SUMIFS(②釜工程入力!$J$5:$J$117,②釜工程入力!$S$5:$S$117,$J289,②釜工程入力!$J$5:$J$117,"&gt;0",②釜工程入力!$I$5:$I$117,"&gt;0",②釜工程入力!$M$5:$M$117,"&gt;0")+SUMIFS(③スチコン工程入力!$J$5:$J$152,③スチコン工程入力!$S$5:$S$152,$J289,③スチコン工程入力!$J$5:$J$152,"&gt;0",③スチコン工程入力!$M$5:$M$152,"&gt;0")-SUMIFS(③スチコン工程入力!$J$5:$J$152,③スチコン工程入力!$S$5:$S$152,$J289,③スチコン工程入力!$J$5:$J$152,"&gt;0",③スチコン工程入力!$I$5:$I$152,"&gt;0",③スチコン工程入力!$M$5:$M$152,"&gt;0")+SUMIFS(⑪ZEN工程入力!$J$6:$J$35,⑪ZEN工程入力!$S$6:$S$35,$J289,⑪ZEN工程入力!$J$6:$J$35,"&gt;0",⑪ZEN工程入力!$M$6:$M$35,"&gt;0")-SUMIFS(⑪ZEN工程入力!$J$6:$J$35,⑪ZEN工程入力!$S$6:$S$35,$J289,⑪ZEN工程入力!$J$6:$J$35,"&gt;0",⑪ZEN工程入力!$I$6:$I$35,"&gt;0",⑪ZEN工程入力!$M$6:$M$35,"&gt;0")+SUMIFS(⑫ミキサー工程入力!$J$6:$J$65,⑫ミキサー工程入力!$S$6:$S$65,$J289,⑫ミキサー工程入力!$J$6:$J$65,"&gt;0",⑫ミキサー工程入力!$M$6:$M$65,"&gt;0")-SUMIFS(⑫ミキサー工程入力!$J$6:$J$65,⑫ミキサー工程入力!$S$6:$S$65,$J289,⑫ミキサー工程入力!$J$6:$J$65,"&gt;0",⑫ミキサー工程入力!$I$6:$I$65,"&gt;0",⑫ミキサー工程入力!$M$6:$M$65,"&gt;0")+SUMIFS(⑬計量工程入力!$J$6:$J$65,⑬計量工程入力!$S$6:$S$65,$J289,⑬計量工程入力!$J$6:$J$65,"&gt;0",⑬計量工程入力!$M$6:$M$65,"&gt;0")-SUMIFS(⑬計量工程入力!$J$6:$J$65,⑬計量工程入力!$S$6:$S$65,$J289,⑬計量工程入力!$J$6:$J$65,"&gt;0",⑬計量工程入力!$I$6:$I$65,"&gt;0",⑬計量工程入力!$M$6:$M$65,"&gt;0")+SUMIFS(⑭手動工程入力!$J$6:$J$47,⑭手動工程入力!$S$6:$S$47,$J289,⑭手動工程入力!$J$6:$J$47,"&gt;0",⑭手動工程入力!$M$6:$M$47,"&gt;0")-SUMIFS(⑭手動工程入力!$J$6:$J$47,⑭手動工程入力!$S$6:$S$47,$J289,⑭手動工程入力!$J$6:$J$47,"&gt;0",⑭手動工程入力!$I$6:$I$47,"&gt;0",⑭手動工程入力!$M$6:$M$47,"&gt;0"))</f>
        <v/>
      </c>
      <c r="P289" s="392" t="n"/>
    </row>
    <row r="290">
      <c r="A290" s="392" t="n">
        <v>286</v>
      </c>
      <c r="B290" s="392" t="n"/>
      <c r="C290" s="392" t="n"/>
      <c r="D290" s="409" t="n"/>
      <c r="E290" s="392" t="n"/>
      <c r="F290" s="394" t="n"/>
      <c r="G290" s="392" t="n"/>
      <c r="H290" s="604">
        <f>IFERROR(IF(AND($K290&gt;0,ISNUMBER(IF(OR($D290="g",$D290="ｇ"),IF($M290&gt;0,$L290/$M290/1000,""),IF($D290="kg",IF($M290&gt;0,$L290/$M290,""),IF($D290="",IF($M290&gt;0,$L290/$M290/1000,IF($O290&gt;0,$N290/$O290,"")),IF($O290&gt;0,$N290/$O290,"")))))),IF(OR($D290="g",$D290="ｇ"),IF($M290&gt;0,$L290/$M290/1000,""),IF($D290="kg",IF($M290&gt;0,$L290/$M290,""),IF($D290="",IF($M290&gt;0,$L290/$M290/1000,IF($O290&gt;0,$N290/$O290,"")),IF($O290&gt;0,$N290/$O290,"")))),IF($F290="",IF(OR($E290="",$E290="⑩盛付梱包工程入力"),"",IF(OR($D290="g",$D290="ｇ"),INDEX(⑰工程労務費一覧!$N$5:$N$11,MATCH($E290,⑰工程労務費一覧!$K$5:$K$11,0))/1000,IF($D290="kg",INDEX(⑰工程労務費一覧!$N$5:$N$11,MATCH($E290,⑰工程労務費一覧!$K$5:$K$11,0)),IF(OR($D290="個",$D290="切",$D290="本",$D290="枚",$D290="尾"),IF($E290="⑬計量工程入力","",INDEX(⑰工程労務費一覧!$P$5:$P$11,MATCH($E290,⑰工程労務費一覧!$K$5:$K$11,0))),IF(AND($D290="",OR($E290="②釜工程入力",$E290="③スチコン工程入力")),INDEX(⑰工程労務費一覧!$N$5:$N$11,MATCH($E290,⑰工程労務費一覧!$K$5:$K$11,0))/1000,""))))),IF(OR($D290="g",$D290="ｇ"),INDEX(⑰工程労務費一覧!$H$5:$H$753,MATCH($F290,⑰工程労務費一覧!$D$5:$D$753,0))/1000,IF($D290="kg",INDEX(⑰工程労務費一覧!$H$5:$H$753,MATCH($F290,⑰工程労務費一覧!$D$5:$D$753,0)),INDEX(⑰工程労務費一覧!$I$5:$I$753,MATCH($F290,⑰工程労務費一覧!$D$5:$D$753,0)))))),"")</f>
        <v/>
      </c>
      <c r="I290" s="392">
        <f>IF($K290&gt;0,IF(ISNUMBER(IF(OR($D290="g",$D290="ｇ"),IF($M290&gt;0,$L290/$M290/1000,""),IF($D290="kg",IF($M290&gt;0,$L290/$M290,""),IF($D290="",IF($M290&gt;0,$L290/$M290/1000,IF($O290&gt;0,$N290/$O290,"")),IF($O290&gt;0,$N290/$O290,""))))),IF($D290="",IF($M290&gt;0,"◎ JAN紐づけ(g扱い)","◎ JAN紐づけ(個扱い)"),"◎ JAN紐づけ"),"△ JAN紐づけ済・実績不足→仮計算"),IF($F290="",IF(ISNUMBER($H290),IF($D290="","⑤ 工程平均で仮計算(g扱い)","⑤ 工程平均で仮計算"),IF($E290="⑩盛付梱包工程入力","⑥ 盛り込み(⑳F列で計上)",IF(AND($E290="⑬計量工程入力",OR($D290="個",$D290="切",$D290="本",$D290="枚",$D290="尾")),"① 未紐づけ(カット個単位は仮単価なし)","① 未紐づけ"))),IF(NOT(ISNUMBER($H290)),"② 工程側に単価なし",IF($D290="","③ 単位未設定(個で計算)","④ OK"))))</f>
        <v/>
      </c>
      <c r="J290" s="399">
        <f>IFERROR(LOOKUP(2,1/((中間品リスト!$F$2:$F$1299=$B290)*(中間品リスト!$E$2:$E$1299&lt;&gt;"-")*(中間品リスト!$E$2:$E$1299&lt;&gt;"")),中間品リスト!$E$2:$E$1299),"")</f>
        <v/>
      </c>
      <c r="K290" s="400">
        <f>IF($J290="",0,COUNTIF(②釜工程入力!$S$5:$S$117,$J290)+COUNTIF(③スチコン工程入力!$S$5:$S$152,$J290)+COUNTIF(⑪ZEN工程入力!$S$6:$S$35,$J290)+COUNTIF(⑫ミキサー工程入力!$S$6:$S$65,$J290)+COUNTIF(⑬計量工程入力!$S$6:$S$65,$J290)+COUNTIF(⑭手動工程入力!$S$6:$S$47,$J290))</f>
        <v/>
      </c>
      <c r="L290" s="393">
        <f>IF($J290="",0,SUMIFS(②釜工程入力!$M$5:$M$117,②釜工程入力!$S$5:$S$117,$J290,②釜工程入力!$I$5:$I$117,"&gt;0")+SUMIFS(③スチコン工程入力!$M$5:$M$152,③スチコン工程入力!$S$5:$S$152,$J290,③スチコン工程入力!$I$5:$I$152,"&gt;0")+SUMIFS(⑪ZEN工程入力!$M$6:$M$35,⑪ZEN工程入力!$S$6:$S$35,$J290,⑪ZEN工程入力!$I$6:$I$35,"&gt;0")+SUMIFS(⑫ミキサー工程入力!$M$6:$M$65,⑫ミキサー工程入力!$S$6:$S$65,$J290,⑫ミキサー工程入力!$I$6:$I$65,"&gt;0")+SUMIFS(⑬計量工程入力!$M$6:$M$65,⑬計量工程入力!$S$6:$S$65,$J290,⑬計量工程入力!$I$6:$I$65,"&gt;0")+SUMIFS(⑭手動工程入力!$M$6:$M$47,⑭手動工程入力!$S$6:$S$47,$J290,⑭手動工程入力!$I$6:$I$47,"&gt;0"))</f>
        <v/>
      </c>
      <c r="M290" s="393">
        <f>IF($J290="",0,SUMIFS(②釜工程入力!$I$5:$I$117,②釜工程入力!$S$5:$S$117,$J290,②釜工程入力!$I$5:$I$117,"&gt;0",②釜工程入力!$M$5:$M$117,"&gt;0")+SUMIFS(③スチコン工程入力!$I$5:$I$152,③スチコン工程入力!$S$5:$S$152,$J290,③スチコン工程入力!$I$5:$I$152,"&gt;0",③スチコン工程入力!$M$5:$M$152,"&gt;0")+SUMIFS(⑪ZEN工程入力!$I$6:$I$35,⑪ZEN工程入力!$S$6:$S$35,$J290,⑪ZEN工程入力!$I$6:$I$35,"&gt;0",⑪ZEN工程入力!$M$6:$M$35,"&gt;0")+SUMIFS(⑫ミキサー工程入力!$I$6:$I$65,⑫ミキサー工程入力!$S$6:$S$65,$J290,⑫ミキサー工程入力!$I$6:$I$65,"&gt;0",⑫ミキサー工程入力!$M$6:$M$65,"&gt;0")+SUMIFS(⑬計量工程入力!$I$6:$I$65,⑬計量工程入力!$S$6:$S$65,$J290,⑬計量工程入力!$I$6:$I$65,"&gt;0",⑬計量工程入力!$M$6:$M$65,"&gt;0")+SUMIFS(⑭手動工程入力!$I$6:$I$47,⑭手動工程入力!$S$6:$S$47,$J290,⑭手動工程入力!$I$6:$I$47,"&gt;0",⑭手動工程入力!$M$6:$M$47,"&gt;0"))</f>
        <v/>
      </c>
      <c r="N290" s="393">
        <f>IF($J290="",0,SUMIFS(②釜工程入力!$M$5:$M$117,②釜工程入力!$S$5:$S$117,$J290,②釜工程入力!$J$5:$J$117,"&gt;0")-SUMIFS(②釜工程入力!$M$5:$M$117,②釜工程入力!$S$5:$S$117,$J290,②釜工程入力!$J$5:$J$117,"&gt;0",②釜工程入力!$I$5:$I$117,"&gt;0")+SUMIFS(③スチコン工程入力!$M$5:$M$152,③スチコン工程入力!$S$5:$S$152,$J290,③スチコン工程入力!$J$5:$J$152,"&gt;0")-SUMIFS(③スチコン工程入力!$M$5:$M$152,③スチコン工程入力!$S$5:$S$152,$J290,③スチコン工程入力!$J$5:$J$152,"&gt;0",③スチコン工程入力!$I$5:$I$152,"&gt;0")+SUMIFS(⑪ZEN工程入力!$M$6:$M$35,⑪ZEN工程入力!$S$6:$S$35,$J290,⑪ZEN工程入力!$J$6:$J$35,"&gt;0")-SUMIFS(⑪ZEN工程入力!$M$6:$M$35,⑪ZEN工程入力!$S$6:$S$35,$J290,⑪ZEN工程入力!$J$6:$J$35,"&gt;0",⑪ZEN工程入力!$I$6:$I$35,"&gt;0")+SUMIFS(⑫ミキサー工程入力!$M$6:$M$65,⑫ミキサー工程入力!$S$6:$S$65,$J290,⑫ミキサー工程入力!$J$6:$J$65,"&gt;0")-SUMIFS(⑫ミキサー工程入力!$M$6:$M$65,⑫ミキサー工程入力!$S$6:$S$65,$J290,⑫ミキサー工程入力!$J$6:$J$65,"&gt;0",⑫ミキサー工程入力!$I$6:$I$65,"&gt;0")+SUMIFS(⑬計量工程入力!$M$6:$M$65,⑬計量工程入力!$S$6:$S$65,$J290,⑬計量工程入力!$J$6:$J$65,"&gt;0")-SUMIFS(⑬計量工程入力!$M$6:$M$65,⑬計量工程入力!$S$6:$S$65,$J290,⑬計量工程入力!$J$6:$J$65,"&gt;0",⑬計量工程入力!$I$6:$I$65,"&gt;0")+SUMIFS(⑭手動工程入力!$M$6:$M$47,⑭手動工程入力!$S$6:$S$47,$J290,⑭手動工程入力!$J$6:$J$47,"&gt;0")-SUMIFS(⑭手動工程入力!$M$6:$M$47,⑭手動工程入力!$S$6:$S$47,$J290,⑭手動工程入力!$J$6:$J$47,"&gt;0",⑭手動工程入力!$I$6:$I$47,"&gt;0"))</f>
        <v/>
      </c>
      <c r="O290" s="393">
        <f>IF($J290="",0,SUMIFS(②釜工程入力!$J$5:$J$117,②釜工程入力!$S$5:$S$117,$J290,②釜工程入力!$J$5:$J$117,"&gt;0",②釜工程入力!$M$5:$M$117,"&gt;0")-SUMIFS(②釜工程入力!$J$5:$J$117,②釜工程入力!$S$5:$S$117,$J290,②釜工程入力!$J$5:$J$117,"&gt;0",②釜工程入力!$I$5:$I$117,"&gt;0",②釜工程入力!$M$5:$M$117,"&gt;0")+SUMIFS(③スチコン工程入力!$J$5:$J$152,③スチコン工程入力!$S$5:$S$152,$J290,③スチコン工程入力!$J$5:$J$152,"&gt;0",③スチコン工程入力!$M$5:$M$152,"&gt;0")-SUMIFS(③スチコン工程入力!$J$5:$J$152,③スチコン工程入力!$S$5:$S$152,$J290,③スチコン工程入力!$J$5:$J$152,"&gt;0",③スチコン工程入力!$I$5:$I$152,"&gt;0",③スチコン工程入力!$M$5:$M$152,"&gt;0")+SUMIFS(⑪ZEN工程入力!$J$6:$J$35,⑪ZEN工程入力!$S$6:$S$35,$J290,⑪ZEN工程入力!$J$6:$J$35,"&gt;0",⑪ZEN工程入力!$M$6:$M$35,"&gt;0")-SUMIFS(⑪ZEN工程入力!$J$6:$J$35,⑪ZEN工程入力!$S$6:$S$35,$J290,⑪ZEN工程入力!$J$6:$J$35,"&gt;0",⑪ZEN工程入力!$I$6:$I$35,"&gt;0",⑪ZEN工程入力!$M$6:$M$35,"&gt;0")+SUMIFS(⑫ミキサー工程入力!$J$6:$J$65,⑫ミキサー工程入力!$S$6:$S$65,$J290,⑫ミキサー工程入力!$J$6:$J$65,"&gt;0",⑫ミキサー工程入力!$M$6:$M$65,"&gt;0")-SUMIFS(⑫ミキサー工程入力!$J$6:$J$65,⑫ミキサー工程入力!$S$6:$S$65,$J290,⑫ミキサー工程入力!$J$6:$J$65,"&gt;0",⑫ミキサー工程入力!$I$6:$I$65,"&gt;0",⑫ミキサー工程入力!$M$6:$M$65,"&gt;0")+SUMIFS(⑬計量工程入力!$J$6:$J$65,⑬計量工程入力!$S$6:$S$65,$J290,⑬計量工程入力!$J$6:$J$65,"&gt;0",⑬計量工程入力!$M$6:$M$65,"&gt;0")-SUMIFS(⑬計量工程入力!$J$6:$J$65,⑬計量工程入力!$S$6:$S$65,$J290,⑬計量工程入力!$J$6:$J$65,"&gt;0",⑬計量工程入力!$I$6:$I$65,"&gt;0",⑬計量工程入力!$M$6:$M$65,"&gt;0")+SUMIFS(⑭手動工程入力!$J$6:$J$47,⑭手動工程入力!$S$6:$S$47,$J290,⑭手動工程入力!$J$6:$J$47,"&gt;0",⑭手動工程入力!$M$6:$M$47,"&gt;0")-SUMIFS(⑭手動工程入力!$J$6:$J$47,⑭手動工程入力!$S$6:$S$47,$J290,⑭手動工程入力!$J$6:$J$47,"&gt;0",⑭手動工程入力!$I$6:$I$47,"&gt;0",⑭手動工程入力!$M$6:$M$47,"&gt;0"))</f>
        <v/>
      </c>
      <c r="P290" s="392" t="inlineStr">
        <is>
          <t>中間品リスト</t>
        </is>
      </c>
    </row>
    <row r="291">
      <c r="A291" s="392" t="n">
        <v>287</v>
      </c>
      <c r="B291" s="392" t="n"/>
      <c r="C291" s="392" t="n"/>
      <c r="D291" s="409" t="n"/>
      <c r="E291" s="392" t="n"/>
      <c r="F291" s="394" t="n"/>
      <c r="G291" s="392" t="n"/>
      <c r="H291" s="604">
        <f>IFERROR(IF(AND($K291&gt;0,ISNUMBER(IF(OR($D291="g",$D291="ｇ"),IF($M291&gt;0,$L291/$M291/1000,""),IF($D291="kg",IF($M291&gt;0,$L291/$M291,""),IF($D291="",IF($M291&gt;0,$L291/$M291/1000,IF($O291&gt;0,$N291/$O291,"")),IF($O291&gt;0,$N291/$O291,"")))))),IF(OR($D291="g",$D291="ｇ"),IF($M291&gt;0,$L291/$M291/1000,""),IF($D291="kg",IF($M291&gt;0,$L291/$M291,""),IF($D291="",IF($M291&gt;0,$L291/$M291/1000,IF($O291&gt;0,$N291/$O291,"")),IF($O291&gt;0,$N291/$O291,"")))),IF($F291="",IF(OR($E291="",$E291="⑩盛付梱包工程入力"),"",IF(OR($D291="g",$D291="ｇ"),INDEX(⑰工程労務費一覧!$N$5:$N$11,MATCH($E291,⑰工程労務費一覧!$K$5:$K$11,0))/1000,IF($D291="kg",INDEX(⑰工程労務費一覧!$N$5:$N$11,MATCH($E291,⑰工程労務費一覧!$K$5:$K$11,0)),IF(OR($D291="個",$D291="切",$D291="本",$D291="枚",$D291="尾"),IF($E291="⑬計量工程入力","",INDEX(⑰工程労務費一覧!$P$5:$P$11,MATCH($E291,⑰工程労務費一覧!$K$5:$K$11,0))),IF(AND($D291="",OR($E291="②釜工程入力",$E291="③スチコン工程入力")),INDEX(⑰工程労務費一覧!$N$5:$N$11,MATCH($E291,⑰工程労務費一覧!$K$5:$K$11,0))/1000,""))))),IF(OR($D291="g",$D291="ｇ"),INDEX(⑰工程労務費一覧!$H$5:$H$753,MATCH($F291,⑰工程労務費一覧!$D$5:$D$753,0))/1000,IF($D291="kg",INDEX(⑰工程労務費一覧!$H$5:$H$753,MATCH($F291,⑰工程労務費一覧!$D$5:$D$753,0)),INDEX(⑰工程労務費一覧!$I$5:$I$753,MATCH($F291,⑰工程労務費一覧!$D$5:$D$753,0)))))),"")</f>
        <v/>
      </c>
      <c r="I291" s="392">
        <f>IF($K291&gt;0,IF(ISNUMBER(IF(OR($D291="g",$D291="ｇ"),IF($M291&gt;0,$L291/$M291/1000,""),IF($D291="kg",IF($M291&gt;0,$L291/$M291,""),IF($D291="",IF($M291&gt;0,$L291/$M291/1000,IF($O291&gt;0,$N291/$O291,"")),IF($O291&gt;0,$N291/$O291,""))))),IF($D291="",IF($M291&gt;0,"◎ JAN紐づけ(g扱い)","◎ JAN紐づけ(個扱い)"),"◎ JAN紐づけ"),"△ JAN紐づけ済・実績不足→仮計算"),IF($F291="",IF(ISNUMBER($H291),IF($D291="","⑤ 工程平均で仮計算(g扱い)","⑤ 工程平均で仮計算"),IF($E291="⑩盛付梱包工程入力","⑥ 盛り込み(⑳F列で計上)",IF(AND($E291="⑬計量工程入力",OR($D291="個",$D291="切",$D291="本",$D291="枚",$D291="尾")),"① 未紐づけ(カット個単位は仮単価なし)","① 未紐づけ"))),IF(NOT(ISNUMBER($H291)),"② 工程側に単価なし",IF($D291="","③ 単位未設定(個で計算)","④ OK"))))</f>
        <v/>
      </c>
      <c r="J291" s="399">
        <f>IFERROR(LOOKUP(2,1/((中間品リスト!$F$2:$F$1299=$B291)*(中間品リスト!$E$2:$E$1299&lt;&gt;"-")*(中間品リスト!$E$2:$E$1299&lt;&gt;"")),中間品リスト!$E$2:$E$1299),"")</f>
        <v/>
      </c>
      <c r="K291" s="400">
        <f>IF($J291="",0,COUNTIF(②釜工程入力!$S$5:$S$117,$J291)+COUNTIF(③スチコン工程入力!$S$5:$S$152,$J291)+COUNTIF(⑪ZEN工程入力!$S$6:$S$35,$J291)+COUNTIF(⑫ミキサー工程入力!$S$6:$S$65,$J291)+COUNTIF(⑬計量工程入力!$S$6:$S$65,$J291)+COUNTIF(⑭手動工程入力!$S$6:$S$47,$J291))</f>
        <v/>
      </c>
      <c r="L291" s="393">
        <f>IF($J291="",0,SUMIFS(②釜工程入力!$M$5:$M$117,②釜工程入力!$S$5:$S$117,$J291,②釜工程入力!$I$5:$I$117,"&gt;0")+SUMIFS(③スチコン工程入力!$M$5:$M$152,③スチコン工程入力!$S$5:$S$152,$J291,③スチコン工程入力!$I$5:$I$152,"&gt;0")+SUMIFS(⑪ZEN工程入力!$M$6:$M$35,⑪ZEN工程入力!$S$6:$S$35,$J291,⑪ZEN工程入力!$I$6:$I$35,"&gt;0")+SUMIFS(⑫ミキサー工程入力!$M$6:$M$65,⑫ミキサー工程入力!$S$6:$S$65,$J291,⑫ミキサー工程入力!$I$6:$I$65,"&gt;0")+SUMIFS(⑬計量工程入力!$M$6:$M$65,⑬計量工程入力!$S$6:$S$65,$J291,⑬計量工程入力!$I$6:$I$65,"&gt;0")+SUMIFS(⑭手動工程入力!$M$6:$M$47,⑭手動工程入力!$S$6:$S$47,$J291,⑭手動工程入力!$I$6:$I$47,"&gt;0"))</f>
        <v/>
      </c>
      <c r="M291" s="393">
        <f>IF($J291="",0,SUMIFS(②釜工程入力!$I$5:$I$117,②釜工程入力!$S$5:$S$117,$J291,②釜工程入力!$I$5:$I$117,"&gt;0",②釜工程入力!$M$5:$M$117,"&gt;0")+SUMIFS(③スチコン工程入力!$I$5:$I$152,③スチコン工程入力!$S$5:$S$152,$J291,③スチコン工程入力!$I$5:$I$152,"&gt;0",③スチコン工程入力!$M$5:$M$152,"&gt;0")+SUMIFS(⑪ZEN工程入力!$I$6:$I$35,⑪ZEN工程入力!$S$6:$S$35,$J291,⑪ZEN工程入力!$I$6:$I$35,"&gt;0",⑪ZEN工程入力!$M$6:$M$35,"&gt;0")+SUMIFS(⑫ミキサー工程入力!$I$6:$I$65,⑫ミキサー工程入力!$S$6:$S$65,$J291,⑫ミキサー工程入力!$I$6:$I$65,"&gt;0",⑫ミキサー工程入力!$M$6:$M$65,"&gt;0")+SUMIFS(⑬計量工程入力!$I$6:$I$65,⑬計量工程入力!$S$6:$S$65,$J291,⑬計量工程入力!$I$6:$I$65,"&gt;0",⑬計量工程入力!$M$6:$M$65,"&gt;0")+SUMIFS(⑭手動工程入力!$I$6:$I$47,⑭手動工程入力!$S$6:$S$47,$J291,⑭手動工程入力!$I$6:$I$47,"&gt;0",⑭手動工程入力!$M$6:$M$47,"&gt;0"))</f>
        <v/>
      </c>
      <c r="N291" s="393">
        <f>IF($J291="",0,SUMIFS(②釜工程入力!$M$5:$M$117,②釜工程入力!$S$5:$S$117,$J291,②釜工程入力!$J$5:$J$117,"&gt;0")-SUMIFS(②釜工程入力!$M$5:$M$117,②釜工程入力!$S$5:$S$117,$J291,②釜工程入力!$J$5:$J$117,"&gt;0",②釜工程入力!$I$5:$I$117,"&gt;0")+SUMIFS(③スチコン工程入力!$M$5:$M$152,③スチコン工程入力!$S$5:$S$152,$J291,③スチコン工程入力!$J$5:$J$152,"&gt;0")-SUMIFS(③スチコン工程入力!$M$5:$M$152,③スチコン工程入力!$S$5:$S$152,$J291,③スチコン工程入力!$J$5:$J$152,"&gt;0",③スチコン工程入力!$I$5:$I$152,"&gt;0")+SUMIFS(⑪ZEN工程入力!$M$6:$M$35,⑪ZEN工程入力!$S$6:$S$35,$J291,⑪ZEN工程入力!$J$6:$J$35,"&gt;0")-SUMIFS(⑪ZEN工程入力!$M$6:$M$35,⑪ZEN工程入力!$S$6:$S$35,$J291,⑪ZEN工程入力!$J$6:$J$35,"&gt;0",⑪ZEN工程入力!$I$6:$I$35,"&gt;0")+SUMIFS(⑫ミキサー工程入力!$M$6:$M$65,⑫ミキサー工程入力!$S$6:$S$65,$J291,⑫ミキサー工程入力!$J$6:$J$65,"&gt;0")-SUMIFS(⑫ミキサー工程入力!$M$6:$M$65,⑫ミキサー工程入力!$S$6:$S$65,$J291,⑫ミキサー工程入力!$J$6:$J$65,"&gt;0",⑫ミキサー工程入力!$I$6:$I$65,"&gt;0")+SUMIFS(⑬計量工程入力!$M$6:$M$65,⑬計量工程入力!$S$6:$S$65,$J291,⑬計量工程入力!$J$6:$J$65,"&gt;0")-SUMIFS(⑬計量工程入力!$M$6:$M$65,⑬計量工程入力!$S$6:$S$65,$J291,⑬計量工程入力!$J$6:$J$65,"&gt;0",⑬計量工程入力!$I$6:$I$65,"&gt;0")+SUMIFS(⑭手動工程入力!$M$6:$M$47,⑭手動工程入力!$S$6:$S$47,$J291,⑭手動工程入力!$J$6:$J$47,"&gt;0")-SUMIFS(⑭手動工程入力!$M$6:$M$47,⑭手動工程入力!$S$6:$S$47,$J291,⑭手動工程入力!$J$6:$J$47,"&gt;0",⑭手動工程入力!$I$6:$I$47,"&gt;0"))</f>
        <v/>
      </c>
      <c r="O291" s="393">
        <f>IF($J291="",0,SUMIFS(②釜工程入力!$J$5:$J$117,②釜工程入力!$S$5:$S$117,$J291,②釜工程入力!$J$5:$J$117,"&gt;0",②釜工程入力!$M$5:$M$117,"&gt;0")-SUMIFS(②釜工程入力!$J$5:$J$117,②釜工程入力!$S$5:$S$117,$J291,②釜工程入力!$J$5:$J$117,"&gt;0",②釜工程入力!$I$5:$I$117,"&gt;0",②釜工程入力!$M$5:$M$117,"&gt;0")+SUMIFS(③スチコン工程入力!$J$5:$J$152,③スチコン工程入力!$S$5:$S$152,$J291,③スチコン工程入力!$J$5:$J$152,"&gt;0",③スチコン工程入力!$M$5:$M$152,"&gt;0")-SUMIFS(③スチコン工程入力!$J$5:$J$152,③スチコン工程入力!$S$5:$S$152,$J291,③スチコン工程入力!$J$5:$J$152,"&gt;0",③スチコン工程入力!$I$5:$I$152,"&gt;0",③スチコン工程入力!$M$5:$M$152,"&gt;0")+SUMIFS(⑪ZEN工程入力!$J$6:$J$35,⑪ZEN工程入力!$S$6:$S$35,$J291,⑪ZEN工程入力!$J$6:$J$35,"&gt;0",⑪ZEN工程入力!$M$6:$M$35,"&gt;0")-SUMIFS(⑪ZEN工程入力!$J$6:$J$35,⑪ZEN工程入力!$S$6:$S$35,$J291,⑪ZEN工程入力!$J$6:$J$35,"&gt;0",⑪ZEN工程入力!$I$6:$I$35,"&gt;0",⑪ZEN工程入力!$M$6:$M$35,"&gt;0")+SUMIFS(⑫ミキサー工程入力!$J$6:$J$65,⑫ミキサー工程入力!$S$6:$S$65,$J291,⑫ミキサー工程入力!$J$6:$J$65,"&gt;0",⑫ミキサー工程入力!$M$6:$M$65,"&gt;0")-SUMIFS(⑫ミキサー工程入力!$J$6:$J$65,⑫ミキサー工程入力!$S$6:$S$65,$J291,⑫ミキサー工程入力!$J$6:$J$65,"&gt;0",⑫ミキサー工程入力!$I$6:$I$65,"&gt;0",⑫ミキサー工程入力!$M$6:$M$65,"&gt;0")+SUMIFS(⑬計量工程入力!$J$6:$J$65,⑬計量工程入力!$S$6:$S$65,$J291,⑬計量工程入力!$J$6:$J$65,"&gt;0",⑬計量工程入力!$M$6:$M$65,"&gt;0")-SUMIFS(⑬計量工程入力!$J$6:$J$65,⑬計量工程入力!$S$6:$S$65,$J291,⑬計量工程入力!$J$6:$J$65,"&gt;0",⑬計量工程入力!$I$6:$I$65,"&gt;0",⑬計量工程入力!$M$6:$M$65,"&gt;0")+SUMIFS(⑭手動工程入力!$J$6:$J$47,⑭手動工程入力!$S$6:$S$47,$J291,⑭手動工程入力!$J$6:$J$47,"&gt;0",⑭手動工程入力!$M$6:$M$47,"&gt;0")-SUMIFS(⑭手動工程入力!$J$6:$J$47,⑭手動工程入力!$S$6:$S$47,$J291,⑭手動工程入力!$J$6:$J$47,"&gt;0",⑭手動工程入力!$I$6:$I$47,"&gt;0",⑭手動工程入力!$M$6:$M$47,"&gt;0"))</f>
        <v/>
      </c>
      <c r="P291" s="392" t="inlineStr">
        <is>
          <t>中間品リスト</t>
        </is>
      </c>
    </row>
    <row r="292">
      <c r="A292" s="392" t="n">
        <v>288</v>
      </c>
      <c r="B292" s="392" t="n"/>
      <c r="C292" s="392" t="n"/>
      <c r="D292" s="409" t="n"/>
      <c r="E292" s="392" t="n"/>
      <c r="F292" s="394" t="n"/>
      <c r="G292" s="392" t="n"/>
      <c r="H292" s="604">
        <f>IFERROR(IF(AND($K292&gt;0,ISNUMBER(IF(OR($D292="g",$D292="ｇ"),IF($M292&gt;0,$L292/$M292/1000,""),IF($D292="kg",IF($M292&gt;0,$L292/$M292,""),IF($D292="",IF($M292&gt;0,$L292/$M292/1000,IF($O292&gt;0,$N292/$O292,"")),IF($O292&gt;0,$N292/$O292,"")))))),IF(OR($D292="g",$D292="ｇ"),IF($M292&gt;0,$L292/$M292/1000,""),IF($D292="kg",IF($M292&gt;0,$L292/$M292,""),IF($D292="",IF($M292&gt;0,$L292/$M292/1000,IF($O292&gt;0,$N292/$O292,"")),IF($O292&gt;0,$N292/$O292,"")))),IF($F292="",IF(OR($E292="",$E292="⑩盛付梱包工程入力"),"",IF(OR($D292="g",$D292="ｇ"),INDEX(⑰工程労務費一覧!$N$5:$N$11,MATCH($E292,⑰工程労務費一覧!$K$5:$K$11,0))/1000,IF($D292="kg",INDEX(⑰工程労務費一覧!$N$5:$N$11,MATCH($E292,⑰工程労務費一覧!$K$5:$K$11,0)),IF(OR($D292="個",$D292="切",$D292="本",$D292="枚",$D292="尾"),IF($E292="⑬計量工程入力","",INDEX(⑰工程労務費一覧!$P$5:$P$11,MATCH($E292,⑰工程労務費一覧!$K$5:$K$11,0))),IF(AND($D292="",OR($E292="②釜工程入力",$E292="③スチコン工程入力")),INDEX(⑰工程労務費一覧!$N$5:$N$11,MATCH($E292,⑰工程労務費一覧!$K$5:$K$11,0))/1000,""))))),IF(OR($D292="g",$D292="ｇ"),INDEX(⑰工程労務費一覧!$H$5:$H$753,MATCH($F292,⑰工程労務費一覧!$D$5:$D$753,0))/1000,IF($D292="kg",INDEX(⑰工程労務費一覧!$H$5:$H$753,MATCH($F292,⑰工程労務費一覧!$D$5:$D$753,0)),INDEX(⑰工程労務費一覧!$I$5:$I$753,MATCH($F292,⑰工程労務費一覧!$D$5:$D$753,0)))))),"")</f>
        <v/>
      </c>
      <c r="I292" s="392">
        <f>IF($K292&gt;0,IF(ISNUMBER(IF(OR($D292="g",$D292="ｇ"),IF($M292&gt;0,$L292/$M292/1000,""),IF($D292="kg",IF($M292&gt;0,$L292/$M292,""),IF($D292="",IF($M292&gt;0,$L292/$M292/1000,IF($O292&gt;0,$N292/$O292,"")),IF($O292&gt;0,$N292/$O292,""))))),IF($D292="",IF($M292&gt;0,"◎ JAN紐づけ(g扱い)","◎ JAN紐づけ(個扱い)"),"◎ JAN紐づけ"),"△ JAN紐づけ済・実績不足→仮計算"),IF($F292="",IF(ISNUMBER($H292),IF($D292="","⑤ 工程平均で仮計算(g扱い)","⑤ 工程平均で仮計算"),IF($E292="⑩盛付梱包工程入力","⑥ 盛り込み(⑳F列で計上)",IF(AND($E292="⑬計量工程入力",OR($D292="個",$D292="切",$D292="本",$D292="枚",$D292="尾")),"① 未紐づけ(カット個単位は仮単価なし)","① 未紐づけ"))),IF(NOT(ISNUMBER($H292)),"② 工程側に単価なし",IF($D292="","③ 単位未設定(個で計算)","④ OK"))))</f>
        <v/>
      </c>
      <c r="J292" s="399">
        <f>IFERROR(LOOKUP(2,1/((中間品リスト!$F$2:$F$1299=$B292)*(中間品リスト!$E$2:$E$1299&lt;&gt;"-")*(中間品リスト!$E$2:$E$1299&lt;&gt;"")),中間品リスト!$E$2:$E$1299),"")</f>
        <v/>
      </c>
      <c r="K292" s="400">
        <f>IF($J292="",0,COUNTIF(②釜工程入力!$S$5:$S$117,$J292)+COUNTIF(③スチコン工程入力!$S$5:$S$152,$J292)+COUNTIF(⑪ZEN工程入力!$S$6:$S$35,$J292)+COUNTIF(⑫ミキサー工程入力!$S$6:$S$65,$J292)+COUNTIF(⑬計量工程入力!$S$6:$S$65,$J292)+COUNTIF(⑭手動工程入力!$S$6:$S$47,$J292))</f>
        <v/>
      </c>
      <c r="L292" s="393">
        <f>IF($J292="",0,SUMIFS(②釜工程入力!$M$5:$M$117,②釜工程入力!$S$5:$S$117,$J292,②釜工程入力!$I$5:$I$117,"&gt;0")+SUMIFS(③スチコン工程入力!$M$5:$M$152,③スチコン工程入力!$S$5:$S$152,$J292,③スチコン工程入力!$I$5:$I$152,"&gt;0")+SUMIFS(⑪ZEN工程入力!$M$6:$M$35,⑪ZEN工程入力!$S$6:$S$35,$J292,⑪ZEN工程入力!$I$6:$I$35,"&gt;0")+SUMIFS(⑫ミキサー工程入力!$M$6:$M$65,⑫ミキサー工程入力!$S$6:$S$65,$J292,⑫ミキサー工程入力!$I$6:$I$65,"&gt;0")+SUMIFS(⑬計量工程入力!$M$6:$M$65,⑬計量工程入力!$S$6:$S$65,$J292,⑬計量工程入力!$I$6:$I$65,"&gt;0")+SUMIFS(⑭手動工程入力!$M$6:$M$47,⑭手動工程入力!$S$6:$S$47,$J292,⑭手動工程入力!$I$6:$I$47,"&gt;0"))</f>
        <v/>
      </c>
      <c r="M292" s="393">
        <f>IF($J292="",0,SUMIFS(②釜工程入力!$I$5:$I$117,②釜工程入力!$S$5:$S$117,$J292,②釜工程入力!$I$5:$I$117,"&gt;0",②釜工程入力!$M$5:$M$117,"&gt;0")+SUMIFS(③スチコン工程入力!$I$5:$I$152,③スチコン工程入力!$S$5:$S$152,$J292,③スチコン工程入力!$I$5:$I$152,"&gt;0",③スチコン工程入力!$M$5:$M$152,"&gt;0")+SUMIFS(⑪ZEN工程入力!$I$6:$I$35,⑪ZEN工程入力!$S$6:$S$35,$J292,⑪ZEN工程入力!$I$6:$I$35,"&gt;0",⑪ZEN工程入力!$M$6:$M$35,"&gt;0")+SUMIFS(⑫ミキサー工程入力!$I$6:$I$65,⑫ミキサー工程入力!$S$6:$S$65,$J292,⑫ミキサー工程入力!$I$6:$I$65,"&gt;0",⑫ミキサー工程入力!$M$6:$M$65,"&gt;0")+SUMIFS(⑬計量工程入力!$I$6:$I$65,⑬計量工程入力!$S$6:$S$65,$J292,⑬計量工程入力!$I$6:$I$65,"&gt;0",⑬計量工程入力!$M$6:$M$65,"&gt;0")+SUMIFS(⑭手動工程入力!$I$6:$I$47,⑭手動工程入力!$S$6:$S$47,$J292,⑭手動工程入力!$I$6:$I$47,"&gt;0",⑭手動工程入力!$M$6:$M$47,"&gt;0"))</f>
        <v/>
      </c>
      <c r="N292" s="393">
        <f>IF($J292="",0,SUMIFS(②釜工程入力!$M$5:$M$117,②釜工程入力!$S$5:$S$117,$J292,②釜工程入力!$J$5:$J$117,"&gt;0")-SUMIFS(②釜工程入力!$M$5:$M$117,②釜工程入力!$S$5:$S$117,$J292,②釜工程入力!$J$5:$J$117,"&gt;0",②釜工程入力!$I$5:$I$117,"&gt;0")+SUMIFS(③スチコン工程入力!$M$5:$M$152,③スチコン工程入力!$S$5:$S$152,$J292,③スチコン工程入力!$J$5:$J$152,"&gt;0")-SUMIFS(③スチコン工程入力!$M$5:$M$152,③スチコン工程入力!$S$5:$S$152,$J292,③スチコン工程入力!$J$5:$J$152,"&gt;0",③スチコン工程入力!$I$5:$I$152,"&gt;0")+SUMIFS(⑪ZEN工程入力!$M$6:$M$35,⑪ZEN工程入力!$S$6:$S$35,$J292,⑪ZEN工程入力!$J$6:$J$35,"&gt;0")-SUMIFS(⑪ZEN工程入力!$M$6:$M$35,⑪ZEN工程入力!$S$6:$S$35,$J292,⑪ZEN工程入力!$J$6:$J$35,"&gt;0",⑪ZEN工程入力!$I$6:$I$35,"&gt;0")+SUMIFS(⑫ミキサー工程入力!$M$6:$M$65,⑫ミキサー工程入力!$S$6:$S$65,$J292,⑫ミキサー工程入力!$J$6:$J$65,"&gt;0")-SUMIFS(⑫ミキサー工程入力!$M$6:$M$65,⑫ミキサー工程入力!$S$6:$S$65,$J292,⑫ミキサー工程入力!$J$6:$J$65,"&gt;0",⑫ミキサー工程入力!$I$6:$I$65,"&gt;0")+SUMIFS(⑬計量工程入力!$M$6:$M$65,⑬計量工程入力!$S$6:$S$65,$J292,⑬計量工程入力!$J$6:$J$65,"&gt;0")-SUMIFS(⑬計量工程入力!$M$6:$M$65,⑬計量工程入力!$S$6:$S$65,$J292,⑬計量工程入力!$J$6:$J$65,"&gt;0",⑬計量工程入力!$I$6:$I$65,"&gt;0")+SUMIFS(⑭手動工程入力!$M$6:$M$47,⑭手動工程入力!$S$6:$S$47,$J292,⑭手動工程入力!$J$6:$J$47,"&gt;0")-SUMIFS(⑭手動工程入力!$M$6:$M$47,⑭手動工程入力!$S$6:$S$47,$J292,⑭手動工程入力!$J$6:$J$47,"&gt;0",⑭手動工程入力!$I$6:$I$47,"&gt;0"))</f>
        <v/>
      </c>
      <c r="O292" s="393">
        <f>IF($J292="",0,SUMIFS(②釜工程入力!$J$5:$J$117,②釜工程入力!$S$5:$S$117,$J292,②釜工程入力!$J$5:$J$117,"&gt;0",②釜工程入力!$M$5:$M$117,"&gt;0")-SUMIFS(②釜工程入力!$J$5:$J$117,②釜工程入力!$S$5:$S$117,$J292,②釜工程入力!$J$5:$J$117,"&gt;0",②釜工程入力!$I$5:$I$117,"&gt;0",②釜工程入力!$M$5:$M$117,"&gt;0")+SUMIFS(③スチコン工程入力!$J$5:$J$152,③スチコン工程入力!$S$5:$S$152,$J292,③スチコン工程入力!$J$5:$J$152,"&gt;0",③スチコン工程入力!$M$5:$M$152,"&gt;0")-SUMIFS(③スチコン工程入力!$J$5:$J$152,③スチコン工程入力!$S$5:$S$152,$J292,③スチコン工程入力!$J$5:$J$152,"&gt;0",③スチコン工程入力!$I$5:$I$152,"&gt;0",③スチコン工程入力!$M$5:$M$152,"&gt;0")+SUMIFS(⑪ZEN工程入力!$J$6:$J$35,⑪ZEN工程入力!$S$6:$S$35,$J292,⑪ZEN工程入力!$J$6:$J$35,"&gt;0",⑪ZEN工程入力!$M$6:$M$35,"&gt;0")-SUMIFS(⑪ZEN工程入力!$J$6:$J$35,⑪ZEN工程入力!$S$6:$S$35,$J292,⑪ZEN工程入力!$J$6:$J$35,"&gt;0",⑪ZEN工程入力!$I$6:$I$35,"&gt;0",⑪ZEN工程入力!$M$6:$M$35,"&gt;0")+SUMIFS(⑫ミキサー工程入力!$J$6:$J$65,⑫ミキサー工程入力!$S$6:$S$65,$J292,⑫ミキサー工程入力!$J$6:$J$65,"&gt;0",⑫ミキサー工程入力!$M$6:$M$65,"&gt;0")-SUMIFS(⑫ミキサー工程入力!$J$6:$J$65,⑫ミキサー工程入力!$S$6:$S$65,$J292,⑫ミキサー工程入力!$J$6:$J$65,"&gt;0",⑫ミキサー工程入力!$I$6:$I$65,"&gt;0",⑫ミキサー工程入力!$M$6:$M$65,"&gt;0")+SUMIFS(⑬計量工程入力!$J$6:$J$65,⑬計量工程入力!$S$6:$S$65,$J292,⑬計量工程入力!$J$6:$J$65,"&gt;0",⑬計量工程入力!$M$6:$M$65,"&gt;0")-SUMIFS(⑬計量工程入力!$J$6:$J$65,⑬計量工程入力!$S$6:$S$65,$J292,⑬計量工程入力!$J$6:$J$65,"&gt;0",⑬計量工程入力!$I$6:$I$65,"&gt;0",⑬計量工程入力!$M$6:$M$65,"&gt;0")+SUMIFS(⑭手動工程入力!$J$6:$J$47,⑭手動工程入力!$S$6:$S$47,$J292,⑭手動工程入力!$J$6:$J$47,"&gt;0",⑭手動工程入力!$M$6:$M$47,"&gt;0")-SUMIFS(⑭手動工程入力!$J$6:$J$47,⑭手動工程入力!$S$6:$S$47,$J292,⑭手動工程入力!$J$6:$J$47,"&gt;0",⑭手動工程入力!$I$6:$I$47,"&gt;0",⑭手動工程入力!$M$6:$M$47,"&gt;0"))</f>
        <v/>
      </c>
      <c r="P292" s="392" t="inlineStr">
        <is>
          <t>中間品リスト</t>
        </is>
      </c>
    </row>
    <row r="293">
      <c r="A293" s="392" t="n">
        <v>289</v>
      </c>
      <c r="B293" s="392" t="n"/>
      <c r="C293" s="392" t="n"/>
      <c r="D293" s="409" t="n"/>
      <c r="E293" s="392" t="n"/>
      <c r="F293" s="394" t="n"/>
      <c r="G293" s="392" t="n"/>
      <c r="H293" s="604">
        <f>IFERROR(IF(AND($K293&gt;0,ISNUMBER(IF(OR($D293="g",$D293="ｇ"),IF($M293&gt;0,$L293/$M293/1000,""),IF($D293="kg",IF($M293&gt;0,$L293/$M293,""),IF($D293="",IF($M293&gt;0,$L293/$M293/1000,IF($O293&gt;0,$N293/$O293,"")),IF($O293&gt;0,$N293/$O293,"")))))),IF(OR($D293="g",$D293="ｇ"),IF($M293&gt;0,$L293/$M293/1000,""),IF($D293="kg",IF($M293&gt;0,$L293/$M293,""),IF($D293="",IF($M293&gt;0,$L293/$M293/1000,IF($O293&gt;0,$N293/$O293,"")),IF($O293&gt;0,$N293/$O293,"")))),IF($F293="",IF(OR($E293="",$E293="⑩盛付梱包工程入力"),"",IF(OR($D293="g",$D293="ｇ"),INDEX(⑰工程労務費一覧!$N$5:$N$11,MATCH($E293,⑰工程労務費一覧!$K$5:$K$11,0))/1000,IF($D293="kg",INDEX(⑰工程労務費一覧!$N$5:$N$11,MATCH($E293,⑰工程労務費一覧!$K$5:$K$11,0)),IF(OR($D293="個",$D293="切",$D293="本",$D293="枚",$D293="尾"),IF($E293="⑬計量工程入力","",INDEX(⑰工程労務費一覧!$P$5:$P$11,MATCH($E293,⑰工程労務費一覧!$K$5:$K$11,0))),IF(AND($D293="",OR($E293="②釜工程入力",$E293="③スチコン工程入力")),INDEX(⑰工程労務費一覧!$N$5:$N$11,MATCH($E293,⑰工程労務費一覧!$K$5:$K$11,0))/1000,""))))),IF(OR($D293="g",$D293="ｇ"),INDEX(⑰工程労務費一覧!$H$5:$H$753,MATCH($F293,⑰工程労務費一覧!$D$5:$D$753,0))/1000,IF($D293="kg",INDEX(⑰工程労務費一覧!$H$5:$H$753,MATCH($F293,⑰工程労務費一覧!$D$5:$D$753,0)),INDEX(⑰工程労務費一覧!$I$5:$I$753,MATCH($F293,⑰工程労務費一覧!$D$5:$D$753,0)))))),"")</f>
        <v/>
      </c>
      <c r="I293" s="392">
        <f>IF($K293&gt;0,IF(ISNUMBER(IF(OR($D293="g",$D293="ｇ"),IF($M293&gt;0,$L293/$M293/1000,""),IF($D293="kg",IF($M293&gt;0,$L293/$M293,""),IF($D293="",IF($M293&gt;0,$L293/$M293/1000,IF($O293&gt;0,$N293/$O293,"")),IF($O293&gt;0,$N293/$O293,""))))),IF($D293="",IF($M293&gt;0,"◎ JAN紐づけ(g扱い)","◎ JAN紐づけ(個扱い)"),"◎ JAN紐づけ"),"△ JAN紐づけ済・実績不足→仮計算"),IF($F293="",IF(ISNUMBER($H293),IF($D293="","⑤ 工程平均で仮計算(g扱い)","⑤ 工程平均で仮計算"),IF($E293="⑩盛付梱包工程入力","⑥ 盛り込み(⑳F列で計上)",IF(AND($E293="⑬計量工程入力",OR($D293="個",$D293="切",$D293="本",$D293="枚",$D293="尾")),"① 未紐づけ(カット個単位は仮単価なし)","① 未紐づけ"))),IF(NOT(ISNUMBER($H293)),"② 工程側に単価なし",IF($D293="","③ 単位未設定(個で計算)","④ OK"))))</f>
        <v/>
      </c>
      <c r="J293" s="399">
        <f>IFERROR(LOOKUP(2,1/((中間品リスト!$F$2:$F$1299=$B293)*(中間品リスト!$E$2:$E$1299&lt;&gt;"-")*(中間品リスト!$E$2:$E$1299&lt;&gt;"")),中間品リスト!$E$2:$E$1299),"")</f>
        <v/>
      </c>
      <c r="K293" s="400">
        <f>IF($J293="",0,COUNTIF(②釜工程入力!$S$5:$S$117,$J293)+COUNTIF(③スチコン工程入力!$S$5:$S$152,$J293)+COUNTIF(⑪ZEN工程入力!$S$6:$S$35,$J293)+COUNTIF(⑫ミキサー工程入力!$S$6:$S$65,$J293)+COUNTIF(⑬計量工程入力!$S$6:$S$65,$J293)+COUNTIF(⑭手動工程入力!$S$6:$S$47,$J293))</f>
        <v/>
      </c>
      <c r="L293" s="393">
        <f>IF($J293="",0,SUMIFS(②釜工程入力!$M$5:$M$117,②釜工程入力!$S$5:$S$117,$J293,②釜工程入力!$I$5:$I$117,"&gt;0")+SUMIFS(③スチコン工程入力!$M$5:$M$152,③スチコン工程入力!$S$5:$S$152,$J293,③スチコン工程入力!$I$5:$I$152,"&gt;0")+SUMIFS(⑪ZEN工程入力!$M$6:$M$35,⑪ZEN工程入力!$S$6:$S$35,$J293,⑪ZEN工程入力!$I$6:$I$35,"&gt;0")+SUMIFS(⑫ミキサー工程入力!$M$6:$M$65,⑫ミキサー工程入力!$S$6:$S$65,$J293,⑫ミキサー工程入力!$I$6:$I$65,"&gt;0")+SUMIFS(⑬計量工程入力!$M$6:$M$65,⑬計量工程入力!$S$6:$S$65,$J293,⑬計量工程入力!$I$6:$I$65,"&gt;0")+SUMIFS(⑭手動工程入力!$M$6:$M$47,⑭手動工程入力!$S$6:$S$47,$J293,⑭手動工程入力!$I$6:$I$47,"&gt;0"))</f>
        <v/>
      </c>
      <c r="M293" s="393">
        <f>IF($J293="",0,SUMIFS(②釜工程入力!$I$5:$I$117,②釜工程入力!$S$5:$S$117,$J293,②釜工程入力!$I$5:$I$117,"&gt;0",②釜工程入力!$M$5:$M$117,"&gt;0")+SUMIFS(③スチコン工程入力!$I$5:$I$152,③スチコン工程入力!$S$5:$S$152,$J293,③スチコン工程入力!$I$5:$I$152,"&gt;0",③スチコン工程入力!$M$5:$M$152,"&gt;0")+SUMIFS(⑪ZEN工程入力!$I$6:$I$35,⑪ZEN工程入力!$S$6:$S$35,$J293,⑪ZEN工程入力!$I$6:$I$35,"&gt;0",⑪ZEN工程入力!$M$6:$M$35,"&gt;0")+SUMIFS(⑫ミキサー工程入力!$I$6:$I$65,⑫ミキサー工程入力!$S$6:$S$65,$J293,⑫ミキサー工程入力!$I$6:$I$65,"&gt;0",⑫ミキサー工程入力!$M$6:$M$65,"&gt;0")+SUMIFS(⑬計量工程入力!$I$6:$I$65,⑬計量工程入力!$S$6:$S$65,$J293,⑬計量工程入力!$I$6:$I$65,"&gt;0",⑬計量工程入力!$M$6:$M$65,"&gt;0")+SUMIFS(⑭手動工程入力!$I$6:$I$47,⑭手動工程入力!$S$6:$S$47,$J293,⑭手動工程入力!$I$6:$I$47,"&gt;0",⑭手動工程入力!$M$6:$M$47,"&gt;0"))</f>
        <v/>
      </c>
      <c r="N293" s="393">
        <f>IF($J293="",0,SUMIFS(②釜工程入力!$M$5:$M$117,②釜工程入力!$S$5:$S$117,$J293,②釜工程入力!$J$5:$J$117,"&gt;0")-SUMIFS(②釜工程入力!$M$5:$M$117,②釜工程入力!$S$5:$S$117,$J293,②釜工程入力!$J$5:$J$117,"&gt;0",②釜工程入力!$I$5:$I$117,"&gt;0")+SUMIFS(③スチコン工程入力!$M$5:$M$152,③スチコン工程入力!$S$5:$S$152,$J293,③スチコン工程入力!$J$5:$J$152,"&gt;0")-SUMIFS(③スチコン工程入力!$M$5:$M$152,③スチコン工程入力!$S$5:$S$152,$J293,③スチコン工程入力!$J$5:$J$152,"&gt;0",③スチコン工程入力!$I$5:$I$152,"&gt;0")+SUMIFS(⑪ZEN工程入力!$M$6:$M$35,⑪ZEN工程入力!$S$6:$S$35,$J293,⑪ZEN工程入力!$J$6:$J$35,"&gt;0")-SUMIFS(⑪ZEN工程入力!$M$6:$M$35,⑪ZEN工程入力!$S$6:$S$35,$J293,⑪ZEN工程入力!$J$6:$J$35,"&gt;0",⑪ZEN工程入力!$I$6:$I$35,"&gt;0")+SUMIFS(⑫ミキサー工程入力!$M$6:$M$65,⑫ミキサー工程入力!$S$6:$S$65,$J293,⑫ミキサー工程入力!$J$6:$J$65,"&gt;0")-SUMIFS(⑫ミキサー工程入力!$M$6:$M$65,⑫ミキサー工程入力!$S$6:$S$65,$J293,⑫ミキサー工程入力!$J$6:$J$65,"&gt;0",⑫ミキサー工程入力!$I$6:$I$65,"&gt;0")+SUMIFS(⑬計量工程入力!$M$6:$M$65,⑬計量工程入力!$S$6:$S$65,$J293,⑬計量工程入力!$J$6:$J$65,"&gt;0")-SUMIFS(⑬計量工程入力!$M$6:$M$65,⑬計量工程入力!$S$6:$S$65,$J293,⑬計量工程入力!$J$6:$J$65,"&gt;0",⑬計量工程入力!$I$6:$I$65,"&gt;0")+SUMIFS(⑭手動工程入力!$M$6:$M$47,⑭手動工程入力!$S$6:$S$47,$J293,⑭手動工程入力!$J$6:$J$47,"&gt;0")-SUMIFS(⑭手動工程入力!$M$6:$M$47,⑭手動工程入力!$S$6:$S$47,$J293,⑭手動工程入力!$J$6:$J$47,"&gt;0",⑭手動工程入力!$I$6:$I$47,"&gt;0"))</f>
        <v/>
      </c>
      <c r="O293" s="393">
        <f>IF($J293="",0,SUMIFS(②釜工程入力!$J$5:$J$117,②釜工程入力!$S$5:$S$117,$J293,②釜工程入力!$J$5:$J$117,"&gt;0",②釜工程入力!$M$5:$M$117,"&gt;0")-SUMIFS(②釜工程入力!$J$5:$J$117,②釜工程入力!$S$5:$S$117,$J293,②釜工程入力!$J$5:$J$117,"&gt;0",②釜工程入力!$I$5:$I$117,"&gt;0",②釜工程入力!$M$5:$M$117,"&gt;0")+SUMIFS(③スチコン工程入力!$J$5:$J$152,③スチコン工程入力!$S$5:$S$152,$J293,③スチコン工程入力!$J$5:$J$152,"&gt;0",③スチコン工程入力!$M$5:$M$152,"&gt;0")-SUMIFS(③スチコン工程入力!$J$5:$J$152,③スチコン工程入力!$S$5:$S$152,$J293,③スチコン工程入力!$J$5:$J$152,"&gt;0",③スチコン工程入力!$I$5:$I$152,"&gt;0",③スチコン工程入力!$M$5:$M$152,"&gt;0")+SUMIFS(⑪ZEN工程入力!$J$6:$J$35,⑪ZEN工程入力!$S$6:$S$35,$J293,⑪ZEN工程入力!$J$6:$J$35,"&gt;0",⑪ZEN工程入力!$M$6:$M$35,"&gt;0")-SUMIFS(⑪ZEN工程入力!$J$6:$J$35,⑪ZEN工程入力!$S$6:$S$35,$J293,⑪ZEN工程入力!$J$6:$J$35,"&gt;0",⑪ZEN工程入力!$I$6:$I$35,"&gt;0",⑪ZEN工程入力!$M$6:$M$35,"&gt;0")+SUMIFS(⑫ミキサー工程入力!$J$6:$J$65,⑫ミキサー工程入力!$S$6:$S$65,$J293,⑫ミキサー工程入力!$J$6:$J$65,"&gt;0",⑫ミキサー工程入力!$M$6:$M$65,"&gt;0")-SUMIFS(⑫ミキサー工程入力!$J$6:$J$65,⑫ミキサー工程入力!$S$6:$S$65,$J293,⑫ミキサー工程入力!$J$6:$J$65,"&gt;0",⑫ミキサー工程入力!$I$6:$I$65,"&gt;0",⑫ミキサー工程入力!$M$6:$M$65,"&gt;0")+SUMIFS(⑬計量工程入力!$J$6:$J$65,⑬計量工程入力!$S$6:$S$65,$J293,⑬計量工程入力!$J$6:$J$65,"&gt;0",⑬計量工程入力!$M$6:$M$65,"&gt;0")-SUMIFS(⑬計量工程入力!$J$6:$J$65,⑬計量工程入力!$S$6:$S$65,$J293,⑬計量工程入力!$J$6:$J$65,"&gt;0",⑬計量工程入力!$I$6:$I$65,"&gt;0",⑬計量工程入力!$M$6:$M$65,"&gt;0")+SUMIFS(⑭手動工程入力!$J$6:$J$47,⑭手動工程入力!$S$6:$S$47,$J293,⑭手動工程入力!$J$6:$J$47,"&gt;0",⑭手動工程入力!$M$6:$M$47,"&gt;0")-SUMIFS(⑭手動工程入力!$J$6:$J$47,⑭手動工程入力!$S$6:$S$47,$J293,⑭手動工程入力!$J$6:$J$47,"&gt;0",⑭手動工程入力!$I$6:$I$47,"&gt;0",⑭手動工程入力!$M$6:$M$47,"&gt;0"))</f>
        <v/>
      </c>
      <c r="P293" s="392" t="inlineStr">
        <is>
          <t>中間品リスト</t>
        </is>
      </c>
    </row>
    <row r="294">
      <c r="A294" s="392" t="n">
        <v>290</v>
      </c>
      <c r="B294" s="392" t="n"/>
      <c r="C294" s="392" t="n"/>
      <c r="D294" s="409" t="n"/>
      <c r="E294" s="392" t="n"/>
      <c r="F294" s="394" t="n"/>
      <c r="G294" s="392" t="n"/>
      <c r="H294" s="604">
        <f>IFERROR(IF(AND($K294&gt;0,ISNUMBER(IF(OR($D294="g",$D294="ｇ"),IF($M294&gt;0,$L294/$M294/1000,""),IF($D294="kg",IF($M294&gt;0,$L294/$M294,""),IF($D294="",IF($M294&gt;0,$L294/$M294/1000,IF($O294&gt;0,$N294/$O294,"")),IF($O294&gt;0,$N294/$O294,"")))))),IF(OR($D294="g",$D294="ｇ"),IF($M294&gt;0,$L294/$M294/1000,""),IF($D294="kg",IF($M294&gt;0,$L294/$M294,""),IF($D294="",IF($M294&gt;0,$L294/$M294/1000,IF($O294&gt;0,$N294/$O294,"")),IF($O294&gt;0,$N294/$O294,"")))),IF($F294="",IF(OR($E294="",$E294="⑩盛付梱包工程入力"),"",IF(OR($D294="g",$D294="ｇ"),INDEX(⑰工程労務費一覧!$N$5:$N$11,MATCH($E294,⑰工程労務費一覧!$K$5:$K$11,0))/1000,IF($D294="kg",INDEX(⑰工程労務費一覧!$N$5:$N$11,MATCH($E294,⑰工程労務費一覧!$K$5:$K$11,0)),IF(OR($D294="個",$D294="切",$D294="本",$D294="枚",$D294="尾"),IF($E294="⑬計量工程入力","",INDEX(⑰工程労務費一覧!$P$5:$P$11,MATCH($E294,⑰工程労務費一覧!$K$5:$K$11,0))),IF(AND($D294="",OR($E294="②釜工程入力",$E294="③スチコン工程入力")),INDEX(⑰工程労務費一覧!$N$5:$N$11,MATCH($E294,⑰工程労務費一覧!$K$5:$K$11,0))/1000,""))))),IF(OR($D294="g",$D294="ｇ"),INDEX(⑰工程労務費一覧!$H$5:$H$753,MATCH($F294,⑰工程労務費一覧!$D$5:$D$753,0))/1000,IF($D294="kg",INDEX(⑰工程労務費一覧!$H$5:$H$753,MATCH($F294,⑰工程労務費一覧!$D$5:$D$753,0)),INDEX(⑰工程労務費一覧!$I$5:$I$753,MATCH($F294,⑰工程労務費一覧!$D$5:$D$753,0)))))),"")</f>
        <v/>
      </c>
      <c r="I294" s="392">
        <f>IF($K294&gt;0,IF(ISNUMBER(IF(OR($D294="g",$D294="ｇ"),IF($M294&gt;0,$L294/$M294/1000,""),IF($D294="kg",IF($M294&gt;0,$L294/$M294,""),IF($D294="",IF($M294&gt;0,$L294/$M294/1000,IF($O294&gt;0,$N294/$O294,"")),IF($O294&gt;0,$N294/$O294,""))))),IF($D294="",IF($M294&gt;0,"◎ JAN紐づけ(g扱い)","◎ JAN紐づけ(個扱い)"),"◎ JAN紐づけ"),"△ JAN紐づけ済・実績不足→仮計算"),IF($F294="",IF(ISNUMBER($H294),IF($D294="","⑤ 工程平均で仮計算(g扱い)","⑤ 工程平均で仮計算"),IF($E294="⑩盛付梱包工程入力","⑥ 盛り込み(⑳F列で計上)",IF(AND($E294="⑬計量工程入力",OR($D294="個",$D294="切",$D294="本",$D294="枚",$D294="尾")),"① 未紐づけ(カット個単位は仮単価なし)","① 未紐づけ"))),IF(NOT(ISNUMBER($H294)),"② 工程側に単価なし",IF($D294="","③ 単位未設定(個で計算)","④ OK"))))</f>
        <v/>
      </c>
      <c r="J294" s="399">
        <f>IFERROR(LOOKUP(2,1/((中間品リスト!$F$2:$F$1299=$B294)*(中間品リスト!$E$2:$E$1299&lt;&gt;"-")*(中間品リスト!$E$2:$E$1299&lt;&gt;"")),中間品リスト!$E$2:$E$1299),"")</f>
        <v/>
      </c>
      <c r="K294" s="400">
        <f>IF($J294="",0,COUNTIF(②釜工程入力!$S$5:$S$117,$J294)+COUNTIF(③スチコン工程入力!$S$5:$S$152,$J294)+COUNTIF(⑪ZEN工程入力!$S$6:$S$35,$J294)+COUNTIF(⑫ミキサー工程入力!$S$6:$S$65,$J294)+COUNTIF(⑬計量工程入力!$S$6:$S$65,$J294)+COUNTIF(⑭手動工程入力!$S$6:$S$47,$J294))</f>
        <v/>
      </c>
      <c r="L294" s="393">
        <f>IF($J294="",0,SUMIFS(②釜工程入力!$M$5:$M$117,②釜工程入力!$S$5:$S$117,$J294,②釜工程入力!$I$5:$I$117,"&gt;0")+SUMIFS(③スチコン工程入力!$M$5:$M$152,③スチコン工程入力!$S$5:$S$152,$J294,③スチコン工程入力!$I$5:$I$152,"&gt;0")+SUMIFS(⑪ZEN工程入力!$M$6:$M$35,⑪ZEN工程入力!$S$6:$S$35,$J294,⑪ZEN工程入力!$I$6:$I$35,"&gt;0")+SUMIFS(⑫ミキサー工程入力!$M$6:$M$65,⑫ミキサー工程入力!$S$6:$S$65,$J294,⑫ミキサー工程入力!$I$6:$I$65,"&gt;0")+SUMIFS(⑬計量工程入力!$M$6:$M$65,⑬計量工程入力!$S$6:$S$65,$J294,⑬計量工程入力!$I$6:$I$65,"&gt;0")+SUMIFS(⑭手動工程入力!$M$6:$M$47,⑭手動工程入力!$S$6:$S$47,$J294,⑭手動工程入力!$I$6:$I$47,"&gt;0"))</f>
        <v/>
      </c>
      <c r="M294" s="393">
        <f>IF($J294="",0,SUMIFS(②釜工程入力!$I$5:$I$117,②釜工程入力!$S$5:$S$117,$J294,②釜工程入力!$I$5:$I$117,"&gt;0",②釜工程入力!$M$5:$M$117,"&gt;0")+SUMIFS(③スチコン工程入力!$I$5:$I$152,③スチコン工程入力!$S$5:$S$152,$J294,③スチコン工程入力!$I$5:$I$152,"&gt;0",③スチコン工程入力!$M$5:$M$152,"&gt;0")+SUMIFS(⑪ZEN工程入力!$I$6:$I$35,⑪ZEN工程入力!$S$6:$S$35,$J294,⑪ZEN工程入力!$I$6:$I$35,"&gt;0",⑪ZEN工程入力!$M$6:$M$35,"&gt;0")+SUMIFS(⑫ミキサー工程入力!$I$6:$I$65,⑫ミキサー工程入力!$S$6:$S$65,$J294,⑫ミキサー工程入力!$I$6:$I$65,"&gt;0",⑫ミキサー工程入力!$M$6:$M$65,"&gt;0")+SUMIFS(⑬計量工程入力!$I$6:$I$65,⑬計量工程入力!$S$6:$S$65,$J294,⑬計量工程入力!$I$6:$I$65,"&gt;0",⑬計量工程入力!$M$6:$M$65,"&gt;0")+SUMIFS(⑭手動工程入力!$I$6:$I$47,⑭手動工程入力!$S$6:$S$47,$J294,⑭手動工程入力!$I$6:$I$47,"&gt;0",⑭手動工程入力!$M$6:$M$47,"&gt;0"))</f>
        <v/>
      </c>
      <c r="N294" s="393">
        <f>IF($J294="",0,SUMIFS(②釜工程入力!$M$5:$M$117,②釜工程入力!$S$5:$S$117,$J294,②釜工程入力!$J$5:$J$117,"&gt;0")-SUMIFS(②釜工程入力!$M$5:$M$117,②釜工程入力!$S$5:$S$117,$J294,②釜工程入力!$J$5:$J$117,"&gt;0",②釜工程入力!$I$5:$I$117,"&gt;0")+SUMIFS(③スチコン工程入力!$M$5:$M$152,③スチコン工程入力!$S$5:$S$152,$J294,③スチコン工程入力!$J$5:$J$152,"&gt;0")-SUMIFS(③スチコン工程入力!$M$5:$M$152,③スチコン工程入力!$S$5:$S$152,$J294,③スチコン工程入力!$J$5:$J$152,"&gt;0",③スチコン工程入力!$I$5:$I$152,"&gt;0")+SUMIFS(⑪ZEN工程入力!$M$6:$M$35,⑪ZEN工程入力!$S$6:$S$35,$J294,⑪ZEN工程入力!$J$6:$J$35,"&gt;0")-SUMIFS(⑪ZEN工程入力!$M$6:$M$35,⑪ZEN工程入力!$S$6:$S$35,$J294,⑪ZEN工程入力!$J$6:$J$35,"&gt;0",⑪ZEN工程入力!$I$6:$I$35,"&gt;0")+SUMIFS(⑫ミキサー工程入力!$M$6:$M$65,⑫ミキサー工程入力!$S$6:$S$65,$J294,⑫ミキサー工程入力!$J$6:$J$65,"&gt;0")-SUMIFS(⑫ミキサー工程入力!$M$6:$M$65,⑫ミキサー工程入力!$S$6:$S$65,$J294,⑫ミキサー工程入力!$J$6:$J$65,"&gt;0",⑫ミキサー工程入力!$I$6:$I$65,"&gt;0")+SUMIFS(⑬計量工程入力!$M$6:$M$65,⑬計量工程入力!$S$6:$S$65,$J294,⑬計量工程入力!$J$6:$J$65,"&gt;0")-SUMIFS(⑬計量工程入力!$M$6:$M$65,⑬計量工程入力!$S$6:$S$65,$J294,⑬計量工程入力!$J$6:$J$65,"&gt;0",⑬計量工程入力!$I$6:$I$65,"&gt;0")+SUMIFS(⑭手動工程入力!$M$6:$M$47,⑭手動工程入力!$S$6:$S$47,$J294,⑭手動工程入力!$J$6:$J$47,"&gt;0")-SUMIFS(⑭手動工程入力!$M$6:$M$47,⑭手動工程入力!$S$6:$S$47,$J294,⑭手動工程入力!$J$6:$J$47,"&gt;0",⑭手動工程入力!$I$6:$I$47,"&gt;0"))</f>
        <v/>
      </c>
      <c r="O294" s="393">
        <f>IF($J294="",0,SUMIFS(②釜工程入力!$J$5:$J$117,②釜工程入力!$S$5:$S$117,$J294,②釜工程入力!$J$5:$J$117,"&gt;0",②釜工程入力!$M$5:$M$117,"&gt;0")-SUMIFS(②釜工程入力!$J$5:$J$117,②釜工程入力!$S$5:$S$117,$J294,②釜工程入力!$J$5:$J$117,"&gt;0",②釜工程入力!$I$5:$I$117,"&gt;0",②釜工程入力!$M$5:$M$117,"&gt;0")+SUMIFS(③スチコン工程入力!$J$5:$J$152,③スチコン工程入力!$S$5:$S$152,$J294,③スチコン工程入力!$J$5:$J$152,"&gt;0",③スチコン工程入力!$M$5:$M$152,"&gt;0")-SUMIFS(③スチコン工程入力!$J$5:$J$152,③スチコン工程入力!$S$5:$S$152,$J294,③スチコン工程入力!$J$5:$J$152,"&gt;0",③スチコン工程入力!$I$5:$I$152,"&gt;0",③スチコン工程入力!$M$5:$M$152,"&gt;0")+SUMIFS(⑪ZEN工程入力!$J$6:$J$35,⑪ZEN工程入力!$S$6:$S$35,$J294,⑪ZEN工程入力!$J$6:$J$35,"&gt;0",⑪ZEN工程入力!$M$6:$M$35,"&gt;0")-SUMIFS(⑪ZEN工程入力!$J$6:$J$35,⑪ZEN工程入力!$S$6:$S$35,$J294,⑪ZEN工程入力!$J$6:$J$35,"&gt;0",⑪ZEN工程入力!$I$6:$I$35,"&gt;0",⑪ZEN工程入力!$M$6:$M$35,"&gt;0")+SUMIFS(⑫ミキサー工程入力!$J$6:$J$65,⑫ミキサー工程入力!$S$6:$S$65,$J294,⑫ミキサー工程入力!$J$6:$J$65,"&gt;0",⑫ミキサー工程入力!$M$6:$M$65,"&gt;0")-SUMIFS(⑫ミキサー工程入力!$J$6:$J$65,⑫ミキサー工程入力!$S$6:$S$65,$J294,⑫ミキサー工程入力!$J$6:$J$65,"&gt;0",⑫ミキサー工程入力!$I$6:$I$65,"&gt;0",⑫ミキサー工程入力!$M$6:$M$65,"&gt;0")+SUMIFS(⑬計量工程入力!$J$6:$J$65,⑬計量工程入力!$S$6:$S$65,$J294,⑬計量工程入力!$J$6:$J$65,"&gt;0",⑬計量工程入力!$M$6:$M$65,"&gt;0")-SUMIFS(⑬計量工程入力!$J$6:$J$65,⑬計量工程入力!$S$6:$S$65,$J294,⑬計量工程入力!$J$6:$J$65,"&gt;0",⑬計量工程入力!$I$6:$I$65,"&gt;0",⑬計量工程入力!$M$6:$M$65,"&gt;0")+SUMIFS(⑭手動工程入力!$J$6:$J$47,⑭手動工程入力!$S$6:$S$47,$J294,⑭手動工程入力!$J$6:$J$47,"&gt;0",⑭手動工程入力!$M$6:$M$47,"&gt;0")-SUMIFS(⑭手動工程入力!$J$6:$J$47,⑭手動工程入力!$S$6:$S$47,$J294,⑭手動工程入力!$J$6:$J$47,"&gt;0",⑭手動工程入力!$I$6:$I$47,"&gt;0",⑭手動工程入力!$M$6:$M$47,"&gt;0"))</f>
        <v/>
      </c>
      <c r="P294" s="392" t="inlineStr">
        <is>
          <t>中間品リスト</t>
        </is>
      </c>
    </row>
    <row r="295">
      <c r="A295" s="392" t="n">
        <v>291</v>
      </c>
      <c r="B295" s="392" t="n"/>
      <c r="C295" s="392" t="n"/>
      <c r="D295" s="409" t="n"/>
      <c r="E295" s="392" t="n"/>
      <c r="F295" s="394" t="n"/>
      <c r="G295" s="392" t="n"/>
      <c r="H295" s="604">
        <f>IFERROR(IF(AND($K295&gt;0,ISNUMBER(IF(OR($D295="g",$D295="ｇ"),IF($M295&gt;0,$L295/$M295/1000,""),IF($D295="kg",IF($M295&gt;0,$L295/$M295,""),IF($D295="",IF($M295&gt;0,$L295/$M295/1000,IF($O295&gt;0,$N295/$O295,"")),IF($O295&gt;0,$N295/$O295,"")))))),IF(OR($D295="g",$D295="ｇ"),IF($M295&gt;0,$L295/$M295/1000,""),IF($D295="kg",IF($M295&gt;0,$L295/$M295,""),IF($D295="",IF($M295&gt;0,$L295/$M295/1000,IF($O295&gt;0,$N295/$O295,"")),IF($O295&gt;0,$N295/$O295,"")))),IF($F295="",IF(OR($E295="",$E295="⑩盛付梱包工程入力"),"",IF(OR($D295="g",$D295="ｇ"),INDEX(⑰工程労務費一覧!$N$5:$N$11,MATCH($E295,⑰工程労務費一覧!$K$5:$K$11,0))/1000,IF($D295="kg",INDEX(⑰工程労務費一覧!$N$5:$N$11,MATCH($E295,⑰工程労務費一覧!$K$5:$K$11,0)),IF(OR($D295="個",$D295="切",$D295="本",$D295="枚",$D295="尾"),IF($E295="⑬計量工程入力","",INDEX(⑰工程労務費一覧!$P$5:$P$11,MATCH($E295,⑰工程労務費一覧!$K$5:$K$11,0))),IF(AND($D295="",OR($E295="②釜工程入力",$E295="③スチコン工程入力")),INDEX(⑰工程労務費一覧!$N$5:$N$11,MATCH($E295,⑰工程労務費一覧!$K$5:$K$11,0))/1000,""))))),IF(OR($D295="g",$D295="ｇ"),INDEX(⑰工程労務費一覧!$H$5:$H$753,MATCH($F295,⑰工程労務費一覧!$D$5:$D$753,0))/1000,IF($D295="kg",INDEX(⑰工程労務費一覧!$H$5:$H$753,MATCH($F295,⑰工程労務費一覧!$D$5:$D$753,0)),INDEX(⑰工程労務費一覧!$I$5:$I$753,MATCH($F295,⑰工程労務費一覧!$D$5:$D$753,0)))))),"")</f>
        <v/>
      </c>
      <c r="I295" s="392">
        <f>IF($K295&gt;0,IF(ISNUMBER(IF(OR($D295="g",$D295="ｇ"),IF($M295&gt;0,$L295/$M295/1000,""),IF($D295="kg",IF($M295&gt;0,$L295/$M295,""),IF($D295="",IF($M295&gt;0,$L295/$M295/1000,IF($O295&gt;0,$N295/$O295,"")),IF($O295&gt;0,$N295/$O295,""))))),IF($D295="",IF($M295&gt;0,"◎ JAN紐づけ(g扱い)","◎ JAN紐づけ(個扱い)"),"◎ JAN紐づけ"),"△ JAN紐づけ済・実績不足→仮計算"),IF($F295="",IF(ISNUMBER($H295),IF($D295="","⑤ 工程平均で仮計算(g扱い)","⑤ 工程平均で仮計算"),IF($E295="⑩盛付梱包工程入力","⑥ 盛り込み(⑳F列で計上)",IF(AND($E295="⑬計量工程入力",OR($D295="個",$D295="切",$D295="本",$D295="枚",$D295="尾")),"① 未紐づけ(カット個単位は仮単価なし)","① 未紐づけ"))),IF(NOT(ISNUMBER($H295)),"② 工程側に単価なし",IF($D295="","③ 単位未設定(個で計算)","④ OK"))))</f>
        <v/>
      </c>
      <c r="J295" s="399">
        <f>IFERROR(LOOKUP(2,1/((中間品リスト!$F$2:$F$1299=$B295)*(中間品リスト!$E$2:$E$1299&lt;&gt;"-")*(中間品リスト!$E$2:$E$1299&lt;&gt;"")),中間品リスト!$E$2:$E$1299),"")</f>
        <v/>
      </c>
      <c r="K295" s="400">
        <f>IF($J295="",0,COUNTIF(②釜工程入力!$S$5:$S$117,$J295)+COUNTIF(③スチコン工程入力!$S$5:$S$152,$J295)+COUNTIF(⑪ZEN工程入力!$S$6:$S$35,$J295)+COUNTIF(⑫ミキサー工程入力!$S$6:$S$65,$J295)+COUNTIF(⑬計量工程入力!$S$6:$S$65,$J295)+COUNTIF(⑭手動工程入力!$S$6:$S$47,$J295))</f>
        <v/>
      </c>
      <c r="L295" s="393">
        <f>IF($J295="",0,SUMIFS(②釜工程入力!$M$5:$M$117,②釜工程入力!$S$5:$S$117,$J295,②釜工程入力!$I$5:$I$117,"&gt;0")+SUMIFS(③スチコン工程入力!$M$5:$M$152,③スチコン工程入力!$S$5:$S$152,$J295,③スチコン工程入力!$I$5:$I$152,"&gt;0")+SUMIFS(⑪ZEN工程入力!$M$6:$M$35,⑪ZEN工程入力!$S$6:$S$35,$J295,⑪ZEN工程入力!$I$6:$I$35,"&gt;0")+SUMIFS(⑫ミキサー工程入力!$M$6:$M$65,⑫ミキサー工程入力!$S$6:$S$65,$J295,⑫ミキサー工程入力!$I$6:$I$65,"&gt;0")+SUMIFS(⑬計量工程入力!$M$6:$M$65,⑬計量工程入力!$S$6:$S$65,$J295,⑬計量工程入力!$I$6:$I$65,"&gt;0")+SUMIFS(⑭手動工程入力!$M$6:$M$47,⑭手動工程入力!$S$6:$S$47,$J295,⑭手動工程入力!$I$6:$I$47,"&gt;0"))</f>
        <v/>
      </c>
      <c r="M295" s="393">
        <f>IF($J295="",0,SUMIFS(②釜工程入力!$I$5:$I$117,②釜工程入力!$S$5:$S$117,$J295,②釜工程入力!$I$5:$I$117,"&gt;0",②釜工程入力!$M$5:$M$117,"&gt;0")+SUMIFS(③スチコン工程入力!$I$5:$I$152,③スチコン工程入力!$S$5:$S$152,$J295,③スチコン工程入力!$I$5:$I$152,"&gt;0",③スチコン工程入力!$M$5:$M$152,"&gt;0")+SUMIFS(⑪ZEN工程入力!$I$6:$I$35,⑪ZEN工程入力!$S$6:$S$35,$J295,⑪ZEN工程入力!$I$6:$I$35,"&gt;0",⑪ZEN工程入力!$M$6:$M$35,"&gt;0")+SUMIFS(⑫ミキサー工程入力!$I$6:$I$65,⑫ミキサー工程入力!$S$6:$S$65,$J295,⑫ミキサー工程入力!$I$6:$I$65,"&gt;0",⑫ミキサー工程入力!$M$6:$M$65,"&gt;0")+SUMIFS(⑬計量工程入力!$I$6:$I$65,⑬計量工程入力!$S$6:$S$65,$J295,⑬計量工程入力!$I$6:$I$65,"&gt;0",⑬計量工程入力!$M$6:$M$65,"&gt;0")+SUMIFS(⑭手動工程入力!$I$6:$I$47,⑭手動工程入力!$S$6:$S$47,$J295,⑭手動工程入力!$I$6:$I$47,"&gt;0",⑭手動工程入力!$M$6:$M$47,"&gt;0"))</f>
        <v/>
      </c>
      <c r="N295" s="393">
        <f>IF($J295="",0,SUMIFS(②釜工程入力!$M$5:$M$117,②釜工程入力!$S$5:$S$117,$J295,②釜工程入力!$J$5:$J$117,"&gt;0")-SUMIFS(②釜工程入力!$M$5:$M$117,②釜工程入力!$S$5:$S$117,$J295,②釜工程入力!$J$5:$J$117,"&gt;0",②釜工程入力!$I$5:$I$117,"&gt;0")+SUMIFS(③スチコン工程入力!$M$5:$M$152,③スチコン工程入力!$S$5:$S$152,$J295,③スチコン工程入力!$J$5:$J$152,"&gt;0")-SUMIFS(③スチコン工程入力!$M$5:$M$152,③スチコン工程入力!$S$5:$S$152,$J295,③スチコン工程入力!$J$5:$J$152,"&gt;0",③スチコン工程入力!$I$5:$I$152,"&gt;0")+SUMIFS(⑪ZEN工程入力!$M$6:$M$35,⑪ZEN工程入力!$S$6:$S$35,$J295,⑪ZEN工程入力!$J$6:$J$35,"&gt;0")-SUMIFS(⑪ZEN工程入力!$M$6:$M$35,⑪ZEN工程入力!$S$6:$S$35,$J295,⑪ZEN工程入力!$J$6:$J$35,"&gt;0",⑪ZEN工程入力!$I$6:$I$35,"&gt;0")+SUMIFS(⑫ミキサー工程入力!$M$6:$M$65,⑫ミキサー工程入力!$S$6:$S$65,$J295,⑫ミキサー工程入力!$J$6:$J$65,"&gt;0")-SUMIFS(⑫ミキサー工程入力!$M$6:$M$65,⑫ミキサー工程入力!$S$6:$S$65,$J295,⑫ミキサー工程入力!$J$6:$J$65,"&gt;0",⑫ミキサー工程入力!$I$6:$I$65,"&gt;0")+SUMIFS(⑬計量工程入力!$M$6:$M$65,⑬計量工程入力!$S$6:$S$65,$J295,⑬計量工程入力!$J$6:$J$65,"&gt;0")-SUMIFS(⑬計量工程入力!$M$6:$M$65,⑬計量工程入力!$S$6:$S$65,$J295,⑬計量工程入力!$J$6:$J$65,"&gt;0",⑬計量工程入力!$I$6:$I$65,"&gt;0")+SUMIFS(⑭手動工程入力!$M$6:$M$47,⑭手動工程入力!$S$6:$S$47,$J295,⑭手動工程入力!$J$6:$J$47,"&gt;0")-SUMIFS(⑭手動工程入力!$M$6:$M$47,⑭手動工程入力!$S$6:$S$47,$J295,⑭手動工程入力!$J$6:$J$47,"&gt;0",⑭手動工程入力!$I$6:$I$47,"&gt;0"))</f>
        <v/>
      </c>
      <c r="O295" s="393">
        <f>IF($J295="",0,SUMIFS(②釜工程入力!$J$5:$J$117,②釜工程入力!$S$5:$S$117,$J295,②釜工程入力!$J$5:$J$117,"&gt;0",②釜工程入力!$M$5:$M$117,"&gt;0")-SUMIFS(②釜工程入力!$J$5:$J$117,②釜工程入力!$S$5:$S$117,$J295,②釜工程入力!$J$5:$J$117,"&gt;0",②釜工程入力!$I$5:$I$117,"&gt;0",②釜工程入力!$M$5:$M$117,"&gt;0")+SUMIFS(③スチコン工程入力!$J$5:$J$152,③スチコン工程入力!$S$5:$S$152,$J295,③スチコン工程入力!$J$5:$J$152,"&gt;0",③スチコン工程入力!$M$5:$M$152,"&gt;0")-SUMIFS(③スチコン工程入力!$J$5:$J$152,③スチコン工程入力!$S$5:$S$152,$J295,③スチコン工程入力!$J$5:$J$152,"&gt;0",③スチコン工程入力!$I$5:$I$152,"&gt;0",③スチコン工程入力!$M$5:$M$152,"&gt;0")+SUMIFS(⑪ZEN工程入力!$J$6:$J$35,⑪ZEN工程入力!$S$6:$S$35,$J295,⑪ZEN工程入力!$J$6:$J$35,"&gt;0",⑪ZEN工程入力!$M$6:$M$35,"&gt;0")-SUMIFS(⑪ZEN工程入力!$J$6:$J$35,⑪ZEN工程入力!$S$6:$S$35,$J295,⑪ZEN工程入力!$J$6:$J$35,"&gt;0",⑪ZEN工程入力!$I$6:$I$35,"&gt;0",⑪ZEN工程入力!$M$6:$M$35,"&gt;0")+SUMIFS(⑫ミキサー工程入力!$J$6:$J$65,⑫ミキサー工程入力!$S$6:$S$65,$J295,⑫ミキサー工程入力!$J$6:$J$65,"&gt;0",⑫ミキサー工程入力!$M$6:$M$65,"&gt;0")-SUMIFS(⑫ミキサー工程入力!$J$6:$J$65,⑫ミキサー工程入力!$S$6:$S$65,$J295,⑫ミキサー工程入力!$J$6:$J$65,"&gt;0",⑫ミキサー工程入力!$I$6:$I$65,"&gt;0",⑫ミキサー工程入力!$M$6:$M$65,"&gt;0")+SUMIFS(⑬計量工程入力!$J$6:$J$65,⑬計量工程入力!$S$6:$S$65,$J295,⑬計量工程入力!$J$6:$J$65,"&gt;0",⑬計量工程入力!$M$6:$M$65,"&gt;0")-SUMIFS(⑬計量工程入力!$J$6:$J$65,⑬計量工程入力!$S$6:$S$65,$J295,⑬計量工程入力!$J$6:$J$65,"&gt;0",⑬計量工程入力!$I$6:$I$65,"&gt;0",⑬計量工程入力!$M$6:$M$65,"&gt;0")+SUMIFS(⑭手動工程入力!$J$6:$J$47,⑭手動工程入力!$S$6:$S$47,$J295,⑭手動工程入力!$J$6:$J$47,"&gt;0",⑭手動工程入力!$M$6:$M$47,"&gt;0")-SUMIFS(⑭手動工程入力!$J$6:$J$47,⑭手動工程入力!$S$6:$S$47,$J295,⑭手動工程入力!$J$6:$J$47,"&gt;0",⑭手動工程入力!$I$6:$I$47,"&gt;0",⑭手動工程入力!$M$6:$M$47,"&gt;0"))</f>
        <v/>
      </c>
      <c r="P295" s="392" t="inlineStr">
        <is>
          <t>中間品リスト</t>
        </is>
      </c>
    </row>
    <row r="296">
      <c r="A296" s="392" t="n">
        <v>292</v>
      </c>
      <c r="B296" s="392" t="n"/>
      <c r="C296" s="392" t="n"/>
      <c r="D296" s="409" t="n"/>
      <c r="E296" s="392" t="n"/>
      <c r="F296" s="394" t="n"/>
      <c r="G296" s="392" t="n"/>
      <c r="H296" s="604">
        <f>IFERROR(IF(AND($K296&gt;0,ISNUMBER(IF(OR($D296="g",$D296="ｇ"),IF($M296&gt;0,$L296/$M296/1000,""),IF($D296="kg",IF($M296&gt;0,$L296/$M296,""),IF($D296="",IF($M296&gt;0,$L296/$M296/1000,IF($O296&gt;0,$N296/$O296,"")),IF($O296&gt;0,$N296/$O296,"")))))),IF(OR($D296="g",$D296="ｇ"),IF($M296&gt;0,$L296/$M296/1000,""),IF($D296="kg",IF($M296&gt;0,$L296/$M296,""),IF($D296="",IF($M296&gt;0,$L296/$M296/1000,IF($O296&gt;0,$N296/$O296,"")),IF($O296&gt;0,$N296/$O296,"")))),IF($F296="",IF(OR($E296="",$E296="⑩盛付梱包工程入力"),"",IF(OR($D296="g",$D296="ｇ"),INDEX(⑰工程労務費一覧!$N$5:$N$11,MATCH($E296,⑰工程労務費一覧!$K$5:$K$11,0))/1000,IF($D296="kg",INDEX(⑰工程労務費一覧!$N$5:$N$11,MATCH($E296,⑰工程労務費一覧!$K$5:$K$11,0)),IF(OR($D296="個",$D296="切",$D296="本",$D296="枚",$D296="尾"),IF($E296="⑬計量工程入力","",INDEX(⑰工程労務費一覧!$P$5:$P$11,MATCH($E296,⑰工程労務費一覧!$K$5:$K$11,0))),IF(AND($D296="",OR($E296="②釜工程入力",$E296="③スチコン工程入力")),INDEX(⑰工程労務費一覧!$N$5:$N$11,MATCH($E296,⑰工程労務費一覧!$K$5:$K$11,0))/1000,""))))),IF(OR($D296="g",$D296="ｇ"),INDEX(⑰工程労務費一覧!$H$5:$H$753,MATCH($F296,⑰工程労務費一覧!$D$5:$D$753,0))/1000,IF($D296="kg",INDEX(⑰工程労務費一覧!$H$5:$H$753,MATCH($F296,⑰工程労務費一覧!$D$5:$D$753,0)),INDEX(⑰工程労務費一覧!$I$5:$I$753,MATCH($F296,⑰工程労務費一覧!$D$5:$D$753,0)))))),"")</f>
        <v/>
      </c>
      <c r="I296" s="392">
        <f>IF($K296&gt;0,IF(ISNUMBER(IF(OR($D296="g",$D296="ｇ"),IF($M296&gt;0,$L296/$M296/1000,""),IF($D296="kg",IF($M296&gt;0,$L296/$M296,""),IF($D296="",IF($M296&gt;0,$L296/$M296/1000,IF($O296&gt;0,$N296/$O296,"")),IF($O296&gt;0,$N296/$O296,""))))),IF($D296="",IF($M296&gt;0,"◎ JAN紐づけ(g扱い)","◎ JAN紐づけ(個扱い)"),"◎ JAN紐づけ"),"△ JAN紐づけ済・実績不足→仮計算"),IF($F296="",IF(ISNUMBER($H296),IF($D296="","⑤ 工程平均で仮計算(g扱い)","⑤ 工程平均で仮計算"),IF($E296="⑩盛付梱包工程入力","⑥ 盛り込み(⑳F列で計上)",IF(AND($E296="⑬計量工程入力",OR($D296="個",$D296="切",$D296="本",$D296="枚",$D296="尾")),"① 未紐づけ(カット個単位は仮単価なし)","① 未紐づけ"))),IF(NOT(ISNUMBER($H296)),"② 工程側に単価なし",IF($D296="","③ 単位未設定(個で計算)","④ OK"))))</f>
        <v/>
      </c>
      <c r="J296" s="399">
        <f>IFERROR(LOOKUP(2,1/((中間品リスト!$F$2:$F$1299=$B296)*(中間品リスト!$E$2:$E$1299&lt;&gt;"-")*(中間品リスト!$E$2:$E$1299&lt;&gt;"")),中間品リスト!$E$2:$E$1299),"")</f>
        <v/>
      </c>
      <c r="K296" s="400">
        <f>IF($J296="",0,COUNTIF(②釜工程入力!$S$5:$S$117,$J296)+COUNTIF(③スチコン工程入力!$S$5:$S$152,$J296)+COUNTIF(⑪ZEN工程入力!$S$6:$S$35,$J296)+COUNTIF(⑫ミキサー工程入力!$S$6:$S$65,$J296)+COUNTIF(⑬計量工程入力!$S$6:$S$65,$J296)+COUNTIF(⑭手動工程入力!$S$6:$S$47,$J296))</f>
        <v/>
      </c>
      <c r="L296" s="393">
        <f>IF($J296="",0,SUMIFS(②釜工程入力!$M$5:$M$117,②釜工程入力!$S$5:$S$117,$J296,②釜工程入力!$I$5:$I$117,"&gt;0")+SUMIFS(③スチコン工程入力!$M$5:$M$152,③スチコン工程入力!$S$5:$S$152,$J296,③スチコン工程入力!$I$5:$I$152,"&gt;0")+SUMIFS(⑪ZEN工程入力!$M$6:$M$35,⑪ZEN工程入力!$S$6:$S$35,$J296,⑪ZEN工程入力!$I$6:$I$35,"&gt;0")+SUMIFS(⑫ミキサー工程入力!$M$6:$M$65,⑫ミキサー工程入力!$S$6:$S$65,$J296,⑫ミキサー工程入力!$I$6:$I$65,"&gt;0")+SUMIFS(⑬計量工程入力!$M$6:$M$65,⑬計量工程入力!$S$6:$S$65,$J296,⑬計量工程入力!$I$6:$I$65,"&gt;0")+SUMIFS(⑭手動工程入力!$M$6:$M$47,⑭手動工程入力!$S$6:$S$47,$J296,⑭手動工程入力!$I$6:$I$47,"&gt;0"))</f>
        <v/>
      </c>
      <c r="M296" s="393">
        <f>IF($J296="",0,SUMIFS(②釜工程入力!$I$5:$I$117,②釜工程入力!$S$5:$S$117,$J296,②釜工程入力!$I$5:$I$117,"&gt;0",②釜工程入力!$M$5:$M$117,"&gt;0")+SUMIFS(③スチコン工程入力!$I$5:$I$152,③スチコン工程入力!$S$5:$S$152,$J296,③スチコン工程入力!$I$5:$I$152,"&gt;0",③スチコン工程入力!$M$5:$M$152,"&gt;0")+SUMIFS(⑪ZEN工程入力!$I$6:$I$35,⑪ZEN工程入力!$S$6:$S$35,$J296,⑪ZEN工程入力!$I$6:$I$35,"&gt;0",⑪ZEN工程入力!$M$6:$M$35,"&gt;0")+SUMIFS(⑫ミキサー工程入力!$I$6:$I$65,⑫ミキサー工程入力!$S$6:$S$65,$J296,⑫ミキサー工程入力!$I$6:$I$65,"&gt;0",⑫ミキサー工程入力!$M$6:$M$65,"&gt;0")+SUMIFS(⑬計量工程入力!$I$6:$I$65,⑬計量工程入力!$S$6:$S$65,$J296,⑬計量工程入力!$I$6:$I$65,"&gt;0",⑬計量工程入力!$M$6:$M$65,"&gt;0")+SUMIFS(⑭手動工程入力!$I$6:$I$47,⑭手動工程入力!$S$6:$S$47,$J296,⑭手動工程入力!$I$6:$I$47,"&gt;0",⑭手動工程入力!$M$6:$M$47,"&gt;0"))</f>
        <v/>
      </c>
      <c r="N296" s="393">
        <f>IF($J296="",0,SUMIFS(②釜工程入力!$M$5:$M$117,②釜工程入力!$S$5:$S$117,$J296,②釜工程入力!$J$5:$J$117,"&gt;0")-SUMIFS(②釜工程入力!$M$5:$M$117,②釜工程入力!$S$5:$S$117,$J296,②釜工程入力!$J$5:$J$117,"&gt;0",②釜工程入力!$I$5:$I$117,"&gt;0")+SUMIFS(③スチコン工程入力!$M$5:$M$152,③スチコン工程入力!$S$5:$S$152,$J296,③スチコン工程入力!$J$5:$J$152,"&gt;0")-SUMIFS(③スチコン工程入力!$M$5:$M$152,③スチコン工程入力!$S$5:$S$152,$J296,③スチコン工程入力!$J$5:$J$152,"&gt;0",③スチコン工程入力!$I$5:$I$152,"&gt;0")+SUMIFS(⑪ZEN工程入力!$M$6:$M$35,⑪ZEN工程入力!$S$6:$S$35,$J296,⑪ZEN工程入力!$J$6:$J$35,"&gt;0")-SUMIFS(⑪ZEN工程入力!$M$6:$M$35,⑪ZEN工程入力!$S$6:$S$35,$J296,⑪ZEN工程入力!$J$6:$J$35,"&gt;0",⑪ZEN工程入力!$I$6:$I$35,"&gt;0")+SUMIFS(⑫ミキサー工程入力!$M$6:$M$65,⑫ミキサー工程入力!$S$6:$S$65,$J296,⑫ミキサー工程入力!$J$6:$J$65,"&gt;0")-SUMIFS(⑫ミキサー工程入力!$M$6:$M$65,⑫ミキサー工程入力!$S$6:$S$65,$J296,⑫ミキサー工程入力!$J$6:$J$65,"&gt;0",⑫ミキサー工程入力!$I$6:$I$65,"&gt;0")+SUMIFS(⑬計量工程入力!$M$6:$M$65,⑬計量工程入力!$S$6:$S$65,$J296,⑬計量工程入力!$J$6:$J$65,"&gt;0")-SUMIFS(⑬計量工程入力!$M$6:$M$65,⑬計量工程入力!$S$6:$S$65,$J296,⑬計量工程入力!$J$6:$J$65,"&gt;0",⑬計量工程入力!$I$6:$I$65,"&gt;0")+SUMIFS(⑭手動工程入力!$M$6:$M$47,⑭手動工程入力!$S$6:$S$47,$J296,⑭手動工程入力!$J$6:$J$47,"&gt;0")-SUMIFS(⑭手動工程入力!$M$6:$M$47,⑭手動工程入力!$S$6:$S$47,$J296,⑭手動工程入力!$J$6:$J$47,"&gt;0",⑭手動工程入力!$I$6:$I$47,"&gt;0"))</f>
        <v/>
      </c>
      <c r="O296" s="393">
        <f>IF($J296="",0,SUMIFS(②釜工程入力!$J$5:$J$117,②釜工程入力!$S$5:$S$117,$J296,②釜工程入力!$J$5:$J$117,"&gt;0",②釜工程入力!$M$5:$M$117,"&gt;0")-SUMIFS(②釜工程入力!$J$5:$J$117,②釜工程入力!$S$5:$S$117,$J296,②釜工程入力!$J$5:$J$117,"&gt;0",②釜工程入力!$I$5:$I$117,"&gt;0",②釜工程入力!$M$5:$M$117,"&gt;0")+SUMIFS(③スチコン工程入力!$J$5:$J$152,③スチコン工程入力!$S$5:$S$152,$J296,③スチコン工程入力!$J$5:$J$152,"&gt;0",③スチコン工程入力!$M$5:$M$152,"&gt;0")-SUMIFS(③スチコン工程入力!$J$5:$J$152,③スチコン工程入力!$S$5:$S$152,$J296,③スチコン工程入力!$J$5:$J$152,"&gt;0",③スチコン工程入力!$I$5:$I$152,"&gt;0",③スチコン工程入力!$M$5:$M$152,"&gt;0")+SUMIFS(⑪ZEN工程入力!$J$6:$J$35,⑪ZEN工程入力!$S$6:$S$35,$J296,⑪ZEN工程入力!$J$6:$J$35,"&gt;0",⑪ZEN工程入力!$M$6:$M$35,"&gt;0")-SUMIFS(⑪ZEN工程入力!$J$6:$J$35,⑪ZEN工程入力!$S$6:$S$35,$J296,⑪ZEN工程入力!$J$6:$J$35,"&gt;0",⑪ZEN工程入力!$I$6:$I$35,"&gt;0",⑪ZEN工程入力!$M$6:$M$35,"&gt;0")+SUMIFS(⑫ミキサー工程入力!$J$6:$J$65,⑫ミキサー工程入力!$S$6:$S$65,$J296,⑫ミキサー工程入力!$J$6:$J$65,"&gt;0",⑫ミキサー工程入力!$M$6:$M$65,"&gt;0")-SUMIFS(⑫ミキサー工程入力!$J$6:$J$65,⑫ミキサー工程入力!$S$6:$S$65,$J296,⑫ミキサー工程入力!$J$6:$J$65,"&gt;0",⑫ミキサー工程入力!$I$6:$I$65,"&gt;0",⑫ミキサー工程入力!$M$6:$M$65,"&gt;0")+SUMIFS(⑬計量工程入力!$J$6:$J$65,⑬計量工程入力!$S$6:$S$65,$J296,⑬計量工程入力!$J$6:$J$65,"&gt;0",⑬計量工程入力!$M$6:$M$65,"&gt;0")-SUMIFS(⑬計量工程入力!$J$6:$J$65,⑬計量工程入力!$S$6:$S$65,$J296,⑬計量工程入力!$J$6:$J$65,"&gt;0",⑬計量工程入力!$I$6:$I$65,"&gt;0",⑬計量工程入力!$M$6:$M$65,"&gt;0")+SUMIFS(⑭手動工程入力!$J$6:$J$47,⑭手動工程入力!$S$6:$S$47,$J296,⑭手動工程入力!$J$6:$J$47,"&gt;0",⑭手動工程入力!$M$6:$M$47,"&gt;0")-SUMIFS(⑭手動工程入力!$J$6:$J$47,⑭手動工程入力!$S$6:$S$47,$J296,⑭手動工程入力!$J$6:$J$47,"&gt;0",⑭手動工程入力!$I$6:$I$47,"&gt;0",⑭手動工程入力!$M$6:$M$47,"&gt;0"))</f>
        <v/>
      </c>
      <c r="P296" s="392" t="inlineStr">
        <is>
          <t>中間品リスト</t>
        </is>
      </c>
    </row>
    <row r="297">
      <c r="A297" s="392" t="n">
        <v>293</v>
      </c>
      <c r="B297" s="392" t="n"/>
      <c r="C297" s="392" t="n"/>
      <c r="D297" s="409" t="n"/>
      <c r="E297" s="392" t="n"/>
      <c r="F297" s="394" t="n"/>
      <c r="G297" s="392" t="n"/>
      <c r="H297" s="604">
        <f>IFERROR(IF(AND($K297&gt;0,ISNUMBER(IF(OR($D297="g",$D297="ｇ"),IF($M297&gt;0,$L297/$M297/1000,""),IF($D297="kg",IF($M297&gt;0,$L297/$M297,""),IF($D297="",IF($M297&gt;0,$L297/$M297/1000,IF($O297&gt;0,$N297/$O297,"")),IF($O297&gt;0,$N297/$O297,"")))))),IF(OR($D297="g",$D297="ｇ"),IF($M297&gt;0,$L297/$M297/1000,""),IF($D297="kg",IF($M297&gt;0,$L297/$M297,""),IF($D297="",IF($M297&gt;0,$L297/$M297/1000,IF($O297&gt;0,$N297/$O297,"")),IF($O297&gt;0,$N297/$O297,"")))),IF($F297="",IF(OR($E297="",$E297="⑩盛付梱包工程入力"),"",IF(OR($D297="g",$D297="ｇ"),INDEX(⑰工程労務費一覧!$N$5:$N$11,MATCH($E297,⑰工程労務費一覧!$K$5:$K$11,0))/1000,IF($D297="kg",INDEX(⑰工程労務費一覧!$N$5:$N$11,MATCH($E297,⑰工程労務費一覧!$K$5:$K$11,0)),IF(OR($D297="個",$D297="切",$D297="本",$D297="枚",$D297="尾"),IF($E297="⑬計量工程入力","",INDEX(⑰工程労務費一覧!$P$5:$P$11,MATCH($E297,⑰工程労務費一覧!$K$5:$K$11,0))),IF(AND($D297="",OR($E297="②釜工程入力",$E297="③スチコン工程入力")),INDEX(⑰工程労務費一覧!$N$5:$N$11,MATCH($E297,⑰工程労務費一覧!$K$5:$K$11,0))/1000,""))))),IF(OR($D297="g",$D297="ｇ"),INDEX(⑰工程労務費一覧!$H$5:$H$753,MATCH($F297,⑰工程労務費一覧!$D$5:$D$753,0))/1000,IF($D297="kg",INDEX(⑰工程労務費一覧!$H$5:$H$753,MATCH($F297,⑰工程労務費一覧!$D$5:$D$753,0)),INDEX(⑰工程労務費一覧!$I$5:$I$753,MATCH($F297,⑰工程労務費一覧!$D$5:$D$753,0)))))),"")</f>
        <v/>
      </c>
      <c r="I297" s="392">
        <f>IF($K297&gt;0,IF(ISNUMBER(IF(OR($D297="g",$D297="ｇ"),IF($M297&gt;0,$L297/$M297/1000,""),IF($D297="kg",IF($M297&gt;0,$L297/$M297,""),IF($D297="",IF($M297&gt;0,$L297/$M297/1000,IF($O297&gt;0,$N297/$O297,"")),IF($O297&gt;0,$N297/$O297,""))))),IF($D297="",IF($M297&gt;0,"◎ JAN紐づけ(g扱い)","◎ JAN紐づけ(個扱い)"),"◎ JAN紐づけ"),"△ JAN紐づけ済・実績不足→仮計算"),IF($F297="",IF(ISNUMBER($H297),IF($D297="","⑤ 工程平均で仮計算(g扱い)","⑤ 工程平均で仮計算"),IF($E297="⑩盛付梱包工程入力","⑥ 盛り込み(⑳F列で計上)",IF(AND($E297="⑬計量工程入力",OR($D297="個",$D297="切",$D297="本",$D297="枚",$D297="尾")),"① 未紐づけ(カット個単位は仮単価なし)","① 未紐づけ"))),IF(NOT(ISNUMBER($H297)),"② 工程側に単価なし",IF($D297="","③ 単位未設定(個で計算)","④ OK"))))</f>
        <v/>
      </c>
      <c r="J297" s="399">
        <f>IFERROR(LOOKUP(2,1/((中間品リスト!$F$2:$F$1299=$B297)*(中間品リスト!$E$2:$E$1299&lt;&gt;"-")*(中間品リスト!$E$2:$E$1299&lt;&gt;"")),中間品リスト!$E$2:$E$1299),"")</f>
        <v/>
      </c>
      <c r="K297" s="400">
        <f>IF($J297="",0,COUNTIF(②釜工程入力!$S$5:$S$117,$J297)+COUNTIF(③スチコン工程入力!$S$5:$S$152,$J297)+COUNTIF(⑪ZEN工程入力!$S$6:$S$35,$J297)+COUNTIF(⑫ミキサー工程入力!$S$6:$S$65,$J297)+COUNTIF(⑬計量工程入力!$S$6:$S$65,$J297)+COUNTIF(⑭手動工程入力!$S$6:$S$47,$J297))</f>
        <v/>
      </c>
      <c r="L297" s="393">
        <f>IF($J297="",0,SUMIFS(②釜工程入力!$M$5:$M$117,②釜工程入力!$S$5:$S$117,$J297,②釜工程入力!$I$5:$I$117,"&gt;0")+SUMIFS(③スチコン工程入力!$M$5:$M$152,③スチコン工程入力!$S$5:$S$152,$J297,③スチコン工程入力!$I$5:$I$152,"&gt;0")+SUMIFS(⑪ZEN工程入力!$M$6:$M$35,⑪ZEN工程入力!$S$6:$S$35,$J297,⑪ZEN工程入力!$I$6:$I$35,"&gt;0")+SUMIFS(⑫ミキサー工程入力!$M$6:$M$65,⑫ミキサー工程入力!$S$6:$S$65,$J297,⑫ミキサー工程入力!$I$6:$I$65,"&gt;0")+SUMIFS(⑬計量工程入力!$M$6:$M$65,⑬計量工程入力!$S$6:$S$65,$J297,⑬計量工程入力!$I$6:$I$65,"&gt;0")+SUMIFS(⑭手動工程入力!$M$6:$M$47,⑭手動工程入力!$S$6:$S$47,$J297,⑭手動工程入力!$I$6:$I$47,"&gt;0"))</f>
        <v/>
      </c>
      <c r="M297" s="393">
        <f>IF($J297="",0,SUMIFS(②釜工程入力!$I$5:$I$117,②釜工程入力!$S$5:$S$117,$J297,②釜工程入力!$I$5:$I$117,"&gt;0",②釜工程入力!$M$5:$M$117,"&gt;0")+SUMIFS(③スチコン工程入力!$I$5:$I$152,③スチコン工程入力!$S$5:$S$152,$J297,③スチコン工程入力!$I$5:$I$152,"&gt;0",③スチコン工程入力!$M$5:$M$152,"&gt;0")+SUMIFS(⑪ZEN工程入力!$I$6:$I$35,⑪ZEN工程入力!$S$6:$S$35,$J297,⑪ZEN工程入力!$I$6:$I$35,"&gt;0",⑪ZEN工程入力!$M$6:$M$35,"&gt;0")+SUMIFS(⑫ミキサー工程入力!$I$6:$I$65,⑫ミキサー工程入力!$S$6:$S$65,$J297,⑫ミキサー工程入力!$I$6:$I$65,"&gt;0",⑫ミキサー工程入力!$M$6:$M$65,"&gt;0")+SUMIFS(⑬計量工程入力!$I$6:$I$65,⑬計量工程入力!$S$6:$S$65,$J297,⑬計量工程入力!$I$6:$I$65,"&gt;0",⑬計量工程入力!$M$6:$M$65,"&gt;0")+SUMIFS(⑭手動工程入力!$I$6:$I$47,⑭手動工程入力!$S$6:$S$47,$J297,⑭手動工程入力!$I$6:$I$47,"&gt;0",⑭手動工程入力!$M$6:$M$47,"&gt;0"))</f>
        <v/>
      </c>
      <c r="N297" s="393">
        <f>IF($J297="",0,SUMIFS(②釜工程入力!$M$5:$M$117,②釜工程入力!$S$5:$S$117,$J297,②釜工程入力!$J$5:$J$117,"&gt;0")-SUMIFS(②釜工程入力!$M$5:$M$117,②釜工程入力!$S$5:$S$117,$J297,②釜工程入力!$J$5:$J$117,"&gt;0",②釜工程入力!$I$5:$I$117,"&gt;0")+SUMIFS(③スチコン工程入力!$M$5:$M$152,③スチコン工程入力!$S$5:$S$152,$J297,③スチコン工程入力!$J$5:$J$152,"&gt;0")-SUMIFS(③スチコン工程入力!$M$5:$M$152,③スチコン工程入力!$S$5:$S$152,$J297,③スチコン工程入力!$J$5:$J$152,"&gt;0",③スチコン工程入力!$I$5:$I$152,"&gt;0")+SUMIFS(⑪ZEN工程入力!$M$6:$M$35,⑪ZEN工程入力!$S$6:$S$35,$J297,⑪ZEN工程入力!$J$6:$J$35,"&gt;0")-SUMIFS(⑪ZEN工程入力!$M$6:$M$35,⑪ZEN工程入力!$S$6:$S$35,$J297,⑪ZEN工程入力!$J$6:$J$35,"&gt;0",⑪ZEN工程入力!$I$6:$I$35,"&gt;0")+SUMIFS(⑫ミキサー工程入力!$M$6:$M$65,⑫ミキサー工程入力!$S$6:$S$65,$J297,⑫ミキサー工程入力!$J$6:$J$65,"&gt;0")-SUMIFS(⑫ミキサー工程入力!$M$6:$M$65,⑫ミキサー工程入力!$S$6:$S$65,$J297,⑫ミキサー工程入力!$J$6:$J$65,"&gt;0",⑫ミキサー工程入力!$I$6:$I$65,"&gt;0")+SUMIFS(⑬計量工程入力!$M$6:$M$65,⑬計量工程入力!$S$6:$S$65,$J297,⑬計量工程入力!$J$6:$J$65,"&gt;0")-SUMIFS(⑬計量工程入力!$M$6:$M$65,⑬計量工程入力!$S$6:$S$65,$J297,⑬計量工程入力!$J$6:$J$65,"&gt;0",⑬計量工程入力!$I$6:$I$65,"&gt;0")+SUMIFS(⑭手動工程入力!$M$6:$M$47,⑭手動工程入力!$S$6:$S$47,$J297,⑭手動工程入力!$J$6:$J$47,"&gt;0")-SUMIFS(⑭手動工程入力!$M$6:$M$47,⑭手動工程入力!$S$6:$S$47,$J297,⑭手動工程入力!$J$6:$J$47,"&gt;0",⑭手動工程入力!$I$6:$I$47,"&gt;0"))</f>
        <v/>
      </c>
      <c r="O297" s="393">
        <f>IF($J297="",0,SUMIFS(②釜工程入力!$J$5:$J$117,②釜工程入力!$S$5:$S$117,$J297,②釜工程入力!$J$5:$J$117,"&gt;0",②釜工程入力!$M$5:$M$117,"&gt;0")-SUMIFS(②釜工程入力!$J$5:$J$117,②釜工程入力!$S$5:$S$117,$J297,②釜工程入力!$J$5:$J$117,"&gt;0",②釜工程入力!$I$5:$I$117,"&gt;0",②釜工程入力!$M$5:$M$117,"&gt;0")+SUMIFS(③スチコン工程入力!$J$5:$J$152,③スチコン工程入力!$S$5:$S$152,$J297,③スチコン工程入力!$J$5:$J$152,"&gt;0",③スチコン工程入力!$M$5:$M$152,"&gt;0")-SUMIFS(③スチコン工程入力!$J$5:$J$152,③スチコン工程入力!$S$5:$S$152,$J297,③スチコン工程入力!$J$5:$J$152,"&gt;0",③スチコン工程入力!$I$5:$I$152,"&gt;0",③スチコン工程入力!$M$5:$M$152,"&gt;0")+SUMIFS(⑪ZEN工程入力!$J$6:$J$35,⑪ZEN工程入力!$S$6:$S$35,$J297,⑪ZEN工程入力!$J$6:$J$35,"&gt;0",⑪ZEN工程入力!$M$6:$M$35,"&gt;0")-SUMIFS(⑪ZEN工程入力!$J$6:$J$35,⑪ZEN工程入力!$S$6:$S$35,$J297,⑪ZEN工程入力!$J$6:$J$35,"&gt;0",⑪ZEN工程入力!$I$6:$I$35,"&gt;0",⑪ZEN工程入力!$M$6:$M$35,"&gt;0")+SUMIFS(⑫ミキサー工程入力!$J$6:$J$65,⑫ミキサー工程入力!$S$6:$S$65,$J297,⑫ミキサー工程入力!$J$6:$J$65,"&gt;0",⑫ミキサー工程入力!$M$6:$M$65,"&gt;0")-SUMIFS(⑫ミキサー工程入力!$J$6:$J$65,⑫ミキサー工程入力!$S$6:$S$65,$J297,⑫ミキサー工程入力!$J$6:$J$65,"&gt;0",⑫ミキサー工程入力!$I$6:$I$65,"&gt;0",⑫ミキサー工程入力!$M$6:$M$65,"&gt;0")+SUMIFS(⑬計量工程入力!$J$6:$J$65,⑬計量工程入力!$S$6:$S$65,$J297,⑬計量工程入力!$J$6:$J$65,"&gt;0",⑬計量工程入力!$M$6:$M$65,"&gt;0")-SUMIFS(⑬計量工程入力!$J$6:$J$65,⑬計量工程入力!$S$6:$S$65,$J297,⑬計量工程入力!$J$6:$J$65,"&gt;0",⑬計量工程入力!$I$6:$I$65,"&gt;0",⑬計量工程入力!$M$6:$M$65,"&gt;0")+SUMIFS(⑭手動工程入力!$J$6:$J$47,⑭手動工程入力!$S$6:$S$47,$J297,⑭手動工程入力!$J$6:$J$47,"&gt;0",⑭手動工程入力!$M$6:$M$47,"&gt;0")-SUMIFS(⑭手動工程入力!$J$6:$J$47,⑭手動工程入力!$S$6:$S$47,$J297,⑭手動工程入力!$J$6:$J$47,"&gt;0",⑭手動工程入力!$I$6:$I$47,"&gt;0",⑭手動工程入力!$M$6:$M$47,"&gt;0"))</f>
        <v/>
      </c>
      <c r="P297" s="392" t="inlineStr">
        <is>
          <t>中間品リスト</t>
        </is>
      </c>
    </row>
    <row r="298">
      <c r="A298" s="392" t="n">
        <v>294</v>
      </c>
      <c r="B298" s="392" t="n"/>
      <c r="C298" s="392" t="n"/>
      <c r="D298" s="409" t="n"/>
      <c r="E298" s="392" t="n"/>
      <c r="F298" s="394" t="n"/>
      <c r="G298" s="392" t="n"/>
      <c r="H298" s="604">
        <f>IFERROR(IF(AND($K298&gt;0,ISNUMBER(IF(OR($D298="g",$D298="ｇ"),IF($M298&gt;0,$L298/$M298/1000,""),IF($D298="kg",IF($M298&gt;0,$L298/$M298,""),IF($D298="",IF($M298&gt;0,$L298/$M298/1000,IF($O298&gt;0,$N298/$O298,"")),IF($O298&gt;0,$N298/$O298,"")))))),IF(OR($D298="g",$D298="ｇ"),IF($M298&gt;0,$L298/$M298/1000,""),IF($D298="kg",IF($M298&gt;0,$L298/$M298,""),IF($D298="",IF($M298&gt;0,$L298/$M298/1000,IF($O298&gt;0,$N298/$O298,"")),IF($O298&gt;0,$N298/$O298,"")))),IF($F298="",IF(OR($E298="",$E298="⑩盛付梱包工程入力"),"",IF(OR($D298="g",$D298="ｇ"),INDEX(⑰工程労務費一覧!$N$5:$N$11,MATCH($E298,⑰工程労務費一覧!$K$5:$K$11,0))/1000,IF($D298="kg",INDEX(⑰工程労務費一覧!$N$5:$N$11,MATCH($E298,⑰工程労務費一覧!$K$5:$K$11,0)),IF(OR($D298="個",$D298="切",$D298="本",$D298="枚",$D298="尾"),IF($E298="⑬計量工程入力","",INDEX(⑰工程労務費一覧!$P$5:$P$11,MATCH($E298,⑰工程労務費一覧!$K$5:$K$11,0))),IF(AND($D298="",OR($E298="②釜工程入力",$E298="③スチコン工程入力")),INDEX(⑰工程労務費一覧!$N$5:$N$11,MATCH($E298,⑰工程労務費一覧!$K$5:$K$11,0))/1000,""))))),IF(OR($D298="g",$D298="ｇ"),INDEX(⑰工程労務費一覧!$H$5:$H$753,MATCH($F298,⑰工程労務費一覧!$D$5:$D$753,0))/1000,IF($D298="kg",INDEX(⑰工程労務費一覧!$H$5:$H$753,MATCH($F298,⑰工程労務費一覧!$D$5:$D$753,0)),INDEX(⑰工程労務費一覧!$I$5:$I$753,MATCH($F298,⑰工程労務費一覧!$D$5:$D$753,0)))))),"")</f>
        <v/>
      </c>
      <c r="I298" s="392">
        <f>IF($K298&gt;0,IF(ISNUMBER(IF(OR($D298="g",$D298="ｇ"),IF($M298&gt;0,$L298/$M298/1000,""),IF($D298="kg",IF($M298&gt;0,$L298/$M298,""),IF($D298="",IF($M298&gt;0,$L298/$M298/1000,IF($O298&gt;0,$N298/$O298,"")),IF($O298&gt;0,$N298/$O298,""))))),IF($D298="",IF($M298&gt;0,"◎ JAN紐づけ(g扱い)","◎ JAN紐づけ(個扱い)"),"◎ JAN紐づけ"),"△ JAN紐づけ済・実績不足→仮計算"),IF($F298="",IF(ISNUMBER($H298),IF($D298="","⑤ 工程平均で仮計算(g扱い)","⑤ 工程平均で仮計算"),IF($E298="⑩盛付梱包工程入力","⑥ 盛り込み(⑳F列で計上)",IF(AND($E298="⑬計量工程入力",OR($D298="個",$D298="切",$D298="本",$D298="枚",$D298="尾")),"① 未紐づけ(カット個単位は仮単価なし)","① 未紐づけ"))),IF(NOT(ISNUMBER($H298)),"② 工程側に単価なし",IF($D298="","③ 単位未設定(個で計算)","④ OK"))))</f>
        <v/>
      </c>
      <c r="J298" s="399">
        <f>IFERROR(LOOKUP(2,1/((中間品リスト!$F$2:$F$1299=$B298)*(中間品リスト!$E$2:$E$1299&lt;&gt;"-")*(中間品リスト!$E$2:$E$1299&lt;&gt;"")),中間品リスト!$E$2:$E$1299),"")</f>
        <v/>
      </c>
      <c r="K298" s="400">
        <f>IF($J298="",0,COUNTIF(②釜工程入力!$S$5:$S$117,$J298)+COUNTIF(③スチコン工程入力!$S$5:$S$152,$J298)+COUNTIF(⑪ZEN工程入力!$S$6:$S$35,$J298)+COUNTIF(⑫ミキサー工程入力!$S$6:$S$65,$J298)+COUNTIF(⑬計量工程入力!$S$6:$S$65,$J298)+COUNTIF(⑭手動工程入力!$S$6:$S$47,$J298))</f>
        <v/>
      </c>
      <c r="L298" s="393">
        <f>IF($J298="",0,SUMIFS(②釜工程入力!$M$5:$M$117,②釜工程入力!$S$5:$S$117,$J298,②釜工程入力!$I$5:$I$117,"&gt;0")+SUMIFS(③スチコン工程入力!$M$5:$M$152,③スチコン工程入力!$S$5:$S$152,$J298,③スチコン工程入力!$I$5:$I$152,"&gt;0")+SUMIFS(⑪ZEN工程入力!$M$6:$M$35,⑪ZEN工程入力!$S$6:$S$35,$J298,⑪ZEN工程入力!$I$6:$I$35,"&gt;0")+SUMIFS(⑫ミキサー工程入力!$M$6:$M$65,⑫ミキサー工程入力!$S$6:$S$65,$J298,⑫ミキサー工程入力!$I$6:$I$65,"&gt;0")+SUMIFS(⑬計量工程入力!$M$6:$M$65,⑬計量工程入力!$S$6:$S$65,$J298,⑬計量工程入力!$I$6:$I$65,"&gt;0")+SUMIFS(⑭手動工程入力!$M$6:$M$47,⑭手動工程入力!$S$6:$S$47,$J298,⑭手動工程入力!$I$6:$I$47,"&gt;0"))</f>
        <v/>
      </c>
      <c r="M298" s="393">
        <f>IF($J298="",0,SUMIFS(②釜工程入力!$I$5:$I$117,②釜工程入力!$S$5:$S$117,$J298,②釜工程入力!$I$5:$I$117,"&gt;0",②釜工程入力!$M$5:$M$117,"&gt;0")+SUMIFS(③スチコン工程入力!$I$5:$I$152,③スチコン工程入力!$S$5:$S$152,$J298,③スチコン工程入力!$I$5:$I$152,"&gt;0",③スチコン工程入力!$M$5:$M$152,"&gt;0")+SUMIFS(⑪ZEN工程入力!$I$6:$I$35,⑪ZEN工程入力!$S$6:$S$35,$J298,⑪ZEN工程入力!$I$6:$I$35,"&gt;0",⑪ZEN工程入力!$M$6:$M$35,"&gt;0")+SUMIFS(⑫ミキサー工程入力!$I$6:$I$65,⑫ミキサー工程入力!$S$6:$S$65,$J298,⑫ミキサー工程入力!$I$6:$I$65,"&gt;0",⑫ミキサー工程入力!$M$6:$M$65,"&gt;0")+SUMIFS(⑬計量工程入力!$I$6:$I$65,⑬計量工程入力!$S$6:$S$65,$J298,⑬計量工程入力!$I$6:$I$65,"&gt;0",⑬計量工程入力!$M$6:$M$65,"&gt;0")+SUMIFS(⑭手動工程入力!$I$6:$I$47,⑭手動工程入力!$S$6:$S$47,$J298,⑭手動工程入力!$I$6:$I$47,"&gt;0",⑭手動工程入力!$M$6:$M$47,"&gt;0"))</f>
        <v/>
      </c>
      <c r="N298" s="393">
        <f>IF($J298="",0,SUMIFS(②釜工程入力!$M$5:$M$117,②釜工程入力!$S$5:$S$117,$J298,②釜工程入力!$J$5:$J$117,"&gt;0")-SUMIFS(②釜工程入力!$M$5:$M$117,②釜工程入力!$S$5:$S$117,$J298,②釜工程入力!$J$5:$J$117,"&gt;0",②釜工程入力!$I$5:$I$117,"&gt;0")+SUMIFS(③スチコン工程入力!$M$5:$M$152,③スチコン工程入力!$S$5:$S$152,$J298,③スチコン工程入力!$J$5:$J$152,"&gt;0")-SUMIFS(③スチコン工程入力!$M$5:$M$152,③スチコン工程入力!$S$5:$S$152,$J298,③スチコン工程入力!$J$5:$J$152,"&gt;0",③スチコン工程入力!$I$5:$I$152,"&gt;0")+SUMIFS(⑪ZEN工程入力!$M$6:$M$35,⑪ZEN工程入力!$S$6:$S$35,$J298,⑪ZEN工程入力!$J$6:$J$35,"&gt;0")-SUMIFS(⑪ZEN工程入力!$M$6:$M$35,⑪ZEN工程入力!$S$6:$S$35,$J298,⑪ZEN工程入力!$J$6:$J$35,"&gt;0",⑪ZEN工程入力!$I$6:$I$35,"&gt;0")+SUMIFS(⑫ミキサー工程入力!$M$6:$M$65,⑫ミキサー工程入力!$S$6:$S$65,$J298,⑫ミキサー工程入力!$J$6:$J$65,"&gt;0")-SUMIFS(⑫ミキサー工程入力!$M$6:$M$65,⑫ミキサー工程入力!$S$6:$S$65,$J298,⑫ミキサー工程入力!$J$6:$J$65,"&gt;0",⑫ミキサー工程入力!$I$6:$I$65,"&gt;0")+SUMIFS(⑬計量工程入力!$M$6:$M$65,⑬計量工程入力!$S$6:$S$65,$J298,⑬計量工程入力!$J$6:$J$65,"&gt;0")-SUMIFS(⑬計量工程入力!$M$6:$M$65,⑬計量工程入力!$S$6:$S$65,$J298,⑬計量工程入力!$J$6:$J$65,"&gt;0",⑬計量工程入力!$I$6:$I$65,"&gt;0")+SUMIFS(⑭手動工程入力!$M$6:$M$47,⑭手動工程入力!$S$6:$S$47,$J298,⑭手動工程入力!$J$6:$J$47,"&gt;0")-SUMIFS(⑭手動工程入力!$M$6:$M$47,⑭手動工程入力!$S$6:$S$47,$J298,⑭手動工程入力!$J$6:$J$47,"&gt;0",⑭手動工程入力!$I$6:$I$47,"&gt;0"))</f>
        <v/>
      </c>
      <c r="O298" s="393">
        <f>IF($J298="",0,SUMIFS(②釜工程入力!$J$5:$J$117,②釜工程入力!$S$5:$S$117,$J298,②釜工程入力!$J$5:$J$117,"&gt;0",②釜工程入力!$M$5:$M$117,"&gt;0")-SUMIFS(②釜工程入力!$J$5:$J$117,②釜工程入力!$S$5:$S$117,$J298,②釜工程入力!$J$5:$J$117,"&gt;0",②釜工程入力!$I$5:$I$117,"&gt;0",②釜工程入力!$M$5:$M$117,"&gt;0")+SUMIFS(③スチコン工程入力!$J$5:$J$152,③スチコン工程入力!$S$5:$S$152,$J298,③スチコン工程入力!$J$5:$J$152,"&gt;0",③スチコン工程入力!$M$5:$M$152,"&gt;0")-SUMIFS(③スチコン工程入力!$J$5:$J$152,③スチコン工程入力!$S$5:$S$152,$J298,③スチコン工程入力!$J$5:$J$152,"&gt;0",③スチコン工程入力!$I$5:$I$152,"&gt;0",③スチコン工程入力!$M$5:$M$152,"&gt;0")+SUMIFS(⑪ZEN工程入力!$J$6:$J$35,⑪ZEN工程入力!$S$6:$S$35,$J298,⑪ZEN工程入力!$J$6:$J$35,"&gt;0",⑪ZEN工程入力!$M$6:$M$35,"&gt;0")-SUMIFS(⑪ZEN工程入力!$J$6:$J$35,⑪ZEN工程入力!$S$6:$S$35,$J298,⑪ZEN工程入力!$J$6:$J$35,"&gt;0",⑪ZEN工程入力!$I$6:$I$35,"&gt;0",⑪ZEN工程入力!$M$6:$M$35,"&gt;0")+SUMIFS(⑫ミキサー工程入力!$J$6:$J$65,⑫ミキサー工程入力!$S$6:$S$65,$J298,⑫ミキサー工程入力!$J$6:$J$65,"&gt;0",⑫ミキサー工程入力!$M$6:$M$65,"&gt;0")-SUMIFS(⑫ミキサー工程入力!$J$6:$J$65,⑫ミキサー工程入力!$S$6:$S$65,$J298,⑫ミキサー工程入力!$J$6:$J$65,"&gt;0",⑫ミキサー工程入力!$I$6:$I$65,"&gt;0",⑫ミキサー工程入力!$M$6:$M$65,"&gt;0")+SUMIFS(⑬計量工程入力!$J$6:$J$65,⑬計量工程入力!$S$6:$S$65,$J298,⑬計量工程入力!$J$6:$J$65,"&gt;0",⑬計量工程入力!$M$6:$M$65,"&gt;0")-SUMIFS(⑬計量工程入力!$J$6:$J$65,⑬計量工程入力!$S$6:$S$65,$J298,⑬計量工程入力!$J$6:$J$65,"&gt;0",⑬計量工程入力!$I$6:$I$65,"&gt;0",⑬計量工程入力!$M$6:$M$65,"&gt;0")+SUMIFS(⑭手動工程入力!$J$6:$J$47,⑭手動工程入力!$S$6:$S$47,$J298,⑭手動工程入力!$J$6:$J$47,"&gt;0",⑭手動工程入力!$M$6:$M$47,"&gt;0")-SUMIFS(⑭手動工程入力!$J$6:$J$47,⑭手動工程入力!$S$6:$S$47,$J298,⑭手動工程入力!$J$6:$J$47,"&gt;0",⑭手動工程入力!$I$6:$I$47,"&gt;0",⑭手動工程入力!$M$6:$M$47,"&gt;0"))</f>
        <v/>
      </c>
      <c r="P298" s="392" t="inlineStr">
        <is>
          <t>中間品リスト</t>
        </is>
      </c>
    </row>
    <row r="299">
      <c r="A299" s="392" t="n">
        <v>295</v>
      </c>
      <c r="B299" s="392" t="n"/>
      <c r="C299" s="392" t="n"/>
      <c r="D299" s="392" t="n"/>
      <c r="E299" s="392" t="n"/>
      <c r="F299" s="394" t="n"/>
      <c r="G299" s="392" t="n"/>
      <c r="H299" s="604">
        <f>IFERROR(IF(AND($K299&gt;0,ISNUMBER(IF(OR($D299="g",$D299="ｇ"),IF($M299&gt;0,$L299/$M299/1000,""),IF($D299="kg",IF($M299&gt;0,$L299/$M299,""),IF($D299="",IF($M299&gt;0,$L299/$M299/1000,IF($O299&gt;0,$N299/$O299,"")),IF($O299&gt;0,$N299/$O299,"")))))),IF(OR($D299="g",$D299="ｇ"),IF($M299&gt;0,$L299/$M299/1000,""),IF($D299="kg",IF($M299&gt;0,$L299/$M299,""),IF($D299="",IF($M299&gt;0,$L299/$M299/1000,IF($O299&gt;0,$N299/$O299,"")),IF($O299&gt;0,$N299/$O299,"")))),IF($F299="",IF(OR($E299="",$E299="⑩盛付梱包工程入力"),"",IF(OR($D299="g",$D299="ｇ"),INDEX(⑰工程労務費一覧!$N$5:$N$11,MATCH($E299,⑰工程労務費一覧!$K$5:$K$11,0))/1000,IF($D299="kg",INDEX(⑰工程労務費一覧!$N$5:$N$11,MATCH($E299,⑰工程労務費一覧!$K$5:$K$11,0)),IF(OR($D299="個",$D299="切",$D299="本",$D299="枚",$D299="尾"),IF($E299="⑬計量工程入力","",INDEX(⑰工程労務費一覧!$P$5:$P$11,MATCH($E299,⑰工程労務費一覧!$K$5:$K$11,0))),IF(AND($D299="",OR($E299="②釜工程入力",$E299="③スチコン工程入力")),INDEX(⑰工程労務費一覧!$N$5:$N$11,MATCH($E299,⑰工程労務費一覧!$K$5:$K$11,0))/1000,""))))),IF(OR($D299="g",$D299="ｇ"),INDEX(⑰工程労務費一覧!$H$5:$H$753,MATCH($F299,⑰工程労務費一覧!$D$5:$D$753,0))/1000,IF($D299="kg",INDEX(⑰工程労務費一覧!$H$5:$H$753,MATCH($F299,⑰工程労務費一覧!$D$5:$D$753,0)),INDEX(⑰工程労務費一覧!$I$5:$I$753,MATCH($F299,⑰工程労務費一覧!$D$5:$D$753,0)))))),"")</f>
        <v/>
      </c>
      <c r="I299" s="392">
        <f>IF($K299&gt;0,IF(ISNUMBER(IF(OR($D299="g",$D299="ｇ"),IF($M299&gt;0,$L299/$M299/1000,""),IF($D299="kg",IF($M299&gt;0,$L299/$M299,""),IF($D299="",IF($M299&gt;0,$L299/$M299/1000,IF($O299&gt;0,$N299/$O299,"")),IF($O299&gt;0,$N299/$O299,""))))),IF($D299="",IF($M299&gt;0,"◎ JAN紐づけ(g扱い)","◎ JAN紐づけ(個扱い)"),"◎ JAN紐づけ"),"△ JAN紐づけ済・実績不足→仮計算"),IF($F299="",IF(ISNUMBER($H299),IF($D299="","⑤ 工程平均で仮計算(g扱い)","⑤ 工程平均で仮計算"),IF($E299="⑩盛付梱包工程入力","⑥ 盛り込み(⑳F列で計上)",IF(AND($E299="⑬計量工程入力",OR($D299="個",$D299="切",$D299="本",$D299="枚",$D299="尾")),"① 未紐づけ(カット個単位は仮単価なし)","① 未紐づけ"))),IF(NOT(ISNUMBER($H299)),"② 工程側に単価なし",IF($D299="","③ 単位未設定(個で計算)","④ OK"))))</f>
        <v/>
      </c>
      <c r="J299" s="399">
        <f>IFERROR(LOOKUP(2,1/((中間品リスト!$F$2:$F$1299=$B299)*(中間品リスト!$E$2:$E$1299&lt;&gt;"-")*(中間品リスト!$E$2:$E$1299&lt;&gt;"")),中間品リスト!$E$2:$E$1299),"")</f>
        <v/>
      </c>
      <c r="K299" s="400">
        <f>IF($J299="",0,COUNTIF(②釜工程入力!$S$5:$S$117,$J299)+COUNTIF(③スチコン工程入力!$S$5:$S$152,$J299)+COUNTIF(⑪ZEN工程入力!$S$6:$S$35,$J299)+COUNTIF(⑫ミキサー工程入力!$S$6:$S$65,$J299)+COUNTIF(⑬計量工程入力!$S$6:$S$65,$J299)+COUNTIF(⑭手動工程入力!$S$6:$S$47,$J299))</f>
        <v/>
      </c>
      <c r="L299" s="393">
        <f>IF($J299="",0,SUMIFS(②釜工程入力!$M$5:$M$117,②釜工程入力!$S$5:$S$117,$J299,②釜工程入力!$I$5:$I$117,"&gt;0")+SUMIFS(③スチコン工程入力!$M$5:$M$152,③スチコン工程入力!$S$5:$S$152,$J299,③スチコン工程入力!$I$5:$I$152,"&gt;0")+SUMIFS(⑪ZEN工程入力!$M$6:$M$35,⑪ZEN工程入力!$S$6:$S$35,$J299,⑪ZEN工程入力!$I$6:$I$35,"&gt;0")+SUMIFS(⑫ミキサー工程入力!$M$6:$M$65,⑫ミキサー工程入力!$S$6:$S$65,$J299,⑫ミキサー工程入力!$I$6:$I$65,"&gt;0")+SUMIFS(⑬計量工程入力!$M$6:$M$65,⑬計量工程入力!$S$6:$S$65,$J299,⑬計量工程入力!$I$6:$I$65,"&gt;0")+SUMIFS(⑭手動工程入力!$M$6:$M$47,⑭手動工程入力!$S$6:$S$47,$J299,⑭手動工程入力!$I$6:$I$47,"&gt;0"))</f>
        <v/>
      </c>
      <c r="M299" s="393">
        <f>IF($J299="",0,SUMIFS(②釜工程入力!$I$5:$I$117,②釜工程入力!$S$5:$S$117,$J299,②釜工程入力!$I$5:$I$117,"&gt;0",②釜工程入力!$M$5:$M$117,"&gt;0")+SUMIFS(③スチコン工程入力!$I$5:$I$152,③スチコン工程入力!$S$5:$S$152,$J299,③スチコン工程入力!$I$5:$I$152,"&gt;0",③スチコン工程入力!$M$5:$M$152,"&gt;0")+SUMIFS(⑪ZEN工程入力!$I$6:$I$35,⑪ZEN工程入力!$S$6:$S$35,$J299,⑪ZEN工程入力!$I$6:$I$35,"&gt;0",⑪ZEN工程入力!$M$6:$M$35,"&gt;0")+SUMIFS(⑫ミキサー工程入力!$I$6:$I$65,⑫ミキサー工程入力!$S$6:$S$65,$J299,⑫ミキサー工程入力!$I$6:$I$65,"&gt;0",⑫ミキサー工程入力!$M$6:$M$65,"&gt;0")+SUMIFS(⑬計量工程入力!$I$6:$I$65,⑬計量工程入力!$S$6:$S$65,$J299,⑬計量工程入力!$I$6:$I$65,"&gt;0",⑬計量工程入力!$M$6:$M$65,"&gt;0")+SUMIFS(⑭手動工程入力!$I$6:$I$47,⑭手動工程入力!$S$6:$S$47,$J299,⑭手動工程入力!$I$6:$I$47,"&gt;0",⑭手動工程入力!$M$6:$M$47,"&gt;0"))</f>
        <v/>
      </c>
      <c r="N299" s="393">
        <f>IF($J299="",0,SUMIFS(②釜工程入力!$M$5:$M$117,②釜工程入力!$S$5:$S$117,$J299,②釜工程入力!$J$5:$J$117,"&gt;0")-SUMIFS(②釜工程入力!$M$5:$M$117,②釜工程入力!$S$5:$S$117,$J299,②釜工程入力!$J$5:$J$117,"&gt;0",②釜工程入力!$I$5:$I$117,"&gt;0")+SUMIFS(③スチコン工程入力!$M$5:$M$152,③スチコン工程入力!$S$5:$S$152,$J299,③スチコン工程入力!$J$5:$J$152,"&gt;0")-SUMIFS(③スチコン工程入力!$M$5:$M$152,③スチコン工程入力!$S$5:$S$152,$J299,③スチコン工程入力!$J$5:$J$152,"&gt;0",③スチコン工程入力!$I$5:$I$152,"&gt;0")+SUMIFS(⑪ZEN工程入力!$M$6:$M$35,⑪ZEN工程入力!$S$6:$S$35,$J299,⑪ZEN工程入力!$J$6:$J$35,"&gt;0")-SUMIFS(⑪ZEN工程入力!$M$6:$M$35,⑪ZEN工程入力!$S$6:$S$35,$J299,⑪ZEN工程入力!$J$6:$J$35,"&gt;0",⑪ZEN工程入力!$I$6:$I$35,"&gt;0")+SUMIFS(⑫ミキサー工程入力!$M$6:$M$65,⑫ミキサー工程入力!$S$6:$S$65,$J299,⑫ミキサー工程入力!$J$6:$J$65,"&gt;0")-SUMIFS(⑫ミキサー工程入力!$M$6:$M$65,⑫ミキサー工程入力!$S$6:$S$65,$J299,⑫ミキサー工程入力!$J$6:$J$65,"&gt;0",⑫ミキサー工程入力!$I$6:$I$65,"&gt;0")+SUMIFS(⑬計量工程入力!$M$6:$M$65,⑬計量工程入力!$S$6:$S$65,$J299,⑬計量工程入力!$J$6:$J$65,"&gt;0")-SUMIFS(⑬計量工程入力!$M$6:$M$65,⑬計量工程入力!$S$6:$S$65,$J299,⑬計量工程入力!$J$6:$J$65,"&gt;0",⑬計量工程入力!$I$6:$I$65,"&gt;0")+SUMIFS(⑭手動工程入力!$M$6:$M$47,⑭手動工程入力!$S$6:$S$47,$J299,⑭手動工程入力!$J$6:$J$47,"&gt;0")-SUMIFS(⑭手動工程入力!$M$6:$M$47,⑭手動工程入力!$S$6:$S$47,$J299,⑭手動工程入力!$J$6:$J$47,"&gt;0",⑭手動工程入力!$I$6:$I$47,"&gt;0"))</f>
        <v/>
      </c>
      <c r="O299" s="393">
        <f>IF($J299="",0,SUMIFS(②釜工程入力!$J$5:$J$117,②釜工程入力!$S$5:$S$117,$J299,②釜工程入力!$J$5:$J$117,"&gt;0",②釜工程入力!$M$5:$M$117,"&gt;0")-SUMIFS(②釜工程入力!$J$5:$J$117,②釜工程入力!$S$5:$S$117,$J299,②釜工程入力!$J$5:$J$117,"&gt;0",②釜工程入力!$I$5:$I$117,"&gt;0",②釜工程入力!$M$5:$M$117,"&gt;0")+SUMIFS(③スチコン工程入力!$J$5:$J$152,③スチコン工程入力!$S$5:$S$152,$J299,③スチコン工程入力!$J$5:$J$152,"&gt;0",③スチコン工程入力!$M$5:$M$152,"&gt;0")-SUMIFS(③スチコン工程入力!$J$5:$J$152,③スチコン工程入力!$S$5:$S$152,$J299,③スチコン工程入力!$J$5:$J$152,"&gt;0",③スチコン工程入力!$I$5:$I$152,"&gt;0",③スチコン工程入力!$M$5:$M$152,"&gt;0")+SUMIFS(⑪ZEN工程入力!$J$6:$J$35,⑪ZEN工程入力!$S$6:$S$35,$J299,⑪ZEN工程入力!$J$6:$J$35,"&gt;0",⑪ZEN工程入力!$M$6:$M$35,"&gt;0")-SUMIFS(⑪ZEN工程入力!$J$6:$J$35,⑪ZEN工程入力!$S$6:$S$35,$J299,⑪ZEN工程入力!$J$6:$J$35,"&gt;0",⑪ZEN工程入力!$I$6:$I$35,"&gt;0",⑪ZEN工程入力!$M$6:$M$35,"&gt;0")+SUMIFS(⑫ミキサー工程入力!$J$6:$J$65,⑫ミキサー工程入力!$S$6:$S$65,$J299,⑫ミキサー工程入力!$J$6:$J$65,"&gt;0",⑫ミキサー工程入力!$M$6:$M$65,"&gt;0")-SUMIFS(⑫ミキサー工程入力!$J$6:$J$65,⑫ミキサー工程入力!$S$6:$S$65,$J299,⑫ミキサー工程入力!$J$6:$J$65,"&gt;0",⑫ミキサー工程入力!$I$6:$I$65,"&gt;0",⑫ミキサー工程入力!$M$6:$M$65,"&gt;0")+SUMIFS(⑬計量工程入力!$J$6:$J$65,⑬計量工程入力!$S$6:$S$65,$J299,⑬計量工程入力!$J$6:$J$65,"&gt;0",⑬計量工程入力!$M$6:$M$65,"&gt;0")-SUMIFS(⑬計量工程入力!$J$6:$J$65,⑬計量工程入力!$S$6:$S$65,$J299,⑬計量工程入力!$J$6:$J$65,"&gt;0",⑬計量工程入力!$I$6:$I$65,"&gt;0",⑬計量工程入力!$M$6:$M$65,"&gt;0")+SUMIFS(⑭手動工程入力!$J$6:$J$47,⑭手動工程入力!$S$6:$S$47,$J299,⑭手動工程入力!$J$6:$J$47,"&gt;0",⑭手動工程入力!$M$6:$M$47,"&gt;0")-SUMIFS(⑭手動工程入力!$J$6:$J$47,⑭手動工程入力!$S$6:$S$47,$J299,⑭手動工程入力!$J$6:$J$47,"&gt;0",⑭手動工程入力!$I$6:$I$47,"&gt;0",⑭手動工程入力!$M$6:$M$47,"&gt;0"))</f>
        <v/>
      </c>
      <c r="P299" s="392" t="n"/>
    </row>
    <row r="300">
      <c r="A300" s="392" t="n">
        <v>296</v>
      </c>
      <c r="B300" s="392" t="n"/>
      <c r="C300" s="392" t="n"/>
      <c r="D300" s="392" t="n"/>
      <c r="E300" s="392" t="n"/>
      <c r="F300" s="394" t="n"/>
      <c r="G300" s="392" t="n"/>
      <c r="H300" s="604">
        <f>IFERROR(IF(AND($K300&gt;0,ISNUMBER(IF(OR($D300="g",$D300="ｇ"),IF($M300&gt;0,$L300/$M300/1000,""),IF($D300="kg",IF($M300&gt;0,$L300/$M300,""),IF($D300="",IF($M300&gt;0,$L300/$M300/1000,IF($O300&gt;0,$N300/$O300,"")),IF($O300&gt;0,$N300/$O300,"")))))),IF(OR($D300="g",$D300="ｇ"),IF($M300&gt;0,$L300/$M300/1000,""),IF($D300="kg",IF($M300&gt;0,$L300/$M300,""),IF($D300="",IF($M300&gt;0,$L300/$M300/1000,IF($O300&gt;0,$N300/$O300,"")),IF($O300&gt;0,$N300/$O300,"")))),IF($F300="",IF(OR($E300="",$E300="⑩盛付梱包工程入力"),"",IF(OR($D300="g",$D300="ｇ"),INDEX(⑰工程労務費一覧!$N$5:$N$11,MATCH($E300,⑰工程労務費一覧!$K$5:$K$11,0))/1000,IF($D300="kg",INDEX(⑰工程労務費一覧!$N$5:$N$11,MATCH($E300,⑰工程労務費一覧!$K$5:$K$11,0)),IF(OR($D300="個",$D300="切",$D300="本",$D300="枚",$D300="尾"),IF($E300="⑬計量工程入力","",INDEX(⑰工程労務費一覧!$P$5:$P$11,MATCH($E300,⑰工程労務費一覧!$K$5:$K$11,0))),IF(AND($D300="",OR($E300="②釜工程入力",$E300="③スチコン工程入力")),INDEX(⑰工程労務費一覧!$N$5:$N$11,MATCH($E300,⑰工程労務費一覧!$K$5:$K$11,0))/1000,""))))),IF(OR($D300="g",$D300="ｇ"),INDEX(⑰工程労務費一覧!$H$5:$H$753,MATCH($F300,⑰工程労務費一覧!$D$5:$D$753,0))/1000,IF($D300="kg",INDEX(⑰工程労務費一覧!$H$5:$H$753,MATCH($F300,⑰工程労務費一覧!$D$5:$D$753,0)),INDEX(⑰工程労務費一覧!$I$5:$I$753,MATCH($F300,⑰工程労務費一覧!$D$5:$D$753,0)))))),"")</f>
        <v/>
      </c>
      <c r="I300" s="392">
        <f>IF($K300&gt;0,IF(ISNUMBER(IF(OR($D300="g",$D300="ｇ"),IF($M300&gt;0,$L300/$M300/1000,""),IF($D300="kg",IF($M300&gt;0,$L300/$M300,""),IF($D300="",IF($M300&gt;0,$L300/$M300/1000,IF($O300&gt;0,$N300/$O300,"")),IF($O300&gt;0,$N300/$O300,""))))),IF($D300="",IF($M300&gt;0,"◎ JAN紐づけ(g扱い)","◎ JAN紐づけ(個扱い)"),"◎ JAN紐づけ"),"△ JAN紐づけ済・実績不足→仮計算"),IF($F300="",IF(ISNUMBER($H300),IF($D300="","⑤ 工程平均で仮計算(g扱い)","⑤ 工程平均で仮計算"),IF($E300="⑩盛付梱包工程入力","⑥ 盛り込み(⑳F列で計上)",IF(AND($E300="⑬計量工程入力",OR($D300="個",$D300="切",$D300="本",$D300="枚",$D300="尾")),"① 未紐づけ(カット個単位は仮単価なし)","① 未紐づけ"))),IF(NOT(ISNUMBER($H300)),"② 工程側に単価なし",IF($D300="","③ 単位未設定(個で計算)","④ OK"))))</f>
        <v/>
      </c>
      <c r="J300" s="399">
        <f>IFERROR(LOOKUP(2,1/((中間品リスト!$F$2:$F$1299=$B300)*(中間品リスト!$E$2:$E$1299&lt;&gt;"-")*(中間品リスト!$E$2:$E$1299&lt;&gt;"")),中間品リスト!$E$2:$E$1299),"")</f>
        <v/>
      </c>
      <c r="K300" s="400">
        <f>IF($J300="",0,COUNTIF(②釜工程入力!$S$5:$S$117,$J300)+COUNTIF(③スチコン工程入力!$S$5:$S$152,$J300)+COUNTIF(⑪ZEN工程入力!$S$6:$S$35,$J300)+COUNTIF(⑫ミキサー工程入力!$S$6:$S$65,$J300)+COUNTIF(⑬計量工程入力!$S$6:$S$65,$J300)+COUNTIF(⑭手動工程入力!$S$6:$S$47,$J300))</f>
        <v/>
      </c>
      <c r="L300" s="393">
        <f>IF($J300="",0,SUMIFS(②釜工程入力!$M$5:$M$117,②釜工程入力!$S$5:$S$117,$J300,②釜工程入力!$I$5:$I$117,"&gt;0")+SUMIFS(③スチコン工程入力!$M$5:$M$152,③スチコン工程入力!$S$5:$S$152,$J300,③スチコン工程入力!$I$5:$I$152,"&gt;0")+SUMIFS(⑪ZEN工程入力!$M$6:$M$35,⑪ZEN工程入力!$S$6:$S$35,$J300,⑪ZEN工程入力!$I$6:$I$35,"&gt;0")+SUMIFS(⑫ミキサー工程入力!$M$6:$M$65,⑫ミキサー工程入力!$S$6:$S$65,$J300,⑫ミキサー工程入力!$I$6:$I$65,"&gt;0")+SUMIFS(⑬計量工程入力!$M$6:$M$65,⑬計量工程入力!$S$6:$S$65,$J300,⑬計量工程入力!$I$6:$I$65,"&gt;0")+SUMIFS(⑭手動工程入力!$M$6:$M$47,⑭手動工程入力!$S$6:$S$47,$J300,⑭手動工程入力!$I$6:$I$47,"&gt;0"))</f>
        <v/>
      </c>
      <c r="M300" s="393">
        <f>IF($J300="",0,SUMIFS(②釜工程入力!$I$5:$I$117,②釜工程入力!$S$5:$S$117,$J300,②釜工程入力!$I$5:$I$117,"&gt;0",②釜工程入力!$M$5:$M$117,"&gt;0")+SUMIFS(③スチコン工程入力!$I$5:$I$152,③スチコン工程入力!$S$5:$S$152,$J300,③スチコン工程入力!$I$5:$I$152,"&gt;0",③スチコン工程入力!$M$5:$M$152,"&gt;0")+SUMIFS(⑪ZEN工程入力!$I$6:$I$35,⑪ZEN工程入力!$S$6:$S$35,$J300,⑪ZEN工程入力!$I$6:$I$35,"&gt;0",⑪ZEN工程入力!$M$6:$M$35,"&gt;0")+SUMIFS(⑫ミキサー工程入力!$I$6:$I$65,⑫ミキサー工程入力!$S$6:$S$65,$J300,⑫ミキサー工程入力!$I$6:$I$65,"&gt;0",⑫ミキサー工程入力!$M$6:$M$65,"&gt;0")+SUMIFS(⑬計量工程入力!$I$6:$I$65,⑬計量工程入力!$S$6:$S$65,$J300,⑬計量工程入力!$I$6:$I$65,"&gt;0",⑬計量工程入力!$M$6:$M$65,"&gt;0")+SUMIFS(⑭手動工程入力!$I$6:$I$47,⑭手動工程入力!$S$6:$S$47,$J300,⑭手動工程入力!$I$6:$I$47,"&gt;0",⑭手動工程入力!$M$6:$M$47,"&gt;0"))</f>
        <v/>
      </c>
      <c r="N300" s="393">
        <f>IF($J300="",0,SUMIFS(②釜工程入力!$M$5:$M$117,②釜工程入力!$S$5:$S$117,$J300,②釜工程入力!$J$5:$J$117,"&gt;0")-SUMIFS(②釜工程入力!$M$5:$M$117,②釜工程入力!$S$5:$S$117,$J300,②釜工程入力!$J$5:$J$117,"&gt;0",②釜工程入力!$I$5:$I$117,"&gt;0")+SUMIFS(③スチコン工程入力!$M$5:$M$152,③スチコン工程入力!$S$5:$S$152,$J300,③スチコン工程入力!$J$5:$J$152,"&gt;0")-SUMIFS(③スチコン工程入力!$M$5:$M$152,③スチコン工程入力!$S$5:$S$152,$J300,③スチコン工程入力!$J$5:$J$152,"&gt;0",③スチコン工程入力!$I$5:$I$152,"&gt;0")+SUMIFS(⑪ZEN工程入力!$M$6:$M$35,⑪ZEN工程入力!$S$6:$S$35,$J300,⑪ZEN工程入力!$J$6:$J$35,"&gt;0")-SUMIFS(⑪ZEN工程入力!$M$6:$M$35,⑪ZEN工程入力!$S$6:$S$35,$J300,⑪ZEN工程入力!$J$6:$J$35,"&gt;0",⑪ZEN工程入力!$I$6:$I$35,"&gt;0")+SUMIFS(⑫ミキサー工程入力!$M$6:$M$65,⑫ミキサー工程入力!$S$6:$S$65,$J300,⑫ミキサー工程入力!$J$6:$J$65,"&gt;0")-SUMIFS(⑫ミキサー工程入力!$M$6:$M$65,⑫ミキサー工程入力!$S$6:$S$65,$J300,⑫ミキサー工程入力!$J$6:$J$65,"&gt;0",⑫ミキサー工程入力!$I$6:$I$65,"&gt;0")+SUMIFS(⑬計量工程入力!$M$6:$M$65,⑬計量工程入力!$S$6:$S$65,$J300,⑬計量工程入力!$J$6:$J$65,"&gt;0")-SUMIFS(⑬計量工程入力!$M$6:$M$65,⑬計量工程入力!$S$6:$S$65,$J300,⑬計量工程入力!$J$6:$J$65,"&gt;0",⑬計量工程入力!$I$6:$I$65,"&gt;0")+SUMIFS(⑭手動工程入力!$M$6:$M$47,⑭手動工程入力!$S$6:$S$47,$J300,⑭手動工程入力!$J$6:$J$47,"&gt;0")-SUMIFS(⑭手動工程入力!$M$6:$M$47,⑭手動工程入力!$S$6:$S$47,$J300,⑭手動工程入力!$J$6:$J$47,"&gt;0",⑭手動工程入力!$I$6:$I$47,"&gt;0"))</f>
        <v/>
      </c>
      <c r="O300" s="393">
        <f>IF($J300="",0,SUMIFS(②釜工程入力!$J$5:$J$117,②釜工程入力!$S$5:$S$117,$J300,②釜工程入力!$J$5:$J$117,"&gt;0",②釜工程入力!$M$5:$M$117,"&gt;0")-SUMIFS(②釜工程入力!$J$5:$J$117,②釜工程入力!$S$5:$S$117,$J300,②釜工程入力!$J$5:$J$117,"&gt;0",②釜工程入力!$I$5:$I$117,"&gt;0",②釜工程入力!$M$5:$M$117,"&gt;0")+SUMIFS(③スチコン工程入力!$J$5:$J$152,③スチコン工程入力!$S$5:$S$152,$J300,③スチコン工程入力!$J$5:$J$152,"&gt;0",③スチコン工程入力!$M$5:$M$152,"&gt;0")-SUMIFS(③スチコン工程入力!$J$5:$J$152,③スチコン工程入力!$S$5:$S$152,$J300,③スチコン工程入力!$J$5:$J$152,"&gt;0",③スチコン工程入力!$I$5:$I$152,"&gt;0",③スチコン工程入力!$M$5:$M$152,"&gt;0")+SUMIFS(⑪ZEN工程入力!$J$6:$J$35,⑪ZEN工程入力!$S$6:$S$35,$J300,⑪ZEN工程入力!$J$6:$J$35,"&gt;0",⑪ZEN工程入力!$M$6:$M$35,"&gt;0")-SUMIFS(⑪ZEN工程入力!$J$6:$J$35,⑪ZEN工程入力!$S$6:$S$35,$J300,⑪ZEN工程入力!$J$6:$J$35,"&gt;0",⑪ZEN工程入力!$I$6:$I$35,"&gt;0",⑪ZEN工程入力!$M$6:$M$35,"&gt;0")+SUMIFS(⑫ミキサー工程入力!$J$6:$J$65,⑫ミキサー工程入力!$S$6:$S$65,$J300,⑫ミキサー工程入力!$J$6:$J$65,"&gt;0",⑫ミキサー工程入力!$M$6:$M$65,"&gt;0")-SUMIFS(⑫ミキサー工程入力!$J$6:$J$65,⑫ミキサー工程入力!$S$6:$S$65,$J300,⑫ミキサー工程入力!$J$6:$J$65,"&gt;0",⑫ミキサー工程入力!$I$6:$I$65,"&gt;0",⑫ミキサー工程入力!$M$6:$M$65,"&gt;0")+SUMIFS(⑬計量工程入力!$J$6:$J$65,⑬計量工程入力!$S$6:$S$65,$J300,⑬計量工程入力!$J$6:$J$65,"&gt;0",⑬計量工程入力!$M$6:$M$65,"&gt;0")-SUMIFS(⑬計量工程入力!$J$6:$J$65,⑬計量工程入力!$S$6:$S$65,$J300,⑬計量工程入力!$J$6:$J$65,"&gt;0",⑬計量工程入力!$I$6:$I$65,"&gt;0",⑬計量工程入力!$M$6:$M$65,"&gt;0")+SUMIFS(⑭手動工程入力!$J$6:$J$47,⑭手動工程入力!$S$6:$S$47,$J300,⑭手動工程入力!$J$6:$J$47,"&gt;0",⑭手動工程入力!$M$6:$M$47,"&gt;0")-SUMIFS(⑭手動工程入力!$J$6:$J$47,⑭手動工程入力!$S$6:$S$47,$J300,⑭手動工程入力!$J$6:$J$47,"&gt;0",⑭手動工程入力!$I$6:$I$47,"&gt;0",⑭手動工程入力!$M$6:$M$47,"&gt;0"))</f>
        <v/>
      </c>
      <c r="P300" s="392" t="n"/>
    </row>
    <row r="301">
      <c r="A301" s="392" t="n">
        <v>297</v>
      </c>
      <c r="B301" s="392" t="n"/>
      <c r="C301" s="392" t="n"/>
      <c r="D301" s="392" t="n"/>
      <c r="E301" s="392" t="n"/>
      <c r="F301" s="394" t="n"/>
      <c r="G301" s="392" t="n"/>
      <c r="H301" s="604">
        <f>IFERROR(IF(AND($K301&gt;0,ISNUMBER(IF(OR($D301="g",$D301="ｇ"),IF($M301&gt;0,$L301/$M301/1000,""),IF($D301="kg",IF($M301&gt;0,$L301/$M301,""),IF($D301="",IF($M301&gt;0,$L301/$M301/1000,IF($O301&gt;0,$N301/$O301,"")),IF($O301&gt;0,$N301/$O301,"")))))),IF(OR($D301="g",$D301="ｇ"),IF($M301&gt;0,$L301/$M301/1000,""),IF($D301="kg",IF($M301&gt;0,$L301/$M301,""),IF($D301="",IF($M301&gt;0,$L301/$M301/1000,IF($O301&gt;0,$N301/$O301,"")),IF($O301&gt;0,$N301/$O301,"")))),IF($F301="",IF(OR($E301="",$E301="⑩盛付梱包工程入力"),"",IF(OR($D301="g",$D301="ｇ"),INDEX(⑰工程労務費一覧!$N$5:$N$11,MATCH($E301,⑰工程労務費一覧!$K$5:$K$11,0))/1000,IF($D301="kg",INDEX(⑰工程労務費一覧!$N$5:$N$11,MATCH($E301,⑰工程労務費一覧!$K$5:$K$11,0)),IF(OR($D301="個",$D301="切",$D301="本",$D301="枚",$D301="尾"),IF($E301="⑬計量工程入力","",INDEX(⑰工程労務費一覧!$P$5:$P$11,MATCH($E301,⑰工程労務費一覧!$K$5:$K$11,0))),IF(AND($D301="",OR($E301="②釜工程入力",$E301="③スチコン工程入力")),INDEX(⑰工程労務費一覧!$N$5:$N$11,MATCH($E301,⑰工程労務費一覧!$K$5:$K$11,0))/1000,""))))),IF(OR($D301="g",$D301="ｇ"),INDEX(⑰工程労務費一覧!$H$5:$H$753,MATCH($F301,⑰工程労務費一覧!$D$5:$D$753,0))/1000,IF($D301="kg",INDEX(⑰工程労務費一覧!$H$5:$H$753,MATCH($F301,⑰工程労務費一覧!$D$5:$D$753,0)),INDEX(⑰工程労務費一覧!$I$5:$I$753,MATCH($F301,⑰工程労務費一覧!$D$5:$D$753,0)))))),"")</f>
        <v/>
      </c>
      <c r="I301" s="392">
        <f>IF($K301&gt;0,IF(ISNUMBER(IF(OR($D301="g",$D301="ｇ"),IF($M301&gt;0,$L301/$M301/1000,""),IF($D301="kg",IF($M301&gt;0,$L301/$M301,""),IF($D301="",IF($M301&gt;0,$L301/$M301/1000,IF($O301&gt;0,$N301/$O301,"")),IF($O301&gt;0,$N301/$O301,""))))),IF($D301="",IF($M301&gt;0,"◎ JAN紐づけ(g扱い)","◎ JAN紐づけ(個扱い)"),"◎ JAN紐づけ"),"△ JAN紐づけ済・実績不足→仮計算"),IF($F301="",IF(ISNUMBER($H301),IF($D301="","⑤ 工程平均で仮計算(g扱い)","⑤ 工程平均で仮計算"),IF($E301="⑩盛付梱包工程入力","⑥ 盛り込み(⑳F列で計上)",IF(AND($E301="⑬計量工程入力",OR($D301="個",$D301="切",$D301="本",$D301="枚",$D301="尾")),"① 未紐づけ(カット個単位は仮単価なし)","① 未紐づけ"))),IF(NOT(ISNUMBER($H301)),"② 工程側に単価なし",IF($D301="","③ 単位未設定(個で計算)","④ OK"))))</f>
        <v/>
      </c>
      <c r="J301" s="399">
        <f>IFERROR(LOOKUP(2,1/((中間品リスト!$F$2:$F$1299=$B301)*(中間品リスト!$E$2:$E$1299&lt;&gt;"-")*(中間品リスト!$E$2:$E$1299&lt;&gt;"")),中間品リスト!$E$2:$E$1299),"")</f>
        <v/>
      </c>
      <c r="K301" s="400">
        <f>IF($J301="",0,COUNTIF(②釜工程入力!$S$5:$S$117,$J301)+COUNTIF(③スチコン工程入力!$S$5:$S$152,$J301)+COUNTIF(⑪ZEN工程入力!$S$6:$S$35,$J301)+COUNTIF(⑫ミキサー工程入力!$S$6:$S$65,$J301)+COUNTIF(⑬計量工程入力!$S$6:$S$65,$J301)+COUNTIF(⑭手動工程入力!$S$6:$S$47,$J301))</f>
        <v/>
      </c>
      <c r="L301" s="393">
        <f>IF($J301="",0,SUMIFS(②釜工程入力!$M$5:$M$117,②釜工程入力!$S$5:$S$117,$J301,②釜工程入力!$I$5:$I$117,"&gt;0")+SUMIFS(③スチコン工程入力!$M$5:$M$152,③スチコン工程入力!$S$5:$S$152,$J301,③スチコン工程入力!$I$5:$I$152,"&gt;0")+SUMIFS(⑪ZEN工程入力!$M$6:$M$35,⑪ZEN工程入力!$S$6:$S$35,$J301,⑪ZEN工程入力!$I$6:$I$35,"&gt;0")+SUMIFS(⑫ミキサー工程入力!$M$6:$M$65,⑫ミキサー工程入力!$S$6:$S$65,$J301,⑫ミキサー工程入力!$I$6:$I$65,"&gt;0")+SUMIFS(⑬計量工程入力!$M$6:$M$65,⑬計量工程入力!$S$6:$S$65,$J301,⑬計量工程入力!$I$6:$I$65,"&gt;0")+SUMIFS(⑭手動工程入力!$M$6:$M$47,⑭手動工程入力!$S$6:$S$47,$J301,⑭手動工程入力!$I$6:$I$47,"&gt;0"))</f>
        <v/>
      </c>
      <c r="M301" s="393">
        <f>IF($J301="",0,SUMIFS(②釜工程入力!$I$5:$I$117,②釜工程入力!$S$5:$S$117,$J301,②釜工程入力!$I$5:$I$117,"&gt;0",②釜工程入力!$M$5:$M$117,"&gt;0")+SUMIFS(③スチコン工程入力!$I$5:$I$152,③スチコン工程入力!$S$5:$S$152,$J301,③スチコン工程入力!$I$5:$I$152,"&gt;0",③スチコン工程入力!$M$5:$M$152,"&gt;0")+SUMIFS(⑪ZEN工程入力!$I$6:$I$35,⑪ZEN工程入力!$S$6:$S$35,$J301,⑪ZEN工程入力!$I$6:$I$35,"&gt;0",⑪ZEN工程入力!$M$6:$M$35,"&gt;0")+SUMIFS(⑫ミキサー工程入力!$I$6:$I$65,⑫ミキサー工程入力!$S$6:$S$65,$J301,⑫ミキサー工程入力!$I$6:$I$65,"&gt;0",⑫ミキサー工程入力!$M$6:$M$65,"&gt;0")+SUMIFS(⑬計量工程入力!$I$6:$I$65,⑬計量工程入力!$S$6:$S$65,$J301,⑬計量工程入力!$I$6:$I$65,"&gt;0",⑬計量工程入力!$M$6:$M$65,"&gt;0")+SUMIFS(⑭手動工程入力!$I$6:$I$47,⑭手動工程入力!$S$6:$S$47,$J301,⑭手動工程入力!$I$6:$I$47,"&gt;0",⑭手動工程入力!$M$6:$M$47,"&gt;0"))</f>
        <v/>
      </c>
      <c r="N301" s="393">
        <f>IF($J301="",0,SUMIFS(②釜工程入力!$M$5:$M$117,②釜工程入力!$S$5:$S$117,$J301,②釜工程入力!$J$5:$J$117,"&gt;0")-SUMIFS(②釜工程入力!$M$5:$M$117,②釜工程入力!$S$5:$S$117,$J301,②釜工程入力!$J$5:$J$117,"&gt;0",②釜工程入力!$I$5:$I$117,"&gt;0")+SUMIFS(③スチコン工程入力!$M$5:$M$152,③スチコン工程入力!$S$5:$S$152,$J301,③スチコン工程入力!$J$5:$J$152,"&gt;0")-SUMIFS(③スチコン工程入力!$M$5:$M$152,③スチコン工程入力!$S$5:$S$152,$J301,③スチコン工程入力!$J$5:$J$152,"&gt;0",③スチコン工程入力!$I$5:$I$152,"&gt;0")+SUMIFS(⑪ZEN工程入力!$M$6:$M$35,⑪ZEN工程入力!$S$6:$S$35,$J301,⑪ZEN工程入力!$J$6:$J$35,"&gt;0")-SUMIFS(⑪ZEN工程入力!$M$6:$M$35,⑪ZEN工程入力!$S$6:$S$35,$J301,⑪ZEN工程入力!$J$6:$J$35,"&gt;0",⑪ZEN工程入力!$I$6:$I$35,"&gt;0")+SUMIFS(⑫ミキサー工程入力!$M$6:$M$65,⑫ミキサー工程入力!$S$6:$S$65,$J301,⑫ミキサー工程入力!$J$6:$J$65,"&gt;0")-SUMIFS(⑫ミキサー工程入力!$M$6:$M$65,⑫ミキサー工程入力!$S$6:$S$65,$J301,⑫ミキサー工程入力!$J$6:$J$65,"&gt;0",⑫ミキサー工程入力!$I$6:$I$65,"&gt;0")+SUMIFS(⑬計量工程入力!$M$6:$M$65,⑬計量工程入力!$S$6:$S$65,$J301,⑬計量工程入力!$J$6:$J$65,"&gt;0")-SUMIFS(⑬計量工程入力!$M$6:$M$65,⑬計量工程入力!$S$6:$S$65,$J301,⑬計量工程入力!$J$6:$J$65,"&gt;0",⑬計量工程入力!$I$6:$I$65,"&gt;0")+SUMIFS(⑭手動工程入力!$M$6:$M$47,⑭手動工程入力!$S$6:$S$47,$J301,⑭手動工程入力!$J$6:$J$47,"&gt;0")-SUMIFS(⑭手動工程入力!$M$6:$M$47,⑭手動工程入力!$S$6:$S$47,$J301,⑭手動工程入力!$J$6:$J$47,"&gt;0",⑭手動工程入力!$I$6:$I$47,"&gt;0"))</f>
        <v/>
      </c>
      <c r="O301" s="393">
        <f>IF($J301="",0,SUMIFS(②釜工程入力!$J$5:$J$117,②釜工程入力!$S$5:$S$117,$J301,②釜工程入力!$J$5:$J$117,"&gt;0",②釜工程入力!$M$5:$M$117,"&gt;0")-SUMIFS(②釜工程入力!$J$5:$J$117,②釜工程入力!$S$5:$S$117,$J301,②釜工程入力!$J$5:$J$117,"&gt;0",②釜工程入力!$I$5:$I$117,"&gt;0",②釜工程入力!$M$5:$M$117,"&gt;0")+SUMIFS(③スチコン工程入力!$J$5:$J$152,③スチコン工程入力!$S$5:$S$152,$J301,③スチコン工程入力!$J$5:$J$152,"&gt;0",③スチコン工程入力!$M$5:$M$152,"&gt;0")-SUMIFS(③スチコン工程入力!$J$5:$J$152,③スチコン工程入力!$S$5:$S$152,$J301,③スチコン工程入力!$J$5:$J$152,"&gt;0",③スチコン工程入力!$I$5:$I$152,"&gt;0",③スチコン工程入力!$M$5:$M$152,"&gt;0")+SUMIFS(⑪ZEN工程入力!$J$6:$J$35,⑪ZEN工程入力!$S$6:$S$35,$J301,⑪ZEN工程入力!$J$6:$J$35,"&gt;0",⑪ZEN工程入力!$M$6:$M$35,"&gt;0")-SUMIFS(⑪ZEN工程入力!$J$6:$J$35,⑪ZEN工程入力!$S$6:$S$35,$J301,⑪ZEN工程入力!$J$6:$J$35,"&gt;0",⑪ZEN工程入力!$I$6:$I$35,"&gt;0",⑪ZEN工程入力!$M$6:$M$35,"&gt;0")+SUMIFS(⑫ミキサー工程入力!$J$6:$J$65,⑫ミキサー工程入力!$S$6:$S$65,$J301,⑫ミキサー工程入力!$J$6:$J$65,"&gt;0",⑫ミキサー工程入力!$M$6:$M$65,"&gt;0")-SUMIFS(⑫ミキサー工程入力!$J$6:$J$65,⑫ミキサー工程入力!$S$6:$S$65,$J301,⑫ミキサー工程入力!$J$6:$J$65,"&gt;0",⑫ミキサー工程入力!$I$6:$I$65,"&gt;0",⑫ミキサー工程入力!$M$6:$M$65,"&gt;0")+SUMIFS(⑬計量工程入力!$J$6:$J$65,⑬計量工程入力!$S$6:$S$65,$J301,⑬計量工程入力!$J$6:$J$65,"&gt;0",⑬計量工程入力!$M$6:$M$65,"&gt;0")-SUMIFS(⑬計量工程入力!$J$6:$J$65,⑬計量工程入力!$S$6:$S$65,$J301,⑬計量工程入力!$J$6:$J$65,"&gt;0",⑬計量工程入力!$I$6:$I$65,"&gt;0",⑬計量工程入力!$M$6:$M$65,"&gt;0")+SUMIFS(⑭手動工程入力!$J$6:$J$47,⑭手動工程入力!$S$6:$S$47,$J301,⑭手動工程入力!$J$6:$J$47,"&gt;0",⑭手動工程入力!$M$6:$M$47,"&gt;0")-SUMIFS(⑭手動工程入力!$J$6:$J$47,⑭手動工程入力!$S$6:$S$47,$J301,⑭手動工程入力!$J$6:$J$47,"&gt;0",⑭手動工程入力!$I$6:$I$47,"&gt;0",⑭手動工程入力!$M$6:$M$47,"&gt;0"))</f>
        <v/>
      </c>
      <c r="P301" s="392" t="n"/>
    </row>
    <row r="302">
      <c r="A302" s="392" t="n">
        <v>298</v>
      </c>
      <c r="B302" s="392" t="n"/>
      <c r="C302" s="392" t="n"/>
      <c r="D302" s="392" t="n"/>
      <c r="E302" s="392" t="n"/>
      <c r="F302" s="394" t="n"/>
      <c r="G302" s="392" t="n"/>
      <c r="H302" s="604">
        <f>IFERROR(IF(AND($K302&gt;0,ISNUMBER(IF(OR($D302="g",$D302="ｇ"),IF($M302&gt;0,$L302/$M302/1000,""),IF($D302="kg",IF($M302&gt;0,$L302/$M302,""),IF($D302="",IF($M302&gt;0,$L302/$M302/1000,IF($O302&gt;0,$N302/$O302,"")),IF($O302&gt;0,$N302/$O302,"")))))),IF(OR($D302="g",$D302="ｇ"),IF($M302&gt;0,$L302/$M302/1000,""),IF($D302="kg",IF($M302&gt;0,$L302/$M302,""),IF($D302="",IF($M302&gt;0,$L302/$M302/1000,IF($O302&gt;0,$N302/$O302,"")),IF($O302&gt;0,$N302/$O302,"")))),IF($F302="",IF(OR($E302="",$E302="⑩盛付梱包工程入力"),"",IF(OR($D302="g",$D302="ｇ"),INDEX(⑰工程労務費一覧!$N$5:$N$11,MATCH($E302,⑰工程労務費一覧!$K$5:$K$11,0))/1000,IF($D302="kg",INDEX(⑰工程労務費一覧!$N$5:$N$11,MATCH($E302,⑰工程労務費一覧!$K$5:$K$11,0)),IF(OR($D302="個",$D302="切",$D302="本",$D302="枚",$D302="尾"),IF($E302="⑬計量工程入力","",INDEX(⑰工程労務費一覧!$P$5:$P$11,MATCH($E302,⑰工程労務費一覧!$K$5:$K$11,0))),IF(AND($D302="",OR($E302="②釜工程入力",$E302="③スチコン工程入力")),INDEX(⑰工程労務費一覧!$N$5:$N$11,MATCH($E302,⑰工程労務費一覧!$K$5:$K$11,0))/1000,""))))),IF(OR($D302="g",$D302="ｇ"),INDEX(⑰工程労務費一覧!$H$5:$H$753,MATCH($F302,⑰工程労務費一覧!$D$5:$D$753,0))/1000,IF($D302="kg",INDEX(⑰工程労務費一覧!$H$5:$H$753,MATCH($F302,⑰工程労務費一覧!$D$5:$D$753,0)),INDEX(⑰工程労務費一覧!$I$5:$I$753,MATCH($F302,⑰工程労務費一覧!$D$5:$D$753,0)))))),"")</f>
        <v/>
      </c>
      <c r="I302" s="392">
        <f>IF($K302&gt;0,IF(ISNUMBER(IF(OR($D302="g",$D302="ｇ"),IF($M302&gt;0,$L302/$M302/1000,""),IF($D302="kg",IF($M302&gt;0,$L302/$M302,""),IF($D302="",IF($M302&gt;0,$L302/$M302/1000,IF($O302&gt;0,$N302/$O302,"")),IF($O302&gt;0,$N302/$O302,""))))),IF($D302="",IF($M302&gt;0,"◎ JAN紐づけ(g扱い)","◎ JAN紐づけ(個扱い)"),"◎ JAN紐づけ"),"△ JAN紐づけ済・実績不足→仮計算"),IF($F302="",IF(ISNUMBER($H302),IF($D302="","⑤ 工程平均で仮計算(g扱い)","⑤ 工程平均で仮計算"),IF($E302="⑩盛付梱包工程入力","⑥ 盛り込み(⑳F列で計上)",IF(AND($E302="⑬計量工程入力",OR($D302="個",$D302="切",$D302="本",$D302="枚",$D302="尾")),"① 未紐づけ(カット個単位は仮単価なし)","① 未紐づけ"))),IF(NOT(ISNUMBER($H302)),"② 工程側に単価なし",IF($D302="","③ 単位未設定(個で計算)","④ OK"))))</f>
        <v/>
      </c>
      <c r="J302" s="399">
        <f>IFERROR(LOOKUP(2,1/((中間品リスト!$F$2:$F$1299=$B302)*(中間品リスト!$E$2:$E$1299&lt;&gt;"-")*(中間品リスト!$E$2:$E$1299&lt;&gt;"")),中間品リスト!$E$2:$E$1299),"")</f>
        <v/>
      </c>
      <c r="K302" s="400">
        <f>IF($J302="",0,COUNTIF(②釜工程入力!$S$5:$S$117,$J302)+COUNTIF(③スチコン工程入力!$S$5:$S$152,$J302)+COUNTIF(⑪ZEN工程入力!$S$6:$S$35,$J302)+COUNTIF(⑫ミキサー工程入力!$S$6:$S$65,$J302)+COUNTIF(⑬計量工程入力!$S$6:$S$65,$J302)+COUNTIF(⑭手動工程入力!$S$6:$S$47,$J302))</f>
        <v/>
      </c>
      <c r="L302" s="393">
        <f>IF($J302="",0,SUMIFS(②釜工程入力!$M$5:$M$117,②釜工程入力!$S$5:$S$117,$J302,②釜工程入力!$I$5:$I$117,"&gt;0")+SUMIFS(③スチコン工程入力!$M$5:$M$152,③スチコン工程入力!$S$5:$S$152,$J302,③スチコン工程入力!$I$5:$I$152,"&gt;0")+SUMIFS(⑪ZEN工程入力!$M$6:$M$35,⑪ZEN工程入力!$S$6:$S$35,$J302,⑪ZEN工程入力!$I$6:$I$35,"&gt;0")+SUMIFS(⑫ミキサー工程入力!$M$6:$M$65,⑫ミキサー工程入力!$S$6:$S$65,$J302,⑫ミキサー工程入力!$I$6:$I$65,"&gt;0")+SUMIFS(⑬計量工程入力!$M$6:$M$65,⑬計量工程入力!$S$6:$S$65,$J302,⑬計量工程入力!$I$6:$I$65,"&gt;0")+SUMIFS(⑭手動工程入力!$M$6:$M$47,⑭手動工程入力!$S$6:$S$47,$J302,⑭手動工程入力!$I$6:$I$47,"&gt;0"))</f>
        <v/>
      </c>
      <c r="M302" s="393">
        <f>IF($J302="",0,SUMIFS(②釜工程入力!$I$5:$I$117,②釜工程入力!$S$5:$S$117,$J302,②釜工程入力!$I$5:$I$117,"&gt;0",②釜工程入力!$M$5:$M$117,"&gt;0")+SUMIFS(③スチコン工程入力!$I$5:$I$152,③スチコン工程入力!$S$5:$S$152,$J302,③スチコン工程入力!$I$5:$I$152,"&gt;0",③スチコン工程入力!$M$5:$M$152,"&gt;0")+SUMIFS(⑪ZEN工程入力!$I$6:$I$35,⑪ZEN工程入力!$S$6:$S$35,$J302,⑪ZEN工程入力!$I$6:$I$35,"&gt;0",⑪ZEN工程入力!$M$6:$M$35,"&gt;0")+SUMIFS(⑫ミキサー工程入力!$I$6:$I$65,⑫ミキサー工程入力!$S$6:$S$65,$J302,⑫ミキサー工程入力!$I$6:$I$65,"&gt;0",⑫ミキサー工程入力!$M$6:$M$65,"&gt;0")+SUMIFS(⑬計量工程入力!$I$6:$I$65,⑬計量工程入力!$S$6:$S$65,$J302,⑬計量工程入力!$I$6:$I$65,"&gt;0",⑬計量工程入力!$M$6:$M$65,"&gt;0")+SUMIFS(⑭手動工程入力!$I$6:$I$47,⑭手動工程入力!$S$6:$S$47,$J302,⑭手動工程入力!$I$6:$I$47,"&gt;0",⑭手動工程入力!$M$6:$M$47,"&gt;0"))</f>
        <v/>
      </c>
      <c r="N302" s="393">
        <f>IF($J302="",0,SUMIFS(②釜工程入力!$M$5:$M$117,②釜工程入力!$S$5:$S$117,$J302,②釜工程入力!$J$5:$J$117,"&gt;0")-SUMIFS(②釜工程入力!$M$5:$M$117,②釜工程入力!$S$5:$S$117,$J302,②釜工程入力!$J$5:$J$117,"&gt;0",②釜工程入力!$I$5:$I$117,"&gt;0")+SUMIFS(③スチコン工程入力!$M$5:$M$152,③スチコン工程入力!$S$5:$S$152,$J302,③スチコン工程入力!$J$5:$J$152,"&gt;0")-SUMIFS(③スチコン工程入力!$M$5:$M$152,③スチコン工程入力!$S$5:$S$152,$J302,③スチコン工程入力!$J$5:$J$152,"&gt;0",③スチコン工程入力!$I$5:$I$152,"&gt;0")+SUMIFS(⑪ZEN工程入力!$M$6:$M$35,⑪ZEN工程入力!$S$6:$S$35,$J302,⑪ZEN工程入力!$J$6:$J$35,"&gt;0")-SUMIFS(⑪ZEN工程入力!$M$6:$M$35,⑪ZEN工程入力!$S$6:$S$35,$J302,⑪ZEN工程入力!$J$6:$J$35,"&gt;0",⑪ZEN工程入力!$I$6:$I$35,"&gt;0")+SUMIFS(⑫ミキサー工程入力!$M$6:$M$65,⑫ミキサー工程入力!$S$6:$S$65,$J302,⑫ミキサー工程入力!$J$6:$J$65,"&gt;0")-SUMIFS(⑫ミキサー工程入力!$M$6:$M$65,⑫ミキサー工程入力!$S$6:$S$65,$J302,⑫ミキサー工程入力!$J$6:$J$65,"&gt;0",⑫ミキサー工程入力!$I$6:$I$65,"&gt;0")+SUMIFS(⑬計量工程入力!$M$6:$M$65,⑬計量工程入力!$S$6:$S$65,$J302,⑬計量工程入力!$J$6:$J$65,"&gt;0")-SUMIFS(⑬計量工程入力!$M$6:$M$65,⑬計量工程入力!$S$6:$S$65,$J302,⑬計量工程入力!$J$6:$J$65,"&gt;0",⑬計量工程入力!$I$6:$I$65,"&gt;0")+SUMIFS(⑭手動工程入力!$M$6:$M$47,⑭手動工程入力!$S$6:$S$47,$J302,⑭手動工程入力!$J$6:$J$47,"&gt;0")-SUMIFS(⑭手動工程入力!$M$6:$M$47,⑭手動工程入力!$S$6:$S$47,$J302,⑭手動工程入力!$J$6:$J$47,"&gt;0",⑭手動工程入力!$I$6:$I$47,"&gt;0"))</f>
        <v/>
      </c>
      <c r="O302" s="393">
        <f>IF($J302="",0,SUMIFS(②釜工程入力!$J$5:$J$117,②釜工程入力!$S$5:$S$117,$J302,②釜工程入力!$J$5:$J$117,"&gt;0",②釜工程入力!$M$5:$M$117,"&gt;0")-SUMIFS(②釜工程入力!$J$5:$J$117,②釜工程入力!$S$5:$S$117,$J302,②釜工程入力!$J$5:$J$117,"&gt;0",②釜工程入力!$I$5:$I$117,"&gt;0",②釜工程入力!$M$5:$M$117,"&gt;0")+SUMIFS(③スチコン工程入力!$J$5:$J$152,③スチコン工程入力!$S$5:$S$152,$J302,③スチコン工程入力!$J$5:$J$152,"&gt;0",③スチコン工程入力!$M$5:$M$152,"&gt;0")-SUMIFS(③スチコン工程入力!$J$5:$J$152,③スチコン工程入力!$S$5:$S$152,$J302,③スチコン工程入力!$J$5:$J$152,"&gt;0",③スチコン工程入力!$I$5:$I$152,"&gt;0",③スチコン工程入力!$M$5:$M$152,"&gt;0")+SUMIFS(⑪ZEN工程入力!$J$6:$J$35,⑪ZEN工程入力!$S$6:$S$35,$J302,⑪ZEN工程入力!$J$6:$J$35,"&gt;0",⑪ZEN工程入力!$M$6:$M$35,"&gt;0")-SUMIFS(⑪ZEN工程入力!$J$6:$J$35,⑪ZEN工程入力!$S$6:$S$35,$J302,⑪ZEN工程入力!$J$6:$J$35,"&gt;0",⑪ZEN工程入力!$I$6:$I$35,"&gt;0",⑪ZEN工程入力!$M$6:$M$35,"&gt;0")+SUMIFS(⑫ミキサー工程入力!$J$6:$J$65,⑫ミキサー工程入力!$S$6:$S$65,$J302,⑫ミキサー工程入力!$J$6:$J$65,"&gt;0",⑫ミキサー工程入力!$M$6:$M$65,"&gt;0")-SUMIFS(⑫ミキサー工程入力!$J$6:$J$65,⑫ミキサー工程入力!$S$6:$S$65,$J302,⑫ミキサー工程入力!$J$6:$J$65,"&gt;0",⑫ミキサー工程入力!$I$6:$I$65,"&gt;0",⑫ミキサー工程入力!$M$6:$M$65,"&gt;0")+SUMIFS(⑬計量工程入力!$J$6:$J$65,⑬計量工程入力!$S$6:$S$65,$J302,⑬計量工程入力!$J$6:$J$65,"&gt;0",⑬計量工程入力!$M$6:$M$65,"&gt;0")-SUMIFS(⑬計量工程入力!$J$6:$J$65,⑬計量工程入力!$S$6:$S$65,$J302,⑬計量工程入力!$J$6:$J$65,"&gt;0",⑬計量工程入力!$I$6:$I$65,"&gt;0",⑬計量工程入力!$M$6:$M$65,"&gt;0")+SUMIFS(⑭手動工程入力!$J$6:$J$47,⑭手動工程入力!$S$6:$S$47,$J302,⑭手動工程入力!$J$6:$J$47,"&gt;0",⑭手動工程入力!$M$6:$M$47,"&gt;0")-SUMIFS(⑭手動工程入力!$J$6:$J$47,⑭手動工程入力!$S$6:$S$47,$J302,⑭手動工程入力!$J$6:$J$47,"&gt;0",⑭手動工程入力!$I$6:$I$47,"&gt;0",⑭手動工程入力!$M$6:$M$47,"&gt;0"))</f>
        <v/>
      </c>
      <c r="P302" s="392" t="n"/>
    </row>
    <row r="303">
      <c r="A303" s="392" t="n">
        <v>299</v>
      </c>
      <c r="B303" s="392" t="n"/>
      <c r="C303" s="392" t="n"/>
      <c r="D303" s="392" t="n"/>
      <c r="E303" s="392" t="n"/>
      <c r="F303" s="394" t="n"/>
      <c r="G303" s="392" t="n"/>
      <c r="H303" s="604">
        <f>IFERROR(IF(AND($K303&gt;0,ISNUMBER(IF(OR($D303="g",$D303="ｇ"),IF($M303&gt;0,$L303/$M303/1000,""),IF($D303="kg",IF($M303&gt;0,$L303/$M303,""),IF($D303="",IF($M303&gt;0,$L303/$M303/1000,IF($O303&gt;0,$N303/$O303,"")),IF($O303&gt;0,$N303/$O303,"")))))),IF(OR($D303="g",$D303="ｇ"),IF($M303&gt;0,$L303/$M303/1000,""),IF($D303="kg",IF($M303&gt;0,$L303/$M303,""),IF($D303="",IF($M303&gt;0,$L303/$M303/1000,IF($O303&gt;0,$N303/$O303,"")),IF($O303&gt;0,$N303/$O303,"")))),IF($F303="",IF(OR($E303="",$E303="⑩盛付梱包工程入力"),"",IF(OR($D303="g",$D303="ｇ"),INDEX(⑰工程労務費一覧!$N$5:$N$11,MATCH($E303,⑰工程労務費一覧!$K$5:$K$11,0))/1000,IF($D303="kg",INDEX(⑰工程労務費一覧!$N$5:$N$11,MATCH($E303,⑰工程労務費一覧!$K$5:$K$11,0)),IF(OR($D303="個",$D303="切",$D303="本",$D303="枚",$D303="尾"),IF($E303="⑬計量工程入力","",INDEX(⑰工程労務費一覧!$P$5:$P$11,MATCH($E303,⑰工程労務費一覧!$K$5:$K$11,0))),IF(AND($D303="",OR($E303="②釜工程入力",$E303="③スチコン工程入力")),INDEX(⑰工程労務費一覧!$N$5:$N$11,MATCH($E303,⑰工程労務費一覧!$K$5:$K$11,0))/1000,""))))),IF(OR($D303="g",$D303="ｇ"),INDEX(⑰工程労務費一覧!$H$5:$H$753,MATCH($F303,⑰工程労務費一覧!$D$5:$D$753,0))/1000,IF($D303="kg",INDEX(⑰工程労務費一覧!$H$5:$H$753,MATCH($F303,⑰工程労務費一覧!$D$5:$D$753,0)),INDEX(⑰工程労務費一覧!$I$5:$I$753,MATCH($F303,⑰工程労務費一覧!$D$5:$D$753,0)))))),"")</f>
        <v/>
      </c>
      <c r="I303" s="392">
        <f>IF($K303&gt;0,IF(ISNUMBER(IF(OR($D303="g",$D303="ｇ"),IF($M303&gt;0,$L303/$M303/1000,""),IF($D303="kg",IF($M303&gt;0,$L303/$M303,""),IF($D303="",IF($M303&gt;0,$L303/$M303/1000,IF($O303&gt;0,$N303/$O303,"")),IF($O303&gt;0,$N303/$O303,""))))),IF($D303="",IF($M303&gt;0,"◎ JAN紐づけ(g扱い)","◎ JAN紐づけ(個扱い)"),"◎ JAN紐づけ"),"△ JAN紐づけ済・実績不足→仮計算"),IF($F303="",IF(ISNUMBER($H303),IF($D303="","⑤ 工程平均で仮計算(g扱い)","⑤ 工程平均で仮計算"),IF($E303="⑩盛付梱包工程入力","⑥ 盛り込み(⑳F列で計上)",IF(AND($E303="⑬計量工程入力",OR($D303="個",$D303="切",$D303="本",$D303="枚",$D303="尾")),"① 未紐づけ(カット個単位は仮単価なし)","① 未紐づけ"))),IF(NOT(ISNUMBER($H303)),"② 工程側に単価なし",IF($D303="","③ 単位未設定(個で計算)","④ OK"))))</f>
        <v/>
      </c>
      <c r="J303" s="399">
        <f>IFERROR(LOOKUP(2,1/((中間品リスト!$F$2:$F$1299=$B303)*(中間品リスト!$E$2:$E$1299&lt;&gt;"-")*(中間品リスト!$E$2:$E$1299&lt;&gt;"")),中間品リスト!$E$2:$E$1299),"")</f>
        <v/>
      </c>
      <c r="K303" s="400">
        <f>IF($J303="",0,COUNTIF(②釜工程入力!$S$5:$S$117,$J303)+COUNTIF(③スチコン工程入力!$S$5:$S$152,$J303)+COUNTIF(⑪ZEN工程入力!$S$6:$S$35,$J303)+COUNTIF(⑫ミキサー工程入力!$S$6:$S$65,$J303)+COUNTIF(⑬計量工程入力!$S$6:$S$65,$J303)+COUNTIF(⑭手動工程入力!$S$6:$S$47,$J303))</f>
        <v/>
      </c>
      <c r="L303" s="393">
        <f>IF($J303="",0,SUMIFS(②釜工程入力!$M$5:$M$117,②釜工程入力!$S$5:$S$117,$J303,②釜工程入力!$I$5:$I$117,"&gt;0")+SUMIFS(③スチコン工程入力!$M$5:$M$152,③スチコン工程入力!$S$5:$S$152,$J303,③スチコン工程入力!$I$5:$I$152,"&gt;0")+SUMIFS(⑪ZEN工程入力!$M$6:$M$35,⑪ZEN工程入力!$S$6:$S$35,$J303,⑪ZEN工程入力!$I$6:$I$35,"&gt;0")+SUMIFS(⑫ミキサー工程入力!$M$6:$M$65,⑫ミキサー工程入力!$S$6:$S$65,$J303,⑫ミキサー工程入力!$I$6:$I$65,"&gt;0")+SUMIFS(⑬計量工程入力!$M$6:$M$65,⑬計量工程入力!$S$6:$S$65,$J303,⑬計量工程入力!$I$6:$I$65,"&gt;0")+SUMIFS(⑭手動工程入力!$M$6:$M$47,⑭手動工程入力!$S$6:$S$47,$J303,⑭手動工程入力!$I$6:$I$47,"&gt;0"))</f>
        <v/>
      </c>
      <c r="M303" s="393">
        <f>IF($J303="",0,SUMIFS(②釜工程入力!$I$5:$I$117,②釜工程入力!$S$5:$S$117,$J303,②釜工程入力!$I$5:$I$117,"&gt;0",②釜工程入力!$M$5:$M$117,"&gt;0")+SUMIFS(③スチコン工程入力!$I$5:$I$152,③スチコン工程入力!$S$5:$S$152,$J303,③スチコン工程入力!$I$5:$I$152,"&gt;0",③スチコン工程入力!$M$5:$M$152,"&gt;0")+SUMIFS(⑪ZEN工程入力!$I$6:$I$35,⑪ZEN工程入力!$S$6:$S$35,$J303,⑪ZEN工程入力!$I$6:$I$35,"&gt;0",⑪ZEN工程入力!$M$6:$M$35,"&gt;0")+SUMIFS(⑫ミキサー工程入力!$I$6:$I$65,⑫ミキサー工程入力!$S$6:$S$65,$J303,⑫ミキサー工程入力!$I$6:$I$65,"&gt;0",⑫ミキサー工程入力!$M$6:$M$65,"&gt;0")+SUMIFS(⑬計量工程入力!$I$6:$I$65,⑬計量工程入力!$S$6:$S$65,$J303,⑬計量工程入力!$I$6:$I$65,"&gt;0",⑬計量工程入力!$M$6:$M$65,"&gt;0")+SUMIFS(⑭手動工程入力!$I$6:$I$47,⑭手動工程入力!$S$6:$S$47,$J303,⑭手動工程入力!$I$6:$I$47,"&gt;0",⑭手動工程入力!$M$6:$M$47,"&gt;0"))</f>
        <v/>
      </c>
      <c r="N303" s="393">
        <f>IF($J303="",0,SUMIFS(②釜工程入力!$M$5:$M$117,②釜工程入力!$S$5:$S$117,$J303,②釜工程入力!$J$5:$J$117,"&gt;0")-SUMIFS(②釜工程入力!$M$5:$M$117,②釜工程入力!$S$5:$S$117,$J303,②釜工程入力!$J$5:$J$117,"&gt;0",②釜工程入力!$I$5:$I$117,"&gt;0")+SUMIFS(③スチコン工程入力!$M$5:$M$152,③スチコン工程入力!$S$5:$S$152,$J303,③スチコン工程入力!$J$5:$J$152,"&gt;0")-SUMIFS(③スチコン工程入力!$M$5:$M$152,③スチコン工程入力!$S$5:$S$152,$J303,③スチコン工程入力!$J$5:$J$152,"&gt;0",③スチコン工程入力!$I$5:$I$152,"&gt;0")+SUMIFS(⑪ZEN工程入力!$M$6:$M$35,⑪ZEN工程入力!$S$6:$S$35,$J303,⑪ZEN工程入力!$J$6:$J$35,"&gt;0")-SUMIFS(⑪ZEN工程入力!$M$6:$M$35,⑪ZEN工程入力!$S$6:$S$35,$J303,⑪ZEN工程入力!$J$6:$J$35,"&gt;0",⑪ZEN工程入力!$I$6:$I$35,"&gt;0")+SUMIFS(⑫ミキサー工程入力!$M$6:$M$65,⑫ミキサー工程入力!$S$6:$S$65,$J303,⑫ミキサー工程入力!$J$6:$J$65,"&gt;0")-SUMIFS(⑫ミキサー工程入力!$M$6:$M$65,⑫ミキサー工程入力!$S$6:$S$65,$J303,⑫ミキサー工程入力!$J$6:$J$65,"&gt;0",⑫ミキサー工程入力!$I$6:$I$65,"&gt;0")+SUMIFS(⑬計量工程入力!$M$6:$M$65,⑬計量工程入力!$S$6:$S$65,$J303,⑬計量工程入力!$J$6:$J$65,"&gt;0")-SUMIFS(⑬計量工程入力!$M$6:$M$65,⑬計量工程入力!$S$6:$S$65,$J303,⑬計量工程入力!$J$6:$J$65,"&gt;0",⑬計量工程入力!$I$6:$I$65,"&gt;0")+SUMIFS(⑭手動工程入力!$M$6:$M$47,⑭手動工程入力!$S$6:$S$47,$J303,⑭手動工程入力!$J$6:$J$47,"&gt;0")-SUMIFS(⑭手動工程入力!$M$6:$M$47,⑭手動工程入力!$S$6:$S$47,$J303,⑭手動工程入力!$J$6:$J$47,"&gt;0",⑭手動工程入力!$I$6:$I$47,"&gt;0"))</f>
        <v/>
      </c>
      <c r="O303" s="393">
        <f>IF($J303="",0,SUMIFS(②釜工程入力!$J$5:$J$117,②釜工程入力!$S$5:$S$117,$J303,②釜工程入力!$J$5:$J$117,"&gt;0",②釜工程入力!$M$5:$M$117,"&gt;0")-SUMIFS(②釜工程入力!$J$5:$J$117,②釜工程入力!$S$5:$S$117,$J303,②釜工程入力!$J$5:$J$117,"&gt;0",②釜工程入力!$I$5:$I$117,"&gt;0",②釜工程入力!$M$5:$M$117,"&gt;0")+SUMIFS(③スチコン工程入力!$J$5:$J$152,③スチコン工程入力!$S$5:$S$152,$J303,③スチコン工程入力!$J$5:$J$152,"&gt;0",③スチコン工程入力!$M$5:$M$152,"&gt;0")-SUMIFS(③スチコン工程入力!$J$5:$J$152,③スチコン工程入力!$S$5:$S$152,$J303,③スチコン工程入力!$J$5:$J$152,"&gt;0",③スチコン工程入力!$I$5:$I$152,"&gt;0",③スチコン工程入力!$M$5:$M$152,"&gt;0")+SUMIFS(⑪ZEN工程入力!$J$6:$J$35,⑪ZEN工程入力!$S$6:$S$35,$J303,⑪ZEN工程入力!$J$6:$J$35,"&gt;0",⑪ZEN工程入力!$M$6:$M$35,"&gt;0")-SUMIFS(⑪ZEN工程入力!$J$6:$J$35,⑪ZEN工程入力!$S$6:$S$35,$J303,⑪ZEN工程入力!$J$6:$J$35,"&gt;0",⑪ZEN工程入力!$I$6:$I$35,"&gt;0",⑪ZEN工程入力!$M$6:$M$35,"&gt;0")+SUMIFS(⑫ミキサー工程入力!$J$6:$J$65,⑫ミキサー工程入力!$S$6:$S$65,$J303,⑫ミキサー工程入力!$J$6:$J$65,"&gt;0",⑫ミキサー工程入力!$M$6:$M$65,"&gt;0")-SUMIFS(⑫ミキサー工程入力!$J$6:$J$65,⑫ミキサー工程入力!$S$6:$S$65,$J303,⑫ミキサー工程入力!$J$6:$J$65,"&gt;0",⑫ミキサー工程入力!$I$6:$I$65,"&gt;0",⑫ミキサー工程入力!$M$6:$M$65,"&gt;0")+SUMIFS(⑬計量工程入力!$J$6:$J$65,⑬計量工程入力!$S$6:$S$65,$J303,⑬計量工程入力!$J$6:$J$65,"&gt;0",⑬計量工程入力!$M$6:$M$65,"&gt;0")-SUMIFS(⑬計量工程入力!$J$6:$J$65,⑬計量工程入力!$S$6:$S$65,$J303,⑬計量工程入力!$J$6:$J$65,"&gt;0",⑬計量工程入力!$I$6:$I$65,"&gt;0",⑬計量工程入力!$M$6:$M$65,"&gt;0")+SUMIFS(⑭手動工程入力!$J$6:$J$47,⑭手動工程入力!$S$6:$S$47,$J303,⑭手動工程入力!$J$6:$J$47,"&gt;0",⑭手動工程入力!$M$6:$M$47,"&gt;0")-SUMIFS(⑭手動工程入力!$J$6:$J$47,⑭手動工程入力!$S$6:$S$47,$J303,⑭手動工程入力!$J$6:$J$47,"&gt;0",⑭手動工程入力!$I$6:$I$47,"&gt;0",⑭手動工程入力!$M$6:$M$47,"&gt;0"))</f>
        <v/>
      </c>
      <c r="P303" s="392" t="n"/>
    </row>
    <row r="304">
      <c r="A304" s="392" t="n">
        <v>300</v>
      </c>
      <c r="B304" s="392" t="n"/>
      <c r="C304" s="392" t="n"/>
      <c r="D304" s="392" t="n"/>
      <c r="E304" s="392" t="n"/>
      <c r="F304" s="394" t="n"/>
      <c r="G304" s="392" t="n"/>
      <c r="H304" s="604">
        <f>IFERROR(IF(AND($K304&gt;0,ISNUMBER(IF(OR($D304="g",$D304="ｇ"),IF($M304&gt;0,$L304/$M304/1000,""),IF($D304="kg",IF($M304&gt;0,$L304/$M304,""),IF($D304="",IF($M304&gt;0,$L304/$M304/1000,IF($O304&gt;0,$N304/$O304,"")),IF($O304&gt;0,$N304/$O304,"")))))),IF(OR($D304="g",$D304="ｇ"),IF($M304&gt;0,$L304/$M304/1000,""),IF($D304="kg",IF($M304&gt;0,$L304/$M304,""),IF($D304="",IF($M304&gt;0,$L304/$M304/1000,IF($O304&gt;0,$N304/$O304,"")),IF($O304&gt;0,$N304/$O304,"")))),IF($F304="",IF(OR($E304="",$E304="⑩盛付梱包工程入力"),"",IF(OR($D304="g",$D304="ｇ"),INDEX(⑰工程労務費一覧!$N$5:$N$11,MATCH($E304,⑰工程労務費一覧!$K$5:$K$11,0))/1000,IF($D304="kg",INDEX(⑰工程労務費一覧!$N$5:$N$11,MATCH($E304,⑰工程労務費一覧!$K$5:$K$11,0)),IF(OR($D304="個",$D304="切",$D304="本",$D304="枚",$D304="尾"),IF($E304="⑬計量工程入力","",INDEX(⑰工程労務費一覧!$P$5:$P$11,MATCH($E304,⑰工程労務費一覧!$K$5:$K$11,0))),IF(AND($D304="",OR($E304="②釜工程入力",$E304="③スチコン工程入力")),INDEX(⑰工程労務費一覧!$N$5:$N$11,MATCH($E304,⑰工程労務費一覧!$K$5:$K$11,0))/1000,""))))),IF(OR($D304="g",$D304="ｇ"),INDEX(⑰工程労務費一覧!$H$5:$H$753,MATCH($F304,⑰工程労務費一覧!$D$5:$D$753,0))/1000,IF($D304="kg",INDEX(⑰工程労務費一覧!$H$5:$H$753,MATCH($F304,⑰工程労務費一覧!$D$5:$D$753,0)),INDEX(⑰工程労務費一覧!$I$5:$I$753,MATCH($F304,⑰工程労務費一覧!$D$5:$D$753,0)))))),"")</f>
        <v/>
      </c>
      <c r="I304" s="392">
        <f>IF($K304&gt;0,IF(ISNUMBER(IF(OR($D304="g",$D304="ｇ"),IF($M304&gt;0,$L304/$M304/1000,""),IF($D304="kg",IF($M304&gt;0,$L304/$M304,""),IF($D304="",IF($M304&gt;0,$L304/$M304/1000,IF($O304&gt;0,$N304/$O304,"")),IF($O304&gt;0,$N304/$O304,""))))),IF($D304="",IF($M304&gt;0,"◎ JAN紐づけ(g扱い)","◎ JAN紐づけ(個扱い)"),"◎ JAN紐づけ"),"△ JAN紐づけ済・実績不足→仮計算"),IF($F304="",IF(ISNUMBER($H304),IF($D304="","⑤ 工程平均で仮計算(g扱い)","⑤ 工程平均で仮計算"),IF($E304="⑩盛付梱包工程入力","⑥ 盛り込み(⑳F列で計上)",IF(AND($E304="⑬計量工程入力",OR($D304="個",$D304="切",$D304="本",$D304="枚",$D304="尾")),"① 未紐づけ(カット個単位は仮単価なし)","① 未紐づけ"))),IF(NOT(ISNUMBER($H304)),"② 工程側に単価なし",IF($D304="","③ 単位未設定(個で計算)","④ OK"))))</f>
        <v/>
      </c>
      <c r="J304" s="399">
        <f>IFERROR(LOOKUP(2,1/((中間品リスト!$F$2:$F$1299=$B304)*(中間品リスト!$E$2:$E$1299&lt;&gt;"-")*(中間品リスト!$E$2:$E$1299&lt;&gt;"")),中間品リスト!$E$2:$E$1299),"")</f>
        <v/>
      </c>
      <c r="K304" s="400">
        <f>IF($J304="",0,COUNTIF(②釜工程入力!$S$5:$S$117,$J304)+COUNTIF(③スチコン工程入力!$S$5:$S$152,$J304)+COUNTIF(⑪ZEN工程入力!$S$6:$S$35,$J304)+COUNTIF(⑫ミキサー工程入力!$S$6:$S$65,$J304)+COUNTIF(⑬計量工程入力!$S$6:$S$65,$J304)+COUNTIF(⑭手動工程入力!$S$6:$S$47,$J304))</f>
        <v/>
      </c>
      <c r="L304" s="393">
        <f>IF($J304="",0,SUMIFS(②釜工程入力!$M$5:$M$117,②釜工程入力!$S$5:$S$117,$J304,②釜工程入力!$I$5:$I$117,"&gt;0")+SUMIFS(③スチコン工程入力!$M$5:$M$152,③スチコン工程入力!$S$5:$S$152,$J304,③スチコン工程入力!$I$5:$I$152,"&gt;0")+SUMIFS(⑪ZEN工程入力!$M$6:$M$35,⑪ZEN工程入力!$S$6:$S$35,$J304,⑪ZEN工程入力!$I$6:$I$35,"&gt;0")+SUMIFS(⑫ミキサー工程入力!$M$6:$M$65,⑫ミキサー工程入力!$S$6:$S$65,$J304,⑫ミキサー工程入力!$I$6:$I$65,"&gt;0")+SUMIFS(⑬計量工程入力!$M$6:$M$65,⑬計量工程入力!$S$6:$S$65,$J304,⑬計量工程入力!$I$6:$I$65,"&gt;0")+SUMIFS(⑭手動工程入力!$M$6:$M$47,⑭手動工程入力!$S$6:$S$47,$J304,⑭手動工程入力!$I$6:$I$47,"&gt;0"))</f>
        <v/>
      </c>
      <c r="M304" s="393">
        <f>IF($J304="",0,SUMIFS(②釜工程入力!$I$5:$I$117,②釜工程入力!$S$5:$S$117,$J304,②釜工程入力!$I$5:$I$117,"&gt;0",②釜工程入力!$M$5:$M$117,"&gt;0")+SUMIFS(③スチコン工程入力!$I$5:$I$152,③スチコン工程入力!$S$5:$S$152,$J304,③スチコン工程入力!$I$5:$I$152,"&gt;0",③スチコン工程入力!$M$5:$M$152,"&gt;0")+SUMIFS(⑪ZEN工程入力!$I$6:$I$35,⑪ZEN工程入力!$S$6:$S$35,$J304,⑪ZEN工程入力!$I$6:$I$35,"&gt;0",⑪ZEN工程入力!$M$6:$M$35,"&gt;0")+SUMIFS(⑫ミキサー工程入力!$I$6:$I$65,⑫ミキサー工程入力!$S$6:$S$65,$J304,⑫ミキサー工程入力!$I$6:$I$65,"&gt;0",⑫ミキサー工程入力!$M$6:$M$65,"&gt;0")+SUMIFS(⑬計量工程入力!$I$6:$I$65,⑬計量工程入力!$S$6:$S$65,$J304,⑬計量工程入力!$I$6:$I$65,"&gt;0",⑬計量工程入力!$M$6:$M$65,"&gt;0")+SUMIFS(⑭手動工程入力!$I$6:$I$47,⑭手動工程入力!$S$6:$S$47,$J304,⑭手動工程入力!$I$6:$I$47,"&gt;0",⑭手動工程入力!$M$6:$M$47,"&gt;0"))</f>
        <v/>
      </c>
      <c r="N304" s="393">
        <f>IF($J304="",0,SUMIFS(②釜工程入力!$M$5:$M$117,②釜工程入力!$S$5:$S$117,$J304,②釜工程入力!$J$5:$J$117,"&gt;0")-SUMIFS(②釜工程入力!$M$5:$M$117,②釜工程入力!$S$5:$S$117,$J304,②釜工程入力!$J$5:$J$117,"&gt;0",②釜工程入力!$I$5:$I$117,"&gt;0")+SUMIFS(③スチコン工程入力!$M$5:$M$152,③スチコン工程入力!$S$5:$S$152,$J304,③スチコン工程入力!$J$5:$J$152,"&gt;0")-SUMIFS(③スチコン工程入力!$M$5:$M$152,③スチコン工程入力!$S$5:$S$152,$J304,③スチコン工程入力!$J$5:$J$152,"&gt;0",③スチコン工程入力!$I$5:$I$152,"&gt;0")+SUMIFS(⑪ZEN工程入力!$M$6:$M$35,⑪ZEN工程入力!$S$6:$S$35,$J304,⑪ZEN工程入力!$J$6:$J$35,"&gt;0")-SUMIFS(⑪ZEN工程入力!$M$6:$M$35,⑪ZEN工程入力!$S$6:$S$35,$J304,⑪ZEN工程入力!$J$6:$J$35,"&gt;0",⑪ZEN工程入力!$I$6:$I$35,"&gt;0")+SUMIFS(⑫ミキサー工程入力!$M$6:$M$65,⑫ミキサー工程入力!$S$6:$S$65,$J304,⑫ミキサー工程入力!$J$6:$J$65,"&gt;0")-SUMIFS(⑫ミキサー工程入力!$M$6:$M$65,⑫ミキサー工程入力!$S$6:$S$65,$J304,⑫ミキサー工程入力!$J$6:$J$65,"&gt;0",⑫ミキサー工程入力!$I$6:$I$65,"&gt;0")+SUMIFS(⑬計量工程入力!$M$6:$M$65,⑬計量工程入力!$S$6:$S$65,$J304,⑬計量工程入力!$J$6:$J$65,"&gt;0")-SUMIFS(⑬計量工程入力!$M$6:$M$65,⑬計量工程入力!$S$6:$S$65,$J304,⑬計量工程入力!$J$6:$J$65,"&gt;0",⑬計量工程入力!$I$6:$I$65,"&gt;0")+SUMIFS(⑭手動工程入力!$M$6:$M$47,⑭手動工程入力!$S$6:$S$47,$J304,⑭手動工程入力!$J$6:$J$47,"&gt;0")-SUMIFS(⑭手動工程入力!$M$6:$M$47,⑭手動工程入力!$S$6:$S$47,$J304,⑭手動工程入力!$J$6:$J$47,"&gt;0",⑭手動工程入力!$I$6:$I$47,"&gt;0"))</f>
        <v/>
      </c>
      <c r="O304" s="393">
        <f>IF($J304="",0,SUMIFS(②釜工程入力!$J$5:$J$117,②釜工程入力!$S$5:$S$117,$J304,②釜工程入力!$J$5:$J$117,"&gt;0",②釜工程入力!$M$5:$M$117,"&gt;0")-SUMIFS(②釜工程入力!$J$5:$J$117,②釜工程入力!$S$5:$S$117,$J304,②釜工程入力!$J$5:$J$117,"&gt;0",②釜工程入力!$I$5:$I$117,"&gt;0",②釜工程入力!$M$5:$M$117,"&gt;0")+SUMIFS(③スチコン工程入力!$J$5:$J$152,③スチコン工程入力!$S$5:$S$152,$J304,③スチコン工程入力!$J$5:$J$152,"&gt;0",③スチコン工程入力!$M$5:$M$152,"&gt;0")-SUMIFS(③スチコン工程入力!$J$5:$J$152,③スチコン工程入力!$S$5:$S$152,$J304,③スチコン工程入力!$J$5:$J$152,"&gt;0",③スチコン工程入力!$I$5:$I$152,"&gt;0",③スチコン工程入力!$M$5:$M$152,"&gt;0")+SUMIFS(⑪ZEN工程入力!$J$6:$J$35,⑪ZEN工程入力!$S$6:$S$35,$J304,⑪ZEN工程入力!$J$6:$J$35,"&gt;0",⑪ZEN工程入力!$M$6:$M$35,"&gt;0")-SUMIFS(⑪ZEN工程入力!$J$6:$J$35,⑪ZEN工程入力!$S$6:$S$35,$J304,⑪ZEN工程入力!$J$6:$J$35,"&gt;0",⑪ZEN工程入力!$I$6:$I$35,"&gt;0",⑪ZEN工程入力!$M$6:$M$35,"&gt;0")+SUMIFS(⑫ミキサー工程入力!$J$6:$J$65,⑫ミキサー工程入力!$S$6:$S$65,$J304,⑫ミキサー工程入力!$J$6:$J$65,"&gt;0",⑫ミキサー工程入力!$M$6:$M$65,"&gt;0")-SUMIFS(⑫ミキサー工程入力!$J$6:$J$65,⑫ミキサー工程入力!$S$6:$S$65,$J304,⑫ミキサー工程入力!$J$6:$J$65,"&gt;0",⑫ミキサー工程入力!$I$6:$I$65,"&gt;0",⑫ミキサー工程入力!$M$6:$M$65,"&gt;0")+SUMIFS(⑬計量工程入力!$J$6:$J$65,⑬計量工程入力!$S$6:$S$65,$J304,⑬計量工程入力!$J$6:$J$65,"&gt;0",⑬計量工程入力!$M$6:$M$65,"&gt;0")-SUMIFS(⑬計量工程入力!$J$6:$J$65,⑬計量工程入力!$S$6:$S$65,$J304,⑬計量工程入力!$J$6:$J$65,"&gt;0",⑬計量工程入力!$I$6:$I$65,"&gt;0",⑬計量工程入力!$M$6:$M$65,"&gt;0")+SUMIFS(⑭手動工程入力!$J$6:$J$47,⑭手動工程入力!$S$6:$S$47,$J304,⑭手動工程入力!$J$6:$J$47,"&gt;0",⑭手動工程入力!$M$6:$M$47,"&gt;0")-SUMIFS(⑭手動工程入力!$J$6:$J$47,⑭手動工程入力!$S$6:$S$47,$J304,⑭手動工程入力!$J$6:$J$47,"&gt;0",⑭手動工程入力!$I$6:$I$47,"&gt;0",⑭手動工程入力!$M$6:$M$47,"&gt;0"))</f>
        <v/>
      </c>
      <c r="P304" s="392" t="n"/>
    </row>
    <row r="305">
      <c r="A305" s="392" t="n">
        <v>301</v>
      </c>
      <c r="B305" s="392" t="n"/>
      <c r="C305" s="392" t="n"/>
      <c r="D305" s="392" t="n"/>
      <c r="E305" s="392" t="n"/>
      <c r="F305" s="394" t="n"/>
      <c r="G305" s="392" t="n"/>
      <c r="H305" s="604">
        <f>IFERROR(IF(AND($K305&gt;0,ISNUMBER(IF(OR($D305="g",$D305="ｇ"),IF($M305&gt;0,$L305/$M305/1000,""),IF($D305="kg",IF($M305&gt;0,$L305/$M305,""),IF($D305="",IF($M305&gt;0,$L305/$M305/1000,IF($O305&gt;0,$N305/$O305,"")),IF($O305&gt;0,$N305/$O305,"")))))),IF(OR($D305="g",$D305="ｇ"),IF($M305&gt;0,$L305/$M305/1000,""),IF($D305="kg",IF($M305&gt;0,$L305/$M305,""),IF($D305="",IF($M305&gt;0,$L305/$M305/1000,IF($O305&gt;0,$N305/$O305,"")),IF($O305&gt;0,$N305/$O305,"")))),IF($F305="",IF(OR($E305="",$E305="⑩盛付梱包工程入力"),"",IF(OR($D305="g",$D305="ｇ"),INDEX(⑰工程労務費一覧!$N$5:$N$11,MATCH($E305,⑰工程労務費一覧!$K$5:$K$11,0))/1000,IF($D305="kg",INDEX(⑰工程労務費一覧!$N$5:$N$11,MATCH($E305,⑰工程労務費一覧!$K$5:$K$11,0)),IF(OR($D305="個",$D305="切",$D305="本",$D305="枚",$D305="尾"),IF($E305="⑬計量工程入力","",INDEX(⑰工程労務費一覧!$P$5:$P$11,MATCH($E305,⑰工程労務費一覧!$K$5:$K$11,0))),IF(AND($D305="",OR($E305="②釜工程入力",$E305="③スチコン工程入力")),INDEX(⑰工程労務費一覧!$N$5:$N$11,MATCH($E305,⑰工程労務費一覧!$K$5:$K$11,0))/1000,""))))),IF(OR($D305="g",$D305="ｇ"),INDEX(⑰工程労務費一覧!$H$5:$H$753,MATCH($F305,⑰工程労務費一覧!$D$5:$D$753,0))/1000,IF($D305="kg",INDEX(⑰工程労務費一覧!$H$5:$H$753,MATCH($F305,⑰工程労務費一覧!$D$5:$D$753,0)),INDEX(⑰工程労務費一覧!$I$5:$I$753,MATCH($F305,⑰工程労務費一覧!$D$5:$D$753,0)))))),"")</f>
        <v/>
      </c>
      <c r="I305" s="392">
        <f>IF($K305&gt;0,IF(ISNUMBER(IF(OR($D305="g",$D305="ｇ"),IF($M305&gt;0,$L305/$M305/1000,""),IF($D305="kg",IF($M305&gt;0,$L305/$M305,""),IF($D305="",IF($M305&gt;0,$L305/$M305/1000,IF($O305&gt;0,$N305/$O305,"")),IF($O305&gt;0,$N305/$O305,""))))),IF($D305="",IF($M305&gt;0,"◎ JAN紐づけ(g扱い)","◎ JAN紐づけ(個扱い)"),"◎ JAN紐づけ"),"△ JAN紐づけ済・実績不足→仮計算"),IF($F305="",IF(ISNUMBER($H305),IF($D305="","⑤ 工程平均で仮計算(g扱い)","⑤ 工程平均で仮計算"),IF($E305="⑩盛付梱包工程入力","⑥ 盛り込み(⑳F列で計上)",IF(AND($E305="⑬計量工程入力",OR($D305="個",$D305="切",$D305="本",$D305="枚",$D305="尾")),"① 未紐づけ(カット個単位は仮単価なし)","① 未紐づけ"))),IF(NOT(ISNUMBER($H305)),"② 工程側に単価なし",IF($D305="","③ 単位未設定(個で計算)","④ OK"))))</f>
        <v/>
      </c>
      <c r="J305" s="399">
        <f>IFERROR(LOOKUP(2,1/((中間品リスト!$F$2:$F$1299=$B305)*(中間品リスト!$E$2:$E$1299&lt;&gt;"-")*(中間品リスト!$E$2:$E$1299&lt;&gt;"")),中間品リスト!$E$2:$E$1299),"")</f>
        <v/>
      </c>
      <c r="K305" s="400">
        <f>IF($J305="",0,COUNTIF(②釜工程入力!$S$5:$S$117,$J305)+COUNTIF(③スチコン工程入力!$S$5:$S$152,$J305)+COUNTIF(⑪ZEN工程入力!$S$6:$S$35,$J305)+COUNTIF(⑫ミキサー工程入力!$S$6:$S$65,$J305)+COUNTIF(⑬計量工程入力!$S$6:$S$65,$J305)+COUNTIF(⑭手動工程入力!$S$6:$S$47,$J305))</f>
        <v/>
      </c>
      <c r="L305" s="393">
        <f>IF($J305="",0,SUMIFS(②釜工程入力!$M$5:$M$117,②釜工程入力!$S$5:$S$117,$J305,②釜工程入力!$I$5:$I$117,"&gt;0")+SUMIFS(③スチコン工程入力!$M$5:$M$152,③スチコン工程入力!$S$5:$S$152,$J305,③スチコン工程入力!$I$5:$I$152,"&gt;0")+SUMIFS(⑪ZEN工程入力!$M$6:$M$35,⑪ZEN工程入力!$S$6:$S$35,$J305,⑪ZEN工程入力!$I$6:$I$35,"&gt;0")+SUMIFS(⑫ミキサー工程入力!$M$6:$M$65,⑫ミキサー工程入力!$S$6:$S$65,$J305,⑫ミキサー工程入力!$I$6:$I$65,"&gt;0")+SUMIFS(⑬計量工程入力!$M$6:$M$65,⑬計量工程入力!$S$6:$S$65,$J305,⑬計量工程入力!$I$6:$I$65,"&gt;0")+SUMIFS(⑭手動工程入力!$M$6:$M$47,⑭手動工程入力!$S$6:$S$47,$J305,⑭手動工程入力!$I$6:$I$47,"&gt;0"))</f>
        <v/>
      </c>
      <c r="M305" s="393">
        <f>IF($J305="",0,SUMIFS(②釜工程入力!$I$5:$I$117,②釜工程入力!$S$5:$S$117,$J305,②釜工程入力!$I$5:$I$117,"&gt;0",②釜工程入力!$M$5:$M$117,"&gt;0")+SUMIFS(③スチコン工程入力!$I$5:$I$152,③スチコン工程入力!$S$5:$S$152,$J305,③スチコン工程入力!$I$5:$I$152,"&gt;0",③スチコン工程入力!$M$5:$M$152,"&gt;0")+SUMIFS(⑪ZEN工程入力!$I$6:$I$35,⑪ZEN工程入力!$S$6:$S$35,$J305,⑪ZEN工程入力!$I$6:$I$35,"&gt;0",⑪ZEN工程入力!$M$6:$M$35,"&gt;0")+SUMIFS(⑫ミキサー工程入力!$I$6:$I$65,⑫ミキサー工程入力!$S$6:$S$65,$J305,⑫ミキサー工程入力!$I$6:$I$65,"&gt;0",⑫ミキサー工程入力!$M$6:$M$65,"&gt;0")+SUMIFS(⑬計量工程入力!$I$6:$I$65,⑬計量工程入力!$S$6:$S$65,$J305,⑬計量工程入力!$I$6:$I$65,"&gt;0",⑬計量工程入力!$M$6:$M$65,"&gt;0")+SUMIFS(⑭手動工程入力!$I$6:$I$47,⑭手動工程入力!$S$6:$S$47,$J305,⑭手動工程入力!$I$6:$I$47,"&gt;0",⑭手動工程入力!$M$6:$M$47,"&gt;0"))</f>
        <v/>
      </c>
      <c r="N305" s="393">
        <f>IF($J305="",0,SUMIFS(②釜工程入力!$M$5:$M$117,②釜工程入力!$S$5:$S$117,$J305,②釜工程入力!$J$5:$J$117,"&gt;0")-SUMIFS(②釜工程入力!$M$5:$M$117,②釜工程入力!$S$5:$S$117,$J305,②釜工程入力!$J$5:$J$117,"&gt;0",②釜工程入力!$I$5:$I$117,"&gt;0")+SUMIFS(③スチコン工程入力!$M$5:$M$152,③スチコン工程入力!$S$5:$S$152,$J305,③スチコン工程入力!$J$5:$J$152,"&gt;0")-SUMIFS(③スチコン工程入力!$M$5:$M$152,③スチコン工程入力!$S$5:$S$152,$J305,③スチコン工程入力!$J$5:$J$152,"&gt;0",③スチコン工程入力!$I$5:$I$152,"&gt;0")+SUMIFS(⑪ZEN工程入力!$M$6:$M$35,⑪ZEN工程入力!$S$6:$S$35,$J305,⑪ZEN工程入力!$J$6:$J$35,"&gt;0")-SUMIFS(⑪ZEN工程入力!$M$6:$M$35,⑪ZEN工程入力!$S$6:$S$35,$J305,⑪ZEN工程入力!$J$6:$J$35,"&gt;0",⑪ZEN工程入力!$I$6:$I$35,"&gt;0")+SUMIFS(⑫ミキサー工程入力!$M$6:$M$65,⑫ミキサー工程入力!$S$6:$S$65,$J305,⑫ミキサー工程入力!$J$6:$J$65,"&gt;0")-SUMIFS(⑫ミキサー工程入力!$M$6:$M$65,⑫ミキサー工程入力!$S$6:$S$65,$J305,⑫ミキサー工程入力!$J$6:$J$65,"&gt;0",⑫ミキサー工程入力!$I$6:$I$65,"&gt;0")+SUMIFS(⑬計量工程入力!$M$6:$M$65,⑬計量工程入力!$S$6:$S$65,$J305,⑬計量工程入力!$J$6:$J$65,"&gt;0")-SUMIFS(⑬計量工程入力!$M$6:$M$65,⑬計量工程入力!$S$6:$S$65,$J305,⑬計量工程入力!$J$6:$J$65,"&gt;0",⑬計量工程入力!$I$6:$I$65,"&gt;0")+SUMIFS(⑭手動工程入力!$M$6:$M$47,⑭手動工程入力!$S$6:$S$47,$J305,⑭手動工程入力!$J$6:$J$47,"&gt;0")-SUMIFS(⑭手動工程入力!$M$6:$M$47,⑭手動工程入力!$S$6:$S$47,$J305,⑭手動工程入力!$J$6:$J$47,"&gt;0",⑭手動工程入力!$I$6:$I$47,"&gt;0"))</f>
        <v/>
      </c>
      <c r="O305" s="393">
        <f>IF($J305="",0,SUMIFS(②釜工程入力!$J$5:$J$117,②釜工程入力!$S$5:$S$117,$J305,②釜工程入力!$J$5:$J$117,"&gt;0",②釜工程入力!$M$5:$M$117,"&gt;0")-SUMIFS(②釜工程入力!$J$5:$J$117,②釜工程入力!$S$5:$S$117,$J305,②釜工程入力!$J$5:$J$117,"&gt;0",②釜工程入力!$I$5:$I$117,"&gt;0",②釜工程入力!$M$5:$M$117,"&gt;0")+SUMIFS(③スチコン工程入力!$J$5:$J$152,③スチコン工程入力!$S$5:$S$152,$J305,③スチコン工程入力!$J$5:$J$152,"&gt;0",③スチコン工程入力!$M$5:$M$152,"&gt;0")-SUMIFS(③スチコン工程入力!$J$5:$J$152,③スチコン工程入力!$S$5:$S$152,$J305,③スチコン工程入力!$J$5:$J$152,"&gt;0",③スチコン工程入力!$I$5:$I$152,"&gt;0",③スチコン工程入力!$M$5:$M$152,"&gt;0")+SUMIFS(⑪ZEN工程入力!$J$6:$J$35,⑪ZEN工程入力!$S$6:$S$35,$J305,⑪ZEN工程入力!$J$6:$J$35,"&gt;0",⑪ZEN工程入力!$M$6:$M$35,"&gt;0")-SUMIFS(⑪ZEN工程入力!$J$6:$J$35,⑪ZEN工程入力!$S$6:$S$35,$J305,⑪ZEN工程入力!$J$6:$J$35,"&gt;0",⑪ZEN工程入力!$I$6:$I$35,"&gt;0",⑪ZEN工程入力!$M$6:$M$35,"&gt;0")+SUMIFS(⑫ミキサー工程入力!$J$6:$J$65,⑫ミキサー工程入力!$S$6:$S$65,$J305,⑫ミキサー工程入力!$J$6:$J$65,"&gt;0",⑫ミキサー工程入力!$M$6:$M$65,"&gt;0")-SUMIFS(⑫ミキサー工程入力!$J$6:$J$65,⑫ミキサー工程入力!$S$6:$S$65,$J305,⑫ミキサー工程入力!$J$6:$J$65,"&gt;0",⑫ミキサー工程入力!$I$6:$I$65,"&gt;0",⑫ミキサー工程入力!$M$6:$M$65,"&gt;0")+SUMIFS(⑬計量工程入力!$J$6:$J$65,⑬計量工程入力!$S$6:$S$65,$J305,⑬計量工程入力!$J$6:$J$65,"&gt;0",⑬計量工程入力!$M$6:$M$65,"&gt;0")-SUMIFS(⑬計量工程入力!$J$6:$J$65,⑬計量工程入力!$S$6:$S$65,$J305,⑬計量工程入力!$J$6:$J$65,"&gt;0",⑬計量工程入力!$I$6:$I$65,"&gt;0",⑬計量工程入力!$M$6:$M$65,"&gt;0")+SUMIFS(⑭手動工程入力!$J$6:$J$47,⑭手動工程入力!$S$6:$S$47,$J305,⑭手動工程入力!$J$6:$J$47,"&gt;0",⑭手動工程入力!$M$6:$M$47,"&gt;0")-SUMIFS(⑭手動工程入力!$J$6:$J$47,⑭手動工程入力!$S$6:$S$47,$J305,⑭手動工程入力!$J$6:$J$47,"&gt;0",⑭手動工程入力!$I$6:$I$47,"&gt;0",⑭手動工程入力!$M$6:$M$47,"&gt;0"))</f>
        <v/>
      </c>
      <c r="P305" s="392" t="n"/>
    </row>
    <row r="306">
      <c r="A306" s="392" t="n">
        <v>302</v>
      </c>
      <c r="B306" s="392" t="n"/>
      <c r="C306" s="392" t="n"/>
      <c r="D306" s="392" t="n"/>
      <c r="E306" s="392" t="n"/>
      <c r="F306" s="394" t="n"/>
      <c r="G306" s="392" t="n"/>
      <c r="H306" s="604">
        <f>IFERROR(IF(AND($K306&gt;0,ISNUMBER(IF(OR($D306="g",$D306="ｇ"),IF($M306&gt;0,$L306/$M306/1000,""),IF($D306="kg",IF($M306&gt;0,$L306/$M306,""),IF($D306="",IF($M306&gt;0,$L306/$M306/1000,IF($O306&gt;0,$N306/$O306,"")),IF($O306&gt;0,$N306/$O306,"")))))),IF(OR($D306="g",$D306="ｇ"),IF($M306&gt;0,$L306/$M306/1000,""),IF($D306="kg",IF($M306&gt;0,$L306/$M306,""),IF($D306="",IF($M306&gt;0,$L306/$M306/1000,IF($O306&gt;0,$N306/$O306,"")),IF($O306&gt;0,$N306/$O306,"")))),IF($F306="",IF(OR($E306="",$E306="⑩盛付梱包工程入力"),"",IF(OR($D306="g",$D306="ｇ"),INDEX(⑰工程労務費一覧!$N$5:$N$11,MATCH($E306,⑰工程労務費一覧!$K$5:$K$11,0))/1000,IF($D306="kg",INDEX(⑰工程労務費一覧!$N$5:$N$11,MATCH($E306,⑰工程労務費一覧!$K$5:$K$11,0)),IF(OR($D306="個",$D306="切",$D306="本",$D306="枚",$D306="尾"),IF($E306="⑬計量工程入力","",INDEX(⑰工程労務費一覧!$P$5:$P$11,MATCH($E306,⑰工程労務費一覧!$K$5:$K$11,0))),IF(AND($D306="",OR($E306="②釜工程入力",$E306="③スチコン工程入力")),INDEX(⑰工程労務費一覧!$N$5:$N$11,MATCH($E306,⑰工程労務費一覧!$K$5:$K$11,0))/1000,""))))),IF(OR($D306="g",$D306="ｇ"),INDEX(⑰工程労務費一覧!$H$5:$H$753,MATCH($F306,⑰工程労務費一覧!$D$5:$D$753,0))/1000,IF($D306="kg",INDEX(⑰工程労務費一覧!$H$5:$H$753,MATCH($F306,⑰工程労務費一覧!$D$5:$D$753,0)),INDEX(⑰工程労務費一覧!$I$5:$I$753,MATCH($F306,⑰工程労務費一覧!$D$5:$D$753,0)))))),"")</f>
        <v/>
      </c>
      <c r="I306" s="392">
        <f>IF($K306&gt;0,IF(ISNUMBER(IF(OR($D306="g",$D306="ｇ"),IF($M306&gt;0,$L306/$M306/1000,""),IF($D306="kg",IF($M306&gt;0,$L306/$M306,""),IF($D306="",IF($M306&gt;0,$L306/$M306/1000,IF($O306&gt;0,$N306/$O306,"")),IF($O306&gt;0,$N306/$O306,""))))),IF($D306="",IF($M306&gt;0,"◎ JAN紐づけ(g扱い)","◎ JAN紐づけ(個扱い)"),"◎ JAN紐づけ"),"△ JAN紐づけ済・実績不足→仮計算"),IF($F306="",IF(ISNUMBER($H306),IF($D306="","⑤ 工程平均で仮計算(g扱い)","⑤ 工程平均で仮計算"),IF($E306="⑩盛付梱包工程入力","⑥ 盛り込み(⑳F列で計上)",IF(AND($E306="⑬計量工程入力",OR($D306="個",$D306="切",$D306="本",$D306="枚",$D306="尾")),"① 未紐づけ(カット個単位は仮単価なし)","① 未紐づけ"))),IF(NOT(ISNUMBER($H306)),"② 工程側に単価なし",IF($D306="","③ 単位未設定(個で計算)","④ OK"))))</f>
        <v/>
      </c>
      <c r="J306" s="399">
        <f>IFERROR(LOOKUP(2,1/((中間品リスト!$F$2:$F$1299=$B306)*(中間品リスト!$E$2:$E$1299&lt;&gt;"-")*(中間品リスト!$E$2:$E$1299&lt;&gt;"")),中間品リスト!$E$2:$E$1299),"")</f>
        <v/>
      </c>
      <c r="K306" s="400">
        <f>IF($J306="",0,COUNTIF(②釜工程入力!$S$5:$S$117,$J306)+COUNTIF(③スチコン工程入力!$S$5:$S$152,$J306)+COUNTIF(⑪ZEN工程入力!$S$6:$S$35,$J306)+COUNTIF(⑫ミキサー工程入力!$S$6:$S$65,$J306)+COUNTIF(⑬計量工程入力!$S$6:$S$65,$J306)+COUNTIF(⑭手動工程入力!$S$6:$S$47,$J306))</f>
        <v/>
      </c>
      <c r="L306" s="393">
        <f>IF($J306="",0,SUMIFS(②釜工程入力!$M$5:$M$117,②釜工程入力!$S$5:$S$117,$J306,②釜工程入力!$I$5:$I$117,"&gt;0")+SUMIFS(③スチコン工程入力!$M$5:$M$152,③スチコン工程入力!$S$5:$S$152,$J306,③スチコン工程入力!$I$5:$I$152,"&gt;0")+SUMIFS(⑪ZEN工程入力!$M$6:$M$35,⑪ZEN工程入力!$S$6:$S$35,$J306,⑪ZEN工程入力!$I$6:$I$35,"&gt;0")+SUMIFS(⑫ミキサー工程入力!$M$6:$M$65,⑫ミキサー工程入力!$S$6:$S$65,$J306,⑫ミキサー工程入力!$I$6:$I$65,"&gt;0")+SUMIFS(⑬計量工程入力!$M$6:$M$65,⑬計量工程入力!$S$6:$S$65,$J306,⑬計量工程入力!$I$6:$I$65,"&gt;0")+SUMIFS(⑭手動工程入力!$M$6:$M$47,⑭手動工程入力!$S$6:$S$47,$J306,⑭手動工程入力!$I$6:$I$47,"&gt;0"))</f>
        <v/>
      </c>
      <c r="M306" s="393">
        <f>IF($J306="",0,SUMIFS(②釜工程入力!$I$5:$I$117,②釜工程入力!$S$5:$S$117,$J306,②釜工程入力!$I$5:$I$117,"&gt;0",②釜工程入力!$M$5:$M$117,"&gt;0")+SUMIFS(③スチコン工程入力!$I$5:$I$152,③スチコン工程入力!$S$5:$S$152,$J306,③スチコン工程入力!$I$5:$I$152,"&gt;0",③スチコン工程入力!$M$5:$M$152,"&gt;0")+SUMIFS(⑪ZEN工程入力!$I$6:$I$35,⑪ZEN工程入力!$S$6:$S$35,$J306,⑪ZEN工程入力!$I$6:$I$35,"&gt;0",⑪ZEN工程入力!$M$6:$M$35,"&gt;0")+SUMIFS(⑫ミキサー工程入力!$I$6:$I$65,⑫ミキサー工程入力!$S$6:$S$65,$J306,⑫ミキサー工程入力!$I$6:$I$65,"&gt;0",⑫ミキサー工程入力!$M$6:$M$65,"&gt;0")+SUMIFS(⑬計量工程入力!$I$6:$I$65,⑬計量工程入力!$S$6:$S$65,$J306,⑬計量工程入力!$I$6:$I$65,"&gt;0",⑬計量工程入力!$M$6:$M$65,"&gt;0")+SUMIFS(⑭手動工程入力!$I$6:$I$47,⑭手動工程入力!$S$6:$S$47,$J306,⑭手動工程入力!$I$6:$I$47,"&gt;0",⑭手動工程入力!$M$6:$M$47,"&gt;0"))</f>
        <v/>
      </c>
      <c r="N306" s="393">
        <f>IF($J306="",0,SUMIFS(②釜工程入力!$M$5:$M$117,②釜工程入力!$S$5:$S$117,$J306,②釜工程入力!$J$5:$J$117,"&gt;0")-SUMIFS(②釜工程入力!$M$5:$M$117,②釜工程入力!$S$5:$S$117,$J306,②釜工程入力!$J$5:$J$117,"&gt;0",②釜工程入力!$I$5:$I$117,"&gt;0")+SUMIFS(③スチコン工程入力!$M$5:$M$152,③スチコン工程入力!$S$5:$S$152,$J306,③スチコン工程入力!$J$5:$J$152,"&gt;0")-SUMIFS(③スチコン工程入力!$M$5:$M$152,③スチコン工程入力!$S$5:$S$152,$J306,③スチコン工程入力!$J$5:$J$152,"&gt;0",③スチコン工程入力!$I$5:$I$152,"&gt;0")+SUMIFS(⑪ZEN工程入力!$M$6:$M$35,⑪ZEN工程入力!$S$6:$S$35,$J306,⑪ZEN工程入力!$J$6:$J$35,"&gt;0")-SUMIFS(⑪ZEN工程入力!$M$6:$M$35,⑪ZEN工程入力!$S$6:$S$35,$J306,⑪ZEN工程入力!$J$6:$J$35,"&gt;0",⑪ZEN工程入力!$I$6:$I$35,"&gt;0")+SUMIFS(⑫ミキサー工程入力!$M$6:$M$65,⑫ミキサー工程入力!$S$6:$S$65,$J306,⑫ミキサー工程入力!$J$6:$J$65,"&gt;0")-SUMIFS(⑫ミキサー工程入力!$M$6:$M$65,⑫ミキサー工程入力!$S$6:$S$65,$J306,⑫ミキサー工程入力!$J$6:$J$65,"&gt;0",⑫ミキサー工程入力!$I$6:$I$65,"&gt;0")+SUMIFS(⑬計量工程入力!$M$6:$M$65,⑬計量工程入力!$S$6:$S$65,$J306,⑬計量工程入力!$J$6:$J$65,"&gt;0")-SUMIFS(⑬計量工程入力!$M$6:$M$65,⑬計量工程入力!$S$6:$S$65,$J306,⑬計量工程入力!$J$6:$J$65,"&gt;0",⑬計量工程入力!$I$6:$I$65,"&gt;0")+SUMIFS(⑭手動工程入力!$M$6:$M$47,⑭手動工程入力!$S$6:$S$47,$J306,⑭手動工程入力!$J$6:$J$47,"&gt;0")-SUMIFS(⑭手動工程入力!$M$6:$M$47,⑭手動工程入力!$S$6:$S$47,$J306,⑭手動工程入力!$J$6:$J$47,"&gt;0",⑭手動工程入力!$I$6:$I$47,"&gt;0"))</f>
        <v/>
      </c>
      <c r="O306" s="393">
        <f>IF($J306="",0,SUMIFS(②釜工程入力!$J$5:$J$117,②釜工程入力!$S$5:$S$117,$J306,②釜工程入力!$J$5:$J$117,"&gt;0",②釜工程入力!$M$5:$M$117,"&gt;0")-SUMIFS(②釜工程入力!$J$5:$J$117,②釜工程入力!$S$5:$S$117,$J306,②釜工程入力!$J$5:$J$117,"&gt;0",②釜工程入力!$I$5:$I$117,"&gt;0",②釜工程入力!$M$5:$M$117,"&gt;0")+SUMIFS(③スチコン工程入力!$J$5:$J$152,③スチコン工程入力!$S$5:$S$152,$J306,③スチコン工程入力!$J$5:$J$152,"&gt;0",③スチコン工程入力!$M$5:$M$152,"&gt;0")-SUMIFS(③スチコン工程入力!$J$5:$J$152,③スチコン工程入力!$S$5:$S$152,$J306,③スチコン工程入力!$J$5:$J$152,"&gt;0",③スチコン工程入力!$I$5:$I$152,"&gt;0",③スチコン工程入力!$M$5:$M$152,"&gt;0")+SUMIFS(⑪ZEN工程入力!$J$6:$J$35,⑪ZEN工程入力!$S$6:$S$35,$J306,⑪ZEN工程入力!$J$6:$J$35,"&gt;0",⑪ZEN工程入力!$M$6:$M$35,"&gt;0")-SUMIFS(⑪ZEN工程入力!$J$6:$J$35,⑪ZEN工程入力!$S$6:$S$35,$J306,⑪ZEN工程入力!$J$6:$J$35,"&gt;0",⑪ZEN工程入力!$I$6:$I$35,"&gt;0",⑪ZEN工程入力!$M$6:$M$35,"&gt;0")+SUMIFS(⑫ミキサー工程入力!$J$6:$J$65,⑫ミキサー工程入力!$S$6:$S$65,$J306,⑫ミキサー工程入力!$J$6:$J$65,"&gt;0",⑫ミキサー工程入力!$M$6:$M$65,"&gt;0")-SUMIFS(⑫ミキサー工程入力!$J$6:$J$65,⑫ミキサー工程入力!$S$6:$S$65,$J306,⑫ミキサー工程入力!$J$6:$J$65,"&gt;0",⑫ミキサー工程入力!$I$6:$I$65,"&gt;0",⑫ミキサー工程入力!$M$6:$M$65,"&gt;0")+SUMIFS(⑬計量工程入力!$J$6:$J$65,⑬計量工程入力!$S$6:$S$65,$J306,⑬計量工程入力!$J$6:$J$65,"&gt;0",⑬計量工程入力!$M$6:$M$65,"&gt;0")-SUMIFS(⑬計量工程入力!$J$6:$J$65,⑬計量工程入力!$S$6:$S$65,$J306,⑬計量工程入力!$J$6:$J$65,"&gt;0",⑬計量工程入力!$I$6:$I$65,"&gt;0",⑬計量工程入力!$M$6:$M$65,"&gt;0")+SUMIFS(⑭手動工程入力!$J$6:$J$47,⑭手動工程入力!$S$6:$S$47,$J306,⑭手動工程入力!$J$6:$J$47,"&gt;0",⑭手動工程入力!$M$6:$M$47,"&gt;0")-SUMIFS(⑭手動工程入力!$J$6:$J$47,⑭手動工程入力!$S$6:$S$47,$J306,⑭手動工程入力!$J$6:$J$47,"&gt;0",⑭手動工程入力!$I$6:$I$47,"&gt;0",⑭手動工程入力!$M$6:$M$47,"&gt;0"))</f>
        <v/>
      </c>
      <c r="P306" s="392" t="inlineStr">
        <is>
          <t>手がかりなし（空欄のまま）</t>
        </is>
      </c>
    </row>
    <row r="307">
      <c r="A307" s="392" t="n">
        <v>303</v>
      </c>
      <c r="B307" s="392" t="n"/>
      <c r="C307" s="392" t="n"/>
      <c r="D307" s="392" t="n"/>
      <c r="E307" s="392" t="n"/>
      <c r="F307" s="394" t="n"/>
      <c r="G307" s="392" t="n"/>
      <c r="H307" s="604">
        <f>IFERROR(IF(AND($K307&gt;0,ISNUMBER(IF(OR($D307="g",$D307="ｇ"),IF($M307&gt;0,$L307/$M307/1000,""),IF($D307="kg",IF($M307&gt;0,$L307/$M307,""),IF($D307="",IF($M307&gt;0,$L307/$M307/1000,IF($O307&gt;0,$N307/$O307,"")),IF($O307&gt;0,$N307/$O307,"")))))),IF(OR($D307="g",$D307="ｇ"),IF($M307&gt;0,$L307/$M307/1000,""),IF($D307="kg",IF($M307&gt;0,$L307/$M307,""),IF($D307="",IF($M307&gt;0,$L307/$M307/1000,IF($O307&gt;0,$N307/$O307,"")),IF($O307&gt;0,$N307/$O307,"")))),IF($F307="",IF(OR($E307="",$E307="⑩盛付梱包工程入力"),"",IF(OR($D307="g",$D307="ｇ"),INDEX(⑰工程労務費一覧!$N$5:$N$11,MATCH($E307,⑰工程労務費一覧!$K$5:$K$11,0))/1000,IF($D307="kg",INDEX(⑰工程労務費一覧!$N$5:$N$11,MATCH($E307,⑰工程労務費一覧!$K$5:$K$11,0)),IF(OR($D307="個",$D307="切",$D307="本",$D307="枚",$D307="尾"),IF($E307="⑬計量工程入力","",INDEX(⑰工程労務費一覧!$P$5:$P$11,MATCH($E307,⑰工程労務費一覧!$K$5:$K$11,0))),IF(AND($D307="",OR($E307="②釜工程入力",$E307="③スチコン工程入力")),INDEX(⑰工程労務費一覧!$N$5:$N$11,MATCH($E307,⑰工程労務費一覧!$K$5:$K$11,0))/1000,""))))),IF(OR($D307="g",$D307="ｇ"),INDEX(⑰工程労務費一覧!$H$5:$H$753,MATCH($F307,⑰工程労務費一覧!$D$5:$D$753,0))/1000,IF($D307="kg",INDEX(⑰工程労務費一覧!$H$5:$H$753,MATCH($F307,⑰工程労務費一覧!$D$5:$D$753,0)),INDEX(⑰工程労務費一覧!$I$5:$I$753,MATCH($F307,⑰工程労務費一覧!$D$5:$D$753,0)))))),"")</f>
        <v/>
      </c>
      <c r="I307" s="392">
        <f>IF($K307&gt;0,IF(ISNUMBER(IF(OR($D307="g",$D307="ｇ"),IF($M307&gt;0,$L307/$M307/1000,""),IF($D307="kg",IF($M307&gt;0,$L307/$M307,""),IF($D307="",IF($M307&gt;0,$L307/$M307/1000,IF($O307&gt;0,$N307/$O307,"")),IF($O307&gt;0,$N307/$O307,""))))),IF($D307="",IF($M307&gt;0,"◎ JAN紐づけ(g扱い)","◎ JAN紐づけ(個扱い)"),"◎ JAN紐づけ"),"△ JAN紐づけ済・実績不足→仮計算"),IF($F307="",IF(ISNUMBER($H307),IF($D307="","⑤ 工程平均で仮計算(g扱い)","⑤ 工程平均で仮計算"),IF($E307="⑩盛付梱包工程入力","⑥ 盛り込み(⑳F列で計上)",IF(AND($E307="⑬計量工程入力",OR($D307="個",$D307="切",$D307="本",$D307="枚",$D307="尾")),"① 未紐づけ(カット個単位は仮単価なし)","① 未紐づけ"))),IF(NOT(ISNUMBER($H307)),"② 工程側に単価なし",IF($D307="","③ 単位未設定(個で計算)","④ OK"))))</f>
        <v/>
      </c>
      <c r="J307" s="399">
        <f>IFERROR(LOOKUP(2,1/((中間品リスト!$F$2:$F$1299=$B307)*(中間品リスト!$E$2:$E$1299&lt;&gt;"-")*(中間品リスト!$E$2:$E$1299&lt;&gt;"")),中間品リスト!$E$2:$E$1299),"")</f>
        <v/>
      </c>
      <c r="K307" s="400">
        <f>IF($J307="",0,COUNTIF(②釜工程入力!$S$5:$S$117,$J307)+COUNTIF(③スチコン工程入力!$S$5:$S$152,$J307)+COUNTIF(⑪ZEN工程入力!$S$6:$S$35,$J307)+COUNTIF(⑫ミキサー工程入力!$S$6:$S$65,$J307)+COUNTIF(⑬計量工程入力!$S$6:$S$65,$J307)+COUNTIF(⑭手動工程入力!$S$6:$S$47,$J307))</f>
        <v/>
      </c>
      <c r="L307" s="393">
        <f>IF($J307="",0,SUMIFS(②釜工程入力!$M$5:$M$117,②釜工程入力!$S$5:$S$117,$J307,②釜工程入力!$I$5:$I$117,"&gt;0")+SUMIFS(③スチコン工程入力!$M$5:$M$152,③スチコン工程入力!$S$5:$S$152,$J307,③スチコン工程入力!$I$5:$I$152,"&gt;0")+SUMIFS(⑪ZEN工程入力!$M$6:$M$35,⑪ZEN工程入力!$S$6:$S$35,$J307,⑪ZEN工程入力!$I$6:$I$35,"&gt;0")+SUMIFS(⑫ミキサー工程入力!$M$6:$M$65,⑫ミキサー工程入力!$S$6:$S$65,$J307,⑫ミキサー工程入力!$I$6:$I$65,"&gt;0")+SUMIFS(⑬計量工程入力!$M$6:$M$65,⑬計量工程入力!$S$6:$S$65,$J307,⑬計量工程入力!$I$6:$I$65,"&gt;0")+SUMIFS(⑭手動工程入力!$M$6:$M$47,⑭手動工程入力!$S$6:$S$47,$J307,⑭手動工程入力!$I$6:$I$47,"&gt;0"))</f>
        <v/>
      </c>
      <c r="M307" s="393">
        <f>IF($J307="",0,SUMIFS(②釜工程入力!$I$5:$I$117,②釜工程入力!$S$5:$S$117,$J307,②釜工程入力!$I$5:$I$117,"&gt;0",②釜工程入力!$M$5:$M$117,"&gt;0")+SUMIFS(③スチコン工程入力!$I$5:$I$152,③スチコン工程入力!$S$5:$S$152,$J307,③スチコン工程入力!$I$5:$I$152,"&gt;0",③スチコン工程入力!$M$5:$M$152,"&gt;0")+SUMIFS(⑪ZEN工程入力!$I$6:$I$35,⑪ZEN工程入力!$S$6:$S$35,$J307,⑪ZEN工程入力!$I$6:$I$35,"&gt;0",⑪ZEN工程入力!$M$6:$M$35,"&gt;0")+SUMIFS(⑫ミキサー工程入力!$I$6:$I$65,⑫ミキサー工程入力!$S$6:$S$65,$J307,⑫ミキサー工程入力!$I$6:$I$65,"&gt;0",⑫ミキサー工程入力!$M$6:$M$65,"&gt;0")+SUMIFS(⑬計量工程入力!$I$6:$I$65,⑬計量工程入力!$S$6:$S$65,$J307,⑬計量工程入力!$I$6:$I$65,"&gt;0",⑬計量工程入力!$M$6:$M$65,"&gt;0")+SUMIFS(⑭手動工程入力!$I$6:$I$47,⑭手動工程入力!$S$6:$S$47,$J307,⑭手動工程入力!$I$6:$I$47,"&gt;0",⑭手動工程入力!$M$6:$M$47,"&gt;0"))</f>
        <v/>
      </c>
      <c r="N307" s="393">
        <f>IF($J307="",0,SUMIFS(②釜工程入力!$M$5:$M$117,②釜工程入力!$S$5:$S$117,$J307,②釜工程入力!$J$5:$J$117,"&gt;0")-SUMIFS(②釜工程入力!$M$5:$M$117,②釜工程入力!$S$5:$S$117,$J307,②釜工程入力!$J$5:$J$117,"&gt;0",②釜工程入力!$I$5:$I$117,"&gt;0")+SUMIFS(③スチコン工程入力!$M$5:$M$152,③スチコン工程入力!$S$5:$S$152,$J307,③スチコン工程入力!$J$5:$J$152,"&gt;0")-SUMIFS(③スチコン工程入力!$M$5:$M$152,③スチコン工程入力!$S$5:$S$152,$J307,③スチコン工程入力!$J$5:$J$152,"&gt;0",③スチコン工程入力!$I$5:$I$152,"&gt;0")+SUMIFS(⑪ZEN工程入力!$M$6:$M$35,⑪ZEN工程入力!$S$6:$S$35,$J307,⑪ZEN工程入力!$J$6:$J$35,"&gt;0")-SUMIFS(⑪ZEN工程入力!$M$6:$M$35,⑪ZEN工程入力!$S$6:$S$35,$J307,⑪ZEN工程入力!$J$6:$J$35,"&gt;0",⑪ZEN工程入力!$I$6:$I$35,"&gt;0")+SUMIFS(⑫ミキサー工程入力!$M$6:$M$65,⑫ミキサー工程入力!$S$6:$S$65,$J307,⑫ミキサー工程入力!$J$6:$J$65,"&gt;0")-SUMIFS(⑫ミキサー工程入力!$M$6:$M$65,⑫ミキサー工程入力!$S$6:$S$65,$J307,⑫ミキサー工程入力!$J$6:$J$65,"&gt;0",⑫ミキサー工程入力!$I$6:$I$65,"&gt;0")+SUMIFS(⑬計量工程入力!$M$6:$M$65,⑬計量工程入力!$S$6:$S$65,$J307,⑬計量工程入力!$J$6:$J$65,"&gt;0")-SUMIFS(⑬計量工程入力!$M$6:$M$65,⑬計量工程入力!$S$6:$S$65,$J307,⑬計量工程入力!$J$6:$J$65,"&gt;0",⑬計量工程入力!$I$6:$I$65,"&gt;0")+SUMIFS(⑭手動工程入力!$M$6:$M$47,⑭手動工程入力!$S$6:$S$47,$J307,⑭手動工程入力!$J$6:$J$47,"&gt;0")-SUMIFS(⑭手動工程入力!$M$6:$M$47,⑭手動工程入力!$S$6:$S$47,$J307,⑭手動工程入力!$J$6:$J$47,"&gt;0",⑭手動工程入力!$I$6:$I$47,"&gt;0"))</f>
        <v/>
      </c>
      <c r="O307" s="393">
        <f>IF($J307="",0,SUMIFS(②釜工程入力!$J$5:$J$117,②釜工程入力!$S$5:$S$117,$J307,②釜工程入力!$J$5:$J$117,"&gt;0",②釜工程入力!$M$5:$M$117,"&gt;0")-SUMIFS(②釜工程入力!$J$5:$J$117,②釜工程入力!$S$5:$S$117,$J307,②釜工程入力!$J$5:$J$117,"&gt;0",②釜工程入力!$I$5:$I$117,"&gt;0",②釜工程入力!$M$5:$M$117,"&gt;0")+SUMIFS(③スチコン工程入力!$J$5:$J$152,③スチコン工程入力!$S$5:$S$152,$J307,③スチコン工程入力!$J$5:$J$152,"&gt;0",③スチコン工程入力!$M$5:$M$152,"&gt;0")-SUMIFS(③スチコン工程入力!$J$5:$J$152,③スチコン工程入力!$S$5:$S$152,$J307,③スチコン工程入力!$J$5:$J$152,"&gt;0",③スチコン工程入力!$I$5:$I$152,"&gt;0",③スチコン工程入力!$M$5:$M$152,"&gt;0")+SUMIFS(⑪ZEN工程入力!$J$6:$J$35,⑪ZEN工程入力!$S$6:$S$35,$J307,⑪ZEN工程入力!$J$6:$J$35,"&gt;0",⑪ZEN工程入力!$M$6:$M$35,"&gt;0")-SUMIFS(⑪ZEN工程入力!$J$6:$J$35,⑪ZEN工程入力!$S$6:$S$35,$J307,⑪ZEN工程入力!$J$6:$J$35,"&gt;0",⑪ZEN工程入力!$I$6:$I$35,"&gt;0",⑪ZEN工程入力!$M$6:$M$35,"&gt;0")+SUMIFS(⑫ミキサー工程入力!$J$6:$J$65,⑫ミキサー工程入力!$S$6:$S$65,$J307,⑫ミキサー工程入力!$J$6:$J$65,"&gt;0",⑫ミキサー工程入力!$M$6:$M$65,"&gt;0")-SUMIFS(⑫ミキサー工程入力!$J$6:$J$65,⑫ミキサー工程入力!$S$6:$S$65,$J307,⑫ミキサー工程入力!$J$6:$J$65,"&gt;0",⑫ミキサー工程入力!$I$6:$I$65,"&gt;0",⑫ミキサー工程入力!$M$6:$M$65,"&gt;0")+SUMIFS(⑬計量工程入力!$J$6:$J$65,⑬計量工程入力!$S$6:$S$65,$J307,⑬計量工程入力!$J$6:$J$65,"&gt;0",⑬計量工程入力!$M$6:$M$65,"&gt;0")-SUMIFS(⑬計量工程入力!$J$6:$J$65,⑬計量工程入力!$S$6:$S$65,$J307,⑬計量工程入力!$J$6:$J$65,"&gt;0",⑬計量工程入力!$I$6:$I$65,"&gt;0",⑬計量工程入力!$M$6:$M$65,"&gt;0")+SUMIFS(⑭手動工程入力!$J$6:$J$47,⑭手動工程入力!$S$6:$S$47,$J307,⑭手動工程入力!$J$6:$J$47,"&gt;0",⑭手動工程入力!$M$6:$M$47,"&gt;0")-SUMIFS(⑭手動工程入力!$J$6:$J$47,⑭手動工程入力!$S$6:$S$47,$J307,⑭手動工程入力!$J$6:$J$47,"&gt;0",⑭手動工程入力!$I$6:$I$47,"&gt;0",⑭手動工程入力!$M$6:$M$47,"&gt;0"))</f>
        <v/>
      </c>
      <c r="P307" s="392" t="inlineStr">
        <is>
          <t>手がかりなし（空欄のまま）</t>
        </is>
      </c>
    </row>
    <row r="308">
      <c r="A308" s="392" t="n">
        <v>304</v>
      </c>
      <c r="B308" s="392" t="n"/>
      <c r="C308" s="392" t="n"/>
      <c r="D308" s="392" t="n"/>
      <c r="E308" s="392" t="n"/>
      <c r="F308" s="394" t="n"/>
      <c r="G308" s="392" t="n"/>
      <c r="H308" s="604">
        <f>IFERROR(IF(AND($K308&gt;0,ISNUMBER(IF(OR($D308="g",$D308="ｇ"),IF($M308&gt;0,$L308/$M308/1000,""),IF($D308="kg",IF($M308&gt;0,$L308/$M308,""),IF($D308="",IF($M308&gt;0,$L308/$M308/1000,IF($O308&gt;0,$N308/$O308,"")),IF($O308&gt;0,$N308/$O308,"")))))),IF(OR($D308="g",$D308="ｇ"),IF($M308&gt;0,$L308/$M308/1000,""),IF($D308="kg",IF($M308&gt;0,$L308/$M308,""),IF($D308="",IF($M308&gt;0,$L308/$M308/1000,IF($O308&gt;0,$N308/$O308,"")),IF($O308&gt;0,$N308/$O308,"")))),IF($F308="",IF(OR($E308="",$E308="⑩盛付梱包工程入力"),"",IF(OR($D308="g",$D308="ｇ"),INDEX(⑰工程労務費一覧!$N$5:$N$11,MATCH($E308,⑰工程労務費一覧!$K$5:$K$11,0))/1000,IF($D308="kg",INDEX(⑰工程労務費一覧!$N$5:$N$11,MATCH($E308,⑰工程労務費一覧!$K$5:$K$11,0)),IF(OR($D308="個",$D308="切",$D308="本",$D308="枚",$D308="尾"),IF($E308="⑬計量工程入力","",INDEX(⑰工程労務費一覧!$P$5:$P$11,MATCH($E308,⑰工程労務費一覧!$K$5:$K$11,0))),IF(AND($D308="",OR($E308="②釜工程入力",$E308="③スチコン工程入力")),INDEX(⑰工程労務費一覧!$N$5:$N$11,MATCH($E308,⑰工程労務費一覧!$K$5:$K$11,0))/1000,""))))),IF(OR($D308="g",$D308="ｇ"),INDEX(⑰工程労務費一覧!$H$5:$H$753,MATCH($F308,⑰工程労務費一覧!$D$5:$D$753,0))/1000,IF($D308="kg",INDEX(⑰工程労務費一覧!$H$5:$H$753,MATCH($F308,⑰工程労務費一覧!$D$5:$D$753,0)),INDEX(⑰工程労務費一覧!$I$5:$I$753,MATCH($F308,⑰工程労務費一覧!$D$5:$D$753,0)))))),"")</f>
        <v/>
      </c>
      <c r="I308" s="392">
        <f>IF($K308&gt;0,IF(ISNUMBER(IF(OR($D308="g",$D308="ｇ"),IF($M308&gt;0,$L308/$M308/1000,""),IF($D308="kg",IF($M308&gt;0,$L308/$M308,""),IF($D308="",IF($M308&gt;0,$L308/$M308/1000,IF($O308&gt;0,$N308/$O308,"")),IF($O308&gt;0,$N308/$O308,""))))),IF($D308="",IF($M308&gt;0,"◎ JAN紐づけ(g扱い)","◎ JAN紐づけ(個扱い)"),"◎ JAN紐づけ"),"△ JAN紐づけ済・実績不足→仮計算"),IF($F308="",IF(ISNUMBER($H308),IF($D308="","⑤ 工程平均で仮計算(g扱い)","⑤ 工程平均で仮計算"),IF($E308="⑩盛付梱包工程入力","⑥ 盛り込み(⑳F列で計上)",IF(AND($E308="⑬計量工程入力",OR($D308="個",$D308="切",$D308="本",$D308="枚",$D308="尾")),"① 未紐づけ(カット個単位は仮単価なし)","① 未紐づけ"))),IF(NOT(ISNUMBER($H308)),"② 工程側に単価なし",IF($D308="","③ 単位未設定(個で計算)","④ OK"))))</f>
        <v/>
      </c>
      <c r="J308" s="399">
        <f>IFERROR(LOOKUP(2,1/((中間品リスト!$F$2:$F$1299=$B308)*(中間品リスト!$E$2:$E$1299&lt;&gt;"-")*(中間品リスト!$E$2:$E$1299&lt;&gt;"")),中間品リスト!$E$2:$E$1299),"")</f>
        <v/>
      </c>
      <c r="K308" s="400">
        <f>IF($J308="",0,COUNTIF(②釜工程入力!$S$5:$S$117,$J308)+COUNTIF(③スチコン工程入力!$S$5:$S$152,$J308)+COUNTIF(⑪ZEN工程入力!$S$6:$S$35,$J308)+COUNTIF(⑫ミキサー工程入力!$S$6:$S$65,$J308)+COUNTIF(⑬計量工程入力!$S$6:$S$65,$J308)+COUNTIF(⑭手動工程入力!$S$6:$S$47,$J308))</f>
        <v/>
      </c>
      <c r="L308" s="393">
        <f>IF($J308="",0,SUMIFS(②釜工程入力!$M$5:$M$117,②釜工程入力!$S$5:$S$117,$J308,②釜工程入力!$I$5:$I$117,"&gt;0")+SUMIFS(③スチコン工程入力!$M$5:$M$152,③スチコン工程入力!$S$5:$S$152,$J308,③スチコン工程入力!$I$5:$I$152,"&gt;0")+SUMIFS(⑪ZEN工程入力!$M$6:$M$35,⑪ZEN工程入力!$S$6:$S$35,$J308,⑪ZEN工程入力!$I$6:$I$35,"&gt;0")+SUMIFS(⑫ミキサー工程入力!$M$6:$M$65,⑫ミキサー工程入力!$S$6:$S$65,$J308,⑫ミキサー工程入力!$I$6:$I$65,"&gt;0")+SUMIFS(⑬計量工程入力!$M$6:$M$65,⑬計量工程入力!$S$6:$S$65,$J308,⑬計量工程入力!$I$6:$I$65,"&gt;0")+SUMIFS(⑭手動工程入力!$M$6:$M$47,⑭手動工程入力!$S$6:$S$47,$J308,⑭手動工程入力!$I$6:$I$47,"&gt;0"))</f>
        <v/>
      </c>
      <c r="M308" s="393">
        <f>IF($J308="",0,SUMIFS(②釜工程入力!$I$5:$I$117,②釜工程入力!$S$5:$S$117,$J308,②釜工程入力!$I$5:$I$117,"&gt;0",②釜工程入力!$M$5:$M$117,"&gt;0")+SUMIFS(③スチコン工程入力!$I$5:$I$152,③スチコン工程入力!$S$5:$S$152,$J308,③スチコン工程入力!$I$5:$I$152,"&gt;0",③スチコン工程入力!$M$5:$M$152,"&gt;0")+SUMIFS(⑪ZEN工程入力!$I$6:$I$35,⑪ZEN工程入力!$S$6:$S$35,$J308,⑪ZEN工程入力!$I$6:$I$35,"&gt;0",⑪ZEN工程入力!$M$6:$M$35,"&gt;0")+SUMIFS(⑫ミキサー工程入力!$I$6:$I$65,⑫ミキサー工程入力!$S$6:$S$65,$J308,⑫ミキサー工程入力!$I$6:$I$65,"&gt;0",⑫ミキサー工程入力!$M$6:$M$65,"&gt;0")+SUMIFS(⑬計量工程入力!$I$6:$I$65,⑬計量工程入力!$S$6:$S$65,$J308,⑬計量工程入力!$I$6:$I$65,"&gt;0",⑬計量工程入力!$M$6:$M$65,"&gt;0")+SUMIFS(⑭手動工程入力!$I$6:$I$47,⑭手動工程入力!$S$6:$S$47,$J308,⑭手動工程入力!$I$6:$I$47,"&gt;0",⑭手動工程入力!$M$6:$M$47,"&gt;0"))</f>
        <v/>
      </c>
      <c r="N308" s="393">
        <f>IF($J308="",0,SUMIFS(②釜工程入力!$M$5:$M$117,②釜工程入力!$S$5:$S$117,$J308,②釜工程入力!$J$5:$J$117,"&gt;0")-SUMIFS(②釜工程入力!$M$5:$M$117,②釜工程入力!$S$5:$S$117,$J308,②釜工程入力!$J$5:$J$117,"&gt;0",②釜工程入力!$I$5:$I$117,"&gt;0")+SUMIFS(③スチコン工程入力!$M$5:$M$152,③スチコン工程入力!$S$5:$S$152,$J308,③スチコン工程入力!$J$5:$J$152,"&gt;0")-SUMIFS(③スチコン工程入力!$M$5:$M$152,③スチコン工程入力!$S$5:$S$152,$J308,③スチコン工程入力!$J$5:$J$152,"&gt;0",③スチコン工程入力!$I$5:$I$152,"&gt;0")+SUMIFS(⑪ZEN工程入力!$M$6:$M$35,⑪ZEN工程入力!$S$6:$S$35,$J308,⑪ZEN工程入力!$J$6:$J$35,"&gt;0")-SUMIFS(⑪ZEN工程入力!$M$6:$M$35,⑪ZEN工程入力!$S$6:$S$35,$J308,⑪ZEN工程入力!$J$6:$J$35,"&gt;0",⑪ZEN工程入力!$I$6:$I$35,"&gt;0")+SUMIFS(⑫ミキサー工程入力!$M$6:$M$65,⑫ミキサー工程入力!$S$6:$S$65,$J308,⑫ミキサー工程入力!$J$6:$J$65,"&gt;0")-SUMIFS(⑫ミキサー工程入力!$M$6:$M$65,⑫ミキサー工程入力!$S$6:$S$65,$J308,⑫ミキサー工程入力!$J$6:$J$65,"&gt;0",⑫ミキサー工程入力!$I$6:$I$65,"&gt;0")+SUMIFS(⑬計量工程入力!$M$6:$M$65,⑬計量工程入力!$S$6:$S$65,$J308,⑬計量工程入力!$J$6:$J$65,"&gt;0")-SUMIFS(⑬計量工程入力!$M$6:$M$65,⑬計量工程入力!$S$6:$S$65,$J308,⑬計量工程入力!$J$6:$J$65,"&gt;0",⑬計量工程入力!$I$6:$I$65,"&gt;0")+SUMIFS(⑭手動工程入力!$M$6:$M$47,⑭手動工程入力!$S$6:$S$47,$J308,⑭手動工程入力!$J$6:$J$47,"&gt;0")-SUMIFS(⑭手動工程入力!$M$6:$M$47,⑭手動工程入力!$S$6:$S$47,$J308,⑭手動工程入力!$J$6:$J$47,"&gt;0",⑭手動工程入力!$I$6:$I$47,"&gt;0"))</f>
        <v/>
      </c>
      <c r="O308" s="393">
        <f>IF($J308="",0,SUMIFS(②釜工程入力!$J$5:$J$117,②釜工程入力!$S$5:$S$117,$J308,②釜工程入力!$J$5:$J$117,"&gt;0",②釜工程入力!$M$5:$M$117,"&gt;0")-SUMIFS(②釜工程入力!$J$5:$J$117,②釜工程入力!$S$5:$S$117,$J308,②釜工程入力!$J$5:$J$117,"&gt;0",②釜工程入力!$I$5:$I$117,"&gt;0",②釜工程入力!$M$5:$M$117,"&gt;0")+SUMIFS(③スチコン工程入力!$J$5:$J$152,③スチコン工程入力!$S$5:$S$152,$J308,③スチコン工程入力!$J$5:$J$152,"&gt;0",③スチコン工程入力!$M$5:$M$152,"&gt;0")-SUMIFS(③スチコン工程入力!$J$5:$J$152,③スチコン工程入力!$S$5:$S$152,$J308,③スチコン工程入力!$J$5:$J$152,"&gt;0",③スチコン工程入力!$I$5:$I$152,"&gt;0",③スチコン工程入力!$M$5:$M$152,"&gt;0")+SUMIFS(⑪ZEN工程入力!$J$6:$J$35,⑪ZEN工程入力!$S$6:$S$35,$J308,⑪ZEN工程入力!$J$6:$J$35,"&gt;0",⑪ZEN工程入力!$M$6:$M$35,"&gt;0")-SUMIFS(⑪ZEN工程入力!$J$6:$J$35,⑪ZEN工程入力!$S$6:$S$35,$J308,⑪ZEN工程入力!$J$6:$J$35,"&gt;0",⑪ZEN工程入力!$I$6:$I$35,"&gt;0",⑪ZEN工程入力!$M$6:$M$35,"&gt;0")+SUMIFS(⑫ミキサー工程入力!$J$6:$J$65,⑫ミキサー工程入力!$S$6:$S$65,$J308,⑫ミキサー工程入力!$J$6:$J$65,"&gt;0",⑫ミキサー工程入力!$M$6:$M$65,"&gt;0")-SUMIFS(⑫ミキサー工程入力!$J$6:$J$65,⑫ミキサー工程入力!$S$6:$S$65,$J308,⑫ミキサー工程入力!$J$6:$J$65,"&gt;0",⑫ミキサー工程入力!$I$6:$I$65,"&gt;0",⑫ミキサー工程入力!$M$6:$M$65,"&gt;0")+SUMIFS(⑬計量工程入力!$J$6:$J$65,⑬計量工程入力!$S$6:$S$65,$J308,⑬計量工程入力!$J$6:$J$65,"&gt;0",⑬計量工程入力!$M$6:$M$65,"&gt;0")-SUMIFS(⑬計量工程入力!$J$6:$J$65,⑬計量工程入力!$S$6:$S$65,$J308,⑬計量工程入力!$J$6:$J$65,"&gt;0",⑬計量工程入力!$I$6:$I$65,"&gt;0",⑬計量工程入力!$M$6:$M$65,"&gt;0")+SUMIFS(⑭手動工程入力!$J$6:$J$47,⑭手動工程入力!$S$6:$S$47,$J308,⑭手動工程入力!$J$6:$J$47,"&gt;0",⑭手動工程入力!$M$6:$M$47,"&gt;0")-SUMIFS(⑭手動工程入力!$J$6:$J$47,⑭手動工程入力!$S$6:$S$47,$J308,⑭手動工程入力!$J$6:$J$47,"&gt;0",⑭手動工程入力!$I$6:$I$47,"&gt;0",⑭手動工程入力!$M$6:$M$47,"&gt;0"))</f>
        <v/>
      </c>
      <c r="P308" s="392" t="inlineStr">
        <is>
          <t>手がかりなし（空欄のまま）</t>
        </is>
      </c>
    </row>
    <row r="309">
      <c r="A309" s="392" t="n">
        <v>305</v>
      </c>
      <c r="B309" s="392" t="n"/>
      <c r="C309" s="392" t="n"/>
      <c r="D309" s="392" t="n"/>
      <c r="E309" s="392" t="n"/>
      <c r="F309" s="394" t="n"/>
      <c r="G309" s="392" t="n"/>
      <c r="H309" s="604">
        <f>IFERROR(IF(AND($K309&gt;0,ISNUMBER(IF(OR($D309="g",$D309="ｇ"),IF($M309&gt;0,$L309/$M309/1000,""),IF($D309="kg",IF($M309&gt;0,$L309/$M309,""),IF($D309="",IF($M309&gt;0,$L309/$M309/1000,IF($O309&gt;0,$N309/$O309,"")),IF($O309&gt;0,$N309/$O309,"")))))),IF(OR($D309="g",$D309="ｇ"),IF($M309&gt;0,$L309/$M309/1000,""),IF($D309="kg",IF($M309&gt;0,$L309/$M309,""),IF($D309="",IF($M309&gt;0,$L309/$M309/1000,IF($O309&gt;0,$N309/$O309,"")),IF($O309&gt;0,$N309/$O309,"")))),IF($F309="",IF(OR($E309="",$E309="⑩盛付梱包工程入力"),"",IF(OR($D309="g",$D309="ｇ"),INDEX(⑰工程労務費一覧!$N$5:$N$11,MATCH($E309,⑰工程労務費一覧!$K$5:$K$11,0))/1000,IF($D309="kg",INDEX(⑰工程労務費一覧!$N$5:$N$11,MATCH($E309,⑰工程労務費一覧!$K$5:$K$11,0)),IF(OR($D309="個",$D309="切",$D309="本",$D309="枚",$D309="尾"),IF($E309="⑬計量工程入力","",INDEX(⑰工程労務費一覧!$P$5:$P$11,MATCH($E309,⑰工程労務費一覧!$K$5:$K$11,0))),IF(AND($D309="",OR($E309="②釜工程入力",$E309="③スチコン工程入力")),INDEX(⑰工程労務費一覧!$N$5:$N$11,MATCH($E309,⑰工程労務費一覧!$K$5:$K$11,0))/1000,""))))),IF(OR($D309="g",$D309="ｇ"),INDEX(⑰工程労務費一覧!$H$5:$H$753,MATCH($F309,⑰工程労務費一覧!$D$5:$D$753,0))/1000,IF($D309="kg",INDEX(⑰工程労務費一覧!$H$5:$H$753,MATCH($F309,⑰工程労務費一覧!$D$5:$D$753,0)),INDEX(⑰工程労務費一覧!$I$5:$I$753,MATCH($F309,⑰工程労務費一覧!$D$5:$D$753,0)))))),"")</f>
        <v/>
      </c>
      <c r="I309" s="392">
        <f>IF($K309&gt;0,IF(ISNUMBER(IF(OR($D309="g",$D309="ｇ"),IF($M309&gt;0,$L309/$M309/1000,""),IF($D309="kg",IF($M309&gt;0,$L309/$M309,""),IF($D309="",IF($M309&gt;0,$L309/$M309/1000,IF($O309&gt;0,$N309/$O309,"")),IF($O309&gt;0,$N309/$O309,""))))),IF($D309="",IF($M309&gt;0,"◎ JAN紐づけ(g扱い)","◎ JAN紐づけ(個扱い)"),"◎ JAN紐づけ"),"△ JAN紐づけ済・実績不足→仮計算"),IF($F309="",IF(ISNUMBER($H309),IF($D309="","⑤ 工程平均で仮計算(g扱い)","⑤ 工程平均で仮計算"),IF($E309="⑩盛付梱包工程入力","⑥ 盛り込み(⑳F列で計上)",IF(AND($E309="⑬計量工程入力",OR($D309="個",$D309="切",$D309="本",$D309="枚",$D309="尾")),"① 未紐づけ(カット個単位は仮単価なし)","① 未紐づけ"))),IF(NOT(ISNUMBER($H309)),"② 工程側に単価なし",IF($D309="","③ 単位未設定(個で計算)","④ OK"))))</f>
        <v/>
      </c>
      <c r="J309" s="399">
        <f>IFERROR(LOOKUP(2,1/((中間品リスト!$F$2:$F$1299=$B309)*(中間品リスト!$E$2:$E$1299&lt;&gt;"-")*(中間品リスト!$E$2:$E$1299&lt;&gt;"")),中間品リスト!$E$2:$E$1299),"")</f>
        <v/>
      </c>
      <c r="K309" s="400">
        <f>IF($J309="",0,COUNTIF(②釜工程入力!$S$5:$S$117,$J309)+COUNTIF(③スチコン工程入力!$S$5:$S$152,$J309)+COUNTIF(⑪ZEN工程入力!$S$6:$S$35,$J309)+COUNTIF(⑫ミキサー工程入力!$S$6:$S$65,$J309)+COUNTIF(⑬計量工程入力!$S$6:$S$65,$J309)+COUNTIF(⑭手動工程入力!$S$6:$S$47,$J309))</f>
        <v/>
      </c>
      <c r="L309" s="393">
        <f>IF($J309="",0,SUMIFS(②釜工程入力!$M$5:$M$117,②釜工程入力!$S$5:$S$117,$J309,②釜工程入力!$I$5:$I$117,"&gt;0")+SUMIFS(③スチコン工程入力!$M$5:$M$152,③スチコン工程入力!$S$5:$S$152,$J309,③スチコン工程入力!$I$5:$I$152,"&gt;0")+SUMIFS(⑪ZEN工程入力!$M$6:$M$35,⑪ZEN工程入力!$S$6:$S$35,$J309,⑪ZEN工程入力!$I$6:$I$35,"&gt;0")+SUMIFS(⑫ミキサー工程入力!$M$6:$M$65,⑫ミキサー工程入力!$S$6:$S$65,$J309,⑫ミキサー工程入力!$I$6:$I$65,"&gt;0")+SUMIFS(⑬計量工程入力!$M$6:$M$65,⑬計量工程入力!$S$6:$S$65,$J309,⑬計量工程入力!$I$6:$I$65,"&gt;0")+SUMIFS(⑭手動工程入力!$M$6:$M$47,⑭手動工程入力!$S$6:$S$47,$J309,⑭手動工程入力!$I$6:$I$47,"&gt;0"))</f>
        <v/>
      </c>
      <c r="M309" s="393">
        <f>IF($J309="",0,SUMIFS(②釜工程入力!$I$5:$I$117,②釜工程入力!$S$5:$S$117,$J309,②釜工程入力!$I$5:$I$117,"&gt;0",②釜工程入力!$M$5:$M$117,"&gt;0")+SUMIFS(③スチコン工程入力!$I$5:$I$152,③スチコン工程入力!$S$5:$S$152,$J309,③スチコン工程入力!$I$5:$I$152,"&gt;0",③スチコン工程入力!$M$5:$M$152,"&gt;0")+SUMIFS(⑪ZEN工程入力!$I$6:$I$35,⑪ZEN工程入力!$S$6:$S$35,$J309,⑪ZEN工程入力!$I$6:$I$35,"&gt;0",⑪ZEN工程入力!$M$6:$M$35,"&gt;0")+SUMIFS(⑫ミキサー工程入力!$I$6:$I$65,⑫ミキサー工程入力!$S$6:$S$65,$J309,⑫ミキサー工程入力!$I$6:$I$65,"&gt;0",⑫ミキサー工程入力!$M$6:$M$65,"&gt;0")+SUMIFS(⑬計量工程入力!$I$6:$I$65,⑬計量工程入力!$S$6:$S$65,$J309,⑬計量工程入力!$I$6:$I$65,"&gt;0",⑬計量工程入力!$M$6:$M$65,"&gt;0")+SUMIFS(⑭手動工程入力!$I$6:$I$47,⑭手動工程入力!$S$6:$S$47,$J309,⑭手動工程入力!$I$6:$I$47,"&gt;0",⑭手動工程入力!$M$6:$M$47,"&gt;0"))</f>
        <v/>
      </c>
      <c r="N309" s="393">
        <f>IF($J309="",0,SUMIFS(②釜工程入力!$M$5:$M$117,②釜工程入力!$S$5:$S$117,$J309,②釜工程入力!$J$5:$J$117,"&gt;0")-SUMIFS(②釜工程入力!$M$5:$M$117,②釜工程入力!$S$5:$S$117,$J309,②釜工程入力!$J$5:$J$117,"&gt;0",②釜工程入力!$I$5:$I$117,"&gt;0")+SUMIFS(③スチコン工程入力!$M$5:$M$152,③スチコン工程入力!$S$5:$S$152,$J309,③スチコン工程入力!$J$5:$J$152,"&gt;0")-SUMIFS(③スチコン工程入力!$M$5:$M$152,③スチコン工程入力!$S$5:$S$152,$J309,③スチコン工程入力!$J$5:$J$152,"&gt;0",③スチコン工程入力!$I$5:$I$152,"&gt;0")+SUMIFS(⑪ZEN工程入力!$M$6:$M$35,⑪ZEN工程入力!$S$6:$S$35,$J309,⑪ZEN工程入力!$J$6:$J$35,"&gt;0")-SUMIFS(⑪ZEN工程入力!$M$6:$M$35,⑪ZEN工程入力!$S$6:$S$35,$J309,⑪ZEN工程入力!$J$6:$J$35,"&gt;0",⑪ZEN工程入力!$I$6:$I$35,"&gt;0")+SUMIFS(⑫ミキサー工程入力!$M$6:$M$65,⑫ミキサー工程入力!$S$6:$S$65,$J309,⑫ミキサー工程入力!$J$6:$J$65,"&gt;0")-SUMIFS(⑫ミキサー工程入力!$M$6:$M$65,⑫ミキサー工程入力!$S$6:$S$65,$J309,⑫ミキサー工程入力!$J$6:$J$65,"&gt;0",⑫ミキサー工程入力!$I$6:$I$65,"&gt;0")+SUMIFS(⑬計量工程入力!$M$6:$M$65,⑬計量工程入力!$S$6:$S$65,$J309,⑬計量工程入力!$J$6:$J$65,"&gt;0")-SUMIFS(⑬計量工程入力!$M$6:$M$65,⑬計量工程入力!$S$6:$S$65,$J309,⑬計量工程入力!$J$6:$J$65,"&gt;0",⑬計量工程入力!$I$6:$I$65,"&gt;0")+SUMIFS(⑭手動工程入力!$M$6:$M$47,⑭手動工程入力!$S$6:$S$47,$J309,⑭手動工程入力!$J$6:$J$47,"&gt;0")-SUMIFS(⑭手動工程入力!$M$6:$M$47,⑭手動工程入力!$S$6:$S$47,$J309,⑭手動工程入力!$J$6:$J$47,"&gt;0",⑭手動工程入力!$I$6:$I$47,"&gt;0"))</f>
        <v/>
      </c>
      <c r="O309" s="393">
        <f>IF($J309="",0,SUMIFS(②釜工程入力!$J$5:$J$117,②釜工程入力!$S$5:$S$117,$J309,②釜工程入力!$J$5:$J$117,"&gt;0",②釜工程入力!$M$5:$M$117,"&gt;0")-SUMIFS(②釜工程入力!$J$5:$J$117,②釜工程入力!$S$5:$S$117,$J309,②釜工程入力!$J$5:$J$117,"&gt;0",②釜工程入力!$I$5:$I$117,"&gt;0",②釜工程入力!$M$5:$M$117,"&gt;0")+SUMIFS(③スチコン工程入力!$J$5:$J$152,③スチコン工程入力!$S$5:$S$152,$J309,③スチコン工程入力!$J$5:$J$152,"&gt;0",③スチコン工程入力!$M$5:$M$152,"&gt;0")-SUMIFS(③スチコン工程入力!$J$5:$J$152,③スチコン工程入力!$S$5:$S$152,$J309,③スチコン工程入力!$J$5:$J$152,"&gt;0",③スチコン工程入力!$I$5:$I$152,"&gt;0",③スチコン工程入力!$M$5:$M$152,"&gt;0")+SUMIFS(⑪ZEN工程入力!$J$6:$J$35,⑪ZEN工程入力!$S$6:$S$35,$J309,⑪ZEN工程入力!$J$6:$J$35,"&gt;0",⑪ZEN工程入力!$M$6:$M$35,"&gt;0")-SUMIFS(⑪ZEN工程入力!$J$6:$J$35,⑪ZEN工程入力!$S$6:$S$35,$J309,⑪ZEN工程入力!$J$6:$J$35,"&gt;0",⑪ZEN工程入力!$I$6:$I$35,"&gt;0",⑪ZEN工程入力!$M$6:$M$35,"&gt;0")+SUMIFS(⑫ミキサー工程入力!$J$6:$J$65,⑫ミキサー工程入力!$S$6:$S$65,$J309,⑫ミキサー工程入力!$J$6:$J$65,"&gt;0",⑫ミキサー工程入力!$M$6:$M$65,"&gt;0")-SUMIFS(⑫ミキサー工程入力!$J$6:$J$65,⑫ミキサー工程入力!$S$6:$S$65,$J309,⑫ミキサー工程入力!$J$6:$J$65,"&gt;0",⑫ミキサー工程入力!$I$6:$I$65,"&gt;0",⑫ミキサー工程入力!$M$6:$M$65,"&gt;0")+SUMIFS(⑬計量工程入力!$J$6:$J$65,⑬計量工程入力!$S$6:$S$65,$J309,⑬計量工程入力!$J$6:$J$65,"&gt;0",⑬計量工程入力!$M$6:$M$65,"&gt;0")-SUMIFS(⑬計量工程入力!$J$6:$J$65,⑬計量工程入力!$S$6:$S$65,$J309,⑬計量工程入力!$J$6:$J$65,"&gt;0",⑬計量工程入力!$I$6:$I$65,"&gt;0",⑬計量工程入力!$M$6:$M$65,"&gt;0")+SUMIFS(⑭手動工程入力!$J$6:$J$47,⑭手動工程入力!$S$6:$S$47,$J309,⑭手動工程入力!$J$6:$J$47,"&gt;0",⑭手動工程入力!$M$6:$M$47,"&gt;0")-SUMIFS(⑭手動工程入力!$J$6:$J$47,⑭手動工程入力!$S$6:$S$47,$J309,⑭手動工程入力!$J$6:$J$47,"&gt;0",⑭手動工程入力!$I$6:$I$47,"&gt;0",⑭手動工程入力!$M$6:$M$47,"&gt;0"))</f>
        <v/>
      </c>
      <c r="P309" s="392" t="inlineStr">
        <is>
          <t>手がかりなし（空欄のまま）</t>
        </is>
      </c>
    </row>
    <row r="310">
      <c r="A310" s="392" t="n">
        <v>306</v>
      </c>
      <c r="B310" s="392" t="n"/>
      <c r="C310" s="392" t="n"/>
      <c r="D310" s="392" t="n"/>
      <c r="E310" s="392" t="n"/>
      <c r="F310" s="394" t="n"/>
      <c r="G310" s="392" t="n"/>
      <c r="H310" s="604">
        <f>IFERROR(IF(AND($K310&gt;0,ISNUMBER(IF(OR($D310="g",$D310="ｇ"),IF($M310&gt;0,$L310/$M310/1000,""),IF($D310="kg",IF($M310&gt;0,$L310/$M310,""),IF($D310="",IF($M310&gt;0,$L310/$M310/1000,IF($O310&gt;0,$N310/$O310,"")),IF($O310&gt;0,$N310/$O310,"")))))),IF(OR($D310="g",$D310="ｇ"),IF($M310&gt;0,$L310/$M310/1000,""),IF($D310="kg",IF($M310&gt;0,$L310/$M310,""),IF($D310="",IF($M310&gt;0,$L310/$M310/1000,IF($O310&gt;0,$N310/$O310,"")),IF($O310&gt;0,$N310/$O310,"")))),IF($F310="",IF(OR($E310="",$E310="⑩盛付梱包工程入力"),"",IF(OR($D310="g",$D310="ｇ"),INDEX(⑰工程労務費一覧!$N$5:$N$11,MATCH($E310,⑰工程労務費一覧!$K$5:$K$11,0))/1000,IF($D310="kg",INDEX(⑰工程労務費一覧!$N$5:$N$11,MATCH($E310,⑰工程労務費一覧!$K$5:$K$11,0)),IF(OR($D310="個",$D310="切",$D310="本",$D310="枚",$D310="尾"),IF($E310="⑬計量工程入力","",INDEX(⑰工程労務費一覧!$P$5:$P$11,MATCH($E310,⑰工程労務費一覧!$K$5:$K$11,0))),IF(AND($D310="",OR($E310="②釜工程入力",$E310="③スチコン工程入力")),INDEX(⑰工程労務費一覧!$N$5:$N$11,MATCH($E310,⑰工程労務費一覧!$K$5:$K$11,0))/1000,""))))),IF(OR($D310="g",$D310="ｇ"),INDEX(⑰工程労務費一覧!$H$5:$H$753,MATCH($F310,⑰工程労務費一覧!$D$5:$D$753,0))/1000,IF($D310="kg",INDEX(⑰工程労務費一覧!$H$5:$H$753,MATCH($F310,⑰工程労務費一覧!$D$5:$D$753,0)),INDEX(⑰工程労務費一覧!$I$5:$I$753,MATCH($F310,⑰工程労務費一覧!$D$5:$D$753,0)))))),"")</f>
        <v/>
      </c>
      <c r="I310" s="392">
        <f>IF($K310&gt;0,IF(ISNUMBER(IF(OR($D310="g",$D310="ｇ"),IF($M310&gt;0,$L310/$M310/1000,""),IF($D310="kg",IF($M310&gt;0,$L310/$M310,""),IF($D310="",IF($M310&gt;0,$L310/$M310/1000,IF($O310&gt;0,$N310/$O310,"")),IF($O310&gt;0,$N310/$O310,""))))),IF($D310="",IF($M310&gt;0,"◎ JAN紐づけ(g扱い)","◎ JAN紐づけ(個扱い)"),"◎ JAN紐づけ"),"△ JAN紐づけ済・実績不足→仮計算"),IF($F310="",IF(ISNUMBER($H310),IF($D310="","⑤ 工程平均で仮計算(g扱い)","⑤ 工程平均で仮計算"),IF($E310="⑩盛付梱包工程入力","⑥ 盛り込み(⑳F列で計上)",IF(AND($E310="⑬計量工程入力",OR($D310="個",$D310="切",$D310="本",$D310="枚",$D310="尾")),"① 未紐づけ(カット個単位は仮単価なし)","① 未紐づけ"))),IF(NOT(ISNUMBER($H310)),"② 工程側に単価なし",IF($D310="","③ 単位未設定(個で計算)","④ OK"))))</f>
        <v/>
      </c>
      <c r="J310" s="399">
        <f>IFERROR(LOOKUP(2,1/((中間品リスト!$F$2:$F$1299=$B310)*(中間品リスト!$E$2:$E$1299&lt;&gt;"-")*(中間品リスト!$E$2:$E$1299&lt;&gt;"")),中間品リスト!$E$2:$E$1299),"")</f>
        <v/>
      </c>
      <c r="K310" s="400">
        <f>IF($J310="",0,COUNTIF(②釜工程入力!$S$5:$S$117,$J310)+COUNTIF(③スチコン工程入力!$S$5:$S$152,$J310)+COUNTIF(⑪ZEN工程入力!$S$6:$S$35,$J310)+COUNTIF(⑫ミキサー工程入力!$S$6:$S$65,$J310)+COUNTIF(⑬計量工程入力!$S$6:$S$65,$J310)+COUNTIF(⑭手動工程入力!$S$6:$S$47,$J310))</f>
        <v/>
      </c>
      <c r="L310" s="393">
        <f>IF($J310="",0,SUMIFS(②釜工程入力!$M$5:$M$117,②釜工程入力!$S$5:$S$117,$J310,②釜工程入力!$I$5:$I$117,"&gt;0")+SUMIFS(③スチコン工程入力!$M$5:$M$152,③スチコン工程入力!$S$5:$S$152,$J310,③スチコン工程入力!$I$5:$I$152,"&gt;0")+SUMIFS(⑪ZEN工程入力!$M$6:$M$35,⑪ZEN工程入力!$S$6:$S$35,$J310,⑪ZEN工程入力!$I$6:$I$35,"&gt;0")+SUMIFS(⑫ミキサー工程入力!$M$6:$M$65,⑫ミキサー工程入力!$S$6:$S$65,$J310,⑫ミキサー工程入力!$I$6:$I$65,"&gt;0")+SUMIFS(⑬計量工程入力!$M$6:$M$65,⑬計量工程入力!$S$6:$S$65,$J310,⑬計量工程入力!$I$6:$I$65,"&gt;0")+SUMIFS(⑭手動工程入力!$M$6:$M$47,⑭手動工程入力!$S$6:$S$47,$J310,⑭手動工程入力!$I$6:$I$47,"&gt;0"))</f>
        <v/>
      </c>
      <c r="M310" s="393">
        <f>IF($J310="",0,SUMIFS(②釜工程入力!$I$5:$I$117,②釜工程入力!$S$5:$S$117,$J310,②釜工程入力!$I$5:$I$117,"&gt;0",②釜工程入力!$M$5:$M$117,"&gt;0")+SUMIFS(③スチコン工程入力!$I$5:$I$152,③スチコン工程入力!$S$5:$S$152,$J310,③スチコン工程入力!$I$5:$I$152,"&gt;0",③スチコン工程入力!$M$5:$M$152,"&gt;0")+SUMIFS(⑪ZEN工程入力!$I$6:$I$35,⑪ZEN工程入力!$S$6:$S$35,$J310,⑪ZEN工程入力!$I$6:$I$35,"&gt;0",⑪ZEN工程入力!$M$6:$M$35,"&gt;0")+SUMIFS(⑫ミキサー工程入力!$I$6:$I$65,⑫ミキサー工程入力!$S$6:$S$65,$J310,⑫ミキサー工程入力!$I$6:$I$65,"&gt;0",⑫ミキサー工程入力!$M$6:$M$65,"&gt;0")+SUMIFS(⑬計量工程入力!$I$6:$I$65,⑬計量工程入力!$S$6:$S$65,$J310,⑬計量工程入力!$I$6:$I$65,"&gt;0",⑬計量工程入力!$M$6:$M$65,"&gt;0")+SUMIFS(⑭手動工程入力!$I$6:$I$47,⑭手動工程入力!$S$6:$S$47,$J310,⑭手動工程入力!$I$6:$I$47,"&gt;0",⑭手動工程入力!$M$6:$M$47,"&gt;0"))</f>
        <v/>
      </c>
      <c r="N310" s="393">
        <f>IF($J310="",0,SUMIFS(②釜工程入力!$M$5:$M$117,②釜工程入力!$S$5:$S$117,$J310,②釜工程入力!$J$5:$J$117,"&gt;0")-SUMIFS(②釜工程入力!$M$5:$M$117,②釜工程入力!$S$5:$S$117,$J310,②釜工程入力!$J$5:$J$117,"&gt;0",②釜工程入力!$I$5:$I$117,"&gt;0")+SUMIFS(③スチコン工程入力!$M$5:$M$152,③スチコン工程入力!$S$5:$S$152,$J310,③スチコン工程入力!$J$5:$J$152,"&gt;0")-SUMIFS(③スチコン工程入力!$M$5:$M$152,③スチコン工程入力!$S$5:$S$152,$J310,③スチコン工程入力!$J$5:$J$152,"&gt;0",③スチコン工程入力!$I$5:$I$152,"&gt;0")+SUMIFS(⑪ZEN工程入力!$M$6:$M$35,⑪ZEN工程入力!$S$6:$S$35,$J310,⑪ZEN工程入力!$J$6:$J$35,"&gt;0")-SUMIFS(⑪ZEN工程入力!$M$6:$M$35,⑪ZEN工程入力!$S$6:$S$35,$J310,⑪ZEN工程入力!$J$6:$J$35,"&gt;0",⑪ZEN工程入力!$I$6:$I$35,"&gt;0")+SUMIFS(⑫ミキサー工程入力!$M$6:$M$65,⑫ミキサー工程入力!$S$6:$S$65,$J310,⑫ミキサー工程入力!$J$6:$J$65,"&gt;0")-SUMIFS(⑫ミキサー工程入力!$M$6:$M$65,⑫ミキサー工程入力!$S$6:$S$65,$J310,⑫ミキサー工程入力!$J$6:$J$65,"&gt;0",⑫ミキサー工程入力!$I$6:$I$65,"&gt;0")+SUMIFS(⑬計量工程入力!$M$6:$M$65,⑬計量工程入力!$S$6:$S$65,$J310,⑬計量工程入力!$J$6:$J$65,"&gt;0")-SUMIFS(⑬計量工程入力!$M$6:$M$65,⑬計量工程入力!$S$6:$S$65,$J310,⑬計量工程入力!$J$6:$J$65,"&gt;0",⑬計量工程入力!$I$6:$I$65,"&gt;0")+SUMIFS(⑭手動工程入力!$M$6:$M$47,⑭手動工程入力!$S$6:$S$47,$J310,⑭手動工程入力!$J$6:$J$47,"&gt;0")-SUMIFS(⑭手動工程入力!$M$6:$M$47,⑭手動工程入力!$S$6:$S$47,$J310,⑭手動工程入力!$J$6:$J$47,"&gt;0",⑭手動工程入力!$I$6:$I$47,"&gt;0"))</f>
        <v/>
      </c>
      <c r="O310" s="393">
        <f>IF($J310="",0,SUMIFS(②釜工程入力!$J$5:$J$117,②釜工程入力!$S$5:$S$117,$J310,②釜工程入力!$J$5:$J$117,"&gt;0",②釜工程入力!$M$5:$M$117,"&gt;0")-SUMIFS(②釜工程入力!$J$5:$J$117,②釜工程入力!$S$5:$S$117,$J310,②釜工程入力!$J$5:$J$117,"&gt;0",②釜工程入力!$I$5:$I$117,"&gt;0",②釜工程入力!$M$5:$M$117,"&gt;0")+SUMIFS(③スチコン工程入力!$J$5:$J$152,③スチコン工程入力!$S$5:$S$152,$J310,③スチコン工程入力!$J$5:$J$152,"&gt;0",③スチコン工程入力!$M$5:$M$152,"&gt;0")-SUMIFS(③スチコン工程入力!$J$5:$J$152,③スチコン工程入力!$S$5:$S$152,$J310,③スチコン工程入力!$J$5:$J$152,"&gt;0",③スチコン工程入力!$I$5:$I$152,"&gt;0",③スチコン工程入力!$M$5:$M$152,"&gt;0")+SUMIFS(⑪ZEN工程入力!$J$6:$J$35,⑪ZEN工程入力!$S$6:$S$35,$J310,⑪ZEN工程入力!$J$6:$J$35,"&gt;0",⑪ZEN工程入力!$M$6:$M$35,"&gt;0")-SUMIFS(⑪ZEN工程入力!$J$6:$J$35,⑪ZEN工程入力!$S$6:$S$35,$J310,⑪ZEN工程入力!$J$6:$J$35,"&gt;0",⑪ZEN工程入力!$I$6:$I$35,"&gt;0",⑪ZEN工程入力!$M$6:$M$35,"&gt;0")+SUMIFS(⑫ミキサー工程入力!$J$6:$J$65,⑫ミキサー工程入力!$S$6:$S$65,$J310,⑫ミキサー工程入力!$J$6:$J$65,"&gt;0",⑫ミキサー工程入力!$M$6:$M$65,"&gt;0")-SUMIFS(⑫ミキサー工程入力!$J$6:$J$65,⑫ミキサー工程入力!$S$6:$S$65,$J310,⑫ミキサー工程入力!$J$6:$J$65,"&gt;0",⑫ミキサー工程入力!$I$6:$I$65,"&gt;0",⑫ミキサー工程入力!$M$6:$M$65,"&gt;0")+SUMIFS(⑬計量工程入力!$J$6:$J$65,⑬計量工程入力!$S$6:$S$65,$J310,⑬計量工程入力!$J$6:$J$65,"&gt;0",⑬計量工程入力!$M$6:$M$65,"&gt;0")-SUMIFS(⑬計量工程入力!$J$6:$J$65,⑬計量工程入力!$S$6:$S$65,$J310,⑬計量工程入力!$J$6:$J$65,"&gt;0",⑬計量工程入力!$I$6:$I$65,"&gt;0",⑬計量工程入力!$M$6:$M$65,"&gt;0")+SUMIFS(⑭手動工程入力!$J$6:$J$47,⑭手動工程入力!$S$6:$S$47,$J310,⑭手動工程入力!$J$6:$J$47,"&gt;0",⑭手動工程入力!$M$6:$M$47,"&gt;0")-SUMIFS(⑭手動工程入力!$J$6:$J$47,⑭手動工程入力!$S$6:$S$47,$J310,⑭手動工程入力!$J$6:$J$47,"&gt;0",⑭手動工程入力!$I$6:$I$47,"&gt;0",⑭手動工程入力!$M$6:$M$47,"&gt;0"))</f>
        <v/>
      </c>
      <c r="P310" s="392" t="inlineStr">
        <is>
          <t>手がかりなし（空欄のまま）</t>
        </is>
      </c>
    </row>
    <row r="311">
      <c r="A311" s="392" t="n">
        <v>307</v>
      </c>
      <c r="B311" s="392" t="n"/>
      <c r="C311" s="392" t="n"/>
      <c r="D311" s="392" t="n"/>
      <c r="E311" s="392" t="n"/>
      <c r="F311" s="394" t="n"/>
      <c r="G311" s="392" t="n"/>
      <c r="H311" s="604">
        <f>IFERROR(IF(AND($K311&gt;0,ISNUMBER(IF(OR($D311="g",$D311="ｇ"),IF($M311&gt;0,$L311/$M311/1000,""),IF($D311="kg",IF($M311&gt;0,$L311/$M311,""),IF($D311="",IF($M311&gt;0,$L311/$M311/1000,IF($O311&gt;0,$N311/$O311,"")),IF($O311&gt;0,$N311/$O311,"")))))),IF(OR($D311="g",$D311="ｇ"),IF($M311&gt;0,$L311/$M311/1000,""),IF($D311="kg",IF($M311&gt;0,$L311/$M311,""),IF($D311="",IF($M311&gt;0,$L311/$M311/1000,IF($O311&gt;0,$N311/$O311,"")),IF($O311&gt;0,$N311/$O311,"")))),IF($F311="",IF(OR($E311="",$E311="⑩盛付梱包工程入力"),"",IF(OR($D311="g",$D311="ｇ"),INDEX(⑰工程労務費一覧!$N$5:$N$11,MATCH($E311,⑰工程労務費一覧!$K$5:$K$11,0))/1000,IF($D311="kg",INDEX(⑰工程労務費一覧!$N$5:$N$11,MATCH($E311,⑰工程労務費一覧!$K$5:$K$11,0)),IF(OR($D311="個",$D311="切",$D311="本",$D311="枚",$D311="尾"),IF($E311="⑬計量工程入力","",INDEX(⑰工程労務費一覧!$P$5:$P$11,MATCH($E311,⑰工程労務費一覧!$K$5:$K$11,0))),IF(AND($D311="",OR($E311="②釜工程入力",$E311="③スチコン工程入力")),INDEX(⑰工程労務費一覧!$N$5:$N$11,MATCH($E311,⑰工程労務費一覧!$K$5:$K$11,0))/1000,""))))),IF(OR($D311="g",$D311="ｇ"),INDEX(⑰工程労務費一覧!$H$5:$H$753,MATCH($F311,⑰工程労務費一覧!$D$5:$D$753,0))/1000,IF($D311="kg",INDEX(⑰工程労務費一覧!$H$5:$H$753,MATCH($F311,⑰工程労務費一覧!$D$5:$D$753,0)),INDEX(⑰工程労務費一覧!$I$5:$I$753,MATCH($F311,⑰工程労務費一覧!$D$5:$D$753,0)))))),"")</f>
        <v/>
      </c>
      <c r="I311" s="392">
        <f>IF($K311&gt;0,IF(ISNUMBER(IF(OR($D311="g",$D311="ｇ"),IF($M311&gt;0,$L311/$M311/1000,""),IF($D311="kg",IF($M311&gt;0,$L311/$M311,""),IF($D311="",IF($M311&gt;0,$L311/$M311/1000,IF($O311&gt;0,$N311/$O311,"")),IF($O311&gt;0,$N311/$O311,""))))),IF($D311="",IF($M311&gt;0,"◎ JAN紐づけ(g扱い)","◎ JAN紐づけ(個扱い)"),"◎ JAN紐づけ"),"△ JAN紐づけ済・実績不足→仮計算"),IF($F311="",IF(ISNUMBER($H311),IF($D311="","⑤ 工程平均で仮計算(g扱い)","⑤ 工程平均で仮計算"),IF($E311="⑩盛付梱包工程入力","⑥ 盛り込み(⑳F列で計上)",IF(AND($E311="⑬計量工程入力",OR($D311="個",$D311="切",$D311="本",$D311="枚",$D311="尾")),"① 未紐づけ(カット個単位は仮単価なし)","① 未紐づけ"))),IF(NOT(ISNUMBER($H311)),"② 工程側に単価なし",IF($D311="","③ 単位未設定(個で計算)","④ OK"))))</f>
        <v/>
      </c>
      <c r="J311" s="399">
        <f>IFERROR(LOOKUP(2,1/((中間品リスト!$F$2:$F$1299=$B311)*(中間品リスト!$E$2:$E$1299&lt;&gt;"-")*(中間品リスト!$E$2:$E$1299&lt;&gt;"")),中間品リスト!$E$2:$E$1299),"")</f>
        <v/>
      </c>
      <c r="K311" s="400">
        <f>IF($J311="",0,COUNTIF(②釜工程入力!$S$5:$S$117,$J311)+COUNTIF(③スチコン工程入力!$S$5:$S$152,$J311)+COUNTIF(⑪ZEN工程入力!$S$6:$S$35,$J311)+COUNTIF(⑫ミキサー工程入力!$S$6:$S$65,$J311)+COUNTIF(⑬計量工程入力!$S$6:$S$65,$J311)+COUNTIF(⑭手動工程入力!$S$6:$S$47,$J311))</f>
        <v/>
      </c>
      <c r="L311" s="393">
        <f>IF($J311="",0,SUMIFS(②釜工程入力!$M$5:$M$117,②釜工程入力!$S$5:$S$117,$J311,②釜工程入力!$I$5:$I$117,"&gt;0")+SUMIFS(③スチコン工程入力!$M$5:$M$152,③スチコン工程入力!$S$5:$S$152,$J311,③スチコン工程入力!$I$5:$I$152,"&gt;0")+SUMIFS(⑪ZEN工程入力!$M$6:$M$35,⑪ZEN工程入力!$S$6:$S$35,$J311,⑪ZEN工程入力!$I$6:$I$35,"&gt;0")+SUMIFS(⑫ミキサー工程入力!$M$6:$M$65,⑫ミキサー工程入力!$S$6:$S$65,$J311,⑫ミキサー工程入力!$I$6:$I$65,"&gt;0")+SUMIFS(⑬計量工程入力!$M$6:$M$65,⑬計量工程入力!$S$6:$S$65,$J311,⑬計量工程入力!$I$6:$I$65,"&gt;0")+SUMIFS(⑭手動工程入力!$M$6:$M$47,⑭手動工程入力!$S$6:$S$47,$J311,⑭手動工程入力!$I$6:$I$47,"&gt;0"))</f>
        <v/>
      </c>
      <c r="M311" s="393">
        <f>IF($J311="",0,SUMIFS(②釜工程入力!$I$5:$I$117,②釜工程入力!$S$5:$S$117,$J311,②釜工程入力!$I$5:$I$117,"&gt;0",②釜工程入力!$M$5:$M$117,"&gt;0")+SUMIFS(③スチコン工程入力!$I$5:$I$152,③スチコン工程入力!$S$5:$S$152,$J311,③スチコン工程入力!$I$5:$I$152,"&gt;0",③スチコン工程入力!$M$5:$M$152,"&gt;0")+SUMIFS(⑪ZEN工程入力!$I$6:$I$35,⑪ZEN工程入力!$S$6:$S$35,$J311,⑪ZEN工程入力!$I$6:$I$35,"&gt;0",⑪ZEN工程入力!$M$6:$M$35,"&gt;0")+SUMIFS(⑫ミキサー工程入力!$I$6:$I$65,⑫ミキサー工程入力!$S$6:$S$65,$J311,⑫ミキサー工程入力!$I$6:$I$65,"&gt;0",⑫ミキサー工程入力!$M$6:$M$65,"&gt;0")+SUMIFS(⑬計量工程入力!$I$6:$I$65,⑬計量工程入力!$S$6:$S$65,$J311,⑬計量工程入力!$I$6:$I$65,"&gt;0",⑬計量工程入力!$M$6:$M$65,"&gt;0")+SUMIFS(⑭手動工程入力!$I$6:$I$47,⑭手動工程入力!$S$6:$S$47,$J311,⑭手動工程入力!$I$6:$I$47,"&gt;0",⑭手動工程入力!$M$6:$M$47,"&gt;0"))</f>
        <v/>
      </c>
      <c r="N311" s="393">
        <f>IF($J311="",0,SUMIFS(②釜工程入力!$M$5:$M$117,②釜工程入力!$S$5:$S$117,$J311,②釜工程入力!$J$5:$J$117,"&gt;0")-SUMIFS(②釜工程入力!$M$5:$M$117,②釜工程入力!$S$5:$S$117,$J311,②釜工程入力!$J$5:$J$117,"&gt;0",②釜工程入力!$I$5:$I$117,"&gt;0")+SUMIFS(③スチコン工程入力!$M$5:$M$152,③スチコン工程入力!$S$5:$S$152,$J311,③スチコン工程入力!$J$5:$J$152,"&gt;0")-SUMIFS(③スチコン工程入力!$M$5:$M$152,③スチコン工程入力!$S$5:$S$152,$J311,③スチコン工程入力!$J$5:$J$152,"&gt;0",③スチコン工程入力!$I$5:$I$152,"&gt;0")+SUMIFS(⑪ZEN工程入力!$M$6:$M$35,⑪ZEN工程入力!$S$6:$S$35,$J311,⑪ZEN工程入力!$J$6:$J$35,"&gt;0")-SUMIFS(⑪ZEN工程入力!$M$6:$M$35,⑪ZEN工程入力!$S$6:$S$35,$J311,⑪ZEN工程入力!$J$6:$J$35,"&gt;0",⑪ZEN工程入力!$I$6:$I$35,"&gt;0")+SUMIFS(⑫ミキサー工程入力!$M$6:$M$65,⑫ミキサー工程入力!$S$6:$S$65,$J311,⑫ミキサー工程入力!$J$6:$J$65,"&gt;0")-SUMIFS(⑫ミキサー工程入力!$M$6:$M$65,⑫ミキサー工程入力!$S$6:$S$65,$J311,⑫ミキサー工程入力!$J$6:$J$65,"&gt;0",⑫ミキサー工程入力!$I$6:$I$65,"&gt;0")+SUMIFS(⑬計量工程入力!$M$6:$M$65,⑬計量工程入力!$S$6:$S$65,$J311,⑬計量工程入力!$J$6:$J$65,"&gt;0")-SUMIFS(⑬計量工程入力!$M$6:$M$65,⑬計量工程入力!$S$6:$S$65,$J311,⑬計量工程入力!$J$6:$J$65,"&gt;0",⑬計量工程入力!$I$6:$I$65,"&gt;0")+SUMIFS(⑭手動工程入力!$M$6:$M$47,⑭手動工程入力!$S$6:$S$47,$J311,⑭手動工程入力!$J$6:$J$47,"&gt;0")-SUMIFS(⑭手動工程入力!$M$6:$M$47,⑭手動工程入力!$S$6:$S$47,$J311,⑭手動工程入力!$J$6:$J$47,"&gt;0",⑭手動工程入力!$I$6:$I$47,"&gt;0"))</f>
        <v/>
      </c>
      <c r="O311" s="393">
        <f>IF($J311="",0,SUMIFS(②釜工程入力!$J$5:$J$117,②釜工程入力!$S$5:$S$117,$J311,②釜工程入力!$J$5:$J$117,"&gt;0",②釜工程入力!$M$5:$M$117,"&gt;0")-SUMIFS(②釜工程入力!$J$5:$J$117,②釜工程入力!$S$5:$S$117,$J311,②釜工程入力!$J$5:$J$117,"&gt;0",②釜工程入力!$I$5:$I$117,"&gt;0",②釜工程入力!$M$5:$M$117,"&gt;0")+SUMIFS(③スチコン工程入力!$J$5:$J$152,③スチコン工程入力!$S$5:$S$152,$J311,③スチコン工程入力!$J$5:$J$152,"&gt;0",③スチコン工程入力!$M$5:$M$152,"&gt;0")-SUMIFS(③スチコン工程入力!$J$5:$J$152,③スチコン工程入力!$S$5:$S$152,$J311,③スチコン工程入力!$J$5:$J$152,"&gt;0",③スチコン工程入力!$I$5:$I$152,"&gt;0",③スチコン工程入力!$M$5:$M$152,"&gt;0")+SUMIFS(⑪ZEN工程入力!$J$6:$J$35,⑪ZEN工程入力!$S$6:$S$35,$J311,⑪ZEN工程入力!$J$6:$J$35,"&gt;0",⑪ZEN工程入力!$M$6:$M$35,"&gt;0")-SUMIFS(⑪ZEN工程入力!$J$6:$J$35,⑪ZEN工程入力!$S$6:$S$35,$J311,⑪ZEN工程入力!$J$6:$J$35,"&gt;0",⑪ZEN工程入力!$I$6:$I$35,"&gt;0",⑪ZEN工程入力!$M$6:$M$35,"&gt;0")+SUMIFS(⑫ミキサー工程入力!$J$6:$J$65,⑫ミキサー工程入力!$S$6:$S$65,$J311,⑫ミキサー工程入力!$J$6:$J$65,"&gt;0",⑫ミキサー工程入力!$M$6:$M$65,"&gt;0")-SUMIFS(⑫ミキサー工程入力!$J$6:$J$65,⑫ミキサー工程入力!$S$6:$S$65,$J311,⑫ミキサー工程入力!$J$6:$J$65,"&gt;0",⑫ミキサー工程入力!$I$6:$I$65,"&gt;0",⑫ミキサー工程入力!$M$6:$M$65,"&gt;0")+SUMIFS(⑬計量工程入力!$J$6:$J$65,⑬計量工程入力!$S$6:$S$65,$J311,⑬計量工程入力!$J$6:$J$65,"&gt;0",⑬計量工程入力!$M$6:$M$65,"&gt;0")-SUMIFS(⑬計量工程入力!$J$6:$J$65,⑬計量工程入力!$S$6:$S$65,$J311,⑬計量工程入力!$J$6:$J$65,"&gt;0",⑬計量工程入力!$I$6:$I$65,"&gt;0",⑬計量工程入力!$M$6:$M$65,"&gt;0")+SUMIFS(⑭手動工程入力!$J$6:$J$47,⑭手動工程入力!$S$6:$S$47,$J311,⑭手動工程入力!$J$6:$J$47,"&gt;0",⑭手動工程入力!$M$6:$M$47,"&gt;0")-SUMIFS(⑭手動工程入力!$J$6:$J$47,⑭手動工程入力!$S$6:$S$47,$J311,⑭手動工程入力!$J$6:$J$47,"&gt;0",⑭手動工程入力!$I$6:$I$47,"&gt;0",⑭手動工程入力!$M$6:$M$47,"&gt;0"))</f>
        <v/>
      </c>
      <c r="P311" s="392" t="inlineStr">
        <is>
          <t>手がかりなし（空欄のまま）</t>
        </is>
      </c>
    </row>
    <row r="312">
      <c r="A312" s="392" t="n">
        <v>308</v>
      </c>
      <c r="B312" s="392" t="n"/>
      <c r="C312" s="392" t="n"/>
      <c r="D312" s="392" t="n"/>
      <c r="E312" s="392" t="n"/>
      <c r="F312" s="394" t="n"/>
      <c r="G312" s="392" t="n"/>
      <c r="H312" s="604">
        <f>IFERROR(IF(AND($K312&gt;0,ISNUMBER(IF(OR($D312="g",$D312="ｇ"),IF($M312&gt;0,$L312/$M312/1000,""),IF($D312="kg",IF($M312&gt;0,$L312/$M312,""),IF($D312="",IF($M312&gt;0,$L312/$M312/1000,IF($O312&gt;0,$N312/$O312,"")),IF($O312&gt;0,$N312/$O312,"")))))),IF(OR($D312="g",$D312="ｇ"),IF($M312&gt;0,$L312/$M312/1000,""),IF($D312="kg",IF($M312&gt;0,$L312/$M312,""),IF($D312="",IF($M312&gt;0,$L312/$M312/1000,IF($O312&gt;0,$N312/$O312,"")),IF($O312&gt;0,$N312/$O312,"")))),IF($F312="",IF(OR($E312="",$E312="⑩盛付梱包工程入力"),"",IF(OR($D312="g",$D312="ｇ"),INDEX(⑰工程労務費一覧!$N$5:$N$11,MATCH($E312,⑰工程労務費一覧!$K$5:$K$11,0))/1000,IF($D312="kg",INDEX(⑰工程労務費一覧!$N$5:$N$11,MATCH($E312,⑰工程労務費一覧!$K$5:$K$11,0)),IF(OR($D312="個",$D312="切",$D312="本",$D312="枚",$D312="尾"),IF($E312="⑬計量工程入力","",INDEX(⑰工程労務費一覧!$P$5:$P$11,MATCH($E312,⑰工程労務費一覧!$K$5:$K$11,0))),IF(AND($D312="",OR($E312="②釜工程入力",$E312="③スチコン工程入力")),INDEX(⑰工程労務費一覧!$N$5:$N$11,MATCH($E312,⑰工程労務費一覧!$K$5:$K$11,0))/1000,""))))),IF(OR($D312="g",$D312="ｇ"),INDEX(⑰工程労務費一覧!$H$5:$H$753,MATCH($F312,⑰工程労務費一覧!$D$5:$D$753,0))/1000,IF($D312="kg",INDEX(⑰工程労務費一覧!$H$5:$H$753,MATCH($F312,⑰工程労務費一覧!$D$5:$D$753,0)),INDEX(⑰工程労務費一覧!$I$5:$I$753,MATCH($F312,⑰工程労務費一覧!$D$5:$D$753,0)))))),"")</f>
        <v/>
      </c>
      <c r="I312" s="392">
        <f>IF($K312&gt;0,IF(ISNUMBER(IF(OR($D312="g",$D312="ｇ"),IF($M312&gt;0,$L312/$M312/1000,""),IF($D312="kg",IF($M312&gt;0,$L312/$M312,""),IF($D312="",IF($M312&gt;0,$L312/$M312/1000,IF($O312&gt;0,$N312/$O312,"")),IF($O312&gt;0,$N312/$O312,""))))),IF($D312="",IF($M312&gt;0,"◎ JAN紐づけ(g扱い)","◎ JAN紐づけ(個扱い)"),"◎ JAN紐づけ"),"△ JAN紐づけ済・実績不足→仮計算"),IF($F312="",IF(ISNUMBER($H312),IF($D312="","⑤ 工程平均で仮計算(g扱い)","⑤ 工程平均で仮計算"),IF($E312="⑩盛付梱包工程入力","⑥ 盛り込み(⑳F列で計上)",IF(AND($E312="⑬計量工程入力",OR($D312="個",$D312="切",$D312="本",$D312="枚",$D312="尾")),"① 未紐づけ(カット個単位は仮単価なし)","① 未紐づけ"))),IF(NOT(ISNUMBER($H312)),"② 工程側に単価なし",IF($D312="","③ 単位未設定(個で計算)","④ OK"))))</f>
        <v/>
      </c>
      <c r="J312" s="399">
        <f>IFERROR(LOOKUP(2,1/((中間品リスト!$F$2:$F$1299=$B312)*(中間品リスト!$E$2:$E$1299&lt;&gt;"-")*(中間品リスト!$E$2:$E$1299&lt;&gt;"")),中間品リスト!$E$2:$E$1299),"")</f>
        <v/>
      </c>
      <c r="K312" s="400">
        <f>IF($J312="",0,COUNTIF(②釜工程入力!$S$5:$S$117,$J312)+COUNTIF(③スチコン工程入力!$S$5:$S$152,$J312)+COUNTIF(⑪ZEN工程入力!$S$6:$S$35,$J312)+COUNTIF(⑫ミキサー工程入力!$S$6:$S$65,$J312)+COUNTIF(⑬計量工程入力!$S$6:$S$65,$J312)+COUNTIF(⑭手動工程入力!$S$6:$S$47,$J312))</f>
        <v/>
      </c>
      <c r="L312" s="393">
        <f>IF($J312="",0,SUMIFS(②釜工程入力!$M$5:$M$117,②釜工程入力!$S$5:$S$117,$J312,②釜工程入力!$I$5:$I$117,"&gt;0")+SUMIFS(③スチコン工程入力!$M$5:$M$152,③スチコン工程入力!$S$5:$S$152,$J312,③スチコン工程入力!$I$5:$I$152,"&gt;0")+SUMIFS(⑪ZEN工程入力!$M$6:$M$35,⑪ZEN工程入力!$S$6:$S$35,$J312,⑪ZEN工程入力!$I$6:$I$35,"&gt;0")+SUMIFS(⑫ミキサー工程入力!$M$6:$M$65,⑫ミキサー工程入力!$S$6:$S$65,$J312,⑫ミキサー工程入力!$I$6:$I$65,"&gt;0")+SUMIFS(⑬計量工程入力!$M$6:$M$65,⑬計量工程入力!$S$6:$S$65,$J312,⑬計量工程入力!$I$6:$I$65,"&gt;0")+SUMIFS(⑭手動工程入力!$M$6:$M$47,⑭手動工程入力!$S$6:$S$47,$J312,⑭手動工程入力!$I$6:$I$47,"&gt;0"))</f>
        <v/>
      </c>
      <c r="M312" s="393">
        <f>IF($J312="",0,SUMIFS(②釜工程入力!$I$5:$I$117,②釜工程入力!$S$5:$S$117,$J312,②釜工程入力!$I$5:$I$117,"&gt;0",②釜工程入力!$M$5:$M$117,"&gt;0")+SUMIFS(③スチコン工程入力!$I$5:$I$152,③スチコン工程入力!$S$5:$S$152,$J312,③スチコン工程入力!$I$5:$I$152,"&gt;0",③スチコン工程入力!$M$5:$M$152,"&gt;0")+SUMIFS(⑪ZEN工程入力!$I$6:$I$35,⑪ZEN工程入力!$S$6:$S$35,$J312,⑪ZEN工程入力!$I$6:$I$35,"&gt;0",⑪ZEN工程入力!$M$6:$M$35,"&gt;0")+SUMIFS(⑫ミキサー工程入力!$I$6:$I$65,⑫ミキサー工程入力!$S$6:$S$65,$J312,⑫ミキサー工程入力!$I$6:$I$65,"&gt;0",⑫ミキサー工程入力!$M$6:$M$65,"&gt;0")+SUMIFS(⑬計量工程入力!$I$6:$I$65,⑬計量工程入力!$S$6:$S$65,$J312,⑬計量工程入力!$I$6:$I$65,"&gt;0",⑬計量工程入力!$M$6:$M$65,"&gt;0")+SUMIFS(⑭手動工程入力!$I$6:$I$47,⑭手動工程入力!$S$6:$S$47,$J312,⑭手動工程入力!$I$6:$I$47,"&gt;0",⑭手動工程入力!$M$6:$M$47,"&gt;0"))</f>
        <v/>
      </c>
      <c r="N312" s="393">
        <f>IF($J312="",0,SUMIFS(②釜工程入力!$M$5:$M$117,②釜工程入力!$S$5:$S$117,$J312,②釜工程入力!$J$5:$J$117,"&gt;0")-SUMIFS(②釜工程入力!$M$5:$M$117,②釜工程入力!$S$5:$S$117,$J312,②釜工程入力!$J$5:$J$117,"&gt;0",②釜工程入力!$I$5:$I$117,"&gt;0")+SUMIFS(③スチコン工程入力!$M$5:$M$152,③スチコン工程入力!$S$5:$S$152,$J312,③スチコン工程入力!$J$5:$J$152,"&gt;0")-SUMIFS(③スチコン工程入力!$M$5:$M$152,③スチコン工程入力!$S$5:$S$152,$J312,③スチコン工程入力!$J$5:$J$152,"&gt;0",③スチコン工程入力!$I$5:$I$152,"&gt;0")+SUMIFS(⑪ZEN工程入力!$M$6:$M$35,⑪ZEN工程入力!$S$6:$S$35,$J312,⑪ZEN工程入力!$J$6:$J$35,"&gt;0")-SUMIFS(⑪ZEN工程入力!$M$6:$M$35,⑪ZEN工程入力!$S$6:$S$35,$J312,⑪ZEN工程入力!$J$6:$J$35,"&gt;0",⑪ZEN工程入力!$I$6:$I$35,"&gt;0")+SUMIFS(⑫ミキサー工程入力!$M$6:$M$65,⑫ミキサー工程入力!$S$6:$S$65,$J312,⑫ミキサー工程入力!$J$6:$J$65,"&gt;0")-SUMIFS(⑫ミキサー工程入力!$M$6:$M$65,⑫ミキサー工程入力!$S$6:$S$65,$J312,⑫ミキサー工程入力!$J$6:$J$65,"&gt;0",⑫ミキサー工程入力!$I$6:$I$65,"&gt;0")+SUMIFS(⑬計量工程入力!$M$6:$M$65,⑬計量工程入力!$S$6:$S$65,$J312,⑬計量工程入力!$J$6:$J$65,"&gt;0")-SUMIFS(⑬計量工程入力!$M$6:$M$65,⑬計量工程入力!$S$6:$S$65,$J312,⑬計量工程入力!$J$6:$J$65,"&gt;0",⑬計量工程入力!$I$6:$I$65,"&gt;0")+SUMIFS(⑭手動工程入力!$M$6:$M$47,⑭手動工程入力!$S$6:$S$47,$J312,⑭手動工程入力!$J$6:$J$47,"&gt;0")-SUMIFS(⑭手動工程入力!$M$6:$M$47,⑭手動工程入力!$S$6:$S$47,$J312,⑭手動工程入力!$J$6:$J$47,"&gt;0",⑭手動工程入力!$I$6:$I$47,"&gt;0"))</f>
        <v/>
      </c>
      <c r="O312" s="393">
        <f>IF($J312="",0,SUMIFS(②釜工程入力!$J$5:$J$117,②釜工程入力!$S$5:$S$117,$J312,②釜工程入力!$J$5:$J$117,"&gt;0",②釜工程入力!$M$5:$M$117,"&gt;0")-SUMIFS(②釜工程入力!$J$5:$J$117,②釜工程入力!$S$5:$S$117,$J312,②釜工程入力!$J$5:$J$117,"&gt;0",②釜工程入力!$I$5:$I$117,"&gt;0",②釜工程入力!$M$5:$M$117,"&gt;0")+SUMIFS(③スチコン工程入力!$J$5:$J$152,③スチコン工程入力!$S$5:$S$152,$J312,③スチコン工程入力!$J$5:$J$152,"&gt;0",③スチコン工程入力!$M$5:$M$152,"&gt;0")-SUMIFS(③スチコン工程入力!$J$5:$J$152,③スチコン工程入力!$S$5:$S$152,$J312,③スチコン工程入力!$J$5:$J$152,"&gt;0",③スチコン工程入力!$I$5:$I$152,"&gt;0",③スチコン工程入力!$M$5:$M$152,"&gt;0")+SUMIFS(⑪ZEN工程入力!$J$6:$J$35,⑪ZEN工程入力!$S$6:$S$35,$J312,⑪ZEN工程入力!$J$6:$J$35,"&gt;0",⑪ZEN工程入力!$M$6:$M$35,"&gt;0")-SUMIFS(⑪ZEN工程入力!$J$6:$J$35,⑪ZEN工程入力!$S$6:$S$35,$J312,⑪ZEN工程入力!$J$6:$J$35,"&gt;0",⑪ZEN工程入力!$I$6:$I$35,"&gt;0",⑪ZEN工程入力!$M$6:$M$35,"&gt;0")+SUMIFS(⑫ミキサー工程入力!$J$6:$J$65,⑫ミキサー工程入力!$S$6:$S$65,$J312,⑫ミキサー工程入力!$J$6:$J$65,"&gt;0",⑫ミキサー工程入力!$M$6:$M$65,"&gt;0")-SUMIFS(⑫ミキサー工程入力!$J$6:$J$65,⑫ミキサー工程入力!$S$6:$S$65,$J312,⑫ミキサー工程入力!$J$6:$J$65,"&gt;0",⑫ミキサー工程入力!$I$6:$I$65,"&gt;0",⑫ミキサー工程入力!$M$6:$M$65,"&gt;0")+SUMIFS(⑬計量工程入力!$J$6:$J$65,⑬計量工程入力!$S$6:$S$65,$J312,⑬計量工程入力!$J$6:$J$65,"&gt;0",⑬計量工程入力!$M$6:$M$65,"&gt;0")-SUMIFS(⑬計量工程入力!$J$6:$J$65,⑬計量工程入力!$S$6:$S$65,$J312,⑬計量工程入力!$J$6:$J$65,"&gt;0",⑬計量工程入力!$I$6:$I$65,"&gt;0",⑬計量工程入力!$M$6:$M$65,"&gt;0")+SUMIFS(⑭手動工程入力!$J$6:$J$47,⑭手動工程入力!$S$6:$S$47,$J312,⑭手動工程入力!$J$6:$J$47,"&gt;0",⑭手動工程入力!$M$6:$M$47,"&gt;0")-SUMIFS(⑭手動工程入力!$J$6:$J$47,⑭手動工程入力!$S$6:$S$47,$J312,⑭手動工程入力!$J$6:$J$47,"&gt;0",⑭手動工程入力!$I$6:$I$47,"&gt;0",⑭手動工程入力!$M$6:$M$47,"&gt;0"))</f>
        <v/>
      </c>
      <c r="P312" s="392" t="inlineStr">
        <is>
          <t>手がかりなし（空欄のまま）</t>
        </is>
      </c>
    </row>
    <row r="313">
      <c r="A313" s="392" t="n">
        <v>309</v>
      </c>
      <c r="B313" s="392" t="n"/>
      <c r="C313" s="392" t="n"/>
      <c r="D313" s="392" t="n"/>
      <c r="E313" s="392" t="n"/>
      <c r="F313" s="394" t="n"/>
      <c r="G313" s="392" t="n"/>
      <c r="H313" s="604">
        <f>IFERROR(IF(AND($K313&gt;0,ISNUMBER(IF(OR($D313="g",$D313="ｇ"),IF($M313&gt;0,$L313/$M313/1000,""),IF($D313="kg",IF($M313&gt;0,$L313/$M313,""),IF($D313="",IF($M313&gt;0,$L313/$M313/1000,IF($O313&gt;0,$N313/$O313,"")),IF($O313&gt;0,$N313/$O313,"")))))),IF(OR($D313="g",$D313="ｇ"),IF($M313&gt;0,$L313/$M313/1000,""),IF($D313="kg",IF($M313&gt;0,$L313/$M313,""),IF($D313="",IF($M313&gt;0,$L313/$M313/1000,IF($O313&gt;0,$N313/$O313,"")),IF($O313&gt;0,$N313/$O313,"")))),IF($F313="",IF(OR($E313="",$E313="⑩盛付梱包工程入力"),"",IF(OR($D313="g",$D313="ｇ"),INDEX(⑰工程労務費一覧!$N$5:$N$11,MATCH($E313,⑰工程労務費一覧!$K$5:$K$11,0))/1000,IF($D313="kg",INDEX(⑰工程労務費一覧!$N$5:$N$11,MATCH($E313,⑰工程労務費一覧!$K$5:$K$11,0)),IF(OR($D313="個",$D313="切",$D313="本",$D313="枚",$D313="尾"),IF($E313="⑬計量工程入力","",INDEX(⑰工程労務費一覧!$P$5:$P$11,MATCH($E313,⑰工程労務費一覧!$K$5:$K$11,0))),IF(AND($D313="",OR($E313="②釜工程入力",$E313="③スチコン工程入力")),INDEX(⑰工程労務費一覧!$N$5:$N$11,MATCH($E313,⑰工程労務費一覧!$K$5:$K$11,0))/1000,""))))),IF(OR($D313="g",$D313="ｇ"),INDEX(⑰工程労務費一覧!$H$5:$H$753,MATCH($F313,⑰工程労務費一覧!$D$5:$D$753,0))/1000,IF($D313="kg",INDEX(⑰工程労務費一覧!$H$5:$H$753,MATCH($F313,⑰工程労務費一覧!$D$5:$D$753,0)),INDEX(⑰工程労務費一覧!$I$5:$I$753,MATCH($F313,⑰工程労務費一覧!$D$5:$D$753,0)))))),"")</f>
        <v/>
      </c>
      <c r="I313" s="392">
        <f>IF($K313&gt;0,IF(ISNUMBER(IF(OR($D313="g",$D313="ｇ"),IF($M313&gt;0,$L313/$M313/1000,""),IF($D313="kg",IF($M313&gt;0,$L313/$M313,""),IF($D313="",IF($M313&gt;0,$L313/$M313/1000,IF($O313&gt;0,$N313/$O313,"")),IF($O313&gt;0,$N313/$O313,""))))),IF($D313="",IF($M313&gt;0,"◎ JAN紐づけ(g扱い)","◎ JAN紐づけ(個扱い)"),"◎ JAN紐づけ"),"△ JAN紐づけ済・実績不足→仮計算"),IF($F313="",IF(ISNUMBER($H313),IF($D313="","⑤ 工程平均で仮計算(g扱い)","⑤ 工程平均で仮計算"),IF($E313="⑩盛付梱包工程入力","⑥ 盛り込み(⑳F列で計上)",IF(AND($E313="⑬計量工程入力",OR($D313="個",$D313="切",$D313="本",$D313="枚",$D313="尾")),"① 未紐づけ(カット個単位は仮単価なし)","① 未紐づけ"))),IF(NOT(ISNUMBER($H313)),"② 工程側に単価なし",IF($D313="","③ 単位未設定(個で計算)","④ OK"))))</f>
        <v/>
      </c>
      <c r="J313" s="399">
        <f>IFERROR(LOOKUP(2,1/((中間品リスト!$F$2:$F$1299=$B313)*(中間品リスト!$E$2:$E$1299&lt;&gt;"-")*(中間品リスト!$E$2:$E$1299&lt;&gt;"")),中間品リスト!$E$2:$E$1299),"")</f>
        <v/>
      </c>
      <c r="K313" s="400">
        <f>IF($J313="",0,COUNTIF(②釜工程入力!$S$5:$S$117,$J313)+COUNTIF(③スチコン工程入力!$S$5:$S$152,$J313)+COUNTIF(⑪ZEN工程入力!$S$6:$S$35,$J313)+COUNTIF(⑫ミキサー工程入力!$S$6:$S$65,$J313)+COUNTIF(⑬計量工程入力!$S$6:$S$65,$J313)+COUNTIF(⑭手動工程入力!$S$6:$S$47,$J313))</f>
        <v/>
      </c>
      <c r="L313" s="393">
        <f>IF($J313="",0,SUMIFS(②釜工程入力!$M$5:$M$117,②釜工程入力!$S$5:$S$117,$J313,②釜工程入力!$I$5:$I$117,"&gt;0")+SUMIFS(③スチコン工程入力!$M$5:$M$152,③スチコン工程入力!$S$5:$S$152,$J313,③スチコン工程入力!$I$5:$I$152,"&gt;0")+SUMIFS(⑪ZEN工程入力!$M$6:$M$35,⑪ZEN工程入力!$S$6:$S$35,$J313,⑪ZEN工程入力!$I$6:$I$35,"&gt;0")+SUMIFS(⑫ミキサー工程入力!$M$6:$M$65,⑫ミキサー工程入力!$S$6:$S$65,$J313,⑫ミキサー工程入力!$I$6:$I$65,"&gt;0")+SUMIFS(⑬計量工程入力!$M$6:$M$65,⑬計量工程入力!$S$6:$S$65,$J313,⑬計量工程入力!$I$6:$I$65,"&gt;0")+SUMIFS(⑭手動工程入力!$M$6:$M$47,⑭手動工程入力!$S$6:$S$47,$J313,⑭手動工程入力!$I$6:$I$47,"&gt;0"))</f>
        <v/>
      </c>
      <c r="M313" s="393">
        <f>IF($J313="",0,SUMIFS(②釜工程入力!$I$5:$I$117,②釜工程入力!$S$5:$S$117,$J313,②釜工程入力!$I$5:$I$117,"&gt;0",②釜工程入力!$M$5:$M$117,"&gt;0")+SUMIFS(③スチコン工程入力!$I$5:$I$152,③スチコン工程入力!$S$5:$S$152,$J313,③スチコン工程入力!$I$5:$I$152,"&gt;0",③スチコン工程入力!$M$5:$M$152,"&gt;0")+SUMIFS(⑪ZEN工程入力!$I$6:$I$35,⑪ZEN工程入力!$S$6:$S$35,$J313,⑪ZEN工程入力!$I$6:$I$35,"&gt;0",⑪ZEN工程入力!$M$6:$M$35,"&gt;0")+SUMIFS(⑫ミキサー工程入力!$I$6:$I$65,⑫ミキサー工程入力!$S$6:$S$65,$J313,⑫ミキサー工程入力!$I$6:$I$65,"&gt;0",⑫ミキサー工程入力!$M$6:$M$65,"&gt;0")+SUMIFS(⑬計量工程入力!$I$6:$I$65,⑬計量工程入力!$S$6:$S$65,$J313,⑬計量工程入力!$I$6:$I$65,"&gt;0",⑬計量工程入力!$M$6:$M$65,"&gt;0")+SUMIFS(⑭手動工程入力!$I$6:$I$47,⑭手動工程入力!$S$6:$S$47,$J313,⑭手動工程入力!$I$6:$I$47,"&gt;0",⑭手動工程入力!$M$6:$M$47,"&gt;0"))</f>
        <v/>
      </c>
      <c r="N313" s="393">
        <f>IF($J313="",0,SUMIFS(②釜工程入力!$M$5:$M$117,②釜工程入力!$S$5:$S$117,$J313,②釜工程入力!$J$5:$J$117,"&gt;0")-SUMIFS(②釜工程入力!$M$5:$M$117,②釜工程入力!$S$5:$S$117,$J313,②釜工程入力!$J$5:$J$117,"&gt;0",②釜工程入力!$I$5:$I$117,"&gt;0")+SUMIFS(③スチコン工程入力!$M$5:$M$152,③スチコン工程入力!$S$5:$S$152,$J313,③スチコン工程入力!$J$5:$J$152,"&gt;0")-SUMIFS(③スチコン工程入力!$M$5:$M$152,③スチコン工程入力!$S$5:$S$152,$J313,③スチコン工程入力!$J$5:$J$152,"&gt;0",③スチコン工程入力!$I$5:$I$152,"&gt;0")+SUMIFS(⑪ZEN工程入力!$M$6:$M$35,⑪ZEN工程入力!$S$6:$S$35,$J313,⑪ZEN工程入力!$J$6:$J$35,"&gt;0")-SUMIFS(⑪ZEN工程入力!$M$6:$M$35,⑪ZEN工程入力!$S$6:$S$35,$J313,⑪ZEN工程入力!$J$6:$J$35,"&gt;0",⑪ZEN工程入力!$I$6:$I$35,"&gt;0")+SUMIFS(⑫ミキサー工程入力!$M$6:$M$65,⑫ミキサー工程入力!$S$6:$S$65,$J313,⑫ミキサー工程入力!$J$6:$J$65,"&gt;0")-SUMIFS(⑫ミキサー工程入力!$M$6:$M$65,⑫ミキサー工程入力!$S$6:$S$65,$J313,⑫ミキサー工程入力!$J$6:$J$65,"&gt;0",⑫ミキサー工程入力!$I$6:$I$65,"&gt;0")+SUMIFS(⑬計量工程入力!$M$6:$M$65,⑬計量工程入力!$S$6:$S$65,$J313,⑬計量工程入力!$J$6:$J$65,"&gt;0")-SUMIFS(⑬計量工程入力!$M$6:$M$65,⑬計量工程入力!$S$6:$S$65,$J313,⑬計量工程入力!$J$6:$J$65,"&gt;0",⑬計量工程入力!$I$6:$I$65,"&gt;0")+SUMIFS(⑭手動工程入力!$M$6:$M$47,⑭手動工程入力!$S$6:$S$47,$J313,⑭手動工程入力!$J$6:$J$47,"&gt;0")-SUMIFS(⑭手動工程入力!$M$6:$M$47,⑭手動工程入力!$S$6:$S$47,$J313,⑭手動工程入力!$J$6:$J$47,"&gt;0",⑭手動工程入力!$I$6:$I$47,"&gt;0"))</f>
        <v/>
      </c>
      <c r="O313" s="393">
        <f>IF($J313="",0,SUMIFS(②釜工程入力!$J$5:$J$117,②釜工程入力!$S$5:$S$117,$J313,②釜工程入力!$J$5:$J$117,"&gt;0",②釜工程入力!$M$5:$M$117,"&gt;0")-SUMIFS(②釜工程入力!$J$5:$J$117,②釜工程入力!$S$5:$S$117,$J313,②釜工程入力!$J$5:$J$117,"&gt;0",②釜工程入力!$I$5:$I$117,"&gt;0",②釜工程入力!$M$5:$M$117,"&gt;0")+SUMIFS(③スチコン工程入力!$J$5:$J$152,③スチコン工程入力!$S$5:$S$152,$J313,③スチコン工程入力!$J$5:$J$152,"&gt;0",③スチコン工程入力!$M$5:$M$152,"&gt;0")-SUMIFS(③スチコン工程入力!$J$5:$J$152,③スチコン工程入力!$S$5:$S$152,$J313,③スチコン工程入力!$J$5:$J$152,"&gt;0",③スチコン工程入力!$I$5:$I$152,"&gt;0",③スチコン工程入力!$M$5:$M$152,"&gt;0")+SUMIFS(⑪ZEN工程入力!$J$6:$J$35,⑪ZEN工程入力!$S$6:$S$35,$J313,⑪ZEN工程入力!$J$6:$J$35,"&gt;0",⑪ZEN工程入力!$M$6:$M$35,"&gt;0")-SUMIFS(⑪ZEN工程入力!$J$6:$J$35,⑪ZEN工程入力!$S$6:$S$35,$J313,⑪ZEN工程入力!$J$6:$J$35,"&gt;0",⑪ZEN工程入力!$I$6:$I$35,"&gt;0",⑪ZEN工程入力!$M$6:$M$35,"&gt;0")+SUMIFS(⑫ミキサー工程入力!$J$6:$J$65,⑫ミキサー工程入力!$S$6:$S$65,$J313,⑫ミキサー工程入力!$J$6:$J$65,"&gt;0",⑫ミキサー工程入力!$M$6:$M$65,"&gt;0")-SUMIFS(⑫ミキサー工程入力!$J$6:$J$65,⑫ミキサー工程入力!$S$6:$S$65,$J313,⑫ミキサー工程入力!$J$6:$J$65,"&gt;0",⑫ミキサー工程入力!$I$6:$I$65,"&gt;0",⑫ミキサー工程入力!$M$6:$M$65,"&gt;0")+SUMIFS(⑬計量工程入力!$J$6:$J$65,⑬計量工程入力!$S$6:$S$65,$J313,⑬計量工程入力!$J$6:$J$65,"&gt;0",⑬計量工程入力!$M$6:$M$65,"&gt;0")-SUMIFS(⑬計量工程入力!$J$6:$J$65,⑬計量工程入力!$S$6:$S$65,$J313,⑬計量工程入力!$J$6:$J$65,"&gt;0",⑬計量工程入力!$I$6:$I$65,"&gt;0",⑬計量工程入力!$M$6:$M$65,"&gt;0")+SUMIFS(⑭手動工程入力!$J$6:$J$47,⑭手動工程入力!$S$6:$S$47,$J313,⑭手動工程入力!$J$6:$J$47,"&gt;0",⑭手動工程入力!$M$6:$M$47,"&gt;0")-SUMIFS(⑭手動工程入力!$J$6:$J$47,⑭手動工程入力!$S$6:$S$47,$J313,⑭手動工程入力!$J$6:$J$47,"&gt;0",⑭手動工程入力!$I$6:$I$47,"&gt;0",⑭手動工程入力!$M$6:$M$47,"&gt;0"))</f>
        <v/>
      </c>
      <c r="P313" s="392" t="inlineStr">
        <is>
          <t>手がかりなし（空欄のまま）</t>
        </is>
      </c>
    </row>
    <row r="314">
      <c r="A314" s="392" t="n">
        <v>310</v>
      </c>
      <c r="B314" s="392" t="n"/>
      <c r="C314" s="392" t="n"/>
      <c r="D314" s="409" t="n"/>
      <c r="E314" s="392" t="n"/>
      <c r="F314" s="394" t="n"/>
      <c r="G314" s="392" t="n"/>
      <c r="H314" s="604">
        <f>IFERROR(IF(AND($K314&gt;0,ISNUMBER(IF(OR($D314="g",$D314="ｇ"),IF($M314&gt;0,$L314/$M314/1000,""),IF($D314="kg",IF($M314&gt;0,$L314/$M314,""),IF($D314="",IF($M314&gt;0,$L314/$M314/1000,IF($O314&gt;0,$N314/$O314,"")),IF($O314&gt;0,$N314/$O314,"")))))),IF(OR($D314="g",$D314="ｇ"),IF($M314&gt;0,$L314/$M314/1000,""),IF($D314="kg",IF($M314&gt;0,$L314/$M314,""),IF($D314="",IF($M314&gt;0,$L314/$M314/1000,IF($O314&gt;0,$N314/$O314,"")),IF($O314&gt;0,$N314/$O314,"")))),IF($F314="",IF(OR($E314="",$E314="⑩盛付梱包工程入力"),"",IF(OR($D314="g",$D314="ｇ"),INDEX(⑰工程労務費一覧!$N$5:$N$11,MATCH($E314,⑰工程労務費一覧!$K$5:$K$11,0))/1000,IF($D314="kg",INDEX(⑰工程労務費一覧!$N$5:$N$11,MATCH($E314,⑰工程労務費一覧!$K$5:$K$11,0)),IF(OR($D314="個",$D314="切",$D314="本",$D314="枚",$D314="尾"),IF($E314="⑬計量工程入力","",INDEX(⑰工程労務費一覧!$P$5:$P$11,MATCH($E314,⑰工程労務費一覧!$K$5:$K$11,0))),IF(AND($D314="",OR($E314="②釜工程入力",$E314="③スチコン工程入力")),INDEX(⑰工程労務費一覧!$N$5:$N$11,MATCH($E314,⑰工程労務費一覧!$K$5:$K$11,0))/1000,""))))),IF(OR($D314="g",$D314="ｇ"),INDEX(⑰工程労務費一覧!$H$5:$H$753,MATCH($F314,⑰工程労務費一覧!$D$5:$D$753,0))/1000,IF($D314="kg",INDEX(⑰工程労務費一覧!$H$5:$H$753,MATCH($F314,⑰工程労務費一覧!$D$5:$D$753,0)),INDEX(⑰工程労務費一覧!$I$5:$I$753,MATCH($F314,⑰工程労務費一覧!$D$5:$D$753,0)))))),"")</f>
        <v/>
      </c>
      <c r="I314" s="392">
        <f>IF($K314&gt;0,IF(ISNUMBER(IF(OR($D314="g",$D314="ｇ"),IF($M314&gt;0,$L314/$M314/1000,""),IF($D314="kg",IF($M314&gt;0,$L314/$M314,""),IF($D314="",IF($M314&gt;0,$L314/$M314/1000,IF($O314&gt;0,$N314/$O314,"")),IF($O314&gt;0,$N314/$O314,""))))),IF($D314="",IF($M314&gt;0,"◎ JAN紐づけ(g扱い)","◎ JAN紐づけ(個扱い)"),"◎ JAN紐づけ"),"△ JAN紐づけ済・実績不足→仮計算"),IF($F314="",IF(ISNUMBER($H314),IF($D314="","⑤ 工程平均で仮計算(g扱い)","⑤ 工程平均で仮計算"),IF($E314="⑩盛付梱包工程入力","⑥ 盛り込み(⑳F列で計上)",IF(AND($E314="⑬計量工程入力",OR($D314="個",$D314="切",$D314="本",$D314="枚",$D314="尾")),"① 未紐づけ(カット個単位は仮単価なし)","① 未紐づけ"))),IF(NOT(ISNUMBER($H314)),"② 工程側に単価なし",IF($D314="","③ 単位未設定(個で計算)","④ OK"))))</f>
        <v/>
      </c>
      <c r="J314" s="399">
        <f>IFERROR(LOOKUP(2,1/((中間品リスト!$F$2:$F$1299=$B314)*(中間品リスト!$E$2:$E$1299&lt;&gt;"-")*(中間品リスト!$E$2:$E$1299&lt;&gt;"")),中間品リスト!$E$2:$E$1299),"")</f>
        <v/>
      </c>
      <c r="K314" s="400">
        <f>IF($J314="",0,COUNTIF(②釜工程入力!$S$5:$S$117,$J314)+COUNTIF(③スチコン工程入力!$S$5:$S$152,$J314)+COUNTIF(⑪ZEN工程入力!$S$6:$S$35,$J314)+COUNTIF(⑫ミキサー工程入力!$S$6:$S$65,$J314)+COUNTIF(⑬計量工程入力!$S$6:$S$65,$J314)+COUNTIF(⑭手動工程入力!$S$6:$S$47,$J314))</f>
        <v/>
      </c>
      <c r="L314" s="393">
        <f>IF($J314="",0,SUMIFS(②釜工程入力!$M$5:$M$117,②釜工程入力!$S$5:$S$117,$J314,②釜工程入力!$I$5:$I$117,"&gt;0")+SUMIFS(③スチコン工程入力!$M$5:$M$152,③スチコン工程入力!$S$5:$S$152,$J314,③スチコン工程入力!$I$5:$I$152,"&gt;0")+SUMIFS(⑪ZEN工程入力!$M$6:$M$35,⑪ZEN工程入力!$S$6:$S$35,$J314,⑪ZEN工程入力!$I$6:$I$35,"&gt;0")+SUMIFS(⑫ミキサー工程入力!$M$6:$M$65,⑫ミキサー工程入力!$S$6:$S$65,$J314,⑫ミキサー工程入力!$I$6:$I$65,"&gt;0")+SUMIFS(⑬計量工程入力!$M$6:$M$65,⑬計量工程入力!$S$6:$S$65,$J314,⑬計量工程入力!$I$6:$I$65,"&gt;0")+SUMIFS(⑭手動工程入力!$M$6:$M$47,⑭手動工程入力!$S$6:$S$47,$J314,⑭手動工程入力!$I$6:$I$47,"&gt;0"))</f>
        <v/>
      </c>
      <c r="M314" s="393">
        <f>IF($J314="",0,SUMIFS(②釜工程入力!$I$5:$I$117,②釜工程入力!$S$5:$S$117,$J314,②釜工程入力!$I$5:$I$117,"&gt;0",②釜工程入力!$M$5:$M$117,"&gt;0")+SUMIFS(③スチコン工程入力!$I$5:$I$152,③スチコン工程入力!$S$5:$S$152,$J314,③スチコン工程入力!$I$5:$I$152,"&gt;0",③スチコン工程入力!$M$5:$M$152,"&gt;0")+SUMIFS(⑪ZEN工程入力!$I$6:$I$35,⑪ZEN工程入力!$S$6:$S$35,$J314,⑪ZEN工程入力!$I$6:$I$35,"&gt;0",⑪ZEN工程入力!$M$6:$M$35,"&gt;0")+SUMIFS(⑫ミキサー工程入力!$I$6:$I$65,⑫ミキサー工程入力!$S$6:$S$65,$J314,⑫ミキサー工程入力!$I$6:$I$65,"&gt;0",⑫ミキサー工程入力!$M$6:$M$65,"&gt;0")+SUMIFS(⑬計量工程入力!$I$6:$I$65,⑬計量工程入力!$S$6:$S$65,$J314,⑬計量工程入力!$I$6:$I$65,"&gt;0",⑬計量工程入力!$M$6:$M$65,"&gt;0")+SUMIFS(⑭手動工程入力!$I$6:$I$47,⑭手動工程入力!$S$6:$S$47,$J314,⑭手動工程入力!$I$6:$I$47,"&gt;0",⑭手動工程入力!$M$6:$M$47,"&gt;0"))</f>
        <v/>
      </c>
      <c r="N314" s="393">
        <f>IF($J314="",0,SUMIFS(②釜工程入力!$M$5:$M$117,②釜工程入力!$S$5:$S$117,$J314,②釜工程入力!$J$5:$J$117,"&gt;0")-SUMIFS(②釜工程入力!$M$5:$M$117,②釜工程入力!$S$5:$S$117,$J314,②釜工程入力!$J$5:$J$117,"&gt;0",②釜工程入力!$I$5:$I$117,"&gt;0")+SUMIFS(③スチコン工程入力!$M$5:$M$152,③スチコン工程入力!$S$5:$S$152,$J314,③スチコン工程入力!$J$5:$J$152,"&gt;0")-SUMIFS(③スチコン工程入力!$M$5:$M$152,③スチコン工程入力!$S$5:$S$152,$J314,③スチコン工程入力!$J$5:$J$152,"&gt;0",③スチコン工程入力!$I$5:$I$152,"&gt;0")+SUMIFS(⑪ZEN工程入力!$M$6:$M$35,⑪ZEN工程入力!$S$6:$S$35,$J314,⑪ZEN工程入力!$J$6:$J$35,"&gt;0")-SUMIFS(⑪ZEN工程入力!$M$6:$M$35,⑪ZEN工程入力!$S$6:$S$35,$J314,⑪ZEN工程入力!$J$6:$J$35,"&gt;0",⑪ZEN工程入力!$I$6:$I$35,"&gt;0")+SUMIFS(⑫ミキサー工程入力!$M$6:$M$65,⑫ミキサー工程入力!$S$6:$S$65,$J314,⑫ミキサー工程入力!$J$6:$J$65,"&gt;0")-SUMIFS(⑫ミキサー工程入力!$M$6:$M$65,⑫ミキサー工程入力!$S$6:$S$65,$J314,⑫ミキサー工程入力!$J$6:$J$65,"&gt;0",⑫ミキサー工程入力!$I$6:$I$65,"&gt;0")+SUMIFS(⑬計量工程入力!$M$6:$M$65,⑬計量工程入力!$S$6:$S$65,$J314,⑬計量工程入力!$J$6:$J$65,"&gt;0")-SUMIFS(⑬計量工程入力!$M$6:$M$65,⑬計量工程入力!$S$6:$S$65,$J314,⑬計量工程入力!$J$6:$J$65,"&gt;0",⑬計量工程入力!$I$6:$I$65,"&gt;0")+SUMIFS(⑭手動工程入力!$M$6:$M$47,⑭手動工程入力!$S$6:$S$47,$J314,⑭手動工程入力!$J$6:$J$47,"&gt;0")-SUMIFS(⑭手動工程入力!$M$6:$M$47,⑭手動工程入力!$S$6:$S$47,$J314,⑭手動工程入力!$J$6:$J$47,"&gt;0",⑭手動工程入力!$I$6:$I$47,"&gt;0"))</f>
        <v/>
      </c>
      <c r="O314" s="393">
        <f>IF($J314="",0,SUMIFS(②釜工程入力!$J$5:$J$117,②釜工程入力!$S$5:$S$117,$J314,②釜工程入力!$J$5:$J$117,"&gt;0",②釜工程入力!$M$5:$M$117,"&gt;0")-SUMIFS(②釜工程入力!$J$5:$J$117,②釜工程入力!$S$5:$S$117,$J314,②釜工程入力!$J$5:$J$117,"&gt;0",②釜工程入力!$I$5:$I$117,"&gt;0",②釜工程入力!$M$5:$M$117,"&gt;0")+SUMIFS(③スチコン工程入力!$J$5:$J$152,③スチコン工程入力!$S$5:$S$152,$J314,③スチコン工程入力!$J$5:$J$152,"&gt;0",③スチコン工程入力!$M$5:$M$152,"&gt;0")-SUMIFS(③スチコン工程入力!$J$5:$J$152,③スチコン工程入力!$S$5:$S$152,$J314,③スチコン工程入力!$J$5:$J$152,"&gt;0",③スチコン工程入力!$I$5:$I$152,"&gt;0",③スチコン工程入力!$M$5:$M$152,"&gt;0")+SUMIFS(⑪ZEN工程入力!$J$6:$J$35,⑪ZEN工程入力!$S$6:$S$35,$J314,⑪ZEN工程入力!$J$6:$J$35,"&gt;0",⑪ZEN工程入力!$M$6:$M$35,"&gt;0")-SUMIFS(⑪ZEN工程入力!$J$6:$J$35,⑪ZEN工程入力!$S$6:$S$35,$J314,⑪ZEN工程入力!$J$6:$J$35,"&gt;0",⑪ZEN工程入力!$I$6:$I$35,"&gt;0",⑪ZEN工程入力!$M$6:$M$35,"&gt;0")+SUMIFS(⑫ミキサー工程入力!$J$6:$J$65,⑫ミキサー工程入力!$S$6:$S$65,$J314,⑫ミキサー工程入力!$J$6:$J$65,"&gt;0",⑫ミキサー工程入力!$M$6:$M$65,"&gt;0")-SUMIFS(⑫ミキサー工程入力!$J$6:$J$65,⑫ミキサー工程入力!$S$6:$S$65,$J314,⑫ミキサー工程入力!$J$6:$J$65,"&gt;0",⑫ミキサー工程入力!$I$6:$I$65,"&gt;0",⑫ミキサー工程入力!$M$6:$M$65,"&gt;0")+SUMIFS(⑬計量工程入力!$J$6:$J$65,⑬計量工程入力!$S$6:$S$65,$J314,⑬計量工程入力!$J$6:$J$65,"&gt;0",⑬計量工程入力!$M$6:$M$65,"&gt;0")-SUMIFS(⑬計量工程入力!$J$6:$J$65,⑬計量工程入力!$S$6:$S$65,$J314,⑬計量工程入力!$J$6:$J$65,"&gt;0",⑬計量工程入力!$I$6:$I$65,"&gt;0",⑬計量工程入力!$M$6:$M$65,"&gt;0")+SUMIFS(⑭手動工程入力!$J$6:$J$47,⑭手動工程入力!$S$6:$S$47,$J314,⑭手動工程入力!$J$6:$J$47,"&gt;0",⑭手動工程入力!$M$6:$M$47,"&gt;0")-SUMIFS(⑭手動工程入力!$J$6:$J$47,⑭手動工程入力!$S$6:$S$47,$J314,⑭手動工程入力!$J$6:$J$47,"&gt;0",⑭手動工程入力!$I$6:$I$47,"&gt;0",⑭手動工程入力!$M$6:$M$47,"&gt;0"))</f>
        <v/>
      </c>
      <c r="P314" s="392" t="inlineStr">
        <is>
          <t>中間品リスト</t>
        </is>
      </c>
    </row>
    <row r="315">
      <c r="A315" s="392" t="n">
        <v>311</v>
      </c>
      <c r="B315" s="392" t="n"/>
      <c r="C315" s="392" t="n"/>
      <c r="D315" s="409" t="n"/>
      <c r="E315" s="392" t="n"/>
      <c r="F315" s="394" t="n"/>
      <c r="G315" s="392" t="n"/>
      <c r="H315" s="604">
        <f>IFERROR(IF(AND($K315&gt;0,ISNUMBER(IF(OR($D315="g",$D315="ｇ"),IF($M315&gt;0,$L315/$M315/1000,""),IF($D315="kg",IF($M315&gt;0,$L315/$M315,""),IF($D315="",IF($M315&gt;0,$L315/$M315/1000,IF($O315&gt;0,$N315/$O315,"")),IF($O315&gt;0,$N315/$O315,"")))))),IF(OR($D315="g",$D315="ｇ"),IF($M315&gt;0,$L315/$M315/1000,""),IF($D315="kg",IF($M315&gt;0,$L315/$M315,""),IF($D315="",IF($M315&gt;0,$L315/$M315/1000,IF($O315&gt;0,$N315/$O315,"")),IF($O315&gt;0,$N315/$O315,"")))),IF($F315="",IF(OR($E315="",$E315="⑩盛付梱包工程入力"),"",IF(OR($D315="g",$D315="ｇ"),INDEX(⑰工程労務費一覧!$N$5:$N$11,MATCH($E315,⑰工程労務費一覧!$K$5:$K$11,0))/1000,IF($D315="kg",INDEX(⑰工程労務費一覧!$N$5:$N$11,MATCH($E315,⑰工程労務費一覧!$K$5:$K$11,0)),IF(OR($D315="個",$D315="切",$D315="本",$D315="枚",$D315="尾"),IF($E315="⑬計量工程入力","",INDEX(⑰工程労務費一覧!$P$5:$P$11,MATCH($E315,⑰工程労務費一覧!$K$5:$K$11,0))),IF(AND($D315="",OR($E315="②釜工程入力",$E315="③スチコン工程入力")),INDEX(⑰工程労務費一覧!$N$5:$N$11,MATCH($E315,⑰工程労務費一覧!$K$5:$K$11,0))/1000,""))))),IF(OR($D315="g",$D315="ｇ"),INDEX(⑰工程労務費一覧!$H$5:$H$753,MATCH($F315,⑰工程労務費一覧!$D$5:$D$753,0))/1000,IF($D315="kg",INDEX(⑰工程労務費一覧!$H$5:$H$753,MATCH($F315,⑰工程労務費一覧!$D$5:$D$753,0)),INDEX(⑰工程労務費一覧!$I$5:$I$753,MATCH($F315,⑰工程労務費一覧!$D$5:$D$753,0)))))),"")</f>
        <v/>
      </c>
      <c r="I315" s="392">
        <f>IF($K315&gt;0,IF(ISNUMBER(IF(OR($D315="g",$D315="ｇ"),IF($M315&gt;0,$L315/$M315/1000,""),IF($D315="kg",IF($M315&gt;0,$L315/$M315,""),IF($D315="",IF($M315&gt;0,$L315/$M315/1000,IF($O315&gt;0,$N315/$O315,"")),IF($O315&gt;0,$N315/$O315,""))))),IF($D315="",IF($M315&gt;0,"◎ JAN紐づけ(g扱い)","◎ JAN紐づけ(個扱い)"),"◎ JAN紐づけ"),"△ JAN紐づけ済・実績不足→仮計算"),IF($F315="",IF(ISNUMBER($H315),IF($D315="","⑤ 工程平均で仮計算(g扱い)","⑤ 工程平均で仮計算"),IF($E315="⑩盛付梱包工程入力","⑥ 盛り込み(⑳F列で計上)",IF(AND($E315="⑬計量工程入力",OR($D315="個",$D315="切",$D315="本",$D315="枚",$D315="尾")),"① 未紐づけ(カット個単位は仮単価なし)","① 未紐づけ"))),IF(NOT(ISNUMBER($H315)),"② 工程側に単価なし",IF($D315="","③ 単位未設定(個で計算)","④ OK"))))</f>
        <v/>
      </c>
      <c r="J315" s="399">
        <f>IFERROR(LOOKUP(2,1/((中間品リスト!$F$2:$F$1299=$B315)*(中間品リスト!$E$2:$E$1299&lt;&gt;"-")*(中間品リスト!$E$2:$E$1299&lt;&gt;"")),中間品リスト!$E$2:$E$1299),"")</f>
        <v/>
      </c>
      <c r="K315" s="400">
        <f>IF($J315="",0,COUNTIF(②釜工程入力!$S$5:$S$117,$J315)+COUNTIF(③スチコン工程入力!$S$5:$S$152,$J315)+COUNTIF(⑪ZEN工程入力!$S$6:$S$35,$J315)+COUNTIF(⑫ミキサー工程入力!$S$6:$S$65,$J315)+COUNTIF(⑬計量工程入力!$S$6:$S$65,$J315)+COUNTIF(⑭手動工程入力!$S$6:$S$47,$J315))</f>
        <v/>
      </c>
      <c r="L315" s="393">
        <f>IF($J315="",0,SUMIFS(②釜工程入力!$M$5:$M$117,②釜工程入力!$S$5:$S$117,$J315,②釜工程入力!$I$5:$I$117,"&gt;0")+SUMIFS(③スチコン工程入力!$M$5:$M$152,③スチコン工程入力!$S$5:$S$152,$J315,③スチコン工程入力!$I$5:$I$152,"&gt;0")+SUMIFS(⑪ZEN工程入力!$M$6:$M$35,⑪ZEN工程入力!$S$6:$S$35,$J315,⑪ZEN工程入力!$I$6:$I$35,"&gt;0")+SUMIFS(⑫ミキサー工程入力!$M$6:$M$65,⑫ミキサー工程入力!$S$6:$S$65,$J315,⑫ミキサー工程入力!$I$6:$I$65,"&gt;0")+SUMIFS(⑬計量工程入力!$M$6:$M$65,⑬計量工程入力!$S$6:$S$65,$J315,⑬計量工程入力!$I$6:$I$65,"&gt;0")+SUMIFS(⑭手動工程入力!$M$6:$M$47,⑭手動工程入力!$S$6:$S$47,$J315,⑭手動工程入力!$I$6:$I$47,"&gt;0"))</f>
        <v/>
      </c>
      <c r="M315" s="393">
        <f>IF($J315="",0,SUMIFS(②釜工程入力!$I$5:$I$117,②釜工程入力!$S$5:$S$117,$J315,②釜工程入力!$I$5:$I$117,"&gt;0",②釜工程入力!$M$5:$M$117,"&gt;0")+SUMIFS(③スチコン工程入力!$I$5:$I$152,③スチコン工程入力!$S$5:$S$152,$J315,③スチコン工程入力!$I$5:$I$152,"&gt;0",③スチコン工程入力!$M$5:$M$152,"&gt;0")+SUMIFS(⑪ZEN工程入力!$I$6:$I$35,⑪ZEN工程入力!$S$6:$S$35,$J315,⑪ZEN工程入力!$I$6:$I$35,"&gt;0",⑪ZEN工程入力!$M$6:$M$35,"&gt;0")+SUMIFS(⑫ミキサー工程入力!$I$6:$I$65,⑫ミキサー工程入力!$S$6:$S$65,$J315,⑫ミキサー工程入力!$I$6:$I$65,"&gt;0",⑫ミキサー工程入力!$M$6:$M$65,"&gt;0")+SUMIFS(⑬計量工程入力!$I$6:$I$65,⑬計量工程入力!$S$6:$S$65,$J315,⑬計量工程入力!$I$6:$I$65,"&gt;0",⑬計量工程入力!$M$6:$M$65,"&gt;0")+SUMIFS(⑭手動工程入力!$I$6:$I$47,⑭手動工程入力!$S$6:$S$47,$J315,⑭手動工程入力!$I$6:$I$47,"&gt;0",⑭手動工程入力!$M$6:$M$47,"&gt;0"))</f>
        <v/>
      </c>
      <c r="N315" s="393">
        <f>IF($J315="",0,SUMIFS(②釜工程入力!$M$5:$M$117,②釜工程入力!$S$5:$S$117,$J315,②釜工程入力!$J$5:$J$117,"&gt;0")-SUMIFS(②釜工程入力!$M$5:$M$117,②釜工程入力!$S$5:$S$117,$J315,②釜工程入力!$J$5:$J$117,"&gt;0",②釜工程入力!$I$5:$I$117,"&gt;0")+SUMIFS(③スチコン工程入力!$M$5:$M$152,③スチコン工程入力!$S$5:$S$152,$J315,③スチコン工程入力!$J$5:$J$152,"&gt;0")-SUMIFS(③スチコン工程入力!$M$5:$M$152,③スチコン工程入力!$S$5:$S$152,$J315,③スチコン工程入力!$J$5:$J$152,"&gt;0",③スチコン工程入力!$I$5:$I$152,"&gt;0")+SUMIFS(⑪ZEN工程入力!$M$6:$M$35,⑪ZEN工程入力!$S$6:$S$35,$J315,⑪ZEN工程入力!$J$6:$J$35,"&gt;0")-SUMIFS(⑪ZEN工程入力!$M$6:$M$35,⑪ZEN工程入力!$S$6:$S$35,$J315,⑪ZEN工程入力!$J$6:$J$35,"&gt;0",⑪ZEN工程入力!$I$6:$I$35,"&gt;0")+SUMIFS(⑫ミキサー工程入力!$M$6:$M$65,⑫ミキサー工程入力!$S$6:$S$65,$J315,⑫ミキサー工程入力!$J$6:$J$65,"&gt;0")-SUMIFS(⑫ミキサー工程入力!$M$6:$M$65,⑫ミキサー工程入力!$S$6:$S$65,$J315,⑫ミキサー工程入力!$J$6:$J$65,"&gt;0",⑫ミキサー工程入力!$I$6:$I$65,"&gt;0")+SUMIFS(⑬計量工程入力!$M$6:$M$65,⑬計量工程入力!$S$6:$S$65,$J315,⑬計量工程入力!$J$6:$J$65,"&gt;0")-SUMIFS(⑬計量工程入力!$M$6:$M$65,⑬計量工程入力!$S$6:$S$65,$J315,⑬計量工程入力!$J$6:$J$65,"&gt;0",⑬計量工程入力!$I$6:$I$65,"&gt;0")+SUMIFS(⑭手動工程入力!$M$6:$M$47,⑭手動工程入力!$S$6:$S$47,$J315,⑭手動工程入力!$J$6:$J$47,"&gt;0")-SUMIFS(⑭手動工程入力!$M$6:$M$47,⑭手動工程入力!$S$6:$S$47,$J315,⑭手動工程入力!$J$6:$J$47,"&gt;0",⑭手動工程入力!$I$6:$I$47,"&gt;0"))</f>
        <v/>
      </c>
      <c r="O315" s="393">
        <f>IF($J315="",0,SUMIFS(②釜工程入力!$J$5:$J$117,②釜工程入力!$S$5:$S$117,$J315,②釜工程入力!$J$5:$J$117,"&gt;0",②釜工程入力!$M$5:$M$117,"&gt;0")-SUMIFS(②釜工程入力!$J$5:$J$117,②釜工程入力!$S$5:$S$117,$J315,②釜工程入力!$J$5:$J$117,"&gt;0",②釜工程入力!$I$5:$I$117,"&gt;0",②釜工程入力!$M$5:$M$117,"&gt;0")+SUMIFS(③スチコン工程入力!$J$5:$J$152,③スチコン工程入力!$S$5:$S$152,$J315,③スチコン工程入力!$J$5:$J$152,"&gt;0",③スチコン工程入力!$M$5:$M$152,"&gt;0")-SUMIFS(③スチコン工程入力!$J$5:$J$152,③スチコン工程入力!$S$5:$S$152,$J315,③スチコン工程入力!$J$5:$J$152,"&gt;0",③スチコン工程入力!$I$5:$I$152,"&gt;0",③スチコン工程入力!$M$5:$M$152,"&gt;0")+SUMIFS(⑪ZEN工程入力!$J$6:$J$35,⑪ZEN工程入力!$S$6:$S$35,$J315,⑪ZEN工程入力!$J$6:$J$35,"&gt;0",⑪ZEN工程入力!$M$6:$M$35,"&gt;0")-SUMIFS(⑪ZEN工程入力!$J$6:$J$35,⑪ZEN工程入力!$S$6:$S$35,$J315,⑪ZEN工程入力!$J$6:$J$35,"&gt;0",⑪ZEN工程入力!$I$6:$I$35,"&gt;0",⑪ZEN工程入力!$M$6:$M$35,"&gt;0")+SUMIFS(⑫ミキサー工程入力!$J$6:$J$65,⑫ミキサー工程入力!$S$6:$S$65,$J315,⑫ミキサー工程入力!$J$6:$J$65,"&gt;0",⑫ミキサー工程入力!$M$6:$M$65,"&gt;0")-SUMIFS(⑫ミキサー工程入力!$J$6:$J$65,⑫ミキサー工程入力!$S$6:$S$65,$J315,⑫ミキサー工程入力!$J$6:$J$65,"&gt;0",⑫ミキサー工程入力!$I$6:$I$65,"&gt;0",⑫ミキサー工程入力!$M$6:$M$65,"&gt;0")+SUMIFS(⑬計量工程入力!$J$6:$J$65,⑬計量工程入力!$S$6:$S$65,$J315,⑬計量工程入力!$J$6:$J$65,"&gt;0",⑬計量工程入力!$M$6:$M$65,"&gt;0")-SUMIFS(⑬計量工程入力!$J$6:$J$65,⑬計量工程入力!$S$6:$S$65,$J315,⑬計量工程入力!$J$6:$J$65,"&gt;0",⑬計量工程入力!$I$6:$I$65,"&gt;0",⑬計量工程入力!$M$6:$M$65,"&gt;0")+SUMIFS(⑭手動工程入力!$J$6:$J$47,⑭手動工程入力!$S$6:$S$47,$J315,⑭手動工程入力!$J$6:$J$47,"&gt;0",⑭手動工程入力!$M$6:$M$47,"&gt;0")-SUMIFS(⑭手動工程入力!$J$6:$J$47,⑭手動工程入力!$S$6:$S$47,$J315,⑭手動工程入力!$J$6:$J$47,"&gt;0",⑭手動工程入力!$I$6:$I$47,"&gt;0",⑭手動工程入力!$M$6:$M$47,"&gt;0"))</f>
        <v/>
      </c>
      <c r="P315" s="392" t="inlineStr">
        <is>
          <t>中間品リスト</t>
        </is>
      </c>
    </row>
    <row r="316">
      <c r="A316" s="392" t="n">
        <v>312</v>
      </c>
      <c r="B316" s="392" t="n"/>
      <c r="C316" s="392" t="n"/>
      <c r="D316" s="409" t="n"/>
      <c r="E316" s="392" t="n"/>
      <c r="F316" s="394" t="n"/>
      <c r="G316" s="392" t="n"/>
      <c r="H316" s="604">
        <f>IFERROR(IF(AND($K316&gt;0,ISNUMBER(IF(OR($D316="g",$D316="ｇ"),IF($M316&gt;0,$L316/$M316/1000,""),IF($D316="kg",IF($M316&gt;0,$L316/$M316,""),IF($D316="",IF($M316&gt;0,$L316/$M316/1000,IF($O316&gt;0,$N316/$O316,"")),IF($O316&gt;0,$N316/$O316,"")))))),IF(OR($D316="g",$D316="ｇ"),IF($M316&gt;0,$L316/$M316/1000,""),IF($D316="kg",IF($M316&gt;0,$L316/$M316,""),IF($D316="",IF($M316&gt;0,$L316/$M316/1000,IF($O316&gt;0,$N316/$O316,"")),IF($O316&gt;0,$N316/$O316,"")))),IF($F316="",IF(OR($E316="",$E316="⑩盛付梱包工程入力"),"",IF(OR($D316="g",$D316="ｇ"),INDEX(⑰工程労務費一覧!$N$5:$N$11,MATCH($E316,⑰工程労務費一覧!$K$5:$K$11,0))/1000,IF($D316="kg",INDEX(⑰工程労務費一覧!$N$5:$N$11,MATCH($E316,⑰工程労務費一覧!$K$5:$K$11,0)),IF(OR($D316="個",$D316="切",$D316="本",$D316="枚",$D316="尾"),IF($E316="⑬計量工程入力","",INDEX(⑰工程労務費一覧!$P$5:$P$11,MATCH($E316,⑰工程労務費一覧!$K$5:$K$11,0))),IF(AND($D316="",OR($E316="②釜工程入力",$E316="③スチコン工程入力")),INDEX(⑰工程労務費一覧!$N$5:$N$11,MATCH($E316,⑰工程労務費一覧!$K$5:$K$11,0))/1000,""))))),IF(OR($D316="g",$D316="ｇ"),INDEX(⑰工程労務費一覧!$H$5:$H$753,MATCH($F316,⑰工程労務費一覧!$D$5:$D$753,0))/1000,IF($D316="kg",INDEX(⑰工程労務費一覧!$H$5:$H$753,MATCH($F316,⑰工程労務費一覧!$D$5:$D$753,0)),INDEX(⑰工程労務費一覧!$I$5:$I$753,MATCH($F316,⑰工程労務費一覧!$D$5:$D$753,0)))))),"")</f>
        <v/>
      </c>
      <c r="I316" s="392">
        <f>IF($K316&gt;0,IF(ISNUMBER(IF(OR($D316="g",$D316="ｇ"),IF($M316&gt;0,$L316/$M316/1000,""),IF($D316="kg",IF($M316&gt;0,$L316/$M316,""),IF($D316="",IF($M316&gt;0,$L316/$M316/1000,IF($O316&gt;0,$N316/$O316,"")),IF($O316&gt;0,$N316/$O316,""))))),IF($D316="",IF($M316&gt;0,"◎ JAN紐づけ(g扱い)","◎ JAN紐づけ(個扱い)"),"◎ JAN紐づけ"),"△ JAN紐づけ済・実績不足→仮計算"),IF($F316="",IF(ISNUMBER($H316),IF($D316="","⑤ 工程平均で仮計算(g扱い)","⑤ 工程平均で仮計算"),IF($E316="⑩盛付梱包工程入力","⑥ 盛り込み(⑳F列で計上)",IF(AND($E316="⑬計量工程入力",OR($D316="個",$D316="切",$D316="本",$D316="枚",$D316="尾")),"① 未紐づけ(カット個単位は仮単価なし)","① 未紐づけ"))),IF(NOT(ISNUMBER($H316)),"② 工程側に単価なし",IF($D316="","③ 単位未設定(個で計算)","④ OK"))))</f>
        <v/>
      </c>
      <c r="J316" s="399">
        <f>IFERROR(LOOKUP(2,1/((中間品リスト!$F$2:$F$1299=$B316)*(中間品リスト!$E$2:$E$1299&lt;&gt;"-")*(中間品リスト!$E$2:$E$1299&lt;&gt;"")),中間品リスト!$E$2:$E$1299),"")</f>
        <v/>
      </c>
      <c r="K316" s="400">
        <f>IF($J316="",0,COUNTIF(②釜工程入力!$S$5:$S$117,$J316)+COUNTIF(③スチコン工程入力!$S$5:$S$152,$J316)+COUNTIF(⑪ZEN工程入力!$S$6:$S$35,$J316)+COUNTIF(⑫ミキサー工程入力!$S$6:$S$65,$J316)+COUNTIF(⑬計量工程入力!$S$6:$S$65,$J316)+COUNTIF(⑭手動工程入力!$S$6:$S$47,$J316))</f>
        <v/>
      </c>
      <c r="L316" s="393">
        <f>IF($J316="",0,SUMIFS(②釜工程入力!$M$5:$M$117,②釜工程入力!$S$5:$S$117,$J316,②釜工程入力!$I$5:$I$117,"&gt;0")+SUMIFS(③スチコン工程入力!$M$5:$M$152,③スチコン工程入力!$S$5:$S$152,$J316,③スチコン工程入力!$I$5:$I$152,"&gt;0")+SUMIFS(⑪ZEN工程入力!$M$6:$M$35,⑪ZEN工程入力!$S$6:$S$35,$J316,⑪ZEN工程入力!$I$6:$I$35,"&gt;0")+SUMIFS(⑫ミキサー工程入力!$M$6:$M$65,⑫ミキサー工程入力!$S$6:$S$65,$J316,⑫ミキサー工程入力!$I$6:$I$65,"&gt;0")+SUMIFS(⑬計量工程入力!$M$6:$M$65,⑬計量工程入力!$S$6:$S$65,$J316,⑬計量工程入力!$I$6:$I$65,"&gt;0")+SUMIFS(⑭手動工程入力!$M$6:$M$47,⑭手動工程入力!$S$6:$S$47,$J316,⑭手動工程入力!$I$6:$I$47,"&gt;0"))</f>
        <v/>
      </c>
      <c r="M316" s="393">
        <f>IF($J316="",0,SUMIFS(②釜工程入力!$I$5:$I$117,②釜工程入力!$S$5:$S$117,$J316,②釜工程入力!$I$5:$I$117,"&gt;0",②釜工程入力!$M$5:$M$117,"&gt;0")+SUMIFS(③スチコン工程入力!$I$5:$I$152,③スチコン工程入力!$S$5:$S$152,$J316,③スチコン工程入力!$I$5:$I$152,"&gt;0",③スチコン工程入力!$M$5:$M$152,"&gt;0")+SUMIFS(⑪ZEN工程入力!$I$6:$I$35,⑪ZEN工程入力!$S$6:$S$35,$J316,⑪ZEN工程入力!$I$6:$I$35,"&gt;0",⑪ZEN工程入力!$M$6:$M$35,"&gt;0")+SUMIFS(⑫ミキサー工程入力!$I$6:$I$65,⑫ミキサー工程入力!$S$6:$S$65,$J316,⑫ミキサー工程入力!$I$6:$I$65,"&gt;0",⑫ミキサー工程入力!$M$6:$M$65,"&gt;0")+SUMIFS(⑬計量工程入力!$I$6:$I$65,⑬計量工程入力!$S$6:$S$65,$J316,⑬計量工程入力!$I$6:$I$65,"&gt;0",⑬計量工程入力!$M$6:$M$65,"&gt;0")+SUMIFS(⑭手動工程入力!$I$6:$I$47,⑭手動工程入力!$S$6:$S$47,$J316,⑭手動工程入力!$I$6:$I$47,"&gt;0",⑭手動工程入力!$M$6:$M$47,"&gt;0"))</f>
        <v/>
      </c>
      <c r="N316" s="393">
        <f>IF($J316="",0,SUMIFS(②釜工程入力!$M$5:$M$117,②釜工程入力!$S$5:$S$117,$J316,②釜工程入力!$J$5:$J$117,"&gt;0")-SUMIFS(②釜工程入力!$M$5:$M$117,②釜工程入力!$S$5:$S$117,$J316,②釜工程入力!$J$5:$J$117,"&gt;0",②釜工程入力!$I$5:$I$117,"&gt;0")+SUMIFS(③スチコン工程入力!$M$5:$M$152,③スチコン工程入力!$S$5:$S$152,$J316,③スチコン工程入力!$J$5:$J$152,"&gt;0")-SUMIFS(③スチコン工程入力!$M$5:$M$152,③スチコン工程入力!$S$5:$S$152,$J316,③スチコン工程入力!$J$5:$J$152,"&gt;0",③スチコン工程入力!$I$5:$I$152,"&gt;0")+SUMIFS(⑪ZEN工程入力!$M$6:$M$35,⑪ZEN工程入力!$S$6:$S$35,$J316,⑪ZEN工程入力!$J$6:$J$35,"&gt;0")-SUMIFS(⑪ZEN工程入力!$M$6:$M$35,⑪ZEN工程入力!$S$6:$S$35,$J316,⑪ZEN工程入力!$J$6:$J$35,"&gt;0",⑪ZEN工程入力!$I$6:$I$35,"&gt;0")+SUMIFS(⑫ミキサー工程入力!$M$6:$M$65,⑫ミキサー工程入力!$S$6:$S$65,$J316,⑫ミキサー工程入力!$J$6:$J$65,"&gt;0")-SUMIFS(⑫ミキサー工程入力!$M$6:$M$65,⑫ミキサー工程入力!$S$6:$S$65,$J316,⑫ミキサー工程入力!$J$6:$J$65,"&gt;0",⑫ミキサー工程入力!$I$6:$I$65,"&gt;0")+SUMIFS(⑬計量工程入力!$M$6:$M$65,⑬計量工程入力!$S$6:$S$65,$J316,⑬計量工程入力!$J$6:$J$65,"&gt;0")-SUMIFS(⑬計量工程入力!$M$6:$M$65,⑬計量工程入力!$S$6:$S$65,$J316,⑬計量工程入力!$J$6:$J$65,"&gt;0",⑬計量工程入力!$I$6:$I$65,"&gt;0")+SUMIFS(⑭手動工程入力!$M$6:$M$47,⑭手動工程入力!$S$6:$S$47,$J316,⑭手動工程入力!$J$6:$J$47,"&gt;0")-SUMIFS(⑭手動工程入力!$M$6:$M$47,⑭手動工程入力!$S$6:$S$47,$J316,⑭手動工程入力!$J$6:$J$47,"&gt;0",⑭手動工程入力!$I$6:$I$47,"&gt;0"))</f>
        <v/>
      </c>
      <c r="O316" s="393">
        <f>IF($J316="",0,SUMIFS(②釜工程入力!$J$5:$J$117,②釜工程入力!$S$5:$S$117,$J316,②釜工程入力!$J$5:$J$117,"&gt;0",②釜工程入力!$M$5:$M$117,"&gt;0")-SUMIFS(②釜工程入力!$J$5:$J$117,②釜工程入力!$S$5:$S$117,$J316,②釜工程入力!$J$5:$J$117,"&gt;0",②釜工程入力!$I$5:$I$117,"&gt;0",②釜工程入力!$M$5:$M$117,"&gt;0")+SUMIFS(③スチコン工程入力!$J$5:$J$152,③スチコン工程入力!$S$5:$S$152,$J316,③スチコン工程入力!$J$5:$J$152,"&gt;0",③スチコン工程入力!$M$5:$M$152,"&gt;0")-SUMIFS(③スチコン工程入力!$J$5:$J$152,③スチコン工程入力!$S$5:$S$152,$J316,③スチコン工程入力!$J$5:$J$152,"&gt;0",③スチコン工程入力!$I$5:$I$152,"&gt;0",③スチコン工程入力!$M$5:$M$152,"&gt;0")+SUMIFS(⑪ZEN工程入力!$J$6:$J$35,⑪ZEN工程入力!$S$6:$S$35,$J316,⑪ZEN工程入力!$J$6:$J$35,"&gt;0",⑪ZEN工程入力!$M$6:$M$35,"&gt;0")-SUMIFS(⑪ZEN工程入力!$J$6:$J$35,⑪ZEN工程入力!$S$6:$S$35,$J316,⑪ZEN工程入力!$J$6:$J$35,"&gt;0",⑪ZEN工程入力!$I$6:$I$35,"&gt;0",⑪ZEN工程入力!$M$6:$M$35,"&gt;0")+SUMIFS(⑫ミキサー工程入力!$J$6:$J$65,⑫ミキサー工程入力!$S$6:$S$65,$J316,⑫ミキサー工程入力!$J$6:$J$65,"&gt;0",⑫ミキサー工程入力!$M$6:$M$65,"&gt;0")-SUMIFS(⑫ミキサー工程入力!$J$6:$J$65,⑫ミキサー工程入力!$S$6:$S$65,$J316,⑫ミキサー工程入力!$J$6:$J$65,"&gt;0",⑫ミキサー工程入力!$I$6:$I$65,"&gt;0",⑫ミキサー工程入力!$M$6:$M$65,"&gt;0")+SUMIFS(⑬計量工程入力!$J$6:$J$65,⑬計量工程入力!$S$6:$S$65,$J316,⑬計量工程入力!$J$6:$J$65,"&gt;0",⑬計量工程入力!$M$6:$M$65,"&gt;0")-SUMIFS(⑬計量工程入力!$J$6:$J$65,⑬計量工程入力!$S$6:$S$65,$J316,⑬計量工程入力!$J$6:$J$65,"&gt;0",⑬計量工程入力!$I$6:$I$65,"&gt;0",⑬計量工程入力!$M$6:$M$65,"&gt;0")+SUMIFS(⑭手動工程入力!$J$6:$J$47,⑭手動工程入力!$S$6:$S$47,$J316,⑭手動工程入力!$J$6:$J$47,"&gt;0",⑭手動工程入力!$M$6:$M$47,"&gt;0")-SUMIFS(⑭手動工程入力!$J$6:$J$47,⑭手動工程入力!$S$6:$S$47,$J316,⑭手動工程入力!$J$6:$J$47,"&gt;0",⑭手動工程入力!$I$6:$I$47,"&gt;0",⑭手動工程入力!$M$6:$M$47,"&gt;0"))</f>
        <v/>
      </c>
      <c r="P316" s="392" t="inlineStr">
        <is>
          <t>中間品リスト</t>
        </is>
      </c>
    </row>
    <row r="317">
      <c r="A317" s="392" t="n">
        <v>313</v>
      </c>
      <c r="B317" s="392" t="n"/>
      <c r="C317" s="392" t="n"/>
      <c r="D317" s="409" t="n"/>
      <c r="E317" s="392" t="n"/>
      <c r="F317" s="394" t="n"/>
      <c r="G317" s="392" t="n"/>
      <c r="H317" s="604">
        <f>IFERROR(IF(AND($K317&gt;0,ISNUMBER(IF(OR($D317="g",$D317="ｇ"),IF($M317&gt;0,$L317/$M317/1000,""),IF($D317="kg",IF($M317&gt;0,$L317/$M317,""),IF($D317="",IF($M317&gt;0,$L317/$M317/1000,IF($O317&gt;0,$N317/$O317,"")),IF($O317&gt;0,$N317/$O317,"")))))),IF(OR($D317="g",$D317="ｇ"),IF($M317&gt;0,$L317/$M317/1000,""),IF($D317="kg",IF($M317&gt;0,$L317/$M317,""),IF($D317="",IF($M317&gt;0,$L317/$M317/1000,IF($O317&gt;0,$N317/$O317,"")),IF($O317&gt;0,$N317/$O317,"")))),IF($F317="",IF(OR($E317="",$E317="⑩盛付梱包工程入力"),"",IF(OR($D317="g",$D317="ｇ"),INDEX(⑰工程労務費一覧!$N$5:$N$11,MATCH($E317,⑰工程労務費一覧!$K$5:$K$11,0))/1000,IF($D317="kg",INDEX(⑰工程労務費一覧!$N$5:$N$11,MATCH($E317,⑰工程労務費一覧!$K$5:$K$11,0)),IF(OR($D317="個",$D317="切",$D317="本",$D317="枚",$D317="尾"),IF($E317="⑬計量工程入力","",INDEX(⑰工程労務費一覧!$P$5:$P$11,MATCH($E317,⑰工程労務費一覧!$K$5:$K$11,0))),IF(AND($D317="",OR($E317="②釜工程入力",$E317="③スチコン工程入力")),INDEX(⑰工程労務費一覧!$N$5:$N$11,MATCH($E317,⑰工程労務費一覧!$K$5:$K$11,0))/1000,""))))),IF(OR($D317="g",$D317="ｇ"),INDEX(⑰工程労務費一覧!$H$5:$H$753,MATCH($F317,⑰工程労務費一覧!$D$5:$D$753,0))/1000,IF($D317="kg",INDEX(⑰工程労務費一覧!$H$5:$H$753,MATCH($F317,⑰工程労務費一覧!$D$5:$D$753,0)),INDEX(⑰工程労務費一覧!$I$5:$I$753,MATCH($F317,⑰工程労務費一覧!$D$5:$D$753,0)))))),"")</f>
        <v/>
      </c>
      <c r="I317" s="392">
        <f>IF($K317&gt;0,IF(ISNUMBER(IF(OR($D317="g",$D317="ｇ"),IF($M317&gt;0,$L317/$M317/1000,""),IF($D317="kg",IF($M317&gt;0,$L317/$M317,""),IF($D317="",IF($M317&gt;0,$L317/$M317/1000,IF($O317&gt;0,$N317/$O317,"")),IF($O317&gt;0,$N317/$O317,""))))),IF($D317="",IF($M317&gt;0,"◎ JAN紐づけ(g扱い)","◎ JAN紐づけ(個扱い)"),"◎ JAN紐づけ"),"△ JAN紐づけ済・実績不足→仮計算"),IF($F317="",IF(ISNUMBER($H317),IF($D317="","⑤ 工程平均で仮計算(g扱い)","⑤ 工程平均で仮計算"),IF($E317="⑩盛付梱包工程入力","⑥ 盛り込み(⑳F列で計上)",IF(AND($E317="⑬計量工程入力",OR($D317="個",$D317="切",$D317="本",$D317="枚",$D317="尾")),"① 未紐づけ(カット個単位は仮単価なし)","① 未紐づけ"))),IF(NOT(ISNUMBER($H317)),"② 工程側に単価なし",IF($D317="","③ 単位未設定(個で計算)","④ OK"))))</f>
        <v/>
      </c>
      <c r="J317" s="399">
        <f>IFERROR(LOOKUP(2,1/((中間品リスト!$F$2:$F$1299=$B317)*(中間品リスト!$E$2:$E$1299&lt;&gt;"-")*(中間品リスト!$E$2:$E$1299&lt;&gt;"")),中間品リスト!$E$2:$E$1299),"")</f>
        <v/>
      </c>
      <c r="K317" s="400">
        <f>IF($J317="",0,COUNTIF(②釜工程入力!$S$5:$S$117,$J317)+COUNTIF(③スチコン工程入力!$S$5:$S$152,$J317)+COUNTIF(⑪ZEN工程入力!$S$6:$S$35,$J317)+COUNTIF(⑫ミキサー工程入力!$S$6:$S$65,$J317)+COUNTIF(⑬計量工程入力!$S$6:$S$65,$J317)+COUNTIF(⑭手動工程入力!$S$6:$S$47,$J317))</f>
        <v/>
      </c>
      <c r="L317" s="393">
        <f>IF($J317="",0,SUMIFS(②釜工程入力!$M$5:$M$117,②釜工程入力!$S$5:$S$117,$J317,②釜工程入力!$I$5:$I$117,"&gt;0")+SUMIFS(③スチコン工程入力!$M$5:$M$152,③スチコン工程入力!$S$5:$S$152,$J317,③スチコン工程入力!$I$5:$I$152,"&gt;0")+SUMIFS(⑪ZEN工程入力!$M$6:$M$35,⑪ZEN工程入力!$S$6:$S$35,$J317,⑪ZEN工程入力!$I$6:$I$35,"&gt;0")+SUMIFS(⑫ミキサー工程入力!$M$6:$M$65,⑫ミキサー工程入力!$S$6:$S$65,$J317,⑫ミキサー工程入力!$I$6:$I$65,"&gt;0")+SUMIFS(⑬計量工程入力!$M$6:$M$65,⑬計量工程入力!$S$6:$S$65,$J317,⑬計量工程入力!$I$6:$I$65,"&gt;0")+SUMIFS(⑭手動工程入力!$M$6:$M$47,⑭手動工程入力!$S$6:$S$47,$J317,⑭手動工程入力!$I$6:$I$47,"&gt;0"))</f>
        <v/>
      </c>
      <c r="M317" s="393">
        <f>IF($J317="",0,SUMIFS(②釜工程入力!$I$5:$I$117,②釜工程入力!$S$5:$S$117,$J317,②釜工程入力!$I$5:$I$117,"&gt;0",②釜工程入力!$M$5:$M$117,"&gt;0")+SUMIFS(③スチコン工程入力!$I$5:$I$152,③スチコン工程入力!$S$5:$S$152,$J317,③スチコン工程入力!$I$5:$I$152,"&gt;0",③スチコン工程入力!$M$5:$M$152,"&gt;0")+SUMIFS(⑪ZEN工程入力!$I$6:$I$35,⑪ZEN工程入力!$S$6:$S$35,$J317,⑪ZEN工程入力!$I$6:$I$35,"&gt;0",⑪ZEN工程入力!$M$6:$M$35,"&gt;0")+SUMIFS(⑫ミキサー工程入力!$I$6:$I$65,⑫ミキサー工程入力!$S$6:$S$65,$J317,⑫ミキサー工程入力!$I$6:$I$65,"&gt;0",⑫ミキサー工程入力!$M$6:$M$65,"&gt;0")+SUMIFS(⑬計量工程入力!$I$6:$I$65,⑬計量工程入力!$S$6:$S$65,$J317,⑬計量工程入力!$I$6:$I$65,"&gt;0",⑬計量工程入力!$M$6:$M$65,"&gt;0")+SUMIFS(⑭手動工程入力!$I$6:$I$47,⑭手動工程入力!$S$6:$S$47,$J317,⑭手動工程入力!$I$6:$I$47,"&gt;0",⑭手動工程入力!$M$6:$M$47,"&gt;0"))</f>
        <v/>
      </c>
      <c r="N317" s="393">
        <f>IF($J317="",0,SUMIFS(②釜工程入力!$M$5:$M$117,②釜工程入力!$S$5:$S$117,$J317,②釜工程入力!$J$5:$J$117,"&gt;0")-SUMIFS(②釜工程入力!$M$5:$M$117,②釜工程入力!$S$5:$S$117,$J317,②釜工程入力!$J$5:$J$117,"&gt;0",②釜工程入力!$I$5:$I$117,"&gt;0")+SUMIFS(③スチコン工程入力!$M$5:$M$152,③スチコン工程入力!$S$5:$S$152,$J317,③スチコン工程入力!$J$5:$J$152,"&gt;0")-SUMIFS(③スチコン工程入力!$M$5:$M$152,③スチコン工程入力!$S$5:$S$152,$J317,③スチコン工程入力!$J$5:$J$152,"&gt;0",③スチコン工程入力!$I$5:$I$152,"&gt;0")+SUMIFS(⑪ZEN工程入力!$M$6:$M$35,⑪ZEN工程入力!$S$6:$S$35,$J317,⑪ZEN工程入力!$J$6:$J$35,"&gt;0")-SUMIFS(⑪ZEN工程入力!$M$6:$M$35,⑪ZEN工程入力!$S$6:$S$35,$J317,⑪ZEN工程入力!$J$6:$J$35,"&gt;0",⑪ZEN工程入力!$I$6:$I$35,"&gt;0")+SUMIFS(⑫ミキサー工程入力!$M$6:$M$65,⑫ミキサー工程入力!$S$6:$S$65,$J317,⑫ミキサー工程入力!$J$6:$J$65,"&gt;0")-SUMIFS(⑫ミキサー工程入力!$M$6:$M$65,⑫ミキサー工程入力!$S$6:$S$65,$J317,⑫ミキサー工程入力!$J$6:$J$65,"&gt;0",⑫ミキサー工程入力!$I$6:$I$65,"&gt;0")+SUMIFS(⑬計量工程入力!$M$6:$M$65,⑬計量工程入力!$S$6:$S$65,$J317,⑬計量工程入力!$J$6:$J$65,"&gt;0")-SUMIFS(⑬計量工程入力!$M$6:$M$65,⑬計量工程入力!$S$6:$S$65,$J317,⑬計量工程入力!$J$6:$J$65,"&gt;0",⑬計量工程入力!$I$6:$I$65,"&gt;0")+SUMIFS(⑭手動工程入力!$M$6:$M$47,⑭手動工程入力!$S$6:$S$47,$J317,⑭手動工程入力!$J$6:$J$47,"&gt;0")-SUMIFS(⑭手動工程入力!$M$6:$M$47,⑭手動工程入力!$S$6:$S$47,$J317,⑭手動工程入力!$J$6:$J$47,"&gt;0",⑭手動工程入力!$I$6:$I$47,"&gt;0"))</f>
        <v/>
      </c>
      <c r="O317" s="393">
        <f>IF($J317="",0,SUMIFS(②釜工程入力!$J$5:$J$117,②釜工程入力!$S$5:$S$117,$J317,②釜工程入力!$J$5:$J$117,"&gt;0",②釜工程入力!$M$5:$M$117,"&gt;0")-SUMIFS(②釜工程入力!$J$5:$J$117,②釜工程入力!$S$5:$S$117,$J317,②釜工程入力!$J$5:$J$117,"&gt;0",②釜工程入力!$I$5:$I$117,"&gt;0",②釜工程入力!$M$5:$M$117,"&gt;0")+SUMIFS(③スチコン工程入力!$J$5:$J$152,③スチコン工程入力!$S$5:$S$152,$J317,③スチコン工程入力!$J$5:$J$152,"&gt;0",③スチコン工程入力!$M$5:$M$152,"&gt;0")-SUMIFS(③スチコン工程入力!$J$5:$J$152,③スチコン工程入力!$S$5:$S$152,$J317,③スチコン工程入力!$J$5:$J$152,"&gt;0",③スチコン工程入力!$I$5:$I$152,"&gt;0",③スチコン工程入力!$M$5:$M$152,"&gt;0")+SUMIFS(⑪ZEN工程入力!$J$6:$J$35,⑪ZEN工程入力!$S$6:$S$35,$J317,⑪ZEN工程入力!$J$6:$J$35,"&gt;0",⑪ZEN工程入力!$M$6:$M$35,"&gt;0")-SUMIFS(⑪ZEN工程入力!$J$6:$J$35,⑪ZEN工程入力!$S$6:$S$35,$J317,⑪ZEN工程入力!$J$6:$J$35,"&gt;0",⑪ZEN工程入力!$I$6:$I$35,"&gt;0",⑪ZEN工程入力!$M$6:$M$35,"&gt;0")+SUMIFS(⑫ミキサー工程入力!$J$6:$J$65,⑫ミキサー工程入力!$S$6:$S$65,$J317,⑫ミキサー工程入力!$J$6:$J$65,"&gt;0",⑫ミキサー工程入力!$M$6:$M$65,"&gt;0")-SUMIFS(⑫ミキサー工程入力!$J$6:$J$65,⑫ミキサー工程入力!$S$6:$S$65,$J317,⑫ミキサー工程入力!$J$6:$J$65,"&gt;0",⑫ミキサー工程入力!$I$6:$I$65,"&gt;0",⑫ミキサー工程入力!$M$6:$M$65,"&gt;0")+SUMIFS(⑬計量工程入力!$J$6:$J$65,⑬計量工程入力!$S$6:$S$65,$J317,⑬計量工程入力!$J$6:$J$65,"&gt;0",⑬計量工程入力!$M$6:$M$65,"&gt;0")-SUMIFS(⑬計量工程入力!$J$6:$J$65,⑬計量工程入力!$S$6:$S$65,$J317,⑬計量工程入力!$J$6:$J$65,"&gt;0",⑬計量工程入力!$I$6:$I$65,"&gt;0",⑬計量工程入力!$M$6:$M$65,"&gt;0")+SUMIFS(⑭手動工程入力!$J$6:$J$47,⑭手動工程入力!$S$6:$S$47,$J317,⑭手動工程入力!$J$6:$J$47,"&gt;0",⑭手動工程入力!$M$6:$M$47,"&gt;0")-SUMIFS(⑭手動工程入力!$J$6:$J$47,⑭手動工程入力!$S$6:$S$47,$J317,⑭手動工程入力!$J$6:$J$47,"&gt;0",⑭手動工程入力!$I$6:$I$47,"&gt;0",⑭手動工程入力!$M$6:$M$47,"&gt;0"))</f>
        <v/>
      </c>
      <c r="P317" s="392" t="inlineStr">
        <is>
          <t>中間品リスト</t>
        </is>
      </c>
    </row>
    <row r="318">
      <c r="A318" s="392" t="n">
        <v>314</v>
      </c>
      <c r="B318" s="392" t="n"/>
      <c r="C318" s="392" t="n"/>
      <c r="D318" s="409" t="n"/>
      <c r="E318" s="392" t="n"/>
      <c r="F318" s="394" t="n"/>
      <c r="G318" s="392" t="n"/>
      <c r="H318" s="604">
        <f>IFERROR(IF(AND($K318&gt;0,ISNUMBER(IF(OR($D318="g",$D318="ｇ"),IF($M318&gt;0,$L318/$M318/1000,""),IF($D318="kg",IF($M318&gt;0,$L318/$M318,""),IF($D318="",IF($M318&gt;0,$L318/$M318/1000,IF($O318&gt;0,$N318/$O318,"")),IF($O318&gt;0,$N318/$O318,"")))))),IF(OR($D318="g",$D318="ｇ"),IF($M318&gt;0,$L318/$M318/1000,""),IF($D318="kg",IF($M318&gt;0,$L318/$M318,""),IF($D318="",IF($M318&gt;0,$L318/$M318/1000,IF($O318&gt;0,$N318/$O318,"")),IF($O318&gt;0,$N318/$O318,"")))),IF($F318="",IF(OR($E318="",$E318="⑩盛付梱包工程入力"),"",IF(OR($D318="g",$D318="ｇ"),INDEX(⑰工程労務費一覧!$N$5:$N$11,MATCH($E318,⑰工程労務費一覧!$K$5:$K$11,0))/1000,IF($D318="kg",INDEX(⑰工程労務費一覧!$N$5:$N$11,MATCH($E318,⑰工程労務費一覧!$K$5:$K$11,0)),IF(OR($D318="個",$D318="切",$D318="本",$D318="枚",$D318="尾"),IF($E318="⑬計量工程入力","",INDEX(⑰工程労務費一覧!$P$5:$P$11,MATCH($E318,⑰工程労務費一覧!$K$5:$K$11,0))),IF(AND($D318="",OR($E318="②釜工程入力",$E318="③スチコン工程入力")),INDEX(⑰工程労務費一覧!$N$5:$N$11,MATCH($E318,⑰工程労務費一覧!$K$5:$K$11,0))/1000,""))))),IF(OR($D318="g",$D318="ｇ"),INDEX(⑰工程労務費一覧!$H$5:$H$753,MATCH($F318,⑰工程労務費一覧!$D$5:$D$753,0))/1000,IF($D318="kg",INDEX(⑰工程労務費一覧!$H$5:$H$753,MATCH($F318,⑰工程労務費一覧!$D$5:$D$753,0)),INDEX(⑰工程労務費一覧!$I$5:$I$753,MATCH($F318,⑰工程労務費一覧!$D$5:$D$753,0)))))),"")</f>
        <v/>
      </c>
      <c r="I318" s="392">
        <f>IF($K318&gt;0,IF(ISNUMBER(IF(OR($D318="g",$D318="ｇ"),IF($M318&gt;0,$L318/$M318/1000,""),IF($D318="kg",IF($M318&gt;0,$L318/$M318,""),IF($D318="",IF($M318&gt;0,$L318/$M318/1000,IF($O318&gt;0,$N318/$O318,"")),IF($O318&gt;0,$N318/$O318,""))))),IF($D318="",IF($M318&gt;0,"◎ JAN紐づけ(g扱い)","◎ JAN紐づけ(個扱い)"),"◎ JAN紐づけ"),"△ JAN紐づけ済・実績不足→仮計算"),IF($F318="",IF(ISNUMBER($H318),IF($D318="","⑤ 工程平均で仮計算(g扱い)","⑤ 工程平均で仮計算"),IF($E318="⑩盛付梱包工程入力","⑥ 盛り込み(⑳F列で計上)",IF(AND($E318="⑬計量工程入力",OR($D318="個",$D318="切",$D318="本",$D318="枚",$D318="尾")),"① 未紐づけ(カット個単位は仮単価なし)","① 未紐づけ"))),IF(NOT(ISNUMBER($H318)),"② 工程側に単価なし",IF($D318="","③ 単位未設定(個で計算)","④ OK"))))</f>
        <v/>
      </c>
      <c r="J318" s="399">
        <f>IFERROR(LOOKUP(2,1/((中間品リスト!$F$2:$F$1299=$B318)*(中間品リスト!$E$2:$E$1299&lt;&gt;"-")*(中間品リスト!$E$2:$E$1299&lt;&gt;"")),中間品リスト!$E$2:$E$1299),"")</f>
        <v/>
      </c>
      <c r="K318" s="400">
        <f>IF($J318="",0,COUNTIF(②釜工程入力!$S$5:$S$117,$J318)+COUNTIF(③スチコン工程入力!$S$5:$S$152,$J318)+COUNTIF(⑪ZEN工程入力!$S$6:$S$35,$J318)+COUNTIF(⑫ミキサー工程入力!$S$6:$S$65,$J318)+COUNTIF(⑬計量工程入力!$S$6:$S$65,$J318)+COUNTIF(⑭手動工程入力!$S$6:$S$47,$J318))</f>
        <v/>
      </c>
      <c r="L318" s="393">
        <f>IF($J318="",0,SUMIFS(②釜工程入力!$M$5:$M$117,②釜工程入力!$S$5:$S$117,$J318,②釜工程入力!$I$5:$I$117,"&gt;0")+SUMIFS(③スチコン工程入力!$M$5:$M$152,③スチコン工程入力!$S$5:$S$152,$J318,③スチコン工程入力!$I$5:$I$152,"&gt;0")+SUMIFS(⑪ZEN工程入力!$M$6:$M$35,⑪ZEN工程入力!$S$6:$S$35,$J318,⑪ZEN工程入力!$I$6:$I$35,"&gt;0")+SUMIFS(⑫ミキサー工程入力!$M$6:$M$65,⑫ミキサー工程入力!$S$6:$S$65,$J318,⑫ミキサー工程入力!$I$6:$I$65,"&gt;0")+SUMIFS(⑬計量工程入力!$M$6:$M$65,⑬計量工程入力!$S$6:$S$65,$J318,⑬計量工程入力!$I$6:$I$65,"&gt;0")+SUMIFS(⑭手動工程入力!$M$6:$M$47,⑭手動工程入力!$S$6:$S$47,$J318,⑭手動工程入力!$I$6:$I$47,"&gt;0"))</f>
        <v/>
      </c>
      <c r="M318" s="393">
        <f>IF($J318="",0,SUMIFS(②釜工程入力!$I$5:$I$117,②釜工程入力!$S$5:$S$117,$J318,②釜工程入力!$I$5:$I$117,"&gt;0",②釜工程入力!$M$5:$M$117,"&gt;0")+SUMIFS(③スチコン工程入力!$I$5:$I$152,③スチコン工程入力!$S$5:$S$152,$J318,③スチコン工程入力!$I$5:$I$152,"&gt;0",③スチコン工程入力!$M$5:$M$152,"&gt;0")+SUMIFS(⑪ZEN工程入力!$I$6:$I$35,⑪ZEN工程入力!$S$6:$S$35,$J318,⑪ZEN工程入力!$I$6:$I$35,"&gt;0",⑪ZEN工程入力!$M$6:$M$35,"&gt;0")+SUMIFS(⑫ミキサー工程入力!$I$6:$I$65,⑫ミキサー工程入力!$S$6:$S$65,$J318,⑫ミキサー工程入力!$I$6:$I$65,"&gt;0",⑫ミキサー工程入力!$M$6:$M$65,"&gt;0")+SUMIFS(⑬計量工程入力!$I$6:$I$65,⑬計量工程入力!$S$6:$S$65,$J318,⑬計量工程入力!$I$6:$I$65,"&gt;0",⑬計量工程入力!$M$6:$M$65,"&gt;0")+SUMIFS(⑭手動工程入力!$I$6:$I$47,⑭手動工程入力!$S$6:$S$47,$J318,⑭手動工程入力!$I$6:$I$47,"&gt;0",⑭手動工程入力!$M$6:$M$47,"&gt;0"))</f>
        <v/>
      </c>
      <c r="N318" s="393">
        <f>IF($J318="",0,SUMIFS(②釜工程入力!$M$5:$M$117,②釜工程入力!$S$5:$S$117,$J318,②釜工程入力!$J$5:$J$117,"&gt;0")-SUMIFS(②釜工程入力!$M$5:$M$117,②釜工程入力!$S$5:$S$117,$J318,②釜工程入力!$J$5:$J$117,"&gt;0",②釜工程入力!$I$5:$I$117,"&gt;0")+SUMIFS(③スチコン工程入力!$M$5:$M$152,③スチコン工程入力!$S$5:$S$152,$J318,③スチコン工程入力!$J$5:$J$152,"&gt;0")-SUMIFS(③スチコン工程入力!$M$5:$M$152,③スチコン工程入力!$S$5:$S$152,$J318,③スチコン工程入力!$J$5:$J$152,"&gt;0",③スチコン工程入力!$I$5:$I$152,"&gt;0")+SUMIFS(⑪ZEN工程入力!$M$6:$M$35,⑪ZEN工程入力!$S$6:$S$35,$J318,⑪ZEN工程入力!$J$6:$J$35,"&gt;0")-SUMIFS(⑪ZEN工程入力!$M$6:$M$35,⑪ZEN工程入力!$S$6:$S$35,$J318,⑪ZEN工程入力!$J$6:$J$35,"&gt;0",⑪ZEN工程入力!$I$6:$I$35,"&gt;0")+SUMIFS(⑫ミキサー工程入力!$M$6:$M$65,⑫ミキサー工程入力!$S$6:$S$65,$J318,⑫ミキサー工程入力!$J$6:$J$65,"&gt;0")-SUMIFS(⑫ミキサー工程入力!$M$6:$M$65,⑫ミキサー工程入力!$S$6:$S$65,$J318,⑫ミキサー工程入力!$J$6:$J$65,"&gt;0",⑫ミキサー工程入力!$I$6:$I$65,"&gt;0")+SUMIFS(⑬計量工程入力!$M$6:$M$65,⑬計量工程入力!$S$6:$S$65,$J318,⑬計量工程入力!$J$6:$J$65,"&gt;0")-SUMIFS(⑬計量工程入力!$M$6:$M$65,⑬計量工程入力!$S$6:$S$65,$J318,⑬計量工程入力!$J$6:$J$65,"&gt;0",⑬計量工程入力!$I$6:$I$65,"&gt;0")+SUMIFS(⑭手動工程入力!$M$6:$M$47,⑭手動工程入力!$S$6:$S$47,$J318,⑭手動工程入力!$J$6:$J$47,"&gt;0")-SUMIFS(⑭手動工程入力!$M$6:$M$47,⑭手動工程入力!$S$6:$S$47,$J318,⑭手動工程入力!$J$6:$J$47,"&gt;0",⑭手動工程入力!$I$6:$I$47,"&gt;0"))</f>
        <v/>
      </c>
      <c r="O318" s="393">
        <f>IF($J318="",0,SUMIFS(②釜工程入力!$J$5:$J$117,②釜工程入力!$S$5:$S$117,$J318,②釜工程入力!$J$5:$J$117,"&gt;0",②釜工程入力!$M$5:$M$117,"&gt;0")-SUMIFS(②釜工程入力!$J$5:$J$117,②釜工程入力!$S$5:$S$117,$J318,②釜工程入力!$J$5:$J$117,"&gt;0",②釜工程入力!$I$5:$I$117,"&gt;0",②釜工程入力!$M$5:$M$117,"&gt;0")+SUMIFS(③スチコン工程入力!$J$5:$J$152,③スチコン工程入力!$S$5:$S$152,$J318,③スチコン工程入力!$J$5:$J$152,"&gt;0",③スチコン工程入力!$M$5:$M$152,"&gt;0")-SUMIFS(③スチコン工程入力!$J$5:$J$152,③スチコン工程入力!$S$5:$S$152,$J318,③スチコン工程入力!$J$5:$J$152,"&gt;0",③スチコン工程入力!$I$5:$I$152,"&gt;0",③スチコン工程入力!$M$5:$M$152,"&gt;0")+SUMIFS(⑪ZEN工程入力!$J$6:$J$35,⑪ZEN工程入力!$S$6:$S$35,$J318,⑪ZEN工程入力!$J$6:$J$35,"&gt;0",⑪ZEN工程入力!$M$6:$M$35,"&gt;0")-SUMIFS(⑪ZEN工程入力!$J$6:$J$35,⑪ZEN工程入力!$S$6:$S$35,$J318,⑪ZEN工程入力!$J$6:$J$35,"&gt;0",⑪ZEN工程入力!$I$6:$I$35,"&gt;0",⑪ZEN工程入力!$M$6:$M$35,"&gt;0")+SUMIFS(⑫ミキサー工程入力!$J$6:$J$65,⑫ミキサー工程入力!$S$6:$S$65,$J318,⑫ミキサー工程入力!$J$6:$J$65,"&gt;0",⑫ミキサー工程入力!$M$6:$M$65,"&gt;0")-SUMIFS(⑫ミキサー工程入力!$J$6:$J$65,⑫ミキサー工程入力!$S$6:$S$65,$J318,⑫ミキサー工程入力!$J$6:$J$65,"&gt;0",⑫ミキサー工程入力!$I$6:$I$65,"&gt;0",⑫ミキサー工程入力!$M$6:$M$65,"&gt;0")+SUMIFS(⑬計量工程入力!$J$6:$J$65,⑬計量工程入力!$S$6:$S$65,$J318,⑬計量工程入力!$J$6:$J$65,"&gt;0",⑬計量工程入力!$M$6:$M$65,"&gt;0")-SUMIFS(⑬計量工程入力!$J$6:$J$65,⑬計量工程入力!$S$6:$S$65,$J318,⑬計量工程入力!$J$6:$J$65,"&gt;0",⑬計量工程入力!$I$6:$I$65,"&gt;0",⑬計量工程入力!$M$6:$M$65,"&gt;0")+SUMIFS(⑭手動工程入力!$J$6:$J$47,⑭手動工程入力!$S$6:$S$47,$J318,⑭手動工程入力!$J$6:$J$47,"&gt;0",⑭手動工程入力!$M$6:$M$47,"&gt;0")-SUMIFS(⑭手動工程入力!$J$6:$J$47,⑭手動工程入力!$S$6:$S$47,$J318,⑭手動工程入力!$J$6:$J$47,"&gt;0",⑭手動工程入力!$I$6:$I$47,"&gt;0",⑭手動工程入力!$M$6:$M$47,"&gt;0"))</f>
        <v/>
      </c>
      <c r="P318" s="392" t="inlineStr">
        <is>
          <t>中間品リスト</t>
        </is>
      </c>
    </row>
    <row r="319">
      <c r="A319" s="392" t="n">
        <v>315</v>
      </c>
      <c r="B319" s="392" t="n"/>
      <c r="C319" s="392" t="n"/>
      <c r="D319" s="409" t="n"/>
      <c r="E319" s="392" t="n"/>
      <c r="F319" s="394" t="n"/>
      <c r="G319" s="392" t="n"/>
      <c r="H319" s="604">
        <f>IFERROR(IF(AND($K319&gt;0,ISNUMBER(IF(OR($D319="g",$D319="ｇ"),IF($M319&gt;0,$L319/$M319/1000,""),IF($D319="kg",IF($M319&gt;0,$L319/$M319,""),IF($D319="",IF($M319&gt;0,$L319/$M319/1000,IF($O319&gt;0,$N319/$O319,"")),IF($O319&gt;0,$N319/$O319,"")))))),IF(OR($D319="g",$D319="ｇ"),IF($M319&gt;0,$L319/$M319/1000,""),IF($D319="kg",IF($M319&gt;0,$L319/$M319,""),IF($D319="",IF($M319&gt;0,$L319/$M319/1000,IF($O319&gt;0,$N319/$O319,"")),IF($O319&gt;0,$N319/$O319,"")))),IF($F319="",IF(OR($E319="",$E319="⑩盛付梱包工程入力"),"",IF(OR($D319="g",$D319="ｇ"),INDEX(⑰工程労務費一覧!$N$5:$N$11,MATCH($E319,⑰工程労務費一覧!$K$5:$K$11,0))/1000,IF($D319="kg",INDEX(⑰工程労務費一覧!$N$5:$N$11,MATCH($E319,⑰工程労務費一覧!$K$5:$K$11,0)),IF(OR($D319="個",$D319="切",$D319="本",$D319="枚",$D319="尾"),IF($E319="⑬計量工程入力","",INDEX(⑰工程労務費一覧!$P$5:$P$11,MATCH($E319,⑰工程労務費一覧!$K$5:$K$11,0))),IF(AND($D319="",OR($E319="②釜工程入力",$E319="③スチコン工程入力")),INDEX(⑰工程労務費一覧!$N$5:$N$11,MATCH($E319,⑰工程労務費一覧!$K$5:$K$11,0))/1000,""))))),IF(OR($D319="g",$D319="ｇ"),INDEX(⑰工程労務費一覧!$H$5:$H$753,MATCH($F319,⑰工程労務費一覧!$D$5:$D$753,0))/1000,IF($D319="kg",INDEX(⑰工程労務費一覧!$H$5:$H$753,MATCH($F319,⑰工程労務費一覧!$D$5:$D$753,0)),INDEX(⑰工程労務費一覧!$I$5:$I$753,MATCH($F319,⑰工程労務費一覧!$D$5:$D$753,0)))))),"")</f>
        <v/>
      </c>
      <c r="I319" s="392">
        <f>IF($K319&gt;0,IF(ISNUMBER(IF(OR($D319="g",$D319="ｇ"),IF($M319&gt;0,$L319/$M319/1000,""),IF($D319="kg",IF($M319&gt;0,$L319/$M319,""),IF($D319="",IF($M319&gt;0,$L319/$M319/1000,IF($O319&gt;0,$N319/$O319,"")),IF($O319&gt;0,$N319/$O319,""))))),IF($D319="",IF($M319&gt;0,"◎ JAN紐づけ(g扱い)","◎ JAN紐づけ(個扱い)"),"◎ JAN紐づけ"),"△ JAN紐づけ済・実績不足→仮計算"),IF($F319="",IF(ISNUMBER($H319),IF($D319="","⑤ 工程平均で仮計算(g扱い)","⑤ 工程平均で仮計算"),IF($E319="⑩盛付梱包工程入力","⑥ 盛り込み(⑳F列で計上)",IF(AND($E319="⑬計量工程入力",OR($D319="個",$D319="切",$D319="本",$D319="枚",$D319="尾")),"① 未紐づけ(カット個単位は仮単価なし)","① 未紐づけ"))),IF(NOT(ISNUMBER($H319)),"② 工程側に単価なし",IF($D319="","③ 単位未設定(個で計算)","④ OK"))))</f>
        <v/>
      </c>
      <c r="J319" s="399">
        <f>IFERROR(LOOKUP(2,1/((中間品リスト!$F$2:$F$1299=$B319)*(中間品リスト!$E$2:$E$1299&lt;&gt;"-")*(中間品リスト!$E$2:$E$1299&lt;&gt;"")),中間品リスト!$E$2:$E$1299),"")</f>
        <v/>
      </c>
      <c r="K319" s="400">
        <f>IF($J319="",0,COUNTIF(②釜工程入力!$S$5:$S$117,$J319)+COUNTIF(③スチコン工程入力!$S$5:$S$152,$J319)+COUNTIF(⑪ZEN工程入力!$S$6:$S$35,$J319)+COUNTIF(⑫ミキサー工程入力!$S$6:$S$65,$J319)+COUNTIF(⑬計量工程入力!$S$6:$S$65,$J319)+COUNTIF(⑭手動工程入力!$S$6:$S$47,$J319))</f>
        <v/>
      </c>
      <c r="L319" s="393">
        <f>IF($J319="",0,SUMIFS(②釜工程入力!$M$5:$M$117,②釜工程入力!$S$5:$S$117,$J319,②釜工程入力!$I$5:$I$117,"&gt;0")+SUMIFS(③スチコン工程入力!$M$5:$M$152,③スチコン工程入力!$S$5:$S$152,$J319,③スチコン工程入力!$I$5:$I$152,"&gt;0")+SUMIFS(⑪ZEN工程入力!$M$6:$M$35,⑪ZEN工程入力!$S$6:$S$35,$J319,⑪ZEN工程入力!$I$6:$I$35,"&gt;0")+SUMIFS(⑫ミキサー工程入力!$M$6:$M$65,⑫ミキサー工程入力!$S$6:$S$65,$J319,⑫ミキサー工程入力!$I$6:$I$65,"&gt;0")+SUMIFS(⑬計量工程入力!$M$6:$M$65,⑬計量工程入力!$S$6:$S$65,$J319,⑬計量工程入力!$I$6:$I$65,"&gt;0")+SUMIFS(⑭手動工程入力!$M$6:$M$47,⑭手動工程入力!$S$6:$S$47,$J319,⑭手動工程入力!$I$6:$I$47,"&gt;0"))</f>
        <v/>
      </c>
      <c r="M319" s="393">
        <f>IF($J319="",0,SUMIFS(②釜工程入力!$I$5:$I$117,②釜工程入力!$S$5:$S$117,$J319,②釜工程入力!$I$5:$I$117,"&gt;0",②釜工程入力!$M$5:$M$117,"&gt;0")+SUMIFS(③スチコン工程入力!$I$5:$I$152,③スチコン工程入力!$S$5:$S$152,$J319,③スチコン工程入力!$I$5:$I$152,"&gt;0",③スチコン工程入力!$M$5:$M$152,"&gt;0")+SUMIFS(⑪ZEN工程入力!$I$6:$I$35,⑪ZEN工程入力!$S$6:$S$35,$J319,⑪ZEN工程入力!$I$6:$I$35,"&gt;0",⑪ZEN工程入力!$M$6:$M$35,"&gt;0")+SUMIFS(⑫ミキサー工程入力!$I$6:$I$65,⑫ミキサー工程入力!$S$6:$S$65,$J319,⑫ミキサー工程入力!$I$6:$I$65,"&gt;0",⑫ミキサー工程入力!$M$6:$M$65,"&gt;0")+SUMIFS(⑬計量工程入力!$I$6:$I$65,⑬計量工程入力!$S$6:$S$65,$J319,⑬計量工程入力!$I$6:$I$65,"&gt;0",⑬計量工程入力!$M$6:$M$65,"&gt;0")+SUMIFS(⑭手動工程入力!$I$6:$I$47,⑭手動工程入力!$S$6:$S$47,$J319,⑭手動工程入力!$I$6:$I$47,"&gt;0",⑭手動工程入力!$M$6:$M$47,"&gt;0"))</f>
        <v/>
      </c>
      <c r="N319" s="393">
        <f>IF($J319="",0,SUMIFS(②釜工程入力!$M$5:$M$117,②釜工程入力!$S$5:$S$117,$J319,②釜工程入力!$J$5:$J$117,"&gt;0")-SUMIFS(②釜工程入力!$M$5:$M$117,②釜工程入力!$S$5:$S$117,$J319,②釜工程入力!$J$5:$J$117,"&gt;0",②釜工程入力!$I$5:$I$117,"&gt;0")+SUMIFS(③スチコン工程入力!$M$5:$M$152,③スチコン工程入力!$S$5:$S$152,$J319,③スチコン工程入力!$J$5:$J$152,"&gt;0")-SUMIFS(③スチコン工程入力!$M$5:$M$152,③スチコン工程入力!$S$5:$S$152,$J319,③スチコン工程入力!$J$5:$J$152,"&gt;0",③スチコン工程入力!$I$5:$I$152,"&gt;0")+SUMIFS(⑪ZEN工程入力!$M$6:$M$35,⑪ZEN工程入力!$S$6:$S$35,$J319,⑪ZEN工程入力!$J$6:$J$35,"&gt;0")-SUMIFS(⑪ZEN工程入力!$M$6:$M$35,⑪ZEN工程入力!$S$6:$S$35,$J319,⑪ZEN工程入力!$J$6:$J$35,"&gt;0",⑪ZEN工程入力!$I$6:$I$35,"&gt;0")+SUMIFS(⑫ミキサー工程入力!$M$6:$M$65,⑫ミキサー工程入力!$S$6:$S$65,$J319,⑫ミキサー工程入力!$J$6:$J$65,"&gt;0")-SUMIFS(⑫ミキサー工程入力!$M$6:$M$65,⑫ミキサー工程入力!$S$6:$S$65,$J319,⑫ミキサー工程入力!$J$6:$J$65,"&gt;0",⑫ミキサー工程入力!$I$6:$I$65,"&gt;0")+SUMIFS(⑬計量工程入力!$M$6:$M$65,⑬計量工程入力!$S$6:$S$65,$J319,⑬計量工程入力!$J$6:$J$65,"&gt;0")-SUMIFS(⑬計量工程入力!$M$6:$M$65,⑬計量工程入力!$S$6:$S$65,$J319,⑬計量工程入力!$J$6:$J$65,"&gt;0",⑬計量工程入力!$I$6:$I$65,"&gt;0")+SUMIFS(⑭手動工程入力!$M$6:$M$47,⑭手動工程入力!$S$6:$S$47,$J319,⑭手動工程入力!$J$6:$J$47,"&gt;0")-SUMIFS(⑭手動工程入力!$M$6:$M$47,⑭手動工程入力!$S$6:$S$47,$J319,⑭手動工程入力!$J$6:$J$47,"&gt;0",⑭手動工程入力!$I$6:$I$47,"&gt;0"))</f>
        <v/>
      </c>
      <c r="O319" s="393">
        <f>IF($J319="",0,SUMIFS(②釜工程入力!$J$5:$J$117,②釜工程入力!$S$5:$S$117,$J319,②釜工程入力!$J$5:$J$117,"&gt;0",②釜工程入力!$M$5:$M$117,"&gt;0")-SUMIFS(②釜工程入力!$J$5:$J$117,②釜工程入力!$S$5:$S$117,$J319,②釜工程入力!$J$5:$J$117,"&gt;0",②釜工程入力!$I$5:$I$117,"&gt;0",②釜工程入力!$M$5:$M$117,"&gt;0")+SUMIFS(③スチコン工程入力!$J$5:$J$152,③スチコン工程入力!$S$5:$S$152,$J319,③スチコン工程入力!$J$5:$J$152,"&gt;0",③スチコン工程入力!$M$5:$M$152,"&gt;0")-SUMIFS(③スチコン工程入力!$J$5:$J$152,③スチコン工程入力!$S$5:$S$152,$J319,③スチコン工程入力!$J$5:$J$152,"&gt;0",③スチコン工程入力!$I$5:$I$152,"&gt;0",③スチコン工程入力!$M$5:$M$152,"&gt;0")+SUMIFS(⑪ZEN工程入力!$J$6:$J$35,⑪ZEN工程入力!$S$6:$S$35,$J319,⑪ZEN工程入力!$J$6:$J$35,"&gt;0",⑪ZEN工程入力!$M$6:$M$35,"&gt;0")-SUMIFS(⑪ZEN工程入力!$J$6:$J$35,⑪ZEN工程入力!$S$6:$S$35,$J319,⑪ZEN工程入力!$J$6:$J$35,"&gt;0",⑪ZEN工程入力!$I$6:$I$35,"&gt;0",⑪ZEN工程入力!$M$6:$M$35,"&gt;0")+SUMIFS(⑫ミキサー工程入力!$J$6:$J$65,⑫ミキサー工程入力!$S$6:$S$65,$J319,⑫ミキサー工程入力!$J$6:$J$65,"&gt;0",⑫ミキサー工程入力!$M$6:$M$65,"&gt;0")-SUMIFS(⑫ミキサー工程入力!$J$6:$J$65,⑫ミキサー工程入力!$S$6:$S$65,$J319,⑫ミキサー工程入力!$J$6:$J$65,"&gt;0",⑫ミキサー工程入力!$I$6:$I$65,"&gt;0",⑫ミキサー工程入力!$M$6:$M$65,"&gt;0")+SUMIFS(⑬計量工程入力!$J$6:$J$65,⑬計量工程入力!$S$6:$S$65,$J319,⑬計量工程入力!$J$6:$J$65,"&gt;0",⑬計量工程入力!$M$6:$M$65,"&gt;0")-SUMIFS(⑬計量工程入力!$J$6:$J$65,⑬計量工程入力!$S$6:$S$65,$J319,⑬計量工程入力!$J$6:$J$65,"&gt;0",⑬計量工程入力!$I$6:$I$65,"&gt;0",⑬計量工程入力!$M$6:$M$65,"&gt;0")+SUMIFS(⑭手動工程入力!$J$6:$J$47,⑭手動工程入力!$S$6:$S$47,$J319,⑭手動工程入力!$J$6:$J$47,"&gt;0",⑭手動工程入力!$M$6:$M$47,"&gt;0")-SUMIFS(⑭手動工程入力!$J$6:$J$47,⑭手動工程入力!$S$6:$S$47,$J319,⑭手動工程入力!$J$6:$J$47,"&gt;0",⑭手動工程入力!$I$6:$I$47,"&gt;0",⑭手動工程入力!$M$6:$M$47,"&gt;0"))</f>
        <v/>
      </c>
      <c r="P319" s="392" t="inlineStr">
        <is>
          <t>中間品リスト</t>
        </is>
      </c>
    </row>
    <row r="320">
      <c r="A320" s="392" t="n">
        <v>316</v>
      </c>
      <c r="B320" s="392" t="n"/>
      <c r="C320" s="392" t="n"/>
      <c r="D320" s="409" t="n"/>
      <c r="E320" s="392" t="n"/>
      <c r="F320" s="394" t="n"/>
      <c r="G320" s="392" t="n"/>
      <c r="H320" s="604">
        <f>IFERROR(IF(AND($K320&gt;0,ISNUMBER(IF(OR($D320="g",$D320="ｇ"),IF($M320&gt;0,$L320/$M320/1000,""),IF($D320="kg",IF($M320&gt;0,$L320/$M320,""),IF($D320="",IF($M320&gt;0,$L320/$M320/1000,IF($O320&gt;0,$N320/$O320,"")),IF($O320&gt;0,$N320/$O320,"")))))),IF(OR($D320="g",$D320="ｇ"),IF($M320&gt;0,$L320/$M320/1000,""),IF($D320="kg",IF($M320&gt;0,$L320/$M320,""),IF($D320="",IF($M320&gt;0,$L320/$M320/1000,IF($O320&gt;0,$N320/$O320,"")),IF($O320&gt;0,$N320/$O320,"")))),IF($F320="",IF(OR($E320="",$E320="⑩盛付梱包工程入力"),"",IF(OR($D320="g",$D320="ｇ"),INDEX(⑰工程労務費一覧!$N$5:$N$11,MATCH($E320,⑰工程労務費一覧!$K$5:$K$11,0))/1000,IF($D320="kg",INDEX(⑰工程労務費一覧!$N$5:$N$11,MATCH($E320,⑰工程労務費一覧!$K$5:$K$11,0)),IF(OR($D320="個",$D320="切",$D320="本",$D320="枚",$D320="尾"),IF($E320="⑬計量工程入力","",INDEX(⑰工程労務費一覧!$P$5:$P$11,MATCH($E320,⑰工程労務費一覧!$K$5:$K$11,0))),IF(AND($D320="",OR($E320="②釜工程入力",$E320="③スチコン工程入力")),INDEX(⑰工程労務費一覧!$N$5:$N$11,MATCH($E320,⑰工程労務費一覧!$K$5:$K$11,0))/1000,""))))),IF(OR($D320="g",$D320="ｇ"),INDEX(⑰工程労務費一覧!$H$5:$H$753,MATCH($F320,⑰工程労務費一覧!$D$5:$D$753,0))/1000,IF($D320="kg",INDEX(⑰工程労務費一覧!$H$5:$H$753,MATCH($F320,⑰工程労務費一覧!$D$5:$D$753,0)),INDEX(⑰工程労務費一覧!$I$5:$I$753,MATCH($F320,⑰工程労務費一覧!$D$5:$D$753,0)))))),"")</f>
        <v/>
      </c>
      <c r="I320" s="392">
        <f>IF($K320&gt;0,IF(ISNUMBER(IF(OR($D320="g",$D320="ｇ"),IF($M320&gt;0,$L320/$M320/1000,""),IF($D320="kg",IF($M320&gt;0,$L320/$M320,""),IF($D320="",IF($M320&gt;0,$L320/$M320/1000,IF($O320&gt;0,$N320/$O320,"")),IF($O320&gt;0,$N320/$O320,""))))),IF($D320="",IF($M320&gt;0,"◎ JAN紐づけ(g扱い)","◎ JAN紐づけ(個扱い)"),"◎ JAN紐づけ"),"△ JAN紐づけ済・実績不足→仮計算"),IF($F320="",IF(ISNUMBER($H320),IF($D320="","⑤ 工程平均で仮計算(g扱い)","⑤ 工程平均で仮計算"),IF($E320="⑩盛付梱包工程入力","⑥ 盛り込み(⑳F列で計上)",IF(AND($E320="⑬計量工程入力",OR($D320="個",$D320="切",$D320="本",$D320="枚",$D320="尾")),"① 未紐づけ(カット個単位は仮単価なし)","① 未紐づけ"))),IF(NOT(ISNUMBER($H320)),"② 工程側に単価なし",IF($D320="","③ 単位未設定(個で計算)","④ OK"))))</f>
        <v/>
      </c>
      <c r="J320" s="399">
        <f>IFERROR(LOOKUP(2,1/((中間品リスト!$F$2:$F$1299=$B320)*(中間品リスト!$E$2:$E$1299&lt;&gt;"-")*(中間品リスト!$E$2:$E$1299&lt;&gt;"")),中間品リスト!$E$2:$E$1299),"")</f>
        <v/>
      </c>
      <c r="K320" s="400">
        <f>IF($J320="",0,COUNTIF(②釜工程入力!$S$5:$S$117,$J320)+COUNTIF(③スチコン工程入力!$S$5:$S$152,$J320)+COUNTIF(⑪ZEN工程入力!$S$6:$S$35,$J320)+COUNTIF(⑫ミキサー工程入力!$S$6:$S$65,$J320)+COUNTIF(⑬計量工程入力!$S$6:$S$65,$J320)+COUNTIF(⑭手動工程入力!$S$6:$S$47,$J320))</f>
        <v/>
      </c>
      <c r="L320" s="393">
        <f>IF($J320="",0,SUMIFS(②釜工程入力!$M$5:$M$117,②釜工程入力!$S$5:$S$117,$J320,②釜工程入力!$I$5:$I$117,"&gt;0")+SUMIFS(③スチコン工程入力!$M$5:$M$152,③スチコン工程入力!$S$5:$S$152,$J320,③スチコン工程入力!$I$5:$I$152,"&gt;0")+SUMIFS(⑪ZEN工程入力!$M$6:$M$35,⑪ZEN工程入力!$S$6:$S$35,$J320,⑪ZEN工程入力!$I$6:$I$35,"&gt;0")+SUMIFS(⑫ミキサー工程入力!$M$6:$M$65,⑫ミキサー工程入力!$S$6:$S$65,$J320,⑫ミキサー工程入力!$I$6:$I$65,"&gt;0")+SUMIFS(⑬計量工程入力!$M$6:$M$65,⑬計量工程入力!$S$6:$S$65,$J320,⑬計量工程入力!$I$6:$I$65,"&gt;0")+SUMIFS(⑭手動工程入力!$M$6:$M$47,⑭手動工程入力!$S$6:$S$47,$J320,⑭手動工程入力!$I$6:$I$47,"&gt;0"))</f>
        <v/>
      </c>
      <c r="M320" s="393">
        <f>IF($J320="",0,SUMIFS(②釜工程入力!$I$5:$I$117,②釜工程入力!$S$5:$S$117,$J320,②釜工程入力!$I$5:$I$117,"&gt;0",②釜工程入力!$M$5:$M$117,"&gt;0")+SUMIFS(③スチコン工程入力!$I$5:$I$152,③スチコン工程入力!$S$5:$S$152,$J320,③スチコン工程入力!$I$5:$I$152,"&gt;0",③スチコン工程入力!$M$5:$M$152,"&gt;0")+SUMIFS(⑪ZEN工程入力!$I$6:$I$35,⑪ZEN工程入力!$S$6:$S$35,$J320,⑪ZEN工程入力!$I$6:$I$35,"&gt;0",⑪ZEN工程入力!$M$6:$M$35,"&gt;0")+SUMIFS(⑫ミキサー工程入力!$I$6:$I$65,⑫ミキサー工程入力!$S$6:$S$65,$J320,⑫ミキサー工程入力!$I$6:$I$65,"&gt;0",⑫ミキサー工程入力!$M$6:$M$65,"&gt;0")+SUMIFS(⑬計量工程入力!$I$6:$I$65,⑬計量工程入力!$S$6:$S$65,$J320,⑬計量工程入力!$I$6:$I$65,"&gt;0",⑬計量工程入力!$M$6:$M$65,"&gt;0")+SUMIFS(⑭手動工程入力!$I$6:$I$47,⑭手動工程入力!$S$6:$S$47,$J320,⑭手動工程入力!$I$6:$I$47,"&gt;0",⑭手動工程入力!$M$6:$M$47,"&gt;0"))</f>
        <v/>
      </c>
      <c r="N320" s="393">
        <f>IF($J320="",0,SUMIFS(②釜工程入力!$M$5:$M$117,②釜工程入力!$S$5:$S$117,$J320,②釜工程入力!$J$5:$J$117,"&gt;0")-SUMIFS(②釜工程入力!$M$5:$M$117,②釜工程入力!$S$5:$S$117,$J320,②釜工程入力!$J$5:$J$117,"&gt;0",②釜工程入力!$I$5:$I$117,"&gt;0")+SUMIFS(③スチコン工程入力!$M$5:$M$152,③スチコン工程入力!$S$5:$S$152,$J320,③スチコン工程入力!$J$5:$J$152,"&gt;0")-SUMIFS(③スチコン工程入力!$M$5:$M$152,③スチコン工程入力!$S$5:$S$152,$J320,③スチコン工程入力!$J$5:$J$152,"&gt;0",③スチコン工程入力!$I$5:$I$152,"&gt;0")+SUMIFS(⑪ZEN工程入力!$M$6:$M$35,⑪ZEN工程入力!$S$6:$S$35,$J320,⑪ZEN工程入力!$J$6:$J$35,"&gt;0")-SUMIFS(⑪ZEN工程入力!$M$6:$M$35,⑪ZEN工程入力!$S$6:$S$35,$J320,⑪ZEN工程入力!$J$6:$J$35,"&gt;0",⑪ZEN工程入力!$I$6:$I$35,"&gt;0")+SUMIFS(⑫ミキサー工程入力!$M$6:$M$65,⑫ミキサー工程入力!$S$6:$S$65,$J320,⑫ミキサー工程入力!$J$6:$J$65,"&gt;0")-SUMIFS(⑫ミキサー工程入力!$M$6:$M$65,⑫ミキサー工程入力!$S$6:$S$65,$J320,⑫ミキサー工程入力!$J$6:$J$65,"&gt;0",⑫ミキサー工程入力!$I$6:$I$65,"&gt;0")+SUMIFS(⑬計量工程入力!$M$6:$M$65,⑬計量工程入力!$S$6:$S$65,$J320,⑬計量工程入力!$J$6:$J$65,"&gt;0")-SUMIFS(⑬計量工程入力!$M$6:$M$65,⑬計量工程入力!$S$6:$S$65,$J320,⑬計量工程入力!$J$6:$J$65,"&gt;0",⑬計量工程入力!$I$6:$I$65,"&gt;0")+SUMIFS(⑭手動工程入力!$M$6:$M$47,⑭手動工程入力!$S$6:$S$47,$J320,⑭手動工程入力!$J$6:$J$47,"&gt;0")-SUMIFS(⑭手動工程入力!$M$6:$M$47,⑭手動工程入力!$S$6:$S$47,$J320,⑭手動工程入力!$J$6:$J$47,"&gt;0",⑭手動工程入力!$I$6:$I$47,"&gt;0"))</f>
        <v/>
      </c>
      <c r="O320" s="393">
        <f>IF($J320="",0,SUMIFS(②釜工程入力!$J$5:$J$117,②釜工程入力!$S$5:$S$117,$J320,②釜工程入力!$J$5:$J$117,"&gt;0",②釜工程入力!$M$5:$M$117,"&gt;0")-SUMIFS(②釜工程入力!$J$5:$J$117,②釜工程入力!$S$5:$S$117,$J320,②釜工程入力!$J$5:$J$117,"&gt;0",②釜工程入力!$I$5:$I$117,"&gt;0",②釜工程入力!$M$5:$M$117,"&gt;0")+SUMIFS(③スチコン工程入力!$J$5:$J$152,③スチコン工程入力!$S$5:$S$152,$J320,③スチコン工程入力!$J$5:$J$152,"&gt;0",③スチコン工程入力!$M$5:$M$152,"&gt;0")-SUMIFS(③スチコン工程入力!$J$5:$J$152,③スチコン工程入力!$S$5:$S$152,$J320,③スチコン工程入力!$J$5:$J$152,"&gt;0",③スチコン工程入力!$I$5:$I$152,"&gt;0",③スチコン工程入力!$M$5:$M$152,"&gt;0")+SUMIFS(⑪ZEN工程入力!$J$6:$J$35,⑪ZEN工程入力!$S$6:$S$35,$J320,⑪ZEN工程入力!$J$6:$J$35,"&gt;0",⑪ZEN工程入力!$M$6:$M$35,"&gt;0")-SUMIFS(⑪ZEN工程入力!$J$6:$J$35,⑪ZEN工程入力!$S$6:$S$35,$J320,⑪ZEN工程入力!$J$6:$J$35,"&gt;0",⑪ZEN工程入力!$I$6:$I$35,"&gt;0",⑪ZEN工程入力!$M$6:$M$35,"&gt;0")+SUMIFS(⑫ミキサー工程入力!$J$6:$J$65,⑫ミキサー工程入力!$S$6:$S$65,$J320,⑫ミキサー工程入力!$J$6:$J$65,"&gt;0",⑫ミキサー工程入力!$M$6:$M$65,"&gt;0")-SUMIFS(⑫ミキサー工程入力!$J$6:$J$65,⑫ミキサー工程入力!$S$6:$S$65,$J320,⑫ミキサー工程入力!$J$6:$J$65,"&gt;0",⑫ミキサー工程入力!$I$6:$I$65,"&gt;0",⑫ミキサー工程入力!$M$6:$M$65,"&gt;0")+SUMIFS(⑬計量工程入力!$J$6:$J$65,⑬計量工程入力!$S$6:$S$65,$J320,⑬計量工程入力!$J$6:$J$65,"&gt;0",⑬計量工程入力!$M$6:$M$65,"&gt;0")-SUMIFS(⑬計量工程入力!$J$6:$J$65,⑬計量工程入力!$S$6:$S$65,$J320,⑬計量工程入力!$J$6:$J$65,"&gt;0",⑬計量工程入力!$I$6:$I$65,"&gt;0",⑬計量工程入力!$M$6:$M$65,"&gt;0")+SUMIFS(⑭手動工程入力!$J$6:$J$47,⑭手動工程入力!$S$6:$S$47,$J320,⑭手動工程入力!$J$6:$J$47,"&gt;0",⑭手動工程入力!$M$6:$M$47,"&gt;0")-SUMIFS(⑭手動工程入力!$J$6:$J$47,⑭手動工程入力!$S$6:$S$47,$J320,⑭手動工程入力!$J$6:$J$47,"&gt;0",⑭手動工程入力!$I$6:$I$47,"&gt;0",⑭手動工程入力!$M$6:$M$47,"&gt;0"))</f>
        <v/>
      </c>
      <c r="P320" s="392" t="inlineStr">
        <is>
          <t>中間品リスト</t>
        </is>
      </c>
    </row>
    <row r="321">
      <c r="A321" s="392" t="n">
        <v>317</v>
      </c>
      <c r="B321" s="392" t="n"/>
      <c r="C321" s="392" t="n"/>
      <c r="D321" s="409" t="n"/>
      <c r="E321" s="392" t="n"/>
      <c r="F321" s="394" t="n"/>
      <c r="G321" s="392" t="n"/>
      <c r="H321" s="604">
        <f>IFERROR(IF(AND($K321&gt;0,ISNUMBER(IF(OR($D321="g",$D321="ｇ"),IF($M321&gt;0,$L321/$M321/1000,""),IF($D321="kg",IF($M321&gt;0,$L321/$M321,""),IF($D321="",IF($M321&gt;0,$L321/$M321/1000,IF($O321&gt;0,$N321/$O321,"")),IF($O321&gt;0,$N321/$O321,"")))))),IF(OR($D321="g",$D321="ｇ"),IF($M321&gt;0,$L321/$M321/1000,""),IF($D321="kg",IF($M321&gt;0,$L321/$M321,""),IF($D321="",IF($M321&gt;0,$L321/$M321/1000,IF($O321&gt;0,$N321/$O321,"")),IF($O321&gt;0,$N321/$O321,"")))),IF($F321="",IF(OR($E321="",$E321="⑩盛付梱包工程入力"),"",IF(OR($D321="g",$D321="ｇ"),INDEX(⑰工程労務費一覧!$N$5:$N$11,MATCH($E321,⑰工程労務費一覧!$K$5:$K$11,0))/1000,IF($D321="kg",INDEX(⑰工程労務費一覧!$N$5:$N$11,MATCH($E321,⑰工程労務費一覧!$K$5:$K$11,0)),IF(OR($D321="個",$D321="切",$D321="本",$D321="枚",$D321="尾"),IF($E321="⑬計量工程入力","",INDEX(⑰工程労務費一覧!$P$5:$P$11,MATCH($E321,⑰工程労務費一覧!$K$5:$K$11,0))),IF(AND($D321="",OR($E321="②釜工程入力",$E321="③スチコン工程入力")),INDEX(⑰工程労務費一覧!$N$5:$N$11,MATCH($E321,⑰工程労務費一覧!$K$5:$K$11,0))/1000,""))))),IF(OR($D321="g",$D321="ｇ"),INDEX(⑰工程労務費一覧!$H$5:$H$753,MATCH($F321,⑰工程労務費一覧!$D$5:$D$753,0))/1000,IF($D321="kg",INDEX(⑰工程労務費一覧!$H$5:$H$753,MATCH($F321,⑰工程労務費一覧!$D$5:$D$753,0)),INDEX(⑰工程労務費一覧!$I$5:$I$753,MATCH($F321,⑰工程労務費一覧!$D$5:$D$753,0)))))),"")</f>
        <v/>
      </c>
      <c r="I321" s="392">
        <f>IF($K321&gt;0,IF(ISNUMBER(IF(OR($D321="g",$D321="ｇ"),IF($M321&gt;0,$L321/$M321/1000,""),IF($D321="kg",IF($M321&gt;0,$L321/$M321,""),IF($D321="",IF($M321&gt;0,$L321/$M321/1000,IF($O321&gt;0,$N321/$O321,"")),IF($O321&gt;0,$N321/$O321,""))))),IF($D321="",IF($M321&gt;0,"◎ JAN紐づけ(g扱い)","◎ JAN紐づけ(個扱い)"),"◎ JAN紐づけ"),"△ JAN紐づけ済・実績不足→仮計算"),IF($F321="",IF(ISNUMBER($H321),IF($D321="","⑤ 工程平均で仮計算(g扱い)","⑤ 工程平均で仮計算"),IF($E321="⑩盛付梱包工程入力","⑥ 盛り込み(⑳F列で計上)",IF(AND($E321="⑬計量工程入力",OR($D321="個",$D321="切",$D321="本",$D321="枚",$D321="尾")),"① 未紐づけ(カット個単位は仮単価なし)","① 未紐づけ"))),IF(NOT(ISNUMBER($H321)),"② 工程側に単価なし",IF($D321="","③ 単位未設定(個で計算)","④ OK"))))</f>
        <v/>
      </c>
      <c r="J321" s="399">
        <f>IFERROR(LOOKUP(2,1/((中間品リスト!$F$2:$F$1299=$B321)*(中間品リスト!$E$2:$E$1299&lt;&gt;"-")*(中間品リスト!$E$2:$E$1299&lt;&gt;"")),中間品リスト!$E$2:$E$1299),"")</f>
        <v/>
      </c>
      <c r="K321" s="400">
        <f>IF($J321="",0,COUNTIF(②釜工程入力!$S$5:$S$117,$J321)+COUNTIF(③スチコン工程入力!$S$5:$S$152,$J321)+COUNTIF(⑪ZEN工程入力!$S$6:$S$35,$J321)+COUNTIF(⑫ミキサー工程入力!$S$6:$S$65,$J321)+COUNTIF(⑬計量工程入力!$S$6:$S$65,$J321)+COUNTIF(⑭手動工程入力!$S$6:$S$47,$J321))</f>
        <v/>
      </c>
      <c r="L321" s="393">
        <f>IF($J321="",0,SUMIFS(②釜工程入力!$M$5:$M$117,②釜工程入力!$S$5:$S$117,$J321,②釜工程入力!$I$5:$I$117,"&gt;0")+SUMIFS(③スチコン工程入力!$M$5:$M$152,③スチコン工程入力!$S$5:$S$152,$J321,③スチコン工程入力!$I$5:$I$152,"&gt;0")+SUMIFS(⑪ZEN工程入力!$M$6:$M$35,⑪ZEN工程入力!$S$6:$S$35,$J321,⑪ZEN工程入力!$I$6:$I$35,"&gt;0")+SUMIFS(⑫ミキサー工程入力!$M$6:$M$65,⑫ミキサー工程入力!$S$6:$S$65,$J321,⑫ミキサー工程入力!$I$6:$I$65,"&gt;0")+SUMIFS(⑬計量工程入力!$M$6:$M$65,⑬計量工程入力!$S$6:$S$65,$J321,⑬計量工程入力!$I$6:$I$65,"&gt;0")+SUMIFS(⑭手動工程入力!$M$6:$M$47,⑭手動工程入力!$S$6:$S$47,$J321,⑭手動工程入力!$I$6:$I$47,"&gt;0"))</f>
        <v/>
      </c>
      <c r="M321" s="393">
        <f>IF($J321="",0,SUMIFS(②釜工程入力!$I$5:$I$117,②釜工程入力!$S$5:$S$117,$J321,②釜工程入力!$I$5:$I$117,"&gt;0",②釜工程入力!$M$5:$M$117,"&gt;0")+SUMIFS(③スチコン工程入力!$I$5:$I$152,③スチコン工程入力!$S$5:$S$152,$J321,③スチコン工程入力!$I$5:$I$152,"&gt;0",③スチコン工程入力!$M$5:$M$152,"&gt;0")+SUMIFS(⑪ZEN工程入力!$I$6:$I$35,⑪ZEN工程入力!$S$6:$S$35,$J321,⑪ZEN工程入力!$I$6:$I$35,"&gt;0",⑪ZEN工程入力!$M$6:$M$35,"&gt;0")+SUMIFS(⑫ミキサー工程入力!$I$6:$I$65,⑫ミキサー工程入力!$S$6:$S$65,$J321,⑫ミキサー工程入力!$I$6:$I$65,"&gt;0",⑫ミキサー工程入力!$M$6:$M$65,"&gt;0")+SUMIFS(⑬計量工程入力!$I$6:$I$65,⑬計量工程入力!$S$6:$S$65,$J321,⑬計量工程入力!$I$6:$I$65,"&gt;0",⑬計量工程入力!$M$6:$M$65,"&gt;0")+SUMIFS(⑭手動工程入力!$I$6:$I$47,⑭手動工程入力!$S$6:$S$47,$J321,⑭手動工程入力!$I$6:$I$47,"&gt;0",⑭手動工程入力!$M$6:$M$47,"&gt;0"))</f>
        <v/>
      </c>
      <c r="N321" s="393">
        <f>IF($J321="",0,SUMIFS(②釜工程入力!$M$5:$M$117,②釜工程入力!$S$5:$S$117,$J321,②釜工程入力!$J$5:$J$117,"&gt;0")-SUMIFS(②釜工程入力!$M$5:$M$117,②釜工程入力!$S$5:$S$117,$J321,②釜工程入力!$J$5:$J$117,"&gt;0",②釜工程入力!$I$5:$I$117,"&gt;0")+SUMIFS(③スチコン工程入力!$M$5:$M$152,③スチコン工程入力!$S$5:$S$152,$J321,③スチコン工程入力!$J$5:$J$152,"&gt;0")-SUMIFS(③スチコン工程入力!$M$5:$M$152,③スチコン工程入力!$S$5:$S$152,$J321,③スチコン工程入力!$J$5:$J$152,"&gt;0",③スチコン工程入力!$I$5:$I$152,"&gt;0")+SUMIFS(⑪ZEN工程入力!$M$6:$M$35,⑪ZEN工程入力!$S$6:$S$35,$J321,⑪ZEN工程入力!$J$6:$J$35,"&gt;0")-SUMIFS(⑪ZEN工程入力!$M$6:$M$35,⑪ZEN工程入力!$S$6:$S$35,$J321,⑪ZEN工程入力!$J$6:$J$35,"&gt;0",⑪ZEN工程入力!$I$6:$I$35,"&gt;0")+SUMIFS(⑫ミキサー工程入力!$M$6:$M$65,⑫ミキサー工程入力!$S$6:$S$65,$J321,⑫ミキサー工程入力!$J$6:$J$65,"&gt;0")-SUMIFS(⑫ミキサー工程入力!$M$6:$M$65,⑫ミキサー工程入力!$S$6:$S$65,$J321,⑫ミキサー工程入力!$J$6:$J$65,"&gt;0",⑫ミキサー工程入力!$I$6:$I$65,"&gt;0")+SUMIFS(⑬計量工程入力!$M$6:$M$65,⑬計量工程入力!$S$6:$S$65,$J321,⑬計量工程入力!$J$6:$J$65,"&gt;0")-SUMIFS(⑬計量工程入力!$M$6:$M$65,⑬計量工程入力!$S$6:$S$65,$J321,⑬計量工程入力!$J$6:$J$65,"&gt;0",⑬計量工程入力!$I$6:$I$65,"&gt;0")+SUMIFS(⑭手動工程入力!$M$6:$M$47,⑭手動工程入力!$S$6:$S$47,$J321,⑭手動工程入力!$J$6:$J$47,"&gt;0")-SUMIFS(⑭手動工程入力!$M$6:$M$47,⑭手動工程入力!$S$6:$S$47,$J321,⑭手動工程入力!$J$6:$J$47,"&gt;0",⑭手動工程入力!$I$6:$I$47,"&gt;0"))</f>
        <v/>
      </c>
      <c r="O321" s="393">
        <f>IF($J321="",0,SUMIFS(②釜工程入力!$J$5:$J$117,②釜工程入力!$S$5:$S$117,$J321,②釜工程入力!$J$5:$J$117,"&gt;0",②釜工程入力!$M$5:$M$117,"&gt;0")-SUMIFS(②釜工程入力!$J$5:$J$117,②釜工程入力!$S$5:$S$117,$J321,②釜工程入力!$J$5:$J$117,"&gt;0",②釜工程入力!$I$5:$I$117,"&gt;0",②釜工程入力!$M$5:$M$117,"&gt;0")+SUMIFS(③スチコン工程入力!$J$5:$J$152,③スチコン工程入力!$S$5:$S$152,$J321,③スチコン工程入力!$J$5:$J$152,"&gt;0",③スチコン工程入力!$M$5:$M$152,"&gt;0")-SUMIFS(③スチコン工程入力!$J$5:$J$152,③スチコン工程入力!$S$5:$S$152,$J321,③スチコン工程入力!$J$5:$J$152,"&gt;0",③スチコン工程入力!$I$5:$I$152,"&gt;0",③スチコン工程入力!$M$5:$M$152,"&gt;0")+SUMIFS(⑪ZEN工程入力!$J$6:$J$35,⑪ZEN工程入力!$S$6:$S$35,$J321,⑪ZEN工程入力!$J$6:$J$35,"&gt;0",⑪ZEN工程入力!$M$6:$M$35,"&gt;0")-SUMIFS(⑪ZEN工程入力!$J$6:$J$35,⑪ZEN工程入力!$S$6:$S$35,$J321,⑪ZEN工程入力!$J$6:$J$35,"&gt;0",⑪ZEN工程入力!$I$6:$I$35,"&gt;0",⑪ZEN工程入力!$M$6:$M$35,"&gt;0")+SUMIFS(⑫ミキサー工程入力!$J$6:$J$65,⑫ミキサー工程入力!$S$6:$S$65,$J321,⑫ミキサー工程入力!$J$6:$J$65,"&gt;0",⑫ミキサー工程入力!$M$6:$M$65,"&gt;0")-SUMIFS(⑫ミキサー工程入力!$J$6:$J$65,⑫ミキサー工程入力!$S$6:$S$65,$J321,⑫ミキサー工程入力!$J$6:$J$65,"&gt;0",⑫ミキサー工程入力!$I$6:$I$65,"&gt;0",⑫ミキサー工程入力!$M$6:$M$65,"&gt;0")+SUMIFS(⑬計量工程入力!$J$6:$J$65,⑬計量工程入力!$S$6:$S$65,$J321,⑬計量工程入力!$J$6:$J$65,"&gt;0",⑬計量工程入力!$M$6:$M$65,"&gt;0")-SUMIFS(⑬計量工程入力!$J$6:$J$65,⑬計量工程入力!$S$6:$S$65,$J321,⑬計量工程入力!$J$6:$J$65,"&gt;0",⑬計量工程入力!$I$6:$I$65,"&gt;0",⑬計量工程入力!$M$6:$M$65,"&gt;0")+SUMIFS(⑭手動工程入力!$J$6:$J$47,⑭手動工程入力!$S$6:$S$47,$J321,⑭手動工程入力!$J$6:$J$47,"&gt;0",⑭手動工程入力!$M$6:$M$47,"&gt;0")-SUMIFS(⑭手動工程入力!$J$6:$J$47,⑭手動工程入力!$S$6:$S$47,$J321,⑭手動工程入力!$J$6:$J$47,"&gt;0",⑭手動工程入力!$I$6:$I$47,"&gt;0",⑭手動工程入力!$M$6:$M$47,"&gt;0"))</f>
        <v/>
      </c>
      <c r="P321" s="392" t="inlineStr">
        <is>
          <t>中間品リスト</t>
        </is>
      </c>
    </row>
    <row r="322">
      <c r="A322" s="392" t="n">
        <v>318</v>
      </c>
      <c r="B322" s="392" t="n"/>
      <c r="C322" s="392" t="n"/>
      <c r="D322" s="409" t="n"/>
      <c r="E322" s="392" t="n"/>
      <c r="F322" s="394" t="n"/>
      <c r="G322" s="392" t="n"/>
      <c r="H322" s="604">
        <f>IFERROR(IF(AND($K322&gt;0,ISNUMBER(IF(OR($D322="g",$D322="ｇ"),IF($M322&gt;0,$L322/$M322/1000,""),IF($D322="kg",IF($M322&gt;0,$L322/$M322,""),IF($D322="",IF($M322&gt;0,$L322/$M322/1000,IF($O322&gt;0,$N322/$O322,"")),IF($O322&gt;0,$N322/$O322,"")))))),IF(OR($D322="g",$D322="ｇ"),IF($M322&gt;0,$L322/$M322/1000,""),IF($D322="kg",IF($M322&gt;0,$L322/$M322,""),IF($D322="",IF($M322&gt;0,$L322/$M322/1000,IF($O322&gt;0,$N322/$O322,"")),IF($O322&gt;0,$N322/$O322,"")))),IF($F322="",IF(OR($E322="",$E322="⑩盛付梱包工程入力"),"",IF(OR($D322="g",$D322="ｇ"),INDEX(⑰工程労務費一覧!$N$5:$N$11,MATCH($E322,⑰工程労務費一覧!$K$5:$K$11,0))/1000,IF($D322="kg",INDEX(⑰工程労務費一覧!$N$5:$N$11,MATCH($E322,⑰工程労務費一覧!$K$5:$K$11,0)),IF(OR($D322="個",$D322="切",$D322="本",$D322="枚",$D322="尾"),IF($E322="⑬計量工程入力","",INDEX(⑰工程労務費一覧!$P$5:$P$11,MATCH($E322,⑰工程労務費一覧!$K$5:$K$11,0))),IF(AND($D322="",OR($E322="②釜工程入力",$E322="③スチコン工程入力")),INDEX(⑰工程労務費一覧!$N$5:$N$11,MATCH($E322,⑰工程労務費一覧!$K$5:$K$11,0))/1000,""))))),IF(OR($D322="g",$D322="ｇ"),INDEX(⑰工程労務費一覧!$H$5:$H$753,MATCH($F322,⑰工程労務費一覧!$D$5:$D$753,0))/1000,IF($D322="kg",INDEX(⑰工程労務費一覧!$H$5:$H$753,MATCH($F322,⑰工程労務費一覧!$D$5:$D$753,0)),INDEX(⑰工程労務費一覧!$I$5:$I$753,MATCH($F322,⑰工程労務費一覧!$D$5:$D$753,0)))))),"")</f>
        <v/>
      </c>
      <c r="I322" s="392">
        <f>IF($K322&gt;0,IF(ISNUMBER(IF(OR($D322="g",$D322="ｇ"),IF($M322&gt;0,$L322/$M322/1000,""),IF($D322="kg",IF($M322&gt;0,$L322/$M322,""),IF($D322="",IF($M322&gt;0,$L322/$M322/1000,IF($O322&gt;0,$N322/$O322,"")),IF($O322&gt;0,$N322/$O322,""))))),IF($D322="",IF($M322&gt;0,"◎ JAN紐づけ(g扱い)","◎ JAN紐づけ(個扱い)"),"◎ JAN紐づけ"),"△ JAN紐づけ済・実績不足→仮計算"),IF($F322="",IF(ISNUMBER($H322),IF($D322="","⑤ 工程平均で仮計算(g扱い)","⑤ 工程平均で仮計算"),IF($E322="⑩盛付梱包工程入力","⑥ 盛り込み(⑳F列で計上)",IF(AND($E322="⑬計量工程入力",OR($D322="個",$D322="切",$D322="本",$D322="枚",$D322="尾")),"① 未紐づけ(カット個単位は仮単価なし)","① 未紐づけ"))),IF(NOT(ISNUMBER($H322)),"② 工程側に単価なし",IF($D322="","③ 単位未設定(個で計算)","④ OK"))))</f>
        <v/>
      </c>
      <c r="J322" s="399">
        <f>IFERROR(LOOKUP(2,1/((中間品リスト!$F$2:$F$1299=$B322)*(中間品リスト!$E$2:$E$1299&lt;&gt;"-")*(中間品リスト!$E$2:$E$1299&lt;&gt;"")),中間品リスト!$E$2:$E$1299),"")</f>
        <v/>
      </c>
      <c r="K322" s="400">
        <f>IF($J322="",0,COUNTIF(②釜工程入力!$S$5:$S$117,$J322)+COUNTIF(③スチコン工程入力!$S$5:$S$152,$J322)+COUNTIF(⑪ZEN工程入力!$S$6:$S$35,$J322)+COUNTIF(⑫ミキサー工程入力!$S$6:$S$65,$J322)+COUNTIF(⑬計量工程入力!$S$6:$S$65,$J322)+COUNTIF(⑭手動工程入力!$S$6:$S$47,$J322))</f>
        <v/>
      </c>
      <c r="L322" s="393">
        <f>IF($J322="",0,SUMIFS(②釜工程入力!$M$5:$M$117,②釜工程入力!$S$5:$S$117,$J322,②釜工程入力!$I$5:$I$117,"&gt;0")+SUMIFS(③スチコン工程入力!$M$5:$M$152,③スチコン工程入力!$S$5:$S$152,$J322,③スチコン工程入力!$I$5:$I$152,"&gt;0")+SUMIFS(⑪ZEN工程入力!$M$6:$M$35,⑪ZEN工程入力!$S$6:$S$35,$J322,⑪ZEN工程入力!$I$6:$I$35,"&gt;0")+SUMIFS(⑫ミキサー工程入力!$M$6:$M$65,⑫ミキサー工程入力!$S$6:$S$65,$J322,⑫ミキサー工程入力!$I$6:$I$65,"&gt;0")+SUMIFS(⑬計量工程入力!$M$6:$M$65,⑬計量工程入力!$S$6:$S$65,$J322,⑬計量工程入力!$I$6:$I$65,"&gt;0")+SUMIFS(⑭手動工程入力!$M$6:$M$47,⑭手動工程入力!$S$6:$S$47,$J322,⑭手動工程入力!$I$6:$I$47,"&gt;0"))</f>
        <v/>
      </c>
      <c r="M322" s="393">
        <f>IF($J322="",0,SUMIFS(②釜工程入力!$I$5:$I$117,②釜工程入力!$S$5:$S$117,$J322,②釜工程入力!$I$5:$I$117,"&gt;0",②釜工程入力!$M$5:$M$117,"&gt;0")+SUMIFS(③スチコン工程入力!$I$5:$I$152,③スチコン工程入力!$S$5:$S$152,$J322,③スチコン工程入力!$I$5:$I$152,"&gt;0",③スチコン工程入力!$M$5:$M$152,"&gt;0")+SUMIFS(⑪ZEN工程入力!$I$6:$I$35,⑪ZEN工程入力!$S$6:$S$35,$J322,⑪ZEN工程入力!$I$6:$I$35,"&gt;0",⑪ZEN工程入力!$M$6:$M$35,"&gt;0")+SUMIFS(⑫ミキサー工程入力!$I$6:$I$65,⑫ミキサー工程入力!$S$6:$S$65,$J322,⑫ミキサー工程入力!$I$6:$I$65,"&gt;0",⑫ミキサー工程入力!$M$6:$M$65,"&gt;0")+SUMIFS(⑬計量工程入力!$I$6:$I$65,⑬計量工程入力!$S$6:$S$65,$J322,⑬計量工程入力!$I$6:$I$65,"&gt;0",⑬計量工程入力!$M$6:$M$65,"&gt;0")+SUMIFS(⑭手動工程入力!$I$6:$I$47,⑭手動工程入力!$S$6:$S$47,$J322,⑭手動工程入力!$I$6:$I$47,"&gt;0",⑭手動工程入力!$M$6:$M$47,"&gt;0"))</f>
        <v/>
      </c>
      <c r="N322" s="393">
        <f>IF($J322="",0,SUMIFS(②釜工程入力!$M$5:$M$117,②釜工程入力!$S$5:$S$117,$J322,②釜工程入力!$J$5:$J$117,"&gt;0")-SUMIFS(②釜工程入力!$M$5:$M$117,②釜工程入力!$S$5:$S$117,$J322,②釜工程入力!$J$5:$J$117,"&gt;0",②釜工程入力!$I$5:$I$117,"&gt;0")+SUMIFS(③スチコン工程入力!$M$5:$M$152,③スチコン工程入力!$S$5:$S$152,$J322,③スチコン工程入力!$J$5:$J$152,"&gt;0")-SUMIFS(③スチコン工程入力!$M$5:$M$152,③スチコン工程入力!$S$5:$S$152,$J322,③スチコン工程入力!$J$5:$J$152,"&gt;0",③スチコン工程入力!$I$5:$I$152,"&gt;0")+SUMIFS(⑪ZEN工程入力!$M$6:$M$35,⑪ZEN工程入力!$S$6:$S$35,$J322,⑪ZEN工程入力!$J$6:$J$35,"&gt;0")-SUMIFS(⑪ZEN工程入力!$M$6:$M$35,⑪ZEN工程入力!$S$6:$S$35,$J322,⑪ZEN工程入力!$J$6:$J$35,"&gt;0",⑪ZEN工程入力!$I$6:$I$35,"&gt;0")+SUMIFS(⑫ミキサー工程入力!$M$6:$M$65,⑫ミキサー工程入力!$S$6:$S$65,$J322,⑫ミキサー工程入力!$J$6:$J$65,"&gt;0")-SUMIFS(⑫ミキサー工程入力!$M$6:$M$65,⑫ミキサー工程入力!$S$6:$S$65,$J322,⑫ミキサー工程入力!$J$6:$J$65,"&gt;0",⑫ミキサー工程入力!$I$6:$I$65,"&gt;0")+SUMIFS(⑬計量工程入力!$M$6:$M$65,⑬計量工程入力!$S$6:$S$65,$J322,⑬計量工程入力!$J$6:$J$65,"&gt;0")-SUMIFS(⑬計量工程入力!$M$6:$M$65,⑬計量工程入力!$S$6:$S$65,$J322,⑬計量工程入力!$J$6:$J$65,"&gt;0",⑬計量工程入力!$I$6:$I$65,"&gt;0")+SUMIFS(⑭手動工程入力!$M$6:$M$47,⑭手動工程入力!$S$6:$S$47,$J322,⑭手動工程入力!$J$6:$J$47,"&gt;0")-SUMIFS(⑭手動工程入力!$M$6:$M$47,⑭手動工程入力!$S$6:$S$47,$J322,⑭手動工程入力!$J$6:$J$47,"&gt;0",⑭手動工程入力!$I$6:$I$47,"&gt;0"))</f>
        <v/>
      </c>
      <c r="O322" s="393">
        <f>IF($J322="",0,SUMIFS(②釜工程入力!$J$5:$J$117,②釜工程入力!$S$5:$S$117,$J322,②釜工程入力!$J$5:$J$117,"&gt;0",②釜工程入力!$M$5:$M$117,"&gt;0")-SUMIFS(②釜工程入力!$J$5:$J$117,②釜工程入力!$S$5:$S$117,$J322,②釜工程入力!$J$5:$J$117,"&gt;0",②釜工程入力!$I$5:$I$117,"&gt;0",②釜工程入力!$M$5:$M$117,"&gt;0")+SUMIFS(③スチコン工程入力!$J$5:$J$152,③スチコン工程入力!$S$5:$S$152,$J322,③スチコン工程入力!$J$5:$J$152,"&gt;0",③スチコン工程入力!$M$5:$M$152,"&gt;0")-SUMIFS(③スチコン工程入力!$J$5:$J$152,③スチコン工程入力!$S$5:$S$152,$J322,③スチコン工程入力!$J$5:$J$152,"&gt;0",③スチコン工程入力!$I$5:$I$152,"&gt;0",③スチコン工程入力!$M$5:$M$152,"&gt;0")+SUMIFS(⑪ZEN工程入力!$J$6:$J$35,⑪ZEN工程入力!$S$6:$S$35,$J322,⑪ZEN工程入力!$J$6:$J$35,"&gt;0",⑪ZEN工程入力!$M$6:$M$35,"&gt;0")-SUMIFS(⑪ZEN工程入力!$J$6:$J$35,⑪ZEN工程入力!$S$6:$S$35,$J322,⑪ZEN工程入力!$J$6:$J$35,"&gt;0",⑪ZEN工程入力!$I$6:$I$35,"&gt;0",⑪ZEN工程入力!$M$6:$M$35,"&gt;0")+SUMIFS(⑫ミキサー工程入力!$J$6:$J$65,⑫ミキサー工程入力!$S$6:$S$65,$J322,⑫ミキサー工程入力!$J$6:$J$65,"&gt;0",⑫ミキサー工程入力!$M$6:$M$65,"&gt;0")-SUMIFS(⑫ミキサー工程入力!$J$6:$J$65,⑫ミキサー工程入力!$S$6:$S$65,$J322,⑫ミキサー工程入力!$J$6:$J$65,"&gt;0",⑫ミキサー工程入力!$I$6:$I$65,"&gt;0",⑫ミキサー工程入力!$M$6:$M$65,"&gt;0")+SUMIFS(⑬計量工程入力!$J$6:$J$65,⑬計量工程入力!$S$6:$S$65,$J322,⑬計量工程入力!$J$6:$J$65,"&gt;0",⑬計量工程入力!$M$6:$M$65,"&gt;0")-SUMIFS(⑬計量工程入力!$J$6:$J$65,⑬計量工程入力!$S$6:$S$65,$J322,⑬計量工程入力!$J$6:$J$65,"&gt;0",⑬計量工程入力!$I$6:$I$65,"&gt;0",⑬計量工程入力!$M$6:$M$65,"&gt;0")+SUMIFS(⑭手動工程入力!$J$6:$J$47,⑭手動工程入力!$S$6:$S$47,$J322,⑭手動工程入力!$J$6:$J$47,"&gt;0",⑭手動工程入力!$M$6:$M$47,"&gt;0")-SUMIFS(⑭手動工程入力!$J$6:$J$47,⑭手動工程入力!$S$6:$S$47,$J322,⑭手動工程入力!$J$6:$J$47,"&gt;0",⑭手動工程入力!$I$6:$I$47,"&gt;0",⑭手動工程入力!$M$6:$M$47,"&gt;0"))</f>
        <v/>
      </c>
      <c r="P322" s="392" t="inlineStr">
        <is>
          <t>中間品リスト</t>
        </is>
      </c>
    </row>
    <row r="323">
      <c r="A323" s="392" t="n">
        <v>319</v>
      </c>
      <c r="B323" s="392" t="n"/>
      <c r="C323" s="392" t="n"/>
      <c r="D323" s="409" t="n"/>
      <c r="E323" s="392" t="n"/>
      <c r="F323" s="394" t="n"/>
      <c r="G323" s="392" t="n"/>
      <c r="H323" s="604">
        <f>IFERROR(IF(AND($K323&gt;0,ISNUMBER(IF(OR($D323="g",$D323="ｇ"),IF($M323&gt;0,$L323/$M323/1000,""),IF($D323="kg",IF($M323&gt;0,$L323/$M323,""),IF($D323="",IF($M323&gt;0,$L323/$M323/1000,IF($O323&gt;0,$N323/$O323,"")),IF($O323&gt;0,$N323/$O323,"")))))),IF(OR($D323="g",$D323="ｇ"),IF($M323&gt;0,$L323/$M323/1000,""),IF($D323="kg",IF($M323&gt;0,$L323/$M323,""),IF($D323="",IF($M323&gt;0,$L323/$M323/1000,IF($O323&gt;0,$N323/$O323,"")),IF($O323&gt;0,$N323/$O323,"")))),IF($F323="",IF(OR($E323="",$E323="⑩盛付梱包工程入力"),"",IF(OR($D323="g",$D323="ｇ"),INDEX(⑰工程労務費一覧!$N$5:$N$11,MATCH($E323,⑰工程労務費一覧!$K$5:$K$11,0))/1000,IF($D323="kg",INDEX(⑰工程労務費一覧!$N$5:$N$11,MATCH($E323,⑰工程労務費一覧!$K$5:$K$11,0)),IF(OR($D323="個",$D323="切",$D323="本",$D323="枚",$D323="尾"),IF($E323="⑬計量工程入力","",INDEX(⑰工程労務費一覧!$P$5:$P$11,MATCH($E323,⑰工程労務費一覧!$K$5:$K$11,0))),IF(AND($D323="",OR($E323="②釜工程入力",$E323="③スチコン工程入力")),INDEX(⑰工程労務費一覧!$N$5:$N$11,MATCH($E323,⑰工程労務費一覧!$K$5:$K$11,0))/1000,""))))),IF(OR($D323="g",$D323="ｇ"),INDEX(⑰工程労務費一覧!$H$5:$H$753,MATCH($F323,⑰工程労務費一覧!$D$5:$D$753,0))/1000,IF($D323="kg",INDEX(⑰工程労務費一覧!$H$5:$H$753,MATCH($F323,⑰工程労務費一覧!$D$5:$D$753,0)),INDEX(⑰工程労務費一覧!$I$5:$I$753,MATCH($F323,⑰工程労務費一覧!$D$5:$D$753,0)))))),"")</f>
        <v/>
      </c>
      <c r="I323" s="392">
        <f>IF($K323&gt;0,IF(ISNUMBER(IF(OR($D323="g",$D323="ｇ"),IF($M323&gt;0,$L323/$M323/1000,""),IF($D323="kg",IF($M323&gt;0,$L323/$M323,""),IF($D323="",IF($M323&gt;0,$L323/$M323/1000,IF($O323&gt;0,$N323/$O323,"")),IF($O323&gt;0,$N323/$O323,""))))),IF($D323="",IF($M323&gt;0,"◎ JAN紐づけ(g扱い)","◎ JAN紐づけ(個扱い)"),"◎ JAN紐づけ"),"△ JAN紐づけ済・実績不足→仮計算"),IF($F323="",IF(ISNUMBER($H323),IF($D323="","⑤ 工程平均で仮計算(g扱い)","⑤ 工程平均で仮計算"),IF($E323="⑩盛付梱包工程入力","⑥ 盛り込み(⑳F列で計上)",IF(AND($E323="⑬計量工程入力",OR($D323="個",$D323="切",$D323="本",$D323="枚",$D323="尾")),"① 未紐づけ(カット個単位は仮単価なし)","① 未紐づけ"))),IF(NOT(ISNUMBER($H323)),"② 工程側に単価なし",IF($D323="","③ 単位未設定(個で計算)","④ OK"))))</f>
        <v/>
      </c>
      <c r="J323" s="399">
        <f>IFERROR(LOOKUP(2,1/((中間品リスト!$F$2:$F$1299=$B323)*(中間品リスト!$E$2:$E$1299&lt;&gt;"-")*(中間品リスト!$E$2:$E$1299&lt;&gt;"")),中間品リスト!$E$2:$E$1299),"")</f>
        <v/>
      </c>
      <c r="K323" s="400">
        <f>IF($J323="",0,COUNTIF(②釜工程入力!$S$5:$S$117,$J323)+COUNTIF(③スチコン工程入力!$S$5:$S$152,$J323)+COUNTIF(⑪ZEN工程入力!$S$6:$S$35,$J323)+COUNTIF(⑫ミキサー工程入力!$S$6:$S$65,$J323)+COUNTIF(⑬計量工程入力!$S$6:$S$65,$J323)+COUNTIF(⑭手動工程入力!$S$6:$S$47,$J323))</f>
        <v/>
      </c>
      <c r="L323" s="393">
        <f>IF($J323="",0,SUMIFS(②釜工程入力!$M$5:$M$117,②釜工程入力!$S$5:$S$117,$J323,②釜工程入力!$I$5:$I$117,"&gt;0")+SUMIFS(③スチコン工程入力!$M$5:$M$152,③スチコン工程入力!$S$5:$S$152,$J323,③スチコン工程入力!$I$5:$I$152,"&gt;0")+SUMIFS(⑪ZEN工程入力!$M$6:$M$35,⑪ZEN工程入力!$S$6:$S$35,$J323,⑪ZEN工程入力!$I$6:$I$35,"&gt;0")+SUMIFS(⑫ミキサー工程入力!$M$6:$M$65,⑫ミキサー工程入力!$S$6:$S$65,$J323,⑫ミキサー工程入力!$I$6:$I$65,"&gt;0")+SUMIFS(⑬計量工程入力!$M$6:$M$65,⑬計量工程入力!$S$6:$S$65,$J323,⑬計量工程入力!$I$6:$I$65,"&gt;0")+SUMIFS(⑭手動工程入力!$M$6:$M$47,⑭手動工程入力!$S$6:$S$47,$J323,⑭手動工程入力!$I$6:$I$47,"&gt;0"))</f>
        <v/>
      </c>
      <c r="M323" s="393">
        <f>IF($J323="",0,SUMIFS(②釜工程入力!$I$5:$I$117,②釜工程入力!$S$5:$S$117,$J323,②釜工程入力!$I$5:$I$117,"&gt;0",②釜工程入力!$M$5:$M$117,"&gt;0")+SUMIFS(③スチコン工程入力!$I$5:$I$152,③スチコン工程入力!$S$5:$S$152,$J323,③スチコン工程入力!$I$5:$I$152,"&gt;0",③スチコン工程入力!$M$5:$M$152,"&gt;0")+SUMIFS(⑪ZEN工程入力!$I$6:$I$35,⑪ZEN工程入力!$S$6:$S$35,$J323,⑪ZEN工程入力!$I$6:$I$35,"&gt;0",⑪ZEN工程入力!$M$6:$M$35,"&gt;0")+SUMIFS(⑫ミキサー工程入力!$I$6:$I$65,⑫ミキサー工程入力!$S$6:$S$65,$J323,⑫ミキサー工程入力!$I$6:$I$65,"&gt;0",⑫ミキサー工程入力!$M$6:$M$65,"&gt;0")+SUMIFS(⑬計量工程入力!$I$6:$I$65,⑬計量工程入力!$S$6:$S$65,$J323,⑬計量工程入力!$I$6:$I$65,"&gt;0",⑬計量工程入力!$M$6:$M$65,"&gt;0")+SUMIFS(⑭手動工程入力!$I$6:$I$47,⑭手動工程入力!$S$6:$S$47,$J323,⑭手動工程入力!$I$6:$I$47,"&gt;0",⑭手動工程入力!$M$6:$M$47,"&gt;0"))</f>
        <v/>
      </c>
      <c r="N323" s="393">
        <f>IF($J323="",0,SUMIFS(②釜工程入力!$M$5:$M$117,②釜工程入力!$S$5:$S$117,$J323,②釜工程入力!$J$5:$J$117,"&gt;0")-SUMIFS(②釜工程入力!$M$5:$M$117,②釜工程入力!$S$5:$S$117,$J323,②釜工程入力!$J$5:$J$117,"&gt;0",②釜工程入力!$I$5:$I$117,"&gt;0")+SUMIFS(③スチコン工程入力!$M$5:$M$152,③スチコン工程入力!$S$5:$S$152,$J323,③スチコン工程入力!$J$5:$J$152,"&gt;0")-SUMIFS(③スチコン工程入力!$M$5:$M$152,③スチコン工程入力!$S$5:$S$152,$J323,③スチコン工程入力!$J$5:$J$152,"&gt;0",③スチコン工程入力!$I$5:$I$152,"&gt;0")+SUMIFS(⑪ZEN工程入力!$M$6:$M$35,⑪ZEN工程入力!$S$6:$S$35,$J323,⑪ZEN工程入力!$J$6:$J$35,"&gt;0")-SUMIFS(⑪ZEN工程入力!$M$6:$M$35,⑪ZEN工程入力!$S$6:$S$35,$J323,⑪ZEN工程入力!$J$6:$J$35,"&gt;0",⑪ZEN工程入力!$I$6:$I$35,"&gt;0")+SUMIFS(⑫ミキサー工程入力!$M$6:$M$65,⑫ミキサー工程入力!$S$6:$S$65,$J323,⑫ミキサー工程入力!$J$6:$J$65,"&gt;0")-SUMIFS(⑫ミキサー工程入力!$M$6:$M$65,⑫ミキサー工程入力!$S$6:$S$65,$J323,⑫ミキサー工程入力!$J$6:$J$65,"&gt;0",⑫ミキサー工程入力!$I$6:$I$65,"&gt;0")+SUMIFS(⑬計量工程入力!$M$6:$M$65,⑬計量工程入力!$S$6:$S$65,$J323,⑬計量工程入力!$J$6:$J$65,"&gt;0")-SUMIFS(⑬計量工程入力!$M$6:$M$65,⑬計量工程入力!$S$6:$S$65,$J323,⑬計量工程入力!$J$6:$J$65,"&gt;0",⑬計量工程入力!$I$6:$I$65,"&gt;0")+SUMIFS(⑭手動工程入力!$M$6:$M$47,⑭手動工程入力!$S$6:$S$47,$J323,⑭手動工程入力!$J$6:$J$47,"&gt;0")-SUMIFS(⑭手動工程入力!$M$6:$M$47,⑭手動工程入力!$S$6:$S$47,$J323,⑭手動工程入力!$J$6:$J$47,"&gt;0",⑭手動工程入力!$I$6:$I$47,"&gt;0"))</f>
        <v/>
      </c>
      <c r="O323" s="393">
        <f>IF($J323="",0,SUMIFS(②釜工程入力!$J$5:$J$117,②釜工程入力!$S$5:$S$117,$J323,②釜工程入力!$J$5:$J$117,"&gt;0",②釜工程入力!$M$5:$M$117,"&gt;0")-SUMIFS(②釜工程入力!$J$5:$J$117,②釜工程入力!$S$5:$S$117,$J323,②釜工程入力!$J$5:$J$117,"&gt;0",②釜工程入力!$I$5:$I$117,"&gt;0",②釜工程入力!$M$5:$M$117,"&gt;0")+SUMIFS(③スチコン工程入力!$J$5:$J$152,③スチコン工程入力!$S$5:$S$152,$J323,③スチコン工程入力!$J$5:$J$152,"&gt;0",③スチコン工程入力!$M$5:$M$152,"&gt;0")-SUMIFS(③スチコン工程入力!$J$5:$J$152,③スチコン工程入力!$S$5:$S$152,$J323,③スチコン工程入力!$J$5:$J$152,"&gt;0",③スチコン工程入力!$I$5:$I$152,"&gt;0",③スチコン工程入力!$M$5:$M$152,"&gt;0")+SUMIFS(⑪ZEN工程入力!$J$6:$J$35,⑪ZEN工程入力!$S$6:$S$35,$J323,⑪ZEN工程入力!$J$6:$J$35,"&gt;0",⑪ZEN工程入力!$M$6:$M$35,"&gt;0")-SUMIFS(⑪ZEN工程入力!$J$6:$J$35,⑪ZEN工程入力!$S$6:$S$35,$J323,⑪ZEN工程入力!$J$6:$J$35,"&gt;0",⑪ZEN工程入力!$I$6:$I$35,"&gt;0",⑪ZEN工程入力!$M$6:$M$35,"&gt;0")+SUMIFS(⑫ミキサー工程入力!$J$6:$J$65,⑫ミキサー工程入力!$S$6:$S$65,$J323,⑫ミキサー工程入力!$J$6:$J$65,"&gt;0",⑫ミキサー工程入力!$M$6:$M$65,"&gt;0")-SUMIFS(⑫ミキサー工程入力!$J$6:$J$65,⑫ミキサー工程入力!$S$6:$S$65,$J323,⑫ミキサー工程入力!$J$6:$J$65,"&gt;0",⑫ミキサー工程入力!$I$6:$I$65,"&gt;0",⑫ミキサー工程入力!$M$6:$M$65,"&gt;0")+SUMIFS(⑬計量工程入力!$J$6:$J$65,⑬計量工程入力!$S$6:$S$65,$J323,⑬計量工程入力!$J$6:$J$65,"&gt;0",⑬計量工程入力!$M$6:$M$65,"&gt;0")-SUMIFS(⑬計量工程入力!$J$6:$J$65,⑬計量工程入力!$S$6:$S$65,$J323,⑬計量工程入力!$J$6:$J$65,"&gt;0",⑬計量工程入力!$I$6:$I$65,"&gt;0",⑬計量工程入力!$M$6:$M$65,"&gt;0")+SUMIFS(⑭手動工程入力!$J$6:$J$47,⑭手動工程入力!$S$6:$S$47,$J323,⑭手動工程入力!$J$6:$J$47,"&gt;0",⑭手動工程入力!$M$6:$M$47,"&gt;0")-SUMIFS(⑭手動工程入力!$J$6:$J$47,⑭手動工程入力!$S$6:$S$47,$J323,⑭手動工程入力!$J$6:$J$47,"&gt;0",⑭手動工程入力!$I$6:$I$47,"&gt;0",⑭手動工程入力!$M$6:$M$47,"&gt;0"))</f>
        <v/>
      </c>
      <c r="P323" s="392" t="inlineStr">
        <is>
          <t>中間品リスト</t>
        </is>
      </c>
    </row>
    <row r="324">
      <c r="A324" s="392" t="n">
        <v>320</v>
      </c>
      <c r="B324" s="392" t="n"/>
      <c r="C324" s="392" t="n"/>
      <c r="D324" s="409" t="n"/>
      <c r="E324" s="392" t="n"/>
      <c r="F324" s="394" t="n"/>
      <c r="G324" s="392" t="n"/>
      <c r="H324" s="604">
        <f>IFERROR(IF(AND($K324&gt;0,ISNUMBER(IF(OR($D324="g",$D324="ｇ"),IF($M324&gt;0,$L324/$M324/1000,""),IF($D324="kg",IF($M324&gt;0,$L324/$M324,""),IF($D324="",IF($M324&gt;0,$L324/$M324/1000,IF($O324&gt;0,$N324/$O324,"")),IF($O324&gt;0,$N324/$O324,"")))))),IF(OR($D324="g",$D324="ｇ"),IF($M324&gt;0,$L324/$M324/1000,""),IF($D324="kg",IF($M324&gt;0,$L324/$M324,""),IF($D324="",IF($M324&gt;0,$L324/$M324/1000,IF($O324&gt;0,$N324/$O324,"")),IF($O324&gt;0,$N324/$O324,"")))),IF($F324="",IF(OR($E324="",$E324="⑩盛付梱包工程入力"),"",IF(OR($D324="g",$D324="ｇ"),INDEX(⑰工程労務費一覧!$N$5:$N$11,MATCH($E324,⑰工程労務費一覧!$K$5:$K$11,0))/1000,IF($D324="kg",INDEX(⑰工程労務費一覧!$N$5:$N$11,MATCH($E324,⑰工程労務費一覧!$K$5:$K$11,0)),IF(OR($D324="個",$D324="切",$D324="本",$D324="枚",$D324="尾"),IF($E324="⑬計量工程入力","",INDEX(⑰工程労務費一覧!$P$5:$P$11,MATCH($E324,⑰工程労務費一覧!$K$5:$K$11,0))),IF(AND($D324="",OR($E324="②釜工程入力",$E324="③スチコン工程入力")),INDEX(⑰工程労務費一覧!$N$5:$N$11,MATCH($E324,⑰工程労務費一覧!$K$5:$K$11,0))/1000,""))))),IF(OR($D324="g",$D324="ｇ"),INDEX(⑰工程労務費一覧!$H$5:$H$753,MATCH($F324,⑰工程労務費一覧!$D$5:$D$753,0))/1000,IF($D324="kg",INDEX(⑰工程労務費一覧!$H$5:$H$753,MATCH($F324,⑰工程労務費一覧!$D$5:$D$753,0)),INDEX(⑰工程労務費一覧!$I$5:$I$753,MATCH($F324,⑰工程労務費一覧!$D$5:$D$753,0)))))),"")</f>
        <v/>
      </c>
      <c r="I324" s="392">
        <f>IF($K324&gt;0,IF(ISNUMBER(IF(OR($D324="g",$D324="ｇ"),IF($M324&gt;0,$L324/$M324/1000,""),IF($D324="kg",IF($M324&gt;0,$L324/$M324,""),IF($D324="",IF($M324&gt;0,$L324/$M324/1000,IF($O324&gt;0,$N324/$O324,"")),IF($O324&gt;0,$N324/$O324,""))))),IF($D324="",IF($M324&gt;0,"◎ JAN紐づけ(g扱い)","◎ JAN紐づけ(個扱い)"),"◎ JAN紐づけ"),"△ JAN紐づけ済・実績不足→仮計算"),IF($F324="",IF(ISNUMBER($H324),IF($D324="","⑤ 工程平均で仮計算(g扱い)","⑤ 工程平均で仮計算"),IF($E324="⑩盛付梱包工程入力","⑥ 盛り込み(⑳F列で計上)",IF(AND($E324="⑬計量工程入力",OR($D324="個",$D324="切",$D324="本",$D324="枚",$D324="尾")),"① 未紐づけ(カット個単位は仮単価なし)","① 未紐づけ"))),IF(NOT(ISNUMBER($H324)),"② 工程側に単価なし",IF($D324="","③ 単位未設定(個で計算)","④ OK"))))</f>
        <v/>
      </c>
      <c r="J324" s="399">
        <f>IFERROR(LOOKUP(2,1/((中間品リスト!$F$2:$F$1299=$B324)*(中間品リスト!$E$2:$E$1299&lt;&gt;"-")*(中間品リスト!$E$2:$E$1299&lt;&gt;"")),中間品リスト!$E$2:$E$1299),"")</f>
        <v/>
      </c>
      <c r="K324" s="400">
        <f>IF($J324="",0,COUNTIF(②釜工程入力!$S$5:$S$117,$J324)+COUNTIF(③スチコン工程入力!$S$5:$S$152,$J324)+COUNTIF(⑪ZEN工程入力!$S$6:$S$35,$J324)+COUNTIF(⑫ミキサー工程入力!$S$6:$S$65,$J324)+COUNTIF(⑬計量工程入力!$S$6:$S$65,$J324)+COUNTIF(⑭手動工程入力!$S$6:$S$47,$J324))</f>
        <v/>
      </c>
      <c r="L324" s="393">
        <f>IF($J324="",0,SUMIFS(②釜工程入力!$M$5:$M$117,②釜工程入力!$S$5:$S$117,$J324,②釜工程入力!$I$5:$I$117,"&gt;0")+SUMIFS(③スチコン工程入力!$M$5:$M$152,③スチコン工程入力!$S$5:$S$152,$J324,③スチコン工程入力!$I$5:$I$152,"&gt;0")+SUMIFS(⑪ZEN工程入力!$M$6:$M$35,⑪ZEN工程入力!$S$6:$S$35,$J324,⑪ZEN工程入力!$I$6:$I$35,"&gt;0")+SUMIFS(⑫ミキサー工程入力!$M$6:$M$65,⑫ミキサー工程入力!$S$6:$S$65,$J324,⑫ミキサー工程入力!$I$6:$I$65,"&gt;0")+SUMIFS(⑬計量工程入力!$M$6:$M$65,⑬計量工程入力!$S$6:$S$65,$J324,⑬計量工程入力!$I$6:$I$65,"&gt;0")+SUMIFS(⑭手動工程入力!$M$6:$M$47,⑭手動工程入力!$S$6:$S$47,$J324,⑭手動工程入力!$I$6:$I$47,"&gt;0"))</f>
        <v/>
      </c>
      <c r="M324" s="393">
        <f>IF($J324="",0,SUMIFS(②釜工程入力!$I$5:$I$117,②釜工程入力!$S$5:$S$117,$J324,②釜工程入力!$I$5:$I$117,"&gt;0",②釜工程入力!$M$5:$M$117,"&gt;0")+SUMIFS(③スチコン工程入力!$I$5:$I$152,③スチコン工程入力!$S$5:$S$152,$J324,③スチコン工程入力!$I$5:$I$152,"&gt;0",③スチコン工程入力!$M$5:$M$152,"&gt;0")+SUMIFS(⑪ZEN工程入力!$I$6:$I$35,⑪ZEN工程入力!$S$6:$S$35,$J324,⑪ZEN工程入力!$I$6:$I$35,"&gt;0",⑪ZEN工程入力!$M$6:$M$35,"&gt;0")+SUMIFS(⑫ミキサー工程入力!$I$6:$I$65,⑫ミキサー工程入力!$S$6:$S$65,$J324,⑫ミキサー工程入力!$I$6:$I$65,"&gt;0",⑫ミキサー工程入力!$M$6:$M$65,"&gt;0")+SUMIFS(⑬計量工程入力!$I$6:$I$65,⑬計量工程入力!$S$6:$S$65,$J324,⑬計量工程入力!$I$6:$I$65,"&gt;0",⑬計量工程入力!$M$6:$M$65,"&gt;0")+SUMIFS(⑭手動工程入力!$I$6:$I$47,⑭手動工程入力!$S$6:$S$47,$J324,⑭手動工程入力!$I$6:$I$47,"&gt;0",⑭手動工程入力!$M$6:$M$47,"&gt;0"))</f>
        <v/>
      </c>
      <c r="N324" s="393">
        <f>IF($J324="",0,SUMIFS(②釜工程入力!$M$5:$M$117,②釜工程入力!$S$5:$S$117,$J324,②釜工程入力!$J$5:$J$117,"&gt;0")-SUMIFS(②釜工程入力!$M$5:$M$117,②釜工程入力!$S$5:$S$117,$J324,②釜工程入力!$J$5:$J$117,"&gt;0",②釜工程入力!$I$5:$I$117,"&gt;0")+SUMIFS(③スチコン工程入力!$M$5:$M$152,③スチコン工程入力!$S$5:$S$152,$J324,③スチコン工程入力!$J$5:$J$152,"&gt;0")-SUMIFS(③スチコン工程入力!$M$5:$M$152,③スチコン工程入力!$S$5:$S$152,$J324,③スチコン工程入力!$J$5:$J$152,"&gt;0",③スチコン工程入力!$I$5:$I$152,"&gt;0")+SUMIFS(⑪ZEN工程入力!$M$6:$M$35,⑪ZEN工程入力!$S$6:$S$35,$J324,⑪ZEN工程入力!$J$6:$J$35,"&gt;0")-SUMIFS(⑪ZEN工程入力!$M$6:$M$35,⑪ZEN工程入力!$S$6:$S$35,$J324,⑪ZEN工程入力!$J$6:$J$35,"&gt;0",⑪ZEN工程入力!$I$6:$I$35,"&gt;0")+SUMIFS(⑫ミキサー工程入力!$M$6:$M$65,⑫ミキサー工程入力!$S$6:$S$65,$J324,⑫ミキサー工程入力!$J$6:$J$65,"&gt;0")-SUMIFS(⑫ミキサー工程入力!$M$6:$M$65,⑫ミキサー工程入力!$S$6:$S$65,$J324,⑫ミキサー工程入力!$J$6:$J$65,"&gt;0",⑫ミキサー工程入力!$I$6:$I$65,"&gt;0")+SUMIFS(⑬計量工程入力!$M$6:$M$65,⑬計量工程入力!$S$6:$S$65,$J324,⑬計量工程入力!$J$6:$J$65,"&gt;0")-SUMIFS(⑬計量工程入力!$M$6:$M$65,⑬計量工程入力!$S$6:$S$65,$J324,⑬計量工程入力!$J$6:$J$65,"&gt;0",⑬計量工程入力!$I$6:$I$65,"&gt;0")+SUMIFS(⑭手動工程入力!$M$6:$M$47,⑭手動工程入力!$S$6:$S$47,$J324,⑭手動工程入力!$J$6:$J$47,"&gt;0")-SUMIFS(⑭手動工程入力!$M$6:$M$47,⑭手動工程入力!$S$6:$S$47,$J324,⑭手動工程入力!$J$6:$J$47,"&gt;0",⑭手動工程入力!$I$6:$I$47,"&gt;0"))</f>
        <v/>
      </c>
      <c r="O324" s="393">
        <f>IF($J324="",0,SUMIFS(②釜工程入力!$J$5:$J$117,②釜工程入力!$S$5:$S$117,$J324,②釜工程入力!$J$5:$J$117,"&gt;0",②釜工程入力!$M$5:$M$117,"&gt;0")-SUMIFS(②釜工程入力!$J$5:$J$117,②釜工程入力!$S$5:$S$117,$J324,②釜工程入力!$J$5:$J$117,"&gt;0",②釜工程入力!$I$5:$I$117,"&gt;0",②釜工程入力!$M$5:$M$117,"&gt;0")+SUMIFS(③スチコン工程入力!$J$5:$J$152,③スチコン工程入力!$S$5:$S$152,$J324,③スチコン工程入力!$J$5:$J$152,"&gt;0",③スチコン工程入力!$M$5:$M$152,"&gt;0")-SUMIFS(③スチコン工程入力!$J$5:$J$152,③スチコン工程入力!$S$5:$S$152,$J324,③スチコン工程入力!$J$5:$J$152,"&gt;0",③スチコン工程入力!$I$5:$I$152,"&gt;0",③スチコン工程入力!$M$5:$M$152,"&gt;0")+SUMIFS(⑪ZEN工程入力!$J$6:$J$35,⑪ZEN工程入力!$S$6:$S$35,$J324,⑪ZEN工程入力!$J$6:$J$35,"&gt;0",⑪ZEN工程入力!$M$6:$M$35,"&gt;0")-SUMIFS(⑪ZEN工程入力!$J$6:$J$35,⑪ZEN工程入力!$S$6:$S$35,$J324,⑪ZEN工程入力!$J$6:$J$35,"&gt;0",⑪ZEN工程入力!$I$6:$I$35,"&gt;0",⑪ZEN工程入力!$M$6:$M$35,"&gt;0")+SUMIFS(⑫ミキサー工程入力!$J$6:$J$65,⑫ミキサー工程入力!$S$6:$S$65,$J324,⑫ミキサー工程入力!$J$6:$J$65,"&gt;0",⑫ミキサー工程入力!$M$6:$M$65,"&gt;0")-SUMIFS(⑫ミキサー工程入力!$J$6:$J$65,⑫ミキサー工程入力!$S$6:$S$65,$J324,⑫ミキサー工程入力!$J$6:$J$65,"&gt;0",⑫ミキサー工程入力!$I$6:$I$65,"&gt;0",⑫ミキサー工程入力!$M$6:$M$65,"&gt;0")+SUMIFS(⑬計量工程入力!$J$6:$J$65,⑬計量工程入力!$S$6:$S$65,$J324,⑬計量工程入力!$J$6:$J$65,"&gt;0",⑬計量工程入力!$M$6:$M$65,"&gt;0")-SUMIFS(⑬計量工程入力!$J$6:$J$65,⑬計量工程入力!$S$6:$S$65,$J324,⑬計量工程入力!$J$6:$J$65,"&gt;0",⑬計量工程入力!$I$6:$I$65,"&gt;0",⑬計量工程入力!$M$6:$M$65,"&gt;0")+SUMIFS(⑭手動工程入力!$J$6:$J$47,⑭手動工程入力!$S$6:$S$47,$J324,⑭手動工程入力!$J$6:$J$47,"&gt;0",⑭手動工程入力!$M$6:$M$47,"&gt;0")-SUMIFS(⑭手動工程入力!$J$6:$J$47,⑭手動工程入力!$S$6:$S$47,$J324,⑭手動工程入力!$J$6:$J$47,"&gt;0",⑭手動工程入力!$I$6:$I$47,"&gt;0",⑭手動工程入力!$M$6:$M$47,"&gt;0"))</f>
        <v/>
      </c>
      <c r="P324" s="392" t="inlineStr">
        <is>
          <t>中間品リスト</t>
        </is>
      </c>
    </row>
    <row r="325">
      <c r="A325" s="392" t="n">
        <v>321</v>
      </c>
      <c r="B325" s="392" t="n"/>
      <c r="C325" s="392" t="n"/>
      <c r="D325" s="409" t="n"/>
      <c r="E325" s="392" t="n"/>
      <c r="F325" s="394" t="n"/>
      <c r="G325" s="392" t="n"/>
      <c r="H325" s="604">
        <f>IFERROR(IF(AND($K325&gt;0,ISNUMBER(IF(OR($D325="g",$D325="ｇ"),IF($M325&gt;0,$L325/$M325/1000,""),IF($D325="kg",IF($M325&gt;0,$L325/$M325,""),IF($D325="",IF($M325&gt;0,$L325/$M325/1000,IF($O325&gt;0,$N325/$O325,"")),IF($O325&gt;0,$N325/$O325,"")))))),IF(OR($D325="g",$D325="ｇ"),IF($M325&gt;0,$L325/$M325/1000,""),IF($D325="kg",IF($M325&gt;0,$L325/$M325,""),IF($D325="",IF($M325&gt;0,$L325/$M325/1000,IF($O325&gt;0,$N325/$O325,"")),IF($O325&gt;0,$N325/$O325,"")))),IF($F325="",IF(OR($E325="",$E325="⑩盛付梱包工程入力"),"",IF(OR($D325="g",$D325="ｇ"),INDEX(⑰工程労務費一覧!$N$5:$N$11,MATCH($E325,⑰工程労務費一覧!$K$5:$K$11,0))/1000,IF($D325="kg",INDEX(⑰工程労務費一覧!$N$5:$N$11,MATCH($E325,⑰工程労務費一覧!$K$5:$K$11,0)),IF(OR($D325="個",$D325="切",$D325="本",$D325="枚",$D325="尾"),IF($E325="⑬計量工程入力","",INDEX(⑰工程労務費一覧!$P$5:$P$11,MATCH($E325,⑰工程労務費一覧!$K$5:$K$11,0))),IF(AND($D325="",OR($E325="②釜工程入力",$E325="③スチコン工程入力")),INDEX(⑰工程労務費一覧!$N$5:$N$11,MATCH($E325,⑰工程労務費一覧!$K$5:$K$11,0))/1000,""))))),IF(OR($D325="g",$D325="ｇ"),INDEX(⑰工程労務費一覧!$H$5:$H$753,MATCH($F325,⑰工程労務費一覧!$D$5:$D$753,0))/1000,IF($D325="kg",INDEX(⑰工程労務費一覧!$H$5:$H$753,MATCH($F325,⑰工程労務費一覧!$D$5:$D$753,0)),INDEX(⑰工程労務費一覧!$I$5:$I$753,MATCH($F325,⑰工程労務費一覧!$D$5:$D$753,0)))))),"")</f>
        <v/>
      </c>
      <c r="I325" s="392">
        <f>IF($K325&gt;0,IF(ISNUMBER(IF(OR($D325="g",$D325="ｇ"),IF($M325&gt;0,$L325/$M325/1000,""),IF($D325="kg",IF($M325&gt;0,$L325/$M325,""),IF($D325="",IF($M325&gt;0,$L325/$M325/1000,IF($O325&gt;0,$N325/$O325,"")),IF($O325&gt;0,$N325/$O325,""))))),IF($D325="",IF($M325&gt;0,"◎ JAN紐づけ(g扱い)","◎ JAN紐づけ(個扱い)"),"◎ JAN紐づけ"),"△ JAN紐づけ済・実績不足→仮計算"),IF($F325="",IF(ISNUMBER($H325),IF($D325="","⑤ 工程平均で仮計算(g扱い)","⑤ 工程平均で仮計算"),IF($E325="⑩盛付梱包工程入力","⑥ 盛り込み(⑳F列で計上)",IF(AND($E325="⑬計量工程入力",OR($D325="個",$D325="切",$D325="本",$D325="枚",$D325="尾")),"① 未紐づけ(カット個単位は仮単価なし)","① 未紐づけ"))),IF(NOT(ISNUMBER($H325)),"② 工程側に単価なし",IF($D325="","③ 単位未設定(個で計算)","④ OK"))))</f>
        <v/>
      </c>
      <c r="J325" s="399">
        <f>IFERROR(LOOKUP(2,1/((中間品リスト!$F$2:$F$1299=$B325)*(中間品リスト!$E$2:$E$1299&lt;&gt;"-")*(中間品リスト!$E$2:$E$1299&lt;&gt;"")),中間品リスト!$E$2:$E$1299),"")</f>
        <v/>
      </c>
      <c r="K325" s="400">
        <f>IF($J325="",0,COUNTIF(②釜工程入力!$S$5:$S$117,$J325)+COUNTIF(③スチコン工程入力!$S$5:$S$152,$J325)+COUNTIF(⑪ZEN工程入力!$S$6:$S$35,$J325)+COUNTIF(⑫ミキサー工程入力!$S$6:$S$65,$J325)+COUNTIF(⑬計量工程入力!$S$6:$S$65,$J325)+COUNTIF(⑭手動工程入力!$S$6:$S$47,$J325))</f>
        <v/>
      </c>
      <c r="L325" s="393">
        <f>IF($J325="",0,SUMIFS(②釜工程入力!$M$5:$M$117,②釜工程入力!$S$5:$S$117,$J325,②釜工程入力!$I$5:$I$117,"&gt;0")+SUMIFS(③スチコン工程入力!$M$5:$M$152,③スチコン工程入力!$S$5:$S$152,$J325,③スチコン工程入力!$I$5:$I$152,"&gt;0")+SUMIFS(⑪ZEN工程入力!$M$6:$M$35,⑪ZEN工程入力!$S$6:$S$35,$J325,⑪ZEN工程入力!$I$6:$I$35,"&gt;0")+SUMIFS(⑫ミキサー工程入力!$M$6:$M$65,⑫ミキサー工程入力!$S$6:$S$65,$J325,⑫ミキサー工程入力!$I$6:$I$65,"&gt;0")+SUMIFS(⑬計量工程入力!$M$6:$M$65,⑬計量工程入力!$S$6:$S$65,$J325,⑬計量工程入力!$I$6:$I$65,"&gt;0")+SUMIFS(⑭手動工程入力!$M$6:$M$47,⑭手動工程入力!$S$6:$S$47,$J325,⑭手動工程入力!$I$6:$I$47,"&gt;0"))</f>
        <v/>
      </c>
      <c r="M325" s="393">
        <f>IF($J325="",0,SUMIFS(②釜工程入力!$I$5:$I$117,②釜工程入力!$S$5:$S$117,$J325,②釜工程入力!$I$5:$I$117,"&gt;0",②釜工程入力!$M$5:$M$117,"&gt;0")+SUMIFS(③スチコン工程入力!$I$5:$I$152,③スチコン工程入力!$S$5:$S$152,$J325,③スチコン工程入力!$I$5:$I$152,"&gt;0",③スチコン工程入力!$M$5:$M$152,"&gt;0")+SUMIFS(⑪ZEN工程入力!$I$6:$I$35,⑪ZEN工程入力!$S$6:$S$35,$J325,⑪ZEN工程入力!$I$6:$I$35,"&gt;0",⑪ZEN工程入力!$M$6:$M$35,"&gt;0")+SUMIFS(⑫ミキサー工程入力!$I$6:$I$65,⑫ミキサー工程入力!$S$6:$S$65,$J325,⑫ミキサー工程入力!$I$6:$I$65,"&gt;0",⑫ミキサー工程入力!$M$6:$M$65,"&gt;0")+SUMIFS(⑬計量工程入力!$I$6:$I$65,⑬計量工程入力!$S$6:$S$65,$J325,⑬計量工程入力!$I$6:$I$65,"&gt;0",⑬計量工程入力!$M$6:$M$65,"&gt;0")+SUMIFS(⑭手動工程入力!$I$6:$I$47,⑭手動工程入力!$S$6:$S$47,$J325,⑭手動工程入力!$I$6:$I$47,"&gt;0",⑭手動工程入力!$M$6:$M$47,"&gt;0"))</f>
        <v/>
      </c>
      <c r="N325" s="393">
        <f>IF($J325="",0,SUMIFS(②釜工程入力!$M$5:$M$117,②釜工程入力!$S$5:$S$117,$J325,②釜工程入力!$J$5:$J$117,"&gt;0")-SUMIFS(②釜工程入力!$M$5:$M$117,②釜工程入力!$S$5:$S$117,$J325,②釜工程入力!$J$5:$J$117,"&gt;0",②釜工程入力!$I$5:$I$117,"&gt;0")+SUMIFS(③スチコン工程入力!$M$5:$M$152,③スチコン工程入力!$S$5:$S$152,$J325,③スチコン工程入力!$J$5:$J$152,"&gt;0")-SUMIFS(③スチコン工程入力!$M$5:$M$152,③スチコン工程入力!$S$5:$S$152,$J325,③スチコン工程入力!$J$5:$J$152,"&gt;0",③スチコン工程入力!$I$5:$I$152,"&gt;0")+SUMIFS(⑪ZEN工程入力!$M$6:$M$35,⑪ZEN工程入力!$S$6:$S$35,$J325,⑪ZEN工程入力!$J$6:$J$35,"&gt;0")-SUMIFS(⑪ZEN工程入力!$M$6:$M$35,⑪ZEN工程入力!$S$6:$S$35,$J325,⑪ZEN工程入力!$J$6:$J$35,"&gt;0",⑪ZEN工程入力!$I$6:$I$35,"&gt;0")+SUMIFS(⑫ミキサー工程入力!$M$6:$M$65,⑫ミキサー工程入力!$S$6:$S$65,$J325,⑫ミキサー工程入力!$J$6:$J$65,"&gt;0")-SUMIFS(⑫ミキサー工程入力!$M$6:$M$65,⑫ミキサー工程入力!$S$6:$S$65,$J325,⑫ミキサー工程入力!$J$6:$J$65,"&gt;0",⑫ミキサー工程入力!$I$6:$I$65,"&gt;0")+SUMIFS(⑬計量工程入力!$M$6:$M$65,⑬計量工程入力!$S$6:$S$65,$J325,⑬計量工程入力!$J$6:$J$65,"&gt;0")-SUMIFS(⑬計量工程入力!$M$6:$M$65,⑬計量工程入力!$S$6:$S$65,$J325,⑬計量工程入力!$J$6:$J$65,"&gt;0",⑬計量工程入力!$I$6:$I$65,"&gt;0")+SUMIFS(⑭手動工程入力!$M$6:$M$47,⑭手動工程入力!$S$6:$S$47,$J325,⑭手動工程入力!$J$6:$J$47,"&gt;0")-SUMIFS(⑭手動工程入力!$M$6:$M$47,⑭手動工程入力!$S$6:$S$47,$J325,⑭手動工程入力!$J$6:$J$47,"&gt;0",⑭手動工程入力!$I$6:$I$47,"&gt;0"))</f>
        <v/>
      </c>
      <c r="O325" s="393">
        <f>IF($J325="",0,SUMIFS(②釜工程入力!$J$5:$J$117,②釜工程入力!$S$5:$S$117,$J325,②釜工程入力!$J$5:$J$117,"&gt;0",②釜工程入力!$M$5:$M$117,"&gt;0")-SUMIFS(②釜工程入力!$J$5:$J$117,②釜工程入力!$S$5:$S$117,$J325,②釜工程入力!$J$5:$J$117,"&gt;0",②釜工程入力!$I$5:$I$117,"&gt;0",②釜工程入力!$M$5:$M$117,"&gt;0")+SUMIFS(③スチコン工程入力!$J$5:$J$152,③スチコン工程入力!$S$5:$S$152,$J325,③スチコン工程入力!$J$5:$J$152,"&gt;0",③スチコン工程入力!$M$5:$M$152,"&gt;0")-SUMIFS(③スチコン工程入力!$J$5:$J$152,③スチコン工程入力!$S$5:$S$152,$J325,③スチコン工程入力!$J$5:$J$152,"&gt;0",③スチコン工程入力!$I$5:$I$152,"&gt;0",③スチコン工程入力!$M$5:$M$152,"&gt;0")+SUMIFS(⑪ZEN工程入力!$J$6:$J$35,⑪ZEN工程入力!$S$6:$S$35,$J325,⑪ZEN工程入力!$J$6:$J$35,"&gt;0",⑪ZEN工程入力!$M$6:$M$35,"&gt;0")-SUMIFS(⑪ZEN工程入力!$J$6:$J$35,⑪ZEN工程入力!$S$6:$S$35,$J325,⑪ZEN工程入力!$J$6:$J$35,"&gt;0",⑪ZEN工程入力!$I$6:$I$35,"&gt;0",⑪ZEN工程入力!$M$6:$M$35,"&gt;0")+SUMIFS(⑫ミキサー工程入力!$J$6:$J$65,⑫ミキサー工程入力!$S$6:$S$65,$J325,⑫ミキサー工程入力!$J$6:$J$65,"&gt;0",⑫ミキサー工程入力!$M$6:$M$65,"&gt;0")-SUMIFS(⑫ミキサー工程入力!$J$6:$J$65,⑫ミキサー工程入力!$S$6:$S$65,$J325,⑫ミキサー工程入力!$J$6:$J$65,"&gt;0",⑫ミキサー工程入力!$I$6:$I$65,"&gt;0",⑫ミキサー工程入力!$M$6:$M$65,"&gt;0")+SUMIFS(⑬計量工程入力!$J$6:$J$65,⑬計量工程入力!$S$6:$S$65,$J325,⑬計量工程入力!$J$6:$J$65,"&gt;0",⑬計量工程入力!$M$6:$M$65,"&gt;0")-SUMIFS(⑬計量工程入力!$J$6:$J$65,⑬計量工程入力!$S$6:$S$65,$J325,⑬計量工程入力!$J$6:$J$65,"&gt;0",⑬計量工程入力!$I$6:$I$65,"&gt;0",⑬計量工程入力!$M$6:$M$65,"&gt;0")+SUMIFS(⑭手動工程入力!$J$6:$J$47,⑭手動工程入力!$S$6:$S$47,$J325,⑭手動工程入力!$J$6:$J$47,"&gt;0",⑭手動工程入力!$M$6:$M$47,"&gt;0")-SUMIFS(⑭手動工程入力!$J$6:$J$47,⑭手動工程入力!$S$6:$S$47,$J325,⑭手動工程入力!$J$6:$J$47,"&gt;0",⑭手動工程入力!$I$6:$I$47,"&gt;0",⑭手動工程入力!$M$6:$M$47,"&gt;0"))</f>
        <v/>
      </c>
      <c r="P325" s="392" t="inlineStr">
        <is>
          <t>中間品リスト</t>
        </is>
      </c>
    </row>
    <row r="326">
      <c r="A326" s="392" t="n">
        <v>322</v>
      </c>
      <c r="B326" s="392" t="n"/>
      <c r="C326" s="392" t="n"/>
      <c r="D326" s="409" t="n"/>
      <c r="E326" s="392" t="n"/>
      <c r="F326" s="394" t="n"/>
      <c r="G326" s="392" t="n"/>
      <c r="H326" s="604">
        <f>IFERROR(IF(AND($K326&gt;0,ISNUMBER(IF(OR($D326="g",$D326="ｇ"),IF($M326&gt;0,$L326/$M326/1000,""),IF($D326="kg",IF($M326&gt;0,$L326/$M326,""),IF($D326="",IF($M326&gt;0,$L326/$M326/1000,IF($O326&gt;0,$N326/$O326,"")),IF($O326&gt;0,$N326/$O326,"")))))),IF(OR($D326="g",$D326="ｇ"),IF($M326&gt;0,$L326/$M326/1000,""),IF($D326="kg",IF($M326&gt;0,$L326/$M326,""),IF($D326="",IF($M326&gt;0,$L326/$M326/1000,IF($O326&gt;0,$N326/$O326,"")),IF($O326&gt;0,$N326/$O326,"")))),IF($F326="",IF(OR($E326="",$E326="⑩盛付梱包工程入力"),"",IF(OR($D326="g",$D326="ｇ"),INDEX(⑰工程労務費一覧!$N$5:$N$11,MATCH($E326,⑰工程労務費一覧!$K$5:$K$11,0))/1000,IF($D326="kg",INDEX(⑰工程労務費一覧!$N$5:$N$11,MATCH($E326,⑰工程労務費一覧!$K$5:$K$11,0)),IF(OR($D326="個",$D326="切",$D326="本",$D326="枚",$D326="尾"),IF($E326="⑬計量工程入力","",INDEX(⑰工程労務費一覧!$P$5:$P$11,MATCH($E326,⑰工程労務費一覧!$K$5:$K$11,0))),IF(AND($D326="",OR($E326="②釜工程入力",$E326="③スチコン工程入力")),INDEX(⑰工程労務費一覧!$N$5:$N$11,MATCH($E326,⑰工程労務費一覧!$K$5:$K$11,0))/1000,""))))),IF(OR($D326="g",$D326="ｇ"),INDEX(⑰工程労務費一覧!$H$5:$H$753,MATCH($F326,⑰工程労務費一覧!$D$5:$D$753,0))/1000,IF($D326="kg",INDEX(⑰工程労務費一覧!$H$5:$H$753,MATCH($F326,⑰工程労務費一覧!$D$5:$D$753,0)),INDEX(⑰工程労務費一覧!$I$5:$I$753,MATCH($F326,⑰工程労務費一覧!$D$5:$D$753,0)))))),"")</f>
        <v/>
      </c>
      <c r="I326" s="392">
        <f>IF($K326&gt;0,IF(ISNUMBER(IF(OR($D326="g",$D326="ｇ"),IF($M326&gt;0,$L326/$M326/1000,""),IF($D326="kg",IF($M326&gt;0,$L326/$M326,""),IF($D326="",IF($M326&gt;0,$L326/$M326/1000,IF($O326&gt;0,$N326/$O326,"")),IF($O326&gt;0,$N326/$O326,""))))),IF($D326="",IF($M326&gt;0,"◎ JAN紐づけ(g扱い)","◎ JAN紐づけ(個扱い)"),"◎ JAN紐づけ"),"△ JAN紐づけ済・実績不足→仮計算"),IF($F326="",IF(ISNUMBER($H326),IF($D326="","⑤ 工程平均で仮計算(g扱い)","⑤ 工程平均で仮計算"),IF($E326="⑩盛付梱包工程入力","⑥ 盛り込み(⑳F列で計上)",IF(AND($E326="⑬計量工程入力",OR($D326="個",$D326="切",$D326="本",$D326="枚",$D326="尾")),"① 未紐づけ(カット個単位は仮単価なし)","① 未紐づけ"))),IF(NOT(ISNUMBER($H326)),"② 工程側に単価なし",IF($D326="","③ 単位未設定(個で計算)","④ OK"))))</f>
        <v/>
      </c>
      <c r="J326" s="399">
        <f>IFERROR(LOOKUP(2,1/((中間品リスト!$F$2:$F$1299=$B326)*(中間品リスト!$E$2:$E$1299&lt;&gt;"-")*(中間品リスト!$E$2:$E$1299&lt;&gt;"")),中間品リスト!$E$2:$E$1299),"")</f>
        <v/>
      </c>
      <c r="K326" s="400">
        <f>IF($J326="",0,COUNTIF(②釜工程入力!$S$5:$S$117,$J326)+COUNTIF(③スチコン工程入力!$S$5:$S$152,$J326)+COUNTIF(⑪ZEN工程入力!$S$6:$S$35,$J326)+COUNTIF(⑫ミキサー工程入力!$S$6:$S$65,$J326)+COUNTIF(⑬計量工程入力!$S$6:$S$65,$J326)+COUNTIF(⑭手動工程入力!$S$6:$S$47,$J326))</f>
        <v/>
      </c>
      <c r="L326" s="393">
        <f>IF($J326="",0,SUMIFS(②釜工程入力!$M$5:$M$117,②釜工程入力!$S$5:$S$117,$J326,②釜工程入力!$I$5:$I$117,"&gt;0")+SUMIFS(③スチコン工程入力!$M$5:$M$152,③スチコン工程入力!$S$5:$S$152,$J326,③スチコン工程入力!$I$5:$I$152,"&gt;0")+SUMIFS(⑪ZEN工程入力!$M$6:$M$35,⑪ZEN工程入力!$S$6:$S$35,$J326,⑪ZEN工程入力!$I$6:$I$35,"&gt;0")+SUMIFS(⑫ミキサー工程入力!$M$6:$M$65,⑫ミキサー工程入力!$S$6:$S$65,$J326,⑫ミキサー工程入力!$I$6:$I$65,"&gt;0")+SUMIFS(⑬計量工程入力!$M$6:$M$65,⑬計量工程入力!$S$6:$S$65,$J326,⑬計量工程入力!$I$6:$I$65,"&gt;0")+SUMIFS(⑭手動工程入力!$M$6:$M$47,⑭手動工程入力!$S$6:$S$47,$J326,⑭手動工程入力!$I$6:$I$47,"&gt;0"))</f>
        <v/>
      </c>
      <c r="M326" s="393">
        <f>IF($J326="",0,SUMIFS(②釜工程入力!$I$5:$I$117,②釜工程入力!$S$5:$S$117,$J326,②釜工程入力!$I$5:$I$117,"&gt;0",②釜工程入力!$M$5:$M$117,"&gt;0")+SUMIFS(③スチコン工程入力!$I$5:$I$152,③スチコン工程入力!$S$5:$S$152,$J326,③スチコン工程入力!$I$5:$I$152,"&gt;0",③スチコン工程入力!$M$5:$M$152,"&gt;0")+SUMIFS(⑪ZEN工程入力!$I$6:$I$35,⑪ZEN工程入力!$S$6:$S$35,$J326,⑪ZEN工程入力!$I$6:$I$35,"&gt;0",⑪ZEN工程入力!$M$6:$M$35,"&gt;0")+SUMIFS(⑫ミキサー工程入力!$I$6:$I$65,⑫ミキサー工程入力!$S$6:$S$65,$J326,⑫ミキサー工程入力!$I$6:$I$65,"&gt;0",⑫ミキサー工程入力!$M$6:$M$65,"&gt;0")+SUMIFS(⑬計量工程入力!$I$6:$I$65,⑬計量工程入力!$S$6:$S$65,$J326,⑬計量工程入力!$I$6:$I$65,"&gt;0",⑬計量工程入力!$M$6:$M$65,"&gt;0")+SUMIFS(⑭手動工程入力!$I$6:$I$47,⑭手動工程入力!$S$6:$S$47,$J326,⑭手動工程入力!$I$6:$I$47,"&gt;0",⑭手動工程入力!$M$6:$M$47,"&gt;0"))</f>
        <v/>
      </c>
      <c r="N326" s="393">
        <f>IF($J326="",0,SUMIFS(②釜工程入力!$M$5:$M$117,②釜工程入力!$S$5:$S$117,$J326,②釜工程入力!$J$5:$J$117,"&gt;0")-SUMIFS(②釜工程入力!$M$5:$M$117,②釜工程入力!$S$5:$S$117,$J326,②釜工程入力!$J$5:$J$117,"&gt;0",②釜工程入力!$I$5:$I$117,"&gt;0")+SUMIFS(③スチコン工程入力!$M$5:$M$152,③スチコン工程入力!$S$5:$S$152,$J326,③スチコン工程入力!$J$5:$J$152,"&gt;0")-SUMIFS(③スチコン工程入力!$M$5:$M$152,③スチコン工程入力!$S$5:$S$152,$J326,③スチコン工程入力!$J$5:$J$152,"&gt;0",③スチコン工程入力!$I$5:$I$152,"&gt;0")+SUMIFS(⑪ZEN工程入力!$M$6:$M$35,⑪ZEN工程入力!$S$6:$S$35,$J326,⑪ZEN工程入力!$J$6:$J$35,"&gt;0")-SUMIFS(⑪ZEN工程入力!$M$6:$M$35,⑪ZEN工程入力!$S$6:$S$35,$J326,⑪ZEN工程入力!$J$6:$J$35,"&gt;0",⑪ZEN工程入力!$I$6:$I$35,"&gt;0")+SUMIFS(⑫ミキサー工程入力!$M$6:$M$65,⑫ミキサー工程入力!$S$6:$S$65,$J326,⑫ミキサー工程入力!$J$6:$J$65,"&gt;0")-SUMIFS(⑫ミキサー工程入力!$M$6:$M$65,⑫ミキサー工程入力!$S$6:$S$65,$J326,⑫ミキサー工程入力!$J$6:$J$65,"&gt;0",⑫ミキサー工程入力!$I$6:$I$65,"&gt;0")+SUMIFS(⑬計量工程入力!$M$6:$M$65,⑬計量工程入力!$S$6:$S$65,$J326,⑬計量工程入力!$J$6:$J$65,"&gt;0")-SUMIFS(⑬計量工程入力!$M$6:$M$65,⑬計量工程入力!$S$6:$S$65,$J326,⑬計量工程入力!$J$6:$J$65,"&gt;0",⑬計量工程入力!$I$6:$I$65,"&gt;0")+SUMIFS(⑭手動工程入力!$M$6:$M$47,⑭手動工程入力!$S$6:$S$47,$J326,⑭手動工程入力!$J$6:$J$47,"&gt;0")-SUMIFS(⑭手動工程入力!$M$6:$M$47,⑭手動工程入力!$S$6:$S$47,$J326,⑭手動工程入力!$J$6:$J$47,"&gt;0",⑭手動工程入力!$I$6:$I$47,"&gt;0"))</f>
        <v/>
      </c>
      <c r="O326" s="393">
        <f>IF($J326="",0,SUMIFS(②釜工程入力!$J$5:$J$117,②釜工程入力!$S$5:$S$117,$J326,②釜工程入力!$J$5:$J$117,"&gt;0",②釜工程入力!$M$5:$M$117,"&gt;0")-SUMIFS(②釜工程入力!$J$5:$J$117,②釜工程入力!$S$5:$S$117,$J326,②釜工程入力!$J$5:$J$117,"&gt;0",②釜工程入力!$I$5:$I$117,"&gt;0",②釜工程入力!$M$5:$M$117,"&gt;0")+SUMIFS(③スチコン工程入力!$J$5:$J$152,③スチコン工程入力!$S$5:$S$152,$J326,③スチコン工程入力!$J$5:$J$152,"&gt;0",③スチコン工程入力!$M$5:$M$152,"&gt;0")-SUMIFS(③スチコン工程入力!$J$5:$J$152,③スチコン工程入力!$S$5:$S$152,$J326,③スチコン工程入力!$J$5:$J$152,"&gt;0",③スチコン工程入力!$I$5:$I$152,"&gt;0",③スチコン工程入力!$M$5:$M$152,"&gt;0")+SUMIFS(⑪ZEN工程入力!$J$6:$J$35,⑪ZEN工程入力!$S$6:$S$35,$J326,⑪ZEN工程入力!$J$6:$J$35,"&gt;0",⑪ZEN工程入力!$M$6:$M$35,"&gt;0")-SUMIFS(⑪ZEN工程入力!$J$6:$J$35,⑪ZEN工程入力!$S$6:$S$35,$J326,⑪ZEN工程入力!$J$6:$J$35,"&gt;0",⑪ZEN工程入力!$I$6:$I$35,"&gt;0",⑪ZEN工程入力!$M$6:$M$35,"&gt;0")+SUMIFS(⑫ミキサー工程入力!$J$6:$J$65,⑫ミキサー工程入力!$S$6:$S$65,$J326,⑫ミキサー工程入力!$J$6:$J$65,"&gt;0",⑫ミキサー工程入力!$M$6:$M$65,"&gt;0")-SUMIFS(⑫ミキサー工程入力!$J$6:$J$65,⑫ミキサー工程入力!$S$6:$S$65,$J326,⑫ミキサー工程入力!$J$6:$J$65,"&gt;0",⑫ミキサー工程入力!$I$6:$I$65,"&gt;0",⑫ミキサー工程入力!$M$6:$M$65,"&gt;0")+SUMIFS(⑬計量工程入力!$J$6:$J$65,⑬計量工程入力!$S$6:$S$65,$J326,⑬計量工程入力!$J$6:$J$65,"&gt;0",⑬計量工程入力!$M$6:$M$65,"&gt;0")-SUMIFS(⑬計量工程入力!$J$6:$J$65,⑬計量工程入力!$S$6:$S$65,$J326,⑬計量工程入力!$J$6:$J$65,"&gt;0",⑬計量工程入力!$I$6:$I$65,"&gt;0",⑬計量工程入力!$M$6:$M$65,"&gt;0")+SUMIFS(⑭手動工程入力!$J$6:$J$47,⑭手動工程入力!$S$6:$S$47,$J326,⑭手動工程入力!$J$6:$J$47,"&gt;0",⑭手動工程入力!$M$6:$M$47,"&gt;0")-SUMIFS(⑭手動工程入力!$J$6:$J$47,⑭手動工程入力!$S$6:$S$47,$J326,⑭手動工程入力!$J$6:$J$47,"&gt;0",⑭手動工程入力!$I$6:$I$47,"&gt;0",⑭手動工程入力!$M$6:$M$47,"&gt;0"))</f>
        <v/>
      </c>
      <c r="P326" s="392" t="inlineStr">
        <is>
          <t>中間品リスト</t>
        </is>
      </c>
    </row>
    <row r="327">
      <c r="A327" s="392" t="n">
        <v>323</v>
      </c>
      <c r="B327" s="392" t="n"/>
      <c r="C327" s="392" t="n"/>
      <c r="D327" s="409" t="n"/>
      <c r="E327" s="392" t="n"/>
      <c r="F327" s="394" t="n"/>
      <c r="G327" s="392" t="n"/>
      <c r="H327" s="604">
        <f>IFERROR(IF(AND($K327&gt;0,ISNUMBER(IF(OR($D327="g",$D327="ｇ"),IF($M327&gt;0,$L327/$M327/1000,""),IF($D327="kg",IF($M327&gt;0,$L327/$M327,""),IF($D327="",IF($M327&gt;0,$L327/$M327/1000,IF($O327&gt;0,$N327/$O327,"")),IF($O327&gt;0,$N327/$O327,"")))))),IF(OR($D327="g",$D327="ｇ"),IF($M327&gt;0,$L327/$M327/1000,""),IF($D327="kg",IF($M327&gt;0,$L327/$M327,""),IF($D327="",IF($M327&gt;0,$L327/$M327/1000,IF($O327&gt;0,$N327/$O327,"")),IF($O327&gt;0,$N327/$O327,"")))),IF($F327="",IF(OR($E327="",$E327="⑩盛付梱包工程入力"),"",IF(OR($D327="g",$D327="ｇ"),INDEX(⑰工程労務費一覧!$N$5:$N$11,MATCH($E327,⑰工程労務費一覧!$K$5:$K$11,0))/1000,IF($D327="kg",INDEX(⑰工程労務費一覧!$N$5:$N$11,MATCH($E327,⑰工程労務費一覧!$K$5:$K$11,0)),IF(OR($D327="個",$D327="切",$D327="本",$D327="枚",$D327="尾"),IF($E327="⑬計量工程入力","",INDEX(⑰工程労務費一覧!$P$5:$P$11,MATCH($E327,⑰工程労務費一覧!$K$5:$K$11,0))),IF(AND($D327="",OR($E327="②釜工程入力",$E327="③スチコン工程入力")),INDEX(⑰工程労務費一覧!$N$5:$N$11,MATCH($E327,⑰工程労務費一覧!$K$5:$K$11,0))/1000,""))))),IF(OR($D327="g",$D327="ｇ"),INDEX(⑰工程労務費一覧!$H$5:$H$753,MATCH($F327,⑰工程労務費一覧!$D$5:$D$753,0))/1000,IF($D327="kg",INDEX(⑰工程労務費一覧!$H$5:$H$753,MATCH($F327,⑰工程労務費一覧!$D$5:$D$753,0)),INDEX(⑰工程労務費一覧!$I$5:$I$753,MATCH($F327,⑰工程労務費一覧!$D$5:$D$753,0)))))),"")</f>
        <v/>
      </c>
      <c r="I327" s="392">
        <f>IF($K327&gt;0,IF(ISNUMBER(IF(OR($D327="g",$D327="ｇ"),IF($M327&gt;0,$L327/$M327/1000,""),IF($D327="kg",IF($M327&gt;0,$L327/$M327,""),IF($D327="",IF($M327&gt;0,$L327/$M327/1000,IF($O327&gt;0,$N327/$O327,"")),IF($O327&gt;0,$N327/$O327,""))))),IF($D327="",IF($M327&gt;0,"◎ JAN紐づけ(g扱い)","◎ JAN紐づけ(個扱い)"),"◎ JAN紐づけ"),"△ JAN紐づけ済・実績不足→仮計算"),IF($F327="",IF(ISNUMBER($H327),IF($D327="","⑤ 工程平均で仮計算(g扱い)","⑤ 工程平均で仮計算"),IF($E327="⑩盛付梱包工程入力","⑥ 盛り込み(⑳F列で計上)",IF(AND($E327="⑬計量工程入力",OR($D327="個",$D327="切",$D327="本",$D327="枚",$D327="尾")),"① 未紐づけ(カット個単位は仮単価なし)","① 未紐づけ"))),IF(NOT(ISNUMBER($H327)),"② 工程側に単価なし",IF($D327="","③ 単位未設定(個で計算)","④ OK"))))</f>
        <v/>
      </c>
      <c r="J327" s="399">
        <f>IFERROR(LOOKUP(2,1/((中間品リスト!$F$2:$F$1299=$B327)*(中間品リスト!$E$2:$E$1299&lt;&gt;"-")*(中間品リスト!$E$2:$E$1299&lt;&gt;"")),中間品リスト!$E$2:$E$1299),"")</f>
        <v/>
      </c>
      <c r="K327" s="400">
        <f>IF($J327="",0,COUNTIF(②釜工程入力!$S$5:$S$117,$J327)+COUNTIF(③スチコン工程入力!$S$5:$S$152,$J327)+COUNTIF(⑪ZEN工程入力!$S$6:$S$35,$J327)+COUNTIF(⑫ミキサー工程入力!$S$6:$S$65,$J327)+COUNTIF(⑬計量工程入力!$S$6:$S$65,$J327)+COUNTIF(⑭手動工程入力!$S$6:$S$47,$J327))</f>
        <v/>
      </c>
      <c r="L327" s="393">
        <f>IF($J327="",0,SUMIFS(②釜工程入力!$M$5:$M$117,②釜工程入力!$S$5:$S$117,$J327,②釜工程入力!$I$5:$I$117,"&gt;0")+SUMIFS(③スチコン工程入力!$M$5:$M$152,③スチコン工程入力!$S$5:$S$152,$J327,③スチコン工程入力!$I$5:$I$152,"&gt;0")+SUMIFS(⑪ZEN工程入力!$M$6:$M$35,⑪ZEN工程入力!$S$6:$S$35,$J327,⑪ZEN工程入力!$I$6:$I$35,"&gt;0")+SUMIFS(⑫ミキサー工程入力!$M$6:$M$65,⑫ミキサー工程入力!$S$6:$S$65,$J327,⑫ミキサー工程入力!$I$6:$I$65,"&gt;0")+SUMIFS(⑬計量工程入力!$M$6:$M$65,⑬計量工程入力!$S$6:$S$65,$J327,⑬計量工程入力!$I$6:$I$65,"&gt;0")+SUMIFS(⑭手動工程入力!$M$6:$M$47,⑭手動工程入力!$S$6:$S$47,$J327,⑭手動工程入力!$I$6:$I$47,"&gt;0"))</f>
        <v/>
      </c>
      <c r="M327" s="393">
        <f>IF($J327="",0,SUMIFS(②釜工程入力!$I$5:$I$117,②釜工程入力!$S$5:$S$117,$J327,②釜工程入力!$I$5:$I$117,"&gt;0",②釜工程入力!$M$5:$M$117,"&gt;0")+SUMIFS(③スチコン工程入力!$I$5:$I$152,③スチコン工程入力!$S$5:$S$152,$J327,③スチコン工程入力!$I$5:$I$152,"&gt;0",③スチコン工程入力!$M$5:$M$152,"&gt;0")+SUMIFS(⑪ZEN工程入力!$I$6:$I$35,⑪ZEN工程入力!$S$6:$S$35,$J327,⑪ZEN工程入力!$I$6:$I$35,"&gt;0",⑪ZEN工程入力!$M$6:$M$35,"&gt;0")+SUMIFS(⑫ミキサー工程入力!$I$6:$I$65,⑫ミキサー工程入力!$S$6:$S$65,$J327,⑫ミキサー工程入力!$I$6:$I$65,"&gt;0",⑫ミキサー工程入力!$M$6:$M$65,"&gt;0")+SUMIFS(⑬計量工程入力!$I$6:$I$65,⑬計量工程入力!$S$6:$S$65,$J327,⑬計量工程入力!$I$6:$I$65,"&gt;0",⑬計量工程入力!$M$6:$M$65,"&gt;0")+SUMIFS(⑭手動工程入力!$I$6:$I$47,⑭手動工程入力!$S$6:$S$47,$J327,⑭手動工程入力!$I$6:$I$47,"&gt;0",⑭手動工程入力!$M$6:$M$47,"&gt;0"))</f>
        <v/>
      </c>
      <c r="N327" s="393">
        <f>IF($J327="",0,SUMIFS(②釜工程入力!$M$5:$M$117,②釜工程入力!$S$5:$S$117,$J327,②釜工程入力!$J$5:$J$117,"&gt;0")-SUMIFS(②釜工程入力!$M$5:$M$117,②釜工程入力!$S$5:$S$117,$J327,②釜工程入力!$J$5:$J$117,"&gt;0",②釜工程入力!$I$5:$I$117,"&gt;0")+SUMIFS(③スチコン工程入力!$M$5:$M$152,③スチコン工程入力!$S$5:$S$152,$J327,③スチコン工程入力!$J$5:$J$152,"&gt;0")-SUMIFS(③スチコン工程入力!$M$5:$M$152,③スチコン工程入力!$S$5:$S$152,$J327,③スチコン工程入力!$J$5:$J$152,"&gt;0",③スチコン工程入力!$I$5:$I$152,"&gt;0")+SUMIFS(⑪ZEN工程入力!$M$6:$M$35,⑪ZEN工程入力!$S$6:$S$35,$J327,⑪ZEN工程入力!$J$6:$J$35,"&gt;0")-SUMIFS(⑪ZEN工程入力!$M$6:$M$35,⑪ZEN工程入力!$S$6:$S$35,$J327,⑪ZEN工程入力!$J$6:$J$35,"&gt;0",⑪ZEN工程入力!$I$6:$I$35,"&gt;0")+SUMIFS(⑫ミキサー工程入力!$M$6:$M$65,⑫ミキサー工程入力!$S$6:$S$65,$J327,⑫ミキサー工程入力!$J$6:$J$65,"&gt;0")-SUMIFS(⑫ミキサー工程入力!$M$6:$M$65,⑫ミキサー工程入力!$S$6:$S$65,$J327,⑫ミキサー工程入力!$J$6:$J$65,"&gt;0",⑫ミキサー工程入力!$I$6:$I$65,"&gt;0")+SUMIFS(⑬計量工程入力!$M$6:$M$65,⑬計量工程入力!$S$6:$S$65,$J327,⑬計量工程入力!$J$6:$J$65,"&gt;0")-SUMIFS(⑬計量工程入力!$M$6:$M$65,⑬計量工程入力!$S$6:$S$65,$J327,⑬計量工程入力!$J$6:$J$65,"&gt;0",⑬計量工程入力!$I$6:$I$65,"&gt;0")+SUMIFS(⑭手動工程入力!$M$6:$M$47,⑭手動工程入力!$S$6:$S$47,$J327,⑭手動工程入力!$J$6:$J$47,"&gt;0")-SUMIFS(⑭手動工程入力!$M$6:$M$47,⑭手動工程入力!$S$6:$S$47,$J327,⑭手動工程入力!$J$6:$J$47,"&gt;0",⑭手動工程入力!$I$6:$I$47,"&gt;0"))</f>
        <v/>
      </c>
      <c r="O327" s="393">
        <f>IF($J327="",0,SUMIFS(②釜工程入力!$J$5:$J$117,②釜工程入力!$S$5:$S$117,$J327,②釜工程入力!$J$5:$J$117,"&gt;0",②釜工程入力!$M$5:$M$117,"&gt;0")-SUMIFS(②釜工程入力!$J$5:$J$117,②釜工程入力!$S$5:$S$117,$J327,②釜工程入力!$J$5:$J$117,"&gt;0",②釜工程入力!$I$5:$I$117,"&gt;0",②釜工程入力!$M$5:$M$117,"&gt;0")+SUMIFS(③スチコン工程入力!$J$5:$J$152,③スチコン工程入力!$S$5:$S$152,$J327,③スチコン工程入力!$J$5:$J$152,"&gt;0",③スチコン工程入力!$M$5:$M$152,"&gt;0")-SUMIFS(③スチコン工程入力!$J$5:$J$152,③スチコン工程入力!$S$5:$S$152,$J327,③スチコン工程入力!$J$5:$J$152,"&gt;0",③スチコン工程入力!$I$5:$I$152,"&gt;0",③スチコン工程入力!$M$5:$M$152,"&gt;0")+SUMIFS(⑪ZEN工程入力!$J$6:$J$35,⑪ZEN工程入力!$S$6:$S$35,$J327,⑪ZEN工程入力!$J$6:$J$35,"&gt;0",⑪ZEN工程入力!$M$6:$M$35,"&gt;0")-SUMIFS(⑪ZEN工程入力!$J$6:$J$35,⑪ZEN工程入力!$S$6:$S$35,$J327,⑪ZEN工程入力!$J$6:$J$35,"&gt;0",⑪ZEN工程入力!$I$6:$I$35,"&gt;0",⑪ZEN工程入力!$M$6:$M$35,"&gt;0")+SUMIFS(⑫ミキサー工程入力!$J$6:$J$65,⑫ミキサー工程入力!$S$6:$S$65,$J327,⑫ミキサー工程入力!$J$6:$J$65,"&gt;0",⑫ミキサー工程入力!$M$6:$M$65,"&gt;0")-SUMIFS(⑫ミキサー工程入力!$J$6:$J$65,⑫ミキサー工程入力!$S$6:$S$65,$J327,⑫ミキサー工程入力!$J$6:$J$65,"&gt;0",⑫ミキサー工程入力!$I$6:$I$65,"&gt;0",⑫ミキサー工程入力!$M$6:$M$65,"&gt;0")+SUMIFS(⑬計量工程入力!$J$6:$J$65,⑬計量工程入力!$S$6:$S$65,$J327,⑬計量工程入力!$J$6:$J$65,"&gt;0",⑬計量工程入力!$M$6:$M$65,"&gt;0")-SUMIFS(⑬計量工程入力!$J$6:$J$65,⑬計量工程入力!$S$6:$S$65,$J327,⑬計量工程入力!$J$6:$J$65,"&gt;0",⑬計量工程入力!$I$6:$I$65,"&gt;0",⑬計量工程入力!$M$6:$M$65,"&gt;0")+SUMIFS(⑭手動工程入力!$J$6:$J$47,⑭手動工程入力!$S$6:$S$47,$J327,⑭手動工程入力!$J$6:$J$47,"&gt;0",⑭手動工程入力!$M$6:$M$47,"&gt;0")-SUMIFS(⑭手動工程入力!$J$6:$J$47,⑭手動工程入力!$S$6:$S$47,$J327,⑭手動工程入力!$J$6:$J$47,"&gt;0",⑭手動工程入力!$I$6:$I$47,"&gt;0",⑭手動工程入力!$M$6:$M$47,"&gt;0"))</f>
        <v/>
      </c>
      <c r="P327" s="392" t="inlineStr">
        <is>
          <t>中間品リスト</t>
        </is>
      </c>
    </row>
    <row r="328">
      <c r="A328" s="392" t="n">
        <v>324</v>
      </c>
      <c r="B328" s="392" t="n"/>
      <c r="C328" s="392" t="n"/>
      <c r="D328" s="409" t="n"/>
      <c r="E328" s="392" t="n"/>
      <c r="F328" s="394" t="n"/>
      <c r="G328" s="392" t="n"/>
      <c r="H328" s="604">
        <f>IFERROR(IF(AND($K328&gt;0,ISNUMBER(IF(OR($D328="g",$D328="ｇ"),IF($M328&gt;0,$L328/$M328/1000,""),IF($D328="kg",IF($M328&gt;0,$L328/$M328,""),IF($D328="",IF($M328&gt;0,$L328/$M328/1000,IF($O328&gt;0,$N328/$O328,"")),IF($O328&gt;0,$N328/$O328,"")))))),IF(OR($D328="g",$D328="ｇ"),IF($M328&gt;0,$L328/$M328/1000,""),IF($D328="kg",IF($M328&gt;0,$L328/$M328,""),IF($D328="",IF($M328&gt;0,$L328/$M328/1000,IF($O328&gt;0,$N328/$O328,"")),IF($O328&gt;0,$N328/$O328,"")))),IF($F328="",IF(OR($E328="",$E328="⑩盛付梱包工程入力"),"",IF(OR($D328="g",$D328="ｇ"),INDEX(⑰工程労務費一覧!$N$5:$N$11,MATCH($E328,⑰工程労務費一覧!$K$5:$K$11,0))/1000,IF($D328="kg",INDEX(⑰工程労務費一覧!$N$5:$N$11,MATCH($E328,⑰工程労務費一覧!$K$5:$K$11,0)),IF(OR($D328="個",$D328="切",$D328="本",$D328="枚",$D328="尾"),IF($E328="⑬計量工程入力","",INDEX(⑰工程労務費一覧!$P$5:$P$11,MATCH($E328,⑰工程労務費一覧!$K$5:$K$11,0))),IF(AND($D328="",OR($E328="②釜工程入力",$E328="③スチコン工程入力")),INDEX(⑰工程労務費一覧!$N$5:$N$11,MATCH($E328,⑰工程労務費一覧!$K$5:$K$11,0))/1000,""))))),IF(OR($D328="g",$D328="ｇ"),INDEX(⑰工程労務費一覧!$H$5:$H$753,MATCH($F328,⑰工程労務費一覧!$D$5:$D$753,0))/1000,IF($D328="kg",INDEX(⑰工程労務費一覧!$H$5:$H$753,MATCH($F328,⑰工程労務費一覧!$D$5:$D$753,0)),INDEX(⑰工程労務費一覧!$I$5:$I$753,MATCH($F328,⑰工程労務費一覧!$D$5:$D$753,0)))))),"")</f>
        <v/>
      </c>
      <c r="I328" s="392">
        <f>IF($K328&gt;0,IF(ISNUMBER(IF(OR($D328="g",$D328="ｇ"),IF($M328&gt;0,$L328/$M328/1000,""),IF($D328="kg",IF($M328&gt;0,$L328/$M328,""),IF($D328="",IF($M328&gt;0,$L328/$M328/1000,IF($O328&gt;0,$N328/$O328,"")),IF($O328&gt;0,$N328/$O328,""))))),IF($D328="",IF($M328&gt;0,"◎ JAN紐づけ(g扱い)","◎ JAN紐づけ(個扱い)"),"◎ JAN紐づけ"),"△ JAN紐づけ済・実績不足→仮計算"),IF($F328="",IF(ISNUMBER($H328),IF($D328="","⑤ 工程平均で仮計算(g扱い)","⑤ 工程平均で仮計算"),IF($E328="⑩盛付梱包工程入力","⑥ 盛り込み(⑳F列で計上)",IF(AND($E328="⑬計量工程入力",OR($D328="個",$D328="切",$D328="本",$D328="枚",$D328="尾")),"① 未紐づけ(カット個単位は仮単価なし)","① 未紐づけ"))),IF(NOT(ISNUMBER($H328)),"② 工程側に単価なし",IF($D328="","③ 単位未設定(個で計算)","④ OK"))))</f>
        <v/>
      </c>
      <c r="J328" s="399">
        <f>IFERROR(LOOKUP(2,1/((中間品リスト!$F$2:$F$1299=$B328)*(中間品リスト!$E$2:$E$1299&lt;&gt;"-")*(中間品リスト!$E$2:$E$1299&lt;&gt;"")),中間品リスト!$E$2:$E$1299),"")</f>
        <v/>
      </c>
      <c r="K328" s="400">
        <f>IF($J328="",0,COUNTIF(②釜工程入力!$S$5:$S$117,$J328)+COUNTIF(③スチコン工程入力!$S$5:$S$152,$J328)+COUNTIF(⑪ZEN工程入力!$S$6:$S$35,$J328)+COUNTIF(⑫ミキサー工程入力!$S$6:$S$65,$J328)+COUNTIF(⑬計量工程入力!$S$6:$S$65,$J328)+COUNTIF(⑭手動工程入力!$S$6:$S$47,$J328))</f>
        <v/>
      </c>
      <c r="L328" s="393">
        <f>IF($J328="",0,SUMIFS(②釜工程入力!$M$5:$M$117,②釜工程入力!$S$5:$S$117,$J328,②釜工程入力!$I$5:$I$117,"&gt;0")+SUMIFS(③スチコン工程入力!$M$5:$M$152,③スチコン工程入力!$S$5:$S$152,$J328,③スチコン工程入力!$I$5:$I$152,"&gt;0")+SUMIFS(⑪ZEN工程入力!$M$6:$M$35,⑪ZEN工程入力!$S$6:$S$35,$J328,⑪ZEN工程入力!$I$6:$I$35,"&gt;0")+SUMIFS(⑫ミキサー工程入力!$M$6:$M$65,⑫ミキサー工程入力!$S$6:$S$65,$J328,⑫ミキサー工程入力!$I$6:$I$65,"&gt;0")+SUMIFS(⑬計量工程入力!$M$6:$M$65,⑬計量工程入力!$S$6:$S$65,$J328,⑬計量工程入力!$I$6:$I$65,"&gt;0")+SUMIFS(⑭手動工程入力!$M$6:$M$47,⑭手動工程入力!$S$6:$S$47,$J328,⑭手動工程入力!$I$6:$I$47,"&gt;0"))</f>
        <v/>
      </c>
      <c r="M328" s="393">
        <f>IF($J328="",0,SUMIFS(②釜工程入力!$I$5:$I$117,②釜工程入力!$S$5:$S$117,$J328,②釜工程入力!$I$5:$I$117,"&gt;0",②釜工程入力!$M$5:$M$117,"&gt;0")+SUMIFS(③スチコン工程入力!$I$5:$I$152,③スチコン工程入力!$S$5:$S$152,$J328,③スチコン工程入力!$I$5:$I$152,"&gt;0",③スチコン工程入力!$M$5:$M$152,"&gt;0")+SUMIFS(⑪ZEN工程入力!$I$6:$I$35,⑪ZEN工程入力!$S$6:$S$35,$J328,⑪ZEN工程入力!$I$6:$I$35,"&gt;0",⑪ZEN工程入力!$M$6:$M$35,"&gt;0")+SUMIFS(⑫ミキサー工程入力!$I$6:$I$65,⑫ミキサー工程入力!$S$6:$S$65,$J328,⑫ミキサー工程入力!$I$6:$I$65,"&gt;0",⑫ミキサー工程入力!$M$6:$M$65,"&gt;0")+SUMIFS(⑬計量工程入力!$I$6:$I$65,⑬計量工程入力!$S$6:$S$65,$J328,⑬計量工程入力!$I$6:$I$65,"&gt;0",⑬計量工程入力!$M$6:$M$65,"&gt;0")+SUMIFS(⑭手動工程入力!$I$6:$I$47,⑭手動工程入力!$S$6:$S$47,$J328,⑭手動工程入力!$I$6:$I$47,"&gt;0",⑭手動工程入力!$M$6:$M$47,"&gt;0"))</f>
        <v/>
      </c>
      <c r="N328" s="393">
        <f>IF($J328="",0,SUMIFS(②釜工程入力!$M$5:$M$117,②釜工程入力!$S$5:$S$117,$J328,②釜工程入力!$J$5:$J$117,"&gt;0")-SUMIFS(②釜工程入力!$M$5:$M$117,②釜工程入力!$S$5:$S$117,$J328,②釜工程入力!$J$5:$J$117,"&gt;0",②釜工程入力!$I$5:$I$117,"&gt;0")+SUMIFS(③スチコン工程入力!$M$5:$M$152,③スチコン工程入力!$S$5:$S$152,$J328,③スチコン工程入力!$J$5:$J$152,"&gt;0")-SUMIFS(③スチコン工程入力!$M$5:$M$152,③スチコン工程入力!$S$5:$S$152,$J328,③スチコン工程入力!$J$5:$J$152,"&gt;0",③スチコン工程入力!$I$5:$I$152,"&gt;0")+SUMIFS(⑪ZEN工程入力!$M$6:$M$35,⑪ZEN工程入力!$S$6:$S$35,$J328,⑪ZEN工程入力!$J$6:$J$35,"&gt;0")-SUMIFS(⑪ZEN工程入力!$M$6:$M$35,⑪ZEN工程入力!$S$6:$S$35,$J328,⑪ZEN工程入力!$J$6:$J$35,"&gt;0",⑪ZEN工程入力!$I$6:$I$35,"&gt;0")+SUMIFS(⑫ミキサー工程入力!$M$6:$M$65,⑫ミキサー工程入力!$S$6:$S$65,$J328,⑫ミキサー工程入力!$J$6:$J$65,"&gt;0")-SUMIFS(⑫ミキサー工程入力!$M$6:$M$65,⑫ミキサー工程入力!$S$6:$S$65,$J328,⑫ミキサー工程入力!$J$6:$J$65,"&gt;0",⑫ミキサー工程入力!$I$6:$I$65,"&gt;0")+SUMIFS(⑬計量工程入力!$M$6:$M$65,⑬計量工程入力!$S$6:$S$65,$J328,⑬計量工程入力!$J$6:$J$65,"&gt;0")-SUMIFS(⑬計量工程入力!$M$6:$M$65,⑬計量工程入力!$S$6:$S$65,$J328,⑬計量工程入力!$J$6:$J$65,"&gt;0",⑬計量工程入力!$I$6:$I$65,"&gt;0")+SUMIFS(⑭手動工程入力!$M$6:$M$47,⑭手動工程入力!$S$6:$S$47,$J328,⑭手動工程入力!$J$6:$J$47,"&gt;0")-SUMIFS(⑭手動工程入力!$M$6:$M$47,⑭手動工程入力!$S$6:$S$47,$J328,⑭手動工程入力!$J$6:$J$47,"&gt;0",⑭手動工程入力!$I$6:$I$47,"&gt;0"))</f>
        <v/>
      </c>
      <c r="O328" s="393">
        <f>IF($J328="",0,SUMIFS(②釜工程入力!$J$5:$J$117,②釜工程入力!$S$5:$S$117,$J328,②釜工程入力!$J$5:$J$117,"&gt;0",②釜工程入力!$M$5:$M$117,"&gt;0")-SUMIFS(②釜工程入力!$J$5:$J$117,②釜工程入力!$S$5:$S$117,$J328,②釜工程入力!$J$5:$J$117,"&gt;0",②釜工程入力!$I$5:$I$117,"&gt;0",②釜工程入力!$M$5:$M$117,"&gt;0")+SUMIFS(③スチコン工程入力!$J$5:$J$152,③スチコン工程入力!$S$5:$S$152,$J328,③スチコン工程入力!$J$5:$J$152,"&gt;0",③スチコン工程入力!$M$5:$M$152,"&gt;0")-SUMIFS(③スチコン工程入力!$J$5:$J$152,③スチコン工程入力!$S$5:$S$152,$J328,③スチコン工程入力!$J$5:$J$152,"&gt;0",③スチコン工程入力!$I$5:$I$152,"&gt;0",③スチコン工程入力!$M$5:$M$152,"&gt;0")+SUMIFS(⑪ZEN工程入力!$J$6:$J$35,⑪ZEN工程入力!$S$6:$S$35,$J328,⑪ZEN工程入力!$J$6:$J$35,"&gt;0",⑪ZEN工程入力!$M$6:$M$35,"&gt;0")-SUMIFS(⑪ZEN工程入力!$J$6:$J$35,⑪ZEN工程入力!$S$6:$S$35,$J328,⑪ZEN工程入力!$J$6:$J$35,"&gt;0",⑪ZEN工程入力!$I$6:$I$35,"&gt;0",⑪ZEN工程入力!$M$6:$M$35,"&gt;0")+SUMIFS(⑫ミキサー工程入力!$J$6:$J$65,⑫ミキサー工程入力!$S$6:$S$65,$J328,⑫ミキサー工程入力!$J$6:$J$65,"&gt;0",⑫ミキサー工程入力!$M$6:$M$65,"&gt;0")-SUMIFS(⑫ミキサー工程入力!$J$6:$J$65,⑫ミキサー工程入力!$S$6:$S$65,$J328,⑫ミキサー工程入力!$J$6:$J$65,"&gt;0",⑫ミキサー工程入力!$I$6:$I$65,"&gt;0",⑫ミキサー工程入力!$M$6:$M$65,"&gt;0")+SUMIFS(⑬計量工程入力!$J$6:$J$65,⑬計量工程入力!$S$6:$S$65,$J328,⑬計量工程入力!$J$6:$J$65,"&gt;0",⑬計量工程入力!$M$6:$M$65,"&gt;0")-SUMIFS(⑬計量工程入力!$J$6:$J$65,⑬計量工程入力!$S$6:$S$65,$J328,⑬計量工程入力!$J$6:$J$65,"&gt;0",⑬計量工程入力!$I$6:$I$65,"&gt;0",⑬計量工程入力!$M$6:$M$65,"&gt;0")+SUMIFS(⑭手動工程入力!$J$6:$J$47,⑭手動工程入力!$S$6:$S$47,$J328,⑭手動工程入力!$J$6:$J$47,"&gt;0",⑭手動工程入力!$M$6:$M$47,"&gt;0")-SUMIFS(⑭手動工程入力!$J$6:$J$47,⑭手動工程入力!$S$6:$S$47,$J328,⑭手動工程入力!$J$6:$J$47,"&gt;0",⑭手動工程入力!$I$6:$I$47,"&gt;0",⑭手動工程入力!$M$6:$M$47,"&gt;0"))</f>
        <v/>
      </c>
      <c r="P328" s="392" t="inlineStr">
        <is>
          <t>中間品リスト</t>
        </is>
      </c>
    </row>
    <row r="329">
      <c r="A329" s="392" t="n">
        <v>325</v>
      </c>
      <c r="B329" s="392" t="n"/>
      <c r="C329" s="392" t="n"/>
      <c r="D329" s="409" t="n"/>
      <c r="E329" s="392" t="n"/>
      <c r="F329" s="394" t="n"/>
      <c r="G329" s="392" t="n"/>
      <c r="H329" s="604">
        <f>IFERROR(IF(AND($K329&gt;0,ISNUMBER(IF(OR($D329="g",$D329="ｇ"),IF($M329&gt;0,$L329/$M329/1000,""),IF($D329="kg",IF($M329&gt;0,$L329/$M329,""),IF($D329="",IF($M329&gt;0,$L329/$M329/1000,IF($O329&gt;0,$N329/$O329,"")),IF($O329&gt;0,$N329/$O329,"")))))),IF(OR($D329="g",$D329="ｇ"),IF($M329&gt;0,$L329/$M329/1000,""),IF($D329="kg",IF($M329&gt;0,$L329/$M329,""),IF($D329="",IF($M329&gt;0,$L329/$M329/1000,IF($O329&gt;0,$N329/$O329,"")),IF($O329&gt;0,$N329/$O329,"")))),IF($F329="",IF(OR($E329="",$E329="⑩盛付梱包工程入力"),"",IF(OR($D329="g",$D329="ｇ"),INDEX(⑰工程労務費一覧!$N$5:$N$11,MATCH($E329,⑰工程労務費一覧!$K$5:$K$11,0))/1000,IF($D329="kg",INDEX(⑰工程労務費一覧!$N$5:$N$11,MATCH($E329,⑰工程労務費一覧!$K$5:$K$11,0)),IF(OR($D329="個",$D329="切",$D329="本",$D329="枚",$D329="尾"),IF($E329="⑬計量工程入力","",INDEX(⑰工程労務費一覧!$P$5:$P$11,MATCH($E329,⑰工程労務費一覧!$K$5:$K$11,0))),IF(AND($D329="",OR($E329="②釜工程入力",$E329="③スチコン工程入力")),INDEX(⑰工程労務費一覧!$N$5:$N$11,MATCH($E329,⑰工程労務費一覧!$K$5:$K$11,0))/1000,""))))),IF(OR($D329="g",$D329="ｇ"),INDEX(⑰工程労務費一覧!$H$5:$H$753,MATCH($F329,⑰工程労務費一覧!$D$5:$D$753,0))/1000,IF($D329="kg",INDEX(⑰工程労務費一覧!$H$5:$H$753,MATCH($F329,⑰工程労務費一覧!$D$5:$D$753,0)),INDEX(⑰工程労務費一覧!$I$5:$I$753,MATCH($F329,⑰工程労務費一覧!$D$5:$D$753,0)))))),"")</f>
        <v/>
      </c>
      <c r="I329" s="392">
        <f>IF($K329&gt;0,IF(ISNUMBER(IF(OR($D329="g",$D329="ｇ"),IF($M329&gt;0,$L329/$M329/1000,""),IF($D329="kg",IF($M329&gt;0,$L329/$M329,""),IF($D329="",IF($M329&gt;0,$L329/$M329/1000,IF($O329&gt;0,$N329/$O329,"")),IF($O329&gt;0,$N329/$O329,""))))),IF($D329="",IF($M329&gt;0,"◎ JAN紐づけ(g扱い)","◎ JAN紐づけ(個扱い)"),"◎ JAN紐づけ"),"△ JAN紐づけ済・実績不足→仮計算"),IF($F329="",IF(ISNUMBER($H329),IF($D329="","⑤ 工程平均で仮計算(g扱い)","⑤ 工程平均で仮計算"),IF($E329="⑩盛付梱包工程入力","⑥ 盛り込み(⑳F列で計上)",IF(AND($E329="⑬計量工程入力",OR($D329="個",$D329="切",$D329="本",$D329="枚",$D329="尾")),"① 未紐づけ(カット個単位は仮単価なし)","① 未紐づけ"))),IF(NOT(ISNUMBER($H329)),"② 工程側に単価なし",IF($D329="","③ 単位未設定(個で計算)","④ OK"))))</f>
        <v/>
      </c>
      <c r="J329" s="399">
        <f>IFERROR(LOOKUP(2,1/((中間品リスト!$F$2:$F$1299=$B329)*(中間品リスト!$E$2:$E$1299&lt;&gt;"-")*(中間品リスト!$E$2:$E$1299&lt;&gt;"")),中間品リスト!$E$2:$E$1299),"")</f>
        <v/>
      </c>
      <c r="K329" s="400">
        <f>IF($J329="",0,COUNTIF(②釜工程入力!$S$5:$S$117,$J329)+COUNTIF(③スチコン工程入力!$S$5:$S$152,$J329)+COUNTIF(⑪ZEN工程入力!$S$6:$S$35,$J329)+COUNTIF(⑫ミキサー工程入力!$S$6:$S$65,$J329)+COUNTIF(⑬計量工程入力!$S$6:$S$65,$J329)+COUNTIF(⑭手動工程入力!$S$6:$S$47,$J329))</f>
        <v/>
      </c>
      <c r="L329" s="393">
        <f>IF($J329="",0,SUMIFS(②釜工程入力!$M$5:$M$117,②釜工程入力!$S$5:$S$117,$J329,②釜工程入力!$I$5:$I$117,"&gt;0")+SUMIFS(③スチコン工程入力!$M$5:$M$152,③スチコン工程入力!$S$5:$S$152,$J329,③スチコン工程入力!$I$5:$I$152,"&gt;0")+SUMIFS(⑪ZEN工程入力!$M$6:$M$35,⑪ZEN工程入力!$S$6:$S$35,$J329,⑪ZEN工程入力!$I$6:$I$35,"&gt;0")+SUMIFS(⑫ミキサー工程入力!$M$6:$M$65,⑫ミキサー工程入力!$S$6:$S$65,$J329,⑫ミキサー工程入力!$I$6:$I$65,"&gt;0")+SUMIFS(⑬計量工程入力!$M$6:$M$65,⑬計量工程入力!$S$6:$S$65,$J329,⑬計量工程入力!$I$6:$I$65,"&gt;0")+SUMIFS(⑭手動工程入力!$M$6:$M$47,⑭手動工程入力!$S$6:$S$47,$J329,⑭手動工程入力!$I$6:$I$47,"&gt;0"))</f>
        <v/>
      </c>
      <c r="M329" s="393">
        <f>IF($J329="",0,SUMIFS(②釜工程入力!$I$5:$I$117,②釜工程入力!$S$5:$S$117,$J329,②釜工程入力!$I$5:$I$117,"&gt;0",②釜工程入力!$M$5:$M$117,"&gt;0")+SUMIFS(③スチコン工程入力!$I$5:$I$152,③スチコン工程入力!$S$5:$S$152,$J329,③スチコン工程入力!$I$5:$I$152,"&gt;0",③スチコン工程入力!$M$5:$M$152,"&gt;0")+SUMIFS(⑪ZEN工程入力!$I$6:$I$35,⑪ZEN工程入力!$S$6:$S$35,$J329,⑪ZEN工程入力!$I$6:$I$35,"&gt;0",⑪ZEN工程入力!$M$6:$M$35,"&gt;0")+SUMIFS(⑫ミキサー工程入力!$I$6:$I$65,⑫ミキサー工程入力!$S$6:$S$65,$J329,⑫ミキサー工程入力!$I$6:$I$65,"&gt;0",⑫ミキサー工程入力!$M$6:$M$65,"&gt;0")+SUMIFS(⑬計量工程入力!$I$6:$I$65,⑬計量工程入力!$S$6:$S$65,$J329,⑬計量工程入力!$I$6:$I$65,"&gt;0",⑬計量工程入力!$M$6:$M$65,"&gt;0")+SUMIFS(⑭手動工程入力!$I$6:$I$47,⑭手動工程入力!$S$6:$S$47,$J329,⑭手動工程入力!$I$6:$I$47,"&gt;0",⑭手動工程入力!$M$6:$M$47,"&gt;0"))</f>
        <v/>
      </c>
      <c r="N329" s="393">
        <f>IF($J329="",0,SUMIFS(②釜工程入力!$M$5:$M$117,②釜工程入力!$S$5:$S$117,$J329,②釜工程入力!$J$5:$J$117,"&gt;0")-SUMIFS(②釜工程入力!$M$5:$M$117,②釜工程入力!$S$5:$S$117,$J329,②釜工程入力!$J$5:$J$117,"&gt;0",②釜工程入力!$I$5:$I$117,"&gt;0")+SUMIFS(③スチコン工程入力!$M$5:$M$152,③スチコン工程入力!$S$5:$S$152,$J329,③スチコン工程入力!$J$5:$J$152,"&gt;0")-SUMIFS(③スチコン工程入力!$M$5:$M$152,③スチコン工程入力!$S$5:$S$152,$J329,③スチコン工程入力!$J$5:$J$152,"&gt;0",③スチコン工程入力!$I$5:$I$152,"&gt;0")+SUMIFS(⑪ZEN工程入力!$M$6:$M$35,⑪ZEN工程入力!$S$6:$S$35,$J329,⑪ZEN工程入力!$J$6:$J$35,"&gt;0")-SUMIFS(⑪ZEN工程入力!$M$6:$M$35,⑪ZEN工程入力!$S$6:$S$35,$J329,⑪ZEN工程入力!$J$6:$J$35,"&gt;0",⑪ZEN工程入力!$I$6:$I$35,"&gt;0")+SUMIFS(⑫ミキサー工程入力!$M$6:$M$65,⑫ミキサー工程入力!$S$6:$S$65,$J329,⑫ミキサー工程入力!$J$6:$J$65,"&gt;0")-SUMIFS(⑫ミキサー工程入力!$M$6:$M$65,⑫ミキサー工程入力!$S$6:$S$65,$J329,⑫ミキサー工程入力!$J$6:$J$65,"&gt;0",⑫ミキサー工程入力!$I$6:$I$65,"&gt;0")+SUMIFS(⑬計量工程入力!$M$6:$M$65,⑬計量工程入力!$S$6:$S$65,$J329,⑬計量工程入力!$J$6:$J$65,"&gt;0")-SUMIFS(⑬計量工程入力!$M$6:$M$65,⑬計量工程入力!$S$6:$S$65,$J329,⑬計量工程入力!$J$6:$J$65,"&gt;0",⑬計量工程入力!$I$6:$I$65,"&gt;0")+SUMIFS(⑭手動工程入力!$M$6:$M$47,⑭手動工程入力!$S$6:$S$47,$J329,⑭手動工程入力!$J$6:$J$47,"&gt;0")-SUMIFS(⑭手動工程入力!$M$6:$M$47,⑭手動工程入力!$S$6:$S$47,$J329,⑭手動工程入力!$J$6:$J$47,"&gt;0",⑭手動工程入力!$I$6:$I$47,"&gt;0"))</f>
        <v/>
      </c>
      <c r="O329" s="393">
        <f>IF($J329="",0,SUMIFS(②釜工程入力!$J$5:$J$117,②釜工程入力!$S$5:$S$117,$J329,②釜工程入力!$J$5:$J$117,"&gt;0",②釜工程入力!$M$5:$M$117,"&gt;0")-SUMIFS(②釜工程入力!$J$5:$J$117,②釜工程入力!$S$5:$S$117,$J329,②釜工程入力!$J$5:$J$117,"&gt;0",②釜工程入力!$I$5:$I$117,"&gt;0",②釜工程入力!$M$5:$M$117,"&gt;0")+SUMIFS(③スチコン工程入力!$J$5:$J$152,③スチコン工程入力!$S$5:$S$152,$J329,③スチコン工程入力!$J$5:$J$152,"&gt;0",③スチコン工程入力!$M$5:$M$152,"&gt;0")-SUMIFS(③スチコン工程入力!$J$5:$J$152,③スチコン工程入力!$S$5:$S$152,$J329,③スチコン工程入力!$J$5:$J$152,"&gt;0",③スチコン工程入力!$I$5:$I$152,"&gt;0",③スチコン工程入力!$M$5:$M$152,"&gt;0")+SUMIFS(⑪ZEN工程入力!$J$6:$J$35,⑪ZEN工程入力!$S$6:$S$35,$J329,⑪ZEN工程入力!$J$6:$J$35,"&gt;0",⑪ZEN工程入力!$M$6:$M$35,"&gt;0")-SUMIFS(⑪ZEN工程入力!$J$6:$J$35,⑪ZEN工程入力!$S$6:$S$35,$J329,⑪ZEN工程入力!$J$6:$J$35,"&gt;0",⑪ZEN工程入力!$I$6:$I$35,"&gt;0",⑪ZEN工程入力!$M$6:$M$35,"&gt;0")+SUMIFS(⑫ミキサー工程入力!$J$6:$J$65,⑫ミキサー工程入力!$S$6:$S$65,$J329,⑫ミキサー工程入力!$J$6:$J$65,"&gt;0",⑫ミキサー工程入力!$M$6:$M$65,"&gt;0")-SUMIFS(⑫ミキサー工程入力!$J$6:$J$65,⑫ミキサー工程入力!$S$6:$S$65,$J329,⑫ミキサー工程入力!$J$6:$J$65,"&gt;0",⑫ミキサー工程入力!$I$6:$I$65,"&gt;0",⑫ミキサー工程入力!$M$6:$M$65,"&gt;0")+SUMIFS(⑬計量工程入力!$J$6:$J$65,⑬計量工程入力!$S$6:$S$65,$J329,⑬計量工程入力!$J$6:$J$65,"&gt;0",⑬計量工程入力!$M$6:$M$65,"&gt;0")-SUMIFS(⑬計量工程入力!$J$6:$J$65,⑬計量工程入力!$S$6:$S$65,$J329,⑬計量工程入力!$J$6:$J$65,"&gt;0",⑬計量工程入力!$I$6:$I$65,"&gt;0",⑬計量工程入力!$M$6:$M$65,"&gt;0")+SUMIFS(⑭手動工程入力!$J$6:$J$47,⑭手動工程入力!$S$6:$S$47,$J329,⑭手動工程入力!$J$6:$J$47,"&gt;0",⑭手動工程入力!$M$6:$M$47,"&gt;0")-SUMIFS(⑭手動工程入力!$J$6:$J$47,⑭手動工程入力!$S$6:$S$47,$J329,⑭手動工程入力!$J$6:$J$47,"&gt;0",⑭手動工程入力!$I$6:$I$47,"&gt;0",⑭手動工程入力!$M$6:$M$47,"&gt;0"))</f>
        <v/>
      </c>
      <c r="P329" s="392" t="inlineStr">
        <is>
          <t>中間品リスト</t>
        </is>
      </c>
    </row>
    <row r="330">
      <c r="A330" s="392" t="n">
        <v>326</v>
      </c>
      <c r="B330" s="392" t="n"/>
      <c r="C330" s="392" t="n"/>
      <c r="D330" s="409" t="n"/>
      <c r="E330" s="392" t="n"/>
      <c r="F330" s="394" t="n"/>
      <c r="G330" s="392" t="n"/>
      <c r="H330" s="604">
        <f>IFERROR(IF(AND($K330&gt;0,ISNUMBER(IF(OR($D330="g",$D330="ｇ"),IF($M330&gt;0,$L330/$M330/1000,""),IF($D330="kg",IF($M330&gt;0,$L330/$M330,""),IF($D330="",IF($M330&gt;0,$L330/$M330/1000,IF($O330&gt;0,$N330/$O330,"")),IF($O330&gt;0,$N330/$O330,"")))))),IF(OR($D330="g",$D330="ｇ"),IF($M330&gt;0,$L330/$M330/1000,""),IF($D330="kg",IF($M330&gt;0,$L330/$M330,""),IF($D330="",IF($M330&gt;0,$L330/$M330/1000,IF($O330&gt;0,$N330/$O330,"")),IF($O330&gt;0,$N330/$O330,"")))),IF($F330="",IF(OR($E330="",$E330="⑩盛付梱包工程入力"),"",IF(OR($D330="g",$D330="ｇ"),INDEX(⑰工程労務費一覧!$N$5:$N$11,MATCH($E330,⑰工程労務費一覧!$K$5:$K$11,0))/1000,IF($D330="kg",INDEX(⑰工程労務費一覧!$N$5:$N$11,MATCH($E330,⑰工程労務費一覧!$K$5:$K$11,0)),IF(OR($D330="個",$D330="切",$D330="本",$D330="枚",$D330="尾"),IF($E330="⑬計量工程入力","",INDEX(⑰工程労務費一覧!$P$5:$P$11,MATCH($E330,⑰工程労務費一覧!$K$5:$K$11,0))),IF(AND($D330="",OR($E330="②釜工程入力",$E330="③スチコン工程入力")),INDEX(⑰工程労務費一覧!$N$5:$N$11,MATCH($E330,⑰工程労務費一覧!$K$5:$K$11,0))/1000,""))))),IF(OR($D330="g",$D330="ｇ"),INDEX(⑰工程労務費一覧!$H$5:$H$753,MATCH($F330,⑰工程労務費一覧!$D$5:$D$753,0))/1000,IF($D330="kg",INDEX(⑰工程労務費一覧!$H$5:$H$753,MATCH($F330,⑰工程労務費一覧!$D$5:$D$753,0)),INDEX(⑰工程労務費一覧!$I$5:$I$753,MATCH($F330,⑰工程労務費一覧!$D$5:$D$753,0)))))),"")</f>
        <v/>
      </c>
      <c r="I330" s="392">
        <f>IF($K330&gt;0,IF(ISNUMBER(IF(OR($D330="g",$D330="ｇ"),IF($M330&gt;0,$L330/$M330/1000,""),IF($D330="kg",IF($M330&gt;0,$L330/$M330,""),IF($D330="",IF($M330&gt;0,$L330/$M330/1000,IF($O330&gt;0,$N330/$O330,"")),IF($O330&gt;0,$N330/$O330,""))))),IF($D330="",IF($M330&gt;0,"◎ JAN紐づけ(g扱い)","◎ JAN紐づけ(個扱い)"),"◎ JAN紐づけ"),"△ JAN紐づけ済・実績不足→仮計算"),IF($F330="",IF(ISNUMBER($H330),IF($D330="","⑤ 工程平均で仮計算(g扱い)","⑤ 工程平均で仮計算"),IF($E330="⑩盛付梱包工程入力","⑥ 盛り込み(⑳F列で計上)",IF(AND($E330="⑬計量工程入力",OR($D330="個",$D330="切",$D330="本",$D330="枚",$D330="尾")),"① 未紐づけ(カット個単位は仮単価なし)","① 未紐づけ"))),IF(NOT(ISNUMBER($H330)),"② 工程側に単価なし",IF($D330="","③ 単位未設定(個で計算)","④ OK"))))</f>
        <v/>
      </c>
      <c r="J330" s="399">
        <f>IFERROR(LOOKUP(2,1/((中間品リスト!$F$2:$F$1299=$B330)*(中間品リスト!$E$2:$E$1299&lt;&gt;"-")*(中間品リスト!$E$2:$E$1299&lt;&gt;"")),中間品リスト!$E$2:$E$1299),"")</f>
        <v/>
      </c>
      <c r="K330" s="400">
        <f>IF($J330="",0,COUNTIF(②釜工程入力!$S$5:$S$117,$J330)+COUNTIF(③スチコン工程入力!$S$5:$S$152,$J330)+COUNTIF(⑪ZEN工程入力!$S$6:$S$35,$J330)+COUNTIF(⑫ミキサー工程入力!$S$6:$S$65,$J330)+COUNTIF(⑬計量工程入力!$S$6:$S$65,$J330)+COUNTIF(⑭手動工程入力!$S$6:$S$47,$J330))</f>
        <v/>
      </c>
      <c r="L330" s="393">
        <f>IF($J330="",0,SUMIFS(②釜工程入力!$M$5:$M$117,②釜工程入力!$S$5:$S$117,$J330,②釜工程入力!$I$5:$I$117,"&gt;0")+SUMIFS(③スチコン工程入力!$M$5:$M$152,③スチコン工程入力!$S$5:$S$152,$J330,③スチコン工程入力!$I$5:$I$152,"&gt;0")+SUMIFS(⑪ZEN工程入力!$M$6:$M$35,⑪ZEN工程入力!$S$6:$S$35,$J330,⑪ZEN工程入力!$I$6:$I$35,"&gt;0")+SUMIFS(⑫ミキサー工程入力!$M$6:$M$65,⑫ミキサー工程入力!$S$6:$S$65,$J330,⑫ミキサー工程入力!$I$6:$I$65,"&gt;0")+SUMIFS(⑬計量工程入力!$M$6:$M$65,⑬計量工程入力!$S$6:$S$65,$J330,⑬計量工程入力!$I$6:$I$65,"&gt;0")+SUMIFS(⑭手動工程入力!$M$6:$M$47,⑭手動工程入力!$S$6:$S$47,$J330,⑭手動工程入力!$I$6:$I$47,"&gt;0"))</f>
        <v/>
      </c>
      <c r="M330" s="393">
        <f>IF($J330="",0,SUMIFS(②釜工程入力!$I$5:$I$117,②釜工程入力!$S$5:$S$117,$J330,②釜工程入力!$I$5:$I$117,"&gt;0",②釜工程入力!$M$5:$M$117,"&gt;0")+SUMIFS(③スチコン工程入力!$I$5:$I$152,③スチコン工程入力!$S$5:$S$152,$J330,③スチコン工程入力!$I$5:$I$152,"&gt;0",③スチコン工程入力!$M$5:$M$152,"&gt;0")+SUMIFS(⑪ZEN工程入力!$I$6:$I$35,⑪ZEN工程入力!$S$6:$S$35,$J330,⑪ZEN工程入力!$I$6:$I$35,"&gt;0",⑪ZEN工程入力!$M$6:$M$35,"&gt;0")+SUMIFS(⑫ミキサー工程入力!$I$6:$I$65,⑫ミキサー工程入力!$S$6:$S$65,$J330,⑫ミキサー工程入力!$I$6:$I$65,"&gt;0",⑫ミキサー工程入力!$M$6:$M$65,"&gt;0")+SUMIFS(⑬計量工程入力!$I$6:$I$65,⑬計量工程入力!$S$6:$S$65,$J330,⑬計量工程入力!$I$6:$I$65,"&gt;0",⑬計量工程入力!$M$6:$M$65,"&gt;0")+SUMIFS(⑭手動工程入力!$I$6:$I$47,⑭手動工程入力!$S$6:$S$47,$J330,⑭手動工程入力!$I$6:$I$47,"&gt;0",⑭手動工程入力!$M$6:$M$47,"&gt;0"))</f>
        <v/>
      </c>
      <c r="N330" s="393">
        <f>IF($J330="",0,SUMIFS(②釜工程入力!$M$5:$M$117,②釜工程入力!$S$5:$S$117,$J330,②釜工程入力!$J$5:$J$117,"&gt;0")-SUMIFS(②釜工程入力!$M$5:$M$117,②釜工程入力!$S$5:$S$117,$J330,②釜工程入力!$J$5:$J$117,"&gt;0",②釜工程入力!$I$5:$I$117,"&gt;0")+SUMIFS(③スチコン工程入力!$M$5:$M$152,③スチコン工程入力!$S$5:$S$152,$J330,③スチコン工程入力!$J$5:$J$152,"&gt;0")-SUMIFS(③スチコン工程入力!$M$5:$M$152,③スチコン工程入力!$S$5:$S$152,$J330,③スチコン工程入力!$J$5:$J$152,"&gt;0",③スチコン工程入力!$I$5:$I$152,"&gt;0")+SUMIFS(⑪ZEN工程入力!$M$6:$M$35,⑪ZEN工程入力!$S$6:$S$35,$J330,⑪ZEN工程入力!$J$6:$J$35,"&gt;0")-SUMIFS(⑪ZEN工程入力!$M$6:$M$35,⑪ZEN工程入力!$S$6:$S$35,$J330,⑪ZEN工程入力!$J$6:$J$35,"&gt;0",⑪ZEN工程入力!$I$6:$I$35,"&gt;0")+SUMIFS(⑫ミキサー工程入力!$M$6:$M$65,⑫ミキサー工程入力!$S$6:$S$65,$J330,⑫ミキサー工程入力!$J$6:$J$65,"&gt;0")-SUMIFS(⑫ミキサー工程入力!$M$6:$M$65,⑫ミキサー工程入力!$S$6:$S$65,$J330,⑫ミキサー工程入力!$J$6:$J$65,"&gt;0",⑫ミキサー工程入力!$I$6:$I$65,"&gt;0")+SUMIFS(⑬計量工程入力!$M$6:$M$65,⑬計量工程入力!$S$6:$S$65,$J330,⑬計量工程入力!$J$6:$J$65,"&gt;0")-SUMIFS(⑬計量工程入力!$M$6:$M$65,⑬計量工程入力!$S$6:$S$65,$J330,⑬計量工程入力!$J$6:$J$65,"&gt;0",⑬計量工程入力!$I$6:$I$65,"&gt;0")+SUMIFS(⑭手動工程入力!$M$6:$M$47,⑭手動工程入力!$S$6:$S$47,$J330,⑭手動工程入力!$J$6:$J$47,"&gt;0")-SUMIFS(⑭手動工程入力!$M$6:$M$47,⑭手動工程入力!$S$6:$S$47,$J330,⑭手動工程入力!$J$6:$J$47,"&gt;0",⑭手動工程入力!$I$6:$I$47,"&gt;0"))</f>
        <v/>
      </c>
      <c r="O330" s="393">
        <f>IF($J330="",0,SUMIFS(②釜工程入力!$J$5:$J$117,②釜工程入力!$S$5:$S$117,$J330,②釜工程入力!$J$5:$J$117,"&gt;0",②釜工程入力!$M$5:$M$117,"&gt;0")-SUMIFS(②釜工程入力!$J$5:$J$117,②釜工程入力!$S$5:$S$117,$J330,②釜工程入力!$J$5:$J$117,"&gt;0",②釜工程入力!$I$5:$I$117,"&gt;0",②釜工程入力!$M$5:$M$117,"&gt;0")+SUMIFS(③スチコン工程入力!$J$5:$J$152,③スチコン工程入力!$S$5:$S$152,$J330,③スチコン工程入力!$J$5:$J$152,"&gt;0",③スチコン工程入力!$M$5:$M$152,"&gt;0")-SUMIFS(③スチコン工程入力!$J$5:$J$152,③スチコン工程入力!$S$5:$S$152,$J330,③スチコン工程入力!$J$5:$J$152,"&gt;0",③スチコン工程入力!$I$5:$I$152,"&gt;0",③スチコン工程入力!$M$5:$M$152,"&gt;0")+SUMIFS(⑪ZEN工程入力!$J$6:$J$35,⑪ZEN工程入力!$S$6:$S$35,$J330,⑪ZEN工程入力!$J$6:$J$35,"&gt;0",⑪ZEN工程入力!$M$6:$M$35,"&gt;0")-SUMIFS(⑪ZEN工程入力!$J$6:$J$35,⑪ZEN工程入力!$S$6:$S$35,$J330,⑪ZEN工程入力!$J$6:$J$35,"&gt;0",⑪ZEN工程入力!$I$6:$I$35,"&gt;0",⑪ZEN工程入力!$M$6:$M$35,"&gt;0")+SUMIFS(⑫ミキサー工程入力!$J$6:$J$65,⑫ミキサー工程入力!$S$6:$S$65,$J330,⑫ミキサー工程入力!$J$6:$J$65,"&gt;0",⑫ミキサー工程入力!$M$6:$M$65,"&gt;0")-SUMIFS(⑫ミキサー工程入力!$J$6:$J$65,⑫ミキサー工程入力!$S$6:$S$65,$J330,⑫ミキサー工程入力!$J$6:$J$65,"&gt;0",⑫ミキサー工程入力!$I$6:$I$65,"&gt;0",⑫ミキサー工程入力!$M$6:$M$65,"&gt;0")+SUMIFS(⑬計量工程入力!$J$6:$J$65,⑬計量工程入力!$S$6:$S$65,$J330,⑬計量工程入力!$J$6:$J$65,"&gt;0",⑬計量工程入力!$M$6:$M$65,"&gt;0")-SUMIFS(⑬計量工程入力!$J$6:$J$65,⑬計量工程入力!$S$6:$S$65,$J330,⑬計量工程入力!$J$6:$J$65,"&gt;0",⑬計量工程入力!$I$6:$I$65,"&gt;0",⑬計量工程入力!$M$6:$M$65,"&gt;0")+SUMIFS(⑭手動工程入力!$J$6:$J$47,⑭手動工程入力!$S$6:$S$47,$J330,⑭手動工程入力!$J$6:$J$47,"&gt;0",⑭手動工程入力!$M$6:$M$47,"&gt;0")-SUMIFS(⑭手動工程入力!$J$6:$J$47,⑭手動工程入力!$S$6:$S$47,$J330,⑭手動工程入力!$J$6:$J$47,"&gt;0",⑭手動工程入力!$I$6:$I$47,"&gt;0",⑭手動工程入力!$M$6:$M$47,"&gt;0"))</f>
        <v/>
      </c>
      <c r="P330" s="392" t="inlineStr">
        <is>
          <t>中間品リスト</t>
        </is>
      </c>
    </row>
    <row r="331">
      <c r="A331" s="392" t="n">
        <v>327</v>
      </c>
      <c r="B331" s="392" t="n"/>
      <c r="C331" s="392" t="n"/>
      <c r="D331" s="409" t="n"/>
      <c r="E331" s="392" t="n"/>
      <c r="F331" s="394" t="n"/>
      <c r="G331" s="392" t="n"/>
      <c r="H331" s="604">
        <f>IFERROR(IF(AND($K331&gt;0,ISNUMBER(IF(OR($D331="g",$D331="ｇ"),IF($M331&gt;0,$L331/$M331/1000,""),IF($D331="kg",IF($M331&gt;0,$L331/$M331,""),IF($D331="",IF($M331&gt;0,$L331/$M331/1000,IF($O331&gt;0,$N331/$O331,"")),IF($O331&gt;0,$N331/$O331,"")))))),IF(OR($D331="g",$D331="ｇ"),IF($M331&gt;0,$L331/$M331/1000,""),IF($D331="kg",IF($M331&gt;0,$L331/$M331,""),IF($D331="",IF($M331&gt;0,$L331/$M331/1000,IF($O331&gt;0,$N331/$O331,"")),IF($O331&gt;0,$N331/$O331,"")))),IF($F331="",IF(OR($E331="",$E331="⑩盛付梱包工程入力"),"",IF(OR($D331="g",$D331="ｇ"),INDEX(⑰工程労務費一覧!$N$5:$N$11,MATCH($E331,⑰工程労務費一覧!$K$5:$K$11,0))/1000,IF($D331="kg",INDEX(⑰工程労務費一覧!$N$5:$N$11,MATCH($E331,⑰工程労務費一覧!$K$5:$K$11,0)),IF(OR($D331="個",$D331="切",$D331="本",$D331="枚",$D331="尾"),IF($E331="⑬計量工程入力","",INDEX(⑰工程労務費一覧!$P$5:$P$11,MATCH($E331,⑰工程労務費一覧!$K$5:$K$11,0))),IF(AND($D331="",OR($E331="②釜工程入力",$E331="③スチコン工程入力")),INDEX(⑰工程労務費一覧!$N$5:$N$11,MATCH($E331,⑰工程労務費一覧!$K$5:$K$11,0))/1000,""))))),IF(OR($D331="g",$D331="ｇ"),INDEX(⑰工程労務費一覧!$H$5:$H$753,MATCH($F331,⑰工程労務費一覧!$D$5:$D$753,0))/1000,IF($D331="kg",INDEX(⑰工程労務費一覧!$H$5:$H$753,MATCH($F331,⑰工程労務費一覧!$D$5:$D$753,0)),INDEX(⑰工程労務費一覧!$I$5:$I$753,MATCH($F331,⑰工程労務費一覧!$D$5:$D$753,0)))))),"")</f>
        <v/>
      </c>
      <c r="I331" s="392">
        <f>IF($K331&gt;0,IF(ISNUMBER(IF(OR($D331="g",$D331="ｇ"),IF($M331&gt;0,$L331/$M331/1000,""),IF($D331="kg",IF($M331&gt;0,$L331/$M331,""),IF($D331="",IF($M331&gt;0,$L331/$M331/1000,IF($O331&gt;0,$N331/$O331,"")),IF($O331&gt;0,$N331/$O331,""))))),IF($D331="",IF($M331&gt;0,"◎ JAN紐づけ(g扱い)","◎ JAN紐づけ(個扱い)"),"◎ JAN紐づけ"),"△ JAN紐づけ済・実績不足→仮計算"),IF($F331="",IF(ISNUMBER($H331),IF($D331="","⑤ 工程平均で仮計算(g扱い)","⑤ 工程平均で仮計算"),IF($E331="⑩盛付梱包工程入力","⑥ 盛り込み(⑳F列で計上)",IF(AND($E331="⑬計量工程入力",OR($D331="個",$D331="切",$D331="本",$D331="枚",$D331="尾")),"① 未紐づけ(カット個単位は仮単価なし)","① 未紐づけ"))),IF(NOT(ISNUMBER($H331)),"② 工程側に単価なし",IF($D331="","③ 単位未設定(個で計算)","④ OK"))))</f>
        <v/>
      </c>
      <c r="J331" s="399">
        <f>IFERROR(LOOKUP(2,1/((中間品リスト!$F$2:$F$1299=$B331)*(中間品リスト!$E$2:$E$1299&lt;&gt;"-")*(中間品リスト!$E$2:$E$1299&lt;&gt;"")),中間品リスト!$E$2:$E$1299),"")</f>
        <v/>
      </c>
      <c r="K331" s="400">
        <f>IF($J331="",0,COUNTIF(②釜工程入力!$S$5:$S$117,$J331)+COUNTIF(③スチコン工程入力!$S$5:$S$152,$J331)+COUNTIF(⑪ZEN工程入力!$S$6:$S$35,$J331)+COUNTIF(⑫ミキサー工程入力!$S$6:$S$65,$J331)+COUNTIF(⑬計量工程入力!$S$6:$S$65,$J331)+COUNTIF(⑭手動工程入力!$S$6:$S$47,$J331))</f>
        <v/>
      </c>
      <c r="L331" s="393">
        <f>IF($J331="",0,SUMIFS(②釜工程入力!$M$5:$M$117,②釜工程入力!$S$5:$S$117,$J331,②釜工程入力!$I$5:$I$117,"&gt;0")+SUMIFS(③スチコン工程入力!$M$5:$M$152,③スチコン工程入力!$S$5:$S$152,$J331,③スチコン工程入力!$I$5:$I$152,"&gt;0")+SUMIFS(⑪ZEN工程入力!$M$6:$M$35,⑪ZEN工程入力!$S$6:$S$35,$J331,⑪ZEN工程入力!$I$6:$I$35,"&gt;0")+SUMIFS(⑫ミキサー工程入力!$M$6:$M$65,⑫ミキサー工程入力!$S$6:$S$65,$J331,⑫ミキサー工程入力!$I$6:$I$65,"&gt;0")+SUMIFS(⑬計量工程入力!$M$6:$M$65,⑬計量工程入力!$S$6:$S$65,$J331,⑬計量工程入力!$I$6:$I$65,"&gt;0")+SUMIFS(⑭手動工程入力!$M$6:$M$47,⑭手動工程入力!$S$6:$S$47,$J331,⑭手動工程入力!$I$6:$I$47,"&gt;0"))</f>
        <v/>
      </c>
      <c r="M331" s="393">
        <f>IF($J331="",0,SUMIFS(②釜工程入力!$I$5:$I$117,②釜工程入力!$S$5:$S$117,$J331,②釜工程入力!$I$5:$I$117,"&gt;0",②釜工程入力!$M$5:$M$117,"&gt;0")+SUMIFS(③スチコン工程入力!$I$5:$I$152,③スチコン工程入力!$S$5:$S$152,$J331,③スチコン工程入力!$I$5:$I$152,"&gt;0",③スチコン工程入力!$M$5:$M$152,"&gt;0")+SUMIFS(⑪ZEN工程入力!$I$6:$I$35,⑪ZEN工程入力!$S$6:$S$35,$J331,⑪ZEN工程入力!$I$6:$I$35,"&gt;0",⑪ZEN工程入力!$M$6:$M$35,"&gt;0")+SUMIFS(⑫ミキサー工程入力!$I$6:$I$65,⑫ミキサー工程入力!$S$6:$S$65,$J331,⑫ミキサー工程入力!$I$6:$I$65,"&gt;0",⑫ミキサー工程入力!$M$6:$M$65,"&gt;0")+SUMIFS(⑬計量工程入力!$I$6:$I$65,⑬計量工程入力!$S$6:$S$65,$J331,⑬計量工程入力!$I$6:$I$65,"&gt;0",⑬計量工程入力!$M$6:$M$65,"&gt;0")+SUMIFS(⑭手動工程入力!$I$6:$I$47,⑭手動工程入力!$S$6:$S$47,$J331,⑭手動工程入力!$I$6:$I$47,"&gt;0",⑭手動工程入力!$M$6:$M$47,"&gt;0"))</f>
        <v/>
      </c>
      <c r="N331" s="393">
        <f>IF($J331="",0,SUMIFS(②釜工程入力!$M$5:$M$117,②釜工程入力!$S$5:$S$117,$J331,②釜工程入力!$J$5:$J$117,"&gt;0")-SUMIFS(②釜工程入力!$M$5:$M$117,②釜工程入力!$S$5:$S$117,$J331,②釜工程入力!$J$5:$J$117,"&gt;0",②釜工程入力!$I$5:$I$117,"&gt;0")+SUMIFS(③スチコン工程入力!$M$5:$M$152,③スチコン工程入力!$S$5:$S$152,$J331,③スチコン工程入力!$J$5:$J$152,"&gt;0")-SUMIFS(③スチコン工程入力!$M$5:$M$152,③スチコン工程入力!$S$5:$S$152,$J331,③スチコン工程入力!$J$5:$J$152,"&gt;0",③スチコン工程入力!$I$5:$I$152,"&gt;0")+SUMIFS(⑪ZEN工程入力!$M$6:$M$35,⑪ZEN工程入力!$S$6:$S$35,$J331,⑪ZEN工程入力!$J$6:$J$35,"&gt;0")-SUMIFS(⑪ZEN工程入力!$M$6:$M$35,⑪ZEN工程入力!$S$6:$S$35,$J331,⑪ZEN工程入力!$J$6:$J$35,"&gt;0",⑪ZEN工程入力!$I$6:$I$35,"&gt;0")+SUMIFS(⑫ミキサー工程入力!$M$6:$M$65,⑫ミキサー工程入力!$S$6:$S$65,$J331,⑫ミキサー工程入力!$J$6:$J$65,"&gt;0")-SUMIFS(⑫ミキサー工程入力!$M$6:$M$65,⑫ミキサー工程入力!$S$6:$S$65,$J331,⑫ミキサー工程入力!$J$6:$J$65,"&gt;0",⑫ミキサー工程入力!$I$6:$I$65,"&gt;0")+SUMIFS(⑬計量工程入力!$M$6:$M$65,⑬計量工程入力!$S$6:$S$65,$J331,⑬計量工程入力!$J$6:$J$65,"&gt;0")-SUMIFS(⑬計量工程入力!$M$6:$M$65,⑬計量工程入力!$S$6:$S$65,$J331,⑬計量工程入力!$J$6:$J$65,"&gt;0",⑬計量工程入力!$I$6:$I$65,"&gt;0")+SUMIFS(⑭手動工程入力!$M$6:$M$47,⑭手動工程入力!$S$6:$S$47,$J331,⑭手動工程入力!$J$6:$J$47,"&gt;0")-SUMIFS(⑭手動工程入力!$M$6:$M$47,⑭手動工程入力!$S$6:$S$47,$J331,⑭手動工程入力!$J$6:$J$47,"&gt;0",⑭手動工程入力!$I$6:$I$47,"&gt;0"))</f>
        <v/>
      </c>
      <c r="O331" s="393">
        <f>IF($J331="",0,SUMIFS(②釜工程入力!$J$5:$J$117,②釜工程入力!$S$5:$S$117,$J331,②釜工程入力!$J$5:$J$117,"&gt;0",②釜工程入力!$M$5:$M$117,"&gt;0")-SUMIFS(②釜工程入力!$J$5:$J$117,②釜工程入力!$S$5:$S$117,$J331,②釜工程入力!$J$5:$J$117,"&gt;0",②釜工程入力!$I$5:$I$117,"&gt;0",②釜工程入力!$M$5:$M$117,"&gt;0")+SUMIFS(③スチコン工程入力!$J$5:$J$152,③スチコン工程入力!$S$5:$S$152,$J331,③スチコン工程入力!$J$5:$J$152,"&gt;0",③スチコン工程入力!$M$5:$M$152,"&gt;0")-SUMIFS(③スチコン工程入力!$J$5:$J$152,③スチコン工程入力!$S$5:$S$152,$J331,③スチコン工程入力!$J$5:$J$152,"&gt;0",③スチコン工程入力!$I$5:$I$152,"&gt;0",③スチコン工程入力!$M$5:$M$152,"&gt;0")+SUMIFS(⑪ZEN工程入力!$J$6:$J$35,⑪ZEN工程入力!$S$6:$S$35,$J331,⑪ZEN工程入力!$J$6:$J$35,"&gt;0",⑪ZEN工程入力!$M$6:$M$35,"&gt;0")-SUMIFS(⑪ZEN工程入力!$J$6:$J$35,⑪ZEN工程入力!$S$6:$S$35,$J331,⑪ZEN工程入力!$J$6:$J$35,"&gt;0",⑪ZEN工程入力!$I$6:$I$35,"&gt;0",⑪ZEN工程入力!$M$6:$M$35,"&gt;0")+SUMIFS(⑫ミキサー工程入力!$J$6:$J$65,⑫ミキサー工程入力!$S$6:$S$65,$J331,⑫ミキサー工程入力!$J$6:$J$65,"&gt;0",⑫ミキサー工程入力!$M$6:$M$65,"&gt;0")-SUMIFS(⑫ミキサー工程入力!$J$6:$J$65,⑫ミキサー工程入力!$S$6:$S$65,$J331,⑫ミキサー工程入力!$J$6:$J$65,"&gt;0",⑫ミキサー工程入力!$I$6:$I$65,"&gt;0",⑫ミキサー工程入力!$M$6:$M$65,"&gt;0")+SUMIFS(⑬計量工程入力!$J$6:$J$65,⑬計量工程入力!$S$6:$S$65,$J331,⑬計量工程入力!$J$6:$J$65,"&gt;0",⑬計量工程入力!$M$6:$M$65,"&gt;0")-SUMIFS(⑬計量工程入力!$J$6:$J$65,⑬計量工程入力!$S$6:$S$65,$J331,⑬計量工程入力!$J$6:$J$65,"&gt;0",⑬計量工程入力!$I$6:$I$65,"&gt;0",⑬計量工程入力!$M$6:$M$65,"&gt;0")+SUMIFS(⑭手動工程入力!$J$6:$J$47,⑭手動工程入力!$S$6:$S$47,$J331,⑭手動工程入力!$J$6:$J$47,"&gt;0",⑭手動工程入力!$M$6:$M$47,"&gt;0")-SUMIFS(⑭手動工程入力!$J$6:$J$47,⑭手動工程入力!$S$6:$S$47,$J331,⑭手動工程入力!$J$6:$J$47,"&gt;0",⑭手動工程入力!$I$6:$I$47,"&gt;0",⑭手動工程入力!$M$6:$M$47,"&gt;0"))</f>
        <v/>
      </c>
      <c r="P331" s="392" t="inlineStr">
        <is>
          <t>中間品リスト</t>
        </is>
      </c>
    </row>
    <row r="332">
      <c r="A332" s="392" t="n">
        <v>328</v>
      </c>
      <c r="B332" s="392" t="n"/>
      <c r="C332" s="392" t="n"/>
      <c r="D332" s="409" t="n"/>
      <c r="E332" s="392" t="n"/>
      <c r="F332" s="394" t="n"/>
      <c r="G332" s="392" t="n"/>
      <c r="H332" s="604">
        <f>IFERROR(IF(AND($K332&gt;0,ISNUMBER(IF(OR($D332="g",$D332="ｇ"),IF($M332&gt;0,$L332/$M332/1000,""),IF($D332="kg",IF($M332&gt;0,$L332/$M332,""),IF($D332="",IF($M332&gt;0,$L332/$M332/1000,IF($O332&gt;0,$N332/$O332,"")),IF($O332&gt;0,$N332/$O332,"")))))),IF(OR($D332="g",$D332="ｇ"),IF($M332&gt;0,$L332/$M332/1000,""),IF($D332="kg",IF($M332&gt;0,$L332/$M332,""),IF($D332="",IF($M332&gt;0,$L332/$M332/1000,IF($O332&gt;0,$N332/$O332,"")),IF($O332&gt;0,$N332/$O332,"")))),IF($F332="",IF(OR($E332="",$E332="⑩盛付梱包工程入力"),"",IF(OR($D332="g",$D332="ｇ"),INDEX(⑰工程労務費一覧!$N$5:$N$11,MATCH($E332,⑰工程労務費一覧!$K$5:$K$11,0))/1000,IF($D332="kg",INDEX(⑰工程労務費一覧!$N$5:$N$11,MATCH($E332,⑰工程労務費一覧!$K$5:$K$11,0)),IF(OR($D332="個",$D332="切",$D332="本",$D332="枚",$D332="尾"),IF($E332="⑬計量工程入力","",INDEX(⑰工程労務費一覧!$P$5:$P$11,MATCH($E332,⑰工程労務費一覧!$K$5:$K$11,0))),IF(AND($D332="",OR($E332="②釜工程入力",$E332="③スチコン工程入力")),INDEX(⑰工程労務費一覧!$N$5:$N$11,MATCH($E332,⑰工程労務費一覧!$K$5:$K$11,0))/1000,""))))),IF(OR($D332="g",$D332="ｇ"),INDEX(⑰工程労務費一覧!$H$5:$H$753,MATCH($F332,⑰工程労務費一覧!$D$5:$D$753,0))/1000,IF($D332="kg",INDEX(⑰工程労務費一覧!$H$5:$H$753,MATCH($F332,⑰工程労務費一覧!$D$5:$D$753,0)),INDEX(⑰工程労務費一覧!$I$5:$I$753,MATCH($F332,⑰工程労務費一覧!$D$5:$D$753,0)))))),"")</f>
        <v/>
      </c>
      <c r="I332" s="392">
        <f>IF($K332&gt;0,IF(ISNUMBER(IF(OR($D332="g",$D332="ｇ"),IF($M332&gt;0,$L332/$M332/1000,""),IF($D332="kg",IF($M332&gt;0,$L332/$M332,""),IF($D332="",IF($M332&gt;0,$L332/$M332/1000,IF($O332&gt;0,$N332/$O332,"")),IF($O332&gt;0,$N332/$O332,""))))),IF($D332="",IF($M332&gt;0,"◎ JAN紐づけ(g扱い)","◎ JAN紐づけ(個扱い)"),"◎ JAN紐づけ"),"△ JAN紐づけ済・実績不足→仮計算"),IF($F332="",IF(ISNUMBER($H332),IF($D332="","⑤ 工程平均で仮計算(g扱い)","⑤ 工程平均で仮計算"),IF($E332="⑩盛付梱包工程入力","⑥ 盛り込み(⑳F列で計上)",IF(AND($E332="⑬計量工程入力",OR($D332="個",$D332="切",$D332="本",$D332="枚",$D332="尾")),"① 未紐づけ(カット個単位は仮単価なし)","① 未紐づけ"))),IF(NOT(ISNUMBER($H332)),"② 工程側に単価なし",IF($D332="","③ 単位未設定(個で計算)","④ OK"))))</f>
        <v/>
      </c>
      <c r="J332" s="399">
        <f>IFERROR(LOOKUP(2,1/((中間品リスト!$F$2:$F$1299=$B332)*(中間品リスト!$E$2:$E$1299&lt;&gt;"-")*(中間品リスト!$E$2:$E$1299&lt;&gt;"")),中間品リスト!$E$2:$E$1299),"")</f>
        <v/>
      </c>
      <c r="K332" s="400">
        <f>IF($J332="",0,COUNTIF(②釜工程入力!$S$5:$S$117,$J332)+COUNTIF(③スチコン工程入力!$S$5:$S$152,$J332)+COUNTIF(⑪ZEN工程入力!$S$6:$S$35,$J332)+COUNTIF(⑫ミキサー工程入力!$S$6:$S$65,$J332)+COUNTIF(⑬計量工程入力!$S$6:$S$65,$J332)+COUNTIF(⑭手動工程入力!$S$6:$S$47,$J332))</f>
        <v/>
      </c>
      <c r="L332" s="393">
        <f>IF($J332="",0,SUMIFS(②釜工程入力!$M$5:$M$117,②釜工程入力!$S$5:$S$117,$J332,②釜工程入力!$I$5:$I$117,"&gt;0")+SUMIFS(③スチコン工程入力!$M$5:$M$152,③スチコン工程入力!$S$5:$S$152,$J332,③スチコン工程入力!$I$5:$I$152,"&gt;0")+SUMIFS(⑪ZEN工程入力!$M$6:$M$35,⑪ZEN工程入力!$S$6:$S$35,$J332,⑪ZEN工程入力!$I$6:$I$35,"&gt;0")+SUMIFS(⑫ミキサー工程入力!$M$6:$M$65,⑫ミキサー工程入力!$S$6:$S$65,$J332,⑫ミキサー工程入力!$I$6:$I$65,"&gt;0")+SUMIFS(⑬計量工程入力!$M$6:$M$65,⑬計量工程入力!$S$6:$S$65,$J332,⑬計量工程入力!$I$6:$I$65,"&gt;0")+SUMIFS(⑭手動工程入力!$M$6:$M$47,⑭手動工程入力!$S$6:$S$47,$J332,⑭手動工程入力!$I$6:$I$47,"&gt;0"))</f>
        <v/>
      </c>
      <c r="M332" s="393">
        <f>IF($J332="",0,SUMIFS(②釜工程入力!$I$5:$I$117,②釜工程入力!$S$5:$S$117,$J332,②釜工程入力!$I$5:$I$117,"&gt;0",②釜工程入力!$M$5:$M$117,"&gt;0")+SUMIFS(③スチコン工程入力!$I$5:$I$152,③スチコン工程入力!$S$5:$S$152,$J332,③スチコン工程入力!$I$5:$I$152,"&gt;0",③スチコン工程入力!$M$5:$M$152,"&gt;0")+SUMIFS(⑪ZEN工程入力!$I$6:$I$35,⑪ZEN工程入力!$S$6:$S$35,$J332,⑪ZEN工程入力!$I$6:$I$35,"&gt;0",⑪ZEN工程入力!$M$6:$M$35,"&gt;0")+SUMIFS(⑫ミキサー工程入力!$I$6:$I$65,⑫ミキサー工程入力!$S$6:$S$65,$J332,⑫ミキサー工程入力!$I$6:$I$65,"&gt;0",⑫ミキサー工程入力!$M$6:$M$65,"&gt;0")+SUMIFS(⑬計量工程入力!$I$6:$I$65,⑬計量工程入力!$S$6:$S$65,$J332,⑬計量工程入力!$I$6:$I$65,"&gt;0",⑬計量工程入力!$M$6:$M$65,"&gt;0")+SUMIFS(⑭手動工程入力!$I$6:$I$47,⑭手動工程入力!$S$6:$S$47,$J332,⑭手動工程入力!$I$6:$I$47,"&gt;0",⑭手動工程入力!$M$6:$M$47,"&gt;0"))</f>
        <v/>
      </c>
      <c r="N332" s="393">
        <f>IF($J332="",0,SUMIFS(②釜工程入力!$M$5:$M$117,②釜工程入力!$S$5:$S$117,$J332,②釜工程入力!$J$5:$J$117,"&gt;0")-SUMIFS(②釜工程入力!$M$5:$M$117,②釜工程入力!$S$5:$S$117,$J332,②釜工程入力!$J$5:$J$117,"&gt;0",②釜工程入力!$I$5:$I$117,"&gt;0")+SUMIFS(③スチコン工程入力!$M$5:$M$152,③スチコン工程入力!$S$5:$S$152,$J332,③スチコン工程入力!$J$5:$J$152,"&gt;0")-SUMIFS(③スチコン工程入力!$M$5:$M$152,③スチコン工程入力!$S$5:$S$152,$J332,③スチコン工程入力!$J$5:$J$152,"&gt;0",③スチコン工程入力!$I$5:$I$152,"&gt;0")+SUMIFS(⑪ZEN工程入力!$M$6:$M$35,⑪ZEN工程入力!$S$6:$S$35,$J332,⑪ZEN工程入力!$J$6:$J$35,"&gt;0")-SUMIFS(⑪ZEN工程入力!$M$6:$M$35,⑪ZEN工程入力!$S$6:$S$35,$J332,⑪ZEN工程入力!$J$6:$J$35,"&gt;0",⑪ZEN工程入力!$I$6:$I$35,"&gt;0")+SUMIFS(⑫ミキサー工程入力!$M$6:$M$65,⑫ミキサー工程入力!$S$6:$S$65,$J332,⑫ミキサー工程入力!$J$6:$J$65,"&gt;0")-SUMIFS(⑫ミキサー工程入力!$M$6:$M$65,⑫ミキサー工程入力!$S$6:$S$65,$J332,⑫ミキサー工程入力!$J$6:$J$65,"&gt;0",⑫ミキサー工程入力!$I$6:$I$65,"&gt;0")+SUMIFS(⑬計量工程入力!$M$6:$M$65,⑬計量工程入力!$S$6:$S$65,$J332,⑬計量工程入力!$J$6:$J$65,"&gt;0")-SUMIFS(⑬計量工程入力!$M$6:$M$65,⑬計量工程入力!$S$6:$S$65,$J332,⑬計量工程入力!$J$6:$J$65,"&gt;0",⑬計量工程入力!$I$6:$I$65,"&gt;0")+SUMIFS(⑭手動工程入力!$M$6:$M$47,⑭手動工程入力!$S$6:$S$47,$J332,⑭手動工程入力!$J$6:$J$47,"&gt;0")-SUMIFS(⑭手動工程入力!$M$6:$M$47,⑭手動工程入力!$S$6:$S$47,$J332,⑭手動工程入力!$J$6:$J$47,"&gt;0",⑭手動工程入力!$I$6:$I$47,"&gt;0"))</f>
        <v/>
      </c>
      <c r="O332" s="393">
        <f>IF($J332="",0,SUMIFS(②釜工程入力!$J$5:$J$117,②釜工程入力!$S$5:$S$117,$J332,②釜工程入力!$J$5:$J$117,"&gt;0",②釜工程入力!$M$5:$M$117,"&gt;0")-SUMIFS(②釜工程入力!$J$5:$J$117,②釜工程入力!$S$5:$S$117,$J332,②釜工程入力!$J$5:$J$117,"&gt;0",②釜工程入力!$I$5:$I$117,"&gt;0",②釜工程入力!$M$5:$M$117,"&gt;0")+SUMIFS(③スチコン工程入力!$J$5:$J$152,③スチコン工程入力!$S$5:$S$152,$J332,③スチコン工程入力!$J$5:$J$152,"&gt;0",③スチコン工程入力!$M$5:$M$152,"&gt;0")-SUMIFS(③スチコン工程入力!$J$5:$J$152,③スチコン工程入力!$S$5:$S$152,$J332,③スチコン工程入力!$J$5:$J$152,"&gt;0",③スチコン工程入力!$I$5:$I$152,"&gt;0",③スチコン工程入力!$M$5:$M$152,"&gt;0")+SUMIFS(⑪ZEN工程入力!$J$6:$J$35,⑪ZEN工程入力!$S$6:$S$35,$J332,⑪ZEN工程入力!$J$6:$J$35,"&gt;0",⑪ZEN工程入力!$M$6:$M$35,"&gt;0")-SUMIFS(⑪ZEN工程入力!$J$6:$J$35,⑪ZEN工程入力!$S$6:$S$35,$J332,⑪ZEN工程入力!$J$6:$J$35,"&gt;0",⑪ZEN工程入力!$I$6:$I$35,"&gt;0",⑪ZEN工程入力!$M$6:$M$35,"&gt;0")+SUMIFS(⑫ミキサー工程入力!$J$6:$J$65,⑫ミキサー工程入力!$S$6:$S$65,$J332,⑫ミキサー工程入力!$J$6:$J$65,"&gt;0",⑫ミキサー工程入力!$M$6:$M$65,"&gt;0")-SUMIFS(⑫ミキサー工程入力!$J$6:$J$65,⑫ミキサー工程入力!$S$6:$S$65,$J332,⑫ミキサー工程入力!$J$6:$J$65,"&gt;0",⑫ミキサー工程入力!$I$6:$I$65,"&gt;0",⑫ミキサー工程入力!$M$6:$M$65,"&gt;0")+SUMIFS(⑬計量工程入力!$J$6:$J$65,⑬計量工程入力!$S$6:$S$65,$J332,⑬計量工程入力!$J$6:$J$65,"&gt;0",⑬計量工程入力!$M$6:$M$65,"&gt;0")-SUMIFS(⑬計量工程入力!$J$6:$J$65,⑬計量工程入力!$S$6:$S$65,$J332,⑬計量工程入力!$J$6:$J$65,"&gt;0",⑬計量工程入力!$I$6:$I$65,"&gt;0",⑬計量工程入力!$M$6:$M$65,"&gt;0")+SUMIFS(⑭手動工程入力!$J$6:$J$47,⑭手動工程入力!$S$6:$S$47,$J332,⑭手動工程入力!$J$6:$J$47,"&gt;0",⑭手動工程入力!$M$6:$M$47,"&gt;0")-SUMIFS(⑭手動工程入力!$J$6:$J$47,⑭手動工程入力!$S$6:$S$47,$J332,⑭手動工程入力!$J$6:$J$47,"&gt;0",⑭手動工程入力!$I$6:$I$47,"&gt;0",⑭手動工程入力!$M$6:$M$47,"&gt;0"))</f>
        <v/>
      </c>
      <c r="P332" s="392" t="inlineStr">
        <is>
          <t>中間品リスト</t>
        </is>
      </c>
    </row>
    <row r="333">
      <c r="A333" s="392" t="n">
        <v>329</v>
      </c>
      <c r="B333" s="392" t="n"/>
      <c r="C333" s="392" t="n"/>
      <c r="D333" s="409" t="n"/>
      <c r="E333" s="392" t="n"/>
      <c r="F333" s="394" t="n"/>
      <c r="G333" s="392" t="n"/>
      <c r="H333" s="604">
        <f>IFERROR(IF(AND($K333&gt;0,ISNUMBER(IF(OR($D333="g",$D333="ｇ"),IF($M333&gt;0,$L333/$M333/1000,""),IF($D333="kg",IF($M333&gt;0,$L333/$M333,""),IF($D333="",IF($M333&gt;0,$L333/$M333/1000,IF($O333&gt;0,$N333/$O333,"")),IF($O333&gt;0,$N333/$O333,"")))))),IF(OR($D333="g",$D333="ｇ"),IF($M333&gt;0,$L333/$M333/1000,""),IF($D333="kg",IF($M333&gt;0,$L333/$M333,""),IF($D333="",IF($M333&gt;0,$L333/$M333/1000,IF($O333&gt;0,$N333/$O333,"")),IF($O333&gt;0,$N333/$O333,"")))),IF($F333="",IF(OR($E333="",$E333="⑩盛付梱包工程入力"),"",IF(OR($D333="g",$D333="ｇ"),INDEX(⑰工程労務費一覧!$N$5:$N$11,MATCH($E333,⑰工程労務費一覧!$K$5:$K$11,0))/1000,IF($D333="kg",INDEX(⑰工程労務費一覧!$N$5:$N$11,MATCH($E333,⑰工程労務費一覧!$K$5:$K$11,0)),IF(OR($D333="個",$D333="切",$D333="本",$D333="枚",$D333="尾"),IF($E333="⑬計量工程入力","",INDEX(⑰工程労務費一覧!$P$5:$P$11,MATCH($E333,⑰工程労務費一覧!$K$5:$K$11,0))),IF(AND($D333="",OR($E333="②釜工程入力",$E333="③スチコン工程入力")),INDEX(⑰工程労務費一覧!$N$5:$N$11,MATCH($E333,⑰工程労務費一覧!$K$5:$K$11,0))/1000,""))))),IF(OR($D333="g",$D333="ｇ"),INDEX(⑰工程労務費一覧!$H$5:$H$753,MATCH($F333,⑰工程労務費一覧!$D$5:$D$753,0))/1000,IF($D333="kg",INDEX(⑰工程労務費一覧!$H$5:$H$753,MATCH($F333,⑰工程労務費一覧!$D$5:$D$753,0)),INDEX(⑰工程労務費一覧!$I$5:$I$753,MATCH($F333,⑰工程労務費一覧!$D$5:$D$753,0)))))),"")</f>
        <v/>
      </c>
      <c r="I333" s="392">
        <f>IF($K333&gt;0,IF(ISNUMBER(IF(OR($D333="g",$D333="ｇ"),IF($M333&gt;0,$L333/$M333/1000,""),IF($D333="kg",IF($M333&gt;0,$L333/$M333,""),IF($D333="",IF($M333&gt;0,$L333/$M333/1000,IF($O333&gt;0,$N333/$O333,"")),IF($O333&gt;0,$N333/$O333,""))))),IF($D333="",IF($M333&gt;0,"◎ JAN紐づけ(g扱い)","◎ JAN紐づけ(個扱い)"),"◎ JAN紐づけ"),"△ JAN紐づけ済・実績不足→仮計算"),IF($F333="",IF(ISNUMBER($H333),IF($D333="","⑤ 工程平均で仮計算(g扱い)","⑤ 工程平均で仮計算"),IF($E333="⑩盛付梱包工程入力","⑥ 盛り込み(⑳F列で計上)",IF(AND($E333="⑬計量工程入力",OR($D333="個",$D333="切",$D333="本",$D333="枚",$D333="尾")),"① 未紐づけ(カット個単位は仮単価なし)","① 未紐づけ"))),IF(NOT(ISNUMBER($H333)),"② 工程側に単価なし",IF($D333="","③ 単位未設定(個で計算)","④ OK"))))</f>
        <v/>
      </c>
      <c r="J333" s="399">
        <f>IFERROR(LOOKUP(2,1/((中間品リスト!$F$2:$F$1299=$B333)*(中間品リスト!$E$2:$E$1299&lt;&gt;"-")*(中間品リスト!$E$2:$E$1299&lt;&gt;"")),中間品リスト!$E$2:$E$1299),"")</f>
        <v/>
      </c>
      <c r="K333" s="400">
        <f>IF($J333="",0,COUNTIF(②釜工程入力!$S$5:$S$117,$J333)+COUNTIF(③スチコン工程入力!$S$5:$S$152,$J333)+COUNTIF(⑪ZEN工程入力!$S$6:$S$35,$J333)+COUNTIF(⑫ミキサー工程入力!$S$6:$S$65,$J333)+COUNTIF(⑬計量工程入力!$S$6:$S$65,$J333)+COUNTIF(⑭手動工程入力!$S$6:$S$47,$J333))</f>
        <v/>
      </c>
      <c r="L333" s="393">
        <f>IF($J333="",0,SUMIFS(②釜工程入力!$M$5:$M$117,②釜工程入力!$S$5:$S$117,$J333,②釜工程入力!$I$5:$I$117,"&gt;0")+SUMIFS(③スチコン工程入力!$M$5:$M$152,③スチコン工程入力!$S$5:$S$152,$J333,③スチコン工程入力!$I$5:$I$152,"&gt;0")+SUMIFS(⑪ZEN工程入力!$M$6:$M$35,⑪ZEN工程入力!$S$6:$S$35,$J333,⑪ZEN工程入力!$I$6:$I$35,"&gt;0")+SUMIFS(⑫ミキサー工程入力!$M$6:$M$65,⑫ミキサー工程入力!$S$6:$S$65,$J333,⑫ミキサー工程入力!$I$6:$I$65,"&gt;0")+SUMIFS(⑬計量工程入力!$M$6:$M$65,⑬計量工程入力!$S$6:$S$65,$J333,⑬計量工程入力!$I$6:$I$65,"&gt;0")+SUMIFS(⑭手動工程入力!$M$6:$M$47,⑭手動工程入力!$S$6:$S$47,$J333,⑭手動工程入力!$I$6:$I$47,"&gt;0"))</f>
        <v/>
      </c>
      <c r="M333" s="393">
        <f>IF($J333="",0,SUMIFS(②釜工程入力!$I$5:$I$117,②釜工程入力!$S$5:$S$117,$J333,②釜工程入力!$I$5:$I$117,"&gt;0",②釜工程入力!$M$5:$M$117,"&gt;0")+SUMIFS(③スチコン工程入力!$I$5:$I$152,③スチコン工程入力!$S$5:$S$152,$J333,③スチコン工程入力!$I$5:$I$152,"&gt;0",③スチコン工程入力!$M$5:$M$152,"&gt;0")+SUMIFS(⑪ZEN工程入力!$I$6:$I$35,⑪ZEN工程入力!$S$6:$S$35,$J333,⑪ZEN工程入力!$I$6:$I$35,"&gt;0",⑪ZEN工程入力!$M$6:$M$35,"&gt;0")+SUMIFS(⑫ミキサー工程入力!$I$6:$I$65,⑫ミキサー工程入力!$S$6:$S$65,$J333,⑫ミキサー工程入力!$I$6:$I$65,"&gt;0",⑫ミキサー工程入力!$M$6:$M$65,"&gt;0")+SUMIFS(⑬計量工程入力!$I$6:$I$65,⑬計量工程入力!$S$6:$S$65,$J333,⑬計量工程入力!$I$6:$I$65,"&gt;0",⑬計量工程入力!$M$6:$M$65,"&gt;0")+SUMIFS(⑭手動工程入力!$I$6:$I$47,⑭手動工程入力!$S$6:$S$47,$J333,⑭手動工程入力!$I$6:$I$47,"&gt;0",⑭手動工程入力!$M$6:$M$47,"&gt;0"))</f>
        <v/>
      </c>
      <c r="N333" s="393">
        <f>IF($J333="",0,SUMIFS(②釜工程入力!$M$5:$M$117,②釜工程入力!$S$5:$S$117,$J333,②釜工程入力!$J$5:$J$117,"&gt;0")-SUMIFS(②釜工程入力!$M$5:$M$117,②釜工程入力!$S$5:$S$117,$J333,②釜工程入力!$J$5:$J$117,"&gt;0",②釜工程入力!$I$5:$I$117,"&gt;0")+SUMIFS(③スチコン工程入力!$M$5:$M$152,③スチコン工程入力!$S$5:$S$152,$J333,③スチコン工程入力!$J$5:$J$152,"&gt;0")-SUMIFS(③スチコン工程入力!$M$5:$M$152,③スチコン工程入力!$S$5:$S$152,$J333,③スチコン工程入力!$J$5:$J$152,"&gt;0",③スチコン工程入力!$I$5:$I$152,"&gt;0")+SUMIFS(⑪ZEN工程入力!$M$6:$M$35,⑪ZEN工程入力!$S$6:$S$35,$J333,⑪ZEN工程入力!$J$6:$J$35,"&gt;0")-SUMIFS(⑪ZEN工程入力!$M$6:$M$35,⑪ZEN工程入力!$S$6:$S$35,$J333,⑪ZEN工程入力!$J$6:$J$35,"&gt;0",⑪ZEN工程入力!$I$6:$I$35,"&gt;0")+SUMIFS(⑫ミキサー工程入力!$M$6:$M$65,⑫ミキサー工程入力!$S$6:$S$65,$J333,⑫ミキサー工程入力!$J$6:$J$65,"&gt;0")-SUMIFS(⑫ミキサー工程入力!$M$6:$M$65,⑫ミキサー工程入力!$S$6:$S$65,$J333,⑫ミキサー工程入力!$J$6:$J$65,"&gt;0",⑫ミキサー工程入力!$I$6:$I$65,"&gt;0")+SUMIFS(⑬計量工程入力!$M$6:$M$65,⑬計量工程入力!$S$6:$S$65,$J333,⑬計量工程入力!$J$6:$J$65,"&gt;0")-SUMIFS(⑬計量工程入力!$M$6:$M$65,⑬計量工程入力!$S$6:$S$65,$J333,⑬計量工程入力!$J$6:$J$65,"&gt;0",⑬計量工程入力!$I$6:$I$65,"&gt;0")+SUMIFS(⑭手動工程入力!$M$6:$M$47,⑭手動工程入力!$S$6:$S$47,$J333,⑭手動工程入力!$J$6:$J$47,"&gt;0")-SUMIFS(⑭手動工程入力!$M$6:$M$47,⑭手動工程入力!$S$6:$S$47,$J333,⑭手動工程入力!$J$6:$J$47,"&gt;0",⑭手動工程入力!$I$6:$I$47,"&gt;0"))</f>
        <v/>
      </c>
      <c r="O333" s="393">
        <f>IF($J333="",0,SUMIFS(②釜工程入力!$J$5:$J$117,②釜工程入力!$S$5:$S$117,$J333,②釜工程入力!$J$5:$J$117,"&gt;0",②釜工程入力!$M$5:$M$117,"&gt;0")-SUMIFS(②釜工程入力!$J$5:$J$117,②釜工程入力!$S$5:$S$117,$J333,②釜工程入力!$J$5:$J$117,"&gt;0",②釜工程入力!$I$5:$I$117,"&gt;0",②釜工程入力!$M$5:$M$117,"&gt;0")+SUMIFS(③スチコン工程入力!$J$5:$J$152,③スチコン工程入力!$S$5:$S$152,$J333,③スチコン工程入力!$J$5:$J$152,"&gt;0",③スチコン工程入力!$M$5:$M$152,"&gt;0")-SUMIFS(③スチコン工程入力!$J$5:$J$152,③スチコン工程入力!$S$5:$S$152,$J333,③スチコン工程入力!$J$5:$J$152,"&gt;0",③スチコン工程入力!$I$5:$I$152,"&gt;0",③スチコン工程入力!$M$5:$M$152,"&gt;0")+SUMIFS(⑪ZEN工程入力!$J$6:$J$35,⑪ZEN工程入力!$S$6:$S$35,$J333,⑪ZEN工程入力!$J$6:$J$35,"&gt;0",⑪ZEN工程入力!$M$6:$M$35,"&gt;0")-SUMIFS(⑪ZEN工程入力!$J$6:$J$35,⑪ZEN工程入力!$S$6:$S$35,$J333,⑪ZEN工程入力!$J$6:$J$35,"&gt;0",⑪ZEN工程入力!$I$6:$I$35,"&gt;0",⑪ZEN工程入力!$M$6:$M$35,"&gt;0")+SUMIFS(⑫ミキサー工程入力!$J$6:$J$65,⑫ミキサー工程入力!$S$6:$S$65,$J333,⑫ミキサー工程入力!$J$6:$J$65,"&gt;0",⑫ミキサー工程入力!$M$6:$M$65,"&gt;0")-SUMIFS(⑫ミキサー工程入力!$J$6:$J$65,⑫ミキサー工程入力!$S$6:$S$65,$J333,⑫ミキサー工程入力!$J$6:$J$65,"&gt;0",⑫ミキサー工程入力!$I$6:$I$65,"&gt;0",⑫ミキサー工程入力!$M$6:$M$65,"&gt;0")+SUMIFS(⑬計量工程入力!$J$6:$J$65,⑬計量工程入力!$S$6:$S$65,$J333,⑬計量工程入力!$J$6:$J$65,"&gt;0",⑬計量工程入力!$M$6:$M$65,"&gt;0")-SUMIFS(⑬計量工程入力!$J$6:$J$65,⑬計量工程入力!$S$6:$S$65,$J333,⑬計量工程入力!$J$6:$J$65,"&gt;0",⑬計量工程入力!$I$6:$I$65,"&gt;0",⑬計量工程入力!$M$6:$M$65,"&gt;0")+SUMIFS(⑭手動工程入力!$J$6:$J$47,⑭手動工程入力!$S$6:$S$47,$J333,⑭手動工程入力!$J$6:$J$47,"&gt;0",⑭手動工程入力!$M$6:$M$47,"&gt;0")-SUMIFS(⑭手動工程入力!$J$6:$J$47,⑭手動工程入力!$S$6:$S$47,$J333,⑭手動工程入力!$J$6:$J$47,"&gt;0",⑭手動工程入力!$I$6:$I$47,"&gt;0",⑭手動工程入力!$M$6:$M$47,"&gt;0"))</f>
        <v/>
      </c>
      <c r="P333" s="392" t="inlineStr">
        <is>
          <t>中間品リスト</t>
        </is>
      </c>
    </row>
    <row r="334">
      <c r="A334" s="392" t="n">
        <v>330</v>
      </c>
      <c r="B334" s="392" t="n"/>
      <c r="C334" s="392" t="n"/>
      <c r="D334" s="409" t="n"/>
      <c r="E334" s="392" t="n"/>
      <c r="F334" s="394" t="n"/>
      <c r="G334" s="392" t="n"/>
      <c r="H334" s="604">
        <f>IFERROR(IF(AND($K334&gt;0,ISNUMBER(IF(OR($D334="g",$D334="ｇ"),IF($M334&gt;0,$L334/$M334/1000,""),IF($D334="kg",IF($M334&gt;0,$L334/$M334,""),IF($D334="",IF($M334&gt;0,$L334/$M334/1000,IF($O334&gt;0,$N334/$O334,"")),IF($O334&gt;0,$N334/$O334,"")))))),IF(OR($D334="g",$D334="ｇ"),IF($M334&gt;0,$L334/$M334/1000,""),IF($D334="kg",IF($M334&gt;0,$L334/$M334,""),IF($D334="",IF($M334&gt;0,$L334/$M334/1000,IF($O334&gt;0,$N334/$O334,"")),IF($O334&gt;0,$N334/$O334,"")))),IF($F334="",IF(OR($E334="",$E334="⑩盛付梱包工程入力"),"",IF(OR($D334="g",$D334="ｇ"),INDEX(⑰工程労務費一覧!$N$5:$N$11,MATCH($E334,⑰工程労務費一覧!$K$5:$K$11,0))/1000,IF($D334="kg",INDEX(⑰工程労務費一覧!$N$5:$N$11,MATCH($E334,⑰工程労務費一覧!$K$5:$K$11,0)),IF(OR($D334="個",$D334="切",$D334="本",$D334="枚",$D334="尾"),IF($E334="⑬計量工程入力","",INDEX(⑰工程労務費一覧!$P$5:$P$11,MATCH($E334,⑰工程労務費一覧!$K$5:$K$11,0))),IF(AND($D334="",OR($E334="②釜工程入力",$E334="③スチコン工程入力")),INDEX(⑰工程労務費一覧!$N$5:$N$11,MATCH($E334,⑰工程労務費一覧!$K$5:$K$11,0))/1000,""))))),IF(OR($D334="g",$D334="ｇ"),INDEX(⑰工程労務費一覧!$H$5:$H$753,MATCH($F334,⑰工程労務費一覧!$D$5:$D$753,0))/1000,IF($D334="kg",INDEX(⑰工程労務費一覧!$H$5:$H$753,MATCH($F334,⑰工程労務費一覧!$D$5:$D$753,0)),INDEX(⑰工程労務費一覧!$I$5:$I$753,MATCH($F334,⑰工程労務費一覧!$D$5:$D$753,0)))))),"")</f>
        <v/>
      </c>
      <c r="I334" s="392">
        <f>IF($K334&gt;0,IF(ISNUMBER(IF(OR($D334="g",$D334="ｇ"),IF($M334&gt;0,$L334/$M334/1000,""),IF($D334="kg",IF($M334&gt;0,$L334/$M334,""),IF($D334="",IF($M334&gt;0,$L334/$M334/1000,IF($O334&gt;0,$N334/$O334,"")),IF($O334&gt;0,$N334/$O334,""))))),IF($D334="",IF($M334&gt;0,"◎ JAN紐づけ(g扱い)","◎ JAN紐づけ(個扱い)"),"◎ JAN紐づけ"),"△ JAN紐づけ済・実績不足→仮計算"),IF($F334="",IF(ISNUMBER($H334),IF($D334="","⑤ 工程平均で仮計算(g扱い)","⑤ 工程平均で仮計算"),IF($E334="⑩盛付梱包工程入力","⑥ 盛り込み(⑳F列で計上)",IF(AND($E334="⑬計量工程入力",OR($D334="個",$D334="切",$D334="本",$D334="枚",$D334="尾")),"① 未紐づけ(カット個単位は仮単価なし)","① 未紐づけ"))),IF(NOT(ISNUMBER($H334)),"② 工程側に単価なし",IF($D334="","③ 単位未設定(個で計算)","④ OK"))))</f>
        <v/>
      </c>
      <c r="J334" s="399">
        <f>IFERROR(LOOKUP(2,1/((中間品リスト!$F$2:$F$1299=$B334)*(中間品リスト!$E$2:$E$1299&lt;&gt;"-")*(中間品リスト!$E$2:$E$1299&lt;&gt;"")),中間品リスト!$E$2:$E$1299),"")</f>
        <v/>
      </c>
      <c r="K334" s="400">
        <f>IF($J334="",0,COUNTIF(②釜工程入力!$S$5:$S$117,$J334)+COUNTIF(③スチコン工程入力!$S$5:$S$152,$J334)+COUNTIF(⑪ZEN工程入力!$S$6:$S$35,$J334)+COUNTIF(⑫ミキサー工程入力!$S$6:$S$65,$J334)+COUNTIF(⑬計量工程入力!$S$6:$S$65,$J334)+COUNTIF(⑭手動工程入力!$S$6:$S$47,$J334))</f>
        <v/>
      </c>
      <c r="L334" s="393">
        <f>IF($J334="",0,SUMIFS(②釜工程入力!$M$5:$M$117,②釜工程入力!$S$5:$S$117,$J334,②釜工程入力!$I$5:$I$117,"&gt;0")+SUMIFS(③スチコン工程入力!$M$5:$M$152,③スチコン工程入力!$S$5:$S$152,$J334,③スチコン工程入力!$I$5:$I$152,"&gt;0")+SUMIFS(⑪ZEN工程入力!$M$6:$M$35,⑪ZEN工程入力!$S$6:$S$35,$J334,⑪ZEN工程入力!$I$6:$I$35,"&gt;0")+SUMIFS(⑫ミキサー工程入力!$M$6:$M$65,⑫ミキサー工程入力!$S$6:$S$65,$J334,⑫ミキサー工程入力!$I$6:$I$65,"&gt;0")+SUMIFS(⑬計量工程入力!$M$6:$M$65,⑬計量工程入力!$S$6:$S$65,$J334,⑬計量工程入力!$I$6:$I$65,"&gt;0")+SUMIFS(⑭手動工程入力!$M$6:$M$47,⑭手動工程入力!$S$6:$S$47,$J334,⑭手動工程入力!$I$6:$I$47,"&gt;0"))</f>
        <v/>
      </c>
      <c r="M334" s="393">
        <f>IF($J334="",0,SUMIFS(②釜工程入力!$I$5:$I$117,②釜工程入力!$S$5:$S$117,$J334,②釜工程入力!$I$5:$I$117,"&gt;0",②釜工程入力!$M$5:$M$117,"&gt;0")+SUMIFS(③スチコン工程入力!$I$5:$I$152,③スチコン工程入力!$S$5:$S$152,$J334,③スチコン工程入力!$I$5:$I$152,"&gt;0",③スチコン工程入力!$M$5:$M$152,"&gt;0")+SUMIFS(⑪ZEN工程入力!$I$6:$I$35,⑪ZEN工程入力!$S$6:$S$35,$J334,⑪ZEN工程入力!$I$6:$I$35,"&gt;0",⑪ZEN工程入力!$M$6:$M$35,"&gt;0")+SUMIFS(⑫ミキサー工程入力!$I$6:$I$65,⑫ミキサー工程入力!$S$6:$S$65,$J334,⑫ミキサー工程入力!$I$6:$I$65,"&gt;0",⑫ミキサー工程入力!$M$6:$M$65,"&gt;0")+SUMIFS(⑬計量工程入力!$I$6:$I$65,⑬計量工程入力!$S$6:$S$65,$J334,⑬計量工程入力!$I$6:$I$65,"&gt;0",⑬計量工程入力!$M$6:$M$65,"&gt;0")+SUMIFS(⑭手動工程入力!$I$6:$I$47,⑭手動工程入力!$S$6:$S$47,$J334,⑭手動工程入力!$I$6:$I$47,"&gt;0",⑭手動工程入力!$M$6:$M$47,"&gt;0"))</f>
        <v/>
      </c>
      <c r="N334" s="393">
        <f>IF($J334="",0,SUMIFS(②釜工程入力!$M$5:$M$117,②釜工程入力!$S$5:$S$117,$J334,②釜工程入力!$J$5:$J$117,"&gt;0")-SUMIFS(②釜工程入力!$M$5:$M$117,②釜工程入力!$S$5:$S$117,$J334,②釜工程入力!$J$5:$J$117,"&gt;0",②釜工程入力!$I$5:$I$117,"&gt;0")+SUMIFS(③スチコン工程入力!$M$5:$M$152,③スチコン工程入力!$S$5:$S$152,$J334,③スチコン工程入力!$J$5:$J$152,"&gt;0")-SUMIFS(③スチコン工程入力!$M$5:$M$152,③スチコン工程入力!$S$5:$S$152,$J334,③スチコン工程入力!$J$5:$J$152,"&gt;0",③スチコン工程入力!$I$5:$I$152,"&gt;0")+SUMIFS(⑪ZEN工程入力!$M$6:$M$35,⑪ZEN工程入力!$S$6:$S$35,$J334,⑪ZEN工程入力!$J$6:$J$35,"&gt;0")-SUMIFS(⑪ZEN工程入力!$M$6:$M$35,⑪ZEN工程入力!$S$6:$S$35,$J334,⑪ZEN工程入力!$J$6:$J$35,"&gt;0",⑪ZEN工程入力!$I$6:$I$35,"&gt;0")+SUMIFS(⑫ミキサー工程入力!$M$6:$M$65,⑫ミキサー工程入力!$S$6:$S$65,$J334,⑫ミキサー工程入力!$J$6:$J$65,"&gt;0")-SUMIFS(⑫ミキサー工程入力!$M$6:$M$65,⑫ミキサー工程入力!$S$6:$S$65,$J334,⑫ミキサー工程入力!$J$6:$J$65,"&gt;0",⑫ミキサー工程入力!$I$6:$I$65,"&gt;0")+SUMIFS(⑬計量工程入力!$M$6:$M$65,⑬計量工程入力!$S$6:$S$65,$J334,⑬計量工程入力!$J$6:$J$65,"&gt;0")-SUMIFS(⑬計量工程入力!$M$6:$M$65,⑬計量工程入力!$S$6:$S$65,$J334,⑬計量工程入力!$J$6:$J$65,"&gt;0",⑬計量工程入力!$I$6:$I$65,"&gt;0")+SUMIFS(⑭手動工程入力!$M$6:$M$47,⑭手動工程入力!$S$6:$S$47,$J334,⑭手動工程入力!$J$6:$J$47,"&gt;0")-SUMIFS(⑭手動工程入力!$M$6:$M$47,⑭手動工程入力!$S$6:$S$47,$J334,⑭手動工程入力!$J$6:$J$47,"&gt;0",⑭手動工程入力!$I$6:$I$47,"&gt;0"))</f>
        <v/>
      </c>
      <c r="O334" s="393">
        <f>IF($J334="",0,SUMIFS(②釜工程入力!$J$5:$J$117,②釜工程入力!$S$5:$S$117,$J334,②釜工程入力!$J$5:$J$117,"&gt;0",②釜工程入力!$M$5:$M$117,"&gt;0")-SUMIFS(②釜工程入力!$J$5:$J$117,②釜工程入力!$S$5:$S$117,$J334,②釜工程入力!$J$5:$J$117,"&gt;0",②釜工程入力!$I$5:$I$117,"&gt;0",②釜工程入力!$M$5:$M$117,"&gt;0")+SUMIFS(③スチコン工程入力!$J$5:$J$152,③スチコン工程入力!$S$5:$S$152,$J334,③スチコン工程入力!$J$5:$J$152,"&gt;0",③スチコン工程入力!$M$5:$M$152,"&gt;0")-SUMIFS(③スチコン工程入力!$J$5:$J$152,③スチコン工程入力!$S$5:$S$152,$J334,③スチコン工程入力!$J$5:$J$152,"&gt;0",③スチコン工程入力!$I$5:$I$152,"&gt;0",③スチコン工程入力!$M$5:$M$152,"&gt;0")+SUMIFS(⑪ZEN工程入力!$J$6:$J$35,⑪ZEN工程入力!$S$6:$S$35,$J334,⑪ZEN工程入力!$J$6:$J$35,"&gt;0",⑪ZEN工程入力!$M$6:$M$35,"&gt;0")-SUMIFS(⑪ZEN工程入力!$J$6:$J$35,⑪ZEN工程入力!$S$6:$S$35,$J334,⑪ZEN工程入力!$J$6:$J$35,"&gt;0",⑪ZEN工程入力!$I$6:$I$35,"&gt;0",⑪ZEN工程入力!$M$6:$M$35,"&gt;0")+SUMIFS(⑫ミキサー工程入力!$J$6:$J$65,⑫ミキサー工程入力!$S$6:$S$65,$J334,⑫ミキサー工程入力!$J$6:$J$65,"&gt;0",⑫ミキサー工程入力!$M$6:$M$65,"&gt;0")-SUMIFS(⑫ミキサー工程入力!$J$6:$J$65,⑫ミキサー工程入力!$S$6:$S$65,$J334,⑫ミキサー工程入力!$J$6:$J$65,"&gt;0",⑫ミキサー工程入力!$I$6:$I$65,"&gt;0",⑫ミキサー工程入力!$M$6:$M$65,"&gt;0")+SUMIFS(⑬計量工程入力!$J$6:$J$65,⑬計量工程入力!$S$6:$S$65,$J334,⑬計量工程入力!$J$6:$J$65,"&gt;0",⑬計量工程入力!$M$6:$M$65,"&gt;0")-SUMIFS(⑬計量工程入力!$J$6:$J$65,⑬計量工程入力!$S$6:$S$65,$J334,⑬計量工程入力!$J$6:$J$65,"&gt;0",⑬計量工程入力!$I$6:$I$65,"&gt;0",⑬計量工程入力!$M$6:$M$65,"&gt;0")+SUMIFS(⑭手動工程入力!$J$6:$J$47,⑭手動工程入力!$S$6:$S$47,$J334,⑭手動工程入力!$J$6:$J$47,"&gt;0",⑭手動工程入力!$M$6:$M$47,"&gt;0")-SUMIFS(⑭手動工程入力!$J$6:$J$47,⑭手動工程入力!$S$6:$S$47,$J334,⑭手動工程入力!$J$6:$J$47,"&gt;0",⑭手動工程入力!$I$6:$I$47,"&gt;0",⑭手動工程入力!$M$6:$M$47,"&gt;0"))</f>
        <v/>
      </c>
      <c r="P334" s="392" t="inlineStr">
        <is>
          <t>中間品リスト</t>
        </is>
      </c>
    </row>
    <row r="335">
      <c r="A335" s="392" t="n">
        <v>331</v>
      </c>
      <c r="B335" s="392" t="n"/>
      <c r="C335" s="392" t="n"/>
      <c r="D335" s="409" t="n"/>
      <c r="E335" s="392" t="n"/>
      <c r="F335" s="394" t="n"/>
      <c r="G335" s="392" t="n"/>
      <c r="H335" s="604">
        <f>IFERROR(IF(AND($K335&gt;0,ISNUMBER(IF(OR($D335="g",$D335="ｇ"),IF($M335&gt;0,$L335/$M335/1000,""),IF($D335="kg",IF($M335&gt;0,$L335/$M335,""),IF($D335="",IF($M335&gt;0,$L335/$M335/1000,IF($O335&gt;0,$N335/$O335,"")),IF($O335&gt;0,$N335/$O335,"")))))),IF(OR($D335="g",$D335="ｇ"),IF($M335&gt;0,$L335/$M335/1000,""),IF($D335="kg",IF($M335&gt;0,$L335/$M335,""),IF($D335="",IF($M335&gt;0,$L335/$M335/1000,IF($O335&gt;0,$N335/$O335,"")),IF($O335&gt;0,$N335/$O335,"")))),IF($F335="",IF(OR($E335="",$E335="⑩盛付梱包工程入力"),"",IF(OR($D335="g",$D335="ｇ"),INDEX(⑰工程労務費一覧!$N$5:$N$11,MATCH($E335,⑰工程労務費一覧!$K$5:$K$11,0))/1000,IF($D335="kg",INDEX(⑰工程労務費一覧!$N$5:$N$11,MATCH($E335,⑰工程労務費一覧!$K$5:$K$11,0)),IF(OR($D335="個",$D335="切",$D335="本",$D335="枚",$D335="尾"),IF($E335="⑬計量工程入力","",INDEX(⑰工程労務費一覧!$P$5:$P$11,MATCH($E335,⑰工程労務費一覧!$K$5:$K$11,0))),IF(AND($D335="",OR($E335="②釜工程入力",$E335="③スチコン工程入力")),INDEX(⑰工程労務費一覧!$N$5:$N$11,MATCH($E335,⑰工程労務費一覧!$K$5:$K$11,0))/1000,""))))),IF(OR($D335="g",$D335="ｇ"),INDEX(⑰工程労務費一覧!$H$5:$H$753,MATCH($F335,⑰工程労務費一覧!$D$5:$D$753,0))/1000,IF($D335="kg",INDEX(⑰工程労務費一覧!$H$5:$H$753,MATCH($F335,⑰工程労務費一覧!$D$5:$D$753,0)),INDEX(⑰工程労務費一覧!$I$5:$I$753,MATCH($F335,⑰工程労務費一覧!$D$5:$D$753,0)))))),"")</f>
        <v/>
      </c>
      <c r="I335" s="392">
        <f>IF($K335&gt;0,IF(ISNUMBER(IF(OR($D335="g",$D335="ｇ"),IF($M335&gt;0,$L335/$M335/1000,""),IF($D335="kg",IF($M335&gt;0,$L335/$M335,""),IF($D335="",IF($M335&gt;0,$L335/$M335/1000,IF($O335&gt;0,$N335/$O335,"")),IF($O335&gt;0,$N335/$O335,""))))),IF($D335="",IF($M335&gt;0,"◎ JAN紐づけ(g扱い)","◎ JAN紐づけ(個扱い)"),"◎ JAN紐づけ"),"△ JAN紐づけ済・実績不足→仮計算"),IF($F335="",IF(ISNUMBER($H335),IF($D335="","⑤ 工程平均で仮計算(g扱い)","⑤ 工程平均で仮計算"),IF($E335="⑩盛付梱包工程入力","⑥ 盛り込み(⑳F列で計上)",IF(AND($E335="⑬計量工程入力",OR($D335="個",$D335="切",$D335="本",$D335="枚",$D335="尾")),"① 未紐づけ(カット個単位は仮単価なし)","① 未紐づけ"))),IF(NOT(ISNUMBER($H335)),"② 工程側に単価なし",IF($D335="","③ 単位未設定(個で計算)","④ OK"))))</f>
        <v/>
      </c>
      <c r="J335" s="399">
        <f>IFERROR(LOOKUP(2,1/((中間品リスト!$F$2:$F$1299=$B335)*(中間品リスト!$E$2:$E$1299&lt;&gt;"-")*(中間品リスト!$E$2:$E$1299&lt;&gt;"")),中間品リスト!$E$2:$E$1299),"")</f>
        <v/>
      </c>
      <c r="K335" s="400">
        <f>IF($J335="",0,COUNTIF(②釜工程入力!$S$5:$S$117,$J335)+COUNTIF(③スチコン工程入力!$S$5:$S$152,$J335)+COUNTIF(⑪ZEN工程入力!$S$6:$S$35,$J335)+COUNTIF(⑫ミキサー工程入力!$S$6:$S$65,$J335)+COUNTIF(⑬計量工程入力!$S$6:$S$65,$J335)+COUNTIF(⑭手動工程入力!$S$6:$S$47,$J335))</f>
        <v/>
      </c>
      <c r="L335" s="393">
        <f>IF($J335="",0,SUMIFS(②釜工程入力!$M$5:$M$117,②釜工程入力!$S$5:$S$117,$J335,②釜工程入力!$I$5:$I$117,"&gt;0")+SUMIFS(③スチコン工程入力!$M$5:$M$152,③スチコン工程入力!$S$5:$S$152,$J335,③スチコン工程入力!$I$5:$I$152,"&gt;0")+SUMIFS(⑪ZEN工程入力!$M$6:$M$35,⑪ZEN工程入力!$S$6:$S$35,$J335,⑪ZEN工程入力!$I$6:$I$35,"&gt;0")+SUMIFS(⑫ミキサー工程入力!$M$6:$M$65,⑫ミキサー工程入力!$S$6:$S$65,$J335,⑫ミキサー工程入力!$I$6:$I$65,"&gt;0")+SUMIFS(⑬計量工程入力!$M$6:$M$65,⑬計量工程入力!$S$6:$S$65,$J335,⑬計量工程入力!$I$6:$I$65,"&gt;0")+SUMIFS(⑭手動工程入力!$M$6:$M$47,⑭手動工程入力!$S$6:$S$47,$J335,⑭手動工程入力!$I$6:$I$47,"&gt;0"))</f>
        <v/>
      </c>
      <c r="M335" s="393">
        <f>IF($J335="",0,SUMIFS(②釜工程入力!$I$5:$I$117,②釜工程入力!$S$5:$S$117,$J335,②釜工程入力!$I$5:$I$117,"&gt;0",②釜工程入力!$M$5:$M$117,"&gt;0")+SUMIFS(③スチコン工程入力!$I$5:$I$152,③スチコン工程入力!$S$5:$S$152,$J335,③スチコン工程入力!$I$5:$I$152,"&gt;0",③スチコン工程入力!$M$5:$M$152,"&gt;0")+SUMIFS(⑪ZEN工程入力!$I$6:$I$35,⑪ZEN工程入力!$S$6:$S$35,$J335,⑪ZEN工程入力!$I$6:$I$35,"&gt;0",⑪ZEN工程入力!$M$6:$M$35,"&gt;0")+SUMIFS(⑫ミキサー工程入力!$I$6:$I$65,⑫ミキサー工程入力!$S$6:$S$65,$J335,⑫ミキサー工程入力!$I$6:$I$65,"&gt;0",⑫ミキサー工程入力!$M$6:$M$65,"&gt;0")+SUMIFS(⑬計量工程入力!$I$6:$I$65,⑬計量工程入力!$S$6:$S$65,$J335,⑬計量工程入力!$I$6:$I$65,"&gt;0",⑬計量工程入力!$M$6:$M$65,"&gt;0")+SUMIFS(⑭手動工程入力!$I$6:$I$47,⑭手動工程入力!$S$6:$S$47,$J335,⑭手動工程入力!$I$6:$I$47,"&gt;0",⑭手動工程入力!$M$6:$M$47,"&gt;0"))</f>
        <v/>
      </c>
      <c r="N335" s="393">
        <f>IF($J335="",0,SUMIFS(②釜工程入力!$M$5:$M$117,②釜工程入力!$S$5:$S$117,$J335,②釜工程入力!$J$5:$J$117,"&gt;0")-SUMIFS(②釜工程入力!$M$5:$M$117,②釜工程入力!$S$5:$S$117,$J335,②釜工程入力!$J$5:$J$117,"&gt;0",②釜工程入力!$I$5:$I$117,"&gt;0")+SUMIFS(③スチコン工程入力!$M$5:$M$152,③スチコン工程入力!$S$5:$S$152,$J335,③スチコン工程入力!$J$5:$J$152,"&gt;0")-SUMIFS(③スチコン工程入力!$M$5:$M$152,③スチコン工程入力!$S$5:$S$152,$J335,③スチコン工程入力!$J$5:$J$152,"&gt;0",③スチコン工程入力!$I$5:$I$152,"&gt;0")+SUMIFS(⑪ZEN工程入力!$M$6:$M$35,⑪ZEN工程入力!$S$6:$S$35,$J335,⑪ZEN工程入力!$J$6:$J$35,"&gt;0")-SUMIFS(⑪ZEN工程入力!$M$6:$M$35,⑪ZEN工程入力!$S$6:$S$35,$J335,⑪ZEN工程入力!$J$6:$J$35,"&gt;0",⑪ZEN工程入力!$I$6:$I$35,"&gt;0")+SUMIFS(⑫ミキサー工程入力!$M$6:$M$65,⑫ミキサー工程入力!$S$6:$S$65,$J335,⑫ミキサー工程入力!$J$6:$J$65,"&gt;0")-SUMIFS(⑫ミキサー工程入力!$M$6:$M$65,⑫ミキサー工程入力!$S$6:$S$65,$J335,⑫ミキサー工程入力!$J$6:$J$65,"&gt;0",⑫ミキサー工程入力!$I$6:$I$65,"&gt;0")+SUMIFS(⑬計量工程入力!$M$6:$M$65,⑬計量工程入力!$S$6:$S$65,$J335,⑬計量工程入力!$J$6:$J$65,"&gt;0")-SUMIFS(⑬計量工程入力!$M$6:$M$65,⑬計量工程入力!$S$6:$S$65,$J335,⑬計量工程入力!$J$6:$J$65,"&gt;0",⑬計量工程入力!$I$6:$I$65,"&gt;0")+SUMIFS(⑭手動工程入力!$M$6:$M$47,⑭手動工程入力!$S$6:$S$47,$J335,⑭手動工程入力!$J$6:$J$47,"&gt;0")-SUMIFS(⑭手動工程入力!$M$6:$M$47,⑭手動工程入力!$S$6:$S$47,$J335,⑭手動工程入力!$J$6:$J$47,"&gt;0",⑭手動工程入力!$I$6:$I$47,"&gt;0"))</f>
        <v/>
      </c>
      <c r="O335" s="393">
        <f>IF($J335="",0,SUMIFS(②釜工程入力!$J$5:$J$117,②釜工程入力!$S$5:$S$117,$J335,②釜工程入力!$J$5:$J$117,"&gt;0",②釜工程入力!$M$5:$M$117,"&gt;0")-SUMIFS(②釜工程入力!$J$5:$J$117,②釜工程入力!$S$5:$S$117,$J335,②釜工程入力!$J$5:$J$117,"&gt;0",②釜工程入力!$I$5:$I$117,"&gt;0",②釜工程入力!$M$5:$M$117,"&gt;0")+SUMIFS(③スチコン工程入力!$J$5:$J$152,③スチコン工程入力!$S$5:$S$152,$J335,③スチコン工程入力!$J$5:$J$152,"&gt;0",③スチコン工程入力!$M$5:$M$152,"&gt;0")-SUMIFS(③スチコン工程入力!$J$5:$J$152,③スチコン工程入力!$S$5:$S$152,$J335,③スチコン工程入力!$J$5:$J$152,"&gt;0",③スチコン工程入力!$I$5:$I$152,"&gt;0",③スチコン工程入力!$M$5:$M$152,"&gt;0")+SUMIFS(⑪ZEN工程入力!$J$6:$J$35,⑪ZEN工程入力!$S$6:$S$35,$J335,⑪ZEN工程入力!$J$6:$J$35,"&gt;0",⑪ZEN工程入力!$M$6:$M$35,"&gt;0")-SUMIFS(⑪ZEN工程入力!$J$6:$J$35,⑪ZEN工程入力!$S$6:$S$35,$J335,⑪ZEN工程入力!$J$6:$J$35,"&gt;0",⑪ZEN工程入力!$I$6:$I$35,"&gt;0",⑪ZEN工程入力!$M$6:$M$35,"&gt;0")+SUMIFS(⑫ミキサー工程入力!$J$6:$J$65,⑫ミキサー工程入力!$S$6:$S$65,$J335,⑫ミキサー工程入力!$J$6:$J$65,"&gt;0",⑫ミキサー工程入力!$M$6:$M$65,"&gt;0")-SUMIFS(⑫ミキサー工程入力!$J$6:$J$65,⑫ミキサー工程入力!$S$6:$S$65,$J335,⑫ミキサー工程入力!$J$6:$J$65,"&gt;0",⑫ミキサー工程入力!$I$6:$I$65,"&gt;0",⑫ミキサー工程入力!$M$6:$M$65,"&gt;0")+SUMIFS(⑬計量工程入力!$J$6:$J$65,⑬計量工程入力!$S$6:$S$65,$J335,⑬計量工程入力!$J$6:$J$65,"&gt;0",⑬計量工程入力!$M$6:$M$65,"&gt;0")-SUMIFS(⑬計量工程入力!$J$6:$J$65,⑬計量工程入力!$S$6:$S$65,$J335,⑬計量工程入力!$J$6:$J$65,"&gt;0",⑬計量工程入力!$I$6:$I$65,"&gt;0",⑬計量工程入力!$M$6:$M$65,"&gt;0")+SUMIFS(⑭手動工程入力!$J$6:$J$47,⑭手動工程入力!$S$6:$S$47,$J335,⑭手動工程入力!$J$6:$J$47,"&gt;0",⑭手動工程入力!$M$6:$M$47,"&gt;0")-SUMIFS(⑭手動工程入力!$J$6:$J$47,⑭手動工程入力!$S$6:$S$47,$J335,⑭手動工程入力!$J$6:$J$47,"&gt;0",⑭手動工程入力!$I$6:$I$47,"&gt;0",⑭手動工程入力!$M$6:$M$47,"&gt;0"))</f>
        <v/>
      </c>
      <c r="P335" s="392" t="inlineStr">
        <is>
          <t>中間品リスト</t>
        </is>
      </c>
    </row>
    <row r="336">
      <c r="A336" s="392" t="n">
        <v>332</v>
      </c>
      <c r="B336" s="392" t="n"/>
      <c r="C336" s="392" t="n"/>
      <c r="D336" s="409" t="n"/>
      <c r="E336" s="392" t="n"/>
      <c r="F336" s="394" t="n"/>
      <c r="G336" s="392" t="n"/>
      <c r="H336" s="604">
        <f>IFERROR(IF(AND($K336&gt;0,ISNUMBER(IF(OR($D336="g",$D336="ｇ"),IF($M336&gt;0,$L336/$M336/1000,""),IF($D336="kg",IF($M336&gt;0,$L336/$M336,""),IF($D336="",IF($M336&gt;0,$L336/$M336/1000,IF($O336&gt;0,$N336/$O336,"")),IF($O336&gt;0,$N336/$O336,"")))))),IF(OR($D336="g",$D336="ｇ"),IF($M336&gt;0,$L336/$M336/1000,""),IF($D336="kg",IF($M336&gt;0,$L336/$M336,""),IF($D336="",IF($M336&gt;0,$L336/$M336/1000,IF($O336&gt;0,$N336/$O336,"")),IF($O336&gt;0,$N336/$O336,"")))),IF($F336="",IF(OR($E336="",$E336="⑩盛付梱包工程入力"),"",IF(OR($D336="g",$D336="ｇ"),INDEX(⑰工程労務費一覧!$N$5:$N$11,MATCH($E336,⑰工程労務費一覧!$K$5:$K$11,0))/1000,IF($D336="kg",INDEX(⑰工程労務費一覧!$N$5:$N$11,MATCH($E336,⑰工程労務費一覧!$K$5:$K$11,0)),IF(OR($D336="個",$D336="切",$D336="本",$D336="枚",$D336="尾"),IF($E336="⑬計量工程入力","",INDEX(⑰工程労務費一覧!$P$5:$P$11,MATCH($E336,⑰工程労務費一覧!$K$5:$K$11,0))),IF(AND($D336="",OR($E336="②釜工程入力",$E336="③スチコン工程入力")),INDEX(⑰工程労務費一覧!$N$5:$N$11,MATCH($E336,⑰工程労務費一覧!$K$5:$K$11,0))/1000,""))))),IF(OR($D336="g",$D336="ｇ"),INDEX(⑰工程労務費一覧!$H$5:$H$753,MATCH($F336,⑰工程労務費一覧!$D$5:$D$753,0))/1000,IF($D336="kg",INDEX(⑰工程労務費一覧!$H$5:$H$753,MATCH($F336,⑰工程労務費一覧!$D$5:$D$753,0)),INDEX(⑰工程労務費一覧!$I$5:$I$753,MATCH($F336,⑰工程労務費一覧!$D$5:$D$753,0)))))),"")</f>
        <v/>
      </c>
      <c r="I336" s="392">
        <f>IF($K336&gt;0,IF(ISNUMBER(IF(OR($D336="g",$D336="ｇ"),IF($M336&gt;0,$L336/$M336/1000,""),IF($D336="kg",IF($M336&gt;0,$L336/$M336,""),IF($D336="",IF($M336&gt;0,$L336/$M336/1000,IF($O336&gt;0,$N336/$O336,"")),IF($O336&gt;0,$N336/$O336,""))))),IF($D336="",IF($M336&gt;0,"◎ JAN紐づけ(g扱い)","◎ JAN紐づけ(個扱い)"),"◎ JAN紐づけ"),"△ JAN紐づけ済・実績不足→仮計算"),IF($F336="",IF(ISNUMBER($H336),IF($D336="","⑤ 工程平均で仮計算(g扱い)","⑤ 工程平均で仮計算"),IF($E336="⑩盛付梱包工程入力","⑥ 盛り込み(⑳F列で計上)",IF(AND($E336="⑬計量工程入力",OR($D336="個",$D336="切",$D336="本",$D336="枚",$D336="尾")),"① 未紐づけ(カット個単位は仮単価なし)","① 未紐づけ"))),IF(NOT(ISNUMBER($H336)),"② 工程側に単価なし",IF($D336="","③ 単位未設定(個で計算)","④ OK"))))</f>
        <v/>
      </c>
      <c r="J336" s="399">
        <f>IFERROR(LOOKUP(2,1/((中間品リスト!$F$2:$F$1299=$B336)*(中間品リスト!$E$2:$E$1299&lt;&gt;"-")*(中間品リスト!$E$2:$E$1299&lt;&gt;"")),中間品リスト!$E$2:$E$1299),"")</f>
        <v/>
      </c>
      <c r="K336" s="400">
        <f>IF($J336="",0,COUNTIF(②釜工程入力!$S$5:$S$117,$J336)+COUNTIF(③スチコン工程入力!$S$5:$S$152,$J336)+COUNTIF(⑪ZEN工程入力!$S$6:$S$35,$J336)+COUNTIF(⑫ミキサー工程入力!$S$6:$S$65,$J336)+COUNTIF(⑬計量工程入力!$S$6:$S$65,$J336)+COUNTIF(⑭手動工程入力!$S$6:$S$47,$J336))</f>
        <v/>
      </c>
      <c r="L336" s="393">
        <f>IF($J336="",0,SUMIFS(②釜工程入力!$M$5:$M$117,②釜工程入力!$S$5:$S$117,$J336,②釜工程入力!$I$5:$I$117,"&gt;0")+SUMIFS(③スチコン工程入力!$M$5:$M$152,③スチコン工程入力!$S$5:$S$152,$J336,③スチコン工程入力!$I$5:$I$152,"&gt;0")+SUMIFS(⑪ZEN工程入力!$M$6:$M$35,⑪ZEN工程入力!$S$6:$S$35,$J336,⑪ZEN工程入力!$I$6:$I$35,"&gt;0")+SUMIFS(⑫ミキサー工程入力!$M$6:$M$65,⑫ミキサー工程入力!$S$6:$S$65,$J336,⑫ミキサー工程入力!$I$6:$I$65,"&gt;0")+SUMIFS(⑬計量工程入力!$M$6:$M$65,⑬計量工程入力!$S$6:$S$65,$J336,⑬計量工程入力!$I$6:$I$65,"&gt;0")+SUMIFS(⑭手動工程入力!$M$6:$M$47,⑭手動工程入力!$S$6:$S$47,$J336,⑭手動工程入力!$I$6:$I$47,"&gt;0"))</f>
        <v/>
      </c>
      <c r="M336" s="393">
        <f>IF($J336="",0,SUMIFS(②釜工程入力!$I$5:$I$117,②釜工程入力!$S$5:$S$117,$J336,②釜工程入力!$I$5:$I$117,"&gt;0",②釜工程入力!$M$5:$M$117,"&gt;0")+SUMIFS(③スチコン工程入力!$I$5:$I$152,③スチコン工程入力!$S$5:$S$152,$J336,③スチコン工程入力!$I$5:$I$152,"&gt;0",③スチコン工程入力!$M$5:$M$152,"&gt;0")+SUMIFS(⑪ZEN工程入力!$I$6:$I$35,⑪ZEN工程入力!$S$6:$S$35,$J336,⑪ZEN工程入力!$I$6:$I$35,"&gt;0",⑪ZEN工程入力!$M$6:$M$35,"&gt;0")+SUMIFS(⑫ミキサー工程入力!$I$6:$I$65,⑫ミキサー工程入力!$S$6:$S$65,$J336,⑫ミキサー工程入力!$I$6:$I$65,"&gt;0",⑫ミキサー工程入力!$M$6:$M$65,"&gt;0")+SUMIFS(⑬計量工程入力!$I$6:$I$65,⑬計量工程入力!$S$6:$S$65,$J336,⑬計量工程入力!$I$6:$I$65,"&gt;0",⑬計量工程入力!$M$6:$M$65,"&gt;0")+SUMIFS(⑭手動工程入力!$I$6:$I$47,⑭手動工程入力!$S$6:$S$47,$J336,⑭手動工程入力!$I$6:$I$47,"&gt;0",⑭手動工程入力!$M$6:$M$47,"&gt;0"))</f>
        <v/>
      </c>
      <c r="N336" s="393">
        <f>IF($J336="",0,SUMIFS(②釜工程入力!$M$5:$M$117,②釜工程入力!$S$5:$S$117,$J336,②釜工程入力!$J$5:$J$117,"&gt;0")-SUMIFS(②釜工程入力!$M$5:$M$117,②釜工程入力!$S$5:$S$117,$J336,②釜工程入力!$J$5:$J$117,"&gt;0",②釜工程入力!$I$5:$I$117,"&gt;0")+SUMIFS(③スチコン工程入力!$M$5:$M$152,③スチコン工程入力!$S$5:$S$152,$J336,③スチコン工程入力!$J$5:$J$152,"&gt;0")-SUMIFS(③スチコン工程入力!$M$5:$M$152,③スチコン工程入力!$S$5:$S$152,$J336,③スチコン工程入力!$J$5:$J$152,"&gt;0",③スチコン工程入力!$I$5:$I$152,"&gt;0")+SUMIFS(⑪ZEN工程入力!$M$6:$M$35,⑪ZEN工程入力!$S$6:$S$35,$J336,⑪ZEN工程入力!$J$6:$J$35,"&gt;0")-SUMIFS(⑪ZEN工程入力!$M$6:$M$35,⑪ZEN工程入力!$S$6:$S$35,$J336,⑪ZEN工程入力!$J$6:$J$35,"&gt;0",⑪ZEN工程入力!$I$6:$I$35,"&gt;0")+SUMIFS(⑫ミキサー工程入力!$M$6:$M$65,⑫ミキサー工程入力!$S$6:$S$65,$J336,⑫ミキサー工程入力!$J$6:$J$65,"&gt;0")-SUMIFS(⑫ミキサー工程入力!$M$6:$M$65,⑫ミキサー工程入力!$S$6:$S$65,$J336,⑫ミキサー工程入力!$J$6:$J$65,"&gt;0",⑫ミキサー工程入力!$I$6:$I$65,"&gt;0")+SUMIFS(⑬計量工程入力!$M$6:$M$65,⑬計量工程入力!$S$6:$S$65,$J336,⑬計量工程入力!$J$6:$J$65,"&gt;0")-SUMIFS(⑬計量工程入力!$M$6:$M$65,⑬計量工程入力!$S$6:$S$65,$J336,⑬計量工程入力!$J$6:$J$65,"&gt;0",⑬計量工程入力!$I$6:$I$65,"&gt;0")+SUMIFS(⑭手動工程入力!$M$6:$M$47,⑭手動工程入力!$S$6:$S$47,$J336,⑭手動工程入力!$J$6:$J$47,"&gt;0")-SUMIFS(⑭手動工程入力!$M$6:$M$47,⑭手動工程入力!$S$6:$S$47,$J336,⑭手動工程入力!$J$6:$J$47,"&gt;0",⑭手動工程入力!$I$6:$I$47,"&gt;0"))</f>
        <v/>
      </c>
      <c r="O336" s="393">
        <f>IF($J336="",0,SUMIFS(②釜工程入力!$J$5:$J$117,②釜工程入力!$S$5:$S$117,$J336,②釜工程入力!$J$5:$J$117,"&gt;0",②釜工程入力!$M$5:$M$117,"&gt;0")-SUMIFS(②釜工程入力!$J$5:$J$117,②釜工程入力!$S$5:$S$117,$J336,②釜工程入力!$J$5:$J$117,"&gt;0",②釜工程入力!$I$5:$I$117,"&gt;0",②釜工程入力!$M$5:$M$117,"&gt;0")+SUMIFS(③スチコン工程入力!$J$5:$J$152,③スチコン工程入力!$S$5:$S$152,$J336,③スチコン工程入力!$J$5:$J$152,"&gt;0",③スチコン工程入力!$M$5:$M$152,"&gt;0")-SUMIFS(③スチコン工程入力!$J$5:$J$152,③スチコン工程入力!$S$5:$S$152,$J336,③スチコン工程入力!$J$5:$J$152,"&gt;0",③スチコン工程入力!$I$5:$I$152,"&gt;0",③スチコン工程入力!$M$5:$M$152,"&gt;0")+SUMIFS(⑪ZEN工程入力!$J$6:$J$35,⑪ZEN工程入力!$S$6:$S$35,$J336,⑪ZEN工程入力!$J$6:$J$35,"&gt;0",⑪ZEN工程入力!$M$6:$M$35,"&gt;0")-SUMIFS(⑪ZEN工程入力!$J$6:$J$35,⑪ZEN工程入力!$S$6:$S$35,$J336,⑪ZEN工程入力!$J$6:$J$35,"&gt;0",⑪ZEN工程入力!$I$6:$I$35,"&gt;0",⑪ZEN工程入力!$M$6:$M$35,"&gt;0")+SUMIFS(⑫ミキサー工程入力!$J$6:$J$65,⑫ミキサー工程入力!$S$6:$S$65,$J336,⑫ミキサー工程入力!$J$6:$J$65,"&gt;0",⑫ミキサー工程入力!$M$6:$M$65,"&gt;0")-SUMIFS(⑫ミキサー工程入力!$J$6:$J$65,⑫ミキサー工程入力!$S$6:$S$65,$J336,⑫ミキサー工程入力!$J$6:$J$65,"&gt;0",⑫ミキサー工程入力!$I$6:$I$65,"&gt;0",⑫ミキサー工程入力!$M$6:$M$65,"&gt;0")+SUMIFS(⑬計量工程入力!$J$6:$J$65,⑬計量工程入力!$S$6:$S$65,$J336,⑬計量工程入力!$J$6:$J$65,"&gt;0",⑬計量工程入力!$M$6:$M$65,"&gt;0")-SUMIFS(⑬計量工程入力!$J$6:$J$65,⑬計量工程入力!$S$6:$S$65,$J336,⑬計量工程入力!$J$6:$J$65,"&gt;0",⑬計量工程入力!$I$6:$I$65,"&gt;0",⑬計量工程入力!$M$6:$M$65,"&gt;0")+SUMIFS(⑭手動工程入力!$J$6:$J$47,⑭手動工程入力!$S$6:$S$47,$J336,⑭手動工程入力!$J$6:$J$47,"&gt;0",⑭手動工程入力!$M$6:$M$47,"&gt;0")-SUMIFS(⑭手動工程入力!$J$6:$J$47,⑭手動工程入力!$S$6:$S$47,$J336,⑭手動工程入力!$J$6:$J$47,"&gt;0",⑭手動工程入力!$I$6:$I$47,"&gt;0",⑭手動工程入力!$M$6:$M$47,"&gt;0"))</f>
        <v/>
      </c>
      <c r="P336" s="392" t="inlineStr">
        <is>
          <t>中間品リスト</t>
        </is>
      </c>
    </row>
    <row r="337">
      <c r="A337" s="392" t="n">
        <v>333</v>
      </c>
      <c r="B337" s="392" t="n"/>
      <c r="C337" s="392" t="n"/>
      <c r="D337" s="409" t="n"/>
      <c r="E337" s="392" t="n"/>
      <c r="F337" s="394" t="n"/>
      <c r="G337" s="392" t="n"/>
      <c r="H337" s="604">
        <f>IFERROR(IF(AND($K337&gt;0,ISNUMBER(IF(OR($D337="g",$D337="ｇ"),IF($M337&gt;0,$L337/$M337/1000,""),IF($D337="kg",IF($M337&gt;0,$L337/$M337,""),IF($D337="",IF($M337&gt;0,$L337/$M337/1000,IF($O337&gt;0,$N337/$O337,"")),IF($O337&gt;0,$N337/$O337,"")))))),IF(OR($D337="g",$D337="ｇ"),IF($M337&gt;0,$L337/$M337/1000,""),IF($D337="kg",IF($M337&gt;0,$L337/$M337,""),IF($D337="",IF($M337&gt;0,$L337/$M337/1000,IF($O337&gt;0,$N337/$O337,"")),IF($O337&gt;0,$N337/$O337,"")))),IF($F337="",IF(OR($E337="",$E337="⑩盛付梱包工程入力"),"",IF(OR($D337="g",$D337="ｇ"),INDEX(⑰工程労務費一覧!$N$5:$N$11,MATCH($E337,⑰工程労務費一覧!$K$5:$K$11,0))/1000,IF($D337="kg",INDEX(⑰工程労務費一覧!$N$5:$N$11,MATCH($E337,⑰工程労務費一覧!$K$5:$K$11,0)),IF(OR($D337="個",$D337="切",$D337="本",$D337="枚",$D337="尾"),IF($E337="⑬計量工程入力","",INDEX(⑰工程労務費一覧!$P$5:$P$11,MATCH($E337,⑰工程労務費一覧!$K$5:$K$11,0))),IF(AND($D337="",OR($E337="②釜工程入力",$E337="③スチコン工程入力")),INDEX(⑰工程労務費一覧!$N$5:$N$11,MATCH($E337,⑰工程労務費一覧!$K$5:$K$11,0))/1000,""))))),IF(OR($D337="g",$D337="ｇ"),INDEX(⑰工程労務費一覧!$H$5:$H$753,MATCH($F337,⑰工程労務費一覧!$D$5:$D$753,0))/1000,IF($D337="kg",INDEX(⑰工程労務費一覧!$H$5:$H$753,MATCH($F337,⑰工程労務費一覧!$D$5:$D$753,0)),INDEX(⑰工程労務費一覧!$I$5:$I$753,MATCH($F337,⑰工程労務費一覧!$D$5:$D$753,0)))))),"")</f>
        <v/>
      </c>
      <c r="I337" s="392">
        <f>IF($K337&gt;0,IF(ISNUMBER(IF(OR($D337="g",$D337="ｇ"),IF($M337&gt;0,$L337/$M337/1000,""),IF($D337="kg",IF($M337&gt;0,$L337/$M337,""),IF($D337="",IF($M337&gt;0,$L337/$M337/1000,IF($O337&gt;0,$N337/$O337,"")),IF($O337&gt;0,$N337/$O337,""))))),IF($D337="",IF($M337&gt;0,"◎ JAN紐づけ(g扱い)","◎ JAN紐づけ(個扱い)"),"◎ JAN紐づけ"),"△ JAN紐づけ済・実績不足→仮計算"),IF($F337="",IF(ISNUMBER($H337),IF($D337="","⑤ 工程平均で仮計算(g扱い)","⑤ 工程平均で仮計算"),IF($E337="⑩盛付梱包工程入力","⑥ 盛り込み(⑳F列で計上)",IF(AND($E337="⑬計量工程入力",OR($D337="個",$D337="切",$D337="本",$D337="枚",$D337="尾")),"① 未紐づけ(カット個単位は仮単価なし)","① 未紐づけ"))),IF(NOT(ISNUMBER($H337)),"② 工程側に単価なし",IF($D337="","③ 単位未設定(個で計算)","④ OK"))))</f>
        <v/>
      </c>
      <c r="J337" s="399">
        <f>IFERROR(LOOKUP(2,1/((中間品リスト!$F$2:$F$1299=$B337)*(中間品リスト!$E$2:$E$1299&lt;&gt;"-")*(中間品リスト!$E$2:$E$1299&lt;&gt;"")),中間品リスト!$E$2:$E$1299),"")</f>
        <v/>
      </c>
      <c r="K337" s="400">
        <f>IF($J337="",0,COUNTIF(②釜工程入力!$S$5:$S$117,$J337)+COUNTIF(③スチコン工程入力!$S$5:$S$152,$J337)+COUNTIF(⑪ZEN工程入力!$S$6:$S$35,$J337)+COUNTIF(⑫ミキサー工程入力!$S$6:$S$65,$J337)+COUNTIF(⑬計量工程入力!$S$6:$S$65,$J337)+COUNTIF(⑭手動工程入力!$S$6:$S$47,$J337))</f>
        <v/>
      </c>
      <c r="L337" s="393">
        <f>IF($J337="",0,SUMIFS(②釜工程入力!$M$5:$M$117,②釜工程入力!$S$5:$S$117,$J337,②釜工程入力!$I$5:$I$117,"&gt;0")+SUMIFS(③スチコン工程入力!$M$5:$M$152,③スチコン工程入力!$S$5:$S$152,$J337,③スチコン工程入力!$I$5:$I$152,"&gt;0")+SUMIFS(⑪ZEN工程入力!$M$6:$M$35,⑪ZEN工程入力!$S$6:$S$35,$J337,⑪ZEN工程入力!$I$6:$I$35,"&gt;0")+SUMIFS(⑫ミキサー工程入力!$M$6:$M$65,⑫ミキサー工程入力!$S$6:$S$65,$J337,⑫ミキサー工程入力!$I$6:$I$65,"&gt;0")+SUMIFS(⑬計量工程入力!$M$6:$M$65,⑬計量工程入力!$S$6:$S$65,$J337,⑬計量工程入力!$I$6:$I$65,"&gt;0")+SUMIFS(⑭手動工程入力!$M$6:$M$47,⑭手動工程入力!$S$6:$S$47,$J337,⑭手動工程入力!$I$6:$I$47,"&gt;0"))</f>
        <v/>
      </c>
      <c r="M337" s="393">
        <f>IF($J337="",0,SUMIFS(②釜工程入力!$I$5:$I$117,②釜工程入力!$S$5:$S$117,$J337,②釜工程入力!$I$5:$I$117,"&gt;0",②釜工程入力!$M$5:$M$117,"&gt;0")+SUMIFS(③スチコン工程入力!$I$5:$I$152,③スチコン工程入力!$S$5:$S$152,$J337,③スチコン工程入力!$I$5:$I$152,"&gt;0",③スチコン工程入力!$M$5:$M$152,"&gt;0")+SUMIFS(⑪ZEN工程入力!$I$6:$I$35,⑪ZEN工程入力!$S$6:$S$35,$J337,⑪ZEN工程入力!$I$6:$I$35,"&gt;0",⑪ZEN工程入力!$M$6:$M$35,"&gt;0")+SUMIFS(⑫ミキサー工程入力!$I$6:$I$65,⑫ミキサー工程入力!$S$6:$S$65,$J337,⑫ミキサー工程入力!$I$6:$I$65,"&gt;0",⑫ミキサー工程入力!$M$6:$M$65,"&gt;0")+SUMIFS(⑬計量工程入力!$I$6:$I$65,⑬計量工程入力!$S$6:$S$65,$J337,⑬計量工程入力!$I$6:$I$65,"&gt;0",⑬計量工程入力!$M$6:$M$65,"&gt;0")+SUMIFS(⑭手動工程入力!$I$6:$I$47,⑭手動工程入力!$S$6:$S$47,$J337,⑭手動工程入力!$I$6:$I$47,"&gt;0",⑭手動工程入力!$M$6:$M$47,"&gt;0"))</f>
        <v/>
      </c>
      <c r="N337" s="393">
        <f>IF($J337="",0,SUMIFS(②釜工程入力!$M$5:$M$117,②釜工程入力!$S$5:$S$117,$J337,②釜工程入力!$J$5:$J$117,"&gt;0")-SUMIFS(②釜工程入力!$M$5:$M$117,②釜工程入力!$S$5:$S$117,$J337,②釜工程入力!$J$5:$J$117,"&gt;0",②釜工程入力!$I$5:$I$117,"&gt;0")+SUMIFS(③スチコン工程入力!$M$5:$M$152,③スチコン工程入力!$S$5:$S$152,$J337,③スチコン工程入力!$J$5:$J$152,"&gt;0")-SUMIFS(③スチコン工程入力!$M$5:$M$152,③スチコン工程入力!$S$5:$S$152,$J337,③スチコン工程入力!$J$5:$J$152,"&gt;0",③スチコン工程入力!$I$5:$I$152,"&gt;0")+SUMIFS(⑪ZEN工程入力!$M$6:$M$35,⑪ZEN工程入力!$S$6:$S$35,$J337,⑪ZEN工程入力!$J$6:$J$35,"&gt;0")-SUMIFS(⑪ZEN工程入力!$M$6:$M$35,⑪ZEN工程入力!$S$6:$S$35,$J337,⑪ZEN工程入力!$J$6:$J$35,"&gt;0",⑪ZEN工程入力!$I$6:$I$35,"&gt;0")+SUMIFS(⑫ミキサー工程入力!$M$6:$M$65,⑫ミキサー工程入力!$S$6:$S$65,$J337,⑫ミキサー工程入力!$J$6:$J$65,"&gt;0")-SUMIFS(⑫ミキサー工程入力!$M$6:$M$65,⑫ミキサー工程入力!$S$6:$S$65,$J337,⑫ミキサー工程入力!$J$6:$J$65,"&gt;0",⑫ミキサー工程入力!$I$6:$I$65,"&gt;0")+SUMIFS(⑬計量工程入力!$M$6:$M$65,⑬計量工程入力!$S$6:$S$65,$J337,⑬計量工程入力!$J$6:$J$65,"&gt;0")-SUMIFS(⑬計量工程入力!$M$6:$M$65,⑬計量工程入力!$S$6:$S$65,$J337,⑬計量工程入力!$J$6:$J$65,"&gt;0",⑬計量工程入力!$I$6:$I$65,"&gt;0")+SUMIFS(⑭手動工程入力!$M$6:$M$47,⑭手動工程入力!$S$6:$S$47,$J337,⑭手動工程入力!$J$6:$J$47,"&gt;0")-SUMIFS(⑭手動工程入力!$M$6:$M$47,⑭手動工程入力!$S$6:$S$47,$J337,⑭手動工程入力!$J$6:$J$47,"&gt;0",⑭手動工程入力!$I$6:$I$47,"&gt;0"))</f>
        <v/>
      </c>
      <c r="O337" s="393">
        <f>IF($J337="",0,SUMIFS(②釜工程入力!$J$5:$J$117,②釜工程入力!$S$5:$S$117,$J337,②釜工程入力!$J$5:$J$117,"&gt;0",②釜工程入力!$M$5:$M$117,"&gt;0")-SUMIFS(②釜工程入力!$J$5:$J$117,②釜工程入力!$S$5:$S$117,$J337,②釜工程入力!$J$5:$J$117,"&gt;0",②釜工程入力!$I$5:$I$117,"&gt;0",②釜工程入力!$M$5:$M$117,"&gt;0")+SUMIFS(③スチコン工程入力!$J$5:$J$152,③スチコン工程入力!$S$5:$S$152,$J337,③スチコン工程入力!$J$5:$J$152,"&gt;0",③スチコン工程入力!$M$5:$M$152,"&gt;0")-SUMIFS(③スチコン工程入力!$J$5:$J$152,③スチコン工程入力!$S$5:$S$152,$J337,③スチコン工程入力!$J$5:$J$152,"&gt;0",③スチコン工程入力!$I$5:$I$152,"&gt;0",③スチコン工程入力!$M$5:$M$152,"&gt;0")+SUMIFS(⑪ZEN工程入力!$J$6:$J$35,⑪ZEN工程入力!$S$6:$S$35,$J337,⑪ZEN工程入力!$J$6:$J$35,"&gt;0",⑪ZEN工程入力!$M$6:$M$35,"&gt;0")-SUMIFS(⑪ZEN工程入力!$J$6:$J$35,⑪ZEN工程入力!$S$6:$S$35,$J337,⑪ZEN工程入力!$J$6:$J$35,"&gt;0",⑪ZEN工程入力!$I$6:$I$35,"&gt;0",⑪ZEN工程入力!$M$6:$M$35,"&gt;0")+SUMIFS(⑫ミキサー工程入力!$J$6:$J$65,⑫ミキサー工程入力!$S$6:$S$65,$J337,⑫ミキサー工程入力!$J$6:$J$65,"&gt;0",⑫ミキサー工程入力!$M$6:$M$65,"&gt;0")-SUMIFS(⑫ミキサー工程入力!$J$6:$J$65,⑫ミキサー工程入力!$S$6:$S$65,$J337,⑫ミキサー工程入力!$J$6:$J$65,"&gt;0",⑫ミキサー工程入力!$I$6:$I$65,"&gt;0",⑫ミキサー工程入力!$M$6:$M$65,"&gt;0")+SUMIFS(⑬計量工程入力!$J$6:$J$65,⑬計量工程入力!$S$6:$S$65,$J337,⑬計量工程入力!$J$6:$J$65,"&gt;0",⑬計量工程入力!$M$6:$M$65,"&gt;0")-SUMIFS(⑬計量工程入力!$J$6:$J$65,⑬計量工程入力!$S$6:$S$65,$J337,⑬計量工程入力!$J$6:$J$65,"&gt;0",⑬計量工程入力!$I$6:$I$65,"&gt;0",⑬計量工程入力!$M$6:$M$65,"&gt;0")+SUMIFS(⑭手動工程入力!$J$6:$J$47,⑭手動工程入力!$S$6:$S$47,$J337,⑭手動工程入力!$J$6:$J$47,"&gt;0",⑭手動工程入力!$M$6:$M$47,"&gt;0")-SUMIFS(⑭手動工程入力!$J$6:$J$47,⑭手動工程入力!$S$6:$S$47,$J337,⑭手動工程入力!$J$6:$J$47,"&gt;0",⑭手動工程入力!$I$6:$I$47,"&gt;0",⑭手動工程入力!$M$6:$M$47,"&gt;0"))</f>
        <v/>
      </c>
      <c r="P337" s="392" t="inlineStr">
        <is>
          <t>中間品リスト</t>
        </is>
      </c>
    </row>
    <row r="338">
      <c r="A338" s="392" t="n">
        <v>334</v>
      </c>
      <c r="B338" s="392" t="n"/>
      <c r="C338" s="392" t="n"/>
      <c r="D338" s="409" t="n"/>
      <c r="E338" s="392" t="n"/>
      <c r="F338" s="394" t="n"/>
      <c r="G338" s="392" t="n"/>
      <c r="H338" s="604">
        <f>IFERROR(IF(AND($K338&gt;0,ISNUMBER(IF(OR($D338="g",$D338="ｇ"),IF($M338&gt;0,$L338/$M338/1000,""),IF($D338="kg",IF($M338&gt;0,$L338/$M338,""),IF($D338="",IF($M338&gt;0,$L338/$M338/1000,IF($O338&gt;0,$N338/$O338,"")),IF($O338&gt;0,$N338/$O338,"")))))),IF(OR($D338="g",$D338="ｇ"),IF($M338&gt;0,$L338/$M338/1000,""),IF($D338="kg",IF($M338&gt;0,$L338/$M338,""),IF($D338="",IF($M338&gt;0,$L338/$M338/1000,IF($O338&gt;0,$N338/$O338,"")),IF($O338&gt;0,$N338/$O338,"")))),IF($F338="",IF(OR($E338="",$E338="⑩盛付梱包工程入力"),"",IF(OR($D338="g",$D338="ｇ"),INDEX(⑰工程労務費一覧!$N$5:$N$11,MATCH($E338,⑰工程労務費一覧!$K$5:$K$11,0))/1000,IF($D338="kg",INDEX(⑰工程労務費一覧!$N$5:$N$11,MATCH($E338,⑰工程労務費一覧!$K$5:$K$11,0)),IF(OR($D338="個",$D338="切",$D338="本",$D338="枚",$D338="尾"),IF($E338="⑬計量工程入力","",INDEX(⑰工程労務費一覧!$P$5:$P$11,MATCH($E338,⑰工程労務費一覧!$K$5:$K$11,0))),IF(AND($D338="",OR($E338="②釜工程入力",$E338="③スチコン工程入力")),INDEX(⑰工程労務費一覧!$N$5:$N$11,MATCH($E338,⑰工程労務費一覧!$K$5:$K$11,0))/1000,""))))),IF(OR($D338="g",$D338="ｇ"),INDEX(⑰工程労務費一覧!$H$5:$H$753,MATCH($F338,⑰工程労務費一覧!$D$5:$D$753,0))/1000,IF($D338="kg",INDEX(⑰工程労務費一覧!$H$5:$H$753,MATCH($F338,⑰工程労務費一覧!$D$5:$D$753,0)),INDEX(⑰工程労務費一覧!$I$5:$I$753,MATCH($F338,⑰工程労務費一覧!$D$5:$D$753,0)))))),"")</f>
        <v/>
      </c>
      <c r="I338" s="392">
        <f>IF($K338&gt;0,IF(ISNUMBER(IF(OR($D338="g",$D338="ｇ"),IF($M338&gt;0,$L338/$M338/1000,""),IF($D338="kg",IF($M338&gt;0,$L338/$M338,""),IF($D338="",IF($M338&gt;0,$L338/$M338/1000,IF($O338&gt;0,$N338/$O338,"")),IF($O338&gt;0,$N338/$O338,""))))),IF($D338="",IF($M338&gt;0,"◎ JAN紐づけ(g扱い)","◎ JAN紐づけ(個扱い)"),"◎ JAN紐づけ"),"△ JAN紐づけ済・実績不足→仮計算"),IF($F338="",IF(ISNUMBER($H338),IF($D338="","⑤ 工程平均で仮計算(g扱い)","⑤ 工程平均で仮計算"),IF($E338="⑩盛付梱包工程入力","⑥ 盛り込み(⑳F列で計上)",IF(AND($E338="⑬計量工程入力",OR($D338="個",$D338="切",$D338="本",$D338="枚",$D338="尾")),"① 未紐づけ(カット個単位は仮単価なし)","① 未紐づけ"))),IF(NOT(ISNUMBER($H338)),"② 工程側に単価なし",IF($D338="","③ 単位未設定(個で計算)","④ OK"))))</f>
        <v/>
      </c>
      <c r="J338" s="399">
        <f>IFERROR(LOOKUP(2,1/((中間品リスト!$F$2:$F$1299=$B338)*(中間品リスト!$E$2:$E$1299&lt;&gt;"-")*(中間品リスト!$E$2:$E$1299&lt;&gt;"")),中間品リスト!$E$2:$E$1299),"")</f>
        <v/>
      </c>
      <c r="K338" s="400">
        <f>IF($J338="",0,COUNTIF(②釜工程入力!$S$5:$S$117,$J338)+COUNTIF(③スチコン工程入力!$S$5:$S$152,$J338)+COUNTIF(⑪ZEN工程入力!$S$6:$S$35,$J338)+COUNTIF(⑫ミキサー工程入力!$S$6:$S$65,$J338)+COUNTIF(⑬計量工程入力!$S$6:$S$65,$J338)+COUNTIF(⑭手動工程入力!$S$6:$S$47,$J338))</f>
        <v/>
      </c>
      <c r="L338" s="393">
        <f>IF($J338="",0,SUMIFS(②釜工程入力!$M$5:$M$117,②釜工程入力!$S$5:$S$117,$J338,②釜工程入力!$I$5:$I$117,"&gt;0")+SUMIFS(③スチコン工程入力!$M$5:$M$152,③スチコン工程入力!$S$5:$S$152,$J338,③スチコン工程入力!$I$5:$I$152,"&gt;0")+SUMIFS(⑪ZEN工程入力!$M$6:$M$35,⑪ZEN工程入力!$S$6:$S$35,$J338,⑪ZEN工程入力!$I$6:$I$35,"&gt;0")+SUMIFS(⑫ミキサー工程入力!$M$6:$M$65,⑫ミキサー工程入力!$S$6:$S$65,$J338,⑫ミキサー工程入力!$I$6:$I$65,"&gt;0")+SUMIFS(⑬計量工程入力!$M$6:$M$65,⑬計量工程入力!$S$6:$S$65,$J338,⑬計量工程入力!$I$6:$I$65,"&gt;0")+SUMIFS(⑭手動工程入力!$M$6:$M$47,⑭手動工程入力!$S$6:$S$47,$J338,⑭手動工程入力!$I$6:$I$47,"&gt;0"))</f>
        <v/>
      </c>
      <c r="M338" s="393">
        <f>IF($J338="",0,SUMIFS(②釜工程入力!$I$5:$I$117,②釜工程入力!$S$5:$S$117,$J338,②釜工程入力!$I$5:$I$117,"&gt;0",②釜工程入力!$M$5:$M$117,"&gt;0")+SUMIFS(③スチコン工程入力!$I$5:$I$152,③スチコン工程入力!$S$5:$S$152,$J338,③スチコン工程入力!$I$5:$I$152,"&gt;0",③スチコン工程入力!$M$5:$M$152,"&gt;0")+SUMIFS(⑪ZEN工程入力!$I$6:$I$35,⑪ZEN工程入力!$S$6:$S$35,$J338,⑪ZEN工程入力!$I$6:$I$35,"&gt;0",⑪ZEN工程入力!$M$6:$M$35,"&gt;0")+SUMIFS(⑫ミキサー工程入力!$I$6:$I$65,⑫ミキサー工程入力!$S$6:$S$65,$J338,⑫ミキサー工程入力!$I$6:$I$65,"&gt;0",⑫ミキサー工程入力!$M$6:$M$65,"&gt;0")+SUMIFS(⑬計量工程入力!$I$6:$I$65,⑬計量工程入力!$S$6:$S$65,$J338,⑬計量工程入力!$I$6:$I$65,"&gt;0",⑬計量工程入力!$M$6:$M$65,"&gt;0")+SUMIFS(⑭手動工程入力!$I$6:$I$47,⑭手動工程入力!$S$6:$S$47,$J338,⑭手動工程入力!$I$6:$I$47,"&gt;0",⑭手動工程入力!$M$6:$M$47,"&gt;0"))</f>
        <v/>
      </c>
      <c r="N338" s="393">
        <f>IF($J338="",0,SUMIFS(②釜工程入力!$M$5:$M$117,②釜工程入力!$S$5:$S$117,$J338,②釜工程入力!$J$5:$J$117,"&gt;0")-SUMIFS(②釜工程入力!$M$5:$M$117,②釜工程入力!$S$5:$S$117,$J338,②釜工程入力!$J$5:$J$117,"&gt;0",②釜工程入力!$I$5:$I$117,"&gt;0")+SUMIFS(③スチコン工程入力!$M$5:$M$152,③スチコン工程入力!$S$5:$S$152,$J338,③スチコン工程入力!$J$5:$J$152,"&gt;0")-SUMIFS(③スチコン工程入力!$M$5:$M$152,③スチコン工程入力!$S$5:$S$152,$J338,③スチコン工程入力!$J$5:$J$152,"&gt;0",③スチコン工程入力!$I$5:$I$152,"&gt;0")+SUMIFS(⑪ZEN工程入力!$M$6:$M$35,⑪ZEN工程入力!$S$6:$S$35,$J338,⑪ZEN工程入力!$J$6:$J$35,"&gt;0")-SUMIFS(⑪ZEN工程入力!$M$6:$M$35,⑪ZEN工程入力!$S$6:$S$35,$J338,⑪ZEN工程入力!$J$6:$J$35,"&gt;0",⑪ZEN工程入力!$I$6:$I$35,"&gt;0")+SUMIFS(⑫ミキサー工程入力!$M$6:$M$65,⑫ミキサー工程入力!$S$6:$S$65,$J338,⑫ミキサー工程入力!$J$6:$J$65,"&gt;0")-SUMIFS(⑫ミキサー工程入力!$M$6:$M$65,⑫ミキサー工程入力!$S$6:$S$65,$J338,⑫ミキサー工程入力!$J$6:$J$65,"&gt;0",⑫ミキサー工程入力!$I$6:$I$65,"&gt;0")+SUMIFS(⑬計量工程入力!$M$6:$M$65,⑬計量工程入力!$S$6:$S$65,$J338,⑬計量工程入力!$J$6:$J$65,"&gt;0")-SUMIFS(⑬計量工程入力!$M$6:$M$65,⑬計量工程入力!$S$6:$S$65,$J338,⑬計量工程入力!$J$6:$J$65,"&gt;0",⑬計量工程入力!$I$6:$I$65,"&gt;0")+SUMIFS(⑭手動工程入力!$M$6:$M$47,⑭手動工程入力!$S$6:$S$47,$J338,⑭手動工程入力!$J$6:$J$47,"&gt;0")-SUMIFS(⑭手動工程入力!$M$6:$M$47,⑭手動工程入力!$S$6:$S$47,$J338,⑭手動工程入力!$J$6:$J$47,"&gt;0",⑭手動工程入力!$I$6:$I$47,"&gt;0"))</f>
        <v/>
      </c>
      <c r="O338" s="393">
        <f>IF($J338="",0,SUMIFS(②釜工程入力!$J$5:$J$117,②釜工程入力!$S$5:$S$117,$J338,②釜工程入力!$J$5:$J$117,"&gt;0",②釜工程入力!$M$5:$M$117,"&gt;0")-SUMIFS(②釜工程入力!$J$5:$J$117,②釜工程入力!$S$5:$S$117,$J338,②釜工程入力!$J$5:$J$117,"&gt;0",②釜工程入力!$I$5:$I$117,"&gt;0",②釜工程入力!$M$5:$M$117,"&gt;0")+SUMIFS(③スチコン工程入力!$J$5:$J$152,③スチコン工程入力!$S$5:$S$152,$J338,③スチコン工程入力!$J$5:$J$152,"&gt;0",③スチコン工程入力!$M$5:$M$152,"&gt;0")-SUMIFS(③スチコン工程入力!$J$5:$J$152,③スチコン工程入力!$S$5:$S$152,$J338,③スチコン工程入力!$J$5:$J$152,"&gt;0",③スチコン工程入力!$I$5:$I$152,"&gt;0",③スチコン工程入力!$M$5:$M$152,"&gt;0")+SUMIFS(⑪ZEN工程入力!$J$6:$J$35,⑪ZEN工程入力!$S$6:$S$35,$J338,⑪ZEN工程入力!$J$6:$J$35,"&gt;0",⑪ZEN工程入力!$M$6:$M$35,"&gt;0")-SUMIFS(⑪ZEN工程入力!$J$6:$J$35,⑪ZEN工程入力!$S$6:$S$35,$J338,⑪ZEN工程入力!$J$6:$J$35,"&gt;0",⑪ZEN工程入力!$I$6:$I$35,"&gt;0",⑪ZEN工程入力!$M$6:$M$35,"&gt;0")+SUMIFS(⑫ミキサー工程入力!$J$6:$J$65,⑫ミキサー工程入力!$S$6:$S$65,$J338,⑫ミキサー工程入力!$J$6:$J$65,"&gt;0",⑫ミキサー工程入力!$M$6:$M$65,"&gt;0")-SUMIFS(⑫ミキサー工程入力!$J$6:$J$65,⑫ミキサー工程入力!$S$6:$S$65,$J338,⑫ミキサー工程入力!$J$6:$J$65,"&gt;0",⑫ミキサー工程入力!$I$6:$I$65,"&gt;0",⑫ミキサー工程入力!$M$6:$M$65,"&gt;0")+SUMIFS(⑬計量工程入力!$J$6:$J$65,⑬計量工程入力!$S$6:$S$65,$J338,⑬計量工程入力!$J$6:$J$65,"&gt;0",⑬計量工程入力!$M$6:$M$65,"&gt;0")-SUMIFS(⑬計量工程入力!$J$6:$J$65,⑬計量工程入力!$S$6:$S$65,$J338,⑬計量工程入力!$J$6:$J$65,"&gt;0",⑬計量工程入力!$I$6:$I$65,"&gt;0",⑬計量工程入力!$M$6:$M$65,"&gt;0")+SUMIFS(⑭手動工程入力!$J$6:$J$47,⑭手動工程入力!$S$6:$S$47,$J338,⑭手動工程入力!$J$6:$J$47,"&gt;0",⑭手動工程入力!$M$6:$M$47,"&gt;0")-SUMIFS(⑭手動工程入力!$J$6:$J$47,⑭手動工程入力!$S$6:$S$47,$J338,⑭手動工程入力!$J$6:$J$47,"&gt;0",⑭手動工程入力!$I$6:$I$47,"&gt;0",⑭手動工程入力!$M$6:$M$47,"&gt;0"))</f>
        <v/>
      </c>
      <c r="P338" s="392" t="inlineStr">
        <is>
          <t>中間品リスト</t>
        </is>
      </c>
    </row>
    <row r="339">
      <c r="A339" s="392" t="n">
        <v>335</v>
      </c>
      <c r="B339" s="392" t="n"/>
      <c r="C339" s="392" t="n"/>
      <c r="D339" s="409" t="n"/>
      <c r="E339" s="392" t="n"/>
      <c r="F339" s="394" t="n"/>
      <c r="G339" s="392" t="n"/>
      <c r="H339" s="604">
        <f>IFERROR(IF(AND($K339&gt;0,ISNUMBER(IF(OR($D339="g",$D339="ｇ"),IF($M339&gt;0,$L339/$M339/1000,""),IF($D339="kg",IF($M339&gt;0,$L339/$M339,""),IF($D339="",IF($M339&gt;0,$L339/$M339/1000,IF($O339&gt;0,$N339/$O339,"")),IF($O339&gt;0,$N339/$O339,"")))))),IF(OR($D339="g",$D339="ｇ"),IF($M339&gt;0,$L339/$M339/1000,""),IF($D339="kg",IF($M339&gt;0,$L339/$M339,""),IF($D339="",IF($M339&gt;0,$L339/$M339/1000,IF($O339&gt;0,$N339/$O339,"")),IF($O339&gt;0,$N339/$O339,"")))),IF($F339="",IF(OR($E339="",$E339="⑩盛付梱包工程入力"),"",IF(OR($D339="g",$D339="ｇ"),INDEX(⑰工程労務費一覧!$N$5:$N$11,MATCH($E339,⑰工程労務費一覧!$K$5:$K$11,0))/1000,IF($D339="kg",INDEX(⑰工程労務費一覧!$N$5:$N$11,MATCH($E339,⑰工程労務費一覧!$K$5:$K$11,0)),IF(OR($D339="個",$D339="切",$D339="本",$D339="枚",$D339="尾"),IF($E339="⑬計量工程入力","",INDEX(⑰工程労務費一覧!$P$5:$P$11,MATCH($E339,⑰工程労務費一覧!$K$5:$K$11,0))),IF(AND($D339="",OR($E339="②釜工程入力",$E339="③スチコン工程入力")),INDEX(⑰工程労務費一覧!$N$5:$N$11,MATCH($E339,⑰工程労務費一覧!$K$5:$K$11,0))/1000,""))))),IF(OR($D339="g",$D339="ｇ"),INDEX(⑰工程労務費一覧!$H$5:$H$753,MATCH($F339,⑰工程労務費一覧!$D$5:$D$753,0))/1000,IF($D339="kg",INDEX(⑰工程労務費一覧!$H$5:$H$753,MATCH($F339,⑰工程労務費一覧!$D$5:$D$753,0)),INDEX(⑰工程労務費一覧!$I$5:$I$753,MATCH($F339,⑰工程労務費一覧!$D$5:$D$753,0)))))),"")</f>
        <v/>
      </c>
      <c r="I339" s="392">
        <f>IF($K339&gt;0,IF(ISNUMBER(IF(OR($D339="g",$D339="ｇ"),IF($M339&gt;0,$L339/$M339/1000,""),IF($D339="kg",IF($M339&gt;0,$L339/$M339,""),IF($D339="",IF($M339&gt;0,$L339/$M339/1000,IF($O339&gt;0,$N339/$O339,"")),IF($O339&gt;0,$N339/$O339,""))))),IF($D339="",IF($M339&gt;0,"◎ JAN紐づけ(g扱い)","◎ JAN紐づけ(個扱い)"),"◎ JAN紐づけ"),"△ JAN紐づけ済・実績不足→仮計算"),IF($F339="",IF(ISNUMBER($H339),IF($D339="","⑤ 工程平均で仮計算(g扱い)","⑤ 工程平均で仮計算"),IF($E339="⑩盛付梱包工程入力","⑥ 盛り込み(⑳F列で計上)",IF(AND($E339="⑬計量工程入力",OR($D339="個",$D339="切",$D339="本",$D339="枚",$D339="尾")),"① 未紐づけ(カット個単位は仮単価なし)","① 未紐づけ"))),IF(NOT(ISNUMBER($H339)),"② 工程側に単価なし",IF($D339="","③ 単位未設定(個で計算)","④ OK"))))</f>
        <v/>
      </c>
      <c r="J339" s="399">
        <f>IFERROR(LOOKUP(2,1/((中間品リスト!$F$2:$F$1299=$B339)*(中間品リスト!$E$2:$E$1299&lt;&gt;"-")*(中間品リスト!$E$2:$E$1299&lt;&gt;"")),中間品リスト!$E$2:$E$1299),"")</f>
        <v/>
      </c>
      <c r="K339" s="400">
        <f>IF($J339="",0,COUNTIF(②釜工程入力!$S$5:$S$117,$J339)+COUNTIF(③スチコン工程入力!$S$5:$S$152,$J339)+COUNTIF(⑪ZEN工程入力!$S$6:$S$35,$J339)+COUNTIF(⑫ミキサー工程入力!$S$6:$S$65,$J339)+COUNTIF(⑬計量工程入力!$S$6:$S$65,$J339)+COUNTIF(⑭手動工程入力!$S$6:$S$47,$J339))</f>
        <v/>
      </c>
      <c r="L339" s="393">
        <f>IF($J339="",0,SUMIFS(②釜工程入力!$M$5:$M$117,②釜工程入力!$S$5:$S$117,$J339,②釜工程入力!$I$5:$I$117,"&gt;0")+SUMIFS(③スチコン工程入力!$M$5:$M$152,③スチコン工程入力!$S$5:$S$152,$J339,③スチコン工程入力!$I$5:$I$152,"&gt;0")+SUMIFS(⑪ZEN工程入力!$M$6:$M$35,⑪ZEN工程入力!$S$6:$S$35,$J339,⑪ZEN工程入力!$I$6:$I$35,"&gt;0")+SUMIFS(⑫ミキサー工程入力!$M$6:$M$65,⑫ミキサー工程入力!$S$6:$S$65,$J339,⑫ミキサー工程入力!$I$6:$I$65,"&gt;0")+SUMIFS(⑬計量工程入力!$M$6:$M$65,⑬計量工程入力!$S$6:$S$65,$J339,⑬計量工程入力!$I$6:$I$65,"&gt;0")+SUMIFS(⑭手動工程入力!$M$6:$M$47,⑭手動工程入力!$S$6:$S$47,$J339,⑭手動工程入力!$I$6:$I$47,"&gt;0"))</f>
        <v/>
      </c>
      <c r="M339" s="393">
        <f>IF($J339="",0,SUMIFS(②釜工程入力!$I$5:$I$117,②釜工程入力!$S$5:$S$117,$J339,②釜工程入力!$I$5:$I$117,"&gt;0",②釜工程入力!$M$5:$M$117,"&gt;0")+SUMIFS(③スチコン工程入力!$I$5:$I$152,③スチコン工程入力!$S$5:$S$152,$J339,③スチコン工程入力!$I$5:$I$152,"&gt;0",③スチコン工程入力!$M$5:$M$152,"&gt;0")+SUMIFS(⑪ZEN工程入力!$I$6:$I$35,⑪ZEN工程入力!$S$6:$S$35,$J339,⑪ZEN工程入力!$I$6:$I$35,"&gt;0",⑪ZEN工程入力!$M$6:$M$35,"&gt;0")+SUMIFS(⑫ミキサー工程入力!$I$6:$I$65,⑫ミキサー工程入力!$S$6:$S$65,$J339,⑫ミキサー工程入力!$I$6:$I$65,"&gt;0",⑫ミキサー工程入力!$M$6:$M$65,"&gt;0")+SUMIFS(⑬計量工程入力!$I$6:$I$65,⑬計量工程入力!$S$6:$S$65,$J339,⑬計量工程入力!$I$6:$I$65,"&gt;0",⑬計量工程入力!$M$6:$M$65,"&gt;0")+SUMIFS(⑭手動工程入力!$I$6:$I$47,⑭手動工程入力!$S$6:$S$47,$J339,⑭手動工程入力!$I$6:$I$47,"&gt;0",⑭手動工程入力!$M$6:$M$47,"&gt;0"))</f>
        <v/>
      </c>
      <c r="N339" s="393">
        <f>IF($J339="",0,SUMIFS(②釜工程入力!$M$5:$M$117,②釜工程入力!$S$5:$S$117,$J339,②釜工程入力!$J$5:$J$117,"&gt;0")-SUMIFS(②釜工程入力!$M$5:$M$117,②釜工程入力!$S$5:$S$117,$J339,②釜工程入力!$J$5:$J$117,"&gt;0",②釜工程入力!$I$5:$I$117,"&gt;0")+SUMIFS(③スチコン工程入力!$M$5:$M$152,③スチコン工程入力!$S$5:$S$152,$J339,③スチコン工程入力!$J$5:$J$152,"&gt;0")-SUMIFS(③スチコン工程入力!$M$5:$M$152,③スチコン工程入力!$S$5:$S$152,$J339,③スチコン工程入力!$J$5:$J$152,"&gt;0",③スチコン工程入力!$I$5:$I$152,"&gt;0")+SUMIFS(⑪ZEN工程入力!$M$6:$M$35,⑪ZEN工程入力!$S$6:$S$35,$J339,⑪ZEN工程入力!$J$6:$J$35,"&gt;0")-SUMIFS(⑪ZEN工程入力!$M$6:$M$35,⑪ZEN工程入力!$S$6:$S$35,$J339,⑪ZEN工程入力!$J$6:$J$35,"&gt;0",⑪ZEN工程入力!$I$6:$I$35,"&gt;0")+SUMIFS(⑫ミキサー工程入力!$M$6:$M$65,⑫ミキサー工程入力!$S$6:$S$65,$J339,⑫ミキサー工程入力!$J$6:$J$65,"&gt;0")-SUMIFS(⑫ミキサー工程入力!$M$6:$M$65,⑫ミキサー工程入力!$S$6:$S$65,$J339,⑫ミキサー工程入力!$J$6:$J$65,"&gt;0",⑫ミキサー工程入力!$I$6:$I$65,"&gt;0")+SUMIFS(⑬計量工程入力!$M$6:$M$65,⑬計量工程入力!$S$6:$S$65,$J339,⑬計量工程入力!$J$6:$J$65,"&gt;0")-SUMIFS(⑬計量工程入力!$M$6:$M$65,⑬計量工程入力!$S$6:$S$65,$J339,⑬計量工程入力!$J$6:$J$65,"&gt;0",⑬計量工程入力!$I$6:$I$65,"&gt;0")+SUMIFS(⑭手動工程入力!$M$6:$M$47,⑭手動工程入力!$S$6:$S$47,$J339,⑭手動工程入力!$J$6:$J$47,"&gt;0")-SUMIFS(⑭手動工程入力!$M$6:$M$47,⑭手動工程入力!$S$6:$S$47,$J339,⑭手動工程入力!$J$6:$J$47,"&gt;0",⑭手動工程入力!$I$6:$I$47,"&gt;0"))</f>
        <v/>
      </c>
      <c r="O339" s="393">
        <f>IF($J339="",0,SUMIFS(②釜工程入力!$J$5:$J$117,②釜工程入力!$S$5:$S$117,$J339,②釜工程入力!$J$5:$J$117,"&gt;0",②釜工程入力!$M$5:$M$117,"&gt;0")-SUMIFS(②釜工程入力!$J$5:$J$117,②釜工程入力!$S$5:$S$117,$J339,②釜工程入力!$J$5:$J$117,"&gt;0",②釜工程入力!$I$5:$I$117,"&gt;0",②釜工程入力!$M$5:$M$117,"&gt;0")+SUMIFS(③スチコン工程入力!$J$5:$J$152,③スチコン工程入力!$S$5:$S$152,$J339,③スチコン工程入力!$J$5:$J$152,"&gt;0",③スチコン工程入力!$M$5:$M$152,"&gt;0")-SUMIFS(③スチコン工程入力!$J$5:$J$152,③スチコン工程入力!$S$5:$S$152,$J339,③スチコン工程入力!$J$5:$J$152,"&gt;0",③スチコン工程入力!$I$5:$I$152,"&gt;0",③スチコン工程入力!$M$5:$M$152,"&gt;0")+SUMIFS(⑪ZEN工程入力!$J$6:$J$35,⑪ZEN工程入力!$S$6:$S$35,$J339,⑪ZEN工程入力!$J$6:$J$35,"&gt;0",⑪ZEN工程入力!$M$6:$M$35,"&gt;0")-SUMIFS(⑪ZEN工程入力!$J$6:$J$35,⑪ZEN工程入力!$S$6:$S$35,$J339,⑪ZEN工程入力!$J$6:$J$35,"&gt;0",⑪ZEN工程入力!$I$6:$I$35,"&gt;0",⑪ZEN工程入力!$M$6:$M$35,"&gt;0")+SUMIFS(⑫ミキサー工程入力!$J$6:$J$65,⑫ミキサー工程入力!$S$6:$S$65,$J339,⑫ミキサー工程入力!$J$6:$J$65,"&gt;0",⑫ミキサー工程入力!$M$6:$M$65,"&gt;0")-SUMIFS(⑫ミキサー工程入力!$J$6:$J$65,⑫ミキサー工程入力!$S$6:$S$65,$J339,⑫ミキサー工程入力!$J$6:$J$65,"&gt;0",⑫ミキサー工程入力!$I$6:$I$65,"&gt;0",⑫ミキサー工程入力!$M$6:$M$65,"&gt;0")+SUMIFS(⑬計量工程入力!$J$6:$J$65,⑬計量工程入力!$S$6:$S$65,$J339,⑬計量工程入力!$J$6:$J$65,"&gt;0",⑬計量工程入力!$M$6:$M$65,"&gt;0")-SUMIFS(⑬計量工程入力!$J$6:$J$65,⑬計量工程入力!$S$6:$S$65,$J339,⑬計量工程入力!$J$6:$J$65,"&gt;0",⑬計量工程入力!$I$6:$I$65,"&gt;0",⑬計量工程入力!$M$6:$M$65,"&gt;0")+SUMIFS(⑭手動工程入力!$J$6:$J$47,⑭手動工程入力!$S$6:$S$47,$J339,⑭手動工程入力!$J$6:$J$47,"&gt;0",⑭手動工程入力!$M$6:$M$47,"&gt;0")-SUMIFS(⑭手動工程入力!$J$6:$J$47,⑭手動工程入力!$S$6:$S$47,$J339,⑭手動工程入力!$J$6:$J$47,"&gt;0",⑭手動工程入力!$I$6:$I$47,"&gt;0",⑭手動工程入力!$M$6:$M$47,"&gt;0"))</f>
        <v/>
      </c>
      <c r="P339" s="392" t="inlineStr">
        <is>
          <t>中間品リスト</t>
        </is>
      </c>
    </row>
    <row r="340">
      <c r="A340" s="392" t="n">
        <v>336</v>
      </c>
      <c r="B340" s="392" t="n"/>
      <c r="C340" s="392" t="n"/>
      <c r="D340" s="409" t="n"/>
      <c r="E340" s="392" t="n"/>
      <c r="F340" s="394" t="n"/>
      <c r="G340" s="392" t="n"/>
      <c r="H340" s="604">
        <f>IFERROR(IF(AND($K340&gt;0,ISNUMBER(IF(OR($D340="g",$D340="ｇ"),IF($M340&gt;0,$L340/$M340/1000,""),IF($D340="kg",IF($M340&gt;0,$L340/$M340,""),IF($D340="",IF($M340&gt;0,$L340/$M340/1000,IF($O340&gt;0,$N340/$O340,"")),IF($O340&gt;0,$N340/$O340,"")))))),IF(OR($D340="g",$D340="ｇ"),IF($M340&gt;0,$L340/$M340/1000,""),IF($D340="kg",IF($M340&gt;0,$L340/$M340,""),IF($D340="",IF($M340&gt;0,$L340/$M340/1000,IF($O340&gt;0,$N340/$O340,"")),IF($O340&gt;0,$N340/$O340,"")))),IF($F340="",IF(OR($E340="",$E340="⑩盛付梱包工程入力"),"",IF(OR($D340="g",$D340="ｇ"),INDEX(⑰工程労務費一覧!$N$5:$N$11,MATCH($E340,⑰工程労務費一覧!$K$5:$K$11,0))/1000,IF($D340="kg",INDEX(⑰工程労務費一覧!$N$5:$N$11,MATCH($E340,⑰工程労務費一覧!$K$5:$K$11,0)),IF(OR($D340="個",$D340="切",$D340="本",$D340="枚",$D340="尾"),IF($E340="⑬計量工程入力","",INDEX(⑰工程労務費一覧!$P$5:$P$11,MATCH($E340,⑰工程労務費一覧!$K$5:$K$11,0))),IF(AND($D340="",OR($E340="②釜工程入力",$E340="③スチコン工程入力")),INDEX(⑰工程労務費一覧!$N$5:$N$11,MATCH($E340,⑰工程労務費一覧!$K$5:$K$11,0))/1000,""))))),IF(OR($D340="g",$D340="ｇ"),INDEX(⑰工程労務費一覧!$H$5:$H$753,MATCH($F340,⑰工程労務費一覧!$D$5:$D$753,0))/1000,IF($D340="kg",INDEX(⑰工程労務費一覧!$H$5:$H$753,MATCH($F340,⑰工程労務費一覧!$D$5:$D$753,0)),INDEX(⑰工程労務費一覧!$I$5:$I$753,MATCH($F340,⑰工程労務費一覧!$D$5:$D$753,0)))))),"")</f>
        <v/>
      </c>
      <c r="I340" s="392">
        <f>IF($K340&gt;0,IF(ISNUMBER(IF(OR($D340="g",$D340="ｇ"),IF($M340&gt;0,$L340/$M340/1000,""),IF($D340="kg",IF($M340&gt;0,$L340/$M340,""),IF($D340="",IF($M340&gt;0,$L340/$M340/1000,IF($O340&gt;0,$N340/$O340,"")),IF($O340&gt;0,$N340/$O340,""))))),IF($D340="",IF($M340&gt;0,"◎ JAN紐づけ(g扱い)","◎ JAN紐づけ(個扱い)"),"◎ JAN紐づけ"),"△ JAN紐づけ済・実績不足→仮計算"),IF($F340="",IF(ISNUMBER($H340),IF($D340="","⑤ 工程平均で仮計算(g扱い)","⑤ 工程平均で仮計算"),IF($E340="⑩盛付梱包工程入力","⑥ 盛り込み(⑳F列で計上)",IF(AND($E340="⑬計量工程入力",OR($D340="個",$D340="切",$D340="本",$D340="枚",$D340="尾")),"① 未紐づけ(カット個単位は仮単価なし)","① 未紐づけ"))),IF(NOT(ISNUMBER($H340)),"② 工程側に単価なし",IF($D340="","③ 単位未設定(個で計算)","④ OK"))))</f>
        <v/>
      </c>
      <c r="J340" s="399">
        <f>IFERROR(LOOKUP(2,1/((中間品リスト!$F$2:$F$1299=$B340)*(中間品リスト!$E$2:$E$1299&lt;&gt;"-")*(中間品リスト!$E$2:$E$1299&lt;&gt;"")),中間品リスト!$E$2:$E$1299),"")</f>
        <v/>
      </c>
      <c r="K340" s="400">
        <f>IF($J340="",0,COUNTIF(②釜工程入力!$S$5:$S$117,$J340)+COUNTIF(③スチコン工程入力!$S$5:$S$152,$J340)+COUNTIF(⑪ZEN工程入力!$S$6:$S$35,$J340)+COUNTIF(⑫ミキサー工程入力!$S$6:$S$65,$J340)+COUNTIF(⑬計量工程入力!$S$6:$S$65,$J340)+COUNTIF(⑭手動工程入力!$S$6:$S$47,$J340))</f>
        <v/>
      </c>
      <c r="L340" s="393">
        <f>IF($J340="",0,SUMIFS(②釜工程入力!$M$5:$M$117,②釜工程入力!$S$5:$S$117,$J340,②釜工程入力!$I$5:$I$117,"&gt;0")+SUMIFS(③スチコン工程入力!$M$5:$M$152,③スチコン工程入力!$S$5:$S$152,$J340,③スチコン工程入力!$I$5:$I$152,"&gt;0")+SUMIFS(⑪ZEN工程入力!$M$6:$M$35,⑪ZEN工程入力!$S$6:$S$35,$J340,⑪ZEN工程入力!$I$6:$I$35,"&gt;0")+SUMIFS(⑫ミキサー工程入力!$M$6:$M$65,⑫ミキサー工程入力!$S$6:$S$65,$J340,⑫ミキサー工程入力!$I$6:$I$65,"&gt;0")+SUMIFS(⑬計量工程入力!$M$6:$M$65,⑬計量工程入力!$S$6:$S$65,$J340,⑬計量工程入力!$I$6:$I$65,"&gt;0")+SUMIFS(⑭手動工程入力!$M$6:$M$47,⑭手動工程入力!$S$6:$S$47,$J340,⑭手動工程入力!$I$6:$I$47,"&gt;0"))</f>
        <v/>
      </c>
      <c r="M340" s="393">
        <f>IF($J340="",0,SUMIFS(②釜工程入力!$I$5:$I$117,②釜工程入力!$S$5:$S$117,$J340,②釜工程入力!$I$5:$I$117,"&gt;0",②釜工程入力!$M$5:$M$117,"&gt;0")+SUMIFS(③スチコン工程入力!$I$5:$I$152,③スチコン工程入力!$S$5:$S$152,$J340,③スチコン工程入力!$I$5:$I$152,"&gt;0",③スチコン工程入力!$M$5:$M$152,"&gt;0")+SUMIFS(⑪ZEN工程入力!$I$6:$I$35,⑪ZEN工程入力!$S$6:$S$35,$J340,⑪ZEN工程入力!$I$6:$I$35,"&gt;0",⑪ZEN工程入力!$M$6:$M$35,"&gt;0")+SUMIFS(⑫ミキサー工程入力!$I$6:$I$65,⑫ミキサー工程入力!$S$6:$S$65,$J340,⑫ミキサー工程入力!$I$6:$I$65,"&gt;0",⑫ミキサー工程入力!$M$6:$M$65,"&gt;0")+SUMIFS(⑬計量工程入力!$I$6:$I$65,⑬計量工程入力!$S$6:$S$65,$J340,⑬計量工程入力!$I$6:$I$65,"&gt;0",⑬計量工程入力!$M$6:$M$65,"&gt;0")+SUMIFS(⑭手動工程入力!$I$6:$I$47,⑭手動工程入力!$S$6:$S$47,$J340,⑭手動工程入力!$I$6:$I$47,"&gt;0",⑭手動工程入力!$M$6:$M$47,"&gt;0"))</f>
        <v/>
      </c>
      <c r="N340" s="393">
        <f>IF($J340="",0,SUMIFS(②釜工程入力!$M$5:$M$117,②釜工程入力!$S$5:$S$117,$J340,②釜工程入力!$J$5:$J$117,"&gt;0")-SUMIFS(②釜工程入力!$M$5:$M$117,②釜工程入力!$S$5:$S$117,$J340,②釜工程入力!$J$5:$J$117,"&gt;0",②釜工程入力!$I$5:$I$117,"&gt;0")+SUMIFS(③スチコン工程入力!$M$5:$M$152,③スチコン工程入力!$S$5:$S$152,$J340,③スチコン工程入力!$J$5:$J$152,"&gt;0")-SUMIFS(③スチコン工程入力!$M$5:$M$152,③スチコン工程入力!$S$5:$S$152,$J340,③スチコン工程入力!$J$5:$J$152,"&gt;0",③スチコン工程入力!$I$5:$I$152,"&gt;0")+SUMIFS(⑪ZEN工程入力!$M$6:$M$35,⑪ZEN工程入力!$S$6:$S$35,$J340,⑪ZEN工程入力!$J$6:$J$35,"&gt;0")-SUMIFS(⑪ZEN工程入力!$M$6:$M$35,⑪ZEN工程入力!$S$6:$S$35,$J340,⑪ZEN工程入力!$J$6:$J$35,"&gt;0",⑪ZEN工程入力!$I$6:$I$35,"&gt;0")+SUMIFS(⑫ミキサー工程入力!$M$6:$M$65,⑫ミキサー工程入力!$S$6:$S$65,$J340,⑫ミキサー工程入力!$J$6:$J$65,"&gt;0")-SUMIFS(⑫ミキサー工程入力!$M$6:$M$65,⑫ミキサー工程入力!$S$6:$S$65,$J340,⑫ミキサー工程入力!$J$6:$J$65,"&gt;0",⑫ミキサー工程入力!$I$6:$I$65,"&gt;0")+SUMIFS(⑬計量工程入力!$M$6:$M$65,⑬計量工程入力!$S$6:$S$65,$J340,⑬計量工程入力!$J$6:$J$65,"&gt;0")-SUMIFS(⑬計量工程入力!$M$6:$M$65,⑬計量工程入力!$S$6:$S$65,$J340,⑬計量工程入力!$J$6:$J$65,"&gt;0",⑬計量工程入力!$I$6:$I$65,"&gt;0")+SUMIFS(⑭手動工程入力!$M$6:$M$47,⑭手動工程入力!$S$6:$S$47,$J340,⑭手動工程入力!$J$6:$J$47,"&gt;0")-SUMIFS(⑭手動工程入力!$M$6:$M$47,⑭手動工程入力!$S$6:$S$47,$J340,⑭手動工程入力!$J$6:$J$47,"&gt;0",⑭手動工程入力!$I$6:$I$47,"&gt;0"))</f>
        <v/>
      </c>
      <c r="O340" s="393">
        <f>IF($J340="",0,SUMIFS(②釜工程入力!$J$5:$J$117,②釜工程入力!$S$5:$S$117,$J340,②釜工程入力!$J$5:$J$117,"&gt;0",②釜工程入力!$M$5:$M$117,"&gt;0")-SUMIFS(②釜工程入力!$J$5:$J$117,②釜工程入力!$S$5:$S$117,$J340,②釜工程入力!$J$5:$J$117,"&gt;0",②釜工程入力!$I$5:$I$117,"&gt;0",②釜工程入力!$M$5:$M$117,"&gt;0")+SUMIFS(③スチコン工程入力!$J$5:$J$152,③スチコン工程入力!$S$5:$S$152,$J340,③スチコン工程入力!$J$5:$J$152,"&gt;0",③スチコン工程入力!$M$5:$M$152,"&gt;0")-SUMIFS(③スチコン工程入力!$J$5:$J$152,③スチコン工程入力!$S$5:$S$152,$J340,③スチコン工程入力!$J$5:$J$152,"&gt;0",③スチコン工程入力!$I$5:$I$152,"&gt;0",③スチコン工程入力!$M$5:$M$152,"&gt;0")+SUMIFS(⑪ZEN工程入力!$J$6:$J$35,⑪ZEN工程入力!$S$6:$S$35,$J340,⑪ZEN工程入力!$J$6:$J$35,"&gt;0",⑪ZEN工程入力!$M$6:$M$35,"&gt;0")-SUMIFS(⑪ZEN工程入力!$J$6:$J$35,⑪ZEN工程入力!$S$6:$S$35,$J340,⑪ZEN工程入力!$J$6:$J$35,"&gt;0",⑪ZEN工程入力!$I$6:$I$35,"&gt;0",⑪ZEN工程入力!$M$6:$M$35,"&gt;0")+SUMIFS(⑫ミキサー工程入力!$J$6:$J$65,⑫ミキサー工程入力!$S$6:$S$65,$J340,⑫ミキサー工程入力!$J$6:$J$65,"&gt;0",⑫ミキサー工程入力!$M$6:$M$65,"&gt;0")-SUMIFS(⑫ミキサー工程入力!$J$6:$J$65,⑫ミキサー工程入力!$S$6:$S$65,$J340,⑫ミキサー工程入力!$J$6:$J$65,"&gt;0",⑫ミキサー工程入力!$I$6:$I$65,"&gt;0",⑫ミキサー工程入力!$M$6:$M$65,"&gt;0")+SUMIFS(⑬計量工程入力!$J$6:$J$65,⑬計量工程入力!$S$6:$S$65,$J340,⑬計量工程入力!$J$6:$J$65,"&gt;0",⑬計量工程入力!$M$6:$M$65,"&gt;0")-SUMIFS(⑬計量工程入力!$J$6:$J$65,⑬計量工程入力!$S$6:$S$65,$J340,⑬計量工程入力!$J$6:$J$65,"&gt;0",⑬計量工程入力!$I$6:$I$65,"&gt;0",⑬計量工程入力!$M$6:$M$65,"&gt;0")+SUMIFS(⑭手動工程入力!$J$6:$J$47,⑭手動工程入力!$S$6:$S$47,$J340,⑭手動工程入力!$J$6:$J$47,"&gt;0",⑭手動工程入力!$M$6:$M$47,"&gt;0")-SUMIFS(⑭手動工程入力!$J$6:$J$47,⑭手動工程入力!$S$6:$S$47,$J340,⑭手動工程入力!$J$6:$J$47,"&gt;0",⑭手動工程入力!$I$6:$I$47,"&gt;0",⑭手動工程入力!$M$6:$M$47,"&gt;0"))</f>
        <v/>
      </c>
      <c r="P340" s="392" t="inlineStr">
        <is>
          <t>中間品リスト</t>
        </is>
      </c>
    </row>
    <row r="341">
      <c r="A341" s="392" t="n">
        <v>337</v>
      </c>
      <c r="B341" s="392" t="n"/>
      <c r="C341" s="392" t="n"/>
      <c r="D341" s="409" t="n"/>
      <c r="E341" s="392" t="n"/>
      <c r="F341" s="394" t="n"/>
      <c r="G341" s="392" t="n"/>
      <c r="H341" s="604">
        <f>IFERROR(IF(AND($K341&gt;0,ISNUMBER(IF(OR($D341="g",$D341="ｇ"),IF($M341&gt;0,$L341/$M341/1000,""),IF($D341="kg",IF($M341&gt;0,$L341/$M341,""),IF($D341="",IF($M341&gt;0,$L341/$M341/1000,IF($O341&gt;0,$N341/$O341,"")),IF($O341&gt;0,$N341/$O341,"")))))),IF(OR($D341="g",$D341="ｇ"),IF($M341&gt;0,$L341/$M341/1000,""),IF($D341="kg",IF($M341&gt;0,$L341/$M341,""),IF($D341="",IF($M341&gt;0,$L341/$M341/1000,IF($O341&gt;0,$N341/$O341,"")),IF($O341&gt;0,$N341/$O341,"")))),IF($F341="",IF(OR($E341="",$E341="⑩盛付梱包工程入力"),"",IF(OR($D341="g",$D341="ｇ"),INDEX(⑰工程労務費一覧!$N$5:$N$11,MATCH($E341,⑰工程労務費一覧!$K$5:$K$11,0))/1000,IF($D341="kg",INDEX(⑰工程労務費一覧!$N$5:$N$11,MATCH($E341,⑰工程労務費一覧!$K$5:$K$11,0)),IF(OR($D341="個",$D341="切",$D341="本",$D341="枚",$D341="尾"),IF($E341="⑬計量工程入力","",INDEX(⑰工程労務費一覧!$P$5:$P$11,MATCH($E341,⑰工程労務費一覧!$K$5:$K$11,0))),IF(AND($D341="",OR($E341="②釜工程入力",$E341="③スチコン工程入力")),INDEX(⑰工程労務費一覧!$N$5:$N$11,MATCH($E341,⑰工程労務費一覧!$K$5:$K$11,0))/1000,""))))),IF(OR($D341="g",$D341="ｇ"),INDEX(⑰工程労務費一覧!$H$5:$H$753,MATCH($F341,⑰工程労務費一覧!$D$5:$D$753,0))/1000,IF($D341="kg",INDEX(⑰工程労務費一覧!$H$5:$H$753,MATCH($F341,⑰工程労務費一覧!$D$5:$D$753,0)),INDEX(⑰工程労務費一覧!$I$5:$I$753,MATCH($F341,⑰工程労務費一覧!$D$5:$D$753,0)))))),"")</f>
        <v/>
      </c>
      <c r="I341" s="392">
        <f>IF($K341&gt;0,IF(ISNUMBER(IF(OR($D341="g",$D341="ｇ"),IF($M341&gt;0,$L341/$M341/1000,""),IF($D341="kg",IF($M341&gt;0,$L341/$M341,""),IF($D341="",IF($M341&gt;0,$L341/$M341/1000,IF($O341&gt;0,$N341/$O341,"")),IF($O341&gt;0,$N341/$O341,""))))),IF($D341="",IF($M341&gt;0,"◎ JAN紐づけ(g扱い)","◎ JAN紐づけ(個扱い)"),"◎ JAN紐づけ"),"△ JAN紐づけ済・実績不足→仮計算"),IF($F341="",IF(ISNUMBER($H341),IF($D341="","⑤ 工程平均で仮計算(g扱い)","⑤ 工程平均で仮計算"),IF($E341="⑩盛付梱包工程入力","⑥ 盛り込み(⑳F列で計上)",IF(AND($E341="⑬計量工程入力",OR($D341="個",$D341="切",$D341="本",$D341="枚",$D341="尾")),"① 未紐づけ(カット個単位は仮単価なし)","① 未紐づけ"))),IF(NOT(ISNUMBER($H341)),"② 工程側に単価なし",IF($D341="","③ 単位未設定(個で計算)","④ OK"))))</f>
        <v/>
      </c>
      <c r="J341" s="399">
        <f>IFERROR(LOOKUP(2,1/((中間品リスト!$F$2:$F$1299=$B341)*(中間品リスト!$E$2:$E$1299&lt;&gt;"-")*(中間品リスト!$E$2:$E$1299&lt;&gt;"")),中間品リスト!$E$2:$E$1299),"")</f>
        <v/>
      </c>
      <c r="K341" s="400">
        <f>IF($J341="",0,COUNTIF(②釜工程入力!$S$5:$S$117,$J341)+COUNTIF(③スチコン工程入力!$S$5:$S$152,$J341)+COUNTIF(⑪ZEN工程入力!$S$6:$S$35,$J341)+COUNTIF(⑫ミキサー工程入力!$S$6:$S$65,$J341)+COUNTIF(⑬計量工程入力!$S$6:$S$65,$J341)+COUNTIF(⑭手動工程入力!$S$6:$S$47,$J341))</f>
        <v/>
      </c>
      <c r="L341" s="393">
        <f>IF($J341="",0,SUMIFS(②釜工程入力!$M$5:$M$117,②釜工程入力!$S$5:$S$117,$J341,②釜工程入力!$I$5:$I$117,"&gt;0")+SUMIFS(③スチコン工程入力!$M$5:$M$152,③スチコン工程入力!$S$5:$S$152,$J341,③スチコン工程入力!$I$5:$I$152,"&gt;0")+SUMIFS(⑪ZEN工程入力!$M$6:$M$35,⑪ZEN工程入力!$S$6:$S$35,$J341,⑪ZEN工程入力!$I$6:$I$35,"&gt;0")+SUMIFS(⑫ミキサー工程入力!$M$6:$M$65,⑫ミキサー工程入力!$S$6:$S$65,$J341,⑫ミキサー工程入力!$I$6:$I$65,"&gt;0")+SUMIFS(⑬計量工程入力!$M$6:$M$65,⑬計量工程入力!$S$6:$S$65,$J341,⑬計量工程入力!$I$6:$I$65,"&gt;0")+SUMIFS(⑭手動工程入力!$M$6:$M$47,⑭手動工程入力!$S$6:$S$47,$J341,⑭手動工程入力!$I$6:$I$47,"&gt;0"))</f>
        <v/>
      </c>
      <c r="M341" s="393">
        <f>IF($J341="",0,SUMIFS(②釜工程入力!$I$5:$I$117,②釜工程入力!$S$5:$S$117,$J341,②釜工程入力!$I$5:$I$117,"&gt;0",②釜工程入力!$M$5:$M$117,"&gt;0")+SUMIFS(③スチコン工程入力!$I$5:$I$152,③スチコン工程入力!$S$5:$S$152,$J341,③スチコン工程入力!$I$5:$I$152,"&gt;0",③スチコン工程入力!$M$5:$M$152,"&gt;0")+SUMIFS(⑪ZEN工程入力!$I$6:$I$35,⑪ZEN工程入力!$S$6:$S$35,$J341,⑪ZEN工程入力!$I$6:$I$35,"&gt;0",⑪ZEN工程入力!$M$6:$M$35,"&gt;0")+SUMIFS(⑫ミキサー工程入力!$I$6:$I$65,⑫ミキサー工程入力!$S$6:$S$65,$J341,⑫ミキサー工程入力!$I$6:$I$65,"&gt;0",⑫ミキサー工程入力!$M$6:$M$65,"&gt;0")+SUMIFS(⑬計量工程入力!$I$6:$I$65,⑬計量工程入力!$S$6:$S$65,$J341,⑬計量工程入力!$I$6:$I$65,"&gt;0",⑬計量工程入力!$M$6:$M$65,"&gt;0")+SUMIFS(⑭手動工程入力!$I$6:$I$47,⑭手動工程入力!$S$6:$S$47,$J341,⑭手動工程入力!$I$6:$I$47,"&gt;0",⑭手動工程入力!$M$6:$M$47,"&gt;0"))</f>
        <v/>
      </c>
      <c r="N341" s="393">
        <f>IF($J341="",0,SUMIFS(②釜工程入力!$M$5:$M$117,②釜工程入力!$S$5:$S$117,$J341,②釜工程入力!$J$5:$J$117,"&gt;0")-SUMIFS(②釜工程入力!$M$5:$M$117,②釜工程入力!$S$5:$S$117,$J341,②釜工程入力!$J$5:$J$117,"&gt;0",②釜工程入力!$I$5:$I$117,"&gt;0")+SUMIFS(③スチコン工程入力!$M$5:$M$152,③スチコン工程入力!$S$5:$S$152,$J341,③スチコン工程入力!$J$5:$J$152,"&gt;0")-SUMIFS(③スチコン工程入力!$M$5:$M$152,③スチコン工程入力!$S$5:$S$152,$J341,③スチコン工程入力!$J$5:$J$152,"&gt;0",③スチコン工程入力!$I$5:$I$152,"&gt;0")+SUMIFS(⑪ZEN工程入力!$M$6:$M$35,⑪ZEN工程入力!$S$6:$S$35,$J341,⑪ZEN工程入力!$J$6:$J$35,"&gt;0")-SUMIFS(⑪ZEN工程入力!$M$6:$M$35,⑪ZEN工程入力!$S$6:$S$35,$J341,⑪ZEN工程入力!$J$6:$J$35,"&gt;0",⑪ZEN工程入力!$I$6:$I$35,"&gt;0")+SUMIFS(⑫ミキサー工程入力!$M$6:$M$65,⑫ミキサー工程入力!$S$6:$S$65,$J341,⑫ミキサー工程入力!$J$6:$J$65,"&gt;0")-SUMIFS(⑫ミキサー工程入力!$M$6:$M$65,⑫ミキサー工程入力!$S$6:$S$65,$J341,⑫ミキサー工程入力!$J$6:$J$65,"&gt;0",⑫ミキサー工程入力!$I$6:$I$65,"&gt;0")+SUMIFS(⑬計量工程入力!$M$6:$M$65,⑬計量工程入力!$S$6:$S$65,$J341,⑬計量工程入力!$J$6:$J$65,"&gt;0")-SUMIFS(⑬計量工程入力!$M$6:$M$65,⑬計量工程入力!$S$6:$S$65,$J341,⑬計量工程入力!$J$6:$J$65,"&gt;0",⑬計量工程入力!$I$6:$I$65,"&gt;0")+SUMIFS(⑭手動工程入力!$M$6:$M$47,⑭手動工程入力!$S$6:$S$47,$J341,⑭手動工程入力!$J$6:$J$47,"&gt;0")-SUMIFS(⑭手動工程入力!$M$6:$M$47,⑭手動工程入力!$S$6:$S$47,$J341,⑭手動工程入力!$J$6:$J$47,"&gt;0",⑭手動工程入力!$I$6:$I$47,"&gt;0"))</f>
        <v/>
      </c>
      <c r="O341" s="393">
        <f>IF($J341="",0,SUMIFS(②釜工程入力!$J$5:$J$117,②釜工程入力!$S$5:$S$117,$J341,②釜工程入力!$J$5:$J$117,"&gt;0",②釜工程入力!$M$5:$M$117,"&gt;0")-SUMIFS(②釜工程入力!$J$5:$J$117,②釜工程入力!$S$5:$S$117,$J341,②釜工程入力!$J$5:$J$117,"&gt;0",②釜工程入力!$I$5:$I$117,"&gt;0",②釜工程入力!$M$5:$M$117,"&gt;0")+SUMIFS(③スチコン工程入力!$J$5:$J$152,③スチコン工程入力!$S$5:$S$152,$J341,③スチコン工程入力!$J$5:$J$152,"&gt;0",③スチコン工程入力!$M$5:$M$152,"&gt;0")-SUMIFS(③スチコン工程入力!$J$5:$J$152,③スチコン工程入力!$S$5:$S$152,$J341,③スチコン工程入力!$J$5:$J$152,"&gt;0",③スチコン工程入力!$I$5:$I$152,"&gt;0",③スチコン工程入力!$M$5:$M$152,"&gt;0")+SUMIFS(⑪ZEN工程入力!$J$6:$J$35,⑪ZEN工程入力!$S$6:$S$35,$J341,⑪ZEN工程入力!$J$6:$J$35,"&gt;0",⑪ZEN工程入力!$M$6:$M$35,"&gt;0")-SUMIFS(⑪ZEN工程入力!$J$6:$J$35,⑪ZEN工程入力!$S$6:$S$35,$J341,⑪ZEN工程入力!$J$6:$J$35,"&gt;0",⑪ZEN工程入力!$I$6:$I$35,"&gt;0",⑪ZEN工程入力!$M$6:$M$35,"&gt;0")+SUMIFS(⑫ミキサー工程入力!$J$6:$J$65,⑫ミキサー工程入力!$S$6:$S$65,$J341,⑫ミキサー工程入力!$J$6:$J$65,"&gt;0",⑫ミキサー工程入力!$M$6:$M$65,"&gt;0")-SUMIFS(⑫ミキサー工程入力!$J$6:$J$65,⑫ミキサー工程入力!$S$6:$S$65,$J341,⑫ミキサー工程入力!$J$6:$J$65,"&gt;0",⑫ミキサー工程入力!$I$6:$I$65,"&gt;0",⑫ミキサー工程入力!$M$6:$M$65,"&gt;0")+SUMIFS(⑬計量工程入力!$J$6:$J$65,⑬計量工程入力!$S$6:$S$65,$J341,⑬計量工程入力!$J$6:$J$65,"&gt;0",⑬計量工程入力!$M$6:$M$65,"&gt;0")-SUMIFS(⑬計量工程入力!$J$6:$J$65,⑬計量工程入力!$S$6:$S$65,$J341,⑬計量工程入力!$J$6:$J$65,"&gt;0",⑬計量工程入力!$I$6:$I$65,"&gt;0",⑬計量工程入力!$M$6:$M$65,"&gt;0")+SUMIFS(⑭手動工程入力!$J$6:$J$47,⑭手動工程入力!$S$6:$S$47,$J341,⑭手動工程入力!$J$6:$J$47,"&gt;0",⑭手動工程入力!$M$6:$M$47,"&gt;0")-SUMIFS(⑭手動工程入力!$J$6:$J$47,⑭手動工程入力!$S$6:$S$47,$J341,⑭手動工程入力!$J$6:$J$47,"&gt;0",⑭手動工程入力!$I$6:$I$47,"&gt;0",⑭手動工程入力!$M$6:$M$47,"&gt;0"))</f>
        <v/>
      </c>
      <c r="P341" s="392" t="inlineStr">
        <is>
          <t>中間品リスト</t>
        </is>
      </c>
    </row>
    <row r="342">
      <c r="A342" s="392" t="n">
        <v>338</v>
      </c>
      <c r="B342" s="392" t="n"/>
      <c r="C342" s="392" t="n"/>
      <c r="D342" s="409" t="n"/>
      <c r="E342" s="392" t="n"/>
      <c r="F342" s="394" t="n"/>
      <c r="G342" s="392" t="n"/>
      <c r="H342" s="604">
        <f>IFERROR(IF(AND($K342&gt;0,ISNUMBER(IF(OR($D342="g",$D342="ｇ"),IF($M342&gt;0,$L342/$M342/1000,""),IF($D342="kg",IF($M342&gt;0,$L342/$M342,""),IF($D342="",IF($M342&gt;0,$L342/$M342/1000,IF($O342&gt;0,$N342/$O342,"")),IF($O342&gt;0,$N342/$O342,"")))))),IF(OR($D342="g",$D342="ｇ"),IF($M342&gt;0,$L342/$M342/1000,""),IF($D342="kg",IF($M342&gt;0,$L342/$M342,""),IF($D342="",IF($M342&gt;0,$L342/$M342/1000,IF($O342&gt;0,$N342/$O342,"")),IF($O342&gt;0,$N342/$O342,"")))),IF($F342="",IF(OR($E342="",$E342="⑩盛付梱包工程入力"),"",IF(OR($D342="g",$D342="ｇ"),INDEX(⑰工程労務費一覧!$N$5:$N$11,MATCH($E342,⑰工程労務費一覧!$K$5:$K$11,0))/1000,IF($D342="kg",INDEX(⑰工程労務費一覧!$N$5:$N$11,MATCH($E342,⑰工程労務費一覧!$K$5:$K$11,0)),IF(OR($D342="個",$D342="切",$D342="本",$D342="枚",$D342="尾"),IF($E342="⑬計量工程入力","",INDEX(⑰工程労務費一覧!$P$5:$P$11,MATCH($E342,⑰工程労務費一覧!$K$5:$K$11,0))),IF(AND($D342="",OR($E342="②釜工程入力",$E342="③スチコン工程入力")),INDEX(⑰工程労務費一覧!$N$5:$N$11,MATCH($E342,⑰工程労務費一覧!$K$5:$K$11,0))/1000,""))))),IF(OR($D342="g",$D342="ｇ"),INDEX(⑰工程労務費一覧!$H$5:$H$753,MATCH($F342,⑰工程労務費一覧!$D$5:$D$753,0))/1000,IF($D342="kg",INDEX(⑰工程労務費一覧!$H$5:$H$753,MATCH($F342,⑰工程労務費一覧!$D$5:$D$753,0)),INDEX(⑰工程労務費一覧!$I$5:$I$753,MATCH($F342,⑰工程労務費一覧!$D$5:$D$753,0)))))),"")</f>
        <v/>
      </c>
      <c r="I342" s="392">
        <f>IF($K342&gt;0,IF(ISNUMBER(IF(OR($D342="g",$D342="ｇ"),IF($M342&gt;0,$L342/$M342/1000,""),IF($D342="kg",IF($M342&gt;0,$L342/$M342,""),IF($D342="",IF($M342&gt;0,$L342/$M342/1000,IF($O342&gt;0,$N342/$O342,"")),IF($O342&gt;0,$N342/$O342,""))))),IF($D342="",IF($M342&gt;0,"◎ JAN紐づけ(g扱い)","◎ JAN紐づけ(個扱い)"),"◎ JAN紐づけ"),"△ JAN紐づけ済・実績不足→仮計算"),IF($F342="",IF(ISNUMBER($H342),IF($D342="","⑤ 工程平均で仮計算(g扱い)","⑤ 工程平均で仮計算"),IF($E342="⑩盛付梱包工程入力","⑥ 盛り込み(⑳F列で計上)",IF(AND($E342="⑬計量工程入力",OR($D342="個",$D342="切",$D342="本",$D342="枚",$D342="尾")),"① 未紐づけ(カット個単位は仮単価なし)","① 未紐づけ"))),IF(NOT(ISNUMBER($H342)),"② 工程側に単価なし",IF($D342="","③ 単位未設定(個で計算)","④ OK"))))</f>
        <v/>
      </c>
      <c r="J342" s="399">
        <f>IFERROR(LOOKUP(2,1/((中間品リスト!$F$2:$F$1299=$B342)*(中間品リスト!$E$2:$E$1299&lt;&gt;"-")*(中間品リスト!$E$2:$E$1299&lt;&gt;"")),中間品リスト!$E$2:$E$1299),"")</f>
        <v/>
      </c>
      <c r="K342" s="400">
        <f>IF($J342="",0,COUNTIF(②釜工程入力!$S$5:$S$117,$J342)+COUNTIF(③スチコン工程入力!$S$5:$S$152,$J342)+COUNTIF(⑪ZEN工程入力!$S$6:$S$35,$J342)+COUNTIF(⑫ミキサー工程入力!$S$6:$S$65,$J342)+COUNTIF(⑬計量工程入力!$S$6:$S$65,$J342)+COUNTIF(⑭手動工程入力!$S$6:$S$47,$J342))</f>
        <v/>
      </c>
      <c r="L342" s="393">
        <f>IF($J342="",0,SUMIFS(②釜工程入力!$M$5:$M$117,②釜工程入力!$S$5:$S$117,$J342,②釜工程入力!$I$5:$I$117,"&gt;0")+SUMIFS(③スチコン工程入力!$M$5:$M$152,③スチコン工程入力!$S$5:$S$152,$J342,③スチコン工程入力!$I$5:$I$152,"&gt;0")+SUMIFS(⑪ZEN工程入力!$M$6:$M$35,⑪ZEN工程入力!$S$6:$S$35,$J342,⑪ZEN工程入力!$I$6:$I$35,"&gt;0")+SUMIFS(⑫ミキサー工程入力!$M$6:$M$65,⑫ミキサー工程入力!$S$6:$S$65,$J342,⑫ミキサー工程入力!$I$6:$I$65,"&gt;0")+SUMIFS(⑬計量工程入力!$M$6:$M$65,⑬計量工程入力!$S$6:$S$65,$J342,⑬計量工程入力!$I$6:$I$65,"&gt;0")+SUMIFS(⑭手動工程入力!$M$6:$M$47,⑭手動工程入力!$S$6:$S$47,$J342,⑭手動工程入力!$I$6:$I$47,"&gt;0"))</f>
        <v/>
      </c>
      <c r="M342" s="393">
        <f>IF($J342="",0,SUMIFS(②釜工程入力!$I$5:$I$117,②釜工程入力!$S$5:$S$117,$J342,②釜工程入力!$I$5:$I$117,"&gt;0",②釜工程入力!$M$5:$M$117,"&gt;0")+SUMIFS(③スチコン工程入力!$I$5:$I$152,③スチコン工程入力!$S$5:$S$152,$J342,③スチコン工程入力!$I$5:$I$152,"&gt;0",③スチコン工程入力!$M$5:$M$152,"&gt;0")+SUMIFS(⑪ZEN工程入力!$I$6:$I$35,⑪ZEN工程入力!$S$6:$S$35,$J342,⑪ZEN工程入力!$I$6:$I$35,"&gt;0",⑪ZEN工程入力!$M$6:$M$35,"&gt;0")+SUMIFS(⑫ミキサー工程入力!$I$6:$I$65,⑫ミキサー工程入力!$S$6:$S$65,$J342,⑫ミキサー工程入力!$I$6:$I$65,"&gt;0",⑫ミキサー工程入力!$M$6:$M$65,"&gt;0")+SUMIFS(⑬計量工程入力!$I$6:$I$65,⑬計量工程入力!$S$6:$S$65,$J342,⑬計量工程入力!$I$6:$I$65,"&gt;0",⑬計量工程入力!$M$6:$M$65,"&gt;0")+SUMIFS(⑭手動工程入力!$I$6:$I$47,⑭手動工程入力!$S$6:$S$47,$J342,⑭手動工程入力!$I$6:$I$47,"&gt;0",⑭手動工程入力!$M$6:$M$47,"&gt;0"))</f>
        <v/>
      </c>
      <c r="N342" s="393">
        <f>IF($J342="",0,SUMIFS(②釜工程入力!$M$5:$M$117,②釜工程入力!$S$5:$S$117,$J342,②釜工程入力!$J$5:$J$117,"&gt;0")-SUMIFS(②釜工程入力!$M$5:$M$117,②釜工程入力!$S$5:$S$117,$J342,②釜工程入力!$J$5:$J$117,"&gt;0",②釜工程入力!$I$5:$I$117,"&gt;0")+SUMIFS(③スチコン工程入力!$M$5:$M$152,③スチコン工程入力!$S$5:$S$152,$J342,③スチコン工程入力!$J$5:$J$152,"&gt;0")-SUMIFS(③スチコン工程入力!$M$5:$M$152,③スチコン工程入力!$S$5:$S$152,$J342,③スチコン工程入力!$J$5:$J$152,"&gt;0",③スチコン工程入力!$I$5:$I$152,"&gt;0")+SUMIFS(⑪ZEN工程入力!$M$6:$M$35,⑪ZEN工程入力!$S$6:$S$35,$J342,⑪ZEN工程入力!$J$6:$J$35,"&gt;0")-SUMIFS(⑪ZEN工程入力!$M$6:$M$35,⑪ZEN工程入力!$S$6:$S$35,$J342,⑪ZEN工程入力!$J$6:$J$35,"&gt;0",⑪ZEN工程入力!$I$6:$I$35,"&gt;0")+SUMIFS(⑫ミキサー工程入力!$M$6:$M$65,⑫ミキサー工程入力!$S$6:$S$65,$J342,⑫ミキサー工程入力!$J$6:$J$65,"&gt;0")-SUMIFS(⑫ミキサー工程入力!$M$6:$M$65,⑫ミキサー工程入力!$S$6:$S$65,$J342,⑫ミキサー工程入力!$J$6:$J$65,"&gt;0",⑫ミキサー工程入力!$I$6:$I$65,"&gt;0")+SUMIFS(⑬計量工程入力!$M$6:$M$65,⑬計量工程入力!$S$6:$S$65,$J342,⑬計量工程入力!$J$6:$J$65,"&gt;0")-SUMIFS(⑬計量工程入力!$M$6:$M$65,⑬計量工程入力!$S$6:$S$65,$J342,⑬計量工程入力!$J$6:$J$65,"&gt;0",⑬計量工程入力!$I$6:$I$65,"&gt;0")+SUMIFS(⑭手動工程入力!$M$6:$M$47,⑭手動工程入力!$S$6:$S$47,$J342,⑭手動工程入力!$J$6:$J$47,"&gt;0")-SUMIFS(⑭手動工程入力!$M$6:$M$47,⑭手動工程入力!$S$6:$S$47,$J342,⑭手動工程入力!$J$6:$J$47,"&gt;0",⑭手動工程入力!$I$6:$I$47,"&gt;0"))</f>
        <v/>
      </c>
      <c r="O342" s="393">
        <f>IF($J342="",0,SUMIFS(②釜工程入力!$J$5:$J$117,②釜工程入力!$S$5:$S$117,$J342,②釜工程入力!$J$5:$J$117,"&gt;0",②釜工程入力!$M$5:$M$117,"&gt;0")-SUMIFS(②釜工程入力!$J$5:$J$117,②釜工程入力!$S$5:$S$117,$J342,②釜工程入力!$J$5:$J$117,"&gt;0",②釜工程入力!$I$5:$I$117,"&gt;0",②釜工程入力!$M$5:$M$117,"&gt;0")+SUMIFS(③スチコン工程入力!$J$5:$J$152,③スチコン工程入力!$S$5:$S$152,$J342,③スチコン工程入力!$J$5:$J$152,"&gt;0",③スチコン工程入力!$M$5:$M$152,"&gt;0")-SUMIFS(③スチコン工程入力!$J$5:$J$152,③スチコン工程入力!$S$5:$S$152,$J342,③スチコン工程入力!$J$5:$J$152,"&gt;0",③スチコン工程入力!$I$5:$I$152,"&gt;0",③スチコン工程入力!$M$5:$M$152,"&gt;0")+SUMIFS(⑪ZEN工程入力!$J$6:$J$35,⑪ZEN工程入力!$S$6:$S$35,$J342,⑪ZEN工程入力!$J$6:$J$35,"&gt;0",⑪ZEN工程入力!$M$6:$M$35,"&gt;0")-SUMIFS(⑪ZEN工程入力!$J$6:$J$35,⑪ZEN工程入力!$S$6:$S$35,$J342,⑪ZEN工程入力!$J$6:$J$35,"&gt;0",⑪ZEN工程入力!$I$6:$I$35,"&gt;0",⑪ZEN工程入力!$M$6:$M$35,"&gt;0")+SUMIFS(⑫ミキサー工程入力!$J$6:$J$65,⑫ミキサー工程入力!$S$6:$S$65,$J342,⑫ミキサー工程入力!$J$6:$J$65,"&gt;0",⑫ミキサー工程入力!$M$6:$M$65,"&gt;0")-SUMIFS(⑫ミキサー工程入力!$J$6:$J$65,⑫ミキサー工程入力!$S$6:$S$65,$J342,⑫ミキサー工程入力!$J$6:$J$65,"&gt;0",⑫ミキサー工程入力!$I$6:$I$65,"&gt;0",⑫ミキサー工程入力!$M$6:$M$65,"&gt;0")+SUMIFS(⑬計量工程入力!$J$6:$J$65,⑬計量工程入力!$S$6:$S$65,$J342,⑬計量工程入力!$J$6:$J$65,"&gt;0",⑬計量工程入力!$M$6:$M$65,"&gt;0")-SUMIFS(⑬計量工程入力!$J$6:$J$65,⑬計量工程入力!$S$6:$S$65,$J342,⑬計量工程入力!$J$6:$J$65,"&gt;0",⑬計量工程入力!$I$6:$I$65,"&gt;0",⑬計量工程入力!$M$6:$M$65,"&gt;0")+SUMIFS(⑭手動工程入力!$J$6:$J$47,⑭手動工程入力!$S$6:$S$47,$J342,⑭手動工程入力!$J$6:$J$47,"&gt;0",⑭手動工程入力!$M$6:$M$47,"&gt;0")-SUMIFS(⑭手動工程入力!$J$6:$J$47,⑭手動工程入力!$S$6:$S$47,$J342,⑭手動工程入力!$J$6:$J$47,"&gt;0",⑭手動工程入力!$I$6:$I$47,"&gt;0",⑭手動工程入力!$M$6:$M$47,"&gt;0"))</f>
        <v/>
      </c>
      <c r="P342" s="392" t="inlineStr">
        <is>
          <t>中間品リスト</t>
        </is>
      </c>
    </row>
    <row r="343">
      <c r="A343" s="392" t="n">
        <v>339</v>
      </c>
      <c r="B343" s="392" t="n"/>
      <c r="C343" s="392" t="n"/>
      <c r="D343" s="409" t="n"/>
      <c r="E343" s="392" t="n"/>
      <c r="F343" s="394" t="n"/>
      <c r="G343" s="392" t="n"/>
      <c r="H343" s="604">
        <f>IFERROR(IF(AND($K343&gt;0,ISNUMBER(IF(OR($D343="g",$D343="ｇ"),IF($M343&gt;0,$L343/$M343/1000,""),IF($D343="kg",IF($M343&gt;0,$L343/$M343,""),IF($D343="",IF($M343&gt;0,$L343/$M343/1000,IF($O343&gt;0,$N343/$O343,"")),IF($O343&gt;0,$N343/$O343,"")))))),IF(OR($D343="g",$D343="ｇ"),IF($M343&gt;0,$L343/$M343/1000,""),IF($D343="kg",IF($M343&gt;0,$L343/$M343,""),IF($D343="",IF($M343&gt;0,$L343/$M343/1000,IF($O343&gt;0,$N343/$O343,"")),IF($O343&gt;0,$N343/$O343,"")))),IF($F343="",IF(OR($E343="",$E343="⑩盛付梱包工程入力"),"",IF(OR($D343="g",$D343="ｇ"),INDEX(⑰工程労務費一覧!$N$5:$N$11,MATCH($E343,⑰工程労務費一覧!$K$5:$K$11,0))/1000,IF($D343="kg",INDEX(⑰工程労務費一覧!$N$5:$N$11,MATCH($E343,⑰工程労務費一覧!$K$5:$K$11,0)),IF(OR($D343="個",$D343="切",$D343="本",$D343="枚",$D343="尾"),IF($E343="⑬計量工程入力","",INDEX(⑰工程労務費一覧!$P$5:$P$11,MATCH($E343,⑰工程労務費一覧!$K$5:$K$11,0))),IF(AND($D343="",OR($E343="②釜工程入力",$E343="③スチコン工程入力")),INDEX(⑰工程労務費一覧!$N$5:$N$11,MATCH($E343,⑰工程労務費一覧!$K$5:$K$11,0))/1000,""))))),IF(OR($D343="g",$D343="ｇ"),INDEX(⑰工程労務費一覧!$H$5:$H$753,MATCH($F343,⑰工程労務費一覧!$D$5:$D$753,0))/1000,IF($D343="kg",INDEX(⑰工程労務費一覧!$H$5:$H$753,MATCH($F343,⑰工程労務費一覧!$D$5:$D$753,0)),INDEX(⑰工程労務費一覧!$I$5:$I$753,MATCH($F343,⑰工程労務費一覧!$D$5:$D$753,0)))))),"")</f>
        <v/>
      </c>
      <c r="I343" s="392">
        <f>IF($K343&gt;0,IF(ISNUMBER(IF(OR($D343="g",$D343="ｇ"),IF($M343&gt;0,$L343/$M343/1000,""),IF($D343="kg",IF($M343&gt;0,$L343/$M343,""),IF($D343="",IF($M343&gt;0,$L343/$M343/1000,IF($O343&gt;0,$N343/$O343,"")),IF($O343&gt;0,$N343/$O343,""))))),IF($D343="",IF($M343&gt;0,"◎ JAN紐づけ(g扱い)","◎ JAN紐づけ(個扱い)"),"◎ JAN紐づけ"),"△ JAN紐づけ済・実績不足→仮計算"),IF($F343="",IF(ISNUMBER($H343),IF($D343="","⑤ 工程平均で仮計算(g扱い)","⑤ 工程平均で仮計算"),IF($E343="⑩盛付梱包工程入力","⑥ 盛り込み(⑳F列で計上)",IF(AND($E343="⑬計量工程入力",OR($D343="個",$D343="切",$D343="本",$D343="枚",$D343="尾")),"① 未紐づけ(カット個単位は仮単価なし)","① 未紐づけ"))),IF(NOT(ISNUMBER($H343)),"② 工程側に単価なし",IF($D343="","③ 単位未設定(個で計算)","④ OK"))))</f>
        <v/>
      </c>
      <c r="J343" s="399">
        <f>IFERROR(LOOKUP(2,1/((中間品リスト!$F$2:$F$1299=$B343)*(中間品リスト!$E$2:$E$1299&lt;&gt;"-")*(中間品リスト!$E$2:$E$1299&lt;&gt;"")),中間品リスト!$E$2:$E$1299),"")</f>
        <v/>
      </c>
      <c r="K343" s="400">
        <f>IF($J343="",0,COUNTIF(②釜工程入力!$S$5:$S$117,$J343)+COUNTIF(③スチコン工程入力!$S$5:$S$152,$J343)+COUNTIF(⑪ZEN工程入力!$S$6:$S$35,$J343)+COUNTIF(⑫ミキサー工程入力!$S$6:$S$65,$J343)+COUNTIF(⑬計量工程入力!$S$6:$S$65,$J343)+COUNTIF(⑭手動工程入力!$S$6:$S$47,$J343))</f>
        <v/>
      </c>
      <c r="L343" s="393">
        <f>IF($J343="",0,SUMIFS(②釜工程入力!$M$5:$M$117,②釜工程入力!$S$5:$S$117,$J343,②釜工程入力!$I$5:$I$117,"&gt;0")+SUMIFS(③スチコン工程入力!$M$5:$M$152,③スチコン工程入力!$S$5:$S$152,$J343,③スチコン工程入力!$I$5:$I$152,"&gt;0")+SUMIFS(⑪ZEN工程入力!$M$6:$M$35,⑪ZEN工程入力!$S$6:$S$35,$J343,⑪ZEN工程入力!$I$6:$I$35,"&gt;0")+SUMIFS(⑫ミキサー工程入力!$M$6:$M$65,⑫ミキサー工程入力!$S$6:$S$65,$J343,⑫ミキサー工程入力!$I$6:$I$65,"&gt;0")+SUMIFS(⑬計量工程入力!$M$6:$M$65,⑬計量工程入力!$S$6:$S$65,$J343,⑬計量工程入力!$I$6:$I$65,"&gt;0")+SUMIFS(⑭手動工程入力!$M$6:$M$47,⑭手動工程入力!$S$6:$S$47,$J343,⑭手動工程入力!$I$6:$I$47,"&gt;0"))</f>
        <v/>
      </c>
      <c r="M343" s="393">
        <f>IF($J343="",0,SUMIFS(②釜工程入力!$I$5:$I$117,②釜工程入力!$S$5:$S$117,$J343,②釜工程入力!$I$5:$I$117,"&gt;0",②釜工程入力!$M$5:$M$117,"&gt;0")+SUMIFS(③スチコン工程入力!$I$5:$I$152,③スチコン工程入力!$S$5:$S$152,$J343,③スチコン工程入力!$I$5:$I$152,"&gt;0",③スチコン工程入力!$M$5:$M$152,"&gt;0")+SUMIFS(⑪ZEN工程入力!$I$6:$I$35,⑪ZEN工程入力!$S$6:$S$35,$J343,⑪ZEN工程入力!$I$6:$I$35,"&gt;0",⑪ZEN工程入力!$M$6:$M$35,"&gt;0")+SUMIFS(⑫ミキサー工程入力!$I$6:$I$65,⑫ミキサー工程入力!$S$6:$S$65,$J343,⑫ミキサー工程入力!$I$6:$I$65,"&gt;0",⑫ミキサー工程入力!$M$6:$M$65,"&gt;0")+SUMIFS(⑬計量工程入力!$I$6:$I$65,⑬計量工程入力!$S$6:$S$65,$J343,⑬計量工程入力!$I$6:$I$65,"&gt;0",⑬計量工程入力!$M$6:$M$65,"&gt;0")+SUMIFS(⑭手動工程入力!$I$6:$I$47,⑭手動工程入力!$S$6:$S$47,$J343,⑭手動工程入力!$I$6:$I$47,"&gt;0",⑭手動工程入力!$M$6:$M$47,"&gt;0"))</f>
        <v/>
      </c>
      <c r="N343" s="393">
        <f>IF($J343="",0,SUMIFS(②釜工程入力!$M$5:$M$117,②釜工程入力!$S$5:$S$117,$J343,②釜工程入力!$J$5:$J$117,"&gt;0")-SUMIFS(②釜工程入力!$M$5:$M$117,②釜工程入力!$S$5:$S$117,$J343,②釜工程入力!$J$5:$J$117,"&gt;0",②釜工程入力!$I$5:$I$117,"&gt;0")+SUMIFS(③スチコン工程入力!$M$5:$M$152,③スチコン工程入力!$S$5:$S$152,$J343,③スチコン工程入力!$J$5:$J$152,"&gt;0")-SUMIFS(③スチコン工程入力!$M$5:$M$152,③スチコン工程入力!$S$5:$S$152,$J343,③スチコン工程入力!$J$5:$J$152,"&gt;0",③スチコン工程入力!$I$5:$I$152,"&gt;0")+SUMIFS(⑪ZEN工程入力!$M$6:$M$35,⑪ZEN工程入力!$S$6:$S$35,$J343,⑪ZEN工程入力!$J$6:$J$35,"&gt;0")-SUMIFS(⑪ZEN工程入力!$M$6:$M$35,⑪ZEN工程入力!$S$6:$S$35,$J343,⑪ZEN工程入力!$J$6:$J$35,"&gt;0",⑪ZEN工程入力!$I$6:$I$35,"&gt;0")+SUMIFS(⑫ミキサー工程入力!$M$6:$M$65,⑫ミキサー工程入力!$S$6:$S$65,$J343,⑫ミキサー工程入力!$J$6:$J$65,"&gt;0")-SUMIFS(⑫ミキサー工程入力!$M$6:$M$65,⑫ミキサー工程入力!$S$6:$S$65,$J343,⑫ミキサー工程入力!$J$6:$J$65,"&gt;0",⑫ミキサー工程入力!$I$6:$I$65,"&gt;0")+SUMIFS(⑬計量工程入力!$M$6:$M$65,⑬計量工程入力!$S$6:$S$65,$J343,⑬計量工程入力!$J$6:$J$65,"&gt;0")-SUMIFS(⑬計量工程入力!$M$6:$M$65,⑬計量工程入力!$S$6:$S$65,$J343,⑬計量工程入力!$J$6:$J$65,"&gt;0",⑬計量工程入力!$I$6:$I$65,"&gt;0")+SUMIFS(⑭手動工程入力!$M$6:$M$47,⑭手動工程入力!$S$6:$S$47,$J343,⑭手動工程入力!$J$6:$J$47,"&gt;0")-SUMIFS(⑭手動工程入力!$M$6:$M$47,⑭手動工程入力!$S$6:$S$47,$J343,⑭手動工程入力!$J$6:$J$47,"&gt;0",⑭手動工程入力!$I$6:$I$47,"&gt;0"))</f>
        <v/>
      </c>
      <c r="O343" s="393">
        <f>IF($J343="",0,SUMIFS(②釜工程入力!$J$5:$J$117,②釜工程入力!$S$5:$S$117,$J343,②釜工程入力!$J$5:$J$117,"&gt;0",②釜工程入力!$M$5:$M$117,"&gt;0")-SUMIFS(②釜工程入力!$J$5:$J$117,②釜工程入力!$S$5:$S$117,$J343,②釜工程入力!$J$5:$J$117,"&gt;0",②釜工程入力!$I$5:$I$117,"&gt;0",②釜工程入力!$M$5:$M$117,"&gt;0")+SUMIFS(③スチコン工程入力!$J$5:$J$152,③スチコン工程入力!$S$5:$S$152,$J343,③スチコン工程入力!$J$5:$J$152,"&gt;0",③スチコン工程入力!$M$5:$M$152,"&gt;0")-SUMIFS(③スチコン工程入力!$J$5:$J$152,③スチコン工程入力!$S$5:$S$152,$J343,③スチコン工程入力!$J$5:$J$152,"&gt;0",③スチコン工程入力!$I$5:$I$152,"&gt;0",③スチコン工程入力!$M$5:$M$152,"&gt;0")+SUMIFS(⑪ZEN工程入力!$J$6:$J$35,⑪ZEN工程入力!$S$6:$S$35,$J343,⑪ZEN工程入力!$J$6:$J$35,"&gt;0",⑪ZEN工程入力!$M$6:$M$35,"&gt;0")-SUMIFS(⑪ZEN工程入力!$J$6:$J$35,⑪ZEN工程入力!$S$6:$S$35,$J343,⑪ZEN工程入力!$J$6:$J$35,"&gt;0",⑪ZEN工程入力!$I$6:$I$35,"&gt;0",⑪ZEN工程入力!$M$6:$M$35,"&gt;0")+SUMIFS(⑫ミキサー工程入力!$J$6:$J$65,⑫ミキサー工程入力!$S$6:$S$65,$J343,⑫ミキサー工程入力!$J$6:$J$65,"&gt;0",⑫ミキサー工程入力!$M$6:$M$65,"&gt;0")-SUMIFS(⑫ミキサー工程入力!$J$6:$J$65,⑫ミキサー工程入力!$S$6:$S$65,$J343,⑫ミキサー工程入力!$J$6:$J$65,"&gt;0",⑫ミキサー工程入力!$I$6:$I$65,"&gt;0",⑫ミキサー工程入力!$M$6:$M$65,"&gt;0")+SUMIFS(⑬計量工程入力!$J$6:$J$65,⑬計量工程入力!$S$6:$S$65,$J343,⑬計量工程入力!$J$6:$J$65,"&gt;0",⑬計量工程入力!$M$6:$M$65,"&gt;0")-SUMIFS(⑬計量工程入力!$J$6:$J$65,⑬計量工程入力!$S$6:$S$65,$J343,⑬計量工程入力!$J$6:$J$65,"&gt;0",⑬計量工程入力!$I$6:$I$65,"&gt;0",⑬計量工程入力!$M$6:$M$65,"&gt;0")+SUMIFS(⑭手動工程入力!$J$6:$J$47,⑭手動工程入力!$S$6:$S$47,$J343,⑭手動工程入力!$J$6:$J$47,"&gt;0",⑭手動工程入力!$M$6:$M$47,"&gt;0")-SUMIFS(⑭手動工程入力!$J$6:$J$47,⑭手動工程入力!$S$6:$S$47,$J343,⑭手動工程入力!$J$6:$J$47,"&gt;0",⑭手動工程入力!$I$6:$I$47,"&gt;0",⑭手動工程入力!$M$6:$M$47,"&gt;0"))</f>
        <v/>
      </c>
      <c r="P343" s="392" t="inlineStr">
        <is>
          <t>中間品リスト</t>
        </is>
      </c>
    </row>
    <row r="344">
      <c r="A344" s="392" t="n">
        <v>340</v>
      </c>
      <c r="B344" s="392" t="n"/>
      <c r="C344" s="392" t="n"/>
      <c r="D344" s="409" t="n"/>
      <c r="E344" s="392" t="n"/>
      <c r="F344" s="394" t="n"/>
      <c r="G344" s="392" t="n"/>
      <c r="H344" s="604">
        <f>IFERROR(IF(AND($K344&gt;0,ISNUMBER(IF(OR($D344="g",$D344="ｇ"),IF($M344&gt;0,$L344/$M344/1000,""),IF($D344="kg",IF($M344&gt;0,$L344/$M344,""),IF($D344="",IF($M344&gt;0,$L344/$M344/1000,IF($O344&gt;0,$N344/$O344,"")),IF($O344&gt;0,$N344/$O344,"")))))),IF(OR($D344="g",$D344="ｇ"),IF($M344&gt;0,$L344/$M344/1000,""),IF($D344="kg",IF($M344&gt;0,$L344/$M344,""),IF($D344="",IF($M344&gt;0,$L344/$M344/1000,IF($O344&gt;0,$N344/$O344,"")),IF($O344&gt;0,$N344/$O344,"")))),IF($F344="",IF(OR($E344="",$E344="⑩盛付梱包工程入力"),"",IF(OR($D344="g",$D344="ｇ"),INDEX(⑰工程労務費一覧!$N$5:$N$11,MATCH($E344,⑰工程労務費一覧!$K$5:$K$11,0))/1000,IF($D344="kg",INDEX(⑰工程労務費一覧!$N$5:$N$11,MATCH($E344,⑰工程労務費一覧!$K$5:$K$11,0)),IF(OR($D344="個",$D344="切",$D344="本",$D344="枚",$D344="尾"),IF($E344="⑬計量工程入力","",INDEX(⑰工程労務費一覧!$P$5:$P$11,MATCH($E344,⑰工程労務費一覧!$K$5:$K$11,0))),IF(AND($D344="",OR($E344="②釜工程入力",$E344="③スチコン工程入力")),INDEX(⑰工程労務費一覧!$N$5:$N$11,MATCH($E344,⑰工程労務費一覧!$K$5:$K$11,0))/1000,""))))),IF(OR($D344="g",$D344="ｇ"),INDEX(⑰工程労務費一覧!$H$5:$H$753,MATCH($F344,⑰工程労務費一覧!$D$5:$D$753,0))/1000,IF($D344="kg",INDEX(⑰工程労務費一覧!$H$5:$H$753,MATCH($F344,⑰工程労務費一覧!$D$5:$D$753,0)),INDEX(⑰工程労務費一覧!$I$5:$I$753,MATCH($F344,⑰工程労務費一覧!$D$5:$D$753,0)))))),"")</f>
        <v/>
      </c>
      <c r="I344" s="392">
        <f>IF($K344&gt;0,IF(ISNUMBER(IF(OR($D344="g",$D344="ｇ"),IF($M344&gt;0,$L344/$M344/1000,""),IF($D344="kg",IF($M344&gt;0,$L344/$M344,""),IF($D344="",IF($M344&gt;0,$L344/$M344/1000,IF($O344&gt;0,$N344/$O344,"")),IF($O344&gt;0,$N344/$O344,""))))),IF($D344="",IF($M344&gt;0,"◎ JAN紐づけ(g扱い)","◎ JAN紐づけ(個扱い)"),"◎ JAN紐づけ"),"△ JAN紐づけ済・実績不足→仮計算"),IF($F344="",IF(ISNUMBER($H344),IF($D344="","⑤ 工程平均で仮計算(g扱い)","⑤ 工程平均で仮計算"),IF($E344="⑩盛付梱包工程入力","⑥ 盛り込み(⑳F列で計上)",IF(AND($E344="⑬計量工程入力",OR($D344="個",$D344="切",$D344="本",$D344="枚",$D344="尾")),"① 未紐づけ(カット個単位は仮単価なし)","① 未紐づけ"))),IF(NOT(ISNUMBER($H344)),"② 工程側に単価なし",IF($D344="","③ 単位未設定(個で計算)","④ OK"))))</f>
        <v/>
      </c>
      <c r="J344" s="399">
        <f>IFERROR(LOOKUP(2,1/((中間品リスト!$F$2:$F$1299=$B344)*(中間品リスト!$E$2:$E$1299&lt;&gt;"-")*(中間品リスト!$E$2:$E$1299&lt;&gt;"")),中間品リスト!$E$2:$E$1299),"")</f>
        <v/>
      </c>
      <c r="K344" s="400">
        <f>IF($J344="",0,COUNTIF(②釜工程入力!$S$5:$S$117,$J344)+COUNTIF(③スチコン工程入力!$S$5:$S$152,$J344)+COUNTIF(⑪ZEN工程入力!$S$6:$S$35,$J344)+COUNTIF(⑫ミキサー工程入力!$S$6:$S$65,$J344)+COUNTIF(⑬計量工程入力!$S$6:$S$65,$J344)+COUNTIF(⑭手動工程入力!$S$6:$S$47,$J344))</f>
        <v/>
      </c>
      <c r="L344" s="393">
        <f>IF($J344="",0,SUMIFS(②釜工程入力!$M$5:$M$117,②釜工程入力!$S$5:$S$117,$J344,②釜工程入力!$I$5:$I$117,"&gt;0")+SUMIFS(③スチコン工程入力!$M$5:$M$152,③スチコン工程入力!$S$5:$S$152,$J344,③スチコン工程入力!$I$5:$I$152,"&gt;0")+SUMIFS(⑪ZEN工程入力!$M$6:$M$35,⑪ZEN工程入力!$S$6:$S$35,$J344,⑪ZEN工程入力!$I$6:$I$35,"&gt;0")+SUMIFS(⑫ミキサー工程入力!$M$6:$M$65,⑫ミキサー工程入力!$S$6:$S$65,$J344,⑫ミキサー工程入力!$I$6:$I$65,"&gt;0")+SUMIFS(⑬計量工程入力!$M$6:$M$65,⑬計量工程入力!$S$6:$S$65,$J344,⑬計量工程入力!$I$6:$I$65,"&gt;0")+SUMIFS(⑭手動工程入力!$M$6:$M$47,⑭手動工程入力!$S$6:$S$47,$J344,⑭手動工程入力!$I$6:$I$47,"&gt;0"))</f>
        <v/>
      </c>
      <c r="M344" s="393">
        <f>IF($J344="",0,SUMIFS(②釜工程入力!$I$5:$I$117,②釜工程入力!$S$5:$S$117,$J344,②釜工程入力!$I$5:$I$117,"&gt;0",②釜工程入力!$M$5:$M$117,"&gt;0")+SUMIFS(③スチコン工程入力!$I$5:$I$152,③スチコン工程入力!$S$5:$S$152,$J344,③スチコン工程入力!$I$5:$I$152,"&gt;0",③スチコン工程入力!$M$5:$M$152,"&gt;0")+SUMIFS(⑪ZEN工程入力!$I$6:$I$35,⑪ZEN工程入力!$S$6:$S$35,$J344,⑪ZEN工程入力!$I$6:$I$35,"&gt;0",⑪ZEN工程入力!$M$6:$M$35,"&gt;0")+SUMIFS(⑫ミキサー工程入力!$I$6:$I$65,⑫ミキサー工程入力!$S$6:$S$65,$J344,⑫ミキサー工程入力!$I$6:$I$65,"&gt;0",⑫ミキサー工程入力!$M$6:$M$65,"&gt;0")+SUMIFS(⑬計量工程入力!$I$6:$I$65,⑬計量工程入力!$S$6:$S$65,$J344,⑬計量工程入力!$I$6:$I$65,"&gt;0",⑬計量工程入力!$M$6:$M$65,"&gt;0")+SUMIFS(⑭手動工程入力!$I$6:$I$47,⑭手動工程入力!$S$6:$S$47,$J344,⑭手動工程入力!$I$6:$I$47,"&gt;0",⑭手動工程入力!$M$6:$M$47,"&gt;0"))</f>
        <v/>
      </c>
      <c r="N344" s="393">
        <f>IF($J344="",0,SUMIFS(②釜工程入力!$M$5:$M$117,②釜工程入力!$S$5:$S$117,$J344,②釜工程入力!$J$5:$J$117,"&gt;0")-SUMIFS(②釜工程入力!$M$5:$M$117,②釜工程入力!$S$5:$S$117,$J344,②釜工程入力!$J$5:$J$117,"&gt;0",②釜工程入力!$I$5:$I$117,"&gt;0")+SUMIFS(③スチコン工程入力!$M$5:$M$152,③スチコン工程入力!$S$5:$S$152,$J344,③スチコン工程入力!$J$5:$J$152,"&gt;0")-SUMIFS(③スチコン工程入力!$M$5:$M$152,③スチコン工程入力!$S$5:$S$152,$J344,③スチコン工程入力!$J$5:$J$152,"&gt;0",③スチコン工程入力!$I$5:$I$152,"&gt;0")+SUMIFS(⑪ZEN工程入力!$M$6:$M$35,⑪ZEN工程入力!$S$6:$S$35,$J344,⑪ZEN工程入力!$J$6:$J$35,"&gt;0")-SUMIFS(⑪ZEN工程入力!$M$6:$M$35,⑪ZEN工程入力!$S$6:$S$35,$J344,⑪ZEN工程入力!$J$6:$J$35,"&gt;0",⑪ZEN工程入力!$I$6:$I$35,"&gt;0")+SUMIFS(⑫ミキサー工程入力!$M$6:$M$65,⑫ミキサー工程入力!$S$6:$S$65,$J344,⑫ミキサー工程入力!$J$6:$J$65,"&gt;0")-SUMIFS(⑫ミキサー工程入力!$M$6:$M$65,⑫ミキサー工程入力!$S$6:$S$65,$J344,⑫ミキサー工程入力!$J$6:$J$65,"&gt;0",⑫ミキサー工程入力!$I$6:$I$65,"&gt;0")+SUMIFS(⑬計量工程入力!$M$6:$M$65,⑬計量工程入力!$S$6:$S$65,$J344,⑬計量工程入力!$J$6:$J$65,"&gt;0")-SUMIFS(⑬計量工程入力!$M$6:$M$65,⑬計量工程入力!$S$6:$S$65,$J344,⑬計量工程入力!$J$6:$J$65,"&gt;0",⑬計量工程入力!$I$6:$I$65,"&gt;0")+SUMIFS(⑭手動工程入力!$M$6:$M$47,⑭手動工程入力!$S$6:$S$47,$J344,⑭手動工程入力!$J$6:$J$47,"&gt;0")-SUMIFS(⑭手動工程入力!$M$6:$M$47,⑭手動工程入力!$S$6:$S$47,$J344,⑭手動工程入力!$J$6:$J$47,"&gt;0",⑭手動工程入力!$I$6:$I$47,"&gt;0"))</f>
        <v/>
      </c>
      <c r="O344" s="393">
        <f>IF($J344="",0,SUMIFS(②釜工程入力!$J$5:$J$117,②釜工程入力!$S$5:$S$117,$J344,②釜工程入力!$J$5:$J$117,"&gt;0",②釜工程入力!$M$5:$M$117,"&gt;0")-SUMIFS(②釜工程入力!$J$5:$J$117,②釜工程入力!$S$5:$S$117,$J344,②釜工程入力!$J$5:$J$117,"&gt;0",②釜工程入力!$I$5:$I$117,"&gt;0",②釜工程入力!$M$5:$M$117,"&gt;0")+SUMIFS(③スチコン工程入力!$J$5:$J$152,③スチコン工程入力!$S$5:$S$152,$J344,③スチコン工程入力!$J$5:$J$152,"&gt;0",③スチコン工程入力!$M$5:$M$152,"&gt;0")-SUMIFS(③スチコン工程入力!$J$5:$J$152,③スチコン工程入力!$S$5:$S$152,$J344,③スチコン工程入力!$J$5:$J$152,"&gt;0",③スチコン工程入力!$I$5:$I$152,"&gt;0",③スチコン工程入力!$M$5:$M$152,"&gt;0")+SUMIFS(⑪ZEN工程入力!$J$6:$J$35,⑪ZEN工程入力!$S$6:$S$35,$J344,⑪ZEN工程入力!$J$6:$J$35,"&gt;0",⑪ZEN工程入力!$M$6:$M$35,"&gt;0")-SUMIFS(⑪ZEN工程入力!$J$6:$J$35,⑪ZEN工程入力!$S$6:$S$35,$J344,⑪ZEN工程入力!$J$6:$J$35,"&gt;0",⑪ZEN工程入力!$I$6:$I$35,"&gt;0",⑪ZEN工程入力!$M$6:$M$35,"&gt;0")+SUMIFS(⑫ミキサー工程入力!$J$6:$J$65,⑫ミキサー工程入力!$S$6:$S$65,$J344,⑫ミキサー工程入力!$J$6:$J$65,"&gt;0",⑫ミキサー工程入力!$M$6:$M$65,"&gt;0")-SUMIFS(⑫ミキサー工程入力!$J$6:$J$65,⑫ミキサー工程入力!$S$6:$S$65,$J344,⑫ミキサー工程入力!$J$6:$J$65,"&gt;0",⑫ミキサー工程入力!$I$6:$I$65,"&gt;0",⑫ミキサー工程入力!$M$6:$M$65,"&gt;0")+SUMIFS(⑬計量工程入力!$J$6:$J$65,⑬計量工程入力!$S$6:$S$65,$J344,⑬計量工程入力!$J$6:$J$65,"&gt;0",⑬計量工程入力!$M$6:$M$65,"&gt;0")-SUMIFS(⑬計量工程入力!$J$6:$J$65,⑬計量工程入力!$S$6:$S$65,$J344,⑬計量工程入力!$J$6:$J$65,"&gt;0",⑬計量工程入力!$I$6:$I$65,"&gt;0",⑬計量工程入力!$M$6:$M$65,"&gt;0")+SUMIFS(⑭手動工程入力!$J$6:$J$47,⑭手動工程入力!$S$6:$S$47,$J344,⑭手動工程入力!$J$6:$J$47,"&gt;0",⑭手動工程入力!$M$6:$M$47,"&gt;0")-SUMIFS(⑭手動工程入力!$J$6:$J$47,⑭手動工程入力!$S$6:$S$47,$J344,⑭手動工程入力!$J$6:$J$47,"&gt;0",⑭手動工程入力!$I$6:$I$47,"&gt;0",⑭手動工程入力!$M$6:$M$47,"&gt;0"))</f>
        <v/>
      </c>
      <c r="P344" s="392" t="inlineStr">
        <is>
          <t>中間品リスト</t>
        </is>
      </c>
    </row>
    <row r="345">
      <c r="A345" s="392" t="n">
        <v>341</v>
      </c>
      <c r="B345" s="392" t="n"/>
      <c r="C345" s="392" t="n"/>
      <c r="D345" s="409" t="n"/>
      <c r="E345" s="392" t="n"/>
      <c r="F345" s="394" t="n"/>
      <c r="G345" s="392" t="n"/>
      <c r="H345" s="604">
        <f>IFERROR(IF(AND($K345&gt;0,ISNUMBER(IF(OR($D345="g",$D345="ｇ"),IF($M345&gt;0,$L345/$M345/1000,""),IF($D345="kg",IF($M345&gt;0,$L345/$M345,""),IF($D345="",IF($M345&gt;0,$L345/$M345/1000,IF($O345&gt;0,$N345/$O345,"")),IF($O345&gt;0,$N345/$O345,"")))))),IF(OR($D345="g",$D345="ｇ"),IF($M345&gt;0,$L345/$M345/1000,""),IF($D345="kg",IF($M345&gt;0,$L345/$M345,""),IF($D345="",IF($M345&gt;0,$L345/$M345/1000,IF($O345&gt;0,$N345/$O345,"")),IF($O345&gt;0,$N345/$O345,"")))),IF($F345="",IF(OR($E345="",$E345="⑩盛付梱包工程入力"),"",IF(OR($D345="g",$D345="ｇ"),INDEX(⑰工程労務費一覧!$N$5:$N$11,MATCH($E345,⑰工程労務費一覧!$K$5:$K$11,0))/1000,IF($D345="kg",INDEX(⑰工程労務費一覧!$N$5:$N$11,MATCH($E345,⑰工程労務費一覧!$K$5:$K$11,0)),IF(OR($D345="個",$D345="切",$D345="本",$D345="枚",$D345="尾"),IF($E345="⑬計量工程入力","",INDEX(⑰工程労務費一覧!$P$5:$P$11,MATCH($E345,⑰工程労務費一覧!$K$5:$K$11,0))),IF(AND($D345="",OR($E345="②釜工程入力",$E345="③スチコン工程入力")),INDEX(⑰工程労務費一覧!$N$5:$N$11,MATCH($E345,⑰工程労務費一覧!$K$5:$K$11,0))/1000,""))))),IF(OR($D345="g",$D345="ｇ"),INDEX(⑰工程労務費一覧!$H$5:$H$753,MATCH($F345,⑰工程労務費一覧!$D$5:$D$753,0))/1000,IF($D345="kg",INDEX(⑰工程労務費一覧!$H$5:$H$753,MATCH($F345,⑰工程労務費一覧!$D$5:$D$753,0)),INDEX(⑰工程労務費一覧!$I$5:$I$753,MATCH($F345,⑰工程労務費一覧!$D$5:$D$753,0)))))),"")</f>
        <v/>
      </c>
      <c r="I345" s="392">
        <f>IF($K345&gt;0,IF(ISNUMBER(IF(OR($D345="g",$D345="ｇ"),IF($M345&gt;0,$L345/$M345/1000,""),IF($D345="kg",IF($M345&gt;0,$L345/$M345,""),IF($D345="",IF($M345&gt;0,$L345/$M345/1000,IF($O345&gt;0,$N345/$O345,"")),IF($O345&gt;0,$N345/$O345,""))))),IF($D345="",IF($M345&gt;0,"◎ JAN紐づけ(g扱い)","◎ JAN紐づけ(個扱い)"),"◎ JAN紐づけ"),"△ JAN紐づけ済・実績不足→仮計算"),IF($F345="",IF(ISNUMBER($H345),IF($D345="","⑤ 工程平均で仮計算(g扱い)","⑤ 工程平均で仮計算"),IF($E345="⑩盛付梱包工程入力","⑥ 盛り込み(⑳F列で計上)",IF(AND($E345="⑬計量工程入力",OR($D345="個",$D345="切",$D345="本",$D345="枚",$D345="尾")),"① 未紐づけ(カット個単位は仮単価なし)","① 未紐づけ"))),IF(NOT(ISNUMBER($H345)),"② 工程側に単価なし",IF($D345="","③ 単位未設定(個で計算)","④ OK"))))</f>
        <v/>
      </c>
      <c r="J345" s="399">
        <f>IFERROR(LOOKUP(2,1/((中間品リスト!$F$2:$F$1299=$B345)*(中間品リスト!$E$2:$E$1299&lt;&gt;"-")*(中間品リスト!$E$2:$E$1299&lt;&gt;"")),中間品リスト!$E$2:$E$1299),"")</f>
        <v/>
      </c>
      <c r="K345" s="400">
        <f>IF($J345="",0,COUNTIF(②釜工程入力!$S$5:$S$117,$J345)+COUNTIF(③スチコン工程入力!$S$5:$S$152,$J345)+COUNTIF(⑪ZEN工程入力!$S$6:$S$35,$J345)+COUNTIF(⑫ミキサー工程入力!$S$6:$S$65,$J345)+COUNTIF(⑬計量工程入力!$S$6:$S$65,$J345)+COUNTIF(⑭手動工程入力!$S$6:$S$47,$J345))</f>
        <v/>
      </c>
      <c r="L345" s="393">
        <f>IF($J345="",0,SUMIFS(②釜工程入力!$M$5:$M$117,②釜工程入力!$S$5:$S$117,$J345,②釜工程入力!$I$5:$I$117,"&gt;0")+SUMIFS(③スチコン工程入力!$M$5:$M$152,③スチコン工程入力!$S$5:$S$152,$J345,③スチコン工程入力!$I$5:$I$152,"&gt;0")+SUMIFS(⑪ZEN工程入力!$M$6:$M$35,⑪ZEN工程入力!$S$6:$S$35,$J345,⑪ZEN工程入力!$I$6:$I$35,"&gt;0")+SUMIFS(⑫ミキサー工程入力!$M$6:$M$65,⑫ミキサー工程入力!$S$6:$S$65,$J345,⑫ミキサー工程入力!$I$6:$I$65,"&gt;0")+SUMIFS(⑬計量工程入力!$M$6:$M$65,⑬計量工程入力!$S$6:$S$65,$J345,⑬計量工程入力!$I$6:$I$65,"&gt;0")+SUMIFS(⑭手動工程入力!$M$6:$M$47,⑭手動工程入力!$S$6:$S$47,$J345,⑭手動工程入力!$I$6:$I$47,"&gt;0"))</f>
        <v/>
      </c>
      <c r="M345" s="393">
        <f>IF($J345="",0,SUMIFS(②釜工程入力!$I$5:$I$117,②釜工程入力!$S$5:$S$117,$J345,②釜工程入力!$I$5:$I$117,"&gt;0",②釜工程入力!$M$5:$M$117,"&gt;0")+SUMIFS(③スチコン工程入力!$I$5:$I$152,③スチコン工程入力!$S$5:$S$152,$J345,③スチコン工程入力!$I$5:$I$152,"&gt;0",③スチコン工程入力!$M$5:$M$152,"&gt;0")+SUMIFS(⑪ZEN工程入力!$I$6:$I$35,⑪ZEN工程入力!$S$6:$S$35,$J345,⑪ZEN工程入力!$I$6:$I$35,"&gt;0",⑪ZEN工程入力!$M$6:$M$35,"&gt;0")+SUMIFS(⑫ミキサー工程入力!$I$6:$I$65,⑫ミキサー工程入力!$S$6:$S$65,$J345,⑫ミキサー工程入力!$I$6:$I$65,"&gt;0",⑫ミキサー工程入力!$M$6:$M$65,"&gt;0")+SUMIFS(⑬計量工程入力!$I$6:$I$65,⑬計量工程入力!$S$6:$S$65,$J345,⑬計量工程入力!$I$6:$I$65,"&gt;0",⑬計量工程入力!$M$6:$M$65,"&gt;0")+SUMIFS(⑭手動工程入力!$I$6:$I$47,⑭手動工程入力!$S$6:$S$47,$J345,⑭手動工程入力!$I$6:$I$47,"&gt;0",⑭手動工程入力!$M$6:$M$47,"&gt;0"))</f>
        <v/>
      </c>
      <c r="N345" s="393">
        <f>IF($J345="",0,SUMIFS(②釜工程入力!$M$5:$M$117,②釜工程入力!$S$5:$S$117,$J345,②釜工程入力!$J$5:$J$117,"&gt;0")-SUMIFS(②釜工程入力!$M$5:$M$117,②釜工程入力!$S$5:$S$117,$J345,②釜工程入力!$J$5:$J$117,"&gt;0",②釜工程入力!$I$5:$I$117,"&gt;0")+SUMIFS(③スチコン工程入力!$M$5:$M$152,③スチコン工程入力!$S$5:$S$152,$J345,③スチコン工程入力!$J$5:$J$152,"&gt;0")-SUMIFS(③スチコン工程入力!$M$5:$M$152,③スチコン工程入力!$S$5:$S$152,$J345,③スチコン工程入力!$J$5:$J$152,"&gt;0",③スチコン工程入力!$I$5:$I$152,"&gt;0")+SUMIFS(⑪ZEN工程入力!$M$6:$M$35,⑪ZEN工程入力!$S$6:$S$35,$J345,⑪ZEN工程入力!$J$6:$J$35,"&gt;0")-SUMIFS(⑪ZEN工程入力!$M$6:$M$35,⑪ZEN工程入力!$S$6:$S$35,$J345,⑪ZEN工程入力!$J$6:$J$35,"&gt;0",⑪ZEN工程入力!$I$6:$I$35,"&gt;0")+SUMIFS(⑫ミキサー工程入力!$M$6:$M$65,⑫ミキサー工程入力!$S$6:$S$65,$J345,⑫ミキサー工程入力!$J$6:$J$65,"&gt;0")-SUMIFS(⑫ミキサー工程入力!$M$6:$M$65,⑫ミキサー工程入力!$S$6:$S$65,$J345,⑫ミキサー工程入力!$J$6:$J$65,"&gt;0",⑫ミキサー工程入力!$I$6:$I$65,"&gt;0")+SUMIFS(⑬計量工程入力!$M$6:$M$65,⑬計量工程入力!$S$6:$S$65,$J345,⑬計量工程入力!$J$6:$J$65,"&gt;0")-SUMIFS(⑬計量工程入力!$M$6:$M$65,⑬計量工程入力!$S$6:$S$65,$J345,⑬計量工程入力!$J$6:$J$65,"&gt;0",⑬計量工程入力!$I$6:$I$65,"&gt;0")+SUMIFS(⑭手動工程入力!$M$6:$M$47,⑭手動工程入力!$S$6:$S$47,$J345,⑭手動工程入力!$J$6:$J$47,"&gt;0")-SUMIFS(⑭手動工程入力!$M$6:$M$47,⑭手動工程入力!$S$6:$S$47,$J345,⑭手動工程入力!$J$6:$J$47,"&gt;0",⑭手動工程入力!$I$6:$I$47,"&gt;0"))</f>
        <v/>
      </c>
      <c r="O345" s="393">
        <f>IF($J345="",0,SUMIFS(②釜工程入力!$J$5:$J$117,②釜工程入力!$S$5:$S$117,$J345,②釜工程入力!$J$5:$J$117,"&gt;0",②釜工程入力!$M$5:$M$117,"&gt;0")-SUMIFS(②釜工程入力!$J$5:$J$117,②釜工程入力!$S$5:$S$117,$J345,②釜工程入力!$J$5:$J$117,"&gt;0",②釜工程入力!$I$5:$I$117,"&gt;0",②釜工程入力!$M$5:$M$117,"&gt;0")+SUMIFS(③スチコン工程入力!$J$5:$J$152,③スチコン工程入力!$S$5:$S$152,$J345,③スチコン工程入力!$J$5:$J$152,"&gt;0",③スチコン工程入力!$M$5:$M$152,"&gt;0")-SUMIFS(③スチコン工程入力!$J$5:$J$152,③スチコン工程入力!$S$5:$S$152,$J345,③スチコン工程入力!$J$5:$J$152,"&gt;0",③スチコン工程入力!$I$5:$I$152,"&gt;0",③スチコン工程入力!$M$5:$M$152,"&gt;0")+SUMIFS(⑪ZEN工程入力!$J$6:$J$35,⑪ZEN工程入力!$S$6:$S$35,$J345,⑪ZEN工程入力!$J$6:$J$35,"&gt;0",⑪ZEN工程入力!$M$6:$M$35,"&gt;0")-SUMIFS(⑪ZEN工程入力!$J$6:$J$35,⑪ZEN工程入力!$S$6:$S$35,$J345,⑪ZEN工程入力!$J$6:$J$35,"&gt;0",⑪ZEN工程入力!$I$6:$I$35,"&gt;0",⑪ZEN工程入力!$M$6:$M$35,"&gt;0")+SUMIFS(⑫ミキサー工程入力!$J$6:$J$65,⑫ミキサー工程入力!$S$6:$S$65,$J345,⑫ミキサー工程入力!$J$6:$J$65,"&gt;0",⑫ミキサー工程入力!$M$6:$M$65,"&gt;0")-SUMIFS(⑫ミキサー工程入力!$J$6:$J$65,⑫ミキサー工程入力!$S$6:$S$65,$J345,⑫ミキサー工程入力!$J$6:$J$65,"&gt;0",⑫ミキサー工程入力!$I$6:$I$65,"&gt;0",⑫ミキサー工程入力!$M$6:$M$65,"&gt;0")+SUMIFS(⑬計量工程入力!$J$6:$J$65,⑬計量工程入力!$S$6:$S$65,$J345,⑬計量工程入力!$J$6:$J$65,"&gt;0",⑬計量工程入力!$M$6:$M$65,"&gt;0")-SUMIFS(⑬計量工程入力!$J$6:$J$65,⑬計量工程入力!$S$6:$S$65,$J345,⑬計量工程入力!$J$6:$J$65,"&gt;0",⑬計量工程入力!$I$6:$I$65,"&gt;0",⑬計量工程入力!$M$6:$M$65,"&gt;0")+SUMIFS(⑭手動工程入力!$J$6:$J$47,⑭手動工程入力!$S$6:$S$47,$J345,⑭手動工程入力!$J$6:$J$47,"&gt;0",⑭手動工程入力!$M$6:$M$47,"&gt;0")-SUMIFS(⑭手動工程入力!$J$6:$J$47,⑭手動工程入力!$S$6:$S$47,$J345,⑭手動工程入力!$J$6:$J$47,"&gt;0",⑭手動工程入力!$I$6:$I$47,"&gt;0",⑭手動工程入力!$M$6:$M$47,"&gt;0"))</f>
        <v/>
      </c>
      <c r="P345" s="392" t="inlineStr">
        <is>
          <t>中間品リスト</t>
        </is>
      </c>
    </row>
    <row r="346">
      <c r="A346" s="392" t="n">
        <v>342</v>
      </c>
      <c r="B346" s="392" t="n"/>
      <c r="C346" s="392" t="n"/>
      <c r="D346" s="409" t="n"/>
      <c r="E346" s="392" t="n"/>
      <c r="F346" s="394" t="n"/>
      <c r="G346" s="392" t="n"/>
      <c r="H346" s="604">
        <f>IFERROR(IF(AND($K346&gt;0,ISNUMBER(IF(OR($D346="g",$D346="ｇ"),IF($M346&gt;0,$L346/$M346/1000,""),IF($D346="kg",IF($M346&gt;0,$L346/$M346,""),IF($D346="",IF($M346&gt;0,$L346/$M346/1000,IF($O346&gt;0,$N346/$O346,"")),IF($O346&gt;0,$N346/$O346,"")))))),IF(OR($D346="g",$D346="ｇ"),IF($M346&gt;0,$L346/$M346/1000,""),IF($D346="kg",IF($M346&gt;0,$L346/$M346,""),IF($D346="",IF($M346&gt;0,$L346/$M346/1000,IF($O346&gt;0,$N346/$O346,"")),IF($O346&gt;0,$N346/$O346,"")))),IF($F346="",IF(OR($E346="",$E346="⑩盛付梱包工程入力"),"",IF(OR($D346="g",$D346="ｇ"),INDEX(⑰工程労務費一覧!$N$5:$N$11,MATCH($E346,⑰工程労務費一覧!$K$5:$K$11,0))/1000,IF($D346="kg",INDEX(⑰工程労務費一覧!$N$5:$N$11,MATCH($E346,⑰工程労務費一覧!$K$5:$K$11,0)),IF(OR($D346="個",$D346="切",$D346="本",$D346="枚",$D346="尾"),IF($E346="⑬計量工程入力","",INDEX(⑰工程労務費一覧!$P$5:$P$11,MATCH($E346,⑰工程労務費一覧!$K$5:$K$11,0))),IF(AND($D346="",OR($E346="②釜工程入力",$E346="③スチコン工程入力")),INDEX(⑰工程労務費一覧!$N$5:$N$11,MATCH($E346,⑰工程労務費一覧!$K$5:$K$11,0))/1000,""))))),IF(OR($D346="g",$D346="ｇ"),INDEX(⑰工程労務費一覧!$H$5:$H$753,MATCH($F346,⑰工程労務費一覧!$D$5:$D$753,0))/1000,IF($D346="kg",INDEX(⑰工程労務費一覧!$H$5:$H$753,MATCH($F346,⑰工程労務費一覧!$D$5:$D$753,0)),INDEX(⑰工程労務費一覧!$I$5:$I$753,MATCH($F346,⑰工程労務費一覧!$D$5:$D$753,0)))))),"")</f>
        <v/>
      </c>
      <c r="I346" s="392">
        <f>IF($K346&gt;0,IF(ISNUMBER(IF(OR($D346="g",$D346="ｇ"),IF($M346&gt;0,$L346/$M346/1000,""),IF($D346="kg",IF($M346&gt;0,$L346/$M346,""),IF($D346="",IF($M346&gt;0,$L346/$M346/1000,IF($O346&gt;0,$N346/$O346,"")),IF($O346&gt;0,$N346/$O346,""))))),IF($D346="",IF($M346&gt;0,"◎ JAN紐づけ(g扱い)","◎ JAN紐づけ(個扱い)"),"◎ JAN紐づけ"),"△ JAN紐づけ済・実績不足→仮計算"),IF($F346="",IF(ISNUMBER($H346),IF($D346="","⑤ 工程平均で仮計算(g扱い)","⑤ 工程平均で仮計算"),IF($E346="⑩盛付梱包工程入力","⑥ 盛り込み(⑳F列で計上)",IF(AND($E346="⑬計量工程入力",OR($D346="個",$D346="切",$D346="本",$D346="枚",$D346="尾")),"① 未紐づけ(カット個単位は仮単価なし)","① 未紐づけ"))),IF(NOT(ISNUMBER($H346)),"② 工程側に単価なし",IF($D346="","③ 単位未設定(個で計算)","④ OK"))))</f>
        <v/>
      </c>
      <c r="J346" s="399">
        <f>IFERROR(LOOKUP(2,1/((中間品リスト!$F$2:$F$1299=$B346)*(中間品リスト!$E$2:$E$1299&lt;&gt;"-")*(中間品リスト!$E$2:$E$1299&lt;&gt;"")),中間品リスト!$E$2:$E$1299),"")</f>
        <v/>
      </c>
      <c r="K346" s="400">
        <f>IF($J346="",0,COUNTIF(②釜工程入力!$S$5:$S$117,$J346)+COUNTIF(③スチコン工程入力!$S$5:$S$152,$J346)+COUNTIF(⑪ZEN工程入力!$S$6:$S$35,$J346)+COUNTIF(⑫ミキサー工程入力!$S$6:$S$65,$J346)+COUNTIF(⑬計量工程入力!$S$6:$S$65,$J346)+COUNTIF(⑭手動工程入力!$S$6:$S$47,$J346))</f>
        <v/>
      </c>
      <c r="L346" s="393">
        <f>IF($J346="",0,SUMIFS(②釜工程入力!$M$5:$M$117,②釜工程入力!$S$5:$S$117,$J346,②釜工程入力!$I$5:$I$117,"&gt;0")+SUMIFS(③スチコン工程入力!$M$5:$M$152,③スチコン工程入力!$S$5:$S$152,$J346,③スチコン工程入力!$I$5:$I$152,"&gt;0")+SUMIFS(⑪ZEN工程入力!$M$6:$M$35,⑪ZEN工程入力!$S$6:$S$35,$J346,⑪ZEN工程入力!$I$6:$I$35,"&gt;0")+SUMIFS(⑫ミキサー工程入力!$M$6:$M$65,⑫ミキサー工程入力!$S$6:$S$65,$J346,⑫ミキサー工程入力!$I$6:$I$65,"&gt;0")+SUMIFS(⑬計量工程入力!$M$6:$M$65,⑬計量工程入力!$S$6:$S$65,$J346,⑬計量工程入力!$I$6:$I$65,"&gt;0")+SUMIFS(⑭手動工程入力!$M$6:$M$47,⑭手動工程入力!$S$6:$S$47,$J346,⑭手動工程入力!$I$6:$I$47,"&gt;0"))</f>
        <v/>
      </c>
      <c r="M346" s="393">
        <f>IF($J346="",0,SUMIFS(②釜工程入力!$I$5:$I$117,②釜工程入力!$S$5:$S$117,$J346,②釜工程入力!$I$5:$I$117,"&gt;0",②釜工程入力!$M$5:$M$117,"&gt;0")+SUMIFS(③スチコン工程入力!$I$5:$I$152,③スチコン工程入力!$S$5:$S$152,$J346,③スチコン工程入力!$I$5:$I$152,"&gt;0",③スチコン工程入力!$M$5:$M$152,"&gt;0")+SUMIFS(⑪ZEN工程入力!$I$6:$I$35,⑪ZEN工程入力!$S$6:$S$35,$J346,⑪ZEN工程入力!$I$6:$I$35,"&gt;0",⑪ZEN工程入力!$M$6:$M$35,"&gt;0")+SUMIFS(⑫ミキサー工程入力!$I$6:$I$65,⑫ミキサー工程入力!$S$6:$S$65,$J346,⑫ミキサー工程入力!$I$6:$I$65,"&gt;0",⑫ミキサー工程入力!$M$6:$M$65,"&gt;0")+SUMIFS(⑬計量工程入力!$I$6:$I$65,⑬計量工程入力!$S$6:$S$65,$J346,⑬計量工程入力!$I$6:$I$65,"&gt;0",⑬計量工程入力!$M$6:$M$65,"&gt;0")+SUMIFS(⑭手動工程入力!$I$6:$I$47,⑭手動工程入力!$S$6:$S$47,$J346,⑭手動工程入力!$I$6:$I$47,"&gt;0",⑭手動工程入力!$M$6:$M$47,"&gt;0"))</f>
        <v/>
      </c>
      <c r="N346" s="393">
        <f>IF($J346="",0,SUMIFS(②釜工程入力!$M$5:$M$117,②釜工程入力!$S$5:$S$117,$J346,②釜工程入力!$J$5:$J$117,"&gt;0")-SUMIFS(②釜工程入力!$M$5:$M$117,②釜工程入力!$S$5:$S$117,$J346,②釜工程入力!$J$5:$J$117,"&gt;0",②釜工程入力!$I$5:$I$117,"&gt;0")+SUMIFS(③スチコン工程入力!$M$5:$M$152,③スチコン工程入力!$S$5:$S$152,$J346,③スチコン工程入力!$J$5:$J$152,"&gt;0")-SUMIFS(③スチコン工程入力!$M$5:$M$152,③スチコン工程入力!$S$5:$S$152,$J346,③スチコン工程入力!$J$5:$J$152,"&gt;0",③スチコン工程入力!$I$5:$I$152,"&gt;0")+SUMIFS(⑪ZEN工程入力!$M$6:$M$35,⑪ZEN工程入力!$S$6:$S$35,$J346,⑪ZEN工程入力!$J$6:$J$35,"&gt;0")-SUMIFS(⑪ZEN工程入力!$M$6:$M$35,⑪ZEN工程入力!$S$6:$S$35,$J346,⑪ZEN工程入力!$J$6:$J$35,"&gt;0",⑪ZEN工程入力!$I$6:$I$35,"&gt;0")+SUMIFS(⑫ミキサー工程入力!$M$6:$M$65,⑫ミキサー工程入力!$S$6:$S$65,$J346,⑫ミキサー工程入力!$J$6:$J$65,"&gt;0")-SUMIFS(⑫ミキサー工程入力!$M$6:$M$65,⑫ミキサー工程入力!$S$6:$S$65,$J346,⑫ミキサー工程入力!$J$6:$J$65,"&gt;0",⑫ミキサー工程入力!$I$6:$I$65,"&gt;0")+SUMIFS(⑬計量工程入力!$M$6:$M$65,⑬計量工程入力!$S$6:$S$65,$J346,⑬計量工程入力!$J$6:$J$65,"&gt;0")-SUMIFS(⑬計量工程入力!$M$6:$M$65,⑬計量工程入力!$S$6:$S$65,$J346,⑬計量工程入力!$J$6:$J$65,"&gt;0",⑬計量工程入力!$I$6:$I$65,"&gt;0")+SUMIFS(⑭手動工程入力!$M$6:$M$47,⑭手動工程入力!$S$6:$S$47,$J346,⑭手動工程入力!$J$6:$J$47,"&gt;0")-SUMIFS(⑭手動工程入力!$M$6:$M$47,⑭手動工程入力!$S$6:$S$47,$J346,⑭手動工程入力!$J$6:$J$47,"&gt;0",⑭手動工程入力!$I$6:$I$47,"&gt;0"))</f>
        <v/>
      </c>
      <c r="O346" s="393">
        <f>IF($J346="",0,SUMIFS(②釜工程入力!$J$5:$J$117,②釜工程入力!$S$5:$S$117,$J346,②釜工程入力!$J$5:$J$117,"&gt;0",②釜工程入力!$M$5:$M$117,"&gt;0")-SUMIFS(②釜工程入力!$J$5:$J$117,②釜工程入力!$S$5:$S$117,$J346,②釜工程入力!$J$5:$J$117,"&gt;0",②釜工程入力!$I$5:$I$117,"&gt;0",②釜工程入力!$M$5:$M$117,"&gt;0")+SUMIFS(③スチコン工程入力!$J$5:$J$152,③スチコン工程入力!$S$5:$S$152,$J346,③スチコン工程入力!$J$5:$J$152,"&gt;0",③スチコン工程入力!$M$5:$M$152,"&gt;0")-SUMIFS(③スチコン工程入力!$J$5:$J$152,③スチコン工程入力!$S$5:$S$152,$J346,③スチコン工程入力!$J$5:$J$152,"&gt;0",③スチコン工程入力!$I$5:$I$152,"&gt;0",③スチコン工程入力!$M$5:$M$152,"&gt;0")+SUMIFS(⑪ZEN工程入力!$J$6:$J$35,⑪ZEN工程入力!$S$6:$S$35,$J346,⑪ZEN工程入力!$J$6:$J$35,"&gt;0",⑪ZEN工程入力!$M$6:$M$35,"&gt;0")-SUMIFS(⑪ZEN工程入力!$J$6:$J$35,⑪ZEN工程入力!$S$6:$S$35,$J346,⑪ZEN工程入力!$J$6:$J$35,"&gt;0",⑪ZEN工程入力!$I$6:$I$35,"&gt;0",⑪ZEN工程入力!$M$6:$M$35,"&gt;0")+SUMIFS(⑫ミキサー工程入力!$J$6:$J$65,⑫ミキサー工程入力!$S$6:$S$65,$J346,⑫ミキサー工程入力!$J$6:$J$65,"&gt;0",⑫ミキサー工程入力!$M$6:$M$65,"&gt;0")-SUMIFS(⑫ミキサー工程入力!$J$6:$J$65,⑫ミキサー工程入力!$S$6:$S$65,$J346,⑫ミキサー工程入力!$J$6:$J$65,"&gt;0",⑫ミキサー工程入力!$I$6:$I$65,"&gt;0",⑫ミキサー工程入力!$M$6:$M$65,"&gt;0")+SUMIFS(⑬計量工程入力!$J$6:$J$65,⑬計量工程入力!$S$6:$S$65,$J346,⑬計量工程入力!$J$6:$J$65,"&gt;0",⑬計量工程入力!$M$6:$M$65,"&gt;0")-SUMIFS(⑬計量工程入力!$J$6:$J$65,⑬計量工程入力!$S$6:$S$65,$J346,⑬計量工程入力!$J$6:$J$65,"&gt;0",⑬計量工程入力!$I$6:$I$65,"&gt;0",⑬計量工程入力!$M$6:$M$65,"&gt;0")+SUMIFS(⑭手動工程入力!$J$6:$J$47,⑭手動工程入力!$S$6:$S$47,$J346,⑭手動工程入力!$J$6:$J$47,"&gt;0",⑭手動工程入力!$M$6:$M$47,"&gt;0")-SUMIFS(⑭手動工程入力!$J$6:$J$47,⑭手動工程入力!$S$6:$S$47,$J346,⑭手動工程入力!$J$6:$J$47,"&gt;0",⑭手動工程入力!$I$6:$I$47,"&gt;0",⑭手動工程入力!$M$6:$M$47,"&gt;0"))</f>
        <v/>
      </c>
      <c r="P346" s="392" t="inlineStr">
        <is>
          <t>中間品リスト</t>
        </is>
      </c>
    </row>
    <row r="347">
      <c r="A347" s="392" t="n">
        <v>343</v>
      </c>
      <c r="B347" s="392" t="n"/>
      <c r="C347" s="392" t="n"/>
      <c r="D347" s="409" t="n"/>
      <c r="E347" s="392" t="n"/>
      <c r="F347" s="394" t="n"/>
      <c r="G347" s="392" t="n"/>
      <c r="H347" s="604">
        <f>IFERROR(IF(AND($K347&gt;0,ISNUMBER(IF(OR($D347="g",$D347="ｇ"),IF($M347&gt;0,$L347/$M347/1000,""),IF($D347="kg",IF($M347&gt;0,$L347/$M347,""),IF($D347="",IF($M347&gt;0,$L347/$M347/1000,IF($O347&gt;0,$N347/$O347,"")),IF($O347&gt;0,$N347/$O347,"")))))),IF(OR($D347="g",$D347="ｇ"),IF($M347&gt;0,$L347/$M347/1000,""),IF($D347="kg",IF($M347&gt;0,$L347/$M347,""),IF($D347="",IF($M347&gt;0,$L347/$M347/1000,IF($O347&gt;0,$N347/$O347,"")),IF($O347&gt;0,$N347/$O347,"")))),IF($F347="",IF(OR($E347="",$E347="⑩盛付梱包工程入力"),"",IF(OR($D347="g",$D347="ｇ"),INDEX(⑰工程労務費一覧!$N$5:$N$11,MATCH($E347,⑰工程労務費一覧!$K$5:$K$11,0))/1000,IF($D347="kg",INDEX(⑰工程労務費一覧!$N$5:$N$11,MATCH($E347,⑰工程労務費一覧!$K$5:$K$11,0)),IF(OR($D347="個",$D347="切",$D347="本",$D347="枚",$D347="尾"),IF($E347="⑬計量工程入力","",INDEX(⑰工程労務費一覧!$P$5:$P$11,MATCH($E347,⑰工程労務費一覧!$K$5:$K$11,0))),IF(AND($D347="",OR($E347="②釜工程入力",$E347="③スチコン工程入力")),INDEX(⑰工程労務費一覧!$N$5:$N$11,MATCH($E347,⑰工程労務費一覧!$K$5:$K$11,0))/1000,""))))),IF(OR($D347="g",$D347="ｇ"),INDEX(⑰工程労務費一覧!$H$5:$H$753,MATCH($F347,⑰工程労務費一覧!$D$5:$D$753,0))/1000,IF($D347="kg",INDEX(⑰工程労務費一覧!$H$5:$H$753,MATCH($F347,⑰工程労務費一覧!$D$5:$D$753,0)),INDEX(⑰工程労務費一覧!$I$5:$I$753,MATCH($F347,⑰工程労務費一覧!$D$5:$D$753,0)))))),"")</f>
        <v/>
      </c>
      <c r="I347" s="392">
        <f>IF($K347&gt;0,IF(ISNUMBER(IF(OR($D347="g",$D347="ｇ"),IF($M347&gt;0,$L347/$M347/1000,""),IF($D347="kg",IF($M347&gt;0,$L347/$M347,""),IF($D347="",IF($M347&gt;0,$L347/$M347/1000,IF($O347&gt;0,$N347/$O347,"")),IF($O347&gt;0,$N347/$O347,""))))),IF($D347="",IF($M347&gt;0,"◎ JAN紐づけ(g扱い)","◎ JAN紐づけ(個扱い)"),"◎ JAN紐づけ"),"△ JAN紐づけ済・実績不足→仮計算"),IF($F347="",IF(ISNUMBER($H347),IF($D347="","⑤ 工程平均で仮計算(g扱い)","⑤ 工程平均で仮計算"),IF($E347="⑩盛付梱包工程入力","⑥ 盛り込み(⑳F列で計上)",IF(AND($E347="⑬計量工程入力",OR($D347="個",$D347="切",$D347="本",$D347="枚",$D347="尾")),"① 未紐づけ(カット個単位は仮単価なし)","① 未紐づけ"))),IF(NOT(ISNUMBER($H347)),"② 工程側に単価なし",IF($D347="","③ 単位未設定(個で計算)","④ OK"))))</f>
        <v/>
      </c>
      <c r="J347" s="399">
        <f>IFERROR(LOOKUP(2,1/((中間品リスト!$F$2:$F$1299=$B347)*(中間品リスト!$E$2:$E$1299&lt;&gt;"-")*(中間品リスト!$E$2:$E$1299&lt;&gt;"")),中間品リスト!$E$2:$E$1299),"")</f>
        <v/>
      </c>
      <c r="K347" s="400">
        <f>IF($J347="",0,COUNTIF(②釜工程入力!$S$5:$S$117,$J347)+COUNTIF(③スチコン工程入力!$S$5:$S$152,$J347)+COUNTIF(⑪ZEN工程入力!$S$6:$S$35,$J347)+COUNTIF(⑫ミキサー工程入力!$S$6:$S$65,$J347)+COUNTIF(⑬計量工程入力!$S$6:$S$65,$J347)+COUNTIF(⑭手動工程入力!$S$6:$S$47,$J347))</f>
        <v/>
      </c>
      <c r="L347" s="393">
        <f>IF($J347="",0,SUMIFS(②釜工程入力!$M$5:$M$117,②釜工程入力!$S$5:$S$117,$J347,②釜工程入力!$I$5:$I$117,"&gt;0")+SUMIFS(③スチコン工程入力!$M$5:$M$152,③スチコン工程入力!$S$5:$S$152,$J347,③スチコン工程入力!$I$5:$I$152,"&gt;0")+SUMIFS(⑪ZEN工程入力!$M$6:$M$35,⑪ZEN工程入力!$S$6:$S$35,$J347,⑪ZEN工程入力!$I$6:$I$35,"&gt;0")+SUMIFS(⑫ミキサー工程入力!$M$6:$M$65,⑫ミキサー工程入力!$S$6:$S$65,$J347,⑫ミキサー工程入力!$I$6:$I$65,"&gt;0")+SUMIFS(⑬計量工程入力!$M$6:$M$65,⑬計量工程入力!$S$6:$S$65,$J347,⑬計量工程入力!$I$6:$I$65,"&gt;0")+SUMIFS(⑭手動工程入力!$M$6:$M$47,⑭手動工程入力!$S$6:$S$47,$J347,⑭手動工程入力!$I$6:$I$47,"&gt;0"))</f>
        <v/>
      </c>
      <c r="M347" s="393">
        <f>IF($J347="",0,SUMIFS(②釜工程入力!$I$5:$I$117,②釜工程入力!$S$5:$S$117,$J347,②釜工程入力!$I$5:$I$117,"&gt;0",②釜工程入力!$M$5:$M$117,"&gt;0")+SUMIFS(③スチコン工程入力!$I$5:$I$152,③スチコン工程入力!$S$5:$S$152,$J347,③スチコン工程入力!$I$5:$I$152,"&gt;0",③スチコン工程入力!$M$5:$M$152,"&gt;0")+SUMIFS(⑪ZEN工程入力!$I$6:$I$35,⑪ZEN工程入力!$S$6:$S$35,$J347,⑪ZEN工程入力!$I$6:$I$35,"&gt;0",⑪ZEN工程入力!$M$6:$M$35,"&gt;0")+SUMIFS(⑫ミキサー工程入力!$I$6:$I$65,⑫ミキサー工程入力!$S$6:$S$65,$J347,⑫ミキサー工程入力!$I$6:$I$65,"&gt;0",⑫ミキサー工程入力!$M$6:$M$65,"&gt;0")+SUMIFS(⑬計量工程入力!$I$6:$I$65,⑬計量工程入力!$S$6:$S$65,$J347,⑬計量工程入力!$I$6:$I$65,"&gt;0",⑬計量工程入力!$M$6:$M$65,"&gt;0")+SUMIFS(⑭手動工程入力!$I$6:$I$47,⑭手動工程入力!$S$6:$S$47,$J347,⑭手動工程入力!$I$6:$I$47,"&gt;0",⑭手動工程入力!$M$6:$M$47,"&gt;0"))</f>
        <v/>
      </c>
      <c r="N347" s="393">
        <f>IF($J347="",0,SUMIFS(②釜工程入力!$M$5:$M$117,②釜工程入力!$S$5:$S$117,$J347,②釜工程入力!$J$5:$J$117,"&gt;0")-SUMIFS(②釜工程入力!$M$5:$M$117,②釜工程入力!$S$5:$S$117,$J347,②釜工程入力!$J$5:$J$117,"&gt;0",②釜工程入力!$I$5:$I$117,"&gt;0")+SUMIFS(③スチコン工程入力!$M$5:$M$152,③スチコン工程入力!$S$5:$S$152,$J347,③スチコン工程入力!$J$5:$J$152,"&gt;0")-SUMIFS(③スチコン工程入力!$M$5:$M$152,③スチコン工程入力!$S$5:$S$152,$J347,③スチコン工程入力!$J$5:$J$152,"&gt;0",③スチコン工程入力!$I$5:$I$152,"&gt;0")+SUMIFS(⑪ZEN工程入力!$M$6:$M$35,⑪ZEN工程入力!$S$6:$S$35,$J347,⑪ZEN工程入力!$J$6:$J$35,"&gt;0")-SUMIFS(⑪ZEN工程入力!$M$6:$M$35,⑪ZEN工程入力!$S$6:$S$35,$J347,⑪ZEN工程入力!$J$6:$J$35,"&gt;0",⑪ZEN工程入力!$I$6:$I$35,"&gt;0")+SUMIFS(⑫ミキサー工程入力!$M$6:$M$65,⑫ミキサー工程入力!$S$6:$S$65,$J347,⑫ミキサー工程入力!$J$6:$J$65,"&gt;0")-SUMIFS(⑫ミキサー工程入力!$M$6:$M$65,⑫ミキサー工程入力!$S$6:$S$65,$J347,⑫ミキサー工程入力!$J$6:$J$65,"&gt;0",⑫ミキサー工程入力!$I$6:$I$65,"&gt;0")+SUMIFS(⑬計量工程入力!$M$6:$M$65,⑬計量工程入力!$S$6:$S$65,$J347,⑬計量工程入力!$J$6:$J$65,"&gt;0")-SUMIFS(⑬計量工程入力!$M$6:$M$65,⑬計量工程入力!$S$6:$S$65,$J347,⑬計量工程入力!$J$6:$J$65,"&gt;0",⑬計量工程入力!$I$6:$I$65,"&gt;0")+SUMIFS(⑭手動工程入力!$M$6:$M$47,⑭手動工程入力!$S$6:$S$47,$J347,⑭手動工程入力!$J$6:$J$47,"&gt;0")-SUMIFS(⑭手動工程入力!$M$6:$M$47,⑭手動工程入力!$S$6:$S$47,$J347,⑭手動工程入力!$J$6:$J$47,"&gt;0",⑭手動工程入力!$I$6:$I$47,"&gt;0"))</f>
        <v/>
      </c>
      <c r="O347" s="393">
        <f>IF($J347="",0,SUMIFS(②釜工程入力!$J$5:$J$117,②釜工程入力!$S$5:$S$117,$J347,②釜工程入力!$J$5:$J$117,"&gt;0",②釜工程入力!$M$5:$M$117,"&gt;0")-SUMIFS(②釜工程入力!$J$5:$J$117,②釜工程入力!$S$5:$S$117,$J347,②釜工程入力!$J$5:$J$117,"&gt;0",②釜工程入力!$I$5:$I$117,"&gt;0",②釜工程入力!$M$5:$M$117,"&gt;0")+SUMIFS(③スチコン工程入力!$J$5:$J$152,③スチコン工程入力!$S$5:$S$152,$J347,③スチコン工程入力!$J$5:$J$152,"&gt;0",③スチコン工程入力!$M$5:$M$152,"&gt;0")-SUMIFS(③スチコン工程入力!$J$5:$J$152,③スチコン工程入力!$S$5:$S$152,$J347,③スチコン工程入力!$J$5:$J$152,"&gt;0",③スチコン工程入力!$I$5:$I$152,"&gt;0",③スチコン工程入力!$M$5:$M$152,"&gt;0")+SUMIFS(⑪ZEN工程入力!$J$6:$J$35,⑪ZEN工程入力!$S$6:$S$35,$J347,⑪ZEN工程入力!$J$6:$J$35,"&gt;0",⑪ZEN工程入力!$M$6:$M$35,"&gt;0")-SUMIFS(⑪ZEN工程入力!$J$6:$J$35,⑪ZEN工程入力!$S$6:$S$35,$J347,⑪ZEN工程入力!$J$6:$J$35,"&gt;0",⑪ZEN工程入力!$I$6:$I$35,"&gt;0",⑪ZEN工程入力!$M$6:$M$35,"&gt;0")+SUMIFS(⑫ミキサー工程入力!$J$6:$J$65,⑫ミキサー工程入力!$S$6:$S$65,$J347,⑫ミキサー工程入力!$J$6:$J$65,"&gt;0",⑫ミキサー工程入力!$M$6:$M$65,"&gt;0")-SUMIFS(⑫ミキサー工程入力!$J$6:$J$65,⑫ミキサー工程入力!$S$6:$S$65,$J347,⑫ミキサー工程入力!$J$6:$J$65,"&gt;0",⑫ミキサー工程入力!$I$6:$I$65,"&gt;0",⑫ミキサー工程入力!$M$6:$M$65,"&gt;0")+SUMIFS(⑬計量工程入力!$J$6:$J$65,⑬計量工程入力!$S$6:$S$65,$J347,⑬計量工程入力!$J$6:$J$65,"&gt;0",⑬計量工程入力!$M$6:$M$65,"&gt;0")-SUMIFS(⑬計量工程入力!$J$6:$J$65,⑬計量工程入力!$S$6:$S$65,$J347,⑬計量工程入力!$J$6:$J$65,"&gt;0",⑬計量工程入力!$I$6:$I$65,"&gt;0",⑬計量工程入力!$M$6:$M$65,"&gt;0")+SUMIFS(⑭手動工程入力!$J$6:$J$47,⑭手動工程入力!$S$6:$S$47,$J347,⑭手動工程入力!$J$6:$J$47,"&gt;0",⑭手動工程入力!$M$6:$M$47,"&gt;0")-SUMIFS(⑭手動工程入力!$J$6:$J$47,⑭手動工程入力!$S$6:$S$47,$J347,⑭手動工程入力!$J$6:$J$47,"&gt;0",⑭手動工程入力!$I$6:$I$47,"&gt;0",⑭手動工程入力!$M$6:$M$47,"&gt;0"))</f>
        <v/>
      </c>
      <c r="P347" s="392" t="inlineStr">
        <is>
          <t>中間品リスト</t>
        </is>
      </c>
    </row>
    <row r="348">
      <c r="A348" s="392" t="n">
        <v>344</v>
      </c>
      <c r="B348" s="392" t="n"/>
      <c r="C348" s="392" t="n"/>
      <c r="D348" s="409" t="n"/>
      <c r="E348" s="392" t="n"/>
      <c r="F348" s="394" t="n"/>
      <c r="G348" s="392" t="n"/>
      <c r="H348" s="604">
        <f>IFERROR(IF(AND($K348&gt;0,ISNUMBER(IF(OR($D348="g",$D348="ｇ"),IF($M348&gt;0,$L348/$M348/1000,""),IF($D348="kg",IF($M348&gt;0,$L348/$M348,""),IF($D348="",IF($M348&gt;0,$L348/$M348/1000,IF($O348&gt;0,$N348/$O348,"")),IF($O348&gt;0,$N348/$O348,"")))))),IF(OR($D348="g",$D348="ｇ"),IF($M348&gt;0,$L348/$M348/1000,""),IF($D348="kg",IF($M348&gt;0,$L348/$M348,""),IF($D348="",IF($M348&gt;0,$L348/$M348/1000,IF($O348&gt;0,$N348/$O348,"")),IF($O348&gt;0,$N348/$O348,"")))),IF($F348="",IF(OR($E348="",$E348="⑩盛付梱包工程入力"),"",IF(OR($D348="g",$D348="ｇ"),INDEX(⑰工程労務費一覧!$N$5:$N$11,MATCH($E348,⑰工程労務費一覧!$K$5:$K$11,0))/1000,IF($D348="kg",INDEX(⑰工程労務費一覧!$N$5:$N$11,MATCH($E348,⑰工程労務費一覧!$K$5:$K$11,0)),IF(OR($D348="個",$D348="切",$D348="本",$D348="枚",$D348="尾"),IF($E348="⑬計量工程入力","",INDEX(⑰工程労務費一覧!$P$5:$P$11,MATCH($E348,⑰工程労務費一覧!$K$5:$K$11,0))),IF(AND($D348="",OR($E348="②釜工程入力",$E348="③スチコン工程入力")),INDEX(⑰工程労務費一覧!$N$5:$N$11,MATCH($E348,⑰工程労務費一覧!$K$5:$K$11,0))/1000,""))))),IF(OR($D348="g",$D348="ｇ"),INDEX(⑰工程労務費一覧!$H$5:$H$753,MATCH($F348,⑰工程労務費一覧!$D$5:$D$753,0))/1000,IF($D348="kg",INDEX(⑰工程労務費一覧!$H$5:$H$753,MATCH($F348,⑰工程労務費一覧!$D$5:$D$753,0)),INDEX(⑰工程労務費一覧!$I$5:$I$753,MATCH($F348,⑰工程労務費一覧!$D$5:$D$753,0)))))),"")</f>
        <v/>
      </c>
      <c r="I348" s="392">
        <f>IF($K348&gt;0,IF(ISNUMBER(IF(OR($D348="g",$D348="ｇ"),IF($M348&gt;0,$L348/$M348/1000,""),IF($D348="kg",IF($M348&gt;0,$L348/$M348,""),IF($D348="",IF($M348&gt;0,$L348/$M348/1000,IF($O348&gt;0,$N348/$O348,"")),IF($O348&gt;0,$N348/$O348,""))))),IF($D348="",IF($M348&gt;0,"◎ JAN紐づけ(g扱い)","◎ JAN紐づけ(個扱い)"),"◎ JAN紐づけ"),"△ JAN紐づけ済・実績不足→仮計算"),IF($F348="",IF(ISNUMBER($H348),IF($D348="","⑤ 工程平均で仮計算(g扱い)","⑤ 工程平均で仮計算"),IF($E348="⑩盛付梱包工程入力","⑥ 盛り込み(⑳F列で計上)",IF(AND($E348="⑬計量工程入力",OR($D348="個",$D348="切",$D348="本",$D348="枚",$D348="尾")),"① 未紐づけ(カット個単位は仮単価なし)","① 未紐づけ"))),IF(NOT(ISNUMBER($H348)),"② 工程側に単価なし",IF($D348="","③ 単位未設定(個で計算)","④ OK"))))</f>
        <v/>
      </c>
      <c r="J348" s="399">
        <f>IFERROR(LOOKUP(2,1/((中間品リスト!$F$2:$F$1299=$B348)*(中間品リスト!$E$2:$E$1299&lt;&gt;"-")*(中間品リスト!$E$2:$E$1299&lt;&gt;"")),中間品リスト!$E$2:$E$1299),"")</f>
        <v/>
      </c>
      <c r="K348" s="400">
        <f>IF($J348="",0,COUNTIF(②釜工程入力!$S$5:$S$117,$J348)+COUNTIF(③スチコン工程入力!$S$5:$S$152,$J348)+COUNTIF(⑪ZEN工程入力!$S$6:$S$35,$J348)+COUNTIF(⑫ミキサー工程入力!$S$6:$S$65,$J348)+COUNTIF(⑬計量工程入力!$S$6:$S$65,$J348)+COUNTIF(⑭手動工程入力!$S$6:$S$47,$J348))</f>
        <v/>
      </c>
      <c r="L348" s="393">
        <f>IF($J348="",0,SUMIFS(②釜工程入力!$M$5:$M$117,②釜工程入力!$S$5:$S$117,$J348,②釜工程入力!$I$5:$I$117,"&gt;0")+SUMIFS(③スチコン工程入力!$M$5:$M$152,③スチコン工程入力!$S$5:$S$152,$J348,③スチコン工程入力!$I$5:$I$152,"&gt;0")+SUMIFS(⑪ZEN工程入力!$M$6:$M$35,⑪ZEN工程入力!$S$6:$S$35,$J348,⑪ZEN工程入力!$I$6:$I$35,"&gt;0")+SUMIFS(⑫ミキサー工程入力!$M$6:$M$65,⑫ミキサー工程入力!$S$6:$S$65,$J348,⑫ミキサー工程入力!$I$6:$I$65,"&gt;0")+SUMIFS(⑬計量工程入力!$M$6:$M$65,⑬計量工程入力!$S$6:$S$65,$J348,⑬計量工程入力!$I$6:$I$65,"&gt;0")+SUMIFS(⑭手動工程入力!$M$6:$M$47,⑭手動工程入力!$S$6:$S$47,$J348,⑭手動工程入力!$I$6:$I$47,"&gt;0"))</f>
        <v/>
      </c>
      <c r="M348" s="393">
        <f>IF($J348="",0,SUMIFS(②釜工程入力!$I$5:$I$117,②釜工程入力!$S$5:$S$117,$J348,②釜工程入力!$I$5:$I$117,"&gt;0",②釜工程入力!$M$5:$M$117,"&gt;0")+SUMIFS(③スチコン工程入力!$I$5:$I$152,③スチコン工程入力!$S$5:$S$152,$J348,③スチコン工程入力!$I$5:$I$152,"&gt;0",③スチコン工程入力!$M$5:$M$152,"&gt;0")+SUMIFS(⑪ZEN工程入力!$I$6:$I$35,⑪ZEN工程入力!$S$6:$S$35,$J348,⑪ZEN工程入力!$I$6:$I$35,"&gt;0",⑪ZEN工程入力!$M$6:$M$35,"&gt;0")+SUMIFS(⑫ミキサー工程入力!$I$6:$I$65,⑫ミキサー工程入力!$S$6:$S$65,$J348,⑫ミキサー工程入力!$I$6:$I$65,"&gt;0",⑫ミキサー工程入力!$M$6:$M$65,"&gt;0")+SUMIFS(⑬計量工程入力!$I$6:$I$65,⑬計量工程入力!$S$6:$S$65,$J348,⑬計量工程入力!$I$6:$I$65,"&gt;0",⑬計量工程入力!$M$6:$M$65,"&gt;0")+SUMIFS(⑭手動工程入力!$I$6:$I$47,⑭手動工程入力!$S$6:$S$47,$J348,⑭手動工程入力!$I$6:$I$47,"&gt;0",⑭手動工程入力!$M$6:$M$47,"&gt;0"))</f>
        <v/>
      </c>
      <c r="N348" s="393">
        <f>IF($J348="",0,SUMIFS(②釜工程入力!$M$5:$M$117,②釜工程入力!$S$5:$S$117,$J348,②釜工程入力!$J$5:$J$117,"&gt;0")-SUMIFS(②釜工程入力!$M$5:$M$117,②釜工程入力!$S$5:$S$117,$J348,②釜工程入力!$J$5:$J$117,"&gt;0",②釜工程入力!$I$5:$I$117,"&gt;0")+SUMIFS(③スチコン工程入力!$M$5:$M$152,③スチコン工程入力!$S$5:$S$152,$J348,③スチコン工程入力!$J$5:$J$152,"&gt;0")-SUMIFS(③スチコン工程入力!$M$5:$M$152,③スチコン工程入力!$S$5:$S$152,$J348,③スチコン工程入力!$J$5:$J$152,"&gt;0",③スチコン工程入力!$I$5:$I$152,"&gt;0")+SUMIFS(⑪ZEN工程入力!$M$6:$M$35,⑪ZEN工程入力!$S$6:$S$35,$J348,⑪ZEN工程入力!$J$6:$J$35,"&gt;0")-SUMIFS(⑪ZEN工程入力!$M$6:$M$35,⑪ZEN工程入力!$S$6:$S$35,$J348,⑪ZEN工程入力!$J$6:$J$35,"&gt;0",⑪ZEN工程入力!$I$6:$I$35,"&gt;0")+SUMIFS(⑫ミキサー工程入力!$M$6:$M$65,⑫ミキサー工程入力!$S$6:$S$65,$J348,⑫ミキサー工程入力!$J$6:$J$65,"&gt;0")-SUMIFS(⑫ミキサー工程入力!$M$6:$M$65,⑫ミキサー工程入力!$S$6:$S$65,$J348,⑫ミキサー工程入力!$J$6:$J$65,"&gt;0",⑫ミキサー工程入力!$I$6:$I$65,"&gt;0")+SUMIFS(⑬計量工程入力!$M$6:$M$65,⑬計量工程入力!$S$6:$S$65,$J348,⑬計量工程入力!$J$6:$J$65,"&gt;0")-SUMIFS(⑬計量工程入力!$M$6:$M$65,⑬計量工程入力!$S$6:$S$65,$J348,⑬計量工程入力!$J$6:$J$65,"&gt;0",⑬計量工程入力!$I$6:$I$65,"&gt;0")+SUMIFS(⑭手動工程入力!$M$6:$M$47,⑭手動工程入力!$S$6:$S$47,$J348,⑭手動工程入力!$J$6:$J$47,"&gt;0")-SUMIFS(⑭手動工程入力!$M$6:$M$47,⑭手動工程入力!$S$6:$S$47,$J348,⑭手動工程入力!$J$6:$J$47,"&gt;0",⑭手動工程入力!$I$6:$I$47,"&gt;0"))</f>
        <v/>
      </c>
      <c r="O348" s="393">
        <f>IF($J348="",0,SUMIFS(②釜工程入力!$J$5:$J$117,②釜工程入力!$S$5:$S$117,$J348,②釜工程入力!$J$5:$J$117,"&gt;0",②釜工程入力!$M$5:$M$117,"&gt;0")-SUMIFS(②釜工程入力!$J$5:$J$117,②釜工程入力!$S$5:$S$117,$J348,②釜工程入力!$J$5:$J$117,"&gt;0",②釜工程入力!$I$5:$I$117,"&gt;0",②釜工程入力!$M$5:$M$117,"&gt;0")+SUMIFS(③スチコン工程入力!$J$5:$J$152,③スチコン工程入力!$S$5:$S$152,$J348,③スチコン工程入力!$J$5:$J$152,"&gt;0",③スチコン工程入力!$M$5:$M$152,"&gt;0")-SUMIFS(③スチコン工程入力!$J$5:$J$152,③スチコン工程入力!$S$5:$S$152,$J348,③スチコン工程入力!$J$5:$J$152,"&gt;0",③スチコン工程入力!$I$5:$I$152,"&gt;0",③スチコン工程入力!$M$5:$M$152,"&gt;0")+SUMIFS(⑪ZEN工程入力!$J$6:$J$35,⑪ZEN工程入力!$S$6:$S$35,$J348,⑪ZEN工程入力!$J$6:$J$35,"&gt;0",⑪ZEN工程入力!$M$6:$M$35,"&gt;0")-SUMIFS(⑪ZEN工程入力!$J$6:$J$35,⑪ZEN工程入力!$S$6:$S$35,$J348,⑪ZEN工程入力!$J$6:$J$35,"&gt;0",⑪ZEN工程入力!$I$6:$I$35,"&gt;0",⑪ZEN工程入力!$M$6:$M$35,"&gt;0")+SUMIFS(⑫ミキサー工程入力!$J$6:$J$65,⑫ミキサー工程入力!$S$6:$S$65,$J348,⑫ミキサー工程入力!$J$6:$J$65,"&gt;0",⑫ミキサー工程入力!$M$6:$M$65,"&gt;0")-SUMIFS(⑫ミキサー工程入力!$J$6:$J$65,⑫ミキサー工程入力!$S$6:$S$65,$J348,⑫ミキサー工程入力!$J$6:$J$65,"&gt;0",⑫ミキサー工程入力!$I$6:$I$65,"&gt;0",⑫ミキサー工程入力!$M$6:$M$65,"&gt;0")+SUMIFS(⑬計量工程入力!$J$6:$J$65,⑬計量工程入力!$S$6:$S$65,$J348,⑬計量工程入力!$J$6:$J$65,"&gt;0",⑬計量工程入力!$M$6:$M$65,"&gt;0")-SUMIFS(⑬計量工程入力!$J$6:$J$65,⑬計量工程入力!$S$6:$S$65,$J348,⑬計量工程入力!$J$6:$J$65,"&gt;0",⑬計量工程入力!$I$6:$I$65,"&gt;0",⑬計量工程入力!$M$6:$M$65,"&gt;0")+SUMIFS(⑭手動工程入力!$J$6:$J$47,⑭手動工程入力!$S$6:$S$47,$J348,⑭手動工程入力!$J$6:$J$47,"&gt;0",⑭手動工程入力!$M$6:$M$47,"&gt;0")-SUMIFS(⑭手動工程入力!$J$6:$J$47,⑭手動工程入力!$S$6:$S$47,$J348,⑭手動工程入力!$J$6:$J$47,"&gt;0",⑭手動工程入力!$I$6:$I$47,"&gt;0",⑭手動工程入力!$M$6:$M$47,"&gt;0"))</f>
        <v/>
      </c>
      <c r="P348" s="392" t="inlineStr">
        <is>
          <t>中間品リスト</t>
        </is>
      </c>
    </row>
    <row r="349">
      <c r="A349" s="392" t="n">
        <v>345</v>
      </c>
      <c r="B349" s="392" t="n"/>
      <c r="C349" s="392" t="n"/>
      <c r="D349" s="409" t="n"/>
      <c r="E349" s="392" t="n"/>
      <c r="F349" s="394" t="n"/>
      <c r="G349" s="392" t="n"/>
      <c r="H349" s="604">
        <f>IFERROR(IF(AND($K349&gt;0,ISNUMBER(IF(OR($D349="g",$D349="ｇ"),IF($M349&gt;0,$L349/$M349/1000,""),IF($D349="kg",IF($M349&gt;0,$L349/$M349,""),IF($D349="",IF($M349&gt;0,$L349/$M349/1000,IF($O349&gt;0,$N349/$O349,"")),IF($O349&gt;0,$N349/$O349,"")))))),IF(OR($D349="g",$D349="ｇ"),IF($M349&gt;0,$L349/$M349/1000,""),IF($D349="kg",IF($M349&gt;0,$L349/$M349,""),IF($D349="",IF($M349&gt;0,$L349/$M349/1000,IF($O349&gt;0,$N349/$O349,"")),IF($O349&gt;0,$N349/$O349,"")))),IF($F349="",IF(OR($E349="",$E349="⑩盛付梱包工程入力"),"",IF(OR($D349="g",$D349="ｇ"),INDEX(⑰工程労務費一覧!$N$5:$N$11,MATCH($E349,⑰工程労務費一覧!$K$5:$K$11,0))/1000,IF($D349="kg",INDEX(⑰工程労務費一覧!$N$5:$N$11,MATCH($E349,⑰工程労務費一覧!$K$5:$K$11,0)),IF(OR($D349="個",$D349="切",$D349="本",$D349="枚",$D349="尾"),IF($E349="⑬計量工程入力","",INDEX(⑰工程労務費一覧!$P$5:$P$11,MATCH($E349,⑰工程労務費一覧!$K$5:$K$11,0))),IF(AND($D349="",OR($E349="②釜工程入力",$E349="③スチコン工程入力")),INDEX(⑰工程労務費一覧!$N$5:$N$11,MATCH($E349,⑰工程労務費一覧!$K$5:$K$11,0))/1000,""))))),IF(OR($D349="g",$D349="ｇ"),INDEX(⑰工程労務費一覧!$H$5:$H$753,MATCH($F349,⑰工程労務費一覧!$D$5:$D$753,0))/1000,IF($D349="kg",INDEX(⑰工程労務費一覧!$H$5:$H$753,MATCH($F349,⑰工程労務費一覧!$D$5:$D$753,0)),INDEX(⑰工程労務費一覧!$I$5:$I$753,MATCH($F349,⑰工程労務費一覧!$D$5:$D$753,0)))))),"")</f>
        <v/>
      </c>
      <c r="I349" s="392">
        <f>IF($K349&gt;0,IF(ISNUMBER(IF(OR($D349="g",$D349="ｇ"),IF($M349&gt;0,$L349/$M349/1000,""),IF($D349="kg",IF($M349&gt;0,$L349/$M349,""),IF($D349="",IF($M349&gt;0,$L349/$M349/1000,IF($O349&gt;0,$N349/$O349,"")),IF($O349&gt;0,$N349/$O349,""))))),IF($D349="",IF($M349&gt;0,"◎ JAN紐づけ(g扱い)","◎ JAN紐づけ(個扱い)"),"◎ JAN紐づけ"),"△ JAN紐づけ済・実績不足→仮計算"),IF($F349="",IF(ISNUMBER($H349),IF($D349="","⑤ 工程平均で仮計算(g扱い)","⑤ 工程平均で仮計算"),IF($E349="⑩盛付梱包工程入力","⑥ 盛り込み(⑳F列で計上)",IF(AND($E349="⑬計量工程入力",OR($D349="個",$D349="切",$D349="本",$D349="枚",$D349="尾")),"① 未紐づけ(カット個単位は仮単価なし)","① 未紐づけ"))),IF(NOT(ISNUMBER($H349)),"② 工程側に単価なし",IF($D349="","③ 単位未設定(個で計算)","④ OK"))))</f>
        <v/>
      </c>
      <c r="J349" s="399">
        <f>IFERROR(LOOKUP(2,1/((中間品リスト!$F$2:$F$1299=$B349)*(中間品リスト!$E$2:$E$1299&lt;&gt;"-")*(中間品リスト!$E$2:$E$1299&lt;&gt;"")),中間品リスト!$E$2:$E$1299),"")</f>
        <v/>
      </c>
      <c r="K349" s="400">
        <f>IF($J349="",0,COUNTIF(②釜工程入力!$S$5:$S$117,$J349)+COUNTIF(③スチコン工程入力!$S$5:$S$152,$J349)+COUNTIF(⑪ZEN工程入力!$S$6:$S$35,$J349)+COUNTIF(⑫ミキサー工程入力!$S$6:$S$65,$J349)+COUNTIF(⑬計量工程入力!$S$6:$S$65,$J349)+COUNTIF(⑭手動工程入力!$S$6:$S$47,$J349))</f>
        <v/>
      </c>
      <c r="L349" s="393">
        <f>IF($J349="",0,SUMIFS(②釜工程入力!$M$5:$M$117,②釜工程入力!$S$5:$S$117,$J349,②釜工程入力!$I$5:$I$117,"&gt;0")+SUMIFS(③スチコン工程入力!$M$5:$M$152,③スチコン工程入力!$S$5:$S$152,$J349,③スチコン工程入力!$I$5:$I$152,"&gt;0")+SUMIFS(⑪ZEN工程入力!$M$6:$M$35,⑪ZEN工程入力!$S$6:$S$35,$J349,⑪ZEN工程入力!$I$6:$I$35,"&gt;0")+SUMIFS(⑫ミキサー工程入力!$M$6:$M$65,⑫ミキサー工程入力!$S$6:$S$65,$J349,⑫ミキサー工程入力!$I$6:$I$65,"&gt;0")+SUMIFS(⑬計量工程入力!$M$6:$M$65,⑬計量工程入力!$S$6:$S$65,$J349,⑬計量工程入力!$I$6:$I$65,"&gt;0")+SUMIFS(⑭手動工程入力!$M$6:$M$47,⑭手動工程入力!$S$6:$S$47,$J349,⑭手動工程入力!$I$6:$I$47,"&gt;0"))</f>
        <v/>
      </c>
      <c r="M349" s="393">
        <f>IF($J349="",0,SUMIFS(②釜工程入力!$I$5:$I$117,②釜工程入力!$S$5:$S$117,$J349,②釜工程入力!$I$5:$I$117,"&gt;0",②釜工程入力!$M$5:$M$117,"&gt;0")+SUMIFS(③スチコン工程入力!$I$5:$I$152,③スチコン工程入力!$S$5:$S$152,$J349,③スチコン工程入力!$I$5:$I$152,"&gt;0",③スチコン工程入力!$M$5:$M$152,"&gt;0")+SUMIFS(⑪ZEN工程入力!$I$6:$I$35,⑪ZEN工程入力!$S$6:$S$35,$J349,⑪ZEN工程入力!$I$6:$I$35,"&gt;0",⑪ZEN工程入力!$M$6:$M$35,"&gt;0")+SUMIFS(⑫ミキサー工程入力!$I$6:$I$65,⑫ミキサー工程入力!$S$6:$S$65,$J349,⑫ミキサー工程入力!$I$6:$I$65,"&gt;0",⑫ミキサー工程入力!$M$6:$M$65,"&gt;0")+SUMIFS(⑬計量工程入力!$I$6:$I$65,⑬計量工程入力!$S$6:$S$65,$J349,⑬計量工程入力!$I$6:$I$65,"&gt;0",⑬計量工程入力!$M$6:$M$65,"&gt;0")+SUMIFS(⑭手動工程入力!$I$6:$I$47,⑭手動工程入力!$S$6:$S$47,$J349,⑭手動工程入力!$I$6:$I$47,"&gt;0",⑭手動工程入力!$M$6:$M$47,"&gt;0"))</f>
        <v/>
      </c>
      <c r="N349" s="393">
        <f>IF($J349="",0,SUMIFS(②釜工程入力!$M$5:$M$117,②釜工程入力!$S$5:$S$117,$J349,②釜工程入力!$J$5:$J$117,"&gt;0")-SUMIFS(②釜工程入力!$M$5:$M$117,②釜工程入力!$S$5:$S$117,$J349,②釜工程入力!$J$5:$J$117,"&gt;0",②釜工程入力!$I$5:$I$117,"&gt;0")+SUMIFS(③スチコン工程入力!$M$5:$M$152,③スチコン工程入力!$S$5:$S$152,$J349,③スチコン工程入力!$J$5:$J$152,"&gt;0")-SUMIFS(③スチコン工程入力!$M$5:$M$152,③スチコン工程入力!$S$5:$S$152,$J349,③スチコン工程入力!$J$5:$J$152,"&gt;0",③スチコン工程入力!$I$5:$I$152,"&gt;0")+SUMIFS(⑪ZEN工程入力!$M$6:$M$35,⑪ZEN工程入力!$S$6:$S$35,$J349,⑪ZEN工程入力!$J$6:$J$35,"&gt;0")-SUMIFS(⑪ZEN工程入力!$M$6:$M$35,⑪ZEN工程入力!$S$6:$S$35,$J349,⑪ZEN工程入力!$J$6:$J$35,"&gt;0",⑪ZEN工程入力!$I$6:$I$35,"&gt;0")+SUMIFS(⑫ミキサー工程入力!$M$6:$M$65,⑫ミキサー工程入力!$S$6:$S$65,$J349,⑫ミキサー工程入力!$J$6:$J$65,"&gt;0")-SUMIFS(⑫ミキサー工程入力!$M$6:$M$65,⑫ミキサー工程入力!$S$6:$S$65,$J349,⑫ミキサー工程入力!$J$6:$J$65,"&gt;0",⑫ミキサー工程入力!$I$6:$I$65,"&gt;0")+SUMIFS(⑬計量工程入力!$M$6:$M$65,⑬計量工程入力!$S$6:$S$65,$J349,⑬計量工程入力!$J$6:$J$65,"&gt;0")-SUMIFS(⑬計量工程入力!$M$6:$M$65,⑬計量工程入力!$S$6:$S$65,$J349,⑬計量工程入力!$J$6:$J$65,"&gt;0",⑬計量工程入力!$I$6:$I$65,"&gt;0")+SUMIFS(⑭手動工程入力!$M$6:$M$47,⑭手動工程入力!$S$6:$S$47,$J349,⑭手動工程入力!$J$6:$J$47,"&gt;0")-SUMIFS(⑭手動工程入力!$M$6:$M$47,⑭手動工程入力!$S$6:$S$47,$J349,⑭手動工程入力!$J$6:$J$47,"&gt;0",⑭手動工程入力!$I$6:$I$47,"&gt;0"))</f>
        <v/>
      </c>
      <c r="O349" s="393">
        <f>IF($J349="",0,SUMIFS(②釜工程入力!$J$5:$J$117,②釜工程入力!$S$5:$S$117,$J349,②釜工程入力!$J$5:$J$117,"&gt;0",②釜工程入力!$M$5:$M$117,"&gt;0")-SUMIFS(②釜工程入力!$J$5:$J$117,②釜工程入力!$S$5:$S$117,$J349,②釜工程入力!$J$5:$J$117,"&gt;0",②釜工程入力!$I$5:$I$117,"&gt;0",②釜工程入力!$M$5:$M$117,"&gt;0")+SUMIFS(③スチコン工程入力!$J$5:$J$152,③スチコン工程入力!$S$5:$S$152,$J349,③スチコン工程入力!$J$5:$J$152,"&gt;0",③スチコン工程入力!$M$5:$M$152,"&gt;0")-SUMIFS(③スチコン工程入力!$J$5:$J$152,③スチコン工程入力!$S$5:$S$152,$J349,③スチコン工程入力!$J$5:$J$152,"&gt;0",③スチコン工程入力!$I$5:$I$152,"&gt;0",③スチコン工程入力!$M$5:$M$152,"&gt;0")+SUMIFS(⑪ZEN工程入力!$J$6:$J$35,⑪ZEN工程入力!$S$6:$S$35,$J349,⑪ZEN工程入力!$J$6:$J$35,"&gt;0",⑪ZEN工程入力!$M$6:$M$35,"&gt;0")-SUMIFS(⑪ZEN工程入力!$J$6:$J$35,⑪ZEN工程入力!$S$6:$S$35,$J349,⑪ZEN工程入力!$J$6:$J$35,"&gt;0",⑪ZEN工程入力!$I$6:$I$35,"&gt;0",⑪ZEN工程入力!$M$6:$M$35,"&gt;0")+SUMIFS(⑫ミキサー工程入力!$J$6:$J$65,⑫ミキサー工程入力!$S$6:$S$65,$J349,⑫ミキサー工程入力!$J$6:$J$65,"&gt;0",⑫ミキサー工程入力!$M$6:$M$65,"&gt;0")-SUMIFS(⑫ミキサー工程入力!$J$6:$J$65,⑫ミキサー工程入力!$S$6:$S$65,$J349,⑫ミキサー工程入力!$J$6:$J$65,"&gt;0",⑫ミキサー工程入力!$I$6:$I$65,"&gt;0",⑫ミキサー工程入力!$M$6:$M$65,"&gt;0")+SUMIFS(⑬計量工程入力!$J$6:$J$65,⑬計量工程入力!$S$6:$S$65,$J349,⑬計量工程入力!$J$6:$J$65,"&gt;0",⑬計量工程入力!$M$6:$M$65,"&gt;0")-SUMIFS(⑬計量工程入力!$J$6:$J$65,⑬計量工程入力!$S$6:$S$65,$J349,⑬計量工程入力!$J$6:$J$65,"&gt;0",⑬計量工程入力!$I$6:$I$65,"&gt;0",⑬計量工程入力!$M$6:$M$65,"&gt;0")+SUMIFS(⑭手動工程入力!$J$6:$J$47,⑭手動工程入力!$S$6:$S$47,$J349,⑭手動工程入力!$J$6:$J$47,"&gt;0",⑭手動工程入力!$M$6:$M$47,"&gt;0")-SUMIFS(⑭手動工程入力!$J$6:$J$47,⑭手動工程入力!$S$6:$S$47,$J349,⑭手動工程入力!$J$6:$J$47,"&gt;0",⑭手動工程入力!$I$6:$I$47,"&gt;0",⑭手動工程入力!$M$6:$M$47,"&gt;0"))</f>
        <v/>
      </c>
      <c r="P349" s="392" t="inlineStr">
        <is>
          <t>中間品リスト</t>
        </is>
      </c>
    </row>
    <row r="350">
      <c r="A350" s="392" t="n">
        <v>346</v>
      </c>
      <c r="B350" s="392" t="n"/>
      <c r="C350" s="392" t="n"/>
      <c r="D350" s="409" t="n"/>
      <c r="E350" s="392" t="n"/>
      <c r="F350" s="394" t="n"/>
      <c r="G350" s="392" t="n"/>
      <c r="H350" s="604">
        <f>IFERROR(IF(AND($K350&gt;0,ISNUMBER(IF(OR($D350="g",$D350="ｇ"),IF($M350&gt;0,$L350/$M350/1000,""),IF($D350="kg",IF($M350&gt;0,$L350/$M350,""),IF($D350="",IF($M350&gt;0,$L350/$M350/1000,IF($O350&gt;0,$N350/$O350,"")),IF($O350&gt;0,$N350/$O350,"")))))),IF(OR($D350="g",$D350="ｇ"),IF($M350&gt;0,$L350/$M350/1000,""),IF($D350="kg",IF($M350&gt;0,$L350/$M350,""),IF($D350="",IF($M350&gt;0,$L350/$M350/1000,IF($O350&gt;0,$N350/$O350,"")),IF($O350&gt;0,$N350/$O350,"")))),IF($F350="",IF(OR($E350="",$E350="⑩盛付梱包工程入力"),"",IF(OR($D350="g",$D350="ｇ"),INDEX(⑰工程労務費一覧!$N$5:$N$11,MATCH($E350,⑰工程労務費一覧!$K$5:$K$11,0))/1000,IF($D350="kg",INDEX(⑰工程労務費一覧!$N$5:$N$11,MATCH($E350,⑰工程労務費一覧!$K$5:$K$11,0)),IF(OR($D350="個",$D350="切",$D350="本",$D350="枚",$D350="尾"),IF($E350="⑬計量工程入力","",INDEX(⑰工程労務費一覧!$P$5:$P$11,MATCH($E350,⑰工程労務費一覧!$K$5:$K$11,0))),IF(AND($D350="",OR($E350="②釜工程入力",$E350="③スチコン工程入力")),INDEX(⑰工程労務費一覧!$N$5:$N$11,MATCH($E350,⑰工程労務費一覧!$K$5:$K$11,0))/1000,""))))),IF(OR($D350="g",$D350="ｇ"),INDEX(⑰工程労務費一覧!$H$5:$H$753,MATCH($F350,⑰工程労務費一覧!$D$5:$D$753,0))/1000,IF($D350="kg",INDEX(⑰工程労務費一覧!$H$5:$H$753,MATCH($F350,⑰工程労務費一覧!$D$5:$D$753,0)),INDEX(⑰工程労務費一覧!$I$5:$I$753,MATCH($F350,⑰工程労務費一覧!$D$5:$D$753,0)))))),"")</f>
        <v/>
      </c>
      <c r="I350" s="392">
        <f>IF($K350&gt;0,IF(ISNUMBER(IF(OR($D350="g",$D350="ｇ"),IF($M350&gt;0,$L350/$M350/1000,""),IF($D350="kg",IF($M350&gt;0,$L350/$M350,""),IF($D350="",IF($M350&gt;0,$L350/$M350/1000,IF($O350&gt;0,$N350/$O350,"")),IF($O350&gt;0,$N350/$O350,""))))),IF($D350="",IF($M350&gt;0,"◎ JAN紐づけ(g扱い)","◎ JAN紐づけ(個扱い)"),"◎ JAN紐づけ"),"△ JAN紐づけ済・実績不足→仮計算"),IF($F350="",IF(ISNUMBER($H350),IF($D350="","⑤ 工程平均で仮計算(g扱い)","⑤ 工程平均で仮計算"),IF($E350="⑩盛付梱包工程入力","⑥ 盛り込み(⑳F列で計上)",IF(AND($E350="⑬計量工程入力",OR($D350="個",$D350="切",$D350="本",$D350="枚",$D350="尾")),"① 未紐づけ(カット個単位は仮単価なし)","① 未紐づけ"))),IF(NOT(ISNUMBER($H350)),"② 工程側に単価なし",IF($D350="","③ 単位未設定(個で計算)","④ OK"))))</f>
        <v/>
      </c>
      <c r="J350" s="399">
        <f>IFERROR(LOOKUP(2,1/((中間品リスト!$F$2:$F$1299=$B350)*(中間品リスト!$E$2:$E$1299&lt;&gt;"-")*(中間品リスト!$E$2:$E$1299&lt;&gt;"")),中間品リスト!$E$2:$E$1299),"")</f>
        <v/>
      </c>
      <c r="K350" s="400">
        <f>IF($J350="",0,COUNTIF(②釜工程入力!$S$5:$S$117,$J350)+COUNTIF(③スチコン工程入力!$S$5:$S$152,$J350)+COUNTIF(⑪ZEN工程入力!$S$6:$S$35,$J350)+COUNTIF(⑫ミキサー工程入力!$S$6:$S$65,$J350)+COUNTIF(⑬計量工程入力!$S$6:$S$65,$J350)+COUNTIF(⑭手動工程入力!$S$6:$S$47,$J350))</f>
        <v/>
      </c>
      <c r="L350" s="393">
        <f>IF($J350="",0,SUMIFS(②釜工程入力!$M$5:$M$117,②釜工程入力!$S$5:$S$117,$J350,②釜工程入力!$I$5:$I$117,"&gt;0")+SUMIFS(③スチコン工程入力!$M$5:$M$152,③スチコン工程入力!$S$5:$S$152,$J350,③スチコン工程入力!$I$5:$I$152,"&gt;0")+SUMIFS(⑪ZEN工程入力!$M$6:$M$35,⑪ZEN工程入力!$S$6:$S$35,$J350,⑪ZEN工程入力!$I$6:$I$35,"&gt;0")+SUMIFS(⑫ミキサー工程入力!$M$6:$M$65,⑫ミキサー工程入力!$S$6:$S$65,$J350,⑫ミキサー工程入力!$I$6:$I$65,"&gt;0")+SUMIFS(⑬計量工程入力!$M$6:$M$65,⑬計量工程入力!$S$6:$S$65,$J350,⑬計量工程入力!$I$6:$I$65,"&gt;0")+SUMIFS(⑭手動工程入力!$M$6:$M$47,⑭手動工程入力!$S$6:$S$47,$J350,⑭手動工程入力!$I$6:$I$47,"&gt;0"))</f>
        <v/>
      </c>
      <c r="M350" s="393">
        <f>IF($J350="",0,SUMIFS(②釜工程入力!$I$5:$I$117,②釜工程入力!$S$5:$S$117,$J350,②釜工程入力!$I$5:$I$117,"&gt;0",②釜工程入力!$M$5:$M$117,"&gt;0")+SUMIFS(③スチコン工程入力!$I$5:$I$152,③スチコン工程入力!$S$5:$S$152,$J350,③スチコン工程入力!$I$5:$I$152,"&gt;0",③スチコン工程入力!$M$5:$M$152,"&gt;0")+SUMIFS(⑪ZEN工程入力!$I$6:$I$35,⑪ZEN工程入力!$S$6:$S$35,$J350,⑪ZEN工程入力!$I$6:$I$35,"&gt;0",⑪ZEN工程入力!$M$6:$M$35,"&gt;0")+SUMIFS(⑫ミキサー工程入力!$I$6:$I$65,⑫ミキサー工程入力!$S$6:$S$65,$J350,⑫ミキサー工程入力!$I$6:$I$65,"&gt;0",⑫ミキサー工程入力!$M$6:$M$65,"&gt;0")+SUMIFS(⑬計量工程入力!$I$6:$I$65,⑬計量工程入力!$S$6:$S$65,$J350,⑬計量工程入力!$I$6:$I$65,"&gt;0",⑬計量工程入力!$M$6:$M$65,"&gt;0")+SUMIFS(⑭手動工程入力!$I$6:$I$47,⑭手動工程入力!$S$6:$S$47,$J350,⑭手動工程入力!$I$6:$I$47,"&gt;0",⑭手動工程入力!$M$6:$M$47,"&gt;0"))</f>
        <v/>
      </c>
      <c r="N350" s="393">
        <f>IF($J350="",0,SUMIFS(②釜工程入力!$M$5:$M$117,②釜工程入力!$S$5:$S$117,$J350,②釜工程入力!$J$5:$J$117,"&gt;0")-SUMIFS(②釜工程入力!$M$5:$M$117,②釜工程入力!$S$5:$S$117,$J350,②釜工程入力!$J$5:$J$117,"&gt;0",②釜工程入力!$I$5:$I$117,"&gt;0")+SUMIFS(③スチコン工程入力!$M$5:$M$152,③スチコン工程入力!$S$5:$S$152,$J350,③スチコン工程入力!$J$5:$J$152,"&gt;0")-SUMIFS(③スチコン工程入力!$M$5:$M$152,③スチコン工程入力!$S$5:$S$152,$J350,③スチコン工程入力!$J$5:$J$152,"&gt;0",③スチコン工程入力!$I$5:$I$152,"&gt;0")+SUMIFS(⑪ZEN工程入力!$M$6:$M$35,⑪ZEN工程入力!$S$6:$S$35,$J350,⑪ZEN工程入力!$J$6:$J$35,"&gt;0")-SUMIFS(⑪ZEN工程入力!$M$6:$M$35,⑪ZEN工程入力!$S$6:$S$35,$J350,⑪ZEN工程入力!$J$6:$J$35,"&gt;0",⑪ZEN工程入力!$I$6:$I$35,"&gt;0")+SUMIFS(⑫ミキサー工程入力!$M$6:$M$65,⑫ミキサー工程入力!$S$6:$S$65,$J350,⑫ミキサー工程入力!$J$6:$J$65,"&gt;0")-SUMIFS(⑫ミキサー工程入力!$M$6:$M$65,⑫ミキサー工程入力!$S$6:$S$65,$J350,⑫ミキサー工程入力!$J$6:$J$65,"&gt;0",⑫ミキサー工程入力!$I$6:$I$65,"&gt;0")+SUMIFS(⑬計量工程入力!$M$6:$M$65,⑬計量工程入力!$S$6:$S$65,$J350,⑬計量工程入力!$J$6:$J$65,"&gt;0")-SUMIFS(⑬計量工程入力!$M$6:$M$65,⑬計量工程入力!$S$6:$S$65,$J350,⑬計量工程入力!$J$6:$J$65,"&gt;0",⑬計量工程入力!$I$6:$I$65,"&gt;0")+SUMIFS(⑭手動工程入力!$M$6:$M$47,⑭手動工程入力!$S$6:$S$47,$J350,⑭手動工程入力!$J$6:$J$47,"&gt;0")-SUMIFS(⑭手動工程入力!$M$6:$M$47,⑭手動工程入力!$S$6:$S$47,$J350,⑭手動工程入力!$J$6:$J$47,"&gt;0",⑭手動工程入力!$I$6:$I$47,"&gt;0"))</f>
        <v/>
      </c>
      <c r="O350" s="393">
        <f>IF($J350="",0,SUMIFS(②釜工程入力!$J$5:$J$117,②釜工程入力!$S$5:$S$117,$J350,②釜工程入力!$J$5:$J$117,"&gt;0",②釜工程入力!$M$5:$M$117,"&gt;0")-SUMIFS(②釜工程入力!$J$5:$J$117,②釜工程入力!$S$5:$S$117,$J350,②釜工程入力!$J$5:$J$117,"&gt;0",②釜工程入力!$I$5:$I$117,"&gt;0",②釜工程入力!$M$5:$M$117,"&gt;0")+SUMIFS(③スチコン工程入力!$J$5:$J$152,③スチコン工程入力!$S$5:$S$152,$J350,③スチコン工程入力!$J$5:$J$152,"&gt;0",③スチコン工程入力!$M$5:$M$152,"&gt;0")-SUMIFS(③スチコン工程入力!$J$5:$J$152,③スチコン工程入力!$S$5:$S$152,$J350,③スチコン工程入力!$J$5:$J$152,"&gt;0",③スチコン工程入力!$I$5:$I$152,"&gt;0",③スチコン工程入力!$M$5:$M$152,"&gt;0")+SUMIFS(⑪ZEN工程入力!$J$6:$J$35,⑪ZEN工程入力!$S$6:$S$35,$J350,⑪ZEN工程入力!$J$6:$J$35,"&gt;0",⑪ZEN工程入力!$M$6:$M$35,"&gt;0")-SUMIFS(⑪ZEN工程入力!$J$6:$J$35,⑪ZEN工程入力!$S$6:$S$35,$J350,⑪ZEN工程入力!$J$6:$J$35,"&gt;0",⑪ZEN工程入力!$I$6:$I$35,"&gt;0",⑪ZEN工程入力!$M$6:$M$35,"&gt;0")+SUMIFS(⑫ミキサー工程入力!$J$6:$J$65,⑫ミキサー工程入力!$S$6:$S$65,$J350,⑫ミキサー工程入力!$J$6:$J$65,"&gt;0",⑫ミキサー工程入力!$M$6:$M$65,"&gt;0")-SUMIFS(⑫ミキサー工程入力!$J$6:$J$65,⑫ミキサー工程入力!$S$6:$S$65,$J350,⑫ミキサー工程入力!$J$6:$J$65,"&gt;0",⑫ミキサー工程入力!$I$6:$I$65,"&gt;0",⑫ミキサー工程入力!$M$6:$M$65,"&gt;0")+SUMIFS(⑬計量工程入力!$J$6:$J$65,⑬計量工程入力!$S$6:$S$65,$J350,⑬計量工程入力!$J$6:$J$65,"&gt;0",⑬計量工程入力!$M$6:$M$65,"&gt;0")-SUMIFS(⑬計量工程入力!$J$6:$J$65,⑬計量工程入力!$S$6:$S$65,$J350,⑬計量工程入力!$J$6:$J$65,"&gt;0",⑬計量工程入力!$I$6:$I$65,"&gt;0",⑬計量工程入力!$M$6:$M$65,"&gt;0")+SUMIFS(⑭手動工程入力!$J$6:$J$47,⑭手動工程入力!$S$6:$S$47,$J350,⑭手動工程入力!$J$6:$J$47,"&gt;0",⑭手動工程入力!$M$6:$M$47,"&gt;0")-SUMIFS(⑭手動工程入力!$J$6:$J$47,⑭手動工程入力!$S$6:$S$47,$J350,⑭手動工程入力!$J$6:$J$47,"&gt;0",⑭手動工程入力!$I$6:$I$47,"&gt;0",⑭手動工程入力!$M$6:$M$47,"&gt;0"))</f>
        <v/>
      </c>
      <c r="P350" s="392" t="inlineStr">
        <is>
          <t>中間品リスト</t>
        </is>
      </c>
    </row>
    <row r="351">
      <c r="A351" s="392" t="n">
        <v>347</v>
      </c>
      <c r="B351" s="392" t="n"/>
      <c r="C351" s="392" t="n"/>
      <c r="D351" s="409" t="n"/>
      <c r="E351" s="392" t="n"/>
      <c r="F351" s="394" t="n"/>
      <c r="G351" s="392" t="n"/>
      <c r="H351" s="604">
        <f>IFERROR(IF(AND($K351&gt;0,ISNUMBER(IF(OR($D351="g",$D351="ｇ"),IF($M351&gt;0,$L351/$M351/1000,""),IF($D351="kg",IF($M351&gt;0,$L351/$M351,""),IF($D351="",IF($M351&gt;0,$L351/$M351/1000,IF($O351&gt;0,$N351/$O351,"")),IF($O351&gt;0,$N351/$O351,"")))))),IF(OR($D351="g",$D351="ｇ"),IF($M351&gt;0,$L351/$M351/1000,""),IF($D351="kg",IF($M351&gt;0,$L351/$M351,""),IF($D351="",IF($M351&gt;0,$L351/$M351/1000,IF($O351&gt;0,$N351/$O351,"")),IF($O351&gt;0,$N351/$O351,"")))),IF($F351="",IF(OR($E351="",$E351="⑩盛付梱包工程入力"),"",IF(OR($D351="g",$D351="ｇ"),INDEX(⑰工程労務費一覧!$N$5:$N$11,MATCH($E351,⑰工程労務費一覧!$K$5:$K$11,0))/1000,IF($D351="kg",INDEX(⑰工程労務費一覧!$N$5:$N$11,MATCH($E351,⑰工程労務費一覧!$K$5:$K$11,0)),IF(OR($D351="個",$D351="切",$D351="本",$D351="枚",$D351="尾"),IF($E351="⑬計量工程入力","",INDEX(⑰工程労務費一覧!$P$5:$P$11,MATCH($E351,⑰工程労務費一覧!$K$5:$K$11,0))),IF(AND($D351="",OR($E351="②釜工程入力",$E351="③スチコン工程入力")),INDEX(⑰工程労務費一覧!$N$5:$N$11,MATCH($E351,⑰工程労務費一覧!$K$5:$K$11,0))/1000,""))))),IF(OR($D351="g",$D351="ｇ"),INDEX(⑰工程労務費一覧!$H$5:$H$753,MATCH($F351,⑰工程労務費一覧!$D$5:$D$753,0))/1000,IF($D351="kg",INDEX(⑰工程労務費一覧!$H$5:$H$753,MATCH($F351,⑰工程労務費一覧!$D$5:$D$753,0)),INDEX(⑰工程労務費一覧!$I$5:$I$753,MATCH($F351,⑰工程労務費一覧!$D$5:$D$753,0)))))),"")</f>
        <v/>
      </c>
      <c r="I351" s="392">
        <f>IF($K351&gt;0,IF(ISNUMBER(IF(OR($D351="g",$D351="ｇ"),IF($M351&gt;0,$L351/$M351/1000,""),IF($D351="kg",IF($M351&gt;0,$L351/$M351,""),IF($D351="",IF($M351&gt;0,$L351/$M351/1000,IF($O351&gt;0,$N351/$O351,"")),IF($O351&gt;0,$N351/$O351,""))))),IF($D351="",IF($M351&gt;0,"◎ JAN紐づけ(g扱い)","◎ JAN紐づけ(個扱い)"),"◎ JAN紐づけ"),"△ JAN紐づけ済・実績不足→仮計算"),IF($F351="",IF(ISNUMBER($H351),IF($D351="","⑤ 工程平均で仮計算(g扱い)","⑤ 工程平均で仮計算"),IF($E351="⑩盛付梱包工程入力","⑥ 盛り込み(⑳F列で計上)",IF(AND($E351="⑬計量工程入力",OR($D351="個",$D351="切",$D351="本",$D351="枚",$D351="尾")),"① 未紐づけ(カット個単位は仮単価なし)","① 未紐づけ"))),IF(NOT(ISNUMBER($H351)),"② 工程側に単価なし",IF($D351="","③ 単位未設定(個で計算)","④ OK"))))</f>
        <v/>
      </c>
      <c r="J351" s="399">
        <f>IFERROR(LOOKUP(2,1/((中間品リスト!$F$2:$F$1299=$B351)*(中間品リスト!$E$2:$E$1299&lt;&gt;"-")*(中間品リスト!$E$2:$E$1299&lt;&gt;"")),中間品リスト!$E$2:$E$1299),"")</f>
        <v/>
      </c>
      <c r="K351" s="400">
        <f>IF($J351="",0,COUNTIF(②釜工程入力!$S$5:$S$117,$J351)+COUNTIF(③スチコン工程入力!$S$5:$S$152,$J351)+COUNTIF(⑪ZEN工程入力!$S$6:$S$35,$J351)+COUNTIF(⑫ミキサー工程入力!$S$6:$S$65,$J351)+COUNTIF(⑬計量工程入力!$S$6:$S$65,$J351)+COUNTIF(⑭手動工程入力!$S$6:$S$47,$J351))</f>
        <v/>
      </c>
      <c r="L351" s="393">
        <f>IF($J351="",0,SUMIFS(②釜工程入力!$M$5:$M$117,②釜工程入力!$S$5:$S$117,$J351,②釜工程入力!$I$5:$I$117,"&gt;0")+SUMIFS(③スチコン工程入力!$M$5:$M$152,③スチコン工程入力!$S$5:$S$152,$J351,③スチコン工程入力!$I$5:$I$152,"&gt;0")+SUMIFS(⑪ZEN工程入力!$M$6:$M$35,⑪ZEN工程入力!$S$6:$S$35,$J351,⑪ZEN工程入力!$I$6:$I$35,"&gt;0")+SUMIFS(⑫ミキサー工程入力!$M$6:$M$65,⑫ミキサー工程入力!$S$6:$S$65,$J351,⑫ミキサー工程入力!$I$6:$I$65,"&gt;0")+SUMIFS(⑬計量工程入力!$M$6:$M$65,⑬計量工程入力!$S$6:$S$65,$J351,⑬計量工程入力!$I$6:$I$65,"&gt;0")+SUMIFS(⑭手動工程入力!$M$6:$M$47,⑭手動工程入力!$S$6:$S$47,$J351,⑭手動工程入力!$I$6:$I$47,"&gt;0"))</f>
        <v/>
      </c>
      <c r="M351" s="393">
        <f>IF($J351="",0,SUMIFS(②釜工程入力!$I$5:$I$117,②釜工程入力!$S$5:$S$117,$J351,②釜工程入力!$I$5:$I$117,"&gt;0",②釜工程入力!$M$5:$M$117,"&gt;0")+SUMIFS(③スチコン工程入力!$I$5:$I$152,③スチコン工程入力!$S$5:$S$152,$J351,③スチコン工程入力!$I$5:$I$152,"&gt;0",③スチコン工程入力!$M$5:$M$152,"&gt;0")+SUMIFS(⑪ZEN工程入力!$I$6:$I$35,⑪ZEN工程入力!$S$6:$S$35,$J351,⑪ZEN工程入力!$I$6:$I$35,"&gt;0",⑪ZEN工程入力!$M$6:$M$35,"&gt;0")+SUMIFS(⑫ミキサー工程入力!$I$6:$I$65,⑫ミキサー工程入力!$S$6:$S$65,$J351,⑫ミキサー工程入力!$I$6:$I$65,"&gt;0",⑫ミキサー工程入力!$M$6:$M$65,"&gt;0")+SUMIFS(⑬計量工程入力!$I$6:$I$65,⑬計量工程入力!$S$6:$S$65,$J351,⑬計量工程入力!$I$6:$I$65,"&gt;0",⑬計量工程入力!$M$6:$M$65,"&gt;0")+SUMIFS(⑭手動工程入力!$I$6:$I$47,⑭手動工程入力!$S$6:$S$47,$J351,⑭手動工程入力!$I$6:$I$47,"&gt;0",⑭手動工程入力!$M$6:$M$47,"&gt;0"))</f>
        <v/>
      </c>
      <c r="N351" s="393">
        <f>IF($J351="",0,SUMIFS(②釜工程入力!$M$5:$M$117,②釜工程入力!$S$5:$S$117,$J351,②釜工程入力!$J$5:$J$117,"&gt;0")-SUMIFS(②釜工程入力!$M$5:$M$117,②釜工程入力!$S$5:$S$117,$J351,②釜工程入力!$J$5:$J$117,"&gt;0",②釜工程入力!$I$5:$I$117,"&gt;0")+SUMIFS(③スチコン工程入力!$M$5:$M$152,③スチコン工程入力!$S$5:$S$152,$J351,③スチコン工程入力!$J$5:$J$152,"&gt;0")-SUMIFS(③スチコン工程入力!$M$5:$M$152,③スチコン工程入力!$S$5:$S$152,$J351,③スチコン工程入力!$J$5:$J$152,"&gt;0",③スチコン工程入力!$I$5:$I$152,"&gt;0")+SUMIFS(⑪ZEN工程入力!$M$6:$M$35,⑪ZEN工程入力!$S$6:$S$35,$J351,⑪ZEN工程入力!$J$6:$J$35,"&gt;0")-SUMIFS(⑪ZEN工程入力!$M$6:$M$35,⑪ZEN工程入力!$S$6:$S$35,$J351,⑪ZEN工程入力!$J$6:$J$35,"&gt;0",⑪ZEN工程入力!$I$6:$I$35,"&gt;0")+SUMIFS(⑫ミキサー工程入力!$M$6:$M$65,⑫ミキサー工程入力!$S$6:$S$65,$J351,⑫ミキサー工程入力!$J$6:$J$65,"&gt;0")-SUMIFS(⑫ミキサー工程入力!$M$6:$M$65,⑫ミキサー工程入力!$S$6:$S$65,$J351,⑫ミキサー工程入力!$J$6:$J$65,"&gt;0",⑫ミキサー工程入力!$I$6:$I$65,"&gt;0")+SUMIFS(⑬計量工程入力!$M$6:$M$65,⑬計量工程入力!$S$6:$S$65,$J351,⑬計量工程入力!$J$6:$J$65,"&gt;0")-SUMIFS(⑬計量工程入力!$M$6:$M$65,⑬計量工程入力!$S$6:$S$65,$J351,⑬計量工程入力!$J$6:$J$65,"&gt;0",⑬計量工程入力!$I$6:$I$65,"&gt;0")+SUMIFS(⑭手動工程入力!$M$6:$M$47,⑭手動工程入力!$S$6:$S$47,$J351,⑭手動工程入力!$J$6:$J$47,"&gt;0")-SUMIFS(⑭手動工程入力!$M$6:$M$47,⑭手動工程入力!$S$6:$S$47,$J351,⑭手動工程入力!$J$6:$J$47,"&gt;0",⑭手動工程入力!$I$6:$I$47,"&gt;0"))</f>
        <v/>
      </c>
      <c r="O351" s="393">
        <f>IF($J351="",0,SUMIFS(②釜工程入力!$J$5:$J$117,②釜工程入力!$S$5:$S$117,$J351,②釜工程入力!$J$5:$J$117,"&gt;0",②釜工程入力!$M$5:$M$117,"&gt;0")-SUMIFS(②釜工程入力!$J$5:$J$117,②釜工程入力!$S$5:$S$117,$J351,②釜工程入力!$J$5:$J$117,"&gt;0",②釜工程入力!$I$5:$I$117,"&gt;0",②釜工程入力!$M$5:$M$117,"&gt;0")+SUMIFS(③スチコン工程入力!$J$5:$J$152,③スチコン工程入力!$S$5:$S$152,$J351,③スチコン工程入力!$J$5:$J$152,"&gt;0",③スチコン工程入力!$M$5:$M$152,"&gt;0")-SUMIFS(③スチコン工程入力!$J$5:$J$152,③スチコン工程入力!$S$5:$S$152,$J351,③スチコン工程入力!$J$5:$J$152,"&gt;0",③スチコン工程入力!$I$5:$I$152,"&gt;0",③スチコン工程入力!$M$5:$M$152,"&gt;0")+SUMIFS(⑪ZEN工程入力!$J$6:$J$35,⑪ZEN工程入力!$S$6:$S$35,$J351,⑪ZEN工程入力!$J$6:$J$35,"&gt;0",⑪ZEN工程入力!$M$6:$M$35,"&gt;0")-SUMIFS(⑪ZEN工程入力!$J$6:$J$35,⑪ZEN工程入力!$S$6:$S$35,$J351,⑪ZEN工程入力!$J$6:$J$35,"&gt;0",⑪ZEN工程入力!$I$6:$I$35,"&gt;0",⑪ZEN工程入力!$M$6:$M$35,"&gt;0")+SUMIFS(⑫ミキサー工程入力!$J$6:$J$65,⑫ミキサー工程入力!$S$6:$S$65,$J351,⑫ミキサー工程入力!$J$6:$J$65,"&gt;0",⑫ミキサー工程入力!$M$6:$M$65,"&gt;0")-SUMIFS(⑫ミキサー工程入力!$J$6:$J$65,⑫ミキサー工程入力!$S$6:$S$65,$J351,⑫ミキサー工程入力!$J$6:$J$65,"&gt;0",⑫ミキサー工程入力!$I$6:$I$65,"&gt;0",⑫ミキサー工程入力!$M$6:$M$65,"&gt;0")+SUMIFS(⑬計量工程入力!$J$6:$J$65,⑬計量工程入力!$S$6:$S$65,$J351,⑬計量工程入力!$J$6:$J$65,"&gt;0",⑬計量工程入力!$M$6:$M$65,"&gt;0")-SUMIFS(⑬計量工程入力!$J$6:$J$65,⑬計量工程入力!$S$6:$S$65,$J351,⑬計量工程入力!$J$6:$J$65,"&gt;0",⑬計量工程入力!$I$6:$I$65,"&gt;0",⑬計量工程入力!$M$6:$M$65,"&gt;0")+SUMIFS(⑭手動工程入力!$J$6:$J$47,⑭手動工程入力!$S$6:$S$47,$J351,⑭手動工程入力!$J$6:$J$47,"&gt;0",⑭手動工程入力!$M$6:$M$47,"&gt;0")-SUMIFS(⑭手動工程入力!$J$6:$J$47,⑭手動工程入力!$S$6:$S$47,$J351,⑭手動工程入力!$J$6:$J$47,"&gt;0",⑭手動工程入力!$I$6:$I$47,"&gt;0",⑭手動工程入力!$M$6:$M$47,"&gt;0"))</f>
        <v/>
      </c>
      <c r="P351" s="392" t="inlineStr">
        <is>
          <t>中間品リスト</t>
        </is>
      </c>
    </row>
    <row r="352">
      <c r="A352" s="392" t="n">
        <v>348</v>
      </c>
      <c r="B352" s="392" t="n"/>
      <c r="C352" s="392" t="n"/>
      <c r="D352" s="409" t="n"/>
      <c r="E352" s="392" t="n"/>
      <c r="F352" s="394" t="n"/>
      <c r="G352" s="392" t="n"/>
      <c r="H352" s="604">
        <f>IFERROR(IF(AND($K352&gt;0,ISNUMBER(IF(OR($D352="g",$D352="ｇ"),IF($M352&gt;0,$L352/$M352/1000,""),IF($D352="kg",IF($M352&gt;0,$L352/$M352,""),IF($D352="",IF($M352&gt;0,$L352/$M352/1000,IF($O352&gt;0,$N352/$O352,"")),IF($O352&gt;0,$N352/$O352,"")))))),IF(OR($D352="g",$D352="ｇ"),IF($M352&gt;0,$L352/$M352/1000,""),IF($D352="kg",IF($M352&gt;0,$L352/$M352,""),IF($D352="",IF($M352&gt;0,$L352/$M352/1000,IF($O352&gt;0,$N352/$O352,"")),IF($O352&gt;0,$N352/$O352,"")))),IF($F352="",IF(OR($E352="",$E352="⑩盛付梱包工程入力"),"",IF(OR($D352="g",$D352="ｇ"),INDEX(⑰工程労務費一覧!$N$5:$N$11,MATCH($E352,⑰工程労務費一覧!$K$5:$K$11,0))/1000,IF($D352="kg",INDEX(⑰工程労務費一覧!$N$5:$N$11,MATCH($E352,⑰工程労務費一覧!$K$5:$K$11,0)),IF(OR($D352="個",$D352="切",$D352="本",$D352="枚",$D352="尾"),IF($E352="⑬計量工程入力","",INDEX(⑰工程労務費一覧!$P$5:$P$11,MATCH($E352,⑰工程労務費一覧!$K$5:$K$11,0))),IF(AND($D352="",OR($E352="②釜工程入力",$E352="③スチコン工程入力")),INDEX(⑰工程労務費一覧!$N$5:$N$11,MATCH($E352,⑰工程労務費一覧!$K$5:$K$11,0))/1000,""))))),IF(OR($D352="g",$D352="ｇ"),INDEX(⑰工程労務費一覧!$H$5:$H$753,MATCH($F352,⑰工程労務費一覧!$D$5:$D$753,0))/1000,IF($D352="kg",INDEX(⑰工程労務費一覧!$H$5:$H$753,MATCH($F352,⑰工程労務費一覧!$D$5:$D$753,0)),INDEX(⑰工程労務費一覧!$I$5:$I$753,MATCH($F352,⑰工程労務費一覧!$D$5:$D$753,0)))))),"")</f>
        <v/>
      </c>
      <c r="I352" s="392">
        <f>IF($K352&gt;0,IF(ISNUMBER(IF(OR($D352="g",$D352="ｇ"),IF($M352&gt;0,$L352/$M352/1000,""),IF($D352="kg",IF($M352&gt;0,$L352/$M352,""),IF($D352="",IF($M352&gt;0,$L352/$M352/1000,IF($O352&gt;0,$N352/$O352,"")),IF($O352&gt;0,$N352/$O352,""))))),IF($D352="",IF($M352&gt;0,"◎ JAN紐づけ(g扱い)","◎ JAN紐づけ(個扱い)"),"◎ JAN紐づけ"),"△ JAN紐づけ済・実績不足→仮計算"),IF($F352="",IF(ISNUMBER($H352),IF($D352="","⑤ 工程平均で仮計算(g扱い)","⑤ 工程平均で仮計算"),IF($E352="⑩盛付梱包工程入力","⑥ 盛り込み(⑳F列で計上)",IF(AND($E352="⑬計量工程入力",OR($D352="個",$D352="切",$D352="本",$D352="枚",$D352="尾")),"① 未紐づけ(カット個単位は仮単価なし)","① 未紐づけ"))),IF(NOT(ISNUMBER($H352)),"② 工程側に単価なし",IF($D352="","③ 単位未設定(個で計算)","④ OK"))))</f>
        <v/>
      </c>
      <c r="J352" s="399">
        <f>IFERROR(LOOKUP(2,1/((中間品リスト!$F$2:$F$1299=$B352)*(中間品リスト!$E$2:$E$1299&lt;&gt;"-")*(中間品リスト!$E$2:$E$1299&lt;&gt;"")),中間品リスト!$E$2:$E$1299),"")</f>
        <v/>
      </c>
      <c r="K352" s="400">
        <f>IF($J352="",0,COUNTIF(②釜工程入力!$S$5:$S$117,$J352)+COUNTIF(③スチコン工程入力!$S$5:$S$152,$J352)+COUNTIF(⑪ZEN工程入力!$S$6:$S$35,$J352)+COUNTIF(⑫ミキサー工程入力!$S$6:$S$65,$J352)+COUNTIF(⑬計量工程入力!$S$6:$S$65,$J352)+COUNTIF(⑭手動工程入力!$S$6:$S$47,$J352))</f>
        <v/>
      </c>
      <c r="L352" s="393">
        <f>IF($J352="",0,SUMIFS(②釜工程入力!$M$5:$M$117,②釜工程入力!$S$5:$S$117,$J352,②釜工程入力!$I$5:$I$117,"&gt;0")+SUMIFS(③スチコン工程入力!$M$5:$M$152,③スチコン工程入力!$S$5:$S$152,$J352,③スチコン工程入力!$I$5:$I$152,"&gt;0")+SUMIFS(⑪ZEN工程入力!$M$6:$M$35,⑪ZEN工程入力!$S$6:$S$35,$J352,⑪ZEN工程入力!$I$6:$I$35,"&gt;0")+SUMIFS(⑫ミキサー工程入力!$M$6:$M$65,⑫ミキサー工程入力!$S$6:$S$65,$J352,⑫ミキサー工程入力!$I$6:$I$65,"&gt;0")+SUMIFS(⑬計量工程入力!$M$6:$M$65,⑬計量工程入力!$S$6:$S$65,$J352,⑬計量工程入力!$I$6:$I$65,"&gt;0")+SUMIFS(⑭手動工程入力!$M$6:$M$47,⑭手動工程入力!$S$6:$S$47,$J352,⑭手動工程入力!$I$6:$I$47,"&gt;0"))</f>
        <v/>
      </c>
      <c r="M352" s="393">
        <f>IF($J352="",0,SUMIFS(②釜工程入力!$I$5:$I$117,②釜工程入力!$S$5:$S$117,$J352,②釜工程入力!$I$5:$I$117,"&gt;0",②釜工程入力!$M$5:$M$117,"&gt;0")+SUMIFS(③スチコン工程入力!$I$5:$I$152,③スチコン工程入力!$S$5:$S$152,$J352,③スチコン工程入力!$I$5:$I$152,"&gt;0",③スチコン工程入力!$M$5:$M$152,"&gt;0")+SUMIFS(⑪ZEN工程入力!$I$6:$I$35,⑪ZEN工程入力!$S$6:$S$35,$J352,⑪ZEN工程入力!$I$6:$I$35,"&gt;0",⑪ZEN工程入力!$M$6:$M$35,"&gt;0")+SUMIFS(⑫ミキサー工程入力!$I$6:$I$65,⑫ミキサー工程入力!$S$6:$S$65,$J352,⑫ミキサー工程入力!$I$6:$I$65,"&gt;0",⑫ミキサー工程入力!$M$6:$M$65,"&gt;0")+SUMIFS(⑬計量工程入力!$I$6:$I$65,⑬計量工程入力!$S$6:$S$65,$J352,⑬計量工程入力!$I$6:$I$65,"&gt;0",⑬計量工程入力!$M$6:$M$65,"&gt;0")+SUMIFS(⑭手動工程入力!$I$6:$I$47,⑭手動工程入力!$S$6:$S$47,$J352,⑭手動工程入力!$I$6:$I$47,"&gt;0",⑭手動工程入力!$M$6:$M$47,"&gt;0"))</f>
        <v/>
      </c>
      <c r="N352" s="393">
        <f>IF($J352="",0,SUMIFS(②釜工程入力!$M$5:$M$117,②釜工程入力!$S$5:$S$117,$J352,②釜工程入力!$J$5:$J$117,"&gt;0")-SUMIFS(②釜工程入力!$M$5:$M$117,②釜工程入力!$S$5:$S$117,$J352,②釜工程入力!$J$5:$J$117,"&gt;0",②釜工程入力!$I$5:$I$117,"&gt;0")+SUMIFS(③スチコン工程入力!$M$5:$M$152,③スチコン工程入力!$S$5:$S$152,$J352,③スチコン工程入力!$J$5:$J$152,"&gt;0")-SUMIFS(③スチコン工程入力!$M$5:$M$152,③スチコン工程入力!$S$5:$S$152,$J352,③スチコン工程入力!$J$5:$J$152,"&gt;0",③スチコン工程入力!$I$5:$I$152,"&gt;0")+SUMIFS(⑪ZEN工程入力!$M$6:$M$35,⑪ZEN工程入力!$S$6:$S$35,$J352,⑪ZEN工程入力!$J$6:$J$35,"&gt;0")-SUMIFS(⑪ZEN工程入力!$M$6:$M$35,⑪ZEN工程入力!$S$6:$S$35,$J352,⑪ZEN工程入力!$J$6:$J$35,"&gt;0",⑪ZEN工程入力!$I$6:$I$35,"&gt;0")+SUMIFS(⑫ミキサー工程入力!$M$6:$M$65,⑫ミキサー工程入力!$S$6:$S$65,$J352,⑫ミキサー工程入力!$J$6:$J$65,"&gt;0")-SUMIFS(⑫ミキサー工程入力!$M$6:$M$65,⑫ミキサー工程入力!$S$6:$S$65,$J352,⑫ミキサー工程入力!$J$6:$J$65,"&gt;0",⑫ミキサー工程入力!$I$6:$I$65,"&gt;0")+SUMIFS(⑬計量工程入力!$M$6:$M$65,⑬計量工程入力!$S$6:$S$65,$J352,⑬計量工程入力!$J$6:$J$65,"&gt;0")-SUMIFS(⑬計量工程入力!$M$6:$M$65,⑬計量工程入力!$S$6:$S$65,$J352,⑬計量工程入力!$J$6:$J$65,"&gt;0",⑬計量工程入力!$I$6:$I$65,"&gt;0")+SUMIFS(⑭手動工程入力!$M$6:$M$47,⑭手動工程入力!$S$6:$S$47,$J352,⑭手動工程入力!$J$6:$J$47,"&gt;0")-SUMIFS(⑭手動工程入力!$M$6:$M$47,⑭手動工程入力!$S$6:$S$47,$J352,⑭手動工程入力!$J$6:$J$47,"&gt;0",⑭手動工程入力!$I$6:$I$47,"&gt;0"))</f>
        <v/>
      </c>
      <c r="O352" s="393">
        <f>IF($J352="",0,SUMIFS(②釜工程入力!$J$5:$J$117,②釜工程入力!$S$5:$S$117,$J352,②釜工程入力!$J$5:$J$117,"&gt;0",②釜工程入力!$M$5:$M$117,"&gt;0")-SUMIFS(②釜工程入力!$J$5:$J$117,②釜工程入力!$S$5:$S$117,$J352,②釜工程入力!$J$5:$J$117,"&gt;0",②釜工程入力!$I$5:$I$117,"&gt;0",②釜工程入力!$M$5:$M$117,"&gt;0")+SUMIFS(③スチコン工程入力!$J$5:$J$152,③スチコン工程入力!$S$5:$S$152,$J352,③スチコン工程入力!$J$5:$J$152,"&gt;0",③スチコン工程入力!$M$5:$M$152,"&gt;0")-SUMIFS(③スチコン工程入力!$J$5:$J$152,③スチコン工程入力!$S$5:$S$152,$J352,③スチコン工程入力!$J$5:$J$152,"&gt;0",③スチコン工程入力!$I$5:$I$152,"&gt;0",③スチコン工程入力!$M$5:$M$152,"&gt;0")+SUMIFS(⑪ZEN工程入力!$J$6:$J$35,⑪ZEN工程入力!$S$6:$S$35,$J352,⑪ZEN工程入力!$J$6:$J$35,"&gt;0",⑪ZEN工程入力!$M$6:$M$35,"&gt;0")-SUMIFS(⑪ZEN工程入力!$J$6:$J$35,⑪ZEN工程入力!$S$6:$S$35,$J352,⑪ZEN工程入力!$J$6:$J$35,"&gt;0",⑪ZEN工程入力!$I$6:$I$35,"&gt;0",⑪ZEN工程入力!$M$6:$M$35,"&gt;0")+SUMIFS(⑫ミキサー工程入力!$J$6:$J$65,⑫ミキサー工程入力!$S$6:$S$65,$J352,⑫ミキサー工程入力!$J$6:$J$65,"&gt;0",⑫ミキサー工程入力!$M$6:$M$65,"&gt;0")-SUMIFS(⑫ミキサー工程入力!$J$6:$J$65,⑫ミキサー工程入力!$S$6:$S$65,$J352,⑫ミキサー工程入力!$J$6:$J$65,"&gt;0",⑫ミキサー工程入力!$I$6:$I$65,"&gt;0",⑫ミキサー工程入力!$M$6:$M$65,"&gt;0")+SUMIFS(⑬計量工程入力!$J$6:$J$65,⑬計量工程入力!$S$6:$S$65,$J352,⑬計量工程入力!$J$6:$J$65,"&gt;0",⑬計量工程入力!$M$6:$M$65,"&gt;0")-SUMIFS(⑬計量工程入力!$J$6:$J$65,⑬計量工程入力!$S$6:$S$65,$J352,⑬計量工程入力!$J$6:$J$65,"&gt;0",⑬計量工程入力!$I$6:$I$65,"&gt;0",⑬計量工程入力!$M$6:$M$65,"&gt;0")+SUMIFS(⑭手動工程入力!$J$6:$J$47,⑭手動工程入力!$S$6:$S$47,$J352,⑭手動工程入力!$J$6:$J$47,"&gt;0",⑭手動工程入力!$M$6:$M$47,"&gt;0")-SUMIFS(⑭手動工程入力!$J$6:$J$47,⑭手動工程入力!$S$6:$S$47,$J352,⑭手動工程入力!$J$6:$J$47,"&gt;0",⑭手動工程入力!$I$6:$I$47,"&gt;0",⑭手動工程入力!$M$6:$M$47,"&gt;0"))</f>
        <v/>
      </c>
      <c r="P352" s="392" t="inlineStr">
        <is>
          <t>中間品リスト</t>
        </is>
      </c>
    </row>
    <row r="353">
      <c r="A353" s="392" t="n">
        <v>349</v>
      </c>
      <c r="B353" s="392" t="n"/>
      <c r="C353" s="392" t="n"/>
      <c r="D353" s="409" t="n"/>
      <c r="E353" s="392" t="n"/>
      <c r="F353" s="394" t="n"/>
      <c r="G353" s="392" t="n"/>
      <c r="H353" s="604">
        <f>IFERROR(IF(AND($K353&gt;0,ISNUMBER(IF(OR($D353="g",$D353="ｇ"),IF($M353&gt;0,$L353/$M353/1000,""),IF($D353="kg",IF($M353&gt;0,$L353/$M353,""),IF($D353="",IF($M353&gt;0,$L353/$M353/1000,IF($O353&gt;0,$N353/$O353,"")),IF($O353&gt;0,$N353/$O353,"")))))),IF(OR($D353="g",$D353="ｇ"),IF($M353&gt;0,$L353/$M353/1000,""),IF($D353="kg",IF($M353&gt;0,$L353/$M353,""),IF($D353="",IF($M353&gt;0,$L353/$M353/1000,IF($O353&gt;0,$N353/$O353,"")),IF($O353&gt;0,$N353/$O353,"")))),IF($F353="",IF(OR($E353="",$E353="⑩盛付梱包工程入力"),"",IF(OR($D353="g",$D353="ｇ"),INDEX(⑰工程労務費一覧!$N$5:$N$11,MATCH($E353,⑰工程労務費一覧!$K$5:$K$11,0))/1000,IF($D353="kg",INDEX(⑰工程労務費一覧!$N$5:$N$11,MATCH($E353,⑰工程労務費一覧!$K$5:$K$11,0)),IF(OR($D353="個",$D353="切",$D353="本",$D353="枚",$D353="尾"),IF($E353="⑬計量工程入力","",INDEX(⑰工程労務費一覧!$P$5:$P$11,MATCH($E353,⑰工程労務費一覧!$K$5:$K$11,0))),IF(AND($D353="",OR($E353="②釜工程入力",$E353="③スチコン工程入力")),INDEX(⑰工程労務費一覧!$N$5:$N$11,MATCH($E353,⑰工程労務費一覧!$K$5:$K$11,0))/1000,""))))),IF(OR($D353="g",$D353="ｇ"),INDEX(⑰工程労務費一覧!$H$5:$H$753,MATCH($F353,⑰工程労務費一覧!$D$5:$D$753,0))/1000,IF($D353="kg",INDEX(⑰工程労務費一覧!$H$5:$H$753,MATCH($F353,⑰工程労務費一覧!$D$5:$D$753,0)),INDEX(⑰工程労務費一覧!$I$5:$I$753,MATCH($F353,⑰工程労務費一覧!$D$5:$D$753,0)))))),"")</f>
        <v/>
      </c>
      <c r="I353" s="392">
        <f>IF($K353&gt;0,IF(ISNUMBER(IF(OR($D353="g",$D353="ｇ"),IF($M353&gt;0,$L353/$M353/1000,""),IF($D353="kg",IF($M353&gt;0,$L353/$M353,""),IF($D353="",IF($M353&gt;0,$L353/$M353/1000,IF($O353&gt;0,$N353/$O353,"")),IF($O353&gt;0,$N353/$O353,""))))),IF($D353="",IF($M353&gt;0,"◎ JAN紐づけ(g扱い)","◎ JAN紐づけ(個扱い)"),"◎ JAN紐づけ"),"△ JAN紐づけ済・実績不足→仮計算"),IF($F353="",IF(ISNUMBER($H353),IF($D353="","⑤ 工程平均で仮計算(g扱い)","⑤ 工程平均で仮計算"),IF($E353="⑩盛付梱包工程入力","⑥ 盛り込み(⑳F列で計上)",IF(AND($E353="⑬計量工程入力",OR($D353="個",$D353="切",$D353="本",$D353="枚",$D353="尾")),"① 未紐づけ(カット個単位は仮単価なし)","① 未紐づけ"))),IF(NOT(ISNUMBER($H353)),"② 工程側に単価なし",IF($D353="","③ 単位未設定(個で計算)","④ OK"))))</f>
        <v/>
      </c>
      <c r="J353" s="399">
        <f>IFERROR(LOOKUP(2,1/((中間品リスト!$F$2:$F$1299=$B353)*(中間品リスト!$E$2:$E$1299&lt;&gt;"-")*(中間品リスト!$E$2:$E$1299&lt;&gt;"")),中間品リスト!$E$2:$E$1299),"")</f>
        <v/>
      </c>
      <c r="K353" s="400">
        <f>IF($J353="",0,COUNTIF(②釜工程入力!$S$5:$S$117,$J353)+COUNTIF(③スチコン工程入力!$S$5:$S$152,$J353)+COUNTIF(⑪ZEN工程入力!$S$6:$S$35,$J353)+COUNTIF(⑫ミキサー工程入力!$S$6:$S$65,$J353)+COUNTIF(⑬計量工程入力!$S$6:$S$65,$J353)+COUNTIF(⑭手動工程入力!$S$6:$S$47,$J353))</f>
        <v/>
      </c>
      <c r="L353" s="393">
        <f>IF($J353="",0,SUMIFS(②釜工程入力!$M$5:$M$117,②釜工程入力!$S$5:$S$117,$J353,②釜工程入力!$I$5:$I$117,"&gt;0")+SUMIFS(③スチコン工程入力!$M$5:$M$152,③スチコン工程入力!$S$5:$S$152,$J353,③スチコン工程入力!$I$5:$I$152,"&gt;0")+SUMIFS(⑪ZEN工程入力!$M$6:$M$35,⑪ZEN工程入力!$S$6:$S$35,$J353,⑪ZEN工程入力!$I$6:$I$35,"&gt;0")+SUMIFS(⑫ミキサー工程入力!$M$6:$M$65,⑫ミキサー工程入力!$S$6:$S$65,$J353,⑫ミキサー工程入力!$I$6:$I$65,"&gt;0")+SUMIFS(⑬計量工程入力!$M$6:$M$65,⑬計量工程入力!$S$6:$S$65,$J353,⑬計量工程入力!$I$6:$I$65,"&gt;0")+SUMIFS(⑭手動工程入力!$M$6:$M$47,⑭手動工程入力!$S$6:$S$47,$J353,⑭手動工程入力!$I$6:$I$47,"&gt;0"))</f>
        <v/>
      </c>
      <c r="M353" s="393">
        <f>IF($J353="",0,SUMIFS(②釜工程入力!$I$5:$I$117,②釜工程入力!$S$5:$S$117,$J353,②釜工程入力!$I$5:$I$117,"&gt;0",②釜工程入力!$M$5:$M$117,"&gt;0")+SUMIFS(③スチコン工程入力!$I$5:$I$152,③スチコン工程入力!$S$5:$S$152,$J353,③スチコン工程入力!$I$5:$I$152,"&gt;0",③スチコン工程入力!$M$5:$M$152,"&gt;0")+SUMIFS(⑪ZEN工程入力!$I$6:$I$35,⑪ZEN工程入力!$S$6:$S$35,$J353,⑪ZEN工程入力!$I$6:$I$35,"&gt;0",⑪ZEN工程入力!$M$6:$M$35,"&gt;0")+SUMIFS(⑫ミキサー工程入力!$I$6:$I$65,⑫ミキサー工程入力!$S$6:$S$65,$J353,⑫ミキサー工程入力!$I$6:$I$65,"&gt;0",⑫ミキサー工程入力!$M$6:$M$65,"&gt;0")+SUMIFS(⑬計量工程入力!$I$6:$I$65,⑬計量工程入力!$S$6:$S$65,$J353,⑬計量工程入力!$I$6:$I$65,"&gt;0",⑬計量工程入力!$M$6:$M$65,"&gt;0")+SUMIFS(⑭手動工程入力!$I$6:$I$47,⑭手動工程入力!$S$6:$S$47,$J353,⑭手動工程入力!$I$6:$I$47,"&gt;0",⑭手動工程入力!$M$6:$M$47,"&gt;0"))</f>
        <v/>
      </c>
      <c r="N353" s="393">
        <f>IF($J353="",0,SUMIFS(②釜工程入力!$M$5:$M$117,②釜工程入力!$S$5:$S$117,$J353,②釜工程入力!$J$5:$J$117,"&gt;0")-SUMIFS(②釜工程入力!$M$5:$M$117,②釜工程入力!$S$5:$S$117,$J353,②釜工程入力!$J$5:$J$117,"&gt;0",②釜工程入力!$I$5:$I$117,"&gt;0")+SUMIFS(③スチコン工程入力!$M$5:$M$152,③スチコン工程入力!$S$5:$S$152,$J353,③スチコン工程入力!$J$5:$J$152,"&gt;0")-SUMIFS(③スチコン工程入力!$M$5:$M$152,③スチコン工程入力!$S$5:$S$152,$J353,③スチコン工程入力!$J$5:$J$152,"&gt;0",③スチコン工程入力!$I$5:$I$152,"&gt;0")+SUMIFS(⑪ZEN工程入力!$M$6:$M$35,⑪ZEN工程入力!$S$6:$S$35,$J353,⑪ZEN工程入力!$J$6:$J$35,"&gt;0")-SUMIFS(⑪ZEN工程入力!$M$6:$M$35,⑪ZEN工程入力!$S$6:$S$35,$J353,⑪ZEN工程入力!$J$6:$J$35,"&gt;0",⑪ZEN工程入力!$I$6:$I$35,"&gt;0")+SUMIFS(⑫ミキサー工程入力!$M$6:$M$65,⑫ミキサー工程入力!$S$6:$S$65,$J353,⑫ミキサー工程入力!$J$6:$J$65,"&gt;0")-SUMIFS(⑫ミキサー工程入力!$M$6:$M$65,⑫ミキサー工程入力!$S$6:$S$65,$J353,⑫ミキサー工程入力!$J$6:$J$65,"&gt;0",⑫ミキサー工程入力!$I$6:$I$65,"&gt;0")+SUMIFS(⑬計量工程入力!$M$6:$M$65,⑬計量工程入力!$S$6:$S$65,$J353,⑬計量工程入力!$J$6:$J$65,"&gt;0")-SUMIFS(⑬計量工程入力!$M$6:$M$65,⑬計量工程入力!$S$6:$S$65,$J353,⑬計量工程入力!$J$6:$J$65,"&gt;0",⑬計量工程入力!$I$6:$I$65,"&gt;0")+SUMIFS(⑭手動工程入力!$M$6:$M$47,⑭手動工程入力!$S$6:$S$47,$J353,⑭手動工程入力!$J$6:$J$47,"&gt;0")-SUMIFS(⑭手動工程入力!$M$6:$M$47,⑭手動工程入力!$S$6:$S$47,$J353,⑭手動工程入力!$J$6:$J$47,"&gt;0",⑭手動工程入力!$I$6:$I$47,"&gt;0"))</f>
        <v/>
      </c>
      <c r="O353" s="393">
        <f>IF($J353="",0,SUMIFS(②釜工程入力!$J$5:$J$117,②釜工程入力!$S$5:$S$117,$J353,②釜工程入力!$J$5:$J$117,"&gt;0",②釜工程入力!$M$5:$M$117,"&gt;0")-SUMIFS(②釜工程入力!$J$5:$J$117,②釜工程入力!$S$5:$S$117,$J353,②釜工程入力!$J$5:$J$117,"&gt;0",②釜工程入力!$I$5:$I$117,"&gt;0",②釜工程入力!$M$5:$M$117,"&gt;0")+SUMIFS(③スチコン工程入力!$J$5:$J$152,③スチコン工程入力!$S$5:$S$152,$J353,③スチコン工程入力!$J$5:$J$152,"&gt;0",③スチコン工程入力!$M$5:$M$152,"&gt;0")-SUMIFS(③スチコン工程入力!$J$5:$J$152,③スチコン工程入力!$S$5:$S$152,$J353,③スチコン工程入力!$J$5:$J$152,"&gt;0",③スチコン工程入力!$I$5:$I$152,"&gt;0",③スチコン工程入力!$M$5:$M$152,"&gt;0")+SUMIFS(⑪ZEN工程入力!$J$6:$J$35,⑪ZEN工程入力!$S$6:$S$35,$J353,⑪ZEN工程入力!$J$6:$J$35,"&gt;0",⑪ZEN工程入力!$M$6:$M$35,"&gt;0")-SUMIFS(⑪ZEN工程入力!$J$6:$J$35,⑪ZEN工程入力!$S$6:$S$35,$J353,⑪ZEN工程入力!$J$6:$J$35,"&gt;0",⑪ZEN工程入力!$I$6:$I$35,"&gt;0",⑪ZEN工程入力!$M$6:$M$35,"&gt;0")+SUMIFS(⑫ミキサー工程入力!$J$6:$J$65,⑫ミキサー工程入力!$S$6:$S$65,$J353,⑫ミキサー工程入力!$J$6:$J$65,"&gt;0",⑫ミキサー工程入力!$M$6:$M$65,"&gt;0")-SUMIFS(⑫ミキサー工程入力!$J$6:$J$65,⑫ミキサー工程入力!$S$6:$S$65,$J353,⑫ミキサー工程入力!$J$6:$J$65,"&gt;0",⑫ミキサー工程入力!$I$6:$I$65,"&gt;0",⑫ミキサー工程入力!$M$6:$M$65,"&gt;0")+SUMIFS(⑬計量工程入力!$J$6:$J$65,⑬計量工程入力!$S$6:$S$65,$J353,⑬計量工程入力!$J$6:$J$65,"&gt;0",⑬計量工程入力!$M$6:$M$65,"&gt;0")-SUMIFS(⑬計量工程入力!$J$6:$J$65,⑬計量工程入力!$S$6:$S$65,$J353,⑬計量工程入力!$J$6:$J$65,"&gt;0",⑬計量工程入力!$I$6:$I$65,"&gt;0",⑬計量工程入力!$M$6:$M$65,"&gt;0")+SUMIFS(⑭手動工程入力!$J$6:$J$47,⑭手動工程入力!$S$6:$S$47,$J353,⑭手動工程入力!$J$6:$J$47,"&gt;0",⑭手動工程入力!$M$6:$M$47,"&gt;0")-SUMIFS(⑭手動工程入力!$J$6:$J$47,⑭手動工程入力!$S$6:$S$47,$J353,⑭手動工程入力!$J$6:$J$47,"&gt;0",⑭手動工程入力!$I$6:$I$47,"&gt;0",⑭手動工程入力!$M$6:$M$47,"&gt;0"))</f>
        <v/>
      </c>
      <c r="P353" s="392" t="inlineStr">
        <is>
          <t>中間品リスト</t>
        </is>
      </c>
    </row>
    <row r="354">
      <c r="A354" s="392" t="n">
        <v>350</v>
      </c>
      <c r="B354" s="392" t="n"/>
      <c r="C354" s="392" t="n"/>
      <c r="D354" s="409" t="n"/>
      <c r="E354" s="392" t="n"/>
      <c r="F354" s="394" t="n"/>
      <c r="G354" s="392" t="n"/>
      <c r="H354" s="604">
        <f>IFERROR(IF(AND($K354&gt;0,ISNUMBER(IF(OR($D354="g",$D354="ｇ"),IF($M354&gt;0,$L354/$M354/1000,""),IF($D354="kg",IF($M354&gt;0,$L354/$M354,""),IF($D354="",IF($M354&gt;0,$L354/$M354/1000,IF($O354&gt;0,$N354/$O354,"")),IF($O354&gt;0,$N354/$O354,"")))))),IF(OR($D354="g",$D354="ｇ"),IF($M354&gt;0,$L354/$M354/1000,""),IF($D354="kg",IF($M354&gt;0,$L354/$M354,""),IF($D354="",IF($M354&gt;0,$L354/$M354/1000,IF($O354&gt;0,$N354/$O354,"")),IF($O354&gt;0,$N354/$O354,"")))),IF($F354="",IF(OR($E354="",$E354="⑩盛付梱包工程入力"),"",IF(OR($D354="g",$D354="ｇ"),INDEX(⑰工程労務費一覧!$N$5:$N$11,MATCH($E354,⑰工程労務費一覧!$K$5:$K$11,0))/1000,IF($D354="kg",INDEX(⑰工程労務費一覧!$N$5:$N$11,MATCH($E354,⑰工程労務費一覧!$K$5:$K$11,0)),IF(OR($D354="個",$D354="切",$D354="本",$D354="枚",$D354="尾"),IF($E354="⑬計量工程入力","",INDEX(⑰工程労務費一覧!$P$5:$P$11,MATCH($E354,⑰工程労務費一覧!$K$5:$K$11,0))),IF(AND($D354="",OR($E354="②釜工程入力",$E354="③スチコン工程入力")),INDEX(⑰工程労務費一覧!$N$5:$N$11,MATCH($E354,⑰工程労務費一覧!$K$5:$K$11,0))/1000,""))))),IF(OR($D354="g",$D354="ｇ"),INDEX(⑰工程労務費一覧!$H$5:$H$753,MATCH($F354,⑰工程労務費一覧!$D$5:$D$753,0))/1000,IF($D354="kg",INDEX(⑰工程労務費一覧!$H$5:$H$753,MATCH($F354,⑰工程労務費一覧!$D$5:$D$753,0)),INDEX(⑰工程労務費一覧!$I$5:$I$753,MATCH($F354,⑰工程労務費一覧!$D$5:$D$753,0)))))),"")</f>
        <v/>
      </c>
      <c r="I354" s="392">
        <f>IF($K354&gt;0,IF(ISNUMBER(IF(OR($D354="g",$D354="ｇ"),IF($M354&gt;0,$L354/$M354/1000,""),IF($D354="kg",IF($M354&gt;0,$L354/$M354,""),IF($D354="",IF($M354&gt;0,$L354/$M354/1000,IF($O354&gt;0,$N354/$O354,"")),IF($O354&gt;0,$N354/$O354,""))))),IF($D354="",IF($M354&gt;0,"◎ JAN紐づけ(g扱い)","◎ JAN紐づけ(個扱い)"),"◎ JAN紐づけ"),"△ JAN紐づけ済・実績不足→仮計算"),IF($F354="",IF(ISNUMBER($H354),IF($D354="","⑤ 工程平均で仮計算(g扱い)","⑤ 工程平均で仮計算"),IF($E354="⑩盛付梱包工程入力","⑥ 盛り込み(⑳F列で計上)",IF(AND($E354="⑬計量工程入力",OR($D354="個",$D354="切",$D354="本",$D354="枚",$D354="尾")),"① 未紐づけ(カット個単位は仮単価なし)","① 未紐づけ"))),IF(NOT(ISNUMBER($H354)),"② 工程側に単価なし",IF($D354="","③ 単位未設定(個で計算)","④ OK"))))</f>
        <v/>
      </c>
      <c r="J354" s="399">
        <f>IFERROR(LOOKUP(2,1/((中間品リスト!$F$2:$F$1299=$B354)*(中間品リスト!$E$2:$E$1299&lt;&gt;"-")*(中間品リスト!$E$2:$E$1299&lt;&gt;"")),中間品リスト!$E$2:$E$1299),"")</f>
        <v/>
      </c>
      <c r="K354" s="400">
        <f>IF($J354="",0,COUNTIF(②釜工程入力!$S$5:$S$117,$J354)+COUNTIF(③スチコン工程入力!$S$5:$S$152,$J354)+COUNTIF(⑪ZEN工程入力!$S$6:$S$35,$J354)+COUNTIF(⑫ミキサー工程入力!$S$6:$S$65,$J354)+COUNTIF(⑬計量工程入力!$S$6:$S$65,$J354)+COUNTIF(⑭手動工程入力!$S$6:$S$47,$J354))</f>
        <v/>
      </c>
      <c r="L354" s="393">
        <f>IF($J354="",0,SUMIFS(②釜工程入力!$M$5:$M$117,②釜工程入力!$S$5:$S$117,$J354,②釜工程入力!$I$5:$I$117,"&gt;0")+SUMIFS(③スチコン工程入力!$M$5:$M$152,③スチコン工程入力!$S$5:$S$152,$J354,③スチコン工程入力!$I$5:$I$152,"&gt;0")+SUMIFS(⑪ZEN工程入力!$M$6:$M$35,⑪ZEN工程入力!$S$6:$S$35,$J354,⑪ZEN工程入力!$I$6:$I$35,"&gt;0")+SUMIFS(⑫ミキサー工程入力!$M$6:$M$65,⑫ミキサー工程入力!$S$6:$S$65,$J354,⑫ミキサー工程入力!$I$6:$I$65,"&gt;0")+SUMIFS(⑬計量工程入力!$M$6:$M$65,⑬計量工程入力!$S$6:$S$65,$J354,⑬計量工程入力!$I$6:$I$65,"&gt;0")+SUMIFS(⑭手動工程入力!$M$6:$M$47,⑭手動工程入力!$S$6:$S$47,$J354,⑭手動工程入力!$I$6:$I$47,"&gt;0"))</f>
        <v/>
      </c>
      <c r="M354" s="393">
        <f>IF($J354="",0,SUMIFS(②釜工程入力!$I$5:$I$117,②釜工程入力!$S$5:$S$117,$J354,②釜工程入力!$I$5:$I$117,"&gt;0",②釜工程入力!$M$5:$M$117,"&gt;0")+SUMIFS(③スチコン工程入力!$I$5:$I$152,③スチコン工程入力!$S$5:$S$152,$J354,③スチコン工程入力!$I$5:$I$152,"&gt;0",③スチコン工程入力!$M$5:$M$152,"&gt;0")+SUMIFS(⑪ZEN工程入力!$I$6:$I$35,⑪ZEN工程入力!$S$6:$S$35,$J354,⑪ZEN工程入力!$I$6:$I$35,"&gt;0",⑪ZEN工程入力!$M$6:$M$35,"&gt;0")+SUMIFS(⑫ミキサー工程入力!$I$6:$I$65,⑫ミキサー工程入力!$S$6:$S$65,$J354,⑫ミキサー工程入力!$I$6:$I$65,"&gt;0",⑫ミキサー工程入力!$M$6:$M$65,"&gt;0")+SUMIFS(⑬計量工程入力!$I$6:$I$65,⑬計量工程入力!$S$6:$S$65,$J354,⑬計量工程入力!$I$6:$I$65,"&gt;0",⑬計量工程入力!$M$6:$M$65,"&gt;0")+SUMIFS(⑭手動工程入力!$I$6:$I$47,⑭手動工程入力!$S$6:$S$47,$J354,⑭手動工程入力!$I$6:$I$47,"&gt;0",⑭手動工程入力!$M$6:$M$47,"&gt;0"))</f>
        <v/>
      </c>
      <c r="N354" s="393">
        <f>IF($J354="",0,SUMIFS(②釜工程入力!$M$5:$M$117,②釜工程入力!$S$5:$S$117,$J354,②釜工程入力!$J$5:$J$117,"&gt;0")-SUMIFS(②釜工程入力!$M$5:$M$117,②釜工程入力!$S$5:$S$117,$J354,②釜工程入力!$J$5:$J$117,"&gt;0",②釜工程入力!$I$5:$I$117,"&gt;0")+SUMIFS(③スチコン工程入力!$M$5:$M$152,③スチコン工程入力!$S$5:$S$152,$J354,③スチコン工程入力!$J$5:$J$152,"&gt;0")-SUMIFS(③スチコン工程入力!$M$5:$M$152,③スチコン工程入力!$S$5:$S$152,$J354,③スチコン工程入力!$J$5:$J$152,"&gt;0",③スチコン工程入力!$I$5:$I$152,"&gt;0")+SUMIFS(⑪ZEN工程入力!$M$6:$M$35,⑪ZEN工程入力!$S$6:$S$35,$J354,⑪ZEN工程入力!$J$6:$J$35,"&gt;0")-SUMIFS(⑪ZEN工程入力!$M$6:$M$35,⑪ZEN工程入力!$S$6:$S$35,$J354,⑪ZEN工程入力!$J$6:$J$35,"&gt;0",⑪ZEN工程入力!$I$6:$I$35,"&gt;0")+SUMIFS(⑫ミキサー工程入力!$M$6:$M$65,⑫ミキサー工程入力!$S$6:$S$65,$J354,⑫ミキサー工程入力!$J$6:$J$65,"&gt;0")-SUMIFS(⑫ミキサー工程入力!$M$6:$M$65,⑫ミキサー工程入力!$S$6:$S$65,$J354,⑫ミキサー工程入力!$J$6:$J$65,"&gt;0",⑫ミキサー工程入力!$I$6:$I$65,"&gt;0")+SUMIFS(⑬計量工程入力!$M$6:$M$65,⑬計量工程入力!$S$6:$S$65,$J354,⑬計量工程入力!$J$6:$J$65,"&gt;0")-SUMIFS(⑬計量工程入力!$M$6:$M$65,⑬計量工程入力!$S$6:$S$65,$J354,⑬計量工程入力!$J$6:$J$65,"&gt;0",⑬計量工程入力!$I$6:$I$65,"&gt;0")+SUMIFS(⑭手動工程入力!$M$6:$M$47,⑭手動工程入力!$S$6:$S$47,$J354,⑭手動工程入力!$J$6:$J$47,"&gt;0")-SUMIFS(⑭手動工程入力!$M$6:$M$47,⑭手動工程入力!$S$6:$S$47,$J354,⑭手動工程入力!$J$6:$J$47,"&gt;0",⑭手動工程入力!$I$6:$I$47,"&gt;0"))</f>
        <v/>
      </c>
      <c r="O354" s="393">
        <f>IF($J354="",0,SUMIFS(②釜工程入力!$J$5:$J$117,②釜工程入力!$S$5:$S$117,$J354,②釜工程入力!$J$5:$J$117,"&gt;0",②釜工程入力!$M$5:$M$117,"&gt;0")-SUMIFS(②釜工程入力!$J$5:$J$117,②釜工程入力!$S$5:$S$117,$J354,②釜工程入力!$J$5:$J$117,"&gt;0",②釜工程入力!$I$5:$I$117,"&gt;0",②釜工程入力!$M$5:$M$117,"&gt;0")+SUMIFS(③スチコン工程入力!$J$5:$J$152,③スチコン工程入力!$S$5:$S$152,$J354,③スチコン工程入力!$J$5:$J$152,"&gt;0",③スチコン工程入力!$M$5:$M$152,"&gt;0")-SUMIFS(③スチコン工程入力!$J$5:$J$152,③スチコン工程入力!$S$5:$S$152,$J354,③スチコン工程入力!$J$5:$J$152,"&gt;0",③スチコン工程入力!$I$5:$I$152,"&gt;0",③スチコン工程入力!$M$5:$M$152,"&gt;0")+SUMIFS(⑪ZEN工程入力!$J$6:$J$35,⑪ZEN工程入力!$S$6:$S$35,$J354,⑪ZEN工程入力!$J$6:$J$35,"&gt;0",⑪ZEN工程入力!$M$6:$M$35,"&gt;0")-SUMIFS(⑪ZEN工程入力!$J$6:$J$35,⑪ZEN工程入力!$S$6:$S$35,$J354,⑪ZEN工程入力!$J$6:$J$35,"&gt;0",⑪ZEN工程入力!$I$6:$I$35,"&gt;0",⑪ZEN工程入力!$M$6:$M$35,"&gt;0")+SUMIFS(⑫ミキサー工程入力!$J$6:$J$65,⑫ミキサー工程入力!$S$6:$S$65,$J354,⑫ミキサー工程入力!$J$6:$J$65,"&gt;0",⑫ミキサー工程入力!$M$6:$M$65,"&gt;0")-SUMIFS(⑫ミキサー工程入力!$J$6:$J$65,⑫ミキサー工程入力!$S$6:$S$65,$J354,⑫ミキサー工程入力!$J$6:$J$65,"&gt;0",⑫ミキサー工程入力!$I$6:$I$65,"&gt;0",⑫ミキサー工程入力!$M$6:$M$65,"&gt;0")+SUMIFS(⑬計量工程入力!$J$6:$J$65,⑬計量工程入力!$S$6:$S$65,$J354,⑬計量工程入力!$J$6:$J$65,"&gt;0",⑬計量工程入力!$M$6:$M$65,"&gt;0")-SUMIFS(⑬計量工程入力!$J$6:$J$65,⑬計量工程入力!$S$6:$S$65,$J354,⑬計量工程入力!$J$6:$J$65,"&gt;0",⑬計量工程入力!$I$6:$I$65,"&gt;0",⑬計量工程入力!$M$6:$M$65,"&gt;0")+SUMIFS(⑭手動工程入力!$J$6:$J$47,⑭手動工程入力!$S$6:$S$47,$J354,⑭手動工程入力!$J$6:$J$47,"&gt;0",⑭手動工程入力!$M$6:$M$47,"&gt;0")-SUMIFS(⑭手動工程入力!$J$6:$J$47,⑭手動工程入力!$S$6:$S$47,$J354,⑭手動工程入力!$J$6:$J$47,"&gt;0",⑭手動工程入力!$I$6:$I$47,"&gt;0",⑭手動工程入力!$M$6:$M$47,"&gt;0"))</f>
        <v/>
      </c>
      <c r="P354" s="392" t="inlineStr">
        <is>
          <t>中間品リスト</t>
        </is>
      </c>
    </row>
    <row r="355">
      <c r="A355" s="392" t="n">
        <v>351</v>
      </c>
      <c r="B355" s="392" t="n"/>
      <c r="C355" s="392" t="n"/>
      <c r="D355" s="409" t="n"/>
      <c r="E355" s="392" t="n"/>
      <c r="F355" s="394" t="n"/>
      <c r="G355" s="392" t="n"/>
      <c r="H355" s="604">
        <f>IFERROR(IF(AND($K355&gt;0,ISNUMBER(IF(OR($D355="g",$D355="ｇ"),IF($M355&gt;0,$L355/$M355/1000,""),IF($D355="kg",IF($M355&gt;0,$L355/$M355,""),IF($D355="",IF($M355&gt;0,$L355/$M355/1000,IF($O355&gt;0,$N355/$O355,"")),IF($O355&gt;0,$N355/$O355,"")))))),IF(OR($D355="g",$D355="ｇ"),IF($M355&gt;0,$L355/$M355/1000,""),IF($D355="kg",IF($M355&gt;0,$L355/$M355,""),IF($D355="",IF($M355&gt;0,$L355/$M355/1000,IF($O355&gt;0,$N355/$O355,"")),IF($O355&gt;0,$N355/$O355,"")))),IF($F355="",IF(OR($E355="",$E355="⑩盛付梱包工程入力"),"",IF(OR($D355="g",$D355="ｇ"),INDEX(⑰工程労務費一覧!$N$5:$N$11,MATCH($E355,⑰工程労務費一覧!$K$5:$K$11,0))/1000,IF($D355="kg",INDEX(⑰工程労務費一覧!$N$5:$N$11,MATCH($E355,⑰工程労務費一覧!$K$5:$K$11,0)),IF(OR($D355="個",$D355="切",$D355="本",$D355="枚",$D355="尾"),IF($E355="⑬計量工程入力","",INDEX(⑰工程労務費一覧!$P$5:$P$11,MATCH($E355,⑰工程労務費一覧!$K$5:$K$11,0))),IF(AND($D355="",OR($E355="②釜工程入力",$E355="③スチコン工程入力")),INDEX(⑰工程労務費一覧!$N$5:$N$11,MATCH($E355,⑰工程労務費一覧!$K$5:$K$11,0))/1000,""))))),IF(OR($D355="g",$D355="ｇ"),INDEX(⑰工程労務費一覧!$H$5:$H$753,MATCH($F355,⑰工程労務費一覧!$D$5:$D$753,0))/1000,IF($D355="kg",INDEX(⑰工程労務費一覧!$H$5:$H$753,MATCH($F355,⑰工程労務費一覧!$D$5:$D$753,0)),INDEX(⑰工程労務費一覧!$I$5:$I$753,MATCH($F355,⑰工程労務費一覧!$D$5:$D$753,0)))))),"")</f>
        <v/>
      </c>
      <c r="I355" s="392">
        <f>IF($K355&gt;0,IF(ISNUMBER(IF(OR($D355="g",$D355="ｇ"),IF($M355&gt;0,$L355/$M355/1000,""),IF($D355="kg",IF($M355&gt;0,$L355/$M355,""),IF($D355="",IF($M355&gt;0,$L355/$M355/1000,IF($O355&gt;0,$N355/$O355,"")),IF($O355&gt;0,$N355/$O355,""))))),IF($D355="",IF($M355&gt;0,"◎ JAN紐づけ(g扱い)","◎ JAN紐づけ(個扱い)"),"◎ JAN紐づけ"),"△ JAN紐づけ済・実績不足→仮計算"),IF($F355="",IF(ISNUMBER($H355),IF($D355="","⑤ 工程平均で仮計算(g扱い)","⑤ 工程平均で仮計算"),IF($E355="⑩盛付梱包工程入力","⑥ 盛り込み(⑳F列で計上)",IF(AND($E355="⑬計量工程入力",OR($D355="個",$D355="切",$D355="本",$D355="枚",$D355="尾")),"① 未紐づけ(カット個単位は仮単価なし)","① 未紐づけ"))),IF(NOT(ISNUMBER($H355)),"② 工程側に単価なし",IF($D355="","③ 単位未設定(個で計算)","④ OK"))))</f>
        <v/>
      </c>
      <c r="J355" s="399">
        <f>IFERROR(LOOKUP(2,1/((中間品リスト!$F$2:$F$1299=$B355)*(中間品リスト!$E$2:$E$1299&lt;&gt;"-")*(中間品リスト!$E$2:$E$1299&lt;&gt;"")),中間品リスト!$E$2:$E$1299),"")</f>
        <v/>
      </c>
      <c r="K355" s="400">
        <f>IF($J355="",0,COUNTIF(②釜工程入力!$S$5:$S$117,$J355)+COUNTIF(③スチコン工程入力!$S$5:$S$152,$J355)+COUNTIF(⑪ZEN工程入力!$S$6:$S$35,$J355)+COUNTIF(⑫ミキサー工程入力!$S$6:$S$65,$J355)+COUNTIF(⑬計量工程入力!$S$6:$S$65,$J355)+COUNTIF(⑭手動工程入力!$S$6:$S$47,$J355))</f>
        <v/>
      </c>
      <c r="L355" s="393">
        <f>IF($J355="",0,SUMIFS(②釜工程入力!$M$5:$M$117,②釜工程入力!$S$5:$S$117,$J355,②釜工程入力!$I$5:$I$117,"&gt;0")+SUMIFS(③スチコン工程入力!$M$5:$M$152,③スチコン工程入力!$S$5:$S$152,$J355,③スチコン工程入力!$I$5:$I$152,"&gt;0")+SUMIFS(⑪ZEN工程入力!$M$6:$M$35,⑪ZEN工程入力!$S$6:$S$35,$J355,⑪ZEN工程入力!$I$6:$I$35,"&gt;0")+SUMIFS(⑫ミキサー工程入力!$M$6:$M$65,⑫ミキサー工程入力!$S$6:$S$65,$J355,⑫ミキサー工程入力!$I$6:$I$65,"&gt;0")+SUMIFS(⑬計量工程入力!$M$6:$M$65,⑬計量工程入力!$S$6:$S$65,$J355,⑬計量工程入力!$I$6:$I$65,"&gt;0")+SUMIFS(⑭手動工程入力!$M$6:$M$47,⑭手動工程入力!$S$6:$S$47,$J355,⑭手動工程入力!$I$6:$I$47,"&gt;0"))</f>
        <v/>
      </c>
      <c r="M355" s="393">
        <f>IF($J355="",0,SUMIFS(②釜工程入力!$I$5:$I$117,②釜工程入力!$S$5:$S$117,$J355,②釜工程入力!$I$5:$I$117,"&gt;0",②釜工程入力!$M$5:$M$117,"&gt;0")+SUMIFS(③スチコン工程入力!$I$5:$I$152,③スチコン工程入力!$S$5:$S$152,$J355,③スチコン工程入力!$I$5:$I$152,"&gt;0",③スチコン工程入力!$M$5:$M$152,"&gt;0")+SUMIFS(⑪ZEN工程入力!$I$6:$I$35,⑪ZEN工程入力!$S$6:$S$35,$J355,⑪ZEN工程入力!$I$6:$I$35,"&gt;0",⑪ZEN工程入力!$M$6:$M$35,"&gt;0")+SUMIFS(⑫ミキサー工程入力!$I$6:$I$65,⑫ミキサー工程入力!$S$6:$S$65,$J355,⑫ミキサー工程入力!$I$6:$I$65,"&gt;0",⑫ミキサー工程入力!$M$6:$M$65,"&gt;0")+SUMIFS(⑬計量工程入力!$I$6:$I$65,⑬計量工程入力!$S$6:$S$65,$J355,⑬計量工程入力!$I$6:$I$65,"&gt;0",⑬計量工程入力!$M$6:$M$65,"&gt;0")+SUMIFS(⑭手動工程入力!$I$6:$I$47,⑭手動工程入力!$S$6:$S$47,$J355,⑭手動工程入力!$I$6:$I$47,"&gt;0",⑭手動工程入力!$M$6:$M$47,"&gt;0"))</f>
        <v/>
      </c>
      <c r="N355" s="393">
        <f>IF($J355="",0,SUMIFS(②釜工程入力!$M$5:$M$117,②釜工程入力!$S$5:$S$117,$J355,②釜工程入力!$J$5:$J$117,"&gt;0")-SUMIFS(②釜工程入力!$M$5:$M$117,②釜工程入力!$S$5:$S$117,$J355,②釜工程入力!$J$5:$J$117,"&gt;0",②釜工程入力!$I$5:$I$117,"&gt;0")+SUMIFS(③スチコン工程入力!$M$5:$M$152,③スチコン工程入力!$S$5:$S$152,$J355,③スチコン工程入力!$J$5:$J$152,"&gt;0")-SUMIFS(③スチコン工程入力!$M$5:$M$152,③スチコン工程入力!$S$5:$S$152,$J355,③スチコン工程入力!$J$5:$J$152,"&gt;0",③スチコン工程入力!$I$5:$I$152,"&gt;0")+SUMIFS(⑪ZEN工程入力!$M$6:$M$35,⑪ZEN工程入力!$S$6:$S$35,$J355,⑪ZEN工程入力!$J$6:$J$35,"&gt;0")-SUMIFS(⑪ZEN工程入力!$M$6:$M$35,⑪ZEN工程入力!$S$6:$S$35,$J355,⑪ZEN工程入力!$J$6:$J$35,"&gt;0",⑪ZEN工程入力!$I$6:$I$35,"&gt;0")+SUMIFS(⑫ミキサー工程入力!$M$6:$M$65,⑫ミキサー工程入力!$S$6:$S$65,$J355,⑫ミキサー工程入力!$J$6:$J$65,"&gt;0")-SUMIFS(⑫ミキサー工程入力!$M$6:$M$65,⑫ミキサー工程入力!$S$6:$S$65,$J355,⑫ミキサー工程入力!$J$6:$J$65,"&gt;0",⑫ミキサー工程入力!$I$6:$I$65,"&gt;0")+SUMIFS(⑬計量工程入力!$M$6:$M$65,⑬計量工程入力!$S$6:$S$65,$J355,⑬計量工程入力!$J$6:$J$65,"&gt;0")-SUMIFS(⑬計量工程入力!$M$6:$M$65,⑬計量工程入力!$S$6:$S$65,$J355,⑬計量工程入力!$J$6:$J$65,"&gt;0",⑬計量工程入力!$I$6:$I$65,"&gt;0")+SUMIFS(⑭手動工程入力!$M$6:$M$47,⑭手動工程入力!$S$6:$S$47,$J355,⑭手動工程入力!$J$6:$J$47,"&gt;0")-SUMIFS(⑭手動工程入力!$M$6:$M$47,⑭手動工程入力!$S$6:$S$47,$J355,⑭手動工程入力!$J$6:$J$47,"&gt;0",⑭手動工程入力!$I$6:$I$47,"&gt;0"))</f>
        <v/>
      </c>
      <c r="O355" s="393">
        <f>IF($J355="",0,SUMIFS(②釜工程入力!$J$5:$J$117,②釜工程入力!$S$5:$S$117,$J355,②釜工程入力!$J$5:$J$117,"&gt;0",②釜工程入力!$M$5:$M$117,"&gt;0")-SUMIFS(②釜工程入力!$J$5:$J$117,②釜工程入力!$S$5:$S$117,$J355,②釜工程入力!$J$5:$J$117,"&gt;0",②釜工程入力!$I$5:$I$117,"&gt;0",②釜工程入力!$M$5:$M$117,"&gt;0")+SUMIFS(③スチコン工程入力!$J$5:$J$152,③スチコン工程入力!$S$5:$S$152,$J355,③スチコン工程入力!$J$5:$J$152,"&gt;0",③スチコン工程入力!$M$5:$M$152,"&gt;0")-SUMIFS(③スチコン工程入力!$J$5:$J$152,③スチコン工程入力!$S$5:$S$152,$J355,③スチコン工程入力!$J$5:$J$152,"&gt;0",③スチコン工程入力!$I$5:$I$152,"&gt;0",③スチコン工程入力!$M$5:$M$152,"&gt;0")+SUMIFS(⑪ZEN工程入力!$J$6:$J$35,⑪ZEN工程入力!$S$6:$S$35,$J355,⑪ZEN工程入力!$J$6:$J$35,"&gt;0",⑪ZEN工程入力!$M$6:$M$35,"&gt;0")-SUMIFS(⑪ZEN工程入力!$J$6:$J$35,⑪ZEN工程入力!$S$6:$S$35,$J355,⑪ZEN工程入力!$J$6:$J$35,"&gt;0",⑪ZEN工程入力!$I$6:$I$35,"&gt;0",⑪ZEN工程入力!$M$6:$M$35,"&gt;0")+SUMIFS(⑫ミキサー工程入力!$J$6:$J$65,⑫ミキサー工程入力!$S$6:$S$65,$J355,⑫ミキサー工程入力!$J$6:$J$65,"&gt;0",⑫ミキサー工程入力!$M$6:$M$65,"&gt;0")-SUMIFS(⑫ミキサー工程入力!$J$6:$J$65,⑫ミキサー工程入力!$S$6:$S$65,$J355,⑫ミキサー工程入力!$J$6:$J$65,"&gt;0",⑫ミキサー工程入力!$I$6:$I$65,"&gt;0",⑫ミキサー工程入力!$M$6:$M$65,"&gt;0")+SUMIFS(⑬計量工程入力!$J$6:$J$65,⑬計量工程入力!$S$6:$S$65,$J355,⑬計量工程入力!$J$6:$J$65,"&gt;0",⑬計量工程入力!$M$6:$M$65,"&gt;0")-SUMIFS(⑬計量工程入力!$J$6:$J$65,⑬計量工程入力!$S$6:$S$65,$J355,⑬計量工程入力!$J$6:$J$65,"&gt;0",⑬計量工程入力!$I$6:$I$65,"&gt;0",⑬計量工程入力!$M$6:$M$65,"&gt;0")+SUMIFS(⑭手動工程入力!$J$6:$J$47,⑭手動工程入力!$S$6:$S$47,$J355,⑭手動工程入力!$J$6:$J$47,"&gt;0",⑭手動工程入力!$M$6:$M$47,"&gt;0")-SUMIFS(⑭手動工程入力!$J$6:$J$47,⑭手動工程入力!$S$6:$S$47,$J355,⑭手動工程入力!$J$6:$J$47,"&gt;0",⑭手動工程入力!$I$6:$I$47,"&gt;0",⑭手動工程入力!$M$6:$M$47,"&gt;0"))</f>
        <v/>
      </c>
      <c r="P355" s="392" t="inlineStr">
        <is>
          <t>中間品リスト</t>
        </is>
      </c>
    </row>
    <row r="356">
      <c r="A356" s="392" t="n">
        <v>352</v>
      </c>
      <c r="B356" s="392" t="n"/>
      <c r="C356" s="392" t="n"/>
      <c r="D356" s="409" t="n"/>
      <c r="E356" s="392" t="n"/>
      <c r="F356" s="394" t="n"/>
      <c r="G356" s="392" t="n"/>
      <c r="H356" s="604">
        <f>IFERROR(IF(AND($K356&gt;0,ISNUMBER(IF(OR($D356="g",$D356="ｇ"),IF($M356&gt;0,$L356/$M356/1000,""),IF($D356="kg",IF($M356&gt;0,$L356/$M356,""),IF($D356="",IF($M356&gt;0,$L356/$M356/1000,IF($O356&gt;0,$N356/$O356,"")),IF($O356&gt;0,$N356/$O356,"")))))),IF(OR($D356="g",$D356="ｇ"),IF($M356&gt;0,$L356/$M356/1000,""),IF($D356="kg",IF($M356&gt;0,$L356/$M356,""),IF($D356="",IF($M356&gt;0,$L356/$M356/1000,IF($O356&gt;0,$N356/$O356,"")),IF($O356&gt;0,$N356/$O356,"")))),IF($F356="",IF(OR($E356="",$E356="⑩盛付梱包工程入力"),"",IF(OR($D356="g",$D356="ｇ"),INDEX(⑰工程労務費一覧!$N$5:$N$11,MATCH($E356,⑰工程労務費一覧!$K$5:$K$11,0))/1000,IF($D356="kg",INDEX(⑰工程労務費一覧!$N$5:$N$11,MATCH($E356,⑰工程労務費一覧!$K$5:$K$11,0)),IF(OR($D356="個",$D356="切",$D356="本",$D356="枚",$D356="尾"),IF($E356="⑬計量工程入力","",INDEX(⑰工程労務費一覧!$P$5:$P$11,MATCH($E356,⑰工程労務費一覧!$K$5:$K$11,0))),IF(AND($D356="",OR($E356="②釜工程入力",$E356="③スチコン工程入力")),INDEX(⑰工程労務費一覧!$N$5:$N$11,MATCH($E356,⑰工程労務費一覧!$K$5:$K$11,0))/1000,""))))),IF(OR($D356="g",$D356="ｇ"),INDEX(⑰工程労務費一覧!$H$5:$H$753,MATCH($F356,⑰工程労務費一覧!$D$5:$D$753,0))/1000,IF($D356="kg",INDEX(⑰工程労務費一覧!$H$5:$H$753,MATCH($F356,⑰工程労務費一覧!$D$5:$D$753,0)),INDEX(⑰工程労務費一覧!$I$5:$I$753,MATCH($F356,⑰工程労務費一覧!$D$5:$D$753,0)))))),"")</f>
        <v/>
      </c>
      <c r="I356" s="392">
        <f>IF($K356&gt;0,IF(ISNUMBER(IF(OR($D356="g",$D356="ｇ"),IF($M356&gt;0,$L356/$M356/1000,""),IF($D356="kg",IF($M356&gt;0,$L356/$M356,""),IF($D356="",IF($M356&gt;0,$L356/$M356/1000,IF($O356&gt;0,$N356/$O356,"")),IF($O356&gt;0,$N356/$O356,""))))),IF($D356="",IF($M356&gt;0,"◎ JAN紐づけ(g扱い)","◎ JAN紐づけ(個扱い)"),"◎ JAN紐づけ"),"△ JAN紐づけ済・実績不足→仮計算"),IF($F356="",IF(ISNUMBER($H356),IF($D356="","⑤ 工程平均で仮計算(g扱い)","⑤ 工程平均で仮計算"),IF($E356="⑩盛付梱包工程入力","⑥ 盛り込み(⑳F列で計上)",IF(AND($E356="⑬計量工程入力",OR($D356="個",$D356="切",$D356="本",$D356="枚",$D356="尾")),"① 未紐づけ(カット個単位は仮単価なし)","① 未紐づけ"))),IF(NOT(ISNUMBER($H356)),"② 工程側に単価なし",IF($D356="","③ 単位未設定(個で計算)","④ OK"))))</f>
        <v/>
      </c>
      <c r="J356" s="399">
        <f>IFERROR(LOOKUP(2,1/((中間品リスト!$F$2:$F$1299=$B356)*(中間品リスト!$E$2:$E$1299&lt;&gt;"-")*(中間品リスト!$E$2:$E$1299&lt;&gt;"")),中間品リスト!$E$2:$E$1299),"")</f>
        <v/>
      </c>
      <c r="K356" s="400">
        <f>IF($J356="",0,COUNTIF(②釜工程入力!$S$5:$S$117,$J356)+COUNTIF(③スチコン工程入力!$S$5:$S$152,$J356)+COUNTIF(⑪ZEN工程入力!$S$6:$S$35,$J356)+COUNTIF(⑫ミキサー工程入力!$S$6:$S$65,$J356)+COUNTIF(⑬計量工程入力!$S$6:$S$65,$J356)+COUNTIF(⑭手動工程入力!$S$6:$S$47,$J356))</f>
        <v/>
      </c>
      <c r="L356" s="393">
        <f>IF($J356="",0,SUMIFS(②釜工程入力!$M$5:$M$117,②釜工程入力!$S$5:$S$117,$J356,②釜工程入力!$I$5:$I$117,"&gt;0")+SUMIFS(③スチコン工程入力!$M$5:$M$152,③スチコン工程入力!$S$5:$S$152,$J356,③スチコン工程入力!$I$5:$I$152,"&gt;0")+SUMIFS(⑪ZEN工程入力!$M$6:$M$35,⑪ZEN工程入力!$S$6:$S$35,$J356,⑪ZEN工程入力!$I$6:$I$35,"&gt;0")+SUMIFS(⑫ミキサー工程入力!$M$6:$M$65,⑫ミキサー工程入力!$S$6:$S$65,$J356,⑫ミキサー工程入力!$I$6:$I$65,"&gt;0")+SUMIFS(⑬計量工程入力!$M$6:$M$65,⑬計量工程入力!$S$6:$S$65,$J356,⑬計量工程入力!$I$6:$I$65,"&gt;0")+SUMIFS(⑭手動工程入力!$M$6:$M$47,⑭手動工程入力!$S$6:$S$47,$J356,⑭手動工程入力!$I$6:$I$47,"&gt;0"))</f>
        <v/>
      </c>
      <c r="M356" s="393">
        <f>IF($J356="",0,SUMIFS(②釜工程入力!$I$5:$I$117,②釜工程入力!$S$5:$S$117,$J356,②釜工程入力!$I$5:$I$117,"&gt;0",②釜工程入力!$M$5:$M$117,"&gt;0")+SUMIFS(③スチコン工程入力!$I$5:$I$152,③スチコン工程入力!$S$5:$S$152,$J356,③スチコン工程入力!$I$5:$I$152,"&gt;0",③スチコン工程入力!$M$5:$M$152,"&gt;0")+SUMIFS(⑪ZEN工程入力!$I$6:$I$35,⑪ZEN工程入力!$S$6:$S$35,$J356,⑪ZEN工程入力!$I$6:$I$35,"&gt;0",⑪ZEN工程入力!$M$6:$M$35,"&gt;0")+SUMIFS(⑫ミキサー工程入力!$I$6:$I$65,⑫ミキサー工程入力!$S$6:$S$65,$J356,⑫ミキサー工程入力!$I$6:$I$65,"&gt;0",⑫ミキサー工程入力!$M$6:$M$65,"&gt;0")+SUMIFS(⑬計量工程入力!$I$6:$I$65,⑬計量工程入力!$S$6:$S$65,$J356,⑬計量工程入力!$I$6:$I$65,"&gt;0",⑬計量工程入力!$M$6:$M$65,"&gt;0")+SUMIFS(⑭手動工程入力!$I$6:$I$47,⑭手動工程入力!$S$6:$S$47,$J356,⑭手動工程入力!$I$6:$I$47,"&gt;0",⑭手動工程入力!$M$6:$M$47,"&gt;0"))</f>
        <v/>
      </c>
      <c r="N356" s="393">
        <f>IF($J356="",0,SUMIFS(②釜工程入力!$M$5:$M$117,②釜工程入力!$S$5:$S$117,$J356,②釜工程入力!$J$5:$J$117,"&gt;0")-SUMIFS(②釜工程入力!$M$5:$M$117,②釜工程入力!$S$5:$S$117,$J356,②釜工程入力!$J$5:$J$117,"&gt;0",②釜工程入力!$I$5:$I$117,"&gt;0")+SUMIFS(③スチコン工程入力!$M$5:$M$152,③スチコン工程入力!$S$5:$S$152,$J356,③スチコン工程入力!$J$5:$J$152,"&gt;0")-SUMIFS(③スチコン工程入力!$M$5:$M$152,③スチコン工程入力!$S$5:$S$152,$J356,③スチコン工程入力!$J$5:$J$152,"&gt;0",③スチコン工程入力!$I$5:$I$152,"&gt;0")+SUMIFS(⑪ZEN工程入力!$M$6:$M$35,⑪ZEN工程入力!$S$6:$S$35,$J356,⑪ZEN工程入力!$J$6:$J$35,"&gt;0")-SUMIFS(⑪ZEN工程入力!$M$6:$M$35,⑪ZEN工程入力!$S$6:$S$35,$J356,⑪ZEN工程入力!$J$6:$J$35,"&gt;0",⑪ZEN工程入力!$I$6:$I$35,"&gt;0")+SUMIFS(⑫ミキサー工程入力!$M$6:$M$65,⑫ミキサー工程入力!$S$6:$S$65,$J356,⑫ミキサー工程入力!$J$6:$J$65,"&gt;0")-SUMIFS(⑫ミキサー工程入力!$M$6:$M$65,⑫ミキサー工程入力!$S$6:$S$65,$J356,⑫ミキサー工程入力!$J$6:$J$65,"&gt;0",⑫ミキサー工程入力!$I$6:$I$65,"&gt;0")+SUMIFS(⑬計量工程入力!$M$6:$M$65,⑬計量工程入力!$S$6:$S$65,$J356,⑬計量工程入力!$J$6:$J$65,"&gt;0")-SUMIFS(⑬計量工程入力!$M$6:$M$65,⑬計量工程入力!$S$6:$S$65,$J356,⑬計量工程入力!$J$6:$J$65,"&gt;0",⑬計量工程入力!$I$6:$I$65,"&gt;0")+SUMIFS(⑭手動工程入力!$M$6:$M$47,⑭手動工程入力!$S$6:$S$47,$J356,⑭手動工程入力!$J$6:$J$47,"&gt;0")-SUMIFS(⑭手動工程入力!$M$6:$M$47,⑭手動工程入力!$S$6:$S$47,$J356,⑭手動工程入力!$J$6:$J$47,"&gt;0",⑭手動工程入力!$I$6:$I$47,"&gt;0"))</f>
        <v/>
      </c>
      <c r="O356" s="393">
        <f>IF($J356="",0,SUMIFS(②釜工程入力!$J$5:$J$117,②釜工程入力!$S$5:$S$117,$J356,②釜工程入力!$J$5:$J$117,"&gt;0",②釜工程入力!$M$5:$M$117,"&gt;0")-SUMIFS(②釜工程入力!$J$5:$J$117,②釜工程入力!$S$5:$S$117,$J356,②釜工程入力!$J$5:$J$117,"&gt;0",②釜工程入力!$I$5:$I$117,"&gt;0",②釜工程入力!$M$5:$M$117,"&gt;0")+SUMIFS(③スチコン工程入力!$J$5:$J$152,③スチコン工程入力!$S$5:$S$152,$J356,③スチコン工程入力!$J$5:$J$152,"&gt;0",③スチコン工程入力!$M$5:$M$152,"&gt;0")-SUMIFS(③スチコン工程入力!$J$5:$J$152,③スチコン工程入力!$S$5:$S$152,$J356,③スチコン工程入力!$J$5:$J$152,"&gt;0",③スチコン工程入力!$I$5:$I$152,"&gt;0",③スチコン工程入力!$M$5:$M$152,"&gt;0")+SUMIFS(⑪ZEN工程入力!$J$6:$J$35,⑪ZEN工程入力!$S$6:$S$35,$J356,⑪ZEN工程入力!$J$6:$J$35,"&gt;0",⑪ZEN工程入力!$M$6:$M$35,"&gt;0")-SUMIFS(⑪ZEN工程入力!$J$6:$J$35,⑪ZEN工程入力!$S$6:$S$35,$J356,⑪ZEN工程入力!$J$6:$J$35,"&gt;0",⑪ZEN工程入力!$I$6:$I$35,"&gt;0",⑪ZEN工程入力!$M$6:$M$35,"&gt;0")+SUMIFS(⑫ミキサー工程入力!$J$6:$J$65,⑫ミキサー工程入力!$S$6:$S$65,$J356,⑫ミキサー工程入力!$J$6:$J$65,"&gt;0",⑫ミキサー工程入力!$M$6:$M$65,"&gt;0")-SUMIFS(⑫ミキサー工程入力!$J$6:$J$65,⑫ミキサー工程入力!$S$6:$S$65,$J356,⑫ミキサー工程入力!$J$6:$J$65,"&gt;0",⑫ミキサー工程入力!$I$6:$I$65,"&gt;0",⑫ミキサー工程入力!$M$6:$M$65,"&gt;0")+SUMIFS(⑬計量工程入力!$J$6:$J$65,⑬計量工程入力!$S$6:$S$65,$J356,⑬計量工程入力!$J$6:$J$65,"&gt;0",⑬計量工程入力!$M$6:$M$65,"&gt;0")-SUMIFS(⑬計量工程入力!$J$6:$J$65,⑬計量工程入力!$S$6:$S$65,$J356,⑬計量工程入力!$J$6:$J$65,"&gt;0",⑬計量工程入力!$I$6:$I$65,"&gt;0",⑬計量工程入力!$M$6:$M$65,"&gt;0")+SUMIFS(⑭手動工程入力!$J$6:$J$47,⑭手動工程入力!$S$6:$S$47,$J356,⑭手動工程入力!$J$6:$J$47,"&gt;0",⑭手動工程入力!$M$6:$M$47,"&gt;0")-SUMIFS(⑭手動工程入力!$J$6:$J$47,⑭手動工程入力!$S$6:$S$47,$J356,⑭手動工程入力!$J$6:$J$47,"&gt;0",⑭手動工程入力!$I$6:$I$47,"&gt;0",⑭手動工程入力!$M$6:$M$47,"&gt;0"))</f>
        <v/>
      </c>
      <c r="P356" s="392" t="inlineStr">
        <is>
          <t>中間品リスト</t>
        </is>
      </c>
    </row>
    <row r="357">
      <c r="A357" s="392" t="n">
        <v>353</v>
      </c>
      <c r="B357" s="392" t="n"/>
      <c r="C357" s="392" t="n"/>
      <c r="D357" s="409" t="n"/>
      <c r="E357" s="392" t="n"/>
      <c r="F357" s="394" t="n"/>
      <c r="G357" s="392" t="n"/>
      <c r="H357" s="604">
        <f>IFERROR(IF(AND($K357&gt;0,ISNUMBER(IF(OR($D357="g",$D357="ｇ"),IF($M357&gt;0,$L357/$M357/1000,""),IF($D357="kg",IF($M357&gt;0,$L357/$M357,""),IF($D357="",IF($M357&gt;0,$L357/$M357/1000,IF($O357&gt;0,$N357/$O357,"")),IF($O357&gt;0,$N357/$O357,"")))))),IF(OR($D357="g",$D357="ｇ"),IF($M357&gt;0,$L357/$M357/1000,""),IF($D357="kg",IF($M357&gt;0,$L357/$M357,""),IF($D357="",IF($M357&gt;0,$L357/$M357/1000,IF($O357&gt;0,$N357/$O357,"")),IF($O357&gt;0,$N357/$O357,"")))),IF($F357="",IF(OR($E357="",$E357="⑩盛付梱包工程入力"),"",IF(OR($D357="g",$D357="ｇ"),INDEX(⑰工程労務費一覧!$N$5:$N$11,MATCH($E357,⑰工程労務費一覧!$K$5:$K$11,0))/1000,IF($D357="kg",INDEX(⑰工程労務費一覧!$N$5:$N$11,MATCH($E357,⑰工程労務費一覧!$K$5:$K$11,0)),IF(OR($D357="個",$D357="切",$D357="本",$D357="枚",$D357="尾"),IF($E357="⑬計量工程入力","",INDEX(⑰工程労務費一覧!$P$5:$P$11,MATCH($E357,⑰工程労務費一覧!$K$5:$K$11,0))),IF(AND($D357="",OR($E357="②釜工程入力",$E357="③スチコン工程入力")),INDEX(⑰工程労務費一覧!$N$5:$N$11,MATCH($E357,⑰工程労務費一覧!$K$5:$K$11,0))/1000,""))))),IF(OR($D357="g",$D357="ｇ"),INDEX(⑰工程労務費一覧!$H$5:$H$753,MATCH($F357,⑰工程労務費一覧!$D$5:$D$753,0))/1000,IF($D357="kg",INDEX(⑰工程労務費一覧!$H$5:$H$753,MATCH($F357,⑰工程労務費一覧!$D$5:$D$753,0)),INDEX(⑰工程労務費一覧!$I$5:$I$753,MATCH($F357,⑰工程労務費一覧!$D$5:$D$753,0)))))),"")</f>
        <v/>
      </c>
      <c r="I357" s="392">
        <f>IF($K357&gt;0,IF(ISNUMBER(IF(OR($D357="g",$D357="ｇ"),IF($M357&gt;0,$L357/$M357/1000,""),IF($D357="kg",IF($M357&gt;0,$L357/$M357,""),IF($D357="",IF($M357&gt;0,$L357/$M357/1000,IF($O357&gt;0,$N357/$O357,"")),IF($O357&gt;0,$N357/$O357,""))))),IF($D357="",IF($M357&gt;0,"◎ JAN紐づけ(g扱い)","◎ JAN紐づけ(個扱い)"),"◎ JAN紐づけ"),"△ JAN紐づけ済・実績不足→仮計算"),IF($F357="",IF(ISNUMBER($H357),IF($D357="","⑤ 工程平均で仮計算(g扱い)","⑤ 工程平均で仮計算"),IF($E357="⑩盛付梱包工程入力","⑥ 盛り込み(⑳F列で計上)",IF(AND($E357="⑬計量工程入力",OR($D357="個",$D357="切",$D357="本",$D357="枚",$D357="尾")),"① 未紐づけ(カット個単位は仮単価なし)","① 未紐づけ"))),IF(NOT(ISNUMBER($H357)),"② 工程側に単価なし",IF($D357="","③ 単位未設定(個で計算)","④ OK"))))</f>
        <v/>
      </c>
      <c r="J357" s="399">
        <f>IFERROR(LOOKUP(2,1/((中間品リスト!$F$2:$F$1299=$B357)*(中間品リスト!$E$2:$E$1299&lt;&gt;"-")*(中間品リスト!$E$2:$E$1299&lt;&gt;"")),中間品リスト!$E$2:$E$1299),"")</f>
        <v/>
      </c>
      <c r="K357" s="400">
        <f>IF($J357="",0,COUNTIF(②釜工程入力!$S$5:$S$117,$J357)+COUNTIF(③スチコン工程入力!$S$5:$S$152,$J357)+COUNTIF(⑪ZEN工程入力!$S$6:$S$35,$J357)+COUNTIF(⑫ミキサー工程入力!$S$6:$S$65,$J357)+COUNTIF(⑬計量工程入力!$S$6:$S$65,$J357)+COUNTIF(⑭手動工程入力!$S$6:$S$47,$J357))</f>
        <v/>
      </c>
      <c r="L357" s="393">
        <f>IF($J357="",0,SUMIFS(②釜工程入力!$M$5:$M$117,②釜工程入力!$S$5:$S$117,$J357,②釜工程入力!$I$5:$I$117,"&gt;0")+SUMIFS(③スチコン工程入力!$M$5:$M$152,③スチコン工程入力!$S$5:$S$152,$J357,③スチコン工程入力!$I$5:$I$152,"&gt;0")+SUMIFS(⑪ZEN工程入力!$M$6:$M$35,⑪ZEN工程入力!$S$6:$S$35,$J357,⑪ZEN工程入力!$I$6:$I$35,"&gt;0")+SUMIFS(⑫ミキサー工程入力!$M$6:$M$65,⑫ミキサー工程入力!$S$6:$S$65,$J357,⑫ミキサー工程入力!$I$6:$I$65,"&gt;0")+SUMIFS(⑬計量工程入力!$M$6:$M$65,⑬計量工程入力!$S$6:$S$65,$J357,⑬計量工程入力!$I$6:$I$65,"&gt;0")+SUMIFS(⑭手動工程入力!$M$6:$M$47,⑭手動工程入力!$S$6:$S$47,$J357,⑭手動工程入力!$I$6:$I$47,"&gt;0"))</f>
        <v/>
      </c>
      <c r="M357" s="393">
        <f>IF($J357="",0,SUMIFS(②釜工程入力!$I$5:$I$117,②釜工程入力!$S$5:$S$117,$J357,②釜工程入力!$I$5:$I$117,"&gt;0",②釜工程入力!$M$5:$M$117,"&gt;0")+SUMIFS(③スチコン工程入力!$I$5:$I$152,③スチコン工程入力!$S$5:$S$152,$J357,③スチコン工程入力!$I$5:$I$152,"&gt;0",③スチコン工程入力!$M$5:$M$152,"&gt;0")+SUMIFS(⑪ZEN工程入力!$I$6:$I$35,⑪ZEN工程入力!$S$6:$S$35,$J357,⑪ZEN工程入力!$I$6:$I$35,"&gt;0",⑪ZEN工程入力!$M$6:$M$35,"&gt;0")+SUMIFS(⑫ミキサー工程入力!$I$6:$I$65,⑫ミキサー工程入力!$S$6:$S$65,$J357,⑫ミキサー工程入力!$I$6:$I$65,"&gt;0",⑫ミキサー工程入力!$M$6:$M$65,"&gt;0")+SUMIFS(⑬計量工程入力!$I$6:$I$65,⑬計量工程入力!$S$6:$S$65,$J357,⑬計量工程入力!$I$6:$I$65,"&gt;0",⑬計量工程入力!$M$6:$M$65,"&gt;0")+SUMIFS(⑭手動工程入力!$I$6:$I$47,⑭手動工程入力!$S$6:$S$47,$J357,⑭手動工程入力!$I$6:$I$47,"&gt;0",⑭手動工程入力!$M$6:$M$47,"&gt;0"))</f>
        <v/>
      </c>
      <c r="N357" s="393">
        <f>IF($J357="",0,SUMIFS(②釜工程入力!$M$5:$M$117,②釜工程入力!$S$5:$S$117,$J357,②釜工程入力!$J$5:$J$117,"&gt;0")-SUMIFS(②釜工程入力!$M$5:$M$117,②釜工程入力!$S$5:$S$117,$J357,②釜工程入力!$J$5:$J$117,"&gt;0",②釜工程入力!$I$5:$I$117,"&gt;0")+SUMIFS(③スチコン工程入力!$M$5:$M$152,③スチコン工程入力!$S$5:$S$152,$J357,③スチコン工程入力!$J$5:$J$152,"&gt;0")-SUMIFS(③スチコン工程入力!$M$5:$M$152,③スチコン工程入力!$S$5:$S$152,$J357,③スチコン工程入力!$J$5:$J$152,"&gt;0",③スチコン工程入力!$I$5:$I$152,"&gt;0")+SUMIFS(⑪ZEN工程入力!$M$6:$M$35,⑪ZEN工程入力!$S$6:$S$35,$J357,⑪ZEN工程入力!$J$6:$J$35,"&gt;0")-SUMIFS(⑪ZEN工程入力!$M$6:$M$35,⑪ZEN工程入力!$S$6:$S$35,$J357,⑪ZEN工程入力!$J$6:$J$35,"&gt;0",⑪ZEN工程入力!$I$6:$I$35,"&gt;0")+SUMIFS(⑫ミキサー工程入力!$M$6:$M$65,⑫ミキサー工程入力!$S$6:$S$65,$J357,⑫ミキサー工程入力!$J$6:$J$65,"&gt;0")-SUMIFS(⑫ミキサー工程入力!$M$6:$M$65,⑫ミキサー工程入力!$S$6:$S$65,$J357,⑫ミキサー工程入力!$J$6:$J$65,"&gt;0",⑫ミキサー工程入力!$I$6:$I$65,"&gt;0")+SUMIFS(⑬計量工程入力!$M$6:$M$65,⑬計量工程入力!$S$6:$S$65,$J357,⑬計量工程入力!$J$6:$J$65,"&gt;0")-SUMIFS(⑬計量工程入力!$M$6:$M$65,⑬計量工程入力!$S$6:$S$65,$J357,⑬計量工程入力!$J$6:$J$65,"&gt;0",⑬計量工程入力!$I$6:$I$65,"&gt;0")+SUMIFS(⑭手動工程入力!$M$6:$M$47,⑭手動工程入力!$S$6:$S$47,$J357,⑭手動工程入力!$J$6:$J$47,"&gt;0")-SUMIFS(⑭手動工程入力!$M$6:$M$47,⑭手動工程入力!$S$6:$S$47,$J357,⑭手動工程入力!$J$6:$J$47,"&gt;0",⑭手動工程入力!$I$6:$I$47,"&gt;0"))</f>
        <v/>
      </c>
      <c r="O357" s="393">
        <f>IF($J357="",0,SUMIFS(②釜工程入力!$J$5:$J$117,②釜工程入力!$S$5:$S$117,$J357,②釜工程入力!$J$5:$J$117,"&gt;0",②釜工程入力!$M$5:$M$117,"&gt;0")-SUMIFS(②釜工程入力!$J$5:$J$117,②釜工程入力!$S$5:$S$117,$J357,②釜工程入力!$J$5:$J$117,"&gt;0",②釜工程入力!$I$5:$I$117,"&gt;0",②釜工程入力!$M$5:$M$117,"&gt;0")+SUMIFS(③スチコン工程入力!$J$5:$J$152,③スチコン工程入力!$S$5:$S$152,$J357,③スチコン工程入力!$J$5:$J$152,"&gt;0",③スチコン工程入力!$M$5:$M$152,"&gt;0")-SUMIFS(③スチコン工程入力!$J$5:$J$152,③スチコン工程入力!$S$5:$S$152,$J357,③スチコン工程入力!$J$5:$J$152,"&gt;0",③スチコン工程入力!$I$5:$I$152,"&gt;0",③スチコン工程入力!$M$5:$M$152,"&gt;0")+SUMIFS(⑪ZEN工程入力!$J$6:$J$35,⑪ZEN工程入力!$S$6:$S$35,$J357,⑪ZEN工程入力!$J$6:$J$35,"&gt;0",⑪ZEN工程入力!$M$6:$M$35,"&gt;0")-SUMIFS(⑪ZEN工程入力!$J$6:$J$35,⑪ZEN工程入力!$S$6:$S$35,$J357,⑪ZEN工程入力!$J$6:$J$35,"&gt;0",⑪ZEN工程入力!$I$6:$I$35,"&gt;0",⑪ZEN工程入力!$M$6:$M$35,"&gt;0")+SUMIFS(⑫ミキサー工程入力!$J$6:$J$65,⑫ミキサー工程入力!$S$6:$S$65,$J357,⑫ミキサー工程入力!$J$6:$J$65,"&gt;0",⑫ミキサー工程入力!$M$6:$M$65,"&gt;0")-SUMIFS(⑫ミキサー工程入力!$J$6:$J$65,⑫ミキサー工程入力!$S$6:$S$65,$J357,⑫ミキサー工程入力!$J$6:$J$65,"&gt;0",⑫ミキサー工程入力!$I$6:$I$65,"&gt;0",⑫ミキサー工程入力!$M$6:$M$65,"&gt;0")+SUMIFS(⑬計量工程入力!$J$6:$J$65,⑬計量工程入力!$S$6:$S$65,$J357,⑬計量工程入力!$J$6:$J$65,"&gt;0",⑬計量工程入力!$M$6:$M$65,"&gt;0")-SUMIFS(⑬計量工程入力!$J$6:$J$65,⑬計量工程入力!$S$6:$S$65,$J357,⑬計量工程入力!$J$6:$J$65,"&gt;0",⑬計量工程入力!$I$6:$I$65,"&gt;0",⑬計量工程入力!$M$6:$M$65,"&gt;0")+SUMIFS(⑭手動工程入力!$J$6:$J$47,⑭手動工程入力!$S$6:$S$47,$J357,⑭手動工程入力!$J$6:$J$47,"&gt;0",⑭手動工程入力!$M$6:$M$47,"&gt;0")-SUMIFS(⑭手動工程入力!$J$6:$J$47,⑭手動工程入力!$S$6:$S$47,$J357,⑭手動工程入力!$J$6:$J$47,"&gt;0",⑭手動工程入力!$I$6:$I$47,"&gt;0",⑭手動工程入力!$M$6:$M$47,"&gt;0"))</f>
        <v/>
      </c>
      <c r="P357" s="392" t="inlineStr">
        <is>
          <t>中間品リスト</t>
        </is>
      </c>
    </row>
    <row r="358">
      <c r="A358" s="392" t="n">
        <v>354</v>
      </c>
      <c r="B358" s="392" t="n"/>
      <c r="C358" s="392" t="n"/>
      <c r="D358" s="409" t="n"/>
      <c r="E358" s="392" t="n"/>
      <c r="F358" s="394" t="n"/>
      <c r="G358" s="392" t="n"/>
      <c r="H358" s="604">
        <f>IFERROR(IF(AND($K358&gt;0,ISNUMBER(IF(OR($D358="g",$D358="ｇ"),IF($M358&gt;0,$L358/$M358/1000,""),IF($D358="kg",IF($M358&gt;0,$L358/$M358,""),IF($D358="",IF($M358&gt;0,$L358/$M358/1000,IF($O358&gt;0,$N358/$O358,"")),IF($O358&gt;0,$N358/$O358,"")))))),IF(OR($D358="g",$D358="ｇ"),IF($M358&gt;0,$L358/$M358/1000,""),IF($D358="kg",IF($M358&gt;0,$L358/$M358,""),IF($D358="",IF($M358&gt;0,$L358/$M358/1000,IF($O358&gt;0,$N358/$O358,"")),IF($O358&gt;0,$N358/$O358,"")))),IF($F358="",IF(OR($E358="",$E358="⑩盛付梱包工程入力"),"",IF(OR($D358="g",$D358="ｇ"),INDEX(⑰工程労務費一覧!$N$5:$N$11,MATCH($E358,⑰工程労務費一覧!$K$5:$K$11,0))/1000,IF($D358="kg",INDEX(⑰工程労務費一覧!$N$5:$N$11,MATCH($E358,⑰工程労務費一覧!$K$5:$K$11,0)),IF(OR($D358="個",$D358="切",$D358="本",$D358="枚",$D358="尾"),IF($E358="⑬計量工程入力","",INDEX(⑰工程労務費一覧!$P$5:$P$11,MATCH($E358,⑰工程労務費一覧!$K$5:$K$11,0))),IF(AND($D358="",OR($E358="②釜工程入力",$E358="③スチコン工程入力")),INDEX(⑰工程労務費一覧!$N$5:$N$11,MATCH($E358,⑰工程労務費一覧!$K$5:$K$11,0))/1000,""))))),IF(OR($D358="g",$D358="ｇ"),INDEX(⑰工程労務費一覧!$H$5:$H$753,MATCH($F358,⑰工程労務費一覧!$D$5:$D$753,0))/1000,IF($D358="kg",INDEX(⑰工程労務費一覧!$H$5:$H$753,MATCH($F358,⑰工程労務費一覧!$D$5:$D$753,0)),INDEX(⑰工程労務費一覧!$I$5:$I$753,MATCH($F358,⑰工程労務費一覧!$D$5:$D$753,0)))))),"")</f>
        <v/>
      </c>
      <c r="I358" s="392">
        <f>IF($K358&gt;0,IF(ISNUMBER(IF(OR($D358="g",$D358="ｇ"),IF($M358&gt;0,$L358/$M358/1000,""),IF($D358="kg",IF($M358&gt;0,$L358/$M358,""),IF($D358="",IF($M358&gt;0,$L358/$M358/1000,IF($O358&gt;0,$N358/$O358,"")),IF($O358&gt;0,$N358/$O358,""))))),IF($D358="",IF($M358&gt;0,"◎ JAN紐づけ(g扱い)","◎ JAN紐づけ(個扱い)"),"◎ JAN紐づけ"),"△ JAN紐づけ済・実績不足→仮計算"),IF($F358="",IF(ISNUMBER($H358),IF($D358="","⑤ 工程平均で仮計算(g扱い)","⑤ 工程平均で仮計算"),IF($E358="⑩盛付梱包工程入力","⑥ 盛り込み(⑳F列で計上)",IF(AND($E358="⑬計量工程入力",OR($D358="個",$D358="切",$D358="本",$D358="枚",$D358="尾")),"① 未紐づけ(カット個単位は仮単価なし)","① 未紐づけ"))),IF(NOT(ISNUMBER($H358)),"② 工程側に単価なし",IF($D358="","③ 単位未設定(個で計算)","④ OK"))))</f>
        <v/>
      </c>
      <c r="J358" s="399">
        <f>IFERROR(LOOKUP(2,1/((中間品リスト!$F$2:$F$1299=$B358)*(中間品リスト!$E$2:$E$1299&lt;&gt;"-")*(中間品リスト!$E$2:$E$1299&lt;&gt;"")),中間品リスト!$E$2:$E$1299),"")</f>
        <v/>
      </c>
      <c r="K358" s="400">
        <f>IF($J358="",0,COUNTIF(②釜工程入力!$S$5:$S$117,$J358)+COUNTIF(③スチコン工程入力!$S$5:$S$152,$J358)+COUNTIF(⑪ZEN工程入力!$S$6:$S$35,$J358)+COUNTIF(⑫ミキサー工程入力!$S$6:$S$65,$J358)+COUNTIF(⑬計量工程入力!$S$6:$S$65,$J358)+COUNTIF(⑭手動工程入力!$S$6:$S$47,$J358))</f>
        <v/>
      </c>
      <c r="L358" s="393">
        <f>IF($J358="",0,SUMIFS(②釜工程入力!$M$5:$M$117,②釜工程入力!$S$5:$S$117,$J358,②釜工程入力!$I$5:$I$117,"&gt;0")+SUMIFS(③スチコン工程入力!$M$5:$M$152,③スチコン工程入力!$S$5:$S$152,$J358,③スチコン工程入力!$I$5:$I$152,"&gt;0")+SUMIFS(⑪ZEN工程入力!$M$6:$M$35,⑪ZEN工程入力!$S$6:$S$35,$J358,⑪ZEN工程入力!$I$6:$I$35,"&gt;0")+SUMIFS(⑫ミキサー工程入力!$M$6:$M$65,⑫ミキサー工程入力!$S$6:$S$65,$J358,⑫ミキサー工程入力!$I$6:$I$65,"&gt;0")+SUMIFS(⑬計量工程入力!$M$6:$M$65,⑬計量工程入力!$S$6:$S$65,$J358,⑬計量工程入力!$I$6:$I$65,"&gt;0")+SUMIFS(⑭手動工程入力!$M$6:$M$47,⑭手動工程入力!$S$6:$S$47,$J358,⑭手動工程入力!$I$6:$I$47,"&gt;0"))</f>
        <v/>
      </c>
      <c r="M358" s="393">
        <f>IF($J358="",0,SUMIFS(②釜工程入力!$I$5:$I$117,②釜工程入力!$S$5:$S$117,$J358,②釜工程入力!$I$5:$I$117,"&gt;0",②釜工程入力!$M$5:$M$117,"&gt;0")+SUMIFS(③スチコン工程入力!$I$5:$I$152,③スチコン工程入力!$S$5:$S$152,$J358,③スチコン工程入力!$I$5:$I$152,"&gt;0",③スチコン工程入力!$M$5:$M$152,"&gt;0")+SUMIFS(⑪ZEN工程入力!$I$6:$I$35,⑪ZEN工程入力!$S$6:$S$35,$J358,⑪ZEN工程入力!$I$6:$I$35,"&gt;0",⑪ZEN工程入力!$M$6:$M$35,"&gt;0")+SUMIFS(⑫ミキサー工程入力!$I$6:$I$65,⑫ミキサー工程入力!$S$6:$S$65,$J358,⑫ミキサー工程入力!$I$6:$I$65,"&gt;0",⑫ミキサー工程入力!$M$6:$M$65,"&gt;0")+SUMIFS(⑬計量工程入力!$I$6:$I$65,⑬計量工程入力!$S$6:$S$65,$J358,⑬計量工程入力!$I$6:$I$65,"&gt;0",⑬計量工程入力!$M$6:$M$65,"&gt;0")+SUMIFS(⑭手動工程入力!$I$6:$I$47,⑭手動工程入力!$S$6:$S$47,$J358,⑭手動工程入力!$I$6:$I$47,"&gt;0",⑭手動工程入力!$M$6:$M$47,"&gt;0"))</f>
        <v/>
      </c>
      <c r="N358" s="393">
        <f>IF($J358="",0,SUMIFS(②釜工程入力!$M$5:$M$117,②釜工程入力!$S$5:$S$117,$J358,②釜工程入力!$J$5:$J$117,"&gt;0")-SUMIFS(②釜工程入力!$M$5:$M$117,②釜工程入力!$S$5:$S$117,$J358,②釜工程入力!$J$5:$J$117,"&gt;0",②釜工程入力!$I$5:$I$117,"&gt;0")+SUMIFS(③スチコン工程入力!$M$5:$M$152,③スチコン工程入力!$S$5:$S$152,$J358,③スチコン工程入力!$J$5:$J$152,"&gt;0")-SUMIFS(③スチコン工程入力!$M$5:$M$152,③スチコン工程入力!$S$5:$S$152,$J358,③スチコン工程入力!$J$5:$J$152,"&gt;0",③スチコン工程入力!$I$5:$I$152,"&gt;0")+SUMIFS(⑪ZEN工程入力!$M$6:$M$35,⑪ZEN工程入力!$S$6:$S$35,$J358,⑪ZEN工程入力!$J$6:$J$35,"&gt;0")-SUMIFS(⑪ZEN工程入力!$M$6:$M$35,⑪ZEN工程入力!$S$6:$S$35,$J358,⑪ZEN工程入力!$J$6:$J$35,"&gt;0",⑪ZEN工程入力!$I$6:$I$35,"&gt;0")+SUMIFS(⑫ミキサー工程入力!$M$6:$M$65,⑫ミキサー工程入力!$S$6:$S$65,$J358,⑫ミキサー工程入力!$J$6:$J$65,"&gt;0")-SUMIFS(⑫ミキサー工程入力!$M$6:$M$65,⑫ミキサー工程入力!$S$6:$S$65,$J358,⑫ミキサー工程入力!$J$6:$J$65,"&gt;0",⑫ミキサー工程入力!$I$6:$I$65,"&gt;0")+SUMIFS(⑬計量工程入力!$M$6:$M$65,⑬計量工程入力!$S$6:$S$65,$J358,⑬計量工程入力!$J$6:$J$65,"&gt;0")-SUMIFS(⑬計量工程入力!$M$6:$M$65,⑬計量工程入力!$S$6:$S$65,$J358,⑬計量工程入力!$J$6:$J$65,"&gt;0",⑬計量工程入力!$I$6:$I$65,"&gt;0")+SUMIFS(⑭手動工程入力!$M$6:$M$47,⑭手動工程入力!$S$6:$S$47,$J358,⑭手動工程入力!$J$6:$J$47,"&gt;0")-SUMIFS(⑭手動工程入力!$M$6:$M$47,⑭手動工程入力!$S$6:$S$47,$J358,⑭手動工程入力!$J$6:$J$47,"&gt;0",⑭手動工程入力!$I$6:$I$47,"&gt;0"))</f>
        <v/>
      </c>
      <c r="O358" s="393">
        <f>IF($J358="",0,SUMIFS(②釜工程入力!$J$5:$J$117,②釜工程入力!$S$5:$S$117,$J358,②釜工程入力!$J$5:$J$117,"&gt;0",②釜工程入力!$M$5:$M$117,"&gt;0")-SUMIFS(②釜工程入力!$J$5:$J$117,②釜工程入力!$S$5:$S$117,$J358,②釜工程入力!$J$5:$J$117,"&gt;0",②釜工程入力!$I$5:$I$117,"&gt;0",②釜工程入力!$M$5:$M$117,"&gt;0")+SUMIFS(③スチコン工程入力!$J$5:$J$152,③スチコン工程入力!$S$5:$S$152,$J358,③スチコン工程入力!$J$5:$J$152,"&gt;0",③スチコン工程入力!$M$5:$M$152,"&gt;0")-SUMIFS(③スチコン工程入力!$J$5:$J$152,③スチコン工程入力!$S$5:$S$152,$J358,③スチコン工程入力!$J$5:$J$152,"&gt;0",③スチコン工程入力!$I$5:$I$152,"&gt;0",③スチコン工程入力!$M$5:$M$152,"&gt;0")+SUMIFS(⑪ZEN工程入力!$J$6:$J$35,⑪ZEN工程入力!$S$6:$S$35,$J358,⑪ZEN工程入力!$J$6:$J$35,"&gt;0",⑪ZEN工程入力!$M$6:$M$35,"&gt;0")-SUMIFS(⑪ZEN工程入力!$J$6:$J$35,⑪ZEN工程入力!$S$6:$S$35,$J358,⑪ZEN工程入力!$J$6:$J$35,"&gt;0",⑪ZEN工程入力!$I$6:$I$35,"&gt;0",⑪ZEN工程入力!$M$6:$M$35,"&gt;0")+SUMIFS(⑫ミキサー工程入力!$J$6:$J$65,⑫ミキサー工程入力!$S$6:$S$65,$J358,⑫ミキサー工程入力!$J$6:$J$65,"&gt;0",⑫ミキサー工程入力!$M$6:$M$65,"&gt;0")-SUMIFS(⑫ミキサー工程入力!$J$6:$J$65,⑫ミキサー工程入力!$S$6:$S$65,$J358,⑫ミキサー工程入力!$J$6:$J$65,"&gt;0",⑫ミキサー工程入力!$I$6:$I$65,"&gt;0",⑫ミキサー工程入力!$M$6:$M$65,"&gt;0")+SUMIFS(⑬計量工程入力!$J$6:$J$65,⑬計量工程入力!$S$6:$S$65,$J358,⑬計量工程入力!$J$6:$J$65,"&gt;0",⑬計量工程入力!$M$6:$M$65,"&gt;0")-SUMIFS(⑬計量工程入力!$J$6:$J$65,⑬計量工程入力!$S$6:$S$65,$J358,⑬計量工程入力!$J$6:$J$65,"&gt;0",⑬計量工程入力!$I$6:$I$65,"&gt;0",⑬計量工程入力!$M$6:$M$65,"&gt;0")+SUMIFS(⑭手動工程入力!$J$6:$J$47,⑭手動工程入力!$S$6:$S$47,$J358,⑭手動工程入力!$J$6:$J$47,"&gt;0",⑭手動工程入力!$M$6:$M$47,"&gt;0")-SUMIFS(⑭手動工程入力!$J$6:$J$47,⑭手動工程入力!$S$6:$S$47,$J358,⑭手動工程入力!$J$6:$J$47,"&gt;0",⑭手動工程入力!$I$6:$I$47,"&gt;0",⑭手動工程入力!$M$6:$M$47,"&gt;0"))</f>
        <v/>
      </c>
      <c r="P358" s="392" t="inlineStr">
        <is>
          <t>中間品リスト</t>
        </is>
      </c>
    </row>
    <row r="359">
      <c r="A359" s="392" t="n">
        <v>355</v>
      </c>
      <c r="B359" s="392" t="n"/>
      <c r="C359" s="392" t="n"/>
      <c r="D359" s="409" t="n"/>
      <c r="E359" s="392" t="n"/>
      <c r="F359" s="394" t="n"/>
      <c r="G359" s="392" t="n"/>
      <c r="H359" s="604">
        <f>IFERROR(IF(AND($K359&gt;0,ISNUMBER(IF(OR($D359="g",$D359="ｇ"),IF($M359&gt;0,$L359/$M359/1000,""),IF($D359="kg",IF($M359&gt;0,$L359/$M359,""),IF($D359="",IF($M359&gt;0,$L359/$M359/1000,IF($O359&gt;0,$N359/$O359,"")),IF($O359&gt;0,$N359/$O359,"")))))),IF(OR($D359="g",$D359="ｇ"),IF($M359&gt;0,$L359/$M359/1000,""),IF($D359="kg",IF($M359&gt;0,$L359/$M359,""),IF($D359="",IF($M359&gt;0,$L359/$M359/1000,IF($O359&gt;0,$N359/$O359,"")),IF($O359&gt;0,$N359/$O359,"")))),IF($F359="",IF(OR($E359="",$E359="⑩盛付梱包工程入力"),"",IF(OR($D359="g",$D359="ｇ"),INDEX(⑰工程労務費一覧!$N$5:$N$11,MATCH($E359,⑰工程労務費一覧!$K$5:$K$11,0))/1000,IF($D359="kg",INDEX(⑰工程労務費一覧!$N$5:$N$11,MATCH($E359,⑰工程労務費一覧!$K$5:$K$11,0)),IF(OR($D359="個",$D359="切",$D359="本",$D359="枚",$D359="尾"),IF($E359="⑬計量工程入力","",INDEX(⑰工程労務費一覧!$P$5:$P$11,MATCH($E359,⑰工程労務費一覧!$K$5:$K$11,0))),IF(AND($D359="",OR($E359="②釜工程入力",$E359="③スチコン工程入力")),INDEX(⑰工程労務費一覧!$N$5:$N$11,MATCH($E359,⑰工程労務費一覧!$K$5:$K$11,0))/1000,""))))),IF(OR($D359="g",$D359="ｇ"),INDEX(⑰工程労務費一覧!$H$5:$H$753,MATCH($F359,⑰工程労務費一覧!$D$5:$D$753,0))/1000,IF($D359="kg",INDEX(⑰工程労務費一覧!$H$5:$H$753,MATCH($F359,⑰工程労務費一覧!$D$5:$D$753,0)),INDEX(⑰工程労務費一覧!$I$5:$I$753,MATCH($F359,⑰工程労務費一覧!$D$5:$D$753,0)))))),"")</f>
        <v/>
      </c>
      <c r="I359" s="392">
        <f>IF($K359&gt;0,IF(ISNUMBER(IF(OR($D359="g",$D359="ｇ"),IF($M359&gt;0,$L359/$M359/1000,""),IF($D359="kg",IF($M359&gt;0,$L359/$M359,""),IF($D359="",IF($M359&gt;0,$L359/$M359/1000,IF($O359&gt;0,$N359/$O359,"")),IF($O359&gt;0,$N359/$O359,""))))),IF($D359="",IF($M359&gt;0,"◎ JAN紐づけ(g扱い)","◎ JAN紐づけ(個扱い)"),"◎ JAN紐づけ"),"△ JAN紐づけ済・実績不足→仮計算"),IF($F359="",IF(ISNUMBER($H359),IF($D359="","⑤ 工程平均で仮計算(g扱い)","⑤ 工程平均で仮計算"),IF($E359="⑩盛付梱包工程入力","⑥ 盛り込み(⑳F列で計上)",IF(AND($E359="⑬計量工程入力",OR($D359="個",$D359="切",$D359="本",$D359="枚",$D359="尾")),"① 未紐づけ(カット個単位は仮単価なし)","① 未紐づけ"))),IF(NOT(ISNUMBER($H359)),"② 工程側に単価なし",IF($D359="","③ 単位未設定(個で計算)","④ OK"))))</f>
        <v/>
      </c>
      <c r="J359" s="399">
        <f>IFERROR(LOOKUP(2,1/((中間品リスト!$F$2:$F$1299=$B359)*(中間品リスト!$E$2:$E$1299&lt;&gt;"-")*(中間品リスト!$E$2:$E$1299&lt;&gt;"")),中間品リスト!$E$2:$E$1299),"")</f>
        <v/>
      </c>
      <c r="K359" s="400">
        <f>IF($J359="",0,COUNTIF(②釜工程入力!$S$5:$S$117,$J359)+COUNTIF(③スチコン工程入力!$S$5:$S$152,$J359)+COUNTIF(⑪ZEN工程入力!$S$6:$S$35,$J359)+COUNTIF(⑫ミキサー工程入力!$S$6:$S$65,$J359)+COUNTIF(⑬計量工程入力!$S$6:$S$65,$J359)+COUNTIF(⑭手動工程入力!$S$6:$S$47,$J359))</f>
        <v/>
      </c>
      <c r="L359" s="393">
        <f>IF($J359="",0,SUMIFS(②釜工程入力!$M$5:$M$117,②釜工程入力!$S$5:$S$117,$J359,②釜工程入力!$I$5:$I$117,"&gt;0")+SUMIFS(③スチコン工程入力!$M$5:$M$152,③スチコン工程入力!$S$5:$S$152,$J359,③スチコン工程入力!$I$5:$I$152,"&gt;0")+SUMIFS(⑪ZEN工程入力!$M$6:$M$35,⑪ZEN工程入力!$S$6:$S$35,$J359,⑪ZEN工程入力!$I$6:$I$35,"&gt;0")+SUMIFS(⑫ミキサー工程入力!$M$6:$M$65,⑫ミキサー工程入力!$S$6:$S$65,$J359,⑫ミキサー工程入力!$I$6:$I$65,"&gt;0")+SUMIFS(⑬計量工程入力!$M$6:$M$65,⑬計量工程入力!$S$6:$S$65,$J359,⑬計量工程入力!$I$6:$I$65,"&gt;0")+SUMIFS(⑭手動工程入力!$M$6:$M$47,⑭手動工程入力!$S$6:$S$47,$J359,⑭手動工程入力!$I$6:$I$47,"&gt;0"))</f>
        <v/>
      </c>
      <c r="M359" s="393">
        <f>IF($J359="",0,SUMIFS(②釜工程入力!$I$5:$I$117,②釜工程入力!$S$5:$S$117,$J359,②釜工程入力!$I$5:$I$117,"&gt;0",②釜工程入力!$M$5:$M$117,"&gt;0")+SUMIFS(③スチコン工程入力!$I$5:$I$152,③スチコン工程入力!$S$5:$S$152,$J359,③スチコン工程入力!$I$5:$I$152,"&gt;0",③スチコン工程入力!$M$5:$M$152,"&gt;0")+SUMIFS(⑪ZEN工程入力!$I$6:$I$35,⑪ZEN工程入力!$S$6:$S$35,$J359,⑪ZEN工程入力!$I$6:$I$35,"&gt;0",⑪ZEN工程入力!$M$6:$M$35,"&gt;0")+SUMIFS(⑫ミキサー工程入力!$I$6:$I$65,⑫ミキサー工程入力!$S$6:$S$65,$J359,⑫ミキサー工程入力!$I$6:$I$65,"&gt;0",⑫ミキサー工程入力!$M$6:$M$65,"&gt;0")+SUMIFS(⑬計量工程入力!$I$6:$I$65,⑬計量工程入力!$S$6:$S$65,$J359,⑬計量工程入力!$I$6:$I$65,"&gt;0",⑬計量工程入力!$M$6:$M$65,"&gt;0")+SUMIFS(⑭手動工程入力!$I$6:$I$47,⑭手動工程入力!$S$6:$S$47,$J359,⑭手動工程入力!$I$6:$I$47,"&gt;0",⑭手動工程入力!$M$6:$M$47,"&gt;0"))</f>
        <v/>
      </c>
      <c r="N359" s="393">
        <f>IF($J359="",0,SUMIFS(②釜工程入力!$M$5:$M$117,②釜工程入力!$S$5:$S$117,$J359,②釜工程入力!$J$5:$J$117,"&gt;0")-SUMIFS(②釜工程入力!$M$5:$M$117,②釜工程入力!$S$5:$S$117,$J359,②釜工程入力!$J$5:$J$117,"&gt;0",②釜工程入力!$I$5:$I$117,"&gt;0")+SUMIFS(③スチコン工程入力!$M$5:$M$152,③スチコン工程入力!$S$5:$S$152,$J359,③スチコン工程入力!$J$5:$J$152,"&gt;0")-SUMIFS(③スチコン工程入力!$M$5:$M$152,③スチコン工程入力!$S$5:$S$152,$J359,③スチコン工程入力!$J$5:$J$152,"&gt;0",③スチコン工程入力!$I$5:$I$152,"&gt;0")+SUMIFS(⑪ZEN工程入力!$M$6:$M$35,⑪ZEN工程入力!$S$6:$S$35,$J359,⑪ZEN工程入力!$J$6:$J$35,"&gt;0")-SUMIFS(⑪ZEN工程入力!$M$6:$M$35,⑪ZEN工程入力!$S$6:$S$35,$J359,⑪ZEN工程入力!$J$6:$J$35,"&gt;0",⑪ZEN工程入力!$I$6:$I$35,"&gt;0")+SUMIFS(⑫ミキサー工程入力!$M$6:$M$65,⑫ミキサー工程入力!$S$6:$S$65,$J359,⑫ミキサー工程入力!$J$6:$J$65,"&gt;0")-SUMIFS(⑫ミキサー工程入力!$M$6:$M$65,⑫ミキサー工程入力!$S$6:$S$65,$J359,⑫ミキサー工程入力!$J$6:$J$65,"&gt;0",⑫ミキサー工程入力!$I$6:$I$65,"&gt;0")+SUMIFS(⑬計量工程入力!$M$6:$M$65,⑬計量工程入力!$S$6:$S$65,$J359,⑬計量工程入力!$J$6:$J$65,"&gt;0")-SUMIFS(⑬計量工程入力!$M$6:$M$65,⑬計量工程入力!$S$6:$S$65,$J359,⑬計量工程入力!$J$6:$J$65,"&gt;0",⑬計量工程入力!$I$6:$I$65,"&gt;0")+SUMIFS(⑭手動工程入力!$M$6:$M$47,⑭手動工程入力!$S$6:$S$47,$J359,⑭手動工程入力!$J$6:$J$47,"&gt;0")-SUMIFS(⑭手動工程入力!$M$6:$M$47,⑭手動工程入力!$S$6:$S$47,$J359,⑭手動工程入力!$J$6:$J$47,"&gt;0",⑭手動工程入力!$I$6:$I$47,"&gt;0"))</f>
        <v/>
      </c>
      <c r="O359" s="393">
        <f>IF($J359="",0,SUMIFS(②釜工程入力!$J$5:$J$117,②釜工程入力!$S$5:$S$117,$J359,②釜工程入力!$J$5:$J$117,"&gt;0",②釜工程入力!$M$5:$M$117,"&gt;0")-SUMIFS(②釜工程入力!$J$5:$J$117,②釜工程入力!$S$5:$S$117,$J359,②釜工程入力!$J$5:$J$117,"&gt;0",②釜工程入力!$I$5:$I$117,"&gt;0",②釜工程入力!$M$5:$M$117,"&gt;0")+SUMIFS(③スチコン工程入力!$J$5:$J$152,③スチコン工程入力!$S$5:$S$152,$J359,③スチコン工程入力!$J$5:$J$152,"&gt;0",③スチコン工程入力!$M$5:$M$152,"&gt;0")-SUMIFS(③スチコン工程入力!$J$5:$J$152,③スチコン工程入力!$S$5:$S$152,$J359,③スチコン工程入力!$J$5:$J$152,"&gt;0",③スチコン工程入力!$I$5:$I$152,"&gt;0",③スチコン工程入力!$M$5:$M$152,"&gt;0")+SUMIFS(⑪ZEN工程入力!$J$6:$J$35,⑪ZEN工程入力!$S$6:$S$35,$J359,⑪ZEN工程入力!$J$6:$J$35,"&gt;0",⑪ZEN工程入力!$M$6:$M$35,"&gt;0")-SUMIFS(⑪ZEN工程入力!$J$6:$J$35,⑪ZEN工程入力!$S$6:$S$35,$J359,⑪ZEN工程入力!$J$6:$J$35,"&gt;0",⑪ZEN工程入力!$I$6:$I$35,"&gt;0",⑪ZEN工程入力!$M$6:$M$35,"&gt;0")+SUMIFS(⑫ミキサー工程入力!$J$6:$J$65,⑫ミキサー工程入力!$S$6:$S$65,$J359,⑫ミキサー工程入力!$J$6:$J$65,"&gt;0",⑫ミキサー工程入力!$M$6:$M$65,"&gt;0")-SUMIFS(⑫ミキサー工程入力!$J$6:$J$65,⑫ミキサー工程入力!$S$6:$S$65,$J359,⑫ミキサー工程入力!$J$6:$J$65,"&gt;0",⑫ミキサー工程入力!$I$6:$I$65,"&gt;0",⑫ミキサー工程入力!$M$6:$M$65,"&gt;0")+SUMIFS(⑬計量工程入力!$J$6:$J$65,⑬計量工程入力!$S$6:$S$65,$J359,⑬計量工程入力!$J$6:$J$65,"&gt;0",⑬計量工程入力!$M$6:$M$65,"&gt;0")-SUMIFS(⑬計量工程入力!$J$6:$J$65,⑬計量工程入力!$S$6:$S$65,$J359,⑬計量工程入力!$J$6:$J$65,"&gt;0",⑬計量工程入力!$I$6:$I$65,"&gt;0",⑬計量工程入力!$M$6:$M$65,"&gt;0")+SUMIFS(⑭手動工程入力!$J$6:$J$47,⑭手動工程入力!$S$6:$S$47,$J359,⑭手動工程入力!$J$6:$J$47,"&gt;0",⑭手動工程入力!$M$6:$M$47,"&gt;0")-SUMIFS(⑭手動工程入力!$J$6:$J$47,⑭手動工程入力!$S$6:$S$47,$J359,⑭手動工程入力!$J$6:$J$47,"&gt;0",⑭手動工程入力!$I$6:$I$47,"&gt;0",⑭手動工程入力!$M$6:$M$47,"&gt;0"))</f>
        <v/>
      </c>
      <c r="P359" s="392" t="inlineStr">
        <is>
          <t>中間品リスト</t>
        </is>
      </c>
    </row>
    <row r="360">
      <c r="A360" s="392" t="n">
        <v>356</v>
      </c>
      <c r="B360" s="392" t="n"/>
      <c r="C360" s="392" t="n"/>
      <c r="D360" s="409" t="n"/>
      <c r="E360" s="392" t="n"/>
      <c r="F360" s="394" t="n"/>
      <c r="G360" s="392" t="n"/>
      <c r="H360" s="604">
        <f>IFERROR(IF(AND($K360&gt;0,ISNUMBER(IF(OR($D360="g",$D360="ｇ"),IF($M360&gt;0,$L360/$M360/1000,""),IF($D360="kg",IF($M360&gt;0,$L360/$M360,""),IF($D360="",IF($M360&gt;0,$L360/$M360/1000,IF($O360&gt;0,$N360/$O360,"")),IF($O360&gt;0,$N360/$O360,"")))))),IF(OR($D360="g",$D360="ｇ"),IF($M360&gt;0,$L360/$M360/1000,""),IF($D360="kg",IF($M360&gt;0,$L360/$M360,""),IF($D360="",IF($M360&gt;0,$L360/$M360/1000,IF($O360&gt;0,$N360/$O360,"")),IF($O360&gt;0,$N360/$O360,"")))),IF($F360="",IF(OR($E360="",$E360="⑩盛付梱包工程入力"),"",IF(OR($D360="g",$D360="ｇ"),INDEX(⑰工程労務費一覧!$N$5:$N$11,MATCH($E360,⑰工程労務費一覧!$K$5:$K$11,0))/1000,IF($D360="kg",INDEX(⑰工程労務費一覧!$N$5:$N$11,MATCH($E360,⑰工程労務費一覧!$K$5:$K$11,0)),IF(OR($D360="個",$D360="切",$D360="本",$D360="枚",$D360="尾"),IF($E360="⑬計量工程入力","",INDEX(⑰工程労務費一覧!$P$5:$P$11,MATCH($E360,⑰工程労務費一覧!$K$5:$K$11,0))),IF(AND($D360="",OR($E360="②釜工程入力",$E360="③スチコン工程入力")),INDEX(⑰工程労務費一覧!$N$5:$N$11,MATCH($E360,⑰工程労務費一覧!$K$5:$K$11,0))/1000,""))))),IF(OR($D360="g",$D360="ｇ"),INDEX(⑰工程労務費一覧!$H$5:$H$753,MATCH($F360,⑰工程労務費一覧!$D$5:$D$753,0))/1000,IF($D360="kg",INDEX(⑰工程労務費一覧!$H$5:$H$753,MATCH($F360,⑰工程労務費一覧!$D$5:$D$753,0)),INDEX(⑰工程労務費一覧!$I$5:$I$753,MATCH($F360,⑰工程労務費一覧!$D$5:$D$753,0)))))),"")</f>
        <v/>
      </c>
      <c r="I360" s="392">
        <f>IF($K360&gt;0,IF(ISNUMBER(IF(OR($D360="g",$D360="ｇ"),IF($M360&gt;0,$L360/$M360/1000,""),IF($D360="kg",IF($M360&gt;0,$L360/$M360,""),IF($D360="",IF($M360&gt;0,$L360/$M360/1000,IF($O360&gt;0,$N360/$O360,"")),IF($O360&gt;0,$N360/$O360,""))))),IF($D360="",IF($M360&gt;0,"◎ JAN紐づけ(g扱い)","◎ JAN紐づけ(個扱い)"),"◎ JAN紐づけ"),"△ JAN紐づけ済・実績不足→仮計算"),IF($F360="",IF(ISNUMBER($H360),IF($D360="","⑤ 工程平均で仮計算(g扱い)","⑤ 工程平均で仮計算"),IF($E360="⑩盛付梱包工程入力","⑥ 盛り込み(⑳F列で計上)",IF(AND($E360="⑬計量工程入力",OR($D360="個",$D360="切",$D360="本",$D360="枚",$D360="尾")),"① 未紐づけ(カット個単位は仮単価なし)","① 未紐づけ"))),IF(NOT(ISNUMBER($H360)),"② 工程側に単価なし",IF($D360="","③ 単位未設定(個で計算)","④ OK"))))</f>
        <v/>
      </c>
      <c r="J360" s="399">
        <f>IFERROR(LOOKUP(2,1/((中間品リスト!$F$2:$F$1299=$B360)*(中間品リスト!$E$2:$E$1299&lt;&gt;"-")*(中間品リスト!$E$2:$E$1299&lt;&gt;"")),中間品リスト!$E$2:$E$1299),"")</f>
        <v/>
      </c>
      <c r="K360" s="400">
        <f>IF($J360="",0,COUNTIF(②釜工程入力!$S$5:$S$117,$J360)+COUNTIF(③スチコン工程入力!$S$5:$S$152,$J360)+COUNTIF(⑪ZEN工程入力!$S$6:$S$35,$J360)+COUNTIF(⑫ミキサー工程入力!$S$6:$S$65,$J360)+COUNTIF(⑬計量工程入力!$S$6:$S$65,$J360)+COUNTIF(⑭手動工程入力!$S$6:$S$47,$J360))</f>
        <v/>
      </c>
      <c r="L360" s="393">
        <f>IF($J360="",0,SUMIFS(②釜工程入力!$M$5:$M$117,②釜工程入力!$S$5:$S$117,$J360,②釜工程入力!$I$5:$I$117,"&gt;0")+SUMIFS(③スチコン工程入力!$M$5:$M$152,③スチコン工程入力!$S$5:$S$152,$J360,③スチコン工程入力!$I$5:$I$152,"&gt;0")+SUMIFS(⑪ZEN工程入力!$M$6:$M$35,⑪ZEN工程入力!$S$6:$S$35,$J360,⑪ZEN工程入力!$I$6:$I$35,"&gt;0")+SUMIFS(⑫ミキサー工程入力!$M$6:$M$65,⑫ミキサー工程入力!$S$6:$S$65,$J360,⑫ミキサー工程入力!$I$6:$I$65,"&gt;0")+SUMIFS(⑬計量工程入力!$M$6:$M$65,⑬計量工程入力!$S$6:$S$65,$J360,⑬計量工程入力!$I$6:$I$65,"&gt;0")+SUMIFS(⑭手動工程入力!$M$6:$M$47,⑭手動工程入力!$S$6:$S$47,$J360,⑭手動工程入力!$I$6:$I$47,"&gt;0"))</f>
        <v/>
      </c>
      <c r="M360" s="393">
        <f>IF($J360="",0,SUMIFS(②釜工程入力!$I$5:$I$117,②釜工程入力!$S$5:$S$117,$J360,②釜工程入力!$I$5:$I$117,"&gt;0",②釜工程入力!$M$5:$M$117,"&gt;0")+SUMIFS(③スチコン工程入力!$I$5:$I$152,③スチコン工程入力!$S$5:$S$152,$J360,③スチコン工程入力!$I$5:$I$152,"&gt;0",③スチコン工程入力!$M$5:$M$152,"&gt;0")+SUMIFS(⑪ZEN工程入力!$I$6:$I$35,⑪ZEN工程入力!$S$6:$S$35,$J360,⑪ZEN工程入力!$I$6:$I$35,"&gt;0",⑪ZEN工程入力!$M$6:$M$35,"&gt;0")+SUMIFS(⑫ミキサー工程入力!$I$6:$I$65,⑫ミキサー工程入力!$S$6:$S$65,$J360,⑫ミキサー工程入力!$I$6:$I$65,"&gt;0",⑫ミキサー工程入力!$M$6:$M$65,"&gt;0")+SUMIFS(⑬計量工程入力!$I$6:$I$65,⑬計量工程入力!$S$6:$S$65,$J360,⑬計量工程入力!$I$6:$I$65,"&gt;0",⑬計量工程入力!$M$6:$M$65,"&gt;0")+SUMIFS(⑭手動工程入力!$I$6:$I$47,⑭手動工程入力!$S$6:$S$47,$J360,⑭手動工程入力!$I$6:$I$47,"&gt;0",⑭手動工程入力!$M$6:$M$47,"&gt;0"))</f>
        <v/>
      </c>
      <c r="N360" s="393">
        <f>IF($J360="",0,SUMIFS(②釜工程入力!$M$5:$M$117,②釜工程入力!$S$5:$S$117,$J360,②釜工程入力!$J$5:$J$117,"&gt;0")-SUMIFS(②釜工程入力!$M$5:$M$117,②釜工程入力!$S$5:$S$117,$J360,②釜工程入力!$J$5:$J$117,"&gt;0",②釜工程入力!$I$5:$I$117,"&gt;0")+SUMIFS(③スチコン工程入力!$M$5:$M$152,③スチコン工程入力!$S$5:$S$152,$J360,③スチコン工程入力!$J$5:$J$152,"&gt;0")-SUMIFS(③スチコン工程入力!$M$5:$M$152,③スチコン工程入力!$S$5:$S$152,$J360,③スチコン工程入力!$J$5:$J$152,"&gt;0",③スチコン工程入力!$I$5:$I$152,"&gt;0")+SUMIFS(⑪ZEN工程入力!$M$6:$M$35,⑪ZEN工程入力!$S$6:$S$35,$J360,⑪ZEN工程入力!$J$6:$J$35,"&gt;0")-SUMIFS(⑪ZEN工程入力!$M$6:$M$35,⑪ZEN工程入力!$S$6:$S$35,$J360,⑪ZEN工程入力!$J$6:$J$35,"&gt;0",⑪ZEN工程入力!$I$6:$I$35,"&gt;0")+SUMIFS(⑫ミキサー工程入力!$M$6:$M$65,⑫ミキサー工程入力!$S$6:$S$65,$J360,⑫ミキサー工程入力!$J$6:$J$65,"&gt;0")-SUMIFS(⑫ミキサー工程入力!$M$6:$M$65,⑫ミキサー工程入力!$S$6:$S$65,$J360,⑫ミキサー工程入力!$J$6:$J$65,"&gt;0",⑫ミキサー工程入力!$I$6:$I$65,"&gt;0")+SUMIFS(⑬計量工程入力!$M$6:$M$65,⑬計量工程入力!$S$6:$S$65,$J360,⑬計量工程入力!$J$6:$J$65,"&gt;0")-SUMIFS(⑬計量工程入力!$M$6:$M$65,⑬計量工程入力!$S$6:$S$65,$J360,⑬計量工程入力!$J$6:$J$65,"&gt;0",⑬計量工程入力!$I$6:$I$65,"&gt;0")+SUMIFS(⑭手動工程入力!$M$6:$M$47,⑭手動工程入力!$S$6:$S$47,$J360,⑭手動工程入力!$J$6:$J$47,"&gt;0")-SUMIFS(⑭手動工程入力!$M$6:$M$47,⑭手動工程入力!$S$6:$S$47,$J360,⑭手動工程入力!$J$6:$J$47,"&gt;0",⑭手動工程入力!$I$6:$I$47,"&gt;0"))</f>
        <v/>
      </c>
      <c r="O360" s="393">
        <f>IF($J360="",0,SUMIFS(②釜工程入力!$J$5:$J$117,②釜工程入力!$S$5:$S$117,$J360,②釜工程入力!$J$5:$J$117,"&gt;0",②釜工程入力!$M$5:$M$117,"&gt;0")-SUMIFS(②釜工程入力!$J$5:$J$117,②釜工程入力!$S$5:$S$117,$J360,②釜工程入力!$J$5:$J$117,"&gt;0",②釜工程入力!$I$5:$I$117,"&gt;0",②釜工程入力!$M$5:$M$117,"&gt;0")+SUMIFS(③スチコン工程入力!$J$5:$J$152,③スチコン工程入力!$S$5:$S$152,$J360,③スチコン工程入力!$J$5:$J$152,"&gt;0",③スチコン工程入力!$M$5:$M$152,"&gt;0")-SUMIFS(③スチコン工程入力!$J$5:$J$152,③スチコン工程入力!$S$5:$S$152,$J360,③スチコン工程入力!$J$5:$J$152,"&gt;0",③スチコン工程入力!$I$5:$I$152,"&gt;0",③スチコン工程入力!$M$5:$M$152,"&gt;0")+SUMIFS(⑪ZEN工程入力!$J$6:$J$35,⑪ZEN工程入力!$S$6:$S$35,$J360,⑪ZEN工程入力!$J$6:$J$35,"&gt;0",⑪ZEN工程入力!$M$6:$M$35,"&gt;0")-SUMIFS(⑪ZEN工程入力!$J$6:$J$35,⑪ZEN工程入力!$S$6:$S$35,$J360,⑪ZEN工程入力!$J$6:$J$35,"&gt;0",⑪ZEN工程入力!$I$6:$I$35,"&gt;0",⑪ZEN工程入力!$M$6:$M$35,"&gt;0")+SUMIFS(⑫ミキサー工程入力!$J$6:$J$65,⑫ミキサー工程入力!$S$6:$S$65,$J360,⑫ミキサー工程入力!$J$6:$J$65,"&gt;0",⑫ミキサー工程入力!$M$6:$M$65,"&gt;0")-SUMIFS(⑫ミキサー工程入力!$J$6:$J$65,⑫ミキサー工程入力!$S$6:$S$65,$J360,⑫ミキサー工程入力!$J$6:$J$65,"&gt;0",⑫ミキサー工程入力!$I$6:$I$65,"&gt;0",⑫ミキサー工程入力!$M$6:$M$65,"&gt;0")+SUMIFS(⑬計量工程入力!$J$6:$J$65,⑬計量工程入力!$S$6:$S$65,$J360,⑬計量工程入力!$J$6:$J$65,"&gt;0",⑬計量工程入力!$M$6:$M$65,"&gt;0")-SUMIFS(⑬計量工程入力!$J$6:$J$65,⑬計量工程入力!$S$6:$S$65,$J360,⑬計量工程入力!$J$6:$J$65,"&gt;0",⑬計量工程入力!$I$6:$I$65,"&gt;0",⑬計量工程入力!$M$6:$M$65,"&gt;0")+SUMIFS(⑭手動工程入力!$J$6:$J$47,⑭手動工程入力!$S$6:$S$47,$J360,⑭手動工程入力!$J$6:$J$47,"&gt;0",⑭手動工程入力!$M$6:$M$47,"&gt;0")-SUMIFS(⑭手動工程入力!$J$6:$J$47,⑭手動工程入力!$S$6:$S$47,$J360,⑭手動工程入力!$J$6:$J$47,"&gt;0",⑭手動工程入力!$I$6:$I$47,"&gt;0",⑭手動工程入力!$M$6:$M$47,"&gt;0"))</f>
        <v/>
      </c>
      <c r="P360" s="392" t="inlineStr">
        <is>
          <t>中間品リスト</t>
        </is>
      </c>
    </row>
    <row r="361">
      <c r="A361" s="392" t="n">
        <v>357</v>
      </c>
      <c r="B361" s="392" t="n"/>
      <c r="C361" s="392" t="n"/>
      <c r="D361" s="409" t="n"/>
      <c r="E361" s="392" t="n"/>
      <c r="F361" s="394" t="n"/>
      <c r="G361" s="392" t="n"/>
      <c r="H361" s="604">
        <f>IFERROR(IF(AND($K361&gt;0,ISNUMBER(IF(OR($D361="g",$D361="ｇ"),IF($M361&gt;0,$L361/$M361/1000,""),IF($D361="kg",IF($M361&gt;0,$L361/$M361,""),IF($D361="",IF($M361&gt;0,$L361/$M361/1000,IF($O361&gt;0,$N361/$O361,"")),IF($O361&gt;0,$N361/$O361,"")))))),IF(OR($D361="g",$D361="ｇ"),IF($M361&gt;0,$L361/$M361/1000,""),IF($D361="kg",IF($M361&gt;0,$L361/$M361,""),IF($D361="",IF($M361&gt;0,$L361/$M361/1000,IF($O361&gt;0,$N361/$O361,"")),IF($O361&gt;0,$N361/$O361,"")))),IF($F361="",IF(OR($E361="",$E361="⑩盛付梱包工程入力"),"",IF(OR($D361="g",$D361="ｇ"),INDEX(⑰工程労務費一覧!$N$5:$N$11,MATCH($E361,⑰工程労務費一覧!$K$5:$K$11,0))/1000,IF($D361="kg",INDEX(⑰工程労務費一覧!$N$5:$N$11,MATCH($E361,⑰工程労務費一覧!$K$5:$K$11,0)),IF(OR($D361="個",$D361="切",$D361="本",$D361="枚",$D361="尾"),IF($E361="⑬計量工程入力","",INDEX(⑰工程労務費一覧!$P$5:$P$11,MATCH($E361,⑰工程労務費一覧!$K$5:$K$11,0))),IF(AND($D361="",OR($E361="②釜工程入力",$E361="③スチコン工程入力")),INDEX(⑰工程労務費一覧!$N$5:$N$11,MATCH($E361,⑰工程労務費一覧!$K$5:$K$11,0))/1000,""))))),IF(OR($D361="g",$D361="ｇ"),INDEX(⑰工程労務費一覧!$H$5:$H$753,MATCH($F361,⑰工程労務費一覧!$D$5:$D$753,0))/1000,IF($D361="kg",INDEX(⑰工程労務費一覧!$H$5:$H$753,MATCH($F361,⑰工程労務費一覧!$D$5:$D$753,0)),INDEX(⑰工程労務費一覧!$I$5:$I$753,MATCH($F361,⑰工程労務費一覧!$D$5:$D$753,0)))))),"")</f>
        <v/>
      </c>
      <c r="I361" s="392">
        <f>IF($K361&gt;0,IF(ISNUMBER(IF(OR($D361="g",$D361="ｇ"),IF($M361&gt;0,$L361/$M361/1000,""),IF($D361="kg",IF($M361&gt;0,$L361/$M361,""),IF($D361="",IF($M361&gt;0,$L361/$M361/1000,IF($O361&gt;0,$N361/$O361,"")),IF($O361&gt;0,$N361/$O361,""))))),IF($D361="",IF($M361&gt;0,"◎ JAN紐づけ(g扱い)","◎ JAN紐づけ(個扱い)"),"◎ JAN紐づけ"),"△ JAN紐づけ済・実績不足→仮計算"),IF($F361="",IF(ISNUMBER($H361),IF($D361="","⑤ 工程平均で仮計算(g扱い)","⑤ 工程平均で仮計算"),IF($E361="⑩盛付梱包工程入力","⑥ 盛り込み(⑳F列で計上)",IF(AND($E361="⑬計量工程入力",OR($D361="個",$D361="切",$D361="本",$D361="枚",$D361="尾")),"① 未紐づけ(カット個単位は仮単価なし)","① 未紐づけ"))),IF(NOT(ISNUMBER($H361)),"② 工程側に単価なし",IF($D361="","③ 単位未設定(個で計算)","④ OK"))))</f>
        <v/>
      </c>
      <c r="J361" s="399">
        <f>IFERROR(LOOKUP(2,1/((中間品リスト!$F$2:$F$1299=$B361)*(中間品リスト!$E$2:$E$1299&lt;&gt;"-")*(中間品リスト!$E$2:$E$1299&lt;&gt;"")),中間品リスト!$E$2:$E$1299),"")</f>
        <v/>
      </c>
      <c r="K361" s="400">
        <f>IF($J361="",0,COUNTIF(②釜工程入力!$S$5:$S$117,$J361)+COUNTIF(③スチコン工程入力!$S$5:$S$152,$J361)+COUNTIF(⑪ZEN工程入力!$S$6:$S$35,$J361)+COUNTIF(⑫ミキサー工程入力!$S$6:$S$65,$J361)+COUNTIF(⑬計量工程入力!$S$6:$S$65,$J361)+COUNTIF(⑭手動工程入力!$S$6:$S$47,$J361))</f>
        <v/>
      </c>
      <c r="L361" s="393">
        <f>IF($J361="",0,SUMIFS(②釜工程入力!$M$5:$M$117,②釜工程入力!$S$5:$S$117,$J361,②釜工程入力!$I$5:$I$117,"&gt;0")+SUMIFS(③スチコン工程入力!$M$5:$M$152,③スチコン工程入力!$S$5:$S$152,$J361,③スチコン工程入力!$I$5:$I$152,"&gt;0")+SUMIFS(⑪ZEN工程入力!$M$6:$M$35,⑪ZEN工程入力!$S$6:$S$35,$J361,⑪ZEN工程入力!$I$6:$I$35,"&gt;0")+SUMIFS(⑫ミキサー工程入力!$M$6:$M$65,⑫ミキサー工程入力!$S$6:$S$65,$J361,⑫ミキサー工程入力!$I$6:$I$65,"&gt;0")+SUMIFS(⑬計量工程入力!$M$6:$M$65,⑬計量工程入力!$S$6:$S$65,$J361,⑬計量工程入力!$I$6:$I$65,"&gt;0")+SUMIFS(⑭手動工程入力!$M$6:$M$47,⑭手動工程入力!$S$6:$S$47,$J361,⑭手動工程入力!$I$6:$I$47,"&gt;0"))</f>
        <v/>
      </c>
      <c r="M361" s="393">
        <f>IF($J361="",0,SUMIFS(②釜工程入力!$I$5:$I$117,②釜工程入力!$S$5:$S$117,$J361,②釜工程入力!$I$5:$I$117,"&gt;0",②釜工程入力!$M$5:$M$117,"&gt;0")+SUMIFS(③スチコン工程入力!$I$5:$I$152,③スチコン工程入力!$S$5:$S$152,$J361,③スチコン工程入力!$I$5:$I$152,"&gt;0",③スチコン工程入力!$M$5:$M$152,"&gt;0")+SUMIFS(⑪ZEN工程入力!$I$6:$I$35,⑪ZEN工程入力!$S$6:$S$35,$J361,⑪ZEN工程入力!$I$6:$I$35,"&gt;0",⑪ZEN工程入力!$M$6:$M$35,"&gt;0")+SUMIFS(⑫ミキサー工程入力!$I$6:$I$65,⑫ミキサー工程入力!$S$6:$S$65,$J361,⑫ミキサー工程入力!$I$6:$I$65,"&gt;0",⑫ミキサー工程入力!$M$6:$M$65,"&gt;0")+SUMIFS(⑬計量工程入力!$I$6:$I$65,⑬計量工程入力!$S$6:$S$65,$J361,⑬計量工程入力!$I$6:$I$65,"&gt;0",⑬計量工程入力!$M$6:$M$65,"&gt;0")+SUMIFS(⑭手動工程入力!$I$6:$I$47,⑭手動工程入力!$S$6:$S$47,$J361,⑭手動工程入力!$I$6:$I$47,"&gt;0",⑭手動工程入力!$M$6:$M$47,"&gt;0"))</f>
        <v/>
      </c>
      <c r="N361" s="393">
        <f>IF($J361="",0,SUMIFS(②釜工程入力!$M$5:$M$117,②釜工程入力!$S$5:$S$117,$J361,②釜工程入力!$J$5:$J$117,"&gt;0")-SUMIFS(②釜工程入力!$M$5:$M$117,②釜工程入力!$S$5:$S$117,$J361,②釜工程入力!$J$5:$J$117,"&gt;0",②釜工程入力!$I$5:$I$117,"&gt;0")+SUMIFS(③スチコン工程入力!$M$5:$M$152,③スチコン工程入力!$S$5:$S$152,$J361,③スチコン工程入力!$J$5:$J$152,"&gt;0")-SUMIFS(③スチコン工程入力!$M$5:$M$152,③スチコン工程入力!$S$5:$S$152,$J361,③スチコン工程入力!$J$5:$J$152,"&gt;0",③スチコン工程入力!$I$5:$I$152,"&gt;0")+SUMIFS(⑪ZEN工程入力!$M$6:$M$35,⑪ZEN工程入力!$S$6:$S$35,$J361,⑪ZEN工程入力!$J$6:$J$35,"&gt;0")-SUMIFS(⑪ZEN工程入力!$M$6:$M$35,⑪ZEN工程入力!$S$6:$S$35,$J361,⑪ZEN工程入力!$J$6:$J$35,"&gt;0",⑪ZEN工程入力!$I$6:$I$35,"&gt;0")+SUMIFS(⑫ミキサー工程入力!$M$6:$M$65,⑫ミキサー工程入力!$S$6:$S$65,$J361,⑫ミキサー工程入力!$J$6:$J$65,"&gt;0")-SUMIFS(⑫ミキサー工程入力!$M$6:$M$65,⑫ミキサー工程入力!$S$6:$S$65,$J361,⑫ミキサー工程入力!$J$6:$J$65,"&gt;0",⑫ミキサー工程入力!$I$6:$I$65,"&gt;0")+SUMIFS(⑬計量工程入力!$M$6:$M$65,⑬計量工程入力!$S$6:$S$65,$J361,⑬計量工程入力!$J$6:$J$65,"&gt;0")-SUMIFS(⑬計量工程入力!$M$6:$M$65,⑬計量工程入力!$S$6:$S$65,$J361,⑬計量工程入力!$J$6:$J$65,"&gt;0",⑬計量工程入力!$I$6:$I$65,"&gt;0")+SUMIFS(⑭手動工程入力!$M$6:$M$47,⑭手動工程入力!$S$6:$S$47,$J361,⑭手動工程入力!$J$6:$J$47,"&gt;0")-SUMIFS(⑭手動工程入力!$M$6:$M$47,⑭手動工程入力!$S$6:$S$47,$J361,⑭手動工程入力!$J$6:$J$47,"&gt;0",⑭手動工程入力!$I$6:$I$47,"&gt;0"))</f>
        <v/>
      </c>
      <c r="O361" s="393">
        <f>IF($J361="",0,SUMIFS(②釜工程入力!$J$5:$J$117,②釜工程入力!$S$5:$S$117,$J361,②釜工程入力!$J$5:$J$117,"&gt;0",②釜工程入力!$M$5:$M$117,"&gt;0")-SUMIFS(②釜工程入力!$J$5:$J$117,②釜工程入力!$S$5:$S$117,$J361,②釜工程入力!$J$5:$J$117,"&gt;0",②釜工程入力!$I$5:$I$117,"&gt;0",②釜工程入力!$M$5:$M$117,"&gt;0")+SUMIFS(③スチコン工程入力!$J$5:$J$152,③スチコン工程入力!$S$5:$S$152,$J361,③スチコン工程入力!$J$5:$J$152,"&gt;0",③スチコン工程入力!$M$5:$M$152,"&gt;0")-SUMIFS(③スチコン工程入力!$J$5:$J$152,③スチコン工程入力!$S$5:$S$152,$J361,③スチコン工程入力!$J$5:$J$152,"&gt;0",③スチコン工程入力!$I$5:$I$152,"&gt;0",③スチコン工程入力!$M$5:$M$152,"&gt;0")+SUMIFS(⑪ZEN工程入力!$J$6:$J$35,⑪ZEN工程入力!$S$6:$S$35,$J361,⑪ZEN工程入力!$J$6:$J$35,"&gt;0",⑪ZEN工程入力!$M$6:$M$35,"&gt;0")-SUMIFS(⑪ZEN工程入力!$J$6:$J$35,⑪ZEN工程入力!$S$6:$S$35,$J361,⑪ZEN工程入力!$J$6:$J$35,"&gt;0",⑪ZEN工程入力!$I$6:$I$35,"&gt;0",⑪ZEN工程入力!$M$6:$M$35,"&gt;0")+SUMIFS(⑫ミキサー工程入力!$J$6:$J$65,⑫ミキサー工程入力!$S$6:$S$65,$J361,⑫ミキサー工程入力!$J$6:$J$65,"&gt;0",⑫ミキサー工程入力!$M$6:$M$65,"&gt;0")-SUMIFS(⑫ミキサー工程入力!$J$6:$J$65,⑫ミキサー工程入力!$S$6:$S$65,$J361,⑫ミキサー工程入力!$J$6:$J$65,"&gt;0",⑫ミキサー工程入力!$I$6:$I$65,"&gt;0",⑫ミキサー工程入力!$M$6:$M$65,"&gt;0")+SUMIFS(⑬計量工程入力!$J$6:$J$65,⑬計量工程入力!$S$6:$S$65,$J361,⑬計量工程入力!$J$6:$J$65,"&gt;0",⑬計量工程入力!$M$6:$M$65,"&gt;0")-SUMIFS(⑬計量工程入力!$J$6:$J$65,⑬計量工程入力!$S$6:$S$65,$J361,⑬計量工程入力!$J$6:$J$65,"&gt;0",⑬計量工程入力!$I$6:$I$65,"&gt;0",⑬計量工程入力!$M$6:$M$65,"&gt;0")+SUMIFS(⑭手動工程入力!$J$6:$J$47,⑭手動工程入力!$S$6:$S$47,$J361,⑭手動工程入力!$J$6:$J$47,"&gt;0",⑭手動工程入力!$M$6:$M$47,"&gt;0")-SUMIFS(⑭手動工程入力!$J$6:$J$47,⑭手動工程入力!$S$6:$S$47,$J361,⑭手動工程入力!$J$6:$J$47,"&gt;0",⑭手動工程入力!$I$6:$I$47,"&gt;0",⑭手動工程入力!$M$6:$M$47,"&gt;0"))</f>
        <v/>
      </c>
      <c r="P361" s="392" t="inlineStr">
        <is>
          <t>中間品リスト</t>
        </is>
      </c>
    </row>
    <row r="362">
      <c r="A362" s="392" t="n">
        <v>358</v>
      </c>
      <c r="B362" s="392" t="n"/>
      <c r="C362" s="392" t="n"/>
      <c r="D362" s="409" t="n"/>
      <c r="E362" s="392" t="n"/>
      <c r="F362" s="394" t="n"/>
      <c r="G362" s="392" t="n"/>
      <c r="H362" s="604">
        <f>IFERROR(IF(AND($K362&gt;0,ISNUMBER(IF(OR($D362="g",$D362="ｇ"),IF($M362&gt;0,$L362/$M362/1000,""),IF($D362="kg",IF($M362&gt;0,$L362/$M362,""),IF($D362="",IF($M362&gt;0,$L362/$M362/1000,IF($O362&gt;0,$N362/$O362,"")),IF($O362&gt;0,$N362/$O362,"")))))),IF(OR($D362="g",$D362="ｇ"),IF($M362&gt;0,$L362/$M362/1000,""),IF($D362="kg",IF($M362&gt;0,$L362/$M362,""),IF($D362="",IF($M362&gt;0,$L362/$M362/1000,IF($O362&gt;0,$N362/$O362,"")),IF($O362&gt;0,$N362/$O362,"")))),IF($F362="",IF(OR($E362="",$E362="⑩盛付梱包工程入力"),"",IF(OR($D362="g",$D362="ｇ"),INDEX(⑰工程労務費一覧!$N$5:$N$11,MATCH($E362,⑰工程労務費一覧!$K$5:$K$11,0))/1000,IF($D362="kg",INDEX(⑰工程労務費一覧!$N$5:$N$11,MATCH($E362,⑰工程労務費一覧!$K$5:$K$11,0)),IF(OR($D362="個",$D362="切",$D362="本",$D362="枚",$D362="尾"),IF($E362="⑬計量工程入力","",INDEX(⑰工程労務費一覧!$P$5:$P$11,MATCH($E362,⑰工程労務費一覧!$K$5:$K$11,0))),IF(AND($D362="",OR($E362="②釜工程入力",$E362="③スチコン工程入力")),INDEX(⑰工程労務費一覧!$N$5:$N$11,MATCH($E362,⑰工程労務費一覧!$K$5:$K$11,0))/1000,""))))),IF(OR($D362="g",$D362="ｇ"),INDEX(⑰工程労務費一覧!$H$5:$H$753,MATCH($F362,⑰工程労務費一覧!$D$5:$D$753,0))/1000,IF($D362="kg",INDEX(⑰工程労務費一覧!$H$5:$H$753,MATCH($F362,⑰工程労務費一覧!$D$5:$D$753,0)),INDEX(⑰工程労務費一覧!$I$5:$I$753,MATCH($F362,⑰工程労務費一覧!$D$5:$D$753,0)))))),"")</f>
        <v/>
      </c>
      <c r="I362" s="392">
        <f>IF($K362&gt;0,IF(ISNUMBER(IF(OR($D362="g",$D362="ｇ"),IF($M362&gt;0,$L362/$M362/1000,""),IF($D362="kg",IF($M362&gt;0,$L362/$M362,""),IF($D362="",IF($M362&gt;0,$L362/$M362/1000,IF($O362&gt;0,$N362/$O362,"")),IF($O362&gt;0,$N362/$O362,""))))),IF($D362="",IF($M362&gt;0,"◎ JAN紐づけ(g扱い)","◎ JAN紐づけ(個扱い)"),"◎ JAN紐づけ"),"△ JAN紐づけ済・実績不足→仮計算"),IF($F362="",IF(ISNUMBER($H362),IF($D362="","⑤ 工程平均で仮計算(g扱い)","⑤ 工程平均で仮計算"),IF($E362="⑩盛付梱包工程入力","⑥ 盛り込み(⑳F列で計上)",IF(AND($E362="⑬計量工程入力",OR($D362="個",$D362="切",$D362="本",$D362="枚",$D362="尾")),"① 未紐づけ(カット個単位は仮単価なし)","① 未紐づけ"))),IF(NOT(ISNUMBER($H362)),"② 工程側に単価なし",IF($D362="","③ 単位未設定(個で計算)","④ OK"))))</f>
        <v/>
      </c>
      <c r="J362" s="399">
        <f>IFERROR(LOOKUP(2,1/((中間品リスト!$F$2:$F$1299=$B362)*(中間品リスト!$E$2:$E$1299&lt;&gt;"-")*(中間品リスト!$E$2:$E$1299&lt;&gt;"")),中間品リスト!$E$2:$E$1299),"")</f>
        <v/>
      </c>
      <c r="K362" s="400">
        <f>IF($J362="",0,COUNTIF(②釜工程入力!$S$5:$S$117,$J362)+COUNTIF(③スチコン工程入力!$S$5:$S$152,$J362)+COUNTIF(⑪ZEN工程入力!$S$6:$S$35,$J362)+COUNTIF(⑫ミキサー工程入力!$S$6:$S$65,$J362)+COUNTIF(⑬計量工程入力!$S$6:$S$65,$J362)+COUNTIF(⑭手動工程入力!$S$6:$S$47,$J362))</f>
        <v/>
      </c>
      <c r="L362" s="393">
        <f>IF($J362="",0,SUMIFS(②釜工程入力!$M$5:$M$117,②釜工程入力!$S$5:$S$117,$J362,②釜工程入力!$I$5:$I$117,"&gt;0")+SUMIFS(③スチコン工程入力!$M$5:$M$152,③スチコン工程入力!$S$5:$S$152,$J362,③スチコン工程入力!$I$5:$I$152,"&gt;0")+SUMIFS(⑪ZEN工程入力!$M$6:$M$35,⑪ZEN工程入力!$S$6:$S$35,$J362,⑪ZEN工程入力!$I$6:$I$35,"&gt;0")+SUMIFS(⑫ミキサー工程入力!$M$6:$M$65,⑫ミキサー工程入力!$S$6:$S$65,$J362,⑫ミキサー工程入力!$I$6:$I$65,"&gt;0")+SUMIFS(⑬計量工程入力!$M$6:$M$65,⑬計量工程入力!$S$6:$S$65,$J362,⑬計量工程入力!$I$6:$I$65,"&gt;0")+SUMIFS(⑭手動工程入力!$M$6:$M$47,⑭手動工程入力!$S$6:$S$47,$J362,⑭手動工程入力!$I$6:$I$47,"&gt;0"))</f>
        <v/>
      </c>
      <c r="M362" s="393">
        <f>IF($J362="",0,SUMIFS(②釜工程入力!$I$5:$I$117,②釜工程入力!$S$5:$S$117,$J362,②釜工程入力!$I$5:$I$117,"&gt;0",②釜工程入力!$M$5:$M$117,"&gt;0")+SUMIFS(③スチコン工程入力!$I$5:$I$152,③スチコン工程入力!$S$5:$S$152,$J362,③スチコン工程入力!$I$5:$I$152,"&gt;0",③スチコン工程入力!$M$5:$M$152,"&gt;0")+SUMIFS(⑪ZEN工程入力!$I$6:$I$35,⑪ZEN工程入力!$S$6:$S$35,$J362,⑪ZEN工程入力!$I$6:$I$35,"&gt;0",⑪ZEN工程入力!$M$6:$M$35,"&gt;0")+SUMIFS(⑫ミキサー工程入力!$I$6:$I$65,⑫ミキサー工程入力!$S$6:$S$65,$J362,⑫ミキサー工程入力!$I$6:$I$65,"&gt;0",⑫ミキサー工程入力!$M$6:$M$65,"&gt;0")+SUMIFS(⑬計量工程入力!$I$6:$I$65,⑬計量工程入力!$S$6:$S$65,$J362,⑬計量工程入力!$I$6:$I$65,"&gt;0",⑬計量工程入力!$M$6:$M$65,"&gt;0")+SUMIFS(⑭手動工程入力!$I$6:$I$47,⑭手動工程入力!$S$6:$S$47,$J362,⑭手動工程入力!$I$6:$I$47,"&gt;0",⑭手動工程入力!$M$6:$M$47,"&gt;0"))</f>
        <v/>
      </c>
      <c r="N362" s="393">
        <f>IF($J362="",0,SUMIFS(②釜工程入力!$M$5:$M$117,②釜工程入力!$S$5:$S$117,$J362,②釜工程入力!$J$5:$J$117,"&gt;0")-SUMIFS(②釜工程入力!$M$5:$M$117,②釜工程入力!$S$5:$S$117,$J362,②釜工程入力!$J$5:$J$117,"&gt;0",②釜工程入力!$I$5:$I$117,"&gt;0")+SUMIFS(③スチコン工程入力!$M$5:$M$152,③スチコン工程入力!$S$5:$S$152,$J362,③スチコン工程入力!$J$5:$J$152,"&gt;0")-SUMIFS(③スチコン工程入力!$M$5:$M$152,③スチコン工程入力!$S$5:$S$152,$J362,③スチコン工程入力!$J$5:$J$152,"&gt;0",③スチコン工程入力!$I$5:$I$152,"&gt;0")+SUMIFS(⑪ZEN工程入力!$M$6:$M$35,⑪ZEN工程入力!$S$6:$S$35,$J362,⑪ZEN工程入力!$J$6:$J$35,"&gt;0")-SUMIFS(⑪ZEN工程入力!$M$6:$M$35,⑪ZEN工程入力!$S$6:$S$35,$J362,⑪ZEN工程入力!$J$6:$J$35,"&gt;0",⑪ZEN工程入力!$I$6:$I$35,"&gt;0")+SUMIFS(⑫ミキサー工程入力!$M$6:$M$65,⑫ミキサー工程入力!$S$6:$S$65,$J362,⑫ミキサー工程入力!$J$6:$J$65,"&gt;0")-SUMIFS(⑫ミキサー工程入力!$M$6:$M$65,⑫ミキサー工程入力!$S$6:$S$65,$J362,⑫ミキサー工程入力!$J$6:$J$65,"&gt;0",⑫ミキサー工程入力!$I$6:$I$65,"&gt;0")+SUMIFS(⑬計量工程入力!$M$6:$M$65,⑬計量工程入力!$S$6:$S$65,$J362,⑬計量工程入力!$J$6:$J$65,"&gt;0")-SUMIFS(⑬計量工程入力!$M$6:$M$65,⑬計量工程入力!$S$6:$S$65,$J362,⑬計量工程入力!$J$6:$J$65,"&gt;0",⑬計量工程入力!$I$6:$I$65,"&gt;0")+SUMIFS(⑭手動工程入力!$M$6:$M$47,⑭手動工程入力!$S$6:$S$47,$J362,⑭手動工程入力!$J$6:$J$47,"&gt;0")-SUMIFS(⑭手動工程入力!$M$6:$M$47,⑭手動工程入力!$S$6:$S$47,$J362,⑭手動工程入力!$J$6:$J$47,"&gt;0",⑭手動工程入力!$I$6:$I$47,"&gt;0"))</f>
        <v/>
      </c>
      <c r="O362" s="393">
        <f>IF($J362="",0,SUMIFS(②釜工程入力!$J$5:$J$117,②釜工程入力!$S$5:$S$117,$J362,②釜工程入力!$J$5:$J$117,"&gt;0",②釜工程入力!$M$5:$M$117,"&gt;0")-SUMIFS(②釜工程入力!$J$5:$J$117,②釜工程入力!$S$5:$S$117,$J362,②釜工程入力!$J$5:$J$117,"&gt;0",②釜工程入力!$I$5:$I$117,"&gt;0",②釜工程入力!$M$5:$M$117,"&gt;0")+SUMIFS(③スチコン工程入力!$J$5:$J$152,③スチコン工程入力!$S$5:$S$152,$J362,③スチコン工程入力!$J$5:$J$152,"&gt;0",③スチコン工程入力!$M$5:$M$152,"&gt;0")-SUMIFS(③スチコン工程入力!$J$5:$J$152,③スチコン工程入力!$S$5:$S$152,$J362,③スチコン工程入力!$J$5:$J$152,"&gt;0",③スチコン工程入力!$I$5:$I$152,"&gt;0",③スチコン工程入力!$M$5:$M$152,"&gt;0")+SUMIFS(⑪ZEN工程入力!$J$6:$J$35,⑪ZEN工程入力!$S$6:$S$35,$J362,⑪ZEN工程入力!$J$6:$J$35,"&gt;0",⑪ZEN工程入力!$M$6:$M$35,"&gt;0")-SUMIFS(⑪ZEN工程入力!$J$6:$J$35,⑪ZEN工程入力!$S$6:$S$35,$J362,⑪ZEN工程入力!$J$6:$J$35,"&gt;0",⑪ZEN工程入力!$I$6:$I$35,"&gt;0",⑪ZEN工程入力!$M$6:$M$35,"&gt;0")+SUMIFS(⑫ミキサー工程入力!$J$6:$J$65,⑫ミキサー工程入力!$S$6:$S$65,$J362,⑫ミキサー工程入力!$J$6:$J$65,"&gt;0",⑫ミキサー工程入力!$M$6:$M$65,"&gt;0")-SUMIFS(⑫ミキサー工程入力!$J$6:$J$65,⑫ミキサー工程入力!$S$6:$S$65,$J362,⑫ミキサー工程入力!$J$6:$J$65,"&gt;0",⑫ミキサー工程入力!$I$6:$I$65,"&gt;0",⑫ミキサー工程入力!$M$6:$M$65,"&gt;0")+SUMIFS(⑬計量工程入力!$J$6:$J$65,⑬計量工程入力!$S$6:$S$65,$J362,⑬計量工程入力!$J$6:$J$65,"&gt;0",⑬計量工程入力!$M$6:$M$65,"&gt;0")-SUMIFS(⑬計量工程入力!$J$6:$J$65,⑬計量工程入力!$S$6:$S$65,$J362,⑬計量工程入力!$J$6:$J$65,"&gt;0",⑬計量工程入力!$I$6:$I$65,"&gt;0",⑬計量工程入力!$M$6:$M$65,"&gt;0")+SUMIFS(⑭手動工程入力!$J$6:$J$47,⑭手動工程入力!$S$6:$S$47,$J362,⑭手動工程入力!$J$6:$J$47,"&gt;0",⑭手動工程入力!$M$6:$M$47,"&gt;0")-SUMIFS(⑭手動工程入力!$J$6:$J$47,⑭手動工程入力!$S$6:$S$47,$J362,⑭手動工程入力!$J$6:$J$47,"&gt;0",⑭手動工程入力!$I$6:$I$47,"&gt;0",⑭手動工程入力!$M$6:$M$47,"&gt;0"))</f>
        <v/>
      </c>
      <c r="P362" s="392" t="inlineStr">
        <is>
          <t>中間品リスト</t>
        </is>
      </c>
    </row>
    <row r="363">
      <c r="A363" s="392" t="n">
        <v>359</v>
      </c>
      <c r="B363" s="392" t="n"/>
      <c r="C363" s="392" t="n"/>
      <c r="D363" s="409" t="n"/>
      <c r="E363" s="392" t="n"/>
      <c r="F363" s="394" t="n"/>
      <c r="G363" s="392" t="n"/>
      <c r="H363" s="604">
        <f>IFERROR(IF(AND($K363&gt;0,ISNUMBER(IF(OR($D363="g",$D363="ｇ"),IF($M363&gt;0,$L363/$M363/1000,""),IF($D363="kg",IF($M363&gt;0,$L363/$M363,""),IF($D363="",IF($M363&gt;0,$L363/$M363/1000,IF($O363&gt;0,$N363/$O363,"")),IF($O363&gt;0,$N363/$O363,"")))))),IF(OR($D363="g",$D363="ｇ"),IF($M363&gt;0,$L363/$M363/1000,""),IF($D363="kg",IF($M363&gt;0,$L363/$M363,""),IF($D363="",IF($M363&gt;0,$L363/$M363/1000,IF($O363&gt;0,$N363/$O363,"")),IF($O363&gt;0,$N363/$O363,"")))),IF($F363="",IF(OR($E363="",$E363="⑩盛付梱包工程入力"),"",IF(OR($D363="g",$D363="ｇ"),INDEX(⑰工程労務費一覧!$N$5:$N$11,MATCH($E363,⑰工程労務費一覧!$K$5:$K$11,0))/1000,IF($D363="kg",INDEX(⑰工程労務費一覧!$N$5:$N$11,MATCH($E363,⑰工程労務費一覧!$K$5:$K$11,0)),IF(OR($D363="個",$D363="切",$D363="本",$D363="枚",$D363="尾"),IF($E363="⑬計量工程入力","",INDEX(⑰工程労務費一覧!$P$5:$P$11,MATCH($E363,⑰工程労務費一覧!$K$5:$K$11,0))),IF(AND($D363="",OR($E363="②釜工程入力",$E363="③スチコン工程入力")),INDEX(⑰工程労務費一覧!$N$5:$N$11,MATCH($E363,⑰工程労務費一覧!$K$5:$K$11,0))/1000,""))))),IF(OR($D363="g",$D363="ｇ"),INDEX(⑰工程労務費一覧!$H$5:$H$753,MATCH($F363,⑰工程労務費一覧!$D$5:$D$753,0))/1000,IF($D363="kg",INDEX(⑰工程労務費一覧!$H$5:$H$753,MATCH($F363,⑰工程労務費一覧!$D$5:$D$753,0)),INDEX(⑰工程労務費一覧!$I$5:$I$753,MATCH($F363,⑰工程労務費一覧!$D$5:$D$753,0)))))),"")</f>
        <v/>
      </c>
      <c r="I363" s="392">
        <f>IF($K363&gt;0,IF(ISNUMBER(IF(OR($D363="g",$D363="ｇ"),IF($M363&gt;0,$L363/$M363/1000,""),IF($D363="kg",IF($M363&gt;0,$L363/$M363,""),IF($D363="",IF($M363&gt;0,$L363/$M363/1000,IF($O363&gt;0,$N363/$O363,"")),IF($O363&gt;0,$N363/$O363,""))))),IF($D363="",IF($M363&gt;0,"◎ JAN紐づけ(g扱い)","◎ JAN紐づけ(個扱い)"),"◎ JAN紐づけ"),"△ JAN紐づけ済・実績不足→仮計算"),IF($F363="",IF(ISNUMBER($H363),IF($D363="","⑤ 工程平均で仮計算(g扱い)","⑤ 工程平均で仮計算"),IF($E363="⑩盛付梱包工程入力","⑥ 盛り込み(⑳F列で計上)",IF(AND($E363="⑬計量工程入力",OR($D363="個",$D363="切",$D363="本",$D363="枚",$D363="尾")),"① 未紐づけ(カット個単位は仮単価なし)","① 未紐づけ"))),IF(NOT(ISNUMBER($H363)),"② 工程側に単価なし",IF($D363="","③ 単位未設定(個で計算)","④ OK"))))</f>
        <v/>
      </c>
      <c r="J363" s="399">
        <f>IFERROR(LOOKUP(2,1/((中間品リスト!$F$2:$F$1299=$B363)*(中間品リスト!$E$2:$E$1299&lt;&gt;"-")*(中間品リスト!$E$2:$E$1299&lt;&gt;"")),中間品リスト!$E$2:$E$1299),"")</f>
        <v/>
      </c>
      <c r="K363" s="400">
        <f>IF($J363="",0,COUNTIF(②釜工程入力!$S$5:$S$117,$J363)+COUNTIF(③スチコン工程入力!$S$5:$S$152,$J363)+COUNTIF(⑪ZEN工程入力!$S$6:$S$35,$J363)+COUNTIF(⑫ミキサー工程入力!$S$6:$S$65,$J363)+COUNTIF(⑬計量工程入力!$S$6:$S$65,$J363)+COUNTIF(⑭手動工程入力!$S$6:$S$47,$J363))</f>
        <v/>
      </c>
      <c r="L363" s="393">
        <f>IF($J363="",0,SUMIFS(②釜工程入力!$M$5:$M$117,②釜工程入力!$S$5:$S$117,$J363,②釜工程入力!$I$5:$I$117,"&gt;0")+SUMIFS(③スチコン工程入力!$M$5:$M$152,③スチコン工程入力!$S$5:$S$152,$J363,③スチコン工程入力!$I$5:$I$152,"&gt;0")+SUMIFS(⑪ZEN工程入力!$M$6:$M$35,⑪ZEN工程入力!$S$6:$S$35,$J363,⑪ZEN工程入力!$I$6:$I$35,"&gt;0")+SUMIFS(⑫ミキサー工程入力!$M$6:$M$65,⑫ミキサー工程入力!$S$6:$S$65,$J363,⑫ミキサー工程入力!$I$6:$I$65,"&gt;0")+SUMIFS(⑬計量工程入力!$M$6:$M$65,⑬計量工程入力!$S$6:$S$65,$J363,⑬計量工程入力!$I$6:$I$65,"&gt;0")+SUMIFS(⑭手動工程入力!$M$6:$M$47,⑭手動工程入力!$S$6:$S$47,$J363,⑭手動工程入力!$I$6:$I$47,"&gt;0"))</f>
        <v/>
      </c>
      <c r="M363" s="393">
        <f>IF($J363="",0,SUMIFS(②釜工程入力!$I$5:$I$117,②釜工程入力!$S$5:$S$117,$J363,②釜工程入力!$I$5:$I$117,"&gt;0",②釜工程入力!$M$5:$M$117,"&gt;0")+SUMIFS(③スチコン工程入力!$I$5:$I$152,③スチコン工程入力!$S$5:$S$152,$J363,③スチコン工程入力!$I$5:$I$152,"&gt;0",③スチコン工程入力!$M$5:$M$152,"&gt;0")+SUMIFS(⑪ZEN工程入力!$I$6:$I$35,⑪ZEN工程入力!$S$6:$S$35,$J363,⑪ZEN工程入力!$I$6:$I$35,"&gt;0",⑪ZEN工程入力!$M$6:$M$35,"&gt;0")+SUMIFS(⑫ミキサー工程入力!$I$6:$I$65,⑫ミキサー工程入力!$S$6:$S$65,$J363,⑫ミキサー工程入力!$I$6:$I$65,"&gt;0",⑫ミキサー工程入力!$M$6:$M$65,"&gt;0")+SUMIFS(⑬計量工程入力!$I$6:$I$65,⑬計量工程入力!$S$6:$S$65,$J363,⑬計量工程入力!$I$6:$I$65,"&gt;0",⑬計量工程入力!$M$6:$M$65,"&gt;0")+SUMIFS(⑭手動工程入力!$I$6:$I$47,⑭手動工程入力!$S$6:$S$47,$J363,⑭手動工程入力!$I$6:$I$47,"&gt;0",⑭手動工程入力!$M$6:$M$47,"&gt;0"))</f>
        <v/>
      </c>
      <c r="N363" s="393">
        <f>IF($J363="",0,SUMIFS(②釜工程入力!$M$5:$M$117,②釜工程入力!$S$5:$S$117,$J363,②釜工程入力!$J$5:$J$117,"&gt;0")-SUMIFS(②釜工程入力!$M$5:$M$117,②釜工程入力!$S$5:$S$117,$J363,②釜工程入力!$J$5:$J$117,"&gt;0",②釜工程入力!$I$5:$I$117,"&gt;0")+SUMIFS(③スチコン工程入力!$M$5:$M$152,③スチコン工程入力!$S$5:$S$152,$J363,③スチコン工程入力!$J$5:$J$152,"&gt;0")-SUMIFS(③スチコン工程入力!$M$5:$M$152,③スチコン工程入力!$S$5:$S$152,$J363,③スチコン工程入力!$J$5:$J$152,"&gt;0",③スチコン工程入力!$I$5:$I$152,"&gt;0")+SUMIFS(⑪ZEN工程入力!$M$6:$M$35,⑪ZEN工程入力!$S$6:$S$35,$J363,⑪ZEN工程入力!$J$6:$J$35,"&gt;0")-SUMIFS(⑪ZEN工程入力!$M$6:$M$35,⑪ZEN工程入力!$S$6:$S$35,$J363,⑪ZEN工程入力!$J$6:$J$35,"&gt;0",⑪ZEN工程入力!$I$6:$I$35,"&gt;0")+SUMIFS(⑫ミキサー工程入力!$M$6:$M$65,⑫ミキサー工程入力!$S$6:$S$65,$J363,⑫ミキサー工程入力!$J$6:$J$65,"&gt;0")-SUMIFS(⑫ミキサー工程入力!$M$6:$M$65,⑫ミキサー工程入力!$S$6:$S$65,$J363,⑫ミキサー工程入力!$J$6:$J$65,"&gt;0",⑫ミキサー工程入力!$I$6:$I$65,"&gt;0")+SUMIFS(⑬計量工程入力!$M$6:$M$65,⑬計量工程入力!$S$6:$S$65,$J363,⑬計量工程入力!$J$6:$J$65,"&gt;0")-SUMIFS(⑬計量工程入力!$M$6:$M$65,⑬計量工程入力!$S$6:$S$65,$J363,⑬計量工程入力!$J$6:$J$65,"&gt;0",⑬計量工程入力!$I$6:$I$65,"&gt;0")+SUMIFS(⑭手動工程入力!$M$6:$M$47,⑭手動工程入力!$S$6:$S$47,$J363,⑭手動工程入力!$J$6:$J$47,"&gt;0")-SUMIFS(⑭手動工程入力!$M$6:$M$47,⑭手動工程入力!$S$6:$S$47,$J363,⑭手動工程入力!$J$6:$J$47,"&gt;0",⑭手動工程入力!$I$6:$I$47,"&gt;0"))</f>
        <v/>
      </c>
      <c r="O363" s="393">
        <f>IF($J363="",0,SUMIFS(②釜工程入力!$J$5:$J$117,②釜工程入力!$S$5:$S$117,$J363,②釜工程入力!$J$5:$J$117,"&gt;0",②釜工程入力!$M$5:$M$117,"&gt;0")-SUMIFS(②釜工程入力!$J$5:$J$117,②釜工程入力!$S$5:$S$117,$J363,②釜工程入力!$J$5:$J$117,"&gt;0",②釜工程入力!$I$5:$I$117,"&gt;0",②釜工程入力!$M$5:$M$117,"&gt;0")+SUMIFS(③スチコン工程入力!$J$5:$J$152,③スチコン工程入力!$S$5:$S$152,$J363,③スチコン工程入力!$J$5:$J$152,"&gt;0",③スチコン工程入力!$M$5:$M$152,"&gt;0")-SUMIFS(③スチコン工程入力!$J$5:$J$152,③スチコン工程入力!$S$5:$S$152,$J363,③スチコン工程入力!$J$5:$J$152,"&gt;0",③スチコン工程入力!$I$5:$I$152,"&gt;0",③スチコン工程入力!$M$5:$M$152,"&gt;0")+SUMIFS(⑪ZEN工程入力!$J$6:$J$35,⑪ZEN工程入力!$S$6:$S$35,$J363,⑪ZEN工程入力!$J$6:$J$35,"&gt;0",⑪ZEN工程入力!$M$6:$M$35,"&gt;0")-SUMIFS(⑪ZEN工程入力!$J$6:$J$35,⑪ZEN工程入力!$S$6:$S$35,$J363,⑪ZEN工程入力!$J$6:$J$35,"&gt;0",⑪ZEN工程入力!$I$6:$I$35,"&gt;0",⑪ZEN工程入力!$M$6:$M$35,"&gt;0")+SUMIFS(⑫ミキサー工程入力!$J$6:$J$65,⑫ミキサー工程入力!$S$6:$S$65,$J363,⑫ミキサー工程入力!$J$6:$J$65,"&gt;0",⑫ミキサー工程入力!$M$6:$M$65,"&gt;0")-SUMIFS(⑫ミキサー工程入力!$J$6:$J$65,⑫ミキサー工程入力!$S$6:$S$65,$J363,⑫ミキサー工程入力!$J$6:$J$65,"&gt;0",⑫ミキサー工程入力!$I$6:$I$65,"&gt;0",⑫ミキサー工程入力!$M$6:$M$65,"&gt;0")+SUMIFS(⑬計量工程入力!$J$6:$J$65,⑬計量工程入力!$S$6:$S$65,$J363,⑬計量工程入力!$J$6:$J$65,"&gt;0",⑬計量工程入力!$M$6:$M$65,"&gt;0")-SUMIFS(⑬計量工程入力!$J$6:$J$65,⑬計量工程入力!$S$6:$S$65,$J363,⑬計量工程入力!$J$6:$J$65,"&gt;0",⑬計量工程入力!$I$6:$I$65,"&gt;0",⑬計量工程入力!$M$6:$M$65,"&gt;0")+SUMIFS(⑭手動工程入力!$J$6:$J$47,⑭手動工程入力!$S$6:$S$47,$J363,⑭手動工程入力!$J$6:$J$47,"&gt;0",⑭手動工程入力!$M$6:$M$47,"&gt;0")-SUMIFS(⑭手動工程入力!$J$6:$J$47,⑭手動工程入力!$S$6:$S$47,$J363,⑭手動工程入力!$J$6:$J$47,"&gt;0",⑭手動工程入力!$I$6:$I$47,"&gt;0",⑭手動工程入力!$M$6:$M$47,"&gt;0"))</f>
        <v/>
      </c>
      <c r="P363" s="392" t="inlineStr">
        <is>
          <t>中間品リスト</t>
        </is>
      </c>
    </row>
    <row r="364">
      <c r="A364" s="392" t="n">
        <v>360</v>
      </c>
      <c r="B364" s="392" t="n"/>
      <c r="C364" s="392" t="n"/>
      <c r="D364" s="409" t="n"/>
      <c r="E364" s="392" t="n"/>
      <c r="F364" s="394" t="n"/>
      <c r="G364" s="392" t="n"/>
      <c r="H364" s="604">
        <f>IFERROR(IF(AND($K364&gt;0,ISNUMBER(IF(OR($D364="g",$D364="ｇ"),IF($M364&gt;0,$L364/$M364/1000,""),IF($D364="kg",IF($M364&gt;0,$L364/$M364,""),IF($D364="",IF($M364&gt;0,$L364/$M364/1000,IF($O364&gt;0,$N364/$O364,"")),IF($O364&gt;0,$N364/$O364,"")))))),IF(OR($D364="g",$D364="ｇ"),IF($M364&gt;0,$L364/$M364/1000,""),IF($D364="kg",IF($M364&gt;0,$L364/$M364,""),IF($D364="",IF($M364&gt;0,$L364/$M364/1000,IF($O364&gt;0,$N364/$O364,"")),IF($O364&gt;0,$N364/$O364,"")))),IF($F364="",IF(OR($E364="",$E364="⑩盛付梱包工程入力"),"",IF(OR($D364="g",$D364="ｇ"),INDEX(⑰工程労務費一覧!$N$5:$N$11,MATCH($E364,⑰工程労務費一覧!$K$5:$K$11,0))/1000,IF($D364="kg",INDEX(⑰工程労務費一覧!$N$5:$N$11,MATCH($E364,⑰工程労務費一覧!$K$5:$K$11,0)),IF(OR($D364="個",$D364="切",$D364="本",$D364="枚",$D364="尾"),IF($E364="⑬計量工程入力","",INDEX(⑰工程労務費一覧!$P$5:$P$11,MATCH($E364,⑰工程労務費一覧!$K$5:$K$11,0))),IF(AND($D364="",OR($E364="②釜工程入力",$E364="③スチコン工程入力")),INDEX(⑰工程労務費一覧!$N$5:$N$11,MATCH($E364,⑰工程労務費一覧!$K$5:$K$11,0))/1000,""))))),IF(OR($D364="g",$D364="ｇ"),INDEX(⑰工程労務費一覧!$H$5:$H$753,MATCH($F364,⑰工程労務費一覧!$D$5:$D$753,0))/1000,IF($D364="kg",INDEX(⑰工程労務費一覧!$H$5:$H$753,MATCH($F364,⑰工程労務費一覧!$D$5:$D$753,0)),INDEX(⑰工程労務費一覧!$I$5:$I$753,MATCH($F364,⑰工程労務費一覧!$D$5:$D$753,0)))))),"")</f>
        <v/>
      </c>
      <c r="I364" s="392">
        <f>IF($K364&gt;0,IF(ISNUMBER(IF(OR($D364="g",$D364="ｇ"),IF($M364&gt;0,$L364/$M364/1000,""),IF($D364="kg",IF($M364&gt;0,$L364/$M364,""),IF($D364="",IF($M364&gt;0,$L364/$M364/1000,IF($O364&gt;0,$N364/$O364,"")),IF($O364&gt;0,$N364/$O364,""))))),IF($D364="",IF($M364&gt;0,"◎ JAN紐づけ(g扱い)","◎ JAN紐づけ(個扱い)"),"◎ JAN紐づけ"),"△ JAN紐づけ済・実績不足→仮計算"),IF($F364="",IF(ISNUMBER($H364),IF($D364="","⑤ 工程平均で仮計算(g扱い)","⑤ 工程平均で仮計算"),IF($E364="⑩盛付梱包工程入力","⑥ 盛り込み(⑳F列で計上)",IF(AND($E364="⑬計量工程入力",OR($D364="個",$D364="切",$D364="本",$D364="枚",$D364="尾")),"① 未紐づけ(カット個単位は仮単価なし)","① 未紐づけ"))),IF(NOT(ISNUMBER($H364)),"② 工程側に単価なし",IF($D364="","③ 単位未設定(個で計算)","④ OK"))))</f>
        <v/>
      </c>
      <c r="J364" s="399">
        <f>IFERROR(LOOKUP(2,1/((中間品リスト!$F$2:$F$1299=$B364)*(中間品リスト!$E$2:$E$1299&lt;&gt;"-")*(中間品リスト!$E$2:$E$1299&lt;&gt;"")),中間品リスト!$E$2:$E$1299),"")</f>
        <v/>
      </c>
      <c r="K364" s="400">
        <f>IF($J364="",0,COUNTIF(②釜工程入力!$S$5:$S$117,$J364)+COUNTIF(③スチコン工程入力!$S$5:$S$152,$J364)+COUNTIF(⑪ZEN工程入力!$S$6:$S$35,$J364)+COUNTIF(⑫ミキサー工程入力!$S$6:$S$65,$J364)+COUNTIF(⑬計量工程入力!$S$6:$S$65,$J364)+COUNTIF(⑭手動工程入力!$S$6:$S$47,$J364))</f>
        <v/>
      </c>
      <c r="L364" s="393">
        <f>IF($J364="",0,SUMIFS(②釜工程入力!$M$5:$M$117,②釜工程入力!$S$5:$S$117,$J364,②釜工程入力!$I$5:$I$117,"&gt;0")+SUMIFS(③スチコン工程入力!$M$5:$M$152,③スチコン工程入力!$S$5:$S$152,$J364,③スチコン工程入力!$I$5:$I$152,"&gt;0")+SUMIFS(⑪ZEN工程入力!$M$6:$M$35,⑪ZEN工程入力!$S$6:$S$35,$J364,⑪ZEN工程入力!$I$6:$I$35,"&gt;0")+SUMIFS(⑫ミキサー工程入力!$M$6:$M$65,⑫ミキサー工程入力!$S$6:$S$65,$J364,⑫ミキサー工程入力!$I$6:$I$65,"&gt;0")+SUMIFS(⑬計量工程入力!$M$6:$M$65,⑬計量工程入力!$S$6:$S$65,$J364,⑬計量工程入力!$I$6:$I$65,"&gt;0")+SUMIFS(⑭手動工程入力!$M$6:$M$47,⑭手動工程入力!$S$6:$S$47,$J364,⑭手動工程入力!$I$6:$I$47,"&gt;0"))</f>
        <v/>
      </c>
      <c r="M364" s="393">
        <f>IF($J364="",0,SUMIFS(②釜工程入力!$I$5:$I$117,②釜工程入力!$S$5:$S$117,$J364,②釜工程入力!$I$5:$I$117,"&gt;0",②釜工程入力!$M$5:$M$117,"&gt;0")+SUMIFS(③スチコン工程入力!$I$5:$I$152,③スチコン工程入力!$S$5:$S$152,$J364,③スチコン工程入力!$I$5:$I$152,"&gt;0",③スチコン工程入力!$M$5:$M$152,"&gt;0")+SUMIFS(⑪ZEN工程入力!$I$6:$I$35,⑪ZEN工程入力!$S$6:$S$35,$J364,⑪ZEN工程入力!$I$6:$I$35,"&gt;0",⑪ZEN工程入力!$M$6:$M$35,"&gt;0")+SUMIFS(⑫ミキサー工程入力!$I$6:$I$65,⑫ミキサー工程入力!$S$6:$S$65,$J364,⑫ミキサー工程入力!$I$6:$I$65,"&gt;0",⑫ミキサー工程入力!$M$6:$M$65,"&gt;0")+SUMIFS(⑬計量工程入力!$I$6:$I$65,⑬計量工程入力!$S$6:$S$65,$J364,⑬計量工程入力!$I$6:$I$65,"&gt;0",⑬計量工程入力!$M$6:$M$65,"&gt;0")+SUMIFS(⑭手動工程入力!$I$6:$I$47,⑭手動工程入力!$S$6:$S$47,$J364,⑭手動工程入力!$I$6:$I$47,"&gt;0",⑭手動工程入力!$M$6:$M$47,"&gt;0"))</f>
        <v/>
      </c>
      <c r="N364" s="393">
        <f>IF($J364="",0,SUMIFS(②釜工程入力!$M$5:$M$117,②釜工程入力!$S$5:$S$117,$J364,②釜工程入力!$J$5:$J$117,"&gt;0")-SUMIFS(②釜工程入力!$M$5:$M$117,②釜工程入力!$S$5:$S$117,$J364,②釜工程入力!$J$5:$J$117,"&gt;0",②釜工程入力!$I$5:$I$117,"&gt;0")+SUMIFS(③スチコン工程入力!$M$5:$M$152,③スチコン工程入力!$S$5:$S$152,$J364,③スチコン工程入力!$J$5:$J$152,"&gt;0")-SUMIFS(③スチコン工程入力!$M$5:$M$152,③スチコン工程入力!$S$5:$S$152,$J364,③スチコン工程入力!$J$5:$J$152,"&gt;0",③スチコン工程入力!$I$5:$I$152,"&gt;0")+SUMIFS(⑪ZEN工程入力!$M$6:$M$35,⑪ZEN工程入力!$S$6:$S$35,$J364,⑪ZEN工程入力!$J$6:$J$35,"&gt;0")-SUMIFS(⑪ZEN工程入力!$M$6:$M$35,⑪ZEN工程入力!$S$6:$S$35,$J364,⑪ZEN工程入力!$J$6:$J$35,"&gt;0",⑪ZEN工程入力!$I$6:$I$35,"&gt;0")+SUMIFS(⑫ミキサー工程入力!$M$6:$M$65,⑫ミキサー工程入力!$S$6:$S$65,$J364,⑫ミキサー工程入力!$J$6:$J$65,"&gt;0")-SUMIFS(⑫ミキサー工程入力!$M$6:$M$65,⑫ミキサー工程入力!$S$6:$S$65,$J364,⑫ミキサー工程入力!$J$6:$J$65,"&gt;0",⑫ミキサー工程入力!$I$6:$I$65,"&gt;0")+SUMIFS(⑬計量工程入力!$M$6:$M$65,⑬計量工程入力!$S$6:$S$65,$J364,⑬計量工程入力!$J$6:$J$65,"&gt;0")-SUMIFS(⑬計量工程入力!$M$6:$M$65,⑬計量工程入力!$S$6:$S$65,$J364,⑬計量工程入力!$J$6:$J$65,"&gt;0",⑬計量工程入力!$I$6:$I$65,"&gt;0")+SUMIFS(⑭手動工程入力!$M$6:$M$47,⑭手動工程入力!$S$6:$S$47,$J364,⑭手動工程入力!$J$6:$J$47,"&gt;0")-SUMIFS(⑭手動工程入力!$M$6:$M$47,⑭手動工程入力!$S$6:$S$47,$J364,⑭手動工程入力!$J$6:$J$47,"&gt;0",⑭手動工程入力!$I$6:$I$47,"&gt;0"))</f>
        <v/>
      </c>
      <c r="O364" s="393">
        <f>IF($J364="",0,SUMIFS(②釜工程入力!$J$5:$J$117,②釜工程入力!$S$5:$S$117,$J364,②釜工程入力!$J$5:$J$117,"&gt;0",②釜工程入力!$M$5:$M$117,"&gt;0")-SUMIFS(②釜工程入力!$J$5:$J$117,②釜工程入力!$S$5:$S$117,$J364,②釜工程入力!$J$5:$J$117,"&gt;0",②釜工程入力!$I$5:$I$117,"&gt;0",②釜工程入力!$M$5:$M$117,"&gt;0")+SUMIFS(③スチコン工程入力!$J$5:$J$152,③スチコン工程入力!$S$5:$S$152,$J364,③スチコン工程入力!$J$5:$J$152,"&gt;0",③スチコン工程入力!$M$5:$M$152,"&gt;0")-SUMIFS(③スチコン工程入力!$J$5:$J$152,③スチコン工程入力!$S$5:$S$152,$J364,③スチコン工程入力!$J$5:$J$152,"&gt;0",③スチコン工程入力!$I$5:$I$152,"&gt;0",③スチコン工程入力!$M$5:$M$152,"&gt;0")+SUMIFS(⑪ZEN工程入力!$J$6:$J$35,⑪ZEN工程入力!$S$6:$S$35,$J364,⑪ZEN工程入力!$J$6:$J$35,"&gt;0",⑪ZEN工程入力!$M$6:$M$35,"&gt;0")-SUMIFS(⑪ZEN工程入力!$J$6:$J$35,⑪ZEN工程入力!$S$6:$S$35,$J364,⑪ZEN工程入力!$J$6:$J$35,"&gt;0",⑪ZEN工程入力!$I$6:$I$35,"&gt;0",⑪ZEN工程入力!$M$6:$M$35,"&gt;0")+SUMIFS(⑫ミキサー工程入力!$J$6:$J$65,⑫ミキサー工程入力!$S$6:$S$65,$J364,⑫ミキサー工程入力!$J$6:$J$65,"&gt;0",⑫ミキサー工程入力!$M$6:$M$65,"&gt;0")-SUMIFS(⑫ミキサー工程入力!$J$6:$J$65,⑫ミキサー工程入力!$S$6:$S$65,$J364,⑫ミキサー工程入力!$J$6:$J$65,"&gt;0",⑫ミキサー工程入力!$I$6:$I$65,"&gt;0",⑫ミキサー工程入力!$M$6:$M$65,"&gt;0")+SUMIFS(⑬計量工程入力!$J$6:$J$65,⑬計量工程入力!$S$6:$S$65,$J364,⑬計量工程入力!$J$6:$J$65,"&gt;0",⑬計量工程入力!$M$6:$M$65,"&gt;0")-SUMIFS(⑬計量工程入力!$J$6:$J$65,⑬計量工程入力!$S$6:$S$65,$J364,⑬計量工程入力!$J$6:$J$65,"&gt;0",⑬計量工程入力!$I$6:$I$65,"&gt;0",⑬計量工程入力!$M$6:$M$65,"&gt;0")+SUMIFS(⑭手動工程入力!$J$6:$J$47,⑭手動工程入力!$S$6:$S$47,$J364,⑭手動工程入力!$J$6:$J$47,"&gt;0",⑭手動工程入力!$M$6:$M$47,"&gt;0")-SUMIFS(⑭手動工程入力!$J$6:$J$47,⑭手動工程入力!$S$6:$S$47,$J364,⑭手動工程入力!$J$6:$J$47,"&gt;0",⑭手動工程入力!$I$6:$I$47,"&gt;0",⑭手動工程入力!$M$6:$M$47,"&gt;0"))</f>
        <v/>
      </c>
      <c r="P364" s="392" t="inlineStr">
        <is>
          <t>kg→gに修正（1食使用量[130]はgとみて計算）</t>
        </is>
      </c>
    </row>
    <row r="365">
      <c r="A365" s="392" t="n">
        <v>361</v>
      </c>
      <c r="B365" s="392" t="n"/>
      <c r="C365" s="392" t="n"/>
      <c r="D365" s="409" t="n"/>
      <c r="E365" s="392" t="n"/>
      <c r="F365" s="394" t="n"/>
      <c r="G365" s="392" t="n"/>
      <c r="H365" s="604">
        <f>IFERROR(IF(AND($K365&gt;0,ISNUMBER(IF(OR($D365="g",$D365="ｇ"),IF($M365&gt;0,$L365/$M365/1000,""),IF($D365="kg",IF($M365&gt;0,$L365/$M365,""),IF($D365="",IF($M365&gt;0,$L365/$M365/1000,IF($O365&gt;0,$N365/$O365,"")),IF($O365&gt;0,$N365/$O365,"")))))),IF(OR($D365="g",$D365="ｇ"),IF($M365&gt;0,$L365/$M365/1000,""),IF($D365="kg",IF($M365&gt;0,$L365/$M365,""),IF($D365="",IF($M365&gt;0,$L365/$M365/1000,IF($O365&gt;0,$N365/$O365,"")),IF($O365&gt;0,$N365/$O365,"")))),IF($F365="",IF(OR($E365="",$E365="⑩盛付梱包工程入力"),"",IF(OR($D365="g",$D365="ｇ"),INDEX(⑰工程労務費一覧!$N$5:$N$11,MATCH($E365,⑰工程労務費一覧!$K$5:$K$11,0))/1000,IF($D365="kg",INDEX(⑰工程労務費一覧!$N$5:$N$11,MATCH($E365,⑰工程労務費一覧!$K$5:$K$11,0)),IF(OR($D365="個",$D365="切",$D365="本",$D365="枚",$D365="尾"),IF($E365="⑬計量工程入力","",INDEX(⑰工程労務費一覧!$P$5:$P$11,MATCH($E365,⑰工程労務費一覧!$K$5:$K$11,0))),IF(AND($D365="",OR($E365="②釜工程入力",$E365="③スチコン工程入力")),INDEX(⑰工程労務費一覧!$N$5:$N$11,MATCH($E365,⑰工程労務費一覧!$K$5:$K$11,0))/1000,""))))),IF(OR($D365="g",$D365="ｇ"),INDEX(⑰工程労務費一覧!$H$5:$H$753,MATCH($F365,⑰工程労務費一覧!$D$5:$D$753,0))/1000,IF($D365="kg",INDEX(⑰工程労務費一覧!$H$5:$H$753,MATCH($F365,⑰工程労務費一覧!$D$5:$D$753,0)),INDEX(⑰工程労務費一覧!$I$5:$I$753,MATCH($F365,⑰工程労務費一覧!$D$5:$D$753,0)))))),"")</f>
        <v/>
      </c>
      <c r="I365" s="392">
        <f>IF($K365&gt;0,IF(ISNUMBER(IF(OR($D365="g",$D365="ｇ"),IF($M365&gt;0,$L365/$M365/1000,""),IF($D365="kg",IF($M365&gt;0,$L365/$M365,""),IF($D365="",IF($M365&gt;0,$L365/$M365/1000,IF($O365&gt;0,$N365/$O365,"")),IF($O365&gt;0,$N365/$O365,""))))),IF($D365="",IF($M365&gt;0,"◎ JAN紐づけ(g扱い)","◎ JAN紐づけ(個扱い)"),"◎ JAN紐づけ"),"△ JAN紐づけ済・実績不足→仮計算"),IF($F365="",IF(ISNUMBER($H365),IF($D365="","⑤ 工程平均で仮計算(g扱い)","⑤ 工程平均で仮計算"),IF($E365="⑩盛付梱包工程入力","⑥ 盛り込み(⑳F列で計上)",IF(AND($E365="⑬計量工程入力",OR($D365="個",$D365="切",$D365="本",$D365="枚",$D365="尾")),"① 未紐づけ(カット個単位は仮単価なし)","① 未紐づけ"))),IF(NOT(ISNUMBER($H365)),"② 工程側に単価なし",IF($D365="","③ 単位未設定(個で計算)","④ OK"))))</f>
        <v/>
      </c>
      <c r="J365" s="399">
        <f>IFERROR(LOOKUP(2,1/((中間品リスト!$F$2:$F$1299=$B365)*(中間品リスト!$E$2:$E$1299&lt;&gt;"-")*(中間品リスト!$E$2:$E$1299&lt;&gt;"")),中間品リスト!$E$2:$E$1299),"")</f>
        <v/>
      </c>
      <c r="K365" s="400">
        <f>IF($J365="",0,COUNTIF(②釜工程入力!$S$5:$S$117,$J365)+COUNTIF(③スチコン工程入力!$S$5:$S$152,$J365)+COUNTIF(⑪ZEN工程入力!$S$6:$S$35,$J365)+COUNTIF(⑫ミキサー工程入力!$S$6:$S$65,$J365)+COUNTIF(⑬計量工程入力!$S$6:$S$65,$J365)+COUNTIF(⑭手動工程入力!$S$6:$S$47,$J365))</f>
        <v/>
      </c>
      <c r="L365" s="393">
        <f>IF($J365="",0,SUMIFS(②釜工程入力!$M$5:$M$117,②釜工程入力!$S$5:$S$117,$J365,②釜工程入力!$I$5:$I$117,"&gt;0")+SUMIFS(③スチコン工程入力!$M$5:$M$152,③スチコン工程入力!$S$5:$S$152,$J365,③スチコン工程入力!$I$5:$I$152,"&gt;0")+SUMIFS(⑪ZEN工程入力!$M$6:$M$35,⑪ZEN工程入力!$S$6:$S$35,$J365,⑪ZEN工程入力!$I$6:$I$35,"&gt;0")+SUMIFS(⑫ミキサー工程入力!$M$6:$M$65,⑫ミキサー工程入力!$S$6:$S$65,$J365,⑫ミキサー工程入力!$I$6:$I$65,"&gt;0")+SUMIFS(⑬計量工程入力!$M$6:$M$65,⑬計量工程入力!$S$6:$S$65,$J365,⑬計量工程入力!$I$6:$I$65,"&gt;0")+SUMIFS(⑭手動工程入力!$M$6:$M$47,⑭手動工程入力!$S$6:$S$47,$J365,⑭手動工程入力!$I$6:$I$47,"&gt;0"))</f>
        <v/>
      </c>
      <c r="M365" s="393">
        <f>IF($J365="",0,SUMIFS(②釜工程入力!$I$5:$I$117,②釜工程入力!$S$5:$S$117,$J365,②釜工程入力!$I$5:$I$117,"&gt;0",②釜工程入力!$M$5:$M$117,"&gt;0")+SUMIFS(③スチコン工程入力!$I$5:$I$152,③スチコン工程入力!$S$5:$S$152,$J365,③スチコン工程入力!$I$5:$I$152,"&gt;0",③スチコン工程入力!$M$5:$M$152,"&gt;0")+SUMIFS(⑪ZEN工程入力!$I$6:$I$35,⑪ZEN工程入力!$S$6:$S$35,$J365,⑪ZEN工程入力!$I$6:$I$35,"&gt;0",⑪ZEN工程入力!$M$6:$M$35,"&gt;0")+SUMIFS(⑫ミキサー工程入力!$I$6:$I$65,⑫ミキサー工程入力!$S$6:$S$65,$J365,⑫ミキサー工程入力!$I$6:$I$65,"&gt;0",⑫ミキサー工程入力!$M$6:$M$65,"&gt;0")+SUMIFS(⑬計量工程入力!$I$6:$I$65,⑬計量工程入力!$S$6:$S$65,$J365,⑬計量工程入力!$I$6:$I$65,"&gt;0",⑬計量工程入力!$M$6:$M$65,"&gt;0")+SUMIFS(⑭手動工程入力!$I$6:$I$47,⑭手動工程入力!$S$6:$S$47,$J365,⑭手動工程入力!$I$6:$I$47,"&gt;0",⑭手動工程入力!$M$6:$M$47,"&gt;0"))</f>
        <v/>
      </c>
      <c r="N365" s="393">
        <f>IF($J365="",0,SUMIFS(②釜工程入力!$M$5:$M$117,②釜工程入力!$S$5:$S$117,$J365,②釜工程入力!$J$5:$J$117,"&gt;0")-SUMIFS(②釜工程入力!$M$5:$M$117,②釜工程入力!$S$5:$S$117,$J365,②釜工程入力!$J$5:$J$117,"&gt;0",②釜工程入力!$I$5:$I$117,"&gt;0")+SUMIFS(③スチコン工程入力!$M$5:$M$152,③スチコン工程入力!$S$5:$S$152,$J365,③スチコン工程入力!$J$5:$J$152,"&gt;0")-SUMIFS(③スチコン工程入力!$M$5:$M$152,③スチコン工程入力!$S$5:$S$152,$J365,③スチコン工程入力!$J$5:$J$152,"&gt;0",③スチコン工程入力!$I$5:$I$152,"&gt;0")+SUMIFS(⑪ZEN工程入力!$M$6:$M$35,⑪ZEN工程入力!$S$6:$S$35,$J365,⑪ZEN工程入力!$J$6:$J$35,"&gt;0")-SUMIFS(⑪ZEN工程入力!$M$6:$M$35,⑪ZEN工程入力!$S$6:$S$35,$J365,⑪ZEN工程入力!$J$6:$J$35,"&gt;0",⑪ZEN工程入力!$I$6:$I$35,"&gt;0")+SUMIFS(⑫ミキサー工程入力!$M$6:$M$65,⑫ミキサー工程入力!$S$6:$S$65,$J365,⑫ミキサー工程入力!$J$6:$J$65,"&gt;0")-SUMIFS(⑫ミキサー工程入力!$M$6:$M$65,⑫ミキサー工程入力!$S$6:$S$65,$J365,⑫ミキサー工程入力!$J$6:$J$65,"&gt;0",⑫ミキサー工程入力!$I$6:$I$65,"&gt;0")+SUMIFS(⑬計量工程入力!$M$6:$M$65,⑬計量工程入力!$S$6:$S$65,$J365,⑬計量工程入力!$J$6:$J$65,"&gt;0")-SUMIFS(⑬計量工程入力!$M$6:$M$65,⑬計量工程入力!$S$6:$S$65,$J365,⑬計量工程入力!$J$6:$J$65,"&gt;0",⑬計量工程入力!$I$6:$I$65,"&gt;0")+SUMIFS(⑭手動工程入力!$M$6:$M$47,⑭手動工程入力!$S$6:$S$47,$J365,⑭手動工程入力!$J$6:$J$47,"&gt;0")-SUMIFS(⑭手動工程入力!$M$6:$M$47,⑭手動工程入力!$S$6:$S$47,$J365,⑭手動工程入力!$J$6:$J$47,"&gt;0",⑭手動工程入力!$I$6:$I$47,"&gt;0"))</f>
        <v/>
      </c>
      <c r="O365" s="393">
        <f>IF($J365="",0,SUMIFS(②釜工程入力!$J$5:$J$117,②釜工程入力!$S$5:$S$117,$J365,②釜工程入力!$J$5:$J$117,"&gt;0",②釜工程入力!$M$5:$M$117,"&gt;0")-SUMIFS(②釜工程入力!$J$5:$J$117,②釜工程入力!$S$5:$S$117,$J365,②釜工程入力!$J$5:$J$117,"&gt;0",②釜工程入力!$I$5:$I$117,"&gt;0",②釜工程入力!$M$5:$M$117,"&gt;0")+SUMIFS(③スチコン工程入力!$J$5:$J$152,③スチコン工程入力!$S$5:$S$152,$J365,③スチコン工程入力!$J$5:$J$152,"&gt;0",③スチコン工程入力!$M$5:$M$152,"&gt;0")-SUMIFS(③スチコン工程入力!$J$5:$J$152,③スチコン工程入力!$S$5:$S$152,$J365,③スチコン工程入力!$J$5:$J$152,"&gt;0",③スチコン工程入力!$I$5:$I$152,"&gt;0",③スチコン工程入力!$M$5:$M$152,"&gt;0")+SUMIFS(⑪ZEN工程入力!$J$6:$J$35,⑪ZEN工程入力!$S$6:$S$35,$J365,⑪ZEN工程入力!$J$6:$J$35,"&gt;0",⑪ZEN工程入力!$M$6:$M$35,"&gt;0")-SUMIFS(⑪ZEN工程入力!$J$6:$J$35,⑪ZEN工程入力!$S$6:$S$35,$J365,⑪ZEN工程入力!$J$6:$J$35,"&gt;0",⑪ZEN工程入力!$I$6:$I$35,"&gt;0",⑪ZEN工程入力!$M$6:$M$35,"&gt;0")+SUMIFS(⑫ミキサー工程入力!$J$6:$J$65,⑫ミキサー工程入力!$S$6:$S$65,$J365,⑫ミキサー工程入力!$J$6:$J$65,"&gt;0",⑫ミキサー工程入力!$M$6:$M$65,"&gt;0")-SUMIFS(⑫ミキサー工程入力!$J$6:$J$65,⑫ミキサー工程入力!$S$6:$S$65,$J365,⑫ミキサー工程入力!$J$6:$J$65,"&gt;0",⑫ミキサー工程入力!$I$6:$I$65,"&gt;0",⑫ミキサー工程入力!$M$6:$M$65,"&gt;0")+SUMIFS(⑬計量工程入力!$J$6:$J$65,⑬計量工程入力!$S$6:$S$65,$J365,⑬計量工程入力!$J$6:$J$65,"&gt;0",⑬計量工程入力!$M$6:$M$65,"&gt;0")-SUMIFS(⑬計量工程入力!$J$6:$J$65,⑬計量工程入力!$S$6:$S$65,$J365,⑬計量工程入力!$J$6:$J$65,"&gt;0",⑬計量工程入力!$I$6:$I$65,"&gt;0",⑬計量工程入力!$M$6:$M$65,"&gt;0")+SUMIFS(⑭手動工程入力!$J$6:$J$47,⑭手動工程入力!$S$6:$S$47,$J365,⑭手動工程入力!$J$6:$J$47,"&gt;0",⑭手動工程入力!$M$6:$M$47,"&gt;0")-SUMIFS(⑭手動工程入力!$J$6:$J$47,⑭手動工程入力!$S$6:$S$47,$J365,⑭手動工程入力!$J$6:$J$47,"&gt;0",⑭手動工程入力!$I$6:$I$47,"&gt;0",⑭手動工程入力!$M$6:$M$47,"&gt;0"))</f>
        <v/>
      </c>
      <c r="P365" s="392" t="inlineStr">
        <is>
          <t>中間品リスト</t>
        </is>
      </c>
    </row>
    <row r="366">
      <c r="A366" s="392" t="n">
        <v>362</v>
      </c>
      <c r="B366" s="392" t="n"/>
      <c r="C366" s="392" t="n"/>
      <c r="D366" s="392" t="n"/>
      <c r="E366" s="392" t="n"/>
      <c r="F366" s="394" t="n"/>
      <c r="G366" s="392" t="n"/>
      <c r="H366" s="604">
        <f>IFERROR(IF(AND($K366&gt;0,ISNUMBER(IF(OR($D366="g",$D366="ｇ"),IF($M366&gt;0,$L366/$M366/1000,""),IF($D366="kg",IF($M366&gt;0,$L366/$M366,""),IF($D366="",IF($M366&gt;0,$L366/$M366/1000,IF($O366&gt;0,$N366/$O366,"")),IF($O366&gt;0,$N366/$O366,"")))))),IF(OR($D366="g",$D366="ｇ"),IF($M366&gt;0,$L366/$M366/1000,""),IF($D366="kg",IF($M366&gt;0,$L366/$M366,""),IF($D366="",IF($M366&gt;0,$L366/$M366/1000,IF($O366&gt;0,$N366/$O366,"")),IF($O366&gt;0,$N366/$O366,"")))),IF($F366="",IF(OR($E366="",$E366="⑩盛付梱包工程入力"),"",IF(OR($D366="g",$D366="ｇ"),INDEX(⑰工程労務費一覧!$N$5:$N$11,MATCH($E366,⑰工程労務費一覧!$K$5:$K$11,0))/1000,IF($D366="kg",INDEX(⑰工程労務費一覧!$N$5:$N$11,MATCH($E366,⑰工程労務費一覧!$K$5:$K$11,0)),IF(OR($D366="個",$D366="切",$D366="本",$D366="枚",$D366="尾"),IF($E366="⑬計量工程入力","",INDEX(⑰工程労務費一覧!$P$5:$P$11,MATCH($E366,⑰工程労務費一覧!$K$5:$K$11,0))),IF(AND($D366="",OR($E366="②釜工程入力",$E366="③スチコン工程入力")),INDEX(⑰工程労務費一覧!$N$5:$N$11,MATCH($E366,⑰工程労務費一覧!$K$5:$K$11,0))/1000,""))))),IF(OR($D366="g",$D366="ｇ"),INDEX(⑰工程労務費一覧!$H$5:$H$753,MATCH($F366,⑰工程労務費一覧!$D$5:$D$753,0))/1000,IF($D366="kg",INDEX(⑰工程労務費一覧!$H$5:$H$753,MATCH($F366,⑰工程労務費一覧!$D$5:$D$753,0)),INDEX(⑰工程労務費一覧!$I$5:$I$753,MATCH($F366,⑰工程労務費一覧!$D$5:$D$753,0)))))),"")</f>
        <v/>
      </c>
      <c r="I366" s="392">
        <f>IF($K366&gt;0,IF(ISNUMBER(IF(OR($D366="g",$D366="ｇ"),IF($M366&gt;0,$L366/$M366/1000,""),IF($D366="kg",IF($M366&gt;0,$L366/$M366,""),IF($D366="",IF($M366&gt;0,$L366/$M366/1000,IF($O366&gt;0,$N366/$O366,"")),IF($O366&gt;0,$N366/$O366,""))))),IF($D366="",IF($M366&gt;0,"◎ JAN紐づけ(g扱い)","◎ JAN紐づけ(個扱い)"),"◎ JAN紐づけ"),"△ JAN紐づけ済・実績不足→仮計算"),IF($F366="",IF(ISNUMBER($H366),IF($D366="","⑤ 工程平均で仮計算(g扱い)","⑤ 工程平均で仮計算"),IF($E366="⑩盛付梱包工程入力","⑥ 盛り込み(⑳F列で計上)",IF(AND($E366="⑬計量工程入力",OR($D366="個",$D366="切",$D366="本",$D366="枚",$D366="尾")),"① 未紐づけ(カット個単位は仮単価なし)","① 未紐づけ"))),IF(NOT(ISNUMBER($H366)),"② 工程側に単価なし",IF($D366="","③ 単位未設定(個で計算)","④ OK"))))</f>
        <v/>
      </c>
      <c r="J366" s="399">
        <f>IFERROR(LOOKUP(2,1/((中間品リスト!$F$2:$F$1299=$B366)*(中間品リスト!$E$2:$E$1299&lt;&gt;"-")*(中間品リスト!$E$2:$E$1299&lt;&gt;"")),中間品リスト!$E$2:$E$1299),"")</f>
        <v/>
      </c>
      <c r="K366" s="400">
        <f>IF($J366="",0,COUNTIF(②釜工程入力!$S$5:$S$117,$J366)+COUNTIF(③スチコン工程入力!$S$5:$S$152,$J366)+COUNTIF(⑪ZEN工程入力!$S$6:$S$35,$J366)+COUNTIF(⑫ミキサー工程入力!$S$6:$S$65,$J366)+COUNTIF(⑬計量工程入力!$S$6:$S$65,$J366)+COUNTIF(⑭手動工程入力!$S$6:$S$47,$J366))</f>
        <v/>
      </c>
      <c r="L366" s="393">
        <f>IF($J366="",0,SUMIFS(②釜工程入力!$M$5:$M$117,②釜工程入力!$S$5:$S$117,$J366,②釜工程入力!$I$5:$I$117,"&gt;0")+SUMIFS(③スチコン工程入力!$M$5:$M$152,③スチコン工程入力!$S$5:$S$152,$J366,③スチコン工程入力!$I$5:$I$152,"&gt;0")+SUMIFS(⑪ZEN工程入力!$M$6:$M$35,⑪ZEN工程入力!$S$6:$S$35,$J366,⑪ZEN工程入力!$I$6:$I$35,"&gt;0")+SUMIFS(⑫ミキサー工程入力!$M$6:$M$65,⑫ミキサー工程入力!$S$6:$S$65,$J366,⑫ミキサー工程入力!$I$6:$I$65,"&gt;0")+SUMIFS(⑬計量工程入力!$M$6:$M$65,⑬計量工程入力!$S$6:$S$65,$J366,⑬計量工程入力!$I$6:$I$65,"&gt;0")+SUMIFS(⑭手動工程入力!$M$6:$M$47,⑭手動工程入力!$S$6:$S$47,$J366,⑭手動工程入力!$I$6:$I$47,"&gt;0"))</f>
        <v/>
      </c>
      <c r="M366" s="393">
        <f>IF($J366="",0,SUMIFS(②釜工程入力!$I$5:$I$117,②釜工程入力!$S$5:$S$117,$J366,②釜工程入力!$I$5:$I$117,"&gt;0",②釜工程入力!$M$5:$M$117,"&gt;0")+SUMIFS(③スチコン工程入力!$I$5:$I$152,③スチコン工程入力!$S$5:$S$152,$J366,③スチコン工程入力!$I$5:$I$152,"&gt;0",③スチコン工程入力!$M$5:$M$152,"&gt;0")+SUMIFS(⑪ZEN工程入力!$I$6:$I$35,⑪ZEN工程入力!$S$6:$S$35,$J366,⑪ZEN工程入力!$I$6:$I$35,"&gt;0",⑪ZEN工程入力!$M$6:$M$35,"&gt;0")+SUMIFS(⑫ミキサー工程入力!$I$6:$I$65,⑫ミキサー工程入力!$S$6:$S$65,$J366,⑫ミキサー工程入力!$I$6:$I$65,"&gt;0",⑫ミキサー工程入力!$M$6:$M$65,"&gt;0")+SUMIFS(⑬計量工程入力!$I$6:$I$65,⑬計量工程入力!$S$6:$S$65,$J366,⑬計量工程入力!$I$6:$I$65,"&gt;0",⑬計量工程入力!$M$6:$M$65,"&gt;0")+SUMIFS(⑭手動工程入力!$I$6:$I$47,⑭手動工程入力!$S$6:$S$47,$J366,⑭手動工程入力!$I$6:$I$47,"&gt;0",⑭手動工程入力!$M$6:$M$47,"&gt;0"))</f>
        <v/>
      </c>
      <c r="N366" s="393">
        <f>IF($J366="",0,SUMIFS(②釜工程入力!$M$5:$M$117,②釜工程入力!$S$5:$S$117,$J366,②釜工程入力!$J$5:$J$117,"&gt;0")-SUMIFS(②釜工程入力!$M$5:$M$117,②釜工程入力!$S$5:$S$117,$J366,②釜工程入力!$J$5:$J$117,"&gt;0",②釜工程入力!$I$5:$I$117,"&gt;0")+SUMIFS(③スチコン工程入力!$M$5:$M$152,③スチコン工程入力!$S$5:$S$152,$J366,③スチコン工程入力!$J$5:$J$152,"&gt;0")-SUMIFS(③スチコン工程入力!$M$5:$M$152,③スチコン工程入力!$S$5:$S$152,$J366,③スチコン工程入力!$J$5:$J$152,"&gt;0",③スチコン工程入力!$I$5:$I$152,"&gt;0")+SUMIFS(⑪ZEN工程入力!$M$6:$M$35,⑪ZEN工程入力!$S$6:$S$35,$J366,⑪ZEN工程入力!$J$6:$J$35,"&gt;0")-SUMIFS(⑪ZEN工程入力!$M$6:$M$35,⑪ZEN工程入力!$S$6:$S$35,$J366,⑪ZEN工程入力!$J$6:$J$35,"&gt;0",⑪ZEN工程入力!$I$6:$I$35,"&gt;0")+SUMIFS(⑫ミキサー工程入力!$M$6:$M$65,⑫ミキサー工程入力!$S$6:$S$65,$J366,⑫ミキサー工程入力!$J$6:$J$65,"&gt;0")-SUMIFS(⑫ミキサー工程入力!$M$6:$M$65,⑫ミキサー工程入力!$S$6:$S$65,$J366,⑫ミキサー工程入力!$J$6:$J$65,"&gt;0",⑫ミキサー工程入力!$I$6:$I$65,"&gt;0")+SUMIFS(⑬計量工程入力!$M$6:$M$65,⑬計量工程入力!$S$6:$S$65,$J366,⑬計量工程入力!$J$6:$J$65,"&gt;0")-SUMIFS(⑬計量工程入力!$M$6:$M$65,⑬計量工程入力!$S$6:$S$65,$J366,⑬計量工程入力!$J$6:$J$65,"&gt;0",⑬計量工程入力!$I$6:$I$65,"&gt;0")+SUMIFS(⑭手動工程入力!$M$6:$M$47,⑭手動工程入力!$S$6:$S$47,$J366,⑭手動工程入力!$J$6:$J$47,"&gt;0")-SUMIFS(⑭手動工程入力!$M$6:$M$47,⑭手動工程入力!$S$6:$S$47,$J366,⑭手動工程入力!$J$6:$J$47,"&gt;0",⑭手動工程入力!$I$6:$I$47,"&gt;0"))</f>
        <v/>
      </c>
      <c r="O366" s="393">
        <f>IF($J366="",0,SUMIFS(②釜工程入力!$J$5:$J$117,②釜工程入力!$S$5:$S$117,$J366,②釜工程入力!$J$5:$J$117,"&gt;0",②釜工程入力!$M$5:$M$117,"&gt;0")-SUMIFS(②釜工程入力!$J$5:$J$117,②釜工程入力!$S$5:$S$117,$J366,②釜工程入力!$J$5:$J$117,"&gt;0",②釜工程入力!$I$5:$I$117,"&gt;0",②釜工程入力!$M$5:$M$117,"&gt;0")+SUMIFS(③スチコン工程入力!$J$5:$J$152,③スチコン工程入力!$S$5:$S$152,$J366,③スチコン工程入力!$J$5:$J$152,"&gt;0",③スチコン工程入力!$M$5:$M$152,"&gt;0")-SUMIFS(③スチコン工程入力!$J$5:$J$152,③スチコン工程入力!$S$5:$S$152,$J366,③スチコン工程入力!$J$5:$J$152,"&gt;0",③スチコン工程入力!$I$5:$I$152,"&gt;0",③スチコン工程入力!$M$5:$M$152,"&gt;0")+SUMIFS(⑪ZEN工程入力!$J$6:$J$35,⑪ZEN工程入力!$S$6:$S$35,$J366,⑪ZEN工程入力!$J$6:$J$35,"&gt;0",⑪ZEN工程入力!$M$6:$M$35,"&gt;0")-SUMIFS(⑪ZEN工程入力!$J$6:$J$35,⑪ZEN工程入力!$S$6:$S$35,$J366,⑪ZEN工程入力!$J$6:$J$35,"&gt;0",⑪ZEN工程入力!$I$6:$I$35,"&gt;0",⑪ZEN工程入力!$M$6:$M$35,"&gt;0")+SUMIFS(⑫ミキサー工程入力!$J$6:$J$65,⑫ミキサー工程入力!$S$6:$S$65,$J366,⑫ミキサー工程入力!$J$6:$J$65,"&gt;0",⑫ミキサー工程入力!$M$6:$M$65,"&gt;0")-SUMIFS(⑫ミキサー工程入力!$J$6:$J$65,⑫ミキサー工程入力!$S$6:$S$65,$J366,⑫ミキサー工程入力!$J$6:$J$65,"&gt;0",⑫ミキサー工程入力!$I$6:$I$65,"&gt;0",⑫ミキサー工程入力!$M$6:$M$65,"&gt;0")+SUMIFS(⑬計量工程入力!$J$6:$J$65,⑬計量工程入力!$S$6:$S$65,$J366,⑬計量工程入力!$J$6:$J$65,"&gt;0",⑬計量工程入力!$M$6:$M$65,"&gt;0")-SUMIFS(⑬計量工程入力!$J$6:$J$65,⑬計量工程入力!$S$6:$S$65,$J366,⑬計量工程入力!$J$6:$J$65,"&gt;0",⑬計量工程入力!$I$6:$I$65,"&gt;0",⑬計量工程入力!$M$6:$M$65,"&gt;0")+SUMIFS(⑭手動工程入力!$J$6:$J$47,⑭手動工程入力!$S$6:$S$47,$J366,⑭手動工程入力!$J$6:$J$47,"&gt;0",⑭手動工程入力!$M$6:$M$47,"&gt;0")-SUMIFS(⑭手動工程入力!$J$6:$J$47,⑭手動工程入力!$S$6:$S$47,$J366,⑭手動工程入力!$J$6:$J$47,"&gt;0",⑭手動工程入力!$I$6:$I$47,"&gt;0",⑭手動工程入力!$M$6:$M$47,"&gt;0"))</f>
        <v/>
      </c>
      <c r="P366" s="392" t="n"/>
    </row>
    <row r="367">
      <c r="A367" s="392" t="n">
        <v>363</v>
      </c>
      <c r="B367" s="392" t="n"/>
      <c r="C367" s="392" t="n"/>
      <c r="D367" s="392" t="n"/>
      <c r="E367" s="392" t="n"/>
      <c r="F367" s="394" t="n"/>
      <c r="G367" s="392" t="n"/>
      <c r="H367" s="604">
        <f>IFERROR(IF(AND($K367&gt;0,ISNUMBER(IF(OR($D367="g",$D367="ｇ"),IF($M367&gt;0,$L367/$M367/1000,""),IF($D367="kg",IF($M367&gt;0,$L367/$M367,""),IF($D367="",IF($M367&gt;0,$L367/$M367/1000,IF($O367&gt;0,$N367/$O367,"")),IF($O367&gt;0,$N367/$O367,"")))))),IF(OR($D367="g",$D367="ｇ"),IF($M367&gt;0,$L367/$M367/1000,""),IF($D367="kg",IF($M367&gt;0,$L367/$M367,""),IF($D367="",IF($M367&gt;0,$L367/$M367/1000,IF($O367&gt;0,$N367/$O367,"")),IF($O367&gt;0,$N367/$O367,"")))),IF($F367="",IF(OR($E367="",$E367="⑩盛付梱包工程入力"),"",IF(OR($D367="g",$D367="ｇ"),INDEX(⑰工程労務費一覧!$N$5:$N$11,MATCH($E367,⑰工程労務費一覧!$K$5:$K$11,0))/1000,IF($D367="kg",INDEX(⑰工程労務費一覧!$N$5:$N$11,MATCH($E367,⑰工程労務費一覧!$K$5:$K$11,0)),IF(OR($D367="個",$D367="切",$D367="本",$D367="枚",$D367="尾"),IF($E367="⑬計量工程入力","",INDEX(⑰工程労務費一覧!$P$5:$P$11,MATCH($E367,⑰工程労務費一覧!$K$5:$K$11,0))),IF(AND($D367="",OR($E367="②釜工程入力",$E367="③スチコン工程入力")),INDEX(⑰工程労務費一覧!$N$5:$N$11,MATCH($E367,⑰工程労務費一覧!$K$5:$K$11,0))/1000,""))))),IF(OR($D367="g",$D367="ｇ"),INDEX(⑰工程労務費一覧!$H$5:$H$753,MATCH($F367,⑰工程労務費一覧!$D$5:$D$753,0))/1000,IF($D367="kg",INDEX(⑰工程労務費一覧!$H$5:$H$753,MATCH($F367,⑰工程労務費一覧!$D$5:$D$753,0)),INDEX(⑰工程労務費一覧!$I$5:$I$753,MATCH($F367,⑰工程労務費一覧!$D$5:$D$753,0)))))),"")</f>
        <v/>
      </c>
      <c r="I367" s="392">
        <f>IF($K367&gt;0,IF(ISNUMBER(IF(OR($D367="g",$D367="ｇ"),IF($M367&gt;0,$L367/$M367/1000,""),IF($D367="kg",IF($M367&gt;0,$L367/$M367,""),IF($D367="",IF($M367&gt;0,$L367/$M367/1000,IF($O367&gt;0,$N367/$O367,"")),IF($O367&gt;0,$N367/$O367,""))))),IF($D367="",IF($M367&gt;0,"◎ JAN紐づけ(g扱い)","◎ JAN紐づけ(個扱い)"),"◎ JAN紐づけ"),"△ JAN紐づけ済・実績不足→仮計算"),IF($F367="",IF(ISNUMBER($H367),IF($D367="","⑤ 工程平均で仮計算(g扱い)","⑤ 工程平均で仮計算"),IF($E367="⑩盛付梱包工程入力","⑥ 盛り込み(⑳F列で計上)",IF(AND($E367="⑬計量工程入力",OR($D367="個",$D367="切",$D367="本",$D367="枚",$D367="尾")),"① 未紐づけ(カット個単位は仮単価なし)","① 未紐づけ"))),IF(NOT(ISNUMBER($H367)),"② 工程側に単価なし",IF($D367="","③ 単位未設定(個で計算)","④ OK"))))</f>
        <v/>
      </c>
      <c r="J367" s="399">
        <f>IFERROR(LOOKUP(2,1/((中間品リスト!$F$2:$F$1299=$B367)*(中間品リスト!$E$2:$E$1299&lt;&gt;"-")*(中間品リスト!$E$2:$E$1299&lt;&gt;"")),中間品リスト!$E$2:$E$1299),"")</f>
        <v/>
      </c>
      <c r="K367" s="400">
        <f>IF($J367="",0,COUNTIF(②釜工程入力!$S$5:$S$117,$J367)+COUNTIF(③スチコン工程入力!$S$5:$S$152,$J367)+COUNTIF(⑪ZEN工程入力!$S$6:$S$35,$J367)+COUNTIF(⑫ミキサー工程入力!$S$6:$S$65,$J367)+COUNTIF(⑬計量工程入力!$S$6:$S$65,$J367)+COUNTIF(⑭手動工程入力!$S$6:$S$47,$J367))</f>
        <v/>
      </c>
      <c r="L367" s="393">
        <f>IF($J367="",0,SUMIFS(②釜工程入力!$M$5:$M$117,②釜工程入力!$S$5:$S$117,$J367,②釜工程入力!$I$5:$I$117,"&gt;0")+SUMIFS(③スチコン工程入力!$M$5:$M$152,③スチコン工程入力!$S$5:$S$152,$J367,③スチコン工程入力!$I$5:$I$152,"&gt;0")+SUMIFS(⑪ZEN工程入力!$M$6:$M$35,⑪ZEN工程入力!$S$6:$S$35,$J367,⑪ZEN工程入力!$I$6:$I$35,"&gt;0")+SUMIFS(⑫ミキサー工程入力!$M$6:$M$65,⑫ミキサー工程入力!$S$6:$S$65,$J367,⑫ミキサー工程入力!$I$6:$I$65,"&gt;0")+SUMIFS(⑬計量工程入力!$M$6:$M$65,⑬計量工程入力!$S$6:$S$65,$J367,⑬計量工程入力!$I$6:$I$65,"&gt;0")+SUMIFS(⑭手動工程入力!$M$6:$M$47,⑭手動工程入力!$S$6:$S$47,$J367,⑭手動工程入力!$I$6:$I$47,"&gt;0"))</f>
        <v/>
      </c>
      <c r="M367" s="393">
        <f>IF($J367="",0,SUMIFS(②釜工程入力!$I$5:$I$117,②釜工程入力!$S$5:$S$117,$J367,②釜工程入力!$I$5:$I$117,"&gt;0",②釜工程入力!$M$5:$M$117,"&gt;0")+SUMIFS(③スチコン工程入力!$I$5:$I$152,③スチコン工程入力!$S$5:$S$152,$J367,③スチコン工程入力!$I$5:$I$152,"&gt;0",③スチコン工程入力!$M$5:$M$152,"&gt;0")+SUMIFS(⑪ZEN工程入力!$I$6:$I$35,⑪ZEN工程入力!$S$6:$S$35,$J367,⑪ZEN工程入力!$I$6:$I$35,"&gt;0",⑪ZEN工程入力!$M$6:$M$35,"&gt;0")+SUMIFS(⑫ミキサー工程入力!$I$6:$I$65,⑫ミキサー工程入力!$S$6:$S$65,$J367,⑫ミキサー工程入力!$I$6:$I$65,"&gt;0",⑫ミキサー工程入力!$M$6:$M$65,"&gt;0")+SUMIFS(⑬計量工程入力!$I$6:$I$65,⑬計量工程入力!$S$6:$S$65,$J367,⑬計量工程入力!$I$6:$I$65,"&gt;0",⑬計量工程入力!$M$6:$M$65,"&gt;0")+SUMIFS(⑭手動工程入力!$I$6:$I$47,⑭手動工程入力!$S$6:$S$47,$J367,⑭手動工程入力!$I$6:$I$47,"&gt;0",⑭手動工程入力!$M$6:$M$47,"&gt;0"))</f>
        <v/>
      </c>
      <c r="N367" s="393">
        <f>IF($J367="",0,SUMIFS(②釜工程入力!$M$5:$M$117,②釜工程入力!$S$5:$S$117,$J367,②釜工程入力!$J$5:$J$117,"&gt;0")-SUMIFS(②釜工程入力!$M$5:$M$117,②釜工程入力!$S$5:$S$117,$J367,②釜工程入力!$J$5:$J$117,"&gt;0",②釜工程入力!$I$5:$I$117,"&gt;0")+SUMIFS(③スチコン工程入力!$M$5:$M$152,③スチコン工程入力!$S$5:$S$152,$J367,③スチコン工程入力!$J$5:$J$152,"&gt;0")-SUMIFS(③スチコン工程入力!$M$5:$M$152,③スチコン工程入力!$S$5:$S$152,$J367,③スチコン工程入力!$J$5:$J$152,"&gt;0",③スチコン工程入力!$I$5:$I$152,"&gt;0")+SUMIFS(⑪ZEN工程入力!$M$6:$M$35,⑪ZEN工程入力!$S$6:$S$35,$J367,⑪ZEN工程入力!$J$6:$J$35,"&gt;0")-SUMIFS(⑪ZEN工程入力!$M$6:$M$35,⑪ZEN工程入力!$S$6:$S$35,$J367,⑪ZEN工程入力!$J$6:$J$35,"&gt;0",⑪ZEN工程入力!$I$6:$I$35,"&gt;0")+SUMIFS(⑫ミキサー工程入力!$M$6:$M$65,⑫ミキサー工程入力!$S$6:$S$65,$J367,⑫ミキサー工程入力!$J$6:$J$65,"&gt;0")-SUMIFS(⑫ミキサー工程入力!$M$6:$M$65,⑫ミキサー工程入力!$S$6:$S$65,$J367,⑫ミキサー工程入力!$J$6:$J$65,"&gt;0",⑫ミキサー工程入力!$I$6:$I$65,"&gt;0")+SUMIFS(⑬計量工程入力!$M$6:$M$65,⑬計量工程入力!$S$6:$S$65,$J367,⑬計量工程入力!$J$6:$J$65,"&gt;0")-SUMIFS(⑬計量工程入力!$M$6:$M$65,⑬計量工程入力!$S$6:$S$65,$J367,⑬計量工程入力!$J$6:$J$65,"&gt;0",⑬計量工程入力!$I$6:$I$65,"&gt;0")+SUMIFS(⑭手動工程入力!$M$6:$M$47,⑭手動工程入力!$S$6:$S$47,$J367,⑭手動工程入力!$J$6:$J$47,"&gt;0")-SUMIFS(⑭手動工程入力!$M$6:$M$47,⑭手動工程入力!$S$6:$S$47,$J367,⑭手動工程入力!$J$6:$J$47,"&gt;0",⑭手動工程入力!$I$6:$I$47,"&gt;0"))</f>
        <v/>
      </c>
      <c r="O367" s="393">
        <f>IF($J367="",0,SUMIFS(②釜工程入力!$J$5:$J$117,②釜工程入力!$S$5:$S$117,$J367,②釜工程入力!$J$5:$J$117,"&gt;0",②釜工程入力!$M$5:$M$117,"&gt;0")-SUMIFS(②釜工程入力!$J$5:$J$117,②釜工程入力!$S$5:$S$117,$J367,②釜工程入力!$J$5:$J$117,"&gt;0",②釜工程入力!$I$5:$I$117,"&gt;0",②釜工程入力!$M$5:$M$117,"&gt;0")+SUMIFS(③スチコン工程入力!$J$5:$J$152,③スチコン工程入力!$S$5:$S$152,$J367,③スチコン工程入力!$J$5:$J$152,"&gt;0",③スチコン工程入力!$M$5:$M$152,"&gt;0")-SUMIFS(③スチコン工程入力!$J$5:$J$152,③スチコン工程入力!$S$5:$S$152,$J367,③スチコン工程入力!$J$5:$J$152,"&gt;0",③スチコン工程入力!$I$5:$I$152,"&gt;0",③スチコン工程入力!$M$5:$M$152,"&gt;0")+SUMIFS(⑪ZEN工程入力!$J$6:$J$35,⑪ZEN工程入力!$S$6:$S$35,$J367,⑪ZEN工程入力!$J$6:$J$35,"&gt;0",⑪ZEN工程入力!$M$6:$M$35,"&gt;0")-SUMIFS(⑪ZEN工程入力!$J$6:$J$35,⑪ZEN工程入力!$S$6:$S$35,$J367,⑪ZEN工程入力!$J$6:$J$35,"&gt;0",⑪ZEN工程入力!$I$6:$I$35,"&gt;0",⑪ZEN工程入力!$M$6:$M$35,"&gt;0")+SUMIFS(⑫ミキサー工程入力!$J$6:$J$65,⑫ミキサー工程入力!$S$6:$S$65,$J367,⑫ミキサー工程入力!$J$6:$J$65,"&gt;0",⑫ミキサー工程入力!$M$6:$M$65,"&gt;0")-SUMIFS(⑫ミキサー工程入力!$J$6:$J$65,⑫ミキサー工程入力!$S$6:$S$65,$J367,⑫ミキサー工程入力!$J$6:$J$65,"&gt;0",⑫ミキサー工程入力!$I$6:$I$65,"&gt;0",⑫ミキサー工程入力!$M$6:$M$65,"&gt;0")+SUMIFS(⑬計量工程入力!$J$6:$J$65,⑬計量工程入力!$S$6:$S$65,$J367,⑬計量工程入力!$J$6:$J$65,"&gt;0",⑬計量工程入力!$M$6:$M$65,"&gt;0")-SUMIFS(⑬計量工程入力!$J$6:$J$65,⑬計量工程入力!$S$6:$S$65,$J367,⑬計量工程入力!$J$6:$J$65,"&gt;0",⑬計量工程入力!$I$6:$I$65,"&gt;0",⑬計量工程入力!$M$6:$M$65,"&gt;0")+SUMIFS(⑭手動工程入力!$J$6:$J$47,⑭手動工程入力!$S$6:$S$47,$J367,⑭手動工程入力!$J$6:$J$47,"&gt;0",⑭手動工程入力!$M$6:$M$47,"&gt;0")-SUMIFS(⑭手動工程入力!$J$6:$J$47,⑭手動工程入力!$S$6:$S$47,$J367,⑭手動工程入力!$J$6:$J$47,"&gt;0",⑭手動工程入力!$I$6:$I$47,"&gt;0",⑭手動工程入力!$M$6:$M$47,"&gt;0"))</f>
        <v/>
      </c>
      <c r="P367" s="392" t="n"/>
    </row>
    <row r="368">
      <c r="A368" s="392" t="n">
        <v>364</v>
      </c>
      <c r="B368" s="392" t="n"/>
      <c r="C368" s="392" t="n"/>
      <c r="D368" s="392" t="n"/>
      <c r="E368" s="392" t="n"/>
      <c r="F368" s="394" t="n"/>
      <c r="G368" s="392" t="n"/>
      <c r="H368" s="604">
        <f>IFERROR(IF(AND($K368&gt;0,ISNUMBER(IF(OR($D368="g",$D368="ｇ"),IF($M368&gt;0,$L368/$M368/1000,""),IF($D368="kg",IF($M368&gt;0,$L368/$M368,""),IF($D368="",IF($M368&gt;0,$L368/$M368/1000,IF($O368&gt;0,$N368/$O368,"")),IF($O368&gt;0,$N368/$O368,"")))))),IF(OR($D368="g",$D368="ｇ"),IF($M368&gt;0,$L368/$M368/1000,""),IF($D368="kg",IF($M368&gt;0,$L368/$M368,""),IF($D368="",IF($M368&gt;0,$L368/$M368/1000,IF($O368&gt;0,$N368/$O368,"")),IF($O368&gt;0,$N368/$O368,"")))),IF($F368="",IF(OR($E368="",$E368="⑩盛付梱包工程入力"),"",IF(OR($D368="g",$D368="ｇ"),INDEX(⑰工程労務費一覧!$N$5:$N$11,MATCH($E368,⑰工程労務費一覧!$K$5:$K$11,0))/1000,IF($D368="kg",INDEX(⑰工程労務費一覧!$N$5:$N$11,MATCH($E368,⑰工程労務費一覧!$K$5:$K$11,0)),IF(OR($D368="個",$D368="切",$D368="本",$D368="枚",$D368="尾"),IF($E368="⑬計量工程入力","",INDEX(⑰工程労務費一覧!$P$5:$P$11,MATCH($E368,⑰工程労務費一覧!$K$5:$K$11,0))),IF(AND($D368="",OR($E368="②釜工程入力",$E368="③スチコン工程入力")),INDEX(⑰工程労務費一覧!$N$5:$N$11,MATCH($E368,⑰工程労務費一覧!$K$5:$K$11,0))/1000,""))))),IF(OR($D368="g",$D368="ｇ"),INDEX(⑰工程労務費一覧!$H$5:$H$753,MATCH($F368,⑰工程労務費一覧!$D$5:$D$753,0))/1000,IF($D368="kg",INDEX(⑰工程労務費一覧!$H$5:$H$753,MATCH($F368,⑰工程労務費一覧!$D$5:$D$753,0)),INDEX(⑰工程労務費一覧!$I$5:$I$753,MATCH($F368,⑰工程労務費一覧!$D$5:$D$753,0)))))),"")</f>
        <v/>
      </c>
      <c r="I368" s="392">
        <f>IF($K368&gt;0,IF(ISNUMBER(IF(OR($D368="g",$D368="ｇ"),IF($M368&gt;0,$L368/$M368/1000,""),IF($D368="kg",IF($M368&gt;0,$L368/$M368,""),IF($D368="",IF($M368&gt;0,$L368/$M368/1000,IF($O368&gt;0,$N368/$O368,"")),IF($O368&gt;0,$N368/$O368,""))))),IF($D368="",IF($M368&gt;0,"◎ JAN紐づけ(g扱い)","◎ JAN紐づけ(個扱い)"),"◎ JAN紐づけ"),"△ JAN紐づけ済・実績不足→仮計算"),IF($F368="",IF(ISNUMBER($H368),IF($D368="","⑤ 工程平均で仮計算(g扱い)","⑤ 工程平均で仮計算"),IF($E368="⑩盛付梱包工程入力","⑥ 盛り込み(⑳F列で計上)",IF(AND($E368="⑬計量工程入力",OR($D368="個",$D368="切",$D368="本",$D368="枚",$D368="尾")),"① 未紐づけ(カット個単位は仮単価なし)","① 未紐づけ"))),IF(NOT(ISNUMBER($H368)),"② 工程側に単価なし",IF($D368="","③ 単位未設定(個で計算)","④ OK"))))</f>
        <v/>
      </c>
      <c r="J368" s="399">
        <f>IFERROR(LOOKUP(2,1/((中間品リスト!$F$2:$F$1299=$B368)*(中間品リスト!$E$2:$E$1299&lt;&gt;"-")*(中間品リスト!$E$2:$E$1299&lt;&gt;"")),中間品リスト!$E$2:$E$1299),"")</f>
        <v/>
      </c>
      <c r="K368" s="400">
        <f>IF($J368="",0,COUNTIF(②釜工程入力!$S$5:$S$117,$J368)+COUNTIF(③スチコン工程入力!$S$5:$S$152,$J368)+COUNTIF(⑪ZEN工程入力!$S$6:$S$35,$J368)+COUNTIF(⑫ミキサー工程入力!$S$6:$S$65,$J368)+COUNTIF(⑬計量工程入力!$S$6:$S$65,$J368)+COUNTIF(⑭手動工程入力!$S$6:$S$47,$J368))</f>
        <v/>
      </c>
      <c r="L368" s="393">
        <f>IF($J368="",0,SUMIFS(②釜工程入力!$M$5:$M$117,②釜工程入力!$S$5:$S$117,$J368,②釜工程入力!$I$5:$I$117,"&gt;0")+SUMIFS(③スチコン工程入力!$M$5:$M$152,③スチコン工程入力!$S$5:$S$152,$J368,③スチコン工程入力!$I$5:$I$152,"&gt;0")+SUMIFS(⑪ZEN工程入力!$M$6:$M$35,⑪ZEN工程入力!$S$6:$S$35,$J368,⑪ZEN工程入力!$I$6:$I$35,"&gt;0")+SUMIFS(⑫ミキサー工程入力!$M$6:$M$65,⑫ミキサー工程入力!$S$6:$S$65,$J368,⑫ミキサー工程入力!$I$6:$I$65,"&gt;0")+SUMIFS(⑬計量工程入力!$M$6:$M$65,⑬計量工程入力!$S$6:$S$65,$J368,⑬計量工程入力!$I$6:$I$65,"&gt;0")+SUMIFS(⑭手動工程入力!$M$6:$M$47,⑭手動工程入力!$S$6:$S$47,$J368,⑭手動工程入力!$I$6:$I$47,"&gt;0"))</f>
        <v/>
      </c>
      <c r="M368" s="393">
        <f>IF($J368="",0,SUMIFS(②釜工程入力!$I$5:$I$117,②釜工程入力!$S$5:$S$117,$J368,②釜工程入力!$I$5:$I$117,"&gt;0",②釜工程入力!$M$5:$M$117,"&gt;0")+SUMIFS(③スチコン工程入力!$I$5:$I$152,③スチコン工程入力!$S$5:$S$152,$J368,③スチコン工程入力!$I$5:$I$152,"&gt;0",③スチコン工程入力!$M$5:$M$152,"&gt;0")+SUMIFS(⑪ZEN工程入力!$I$6:$I$35,⑪ZEN工程入力!$S$6:$S$35,$J368,⑪ZEN工程入力!$I$6:$I$35,"&gt;0",⑪ZEN工程入力!$M$6:$M$35,"&gt;0")+SUMIFS(⑫ミキサー工程入力!$I$6:$I$65,⑫ミキサー工程入力!$S$6:$S$65,$J368,⑫ミキサー工程入力!$I$6:$I$65,"&gt;0",⑫ミキサー工程入力!$M$6:$M$65,"&gt;0")+SUMIFS(⑬計量工程入力!$I$6:$I$65,⑬計量工程入力!$S$6:$S$65,$J368,⑬計量工程入力!$I$6:$I$65,"&gt;0",⑬計量工程入力!$M$6:$M$65,"&gt;0")+SUMIFS(⑭手動工程入力!$I$6:$I$47,⑭手動工程入力!$S$6:$S$47,$J368,⑭手動工程入力!$I$6:$I$47,"&gt;0",⑭手動工程入力!$M$6:$M$47,"&gt;0"))</f>
        <v/>
      </c>
      <c r="N368" s="393">
        <f>IF($J368="",0,SUMIFS(②釜工程入力!$M$5:$M$117,②釜工程入力!$S$5:$S$117,$J368,②釜工程入力!$J$5:$J$117,"&gt;0")-SUMIFS(②釜工程入力!$M$5:$M$117,②釜工程入力!$S$5:$S$117,$J368,②釜工程入力!$J$5:$J$117,"&gt;0",②釜工程入力!$I$5:$I$117,"&gt;0")+SUMIFS(③スチコン工程入力!$M$5:$M$152,③スチコン工程入力!$S$5:$S$152,$J368,③スチコン工程入力!$J$5:$J$152,"&gt;0")-SUMIFS(③スチコン工程入力!$M$5:$M$152,③スチコン工程入力!$S$5:$S$152,$J368,③スチコン工程入力!$J$5:$J$152,"&gt;0",③スチコン工程入力!$I$5:$I$152,"&gt;0")+SUMIFS(⑪ZEN工程入力!$M$6:$M$35,⑪ZEN工程入力!$S$6:$S$35,$J368,⑪ZEN工程入力!$J$6:$J$35,"&gt;0")-SUMIFS(⑪ZEN工程入力!$M$6:$M$35,⑪ZEN工程入力!$S$6:$S$35,$J368,⑪ZEN工程入力!$J$6:$J$35,"&gt;0",⑪ZEN工程入力!$I$6:$I$35,"&gt;0")+SUMIFS(⑫ミキサー工程入力!$M$6:$M$65,⑫ミキサー工程入力!$S$6:$S$65,$J368,⑫ミキサー工程入力!$J$6:$J$65,"&gt;0")-SUMIFS(⑫ミキサー工程入力!$M$6:$M$65,⑫ミキサー工程入力!$S$6:$S$65,$J368,⑫ミキサー工程入力!$J$6:$J$65,"&gt;0",⑫ミキサー工程入力!$I$6:$I$65,"&gt;0")+SUMIFS(⑬計量工程入力!$M$6:$M$65,⑬計量工程入力!$S$6:$S$65,$J368,⑬計量工程入力!$J$6:$J$65,"&gt;0")-SUMIFS(⑬計量工程入力!$M$6:$M$65,⑬計量工程入力!$S$6:$S$65,$J368,⑬計量工程入力!$J$6:$J$65,"&gt;0",⑬計量工程入力!$I$6:$I$65,"&gt;0")+SUMIFS(⑭手動工程入力!$M$6:$M$47,⑭手動工程入力!$S$6:$S$47,$J368,⑭手動工程入力!$J$6:$J$47,"&gt;0")-SUMIFS(⑭手動工程入力!$M$6:$M$47,⑭手動工程入力!$S$6:$S$47,$J368,⑭手動工程入力!$J$6:$J$47,"&gt;0",⑭手動工程入力!$I$6:$I$47,"&gt;0"))</f>
        <v/>
      </c>
      <c r="O368" s="393">
        <f>IF($J368="",0,SUMIFS(②釜工程入力!$J$5:$J$117,②釜工程入力!$S$5:$S$117,$J368,②釜工程入力!$J$5:$J$117,"&gt;0",②釜工程入力!$M$5:$M$117,"&gt;0")-SUMIFS(②釜工程入力!$J$5:$J$117,②釜工程入力!$S$5:$S$117,$J368,②釜工程入力!$J$5:$J$117,"&gt;0",②釜工程入力!$I$5:$I$117,"&gt;0",②釜工程入力!$M$5:$M$117,"&gt;0")+SUMIFS(③スチコン工程入力!$J$5:$J$152,③スチコン工程入力!$S$5:$S$152,$J368,③スチコン工程入力!$J$5:$J$152,"&gt;0",③スチコン工程入力!$M$5:$M$152,"&gt;0")-SUMIFS(③スチコン工程入力!$J$5:$J$152,③スチコン工程入力!$S$5:$S$152,$J368,③スチコン工程入力!$J$5:$J$152,"&gt;0",③スチコン工程入力!$I$5:$I$152,"&gt;0",③スチコン工程入力!$M$5:$M$152,"&gt;0")+SUMIFS(⑪ZEN工程入力!$J$6:$J$35,⑪ZEN工程入力!$S$6:$S$35,$J368,⑪ZEN工程入力!$J$6:$J$35,"&gt;0",⑪ZEN工程入力!$M$6:$M$35,"&gt;0")-SUMIFS(⑪ZEN工程入力!$J$6:$J$35,⑪ZEN工程入力!$S$6:$S$35,$J368,⑪ZEN工程入力!$J$6:$J$35,"&gt;0",⑪ZEN工程入力!$I$6:$I$35,"&gt;0",⑪ZEN工程入力!$M$6:$M$35,"&gt;0")+SUMIFS(⑫ミキサー工程入力!$J$6:$J$65,⑫ミキサー工程入力!$S$6:$S$65,$J368,⑫ミキサー工程入力!$J$6:$J$65,"&gt;0",⑫ミキサー工程入力!$M$6:$M$65,"&gt;0")-SUMIFS(⑫ミキサー工程入力!$J$6:$J$65,⑫ミキサー工程入力!$S$6:$S$65,$J368,⑫ミキサー工程入力!$J$6:$J$65,"&gt;0",⑫ミキサー工程入力!$I$6:$I$65,"&gt;0",⑫ミキサー工程入力!$M$6:$M$65,"&gt;0")+SUMIFS(⑬計量工程入力!$J$6:$J$65,⑬計量工程入力!$S$6:$S$65,$J368,⑬計量工程入力!$J$6:$J$65,"&gt;0",⑬計量工程入力!$M$6:$M$65,"&gt;0")-SUMIFS(⑬計量工程入力!$J$6:$J$65,⑬計量工程入力!$S$6:$S$65,$J368,⑬計量工程入力!$J$6:$J$65,"&gt;0",⑬計量工程入力!$I$6:$I$65,"&gt;0",⑬計量工程入力!$M$6:$M$65,"&gt;0")+SUMIFS(⑭手動工程入力!$J$6:$J$47,⑭手動工程入力!$S$6:$S$47,$J368,⑭手動工程入力!$J$6:$J$47,"&gt;0",⑭手動工程入力!$M$6:$M$47,"&gt;0")-SUMIFS(⑭手動工程入力!$J$6:$J$47,⑭手動工程入力!$S$6:$S$47,$J368,⑭手動工程入力!$J$6:$J$47,"&gt;0",⑭手動工程入力!$I$6:$I$47,"&gt;0",⑭手動工程入力!$M$6:$M$47,"&gt;0"))</f>
        <v/>
      </c>
      <c r="P368" s="392" t="n"/>
    </row>
    <row r="369">
      <c r="A369" s="392" t="n">
        <v>365</v>
      </c>
      <c r="B369" s="392" t="n"/>
      <c r="C369" s="392" t="n"/>
      <c r="D369" s="409" t="n"/>
      <c r="E369" s="392" t="n"/>
      <c r="F369" s="394" t="n"/>
      <c r="G369" s="392" t="n"/>
      <c r="H369" s="604">
        <f>IFERROR(IF(AND($K369&gt;0,ISNUMBER(IF(OR($D369="g",$D369="ｇ"),IF($M369&gt;0,$L369/$M369/1000,""),IF($D369="kg",IF($M369&gt;0,$L369/$M369,""),IF($D369="",IF($M369&gt;0,$L369/$M369/1000,IF($O369&gt;0,$N369/$O369,"")),IF($O369&gt;0,$N369/$O369,"")))))),IF(OR($D369="g",$D369="ｇ"),IF($M369&gt;0,$L369/$M369/1000,""),IF($D369="kg",IF($M369&gt;0,$L369/$M369,""),IF($D369="",IF($M369&gt;0,$L369/$M369/1000,IF($O369&gt;0,$N369/$O369,"")),IF($O369&gt;0,$N369/$O369,"")))),IF($F369="",IF(OR($E369="",$E369="⑩盛付梱包工程入力"),"",IF(OR($D369="g",$D369="ｇ"),INDEX(⑰工程労務費一覧!$N$5:$N$11,MATCH($E369,⑰工程労務費一覧!$K$5:$K$11,0))/1000,IF($D369="kg",INDEX(⑰工程労務費一覧!$N$5:$N$11,MATCH($E369,⑰工程労務費一覧!$K$5:$K$11,0)),IF(OR($D369="個",$D369="切",$D369="本",$D369="枚",$D369="尾"),IF($E369="⑬計量工程入力","",INDEX(⑰工程労務費一覧!$P$5:$P$11,MATCH($E369,⑰工程労務費一覧!$K$5:$K$11,0))),IF(AND($D369="",OR($E369="②釜工程入力",$E369="③スチコン工程入力")),INDEX(⑰工程労務費一覧!$N$5:$N$11,MATCH($E369,⑰工程労務費一覧!$K$5:$K$11,0))/1000,""))))),IF(OR($D369="g",$D369="ｇ"),INDEX(⑰工程労務費一覧!$H$5:$H$753,MATCH($F369,⑰工程労務費一覧!$D$5:$D$753,0))/1000,IF($D369="kg",INDEX(⑰工程労務費一覧!$H$5:$H$753,MATCH($F369,⑰工程労務費一覧!$D$5:$D$753,0)),INDEX(⑰工程労務費一覧!$I$5:$I$753,MATCH($F369,⑰工程労務費一覧!$D$5:$D$753,0)))))),"")</f>
        <v/>
      </c>
      <c r="I369" s="392">
        <f>IF($K369&gt;0,IF(ISNUMBER(IF(OR($D369="g",$D369="ｇ"),IF($M369&gt;0,$L369/$M369/1000,""),IF($D369="kg",IF($M369&gt;0,$L369/$M369,""),IF($D369="",IF($M369&gt;0,$L369/$M369/1000,IF($O369&gt;0,$N369/$O369,"")),IF($O369&gt;0,$N369/$O369,""))))),IF($D369="",IF($M369&gt;0,"◎ JAN紐づけ(g扱い)","◎ JAN紐づけ(個扱い)"),"◎ JAN紐づけ"),"△ JAN紐づけ済・実績不足→仮計算"),IF($F369="",IF(ISNUMBER($H369),IF($D369="","⑤ 工程平均で仮計算(g扱い)","⑤ 工程平均で仮計算"),IF($E369="⑩盛付梱包工程入力","⑥ 盛り込み(⑳F列で計上)",IF(AND($E369="⑬計量工程入力",OR($D369="個",$D369="切",$D369="本",$D369="枚",$D369="尾")),"① 未紐づけ(カット個単位は仮単価なし)","① 未紐づけ"))),IF(NOT(ISNUMBER($H369)),"② 工程側に単価なし",IF($D369="","③ 単位未設定(個で計算)","④ OK"))))</f>
        <v/>
      </c>
      <c r="J369" s="399">
        <f>IFERROR(LOOKUP(2,1/((中間品リスト!$F$2:$F$1299=$B369)*(中間品リスト!$E$2:$E$1299&lt;&gt;"-")*(中間品リスト!$E$2:$E$1299&lt;&gt;"")),中間品リスト!$E$2:$E$1299),"")</f>
        <v/>
      </c>
      <c r="K369" s="400">
        <f>IF($J369="",0,COUNTIF(②釜工程入力!$S$5:$S$117,$J369)+COUNTIF(③スチコン工程入力!$S$5:$S$152,$J369)+COUNTIF(⑪ZEN工程入力!$S$6:$S$35,$J369)+COUNTIF(⑫ミキサー工程入力!$S$6:$S$65,$J369)+COUNTIF(⑬計量工程入力!$S$6:$S$65,$J369)+COUNTIF(⑭手動工程入力!$S$6:$S$47,$J369))</f>
        <v/>
      </c>
      <c r="L369" s="393">
        <f>IF($J369="",0,SUMIFS(②釜工程入力!$M$5:$M$117,②釜工程入力!$S$5:$S$117,$J369,②釜工程入力!$I$5:$I$117,"&gt;0")+SUMIFS(③スチコン工程入力!$M$5:$M$152,③スチコン工程入力!$S$5:$S$152,$J369,③スチコン工程入力!$I$5:$I$152,"&gt;0")+SUMIFS(⑪ZEN工程入力!$M$6:$M$35,⑪ZEN工程入力!$S$6:$S$35,$J369,⑪ZEN工程入力!$I$6:$I$35,"&gt;0")+SUMIFS(⑫ミキサー工程入力!$M$6:$M$65,⑫ミキサー工程入力!$S$6:$S$65,$J369,⑫ミキサー工程入力!$I$6:$I$65,"&gt;0")+SUMIFS(⑬計量工程入力!$M$6:$M$65,⑬計量工程入力!$S$6:$S$65,$J369,⑬計量工程入力!$I$6:$I$65,"&gt;0")+SUMIFS(⑭手動工程入力!$M$6:$M$47,⑭手動工程入力!$S$6:$S$47,$J369,⑭手動工程入力!$I$6:$I$47,"&gt;0"))</f>
        <v/>
      </c>
      <c r="M369" s="393">
        <f>IF($J369="",0,SUMIFS(②釜工程入力!$I$5:$I$117,②釜工程入力!$S$5:$S$117,$J369,②釜工程入力!$I$5:$I$117,"&gt;0",②釜工程入力!$M$5:$M$117,"&gt;0")+SUMIFS(③スチコン工程入力!$I$5:$I$152,③スチコン工程入力!$S$5:$S$152,$J369,③スチコン工程入力!$I$5:$I$152,"&gt;0",③スチコン工程入力!$M$5:$M$152,"&gt;0")+SUMIFS(⑪ZEN工程入力!$I$6:$I$35,⑪ZEN工程入力!$S$6:$S$35,$J369,⑪ZEN工程入力!$I$6:$I$35,"&gt;0",⑪ZEN工程入力!$M$6:$M$35,"&gt;0")+SUMIFS(⑫ミキサー工程入力!$I$6:$I$65,⑫ミキサー工程入力!$S$6:$S$65,$J369,⑫ミキサー工程入力!$I$6:$I$65,"&gt;0",⑫ミキサー工程入力!$M$6:$M$65,"&gt;0")+SUMIFS(⑬計量工程入力!$I$6:$I$65,⑬計量工程入力!$S$6:$S$65,$J369,⑬計量工程入力!$I$6:$I$65,"&gt;0",⑬計量工程入力!$M$6:$M$65,"&gt;0")+SUMIFS(⑭手動工程入力!$I$6:$I$47,⑭手動工程入力!$S$6:$S$47,$J369,⑭手動工程入力!$I$6:$I$47,"&gt;0",⑭手動工程入力!$M$6:$M$47,"&gt;0"))</f>
        <v/>
      </c>
      <c r="N369" s="393">
        <f>IF($J369="",0,SUMIFS(②釜工程入力!$M$5:$M$117,②釜工程入力!$S$5:$S$117,$J369,②釜工程入力!$J$5:$J$117,"&gt;0")-SUMIFS(②釜工程入力!$M$5:$M$117,②釜工程入力!$S$5:$S$117,$J369,②釜工程入力!$J$5:$J$117,"&gt;0",②釜工程入力!$I$5:$I$117,"&gt;0")+SUMIFS(③スチコン工程入力!$M$5:$M$152,③スチコン工程入力!$S$5:$S$152,$J369,③スチコン工程入力!$J$5:$J$152,"&gt;0")-SUMIFS(③スチコン工程入力!$M$5:$M$152,③スチコン工程入力!$S$5:$S$152,$J369,③スチコン工程入力!$J$5:$J$152,"&gt;0",③スチコン工程入力!$I$5:$I$152,"&gt;0")+SUMIFS(⑪ZEN工程入力!$M$6:$M$35,⑪ZEN工程入力!$S$6:$S$35,$J369,⑪ZEN工程入力!$J$6:$J$35,"&gt;0")-SUMIFS(⑪ZEN工程入力!$M$6:$M$35,⑪ZEN工程入力!$S$6:$S$35,$J369,⑪ZEN工程入力!$J$6:$J$35,"&gt;0",⑪ZEN工程入力!$I$6:$I$35,"&gt;0")+SUMIFS(⑫ミキサー工程入力!$M$6:$M$65,⑫ミキサー工程入力!$S$6:$S$65,$J369,⑫ミキサー工程入力!$J$6:$J$65,"&gt;0")-SUMIFS(⑫ミキサー工程入力!$M$6:$M$65,⑫ミキサー工程入力!$S$6:$S$65,$J369,⑫ミキサー工程入力!$J$6:$J$65,"&gt;0",⑫ミキサー工程入力!$I$6:$I$65,"&gt;0")+SUMIFS(⑬計量工程入力!$M$6:$M$65,⑬計量工程入力!$S$6:$S$65,$J369,⑬計量工程入力!$J$6:$J$65,"&gt;0")-SUMIFS(⑬計量工程入力!$M$6:$M$65,⑬計量工程入力!$S$6:$S$65,$J369,⑬計量工程入力!$J$6:$J$65,"&gt;0",⑬計量工程入力!$I$6:$I$65,"&gt;0")+SUMIFS(⑭手動工程入力!$M$6:$M$47,⑭手動工程入力!$S$6:$S$47,$J369,⑭手動工程入力!$J$6:$J$47,"&gt;0")-SUMIFS(⑭手動工程入力!$M$6:$M$47,⑭手動工程入力!$S$6:$S$47,$J369,⑭手動工程入力!$J$6:$J$47,"&gt;0",⑭手動工程入力!$I$6:$I$47,"&gt;0"))</f>
        <v/>
      </c>
      <c r="O369" s="393">
        <f>IF($J369="",0,SUMIFS(②釜工程入力!$J$5:$J$117,②釜工程入力!$S$5:$S$117,$J369,②釜工程入力!$J$5:$J$117,"&gt;0",②釜工程入力!$M$5:$M$117,"&gt;0")-SUMIFS(②釜工程入力!$J$5:$J$117,②釜工程入力!$S$5:$S$117,$J369,②釜工程入力!$J$5:$J$117,"&gt;0",②釜工程入力!$I$5:$I$117,"&gt;0",②釜工程入力!$M$5:$M$117,"&gt;0")+SUMIFS(③スチコン工程入力!$J$5:$J$152,③スチコン工程入力!$S$5:$S$152,$J369,③スチコン工程入力!$J$5:$J$152,"&gt;0",③スチコン工程入力!$M$5:$M$152,"&gt;0")-SUMIFS(③スチコン工程入力!$J$5:$J$152,③スチコン工程入力!$S$5:$S$152,$J369,③スチコン工程入力!$J$5:$J$152,"&gt;0",③スチコン工程入力!$I$5:$I$152,"&gt;0",③スチコン工程入力!$M$5:$M$152,"&gt;0")+SUMIFS(⑪ZEN工程入力!$J$6:$J$35,⑪ZEN工程入力!$S$6:$S$35,$J369,⑪ZEN工程入力!$J$6:$J$35,"&gt;0",⑪ZEN工程入力!$M$6:$M$35,"&gt;0")-SUMIFS(⑪ZEN工程入力!$J$6:$J$35,⑪ZEN工程入力!$S$6:$S$35,$J369,⑪ZEN工程入力!$J$6:$J$35,"&gt;0",⑪ZEN工程入力!$I$6:$I$35,"&gt;0",⑪ZEN工程入力!$M$6:$M$35,"&gt;0")+SUMIFS(⑫ミキサー工程入力!$J$6:$J$65,⑫ミキサー工程入力!$S$6:$S$65,$J369,⑫ミキサー工程入力!$J$6:$J$65,"&gt;0",⑫ミキサー工程入力!$M$6:$M$65,"&gt;0")-SUMIFS(⑫ミキサー工程入力!$J$6:$J$65,⑫ミキサー工程入力!$S$6:$S$65,$J369,⑫ミキサー工程入力!$J$6:$J$65,"&gt;0",⑫ミキサー工程入力!$I$6:$I$65,"&gt;0",⑫ミキサー工程入力!$M$6:$M$65,"&gt;0")+SUMIFS(⑬計量工程入力!$J$6:$J$65,⑬計量工程入力!$S$6:$S$65,$J369,⑬計量工程入力!$J$6:$J$65,"&gt;0",⑬計量工程入力!$M$6:$M$65,"&gt;0")-SUMIFS(⑬計量工程入力!$J$6:$J$65,⑬計量工程入力!$S$6:$S$65,$J369,⑬計量工程入力!$J$6:$J$65,"&gt;0",⑬計量工程入力!$I$6:$I$65,"&gt;0",⑬計量工程入力!$M$6:$M$65,"&gt;0")+SUMIFS(⑭手動工程入力!$J$6:$J$47,⑭手動工程入力!$S$6:$S$47,$J369,⑭手動工程入力!$J$6:$J$47,"&gt;0",⑭手動工程入力!$M$6:$M$47,"&gt;0")-SUMIFS(⑭手動工程入力!$J$6:$J$47,⑭手動工程入力!$S$6:$S$47,$J369,⑭手動工程入力!$J$6:$J$47,"&gt;0",⑭手動工程入力!$I$6:$I$47,"&gt;0",⑭手動工程入力!$M$6:$M$47,"&gt;0"))</f>
        <v/>
      </c>
      <c r="P369" s="392" t="inlineStr">
        <is>
          <t>中間品リスト</t>
        </is>
      </c>
    </row>
    <row r="370">
      <c r="A370" s="392" t="n">
        <v>366</v>
      </c>
      <c r="B370" s="392" t="n"/>
      <c r="C370" s="392" t="n"/>
      <c r="D370" s="409" t="n"/>
      <c r="E370" s="392" t="n"/>
      <c r="F370" s="394" t="n"/>
      <c r="G370" s="392" t="n"/>
      <c r="H370" s="604">
        <f>IFERROR(IF(AND($K370&gt;0,ISNUMBER(IF(OR($D370="g",$D370="ｇ"),IF($M370&gt;0,$L370/$M370/1000,""),IF($D370="kg",IF($M370&gt;0,$L370/$M370,""),IF($D370="",IF($M370&gt;0,$L370/$M370/1000,IF($O370&gt;0,$N370/$O370,"")),IF($O370&gt;0,$N370/$O370,"")))))),IF(OR($D370="g",$D370="ｇ"),IF($M370&gt;0,$L370/$M370/1000,""),IF($D370="kg",IF($M370&gt;0,$L370/$M370,""),IF($D370="",IF($M370&gt;0,$L370/$M370/1000,IF($O370&gt;0,$N370/$O370,"")),IF($O370&gt;0,$N370/$O370,"")))),IF($F370="",IF(OR($E370="",$E370="⑩盛付梱包工程入力"),"",IF(OR($D370="g",$D370="ｇ"),INDEX(⑰工程労務費一覧!$N$5:$N$11,MATCH($E370,⑰工程労務費一覧!$K$5:$K$11,0))/1000,IF($D370="kg",INDEX(⑰工程労務費一覧!$N$5:$N$11,MATCH($E370,⑰工程労務費一覧!$K$5:$K$11,0)),IF(OR($D370="個",$D370="切",$D370="本",$D370="枚",$D370="尾"),IF($E370="⑬計量工程入力","",INDEX(⑰工程労務費一覧!$P$5:$P$11,MATCH($E370,⑰工程労務費一覧!$K$5:$K$11,0))),IF(AND($D370="",OR($E370="②釜工程入力",$E370="③スチコン工程入力")),INDEX(⑰工程労務費一覧!$N$5:$N$11,MATCH($E370,⑰工程労務費一覧!$K$5:$K$11,0))/1000,""))))),IF(OR($D370="g",$D370="ｇ"),INDEX(⑰工程労務費一覧!$H$5:$H$753,MATCH($F370,⑰工程労務費一覧!$D$5:$D$753,0))/1000,IF($D370="kg",INDEX(⑰工程労務費一覧!$H$5:$H$753,MATCH($F370,⑰工程労務費一覧!$D$5:$D$753,0)),INDEX(⑰工程労務費一覧!$I$5:$I$753,MATCH($F370,⑰工程労務費一覧!$D$5:$D$753,0)))))),"")</f>
        <v/>
      </c>
      <c r="I370" s="392">
        <f>IF($K370&gt;0,IF(ISNUMBER(IF(OR($D370="g",$D370="ｇ"),IF($M370&gt;0,$L370/$M370/1000,""),IF($D370="kg",IF($M370&gt;0,$L370/$M370,""),IF($D370="",IF($M370&gt;0,$L370/$M370/1000,IF($O370&gt;0,$N370/$O370,"")),IF($O370&gt;0,$N370/$O370,""))))),IF($D370="",IF($M370&gt;0,"◎ JAN紐づけ(g扱い)","◎ JAN紐づけ(個扱い)"),"◎ JAN紐づけ"),"△ JAN紐づけ済・実績不足→仮計算"),IF($F370="",IF(ISNUMBER($H370),IF($D370="","⑤ 工程平均で仮計算(g扱い)","⑤ 工程平均で仮計算"),IF($E370="⑩盛付梱包工程入力","⑥ 盛り込み(⑳F列で計上)",IF(AND($E370="⑬計量工程入力",OR($D370="個",$D370="切",$D370="本",$D370="枚",$D370="尾")),"① 未紐づけ(カット個単位は仮単価なし)","① 未紐づけ"))),IF(NOT(ISNUMBER($H370)),"② 工程側に単価なし",IF($D370="","③ 単位未設定(個で計算)","④ OK"))))</f>
        <v/>
      </c>
      <c r="J370" s="399">
        <f>IFERROR(LOOKUP(2,1/((中間品リスト!$F$2:$F$1299=$B370)*(中間品リスト!$E$2:$E$1299&lt;&gt;"-")*(中間品リスト!$E$2:$E$1299&lt;&gt;"")),中間品リスト!$E$2:$E$1299),"")</f>
        <v/>
      </c>
      <c r="K370" s="400">
        <f>IF($J370="",0,COUNTIF(②釜工程入力!$S$5:$S$117,$J370)+COUNTIF(③スチコン工程入力!$S$5:$S$152,$J370)+COUNTIF(⑪ZEN工程入力!$S$6:$S$35,$J370)+COUNTIF(⑫ミキサー工程入力!$S$6:$S$65,$J370)+COUNTIF(⑬計量工程入力!$S$6:$S$65,$J370)+COUNTIF(⑭手動工程入力!$S$6:$S$47,$J370))</f>
        <v/>
      </c>
      <c r="L370" s="393">
        <f>IF($J370="",0,SUMIFS(②釜工程入力!$M$5:$M$117,②釜工程入力!$S$5:$S$117,$J370,②釜工程入力!$I$5:$I$117,"&gt;0")+SUMIFS(③スチコン工程入力!$M$5:$M$152,③スチコン工程入力!$S$5:$S$152,$J370,③スチコン工程入力!$I$5:$I$152,"&gt;0")+SUMIFS(⑪ZEN工程入力!$M$6:$M$35,⑪ZEN工程入力!$S$6:$S$35,$J370,⑪ZEN工程入力!$I$6:$I$35,"&gt;0")+SUMIFS(⑫ミキサー工程入力!$M$6:$M$65,⑫ミキサー工程入力!$S$6:$S$65,$J370,⑫ミキサー工程入力!$I$6:$I$65,"&gt;0")+SUMIFS(⑬計量工程入力!$M$6:$M$65,⑬計量工程入力!$S$6:$S$65,$J370,⑬計量工程入力!$I$6:$I$65,"&gt;0")+SUMIFS(⑭手動工程入力!$M$6:$M$47,⑭手動工程入力!$S$6:$S$47,$J370,⑭手動工程入力!$I$6:$I$47,"&gt;0"))</f>
        <v/>
      </c>
      <c r="M370" s="393">
        <f>IF($J370="",0,SUMIFS(②釜工程入力!$I$5:$I$117,②釜工程入力!$S$5:$S$117,$J370,②釜工程入力!$I$5:$I$117,"&gt;0",②釜工程入力!$M$5:$M$117,"&gt;0")+SUMIFS(③スチコン工程入力!$I$5:$I$152,③スチコン工程入力!$S$5:$S$152,$J370,③スチコン工程入力!$I$5:$I$152,"&gt;0",③スチコン工程入力!$M$5:$M$152,"&gt;0")+SUMIFS(⑪ZEN工程入力!$I$6:$I$35,⑪ZEN工程入力!$S$6:$S$35,$J370,⑪ZEN工程入力!$I$6:$I$35,"&gt;0",⑪ZEN工程入力!$M$6:$M$35,"&gt;0")+SUMIFS(⑫ミキサー工程入力!$I$6:$I$65,⑫ミキサー工程入力!$S$6:$S$65,$J370,⑫ミキサー工程入力!$I$6:$I$65,"&gt;0",⑫ミキサー工程入力!$M$6:$M$65,"&gt;0")+SUMIFS(⑬計量工程入力!$I$6:$I$65,⑬計量工程入力!$S$6:$S$65,$J370,⑬計量工程入力!$I$6:$I$65,"&gt;0",⑬計量工程入力!$M$6:$M$65,"&gt;0")+SUMIFS(⑭手動工程入力!$I$6:$I$47,⑭手動工程入力!$S$6:$S$47,$J370,⑭手動工程入力!$I$6:$I$47,"&gt;0",⑭手動工程入力!$M$6:$M$47,"&gt;0"))</f>
        <v/>
      </c>
      <c r="N370" s="393">
        <f>IF($J370="",0,SUMIFS(②釜工程入力!$M$5:$M$117,②釜工程入力!$S$5:$S$117,$J370,②釜工程入力!$J$5:$J$117,"&gt;0")-SUMIFS(②釜工程入力!$M$5:$M$117,②釜工程入力!$S$5:$S$117,$J370,②釜工程入力!$J$5:$J$117,"&gt;0",②釜工程入力!$I$5:$I$117,"&gt;0")+SUMIFS(③スチコン工程入力!$M$5:$M$152,③スチコン工程入力!$S$5:$S$152,$J370,③スチコン工程入力!$J$5:$J$152,"&gt;0")-SUMIFS(③スチコン工程入力!$M$5:$M$152,③スチコン工程入力!$S$5:$S$152,$J370,③スチコン工程入力!$J$5:$J$152,"&gt;0",③スチコン工程入力!$I$5:$I$152,"&gt;0")+SUMIFS(⑪ZEN工程入力!$M$6:$M$35,⑪ZEN工程入力!$S$6:$S$35,$J370,⑪ZEN工程入力!$J$6:$J$35,"&gt;0")-SUMIFS(⑪ZEN工程入力!$M$6:$M$35,⑪ZEN工程入力!$S$6:$S$35,$J370,⑪ZEN工程入力!$J$6:$J$35,"&gt;0",⑪ZEN工程入力!$I$6:$I$35,"&gt;0")+SUMIFS(⑫ミキサー工程入力!$M$6:$M$65,⑫ミキサー工程入力!$S$6:$S$65,$J370,⑫ミキサー工程入力!$J$6:$J$65,"&gt;0")-SUMIFS(⑫ミキサー工程入力!$M$6:$M$65,⑫ミキサー工程入力!$S$6:$S$65,$J370,⑫ミキサー工程入力!$J$6:$J$65,"&gt;0",⑫ミキサー工程入力!$I$6:$I$65,"&gt;0")+SUMIFS(⑬計量工程入力!$M$6:$M$65,⑬計量工程入力!$S$6:$S$65,$J370,⑬計量工程入力!$J$6:$J$65,"&gt;0")-SUMIFS(⑬計量工程入力!$M$6:$M$65,⑬計量工程入力!$S$6:$S$65,$J370,⑬計量工程入力!$J$6:$J$65,"&gt;0",⑬計量工程入力!$I$6:$I$65,"&gt;0")+SUMIFS(⑭手動工程入力!$M$6:$M$47,⑭手動工程入力!$S$6:$S$47,$J370,⑭手動工程入力!$J$6:$J$47,"&gt;0")-SUMIFS(⑭手動工程入力!$M$6:$M$47,⑭手動工程入力!$S$6:$S$47,$J370,⑭手動工程入力!$J$6:$J$47,"&gt;0",⑭手動工程入力!$I$6:$I$47,"&gt;0"))</f>
        <v/>
      </c>
      <c r="O370" s="393">
        <f>IF($J370="",0,SUMIFS(②釜工程入力!$J$5:$J$117,②釜工程入力!$S$5:$S$117,$J370,②釜工程入力!$J$5:$J$117,"&gt;0",②釜工程入力!$M$5:$M$117,"&gt;0")-SUMIFS(②釜工程入力!$J$5:$J$117,②釜工程入力!$S$5:$S$117,$J370,②釜工程入力!$J$5:$J$117,"&gt;0",②釜工程入力!$I$5:$I$117,"&gt;0",②釜工程入力!$M$5:$M$117,"&gt;0")+SUMIFS(③スチコン工程入力!$J$5:$J$152,③スチコン工程入力!$S$5:$S$152,$J370,③スチコン工程入力!$J$5:$J$152,"&gt;0",③スチコン工程入力!$M$5:$M$152,"&gt;0")-SUMIFS(③スチコン工程入力!$J$5:$J$152,③スチコン工程入力!$S$5:$S$152,$J370,③スチコン工程入力!$J$5:$J$152,"&gt;0",③スチコン工程入力!$I$5:$I$152,"&gt;0",③スチコン工程入力!$M$5:$M$152,"&gt;0")+SUMIFS(⑪ZEN工程入力!$J$6:$J$35,⑪ZEN工程入力!$S$6:$S$35,$J370,⑪ZEN工程入力!$J$6:$J$35,"&gt;0",⑪ZEN工程入力!$M$6:$M$35,"&gt;0")-SUMIFS(⑪ZEN工程入力!$J$6:$J$35,⑪ZEN工程入力!$S$6:$S$35,$J370,⑪ZEN工程入力!$J$6:$J$35,"&gt;0",⑪ZEN工程入力!$I$6:$I$35,"&gt;0",⑪ZEN工程入力!$M$6:$M$35,"&gt;0")+SUMIFS(⑫ミキサー工程入力!$J$6:$J$65,⑫ミキサー工程入力!$S$6:$S$65,$J370,⑫ミキサー工程入力!$J$6:$J$65,"&gt;0",⑫ミキサー工程入力!$M$6:$M$65,"&gt;0")-SUMIFS(⑫ミキサー工程入力!$J$6:$J$65,⑫ミキサー工程入力!$S$6:$S$65,$J370,⑫ミキサー工程入力!$J$6:$J$65,"&gt;0",⑫ミキサー工程入力!$I$6:$I$65,"&gt;0",⑫ミキサー工程入力!$M$6:$M$65,"&gt;0")+SUMIFS(⑬計量工程入力!$J$6:$J$65,⑬計量工程入力!$S$6:$S$65,$J370,⑬計量工程入力!$J$6:$J$65,"&gt;0",⑬計量工程入力!$M$6:$M$65,"&gt;0")-SUMIFS(⑬計量工程入力!$J$6:$J$65,⑬計量工程入力!$S$6:$S$65,$J370,⑬計量工程入力!$J$6:$J$65,"&gt;0",⑬計量工程入力!$I$6:$I$65,"&gt;0",⑬計量工程入力!$M$6:$M$65,"&gt;0")+SUMIFS(⑭手動工程入力!$J$6:$J$47,⑭手動工程入力!$S$6:$S$47,$J370,⑭手動工程入力!$J$6:$J$47,"&gt;0",⑭手動工程入力!$M$6:$M$47,"&gt;0")-SUMIFS(⑭手動工程入力!$J$6:$J$47,⑭手動工程入力!$S$6:$S$47,$J370,⑭手動工程入力!$J$6:$J$47,"&gt;0",⑭手動工程入力!$I$6:$I$47,"&gt;0",⑭手動工程入力!$M$6:$M$47,"&gt;0"))</f>
        <v/>
      </c>
      <c r="P370" s="392" t="inlineStr">
        <is>
          <t>中間品リスト</t>
        </is>
      </c>
    </row>
    <row r="371">
      <c r="A371" s="392" t="n">
        <v>367</v>
      </c>
      <c r="B371" s="392" t="n"/>
      <c r="C371" s="392" t="n"/>
      <c r="D371" s="392" t="n"/>
      <c r="E371" s="392" t="n"/>
      <c r="F371" s="394" t="n"/>
      <c r="G371" s="392" t="n"/>
      <c r="H371" s="604">
        <f>IFERROR(IF(AND($K371&gt;0,ISNUMBER(IF(OR($D371="g",$D371="ｇ"),IF($M371&gt;0,$L371/$M371/1000,""),IF($D371="kg",IF($M371&gt;0,$L371/$M371,""),IF($D371="",IF($M371&gt;0,$L371/$M371/1000,IF($O371&gt;0,$N371/$O371,"")),IF($O371&gt;0,$N371/$O371,"")))))),IF(OR($D371="g",$D371="ｇ"),IF($M371&gt;0,$L371/$M371/1000,""),IF($D371="kg",IF($M371&gt;0,$L371/$M371,""),IF($D371="",IF($M371&gt;0,$L371/$M371/1000,IF($O371&gt;0,$N371/$O371,"")),IF($O371&gt;0,$N371/$O371,"")))),IF($F371="",IF(OR($E371="",$E371="⑩盛付梱包工程入力"),"",IF(OR($D371="g",$D371="ｇ"),INDEX(⑰工程労務費一覧!$N$5:$N$11,MATCH($E371,⑰工程労務費一覧!$K$5:$K$11,0))/1000,IF($D371="kg",INDEX(⑰工程労務費一覧!$N$5:$N$11,MATCH($E371,⑰工程労務費一覧!$K$5:$K$11,0)),IF(OR($D371="個",$D371="切",$D371="本",$D371="枚",$D371="尾"),IF($E371="⑬計量工程入力","",INDEX(⑰工程労務費一覧!$P$5:$P$11,MATCH($E371,⑰工程労務費一覧!$K$5:$K$11,0))),IF(AND($D371="",OR($E371="②釜工程入力",$E371="③スチコン工程入力")),INDEX(⑰工程労務費一覧!$N$5:$N$11,MATCH($E371,⑰工程労務費一覧!$K$5:$K$11,0))/1000,""))))),IF(OR($D371="g",$D371="ｇ"),INDEX(⑰工程労務費一覧!$H$5:$H$753,MATCH($F371,⑰工程労務費一覧!$D$5:$D$753,0))/1000,IF($D371="kg",INDEX(⑰工程労務費一覧!$H$5:$H$753,MATCH($F371,⑰工程労務費一覧!$D$5:$D$753,0)),INDEX(⑰工程労務費一覧!$I$5:$I$753,MATCH($F371,⑰工程労務費一覧!$D$5:$D$753,0)))))),"")</f>
        <v/>
      </c>
      <c r="I371" s="392">
        <f>IF($K371&gt;0,IF(ISNUMBER(IF(OR($D371="g",$D371="ｇ"),IF($M371&gt;0,$L371/$M371/1000,""),IF($D371="kg",IF($M371&gt;0,$L371/$M371,""),IF($D371="",IF($M371&gt;0,$L371/$M371/1000,IF($O371&gt;0,$N371/$O371,"")),IF($O371&gt;0,$N371/$O371,""))))),IF($D371="",IF($M371&gt;0,"◎ JAN紐づけ(g扱い)","◎ JAN紐づけ(個扱い)"),"◎ JAN紐づけ"),"△ JAN紐づけ済・実績不足→仮計算"),IF($F371="",IF(ISNUMBER($H371),IF($D371="","⑤ 工程平均で仮計算(g扱い)","⑤ 工程平均で仮計算"),IF($E371="⑩盛付梱包工程入力","⑥ 盛り込み(⑳F列で計上)",IF(AND($E371="⑬計量工程入力",OR($D371="個",$D371="切",$D371="本",$D371="枚",$D371="尾")),"① 未紐づけ(カット個単位は仮単価なし)","① 未紐づけ"))),IF(NOT(ISNUMBER($H371)),"② 工程側に単価なし",IF($D371="","③ 単位未設定(個で計算)","④ OK"))))</f>
        <v/>
      </c>
      <c r="J371" s="399">
        <f>IFERROR(LOOKUP(2,1/((中間品リスト!$F$2:$F$1299=$B371)*(中間品リスト!$E$2:$E$1299&lt;&gt;"-")*(中間品リスト!$E$2:$E$1299&lt;&gt;"")),中間品リスト!$E$2:$E$1299),"")</f>
        <v/>
      </c>
      <c r="K371" s="400">
        <f>IF($J371="",0,COUNTIF(②釜工程入力!$S$5:$S$117,$J371)+COUNTIF(③スチコン工程入力!$S$5:$S$152,$J371)+COUNTIF(⑪ZEN工程入力!$S$6:$S$35,$J371)+COUNTIF(⑫ミキサー工程入力!$S$6:$S$65,$J371)+COUNTIF(⑬計量工程入力!$S$6:$S$65,$J371)+COUNTIF(⑭手動工程入力!$S$6:$S$47,$J371))</f>
        <v/>
      </c>
      <c r="L371" s="393">
        <f>IF($J371="",0,SUMIFS(②釜工程入力!$M$5:$M$117,②釜工程入力!$S$5:$S$117,$J371,②釜工程入力!$I$5:$I$117,"&gt;0")+SUMIFS(③スチコン工程入力!$M$5:$M$152,③スチコン工程入力!$S$5:$S$152,$J371,③スチコン工程入力!$I$5:$I$152,"&gt;0")+SUMIFS(⑪ZEN工程入力!$M$6:$M$35,⑪ZEN工程入力!$S$6:$S$35,$J371,⑪ZEN工程入力!$I$6:$I$35,"&gt;0")+SUMIFS(⑫ミキサー工程入力!$M$6:$M$65,⑫ミキサー工程入力!$S$6:$S$65,$J371,⑫ミキサー工程入力!$I$6:$I$65,"&gt;0")+SUMIFS(⑬計量工程入力!$M$6:$M$65,⑬計量工程入力!$S$6:$S$65,$J371,⑬計量工程入力!$I$6:$I$65,"&gt;0")+SUMIFS(⑭手動工程入力!$M$6:$M$47,⑭手動工程入力!$S$6:$S$47,$J371,⑭手動工程入力!$I$6:$I$47,"&gt;0"))</f>
        <v/>
      </c>
      <c r="M371" s="393">
        <f>IF($J371="",0,SUMIFS(②釜工程入力!$I$5:$I$117,②釜工程入力!$S$5:$S$117,$J371,②釜工程入力!$I$5:$I$117,"&gt;0",②釜工程入力!$M$5:$M$117,"&gt;0")+SUMIFS(③スチコン工程入力!$I$5:$I$152,③スチコン工程入力!$S$5:$S$152,$J371,③スチコン工程入力!$I$5:$I$152,"&gt;0",③スチコン工程入力!$M$5:$M$152,"&gt;0")+SUMIFS(⑪ZEN工程入力!$I$6:$I$35,⑪ZEN工程入力!$S$6:$S$35,$J371,⑪ZEN工程入力!$I$6:$I$35,"&gt;0",⑪ZEN工程入力!$M$6:$M$35,"&gt;0")+SUMIFS(⑫ミキサー工程入力!$I$6:$I$65,⑫ミキサー工程入力!$S$6:$S$65,$J371,⑫ミキサー工程入力!$I$6:$I$65,"&gt;0",⑫ミキサー工程入力!$M$6:$M$65,"&gt;0")+SUMIFS(⑬計量工程入力!$I$6:$I$65,⑬計量工程入力!$S$6:$S$65,$J371,⑬計量工程入力!$I$6:$I$65,"&gt;0",⑬計量工程入力!$M$6:$M$65,"&gt;0")+SUMIFS(⑭手動工程入力!$I$6:$I$47,⑭手動工程入力!$S$6:$S$47,$J371,⑭手動工程入力!$I$6:$I$47,"&gt;0",⑭手動工程入力!$M$6:$M$47,"&gt;0"))</f>
        <v/>
      </c>
      <c r="N371" s="393">
        <f>IF($J371="",0,SUMIFS(②釜工程入力!$M$5:$M$117,②釜工程入力!$S$5:$S$117,$J371,②釜工程入力!$J$5:$J$117,"&gt;0")-SUMIFS(②釜工程入力!$M$5:$M$117,②釜工程入力!$S$5:$S$117,$J371,②釜工程入力!$J$5:$J$117,"&gt;0",②釜工程入力!$I$5:$I$117,"&gt;0")+SUMIFS(③スチコン工程入力!$M$5:$M$152,③スチコン工程入力!$S$5:$S$152,$J371,③スチコン工程入力!$J$5:$J$152,"&gt;0")-SUMIFS(③スチコン工程入力!$M$5:$M$152,③スチコン工程入力!$S$5:$S$152,$J371,③スチコン工程入力!$J$5:$J$152,"&gt;0",③スチコン工程入力!$I$5:$I$152,"&gt;0")+SUMIFS(⑪ZEN工程入力!$M$6:$M$35,⑪ZEN工程入力!$S$6:$S$35,$J371,⑪ZEN工程入力!$J$6:$J$35,"&gt;0")-SUMIFS(⑪ZEN工程入力!$M$6:$M$35,⑪ZEN工程入力!$S$6:$S$35,$J371,⑪ZEN工程入力!$J$6:$J$35,"&gt;0",⑪ZEN工程入力!$I$6:$I$35,"&gt;0")+SUMIFS(⑫ミキサー工程入力!$M$6:$M$65,⑫ミキサー工程入力!$S$6:$S$65,$J371,⑫ミキサー工程入力!$J$6:$J$65,"&gt;0")-SUMIFS(⑫ミキサー工程入力!$M$6:$M$65,⑫ミキサー工程入力!$S$6:$S$65,$J371,⑫ミキサー工程入力!$J$6:$J$65,"&gt;0",⑫ミキサー工程入力!$I$6:$I$65,"&gt;0")+SUMIFS(⑬計量工程入力!$M$6:$M$65,⑬計量工程入力!$S$6:$S$65,$J371,⑬計量工程入力!$J$6:$J$65,"&gt;0")-SUMIFS(⑬計量工程入力!$M$6:$M$65,⑬計量工程入力!$S$6:$S$65,$J371,⑬計量工程入力!$J$6:$J$65,"&gt;0",⑬計量工程入力!$I$6:$I$65,"&gt;0")+SUMIFS(⑭手動工程入力!$M$6:$M$47,⑭手動工程入力!$S$6:$S$47,$J371,⑭手動工程入力!$J$6:$J$47,"&gt;0")-SUMIFS(⑭手動工程入力!$M$6:$M$47,⑭手動工程入力!$S$6:$S$47,$J371,⑭手動工程入力!$J$6:$J$47,"&gt;0",⑭手動工程入力!$I$6:$I$47,"&gt;0"))</f>
        <v/>
      </c>
      <c r="O371" s="393">
        <f>IF($J371="",0,SUMIFS(②釜工程入力!$J$5:$J$117,②釜工程入力!$S$5:$S$117,$J371,②釜工程入力!$J$5:$J$117,"&gt;0",②釜工程入力!$M$5:$M$117,"&gt;0")-SUMIFS(②釜工程入力!$J$5:$J$117,②釜工程入力!$S$5:$S$117,$J371,②釜工程入力!$J$5:$J$117,"&gt;0",②釜工程入力!$I$5:$I$117,"&gt;0",②釜工程入力!$M$5:$M$117,"&gt;0")+SUMIFS(③スチコン工程入力!$J$5:$J$152,③スチコン工程入力!$S$5:$S$152,$J371,③スチコン工程入力!$J$5:$J$152,"&gt;0",③スチコン工程入力!$M$5:$M$152,"&gt;0")-SUMIFS(③スチコン工程入力!$J$5:$J$152,③スチコン工程入力!$S$5:$S$152,$J371,③スチコン工程入力!$J$5:$J$152,"&gt;0",③スチコン工程入力!$I$5:$I$152,"&gt;0",③スチコン工程入力!$M$5:$M$152,"&gt;0")+SUMIFS(⑪ZEN工程入力!$J$6:$J$35,⑪ZEN工程入力!$S$6:$S$35,$J371,⑪ZEN工程入力!$J$6:$J$35,"&gt;0",⑪ZEN工程入力!$M$6:$M$35,"&gt;0")-SUMIFS(⑪ZEN工程入力!$J$6:$J$35,⑪ZEN工程入力!$S$6:$S$35,$J371,⑪ZEN工程入力!$J$6:$J$35,"&gt;0",⑪ZEN工程入力!$I$6:$I$35,"&gt;0",⑪ZEN工程入力!$M$6:$M$35,"&gt;0")+SUMIFS(⑫ミキサー工程入力!$J$6:$J$65,⑫ミキサー工程入力!$S$6:$S$65,$J371,⑫ミキサー工程入力!$J$6:$J$65,"&gt;0",⑫ミキサー工程入力!$M$6:$M$65,"&gt;0")-SUMIFS(⑫ミキサー工程入力!$J$6:$J$65,⑫ミキサー工程入力!$S$6:$S$65,$J371,⑫ミキサー工程入力!$J$6:$J$65,"&gt;0",⑫ミキサー工程入力!$I$6:$I$65,"&gt;0",⑫ミキサー工程入力!$M$6:$M$65,"&gt;0")+SUMIFS(⑬計量工程入力!$J$6:$J$65,⑬計量工程入力!$S$6:$S$65,$J371,⑬計量工程入力!$J$6:$J$65,"&gt;0",⑬計量工程入力!$M$6:$M$65,"&gt;0")-SUMIFS(⑬計量工程入力!$J$6:$J$65,⑬計量工程入力!$S$6:$S$65,$J371,⑬計量工程入力!$J$6:$J$65,"&gt;0",⑬計量工程入力!$I$6:$I$65,"&gt;0",⑬計量工程入力!$M$6:$M$65,"&gt;0")+SUMIFS(⑭手動工程入力!$J$6:$J$47,⑭手動工程入力!$S$6:$S$47,$J371,⑭手動工程入力!$J$6:$J$47,"&gt;0",⑭手動工程入力!$M$6:$M$47,"&gt;0")-SUMIFS(⑭手動工程入力!$J$6:$J$47,⑭手動工程入力!$S$6:$S$47,$J371,⑭手動工程入力!$J$6:$J$47,"&gt;0",⑭手動工程入力!$I$6:$I$47,"&gt;0",⑭手動工程入力!$M$6:$M$47,"&gt;0"))</f>
        <v/>
      </c>
      <c r="P371" s="392" t="n"/>
    </row>
    <row r="372">
      <c r="A372" s="392" t="n">
        <v>368</v>
      </c>
      <c r="B372" s="392" t="n"/>
      <c r="C372" s="392" t="n"/>
      <c r="D372" s="392" t="n"/>
      <c r="E372" s="392" t="n"/>
      <c r="F372" s="394" t="n"/>
      <c r="G372" s="392" t="n"/>
      <c r="H372" s="604">
        <f>IFERROR(IF(AND($K372&gt;0,ISNUMBER(IF(OR($D372="g",$D372="ｇ"),IF($M372&gt;0,$L372/$M372/1000,""),IF($D372="kg",IF($M372&gt;0,$L372/$M372,""),IF($D372="",IF($M372&gt;0,$L372/$M372/1000,IF($O372&gt;0,$N372/$O372,"")),IF($O372&gt;0,$N372/$O372,"")))))),IF(OR($D372="g",$D372="ｇ"),IF($M372&gt;0,$L372/$M372/1000,""),IF($D372="kg",IF($M372&gt;0,$L372/$M372,""),IF($D372="",IF($M372&gt;0,$L372/$M372/1000,IF($O372&gt;0,$N372/$O372,"")),IF($O372&gt;0,$N372/$O372,"")))),IF($F372="",IF(OR($E372="",$E372="⑩盛付梱包工程入力"),"",IF(OR($D372="g",$D372="ｇ"),INDEX(⑰工程労務費一覧!$N$5:$N$11,MATCH($E372,⑰工程労務費一覧!$K$5:$K$11,0))/1000,IF($D372="kg",INDEX(⑰工程労務費一覧!$N$5:$N$11,MATCH($E372,⑰工程労務費一覧!$K$5:$K$11,0)),IF(OR($D372="個",$D372="切",$D372="本",$D372="枚",$D372="尾"),IF($E372="⑬計量工程入力","",INDEX(⑰工程労務費一覧!$P$5:$P$11,MATCH($E372,⑰工程労務費一覧!$K$5:$K$11,0))),IF(AND($D372="",OR($E372="②釜工程入力",$E372="③スチコン工程入力")),INDEX(⑰工程労務費一覧!$N$5:$N$11,MATCH($E372,⑰工程労務費一覧!$K$5:$K$11,0))/1000,""))))),IF(OR($D372="g",$D372="ｇ"),INDEX(⑰工程労務費一覧!$H$5:$H$753,MATCH($F372,⑰工程労務費一覧!$D$5:$D$753,0))/1000,IF($D372="kg",INDEX(⑰工程労務費一覧!$H$5:$H$753,MATCH($F372,⑰工程労務費一覧!$D$5:$D$753,0)),INDEX(⑰工程労務費一覧!$I$5:$I$753,MATCH($F372,⑰工程労務費一覧!$D$5:$D$753,0)))))),"")</f>
        <v/>
      </c>
      <c r="I372" s="392">
        <f>IF($K372&gt;0,IF(ISNUMBER(IF(OR($D372="g",$D372="ｇ"),IF($M372&gt;0,$L372/$M372/1000,""),IF($D372="kg",IF($M372&gt;0,$L372/$M372,""),IF($D372="",IF($M372&gt;0,$L372/$M372/1000,IF($O372&gt;0,$N372/$O372,"")),IF($O372&gt;0,$N372/$O372,""))))),IF($D372="",IF($M372&gt;0,"◎ JAN紐づけ(g扱い)","◎ JAN紐づけ(個扱い)"),"◎ JAN紐づけ"),"△ JAN紐づけ済・実績不足→仮計算"),IF($F372="",IF(ISNUMBER($H372),IF($D372="","⑤ 工程平均で仮計算(g扱い)","⑤ 工程平均で仮計算"),IF($E372="⑩盛付梱包工程入力","⑥ 盛り込み(⑳F列で計上)",IF(AND($E372="⑬計量工程入力",OR($D372="個",$D372="切",$D372="本",$D372="枚",$D372="尾")),"① 未紐づけ(カット個単位は仮単価なし)","① 未紐づけ"))),IF(NOT(ISNUMBER($H372)),"② 工程側に単価なし",IF($D372="","③ 単位未設定(個で計算)","④ OK"))))</f>
        <v/>
      </c>
      <c r="J372" s="399">
        <f>IFERROR(LOOKUP(2,1/((中間品リスト!$F$2:$F$1299=$B372)*(中間品リスト!$E$2:$E$1299&lt;&gt;"-")*(中間品リスト!$E$2:$E$1299&lt;&gt;"")),中間品リスト!$E$2:$E$1299),"")</f>
        <v/>
      </c>
      <c r="K372" s="400">
        <f>IF($J372="",0,COUNTIF(②釜工程入力!$S$5:$S$117,$J372)+COUNTIF(③スチコン工程入力!$S$5:$S$152,$J372)+COUNTIF(⑪ZEN工程入力!$S$6:$S$35,$J372)+COUNTIF(⑫ミキサー工程入力!$S$6:$S$65,$J372)+COUNTIF(⑬計量工程入力!$S$6:$S$65,$J372)+COUNTIF(⑭手動工程入力!$S$6:$S$47,$J372))</f>
        <v/>
      </c>
      <c r="L372" s="393">
        <f>IF($J372="",0,SUMIFS(②釜工程入力!$M$5:$M$117,②釜工程入力!$S$5:$S$117,$J372,②釜工程入力!$I$5:$I$117,"&gt;0")+SUMIFS(③スチコン工程入力!$M$5:$M$152,③スチコン工程入力!$S$5:$S$152,$J372,③スチコン工程入力!$I$5:$I$152,"&gt;0")+SUMIFS(⑪ZEN工程入力!$M$6:$M$35,⑪ZEN工程入力!$S$6:$S$35,$J372,⑪ZEN工程入力!$I$6:$I$35,"&gt;0")+SUMIFS(⑫ミキサー工程入力!$M$6:$M$65,⑫ミキサー工程入力!$S$6:$S$65,$J372,⑫ミキサー工程入力!$I$6:$I$65,"&gt;0")+SUMIFS(⑬計量工程入力!$M$6:$M$65,⑬計量工程入力!$S$6:$S$65,$J372,⑬計量工程入力!$I$6:$I$65,"&gt;0")+SUMIFS(⑭手動工程入力!$M$6:$M$47,⑭手動工程入力!$S$6:$S$47,$J372,⑭手動工程入力!$I$6:$I$47,"&gt;0"))</f>
        <v/>
      </c>
      <c r="M372" s="393">
        <f>IF($J372="",0,SUMIFS(②釜工程入力!$I$5:$I$117,②釜工程入力!$S$5:$S$117,$J372,②釜工程入力!$I$5:$I$117,"&gt;0",②釜工程入力!$M$5:$M$117,"&gt;0")+SUMIFS(③スチコン工程入力!$I$5:$I$152,③スチコン工程入力!$S$5:$S$152,$J372,③スチコン工程入力!$I$5:$I$152,"&gt;0",③スチコン工程入力!$M$5:$M$152,"&gt;0")+SUMIFS(⑪ZEN工程入力!$I$6:$I$35,⑪ZEN工程入力!$S$6:$S$35,$J372,⑪ZEN工程入力!$I$6:$I$35,"&gt;0",⑪ZEN工程入力!$M$6:$M$35,"&gt;0")+SUMIFS(⑫ミキサー工程入力!$I$6:$I$65,⑫ミキサー工程入力!$S$6:$S$65,$J372,⑫ミキサー工程入力!$I$6:$I$65,"&gt;0",⑫ミキサー工程入力!$M$6:$M$65,"&gt;0")+SUMIFS(⑬計量工程入力!$I$6:$I$65,⑬計量工程入力!$S$6:$S$65,$J372,⑬計量工程入力!$I$6:$I$65,"&gt;0",⑬計量工程入力!$M$6:$M$65,"&gt;0")+SUMIFS(⑭手動工程入力!$I$6:$I$47,⑭手動工程入力!$S$6:$S$47,$J372,⑭手動工程入力!$I$6:$I$47,"&gt;0",⑭手動工程入力!$M$6:$M$47,"&gt;0"))</f>
        <v/>
      </c>
      <c r="N372" s="393">
        <f>IF($J372="",0,SUMIFS(②釜工程入力!$M$5:$M$117,②釜工程入力!$S$5:$S$117,$J372,②釜工程入力!$J$5:$J$117,"&gt;0")-SUMIFS(②釜工程入力!$M$5:$M$117,②釜工程入力!$S$5:$S$117,$J372,②釜工程入力!$J$5:$J$117,"&gt;0",②釜工程入力!$I$5:$I$117,"&gt;0")+SUMIFS(③スチコン工程入力!$M$5:$M$152,③スチコン工程入力!$S$5:$S$152,$J372,③スチコン工程入力!$J$5:$J$152,"&gt;0")-SUMIFS(③スチコン工程入力!$M$5:$M$152,③スチコン工程入力!$S$5:$S$152,$J372,③スチコン工程入力!$J$5:$J$152,"&gt;0",③スチコン工程入力!$I$5:$I$152,"&gt;0")+SUMIFS(⑪ZEN工程入力!$M$6:$M$35,⑪ZEN工程入力!$S$6:$S$35,$J372,⑪ZEN工程入力!$J$6:$J$35,"&gt;0")-SUMIFS(⑪ZEN工程入力!$M$6:$M$35,⑪ZEN工程入力!$S$6:$S$35,$J372,⑪ZEN工程入力!$J$6:$J$35,"&gt;0",⑪ZEN工程入力!$I$6:$I$35,"&gt;0")+SUMIFS(⑫ミキサー工程入力!$M$6:$M$65,⑫ミキサー工程入力!$S$6:$S$65,$J372,⑫ミキサー工程入力!$J$6:$J$65,"&gt;0")-SUMIFS(⑫ミキサー工程入力!$M$6:$M$65,⑫ミキサー工程入力!$S$6:$S$65,$J372,⑫ミキサー工程入力!$J$6:$J$65,"&gt;0",⑫ミキサー工程入力!$I$6:$I$65,"&gt;0")+SUMIFS(⑬計量工程入力!$M$6:$M$65,⑬計量工程入力!$S$6:$S$65,$J372,⑬計量工程入力!$J$6:$J$65,"&gt;0")-SUMIFS(⑬計量工程入力!$M$6:$M$65,⑬計量工程入力!$S$6:$S$65,$J372,⑬計量工程入力!$J$6:$J$65,"&gt;0",⑬計量工程入力!$I$6:$I$65,"&gt;0")+SUMIFS(⑭手動工程入力!$M$6:$M$47,⑭手動工程入力!$S$6:$S$47,$J372,⑭手動工程入力!$J$6:$J$47,"&gt;0")-SUMIFS(⑭手動工程入力!$M$6:$M$47,⑭手動工程入力!$S$6:$S$47,$J372,⑭手動工程入力!$J$6:$J$47,"&gt;0",⑭手動工程入力!$I$6:$I$47,"&gt;0"))</f>
        <v/>
      </c>
      <c r="O372" s="393">
        <f>IF($J372="",0,SUMIFS(②釜工程入力!$J$5:$J$117,②釜工程入力!$S$5:$S$117,$J372,②釜工程入力!$J$5:$J$117,"&gt;0",②釜工程入力!$M$5:$M$117,"&gt;0")-SUMIFS(②釜工程入力!$J$5:$J$117,②釜工程入力!$S$5:$S$117,$J372,②釜工程入力!$J$5:$J$117,"&gt;0",②釜工程入力!$I$5:$I$117,"&gt;0",②釜工程入力!$M$5:$M$117,"&gt;0")+SUMIFS(③スチコン工程入力!$J$5:$J$152,③スチコン工程入力!$S$5:$S$152,$J372,③スチコン工程入力!$J$5:$J$152,"&gt;0",③スチコン工程入力!$M$5:$M$152,"&gt;0")-SUMIFS(③スチコン工程入力!$J$5:$J$152,③スチコン工程入力!$S$5:$S$152,$J372,③スチコン工程入力!$J$5:$J$152,"&gt;0",③スチコン工程入力!$I$5:$I$152,"&gt;0",③スチコン工程入力!$M$5:$M$152,"&gt;0")+SUMIFS(⑪ZEN工程入力!$J$6:$J$35,⑪ZEN工程入力!$S$6:$S$35,$J372,⑪ZEN工程入力!$J$6:$J$35,"&gt;0",⑪ZEN工程入力!$M$6:$M$35,"&gt;0")-SUMIFS(⑪ZEN工程入力!$J$6:$J$35,⑪ZEN工程入力!$S$6:$S$35,$J372,⑪ZEN工程入力!$J$6:$J$35,"&gt;0",⑪ZEN工程入力!$I$6:$I$35,"&gt;0",⑪ZEN工程入力!$M$6:$M$35,"&gt;0")+SUMIFS(⑫ミキサー工程入力!$J$6:$J$65,⑫ミキサー工程入力!$S$6:$S$65,$J372,⑫ミキサー工程入力!$J$6:$J$65,"&gt;0",⑫ミキサー工程入力!$M$6:$M$65,"&gt;0")-SUMIFS(⑫ミキサー工程入力!$J$6:$J$65,⑫ミキサー工程入力!$S$6:$S$65,$J372,⑫ミキサー工程入力!$J$6:$J$65,"&gt;0",⑫ミキサー工程入力!$I$6:$I$65,"&gt;0",⑫ミキサー工程入力!$M$6:$M$65,"&gt;0")+SUMIFS(⑬計量工程入力!$J$6:$J$65,⑬計量工程入力!$S$6:$S$65,$J372,⑬計量工程入力!$J$6:$J$65,"&gt;0",⑬計量工程入力!$M$6:$M$65,"&gt;0")-SUMIFS(⑬計量工程入力!$J$6:$J$65,⑬計量工程入力!$S$6:$S$65,$J372,⑬計量工程入力!$J$6:$J$65,"&gt;0",⑬計量工程入力!$I$6:$I$65,"&gt;0",⑬計量工程入力!$M$6:$M$65,"&gt;0")+SUMIFS(⑭手動工程入力!$J$6:$J$47,⑭手動工程入力!$S$6:$S$47,$J372,⑭手動工程入力!$J$6:$J$47,"&gt;0",⑭手動工程入力!$M$6:$M$47,"&gt;0")-SUMIFS(⑭手動工程入力!$J$6:$J$47,⑭手動工程入力!$S$6:$S$47,$J372,⑭手動工程入力!$J$6:$J$47,"&gt;0",⑭手動工程入力!$I$6:$I$47,"&gt;0",⑭手動工程入力!$M$6:$M$47,"&gt;0"))</f>
        <v/>
      </c>
      <c r="P372" s="392" t="n"/>
    </row>
    <row r="373">
      <c r="A373" s="392" t="n">
        <v>369</v>
      </c>
      <c r="B373" s="392" t="n"/>
      <c r="C373" s="392" t="n"/>
      <c r="D373" s="409" t="n"/>
      <c r="E373" s="392" t="n"/>
      <c r="F373" s="394" t="n"/>
      <c r="G373" s="392" t="n"/>
      <c r="H373" s="604">
        <f>IFERROR(IF(AND($K373&gt;0,ISNUMBER(IF(OR($D373="g",$D373="ｇ"),IF($M373&gt;0,$L373/$M373/1000,""),IF($D373="kg",IF($M373&gt;0,$L373/$M373,""),IF($D373="",IF($M373&gt;0,$L373/$M373/1000,IF($O373&gt;0,$N373/$O373,"")),IF($O373&gt;0,$N373/$O373,"")))))),IF(OR($D373="g",$D373="ｇ"),IF($M373&gt;0,$L373/$M373/1000,""),IF($D373="kg",IF($M373&gt;0,$L373/$M373,""),IF($D373="",IF($M373&gt;0,$L373/$M373/1000,IF($O373&gt;0,$N373/$O373,"")),IF($O373&gt;0,$N373/$O373,"")))),IF($F373="",IF(OR($E373="",$E373="⑩盛付梱包工程入力"),"",IF(OR($D373="g",$D373="ｇ"),INDEX(⑰工程労務費一覧!$N$5:$N$11,MATCH($E373,⑰工程労務費一覧!$K$5:$K$11,0))/1000,IF($D373="kg",INDEX(⑰工程労務費一覧!$N$5:$N$11,MATCH($E373,⑰工程労務費一覧!$K$5:$K$11,0)),IF(OR($D373="個",$D373="切",$D373="本",$D373="枚",$D373="尾"),IF($E373="⑬計量工程入力","",INDEX(⑰工程労務費一覧!$P$5:$P$11,MATCH($E373,⑰工程労務費一覧!$K$5:$K$11,0))),IF(AND($D373="",OR($E373="②釜工程入力",$E373="③スチコン工程入力")),INDEX(⑰工程労務費一覧!$N$5:$N$11,MATCH($E373,⑰工程労務費一覧!$K$5:$K$11,0))/1000,""))))),IF(OR($D373="g",$D373="ｇ"),INDEX(⑰工程労務費一覧!$H$5:$H$753,MATCH($F373,⑰工程労務費一覧!$D$5:$D$753,0))/1000,IF($D373="kg",INDEX(⑰工程労務費一覧!$H$5:$H$753,MATCH($F373,⑰工程労務費一覧!$D$5:$D$753,0)),INDEX(⑰工程労務費一覧!$I$5:$I$753,MATCH($F373,⑰工程労務費一覧!$D$5:$D$753,0)))))),"")</f>
        <v/>
      </c>
      <c r="I373" s="392">
        <f>IF($K373&gt;0,IF(ISNUMBER(IF(OR($D373="g",$D373="ｇ"),IF($M373&gt;0,$L373/$M373/1000,""),IF($D373="kg",IF($M373&gt;0,$L373/$M373,""),IF($D373="",IF($M373&gt;0,$L373/$M373/1000,IF($O373&gt;0,$N373/$O373,"")),IF($O373&gt;0,$N373/$O373,""))))),IF($D373="",IF($M373&gt;0,"◎ JAN紐づけ(g扱い)","◎ JAN紐づけ(個扱い)"),"◎ JAN紐づけ"),"△ JAN紐づけ済・実績不足→仮計算"),IF($F373="",IF(ISNUMBER($H373),IF($D373="","⑤ 工程平均で仮計算(g扱い)","⑤ 工程平均で仮計算"),IF($E373="⑩盛付梱包工程入力","⑥ 盛り込み(⑳F列で計上)",IF(AND($E373="⑬計量工程入力",OR($D373="個",$D373="切",$D373="本",$D373="枚",$D373="尾")),"① 未紐づけ(カット個単位は仮単価なし)","① 未紐づけ"))),IF(NOT(ISNUMBER($H373)),"② 工程側に単価なし",IF($D373="","③ 単位未設定(個で計算)","④ OK"))))</f>
        <v/>
      </c>
      <c r="J373" s="399">
        <f>IFERROR(LOOKUP(2,1/((中間品リスト!$F$2:$F$1299=$B373)*(中間品リスト!$E$2:$E$1299&lt;&gt;"-")*(中間品リスト!$E$2:$E$1299&lt;&gt;"")),中間品リスト!$E$2:$E$1299),"")</f>
        <v/>
      </c>
      <c r="K373" s="400">
        <f>IF($J373="",0,COUNTIF(②釜工程入力!$S$5:$S$117,$J373)+COUNTIF(③スチコン工程入力!$S$5:$S$152,$J373)+COUNTIF(⑪ZEN工程入力!$S$6:$S$35,$J373)+COUNTIF(⑫ミキサー工程入力!$S$6:$S$65,$J373)+COUNTIF(⑬計量工程入力!$S$6:$S$65,$J373)+COUNTIF(⑭手動工程入力!$S$6:$S$47,$J373))</f>
        <v/>
      </c>
      <c r="L373" s="393">
        <f>IF($J373="",0,SUMIFS(②釜工程入力!$M$5:$M$117,②釜工程入力!$S$5:$S$117,$J373,②釜工程入力!$I$5:$I$117,"&gt;0")+SUMIFS(③スチコン工程入力!$M$5:$M$152,③スチコン工程入力!$S$5:$S$152,$J373,③スチコン工程入力!$I$5:$I$152,"&gt;0")+SUMIFS(⑪ZEN工程入力!$M$6:$M$35,⑪ZEN工程入力!$S$6:$S$35,$J373,⑪ZEN工程入力!$I$6:$I$35,"&gt;0")+SUMIFS(⑫ミキサー工程入力!$M$6:$M$65,⑫ミキサー工程入力!$S$6:$S$65,$J373,⑫ミキサー工程入力!$I$6:$I$65,"&gt;0")+SUMIFS(⑬計量工程入力!$M$6:$M$65,⑬計量工程入力!$S$6:$S$65,$J373,⑬計量工程入力!$I$6:$I$65,"&gt;0")+SUMIFS(⑭手動工程入力!$M$6:$M$47,⑭手動工程入力!$S$6:$S$47,$J373,⑭手動工程入力!$I$6:$I$47,"&gt;0"))</f>
        <v/>
      </c>
      <c r="M373" s="393">
        <f>IF($J373="",0,SUMIFS(②釜工程入力!$I$5:$I$117,②釜工程入力!$S$5:$S$117,$J373,②釜工程入力!$I$5:$I$117,"&gt;0",②釜工程入力!$M$5:$M$117,"&gt;0")+SUMIFS(③スチコン工程入力!$I$5:$I$152,③スチコン工程入力!$S$5:$S$152,$J373,③スチコン工程入力!$I$5:$I$152,"&gt;0",③スチコン工程入力!$M$5:$M$152,"&gt;0")+SUMIFS(⑪ZEN工程入力!$I$6:$I$35,⑪ZEN工程入力!$S$6:$S$35,$J373,⑪ZEN工程入力!$I$6:$I$35,"&gt;0",⑪ZEN工程入力!$M$6:$M$35,"&gt;0")+SUMIFS(⑫ミキサー工程入力!$I$6:$I$65,⑫ミキサー工程入力!$S$6:$S$65,$J373,⑫ミキサー工程入力!$I$6:$I$65,"&gt;0",⑫ミキサー工程入力!$M$6:$M$65,"&gt;0")+SUMIFS(⑬計量工程入力!$I$6:$I$65,⑬計量工程入力!$S$6:$S$65,$J373,⑬計量工程入力!$I$6:$I$65,"&gt;0",⑬計量工程入力!$M$6:$M$65,"&gt;0")+SUMIFS(⑭手動工程入力!$I$6:$I$47,⑭手動工程入力!$S$6:$S$47,$J373,⑭手動工程入力!$I$6:$I$47,"&gt;0",⑭手動工程入力!$M$6:$M$47,"&gt;0"))</f>
        <v/>
      </c>
      <c r="N373" s="393">
        <f>IF($J373="",0,SUMIFS(②釜工程入力!$M$5:$M$117,②釜工程入力!$S$5:$S$117,$J373,②釜工程入力!$J$5:$J$117,"&gt;0")-SUMIFS(②釜工程入力!$M$5:$M$117,②釜工程入力!$S$5:$S$117,$J373,②釜工程入力!$J$5:$J$117,"&gt;0",②釜工程入力!$I$5:$I$117,"&gt;0")+SUMIFS(③スチコン工程入力!$M$5:$M$152,③スチコン工程入力!$S$5:$S$152,$J373,③スチコン工程入力!$J$5:$J$152,"&gt;0")-SUMIFS(③スチコン工程入力!$M$5:$M$152,③スチコン工程入力!$S$5:$S$152,$J373,③スチコン工程入力!$J$5:$J$152,"&gt;0",③スチコン工程入力!$I$5:$I$152,"&gt;0")+SUMIFS(⑪ZEN工程入力!$M$6:$M$35,⑪ZEN工程入力!$S$6:$S$35,$J373,⑪ZEN工程入力!$J$6:$J$35,"&gt;0")-SUMIFS(⑪ZEN工程入力!$M$6:$M$35,⑪ZEN工程入力!$S$6:$S$35,$J373,⑪ZEN工程入力!$J$6:$J$35,"&gt;0",⑪ZEN工程入力!$I$6:$I$35,"&gt;0")+SUMIFS(⑫ミキサー工程入力!$M$6:$M$65,⑫ミキサー工程入力!$S$6:$S$65,$J373,⑫ミキサー工程入力!$J$6:$J$65,"&gt;0")-SUMIFS(⑫ミキサー工程入力!$M$6:$M$65,⑫ミキサー工程入力!$S$6:$S$65,$J373,⑫ミキサー工程入力!$J$6:$J$65,"&gt;0",⑫ミキサー工程入力!$I$6:$I$65,"&gt;0")+SUMIFS(⑬計量工程入力!$M$6:$M$65,⑬計量工程入力!$S$6:$S$65,$J373,⑬計量工程入力!$J$6:$J$65,"&gt;0")-SUMIFS(⑬計量工程入力!$M$6:$M$65,⑬計量工程入力!$S$6:$S$65,$J373,⑬計量工程入力!$J$6:$J$65,"&gt;0",⑬計量工程入力!$I$6:$I$65,"&gt;0")+SUMIFS(⑭手動工程入力!$M$6:$M$47,⑭手動工程入力!$S$6:$S$47,$J373,⑭手動工程入力!$J$6:$J$47,"&gt;0")-SUMIFS(⑭手動工程入力!$M$6:$M$47,⑭手動工程入力!$S$6:$S$47,$J373,⑭手動工程入力!$J$6:$J$47,"&gt;0",⑭手動工程入力!$I$6:$I$47,"&gt;0"))</f>
        <v/>
      </c>
      <c r="O373" s="393">
        <f>IF($J373="",0,SUMIFS(②釜工程入力!$J$5:$J$117,②釜工程入力!$S$5:$S$117,$J373,②釜工程入力!$J$5:$J$117,"&gt;0",②釜工程入力!$M$5:$M$117,"&gt;0")-SUMIFS(②釜工程入力!$J$5:$J$117,②釜工程入力!$S$5:$S$117,$J373,②釜工程入力!$J$5:$J$117,"&gt;0",②釜工程入力!$I$5:$I$117,"&gt;0",②釜工程入力!$M$5:$M$117,"&gt;0")+SUMIFS(③スチコン工程入力!$J$5:$J$152,③スチコン工程入力!$S$5:$S$152,$J373,③スチコン工程入力!$J$5:$J$152,"&gt;0",③スチコン工程入力!$M$5:$M$152,"&gt;0")-SUMIFS(③スチコン工程入力!$J$5:$J$152,③スチコン工程入力!$S$5:$S$152,$J373,③スチコン工程入力!$J$5:$J$152,"&gt;0",③スチコン工程入力!$I$5:$I$152,"&gt;0",③スチコン工程入力!$M$5:$M$152,"&gt;0")+SUMIFS(⑪ZEN工程入力!$J$6:$J$35,⑪ZEN工程入力!$S$6:$S$35,$J373,⑪ZEN工程入力!$J$6:$J$35,"&gt;0",⑪ZEN工程入力!$M$6:$M$35,"&gt;0")-SUMIFS(⑪ZEN工程入力!$J$6:$J$35,⑪ZEN工程入力!$S$6:$S$35,$J373,⑪ZEN工程入力!$J$6:$J$35,"&gt;0",⑪ZEN工程入力!$I$6:$I$35,"&gt;0",⑪ZEN工程入力!$M$6:$M$35,"&gt;0")+SUMIFS(⑫ミキサー工程入力!$J$6:$J$65,⑫ミキサー工程入力!$S$6:$S$65,$J373,⑫ミキサー工程入力!$J$6:$J$65,"&gt;0",⑫ミキサー工程入力!$M$6:$M$65,"&gt;0")-SUMIFS(⑫ミキサー工程入力!$J$6:$J$65,⑫ミキサー工程入力!$S$6:$S$65,$J373,⑫ミキサー工程入力!$J$6:$J$65,"&gt;0",⑫ミキサー工程入力!$I$6:$I$65,"&gt;0",⑫ミキサー工程入力!$M$6:$M$65,"&gt;0")+SUMIFS(⑬計量工程入力!$J$6:$J$65,⑬計量工程入力!$S$6:$S$65,$J373,⑬計量工程入力!$J$6:$J$65,"&gt;0",⑬計量工程入力!$M$6:$M$65,"&gt;0")-SUMIFS(⑬計量工程入力!$J$6:$J$65,⑬計量工程入力!$S$6:$S$65,$J373,⑬計量工程入力!$J$6:$J$65,"&gt;0",⑬計量工程入力!$I$6:$I$65,"&gt;0",⑬計量工程入力!$M$6:$M$65,"&gt;0")+SUMIFS(⑭手動工程入力!$J$6:$J$47,⑭手動工程入力!$S$6:$S$47,$J373,⑭手動工程入力!$J$6:$J$47,"&gt;0",⑭手動工程入力!$M$6:$M$47,"&gt;0")-SUMIFS(⑭手動工程入力!$J$6:$J$47,⑭手動工程入力!$S$6:$S$47,$J373,⑭手動工程入力!$J$6:$J$47,"&gt;0",⑭手動工程入力!$I$6:$I$47,"&gt;0",⑭手動工程入力!$M$6:$M$47,"&gt;0"))</f>
        <v/>
      </c>
      <c r="P373" s="392" t="inlineStr">
        <is>
          <t>中間品リスト</t>
        </is>
      </c>
    </row>
    <row r="374">
      <c r="A374" s="392" t="n">
        <v>370</v>
      </c>
      <c r="B374" s="392" t="n"/>
      <c r="C374" s="392" t="n"/>
      <c r="D374" s="409" t="n"/>
      <c r="E374" s="392" t="n"/>
      <c r="F374" s="394" t="n"/>
      <c r="G374" s="392" t="n"/>
      <c r="H374" s="604">
        <f>IFERROR(IF(AND($K374&gt;0,ISNUMBER(IF(OR($D374="g",$D374="ｇ"),IF($M374&gt;0,$L374/$M374/1000,""),IF($D374="kg",IF($M374&gt;0,$L374/$M374,""),IF($D374="",IF($M374&gt;0,$L374/$M374/1000,IF($O374&gt;0,$N374/$O374,"")),IF($O374&gt;0,$N374/$O374,"")))))),IF(OR($D374="g",$D374="ｇ"),IF($M374&gt;0,$L374/$M374/1000,""),IF($D374="kg",IF($M374&gt;0,$L374/$M374,""),IF($D374="",IF($M374&gt;0,$L374/$M374/1000,IF($O374&gt;0,$N374/$O374,"")),IF($O374&gt;0,$N374/$O374,"")))),IF($F374="",IF(OR($E374="",$E374="⑩盛付梱包工程入力"),"",IF(OR($D374="g",$D374="ｇ"),INDEX(⑰工程労務費一覧!$N$5:$N$11,MATCH($E374,⑰工程労務費一覧!$K$5:$K$11,0))/1000,IF($D374="kg",INDEX(⑰工程労務費一覧!$N$5:$N$11,MATCH($E374,⑰工程労務費一覧!$K$5:$K$11,0)),IF(OR($D374="個",$D374="切",$D374="本",$D374="枚",$D374="尾"),IF($E374="⑬計量工程入力","",INDEX(⑰工程労務費一覧!$P$5:$P$11,MATCH($E374,⑰工程労務費一覧!$K$5:$K$11,0))),IF(AND($D374="",OR($E374="②釜工程入力",$E374="③スチコン工程入力")),INDEX(⑰工程労務費一覧!$N$5:$N$11,MATCH($E374,⑰工程労務費一覧!$K$5:$K$11,0))/1000,""))))),IF(OR($D374="g",$D374="ｇ"),INDEX(⑰工程労務費一覧!$H$5:$H$753,MATCH($F374,⑰工程労務費一覧!$D$5:$D$753,0))/1000,IF($D374="kg",INDEX(⑰工程労務費一覧!$H$5:$H$753,MATCH($F374,⑰工程労務費一覧!$D$5:$D$753,0)),INDEX(⑰工程労務費一覧!$I$5:$I$753,MATCH($F374,⑰工程労務費一覧!$D$5:$D$753,0)))))),"")</f>
        <v/>
      </c>
      <c r="I374" s="392">
        <f>IF($K374&gt;0,IF(ISNUMBER(IF(OR($D374="g",$D374="ｇ"),IF($M374&gt;0,$L374/$M374/1000,""),IF($D374="kg",IF($M374&gt;0,$L374/$M374,""),IF($D374="",IF($M374&gt;0,$L374/$M374/1000,IF($O374&gt;0,$N374/$O374,"")),IF($O374&gt;0,$N374/$O374,""))))),IF($D374="",IF($M374&gt;0,"◎ JAN紐づけ(g扱い)","◎ JAN紐づけ(個扱い)"),"◎ JAN紐づけ"),"△ JAN紐づけ済・実績不足→仮計算"),IF($F374="",IF(ISNUMBER($H374),IF($D374="","⑤ 工程平均で仮計算(g扱い)","⑤ 工程平均で仮計算"),IF($E374="⑩盛付梱包工程入力","⑥ 盛り込み(⑳F列で計上)",IF(AND($E374="⑬計量工程入力",OR($D374="個",$D374="切",$D374="本",$D374="枚",$D374="尾")),"① 未紐づけ(カット個単位は仮単価なし)","① 未紐づけ"))),IF(NOT(ISNUMBER($H374)),"② 工程側に単価なし",IF($D374="","③ 単位未設定(個で計算)","④ OK"))))</f>
        <v/>
      </c>
      <c r="J374" s="399">
        <f>IFERROR(LOOKUP(2,1/((中間品リスト!$F$2:$F$1299=$B374)*(中間品リスト!$E$2:$E$1299&lt;&gt;"-")*(中間品リスト!$E$2:$E$1299&lt;&gt;"")),中間品リスト!$E$2:$E$1299),"")</f>
        <v/>
      </c>
      <c r="K374" s="400">
        <f>IF($J374="",0,COUNTIF(②釜工程入力!$S$5:$S$117,$J374)+COUNTIF(③スチコン工程入力!$S$5:$S$152,$J374)+COUNTIF(⑪ZEN工程入力!$S$6:$S$35,$J374)+COUNTIF(⑫ミキサー工程入力!$S$6:$S$65,$J374)+COUNTIF(⑬計量工程入力!$S$6:$S$65,$J374)+COUNTIF(⑭手動工程入力!$S$6:$S$47,$J374))</f>
        <v/>
      </c>
      <c r="L374" s="393">
        <f>IF($J374="",0,SUMIFS(②釜工程入力!$M$5:$M$117,②釜工程入力!$S$5:$S$117,$J374,②釜工程入力!$I$5:$I$117,"&gt;0")+SUMIFS(③スチコン工程入力!$M$5:$M$152,③スチコン工程入力!$S$5:$S$152,$J374,③スチコン工程入力!$I$5:$I$152,"&gt;0")+SUMIFS(⑪ZEN工程入力!$M$6:$M$35,⑪ZEN工程入力!$S$6:$S$35,$J374,⑪ZEN工程入力!$I$6:$I$35,"&gt;0")+SUMIFS(⑫ミキサー工程入力!$M$6:$M$65,⑫ミキサー工程入力!$S$6:$S$65,$J374,⑫ミキサー工程入力!$I$6:$I$65,"&gt;0")+SUMIFS(⑬計量工程入力!$M$6:$M$65,⑬計量工程入力!$S$6:$S$65,$J374,⑬計量工程入力!$I$6:$I$65,"&gt;0")+SUMIFS(⑭手動工程入力!$M$6:$M$47,⑭手動工程入力!$S$6:$S$47,$J374,⑭手動工程入力!$I$6:$I$47,"&gt;0"))</f>
        <v/>
      </c>
      <c r="M374" s="393">
        <f>IF($J374="",0,SUMIFS(②釜工程入力!$I$5:$I$117,②釜工程入力!$S$5:$S$117,$J374,②釜工程入力!$I$5:$I$117,"&gt;0",②釜工程入力!$M$5:$M$117,"&gt;0")+SUMIFS(③スチコン工程入力!$I$5:$I$152,③スチコン工程入力!$S$5:$S$152,$J374,③スチコン工程入力!$I$5:$I$152,"&gt;0",③スチコン工程入力!$M$5:$M$152,"&gt;0")+SUMIFS(⑪ZEN工程入力!$I$6:$I$35,⑪ZEN工程入力!$S$6:$S$35,$J374,⑪ZEN工程入力!$I$6:$I$35,"&gt;0",⑪ZEN工程入力!$M$6:$M$35,"&gt;0")+SUMIFS(⑫ミキサー工程入力!$I$6:$I$65,⑫ミキサー工程入力!$S$6:$S$65,$J374,⑫ミキサー工程入力!$I$6:$I$65,"&gt;0",⑫ミキサー工程入力!$M$6:$M$65,"&gt;0")+SUMIFS(⑬計量工程入力!$I$6:$I$65,⑬計量工程入力!$S$6:$S$65,$J374,⑬計量工程入力!$I$6:$I$65,"&gt;0",⑬計量工程入力!$M$6:$M$65,"&gt;0")+SUMIFS(⑭手動工程入力!$I$6:$I$47,⑭手動工程入力!$S$6:$S$47,$J374,⑭手動工程入力!$I$6:$I$47,"&gt;0",⑭手動工程入力!$M$6:$M$47,"&gt;0"))</f>
        <v/>
      </c>
      <c r="N374" s="393">
        <f>IF($J374="",0,SUMIFS(②釜工程入力!$M$5:$M$117,②釜工程入力!$S$5:$S$117,$J374,②釜工程入力!$J$5:$J$117,"&gt;0")-SUMIFS(②釜工程入力!$M$5:$M$117,②釜工程入力!$S$5:$S$117,$J374,②釜工程入力!$J$5:$J$117,"&gt;0",②釜工程入力!$I$5:$I$117,"&gt;0")+SUMIFS(③スチコン工程入力!$M$5:$M$152,③スチコン工程入力!$S$5:$S$152,$J374,③スチコン工程入力!$J$5:$J$152,"&gt;0")-SUMIFS(③スチコン工程入力!$M$5:$M$152,③スチコン工程入力!$S$5:$S$152,$J374,③スチコン工程入力!$J$5:$J$152,"&gt;0",③スチコン工程入力!$I$5:$I$152,"&gt;0")+SUMIFS(⑪ZEN工程入力!$M$6:$M$35,⑪ZEN工程入力!$S$6:$S$35,$J374,⑪ZEN工程入力!$J$6:$J$35,"&gt;0")-SUMIFS(⑪ZEN工程入力!$M$6:$M$35,⑪ZEN工程入力!$S$6:$S$35,$J374,⑪ZEN工程入力!$J$6:$J$35,"&gt;0",⑪ZEN工程入力!$I$6:$I$35,"&gt;0")+SUMIFS(⑫ミキサー工程入力!$M$6:$M$65,⑫ミキサー工程入力!$S$6:$S$65,$J374,⑫ミキサー工程入力!$J$6:$J$65,"&gt;0")-SUMIFS(⑫ミキサー工程入力!$M$6:$M$65,⑫ミキサー工程入力!$S$6:$S$65,$J374,⑫ミキサー工程入力!$J$6:$J$65,"&gt;0",⑫ミキサー工程入力!$I$6:$I$65,"&gt;0")+SUMIFS(⑬計量工程入力!$M$6:$M$65,⑬計量工程入力!$S$6:$S$65,$J374,⑬計量工程入力!$J$6:$J$65,"&gt;0")-SUMIFS(⑬計量工程入力!$M$6:$M$65,⑬計量工程入力!$S$6:$S$65,$J374,⑬計量工程入力!$J$6:$J$65,"&gt;0",⑬計量工程入力!$I$6:$I$65,"&gt;0")+SUMIFS(⑭手動工程入力!$M$6:$M$47,⑭手動工程入力!$S$6:$S$47,$J374,⑭手動工程入力!$J$6:$J$47,"&gt;0")-SUMIFS(⑭手動工程入力!$M$6:$M$47,⑭手動工程入力!$S$6:$S$47,$J374,⑭手動工程入力!$J$6:$J$47,"&gt;0",⑭手動工程入力!$I$6:$I$47,"&gt;0"))</f>
        <v/>
      </c>
      <c r="O374" s="393">
        <f>IF($J374="",0,SUMIFS(②釜工程入力!$J$5:$J$117,②釜工程入力!$S$5:$S$117,$J374,②釜工程入力!$J$5:$J$117,"&gt;0",②釜工程入力!$M$5:$M$117,"&gt;0")-SUMIFS(②釜工程入力!$J$5:$J$117,②釜工程入力!$S$5:$S$117,$J374,②釜工程入力!$J$5:$J$117,"&gt;0",②釜工程入力!$I$5:$I$117,"&gt;0",②釜工程入力!$M$5:$M$117,"&gt;0")+SUMIFS(③スチコン工程入力!$J$5:$J$152,③スチコン工程入力!$S$5:$S$152,$J374,③スチコン工程入力!$J$5:$J$152,"&gt;0",③スチコン工程入力!$M$5:$M$152,"&gt;0")-SUMIFS(③スチコン工程入力!$J$5:$J$152,③スチコン工程入力!$S$5:$S$152,$J374,③スチコン工程入力!$J$5:$J$152,"&gt;0",③スチコン工程入力!$I$5:$I$152,"&gt;0",③スチコン工程入力!$M$5:$M$152,"&gt;0")+SUMIFS(⑪ZEN工程入力!$J$6:$J$35,⑪ZEN工程入力!$S$6:$S$35,$J374,⑪ZEN工程入力!$J$6:$J$35,"&gt;0",⑪ZEN工程入力!$M$6:$M$35,"&gt;0")-SUMIFS(⑪ZEN工程入力!$J$6:$J$35,⑪ZEN工程入力!$S$6:$S$35,$J374,⑪ZEN工程入力!$J$6:$J$35,"&gt;0",⑪ZEN工程入力!$I$6:$I$35,"&gt;0",⑪ZEN工程入力!$M$6:$M$35,"&gt;0")+SUMIFS(⑫ミキサー工程入力!$J$6:$J$65,⑫ミキサー工程入力!$S$6:$S$65,$J374,⑫ミキサー工程入力!$J$6:$J$65,"&gt;0",⑫ミキサー工程入力!$M$6:$M$65,"&gt;0")-SUMIFS(⑫ミキサー工程入力!$J$6:$J$65,⑫ミキサー工程入力!$S$6:$S$65,$J374,⑫ミキサー工程入力!$J$6:$J$65,"&gt;0",⑫ミキサー工程入力!$I$6:$I$65,"&gt;0",⑫ミキサー工程入力!$M$6:$M$65,"&gt;0")+SUMIFS(⑬計量工程入力!$J$6:$J$65,⑬計量工程入力!$S$6:$S$65,$J374,⑬計量工程入力!$J$6:$J$65,"&gt;0",⑬計量工程入力!$M$6:$M$65,"&gt;0")-SUMIFS(⑬計量工程入力!$J$6:$J$65,⑬計量工程入力!$S$6:$S$65,$J374,⑬計量工程入力!$J$6:$J$65,"&gt;0",⑬計量工程入力!$I$6:$I$65,"&gt;0",⑬計量工程入力!$M$6:$M$65,"&gt;0")+SUMIFS(⑭手動工程入力!$J$6:$J$47,⑭手動工程入力!$S$6:$S$47,$J374,⑭手動工程入力!$J$6:$J$47,"&gt;0",⑭手動工程入力!$M$6:$M$47,"&gt;0")-SUMIFS(⑭手動工程入力!$J$6:$J$47,⑭手動工程入力!$S$6:$S$47,$J374,⑭手動工程入力!$J$6:$J$47,"&gt;0",⑭手動工程入力!$I$6:$I$47,"&gt;0",⑭手動工程入力!$M$6:$M$47,"&gt;0"))</f>
        <v/>
      </c>
      <c r="P374" s="392" t="inlineStr">
        <is>
          <t>中間品リスト</t>
        </is>
      </c>
    </row>
    <row r="375">
      <c r="A375" s="392" t="n">
        <v>371</v>
      </c>
      <c r="B375" s="392" t="n"/>
      <c r="C375" s="392" t="n"/>
      <c r="D375" s="409" t="n"/>
      <c r="E375" s="392" t="n"/>
      <c r="F375" s="394" t="n"/>
      <c r="G375" s="392" t="n"/>
      <c r="H375" s="604">
        <f>IFERROR(IF(AND($K375&gt;0,ISNUMBER(IF(OR($D375="g",$D375="ｇ"),IF($M375&gt;0,$L375/$M375/1000,""),IF($D375="kg",IF($M375&gt;0,$L375/$M375,""),IF($D375="",IF($M375&gt;0,$L375/$M375/1000,IF($O375&gt;0,$N375/$O375,"")),IF($O375&gt;0,$N375/$O375,"")))))),IF(OR($D375="g",$D375="ｇ"),IF($M375&gt;0,$L375/$M375/1000,""),IF($D375="kg",IF($M375&gt;0,$L375/$M375,""),IF($D375="",IF($M375&gt;0,$L375/$M375/1000,IF($O375&gt;0,$N375/$O375,"")),IF($O375&gt;0,$N375/$O375,"")))),IF($F375="",IF(OR($E375="",$E375="⑩盛付梱包工程入力"),"",IF(OR($D375="g",$D375="ｇ"),INDEX(⑰工程労務費一覧!$N$5:$N$11,MATCH($E375,⑰工程労務費一覧!$K$5:$K$11,0))/1000,IF($D375="kg",INDEX(⑰工程労務費一覧!$N$5:$N$11,MATCH($E375,⑰工程労務費一覧!$K$5:$K$11,0)),IF(OR($D375="個",$D375="切",$D375="本",$D375="枚",$D375="尾"),IF($E375="⑬計量工程入力","",INDEX(⑰工程労務費一覧!$P$5:$P$11,MATCH($E375,⑰工程労務費一覧!$K$5:$K$11,0))),IF(AND($D375="",OR($E375="②釜工程入力",$E375="③スチコン工程入力")),INDEX(⑰工程労務費一覧!$N$5:$N$11,MATCH($E375,⑰工程労務費一覧!$K$5:$K$11,0))/1000,""))))),IF(OR($D375="g",$D375="ｇ"),INDEX(⑰工程労務費一覧!$H$5:$H$753,MATCH($F375,⑰工程労務費一覧!$D$5:$D$753,0))/1000,IF($D375="kg",INDEX(⑰工程労務費一覧!$H$5:$H$753,MATCH($F375,⑰工程労務費一覧!$D$5:$D$753,0)),INDEX(⑰工程労務費一覧!$I$5:$I$753,MATCH($F375,⑰工程労務費一覧!$D$5:$D$753,0)))))),"")</f>
        <v/>
      </c>
      <c r="I375" s="392">
        <f>IF($K375&gt;0,IF(ISNUMBER(IF(OR($D375="g",$D375="ｇ"),IF($M375&gt;0,$L375/$M375/1000,""),IF($D375="kg",IF($M375&gt;0,$L375/$M375,""),IF($D375="",IF($M375&gt;0,$L375/$M375/1000,IF($O375&gt;0,$N375/$O375,"")),IF($O375&gt;0,$N375/$O375,""))))),IF($D375="",IF($M375&gt;0,"◎ JAN紐づけ(g扱い)","◎ JAN紐づけ(個扱い)"),"◎ JAN紐づけ"),"△ JAN紐づけ済・実績不足→仮計算"),IF($F375="",IF(ISNUMBER($H375),IF($D375="","⑤ 工程平均で仮計算(g扱い)","⑤ 工程平均で仮計算"),IF($E375="⑩盛付梱包工程入力","⑥ 盛り込み(⑳F列で計上)",IF(AND($E375="⑬計量工程入力",OR($D375="個",$D375="切",$D375="本",$D375="枚",$D375="尾")),"① 未紐づけ(カット個単位は仮単価なし)","① 未紐づけ"))),IF(NOT(ISNUMBER($H375)),"② 工程側に単価なし",IF($D375="","③ 単位未設定(個で計算)","④ OK"))))</f>
        <v/>
      </c>
      <c r="J375" s="399">
        <f>IFERROR(LOOKUP(2,1/((中間品リスト!$F$2:$F$1299=$B375)*(中間品リスト!$E$2:$E$1299&lt;&gt;"-")*(中間品リスト!$E$2:$E$1299&lt;&gt;"")),中間品リスト!$E$2:$E$1299),"")</f>
        <v/>
      </c>
      <c r="K375" s="400">
        <f>IF($J375="",0,COUNTIF(②釜工程入力!$S$5:$S$117,$J375)+COUNTIF(③スチコン工程入力!$S$5:$S$152,$J375)+COUNTIF(⑪ZEN工程入力!$S$6:$S$35,$J375)+COUNTIF(⑫ミキサー工程入力!$S$6:$S$65,$J375)+COUNTIF(⑬計量工程入力!$S$6:$S$65,$J375)+COUNTIF(⑭手動工程入力!$S$6:$S$47,$J375))</f>
        <v/>
      </c>
      <c r="L375" s="393">
        <f>IF($J375="",0,SUMIFS(②釜工程入力!$M$5:$M$117,②釜工程入力!$S$5:$S$117,$J375,②釜工程入力!$I$5:$I$117,"&gt;0")+SUMIFS(③スチコン工程入力!$M$5:$M$152,③スチコン工程入力!$S$5:$S$152,$J375,③スチコン工程入力!$I$5:$I$152,"&gt;0")+SUMIFS(⑪ZEN工程入力!$M$6:$M$35,⑪ZEN工程入力!$S$6:$S$35,$J375,⑪ZEN工程入力!$I$6:$I$35,"&gt;0")+SUMIFS(⑫ミキサー工程入力!$M$6:$M$65,⑫ミキサー工程入力!$S$6:$S$65,$J375,⑫ミキサー工程入力!$I$6:$I$65,"&gt;0")+SUMIFS(⑬計量工程入力!$M$6:$M$65,⑬計量工程入力!$S$6:$S$65,$J375,⑬計量工程入力!$I$6:$I$65,"&gt;0")+SUMIFS(⑭手動工程入力!$M$6:$M$47,⑭手動工程入力!$S$6:$S$47,$J375,⑭手動工程入力!$I$6:$I$47,"&gt;0"))</f>
        <v/>
      </c>
      <c r="M375" s="393">
        <f>IF($J375="",0,SUMIFS(②釜工程入力!$I$5:$I$117,②釜工程入力!$S$5:$S$117,$J375,②釜工程入力!$I$5:$I$117,"&gt;0",②釜工程入力!$M$5:$M$117,"&gt;0")+SUMIFS(③スチコン工程入力!$I$5:$I$152,③スチコン工程入力!$S$5:$S$152,$J375,③スチコン工程入力!$I$5:$I$152,"&gt;0",③スチコン工程入力!$M$5:$M$152,"&gt;0")+SUMIFS(⑪ZEN工程入力!$I$6:$I$35,⑪ZEN工程入力!$S$6:$S$35,$J375,⑪ZEN工程入力!$I$6:$I$35,"&gt;0",⑪ZEN工程入力!$M$6:$M$35,"&gt;0")+SUMIFS(⑫ミキサー工程入力!$I$6:$I$65,⑫ミキサー工程入力!$S$6:$S$65,$J375,⑫ミキサー工程入力!$I$6:$I$65,"&gt;0",⑫ミキサー工程入力!$M$6:$M$65,"&gt;0")+SUMIFS(⑬計量工程入力!$I$6:$I$65,⑬計量工程入力!$S$6:$S$65,$J375,⑬計量工程入力!$I$6:$I$65,"&gt;0",⑬計量工程入力!$M$6:$M$65,"&gt;0")+SUMIFS(⑭手動工程入力!$I$6:$I$47,⑭手動工程入力!$S$6:$S$47,$J375,⑭手動工程入力!$I$6:$I$47,"&gt;0",⑭手動工程入力!$M$6:$M$47,"&gt;0"))</f>
        <v/>
      </c>
      <c r="N375" s="393">
        <f>IF($J375="",0,SUMIFS(②釜工程入力!$M$5:$M$117,②釜工程入力!$S$5:$S$117,$J375,②釜工程入力!$J$5:$J$117,"&gt;0")-SUMIFS(②釜工程入力!$M$5:$M$117,②釜工程入力!$S$5:$S$117,$J375,②釜工程入力!$J$5:$J$117,"&gt;0",②釜工程入力!$I$5:$I$117,"&gt;0")+SUMIFS(③スチコン工程入力!$M$5:$M$152,③スチコン工程入力!$S$5:$S$152,$J375,③スチコン工程入力!$J$5:$J$152,"&gt;0")-SUMIFS(③スチコン工程入力!$M$5:$M$152,③スチコン工程入力!$S$5:$S$152,$J375,③スチコン工程入力!$J$5:$J$152,"&gt;0",③スチコン工程入力!$I$5:$I$152,"&gt;0")+SUMIFS(⑪ZEN工程入力!$M$6:$M$35,⑪ZEN工程入力!$S$6:$S$35,$J375,⑪ZEN工程入力!$J$6:$J$35,"&gt;0")-SUMIFS(⑪ZEN工程入力!$M$6:$M$35,⑪ZEN工程入力!$S$6:$S$35,$J375,⑪ZEN工程入力!$J$6:$J$35,"&gt;0",⑪ZEN工程入力!$I$6:$I$35,"&gt;0")+SUMIFS(⑫ミキサー工程入力!$M$6:$M$65,⑫ミキサー工程入力!$S$6:$S$65,$J375,⑫ミキサー工程入力!$J$6:$J$65,"&gt;0")-SUMIFS(⑫ミキサー工程入力!$M$6:$M$65,⑫ミキサー工程入力!$S$6:$S$65,$J375,⑫ミキサー工程入力!$J$6:$J$65,"&gt;0",⑫ミキサー工程入力!$I$6:$I$65,"&gt;0")+SUMIFS(⑬計量工程入力!$M$6:$M$65,⑬計量工程入力!$S$6:$S$65,$J375,⑬計量工程入力!$J$6:$J$65,"&gt;0")-SUMIFS(⑬計量工程入力!$M$6:$M$65,⑬計量工程入力!$S$6:$S$65,$J375,⑬計量工程入力!$J$6:$J$65,"&gt;0",⑬計量工程入力!$I$6:$I$65,"&gt;0")+SUMIFS(⑭手動工程入力!$M$6:$M$47,⑭手動工程入力!$S$6:$S$47,$J375,⑭手動工程入力!$J$6:$J$47,"&gt;0")-SUMIFS(⑭手動工程入力!$M$6:$M$47,⑭手動工程入力!$S$6:$S$47,$J375,⑭手動工程入力!$J$6:$J$47,"&gt;0",⑭手動工程入力!$I$6:$I$47,"&gt;0"))</f>
        <v/>
      </c>
      <c r="O375" s="393">
        <f>IF($J375="",0,SUMIFS(②釜工程入力!$J$5:$J$117,②釜工程入力!$S$5:$S$117,$J375,②釜工程入力!$J$5:$J$117,"&gt;0",②釜工程入力!$M$5:$M$117,"&gt;0")-SUMIFS(②釜工程入力!$J$5:$J$117,②釜工程入力!$S$5:$S$117,$J375,②釜工程入力!$J$5:$J$117,"&gt;0",②釜工程入力!$I$5:$I$117,"&gt;0",②釜工程入力!$M$5:$M$117,"&gt;0")+SUMIFS(③スチコン工程入力!$J$5:$J$152,③スチコン工程入力!$S$5:$S$152,$J375,③スチコン工程入力!$J$5:$J$152,"&gt;0",③スチコン工程入力!$M$5:$M$152,"&gt;0")-SUMIFS(③スチコン工程入力!$J$5:$J$152,③スチコン工程入力!$S$5:$S$152,$J375,③スチコン工程入力!$J$5:$J$152,"&gt;0",③スチコン工程入力!$I$5:$I$152,"&gt;0",③スチコン工程入力!$M$5:$M$152,"&gt;0")+SUMIFS(⑪ZEN工程入力!$J$6:$J$35,⑪ZEN工程入力!$S$6:$S$35,$J375,⑪ZEN工程入力!$J$6:$J$35,"&gt;0",⑪ZEN工程入力!$M$6:$M$35,"&gt;0")-SUMIFS(⑪ZEN工程入力!$J$6:$J$35,⑪ZEN工程入力!$S$6:$S$35,$J375,⑪ZEN工程入力!$J$6:$J$35,"&gt;0",⑪ZEN工程入力!$I$6:$I$35,"&gt;0",⑪ZEN工程入力!$M$6:$M$35,"&gt;0")+SUMIFS(⑫ミキサー工程入力!$J$6:$J$65,⑫ミキサー工程入力!$S$6:$S$65,$J375,⑫ミキサー工程入力!$J$6:$J$65,"&gt;0",⑫ミキサー工程入力!$M$6:$M$65,"&gt;0")-SUMIFS(⑫ミキサー工程入力!$J$6:$J$65,⑫ミキサー工程入力!$S$6:$S$65,$J375,⑫ミキサー工程入力!$J$6:$J$65,"&gt;0",⑫ミキサー工程入力!$I$6:$I$65,"&gt;0",⑫ミキサー工程入力!$M$6:$M$65,"&gt;0")+SUMIFS(⑬計量工程入力!$J$6:$J$65,⑬計量工程入力!$S$6:$S$65,$J375,⑬計量工程入力!$J$6:$J$65,"&gt;0",⑬計量工程入力!$M$6:$M$65,"&gt;0")-SUMIFS(⑬計量工程入力!$J$6:$J$65,⑬計量工程入力!$S$6:$S$65,$J375,⑬計量工程入力!$J$6:$J$65,"&gt;0",⑬計量工程入力!$I$6:$I$65,"&gt;0",⑬計量工程入力!$M$6:$M$65,"&gt;0")+SUMIFS(⑭手動工程入力!$J$6:$J$47,⑭手動工程入力!$S$6:$S$47,$J375,⑭手動工程入力!$J$6:$J$47,"&gt;0",⑭手動工程入力!$M$6:$M$47,"&gt;0")-SUMIFS(⑭手動工程入力!$J$6:$J$47,⑭手動工程入力!$S$6:$S$47,$J375,⑭手動工程入力!$J$6:$J$47,"&gt;0",⑭手動工程入力!$I$6:$I$47,"&gt;0",⑭手動工程入力!$M$6:$M$47,"&gt;0"))</f>
        <v/>
      </c>
      <c r="P375" s="392" t="inlineStr">
        <is>
          <t>中間品リスト</t>
        </is>
      </c>
    </row>
    <row r="376">
      <c r="A376" s="392" t="n">
        <v>372</v>
      </c>
      <c r="B376" s="392" t="n"/>
      <c r="C376" s="392" t="n"/>
      <c r="D376" s="409" t="n"/>
      <c r="E376" s="392" t="n"/>
      <c r="F376" s="394" t="n"/>
      <c r="G376" s="392" t="n"/>
      <c r="H376" s="604">
        <f>IFERROR(IF(AND($K376&gt;0,ISNUMBER(IF(OR($D376="g",$D376="ｇ"),IF($M376&gt;0,$L376/$M376/1000,""),IF($D376="kg",IF($M376&gt;0,$L376/$M376,""),IF($D376="",IF($M376&gt;0,$L376/$M376/1000,IF($O376&gt;0,$N376/$O376,"")),IF($O376&gt;0,$N376/$O376,"")))))),IF(OR($D376="g",$D376="ｇ"),IF($M376&gt;0,$L376/$M376/1000,""),IF($D376="kg",IF($M376&gt;0,$L376/$M376,""),IF($D376="",IF($M376&gt;0,$L376/$M376/1000,IF($O376&gt;0,$N376/$O376,"")),IF($O376&gt;0,$N376/$O376,"")))),IF($F376="",IF(OR($E376="",$E376="⑩盛付梱包工程入力"),"",IF(OR($D376="g",$D376="ｇ"),INDEX(⑰工程労務費一覧!$N$5:$N$11,MATCH($E376,⑰工程労務費一覧!$K$5:$K$11,0))/1000,IF($D376="kg",INDEX(⑰工程労務費一覧!$N$5:$N$11,MATCH($E376,⑰工程労務費一覧!$K$5:$K$11,0)),IF(OR($D376="個",$D376="切",$D376="本",$D376="枚",$D376="尾"),IF($E376="⑬計量工程入力","",INDEX(⑰工程労務費一覧!$P$5:$P$11,MATCH($E376,⑰工程労務費一覧!$K$5:$K$11,0))),IF(AND($D376="",OR($E376="②釜工程入力",$E376="③スチコン工程入力")),INDEX(⑰工程労務費一覧!$N$5:$N$11,MATCH($E376,⑰工程労務費一覧!$K$5:$K$11,0))/1000,""))))),IF(OR($D376="g",$D376="ｇ"),INDEX(⑰工程労務費一覧!$H$5:$H$753,MATCH($F376,⑰工程労務費一覧!$D$5:$D$753,0))/1000,IF($D376="kg",INDEX(⑰工程労務費一覧!$H$5:$H$753,MATCH($F376,⑰工程労務費一覧!$D$5:$D$753,0)),INDEX(⑰工程労務費一覧!$I$5:$I$753,MATCH($F376,⑰工程労務費一覧!$D$5:$D$753,0)))))),"")</f>
        <v/>
      </c>
      <c r="I376" s="392">
        <f>IF($K376&gt;0,IF(ISNUMBER(IF(OR($D376="g",$D376="ｇ"),IF($M376&gt;0,$L376/$M376/1000,""),IF($D376="kg",IF($M376&gt;0,$L376/$M376,""),IF($D376="",IF($M376&gt;0,$L376/$M376/1000,IF($O376&gt;0,$N376/$O376,"")),IF($O376&gt;0,$N376/$O376,""))))),IF($D376="",IF($M376&gt;0,"◎ JAN紐づけ(g扱い)","◎ JAN紐づけ(個扱い)"),"◎ JAN紐づけ"),"△ JAN紐づけ済・実績不足→仮計算"),IF($F376="",IF(ISNUMBER($H376),IF($D376="","⑤ 工程平均で仮計算(g扱い)","⑤ 工程平均で仮計算"),IF($E376="⑩盛付梱包工程入力","⑥ 盛り込み(⑳F列で計上)",IF(AND($E376="⑬計量工程入力",OR($D376="個",$D376="切",$D376="本",$D376="枚",$D376="尾")),"① 未紐づけ(カット個単位は仮単価なし)","① 未紐づけ"))),IF(NOT(ISNUMBER($H376)),"② 工程側に単価なし",IF($D376="","③ 単位未設定(個で計算)","④ OK"))))</f>
        <v/>
      </c>
      <c r="J376" s="399">
        <f>IFERROR(LOOKUP(2,1/((中間品リスト!$F$2:$F$1299=$B376)*(中間品リスト!$E$2:$E$1299&lt;&gt;"-")*(中間品リスト!$E$2:$E$1299&lt;&gt;"")),中間品リスト!$E$2:$E$1299),"")</f>
        <v/>
      </c>
      <c r="K376" s="400">
        <f>IF($J376="",0,COUNTIF(②釜工程入力!$S$5:$S$117,$J376)+COUNTIF(③スチコン工程入力!$S$5:$S$152,$J376)+COUNTIF(⑪ZEN工程入力!$S$6:$S$35,$J376)+COUNTIF(⑫ミキサー工程入力!$S$6:$S$65,$J376)+COUNTIF(⑬計量工程入力!$S$6:$S$65,$J376)+COUNTIF(⑭手動工程入力!$S$6:$S$47,$J376))</f>
        <v/>
      </c>
      <c r="L376" s="393">
        <f>IF($J376="",0,SUMIFS(②釜工程入力!$M$5:$M$117,②釜工程入力!$S$5:$S$117,$J376,②釜工程入力!$I$5:$I$117,"&gt;0")+SUMIFS(③スチコン工程入力!$M$5:$M$152,③スチコン工程入力!$S$5:$S$152,$J376,③スチコン工程入力!$I$5:$I$152,"&gt;0")+SUMIFS(⑪ZEN工程入力!$M$6:$M$35,⑪ZEN工程入力!$S$6:$S$35,$J376,⑪ZEN工程入力!$I$6:$I$35,"&gt;0")+SUMIFS(⑫ミキサー工程入力!$M$6:$M$65,⑫ミキサー工程入力!$S$6:$S$65,$J376,⑫ミキサー工程入力!$I$6:$I$65,"&gt;0")+SUMIFS(⑬計量工程入力!$M$6:$M$65,⑬計量工程入力!$S$6:$S$65,$J376,⑬計量工程入力!$I$6:$I$65,"&gt;0")+SUMIFS(⑭手動工程入力!$M$6:$M$47,⑭手動工程入力!$S$6:$S$47,$J376,⑭手動工程入力!$I$6:$I$47,"&gt;0"))</f>
        <v/>
      </c>
      <c r="M376" s="393">
        <f>IF($J376="",0,SUMIFS(②釜工程入力!$I$5:$I$117,②釜工程入力!$S$5:$S$117,$J376,②釜工程入力!$I$5:$I$117,"&gt;0",②釜工程入力!$M$5:$M$117,"&gt;0")+SUMIFS(③スチコン工程入力!$I$5:$I$152,③スチコン工程入力!$S$5:$S$152,$J376,③スチコン工程入力!$I$5:$I$152,"&gt;0",③スチコン工程入力!$M$5:$M$152,"&gt;0")+SUMIFS(⑪ZEN工程入力!$I$6:$I$35,⑪ZEN工程入力!$S$6:$S$35,$J376,⑪ZEN工程入力!$I$6:$I$35,"&gt;0",⑪ZEN工程入力!$M$6:$M$35,"&gt;0")+SUMIFS(⑫ミキサー工程入力!$I$6:$I$65,⑫ミキサー工程入力!$S$6:$S$65,$J376,⑫ミキサー工程入力!$I$6:$I$65,"&gt;0",⑫ミキサー工程入力!$M$6:$M$65,"&gt;0")+SUMIFS(⑬計量工程入力!$I$6:$I$65,⑬計量工程入力!$S$6:$S$65,$J376,⑬計量工程入力!$I$6:$I$65,"&gt;0",⑬計量工程入力!$M$6:$M$65,"&gt;0")+SUMIFS(⑭手動工程入力!$I$6:$I$47,⑭手動工程入力!$S$6:$S$47,$J376,⑭手動工程入力!$I$6:$I$47,"&gt;0",⑭手動工程入力!$M$6:$M$47,"&gt;0"))</f>
        <v/>
      </c>
      <c r="N376" s="393">
        <f>IF($J376="",0,SUMIFS(②釜工程入力!$M$5:$M$117,②釜工程入力!$S$5:$S$117,$J376,②釜工程入力!$J$5:$J$117,"&gt;0")-SUMIFS(②釜工程入力!$M$5:$M$117,②釜工程入力!$S$5:$S$117,$J376,②釜工程入力!$J$5:$J$117,"&gt;0",②釜工程入力!$I$5:$I$117,"&gt;0")+SUMIFS(③スチコン工程入力!$M$5:$M$152,③スチコン工程入力!$S$5:$S$152,$J376,③スチコン工程入力!$J$5:$J$152,"&gt;0")-SUMIFS(③スチコン工程入力!$M$5:$M$152,③スチコン工程入力!$S$5:$S$152,$J376,③スチコン工程入力!$J$5:$J$152,"&gt;0",③スチコン工程入力!$I$5:$I$152,"&gt;0")+SUMIFS(⑪ZEN工程入力!$M$6:$M$35,⑪ZEN工程入力!$S$6:$S$35,$J376,⑪ZEN工程入力!$J$6:$J$35,"&gt;0")-SUMIFS(⑪ZEN工程入力!$M$6:$M$35,⑪ZEN工程入力!$S$6:$S$35,$J376,⑪ZEN工程入力!$J$6:$J$35,"&gt;0",⑪ZEN工程入力!$I$6:$I$35,"&gt;0")+SUMIFS(⑫ミキサー工程入力!$M$6:$M$65,⑫ミキサー工程入力!$S$6:$S$65,$J376,⑫ミキサー工程入力!$J$6:$J$65,"&gt;0")-SUMIFS(⑫ミキサー工程入力!$M$6:$M$65,⑫ミキサー工程入力!$S$6:$S$65,$J376,⑫ミキサー工程入力!$J$6:$J$65,"&gt;0",⑫ミキサー工程入力!$I$6:$I$65,"&gt;0")+SUMIFS(⑬計量工程入力!$M$6:$M$65,⑬計量工程入力!$S$6:$S$65,$J376,⑬計量工程入力!$J$6:$J$65,"&gt;0")-SUMIFS(⑬計量工程入力!$M$6:$M$65,⑬計量工程入力!$S$6:$S$65,$J376,⑬計量工程入力!$J$6:$J$65,"&gt;0",⑬計量工程入力!$I$6:$I$65,"&gt;0")+SUMIFS(⑭手動工程入力!$M$6:$M$47,⑭手動工程入力!$S$6:$S$47,$J376,⑭手動工程入力!$J$6:$J$47,"&gt;0")-SUMIFS(⑭手動工程入力!$M$6:$M$47,⑭手動工程入力!$S$6:$S$47,$J376,⑭手動工程入力!$J$6:$J$47,"&gt;0",⑭手動工程入力!$I$6:$I$47,"&gt;0"))</f>
        <v/>
      </c>
      <c r="O376" s="393">
        <f>IF($J376="",0,SUMIFS(②釜工程入力!$J$5:$J$117,②釜工程入力!$S$5:$S$117,$J376,②釜工程入力!$J$5:$J$117,"&gt;0",②釜工程入力!$M$5:$M$117,"&gt;0")-SUMIFS(②釜工程入力!$J$5:$J$117,②釜工程入力!$S$5:$S$117,$J376,②釜工程入力!$J$5:$J$117,"&gt;0",②釜工程入力!$I$5:$I$117,"&gt;0",②釜工程入力!$M$5:$M$117,"&gt;0")+SUMIFS(③スチコン工程入力!$J$5:$J$152,③スチコン工程入力!$S$5:$S$152,$J376,③スチコン工程入力!$J$5:$J$152,"&gt;0",③スチコン工程入力!$M$5:$M$152,"&gt;0")-SUMIFS(③スチコン工程入力!$J$5:$J$152,③スチコン工程入力!$S$5:$S$152,$J376,③スチコン工程入力!$J$5:$J$152,"&gt;0",③スチコン工程入力!$I$5:$I$152,"&gt;0",③スチコン工程入力!$M$5:$M$152,"&gt;0")+SUMIFS(⑪ZEN工程入力!$J$6:$J$35,⑪ZEN工程入力!$S$6:$S$35,$J376,⑪ZEN工程入力!$J$6:$J$35,"&gt;0",⑪ZEN工程入力!$M$6:$M$35,"&gt;0")-SUMIFS(⑪ZEN工程入力!$J$6:$J$35,⑪ZEN工程入力!$S$6:$S$35,$J376,⑪ZEN工程入力!$J$6:$J$35,"&gt;0",⑪ZEN工程入力!$I$6:$I$35,"&gt;0",⑪ZEN工程入力!$M$6:$M$35,"&gt;0")+SUMIFS(⑫ミキサー工程入力!$J$6:$J$65,⑫ミキサー工程入力!$S$6:$S$65,$J376,⑫ミキサー工程入力!$J$6:$J$65,"&gt;0",⑫ミキサー工程入力!$M$6:$M$65,"&gt;0")-SUMIFS(⑫ミキサー工程入力!$J$6:$J$65,⑫ミキサー工程入力!$S$6:$S$65,$J376,⑫ミキサー工程入力!$J$6:$J$65,"&gt;0",⑫ミキサー工程入力!$I$6:$I$65,"&gt;0",⑫ミキサー工程入力!$M$6:$M$65,"&gt;0")+SUMIFS(⑬計量工程入力!$J$6:$J$65,⑬計量工程入力!$S$6:$S$65,$J376,⑬計量工程入力!$J$6:$J$65,"&gt;0",⑬計量工程入力!$M$6:$M$65,"&gt;0")-SUMIFS(⑬計量工程入力!$J$6:$J$65,⑬計量工程入力!$S$6:$S$65,$J376,⑬計量工程入力!$J$6:$J$65,"&gt;0",⑬計量工程入力!$I$6:$I$65,"&gt;0",⑬計量工程入力!$M$6:$M$65,"&gt;0")+SUMIFS(⑭手動工程入力!$J$6:$J$47,⑭手動工程入力!$S$6:$S$47,$J376,⑭手動工程入力!$J$6:$J$47,"&gt;0",⑭手動工程入力!$M$6:$M$47,"&gt;0")-SUMIFS(⑭手動工程入力!$J$6:$J$47,⑭手動工程入力!$S$6:$S$47,$J376,⑭手動工程入力!$J$6:$J$47,"&gt;0",⑭手動工程入力!$I$6:$I$47,"&gt;0",⑭手動工程入力!$M$6:$M$47,"&gt;0"))</f>
        <v/>
      </c>
      <c r="P376" s="392" t="inlineStr">
        <is>
          <t>中間品リスト</t>
        </is>
      </c>
    </row>
    <row r="377">
      <c r="A377" s="392" t="n">
        <v>373</v>
      </c>
      <c r="B377" s="392" t="n"/>
      <c r="C377" s="392" t="n"/>
      <c r="D377" s="409" t="n"/>
      <c r="E377" s="392" t="n"/>
      <c r="F377" s="394" t="n"/>
      <c r="G377" s="392" t="n"/>
      <c r="H377" s="604">
        <f>IFERROR(IF(AND($K377&gt;0,ISNUMBER(IF(OR($D377="g",$D377="ｇ"),IF($M377&gt;0,$L377/$M377/1000,""),IF($D377="kg",IF($M377&gt;0,$L377/$M377,""),IF($D377="",IF($M377&gt;0,$L377/$M377/1000,IF($O377&gt;0,$N377/$O377,"")),IF($O377&gt;0,$N377/$O377,"")))))),IF(OR($D377="g",$D377="ｇ"),IF($M377&gt;0,$L377/$M377/1000,""),IF($D377="kg",IF($M377&gt;0,$L377/$M377,""),IF($D377="",IF($M377&gt;0,$L377/$M377/1000,IF($O377&gt;0,$N377/$O377,"")),IF($O377&gt;0,$N377/$O377,"")))),IF($F377="",IF(OR($E377="",$E377="⑩盛付梱包工程入力"),"",IF(OR($D377="g",$D377="ｇ"),INDEX(⑰工程労務費一覧!$N$5:$N$11,MATCH($E377,⑰工程労務費一覧!$K$5:$K$11,0))/1000,IF($D377="kg",INDEX(⑰工程労務費一覧!$N$5:$N$11,MATCH($E377,⑰工程労務費一覧!$K$5:$K$11,0)),IF(OR($D377="個",$D377="切",$D377="本",$D377="枚",$D377="尾"),IF($E377="⑬計量工程入力","",INDEX(⑰工程労務費一覧!$P$5:$P$11,MATCH($E377,⑰工程労務費一覧!$K$5:$K$11,0))),IF(AND($D377="",OR($E377="②釜工程入力",$E377="③スチコン工程入力")),INDEX(⑰工程労務費一覧!$N$5:$N$11,MATCH($E377,⑰工程労務費一覧!$K$5:$K$11,0))/1000,""))))),IF(OR($D377="g",$D377="ｇ"),INDEX(⑰工程労務費一覧!$H$5:$H$753,MATCH($F377,⑰工程労務費一覧!$D$5:$D$753,0))/1000,IF($D377="kg",INDEX(⑰工程労務費一覧!$H$5:$H$753,MATCH($F377,⑰工程労務費一覧!$D$5:$D$753,0)),INDEX(⑰工程労務費一覧!$I$5:$I$753,MATCH($F377,⑰工程労務費一覧!$D$5:$D$753,0)))))),"")</f>
        <v/>
      </c>
      <c r="I377" s="392">
        <f>IF($K377&gt;0,IF(ISNUMBER(IF(OR($D377="g",$D377="ｇ"),IF($M377&gt;0,$L377/$M377/1000,""),IF($D377="kg",IF($M377&gt;0,$L377/$M377,""),IF($D377="",IF($M377&gt;0,$L377/$M377/1000,IF($O377&gt;0,$N377/$O377,"")),IF($O377&gt;0,$N377/$O377,""))))),IF($D377="",IF($M377&gt;0,"◎ JAN紐づけ(g扱い)","◎ JAN紐づけ(個扱い)"),"◎ JAN紐づけ"),"△ JAN紐づけ済・実績不足→仮計算"),IF($F377="",IF(ISNUMBER($H377),IF($D377="","⑤ 工程平均で仮計算(g扱い)","⑤ 工程平均で仮計算"),IF($E377="⑩盛付梱包工程入力","⑥ 盛り込み(⑳F列で計上)",IF(AND($E377="⑬計量工程入力",OR($D377="個",$D377="切",$D377="本",$D377="枚",$D377="尾")),"① 未紐づけ(カット個単位は仮単価なし)","① 未紐づけ"))),IF(NOT(ISNUMBER($H377)),"② 工程側に単価なし",IF($D377="","③ 単位未設定(個で計算)","④ OK"))))</f>
        <v/>
      </c>
      <c r="J377" s="399">
        <f>IFERROR(LOOKUP(2,1/((中間品リスト!$F$2:$F$1299=$B377)*(中間品リスト!$E$2:$E$1299&lt;&gt;"-")*(中間品リスト!$E$2:$E$1299&lt;&gt;"")),中間品リスト!$E$2:$E$1299),"")</f>
        <v/>
      </c>
      <c r="K377" s="400">
        <f>IF($J377="",0,COUNTIF(②釜工程入力!$S$5:$S$117,$J377)+COUNTIF(③スチコン工程入力!$S$5:$S$152,$J377)+COUNTIF(⑪ZEN工程入力!$S$6:$S$35,$J377)+COUNTIF(⑫ミキサー工程入力!$S$6:$S$65,$J377)+COUNTIF(⑬計量工程入力!$S$6:$S$65,$J377)+COUNTIF(⑭手動工程入力!$S$6:$S$47,$J377))</f>
        <v/>
      </c>
      <c r="L377" s="393">
        <f>IF($J377="",0,SUMIFS(②釜工程入力!$M$5:$M$117,②釜工程入力!$S$5:$S$117,$J377,②釜工程入力!$I$5:$I$117,"&gt;0")+SUMIFS(③スチコン工程入力!$M$5:$M$152,③スチコン工程入力!$S$5:$S$152,$J377,③スチコン工程入力!$I$5:$I$152,"&gt;0")+SUMIFS(⑪ZEN工程入力!$M$6:$M$35,⑪ZEN工程入力!$S$6:$S$35,$J377,⑪ZEN工程入力!$I$6:$I$35,"&gt;0")+SUMIFS(⑫ミキサー工程入力!$M$6:$M$65,⑫ミキサー工程入力!$S$6:$S$65,$J377,⑫ミキサー工程入力!$I$6:$I$65,"&gt;0")+SUMIFS(⑬計量工程入力!$M$6:$M$65,⑬計量工程入力!$S$6:$S$65,$J377,⑬計量工程入力!$I$6:$I$65,"&gt;0")+SUMIFS(⑭手動工程入力!$M$6:$M$47,⑭手動工程入力!$S$6:$S$47,$J377,⑭手動工程入力!$I$6:$I$47,"&gt;0"))</f>
        <v/>
      </c>
      <c r="M377" s="393">
        <f>IF($J377="",0,SUMIFS(②釜工程入力!$I$5:$I$117,②釜工程入力!$S$5:$S$117,$J377,②釜工程入力!$I$5:$I$117,"&gt;0",②釜工程入力!$M$5:$M$117,"&gt;0")+SUMIFS(③スチコン工程入力!$I$5:$I$152,③スチコン工程入力!$S$5:$S$152,$J377,③スチコン工程入力!$I$5:$I$152,"&gt;0",③スチコン工程入力!$M$5:$M$152,"&gt;0")+SUMIFS(⑪ZEN工程入力!$I$6:$I$35,⑪ZEN工程入力!$S$6:$S$35,$J377,⑪ZEN工程入力!$I$6:$I$35,"&gt;0",⑪ZEN工程入力!$M$6:$M$35,"&gt;0")+SUMIFS(⑫ミキサー工程入力!$I$6:$I$65,⑫ミキサー工程入力!$S$6:$S$65,$J377,⑫ミキサー工程入力!$I$6:$I$65,"&gt;0",⑫ミキサー工程入力!$M$6:$M$65,"&gt;0")+SUMIFS(⑬計量工程入力!$I$6:$I$65,⑬計量工程入力!$S$6:$S$65,$J377,⑬計量工程入力!$I$6:$I$65,"&gt;0",⑬計量工程入力!$M$6:$M$65,"&gt;0")+SUMIFS(⑭手動工程入力!$I$6:$I$47,⑭手動工程入力!$S$6:$S$47,$J377,⑭手動工程入力!$I$6:$I$47,"&gt;0",⑭手動工程入力!$M$6:$M$47,"&gt;0"))</f>
        <v/>
      </c>
      <c r="N377" s="393">
        <f>IF($J377="",0,SUMIFS(②釜工程入力!$M$5:$M$117,②釜工程入力!$S$5:$S$117,$J377,②釜工程入力!$J$5:$J$117,"&gt;0")-SUMIFS(②釜工程入力!$M$5:$M$117,②釜工程入力!$S$5:$S$117,$J377,②釜工程入力!$J$5:$J$117,"&gt;0",②釜工程入力!$I$5:$I$117,"&gt;0")+SUMIFS(③スチコン工程入力!$M$5:$M$152,③スチコン工程入力!$S$5:$S$152,$J377,③スチコン工程入力!$J$5:$J$152,"&gt;0")-SUMIFS(③スチコン工程入力!$M$5:$M$152,③スチコン工程入力!$S$5:$S$152,$J377,③スチコン工程入力!$J$5:$J$152,"&gt;0",③スチコン工程入力!$I$5:$I$152,"&gt;0")+SUMIFS(⑪ZEN工程入力!$M$6:$M$35,⑪ZEN工程入力!$S$6:$S$35,$J377,⑪ZEN工程入力!$J$6:$J$35,"&gt;0")-SUMIFS(⑪ZEN工程入力!$M$6:$M$35,⑪ZEN工程入力!$S$6:$S$35,$J377,⑪ZEN工程入力!$J$6:$J$35,"&gt;0",⑪ZEN工程入力!$I$6:$I$35,"&gt;0")+SUMIFS(⑫ミキサー工程入力!$M$6:$M$65,⑫ミキサー工程入力!$S$6:$S$65,$J377,⑫ミキサー工程入力!$J$6:$J$65,"&gt;0")-SUMIFS(⑫ミキサー工程入力!$M$6:$M$65,⑫ミキサー工程入力!$S$6:$S$65,$J377,⑫ミキサー工程入力!$J$6:$J$65,"&gt;0",⑫ミキサー工程入力!$I$6:$I$65,"&gt;0")+SUMIFS(⑬計量工程入力!$M$6:$M$65,⑬計量工程入力!$S$6:$S$65,$J377,⑬計量工程入力!$J$6:$J$65,"&gt;0")-SUMIFS(⑬計量工程入力!$M$6:$M$65,⑬計量工程入力!$S$6:$S$65,$J377,⑬計量工程入力!$J$6:$J$65,"&gt;0",⑬計量工程入力!$I$6:$I$65,"&gt;0")+SUMIFS(⑭手動工程入力!$M$6:$M$47,⑭手動工程入力!$S$6:$S$47,$J377,⑭手動工程入力!$J$6:$J$47,"&gt;0")-SUMIFS(⑭手動工程入力!$M$6:$M$47,⑭手動工程入力!$S$6:$S$47,$J377,⑭手動工程入力!$J$6:$J$47,"&gt;0",⑭手動工程入力!$I$6:$I$47,"&gt;0"))</f>
        <v/>
      </c>
      <c r="O377" s="393">
        <f>IF($J377="",0,SUMIFS(②釜工程入力!$J$5:$J$117,②釜工程入力!$S$5:$S$117,$J377,②釜工程入力!$J$5:$J$117,"&gt;0",②釜工程入力!$M$5:$M$117,"&gt;0")-SUMIFS(②釜工程入力!$J$5:$J$117,②釜工程入力!$S$5:$S$117,$J377,②釜工程入力!$J$5:$J$117,"&gt;0",②釜工程入力!$I$5:$I$117,"&gt;0",②釜工程入力!$M$5:$M$117,"&gt;0")+SUMIFS(③スチコン工程入力!$J$5:$J$152,③スチコン工程入力!$S$5:$S$152,$J377,③スチコン工程入力!$J$5:$J$152,"&gt;0",③スチコン工程入力!$M$5:$M$152,"&gt;0")-SUMIFS(③スチコン工程入力!$J$5:$J$152,③スチコン工程入力!$S$5:$S$152,$J377,③スチコン工程入力!$J$5:$J$152,"&gt;0",③スチコン工程入力!$I$5:$I$152,"&gt;0",③スチコン工程入力!$M$5:$M$152,"&gt;0")+SUMIFS(⑪ZEN工程入力!$J$6:$J$35,⑪ZEN工程入力!$S$6:$S$35,$J377,⑪ZEN工程入力!$J$6:$J$35,"&gt;0",⑪ZEN工程入力!$M$6:$M$35,"&gt;0")-SUMIFS(⑪ZEN工程入力!$J$6:$J$35,⑪ZEN工程入力!$S$6:$S$35,$J377,⑪ZEN工程入力!$J$6:$J$35,"&gt;0",⑪ZEN工程入力!$I$6:$I$35,"&gt;0",⑪ZEN工程入力!$M$6:$M$35,"&gt;0")+SUMIFS(⑫ミキサー工程入力!$J$6:$J$65,⑫ミキサー工程入力!$S$6:$S$65,$J377,⑫ミキサー工程入力!$J$6:$J$65,"&gt;0",⑫ミキサー工程入力!$M$6:$M$65,"&gt;0")-SUMIFS(⑫ミキサー工程入力!$J$6:$J$65,⑫ミキサー工程入力!$S$6:$S$65,$J377,⑫ミキサー工程入力!$J$6:$J$65,"&gt;0",⑫ミキサー工程入力!$I$6:$I$65,"&gt;0",⑫ミキサー工程入力!$M$6:$M$65,"&gt;0")+SUMIFS(⑬計量工程入力!$J$6:$J$65,⑬計量工程入力!$S$6:$S$65,$J377,⑬計量工程入力!$J$6:$J$65,"&gt;0",⑬計量工程入力!$M$6:$M$65,"&gt;0")-SUMIFS(⑬計量工程入力!$J$6:$J$65,⑬計量工程入力!$S$6:$S$65,$J377,⑬計量工程入力!$J$6:$J$65,"&gt;0",⑬計量工程入力!$I$6:$I$65,"&gt;0",⑬計量工程入力!$M$6:$M$65,"&gt;0")+SUMIFS(⑭手動工程入力!$J$6:$J$47,⑭手動工程入力!$S$6:$S$47,$J377,⑭手動工程入力!$J$6:$J$47,"&gt;0",⑭手動工程入力!$M$6:$M$47,"&gt;0")-SUMIFS(⑭手動工程入力!$J$6:$J$47,⑭手動工程入力!$S$6:$S$47,$J377,⑭手動工程入力!$J$6:$J$47,"&gt;0",⑭手動工程入力!$I$6:$I$47,"&gt;0",⑭手動工程入力!$M$6:$M$47,"&gt;0"))</f>
        <v/>
      </c>
      <c r="P377" s="392" t="inlineStr">
        <is>
          <t>中間品リスト</t>
        </is>
      </c>
    </row>
    <row r="378">
      <c r="A378" s="392" t="n">
        <v>374</v>
      </c>
      <c r="B378" s="392" t="n"/>
      <c r="C378" s="392" t="n"/>
      <c r="D378" s="409" t="n"/>
      <c r="E378" s="392" t="n"/>
      <c r="F378" s="394" t="n"/>
      <c r="G378" s="392" t="n"/>
      <c r="H378" s="604">
        <f>IFERROR(IF(AND($K378&gt;0,ISNUMBER(IF(OR($D378="g",$D378="ｇ"),IF($M378&gt;0,$L378/$M378/1000,""),IF($D378="kg",IF($M378&gt;0,$L378/$M378,""),IF($D378="",IF($M378&gt;0,$L378/$M378/1000,IF($O378&gt;0,$N378/$O378,"")),IF($O378&gt;0,$N378/$O378,"")))))),IF(OR($D378="g",$D378="ｇ"),IF($M378&gt;0,$L378/$M378/1000,""),IF($D378="kg",IF($M378&gt;0,$L378/$M378,""),IF($D378="",IF($M378&gt;0,$L378/$M378/1000,IF($O378&gt;0,$N378/$O378,"")),IF($O378&gt;0,$N378/$O378,"")))),IF($F378="",IF(OR($E378="",$E378="⑩盛付梱包工程入力"),"",IF(OR($D378="g",$D378="ｇ"),INDEX(⑰工程労務費一覧!$N$5:$N$11,MATCH($E378,⑰工程労務費一覧!$K$5:$K$11,0))/1000,IF($D378="kg",INDEX(⑰工程労務費一覧!$N$5:$N$11,MATCH($E378,⑰工程労務費一覧!$K$5:$K$11,0)),IF(OR($D378="個",$D378="切",$D378="本",$D378="枚",$D378="尾"),IF($E378="⑬計量工程入力","",INDEX(⑰工程労務費一覧!$P$5:$P$11,MATCH($E378,⑰工程労務費一覧!$K$5:$K$11,0))),IF(AND($D378="",OR($E378="②釜工程入力",$E378="③スチコン工程入力")),INDEX(⑰工程労務費一覧!$N$5:$N$11,MATCH($E378,⑰工程労務費一覧!$K$5:$K$11,0))/1000,""))))),IF(OR($D378="g",$D378="ｇ"),INDEX(⑰工程労務費一覧!$H$5:$H$753,MATCH($F378,⑰工程労務費一覧!$D$5:$D$753,0))/1000,IF($D378="kg",INDEX(⑰工程労務費一覧!$H$5:$H$753,MATCH($F378,⑰工程労務費一覧!$D$5:$D$753,0)),INDEX(⑰工程労務費一覧!$I$5:$I$753,MATCH($F378,⑰工程労務費一覧!$D$5:$D$753,0)))))),"")</f>
        <v/>
      </c>
      <c r="I378" s="392">
        <f>IF($K378&gt;0,IF(ISNUMBER(IF(OR($D378="g",$D378="ｇ"),IF($M378&gt;0,$L378/$M378/1000,""),IF($D378="kg",IF($M378&gt;0,$L378/$M378,""),IF($D378="",IF($M378&gt;0,$L378/$M378/1000,IF($O378&gt;0,$N378/$O378,"")),IF($O378&gt;0,$N378/$O378,""))))),IF($D378="",IF($M378&gt;0,"◎ JAN紐づけ(g扱い)","◎ JAN紐づけ(個扱い)"),"◎ JAN紐づけ"),"△ JAN紐づけ済・実績不足→仮計算"),IF($F378="",IF(ISNUMBER($H378),IF($D378="","⑤ 工程平均で仮計算(g扱い)","⑤ 工程平均で仮計算"),IF($E378="⑩盛付梱包工程入力","⑥ 盛り込み(⑳F列で計上)",IF(AND($E378="⑬計量工程入力",OR($D378="個",$D378="切",$D378="本",$D378="枚",$D378="尾")),"① 未紐づけ(カット個単位は仮単価なし)","① 未紐づけ"))),IF(NOT(ISNUMBER($H378)),"② 工程側に単価なし",IF($D378="","③ 単位未設定(個で計算)","④ OK"))))</f>
        <v/>
      </c>
      <c r="J378" s="399">
        <f>IFERROR(LOOKUP(2,1/((中間品リスト!$F$2:$F$1299=$B378)*(中間品リスト!$E$2:$E$1299&lt;&gt;"-")*(中間品リスト!$E$2:$E$1299&lt;&gt;"")),中間品リスト!$E$2:$E$1299),"")</f>
        <v/>
      </c>
      <c r="K378" s="400">
        <f>IF($J378="",0,COUNTIF(②釜工程入力!$S$5:$S$117,$J378)+COUNTIF(③スチコン工程入力!$S$5:$S$152,$J378)+COUNTIF(⑪ZEN工程入力!$S$6:$S$35,$J378)+COUNTIF(⑫ミキサー工程入力!$S$6:$S$65,$J378)+COUNTIF(⑬計量工程入力!$S$6:$S$65,$J378)+COUNTIF(⑭手動工程入力!$S$6:$S$47,$J378))</f>
        <v/>
      </c>
      <c r="L378" s="393">
        <f>IF($J378="",0,SUMIFS(②釜工程入力!$M$5:$M$117,②釜工程入力!$S$5:$S$117,$J378,②釜工程入力!$I$5:$I$117,"&gt;0")+SUMIFS(③スチコン工程入力!$M$5:$M$152,③スチコン工程入力!$S$5:$S$152,$J378,③スチコン工程入力!$I$5:$I$152,"&gt;0")+SUMIFS(⑪ZEN工程入力!$M$6:$M$35,⑪ZEN工程入力!$S$6:$S$35,$J378,⑪ZEN工程入力!$I$6:$I$35,"&gt;0")+SUMIFS(⑫ミキサー工程入力!$M$6:$M$65,⑫ミキサー工程入力!$S$6:$S$65,$J378,⑫ミキサー工程入力!$I$6:$I$65,"&gt;0")+SUMIFS(⑬計量工程入力!$M$6:$M$65,⑬計量工程入力!$S$6:$S$65,$J378,⑬計量工程入力!$I$6:$I$65,"&gt;0")+SUMIFS(⑭手動工程入力!$M$6:$M$47,⑭手動工程入力!$S$6:$S$47,$J378,⑭手動工程入力!$I$6:$I$47,"&gt;0"))</f>
        <v/>
      </c>
      <c r="M378" s="393">
        <f>IF($J378="",0,SUMIFS(②釜工程入力!$I$5:$I$117,②釜工程入力!$S$5:$S$117,$J378,②釜工程入力!$I$5:$I$117,"&gt;0",②釜工程入力!$M$5:$M$117,"&gt;0")+SUMIFS(③スチコン工程入力!$I$5:$I$152,③スチコン工程入力!$S$5:$S$152,$J378,③スチコン工程入力!$I$5:$I$152,"&gt;0",③スチコン工程入力!$M$5:$M$152,"&gt;0")+SUMIFS(⑪ZEN工程入力!$I$6:$I$35,⑪ZEN工程入力!$S$6:$S$35,$J378,⑪ZEN工程入力!$I$6:$I$35,"&gt;0",⑪ZEN工程入力!$M$6:$M$35,"&gt;0")+SUMIFS(⑫ミキサー工程入力!$I$6:$I$65,⑫ミキサー工程入力!$S$6:$S$65,$J378,⑫ミキサー工程入力!$I$6:$I$65,"&gt;0",⑫ミキサー工程入力!$M$6:$M$65,"&gt;0")+SUMIFS(⑬計量工程入力!$I$6:$I$65,⑬計量工程入力!$S$6:$S$65,$J378,⑬計量工程入力!$I$6:$I$65,"&gt;0",⑬計量工程入力!$M$6:$M$65,"&gt;0")+SUMIFS(⑭手動工程入力!$I$6:$I$47,⑭手動工程入力!$S$6:$S$47,$J378,⑭手動工程入力!$I$6:$I$47,"&gt;0",⑭手動工程入力!$M$6:$M$47,"&gt;0"))</f>
        <v/>
      </c>
      <c r="N378" s="393">
        <f>IF($J378="",0,SUMIFS(②釜工程入力!$M$5:$M$117,②釜工程入力!$S$5:$S$117,$J378,②釜工程入力!$J$5:$J$117,"&gt;0")-SUMIFS(②釜工程入力!$M$5:$M$117,②釜工程入力!$S$5:$S$117,$J378,②釜工程入力!$J$5:$J$117,"&gt;0",②釜工程入力!$I$5:$I$117,"&gt;0")+SUMIFS(③スチコン工程入力!$M$5:$M$152,③スチコン工程入力!$S$5:$S$152,$J378,③スチコン工程入力!$J$5:$J$152,"&gt;0")-SUMIFS(③スチコン工程入力!$M$5:$M$152,③スチコン工程入力!$S$5:$S$152,$J378,③スチコン工程入力!$J$5:$J$152,"&gt;0",③スチコン工程入力!$I$5:$I$152,"&gt;0")+SUMIFS(⑪ZEN工程入力!$M$6:$M$35,⑪ZEN工程入力!$S$6:$S$35,$J378,⑪ZEN工程入力!$J$6:$J$35,"&gt;0")-SUMIFS(⑪ZEN工程入力!$M$6:$M$35,⑪ZEN工程入力!$S$6:$S$35,$J378,⑪ZEN工程入力!$J$6:$J$35,"&gt;0",⑪ZEN工程入力!$I$6:$I$35,"&gt;0")+SUMIFS(⑫ミキサー工程入力!$M$6:$M$65,⑫ミキサー工程入力!$S$6:$S$65,$J378,⑫ミキサー工程入力!$J$6:$J$65,"&gt;0")-SUMIFS(⑫ミキサー工程入力!$M$6:$M$65,⑫ミキサー工程入力!$S$6:$S$65,$J378,⑫ミキサー工程入力!$J$6:$J$65,"&gt;0",⑫ミキサー工程入力!$I$6:$I$65,"&gt;0")+SUMIFS(⑬計量工程入力!$M$6:$M$65,⑬計量工程入力!$S$6:$S$65,$J378,⑬計量工程入力!$J$6:$J$65,"&gt;0")-SUMIFS(⑬計量工程入力!$M$6:$M$65,⑬計量工程入力!$S$6:$S$65,$J378,⑬計量工程入力!$J$6:$J$65,"&gt;0",⑬計量工程入力!$I$6:$I$65,"&gt;0")+SUMIFS(⑭手動工程入力!$M$6:$M$47,⑭手動工程入力!$S$6:$S$47,$J378,⑭手動工程入力!$J$6:$J$47,"&gt;0")-SUMIFS(⑭手動工程入力!$M$6:$M$47,⑭手動工程入力!$S$6:$S$47,$J378,⑭手動工程入力!$J$6:$J$47,"&gt;0",⑭手動工程入力!$I$6:$I$47,"&gt;0"))</f>
        <v/>
      </c>
      <c r="O378" s="393">
        <f>IF($J378="",0,SUMIFS(②釜工程入力!$J$5:$J$117,②釜工程入力!$S$5:$S$117,$J378,②釜工程入力!$J$5:$J$117,"&gt;0",②釜工程入力!$M$5:$M$117,"&gt;0")-SUMIFS(②釜工程入力!$J$5:$J$117,②釜工程入力!$S$5:$S$117,$J378,②釜工程入力!$J$5:$J$117,"&gt;0",②釜工程入力!$I$5:$I$117,"&gt;0",②釜工程入力!$M$5:$M$117,"&gt;0")+SUMIFS(③スチコン工程入力!$J$5:$J$152,③スチコン工程入力!$S$5:$S$152,$J378,③スチコン工程入力!$J$5:$J$152,"&gt;0",③スチコン工程入力!$M$5:$M$152,"&gt;0")-SUMIFS(③スチコン工程入力!$J$5:$J$152,③スチコン工程入力!$S$5:$S$152,$J378,③スチコン工程入力!$J$5:$J$152,"&gt;0",③スチコン工程入力!$I$5:$I$152,"&gt;0",③スチコン工程入力!$M$5:$M$152,"&gt;0")+SUMIFS(⑪ZEN工程入力!$J$6:$J$35,⑪ZEN工程入力!$S$6:$S$35,$J378,⑪ZEN工程入力!$J$6:$J$35,"&gt;0",⑪ZEN工程入力!$M$6:$M$35,"&gt;0")-SUMIFS(⑪ZEN工程入力!$J$6:$J$35,⑪ZEN工程入力!$S$6:$S$35,$J378,⑪ZEN工程入力!$J$6:$J$35,"&gt;0",⑪ZEN工程入力!$I$6:$I$35,"&gt;0",⑪ZEN工程入力!$M$6:$M$35,"&gt;0")+SUMIFS(⑫ミキサー工程入力!$J$6:$J$65,⑫ミキサー工程入力!$S$6:$S$65,$J378,⑫ミキサー工程入力!$J$6:$J$65,"&gt;0",⑫ミキサー工程入力!$M$6:$M$65,"&gt;0")-SUMIFS(⑫ミキサー工程入力!$J$6:$J$65,⑫ミキサー工程入力!$S$6:$S$65,$J378,⑫ミキサー工程入力!$J$6:$J$65,"&gt;0",⑫ミキサー工程入力!$I$6:$I$65,"&gt;0",⑫ミキサー工程入力!$M$6:$M$65,"&gt;0")+SUMIFS(⑬計量工程入力!$J$6:$J$65,⑬計量工程入力!$S$6:$S$65,$J378,⑬計量工程入力!$J$6:$J$65,"&gt;0",⑬計量工程入力!$M$6:$M$65,"&gt;0")-SUMIFS(⑬計量工程入力!$J$6:$J$65,⑬計量工程入力!$S$6:$S$65,$J378,⑬計量工程入力!$J$6:$J$65,"&gt;0",⑬計量工程入力!$I$6:$I$65,"&gt;0",⑬計量工程入力!$M$6:$M$65,"&gt;0")+SUMIFS(⑭手動工程入力!$J$6:$J$47,⑭手動工程入力!$S$6:$S$47,$J378,⑭手動工程入力!$J$6:$J$47,"&gt;0",⑭手動工程入力!$M$6:$M$47,"&gt;0")-SUMIFS(⑭手動工程入力!$J$6:$J$47,⑭手動工程入力!$S$6:$S$47,$J378,⑭手動工程入力!$J$6:$J$47,"&gt;0",⑭手動工程入力!$I$6:$I$47,"&gt;0",⑭手動工程入力!$M$6:$M$47,"&gt;0"))</f>
        <v/>
      </c>
      <c r="P378" s="392" t="inlineStr">
        <is>
          <t>中間品リスト</t>
        </is>
      </c>
    </row>
    <row r="379">
      <c r="A379" s="392" t="n">
        <v>375</v>
      </c>
      <c r="B379" s="392" t="n"/>
      <c r="C379" s="392" t="n"/>
      <c r="D379" s="409" t="n"/>
      <c r="E379" s="392" t="n"/>
      <c r="F379" s="394" t="n"/>
      <c r="G379" s="392" t="n"/>
      <c r="H379" s="604">
        <f>IFERROR(IF(AND($K379&gt;0,ISNUMBER(IF(OR($D379="g",$D379="ｇ"),IF($M379&gt;0,$L379/$M379/1000,""),IF($D379="kg",IF($M379&gt;0,$L379/$M379,""),IF($D379="",IF($M379&gt;0,$L379/$M379/1000,IF($O379&gt;0,$N379/$O379,"")),IF($O379&gt;0,$N379/$O379,"")))))),IF(OR($D379="g",$D379="ｇ"),IF($M379&gt;0,$L379/$M379/1000,""),IF($D379="kg",IF($M379&gt;0,$L379/$M379,""),IF($D379="",IF($M379&gt;0,$L379/$M379/1000,IF($O379&gt;0,$N379/$O379,"")),IF($O379&gt;0,$N379/$O379,"")))),IF($F379="",IF(OR($E379="",$E379="⑩盛付梱包工程入力"),"",IF(OR($D379="g",$D379="ｇ"),INDEX(⑰工程労務費一覧!$N$5:$N$11,MATCH($E379,⑰工程労務費一覧!$K$5:$K$11,0))/1000,IF($D379="kg",INDEX(⑰工程労務費一覧!$N$5:$N$11,MATCH($E379,⑰工程労務費一覧!$K$5:$K$11,0)),IF(OR($D379="個",$D379="切",$D379="本",$D379="枚",$D379="尾"),IF($E379="⑬計量工程入力","",INDEX(⑰工程労務費一覧!$P$5:$P$11,MATCH($E379,⑰工程労務費一覧!$K$5:$K$11,0))),IF(AND($D379="",OR($E379="②釜工程入力",$E379="③スチコン工程入力")),INDEX(⑰工程労務費一覧!$N$5:$N$11,MATCH($E379,⑰工程労務費一覧!$K$5:$K$11,0))/1000,""))))),IF(OR($D379="g",$D379="ｇ"),INDEX(⑰工程労務費一覧!$H$5:$H$753,MATCH($F379,⑰工程労務費一覧!$D$5:$D$753,0))/1000,IF($D379="kg",INDEX(⑰工程労務費一覧!$H$5:$H$753,MATCH($F379,⑰工程労務費一覧!$D$5:$D$753,0)),INDEX(⑰工程労務費一覧!$I$5:$I$753,MATCH($F379,⑰工程労務費一覧!$D$5:$D$753,0)))))),"")</f>
        <v/>
      </c>
      <c r="I379" s="392">
        <f>IF($K379&gt;0,IF(ISNUMBER(IF(OR($D379="g",$D379="ｇ"),IF($M379&gt;0,$L379/$M379/1000,""),IF($D379="kg",IF($M379&gt;0,$L379/$M379,""),IF($D379="",IF($M379&gt;0,$L379/$M379/1000,IF($O379&gt;0,$N379/$O379,"")),IF($O379&gt;0,$N379/$O379,""))))),IF($D379="",IF($M379&gt;0,"◎ JAN紐づけ(g扱い)","◎ JAN紐づけ(個扱い)"),"◎ JAN紐づけ"),"△ JAN紐づけ済・実績不足→仮計算"),IF($F379="",IF(ISNUMBER($H379),IF($D379="","⑤ 工程平均で仮計算(g扱い)","⑤ 工程平均で仮計算"),IF($E379="⑩盛付梱包工程入力","⑥ 盛り込み(⑳F列で計上)",IF(AND($E379="⑬計量工程入力",OR($D379="個",$D379="切",$D379="本",$D379="枚",$D379="尾")),"① 未紐づけ(カット個単位は仮単価なし)","① 未紐づけ"))),IF(NOT(ISNUMBER($H379)),"② 工程側に単価なし",IF($D379="","③ 単位未設定(個で計算)","④ OK"))))</f>
        <v/>
      </c>
      <c r="J379" s="399">
        <f>IFERROR(LOOKUP(2,1/((中間品リスト!$F$2:$F$1299=$B379)*(中間品リスト!$E$2:$E$1299&lt;&gt;"-")*(中間品リスト!$E$2:$E$1299&lt;&gt;"")),中間品リスト!$E$2:$E$1299),"")</f>
        <v/>
      </c>
      <c r="K379" s="400">
        <f>IF($J379="",0,COUNTIF(②釜工程入力!$S$5:$S$117,$J379)+COUNTIF(③スチコン工程入力!$S$5:$S$152,$J379)+COUNTIF(⑪ZEN工程入力!$S$6:$S$35,$J379)+COUNTIF(⑫ミキサー工程入力!$S$6:$S$65,$J379)+COUNTIF(⑬計量工程入力!$S$6:$S$65,$J379)+COUNTIF(⑭手動工程入力!$S$6:$S$47,$J379))</f>
        <v/>
      </c>
      <c r="L379" s="393">
        <f>IF($J379="",0,SUMIFS(②釜工程入力!$M$5:$M$117,②釜工程入力!$S$5:$S$117,$J379,②釜工程入力!$I$5:$I$117,"&gt;0")+SUMIFS(③スチコン工程入力!$M$5:$M$152,③スチコン工程入力!$S$5:$S$152,$J379,③スチコン工程入力!$I$5:$I$152,"&gt;0")+SUMIFS(⑪ZEN工程入力!$M$6:$M$35,⑪ZEN工程入力!$S$6:$S$35,$J379,⑪ZEN工程入力!$I$6:$I$35,"&gt;0")+SUMIFS(⑫ミキサー工程入力!$M$6:$M$65,⑫ミキサー工程入力!$S$6:$S$65,$J379,⑫ミキサー工程入力!$I$6:$I$65,"&gt;0")+SUMIFS(⑬計量工程入力!$M$6:$M$65,⑬計量工程入力!$S$6:$S$65,$J379,⑬計量工程入力!$I$6:$I$65,"&gt;0")+SUMIFS(⑭手動工程入力!$M$6:$M$47,⑭手動工程入力!$S$6:$S$47,$J379,⑭手動工程入力!$I$6:$I$47,"&gt;0"))</f>
        <v/>
      </c>
      <c r="M379" s="393">
        <f>IF($J379="",0,SUMIFS(②釜工程入力!$I$5:$I$117,②釜工程入力!$S$5:$S$117,$J379,②釜工程入力!$I$5:$I$117,"&gt;0",②釜工程入力!$M$5:$M$117,"&gt;0")+SUMIFS(③スチコン工程入力!$I$5:$I$152,③スチコン工程入力!$S$5:$S$152,$J379,③スチコン工程入力!$I$5:$I$152,"&gt;0",③スチコン工程入力!$M$5:$M$152,"&gt;0")+SUMIFS(⑪ZEN工程入力!$I$6:$I$35,⑪ZEN工程入力!$S$6:$S$35,$J379,⑪ZEN工程入力!$I$6:$I$35,"&gt;0",⑪ZEN工程入力!$M$6:$M$35,"&gt;0")+SUMIFS(⑫ミキサー工程入力!$I$6:$I$65,⑫ミキサー工程入力!$S$6:$S$65,$J379,⑫ミキサー工程入力!$I$6:$I$65,"&gt;0",⑫ミキサー工程入力!$M$6:$M$65,"&gt;0")+SUMIFS(⑬計量工程入力!$I$6:$I$65,⑬計量工程入力!$S$6:$S$65,$J379,⑬計量工程入力!$I$6:$I$65,"&gt;0",⑬計量工程入力!$M$6:$M$65,"&gt;0")+SUMIFS(⑭手動工程入力!$I$6:$I$47,⑭手動工程入力!$S$6:$S$47,$J379,⑭手動工程入力!$I$6:$I$47,"&gt;0",⑭手動工程入力!$M$6:$M$47,"&gt;0"))</f>
        <v/>
      </c>
      <c r="N379" s="393">
        <f>IF($J379="",0,SUMIFS(②釜工程入力!$M$5:$M$117,②釜工程入力!$S$5:$S$117,$J379,②釜工程入力!$J$5:$J$117,"&gt;0")-SUMIFS(②釜工程入力!$M$5:$M$117,②釜工程入力!$S$5:$S$117,$J379,②釜工程入力!$J$5:$J$117,"&gt;0",②釜工程入力!$I$5:$I$117,"&gt;0")+SUMIFS(③スチコン工程入力!$M$5:$M$152,③スチコン工程入力!$S$5:$S$152,$J379,③スチコン工程入力!$J$5:$J$152,"&gt;0")-SUMIFS(③スチコン工程入力!$M$5:$M$152,③スチコン工程入力!$S$5:$S$152,$J379,③スチコン工程入力!$J$5:$J$152,"&gt;0",③スチコン工程入力!$I$5:$I$152,"&gt;0")+SUMIFS(⑪ZEN工程入力!$M$6:$M$35,⑪ZEN工程入力!$S$6:$S$35,$J379,⑪ZEN工程入力!$J$6:$J$35,"&gt;0")-SUMIFS(⑪ZEN工程入力!$M$6:$M$35,⑪ZEN工程入力!$S$6:$S$35,$J379,⑪ZEN工程入力!$J$6:$J$35,"&gt;0",⑪ZEN工程入力!$I$6:$I$35,"&gt;0")+SUMIFS(⑫ミキサー工程入力!$M$6:$M$65,⑫ミキサー工程入力!$S$6:$S$65,$J379,⑫ミキサー工程入力!$J$6:$J$65,"&gt;0")-SUMIFS(⑫ミキサー工程入力!$M$6:$M$65,⑫ミキサー工程入力!$S$6:$S$65,$J379,⑫ミキサー工程入力!$J$6:$J$65,"&gt;0",⑫ミキサー工程入力!$I$6:$I$65,"&gt;0")+SUMIFS(⑬計量工程入力!$M$6:$M$65,⑬計量工程入力!$S$6:$S$65,$J379,⑬計量工程入力!$J$6:$J$65,"&gt;0")-SUMIFS(⑬計量工程入力!$M$6:$M$65,⑬計量工程入力!$S$6:$S$65,$J379,⑬計量工程入力!$J$6:$J$65,"&gt;0",⑬計量工程入力!$I$6:$I$65,"&gt;0")+SUMIFS(⑭手動工程入力!$M$6:$M$47,⑭手動工程入力!$S$6:$S$47,$J379,⑭手動工程入力!$J$6:$J$47,"&gt;0")-SUMIFS(⑭手動工程入力!$M$6:$M$47,⑭手動工程入力!$S$6:$S$47,$J379,⑭手動工程入力!$J$6:$J$47,"&gt;0",⑭手動工程入力!$I$6:$I$47,"&gt;0"))</f>
        <v/>
      </c>
      <c r="O379" s="393">
        <f>IF($J379="",0,SUMIFS(②釜工程入力!$J$5:$J$117,②釜工程入力!$S$5:$S$117,$J379,②釜工程入力!$J$5:$J$117,"&gt;0",②釜工程入力!$M$5:$M$117,"&gt;0")-SUMIFS(②釜工程入力!$J$5:$J$117,②釜工程入力!$S$5:$S$117,$J379,②釜工程入力!$J$5:$J$117,"&gt;0",②釜工程入力!$I$5:$I$117,"&gt;0",②釜工程入力!$M$5:$M$117,"&gt;0")+SUMIFS(③スチコン工程入力!$J$5:$J$152,③スチコン工程入力!$S$5:$S$152,$J379,③スチコン工程入力!$J$5:$J$152,"&gt;0",③スチコン工程入力!$M$5:$M$152,"&gt;0")-SUMIFS(③スチコン工程入力!$J$5:$J$152,③スチコン工程入力!$S$5:$S$152,$J379,③スチコン工程入力!$J$5:$J$152,"&gt;0",③スチコン工程入力!$I$5:$I$152,"&gt;0",③スチコン工程入力!$M$5:$M$152,"&gt;0")+SUMIFS(⑪ZEN工程入力!$J$6:$J$35,⑪ZEN工程入力!$S$6:$S$35,$J379,⑪ZEN工程入力!$J$6:$J$35,"&gt;0",⑪ZEN工程入力!$M$6:$M$35,"&gt;0")-SUMIFS(⑪ZEN工程入力!$J$6:$J$35,⑪ZEN工程入力!$S$6:$S$35,$J379,⑪ZEN工程入力!$J$6:$J$35,"&gt;0",⑪ZEN工程入力!$I$6:$I$35,"&gt;0",⑪ZEN工程入力!$M$6:$M$35,"&gt;0")+SUMIFS(⑫ミキサー工程入力!$J$6:$J$65,⑫ミキサー工程入力!$S$6:$S$65,$J379,⑫ミキサー工程入力!$J$6:$J$65,"&gt;0",⑫ミキサー工程入力!$M$6:$M$65,"&gt;0")-SUMIFS(⑫ミキサー工程入力!$J$6:$J$65,⑫ミキサー工程入力!$S$6:$S$65,$J379,⑫ミキサー工程入力!$J$6:$J$65,"&gt;0",⑫ミキサー工程入力!$I$6:$I$65,"&gt;0",⑫ミキサー工程入力!$M$6:$M$65,"&gt;0")+SUMIFS(⑬計量工程入力!$J$6:$J$65,⑬計量工程入力!$S$6:$S$65,$J379,⑬計量工程入力!$J$6:$J$65,"&gt;0",⑬計量工程入力!$M$6:$M$65,"&gt;0")-SUMIFS(⑬計量工程入力!$J$6:$J$65,⑬計量工程入力!$S$6:$S$65,$J379,⑬計量工程入力!$J$6:$J$65,"&gt;0",⑬計量工程入力!$I$6:$I$65,"&gt;0",⑬計量工程入力!$M$6:$M$65,"&gt;0")+SUMIFS(⑭手動工程入力!$J$6:$J$47,⑭手動工程入力!$S$6:$S$47,$J379,⑭手動工程入力!$J$6:$J$47,"&gt;0",⑭手動工程入力!$M$6:$M$47,"&gt;0")-SUMIFS(⑭手動工程入力!$J$6:$J$47,⑭手動工程入力!$S$6:$S$47,$J379,⑭手動工程入力!$J$6:$J$47,"&gt;0",⑭手動工程入力!$I$6:$I$47,"&gt;0",⑭手動工程入力!$M$6:$M$47,"&gt;0"))</f>
        <v/>
      </c>
      <c r="P379" s="392" t="inlineStr">
        <is>
          <t>中間品リスト</t>
        </is>
      </c>
    </row>
    <row r="380">
      <c r="A380" s="392" t="n">
        <v>376</v>
      </c>
      <c r="B380" s="392" t="n"/>
      <c r="C380" s="392" t="n"/>
      <c r="D380" s="409" t="n"/>
      <c r="E380" s="392" t="n"/>
      <c r="F380" s="394" t="n"/>
      <c r="G380" s="392" t="n"/>
      <c r="H380" s="604">
        <f>IFERROR(IF(AND($K380&gt;0,ISNUMBER(IF(OR($D380="g",$D380="ｇ"),IF($M380&gt;0,$L380/$M380/1000,""),IF($D380="kg",IF($M380&gt;0,$L380/$M380,""),IF($D380="",IF($M380&gt;0,$L380/$M380/1000,IF($O380&gt;0,$N380/$O380,"")),IF($O380&gt;0,$N380/$O380,"")))))),IF(OR($D380="g",$D380="ｇ"),IF($M380&gt;0,$L380/$M380/1000,""),IF($D380="kg",IF($M380&gt;0,$L380/$M380,""),IF($D380="",IF($M380&gt;0,$L380/$M380/1000,IF($O380&gt;0,$N380/$O380,"")),IF($O380&gt;0,$N380/$O380,"")))),IF($F380="",IF(OR($E380="",$E380="⑩盛付梱包工程入力"),"",IF(OR($D380="g",$D380="ｇ"),INDEX(⑰工程労務費一覧!$N$5:$N$11,MATCH($E380,⑰工程労務費一覧!$K$5:$K$11,0))/1000,IF($D380="kg",INDEX(⑰工程労務費一覧!$N$5:$N$11,MATCH($E380,⑰工程労務費一覧!$K$5:$K$11,0)),IF(OR($D380="個",$D380="切",$D380="本",$D380="枚",$D380="尾"),IF($E380="⑬計量工程入力","",INDEX(⑰工程労務費一覧!$P$5:$P$11,MATCH($E380,⑰工程労務費一覧!$K$5:$K$11,0))),IF(AND($D380="",OR($E380="②釜工程入力",$E380="③スチコン工程入力")),INDEX(⑰工程労務費一覧!$N$5:$N$11,MATCH($E380,⑰工程労務費一覧!$K$5:$K$11,0))/1000,""))))),IF(OR($D380="g",$D380="ｇ"),INDEX(⑰工程労務費一覧!$H$5:$H$753,MATCH($F380,⑰工程労務費一覧!$D$5:$D$753,0))/1000,IF($D380="kg",INDEX(⑰工程労務費一覧!$H$5:$H$753,MATCH($F380,⑰工程労務費一覧!$D$5:$D$753,0)),INDEX(⑰工程労務費一覧!$I$5:$I$753,MATCH($F380,⑰工程労務費一覧!$D$5:$D$753,0)))))),"")</f>
        <v/>
      </c>
      <c r="I380" s="392">
        <f>IF($K380&gt;0,IF(ISNUMBER(IF(OR($D380="g",$D380="ｇ"),IF($M380&gt;0,$L380/$M380/1000,""),IF($D380="kg",IF($M380&gt;0,$L380/$M380,""),IF($D380="",IF($M380&gt;0,$L380/$M380/1000,IF($O380&gt;0,$N380/$O380,"")),IF($O380&gt;0,$N380/$O380,""))))),IF($D380="",IF($M380&gt;0,"◎ JAN紐づけ(g扱い)","◎ JAN紐づけ(個扱い)"),"◎ JAN紐づけ"),"△ JAN紐づけ済・実績不足→仮計算"),IF($F380="",IF(ISNUMBER($H380),IF($D380="","⑤ 工程平均で仮計算(g扱い)","⑤ 工程平均で仮計算"),IF($E380="⑩盛付梱包工程入力","⑥ 盛り込み(⑳F列で計上)",IF(AND($E380="⑬計量工程入力",OR($D380="個",$D380="切",$D380="本",$D380="枚",$D380="尾")),"① 未紐づけ(カット個単位は仮単価なし)","① 未紐づけ"))),IF(NOT(ISNUMBER($H380)),"② 工程側に単価なし",IF($D380="","③ 単位未設定(個で計算)","④ OK"))))</f>
        <v/>
      </c>
      <c r="J380" s="399">
        <f>IFERROR(LOOKUP(2,1/((中間品リスト!$F$2:$F$1299=$B380)*(中間品リスト!$E$2:$E$1299&lt;&gt;"-")*(中間品リスト!$E$2:$E$1299&lt;&gt;"")),中間品リスト!$E$2:$E$1299),"")</f>
        <v/>
      </c>
      <c r="K380" s="400">
        <f>IF($J380="",0,COUNTIF(②釜工程入力!$S$5:$S$117,$J380)+COUNTIF(③スチコン工程入力!$S$5:$S$152,$J380)+COUNTIF(⑪ZEN工程入力!$S$6:$S$35,$J380)+COUNTIF(⑫ミキサー工程入力!$S$6:$S$65,$J380)+COUNTIF(⑬計量工程入力!$S$6:$S$65,$J380)+COUNTIF(⑭手動工程入力!$S$6:$S$47,$J380))</f>
        <v/>
      </c>
      <c r="L380" s="393">
        <f>IF($J380="",0,SUMIFS(②釜工程入力!$M$5:$M$117,②釜工程入力!$S$5:$S$117,$J380,②釜工程入力!$I$5:$I$117,"&gt;0")+SUMIFS(③スチコン工程入力!$M$5:$M$152,③スチコン工程入力!$S$5:$S$152,$J380,③スチコン工程入力!$I$5:$I$152,"&gt;0")+SUMIFS(⑪ZEN工程入力!$M$6:$M$35,⑪ZEN工程入力!$S$6:$S$35,$J380,⑪ZEN工程入力!$I$6:$I$35,"&gt;0")+SUMIFS(⑫ミキサー工程入力!$M$6:$M$65,⑫ミキサー工程入力!$S$6:$S$65,$J380,⑫ミキサー工程入力!$I$6:$I$65,"&gt;0")+SUMIFS(⑬計量工程入力!$M$6:$M$65,⑬計量工程入力!$S$6:$S$65,$J380,⑬計量工程入力!$I$6:$I$65,"&gt;0")+SUMIFS(⑭手動工程入力!$M$6:$M$47,⑭手動工程入力!$S$6:$S$47,$J380,⑭手動工程入力!$I$6:$I$47,"&gt;0"))</f>
        <v/>
      </c>
      <c r="M380" s="393">
        <f>IF($J380="",0,SUMIFS(②釜工程入力!$I$5:$I$117,②釜工程入力!$S$5:$S$117,$J380,②釜工程入力!$I$5:$I$117,"&gt;0",②釜工程入力!$M$5:$M$117,"&gt;0")+SUMIFS(③スチコン工程入力!$I$5:$I$152,③スチコン工程入力!$S$5:$S$152,$J380,③スチコン工程入力!$I$5:$I$152,"&gt;0",③スチコン工程入力!$M$5:$M$152,"&gt;0")+SUMIFS(⑪ZEN工程入力!$I$6:$I$35,⑪ZEN工程入力!$S$6:$S$35,$J380,⑪ZEN工程入力!$I$6:$I$35,"&gt;0",⑪ZEN工程入力!$M$6:$M$35,"&gt;0")+SUMIFS(⑫ミキサー工程入力!$I$6:$I$65,⑫ミキサー工程入力!$S$6:$S$65,$J380,⑫ミキサー工程入力!$I$6:$I$65,"&gt;0",⑫ミキサー工程入力!$M$6:$M$65,"&gt;0")+SUMIFS(⑬計量工程入力!$I$6:$I$65,⑬計量工程入力!$S$6:$S$65,$J380,⑬計量工程入力!$I$6:$I$65,"&gt;0",⑬計量工程入力!$M$6:$M$65,"&gt;0")+SUMIFS(⑭手動工程入力!$I$6:$I$47,⑭手動工程入力!$S$6:$S$47,$J380,⑭手動工程入力!$I$6:$I$47,"&gt;0",⑭手動工程入力!$M$6:$M$47,"&gt;0"))</f>
        <v/>
      </c>
      <c r="N380" s="393">
        <f>IF($J380="",0,SUMIFS(②釜工程入力!$M$5:$M$117,②釜工程入力!$S$5:$S$117,$J380,②釜工程入力!$J$5:$J$117,"&gt;0")-SUMIFS(②釜工程入力!$M$5:$M$117,②釜工程入力!$S$5:$S$117,$J380,②釜工程入力!$J$5:$J$117,"&gt;0",②釜工程入力!$I$5:$I$117,"&gt;0")+SUMIFS(③スチコン工程入力!$M$5:$M$152,③スチコン工程入力!$S$5:$S$152,$J380,③スチコン工程入力!$J$5:$J$152,"&gt;0")-SUMIFS(③スチコン工程入力!$M$5:$M$152,③スチコン工程入力!$S$5:$S$152,$J380,③スチコン工程入力!$J$5:$J$152,"&gt;0",③スチコン工程入力!$I$5:$I$152,"&gt;0")+SUMIFS(⑪ZEN工程入力!$M$6:$M$35,⑪ZEN工程入力!$S$6:$S$35,$J380,⑪ZEN工程入力!$J$6:$J$35,"&gt;0")-SUMIFS(⑪ZEN工程入力!$M$6:$M$35,⑪ZEN工程入力!$S$6:$S$35,$J380,⑪ZEN工程入力!$J$6:$J$35,"&gt;0",⑪ZEN工程入力!$I$6:$I$35,"&gt;0")+SUMIFS(⑫ミキサー工程入力!$M$6:$M$65,⑫ミキサー工程入力!$S$6:$S$65,$J380,⑫ミキサー工程入力!$J$6:$J$65,"&gt;0")-SUMIFS(⑫ミキサー工程入力!$M$6:$M$65,⑫ミキサー工程入力!$S$6:$S$65,$J380,⑫ミキサー工程入力!$J$6:$J$65,"&gt;0",⑫ミキサー工程入力!$I$6:$I$65,"&gt;0")+SUMIFS(⑬計量工程入力!$M$6:$M$65,⑬計量工程入力!$S$6:$S$65,$J380,⑬計量工程入力!$J$6:$J$65,"&gt;0")-SUMIFS(⑬計量工程入力!$M$6:$M$65,⑬計量工程入力!$S$6:$S$65,$J380,⑬計量工程入力!$J$6:$J$65,"&gt;0",⑬計量工程入力!$I$6:$I$65,"&gt;0")+SUMIFS(⑭手動工程入力!$M$6:$M$47,⑭手動工程入力!$S$6:$S$47,$J380,⑭手動工程入力!$J$6:$J$47,"&gt;0")-SUMIFS(⑭手動工程入力!$M$6:$M$47,⑭手動工程入力!$S$6:$S$47,$J380,⑭手動工程入力!$J$6:$J$47,"&gt;0",⑭手動工程入力!$I$6:$I$47,"&gt;0"))</f>
        <v/>
      </c>
      <c r="O380" s="393">
        <f>IF($J380="",0,SUMIFS(②釜工程入力!$J$5:$J$117,②釜工程入力!$S$5:$S$117,$J380,②釜工程入力!$J$5:$J$117,"&gt;0",②釜工程入力!$M$5:$M$117,"&gt;0")-SUMIFS(②釜工程入力!$J$5:$J$117,②釜工程入力!$S$5:$S$117,$J380,②釜工程入力!$J$5:$J$117,"&gt;0",②釜工程入力!$I$5:$I$117,"&gt;0",②釜工程入力!$M$5:$M$117,"&gt;0")+SUMIFS(③スチコン工程入力!$J$5:$J$152,③スチコン工程入力!$S$5:$S$152,$J380,③スチコン工程入力!$J$5:$J$152,"&gt;0",③スチコン工程入力!$M$5:$M$152,"&gt;0")-SUMIFS(③スチコン工程入力!$J$5:$J$152,③スチコン工程入力!$S$5:$S$152,$J380,③スチコン工程入力!$J$5:$J$152,"&gt;0",③スチコン工程入力!$I$5:$I$152,"&gt;0",③スチコン工程入力!$M$5:$M$152,"&gt;0")+SUMIFS(⑪ZEN工程入力!$J$6:$J$35,⑪ZEN工程入力!$S$6:$S$35,$J380,⑪ZEN工程入力!$J$6:$J$35,"&gt;0",⑪ZEN工程入力!$M$6:$M$35,"&gt;0")-SUMIFS(⑪ZEN工程入力!$J$6:$J$35,⑪ZEN工程入力!$S$6:$S$35,$J380,⑪ZEN工程入力!$J$6:$J$35,"&gt;0",⑪ZEN工程入力!$I$6:$I$35,"&gt;0",⑪ZEN工程入力!$M$6:$M$35,"&gt;0")+SUMIFS(⑫ミキサー工程入力!$J$6:$J$65,⑫ミキサー工程入力!$S$6:$S$65,$J380,⑫ミキサー工程入力!$J$6:$J$65,"&gt;0",⑫ミキサー工程入力!$M$6:$M$65,"&gt;0")-SUMIFS(⑫ミキサー工程入力!$J$6:$J$65,⑫ミキサー工程入力!$S$6:$S$65,$J380,⑫ミキサー工程入力!$J$6:$J$65,"&gt;0",⑫ミキサー工程入力!$I$6:$I$65,"&gt;0",⑫ミキサー工程入力!$M$6:$M$65,"&gt;0")+SUMIFS(⑬計量工程入力!$J$6:$J$65,⑬計量工程入力!$S$6:$S$65,$J380,⑬計量工程入力!$J$6:$J$65,"&gt;0",⑬計量工程入力!$M$6:$M$65,"&gt;0")-SUMIFS(⑬計量工程入力!$J$6:$J$65,⑬計量工程入力!$S$6:$S$65,$J380,⑬計量工程入力!$J$6:$J$65,"&gt;0",⑬計量工程入力!$I$6:$I$65,"&gt;0",⑬計量工程入力!$M$6:$M$65,"&gt;0")+SUMIFS(⑭手動工程入力!$J$6:$J$47,⑭手動工程入力!$S$6:$S$47,$J380,⑭手動工程入力!$J$6:$J$47,"&gt;0",⑭手動工程入力!$M$6:$M$47,"&gt;0")-SUMIFS(⑭手動工程入力!$J$6:$J$47,⑭手動工程入力!$S$6:$S$47,$J380,⑭手動工程入力!$J$6:$J$47,"&gt;0",⑭手動工程入力!$I$6:$I$47,"&gt;0",⑭手動工程入力!$M$6:$M$47,"&gt;0"))</f>
        <v/>
      </c>
      <c r="P380" s="392" t="inlineStr">
        <is>
          <t>中間品リスト</t>
        </is>
      </c>
    </row>
    <row r="381">
      <c r="A381" s="392" t="n">
        <v>377</v>
      </c>
      <c r="B381" s="392" t="n"/>
      <c r="C381" s="392" t="n"/>
      <c r="D381" s="409" t="n"/>
      <c r="E381" s="392" t="n"/>
      <c r="F381" s="394" t="n"/>
      <c r="G381" s="392" t="n"/>
      <c r="H381" s="604">
        <f>IFERROR(IF(AND($K381&gt;0,ISNUMBER(IF(OR($D381="g",$D381="ｇ"),IF($M381&gt;0,$L381/$M381/1000,""),IF($D381="kg",IF($M381&gt;0,$L381/$M381,""),IF($D381="",IF($M381&gt;0,$L381/$M381/1000,IF($O381&gt;0,$N381/$O381,"")),IF($O381&gt;0,$N381/$O381,"")))))),IF(OR($D381="g",$D381="ｇ"),IF($M381&gt;0,$L381/$M381/1000,""),IF($D381="kg",IF($M381&gt;0,$L381/$M381,""),IF($D381="",IF($M381&gt;0,$L381/$M381/1000,IF($O381&gt;0,$N381/$O381,"")),IF($O381&gt;0,$N381/$O381,"")))),IF($F381="",IF(OR($E381="",$E381="⑩盛付梱包工程入力"),"",IF(OR($D381="g",$D381="ｇ"),INDEX(⑰工程労務費一覧!$N$5:$N$11,MATCH($E381,⑰工程労務費一覧!$K$5:$K$11,0))/1000,IF($D381="kg",INDEX(⑰工程労務費一覧!$N$5:$N$11,MATCH($E381,⑰工程労務費一覧!$K$5:$K$11,0)),IF(OR($D381="個",$D381="切",$D381="本",$D381="枚",$D381="尾"),IF($E381="⑬計量工程入力","",INDEX(⑰工程労務費一覧!$P$5:$P$11,MATCH($E381,⑰工程労務費一覧!$K$5:$K$11,0))),IF(AND($D381="",OR($E381="②釜工程入力",$E381="③スチコン工程入力")),INDEX(⑰工程労務費一覧!$N$5:$N$11,MATCH($E381,⑰工程労務費一覧!$K$5:$K$11,0))/1000,""))))),IF(OR($D381="g",$D381="ｇ"),INDEX(⑰工程労務費一覧!$H$5:$H$753,MATCH($F381,⑰工程労務費一覧!$D$5:$D$753,0))/1000,IF($D381="kg",INDEX(⑰工程労務費一覧!$H$5:$H$753,MATCH($F381,⑰工程労務費一覧!$D$5:$D$753,0)),INDEX(⑰工程労務費一覧!$I$5:$I$753,MATCH($F381,⑰工程労務費一覧!$D$5:$D$753,0)))))),"")</f>
        <v/>
      </c>
      <c r="I381" s="392">
        <f>IF($K381&gt;0,IF(ISNUMBER(IF(OR($D381="g",$D381="ｇ"),IF($M381&gt;0,$L381/$M381/1000,""),IF($D381="kg",IF($M381&gt;0,$L381/$M381,""),IF($D381="",IF($M381&gt;0,$L381/$M381/1000,IF($O381&gt;0,$N381/$O381,"")),IF($O381&gt;0,$N381/$O381,""))))),IF($D381="",IF($M381&gt;0,"◎ JAN紐づけ(g扱い)","◎ JAN紐づけ(個扱い)"),"◎ JAN紐づけ"),"△ JAN紐づけ済・実績不足→仮計算"),IF($F381="",IF(ISNUMBER($H381),IF($D381="","⑤ 工程平均で仮計算(g扱い)","⑤ 工程平均で仮計算"),IF($E381="⑩盛付梱包工程入力","⑥ 盛り込み(⑳F列で計上)",IF(AND($E381="⑬計量工程入力",OR($D381="個",$D381="切",$D381="本",$D381="枚",$D381="尾")),"① 未紐づけ(カット個単位は仮単価なし)","① 未紐づけ"))),IF(NOT(ISNUMBER($H381)),"② 工程側に単価なし",IF($D381="","③ 単位未設定(個で計算)","④ OK"))))</f>
        <v/>
      </c>
      <c r="J381" s="399">
        <f>IFERROR(LOOKUP(2,1/((中間品リスト!$F$2:$F$1299=$B381)*(中間品リスト!$E$2:$E$1299&lt;&gt;"-")*(中間品リスト!$E$2:$E$1299&lt;&gt;"")),中間品リスト!$E$2:$E$1299),"")</f>
        <v/>
      </c>
      <c r="K381" s="400">
        <f>IF($J381="",0,COUNTIF(②釜工程入力!$S$5:$S$117,$J381)+COUNTIF(③スチコン工程入力!$S$5:$S$152,$J381)+COUNTIF(⑪ZEN工程入力!$S$6:$S$35,$J381)+COUNTIF(⑫ミキサー工程入力!$S$6:$S$65,$J381)+COUNTIF(⑬計量工程入力!$S$6:$S$65,$J381)+COUNTIF(⑭手動工程入力!$S$6:$S$47,$J381))</f>
        <v/>
      </c>
      <c r="L381" s="393">
        <f>IF($J381="",0,SUMIFS(②釜工程入力!$M$5:$M$117,②釜工程入力!$S$5:$S$117,$J381,②釜工程入力!$I$5:$I$117,"&gt;0")+SUMIFS(③スチコン工程入力!$M$5:$M$152,③スチコン工程入力!$S$5:$S$152,$J381,③スチコン工程入力!$I$5:$I$152,"&gt;0")+SUMIFS(⑪ZEN工程入力!$M$6:$M$35,⑪ZEN工程入力!$S$6:$S$35,$J381,⑪ZEN工程入力!$I$6:$I$35,"&gt;0")+SUMIFS(⑫ミキサー工程入力!$M$6:$M$65,⑫ミキサー工程入力!$S$6:$S$65,$J381,⑫ミキサー工程入力!$I$6:$I$65,"&gt;0")+SUMIFS(⑬計量工程入力!$M$6:$M$65,⑬計量工程入力!$S$6:$S$65,$J381,⑬計量工程入力!$I$6:$I$65,"&gt;0")+SUMIFS(⑭手動工程入力!$M$6:$M$47,⑭手動工程入力!$S$6:$S$47,$J381,⑭手動工程入力!$I$6:$I$47,"&gt;0"))</f>
        <v/>
      </c>
      <c r="M381" s="393">
        <f>IF($J381="",0,SUMIFS(②釜工程入力!$I$5:$I$117,②釜工程入力!$S$5:$S$117,$J381,②釜工程入力!$I$5:$I$117,"&gt;0",②釜工程入力!$M$5:$M$117,"&gt;0")+SUMIFS(③スチコン工程入力!$I$5:$I$152,③スチコン工程入力!$S$5:$S$152,$J381,③スチコン工程入力!$I$5:$I$152,"&gt;0",③スチコン工程入力!$M$5:$M$152,"&gt;0")+SUMIFS(⑪ZEN工程入力!$I$6:$I$35,⑪ZEN工程入力!$S$6:$S$35,$J381,⑪ZEN工程入力!$I$6:$I$35,"&gt;0",⑪ZEN工程入力!$M$6:$M$35,"&gt;0")+SUMIFS(⑫ミキサー工程入力!$I$6:$I$65,⑫ミキサー工程入力!$S$6:$S$65,$J381,⑫ミキサー工程入力!$I$6:$I$65,"&gt;0",⑫ミキサー工程入力!$M$6:$M$65,"&gt;0")+SUMIFS(⑬計量工程入力!$I$6:$I$65,⑬計量工程入力!$S$6:$S$65,$J381,⑬計量工程入力!$I$6:$I$65,"&gt;0",⑬計量工程入力!$M$6:$M$65,"&gt;0")+SUMIFS(⑭手動工程入力!$I$6:$I$47,⑭手動工程入力!$S$6:$S$47,$J381,⑭手動工程入力!$I$6:$I$47,"&gt;0",⑭手動工程入力!$M$6:$M$47,"&gt;0"))</f>
        <v/>
      </c>
      <c r="N381" s="393">
        <f>IF($J381="",0,SUMIFS(②釜工程入力!$M$5:$M$117,②釜工程入力!$S$5:$S$117,$J381,②釜工程入力!$J$5:$J$117,"&gt;0")-SUMIFS(②釜工程入力!$M$5:$M$117,②釜工程入力!$S$5:$S$117,$J381,②釜工程入力!$J$5:$J$117,"&gt;0",②釜工程入力!$I$5:$I$117,"&gt;0")+SUMIFS(③スチコン工程入力!$M$5:$M$152,③スチコン工程入力!$S$5:$S$152,$J381,③スチコン工程入力!$J$5:$J$152,"&gt;0")-SUMIFS(③スチコン工程入力!$M$5:$M$152,③スチコン工程入力!$S$5:$S$152,$J381,③スチコン工程入力!$J$5:$J$152,"&gt;0",③スチコン工程入力!$I$5:$I$152,"&gt;0")+SUMIFS(⑪ZEN工程入力!$M$6:$M$35,⑪ZEN工程入力!$S$6:$S$35,$J381,⑪ZEN工程入力!$J$6:$J$35,"&gt;0")-SUMIFS(⑪ZEN工程入力!$M$6:$M$35,⑪ZEN工程入力!$S$6:$S$35,$J381,⑪ZEN工程入力!$J$6:$J$35,"&gt;0",⑪ZEN工程入力!$I$6:$I$35,"&gt;0")+SUMIFS(⑫ミキサー工程入力!$M$6:$M$65,⑫ミキサー工程入力!$S$6:$S$65,$J381,⑫ミキサー工程入力!$J$6:$J$65,"&gt;0")-SUMIFS(⑫ミキサー工程入力!$M$6:$M$65,⑫ミキサー工程入力!$S$6:$S$65,$J381,⑫ミキサー工程入力!$J$6:$J$65,"&gt;0",⑫ミキサー工程入力!$I$6:$I$65,"&gt;0")+SUMIFS(⑬計量工程入力!$M$6:$M$65,⑬計量工程入力!$S$6:$S$65,$J381,⑬計量工程入力!$J$6:$J$65,"&gt;0")-SUMIFS(⑬計量工程入力!$M$6:$M$65,⑬計量工程入力!$S$6:$S$65,$J381,⑬計量工程入力!$J$6:$J$65,"&gt;0",⑬計量工程入力!$I$6:$I$65,"&gt;0")+SUMIFS(⑭手動工程入力!$M$6:$M$47,⑭手動工程入力!$S$6:$S$47,$J381,⑭手動工程入力!$J$6:$J$47,"&gt;0")-SUMIFS(⑭手動工程入力!$M$6:$M$47,⑭手動工程入力!$S$6:$S$47,$J381,⑭手動工程入力!$J$6:$J$47,"&gt;0",⑭手動工程入力!$I$6:$I$47,"&gt;0"))</f>
        <v/>
      </c>
      <c r="O381" s="393">
        <f>IF($J381="",0,SUMIFS(②釜工程入力!$J$5:$J$117,②釜工程入力!$S$5:$S$117,$J381,②釜工程入力!$J$5:$J$117,"&gt;0",②釜工程入力!$M$5:$M$117,"&gt;0")-SUMIFS(②釜工程入力!$J$5:$J$117,②釜工程入力!$S$5:$S$117,$J381,②釜工程入力!$J$5:$J$117,"&gt;0",②釜工程入力!$I$5:$I$117,"&gt;0",②釜工程入力!$M$5:$M$117,"&gt;0")+SUMIFS(③スチコン工程入力!$J$5:$J$152,③スチコン工程入力!$S$5:$S$152,$J381,③スチコン工程入力!$J$5:$J$152,"&gt;0",③スチコン工程入力!$M$5:$M$152,"&gt;0")-SUMIFS(③スチコン工程入力!$J$5:$J$152,③スチコン工程入力!$S$5:$S$152,$J381,③スチコン工程入力!$J$5:$J$152,"&gt;0",③スチコン工程入力!$I$5:$I$152,"&gt;0",③スチコン工程入力!$M$5:$M$152,"&gt;0")+SUMIFS(⑪ZEN工程入力!$J$6:$J$35,⑪ZEN工程入力!$S$6:$S$35,$J381,⑪ZEN工程入力!$J$6:$J$35,"&gt;0",⑪ZEN工程入力!$M$6:$M$35,"&gt;0")-SUMIFS(⑪ZEN工程入力!$J$6:$J$35,⑪ZEN工程入力!$S$6:$S$35,$J381,⑪ZEN工程入力!$J$6:$J$35,"&gt;0",⑪ZEN工程入力!$I$6:$I$35,"&gt;0",⑪ZEN工程入力!$M$6:$M$35,"&gt;0")+SUMIFS(⑫ミキサー工程入力!$J$6:$J$65,⑫ミキサー工程入力!$S$6:$S$65,$J381,⑫ミキサー工程入力!$J$6:$J$65,"&gt;0",⑫ミキサー工程入力!$M$6:$M$65,"&gt;0")-SUMIFS(⑫ミキサー工程入力!$J$6:$J$65,⑫ミキサー工程入力!$S$6:$S$65,$J381,⑫ミキサー工程入力!$J$6:$J$65,"&gt;0",⑫ミキサー工程入力!$I$6:$I$65,"&gt;0",⑫ミキサー工程入力!$M$6:$M$65,"&gt;0")+SUMIFS(⑬計量工程入力!$J$6:$J$65,⑬計量工程入力!$S$6:$S$65,$J381,⑬計量工程入力!$J$6:$J$65,"&gt;0",⑬計量工程入力!$M$6:$M$65,"&gt;0")-SUMIFS(⑬計量工程入力!$J$6:$J$65,⑬計量工程入力!$S$6:$S$65,$J381,⑬計量工程入力!$J$6:$J$65,"&gt;0",⑬計量工程入力!$I$6:$I$65,"&gt;0",⑬計量工程入力!$M$6:$M$65,"&gt;0")+SUMIFS(⑭手動工程入力!$J$6:$J$47,⑭手動工程入力!$S$6:$S$47,$J381,⑭手動工程入力!$J$6:$J$47,"&gt;0",⑭手動工程入力!$M$6:$M$47,"&gt;0")-SUMIFS(⑭手動工程入力!$J$6:$J$47,⑭手動工程入力!$S$6:$S$47,$J381,⑭手動工程入力!$J$6:$J$47,"&gt;0",⑭手動工程入力!$I$6:$I$47,"&gt;0",⑭手動工程入力!$M$6:$M$47,"&gt;0"))</f>
        <v/>
      </c>
      <c r="P381" s="392" t="inlineStr">
        <is>
          <t>中間品リスト</t>
        </is>
      </c>
    </row>
    <row r="382">
      <c r="A382" s="392" t="n">
        <v>378</v>
      </c>
      <c r="B382" s="392" t="n"/>
      <c r="C382" s="392" t="n"/>
      <c r="D382" s="409" t="n"/>
      <c r="E382" s="392" t="n"/>
      <c r="F382" s="394" t="n"/>
      <c r="G382" s="392" t="n"/>
      <c r="H382" s="604">
        <f>IFERROR(IF(AND($K382&gt;0,ISNUMBER(IF(OR($D382="g",$D382="ｇ"),IF($M382&gt;0,$L382/$M382/1000,""),IF($D382="kg",IF($M382&gt;0,$L382/$M382,""),IF($D382="",IF($M382&gt;0,$L382/$M382/1000,IF($O382&gt;0,$N382/$O382,"")),IF($O382&gt;0,$N382/$O382,"")))))),IF(OR($D382="g",$D382="ｇ"),IF($M382&gt;0,$L382/$M382/1000,""),IF($D382="kg",IF($M382&gt;0,$L382/$M382,""),IF($D382="",IF($M382&gt;0,$L382/$M382/1000,IF($O382&gt;0,$N382/$O382,"")),IF($O382&gt;0,$N382/$O382,"")))),IF($F382="",IF(OR($E382="",$E382="⑩盛付梱包工程入力"),"",IF(OR($D382="g",$D382="ｇ"),INDEX(⑰工程労務費一覧!$N$5:$N$11,MATCH($E382,⑰工程労務費一覧!$K$5:$K$11,0))/1000,IF($D382="kg",INDEX(⑰工程労務費一覧!$N$5:$N$11,MATCH($E382,⑰工程労務費一覧!$K$5:$K$11,0)),IF(OR($D382="個",$D382="切",$D382="本",$D382="枚",$D382="尾"),IF($E382="⑬計量工程入力","",INDEX(⑰工程労務費一覧!$P$5:$P$11,MATCH($E382,⑰工程労務費一覧!$K$5:$K$11,0))),IF(AND($D382="",OR($E382="②釜工程入力",$E382="③スチコン工程入力")),INDEX(⑰工程労務費一覧!$N$5:$N$11,MATCH($E382,⑰工程労務費一覧!$K$5:$K$11,0))/1000,""))))),IF(OR($D382="g",$D382="ｇ"),INDEX(⑰工程労務費一覧!$H$5:$H$753,MATCH($F382,⑰工程労務費一覧!$D$5:$D$753,0))/1000,IF($D382="kg",INDEX(⑰工程労務費一覧!$H$5:$H$753,MATCH($F382,⑰工程労務費一覧!$D$5:$D$753,0)),INDEX(⑰工程労務費一覧!$I$5:$I$753,MATCH($F382,⑰工程労務費一覧!$D$5:$D$753,0)))))),"")</f>
        <v/>
      </c>
      <c r="I382" s="392">
        <f>IF($K382&gt;0,IF(ISNUMBER(IF(OR($D382="g",$D382="ｇ"),IF($M382&gt;0,$L382/$M382/1000,""),IF($D382="kg",IF($M382&gt;0,$L382/$M382,""),IF($D382="",IF($M382&gt;0,$L382/$M382/1000,IF($O382&gt;0,$N382/$O382,"")),IF($O382&gt;0,$N382/$O382,""))))),IF($D382="",IF($M382&gt;0,"◎ JAN紐づけ(g扱い)","◎ JAN紐づけ(個扱い)"),"◎ JAN紐づけ"),"△ JAN紐づけ済・実績不足→仮計算"),IF($F382="",IF(ISNUMBER($H382),IF($D382="","⑤ 工程平均で仮計算(g扱い)","⑤ 工程平均で仮計算"),IF($E382="⑩盛付梱包工程入力","⑥ 盛り込み(⑳F列で計上)",IF(AND($E382="⑬計量工程入力",OR($D382="個",$D382="切",$D382="本",$D382="枚",$D382="尾")),"① 未紐づけ(カット個単位は仮単価なし)","① 未紐づけ"))),IF(NOT(ISNUMBER($H382)),"② 工程側に単価なし",IF($D382="","③ 単位未設定(個で計算)","④ OK"))))</f>
        <v/>
      </c>
      <c r="J382" s="399">
        <f>IFERROR(LOOKUP(2,1/((中間品リスト!$F$2:$F$1299=$B382)*(中間品リスト!$E$2:$E$1299&lt;&gt;"-")*(中間品リスト!$E$2:$E$1299&lt;&gt;"")),中間品リスト!$E$2:$E$1299),"")</f>
        <v/>
      </c>
      <c r="K382" s="400">
        <f>IF($J382="",0,COUNTIF(②釜工程入力!$S$5:$S$117,$J382)+COUNTIF(③スチコン工程入力!$S$5:$S$152,$J382)+COUNTIF(⑪ZEN工程入力!$S$6:$S$35,$J382)+COUNTIF(⑫ミキサー工程入力!$S$6:$S$65,$J382)+COUNTIF(⑬計量工程入力!$S$6:$S$65,$J382)+COUNTIF(⑭手動工程入力!$S$6:$S$47,$J382))</f>
        <v/>
      </c>
      <c r="L382" s="393">
        <f>IF($J382="",0,SUMIFS(②釜工程入力!$M$5:$M$117,②釜工程入力!$S$5:$S$117,$J382,②釜工程入力!$I$5:$I$117,"&gt;0")+SUMIFS(③スチコン工程入力!$M$5:$M$152,③スチコン工程入力!$S$5:$S$152,$J382,③スチコン工程入力!$I$5:$I$152,"&gt;0")+SUMIFS(⑪ZEN工程入力!$M$6:$M$35,⑪ZEN工程入力!$S$6:$S$35,$J382,⑪ZEN工程入力!$I$6:$I$35,"&gt;0")+SUMIFS(⑫ミキサー工程入力!$M$6:$M$65,⑫ミキサー工程入力!$S$6:$S$65,$J382,⑫ミキサー工程入力!$I$6:$I$65,"&gt;0")+SUMIFS(⑬計量工程入力!$M$6:$M$65,⑬計量工程入力!$S$6:$S$65,$J382,⑬計量工程入力!$I$6:$I$65,"&gt;0")+SUMIFS(⑭手動工程入力!$M$6:$M$47,⑭手動工程入力!$S$6:$S$47,$J382,⑭手動工程入力!$I$6:$I$47,"&gt;0"))</f>
        <v/>
      </c>
      <c r="M382" s="393">
        <f>IF($J382="",0,SUMIFS(②釜工程入力!$I$5:$I$117,②釜工程入力!$S$5:$S$117,$J382,②釜工程入力!$I$5:$I$117,"&gt;0",②釜工程入力!$M$5:$M$117,"&gt;0")+SUMIFS(③スチコン工程入力!$I$5:$I$152,③スチコン工程入力!$S$5:$S$152,$J382,③スチコン工程入力!$I$5:$I$152,"&gt;0",③スチコン工程入力!$M$5:$M$152,"&gt;0")+SUMIFS(⑪ZEN工程入力!$I$6:$I$35,⑪ZEN工程入力!$S$6:$S$35,$J382,⑪ZEN工程入力!$I$6:$I$35,"&gt;0",⑪ZEN工程入力!$M$6:$M$35,"&gt;0")+SUMIFS(⑫ミキサー工程入力!$I$6:$I$65,⑫ミキサー工程入力!$S$6:$S$65,$J382,⑫ミキサー工程入力!$I$6:$I$65,"&gt;0",⑫ミキサー工程入力!$M$6:$M$65,"&gt;0")+SUMIFS(⑬計量工程入力!$I$6:$I$65,⑬計量工程入力!$S$6:$S$65,$J382,⑬計量工程入力!$I$6:$I$65,"&gt;0",⑬計量工程入力!$M$6:$M$65,"&gt;0")+SUMIFS(⑭手動工程入力!$I$6:$I$47,⑭手動工程入力!$S$6:$S$47,$J382,⑭手動工程入力!$I$6:$I$47,"&gt;0",⑭手動工程入力!$M$6:$M$47,"&gt;0"))</f>
        <v/>
      </c>
      <c r="N382" s="393">
        <f>IF($J382="",0,SUMIFS(②釜工程入力!$M$5:$M$117,②釜工程入力!$S$5:$S$117,$J382,②釜工程入力!$J$5:$J$117,"&gt;0")-SUMIFS(②釜工程入力!$M$5:$M$117,②釜工程入力!$S$5:$S$117,$J382,②釜工程入力!$J$5:$J$117,"&gt;0",②釜工程入力!$I$5:$I$117,"&gt;0")+SUMIFS(③スチコン工程入力!$M$5:$M$152,③スチコン工程入力!$S$5:$S$152,$J382,③スチコン工程入力!$J$5:$J$152,"&gt;0")-SUMIFS(③スチコン工程入力!$M$5:$M$152,③スチコン工程入力!$S$5:$S$152,$J382,③スチコン工程入力!$J$5:$J$152,"&gt;0",③スチコン工程入力!$I$5:$I$152,"&gt;0")+SUMIFS(⑪ZEN工程入力!$M$6:$M$35,⑪ZEN工程入力!$S$6:$S$35,$J382,⑪ZEN工程入力!$J$6:$J$35,"&gt;0")-SUMIFS(⑪ZEN工程入力!$M$6:$M$35,⑪ZEN工程入力!$S$6:$S$35,$J382,⑪ZEN工程入力!$J$6:$J$35,"&gt;0",⑪ZEN工程入力!$I$6:$I$35,"&gt;0")+SUMIFS(⑫ミキサー工程入力!$M$6:$M$65,⑫ミキサー工程入力!$S$6:$S$65,$J382,⑫ミキサー工程入力!$J$6:$J$65,"&gt;0")-SUMIFS(⑫ミキサー工程入力!$M$6:$M$65,⑫ミキサー工程入力!$S$6:$S$65,$J382,⑫ミキサー工程入力!$J$6:$J$65,"&gt;0",⑫ミキサー工程入力!$I$6:$I$65,"&gt;0")+SUMIFS(⑬計量工程入力!$M$6:$M$65,⑬計量工程入力!$S$6:$S$65,$J382,⑬計量工程入力!$J$6:$J$65,"&gt;0")-SUMIFS(⑬計量工程入力!$M$6:$M$65,⑬計量工程入力!$S$6:$S$65,$J382,⑬計量工程入力!$J$6:$J$65,"&gt;0",⑬計量工程入力!$I$6:$I$65,"&gt;0")+SUMIFS(⑭手動工程入力!$M$6:$M$47,⑭手動工程入力!$S$6:$S$47,$J382,⑭手動工程入力!$J$6:$J$47,"&gt;0")-SUMIFS(⑭手動工程入力!$M$6:$M$47,⑭手動工程入力!$S$6:$S$47,$J382,⑭手動工程入力!$J$6:$J$47,"&gt;0",⑭手動工程入力!$I$6:$I$47,"&gt;0"))</f>
        <v/>
      </c>
      <c r="O382" s="393">
        <f>IF($J382="",0,SUMIFS(②釜工程入力!$J$5:$J$117,②釜工程入力!$S$5:$S$117,$J382,②釜工程入力!$J$5:$J$117,"&gt;0",②釜工程入力!$M$5:$M$117,"&gt;0")-SUMIFS(②釜工程入力!$J$5:$J$117,②釜工程入力!$S$5:$S$117,$J382,②釜工程入力!$J$5:$J$117,"&gt;0",②釜工程入力!$I$5:$I$117,"&gt;0",②釜工程入力!$M$5:$M$117,"&gt;0")+SUMIFS(③スチコン工程入力!$J$5:$J$152,③スチコン工程入力!$S$5:$S$152,$J382,③スチコン工程入力!$J$5:$J$152,"&gt;0",③スチコン工程入力!$M$5:$M$152,"&gt;0")-SUMIFS(③スチコン工程入力!$J$5:$J$152,③スチコン工程入力!$S$5:$S$152,$J382,③スチコン工程入力!$J$5:$J$152,"&gt;0",③スチコン工程入力!$I$5:$I$152,"&gt;0",③スチコン工程入力!$M$5:$M$152,"&gt;0")+SUMIFS(⑪ZEN工程入力!$J$6:$J$35,⑪ZEN工程入力!$S$6:$S$35,$J382,⑪ZEN工程入力!$J$6:$J$35,"&gt;0",⑪ZEN工程入力!$M$6:$M$35,"&gt;0")-SUMIFS(⑪ZEN工程入力!$J$6:$J$35,⑪ZEN工程入力!$S$6:$S$35,$J382,⑪ZEN工程入力!$J$6:$J$35,"&gt;0",⑪ZEN工程入力!$I$6:$I$35,"&gt;0",⑪ZEN工程入力!$M$6:$M$35,"&gt;0")+SUMIFS(⑫ミキサー工程入力!$J$6:$J$65,⑫ミキサー工程入力!$S$6:$S$65,$J382,⑫ミキサー工程入力!$J$6:$J$65,"&gt;0",⑫ミキサー工程入力!$M$6:$M$65,"&gt;0")-SUMIFS(⑫ミキサー工程入力!$J$6:$J$65,⑫ミキサー工程入力!$S$6:$S$65,$J382,⑫ミキサー工程入力!$J$6:$J$65,"&gt;0",⑫ミキサー工程入力!$I$6:$I$65,"&gt;0",⑫ミキサー工程入力!$M$6:$M$65,"&gt;0")+SUMIFS(⑬計量工程入力!$J$6:$J$65,⑬計量工程入力!$S$6:$S$65,$J382,⑬計量工程入力!$J$6:$J$65,"&gt;0",⑬計量工程入力!$M$6:$M$65,"&gt;0")-SUMIFS(⑬計量工程入力!$J$6:$J$65,⑬計量工程入力!$S$6:$S$65,$J382,⑬計量工程入力!$J$6:$J$65,"&gt;0",⑬計量工程入力!$I$6:$I$65,"&gt;0",⑬計量工程入力!$M$6:$M$65,"&gt;0")+SUMIFS(⑭手動工程入力!$J$6:$J$47,⑭手動工程入力!$S$6:$S$47,$J382,⑭手動工程入力!$J$6:$J$47,"&gt;0",⑭手動工程入力!$M$6:$M$47,"&gt;0")-SUMIFS(⑭手動工程入力!$J$6:$J$47,⑭手動工程入力!$S$6:$S$47,$J382,⑭手動工程入力!$J$6:$J$47,"&gt;0",⑭手動工程入力!$I$6:$I$47,"&gt;0",⑭手動工程入力!$M$6:$M$47,"&gt;0"))</f>
        <v/>
      </c>
      <c r="P382" s="392" t="inlineStr">
        <is>
          <t>中間品リスト</t>
        </is>
      </c>
    </row>
    <row r="383">
      <c r="A383" s="392" t="n">
        <v>379</v>
      </c>
      <c r="B383" s="392" t="n"/>
      <c r="C383" s="392" t="n"/>
      <c r="D383" s="409" t="n"/>
      <c r="E383" s="392" t="n"/>
      <c r="F383" s="394" t="n"/>
      <c r="G383" s="392" t="n"/>
      <c r="H383" s="604">
        <f>IFERROR(IF(AND($K383&gt;0,ISNUMBER(IF(OR($D383="g",$D383="ｇ"),IF($M383&gt;0,$L383/$M383/1000,""),IF($D383="kg",IF($M383&gt;0,$L383/$M383,""),IF($D383="",IF($M383&gt;0,$L383/$M383/1000,IF($O383&gt;0,$N383/$O383,"")),IF($O383&gt;0,$N383/$O383,"")))))),IF(OR($D383="g",$D383="ｇ"),IF($M383&gt;0,$L383/$M383/1000,""),IF($D383="kg",IF($M383&gt;0,$L383/$M383,""),IF($D383="",IF($M383&gt;0,$L383/$M383/1000,IF($O383&gt;0,$N383/$O383,"")),IF($O383&gt;0,$N383/$O383,"")))),IF($F383="",IF(OR($E383="",$E383="⑩盛付梱包工程入力"),"",IF(OR($D383="g",$D383="ｇ"),INDEX(⑰工程労務費一覧!$N$5:$N$11,MATCH($E383,⑰工程労務費一覧!$K$5:$K$11,0))/1000,IF($D383="kg",INDEX(⑰工程労務費一覧!$N$5:$N$11,MATCH($E383,⑰工程労務費一覧!$K$5:$K$11,0)),IF(OR($D383="個",$D383="切",$D383="本",$D383="枚",$D383="尾"),IF($E383="⑬計量工程入力","",INDEX(⑰工程労務費一覧!$P$5:$P$11,MATCH($E383,⑰工程労務費一覧!$K$5:$K$11,0))),IF(AND($D383="",OR($E383="②釜工程入力",$E383="③スチコン工程入力")),INDEX(⑰工程労務費一覧!$N$5:$N$11,MATCH($E383,⑰工程労務費一覧!$K$5:$K$11,0))/1000,""))))),IF(OR($D383="g",$D383="ｇ"),INDEX(⑰工程労務費一覧!$H$5:$H$753,MATCH($F383,⑰工程労務費一覧!$D$5:$D$753,0))/1000,IF($D383="kg",INDEX(⑰工程労務費一覧!$H$5:$H$753,MATCH($F383,⑰工程労務費一覧!$D$5:$D$753,0)),INDEX(⑰工程労務費一覧!$I$5:$I$753,MATCH($F383,⑰工程労務費一覧!$D$5:$D$753,0)))))),"")</f>
        <v/>
      </c>
      <c r="I383" s="392">
        <f>IF($K383&gt;0,IF(ISNUMBER(IF(OR($D383="g",$D383="ｇ"),IF($M383&gt;0,$L383/$M383/1000,""),IF($D383="kg",IF($M383&gt;0,$L383/$M383,""),IF($D383="",IF($M383&gt;0,$L383/$M383/1000,IF($O383&gt;0,$N383/$O383,"")),IF($O383&gt;0,$N383/$O383,""))))),IF($D383="",IF($M383&gt;0,"◎ JAN紐づけ(g扱い)","◎ JAN紐づけ(個扱い)"),"◎ JAN紐づけ"),"△ JAN紐づけ済・実績不足→仮計算"),IF($F383="",IF(ISNUMBER($H383),IF($D383="","⑤ 工程平均で仮計算(g扱い)","⑤ 工程平均で仮計算"),IF($E383="⑩盛付梱包工程入力","⑥ 盛り込み(⑳F列で計上)",IF(AND($E383="⑬計量工程入力",OR($D383="個",$D383="切",$D383="本",$D383="枚",$D383="尾")),"① 未紐づけ(カット個単位は仮単価なし)","① 未紐づけ"))),IF(NOT(ISNUMBER($H383)),"② 工程側に単価なし",IF($D383="","③ 単位未設定(個で計算)","④ OK"))))</f>
        <v/>
      </c>
      <c r="J383" s="399">
        <f>IFERROR(LOOKUP(2,1/((中間品リスト!$F$2:$F$1299=$B383)*(中間品リスト!$E$2:$E$1299&lt;&gt;"-")*(中間品リスト!$E$2:$E$1299&lt;&gt;"")),中間品リスト!$E$2:$E$1299),"")</f>
        <v/>
      </c>
      <c r="K383" s="400">
        <f>IF($J383="",0,COUNTIF(②釜工程入力!$S$5:$S$117,$J383)+COUNTIF(③スチコン工程入力!$S$5:$S$152,$J383)+COUNTIF(⑪ZEN工程入力!$S$6:$S$35,$J383)+COUNTIF(⑫ミキサー工程入力!$S$6:$S$65,$J383)+COUNTIF(⑬計量工程入力!$S$6:$S$65,$J383)+COUNTIF(⑭手動工程入力!$S$6:$S$47,$J383))</f>
        <v/>
      </c>
      <c r="L383" s="393">
        <f>IF($J383="",0,SUMIFS(②釜工程入力!$M$5:$M$117,②釜工程入力!$S$5:$S$117,$J383,②釜工程入力!$I$5:$I$117,"&gt;0")+SUMIFS(③スチコン工程入力!$M$5:$M$152,③スチコン工程入力!$S$5:$S$152,$J383,③スチコン工程入力!$I$5:$I$152,"&gt;0")+SUMIFS(⑪ZEN工程入力!$M$6:$M$35,⑪ZEN工程入力!$S$6:$S$35,$J383,⑪ZEN工程入力!$I$6:$I$35,"&gt;0")+SUMIFS(⑫ミキサー工程入力!$M$6:$M$65,⑫ミキサー工程入力!$S$6:$S$65,$J383,⑫ミキサー工程入力!$I$6:$I$65,"&gt;0")+SUMIFS(⑬計量工程入力!$M$6:$M$65,⑬計量工程入力!$S$6:$S$65,$J383,⑬計量工程入力!$I$6:$I$65,"&gt;0")+SUMIFS(⑭手動工程入力!$M$6:$M$47,⑭手動工程入力!$S$6:$S$47,$J383,⑭手動工程入力!$I$6:$I$47,"&gt;0"))</f>
        <v/>
      </c>
      <c r="M383" s="393">
        <f>IF($J383="",0,SUMIFS(②釜工程入力!$I$5:$I$117,②釜工程入力!$S$5:$S$117,$J383,②釜工程入力!$I$5:$I$117,"&gt;0",②釜工程入力!$M$5:$M$117,"&gt;0")+SUMIFS(③スチコン工程入力!$I$5:$I$152,③スチコン工程入力!$S$5:$S$152,$J383,③スチコン工程入力!$I$5:$I$152,"&gt;0",③スチコン工程入力!$M$5:$M$152,"&gt;0")+SUMIFS(⑪ZEN工程入力!$I$6:$I$35,⑪ZEN工程入力!$S$6:$S$35,$J383,⑪ZEN工程入力!$I$6:$I$35,"&gt;0",⑪ZEN工程入力!$M$6:$M$35,"&gt;0")+SUMIFS(⑫ミキサー工程入力!$I$6:$I$65,⑫ミキサー工程入力!$S$6:$S$65,$J383,⑫ミキサー工程入力!$I$6:$I$65,"&gt;0",⑫ミキサー工程入力!$M$6:$M$65,"&gt;0")+SUMIFS(⑬計量工程入力!$I$6:$I$65,⑬計量工程入力!$S$6:$S$65,$J383,⑬計量工程入力!$I$6:$I$65,"&gt;0",⑬計量工程入力!$M$6:$M$65,"&gt;0")+SUMIFS(⑭手動工程入力!$I$6:$I$47,⑭手動工程入力!$S$6:$S$47,$J383,⑭手動工程入力!$I$6:$I$47,"&gt;0",⑭手動工程入力!$M$6:$M$47,"&gt;0"))</f>
        <v/>
      </c>
      <c r="N383" s="393">
        <f>IF($J383="",0,SUMIFS(②釜工程入力!$M$5:$M$117,②釜工程入力!$S$5:$S$117,$J383,②釜工程入力!$J$5:$J$117,"&gt;0")-SUMIFS(②釜工程入力!$M$5:$M$117,②釜工程入力!$S$5:$S$117,$J383,②釜工程入力!$J$5:$J$117,"&gt;0",②釜工程入力!$I$5:$I$117,"&gt;0")+SUMIFS(③スチコン工程入力!$M$5:$M$152,③スチコン工程入力!$S$5:$S$152,$J383,③スチコン工程入力!$J$5:$J$152,"&gt;0")-SUMIFS(③スチコン工程入力!$M$5:$M$152,③スチコン工程入力!$S$5:$S$152,$J383,③スチコン工程入力!$J$5:$J$152,"&gt;0",③スチコン工程入力!$I$5:$I$152,"&gt;0")+SUMIFS(⑪ZEN工程入力!$M$6:$M$35,⑪ZEN工程入力!$S$6:$S$35,$J383,⑪ZEN工程入力!$J$6:$J$35,"&gt;0")-SUMIFS(⑪ZEN工程入力!$M$6:$M$35,⑪ZEN工程入力!$S$6:$S$35,$J383,⑪ZEN工程入力!$J$6:$J$35,"&gt;0",⑪ZEN工程入力!$I$6:$I$35,"&gt;0")+SUMIFS(⑫ミキサー工程入力!$M$6:$M$65,⑫ミキサー工程入力!$S$6:$S$65,$J383,⑫ミキサー工程入力!$J$6:$J$65,"&gt;0")-SUMIFS(⑫ミキサー工程入力!$M$6:$M$65,⑫ミキサー工程入力!$S$6:$S$65,$J383,⑫ミキサー工程入力!$J$6:$J$65,"&gt;0",⑫ミキサー工程入力!$I$6:$I$65,"&gt;0")+SUMIFS(⑬計量工程入力!$M$6:$M$65,⑬計量工程入力!$S$6:$S$65,$J383,⑬計量工程入力!$J$6:$J$65,"&gt;0")-SUMIFS(⑬計量工程入力!$M$6:$M$65,⑬計量工程入力!$S$6:$S$65,$J383,⑬計量工程入力!$J$6:$J$65,"&gt;0",⑬計量工程入力!$I$6:$I$65,"&gt;0")+SUMIFS(⑭手動工程入力!$M$6:$M$47,⑭手動工程入力!$S$6:$S$47,$J383,⑭手動工程入力!$J$6:$J$47,"&gt;0")-SUMIFS(⑭手動工程入力!$M$6:$M$47,⑭手動工程入力!$S$6:$S$47,$J383,⑭手動工程入力!$J$6:$J$47,"&gt;0",⑭手動工程入力!$I$6:$I$47,"&gt;0"))</f>
        <v/>
      </c>
      <c r="O383" s="393">
        <f>IF($J383="",0,SUMIFS(②釜工程入力!$J$5:$J$117,②釜工程入力!$S$5:$S$117,$J383,②釜工程入力!$J$5:$J$117,"&gt;0",②釜工程入力!$M$5:$M$117,"&gt;0")-SUMIFS(②釜工程入力!$J$5:$J$117,②釜工程入力!$S$5:$S$117,$J383,②釜工程入力!$J$5:$J$117,"&gt;0",②釜工程入力!$I$5:$I$117,"&gt;0",②釜工程入力!$M$5:$M$117,"&gt;0")+SUMIFS(③スチコン工程入力!$J$5:$J$152,③スチコン工程入力!$S$5:$S$152,$J383,③スチコン工程入力!$J$5:$J$152,"&gt;0",③スチコン工程入力!$M$5:$M$152,"&gt;0")-SUMIFS(③スチコン工程入力!$J$5:$J$152,③スチコン工程入力!$S$5:$S$152,$J383,③スチコン工程入力!$J$5:$J$152,"&gt;0",③スチコン工程入力!$I$5:$I$152,"&gt;0",③スチコン工程入力!$M$5:$M$152,"&gt;0")+SUMIFS(⑪ZEN工程入力!$J$6:$J$35,⑪ZEN工程入力!$S$6:$S$35,$J383,⑪ZEN工程入力!$J$6:$J$35,"&gt;0",⑪ZEN工程入力!$M$6:$M$35,"&gt;0")-SUMIFS(⑪ZEN工程入力!$J$6:$J$35,⑪ZEN工程入力!$S$6:$S$35,$J383,⑪ZEN工程入力!$J$6:$J$35,"&gt;0",⑪ZEN工程入力!$I$6:$I$35,"&gt;0",⑪ZEN工程入力!$M$6:$M$35,"&gt;0")+SUMIFS(⑫ミキサー工程入力!$J$6:$J$65,⑫ミキサー工程入力!$S$6:$S$65,$J383,⑫ミキサー工程入力!$J$6:$J$65,"&gt;0",⑫ミキサー工程入力!$M$6:$M$65,"&gt;0")-SUMIFS(⑫ミキサー工程入力!$J$6:$J$65,⑫ミキサー工程入力!$S$6:$S$65,$J383,⑫ミキサー工程入力!$J$6:$J$65,"&gt;0",⑫ミキサー工程入力!$I$6:$I$65,"&gt;0",⑫ミキサー工程入力!$M$6:$M$65,"&gt;0")+SUMIFS(⑬計量工程入力!$J$6:$J$65,⑬計量工程入力!$S$6:$S$65,$J383,⑬計量工程入力!$J$6:$J$65,"&gt;0",⑬計量工程入力!$M$6:$M$65,"&gt;0")-SUMIFS(⑬計量工程入力!$J$6:$J$65,⑬計量工程入力!$S$6:$S$65,$J383,⑬計量工程入力!$J$6:$J$65,"&gt;0",⑬計量工程入力!$I$6:$I$65,"&gt;0",⑬計量工程入力!$M$6:$M$65,"&gt;0")+SUMIFS(⑭手動工程入力!$J$6:$J$47,⑭手動工程入力!$S$6:$S$47,$J383,⑭手動工程入力!$J$6:$J$47,"&gt;0",⑭手動工程入力!$M$6:$M$47,"&gt;0")-SUMIFS(⑭手動工程入力!$J$6:$J$47,⑭手動工程入力!$S$6:$S$47,$J383,⑭手動工程入力!$J$6:$J$47,"&gt;0",⑭手動工程入力!$I$6:$I$47,"&gt;0",⑭手動工程入力!$M$6:$M$47,"&gt;0"))</f>
        <v/>
      </c>
      <c r="P383" s="392" t="inlineStr">
        <is>
          <t>中間品リスト</t>
        </is>
      </c>
    </row>
    <row r="384">
      <c r="A384" s="392" t="n">
        <v>380</v>
      </c>
      <c r="B384" s="392" t="n"/>
      <c r="C384" s="392" t="n"/>
      <c r="D384" s="409" t="n"/>
      <c r="E384" s="392" t="n"/>
      <c r="F384" s="394" t="n"/>
      <c r="G384" s="392" t="n"/>
      <c r="H384" s="604">
        <f>IFERROR(IF(AND($K384&gt;0,ISNUMBER(IF(OR($D384="g",$D384="ｇ"),IF($M384&gt;0,$L384/$M384/1000,""),IF($D384="kg",IF($M384&gt;0,$L384/$M384,""),IF($D384="",IF($M384&gt;0,$L384/$M384/1000,IF($O384&gt;0,$N384/$O384,"")),IF($O384&gt;0,$N384/$O384,"")))))),IF(OR($D384="g",$D384="ｇ"),IF($M384&gt;0,$L384/$M384/1000,""),IF($D384="kg",IF($M384&gt;0,$L384/$M384,""),IF($D384="",IF($M384&gt;0,$L384/$M384/1000,IF($O384&gt;0,$N384/$O384,"")),IF($O384&gt;0,$N384/$O384,"")))),IF($F384="",IF(OR($E384="",$E384="⑩盛付梱包工程入力"),"",IF(OR($D384="g",$D384="ｇ"),INDEX(⑰工程労務費一覧!$N$5:$N$11,MATCH($E384,⑰工程労務費一覧!$K$5:$K$11,0))/1000,IF($D384="kg",INDEX(⑰工程労務費一覧!$N$5:$N$11,MATCH($E384,⑰工程労務費一覧!$K$5:$K$11,0)),IF(OR($D384="個",$D384="切",$D384="本",$D384="枚",$D384="尾"),IF($E384="⑬計量工程入力","",INDEX(⑰工程労務費一覧!$P$5:$P$11,MATCH($E384,⑰工程労務費一覧!$K$5:$K$11,0))),IF(AND($D384="",OR($E384="②釜工程入力",$E384="③スチコン工程入力")),INDEX(⑰工程労務費一覧!$N$5:$N$11,MATCH($E384,⑰工程労務費一覧!$K$5:$K$11,0))/1000,""))))),IF(OR($D384="g",$D384="ｇ"),INDEX(⑰工程労務費一覧!$H$5:$H$753,MATCH($F384,⑰工程労務費一覧!$D$5:$D$753,0))/1000,IF($D384="kg",INDEX(⑰工程労務費一覧!$H$5:$H$753,MATCH($F384,⑰工程労務費一覧!$D$5:$D$753,0)),INDEX(⑰工程労務費一覧!$I$5:$I$753,MATCH($F384,⑰工程労務費一覧!$D$5:$D$753,0)))))),"")</f>
        <v/>
      </c>
      <c r="I384" s="392">
        <f>IF($K384&gt;0,IF(ISNUMBER(IF(OR($D384="g",$D384="ｇ"),IF($M384&gt;0,$L384/$M384/1000,""),IF($D384="kg",IF($M384&gt;0,$L384/$M384,""),IF($D384="",IF($M384&gt;0,$L384/$M384/1000,IF($O384&gt;0,$N384/$O384,"")),IF($O384&gt;0,$N384/$O384,""))))),IF($D384="",IF($M384&gt;0,"◎ JAN紐づけ(g扱い)","◎ JAN紐づけ(個扱い)"),"◎ JAN紐づけ"),"△ JAN紐づけ済・実績不足→仮計算"),IF($F384="",IF(ISNUMBER($H384),IF($D384="","⑤ 工程平均で仮計算(g扱い)","⑤ 工程平均で仮計算"),IF($E384="⑩盛付梱包工程入力","⑥ 盛り込み(⑳F列で計上)",IF(AND($E384="⑬計量工程入力",OR($D384="個",$D384="切",$D384="本",$D384="枚",$D384="尾")),"① 未紐づけ(カット個単位は仮単価なし)","① 未紐づけ"))),IF(NOT(ISNUMBER($H384)),"② 工程側に単価なし",IF($D384="","③ 単位未設定(個で計算)","④ OK"))))</f>
        <v/>
      </c>
      <c r="J384" s="399">
        <f>IFERROR(LOOKUP(2,1/((中間品リスト!$F$2:$F$1299=$B384)*(中間品リスト!$E$2:$E$1299&lt;&gt;"-")*(中間品リスト!$E$2:$E$1299&lt;&gt;"")),中間品リスト!$E$2:$E$1299),"")</f>
        <v/>
      </c>
      <c r="K384" s="400">
        <f>IF($J384="",0,COUNTIF(②釜工程入力!$S$5:$S$117,$J384)+COUNTIF(③スチコン工程入力!$S$5:$S$152,$J384)+COUNTIF(⑪ZEN工程入力!$S$6:$S$35,$J384)+COUNTIF(⑫ミキサー工程入力!$S$6:$S$65,$J384)+COUNTIF(⑬計量工程入力!$S$6:$S$65,$J384)+COUNTIF(⑭手動工程入力!$S$6:$S$47,$J384))</f>
        <v/>
      </c>
      <c r="L384" s="393">
        <f>IF($J384="",0,SUMIFS(②釜工程入力!$M$5:$M$117,②釜工程入力!$S$5:$S$117,$J384,②釜工程入力!$I$5:$I$117,"&gt;0")+SUMIFS(③スチコン工程入力!$M$5:$M$152,③スチコン工程入力!$S$5:$S$152,$J384,③スチコン工程入力!$I$5:$I$152,"&gt;0")+SUMIFS(⑪ZEN工程入力!$M$6:$M$35,⑪ZEN工程入力!$S$6:$S$35,$J384,⑪ZEN工程入力!$I$6:$I$35,"&gt;0")+SUMIFS(⑫ミキサー工程入力!$M$6:$M$65,⑫ミキサー工程入力!$S$6:$S$65,$J384,⑫ミキサー工程入力!$I$6:$I$65,"&gt;0")+SUMIFS(⑬計量工程入力!$M$6:$M$65,⑬計量工程入力!$S$6:$S$65,$J384,⑬計量工程入力!$I$6:$I$65,"&gt;0")+SUMIFS(⑭手動工程入力!$M$6:$M$47,⑭手動工程入力!$S$6:$S$47,$J384,⑭手動工程入力!$I$6:$I$47,"&gt;0"))</f>
        <v/>
      </c>
      <c r="M384" s="393">
        <f>IF($J384="",0,SUMIFS(②釜工程入力!$I$5:$I$117,②釜工程入力!$S$5:$S$117,$J384,②釜工程入力!$I$5:$I$117,"&gt;0",②釜工程入力!$M$5:$M$117,"&gt;0")+SUMIFS(③スチコン工程入力!$I$5:$I$152,③スチコン工程入力!$S$5:$S$152,$J384,③スチコン工程入力!$I$5:$I$152,"&gt;0",③スチコン工程入力!$M$5:$M$152,"&gt;0")+SUMIFS(⑪ZEN工程入力!$I$6:$I$35,⑪ZEN工程入力!$S$6:$S$35,$J384,⑪ZEN工程入力!$I$6:$I$35,"&gt;0",⑪ZEN工程入力!$M$6:$M$35,"&gt;0")+SUMIFS(⑫ミキサー工程入力!$I$6:$I$65,⑫ミキサー工程入力!$S$6:$S$65,$J384,⑫ミキサー工程入力!$I$6:$I$65,"&gt;0",⑫ミキサー工程入力!$M$6:$M$65,"&gt;0")+SUMIFS(⑬計量工程入力!$I$6:$I$65,⑬計量工程入力!$S$6:$S$65,$J384,⑬計量工程入力!$I$6:$I$65,"&gt;0",⑬計量工程入力!$M$6:$M$65,"&gt;0")+SUMIFS(⑭手動工程入力!$I$6:$I$47,⑭手動工程入力!$S$6:$S$47,$J384,⑭手動工程入力!$I$6:$I$47,"&gt;0",⑭手動工程入力!$M$6:$M$47,"&gt;0"))</f>
        <v/>
      </c>
      <c r="N384" s="393">
        <f>IF($J384="",0,SUMIFS(②釜工程入力!$M$5:$M$117,②釜工程入力!$S$5:$S$117,$J384,②釜工程入力!$J$5:$J$117,"&gt;0")-SUMIFS(②釜工程入力!$M$5:$M$117,②釜工程入力!$S$5:$S$117,$J384,②釜工程入力!$J$5:$J$117,"&gt;0",②釜工程入力!$I$5:$I$117,"&gt;0")+SUMIFS(③スチコン工程入力!$M$5:$M$152,③スチコン工程入力!$S$5:$S$152,$J384,③スチコン工程入力!$J$5:$J$152,"&gt;0")-SUMIFS(③スチコン工程入力!$M$5:$M$152,③スチコン工程入力!$S$5:$S$152,$J384,③スチコン工程入力!$J$5:$J$152,"&gt;0",③スチコン工程入力!$I$5:$I$152,"&gt;0")+SUMIFS(⑪ZEN工程入力!$M$6:$M$35,⑪ZEN工程入力!$S$6:$S$35,$J384,⑪ZEN工程入力!$J$6:$J$35,"&gt;0")-SUMIFS(⑪ZEN工程入力!$M$6:$M$35,⑪ZEN工程入力!$S$6:$S$35,$J384,⑪ZEN工程入力!$J$6:$J$35,"&gt;0",⑪ZEN工程入力!$I$6:$I$35,"&gt;0")+SUMIFS(⑫ミキサー工程入力!$M$6:$M$65,⑫ミキサー工程入力!$S$6:$S$65,$J384,⑫ミキサー工程入力!$J$6:$J$65,"&gt;0")-SUMIFS(⑫ミキサー工程入力!$M$6:$M$65,⑫ミキサー工程入力!$S$6:$S$65,$J384,⑫ミキサー工程入力!$J$6:$J$65,"&gt;0",⑫ミキサー工程入力!$I$6:$I$65,"&gt;0")+SUMIFS(⑬計量工程入力!$M$6:$M$65,⑬計量工程入力!$S$6:$S$65,$J384,⑬計量工程入力!$J$6:$J$65,"&gt;0")-SUMIFS(⑬計量工程入力!$M$6:$M$65,⑬計量工程入力!$S$6:$S$65,$J384,⑬計量工程入力!$J$6:$J$65,"&gt;0",⑬計量工程入力!$I$6:$I$65,"&gt;0")+SUMIFS(⑭手動工程入力!$M$6:$M$47,⑭手動工程入力!$S$6:$S$47,$J384,⑭手動工程入力!$J$6:$J$47,"&gt;0")-SUMIFS(⑭手動工程入力!$M$6:$M$47,⑭手動工程入力!$S$6:$S$47,$J384,⑭手動工程入力!$J$6:$J$47,"&gt;0",⑭手動工程入力!$I$6:$I$47,"&gt;0"))</f>
        <v/>
      </c>
      <c r="O384" s="393">
        <f>IF($J384="",0,SUMIFS(②釜工程入力!$J$5:$J$117,②釜工程入力!$S$5:$S$117,$J384,②釜工程入力!$J$5:$J$117,"&gt;0",②釜工程入力!$M$5:$M$117,"&gt;0")-SUMIFS(②釜工程入力!$J$5:$J$117,②釜工程入力!$S$5:$S$117,$J384,②釜工程入力!$J$5:$J$117,"&gt;0",②釜工程入力!$I$5:$I$117,"&gt;0",②釜工程入力!$M$5:$M$117,"&gt;0")+SUMIFS(③スチコン工程入力!$J$5:$J$152,③スチコン工程入力!$S$5:$S$152,$J384,③スチコン工程入力!$J$5:$J$152,"&gt;0",③スチコン工程入力!$M$5:$M$152,"&gt;0")-SUMIFS(③スチコン工程入力!$J$5:$J$152,③スチコン工程入力!$S$5:$S$152,$J384,③スチコン工程入力!$J$5:$J$152,"&gt;0",③スチコン工程入力!$I$5:$I$152,"&gt;0",③スチコン工程入力!$M$5:$M$152,"&gt;0")+SUMIFS(⑪ZEN工程入力!$J$6:$J$35,⑪ZEN工程入力!$S$6:$S$35,$J384,⑪ZEN工程入力!$J$6:$J$35,"&gt;0",⑪ZEN工程入力!$M$6:$M$35,"&gt;0")-SUMIFS(⑪ZEN工程入力!$J$6:$J$35,⑪ZEN工程入力!$S$6:$S$35,$J384,⑪ZEN工程入力!$J$6:$J$35,"&gt;0",⑪ZEN工程入力!$I$6:$I$35,"&gt;0",⑪ZEN工程入力!$M$6:$M$35,"&gt;0")+SUMIFS(⑫ミキサー工程入力!$J$6:$J$65,⑫ミキサー工程入力!$S$6:$S$65,$J384,⑫ミキサー工程入力!$J$6:$J$65,"&gt;0",⑫ミキサー工程入力!$M$6:$M$65,"&gt;0")-SUMIFS(⑫ミキサー工程入力!$J$6:$J$65,⑫ミキサー工程入力!$S$6:$S$65,$J384,⑫ミキサー工程入力!$J$6:$J$65,"&gt;0",⑫ミキサー工程入力!$I$6:$I$65,"&gt;0",⑫ミキサー工程入力!$M$6:$M$65,"&gt;0")+SUMIFS(⑬計量工程入力!$J$6:$J$65,⑬計量工程入力!$S$6:$S$65,$J384,⑬計量工程入力!$J$6:$J$65,"&gt;0",⑬計量工程入力!$M$6:$M$65,"&gt;0")-SUMIFS(⑬計量工程入力!$J$6:$J$65,⑬計量工程入力!$S$6:$S$65,$J384,⑬計量工程入力!$J$6:$J$65,"&gt;0",⑬計量工程入力!$I$6:$I$65,"&gt;0",⑬計量工程入力!$M$6:$M$65,"&gt;0")+SUMIFS(⑭手動工程入力!$J$6:$J$47,⑭手動工程入力!$S$6:$S$47,$J384,⑭手動工程入力!$J$6:$J$47,"&gt;0",⑭手動工程入力!$M$6:$M$47,"&gt;0")-SUMIFS(⑭手動工程入力!$J$6:$J$47,⑭手動工程入力!$S$6:$S$47,$J384,⑭手動工程入力!$J$6:$J$47,"&gt;0",⑭手動工程入力!$I$6:$I$47,"&gt;0",⑭手動工程入力!$M$6:$M$47,"&gt;0"))</f>
        <v/>
      </c>
      <c r="P384" s="392" t="inlineStr">
        <is>
          <t>中間品リスト</t>
        </is>
      </c>
    </row>
    <row r="385">
      <c r="A385" s="392" t="n">
        <v>381</v>
      </c>
      <c r="B385" s="392" t="n"/>
      <c r="C385" s="392" t="n"/>
      <c r="D385" s="409" t="n"/>
      <c r="E385" s="392" t="n"/>
      <c r="F385" s="394" t="n"/>
      <c r="G385" s="392" t="n"/>
      <c r="H385" s="604">
        <f>IFERROR(IF(AND($K385&gt;0,ISNUMBER(IF(OR($D385="g",$D385="ｇ"),IF($M385&gt;0,$L385/$M385/1000,""),IF($D385="kg",IF($M385&gt;0,$L385/$M385,""),IF($D385="",IF($M385&gt;0,$L385/$M385/1000,IF($O385&gt;0,$N385/$O385,"")),IF($O385&gt;0,$N385/$O385,"")))))),IF(OR($D385="g",$D385="ｇ"),IF($M385&gt;0,$L385/$M385/1000,""),IF($D385="kg",IF($M385&gt;0,$L385/$M385,""),IF($D385="",IF($M385&gt;0,$L385/$M385/1000,IF($O385&gt;0,$N385/$O385,"")),IF($O385&gt;0,$N385/$O385,"")))),IF($F385="",IF(OR($E385="",$E385="⑩盛付梱包工程入力"),"",IF(OR($D385="g",$D385="ｇ"),INDEX(⑰工程労務費一覧!$N$5:$N$11,MATCH($E385,⑰工程労務費一覧!$K$5:$K$11,0))/1000,IF($D385="kg",INDEX(⑰工程労務費一覧!$N$5:$N$11,MATCH($E385,⑰工程労務費一覧!$K$5:$K$11,0)),IF(OR($D385="個",$D385="切",$D385="本",$D385="枚",$D385="尾"),IF($E385="⑬計量工程入力","",INDEX(⑰工程労務費一覧!$P$5:$P$11,MATCH($E385,⑰工程労務費一覧!$K$5:$K$11,0))),IF(AND($D385="",OR($E385="②釜工程入力",$E385="③スチコン工程入力")),INDEX(⑰工程労務費一覧!$N$5:$N$11,MATCH($E385,⑰工程労務費一覧!$K$5:$K$11,0))/1000,""))))),IF(OR($D385="g",$D385="ｇ"),INDEX(⑰工程労務費一覧!$H$5:$H$753,MATCH($F385,⑰工程労務費一覧!$D$5:$D$753,0))/1000,IF($D385="kg",INDEX(⑰工程労務費一覧!$H$5:$H$753,MATCH($F385,⑰工程労務費一覧!$D$5:$D$753,0)),INDEX(⑰工程労務費一覧!$I$5:$I$753,MATCH($F385,⑰工程労務費一覧!$D$5:$D$753,0)))))),"")</f>
        <v/>
      </c>
      <c r="I385" s="392">
        <f>IF($K385&gt;0,IF(ISNUMBER(IF(OR($D385="g",$D385="ｇ"),IF($M385&gt;0,$L385/$M385/1000,""),IF($D385="kg",IF($M385&gt;0,$L385/$M385,""),IF($D385="",IF($M385&gt;0,$L385/$M385/1000,IF($O385&gt;0,$N385/$O385,"")),IF($O385&gt;0,$N385/$O385,""))))),IF($D385="",IF($M385&gt;0,"◎ JAN紐づけ(g扱い)","◎ JAN紐づけ(個扱い)"),"◎ JAN紐づけ"),"△ JAN紐づけ済・実績不足→仮計算"),IF($F385="",IF(ISNUMBER($H385),IF($D385="","⑤ 工程平均で仮計算(g扱い)","⑤ 工程平均で仮計算"),IF($E385="⑩盛付梱包工程入力","⑥ 盛り込み(⑳F列で計上)",IF(AND($E385="⑬計量工程入力",OR($D385="個",$D385="切",$D385="本",$D385="枚",$D385="尾")),"① 未紐づけ(カット個単位は仮単価なし)","① 未紐づけ"))),IF(NOT(ISNUMBER($H385)),"② 工程側に単価なし",IF($D385="","③ 単位未設定(個で計算)","④ OK"))))</f>
        <v/>
      </c>
      <c r="J385" s="399">
        <f>IFERROR(LOOKUP(2,1/((中間品リスト!$F$2:$F$1299=$B385)*(中間品リスト!$E$2:$E$1299&lt;&gt;"-")*(中間品リスト!$E$2:$E$1299&lt;&gt;"")),中間品リスト!$E$2:$E$1299),"")</f>
        <v/>
      </c>
      <c r="K385" s="400">
        <f>IF($J385="",0,COUNTIF(②釜工程入力!$S$5:$S$117,$J385)+COUNTIF(③スチコン工程入力!$S$5:$S$152,$J385)+COUNTIF(⑪ZEN工程入力!$S$6:$S$35,$J385)+COUNTIF(⑫ミキサー工程入力!$S$6:$S$65,$J385)+COUNTIF(⑬計量工程入力!$S$6:$S$65,$J385)+COUNTIF(⑭手動工程入力!$S$6:$S$47,$J385))</f>
        <v/>
      </c>
      <c r="L385" s="393">
        <f>IF($J385="",0,SUMIFS(②釜工程入力!$M$5:$M$117,②釜工程入力!$S$5:$S$117,$J385,②釜工程入力!$I$5:$I$117,"&gt;0")+SUMIFS(③スチコン工程入力!$M$5:$M$152,③スチコン工程入力!$S$5:$S$152,$J385,③スチコン工程入力!$I$5:$I$152,"&gt;0")+SUMIFS(⑪ZEN工程入力!$M$6:$M$35,⑪ZEN工程入力!$S$6:$S$35,$J385,⑪ZEN工程入力!$I$6:$I$35,"&gt;0")+SUMIFS(⑫ミキサー工程入力!$M$6:$M$65,⑫ミキサー工程入力!$S$6:$S$65,$J385,⑫ミキサー工程入力!$I$6:$I$65,"&gt;0")+SUMIFS(⑬計量工程入力!$M$6:$M$65,⑬計量工程入力!$S$6:$S$65,$J385,⑬計量工程入力!$I$6:$I$65,"&gt;0")+SUMIFS(⑭手動工程入力!$M$6:$M$47,⑭手動工程入力!$S$6:$S$47,$J385,⑭手動工程入力!$I$6:$I$47,"&gt;0"))</f>
        <v/>
      </c>
      <c r="M385" s="393">
        <f>IF($J385="",0,SUMIFS(②釜工程入力!$I$5:$I$117,②釜工程入力!$S$5:$S$117,$J385,②釜工程入力!$I$5:$I$117,"&gt;0",②釜工程入力!$M$5:$M$117,"&gt;0")+SUMIFS(③スチコン工程入力!$I$5:$I$152,③スチコン工程入力!$S$5:$S$152,$J385,③スチコン工程入力!$I$5:$I$152,"&gt;0",③スチコン工程入力!$M$5:$M$152,"&gt;0")+SUMIFS(⑪ZEN工程入力!$I$6:$I$35,⑪ZEN工程入力!$S$6:$S$35,$J385,⑪ZEN工程入力!$I$6:$I$35,"&gt;0",⑪ZEN工程入力!$M$6:$M$35,"&gt;0")+SUMIFS(⑫ミキサー工程入力!$I$6:$I$65,⑫ミキサー工程入力!$S$6:$S$65,$J385,⑫ミキサー工程入力!$I$6:$I$65,"&gt;0",⑫ミキサー工程入力!$M$6:$M$65,"&gt;0")+SUMIFS(⑬計量工程入力!$I$6:$I$65,⑬計量工程入力!$S$6:$S$65,$J385,⑬計量工程入力!$I$6:$I$65,"&gt;0",⑬計量工程入力!$M$6:$M$65,"&gt;0")+SUMIFS(⑭手動工程入力!$I$6:$I$47,⑭手動工程入力!$S$6:$S$47,$J385,⑭手動工程入力!$I$6:$I$47,"&gt;0",⑭手動工程入力!$M$6:$M$47,"&gt;0"))</f>
        <v/>
      </c>
      <c r="N385" s="393">
        <f>IF($J385="",0,SUMIFS(②釜工程入力!$M$5:$M$117,②釜工程入力!$S$5:$S$117,$J385,②釜工程入力!$J$5:$J$117,"&gt;0")-SUMIFS(②釜工程入力!$M$5:$M$117,②釜工程入力!$S$5:$S$117,$J385,②釜工程入力!$J$5:$J$117,"&gt;0",②釜工程入力!$I$5:$I$117,"&gt;0")+SUMIFS(③スチコン工程入力!$M$5:$M$152,③スチコン工程入力!$S$5:$S$152,$J385,③スチコン工程入力!$J$5:$J$152,"&gt;0")-SUMIFS(③スチコン工程入力!$M$5:$M$152,③スチコン工程入力!$S$5:$S$152,$J385,③スチコン工程入力!$J$5:$J$152,"&gt;0",③スチコン工程入力!$I$5:$I$152,"&gt;0")+SUMIFS(⑪ZEN工程入力!$M$6:$M$35,⑪ZEN工程入力!$S$6:$S$35,$J385,⑪ZEN工程入力!$J$6:$J$35,"&gt;0")-SUMIFS(⑪ZEN工程入力!$M$6:$M$35,⑪ZEN工程入力!$S$6:$S$35,$J385,⑪ZEN工程入力!$J$6:$J$35,"&gt;0",⑪ZEN工程入力!$I$6:$I$35,"&gt;0")+SUMIFS(⑫ミキサー工程入力!$M$6:$M$65,⑫ミキサー工程入力!$S$6:$S$65,$J385,⑫ミキサー工程入力!$J$6:$J$65,"&gt;0")-SUMIFS(⑫ミキサー工程入力!$M$6:$M$65,⑫ミキサー工程入力!$S$6:$S$65,$J385,⑫ミキサー工程入力!$J$6:$J$65,"&gt;0",⑫ミキサー工程入力!$I$6:$I$65,"&gt;0")+SUMIFS(⑬計量工程入力!$M$6:$M$65,⑬計量工程入力!$S$6:$S$65,$J385,⑬計量工程入力!$J$6:$J$65,"&gt;0")-SUMIFS(⑬計量工程入力!$M$6:$M$65,⑬計量工程入力!$S$6:$S$65,$J385,⑬計量工程入力!$J$6:$J$65,"&gt;0",⑬計量工程入力!$I$6:$I$65,"&gt;0")+SUMIFS(⑭手動工程入力!$M$6:$M$47,⑭手動工程入力!$S$6:$S$47,$J385,⑭手動工程入力!$J$6:$J$47,"&gt;0")-SUMIFS(⑭手動工程入力!$M$6:$M$47,⑭手動工程入力!$S$6:$S$47,$J385,⑭手動工程入力!$J$6:$J$47,"&gt;0",⑭手動工程入力!$I$6:$I$47,"&gt;0"))</f>
        <v/>
      </c>
      <c r="O385" s="393">
        <f>IF($J385="",0,SUMIFS(②釜工程入力!$J$5:$J$117,②釜工程入力!$S$5:$S$117,$J385,②釜工程入力!$J$5:$J$117,"&gt;0",②釜工程入力!$M$5:$M$117,"&gt;0")-SUMIFS(②釜工程入力!$J$5:$J$117,②釜工程入力!$S$5:$S$117,$J385,②釜工程入力!$J$5:$J$117,"&gt;0",②釜工程入力!$I$5:$I$117,"&gt;0",②釜工程入力!$M$5:$M$117,"&gt;0")+SUMIFS(③スチコン工程入力!$J$5:$J$152,③スチコン工程入力!$S$5:$S$152,$J385,③スチコン工程入力!$J$5:$J$152,"&gt;0",③スチコン工程入力!$M$5:$M$152,"&gt;0")-SUMIFS(③スチコン工程入力!$J$5:$J$152,③スチコン工程入力!$S$5:$S$152,$J385,③スチコン工程入力!$J$5:$J$152,"&gt;0",③スチコン工程入力!$I$5:$I$152,"&gt;0",③スチコン工程入力!$M$5:$M$152,"&gt;0")+SUMIFS(⑪ZEN工程入力!$J$6:$J$35,⑪ZEN工程入力!$S$6:$S$35,$J385,⑪ZEN工程入力!$J$6:$J$35,"&gt;0",⑪ZEN工程入力!$M$6:$M$35,"&gt;0")-SUMIFS(⑪ZEN工程入力!$J$6:$J$35,⑪ZEN工程入力!$S$6:$S$35,$J385,⑪ZEN工程入力!$J$6:$J$35,"&gt;0",⑪ZEN工程入力!$I$6:$I$35,"&gt;0",⑪ZEN工程入力!$M$6:$M$35,"&gt;0")+SUMIFS(⑫ミキサー工程入力!$J$6:$J$65,⑫ミキサー工程入力!$S$6:$S$65,$J385,⑫ミキサー工程入力!$J$6:$J$65,"&gt;0",⑫ミキサー工程入力!$M$6:$M$65,"&gt;0")-SUMIFS(⑫ミキサー工程入力!$J$6:$J$65,⑫ミキサー工程入力!$S$6:$S$65,$J385,⑫ミキサー工程入力!$J$6:$J$65,"&gt;0",⑫ミキサー工程入力!$I$6:$I$65,"&gt;0",⑫ミキサー工程入力!$M$6:$M$65,"&gt;0")+SUMIFS(⑬計量工程入力!$J$6:$J$65,⑬計量工程入力!$S$6:$S$65,$J385,⑬計量工程入力!$J$6:$J$65,"&gt;0",⑬計量工程入力!$M$6:$M$65,"&gt;0")-SUMIFS(⑬計量工程入力!$J$6:$J$65,⑬計量工程入力!$S$6:$S$65,$J385,⑬計量工程入力!$J$6:$J$65,"&gt;0",⑬計量工程入力!$I$6:$I$65,"&gt;0",⑬計量工程入力!$M$6:$M$65,"&gt;0")+SUMIFS(⑭手動工程入力!$J$6:$J$47,⑭手動工程入力!$S$6:$S$47,$J385,⑭手動工程入力!$J$6:$J$47,"&gt;0",⑭手動工程入力!$M$6:$M$47,"&gt;0")-SUMIFS(⑭手動工程入力!$J$6:$J$47,⑭手動工程入力!$S$6:$S$47,$J385,⑭手動工程入力!$J$6:$J$47,"&gt;0",⑭手動工程入力!$I$6:$I$47,"&gt;0",⑭手動工程入力!$M$6:$M$47,"&gt;0"))</f>
        <v/>
      </c>
      <c r="P385" s="392" t="inlineStr">
        <is>
          <t>中間品リスト</t>
        </is>
      </c>
    </row>
    <row r="386">
      <c r="A386" s="392" t="n">
        <v>382</v>
      </c>
      <c r="B386" s="392" t="n"/>
      <c r="C386" s="392" t="n"/>
      <c r="D386" s="409" t="n"/>
      <c r="E386" s="392" t="n"/>
      <c r="F386" s="394" t="n"/>
      <c r="G386" s="392" t="n"/>
      <c r="H386" s="604">
        <f>IFERROR(IF(AND($K386&gt;0,ISNUMBER(IF(OR($D386="g",$D386="ｇ"),IF($M386&gt;0,$L386/$M386/1000,""),IF($D386="kg",IF($M386&gt;0,$L386/$M386,""),IF($D386="",IF($M386&gt;0,$L386/$M386/1000,IF($O386&gt;0,$N386/$O386,"")),IF($O386&gt;0,$N386/$O386,"")))))),IF(OR($D386="g",$D386="ｇ"),IF($M386&gt;0,$L386/$M386/1000,""),IF($D386="kg",IF($M386&gt;0,$L386/$M386,""),IF($D386="",IF($M386&gt;0,$L386/$M386/1000,IF($O386&gt;0,$N386/$O386,"")),IF($O386&gt;0,$N386/$O386,"")))),IF($F386="",IF(OR($E386="",$E386="⑩盛付梱包工程入力"),"",IF(OR($D386="g",$D386="ｇ"),INDEX(⑰工程労務費一覧!$N$5:$N$11,MATCH($E386,⑰工程労務費一覧!$K$5:$K$11,0))/1000,IF($D386="kg",INDEX(⑰工程労務費一覧!$N$5:$N$11,MATCH($E386,⑰工程労務費一覧!$K$5:$K$11,0)),IF(OR($D386="個",$D386="切",$D386="本",$D386="枚",$D386="尾"),IF($E386="⑬計量工程入力","",INDEX(⑰工程労務費一覧!$P$5:$P$11,MATCH($E386,⑰工程労務費一覧!$K$5:$K$11,0))),IF(AND($D386="",OR($E386="②釜工程入力",$E386="③スチコン工程入力")),INDEX(⑰工程労務費一覧!$N$5:$N$11,MATCH($E386,⑰工程労務費一覧!$K$5:$K$11,0))/1000,""))))),IF(OR($D386="g",$D386="ｇ"),INDEX(⑰工程労務費一覧!$H$5:$H$753,MATCH($F386,⑰工程労務費一覧!$D$5:$D$753,0))/1000,IF($D386="kg",INDEX(⑰工程労務費一覧!$H$5:$H$753,MATCH($F386,⑰工程労務費一覧!$D$5:$D$753,0)),INDEX(⑰工程労務費一覧!$I$5:$I$753,MATCH($F386,⑰工程労務費一覧!$D$5:$D$753,0)))))),"")</f>
        <v/>
      </c>
      <c r="I386" s="392">
        <f>IF($K386&gt;0,IF(ISNUMBER(IF(OR($D386="g",$D386="ｇ"),IF($M386&gt;0,$L386/$M386/1000,""),IF($D386="kg",IF($M386&gt;0,$L386/$M386,""),IF($D386="",IF($M386&gt;0,$L386/$M386/1000,IF($O386&gt;0,$N386/$O386,"")),IF($O386&gt;0,$N386/$O386,""))))),IF($D386="",IF($M386&gt;0,"◎ JAN紐づけ(g扱い)","◎ JAN紐づけ(個扱い)"),"◎ JAN紐づけ"),"△ JAN紐づけ済・実績不足→仮計算"),IF($F386="",IF(ISNUMBER($H386),IF($D386="","⑤ 工程平均で仮計算(g扱い)","⑤ 工程平均で仮計算"),IF($E386="⑩盛付梱包工程入力","⑥ 盛り込み(⑳F列で計上)",IF(AND($E386="⑬計量工程入力",OR($D386="個",$D386="切",$D386="本",$D386="枚",$D386="尾")),"① 未紐づけ(カット個単位は仮単価なし)","① 未紐づけ"))),IF(NOT(ISNUMBER($H386)),"② 工程側に単価なし",IF($D386="","③ 単位未設定(個で計算)","④ OK"))))</f>
        <v/>
      </c>
      <c r="J386" s="399">
        <f>IFERROR(LOOKUP(2,1/((中間品リスト!$F$2:$F$1299=$B386)*(中間品リスト!$E$2:$E$1299&lt;&gt;"-")*(中間品リスト!$E$2:$E$1299&lt;&gt;"")),中間品リスト!$E$2:$E$1299),"")</f>
        <v/>
      </c>
      <c r="K386" s="400">
        <f>IF($J386="",0,COUNTIF(②釜工程入力!$S$5:$S$117,$J386)+COUNTIF(③スチコン工程入力!$S$5:$S$152,$J386)+COUNTIF(⑪ZEN工程入力!$S$6:$S$35,$J386)+COUNTIF(⑫ミキサー工程入力!$S$6:$S$65,$J386)+COUNTIF(⑬計量工程入力!$S$6:$S$65,$J386)+COUNTIF(⑭手動工程入力!$S$6:$S$47,$J386))</f>
        <v/>
      </c>
      <c r="L386" s="393">
        <f>IF($J386="",0,SUMIFS(②釜工程入力!$M$5:$M$117,②釜工程入力!$S$5:$S$117,$J386,②釜工程入力!$I$5:$I$117,"&gt;0")+SUMIFS(③スチコン工程入力!$M$5:$M$152,③スチコン工程入力!$S$5:$S$152,$J386,③スチコン工程入力!$I$5:$I$152,"&gt;0")+SUMIFS(⑪ZEN工程入力!$M$6:$M$35,⑪ZEN工程入力!$S$6:$S$35,$J386,⑪ZEN工程入力!$I$6:$I$35,"&gt;0")+SUMIFS(⑫ミキサー工程入力!$M$6:$M$65,⑫ミキサー工程入力!$S$6:$S$65,$J386,⑫ミキサー工程入力!$I$6:$I$65,"&gt;0")+SUMIFS(⑬計量工程入力!$M$6:$M$65,⑬計量工程入力!$S$6:$S$65,$J386,⑬計量工程入力!$I$6:$I$65,"&gt;0")+SUMIFS(⑭手動工程入力!$M$6:$M$47,⑭手動工程入力!$S$6:$S$47,$J386,⑭手動工程入力!$I$6:$I$47,"&gt;0"))</f>
        <v/>
      </c>
      <c r="M386" s="393">
        <f>IF($J386="",0,SUMIFS(②釜工程入力!$I$5:$I$117,②釜工程入力!$S$5:$S$117,$J386,②釜工程入力!$I$5:$I$117,"&gt;0",②釜工程入力!$M$5:$M$117,"&gt;0")+SUMIFS(③スチコン工程入力!$I$5:$I$152,③スチコン工程入力!$S$5:$S$152,$J386,③スチコン工程入力!$I$5:$I$152,"&gt;0",③スチコン工程入力!$M$5:$M$152,"&gt;0")+SUMIFS(⑪ZEN工程入力!$I$6:$I$35,⑪ZEN工程入力!$S$6:$S$35,$J386,⑪ZEN工程入力!$I$6:$I$35,"&gt;0",⑪ZEN工程入力!$M$6:$M$35,"&gt;0")+SUMIFS(⑫ミキサー工程入力!$I$6:$I$65,⑫ミキサー工程入力!$S$6:$S$65,$J386,⑫ミキサー工程入力!$I$6:$I$65,"&gt;0",⑫ミキサー工程入力!$M$6:$M$65,"&gt;0")+SUMIFS(⑬計量工程入力!$I$6:$I$65,⑬計量工程入力!$S$6:$S$65,$J386,⑬計量工程入力!$I$6:$I$65,"&gt;0",⑬計量工程入力!$M$6:$M$65,"&gt;0")+SUMIFS(⑭手動工程入力!$I$6:$I$47,⑭手動工程入力!$S$6:$S$47,$J386,⑭手動工程入力!$I$6:$I$47,"&gt;0",⑭手動工程入力!$M$6:$M$47,"&gt;0"))</f>
        <v/>
      </c>
      <c r="N386" s="393">
        <f>IF($J386="",0,SUMIFS(②釜工程入力!$M$5:$M$117,②釜工程入力!$S$5:$S$117,$J386,②釜工程入力!$J$5:$J$117,"&gt;0")-SUMIFS(②釜工程入力!$M$5:$M$117,②釜工程入力!$S$5:$S$117,$J386,②釜工程入力!$J$5:$J$117,"&gt;0",②釜工程入力!$I$5:$I$117,"&gt;0")+SUMIFS(③スチコン工程入力!$M$5:$M$152,③スチコン工程入力!$S$5:$S$152,$J386,③スチコン工程入力!$J$5:$J$152,"&gt;0")-SUMIFS(③スチコン工程入力!$M$5:$M$152,③スチコン工程入力!$S$5:$S$152,$J386,③スチコン工程入力!$J$5:$J$152,"&gt;0",③スチコン工程入力!$I$5:$I$152,"&gt;0")+SUMIFS(⑪ZEN工程入力!$M$6:$M$35,⑪ZEN工程入力!$S$6:$S$35,$J386,⑪ZEN工程入力!$J$6:$J$35,"&gt;0")-SUMIFS(⑪ZEN工程入力!$M$6:$M$35,⑪ZEN工程入力!$S$6:$S$35,$J386,⑪ZEN工程入力!$J$6:$J$35,"&gt;0",⑪ZEN工程入力!$I$6:$I$35,"&gt;0")+SUMIFS(⑫ミキサー工程入力!$M$6:$M$65,⑫ミキサー工程入力!$S$6:$S$65,$J386,⑫ミキサー工程入力!$J$6:$J$65,"&gt;0")-SUMIFS(⑫ミキサー工程入力!$M$6:$M$65,⑫ミキサー工程入力!$S$6:$S$65,$J386,⑫ミキサー工程入力!$J$6:$J$65,"&gt;0",⑫ミキサー工程入力!$I$6:$I$65,"&gt;0")+SUMIFS(⑬計量工程入力!$M$6:$M$65,⑬計量工程入力!$S$6:$S$65,$J386,⑬計量工程入力!$J$6:$J$65,"&gt;0")-SUMIFS(⑬計量工程入力!$M$6:$M$65,⑬計量工程入力!$S$6:$S$65,$J386,⑬計量工程入力!$J$6:$J$65,"&gt;0",⑬計量工程入力!$I$6:$I$65,"&gt;0")+SUMIFS(⑭手動工程入力!$M$6:$M$47,⑭手動工程入力!$S$6:$S$47,$J386,⑭手動工程入力!$J$6:$J$47,"&gt;0")-SUMIFS(⑭手動工程入力!$M$6:$M$47,⑭手動工程入力!$S$6:$S$47,$J386,⑭手動工程入力!$J$6:$J$47,"&gt;0",⑭手動工程入力!$I$6:$I$47,"&gt;0"))</f>
        <v/>
      </c>
      <c r="O386" s="393">
        <f>IF($J386="",0,SUMIFS(②釜工程入力!$J$5:$J$117,②釜工程入力!$S$5:$S$117,$J386,②釜工程入力!$J$5:$J$117,"&gt;0",②釜工程入力!$M$5:$M$117,"&gt;0")-SUMIFS(②釜工程入力!$J$5:$J$117,②釜工程入力!$S$5:$S$117,$J386,②釜工程入力!$J$5:$J$117,"&gt;0",②釜工程入力!$I$5:$I$117,"&gt;0",②釜工程入力!$M$5:$M$117,"&gt;0")+SUMIFS(③スチコン工程入力!$J$5:$J$152,③スチコン工程入力!$S$5:$S$152,$J386,③スチコン工程入力!$J$5:$J$152,"&gt;0",③スチコン工程入力!$M$5:$M$152,"&gt;0")-SUMIFS(③スチコン工程入力!$J$5:$J$152,③スチコン工程入力!$S$5:$S$152,$J386,③スチコン工程入力!$J$5:$J$152,"&gt;0",③スチコン工程入力!$I$5:$I$152,"&gt;0",③スチコン工程入力!$M$5:$M$152,"&gt;0")+SUMIFS(⑪ZEN工程入力!$J$6:$J$35,⑪ZEN工程入力!$S$6:$S$35,$J386,⑪ZEN工程入力!$J$6:$J$35,"&gt;0",⑪ZEN工程入力!$M$6:$M$35,"&gt;0")-SUMIFS(⑪ZEN工程入力!$J$6:$J$35,⑪ZEN工程入力!$S$6:$S$35,$J386,⑪ZEN工程入力!$J$6:$J$35,"&gt;0",⑪ZEN工程入力!$I$6:$I$35,"&gt;0",⑪ZEN工程入力!$M$6:$M$35,"&gt;0")+SUMIFS(⑫ミキサー工程入力!$J$6:$J$65,⑫ミキサー工程入力!$S$6:$S$65,$J386,⑫ミキサー工程入力!$J$6:$J$65,"&gt;0",⑫ミキサー工程入力!$M$6:$M$65,"&gt;0")-SUMIFS(⑫ミキサー工程入力!$J$6:$J$65,⑫ミキサー工程入力!$S$6:$S$65,$J386,⑫ミキサー工程入力!$J$6:$J$65,"&gt;0",⑫ミキサー工程入力!$I$6:$I$65,"&gt;0",⑫ミキサー工程入力!$M$6:$M$65,"&gt;0")+SUMIFS(⑬計量工程入力!$J$6:$J$65,⑬計量工程入力!$S$6:$S$65,$J386,⑬計量工程入力!$J$6:$J$65,"&gt;0",⑬計量工程入力!$M$6:$M$65,"&gt;0")-SUMIFS(⑬計量工程入力!$J$6:$J$65,⑬計量工程入力!$S$6:$S$65,$J386,⑬計量工程入力!$J$6:$J$65,"&gt;0",⑬計量工程入力!$I$6:$I$65,"&gt;0",⑬計量工程入力!$M$6:$M$65,"&gt;0")+SUMIFS(⑭手動工程入力!$J$6:$J$47,⑭手動工程入力!$S$6:$S$47,$J386,⑭手動工程入力!$J$6:$J$47,"&gt;0",⑭手動工程入力!$M$6:$M$47,"&gt;0")-SUMIFS(⑭手動工程入力!$J$6:$J$47,⑭手動工程入力!$S$6:$S$47,$J386,⑭手動工程入力!$J$6:$J$47,"&gt;0",⑭手動工程入力!$I$6:$I$47,"&gt;0",⑭手動工程入力!$M$6:$M$47,"&gt;0"))</f>
        <v/>
      </c>
      <c r="P386" s="392" t="inlineStr">
        <is>
          <t>中間品リスト</t>
        </is>
      </c>
    </row>
    <row r="387">
      <c r="A387" s="392" t="n">
        <v>383</v>
      </c>
      <c r="B387" s="392" t="n"/>
      <c r="C387" s="392" t="n"/>
      <c r="D387" s="409" t="n"/>
      <c r="E387" s="392" t="n"/>
      <c r="F387" s="394" t="n"/>
      <c r="G387" s="392" t="n"/>
      <c r="H387" s="604">
        <f>IFERROR(IF(AND($K387&gt;0,ISNUMBER(IF(OR($D387="g",$D387="ｇ"),IF($M387&gt;0,$L387/$M387/1000,""),IF($D387="kg",IF($M387&gt;0,$L387/$M387,""),IF($D387="",IF($M387&gt;0,$L387/$M387/1000,IF($O387&gt;0,$N387/$O387,"")),IF($O387&gt;0,$N387/$O387,"")))))),IF(OR($D387="g",$D387="ｇ"),IF($M387&gt;0,$L387/$M387/1000,""),IF($D387="kg",IF($M387&gt;0,$L387/$M387,""),IF($D387="",IF($M387&gt;0,$L387/$M387/1000,IF($O387&gt;0,$N387/$O387,"")),IF($O387&gt;0,$N387/$O387,"")))),IF($F387="",IF(OR($E387="",$E387="⑩盛付梱包工程入力"),"",IF(OR($D387="g",$D387="ｇ"),INDEX(⑰工程労務費一覧!$N$5:$N$11,MATCH($E387,⑰工程労務費一覧!$K$5:$K$11,0))/1000,IF($D387="kg",INDEX(⑰工程労務費一覧!$N$5:$N$11,MATCH($E387,⑰工程労務費一覧!$K$5:$K$11,0)),IF(OR($D387="個",$D387="切",$D387="本",$D387="枚",$D387="尾"),IF($E387="⑬計量工程入力","",INDEX(⑰工程労務費一覧!$P$5:$P$11,MATCH($E387,⑰工程労務費一覧!$K$5:$K$11,0))),IF(AND($D387="",OR($E387="②釜工程入力",$E387="③スチコン工程入力")),INDEX(⑰工程労務費一覧!$N$5:$N$11,MATCH($E387,⑰工程労務費一覧!$K$5:$K$11,0))/1000,""))))),IF(OR($D387="g",$D387="ｇ"),INDEX(⑰工程労務費一覧!$H$5:$H$753,MATCH($F387,⑰工程労務費一覧!$D$5:$D$753,0))/1000,IF($D387="kg",INDEX(⑰工程労務費一覧!$H$5:$H$753,MATCH($F387,⑰工程労務費一覧!$D$5:$D$753,0)),INDEX(⑰工程労務費一覧!$I$5:$I$753,MATCH($F387,⑰工程労務費一覧!$D$5:$D$753,0)))))),"")</f>
        <v/>
      </c>
      <c r="I387" s="392">
        <f>IF($K387&gt;0,IF(ISNUMBER(IF(OR($D387="g",$D387="ｇ"),IF($M387&gt;0,$L387/$M387/1000,""),IF($D387="kg",IF($M387&gt;0,$L387/$M387,""),IF($D387="",IF($M387&gt;0,$L387/$M387/1000,IF($O387&gt;0,$N387/$O387,"")),IF($O387&gt;0,$N387/$O387,""))))),IF($D387="",IF($M387&gt;0,"◎ JAN紐づけ(g扱い)","◎ JAN紐づけ(個扱い)"),"◎ JAN紐づけ"),"△ JAN紐づけ済・実績不足→仮計算"),IF($F387="",IF(ISNUMBER($H387),IF($D387="","⑤ 工程平均で仮計算(g扱い)","⑤ 工程平均で仮計算"),IF($E387="⑩盛付梱包工程入力","⑥ 盛り込み(⑳F列で計上)",IF(AND($E387="⑬計量工程入力",OR($D387="個",$D387="切",$D387="本",$D387="枚",$D387="尾")),"① 未紐づけ(カット個単位は仮単価なし)","① 未紐づけ"))),IF(NOT(ISNUMBER($H387)),"② 工程側に単価なし",IF($D387="","③ 単位未設定(個で計算)","④ OK"))))</f>
        <v/>
      </c>
      <c r="J387" s="399">
        <f>IFERROR(LOOKUP(2,1/((中間品リスト!$F$2:$F$1299=$B387)*(中間品リスト!$E$2:$E$1299&lt;&gt;"-")*(中間品リスト!$E$2:$E$1299&lt;&gt;"")),中間品リスト!$E$2:$E$1299),"")</f>
        <v/>
      </c>
      <c r="K387" s="400">
        <f>IF($J387="",0,COUNTIF(②釜工程入力!$S$5:$S$117,$J387)+COUNTIF(③スチコン工程入力!$S$5:$S$152,$J387)+COUNTIF(⑪ZEN工程入力!$S$6:$S$35,$J387)+COUNTIF(⑫ミキサー工程入力!$S$6:$S$65,$J387)+COUNTIF(⑬計量工程入力!$S$6:$S$65,$J387)+COUNTIF(⑭手動工程入力!$S$6:$S$47,$J387))</f>
        <v/>
      </c>
      <c r="L387" s="393">
        <f>IF($J387="",0,SUMIFS(②釜工程入力!$M$5:$M$117,②釜工程入力!$S$5:$S$117,$J387,②釜工程入力!$I$5:$I$117,"&gt;0")+SUMIFS(③スチコン工程入力!$M$5:$M$152,③スチコン工程入力!$S$5:$S$152,$J387,③スチコン工程入力!$I$5:$I$152,"&gt;0")+SUMIFS(⑪ZEN工程入力!$M$6:$M$35,⑪ZEN工程入力!$S$6:$S$35,$J387,⑪ZEN工程入力!$I$6:$I$35,"&gt;0")+SUMIFS(⑫ミキサー工程入力!$M$6:$M$65,⑫ミキサー工程入力!$S$6:$S$65,$J387,⑫ミキサー工程入力!$I$6:$I$65,"&gt;0")+SUMIFS(⑬計量工程入力!$M$6:$M$65,⑬計量工程入力!$S$6:$S$65,$J387,⑬計量工程入力!$I$6:$I$65,"&gt;0")+SUMIFS(⑭手動工程入力!$M$6:$M$47,⑭手動工程入力!$S$6:$S$47,$J387,⑭手動工程入力!$I$6:$I$47,"&gt;0"))</f>
        <v/>
      </c>
      <c r="M387" s="393">
        <f>IF($J387="",0,SUMIFS(②釜工程入力!$I$5:$I$117,②釜工程入力!$S$5:$S$117,$J387,②釜工程入力!$I$5:$I$117,"&gt;0",②釜工程入力!$M$5:$M$117,"&gt;0")+SUMIFS(③スチコン工程入力!$I$5:$I$152,③スチコン工程入力!$S$5:$S$152,$J387,③スチコン工程入力!$I$5:$I$152,"&gt;0",③スチコン工程入力!$M$5:$M$152,"&gt;0")+SUMIFS(⑪ZEN工程入力!$I$6:$I$35,⑪ZEN工程入力!$S$6:$S$35,$J387,⑪ZEN工程入力!$I$6:$I$35,"&gt;0",⑪ZEN工程入力!$M$6:$M$35,"&gt;0")+SUMIFS(⑫ミキサー工程入力!$I$6:$I$65,⑫ミキサー工程入力!$S$6:$S$65,$J387,⑫ミキサー工程入力!$I$6:$I$65,"&gt;0",⑫ミキサー工程入力!$M$6:$M$65,"&gt;0")+SUMIFS(⑬計量工程入力!$I$6:$I$65,⑬計量工程入力!$S$6:$S$65,$J387,⑬計量工程入力!$I$6:$I$65,"&gt;0",⑬計量工程入力!$M$6:$M$65,"&gt;0")+SUMIFS(⑭手動工程入力!$I$6:$I$47,⑭手動工程入力!$S$6:$S$47,$J387,⑭手動工程入力!$I$6:$I$47,"&gt;0",⑭手動工程入力!$M$6:$M$47,"&gt;0"))</f>
        <v/>
      </c>
      <c r="N387" s="393">
        <f>IF($J387="",0,SUMIFS(②釜工程入力!$M$5:$M$117,②釜工程入力!$S$5:$S$117,$J387,②釜工程入力!$J$5:$J$117,"&gt;0")-SUMIFS(②釜工程入力!$M$5:$M$117,②釜工程入力!$S$5:$S$117,$J387,②釜工程入力!$J$5:$J$117,"&gt;0",②釜工程入力!$I$5:$I$117,"&gt;0")+SUMIFS(③スチコン工程入力!$M$5:$M$152,③スチコン工程入力!$S$5:$S$152,$J387,③スチコン工程入力!$J$5:$J$152,"&gt;0")-SUMIFS(③スチコン工程入力!$M$5:$M$152,③スチコン工程入力!$S$5:$S$152,$J387,③スチコン工程入力!$J$5:$J$152,"&gt;0",③スチコン工程入力!$I$5:$I$152,"&gt;0")+SUMIFS(⑪ZEN工程入力!$M$6:$M$35,⑪ZEN工程入力!$S$6:$S$35,$J387,⑪ZEN工程入力!$J$6:$J$35,"&gt;0")-SUMIFS(⑪ZEN工程入力!$M$6:$M$35,⑪ZEN工程入力!$S$6:$S$35,$J387,⑪ZEN工程入力!$J$6:$J$35,"&gt;0",⑪ZEN工程入力!$I$6:$I$35,"&gt;0")+SUMIFS(⑫ミキサー工程入力!$M$6:$M$65,⑫ミキサー工程入力!$S$6:$S$65,$J387,⑫ミキサー工程入力!$J$6:$J$65,"&gt;0")-SUMIFS(⑫ミキサー工程入力!$M$6:$M$65,⑫ミキサー工程入力!$S$6:$S$65,$J387,⑫ミキサー工程入力!$J$6:$J$65,"&gt;0",⑫ミキサー工程入力!$I$6:$I$65,"&gt;0")+SUMIFS(⑬計量工程入力!$M$6:$M$65,⑬計量工程入力!$S$6:$S$65,$J387,⑬計量工程入力!$J$6:$J$65,"&gt;0")-SUMIFS(⑬計量工程入力!$M$6:$M$65,⑬計量工程入力!$S$6:$S$65,$J387,⑬計量工程入力!$J$6:$J$65,"&gt;0",⑬計量工程入力!$I$6:$I$65,"&gt;0")+SUMIFS(⑭手動工程入力!$M$6:$M$47,⑭手動工程入力!$S$6:$S$47,$J387,⑭手動工程入力!$J$6:$J$47,"&gt;0")-SUMIFS(⑭手動工程入力!$M$6:$M$47,⑭手動工程入力!$S$6:$S$47,$J387,⑭手動工程入力!$J$6:$J$47,"&gt;0",⑭手動工程入力!$I$6:$I$47,"&gt;0"))</f>
        <v/>
      </c>
      <c r="O387" s="393">
        <f>IF($J387="",0,SUMIFS(②釜工程入力!$J$5:$J$117,②釜工程入力!$S$5:$S$117,$J387,②釜工程入力!$J$5:$J$117,"&gt;0",②釜工程入力!$M$5:$M$117,"&gt;0")-SUMIFS(②釜工程入力!$J$5:$J$117,②釜工程入力!$S$5:$S$117,$J387,②釜工程入力!$J$5:$J$117,"&gt;0",②釜工程入力!$I$5:$I$117,"&gt;0",②釜工程入力!$M$5:$M$117,"&gt;0")+SUMIFS(③スチコン工程入力!$J$5:$J$152,③スチコン工程入力!$S$5:$S$152,$J387,③スチコン工程入力!$J$5:$J$152,"&gt;0",③スチコン工程入力!$M$5:$M$152,"&gt;0")-SUMIFS(③スチコン工程入力!$J$5:$J$152,③スチコン工程入力!$S$5:$S$152,$J387,③スチコン工程入力!$J$5:$J$152,"&gt;0",③スチコン工程入力!$I$5:$I$152,"&gt;0",③スチコン工程入力!$M$5:$M$152,"&gt;0")+SUMIFS(⑪ZEN工程入力!$J$6:$J$35,⑪ZEN工程入力!$S$6:$S$35,$J387,⑪ZEN工程入力!$J$6:$J$35,"&gt;0",⑪ZEN工程入力!$M$6:$M$35,"&gt;0")-SUMIFS(⑪ZEN工程入力!$J$6:$J$35,⑪ZEN工程入力!$S$6:$S$35,$J387,⑪ZEN工程入力!$J$6:$J$35,"&gt;0",⑪ZEN工程入力!$I$6:$I$35,"&gt;0",⑪ZEN工程入力!$M$6:$M$35,"&gt;0")+SUMIFS(⑫ミキサー工程入力!$J$6:$J$65,⑫ミキサー工程入力!$S$6:$S$65,$J387,⑫ミキサー工程入力!$J$6:$J$65,"&gt;0",⑫ミキサー工程入力!$M$6:$M$65,"&gt;0")-SUMIFS(⑫ミキサー工程入力!$J$6:$J$65,⑫ミキサー工程入力!$S$6:$S$65,$J387,⑫ミキサー工程入力!$J$6:$J$65,"&gt;0",⑫ミキサー工程入力!$I$6:$I$65,"&gt;0",⑫ミキサー工程入力!$M$6:$M$65,"&gt;0")+SUMIFS(⑬計量工程入力!$J$6:$J$65,⑬計量工程入力!$S$6:$S$65,$J387,⑬計量工程入力!$J$6:$J$65,"&gt;0",⑬計量工程入力!$M$6:$M$65,"&gt;0")-SUMIFS(⑬計量工程入力!$J$6:$J$65,⑬計量工程入力!$S$6:$S$65,$J387,⑬計量工程入力!$J$6:$J$65,"&gt;0",⑬計量工程入力!$I$6:$I$65,"&gt;0",⑬計量工程入力!$M$6:$M$65,"&gt;0")+SUMIFS(⑭手動工程入力!$J$6:$J$47,⑭手動工程入力!$S$6:$S$47,$J387,⑭手動工程入力!$J$6:$J$47,"&gt;0",⑭手動工程入力!$M$6:$M$47,"&gt;0")-SUMIFS(⑭手動工程入力!$J$6:$J$47,⑭手動工程入力!$S$6:$S$47,$J387,⑭手動工程入力!$J$6:$J$47,"&gt;0",⑭手動工程入力!$I$6:$I$47,"&gt;0",⑭手動工程入力!$M$6:$M$47,"&gt;0"))</f>
        <v/>
      </c>
      <c r="P387" s="392" t="inlineStr">
        <is>
          <t>中間品リスト</t>
        </is>
      </c>
    </row>
    <row r="388">
      <c r="A388" s="392" t="n">
        <v>384</v>
      </c>
      <c r="B388" s="392" t="n"/>
      <c r="C388" s="392" t="n"/>
      <c r="D388" s="409" t="n"/>
      <c r="E388" s="392" t="n"/>
      <c r="F388" s="394" t="n"/>
      <c r="G388" s="392" t="n"/>
      <c r="H388" s="604">
        <f>IFERROR(IF(AND($K388&gt;0,ISNUMBER(IF(OR($D388="g",$D388="ｇ"),IF($M388&gt;0,$L388/$M388/1000,""),IF($D388="kg",IF($M388&gt;0,$L388/$M388,""),IF($D388="",IF($M388&gt;0,$L388/$M388/1000,IF($O388&gt;0,$N388/$O388,"")),IF($O388&gt;0,$N388/$O388,"")))))),IF(OR($D388="g",$D388="ｇ"),IF($M388&gt;0,$L388/$M388/1000,""),IF($D388="kg",IF($M388&gt;0,$L388/$M388,""),IF($D388="",IF($M388&gt;0,$L388/$M388/1000,IF($O388&gt;0,$N388/$O388,"")),IF($O388&gt;0,$N388/$O388,"")))),IF($F388="",IF(OR($E388="",$E388="⑩盛付梱包工程入力"),"",IF(OR($D388="g",$D388="ｇ"),INDEX(⑰工程労務費一覧!$N$5:$N$11,MATCH($E388,⑰工程労務費一覧!$K$5:$K$11,0))/1000,IF($D388="kg",INDEX(⑰工程労務費一覧!$N$5:$N$11,MATCH($E388,⑰工程労務費一覧!$K$5:$K$11,0)),IF(OR($D388="個",$D388="切",$D388="本",$D388="枚",$D388="尾"),IF($E388="⑬計量工程入力","",INDEX(⑰工程労務費一覧!$P$5:$P$11,MATCH($E388,⑰工程労務費一覧!$K$5:$K$11,0))),IF(AND($D388="",OR($E388="②釜工程入力",$E388="③スチコン工程入力")),INDEX(⑰工程労務費一覧!$N$5:$N$11,MATCH($E388,⑰工程労務費一覧!$K$5:$K$11,0))/1000,""))))),IF(OR($D388="g",$D388="ｇ"),INDEX(⑰工程労務費一覧!$H$5:$H$753,MATCH($F388,⑰工程労務費一覧!$D$5:$D$753,0))/1000,IF($D388="kg",INDEX(⑰工程労務費一覧!$H$5:$H$753,MATCH($F388,⑰工程労務費一覧!$D$5:$D$753,0)),INDEX(⑰工程労務費一覧!$I$5:$I$753,MATCH($F388,⑰工程労務費一覧!$D$5:$D$753,0)))))),"")</f>
        <v/>
      </c>
      <c r="I388" s="392">
        <f>IF($K388&gt;0,IF(ISNUMBER(IF(OR($D388="g",$D388="ｇ"),IF($M388&gt;0,$L388/$M388/1000,""),IF($D388="kg",IF($M388&gt;0,$L388/$M388,""),IF($D388="",IF($M388&gt;0,$L388/$M388/1000,IF($O388&gt;0,$N388/$O388,"")),IF($O388&gt;0,$N388/$O388,""))))),IF($D388="",IF($M388&gt;0,"◎ JAN紐づけ(g扱い)","◎ JAN紐づけ(個扱い)"),"◎ JAN紐づけ"),"△ JAN紐づけ済・実績不足→仮計算"),IF($F388="",IF(ISNUMBER($H388),IF($D388="","⑤ 工程平均で仮計算(g扱い)","⑤ 工程平均で仮計算"),IF($E388="⑩盛付梱包工程入力","⑥ 盛り込み(⑳F列で計上)",IF(AND($E388="⑬計量工程入力",OR($D388="個",$D388="切",$D388="本",$D388="枚",$D388="尾")),"① 未紐づけ(カット個単位は仮単価なし)","① 未紐づけ"))),IF(NOT(ISNUMBER($H388)),"② 工程側に単価なし",IF($D388="","③ 単位未設定(個で計算)","④ OK"))))</f>
        <v/>
      </c>
      <c r="J388" s="399">
        <f>IFERROR(LOOKUP(2,1/((中間品リスト!$F$2:$F$1299=$B388)*(中間品リスト!$E$2:$E$1299&lt;&gt;"-")*(中間品リスト!$E$2:$E$1299&lt;&gt;"")),中間品リスト!$E$2:$E$1299),"")</f>
        <v/>
      </c>
      <c r="K388" s="400">
        <f>IF($J388="",0,COUNTIF(②釜工程入力!$S$5:$S$117,$J388)+COUNTIF(③スチコン工程入力!$S$5:$S$152,$J388)+COUNTIF(⑪ZEN工程入力!$S$6:$S$35,$J388)+COUNTIF(⑫ミキサー工程入力!$S$6:$S$65,$J388)+COUNTIF(⑬計量工程入力!$S$6:$S$65,$J388)+COUNTIF(⑭手動工程入力!$S$6:$S$47,$J388))</f>
        <v/>
      </c>
      <c r="L388" s="393">
        <f>IF($J388="",0,SUMIFS(②釜工程入力!$M$5:$M$117,②釜工程入力!$S$5:$S$117,$J388,②釜工程入力!$I$5:$I$117,"&gt;0")+SUMIFS(③スチコン工程入力!$M$5:$M$152,③スチコン工程入力!$S$5:$S$152,$J388,③スチコン工程入力!$I$5:$I$152,"&gt;0")+SUMIFS(⑪ZEN工程入力!$M$6:$M$35,⑪ZEN工程入力!$S$6:$S$35,$J388,⑪ZEN工程入力!$I$6:$I$35,"&gt;0")+SUMIFS(⑫ミキサー工程入力!$M$6:$M$65,⑫ミキサー工程入力!$S$6:$S$65,$J388,⑫ミキサー工程入力!$I$6:$I$65,"&gt;0")+SUMIFS(⑬計量工程入力!$M$6:$M$65,⑬計量工程入力!$S$6:$S$65,$J388,⑬計量工程入力!$I$6:$I$65,"&gt;0")+SUMIFS(⑭手動工程入力!$M$6:$M$47,⑭手動工程入力!$S$6:$S$47,$J388,⑭手動工程入力!$I$6:$I$47,"&gt;0"))</f>
        <v/>
      </c>
      <c r="M388" s="393">
        <f>IF($J388="",0,SUMIFS(②釜工程入力!$I$5:$I$117,②釜工程入力!$S$5:$S$117,$J388,②釜工程入力!$I$5:$I$117,"&gt;0",②釜工程入力!$M$5:$M$117,"&gt;0")+SUMIFS(③スチコン工程入力!$I$5:$I$152,③スチコン工程入力!$S$5:$S$152,$J388,③スチコン工程入力!$I$5:$I$152,"&gt;0",③スチコン工程入力!$M$5:$M$152,"&gt;0")+SUMIFS(⑪ZEN工程入力!$I$6:$I$35,⑪ZEN工程入力!$S$6:$S$35,$J388,⑪ZEN工程入力!$I$6:$I$35,"&gt;0",⑪ZEN工程入力!$M$6:$M$35,"&gt;0")+SUMIFS(⑫ミキサー工程入力!$I$6:$I$65,⑫ミキサー工程入力!$S$6:$S$65,$J388,⑫ミキサー工程入力!$I$6:$I$65,"&gt;0",⑫ミキサー工程入力!$M$6:$M$65,"&gt;0")+SUMIFS(⑬計量工程入力!$I$6:$I$65,⑬計量工程入力!$S$6:$S$65,$J388,⑬計量工程入力!$I$6:$I$65,"&gt;0",⑬計量工程入力!$M$6:$M$65,"&gt;0")+SUMIFS(⑭手動工程入力!$I$6:$I$47,⑭手動工程入力!$S$6:$S$47,$J388,⑭手動工程入力!$I$6:$I$47,"&gt;0",⑭手動工程入力!$M$6:$M$47,"&gt;0"))</f>
        <v/>
      </c>
      <c r="N388" s="393">
        <f>IF($J388="",0,SUMIFS(②釜工程入力!$M$5:$M$117,②釜工程入力!$S$5:$S$117,$J388,②釜工程入力!$J$5:$J$117,"&gt;0")-SUMIFS(②釜工程入力!$M$5:$M$117,②釜工程入力!$S$5:$S$117,$J388,②釜工程入力!$J$5:$J$117,"&gt;0",②釜工程入力!$I$5:$I$117,"&gt;0")+SUMIFS(③スチコン工程入力!$M$5:$M$152,③スチコン工程入力!$S$5:$S$152,$J388,③スチコン工程入力!$J$5:$J$152,"&gt;0")-SUMIFS(③スチコン工程入力!$M$5:$M$152,③スチコン工程入力!$S$5:$S$152,$J388,③スチコン工程入力!$J$5:$J$152,"&gt;0",③スチコン工程入力!$I$5:$I$152,"&gt;0")+SUMIFS(⑪ZEN工程入力!$M$6:$M$35,⑪ZEN工程入力!$S$6:$S$35,$J388,⑪ZEN工程入力!$J$6:$J$35,"&gt;0")-SUMIFS(⑪ZEN工程入力!$M$6:$M$35,⑪ZEN工程入力!$S$6:$S$35,$J388,⑪ZEN工程入力!$J$6:$J$35,"&gt;0",⑪ZEN工程入力!$I$6:$I$35,"&gt;0")+SUMIFS(⑫ミキサー工程入力!$M$6:$M$65,⑫ミキサー工程入力!$S$6:$S$65,$J388,⑫ミキサー工程入力!$J$6:$J$65,"&gt;0")-SUMIFS(⑫ミキサー工程入力!$M$6:$M$65,⑫ミキサー工程入力!$S$6:$S$65,$J388,⑫ミキサー工程入力!$J$6:$J$65,"&gt;0",⑫ミキサー工程入力!$I$6:$I$65,"&gt;0")+SUMIFS(⑬計量工程入力!$M$6:$M$65,⑬計量工程入力!$S$6:$S$65,$J388,⑬計量工程入力!$J$6:$J$65,"&gt;0")-SUMIFS(⑬計量工程入力!$M$6:$M$65,⑬計量工程入力!$S$6:$S$65,$J388,⑬計量工程入力!$J$6:$J$65,"&gt;0",⑬計量工程入力!$I$6:$I$65,"&gt;0")+SUMIFS(⑭手動工程入力!$M$6:$M$47,⑭手動工程入力!$S$6:$S$47,$J388,⑭手動工程入力!$J$6:$J$47,"&gt;0")-SUMIFS(⑭手動工程入力!$M$6:$M$47,⑭手動工程入力!$S$6:$S$47,$J388,⑭手動工程入力!$J$6:$J$47,"&gt;0",⑭手動工程入力!$I$6:$I$47,"&gt;0"))</f>
        <v/>
      </c>
      <c r="O388" s="393">
        <f>IF($J388="",0,SUMIFS(②釜工程入力!$J$5:$J$117,②釜工程入力!$S$5:$S$117,$J388,②釜工程入力!$J$5:$J$117,"&gt;0",②釜工程入力!$M$5:$M$117,"&gt;0")-SUMIFS(②釜工程入力!$J$5:$J$117,②釜工程入力!$S$5:$S$117,$J388,②釜工程入力!$J$5:$J$117,"&gt;0",②釜工程入力!$I$5:$I$117,"&gt;0",②釜工程入力!$M$5:$M$117,"&gt;0")+SUMIFS(③スチコン工程入力!$J$5:$J$152,③スチコン工程入力!$S$5:$S$152,$J388,③スチコン工程入力!$J$5:$J$152,"&gt;0",③スチコン工程入力!$M$5:$M$152,"&gt;0")-SUMIFS(③スチコン工程入力!$J$5:$J$152,③スチコン工程入力!$S$5:$S$152,$J388,③スチコン工程入力!$J$5:$J$152,"&gt;0",③スチコン工程入力!$I$5:$I$152,"&gt;0",③スチコン工程入力!$M$5:$M$152,"&gt;0")+SUMIFS(⑪ZEN工程入力!$J$6:$J$35,⑪ZEN工程入力!$S$6:$S$35,$J388,⑪ZEN工程入力!$J$6:$J$35,"&gt;0",⑪ZEN工程入力!$M$6:$M$35,"&gt;0")-SUMIFS(⑪ZEN工程入力!$J$6:$J$35,⑪ZEN工程入力!$S$6:$S$35,$J388,⑪ZEN工程入力!$J$6:$J$35,"&gt;0",⑪ZEN工程入力!$I$6:$I$35,"&gt;0",⑪ZEN工程入力!$M$6:$M$35,"&gt;0")+SUMIFS(⑫ミキサー工程入力!$J$6:$J$65,⑫ミキサー工程入力!$S$6:$S$65,$J388,⑫ミキサー工程入力!$J$6:$J$65,"&gt;0",⑫ミキサー工程入力!$M$6:$M$65,"&gt;0")-SUMIFS(⑫ミキサー工程入力!$J$6:$J$65,⑫ミキサー工程入力!$S$6:$S$65,$J388,⑫ミキサー工程入力!$J$6:$J$65,"&gt;0",⑫ミキサー工程入力!$I$6:$I$65,"&gt;0",⑫ミキサー工程入力!$M$6:$M$65,"&gt;0")+SUMIFS(⑬計量工程入力!$J$6:$J$65,⑬計量工程入力!$S$6:$S$65,$J388,⑬計量工程入力!$J$6:$J$65,"&gt;0",⑬計量工程入力!$M$6:$M$65,"&gt;0")-SUMIFS(⑬計量工程入力!$J$6:$J$65,⑬計量工程入力!$S$6:$S$65,$J388,⑬計量工程入力!$J$6:$J$65,"&gt;0",⑬計量工程入力!$I$6:$I$65,"&gt;0",⑬計量工程入力!$M$6:$M$65,"&gt;0")+SUMIFS(⑭手動工程入力!$J$6:$J$47,⑭手動工程入力!$S$6:$S$47,$J388,⑭手動工程入力!$J$6:$J$47,"&gt;0",⑭手動工程入力!$M$6:$M$47,"&gt;0")-SUMIFS(⑭手動工程入力!$J$6:$J$47,⑭手動工程入力!$S$6:$S$47,$J388,⑭手動工程入力!$J$6:$J$47,"&gt;0",⑭手動工程入力!$I$6:$I$47,"&gt;0",⑭手動工程入力!$M$6:$M$47,"&gt;0"))</f>
        <v/>
      </c>
      <c r="P388" s="392" t="inlineStr">
        <is>
          <t>中間品リスト</t>
        </is>
      </c>
    </row>
    <row r="389">
      <c r="A389" s="392" t="n">
        <v>385</v>
      </c>
      <c r="B389" s="392" t="n"/>
      <c r="C389" s="392" t="n"/>
      <c r="D389" s="409" t="n"/>
      <c r="E389" s="392" t="n"/>
      <c r="F389" s="394" t="n"/>
      <c r="G389" s="392" t="n"/>
      <c r="H389" s="604">
        <f>IFERROR(IF(AND($K389&gt;0,ISNUMBER(IF(OR($D389="g",$D389="ｇ"),IF($M389&gt;0,$L389/$M389/1000,""),IF($D389="kg",IF($M389&gt;0,$L389/$M389,""),IF($D389="",IF($M389&gt;0,$L389/$M389/1000,IF($O389&gt;0,$N389/$O389,"")),IF($O389&gt;0,$N389/$O389,"")))))),IF(OR($D389="g",$D389="ｇ"),IF($M389&gt;0,$L389/$M389/1000,""),IF($D389="kg",IF($M389&gt;0,$L389/$M389,""),IF($D389="",IF($M389&gt;0,$L389/$M389/1000,IF($O389&gt;0,$N389/$O389,"")),IF($O389&gt;0,$N389/$O389,"")))),IF($F389="",IF(OR($E389="",$E389="⑩盛付梱包工程入力"),"",IF(OR($D389="g",$D389="ｇ"),INDEX(⑰工程労務費一覧!$N$5:$N$11,MATCH($E389,⑰工程労務費一覧!$K$5:$K$11,0))/1000,IF($D389="kg",INDEX(⑰工程労務費一覧!$N$5:$N$11,MATCH($E389,⑰工程労務費一覧!$K$5:$K$11,0)),IF(OR($D389="個",$D389="切",$D389="本",$D389="枚",$D389="尾"),IF($E389="⑬計量工程入力","",INDEX(⑰工程労務費一覧!$P$5:$P$11,MATCH($E389,⑰工程労務費一覧!$K$5:$K$11,0))),IF(AND($D389="",OR($E389="②釜工程入力",$E389="③スチコン工程入力")),INDEX(⑰工程労務費一覧!$N$5:$N$11,MATCH($E389,⑰工程労務費一覧!$K$5:$K$11,0))/1000,""))))),IF(OR($D389="g",$D389="ｇ"),INDEX(⑰工程労務費一覧!$H$5:$H$753,MATCH($F389,⑰工程労務費一覧!$D$5:$D$753,0))/1000,IF($D389="kg",INDEX(⑰工程労務費一覧!$H$5:$H$753,MATCH($F389,⑰工程労務費一覧!$D$5:$D$753,0)),INDEX(⑰工程労務費一覧!$I$5:$I$753,MATCH($F389,⑰工程労務費一覧!$D$5:$D$753,0)))))),"")</f>
        <v/>
      </c>
      <c r="I389" s="392">
        <f>IF($K389&gt;0,IF(ISNUMBER(IF(OR($D389="g",$D389="ｇ"),IF($M389&gt;0,$L389/$M389/1000,""),IF($D389="kg",IF($M389&gt;0,$L389/$M389,""),IF($D389="",IF($M389&gt;0,$L389/$M389/1000,IF($O389&gt;0,$N389/$O389,"")),IF($O389&gt;0,$N389/$O389,""))))),IF($D389="",IF($M389&gt;0,"◎ JAN紐づけ(g扱い)","◎ JAN紐づけ(個扱い)"),"◎ JAN紐づけ"),"△ JAN紐づけ済・実績不足→仮計算"),IF($F389="",IF(ISNUMBER($H389),IF($D389="","⑤ 工程平均で仮計算(g扱い)","⑤ 工程平均で仮計算"),IF($E389="⑩盛付梱包工程入力","⑥ 盛り込み(⑳F列で計上)",IF(AND($E389="⑬計量工程入力",OR($D389="個",$D389="切",$D389="本",$D389="枚",$D389="尾")),"① 未紐づけ(カット個単位は仮単価なし)","① 未紐づけ"))),IF(NOT(ISNUMBER($H389)),"② 工程側に単価なし",IF($D389="","③ 単位未設定(個で計算)","④ OK"))))</f>
        <v/>
      </c>
      <c r="J389" s="399">
        <f>IFERROR(LOOKUP(2,1/((中間品リスト!$F$2:$F$1299=$B389)*(中間品リスト!$E$2:$E$1299&lt;&gt;"-")*(中間品リスト!$E$2:$E$1299&lt;&gt;"")),中間品リスト!$E$2:$E$1299),"")</f>
        <v/>
      </c>
      <c r="K389" s="400">
        <f>IF($J389="",0,COUNTIF(②釜工程入力!$S$5:$S$117,$J389)+COUNTIF(③スチコン工程入力!$S$5:$S$152,$J389)+COUNTIF(⑪ZEN工程入力!$S$6:$S$35,$J389)+COUNTIF(⑫ミキサー工程入力!$S$6:$S$65,$J389)+COUNTIF(⑬計量工程入力!$S$6:$S$65,$J389)+COUNTIF(⑭手動工程入力!$S$6:$S$47,$J389))</f>
        <v/>
      </c>
      <c r="L389" s="393">
        <f>IF($J389="",0,SUMIFS(②釜工程入力!$M$5:$M$117,②釜工程入力!$S$5:$S$117,$J389,②釜工程入力!$I$5:$I$117,"&gt;0")+SUMIFS(③スチコン工程入力!$M$5:$M$152,③スチコン工程入力!$S$5:$S$152,$J389,③スチコン工程入力!$I$5:$I$152,"&gt;0")+SUMIFS(⑪ZEN工程入力!$M$6:$M$35,⑪ZEN工程入力!$S$6:$S$35,$J389,⑪ZEN工程入力!$I$6:$I$35,"&gt;0")+SUMIFS(⑫ミキサー工程入力!$M$6:$M$65,⑫ミキサー工程入力!$S$6:$S$65,$J389,⑫ミキサー工程入力!$I$6:$I$65,"&gt;0")+SUMIFS(⑬計量工程入力!$M$6:$M$65,⑬計量工程入力!$S$6:$S$65,$J389,⑬計量工程入力!$I$6:$I$65,"&gt;0")+SUMIFS(⑭手動工程入力!$M$6:$M$47,⑭手動工程入力!$S$6:$S$47,$J389,⑭手動工程入力!$I$6:$I$47,"&gt;0"))</f>
        <v/>
      </c>
      <c r="M389" s="393">
        <f>IF($J389="",0,SUMIFS(②釜工程入力!$I$5:$I$117,②釜工程入力!$S$5:$S$117,$J389,②釜工程入力!$I$5:$I$117,"&gt;0",②釜工程入力!$M$5:$M$117,"&gt;0")+SUMIFS(③スチコン工程入力!$I$5:$I$152,③スチコン工程入力!$S$5:$S$152,$J389,③スチコン工程入力!$I$5:$I$152,"&gt;0",③スチコン工程入力!$M$5:$M$152,"&gt;0")+SUMIFS(⑪ZEN工程入力!$I$6:$I$35,⑪ZEN工程入力!$S$6:$S$35,$J389,⑪ZEN工程入力!$I$6:$I$35,"&gt;0",⑪ZEN工程入力!$M$6:$M$35,"&gt;0")+SUMIFS(⑫ミキサー工程入力!$I$6:$I$65,⑫ミキサー工程入力!$S$6:$S$65,$J389,⑫ミキサー工程入力!$I$6:$I$65,"&gt;0",⑫ミキサー工程入力!$M$6:$M$65,"&gt;0")+SUMIFS(⑬計量工程入力!$I$6:$I$65,⑬計量工程入力!$S$6:$S$65,$J389,⑬計量工程入力!$I$6:$I$65,"&gt;0",⑬計量工程入力!$M$6:$M$65,"&gt;0")+SUMIFS(⑭手動工程入力!$I$6:$I$47,⑭手動工程入力!$S$6:$S$47,$J389,⑭手動工程入力!$I$6:$I$47,"&gt;0",⑭手動工程入力!$M$6:$M$47,"&gt;0"))</f>
        <v/>
      </c>
      <c r="N389" s="393">
        <f>IF($J389="",0,SUMIFS(②釜工程入力!$M$5:$M$117,②釜工程入力!$S$5:$S$117,$J389,②釜工程入力!$J$5:$J$117,"&gt;0")-SUMIFS(②釜工程入力!$M$5:$M$117,②釜工程入力!$S$5:$S$117,$J389,②釜工程入力!$J$5:$J$117,"&gt;0",②釜工程入力!$I$5:$I$117,"&gt;0")+SUMIFS(③スチコン工程入力!$M$5:$M$152,③スチコン工程入力!$S$5:$S$152,$J389,③スチコン工程入力!$J$5:$J$152,"&gt;0")-SUMIFS(③スチコン工程入力!$M$5:$M$152,③スチコン工程入力!$S$5:$S$152,$J389,③スチコン工程入力!$J$5:$J$152,"&gt;0",③スチコン工程入力!$I$5:$I$152,"&gt;0")+SUMIFS(⑪ZEN工程入力!$M$6:$M$35,⑪ZEN工程入力!$S$6:$S$35,$J389,⑪ZEN工程入力!$J$6:$J$35,"&gt;0")-SUMIFS(⑪ZEN工程入力!$M$6:$M$35,⑪ZEN工程入力!$S$6:$S$35,$J389,⑪ZEN工程入力!$J$6:$J$35,"&gt;0",⑪ZEN工程入力!$I$6:$I$35,"&gt;0")+SUMIFS(⑫ミキサー工程入力!$M$6:$M$65,⑫ミキサー工程入力!$S$6:$S$65,$J389,⑫ミキサー工程入力!$J$6:$J$65,"&gt;0")-SUMIFS(⑫ミキサー工程入力!$M$6:$M$65,⑫ミキサー工程入力!$S$6:$S$65,$J389,⑫ミキサー工程入力!$J$6:$J$65,"&gt;0",⑫ミキサー工程入力!$I$6:$I$65,"&gt;0")+SUMIFS(⑬計量工程入力!$M$6:$M$65,⑬計量工程入力!$S$6:$S$65,$J389,⑬計量工程入力!$J$6:$J$65,"&gt;0")-SUMIFS(⑬計量工程入力!$M$6:$M$65,⑬計量工程入力!$S$6:$S$65,$J389,⑬計量工程入力!$J$6:$J$65,"&gt;0",⑬計量工程入力!$I$6:$I$65,"&gt;0")+SUMIFS(⑭手動工程入力!$M$6:$M$47,⑭手動工程入力!$S$6:$S$47,$J389,⑭手動工程入力!$J$6:$J$47,"&gt;0")-SUMIFS(⑭手動工程入力!$M$6:$M$47,⑭手動工程入力!$S$6:$S$47,$J389,⑭手動工程入力!$J$6:$J$47,"&gt;0",⑭手動工程入力!$I$6:$I$47,"&gt;0"))</f>
        <v/>
      </c>
      <c r="O389" s="393">
        <f>IF($J389="",0,SUMIFS(②釜工程入力!$J$5:$J$117,②釜工程入力!$S$5:$S$117,$J389,②釜工程入力!$J$5:$J$117,"&gt;0",②釜工程入力!$M$5:$M$117,"&gt;0")-SUMIFS(②釜工程入力!$J$5:$J$117,②釜工程入力!$S$5:$S$117,$J389,②釜工程入力!$J$5:$J$117,"&gt;0",②釜工程入力!$I$5:$I$117,"&gt;0",②釜工程入力!$M$5:$M$117,"&gt;0")+SUMIFS(③スチコン工程入力!$J$5:$J$152,③スチコン工程入力!$S$5:$S$152,$J389,③スチコン工程入力!$J$5:$J$152,"&gt;0",③スチコン工程入力!$M$5:$M$152,"&gt;0")-SUMIFS(③スチコン工程入力!$J$5:$J$152,③スチコン工程入力!$S$5:$S$152,$J389,③スチコン工程入力!$J$5:$J$152,"&gt;0",③スチコン工程入力!$I$5:$I$152,"&gt;0",③スチコン工程入力!$M$5:$M$152,"&gt;0")+SUMIFS(⑪ZEN工程入力!$J$6:$J$35,⑪ZEN工程入力!$S$6:$S$35,$J389,⑪ZEN工程入力!$J$6:$J$35,"&gt;0",⑪ZEN工程入力!$M$6:$M$35,"&gt;0")-SUMIFS(⑪ZEN工程入力!$J$6:$J$35,⑪ZEN工程入力!$S$6:$S$35,$J389,⑪ZEN工程入力!$J$6:$J$35,"&gt;0",⑪ZEN工程入力!$I$6:$I$35,"&gt;0",⑪ZEN工程入力!$M$6:$M$35,"&gt;0")+SUMIFS(⑫ミキサー工程入力!$J$6:$J$65,⑫ミキサー工程入力!$S$6:$S$65,$J389,⑫ミキサー工程入力!$J$6:$J$65,"&gt;0",⑫ミキサー工程入力!$M$6:$M$65,"&gt;0")-SUMIFS(⑫ミキサー工程入力!$J$6:$J$65,⑫ミキサー工程入力!$S$6:$S$65,$J389,⑫ミキサー工程入力!$J$6:$J$65,"&gt;0",⑫ミキサー工程入力!$I$6:$I$65,"&gt;0",⑫ミキサー工程入力!$M$6:$M$65,"&gt;0")+SUMIFS(⑬計量工程入力!$J$6:$J$65,⑬計量工程入力!$S$6:$S$65,$J389,⑬計量工程入力!$J$6:$J$65,"&gt;0",⑬計量工程入力!$M$6:$M$65,"&gt;0")-SUMIFS(⑬計量工程入力!$J$6:$J$65,⑬計量工程入力!$S$6:$S$65,$J389,⑬計量工程入力!$J$6:$J$65,"&gt;0",⑬計量工程入力!$I$6:$I$65,"&gt;0",⑬計量工程入力!$M$6:$M$65,"&gt;0")+SUMIFS(⑭手動工程入力!$J$6:$J$47,⑭手動工程入力!$S$6:$S$47,$J389,⑭手動工程入力!$J$6:$J$47,"&gt;0",⑭手動工程入力!$M$6:$M$47,"&gt;0")-SUMIFS(⑭手動工程入力!$J$6:$J$47,⑭手動工程入力!$S$6:$S$47,$J389,⑭手動工程入力!$J$6:$J$47,"&gt;0",⑭手動工程入力!$I$6:$I$47,"&gt;0",⑭手動工程入力!$M$6:$M$47,"&gt;0"))</f>
        <v/>
      </c>
      <c r="P389" s="392" t="inlineStr">
        <is>
          <t>中間品リスト</t>
        </is>
      </c>
    </row>
    <row r="390">
      <c r="A390" s="392" t="n">
        <v>386</v>
      </c>
      <c r="B390" s="392" t="n"/>
      <c r="C390" s="392" t="n"/>
      <c r="D390" s="409" t="n"/>
      <c r="E390" s="392" t="n"/>
      <c r="F390" s="394" t="n"/>
      <c r="G390" s="392" t="n"/>
      <c r="H390" s="604">
        <f>IFERROR(IF(AND($K390&gt;0,ISNUMBER(IF(OR($D390="g",$D390="ｇ"),IF($M390&gt;0,$L390/$M390/1000,""),IF($D390="kg",IF($M390&gt;0,$L390/$M390,""),IF($D390="",IF($M390&gt;0,$L390/$M390/1000,IF($O390&gt;0,$N390/$O390,"")),IF($O390&gt;0,$N390/$O390,"")))))),IF(OR($D390="g",$D390="ｇ"),IF($M390&gt;0,$L390/$M390/1000,""),IF($D390="kg",IF($M390&gt;0,$L390/$M390,""),IF($D390="",IF($M390&gt;0,$L390/$M390/1000,IF($O390&gt;0,$N390/$O390,"")),IF($O390&gt;0,$N390/$O390,"")))),IF($F390="",IF(OR($E390="",$E390="⑩盛付梱包工程入力"),"",IF(OR($D390="g",$D390="ｇ"),INDEX(⑰工程労務費一覧!$N$5:$N$11,MATCH($E390,⑰工程労務費一覧!$K$5:$K$11,0))/1000,IF($D390="kg",INDEX(⑰工程労務費一覧!$N$5:$N$11,MATCH($E390,⑰工程労務費一覧!$K$5:$K$11,0)),IF(OR($D390="個",$D390="切",$D390="本",$D390="枚",$D390="尾"),IF($E390="⑬計量工程入力","",INDEX(⑰工程労務費一覧!$P$5:$P$11,MATCH($E390,⑰工程労務費一覧!$K$5:$K$11,0))),IF(AND($D390="",OR($E390="②釜工程入力",$E390="③スチコン工程入力")),INDEX(⑰工程労務費一覧!$N$5:$N$11,MATCH($E390,⑰工程労務費一覧!$K$5:$K$11,0))/1000,""))))),IF(OR($D390="g",$D390="ｇ"),INDEX(⑰工程労務費一覧!$H$5:$H$753,MATCH($F390,⑰工程労務費一覧!$D$5:$D$753,0))/1000,IF($D390="kg",INDEX(⑰工程労務費一覧!$H$5:$H$753,MATCH($F390,⑰工程労務費一覧!$D$5:$D$753,0)),INDEX(⑰工程労務費一覧!$I$5:$I$753,MATCH($F390,⑰工程労務費一覧!$D$5:$D$753,0)))))),"")</f>
        <v/>
      </c>
      <c r="I390" s="392">
        <f>IF($K390&gt;0,IF(ISNUMBER(IF(OR($D390="g",$D390="ｇ"),IF($M390&gt;0,$L390/$M390/1000,""),IF($D390="kg",IF($M390&gt;0,$L390/$M390,""),IF($D390="",IF($M390&gt;0,$L390/$M390/1000,IF($O390&gt;0,$N390/$O390,"")),IF($O390&gt;0,$N390/$O390,""))))),IF($D390="",IF($M390&gt;0,"◎ JAN紐づけ(g扱い)","◎ JAN紐づけ(個扱い)"),"◎ JAN紐づけ"),"△ JAN紐づけ済・実績不足→仮計算"),IF($F390="",IF(ISNUMBER($H390),IF($D390="","⑤ 工程平均で仮計算(g扱い)","⑤ 工程平均で仮計算"),IF($E390="⑩盛付梱包工程入力","⑥ 盛り込み(⑳F列で計上)",IF(AND($E390="⑬計量工程入力",OR($D390="個",$D390="切",$D390="本",$D390="枚",$D390="尾")),"① 未紐づけ(カット個単位は仮単価なし)","① 未紐づけ"))),IF(NOT(ISNUMBER($H390)),"② 工程側に単価なし",IF($D390="","③ 単位未設定(個で計算)","④ OK"))))</f>
        <v/>
      </c>
      <c r="J390" s="399">
        <f>IFERROR(LOOKUP(2,1/((中間品リスト!$F$2:$F$1299=$B390)*(中間品リスト!$E$2:$E$1299&lt;&gt;"-")*(中間品リスト!$E$2:$E$1299&lt;&gt;"")),中間品リスト!$E$2:$E$1299),"")</f>
        <v/>
      </c>
      <c r="K390" s="400">
        <f>IF($J390="",0,COUNTIF(②釜工程入力!$S$5:$S$117,$J390)+COUNTIF(③スチコン工程入力!$S$5:$S$152,$J390)+COUNTIF(⑪ZEN工程入力!$S$6:$S$35,$J390)+COUNTIF(⑫ミキサー工程入力!$S$6:$S$65,$J390)+COUNTIF(⑬計量工程入力!$S$6:$S$65,$J390)+COUNTIF(⑭手動工程入力!$S$6:$S$47,$J390))</f>
        <v/>
      </c>
      <c r="L390" s="393">
        <f>IF($J390="",0,SUMIFS(②釜工程入力!$M$5:$M$117,②釜工程入力!$S$5:$S$117,$J390,②釜工程入力!$I$5:$I$117,"&gt;0")+SUMIFS(③スチコン工程入力!$M$5:$M$152,③スチコン工程入力!$S$5:$S$152,$J390,③スチコン工程入力!$I$5:$I$152,"&gt;0")+SUMIFS(⑪ZEN工程入力!$M$6:$M$35,⑪ZEN工程入力!$S$6:$S$35,$J390,⑪ZEN工程入力!$I$6:$I$35,"&gt;0")+SUMIFS(⑫ミキサー工程入力!$M$6:$M$65,⑫ミキサー工程入力!$S$6:$S$65,$J390,⑫ミキサー工程入力!$I$6:$I$65,"&gt;0")+SUMIFS(⑬計量工程入力!$M$6:$M$65,⑬計量工程入力!$S$6:$S$65,$J390,⑬計量工程入力!$I$6:$I$65,"&gt;0")+SUMIFS(⑭手動工程入力!$M$6:$M$47,⑭手動工程入力!$S$6:$S$47,$J390,⑭手動工程入力!$I$6:$I$47,"&gt;0"))</f>
        <v/>
      </c>
      <c r="M390" s="393">
        <f>IF($J390="",0,SUMIFS(②釜工程入力!$I$5:$I$117,②釜工程入力!$S$5:$S$117,$J390,②釜工程入力!$I$5:$I$117,"&gt;0",②釜工程入力!$M$5:$M$117,"&gt;0")+SUMIFS(③スチコン工程入力!$I$5:$I$152,③スチコン工程入力!$S$5:$S$152,$J390,③スチコン工程入力!$I$5:$I$152,"&gt;0",③スチコン工程入力!$M$5:$M$152,"&gt;0")+SUMIFS(⑪ZEN工程入力!$I$6:$I$35,⑪ZEN工程入力!$S$6:$S$35,$J390,⑪ZEN工程入力!$I$6:$I$35,"&gt;0",⑪ZEN工程入力!$M$6:$M$35,"&gt;0")+SUMIFS(⑫ミキサー工程入力!$I$6:$I$65,⑫ミキサー工程入力!$S$6:$S$65,$J390,⑫ミキサー工程入力!$I$6:$I$65,"&gt;0",⑫ミキサー工程入力!$M$6:$M$65,"&gt;0")+SUMIFS(⑬計量工程入力!$I$6:$I$65,⑬計量工程入力!$S$6:$S$65,$J390,⑬計量工程入力!$I$6:$I$65,"&gt;0",⑬計量工程入力!$M$6:$M$65,"&gt;0")+SUMIFS(⑭手動工程入力!$I$6:$I$47,⑭手動工程入力!$S$6:$S$47,$J390,⑭手動工程入力!$I$6:$I$47,"&gt;0",⑭手動工程入力!$M$6:$M$47,"&gt;0"))</f>
        <v/>
      </c>
      <c r="N390" s="393">
        <f>IF($J390="",0,SUMIFS(②釜工程入力!$M$5:$M$117,②釜工程入力!$S$5:$S$117,$J390,②釜工程入力!$J$5:$J$117,"&gt;0")-SUMIFS(②釜工程入力!$M$5:$M$117,②釜工程入力!$S$5:$S$117,$J390,②釜工程入力!$J$5:$J$117,"&gt;0",②釜工程入力!$I$5:$I$117,"&gt;0")+SUMIFS(③スチコン工程入力!$M$5:$M$152,③スチコン工程入力!$S$5:$S$152,$J390,③スチコン工程入力!$J$5:$J$152,"&gt;0")-SUMIFS(③スチコン工程入力!$M$5:$M$152,③スチコン工程入力!$S$5:$S$152,$J390,③スチコン工程入力!$J$5:$J$152,"&gt;0",③スチコン工程入力!$I$5:$I$152,"&gt;0")+SUMIFS(⑪ZEN工程入力!$M$6:$M$35,⑪ZEN工程入力!$S$6:$S$35,$J390,⑪ZEN工程入力!$J$6:$J$35,"&gt;0")-SUMIFS(⑪ZEN工程入力!$M$6:$M$35,⑪ZEN工程入力!$S$6:$S$35,$J390,⑪ZEN工程入力!$J$6:$J$35,"&gt;0",⑪ZEN工程入力!$I$6:$I$35,"&gt;0")+SUMIFS(⑫ミキサー工程入力!$M$6:$M$65,⑫ミキサー工程入力!$S$6:$S$65,$J390,⑫ミキサー工程入力!$J$6:$J$65,"&gt;0")-SUMIFS(⑫ミキサー工程入力!$M$6:$M$65,⑫ミキサー工程入力!$S$6:$S$65,$J390,⑫ミキサー工程入力!$J$6:$J$65,"&gt;0",⑫ミキサー工程入力!$I$6:$I$65,"&gt;0")+SUMIFS(⑬計量工程入力!$M$6:$M$65,⑬計量工程入力!$S$6:$S$65,$J390,⑬計量工程入力!$J$6:$J$65,"&gt;0")-SUMIFS(⑬計量工程入力!$M$6:$M$65,⑬計量工程入力!$S$6:$S$65,$J390,⑬計量工程入力!$J$6:$J$65,"&gt;0",⑬計量工程入力!$I$6:$I$65,"&gt;0")+SUMIFS(⑭手動工程入力!$M$6:$M$47,⑭手動工程入力!$S$6:$S$47,$J390,⑭手動工程入力!$J$6:$J$47,"&gt;0")-SUMIFS(⑭手動工程入力!$M$6:$M$47,⑭手動工程入力!$S$6:$S$47,$J390,⑭手動工程入力!$J$6:$J$47,"&gt;0",⑭手動工程入力!$I$6:$I$47,"&gt;0"))</f>
        <v/>
      </c>
      <c r="O390" s="393">
        <f>IF($J390="",0,SUMIFS(②釜工程入力!$J$5:$J$117,②釜工程入力!$S$5:$S$117,$J390,②釜工程入力!$J$5:$J$117,"&gt;0",②釜工程入力!$M$5:$M$117,"&gt;0")-SUMIFS(②釜工程入力!$J$5:$J$117,②釜工程入力!$S$5:$S$117,$J390,②釜工程入力!$J$5:$J$117,"&gt;0",②釜工程入力!$I$5:$I$117,"&gt;0",②釜工程入力!$M$5:$M$117,"&gt;0")+SUMIFS(③スチコン工程入力!$J$5:$J$152,③スチコン工程入力!$S$5:$S$152,$J390,③スチコン工程入力!$J$5:$J$152,"&gt;0",③スチコン工程入力!$M$5:$M$152,"&gt;0")-SUMIFS(③スチコン工程入力!$J$5:$J$152,③スチコン工程入力!$S$5:$S$152,$J390,③スチコン工程入力!$J$5:$J$152,"&gt;0",③スチコン工程入力!$I$5:$I$152,"&gt;0",③スチコン工程入力!$M$5:$M$152,"&gt;0")+SUMIFS(⑪ZEN工程入力!$J$6:$J$35,⑪ZEN工程入力!$S$6:$S$35,$J390,⑪ZEN工程入力!$J$6:$J$35,"&gt;0",⑪ZEN工程入力!$M$6:$M$35,"&gt;0")-SUMIFS(⑪ZEN工程入力!$J$6:$J$35,⑪ZEN工程入力!$S$6:$S$35,$J390,⑪ZEN工程入力!$J$6:$J$35,"&gt;0",⑪ZEN工程入力!$I$6:$I$35,"&gt;0",⑪ZEN工程入力!$M$6:$M$35,"&gt;0")+SUMIFS(⑫ミキサー工程入力!$J$6:$J$65,⑫ミキサー工程入力!$S$6:$S$65,$J390,⑫ミキサー工程入力!$J$6:$J$65,"&gt;0",⑫ミキサー工程入力!$M$6:$M$65,"&gt;0")-SUMIFS(⑫ミキサー工程入力!$J$6:$J$65,⑫ミキサー工程入力!$S$6:$S$65,$J390,⑫ミキサー工程入力!$J$6:$J$65,"&gt;0",⑫ミキサー工程入力!$I$6:$I$65,"&gt;0",⑫ミキサー工程入力!$M$6:$M$65,"&gt;0")+SUMIFS(⑬計量工程入力!$J$6:$J$65,⑬計量工程入力!$S$6:$S$65,$J390,⑬計量工程入力!$J$6:$J$65,"&gt;0",⑬計量工程入力!$M$6:$M$65,"&gt;0")-SUMIFS(⑬計量工程入力!$J$6:$J$65,⑬計量工程入力!$S$6:$S$65,$J390,⑬計量工程入力!$J$6:$J$65,"&gt;0",⑬計量工程入力!$I$6:$I$65,"&gt;0",⑬計量工程入力!$M$6:$M$65,"&gt;0")+SUMIFS(⑭手動工程入力!$J$6:$J$47,⑭手動工程入力!$S$6:$S$47,$J390,⑭手動工程入力!$J$6:$J$47,"&gt;0",⑭手動工程入力!$M$6:$M$47,"&gt;0")-SUMIFS(⑭手動工程入力!$J$6:$J$47,⑭手動工程入力!$S$6:$S$47,$J390,⑭手動工程入力!$J$6:$J$47,"&gt;0",⑭手動工程入力!$I$6:$I$47,"&gt;0",⑭手動工程入力!$M$6:$M$47,"&gt;0"))</f>
        <v/>
      </c>
      <c r="P390" s="392" t="inlineStr">
        <is>
          <t>中間品リスト</t>
        </is>
      </c>
    </row>
    <row r="391">
      <c r="A391" s="392" t="n">
        <v>387</v>
      </c>
      <c r="B391" s="392" t="n"/>
      <c r="C391" s="392" t="n"/>
      <c r="D391" s="409" t="n"/>
      <c r="E391" s="392" t="n"/>
      <c r="F391" s="394" t="n"/>
      <c r="G391" s="392" t="n"/>
      <c r="H391" s="604">
        <f>IFERROR(IF(AND($K391&gt;0,ISNUMBER(IF(OR($D391="g",$D391="ｇ"),IF($M391&gt;0,$L391/$M391/1000,""),IF($D391="kg",IF($M391&gt;0,$L391/$M391,""),IF($D391="",IF($M391&gt;0,$L391/$M391/1000,IF($O391&gt;0,$N391/$O391,"")),IF($O391&gt;0,$N391/$O391,"")))))),IF(OR($D391="g",$D391="ｇ"),IF($M391&gt;0,$L391/$M391/1000,""),IF($D391="kg",IF($M391&gt;0,$L391/$M391,""),IF($D391="",IF($M391&gt;0,$L391/$M391/1000,IF($O391&gt;0,$N391/$O391,"")),IF($O391&gt;0,$N391/$O391,"")))),IF($F391="",IF(OR($E391="",$E391="⑩盛付梱包工程入力"),"",IF(OR($D391="g",$D391="ｇ"),INDEX(⑰工程労務費一覧!$N$5:$N$11,MATCH($E391,⑰工程労務費一覧!$K$5:$K$11,0))/1000,IF($D391="kg",INDEX(⑰工程労務費一覧!$N$5:$N$11,MATCH($E391,⑰工程労務費一覧!$K$5:$K$11,0)),IF(OR($D391="個",$D391="切",$D391="本",$D391="枚",$D391="尾"),IF($E391="⑬計量工程入力","",INDEX(⑰工程労務費一覧!$P$5:$P$11,MATCH($E391,⑰工程労務費一覧!$K$5:$K$11,0))),IF(AND($D391="",OR($E391="②釜工程入力",$E391="③スチコン工程入力")),INDEX(⑰工程労務費一覧!$N$5:$N$11,MATCH($E391,⑰工程労務費一覧!$K$5:$K$11,0))/1000,""))))),IF(OR($D391="g",$D391="ｇ"),INDEX(⑰工程労務費一覧!$H$5:$H$753,MATCH($F391,⑰工程労務費一覧!$D$5:$D$753,0))/1000,IF($D391="kg",INDEX(⑰工程労務費一覧!$H$5:$H$753,MATCH($F391,⑰工程労務費一覧!$D$5:$D$753,0)),INDEX(⑰工程労務費一覧!$I$5:$I$753,MATCH($F391,⑰工程労務費一覧!$D$5:$D$753,0)))))),"")</f>
        <v/>
      </c>
      <c r="I391" s="392">
        <f>IF($K391&gt;0,IF(ISNUMBER(IF(OR($D391="g",$D391="ｇ"),IF($M391&gt;0,$L391/$M391/1000,""),IF($D391="kg",IF($M391&gt;0,$L391/$M391,""),IF($D391="",IF($M391&gt;0,$L391/$M391/1000,IF($O391&gt;0,$N391/$O391,"")),IF($O391&gt;0,$N391/$O391,""))))),IF($D391="",IF($M391&gt;0,"◎ JAN紐づけ(g扱い)","◎ JAN紐づけ(個扱い)"),"◎ JAN紐づけ"),"△ JAN紐づけ済・実績不足→仮計算"),IF($F391="",IF(ISNUMBER($H391),IF($D391="","⑤ 工程平均で仮計算(g扱い)","⑤ 工程平均で仮計算"),IF($E391="⑩盛付梱包工程入力","⑥ 盛り込み(⑳F列で計上)",IF(AND($E391="⑬計量工程入力",OR($D391="個",$D391="切",$D391="本",$D391="枚",$D391="尾")),"① 未紐づけ(カット個単位は仮単価なし)","① 未紐づけ"))),IF(NOT(ISNUMBER($H391)),"② 工程側に単価なし",IF($D391="","③ 単位未設定(個で計算)","④ OK"))))</f>
        <v/>
      </c>
      <c r="J391" s="399">
        <f>IFERROR(LOOKUP(2,1/((中間品リスト!$F$2:$F$1299=$B391)*(中間品リスト!$E$2:$E$1299&lt;&gt;"-")*(中間品リスト!$E$2:$E$1299&lt;&gt;"")),中間品リスト!$E$2:$E$1299),"")</f>
        <v/>
      </c>
      <c r="K391" s="400">
        <f>IF($J391="",0,COUNTIF(②釜工程入力!$S$5:$S$117,$J391)+COUNTIF(③スチコン工程入力!$S$5:$S$152,$J391)+COUNTIF(⑪ZEN工程入力!$S$6:$S$35,$J391)+COUNTIF(⑫ミキサー工程入力!$S$6:$S$65,$J391)+COUNTIF(⑬計量工程入力!$S$6:$S$65,$J391)+COUNTIF(⑭手動工程入力!$S$6:$S$47,$J391))</f>
        <v/>
      </c>
      <c r="L391" s="393">
        <f>IF($J391="",0,SUMIFS(②釜工程入力!$M$5:$M$117,②釜工程入力!$S$5:$S$117,$J391,②釜工程入力!$I$5:$I$117,"&gt;0")+SUMIFS(③スチコン工程入力!$M$5:$M$152,③スチコン工程入力!$S$5:$S$152,$J391,③スチコン工程入力!$I$5:$I$152,"&gt;0")+SUMIFS(⑪ZEN工程入力!$M$6:$M$35,⑪ZEN工程入力!$S$6:$S$35,$J391,⑪ZEN工程入力!$I$6:$I$35,"&gt;0")+SUMIFS(⑫ミキサー工程入力!$M$6:$M$65,⑫ミキサー工程入力!$S$6:$S$65,$J391,⑫ミキサー工程入力!$I$6:$I$65,"&gt;0")+SUMIFS(⑬計量工程入力!$M$6:$M$65,⑬計量工程入力!$S$6:$S$65,$J391,⑬計量工程入力!$I$6:$I$65,"&gt;0")+SUMIFS(⑭手動工程入力!$M$6:$M$47,⑭手動工程入力!$S$6:$S$47,$J391,⑭手動工程入力!$I$6:$I$47,"&gt;0"))</f>
        <v/>
      </c>
      <c r="M391" s="393">
        <f>IF($J391="",0,SUMIFS(②釜工程入力!$I$5:$I$117,②釜工程入力!$S$5:$S$117,$J391,②釜工程入力!$I$5:$I$117,"&gt;0",②釜工程入力!$M$5:$M$117,"&gt;0")+SUMIFS(③スチコン工程入力!$I$5:$I$152,③スチコン工程入力!$S$5:$S$152,$J391,③スチコン工程入力!$I$5:$I$152,"&gt;0",③スチコン工程入力!$M$5:$M$152,"&gt;0")+SUMIFS(⑪ZEN工程入力!$I$6:$I$35,⑪ZEN工程入力!$S$6:$S$35,$J391,⑪ZEN工程入力!$I$6:$I$35,"&gt;0",⑪ZEN工程入力!$M$6:$M$35,"&gt;0")+SUMIFS(⑫ミキサー工程入力!$I$6:$I$65,⑫ミキサー工程入力!$S$6:$S$65,$J391,⑫ミキサー工程入力!$I$6:$I$65,"&gt;0",⑫ミキサー工程入力!$M$6:$M$65,"&gt;0")+SUMIFS(⑬計量工程入力!$I$6:$I$65,⑬計量工程入力!$S$6:$S$65,$J391,⑬計量工程入力!$I$6:$I$65,"&gt;0",⑬計量工程入力!$M$6:$M$65,"&gt;0")+SUMIFS(⑭手動工程入力!$I$6:$I$47,⑭手動工程入力!$S$6:$S$47,$J391,⑭手動工程入力!$I$6:$I$47,"&gt;0",⑭手動工程入力!$M$6:$M$47,"&gt;0"))</f>
        <v/>
      </c>
      <c r="N391" s="393">
        <f>IF($J391="",0,SUMIFS(②釜工程入力!$M$5:$M$117,②釜工程入力!$S$5:$S$117,$J391,②釜工程入力!$J$5:$J$117,"&gt;0")-SUMIFS(②釜工程入力!$M$5:$M$117,②釜工程入力!$S$5:$S$117,$J391,②釜工程入力!$J$5:$J$117,"&gt;0",②釜工程入力!$I$5:$I$117,"&gt;0")+SUMIFS(③スチコン工程入力!$M$5:$M$152,③スチコン工程入力!$S$5:$S$152,$J391,③スチコン工程入力!$J$5:$J$152,"&gt;0")-SUMIFS(③スチコン工程入力!$M$5:$M$152,③スチコン工程入力!$S$5:$S$152,$J391,③スチコン工程入力!$J$5:$J$152,"&gt;0",③スチコン工程入力!$I$5:$I$152,"&gt;0")+SUMIFS(⑪ZEN工程入力!$M$6:$M$35,⑪ZEN工程入力!$S$6:$S$35,$J391,⑪ZEN工程入力!$J$6:$J$35,"&gt;0")-SUMIFS(⑪ZEN工程入力!$M$6:$M$35,⑪ZEN工程入力!$S$6:$S$35,$J391,⑪ZEN工程入力!$J$6:$J$35,"&gt;0",⑪ZEN工程入力!$I$6:$I$35,"&gt;0")+SUMIFS(⑫ミキサー工程入力!$M$6:$M$65,⑫ミキサー工程入力!$S$6:$S$65,$J391,⑫ミキサー工程入力!$J$6:$J$65,"&gt;0")-SUMIFS(⑫ミキサー工程入力!$M$6:$M$65,⑫ミキサー工程入力!$S$6:$S$65,$J391,⑫ミキサー工程入力!$J$6:$J$65,"&gt;0",⑫ミキサー工程入力!$I$6:$I$65,"&gt;0")+SUMIFS(⑬計量工程入力!$M$6:$M$65,⑬計量工程入力!$S$6:$S$65,$J391,⑬計量工程入力!$J$6:$J$65,"&gt;0")-SUMIFS(⑬計量工程入力!$M$6:$M$65,⑬計量工程入力!$S$6:$S$65,$J391,⑬計量工程入力!$J$6:$J$65,"&gt;0",⑬計量工程入力!$I$6:$I$65,"&gt;0")+SUMIFS(⑭手動工程入力!$M$6:$M$47,⑭手動工程入力!$S$6:$S$47,$J391,⑭手動工程入力!$J$6:$J$47,"&gt;0")-SUMIFS(⑭手動工程入力!$M$6:$M$47,⑭手動工程入力!$S$6:$S$47,$J391,⑭手動工程入力!$J$6:$J$47,"&gt;0",⑭手動工程入力!$I$6:$I$47,"&gt;0"))</f>
        <v/>
      </c>
      <c r="O391" s="393">
        <f>IF($J391="",0,SUMIFS(②釜工程入力!$J$5:$J$117,②釜工程入力!$S$5:$S$117,$J391,②釜工程入力!$J$5:$J$117,"&gt;0",②釜工程入力!$M$5:$M$117,"&gt;0")-SUMIFS(②釜工程入力!$J$5:$J$117,②釜工程入力!$S$5:$S$117,$J391,②釜工程入力!$J$5:$J$117,"&gt;0",②釜工程入力!$I$5:$I$117,"&gt;0",②釜工程入力!$M$5:$M$117,"&gt;0")+SUMIFS(③スチコン工程入力!$J$5:$J$152,③スチコン工程入力!$S$5:$S$152,$J391,③スチコン工程入力!$J$5:$J$152,"&gt;0",③スチコン工程入力!$M$5:$M$152,"&gt;0")-SUMIFS(③スチコン工程入力!$J$5:$J$152,③スチコン工程入力!$S$5:$S$152,$J391,③スチコン工程入力!$J$5:$J$152,"&gt;0",③スチコン工程入力!$I$5:$I$152,"&gt;0",③スチコン工程入力!$M$5:$M$152,"&gt;0")+SUMIFS(⑪ZEN工程入力!$J$6:$J$35,⑪ZEN工程入力!$S$6:$S$35,$J391,⑪ZEN工程入力!$J$6:$J$35,"&gt;0",⑪ZEN工程入力!$M$6:$M$35,"&gt;0")-SUMIFS(⑪ZEN工程入力!$J$6:$J$35,⑪ZEN工程入力!$S$6:$S$35,$J391,⑪ZEN工程入力!$J$6:$J$35,"&gt;0",⑪ZEN工程入力!$I$6:$I$35,"&gt;0",⑪ZEN工程入力!$M$6:$M$35,"&gt;0")+SUMIFS(⑫ミキサー工程入力!$J$6:$J$65,⑫ミキサー工程入力!$S$6:$S$65,$J391,⑫ミキサー工程入力!$J$6:$J$65,"&gt;0",⑫ミキサー工程入力!$M$6:$M$65,"&gt;0")-SUMIFS(⑫ミキサー工程入力!$J$6:$J$65,⑫ミキサー工程入力!$S$6:$S$65,$J391,⑫ミキサー工程入力!$J$6:$J$65,"&gt;0",⑫ミキサー工程入力!$I$6:$I$65,"&gt;0",⑫ミキサー工程入力!$M$6:$M$65,"&gt;0")+SUMIFS(⑬計量工程入力!$J$6:$J$65,⑬計量工程入力!$S$6:$S$65,$J391,⑬計量工程入力!$J$6:$J$65,"&gt;0",⑬計量工程入力!$M$6:$M$65,"&gt;0")-SUMIFS(⑬計量工程入力!$J$6:$J$65,⑬計量工程入力!$S$6:$S$65,$J391,⑬計量工程入力!$J$6:$J$65,"&gt;0",⑬計量工程入力!$I$6:$I$65,"&gt;0",⑬計量工程入力!$M$6:$M$65,"&gt;0")+SUMIFS(⑭手動工程入力!$J$6:$J$47,⑭手動工程入力!$S$6:$S$47,$J391,⑭手動工程入力!$J$6:$J$47,"&gt;0",⑭手動工程入力!$M$6:$M$47,"&gt;0")-SUMIFS(⑭手動工程入力!$J$6:$J$47,⑭手動工程入力!$S$6:$S$47,$J391,⑭手動工程入力!$J$6:$J$47,"&gt;0",⑭手動工程入力!$I$6:$I$47,"&gt;0",⑭手動工程入力!$M$6:$M$47,"&gt;0"))</f>
        <v/>
      </c>
      <c r="P391" s="392" t="inlineStr">
        <is>
          <t>中間品リスト</t>
        </is>
      </c>
    </row>
    <row r="392">
      <c r="A392" s="392" t="n">
        <v>388</v>
      </c>
      <c r="B392" s="392" t="n"/>
      <c r="C392" s="392" t="n"/>
      <c r="D392" s="409" t="n"/>
      <c r="E392" s="392" t="n"/>
      <c r="F392" s="394" t="n"/>
      <c r="G392" s="392" t="n"/>
      <c r="H392" s="604">
        <f>IFERROR(IF(AND($K392&gt;0,ISNUMBER(IF(OR($D392="g",$D392="ｇ"),IF($M392&gt;0,$L392/$M392/1000,""),IF($D392="kg",IF($M392&gt;0,$L392/$M392,""),IF($D392="",IF($M392&gt;0,$L392/$M392/1000,IF($O392&gt;0,$N392/$O392,"")),IF($O392&gt;0,$N392/$O392,"")))))),IF(OR($D392="g",$D392="ｇ"),IF($M392&gt;0,$L392/$M392/1000,""),IF($D392="kg",IF($M392&gt;0,$L392/$M392,""),IF($D392="",IF($M392&gt;0,$L392/$M392/1000,IF($O392&gt;0,$N392/$O392,"")),IF($O392&gt;0,$N392/$O392,"")))),IF($F392="",IF(OR($E392="",$E392="⑩盛付梱包工程入力"),"",IF(OR($D392="g",$D392="ｇ"),INDEX(⑰工程労務費一覧!$N$5:$N$11,MATCH($E392,⑰工程労務費一覧!$K$5:$K$11,0))/1000,IF($D392="kg",INDEX(⑰工程労務費一覧!$N$5:$N$11,MATCH($E392,⑰工程労務費一覧!$K$5:$K$11,0)),IF(OR($D392="個",$D392="切",$D392="本",$D392="枚",$D392="尾"),IF($E392="⑬計量工程入力","",INDEX(⑰工程労務費一覧!$P$5:$P$11,MATCH($E392,⑰工程労務費一覧!$K$5:$K$11,0))),IF(AND($D392="",OR($E392="②釜工程入力",$E392="③スチコン工程入力")),INDEX(⑰工程労務費一覧!$N$5:$N$11,MATCH($E392,⑰工程労務費一覧!$K$5:$K$11,0))/1000,""))))),IF(OR($D392="g",$D392="ｇ"),INDEX(⑰工程労務費一覧!$H$5:$H$753,MATCH($F392,⑰工程労務費一覧!$D$5:$D$753,0))/1000,IF($D392="kg",INDEX(⑰工程労務費一覧!$H$5:$H$753,MATCH($F392,⑰工程労務費一覧!$D$5:$D$753,0)),INDEX(⑰工程労務費一覧!$I$5:$I$753,MATCH($F392,⑰工程労務費一覧!$D$5:$D$753,0)))))),"")</f>
        <v/>
      </c>
      <c r="I392" s="392">
        <f>IF($K392&gt;0,IF(ISNUMBER(IF(OR($D392="g",$D392="ｇ"),IF($M392&gt;0,$L392/$M392/1000,""),IF($D392="kg",IF($M392&gt;0,$L392/$M392,""),IF($D392="",IF($M392&gt;0,$L392/$M392/1000,IF($O392&gt;0,$N392/$O392,"")),IF($O392&gt;0,$N392/$O392,""))))),IF($D392="",IF($M392&gt;0,"◎ JAN紐づけ(g扱い)","◎ JAN紐づけ(個扱い)"),"◎ JAN紐づけ"),"△ JAN紐づけ済・実績不足→仮計算"),IF($F392="",IF(ISNUMBER($H392),IF($D392="","⑤ 工程平均で仮計算(g扱い)","⑤ 工程平均で仮計算"),IF($E392="⑩盛付梱包工程入力","⑥ 盛り込み(⑳F列で計上)",IF(AND($E392="⑬計量工程入力",OR($D392="個",$D392="切",$D392="本",$D392="枚",$D392="尾")),"① 未紐づけ(カット個単位は仮単価なし)","① 未紐づけ"))),IF(NOT(ISNUMBER($H392)),"② 工程側に単価なし",IF($D392="","③ 単位未設定(個で計算)","④ OK"))))</f>
        <v/>
      </c>
      <c r="J392" s="399">
        <f>IFERROR(LOOKUP(2,1/((中間品リスト!$F$2:$F$1299=$B392)*(中間品リスト!$E$2:$E$1299&lt;&gt;"-")*(中間品リスト!$E$2:$E$1299&lt;&gt;"")),中間品リスト!$E$2:$E$1299),"")</f>
        <v/>
      </c>
      <c r="K392" s="400">
        <f>IF($J392="",0,COUNTIF(②釜工程入力!$S$5:$S$117,$J392)+COUNTIF(③スチコン工程入力!$S$5:$S$152,$J392)+COUNTIF(⑪ZEN工程入力!$S$6:$S$35,$J392)+COUNTIF(⑫ミキサー工程入力!$S$6:$S$65,$J392)+COUNTIF(⑬計量工程入力!$S$6:$S$65,$J392)+COUNTIF(⑭手動工程入力!$S$6:$S$47,$J392))</f>
        <v/>
      </c>
      <c r="L392" s="393">
        <f>IF($J392="",0,SUMIFS(②釜工程入力!$M$5:$M$117,②釜工程入力!$S$5:$S$117,$J392,②釜工程入力!$I$5:$I$117,"&gt;0")+SUMIFS(③スチコン工程入力!$M$5:$M$152,③スチコン工程入力!$S$5:$S$152,$J392,③スチコン工程入力!$I$5:$I$152,"&gt;0")+SUMIFS(⑪ZEN工程入力!$M$6:$M$35,⑪ZEN工程入力!$S$6:$S$35,$J392,⑪ZEN工程入力!$I$6:$I$35,"&gt;0")+SUMIFS(⑫ミキサー工程入力!$M$6:$M$65,⑫ミキサー工程入力!$S$6:$S$65,$J392,⑫ミキサー工程入力!$I$6:$I$65,"&gt;0")+SUMIFS(⑬計量工程入力!$M$6:$M$65,⑬計量工程入力!$S$6:$S$65,$J392,⑬計量工程入力!$I$6:$I$65,"&gt;0")+SUMIFS(⑭手動工程入力!$M$6:$M$47,⑭手動工程入力!$S$6:$S$47,$J392,⑭手動工程入力!$I$6:$I$47,"&gt;0"))</f>
        <v/>
      </c>
      <c r="M392" s="393">
        <f>IF($J392="",0,SUMIFS(②釜工程入力!$I$5:$I$117,②釜工程入力!$S$5:$S$117,$J392,②釜工程入力!$I$5:$I$117,"&gt;0",②釜工程入力!$M$5:$M$117,"&gt;0")+SUMIFS(③スチコン工程入力!$I$5:$I$152,③スチコン工程入力!$S$5:$S$152,$J392,③スチコン工程入力!$I$5:$I$152,"&gt;0",③スチコン工程入力!$M$5:$M$152,"&gt;0")+SUMIFS(⑪ZEN工程入力!$I$6:$I$35,⑪ZEN工程入力!$S$6:$S$35,$J392,⑪ZEN工程入力!$I$6:$I$35,"&gt;0",⑪ZEN工程入力!$M$6:$M$35,"&gt;0")+SUMIFS(⑫ミキサー工程入力!$I$6:$I$65,⑫ミキサー工程入力!$S$6:$S$65,$J392,⑫ミキサー工程入力!$I$6:$I$65,"&gt;0",⑫ミキサー工程入力!$M$6:$M$65,"&gt;0")+SUMIFS(⑬計量工程入力!$I$6:$I$65,⑬計量工程入力!$S$6:$S$65,$J392,⑬計量工程入力!$I$6:$I$65,"&gt;0",⑬計量工程入力!$M$6:$M$65,"&gt;0")+SUMIFS(⑭手動工程入力!$I$6:$I$47,⑭手動工程入力!$S$6:$S$47,$J392,⑭手動工程入力!$I$6:$I$47,"&gt;0",⑭手動工程入力!$M$6:$M$47,"&gt;0"))</f>
        <v/>
      </c>
      <c r="N392" s="393">
        <f>IF($J392="",0,SUMIFS(②釜工程入力!$M$5:$M$117,②釜工程入力!$S$5:$S$117,$J392,②釜工程入力!$J$5:$J$117,"&gt;0")-SUMIFS(②釜工程入力!$M$5:$M$117,②釜工程入力!$S$5:$S$117,$J392,②釜工程入力!$J$5:$J$117,"&gt;0",②釜工程入力!$I$5:$I$117,"&gt;0")+SUMIFS(③スチコン工程入力!$M$5:$M$152,③スチコン工程入力!$S$5:$S$152,$J392,③スチコン工程入力!$J$5:$J$152,"&gt;0")-SUMIFS(③スチコン工程入力!$M$5:$M$152,③スチコン工程入力!$S$5:$S$152,$J392,③スチコン工程入力!$J$5:$J$152,"&gt;0",③スチコン工程入力!$I$5:$I$152,"&gt;0")+SUMIFS(⑪ZEN工程入力!$M$6:$M$35,⑪ZEN工程入力!$S$6:$S$35,$J392,⑪ZEN工程入力!$J$6:$J$35,"&gt;0")-SUMIFS(⑪ZEN工程入力!$M$6:$M$35,⑪ZEN工程入力!$S$6:$S$35,$J392,⑪ZEN工程入力!$J$6:$J$35,"&gt;0",⑪ZEN工程入力!$I$6:$I$35,"&gt;0")+SUMIFS(⑫ミキサー工程入力!$M$6:$M$65,⑫ミキサー工程入力!$S$6:$S$65,$J392,⑫ミキサー工程入力!$J$6:$J$65,"&gt;0")-SUMIFS(⑫ミキサー工程入力!$M$6:$M$65,⑫ミキサー工程入力!$S$6:$S$65,$J392,⑫ミキサー工程入力!$J$6:$J$65,"&gt;0",⑫ミキサー工程入力!$I$6:$I$65,"&gt;0")+SUMIFS(⑬計量工程入力!$M$6:$M$65,⑬計量工程入力!$S$6:$S$65,$J392,⑬計量工程入力!$J$6:$J$65,"&gt;0")-SUMIFS(⑬計量工程入力!$M$6:$M$65,⑬計量工程入力!$S$6:$S$65,$J392,⑬計量工程入力!$J$6:$J$65,"&gt;0",⑬計量工程入力!$I$6:$I$65,"&gt;0")+SUMIFS(⑭手動工程入力!$M$6:$M$47,⑭手動工程入力!$S$6:$S$47,$J392,⑭手動工程入力!$J$6:$J$47,"&gt;0")-SUMIFS(⑭手動工程入力!$M$6:$M$47,⑭手動工程入力!$S$6:$S$47,$J392,⑭手動工程入力!$J$6:$J$47,"&gt;0",⑭手動工程入力!$I$6:$I$47,"&gt;0"))</f>
        <v/>
      </c>
      <c r="O392" s="393">
        <f>IF($J392="",0,SUMIFS(②釜工程入力!$J$5:$J$117,②釜工程入力!$S$5:$S$117,$J392,②釜工程入力!$J$5:$J$117,"&gt;0",②釜工程入力!$M$5:$M$117,"&gt;0")-SUMIFS(②釜工程入力!$J$5:$J$117,②釜工程入力!$S$5:$S$117,$J392,②釜工程入力!$J$5:$J$117,"&gt;0",②釜工程入力!$I$5:$I$117,"&gt;0",②釜工程入力!$M$5:$M$117,"&gt;0")+SUMIFS(③スチコン工程入力!$J$5:$J$152,③スチコン工程入力!$S$5:$S$152,$J392,③スチコン工程入力!$J$5:$J$152,"&gt;0",③スチコン工程入力!$M$5:$M$152,"&gt;0")-SUMIFS(③スチコン工程入力!$J$5:$J$152,③スチコン工程入力!$S$5:$S$152,$J392,③スチコン工程入力!$J$5:$J$152,"&gt;0",③スチコン工程入力!$I$5:$I$152,"&gt;0",③スチコン工程入力!$M$5:$M$152,"&gt;0")+SUMIFS(⑪ZEN工程入力!$J$6:$J$35,⑪ZEN工程入力!$S$6:$S$35,$J392,⑪ZEN工程入力!$J$6:$J$35,"&gt;0",⑪ZEN工程入力!$M$6:$M$35,"&gt;0")-SUMIFS(⑪ZEN工程入力!$J$6:$J$35,⑪ZEN工程入力!$S$6:$S$35,$J392,⑪ZEN工程入力!$J$6:$J$35,"&gt;0",⑪ZEN工程入力!$I$6:$I$35,"&gt;0",⑪ZEN工程入力!$M$6:$M$35,"&gt;0")+SUMIFS(⑫ミキサー工程入力!$J$6:$J$65,⑫ミキサー工程入力!$S$6:$S$65,$J392,⑫ミキサー工程入力!$J$6:$J$65,"&gt;0",⑫ミキサー工程入力!$M$6:$M$65,"&gt;0")-SUMIFS(⑫ミキサー工程入力!$J$6:$J$65,⑫ミキサー工程入力!$S$6:$S$65,$J392,⑫ミキサー工程入力!$J$6:$J$65,"&gt;0",⑫ミキサー工程入力!$I$6:$I$65,"&gt;0",⑫ミキサー工程入力!$M$6:$M$65,"&gt;0")+SUMIFS(⑬計量工程入力!$J$6:$J$65,⑬計量工程入力!$S$6:$S$65,$J392,⑬計量工程入力!$J$6:$J$65,"&gt;0",⑬計量工程入力!$M$6:$M$65,"&gt;0")-SUMIFS(⑬計量工程入力!$J$6:$J$65,⑬計量工程入力!$S$6:$S$65,$J392,⑬計量工程入力!$J$6:$J$65,"&gt;0",⑬計量工程入力!$I$6:$I$65,"&gt;0",⑬計量工程入力!$M$6:$M$65,"&gt;0")+SUMIFS(⑭手動工程入力!$J$6:$J$47,⑭手動工程入力!$S$6:$S$47,$J392,⑭手動工程入力!$J$6:$J$47,"&gt;0",⑭手動工程入力!$M$6:$M$47,"&gt;0")-SUMIFS(⑭手動工程入力!$J$6:$J$47,⑭手動工程入力!$S$6:$S$47,$J392,⑭手動工程入力!$J$6:$J$47,"&gt;0",⑭手動工程入力!$I$6:$I$47,"&gt;0",⑭手動工程入力!$M$6:$M$47,"&gt;0"))</f>
        <v/>
      </c>
      <c r="P392" s="392" t="inlineStr">
        <is>
          <t>中間品リスト</t>
        </is>
      </c>
    </row>
    <row r="393">
      <c r="A393" s="392" t="n">
        <v>389</v>
      </c>
      <c r="B393" s="392" t="n"/>
      <c r="C393" s="392" t="n"/>
      <c r="D393" s="409" t="n"/>
      <c r="E393" s="392" t="n"/>
      <c r="F393" s="394" t="n"/>
      <c r="G393" s="392" t="n"/>
      <c r="H393" s="604">
        <f>IFERROR(IF(AND($K393&gt;0,ISNUMBER(IF(OR($D393="g",$D393="ｇ"),IF($M393&gt;0,$L393/$M393/1000,""),IF($D393="kg",IF($M393&gt;0,$L393/$M393,""),IF($D393="",IF($M393&gt;0,$L393/$M393/1000,IF($O393&gt;0,$N393/$O393,"")),IF($O393&gt;0,$N393/$O393,"")))))),IF(OR($D393="g",$D393="ｇ"),IF($M393&gt;0,$L393/$M393/1000,""),IF($D393="kg",IF($M393&gt;0,$L393/$M393,""),IF($D393="",IF($M393&gt;0,$L393/$M393/1000,IF($O393&gt;0,$N393/$O393,"")),IF($O393&gt;0,$N393/$O393,"")))),IF($F393="",IF(OR($E393="",$E393="⑩盛付梱包工程入力"),"",IF(OR($D393="g",$D393="ｇ"),INDEX(⑰工程労務費一覧!$N$5:$N$11,MATCH($E393,⑰工程労務費一覧!$K$5:$K$11,0))/1000,IF($D393="kg",INDEX(⑰工程労務費一覧!$N$5:$N$11,MATCH($E393,⑰工程労務費一覧!$K$5:$K$11,0)),IF(OR($D393="個",$D393="切",$D393="本",$D393="枚",$D393="尾"),IF($E393="⑬計量工程入力","",INDEX(⑰工程労務費一覧!$P$5:$P$11,MATCH($E393,⑰工程労務費一覧!$K$5:$K$11,0))),IF(AND($D393="",OR($E393="②釜工程入力",$E393="③スチコン工程入力")),INDEX(⑰工程労務費一覧!$N$5:$N$11,MATCH($E393,⑰工程労務費一覧!$K$5:$K$11,0))/1000,""))))),IF(OR($D393="g",$D393="ｇ"),INDEX(⑰工程労務費一覧!$H$5:$H$753,MATCH($F393,⑰工程労務費一覧!$D$5:$D$753,0))/1000,IF($D393="kg",INDEX(⑰工程労務費一覧!$H$5:$H$753,MATCH($F393,⑰工程労務費一覧!$D$5:$D$753,0)),INDEX(⑰工程労務費一覧!$I$5:$I$753,MATCH($F393,⑰工程労務費一覧!$D$5:$D$753,0)))))),"")</f>
        <v/>
      </c>
      <c r="I393" s="392">
        <f>IF($K393&gt;0,IF(ISNUMBER(IF(OR($D393="g",$D393="ｇ"),IF($M393&gt;0,$L393/$M393/1000,""),IF($D393="kg",IF($M393&gt;0,$L393/$M393,""),IF($D393="",IF($M393&gt;0,$L393/$M393/1000,IF($O393&gt;0,$N393/$O393,"")),IF($O393&gt;0,$N393/$O393,""))))),IF($D393="",IF($M393&gt;0,"◎ JAN紐づけ(g扱い)","◎ JAN紐づけ(個扱い)"),"◎ JAN紐づけ"),"△ JAN紐づけ済・実績不足→仮計算"),IF($F393="",IF(ISNUMBER($H393),IF($D393="","⑤ 工程平均で仮計算(g扱い)","⑤ 工程平均で仮計算"),IF($E393="⑩盛付梱包工程入力","⑥ 盛り込み(⑳F列で計上)",IF(AND($E393="⑬計量工程入力",OR($D393="個",$D393="切",$D393="本",$D393="枚",$D393="尾")),"① 未紐づけ(カット個単位は仮単価なし)","① 未紐づけ"))),IF(NOT(ISNUMBER($H393)),"② 工程側に単価なし",IF($D393="","③ 単位未設定(個で計算)","④ OK"))))</f>
        <v/>
      </c>
      <c r="J393" s="399">
        <f>IFERROR(LOOKUP(2,1/((中間品リスト!$F$2:$F$1299=$B393)*(中間品リスト!$E$2:$E$1299&lt;&gt;"-")*(中間品リスト!$E$2:$E$1299&lt;&gt;"")),中間品リスト!$E$2:$E$1299),"")</f>
        <v/>
      </c>
      <c r="K393" s="400">
        <f>IF($J393="",0,COUNTIF(②釜工程入力!$S$5:$S$117,$J393)+COUNTIF(③スチコン工程入力!$S$5:$S$152,$J393)+COUNTIF(⑪ZEN工程入力!$S$6:$S$35,$J393)+COUNTIF(⑫ミキサー工程入力!$S$6:$S$65,$J393)+COUNTIF(⑬計量工程入力!$S$6:$S$65,$J393)+COUNTIF(⑭手動工程入力!$S$6:$S$47,$J393))</f>
        <v/>
      </c>
      <c r="L393" s="393">
        <f>IF($J393="",0,SUMIFS(②釜工程入力!$M$5:$M$117,②釜工程入力!$S$5:$S$117,$J393,②釜工程入力!$I$5:$I$117,"&gt;0")+SUMIFS(③スチコン工程入力!$M$5:$M$152,③スチコン工程入力!$S$5:$S$152,$J393,③スチコン工程入力!$I$5:$I$152,"&gt;0")+SUMIFS(⑪ZEN工程入力!$M$6:$M$35,⑪ZEN工程入力!$S$6:$S$35,$J393,⑪ZEN工程入力!$I$6:$I$35,"&gt;0")+SUMIFS(⑫ミキサー工程入力!$M$6:$M$65,⑫ミキサー工程入力!$S$6:$S$65,$J393,⑫ミキサー工程入力!$I$6:$I$65,"&gt;0")+SUMIFS(⑬計量工程入力!$M$6:$M$65,⑬計量工程入力!$S$6:$S$65,$J393,⑬計量工程入力!$I$6:$I$65,"&gt;0")+SUMIFS(⑭手動工程入力!$M$6:$M$47,⑭手動工程入力!$S$6:$S$47,$J393,⑭手動工程入力!$I$6:$I$47,"&gt;0"))</f>
        <v/>
      </c>
      <c r="M393" s="393">
        <f>IF($J393="",0,SUMIFS(②釜工程入力!$I$5:$I$117,②釜工程入力!$S$5:$S$117,$J393,②釜工程入力!$I$5:$I$117,"&gt;0",②釜工程入力!$M$5:$M$117,"&gt;0")+SUMIFS(③スチコン工程入力!$I$5:$I$152,③スチコン工程入力!$S$5:$S$152,$J393,③スチコン工程入力!$I$5:$I$152,"&gt;0",③スチコン工程入力!$M$5:$M$152,"&gt;0")+SUMIFS(⑪ZEN工程入力!$I$6:$I$35,⑪ZEN工程入力!$S$6:$S$35,$J393,⑪ZEN工程入力!$I$6:$I$35,"&gt;0",⑪ZEN工程入力!$M$6:$M$35,"&gt;0")+SUMIFS(⑫ミキサー工程入力!$I$6:$I$65,⑫ミキサー工程入力!$S$6:$S$65,$J393,⑫ミキサー工程入力!$I$6:$I$65,"&gt;0",⑫ミキサー工程入力!$M$6:$M$65,"&gt;0")+SUMIFS(⑬計量工程入力!$I$6:$I$65,⑬計量工程入力!$S$6:$S$65,$J393,⑬計量工程入力!$I$6:$I$65,"&gt;0",⑬計量工程入力!$M$6:$M$65,"&gt;0")+SUMIFS(⑭手動工程入力!$I$6:$I$47,⑭手動工程入力!$S$6:$S$47,$J393,⑭手動工程入力!$I$6:$I$47,"&gt;0",⑭手動工程入力!$M$6:$M$47,"&gt;0"))</f>
        <v/>
      </c>
      <c r="N393" s="393">
        <f>IF($J393="",0,SUMIFS(②釜工程入力!$M$5:$M$117,②釜工程入力!$S$5:$S$117,$J393,②釜工程入力!$J$5:$J$117,"&gt;0")-SUMIFS(②釜工程入力!$M$5:$M$117,②釜工程入力!$S$5:$S$117,$J393,②釜工程入力!$J$5:$J$117,"&gt;0",②釜工程入力!$I$5:$I$117,"&gt;0")+SUMIFS(③スチコン工程入力!$M$5:$M$152,③スチコン工程入力!$S$5:$S$152,$J393,③スチコン工程入力!$J$5:$J$152,"&gt;0")-SUMIFS(③スチコン工程入力!$M$5:$M$152,③スチコン工程入力!$S$5:$S$152,$J393,③スチコン工程入力!$J$5:$J$152,"&gt;0",③スチコン工程入力!$I$5:$I$152,"&gt;0")+SUMIFS(⑪ZEN工程入力!$M$6:$M$35,⑪ZEN工程入力!$S$6:$S$35,$J393,⑪ZEN工程入力!$J$6:$J$35,"&gt;0")-SUMIFS(⑪ZEN工程入力!$M$6:$M$35,⑪ZEN工程入力!$S$6:$S$35,$J393,⑪ZEN工程入力!$J$6:$J$35,"&gt;0",⑪ZEN工程入力!$I$6:$I$35,"&gt;0")+SUMIFS(⑫ミキサー工程入力!$M$6:$M$65,⑫ミキサー工程入力!$S$6:$S$65,$J393,⑫ミキサー工程入力!$J$6:$J$65,"&gt;0")-SUMIFS(⑫ミキサー工程入力!$M$6:$M$65,⑫ミキサー工程入力!$S$6:$S$65,$J393,⑫ミキサー工程入力!$J$6:$J$65,"&gt;0",⑫ミキサー工程入力!$I$6:$I$65,"&gt;0")+SUMIFS(⑬計量工程入力!$M$6:$M$65,⑬計量工程入力!$S$6:$S$65,$J393,⑬計量工程入力!$J$6:$J$65,"&gt;0")-SUMIFS(⑬計量工程入力!$M$6:$M$65,⑬計量工程入力!$S$6:$S$65,$J393,⑬計量工程入力!$J$6:$J$65,"&gt;0",⑬計量工程入力!$I$6:$I$65,"&gt;0")+SUMIFS(⑭手動工程入力!$M$6:$M$47,⑭手動工程入力!$S$6:$S$47,$J393,⑭手動工程入力!$J$6:$J$47,"&gt;0")-SUMIFS(⑭手動工程入力!$M$6:$M$47,⑭手動工程入力!$S$6:$S$47,$J393,⑭手動工程入力!$J$6:$J$47,"&gt;0",⑭手動工程入力!$I$6:$I$47,"&gt;0"))</f>
        <v/>
      </c>
      <c r="O393" s="393">
        <f>IF($J393="",0,SUMIFS(②釜工程入力!$J$5:$J$117,②釜工程入力!$S$5:$S$117,$J393,②釜工程入力!$J$5:$J$117,"&gt;0",②釜工程入力!$M$5:$M$117,"&gt;0")-SUMIFS(②釜工程入力!$J$5:$J$117,②釜工程入力!$S$5:$S$117,$J393,②釜工程入力!$J$5:$J$117,"&gt;0",②釜工程入力!$I$5:$I$117,"&gt;0",②釜工程入力!$M$5:$M$117,"&gt;0")+SUMIFS(③スチコン工程入力!$J$5:$J$152,③スチコン工程入力!$S$5:$S$152,$J393,③スチコン工程入力!$J$5:$J$152,"&gt;0",③スチコン工程入力!$M$5:$M$152,"&gt;0")-SUMIFS(③スチコン工程入力!$J$5:$J$152,③スチコン工程入力!$S$5:$S$152,$J393,③スチコン工程入力!$J$5:$J$152,"&gt;0",③スチコン工程入力!$I$5:$I$152,"&gt;0",③スチコン工程入力!$M$5:$M$152,"&gt;0")+SUMIFS(⑪ZEN工程入力!$J$6:$J$35,⑪ZEN工程入力!$S$6:$S$35,$J393,⑪ZEN工程入力!$J$6:$J$35,"&gt;0",⑪ZEN工程入力!$M$6:$M$35,"&gt;0")-SUMIFS(⑪ZEN工程入力!$J$6:$J$35,⑪ZEN工程入力!$S$6:$S$35,$J393,⑪ZEN工程入力!$J$6:$J$35,"&gt;0",⑪ZEN工程入力!$I$6:$I$35,"&gt;0",⑪ZEN工程入力!$M$6:$M$35,"&gt;0")+SUMIFS(⑫ミキサー工程入力!$J$6:$J$65,⑫ミキサー工程入力!$S$6:$S$65,$J393,⑫ミキサー工程入力!$J$6:$J$65,"&gt;0",⑫ミキサー工程入力!$M$6:$M$65,"&gt;0")-SUMIFS(⑫ミキサー工程入力!$J$6:$J$65,⑫ミキサー工程入力!$S$6:$S$65,$J393,⑫ミキサー工程入力!$J$6:$J$65,"&gt;0",⑫ミキサー工程入力!$I$6:$I$65,"&gt;0",⑫ミキサー工程入力!$M$6:$M$65,"&gt;0")+SUMIFS(⑬計量工程入力!$J$6:$J$65,⑬計量工程入力!$S$6:$S$65,$J393,⑬計量工程入力!$J$6:$J$65,"&gt;0",⑬計量工程入力!$M$6:$M$65,"&gt;0")-SUMIFS(⑬計量工程入力!$J$6:$J$65,⑬計量工程入力!$S$6:$S$65,$J393,⑬計量工程入力!$J$6:$J$65,"&gt;0",⑬計量工程入力!$I$6:$I$65,"&gt;0",⑬計量工程入力!$M$6:$M$65,"&gt;0")+SUMIFS(⑭手動工程入力!$J$6:$J$47,⑭手動工程入力!$S$6:$S$47,$J393,⑭手動工程入力!$J$6:$J$47,"&gt;0",⑭手動工程入力!$M$6:$M$47,"&gt;0")-SUMIFS(⑭手動工程入力!$J$6:$J$47,⑭手動工程入力!$S$6:$S$47,$J393,⑭手動工程入力!$J$6:$J$47,"&gt;0",⑭手動工程入力!$I$6:$I$47,"&gt;0",⑭手動工程入力!$M$6:$M$47,"&gt;0"))</f>
        <v/>
      </c>
      <c r="P393" s="392" t="inlineStr">
        <is>
          <t>中間品リスト</t>
        </is>
      </c>
    </row>
    <row r="394">
      <c r="A394" s="392" t="n">
        <v>390</v>
      </c>
      <c r="B394" s="392" t="n"/>
      <c r="C394" s="392" t="n"/>
      <c r="D394" s="409" t="n"/>
      <c r="E394" s="392" t="n"/>
      <c r="F394" s="394" t="n"/>
      <c r="G394" s="392" t="n"/>
      <c r="H394" s="604">
        <f>IFERROR(IF(AND($K394&gt;0,ISNUMBER(IF(OR($D394="g",$D394="ｇ"),IF($M394&gt;0,$L394/$M394/1000,""),IF($D394="kg",IF($M394&gt;0,$L394/$M394,""),IF($D394="",IF($M394&gt;0,$L394/$M394/1000,IF($O394&gt;0,$N394/$O394,"")),IF($O394&gt;0,$N394/$O394,"")))))),IF(OR($D394="g",$D394="ｇ"),IF($M394&gt;0,$L394/$M394/1000,""),IF($D394="kg",IF($M394&gt;0,$L394/$M394,""),IF($D394="",IF($M394&gt;0,$L394/$M394/1000,IF($O394&gt;0,$N394/$O394,"")),IF($O394&gt;0,$N394/$O394,"")))),IF($F394="",IF(OR($E394="",$E394="⑩盛付梱包工程入力"),"",IF(OR($D394="g",$D394="ｇ"),INDEX(⑰工程労務費一覧!$N$5:$N$11,MATCH($E394,⑰工程労務費一覧!$K$5:$K$11,0))/1000,IF($D394="kg",INDEX(⑰工程労務費一覧!$N$5:$N$11,MATCH($E394,⑰工程労務費一覧!$K$5:$K$11,0)),IF(OR($D394="個",$D394="切",$D394="本",$D394="枚",$D394="尾"),IF($E394="⑬計量工程入力","",INDEX(⑰工程労務費一覧!$P$5:$P$11,MATCH($E394,⑰工程労務費一覧!$K$5:$K$11,0))),IF(AND($D394="",OR($E394="②釜工程入力",$E394="③スチコン工程入力")),INDEX(⑰工程労務費一覧!$N$5:$N$11,MATCH($E394,⑰工程労務費一覧!$K$5:$K$11,0))/1000,""))))),IF(OR($D394="g",$D394="ｇ"),INDEX(⑰工程労務費一覧!$H$5:$H$753,MATCH($F394,⑰工程労務費一覧!$D$5:$D$753,0))/1000,IF($D394="kg",INDEX(⑰工程労務費一覧!$H$5:$H$753,MATCH($F394,⑰工程労務費一覧!$D$5:$D$753,0)),INDEX(⑰工程労務費一覧!$I$5:$I$753,MATCH($F394,⑰工程労務費一覧!$D$5:$D$753,0)))))),"")</f>
        <v/>
      </c>
      <c r="I394" s="392">
        <f>IF($K394&gt;0,IF(ISNUMBER(IF(OR($D394="g",$D394="ｇ"),IF($M394&gt;0,$L394/$M394/1000,""),IF($D394="kg",IF($M394&gt;0,$L394/$M394,""),IF($D394="",IF($M394&gt;0,$L394/$M394/1000,IF($O394&gt;0,$N394/$O394,"")),IF($O394&gt;0,$N394/$O394,""))))),IF($D394="",IF($M394&gt;0,"◎ JAN紐づけ(g扱い)","◎ JAN紐づけ(個扱い)"),"◎ JAN紐づけ"),"△ JAN紐づけ済・実績不足→仮計算"),IF($F394="",IF(ISNUMBER($H394),IF($D394="","⑤ 工程平均で仮計算(g扱い)","⑤ 工程平均で仮計算"),IF($E394="⑩盛付梱包工程入力","⑥ 盛り込み(⑳F列で計上)",IF(AND($E394="⑬計量工程入力",OR($D394="個",$D394="切",$D394="本",$D394="枚",$D394="尾")),"① 未紐づけ(カット個単位は仮単価なし)","① 未紐づけ"))),IF(NOT(ISNUMBER($H394)),"② 工程側に単価なし",IF($D394="","③ 単位未設定(個で計算)","④ OK"))))</f>
        <v/>
      </c>
      <c r="J394" s="399">
        <f>IFERROR(LOOKUP(2,1/((中間品リスト!$F$2:$F$1299=$B394)*(中間品リスト!$E$2:$E$1299&lt;&gt;"-")*(中間品リスト!$E$2:$E$1299&lt;&gt;"")),中間品リスト!$E$2:$E$1299),"")</f>
        <v/>
      </c>
      <c r="K394" s="400">
        <f>IF($J394="",0,COUNTIF(②釜工程入力!$S$5:$S$117,$J394)+COUNTIF(③スチコン工程入力!$S$5:$S$152,$J394)+COUNTIF(⑪ZEN工程入力!$S$6:$S$35,$J394)+COUNTIF(⑫ミキサー工程入力!$S$6:$S$65,$J394)+COUNTIF(⑬計量工程入力!$S$6:$S$65,$J394)+COUNTIF(⑭手動工程入力!$S$6:$S$47,$J394))</f>
        <v/>
      </c>
      <c r="L394" s="393">
        <f>IF($J394="",0,SUMIFS(②釜工程入力!$M$5:$M$117,②釜工程入力!$S$5:$S$117,$J394,②釜工程入力!$I$5:$I$117,"&gt;0")+SUMIFS(③スチコン工程入力!$M$5:$M$152,③スチコン工程入力!$S$5:$S$152,$J394,③スチコン工程入力!$I$5:$I$152,"&gt;0")+SUMIFS(⑪ZEN工程入力!$M$6:$M$35,⑪ZEN工程入力!$S$6:$S$35,$J394,⑪ZEN工程入力!$I$6:$I$35,"&gt;0")+SUMIFS(⑫ミキサー工程入力!$M$6:$M$65,⑫ミキサー工程入力!$S$6:$S$65,$J394,⑫ミキサー工程入力!$I$6:$I$65,"&gt;0")+SUMIFS(⑬計量工程入力!$M$6:$M$65,⑬計量工程入力!$S$6:$S$65,$J394,⑬計量工程入力!$I$6:$I$65,"&gt;0")+SUMIFS(⑭手動工程入力!$M$6:$M$47,⑭手動工程入力!$S$6:$S$47,$J394,⑭手動工程入力!$I$6:$I$47,"&gt;0"))</f>
        <v/>
      </c>
      <c r="M394" s="393">
        <f>IF($J394="",0,SUMIFS(②釜工程入力!$I$5:$I$117,②釜工程入力!$S$5:$S$117,$J394,②釜工程入力!$I$5:$I$117,"&gt;0",②釜工程入力!$M$5:$M$117,"&gt;0")+SUMIFS(③スチコン工程入力!$I$5:$I$152,③スチコン工程入力!$S$5:$S$152,$J394,③スチコン工程入力!$I$5:$I$152,"&gt;0",③スチコン工程入力!$M$5:$M$152,"&gt;0")+SUMIFS(⑪ZEN工程入力!$I$6:$I$35,⑪ZEN工程入力!$S$6:$S$35,$J394,⑪ZEN工程入力!$I$6:$I$35,"&gt;0",⑪ZEN工程入力!$M$6:$M$35,"&gt;0")+SUMIFS(⑫ミキサー工程入力!$I$6:$I$65,⑫ミキサー工程入力!$S$6:$S$65,$J394,⑫ミキサー工程入力!$I$6:$I$65,"&gt;0",⑫ミキサー工程入力!$M$6:$M$65,"&gt;0")+SUMIFS(⑬計量工程入力!$I$6:$I$65,⑬計量工程入力!$S$6:$S$65,$J394,⑬計量工程入力!$I$6:$I$65,"&gt;0",⑬計量工程入力!$M$6:$M$65,"&gt;0")+SUMIFS(⑭手動工程入力!$I$6:$I$47,⑭手動工程入力!$S$6:$S$47,$J394,⑭手動工程入力!$I$6:$I$47,"&gt;0",⑭手動工程入力!$M$6:$M$47,"&gt;0"))</f>
        <v/>
      </c>
      <c r="N394" s="393">
        <f>IF($J394="",0,SUMIFS(②釜工程入力!$M$5:$M$117,②釜工程入力!$S$5:$S$117,$J394,②釜工程入力!$J$5:$J$117,"&gt;0")-SUMIFS(②釜工程入力!$M$5:$M$117,②釜工程入力!$S$5:$S$117,$J394,②釜工程入力!$J$5:$J$117,"&gt;0",②釜工程入力!$I$5:$I$117,"&gt;0")+SUMIFS(③スチコン工程入力!$M$5:$M$152,③スチコン工程入力!$S$5:$S$152,$J394,③スチコン工程入力!$J$5:$J$152,"&gt;0")-SUMIFS(③スチコン工程入力!$M$5:$M$152,③スチコン工程入力!$S$5:$S$152,$J394,③スチコン工程入力!$J$5:$J$152,"&gt;0",③スチコン工程入力!$I$5:$I$152,"&gt;0")+SUMIFS(⑪ZEN工程入力!$M$6:$M$35,⑪ZEN工程入力!$S$6:$S$35,$J394,⑪ZEN工程入力!$J$6:$J$35,"&gt;0")-SUMIFS(⑪ZEN工程入力!$M$6:$M$35,⑪ZEN工程入力!$S$6:$S$35,$J394,⑪ZEN工程入力!$J$6:$J$35,"&gt;0",⑪ZEN工程入力!$I$6:$I$35,"&gt;0")+SUMIFS(⑫ミキサー工程入力!$M$6:$M$65,⑫ミキサー工程入力!$S$6:$S$65,$J394,⑫ミキサー工程入力!$J$6:$J$65,"&gt;0")-SUMIFS(⑫ミキサー工程入力!$M$6:$M$65,⑫ミキサー工程入力!$S$6:$S$65,$J394,⑫ミキサー工程入力!$J$6:$J$65,"&gt;0",⑫ミキサー工程入力!$I$6:$I$65,"&gt;0")+SUMIFS(⑬計量工程入力!$M$6:$M$65,⑬計量工程入力!$S$6:$S$65,$J394,⑬計量工程入力!$J$6:$J$65,"&gt;0")-SUMIFS(⑬計量工程入力!$M$6:$M$65,⑬計量工程入力!$S$6:$S$65,$J394,⑬計量工程入力!$J$6:$J$65,"&gt;0",⑬計量工程入力!$I$6:$I$65,"&gt;0")+SUMIFS(⑭手動工程入力!$M$6:$M$47,⑭手動工程入力!$S$6:$S$47,$J394,⑭手動工程入力!$J$6:$J$47,"&gt;0")-SUMIFS(⑭手動工程入力!$M$6:$M$47,⑭手動工程入力!$S$6:$S$47,$J394,⑭手動工程入力!$J$6:$J$47,"&gt;0",⑭手動工程入力!$I$6:$I$47,"&gt;0"))</f>
        <v/>
      </c>
      <c r="O394" s="393">
        <f>IF($J394="",0,SUMIFS(②釜工程入力!$J$5:$J$117,②釜工程入力!$S$5:$S$117,$J394,②釜工程入力!$J$5:$J$117,"&gt;0",②釜工程入力!$M$5:$M$117,"&gt;0")-SUMIFS(②釜工程入力!$J$5:$J$117,②釜工程入力!$S$5:$S$117,$J394,②釜工程入力!$J$5:$J$117,"&gt;0",②釜工程入力!$I$5:$I$117,"&gt;0",②釜工程入力!$M$5:$M$117,"&gt;0")+SUMIFS(③スチコン工程入力!$J$5:$J$152,③スチコン工程入力!$S$5:$S$152,$J394,③スチコン工程入力!$J$5:$J$152,"&gt;0",③スチコン工程入力!$M$5:$M$152,"&gt;0")-SUMIFS(③スチコン工程入力!$J$5:$J$152,③スチコン工程入力!$S$5:$S$152,$J394,③スチコン工程入力!$J$5:$J$152,"&gt;0",③スチコン工程入力!$I$5:$I$152,"&gt;0",③スチコン工程入力!$M$5:$M$152,"&gt;0")+SUMIFS(⑪ZEN工程入力!$J$6:$J$35,⑪ZEN工程入力!$S$6:$S$35,$J394,⑪ZEN工程入力!$J$6:$J$35,"&gt;0",⑪ZEN工程入力!$M$6:$M$35,"&gt;0")-SUMIFS(⑪ZEN工程入力!$J$6:$J$35,⑪ZEN工程入力!$S$6:$S$35,$J394,⑪ZEN工程入力!$J$6:$J$35,"&gt;0",⑪ZEN工程入力!$I$6:$I$35,"&gt;0",⑪ZEN工程入力!$M$6:$M$35,"&gt;0")+SUMIFS(⑫ミキサー工程入力!$J$6:$J$65,⑫ミキサー工程入力!$S$6:$S$65,$J394,⑫ミキサー工程入力!$J$6:$J$65,"&gt;0",⑫ミキサー工程入力!$M$6:$M$65,"&gt;0")-SUMIFS(⑫ミキサー工程入力!$J$6:$J$65,⑫ミキサー工程入力!$S$6:$S$65,$J394,⑫ミキサー工程入力!$J$6:$J$65,"&gt;0",⑫ミキサー工程入力!$I$6:$I$65,"&gt;0",⑫ミキサー工程入力!$M$6:$M$65,"&gt;0")+SUMIFS(⑬計量工程入力!$J$6:$J$65,⑬計量工程入力!$S$6:$S$65,$J394,⑬計量工程入力!$J$6:$J$65,"&gt;0",⑬計量工程入力!$M$6:$M$65,"&gt;0")-SUMIFS(⑬計量工程入力!$J$6:$J$65,⑬計量工程入力!$S$6:$S$65,$J394,⑬計量工程入力!$J$6:$J$65,"&gt;0",⑬計量工程入力!$I$6:$I$65,"&gt;0",⑬計量工程入力!$M$6:$M$65,"&gt;0")+SUMIFS(⑭手動工程入力!$J$6:$J$47,⑭手動工程入力!$S$6:$S$47,$J394,⑭手動工程入力!$J$6:$J$47,"&gt;0",⑭手動工程入力!$M$6:$M$47,"&gt;0")-SUMIFS(⑭手動工程入力!$J$6:$J$47,⑭手動工程入力!$S$6:$S$47,$J394,⑭手動工程入力!$J$6:$J$47,"&gt;0",⑭手動工程入力!$I$6:$I$47,"&gt;0",⑭手動工程入力!$M$6:$M$47,"&gt;0"))</f>
        <v/>
      </c>
      <c r="P394" s="392" t="inlineStr">
        <is>
          <t>中間品リスト</t>
        </is>
      </c>
    </row>
    <row r="395">
      <c r="A395" s="392" t="n">
        <v>391</v>
      </c>
      <c r="B395" s="392" t="n"/>
      <c r="C395" s="392" t="n"/>
      <c r="D395" s="409" t="n"/>
      <c r="E395" s="392" t="n"/>
      <c r="F395" s="394" t="n"/>
      <c r="G395" s="392" t="n"/>
      <c r="H395" s="604">
        <f>IFERROR(IF(AND($K395&gt;0,ISNUMBER(IF(OR($D395="g",$D395="ｇ"),IF($M395&gt;0,$L395/$M395/1000,""),IF($D395="kg",IF($M395&gt;0,$L395/$M395,""),IF($D395="",IF($M395&gt;0,$L395/$M395/1000,IF($O395&gt;0,$N395/$O395,"")),IF($O395&gt;0,$N395/$O395,"")))))),IF(OR($D395="g",$D395="ｇ"),IF($M395&gt;0,$L395/$M395/1000,""),IF($D395="kg",IF($M395&gt;0,$L395/$M395,""),IF($D395="",IF($M395&gt;0,$L395/$M395/1000,IF($O395&gt;0,$N395/$O395,"")),IF($O395&gt;0,$N395/$O395,"")))),IF($F395="",IF(OR($E395="",$E395="⑩盛付梱包工程入力"),"",IF(OR($D395="g",$D395="ｇ"),INDEX(⑰工程労務費一覧!$N$5:$N$11,MATCH($E395,⑰工程労務費一覧!$K$5:$K$11,0))/1000,IF($D395="kg",INDEX(⑰工程労務費一覧!$N$5:$N$11,MATCH($E395,⑰工程労務費一覧!$K$5:$K$11,0)),IF(OR($D395="個",$D395="切",$D395="本",$D395="枚",$D395="尾"),IF($E395="⑬計量工程入力","",INDEX(⑰工程労務費一覧!$P$5:$P$11,MATCH($E395,⑰工程労務費一覧!$K$5:$K$11,0))),IF(AND($D395="",OR($E395="②釜工程入力",$E395="③スチコン工程入力")),INDEX(⑰工程労務費一覧!$N$5:$N$11,MATCH($E395,⑰工程労務費一覧!$K$5:$K$11,0))/1000,""))))),IF(OR($D395="g",$D395="ｇ"),INDEX(⑰工程労務費一覧!$H$5:$H$753,MATCH($F395,⑰工程労務費一覧!$D$5:$D$753,0))/1000,IF($D395="kg",INDEX(⑰工程労務費一覧!$H$5:$H$753,MATCH($F395,⑰工程労務費一覧!$D$5:$D$753,0)),INDEX(⑰工程労務費一覧!$I$5:$I$753,MATCH($F395,⑰工程労務費一覧!$D$5:$D$753,0)))))),"")</f>
        <v/>
      </c>
      <c r="I395" s="392">
        <f>IF($K395&gt;0,IF(ISNUMBER(IF(OR($D395="g",$D395="ｇ"),IF($M395&gt;0,$L395/$M395/1000,""),IF($D395="kg",IF($M395&gt;0,$L395/$M395,""),IF($D395="",IF($M395&gt;0,$L395/$M395/1000,IF($O395&gt;0,$N395/$O395,"")),IF($O395&gt;0,$N395/$O395,""))))),IF($D395="",IF($M395&gt;0,"◎ JAN紐づけ(g扱い)","◎ JAN紐づけ(個扱い)"),"◎ JAN紐づけ"),"△ JAN紐づけ済・実績不足→仮計算"),IF($F395="",IF(ISNUMBER($H395),IF($D395="","⑤ 工程平均で仮計算(g扱い)","⑤ 工程平均で仮計算"),IF($E395="⑩盛付梱包工程入力","⑥ 盛り込み(⑳F列で計上)",IF(AND($E395="⑬計量工程入力",OR($D395="個",$D395="切",$D395="本",$D395="枚",$D395="尾")),"① 未紐づけ(カット個単位は仮単価なし)","① 未紐づけ"))),IF(NOT(ISNUMBER($H395)),"② 工程側に単価なし",IF($D395="","③ 単位未設定(個で計算)","④ OK"))))</f>
        <v/>
      </c>
      <c r="J395" s="399">
        <f>IFERROR(LOOKUP(2,1/((中間品リスト!$F$2:$F$1299=$B395)*(中間品リスト!$E$2:$E$1299&lt;&gt;"-")*(中間品リスト!$E$2:$E$1299&lt;&gt;"")),中間品リスト!$E$2:$E$1299),"")</f>
        <v/>
      </c>
      <c r="K395" s="400">
        <f>IF($J395="",0,COUNTIF(②釜工程入力!$S$5:$S$117,$J395)+COUNTIF(③スチコン工程入力!$S$5:$S$152,$J395)+COUNTIF(⑪ZEN工程入力!$S$6:$S$35,$J395)+COUNTIF(⑫ミキサー工程入力!$S$6:$S$65,$J395)+COUNTIF(⑬計量工程入力!$S$6:$S$65,$J395)+COUNTIF(⑭手動工程入力!$S$6:$S$47,$J395))</f>
        <v/>
      </c>
      <c r="L395" s="393">
        <f>IF($J395="",0,SUMIFS(②釜工程入力!$M$5:$M$117,②釜工程入力!$S$5:$S$117,$J395,②釜工程入力!$I$5:$I$117,"&gt;0")+SUMIFS(③スチコン工程入力!$M$5:$M$152,③スチコン工程入力!$S$5:$S$152,$J395,③スチコン工程入力!$I$5:$I$152,"&gt;0")+SUMIFS(⑪ZEN工程入力!$M$6:$M$35,⑪ZEN工程入力!$S$6:$S$35,$J395,⑪ZEN工程入力!$I$6:$I$35,"&gt;0")+SUMIFS(⑫ミキサー工程入力!$M$6:$M$65,⑫ミキサー工程入力!$S$6:$S$65,$J395,⑫ミキサー工程入力!$I$6:$I$65,"&gt;0")+SUMIFS(⑬計量工程入力!$M$6:$M$65,⑬計量工程入力!$S$6:$S$65,$J395,⑬計量工程入力!$I$6:$I$65,"&gt;0")+SUMIFS(⑭手動工程入力!$M$6:$M$47,⑭手動工程入力!$S$6:$S$47,$J395,⑭手動工程入力!$I$6:$I$47,"&gt;0"))</f>
        <v/>
      </c>
      <c r="M395" s="393">
        <f>IF($J395="",0,SUMIFS(②釜工程入力!$I$5:$I$117,②釜工程入力!$S$5:$S$117,$J395,②釜工程入力!$I$5:$I$117,"&gt;0",②釜工程入力!$M$5:$M$117,"&gt;0")+SUMIFS(③スチコン工程入力!$I$5:$I$152,③スチコン工程入力!$S$5:$S$152,$J395,③スチコン工程入力!$I$5:$I$152,"&gt;0",③スチコン工程入力!$M$5:$M$152,"&gt;0")+SUMIFS(⑪ZEN工程入力!$I$6:$I$35,⑪ZEN工程入力!$S$6:$S$35,$J395,⑪ZEN工程入力!$I$6:$I$35,"&gt;0",⑪ZEN工程入力!$M$6:$M$35,"&gt;0")+SUMIFS(⑫ミキサー工程入力!$I$6:$I$65,⑫ミキサー工程入力!$S$6:$S$65,$J395,⑫ミキサー工程入力!$I$6:$I$65,"&gt;0",⑫ミキサー工程入力!$M$6:$M$65,"&gt;0")+SUMIFS(⑬計量工程入力!$I$6:$I$65,⑬計量工程入力!$S$6:$S$65,$J395,⑬計量工程入力!$I$6:$I$65,"&gt;0",⑬計量工程入力!$M$6:$M$65,"&gt;0")+SUMIFS(⑭手動工程入力!$I$6:$I$47,⑭手動工程入力!$S$6:$S$47,$J395,⑭手動工程入力!$I$6:$I$47,"&gt;0",⑭手動工程入力!$M$6:$M$47,"&gt;0"))</f>
        <v/>
      </c>
      <c r="N395" s="393">
        <f>IF($J395="",0,SUMIFS(②釜工程入力!$M$5:$M$117,②釜工程入力!$S$5:$S$117,$J395,②釜工程入力!$J$5:$J$117,"&gt;0")-SUMIFS(②釜工程入力!$M$5:$M$117,②釜工程入力!$S$5:$S$117,$J395,②釜工程入力!$J$5:$J$117,"&gt;0",②釜工程入力!$I$5:$I$117,"&gt;0")+SUMIFS(③スチコン工程入力!$M$5:$M$152,③スチコン工程入力!$S$5:$S$152,$J395,③スチコン工程入力!$J$5:$J$152,"&gt;0")-SUMIFS(③スチコン工程入力!$M$5:$M$152,③スチコン工程入力!$S$5:$S$152,$J395,③スチコン工程入力!$J$5:$J$152,"&gt;0",③スチコン工程入力!$I$5:$I$152,"&gt;0")+SUMIFS(⑪ZEN工程入力!$M$6:$M$35,⑪ZEN工程入力!$S$6:$S$35,$J395,⑪ZEN工程入力!$J$6:$J$35,"&gt;0")-SUMIFS(⑪ZEN工程入力!$M$6:$M$35,⑪ZEN工程入力!$S$6:$S$35,$J395,⑪ZEN工程入力!$J$6:$J$35,"&gt;0",⑪ZEN工程入力!$I$6:$I$35,"&gt;0")+SUMIFS(⑫ミキサー工程入力!$M$6:$M$65,⑫ミキサー工程入力!$S$6:$S$65,$J395,⑫ミキサー工程入力!$J$6:$J$65,"&gt;0")-SUMIFS(⑫ミキサー工程入力!$M$6:$M$65,⑫ミキサー工程入力!$S$6:$S$65,$J395,⑫ミキサー工程入力!$J$6:$J$65,"&gt;0",⑫ミキサー工程入力!$I$6:$I$65,"&gt;0")+SUMIFS(⑬計量工程入力!$M$6:$M$65,⑬計量工程入力!$S$6:$S$65,$J395,⑬計量工程入力!$J$6:$J$65,"&gt;0")-SUMIFS(⑬計量工程入力!$M$6:$M$65,⑬計量工程入力!$S$6:$S$65,$J395,⑬計量工程入力!$J$6:$J$65,"&gt;0",⑬計量工程入力!$I$6:$I$65,"&gt;0")+SUMIFS(⑭手動工程入力!$M$6:$M$47,⑭手動工程入力!$S$6:$S$47,$J395,⑭手動工程入力!$J$6:$J$47,"&gt;0")-SUMIFS(⑭手動工程入力!$M$6:$M$47,⑭手動工程入力!$S$6:$S$47,$J395,⑭手動工程入力!$J$6:$J$47,"&gt;0",⑭手動工程入力!$I$6:$I$47,"&gt;0"))</f>
        <v/>
      </c>
      <c r="O395" s="393">
        <f>IF($J395="",0,SUMIFS(②釜工程入力!$J$5:$J$117,②釜工程入力!$S$5:$S$117,$J395,②釜工程入力!$J$5:$J$117,"&gt;0",②釜工程入力!$M$5:$M$117,"&gt;0")-SUMIFS(②釜工程入力!$J$5:$J$117,②釜工程入力!$S$5:$S$117,$J395,②釜工程入力!$J$5:$J$117,"&gt;0",②釜工程入力!$I$5:$I$117,"&gt;0",②釜工程入力!$M$5:$M$117,"&gt;0")+SUMIFS(③スチコン工程入力!$J$5:$J$152,③スチコン工程入力!$S$5:$S$152,$J395,③スチコン工程入力!$J$5:$J$152,"&gt;0",③スチコン工程入力!$M$5:$M$152,"&gt;0")-SUMIFS(③スチコン工程入力!$J$5:$J$152,③スチコン工程入力!$S$5:$S$152,$J395,③スチコン工程入力!$J$5:$J$152,"&gt;0",③スチコン工程入力!$I$5:$I$152,"&gt;0",③スチコン工程入力!$M$5:$M$152,"&gt;0")+SUMIFS(⑪ZEN工程入力!$J$6:$J$35,⑪ZEN工程入力!$S$6:$S$35,$J395,⑪ZEN工程入力!$J$6:$J$35,"&gt;0",⑪ZEN工程入力!$M$6:$M$35,"&gt;0")-SUMIFS(⑪ZEN工程入力!$J$6:$J$35,⑪ZEN工程入力!$S$6:$S$35,$J395,⑪ZEN工程入力!$J$6:$J$35,"&gt;0",⑪ZEN工程入力!$I$6:$I$35,"&gt;0",⑪ZEN工程入力!$M$6:$M$35,"&gt;0")+SUMIFS(⑫ミキサー工程入力!$J$6:$J$65,⑫ミキサー工程入力!$S$6:$S$65,$J395,⑫ミキサー工程入力!$J$6:$J$65,"&gt;0",⑫ミキサー工程入力!$M$6:$M$65,"&gt;0")-SUMIFS(⑫ミキサー工程入力!$J$6:$J$65,⑫ミキサー工程入力!$S$6:$S$65,$J395,⑫ミキサー工程入力!$J$6:$J$65,"&gt;0",⑫ミキサー工程入力!$I$6:$I$65,"&gt;0",⑫ミキサー工程入力!$M$6:$M$65,"&gt;0")+SUMIFS(⑬計量工程入力!$J$6:$J$65,⑬計量工程入力!$S$6:$S$65,$J395,⑬計量工程入力!$J$6:$J$65,"&gt;0",⑬計量工程入力!$M$6:$M$65,"&gt;0")-SUMIFS(⑬計量工程入力!$J$6:$J$65,⑬計量工程入力!$S$6:$S$65,$J395,⑬計量工程入力!$J$6:$J$65,"&gt;0",⑬計量工程入力!$I$6:$I$65,"&gt;0",⑬計量工程入力!$M$6:$M$65,"&gt;0")+SUMIFS(⑭手動工程入力!$J$6:$J$47,⑭手動工程入力!$S$6:$S$47,$J395,⑭手動工程入力!$J$6:$J$47,"&gt;0",⑭手動工程入力!$M$6:$M$47,"&gt;0")-SUMIFS(⑭手動工程入力!$J$6:$J$47,⑭手動工程入力!$S$6:$S$47,$J395,⑭手動工程入力!$J$6:$J$47,"&gt;0",⑭手動工程入力!$I$6:$I$47,"&gt;0",⑭手動工程入力!$M$6:$M$47,"&gt;0"))</f>
        <v/>
      </c>
      <c r="P395" s="392" t="inlineStr">
        <is>
          <t>中間品リスト</t>
        </is>
      </c>
    </row>
    <row r="396">
      <c r="A396" s="392" t="n">
        <v>392</v>
      </c>
      <c r="B396" s="392" t="n"/>
      <c r="C396" s="392" t="n"/>
      <c r="D396" s="409" t="n"/>
      <c r="E396" s="392" t="n"/>
      <c r="F396" s="394" t="n"/>
      <c r="G396" s="392" t="n"/>
      <c r="H396" s="604">
        <f>IFERROR(IF(AND($K396&gt;0,ISNUMBER(IF(OR($D396="g",$D396="ｇ"),IF($M396&gt;0,$L396/$M396/1000,""),IF($D396="kg",IF($M396&gt;0,$L396/$M396,""),IF($D396="",IF($M396&gt;0,$L396/$M396/1000,IF($O396&gt;0,$N396/$O396,"")),IF($O396&gt;0,$N396/$O396,"")))))),IF(OR($D396="g",$D396="ｇ"),IF($M396&gt;0,$L396/$M396/1000,""),IF($D396="kg",IF($M396&gt;0,$L396/$M396,""),IF($D396="",IF($M396&gt;0,$L396/$M396/1000,IF($O396&gt;0,$N396/$O396,"")),IF($O396&gt;0,$N396/$O396,"")))),IF($F396="",IF(OR($E396="",$E396="⑩盛付梱包工程入力"),"",IF(OR($D396="g",$D396="ｇ"),INDEX(⑰工程労務費一覧!$N$5:$N$11,MATCH($E396,⑰工程労務費一覧!$K$5:$K$11,0))/1000,IF($D396="kg",INDEX(⑰工程労務費一覧!$N$5:$N$11,MATCH($E396,⑰工程労務費一覧!$K$5:$K$11,0)),IF(OR($D396="個",$D396="切",$D396="本",$D396="枚",$D396="尾"),IF($E396="⑬計量工程入力","",INDEX(⑰工程労務費一覧!$P$5:$P$11,MATCH($E396,⑰工程労務費一覧!$K$5:$K$11,0))),IF(AND($D396="",OR($E396="②釜工程入力",$E396="③スチコン工程入力")),INDEX(⑰工程労務費一覧!$N$5:$N$11,MATCH($E396,⑰工程労務費一覧!$K$5:$K$11,0))/1000,""))))),IF(OR($D396="g",$D396="ｇ"),INDEX(⑰工程労務費一覧!$H$5:$H$753,MATCH($F396,⑰工程労務費一覧!$D$5:$D$753,0))/1000,IF($D396="kg",INDEX(⑰工程労務費一覧!$H$5:$H$753,MATCH($F396,⑰工程労務費一覧!$D$5:$D$753,0)),INDEX(⑰工程労務費一覧!$I$5:$I$753,MATCH($F396,⑰工程労務費一覧!$D$5:$D$753,0)))))),"")</f>
        <v/>
      </c>
      <c r="I396" s="392">
        <f>IF($K396&gt;0,IF(ISNUMBER(IF(OR($D396="g",$D396="ｇ"),IF($M396&gt;0,$L396/$M396/1000,""),IF($D396="kg",IF($M396&gt;0,$L396/$M396,""),IF($D396="",IF($M396&gt;0,$L396/$M396/1000,IF($O396&gt;0,$N396/$O396,"")),IF($O396&gt;0,$N396/$O396,""))))),IF($D396="",IF($M396&gt;0,"◎ JAN紐づけ(g扱い)","◎ JAN紐づけ(個扱い)"),"◎ JAN紐づけ"),"△ JAN紐づけ済・実績不足→仮計算"),IF($F396="",IF(ISNUMBER($H396),IF($D396="","⑤ 工程平均で仮計算(g扱い)","⑤ 工程平均で仮計算"),IF($E396="⑩盛付梱包工程入力","⑥ 盛り込み(⑳F列で計上)",IF(AND($E396="⑬計量工程入力",OR($D396="個",$D396="切",$D396="本",$D396="枚",$D396="尾")),"① 未紐づけ(カット個単位は仮単価なし)","① 未紐づけ"))),IF(NOT(ISNUMBER($H396)),"② 工程側に単価なし",IF($D396="","③ 単位未設定(個で計算)","④ OK"))))</f>
        <v/>
      </c>
      <c r="J396" s="399">
        <f>IFERROR(LOOKUP(2,1/((中間品リスト!$F$2:$F$1299=$B396)*(中間品リスト!$E$2:$E$1299&lt;&gt;"-")*(中間品リスト!$E$2:$E$1299&lt;&gt;"")),中間品リスト!$E$2:$E$1299),"")</f>
        <v/>
      </c>
      <c r="K396" s="400">
        <f>IF($J396="",0,COUNTIF(②釜工程入力!$S$5:$S$117,$J396)+COUNTIF(③スチコン工程入力!$S$5:$S$152,$J396)+COUNTIF(⑪ZEN工程入力!$S$6:$S$35,$J396)+COUNTIF(⑫ミキサー工程入力!$S$6:$S$65,$J396)+COUNTIF(⑬計量工程入力!$S$6:$S$65,$J396)+COUNTIF(⑭手動工程入力!$S$6:$S$47,$J396))</f>
        <v/>
      </c>
      <c r="L396" s="393">
        <f>IF($J396="",0,SUMIFS(②釜工程入力!$M$5:$M$117,②釜工程入力!$S$5:$S$117,$J396,②釜工程入力!$I$5:$I$117,"&gt;0")+SUMIFS(③スチコン工程入力!$M$5:$M$152,③スチコン工程入力!$S$5:$S$152,$J396,③スチコン工程入力!$I$5:$I$152,"&gt;0")+SUMIFS(⑪ZEN工程入力!$M$6:$M$35,⑪ZEN工程入力!$S$6:$S$35,$J396,⑪ZEN工程入力!$I$6:$I$35,"&gt;0")+SUMIFS(⑫ミキサー工程入力!$M$6:$M$65,⑫ミキサー工程入力!$S$6:$S$65,$J396,⑫ミキサー工程入力!$I$6:$I$65,"&gt;0")+SUMIFS(⑬計量工程入力!$M$6:$M$65,⑬計量工程入力!$S$6:$S$65,$J396,⑬計量工程入力!$I$6:$I$65,"&gt;0")+SUMIFS(⑭手動工程入力!$M$6:$M$47,⑭手動工程入力!$S$6:$S$47,$J396,⑭手動工程入力!$I$6:$I$47,"&gt;0"))</f>
        <v/>
      </c>
      <c r="M396" s="393">
        <f>IF($J396="",0,SUMIFS(②釜工程入力!$I$5:$I$117,②釜工程入力!$S$5:$S$117,$J396,②釜工程入力!$I$5:$I$117,"&gt;0",②釜工程入力!$M$5:$M$117,"&gt;0")+SUMIFS(③スチコン工程入力!$I$5:$I$152,③スチコン工程入力!$S$5:$S$152,$J396,③スチコン工程入力!$I$5:$I$152,"&gt;0",③スチコン工程入力!$M$5:$M$152,"&gt;0")+SUMIFS(⑪ZEN工程入力!$I$6:$I$35,⑪ZEN工程入力!$S$6:$S$35,$J396,⑪ZEN工程入力!$I$6:$I$35,"&gt;0",⑪ZEN工程入力!$M$6:$M$35,"&gt;0")+SUMIFS(⑫ミキサー工程入力!$I$6:$I$65,⑫ミキサー工程入力!$S$6:$S$65,$J396,⑫ミキサー工程入力!$I$6:$I$65,"&gt;0",⑫ミキサー工程入力!$M$6:$M$65,"&gt;0")+SUMIFS(⑬計量工程入力!$I$6:$I$65,⑬計量工程入力!$S$6:$S$65,$J396,⑬計量工程入力!$I$6:$I$65,"&gt;0",⑬計量工程入力!$M$6:$M$65,"&gt;0")+SUMIFS(⑭手動工程入力!$I$6:$I$47,⑭手動工程入力!$S$6:$S$47,$J396,⑭手動工程入力!$I$6:$I$47,"&gt;0",⑭手動工程入力!$M$6:$M$47,"&gt;0"))</f>
        <v/>
      </c>
      <c r="N396" s="393">
        <f>IF($J396="",0,SUMIFS(②釜工程入力!$M$5:$M$117,②釜工程入力!$S$5:$S$117,$J396,②釜工程入力!$J$5:$J$117,"&gt;0")-SUMIFS(②釜工程入力!$M$5:$M$117,②釜工程入力!$S$5:$S$117,$J396,②釜工程入力!$J$5:$J$117,"&gt;0",②釜工程入力!$I$5:$I$117,"&gt;0")+SUMIFS(③スチコン工程入力!$M$5:$M$152,③スチコン工程入力!$S$5:$S$152,$J396,③スチコン工程入力!$J$5:$J$152,"&gt;0")-SUMIFS(③スチコン工程入力!$M$5:$M$152,③スチコン工程入力!$S$5:$S$152,$J396,③スチコン工程入力!$J$5:$J$152,"&gt;0",③スチコン工程入力!$I$5:$I$152,"&gt;0")+SUMIFS(⑪ZEN工程入力!$M$6:$M$35,⑪ZEN工程入力!$S$6:$S$35,$J396,⑪ZEN工程入力!$J$6:$J$35,"&gt;0")-SUMIFS(⑪ZEN工程入力!$M$6:$M$35,⑪ZEN工程入力!$S$6:$S$35,$J396,⑪ZEN工程入力!$J$6:$J$35,"&gt;0",⑪ZEN工程入力!$I$6:$I$35,"&gt;0")+SUMIFS(⑫ミキサー工程入力!$M$6:$M$65,⑫ミキサー工程入力!$S$6:$S$65,$J396,⑫ミキサー工程入力!$J$6:$J$65,"&gt;0")-SUMIFS(⑫ミキサー工程入力!$M$6:$M$65,⑫ミキサー工程入力!$S$6:$S$65,$J396,⑫ミキサー工程入力!$J$6:$J$65,"&gt;0",⑫ミキサー工程入力!$I$6:$I$65,"&gt;0")+SUMIFS(⑬計量工程入力!$M$6:$M$65,⑬計量工程入力!$S$6:$S$65,$J396,⑬計量工程入力!$J$6:$J$65,"&gt;0")-SUMIFS(⑬計量工程入力!$M$6:$M$65,⑬計量工程入力!$S$6:$S$65,$J396,⑬計量工程入力!$J$6:$J$65,"&gt;0",⑬計量工程入力!$I$6:$I$65,"&gt;0")+SUMIFS(⑭手動工程入力!$M$6:$M$47,⑭手動工程入力!$S$6:$S$47,$J396,⑭手動工程入力!$J$6:$J$47,"&gt;0")-SUMIFS(⑭手動工程入力!$M$6:$M$47,⑭手動工程入力!$S$6:$S$47,$J396,⑭手動工程入力!$J$6:$J$47,"&gt;0",⑭手動工程入力!$I$6:$I$47,"&gt;0"))</f>
        <v/>
      </c>
      <c r="O396" s="393">
        <f>IF($J396="",0,SUMIFS(②釜工程入力!$J$5:$J$117,②釜工程入力!$S$5:$S$117,$J396,②釜工程入力!$J$5:$J$117,"&gt;0",②釜工程入力!$M$5:$M$117,"&gt;0")-SUMIFS(②釜工程入力!$J$5:$J$117,②釜工程入力!$S$5:$S$117,$J396,②釜工程入力!$J$5:$J$117,"&gt;0",②釜工程入力!$I$5:$I$117,"&gt;0",②釜工程入力!$M$5:$M$117,"&gt;0")+SUMIFS(③スチコン工程入力!$J$5:$J$152,③スチコン工程入力!$S$5:$S$152,$J396,③スチコン工程入力!$J$5:$J$152,"&gt;0",③スチコン工程入力!$M$5:$M$152,"&gt;0")-SUMIFS(③スチコン工程入力!$J$5:$J$152,③スチコン工程入力!$S$5:$S$152,$J396,③スチコン工程入力!$J$5:$J$152,"&gt;0",③スチコン工程入力!$I$5:$I$152,"&gt;0",③スチコン工程入力!$M$5:$M$152,"&gt;0")+SUMIFS(⑪ZEN工程入力!$J$6:$J$35,⑪ZEN工程入力!$S$6:$S$35,$J396,⑪ZEN工程入力!$J$6:$J$35,"&gt;0",⑪ZEN工程入力!$M$6:$M$35,"&gt;0")-SUMIFS(⑪ZEN工程入力!$J$6:$J$35,⑪ZEN工程入力!$S$6:$S$35,$J396,⑪ZEN工程入力!$J$6:$J$35,"&gt;0",⑪ZEN工程入力!$I$6:$I$35,"&gt;0",⑪ZEN工程入力!$M$6:$M$35,"&gt;0")+SUMIFS(⑫ミキサー工程入力!$J$6:$J$65,⑫ミキサー工程入力!$S$6:$S$65,$J396,⑫ミキサー工程入力!$J$6:$J$65,"&gt;0",⑫ミキサー工程入力!$M$6:$M$65,"&gt;0")-SUMIFS(⑫ミキサー工程入力!$J$6:$J$65,⑫ミキサー工程入力!$S$6:$S$65,$J396,⑫ミキサー工程入力!$J$6:$J$65,"&gt;0",⑫ミキサー工程入力!$I$6:$I$65,"&gt;0",⑫ミキサー工程入力!$M$6:$M$65,"&gt;0")+SUMIFS(⑬計量工程入力!$J$6:$J$65,⑬計量工程入力!$S$6:$S$65,$J396,⑬計量工程入力!$J$6:$J$65,"&gt;0",⑬計量工程入力!$M$6:$M$65,"&gt;0")-SUMIFS(⑬計量工程入力!$J$6:$J$65,⑬計量工程入力!$S$6:$S$65,$J396,⑬計量工程入力!$J$6:$J$65,"&gt;0",⑬計量工程入力!$I$6:$I$65,"&gt;0",⑬計量工程入力!$M$6:$M$65,"&gt;0")+SUMIFS(⑭手動工程入力!$J$6:$J$47,⑭手動工程入力!$S$6:$S$47,$J396,⑭手動工程入力!$J$6:$J$47,"&gt;0",⑭手動工程入力!$M$6:$M$47,"&gt;0")-SUMIFS(⑭手動工程入力!$J$6:$J$47,⑭手動工程入力!$S$6:$S$47,$J396,⑭手動工程入力!$J$6:$J$47,"&gt;0",⑭手動工程入力!$I$6:$I$47,"&gt;0",⑭手動工程入力!$M$6:$M$47,"&gt;0"))</f>
        <v/>
      </c>
      <c r="P396" s="392" t="inlineStr">
        <is>
          <t>中間品リスト</t>
        </is>
      </c>
    </row>
    <row r="397">
      <c r="A397" s="392" t="n">
        <v>393</v>
      </c>
      <c r="B397" s="392" t="n"/>
      <c r="C397" s="392" t="n"/>
      <c r="D397" s="409" t="n"/>
      <c r="E397" s="392" t="n"/>
      <c r="F397" s="394" t="n"/>
      <c r="G397" s="392" t="n"/>
      <c r="H397" s="604">
        <f>IFERROR(IF(AND($K397&gt;0,ISNUMBER(IF(OR($D397="g",$D397="ｇ"),IF($M397&gt;0,$L397/$M397/1000,""),IF($D397="kg",IF($M397&gt;0,$L397/$M397,""),IF($D397="",IF($M397&gt;0,$L397/$M397/1000,IF($O397&gt;0,$N397/$O397,"")),IF($O397&gt;0,$N397/$O397,"")))))),IF(OR($D397="g",$D397="ｇ"),IF($M397&gt;0,$L397/$M397/1000,""),IF($D397="kg",IF($M397&gt;0,$L397/$M397,""),IF($D397="",IF($M397&gt;0,$L397/$M397/1000,IF($O397&gt;0,$N397/$O397,"")),IF($O397&gt;0,$N397/$O397,"")))),IF($F397="",IF(OR($E397="",$E397="⑩盛付梱包工程入力"),"",IF(OR($D397="g",$D397="ｇ"),INDEX(⑰工程労務費一覧!$N$5:$N$11,MATCH($E397,⑰工程労務費一覧!$K$5:$K$11,0))/1000,IF($D397="kg",INDEX(⑰工程労務費一覧!$N$5:$N$11,MATCH($E397,⑰工程労務費一覧!$K$5:$K$11,0)),IF(OR($D397="個",$D397="切",$D397="本",$D397="枚",$D397="尾"),IF($E397="⑬計量工程入力","",INDEX(⑰工程労務費一覧!$P$5:$P$11,MATCH($E397,⑰工程労務費一覧!$K$5:$K$11,0))),IF(AND($D397="",OR($E397="②釜工程入力",$E397="③スチコン工程入力")),INDEX(⑰工程労務費一覧!$N$5:$N$11,MATCH($E397,⑰工程労務費一覧!$K$5:$K$11,0))/1000,""))))),IF(OR($D397="g",$D397="ｇ"),INDEX(⑰工程労務費一覧!$H$5:$H$753,MATCH($F397,⑰工程労務費一覧!$D$5:$D$753,0))/1000,IF($D397="kg",INDEX(⑰工程労務費一覧!$H$5:$H$753,MATCH($F397,⑰工程労務費一覧!$D$5:$D$753,0)),INDEX(⑰工程労務費一覧!$I$5:$I$753,MATCH($F397,⑰工程労務費一覧!$D$5:$D$753,0)))))),"")</f>
        <v/>
      </c>
      <c r="I397" s="392">
        <f>IF($K397&gt;0,IF(ISNUMBER(IF(OR($D397="g",$D397="ｇ"),IF($M397&gt;0,$L397/$M397/1000,""),IF($D397="kg",IF($M397&gt;0,$L397/$M397,""),IF($D397="",IF($M397&gt;0,$L397/$M397/1000,IF($O397&gt;0,$N397/$O397,"")),IF($O397&gt;0,$N397/$O397,""))))),IF($D397="",IF($M397&gt;0,"◎ JAN紐づけ(g扱い)","◎ JAN紐づけ(個扱い)"),"◎ JAN紐づけ"),"△ JAN紐づけ済・実績不足→仮計算"),IF($F397="",IF(ISNUMBER($H397),IF($D397="","⑤ 工程平均で仮計算(g扱い)","⑤ 工程平均で仮計算"),IF($E397="⑩盛付梱包工程入力","⑥ 盛り込み(⑳F列で計上)",IF(AND($E397="⑬計量工程入力",OR($D397="個",$D397="切",$D397="本",$D397="枚",$D397="尾")),"① 未紐づけ(カット個単位は仮単価なし)","① 未紐づけ"))),IF(NOT(ISNUMBER($H397)),"② 工程側に単価なし",IF($D397="","③ 単位未設定(個で計算)","④ OK"))))</f>
        <v/>
      </c>
      <c r="J397" s="399">
        <f>IFERROR(LOOKUP(2,1/((中間品リスト!$F$2:$F$1299=$B397)*(中間品リスト!$E$2:$E$1299&lt;&gt;"-")*(中間品リスト!$E$2:$E$1299&lt;&gt;"")),中間品リスト!$E$2:$E$1299),"")</f>
        <v/>
      </c>
      <c r="K397" s="400">
        <f>IF($J397="",0,COUNTIF(②釜工程入力!$S$5:$S$117,$J397)+COUNTIF(③スチコン工程入力!$S$5:$S$152,$J397)+COUNTIF(⑪ZEN工程入力!$S$6:$S$35,$J397)+COUNTIF(⑫ミキサー工程入力!$S$6:$S$65,$J397)+COUNTIF(⑬計量工程入力!$S$6:$S$65,$J397)+COUNTIF(⑭手動工程入力!$S$6:$S$47,$J397))</f>
        <v/>
      </c>
      <c r="L397" s="393">
        <f>IF($J397="",0,SUMIFS(②釜工程入力!$M$5:$M$117,②釜工程入力!$S$5:$S$117,$J397,②釜工程入力!$I$5:$I$117,"&gt;0")+SUMIFS(③スチコン工程入力!$M$5:$M$152,③スチコン工程入力!$S$5:$S$152,$J397,③スチコン工程入力!$I$5:$I$152,"&gt;0")+SUMIFS(⑪ZEN工程入力!$M$6:$M$35,⑪ZEN工程入力!$S$6:$S$35,$J397,⑪ZEN工程入力!$I$6:$I$35,"&gt;0")+SUMIFS(⑫ミキサー工程入力!$M$6:$M$65,⑫ミキサー工程入力!$S$6:$S$65,$J397,⑫ミキサー工程入力!$I$6:$I$65,"&gt;0")+SUMIFS(⑬計量工程入力!$M$6:$M$65,⑬計量工程入力!$S$6:$S$65,$J397,⑬計量工程入力!$I$6:$I$65,"&gt;0")+SUMIFS(⑭手動工程入力!$M$6:$M$47,⑭手動工程入力!$S$6:$S$47,$J397,⑭手動工程入力!$I$6:$I$47,"&gt;0"))</f>
        <v/>
      </c>
      <c r="M397" s="393">
        <f>IF($J397="",0,SUMIFS(②釜工程入力!$I$5:$I$117,②釜工程入力!$S$5:$S$117,$J397,②釜工程入力!$I$5:$I$117,"&gt;0",②釜工程入力!$M$5:$M$117,"&gt;0")+SUMIFS(③スチコン工程入力!$I$5:$I$152,③スチコン工程入力!$S$5:$S$152,$J397,③スチコン工程入力!$I$5:$I$152,"&gt;0",③スチコン工程入力!$M$5:$M$152,"&gt;0")+SUMIFS(⑪ZEN工程入力!$I$6:$I$35,⑪ZEN工程入力!$S$6:$S$35,$J397,⑪ZEN工程入力!$I$6:$I$35,"&gt;0",⑪ZEN工程入力!$M$6:$M$35,"&gt;0")+SUMIFS(⑫ミキサー工程入力!$I$6:$I$65,⑫ミキサー工程入力!$S$6:$S$65,$J397,⑫ミキサー工程入力!$I$6:$I$65,"&gt;0",⑫ミキサー工程入力!$M$6:$M$65,"&gt;0")+SUMIFS(⑬計量工程入力!$I$6:$I$65,⑬計量工程入力!$S$6:$S$65,$J397,⑬計量工程入力!$I$6:$I$65,"&gt;0",⑬計量工程入力!$M$6:$M$65,"&gt;0")+SUMIFS(⑭手動工程入力!$I$6:$I$47,⑭手動工程入力!$S$6:$S$47,$J397,⑭手動工程入力!$I$6:$I$47,"&gt;0",⑭手動工程入力!$M$6:$M$47,"&gt;0"))</f>
        <v/>
      </c>
      <c r="N397" s="393">
        <f>IF($J397="",0,SUMIFS(②釜工程入力!$M$5:$M$117,②釜工程入力!$S$5:$S$117,$J397,②釜工程入力!$J$5:$J$117,"&gt;0")-SUMIFS(②釜工程入力!$M$5:$M$117,②釜工程入力!$S$5:$S$117,$J397,②釜工程入力!$J$5:$J$117,"&gt;0",②釜工程入力!$I$5:$I$117,"&gt;0")+SUMIFS(③スチコン工程入力!$M$5:$M$152,③スチコン工程入力!$S$5:$S$152,$J397,③スチコン工程入力!$J$5:$J$152,"&gt;0")-SUMIFS(③スチコン工程入力!$M$5:$M$152,③スチコン工程入力!$S$5:$S$152,$J397,③スチコン工程入力!$J$5:$J$152,"&gt;0",③スチコン工程入力!$I$5:$I$152,"&gt;0")+SUMIFS(⑪ZEN工程入力!$M$6:$M$35,⑪ZEN工程入力!$S$6:$S$35,$J397,⑪ZEN工程入力!$J$6:$J$35,"&gt;0")-SUMIFS(⑪ZEN工程入力!$M$6:$M$35,⑪ZEN工程入力!$S$6:$S$35,$J397,⑪ZEN工程入力!$J$6:$J$35,"&gt;0",⑪ZEN工程入力!$I$6:$I$35,"&gt;0")+SUMIFS(⑫ミキサー工程入力!$M$6:$M$65,⑫ミキサー工程入力!$S$6:$S$65,$J397,⑫ミキサー工程入力!$J$6:$J$65,"&gt;0")-SUMIFS(⑫ミキサー工程入力!$M$6:$M$65,⑫ミキサー工程入力!$S$6:$S$65,$J397,⑫ミキサー工程入力!$J$6:$J$65,"&gt;0",⑫ミキサー工程入力!$I$6:$I$65,"&gt;0")+SUMIFS(⑬計量工程入力!$M$6:$M$65,⑬計量工程入力!$S$6:$S$65,$J397,⑬計量工程入力!$J$6:$J$65,"&gt;0")-SUMIFS(⑬計量工程入力!$M$6:$M$65,⑬計量工程入力!$S$6:$S$65,$J397,⑬計量工程入力!$J$6:$J$65,"&gt;0",⑬計量工程入力!$I$6:$I$65,"&gt;0")+SUMIFS(⑭手動工程入力!$M$6:$M$47,⑭手動工程入力!$S$6:$S$47,$J397,⑭手動工程入力!$J$6:$J$47,"&gt;0")-SUMIFS(⑭手動工程入力!$M$6:$M$47,⑭手動工程入力!$S$6:$S$47,$J397,⑭手動工程入力!$J$6:$J$47,"&gt;0",⑭手動工程入力!$I$6:$I$47,"&gt;0"))</f>
        <v/>
      </c>
      <c r="O397" s="393">
        <f>IF($J397="",0,SUMIFS(②釜工程入力!$J$5:$J$117,②釜工程入力!$S$5:$S$117,$J397,②釜工程入力!$J$5:$J$117,"&gt;0",②釜工程入力!$M$5:$M$117,"&gt;0")-SUMIFS(②釜工程入力!$J$5:$J$117,②釜工程入力!$S$5:$S$117,$J397,②釜工程入力!$J$5:$J$117,"&gt;0",②釜工程入力!$I$5:$I$117,"&gt;0",②釜工程入力!$M$5:$M$117,"&gt;0")+SUMIFS(③スチコン工程入力!$J$5:$J$152,③スチコン工程入力!$S$5:$S$152,$J397,③スチコン工程入力!$J$5:$J$152,"&gt;0",③スチコン工程入力!$M$5:$M$152,"&gt;0")-SUMIFS(③スチコン工程入力!$J$5:$J$152,③スチコン工程入力!$S$5:$S$152,$J397,③スチコン工程入力!$J$5:$J$152,"&gt;0",③スチコン工程入力!$I$5:$I$152,"&gt;0",③スチコン工程入力!$M$5:$M$152,"&gt;0")+SUMIFS(⑪ZEN工程入力!$J$6:$J$35,⑪ZEN工程入力!$S$6:$S$35,$J397,⑪ZEN工程入力!$J$6:$J$35,"&gt;0",⑪ZEN工程入力!$M$6:$M$35,"&gt;0")-SUMIFS(⑪ZEN工程入力!$J$6:$J$35,⑪ZEN工程入力!$S$6:$S$35,$J397,⑪ZEN工程入力!$J$6:$J$35,"&gt;0",⑪ZEN工程入力!$I$6:$I$35,"&gt;0",⑪ZEN工程入力!$M$6:$M$35,"&gt;0")+SUMIFS(⑫ミキサー工程入力!$J$6:$J$65,⑫ミキサー工程入力!$S$6:$S$65,$J397,⑫ミキサー工程入力!$J$6:$J$65,"&gt;0",⑫ミキサー工程入力!$M$6:$M$65,"&gt;0")-SUMIFS(⑫ミキサー工程入力!$J$6:$J$65,⑫ミキサー工程入力!$S$6:$S$65,$J397,⑫ミキサー工程入力!$J$6:$J$65,"&gt;0",⑫ミキサー工程入力!$I$6:$I$65,"&gt;0",⑫ミキサー工程入力!$M$6:$M$65,"&gt;0")+SUMIFS(⑬計量工程入力!$J$6:$J$65,⑬計量工程入力!$S$6:$S$65,$J397,⑬計量工程入力!$J$6:$J$65,"&gt;0",⑬計量工程入力!$M$6:$M$65,"&gt;0")-SUMIFS(⑬計量工程入力!$J$6:$J$65,⑬計量工程入力!$S$6:$S$65,$J397,⑬計量工程入力!$J$6:$J$65,"&gt;0",⑬計量工程入力!$I$6:$I$65,"&gt;0",⑬計量工程入力!$M$6:$M$65,"&gt;0")+SUMIFS(⑭手動工程入力!$J$6:$J$47,⑭手動工程入力!$S$6:$S$47,$J397,⑭手動工程入力!$J$6:$J$47,"&gt;0",⑭手動工程入力!$M$6:$M$47,"&gt;0")-SUMIFS(⑭手動工程入力!$J$6:$J$47,⑭手動工程入力!$S$6:$S$47,$J397,⑭手動工程入力!$J$6:$J$47,"&gt;0",⑭手動工程入力!$I$6:$I$47,"&gt;0",⑭手動工程入力!$M$6:$M$47,"&gt;0"))</f>
        <v/>
      </c>
      <c r="P397" s="392" t="inlineStr">
        <is>
          <t>中間品リスト</t>
        </is>
      </c>
    </row>
    <row r="398">
      <c r="A398" s="392" t="n">
        <v>394</v>
      </c>
      <c r="B398" s="392" t="n"/>
      <c r="C398" s="392" t="n"/>
      <c r="D398" s="409" t="n"/>
      <c r="E398" s="392" t="n"/>
      <c r="F398" s="394" t="n"/>
      <c r="G398" s="392" t="n"/>
      <c r="H398" s="604">
        <f>IFERROR(IF(AND($K398&gt;0,ISNUMBER(IF(OR($D398="g",$D398="ｇ"),IF($M398&gt;0,$L398/$M398/1000,""),IF($D398="kg",IF($M398&gt;0,$L398/$M398,""),IF($D398="",IF($M398&gt;0,$L398/$M398/1000,IF($O398&gt;0,$N398/$O398,"")),IF($O398&gt;0,$N398/$O398,"")))))),IF(OR($D398="g",$D398="ｇ"),IF($M398&gt;0,$L398/$M398/1000,""),IF($D398="kg",IF($M398&gt;0,$L398/$M398,""),IF($D398="",IF($M398&gt;0,$L398/$M398/1000,IF($O398&gt;0,$N398/$O398,"")),IF($O398&gt;0,$N398/$O398,"")))),IF($F398="",IF(OR($E398="",$E398="⑩盛付梱包工程入力"),"",IF(OR($D398="g",$D398="ｇ"),INDEX(⑰工程労務費一覧!$N$5:$N$11,MATCH($E398,⑰工程労務費一覧!$K$5:$K$11,0))/1000,IF($D398="kg",INDEX(⑰工程労務費一覧!$N$5:$N$11,MATCH($E398,⑰工程労務費一覧!$K$5:$K$11,0)),IF(OR($D398="個",$D398="切",$D398="本",$D398="枚",$D398="尾"),IF($E398="⑬計量工程入力","",INDEX(⑰工程労務費一覧!$P$5:$P$11,MATCH($E398,⑰工程労務費一覧!$K$5:$K$11,0))),IF(AND($D398="",OR($E398="②釜工程入力",$E398="③スチコン工程入力")),INDEX(⑰工程労務費一覧!$N$5:$N$11,MATCH($E398,⑰工程労務費一覧!$K$5:$K$11,0))/1000,""))))),IF(OR($D398="g",$D398="ｇ"),INDEX(⑰工程労務費一覧!$H$5:$H$753,MATCH($F398,⑰工程労務費一覧!$D$5:$D$753,0))/1000,IF($D398="kg",INDEX(⑰工程労務費一覧!$H$5:$H$753,MATCH($F398,⑰工程労務費一覧!$D$5:$D$753,0)),INDEX(⑰工程労務費一覧!$I$5:$I$753,MATCH($F398,⑰工程労務費一覧!$D$5:$D$753,0)))))),"")</f>
        <v/>
      </c>
      <c r="I398" s="392">
        <f>IF($K398&gt;0,IF(ISNUMBER(IF(OR($D398="g",$D398="ｇ"),IF($M398&gt;0,$L398/$M398/1000,""),IF($D398="kg",IF($M398&gt;0,$L398/$M398,""),IF($D398="",IF($M398&gt;0,$L398/$M398/1000,IF($O398&gt;0,$N398/$O398,"")),IF($O398&gt;0,$N398/$O398,""))))),IF($D398="",IF($M398&gt;0,"◎ JAN紐づけ(g扱い)","◎ JAN紐づけ(個扱い)"),"◎ JAN紐づけ"),"△ JAN紐づけ済・実績不足→仮計算"),IF($F398="",IF(ISNUMBER($H398),IF($D398="","⑤ 工程平均で仮計算(g扱い)","⑤ 工程平均で仮計算"),IF($E398="⑩盛付梱包工程入力","⑥ 盛り込み(⑳F列で計上)",IF(AND($E398="⑬計量工程入力",OR($D398="個",$D398="切",$D398="本",$D398="枚",$D398="尾")),"① 未紐づけ(カット個単位は仮単価なし)","① 未紐づけ"))),IF(NOT(ISNUMBER($H398)),"② 工程側に単価なし",IF($D398="","③ 単位未設定(個で計算)","④ OK"))))</f>
        <v/>
      </c>
      <c r="J398" s="399">
        <f>IFERROR(LOOKUP(2,1/((中間品リスト!$F$2:$F$1299=$B398)*(中間品リスト!$E$2:$E$1299&lt;&gt;"-")*(中間品リスト!$E$2:$E$1299&lt;&gt;"")),中間品リスト!$E$2:$E$1299),"")</f>
        <v/>
      </c>
      <c r="K398" s="400">
        <f>IF($J398="",0,COUNTIF(②釜工程入力!$S$5:$S$117,$J398)+COUNTIF(③スチコン工程入力!$S$5:$S$152,$J398)+COUNTIF(⑪ZEN工程入力!$S$6:$S$35,$J398)+COUNTIF(⑫ミキサー工程入力!$S$6:$S$65,$J398)+COUNTIF(⑬計量工程入力!$S$6:$S$65,$J398)+COUNTIF(⑭手動工程入力!$S$6:$S$47,$J398))</f>
        <v/>
      </c>
      <c r="L398" s="393">
        <f>IF($J398="",0,SUMIFS(②釜工程入力!$M$5:$M$117,②釜工程入力!$S$5:$S$117,$J398,②釜工程入力!$I$5:$I$117,"&gt;0")+SUMIFS(③スチコン工程入力!$M$5:$M$152,③スチコン工程入力!$S$5:$S$152,$J398,③スチコン工程入力!$I$5:$I$152,"&gt;0")+SUMIFS(⑪ZEN工程入力!$M$6:$M$35,⑪ZEN工程入力!$S$6:$S$35,$J398,⑪ZEN工程入力!$I$6:$I$35,"&gt;0")+SUMIFS(⑫ミキサー工程入力!$M$6:$M$65,⑫ミキサー工程入力!$S$6:$S$65,$J398,⑫ミキサー工程入力!$I$6:$I$65,"&gt;0")+SUMIFS(⑬計量工程入力!$M$6:$M$65,⑬計量工程入力!$S$6:$S$65,$J398,⑬計量工程入力!$I$6:$I$65,"&gt;0")+SUMIFS(⑭手動工程入力!$M$6:$M$47,⑭手動工程入力!$S$6:$S$47,$J398,⑭手動工程入力!$I$6:$I$47,"&gt;0"))</f>
        <v/>
      </c>
      <c r="M398" s="393">
        <f>IF($J398="",0,SUMIFS(②釜工程入力!$I$5:$I$117,②釜工程入力!$S$5:$S$117,$J398,②釜工程入力!$I$5:$I$117,"&gt;0",②釜工程入力!$M$5:$M$117,"&gt;0")+SUMIFS(③スチコン工程入力!$I$5:$I$152,③スチコン工程入力!$S$5:$S$152,$J398,③スチコン工程入力!$I$5:$I$152,"&gt;0",③スチコン工程入力!$M$5:$M$152,"&gt;0")+SUMIFS(⑪ZEN工程入力!$I$6:$I$35,⑪ZEN工程入力!$S$6:$S$35,$J398,⑪ZEN工程入力!$I$6:$I$35,"&gt;0",⑪ZEN工程入力!$M$6:$M$35,"&gt;0")+SUMIFS(⑫ミキサー工程入力!$I$6:$I$65,⑫ミキサー工程入力!$S$6:$S$65,$J398,⑫ミキサー工程入力!$I$6:$I$65,"&gt;0",⑫ミキサー工程入力!$M$6:$M$65,"&gt;0")+SUMIFS(⑬計量工程入力!$I$6:$I$65,⑬計量工程入力!$S$6:$S$65,$J398,⑬計量工程入力!$I$6:$I$65,"&gt;0",⑬計量工程入力!$M$6:$M$65,"&gt;0")+SUMIFS(⑭手動工程入力!$I$6:$I$47,⑭手動工程入力!$S$6:$S$47,$J398,⑭手動工程入力!$I$6:$I$47,"&gt;0",⑭手動工程入力!$M$6:$M$47,"&gt;0"))</f>
        <v/>
      </c>
      <c r="N398" s="393">
        <f>IF($J398="",0,SUMIFS(②釜工程入力!$M$5:$M$117,②釜工程入力!$S$5:$S$117,$J398,②釜工程入力!$J$5:$J$117,"&gt;0")-SUMIFS(②釜工程入力!$M$5:$M$117,②釜工程入力!$S$5:$S$117,$J398,②釜工程入力!$J$5:$J$117,"&gt;0",②釜工程入力!$I$5:$I$117,"&gt;0")+SUMIFS(③スチコン工程入力!$M$5:$M$152,③スチコン工程入力!$S$5:$S$152,$J398,③スチコン工程入力!$J$5:$J$152,"&gt;0")-SUMIFS(③スチコン工程入力!$M$5:$M$152,③スチコン工程入力!$S$5:$S$152,$J398,③スチコン工程入力!$J$5:$J$152,"&gt;0",③スチコン工程入力!$I$5:$I$152,"&gt;0")+SUMIFS(⑪ZEN工程入力!$M$6:$M$35,⑪ZEN工程入力!$S$6:$S$35,$J398,⑪ZEN工程入力!$J$6:$J$35,"&gt;0")-SUMIFS(⑪ZEN工程入力!$M$6:$M$35,⑪ZEN工程入力!$S$6:$S$35,$J398,⑪ZEN工程入力!$J$6:$J$35,"&gt;0",⑪ZEN工程入力!$I$6:$I$35,"&gt;0")+SUMIFS(⑫ミキサー工程入力!$M$6:$M$65,⑫ミキサー工程入力!$S$6:$S$65,$J398,⑫ミキサー工程入力!$J$6:$J$65,"&gt;0")-SUMIFS(⑫ミキサー工程入力!$M$6:$M$65,⑫ミキサー工程入力!$S$6:$S$65,$J398,⑫ミキサー工程入力!$J$6:$J$65,"&gt;0",⑫ミキサー工程入力!$I$6:$I$65,"&gt;0")+SUMIFS(⑬計量工程入力!$M$6:$M$65,⑬計量工程入力!$S$6:$S$65,$J398,⑬計量工程入力!$J$6:$J$65,"&gt;0")-SUMIFS(⑬計量工程入力!$M$6:$M$65,⑬計量工程入力!$S$6:$S$65,$J398,⑬計量工程入力!$J$6:$J$65,"&gt;0",⑬計量工程入力!$I$6:$I$65,"&gt;0")+SUMIFS(⑭手動工程入力!$M$6:$M$47,⑭手動工程入力!$S$6:$S$47,$J398,⑭手動工程入力!$J$6:$J$47,"&gt;0")-SUMIFS(⑭手動工程入力!$M$6:$M$47,⑭手動工程入力!$S$6:$S$47,$J398,⑭手動工程入力!$J$6:$J$47,"&gt;0",⑭手動工程入力!$I$6:$I$47,"&gt;0"))</f>
        <v/>
      </c>
      <c r="O398" s="393">
        <f>IF($J398="",0,SUMIFS(②釜工程入力!$J$5:$J$117,②釜工程入力!$S$5:$S$117,$J398,②釜工程入力!$J$5:$J$117,"&gt;0",②釜工程入力!$M$5:$M$117,"&gt;0")-SUMIFS(②釜工程入力!$J$5:$J$117,②釜工程入力!$S$5:$S$117,$J398,②釜工程入力!$J$5:$J$117,"&gt;0",②釜工程入力!$I$5:$I$117,"&gt;0",②釜工程入力!$M$5:$M$117,"&gt;0")+SUMIFS(③スチコン工程入力!$J$5:$J$152,③スチコン工程入力!$S$5:$S$152,$J398,③スチコン工程入力!$J$5:$J$152,"&gt;0",③スチコン工程入力!$M$5:$M$152,"&gt;0")-SUMIFS(③スチコン工程入力!$J$5:$J$152,③スチコン工程入力!$S$5:$S$152,$J398,③スチコン工程入力!$J$5:$J$152,"&gt;0",③スチコン工程入力!$I$5:$I$152,"&gt;0",③スチコン工程入力!$M$5:$M$152,"&gt;0")+SUMIFS(⑪ZEN工程入力!$J$6:$J$35,⑪ZEN工程入力!$S$6:$S$35,$J398,⑪ZEN工程入力!$J$6:$J$35,"&gt;0",⑪ZEN工程入力!$M$6:$M$35,"&gt;0")-SUMIFS(⑪ZEN工程入力!$J$6:$J$35,⑪ZEN工程入力!$S$6:$S$35,$J398,⑪ZEN工程入力!$J$6:$J$35,"&gt;0",⑪ZEN工程入力!$I$6:$I$35,"&gt;0",⑪ZEN工程入力!$M$6:$M$35,"&gt;0")+SUMIFS(⑫ミキサー工程入力!$J$6:$J$65,⑫ミキサー工程入力!$S$6:$S$65,$J398,⑫ミキサー工程入力!$J$6:$J$65,"&gt;0",⑫ミキサー工程入力!$M$6:$M$65,"&gt;0")-SUMIFS(⑫ミキサー工程入力!$J$6:$J$65,⑫ミキサー工程入力!$S$6:$S$65,$J398,⑫ミキサー工程入力!$J$6:$J$65,"&gt;0",⑫ミキサー工程入力!$I$6:$I$65,"&gt;0",⑫ミキサー工程入力!$M$6:$M$65,"&gt;0")+SUMIFS(⑬計量工程入力!$J$6:$J$65,⑬計量工程入力!$S$6:$S$65,$J398,⑬計量工程入力!$J$6:$J$65,"&gt;0",⑬計量工程入力!$M$6:$M$65,"&gt;0")-SUMIFS(⑬計量工程入力!$J$6:$J$65,⑬計量工程入力!$S$6:$S$65,$J398,⑬計量工程入力!$J$6:$J$65,"&gt;0",⑬計量工程入力!$I$6:$I$65,"&gt;0",⑬計量工程入力!$M$6:$M$65,"&gt;0")+SUMIFS(⑭手動工程入力!$J$6:$J$47,⑭手動工程入力!$S$6:$S$47,$J398,⑭手動工程入力!$J$6:$J$47,"&gt;0",⑭手動工程入力!$M$6:$M$47,"&gt;0")-SUMIFS(⑭手動工程入力!$J$6:$J$47,⑭手動工程入力!$S$6:$S$47,$J398,⑭手動工程入力!$J$6:$J$47,"&gt;0",⑭手動工程入力!$I$6:$I$47,"&gt;0",⑭手動工程入力!$M$6:$M$47,"&gt;0"))</f>
        <v/>
      </c>
      <c r="P398" s="392" t="inlineStr">
        <is>
          <t>中間品リスト</t>
        </is>
      </c>
    </row>
    <row r="399">
      <c r="A399" s="392" t="n">
        <v>395</v>
      </c>
      <c r="B399" s="392" t="n"/>
      <c r="C399" s="392" t="n"/>
      <c r="D399" s="409" t="n"/>
      <c r="E399" s="392" t="n"/>
      <c r="F399" s="394" t="n"/>
      <c r="G399" s="392" t="n"/>
      <c r="H399" s="604">
        <f>IFERROR(IF(AND($K399&gt;0,ISNUMBER(IF(OR($D399="g",$D399="ｇ"),IF($M399&gt;0,$L399/$M399/1000,""),IF($D399="kg",IF($M399&gt;0,$L399/$M399,""),IF($D399="",IF($M399&gt;0,$L399/$M399/1000,IF($O399&gt;0,$N399/$O399,"")),IF($O399&gt;0,$N399/$O399,"")))))),IF(OR($D399="g",$D399="ｇ"),IF($M399&gt;0,$L399/$M399/1000,""),IF($D399="kg",IF($M399&gt;0,$L399/$M399,""),IF($D399="",IF($M399&gt;0,$L399/$M399/1000,IF($O399&gt;0,$N399/$O399,"")),IF($O399&gt;0,$N399/$O399,"")))),IF($F399="",IF(OR($E399="",$E399="⑩盛付梱包工程入力"),"",IF(OR($D399="g",$D399="ｇ"),INDEX(⑰工程労務費一覧!$N$5:$N$11,MATCH($E399,⑰工程労務費一覧!$K$5:$K$11,0))/1000,IF($D399="kg",INDEX(⑰工程労務費一覧!$N$5:$N$11,MATCH($E399,⑰工程労務費一覧!$K$5:$K$11,0)),IF(OR($D399="個",$D399="切",$D399="本",$D399="枚",$D399="尾"),IF($E399="⑬計量工程入力","",INDEX(⑰工程労務費一覧!$P$5:$P$11,MATCH($E399,⑰工程労務費一覧!$K$5:$K$11,0))),IF(AND($D399="",OR($E399="②釜工程入力",$E399="③スチコン工程入力")),INDEX(⑰工程労務費一覧!$N$5:$N$11,MATCH($E399,⑰工程労務費一覧!$K$5:$K$11,0))/1000,""))))),IF(OR($D399="g",$D399="ｇ"),INDEX(⑰工程労務費一覧!$H$5:$H$753,MATCH($F399,⑰工程労務費一覧!$D$5:$D$753,0))/1000,IF($D399="kg",INDEX(⑰工程労務費一覧!$H$5:$H$753,MATCH($F399,⑰工程労務費一覧!$D$5:$D$753,0)),INDEX(⑰工程労務費一覧!$I$5:$I$753,MATCH($F399,⑰工程労務費一覧!$D$5:$D$753,0)))))),"")</f>
        <v/>
      </c>
      <c r="I399" s="392">
        <f>IF($K399&gt;0,IF(ISNUMBER(IF(OR($D399="g",$D399="ｇ"),IF($M399&gt;0,$L399/$M399/1000,""),IF($D399="kg",IF($M399&gt;0,$L399/$M399,""),IF($D399="",IF($M399&gt;0,$L399/$M399/1000,IF($O399&gt;0,$N399/$O399,"")),IF($O399&gt;0,$N399/$O399,""))))),IF($D399="",IF($M399&gt;0,"◎ JAN紐づけ(g扱い)","◎ JAN紐づけ(個扱い)"),"◎ JAN紐づけ"),"△ JAN紐づけ済・実績不足→仮計算"),IF($F399="",IF(ISNUMBER($H399),IF($D399="","⑤ 工程平均で仮計算(g扱い)","⑤ 工程平均で仮計算"),IF($E399="⑩盛付梱包工程入力","⑥ 盛り込み(⑳F列で計上)",IF(AND($E399="⑬計量工程入力",OR($D399="個",$D399="切",$D399="本",$D399="枚",$D399="尾")),"① 未紐づけ(カット個単位は仮単価なし)","① 未紐づけ"))),IF(NOT(ISNUMBER($H399)),"② 工程側に単価なし",IF($D399="","③ 単位未設定(個で計算)","④ OK"))))</f>
        <v/>
      </c>
      <c r="J399" s="399">
        <f>IFERROR(LOOKUP(2,1/((中間品リスト!$F$2:$F$1299=$B399)*(中間品リスト!$E$2:$E$1299&lt;&gt;"-")*(中間品リスト!$E$2:$E$1299&lt;&gt;"")),中間品リスト!$E$2:$E$1299),"")</f>
        <v/>
      </c>
      <c r="K399" s="400">
        <f>IF($J399="",0,COUNTIF(②釜工程入力!$S$5:$S$117,$J399)+COUNTIF(③スチコン工程入力!$S$5:$S$152,$J399)+COUNTIF(⑪ZEN工程入力!$S$6:$S$35,$J399)+COUNTIF(⑫ミキサー工程入力!$S$6:$S$65,$J399)+COUNTIF(⑬計量工程入力!$S$6:$S$65,$J399)+COUNTIF(⑭手動工程入力!$S$6:$S$47,$J399))</f>
        <v/>
      </c>
      <c r="L399" s="393">
        <f>IF($J399="",0,SUMIFS(②釜工程入力!$M$5:$M$117,②釜工程入力!$S$5:$S$117,$J399,②釜工程入力!$I$5:$I$117,"&gt;0")+SUMIFS(③スチコン工程入力!$M$5:$M$152,③スチコン工程入力!$S$5:$S$152,$J399,③スチコン工程入力!$I$5:$I$152,"&gt;0")+SUMIFS(⑪ZEN工程入力!$M$6:$M$35,⑪ZEN工程入力!$S$6:$S$35,$J399,⑪ZEN工程入力!$I$6:$I$35,"&gt;0")+SUMIFS(⑫ミキサー工程入力!$M$6:$M$65,⑫ミキサー工程入力!$S$6:$S$65,$J399,⑫ミキサー工程入力!$I$6:$I$65,"&gt;0")+SUMIFS(⑬計量工程入力!$M$6:$M$65,⑬計量工程入力!$S$6:$S$65,$J399,⑬計量工程入力!$I$6:$I$65,"&gt;0")+SUMIFS(⑭手動工程入力!$M$6:$M$47,⑭手動工程入力!$S$6:$S$47,$J399,⑭手動工程入力!$I$6:$I$47,"&gt;0"))</f>
        <v/>
      </c>
      <c r="M399" s="393">
        <f>IF($J399="",0,SUMIFS(②釜工程入力!$I$5:$I$117,②釜工程入力!$S$5:$S$117,$J399,②釜工程入力!$I$5:$I$117,"&gt;0",②釜工程入力!$M$5:$M$117,"&gt;0")+SUMIFS(③スチコン工程入力!$I$5:$I$152,③スチコン工程入力!$S$5:$S$152,$J399,③スチコン工程入力!$I$5:$I$152,"&gt;0",③スチコン工程入力!$M$5:$M$152,"&gt;0")+SUMIFS(⑪ZEN工程入力!$I$6:$I$35,⑪ZEN工程入力!$S$6:$S$35,$J399,⑪ZEN工程入力!$I$6:$I$35,"&gt;0",⑪ZEN工程入力!$M$6:$M$35,"&gt;0")+SUMIFS(⑫ミキサー工程入力!$I$6:$I$65,⑫ミキサー工程入力!$S$6:$S$65,$J399,⑫ミキサー工程入力!$I$6:$I$65,"&gt;0",⑫ミキサー工程入力!$M$6:$M$65,"&gt;0")+SUMIFS(⑬計量工程入力!$I$6:$I$65,⑬計量工程入力!$S$6:$S$65,$J399,⑬計量工程入力!$I$6:$I$65,"&gt;0",⑬計量工程入力!$M$6:$M$65,"&gt;0")+SUMIFS(⑭手動工程入力!$I$6:$I$47,⑭手動工程入力!$S$6:$S$47,$J399,⑭手動工程入力!$I$6:$I$47,"&gt;0",⑭手動工程入力!$M$6:$M$47,"&gt;0"))</f>
        <v/>
      </c>
      <c r="N399" s="393">
        <f>IF($J399="",0,SUMIFS(②釜工程入力!$M$5:$M$117,②釜工程入力!$S$5:$S$117,$J399,②釜工程入力!$J$5:$J$117,"&gt;0")-SUMIFS(②釜工程入力!$M$5:$M$117,②釜工程入力!$S$5:$S$117,$J399,②釜工程入力!$J$5:$J$117,"&gt;0",②釜工程入力!$I$5:$I$117,"&gt;0")+SUMIFS(③スチコン工程入力!$M$5:$M$152,③スチコン工程入力!$S$5:$S$152,$J399,③スチコン工程入力!$J$5:$J$152,"&gt;0")-SUMIFS(③スチコン工程入力!$M$5:$M$152,③スチコン工程入力!$S$5:$S$152,$J399,③スチコン工程入力!$J$5:$J$152,"&gt;0",③スチコン工程入力!$I$5:$I$152,"&gt;0")+SUMIFS(⑪ZEN工程入力!$M$6:$M$35,⑪ZEN工程入力!$S$6:$S$35,$J399,⑪ZEN工程入力!$J$6:$J$35,"&gt;0")-SUMIFS(⑪ZEN工程入力!$M$6:$M$35,⑪ZEN工程入力!$S$6:$S$35,$J399,⑪ZEN工程入力!$J$6:$J$35,"&gt;0",⑪ZEN工程入力!$I$6:$I$35,"&gt;0")+SUMIFS(⑫ミキサー工程入力!$M$6:$M$65,⑫ミキサー工程入力!$S$6:$S$65,$J399,⑫ミキサー工程入力!$J$6:$J$65,"&gt;0")-SUMIFS(⑫ミキサー工程入力!$M$6:$M$65,⑫ミキサー工程入力!$S$6:$S$65,$J399,⑫ミキサー工程入力!$J$6:$J$65,"&gt;0",⑫ミキサー工程入力!$I$6:$I$65,"&gt;0")+SUMIFS(⑬計量工程入力!$M$6:$M$65,⑬計量工程入力!$S$6:$S$65,$J399,⑬計量工程入力!$J$6:$J$65,"&gt;0")-SUMIFS(⑬計量工程入力!$M$6:$M$65,⑬計量工程入力!$S$6:$S$65,$J399,⑬計量工程入力!$J$6:$J$65,"&gt;0",⑬計量工程入力!$I$6:$I$65,"&gt;0")+SUMIFS(⑭手動工程入力!$M$6:$M$47,⑭手動工程入力!$S$6:$S$47,$J399,⑭手動工程入力!$J$6:$J$47,"&gt;0")-SUMIFS(⑭手動工程入力!$M$6:$M$47,⑭手動工程入力!$S$6:$S$47,$J399,⑭手動工程入力!$J$6:$J$47,"&gt;0",⑭手動工程入力!$I$6:$I$47,"&gt;0"))</f>
        <v/>
      </c>
      <c r="O399" s="393">
        <f>IF($J399="",0,SUMIFS(②釜工程入力!$J$5:$J$117,②釜工程入力!$S$5:$S$117,$J399,②釜工程入力!$J$5:$J$117,"&gt;0",②釜工程入力!$M$5:$M$117,"&gt;0")-SUMIFS(②釜工程入力!$J$5:$J$117,②釜工程入力!$S$5:$S$117,$J399,②釜工程入力!$J$5:$J$117,"&gt;0",②釜工程入力!$I$5:$I$117,"&gt;0",②釜工程入力!$M$5:$M$117,"&gt;0")+SUMIFS(③スチコン工程入力!$J$5:$J$152,③スチコン工程入力!$S$5:$S$152,$J399,③スチコン工程入力!$J$5:$J$152,"&gt;0",③スチコン工程入力!$M$5:$M$152,"&gt;0")-SUMIFS(③スチコン工程入力!$J$5:$J$152,③スチコン工程入力!$S$5:$S$152,$J399,③スチコン工程入力!$J$5:$J$152,"&gt;0",③スチコン工程入力!$I$5:$I$152,"&gt;0",③スチコン工程入力!$M$5:$M$152,"&gt;0")+SUMIFS(⑪ZEN工程入力!$J$6:$J$35,⑪ZEN工程入力!$S$6:$S$35,$J399,⑪ZEN工程入力!$J$6:$J$35,"&gt;0",⑪ZEN工程入力!$M$6:$M$35,"&gt;0")-SUMIFS(⑪ZEN工程入力!$J$6:$J$35,⑪ZEN工程入力!$S$6:$S$35,$J399,⑪ZEN工程入力!$J$6:$J$35,"&gt;0",⑪ZEN工程入力!$I$6:$I$35,"&gt;0",⑪ZEN工程入力!$M$6:$M$35,"&gt;0")+SUMIFS(⑫ミキサー工程入力!$J$6:$J$65,⑫ミキサー工程入力!$S$6:$S$65,$J399,⑫ミキサー工程入力!$J$6:$J$65,"&gt;0",⑫ミキサー工程入力!$M$6:$M$65,"&gt;0")-SUMIFS(⑫ミキサー工程入力!$J$6:$J$65,⑫ミキサー工程入力!$S$6:$S$65,$J399,⑫ミキサー工程入力!$J$6:$J$65,"&gt;0",⑫ミキサー工程入力!$I$6:$I$65,"&gt;0",⑫ミキサー工程入力!$M$6:$M$65,"&gt;0")+SUMIFS(⑬計量工程入力!$J$6:$J$65,⑬計量工程入力!$S$6:$S$65,$J399,⑬計量工程入力!$J$6:$J$65,"&gt;0",⑬計量工程入力!$M$6:$M$65,"&gt;0")-SUMIFS(⑬計量工程入力!$J$6:$J$65,⑬計量工程入力!$S$6:$S$65,$J399,⑬計量工程入力!$J$6:$J$65,"&gt;0",⑬計量工程入力!$I$6:$I$65,"&gt;0",⑬計量工程入力!$M$6:$M$65,"&gt;0")+SUMIFS(⑭手動工程入力!$J$6:$J$47,⑭手動工程入力!$S$6:$S$47,$J399,⑭手動工程入力!$J$6:$J$47,"&gt;0",⑭手動工程入力!$M$6:$M$47,"&gt;0")-SUMIFS(⑭手動工程入力!$J$6:$J$47,⑭手動工程入力!$S$6:$S$47,$J399,⑭手動工程入力!$J$6:$J$47,"&gt;0",⑭手動工程入力!$I$6:$I$47,"&gt;0",⑭手動工程入力!$M$6:$M$47,"&gt;0"))</f>
        <v/>
      </c>
      <c r="P399" s="392" t="inlineStr">
        <is>
          <t>中間品リスト</t>
        </is>
      </c>
    </row>
    <row r="400">
      <c r="A400" s="392" t="n">
        <v>396</v>
      </c>
      <c r="B400" s="392" t="n"/>
      <c r="C400" s="392" t="n"/>
      <c r="D400" s="409" t="n"/>
      <c r="E400" s="392" t="n"/>
      <c r="F400" s="394" t="n"/>
      <c r="G400" s="392" t="n"/>
      <c r="H400" s="604">
        <f>IFERROR(IF(AND($K400&gt;0,ISNUMBER(IF(OR($D400="g",$D400="ｇ"),IF($M400&gt;0,$L400/$M400/1000,""),IF($D400="kg",IF($M400&gt;0,$L400/$M400,""),IF($D400="",IF($M400&gt;0,$L400/$M400/1000,IF($O400&gt;0,$N400/$O400,"")),IF($O400&gt;0,$N400/$O400,"")))))),IF(OR($D400="g",$D400="ｇ"),IF($M400&gt;0,$L400/$M400/1000,""),IF($D400="kg",IF($M400&gt;0,$L400/$M400,""),IF($D400="",IF($M400&gt;0,$L400/$M400/1000,IF($O400&gt;0,$N400/$O400,"")),IF($O400&gt;0,$N400/$O400,"")))),IF($F400="",IF(OR($E400="",$E400="⑩盛付梱包工程入力"),"",IF(OR($D400="g",$D400="ｇ"),INDEX(⑰工程労務費一覧!$N$5:$N$11,MATCH($E400,⑰工程労務費一覧!$K$5:$K$11,0))/1000,IF($D400="kg",INDEX(⑰工程労務費一覧!$N$5:$N$11,MATCH($E400,⑰工程労務費一覧!$K$5:$K$11,0)),IF(OR($D400="個",$D400="切",$D400="本",$D400="枚",$D400="尾"),IF($E400="⑬計量工程入力","",INDEX(⑰工程労務費一覧!$P$5:$P$11,MATCH($E400,⑰工程労務費一覧!$K$5:$K$11,0))),IF(AND($D400="",OR($E400="②釜工程入力",$E400="③スチコン工程入力")),INDEX(⑰工程労務費一覧!$N$5:$N$11,MATCH($E400,⑰工程労務費一覧!$K$5:$K$11,0))/1000,""))))),IF(OR($D400="g",$D400="ｇ"),INDEX(⑰工程労務費一覧!$H$5:$H$753,MATCH($F400,⑰工程労務費一覧!$D$5:$D$753,0))/1000,IF($D400="kg",INDEX(⑰工程労務費一覧!$H$5:$H$753,MATCH($F400,⑰工程労務費一覧!$D$5:$D$753,0)),INDEX(⑰工程労務費一覧!$I$5:$I$753,MATCH($F400,⑰工程労務費一覧!$D$5:$D$753,0)))))),"")</f>
        <v/>
      </c>
      <c r="I400" s="392">
        <f>IF($K400&gt;0,IF(ISNUMBER(IF(OR($D400="g",$D400="ｇ"),IF($M400&gt;0,$L400/$M400/1000,""),IF($D400="kg",IF($M400&gt;0,$L400/$M400,""),IF($D400="",IF($M400&gt;0,$L400/$M400/1000,IF($O400&gt;0,$N400/$O400,"")),IF($O400&gt;0,$N400/$O400,""))))),IF($D400="",IF($M400&gt;0,"◎ JAN紐づけ(g扱い)","◎ JAN紐づけ(個扱い)"),"◎ JAN紐づけ"),"△ JAN紐づけ済・実績不足→仮計算"),IF($F400="",IF(ISNUMBER($H400),IF($D400="","⑤ 工程平均で仮計算(g扱い)","⑤ 工程平均で仮計算"),IF($E400="⑩盛付梱包工程入力","⑥ 盛り込み(⑳F列で計上)",IF(AND($E400="⑬計量工程入力",OR($D400="個",$D400="切",$D400="本",$D400="枚",$D400="尾")),"① 未紐づけ(カット個単位は仮単価なし)","① 未紐づけ"))),IF(NOT(ISNUMBER($H400)),"② 工程側に単価なし",IF($D400="","③ 単位未設定(個で計算)","④ OK"))))</f>
        <v/>
      </c>
      <c r="J400" s="399">
        <f>IFERROR(LOOKUP(2,1/((中間品リスト!$F$2:$F$1299=$B400)*(中間品リスト!$E$2:$E$1299&lt;&gt;"-")*(中間品リスト!$E$2:$E$1299&lt;&gt;"")),中間品リスト!$E$2:$E$1299),"")</f>
        <v/>
      </c>
      <c r="K400" s="400">
        <f>IF($J400="",0,COUNTIF(②釜工程入力!$S$5:$S$117,$J400)+COUNTIF(③スチコン工程入力!$S$5:$S$152,$J400)+COUNTIF(⑪ZEN工程入力!$S$6:$S$35,$J400)+COUNTIF(⑫ミキサー工程入力!$S$6:$S$65,$J400)+COUNTIF(⑬計量工程入力!$S$6:$S$65,$J400)+COUNTIF(⑭手動工程入力!$S$6:$S$47,$J400))</f>
        <v/>
      </c>
      <c r="L400" s="393">
        <f>IF($J400="",0,SUMIFS(②釜工程入力!$M$5:$M$117,②釜工程入力!$S$5:$S$117,$J400,②釜工程入力!$I$5:$I$117,"&gt;0")+SUMIFS(③スチコン工程入力!$M$5:$M$152,③スチコン工程入力!$S$5:$S$152,$J400,③スチコン工程入力!$I$5:$I$152,"&gt;0")+SUMIFS(⑪ZEN工程入力!$M$6:$M$35,⑪ZEN工程入力!$S$6:$S$35,$J400,⑪ZEN工程入力!$I$6:$I$35,"&gt;0")+SUMIFS(⑫ミキサー工程入力!$M$6:$M$65,⑫ミキサー工程入力!$S$6:$S$65,$J400,⑫ミキサー工程入力!$I$6:$I$65,"&gt;0")+SUMIFS(⑬計量工程入力!$M$6:$M$65,⑬計量工程入力!$S$6:$S$65,$J400,⑬計量工程入力!$I$6:$I$65,"&gt;0")+SUMIFS(⑭手動工程入力!$M$6:$M$47,⑭手動工程入力!$S$6:$S$47,$J400,⑭手動工程入力!$I$6:$I$47,"&gt;0"))</f>
        <v/>
      </c>
      <c r="M400" s="393">
        <f>IF($J400="",0,SUMIFS(②釜工程入力!$I$5:$I$117,②釜工程入力!$S$5:$S$117,$J400,②釜工程入力!$I$5:$I$117,"&gt;0",②釜工程入力!$M$5:$M$117,"&gt;0")+SUMIFS(③スチコン工程入力!$I$5:$I$152,③スチコン工程入力!$S$5:$S$152,$J400,③スチコン工程入力!$I$5:$I$152,"&gt;0",③スチコン工程入力!$M$5:$M$152,"&gt;0")+SUMIFS(⑪ZEN工程入力!$I$6:$I$35,⑪ZEN工程入力!$S$6:$S$35,$J400,⑪ZEN工程入力!$I$6:$I$35,"&gt;0",⑪ZEN工程入力!$M$6:$M$35,"&gt;0")+SUMIFS(⑫ミキサー工程入力!$I$6:$I$65,⑫ミキサー工程入力!$S$6:$S$65,$J400,⑫ミキサー工程入力!$I$6:$I$65,"&gt;0",⑫ミキサー工程入力!$M$6:$M$65,"&gt;0")+SUMIFS(⑬計量工程入力!$I$6:$I$65,⑬計量工程入力!$S$6:$S$65,$J400,⑬計量工程入力!$I$6:$I$65,"&gt;0",⑬計量工程入力!$M$6:$M$65,"&gt;0")+SUMIFS(⑭手動工程入力!$I$6:$I$47,⑭手動工程入力!$S$6:$S$47,$J400,⑭手動工程入力!$I$6:$I$47,"&gt;0",⑭手動工程入力!$M$6:$M$47,"&gt;0"))</f>
        <v/>
      </c>
      <c r="N400" s="393">
        <f>IF($J400="",0,SUMIFS(②釜工程入力!$M$5:$M$117,②釜工程入力!$S$5:$S$117,$J400,②釜工程入力!$J$5:$J$117,"&gt;0")-SUMIFS(②釜工程入力!$M$5:$M$117,②釜工程入力!$S$5:$S$117,$J400,②釜工程入力!$J$5:$J$117,"&gt;0",②釜工程入力!$I$5:$I$117,"&gt;0")+SUMIFS(③スチコン工程入力!$M$5:$M$152,③スチコン工程入力!$S$5:$S$152,$J400,③スチコン工程入力!$J$5:$J$152,"&gt;0")-SUMIFS(③スチコン工程入力!$M$5:$M$152,③スチコン工程入力!$S$5:$S$152,$J400,③スチコン工程入力!$J$5:$J$152,"&gt;0",③スチコン工程入力!$I$5:$I$152,"&gt;0")+SUMIFS(⑪ZEN工程入力!$M$6:$M$35,⑪ZEN工程入力!$S$6:$S$35,$J400,⑪ZEN工程入力!$J$6:$J$35,"&gt;0")-SUMIFS(⑪ZEN工程入力!$M$6:$M$35,⑪ZEN工程入力!$S$6:$S$35,$J400,⑪ZEN工程入力!$J$6:$J$35,"&gt;0",⑪ZEN工程入力!$I$6:$I$35,"&gt;0")+SUMIFS(⑫ミキサー工程入力!$M$6:$M$65,⑫ミキサー工程入力!$S$6:$S$65,$J400,⑫ミキサー工程入力!$J$6:$J$65,"&gt;0")-SUMIFS(⑫ミキサー工程入力!$M$6:$M$65,⑫ミキサー工程入力!$S$6:$S$65,$J400,⑫ミキサー工程入力!$J$6:$J$65,"&gt;0",⑫ミキサー工程入力!$I$6:$I$65,"&gt;0")+SUMIFS(⑬計量工程入力!$M$6:$M$65,⑬計量工程入力!$S$6:$S$65,$J400,⑬計量工程入力!$J$6:$J$65,"&gt;0")-SUMIFS(⑬計量工程入力!$M$6:$M$65,⑬計量工程入力!$S$6:$S$65,$J400,⑬計量工程入力!$J$6:$J$65,"&gt;0",⑬計量工程入力!$I$6:$I$65,"&gt;0")+SUMIFS(⑭手動工程入力!$M$6:$M$47,⑭手動工程入力!$S$6:$S$47,$J400,⑭手動工程入力!$J$6:$J$47,"&gt;0")-SUMIFS(⑭手動工程入力!$M$6:$M$47,⑭手動工程入力!$S$6:$S$47,$J400,⑭手動工程入力!$J$6:$J$47,"&gt;0",⑭手動工程入力!$I$6:$I$47,"&gt;0"))</f>
        <v/>
      </c>
      <c r="O400" s="393">
        <f>IF($J400="",0,SUMIFS(②釜工程入力!$J$5:$J$117,②釜工程入力!$S$5:$S$117,$J400,②釜工程入力!$J$5:$J$117,"&gt;0",②釜工程入力!$M$5:$M$117,"&gt;0")-SUMIFS(②釜工程入力!$J$5:$J$117,②釜工程入力!$S$5:$S$117,$J400,②釜工程入力!$J$5:$J$117,"&gt;0",②釜工程入力!$I$5:$I$117,"&gt;0",②釜工程入力!$M$5:$M$117,"&gt;0")+SUMIFS(③スチコン工程入力!$J$5:$J$152,③スチコン工程入力!$S$5:$S$152,$J400,③スチコン工程入力!$J$5:$J$152,"&gt;0",③スチコン工程入力!$M$5:$M$152,"&gt;0")-SUMIFS(③スチコン工程入力!$J$5:$J$152,③スチコン工程入力!$S$5:$S$152,$J400,③スチコン工程入力!$J$5:$J$152,"&gt;0",③スチコン工程入力!$I$5:$I$152,"&gt;0",③スチコン工程入力!$M$5:$M$152,"&gt;0")+SUMIFS(⑪ZEN工程入力!$J$6:$J$35,⑪ZEN工程入力!$S$6:$S$35,$J400,⑪ZEN工程入力!$J$6:$J$35,"&gt;0",⑪ZEN工程入力!$M$6:$M$35,"&gt;0")-SUMIFS(⑪ZEN工程入力!$J$6:$J$35,⑪ZEN工程入力!$S$6:$S$35,$J400,⑪ZEN工程入力!$J$6:$J$35,"&gt;0",⑪ZEN工程入力!$I$6:$I$35,"&gt;0",⑪ZEN工程入力!$M$6:$M$35,"&gt;0")+SUMIFS(⑫ミキサー工程入力!$J$6:$J$65,⑫ミキサー工程入力!$S$6:$S$65,$J400,⑫ミキサー工程入力!$J$6:$J$65,"&gt;0",⑫ミキサー工程入力!$M$6:$M$65,"&gt;0")-SUMIFS(⑫ミキサー工程入力!$J$6:$J$65,⑫ミキサー工程入力!$S$6:$S$65,$J400,⑫ミキサー工程入力!$J$6:$J$65,"&gt;0",⑫ミキサー工程入力!$I$6:$I$65,"&gt;0",⑫ミキサー工程入力!$M$6:$M$65,"&gt;0")+SUMIFS(⑬計量工程入力!$J$6:$J$65,⑬計量工程入力!$S$6:$S$65,$J400,⑬計量工程入力!$J$6:$J$65,"&gt;0",⑬計量工程入力!$M$6:$M$65,"&gt;0")-SUMIFS(⑬計量工程入力!$J$6:$J$65,⑬計量工程入力!$S$6:$S$65,$J400,⑬計量工程入力!$J$6:$J$65,"&gt;0",⑬計量工程入力!$I$6:$I$65,"&gt;0",⑬計量工程入力!$M$6:$M$65,"&gt;0")+SUMIFS(⑭手動工程入力!$J$6:$J$47,⑭手動工程入力!$S$6:$S$47,$J400,⑭手動工程入力!$J$6:$J$47,"&gt;0",⑭手動工程入力!$M$6:$M$47,"&gt;0")-SUMIFS(⑭手動工程入力!$J$6:$J$47,⑭手動工程入力!$S$6:$S$47,$J400,⑭手動工程入力!$J$6:$J$47,"&gt;0",⑭手動工程入力!$I$6:$I$47,"&gt;0",⑭手動工程入力!$M$6:$M$47,"&gt;0"))</f>
        <v/>
      </c>
      <c r="P400" s="392" t="inlineStr">
        <is>
          <t>中間品リスト</t>
        </is>
      </c>
    </row>
    <row r="401">
      <c r="A401" s="392" t="n">
        <v>397</v>
      </c>
      <c r="B401" s="392" t="n"/>
      <c r="C401" s="392" t="n"/>
      <c r="D401" s="409" t="n"/>
      <c r="E401" s="392" t="n"/>
      <c r="F401" s="394" t="n"/>
      <c r="G401" s="392" t="n"/>
      <c r="H401" s="604">
        <f>IFERROR(IF(AND($K401&gt;0,ISNUMBER(IF(OR($D401="g",$D401="ｇ"),IF($M401&gt;0,$L401/$M401/1000,""),IF($D401="kg",IF($M401&gt;0,$L401/$M401,""),IF($D401="",IF($M401&gt;0,$L401/$M401/1000,IF($O401&gt;0,$N401/$O401,"")),IF($O401&gt;0,$N401/$O401,"")))))),IF(OR($D401="g",$D401="ｇ"),IF($M401&gt;0,$L401/$M401/1000,""),IF($D401="kg",IF($M401&gt;0,$L401/$M401,""),IF($D401="",IF($M401&gt;0,$L401/$M401/1000,IF($O401&gt;0,$N401/$O401,"")),IF($O401&gt;0,$N401/$O401,"")))),IF($F401="",IF(OR($E401="",$E401="⑩盛付梱包工程入力"),"",IF(OR($D401="g",$D401="ｇ"),INDEX(⑰工程労務費一覧!$N$5:$N$11,MATCH($E401,⑰工程労務費一覧!$K$5:$K$11,0))/1000,IF($D401="kg",INDEX(⑰工程労務費一覧!$N$5:$N$11,MATCH($E401,⑰工程労務費一覧!$K$5:$K$11,0)),IF(OR($D401="個",$D401="切",$D401="本",$D401="枚",$D401="尾"),IF($E401="⑬計量工程入力","",INDEX(⑰工程労務費一覧!$P$5:$P$11,MATCH($E401,⑰工程労務費一覧!$K$5:$K$11,0))),IF(AND($D401="",OR($E401="②釜工程入力",$E401="③スチコン工程入力")),INDEX(⑰工程労務費一覧!$N$5:$N$11,MATCH($E401,⑰工程労務費一覧!$K$5:$K$11,0))/1000,""))))),IF(OR($D401="g",$D401="ｇ"),INDEX(⑰工程労務費一覧!$H$5:$H$753,MATCH($F401,⑰工程労務費一覧!$D$5:$D$753,0))/1000,IF($D401="kg",INDEX(⑰工程労務費一覧!$H$5:$H$753,MATCH($F401,⑰工程労務費一覧!$D$5:$D$753,0)),INDEX(⑰工程労務費一覧!$I$5:$I$753,MATCH($F401,⑰工程労務費一覧!$D$5:$D$753,0)))))),"")</f>
        <v/>
      </c>
      <c r="I401" s="392">
        <f>IF($K401&gt;0,IF(ISNUMBER(IF(OR($D401="g",$D401="ｇ"),IF($M401&gt;0,$L401/$M401/1000,""),IF($D401="kg",IF($M401&gt;0,$L401/$M401,""),IF($D401="",IF($M401&gt;0,$L401/$M401/1000,IF($O401&gt;0,$N401/$O401,"")),IF($O401&gt;0,$N401/$O401,""))))),IF($D401="",IF($M401&gt;0,"◎ JAN紐づけ(g扱い)","◎ JAN紐づけ(個扱い)"),"◎ JAN紐づけ"),"△ JAN紐づけ済・実績不足→仮計算"),IF($F401="",IF(ISNUMBER($H401),IF($D401="","⑤ 工程平均で仮計算(g扱い)","⑤ 工程平均で仮計算"),IF($E401="⑩盛付梱包工程入力","⑥ 盛り込み(⑳F列で計上)",IF(AND($E401="⑬計量工程入力",OR($D401="個",$D401="切",$D401="本",$D401="枚",$D401="尾")),"① 未紐づけ(カット個単位は仮単価なし)","① 未紐づけ"))),IF(NOT(ISNUMBER($H401)),"② 工程側に単価なし",IF($D401="","③ 単位未設定(個で計算)","④ OK"))))</f>
        <v/>
      </c>
      <c r="J401" s="399">
        <f>IFERROR(LOOKUP(2,1/((中間品リスト!$F$2:$F$1299=$B401)*(中間品リスト!$E$2:$E$1299&lt;&gt;"-")*(中間品リスト!$E$2:$E$1299&lt;&gt;"")),中間品リスト!$E$2:$E$1299),"")</f>
        <v/>
      </c>
      <c r="K401" s="400">
        <f>IF($J401="",0,COUNTIF(②釜工程入力!$S$5:$S$117,$J401)+COUNTIF(③スチコン工程入力!$S$5:$S$152,$J401)+COUNTIF(⑪ZEN工程入力!$S$6:$S$35,$J401)+COUNTIF(⑫ミキサー工程入力!$S$6:$S$65,$J401)+COUNTIF(⑬計量工程入力!$S$6:$S$65,$J401)+COUNTIF(⑭手動工程入力!$S$6:$S$47,$J401))</f>
        <v/>
      </c>
      <c r="L401" s="393">
        <f>IF($J401="",0,SUMIFS(②釜工程入力!$M$5:$M$117,②釜工程入力!$S$5:$S$117,$J401,②釜工程入力!$I$5:$I$117,"&gt;0")+SUMIFS(③スチコン工程入力!$M$5:$M$152,③スチコン工程入力!$S$5:$S$152,$J401,③スチコン工程入力!$I$5:$I$152,"&gt;0")+SUMIFS(⑪ZEN工程入力!$M$6:$M$35,⑪ZEN工程入力!$S$6:$S$35,$J401,⑪ZEN工程入力!$I$6:$I$35,"&gt;0")+SUMIFS(⑫ミキサー工程入力!$M$6:$M$65,⑫ミキサー工程入力!$S$6:$S$65,$J401,⑫ミキサー工程入力!$I$6:$I$65,"&gt;0")+SUMIFS(⑬計量工程入力!$M$6:$M$65,⑬計量工程入力!$S$6:$S$65,$J401,⑬計量工程入力!$I$6:$I$65,"&gt;0")+SUMIFS(⑭手動工程入力!$M$6:$M$47,⑭手動工程入力!$S$6:$S$47,$J401,⑭手動工程入力!$I$6:$I$47,"&gt;0"))</f>
        <v/>
      </c>
      <c r="M401" s="393">
        <f>IF($J401="",0,SUMIFS(②釜工程入力!$I$5:$I$117,②釜工程入力!$S$5:$S$117,$J401,②釜工程入力!$I$5:$I$117,"&gt;0",②釜工程入力!$M$5:$M$117,"&gt;0")+SUMIFS(③スチコン工程入力!$I$5:$I$152,③スチコン工程入力!$S$5:$S$152,$J401,③スチコン工程入力!$I$5:$I$152,"&gt;0",③スチコン工程入力!$M$5:$M$152,"&gt;0")+SUMIFS(⑪ZEN工程入力!$I$6:$I$35,⑪ZEN工程入力!$S$6:$S$35,$J401,⑪ZEN工程入力!$I$6:$I$35,"&gt;0",⑪ZEN工程入力!$M$6:$M$35,"&gt;0")+SUMIFS(⑫ミキサー工程入力!$I$6:$I$65,⑫ミキサー工程入力!$S$6:$S$65,$J401,⑫ミキサー工程入力!$I$6:$I$65,"&gt;0",⑫ミキサー工程入力!$M$6:$M$65,"&gt;0")+SUMIFS(⑬計量工程入力!$I$6:$I$65,⑬計量工程入力!$S$6:$S$65,$J401,⑬計量工程入力!$I$6:$I$65,"&gt;0",⑬計量工程入力!$M$6:$M$65,"&gt;0")+SUMIFS(⑭手動工程入力!$I$6:$I$47,⑭手動工程入力!$S$6:$S$47,$J401,⑭手動工程入力!$I$6:$I$47,"&gt;0",⑭手動工程入力!$M$6:$M$47,"&gt;0"))</f>
        <v/>
      </c>
      <c r="N401" s="393">
        <f>IF($J401="",0,SUMIFS(②釜工程入力!$M$5:$M$117,②釜工程入力!$S$5:$S$117,$J401,②釜工程入力!$J$5:$J$117,"&gt;0")-SUMIFS(②釜工程入力!$M$5:$M$117,②釜工程入力!$S$5:$S$117,$J401,②釜工程入力!$J$5:$J$117,"&gt;0",②釜工程入力!$I$5:$I$117,"&gt;0")+SUMIFS(③スチコン工程入力!$M$5:$M$152,③スチコン工程入力!$S$5:$S$152,$J401,③スチコン工程入力!$J$5:$J$152,"&gt;0")-SUMIFS(③スチコン工程入力!$M$5:$M$152,③スチコン工程入力!$S$5:$S$152,$J401,③スチコン工程入力!$J$5:$J$152,"&gt;0",③スチコン工程入力!$I$5:$I$152,"&gt;0")+SUMIFS(⑪ZEN工程入力!$M$6:$M$35,⑪ZEN工程入力!$S$6:$S$35,$J401,⑪ZEN工程入力!$J$6:$J$35,"&gt;0")-SUMIFS(⑪ZEN工程入力!$M$6:$M$35,⑪ZEN工程入力!$S$6:$S$35,$J401,⑪ZEN工程入力!$J$6:$J$35,"&gt;0",⑪ZEN工程入力!$I$6:$I$35,"&gt;0")+SUMIFS(⑫ミキサー工程入力!$M$6:$M$65,⑫ミキサー工程入力!$S$6:$S$65,$J401,⑫ミキサー工程入力!$J$6:$J$65,"&gt;0")-SUMIFS(⑫ミキサー工程入力!$M$6:$M$65,⑫ミキサー工程入力!$S$6:$S$65,$J401,⑫ミキサー工程入力!$J$6:$J$65,"&gt;0",⑫ミキサー工程入力!$I$6:$I$65,"&gt;0")+SUMIFS(⑬計量工程入力!$M$6:$M$65,⑬計量工程入力!$S$6:$S$65,$J401,⑬計量工程入力!$J$6:$J$65,"&gt;0")-SUMIFS(⑬計量工程入力!$M$6:$M$65,⑬計量工程入力!$S$6:$S$65,$J401,⑬計量工程入力!$J$6:$J$65,"&gt;0",⑬計量工程入力!$I$6:$I$65,"&gt;0")+SUMIFS(⑭手動工程入力!$M$6:$M$47,⑭手動工程入力!$S$6:$S$47,$J401,⑭手動工程入力!$J$6:$J$47,"&gt;0")-SUMIFS(⑭手動工程入力!$M$6:$M$47,⑭手動工程入力!$S$6:$S$47,$J401,⑭手動工程入力!$J$6:$J$47,"&gt;0",⑭手動工程入力!$I$6:$I$47,"&gt;0"))</f>
        <v/>
      </c>
      <c r="O401" s="393">
        <f>IF($J401="",0,SUMIFS(②釜工程入力!$J$5:$J$117,②釜工程入力!$S$5:$S$117,$J401,②釜工程入力!$J$5:$J$117,"&gt;0",②釜工程入力!$M$5:$M$117,"&gt;0")-SUMIFS(②釜工程入力!$J$5:$J$117,②釜工程入力!$S$5:$S$117,$J401,②釜工程入力!$J$5:$J$117,"&gt;0",②釜工程入力!$I$5:$I$117,"&gt;0",②釜工程入力!$M$5:$M$117,"&gt;0")+SUMIFS(③スチコン工程入力!$J$5:$J$152,③スチコン工程入力!$S$5:$S$152,$J401,③スチコン工程入力!$J$5:$J$152,"&gt;0",③スチコン工程入力!$M$5:$M$152,"&gt;0")-SUMIFS(③スチコン工程入力!$J$5:$J$152,③スチコン工程入力!$S$5:$S$152,$J401,③スチコン工程入力!$J$5:$J$152,"&gt;0",③スチコン工程入力!$I$5:$I$152,"&gt;0",③スチコン工程入力!$M$5:$M$152,"&gt;0")+SUMIFS(⑪ZEN工程入力!$J$6:$J$35,⑪ZEN工程入力!$S$6:$S$35,$J401,⑪ZEN工程入力!$J$6:$J$35,"&gt;0",⑪ZEN工程入力!$M$6:$M$35,"&gt;0")-SUMIFS(⑪ZEN工程入力!$J$6:$J$35,⑪ZEN工程入力!$S$6:$S$35,$J401,⑪ZEN工程入力!$J$6:$J$35,"&gt;0",⑪ZEN工程入力!$I$6:$I$35,"&gt;0",⑪ZEN工程入力!$M$6:$M$35,"&gt;0")+SUMIFS(⑫ミキサー工程入力!$J$6:$J$65,⑫ミキサー工程入力!$S$6:$S$65,$J401,⑫ミキサー工程入力!$J$6:$J$65,"&gt;0",⑫ミキサー工程入力!$M$6:$M$65,"&gt;0")-SUMIFS(⑫ミキサー工程入力!$J$6:$J$65,⑫ミキサー工程入力!$S$6:$S$65,$J401,⑫ミキサー工程入力!$J$6:$J$65,"&gt;0",⑫ミキサー工程入力!$I$6:$I$65,"&gt;0",⑫ミキサー工程入力!$M$6:$M$65,"&gt;0")+SUMIFS(⑬計量工程入力!$J$6:$J$65,⑬計量工程入力!$S$6:$S$65,$J401,⑬計量工程入力!$J$6:$J$65,"&gt;0",⑬計量工程入力!$M$6:$M$65,"&gt;0")-SUMIFS(⑬計量工程入力!$J$6:$J$65,⑬計量工程入力!$S$6:$S$65,$J401,⑬計量工程入力!$J$6:$J$65,"&gt;0",⑬計量工程入力!$I$6:$I$65,"&gt;0",⑬計量工程入力!$M$6:$M$65,"&gt;0")+SUMIFS(⑭手動工程入力!$J$6:$J$47,⑭手動工程入力!$S$6:$S$47,$J401,⑭手動工程入力!$J$6:$J$47,"&gt;0",⑭手動工程入力!$M$6:$M$47,"&gt;0")-SUMIFS(⑭手動工程入力!$J$6:$J$47,⑭手動工程入力!$S$6:$S$47,$J401,⑭手動工程入力!$J$6:$J$47,"&gt;0",⑭手動工程入力!$I$6:$I$47,"&gt;0",⑭手動工程入力!$M$6:$M$47,"&gt;0"))</f>
        <v/>
      </c>
      <c r="P401" s="392" t="inlineStr">
        <is>
          <t>中間品リスト</t>
        </is>
      </c>
    </row>
    <row r="402">
      <c r="A402" s="392" t="n">
        <v>398</v>
      </c>
      <c r="B402" s="392" t="n"/>
      <c r="C402" s="392" t="n"/>
      <c r="D402" s="409" t="n"/>
      <c r="E402" s="392" t="n"/>
      <c r="F402" s="394" t="n"/>
      <c r="G402" s="392" t="n"/>
      <c r="H402" s="604">
        <f>IFERROR(IF(AND($K402&gt;0,ISNUMBER(IF(OR($D402="g",$D402="ｇ"),IF($M402&gt;0,$L402/$M402/1000,""),IF($D402="kg",IF($M402&gt;0,$L402/$M402,""),IF($D402="",IF($M402&gt;0,$L402/$M402/1000,IF($O402&gt;0,$N402/$O402,"")),IF($O402&gt;0,$N402/$O402,"")))))),IF(OR($D402="g",$D402="ｇ"),IF($M402&gt;0,$L402/$M402/1000,""),IF($D402="kg",IF($M402&gt;0,$L402/$M402,""),IF($D402="",IF($M402&gt;0,$L402/$M402/1000,IF($O402&gt;0,$N402/$O402,"")),IF($O402&gt;0,$N402/$O402,"")))),IF($F402="",IF(OR($E402="",$E402="⑩盛付梱包工程入力"),"",IF(OR($D402="g",$D402="ｇ"),INDEX(⑰工程労務費一覧!$N$5:$N$11,MATCH($E402,⑰工程労務費一覧!$K$5:$K$11,0))/1000,IF($D402="kg",INDEX(⑰工程労務費一覧!$N$5:$N$11,MATCH($E402,⑰工程労務費一覧!$K$5:$K$11,0)),IF(OR($D402="個",$D402="切",$D402="本",$D402="枚",$D402="尾"),IF($E402="⑬計量工程入力","",INDEX(⑰工程労務費一覧!$P$5:$P$11,MATCH($E402,⑰工程労務費一覧!$K$5:$K$11,0))),IF(AND($D402="",OR($E402="②釜工程入力",$E402="③スチコン工程入力")),INDEX(⑰工程労務費一覧!$N$5:$N$11,MATCH($E402,⑰工程労務費一覧!$K$5:$K$11,0))/1000,""))))),IF(OR($D402="g",$D402="ｇ"),INDEX(⑰工程労務費一覧!$H$5:$H$753,MATCH($F402,⑰工程労務費一覧!$D$5:$D$753,0))/1000,IF($D402="kg",INDEX(⑰工程労務費一覧!$H$5:$H$753,MATCH($F402,⑰工程労務費一覧!$D$5:$D$753,0)),INDEX(⑰工程労務費一覧!$I$5:$I$753,MATCH($F402,⑰工程労務費一覧!$D$5:$D$753,0)))))),"")</f>
        <v/>
      </c>
      <c r="I402" s="392">
        <f>IF($K402&gt;0,IF(ISNUMBER(IF(OR($D402="g",$D402="ｇ"),IF($M402&gt;0,$L402/$M402/1000,""),IF($D402="kg",IF($M402&gt;0,$L402/$M402,""),IF($D402="",IF($M402&gt;0,$L402/$M402/1000,IF($O402&gt;0,$N402/$O402,"")),IF($O402&gt;0,$N402/$O402,""))))),IF($D402="",IF($M402&gt;0,"◎ JAN紐づけ(g扱い)","◎ JAN紐づけ(個扱い)"),"◎ JAN紐づけ"),"△ JAN紐づけ済・実績不足→仮計算"),IF($F402="",IF(ISNUMBER($H402),IF($D402="","⑤ 工程平均で仮計算(g扱い)","⑤ 工程平均で仮計算"),IF($E402="⑩盛付梱包工程入力","⑥ 盛り込み(⑳F列で計上)",IF(AND($E402="⑬計量工程入力",OR($D402="個",$D402="切",$D402="本",$D402="枚",$D402="尾")),"① 未紐づけ(カット個単位は仮単価なし)","① 未紐づけ"))),IF(NOT(ISNUMBER($H402)),"② 工程側に単価なし",IF($D402="","③ 単位未設定(個で計算)","④ OK"))))</f>
        <v/>
      </c>
      <c r="J402" s="399">
        <f>IFERROR(LOOKUP(2,1/((中間品リスト!$F$2:$F$1299=$B402)*(中間品リスト!$E$2:$E$1299&lt;&gt;"-")*(中間品リスト!$E$2:$E$1299&lt;&gt;"")),中間品リスト!$E$2:$E$1299),"")</f>
        <v/>
      </c>
      <c r="K402" s="400">
        <f>IF($J402="",0,COUNTIF(②釜工程入力!$S$5:$S$117,$J402)+COUNTIF(③スチコン工程入力!$S$5:$S$152,$J402)+COUNTIF(⑪ZEN工程入力!$S$6:$S$35,$J402)+COUNTIF(⑫ミキサー工程入力!$S$6:$S$65,$J402)+COUNTIF(⑬計量工程入力!$S$6:$S$65,$J402)+COUNTIF(⑭手動工程入力!$S$6:$S$47,$J402))</f>
        <v/>
      </c>
      <c r="L402" s="393">
        <f>IF($J402="",0,SUMIFS(②釜工程入力!$M$5:$M$117,②釜工程入力!$S$5:$S$117,$J402,②釜工程入力!$I$5:$I$117,"&gt;0")+SUMIFS(③スチコン工程入力!$M$5:$M$152,③スチコン工程入力!$S$5:$S$152,$J402,③スチコン工程入力!$I$5:$I$152,"&gt;0")+SUMIFS(⑪ZEN工程入力!$M$6:$M$35,⑪ZEN工程入力!$S$6:$S$35,$J402,⑪ZEN工程入力!$I$6:$I$35,"&gt;0")+SUMIFS(⑫ミキサー工程入力!$M$6:$M$65,⑫ミキサー工程入力!$S$6:$S$65,$J402,⑫ミキサー工程入力!$I$6:$I$65,"&gt;0")+SUMIFS(⑬計量工程入力!$M$6:$M$65,⑬計量工程入力!$S$6:$S$65,$J402,⑬計量工程入力!$I$6:$I$65,"&gt;0")+SUMIFS(⑭手動工程入力!$M$6:$M$47,⑭手動工程入力!$S$6:$S$47,$J402,⑭手動工程入力!$I$6:$I$47,"&gt;0"))</f>
        <v/>
      </c>
      <c r="M402" s="393">
        <f>IF($J402="",0,SUMIFS(②釜工程入力!$I$5:$I$117,②釜工程入力!$S$5:$S$117,$J402,②釜工程入力!$I$5:$I$117,"&gt;0",②釜工程入力!$M$5:$M$117,"&gt;0")+SUMIFS(③スチコン工程入力!$I$5:$I$152,③スチコン工程入力!$S$5:$S$152,$J402,③スチコン工程入力!$I$5:$I$152,"&gt;0",③スチコン工程入力!$M$5:$M$152,"&gt;0")+SUMIFS(⑪ZEN工程入力!$I$6:$I$35,⑪ZEN工程入力!$S$6:$S$35,$J402,⑪ZEN工程入力!$I$6:$I$35,"&gt;0",⑪ZEN工程入力!$M$6:$M$35,"&gt;0")+SUMIFS(⑫ミキサー工程入力!$I$6:$I$65,⑫ミキサー工程入力!$S$6:$S$65,$J402,⑫ミキサー工程入力!$I$6:$I$65,"&gt;0",⑫ミキサー工程入力!$M$6:$M$65,"&gt;0")+SUMIFS(⑬計量工程入力!$I$6:$I$65,⑬計量工程入力!$S$6:$S$65,$J402,⑬計量工程入力!$I$6:$I$65,"&gt;0",⑬計量工程入力!$M$6:$M$65,"&gt;0")+SUMIFS(⑭手動工程入力!$I$6:$I$47,⑭手動工程入力!$S$6:$S$47,$J402,⑭手動工程入力!$I$6:$I$47,"&gt;0",⑭手動工程入力!$M$6:$M$47,"&gt;0"))</f>
        <v/>
      </c>
      <c r="N402" s="393">
        <f>IF($J402="",0,SUMIFS(②釜工程入力!$M$5:$M$117,②釜工程入力!$S$5:$S$117,$J402,②釜工程入力!$J$5:$J$117,"&gt;0")-SUMIFS(②釜工程入力!$M$5:$M$117,②釜工程入力!$S$5:$S$117,$J402,②釜工程入力!$J$5:$J$117,"&gt;0",②釜工程入力!$I$5:$I$117,"&gt;0")+SUMIFS(③スチコン工程入力!$M$5:$M$152,③スチコン工程入力!$S$5:$S$152,$J402,③スチコン工程入力!$J$5:$J$152,"&gt;0")-SUMIFS(③スチコン工程入力!$M$5:$M$152,③スチコン工程入力!$S$5:$S$152,$J402,③スチコン工程入力!$J$5:$J$152,"&gt;0",③スチコン工程入力!$I$5:$I$152,"&gt;0")+SUMIFS(⑪ZEN工程入力!$M$6:$M$35,⑪ZEN工程入力!$S$6:$S$35,$J402,⑪ZEN工程入力!$J$6:$J$35,"&gt;0")-SUMIFS(⑪ZEN工程入力!$M$6:$M$35,⑪ZEN工程入力!$S$6:$S$35,$J402,⑪ZEN工程入力!$J$6:$J$35,"&gt;0",⑪ZEN工程入力!$I$6:$I$35,"&gt;0")+SUMIFS(⑫ミキサー工程入力!$M$6:$M$65,⑫ミキサー工程入力!$S$6:$S$65,$J402,⑫ミキサー工程入力!$J$6:$J$65,"&gt;0")-SUMIFS(⑫ミキサー工程入力!$M$6:$M$65,⑫ミキサー工程入力!$S$6:$S$65,$J402,⑫ミキサー工程入力!$J$6:$J$65,"&gt;0",⑫ミキサー工程入力!$I$6:$I$65,"&gt;0")+SUMIFS(⑬計量工程入力!$M$6:$M$65,⑬計量工程入力!$S$6:$S$65,$J402,⑬計量工程入力!$J$6:$J$65,"&gt;0")-SUMIFS(⑬計量工程入力!$M$6:$M$65,⑬計量工程入力!$S$6:$S$65,$J402,⑬計量工程入力!$J$6:$J$65,"&gt;0",⑬計量工程入力!$I$6:$I$65,"&gt;0")+SUMIFS(⑭手動工程入力!$M$6:$M$47,⑭手動工程入力!$S$6:$S$47,$J402,⑭手動工程入力!$J$6:$J$47,"&gt;0")-SUMIFS(⑭手動工程入力!$M$6:$M$47,⑭手動工程入力!$S$6:$S$47,$J402,⑭手動工程入力!$J$6:$J$47,"&gt;0",⑭手動工程入力!$I$6:$I$47,"&gt;0"))</f>
        <v/>
      </c>
      <c r="O402" s="393">
        <f>IF($J402="",0,SUMIFS(②釜工程入力!$J$5:$J$117,②釜工程入力!$S$5:$S$117,$J402,②釜工程入力!$J$5:$J$117,"&gt;0",②釜工程入力!$M$5:$M$117,"&gt;0")-SUMIFS(②釜工程入力!$J$5:$J$117,②釜工程入力!$S$5:$S$117,$J402,②釜工程入力!$J$5:$J$117,"&gt;0",②釜工程入力!$I$5:$I$117,"&gt;0",②釜工程入力!$M$5:$M$117,"&gt;0")+SUMIFS(③スチコン工程入力!$J$5:$J$152,③スチコン工程入力!$S$5:$S$152,$J402,③スチコン工程入力!$J$5:$J$152,"&gt;0",③スチコン工程入力!$M$5:$M$152,"&gt;0")-SUMIFS(③スチコン工程入力!$J$5:$J$152,③スチコン工程入力!$S$5:$S$152,$J402,③スチコン工程入力!$J$5:$J$152,"&gt;0",③スチコン工程入力!$I$5:$I$152,"&gt;0",③スチコン工程入力!$M$5:$M$152,"&gt;0")+SUMIFS(⑪ZEN工程入力!$J$6:$J$35,⑪ZEN工程入力!$S$6:$S$35,$J402,⑪ZEN工程入力!$J$6:$J$35,"&gt;0",⑪ZEN工程入力!$M$6:$M$35,"&gt;0")-SUMIFS(⑪ZEN工程入力!$J$6:$J$35,⑪ZEN工程入力!$S$6:$S$35,$J402,⑪ZEN工程入力!$J$6:$J$35,"&gt;0",⑪ZEN工程入力!$I$6:$I$35,"&gt;0",⑪ZEN工程入力!$M$6:$M$35,"&gt;0")+SUMIFS(⑫ミキサー工程入力!$J$6:$J$65,⑫ミキサー工程入力!$S$6:$S$65,$J402,⑫ミキサー工程入力!$J$6:$J$65,"&gt;0",⑫ミキサー工程入力!$M$6:$M$65,"&gt;0")-SUMIFS(⑫ミキサー工程入力!$J$6:$J$65,⑫ミキサー工程入力!$S$6:$S$65,$J402,⑫ミキサー工程入力!$J$6:$J$65,"&gt;0",⑫ミキサー工程入力!$I$6:$I$65,"&gt;0",⑫ミキサー工程入力!$M$6:$M$65,"&gt;0")+SUMIFS(⑬計量工程入力!$J$6:$J$65,⑬計量工程入力!$S$6:$S$65,$J402,⑬計量工程入力!$J$6:$J$65,"&gt;0",⑬計量工程入力!$M$6:$M$65,"&gt;0")-SUMIFS(⑬計量工程入力!$J$6:$J$65,⑬計量工程入力!$S$6:$S$65,$J402,⑬計量工程入力!$J$6:$J$65,"&gt;0",⑬計量工程入力!$I$6:$I$65,"&gt;0",⑬計量工程入力!$M$6:$M$65,"&gt;0")+SUMIFS(⑭手動工程入力!$J$6:$J$47,⑭手動工程入力!$S$6:$S$47,$J402,⑭手動工程入力!$J$6:$J$47,"&gt;0",⑭手動工程入力!$M$6:$M$47,"&gt;0")-SUMIFS(⑭手動工程入力!$J$6:$J$47,⑭手動工程入力!$S$6:$S$47,$J402,⑭手動工程入力!$J$6:$J$47,"&gt;0",⑭手動工程入力!$I$6:$I$47,"&gt;0",⑭手動工程入力!$M$6:$M$47,"&gt;0"))</f>
        <v/>
      </c>
      <c r="P402" s="392" t="inlineStr">
        <is>
          <t>中間品リスト</t>
        </is>
      </c>
    </row>
    <row r="403">
      <c r="A403" s="392" t="n">
        <v>399</v>
      </c>
      <c r="B403" s="392" t="n"/>
      <c r="C403" s="392" t="n"/>
      <c r="D403" s="409" t="n"/>
      <c r="E403" s="392" t="n"/>
      <c r="F403" s="394" t="n"/>
      <c r="G403" s="392" t="n"/>
      <c r="H403" s="604">
        <f>IFERROR(IF(AND($K403&gt;0,ISNUMBER(IF(OR($D403="g",$D403="ｇ"),IF($M403&gt;0,$L403/$M403/1000,""),IF($D403="kg",IF($M403&gt;0,$L403/$M403,""),IF($D403="",IF($M403&gt;0,$L403/$M403/1000,IF($O403&gt;0,$N403/$O403,"")),IF($O403&gt;0,$N403/$O403,"")))))),IF(OR($D403="g",$D403="ｇ"),IF($M403&gt;0,$L403/$M403/1000,""),IF($D403="kg",IF($M403&gt;0,$L403/$M403,""),IF($D403="",IF($M403&gt;0,$L403/$M403/1000,IF($O403&gt;0,$N403/$O403,"")),IF($O403&gt;0,$N403/$O403,"")))),IF($F403="",IF(OR($E403="",$E403="⑩盛付梱包工程入力"),"",IF(OR($D403="g",$D403="ｇ"),INDEX(⑰工程労務費一覧!$N$5:$N$11,MATCH($E403,⑰工程労務費一覧!$K$5:$K$11,0))/1000,IF($D403="kg",INDEX(⑰工程労務費一覧!$N$5:$N$11,MATCH($E403,⑰工程労務費一覧!$K$5:$K$11,0)),IF(OR($D403="個",$D403="切",$D403="本",$D403="枚",$D403="尾"),IF($E403="⑬計量工程入力","",INDEX(⑰工程労務費一覧!$P$5:$P$11,MATCH($E403,⑰工程労務費一覧!$K$5:$K$11,0))),IF(AND($D403="",OR($E403="②釜工程入力",$E403="③スチコン工程入力")),INDEX(⑰工程労務費一覧!$N$5:$N$11,MATCH($E403,⑰工程労務費一覧!$K$5:$K$11,0))/1000,""))))),IF(OR($D403="g",$D403="ｇ"),INDEX(⑰工程労務費一覧!$H$5:$H$753,MATCH($F403,⑰工程労務費一覧!$D$5:$D$753,0))/1000,IF($D403="kg",INDEX(⑰工程労務費一覧!$H$5:$H$753,MATCH($F403,⑰工程労務費一覧!$D$5:$D$753,0)),INDEX(⑰工程労務費一覧!$I$5:$I$753,MATCH($F403,⑰工程労務費一覧!$D$5:$D$753,0)))))),"")</f>
        <v/>
      </c>
      <c r="I403" s="392">
        <f>IF($K403&gt;0,IF(ISNUMBER(IF(OR($D403="g",$D403="ｇ"),IF($M403&gt;0,$L403/$M403/1000,""),IF($D403="kg",IF($M403&gt;0,$L403/$M403,""),IF($D403="",IF($M403&gt;0,$L403/$M403/1000,IF($O403&gt;0,$N403/$O403,"")),IF($O403&gt;0,$N403/$O403,""))))),IF($D403="",IF($M403&gt;0,"◎ JAN紐づけ(g扱い)","◎ JAN紐づけ(個扱い)"),"◎ JAN紐づけ"),"△ JAN紐づけ済・実績不足→仮計算"),IF($F403="",IF(ISNUMBER($H403),IF($D403="","⑤ 工程平均で仮計算(g扱い)","⑤ 工程平均で仮計算"),IF($E403="⑩盛付梱包工程入力","⑥ 盛り込み(⑳F列で計上)",IF(AND($E403="⑬計量工程入力",OR($D403="個",$D403="切",$D403="本",$D403="枚",$D403="尾")),"① 未紐づけ(カット個単位は仮単価なし)","① 未紐づけ"))),IF(NOT(ISNUMBER($H403)),"② 工程側に単価なし",IF($D403="","③ 単位未設定(個で計算)","④ OK"))))</f>
        <v/>
      </c>
      <c r="J403" s="399">
        <f>IFERROR(LOOKUP(2,1/((中間品リスト!$F$2:$F$1299=$B403)*(中間品リスト!$E$2:$E$1299&lt;&gt;"-")*(中間品リスト!$E$2:$E$1299&lt;&gt;"")),中間品リスト!$E$2:$E$1299),"")</f>
        <v/>
      </c>
      <c r="K403" s="400">
        <f>IF($J403="",0,COUNTIF(②釜工程入力!$S$5:$S$117,$J403)+COUNTIF(③スチコン工程入力!$S$5:$S$152,$J403)+COUNTIF(⑪ZEN工程入力!$S$6:$S$35,$J403)+COUNTIF(⑫ミキサー工程入力!$S$6:$S$65,$J403)+COUNTIF(⑬計量工程入力!$S$6:$S$65,$J403)+COUNTIF(⑭手動工程入力!$S$6:$S$47,$J403))</f>
        <v/>
      </c>
      <c r="L403" s="393">
        <f>IF($J403="",0,SUMIFS(②釜工程入力!$M$5:$M$117,②釜工程入力!$S$5:$S$117,$J403,②釜工程入力!$I$5:$I$117,"&gt;0")+SUMIFS(③スチコン工程入力!$M$5:$M$152,③スチコン工程入力!$S$5:$S$152,$J403,③スチコン工程入力!$I$5:$I$152,"&gt;0")+SUMIFS(⑪ZEN工程入力!$M$6:$M$35,⑪ZEN工程入力!$S$6:$S$35,$J403,⑪ZEN工程入力!$I$6:$I$35,"&gt;0")+SUMIFS(⑫ミキサー工程入力!$M$6:$M$65,⑫ミキサー工程入力!$S$6:$S$65,$J403,⑫ミキサー工程入力!$I$6:$I$65,"&gt;0")+SUMIFS(⑬計量工程入力!$M$6:$M$65,⑬計量工程入力!$S$6:$S$65,$J403,⑬計量工程入力!$I$6:$I$65,"&gt;0")+SUMIFS(⑭手動工程入力!$M$6:$M$47,⑭手動工程入力!$S$6:$S$47,$J403,⑭手動工程入力!$I$6:$I$47,"&gt;0"))</f>
        <v/>
      </c>
      <c r="M403" s="393">
        <f>IF($J403="",0,SUMIFS(②釜工程入力!$I$5:$I$117,②釜工程入力!$S$5:$S$117,$J403,②釜工程入力!$I$5:$I$117,"&gt;0",②釜工程入力!$M$5:$M$117,"&gt;0")+SUMIFS(③スチコン工程入力!$I$5:$I$152,③スチコン工程入力!$S$5:$S$152,$J403,③スチコン工程入力!$I$5:$I$152,"&gt;0",③スチコン工程入力!$M$5:$M$152,"&gt;0")+SUMIFS(⑪ZEN工程入力!$I$6:$I$35,⑪ZEN工程入力!$S$6:$S$35,$J403,⑪ZEN工程入力!$I$6:$I$35,"&gt;0",⑪ZEN工程入力!$M$6:$M$35,"&gt;0")+SUMIFS(⑫ミキサー工程入力!$I$6:$I$65,⑫ミキサー工程入力!$S$6:$S$65,$J403,⑫ミキサー工程入力!$I$6:$I$65,"&gt;0",⑫ミキサー工程入力!$M$6:$M$65,"&gt;0")+SUMIFS(⑬計量工程入力!$I$6:$I$65,⑬計量工程入力!$S$6:$S$65,$J403,⑬計量工程入力!$I$6:$I$65,"&gt;0",⑬計量工程入力!$M$6:$M$65,"&gt;0")+SUMIFS(⑭手動工程入力!$I$6:$I$47,⑭手動工程入力!$S$6:$S$47,$J403,⑭手動工程入力!$I$6:$I$47,"&gt;0",⑭手動工程入力!$M$6:$M$47,"&gt;0"))</f>
        <v/>
      </c>
      <c r="N403" s="393">
        <f>IF($J403="",0,SUMIFS(②釜工程入力!$M$5:$M$117,②釜工程入力!$S$5:$S$117,$J403,②釜工程入力!$J$5:$J$117,"&gt;0")-SUMIFS(②釜工程入力!$M$5:$M$117,②釜工程入力!$S$5:$S$117,$J403,②釜工程入力!$J$5:$J$117,"&gt;0",②釜工程入力!$I$5:$I$117,"&gt;0")+SUMIFS(③スチコン工程入力!$M$5:$M$152,③スチコン工程入力!$S$5:$S$152,$J403,③スチコン工程入力!$J$5:$J$152,"&gt;0")-SUMIFS(③スチコン工程入力!$M$5:$M$152,③スチコン工程入力!$S$5:$S$152,$J403,③スチコン工程入力!$J$5:$J$152,"&gt;0",③スチコン工程入力!$I$5:$I$152,"&gt;0")+SUMIFS(⑪ZEN工程入力!$M$6:$M$35,⑪ZEN工程入力!$S$6:$S$35,$J403,⑪ZEN工程入力!$J$6:$J$35,"&gt;0")-SUMIFS(⑪ZEN工程入力!$M$6:$M$35,⑪ZEN工程入力!$S$6:$S$35,$J403,⑪ZEN工程入力!$J$6:$J$35,"&gt;0",⑪ZEN工程入力!$I$6:$I$35,"&gt;0")+SUMIFS(⑫ミキサー工程入力!$M$6:$M$65,⑫ミキサー工程入力!$S$6:$S$65,$J403,⑫ミキサー工程入力!$J$6:$J$65,"&gt;0")-SUMIFS(⑫ミキサー工程入力!$M$6:$M$65,⑫ミキサー工程入力!$S$6:$S$65,$J403,⑫ミキサー工程入力!$J$6:$J$65,"&gt;0",⑫ミキサー工程入力!$I$6:$I$65,"&gt;0")+SUMIFS(⑬計量工程入力!$M$6:$M$65,⑬計量工程入力!$S$6:$S$65,$J403,⑬計量工程入力!$J$6:$J$65,"&gt;0")-SUMIFS(⑬計量工程入力!$M$6:$M$65,⑬計量工程入力!$S$6:$S$65,$J403,⑬計量工程入力!$J$6:$J$65,"&gt;0",⑬計量工程入力!$I$6:$I$65,"&gt;0")+SUMIFS(⑭手動工程入力!$M$6:$M$47,⑭手動工程入力!$S$6:$S$47,$J403,⑭手動工程入力!$J$6:$J$47,"&gt;0")-SUMIFS(⑭手動工程入力!$M$6:$M$47,⑭手動工程入力!$S$6:$S$47,$J403,⑭手動工程入力!$J$6:$J$47,"&gt;0",⑭手動工程入力!$I$6:$I$47,"&gt;0"))</f>
        <v/>
      </c>
      <c r="O403" s="393">
        <f>IF($J403="",0,SUMIFS(②釜工程入力!$J$5:$J$117,②釜工程入力!$S$5:$S$117,$J403,②釜工程入力!$J$5:$J$117,"&gt;0",②釜工程入力!$M$5:$M$117,"&gt;0")-SUMIFS(②釜工程入力!$J$5:$J$117,②釜工程入力!$S$5:$S$117,$J403,②釜工程入力!$J$5:$J$117,"&gt;0",②釜工程入力!$I$5:$I$117,"&gt;0",②釜工程入力!$M$5:$M$117,"&gt;0")+SUMIFS(③スチコン工程入力!$J$5:$J$152,③スチコン工程入力!$S$5:$S$152,$J403,③スチコン工程入力!$J$5:$J$152,"&gt;0",③スチコン工程入力!$M$5:$M$152,"&gt;0")-SUMIFS(③スチコン工程入力!$J$5:$J$152,③スチコン工程入力!$S$5:$S$152,$J403,③スチコン工程入力!$J$5:$J$152,"&gt;0",③スチコン工程入力!$I$5:$I$152,"&gt;0",③スチコン工程入力!$M$5:$M$152,"&gt;0")+SUMIFS(⑪ZEN工程入力!$J$6:$J$35,⑪ZEN工程入力!$S$6:$S$35,$J403,⑪ZEN工程入力!$J$6:$J$35,"&gt;0",⑪ZEN工程入力!$M$6:$M$35,"&gt;0")-SUMIFS(⑪ZEN工程入力!$J$6:$J$35,⑪ZEN工程入力!$S$6:$S$35,$J403,⑪ZEN工程入力!$J$6:$J$35,"&gt;0",⑪ZEN工程入力!$I$6:$I$35,"&gt;0",⑪ZEN工程入力!$M$6:$M$35,"&gt;0")+SUMIFS(⑫ミキサー工程入力!$J$6:$J$65,⑫ミキサー工程入力!$S$6:$S$65,$J403,⑫ミキサー工程入力!$J$6:$J$65,"&gt;0",⑫ミキサー工程入力!$M$6:$M$65,"&gt;0")-SUMIFS(⑫ミキサー工程入力!$J$6:$J$65,⑫ミキサー工程入力!$S$6:$S$65,$J403,⑫ミキサー工程入力!$J$6:$J$65,"&gt;0",⑫ミキサー工程入力!$I$6:$I$65,"&gt;0",⑫ミキサー工程入力!$M$6:$M$65,"&gt;0")+SUMIFS(⑬計量工程入力!$J$6:$J$65,⑬計量工程入力!$S$6:$S$65,$J403,⑬計量工程入力!$J$6:$J$65,"&gt;0",⑬計量工程入力!$M$6:$M$65,"&gt;0")-SUMIFS(⑬計量工程入力!$J$6:$J$65,⑬計量工程入力!$S$6:$S$65,$J403,⑬計量工程入力!$J$6:$J$65,"&gt;0",⑬計量工程入力!$I$6:$I$65,"&gt;0",⑬計量工程入力!$M$6:$M$65,"&gt;0")+SUMIFS(⑭手動工程入力!$J$6:$J$47,⑭手動工程入力!$S$6:$S$47,$J403,⑭手動工程入力!$J$6:$J$47,"&gt;0",⑭手動工程入力!$M$6:$M$47,"&gt;0")-SUMIFS(⑭手動工程入力!$J$6:$J$47,⑭手動工程入力!$S$6:$S$47,$J403,⑭手動工程入力!$J$6:$J$47,"&gt;0",⑭手動工程入力!$I$6:$I$47,"&gt;0",⑭手動工程入力!$M$6:$M$47,"&gt;0"))</f>
        <v/>
      </c>
      <c r="P403" s="392" t="inlineStr">
        <is>
          <t>中間品リスト</t>
        </is>
      </c>
    </row>
    <row r="404">
      <c r="A404" s="392" t="n">
        <v>400</v>
      </c>
      <c r="B404" s="392" t="n"/>
      <c r="C404" s="392" t="n"/>
      <c r="D404" s="409" t="n"/>
      <c r="E404" s="392" t="n"/>
      <c r="F404" s="394" t="n"/>
      <c r="G404" s="392" t="n"/>
      <c r="H404" s="604">
        <f>IFERROR(IF(AND($K404&gt;0,ISNUMBER(IF(OR($D404="g",$D404="ｇ"),IF($M404&gt;0,$L404/$M404/1000,""),IF($D404="kg",IF($M404&gt;0,$L404/$M404,""),IF($D404="",IF($M404&gt;0,$L404/$M404/1000,IF($O404&gt;0,$N404/$O404,"")),IF($O404&gt;0,$N404/$O404,"")))))),IF(OR($D404="g",$D404="ｇ"),IF($M404&gt;0,$L404/$M404/1000,""),IF($D404="kg",IF($M404&gt;0,$L404/$M404,""),IF($D404="",IF($M404&gt;0,$L404/$M404/1000,IF($O404&gt;0,$N404/$O404,"")),IF($O404&gt;0,$N404/$O404,"")))),IF($F404="",IF(OR($E404="",$E404="⑩盛付梱包工程入力"),"",IF(OR($D404="g",$D404="ｇ"),INDEX(⑰工程労務費一覧!$N$5:$N$11,MATCH($E404,⑰工程労務費一覧!$K$5:$K$11,0))/1000,IF($D404="kg",INDEX(⑰工程労務費一覧!$N$5:$N$11,MATCH($E404,⑰工程労務費一覧!$K$5:$K$11,0)),IF(OR($D404="個",$D404="切",$D404="本",$D404="枚",$D404="尾"),IF($E404="⑬計量工程入力","",INDEX(⑰工程労務費一覧!$P$5:$P$11,MATCH($E404,⑰工程労務費一覧!$K$5:$K$11,0))),IF(AND($D404="",OR($E404="②釜工程入力",$E404="③スチコン工程入力")),INDEX(⑰工程労務費一覧!$N$5:$N$11,MATCH($E404,⑰工程労務費一覧!$K$5:$K$11,0))/1000,""))))),IF(OR($D404="g",$D404="ｇ"),INDEX(⑰工程労務費一覧!$H$5:$H$753,MATCH($F404,⑰工程労務費一覧!$D$5:$D$753,0))/1000,IF($D404="kg",INDEX(⑰工程労務費一覧!$H$5:$H$753,MATCH($F404,⑰工程労務費一覧!$D$5:$D$753,0)),INDEX(⑰工程労務費一覧!$I$5:$I$753,MATCH($F404,⑰工程労務費一覧!$D$5:$D$753,0)))))),"")</f>
        <v/>
      </c>
      <c r="I404" s="392">
        <f>IF($K404&gt;0,IF(ISNUMBER(IF(OR($D404="g",$D404="ｇ"),IF($M404&gt;0,$L404/$M404/1000,""),IF($D404="kg",IF($M404&gt;0,$L404/$M404,""),IF($D404="",IF($M404&gt;0,$L404/$M404/1000,IF($O404&gt;0,$N404/$O404,"")),IF($O404&gt;0,$N404/$O404,""))))),IF($D404="",IF($M404&gt;0,"◎ JAN紐づけ(g扱い)","◎ JAN紐づけ(個扱い)"),"◎ JAN紐づけ"),"△ JAN紐づけ済・実績不足→仮計算"),IF($F404="",IF(ISNUMBER($H404),IF($D404="","⑤ 工程平均で仮計算(g扱い)","⑤ 工程平均で仮計算"),IF($E404="⑩盛付梱包工程入力","⑥ 盛り込み(⑳F列で計上)",IF(AND($E404="⑬計量工程入力",OR($D404="個",$D404="切",$D404="本",$D404="枚",$D404="尾")),"① 未紐づけ(カット個単位は仮単価なし)","① 未紐づけ"))),IF(NOT(ISNUMBER($H404)),"② 工程側に単価なし",IF($D404="","③ 単位未設定(個で計算)","④ OK"))))</f>
        <v/>
      </c>
      <c r="J404" s="399">
        <f>IFERROR(LOOKUP(2,1/((中間品リスト!$F$2:$F$1299=$B404)*(中間品リスト!$E$2:$E$1299&lt;&gt;"-")*(中間品リスト!$E$2:$E$1299&lt;&gt;"")),中間品リスト!$E$2:$E$1299),"")</f>
        <v/>
      </c>
      <c r="K404" s="400">
        <f>IF($J404="",0,COUNTIF(②釜工程入力!$S$5:$S$117,$J404)+COUNTIF(③スチコン工程入力!$S$5:$S$152,$J404)+COUNTIF(⑪ZEN工程入力!$S$6:$S$35,$J404)+COUNTIF(⑫ミキサー工程入力!$S$6:$S$65,$J404)+COUNTIF(⑬計量工程入力!$S$6:$S$65,$J404)+COUNTIF(⑭手動工程入力!$S$6:$S$47,$J404))</f>
        <v/>
      </c>
      <c r="L404" s="393">
        <f>IF($J404="",0,SUMIFS(②釜工程入力!$M$5:$M$117,②釜工程入力!$S$5:$S$117,$J404,②釜工程入力!$I$5:$I$117,"&gt;0")+SUMIFS(③スチコン工程入力!$M$5:$M$152,③スチコン工程入力!$S$5:$S$152,$J404,③スチコン工程入力!$I$5:$I$152,"&gt;0")+SUMIFS(⑪ZEN工程入力!$M$6:$M$35,⑪ZEN工程入力!$S$6:$S$35,$J404,⑪ZEN工程入力!$I$6:$I$35,"&gt;0")+SUMIFS(⑫ミキサー工程入力!$M$6:$M$65,⑫ミキサー工程入力!$S$6:$S$65,$J404,⑫ミキサー工程入力!$I$6:$I$65,"&gt;0")+SUMIFS(⑬計量工程入力!$M$6:$M$65,⑬計量工程入力!$S$6:$S$65,$J404,⑬計量工程入力!$I$6:$I$65,"&gt;0")+SUMIFS(⑭手動工程入力!$M$6:$M$47,⑭手動工程入力!$S$6:$S$47,$J404,⑭手動工程入力!$I$6:$I$47,"&gt;0"))</f>
        <v/>
      </c>
      <c r="M404" s="393">
        <f>IF($J404="",0,SUMIFS(②釜工程入力!$I$5:$I$117,②釜工程入力!$S$5:$S$117,$J404,②釜工程入力!$I$5:$I$117,"&gt;0",②釜工程入力!$M$5:$M$117,"&gt;0")+SUMIFS(③スチコン工程入力!$I$5:$I$152,③スチコン工程入力!$S$5:$S$152,$J404,③スチコン工程入力!$I$5:$I$152,"&gt;0",③スチコン工程入力!$M$5:$M$152,"&gt;0")+SUMIFS(⑪ZEN工程入力!$I$6:$I$35,⑪ZEN工程入力!$S$6:$S$35,$J404,⑪ZEN工程入力!$I$6:$I$35,"&gt;0",⑪ZEN工程入力!$M$6:$M$35,"&gt;0")+SUMIFS(⑫ミキサー工程入力!$I$6:$I$65,⑫ミキサー工程入力!$S$6:$S$65,$J404,⑫ミキサー工程入力!$I$6:$I$65,"&gt;0",⑫ミキサー工程入力!$M$6:$M$65,"&gt;0")+SUMIFS(⑬計量工程入力!$I$6:$I$65,⑬計量工程入力!$S$6:$S$65,$J404,⑬計量工程入力!$I$6:$I$65,"&gt;0",⑬計量工程入力!$M$6:$M$65,"&gt;0")+SUMIFS(⑭手動工程入力!$I$6:$I$47,⑭手動工程入力!$S$6:$S$47,$J404,⑭手動工程入力!$I$6:$I$47,"&gt;0",⑭手動工程入力!$M$6:$M$47,"&gt;0"))</f>
        <v/>
      </c>
      <c r="N404" s="393">
        <f>IF($J404="",0,SUMIFS(②釜工程入力!$M$5:$M$117,②釜工程入力!$S$5:$S$117,$J404,②釜工程入力!$J$5:$J$117,"&gt;0")-SUMIFS(②釜工程入力!$M$5:$M$117,②釜工程入力!$S$5:$S$117,$J404,②釜工程入力!$J$5:$J$117,"&gt;0",②釜工程入力!$I$5:$I$117,"&gt;0")+SUMIFS(③スチコン工程入力!$M$5:$M$152,③スチコン工程入力!$S$5:$S$152,$J404,③スチコン工程入力!$J$5:$J$152,"&gt;0")-SUMIFS(③スチコン工程入力!$M$5:$M$152,③スチコン工程入力!$S$5:$S$152,$J404,③スチコン工程入力!$J$5:$J$152,"&gt;0",③スチコン工程入力!$I$5:$I$152,"&gt;0")+SUMIFS(⑪ZEN工程入力!$M$6:$M$35,⑪ZEN工程入力!$S$6:$S$35,$J404,⑪ZEN工程入力!$J$6:$J$35,"&gt;0")-SUMIFS(⑪ZEN工程入力!$M$6:$M$35,⑪ZEN工程入力!$S$6:$S$35,$J404,⑪ZEN工程入力!$J$6:$J$35,"&gt;0",⑪ZEN工程入力!$I$6:$I$35,"&gt;0")+SUMIFS(⑫ミキサー工程入力!$M$6:$M$65,⑫ミキサー工程入力!$S$6:$S$65,$J404,⑫ミキサー工程入力!$J$6:$J$65,"&gt;0")-SUMIFS(⑫ミキサー工程入力!$M$6:$M$65,⑫ミキサー工程入力!$S$6:$S$65,$J404,⑫ミキサー工程入力!$J$6:$J$65,"&gt;0",⑫ミキサー工程入力!$I$6:$I$65,"&gt;0")+SUMIFS(⑬計量工程入力!$M$6:$M$65,⑬計量工程入力!$S$6:$S$65,$J404,⑬計量工程入力!$J$6:$J$65,"&gt;0")-SUMIFS(⑬計量工程入力!$M$6:$M$65,⑬計量工程入力!$S$6:$S$65,$J404,⑬計量工程入力!$J$6:$J$65,"&gt;0",⑬計量工程入力!$I$6:$I$65,"&gt;0")+SUMIFS(⑭手動工程入力!$M$6:$M$47,⑭手動工程入力!$S$6:$S$47,$J404,⑭手動工程入力!$J$6:$J$47,"&gt;0")-SUMIFS(⑭手動工程入力!$M$6:$M$47,⑭手動工程入力!$S$6:$S$47,$J404,⑭手動工程入力!$J$6:$J$47,"&gt;0",⑭手動工程入力!$I$6:$I$47,"&gt;0"))</f>
        <v/>
      </c>
      <c r="O404" s="393">
        <f>IF($J404="",0,SUMIFS(②釜工程入力!$J$5:$J$117,②釜工程入力!$S$5:$S$117,$J404,②釜工程入力!$J$5:$J$117,"&gt;0",②釜工程入力!$M$5:$M$117,"&gt;0")-SUMIFS(②釜工程入力!$J$5:$J$117,②釜工程入力!$S$5:$S$117,$J404,②釜工程入力!$J$5:$J$117,"&gt;0",②釜工程入力!$I$5:$I$117,"&gt;0",②釜工程入力!$M$5:$M$117,"&gt;0")+SUMIFS(③スチコン工程入力!$J$5:$J$152,③スチコン工程入力!$S$5:$S$152,$J404,③スチコン工程入力!$J$5:$J$152,"&gt;0",③スチコン工程入力!$M$5:$M$152,"&gt;0")-SUMIFS(③スチコン工程入力!$J$5:$J$152,③スチコン工程入力!$S$5:$S$152,$J404,③スチコン工程入力!$J$5:$J$152,"&gt;0",③スチコン工程入力!$I$5:$I$152,"&gt;0",③スチコン工程入力!$M$5:$M$152,"&gt;0")+SUMIFS(⑪ZEN工程入力!$J$6:$J$35,⑪ZEN工程入力!$S$6:$S$35,$J404,⑪ZEN工程入力!$J$6:$J$35,"&gt;0",⑪ZEN工程入力!$M$6:$M$35,"&gt;0")-SUMIFS(⑪ZEN工程入力!$J$6:$J$35,⑪ZEN工程入力!$S$6:$S$35,$J404,⑪ZEN工程入力!$J$6:$J$35,"&gt;0",⑪ZEN工程入力!$I$6:$I$35,"&gt;0",⑪ZEN工程入力!$M$6:$M$35,"&gt;0")+SUMIFS(⑫ミキサー工程入力!$J$6:$J$65,⑫ミキサー工程入力!$S$6:$S$65,$J404,⑫ミキサー工程入力!$J$6:$J$65,"&gt;0",⑫ミキサー工程入力!$M$6:$M$65,"&gt;0")-SUMIFS(⑫ミキサー工程入力!$J$6:$J$65,⑫ミキサー工程入力!$S$6:$S$65,$J404,⑫ミキサー工程入力!$J$6:$J$65,"&gt;0",⑫ミキサー工程入力!$I$6:$I$65,"&gt;0",⑫ミキサー工程入力!$M$6:$M$65,"&gt;0")+SUMIFS(⑬計量工程入力!$J$6:$J$65,⑬計量工程入力!$S$6:$S$65,$J404,⑬計量工程入力!$J$6:$J$65,"&gt;0",⑬計量工程入力!$M$6:$M$65,"&gt;0")-SUMIFS(⑬計量工程入力!$J$6:$J$65,⑬計量工程入力!$S$6:$S$65,$J404,⑬計量工程入力!$J$6:$J$65,"&gt;0",⑬計量工程入力!$I$6:$I$65,"&gt;0",⑬計量工程入力!$M$6:$M$65,"&gt;0")+SUMIFS(⑭手動工程入力!$J$6:$J$47,⑭手動工程入力!$S$6:$S$47,$J404,⑭手動工程入力!$J$6:$J$47,"&gt;0",⑭手動工程入力!$M$6:$M$47,"&gt;0")-SUMIFS(⑭手動工程入力!$J$6:$J$47,⑭手動工程入力!$S$6:$S$47,$J404,⑭手動工程入力!$J$6:$J$47,"&gt;0",⑭手動工程入力!$I$6:$I$47,"&gt;0",⑭手動工程入力!$M$6:$M$47,"&gt;0"))</f>
        <v/>
      </c>
      <c r="P404" s="392" t="inlineStr">
        <is>
          <t>中間品リスト</t>
        </is>
      </c>
    </row>
    <row r="405">
      <c r="A405" s="392" t="n">
        <v>401</v>
      </c>
      <c r="B405" s="392" t="n"/>
      <c r="C405" s="392" t="n"/>
      <c r="D405" s="409" t="n"/>
      <c r="E405" s="392" t="n"/>
      <c r="F405" s="394" t="n"/>
      <c r="G405" s="392" t="n"/>
      <c r="H405" s="604">
        <f>IFERROR(IF(AND($K405&gt;0,ISNUMBER(IF(OR($D405="g",$D405="ｇ"),IF($M405&gt;0,$L405/$M405/1000,""),IF($D405="kg",IF($M405&gt;0,$L405/$M405,""),IF($D405="",IF($M405&gt;0,$L405/$M405/1000,IF($O405&gt;0,$N405/$O405,"")),IF($O405&gt;0,$N405/$O405,"")))))),IF(OR($D405="g",$D405="ｇ"),IF($M405&gt;0,$L405/$M405/1000,""),IF($D405="kg",IF($M405&gt;0,$L405/$M405,""),IF($D405="",IF($M405&gt;0,$L405/$M405/1000,IF($O405&gt;0,$N405/$O405,"")),IF($O405&gt;0,$N405/$O405,"")))),IF($F405="",IF(OR($E405="",$E405="⑩盛付梱包工程入力"),"",IF(OR($D405="g",$D405="ｇ"),INDEX(⑰工程労務費一覧!$N$5:$N$11,MATCH($E405,⑰工程労務費一覧!$K$5:$K$11,0))/1000,IF($D405="kg",INDEX(⑰工程労務費一覧!$N$5:$N$11,MATCH($E405,⑰工程労務費一覧!$K$5:$K$11,0)),IF(OR($D405="個",$D405="切",$D405="本",$D405="枚",$D405="尾"),IF($E405="⑬計量工程入力","",INDEX(⑰工程労務費一覧!$P$5:$P$11,MATCH($E405,⑰工程労務費一覧!$K$5:$K$11,0))),IF(AND($D405="",OR($E405="②釜工程入力",$E405="③スチコン工程入力")),INDEX(⑰工程労務費一覧!$N$5:$N$11,MATCH($E405,⑰工程労務費一覧!$K$5:$K$11,0))/1000,""))))),IF(OR($D405="g",$D405="ｇ"),INDEX(⑰工程労務費一覧!$H$5:$H$753,MATCH($F405,⑰工程労務費一覧!$D$5:$D$753,0))/1000,IF($D405="kg",INDEX(⑰工程労務費一覧!$H$5:$H$753,MATCH($F405,⑰工程労務費一覧!$D$5:$D$753,0)),INDEX(⑰工程労務費一覧!$I$5:$I$753,MATCH($F405,⑰工程労務費一覧!$D$5:$D$753,0)))))),"")</f>
        <v/>
      </c>
      <c r="I405" s="392">
        <f>IF($K405&gt;0,IF(ISNUMBER(IF(OR($D405="g",$D405="ｇ"),IF($M405&gt;0,$L405/$M405/1000,""),IF($D405="kg",IF($M405&gt;0,$L405/$M405,""),IF($D405="",IF($M405&gt;0,$L405/$M405/1000,IF($O405&gt;0,$N405/$O405,"")),IF($O405&gt;0,$N405/$O405,""))))),IF($D405="",IF($M405&gt;0,"◎ JAN紐づけ(g扱い)","◎ JAN紐づけ(個扱い)"),"◎ JAN紐づけ"),"△ JAN紐づけ済・実績不足→仮計算"),IF($F405="",IF(ISNUMBER($H405),IF($D405="","⑤ 工程平均で仮計算(g扱い)","⑤ 工程平均で仮計算"),IF($E405="⑩盛付梱包工程入力","⑥ 盛り込み(⑳F列で計上)",IF(AND($E405="⑬計量工程入力",OR($D405="個",$D405="切",$D405="本",$D405="枚",$D405="尾")),"① 未紐づけ(カット個単位は仮単価なし)","① 未紐づけ"))),IF(NOT(ISNUMBER($H405)),"② 工程側に単価なし",IF($D405="","③ 単位未設定(個で計算)","④ OK"))))</f>
        <v/>
      </c>
      <c r="J405" s="399">
        <f>IFERROR(LOOKUP(2,1/((中間品リスト!$F$2:$F$1299=$B405)*(中間品リスト!$E$2:$E$1299&lt;&gt;"-")*(中間品リスト!$E$2:$E$1299&lt;&gt;"")),中間品リスト!$E$2:$E$1299),"")</f>
        <v/>
      </c>
      <c r="K405" s="400">
        <f>IF($J405="",0,COUNTIF(②釜工程入力!$S$5:$S$117,$J405)+COUNTIF(③スチコン工程入力!$S$5:$S$152,$J405)+COUNTIF(⑪ZEN工程入力!$S$6:$S$35,$J405)+COUNTIF(⑫ミキサー工程入力!$S$6:$S$65,$J405)+COUNTIF(⑬計量工程入力!$S$6:$S$65,$J405)+COUNTIF(⑭手動工程入力!$S$6:$S$47,$J405))</f>
        <v/>
      </c>
      <c r="L405" s="393">
        <f>IF($J405="",0,SUMIFS(②釜工程入力!$M$5:$M$117,②釜工程入力!$S$5:$S$117,$J405,②釜工程入力!$I$5:$I$117,"&gt;0")+SUMIFS(③スチコン工程入力!$M$5:$M$152,③スチコン工程入力!$S$5:$S$152,$J405,③スチコン工程入力!$I$5:$I$152,"&gt;0")+SUMIFS(⑪ZEN工程入力!$M$6:$M$35,⑪ZEN工程入力!$S$6:$S$35,$J405,⑪ZEN工程入力!$I$6:$I$35,"&gt;0")+SUMIFS(⑫ミキサー工程入力!$M$6:$M$65,⑫ミキサー工程入力!$S$6:$S$65,$J405,⑫ミキサー工程入力!$I$6:$I$65,"&gt;0")+SUMIFS(⑬計量工程入力!$M$6:$M$65,⑬計量工程入力!$S$6:$S$65,$J405,⑬計量工程入力!$I$6:$I$65,"&gt;0")+SUMIFS(⑭手動工程入力!$M$6:$M$47,⑭手動工程入力!$S$6:$S$47,$J405,⑭手動工程入力!$I$6:$I$47,"&gt;0"))</f>
        <v/>
      </c>
      <c r="M405" s="393">
        <f>IF($J405="",0,SUMIFS(②釜工程入力!$I$5:$I$117,②釜工程入力!$S$5:$S$117,$J405,②釜工程入力!$I$5:$I$117,"&gt;0",②釜工程入力!$M$5:$M$117,"&gt;0")+SUMIFS(③スチコン工程入力!$I$5:$I$152,③スチコン工程入力!$S$5:$S$152,$J405,③スチコン工程入力!$I$5:$I$152,"&gt;0",③スチコン工程入力!$M$5:$M$152,"&gt;0")+SUMIFS(⑪ZEN工程入力!$I$6:$I$35,⑪ZEN工程入力!$S$6:$S$35,$J405,⑪ZEN工程入力!$I$6:$I$35,"&gt;0",⑪ZEN工程入力!$M$6:$M$35,"&gt;0")+SUMIFS(⑫ミキサー工程入力!$I$6:$I$65,⑫ミキサー工程入力!$S$6:$S$65,$J405,⑫ミキサー工程入力!$I$6:$I$65,"&gt;0",⑫ミキサー工程入力!$M$6:$M$65,"&gt;0")+SUMIFS(⑬計量工程入力!$I$6:$I$65,⑬計量工程入力!$S$6:$S$65,$J405,⑬計量工程入力!$I$6:$I$65,"&gt;0",⑬計量工程入力!$M$6:$M$65,"&gt;0")+SUMIFS(⑭手動工程入力!$I$6:$I$47,⑭手動工程入力!$S$6:$S$47,$J405,⑭手動工程入力!$I$6:$I$47,"&gt;0",⑭手動工程入力!$M$6:$M$47,"&gt;0"))</f>
        <v/>
      </c>
      <c r="N405" s="393">
        <f>IF($J405="",0,SUMIFS(②釜工程入力!$M$5:$M$117,②釜工程入力!$S$5:$S$117,$J405,②釜工程入力!$J$5:$J$117,"&gt;0")-SUMIFS(②釜工程入力!$M$5:$M$117,②釜工程入力!$S$5:$S$117,$J405,②釜工程入力!$J$5:$J$117,"&gt;0",②釜工程入力!$I$5:$I$117,"&gt;0")+SUMIFS(③スチコン工程入力!$M$5:$M$152,③スチコン工程入力!$S$5:$S$152,$J405,③スチコン工程入力!$J$5:$J$152,"&gt;0")-SUMIFS(③スチコン工程入力!$M$5:$M$152,③スチコン工程入力!$S$5:$S$152,$J405,③スチコン工程入力!$J$5:$J$152,"&gt;0",③スチコン工程入力!$I$5:$I$152,"&gt;0")+SUMIFS(⑪ZEN工程入力!$M$6:$M$35,⑪ZEN工程入力!$S$6:$S$35,$J405,⑪ZEN工程入力!$J$6:$J$35,"&gt;0")-SUMIFS(⑪ZEN工程入力!$M$6:$M$35,⑪ZEN工程入力!$S$6:$S$35,$J405,⑪ZEN工程入力!$J$6:$J$35,"&gt;0",⑪ZEN工程入力!$I$6:$I$35,"&gt;0")+SUMIFS(⑫ミキサー工程入力!$M$6:$M$65,⑫ミキサー工程入力!$S$6:$S$65,$J405,⑫ミキサー工程入力!$J$6:$J$65,"&gt;0")-SUMIFS(⑫ミキサー工程入力!$M$6:$M$65,⑫ミキサー工程入力!$S$6:$S$65,$J405,⑫ミキサー工程入力!$J$6:$J$65,"&gt;0",⑫ミキサー工程入力!$I$6:$I$65,"&gt;0")+SUMIFS(⑬計量工程入力!$M$6:$M$65,⑬計量工程入力!$S$6:$S$65,$J405,⑬計量工程入力!$J$6:$J$65,"&gt;0")-SUMIFS(⑬計量工程入力!$M$6:$M$65,⑬計量工程入力!$S$6:$S$65,$J405,⑬計量工程入力!$J$6:$J$65,"&gt;0",⑬計量工程入力!$I$6:$I$65,"&gt;0")+SUMIFS(⑭手動工程入力!$M$6:$M$47,⑭手動工程入力!$S$6:$S$47,$J405,⑭手動工程入力!$J$6:$J$47,"&gt;0")-SUMIFS(⑭手動工程入力!$M$6:$M$47,⑭手動工程入力!$S$6:$S$47,$J405,⑭手動工程入力!$J$6:$J$47,"&gt;0",⑭手動工程入力!$I$6:$I$47,"&gt;0"))</f>
        <v/>
      </c>
      <c r="O405" s="393">
        <f>IF($J405="",0,SUMIFS(②釜工程入力!$J$5:$J$117,②釜工程入力!$S$5:$S$117,$J405,②釜工程入力!$J$5:$J$117,"&gt;0",②釜工程入力!$M$5:$M$117,"&gt;0")-SUMIFS(②釜工程入力!$J$5:$J$117,②釜工程入力!$S$5:$S$117,$J405,②釜工程入力!$J$5:$J$117,"&gt;0",②釜工程入力!$I$5:$I$117,"&gt;0",②釜工程入力!$M$5:$M$117,"&gt;0")+SUMIFS(③スチコン工程入力!$J$5:$J$152,③スチコン工程入力!$S$5:$S$152,$J405,③スチコン工程入力!$J$5:$J$152,"&gt;0",③スチコン工程入力!$M$5:$M$152,"&gt;0")-SUMIFS(③スチコン工程入力!$J$5:$J$152,③スチコン工程入力!$S$5:$S$152,$J405,③スチコン工程入力!$J$5:$J$152,"&gt;0",③スチコン工程入力!$I$5:$I$152,"&gt;0",③スチコン工程入力!$M$5:$M$152,"&gt;0")+SUMIFS(⑪ZEN工程入力!$J$6:$J$35,⑪ZEN工程入力!$S$6:$S$35,$J405,⑪ZEN工程入力!$J$6:$J$35,"&gt;0",⑪ZEN工程入力!$M$6:$M$35,"&gt;0")-SUMIFS(⑪ZEN工程入力!$J$6:$J$35,⑪ZEN工程入力!$S$6:$S$35,$J405,⑪ZEN工程入力!$J$6:$J$35,"&gt;0",⑪ZEN工程入力!$I$6:$I$35,"&gt;0",⑪ZEN工程入力!$M$6:$M$35,"&gt;0")+SUMIFS(⑫ミキサー工程入力!$J$6:$J$65,⑫ミキサー工程入力!$S$6:$S$65,$J405,⑫ミキサー工程入力!$J$6:$J$65,"&gt;0",⑫ミキサー工程入力!$M$6:$M$65,"&gt;0")-SUMIFS(⑫ミキサー工程入力!$J$6:$J$65,⑫ミキサー工程入力!$S$6:$S$65,$J405,⑫ミキサー工程入力!$J$6:$J$65,"&gt;0",⑫ミキサー工程入力!$I$6:$I$65,"&gt;0",⑫ミキサー工程入力!$M$6:$M$65,"&gt;0")+SUMIFS(⑬計量工程入力!$J$6:$J$65,⑬計量工程入力!$S$6:$S$65,$J405,⑬計量工程入力!$J$6:$J$65,"&gt;0",⑬計量工程入力!$M$6:$M$65,"&gt;0")-SUMIFS(⑬計量工程入力!$J$6:$J$65,⑬計量工程入力!$S$6:$S$65,$J405,⑬計量工程入力!$J$6:$J$65,"&gt;0",⑬計量工程入力!$I$6:$I$65,"&gt;0",⑬計量工程入力!$M$6:$M$65,"&gt;0")+SUMIFS(⑭手動工程入力!$J$6:$J$47,⑭手動工程入力!$S$6:$S$47,$J405,⑭手動工程入力!$J$6:$J$47,"&gt;0",⑭手動工程入力!$M$6:$M$47,"&gt;0")-SUMIFS(⑭手動工程入力!$J$6:$J$47,⑭手動工程入力!$S$6:$S$47,$J405,⑭手動工程入力!$J$6:$J$47,"&gt;0",⑭手動工程入力!$I$6:$I$47,"&gt;0",⑭手動工程入力!$M$6:$M$47,"&gt;0"))</f>
        <v/>
      </c>
      <c r="P405" s="392" t="inlineStr">
        <is>
          <t>中間品リスト（複数あり:g/ｇ）</t>
        </is>
      </c>
    </row>
    <row r="406">
      <c r="A406" s="392" t="n">
        <v>402</v>
      </c>
      <c r="B406" s="392" t="n"/>
      <c r="C406" s="392" t="n"/>
      <c r="D406" s="409" t="n"/>
      <c r="E406" s="392" t="n"/>
      <c r="F406" s="394" t="n"/>
      <c r="G406" s="392" t="n"/>
      <c r="H406" s="604">
        <f>IFERROR(IF(AND($K406&gt;0,ISNUMBER(IF(OR($D406="g",$D406="ｇ"),IF($M406&gt;0,$L406/$M406/1000,""),IF($D406="kg",IF($M406&gt;0,$L406/$M406,""),IF($D406="",IF($M406&gt;0,$L406/$M406/1000,IF($O406&gt;0,$N406/$O406,"")),IF($O406&gt;0,$N406/$O406,"")))))),IF(OR($D406="g",$D406="ｇ"),IF($M406&gt;0,$L406/$M406/1000,""),IF($D406="kg",IF($M406&gt;0,$L406/$M406,""),IF($D406="",IF($M406&gt;0,$L406/$M406/1000,IF($O406&gt;0,$N406/$O406,"")),IF($O406&gt;0,$N406/$O406,"")))),IF($F406="",IF(OR($E406="",$E406="⑩盛付梱包工程入力"),"",IF(OR($D406="g",$D406="ｇ"),INDEX(⑰工程労務費一覧!$N$5:$N$11,MATCH($E406,⑰工程労務費一覧!$K$5:$K$11,0))/1000,IF($D406="kg",INDEX(⑰工程労務費一覧!$N$5:$N$11,MATCH($E406,⑰工程労務費一覧!$K$5:$K$11,0)),IF(OR($D406="個",$D406="切",$D406="本",$D406="枚",$D406="尾"),IF($E406="⑬計量工程入力","",INDEX(⑰工程労務費一覧!$P$5:$P$11,MATCH($E406,⑰工程労務費一覧!$K$5:$K$11,0))),IF(AND($D406="",OR($E406="②釜工程入力",$E406="③スチコン工程入力")),INDEX(⑰工程労務費一覧!$N$5:$N$11,MATCH($E406,⑰工程労務費一覧!$K$5:$K$11,0))/1000,""))))),IF(OR($D406="g",$D406="ｇ"),INDEX(⑰工程労務費一覧!$H$5:$H$753,MATCH($F406,⑰工程労務費一覧!$D$5:$D$753,0))/1000,IF($D406="kg",INDEX(⑰工程労務費一覧!$H$5:$H$753,MATCH($F406,⑰工程労務費一覧!$D$5:$D$753,0)),INDEX(⑰工程労務費一覧!$I$5:$I$753,MATCH($F406,⑰工程労務費一覧!$D$5:$D$753,0)))))),"")</f>
        <v/>
      </c>
      <c r="I406" s="392">
        <f>IF($K406&gt;0,IF(ISNUMBER(IF(OR($D406="g",$D406="ｇ"),IF($M406&gt;0,$L406/$M406/1000,""),IF($D406="kg",IF($M406&gt;0,$L406/$M406,""),IF($D406="",IF($M406&gt;0,$L406/$M406/1000,IF($O406&gt;0,$N406/$O406,"")),IF($O406&gt;0,$N406/$O406,""))))),IF($D406="",IF($M406&gt;0,"◎ JAN紐づけ(g扱い)","◎ JAN紐づけ(個扱い)"),"◎ JAN紐づけ"),"△ JAN紐づけ済・実績不足→仮計算"),IF($F406="",IF(ISNUMBER($H406),IF($D406="","⑤ 工程平均で仮計算(g扱い)","⑤ 工程平均で仮計算"),IF($E406="⑩盛付梱包工程入力","⑥ 盛り込み(⑳F列で計上)",IF(AND($E406="⑬計量工程入力",OR($D406="個",$D406="切",$D406="本",$D406="枚",$D406="尾")),"① 未紐づけ(カット個単位は仮単価なし)","① 未紐づけ"))),IF(NOT(ISNUMBER($H406)),"② 工程側に単価なし",IF($D406="","③ 単位未設定(個で計算)","④ OK"))))</f>
        <v/>
      </c>
      <c r="J406" s="399">
        <f>IFERROR(LOOKUP(2,1/((中間品リスト!$F$2:$F$1299=$B406)*(中間品リスト!$E$2:$E$1299&lt;&gt;"-")*(中間品リスト!$E$2:$E$1299&lt;&gt;"")),中間品リスト!$E$2:$E$1299),"")</f>
        <v/>
      </c>
      <c r="K406" s="400">
        <f>IF($J406="",0,COUNTIF(②釜工程入力!$S$5:$S$117,$J406)+COUNTIF(③スチコン工程入力!$S$5:$S$152,$J406)+COUNTIF(⑪ZEN工程入力!$S$6:$S$35,$J406)+COUNTIF(⑫ミキサー工程入力!$S$6:$S$65,$J406)+COUNTIF(⑬計量工程入力!$S$6:$S$65,$J406)+COUNTIF(⑭手動工程入力!$S$6:$S$47,$J406))</f>
        <v/>
      </c>
      <c r="L406" s="393">
        <f>IF($J406="",0,SUMIFS(②釜工程入力!$M$5:$M$117,②釜工程入力!$S$5:$S$117,$J406,②釜工程入力!$I$5:$I$117,"&gt;0")+SUMIFS(③スチコン工程入力!$M$5:$M$152,③スチコン工程入力!$S$5:$S$152,$J406,③スチコン工程入力!$I$5:$I$152,"&gt;0")+SUMIFS(⑪ZEN工程入力!$M$6:$M$35,⑪ZEN工程入力!$S$6:$S$35,$J406,⑪ZEN工程入力!$I$6:$I$35,"&gt;0")+SUMIFS(⑫ミキサー工程入力!$M$6:$M$65,⑫ミキサー工程入力!$S$6:$S$65,$J406,⑫ミキサー工程入力!$I$6:$I$65,"&gt;0")+SUMIFS(⑬計量工程入力!$M$6:$M$65,⑬計量工程入力!$S$6:$S$65,$J406,⑬計量工程入力!$I$6:$I$65,"&gt;0")+SUMIFS(⑭手動工程入力!$M$6:$M$47,⑭手動工程入力!$S$6:$S$47,$J406,⑭手動工程入力!$I$6:$I$47,"&gt;0"))</f>
        <v/>
      </c>
      <c r="M406" s="393">
        <f>IF($J406="",0,SUMIFS(②釜工程入力!$I$5:$I$117,②釜工程入力!$S$5:$S$117,$J406,②釜工程入力!$I$5:$I$117,"&gt;0",②釜工程入力!$M$5:$M$117,"&gt;0")+SUMIFS(③スチコン工程入力!$I$5:$I$152,③スチコン工程入力!$S$5:$S$152,$J406,③スチコン工程入力!$I$5:$I$152,"&gt;0",③スチコン工程入力!$M$5:$M$152,"&gt;0")+SUMIFS(⑪ZEN工程入力!$I$6:$I$35,⑪ZEN工程入力!$S$6:$S$35,$J406,⑪ZEN工程入力!$I$6:$I$35,"&gt;0",⑪ZEN工程入力!$M$6:$M$35,"&gt;0")+SUMIFS(⑫ミキサー工程入力!$I$6:$I$65,⑫ミキサー工程入力!$S$6:$S$65,$J406,⑫ミキサー工程入力!$I$6:$I$65,"&gt;0",⑫ミキサー工程入力!$M$6:$M$65,"&gt;0")+SUMIFS(⑬計量工程入力!$I$6:$I$65,⑬計量工程入力!$S$6:$S$65,$J406,⑬計量工程入力!$I$6:$I$65,"&gt;0",⑬計量工程入力!$M$6:$M$65,"&gt;0")+SUMIFS(⑭手動工程入力!$I$6:$I$47,⑭手動工程入力!$S$6:$S$47,$J406,⑭手動工程入力!$I$6:$I$47,"&gt;0",⑭手動工程入力!$M$6:$M$47,"&gt;0"))</f>
        <v/>
      </c>
      <c r="N406" s="393">
        <f>IF($J406="",0,SUMIFS(②釜工程入力!$M$5:$M$117,②釜工程入力!$S$5:$S$117,$J406,②釜工程入力!$J$5:$J$117,"&gt;0")-SUMIFS(②釜工程入力!$M$5:$M$117,②釜工程入力!$S$5:$S$117,$J406,②釜工程入力!$J$5:$J$117,"&gt;0",②釜工程入力!$I$5:$I$117,"&gt;0")+SUMIFS(③スチコン工程入力!$M$5:$M$152,③スチコン工程入力!$S$5:$S$152,$J406,③スチコン工程入力!$J$5:$J$152,"&gt;0")-SUMIFS(③スチコン工程入力!$M$5:$M$152,③スチコン工程入力!$S$5:$S$152,$J406,③スチコン工程入力!$J$5:$J$152,"&gt;0",③スチコン工程入力!$I$5:$I$152,"&gt;0")+SUMIFS(⑪ZEN工程入力!$M$6:$M$35,⑪ZEN工程入力!$S$6:$S$35,$J406,⑪ZEN工程入力!$J$6:$J$35,"&gt;0")-SUMIFS(⑪ZEN工程入力!$M$6:$M$35,⑪ZEN工程入力!$S$6:$S$35,$J406,⑪ZEN工程入力!$J$6:$J$35,"&gt;0",⑪ZEN工程入力!$I$6:$I$35,"&gt;0")+SUMIFS(⑫ミキサー工程入力!$M$6:$M$65,⑫ミキサー工程入力!$S$6:$S$65,$J406,⑫ミキサー工程入力!$J$6:$J$65,"&gt;0")-SUMIFS(⑫ミキサー工程入力!$M$6:$M$65,⑫ミキサー工程入力!$S$6:$S$65,$J406,⑫ミキサー工程入力!$J$6:$J$65,"&gt;0",⑫ミキサー工程入力!$I$6:$I$65,"&gt;0")+SUMIFS(⑬計量工程入力!$M$6:$M$65,⑬計量工程入力!$S$6:$S$65,$J406,⑬計量工程入力!$J$6:$J$65,"&gt;0")-SUMIFS(⑬計量工程入力!$M$6:$M$65,⑬計量工程入力!$S$6:$S$65,$J406,⑬計量工程入力!$J$6:$J$65,"&gt;0",⑬計量工程入力!$I$6:$I$65,"&gt;0")+SUMIFS(⑭手動工程入力!$M$6:$M$47,⑭手動工程入力!$S$6:$S$47,$J406,⑭手動工程入力!$J$6:$J$47,"&gt;0")-SUMIFS(⑭手動工程入力!$M$6:$M$47,⑭手動工程入力!$S$6:$S$47,$J406,⑭手動工程入力!$J$6:$J$47,"&gt;0",⑭手動工程入力!$I$6:$I$47,"&gt;0"))</f>
        <v/>
      </c>
      <c r="O406" s="393">
        <f>IF($J406="",0,SUMIFS(②釜工程入力!$J$5:$J$117,②釜工程入力!$S$5:$S$117,$J406,②釜工程入力!$J$5:$J$117,"&gt;0",②釜工程入力!$M$5:$M$117,"&gt;0")-SUMIFS(②釜工程入力!$J$5:$J$117,②釜工程入力!$S$5:$S$117,$J406,②釜工程入力!$J$5:$J$117,"&gt;0",②釜工程入力!$I$5:$I$117,"&gt;0",②釜工程入力!$M$5:$M$117,"&gt;0")+SUMIFS(③スチコン工程入力!$J$5:$J$152,③スチコン工程入力!$S$5:$S$152,$J406,③スチコン工程入力!$J$5:$J$152,"&gt;0",③スチコン工程入力!$M$5:$M$152,"&gt;0")-SUMIFS(③スチコン工程入力!$J$5:$J$152,③スチコン工程入力!$S$5:$S$152,$J406,③スチコン工程入力!$J$5:$J$152,"&gt;0",③スチコン工程入力!$I$5:$I$152,"&gt;0",③スチコン工程入力!$M$5:$M$152,"&gt;0")+SUMIFS(⑪ZEN工程入力!$J$6:$J$35,⑪ZEN工程入力!$S$6:$S$35,$J406,⑪ZEN工程入力!$J$6:$J$35,"&gt;0",⑪ZEN工程入力!$M$6:$M$35,"&gt;0")-SUMIFS(⑪ZEN工程入力!$J$6:$J$35,⑪ZEN工程入力!$S$6:$S$35,$J406,⑪ZEN工程入力!$J$6:$J$35,"&gt;0",⑪ZEN工程入力!$I$6:$I$35,"&gt;0",⑪ZEN工程入力!$M$6:$M$35,"&gt;0")+SUMIFS(⑫ミキサー工程入力!$J$6:$J$65,⑫ミキサー工程入力!$S$6:$S$65,$J406,⑫ミキサー工程入力!$J$6:$J$65,"&gt;0",⑫ミキサー工程入力!$M$6:$M$65,"&gt;0")-SUMIFS(⑫ミキサー工程入力!$J$6:$J$65,⑫ミキサー工程入力!$S$6:$S$65,$J406,⑫ミキサー工程入力!$J$6:$J$65,"&gt;0",⑫ミキサー工程入力!$I$6:$I$65,"&gt;0",⑫ミキサー工程入力!$M$6:$M$65,"&gt;0")+SUMIFS(⑬計量工程入力!$J$6:$J$65,⑬計量工程入力!$S$6:$S$65,$J406,⑬計量工程入力!$J$6:$J$65,"&gt;0",⑬計量工程入力!$M$6:$M$65,"&gt;0")-SUMIFS(⑬計量工程入力!$J$6:$J$65,⑬計量工程入力!$S$6:$S$65,$J406,⑬計量工程入力!$J$6:$J$65,"&gt;0",⑬計量工程入力!$I$6:$I$65,"&gt;0",⑬計量工程入力!$M$6:$M$65,"&gt;0")+SUMIFS(⑭手動工程入力!$J$6:$J$47,⑭手動工程入力!$S$6:$S$47,$J406,⑭手動工程入力!$J$6:$J$47,"&gt;0",⑭手動工程入力!$M$6:$M$47,"&gt;0")-SUMIFS(⑭手動工程入力!$J$6:$J$47,⑭手動工程入力!$S$6:$S$47,$J406,⑭手動工程入力!$J$6:$J$47,"&gt;0",⑭手動工程入力!$I$6:$I$47,"&gt;0",⑭手動工程入力!$M$6:$M$47,"&gt;0"))</f>
        <v/>
      </c>
      <c r="P406" s="392" t="inlineStr">
        <is>
          <t>中間品リスト</t>
        </is>
      </c>
    </row>
    <row r="407">
      <c r="A407" s="392" t="n">
        <v>403</v>
      </c>
      <c r="B407" s="392" t="n"/>
      <c r="C407" s="392" t="n"/>
      <c r="D407" s="409" t="n"/>
      <c r="E407" s="392" t="n"/>
      <c r="F407" s="394" t="n"/>
      <c r="G407" s="392" t="n"/>
      <c r="H407" s="604">
        <f>IFERROR(IF(AND($K407&gt;0,ISNUMBER(IF(OR($D407="g",$D407="ｇ"),IF($M407&gt;0,$L407/$M407/1000,""),IF($D407="kg",IF($M407&gt;0,$L407/$M407,""),IF($D407="",IF($M407&gt;0,$L407/$M407/1000,IF($O407&gt;0,$N407/$O407,"")),IF($O407&gt;0,$N407/$O407,"")))))),IF(OR($D407="g",$D407="ｇ"),IF($M407&gt;0,$L407/$M407/1000,""),IF($D407="kg",IF($M407&gt;0,$L407/$M407,""),IF($D407="",IF($M407&gt;0,$L407/$M407/1000,IF($O407&gt;0,$N407/$O407,"")),IF($O407&gt;0,$N407/$O407,"")))),IF($F407="",IF(OR($E407="",$E407="⑩盛付梱包工程入力"),"",IF(OR($D407="g",$D407="ｇ"),INDEX(⑰工程労務費一覧!$N$5:$N$11,MATCH($E407,⑰工程労務費一覧!$K$5:$K$11,0))/1000,IF($D407="kg",INDEX(⑰工程労務費一覧!$N$5:$N$11,MATCH($E407,⑰工程労務費一覧!$K$5:$K$11,0)),IF(OR($D407="個",$D407="切",$D407="本",$D407="枚",$D407="尾"),IF($E407="⑬計量工程入力","",INDEX(⑰工程労務費一覧!$P$5:$P$11,MATCH($E407,⑰工程労務費一覧!$K$5:$K$11,0))),IF(AND($D407="",OR($E407="②釜工程入力",$E407="③スチコン工程入力")),INDEX(⑰工程労務費一覧!$N$5:$N$11,MATCH($E407,⑰工程労務費一覧!$K$5:$K$11,0))/1000,""))))),IF(OR($D407="g",$D407="ｇ"),INDEX(⑰工程労務費一覧!$H$5:$H$753,MATCH($F407,⑰工程労務費一覧!$D$5:$D$753,0))/1000,IF($D407="kg",INDEX(⑰工程労務費一覧!$H$5:$H$753,MATCH($F407,⑰工程労務費一覧!$D$5:$D$753,0)),INDEX(⑰工程労務費一覧!$I$5:$I$753,MATCH($F407,⑰工程労務費一覧!$D$5:$D$753,0)))))),"")</f>
        <v/>
      </c>
      <c r="I407" s="392">
        <f>IF($K407&gt;0,IF(ISNUMBER(IF(OR($D407="g",$D407="ｇ"),IF($M407&gt;0,$L407/$M407/1000,""),IF($D407="kg",IF($M407&gt;0,$L407/$M407,""),IF($D407="",IF($M407&gt;0,$L407/$M407/1000,IF($O407&gt;0,$N407/$O407,"")),IF($O407&gt;0,$N407/$O407,""))))),IF($D407="",IF($M407&gt;0,"◎ JAN紐づけ(g扱い)","◎ JAN紐づけ(個扱い)"),"◎ JAN紐づけ"),"△ JAN紐づけ済・実績不足→仮計算"),IF($F407="",IF(ISNUMBER($H407),IF($D407="","⑤ 工程平均で仮計算(g扱い)","⑤ 工程平均で仮計算"),IF($E407="⑩盛付梱包工程入力","⑥ 盛り込み(⑳F列で計上)",IF(AND($E407="⑬計量工程入力",OR($D407="個",$D407="切",$D407="本",$D407="枚",$D407="尾")),"① 未紐づけ(カット個単位は仮単価なし)","① 未紐づけ"))),IF(NOT(ISNUMBER($H407)),"② 工程側に単価なし",IF($D407="","③ 単位未設定(個で計算)","④ OK"))))</f>
        <v/>
      </c>
      <c r="J407" s="399">
        <f>IFERROR(LOOKUP(2,1/((中間品リスト!$F$2:$F$1299=$B407)*(中間品リスト!$E$2:$E$1299&lt;&gt;"-")*(中間品リスト!$E$2:$E$1299&lt;&gt;"")),中間品リスト!$E$2:$E$1299),"")</f>
        <v/>
      </c>
      <c r="K407" s="400">
        <f>IF($J407="",0,COUNTIF(②釜工程入力!$S$5:$S$117,$J407)+COUNTIF(③スチコン工程入力!$S$5:$S$152,$J407)+COUNTIF(⑪ZEN工程入力!$S$6:$S$35,$J407)+COUNTIF(⑫ミキサー工程入力!$S$6:$S$65,$J407)+COUNTIF(⑬計量工程入力!$S$6:$S$65,$J407)+COUNTIF(⑭手動工程入力!$S$6:$S$47,$J407))</f>
        <v/>
      </c>
      <c r="L407" s="393">
        <f>IF($J407="",0,SUMIFS(②釜工程入力!$M$5:$M$117,②釜工程入力!$S$5:$S$117,$J407,②釜工程入力!$I$5:$I$117,"&gt;0")+SUMIFS(③スチコン工程入力!$M$5:$M$152,③スチコン工程入力!$S$5:$S$152,$J407,③スチコン工程入力!$I$5:$I$152,"&gt;0")+SUMIFS(⑪ZEN工程入力!$M$6:$M$35,⑪ZEN工程入力!$S$6:$S$35,$J407,⑪ZEN工程入力!$I$6:$I$35,"&gt;0")+SUMIFS(⑫ミキサー工程入力!$M$6:$M$65,⑫ミキサー工程入力!$S$6:$S$65,$J407,⑫ミキサー工程入力!$I$6:$I$65,"&gt;0")+SUMIFS(⑬計量工程入力!$M$6:$M$65,⑬計量工程入力!$S$6:$S$65,$J407,⑬計量工程入力!$I$6:$I$65,"&gt;0")+SUMIFS(⑭手動工程入力!$M$6:$M$47,⑭手動工程入力!$S$6:$S$47,$J407,⑭手動工程入力!$I$6:$I$47,"&gt;0"))</f>
        <v/>
      </c>
      <c r="M407" s="393">
        <f>IF($J407="",0,SUMIFS(②釜工程入力!$I$5:$I$117,②釜工程入力!$S$5:$S$117,$J407,②釜工程入力!$I$5:$I$117,"&gt;0",②釜工程入力!$M$5:$M$117,"&gt;0")+SUMIFS(③スチコン工程入力!$I$5:$I$152,③スチコン工程入力!$S$5:$S$152,$J407,③スチコン工程入力!$I$5:$I$152,"&gt;0",③スチコン工程入力!$M$5:$M$152,"&gt;0")+SUMIFS(⑪ZEN工程入力!$I$6:$I$35,⑪ZEN工程入力!$S$6:$S$35,$J407,⑪ZEN工程入力!$I$6:$I$35,"&gt;0",⑪ZEN工程入力!$M$6:$M$35,"&gt;0")+SUMIFS(⑫ミキサー工程入力!$I$6:$I$65,⑫ミキサー工程入力!$S$6:$S$65,$J407,⑫ミキサー工程入力!$I$6:$I$65,"&gt;0",⑫ミキサー工程入力!$M$6:$M$65,"&gt;0")+SUMIFS(⑬計量工程入力!$I$6:$I$65,⑬計量工程入力!$S$6:$S$65,$J407,⑬計量工程入力!$I$6:$I$65,"&gt;0",⑬計量工程入力!$M$6:$M$65,"&gt;0")+SUMIFS(⑭手動工程入力!$I$6:$I$47,⑭手動工程入力!$S$6:$S$47,$J407,⑭手動工程入力!$I$6:$I$47,"&gt;0",⑭手動工程入力!$M$6:$M$47,"&gt;0"))</f>
        <v/>
      </c>
      <c r="N407" s="393">
        <f>IF($J407="",0,SUMIFS(②釜工程入力!$M$5:$M$117,②釜工程入力!$S$5:$S$117,$J407,②釜工程入力!$J$5:$J$117,"&gt;0")-SUMIFS(②釜工程入力!$M$5:$M$117,②釜工程入力!$S$5:$S$117,$J407,②釜工程入力!$J$5:$J$117,"&gt;0",②釜工程入力!$I$5:$I$117,"&gt;0")+SUMIFS(③スチコン工程入力!$M$5:$M$152,③スチコン工程入力!$S$5:$S$152,$J407,③スチコン工程入力!$J$5:$J$152,"&gt;0")-SUMIFS(③スチコン工程入力!$M$5:$M$152,③スチコン工程入力!$S$5:$S$152,$J407,③スチコン工程入力!$J$5:$J$152,"&gt;0",③スチコン工程入力!$I$5:$I$152,"&gt;0")+SUMIFS(⑪ZEN工程入力!$M$6:$M$35,⑪ZEN工程入力!$S$6:$S$35,$J407,⑪ZEN工程入力!$J$6:$J$35,"&gt;0")-SUMIFS(⑪ZEN工程入力!$M$6:$M$35,⑪ZEN工程入力!$S$6:$S$35,$J407,⑪ZEN工程入力!$J$6:$J$35,"&gt;0",⑪ZEN工程入力!$I$6:$I$35,"&gt;0")+SUMIFS(⑫ミキサー工程入力!$M$6:$M$65,⑫ミキサー工程入力!$S$6:$S$65,$J407,⑫ミキサー工程入力!$J$6:$J$65,"&gt;0")-SUMIFS(⑫ミキサー工程入力!$M$6:$M$65,⑫ミキサー工程入力!$S$6:$S$65,$J407,⑫ミキサー工程入力!$J$6:$J$65,"&gt;0",⑫ミキサー工程入力!$I$6:$I$65,"&gt;0")+SUMIFS(⑬計量工程入力!$M$6:$M$65,⑬計量工程入力!$S$6:$S$65,$J407,⑬計量工程入力!$J$6:$J$65,"&gt;0")-SUMIFS(⑬計量工程入力!$M$6:$M$65,⑬計量工程入力!$S$6:$S$65,$J407,⑬計量工程入力!$J$6:$J$65,"&gt;0",⑬計量工程入力!$I$6:$I$65,"&gt;0")+SUMIFS(⑭手動工程入力!$M$6:$M$47,⑭手動工程入力!$S$6:$S$47,$J407,⑭手動工程入力!$J$6:$J$47,"&gt;0")-SUMIFS(⑭手動工程入力!$M$6:$M$47,⑭手動工程入力!$S$6:$S$47,$J407,⑭手動工程入力!$J$6:$J$47,"&gt;0",⑭手動工程入力!$I$6:$I$47,"&gt;0"))</f>
        <v/>
      </c>
      <c r="O407" s="393">
        <f>IF($J407="",0,SUMIFS(②釜工程入力!$J$5:$J$117,②釜工程入力!$S$5:$S$117,$J407,②釜工程入力!$J$5:$J$117,"&gt;0",②釜工程入力!$M$5:$M$117,"&gt;0")-SUMIFS(②釜工程入力!$J$5:$J$117,②釜工程入力!$S$5:$S$117,$J407,②釜工程入力!$J$5:$J$117,"&gt;0",②釜工程入力!$I$5:$I$117,"&gt;0",②釜工程入力!$M$5:$M$117,"&gt;0")+SUMIFS(③スチコン工程入力!$J$5:$J$152,③スチコン工程入力!$S$5:$S$152,$J407,③スチコン工程入力!$J$5:$J$152,"&gt;0",③スチコン工程入力!$M$5:$M$152,"&gt;0")-SUMIFS(③スチコン工程入力!$J$5:$J$152,③スチコン工程入力!$S$5:$S$152,$J407,③スチコン工程入力!$J$5:$J$152,"&gt;0",③スチコン工程入力!$I$5:$I$152,"&gt;0",③スチコン工程入力!$M$5:$M$152,"&gt;0")+SUMIFS(⑪ZEN工程入力!$J$6:$J$35,⑪ZEN工程入力!$S$6:$S$35,$J407,⑪ZEN工程入力!$J$6:$J$35,"&gt;0",⑪ZEN工程入力!$M$6:$M$35,"&gt;0")-SUMIFS(⑪ZEN工程入力!$J$6:$J$35,⑪ZEN工程入力!$S$6:$S$35,$J407,⑪ZEN工程入力!$J$6:$J$35,"&gt;0",⑪ZEN工程入力!$I$6:$I$35,"&gt;0",⑪ZEN工程入力!$M$6:$M$35,"&gt;0")+SUMIFS(⑫ミキサー工程入力!$J$6:$J$65,⑫ミキサー工程入力!$S$6:$S$65,$J407,⑫ミキサー工程入力!$J$6:$J$65,"&gt;0",⑫ミキサー工程入力!$M$6:$M$65,"&gt;0")-SUMIFS(⑫ミキサー工程入力!$J$6:$J$65,⑫ミキサー工程入力!$S$6:$S$65,$J407,⑫ミキサー工程入力!$J$6:$J$65,"&gt;0",⑫ミキサー工程入力!$I$6:$I$65,"&gt;0",⑫ミキサー工程入力!$M$6:$M$65,"&gt;0")+SUMIFS(⑬計量工程入力!$J$6:$J$65,⑬計量工程入力!$S$6:$S$65,$J407,⑬計量工程入力!$J$6:$J$65,"&gt;0",⑬計量工程入力!$M$6:$M$65,"&gt;0")-SUMIFS(⑬計量工程入力!$J$6:$J$65,⑬計量工程入力!$S$6:$S$65,$J407,⑬計量工程入力!$J$6:$J$65,"&gt;0",⑬計量工程入力!$I$6:$I$65,"&gt;0",⑬計量工程入力!$M$6:$M$65,"&gt;0")+SUMIFS(⑭手動工程入力!$J$6:$J$47,⑭手動工程入力!$S$6:$S$47,$J407,⑭手動工程入力!$J$6:$J$47,"&gt;0",⑭手動工程入力!$M$6:$M$47,"&gt;0")-SUMIFS(⑭手動工程入力!$J$6:$J$47,⑭手動工程入力!$S$6:$S$47,$J407,⑭手動工程入力!$J$6:$J$47,"&gt;0",⑭手動工程入力!$I$6:$I$47,"&gt;0",⑭手動工程入力!$M$6:$M$47,"&gt;0"))</f>
        <v/>
      </c>
      <c r="P407" s="392" t="inlineStr">
        <is>
          <t>中間品リスト</t>
        </is>
      </c>
    </row>
    <row r="408">
      <c r="A408" s="392" t="n">
        <v>404</v>
      </c>
      <c r="B408" s="392" t="n"/>
      <c r="C408" s="392" t="n"/>
      <c r="D408" s="409" t="n"/>
      <c r="E408" s="392" t="n"/>
      <c r="F408" s="394" t="n"/>
      <c r="G408" s="392" t="n"/>
      <c r="H408" s="604">
        <f>IFERROR(IF(AND($K408&gt;0,ISNUMBER(IF(OR($D408="g",$D408="ｇ"),IF($M408&gt;0,$L408/$M408/1000,""),IF($D408="kg",IF($M408&gt;0,$L408/$M408,""),IF($D408="",IF($M408&gt;0,$L408/$M408/1000,IF($O408&gt;0,$N408/$O408,"")),IF($O408&gt;0,$N408/$O408,"")))))),IF(OR($D408="g",$D408="ｇ"),IF($M408&gt;0,$L408/$M408/1000,""),IF($D408="kg",IF($M408&gt;0,$L408/$M408,""),IF($D408="",IF($M408&gt;0,$L408/$M408/1000,IF($O408&gt;0,$N408/$O408,"")),IF($O408&gt;0,$N408/$O408,"")))),IF($F408="",IF(OR($E408="",$E408="⑩盛付梱包工程入力"),"",IF(OR($D408="g",$D408="ｇ"),INDEX(⑰工程労務費一覧!$N$5:$N$11,MATCH($E408,⑰工程労務費一覧!$K$5:$K$11,0))/1000,IF($D408="kg",INDEX(⑰工程労務費一覧!$N$5:$N$11,MATCH($E408,⑰工程労務費一覧!$K$5:$K$11,0)),IF(OR($D408="個",$D408="切",$D408="本",$D408="枚",$D408="尾"),IF($E408="⑬計量工程入力","",INDEX(⑰工程労務費一覧!$P$5:$P$11,MATCH($E408,⑰工程労務費一覧!$K$5:$K$11,0))),IF(AND($D408="",OR($E408="②釜工程入力",$E408="③スチコン工程入力")),INDEX(⑰工程労務費一覧!$N$5:$N$11,MATCH($E408,⑰工程労務費一覧!$K$5:$K$11,0))/1000,""))))),IF(OR($D408="g",$D408="ｇ"),INDEX(⑰工程労務費一覧!$H$5:$H$753,MATCH($F408,⑰工程労務費一覧!$D$5:$D$753,0))/1000,IF($D408="kg",INDEX(⑰工程労務費一覧!$H$5:$H$753,MATCH($F408,⑰工程労務費一覧!$D$5:$D$753,0)),INDEX(⑰工程労務費一覧!$I$5:$I$753,MATCH($F408,⑰工程労務費一覧!$D$5:$D$753,0)))))),"")</f>
        <v/>
      </c>
      <c r="I408" s="392">
        <f>IF($K408&gt;0,IF(ISNUMBER(IF(OR($D408="g",$D408="ｇ"),IF($M408&gt;0,$L408/$M408/1000,""),IF($D408="kg",IF($M408&gt;0,$L408/$M408,""),IF($D408="",IF($M408&gt;0,$L408/$M408/1000,IF($O408&gt;0,$N408/$O408,"")),IF($O408&gt;0,$N408/$O408,""))))),IF($D408="",IF($M408&gt;0,"◎ JAN紐づけ(g扱い)","◎ JAN紐づけ(個扱い)"),"◎ JAN紐づけ"),"△ JAN紐づけ済・実績不足→仮計算"),IF($F408="",IF(ISNUMBER($H408),IF($D408="","⑤ 工程平均で仮計算(g扱い)","⑤ 工程平均で仮計算"),IF($E408="⑩盛付梱包工程入力","⑥ 盛り込み(⑳F列で計上)",IF(AND($E408="⑬計量工程入力",OR($D408="個",$D408="切",$D408="本",$D408="枚",$D408="尾")),"① 未紐づけ(カット個単位は仮単価なし)","① 未紐づけ"))),IF(NOT(ISNUMBER($H408)),"② 工程側に単価なし",IF($D408="","③ 単位未設定(個で計算)","④ OK"))))</f>
        <v/>
      </c>
      <c r="J408" s="399">
        <f>IFERROR(LOOKUP(2,1/((中間品リスト!$F$2:$F$1299=$B408)*(中間品リスト!$E$2:$E$1299&lt;&gt;"-")*(中間品リスト!$E$2:$E$1299&lt;&gt;"")),中間品リスト!$E$2:$E$1299),"")</f>
        <v/>
      </c>
      <c r="K408" s="400">
        <f>IF($J408="",0,COUNTIF(②釜工程入力!$S$5:$S$117,$J408)+COUNTIF(③スチコン工程入力!$S$5:$S$152,$J408)+COUNTIF(⑪ZEN工程入力!$S$6:$S$35,$J408)+COUNTIF(⑫ミキサー工程入力!$S$6:$S$65,$J408)+COUNTIF(⑬計量工程入力!$S$6:$S$65,$J408)+COUNTIF(⑭手動工程入力!$S$6:$S$47,$J408))</f>
        <v/>
      </c>
      <c r="L408" s="393">
        <f>IF($J408="",0,SUMIFS(②釜工程入力!$M$5:$M$117,②釜工程入力!$S$5:$S$117,$J408,②釜工程入力!$I$5:$I$117,"&gt;0")+SUMIFS(③スチコン工程入力!$M$5:$M$152,③スチコン工程入力!$S$5:$S$152,$J408,③スチコン工程入力!$I$5:$I$152,"&gt;0")+SUMIFS(⑪ZEN工程入力!$M$6:$M$35,⑪ZEN工程入力!$S$6:$S$35,$J408,⑪ZEN工程入力!$I$6:$I$35,"&gt;0")+SUMIFS(⑫ミキサー工程入力!$M$6:$M$65,⑫ミキサー工程入力!$S$6:$S$65,$J408,⑫ミキサー工程入力!$I$6:$I$65,"&gt;0")+SUMIFS(⑬計量工程入力!$M$6:$M$65,⑬計量工程入力!$S$6:$S$65,$J408,⑬計量工程入力!$I$6:$I$65,"&gt;0")+SUMIFS(⑭手動工程入力!$M$6:$M$47,⑭手動工程入力!$S$6:$S$47,$J408,⑭手動工程入力!$I$6:$I$47,"&gt;0"))</f>
        <v/>
      </c>
      <c r="M408" s="393">
        <f>IF($J408="",0,SUMIFS(②釜工程入力!$I$5:$I$117,②釜工程入力!$S$5:$S$117,$J408,②釜工程入力!$I$5:$I$117,"&gt;0",②釜工程入力!$M$5:$M$117,"&gt;0")+SUMIFS(③スチコン工程入力!$I$5:$I$152,③スチコン工程入力!$S$5:$S$152,$J408,③スチコン工程入力!$I$5:$I$152,"&gt;0",③スチコン工程入力!$M$5:$M$152,"&gt;0")+SUMIFS(⑪ZEN工程入力!$I$6:$I$35,⑪ZEN工程入力!$S$6:$S$35,$J408,⑪ZEN工程入力!$I$6:$I$35,"&gt;0",⑪ZEN工程入力!$M$6:$M$35,"&gt;0")+SUMIFS(⑫ミキサー工程入力!$I$6:$I$65,⑫ミキサー工程入力!$S$6:$S$65,$J408,⑫ミキサー工程入力!$I$6:$I$65,"&gt;0",⑫ミキサー工程入力!$M$6:$M$65,"&gt;0")+SUMIFS(⑬計量工程入力!$I$6:$I$65,⑬計量工程入力!$S$6:$S$65,$J408,⑬計量工程入力!$I$6:$I$65,"&gt;0",⑬計量工程入力!$M$6:$M$65,"&gt;0")+SUMIFS(⑭手動工程入力!$I$6:$I$47,⑭手動工程入力!$S$6:$S$47,$J408,⑭手動工程入力!$I$6:$I$47,"&gt;0",⑭手動工程入力!$M$6:$M$47,"&gt;0"))</f>
        <v/>
      </c>
      <c r="N408" s="393">
        <f>IF($J408="",0,SUMIFS(②釜工程入力!$M$5:$M$117,②釜工程入力!$S$5:$S$117,$J408,②釜工程入力!$J$5:$J$117,"&gt;0")-SUMIFS(②釜工程入力!$M$5:$M$117,②釜工程入力!$S$5:$S$117,$J408,②釜工程入力!$J$5:$J$117,"&gt;0",②釜工程入力!$I$5:$I$117,"&gt;0")+SUMIFS(③スチコン工程入力!$M$5:$M$152,③スチコン工程入力!$S$5:$S$152,$J408,③スチコン工程入力!$J$5:$J$152,"&gt;0")-SUMIFS(③スチコン工程入力!$M$5:$M$152,③スチコン工程入力!$S$5:$S$152,$J408,③スチコン工程入力!$J$5:$J$152,"&gt;0",③スチコン工程入力!$I$5:$I$152,"&gt;0")+SUMIFS(⑪ZEN工程入力!$M$6:$M$35,⑪ZEN工程入力!$S$6:$S$35,$J408,⑪ZEN工程入力!$J$6:$J$35,"&gt;0")-SUMIFS(⑪ZEN工程入力!$M$6:$M$35,⑪ZEN工程入力!$S$6:$S$35,$J408,⑪ZEN工程入力!$J$6:$J$35,"&gt;0",⑪ZEN工程入力!$I$6:$I$35,"&gt;0")+SUMIFS(⑫ミキサー工程入力!$M$6:$M$65,⑫ミキサー工程入力!$S$6:$S$65,$J408,⑫ミキサー工程入力!$J$6:$J$65,"&gt;0")-SUMIFS(⑫ミキサー工程入力!$M$6:$M$65,⑫ミキサー工程入力!$S$6:$S$65,$J408,⑫ミキサー工程入力!$J$6:$J$65,"&gt;0",⑫ミキサー工程入力!$I$6:$I$65,"&gt;0")+SUMIFS(⑬計量工程入力!$M$6:$M$65,⑬計量工程入力!$S$6:$S$65,$J408,⑬計量工程入力!$J$6:$J$65,"&gt;0")-SUMIFS(⑬計量工程入力!$M$6:$M$65,⑬計量工程入力!$S$6:$S$65,$J408,⑬計量工程入力!$J$6:$J$65,"&gt;0",⑬計量工程入力!$I$6:$I$65,"&gt;0")+SUMIFS(⑭手動工程入力!$M$6:$M$47,⑭手動工程入力!$S$6:$S$47,$J408,⑭手動工程入力!$J$6:$J$47,"&gt;0")-SUMIFS(⑭手動工程入力!$M$6:$M$47,⑭手動工程入力!$S$6:$S$47,$J408,⑭手動工程入力!$J$6:$J$47,"&gt;0",⑭手動工程入力!$I$6:$I$47,"&gt;0"))</f>
        <v/>
      </c>
      <c r="O408" s="393">
        <f>IF($J408="",0,SUMIFS(②釜工程入力!$J$5:$J$117,②釜工程入力!$S$5:$S$117,$J408,②釜工程入力!$J$5:$J$117,"&gt;0",②釜工程入力!$M$5:$M$117,"&gt;0")-SUMIFS(②釜工程入力!$J$5:$J$117,②釜工程入力!$S$5:$S$117,$J408,②釜工程入力!$J$5:$J$117,"&gt;0",②釜工程入力!$I$5:$I$117,"&gt;0",②釜工程入力!$M$5:$M$117,"&gt;0")+SUMIFS(③スチコン工程入力!$J$5:$J$152,③スチコン工程入力!$S$5:$S$152,$J408,③スチコン工程入力!$J$5:$J$152,"&gt;0",③スチコン工程入力!$M$5:$M$152,"&gt;0")-SUMIFS(③スチコン工程入力!$J$5:$J$152,③スチコン工程入力!$S$5:$S$152,$J408,③スチコン工程入力!$J$5:$J$152,"&gt;0",③スチコン工程入力!$I$5:$I$152,"&gt;0",③スチコン工程入力!$M$5:$M$152,"&gt;0")+SUMIFS(⑪ZEN工程入力!$J$6:$J$35,⑪ZEN工程入力!$S$6:$S$35,$J408,⑪ZEN工程入力!$J$6:$J$35,"&gt;0",⑪ZEN工程入力!$M$6:$M$35,"&gt;0")-SUMIFS(⑪ZEN工程入力!$J$6:$J$35,⑪ZEN工程入力!$S$6:$S$35,$J408,⑪ZEN工程入力!$J$6:$J$35,"&gt;0",⑪ZEN工程入力!$I$6:$I$35,"&gt;0",⑪ZEN工程入力!$M$6:$M$35,"&gt;0")+SUMIFS(⑫ミキサー工程入力!$J$6:$J$65,⑫ミキサー工程入力!$S$6:$S$65,$J408,⑫ミキサー工程入力!$J$6:$J$65,"&gt;0",⑫ミキサー工程入力!$M$6:$M$65,"&gt;0")-SUMIFS(⑫ミキサー工程入力!$J$6:$J$65,⑫ミキサー工程入力!$S$6:$S$65,$J408,⑫ミキサー工程入力!$J$6:$J$65,"&gt;0",⑫ミキサー工程入力!$I$6:$I$65,"&gt;0",⑫ミキサー工程入力!$M$6:$M$65,"&gt;0")+SUMIFS(⑬計量工程入力!$J$6:$J$65,⑬計量工程入力!$S$6:$S$65,$J408,⑬計量工程入力!$J$6:$J$65,"&gt;0",⑬計量工程入力!$M$6:$M$65,"&gt;0")-SUMIFS(⑬計量工程入力!$J$6:$J$65,⑬計量工程入力!$S$6:$S$65,$J408,⑬計量工程入力!$J$6:$J$65,"&gt;0",⑬計量工程入力!$I$6:$I$65,"&gt;0",⑬計量工程入力!$M$6:$M$65,"&gt;0")+SUMIFS(⑭手動工程入力!$J$6:$J$47,⑭手動工程入力!$S$6:$S$47,$J408,⑭手動工程入力!$J$6:$J$47,"&gt;0",⑭手動工程入力!$M$6:$M$47,"&gt;0")-SUMIFS(⑭手動工程入力!$J$6:$J$47,⑭手動工程入力!$S$6:$S$47,$J408,⑭手動工程入力!$J$6:$J$47,"&gt;0",⑭手動工程入力!$I$6:$I$47,"&gt;0",⑭手動工程入力!$M$6:$M$47,"&gt;0"))</f>
        <v/>
      </c>
      <c r="P408" s="392" t="inlineStr">
        <is>
          <t>中間品リスト</t>
        </is>
      </c>
    </row>
    <row r="409">
      <c r="A409" s="392" t="n">
        <v>405</v>
      </c>
      <c r="B409" s="392" t="n"/>
      <c r="C409" s="392" t="n"/>
      <c r="D409" s="409" t="n"/>
      <c r="E409" s="392" t="n"/>
      <c r="F409" s="394" t="n"/>
      <c r="G409" s="392" t="n"/>
      <c r="H409" s="604">
        <f>IFERROR(IF(AND($K409&gt;0,ISNUMBER(IF(OR($D409="g",$D409="ｇ"),IF($M409&gt;0,$L409/$M409/1000,""),IF($D409="kg",IF($M409&gt;0,$L409/$M409,""),IF($D409="",IF($M409&gt;0,$L409/$M409/1000,IF($O409&gt;0,$N409/$O409,"")),IF($O409&gt;0,$N409/$O409,"")))))),IF(OR($D409="g",$D409="ｇ"),IF($M409&gt;0,$L409/$M409/1000,""),IF($D409="kg",IF($M409&gt;0,$L409/$M409,""),IF($D409="",IF($M409&gt;0,$L409/$M409/1000,IF($O409&gt;0,$N409/$O409,"")),IF($O409&gt;0,$N409/$O409,"")))),IF($F409="",IF(OR($E409="",$E409="⑩盛付梱包工程入力"),"",IF(OR($D409="g",$D409="ｇ"),INDEX(⑰工程労務費一覧!$N$5:$N$11,MATCH($E409,⑰工程労務費一覧!$K$5:$K$11,0))/1000,IF($D409="kg",INDEX(⑰工程労務費一覧!$N$5:$N$11,MATCH($E409,⑰工程労務費一覧!$K$5:$K$11,0)),IF(OR($D409="個",$D409="切",$D409="本",$D409="枚",$D409="尾"),IF($E409="⑬計量工程入力","",INDEX(⑰工程労務費一覧!$P$5:$P$11,MATCH($E409,⑰工程労務費一覧!$K$5:$K$11,0))),IF(AND($D409="",OR($E409="②釜工程入力",$E409="③スチコン工程入力")),INDEX(⑰工程労務費一覧!$N$5:$N$11,MATCH($E409,⑰工程労務費一覧!$K$5:$K$11,0))/1000,""))))),IF(OR($D409="g",$D409="ｇ"),INDEX(⑰工程労務費一覧!$H$5:$H$753,MATCH($F409,⑰工程労務費一覧!$D$5:$D$753,0))/1000,IF($D409="kg",INDEX(⑰工程労務費一覧!$H$5:$H$753,MATCH($F409,⑰工程労務費一覧!$D$5:$D$753,0)),INDEX(⑰工程労務費一覧!$I$5:$I$753,MATCH($F409,⑰工程労務費一覧!$D$5:$D$753,0)))))),"")</f>
        <v/>
      </c>
      <c r="I409" s="392">
        <f>IF($K409&gt;0,IF(ISNUMBER(IF(OR($D409="g",$D409="ｇ"),IF($M409&gt;0,$L409/$M409/1000,""),IF($D409="kg",IF($M409&gt;0,$L409/$M409,""),IF($D409="",IF($M409&gt;0,$L409/$M409/1000,IF($O409&gt;0,$N409/$O409,"")),IF($O409&gt;0,$N409/$O409,""))))),IF($D409="",IF($M409&gt;0,"◎ JAN紐づけ(g扱い)","◎ JAN紐づけ(個扱い)"),"◎ JAN紐づけ"),"△ JAN紐づけ済・実績不足→仮計算"),IF($F409="",IF(ISNUMBER($H409),IF($D409="","⑤ 工程平均で仮計算(g扱い)","⑤ 工程平均で仮計算"),IF($E409="⑩盛付梱包工程入力","⑥ 盛り込み(⑳F列で計上)",IF(AND($E409="⑬計量工程入力",OR($D409="個",$D409="切",$D409="本",$D409="枚",$D409="尾")),"① 未紐づけ(カット個単位は仮単価なし)","① 未紐づけ"))),IF(NOT(ISNUMBER($H409)),"② 工程側に単価なし",IF($D409="","③ 単位未設定(個で計算)","④ OK"))))</f>
        <v/>
      </c>
      <c r="J409" s="399">
        <f>IFERROR(LOOKUP(2,1/((中間品リスト!$F$2:$F$1299=$B409)*(中間品リスト!$E$2:$E$1299&lt;&gt;"-")*(中間品リスト!$E$2:$E$1299&lt;&gt;"")),中間品リスト!$E$2:$E$1299),"")</f>
        <v/>
      </c>
      <c r="K409" s="400">
        <f>IF($J409="",0,COUNTIF(②釜工程入力!$S$5:$S$117,$J409)+COUNTIF(③スチコン工程入力!$S$5:$S$152,$J409)+COUNTIF(⑪ZEN工程入力!$S$6:$S$35,$J409)+COUNTIF(⑫ミキサー工程入力!$S$6:$S$65,$J409)+COUNTIF(⑬計量工程入力!$S$6:$S$65,$J409)+COUNTIF(⑭手動工程入力!$S$6:$S$47,$J409))</f>
        <v/>
      </c>
      <c r="L409" s="393">
        <f>IF($J409="",0,SUMIFS(②釜工程入力!$M$5:$M$117,②釜工程入力!$S$5:$S$117,$J409,②釜工程入力!$I$5:$I$117,"&gt;0")+SUMIFS(③スチコン工程入力!$M$5:$M$152,③スチコン工程入力!$S$5:$S$152,$J409,③スチコン工程入力!$I$5:$I$152,"&gt;0")+SUMIFS(⑪ZEN工程入力!$M$6:$M$35,⑪ZEN工程入力!$S$6:$S$35,$J409,⑪ZEN工程入力!$I$6:$I$35,"&gt;0")+SUMIFS(⑫ミキサー工程入力!$M$6:$M$65,⑫ミキサー工程入力!$S$6:$S$65,$J409,⑫ミキサー工程入力!$I$6:$I$65,"&gt;0")+SUMIFS(⑬計量工程入力!$M$6:$M$65,⑬計量工程入力!$S$6:$S$65,$J409,⑬計量工程入力!$I$6:$I$65,"&gt;0")+SUMIFS(⑭手動工程入力!$M$6:$M$47,⑭手動工程入力!$S$6:$S$47,$J409,⑭手動工程入力!$I$6:$I$47,"&gt;0"))</f>
        <v/>
      </c>
      <c r="M409" s="393">
        <f>IF($J409="",0,SUMIFS(②釜工程入力!$I$5:$I$117,②釜工程入力!$S$5:$S$117,$J409,②釜工程入力!$I$5:$I$117,"&gt;0",②釜工程入力!$M$5:$M$117,"&gt;0")+SUMIFS(③スチコン工程入力!$I$5:$I$152,③スチコン工程入力!$S$5:$S$152,$J409,③スチコン工程入力!$I$5:$I$152,"&gt;0",③スチコン工程入力!$M$5:$M$152,"&gt;0")+SUMIFS(⑪ZEN工程入力!$I$6:$I$35,⑪ZEN工程入力!$S$6:$S$35,$J409,⑪ZEN工程入力!$I$6:$I$35,"&gt;0",⑪ZEN工程入力!$M$6:$M$35,"&gt;0")+SUMIFS(⑫ミキサー工程入力!$I$6:$I$65,⑫ミキサー工程入力!$S$6:$S$65,$J409,⑫ミキサー工程入力!$I$6:$I$65,"&gt;0",⑫ミキサー工程入力!$M$6:$M$65,"&gt;0")+SUMIFS(⑬計量工程入力!$I$6:$I$65,⑬計量工程入力!$S$6:$S$65,$J409,⑬計量工程入力!$I$6:$I$65,"&gt;0",⑬計量工程入力!$M$6:$M$65,"&gt;0")+SUMIFS(⑭手動工程入力!$I$6:$I$47,⑭手動工程入力!$S$6:$S$47,$J409,⑭手動工程入力!$I$6:$I$47,"&gt;0",⑭手動工程入力!$M$6:$M$47,"&gt;0"))</f>
        <v/>
      </c>
      <c r="N409" s="393">
        <f>IF($J409="",0,SUMIFS(②釜工程入力!$M$5:$M$117,②釜工程入力!$S$5:$S$117,$J409,②釜工程入力!$J$5:$J$117,"&gt;0")-SUMIFS(②釜工程入力!$M$5:$M$117,②釜工程入力!$S$5:$S$117,$J409,②釜工程入力!$J$5:$J$117,"&gt;0",②釜工程入力!$I$5:$I$117,"&gt;0")+SUMIFS(③スチコン工程入力!$M$5:$M$152,③スチコン工程入力!$S$5:$S$152,$J409,③スチコン工程入力!$J$5:$J$152,"&gt;0")-SUMIFS(③スチコン工程入力!$M$5:$M$152,③スチコン工程入力!$S$5:$S$152,$J409,③スチコン工程入力!$J$5:$J$152,"&gt;0",③スチコン工程入力!$I$5:$I$152,"&gt;0")+SUMIFS(⑪ZEN工程入力!$M$6:$M$35,⑪ZEN工程入力!$S$6:$S$35,$J409,⑪ZEN工程入力!$J$6:$J$35,"&gt;0")-SUMIFS(⑪ZEN工程入力!$M$6:$M$35,⑪ZEN工程入力!$S$6:$S$35,$J409,⑪ZEN工程入力!$J$6:$J$35,"&gt;0",⑪ZEN工程入力!$I$6:$I$35,"&gt;0")+SUMIFS(⑫ミキサー工程入力!$M$6:$M$65,⑫ミキサー工程入力!$S$6:$S$65,$J409,⑫ミキサー工程入力!$J$6:$J$65,"&gt;0")-SUMIFS(⑫ミキサー工程入力!$M$6:$M$65,⑫ミキサー工程入力!$S$6:$S$65,$J409,⑫ミキサー工程入力!$J$6:$J$65,"&gt;0",⑫ミキサー工程入力!$I$6:$I$65,"&gt;0")+SUMIFS(⑬計量工程入力!$M$6:$M$65,⑬計量工程入力!$S$6:$S$65,$J409,⑬計量工程入力!$J$6:$J$65,"&gt;0")-SUMIFS(⑬計量工程入力!$M$6:$M$65,⑬計量工程入力!$S$6:$S$65,$J409,⑬計量工程入力!$J$6:$J$65,"&gt;0",⑬計量工程入力!$I$6:$I$65,"&gt;0")+SUMIFS(⑭手動工程入力!$M$6:$M$47,⑭手動工程入力!$S$6:$S$47,$J409,⑭手動工程入力!$J$6:$J$47,"&gt;0")-SUMIFS(⑭手動工程入力!$M$6:$M$47,⑭手動工程入力!$S$6:$S$47,$J409,⑭手動工程入力!$J$6:$J$47,"&gt;0",⑭手動工程入力!$I$6:$I$47,"&gt;0"))</f>
        <v/>
      </c>
      <c r="O409" s="393">
        <f>IF($J409="",0,SUMIFS(②釜工程入力!$J$5:$J$117,②釜工程入力!$S$5:$S$117,$J409,②釜工程入力!$J$5:$J$117,"&gt;0",②釜工程入力!$M$5:$M$117,"&gt;0")-SUMIFS(②釜工程入力!$J$5:$J$117,②釜工程入力!$S$5:$S$117,$J409,②釜工程入力!$J$5:$J$117,"&gt;0",②釜工程入力!$I$5:$I$117,"&gt;0",②釜工程入力!$M$5:$M$117,"&gt;0")+SUMIFS(③スチコン工程入力!$J$5:$J$152,③スチコン工程入力!$S$5:$S$152,$J409,③スチコン工程入力!$J$5:$J$152,"&gt;0",③スチコン工程入力!$M$5:$M$152,"&gt;0")-SUMIFS(③スチコン工程入力!$J$5:$J$152,③スチコン工程入力!$S$5:$S$152,$J409,③スチコン工程入力!$J$5:$J$152,"&gt;0",③スチコン工程入力!$I$5:$I$152,"&gt;0",③スチコン工程入力!$M$5:$M$152,"&gt;0")+SUMIFS(⑪ZEN工程入力!$J$6:$J$35,⑪ZEN工程入力!$S$6:$S$35,$J409,⑪ZEN工程入力!$J$6:$J$35,"&gt;0",⑪ZEN工程入力!$M$6:$M$35,"&gt;0")-SUMIFS(⑪ZEN工程入力!$J$6:$J$35,⑪ZEN工程入力!$S$6:$S$35,$J409,⑪ZEN工程入力!$J$6:$J$35,"&gt;0",⑪ZEN工程入力!$I$6:$I$35,"&gt;0",⑪ZEN工程入力!$M$6:$M$35,"&gt;0")+SUMIFS(⑫ミキサー工程入力!$J$6:$J$65,⑫ミキサー工程入力!$S$6:$S$65,$J409,⑫ミキサー工程入力!$J$6:$J$65,"&gt;0",⑫ミキサー工程入力!$M$6:$M$65,"&gt;0")-SUMIFS(⑫ミキサー工程入力!$J$6:$J$65,⑫ミキサー工程入力!$S$6:$S$65,$J409,⑫ミキサー工程入力!$J$6:$J$65,"&gt;0",⑫ミキサー工程入力!$I$6:$I$65,"&gt;0",⑫ミキサー工程入力!$M$6:$M$65,"&gt;0")+SUMIFS(⑬計量工程入力!$J$6:$J$65,⑬計量工程入力!$S$6:$S$65,$J409,⑬計量工程入力!$J$6:$J$65,"&gt;0",⑬計量工程入力!$M$6:$M$65,"&gt;0")-SUMIFS(⑬計量工程入力!$J$6:$J$65,⑬計量工程入力!$S$6:$S$65,$J409,⑬計量工程入力!$J$6:$J$65,"&gt;0",⑬計量工程入力!$I$6:$I$65,"&gt;0",⑬計量工程入力!$M$6:$M$65,"&gt;0")+SUMIFS(⑭手動工程入力!$J$6:$J$47,⑭手動工程入力!$S$6:$S$47,$J409,⑭手動工程入力!$J$6:$J$47,"&gt;0",⑭手動工程入力!$M$6:$M$47,"&gt;0")-SUMIFS(⑭手動工程入力!$J$6:$J$47,⑭手動工程入力!$S$6:$S$47,$J409,⑭手動工程入力!$J$6:$J$47,"&gt;0",⑭手動工程入力!$I$6:$I$47,"&gt;0",⑭手動工程入力!$M$6:$M$47,"&gt;0"))</f>
        <v/>
      </c>
      <c r="P409" s="392" t="inlineStr">
        <is>
          <t>中間品リスト</t>
        </is>
      </c>
    </row>
    <row r="410">
      <c r="A410" s="392" t="n">
        <v>406</v>
      </c>
      <c r="B410" s="392" t="n"/>
      <c r="C410" s="392" t="n"/>
      <c r="D410" s="409" t="n"/>
      <c r="E410" s="392" t="n"/>
      <c r="F410" s="394" t="n"/>
      <c r="G410" s="392" t="n"/>
      <c r="H410" s="604">
        <f>IFERROR(IF(AND($K410&gt;0,ISNUMBER(IF(OR($D410="g",$D410="ｇ"),IF($M410&gt;0,$L410/$M410/1000,""),IF($D410="kg",IF($M410&gt;0,$L410/$M410,""),IF($D410="",IF($M410&gt;0,$L410/$M410/1000,IF($O410&gt;0,$N410/$O410,"")),IF($O410&gt;0,$N410/$O410,"")))))),IF(OR($D410="g",$D410="ｇ"),IF($M410&gt;0,$L410/$M410/1000,""),IF($D410="kg",IF($M410&gt;0,$L410/$M410,""),IF($D410="",IF($M410&gt;0,$L410/$M410/1000,IF($O410&gt;0,$N410/$O410,"")),IF($O410&gt;0,$N410/$O410,"")))),IF($F410="",IF(OR($E410="",$E410="⑩盛付梱包工程入力"),"",IF(OR($D410="g",$D410="ｇ"),INDEX(⑰工程労務費一覧!$N$5:$N$11,MATCH($E410,⑰工程労務費一覧!$K$5:$K$11,0))/1000,IF($D410="kg",INDEX(⑰工程労務費一覧!$N$5:$N$11,MATCH($E410,⑰工程労務費一覧!$K$5:$K$11,0)),IF(OR($D410="個",$D410="切",$D410="本",$D410="枚",$D410="尾"),IF($E410="⑬計量工程入力","",INDEX(⑰工程労務費一覧!$P$5:$P$11,MATCH($E410,⑰工程労務費一覧!$K$5:$K$11,0))),IF(AND($D410="",OR($E410="②釜工程入力",$E410="③スチコン工程入力")),INDEX(⑰工程労務費一覧!$N$5:$N$11,MATCH($E410,⑰工程労務費一覧!$K$5:$K$11,0))/1000,""))))),IF(OR($D410="g",$D410="ｇ"),INDEX(⑰工程労務費一覧!$H$5:$H$753,MATCH($F410,⑰工程労務費一覧!$D$5:$D$753,0))/1000,IF($D410="kg",INDEX(⑰工程労務費一覧!$H$5:$H$753,MATCH($F410,⑰工程労務費一覧!$D$5:$D$753,0)),INDEX(⑰工程労務費一覧!$I$5:$I$753,MATCH($F410,⑰工程労務費一覧!$D$5:$D$753,0)))))),"")</f>
        <v/>
      </c>
      <c r="I410" s="392">
        <f>IF($K410&gt;0,IF(ISNUMBER(IF(OR($D410="g",$D410="ｇ"),IF($M410&gt;0,$L410/$M410/1000,""),IF($D410="kg",IF($M410&gt;0,$L410/$M410,""),IF($D410="",IF($M410&gt;0,$L410/$M410/1000,IF($O410&gt;0,$N410/$O410,"")),IF($O410&gt;0,$N410/$O410,""))))),IF($D410="",IF($M410&gt;0,"◎ JAN紐づけ(g扱い)","◎ JAN紐づけ(個扱い)"),"◎ JAN紐づけ"),"△ JAN紐づけ済・実績不足→仮計算"),IF($F410="",IF(ISNUMBER($H410),IF($D410="","⑤ 工程平均で仮計算(g扱い)","⑤ 工程平均で仮計算"),IF($E410="⑩盛付梱包工程入力","⑥ 盛り込み(⑳F列で計上)",IF(AND($E410="⑬計量工程入力",OR($D410="個",$D410="切",$D410="本",$D410="枚",$D410="尾")),"① 未紐づけ(カット個単位は仮単価なし)","① 未紐づけ"))),IF(NOT(ISNUMBER($H410)),"② 工程側に単価なし",IF($D410="","③ 単位未設定(個で計算)","④ OK"))))</f>
        <v/>
      </c>
      <c r="J410" s="399">
        <f>IFERROR(LOOKUP(2,1/((中間品リスト!$F$2:$F$1299=$B410)*(中間品リスト!$E$2:$E$1299&lt;&gt;"-")*(中間品リスト!$E$2:$E$1299&lt;&gt;"")),中間品リスト!$E$2:$E$1299),"")</f>
        <v/>
      </c>
      <c r="K410" s="400">
        <f>IF($J410="",0,COUNTIF(②釜工程入力!$S$5:$S$117,$J410)+COUNTIF(③スチコン工程入力!$S$5:$S$152,$J410)+COUNTIF(⑪ZEN工程入力!$S$6:$S$35,$J410)+COUNTIF(⑫ミキサー工程入力!$S$6:$S$65,$J410)+COUNTIF(⑬計量工程入力!$S$6:$S$65,$J410)+COUNTIF(⑭手動工程入力!$S$6:$S$47,$J410))</f>
        <v/>
      </c>
      <c r="L410" s="393">
        <f>IF($J410="",0,SUMIFS(②釜工程入力!$M$5:$M$117,②釜工程入力!$S$5:$S$117,$J410,②釜工程入力!$I$5:$I$117,"&gt;0")+SUMIFS(③スチコン工程入力!$M$5:$M$152,③スチコン工程入力!$S$5:$S$152,$J410,③スチコン工程入力!$I$5:$I$152,"&gt;0")+SUMIFS(⑪ZEN工程入力!$M$6:$M$35,⑪ZEN工程入力!$S$6:$S$35,$J410,⑪ZEN工程入力!$I$6:$I$35,"&gt;0")+SUMIFS(⑫ミキサー工程入力!$M$6:$M$65,⑫ミキサー工程入力!$S$6:$S$65,$J410,⑫ミキサー工程入力!$I$6:$I$65,"&gt;0")+SUMIFS(⑬計量工程入力!$M$6:$M$65,⑬計量工程入力!$S$6:$S$65,$J410,⑬計量工程入力!$I$6:$I$65,"&gt;0")+SUMIFS(⑭手動工程入力!$M$6:$M$47,⑭手動工程入力!$S$6:$S$47,$J410,⑭手動工程入力!$I$6:$I$47,"&gt;0"))</f>
        <v/>
      </c>
      <c r="M410" s="393">
        <f>IF($J410="",0,SUMIFS(②釜工程入力!$I$5:$I$117,②釜工程入力!$S$5:$S$117,$J410,②釜工程入力!$I$5:$I$117,"&gt;0",②釜工程入力!$M$5:$M$117,"&gt;0")+SUMIFS(③スチコン工程入力!$I$5:$I$152,③スチコン工程入力!$S$5:$S$152,$J410,③スチコン工程入力!$I$5:$I$152,"&gt;0",③スチコン工程入力!$M$5:$M$152,"&gt;0")+SUMIFS(⑪ZEN工程入力!$I$6:$I$35,⑪ZEN工程入力!$S$6:$S$35,$J410,⑪ZEN工程入力!$I$6:$I$35,"&gt;0",⑪ZEN工程入力!$M$6:$M$35,"&gt;0")+SUMIFS(⑫ミキサー工程入力!$I$6:$I$65,⑫ミキサー工程入力!$S$6:$S$65,$J410,⑫ミキサー工程入力!$I$6:$I$65,"&gt;0",⑫ミキサー工程入力!$M$6:$M$65,"&gt;0")+SUMIFS(⑬計量工程入力!$I$6:$I$65,⑬計量工程入力!$S$6:$S$65,$J410,⑬計量工程入力!$I$6:$I$65,"&gt;0",⑬計量工程入力!$M$6:$M$65,"&gt;0")+SUMIFS(⑭手動工程入力!$I$6:$I$47,⑭手動工程入力!$S$6:$S$47,$J410,⑭手動工程入力!$I$6:$I$47,"&gt;0",⑭手動工程入力!$M$6:$M$47,"&gt;0"))</f>
        <v/>
      </c>
      <c r="N410" s="393">
        <f>IF($J410="",0,SUMIFS(②釜工程入力!$M$5:$M$117,②釜工程入力!$S$5:$S$117,$J410,②釜工程入力!$J$5:$J$117,"&gt;0")-SUMIFS(②釜工程入力!$M$5:$M$117,②釜工程入力!$S$5:$S$117,$J410,②釜工程入力!$J$5:$J$117,"&gt;0",②釜工程入力!$I$5:$I$117,"&gt;0")+SUMIFS(③スチコン工程入力!$M$5:$M$152,③スチコン工程入力!$S$5:$S$152,$J410,③スチコン工程入力!$J$5:$J$152,"&gt;0")-SUMIFS(③スチコン工程入力!$M$5:$M$152,③スチコン工程入力!$S$5:$S$152,$J410,③スチコン工程入力!$J$5:$J$152,"&gt;0",③スチコン工程入力!$I$5:$I$152,"&gt;0")+SUMIFS(⑪ZEN工程入力!$M$6:$M$35,⑪ZEN工程入力!$S$6:$S$35,$J410,⑪ZEN工程入力!$J$6:$J$35,"&gt;0")-SUMIFS(⑪ZEN工程入力!$M$6:$M$35,⑪ZEN工程入力!$S$6:$S$35,$J410,⑪ZEN工程入力!$J$6:$J$35,"&gt;0",⑪ZEN工程入力!$I$6:$I$35,"&gt;0")+SUMIFS(⑫ミキサー工程入力!$M$6:$M$65,⑫ミキサー工程入力!$S$6:$S$65,$J410,⑫ミキサー工程入力!$J$6:$J$65,"&gt;0")-SUMIFS(⑫ミキサー工程入力!$M$6:$M$65,⑫ミキサー工程入力!$S$6:$S$65,$J410,⑫ミキサー工程入力!$J$6:$J$65,"&gt;0",⑫ミキサー工程入力!$I$6:$I$65,"&gt;0")+SUMIFS(⑬計量工程入力!$M$6:$M$65,⑬計量工程入力!$S$6:$S$65,$J410,⑬計量工程入力!$J$6:$J$65,"&gt;0")-SUMIFS(⑬計量工程入力!$M$6:$M$65,⑬計量工程入力!$S$6:$S$65,$J410,⑬計量工程入力!$J$6:$J$65,"&gt;0",⑬計量工程入力!$I$6:$I$65,"&gt;0")+SUMIFS(⑭手動工程入力!$M$6:$M$47,⑭手動工程入力!$S$6:$S$47,$J410,⑭手動工程入力!$J$6:$J$47,"&gt;0")-SUMIFS(⑭手動工程入力!$M$6:$M$47,⑭手動工程入力!$S$6:$S$47,$J410,⑭手動工程入力!$J$6:$J$47,"&gt;0",⑭手動工程入力!$I$6:$I$47,"&gt;0"))</f>
        <v/>
      </c>
      <c r="O410" s="393">
        <f>IF($J410="",0,SUMIFS(②釜工程入力!$J$5:$J$117,②釜工程入力!$S$5:$S$117,$J410,②釜工程入力!$J$5:$J$117,"&gt;0",②釜工程入力!$M$5:$M$117,"&gt;0")-SUMIFS(②釜工程入力!$J$5:$J$117,②釜工程入力!$S$5:$S$117,$J410,②釜工程入力!$J$5:$J$117,"&gt;0",②釜工程入力!$I$5:$I$117,"&gt;0",②釜工程入力!$M$5:$M$117,"&gt;0")+SUMIFS(③スチコン工程入力!$J$5:$J$152,③スチコン工程入力!$S$5:$S$152,$J410,③スチコン工程入力!$J$5:$J$152,"&gt;0",③スチコン工程入力!$M$5:$M$152,"&gt;0")-SUMIFS(③スチコン工程入力!$J$5:$J$152,③スチコン工程入力!$S$5:$S$152,$J410,③スチコン工程入力!$J$5:$J$152,"&gt;0",③スチコン工程入力!$I$5:$I$152,"&gt;0",③スチコン工程入力!$M$5:$M$152,"&gt;0")+SUMIFS(⑪ZEN工程入力!$J$6:$J$35,⑪ZEN工程入力!$S$6:$S$35,$J410,⑪ZEN工程入力!$J$6:$J$35,"&gt;0",⑪ZEN工程入力!$M$6:$M$35,"&gt;0")-SUMIFS(⑪ZEN工程入力!$J$6:$J$35,⑪ZEN工程入力!$S$6:$S$35,$J410,⑪ZEN工程入力!$J$6:$J$35,"&gt;0",⑪ZEN工程入力!$I$6:$I$35,"&gt;0",⑪ZEN工程入力!$M$6:$M$35,"&gt;0")+SUMIFS(⑫ミキサー工程入力!$J$6:$J$65,⑫ミキサー工程入力!$S$6:$S$65,$J410,⑫ミキサー工程入力!$J$6:$J$65,"&gt;0",⑫ミキサー工程入力!$M$6:$M$65,"&gt;0")-SUMIFS(⑫ミキサー工程入力!$J$6:$J$65,⑫ミキサー工程入力!$S$6:$S$65,$J410,⑫ミキサー工程入力!$J$6:$J$65,"&gt;0",⑫ミキサー工程入力!$I$6:$I$65,"&gt;0",⑫ミキサー工程入力!$M$6:$M$65,"&gt;0")+SUMIFS(⑬計量工程入力!$J$6:$J$65,⑬計量工程入力!$S$6:$S$65,$J410,⑬計量工程入力!$J$6:$J$65,"&gt;0",⑬計量工程入力!$M$6:$M$65,"&gt;0")-SUMIFS(⑬計量工程入力!$J$6:$J$65,⑬計量工程入力!$S$6:$S$65,$J410,⑬計量工程入力!$J$6:$J$65,"&gt;0",⑬計量工程入力!$I$6:$I$65,"&gt;0",⑬計量工程入力!$M$6:$M$65,"&gt;0")+SUMIFS(⑭手動工程入力!$J$6:$J$47,⑭手動工程入力!$S$6:$S$47,$J410,⑭手動工程入力!$J$6:$J$47,"&gt;0",⑭手動工程入力!$M$6:$M$47,"&gt;0")-SUMIFS(⑭手動工程入力!$J$6:$J$47,⑭手動工程入力!$S$6:$S$47,$J410,⑭手動工程入力!$J$6:$J$47,"&gt;0",⑭手動工程入力!$I$6:$I$47,"&gt;0",⑭手動工程入力!$M$6:$M$47,"&gt;0"))</f>
        <v/>
      </c>
      <c r="P410" s="392" t="inlineStr">
        <is>
          <t>中間品リスト</t>
        </is>
      </c>
    </row>
    <row r="411">
      <c r="A411" s="392" t="n">
        <v>407</v>
      </c>
      <c r="B411" s="392" t="n"/>
      <c r="C411" s="392" t="n"/>
      <c r="D411" s="409" t="n"/>
      <c r="E411" s="392" t="n"/>
      <c r="F411" s="394" t="n"/>
      <c r="G411" s="392" t="n"/>
      <c r="H411" s="604">
        <f>IFERROR(IF(AND($K411&gt;0,ISNUMBER(IF(OR($D411="g",$D411="ｇ"),IF($M411&gt;0,$L411/$M411/1000,""),IF($D411="kg",IF($M411&gt;0,$L411/$M411,""),IF($D411="",IF($M411&gt;0,$L411/$M411/1000,IF($O411&gt;0,$N411/$O411,"")),IF($O411&gt;0,$N411/$O411,"")))))),IF(OR($D411="g",$D411="ｇ"),IF($M411&gt;0,$L411/$M411/1000,""),IF($D411="kg",IF($M411&gt;0,$L411/$M411,""),IF($D411="",IF($M411&gt;0,$L411/$M411/1000,IF($O411&gt;0,$N411/$O411,"")),IF($O411&gt;0,$N411/$O411,"")))),IF($F411="",IF(OR($E411="",$E411="⑩盛付梱包工程入力"),"",IF(OR($D411="g",$D411="ｇ"),INDEX(⑰工程労務費一覧!$N$5:$N$11,MATCH($E411,⑰工程労務費一覧!$K$5:$K$11,0))/1000,IF($D411="kg",INDEX(⑰工程労務費一覧!$N$5:$N$11,MATCH($E411,⑰工程労務費一覧!$K$5:$K$11,0)),IF(OR($D411="個",$D411="切",$D411="本",$D411="枚",$D411="尾"),IF($E411="⑬計量工程入力","",INDEX(⑰工程労務費一覧!$P$5:$P$11,MATCH($E411,⑰工程労務費一覧!$K$5:$K$11,0))),IF(AND($D411="",OR($E411="②釜工程入力",$E411="③スチコン工程入力")),INDEX(⑰工程労務費一覧!$N$5:$N$11,MATCH($E411,⑰工程労務費一覧!$K$5:$K$11,0))/1000,""))))),IF(OR($D411="g",$D411="ｇ"),INDEX(⑰工程労務費一覧!$H$5:$H$753,MATCH($F411,⑰工程労務費一覧!$D$5:$D$753,0))/1000,IF($D411="kg",INDEX(⑰工程労務費一覧!$H$5:$H$753,MATCH($F411,⑰工程労務費一覧!$D$5:$D$753,0)),INDEX(⑰工程労務費一覧!$I$5:$I$753,MATCH($F411,⑰工程労務費一覧!$D$5:$D$753,0)))))),"")</f>
        <v/>
      </c>
      <c r="I411" s="392">
        <f>IF($K411&gt;0,IF(ISNUMBER(IF(OR($D411="g",$D411="ｇ"),IF($M411&gt;0,$L411/$M411/1000,""),IF($D411="kg",IF($M411&gt;0,$L411/$M411,""),IF($D411="",IF($M411&gt;0,$L411/$M411/1000,IF($O411&gt;0,$N411/$O411,"")),IF($O411&gt;0,$N411/$O411,""))))),IF($D411="",IF($M411&gt;0,"◎ JAN紐づけ(g扱い)","◎ JAN紐づけ(個扱い)"),"◎ JAN紐づけ"),"△ JAN紐づけ済・実績不足→仮計算"),IF($F411="",IF(ISNUMBER($H411),IF($D411="","⑤ 工程平均で仮計算(g扱い)","⑤ 工程平均で仮計算"),IF($E411="⑩盛付梱包工程入力","⑥ 盛り込み(⑳F列で計上)",IF(AND($E411="⑬計量工程入力",OR($D411="個",$D411="切",$D411="本",$D411="枚",$D411="尾")),"① 未紐づけ(カット個単位は仮単価なし)","① 未紐づけ"))),IF(NOT(ISNUMBER($H411)),"② 工程側に単価なし",IF($D411="","③ 単位未設定(個で計算)","④ OK"))))</f>
        <v/>
      </c>
      <c r="J411" s="399">
        <f>IFERROR(LOOKUP(2,1/((中間品リスト!$F$2:$F$1299=$B411)*(中間品リスト!$E$2:$E$1299&lt;&gt;"-")*(中間品リスト!$E$2:$E$1299&lt;&gt;"")),中間品リスト!$E$2:$E$1299),"")</f>
        <v/>
      </c>
      <c r="K411" s="400">
        <f>IF($J411="",0,COUNTIF(②釜工程入力!$S$5:$S$117,$J411)+COUNTIF(③スチコン工程入力!$S$5:$S$152,$J411)+COUNTIF(⑪ZEN工程入力!$S$6:$S$35,$J411)+COUNTIF(⑫ミキサー工程入力!$S$6:$S$65,$J411)+COUNTIF(⑬計量工程入力!$S$6:$S$65,$J411)+COUNTIF(⑭手動工程入力!$S$6:$S$47,$J411))</f>
        <v/>
      </c>
      <c r="L411" s="393">
        <f>IF($J411="",0,SUMIFS(②釜工程入力!$M$5:$M$117,②釜工程入力!$S$5:$S$117,$J411,②釜工程入力!$I$5:$I$117,"&gt;0")+SUMIFS(③スチコン工程入力!$M$5:$M$152,③スチコン工程入力!$S$5:$S$152,$J411,③スチコン工程入力!$I$5:$I$152,"&gt;0")+SUMIFS(⑪ZEN工程入力!$M$6:$M$35,⑪ZEN工程入力!$S$6:$S$35,$J411,⑪ZEN工程入力!$I$6:$I$35,"&gt;0")+SUMIFS(⑫ミキサー工程入力!$M$6:$M$65,⑫ミキサー工程入力!$S$6:$S$65,$J411,⑫ミキサー工程入力!$I$6:$I$65,"&gt;0")+SUMIFS(⑬計量工程入力!$M$6:$M$65,⑬計量工程入力!$S$6:$S$65,$J411,⑬計量工程入力!$I$6:$I$65,"&gt;0")+SUMIFS(⑭手動工程入力!$M$6:$M$47,⑭手動工程入力!$S$6:$S$47,$J411,⑭手動工程入力!$I$6:$I$47,"&gt;0"))</f>
        <v/>
      </c>
      <c r="M411" s="393">
        <f>IF($J411="",0,SUMIFS(②釜工程入力!$I$5:$I$117,②釜工程入力!$S$5:$S$117,$J411,②釜工程入力!$I$5:$I$117,"&gt;0",②釜工程入力!$M$5:$M$117,"&gt;0")+SUMIFS(③スチコン工程入力!$I$5:$I$152,③スチコン工程入力!$S$5:$S$152,$J411,③スチコン工程入力!$I$5:$I$152,"&gt;0",③スチコン工程入力!$M$5:$M$152,"&gt;0")+SUMIFS(⑪ZEN工程入力!$I$6:$I$35,⑪ZEN工程入力!$S$6:$S$35,$J411,⑪ZEN工程入力!$I$6:$I$35,"&gt;0",⑪ZEN工程入力!$M$6:$M$35,"&gt;0")+SUMIFS(⑫ミキサー工程入力!$I$6:$I$65,⑫ミキサー工程入力!$S$6:$S$65,$J411,⑫ミキサー工程入力!$I$6:$I$65,"&gt;0",⑫ミキサー工程入力!$M$6:$M$65,"&gt;0")+SUMIFS(⑬計量工程入力!$I$6:$I$65,⑬計量工程入力!$S$6:$S$65,$J411,⑬計量工程入力!$I$6:$I$65,"&gt;0",⑬計量工程入力!$M$6:$M$65,"&gt;0")+SUMIFS(⑭手動工程入力!$I$6:$I$47,⑭手動工程入力!$S$6:$S$47,$J411,⑭手動工程入力!$I$6:$I$47,"&gt;0",⑭手動工程入力!$M$6:$M$47,"&gt;0"))</f>
        <v/>
      </c>
      <c r="N411" s="393">
        <f>IF($J411="",0,SUMIFS(②釜工程入力!$M$5:$M$117,②釜工程入力!$S$5:$S$117,$J411,②釜工程入力!$J$5:$J$117,"&gt;0")-SUMIFS(②釜工程入力!$M$5:$M$117,②釜工程入力!$S$5:$S$117,$J411,②釜工程入力!$J$5:$J$117,"&gt;0",②釜工程入力!$I$5:$I$117,"&gt;0")+SUMIFS(③スチコン工程入力!$M$5:$M$152,③スチコン工程入力!$S$5:$S$152,$J411,③スチコン工程入力!$J$5:$J$152,"&gt;0")-SUMIFS(③スチコン工程入力!$M$5:$M$152,③スチコン工程入力!$S$5:$S$152,$J411,③スチコン工程入力!$J$5:$J$152,"&gt;0",③スチコン工程入力!$I$5:$I$152,"&gt;0")+SUMIFS(⑪ZEN工程入力!$M$6:$M$35,⑪ZEN工程入力!$S$6:$S$35,$J411,⑪ZEN工程入力!$J$6:$J$35,"&gt;0")-SUMIFS(⑪ZEN工程入力!$M$6:$M$35,⑪ZEN工程入力!$S$6:$S$35,$J411,⑪ZEN工程入力!$J$6:$J$35,"&gt;0",⑪ZEN工程入力!$I$6:$I$35,"&gt;0")+SUMIFS(⑫ミキサー工程入力!$M$6:$M$65,⑫ミキサー工程入力!$S$6:$S$65,$J411,⑫ミキサー工程入力!$J$6:$J$65,"&gt;0")-SUMIFS(⑫ミキサー工程入力!$M$6:$M$65,⑫ミキサー工程入力!$S$6:$S$65,$J411,⑫ミキサー工程入力!$J$6:$J$65,"&gt;0",⑫ミキサー工程入力!$I$6:$I$65,"&gt;0")+SUMIFS(⑬計量工程入力!$M$6:$M$65,⑬計量工程入力!$S$6:$S$65,$J411,⑬計量工程入力!$J$6:$J$65,"&gt;0")-SUMIFS(⑬計量工程入力!$M$6:$M$65,⑬計量工程入力!$S$6:$S$65,$J411,⑬計量工程入力!$J$6:$J$65,"&gt;0",⑬計量工程入力!$I$6:$I$65,"&gt;0")+SUMIFS(⑭手動工程入力!$M$6:$M$47,⑭手動工程入力!$S$6:$S$47,$J411,⑭手動工程入力!$J$6:$J$47,"&gt;0")-SUMIFS(⑭手動工程入力!$M$6:$M$47,⑭手動工程入力!$S$6:$S$47,$J411,⑭手動工程入力!$J$6:$J$47,"&gt;0",⑭手動工程入力!$I$6:$I$47,"&gt;0"))</f>
        <v/>
      </c>
      <c r="O411" s="393">
        <f>IF($J411="",0,SUMIFS(②釜工程入力!$J$5:$J$117,②釜工程入力!$S$5:$S$117,$J411,②釜工程入力!$J$5:$J$117,"&gt;0",②釜工程入力!$M$5:$M$117,"&gt;0")-SUMIFS(②釜工程入力!$J$5:$J$117,②釜工程入力!$S$5:$S$117,$J411,②釜工程入力!$J$5:$J$117,"&gt;0",②釜工程入力!$I$5:$I$117,"&gt;0",②釜工程入力!$M$5:$M$117,"&gt;0")+SUMIFS(③スチコン工程入力!$J$5:$J$152,③スチコン工程入力!$S$5:$S$152,$J411,③スチコン工程入力!$J$5:$J$152,"&gt;0",③スチコン工程入力!$M$5:$M$152,"&gt;0")-SUMIFS(③スチコン工程入力!$J$5:$J$152,③スチコン工程入力!$S$5:$S$152,$J411,③スチコン工程入力!$J$5:$J$152,"&gt;0",③スチコン工程入力!$I$5:$I$152,"&gt;0",③スチコン工程入力!$M$5:$M$152,"&gt;0")+SUMIFS(⑪ZEN工程入力!$J$6:$J$35,⑪ZEN工程入力!$S$6:$S$35,$J411,⑪ZEN工程入力!$J$6:$J$35,"&gt;0",⑪ZEN工程入力!$M$6:$M$35,"&gt;0")-SUMIFS(⑪ZEN工程入力!$J$6:$J$35,⑪ZEN工程入力!$S$6:$S$35,$J411,⑪ZEN工程入力!$J$6:$J$35,"&gt;0",⑪ZEN工程入力!$I$6:$I$35,"&gt;0",⑪ZEN工程入力!$M$6:$M$35,"&gt;0")+SUMIFS(⑫ミキサー工程入力!$J$6:$J$65,⑫ミキサー工程入力!$S$6:$S$65,$J411,⑫ミキサー工程入力!$J$6:$J$65,"&gt;0",⑫ミキサー工程入力!$M$6:$M$65,"&gt;0")-SUMIFS(⑫ミキサー工程入力!$J$6:$J$65,⑫ミキサー工程入力!$S$6:$S$65,$J411,⑫ミキサー工程入力!$J$6:$J$65,"&gt;0",⑫ミキサー工程入力!$I$6:$I$65,"&gt;0",⑫ミキサー工程入力!$M$6:$M$65,"&gt;0")+SUMIFS(⑬計量工程入力!$J$6:$J$65,⑬計量工程入力!$S$6:$S$65,$J411,⑬計量工程入力!$J$6:$J$65,"&gt;0",⑬計量工程入力!$M$6:$M$65,"&gt;0")-SUMIFS(⑬計量工程入力!$J$6:$J$65,⑬計量工程入力!$S$6:$S$65,$J411,⑬計量工程入力!$J$6:$J$65,"&gt;0",⑬計量工程入力!$I$6:$I$65,"&gt;0",⑬計量工程入力!$M$6:$M$65,"&gt;0")+SUMIFS(⑭手動工程入力!$J$6:$J$47,⑭手動工程入力!$S$6:$S$47,$J411,⑭手動工程入力!$J$6:$J$47,"&gt;0",⑭手動工程入力!$M$6:$M$47,"&gt;0")-SUMIFS(⑭手動工程入力!$J$6:$J$47,⑭手動工程入力!$S$6:$S$47,$J411,⑭手動工程入力!$J$6:$J$47,"&gt;0",⑭手動工程入力!$I$6:$I$47,"&gt;0",⑭手動工程入力!$M$6:$M$47,"&gt;0"))</f>
        <v/>
      </c>
      <c r="P411" s="392" t="inlineStr">
        <is>
          <t>中間品リスト</t>
        </is>
      </c>
    </row>
    <row r="412">
      <c r="A412" s="392" t="n">
        <v>408</v>
      </c>
      <c r="B412" s="392" t="n"/>
      <c r="C412" s="392" t="n"/>
      <c r="D412" s="409" t="n"/>
      <c r="E412" s="392" t="n"/>
      <c r="F412" s="394" t="n"/>
      <c r="G412" s="392" t="n"/>
      <c r="H412" s="604">
        <f>IFERROR(IF(AND($K412&gt;0,ISNUMBER(IF(OR($D412="g",$D412="ｇ"),IF($M412&gt;0,$L412/$M412/1000,""),IF($D412="kg",IF($M412&gt;0,$L412/$M412,""),IF($D412="",IF($M412&gt;0,$L412/$M412/1000,IF($O412&gt;0,$N412/$O412,"")),IF($O412&gt;0,$N412/$O412,"")))))),IF(OR($D412="g",$D412="ｇ"),IF($M412&gt;0,$L412/$M412/1000,""),IF($D412="kg",IF($M412&gt;0,$L412/$M412,""),IF($D412="",IF($M412&gt;0,$L412/$M412/1000,IF($O412&gt;0,$N412/$O412,"")),IF($O412&gt;0,$N412/$O412,"")))),IF($F412="",IF(OR($E412="",$E412="⑩盛付梱包工程入力"),"",IF(OR($D412="g",$D412="ｇ"),INDEX(⑰工程労務費一覧!$N$5:$N$11,MATCH($E412,⑰工程労務費一覧!$K$5:$K$11,0))/1000,IF($D412="kg",INDEX(⑰工程労務費一覧!$N$5:$N$11,MATCH($E412,⑰工程労務費一覧!$K$5:$K$11,0)),IF(OR($D412="個",$D412="切",$D412="本",$D412="枚",$D412="尾"),IF($E412="⑬計量工程入力","",INDEX(⑰工程労務費一覧!$P$5:$P$11,MATCH($E412,⑰工程労務費一覧!$K$5:$K$11,0))),IF(AND($D412="",OR($E412="②釜工程入力",$E412="③スチコン工程入力")),INDEX(⑰工程労務費一覧!$N$5:$N$11,MATCH($E412,⑰工程労務費一覧!$K$5:$K$11,0))/1000,""))))),IF(OR($D412="g",$D412="ｇ"),INDEX(⑰工程労務費一覧!$H$5:$H$753,MATCH($F412,⑰工程労務費一覧!$D$5:$D$753,0))/1000,IF($D412="kg",INDEX(⑰工程労務費一覧!$H$5:$H$753,MATCH($F412,⑰工程労務費一覧!$D$5:$D$753,0)),INDEX(⑰工程労務費一覧!$I$5:$I$753,MATCH($F412,⑰工程労務費一覧!$D$5:$D$753,0)))))),"")</f>
        <v/>
      </c>
      <c r="I412" s="392">
        <f>IF($K412&gt;0,IF(ISNUMBER(IF(OR($D412="g",$D412="ｇ"),IF($M412&gt;0,$L412/$M412/1000,""),IF($D412="kg",IF($M412&gt;0,$L412/$M412,""),IF($D412="",IF($M412&gt;0,$L412/$M412/1000,IF($O412&gt;0,$N412/$O412,"")),IF($O412&gt;0,$N412/$O412,""))))),IF($D412="",IF($M412&gt;0,"◎ JAN紐づけ(g扱い)","◎ JAN紐づけ(個扱い)"),"◎ JAN紐づけ"),"△ JAN紐づけ済・実績不足→仮計算"),IF($F412="",IF(ISNUMBER($H412),IF($D412="","⑤ 工程平均で仮計算(g扱い)","⑤ 工程平均で仮計算"),IF($E412="⑩盛付梱包工程入力","⑥ 盛り込み(⑳F列で計上)",IF(AND($E412="⑬計量工程入力",OR($D412="個",$D412="切",$D412="本",$D412="枚",$D412="尾")),"① 未紐づけ(カット個単位は仮単価なし)","① 未紐づけ"))),IF(NOT(ISNUMBER($H412)),"② 工程側に単価なし",IF($D412="","③ 単位未設定(個で計算)","④ OK"))))</f>
        <v/>
      </c>
      <c r="J412" s="399">
        <f>IFERROR(LOOKUP(2,1/((中間品リスト!$F$2:$F$1299=$B412)*(中間品リスト!$E$2:$E$1299&lt;&gt;"-")*(中間品リスト!$E$2:$E$1299&lt;&gt;"")),中間品リスト!$E$2:$E$1299),"")</f>
        <v/>
      </c>
      <c r="K412" s="400">
        <f>IF($J412="",0,COUNTIF(②釜工程入力!$S$5:$S$117,$J412)+COUNTIF(③スチコン工程入力!$S$5:$S$152,$J412)+COUNTIF(⑪ZEN工程入力!$S$6:$S$35,$J412)+COUNTIF(⑫ミキサー工程入力!$S$6:$S$65,$J412)+COUNTIF(⑬計量工程入力!$S$6:$S$65,$J412)+COUNTIF(⑭手動工程入力!$S$6:$S$47,$J412))</f>
        <v/>
      </c>
      <c r="L412" s="393">
        <f>IF($J412="",0,SUMIFS(②釜工程入力!$M$5:$M$117,②釜工程入力!$S$5:$S$117,$J412,②釜工程入力!$I$5:$I$117,"&gt;0")+SUMIFS(③スチコン工程入力!$M$5:$M$152,③スチコン工程入力!$S$5:$S$152,$J412,③スチコン工程入力!$I$5:$I$152,"&gt;0")+SUMIFS(⑪ZEN工程入力!$M$6:$M$35,⑪ZEN工程入力!$S$6:$S$35,$J412,⑪ZEN工程入力!$I$6:$I$35,"&gt;0")+SUMIFS(⑫ミキサー工程入力!$M$6:$M$65,⑫ミキサー工程入力!$S$6:$S$65,$J412,⑫ミキサー工程入力!$I$6:$I$65,"&gt;0")+SUMIFS(⑬計量工程入力!$M$6:$M$65,⑬計量工程入力!$S$6:$S$65,$J412,⑬計量工程入力!$I$6:$I$65,"&gt;0")+SUMIFS(⑭手動工程入力!$M$6:$M$47,⑭手動工程入力!$S$6:$S$47,$J412,⑭手動工程入力!$I$6:$I$47,"&gt;0"))</f>
        <v/>
      </c>
      <c r="M412" s="393">
        <f>IF($J412="",0,SUMIFS(②釜工程入力!$I$5:$I$117,②釜工程入力!$S$5:$S$117,$J412,②釜工程入力!$I$5:$I$117,"&gt;0",②釜工程入力!$M$5:$M$117,"&gt;0")+SUMIFS(③スチコン工程入力!$I$5:$I$152,③スチコン工程入力!$S$5:$S$152,$J412,③スチコン工程入力!$I$5:$I$152,"&gt;0",③スチコン工程入力!$M$5:$M$152,"&gt;0")+SUMIFS(⑪ZEN工程入力!$I$6:$I$35,⑪ZEN工程入力!$S$6:$S$35,$J412,⑪ZEN工程入力!$I$6:$I$35,"&gt;0",⑪ZEN工程入力!$M$6:$M$35,"&gt;0")+SUMIFS(⑫ミキサー工程入力!$I$6:$I$65,⑫ミキサー工程入力!$S$6:$S$65,$J412,⑫ミキサー工程入力!$I$6:$I$65,"&gt;0",⑫ミキサー工程入力!$M$6:$M$65,"&gt;0")+SUMIFS(⑬計量工程入力!$I$6:$I$65,⑬計量工程入力!$S$6:$S$65,$J412,⑬計量工程入力!$I$6:$I$65,"&gt;0",⑬計量工程入力!$M$6:$M$65,"&gt;0")+SUMIFS(⑭手動工程入力!$I$6:$I$47,⑭手動工程入力!$S$6:$S$47,$J412,⑭手動工程入力!$I$6:$I$47,"&gt;0",⑭手動工程入力!$M$6:$M$47,"&gt;0"))</f>
        <v/>
      </c>
      <c r="N412" s="393">
        <f>IF($J412="",0,SUMIFS(②釜工程入力!$M$5:$M$117,②釜工程入力!$S$5:$S$117,$J412,②釜工程入力!$J$5:$J$117,"&gt;0")-SUMIFS(②釜工程入力!$M$5:$M$117,②釜工程入力!$S$5:$S$117,$J412,②釜工程入力!$J$5:$J$117,"&gt;0",②釜工程入力!$I$5:$I$117,"&gt;0")+SUMIFS(③スチコン工程入力!$M$5:$M$152,③スチコン工程入力!$S$5:$S$152,$J412,③スチコン工程入力!$J$5:$J$152,"&gt;0")-SUMIFS(③スチコン工程入力!$M$5:$M$152,③スチコン工程入力!$S$5:$S$152,$J412,③スチコン工程入力!$J$5:$J$152,"&gt;0",③スチコン工程入力!$I$5:$I$152,"&gt;0")+SUMIFS(⑪ZEN工程入力!$M$6:$M$35,⑪ZEN工程入力!$S$6:$S$35,$J412,⑪ZEN工程入力!$J$6:$J$35,"&gt;0")-SUMIFS(⑪ZEN工程入力!$M$6:$M$35,⑪ZEN工程入力!$S$6:$S$35,$J412,⑪ZEN工程入力!$J$6:$J$35,"&gt;0",⑪ZEN工程入力!$I$6:$I$35,"&gt;0")+SUMIFS(⑫ミキサー工程入力!$M$6:$M$65,⑫ミキサー工程入力!$S$6:$S$65,$J412,⑫ミキサー工程入力!$J$6:$J$65,"&gt;0")-SUMIFS(⑫ミキサー工程入力!$M$6:$M$65,⑫ミキサー工程入力!$S$6:$S$65,$J412,⑫ミキサー工程入力!$J$6:$J$65,"&gt;0",⑫ミキサー工程入力!$I$6:$I$65,"&gt;0")+SUMIFS(⑬計量工程入力!$M$6:$M$65,⑬計量工程入力!$S$6:$S$65,$J412,⑬計量工程入力!$J$6:$J$65,"&gt;0")-SUMIFS(⑬計量工程入力!$M$6:$M$65,⑬計量工程入力!$S$6:$S$65,$J412,⑬計量工程入力!$J$6:$J$65,"&gt;0",⑬計量工程入力!$I$6:$I$65,"&gt;0")+SUMIFS(⑭手動工程入力!$M$6:$M$47,⑭手動工程入力!$S$6:$S$47,$J412,⑭手動工程入力!$J$6:$J$47,"&gt;0")-SUMIFS(⑭手動工程入力!$M$6:$M$47,⑭手動工程入力!$S$6:$S$47,$J412,⑭手動工程入力!$J$6:$J$47,"&gt;0",⑭手動工程入力!$I$6:$I$47,"&gt;0"))</f>
        <v/>
      </c>
      <c r="O412" s="393">
        <f>IF($J412="",0,SUMIFS(②釜工程入力!$J$5:$J$117,②釜工程入力!$S$5:$S$117,$J412,②釜工程入力!$J$5:$J$117,"&gt;0",②釜工程入力!$M$5:$M$117,"&gt;0")-SUMIFS(②釜工程入力!$J$5:$J$117,②釜工程入力!$S$5:$S$117,$J412,②釜工程入力!$J$5:$J$117,"&gt;0",②釜工程入力!$I$5:$I$117,"&gt;0",②釜工程入力!$M$5:$M$117,"&gt;0")+SUMIFS(③スチコン工程入力!$J$5:$J$152,③スチコン工程入力!$S$5:$S$152,$J412,③スチコン工程入力!$J$5:$J$152,"&gt;0",③スチコン工程入力!$M$5:$M$152,"&gt;0")-SUMIFS(③スチコン工程入力!$J$5:$J$152,③スチコン工程入力!$S$5:$S$152,$J412,③スチコン工程入力!$J$5:$J$152,"&gt;0",③スチコン工程入力!$I$5:$I$152,"&gt;0",③スチコン工程入力!$M$5:$M$152,"&gt;0")+SUMIFS(⑪ZEN工程入力!$J$6:$J$35,⑪ZEN工程入力!$S$6:$S$35,$J412,⑪ZEN工程入力!$J$6:$J$35,"&gt;0",⑪ZEN工程入力!$M$6:$M$35,"&gt;0")-SUMIFS(⑪ZEN工程入力!$J$6:$J$35,⑪ZEN工程入力!$S$6:$S$35,$J412,⑪ZEN工程入力!$J$6:$J$35,"&gt;0",⑪ZEN工程入力!$I$6:$I$35,"&gt;0",⑪ZEN工程入力!$M$6:$M$35,"&gt;0")+SUMIFS(⑫ミキサー工程入力!$J$6:$J$65,⑫ミキサー工程入力!$S$6:$S$65,$J412,⑫ミキサー工程入力!$J$6:$J$65,"&gt;0",⑫ミキサー工程入力!$M$6:$M$65,"&gt;0")-SUMIFS(⑫ミキサー工程入力!$J$6:$J$65,⑫ミキサー工程入力!$S$6:$S$65,$J412,⑫ミキサー工程入力!$J$6:$J$65,"&gt;0",⑫ミキサー工程入力!$I$6:$I$65,"&gt;0",⑫ミキサー工程入力!$M$6:$M$65,"&gt;0")+SUMIFS(⑬計量工程入力!$J$6:$J$65,⑬計量工程入力!$S$6:$S$65,$J412,⑬計量工程入力!$J$6:$J$65,"&gt;0",⑬計量工程入力!$M$6:$M$65,"&gt;0")-SUMIFS(⑬計量工程入力!$J$6:$J$65,⑬計量工程入力!$S$6:$S$65,$J412,⑬計量工程入力!$J$6:$J$65,"&gt;0",⑬計量工程入力!$I$6:$I$65,"&gt;0",⑬計量工程入力!$M$6:$M$65,"&gt;0")+SUMIFS(⑭手動工程入力!$J$6:$J$47,⑭手動工程入力!$S$6:$S$47,$J412,⑭手動工程入力!$J$6:$J$47,"&gt;0",⑭手動工程入力!$M$6:$M$47,"&gt;0")-SUMIFS(⑭手動工程入力!$J$6:$J$47,⑭手動工程入力!$S$6:$S$47,$J412,⑭手動工程入力!$J$6:$J$47,"&gt;0",⑭手動工程入力!$I$6:$I$47,"&gt;0",⑭手動工程入力!$M$6:$M$47,"&gt;0"))</f>
        <v/>
      </c>
      <c r="P412" s="392" t="inlineStr">
        <is>
          <t>中間品リスト</t>
        </is>
      </c>
    </row>
    <row r="413">
      <c r="A413" s="392" t="n">
        <v>409</v>
      </c>
      <c r="B413" s="392" t="n"/>
      <c r="C413" s="392" t="n"/>
      <c r="D413" s="409" t="n"/>
      <c r="E413" s="392" t="n"/>
      <c r="F413" s="394" t="n"/>
      <c r="G413" s="392" t="n"/>
      <c r="H413" s="604">
        <f>IFERROR(IF(AND($K413&gt;0,ISNUMBER(IF(OR($D413="g",$D413="ｇ"),IF($M413&gt;0,$L413/$M413/1000,""),IF($D413="kg",IF($M413&gt;0,$L413/$M413,""),IF($D413="",IF($M413&gt;0,$L413/$M413/1000,IF($O413&gt;0,$N413/$O413,"")),IF($O413&gt;0,$N413/$O413,"")))))),IF(OR($D413="g",$D413="ｇ"),IF($M413&gt;0,$L413/$M413/1000,""),IF($D413="kg",IF($M413&gt;0,$L413/$M413,""),IF($D413="",IF($M413&gt;0,$L413/$M413/1000,IF($O413&gt;0,$N413/$O413,"")),IF($O413&gt;0,$N413/$O413,"")))),IF($F413="",IF(OR($E413="",$E413="⑩盛付梱包工程入力"),"",IF(OR($D413="g",$D413="ｇ"),INDEX(⑰工程労務費一覧!$N$5:$N$11,MATCH($E413,⑰工程労務費一覧!$K$5:$K$11,0))/1000,IF($D413="kg",INDEX(⑰工程労務費一覧!$N$5:$N$11,MATCH($E413,⑰工程労務費一覧!$K$5:$K$11,0)),IF(OR($D413="個",$D413="切",$D413="本",$D413="枚",$D413="尾"),IF($E413="⑬計量工程入力","",INDEX(⑰工程労務費一覧!$P$5:$P$11,MATCH($E413,⑰工程労務費一覧!$K$5:$K$11,0))),IF(AND($D413="",OR($E413="②釜工程入力",$E413="③スチコン工程入力")),INDEX(⑰工程労務費一覧!$N$5:$N$11,MATCH($E413,⑰工程労務費一覧!$K$5:$K$11,0))/1000,""))))),IF(OR($D413="g",$D413="ｇ"),INDEX(⑰工程労務費一覧!$H$5:$H$753,MATCH($F413,⑰工程労務費一覧!$D$5:$D$753,0))/1000,IF($D413="kg",INDEX(⑰工程労務費一覧!$H$5:$H$753,MATCH($F413,⑰工程労務費一覧!$D$5:$D$753,0)),INDEX(⑰工程労務費一覧!$I$5:$I$753,MATCH($F413,⑰工程労務費一覧!$D$5:$D$753,0)))))),"")</f>
        <v/>
      </c>
      <c r="I413" s="392">
        <f>IF($K413&gt;0,IF(ISNUMBER(IF(OR($D413="g",$D413="ｇ"),IF($M413&gt;0,$L413/$M413/1000,""),IF($D413="kg",IF($M413&gt;0,$L413/$M413,""),IF($D413="",IF($M413&gt;0,$L413/$M413/1000,IF($O413&gt;0,$N413/$O413,"")),IF($O413&gt;0,$N413/$O413,""))))),IF($D413="",IF($M413&gt;0,"◎ JAN紐づけ(g扱い)","◎ JAN紐づけ(個扱い)"),"◎ JAN紐づけ"),"△ JAN紐づけ済・実績不足→仮計算"),IF($F413="",IF(ISNUMBER($H413),IF($D413="","⑤ 工程平均で仮計算(g扱い)","⑤ 工程平均で仮計算"),IF($E413="⑩盛付梱包工程入力","⑥ 盛り込み(⑳F列で計上)",IF(AND($E413="⑬計量工程入力",OR($D413="個",$D413="切",$D413="本",$D413="枚",$D413="尾")),"① 未紐づけ(カット個単位は仮単価なし)","① 未紐づけ"))),IF(NOT(ISNUMBER($H413)),"② 工程側に単価なし",IF($D413="","③ 単位未設定(個で計算)","④ OK"))))</f>
        <v/>
      </c>
      <c r="J413" s="399">
        <f>IFERROR(LOOKUP(2,1/((中間品リスト!$F$2:$F$1299=$B413)*(中間品リスト!$E$2:$E$1299&lt;&gt;"-")*(中間品リスト!$E$2:$E$1299&lt;&gt;"")),中間品リスト!$E$2:$E$1299),"")</f>
        <v/>
      </c>
      <c r="K413" s="400">
        <f>IF($J413="",0,COUNTIF(②釜工程入力!$S$5:$S$117,$J413)+COUNTIF(③スチコン工程入力!$S$5:$S$152,$J413)+COUNTIF(⑪ZEN工程入力!$S$6:$S$35,$J413)+COUNTIF(⑫ミキサー工程入力!$S$6:$S$65,$J413)+COUNTIF(⑬計量工程入力!$S$6:$S$65,$J413)+COUNTIF(⑭手動工程入力!$S$6:$S$47,$J413))</f>
        <v/>
      </c>
      <c r="L413" s="393">
        <f>IF($J413="",0,SUMIFS(②釜工程入力!$M$5:$M$117,②釜工程入力!$S$5:$S$117,$J413,②釜工程入力!$I$5:$I$117,"&gt;0")+SUMIFS(③スチコン工程入力!$M$5:$M$152,③スチコン工程入力!$S$5:$S$152,$J413,③スチコン工程入力!$I$5:$I$152,"&gt;0")+SUMIFS(⑪ZEN工程入力!$M$6:$M$35,⑪ZEN工程入力!$S$6:$S$35,$J413,⑪ZEN工程入力!$I$6:$I$35,"&gt;0")+SUMIFS(⑫ミキサー工程入力!$M$6:$M$65,⑫ミキサー工程入力!$S$6:$S$65,$J413,⑫ミキサー工程入力!$I$6:$I$65,"&gt;0")+SUMIFS(⑬計量工程入力!$M$6:$M$65,⑬計量工程入力!$S$6:$S$65,$J413,⑬計量工程入力!$I$6:$I$65,"&gt;0")+SUMIFS(⑭手動工程入力!$M$6:$M$47,⑭手動工程入力!$S$6:$S$47,$J413,⑭手動工程入力!$I$6:$I$47,"&gt;0"))</f>
        <v/>
      </c>
      <c r="M413" s="393">
        <f>IF($J413="",0,SUMIFS(②釜工程入力!$I$5:$I$117,②釜工程入力!$S$5:$S$117,$J413,②釜工程入力!$I$5:$I$117,"&gt;0",②釜工程入力!$M$5:$M$117,"&gt;0")+SUMIFS(③スチコン工程入力!$I$5:$I$152,③スチコン工程入力!$S$5:$S$152,$J413,③スチコン工程入力!$I$5:$I$152,"&gt;0",③スチコン工程入力!$M$5:$M$152,"&gt;0")+SUMIFS(⑪ZEN工程入力!$I$6:$I$35,⑪ZEN工程入力!$S$6:$S$35,$J413,⑪ZEN工程入力!$I$6:$I$35,"&gt;0",⑪ZEN工程入力!$M$6:$M$35,"&gt;0")+SUMIFS(⑫ミキサー工程入力!$I$6:$I$65,⑫ミキサー工程入力!$S$6:$S$65,$J413,⑫ミキサー工程入力!$I$6:$I$65,"&gt;0",⑫ミキサー工程入力!$M$6:$M$65,"&gt;0")+SUMIFS(⑬計量工程入力!$I$6:$I$65,⑬計量工程入力!$S$6:$S$65,$J413,⑬計量工程入力!$I$6:$I$65,"&gt;0",⑬計量工程入力!$M$6:$M$65,"&gt;0")+SUMIFS(⑭手動工程入力!$I$6:$I$47,⑭手動工程入力!$S$6:$S$47,$J413,⑭手動工程入力!$I$6:$I$47,"&gt;0",⑭手動工程入力!$M$6:$M$47,"&gt;0"))</f>
        <v/>
      </c>
      <c r="N413" s="393">
        <f>IF($J413="",0,SUMIFS(②釜工程入力!$M$5:$M$117,②釜工程入力!$S$5:$S$117,$J413,②釜工程入力!$J$5:$J$117,"&gt;0")-SUMIFS(②釜工程入力!$M$5:$M$117,②釜工程入力!$S$5:$S$117,$J413,②釜工程入力!$J$5:$J$117,"&gt;0",②釜工程入力!$I$5:$I$117,"&gt;0")+SUMIFS(③スチコン工程入力!$M$5:$M$152,③スチコン工程入力!$S$5:$S$152,$J413,③スチコン工程入力!$J$5:$J$152,"&gt;0")-SUMIFS(③スチコン工程入力!$M$5:$M$152,③スチコン工程入力!$S$5:$S$152,$J413,③スチコン工程入力!$J$5:$J$152,"&gt;0",③スチコン工程入力!$I$5:$I$152,"&gt;0")+SUMIFS(⑪ZEN工程入力!$M$6:$M$35,⑪ZEN工程入力!$S$6:$S$35,$J413,⑪ZEN工程入力!$J$6:$J$35,"&gt;0")-SUMIFS(⑪ZEN工程入力!$M$6:$M$35,⑪ZEN工程入力!$S$6:$S$35,$J413,⑪ZEN工程入力!$J$6:$J$35,"&gt;0",⑪ZEN工程入力!$I$6:$I$35,"&gt;0")+SUMIFS(⑫ミキサー工程入力!$M$6:$M$65,⑫ミキサー工程入力!$S$6:$S$65,$J413,⑫ミキサー工程入力!$J$6:$J$65,"&gt;0")-SUMIFS(⑫ミキサー工程入力!$M$6:$M$65,⑫ミキサー工程入力!$S$6:$S$65,$J413,⑫ミキサー工程入力!$J$6:$J$65,"&gt;0",⑫ミキサー工程入力!$I$6:$I$65,"&gt;0")+SUMIFS(⑬計量工程入力!$M$6:$M$65,⑬計量工程入力!$S$6:$S$65,$J413,⑬計量工程入力!$J$6:$J$65,"&gt;0")-SUMIFS(⑬計量工程入力!$M$6:$M$65,⑬計量工程入力!$S$6:$S$65,$J413,⑬計量工程入力!$J$6:$J$65,"&gt;0",⑬計量工程入力!$I$6:$I$65,"&gt;0")+SUMIFS(⑭手動工程入力!$M$6:$M$47,⑭手動工程入力!$S$6:$S$47,$J413,⑭手動工程入力!$J$6:$J$47,"&gt;0")-SUMIFS(⑭手動工程入力!$M$6:$M$47,⑭手動工程入力!$S$6:$S$47,$J413,⑭手動工程入力!$J$6:$J$47,"&gt;0",⑭手動工程入力!$I$6:$I$47,"&gt;0"))</f>
        <v/>
      </c>
      <c r="O413" s="393">
        <f>IF($J413="",0,SUMIFS(②釜工程入力!$J$5:$J$117,②釜工程入力!$S$5:$S$117,$J413,②釜工程入力!$J$5:$J$117,"&gt;0",②釜工程入力!$M$5:$M$117,"&gt;0")-SUMIFS(②釜工程入力!$J$5:$J$117,②釜工程入力!$S$5:$S$117,$J413,②釜工程入力!$J$5:$J$117,"&gt;0",②釜工程入力!$I$5:$I$117,"&gt;0",②釜工程入力!$M$5:$M$117,"&gt;0")+SUMIFS(③スチコン工程入力!$J$5:$J$152,③スチコン工程入力!$S$5:$S$152,$J413,③スチコン工程入力!$J$5:$J$152,"&gt;0",③スチコン工程入力!$M$5:$M$152,"&gt;0")-SUMIFS(③スチコン工程入力!$J$5:$J$152,③スチコン工程入力!$S$5:$S$152,$J413,③スチコン工程入力!$J$5:$J$152,"&gt;0",③スチコン工程入力!$I$5:$I$152,"&gt;0",③スチコン工程入力!$M$5:$M$152,"&gt;0")+SUMIFS(⑪ZEN工程入力!$J$6:$J$35,⑪ZEN工程入力!$S$6:$S$35,$J413,⑪ZEN工程入力!$J$6:$J$35,"&gt;0",⑪ZEN工程入力!$M$6:$M$35,"&gt;0")-SUMIFS(⑪ZEN工程入力!$J$6:$J$35,⑪ZEN工程入力!$S$6:$S$35,$J413,⑪ZEN工程入力!$J$6:$J$35,"&gt;0",⑪ZEN工程入力!$I$6:$I$35,"&gt;0",⑪ZEN工程入力!$M$6:$M$35,"&gt;0")+SUMIFS(⑫ミキサー工程入力!$J$6:$J$65,⑫ミキサー工程入力!$S$6:$S$65,$J413,⑫ミキサー工程入力!$J$6:$J$65,"&gt;0",⑫ミキサー工程入力!$M$6:$M$65,"&gt;0")-SUMIFS(⑫ミキサー工程入力!$J$6:$J$65,⑫ミキサー工程入力!$S$6:$S$65,$J413,⑫ミキサー工程入力!$J$6:$J$65,"&gt;0",⑫ミキサー工程入力!$I$6:$I$65,"&gt;0",⑫ミキサー工程入力!$M$6:$M$65,"&gt;0")+SUMIFS(⑬計量工程入力!$J$6:$J$65,⑬計量工程入力!$S$6:$S$65,$J413,⑬計量工程入力!$J$6:$J$65,"&gt;0",⑬計量工程入力!$M$6:$M$65,"&gt;0")-SUMIFS(⑬計量工程入力!$J$6:$J$65,⑬計量工程入力!$S$6:$S$65,$J413,⑬計量工程入力!$J$6:$J$65,"&gt;0",⑬計量工程入力!$I$6:$I$65,"&gt;0",⑬計量工程入力!$M$6:$M$65,"&gt;0")+SUMIFS(⑭手動工程入力!$J$6:$J$47,⑭手動工程入力!$S$6:$S$47,$J413,⑭手動工程入力!$J$6:$J$47,"&gt;0",⑭手動工程入力!$M$6:$M$47,"&gt;0")-SUMIFS(⑭手動工程入力!$J$6:$J$47,⑭手動工程入力!$S$6:$S$47,$J413,⑭手動工程入力!$J$6:$J$47,"&gt;0",⑭手動工程入力!$I$6:$I$47,"&gt;0",⑭手動工程入力!$M$6:$M$47,"&gt;0"))</f>
        <v/>
      </c>
      <c r="P413" s="392" t="inlineStr">
        <is>
          <t>中間品リスト</t>
        </is>
      </c>
    </row>
    <row r="414">
      <c r="A414" s="392" t="n">
        <v>410</v>
      </c>
      <c r="B414" s="392" t="n"/>
      <c r="C414" s="392" t="n"/>
      <c r="D414" s="409" t="n"/>
      <c r="E414" s="392" t="n"/>
      <c r="F414" s="394" t="n"/>
      <c r="G414" s="392" t="n"/>
      <c r="H414" s="604">
        <f>IFERROR(IF(AND($K414&gt;0,ISNUMBER(IF(OR($D414="g",$D414="ｇ"),IF($M414&gt;0,$L414/$M414/1000,""),IF($D414="kg",IF($M414&gt;0,$L414/$M414,""),IF($D414="",IF($M414&gt;0,$L414/$M414/1000,IF($O414&gt;0,$N414/$O414,"")),IF($O414&gt;0,$N414/$O414,"")))))),IF(OR($D414="g",$D414="ｇ"),IF($M414&gt;0,$L414/$M414/1000,""),IF($D414="kg",IF($M414&gt;0,$L414/$M414,""),IF($D414="",IF($M414&gt;0,$L414/$M414/1000,IF($O414&gt;0,$N414/$O414,"")),IF($O414&gt;0,$N414/$O414,"")))),IF($F414="",IF(OR($E414="",$E414="⑩盛付梱包工程入力"),"",IF(OR($D414="g",$D414="ｇ"),INDEX(⑰工程労務費一覧!$N$5:$N$11,MATCH($E414,⑰工程労務費一覧!$K$5:$K$11,0))/1000,IF($D414="kg",INDEX(⑰工程労務費一覧!$N$5:$N$11,MATCH($E414,⑰工程労務費一覧!$K$5:$K$11,0)),IF(OR($D414="個",$D414="切",$D414="本",$D414="枚",$D414="尾"),IF($E414="⑬計量工程入力","",INDEX(⑰工程労務費一覧!$P$5:$P$11,MATCH($E414,⑰工程労務費一覧!$K$5:$K$11,0))),IF(AND($D414="",OR($E414="②釜工程入力",$E414="③スチコン工程入力")),INDEX(⑰工程労務費一覧!$N$5:$N$11,MATCH($E414,⑰工程労務費一覧!$K$5:$K$11,0))/1000,""))))),IF(OR($D414="g",$D414="ｇ"),INDEX(⑰工程労務費一覧!$H$5:$H$753,MATCH($F414,⑰工程労務費一覧!$D$5:$D$753,0))/1000,IF($D414="kg",INDEX(⑰工程労務費一覧!$H$5:$H$753,MATCH($F414,⑰工程労務費一覧!$D$5:$D$753,0)),INDEX(⑰工程労務費一覧!$I$5:$I$753,MATCH($F414,⑰工程労務費一覧!$D$5:$D$753,0)))))),"")</f>
        <v/>
      </c>
      <c r="I414" s="392">
        <f>IF($K414&gt;0,IF(ISNUMBER(IF(OR($D414="g",$D414="ｇ"),IF($M414&gt;0,$L414/$M414/1000,""),IF($D414="kg",IF($M414&gt;0,$L414/$M414,""),IF($D414="",IF($M414&gt;0,$L414/$M414/1000,IF($O414&gt;0,$N414/$O414,"")),IF($O414&gt;0,$N414/$O414,""))))),IF($D414="",IF($M414&gt;0,"◎ JAN紐づけ(g扱い)","◎ JAN紐づけ(個扱い)"),"◎ JAN紐づけ"),"△ JAN紐づけ済・実績不足→仮計算"),IF($F414="",IF(ISNUMBER($H414),IF($D414="","⑤ 工程平均で仮計算(g扱い)","⑤ 工程平均で仮計算"),IF($E414="⑩盛付梱包工程入力","⑥ 盛り込み(⑳F列で計上)",IF(AND($E414="⑬計量工程入力",OR($D414="個",$D414="切",$D414="本",$D414="枚",$D414="尾")),"① 未紐づけ(カット個単位は仮単価なし)","① 未紐づけ"))),IF(NOT(ISNUMBER($H414)),"② 工程側に単価なし",IF($D414="","③ 単位未設定(個で計算)","④ OK"))))</f>
        <v/>
      </c>
      <c r="J414" s="399">
        <f>IFERROR(LOOKUP(2,1/((中間品リスト!$F$2:$F$1299=$B414)*(中間品リスト!$E$2:$E$1299&lt;&gt;"-")*(中間品リスト!$E$2:$E$1299&lt;&gt;"")),中間品リスト!$E$2:$E$1299),"")</f>
        <v/>
      </c>
      <c r="K414" s="400">
        <f>IF($J414="",0,COUNTIF(②釜工程入力!$S$5:$S$117,$J414)+COUNTIF(③スチコン工程入力!$S$5:$S$152,$J414)+COUNTIF(⑪ZEN工程入力!$S$6:$S$35,$J414)+COUNTIF(⑫ミキサー工程入力!$S$6:$S$65,$J414)+COUNTIF(⑬計量工程入力!$S$6:$S$65,$J414)+COUNTIF(⑭手動工程入力!$S$6:$S$47,$J414))</f>
        <v/>
      </c>
      <c r="L414" s="393">
        <f>IF($J414="",0,SUMIFS(②釜工程入力!$M$5:$M$117,②釜工程入力!$S$5:$S$117,$J414,②釜工程入力!$I$5:$I$117,"&gt;0")+SUMIFS(③スチコン工程入力!$M$5:$M$152,③スチコン工程入力!$S$5:$S$152,$J414,③スチコン工程入力!$I$5:$I$152,"&gt;0")+SUMIFS(⑪ZEN工程入力!$M$6:$M$35,⑪ZEN工程入力!$S$6:$S$35,$J414,⑪ZEN工程入力!$I$6:$I$35,"&gt;0")+SUMIFS(⑫ミキサー工程入力!$M$6:$M$65,⑫ミキサー工程入力!$S$6:$S$65,$J414,⑫ミキサー工程入力!$I$6:$I$65,"&gt;0")+SUMIFS(⑬計量工程入力!$M$6:$M$65,⑬計量工程入力!$S$6:$S$65,$J414,⑬計量工程入力!$I$6:$I$65,"&gt;0")+SUMIFS(⑭手動工程入力!$M$6:$M$47,⑭手動工程入力!$S$6:$S$47,$J414,⑭手動工程入力!$I$6:$I$47,"&gt;0"))</f>
        <v/>
      </c>
      <c r="M414" s="393">
        <f>IF($J414="",0,SUMIFS(②釜工程入力!$I$5:$I$117,②釜工程入力!$S$5:$S$117,$J414,②釜工程入力!$I$5:$I$117,"&gt;0",②釜工程入力!$M$5:$M$117,"&gt;0")+SUMIFS(③スチコン工程入力!$I$5:$I$152,③スチコン工程入力!$S$5:$S$152,$J414,③スチコン工程入力!$I$5:$I$152,"&gt;0",③スチコン工程入力!$M$5:$M$152,"&gt;0")+SUMIFS(⑪ZEN工程入力!$I$6:$I$35,⑪ZEN工程入力!$S$6:$S$35,$J414,⑪ZEN工程入力!$I$6:$I$35,"&gt;0",⑪ZEN工程入力!$M$6:$M$35,"&gt;0")+SUMIFS(⑫ミキサー工程入力!$I$6:$I$65,⑫ミキサー工程入力!$S$6:$S$65,$J414,⑫ミキサー工程入力!$I$6:$I$65,"&gt;0",⑫ミキサー工程入力!$M$6:$M$65,"&gt;0")+SUMIFS(⑬計量工程入力!$I$6:$I$65,⑬計量工程入力!$S$6:$S$65,$J414,⑬計量工程入力!$I$6:$I$65,"&gt;0",⑬計量工程入力!$M$6:$M$65,"&gt;0")+SUMIFS(⑭手動工程入力!$I$6:$I$47,⑭手動工程入力!$S$6:$S$47,$J414,⑭手動工程入力!$I$6:$I$47,"&gt;0",⑭手動工程入力!$M$6:$M$47,"&gt;0"))</f>
        <v/>
      </c>
      <c r="N414" s="393">
        <f>IF($J414="",0,SUMIFS(②釜工程入力!$M$5:$M$117,②釜工程入力!$S$5:$S$117,$J414,②釜工程入力!$J$5:$J$117,"&gt;0")-SUMIFS(②釜工程入力!$M$5:$M$117,②釜工程入力!$S$5:$S$117,$J414,②釜工程入力!$J$5:$J$117,"&gt;0",②釜工程入力!$I$5:$I$117,"&gt;0")+SUMIFS(③スチコン工程入力!$M$5:$M$152,③スチコン工程入力!$S$5:$S$152,$J414,③スチコン工程入力!$J$5:$J$152,"&gt;0")-SUMIFS(③スチコン工程入力!$M$5:$M$152,③スチコン工程入力!$S$5:$S$152,$J414,③スチコン工程入力!$J$5:$J$152,"&gt;0",③スチコン工程入力!$I$5:$I$152,"&gt;0")+SUMIFS(⑪ZEN工程入力!$M$6:$M$35,⑪ZEN工程入力!$S$6:$S$35,$J414,⑪ZEN工程入力!$J$6:$J$35,"&gt;0")-SUMIFS(⑪ZEN工程入力!$M$6:$M$35,⑪ZEN工程入力!$S$6:$S$35,$J414,⑪ZEN工程入力!$J$6:$J$35,"&gt;0",⑪ZEN工程入力!$I$6:$I$35,"&gt;0")+SUMIFS(⑫ミキサー工程入力!$M$6:$M$65,⑫ミキサー工程入力!$S$6:$S$65,$J414,⑫ミキサー工程入力!$J$6:$J$65,"&gt;0")-SUMIFS(⑫ミキサー工程入力!$M$6:$M$65,⑫ミキサー工程入力!$S$6:$S$65,$J414,⑫ミキサー工程入力!$J$6:$J$65,"&gt;0",⑫ミキサー工程入力!$I$6:$I$65,"&gt;0")+SUMIFS(⑬計量工程入力!$M$6:$M$65,⑬計量工程入力!$S$6:$S$65,$J414,⑬計量工程入力!$J$6:$J$65,"&gt;0")-SUMIFS(⑬計量工程入力!$M$6:$M$65,⑬計量工程入力!$S$6:$S$65,$J414,⑬計量工程入力!$J$6:$J$65,"&gt;0",⑬計量工程入力!$I$6:$I$65,"&gt;0")+SUMIFS(⑭手動工程入力!$M$6:$M$47,⑭手動工程入力!$S$6:$S$47,$J414,⑭手動工程入力!$J$6:$J$47,"&gt;0")-SUMIFS(⑭手動工程入力!$M$6:$M$47,⑭手動工程入力!$S$6:$S$47,$J414,⑭手動工程入力!$J$6:$J$47,"&gt;0",⑭手動工程入力!$I$6:$I$47,"&gt;0"))</f>
        <v/>
      </c>
      <c r="O414" s="393">
        <f>IF($J414="",0,SUMIFS(②釜工程入力!$J$5:$J$117,②釜工程入力!$S$5:$S$117,$J414,②釜工程入力!$J$5:$J$117,"&gt;0",②釜工程入力!$M$5:$M$117,"&gt;0")-SUMIFS(②釜工程入力!$J$5:$J$117,②釜工程入力!$S$5:$S$117,$J414,②釜工程入力!$J$5:$J$117,"&gt;0",②釜工程入力!$I$5:$I$117,"&gt;0",②釜工程入力!$M$5:$M$117,"&gt;0")+SUMIFS(③スチコン工程入力!$J$5:$J$152,③スチコン工程入力!$S$5:$S$152,$J414,③スチコン工程入力!$J$5:$J$152,"&gt;0",③スチコン工程入力!$M$5:$M$152,"&gt;0")-SUMIFS(③スチコン工程入力!$J$5:$J$152,③スチコン工程入力!$S$5:$S$152,$J414,③スチコン工程入力!$J$5:$J$152,"&gt;0",③スチコン工程入力!$I$5:$I$152,"&gt;0",③スチコン工程入力!$M$5:$M$152,"&gt;0")+SUMIFS(⑪ZEN工程入力!$J$6:$J$35,⑪ZEN工程入力!$S$6:$S$35,$J414,⑪ZEN工程入力!$J$6:$J$35,"&gt;0",⑪ZEN工程入力!$M$6:$M$35,"&gt;0")-SUMIFS(⑪ZEN工程入力!$J$6:$J$35,⑪ZEN工程入力!$S$6:$S$35,$J414,⑪ZEN工程入力!$J$6:$J$35,"&gt;0",⑪ZEN工程入力!$I$6:$I$35,"&gt;0",⑪ZEN工程入力!$M$6:$M$35,"&gt;0")+SUMIFS(⑫ミキサー工程入力!$J$6:$J$65,⑫ミキサー工程入力!$S$6:$S$65,$J414,⑫ミキサー工程入力!$J$6:$J$65,"&gt;0",⑫ミキサー工程入力!$M$6:$M$65,"&gt;0")-SUMIFS(⑫ミキサー工程入力!$J$6:$J$65,⑫ミキサー工程入力!$S$6:$S$65,$J414,⑫ミキサー工程入力!$J$6:$J$65,"&gt;0",⑫ミキサー工程入力!$I$6:$I$65,"&gt;0",⑫ミキサー工程入力!$M$6:$M$65,"&gt;0")+SUMIFS(⑬計量工程入力!$J$6:$J$65,⑬計量工程入力!$S$6:$S$65,$J414,⑬計量工程入力!$J$6:$J$65,"&gt;0",⑬計量工程入力!$M$6:$M$65,"&gt;0")-SUMIFS(⑬計量工程入力!$J$6:$J$65,⑬計量工程入力!$S$6:$S$65,$J414,⑬計量工程入力!$J$6:$J$65,"&gt;0",⑬計量工程入力!$I$6:$I$65,"&gt;0",⑬計量工程入力!$M$6:$M$65,"&gt;0")+SUMIFS(⑭手動工程入力!$J$6:$J$47,⑭手動工程入力!$S$6:$S$47,$J414,⑭手動工程入力!$J$6:$J$47,"&gt;0",⑭手動工程入力!$M$6:$M$47,"&gt;0")-SUMIFS(⑭手動工程入力!$J$6:$J$47,⑭手動工程入力!$S$6:$S$47,$J414,⑭手動工程入力!$J$6:$J$47,"&gt;0",⑭手動工程入力!$I$6:$I$47,"&gt;0",⑭手動工程入力!$M$6:$M$47,"&gt;0"))</f>
        <v/>
      </c>
      <c r="P414" s="392" t="inlineStr">
        <is>
          <t>中間品リスト</t>
        </is>
      </c>
    </row>
    <row r="415">
      <c r="A415" s="392" t="n">
        <v>411</v>
      </c>
      <c r="B415" s="392" t="n"/>
      <c r="C415" s="392" t="n"/>
      <c r="D415" s="409" t="n"/>
      <c r="E415" s="392" t="n"/>
      <c r="F415" s="394" t="n"/>
      <c r="G415" s="392" t="n"/>
      <c r="H415" s="604">
        <f>IFERROR(IF(AND($K415&gt;0,ISNUMBER(IF(OR($D415="g",$D415="ｇ"),IF($M415&gt;0,$L415/$M415/1000,""),IF($D415="kg",IF($M415&gt;0,$L415/$M415,""),IF($D415="",IF($M415&gt;0,$L415/$M415/1000,IF($O415&gt;0,$N415/$O415,"")),IF($O415&gt;0,$N415/$O415,"")))))),IF(OR($D415="g",$D415="ｇ"),IF($M415&gt;0,$L415/$M415/1000,""),IF($D415="kg",IF($M415&gt;0,$L415/$M415,""),IF($D415="",IF($M415&gt;0,$L415/$M415/1000,IF($O415&gt;0,$N415/$O415,"")),IF($O415&gt;0,$N415/$O415,"")))),IF($F415="",IF(OR($E415="",$E415="⑩盛付梱包工程入力"),"",IF(OR($D415="g",$D415="ｇ"),INDEX(⑰工程労務費一覧!$N$5:$N$11,MATCH($E415,⑰工程労務費一覧!$K$5:$K$11,0))/1000,IF($D415="kg",INDEX(⑰工程労務費一覧!$N$5:$N$11,MATCH($E415,⑰工程労務費一覧!$K$5:$K$11,0)),IF(OR($D415="個",$D415="切",$D415="本",$D415="枚",$D415="尾"),IF($E415="⑬計量工程入力","",INDEX(⑰工程労務費一覧!$P$5:$P$11,MATCH($E415,⑰工程労務費一覧!$K$5:$K$11,0))),IF(AND($D415="",OR($E415="②釜工程入力",$E415="③スチコン工程入力")),INDEX(⑰工程労務費一覧!$N$5:$N$11,MATCH($E415,⑰工程労務費一覧!$K$5:$K$11,0))/1000,""))))),IF(OR($D415="g",$D415="ｇ"),INDEX(⑰工程労務費一覧!$H$5:$H$753,MATCH($F415,⑰工程労務費一覧!$D$5:$D$753,0))/1000,IF($D415="kg",INDEX(⑰工程労務費一覧!$H$5:$H$753,MATCH($F415,⑰工程労務費一覧!$D$5:$D$753,0)),INDEX(⑰工程労務費一覧!$I$5:$I$753,MATCH($F415,⑰工程労務費一覧!$D$5:$D$753,0)))))),"")</f>
        <v/>
      </c>
      <c r="I415" s="392">
        <f>IF($K415&gt;0,IF(ISNUMBER(IF(OR($D415="g",$D415="ｇ"),IF($M415&gt;0,$L415/$M415/1000,""),IF($D415="kg",IF($M415&gt;0,$L415/$M415,""),IF($D415="",IF($M415&gt;0,$L415/$M415/1000,IF($O415&gt;0,$N415/$O415,"")),IF($O415&gt;0,$N415/$O415,""))))),IF($D415="",IF($M415&gt;0,"◎ JAN紐づけ(g扱い)","◎ JAN紐づけ(個扱い)"),"◎ JAN紐づけ"),"△ JAN紐づけ済・実績不足→仮計算"),IF($F415="",IF(ISNUMBER($H415),IF($D415="","⑤ 工程平均で仮計算(g扱い)","⑤ 工程平均で仮計算"),IF($E415="⑩盛付梱包工程入力","⑥ 盛り込み(⑳F列で計上)",IF(AND($E415="⑬計量工程入力",OR($D415="個",$D415="切",$D415="本",$D415="枚",$D415="尾")),"① 未紐づけ(カット個単位は仮単価なし)","① 未紐づけ"))),IF(NOT(ISNUMBER($H415)),"② 工程側に単価なし",IF($D415="","③ 単位未設定(個で計算)","④ OK"))))</f>
        <v/>
      </c>
      <c r="J415" s="399">
        <f>IFERROR(LOOKUP(2,1/((中間品リスト!$F$2:$F$1299=$B415)*(中間品リスト!$E$2:$E$1299&lt;&gt;"-")*(中間品リスト!$E$2:$E$1299&lt;&gt;"")),中間品リスト!$E$2:$E$1299),"")</f>
        <v/>
      </c>
      <c r="K415" s="400">
        <f>IF($J415="",0,COUNTIF(②釜工程入力!$S$5:$S$117,$J415)+COUNTIF(③スチコン工程入力!$S$5:$S$152,$J415)+COUNTIF(⑪ZEN工程入力!$S$6:$S$35,$J415)+COUNTIF(⑫ミキサー工程入力!$S$6:$S$65,$J415)+COUNTIF(⑬計量工程入力!$S$6:$S$65,$J415)+COUNTIF(⑭手動工程入力!$S$6:$S$47,$J415))</f>
        <v/>
      </c>
      <c r="L415" s="393">
        <f>IF($J415="",0,SUMIFS(②釜工程入力!$M$5:$M$117,②釜工程入力!$S$5:$S$117,$J415,②釜工程入力!$I$5:$I$117,"&gt;0")+SUMIFS(③スチコン工程入力!$M$5:$M$152,③スチコン工程入力!$S$5:$S$152,$J415,③スチコン工程入力!$I$5:$I$152,"&gt;0")+SUMIFS(⑪ZEN工程入力!$M$6:$M$35,⑪ZEN工程入力!$S$6:$S$35,$J415,⑪ZEN工程入力!$I$6:$I$35,"&gt;0")+SUMIFS(⑫ミキサー工程入力!$M$6:$M$65,⑫ミキサー工程入力!$S$6:$S$65,$J415,⑫ミキサー工程入力!$I$6:$I$65,"&gt;0")+SUMIFS(⑬計量工程入力!$M$6:$M$65,⑬計量工程入力!$S$6:$S$65,$J415,⑬計量工程入力!$I$6:$I$65,"&gt;0")+SUMIFS(⑭手動工程入力!$M$6:$M$47,⑭手動工程入力!$S$6:$S$47,$J415,⑭手動工程入力!$I$6:$I$47,"&gt;0"))</f>
        <v/>
      </c>
      <c r="M415" s="393">
        <f>IF($J415="",0,SUMIFS(②釜工程入力!$I$5:$I$117,②釜工程入力!$S$5:$S$117,$J415,②釜工程入力!$I$5:$I$117,"&gt;0",②釜工程入力!$M$5:$M$117,"&gt;0")+SUMIFS(③スチコン工程入力!$I$5:$I$152,③スチコン工程入力!$S$5:$S$152,$J415,③スチコン工程入力!$I$5:$I$152,"&gt;0",③スチコン工程入力!$M$5:$M$152,"&gt;0")+SUMIFS(⑪ZEN工程入力!$I$6:$I$35,⑪ZEN工程入力!$S$6:$S$35,$J415,⑪ZEN工程入力!$I$6:$I$35,"&gt;0",⑪ZEN工程入力!$M$6:$M$35,"&gt;0")+SUMIFS(⑫ミキサー工程入力!$I$6:$I$65,⑫ミキサー工程入力!$S$6:$S$65,$J415,⑫ミキサー工程入力!$I$6:$I$65,"&gt;0",⑫ミキサー工程入力!$M$6:$M$65,"&gt;0")+SUMIFS(⑬計量工程入力!$I$6:$I$65,⑬計量工程入力!$S$6:$S$65,$J415,⑬計量工程入力!$I$6:$I$65,"&gt;0",⑬計量工程入力!$M$6:$M$65,"&gt;0")+SUMIFS(⑭手動工程入力!$I$6:$I$47,⑭手動工程入力!$S$6:$S$47,$J415,⑭手動工程入力!$I$6:$I$47,"&gt;0",⑭手動工程入力!$M$6:$M$47,"&gt;0"))</f>
        <v/>
      </c>
      <c r="N415" s="393">
        <f>IF($J415="",0,SUMIFS(②釜工程入力!$M$5:$M$117,②釜工程入力!$S$5:$S$117,$J415,②釜工程入力!$J$5:$J$117,"&gt;0")-SUMIFS(②釜工程入力!$M$5:$M$117,②釜工程入力!$S$5:$S$117,$J415,②釜工程入力!$J$5:$J$117,"&gt;0",②釜工程入力!$I$5:$I$117,"&gt;0")+SUMIFS(③スチコン工程入力!$M$5:$M$152,③スチコン工程入力!$S$5:$S$152,$J415,③スチコン工程入力!$J$5:$J$152,"&gt;0")-SUMIFS(③スチコン工程入力!$M$5:$M$152,③スチコン工程入力!$S$5:$S$152,$J415,③スチコン工程入力!$J$5:$J$152,"&gt;0",③スチコン工程入力!$I$5:$I$152,"&gt;0")+SUMIFS(⑪ZEN工程入力!$M$6:$M$35,⑪ZEN工程入力!$S$6:$S$35,$J415,⑪ZEN工程入力!$J$6:$J$35,"&gt;0")-SUMIFS(⑪ZEN工程入力!$M$6:$M$35,⑪ZEN工程入力!$S$6:$S$35,$J415,⑪ZEN工程入力!$J$6:$J$35,"&gt;0",⑪ZEN工程入力!$I$6:$I$35,"&gt;0")+SUMIFS(⑫ミキサー工程入力!$M$6:$M$65,⑫ミキサー工程入力!$S$6:$S$65,$J415,⑫ミキサー工程入力!$J$6:$J$65,"&gt;0")-SUMIFS(⑫ミキサー工程入力!$M$6:$M$65,⑫ミキサー工程入力!$S$6:$S$65,$J415,⑫ミキサー工程入力!$J$6:$J$65,"&gt;0",⑫ミキサー工程入力!$I$6:$I$65,"&gt;0")+SUMIFS(⑬計量工程入力!$M$6:$M$65,⑬計量工程入力!$S$6:$S$65,$J415,⑬計量工程入力!$J$6:$J$65,"&gt;0")-SUMIFS(⑬計量工程入力!$M$6:$M$65,⑬計量工程入力!$S$6:$S$65,$J415,⑬計量工程入力!$J$6:$J$65,"&gt;0",⑬計量工程入力!$I$6:$I$65,"&gt;0")+SUMIFS(⑭手動工程入力!$M$6:$M$47,⑭手動工程入力!$S$6:$S$47,$J415,⑭手動工程入力!$J$6:$J$47,"&gt;0")-SUMIFS(⑭手動工程入力!$M$6:$M$47,⑭手動工程入力!$S$6:$S$47,$J415,⑭手動工程入力!$J$6:$J$47,"&gt;0",⑭手動工程入力!$I$6:$I$47,"&gt;0"))</f>
        <v/>
      </c>
      <c r="O415" s="393">
        <f>IF($J415="",0,SUMIFS(②釜工程入力!$J$5:$J$117,②釜工程入力!$S$5:$S$117,$J415,②釜工程入力!$J$5:$J$117,"&gt;0",②釜工程入力!$M$5:$M$117,"&gt;0")-SUMIFS(②釜工程入力!$J$5:$J$117,②釜工程入力!$S$5:$S$117,$J415,②釜工程入力!$J$5:$J$117,"&gt;0",②釜工程入力!$I$5:$I$117,"&gt;0",②釜工程入力!$M$5:$M$117,"&gt;0")+SUMIFS(③スチコン工程入力!$J$5:$J$152,③スチコン工程入力!$S$5:$S$152,$J415,③スチコン工程入力!$J$5:$J$152,"&gt;0",③スチコン工程入力!$M$5:$M$152,"&gt;0")-SUMIFS(③スチコン工程入力!$J$5:$J$152,③スチコン工程入力!$S$5:$S$152,$J415,③スチコン工程入力!$J$5:$J$152,"&gt;0",③スチコン工程入力!$I$5:$I$152,"&gt;0",③スチコン工程入力!$M$5:$M$152,"&gt;0")+SUMIFS(⑪ZEN工程入力!$J$6:$J$35,⑪ZEN工程入力!$S$6:$S$35,$J415,⑪ZEN工程入力!$J$6:$J$35,"&gt;0",⑪ZEN工程入力!$M$6:$M$35,"&gt;0")-SUMIFS(⑪ZEN工程入力!$J$6:$J$35,⑪ZEN工程入力!$S$6:$S$35,$J415,⑪ZEN工程入力!$J$6:$J$35,"&gt;0",⑪ZEN工程入力!$I$6:$I$35,"&gt;0",⑪ZEN工程入力!$M$6:$M$35,"&gt;0")+SUMIFS(⑫ミキサー工程入力!$J$6:$J$65,⑫ミキサー工程入力!$S$6:$S$65,$J415,⑫ミキサー工程入力!$J$6:$J$65,"&gt;0",⑫ミキサー工程入力!$M$6:$M$65,"&gt;0")-SUMIFS(⑫ミキサー工程入力!$J$6:$J$65,⑫ミキサー工程入力!$S$6:$S$65,$J415,⑫ミキサー工程入力!$J$6:$J$65,"&gt;0",⑫ミキサー工程入力!$I$6:$I$65,"&gt;0",⑫ミキサー工程入力!$M$6:$M$65,"&gt;0")+SUMIFS(⑬計量工程入力!$J$6:$J$65,⑬計量工程入力!$S$6:$S$65,$J415,⑬計量工程入力!$J$6:$J$65,"&gt;0",⑬計量工程入力!$M$6:$M$65,"&gt;0")-SUMIFS(⑬計量工程入力!$J$6:$J$65,⑬計量工程入力!$S$6:$S$65,$J415,⑬計量工程入力!$J$6:$J$65,"&gt;0",⑬計量工程入力!$I$6:$I$65,"&gt;0",⑬計量工程入力!$M$6:$M$65,"&gt;0")+SUMIFS(⑭手動工程入力!$J$6:$J$47,⑭手動工程入力!$S$6:$S$47,$J415,⑭手動工程入力!$J$6:$J$47,"&gt;0",⑭手動工程入力!$M$6:$M$47,"&gt;0")-SUMIFS(⑭手動工程入力!$J$6:$J$47,⑭手動工程入力!$S$6:$S$47,$J415,⑭手動工程入力!$J$6:$J$47,"&gt;0",⑭手動工程入力!$I$6:$I$47,"&gt;0",⑭手動工程入力!$M$6:$M$47,"&gt;0"))</f>
        <v/>
      </c>
      <c r="P415" s="392" t="inlineStr">
        <is>
          <t>中間品リスト</t>
        </is>
      </c>
    </row>
    <row r="416">
      <c r="A416" s="392" t="n">
        <v>412</v>
      </c>
      <c r="B416" s="392" t="n"/>
      <c r="C416" s="392" t="n"/>
      <c r="D416" s="409" t="n"/>
      <c r="E416" s="392" t="n"/>
      <c r="F416" s="394" t="n"/>
      <c r="G416" s="392" t="n"/>
      <c r="H416" s="604">
        <f>IFERROR(IF(AND($K416&gt;0,ISNUMBER(IF(OR($D416="g",$D416="ｇ"),IF($M416&gt;0,$L416/$M416/1000,""),IF($D416="kg",IF($M416&gt;0,$L416/$M416,""),IF($D416="",IF($M416&gt;0,$L416/$M416/1000,IF($O416&gt;0,$N416/$O416,"")),IF($O416&gt;0,$N416/$O416,"")))))),IF(OR($D416="g",$D416="ｇ"),IF($M416&gt;0,$L416/$M416/1000,""),IF($D416="kg",IF($M416&gt;0,$L416/$M416,""),IF($D416="",IF($M416&gt;0,$L416/$M416/1000,IF($O416&gt;0,$N416/$O416,"")),IF($O416&gt;0,$N416/$O416,"")))),IF($F416="",IF(OR($E416="",$E416="⑩盛付梱包工程入力"),"",IF(OR($D416="g",$D416="ｇ"),INDEX(⑰工程労務費一覧!$N$5:$N$11,MATCH($E416,⑰工程労務費一覧!$K$5:$K$11,0))/1000,IF($D416="kg",INDEX(⑰工程労務費一覧!$N$5:$N$11,MATCH($E416,⑰工程労務費一覧!$K$5:$K$11,0)),IF(OR($D416="個",$D416="切",$D416="本",$D416="枚",$D416="尾"),IF($E416="⑬計量工程入力","",INDEX(⑰工程労務費一覧!$P$5:$P$11,MATCH($E416,⑰工程労務費一覧!$K$5:$K$11,0))),IF(AND($D416="",OR($E416="②釜工程入力",$E416="③スチコン工程入力")),INDEX(⑰工程労務費一覧!$N$5:$N$11,MATCH($E416,⑰工程労務費一覧!$K$5:$K$11,0))/1000,""))))),IF(OR($D416="g",$D416="ｇ"),INDEX(⑰工程労務費一覧!$H$5:$H$753,MATCH($F416,⑰工程労務費一覧!$D$5:$D$753,0))/1000,IF($D416="kg",INDEX(⑰工程労務費一覧!$H$5:$H$753,MATCH($F416,⑰工程労務費一覧!$D$5:$D$753,0)),INDEX(⑰工程労務費一覧!$I$5:$I$753,MATCH($F416,⑰工程労務費一覧!$D$5:$D$753,0)))))),"")</f>
        <v/>
      </c>
      <c r="I416" s="392">
        <f>IF($K416&gt;0,IF(ISNUMBER(IF(OR($D416="g",$D416="ｇ"),IF($M416&gt;0,$L416/$M416/1000,""),IF($D416="kg",IF($M416&gt;0,$L416/$M416,""),IF($D416="",IF($M416&gt;0,$L416/$M416/1000,IF($O416&gt;0,$N416/$O416,"")),IF($O416&gt;0,$N416/$O416,""))))),IF($D416="",IF($M416&gt;0,"◎ JAN紐づけ(g扱い)","◎ JAN紐づけ(個扱い)"),"◎ JAN紐づけ"),"△ JAN紐づけ済・実績不足→仮計算"),IF($F416="",IF(ISNUMBER($H416),IF($D416="","⑤ 工程平均で仮計算(g扱い)","⑤ 工程平均で仮計算"),IF($E416="⑩盛付梱包工程入力","⑥ 盛り込み(⑳F列で計上)",IF(AND($E416="⑬計量工程入力",OR($D416="個",$D416="切",$D416="本",$D416="枚",$D416="尾")),"① 未紐づけ(カット個単位は仮単価なし)","① 未紐づけ"))),IF(NOT(ISNUMBER($H416)),"② 工程側に単価なし",IF($D416="","③ 単位未設定(個で計算)","④ OK"))))</f>
        <v/>
      </c>
      <c r="J416" s="399">
        <f>IFERROR(LOOKUP(2,1/((中間品リスト!$F$2:$F$1299=$B416)*(中間品リスト!$E$2:$E$1299&lt;&gt;"-")*(中間品リスト!$E$2:$E$1299&lt;&gt;"")),中間品リスト!$E$2:$E$1299),"")</f>
        <v/>
      </c>
      <c r="K416" s="400">
        <f>IF($J416="",0,COUNTIF(②釜工程入力!$S$5:$S$117,$J416)+COUNTIF(③スチコン工程入力!$S$5:$S$152,$J416)+COUNTIF(⑪ZEN工程入力!$S$6:$S$35,$J416)+COUNTIF(⑫ミキサー工程入力!$S$6:$S$65,$J416)+COUNTIF(⑬計量工程入力!$S$6:$S$65,$J416)+COUNTIF(⑭手動工程入力!$S$6:$S$47,$J416))</f>
        <v/>
      </c>
      <c r="L416" s="393">
        <f>IF($J416="",0,SUMIFS(②釜工程入力!$M$5:$M$117,②釜工程入力!$S$5:$S$117,$J416,②釜工程入力!$I$5:$I$117,"&gt;0")+SUMIFS(③スチコン工程入力!$M$5:$M$152,③スチコン工程入力!$S$5:$S$152,$J416,③スチコン工程入力!$I$5:$I$152,"&gt;0")+SUMIFS(⑪ZEN工程入力!$M$6:$M$35,⑪ZEN工程入力!$S$6:$S$35,$J416,⑪ZEN工程入力!$I$6:$I$35,"&gt;0")+SUMIFS(⑫ミキサー工程入力!$M$6:$M$65,⑫ミキサー工程入力!$S$6:$S$65,$J416,⑫ミキサー工程入力!$I$6:$I$65,"&gt;0")+SUMIFS(⑬計量工程入力!$M$6:$M$65,⑬計量工程入力!$S$6:$S$65,$J416,⑬計量工程入力!$I$6:$I$65,"&gt;0")+SUMIFS(⑭手動工程入力!$M$6:$M$47,⑭手動工程入力!$S$6:$S$47,$J416,⑭手動工程入力!$I$6:$I$47,"&gt;0"))</f>
        <v/>
      </c>
      <c r="M416" s="393">
        <f>IF($J416="",0,SUMIFS(②釜工程入力!$I$5:$I$117,②釜工程入力!$S$5:$S$117,$J416,②釜工程入力!$I$5:$I$117,"&gt;0",②釜工程入力!$M$5:$M$117,"&gt;0")+SUMIFS(③スチコン工程入力!$I$5:$I$152,③スチコン工程入力!$S$5:$S$152,$J416,③スチコン工程入力!$I$5:$I$152,"&gt;0",③スチコン工程入力!$M$5:$M$152,"&gt;0")+SUMIFS(⑪ZEN工程入力!$I$6:$I$35,⑪ZEN工程入力!$S$6:$S$35,$J416,⑪ZEN工程入力!$I$6:$I$35,"&gt;0",⑪ZEN工程入力!$M$6:$M$35,"&gt;0")+SUMIFS(⑫ミキサー工程入力!$I$6:$I$65,⑫ミキサー工程入力!$S$6:$S$65,$J416,⑫ミキサー工程入力!$I$6:$I$65,"&gt;0",⑫ミキサー工程入力!$M$6:$M$65,"&gt;0")+SUMIFS(⑬計量工程入力!$I$6:$I$65,⑬計量工程入力!$S$6:$S$65,$J416,⑬計量工程入力!$I$6:$I$65,"&gt;0",⑬計量工程入力!$M$6:$M$65,"&gt;0")+SUMIFS(⑭手動工程入力!$I$6:$I$47,⑭手動工程入力!$S$6:$S$47,$J416,⑭手動工程入力!$I$6:$I$47,"&gt;0",⑭手動工程入力!$M$6:$M$47,"&gt;0"))</f>
        <v/>
      </c>
      <c r="N416" s="393">
        <f>IF($J416="",0,SUMIFS(②釜工程入力!$M$5:$M$117,②釜工程入力!$S$5:$S$117,$J416,②釜工程入力!$J$5:$J$117,"&gt;0")-SUMIFS(②釜工程入力!$M$5:$M$117,②釜工程入力!$S$5:$S$117,$J416,②釜工程入力!$J$5:$J$117,"&gt;0",②釜工程入力!$I$5:$I$117,"&gt;0")+SUMIFS(③スチコン工程入力!$M$5:$M$152,③スチコン工程入力!$S$5:$S$152,$J416,③スチコン工程入力!$J$5:$J$152,"&gt;0")-SUMIFS(③スチコン工程入力!$M$5:$M$152,③スチコン工程入力!$S$5:$S$152,$J416,③スチコン工程入力!$J$5:$J$152,"&gt;0",③スチコン工程入力!$I$5:$I$152,"&gt;0")+SUMIFS(⑪ZEN工程入力!$M$6:$M$35,⑪ZEN工程入力!$S$6:$S$35,$J416,⑪ZEN工程入力!$J$6:$J$35,"&gt;0")-SUMIFS(⑪ZEN工程入力!$M$6:$M$35,⑪ZEN工程入力!$S$6:$S$35,$J416,⑪ZEN工程入力!$J$6:$J$35,"&gt;0",⑪ZEN工程入力!$I$6:$I$35,"&gt;0")+SUMIFS(⑫ミキサー工程入力!$M$6:$M$65,⑫ミキサー工程入力!$S$6:$S$65,$J416,⑫ミキサー工程入力!$J$6:$J$65,"&gt;0")-SUMIFS(⑫ミキサー工程入力!$M$6:$M$65,⑫ミキサー工程入力!$S$6:$S$65,$J416,⑫ミキサー工程入力!$J$6:$J$65,"&gt;0",⑫ミキサー工程入力!$I$6:$I$65,"&gt;0")+SUMIFS(⑬計量工程入力!$M$6:$M$65,⑬計量工程入力!$S$6:$S$65,$J416,⑬計量工程入力!$J$6:$J$65,"&gt;0")-SUMIFS(⑬計量工程入力!$M$6:$M$65,⑬計量工程入力!$S$6:$S$65,$J416,⑬計量工程入力!$J$6:$J$65,"&gt;0",⑬計量工程入力!$I$6:$I$65,"&gt;0")+SUMIFS(⑭手動工程入力!$M$6:$M$47,⑭手動工程入力!$S$6:$S$47,$J416,⑭手動工程入力!$J$6:$J$47,"&gt;0")-SUMIFS(⑭手動工程入力!$M$6:$M$47,⑭手動工程入力!$S$6:$S$47,$J416,⑭手動工程入力!$J$6:$J$47,"&gt;0",⑭手動工程入力!$I$6:$I$47,"&gt;0"))</f>
        <v/>
      </c>
      <c r="O416" s="393">
        <f>IF($J416="",0,SUMIFS(②釜工程入力!$J$5:$J$117,②釜工程入力!$S$5:$S$117,$J416,②釜工程入力!$J$5:$J$117,"&gt;0",②釜工程入力!$M$5:$M$117,"&gt;0")-SUMIFS(②釜工程入力!$J$5:$J$117,②釜工程入力!$S$5:$S$117,$J416,②釜工程入力!$J$5:$J$117,"&gt;0",②釜工程入力!$I$5:$I$117,"&gt;0",②釜工程入力!$M$5:$M$117,"&gt;0")+SUMIFS(③スチコン工程入力!$J$5:$J$152,③スチコン工程入力!$S$5:$S$152,$J416,③スチコン工程入力!$J$5:$J$152,"&gt;0",③スチコン工程入力!$M$5:$M$152,"&gt;0")-SUMIFS(③スチコン工程入力!$J$5:$J$152,③スチコン工程入力!$S$5:$S$152,$J416,③スチコン工程入力!$J$5:$J$152,"&gt;0",③スチコン工程入力!$I$5:$I$152,"&gt;0",③スチコン工程入力!$M$5:$M$152,"&gt;0")+SUMIFS(⑪ZEN工程入力!$J$6:$J$35,⑪ZEN工程入力!$S$6:$S$35,$J416,⑪ZEN工程入力!$J$6:$J$35,"&gt;0",⑪ZEN工程入力!$M$6:$M$35,"&gt;0")-SUMIFS(⑪ZEN工程入力!$J$6:$J$35,⑪ZEN工程入力!$S$6:$S$35,$J416,⑪ZEN工程入力!$J$6:$J$35,"&gt;0",⑪ZEN工程入力!$I$6:$I$35,"&gt;0",⑪ZEN工程入力!$M$6:$M$35,"&gt;0")+SUMIFS(⑫ミキサー工程入力!$J$6:$J$65,⑫ミキサー工程入力!$S$6:$S$65,$J416,⑫ミキサー工程入力!$J$6:$J$65,"&gt;0",⑫ミキサー工程入力!$M$6:$M$65,"&gt;0")-SUMIFS(⑫ミキサー工程入力!$J$6:$J$65,⑫ミキサー工程入力!$S$6:$S$65,$J416,⑫ミキサー工程入力!$J$6:$J$65,"&gt;0",⑫ミキサー工程入力!$I$6:$I$65,"&gt;0",⑫ミキサー工程入力!$M$6:$M$65,"&gt;0")+SUMIFS(⑬計量工程入力!$J$6:$J$65,⑬計量工程入力!$S$6:$S$65,$J416,⑬計量工程入力!$J$6:$J$65,"&gt;0",⑬計量工程入力!$M$6:$M$65,"&gt;0")-SUMIFS(⑬計量工程入力!$J$6:$J$65,⑬計量工程入力!$S$6:$S$65,$J416,⑬計量工程入力!$J$6:$J$65,"&gt;0",⑬計量工程入力!$I$6:$I$65,"&gt;0",⑬計量工程入力!$M$6:$M$65,"&gt;0")+SUMIFS(⑭手動工程入力!$J$6:$J$47,⑭手動工程入力!$S$6:$S$47,$J416,⑭手動工程入力!$J$6:$J$47,"&gt;0",⑭手動工程入力!$M$6:$M$47,"&gt;0")-SUMIFS(⑭手動工程入力!$J$6:$J$47,⑭手動工程入力!$S$6:$S$47,$J416,⑭手動工程入力!$J$6:$J$47,"&gt;0",⑭手動工程入力!$I$6:$I$47,"&gt;0",⑭手動工程入力!$M$6:$M$47,"&gt;0"))</f>
        <v/>
      </c>
      <c r="P416" s="392" t="inlineStr">
        <is>
          <t>中間品リスト</t>
        </is>
      </c>
    </row>
    <row r="417">
      <c r="A417" s="392" t="n">
        <v>413</v>
      </c>
      <c r="B417" s="392" t="n"/>
      <c r="C417" s="392" t="n"/>
      <c r="D417" s="409" t="n"/>
      <c r="E417" s="392" t="n"/>
      <c r="F417" s="394" t="n"/>
      <c r="G417" s="392" t="n"/>
      <c r="H417" s="604">
        <f>IFERROR(IF(AND($K417&gt;0,ISNUMBER(IF(OR($D417="g",$D417="ｇ"),IF($M417&gt;0,$L417/$M417/1000,""),IF($D417="kg",IF($M417&gt;0,$L417/$M417,""),IF($D417="",IF($M417&gt;0,$L417/$M417/1000,IF($O417&gt;0,$N417/$O417,"")),IF($O417&gt;0,$N417/$O417,"")))))),IF(OR($D417="g",$D417="ｇ"),IF($M417&gt;0,$L417/$M417/1000,""),IF($D417="kg",IF($M417&gt;0,$L417/$M417,""),IF($D417="",IF($M417&gt;0,$L417/$M417/1000,IF($O417&gt;0,$N417/$O417,"")),IF($O417&gt;0,$N417/$O417,"")))),IF($F417="",IF(OR($E417="",$E417="⑩盛付梱包工程入力"),"",IF(OR($D417="g",$D417="ｇ"),INDEX(⑰工程労務費一覧!$N$5:$N$11,MATCH($E417,⑰工程労務費一覧!$K$5:$K$11,0))/1000,IF($D417="kg",INDEX(⑰工程労務費一覧!$N$5:$N$11,MATCH($E417,⑰工程労務費一覧!$K$5:$K$11,0)),IF(OR($D417="個",$D417="切",$D417="本",$D417="枚",$D417="尾"),IF($E417="⑬計量工程入力","",INDEX(⑰工程労務費一覧!$P$5:$P$11,MATCH($E417,⑰工程労務費一覧!$K$5:$K$11,0))),IF(AND($D417="",OR($E417="②釜工程入力",$E417="③スチコン工程入力")),INDEX(⑰工程労務費一覧!$N$5:$N$11,MATCH($E417,⑰工程労務費一覧!$K$5:$K$11,0))/1000,""))))),IF(OR($D417="g",$D417="ｇ"),INDEX(⑰工程労務費一覧!$H$5:$H$753,MATCH($F417,⑰工程労務費一覧!$D$5:$D$753,0))/1000,IF($D417="kg",INDEX(⑰工程労務費一覧!$H$5:$H$753,MATCH($F417,⑰工程労務費一覧!$D$5:$D$753,0)),INDEX(⑰工程労務費一覧!$I$5:$I$753,MATCH($F417,⑰工程労務費一覧!$D$5:$D$753,0)))))),"")</f>
        <v/>
      </c>
      <c r="I417" s="392">
        <f>IF($K417&gt;0,IF(ISNUMBER(IF(OR($D417="g",$D417="ｇ"),IF($M417&gt;0,$L417/$M417/1000,""),IF($D417="kg",IF($M417&gt;0,$L417/$M417,""),IF($D417="",IF($M417&gt;0,$L417/$M417/1000,IF($O417&gt;0,$N417/$O417,"")),IF($O417&gt;0,$N417/$O417,""))))),IF($D417="",IF($M417&gt;0,"◎ JAN紐づけ(g扱い)","◎ JAN紐づけ(個扱い)"),"◎ JAN紐づけ"),"△ JAN紐づけ済・実績不足→仮計算"),IF($F417="",IF(ISNUMBER($H417),IF($D417="","⑤ 工程平均で仮計算(g扱い)","⑤ 工程平均で仮計算"),IF($E417="⑩盛付梱包工程入力","⑥ 盛り込み(⑳F列で計上)",IF(AND($E417="⑬計量工程入力",OR($D417="個",$D417="切",$D417="本",$D417="枚",$D417="尾")),"① 未紐づけ(カット個単位は仮単価なし)","① 未紐づけ"))),IF(NOT(ISNUMBER($H417)),"② 工程側に単価なし",IF($D417="","③ 単位未設定(個で計算)","④ OK"))))</f>
        <v/>
      </c>
      <c r="J417" s="399">
        <f>IFERROR(LOOKUP(2,1/((中間品リスト!$F$2:$F$1299=$B417)*(中間品リスト!$E$2:$E$1299&lt;&gt;"-")*(中間品リスト!$E$2:$E$1299&lt;&gt;"")),中間品リスト!$E$2:$E$1299),"")</f>
        <v/>
      </c>
      <c r="K417" s="400">
        <f>IF($J417="",0,COUNTIF(②釜工程入力!$S$5:$S$117,$J417)+COUNTIF(③スチコン工程入力!$S$5:$S$152,$J417)+COUNTIF(⑪ZEN工程入力!$S$6:$S$35,$J417)+COUNTIF(⑫ミキサー工程入力!$S$6:$S$65,$J417)+COUNTIF(⑬計量工程入力!$S$6:$S$65,$J417)+COUNTIF(⑭手動工程入力!$S$6:$S$47,$J417))</f>
        <v/>
      </c>
      <c r="L417" s="393">
        <f>IF($J417="",0,SUMIFS(②釜工程入力!$M$5:$M$117,②釜工程入力!$S$5:$S$117,$J417,②釜工程入力!$I$5:$I$117,"&gt;0")+SUMIFS(③スチコン工程入力!$M$5:$M$152,③スチコン工程入力!$S$5:$S$152,$J417,③スチコン工程入力!$I$5:$I$152,"&gt;0")+SUMIFS(⑪ZEN工程入力!$M$6:$M$35,⑪ZEN工程入力!$S$6:$S$35,$J417,⑪ZEN工程入力!$I$6:$I$35,"&gt;0")+SUMIFS(⑫ミキサー工程入力!$M$6:$M$65,⑫ミキサー工程入力!$S$6:$S$65,$J417,⑫ミキサー工程入力!$I$6:$I$65,"&gt;0")+SUMIFS(⑬計量工程入力!$M$6:$M$65,⑬計量工程入力!$S$6:$S$65,$J417,⑬計量工程入力!$I$6:$I$65,"&gt;0")+SUMIFS(⑭手動工程入力!$M$6:$M$47,⑭手動工程入力!$S$6:$S$47,$J417,⑭手動工程入力!$I$6:$I$47,"&gt;0"))</f>
        <v/>
      </c>
      <c r="M417" s="393">
        <f>IF($J417="",0,SUMIFS(②釜工程入力!$I$5:$I$117,②釜工程入力!$S$5:$S$117,$J417,②釜工程入力!$I$5:$I$117,"&gt;0",②釜工程入力!$M$5:$M$117,"&gt;0")+SUMIFS(③スチコン工程入力!$I$5:$I$152,③スチコン工程入力!$S$5:$S$152,$J417,③スチコン工程入力!$I$5:$I$152,"&gt;0",③スチコン工程入力!$M$5:$M$152,"&gt;0")+SUMIFS(⑪ZEN工程入力!$I$6:$I$35,⑪ZEN工程入力!$S$6:$S$35,$J417,⑪ZEN工程入力!$I$6:$I$35,"&gt;0",⑪ZEN工程入力!$M$6:$M$35,"&gt;0")+SUMIFS(⑫ミキサー工程入力!$I$6:$I$65,⑫ミキサー工程入力!$S$6:$S$65,$J417,⑫ミキサー工程入力!$I$6:$I$65,"&gt;0",⑫ミキサー工程入力!$M$6:$M$65,"&gt;0")+SUMIFS(⑬計量工程入力!$I$6:$I$65,⑬計量工程入力!$S$6:$S$65,$J417,⑬計量工程入力!$I$6:$I$65,"&gt;0",⑬計量工程入力!$M$6:$M$65,"&gt;0")+SUMIFS(⑭手動工程入力!$I$6:$I$47,⑭手動工程入力!$S$6:$S$47,$J417,⑭手動工程入力!$I$6:$I$47,"&gt;0",⑭手動工程入力!$M$6:$M$47,"&gt;0"))</f>
        <v/>
      </c>
      <c r="N417" s="393">
        <f>IF($J417="",0,SUMIFS(②釜工程入力!$M$5:$M$117,②釜工程入力!$S$5:$S$117,$J417,②釜工程入力!$J$5:$J$117,"&gt;0")-SUMIFS(②釜工程入力!$M$5:$M$117,②釜工程入力!$S$5:$S$117,$J417,②釜工程入力!$J$5:$J$117,"&gt;0",②釜工程入力!$I$5:$I$117,"&gt;0")+SUMIFS(③スチコン工程入力!$M$5:$M$152,③スチコン工程入力!$S$5:$S$152,$J417,③スチコン工程入力!$J$5:$J$152,"&gt;0")-SUMIFS(③スチコン工程入力!$M$5:$M$152,③スチコン工程入力!$S$5:$S$152,$J417,③スチコン工程入力!$J$5:$J$152,"&gt;0",③スチコン工程入力!$I$5:$I$152,"&gt;0")+SUMIFS(⑪ZEN工程入力!$M$6:$M$35,⑪ZEN工程入力!$S$6:$S$35,$J417,⑪ZEN工程入力!$J$6:$J$35,"&gt;0")-SUMIFS(⑪ZEN工程入力!$M$6:$M$35,⑪ZEN工程入力!$S$6:$S$35,$J417,⑪ZEN工程入力!$J$6:$J$35,"&gt;0",⑪ZEN工程入力!$I$6:$I$35,"&gt;0")+SUMIFS(⑫ミキサー工程入力!$M$6:$M$65,⑫ミキサー工程入力!$S$6:$S$65,$J417,⑫ミキサー工程入力!$J$6:$J$65,"&gt;0")-SUMIFS(⑫ミキサー工程入力!$M$6:$M$65,⑫ミキサー工程入力!$S$6:$S$65,$J417,⑫ミキサー工程入力!$J$6:$J$65,"&gt;0",⑫ミキサー工程入力!$I$6:$I$65,"&gt;0")+SUMIFS(⑬計量工程入力!$M$6:$M$65,⑬計量工程入力!$S$6:$S$65,$J417,⑬計量工程入力!$J$6:$J$65,"&gt;0")-SUMIFS(⑬計量工程入力!$M$6:$M$65,⑬計量工程入力!$S$6:$S$65,$J417,⑬計量工程入力!$J$6:$J$65,"&gt;0",⑬計量工程入力!$I$6:$I$65,"&gt;0")+SUMIFS(⑭手動工程入力!$M$6:$M$47,⑭手動工程入力!$S$6:$S$47,$J417,⑭手動工程入力!$J$6:$J$47,"&gt;0")-SUMIFS(⑭手動工程入力!$M$6:$M$47,⑭手動工程入力!$S$6:$S$47,$J417,⑭手動工程入力!$J$6:$J$47,"&gt;0",⑭手動工程入力!$I$6:$I$47,"&gt;0"))</f>
        <v/>
      </c>
      <c r="O417" s="393">
        <f>IF($J417="",0,SUMIFS(②釜工程入力!$J$5:$J$117,②釜工程入力!$S$5:$S$117,$J417,②釜工程入力!$J$5:$J$117,"&gt;0",②釜工程入力!$M$5:$M$117,"&gt;0")-SUMIFS(②釜工程入力!$J$5:$J$117,②釜工程入力!$S$5:$S$117,$J417,②釜工程入力!$J$5:$J$117,"&gt;0",②釜工程入力!$I$5:$I$117,"&gt;0",②釜工程入力!$M$5:$M$117,"&gt;0")+SUMIFS(③スチコン工程入力!$J$5:$J$152,③スチコン工程入力!$S$5:$S$152,$J417,③スチコン工程入力!$J$5:$J$152,"&gt;0",③スチコン工程入力!$M$5:$M$152,"&gt;0")-SUMIFS(③スチコン工程入力!$J$5:$J$152,③スチコン工程入力!$S$5:$S$152,$J417,③スチコン工程入力!$J$5:$J$152,"&gt;0",③スチコン工程入力!$I$5:$I$152,"&gt;0",③スチコン工程入力!$M$5:$M$152,"&gt;0")+SUMIFS(⑪ZEN工程入力!$J$6:$J$35,⑪ZEN工程入力!$S$6:$S$35,$J417,⑪ZEN工程入力!$J$6:$J$35,"&gt;0",⑪ZEN工程入力!$M$6:$M$35,"&gt;0")-SUMIFS(⑪ZEN工程入力!$J$6:$J$35,⑪ZEN工程入力!$S$6:$S$35,$J417,⑪ZEN工程入力!$J$6:$J$35,"&gt;0",⑪ZEN工程入力!$I$6:$I$35,"&gt;0",⑪ZEN工程入力!$M$6:$M$35,"&gt;0")+SUMIFS(⑫ミキサー工程入力!$J$6:$J$65,⑫ミキサー工程入力!$S$6:$S$65,$J417,⑫ミキサー工程入力!$J$6:$J$65,"&gt;0",⑫ミキサー工程入力!$M$6:$M$65,"&gt;0")-SUMIFS(⑫ミキサー工程入力!$J$6:$J$65,⑫ミキサー工程入力!$S$6:$S$65,$J417,⑫ミキサー工程入力!$J$6:$J$65,"&gt;0",⑫ミキサー工程入力!$I$6:$I$65,"&gt;0",⑫ミキサー工程入力!$M$6:$M$65,"&gt;0")+SUMIFS(⑬計量工程入力!$J$6:$J$65,⑬計量工程入力!$S$6:$S$65,$J417,⑬計量工程入力!$J$6:$J$65,"&gt;0",⑬計量工程入力!$M$6:$M$65,"&gt;0")-SUMIFS(⑬計量工程入力!$J$6:$J$65,⑬計量工程入力!$S$6:$S$65,$J417,⑬計量工程入力!$J$6:$J$65,"&gt;0",⑬計量工程入力!$I$6:$I$65,"&gt;0",⑬計量工程入力!$M$6:$M$65,"&gt;0")+SUMIFS(⑭手動工程入力!$J$6:$J$47,⑭手動工程入力!$S$6:$S$47,$J417,⑭手動工程入力!$J$6:$J$47,"&gt;0",⑭手動工程入力!$M$6:$M$47,"&gt;0")-SUMIFS(⑭手動工程入力!$J$6:$J$47,⑭手動工程入力!$S$6:$S$47,$J417,⑭手動工程入力!$J$6:$J$47,"&gt;0",⑭手動工程入力!$I$6:$I$47,"&gt;0",⑭手動工程入力!$M$6:$M$47,"&gt;0"))</f>
        <v/>
      </c>
      <c r="P417" s="392" t="inlineStr">
        <is>
          <t>中間品リスト</t>
        </is>
      </c>
    </row>
    <row r="418">
      <c r="A418" s="392" t="n">
        <v>414</v>
      </c>
      <c r="B418" s="392" t="n"/>
      <c r="C418" s="392" t="n"/>
      <c r="D418" s="409" t="n"/>
      <c r="E418" s="392" t="n"/>
      <c r="F418" s="394" t="n"/>
      <c r="G418" s="392" t="n"/>
      <c r="H418" s="604">
        <f>IFERROR(IF(AND($K418&gt;0,ISNUMBER(IF(OR($D418="g",$D418="ｇ"),IF($M418&gt;0,$L418/$M418/1000,""),IF($D418="kg",IF($M418&gt;0,$L418/$M418,""),IF($D418="",IF($M418&gt;0,$L418/$M418/1000,IF($O418&gt;0,$N418/$O418,"")),IF($O418&gt;0,$N418/$O418,"")))))),IF(OR($D418="g",$D418="ｇ"),IF($M418&gt;0,$L418/$M418/1000,""),IF($D418="kg",IF($M418&gt;0,$L418/$M418,""),IF($D418="",IF($M418&gt;0,$L418/$M418/1000,IF($O418&gt;0,$N418/$O418,"")),IF($O418&gt;0,$N418/$O418,"")))),IF($F418="",IF(OR($E418="",$E418="⑩盛付梱包工程入力"),"",IF(OR($D418="g",$D418="ｇ"),INDEX(⑰工程労務費一覧!$N$5:$N$11,MATCH($E418,⑰工程労務費一覧!$K$5:$K$11,0))/1000,IF($D418="kg",INDEX(⑰工程労務費一覧!$N$5:$N$11,MATCH($E418,⑰工程労務費一覧!$K$5:$K$11,0)),IF(OR($D418="個",$D418="切",$D418="本",$D418="枚",$D418="尾"),IF($E418="⑬計量工程入力","",INDEX(⑰工程労務費一覧!$P$5:$P$11,MATCH($E418,⑰工程労務費一覧!$K$5:$K$11,0))),IF(AND($D418="",OR($E418="②釜工程入力",$E418="③スチコン工程入力")),INDEX(⑰工程労務費一覧!$N$5:$N$11,MATCH($E418,⑰工程労務費一覧!$K$5:$K$11,0))/1000,""))))),IF(OR($D418="g",$D418="ｇ"),INDEX(⑰工程労務費一覧!$H$5:$H$753,MATCH($F418,⑰工程労務費一覧!$D$5:$D$753,0))/1000,IF($D418="kg",INDEX(⑰工程労務費一覧!$H$5:$H$753,MATCH($F418,⑰工程労務費一覧!$D$5:$D$753,0)),INDEX(⑰工程労務費一覧!$I$5:$I$753,MATCH($F418,⑰工程労務費一覧!$D$5:$D$753,0)))))),"")</f>
        <v/>
      </c>
      <c r="I418" s="392">
        <f>IF($K418&gt;0,IF(ISNUMBER(IF(OR($D418="g",$D418="ｇ"),IF($M418&gt;0,$L418/$M418/1000,""),IF($D418="kg",IF($M418&gt;0,$L418/$M418,""),IF($D418="",IF($M418&gt;0,$L418/$M418/1000,IF($O418&gt;0,$N418/$O418,"")),IF($O418&gt;0,$N418/$O418,""))))),IF($D418="",IF($M418&gt;0,"◎ JAN紐づけ(g扱い)","◎ JAN紐づけ(個扱い)"),"◎ JAN紐づけ"),"△ JAN紐づけ済・実績不足→仮計算"),IF($F418="",IF(ISNUMBER($H418),IF($D418="","⑤ 工程平均で仮計算(g扱い)","⑤ 工程平均で仮計算"),IF($E418="⑩盛付梱包工程入力","⑥ 盛り込み(⑳F列で計上)",IF(AND($E418="⑬計量工程入力",OR($D418="個",$D418="切",$D418="本",$D418="枚",$D418="尾")),"① 未紐づけ(カット個単位は仮単価なし)","① 未紐づけ"))),IF(NOT(ISNUMBER($H418)),"② 工程側に単価なし",IF($D418="","③ 単位未設定(個で計算)","④ OK"))))</f>
        <v/>
      </c>
      <c r="J418" s="399">
        <f>IFERROR(LOOKUP(2,1/((中間品リスト!$F$2:$F$1299=$B418)*(中間品リスト!$E$2:$E$1299&lt;&gt;"-")*(中間品リスト!$E$2:$E$1299&lt;&gt;"")),中間品リスト!$E$2:$E$1299),"")</f>
        <v/>
      </c>
      <c r="K418" s="400">
        <f>IF($J418="",0,COUNTIF(②釜工程入力!$S$5:$S$117,$J418)+COUNTIF(③スチコン工程入力!$S$5:$S$152,$J418)+COUNTIF(⑪ZEN工程入力!$S$6:$S$35,$J418)+COUNTIF(⑫ミキサー工程入力!$S$6:$S$65,$J418)+COUNTIF(⑬計量工程入力!$S$6:$S$65,$J418)+COUNTIF(⑭手動工程入力!$S$6:$S$47,$J418))</f>
        <v/>
      </c>
      <c r="L418" s="393">
        <f>IF($J418="",0,SUMIFS(②釜工程入力!$M$5:$M$117,②釜工程入力!$S$5:$S$117,$J418,②釜工程入力!$I$5:$I$117,"&gt;0")+SUMIFS(③スチコン工程入力!$M$5:$M$152,③スチコン工程入力!$S$5:$S$152,$J418,③スチコン工程入力!$I$5:$I$152,"&gt;0")+SUMIFS(⑪ZEN工程入力!$M$6:$M$35,⑪ZEN工程入力!$S$6:$S$35,$J418,⑪ZEN工程入力!$I$6:$I$35,"&gt;0")+SUMIFS(⑫ミキサー工程入力!$M$6:$M$65,⑫ミキサー工程入力!$S$6:$S$65,$J418,⑫ミキサー工程入力!$I$6:$I$65,"&gt;0")+SUMIFS(⑬計量工程入力!$M$6:$M$65,⑬計量工程入力!$S$6:$S$65,$J418,⑬計量工程入力!$I$6:$I$65,"&gt;0")+SUMIFS(⑭手動工程入力!$M$6:$M$47,⑭手動工程入力!$S$6:$S$47,$J418,⑭手動工程入力!$I$6:$I$47,"&gt;0"))</f>
        <v/>
      </c>
      <c r="M418" s="393">
        <f>IF($J418="",0,SUMIFS(②釜工程入力!$I$5:$I$117,②釜工程入力!$S$5:$S$117,$J418,②釜工程入力!$I$5:$I$117,"&gt;0",②釜工程入力!$M$5:$M$117,"&gt;0")+SUMIFS(③スチコン工程入力!$I$5:$I$152,③スチコン工程入力!$S$5:$S$152,$J418,③スチコン工程入力!$I$5:$I$152,"&gt;0",③スチコン工程入力!$M$5:$M$152,"&gt;0")+SUMIFS(⑪ZEN工程入力!$I$6:$I$35,⑪ZEN工程入力!$S$6:$S$35,$J418,⑪ZEN工程入力!$I$6:$I$35,"&gt;0",⑪ZEN工程入力!$M$6:$M$35,"&gt;0")+SUMIFS(⑫ミキサー工程入力!$I$6:$I$65,⑫ミキサー工程入力!$S$6:$S$65,$J418,⑫ミキサー工程入力!$I$6:$I$65,"&gt;0",⑫ミキサー工程入力!$M$6:$M$65,"&gt;0")+SUMIFS(⑬計量工程入力!$I$6:$I$65,⑬計量工程入力!$S$6:$S$65,$J418,⑬計量工程入力!$I$6:$I$65,"&gt;0",⑬計量工程入力!$M$6:$M$65,"&gt;0")+SUMIFS(⑭手動工程入力!$I$6:$I$47,⑭手動工程入力!$S$6:$S$47,$J418,⑭手動工程入力!$I$6:$I$47,"&gt;0",⑭手動工程入力!$M$6:$M$47,"&gt;0"))</f>
        <v/>
      </c>
      <c r="N418" s="393">
        <f>IF($J418="",0,SUMIFS(②釜工程入力!$M$5:$M$117,②釜工程入力!$S$5:$S$117,$J418,②釜工程入力!$J$5:$J$117,"&gt;0")-SUMIFS(②釜工程入力!$M$5:$M$117,②釜工程入力!$S$5:$S$117,$J418,②釜工程入力!$J$5:$J$117,"&gt;0",②釜工程入力!$I$5:$I$117,"&gt;0")+SUMIFS(③スチコン工程入力!$M$5:$M$152,③スチコン工程入力!$S$5:$S$152,$J418,③スチコン工程入力!$J$5:$J$152,"&gt;0")-SUMIFS(③スチコン工程入力!$M$5:$M$152,③スチコン工程入力!$S$5:$S$152,$J418,③スチコン工程入力!$J$5:$J$152,"&gt;0",③スチコン工程入力!$I$5:$I$152,"&gt;0")+SUMIFS(⑪ZEN工程入力!$M$6:$M$35,⑪ZEN工程入力!$S$6:$S$35,$J418,⑪ZEN工程入力!$J$6:$J$35,"&gt;0")-SUMIFS(⑪ZEN工程入力!$M$6:$M$35,⑪ZEN工程入力!$S$6:$S$35,$J418,⑪ZEN工程入力!$J$6:$J$35,"&gt;0",⑪ZEN工程入力!$I$6:$I$35,"&gt;0")+SUMIFS(⑫ミキサー工程入力!$M$6:$M$65,⑫ミキサー工程入力!$S$6:$S$65,$J418,⑫ミキサー工程入力!$J$6:$J$65,"&gt;0")-SUMIFS(⑫ミキサー工程入力!$M$6:$M$65,⑫ミキサー工程入力!$S$6:$S$65,$J418,⑫ミキサー工程入力!$J$6:$J$65,"&gt;0",⑫ミキサー工程入力!$I$6:$I$65,"&gt;0")+SUMIFS(⑬計量工程入力!$M$6:$M$65,⑬計量工程入力!$S$6:$S$65,$J418,⑬計量工程入力!$J$6:$J$65,"&gt;0")-SUMIFS(⑬計量工程入力!$M$6:$M$65,⑬計量工程入力!$S$6:$S$65,$J418,⑬計量工程入力!$J$6:$J$65,"&gt;0",⑬計量工程入力!$I$6:$I$65,"&gt;0")+SUMIFS(⑭手動工程入力!$M$6:$M$47,⑭手動工程入力!$S$6:$S$47,$J418,⑭手動工程入力!$J$6:$J$47,"&gt;0")-SUMIFS(⑭手動工程入力!$M$6:$M$47,⑭手動工程入力!$S$6:$S$47,$J418,⑭手動工程入力!$J$6:$J$47,"&gt;0",⑭手動工程入力!$I$6:$I$47,"&gt;0"))</f>
        <v/>
      </c>
      <c r="O418" s="393">
        <f>IF($J418="",0,SUMIFS(②釜工程入力!$J$5:$J$117,②釜工程入力!$S$5:$S$117,$J418,②釜工程入力!$J$5:$J$117,"&gt;0",②釜工程入力!$M$5:$M$117,"&gt;0")-SUMIFS(②釜工程入力!$J$5:$J$117,②釜工程入力!$S$5:$S$117,$J418,②釜工程入力!$J$5:$J$117,"&gt;0",②釜工程入力!$I$5:$I$117,"&gt;0",②釜工程入力!$M$5:$M$117,"&gt;0")+SUMIFS(③スチコン工程入力!$J$5:$J$152,③スチコン工程入力!$S$5:$S$152,$J418,③スチコン工程入力!$J$5:$J$152,"&gt;0",③スチコン工程入力!$M$5:$M$152,"&gt;0")-SUMIFS(③スチコン工程入力!$J$5:$J$152,③スチコン工程入力!$S$5:$S$152,$J418,③スチコン工程入力!$J$5:$J$152,"&gt;0",③スチコン工程入力!$I$5:$I$152,"&gt;0",③スチコン工程入力!$M$5:$M$152,"&gt;0")+SUMIFS(⑪ZEN工程入力!$J$6:$J$35,⑪ZEN工程入力!$S$6:$S$35,$J418,⑪ZEN工程入力!$J$6:$J$35,"&gt;0",⑪ZEN工程入力!$M$6:$M$35,"&gt;0")-SUMIFS(⑪ZEN工程入力!$J$6:$J$35,⑪ZEN工程入力!$S$6:$S$35,$J418,⑪ZEN工程入力!$J$6:$J$35,"&gt;0",⑪ZEN工程入力!$I$6:$I$35,"&gt;0",⑪ZEN工程入力!$M$6:$M$35,"&gt;0")+SUMIFS(⑫ミキサー工程入力!$J$6:$J$65,⑫ミキサー工程入力!$S$6:$S$65,$J418,⑫ミキサー工程入力!$J$6:$J$65,"&gt;0",⑫ミキサー工程入力!$M$6:$M$65,"&gt;0")-SUMIFS(⑫ミキサー工程入力!$J$6:$J$65,⑫ミキサー工程入力!$S$6:$S$65,$J418,⑫ミキサー工程入力!$J$6:$J$65,"&gt;0",⑫ミキサー工程入力!$I$6:$I$65,"&gt;0",⑫ミキサー工程入力!$M$6:$M$65,"&gt;0")+SUMIFS(⑬計量工程入力!$J$6:$J$65,⑬計量工程入力!$S$6:$S$65,$J418,⑬計量工程入力!$J$6:$J$65,"&gt;0",⑬計量工程入力!$M$6:$M$65,"&gt;0")-SUMIFS(⑬計量工程入力!$J$6:$J$65,⑬計量工程入力!$S$6:$S$65,$J418,⑬計量工程入力!$J$6:$J$65,"&gt;0",⑬計量工程入力!$I$6:$I$65,"&gt;0",⑬計量工程入力!$M$6:$M$65,"&gt;0")+SUMIFS(⑭手動工程入力!$J$6:$J$47,⑭手動工程入力!$S$6:$S$47,$J418,⑭手動工程入力!$J$6:$J$47,"&gt;0",⑭手動工程入力!$M$6:$M$47,"&gt;0")-SUMIFS(⑭手動工程入力!$J$6:$J$47,⑭手動工程入力!$S$6:$S$47,$J418,⑭手動工程入力!$J$6:$J$47,"&gt;0",⑭手動工程入力!$I$6:$I$47,"&gt;0",⑭手動工程入力!$M$6:$M$47,"&gt;0"))</f>
        <v/>
      </c>
      <c r="P418" s="392" t="inlineStr">
        <is>
          <t>中間品リスト</t>
        </is>
      </c>
    </row>
    <row r="419">
      <c r="A419" s="392" t="n">
        <v>415</v>
      </c>
      <c r="B419" s="392" t="n"/>
      <c r="C419" s="392" t="n"/>
      <c r="D419" s="392" t="n"/>
      <c r="E419" s="392" t="n"/>
      <c r="F419" s="394" t="n"/>
      <c r="G419" s="392" t="n"/>
      <c r="H419" s="604">
        <f>IFERROR(IF(AND($K419&gt;0,ISNUMBER(IF(OR($D419="g",$D419="ｇ"),IF($M419&gt;0,$L419/$M419/1000,""),IF($D419="kg",IF($M419&gt;0,$L419/$M419,""),IF($D419="",IF($M419&gt;0,$L419/$M419/1000,IF($O419&gt;0,$N419/$O419,"")),IF($O419&gt;0,$N419/$O419,"")))))),IF(OR($D419="g",$D419="ｇ"),IF($M419&gt;0,$L419/$M419/1000,""),IF($D419="kg",IF($M419&gt;0,$L419/$M419,""),IF($D419="",IF($M419&gt;0,$L419/$M419/1000,IF($O419&gt;0,$N419/$O419,"")),IF($O419&gt;0,$N419/$O419,"")))),IF($F419="",IF(OR($E419="",$E419="⑩盛付梱包工程入力"),"",IF(OR($D419="g",$D419="ｇ"),INDEX(⑰工程労務費一覧!$N$5:$N$11,MATCH($E419,⑰工程労務費一覧!$K$5:$K$11,0))/1000,IF($D419="kg",INDEX(⑰工程労務費一覧!$N$5:$N$11,MATCH($E419,⑰工程労務費一覧!$K$5:$K$11,0)),IF(OR($D419="個",$D419="切",$D419="本",$D419="枚",$D419="尾"),IF($E419="⑬計量工程入力","",INDEX(⑰工程労務費一覧!$P$5:$P$11,MATCH($E419,⑰工程労務費一覧!$K$5:$K$11,0))),IF(AND($D419="",OR($E419="②釜工程入力",$E419="③スチコン工程入力")),INDEX(⑰工程労務費一覧!$N$5:$N$11,MATCH($E419,⑰工程労務費一覧!$K$5:$K$11,0))/1000,""))))),IF(OR($D419="g",$D419="ｇ"),INDEX(⑰工程労務費一覧!$H$5:$H$753,MATCH($F419,⑰工程労務費一覧!$D$5:$D$753,0))/1000,IF($D419="kg",INDEX(⑰工程労務費一覧!$H$5:$H$753,MATCH($F419,⑰工程労務費一覧!$D$5:$D$753,0)),INDEX(⑰工程労務費一覧!$I$5:$I$753,MATCH($F419,⑰工程労務費一覧!$D$5:$D$753,0)))))),"")</f>
        <v/>
      </c>
      <c r="I419" s="392">
        <f>IF($K419&gt;0,IF(ISNUMBER(IF(OR($D419="g",$D419="ｇ"),IF($M419&gt;0,$L419/$M419/1000,""),IF($D419="kg",IF($M419&gt;0,$L419/$M419,""),IF($D419="",IF($M419&gt;0,$L419/$M419/1000,IF($O419&gt;0,$N419/$O419,"")),IF($O419&gt;0,$N419/$O419,""))))),IF($D419="",IF($M419&gt;0,"◎ JAN紐づけ(g扱い)","◎ JAN紐づけ(個扱い)"),"◎ JAN紐づけ"),"△ JAN紐づけ済・実績不足→仮計算"),IF($F419="",IF(ISNUMBER($H419),IF($D419="","⑤ 工程平均で仮計算(g扱い)","⑤ 工程平均で仮計算"),IF($E419="⑩盛付梱包工程入力","⑥ 盛り込み(⑳F列で計上)",IF(AND($E419="⑬計量工程入力",OR($D419="個",$D419="切",$D419="本",$D419="枚",$D419="尾")),"① 未紐づけ(カット個単位は仮単価なし)","① 未紐づけ"))),IF(NOT(ISNUMBER($H419)),"② 工程側に単価なし",IF($D419="","③ 単位未設定(個で計算)","④ OK"))))</f>
        <v/>
      </c>
      <c r="J419" s="399">
        <f>IFERROR(LOOKUP(2,1/((中間品リスト!$F$2:$F$1299=$B419)*(中間品リスト!$E$2:$E$1299&lt;&gt;"-")*(中間品リスト!$E$2:$E$1299&lt;&gt;"")),中間品リスト!$E$2:$E$1299),"")</f>
        <v/>
      </c>
      <c r="K419" s="400">
        <f>IF($J419="",0,COUNTIF(②釜工程入力!$S$5:$S$117,$J419)+COUNTIF(③スチコン工程入力!$S$5:$S$152,$J419)+COUNTIF(⑪ZEN工程入力!$S$6:$S$35,$J419)+COUNTIF(⑫ミキサー工程入力!$S$6:$S$65,$J419)+COUNTIF(⑬計量工程入力!$S$6:$S$65,$J419)+COUNTIF(⑭手動工程入力!$S$6:$S$47,$J419))</f>
        <v/>
      </c>
      <c r="L419" s="393">
        <f>IF($J419="",0,SUMIFS(②釜工程入力!$M$5:$M$117,②釜工程入力!$S$5:$S$117,$J419,②釜工程入力!$I$5:$I$117,"&gt;0")+SUMIFS(③スチコン工程入力!$M$5:$M$152,③スチコン工程入力!$S$5:$S$152,$J419,③スチコン工程入力!$I$5:$I$152,"&gt;0")+SUMIFS(⑪ZEN工程入力!$M$6:$M$35,⑪ZEN工程入力!$S$6:$S$35,$J419,⑪ZEN工程入力!$I$6:$I$35,"&gt;0")+SUMIFS(⑫ミキサー工程入力!$M$6:$M$65,⑫ミキサー工程入力!$S$6:$S$65,$J419,⑫ミキサー工程入力!$I$6:$I$65,"&gt;0")+SUMIFS(⑬計量工程入力!$M$6:$M$65,⑬計量工程入力!$S$6:$S$65,$J419,⑬計量工程入力!$I$6:$I$65,"&gt;0")+SUMIFS(⑭手動工程入力!$M$6:$M$47,⑭手動工程入力!$S$6:$S$47,$J419,⑭手動工程入力!$I$6:$I$47,"&gt;0"))</f>
        <v/>
      </c>
      <c r="M419" s="393">
        <f>IF($J419="",0,SUMIFS(②釜工程入力!$I$5:$I$117,②釜工程入力!$S$5:$S$117,$J419,②釜工程入力!$I$5:$I$117,"&gt;0",②釜工程入力!$M$5:$M$117,"&gt;0")+SUMIFS(③スチコン工程入力!$I$5:$I$152,③スチコン工程入力!$S$5:$S$152,$J419,③スチコン工程入力!$I$5:$I$152,"&gt;0",③スチコン工程入力!$M$5:$M$152,"&gt;0")+SUMIFS(⑪ZEN工程入力!$I$6:$I$35,⑪ZEN工程入力!$S$6:$S$35,$J419,⑪ZEN工程入力!$I$6:$I$35,"&gt;0",⑪ZEN工程入力!$M$6:$M$35,"&gt;0")+SUMIFS(⑫ミキサー工程入力!$I$6:$I$65,⑫ミキサー工程入力!$S$6:$S$65,$J419,⑫ミキサー工程入力!$I$6:$I$65,"&gt;0",⑫ミキサー工程入力!$M$6:$M$65,"&gt;0")+SUMIFS(⑬計量工程入力!$I$6:$I$65,⑬計量工程入力!$S$6:$S$65,$J419,⑬計量工程入力!$I$6:$I$65,"&gt;0",⑬計量工程入力!$M$6:$M$65,"&gt;0")+SUMIFS(⑭手動工程入力!$I$6:$I$47,⑭手動工程入力!$S$6:$S$47,$J419,⑭手動工程入力!$I$6:$I$47,"&gt;0",⑭手動工程入力!$M$6:$M$47,"&gt;0"))</f>
        <v/>
      </c>
      <c r="N419" s="393">
        <f>IF($J419="",0,SUMIFS(②釜工程入力!$M$5:$M$117,②釜工程入力!$S$5:$S$117,$J419,②釜工程入力!$J$5:$J$117,"&gt;0")-SUMIFS(②釜工程入力!$M$5:$M$117,②釜工程入力!$S$5:$S$117,$J419,②釜工程入力!$J$5:$J$117,"&gt;0",②釜工程入力!$I$5:$I$117,"&gt;0")+SUMIFS(③スチコン工程入力!$M$5:$M$152,③スチコン工程入力!$S$5:$S$152,$J419,③スチコン工程入力!$J$5:$J$152,"&gt;0")-SUMIFS(③スチコン工程入力!$M$5:$M$152,③スチコン工程入力!$S$5:$S$152,$J419,③スチコン工程入力!$J$5:$J$152,"&gt;0",③スチコン工程入力!$I$5:$I$152,"&gt;0")+SUMIFS(⑪ZEN工程入力!$M$6:$M$35,⑪ZEN工程入力!$S$6:$S$35,$J419,⑪ZEN工程入力!$J$6:$J$35,"&gt;0")-SUMIFS(⑪ZEN工程入力!$M$6:$M$35,⑪ZEN工程入力!$S$6:$S$35,$J419,⑪ZEN工程入力!$J$6:$J$35,"&gt;0",⑪ZEN工程入力!$I$6:$I$35,"&gt;0")+SUMIFS(⑫ミキサー工程入力!$M$6:$M$65,⑫ミキサー工程入力!$S$6:$S$65,$J419,⑫ミキサー工程入力!$J$6:$J$65,"&gt;0")-SUMIFS(⑫ミキサー工程入力!$M$6:$M$65,⑫ミキサー工程入力!$S$6:$S$65,$J419,⑫ミキサー工程入力!$J$6:$J$65,"&gt;0",⑫ミキサー工程入力!$I$6:$I$65,"&gt;0")+SUMIFS(⑬計量工程入力!$M$6:$M$65,⑬計量工程入力!$S$6:$S$65,$J419,⑬計量工程入力!$J$6:$J$65,"&gt;0")-SUMIFS(⑬計量工程入力!$M$6:$M$65,⑬計量工程入力!$S$6:$S$65,$J419,⑬計量工程入力!$J$6:$J$65,"&gt;0",⑬計量工程入力!$I$6:$I$65,"&gt;0")+SUMIFS(⑭手動工程入力!$M$6:$M$47,⑭手動工程入力!$S$6:$S$47,$J419,⑭手動工程入力!$J$6:$J$47,"&gt;0")-SUMIFS(⑭手動工程入力!$M$6:$M$47,⑭手動工程入力!$S$6:$S$47,$J419,⑭手動工程入力!$J$6:$J$47,"&gt;0",⑭手動工程入力!$I$6:$I$47,"&gt;0"))</f>
        <v/>
      </c>
      <c r="O419" s="393">
        <f>IF($J419="",0,SUMIFS(②釜工程入力!$J$5:$J$117,②釜工程入力!$S$5:$S$117,$J419,②釜工程入力!$J$5:$J$117,"&gt;0",②釜工程入力!$M$5:$M$117,"&gt;0")-SUMIFS(②釜工程入力!$J$5:$J$117,②釜工程入力!$S$5:$S$117,$J419,②釜工程入力!$J$5:$J$117,"&gt;0",②釜工程入力!$I$5:$I$117,"&gt;0",②釜工程入力!$M$5:$M$117,"&gt;0")+SUMIFS(③スチコン工程入力!$J$5:$J$152,③スチコン工程入力!$S$5:$S$152,$J419,③スチコン工程入力!$J$5:$J$152,"&gt;0",③スチコン工程入力!$M$5:$M$152,"&gt;0")-SUMIFS(③スチコン工程入力!$J$5:$J$152,③スチコン工程入力!$S$5:$S$152,$J419,③スチコン工程入力!$J$5:$J$152,"&gt;0",③スチコン工程入力!$I$5:$I$152,"&gt;0",③スチコン工程入力!$M$5:$M$152,"&gt;0")+SUMIFS(⑪ZEN工程入力!$J$6:$J$35,⑪ZEN工程入力!$S$6:$S$35,$J419,⑪ZEN工程入力!$J$6:$J$35,"&gt;0",⑪ZEN工程入力!$M$6:$M$35,"&gt;0")-SUMIFS(⑪ZEN工程入力!$J$6:$J$35,⑪ZEN工程入力!$S$6:$S$35,$J419,⑪ZEN工程入力!$J$6:$J$35,"&gt;0",⑪ZEN工程入力!$I$6:$I$35,"&gt;0",⑪ZEN工程入力!$M$6:$M$35,"&gt;0")+SUMIFS(⑫ミキサー工程入力!$J$6:$J$65,⑫ミキサー工程入力!$S$6:$S$65,$J419,⑫ミキサー工程入力!$J$6:$J$65,"&gt;0",⑫ミキサー工程入力!$M$6:$M$65,"&gt;0")-SUMIFS(⑫ミキサー工程入力!$J$6:$J$65,⑫ミキサー工程入力!$S$6:$S$65,$J419,⑫ミキサー工程入力!$J$6:$J$65,"&gt;0",⑫ミキサー工程入力!$I$6:$I$65,"&gt;0",⑫ミキサー工程入力!$M$6:$M$65,"&gt;0")+SUMIFS(⑬計量工程入力!$J$6:$J$65,⑬計量工程入力!$S$6:$S$65,$J419,⑬計量工程入力!$J$6:$J$65,"&gt;0",⑬計量工程入力!$M$6:$M$65,"&gt;0")-SUMIFS(⑬計量工程入力!$J$6:$J$65,⑬計量工程入力!$S$6:$S$65,$J419,⑬計量工程入力!$J$6:$J$65,"&gt;0",⑬計量工程入力!$I$6:$I$65,"&gt;0",⑬計量工程入力!$M$6:$M$65,"&gt;0")+SUMIFS(⑭手動工程入力!$J$6:$J$47,⑭手動工程入力!$S$6:$S$47,$J419,⑭手動工程入力!$J$6:$J$47,"&gt;0",⑭手動工程入力!$M$6:$M$47,"&gt;0")-SUMIFS(⑭手動工程入力!$J$6:$J$47,⑭手動工程入力!$S$6:$S$47,$J419,⑭手動工程入力!$J$6:$J$47,"&gt;0",⑭手動工程入力!$I$6:$I$47,"&gt;0",⑭手動工程入力!$M$6:$M$47,"&gt;0"))</f>
        <v/>
      </c>
      <c r="P419" s="392" t="n"/>
    </row>
    <row r="420">
      <c r="A420" s="392" t="n">
        <v>416</v>
      </c>
      <c r="B420" s="392" t="n"/>
      <c r="C420" s="392" t="n"/>
      <c r="D420" s="392" t="n"/>
      <c r="E420" s="392" t="n"/>
      <c r="F420" s="394" t="n"/>
      <c r="G420" s="392" t="n"/>
      <c r="H420" s="604">
        <f>IFERROR(IF(AND($K420&gt;0,ISNUMBER(IF(OR($D420="g",$D420="ｇ"),IF($M420&gt;0,$L420/$M420/1000,""),IF($D420="kg",IF($M420&gt;0,$L420/$M420,""),IF($D420="",IF($M420&gt;0,$L420/$M420/1000,IF($O420&gt;0,$N420/$O420,"")),IF($O420&gt;0,$N420/$O420,"")))))),IF(OR($D420="g",$D420="ｇ"),IF($M420&gt;0,$L420/$M420/1000,""),IF($D420="kg",IF($M420&gt;0,$L420/$M420,""),IF($D420="",IF($M420&gt;0,$L420/$M420/1000,IF($O420&gt;0,$N420/$O420,"")),IF($O420&gt;0,$N420/$O420,"")))),IF($F420="",IF(OR($E420="",$E420="⑩盛付梱包工程入力"),"",IF(OR($D420="g",$D420="ｇ"),INDEX(⑰工程労務費一覧!$N$5:$N$11,MATCH($E420,⑰工程労務費一覧!$K$5:$K$11,0))/1000,IF($D420="kg",INDEX(⑰工程労務費一覧!$N$5:$N$11,MATCH($E420,⑰工程労務費一覧!$K$5:$K$11,0)),IF(OR($D420="個",$D420="切",$D420="本",$D420="枚",$D420="尾"),IF($E420="⑬計量工程入力","",INDEX(⑰工程労務費一覧!$P$5:$P$11,MATCH($E420,⑰工程労務費一覧!$K$5:$K$11,0))),IF(AND($D420="",OR($E420="②釜工程入力",$E420="③スチコン工程入力")),INDEX(⑰工程労務費一覧!$N$5:$N$11,MATCH($E420,⑰工程労務費一覧!$K$5:$K$11,0))/1000,""))))),IF(OR($D420="g",$D420="ｇ"),INDEX(⑰工程労務費一覧!$H$5:$H$753,MATCH($F420,⑰工程労務費一覧!$D$5:$D$753,0))/1000,IF($D420="kg",INDEX(⑰工程労務費一覧!$H$5:$H$753,MATCH($F420,⑰工程労務費一覧!$D$5:$D$753,0)),INDEX(⑰工程労務費一覧!$I$5:$I$753,MATCH($F420,⑰工程労務費一覧!$D$5:$D$753,0)))))),"")</f>
        <v/>
      </c>
      <c r="I420" s="392">
        <f>IF($K420&gt;0,IF(ISNUMBER(IF(OR($D420="g",$D420="ｇ"),IF($M420&gt;0,$L420/$M420/1000,""),IF($D420="kg",IF($M420&gt;0,$L420/$M420,""),IF($D420="",IF($M420&gt;0,$L420/$M420/1000,IF($O420&gt;0,$N420/$O420,"")),IF($O420&gt;0,$N420/$O420,""))))),IF($D420="",IF($M420&gt;0,"◎ JAN紐づけ(g扱い)","◎ JAN紐づけ(個扱い)"),"◎ JAN紐づけ"),"△ JAN紐づけ済・実績不足→仮計算"),IF($F420="",IF(ISNUMBER($H420),IF($D420="","⑤ 工程平均で仮計算(g扱い)","⑤ 工程平均で仮計算"),IF($E420="⑩盛付梱包工程入力","⑥ 盛り込み(⑳F列で計上)",IF(AND($E420="⑬計量工程入力",OR($D420="個",$D420="切",$D420="本",$D420="枚",$D420="尾")),"① 未紐づけ(カット個単位は仮単価なし)","① 未紐づけ"))),IF(NOT(ISNUMBER($H420)),"② 工程側に単価なし",IF($D420="","③ 単位未設定(個で計算)","④ OK"))))</f>
        <v/>
      </c>
      <c r="J420" s="399">
        <f>IFERROR(LOOKUP(2,1/((中間品リスト!$F$2:$F$1299=$B420)*(中間品リスト!$E$2:$E$1299&lt;&gt;"-")*(中間品リスト!$E$2:$E$1299&lt;&gt;"")),中間品リスト!$E$2:$E$1299),"")</f>
        <v/>
      </c>
      <c r="K420" s="400">
        <f>IF($J420="",0,COUNTIF(②釜工程入力!$S$5:$S$117,$J420)+COUNTIF(③スチコン工程入力!$S$5:$S$152,$J420)+COUNTIF(⑪ZEN工程入力!$S$6:$S$35,$J420)+COUNTIF(⑫ミキサー工程入力!$S$6:$S$65,$J420)+COUNTIF(⑬計量工程入力!$S$6:$S$65,$J420)+COUNTIF(⑭手動工程入力!$S$6:$S$47,$J420))</f>
        <v/>
      </c>
      <c r="L420" s="393">
        <f>IF($J420="",0,SUMIFS(②釜工程入力!$M$5:$M$117,②釜工程入力!$S$5:$S$117,$J420,②釜工程入力!$I$5:$I$117,"&gt;0")+SUMIFS(③スチコン工程入力!$M$5:$M$152,③スチコン工程入力!$S$5:$S$152,$J420,③スチコン工程入力!$I$5:$I$152,"&gt;0")+SUMIFS(⑪ZEN工程入力!$M$6:$M$35,⑪ZEN工程入力!$S$6:$S$35,$J420,⑪ZEN工程入力!$I$6:$I$35,"&gt;0")+SUMIFS(⑫ミキサー工程入力!$M$6:$M$65,⑫ミキサー工程入力!$S$6:$S$65,$J420,⑫ミキサー工程入力!$I$6:$I$65,"&gt;0")+SUMIFS(⑬計量工程入力!$M$6:$M$65,⑬計量工程入力!$S$6:$S$65,$J420,⑬計量工程入力!$I$6:$I$65,"&gt;0")+SUMIFS(⑭手動工程入力!$M$6:$M$47,⑭手動工程入力!$S$6:$S$47,$J420,⑭手動工程入力!$I$6:$I$47,"&gt;0"))</f>
        <v/>
      </c>
      <c r="M420" s="393">
        <f>IF($J420="",0,SUMIFS(②釜工程入力!$I$5:$I$117,②釜工程入力!$S$5:$S$117,$J420,②釜工程入力!$I$5:$I$117,"&gt;0",②釜工程入力!$M$5:$M$117,"&gt;0")+SUMIFS(③スチコン工程入力!$I$5:$I$152,③スチコン工程入力!$S$5:$S$152,$J420,③スチコン工程入力!$I$5:$I$152,"&gt;0",③スチコン工程入力!$M$5:$M$152,"&gt;0")+SUMIFS(⑪ZEN工程入力!$I$6:$I$35,⑪ZEN工程入力!$S$6:$S$35,$J420,⑪ZEN工程入力!$I$6:$I$35,"&gt;0",⑪ZEN工程入力!$M$6:$M$35,"&gt;0")+SUMIFS(⑫ミキサー工程入力!$I$6:$I$65,⑫ミキサー工程入力!$S$6:$S$65,$J420,⑫ミキサー工程入力!$I$6:$I$65,"&gt;0",⑫ミキサー工程入力!$M$6:$M$65,"&gt;0")+SUMIFS(⑬計量工程入力!$I$6:$I$65,⑬計量工程入力!$S$6:$S$65,$J420,⑬計量工程入力!$I$6:$I$65,"&gt;0",⑬計量工程入力!$M$6:$M$65,"&gt;0")+SUMIFS(⑭手動工程入力!$I$6:$I$47,⑭手動工程入力!$S$6:$S$47,$J420,⑭手動工程入力!$I$6:$I$47,"&gt;0",⑭手動工程入力!$M$6:$M$47,"&gt;0"))</f>
        <v/>
      </c>
      <c r="N420" s="393">
        <f>IF($J420="",0,SUMIFS(②釜工程入力!$M$5:$M$117,②釜工程入力!$S$5:$S$117,$J420,②釜工程入力!$J$5:$J$117,"&gt;0")-SUMIFS(②釜工程入力!$M$5:$M$117,②釜工程入力!$S$5:$S$117,$J420,②釜工程入力!$J$5:$J$117,"&gt;0",②釜工程入力!$I$5:$I$117,"&gt;0")+SUMIFS(③スチコン工程入力!$M$5:$M$152,③スチコン工程入力!$S$5:$S$152,$J420,③スチコン工程入力!$J$5:$J$152,"&gt;0")-SUMIFS(③スチコン工程入力!$M$5:$M$152,③スチコン工程入力!$S$5:$S$152,$J420,③スチコン工程入力!$J$5:$J$152,"&gt;0",③スチコン工程入力!$I$5:$I$152,"&gt;0")+SUMIFS(⑪ZEN工程入力!$M$6:$M$35,⑪ZEN工程入力!$S$6:$S$35,$J420,⑪ZEN工程入力!$J$6:$J$35,"&gt;0")-SUMIFS(⑪ZEN工程入力!$M$6:$M$35,⑪ZEN工程入力!$S$6:$S$35,$J420,⑪ZEN工程入力!$J$6:$J$35,"&gt;0",⑪ZEN工程入力!$I$6:$I$35,"&gt;0")+SUMIFS(⑫ミキサー工程入力!$M$6:$M$65,⑫ミキサー工程入力!$S$6:$S$65,$J420,⑫ミキサー工程入力!$J$6:$J$65,"&gt;0")-SUMIFS(⑫ミキサー工程入力!$M$6:$M$65,⑫ミキサー工程入力!$S$6:$S$65,$J420,⑫ミキサー工程入力!$J$6:$J$65,"&gt;0",⑫ミキサー工程入力!$I$6:$I$65,"&gt;0")+SUMIFS(⑬計量工程入力!$M$6:$M$65,⑬計量工程入力!$S$6:$S$65,$J420,⑬計量工程入力!$J$6:$J$65,"&gt;0")-SUMIFS(⑬計量工程入力!$M$6:$M$65,⑬計量工程入力!$S$6:$S$65,$J420,⑬計量工程入力!$J$6:$J$65,"&gt;0",⑬計量工程入力!$I$6:$I$65,"&gt;0")+SUMIFS(⑭手動工程入力!$M$6:$M$47,⑭手動工程入力!$S$6:$S$47,$J420,⑭手動工程入力!$J$6:$J$47,"&gt;0")-SUMIFS(⑭手動工程入力!$M$6:$M$47,⑭手動工程入力!$S$6:$S$47,$J420,⑭手動工程入力!$J$6:$J$47,"&gt;0",⑭手動工程入力!$I$6:$I$47,"&gt;0"))</f>
        <v/>
      </c>
      <c r="O420" s="393">
        <f>IF($J420="",0,SUMIFS(②釜工程入力!$J$5:$J$117,②釜工程入力!$S$5:$S$117,$J420,②釜工程入力!$J$5:$J$117,"&gt;0",②釜工程入力!$M$5:$M$117,"&gt;0")-SUMIFS(②釜工程入力!$J$5:$J$117,②釜工程入力!$S$5:$S$117,$J420,②釜工程入力!$J$5:$J$117,"&gt;0",②釜工程入力!$I$5:$I$117,"&gt;0",②釜工程入力!$M$5:$M$117,"&gt;0")+SUMIFS(③スチコン工程入力!$J$5:$J$152,③スチコン工程入力!$S$5:$S$152,$J420,③スチコン工程入力!$J$5:$J$152,"&gt;0",③スチコン工程入力!$M$5:$M$152,"&gt;0")-SUMIFS(③スチコン工程入力!$J$5:$J$152,③スチコン工程入力!$S$5:$S$152,$J420,③スチコン工程入力!$J$5:$J$152,"&gt;0",③スチコン工程入力!$I$5:$I$152,"&gt;0",③スチコン工程入力!$M$5:$M$152,"&gt;0")+SUMIFS(⑪ZEN工程入力!$J$6:$J$35,⑪ZEN工程入力!$S$6:$S$35,$J420,⑪ZEN工程入力!$J$6:$J$35,"&gt;0",⑪ZEN工程入力!$M$6:$M$35,"&gt;0")-SUMIFS(⑪ZEN工程入力!$J$6:$J$35,⑪ZEN工程入力!$S$6:$S$35,$J420,⑪ZEN工程入力!$J$6:$J$35,"&gt;0",⑪ZEN工程入力!$I$6:$I$35,"&gt;0",⑪ZEN工程入力!$M$6:$M$35,"&gt;0")+SUMIFS(⑫ミキサー工程入力!$J$6:$J$65,⑫ミキサー工程入力!$S$6:$S$65,$J420,⑫ミキサー工程入力!$J$6:$J$65,"&gt;0",⑫ミキサー工程入力!$M$6:$M$65,"&gt;0")-SUMIFS(⑫ミキサー工程入力!$J$6:$J$65,⑫ミキサー工程入力!$S$6:$S$65,$J420,⑫ミキサー工程入力!$J$6:$J$65,"&gt;0",⑫ミキサー工程入力!$I$6:$I$65,"&gt;0",⑫ミキサー工程入力!$M$6:$M$65,"&gt;0")+SUMIFS(⑬計量工程入力!$J$6:$J$65,⑬計量工程入力!$S$6:$S$65,$J420,⑬計量工程入力!$J$6:$J$65,"&gt;0",⑬計量工程入力!$M$6:$M$65,"&gt;0")-SUMIFS(⑬計量工程入力!$J$6:$J$65,⑬計量工程入力!$S$6:$S$65,$J420,⑬計量工程入力!$J$6:$J$65,"&gt;0",⑬計量工程入力!$I$6:$I$65,"&gt;0",⑬計量工程入力!$M$6:$M$65,"&gt;0")+SUMIFS(⑭手動工程入力!$J$6:$J$47,⑭手動工程入力!$S$6:$S$47,$J420,⑭手動工程入力!$J$6:$J$47,"&gt;0",⑭手動工程入力!$M$6:$M$47,"&gt;0")-SUMIFS(⑭手動工程入力!$J$6:$J$47,⑭手動工程入力!$S$6:$S$47,$J420,⑭手動工程入力!$J$6:$J$47,"&gt;0",⑭手動工程入力!$I$6:$I$47,"&gt;0",⑭手動工程入力!$M$6:$M$47,"&gt;0"))</f>
        <v/>
      </c>
      <c r="P420" s="392" t="n"/>
    </row>
    <row r="421">
      <c r="A421" s="392" t="n">
        <v>417</v>
      </c>
      <c r="B421" s="392" t="n"/>
      <c r="C421" s="392" t="n"/>
      <c r="D421" s="392" t="n"/>
      <c r="E421" s="392" t="n"/>
      <c r="F421" s="394" t="n"/>
      <c r="G421" s="392" t="n"/>
      <c r="H421" s="604">
        <f>IFERROR(IF(AND($K421&gt;0,ISNUMBER(IF(OR($D421="g",$D421="ｇ"),IF($M421&gt;0,$L421/$M421/1000,""),IF($D421="kg",IF($M421&gt;0,$L421/$M421,""),IF($D421="",IF($M421&gt;0,$L421/$M421/1000,IF($O421&gt;0,$N421/$O421,"")),IF($O421&gt;0,$N421/$O421,"")))))),IF(OR($D421="g",$D421="ｇ"),IF($M421&gt;0,$L421/$M421/1000,""),IF($D421="kg",IF($M421&gt;0,$L421/$M421,""),IF($D421="",IF($M421&gt;0,$L421/$M421/1000,IF($O421&gt;0,$N421/$O421,"")),IF($O421&gt;0,$N421/$O421,"")))),IF($F421="",IF(OR($E421="",$E421="⑩盛付梱包工程入力"),"",IF(OR($D421="g",$D421="ｇ"),INDEX(⑰工程労務費一覧!$N$5:$N$11,MATCH($E421,⑰工程労務費一覧!$K$5:$K$11,0))/1000,IF($D421="kg",INDEX(⑰工程労務費一覧!$N$5:$N$11,MATCH($E421,⑰工程労務費一覧!$K$5:$K$11,0)),IF(OR($D421="個",$D421="切",$D421="本",$D421="枚",$D421="尾"),IF($E421="⑬計量工程入力","",INDEX(⑰工程労務費一覧!$P$5:$P$11,MATCH($E421,⑰工程労務費一覧!$K$5:$K$11,0))),IF(AND($D421="",OR($E421="②釜工程入力",$E421="③スチコン工程入力")),INDEX(⑰工程労務費一覧!$N$5:$N$11,MATCH($E421,⑰工程労務費一覧!$K$5:$K$11,0))/1000,""))))),IF(OR($D421="g",$D421="ｇ"),INDEX(⑰工程労務費一覧!$H$5:$H$753,MATCH($F421,⑰工程労務費一覧!$D$5:$D$753,0))/1000,IF($D421="kg",INDEX(⑰工程労務費一覧!$H$5:$H$753,MATCH($F421,⑰工程労務費一覧!$D$5:$D$753,0)),INDEX(⑰工程労務費一覧!$I$5:$I$753,MATCH($F421,⑰工程労務費一覧!$D$5:$D$753,0)))))),"")</f>
        <v/>
      </c>
      <c r="I421" s="392">
        <f>IF($K421&gt;0,IF(ISNUMBER(IF(OR($D421="g",$D421="ｇ"),IF($M421&gt;0,$L421/$M421/1000,""),IF($D421="kg",IF($M421&gt;0,$L421/$M421,""),IF($D421="",IF($M421&gt;0,$L421/$M421/1000,IF($O421&gt;0,$N421/$O421,"")),IF($O421&gt;0,$N421/$O421,""))))),IF($D421="",IF($M421&gt;0,"◎ JAN紐づけ(g扱い)","◎ JAN紐づけ(個扱い)"),"◎ JAN紐づけ"),"△ JAN紐づけ済・実績不足→仮計算"),IF($F421="",IF(ISNUMBER($H421),IF($D421="","⑤ 工程平均で仮計算(g扱い)","⑤ 工程平均で仮計算"),IF($E421="⑩盛付梱包工程入力","⑥ 盛り込み(⑳F列で計上)",IF(AND($E421="⑬計量工程入力",OR($D421="個",$D421="切",$D421="本",$D421="枚",$D421="尾")),"① 未紐づけ(カット個単位は仮単価なし)","① 未紐づけ"))),IF(NOT(ISNUMBER($H421)),"② 工程側に単価なし",IF($D421="","③ 単位未設定(個で計算)","④ OK"))))</f>
        <v/>
      </c>
      <c r="J421" s="399">
        <f>IFERROR(LOOKUP(2,1/((中間品リスト!$F$2:$F$1299=$B421)*(中間品リスト!$E$2:$E$1299&lt;&gt;"-")*(中間品リスト!$E$2:$E$1299&lt;&gt;"")),中間品リスト!$E$2:$E$1299),"")</f>
        <v/>
      </c>
      <c r="K421" s="400">
        <f>IF($J421="",0,COUNTIF(②釜工程入力!$S$5:$S$117,$J421)+COUNTIF(③スチコン工程入力!$S$5:$S$152,$J421)+COUNTIF(⑪ZEN工程入力!$S$6:$S$35,$J421)+COUNTIF(⑫ミキサー工程入力!$S$6:$S$65,$J421)+COUNTIF(⑬計量工程入力!$S$6:$S$65,$J421)+COUNTIF(⑭手動工程入力!$S$6:$S$47,$J421))</f>
        <v/>
      </c>
      <c r="L421" s="393">
        <f>IF($J421="",0,SUMIFS(②釜工程入力!$M$5:$M$117,②釜工程入力!$S$5:$S$117,$J421,②釜工程入力!$I$5:$I$117,"&gt;0")+SUMIFS(③スチコン工程入力!$M$5:$M$152,③スチコン工程入力!$S$5:$S$152,$J421,③スチコン工程入力!$I$5:$I$152,"&gt;0")+SUMIFS(⑪ZEN工程入力!$M$6:$M$35,⑪ZEN工程入力!$S$6:$S$35,$J421,⑪ZEN工程入力!$I$6:$I$35,"&gt;0")+SUMIFS(⑫ミキサー工程入力!$M$6:$M$65,⑫ミキサー工程入力!$S$6:$S$65,$J421,⑫ミキサー工程入力!$I$6:$I$65,"&gt;0")+SUMIFS(⑬計量工程入力!$M$6:$M$65,⑬計量工程入力!$S$6:$S$65,$J421,⑬計量工程入力!$I$6:$I$65,"&gt;0")+SUMIFS(⑭手動工程入力!$M$6:$M$47,⑭手動工程入力!$S$6:$S$47,$J421,⑭手動工程入力!$I$6:$I$47,"&gt;0"))</f>
        <v/>
      </c>
      <c r="M421" s="393">
        <f>IF($J421="",0,SUMIFS(②釜工程入力!$I$5:$I$117,②釜工程入力!$S$5:$S$117,$J421,②釜工程入力!$I$5:$I$117,"&gt;0",②釜工程入力!$M$5:$M$117,"&gt;0")+SUMIFS(③スチコン工程入力!$I$5:$I$152,③スチコン工程入力!$S$5:$S$152,$J421,③スチコン工程入力!$I$5:$I$152,"&gt;0",③スチコン工程入力!$M$5:$M$152,"&gt;0")+SUMIFS(⑪ZEN工程入力!$I$6:$I$35,⑪ZEN工程入力!$S$6:$S$35,$J421,⑪ZEN工程入力!$I$6:$I$35,"&gt;0",⑪ZEN工程入力!$M$6:$M$35,"&gt;0")+SUMIFS(⑫ミキサー工程入力!$I$6:$I$65,⑫ミキサー工程入力!$S$6:$S$65,$J421,⑫ミキサー工程入力!$I$6:$I$65,"&gt;0",⑫ミキサー工程入力!$M$6:$M$65,"&gt;0")+SUMIFS(⑬計量工程入力!$I$6:$I$65,⑬計量工程入力!$S$6:$S$65,$J421,⑬計量工程入力!$I$6:$I$65,"&gt;0",⑬計量工程入力!$M$6:$M$65,"&gt;0")+SUMIFS(⑭手動工程入力!$I$6:$I$47,⑭手動工程入力!$S$6:$S$47,$J421,⑭手動工程入力!$I$6:$I$47,"&gt;0",⑭手動工程入力!$M$6:$M$47,"&gt;0"))</f>
        <v/>
      </c>
      <c r="N421" s="393">
        <f>IF($J421="",0,SUMIFS(②釜工程入力!$M$5:$M$117,②釜工程入力!$S$5:$S$117,$J421,②釜工程入力!$J$5:$J$117,"&gt;0")-SUMIFS(②釜工程入力!$M$5:$M$117,②釜工程入力!$S$5:$S$117,$J421,②釜工程入力!$J$5:$J$117,"&gt;0",②釜工程入力!$I$5:$I$117,"&gt;0")+SUMIFS(③スチコン工程入力!$M$5:$M$152,③スチコン工程入力!$S$5:$S$152,$J421,③スチコン工程入力!$J$5:$J$152,"&gt;0")-SUMIFS(③スチコン工程入力!$M$5:$M$152,③スチコン工程入力!$S$5:$S$152,$J421,③スチコン工程入力!$J$5:$J$152,"&gt;0",③スチコン工程入力!$I$5:$I$152,"&gt;0")+SUMIFS(⑪ZEN工程入力!$M$6:$M$35,⑪ZEN工程入力!$S$6:$S$35,$J421,⑪ZEN工程入力!$J$6:$J$35,"&gt;0")-SUMIFS(⑪ZEN工程入力!$M$6:$M$35,⑪ZEN工程入力!$S$6:$S$35,$J421,⑪ZEN工程入力!$J$6:$J$35,"&gt;0",⑪ZEN工程入力!$I$6:$I$35,"&gt;0")+SUMIFS(⑫ミキサー工程入力!$M$6:$M$65,⑫ミキサー工程入力!$S$6:$S$65,$J421,⑫ミキサー工程入力!$J$6:$J$65,"&gt;0")-SUMIFS(⑫ミキサー工程入力!$M$6:$M$65,⑫ミキサー工程入力!$S$6:$S$65,$J421,⑫ミキサー工程入力!$J$6:$J$65,"&gt;0",⑫ミキサー工程入力!$I$6:$I$65,"&gt;0")+SUMIFS(⑬計量工程入力!$M$6:$M$65,⑬計量工程入力!$S$6:$S$65,$J421,⑬計量工程入力!$J$6:$J$65,"&gt;0")-SUMIFS(⑬計量工程入力!$M$6:$M$65,⑬計量工程入力!$S$6:$S$65,$J421,⑬計量工程入力!$J$6:$J$65,"&gt;0",⑬計量工程入力!$I$6:$I$65,"&gt;0")+SUMIFS(⑭手動工程入力!$M$6:$M$47,⑭手動工程入力!$S$6:$S$47,$J421,⑭手動工程入力!$J$6:$J$47,"&gt;0")-SUMIFS(⑭手動工程入力!$M$6:$M$47,⑭手動工程入力!$S$6:$S$47,$J421,⑭手動工程入力!$J$6:$J$47,"&gt;0",⑭手動工程入力!$I$6:$I$47,"&gt;0"))</f>
        <v/>
      </c>
      <c r="O421" s="393">
        <f>IF($J421="",0,SUMIFS(②釜工程入力!$J$5:$J$117,②釜工程入力!$S$5:$S$117,$J421,②釜工程入力!$J$5:$J$117,"&gt;0",②釜工程入力!$M$5:$M$117,"&gt;0")-SUMIFS(②釜工程入力!$J$5:$J$117,②釜工程入力!$S$5:$S$117,$J421,②釜工程入力!$J$5:$J$117,"&gt;0",②釜工程入力!$I$5:$I$117,"&gt;0",②釜工程入力!$M$5:$M$117,"&gt;0")+SUMIFS(③スチコン工程入力!$J$5:$J$152,③スチコン工程入力!$S$5:$S$152,$J421,③スチコン工程入力!$J$5:$J$152,"&gt;0",③スチコン工程入力!$M$5:$M$152,"&gt;0")-SUMIFS(③スチコン工程入力!$J$5:$J$152,③スチコン工程入力!$S$5:$S$152,$J421,③スチコン工程入力!$J$5:$J$152,"&gt;0",③スチコン工程入力!$I$5:$I$152,"&gt;0",③スチコン工程入力!$M$5:$M$152,"&gt;0")+SUMIFS(⑪ZEN工程入力!$J$6:$J$35,⑪ZEN工程入力!$S$6:$S$35,$J421,⑪ZEN工程入力!$J$6:$J$35,"&gt;0",⑪ZEN工程入力!$M$6:$M$35,"&gt;0")-SUMIFS(⑪ZEN工程入力!$J$6:$J$35,⑪ZEN工程入力!$S$6:$S$35,$J421,⑪ZEN工程入力!$J$6:$J$35,"&gt;0",⑪ZEN工程入力!$I$6:$I$35,"&gt;0",⑪ZEN工程入力!$M$6:$M$35,"&gt;0")+SUMIFS(⑫ミキサー工程入力!$J$6:$J$65,⑫ミキサー工程入力!$S$6:$S$65,$J421,⑫ミキサー工程入力!$J$6:$J$65,"&gt;0",⑫ミキサー工程入力!$M$6:$M$65,"&gt;0")-SUMIFS(⑫ミキサー工程入力!$J$6:$J$65,⑫ミキサー工程入力!$S$6:$S$65,$J421,⑫ミキサー工程入力!$J$6:$J$65,"&gt;0",⑫ミキサー工程入力!$I$6:$I$65,"&gt;0",⑫ミキサー工程入力!$M$6:$M$65,"&gt;0")+SUMIFS(⑬計量工程入力!$J$6:$J$65,⑬計量工程入力!$S$6:$S$65,$J421,⑬計量工程入力!$J$6:$J$65,"&gt;0",⑬計量工程入力!$M$6:$M$65,"&gt;0")-SUMIFS(⑬計量工程入力!$J$6:$J$65,⑬計量工程入力!$S$6:$S$65,$J421,⑬計量工程入力!$J$6:$J$65,"&gt;0",⑬計量工程入力!$I$6:$I$65,"&gt;0",⑬計量工程入力!$M$6:$M$65,"&gt;0")+SUMIFS(⑭手動工程入力!$J$6:$J$47,⑭手動工程入力!$S$6:$S$47,$J421,⑭手動工程入力!$J$6:$J$47,"&gt;0",⑭手動工程入力!$M$6:$M$47,"&gt;0")-SUMIFS(⑭手動工程入力!$J$6:$J$47,⑭手動工程入力!$S$6:$S$47,$J421,⑭手動工程入力!$J$6:$J$47,"&gt;0",⑭手動工程入力!$I$6:$I$47,"&gt;0",⑭手動工程入力!$M$6:$M$47,"&gt;0"))</f>
        <v/>
      </c>
      <c r="P421" s="392" t="n"/>
    </row>
    <row r="422">
      <c r="A422" s="392" t="n">
        <v>418</v>
      </c>
      <c r="B422" s="392" t="n"/>
      <c r="C422" s="392" t="n"/>
      <c r="D422" s="392" t="n"/>
      <c r="E422" s="392" t="n"/>
      <c r="F422" s="394" t="n"/>
      <c r="G422" s="392" t="n"/>
      <c r="H422" s="604">
        <f>IFERROR(IF(AND($K422&gt;0,ISNUMBER(IF(OR($D422="g",$D422="ｇ"),IF($M422&gt;0,$L422/$M422/1000,""),IF($D422="kg",IF($M422&gt;0,$L422/$M422,""),IF($D422="",IF($M422&gt;0,$L422/$M422/1000,IF($O422&gt;0,$N422/$O422,"")),IF($O422&gt;0,$N422/$O422,"")))))),IF(OR($D422="g",$D422="ｇ"),IF($M422&gt;0,$L422/$M422/1000,""),IF($D422="kg",IF($M422&gt;0,$L422/$M422,""),IF($D422="",IF($M422&gt;0,$L422/$M422/1000,IF($O422&gt;0,$N422/$O422,"")),IF($O422&gt;0,$N422/$O422,"")))),IF($F422="",IF(OR($E422="",$E422="⑩盛付梱包工程入力"),"",IF(OR($D422="g",$D422="ｇ"),INDEX(⑰工程労務費一覧!$N$5:$N$11,MATCH($E422,⑰工程労務費一覧!$K$5:$K$11,0))/1000,IF($D422="kg",INDEX(⑰工程労務費一覧!$N$5:$N$11,MATCH($E422,⑰工程労務費一覧!$K$5:$K$11,0)),IF(OR($D422="個",$D422="切",$D422="本",$D422="枚",$D422="尾"),IF($E422="⑬計量工程入力","",INDEX(⑰工程労務費一覧!$P$5:$P$11,MATCH($E422,⑰工程労務費一覧!$K$5:$K$11,0))),IF(AND($D422="",OR($E422="②釜工程入力",$E422="③スチコン工程入力")),INDEX(⑰工程労務費一覧!$N$5:$N$11,MATCH($E422,⑰工程労務費一覧!$K$5:$K$11,0))/1000,""))))),IF(OR($D422="g",$D422="ｇ"),INDEX(⑰工程労務費一覧!$H$5:$H$753,MATCH($F422,⑰工程労務費一覧!$D$5:$D$753,0))/1000,IF($D422="kg",INDEX(⑰工程労務費一覧!$H$5:$H$753,MATCH($F422,⑰工程労務費一覧!$D$5:$D$753,0)),INDEX(⑰工程労務費一覧!$I$5:$I$753,MATCH($F422,⑰工程労務費一覧!$D$5:$D$753,0)))))),"")</f>
        <v/>
      </c>
      <c r="I422" s="392">
        <f>IF($K422&gt;0,IF(ISNUMBER(IF(OR($D422="g",$D422="ｇ"),IF($M422&gt;0,$L422/$M422/1000,""),IF($D422="kg",IF($M422&gt;0,$L422/$M422,""),IF($D422="",IF($M422&gt;0,$L422/$M422/1000,IF($O422&gt;0,$N422/$O422,"")),IF($O422&gt;0,$N422/$O422,""))))),IF($D422="",IF($M422&gt;0,"◎ JAN紐づけ(g扱い)","◎ JAN紐づけ(個扱い)"),"◎ JAN紐づけ"),"△ JAN紐づけ済・実績不足→仮計算"),IF($F422="",IF(ISNUMBER($H422),IF($D422="","⑤ 工程平均で仮計算(g扱い)","⑤ 工程平均で仮計算"),IF($E422="⑩盛付梱包工程入力","⑥ 盛り込み(⑳F列で計上)",IF(AND($E422="⑬計量工程入力",OR($D422="個",$D422="切",$D422="本",$D422="枚",$D422="尾")),"① 未紐づけ(カット個単位は仮単価なし)","① 未紐づけ"))),IF(NOT(ISNUMBER($H422)),"② 工程側に単価なし",IF($D422="","③ 単位未設定(個で計算)","④ OK"))))</f>
        <v/>
      </c>
      <c r="J422" s="399">
        <f>IFERROR(LOOKUP(2,1/((中間品リスト!$F$2:$F$1299=$B422)*(中間品リスト!$E$2:$E$1299&lt;&gt;"-")*(中間品リスト!$E$2:$E$1299&lt;&gt;"")),中間品リスト!$E$2:$E$1299),"")</f>
        <v/>
      </c>
      <c r="K422" s="400">
        <f>IF($J422="",0,COUNTIF(②釜工程入力!$S$5:$S$117,$J422)+COUNTIF(③スチコン工程入力!$S$5:$S$152,$J422)+COUNTIF(⑪ZEN工程入力!$S$6:$S$35,$J422)+COUNTIF(⑫ミキサー工程入力!$S$6:$S$65,$J422)+COUNTIF(⑬計量工程入力!$S$6:$S$65,$J422)+COUNTIF(⑭手動工程入力!$S$6:$S$47,$J422))</f>
        <v/>
      </c>
      <c r="L422" s="393">
        <f>IF($J422="",0,SUMIFS(②釜工程入力!$M$5:$M$117,②釜工程入力!$S$5:$S$117,$J422,②釜工程入力!$I$5:$I$117,"&gt;0")+SUMIFS(③スチコン工程入力!$M$5:$M$152,③スチコン工程入力!$S$5:$S$152,$J422,③スチコン工程入力!$I$5:$I$152,"&gt;0")+SUMIFS(⑪ZEN工程入力!$M$6:$M$35,⑪ZEN工程入力!$S$6:$S$35,$J422,⑪ZEN工程入力!$I$6:$I$35,"&gt;0")+SUMIFS(⑫ミキサー工程入力!$M$6:$M$65,⑫ミキサー工程入力!$S$6:$S$65,$J422,⑫ミキサー工程入力!$I$6:$I$65,"&gt;0")+SUMIFS(⑬計量工程入力!$M$6:$M$65,⑬計量工程入力!$S$6:$S$65,$J422,⑬計量工程入力!$I$6:$I$65,"&gt;0")+SUMIFS(⑭手動工程入力!$M$6:$M$47,⑭手動工程入力!$S$6:$S$47,$J422,⑭手動工程入力!$I$6:$I$47,"&gt;0"))</f>
        <v/>
      </c>
      <c r="M422" s="393">
        <f>IF($J422="",0,SUMIFS(②釜工程入力!$I$5:$I$117,②釜工程入力!$S$5:$S$117,$J422,②釜工程入力!$I$5:$I$117,"&gt;0",②釜工程入力!$M$5:$M$117,"&gt;0")+SUMIFS(③スチコン工程入力!$I$5:$I$152,③スチコン工程入力!$S$5:$S$152,$J422,③スチコン工程入力!$I$5:$I$152,"&gt;0",③スチコン工程入力!$M$5:$M$152,"&gt;0")+SUMIFS(⑪ZEN工程入力!$I$6:$I$35,⑪ZEN工程入力!$S$6:$S$35,$J422,⑪ZEN工程入力!$I$6:$I$35,"&gt;0",⑪ZEN工程入力!$M$6:$M$35,"&gt;0")+SUMIFS(⑫ミキサー工程入力!$I$6:$I$65,⑫ミキサー工程入力!$S$6:$S$65,$J422,⑫ミキサー工程入力!$I$6:$I$65,"&gt;0",⑫ミキサー工程入力!$M$6:$M$65,"&gt;0")+SUMIFS(⑬計量工程入力!$I$6:$I$65,⑬計量工程入力!$S$6:$S$65,$J422,⑬計量工程入力!$I$6:$I$65,"&gt;0",⑬計量工程入力!$M$6:$M$65,"&gt;0")+SUMIFS(⑭手動工程入力!$I$6:$I$47,⑭手動工程入力!$S$6:$S$47,$J422,⑭手動工程入力!$I$6:$I$47,"&gt;0",⑭手動工程入力!$M$6:$M$47,"&gt;0"))</f>
        <v/>
      </c>
      <c r="N422" s="393">
        <f>IF($J422="",0,SUMIFS(②釜工程入力!$M$5:$M$117,②釜工程入力!$S$5:$S$117,$J422,②釜工程入力!$J$5:$J$117,"&gt;0")-SUMIFS(②釜工程入力!$M$5:$M$117,②釜工程入力!$S$5:$S$117,$J422,②釜工程入力!$J$5:$J$117,"&gt;0",②釜工程入力!$I$5:$I$117,"&gt;0")+SUMIFS(③スチコン工程入力!$M$5:$M$152,③スチコン工程入力!$S$5:$S$152,$J422,③スチコン工程入力!$J$5:$J$152,"&gt;0")-SUMIFS(③スチコン工程入力!$M$5:$M$152,③スチコン工程入力!$S$5:$S$152,$J422,③スチコン工程入力!$J$5:$J$152,"&gt;0",③スチコン工程入力!$I$5:$I$152,"&gt;0")+SUMIFS(⑪ZEN工程入力!$M$6:$M$35,⑪ZEN工程入力!$S$6:$S$35,$J422,⑪ZEN工程入力!$J$6:$J$35,"&gt;0")-SUMIFS(⑪ZEN工程入力!$M$6:$M$35,⑪ZEN工程入力!$S$6:$S$35,$J422,⑪ZEN工程入力!$J$6:$J$35,"&gt;0",⑪ZEN工程入力!$I$6:$I$35,"&gt;0")+SUMIFS(⑫ミキサー工程入力!$M$6:$M$65,⑫ミキサー工程入力!$S$6:$S$65,$J422,⑫ミキサー工程入力!$J$6:$J$65,"&gt;0")-SUMIFS(⑫ミキサー工程入力!$M$6:$M$65,⑫ミキサー工程入力!$S$6:$S$65,$J422,⑫ミキサー工程入力!$J$6:$J$65,"&gt;0",⑫ミキサー工程入力!$I$6:$I$65,"&gt;0")+SUMIFS(⑬計量工程入力!$M$6:$M$65,⑬計量工程入力!$S$6:$S$65,$J422,⑬計量工程入力!$J$6:$J$65,"&gt;0")-SUMIFS(⑬計量工程入力!$M$6:$M$65,⑬計量工程入力!$S$6:$S$65,$J422,⑬計量工程入力!$J$6:$J$65,"&gt;0",⑬計量工程入力!$I$6:$I$65,"&gt;0")+SUMIFS(⑭手動工程入力!$M$6:$M$47,⑭手動工程入力!$S$6:$S$47,$J422,⑭手動工程入力!$J$6:$J$47,"&gt;0")-SUMIFS(⑭手動工程入力!$M$6:$M$47,⑭手動工程入力!$S$6:$S$47,$J422,⑭手動工程入力!$J$6:$J$47,"&gt;0",⑭手動工程入力!$I$6:$I$47,"&gt;0"))</f>
        <v/>
      </c>
      <c r="O422" s="393">
        <f>IF($J422="",0,SUMIFS(②釜工程入力!$J$5:$J$117,②釜工程入力!$S$5:$S$117,$J422,②釜工程入力!$J$5:$J$117,"&gt;0",②釜工程入力!$M$5:$M$117,"&gt;0")-SUMIFS(②釜工程入力!$J$5:$J$117,②釜工程入力!$S$5:$S$117,$J422,②釜工程入力!$J$5:$J$117,"&gt;0",②釜工程入力!$I$5:$I$117,"&gt;0",②釜工程入力!$M$5:$M$117,"&gt;0")+SUMIFS(③スチコン工程入力!$J$5:$J$152,③スチコン工程入力!$S$5:$S$152,$J422,③スチコン工程入力!$J$5:$J$152,"&gt;0",③スチコン工程入力!$M$5:$M$152,"&gt;0")-SUMIFS(③スチコン工程入力!$J$5:$J$152,③スチコン工程入力!$S$5:$S$152,$J422,③スチコン工程入力!$J$5:$J$152,"&gt;0",③スチコン工程入力!$I$5:$I$152,"&gt;0",③スチコン工程入力!$M$5:$M$152,"&gt;0")+SUMIFS(⑪ZEN工程入力!$J$6:$J$35,⑪ZEN工程入力!$S$6:$S$35,$J422,⑪ZEN工程入力!$J$6:$J$35,"&gt;0",⑪ZEN工程入力!$M$6:$M$35,"&gt;0")-SUMIFS(⑪ZEN工程入力!$J$6:$J$35,⑪ZEN工程入力!$S$6:$S$35,$J422,⑪ZEN工程入力!$J$6:$J$35,"&gt;0",⑪ZEN工程入力!$I$6:$I$35,"&gt;0",⑪ZEN工程入力!$M$6:$M$35,"&gt;0")+SUMIFS(⑫ミキサー工程入力!$J$6:$J$65,⑫ミキサー工程入力!$S$6:$S$65,$J422,⑫ミキサー工程入力!$J$6:$J$65,"&gt;0",⑫ミキサー工程入力!$M$6:$M$65,"&gt;0")-SUMIFS(⑫ミキサー工程入力!$J$6:$J$65,⑫ミキサー工程入力!$S$6:$S$65,$J422,⑫ミキサー工程入力!$J$6:$J$65,"&gt;0",⑫ミキサー工程入力!$I$6:$I$65,"&gt;0",⑫ミキサー工程入力!$M$6:$M$65,"&gt;0")+SUMIFS(⑬計量工程入力!$J$6:$J$65,⑬計量工程入力!$S$6:$S$65,$J422,⑬計量工程入力!$J$6:$J$65,"&gt;0",⑬計量工程入力!$M$6:$M$65,"&gt;0")-SUMIFS(⑬計量工程入力!$J$6:$J$65,⑬計量工程入力!$S$6:$S$65,$J422,⑬計量工程入力!$J$6:$J$65,"&gt;0",⑬計量工程入力!$I$6:$I$65,"&gt;0",⑬計量工程入力!$M$6:$M$65,"&gt;0")+SUMIFS(⑭手動工程入力!$J$6:$J$47,⑭手動工程入力!$S$6:$S$47,$J422,⑭手動工程入力!$J$6:$J$47,"&gt;0",⑭手動工程入力!$M$6:$M$47,"&gt;0")-SUMIFS(⑭手動工程入力!$J$6:$J$47,⑭手動工程入力!$S$6:$S$47,$J422,⑭手動工程入力!$J$6:$J$47,"&gt;0",⑭手動工程入力!$I$6:$I$47,"&gt;0",⑭手動工程入力!$M$6:$M$47,"&gt;0"))</f>
        <v/>
      </c>
      <c r="P422" s="392" t="n"/>
    </row>
    <row r="423">
      <c r="A423" s="392" t="n">
        <v>419</v>
      </c>
      <c r="B423" s="392" t="n"/>
      <c r="C423" s="392" t="n"/>
      <c r="D423" s="392" t="n"/>
      <c r="E423" s="392" t="n"/>
      <c r="F423" s="394" t="n"/>
      <c r="G423" s="392" t="n"/>
      <c r="H423" s="604">
        <f>IFERROR(IF(AND($K423&gt;0,ISNUMBER(IF(OR($D423="g",$D423="ｇ"),IF($M423&gt;0,$L423/$M423/1000,""),IF($D423="kg",IF($M423&gt;0,$L423/$M423,""),IF($D423="",IF($M423&gt;0,$L423/$M423/1000,IF($O423&gt;0,$N423/$O423,"")),IF($O423&gt;0,$N423/$O423,"")))))),IF(OR($D423="g",$D423="ｇ"),IF($M423&gt;0,$L423/$M423/1000,""),IF($D423="kg",IF($M423&gt;0,$L423/$M423,""),IF($D423="",IF($M423&gt;0,$L423/$M423/1000,IF($O423&gt;0,$N423/$O423,"")),IF($O423&gt;0,$N423/$O423,"")))),IF($F423="",IF(OR($E423="",$E423="⑩盛付梱包工程入力"),"",IF(OR($D423="g",$D423="ｇ"),INDEX(⑰工程労務費一覧!$N$5:$N$11,MATCH($E423,⑰工程労務費一覧!$K$5:$K$11,0))/1000,IF($D423="kg",INDEX(⑰工程労務費一覧!$N$5:$N$11,MATCH($E423,⑰工程労務費一覧!$K$5:$K$11,0)),IF(OR($D423="個",$D423="切",$D423="本",$D423="枚",$D423="尾"),IF($E423="⑬計量工程入力","",INDEX(⑰工程労務費一覧!$P$5:$P$11,MATCH($E423,⑰工程労務費一覧!$K$5:$K$11,0))),IF(AND($D423="",OR($E423="②釜工程入力",$E423="③スチコン工程入力")),INDEX(⑰工程労務費一覧!$N$5:$N$11,MATCH($E423,⑰工程労務費一覧!$K$5:$K$11,0))/1000,""))))),IF(OR($D423="g",$D423="ｇ"),INDEX(⑰工程労務費一覧!$H$5:$H$753,MATCH($F423,⑰工程労務費一覧!$D$5:$D$753,0))/1000,IF($D423="kg",INDEX(⑰工程労務費一覧!$H$5:$H$753,MATCH($F423,⑰工程労務費一覧!$D$5:$D$753,0)),INDEX(⑰工程労務費一覧!$I$5:$I$753,MATCH($F423,⑰工程労務費一覧!$D$5:$D$753,0)))))),"")</f>
        <v/>
      </c>
      <c r="I423" s="392">
        <f>IF($K423&gt;0,IF(ISNUMBER(IF(OR($D423="g",$D423="ｇ"),IF($M423&gt;0,$L423/$M423/1000,""),IF($D423="kg",IF($M423&gt;0,$L423/$M423,""),IF($D423="",IF($M423&gt;0,$L423/$M423/1000,IF($O423&gt;0,$N423/$O423,"")),IF($O423&gt;0,$N423/$O423,""))))),IF($D423="",IF($M423&gt;0,"◎ JAN紐づけ(g扱い)","◎ JAN紐づけ(個扱い)"),"◎ JAN紐づけ"),"△ JAN紐づけ済・実績不足→仮計算"),IF($F423="",IF(ISNUMBER($H423),IF($D423="","⑤ 工程平均で仮計算(g扱い)","⑤ 工程平均で仮計算"),IF($E423="⑩盛付梱包工程入力","⑥ 盛り込み(⑳F列で計上)",IF(AND($E423="⑬計量工程入力",OR($D423="個",$D423="切",$D423="本",$D423="枚",$D423="尾")),"① 未紐づけ(カット個単位は仮単価なし)","① 未紐づけ"))),IF(NOT(ISNUMBER($H423)),"② 工程側に単価なし",IF($D423="","③ 単位未設定(個で計算)","④ OK"))))</f>
        <v/>
      </c>
      <c r="J423" s="399">
        <f>IFERROR(LOOKUP(2,1/((中間品リスト!$F$2:$F$1299=$B423)*(中間品リスト!$E$2:$E$1299&lt;&gt;"-")*(中間品リスト!$E$2:$E$1299&lt;&gt;"")),中間品リスト!$E$2:$E$1299),"")</f>
        <v/>
      </c>
      <c r="K423" s="400">
        <f>IF($J423="",0,COUNTIF(②釜工程入力!$S$5:$S$117,$J423)+COUNTIF(③スチコン工程入力!$S$5:$S$152,$J423)+COUNTIF(⑪ZEN工程入力!$S$6:$S$35,$J423)+COUNTIF(⑫ミキサー工程入力!$S$6:$S$65,$J423)+COUNTIF(⑬計量工程入力!$S$6:$S$65,$J423)+COUNTIF(⑭手動工程入力!$S$6:$S$47,$J423))</f>
        <v/>
      </c>
      <c r="L423" s="393">
        <f>IF($J423="",0,SUMIFS(②釜工程入力!$M$5:$M$117,②釜工程入力!$S$5:$S$117,$J423,②釜工程入力!$I$5:$I$117,"&gt;0")+SUMIFS(③スチコン工程入力!$M$5:$M$152,③スチコン工程入力!$S$5:$S$152,$J423,③スチコン工程入力!$I$5:$I$152,"&gt;0")+SUMIFS(⑪ZEN工程入力!$M$6:$M$35,⑪ZEN工程入力!$S$6:$S$35,$J423,⑪ZEN工程入力!$I$6:$I$35,"&gt;0")+SUMIFS(⑫ミキサー工程入力!$M$6:$M$65,⑫ミキサー工程入力!$S$6:$S$65,$J423,⑫ミキサー工程入力!$I$6:$I$65,"&gt;0")+SUMIFS(⑬計量工程入力!$M$6:$M$65,⑬計量工程入力!$S$6:$S$65,$J423,⑬計量工程入力!$I$6:$I$65,"&gt;0")+SUMIFS(⑭手動工程入力!$M$6:$M$47,⑭手動工程入力!$S$6:$S$47,$J423,⑭手動工程入力!$I$6:$I$47,"&gt;0"))</f>
        <v/>
      </c>
      <c r="M423" s="393">
        <f>IF($J423="",0,SUMIFS(②釜工程入力!$I$5:$I$117,②釜工程入力!$S$5:$S$117,$J423,②釜工程入力!$I$5:$I$117,"&gt;0",②釜工程入力!$M$5:$M$117,"&gt;0")+SUMIFS(③スチコン工程入力!$I$5:$I$152,③スチコン工程入力!$S$5:$S$152,$J423,③スチコン工程入力!$I$5:$I$152,"&gt;0",③スチコン工程入力!$M$5:$M$152,"&gt;0")+SUMIFS(⑪ZEN工程入力!$I$6:$I$35,⑪ZEN工程入力!$S$6:$S$35,$J423,⑪ZEN工程入力!$I$6:$I$35,"&gt;0",⑪ZEN工程入力!$M$6:$M$35,"&gt;0")+SUMIFS(⑫ミキサー工程入力!$I$6:$I$65,⑫ミキサー工程入力!$S$6:$S$65,$J423,⑫ミキサー工程入力!$I$6:$I$65,"&gt;0",⑫ミキサー工程入力!$M$6:$M$65,"&gt;0")+SUMIFS(⑬計量工程入力!$I$6:$I$65,⑬計量工程入力!$S$6:$S$65,$J423,⑬計量工程入力!$I$6:$I$65,"&gt;0",⑬計量工程入力!$M$6:$M$65,"&gt;0")+SUMIFS(⑭手動工程入力!$I$6:$I$47,⑭手動工程入力!$S$6:$S$47,$J423,⑭手動工程入力!$I$6:$I$47,"&gt;0",⑭手動工程入力!$M$6:$M$47,"&gt;0"))</f>
        <v/>
      </c>
      <c r="N423" s="393">
        <f>IF($J423="",0,SUMIFS(②釜工程入力!$M$5:$M$117,②釜工程入力!$S$5:$S$117,$J423,②釜工程入力!$J$5:$J$117,"&gt;0")-SUMIFS(②釜工程入力!$M$5:$M$117,②釜工程入力!$S$5:$S$117,$J423,②釜工程入力!$J$5:$J$117,"&gt;0",②釜工程入力!$I$5:$I$117,"&gt;0")+SUMIFS(③スチコン工程入力!$M$5:$M$152,③スチコン工程入力!$S$5:$S$152,$J423,③スチコン工程入力!$J$5:$J$152,"&gt;0")-SUMIFS(③スチコン工程入力!$M$5:$M$152,③スチコン工程入力!$S$5:$S$152,$J423,③スチコン工程入力!$J$5:$J$152,"&gt;0",③スチコン工程入力!$I$5:$I$152,"&gt;0")+SUMIFS(⑪ZEN工程入力!$M$6:$M$35,⑪ZEN工程入力!$S$6:$S$35,$J423,⑪ZEN工程入力!$J$6:$J$35,"&gt;0")-SUMIFS(⑪ZEN工程入力!$M$6:$M$35,⑪ZEN工程入力!$S$6:$S$35,$J423,⑪ZEN工程入力!$J$6:$J$35,"&gt;0",⑪ZEN工程入力!$I$6:$I$35,"&gt;0")+SUMIFS(⑫ミキサー工程入力!$M$6:$M$65,⑫ミキサー工程入力!$S$6:$S$65,$J423,⑫ミキサー工程入力!$J$6:$J$65,"&gt;0")-SUMIFS(⑫ミキサー工程入力!$M$6:$M$65,⑫ミキサー工程入力!$S$6:$S$65,$J423,⑫ミキサー工程入力!$J$6:$J$65,"&gt;0",⑫ミキサー工程入力!$I$6:$I$65,"&gt;0")+SUMIFS(⑬計量工程入力!$M$6:$M$65,⑬計量工程入力!$S$6:$S$65,$J423,⑬計量工程入力!$J$6:$J$65,"&gt;0")-SUMIFS(⑬計量工程入力!$M$6:$M$65,⑬計量工程入力!$S$6:$S$65,$J423,⑬計量工程入力!$J$6:$J$65,"&gt;0",⑬計量工程入力!$I$6:$I$65,"&gt;0")+SUMIFS(⑭手動工程入力!$M$6:$M$47,⑭手動工程入力!$S$6:$S$47,$J423,⑭手動工程入力!$J$6:$J$47,"&gt;0")-SUMIFS(⑭手動工程入力!$M$6:$M$47,⑭手動工程入力!$S$6:$S$47,$J423,⑭手動工程入力!$J$6:$J$47,"&gt;0",⑭手動工程入力!$I$6:$I$47,"&gt;0"))</f>
        <v/>
      </c>
      <c r="O423" s="393">
        <f>IF($J423="",0,SUMIFS(②釜工程入力!$J$5:$J$117,②釜工程入力!$S$5:$S$117,$J423,②釜工程入力!$J$5:$J$117,"&gt;0",②釜工程入力!$M$5:$M$117,"&gt;0")-SUMIFS(②釜工程入力!$J$5:$J$117,②釜工程入力!$S$5:$S$117,$J423,②釜工程入力!$J$5:$J$117,"&gt;0",②釜工程入力!$I$5:$I$117,"&gt;0",②釜工程入力!$M$5:$M$117,"&gt;0")+SUMIFS(③スチコン工程入力!$J$5:$J$152,③スチコン工程入力!$S$5:$S$152,$J423,③スチコン工程入力!$J$5:$J$152,"&gt;0",③スチコン工程入力!$M$5:$M$152,"&gt;0")-SUMIFS(③スチコン工程入力!$J$5:$J$152,③スチコン工程入力!$S$5:$S$152,$J423,③スチコン工程入力!$J$5:$J$152,"&gt;0",③スチコン工程入力!$I$5:$I$152,"&gt;0",③スチコン工程入力!$M$5:$M$152,"&gt;0")+SUMIFS(⑪ZEN工程入力!$J$6:$J$35,⑪ZEN工程入力!$S$6:$S$35,$J423,⑪ZEN工程入力!$J$6:$J$35,"&gt;0",⑪ZEN工程入力!$M$6:$M$35,"&gt;0")-SUMIFS(⑪ZEN工程入力!$J$6:$J$35,⑪ZEN工程入力!$S$6:$S$35,$J423,⑪ZEN工程入力!$J$6:$J$35,"&gt;0",⑪ZEN工程入力!$I$6:$I$35,"&gt;0",⑪ZEN工程入力!$M$6:$M$35,"&gt;0")+SUMIFS(⑫ミキサー工程入力!$J$6:$J$65,⑫ミキサー工程入力!$S$6:$S$65,$J423,⑫ミキサー工程入力!$J$6:$J$65,"&gt;0",⑫ミキサー工程入力!$M$6:$M$65,"&gt;0")-SUMIFS(⑫ミキサー工程入力!$J$6:$J$65,⑫ミキサー工程入力!$S$6:$S$65,$J423,⑫ミキサー工程入力!$J$6:$J$65,"&gt;0",⑫ミキサー工程入力!$I$6:$I$65,"&gt;0",⑫ミキサー工程入力!$M$6:$M$65,"&gt;0")+SUMIFS(⑬計量工程入力!$J$6:$J$65,⑬計量工程入力!$S$6:$S$65,$J423,⑬計量工程入力!$J$6:$J$65,"&gt;0",⑬計量工程入力!$M$6:$M$65,"&gt;0")-SUMIFS(⑬計量工程入力!$J$6:$J$65,⑬計量工程入力!$S$6:$S$65,$J423,⑬計量工程入力!$J$6:$J$65,"&gt;0",⑬計量工程入力!$I$6:$I$65,"&gt;0",⑬計量工程入力!$M$6:$M$65,"&gt;0")+SUMIFS(⑭手動工程入力!$J$6:$J$47,⑭手動工程入力!$S$6:$S$47,$J423,⑭手動工程入力!$J$6:$J$47,"&gt;0",⑭手動工程入力!$M$6:$M$47,"&gt;0")-SUMIFS(⑭手動工程入力!$J$6:$J$47,⑭手動工程入力!$S$6:$S$47,$J423,⑭手動工程入力!$J$6:$J$47,"&gt;0",⑭手動工程入力!$I$6:$I$47,"&gt;0",⑭手動工程入力!$M$6:$M$47,"&gt;0"))</f>
        <v/>
      </c>
      <c r="P423" s="392" t="n"/>
    </row>
    <row r="424">
      <c r="A424" s="392" t="n">
        <v>420</v>
      </c>
      <c r="B424" s="392" t="n"/>
      <c r="C424" s="392" t="n"/>
      <c r="D424" s="409" t="n"/>
      <c r="E424" s="392" t="n"/>
      <c r="F424" s="394" t="n"/>
      <c r="G424" s="392" t="n"/>
      <c r="H424" s="604">
        <f>IFERROR(IF(AND($K424&gt;0,ISNUMBER(IF(OR($D424="g",$D424="ｇ"),IF($M424&gt;0,$L424/$M424/1000,""),IF($D424="kg",IF($M424&gt;0,$L424/$M424,""),IF($D424="",IF($M424&gt;0,$L424/$M424/1000,IF($O424&gt;0,$N424/$O424,"")),IF($O424&gt;0,$N424/$O424,"")))))),IF(OR($D424="g",$D424="ｇ"),IF($M424&gt;0,$L424/$M424/1000,""),IF($D424="kg",IF($M424&gt;0,$L424/$M424,""),IF($D424="",IF($M424&gt;0,$L424/$M424/1000,IF($O424&gt;0,$N424/$O424,"")),IF($O424&gt;0,$N424/$O424,"")))),IF($F424="",IF(OR($E424="",$E424="⑩盛付梱包工程入力"),"",IF(OR($D424="g",$D424="ｇ"),INDEX(⑰工程労務費一覧!$N$5:$N$11,MATCH($E424,⑰工程労務費一覧!$K$5:$K$11,0))/1000,IF($D424="kg",INDEX(⑰工程労務費一覧!$N$5:$N$11,MATCH($E424,⑰工程労務費一覧!$K$5:$K$11,0)),IF(OR($D424="個",$D424="切",$D424="本",$D424="枚",$D424="尾"),IF($E424="⑬計量工程入力","",INDEX(⑰工程労務費一覧!$P$5:$P$11,MATCH($E424,⑰工程労務費一覧!$K$5:$K$11,0))),IF(AND($D424="",OR($E424="②釜工程入力",$E424="③スチコン工程入力")),INDEX(⑰工程労務費一覧!$N$5:$N$11,MATCH($E424,⑰工程労務費一覧!$K$5:$K$11,0))/1000,""))))),IF(OR($D424="g",$D424="ｇ"),INDEX(⑰工程労務費一覧!$H$5:$H$753,MATCH($F424,⑰工程労務費一覧!$D$5:$D$753,0))/1000,IF($D424="kg",INDEX(⑰工程労務費一覧!$H$5:$H$753,MATCH($F424,⑰工程労務費一覧!$D$5:$D$753,0)),INDEX(⑰工程労務費一覧!$I$5:$I$753,MATCH($F424,⑰工程労務費一覧!$D$5:$D$753,0)))))),"")</f>
        <v/>
      </c>
      <c r="I424" s="392">
        <f>IF($K424&gt;0,IF(ISNUMBER(IF(OR($D424="g",$D424="ｇ"),IF($M424&gt;0,$L424/$M424/1000,""),IF($D424="kg",IF($M424&gt;0,$L424/$M424,""),IF($D424="",IF($M424&gt;0,$L424/$M424/1000,IF($O424&gt;0,$N424/$O424,"")),IF($O424&gt;0,$N424/$O424,""))))),IF($D424="",IF($M424&gt;0,"◎ JAN紐づけ(g扱い)","◎ JAN紐づけ(個扱い)"),"◎ JAN紐づけ"),"△ JAN紐づけ済・実績不足→仮計算"),IF($F424="",IF(ISNUMBER($H424),IF($D424="","⑤ 工程平均で仮計算(g扱い)","⑤ 工程平均で仮計算"),IF($E424="⑩盛付梱包工程入力","⑥ 盛り込み(⑳F列で計上)",IF(AND($E424="⑬計量工程入力",OR($D424="個",$D424="切",$D424="本",$D424="枚",$D424="尾")),"① 未紐づけ(カット個単位は仮単価なし)","① 未紐づけ"))),IF(NOT(ISNUMBER($H424)),"② 工程側に単価なし",IF($D424="","③ 単位未設定(個で計算)","④ OK"))))</f>
        <v/>
      </c>
      <c r="J424" s="399">
        <f>IFERROR(LOOKUP(2,1/((中間品リスト!$F$2:$F$1299=$B424)*(中間品リスト!$E$2:$E$1299&lt;&gt;"-")*(中間品リスト!$E$2:$E$1299&lt;&gt;"")),中間品リスト!$E$2:$E$1299),"")</f>
        <v/>
      </c>
      <c r="K424" s="400">
        <f>IF($J424="",0,COUNTIF(②釜工程入力!$S$5:$S$117,$J424)+COUNTIF(③スチコン工程入力!$S$5:$S$152,$J424)+COUNTIF(⑪ZEN工程入力!$S$6:$S$35,$J424)+COUNTIF(⑫ミキサー工程入力!$S$6:$S$65,$J424)+COUNTIF(⑬計量工程入力!$S$6:$S$65,$J424)+COUNTIF(⑭手動工程入力!$S$6:$S$47,$J424))</f>
        <v/>
      </c>
      <c r="L424" s="393">
        <f>IF($J424="",0,SUMIFS(②釜工程入力!$M$5:$M$117,②釜工程入力!$S$5:$S$117,$J424,②釜工程入力!$I$5:$I$117,"&gt;0")+SUMIFS(③スチコン工程入力!$M$5:$M$152,③スチコン工程入力!$S$5:$S$152,$J424,③スチコン工程入力!$I$5:$I$152,"&gt;0")+SUMIFS(⑪ZEN工程入力!$M$6:$M$35,⑪ZEN工程入力!$S$6:$S$35,$J424,⑪ZEN工程入力!$I$6:$I$35,"&gt;0")+SUMIFS(⑫ミキサー工程入力!$M$6:$M$65,⑫ミキサー工程入力!$S$6:$S$65,$J424,⑫ミキサー工程入力!$I$6:$I$65,"&gt;0")+SUMIFS(⑬計量工程入力!$M$6:$M$65,⑬計量工程入力!$S$6:$S$65,$J424,⑬計量工程入力!$I$6:$I$65,"&gt;0")+SUMIFS(⑭手動工程入力!$M$6:$M$47,⑭手動工程入力!$S$6:$S$47,$J424,⑭手動工程入力!$I$6:$I$47,"&gt;0"))</f>
        <v/>
      </c>
      <c r="M424" s="393">
        <f>IF($J424="",0,SUMIFS(②釜工程入力!$I$5:$I$117,②釜工程入力!$S$5:$S$117,$J424,②釜工程入力!$I$5:$I$117,"&gt;0",②釜工程入力!$M$5:$M$117,"&gt;0")+SUMIFS(③スチコン工程入力!$I$5:$I$152,③スチコン工程入力!$S$5:$S$152,$J424,③スチコン工程入力!$I$5:$I$152,"&gt;0",③スチコン工程入力!$M$5:$M$152,"&gt;0")+SUMIFS(⑪ZEN工程入力!$I$6:$I$35,⑪ZEN工程入力!$S$6:$S$35,$J424,⑪ZEN工程入力!$I$6:$I$35,"&gt;0",⑪ZEN工程入力!$M$6:$M$35,"&gt;0")+SUMIFS(⑫ミキサー工程入力!$I$6:$I$65,⑫ミキサー工程入力!$S$6:$S$65,$J424,⑫ミキサー工程入力!$I$6:$I$65,"&gt;0",⑫ミキサー工程入力!$M$6:$M$65,"&gt;0")+SUMIFS(⑬計量工程入力!$I$6:$I$65,⑬計量工程入力!$S$6:$S$65,$J424,⑬計量工程入力!$I$6:$I$65,"&gt;0",⑬計量工程入力!$M$6:$M$65,"&gt;0")+SUMIFS(⑭手動工程入力!$I$6:$I$47,⑭手動工程入力!$S$6:$S$47,$J424,⑭手動工程入力!$I$6:$I$47,"&gt;0",⑭手動工程入力!$M$6:$M$47,"&gt;0"))</f>
        <v/>
      </c>
      <c r="N424" s="393">
        <f>IF($J424="",0,SUMIFS(②釜工程入力!$M$5:$M$117,②釜工程入力!$S$5:$S$117,$J424,②釜工程入力!$J$5:$J$117,"&gt;0")-SUMIFS(②釜工程入力!$M$5:$M$117,②釜工程入力!$S$5:$S$117,$J424,②釜工程入力!$J$5:$J$117,"&gt;0",②釜工程入力!$I$5:$I$117,"&gt;0")+SUMIFS(③スチコン工程入力!$M$5:$M$152,③スチコン工程入力!$S$5:$S$152,$J424,③スチコン工程入力!$J$5:$J$152,"&gt;0")-SUMIFS(③スチコン工程入力!$M$5:$M$152,③スチコン工程入力!$S$5:$S$152,$J424,③スチコン工程入力!$J$5:$J$152,"&gt;0",③スチコン工程入力!$I$5:$I$152,"&gt;0")+SUMIFS(⑪ZEN工程入力!$M$6:$M$35,⑪ZEN工程入力!$S$6:$S$35,$J424,⑪ZEN工程入力!$J$6:$J$35,"&gt;0")-SUMIFS(⑪ZEN工程入力!$M$6:$M$35,⑪ZEN工程入力!$S$6:$S$35,$J424,⑪ZEN工程入力!$J$6:$J$35,"&gt;0",⑪ZEN工程入力!$I$6:$I$35,"&gt;0")+SUMIFS(⑫ミキサー工程入力!$M$6:$M$65,⑫ミキサー工程入力!$S$6:$S$65,$J424,⑫ミキサー工程入力!$J$6:$J$65,"&gt;0")-SUMIFS(⑫ミキサー工程入力!$M$6:$M$65,⑫ミキサー工程入力!$S$6:$S$65,$J424,⑫ミキサー工程入力!$J$6:$J$65,"&gt;0",⑫ミキサー工程入力!$I$6:$I$65,"&gt;0")+SUMIFS(⑬計量工程入力!$M$6:$M$65,⑬計量工程入力!$S$6:$S$65,$J424,⑬計量工程入力!$J$6:$J$65,"&gt;0")-SUMIFS(⑬計量工程入力!$M$6:$M$65,⑬計量工程入力!$S$6:$S$65,$J424,⑬計量工程入力!$J$6:$J$65,"&gt;0",⑬計量工程入力!$I$6:$I$65,"&gt;0")+SUMIFS(⑭手動工程入力!$M$6:$M$47,⑭手動工程入力!$S$6:$S$47,$J424,⑭手動工程入力!$J$6:$J$47,"&gt;0")-SUMIFS(⑭手動工程入力!$M$6:$M$47,⑭手動工程入力!$S$6:$S$47,$J424,⑭手動工程入力!$J$6:$J$47,"&gt;0",⑭手動工程入力!$I$6:$I$47,"&gt;0"))</f>
        <v/>
      </c>
      <c r="O424" s="393">
        <f>IF($J424="",0,SUMIFS(②釜工程入力!$J$5:$J$117,②釜工程入力!$S$5:$S$117,$J424,②釜工程入力!$J$5:$J$117,"&gt;0",②釜工程入力!$M$5:$M$117,"&gt;0")-SUMIFS(②釜工程入力!$J$5:$J$117,②釜工程入力!$S$5:$S$117,$J424,②釜工程入力!$J$5:$J$117,"&gt;0",②釜工程入力!$I$5:$I$117,"&gt;0",②釜工程入力!$M$5:$M$117,"&gt;0")+SUMIFS(③スチコン工程入力!$J$5:$J$152,③スチコン工程入力!$S$5:$S$152,$J424,③スチコン工程入力!$J$5:$J$152,"&gt;0",③スチコン工程入力!$M$5:$M$152,"&gt;0")-SUMIFS(③スチコン工程入力!$J$5:$J$152,③スチコン工程入力!$S$5:$S$152,$J424,③スチコン工程入力!$J$5:$J$152,"&gt;0",③スチコン工程入力!$I$5:$I$152,"&gt;0",③スチコン工程入力!$M$5:$M$152,"&gt;0")+SUMIFS(⑪ZEN工程入力!$J$6:$J$35,⑪ZEN工程入力!$S$6:$S$35,$J424,⑪ZEN工程入力!$J$6:$J$35,"&gt;0",⑪ZEN工程入力!$M$6:$M$35,"&gt;0")-SUMIFS(⑪ZEN工程入力!$J$6:$J$35,⑪ZEN工程入力!$S$6:$S$35,$J424,⑪ZEN工程入力!$J$6:$J$35,"&gt;0",⑪ZEN工程入力!$I$6:$I$35,"&gt;0",⑪ZEN工程入力!$M$6:$M$35,"&gt;0")+SUMIFS(⑫ミキサー工程入力!$J$6:$J$65,⑫ミキサー工程入力!$S$6:$S$65,$J424,⑫ミキサー工程入力!$J$6:$J$65,"&gt;0",⑫ミキサー工程入力!$M$6:$M$65,"&gt;0")-SUMIFS(⑫ミキサー工程入力!$J$6:$J$65,⑫ミキサー工程入力!$S$6:$S$65,$J424,⑫ミキサー工程入力!$J$6:$J$65,"&gt;0",⑫ミキサー工程入力!$I$6:$I$65,"&gt;0",⑫ミキサー工程入力!$M$6:$M$65,"&gt;0")+SUMIFS(⑬計量工程入力!$J$6:$J$65,⑬計量工程入力!$S$6:$S$65,$J424,⑬計量工程入力!$J$6:$J$65,"&gt;0",⑬計量工程入力!$M$6:$M$65,"&gt;0")-SUMIFS(⑬計量工程入力!$J$6:$J$65,⑬計量工程入力!$S$6:$S$65,$J424,⑬計量工程入力!$J$6:$J$65,"&gt;0",⑬計量工程入力!$I$6:$I$65,"&gt;0",⑬計量工程入力!$M$6:$M$65,"&gt;0")+SUMIFS(⑭手動工程入力!$J$6:$J$47,⑭手動工程入力!$S$6:$S$47,$J424,⑭手動工程入力!$J$6:$J$47,"&gt;0",⑭手動工程入力!$M$6:$M$47,"&gt;0")-SUMIFS(⑭手動工程入力!$J$6:$J$47,⑭手動工程入力!$S$6:$S$47,$J424,⑭手動工程入力!$J$6:$J$47,"&gt;0",⑭手動工程入力!$I$6:$I$47,"&gt;0",⑭手動工程入力!$M$6:$M$47,"&gt;0"))</f>
        <v/>
      </c>
      <c r="P424" s="392" t="inlineStr">
        <is>
          <t>中間品リスト</t>
        </is>
      </c>
    </row>
    <row r="425">
      <c r="A425" s="392" t="n">
        <v>421</v>
      </c>
      <c r="B425" s="392" t="n"/>
      <c r="C425" s="392" t="n"/>
      <c r="D425" s="409" t="n"/>
      <c r="E425" s="392" t="n"/>
      <c r="F425" s="394" t="n"/>
      <c r="G425" s="392" t="n"/>
      <c r="H425" s="604">
        <f>IFERROR(IF(AND($K425&gt;0,ISNUMBER(IF(OR($D425="g",$D425="ｇ"),IF($M425&gt;0,$L425/$M425/1000,""),IF($D425="kg",IF($M425&gt;0,$L425/$M425,""),IF($D425="",IF($M425&gt;0,$L425/$M425/1000,IF($O425&gt;0,$N425/$O425,"")),IF($O425&gt;0,$N425/$O425,"")))))),IF(OR($D425="g",$D425="ｇ"),IF($M425&gt;0,$L425/$M425/1000,""),IF($D425="kg",IF($M425&gt;0,$L425/$M425,""),IF($D425="",IF($M425&gt;0,$L425/$M425/1000,IF($O425&gt;0,$N425/$O425,"")),IF($O425&gt;0,$N425/$O425,"")))),IF($F425="",IF(OR($E425="",$E425="⑩盛付梱包工程入力"),"",IF(OR($D425="g",$D425="ｇ"),INDEX(⑰工程労務費一覧!$N$5:$N$11,MATCH($E425,⑰工程労務費一覧!$K$5:$K$11,0))/1000,IF($D425="kg",INDEX(⑰工程労務費一覧!$N$5:$N$11,MATCH($E425,⑰工程労務費一覧!$K$5:$K$11,0)),IF(OR($D425="個",$D425="切",$D425="本",$D425="枚",$D425="尾"),IF($E425="⑬計量工程入力","",INDEX(⑰工程労務費一覧!$P$5:$P$11,MATCH($E425,⑰工程労務費一覧!$K$5:$K$11,0))),IF(AND($D425="",OR($E425="②釜工程入力",$E425="③スチコン工程入力")),INDEX(⑰工程労務費一覧!$N$5:$N$11,MATCH($E425,⑰工程労務費一覧!$K$5:$K$11,0))/1000,""))))),IF(OR($D425="g",$D425="ｇ"),INDEX(⑰工程労務費一覧!$H$5:$H$753,MATCH($F425,⑰工程労務費一覧!$D$5:$D$753,0))/1000,IF($D425="kg",INDEX(⑰工程労務費一覧!$H$5:$H$753,MATCH($F425,⑰工程労務費一覧!$D$5:$D$753,0)),INDEX(⑰工程労務費一覧!$I$5:$I$753,MATCH($F425,⑰工程労務費一覧!$D$5:$D$753,0)))))),"")</f>
        <v/>
      </c>
      <c r="I425" s="392">
        <f>IF($K425&gt;0,IF(ISNUMBER(IF(OR($D425="g",$D425="ｇ"),IF($M425&gt;0,$L425/$M425/1000,""),IF($D425="kg",IF($M425&gt;0,$L425/$M425,""),IF($D425="",IF($M425&gt;0,$L425/$M425/1000,IF($O425&gt;0,$N425/$O425,"")),IF($O425&gt;0,$N425/$O425,""))))),IF($D425="",IF($M425&gt;0,"◎ JAN紐づけ(g扱い)","◎ JAN紐づけ(個扱い)"),"◎ JAN紐づけ"),"△ JAN紐づけ済・実績不足→仮計算"),IF($F425="",IF(ISNUMBER($H425),IF($D425="","⑤ 工程平均で仮計算(g扱い)","⑤ 工程平均で仮計算"),IF($E425="⑩盛付梱包工程入力","⑥ 盛り込み(⑳F列で計上)",IF(AND($E425="⑬計量工程入力",OR($D425="個",$D425="切",$D425="本",$D425="枚",$D425="尾")),"① 未紐づけ(カット個単位は仮単価なし)","① 未紐づけ"))),IF(NOT(ISNUMBER($H425)),"② 工程側に単価なし",IF($D425="","③ 単位未設定(個で計算)","④ OK"))))</f>
        <v/>
      </c>
      <c r="J425" s="399">
        <f>IFERROR(LOOKUP(2,1/((中間品リスト!$F$2:$F$1299=$B425)*(中間品リスト!$E$2:$E$1299&lt;&gt;"-")*(中間品リスト!$E$2:$E$1299&lt;&gt;"")),中間品リスト!$E$2:$E$1299),"")</f>
        <v/>
      </c>
      <c r="K425" s="400">
        <f>IF($J425="",0,COUNTIF(②釜工程入力!$S$5:$S$117,$J425)+COUNTIF(③スチコン工程入力!$S$5:$S$152,$J425)+COUNTIF(⑪ZEN工程入力!$S$6:$S$35,$J425)+COUNTIF(⑫ミキサー工程入力!$S$6:$S$65,$J425)+COUNTIF(⑬計量工程入力!$S$6:$S$65,$J425)+COUNTIF(⑭手動工程入力!$S$6:$S$47,$J425))</f>
        <v/>
      </c>
      <c r="L425" s="393">
        <f>IF($J425="",0,SUMIFS(②釜工程入力!$M$5:$M$117,②釜工程入力!$S$5:$S$117,$J425,②釜工程入力!$I$5:$I$117,"&gt;0")+SUMIFS(③スチコン工程入力!$M$5:$M$152,③スチコン工程入力!$S$5:$S$152,$J425,③スチコン工程入力!$I$5:$I$152,"&gt;0")+SUMIFS(⑪ZEN工程入力!$M$6:$M$35,⑪ZEN工程入力!$S$6:$S$35,$J425,⑪ZEN工程入力!$I$6:$I$35,"&gt;0")+SUMIFS(⑫ミキサー工程入力!$M$6:$M$65,⑫ミキサー工程入力!$S$6:$S$65,$J425,⑫ミキサー工程入力!$I$6:$I$65,"&gt;0")+SUMIFS(⑬計量工程入力!$M$6:$M$65,⑬計量工程入力!$S$6:$S$65,$J425,⑬計量工程入力!$I$6:$I$65,"&gt;0")+SUMIFS(⑭手動工程入力!$M$6:$M$47,⑭手動工程入力!$S$6:$S$47,$J425,⑭手動工程入力!$I$6:$I$47,"&gt;0"))</f>
        <v/>
      </c>
      <c r="M425" s="393">
        <f>IF($J425="",0,SUMIFS(②釜工程入力!$I$5:$I$117,②釜工程入力!$S$5:$S$117,$J425,②釜工程入力!$I$5:$I$117,"&gt;0",②釜工程入力!$M$5:$M$117,"&gt;0")+SUMIFS(③スチコン工程入力!$I$5:$I$152,③スチコン工程入力!$S$5:$S$152,$J425,③スチコン工程入力!$I$5:$I$152,"&gt;0",③スチコン工程入力!$M$5:$M$152,"&gt;0")+SUMIFS(⑪ZEN工程入力!$I$6:$I$35,⑪ZEN工程入力!$S$6:$S$35,$J425,⑪ZEN工程入力!$I$6:$I$35,"&gt;0",⑪ZEN工程入力!$M$6:$M$35,"&gt;0")+SUMIFS(⑫ミキサー工程入力!$I$6:$I$65,⑫ミキサー工程入力!$S$6:$S$65,$J425,⑫ミキサー工程入力!$I$6:$I$65,"&gt;0",⑫ミキサー工程入力!$M$6:$M$65,"&gt;0")+SUMIFS(⑬計量工程入力!$I$6:$I$65,⑬計量工程入力!$S$6:$S$65,$J425,⑬計量工程入力!$I$6:$I$65,"&gt;0",⑬計量工程入力!$M$6:$M$65,"&gt;0")+SUMIFS(⑭手動工程入力!$I$6:$I$47,⑭手動工程入力!$S$6:$S$47,$J425,⑭手動工程入力!$I$6:$I$47,"&gt;0",⑭手動工程入力!$M$6:$M$47,"&gt;0"))</f>
        <v/>
      </c>
      <c r="N425" s="393">
        <f>IF($J425="",0,SUMIFS(②釜工程入力!$M$5:$M$117,②釜工程入力!$S$5:$S$117,$J425,②釜工程入力!$J$5:$J$117,"&gt;0")-SUMIFS(②釜工程入力!$M$5:$M$117,②釜工程入力!$S$5:$S$117,$J425,②釜工程入力!$J$5:$J$117,"&gt;0",②釜工程入力!$I$5:$I$117,"&gt;0")+SUMIFS(③スチコン工程入力!$M$5:$M$152,③スチコン工程入力!$S$5:$S$152,$J425,③スチコン工程入力!$J$5:$J$152,"&gt;0")-SUMIFS(③スチコン工程入力!$M$5:$M$152,③スチコン工程入力!$S$5:$S$152,$J425,③スチコン工程入力!$J$5:$J$152,"&gt;0",③スチコン工程入力!$I$5:$I$152,"&gt;0")+SUMIFS(⑪ZEN工程入力!$M$6:$M$35,⑪ZEN工程入力!$S$6:$S$35,$J425,⑪ZEN工程入力!$J$6:$J$35,"&gt;0")-SUMIFS(⑪ZEN工程入力!$M$6:$M$35,⑪ZEN工程入力!$S$6:$S$35,$J425,⑪ZEN工程入力!$J$6:$J$35,"&gt;0",⑪ZEN工程入力!$I$6:$I$35,"&gt;0")+SUMIFS(⑫ミキサー工程入力!$M$6:$M$65,⑫ミキサー工程入力!$S$6:$S$65,$J425,⑫ミキサー工程入力!$J$6:$J$65,"&gt;0")-SUMIFS(⑫ミキサー工程入力!$M$6:$M$65,⑫ミキサー工程入力!$S$6:$S$65,$J425,⑫ミキサー工程入力!$J$6:$J$65,"&gt;0",⑫ミキサー工程入力!$I$6:$I$65,"&gt;0")+SUMIFS(⑬計量工程入力!$M$6:$M$65,⑬計量工程入力!$S$6:$S$65,$J425,⑬計量工程入力!$J$6:$J$65,"&gt;0")-SUMIFS(⑬計量工程入力!$M$6:$M$65,⑬計量工程入力!$S$6:$S$65,$J425,⑬計量工程入力!$J$6:$J$65,"&gt;0",⑬計量工程入力!$I$6:$I$65,"&gt;0")+SUMIFS(⑭手動工程入力!$M$6:$M$47,⑭手動工程入力!$S$6:$S$47,$J425,⑭手動工程入力!$J$6:$J$47,"&gt;0")-SUMIFS(⑭手動工程入力!$M$6:$M$47,⑭手動工程入力!$S$6:$S$47,$J425,⑭手動工程入力!$J$6:$J$47,"&gt;0",⑭手動工程入力!$I$6:$I$47,"&gt;0"))</f>
        <v/>
      </c>
      <c r="O425" s="393">
        <f>IF($J425="",0,SUMIFS(②釜工程入力!$J$5:$J$117,②釜工程入力!$S$5:$S$117,$J425,②釜工程入力!$J$5:$J$117,"&gt;0",②釜工程入力!$M$5:$M$117,"&gt;0")-SUMIFS(②釜工程入力!$J$5:$J$117,②釜工程入力!$S$5:$S$117,$J425,②釜工程入力!$J$5:$J$117,"&gt;0",②釜工程入力!$I$5:$I$117,"&gt;0",②釜工程入力!$M$5:$M$117,"&gt;0")+SUMIFS(③スチコン工程入力!$J$5:$J$152,③スチコン工程入力!$S$5:$S$152,$J425,③スチコン工程入力!$J$5:$J$152,"&gt;0",③スチコン工程入力!$M$5:$M$152,"&gt;0")-SUMIFS(③スチコン工程入力!$J$5:$J$152,③スチコン工程入力!$S$5:$S$152,$J425,③スチコン工程入力!$J$5:$J$152,"&gt;0",③スチコン工程入力!$I$5:$I$152,"&gt;0",③スチコン工程入力!$M$5:$M$152,"&gt;0")+SUMIFS(⑪ZEN工程入力!$J$6:$J$35,⑪ZEN工程入力!$S$6:$S$35,$J425,⑪ZEN工程入力!$J$6:$J$35,"&gt;0",⑪ZEN工程入力!$M$6:$M$35,"&gt;0")-SUMIFS(⑪ZEN工程入力!$J$6:$J$35,⑪ZEN工程入力!$S$6:$S$35,$J425,⑪ZEN工程入力!$J$6:$J$35,"&gt;0",⑪ZEN工程入力!$I$6:$I$35,"&gt;0",⑪ZEN工程入力!$M$6:$M$35,"&gt;0")+SUMIFS(⑫ミキサー工程入力!$J$6:$J$65,⑫ミキサー工程入力!$S$6:$S$65,$J425,⑫ミキサー工程入力!$J$6:$J$65,"&gt;0",⑫ミキサー工程入力!$M$6:$M$65,"&gt;0")-SUMIFS(⑫ミキサー工程入力!$J$6:$J$65,⑫ミキサー工程入力!$S$6:$S$65,$J425,⑫ミキサー工程入力!$J$6:$J$65,"&gt;0",⑫ミキサー工程入力!$I$6:$I$65,"&gt;0",⑫ミキサー工程入力!$M$6:$M$65,"&gt;0")+SUMIFS(⑬計量工程入力!$J$6:$J$65,⑬計量工程入力!$S$6:$S$65,$J425,⑬計量工程入力!$J$6:$J$65,"&gt;0",⑬計量工程入力!$M$6:$M$65,"&gt;0")-SUMIFS(⑬計量工程入力!$J$6:$J$65,⑬計量工程入力!$S$6:$S$65,$J425,⑬計量工程入力!$J$6:$J$65,"&gt;0",⑬計量工程入力!$I$6:$I$65,"&gt;0",⑬計量工程入力!$M$6:$M$65,"&gt;0")+SUMIFS(⑭手動工程入力!$J$6:$J$47,⑭手動工程入力!$S$6:$S$47,$J425,⑭手動工程入力!$J$6:$J$47,"&gt;0",⑭手動工程入力!$M$6:$M$47,"&gt;0")-SUMIFS(⑭手動工程入力!$J$6:$J$47,⑭手動工程入力!$S$6:$S$47,$J425,⑭手動工程入力!$J$6:$J$47,"&gt;0",⑭手動工程入力!$I$6:$I$47,"&gt;0",⑭手動工程入力!$M$6:$M$47,"&gt;0"))</f>
        <v/>
      </c>
      <c r="P425" s="392" t="inlineStr">
        <is>
          <t>中間品リスト</t>
        </is>
      </c>
    </row>
    <row r="426">
      <c r="A426" s="392" t="n">
        <v>422</v>
      </c>
      <c r="B426" s="392" t="n"/>
      <c r="C426" s="392" t="n"/>
      <c r="D426" s="409" t="n"/>
      <c r="E426" s="392" t="n"/>
      <c r="F426" s="394" t="n"/>
      <c r="G426" s="392" t="n"/>
      <c r="H426" s="604">
        <f>IFERROR(IF(AND($K426&gt;0,ISNUMBER(IF(OR($D426="g",$D426="ｇ"),IF($M426&gt;0,$L426/$M426/1000,""),IF($D426="kg",IF($M426&gt;0,$L426/$M426,""),IF($D426="",IF($M426&gt;0,$L426/$M426/1000,IF($O426&gt;0,$N426/$O426,"")),IF($O426&gt;0,$N426/$O426,"")))))),IF(OR($D426="g",$D426="ｇ"),IF($M426&gt;0,$L426/$M426/1000,""),IF($D426="kg",IF($M426&gt;0,$L426/$M426,""),IF($D426="",IF($M426&gt;0,$L426/$M426/1000,IF($O426&gt;0,$N426/$O426,"")),IF($O426&gt;0,$N426/$O426,"")))),IF($F426="",IF(OR($E426="",$E426="⑩盛付梱包工程入力"),"",IF(OR($D426="g",$D426="ｇ"),INDEX(⑰工程労務費一覧!$N$5:$N$11,MATCH($E426,⑰工程労務費一覧!$K$5:$K$11,0))/1000,IF($D426="kg",INDEX(⑰工程労務費一覧!$N$5:$N$11,MATCH($E426,⑰工程労務費一覧!$K$5:$K$11,0)),IF(OR($D426="個",$D426="切",$D426="本",$D426="枚",$D426="尾"),IF($E426="⑬計量工程入力","",INDEX(⑰工程労務費一覧!$P$5:$P$11,MATCH($E426,⑰工程労務費一覧!$K$5:$K$11,0))),IF(AND($D426="",OR($E426="②釜工程入力",$E426="③スチコン工程入力")),INDEX(⑰工程労務費一覧!$N$5:$N$11,MATCH($E426,⑰工程労務費一覧!$K$5:$K$11,0))/1000,""))))),IF(OR($D426="g",$D426="ｇ"),INDEX(⑰工程労務費一覧!$H$5:$H$753,MATCH($F426,⑰工程労務費一覧!$D$5:$D$753,0))/1000,IF($D426="kg",INDEX(⑰工程労務費一覧!$H$5:$H$753,MATCH($F426,⑰工程労務費一覧!$D$5:$D$753,0)),INDEX(⑰工程労務費一覧!$I$5:$I$753,MATCH($F426,⑰工程労務費一覧!$D$5:$D$753,0)))))),"")</f>
        <v/>
      </c>
      <c r="I426" s="392">
        <f>IF($K426&gt;0,IF(ISNUMBER(IF(OR($D426="g",$D426="ｇ"),IF($M426&gt;0,$L426/$M426/1000,""),IF($D426="kg",IF($M426&gt;0,$L426/$M426,""),IF($D426="",IF($M426&gt;0,$L426/$M426/1000,IF($O426&gt;0,$N426/$O426,"")),IF($O426&gt;0,$N426/$O426,""))))),IF($D426="",IF($M426&gt;0,"◎ JAN紐づけ(g扱い)","◎ JAN紐づけ(個扱い)"),"◎ JAN紐づけ"),"△ JAN紐づけ済・実績不足→仮計算"),IF($F426="",IF(ISNUMBER($H426),IF($D426="","⑤ 工程平均で仮計算(g扱い)","⑤ 工程平均で仮計算"),IF($E426="⑩盛付梱包工程入力","⑥ 盛り込み(⑳F列で計上)",IF(AND($E426="⑬計量工程入力",OR($D426="個",$D426="切",$D426="本",$D426="枚",$D426="尾")),"① 未紐づけ(カット個単位は仮単価なし)","① 未紐づけ"))),IF(NOT(ISNUMBER($H426)),"② 工程側に単価なし",IF($D426="","③ 単位未設定(個で計算)","④ OK"))))</f>
        <v/>
      </c>
      <c r="J426" s="399">
        <f>IFERROR(LOOKUP(2,1/((中間品リスト!$F$2:$F$1299=$B426)*(中間品リスト!$E$2:$E$1299&lt;&gt;"-")*(中間品リスト!$E$2:$E$1299&lt;&gt;"")),中間品リスト!$E$2:$E$1299),"")</f>
        <v/>
      </c>
      <c r="K426" s="400">
        <f>IF($J426="",0,COUNTIF(②釜工程入力!$S$5:$S$117,$J426)+COUNTIF(③スチコン工程入力!$S$5:$S$152,$J426)+COUNTIF(⑪ZEN工程入力!$S$6:$S$35,$J426)+COUNTIF(⑫ミキサー工程入力!$S$6:$S$65,$J426)+COUNTIF(⑬計量工程入力!$S$6:$S$65,$J426)+COUNTIF(⑭手動工程入力!$S$6:$S$47,$J426))</f>
        <v/>
      </c>
      <c r="L426" s="393">
        <f>IF($J426="",0,SUMIFS(②釜工程入力!$M$5:$M$117,②釜工程入力!$S$5:$S$117,$J426,②釜工程入力!$I$5:$I$117,"&gt;0")+SUMIFS(③スチコン工程入力!$M$5:$M$152,③スチコン工程入力!$S$5:$S$152,$J426,③スチコン工程入力!$I$5:$I$152,"&gt;0")+SUMIFS(⑪ZEN工程入力!$M$6:$M$35,⑪ZEN工程入力!$S$6:$S$35,$J426,⑪ZEN工程入力!$I$6:$I$35,"&gt;0")+SUMIFS(⑫ミキサー工程入力!$M$6:$M$65,⑫ミキサー工程入力!$S$6:$S$65,$J426,⑫ミキサー工程入力!$I$6:$I$65,"&gt;0")+SUMIFS(⑬計量工程入力!$M$6:$M$65,⑬計量工程入力!$S$6:$S$65,$J426,⑬計量工程入力!$I$6:$I$65,"&gt;0")+SUMIFS(⑭手動工程入力!$M$6:$M$47,⑭手動工程入力!$S$6:$S$47,$J426,⑭手動工程入力!$I$6:$I$47,"&gt;0"))</f>
        <v/>
      </c>
      <c r="M426" s="393">
        <f>IF($J426="",0,SUMIFS(②釜工程入力!$I$5:$I$117,②釜工程入力!$S$5:$S$117,$J426,②釜工程入力!$I$5:$I$117,"&gt;0",②釜工程入力!$M$5:$M$117,"&gt;0")+SUMIFS(③スチコン工程入力!$I$5:$I$152,③スチコン工程入力!$S$5:$S$152,$J426,③スチコン工程入力!$I$5:$I$152,"&gt;0",③スチコン工程入力!$M$5:$M$152,"&gt;0")+SUMIFS(⑪ZEN工程入力!$I$6:$I$35,⑪ZEN工程入力!$S$6:$S$35,$J426,⑪ZEN工程入力!$I$6:$I$35,"&gt;0",⑪ZEN工程入力!$M$6:$M$35,"&gt;0")+SUMIFS(⑫ミキサー工程入力!$I$6:$I$65,⑫ミキサー工程入力!$S$6:$S$65,$J426,⑫ミキサー工程入力!$I$6:$I$65,"&gt;0",⑫ミキサー工程入力!$M$6:$M$65,"&gt;0")+SUMIFS(⑬計量工程入力!$I$6:$I$65,⑬計量工程入力!$S$6:$S$65,$J426,⑬計量工程入力!$I$6:$I$65,"&gt;0",⑬計量工程入力!$M$6:$M$65,"&gt;0")+SUMIFS(⑭手動工程入力!$I$6:$I$47,⑭手動工程入力!$S$6:$S$47,$J426,⑭手動工程入力!$I$6:$I$47,"&gt;0",⑭手動工程入力!$M$6:$M$47,"&gt;0"))</f>
        <v/>
      </c>
      <c r="N426" s="393">
        <f>IF($J426="",0,SUMIFS(②釜工程入力!$M$5:$M$117,②釜工程入力!$S$5:$S$117,$J426,②釜工程入力!$J$5:$J$117,"&gt;0")-SUMIFS(②釜工程入力!$M$5:$M$117,②釜工程入力!$S$5:$S$117,$J426,②釜工程入力!$J$5:$J$117,"&gt;0",②釜工程入力!$I$5:$I$117,"&gt;0")+SUMIFS(③スチコン工程入力!$M$5:$M$152,③スチコン工程入力!$S$5:$S$152,$J426,③スチコン工程入力!$J$5:$J$152,"&gt;0")-SUMIFS(③スチコン工程入力!$M$5:$M$152,③スチコン工程入力!$S$5:$S$152,$J426,③スチコン工程入力!$J$5:$J$152,"&gt;0",③スチコン工程入力!$I$5:$I$152,"&gt;0")+SUMIFS(⑪ZEN工程入力!$M$6:$M$35,⑪ZEN工程入力!$S$6:$S$35,$J426,⑪ZEN工程入力!$J$6:$J$35,"&gt;0")-SUMIFS(⑪ZEN工程入力!$M$6:$M$35,⑪ZEN工程入力!$S$6:$S$35,$J426,⑪ZEN工程入力!$J$6:$J$35,"&gt;0",⑪ZEN工程入力!$I$6:$I$35,"&gt;0")+SUMIFS(⑫ミキサー工程入力!$M$6:$M$65,⑫ミキサー工程入力!$S$6:$S$65,$J426,⑫ミキサー工程入力!$J$6:$J$65,"&gt;0")-SUMIFS(⑫ミキサー工程入力!$M$6:$M$65,⑫ミキサー工程入力!$S$6:$S$65,$J426,⑫ミキサー工程入力!$J$6:$J$65,"&gt;0",⑫ミキサー工程入力!$I$6:$I$65,"&gt;0")+SUMIFS(⑬計量工程入力!$M$6:$M$65,⑬計量工程入力!$S$6:$S$65,$J426,⑬計量工程入力!$J$6:$J$65,"&gt;0")-SUMIFS(⑬計量工程入力!$M$6:$M$65,⑬計量工程入力!$S$6:$S$65,$J426,⑬計量工程入力!$J$6:$J$65,"&gt;0",⑬計量工程入力!$I$6:$I$65,"&gt;0")+SUMIFS(⑭手動工程入力!$M$6:$M$47,⑭手動工程入力!$S$6:$S$47,$J426,⑭手動工程入力!$J$6:$J$47,"&gt;0")-SUMIFS(⑭手動工程入力!$M$6:$M$47,⑭手動工程入力!$S$6:$S$47,$J426,⑭手動工程入力!$J$6:$J$47,"&gt;0",⑭手動工程入力!$I$6:$I$47,"&gt;0"))</f>
        <v/>
      </c>
      <c r="O426" s="393">
        <f>IF($J426="",0,SUMIFS(②釜工程入力!$J$5:$J$117,②釜工程入力!$S$5:$S$117,$J426,②釜工程入力!$J$5:$J$117,"&gt;0",②釜工程入力!$M$5:$M$117,"&gt;0")-SUMIFS(②釜工程入力!$J$5:$J$117,②釜工程入力!$S$5:$S$117,$J426,②釜工程入力!$J$5:$J$117,"&gt;0",②釜工程入力!$I$5:$I$117,"&gt;0",②釜工程入力!$M$5:$M$117,"&gt;0")+SUMIFS(③スチコン工程入力!$J$5:$J$152,③スチコン工程入力!$S$5:$S$152,$J426,③スチコン工程入力!$J$5:$J$152,"&gt;0",③スチコン工程入力!$M$5:$M$152,"&gt;0")-SUMIFS(③スチコン工程入力!$J$5:$J$152,③スチコン工程入力!$S$5:$S$152,$J426,③スチコン工程入力!$J$5:$J$152,"&gt;0",③スチコン工程入力!$I$5:$I$152,"&gt;0",③スチコン工程入力!$M$5:$M$152,"&gt;0")+SUMIFS(⑪ZEN工程入力!$J$6:$J$35,⑪ZEN工程入力!$S$6:$S$35,$J426,⑪ZEN工程入力!$J$6:$J$35,"&gt;0",⑪ZEN工程入力!$M$6:$M$35,"&gt;0")-SUMIFS(⑪ZEN工程入力!$J$6:$J$35,⑪ZEN工程入力!$S$6:$S$35,$J426,⑪ZEN工程入力!$J$6:$J$35,"&gt;0",⑪ZEN工程入力!$I$6:$I$35,"&gt;0",⑪ZEN工程入力!$M$6:$M$35,"&gt;0")+SUMIFS(⑫ミキサー工程入力!$J$6:$J$65,⑫ミキサー工程入力!$S$6:$S$65,$J426,⑫ミキサー工程入力!$J$6:$J$65,"&gt;0",⑫ミキサー工程入力!$M$6:$M$65,"&gt;0")-SUMIFS(⑫ミキサー工程入力!$J$6:$J$65,⑫ミキサー工程入力!$S$6:$S$65,$J426,⑫ミキサー工程入力!$J$6:$J$65,"&gt;0",⑫ミキサー工程入力!$I$6:$I$65,"&gt;0",⑫ミキサー工程入力!$M$6:$M$65,"&gt;0")+SUMIFS(⑬計量工程入力!$J$6:$J$65,⑬計量工程入力!$S$6:$S$65,$J426,⑬計量工程入力!$J$6:$J$65,"&gt;0",⑬計量工程入力!$M$6:$M$65,"&gt;0")-SUMIFS(⑬計量工程入力!$J$6:$J$65,⑬計量工程入力!$S$6:$S$65,$J426,⑬計量工程入力!$J$6:$J$65,"&gt;0",⑬計量工程入力!$I$6:$I$65,"&gt;0",⑬計量工程入力!$M$6:$M$65,"&gt;0")+SUMIFS(⑭手動工程入力!$J$6:$J$47,⑭手動工程入力!$S$6:$S$47,$J426,⑭手動工程入力!$J$6:$J$47,"&gt;0",⑭手動工程入力!$M$6:$M$47,"&gt;0")-SUMIFS(⑭手動工程入力!$J$6:$J$47,⑭手動工程入力!$S$6:$S$47,$J426,⑭手動工程入力!$J$6:$J$47,"&gt;0",⑭手動工程入力!$I$6:$I$47,"&gt;0",⑭手動工程入力!$M$6:$M$47,"&gt;0"))</f>
        <v/>
      </c>
      <c r="P426" s="392" t="inlineStr">
        <is>
          <t>中間品リスト</t>
        </is>
      </c>
    </row>
    <row r="427">
      <c r="A427" s="392" t="n">
        <v>423</v>
      </c>
      <c r="B427" s="392" t="n"/>
      <c r="C427" s="392" t="n"/>
      <c r="D427" s="409" t="n"/>
      <c r="E427" s="392" t="n"/>
      <c r="F427" s="394" t="n"/>
      <c r="G427" s="392" t="n"/>
      <c r="H427" s="604">
        <f>IFERROR(IF(AND($K427&gt;0,ISNUMBER(IF(OR($D427="g",$D427="ｇ"),IF($M427&gt;0,$L427/$M427/1000,""),IF($D427="kg",IF($M427&gt;0,$L427/$M427,""),IF($D427="",IF($M427&gt;0,$L427/$M427/1000,IF($O427&gt;0,$N427/$O427,"")),IF($O427&gt;0,$N427/$O427,"")))))),IF(OR($D427="g",$D427="ｇ"),IF($M427&gt;0,$L427/$M427/1000,""),IF($D427="kg",IF($M427&gt;0,$L427/$M427,""),IF($D427="",IF($M427&gt;0,$L427/$M427/1000,IF($O427&gt;0,$N427/$O427,"")),IF($O427&gt;0,$N427/$O427,"")))),IF($F427="",IF(OR($E427="",$E427="⑩盛付梱包工程入力"),"",IF(OR($D427="g",$D427="ｇ"),INDEX(⑰工程労務費一覧!$N$5:$N$11,MATCH($E427,⑰工程労務費一覧!$K$5:$K$11,0))/1000,IF($D427="kg",INDEX(⑰工程労務費一覧!$N$5:$N$11,MATCH($E427,⑰工程労務費一覧!$K$5:$K$11,0)),IF(OR($D427="個",$D427="切",$D427="本",$D427="枚",$D427="尾"),IF($E427="⑬計量工程入力","",INDEX(⑰工程労務費一覧!$P$5:$P$11,MATCH($E427,⑰工程労務費一覧!$K$5:$K$11,0))),IF(AND($D427="",OR($E427="②釜工程入力",$E427="③スチコン工程入力")),INDEX(⑰工程労務費一覧!$N$5:$N$11,MATCH($E427,⑰工程労務費一覧!$K$5:$K$11,0))/1000,""))))),IF(OR($D427="g",$D427="ｇ"),INDEX(⑰工程労務費一覧!$H$5:$H$753,MATCH($F427,⑰工程労務費一覧!$D$5:$D$753,0))/1000,IF($D427="kg",INDEX(⑰工程労務費一覧!$H$5:$H$753,MATCH($F427,⑰工程労務費一覧!$D$5:$D$753,0)),INDEX(⑰工程労務費一覧!$I$5:$I$753,MATCH($F427,⑰工程労務費一覧!$D$5:$D$753,0)))))),"")</f>
        <v/>
      </c>
      <c r="I427" s="392">
        <f>IF($K427&gt;0,IF(ISNUMBER(IF(OR($D427="g",$D427="ｇ"),IF($M427&gt;0,$L427/$M427/1000,""),IF($D427="kg",IF($M427&gt;0,$L427/$M427,""),IF($D427="",IF($M427&gt;0,$L427/$M427/1000,IF($O427&gt;0,$N427/$O427,"")),IF($O427&gt;0,$N427/$O427,""))))),IF($D427="",IF($M427&gt;0,"◎ JAN紐づけ(g扱い)","◎ JAN紐づけ(個扱い)"),"◎ JAN紐づけ"),"△ JAN紐づけ済・実績不足→仮計算"),IF($F427="",IF(ISNUMBER($H427),IF($D427="","⑤ 工程平均で仮計算(g扱い)","⑤ 工程平均で仮計算"),IF($E427="⑩盛付梱包工程入力","⑥ 盛り込み(⑳F列で計上)",IF(AND($E427="⑬計量工程入力",OR($D427="個",$D427="切",$D427="本",$D427="枚",$D427="尾")),"① 未紐づけ(カット個単位は仮単価なし)","① 未紐づけ"))),IF(NOT(ISNUMBER($H427)),"② 工程側に単価なし",IF($D427="","③ 単位未設定(個で計算)","④ OK"))))</f>
        <v/>
      </c>
      <c r="J427" s="399">
        <f>IFERROR(LOOKUP(2,1/((中間品リスト!$F$2:$F$1299=$B427)*(中間品リスト!$E$2:$E$1299&lt;&gt;"-")*(中間品リスト!$E$2:$E$1299&lt;&gt;"")),中間品リスト!$E$2:$E$1299),"")</f>
        <v/>
      </c>
      <c r="K427" s="400">
        <f>IF($J427="",0,COUNTIF(②釜工程入力!$S$5:$S$117,$J427)+COUNTIF(③スチコン工程入力!$S$5:$S$152,$J427)+COUNTIF(⑪ZEN工程入力!$S$6:$S$35,$J427)+COUNTIF(⑫ミキサー工程入力!$S$6:$S$65,$J427)+COUNTIF(⑬計量工程入力!$S$6:$S$65,$J427)+COUNTIF(⑭手動工程入力!$S$6:$S$47,$J427))</f>
        <v/>
      </c>
      <c r="L427" s="393">
        <f>IF($J427="",0,SUMIFS(②釜工程入力!$M$5:$M$117,②釜工程入力!$S$5:$S$117,$J427,②釜工程入力!$I$5:$I$117,"&gt;0")+SUMIFS(③スチコン工程入力!$M$5:$M$152,③スチコン工程入力!$S$5:$S$152,$J427,③スチコン工程入力!$I$5:$I$152,"&gt;0")+SUMIFS(⑪ZEN工程入力!$M$6:$M$35,⑪ZEN工程入力!$S$6:$S$35,$J427,⑪ZEN工程入力!$I$6:$I$35,"&gt;0")+SUMIFS(⑫ミキサー工程入力!$M$6:$M$65,⑫ミキサー工程入力!$S$6:$S$65,$J427,⑫ミキサー工程入力!$I$6:$I$65,"&gt;0")+SUMIFS(⑬計量工程入力!$M$6:$M$65,⑬計量工程入力!$S$6:$S$65,$J427,⑬計量工程入力!$I$6:$I$65,"&gt;0")+SUMIFS(⑭手動工程入力!$M$6:$M$47,⑭手動工程入力!$S$6:$S$47,$J427,⑭手動工程入力!$I$6:$I$47,"&gt;0"))</f>
        <v/>
      </c>
      <c r="M427" s="393">
        <f>IF($J427="",0,SUMIFS(②釜工程入力!$I$5:$I$117,②釜工程入力!$S$5:$S$117,$J427,②釜工程入力!$I$5:$I$117,"&gt;0",②釜工程入力!$M$5:$M$117,"&gt;0")+SUMIFS(③スチコン工程入力!$I$5:$I$152,③スチコン工程入力!$S$5:$S$152,$J427,③スチコン工程入力!$I$5:$I$152,"&gt;0",③スチコン工程入力!$M$5:$M$152,"&gt;0")+SUMIFS(⑪ZEN工程入力!$I$6:$I$35,⑪ZEN工程入力!$S$6:$S$35,$J427,⑪ZEN工程入力!$I$6:$I$35,"&gt;0",⑪ZEN工程入力!$M$6:$M$35,"&gt;0")+SUMIFS(⑫ミキサー工程入力!$I$6:$I$65,⑫ミキサー工程入力!$S$6:$S$65,$J427,⑫ミキサー工程入力!$I$6:$I$65,"&gt;0",⑫ミキサー工程入力!$M$6:$M$65,"&gt;0")+SUMIFS(⑬計量工程入力!$I$6:$I$65,⑬計量工程入力!$S$6:$S$65,$J427,⑬計量工程入力!$I$6:$I$65,"&gt;0",⑬計量工程入力!$M$6:$M$65,"&gt;0")+SUMIFS(⑭手動工程入力!$I$6:$I$47,⑭手動工程入力!$S$6:$S$47,$J427,⑭手動工程入力!$I$6:$I$47,"&gt;0",⑭手動工程入力!$M$6:$M$47,"&gt;0"))</f>
        <v/>
      </c>
      <c r="N427" s="393">
        <f>IF($J427="",0,SUMIFS(②釜工程入力!$M$5:$M$117,②釜工程入力!$S$5:$S$117,$J427,②釜工程入力!$J$5:$J$117,"&gt;0")-SUMIFS(②釜工程入力!$M$5:$M$117,②釜工程入力!$S$5:$S$117,$J427,②釜工程入力!$J$5:$J$117,"&gt;0",②釜工程入力!$I$5:$I$117,"&gt;0")+SUMIFS(③スチコン工程入力!$M$5:$M$152,③スチコン工程入力!$S$5:$S$152,$J427,③スチコン工程入力!$J$5:$J$152,"&gt;0")-SUMIFS(③スチコン工程入力!$M$5:$M$152,③スチコン工程入力!$S$5:$S$152,$J427,③スチコン工程入力!$J$5:$J$152,"&gt;0",③スチコン工程入力!$I$5:$I$152,"&gt;0")+SUMIFS(⑪ZEN工程入力!$M$6:$M$35,⑪ZEN工程入力!$S$6:$S$35,$J427,⑪ZEN工程入力!$J$6:$J$35,"&gt;0")-SUMIFS(⑪ZEN工程入力!$M$6:$M$35,⑪ZEN工程入力!$S$6:$S$35,$J427,⑪ZEN工程入力!$J$6:$J$35,"&gt;0",⑪ZEN工程入力!$I$6:$I$35,"&gt;0")+SUMIFS(⑫ミキサー工程入力!$M$6:$M$65,⑫ミキサー工程入力!$S$6:$S$65,$J427,⑫ミキサー工程入力!$J$6:$J$65,"&gt;0")-SUMIFS(⑫ミキサー工程入力!$M$6:$M$65,⑫ミキサー工程入力!$S$6:$S$65,$J427,⑫ミキサー工程入力!$J$6:$J$65,"&gt;0",⑫ミキサー工程入力!$I$6:$I$65,"&gt;0")+SUMIFS(⑬計量工程入力!$M$6:$M$65,⑬計量工程入力!$S$6:$S$65,$J427,⑬計量工程入力!$J$6:$J$65,"&gt;0")-SUMIFS(⑬計量工程入力!$M$6:$M$65,⑬計量工程入力!$S$6:$S$65,$J427,⑬計量工程入力!$J$6:$J$65,"&gt;0",⑬計量工程入力!$I$6:$I$65,"&gt;0")+SUMIFS(⑭手動工程入力!$M$6:$M$47,⑭手動工程入力!$S$6:$S$47,$J427,⑭手動工程入力!$J$6:$J$47,"&gt;0")-SUMIFS(⑭手動工程入力!$M$6:$M$47,⑭手動工程入力!$S$6:$S$47,$J427,⑭手動工程入力!$J$6:$J$47,"&gt;0",⑭手動工程入力!$I$6:$I$47,"&gt;0"))</f>
        <v/>
      </c>
      <c r="O427" s="393">
        <f>IF($J427="",0,SUMIFS(②釜工程入力!$J$5:$J$117,②釜工程入力!$S$5:$S$117,$J427,②釜工程入力!$J$5:$J$117,"&gt;0",②釜工程入力!$M$5:$M$117,"&gt;0")-SUMIFS(②釜工程入力!$J$5:$J$117,②釜工程入力!$S$5:$S$117,$J427,②釜工程入力!$J$5:$J$117,"&gt;0",②釜工程入力!$I$5:$I$117,"&gt;0",②釜工程入力!$M$5:$M$117,"&gt;0")+SUMIFS(③スチコン工程入力!$J$5:$J$152,③スチコン工程入力!$S$5:$S$152,$J427,③スチコン工程入力!$J$5:$J$152,"&gt;0",③スチコン工程入力!$M$5:$M$152,"&gt;0")-SUMIFS(③スチコン工程入力!$J$5:$J$152,③スチコン工程入力!$S$5:$S$152,$J427,③スチコン工程入力!$J$5:$J$152,"&gt;0",③スチコン工程入力!$I$5:$I$152,"&gt;0",③スチコン工程入力!$M$5:$M$152,"&gt;0")+SUMIFS(⑪ZEN工程入力!$J$6:$J$35,⑪ZEN工程入力!$S$6:$S$35,$J427,⑪ZEN工程入力!$J$6:$J$35,"&gt;0",⑪ZEN工程入力!$M$6:$M$35,"&gt;0")-SUMIFS(⑪ZEN工程入力!$J$6:$J$35,⑪ZEN工程入力!$S$6:$S$35,$J427,⑪ZEN工程入力!$J$6:$J$35,"&gt;0",⑪ZEN工程入力!$I$6:$I$35,"&gt;0",⑪ZEN工程入力!$M$6:$M$35,"&gt;0")+SUMIFS(⑫ミキサー工程入力!$J$6:$J$65,⑫ミキサー工程入力!$S$6:$S$65,$J427,⑫ミキサー工程入力!$J$6:$J$65,"&gt;0",⑫ミキサー工程入力!$M$6:$M$65,"&gt;0")-SUMIFS(⑫ミキサー工程入力!$J$6:$J$65,⑫ミキサー工程入力!$S$6:$S$65,$J427,⑫ミキサー工程入力!$J$6:$J$65,"&gt;0",⑫ミキサー工程入力!$I$6:$I$65,"&gt;0",⑫ミキサー工程入力!$M$6:$M$65,"&gt;0")+SUMIFS(⑬計量工程入力!$J$6:$J$65,⑬計量工程入力!$S$6:$S$65,$J427,⑬計量工程入力!$J$6:$J$65,"&gt;0",⑬計量工程入力!$M$6:$M$65,"&gt;0")-SUMIFS(⑬計量工程入力!$J$6:$J$65,⑬計量工程入力!$S$6:$S$65,$J427,⑬計量工程入力!$J$6:$J$65,"&gt;0",⑬計量工程入力!$I$6:$I$65,"&gt;0",⑬計量工程入力!$M$6:$M$65,"&gt;0")+SUMIFS(⑭手動工程入力!$J$6:$J$47,⑭手動工程入力!$S$6:$S$47,$J427,⑭手動工程入力!$J$6:$J$47,"&gt;0",⑭手動工程入力!$M$6:$M$47,"&gt;0")-SUMIFS(⑭手動工程入力!$J$6:$J$47,⑭手動工程入力!$S$6:$S$47,$J427,⑭手動工程入力!$J$6:$J$47,"&gt;0",⑭手動工程入力!$I$6:$I$47,"&gt;0",⑭手動工程入力!$M$6:$M$47,"&gt;0"))</f>
        <v/>
      </c>
      <c r="P427" s="392" t="inlineStr">
        <is>
          <t>中間品リスト</t>
        </is>
      </c>
    </row>
    <row r="428">
      <c r="A428" s="392" t="n">
        <v>424</v>
      </c>
      <c r="B428" s="392" t="n"/>
      <c r="C428" s="392" t="n"/>
      <c r="D428" s="409" t="n"/>
      <c r="E428" s="392" t="n"/>
      <c r="F428" s="394" t="n"/>
      <c r="G428" s="392" t="n"/>
      <c r="H428" s="604">
        <f>IFERROR(IF(AND($K428&gt;0,ISNUMBER(IF(OR($D428="g",$D428="ｇ"),IF($M428&gt;0,$L428/$M428/1000,""),IF($D428="kg",IF($M428&gt;0,$L428/$M428,""),IF($D428="",IF($M428&gt;0,$L428/$M428/1000,IF($O428&gt;0,$N428/$O428,"")),IF($O428&gt;0,$N428/$O428,"")))))),IF(OR($D428="g",$D428="ｇ"),IF($M428&gt;0,$L428/$M428/1000,""),IF($D428="kg",IF($M428&gt;0,$L428/$M428,""),IF($D428="",IF($M428&gt;0,$L428/$M428/1000,IF($O428&gt;0,$N428/$O428,"")),IF($O428&gt;0,$N428/$O428,"")))),IF($F428="",IF(OR($E428="",$E428="⑩盛付梱包工程入力"),"",IF(OR($D428="g",$D428="ｇ"),INDEX(⑰工程労務費一覧!$N$5:$N$11,MATCH($E428,⑰工程労務費一覧!$K$5:$K$11,0))/1000,IF($D428="kg",INDEX(⑰工程労務費一覧!$N$5:$N$11,MATCH($E428,⑰工程労務費一覧!$K$5:$K$11,0)),IF(OR($D428="個",$D428="切",$D428="本",$D428="枚",$D428="尾"),IF($E428="⑬計量工程入力","",INDEX(⑰工程労務費一覧!$P$5:$P$11,MATCH($E428,⑰工程労務費一覧!$K$5:$K$11,0))),IF(AND($D428="",OR($E428="②釜工程入力",$E428="③スチコン工程入力")),INDEX(⑰工程労務費一覧!$N$5:$N$11,MATCH($E428,⑰工程労務費一覧!$K$5:$K$11,0))/1000,""))))),IF(OR($D428="g",$D428="ｇ"),INDEX(⑰工程労務費一覧!$H$5:$H$753,MATCH($F428,⑰工程労務費一覧!$D$5:$D$753,0))/1000,IF($D428="kg",INDEX(⑰工程労務費一覧!$H$5:$H$753,MATCH($F428,⑰工程労務費一覧!$D$5:$D$753,0)),INDEX(⑰工程労務費一覧!$I$5:$I$753,MATCH($F428,⑰工程労務費一覧!$D$5:$D$753,0)))))),"")</f>
        <v/>
      </c>
      <c r="I428" s="392">
        <f>IF($K428&gt;0,IF(ISNUMBER(IF(OR($D428="g",$D428="ｇ"),IF($M428&gt;0,$L428/$M428/1000,""),IF($D428="kg",IF($M428&gt;0,$L428/$M428,""),IF($D428="",IF($M428&gt;0,$L428/$M428/1000,IF($O428&gt;0,$N428/$O428,"")),IF($O428&gt;0,$N428/$O428,""))))),IF($D428="",IF($M428&gt;0,"◎ JAN紐づけ(g扱い)","◎ JAN紐づけ(個扱い)"),"◎ JAN紐づけ"),"△ JAN紐づけ済・実績不足→仮計算"),IF($F428="",IF(ISNUMBER($H428),IF($D428="","⑤ 工程平均で仮計算(g扱い)","⑤ 工程平均で仮計算"),IF($E428="⑩盛付梱包工程入力","⑥ 盛り込み(⑳F列で計上)",IF(AND($E428="⑬計量工程入力",OR($D428="個",$D428="切",$D428="本",$D428="枚",$D428="尾")),"① 未紐づけ(カット個単位は仮単価なし)","① 未紐づけ"))),IF(NOT(ISNUMBER($H428)),"② 工程側に単価なし",IF($D428="","③ 単位未設定(個で計算)","④ OK"))))</f>
        <v/>
      </c>
      <c r="J428" s="399">
        <f>IFERROR(LOOKUP(2,1/((中間品リスト!$F$2:$F$1299=$B428)*(中間品リスト!$E$2:$E$1299&lt;&gt;"-")*(中間品リスト!$E$2:$E$1299&lt;&gt;"")),中間品リスト!$E$2:$E$1299),"")</f>
        <v/>
      </c>
      <c r="K428" s="400">
        <f>IF($J428="",0,COUNTIF(②釜工程入力!$S$5:$S$117,$J428)+COUNTIF(③スチコン工程入力!$S$5:$S$152,$J428)+COUNTIF(⑪ZEN工程入力!$S$6:$S$35,$J428)+COUNTIF(⑫ミキサー工程入力!$S$6:$S$65,$J428)+COUNTIF(⑬計量工程入力!$S$6:$S$65,$J428)+COUNTIF(⑭手動工程入力!$S$6:$S$47,$J428))</f>
        <v/>
      </c>
      <c r="L428" s="393">
        <f>IF($J428="",0,SUMIFS(②釜工程入力!$M$5:$M$117,②釜工程入力!$S$5:$S$117,$J428,②釜工程入力!$I$5:$I$117,"&gt;0")+SUMIFS(③スチコン工程入力!$M$5:$M$152,③スチコン工程入力!$S$5:$S$152,$J428,③スチコン工程入力!$I$5:$I$152,"&gt;0")+SUMIFS(⑪ZEN工程入力!$M$6:$M$35,⑪ZEN工程入力!$S$6:$S$35,$J428,⑪ZEN工程入力!$I$6:$I$35,"&gt;0")+SUMIFS(⑫ミキサー工程入力!$M$6:$M$65,⑫ミキサー工程入力!$S$6:$S$65,$J428,⑫ミキサー工程入力!$I$6:$I$65,"&gt;0")+SUMIFS(⑬計量工程入力!$M$6:$M$65,⑬計量工程入力!$S$6:$S$65,$J428,⑬計量工程入力!$I$6:$I$65,"&gt;0")+SUMIFS(⑭手動工程入力!$M$6:$M$47,⑭手動工程入力!$S$6:$S$47,$J428,⑭手動工程入力!$I$6:$I$47,"&gt;0"))</f>
        <v/>
      </c>
      <c r="M428" s="393">
        <f>IF($J428="",0,SUMIFS(②釜工程入力!$I$5:$I$117,②釜工程入力!$S$5:$S$117,$J428,②釜工程入力!$I$5:$I$117,"&gt;0",②釜工程入力!$M$5:$M$117,"&gt;0")+SUMIFS(③スチコン工程入力!$I$5:$I$152,③スチコン工程入力!$S$5:$S$152,$J428,③スチコン工程入力!$I$5:$I$152,"&gt;0",③スチコン工程入力!$M$5:$M$152,"&gt;0")+SUMIFS(⑪ZEN工程入力!$I$6:$I$35,⑪ZEN工程入力!$S$6:$S$35,$J428,⑪ZEN工程入力!$I$6:$I$35,"&gt;0",⑪ZEN工程入力!$M$6:$M$35,"&gt;0")+SUMIFS(⑫ミキサー工程入力!$I$6:$I$65,⑫ミキサー工程入力!$S$6:$S$65,$J428,⑫ミキサー工程入力!$I$6:$I$65,"&gt;0",⑫ミキサー工程入力!$M$6:$M$65,"&gt;0")+SUMIFS(⑬計量工程入力!$I$6:$I$65,⑬計量工程入力!$S$6:$S$65,$J428,⑬計量工程入力!$I$6:$I$65,"&gt;0",⑬計量工程入力!$M$6:$M$65,"&gt;0")+SUMIFS(⑭手動工程入力!$I$6:$I$47,⑭手動工程入力!$S$6:$S$47,$J428,⑭手動工程入力!$I$6:$I$47,"&gt;0",⑭手動工程入力!$M$6:$M$47,"&gt;0"))</f>
        <v/>
      </c>
      <c r="N428" s="393">
        <f>IF($J428="",0,SUMIFS(②釜工程入力!$M$5:$M$117,②釜工程入力!$S$5:$S$117,$J428,②釜工程入力!$J$5:$J$117,"&gt;0")-SUMIFS(②釜工程入力!$M$5:$M$117,②釜工程入力!$S$5:$S$117,$J428,②釜工程入力!$J$5:$J$117,"&gt;0",②釜工程入力!$I$5:$I$117,"&gt;0")+SUMIFS(③スチコン工程入力!$M$5:$M$152,③スチコン工程入力!$S$5:$S$152,$J428,③スチコン工程入力!$J$5:$J$152,"&gt;0")-SUMIFS(③スチコン工程入力!$M$5:$M$152,③スチコン工程入力!$S$5:$S$152,$J428,③スチコン工程入力!$J$5:$J$152,"&gt;0",③スチコン工程入力!$I$5:$I$152,"&gt;0")+SUMIFS(⑪ZEN工程入力!$M$6:$M$35,⑪ZEN工程入力!$S$6:$S$35,$J428,⑪ZEN工程入力!$J$6:$J$35,"&gt;0")-SUMIFS(⑪ZEN工程入力!$M$6:$M$35,⑪ZEN工程入力!$S$6:$S$35,$J428,⑪ZEN工程入力!$J$6:$J$35,"&gt;0",⑪ZEN工程入力!$I$6:$I$35,"&gt;0")+SUMIFS(⑫ミキサー工程入力!$M$6:$M$65,⑫ミキサー工程入力!$S$6:$S$65,$J428,⑫ミキサー工程入力!$J$6:$J$65,"&gt;0")-SUMIFS(⑫ミキサー工程入力!$M$6:$M$65,⑫ミキサー工程入力!$S$6:$S$65,$J428,⑫ミキサー工程入力!$J$6:$J$65,"&gt;0",⑫ミキサー工程入力!$I$6:$I$65,"&gt;0")+SUMIFS(⑬計量工程入力!$M$6:$M$65,⑬計量工程入力!$S$6:$S$65,$J428,⑬計量工程入力!$J$6:$J$65,"&gt;0")-SUMIFS(⑬計量工程入力!$M$6:$M$65,⑬計量工程入力!$S$6:$S$65,$J428,⑬計量工程入力!$J$6:$J$65,"&gt;0",⑬計量工程入力!$I$6:$I$65,"&gt;0")+SUMIFS(⑭手動工程入力!$M$6:$M$47,⑭手動工程入力!$S$6:$S$47,$J428,⑭手動工程入力!$J$6:$J$47,"&gt;0")-SUMIFS(⑭手動工程入力!$M$6:$M$47,⑭手動工程入力!$S$6:$S$47,$J428,⑭手動工程入力!$J$6:$J$47,"&gt;0",⑭手動工程入力!$I$6:$I$47,"&gt;0"))</f>
        <v/>
      </c>
      <c r="O428" s="393">
        <f>IF($J428="",0,SUMIFS(②釜工程入力!$J$5:$J$117,②釜工程入力!$S$5:$S$117,$J428,②釜工程入力!$J$5:$J$117,"&gt;0",②釜工程入力!$M$5:$M$117,"&gt;0")-SUMIFS(②釜工程入力!$J$5:$J$117,②釜工程入力!$S$5:$S$117,$J428,②釜工程入力!$J$5:$J$117,"&gt;0",②釜工程入力!$I$5:$I$117,"&gt;0",②釜工程入力!$M$5:$M$117,"&gt;0")+SUMIFS(③スチコン工程入力!$J$5:$J$152,③スチコン工程入力!$S$5:$S$152,$J428,③スチコン工程入力!$J$5:$J$152,"&gt;0",③スチコン工程入力!$M$5:$M$152,"&gt;0")-SUMIFS(③スチコン工程入力!$J$5:$J$152,③スチコン工程入力!$S$5:$S$152,$J428,③スチコン工程入力!$J$5:$J$152,"&gt;0",③スチコン工程入力!$I$5:$I$152,"&gt;0",③スチコン工程入力!$M$5:$M$152,"&gt;0")+SUMIFS(⑪ZEN工程入力!$J$6:$J$35,⑪ZEN工程入力!$S$6:$S$35,$J428,⑪ZEN工程入力!$J$6:$J$35,"&gt;0",⑪ZEN工程入力!$M$6:$M$35,"&gt;0")-SUMIFS(⑪ZEN工程入力!$J$6:$J$35,⑪ZEN工程入力!$S$6:$S$35,$J428,⑪ZEN工程入力!$J$6:$J$35,"&gt;0",⑪ZEN工程入力!$I$6:$I$35,"&gt;0",⑪ZEN工程入力!$M$6:$M$35,"&gt;0")+SUMIFS(⑫ミキサー工程入力!$J$6:$J$65,⑫ミキサー工程入力!$S$6:$S$65,$J428,⑫ミキサー工程入力!$J$6:$J$65,"&gt;0",⑫ミキサー工程入力!$M$6:$M$65,"&gt;0")-SUMIFS(⑫ミキサー工程入力!$J$6:$J$65,⑫ミキサー工程入力!$S$6:$S$65,$J428,⑫ミキサー工程入力!$J$6:$J$65,"&gt;0",⑫ミキサー工程入力!$I$6:$I$65,"&gt;0",⑫ミキサー工程入力!$M$6:$M$65,"&gt;0")+SUMIFS(⑬計量工程入力!$J$6:$J$65,⑬計量工程入力!$S$6:$S$65,$J428,⑬計量工程入力!$J$6:$J$65,"&gt;0",⑬計量工程入力!$M$6:$M$65,"&gt;0")-SUMIFS(⑬計量工程入力!$J$6:$J$65,⑬計量工程入力!$S$6:$S$65,$J428,⑬計量工程入力!$J$6:$J$65,"&gt;0",⑬計量工程入力!$I$6:$I$65,"&gt;0",⑬計量工程入力!$M$6:$M$65,"&gt;0")+SUMIFS(⑭手動工程入力!$J$6:$J$47,⑭手動工程入力!$S$6:$S$47,$J428,⑭手動工程入力!$J$6:$J$47,"&gt;0",⑭手動工程入力!$M$6:$M$47,"&gt;0")-SUMIFS(⑭手動工程入力!$J$6:$J$47,⑭手動工程入力!$S$6:$S$47,$J428,⑭手動工程入力!$J$6:$J$47,"&gt;0",⑭手動工程入力!$I$6:$I$47,"&gt;0",⑭手動工程入力!$M$6:$M$47,"&gt;0"))</f>
        <v/>
      </c>
      <c r="P428" s="392" t="inlineStr">
        <is>
          <t>中間品リスト</t>
        </is>
      </c>
    </row>
    <row r="429">
      <c r="A429" s="392" t="n">
        <v>425</v>
      </c>
      <c r="B429" s="392" t="n"/>
      <c r="C429" s="392" t="n"/>
      <c r="D429" s="409" t="n"/>
      <c r="E429" s="392" t="n"/>
      <c r="F429" s="394" t="n"/>
      <c r="G429" s="392" t="n"/>
      <c r="H429" s="604">
        <f>IFERROR(IF(AND($K429&gt;0,ISNUMBER(IF(OR($D429="g",$D429="ｇ"),IF($M429&gt;0,$L429/$M429/1000,""),IF($D429="kg",IF($M429&gt;0,$L429/$M429,""),IF($D429="",IF($M429&gt;0,$L429/$M429/1000,IF($O429&gt;0,$N429/$O429,"")),IF($O429&gt;0,$N429/$O429,"")))))),IF(OR($D429="g",$D429="ｇ"),IF($M429&gt;0,$L429/$M429/1000,""),IF($D429="kg",IF($M429&gt;0,$L429/$M429,""),IF($D429="",IF($M429&gt;0,$L429/$M429/1000,IF($O429&gt;0,$N429/$O429,"")),IF($O429&gt;0,$N429/$O429,"")))),IF($F429="",IF(OR($E429="",$E429="⑩盛付梱包工程入力"),"",IF(OR($D429="g",$D429="ｇ"),INDEX(⑰工程労務費一覧!$N$5:$N$11,MATCH($E429,⑰工程労務費一覧!$K$5:$K$11,0))/1000,IF($D429="kg",INDEX(⑰工程労務費一覧!$N$5:$N$11,MATCH($E429,⑰工程労務費一覧!$K$5:$K$11,0)),IF(OR($D429="個",$D429="切",$D429="本",$D429="枚",$D429="尾"),IF($E429="⑬計量工程入力","",INDEX(⑰工程労務費一覧!$P$5:$P$11,MATCH($E429,⑰工程労務費一覧!$K$5:$K$11,0))),IF(AND($D429="",OR($E429="②釜工程入力",$E429="③スチコン工程入力")),INDEX(⑰工程労務費一覧!$N$5:$N$11,MATCH($E429,⑰工程労務費一覧!$K$5:$K$11,0))/1000,""))))),IF(OR($D429="g",$D429="ｇ"),INDEX(⑰工程労務費一覧!$H$5:$H$753,MATCH($F429,⑰工程労務費一覧!$D$5:$D$753,0))/1000,IF($D429="kg",INDEX(⑰工程労務費一覧!$H$5:$H$753,MATCH($F429,⑰工程労務費一覧!$D$5:$D$753,0)),INDEX(⑰工程労務費一覧!$I$5:$I$753,MATCH($F429,⑰工程労務費一覧!$D$5:$D$753,0)))))),"")</f>
        <v/>
      </c>
      <c r="I429" s="392">
        <f>IF($K429&gt;0,IF(ISNUMBER(IF(OR($D429="g",$D429="ｇ"),IF($M429&gt;0,$L429/$M429/1000,""),IF($D429="kg",IF($M429&gt;0,$L429/$M429,""),IF($D429="",IF($M429&gt;0,$L429/$M429/1000,IF($O429&gt;0,$N429/$O429,"")),IF($O429&gt;0,$N429/$O429,""))))),IF($D429="",IF($M429&gt;0,"◎ JAN紐づけ(g扱い)","◎ JAN紐づけ(個扱い)"),"◎ JAN紐づけ"),"△ JAN紐づけ済・実績不足→仮計算"),IF($F429="",IF(ISNUMBER($H429),IF($D429="","⑤ 工程平均で仮計算(g扱い)","⑤ 工程平均で仮計算"),IF($E429="⑩盛付梱包工程入力","⑥ 盛り込み(⑳F列で計上)",IF(AND($E429="⑬計量工程入力",OR($D429="個",$D429="切",$D429="本",$D429="枚",$D429="尾")),"① 未紐づけ(カット個単位は仮単価なし)","① 未紐づけ"))),IF(NOT(ISNUMBER($H429)),"② 工程側に単価なし",IF($D429="","③ 単位未設定(個で計算)","④ OK"))))</f>
        <v/>
      </c>
      <c r="J429" s="399">
        <f>IFERROR(LOOKUP(2,1/((中間品リスト!$F$2:$F$1299=$B429)*(中間品リスト!$E$2:$E$1299&lt;&gt;"-")*(中間品リスト!$E$2:$E$1299&lt;&gt;"")),中間品リスト!$E$2:$E$1299),"")</f>
        <v/>
      </c>
      <c r="K429" s="400">
        <f>IF($J429="",0,COUNTIF(②釜工程入力!$S$5:$S$117,$J429)+COUNTIF(③スチコン工程入力!$S$5:$S$152,$J429)+COUNTIF(⑪ZEN工程入力!$S$6:$S$35,$J429)+COUNTIF(⑫ミキサー工程入力!$S$6:$S$65,$J429)+COUNTIF(⑬計量工程入力!$S$6:$S$65,$J429)+COUNTIF(⑭手動工程入力!$S$6:$S$47,$J429))</f>
        <v/>
      </c>
      <c r="L429" s="393">
        <f>IF($J429="",0,SUMIFS(②釜工程入力!$M$5:$M$117,②釜工程入力!$S$5:$S$117,$J429,②釜工程入力!$I$5:$I$117,"&gt;0")+SUMIFS(③スチコン工程入力!$M$5:$M$152,③スチコン工程入力!$S$5:$S$152,$J429,③スチコン工程入力!$I$5:$I$152,"&gt;0")+SUMIFS(⑪ZEN工程入力!$M$6:$M$35,⑪ZEN工程入力!$S$6:$S$35,$J429,⑪ZEN工程入力!$I$6:$I$35,"&gt;0")+SUMIFS(⑫ミキサー工程入力!$M$6:$M$65,⑫ミキサー工程入力!$S$6:$S$65,$J429,⑫ミキサー工程入力!$I$6:$I$65,"&gt;0")+SUMIFS(⑬計量工程入力!$M$6:$M$65,⑬計量工程入力!$S$6:$S$65,$J429,⑬計量工程入力!$I$6:$I$65,"&gt;0")+SUMIFS(⑭手動工程入力!$M$6:$M$47,⑭手動工程入力!$S$6:$S$47,$J429,⑭手動工程入力!$I$6:$I$47,"&gt;0"))</f>
        <v/>
      </c>
      <c r="M429" s="393">
        <f>IF($J429="",0,SUMIFS(②釜工程入力!$I$5:$I$117,②釜工程入力!$S$5:$S$117,$J429,②釜工程入力!$I$5:$I$117,"&gt;0",②釜工程入力!$M$5:$M$117,"&gt;0")+SUMIFS(③スチコン工程入力!$I$5:$I$152,③スチコン工程入力!$S$5:$S$152,$J429,③スチコン工程入力!$I$5:$I$152,"&gt;0",③スチコン工程入力!$M$5:$M$152,"&gt;0")+SUMIFS(⑪ZEN工程入力!$I$6:$I$35,⑪ZEN工程入力!$S$6:$S$35,$J429,⑪ZEN工程入力!$I$6:$I$35,"&gt;0",⑪ZEN工程入力!$M$6:$M$35,"&gt;0")+SUMIFS(⑫ミキサー工程入力!$I$6:$I$65,⑫ミキサー工程入力!$S$6:$S$65,$J429,⑫ミキサー工程入力!$I$6:$I$65,"&gt;0",⑫ミキサー工程入力!$M$6:$M$65,"&gt;0")+SUMIFS(⑬計量工程入力!$I$6:$I$65,⑬計量工程入力!$S$6:$S$65,$J429,⑬計量工程入力!$I$6:$I$65,"&gt;0",⑬計量工程入力!$M$6:$M$65,"&gt;0")+SUMIFS(⑭手動工程入力!$I$6:$I$47,⑭手動工程入力!$S$6:$S$47,$J429,⑭手動工程入力!$I$6:$I$47,"&gt;0",⑭手動工程入力!$M$6:$M$47,"&gt;0"))</f>
        <v/>
      </c>
      <c r="N429" s="393">
        <f>IF($J429="",0,SUMIFS(②釜工程入力!$M$5:$M$117,②釜工程入力!$S$5:$S$117,$J429,②釜工程入力!$J$5:$J$117,"&gt;0")-SUMIFS(②釜工程入力!$M$5:$M$117,②釜工程入力!$S$5:$S$117,$J429,②釜工程入力!$J$5:$J$117,"&gt;0",②釜工程入力!$I$5:$I$117,"&gt;0")+SUMIFS(③スチコン工程入力!$M$5:$M$152,③スチコン工程入力!$S$5:$S$152,$J429,③スチコン工程入力!$J$5:$J$152,"&gt;0")-SUMIFS(③スチコン工程入力!$M$5:$M$152,③スチコン工程入力!$S$5:$S$152,$J429,③スチコン工程入力!$J$5:$J$152,"&gt;0",③スチコン工程入力!$I$5:$I$152,"&gt;0")+SUMIFS(⑪ZEN工程入力!$M$6:$M$35,⑪ZEN工程入力!$S$6:$S$35,$J429,⑪ZEN工程入力!$J$6:$J$35,"&gt;0")-SUMIFS(⑪ZEN工程入力!$M$6:$M$35,⑪ZEN工程入力!$S$6:$S$35,$J429,⑪ZEN工程入力!$J$6:$J$35,"&gt;0",⑪ZEN工程入力!$I$6:$I$35,"&gt;0")+SUMIFS(⑫ミキサー工程入力!$M$6:$M$65,⑫ミキサー工程入力!$S$6:$S$65,$J429,⑫ミキサー工程入力!$J$6:$J$65,"&gt;0")-SUMIFS(⑫ミキサー工程入力!$M$6:$M$65,⑫ミキサー工程入力!$S$6:$S$65,$J429,⑫ミキサー工程入力!$J$6:$J$65,"&gt;0",⑫ミキサー工程入力!$I$6:$I$65,"&gt;0")+SUMIFS(⑬計量工程入力!$M$6:$M$65,⑬計量工程入力!$S$6:$S$65,$J429,⑬計量工程入力!$J$6:$J$65,"&gt;0")-SUMIFS(⑬計量工程入力!$M$6:$M$65,⑬計量工程入力!$S$6:$S$65,$J429,⑬計量工程入力!$J$6:$J$65,"&gt;0",⑬計量工程入力!$I$6:$I$65,"&gt;0")+SUMIFS(⑭手動工程入力!$M$6:$M$47,⑭手動工程入力!$S$6:$S$47,$J429,⑭手動工程入力!$J$6:$J$47,"&gt;0")-SUMIFS(⑭手動工程入力!$M$6:$M$47,⑭手動工程入力!$S$6:$S$47,$J429,⑭手動工程入力!$J$6:$J$47,"&gt;0",⑭手動工程入力!$I$6:$I$47,"&gt;0"))</f>
        <v/>
      </c>
      <c r="O429" s="393">
        <f>IF($J429="",0,SUMIFS(②釜工程入力!$J$5:$J$117,②釜工程入力!$S$5:$S$117,$J429,②釜工程入力!$J$5:$J$117,"&gt;0",②釜工程入力!$M$5:$M$117,"&gt;0")-SUMIFS(②釜工程入力!$J$5:$J$117,②釜工程入力!$S$5:$S$117,$J429,②釜工程入力!$J$5:$J$117,"&gt;0",②釜工程入力!$I$5:$I$117,"&gt;0",②釜工程入力!$M$5:$M$117,"&gt;0")+SUMIFS(③スチコン工程入力!$J$5:$J$152,③スチコン工程入力!$S$5:$S$152,$J429,③スチコン工程入力!$J$5:$J$152,"&gt;0",③スチコン工程入力!$M$5:$M$152,"&gt;0")-SUMIFS(③スチコン工程入力!$J$5:$J$152,③スチコン工程入力!$S$5:$S$152,$J429,③スチコン工程入力!$J$5:$J$152,"&gt;0",③スチコン工程入力!$I$5:$I$152,"&gt;0",③スチコン工程入力!$M$5:$M$152,"&gt;0")+SUMIFS(⑪ZEN工程入力!$J$6:$J$35,⑪ZEN工程入力!$S$6:$S$35,$J429,⑪ZEN工程入力!$J$6:$J$35,"&gt;0",⑪ZEN工程入力!$M$6:$M$35,"&gt;0")-SUMIFS(⑪ZEN工程入力!$J$6:$J$35,⑪ZEN工程入力!$S$6:$S$35,$J429,⑪ZEN工程入力!$J$6:$J$35,"&gt;0",⑪ZEN工程入力!$I$6:$I$35,"&gt;0",⑪ZEN工程入力!$M$6:$M$35,"&gt;0")+SUMIFS(⑫ミキサー工程入力!$J$6:$J$65,⑫ミキサー工程入力!$S$6:$S$65,$J429,⑫ミキサー工程入力!$J$6:$J$65,"&gt;0",⑫ミキサー工程入力!$M$6:$M$65,"&gt;0")-SUMIFS(⑫ミキサー工程入力!$J$6:$J$65,⑫ミキサー工程入力!$S$6:$S$65,$J429,⑫ミキサー工程入力!$J$6:$J$65,"&gt;0",⑫ミキサー工程入力!$I$6:$I$65,"&gt;0",⑫ミキサー工程入力!$M$6:$M$65,"&gt;0")+SUMIFS(⑬計量工程入力!$J$6:$J$65,⑬計量工程入力!$S$6:$S$65,$J429,⑬計量工程入力!$J$6:$J$65,"&gt;0",⑬計量工程入力!$M$6:$M$65,"&gt;0")-SUMIFS(⑬計量工程入力!$J$6:$J$65,⑬計量工程入力!$S$6:$S$65,$J429,⑬計量工程入力!$J$6:$J$65,"&gt;0",⑬計量工程入力!$I$6:$I$65,"&gt;0",⑬計量工程入力!$M$6:$M$65,"&gt;0")+SUMIFS(⑭手動工程入力!$J$6:$J$47,⑭手動工程入力!$S$6:$S$47,$J429,⑭手動工程入力!$J$6:$J$47,"&gt;0",⑭手動工程入力!$M$6:$M$47,"&gt;0")-SUMIFS(⑭手動工程入力!$J$6:$J$47,⑭手動工程入力!$S$6:$S$47,$J429,⑭手動工程入力!$J$6:$J$47,"&gt;0",⑭手動工程入力!$I$6:$I$47,"&gt;0",⑭手動工程入力!$M$6:$M$47,"&gt;0"))</f>
        <v/>
      </c>
      <c r="P429" s="392" t="inlineStr">
        <is>
          <t>中間品リスト</t>
        </is>
      </c>
    </row>
    <row r="430">
      <c r="A430" s="392" t="n">
        <v>426</v>
      </c>
      <c r="B430" s="392" t="n"/>
      <c r="C430" s="392" t="n"/>
      <c r="D430" s="409" t="n"/>
      <c r="E430" s="392" t="n"/>
      <c r="F430" s="394" t="n"/>
      <c r="G430" s="392" t="n"/>
      <c r="H430" s="604">
        <f>IFERROR(IF(AND($K430&gt;0,ISNUMBER(IF(OR($D430="g",$D430="ｇ"),IF($M430&gt;0,$L430/$M430/1000,""),IF($D430="kg",IF($M430&gt;0,$L430/$M430,""),IF($D430="",IF($M430&gt;0,$L430/$M430/1000,IF($O430&gt;0,$N430/$O430,"")),IF($O430&gt;0,$N430/$O430,"")))))),IF(OR($D430="g",$D430="ｇ"),IF($M430&gt;0,$L430/$M430/1000,""),IF($D430="kg",IF($M430&gt;0,$L430/$M430,""),IF($D430="",IF($M430&gt;0,$L430/$M430/1000,IF($O430&gt;0,$N430/$O430,"")),IF($O430&gt;0,$N430/$O430,"")))),IF($F430="",IF(OR($E430="",$E430="⑩盛付梱包工程入力"),"",IF(OR($D430="g",$D430="ｇ"),INDEX(⑰工程労務費一覧!$N$5:$N$11,MATCH($E430,⑰工程労務費一覧!$K$5:$K$11,0))/1000,IF($D430="kg",INDEX(⑰工程労務費一覧!$N$5:$N$11,MATCH($E430,⑰工程労務費一覧!$K$5:$K$11,0)),IF(OR($D430="個",$D430="切",$D430="本",$D430="枚",$D430="尾"),IF($E430="⑬計量工程入力","",INDEX(⑰工程労務費一覧!$P$5:$P$11,MATCH($E430,⑰工程労務費一覧!$K$5:$K$11,0))),IF(AND($D430="",OR($E430="②釜工程入力",$E430="③スチコン工程入力")),INDEX(⑰工程労務費一覧!$N$5:$N$11,MATCH($E430,⑰工程労務費一覧!$K$5:$K$11,0))/1000,""))))),IF(OR($D430="g",$D430="ｇ"),INDEX(⑰工程労務費一覧!$H$5:$H$753,MATCH($F430,⑰工程労務費一覧!$D$5:$D$753,0))/1000,IF($D430="kg",INDEX(⑰工程労務費一覧!$H$5:$H$753,MATCH($F430,⑰工程労務費一覧!$D$5:$D$753,0)),INDEX(⑰工程労務費一覧!$I$5:$I$753,MATCH($F430,⑰工程労務費一覧!$D$5:$D$753,0)))))),"")</f>
        <v/>
      </c>
      <c r="I430" s="392">
        <f>IF($K430&gt;0,IF(ISNUMBER(IF(OR($D430="g",$D430="ｇ"),IF($M430&gt;0,$L430/$M430/1000,""),IF($D430="kg",IF($M430&gt;0,$L430/$M430,""),IF($D430="",IF($M430&gt;0,$L430/$M430/1000,IF($O430&gt;0,$N430/$O430,"")),IF($O430&gt;0,$N430/$O430,""))))),IF($D430="",IF($M430&gt;0,"◎ JAN紐づけ(g扱い)","◎ JAN紐づけ(個扱い)"),"◎ JAN紐づけ"),"△ JAN紐づけ済・実績不足→仮計算"),IF($F430="",IF(ISNUMBER($H430),IF($D430="","⑤ 工程平均で仮計算(g扱い)","⑤ 工程平均で仮計算"),IF($E430="⑩盛付梱包工程入力","⑥ 盛り込み(⑳F列で計上)",IF(AND($E430="⑬計量工程入力",OR($D430="個",$D430="切",$D430="本",$D430="枚",$D430="尾")),"① 未紐づけ(カット個単位は仮単価なし)","① 未紐づけ"))),IF(NOT(ISNUMBER($H430)),"② 工程側に単価なし",IF($D430="","③ 単位未設定(個で計算)","④ OK"))))</f>
        <v/>
      </c>
      <c r="J430" s="399">
        <f>IFERROR(LOOKUP(2,1/((中間品リスト!$F$2:$F$1299=$B430)*(中間品リスト!$E$2:$E$1299&lt;&gt;"-")*(中間品リスト!$E$2:$E$1299&lt;&gt;"")),中間品リスト!$E$2:$E$1299),"")</f>
        <v/>
      </c>
      <c r="K430" s="400">
        <f>IF($J430="",0,COUNTIF(②釜工程入力!$S$5:$S$117,$J430)+COUNTIF(③スチコン工程入力!$S$5:$S$152,$J430)+COUNTIF(⑪ZEN工程入力!$S$6:$S$35,$J430)+COUNTIF(⑫ミキサー工程入力!$S$6:$S$65,$J430)+COUNTIF(⑬計量工程入力!$S$6:$S$65,$J430)+COUNTIF(⑭手動工程入力!$S$6:$S$47,$J430))</f>
        <v/>
      </c>
      <c r="L430" s="393">
        <f>IF($J430="",0,SUMIFS(②釜工程入力!$M$5:$M$117,②釜工程入力!$S$5:$S$117,$J430,②釜工程入力!$I$5:$I$117,"&gt;0")+SUMIFS(③スチコン工程入力!$M$5:$M$152,③スチコン工程入力!$S$5:$S$152,$J430,③スチコン工程入力!$I$5:$I$152,"&gt;0")+SUMIFS(⑪ZEN工程入力!$M$6:$M$35,⑪ZEN工程入力!$S$6:$S$35,$J430,⑪ZEN工程入力!$I$6:$I$35,"&gt;0")+SUMIFS(⑫ミキサー工程入力!$M$6:$M$65,⑫ミキサー工程入力!$S$6:$S$65,$J430,⑫ミキサー工程入力!$I$6:$I$65,"&gt;0")+SUMIFS(⑬計量工程入力!$M$6:$M$65,⑬計量工程入力!$S$6:$S$65,$J430,⑬計量工程入力!$I$6:$I$65,"&gt;0")+SUMIFS(⑭手動工程入力!$M$6:$M$47,⑭手動工程入力!$S$6:$S$47,$J430,⑭手動工程入力!$I$6:$I$47,"&gt;0"))</f>
        <v/>
      </c>
      <c r="M430" s="393">
        <f>IF($J430="",0,SUMIFS(②釜工程入力!$I$5:$I$117,②釜工程入力!$S$5:$S$117,$J430,②釜工程入力!$I$5:$I$117,"&gt;0",②釜工程入力!$M$5:$M$117,"&gt;0")+SUMIFS(③スチコン工程入力!$I$5:$I$152,③スチコン工程入力!$S$5:$S$152,$J430,③スチコン工程入力!$I$5:$I$152,"&gt;0",③スチコン工程入力!$M$5:$M$152,"&gt;0")+SUMIFS(⑪ZEN工程入力!$I$6:$I$35,⑪ZEN工程入力!$S$6:$S$35,$J430,⑪ZEN工程入力!$I$6:$I$35,"&gt;0",⑪ZEN工程入力!$M$6:$M$35,"&gt;0")+SUMIFS(⑫ミキサー工程入力!$I$6:$I$65,⑫ミキサー工程入力!$S$6:$S$65,$J430,⑫ミキサー工程入力!$I$6:$I$65,"&gt;0",⑫ミキサー工程入力!$M$6:$M$65,"&gt;0")+SUMIFS(⑬計量工程入力!$I$6:$I$65,⑬計量工程入力!$S$6:$S$65,$J430,⑬計量工程入力!$I$6:$I$65,"&gt;0",⑬計量工程入力!$M$6:$M$65,"&gt;0")+SUMIFS(⑭手動工程入力!$I$6:$I$47,⑭手動工程入力!$S$6:$S$47,$J430,⑭手動工程入力!$I$6:$I$47,"&gt;0",⑭手動工程入力!$M$6:$M$47,"&gt;0"))</f>
        <v/>
      </c>
      <c r="N430" s="393">
        <f>IF($J430="",0,SUMIFS(②釜工程入力!$M$5:$M$117,②釜工程入力!$S$5:$S$117,$J430,②釜工程入力!$J$5:$J$117,"&gt;0")-SUMIFS(②釜工程入力!$M$5:$M$117,②釜工程入力!$S$5:$S$117,$J430,②釜工程入力!$J$5:$J$117,"&gt;0",②釜工程入力!$I$5:$I$117,"&gt;0")+SUMIFS(③スチコン工程入力!$M$5:$M$152,③スチコン工程入力!$S$5:$S$152,$J430,③スチコン工程入力!$J$5:$J$152,"&gt;0")-SUMIFS(③スチコン工程入力!$M$5:$M$152,③スチコン工程入力!$S$5:$S$152,$J430,③スチコン工程入力!$J$5:$J$152,"&gt;0",③スチコン工程入力!$I$5:$I$152,"&gt;0")+SUMIFS(⑪ZEN工程入力!$M$6:$M$35,⑪ZEN工程入力!$S$6:$S$35,$J430,⑪ZEN工程入力!$J$6:$J$35,"&gt;0")-SUMIFS(⑪ZEN工程入力!$M$6:$M$35,⑪ZEN工程入力!$S$6:$S$35,$J430,⑪ZEN工程入力!$J$6:$J$35,"&gt;0",⑪ZEN工程入力!$I$6:$I$35,"&gt;0")+SUMIFS(⑫ミキサー工程入力!$M$6:$M$65,⑫ミキサー工程入力!$S$6:$S$65,$J430,⑫ミキサー工程入力!$J$6:$J$65,"&gt;0")-SUMIFS(⑫ミキサー工程入力!$M$6:$M$65,⑫ミキサー工程入力!$S$6:$S$65,$J430,⑫ミキサー工程入力!$J$6:$J$65,"&gt;0",⑫ミキサー工程入力!$I$6:$I$65,"&gt;0")+SUMIFS(⑬計量工程入力!$M$6:$M$65,⑬計量工程入力!$S$6:$S$65,$J430,⑬計量工程入力!$J$6:$J$65,"&gt;0")-SUMIFS(⑬計量工程入力!$M$6:$M$65,⑬計量工程入力!$S$6:$S$65,$J430,⑬計量工程入力!$J$6:$J$65,"&gt;0",⑬計量工程入力!$I$6:$I$65,"&gt;0")+SUMIFS(⑭手動工程入力!$M$6:$M$47,⑭手動工程入力!$S$6:$S$47,$J430,⑭手動工程入力!$J$6:$J$47,"&gt;0")-SUMIFS(⑭手動工程入力!$M$6:$M$47,⑭手動工程入力!$S$6:$S$47,$J430,⑭手動工程入力!$J$6:$J$47,"&gt;0",⑭手動工程入力!$I$6:$I$47,"&gt;0"))</f>
        <v/>
      </c>
      <c r="O430" s="393">
        <f>IF($J430="",0,SUMIFS(②釜工程入力!$J$5:$J$117,②釜工程入力!$S$5:$S$117,$J430,②釜工程入力!$J$5:$J$117,"&gt;0",②釜工程入力!$M$5:$M$117,"&gt;0")-SUMIFS(②釜工程入力!$J$5:$J$117,②釜工程入力!$S$5:$S$117,$J430,②釜工程入力!$J$5:$J$117,"&gt;0",②釜工程入力!$I$5:$I$117,"&gt;0",②釜工程入力!$M$5:$M$117,"&gt;0")+SUMIFS(③スチコン工程入力!$J$5:$J$152,③スチコン工程入力!$S$5:$S$152,$J430,③スチコン工程入力!$J$5:$J$152,"&gt;0",③スチコン工程入力!$M$5:$M$152,"&gt;0")-SUMIFS(③スチコン工程入力!$J$5:$J$152,③スチコン工程入力!$S$5:$S$152,$J430,③スチコン工程入力!$J$5:$J$152,"&gt;0",③スチコン工程入力!$I$5:$I$152,"&gt;0",③スチコン工程入力!$M$5:$M$152,"&gt;0")+SUMIFS(⑪ZEN工程入力!$J$6:$J$35,⑪ZEN工程入力!$S$6:$S$35,$J430,⑪ZEN工程入力!$J$6:$J$35,"&gt;0",⑪ZEN工程入力!$M$6:$M$35,"&gt;0")-SUMIFS(⑪ZEN工程入力!$J$6:$J$35,⑪ZEN工程入力!$S$6:$S$35,$J430,⑪ZEN工程入力!$J$6:$J$35,"&gt;0",⑪ZEN工程入力!$I$6:$I$35,"&gt;0",⑪ZEN工程入力!$M$6:$M$35,"&gt;0")+SUMIFS(⑫ミキサー工程入力!$J$6:$J$65,⑫ミキサー工程入力!$S$6:$S$65,$J430,⑫ミキサー工程入力!$J$6:$J$65,"&gt;0",⑫ミキサー工程入力!$M$6:$M$65,"&gt;0")-SUMIFS(⑫ミキサー工程入力!$J$6:$J$65,⑫ミキサー工程入力!$S$6:$S$65,$J430,⑫ミキサー工程入力!$J$6:$J$65,"&gt;0",⑫ミキサー工程入力!$I$6:$I$65,"&gt;0",⑫ミキサー工程入力!$M$6:$M$65,"&gt;0")+SUMIFS(⑬計量工程入力!$J$6:$J$65,⑬計量工程入力!$S$6:$S$65,$J430,⑬計量工程入力!$J$6:$J$65,"&gt;0",⑬計量工程入力!$M$6:$M$65,"&gt;0")-SUMIFS(⑬計量工程入力!$J$6:$J$65,⑬計量工程入力!$S$6:$S$65,$J430,⑬計量工程入力!$J$6:$J$65,"&gt;0",⑬計量工程入力!$I$6:$I$65,"&gt;0",⑬計量工程入力!$M$6:$M$65,"&gt;0")+SUMIFS(⑭手動工程入力!$J$6:$J$47,⑭手動工程入力!$S$6:$S$47,$J430,⑭手動工程入力!$J$6:$J$47,"&gt;0",⑭手動工程入力!$M$6:$M$47,"&gt;0")-SUMIFS(⑭手動工程入力!$J$6:$J$47,⑭手動工程入力!$S$6:$S$47,$J430,⑭手動工程入力!$J$6:$J$47,"&gt;0",⑭手動工程入力!$I$6:$I$47,"&gt;0",⑭手動工程入力!$M$6:$M$47,"&gt;0"))</f>
        <v/>
      </c>
      <c r="P430" s="392" t="inlineStr">
        <is>
          <t>中間品リスト</t>
        </is>
      </c>
    </row>
    <row r="431">
      <c r="A431" s="392" t="n">
        <v>427</v>
      </c>
      <c r="B431" s="392" t="n"/>
      <c r="C431" s="392" t="n"/>
      <c r="D431" s="409" t="n"/>
      <c r="E431" s="392" t="n"/>
      <c r="F431" s="394" t="n"/>
      <c r="G431" s="392" t="n"/>
      <c r="H431" s="604">
        <f>IFERROR(IF(AND($K431&gt;0,ISNUMBER(IF(OR($D431="g",$D431="ｇ"),IF($M431&gt;0,$L431/$M431/1000,""),IF($D431="kg",IF($M431&gt;0,$L431/$M431,""),IF($D431="",IF($M431&gt;0,$L431/$M431/1000,IF($O431&gt;0,$N431/$O431,"")),IF($O431&gt;0,$N431/$O431,"")))))),IF(OR($D431="g",$D431="ｇ"),IF($M431&gt;0,$L431/$M431/1000,""),IF($D431="kg",IF($M431&gt;0,$L431/$M431,""),IF($D431="",IF($M431&gt;0,$L431/$M431/1000,IF($O431&gt;0,$N431/$O431,"")),IF($O431&gt;0,$N431/$O431,"")))),IF($F431="",IF(OR($E431="",$E431="⑩盛付梱包工程入力"),"",IF(OR($D431="g",$D431="ｇ"),INDEX(⑰工程労務費一覧!$N$5:$N$11,MATCH($E431,⑰工程労務費一覧!$K$5:$K$11,0))/1000,IF($D431="kg",INDEX(⑰工程労務費一覧!$N$5:$N$11,MATCH($E431,⑰工程労務費一覧!$K$5:$K$11,0)),IF(OR($D431="個",$D431="切",$D431="本",$D431="枚",$D431="尾"),IF($E431="⑬計量工程入力","",INDEX(⑰工程労務費一覧!$P$5:$P$11,MATCH($E431,⑰工程労務費一覧!$K$5:$K$11,0))),IF(AND($D431="",OR($E431="②釜工程入力",$E431="③スチコン工程入力")),INDEX(⑰工程労務費一覧!$N$5:$N$11,MATCH($E431,⑰工程労務費一覧!$K$5:$K$11,0))/1000,""))))),IF(OR($D431="g",$D431="ｇ"),INDEX(⑰工程労務費一覧!$H$5:$H$753,MATCH($F431,⑰工程労務費一覧!$D$5:$D$753,0))/1000,IF($D431="kg",INDEX(⑰工程労務費一覧!$H$5:$H$753,MATCH($F431,⑰工程労務費一覧!$D$5:$D$753,0)),INDEX(⑰工程労務費一覧!$I$5:$I$753,MATCH($F431,⑰工程労務費一覧!$D$5:$D$753,0)))))),"")</f>
        <v/>
      </c>
      <c r="I431" s="392">
        <f>IF($K431&gt;0,IF(ISNUMBER(IF(OR($D431="g",$D431="ｇ"),IF($M431&gt;0,$L431/$M431/1000,""),IF($D431="kg",IF($M431&gt;0,$L431/$M431,""),IF($D431="",IF($M431&gt;0,$L431/$M431/1000,IF($O431&gt;0,$N431/$O431,"")),IF($O431&gt;0,$N431/$O431,""))))),IF($D431="",IF($M431&gt;0,"◎ JAN紐づけ(g扱い)","◎ JAN紐づけ(個扱い)"),"◎ JAN紐づけ"),"△ JAN紐づけ済・実績不足→仮計算"),IF($F431="",IF(ISNUMBER($H431),IF($D431="","⑤ 工程平均で仮計算(g扱い)","⑤ 工程平均で仮計算"),IF($E431="⑩盛付梱包工程入力","⑥ 盛り込み(⑳F列で計上)",IF(AND($E431="⑬計量工程入力",OR($D431="個",$D431="切",$D431="本",$D431="枚",$D431="尾")),"① 未紐づけ(カット個単位は仮単価なし)","① 未紐づけ"))),IF(NOT(ISNUMBER($H431)),"② 工程側に単価なし",IF($D431="","③ 単位未設定(個で計算)","④ OK"))))</f>
        <v/>
      </c>
      <c r="J431" s="399">
        <f>IFERROR(LOOKUP(2,1/((中間品リスト!$F$2:$F$1299=$B431)*(中間品リスト!$E$2:$E$1299&lt;&gt;"-")*(中間品リスト!$E$2:$E$1299&lt;&gt;"")),中間品リスト!$E$2:$E$1299),"")</f>
        <v/>
      </c>
      <c r="K431" s="400">
        <f>IF($J431="",0,COUNTIF(②釜工程入力!$S$5:$S$117,$J431)+COUNTIF(③スチコン工程入力!$S$5:$S$152,$J431)+COUNTIF(⑪ZEN工程入力!$S$6:$S$35,$J431)+COUNTIF(⑫ミキサー工程入力!$S$6:$S$65,$J431)+COUNTIF(⑬計量工程入力!$S$6:$S$65,$J431)+COUNTIF(⑭手動工程入力!$S$6:$S$47,$J431))</f>
        <v/>
      </c>
      <c r="L431" s="393">
        <f>IF($J431="",0,SUMIFS(②釜工程入力!$M$5:$M$117,②釜工程入力!$S$5:$S$117,$J431,②釜工程入力!$I$5:$I$117,"&gt;0")+SUMIFS(③スチコン工程入力!$M$5:$M$152,③スチコン工程入力!$S$5:$S$152,$J431,③スチコン工程入力!$I$5:$I$152,"&gt;0")+SUMIFS(⑪ZEN工程入力!$M$6:$M$35,⑪ZEN工程入力!$S$6:$S$35,$J431,⑪ZEN工程入力!$I$6:$I$35,"&gt;0")+SUMIFS(⑫ミキサー工程入力!$M$6:$M$65,⑫ミキサー工程入力!$S$6:$S$65,$J431,⑫ミキサー工程入力!$I$6:$I$65,"&gt;0")+SUMIFS(⑬計量工程入力!$M$6:$M$65,⑬計量工程入力!$S$6:$S$65,$J431,⑬計量工程入力!$I$6:$I$65,"&gt;0")+SUMIFS(⑭手動工程入力!$M$6:$M$47,⑭手動工程入力!$S$6:$S$47,$J431,⑭手動工程入力!$I$6:$I$47,"&gt;0"))</f>
        <v/>
      </c>
      <c r="M431" s="393">
        <f>IF($J431="",0,SUMIFS(②釜工程入力!$I$5:$I$117,②釜工程入力!$S$5:$S$117,$J431,②釜工程入力!$I$5:$I$117,"&gt;0",②釜工程入力!$M$5:$M$117,"&gt;0")+SUMIFS(③スチコン工程入力!$I$5:$I$152,③スチコン工程入力!$S$5:$S$152,$J431,③スチコン工程入力!$I$5:$I$152,"&gt;0",③スチコン工程入力!$M$5:$M$152,"&gt;0")+SUMIFS(⑪ZEN工程入力!$I$6:$I$35,⑪ZEN工程入力!$S$6:$S$35,$J431,⑪ZEN工程入力!$I$6:$I$35,"&gt;0",⑪ZEN工程入力!$M$6:$M$35,"&gt;0")+SUMIFS(⑫ミキサー工程入力!$I$6:$I$65,⑫ミキサー工程入力!$S$6:$S$65,$J431,⑫ミキサー工程入力!$I$6:$I$65,"&gt;0",⑫ミキサー工程入力!$M$6:$M$65,"&gt;0")+SUMIFS(⑬計量工程入力!$I$6:$I$65,⑬計量工程入力!$S$6:$S$65,$J431,⑬計量工程入力!$I$6:$I$65,"&gt;0",⑬計量工程入力!$M$6:$M$65,"&gt;0")+SUMIFS(⑭手動工程入力!$I$6:$I$47,⑭手動工程入力!$S$6:$S$47,$J431,⑭手動工程入力!$I$6:$I$47,"&gt;0",⑭手動工程入力!$M$6:$M$47,"&gt;0"))</f>
        <v/>
      </c>
      <c r="N431" s="393">
        <f>IF($J431="",0,SUMIFS(②釜工程入力!$M$5:$M$117,②釜工程入力!$S$5:$S$117,$J431,②釜工程入力!$J$5:$J$117,"&gt;0")-SUMIFS(②釜工程入力!$M$5:$M$117,②釜工程入力!$S$5:$S$117,$J431,②釜工程入力!$J$5:$J$117,"&gt;0",②釜工程入力!$I$5:$I$117,"&gt;0")+SUMIFS(③スチコン工程入力!$M$5:$M$152,③スチコン工程入力!$S$5:$S$152,$J431,③スチコン工程入力!$J$5:$J$152,"&gt;0")-SUMIFS(③スチコン工程入力!$M$5:$M$152,③スチコン工程入力!$S$5:$S$152,$J431,③スチコン工程入力!$J$5:$J$152,"&gt;0",③スチコン工程入力!$I$5:$I$152,"&gt;0")+SUMIFS(⑪ZEN工程入力!$M$6:$M$35,⑪ZEN工程入力!$S$6:$S$35,$J431,⑪ZEN工程入力!$J$6:$J$35,"&gt;0")-SUMIFS(⑪ZEN工程入力!$M$6:$M$35,⑪ZEN工程入力!$S$6:$S$35,$J431,⑪ZEN工程入力!$J$6:$J$35,"&gt;0",⑪ZEN工程入力!$I$6:$I$35,"&gt;0")+SUMIFS(⑫ミキサー工程入力!$M$6:$M$65,⑫ミキサー工程入力!$S$6:$S$65,$J431,⑫ミキサー工程入力!$J$6:$J$65,"&gt;0")-SUMIFS(⑫ミキサー工程入力!$M$6:$M$65,⑫ミキサー工程入力!$S$6:$S$65,$J431,⑫ミキサー工程入力!$J$6:$J$65,"&gt;0",⑫ミキサー工程入力!$I$6:$I$65,"&gt;0")+SUMIFS(⑬計量工程入力!$M$6:$M$65,⑬計量工程入力!$S$6:$S$65,$J431,⑬計量工程入力!$J$6:$J$65,"&gt;0")-SUMIFS(⑬計量工程入力!$M$6:$M$65,⑬計量工程入力!$S$6:$S$65,$J431,⑬計量工程入力!$J$6:$J$65,"&gt;0",⑬計量工程入力!$I$6:$I$65,"&gt;0")+SUMIFS(⑭手動工程入力!$M$6:$M$47,⑭手動工程入力!$S$6:$S$47,$J431,⑭手動工程入力!$J$6:$J$47,"&gt;0")-SUMIFS(⑭手動工程入力!$M$6:$M$47,⑭手動工程入力!$S$6:$S$47,$J431,⑭手動工程入力!$J$6:$J$47,"&gt;0",⑭手動工程入力!$I$6:$I$47,"&gt;0"))</f>
        <v/>
      </c>
      <c r="O431" s="393">
        <f>IF($J431="",0,SUMIFS(②釜工程入力!$J$5:$J$117,②釜工程入力!$S$5:$S$117,$J431,②釜工程入力!$J$5:$J$117,"&gt;0",②釜工程入力!$M$5:$M$117,"&gt;0")-SUMIFS(②釜工程入力!$J$5:$J$117,②釜工程入力!$S$5:$S$117,$J431,②釜工程入力!$J$5:$J$117,"&gt;0",②釜工程入力!$I$5:$I$117,"&gt;0",②釜工程入力!$M$5:$M$117,"&gt;0")+SUMIFS(③スチコン工程入力!$J$5:$J$152,③スチコン工程入力!$S$5:$S$152,$J431,③スチコン工程入力!$J$5:$J$152,"&gt;0",③スチコン工程入力!$M$5:$M$152,"&gt;0")-SUMIFS(③スチコン工程入力!$J$5:$J$152,③スチコン工程入力!$S$5:$S$152,$J431,③スチコン工程入力!$J$5:$J$152,"&gt;0",③スチコン工程入力!$I$5:$I$152,"&gt;0",③スチコン工程入力!$M$5:$M$152,"&gt;0")+SUMIFS(⑪ZEN工程入力!$J$6:$J$35,⑪ZEN工程入力!$S$6:$S$35,$J431,⑪ZEN工程入力!$J$6:$J$35,"&gt;0",⑪ZEN工程入力!$M$6:$M$35,"&gt;0")-SUMIFS(⑪ZEN工程入力!$J$6:$J$35,⑪ZEN工程入力!$S$6:$S$35,$J431,⑪ZEN工程入力!$J$6:$J$35,"&gt;0",⑪ZEN工程入力!$I$6:$I$35,"&gt;0",⑪ZEN工程入力!$M$6:$M$35,"&gt;0")+SUMIFS(⑫ミキサー工程入力!$J$6:$J$65,⑫ミキサー工程入力!$S$6:$S$65,$J431,⑫ミキサー工程入力!$J$6:$J$65,"&gt;0",⑫ミキサー工程入力!$M$6:$M$65,"&gt;0")-SUMIFS(⑫ミキサー工程入力!$J$6:$J$65,⑫ミキサー工程入力!$S$6:$S$65,$J431,⑫ミキサー工程入力!$J$6:$J$65,"&gt;0",⑫ミキサー工程入力!$I$6:$I$65,"&gt;0",⑫ミキサー工程入力!$M$6:$M$65,"&gt;0")+SUMIFS(⑬計量工程入力!$J$6:$J$65,⑬計量工程入力!$S$6:$S$65,$J431,⑬計量工程入力!$J$6:$J$65,"&gt;0",⑬計量工程入力!$M$6:$M$65,"&gt;0")-SUMIFS(⑬計量工程入力!$J$6:$J$65,⑬計量工程入力!$S$6:$S$65,$J431,⑬計量工程入力!$J$6:$J$65,"&gt;0",⑬計量工程入力!$I$6:$I$65,"&gt;0",⑬計量工程入力!$M$6:$M$65,"&gt;0")+SUMIFS(⑭手動工程入力!$J$6:$J$47,⑭手動工程入力!$S$6:$S$47,$J431,⑭手動工程入力!$J$6:$J$47,"&gt;0",⑭手動工程入力!$M$6:$M$47,"&gt;0")-SUMIFS(⑭手動工程入力!$J$6:$J$47,⑭手動工程入力!$S$6:$S$47,$J431,⑭手動工程入力!$J$6:$J$47,"&gt;0",⑭手動工程入力!$I$6:$I$47,"&gt;0",⑭手動工程入力!$M$6:$M$47,"&gt;0"))</f>
        <v/>
      </c>
      <c r="P431" s="392" t="inlineStr">
        <is>
          <t>中間品リスト</t>
        </is>
      </c>
    </row>
    <row r="432">
      <c r="A432" s="392" t="n">
        <v>428</v>
      </c>
      <c r="B432" s="392" t="n"/>
      <c r="C432" s="392" t="n"/>
      <c r="D432" s="409" t="n"/>
      <c r="E432" s="392" t="n"/>
      <c r="F432" s="394" t="n"/>
      <c r="G432" s="392" t="n"/>
      <c r="H432" s="604">
        <f>IFERROR(IF(AND($K432&gt;0,ISNUMBER(IF(OR($D432="g",$D432="ｇ"),IF($M432&gt;0,$L432/$M432/1000,""),IF($D432="kg",IF($M432&gt;0,$L432/$M432,""),IF($D432="",IF($M432&gt;0,$L432/$M432/1000,IF($O432&gt;0,$N432/$O432,"")),IF($O432&gt;0,$N432/$O432,"")))))),IF(OR($D432="g",$D432="ｇ"),IF($M432&gt;0,$L432/$M432/1000,""),IF($D432="kg",IF($M432&gt;0,$L432/$M432,""),IF($D432="",IF($M432&gt;0,$L432/$M432/1000,IF($O432&gt;0,$N432/$O432,"")),IF($O432&gt;0,$N432/$O432,"")))),IF($F432="",IF(OR($E432="",$E432="⑩盛付梱包工程入力"),"",IF(OR($D432="g",$D432="ｇ"),INDEX(⑰工程労務費一覧!$N$5:$N$11,MATCH($E432,⑰工程労務費一覧!$K$5:$K$11,0))/1000,IF($D432="kg",INDEX(⑰工程労務費一覧!$N$5:$N$11,MATCH($E432,⑰工程労務費一覧!$K$5:$K$11,0)),IF(OR($D432="個",$D432="切",$D432="本",$D432="枚",$D432="尾"),IF($E432="⑬計量工程入力","",INDEX(⑰工程労務費一覧!$P$5:$P$11,MATCH($E432,⑰工程労務費一覧!$K$5:$K$11,0))),IF(AND($D432="",OR($E432="②釜工程入力",$E432="③スチコン工程入力")),INDEX(⑰工程労務費一覧!$N$5:$N$11,MATCH($E432,⑰工程労務費一覧!$K$5:$K$11,0))/1000,""))))),IF(OR($D432="g",$D432="ｇ"),INDEX(⑰工程労務費一覧!$H$5:$H$753,MATCH($F432,⑰工程労務費一覧!$D$5:$D$753,0))/1000,IF($D432="kg",INDEX(⑰工程労務費一覧!$H$5:$H$753,MATCH($F432,⑰工程労務費一覧!$D$5:$D$753,0)),INDEX(⑰工程労務費一覧!$I$5:$I$753,MATCH($F432,⑰工程労務費一覧!$D$5:$D$753,0)))))),"")</f>
        <v/>
      </c>
      <c r="I432" s="392">
        <f>IF($K432&gt;0,IF(ISNUMBER(IF(OR($D432="g",$D432="ｇ"),IF($M432&gt;0,$L432/$M432/1000,""),IF($D432="kg",IF($M432&gt;0,$L432/$M432,""),IF($D432="",IF($M432&gt;0,$L432/$M432/1000,IF($O432&gt;0,$N432/$O432,"")),IF($O432&gt;0,$N432/$O432,""))))),IF($D432="",IF($M432&gt;0,"◎ JAN紐づけ(g扱い)","◎ JAN紐づけ(個扱い)"),"◎ JAN紐づけ"),"△ JAN紐づけ済・実績不足→仮計算"),IF($F432="",IF(ISNUMBER($H432),IF($D432="","⑤ 工程平均で仮計算(g扱い)","⑤ 工程平均で仮計算"),IF($E432="⑩盛付梱包工程入力","⑥ 盛り込み(⑳F列で計上)",IF(AND($E432="⑬計量工程入力",OR($D432="個",$D432="切",$D432="本",$D432="枚",$D432="尾")),"① 未紐づけ(カット個単位は仮単価なし)","① 未紐づけ"))),IF(NOT(ISNUMBER($H432)),"② 工程側に単価なし",IF($D432="","③ 単位未設定(個で計算)","④ OK"))))</f>
        <v/>
      </c>
      <c r="J432" s="399">
        <f>IFERROR(LOOKUP(2,1/((中間品リスト!$F$2:$F$1299=$B432)*(中間品リスト!$E$2:$E$1299&lt;&gt;"-")*(中間品リスト!$E$2:$E$1299&lt;&gt;"")),中間品リスト!$E$2:$E$1299),"")</f>
        <v/>
      </c>
      <c r="K432" s="400">
        <f>IF($J432="",0,COUNTIF(②釜工程入力!$S$5:$S$117,$J432)+COUNTIF(③スチコン工程入力!$S$5:$S$152,$J432)+COUNTIF(⑪ZEN工程入力!$S$6:$S$35,$J432)+COUNTIF(⑫ミキサー工程入力!$S$6:$S$65,$J432)+COUNTIF(⑬計量工程入力!$S$6:$S$65,$J432)+COUNTIF(⑭手動工程入力!$S$6:$S$47,$J432))</f>
        <v/>
      </c>
      <c r="L432" s="393">
        <f>IF($J432="",0,SUMIFS(②釜工程入力!$M$5:$M$117,②釜工程入力!$S$5:$S$117,$J432,②釜工程入力!$I$5:$I$117,"&gt;0")+SUMIFS(③スチコン工程入力!$M$5:$M$152,③スチコン工程入力!$S$5:$S$152,$J432,③スチコン工程入力!$I$5:$I$152,"&gt;0")+SUMIFS(⑪ZEN工程入力!$M$6:$M$35,⑪ZEN工程入力!$S$6:$S$35,$J432,⑪ZEN工程入力!$I$6:$I$35,"&gt;0")+SUMIFS(⑫ミキサー工程入力!$M$6:$M$65,⑫ミキサー工程入力!$S$6:$S$65,$J432,⑫ミキサー工程入力!$I$6:$I$65,"&gt;0")+SUMIFS(⑬計量工程入力!$M$6:$M$65,⑬計量工程入力!$S$6:$S$65,$J432,⑬計量工程入力!$I$6:$I$65,"&gt;0")+SUMIFS(⑭手動工程入力!$M$6:$M$47,⑭手動工程入力!$S$6:$S$47,$J432,⑭手動工程入力!$I$6:$I$47,"&gt;0"))</f>
        <v/>
      </c>
      <c r="M432" s="393">
        <f>IF($J432="",0,SUMIFS(②釜工程入力!$I$5:$I$117,②釜工程入力!$S$5:$S$117,$J432,②釜工程入力!$I$5:$I$117,"&gt;0",②釜工程入力!$M$5:$M$117,"&gt;0")+SUMIFS(③スチコン工程入力!$I$5:$I$152,③スチコン工程入力!$S$5:$S$152,$J432,③スチコン工程入力!$I$5:$I$152,"&gt;0",③スチコン工程入力!$M$5:$M$152,"&gt;0")+SUMIFS(⑪ZEN工程入力!$I$6:$I$35,⑪ZEN工程入力!$S$6:$S$35,$J432,⑪ZEN工程入力!$I$6:$I$35,"&gt;0",⑪ZEN工程入力!$M$6:$M$35,"&gt;0")+SUMIFS(⑫ミキサー工程入力!$I$6:$I$65,⑫ミキサー工程入力!$S$6:$S$65,$J432,⑫ミキサー工程入力!$I$6:$I$65,"&gt;0",⑫ミキサー工程入力!$M$6:$M$65,"&gt;0")+SUMIFS(⑬計量工程入力!$I$6:$I$65,⑬計量工程入力!$S$6:$S$65,$J432,⑬計量工程入力!$I$6:$I$65,"&gt;0",⑬計量工程入力!$M$6:$M$65,"&gt;0")+SUMIFS(⑭手動工程入力!$I$6:$I$47,⑭手動工程入力!$S$6:$S$47,$J432,⑭手動工程入力!$I$6:$I$47,"&gt;0",⑭手動工程入力!$M$6:$M$47,"&gt;0"))</f>
        <v/>
      </c>
      <c r="N432" s="393">
        <f>IF($J432="",0,SUMIFS(②釜工程入力!$M$5:$M$117,②釜工程入力!$S$5:$S$117,$J432,②釜工程入力!$J$5:$J$117,"&gt;0")-SUMIFS(②釜工程入力!$M$5:$M$117,②釜工程入力!$S$5:$S$117,$J432,②釜工程入力!$J$5:$J$117,"&gt;0",②釜工程入力!$I$5:$I$117,"&gt;0")+SUMIFS(③スチコン工程入力!$M$5:$M$152,③スチコン工程入力!$S$5:$S$152,$J432,③スチコン工程入力!$J$5:$J$152,"&gt;0")-SUMIFS(③スチコン工程入力!$M$5:$M$152,③スチコン工程入力!$S$5:$S$152,$J432,③スチコン工程入力!$J$5:$J$152,"&gt;0",③スチコン工程入力!$I$5:$I$152,"&gt;0")+SUMIFS(⑪ZEN工程入力!$M$6:$M$35,⑪ZEN工程入力!$S$6:$S$35,$J432,⑪ZEN工程入力!$J$6:$J$35,"&gt;0")-SUMIFS(⑪ZEN工程入力!$M$6:$M$35,⑪ZEN工程入力!$S$6:$S$35,$J432,⑪ZEN工程入力!$J$6:$J$35,"&gt;0",⑪ZEN工程入力!$I$6:$I$35,"&gt;0")+SUMIFS(⑫ミキサー工程入力!$M$6:$M$65,⑫ミキサー工程入力!$S$6:$S$65,$J432,⑫ミキサー工程入力!$J$6:$J$65,"&gt;0")-SUMIFS(⑫ミキサー工程入力!$M$6:$M$65,⑫ミキサー工程入力!$S$6:$S$65,$J432,⑫ミキサー工程入力!$J$6:$J$65,"&gt;0",⑫ミキサー工程入力!$I$6:$I$65,"&gt;0")+SUMIFS(⑬計量工程入力!$M$6:$M$65,⑬計量工程入力!$S$6:$S$65,$J432,⑬計量工程入力!$J$6:$J$65,"&gt;0")-SUMIFS(⑬計量工程入力!$M$6:$M$65,⑬計量工程入力!$S$6:$S$65,$J432,⑬計量工程入力!$J$6:$J$65,"&gt;0",⑬計量工程入力!$I$6:$I$65,"&gt;0")+SUMIFS(⑭手動工程入力!$M$6:$M$47,⑭手動工程入力!$S$6:$S$47,$J432,⑭手動工程入力!$J$6:$J$47,"&gt;0")-SUMIFS(⑭手動工程入力!$M$6:$M$47,⑭手動工程入力!$S$6:$S$47,$J432,⑭手動工程入力!$J$6:$J$47,"&gt;0",⑭手動工程入力!$I$6:$I$47,"&gt;0"))</f>
        <v/>
      </c>
      <c r="O432" s="393">
        <f>IF($J432="",0,SUMIFS(②釜工程入力!$J$5:$J$117,②釜工程入力!$S$5:$S$117,$J432,②釜工程入力!$J$5:$J$117,"&gt;0",②釜工程入力!$M$5:$M$117,"&gt;0")-SUMIFS(②釜工程入力!$J$5:$J$117,②釜工程入力!$S$5:$S$117,$J432,②釜工程入力!$J$5:$J$117,"&gt;0",②釜工程入力!$I$5:$I$117,"&gt;0",②釜工程入力!$M$5:$M$117,"&gt;0")+SUMIFS(③スチコン工程入力!$J$5:$J$152,③スチコン工程入力!$S$5:$S$152,$J432,③スチコン工程入力!$J$5:$J$152,"&gt;0",③スチコン工程入力!$M$5:$M$152,"&gt;0")-SUMIFS(③スチコン工程入力!$J$5:$J$152,③スチコン工程入力!$S$5:$S$152,$J432,③スチコン工程入力!$J$5:$J$152,"&gt;0",③スチコン工程入力!$I$5:$I$152,"&gt;0",③スチコン工程入力!$M$5:$M$152,"&gt;0")+SUMIFS(⑪ZEN工程入力!$J$6:$J$35,⑪ZEN工程入力!$S$6:$S$35,$J432,⑪ZEN工程入力!$J$6:$J$35,"&gt;0",⑪ZEN工程入力!$M$6:$M$35,"&gt;0")-SUMIFS(⑪ZEN工程入力!$J$6:$J$35,⑪ZEN工程入力!$S$6:$S$35,$J432,⑪ZEN工程入力!$J$6:$J$35,"&gt;0",⑪ZEN工程入力!$I$6:$I$35,"&gt;0",⑪ZEN工程入力!$M$6:$M$35,"&gt;0")+SUMIFS(⑫ミキサー工程入力!$J$6:$J$65,⑫ミキサー工程入力!$S$6:$S$65,$J432,⑫ミキサー工程入力!$J$6:$J$65,"&gt;0",⑫ミキサー工程入力!$M$6:$M$65,"&gt;0")-SUMIFS(⑫ミキサー工程入力!$J$6:$J$65,⑫ミキサー工程入力!$S$6:$S$65,$J432,⑫ミキサー工程入力!$J$6:$J$65,"&gt;0",⑫ミキサー工程入力!$I$6:$I$65,"&gt;0",⑫ミキサー工程入力!$M$6:$M$65,"&gt;0")+SUMIFS(⑬計量工程入力!$J$6:$J$65,⑬計量工程入力!$S$6:$S$65,$J432,⑬計量工程入力!$J$6:$J$65,"&gt;0",⑬計量工程入力!$M$6:$M$65,"&gt;0")-SUMIFS(⑬計量工程入力!$J$6:$J$65,⑬計量工程入力!$S$6:$S$65,$J432,⑬計量工程入力!$J$6:$J$65,"&gt;0",⑬計量工程入力!$I$6:$I$65,"&gt;0",⑬計量工程入力!$M$6:$M$65,"&gt;0")+SUMIFS(⑭手動工程入力!$J$6:$J$47,⑭手動工程入力!$S$6:$S$47,$J432,⑭手動工程入力!$J$6:$J$47,"&gt;0",⑭手動工程入力!$M$6:$M$47,"&gt;0")-SUMIFS(⑭手動工程入力!$J$6:$J$47,⑭手動工程入力!$S$6:$S$47,$J432,⑭手動工程入力!$J$6:$J$47,"&gt;0",⑭手動工程入力!$I$6:$I$47,"&gt;0",⑭手動工程入力!$M$6:$M$47,"&gt;0"))</f>
        <v/>
      </c>
      <c r="P432" s="392" t="inlineStr">
        <is>
          <t>中間品リスト</t>
        </is>
      </c>
    </row>
    <row r="433">
      <c r="A433" s="392" t="n">
        <v>429</v>
      </c>
      <c r="B433" s="392" t="n"/>
      <c r="C433" s="392" t="n"/>
      <c r="D433" s="409" t="n"/>
      <c r="E433" s="392" t="n"/>
      <c r="F433" s="394" t="n"/>
      <c r="G433" s="392" t="n"/>
      <c r="H433" s="604">
        <f>IFERROR(IF(AND($K433&gt;0,ISNUMBER(IF(OR($D433="g",$D433="ｇ"),IF($M433&gt;0,$L433/$M433/1000,""),IF($D433="kg",IF($M433&gt;0,$L433/$M433,""),IF($D433="",IF($M433&gt;0,$L433/$M433/1000,IF($O433&gt;0,$N433/$O433,"")),IF($O433&gt;0,$N433/$O433,"")))))),IF(OR($D433="g",$D433="ｇ"),IF($M433&gt;0,$L433/$M433/1000,""),IF($D433="kg",IF($M433&gt;0,$L433/$M433,""),IF($D433="",IF($M433&gt;0,$L433/$M433/1000,IF($O433&gt;0,$N433/$O433,"")),IF($O433&gt;0,$N433/$O433,"")))),IF($F433="",IF(OR($E433="",$E433="⑩盛付梱包工程入力"),"",IF(OR($D433="g",$D433="ｇ"),INDEX(⑰工程労務費一覧!$N$5:$N$11,MATCH($E433,⑰工程労務費一覧!$K$5:$K$11,0))/1000,IF($D433="kg",INDEX(⑰工程労務費一覧!$N$5:$N$11,MATCH($E433,⑰工程労務費一覧!$K$5:$K$11,0)),IF(OR($D433="個",$D433="切",$D433="本",$D433="枚",$D433="尾"),IF($E433="⑬計量工程入力","",INDEX(⑰工程労務費一覧!$P$5:$P$11,MATCH($E433,⑰工程労務費一覧!$K$5:$K$11,0))),IF(AND($D433="",OR($E433="②釜工程入力",$E433="③スチコン工程入力")),INDEX(⑰工程労務費一覧!$N$5:$N$11,MATCH($E433,⑰工程労務費一覧!$K$5:$K$11,0))/1000,""))))),IF(OR($D433="g",$D433="ｇ"),INDEX(⑰工程労務費一覧!$H$5:$H$753,MATCH($F433,⑰工程労務費一覧!$D$5:$D$753,0))/1000,IF($D433="kg",INDEX(⑰工程労務費一覧!$H$5:$H$753,MATCH($F433,⑰工程労務費一覧!$D$5:$D$753,0)),INDEX(⑰工程労務費一覧!$I$5:$I$753,MATCH($F433,⑰工程労務費一覧!$D$5:$D$753,0)))))),"")</f>
        <v/>
      </c>
      <c r="I433" s="392">
        <f>IF($K433&gt;0,IF(ISNUMBER(IF(OR($D433="g",$D433="ｇ"),IF($M433&gt;0,$L433/$M433/1000,""),IF($D433="kg",IF($M433&gt;0,$L433/$M433,""),IF($D433="",IF($M433&gt;0,$L433/$M433/1000,IF($O433&gt;0,$N433/$O433,"")),IF($O433&gt;0,$N433/$O433,""))))),IF($D433="",IF($M433&gt;0,"◎ JAN紐づけ(g扱い)","◎ JAN紐づけ(個扱い)"),"◎ JAN紐づけ"),"△ JAN紐づけ済・実績不足→仮計算"),IF($F433="",IF(ISNUMBER($H433),IF($D433="","⑤ 工程平均で仮計算(g扱い)","⑤ 工程平均で仮計算"),IF($E433="⑩盛付梱包工程入力","⑥ 盛り込み(⑳F列で計上)",IF(AND($E433="⑬計量工程入力",OR($D433="個",$D433="切",$D433="本",$D433="枚",$D433="尾")),"① 未紐づけ(カット個単位は仮単価なし)","① 未紐づけ"))),IF(NOT(ISNUMBER($H433)),"② 工程側に単価なし",IF($D433="","③ 単位未設定(個で計算)","④ OK"))))</f>
        <v/>
      </c>
      <c r="J433" s="399">
        <f>IFERROR(LOOKUP(2,1/((中間品リスト!$F$2:$F$1299=$B433)*(中間品リスト!$E$2:$E$1299&lt;&gt;"-")*(中間品リスト!$E$2:$E$1299&lt;&gt;"")),中間品リスト!$E$2:$E$1299),"")</f>
        <v/>
      </c>
      <c r="K433" s="400">
        <f>IF($J433="",0,COUNTIF(②釜工程入力!$S$5:$S$117,$J433)+COUNTIF(③スチコン工程入力!$S$5:$S$152,$J433)+COUNTIF(⑪ZEN工程入力!$S$6:$S$35,$J433)+COUNTIF(⑫ミキサー工程入力!$S$6:$S$65,$J433)+COUNTIF(⑬計量工程入力!$S$6:$S$65,$J433)+COUNTIF(⑭手動工程入力!$S$6:$S$47,$J433))</f>
        <v/>
      </c>
      <c r="L433" s="393">
        <f>IF($J433="",0,SUMIFS(②釜工程入力!$M$5:$M$117,②釜工程入力!$S$5:$S$117,$J433,②釜工程入力!$I$5:$I$117,"&gt;0")+SUMIFS(③スチコン工程入力!$M$5:$M$152,③スチコン工程入力!$S$5:$S$152,$J433,③スチコン工程入力!$I$5:$I$152,"&gt;0")+SUMIFS(⑪ZEN工程入力!$M$6:$M$35,⑪ZEN工程入力!$S$6:$S$35,$J433,⑪ZEN工程入力!$I$6:$I$35,"&gt;0")+SUMIFS(⑫ミキサー工程入力!$M$6:$M$65,⑫ミキサー工程入力!$S$6:$S$65,$J433,⑫ミキサー工程入力!$I$6:$I$65,"&gt;0")+SUMIFS(⑬計量工程入力!$M$6:$M$65,⑬計量工程入力!$S$6:$S$65,$J433,⑬計量工程入力!$I$6:$I$65,"&gt;0")+SUMIFS(⑭手動工程入力!$M$6:$M$47,⑭手動工程入力!$S$6:$S$47,$J433,⑭手動工程入力!$I$6:$I$47,"&gt;0"))</f>
        <v/>
      </c>
      <c r="M433" s="393">
        <f>IF($J433="",0,SUMIFS(②釜工程入力!$I$5:$I$117,②釜工程入力!$S$5:$S$117,$J433,②釜工程入力!$I$5:$I$117,"&gt;0",②釜工程入力!$M$5:$M$117,"&gt;0")+SUMIFS(③スチコン工程入力!$I$5:$I$152,③スチコン工程入力!$S$5:$S$152,$J433,③スチコン工程入力!$I$5:$I$152,"&gt;0",③スチコン工程入力!$M$5:$M$152,"&gt;0")+SUMIFS(⑪ZEN工程入力!$I$6:$I$35,⑪ZEN工程入力!$S$6:$S$35,$J433,⑪ZEN工程入力!$I$6:$I$35,"&gt;0",⑪ZEN工程入力!$M$6:$M$35,"&gt;0")+SUMIFS(⑫ミキサー工程入力!$I$6:$I$65,⑫ミキサー工程入力!$S$6:$S$65,$J433,⑫ミキサー工程入力!$I$6:$I$65,"&gt;0",⑫ミキサー工程入力!$M$6:$M$65,"&gt;0")+SUMIFS(⑬計量工程入力!$I$6:$I$65,⑬計量工程入力!$S$6:$S$65,$J433,⑬計量工程入力!$I$6:$I$65,"&gt;0",⑬計量工程入力!$M$6:$M$65,"&gt;0")+SUMIFS(⑭手動工程入力!$I$6:$I$47,⑭手動工程入力!$S$6:$S$47,$J433,⑭手動工程入力!$I$6:$I$47,"&gt;0",⑭手動工程入力!$M$6:$M$47,"&gt;0"))</f>
        <v/>
      </c>
      <c r="N433" s="393">
        <f>IF($J433="",0,SUMIFS(②釜工程入力!$M$5:$M$117,②釜工程入力!$S$5:$S$117,$J433,②釜工程入力!$J$5:$J$117,"&gt;0")-SUMIFS(②釜工程入力!$M$5:$M$117,②釜工程入力!$S$5:$S$117,$J433,②釜工程入力!$J$5:$J$117,"&gt;0",②釜工程入力!$I$5:$I$117,"&gt;0")+SUMIFS(③スチコン工程入力!$M$5:$M$152,③スチコン工程入力!$S$5:$S$152,$J433,③スチコン工程入力!$J$5:$J$152,"&gt;0")-SUMIFS(③スチコン工程入力!$M$5:$M$152,③スチコン工程入力!$S$5:$S$152,$J433,③スチコン工程入力!$J$5:$J$152,"&gt;0",③スチコン工程入力!$I$5:$I$152,"&gt;0")+SUMIFS(⑪ZEN工程入力!$M$6:$M$35,⑪ZEN工程入力!$S$6:$S$35,$J433,⑪ZEN工程入力!$J$6:$J$35,"&gt;0")-SUMIFS(⑪ZEN工程入力!$M$6:$M$35,⑪ZEN工程入力!$S$6:$S$35,$J433,⑪ZEN工程入力!$J$6:$J$35,"&gt;0",⑪ZEN工程入力!$I$6:$I$35,"&gt;0")+SUMIFS(⑫ミキサー工程入力!$M$6:$M$65,⑫ミキサー工程入力!$S$6:$S$65,$J433,⑫ミキサー工程入力!$J$6:$J$65,"&gt;0")-SUMIFS(⑫ミキサー工程入力!$M$6:$M$65,⑫ミキサー工程入力!$S$6:$S$65,$J433,⑫ミキサー工程入力!$J$6:$J$65,"&gt;0",⑫ミキサー工程入力!$I$6:$I$65,"&gt;0")+SUMIFS(⑬計量工程入力!$M$6:$M$65,⑬計量工程入力!$S$6:$S$65,$J433,⑬計量工程入力!$J$6:$J$65,"&gt;0")-SUMIFS(⑬計量工程入力!$M$6:$M$65,⑬計量工程入力!$S$6:$S$65,$J433,⑬計量工程入力!$J$6:$J$65,"&gt;0",⑬計量工程入力!$I$6:$I$65,"&gt;0")+SUMIFS(⑭手動工程入力!$M$6:$M$47,⑭手動工程入力!$S$6:$S$47,$J433,⑭手動工程入力!$J$6:$J$47,"&gt;0")-SUMIFS(⑭手動工程入力!$M$6:$M$47,⑭手動工程入力!$S$6:$S$47,$J433,⑭手動工程入力!$J$6:$J$47,"&gt;0",⑭手動工程入力!$I$6:$I$47,"&gt;0"))</f>
        <v/>
      </c>
      <c r="O433" s="393">
        <f>IF($J433="",0,SUMIFS(②釜工程入力!$J$5:$J$117,②釜工程入力!$S$5:$S$117,$J433,②釜工程入力!$J$5:$J$117,"&gt;0",②釜工程入力!$M$5:$M$117,"&gt;0")-SUMIFS(②釜工程入力!$J$5:$J$117,②釜工程入力!$S$5:$S$117,$J433,②釜工程入力!$J$5:$J$117,"&gt;0",②釜工程入力!$I$5:$I$117,"&gt;0",②釜工程入力!$M$5:$M$117,"&gt;0")+SUMIFS(③スチコン工程入力!$J$5:$J$152,③スチコン工程入力!$S$5:$S$152,$J433,③スチコン工程入力!$J$5:$J$152,"&gt;0",③スチコン工程入力!$M$5:$M$152,"&gt;0")-SUMIFS(③スチコン工程入力!$J$5:$J$152,③スチコン工程入力!$S$5:$S$152,$J433,③スチコン工程入力!$J$5:$J$152,"&gt;0",③スチコン工程入力!$I$5:$I$152,"&gt;0",③スチコン工程入力!$M$5:$M$152,"&gt;0")+SUMIFS(⑪ZEN工程入力!$J$6:$J$35,⑪ZEN工程入力!$S$6:$S$35,$J433,⑪ZEN工程入力!$J$6:$J$35,"&gt;0",⑪ZEN工程入力!$M$6:$M$35,"&gt;0")-SUMIFS(⑪ZEN工程入力!$J$6:$J$35,⑪ZEN工程入力!$S$6:$S$35,$J433,⑪ZEN工程入力!$J$6:$J$35,"&gt;0",⑪ZEN工程入力!$I$6:$I$35,"&gt;0",⑪ZEN工程入力!$M$6:$M$35,"&gt;0")+SUMIFS(⑫ミキサー工程入力!$J$6:$J$65,⑫ミキサー工程入力!$S$6:$S$65,$J433,⑫ミキサー工程入力!$J$6:$J$65,"&gt;0",⑫ミキサー工程入力!$M$6:$M$65,"&gt;0")-SUMIFS(⑫ミキサー工程入力!$J$6:$J$65,⑫ミキサー工程入力!$S$6:$S$65,$J433,⑫ミキサー工程入力!$J$6:$J$65,"&gt;0",⑫ミキサー工程入力!$I$6:$I$65,"&gt;0",⑫ミキサー工程入力!$M$6:$M$65,"&gt;0")+SUMIFS(⑬計量工程入力!$J$6:$J$65,⑬計量工程入力!$S$6:$S$65,$J433,⑬計量工程入力!$J$6:$J$65,"&gt;0",⑬計量工程入力!$M$6:$M$65,"&gt;0")-SUMIFS(⑬計量工程入力!$J$6:$J$65,⑬計量工程入力!$S$6:$S$65,$J433,⑬計量工程入力!$J$6:$J$65,"&gt;0",⑬計量工程入力!$I$6:$I$65,"&gt;0",⑬計量工程入力!$M$6:$M$65,"&gt;0")+SUMIFS(⑭手動工程入力!$J$6:$J$47,⑭手動工程入力!$S$6:$S$47,$J433,⑭手動工程入力!$J$6:$J$47,"&gt;0",⑭手動工程入力!$M$6:$M$47,"&gt;0")-SUMIFS(⑭手動工程入力!$J$6:$J$47,⑭手動工程入力!$S$6:$S$47,$J433,⑭手動工程入力!$J$6:$J$47,"&gt;0",⑭手動工程入力!$I$6:$I$47,"&gt;0",⑭手動工程入力!$M$6:$M$47,"&gt;0"))</f>
        <v/>
      </c>
      <c r="P433" s="392" t="inlineStr">
        <is>
          <t>中間品リスト</t>
        </is>
      </c>
    </row>
    <row r="434">
      <c r="A434" s="392" t="n">
        <v>430</v>
      </c>
      <c r="B434" s="392" t="n"/>
      <c r="C434" s="392" t="n"/>
      <c r="D434" s="409" t="n"/>
      <c r="E434" s="392" t="n"/>
      <c r="F434" s="394" t="n"/>
      <c r="G434" s="392" t="n"/>
      <c r="H434" s="604">
        <f>IFERROR(IF(AND($K434&gt;0,ISNUMBER(IF(OR($D434="g",$D434="ｇ"),IF($M434&gt;0,$L434/$M434/1000,""),IF($D434="kg",IF($M434&gt;0,$L434/$M434,""),IF($D434="",IF($M434&gt;0,$L434/$M434/1000,IF($O434&gt;0,$N434/$O434,"")),IF($O434&gt;0,$N434/$O434,"")))))),IF(OR($D434="g",$D434="ｇ"),IF($M434&gt;0,$L434/$M434/1000,""),IF($D434="kg",IF($M434&gt;0,$L434/$M434,""),IF($D434="",IF($M434&gt;0,$L434/$M434/1000,IF($O434&gt;0,$N434/$O434,"")),IF($O434&gt;0,$N434/$O434,"")))),IF($F434="",IF(OR($E434="",$E434="⑩盛付梱包工程入力"),"",IF(OR($D434="g",$D434="ｇ"),INDEX(⑰工程労務費一覧!$N$5:$N$11,MATCH($E434,⑰工程労務費一覧!$K$5:$K$11,0))/1000,IF($D434="kg",INDEX(⑰工程労務費一覧!$N$5:$N$11,MATCH($E434,⑰工程労務費一覧!$K$5:$K$11,0)),IF(OR($D434="個",$D434="切",$D434="本",$D434="枚",$D434="尾"),IF($E434="⑬計量工程入力","",INDEX(⑰工程労務費一覧!$P$5:$P$11,MATCH($E434,⑰工程労務費一覧!$K$5:$K$11,0))),IF(AND($D434="",OR($E434="②釜工程入力",$E434="③スチコン工程入力")),INDEX(⑰工程労務費一覧!$N$5:$N$11,MATCH($E434,⑰工程労務費一覧!$K$5:$K$11,0))/1000,""))))),IF(OR($D434="g",$D434="ｇ"),INDEX(⑰工程労務費一覧!$H$5:$H$753,MATCH($F434,⑰工程労務費一覧!$D$5:$D$753,0))/1000,IF($D434="kg",INDEX(⑰工程労務費一覧!$H$5:$H$753,MATCH($F434,⑰工程労務費一覧!$D$5:$D$753,0)),INDEX(⑰工程労務費一覧!$I$5:$I$753,MATCH($F434,⑰工程労務費一覧!$D$5:$D$753,0)))))),"")</f>
        <v/>
      </c>
      <c r="I434" s="392">
        <f>IF($K434&gt;0,IF(ISNUMBER(IF(OR($D434="g",$D434="ｇ"),IF($M434&gt;0,$L434/$M434/1000,""),IF($D434="kg",IF($M434&gt;0,$L434/$M434,""),IF($D434="",IF($M434&gt;0,$L434/$M434/1000,IF($O434&gt;0,$N434/$O434,"")),IF($O434&gt;0,$N434/$O434,""))))),IF($D434="",IF($M434&gt;0,"◎ JAN紐づけ(g扱い)","◎ JAN紐づけ(個扱い)"),"◎ JAN紐づけ"),"△ JAN紐づけ済・実績不足→仮計算"),IF($F434="",IF(ISNUMBER($H434),IF($D434="","⑤ 工程平均で仮計算(g扱い)","⑤ 工程平均で仮計算"),IF($E434="⑩盛付梱包工程入力","⑥ 盛り込み(⑳F列で計上)",IF(AND($E434="⑬計量工程入力",OR($D434="個",$D434="切",$D434="本",$D434="枚",$D434="尾")),"① 未紐づけ(カット個単位は仮単価なし)","① 未紐づけ"))),IF(NOT(ISNUMBER($H434)),"② 工程側に単価なし",IF($D434="","③ 単位未設定(個で計算)","④ OK"))))</f>
        <v/>
      </c>
      <c r="J434" s="399">
        <f>IFERROR(LOOKUP(2,1/((中間品リスト!$F$2:$F$1299=$B434)*(中間品リスト!$E$2:$E$1299&lt;&gt;"-")*(中間品リスト!$E$2:$E$1299&lt;&gt;"")),中間品リスト!$E$2:$E$1299),"")</f>
        <v/>
      </c>
      <c r="K434" s="400">
        <f>IF($J434="",0,COUNTIF(②釜工程入力!$S$5:$S$117,$J434)+COUNTIF(③スチコン工程入力!$S$5:$S$152,$J434)+COUNTIF(⑪ZEN工程入力!$S$6:$S$35,$J434)+COUNTIF(⑫ミキサー工程入力!$S$6:$S$65,$J434)+COUNTIF(⑬計量工程入力!$S$6:$S$65,$J434)+COUNTIF(⑭手動工程入力!$S$6:$S$47,$J434))</f>
        <v/>
      </c>
      <c r="L434" s="393">
        <f>IF($J434="",0,SUMIFS(②釜工程入力!$M$5:$M$117,②釜工程入力!$S$5:$S$117,$J434,②釜工程入力!$I$5:$I$117,"&gt;0")+SUMIFS(③スチコン工程入力!$M$5:$M$152,③スチコン工程入力!$S$5:$S$152,$J434,③スチコン工程入力!$I$5:$I$152,"&gt;0")+SUMIFS(⑪ZEN工程入力!$M$6:$M$35,⑪ZEN工程入力!$S$6:$S$35,$J434,⑪ZEN工程入力!$I$6:$I$35,"&gt;0")+SUMIFS(⑫ミキサー工程入力!$M$6:$M$65,⑫ミキサー工程入力!$S$6:$S$65,$J434,⑫ミキサー工程入力!$I$6:$I$65,"&gt;0")+SUMIFS(⑬計量工程入力!$M$6:$M$65,⑬計量工程入力!$S$6:$S$65,$J434,⑬計量工程入力!$I$6:$I$65,"&gt;0")+SUMIFS(⑭手動工程入力!$M$6:$M$47,⑭手動工程入力!$S$6:$S$47,$J434,⑭手動工程入力!$I$6:$I$47,"&gt;0"))</f>
        <v/>
      </c>
      <c r="M434" s="393">
        <f>IF($J434="",0,SUMIFS(②釜工程入力!$I$5:$I$117,②釜工程入力!$S$5:$S$117,$J434,②釜工程入力!$I$5:$I$117,"&gt;0",②釜工程入力!$M$5:$M$117,"&gt;0")+SUMIFS(③スチコン工程入力!$I$5:$I$152,③スチコン工程入力!$S$5:$S$152,$J434,③スチコン工程入力!$I$5:$I$152,"&gt;0",③スチコン工程入力!$M$5:$M$152,"&gt;0")+SUMIFS(⑪ZEN工程入力!$I$6:$I$35,⑪ZEN工程入力!$S$6:$S$35,$J434,⑪ZEN工程入力!$I$6:$I$35,"&gt;0",⑪ZEN工程入力!$M$6:$M$35,"&gt;0")+SUMIFS(⑫ミキサー工程入力!$I$6:$I$65,⑫ミキサー工程入力!$S$6:$S$65,$J434,⑫ミキサー工程入力!$I$6:$I$65,"&gt;0",⑫ミキサー工程入力!$M$6:$M$65,"&gt;0")+SUMIFS(⑬計量工程入力!$I$6:$I$65,⑬計量工程入力!$S$6:$S$65,$J434,⑬計量工程入力!$I$6:$I$65,"&gt;0",⑬計量工程入力!$M$6:$M$65,"&gt;0")+SUMIFS(⑭手動工程入力!$I$6:$I$47,⑭手動工程入力!$S$6:$S$47,$J434,⑭手動工程入力!$I$6:$I$47,"&gt;0",⑭手動工程入力!$M$6:$M$47,"&gt;0"))</f>
        <v/>
      </c>
      <c r="N434" s="393">
        <f>IF($J434="",0,SUMIFS(②釜工程入力!$M$5:$M$117,②釜工程入力!$S$5:$S$117,$J434,②釜工程入力!$J$5:$J$117,"&gt;0")-SUMIFS(②釜工程入力!$M$5:$M$117,②釜工程入力!$S$5:$S$117,$J434,②釜工程入力!$J$5:$J$117,"&gt;0",②釜工程入力!$I$5:$I$117,"&gt;0")+SUMIFS(③スチコン工程入力!$M$5:$M$152,③スチコン工程入力!$S$5:$S$152,$J434,③スチコン工程入力!$J$5:$J$152,"&gt;0")-SUMIFS(③スチコン工程入力!$M$5:$M$152,③スチコン工程入力!$S$5:$S$152,$J434,③スチコン工程入力!$J$5:$J$152,"&gt;0",③スチコン工程入力!$I$5:$I$152,"&gt;0")+SUMIFS(⑪ZEN工程入力!$M$6:$M$35,⑪ZEN工程入力!$S$6:$S$35,$J434,⑪ZEN工程入力!$J$6:$J$35,"&gt;0")-SUMIFS(⑪ZEN工程入力!$M$6:$M$35,⑪ZEN工程入力!$S$6:$S$35,$J434,⑪ZEN工程入力!$J$6:$J$35,"&gt;0",⑪ZEN工程入力!$I$6:$I$35,"&gt;0")+SUMIFS(⑫ミキサー工程入力!$M$6:$M$65,⑫ミキサー工程入力!$S$6:$S$65,$J434,⑫ミキサー工程入力!$J$6:$J$65,"&gt;0")-SUMIFS(⑫ミキサー工程入力!$M$6:$M$65,⑫ミキサー工程入力!$S$6:$S$65,$J434,⑫ミキサー工程入力!$J$6:$J$65,"&gt;0",⑫ミキサー工程入力!$I$6:$I$65,"&gt;0")+SUMIFS(⑬計量工程入力!$M$6:$M$65,⑬計量工程入力!$S$6:$S$65,$J434,⑬計量工程入力!$J$6:$J$65,"&gt;0")-SUMIFS(⑬計量工程入力!$M$6:$M$65,⑬計量工程入力!$S$6:$S$65,$J434,⑬計量工程入力!$J$6:$J$65,"&gt;0",⑬計量工程入力!$I$6:$I$65,"&gt;0")+SUMIFS(⑭手動工程入力!$M$6:$M$47,⑭手動工程入力!$S$6:$S$47,$J434,⑭手動工程入力!$J$6:$J$47,"&gt;0")-SUMIFS(⑭手動工程入力!$M$6:$M$47,⑭手動工程入力!$S$6:$S$47,$J434,⑭手動工程入力!$J$6:$J$47,"&gt;0",⑭手動工程入力!$I$6:$I$47,"&gt;0"))</f>
        <v/>
      </c>
      <c r="O434" s="393">
        <f>IF($J434="",0,SUMIFS(②釜工程入力!$J$5:$J$117,②釜工程入力!$S$5:$S$117,$J434,②釜工程入力!$J$5:$J$117,"&gt;0",②釜工程入力!$M$5:$M$117,"&gt;0")-SUMIFS(②釜工程入力!$J$5:$J$117,②釜工程入力!$S$5:$S$117,$J434,②釜工程入力!$J$5:$J$117,"&gt;0",②釜工程入力!$I$5:$I$117,"&gt;0",②釜工程入力!$M$5:$M$117,"&gt;0")+SUMIFS(③スチコン工程入力!$J$5:$J$152,③スチコン工程入力!$S$5:$S$152,$J434,③スチコン工程入力!$J$5:$J$152,"&gt;0",③スチコン工程入力!$M$5:$M$152,"&gt;0")-SUMIFS(③スチコン工程入力!$J$5:$J$152,③スチコン工程入力!$S$5:$S$152,$J434,③スチコン工程入力!$J$5:$J$152,"&gt;0",③スチコン工程入力!$I$5:$I$152,"&gt;0",③スチコン工程入力!$M$5:$M$152,"&gt;0")+SUMIFS(⑪ZEN工程入力!$J$6:$J$35,⑪ZEN工程入力!$S$6:$S$35,$J434,⑪ZEN工程入力!$J$6:$J$35,"&gt;0",⑪ZEN工程入力!$M$6:$M$35,"&gt;0")-SUMIFS(⑪ZEN工程入力!$J$6:$J$35,⑪ZEN工程入力!$S$6:$S$35,$J434,⑪ZEN工程入力!$J$6:$J$35,"&gt;0",⑪ZEN工程入力!$I$6:$I$35,"&gt;0",⑪ZEN工程入力!$M$6:$M$35,"&gt;0")+SUMIFS(⑫ミキサー工程入力!$J$6:$J$65,⑫ミキサー工程入力!$S$6:$S$65,$J434,⑫ミキサー工程入力!$J$6:$J$65,"&gt;0",⑫ミキサー工程入力!$M$6:$M$65,"&gt;0")-SUMIFS(⑫ミキサー工程入力!$J$6:$J$65,⑫ミキサー工程入力!$S$6:$S$65,$J434,⑫ミキサー工程入力!$J$6:$J$65,"&gt;0",⑫ミキサー工程入力!$I$6:$I$65,"&gt;0",⑫ミキサー工程入力!$M$6:$M$65,"&gt;0")+SUMIFS(⑬計量工程入力!$J$6:$J$65,⑬計量工程入力!$S$6:$S$65,$J434,⑬計量工程入力!$J$6:$J$65,"&gt;0",⑬計量工程入力!$M$6:$M$65,"&gt;0")-SUMIFS(⑬計量工程入力!$J$6:$J$65,⑬計量工程入力!$S$6:$S$65,$J434,⑬計量工程入力!$J$6:$J$65,"&gt;0",⑬計量工程入力!$I$6:$I$65,"&gt;0",⑬計量工程入力!$M$6:$M$65,"&gt;0")+SUMIFS(⑭手動工程入力!$J$6:$J$47,⑭手動工程入力!$S$6:$S$47,$J434,⑭手動工程入力!$J$6:$J$47,"&gt;0",⑭手動工程入力!$M$6:$M$47,"&gt;0")-SUMIFS(⑭手動工程入力!$J$6:$J$47,⑭手動工程入力!$S$6:$S$47,$J434,⑭手動工程入力!$J$6:$J$47,"&gt;0",⑭手動工程入力!$I$6:$I$47,"&gt;0",⑭手動工程入力!$M$6:$M$47,"&gt;0"))</f>
        <v/>
      </c>
      <c r="P434" s="392" t="inlineStr">
        <is>
          <t>中間品リスト</t>
        </is>
      </c>
    </row>
    <row r="435">
      <c r="A435" s="392" t="n">
        <v>431</v>
      </c>
      <c r="B435" s="392" t="n"/>
      <c r="C435" s="392" t="n"/>
      <c r="D435" s="409" t="n"/>
      <c r="E435" s="392" t="n"/>
      <c r="F435" s="394" t="n"/>
      <c r="G435" s="392" t="n"/>
      <c r="H435" s="604">
        <f>IFERROR(IF(AND($K435&gt;0,ISNUMBER(IF(OR($D435="g",$D435="ｇ"),IF($M435&gt;0,$L435/$M435/1000,""),IF($D435="kg",IF($M435&gt;0,$L435/$M435,""),IF($D435="",IF($M435&gt;0,$L435/$M435/1000,IF($O435&gt;0,$N435/$O435,"")),IF($O435&gt;0,$N435/$O435,"")))))),IF(OR($D435="g",$D435="ｇ"),IF($M435&gt;0,$L435/$M435/1000,""),IF($D435="kg",IF($M435&gt;0,$L435/$M435,""),IF($D435="",IF($M435&gt;0,$L435/$M435/1000,IF($O435&gt;0,$N435/$O435,"")),IF($O435&gt;0,$N435/$O435,"")))),IF($F435="",IF(OR($E435="",$E435="⑩盛付梱包工程入力"),"",IF(OR($D435="g",$D435="ｇ"),INDEX(⑰工程労務費一覧!$N$5:$N$11,MATCH($E435,⑰工程労務費一覧!$K$5:$K$11,0))/1000,IF($D435="kg",INDEX(⑰工程労務費一覧!$N$5:$N$11,MATCH($E435,⑰工程労務費一覧!$K$5:$K$11,0)),IF(OR($D435="個",$D435="切",$D435="本",$D435="枚",$D435="尾"),IF($E435="⑬計量工程入力","",INDEX(⑰工程労務費一覧!$P$5:$P$11,MATCH($E435,⑰工程労務費一覧!$K$5:$K$11,0))),IF(AND($D435="",OR($E435="②釜工程入力",$E435="③スチコン工程入力")),INDEX(⑰工程労務費一覧!$N$5:$N$11,MATCH($E435,⑰工程労務費一覧!$K$5:$K$11,0))/1000,""))))),IF(OR($D435="g",$D435="ｇ"),INDEX(⑰工程労務費一覧!$H$5:$H$753,MATCH($F435,⑰工程労務費一覧!$D$5:$D$753,0))/1000,IF($D435="kg",INDEX(⑰工程労務費一覧!$H$5:$H$753,MATCH($F435,⑰工程労務費一覧!$D$5:$D$753,0)),INDEX(⑰工程労務費一覧!$I$5:$I$753,MATCH($F435,⑰工程労務費一覧!$D$5:$D$753,0)))))),"")</f>
        <v/>
      </c>
      <c r="I435" s="392">
        <f>IF($K435&gt;0,IF(ISNUMBER(IF(OR($D435="g",$D435="ｇ"),IF($M435&gt;0,$L435/$M435/1000,""),IF($D435="kg",IF($M435&gt;0,$L435/$M435,""),IF($D435="",IF($M435&gt;0,$L435/$M435/1000,IF($O435&gt;0,$N435/$O435,"")),IF($O435&gt;0,$N435/$O435,""))))),IF($D435="",IF($M435&gt;0,"◎ JAN紐づけ(g扱い)","◎ JAN紐づけ(個扱い)"),"◎ JAN紐づけ"),"△ JAN紐づけ済・実績不足→仮計算"),IF($F435="",IF(ISNUMBER($H435),IF($D435="","⑤ 工程平均で仮計算(g扱い)","⑤ 工程平均で仮計算"),IF($E435="⑩盛付梱包工程入力","⑥ 盛り込み(⑳F列で計上)",IF(AND($E435="⑬計量工程入力",OR($D435="個",$D435="切",$D435="本",$D435="枚",$D435="尾")),"① 未紐づけ(カット個単位は仮単価なし)","① 未紐づけ"))),IF(NOT(ISNUMBER($H435)),"② 工程側に単価なし",IF($D435="","③ 単位未設定(個で計算)","④ OK"))))</f>
        <v/>
      </c>
      <c r="J435" s="399">
        <f>IFERROR(LOOKUP(2,1/((中間品リスト!$F$2:$F$1299=$B435)*(中間品リスト!$E$2:$E$1299&lt;&gt;"-")*(中間品リスト!$E$2:$E$1299&lt;&gt;"")),中間品リスト!$E$2:$E$1299),"")</f>
        <v/>
      </c>
      <c r="K435" s="400">
        <f>IF($J435="",0,COUNTIF(②釜工程入力!$S$5:$S$117,$J435)+COUNTIF(③スチコン工程入力!$S$5:$S$152,$J435)+COUNTIF(⑪ZEN工程入力!$S$6:$S$35,$J435)+COUNTIF(⑫ミキサー工程入力!$S$6:$S$65,$J435)+COUNTIF(⑬計量工程入力!$S$6:$S$65,$J435)+COUNTIF(⑭手動工程入力!$S$6:$S$47,$J435))</f>
        <v/>
      </c>
      <c r="L435" s="393">
        <f>IF($J435="",0,SUMIFS(②釜工程入力!$M$5:$M$117,②釜工程入力!$S$5:$S$117,$J435,②釜工程入力!$I$5:$I$117,"&gt;0")+SUMIFS(③スチコン工程入力!$M$5:$M$152,③スチコン工程入力!$S$5:$S$152,$J435,③スチコン工程入力!$I$5:$I$152,"&gt;0")+SUMIFS(⑪ZEN工程入力!$M$6:$M$35,⑪ZEN工程入力!$S$6:$S$35,$J435,⑪ZEN工程入力!$I$6:$I$35,"&gt;0")+SUMIFS(⑫ミキサー工程入力!$M$6:$M$65,⑫ミキサー工程入力!$S$6:$S$65,$J435,⑫ミキサー工程入力!$I$6:$I$65,"&gt;0")+SUMIFS(⑬計量工程入力!$M$6:$M$65,⑬計量工程入力!$S$6:$S$65,$J435,⑬計量工程入力!$I$6:$I$65,"&gt;0")+SUMIFS(⑭手動工程入力!$M$6:$M$47,⑭手動工程入力!$S$6:$S$47,$J435,⑭手動工程入力!$I$6:$I$47,"&gt;0"))</f>
        <v/>
      </c>
      <c r="M435" s="393">
        <f>IF($J435="",0,SUMIFS(②釜工程入力!$I$5:$I$117,②釜工程入力!$S$5:$S$117,$J435,②釜工程入力!$I$5:$I$117,"&gt;0",②釜工程入力!$M$5:$M$117,"&gt;0")+SUMIFS(③スチコン工程入力!$I$5:$I$152,③スチコン工程入力!$S$5:$S$152,$J435,③スチコン工程入力!$I$5:$I$152,"&gt;0",③スチコン工程入力!$M$5:$M$152,"&gt;0")+SUMIFS(⑪ZEN工程入力!$I$6:$I$35,⑪ZEN工程入力!$S$6:$S$35,$J435,⑪ZEN工程入力!$I$6:$I$35,"&gt;0",⑪ZEN工程入力!$M$6:$M$35,"&gt;0")+SUMIFS(⑫ミキサー工程入力!$I$6:$I$65,⑫ミキサー工程入力!$S$6:$S$65,$J435,⑫ミキサー工程入力!$I$6:$I$65,"&gt;0",⑫ミキサー工程入力!$M$6:$M$65,"&gt;0")+SUMIFS(⑬計量工程入力!$I$6:$I$65,⑬計量工程入力!$S$6:$S$65,$J435,⑬計量工程入力!$I$6:$I$65,"&gt;0",⑬計量工程入力!$M$6:$M$65,"&gt;0")+SUMIFS(⑭手動工程入力!$I$6:$I$47,⑭手動工程入力!$S$6:$S$47,$J435,⑭手動工程入力!$I$6:$I$47,"&gt;0",⑭手動工程入力!$M$6:$M$47,"&gt;0"))</f>
        <v/>
      </c>
      <c r="N435" s="393">
        <f>IF($J435="",0,SUMIFS(②釜工程入力!$M$5:$M$117,②釜工程入力!$S$5:$S$117,$J435,②釜工程入力!$J$5:$J$117,"&gt;0")-SUMIFS(②釜工程入力!$M$5:$M$117,②釜工程入力!$S$5:$S$117,$J435,②釜工程入力!$J$5:$J$117,"&gt;0",②釜工程入力!$I$5:$I$117,"&gt;0")+SUMIFS(③スチコン工程入力!$M$5:$M$152,③スチコン工程入力!$S$5:$S$152,$J435,③スチコン工程入力!$J$5:$J$152,"&gt;0")-SUMIFS(③スチコン工程入力!$M$5:$M$152,③スチコン工程入力!$S$5:$S$152,$J435,③スチコン工程入力!$J$5:$J$152,"&gt;0",③スチコン工程入力!$I$5:$I$152,"&gt;0")+SUMIFS(⑪ZEN工程入力!$M$6:$M$35,⑪ZEN工程入力!$S$6:$S$35,$J435,⑪ZEN工程入力!$J$6:$J$35,"&gt;0")-SUMIFS(⑪ZEN工程入力!$M$6:$M$35,⑪ZEN工程入力!$S$6:$S$35,$J435,⑪ZEN工程入力!$J$6:$J$35,"&gt;0",⑪ZEN工程入力!$I$6:$I$35,"&gt;0")+SUMIFS(⑫ミキサー工程入力!$M$6:$M$65,⑫ミキサー工程入力!$S$6:$S$65,$J435,⑫ミキサー工程入力!$J$6:$J$65,"&gt;0")-SUMIFS(⑫ミキサー工程入力!$M$6:$M$65,⑫ミキサー工程入力!$S$6:$S$65,$J435,⑫ミキサー工程入力!$J$6:$J$65,"&gt;0",⑫ミキサー工程入力!$I$6:$I$65,"&gt;0")+SUMIFS(⑬計量工程入力!$M$6:$M$65,⑬計量工程入力!$S$6:$S$65,$J435,⑬計量工程入力!$J$6:$J$65,"&gt;0")-SUMIFS(⑬計量工程入力!$M$6:$M$65,⑬計量工程入力!$S$6:$S$65,$J435,⑬計量工程入力!$J$6:$J$65,"&gt;0",⑬計量工程入力!$I$6:$I$65,"&gt;0")+SUMIFS(⑭手動工程入力!$M$6:$M$47,⑭手動工程入力!$S$6:$S$47,$J435,⑭手動工程入力!$J$6:$J$47,"&gt;0")-SUMIFS(⑭手動工程入力!$M$6:$M$47,⑭手動工程入力!$S$6:$S$47,$J435,⑭手動工程入力!$J$6:$J$47,"&gt;0",⑭手動工程入力!$I$6:$I$47,"&gt;0"))</f>
        <v/>
      </c>
      <c r="O435" s="393">
        <f>IF($J435="",0,SUMIFS(②釜工程入力!$J$5:$J$117,②釜工程入力!$S$5:$S$117,$J435,②釜工程入力!$J$5:$J$117,"&gt;0",②釜工程入力!$M$5:$M$117,"&gt;0")-SUMIFS(②釜工程入力!$J$5:$J$117,②釜工程入力!$S$5:$S$117,$J435,②釜工程入力!$J$5:$J$117,"&gt;0",②釜工程入力!$I$5:$I$117,"&gt;0",②釜工程入力!$M$5:$M$117,"&gt;0")+SUMIFS(③スチコン工程入力!$J$5:$J$152,③スチコン工程入力!$S$5:$S$152,$J435,③スチコン工程入力!$J$5:$J$152,"&gt;0",③スチコン工程入力!$M$5:$M$152,"&gt;0")-SUMIFS(③スチコン工程入力!$J$5:$J$152,③スチコン工程入力!$S$5:$S$152,$J435,③スチコン工程入力!$J$5:$J$152,"&gt;0",③スチコン工程入力!$I$5:$I$152,"&gt;0",③スチコン工程入力!$M$5:$M$152,"&gt;0")+SUMIFS(⑪ZEN工程入力!$J$6:$J$35,⑪ZEN工程入力!$S$6:$S$35,$J435,⑪ZEN工程入力!$J$6:$J$35,"&gt;0",⑪ZEN工程入力!$M$6:$M$35,"&gt;0")-SUMIFS(⑪ZEN工程入力!$J$6:$J$35,⑪ZEN工程入力!$S$6:$S$35,$J435,⑪ZEN工程入力!$J$6:$J$35,"&gt;0",⑪ZEN工程入力!$I$6:$I$35,"&gt;0",⑪ZEN工程入力!$M$6:$M$35,"&gt;0")+SUMIFS(⑫ミキサー工程入力!$J$6:$J$65,⑫ミキサー工程入力!$S$6:$S$65,$J435,⑫ミキサー工程入力!$J$6:$J$65,"&gt;0",⑫ミキサー工程入力!$M$6:$M$65,"&gt;0")-SUMIFS(⑫ミキサー工程入力!$J$6:$J$65,⑫ミキサー工程入力!$S$6:$S$65,$J435,⑫ミキサー工程入力!$J$6:$J$65,"&gt;0",⑫ミキサー工程入力!$I$6:$I$65,"&gt;0",⑫ミキサー工程入力!$M$6:$M$65,"&gt;0")+SUMIFS(⑬計量工程入力!$J$6:$J$65,⑬計量工程入力!$S$6:$S$65,$J435,⑬計量工程入力!$J$6:$J$65,"&gt;0",⑬計量工程入力!$M$6:$M$65,"&gt;0")-SUMIFS(⑬計量工程入力!$J$6:$J$65,⑬計量工程入力!$S$6:$S$65,$J435,⑬計量工程入力!$J$6:$J$65,"&gt;0",⑬計量工程入力!$I$6:$I$65,"&gt;0",⑬計量工程入力!$M$6:$M$65,"&gt;0")+SUMIFS(⑭手動工程入力!$J$6:$J$47,⑭手動工程入力!$S$6:$S$47,$J435,⑭手動工程入力!$J$6:$J$47,"&gt;0",⑭手動工程入力!$M$6:$M$47,"&gt;0")-SUMIFS(⑭手動工程入力!$J$6:$J$47,⑭手動工程入力!$S$6:$S$47,$J435,⑭手動工程入力!$J$6:$J$47,"&gt;0",⑭手動工程入力!$I$6:$I$47,"&gt;0",⑭手動工程入力!$M$6:$M$47,"&gt;0"))</f>
        <v/>
      </c>
      <c r="P435" s="392" t="inlineStr">
        <is>
          <t>中間品リスト</t>
        </is>
      </c>
    </row>
    <row r="436">
      <c r="A436" s="392" t="n">
        <v>432</v>
      </c>
      <c r="B436" s="392" t="n"/>
      <c r="C436" s="392" t="n"/>
      <c r="D436" s="409" t="n"/>
      <c r="E436" s="392" t="n"/>
      <c r="F436" s="394" t="n"/>
      <c r="G436" s="392" t="n"/>
      <c r="H436" s="604">
        <f>IFERROR(IF(AND($K436&gt;0,ISNUMBER(IF(OR($D436="g",$D436="ｇ"),IF($M436&gt;0,$L436/$M436/1000,""),IF($D436="kg",IF($M436&gt;0,$L436/$M436,""),IF($D436="",IF($M436&gt;0,$L436/$M436/1000,IF($O436&gt;0,$N436/$O436,"")),IF($O436&gt;0,$N436/$O436,"")))))),IF(OR($D436="g",$D436="ｇ"),IF($M436&gt;0,$L436/$M436/1000,""),IF($D436="kg",IF($M436&gt;0,$L436/$M436,""),IF($D436="",IF($M436&gt;0,$L436/$M436/1000,IF($O436&gt;0,$N436/$O436,"")),IF($O436&gt;0,$N436/$O436,"")))),IF($F436="",IF(OR($E436="",$E436="⑩盛付梱包工程入力"),"",IF(OR($D436="g",$D436="ｇ"),INDEX(⑰工程労務費一覧!$N$5:$N$11,MATCH($E436,⑰工程労務費一覧!$K$5:$K$11,0))/1000,IF($D436="kg",INDEX(⑰工程労務費一覧!$N$5:$N$11,MATCH($E436,⑰工程労務費一覧!$K$5:$K$11,0)),IF(OR($D436="個",$D436="切",$D436="本",$D436="枚",$D436="尾"),IF($E436="⑬計量工程入力","",INDEX(⑰工程労務費一覧!$P$5:$P$11,MATCH($E436,⑰工程労務費一覧!$K$5:$K$11,0))),IF(AND($D436="",OR($E436="②釜工程入力",$E436="③スチコン工程入力")),INDEX(⑰工程労務費一覧!$N$5:$N$11,MATCH($E436,⑰工程労務費一覧!$K$5:$K$11,0))/1000,""))))),IF(OR($D436="g",$D436="ｇ"),INDEX(⑰工程労務費一覧!$H$5:$H$753,MATCH($F436,⑰工程労務費一覧!$D$5:$D$753,0))/1000,IF($D436="kg",INDEX(⑰工程労務費一覧!$H$5:$H$753,MATCH($F436,⑰工程労務費一覧!$D$5:$D$753,0)),INDEX(⑰工程労務費一覧!$I$5:$I$753,MATCH($F436,⑰工程労務費一覧!$D$5:$D$753,0)))))),"")</f>
        <v/>
      </c>
      <c r="I436" s="392">
        <f>IF($K436&gt;0,IF(ISNUMBER(IF(OR($D436="g",$D436="ｇ"),IF($M436&gt;0,$L436/$M436/1000,""),IF($D436="kg",IF($M436&gt;0,$L436/$M436,""),IF($D436="",IF($M436&gt;0,$L436/$M436/1000,IF($O436&gt;0,$N436/$O436,"")),IF($O436&gt;0,$N436/$O436,""))))),IF($D436="",IF($M436&gt;0,"◎ JAN紐づけ(g扱い)","◎ JAN紐づけ(個扱い)"),"◎ JAN紐づけ"),"△ JAN紐づけ済・実績不足→仮計算"),IF($F436="",IF(ISNUMBER($H436),IF($D436="","⑤ 工程平均で仮計算(g扱い)","⑤ 工程平均で仮計算"),IF($E436="⑩盛付梱包工程入力","⑥ 盛り込み(⑳F列で計上)",IF(AND($E436="⑬計量工程入力",OR($D436="個",$D436="切",$D436="本",$D436="枚",$D436="尾")),"① 未紐づけ(カット個単位は仮単価なし)","① 未紐づけ"))),IF(NOT(ISNUMBER($H436)),"② 工程側に単価なし",IF($D436="","③ 単位未設定(個で計算)","④ OK"))))</f>
        <v/>
      </c>
      <c r="J436" s="399">
        <f>IFERROR(LOOKUP(2,1/((中間品リスト!$F$2:$F$1299=$B436)*(中間品リスト!$E$2:$E$1299&lt;&gt;"-")*(中間品リスト!$E$2:$E$1299&lt;&gt;"")),中間品リスト!$E$2:$E$1299),"")</f>
        <v/>
      </c>
      <c r="K436" s="400">
        <f>IF($J436="",0,COUNTIF(②釜工程入力!$S$5:$S$117,$J436)+COUNTIF(③スチコン工程入力!$S$5:$S$152,$J436)+COUNTIF(⑪ZEN工程入力!$S$6:$S$35,$J436)+COUNTIF(⑫ミキサー工程入力!$S$6:$S$65,$J436)+COUNTIF(⑬計量工程入力!$S$6:$S$65,$J436)+COUNTIF(⑭手動工程入力!$S$6:$S$47,$J436))</f>
        <v/>
      </c>
      <c r="L436" s="393">
        <f>IF($J436="",0,SUMIFS(②釜工程入力!$M$5:$M$117,②釜工程入力!$S$5:$S$117,$J436,②釜工程入力!$I$5:$I$117,"&gt;0")+SUMIFS(③スチコン工程入力!$M$5:$M$152,③スチコン工程入力!$S$5:$S$152,$J436,③スチコン工程入力!$I$5:$I$152,"&gt;0")+SUMIFS(⑪ZEN工程入力!$M$6:$M$35,⑪ZEN工程入力!$S$6:$S$35,$J436,⑪ZEN工程入力!$I$6:$I$35,"&gt;0")+SUMIFS(⑫ミキサー工程入力!$M$6:$M$65,⑫ミキサー工程入力!$S$6:$S$65,$J436,⑫ミキサー工程入力!$I$6:$I$65,"&gt;0")+SUMIFS(⑬計量工程入力!$M$6:$M$65,⑬計量工程入力!$S$6:$S$65,$J436,⑬計量工程入力!$I$6:$I$65,"&gt;0")+SUMIFS(⑭手動工程入力!$M$6:$M$47,⑭手動工程入力!$S$6:$S$47,$J436,⑭手動工程入力!$I$6:$I$47,"&gt;0"))</f>
        <v/>
      </c>
      <c r="M436" s="393">
        <f>IF($J436="",0,SUMIFS(②釜工程入力!$I$5:$I$117,②釜工程入力!$S$5:$S$117,$J436,②釜工程入力!$I$5:$I$117,"&gt;0",②釜工程入力!$M$5:$M$117,"&gt;0")+SUMIFS(③スチコン工程入力!$I$5:$I$152,③スチコン工程入力!$S$5:$S$152,$J436,③スチコン工程入力!$I$5:$I$152,"&gt;0",③スチコン工程入力!$M$5:$M$152,"&gt;0")+SUMIFS(⑪ZEN工程入力!$I$6:$I$35,⑪ZEN工程入力!$S$6:$S$35,$J436,⑪ZEN工程入力!$I$6:$I$35,"&gt;0",⑪ZEN工程入力!$M$6:$M$35,"&gt;0")+SUMIFS(⑫ミキサー工程入力!$I$6:$I$65,⑫ミキサー工程入力!$S$6:$S$65,$J436,⑫ミキサー工程入力!$I$6:$I$65,"&gt;0",⑫ミキサー工程入力!$M$6:$M$65,"&gt;0")+SUMIFS(⑬計量工程入力!$I$6:$I$65,⑬計量工程入力!$S$6:$S$65,$J436,⑬計量工程入力!$I$6:$I$65,"&gt;0",⑬計量工程入力!$M$6:$M$65,"&gt;0")+SUMIFS(⑭手動工程入力!$I$6:$I$47,⑭手動工程入力!$S$6:$S$47,$J436,⑭手動工程入力!$I$6:$I$47,"&gt;0",⑭手動工程入力!$M$6:$M$47,"&gt;0"))</f>
        <v/>
      </c>
      <c r="N436" s="393">
        <f>IF($J436="",0,SUMIFS(②釜工程入力!$M$5:$M$117,②釜工程入力!$S$5:$S$117,$J436,②釜工程入力!$J$5:$J$117,"&gt;0")-SUMIFS(②釜工程入力!$M$5:$M$117,②釜工程入力!$S$5:$S$117,$J436,②釜工程入力!$J$5:$J$117,"&gt;0",②釜工程入力!$I$5:$I$117,"&gt;0")+SUMIFS(③スチコン工程入力!$M$5:$M$152,③スチコン工程入力!$S$5:$S$152,$J436,③スチコン工程入力!$J$5:$J$152,"&gt;0")-SUMIFS(③スチコン工程入力!$M$5:$M$152,③スチコン工程入力!$S$5:$S$152,$J436,③スチコン工程入力!$J$5:$J$152,"&gt;0",③スチコン工程入力!$I$5:$I$152,"&gt;0")+SUMIFS(⑪ZEN工程入力!$M$6:$M$35,⑪ZEN工程入力!$S$6:$S$35,$J436,⑪ZEN工程入力!$J$6:$J$35,"&gt;0")-SUMIFS(⑪ZEN工程入力!$M$6:$M$35,⑪ZEN工程入力!$S$6:$S$35,$J436,⑪ZEN工程入力!$J$6:$J$35,"&gt;0",⑪ZEN工程入力!$I$6:$I$35,"&gt;0")+SUMIFS(⑫ミキサー工程入力!$M$6:$M$65,⑫ミキサー工程入力!$S$6:$S$65,$J436,⑫ミキサー工程入力!$J$6:$J$65,"&gt;0")-SUMIFS(⑫ミキサー工程入力!$M$6:$M$65,⑫ミキサー工程入力!$S$6:$S$65,$J436,⑫ミキサー工程入力!$J$6:$J$65,"&gt;0",⑫ミキサー工程入力!$I$6:$I$65,"&gt;0")+SUMIFS(⑬計量工程入力!$M$6:$M$65,⑬計量工程入力!$S$6:$S$65,$J436,⑬計量工程入力!$J$6:$J$65,"&gt;0")-SUMIFS(⑬計量工程入力!$M$6:$M$65,⑬計量工程入力!$S$6:$S$65,$J436,⑬計量工程入力!$J$6:$J$65,"&gt;0",⑬計量工程入力!$I$6:$I$65,"&gt;0")+SUMIFS(⑭手動工程入力!$M$6:$M$47,⑭手動工程入力!$S$6:$S$47,$J436,⑭手動工程入力!$J$6:$J$47,"&gt;0")-SUMIFS(⑭手動工程入力!$M$6:$M$47,⑭手動工程入力!$S$6:$S$47,$J436,⑭手動工程入力!$J$6:$J$47,"&gt;0",⑭手動工程入力!$I$6:$I$47,"&gt;0"))</f>
        <v/>
      </c>
      <c r="O436" s="393">
        <f>IF($J436="",0,SUMIFS(②釜工程入力!$J$5:$J$117,②釜工程入力!$S$5:$S$117,$J436,②釜工程入力!$J$5:$J$117,"&gt;0",②釜工程入力!$M$5:$M$117,"&gt;0")-SUMIFS(②釜工程入力!$J$5:$J$117,②釜工程入力!$S$5:$S$117,$J436,②釜工程入力!$J$5:$J$117,"&gt;0",②釜工程入力!$I$5:$I$117,"&gt;0",②釜工程入力!$M$5:$M$117,"&gt;0")+SUMIFS(③スチコン工程入力!$J$5:$J$152,③スチコン工程入力!$S$5:$S$152,$J436,③スチコン工程入力!$J$5:$J$152,"&gt;0",③スチコン工程入力!$M$5:$M$152,"&gt;0")-SUMIFS(③スチコン工程入力!$J$5:$J$152,③スチコン工程入力!$S$5:$S$152,$J436,③スチコン工程入力!$J$5:$J$152,"&gt;0",③スチコン工程入力!$I$5:$I$152,"&gt;0",③スチコン工程入力!$M$5:$M$152,"&gt;0")+SUMIFS(⑪ZEN工程入力!$J$6:$J$35,⑪ZEN工程入力!$S$6:$S$35,$J436,⑪ZEN工程入力!$J$6:$J$35,"&gt;0",⑪ZEN工程入力!$M$6:$M$35,"&gt;0")-SUMIFS(⑪ZEN工程入力!$J$6:$J$35,⑪ZEN工程入力!$S$6:$S$35,$J436,⑪ZEN工程入力!$J$6:$J$35,"&gt;0",⑪ZEN工程入力!$I$6:$I$35,"&gt;0",⑪ZEN工程入力!$M$6:$M$35,"&gt;0")+SUMIFS(⑫ミキサー工程入力!$J$6:$J$65,⑫ミキサー工程入力!$S$6:$S$65,$J436,⑫ミキサー工程入力!$J$6:$J$65,"&gt;0",⑫ミキサー工程入力!$M$6:$M$65,"&gt;0")-SUMIFS(⑫ミキサー工程入力!$J$6:$J$65,⑫ミキサー工程入力!$S$6:$S$65,$J436,⑫ミキサー工程入力!$J$6:$J$65,"&gt;0",⑫ミキサー工程入力!$I$6:$I$65,"&gt;0",⑫ミキサー工程入力!$M$6:$M$65,"&gt;0")+SUMIFS(⑬計量工程入力!$J$6:$J$65,⑬計量工程入力!$S$6:$S$65,$J436,⑬計量工程入力!$J$6:$J$65,"&gt;0",⑬計量工程入力!$M$6:$M$65,"&gt;0")-SUMIFS(⑬計量工程入力!$J$6:$J$65,⑬計量工程入力!$S$6:$S$65,$J436,⑬計量工程入力!$J$6:$J$65,"&gt;0",⑬計量工程入力!$I$6:$I$65,"&gt;0",⑬計量工程入力!$M$6:$M$65,"&gt;0")+SUMIFS(⑭手動工程入力!$J$6:$J$47,⑭手動工程入力!$S$6:$S$47,$J436,⑭手動工程入力!$J$6:$J$47,"&gt;0",⑭手動工程入力!$M$6:$M$47,"&gt;0")-SUMIFS(⑭手動工程入力!$J$6:$J$47,⑭手動工程入力!$S$6:$S$47,$J436,⑭手動工程入力!$J$6:$J$47,"&gt;0",⑭手動工程入力!$I$6:$I$47,"&gt;0",⑭手動工程入力!$M$6:$M$47,"&gt;0"))</f>
        <v/>
      </c>
      <c r="P436" s="392" t="inlineStr">
        <is>
          <t>中間品リスト</t>
        </is>
      </c>
    </row>
    <row r="437">
      <c r="A437" s="392" t="n">
        <v>433</v>
      </c>
      <c r="B437" s="392" t="n"/>
      <c r="C437" s="392" t="n"/>
      <c r="D437" s="409" t="n"/>
      <c r="E437" s="392" t="n"/>
      <c r="F437" s="394" t="n"/>
      <c r="G437" s="392" t="n"/>
      <c r="H437" s="604">
        <f>IFERROR(IF(AND($K437&gt;0,ISNUMBER(IF(OR($D437="g",$D437="ｇ"),IF($M437&gt;0,$L437/$M437/1000,""),IF($D437="kg",IF($M437&gt;0,$L437/$M437,""),IF($D437="",IF($M437&gt;0,$L437/$M437/1000,IF($O437&gt;0,$N437/$O437,"")),IF($O437&gt;0,$N437/$O437,"")))))),IF(OR($D437="g",$D437="ｇ"),IF($M437&gt;0,$L437/$M437/1000,""),IF($D437="kg",IF($M437&gt;0,$L437/$M437,""),IF($D437="",IF($M437&gt;0,$L437/$M437/1000,IF($O437&gt;0,$N437/$O437,"")),IF($O437&gt;0,$N437/$O437,"")))),IF($F437="",IF(OR($E437="",$E437="⑩盛付梱包工程入力"),"",IF(OR($D437="g",$D437="ｇ"),INDEX(⑰工程労務費一覧!$N$5:$N$11,MATCH($E437,⑰工程労務費一覧!$K$5:$K$11,0))/1000,IF($D437="kg",INDEX(⑰工程労務費一覧!$N$5:$N$11,MATCH($E437,⑰工程労務費一覧!$K$5:$K$11,0)),IF(OR($D437="個",$D437="切",$D437="本",$D437="枚",$D437="尾"),IF($E437="⑬計量工程入力","",INDEX(⑰工程労務費一覧!$P$5:$P$11,MATCH($E437,⑰工程労務費一覧!$K$5:$K$11,0))),IF(AND($D437="",OR($E437="②釜工程入力",$E437="③スチコン工程入力")),INDEX(⑰工程労務費一覧!$N$5:$N$11,MATCH($E437,⑰工程労務費一覧!$K$5:$K$11,0))/1000,""))))),IF(OR($D437="g",$D437="ｇ"),INDEX(⑰工程労務費一覧!$H$5:$H$753,MATCH($F437,⑰工程労務費一覧!$D$5:$D$753,0))/1000,IF($D437="kg",INDEX(⑰工程労務費一覧!$H$5:$H$753,MATCH($F437,⑰工程労務費一覧!$D$5:$D$753,0)),INDEX(⑰工程労務費一覧!$I$5:$I$753,MATCH($F437,⑰工程労務費一覧!$D$5:$D$753,0)))))),"")</f>
        <v/>
      </c>
      <c r="I437" s="392">
        <f>IF($K437&gt;0,IF(ISNUMBER(IF(OR($D437="g",$D437="ｇ"),IF($M437&gt;0,$L437/$M437/1000,""),IF($D437="kg",IF($M437&gt;0,$L437/$M437,""),IF($D437="",IF($M437&gt;0,$L437/$M437/1000,IF($O437&gt;0,$N437/$O437,"")),IF($O437&gt;0,$N437/$O437,""))))),IF($D437="",IF($M437&gt;0,"◎ JAN紐づけ(g扱い)","◎ JAN紐づけ(個扱い)"),"◎ JAN紐づけ"),"△ JAN紐づけ済・実績不足→仮計算"),IF($F437="",IF(ISNUMBER($H437),IF($D437="","⑤ 工程平均で仮計算(g扱い)","⑤ 工程平均で仮計算"),IF($E437="⑩盛付梱包工程入力","⑥ 盛り込み(⑳F列で計上)",IF(AND($E437="⑬計量工程入力",OR($D437="個",$D437="切",$D437="本",$D437="枚",$D437="尾")),"① 未紐づけ(カット個単位は仮単価なし)","① 未紐づけ"))),IF(NOT(ISNUMBER($H437)),"② 工程側に単価なし",IF($D437="","③ 単位未設定(個で計算)","④ OK"))))</f>
        <v/>
      </c>
      <c r="J437" s="399">
        <f>IFERROR(LOOKUP(2,1/((中間品リスト!$F$2:$F$1299=$B437)*(中間品リスト!$E$2:$E$1299&lt;&gt;"-")*(中間品リスト!$E$2:$E$1299&lt;&gt;"")),中間品リスト!$E$2:$E$1299),"")</f>
        <v/>
      </c>
      <c r="K437" s="400">
        <f>IF($J437="",0,COUNTIF(②釜工程入力!$S$5:$S$117,$J437)+COUNTIF(③スチコン工程入力!$S$5:$S$152,$J437)+COUNTIF(⑪ZEN工程入力!$S$6:$S$35,$J437)+COUNTIF(⑫ミキサー工程入力!$S$6:$S$65,$J437)+COUNTIF(⑬計量工程入力!$S$6:$S$65,$J437)+COUNTIF(⑭手動工程入力!$S$6:$S$47,$J437))</f>
        <v/>
      </c>
      <c r="L437" s="393">
        <f>IF($J437="",0,SUMIFS(②釜工程入力!$M$5:$M$117,②釜工程入力!$S$5:$S$117,$J437,②釜工程入力!$I$5:$I$117,"&gt;0")+SUMIFS(③スチコン工程入力!$M$5:$M$152,③スチコン工程入力!$S$5:$S$152,$J437,③スチコン工程入力!$I$5:$I$152,"&gt;0")+SUMIFS(⑪ZEN工程入力!$M$6:$M$35,⑪ZEN工程入力!$S$6:$S$35,$J437,⑪ZEN工程入力!$I$6:$I$35,"&gt;0")+SUMIFS(⑫ミキサー工程入力!$M$6:$M$65,⑫ミキサー工程入力!$S$6:$S$65,$J437,⑫ミキサー工程入力!$I$6:$I$65,"&gt;0")+SUMIFS(⑬計量工程入力!$M$6:$M$65,⑬計量工程入力!$S$6:$S$65,$J437,⑬計量工程入力!$I$6:$I$65,"&gt;0")+SUMIFS(⑭手動工程入力!$M$6:$M$47,⑭手動工程入力!$S$6:$S$47,$J437,⑭手動工程入力!$I$6:$I$47,"&gt;0"))</f>
        <v/>
      </c>
      <c r="M437" s="393">
        <f>IF($J437="",0,SUMIFS(②釜工程入力!$I$5:$I$117,②釜工程入力!$S$5:$S$117,$J437,②釜工程入力!$I$5:$I$117,"&gt;0",②釜工程入力!$M$5:$M$117,"&gt;0")+SUMIFS(③スチコン工程入力!$I$5:$I$152,③スチコン工程入力!$S$5:$S$152,$J437,③スチコン工程入力!$I$5:$I$152,"&gt;0",③スチコン工程入力!$M$5:$M$152,"&gt;0")+SUMIFS(⑪ZEN工程入力!$I$6:$I$35,⑪ZEN工程入力!$S$6:$S$35,$J437,⑪ZEN工程入力!$I$6:$I$35,"&gt;0",⑪ZEN工程入力!$M$6:$M$35,"&gt;0")+SUMIFS(⑫ミキサー工程入力!$I$6:$I$65,⑫ミキサー工程入力!$S$6:$S$65,$J437,⑫ミキサー工程入力!$I$6:$I$65,"&gt;0",⑫ミキサー工程入力!$M$6:$M$65,"&gt;0")+SUMIFS(⑬計量工程入力!$I$6:$I$65,⑬計量工程入力!$S$6:$S$65,$J437,⑬計量工程入力!$I$6:$I$65,"&gt;0",⑬計量工程入力!$M$6:$M$65,"&gt;0")+SUMIFS(⑭手動工程入力!$I$6:$I$47,⑭手動工程入力!$S$6:$S$47,$J437,⑭手動工程入力!$I$6:$I$47,"&gt;0",⑭手動工程入力!$M$6:$M$47,"&gt;0"))</f>
        <v/>
      </c>
      <c r="N437" s="393">
        <f>IF($J437="",0,SUMIFS(②釜工程入力!$M$5:$M$117,②釜工程入力!$S$5:$S$117,$J437,②釜工程入力!$J$5:$J$117,"&gt;0")-SUMIFS(②釜工程入力!$M$5:$M$117,②釜工程入力!$S$5:$S$117,$J437,②釜工程入力!$J$5:$J$117,"&gt;0",②釜工程入力!$I$5:$I$117,"&gt;0")+SUMIFS(③スチコン工程入力!$M$5:$M$152,③スチコン工程入力!$S$5:$S$152,$J437,③スチコン工程入力!$J$5:$J$152,"&gt;0")-SUMIFS(③スチコン工程入力!$M$5:$M$152,③スチコン工程入力!$S$5:$S$152,$J437,③スチコン工程入力!$J$5:$J$152,"&gt;0",③スチコン工程入力!$I$5:$I$152,"&gt;0")+SUMIFS(⑪ZEN工程入力!$M$6:$M$35,⑪ZEN工程入力!$S$6:$S$35,$J437,⑪ZEN工程入力!$J$6:$J$35,"&gt;0")-SUMIFS(⑪ZEN工程入力!$M$6:$M$35,⑪ZEN工程入力!$S$6:$S$35,$J437,⑪ZEN工程入力!$J$6:$J$35,"&gt;0",⑪ZEN工程入力!$I$6:$I$35,"&gt;0")+SUMIFS(⑫ミキサー工程入力!$M$6:$M$65,⑫ミキサー工程入力!$S$6:$S$65,$J437,⑫ミキサー工程入力!$J$6:$J$65,"&gt;0")-SUMIFS(⑫ミキサー工程入力!$M$6:$M$65,⑫ミキサー工程入力!$S$6:$S$65,$J437,⑫ミキサー工程入力!$J$6:$J$65,"&gt;0",⑫ミキサー工程入力!$I$6:$I$65,"&gt;0")+SUMIFS(⑬計量工程入力!$M$6:$M$65,⑬計量工程入力!$S$6:$S$65,$J437,⑬計量工程入力!$J$6:$J$65,"&gt;0")-SUMIFS(⑬計量工程入力!$M$6:$M$65,⑬計量工程入力!$S$6:$S$65,$J437,⑬計量工程入力!$J$6:$J$65,"&gt;0",⑬計量工程入力!$I$6:$I$65,"&gt;0")+SUMIFS(⑭手動工程入力!$M$6:$M$47,⑭手動工程入力!$S$6:$S$47,$J437,⑭手動工程入力!$J$6:$J$47,"&gt;0")-SUMIFS(⑭手動工程入力!$M$6:$M$47,⑭手動工程入力!$S$6:$S$47,$J437,⑭手動工程入力!$J$6:$J$47,"&gt;0",⑭手動工程入力!$I$6:$I$47,"&gt;0"))</f>
        <v/>
      </c>
      <c r="O437" s="393">
        <f>IF($J437="",0,SUMIFS(②釜工程入力!$J$5:$J$117,②釜工程入力!$S$5:$S$117,$J437,②釜工程入力!$J$5:$J$117,"&gt;0",②釜工程入力!$M$5:$M$117,"&gt;0")-SUMIFS(②釜工程入力!$J$5:$J$117,②釜工程入力!$S$5:$S$117,$J437,②釜工程入力!$J$5:$J$117,"&gt;0",②釜工程入力!$I$5:$I$117,"&gt;0",②釜工程入力!$M$5:$M$117,"&gt;0")+SUMIFS(③スチコン工程入力!$J$5:$J$152,③スチコン工程入力!$S$5:$S$152,$J437,③スチコン工程入力!$J$5:$J$152,"&gt;0",③スチコン工程入力!$M$5:$M$152,"&gt;0")-SUMIFS(③スチコン工程入力!$J$5:$J$152,③スチコン工程入力!$S$5:$S$152,$J437,③スチコン工程入力!$J$5:$J$152,"&gt;0",③スチコン工程入力!$I$5:$I$152,"&gt;0",③スチコン工程入力!$M$5:$M$152,"&gt;0")+SUMIFS(⑪ZEN工程入力!$J$6:$J$35,⑪ZEN工程入力!$S$6:$S$35,$J437,⑪ZEN工程入力!$J$6:$J$35,"&gt;0",⑪ZEN工程入力!$M$6:$M$35,"&gt;0")-SUMIFS(⑪ZEN工程入力!$J$6:$J$35,⑪ZEN工程入力!$S$6:$S$35,$J437,⑪ZEN工程入力!$J$6:$J$35,"&gt;0",⑪ZEN工程入力!$I$6:$I$35,"&gt;0",⑪ZEN工程入力!$M$6:$M$35,"&gt;0")+SUMIFS(⑫ミキサー工程入力!$J$6:$J$65,⑫ミキサー工程入力!$S$6:$S$65,$J437,⑫ミキサー工程入力!$J$6:$J$65,"&gt;0",⑫ミキサー工程入力!$M$6:$M$65,"&gt;0")-SUMIFS(⑫ミキサー工程入力!$J$6:$J$65,⑫ミキサー工程入力!$S$6:$S$65,$J437,⑫ミキサー工程入力!$J$6:$J$65,"&gt;0",⑫ミキサー工程入力!$I$6:$I$65,"&gt;0",⑫ミキサー工程入力!$M$6:$M$65,"&gt;0")+SUMIFS(⑬計量工程入力!$J$6:$J$65,⑬計量工程入力!$S$6:$S$65,$J437,⑬計量工程入力!$J$6:$J$65,"&gt;0",⑬計量工程入力!$M$6:$M$65,"&gt;0")-SUMIFS(⑬計量工程入力!$J$6:$J$65,⑬計量工程入力!$S$6:$S$65,$J437,⑬計量工程入力!$J$6:$J$65,"&gt;0",⑬計量工程入力!$I$6:$I$65,"&gt;0",⑬計量工程入力!$M$6:$M$65,"&gt;0")+SUMIFS(⑭手動工程入力!$J$6:$J$47,⑭手動工程入力!$S$6:$S$47,$J437,⑭手動工程入力!$J$6:$J$47,"&gt;0",⑭手動工程入力!$M$6:$M$47,"&gt;0")-SUMIFS(⑭手動工程入力!$J$6:$J$47,⑭手動工程入力!$S$6:$S$47,$J437,⑭手動工程入力!$J$6:$J$47,"&gt;0",⑭手動工程入力!$I$6:$I$47,"&gt;0",⑭手動工程入力!$M$6:$M$47,"&gt;0"))</f>
        <v/>
      </c>
      <c r="P437" s="392" t="inlineStr">
        <is>
          <t>中間品リスト</t>
        </is>
      </c>
    </row>
    <row r="438">
      <c r="A438" s="392" t="n">
        <v>434</v>
      </c>
      <c r="B438" s="392" t="n"/>
      <c r="C438" s="392" t="n"/>
      <c r="D438" s="409" t="n"/>
      <c r="E438" s="392" t="n"/>
      <c r="F438" s="394" t="n"/>
      <c r="G438" s="392" t="n"/>
      <c r="H438" s="604">
        <f>IFERROR(IF(AND($K438&gt;0,ISNUMBER(IF(OR($D438="g",$D438="ｇ"),IF($M438&gt;0,$L438/$M438/1000,""),IF($D438="kg",IF($M438&gt;0,$L438/$M438,""),IF($D438="",IF($M438&gt;0,$L438/$M438/1000,IF($O438&gt;0,$N438/$O438,"")),IF($O438&gt;0,$N438/$O438,"")))))),IF(OR($D438="g",$D438="ｇ"),IF($M438&gt;0,$L438/$M438/1000,""),IF($D438="kg",IF($M438&gt;0,$L438/$M438,""),IF($D438="",IF($M438&gt;0,$L438/$M438/1000,IF($O438&gt;0,$N438/$O438,"")),IF($O438&gt;0,$N438/$O438,"")))),IF($F438="",IF(OR($E438="",$E438="⑩盛付梱包工程入力"),"",IF(OR($D438="g",$D438="ｇ"),INDEX(⑰工程労務費一覧!$N$5:$N$11,MATCH($E438,⑰工程労務費一覧!$K$5:$K$11,0))/1000,IF($D438="kg",INDEX(⑰工程労務費一覧!$N$5:$N$11,MATCH($E438,⑰工程労務費一覧!$K$5:$K$11,0)),IF(OR($D438="個",$D438="切",$D438="本",$D438="枚",$D438="尾"),IF($E438="⑬計量工程入力","",INDEX(⑰工程労務費一覧!$P$5:$P$11,MATCH($E438,⑰工程労務費一覧!$K$5:$K$11,0))),IF(AND($D438="",OR($E438="②釜工程入力",$E438="③スチコン工程入力")),INDEX(⑰工程労務費一覧!$N$5:$N$11,MATCH($E438,⑰工程労務費一覧!$K$5:$K$11,0))/1000,""))))),IF(OR($D438="g",$D438="ｇ"),INDEX(⑰工程労務費一覧!$H$5:$H$753,MATCH($F438,⑰工程労務費一覧!$D$5:$D$753,0))/1000,IF($D438="kg",INDEX(⑰工程労務費一覧!$H$5:$H$753,MATCH($F438,⑰工程労務費一覧!$D$5:$D$753,0)),INDEX(⑰工程労務費一覧!$I$5:$I$753,MATCH($F438,⑰工程労務費一覧!$D$5:$D$753,0)))))),"")</f>
        <v/>
      </c>
      <c r="I438" s="392">
        <f>IF($K438&gt;0,IF(ISNUMBER(IF(OR($D438="g",$D438="ｇ"),IF($M438&gt;0,$L438/$M438/1000,""),IF($D438="kg",IF($M438&gt;0,$L438/$M438,""),IF($D438="",IF($M438&gt;0,$L438/$M438/1000,IF($O438&gt;0,$N438/$O438,"")),IF($O438&gt;0,$N438/$O438,""))))),IF($D438="",IF($M438&gt;0,"◎ JAN紐づけ(g扱い)","◎ JAN紐づけ(個扱い)"),"◎ JAN紐づけ"),"△ JAN紐づけ済・実績不足→仮計算"),IF($F438="",IF(ISNUMBER($H438),IF($D438="","⑤ 工程平均で仮計算(g扱い)","⑤ 工程平均で仮計算"),IF($E438="⑩盛付梱包工程入力","⑥ 盛り込み(⑳F列で計上)",IF(AND($E438="⑬計量工程入力",OR($D438="個",$D438="切",$D438="本",$D438="枚",$D438="尾")),"① 未紐づけ(カット個単位は仮単価なし)","① 未紐づけ"))),IF(NOT(ISNUMBER($H438)),"② 工程側に単価なし",IF($D438="","③ 単位未設定(個で計算)","④ OK"))))</f>
        <v/>
      </c>
      <c r="J438" s="399">
        <f>IFERROR(LOOKUP(2,1/((中間品リスト!$F$2:$F$1299=$B438)*(中間品リスト!$E$2:$E$1299&lt;&gt;"-")*(中間品リスト!$E$2:$E$1299&lt;&gt;"")),中間品リスト!$E$2:$E$1299),"")</f>
        <v/>
      </c>
      <c r="K438" s="400">
        <f>IF($J438="",0,COUNTIF(②釜工程入力!$S$5:$S$117,$J438)+COUNTIF(③スチコン工程入力!$S$5:$S$152,$J438)+COUNTIF(⑪ZEN工程入力!$S$6:$S$35,$J438)+COUNTIF(⑫ミキサー工程入力!$S$6:$S$65,$J438)+COUNTIF(⑬計量工程入力!$S$6:$S$65,$J438)+COUNTIF(⑭手動工程入力!$S$6:$S$47,$J438))</f>
        <v/>
      </c>
      <c r="L438" s="393">
        <f>IF($J438="",0,SUMIFS(②釜工程入力!$M$5:$M$117,②釜工程入力!$S$5:$S$117,$J438,②釜工程入力!$I$5:$I$117,"&gt;0")+SUMIFS(③スチコン工程入力!$M$5:$M$152,③スチコン工程入力!$S$5:$S$152,$J438,③スチコン工程入力!$I$5:$I$152,"&gt;0")+SUMIFS(⑪ZEN工程入力!$M$6:$M$35,⑪ZEN工程入力!$S$6:$S$35,$J438,⑪ZEN工程入力!$I$6:$I$35,"&gt;0")+SUMIFS(⑫ミキサー工程入力!$M$6:$M$65,⑫ミキサー工程入力!$S$6:$S$65,$J438,⑫ミキサー工程入力!$I$6:$I$65,"&gt;0")+SUMIFS(⑬計量工程入力!$M$6:$M$65,⑬計量工程入力!$S$6:$S$65,$J438,⑬計量工程入力!$I$6:$I$65,"&gt;0")+SUMIFS(⑭手動工程入力!$M$6:$M$47,⑭手動工程入力!$S$6:$S$47,$J438,⑭手動工程入力!$I$6:$I$47,"&gt;0"))</f>
        <v/>
      </c>
      <c r="M438" s="393">
        <f>IF($J438="",0,SUMIFS(②釜工程入力!$I$5:$I$117,②釜工程入力!$S$5:$S$117,$J438,②釜工程入力!$I$5:$I$117,"&gt;0",②釜工程入力!$M$5:$M$117,"&gt;0")+SUMIFS(③スチコン工程入力!$I$5:$I$152,③スチコン工程入力!$S$5:$S$152,$J438,③スチコン工程入力!$I$5:$I$152,"&gt;0",③スチコン工程入力!$M$5:$M$152,"&gt;0")+SUMIFS(⑪ZEN工程入力!$I$6:$I$35,⑪ZEN工程入力!$S$6:$S$35,$J438,⑪ZEN工程入力!$I$6:$I$35,"&gt;0",⑪ZEN工程入力!$M$6:$M$35,"&gt;0")+SUMIFS(⑫ミキサー工程入力!$I$6:$I$65,⑫ミキサー工程入力!$S$6:$S$65,$J438,⑫ミキサー工程入力!$I$6:$I$65,"&gt;0",⑫ミキサー工程入力!$M$6:$M$65,"&gt;0")+SUMIFS(⑬計量工程入力!$I$6:$I$65,⑬計量工程入力!$S$6:$S$65,$J438,⑬計量工程入力!$I$6:$I$65,"&gt;0",⑬計量工程入力!$M$6:$M$65,"&gt;0")+SUMIFS(⑭手動工程入力!$I$6:$I$47,⑭手動工程入力!$S$6:$S$47,$J438,⑭手動工程入力!$I$6:$I$47,"&gt;0",⑭手動工程入力!$M$6:$M$47,"&gt;0"))</f>
        <v/>
      </c>
      <c r="N438" s="393">
        <f>IF($J438="",0,SUMIFS(②釜工程入力!$M$5:$M$117,②釜工程入力!$S$5:$S$117,$J438,②釜工程入力!$J$5:$J$117,"&gt;0")-SUMIFS(②釜工程入力!$M$5:$M$117,②釜工程入力!$S$5:$S$117,$J438,②釜工程入力!$J$5:$J$117,"&gt;0",②釜工程入力!$I$5:$I$117,"&gt;0")+SUMIFS(③スチコン工程入力!$M$5:$M$152,③スチコン工程入力!$S$5:$S$152,$J438,③スチコン工程入力!$J$5:$J$152,"&gt;0")-SUMIFS(③スチコン工程入力!$M$5:$M$152,③スチコン工程入力!$S$5:$S$152,$J438,③スチコン工程入力!$J$5:$J$152,"&gt;0",③スチコン工程入力!$I$5:$I$152,"&gt;0")+SUMIFS(⑪ZEN工程入力!$M$6:$M$35,⑪ZEN工程入力!$S$6:$S$35,$J438,⑪ZEN工程入力!$J$6:$J$35,"&gt;0")-SUMIFS(⑪ZEN工程入力!$M$6:$M$35,⑪ZEN工程入力!$S$6:$S$35,$J438,⑪ZEN工程入力!$J$6:$J$35,"&gt;0",⑪ZEN工程入力!$I$6:$I$35,"&gt;0")+SUMIFS(⑫ミキサー工程入力!$M$6:$M$65,⑫ミキサー工程入力!$S$6:$S$65,$J438,⑫ミキサー工程入力!$J$6:$J$65,"&gt;0")-SUMIFS(⑫ミキサー工程入力!$M$6:$M$65,⑫ミキサー工程入力!$S$6:$S$65,$J438,⑫ミキサー工程入力!$J$6:$J$65,"&gt;0",⑫ミキサー工程入力!$I$6:$I$65,"&gt;0")+SUMIFS(⑬計量工程入力!$M$6:$M$65,⑬計量工程入力!$S$6:$S$65,$J438,⑬計量工程入力!$J$6:$J$65,"&gt;0")-SUMIFS(⑬計量工程入力!$M$6:$M$65,⑬計量工程入力!$S$6:$S$65,$J438,⑬計量工程入力!$J$6:$J$65,"&gt;0",⑬計量工程入力!$I$6:$I$65,"&gt;0")+SUMIFS(⑭手動工程入力!$M$6:$M$47,⑭手動工程入力!$S$6:$S$47,$J438,⑭手動工程入力!$J$6:$J$47,"&gt;0")-SUMIFS(⑭手動工程入力!$M$6:$M$47,⑭手動工程入力!$S$6:$S$47,$J438,⑭手動工程入力!$J$6:$J$47,"&gt;0",⑭手動工程入力!$I$6:$I$47,"&gt;0"))</f>
        <v/>
      </c>
      <c r="O438" s="393">
        <f>IF($J438="",0,SUMIFS(②釜工程入力!$J$5:$J$117,②釜工程入力!$S$5:$S$117,$J438,②釜工程入力!$J$5:$J$117,"&gt;0",②釜工程入力!$M$5:$M$117,"&gt;0")-SUMIFS(②釜工程入力!$J$5:$J$117,②釜工程入力!$S$5:$S$117,$J438,②釜工程入力!$J$5:$J$117,"&gt;0",②釜工程入力!$I$5:$I$117,"&gt;0",②釜工程入力!$M$5:$M$117,"&gt;0")+SUMIFS(③スチコン工程入力!$J$5:$J$152,③スチコン工程入力!$S$5:$S$152,$J438,③スチコン工程入力!$J$5:$J$152,"&gt;0",③スチコン工程入力!$M$5:$M$152,"&gt;0")-SUMIFS(③スチコン工程入力!$J$5:$J$152,③スチコン工程入力!$S$5:$S$152,$J438,③スチコン工程入力!$J$5:$J$152,"&gt;0",③スチコン工程入力!$I$5:$I$152,"&gt;0",③スチコン工程入力!$M$5:$M$152,"&gt;0")+SUMIFS(⑪ZEN工程入力!$J$6:$J$35,⑪ZEN工程入力!$S$6:$S$35,$J438,⑪ZEN工程入力!$J$6:$J$35,"&gt;0",⑪ZEN工程入力!$M$6:$M$35,"&gt;0")-SUMIFS(⑪ZEN工程入力!$J$6:$J$35,⑪ZEN工程入力!$S$6:$S$35,$J438,⑪ZEN工程入力!$J$6:$J$35,"&gt;0",⑪ZEN工程入力!$I$6:$I$35,"&gt;0",⑪ZEN工程入力!$M$6:$M$35,"&gt;0")+SUMIFS(⑫ミキサー工程入力!$J$6:$J$65,⑫ミキサー工程入力!$S$6:$S$65,$J438,⑫ミキサー工程入力!$J$6:$J$65,"&gt;0",⑫ミキサー工程入力!$M$6:$M$65,"&gt;0")-SUMIFS(⑫ミキサー工程入力!$J$6:$J$65,⑫ミキサー工程入力!$S$6:$S$65,$J438,⑫ミキサー工程入力!$J$6:$J$65,"&gt;0",⑫ミキサー工程入力!$I$6:$I$65,"&gt;0",⑫ミキサー工程入力!$M$6:$M$65,"&gt;0")+SUMIFS(⑬計量工程入力!$J$6:$J$65,⑬計量工程入力!$S$6:$S$65,$J438,⑬計量工程入力!$J$6:$J$65,"&gt;0",⑬計量工程入力!$M$6:$M$65,"&gt;0")-SUMIFS(⑬計量工程入力!$J$6:$J$65,⑬計量工程入力!$S$6:$S$65,$J438,⑬計量工程入力!$J$6:$J$65,"&gt;0",⑬計量工程入力!$I$6:$I$65,"&gt;0",⑬計量工程入力!$M$6:$M$65,"&gt;0")+SUMIFS(⑭手動工程入力!$J$6:$J$47,⑭手動工程入力!$S$6:$S$47,$J438,⑭手動工程入力!$J$6:$J$47,"&gt;0",⑭手動工程入力!$M$6:$M$47,"&gt;0")-SUMIFS(⑭手動工程入力!$J$6:$J$47,⑭手動工程入力!$S$6:$S$47,$J438,⑭手動工程入力!$J$6:$J$47,"&gt;0",⑭手動工程入力!$I$6:$I$47,"&gt;0",⑭手動工程入力!$M$6:$M$47,"&gt;0"))</f>
        <v/>
      </c>
      <c r="P438" s="392" t="inlineStr">
        <is>
          <t>中間品リスト</t>
        </is>
      </c>
    </row>
    <row r="439">
      <c r="A439" s="392" t="n">
        <v>435</v>
      </c>
      <c r="B439" s="392" t="n"/>
      <c r="C439" s="392" t="n"/>
      <c r="D439" s="409" t="n"/>
      <c r="E439" s="392" t="n"/>
      <c r="F439" s="394" t="n"/>
      <c r="G439" s="392" t="n"/>
      <c r="H439" s="604">
        <f>IFERROR(IF(AND($K439&gt;0,ISNUMBER(IF(OR($D439="g",$D439="ｇ"),IF($M439&gt;0,$L439/$M439/1000,""),IF($D439="kg",IF($M439&gt;0,$L439/$M439,""),IF($D439="",IF($M439&gt;0,$L439/$M439/1000,IF($O439&gt;0,$N439/$O439,"")),IF($O439&gt;0,$N439/$O439,"")))))),IF(OR($D439="g",$D439="ｇ"),IF($M439&gt;0,$L439/$M439/1000,""),IF($D439="kg",IF($M439&gt;0,$L439/$M439,""),IF($D439="",IF($M439&gt;0,$L439/$M439/1000,IF($O439&gt;0,$N439/$O439,"")),IF($O439&gt;0,$N439/$O439,"")))),IF($F439="",IF(OR($E439="",$E439="⑩盛付梱包工程入力"),"",IF(OR($D439="g",$D439="ｇ"),INDEX(⑰工程労務費一覧!$N$5:$N$11,MATCH($E439,⑰工程労務費一覧!$K$5:$K$11,0))/1000,IF($D439="kg",INDEX(⑰工程労務費一覧!$N$5:$N$11,MATCH($E439,⑰工程労務費一覧!$K$5:$K$11,0)),IF(OR($D439="個",$D439="切",$D439="本",$D439="枚",$D439="尾"),IF($E439="⑬計量工程入力","",INDEX(⑰工程労務費一覧!$P$5:$P$11,MATCH($E439,⑰工程労務費一覧!$K$5:$K$11,0))),IF(AND($D439="",OR($E439="②釜工程入力",$E439="③スチコン工程入力")),INDEX(⑰工程労務費一覧!$N$5:$N$11,MATCH($E439,⑰工程労務費一覧!$K$5:$K$11,0))/1000,""))))),IF(OR($D439="g",$D439="ｇ"),INDEX(⑰工程労務費一覧!$H$5:$H$753,MATCH($F439,⑰工程労務費一覧!$D$5:$D$753,0))/1000,IF($D439="kg",INDEX(⑰工程労務費一覧!$H$5:$H$753,MATCH($F439,⑰工程労務費一覧!$D$5:$D$753,0)),INDEX(⑰工程労務費一覧!$I$5:$I$753,MATCH($F439,⑰工程労務費一覧!$D$5:$D$753,0)))))),"")</f>
        <v/>
      </c>
      <c r="I439" s="392">
        <f>IF($K439&gt;0,IF(ISNUMBER(IF(OR($D439="g",$D439="ｇ"),IF($M439&gt;0,$L439/$M439/1000,""),IF($D439="kg",IF($M439&gt;0,$L439/$M439,""),IF($D439="",IF($M439&gt;0,$L439/$M439/1000,IF($O439&gt;0,$N439/$O439,"")),IF($O439&gt;0,$N439/$O439,""))))),IF($D439="",IF($M439&gt;0,"◎ JAN紐づけ(g扱い)","◎ JAN紐づけ(個扱い)"),"◎ JAN紐づけ"),"△ JAN紐づけ済・実績不足→仮計算"),IF($F439="",IF(ISNUMBER($H439),IF($D439="","⑤ 工程平均で仮計算(g扱い)","⑤ 工程平均で仮計算"),IF($E439="⑩盛付梱包工程入力","⑥ 盛り込み(⑳F列で計上)",IF(AND($E439="⑬計量工程入力",OR($D439="個",$D439="切",$D439="本",$D439="枚",$D439="尾")),"① 未紐づけ(カット個単位は仮単価なし)","① 未紐づけ"))),IF(NOT(ISNUMBER($H439)),"② 工程側に単価なし",IF($D439="","③ 単位未設定(個で計算)","④ OK"))))</f>
        <v/>
      </c>
      <c r="J439" s="399">
        <f>IFERROR(LOOKUP(2,1/((中間品リスト!$F$2:$F$1299=$B439)*(中間品リスト!$E$2:$E$1299&lt;&gt;"-")*(中間品リスト!$E$2:$E$1299&lt;&gt;"")),中間品リスト!$E$2:$E$1299),"")</f>
        <v/>
      </c>
      <c r="K439" s="400">
        <f>IF($J439="",0,COUNTIF(②釜工程入力!$S$5:$S$117,$J439)+COUNTIF(③スチコン工程入力!$S$5:$S$152,$J439)+COUNTIF(⑪ZEN工程入力!$S$6:$S$35,$J439)+COUNTIF(⑫ミキサー工程入力!$S$6:$S$65,$J439)+COUNTIF(⑬計量工程入力!$S$6:$S$65,$J439)+COUNTIF(⑭手動工程入力!$S$6:$S$47,$J439))</f>
        <v/>
      </c>
      <c r="L439" s="393">
        <f>IF($J439="",0,SUMIFS(②釜工程入力!$M$5:$M$117,②釜工程入力!$S$5:$S$117,$J439,②釜工程入力!$I$5:$I$117,"&gt;0")+SUMIFS(③スチコン工程入力!$M$5:$M$152,③スチコン工程入力!$S$5:$S$152,$J439,③スチコン工程入力!$I$5:$I$152,"&gt;0")+SUMIFS(⑪ZEN工程入力!$M$6:$M$35,⑪ZEN工程入力!$S$6:$S$35,$J439,⑪ZEN工程入力!$I$6:$I$35,"&gt;0")+SUMIFS(⑫ミキサー工程入力!$M$6:$M$65,⑫ミキサー工程入力!$S$6:$S$65,$J439,⑫ミキサー工程入力!$I$6:$I$65,"&gt;0")+SUMIFS(⑬計量工程入力!$M$6:$M$65,⑬計量工程入力!$S$6:$S$65,$J439,⑬計量工程入力!$I$6:$I$65,"&gt;0")+SUMIFS(⑭手動工程入力!$M$6:$M$47,⑭手動工程入力!$S$6:$S$47,$J439,⑭手動工程入力!$I$6:$I$47,"&gt;0"))</f>
        <v/>
      </c>
      <c r="M439" s="393">
        <f>IF($J439="",0,SUMIFS(②釜工程入力!$I$5:$I$117,②釜工程入力!$S$5:$S$117,$J439,②釜工程入力!$I$5:$I$117,"&gt;0",②釜工程入力!$M$5:$M$117,"&gt;0")+SUMIFS(③スチコン工程入力!$I$5:$I$152,③スチコン工程入力!$S$5:$S$152,$J439,③スチコン工程入力!$I$5:$I$152,"&gt;0",③スチコン工程入力!$M$5:$M$152,"&gt;0")+SUMIFS(⑪ZEN工程入力!$I$6:$I$35,⑪ZEN工程入力!$S$6:$S$35,$J439,⑪ZEN工程入力!$I$6:$I$35,"&gt;0",⑪ZEN工程入力!$M$6:$M$35,"&gt;0")+SUMIFS(⑫ミキサー工程入力!$I$6:$I$65,⑫ミキサー工程入力!$S$6:$S$65,$J439,⑫ミキサー工程入力!$I$6:$I$65,"&gt;0",⑫ミキサー工程入力!$M$6:$M$65,"&gt;0")+SUMIFS(⑬計量工程入力!$I$6:$I$65,⑬計量工程入力!$S$6:$S$65,$J439,⑬計量工程入力!$I$6:$I$65,"&gt;0",⑬計量工程入力!$M$6:$M$65,"&gt;0")+SUMIFS(⑭手動工程入力!$I$6:$I$47,⑭手動工程入力!$S$6:$S$47,$J439,⑭手動工程入力!$I$6:$I$47,"&gt;0",⑭手動工程入力!$M$6:$M$47,"&gt;0"))</f>
        <v/>
      </c>
      <c r="N439" s="393">
        <f>IF($J439="",0,SUMIFS(②釜工程入力!$M$5:$M$117,②釜工程入力!$S$5:$S$117,$J439,②釜工程入力!$J$5:$J$117,"&gt;0")-SUMIFS(②釜工程入力!$M$5:$M$117,②釜工程入力!$S$5:$S$117,$J439,②釜工程入力!$J$5:$J$117,"&gt;0",②釜工程入力!$I$5:$I$117,"&gt;0")+SUMIFS(③スチコン工程入力!$M$5:$M$152,③スチコン工程入力!$S$5:$S$152,$J439,③スチコン工程入力!$J$5:$J$152,"&gt;0")-SUMIFS(③スチコン工程入力!$M$5:$M$152,③スチコン工程入力!$S$5:$S$152,$J439,③スチコン工程入力!$J$5:$J$152,"&gt;0",③スチコン工程入力!$I$5:$I$152,"&gt;0")+SUMIFS(⑪ZEN工程入力!$M$6:$M$35,⑪ZEN工程入力!$S$6:$S$35,$J439,⑪ZEN工程入力!$J$6:$J$35,"&gt;0")-SUMIFS(⑪ZEN工程入力!$M$6:$M$35,⑪ZEN工程入力!$S$6:$S$35,$J439,⑪ZEN工程入力!$J$6:$J$35,"&gt;0",⑪ZEN工程入力!$I$6:$I$35,"&gt;0")+SUMIFS(⑫ミキサー工程入力!$M$6:$M$65,⑫ミキサー工程入力!$S$6:$S$65,$J439,⑫ミキサー工程入力!$J$6:$J$65,"&gt;0")-SUMIFS(⑫ミキサー工程入力!$M$6:$M$65,⑫ミキサー工程入力!$S$6:$S$65,$J439,⑫ミキサー工程入力!$J$6:$J$65,"&gt;0",⑫ミキサー工程入力!$I$6:$I$65,"&gt;0")+SUMIFS(⑬計量工程入力!$M$6:$M$65,⑬計量工程入力!$S$6:$S$65,$J439,⑬計量工程入力!$J$6:$J$65,"&gt;0")-SUMIFS(⑬計量工程入力!$M$6:$M$65,⑬計量工程入力!$S$6:$S$65,$J439,⑬計量工程入力!$J$6:$J$65,"&gt;0",⑬計量工程入力!$I$6:$I$65,"&gt;0")+SUMIFS(⑭手動工程入力!$M$6:$M$47,⑭手動工程入力!$S$6:$S$47,$J439,⑭手動工程入力!$J$6:$J$47,"&gt;0")-SUMIFS(⑭手動工程入力!$M$6:$M$47,⑭手動工程入力!$S$6:$S$47,$J439,⑭手動工程入力!$J$6:$J$47,"&gt;0",⑭手動工程入力!$I$6:$I$47,"&gt;0"))</f>
        <v/>
      </c>
      <c r="O439" s="393">
        <f>IF($J439="",0,SUMIFS(②釜工程入力!$J$5:$J$117,②釜工程入力!$S$5:$S$117,$J439,②釜工程入力!$J$5:$J$117,"&gt;0",②釜工程入力!$M$5:$M$117,"&gt;0")-SUMIFS(②釜工程入力!$J$5:$J$117,②釜工程入力!$S$5:$S$117,$J439,②釜工程入力!$J$5:$J$117,"&gt;0",②釜工程入力!$I$5:$I$117,"&gt;0",②釜工程入力!$M$5:$M$117,"&gt;0")+SUMIFS(③スチコン工程入力!$J$5:$J$152,③スチコン工程入力!$S$5:$S$152,$J439,③スチコン工程入力!$J$5:$J$152,"&gt;0",③スチコン工程入力!$M$5:$M$152,"&gt;0")-SUMIFS(③スチコン工程入力!$J$5:$J$152,③スチコン工程入力!$S$5:$S$152,$J439,③スチコン工程入力!$J$5:$J$152,"&gt;0",③スチコン工程入力!$I$5:$I$152,"&gt;0",③スチコン工程入力!$M$5:$M$152,"&gt;0")+SUMIFS(⑪ZEN工程入力!$J$6:$J$35,⑪ZEN工程入力!$S$6:$S$35,$J439,⑪ZEN工程入力!$J$6:$J$35,"&gt;0",⑪ZEN工程入力!$M$6:$M$35,"&gt;0")-SUMIFS(⑪ZEN工程入力!$J$6:$J$35,⑪ZEN工程入力!$S$6:$S$35,$J439,⑪ZEN工程入力!$J$6:$J$35,"&gt;0",⑪ZEN工程入力!$I$6:$I$35,"&gt;0",⑪ZEN工程入力!$M$6:$M$35,"&gt;0")+SUMIFS(⑫ミキサー工程入力!$J$6:$J$65,⑫ミキサー工程入力!$S$6:$S$65,$J439,⑫ミキサー工程入力!$J$6:$J$65,"&gt;0",⑫ミキサー工程入力!$M$6:$M$65,"&gt;0")-SUMIFS(⑫ミキサー工程入力!$J$6:$J$65,⑫ミキサー工程入力!$S$6:$S$65,$J439,⑫ミキサー工程入力!$J$6:$J$65,"&gt;0",⑫ミキサー工程入力!$I$6:$I$65,"&gt;0",⑫ミキサー工程入力!$M$6:$M$65,"&gt;0")+SUMIFS(⑬計量工程入力!$J$6:$J$65,⑬計量工程入力!$S$6:$S$65,$J439,⑬計量工程入力!$J$6:$J$65,"&gt;0",⑬計量工程入力!$M$6:$M$65,"&gt;0")-SUMIFS(⑬計量工程入力!$J$6:$J$65,⑬計量工程入力!$S$6:$S$65,$J439,⑬計量工程入力!$J$6:$J$65,"&gt;0",⑬計量工程入力!$I$6:$I$65,"&gt;0",⑬計量工程入力!$M$6:$M$65,"&gt;0")+SUMIFS(⑭手動工程入力!$J$6:$J$47,⑭手動工程入力!$S$6:$S$47,$J439,⑭手動工程入力!$J$6:$J$47,"&gt;0",⑭手動工程入力!$M$6:$M$47,"&gt;0")-SUMIFS(⑭手動工程入力!$J$6:$J$47,⑭手動工程入力!$S$6:$S$47,$J439,⑭手動工程入力!$J$6:$J$47,"&gt;0",⑭手動工程入力!$I$6:$I$47,"&gt;0",⑭手動工程入力!$M$6:$M$47,"&gt;0"))</f>
        <v/>
      </c>
      <c r="P439" s="392" t="inlineStr">
        <is>
          <t>中間品リスト</t>
        </is>
      </c>
    </row>
    <row r="440">
      <c r="A440" s="392" t="n">
        <v>436</v>
      </c>
      <c r="B440" s="392" t="n"/>
      <c r="C440" s="392" t="n"/>
      <c r="D440" s="409" t="n"/>
      <c r="E440" s="392" t="n"/>
      <c r="F440" s="394" t="n"/>
      <c r="G440" s="392" t="n"/>
      <c r="H440" s="604">
        <f>IFERROR(IF(AND($K440&gt;0,ISNUMBER(IF(OR($D440="g",$D440="ｇ"),IF($M440&gt;0,$L440/$M440/1000,""),IF($D440="kg",IF($M440&gt;0,$L440/$M440,""),IF($D440="",IF($M440&gt;0,$L440/$M440/1000,IF($O440&gt;0,$N440/$O440,"")),IF($O440&gt;0,$N440/$O440,"")))))),IF(OR($D440="g",$D440="ｇ"),IF($M440&gt;0,$L440/$M440/1000,""),IF($D440="kg",IF($M440&gt;0,$L440/$M440,""),IF($D440="",IF($M440&gt;0,$L440/$M440/1000,IF($O440&gt;0,$N440/$O440,"")),IF($O440&gt;0,$N440/$O440,"")))),IF($F440="",IF(OR($E440="",$E440="⑩盛付梱包工程入力"),"",IF(OR($D440="g",$D440="ｇ"),INDEX(⑰工程労務費一覧!$N$5:$N$11,MATCH($E440,⑰工程労務費一覧!$K$5:$K$11,0))/1000,IF($D440="kg",INDEX(⑰工程労務費一覧!$N$5:$N$11,MATCH($E440,⑰工程労務費一覧!$K$5:$K$11,0)),IF(OR($D440="個",$D440="切",$D440="本",$D440="枚",$D440="尾"),IF($E440="⑬計量工程入力","",INDEX(⑰工程労務費一覧!$P$5:$P$11,MATCH($E440,⑰工程労務費一覧!$K$5:$K$11,0))),IF(AND($D440="",OR($E440="②釜工程入力",$E440="③スチコン工程入力")),INDEX(⑰工程労務費一覧!$N$5:$N$11,MATCH($E440,⑰工程労務費一覧!$K$5:$K$11,0))/1000,""))))),IF(OR($D440="g",$D440="ｇ"),INDEX(⑰工程労務費一覧!$H$5:$H$753,MATCH($F440,⑰工程労務費一覧!$D$5:$D$753,0))/1000,IF($D440="kg",INDEX(⑰工程労務費一覧!$H$5:$H$753,MATCH($F440,⑰工程労務費一覧!$D$5:$D$753,0)),INDEX(⑰工程労務費一覧!$I$5:$I$753,MATCH($F440,⑰工程労務費一覧!$D$5:$D$753,0)))))),"")</f>
        <v/>
      </c>
      <c r="I440" s="392">
        <f>IF($K440&gt;0,IF(ISNUMBER(IF(OR($D440="g",$D440="ｇ"),IF($M440&gt;0,$L440/$M440/1000,""),IF($D440="kg",IF($M440&gt;0,$L440/$M440,""),IF($D440="",IF($M440&gt;0,$L440/$M440/1000,IF($O440&gt;0,$N440/$O440,"")),IF($O440&gt;0,$N440/$O440,""))))),IF($D440="",IF($M440&gt;0,"◎ JAN紐づけ(g扱い)","◎ JAN紐づけ(個扱い)"),"◎ JAN紐づけ"),"△ JAN紐づけ済・実績不足→仮計算"),IF($F440="",IF(ISNUMBER($H440),IF($D440="","⑤ 工程平均で仮計算(g扱い)","⑤ 工程平均で仮計算"),IF($E440="⑩盛付梱包工程入力","⑥ 盛り込み(⑳F列で計上)",IF(AND($E440="⑬計量工程入力",OR($D440="個",$D440="切",$D440="本",$D440="枚",$D440="尾")),"① 未紐づけ(カット個単位は仮単価なし)","① 未紐づけ"))),IF(NOT(ISNUMBER($H440)),"② 工程側に単価なし",IF($D440="","③ 単位未設定(個で計算)","④ OK"))))</f>
        <v/>
      </c>
      <c r="J440" s="399">
        <f>IFERROR(LOOKUP(2,1/((中間品リスト!$F$2:$F$1299=$B440)*(中間品リスト!$E$2:$E$1299&lt;&gt;"-")*(中間品リスト!$E$2:$E$1299&lt;&gt;"")),中間品リスト!$E$2:$E$1299),"")</f>
        <v/>
      </c>
      <c r="K440" s="400">
        <f>IF($J440="",0,COUNTIF(②釜工程入力!$S$5:$S$117,$J440)+COUNTIF(③スチコン工程入力!$S$5:$S$152,$J440)+COUNTIF(⑪ZEN工程入力!$S$6:$S$35,$J440)+COUNTIF(⑫ミキサー工程入力!$S$6:$S$65,$J440)+COUNTIF(⑬計量工程入力!$S$6:$S$65,$J440)+COUNTIF(⑭手動工程入力!$S$6:$S$47,$J440))</f>
        <v/>
      </c>
      <c r="L440" s="393">
        <f>IF($J440="",0,SUMIFS(②釜工程入力!$M$5:$M$117,②釜工程入力!$S$5:$S$117,$J440,②釜工程入力!$I$5:$I$117,"&gt;0")+SUMIFS(③スチコン工程入力!$M$5:$M$152,③スチコン工程入力!$S$5:$S$152,$J440,③スチコン工程入力!$I$5:$I$152,"&gt;0")+SUMIFS(⑪ZEN工程入力!$M$6:$M$35,⑪ZEN工程入力!$S$6:$S$35,$J440,⑪ZEN工程入力!$I$6:$I$35,"&gt;0")+SUMIFS(⑫ミキサー工程入力!$M$6:$M$65,⑫ミキサー工程入力!$S$6:$S$65,$J440,⑫ミキサー工程入力!$I$6:$I$65,"&gt;0")+SUMIFS(⑬計量工程入力!$M$6:$M$65,⑬計量工程入力!$S$6:$S$65,$J440,⑬計量工程入力!$I$6:$I$65,"&gt;0")+SUMIFS(⑭手動工程入力!$M$6:$M$47,⑭手動工程入力!$S$6:$S$47,$J440,⑭手動工程入力!$I$6:$I$47,"&gt;0"))</f>
        <v/>
      </c>
      <c r="M440" s="393">
        <f>IF($J440="",0,SUMIFS(②釜工程入力!$I$5:$I$117,②釜工程入力!$S$5:$S$117,$J440,②釜工程入力!$I$5:$I$117,"&gt;0",②釜工程入力!$M$5:$M$117,"&gt;0")+SUMIFS(③スチコン工程入力!$I$5:$I$152,③スチコン工程入力!$S$5:$S$152,$J440,③スチコン工程入力!$I$5:$I$152,"&gt;0",③スチコン工程入力!$M$5:$M$152,"&gt;0")+SUMIFS(⑪ZEN工程入力!$I$6:$I$35,⑪ZEN工程入力!$S$6:$S$35,$J440,⑪ZEN工程入力!$I$6:$I$35,"&gt;0",⑪ZEN工程入力!$M$6:$M$35,"&gt;0")+SUMIFS(⑫ミキサー工程入力!$I$6:$I$65,⑫ミキサー工程入力!$S$6:$S$65,$J440,⑫ミキサー工程入力!$I$6:$I$65,"&gt;0",⑫ミキサー工程入力!$M$6:$M$65,"&gt;0")+SUMIFS(⑬計量工程入力!$I$6:$I$65,⑬計量工程入力!$S$6:$S$65,$J440,⑬計量工程入力!$I$6:$I$65,"&gt;0",⑬計量工程入力!$M$6:$M$65,"&gt;0")+SUMIFS(⑭手動工程入力!$I$6:$I$47,⑭手動工程入力!$S$6:$S$47,$J440,⑭手動工程入力!$I$6:$I$47,"&gt;0",⑭手動工程入力!$M$6:$M$47,"&gt;0"))</f>
        <v/>
      </c>
      <c r="N440" s="393">
        <f>IF($J440="",0,SUMIFS(②釜工程入力!$M$5:$M$117,②釜工程入力!$S$5:$S$117,$J440,②釜工程入力!$J$5:$J$117,"&gt;0")-SUMIFS(②釜工程入力!$M$5:$M$117,②釜工程入力!$S$5:$S$117,$J440,②釜工程入力!$J$5:$J$117,"&gt;0",②釜工程入力!$I$5:$I$117,"&gt;0")+SUMIFS(③スチコン工程入力!$M$5:$M$152,③スチコン工程入力!$S$5:$S$152,$J440,③スチコン工程入力!$J$5:$J$152,"&gt;0")-SUMIFS(③スチコン工程入力!$M$5:$M$152,③スチコン工程入力!$S$5:$S$152,$J440,③スチコン工程入力!$J$5:$J$152,"&gt;0",③スチコン工程入力!$I$5:$I$152,"&gt;0")+SUMIFS(⑪ZEN工程入力!$M$6:$M$35,⑪ZEN工程入力!$S$6:$S$35,$J440,⑪ZEN工程入力!$J$6:$J$35,"&gt;0")-SUMIFS(⑪ZEN工程入力!$M$6:$M$35,⑪ZEN工程入力!$S$6:$S$35,$J440,⑪ZEN工程入力!$J$6:$J$35,"&gt;0",⑪ZEN工程入力!$I$6:$I$35,"&gt;0")+SUMIFS(⑫ミキサー工程入力!$M$6:$M$65,⑫ミキサー工程入力!$S$6:$S$65,$J440,⑫ミキサー工程入力!$J$6:$J$65,"&gt;0")-SUMIFS(⑫ミキサー工程入力!$M$6:$M$65,⑫ミキサー工程入力!$S$6:$S$65,$J440,⑫ミキサー工程入力!$J$6:$J$65,"&gt;0",⑫ミキサー工程入力!$I$6:$I$65,"&gt;0")+SUMIFS(⑬計量工程入力!$M$6:$M$65,⑬計量工程入力!$S$6:$S$65,$J440,⑬計量工程入力!$J$6:$J$65,"&gt;0")-SUMIFS(⑬計量工程入力!$M$6:$M$65,⑬計量工程入力!$S$6:$S$65,$J440,⑬計量工程入力!$J$6:$J$65,"&gt;0",⑬計量工程入力!$I$6:$I$65,"&gt;0")+SUMIFS(⑭手動工程入力!$M$6:$M$47,⑭手動工程入力!$S$6:$S$47,$J440,⑭手動工程入力!$J$6:$J$47,"&gt;0")-SUMIFS(⑭手動工程入力!$M$6:$M$47,⑭手動工程入力!$S$6:$S$47,$J440,⑭手動工程入力!$J$6:$J$47,"&gt;0",⑭手動工程入力!$I$6:$I$47,"&gt;0"))</f>
        <v/>
      </c>
      <c r="O440" s="393">
        <f>IF($J440="",0,SUMIFS(②釜工程入力!$J$5:$J$117,②釜工程入力!$S$5:$S$117,$J440,②釜工程入力!$J$5:$J$117,"&gt;0",②釜工程入力!$M$5:$M$117,"&gt;0")-SUMIFS(②釜工程入力!$J$5:$J$117,②釜工程入力!$S$5:$S$117,$J440,②釜工程入力!$J$5:$J$117,"&gt;0",②釜工程入力!$I$5:$I$117,"&gt;0",②釜工程入力!$M$5:$M$117,"&gt;0")+SUMIFS(③スチコン工程入力!$J$5:$J$152,③スチコン工程入力!$S$5:$S$152,$J440,③スチコン工程入力!$J$5:$J$152,"&gt;0",③スチコン工程入力!$M$5:$M$152,"&gt;0")-SUMIFS(③スチコン工程入力!$J$5:$J$152,③スチコン工程入力!$S$5:$S$152,$J440,③スチコン工程入力!$J$5:$J$152,"&gt;0",③スチコン工程入力!$I$5:$I$152,"&gt;0",③スチコン工程入力!$M$5:$M$152,"&gt;0")+SUMIFS(⑪ZEN工程入力!$J$6:$J$35,⑪ZEN工程入力!$S$6:$S$35,$J440,⑪ZEN工程入力!$J$6:$J$35,"&gt;0",⑪ZEN工程入力!$M$6:$M$35,"&gt;0")-SUMIFS(⑪ZEN工程入力!$J$6:$J$35,⑪ZEN工程入力!$S$6:$S$35,$J440,⑪ZEN工程入力!$J$6:$J$35,"&gt;0",⑪ZEN工程入力!$I$6:$I$35,"&gt;0",⑪ZEN工程入力!$M$6:$M$35,"&gt;0")+SUMIFS(⑫ミキサー工程入力!$J$6:$J$65,⑫ミキサー工程入力!$S$6:$S$65,$J440,⑫ミキサー工程入力!$J$6:$J$65,"&gt;0",⑫ミキサー工程入力!$M$6:$M$65,"&gt;0")-SUMIFS(⑫ミキサー工程入力!$J$6:$J$65,⑫ミキサー工程入力!$S$6:$S$65,$J440,⑫ミキサー工程入力!$J$6:$J$65,"&gt;0",⑫ミキサー工程入力!$I$6:$I$65,"&gt;0",⑫ミキサー工程入力!$M$6:$M$65,"&gt;0")+SUMIFS(⑬計量工程入力!$J$6:$J$65,⑬計量工程入力!$S$6:$S$65,$J440,⑬計量工程入力!$J$6:$J$65,"&gt;0",⑬計量工程入力!$M$6:$M$65,"&gt;0")-SUMIFS(⑬計量工程入力!$J$6:$J$65,⑬計量工程入力!$S$6:$S$65,$J440,⑬計量工程入力!$J$6:$J$65,"&gt;0",⑬計量工程入力!$I$6:$I$65,"&gt;0",⑬計量工程入力!$M$6:$M$65,"&gt;0")+SUMIFS(⑭手動工程入力!$J$6:$J$47,⑭手動工程入力!$S$6:$S$47,$J440,⑭手動工程入力!$J$6:$J$47,"&gt;0",⑭手動工程入力!$M$6:$M$47,"&gt;0")-SUMIFS(⑭手動工程入力!$J$6:$J$47,⑭手動工程入力!$S$6:$S$47,$J440,⑭手動工程入力!$J$6:$J$47,"&gt;0",⑭手動工程入力!$I$6:$I$47,"&gt;0",⑭手動工程入力!$M$6:$M$47,"&gt;0"))</f>
        <v/>
      </c>
      <c r="P440" s="392" t="inlineStr">
        <is>
          <t>中間品リスト</t>
        </is>
      </c>
    </row>
    <row r="441">
      <c r="A441" s="392" t="n">
        <v>437</v>
      </c>
      <c r="B441" s="392" t="n"/>
      <c r="C441" s="392" t="n"/>
      <c r="D441" s="409" t="n"/>
      <c r="E441" s="392" t="n"/>
      <c r="F441" s="394" t="n"/>
      <c r="G441" s="392" t="n"/>
      <c r="H441" s="604">
        <f>IFERROR(IF(AND($K441&gt;0,ISNUMBER(IF(OR($D441="g",$D441="ｇ"),IF($M441&gt;0,$L441/$M441/1000,""),IF($D441="kg",IF($M441&gt;0,$L441/$M441,""),IF($D441="",IF($M441&gt;0,$L441/$M441/1000,IF($O441&gt;0,$N441/$O441,"")),IF($O441&gt;0,$N441/$O441,"")))))),IF(OR($D441="g",$D441="ｇ"),IF($M441&gt;0,$L441/$M441/1000,""),IF($D441="kg",IF($M441&gt;0,$L441/$M441,""),IF($D441="",IF($M441&gt;0,$L441/$M441/1000,IF($O441&gt;0,$N441/$O441,"")),IF($O441&gt;0,$N441/$O441,"")))),IF($F441="",IF(OR($E441="",$E441="⑩盛付梱包工程入力"),"",IF(OR($D441="g",$D441="ｇ"),INDEX(⑰工程労務費一覧!$N$5:$N$11,MATCH($E441,⑰工程労務費一覧!$K$5:$K$11,0))/1000,IF($D441="kg",INDEX(⑰工程労務費一覧!$N$5:$N$11,MATCH($E441,⑰工程労務費一覧!$K$5:$K$11,0)),IF(OR($D441="個",$D441="切",$D441="本",$D441="枚",$D441="尾"),IF($E441="⑬計量工程入力","",INDEX(⑰工程労務費一覧!$P$5:$P$11,MATCH($E441,⑰工程労務費一覧!$K$5:$K$11,0))),IF(AND($D441="",OR($E441="②釜工程入力",$E441="③スチコン工程入力")),INDEX(⑰工程労務費一覧!$N$5:$N$11,MATCH($E441,⑰工程労務費一覧!$K$5:$K$11,0))/1000,""))))),IF(OR($D441="g",$D441="ｇ"),INDEX(⑰工程労務費一覧!$H$5:$H$753,MATCH($F441,⑰工程労務費一覧!$D$5:$D$753,0))/1000,IF($D441="kg",INDEX(⑰工程労務費一覧!$H$5:$H$753,MATCH($F441,⑰工程労務費一覧!$D$5:$D$753,0)),INDEX(⑰工程労務費一覧!$I$5:$I$753,MATCH($F441,⑰工程労務費一覧!$D$5:$D$753,0)))))),"")</f>
        <v/>
      </c>
      <c r="I441" s="392">
        <f>IF($K441&gt;0,IF(ISNUMBER(IF(OR($D441="g",$D441="ｇ"),IF($M441&gt;0,$L441/$M441/1000,""),IF($D441="kg",IF($M441&gt;0,$L441/$M441,""),IF($D441="",IF($M441&gt;0,$L441/$M441/1000,IF($O441&gt;0,$N441/$O441,"")),IF($O441&gt;0,$N441/$O441,""))))),IF($D441="",IF($M441&gt;0,"◎ JAN紐づけ(g扱い)","◎ JAN紐づけ(個扱い)"),"◎ JAN紐づけ"),"△ JAN紐づけ済・実績不足→仮計算"),IF($F441="",IF(ISNUMBER($H441),IF($D441="","⑤ 工程平均で仮計算(g扱い)","⑤ 工程平均で仮計算"),IF($E441="⑩盛付梱包工程入力","⑥ 盛り込み(⑳F列で計上)",IF(AND($E441="⑬計量工程入力",OR($D441="個",$D441="切",$D441="本",$D441="枚",$D441="尾")),"① 未紐づけ(カット個単位は仮単価なし)","① 未紐づけ"))),IF(NOT(ISNUMBER($H441)),"② 工程側に単価なし",IF($D441="","③ 単位未設定(個で計算)","④ OK"))))</f>
        <v/>
      </c>
      <c r="J441" s="399">
        <f>IFERROR(LOOKUP(2,1/((中間品リスト!$F$2:$F$1299=$B441)*(中間品リスト!$E$2:$E$1299&lt;&gt;"-")*(中間品リスト!$E$2:$E$1299&lt;&gt;"")),中間品リスト!$E$2:$E$1299),"")</f>
        <v/>
      </c>
      <c r="K441" s="400">
        <f>IF($J441="",0,COUNTIF(②釜工程入力!$S$5:$S$117,$J441)+COUNTIF(③スチコン工程入力!$S$5:$S$152,$J441)+COUNTIF(⑪ZEN工程入力!$S$6:$S$35,$J441)+COUNTIF(⑫ミキサー工程入力!$S$6:$S$65,$J441)+COUNTIF(⑬計量工程入力!$S$6:$S$65,$J441)+COUNTIF(⑭手動工程入力!$S$6:$S$47,$J441))</f>
        <v/>
      </c>
      <c r="L441" s="393">
        <f>IF($J441="",0,SUMIFS(②釜工程入力!$M$5:$M$117,②釜工程入力!$S$5:$S$117,$J441,②釜工程入力!$I$5:$I$117,"&gt;0")+SUMIFS(③スチコン工程入力!$M$5:$M$152,③スチコン工程入力!$S$5:$S$152,$J441,③スチコン工程入力!$I$5:$I$152,"&gt;0")+SUMIFS(⑪ZEN工程入力!$M$6:$M$35,⑪ZEN工程入力!$S$6:$S$35,$J441,⑪ZEN工程入力!$I$6:$I$35,"&gt;0")+SUMIFS(⑫ミキサー工程入力!$M$6:$M$65,⑫ミキサー工程入力!$S$6:$S$65,$J441,⑫ミキサー工程入力!$I$6:$I$65,"&gt;0")+SUMIFS(⑬計量工程入力!$M$6:$M$65,⑬計量工程入力!$S$6:$S$65,$J441,⑬計量工程入力!$I$6:$I$65,"&gt;0")+SUMIFS(⑭手動工程入力!$M$6:$M$47,⑭手動工程入力!$S$6:$S$47,$J441,⑭手動工程入力!$I$6:$I$47,"&gt;0"))</f>
        <v/>
      </c>
      <c r="M441" s="393">
        <f>IF($J441="",0,SUMIFS(②釜工程入力!$I$5:$I$117,②釜工程入力!$S$5:$S$117,$J441,②釜工程入力!$I$5:$I$117,"&gt;0",②釜工程入力!$M$5:$M$117,"&gt;0")+SUMIFS(③スチコン工程入力!$I$5:$I$152,③スチコン工程入力!$S$5:$S$152,$J441,③スチコン工程入力!$I$5:$I$152,"&gt;0",③スチコン工程入力!$M$5:$M$152,"&gt;0")+SUMIFS(⑪ZEN工程入力!$I$6:$I$35,⑪ZEN工程入力!$S$6:$S$35,$J441,⑪ZEN工程入力!$I$6:$I$35,"&gt;0",⑪ZEN工程入力!$M$6:$M$35,"&gt;0")+SUMIFS(⑫ミキサー工程入力!$I$6:$I$65,⑫ミキサー工程入力!$S$6:$S$65,$J441,⑫ミキサー工程入力!$I$6:$I$65,"&gt;0",⑫ミキサー工程入力!$M$6:$M$65,"&gt;0")+SUMIFS(⑬計量工程入力!$I$6:$I$65,⑬計量工程入力!$S$6:$S$65,$J441,⑬計量工程入力!$I$6:$I$65,"&gt;0",⑬計量工程入力!$M$6:$M$65,"&gt;0")+SUMIFS(⑭手動工程入力!$I$6:$I$47,⑭手動工程入力!$S$6:$S$47,$J441,⑭手動工程入力!$I$6:$I$47,"&gt;0",⑭手動工程入力!$M$6:$M$47,"&gt;0"))</f>
        <v/>
      </c>
      <c r="N441" s="393">
        <f>IF($J441="",0,SUMIFS(②釜工程入力!$M$5:$M$117,②釜工程入力!$S$5:$S$117,$J441,②釜工程入力!$J$5:$J$117,"&gt;0")-SUMIFS(②釜工程入力!$M$5:$M$117,②釜工程入力!$S$5:$S$117,$J441,②釜工程入力!$J$5:$J$117,"&gt;0",②釜工程入力!$I$5:$I$117,"&gt;0")+SUMIFS(③スチコン工程入力!$M$5:$M$152,③スチコン工程入力!$S$5:$S$152,$J441,③スチコン工程入力!$J$5:$J$152,"&gt;0")-SUMIFS(③スチコン工程入力!$M$5:$M$152,③スチコン工程入力!$S$5:$S$152,$J441,③スチコン工程入力!$J$5:$J$152,"&gt;0",③スチコン工程入力!$I$5:$I$152,"&gt;0")+SUMIFS(⑪ZEN工程入力!$M$6:$M$35,⑪ZEN工程入力!$S$6:$S$35,$J441,⑪ZEN工程入力!$J$6:$J$35,"&gt;0")-SUMIFS(⑪ZEN工程入力!$M$6:$M$35,⑪ZEN工程入力!$S$6:$S$35,$J441,⑪ZEN工程入力!$J$6:$J$35,"&gt;0",⑪ZEN工程入力!$I$6:$I$35,"&gt;0")+SUMIFS(⑫ミキサー工程入力!$M$6:$M$65,⑫ミキサー工程入力!$S$6:$S$65,$J441,⑫ミキサー工程入力!$J$6:$J$65,"&gt;0")-SUMIFS(⑫ミキサー工程入力!$M$6:$M$65,⑫ミキサー工程入力!$S$6:$S$65,$J441,⑫ミキサー工程入力!$J$6:$J$65,"&gt;0",⑫ミキサー工程入力!$I$6:$I$65,"&gt;0")+SUMIFS(⑬計量工程入力!$M$6:$M$65,⑬計量工程入力!$S$6:$S$65,$J441,⑬計量工程入力!$J$6:$J$65,"&gt;0")-SUMIFS(⑬計量工程入力!$M$6:$M$65,⑬計量工程入力!$S$6:$S$65,$J441,⑬計量工程入力!$J$6:$J$65,"&gt;0",⑬計量工程入力!$I$6:$I$65,"&gt;0")+SUMIFS(⑭手動工程入力!$M$6:$M$47,⑭手動工程入力!$S$6:$S$47,$J441,⑭手動工程入力!$J$6:$J$47,"&gt;0")-SUMIFS(⑭手動工程入力!$M$6:$M$47,⑭手動工程入力!$S$6:$S$47,$J441,⑭手動工程入力!$J$6:$J$47,"&gt;0",⑭手動工程入力!$I$6:$I$47,"&gt;0"))</f>
        <v/>
      </c>
      <c r="O441" s="393">
        <f>IF($J441="",0,SUMIFS(②釜工程入力!$J$5:$J$117,②釜工程入力!$S$5:$S$117,$J441,②釜工程入力!$J$5:$J$117,"&gt;0",②釜工程入力!$M$5:$M$117,"&gt;0")-SUMIFS(②釜工程入力!$J$5:$J$117,②釜工程入力!$S$5:$S$117,$J441,②釜工程入力!$J$5:$J$117,"&gt;0",②釜工程入力!$I$5:$I$117,"&gt;0",②釜工程入力!$M$5:$M$117,"&gt;0")+SUMIFS(③スチコン工程入力!$J$5:$J$152,③スチコン工程入力!$S$5:$S$152,$J441,③スチコン工程入力!$J$5:$J$152,"&gt;0",③スチコン工程入力!$M$5:$M$152,"&gt;0")-SUMIFS(③スチコン工程入力!$J$5:$J$152,③スチコン工程入力!$S$5:$S$152,$J441,③スチコン工程入力!$J$5:$J$152,"&gt;0",③スチコン工程入力!$I$5:$I$152,"&gt;0",③スチコン工程入力!$M$5:$M$152,"&gt;0")+SUMIFS(⑪ZEN工程入力!$J$6:$J$35,⑪ZEN工程入力!$S$6:$S$35,$J441,⑪ZEN工程入力!$J$6:$J$35,"&gt;0",⑪ZEN工程入力!$M$6:$M$35,"&gt;0")-SUMIFS(⑪ZEN工程入力!$J$6:$J$35,⑪ZEN工程入力!$S$6:$S$35,$J441,⑪ZEN工程入力!$J$6:$J$35,"&gt;0",⑪ZEN工程入力!$I$6:$I$35,"&gt;0",⑪ZEN工程入力!$M$6:$M$35,"&gt;0")+SUMIFS(⑫ミキサー工程入力!$J$6:$J$65,⑫ミキサー工程入力!$S$6:$S$65,$J441,⑫ミキサー工程入力!$J$6:$J$65,"&gt;0",⑫ミキサー工程入力!$M$6:$M$65,"&gt;0")-SUMIFS(⑫ミキサー工程入力!$J$6:$J$65,⑫ミキサー工程入力!$S$6:$S$65,$J441,⑫ミキサー工程入力!$J$6:$J$65,"&gt;0",⑫ミキサー工程入力!$I$6:$I$65,"&gt;0",⑫ミキサー工程入力!$M$6:$M$65,"&gt;0")+SUMIFS(⑬計量工程入力!$J$6:$J$65,⑬計量工程入力!$S$6:$S$65,$J441,⑬計量工程入力!$J$6:$J$65,"&gt;0",⑬計量工程入力!$M$6:$M$65,"&gt;0")-SUMIFS(⑬計量工程入力!$J$6:$J$65,⑬計量工程入力!$S$6:$S$65,$J441,⑬計量工程入力!$J$6:$J$65,"&gt;0",⑬計量工程入力!$I$6:$I$65,"&gt;0",⑬計量工程入力!$M$6:$M$65,"&gt;0")+SUMIFS(⑭手動工程入力!$J$6:$J$47,⑭手動工程入力!$S$6:$S$47,$J441,⑭手動工程入力!$J$6:$J$47,"&gt;0",⑭手動工程入力!$M$6:$M$47,"&gt;0")-SUMIFS(⑭手動工程入力!$J$6:$J$47,⑭手動工程入力!$S$6:$S$47,$J441,⑭手動工程入力!$J$6:$J$47,"&gt;0",⑭手動工程入力!$I$6:$I$47,"&gt;0",⑭手動工程入力!$M$6:$M$47,"&gt;0"))</f>
        <v/>
      </c>
      <c r="P441" s="392" t="inlineStr">
        <is>
          <t>中間品リスト</t>
        </is>
      </c>
    </row>
    <row r="442">
      <c r="A442" s="392" t="n">
        <v>438</v>
      </c>
      <c r="B442" s="392" t="n"/>
      <c r="C442" s="392" t="n"/>
      <c r="D442" s="409" t="n"/>
      <c r="E442" s="392" t="n"/>
      <c r="F442" s="394" t="n"/>
      <c r="G442" s="392" t="n"/>
      <c r="H442" s="604">
        <f>IFERROR(IF(AND($K442&gt;0,ISNUMBER(IF(OR($D442="g",$D442="ｇ"),IF($M442&gt;0,$L442/$M442/1000,""),IF($D442="kg",IF($M442&gt;0,$L442/$M442,""),IF($D442="",IF($M442&gt;0,$L442/$M442/1000,IF($O442&gt;0,$N442/$O442,"")),IF($O442&gt;0,$N442/$O442,"")))))),IF(OR($D442="g",$D442="ｇ"),IF($M442&gt;0,$L442/$M442/1000,""),IF($D442="kg",IF($M442&gt;0,$L442/$M442,""),IF($D442="",IF($M442&gt;0,$L442/$M442/1000,IF($O442&gt;0,$N442/$O442,"")),IF($O442&gt;0,$N442/$O442,"")))),IF($F442="",IF(OR($E442="",$E442="⑩盛付梱包工程入力"),"",IF(OR($D442="g",$D442="ｇ"),INDEX(⑰工程労務費一覧!$N$5:$N$11,MATCH($E442,⑰工程労務費一覧!$K$5:$K$11,0))/1000,IF($D442="kg",INDEX(⑰工程労務費一覧!$N$5:$N$11,MATCH($E442,⑰工程労務費一覧!$K$5:$K$11,0)),IF(OR($D442="個",$D442="切",$D442="本",$D442="枚",$D442="尾"),IF($E442="⑬計量工程入力","",INDEX(⑰工程労務費一覧!$P$5:$P$11,MATCH($E442,⑰工程労務費一覧!$K$5:$K$11,0))),IF(AND($D442="",OR($E442="②釜工程入力",$E442="③スチコン工程入力")),INDEX(⑰工程労務費一覧!$N$5:$N$11,MATCH($E442,⑰工程労務費一覧!$K$5:$K$11,0))/1000,""))))),IF(OR($D442="g",$D442="ｇ"),INDEX(⑰工程労務費一覧!$H$5:$H$753,MATCH($F442,⑰工程労務費一覧!$D$5:$D$753,0))/1000,IF($D442="kg",INDEX(⑰工程労務費一覧!$H$5:$H$753,MATCH($F442,⑰工程労務費一覧!$D$5:$D$753,0)),INDEX(⑰工程労務費一覧!$I$5:$I$753,MATCH($F442,⑰工程労務費一覧!$D$5:$D$753,0)))))),"")</f>
        <v/>
      </c>
      <c r="I442" s="392">
        <f>IF($K442&gt;0,IF(ISNUMBER(IF(OR($D442="g",$D442="ｇ"),IF($M442&gt;0,$L442/$M442/1000,""),IF($D442="kg",IF($M442&gt;0,$L442/$M442,""),IF($D442="",IF($M442&gt;0,$L442/$M442/1000,IF($O442&gt;0,$N442/$O442,"")),IF($O442&gt;0,$N442/$O442,""))))),IF($D442="",IF($M442&gt;0,"◎ JAN紐づけ(g扱い)","◎ JAN紐づけ(個扱い)"),"◎ JAN紐づけ"),"△ JAN紐づけ済・実績不足→仮計算"),IF($F442="",IF(ISNUMBER($H442),IF($D442="","⑤ 工程平均で仮計算(g扱い)","⑤ 工程平均で仮計算"),IF($E442="⑩盛付梱包工程入力","⑥ 盛り込み(⑳F列で計上)",IF(AND($E442="⑬計量工程入力",OR($D442="個",$D442="切",$D442="本",$D442="枚",$D442="尾")),"① 未紐づけ(カット個単位は仮単価なし)","① 未紐づけ"))),IF(NOT(ISNUMBER($H442)),"② 工程側に単価なし",IF($D442="","③ 単位未設定(個で計算)","④ OK"))))</f>
        <v/>
      </c>
      <c r="J442" s="399">
        <f>IFERROR(LOOKUP(2,1/((中間品リスト!$F$2:$F$1299=$B442)*(中間品リスト!$E$2:$E$1299&lt;&gt;"-")*(中間品リスト!$E$2:$E$1299&lt;&gt;"")),中間品リスト!$E$2:$E$1299),"")</f>
        <v/>
      </c>
      <c r="K442" s="400">
        <f>IF($J442="",0,COUNTIF(②釜工程入力!$S$5:$S$117,$J442)+COUNTIF(③スチコン工程入力!$S$5:$S$152,$J442)+COUNTIF(⑪ZEN工程入力!$S$6:$S$35,$J442)+COUNTIF(⑫ミキサー工程入力!$S$6:$S$65,$J442)+COUNTIF(⑬計量工程入力!$S$6:$S$65,$J442)+COUNTIF(⑭手動工程入力!$S$6:$S$47,$J442))</f>
        <v/>
      </c>
      <c r="L442" s="393">
        <f>IF($J442="",0,SUMIFS(②釜工程入力!$M$5:$M$117,②釜工程入力!$S$5:$S$117,$J442,②釜工程入力!$I$5:$I$117,"&gt;0")+SUMIFS(③スチコン工程入力!$M$5:$M$152,③スチコン工程入力!$S$5:$S$152,$J442,③スチコン工程入力!$I$5:$I$152,"&gt;0")+SUMIFS(⑪ZEN工程入力!$M$6:$M$35,⑪ZEN工程入力!$S$6:$S$35,$J442,⑪ZEN工程入力!$I$6:$I$35,"&gt;0")+SUMIFS(⑫ミキサー工程入力!$M$6:$M$65,⑫ミキサー工程入力!$S$6:$S$65,$J442,⑫ミキサー工程入力!$I$6:$I$65,"&gt;0")+SUMIFS(⑬計量工程入力!$M$6:$M$65,⑬計量工程入力!$S$6:$S$65,$J442,⑬計量工程入力!$I$6:$I$65,"&gt;0")+SUMIFS(⑭手動工程入力!$M$6:$M$47,⑭手動工程入力!$S$6:$S$47,$J442,⑭手動工程入力!$I$6:$I$47,"&gt;0"))</f>
        <v/>
      </c>
      <c r="M442" s="393">
        <f>IF($J442="",0,SUMIFS(②釜工程入力!$I$5:$I$117,②釜工程入力!$S$5:$S$117,$J442,②釜工程入力!$I$5:$I$117,"&gt;0",②釜工程入力!$M$5:$M$117,"&gt;0")+SUMIFS(③スチコン工程入力!$I$5:$I$152,③スチコン工程入力!$S$5:$S$152,$J442,③スチコン工程入力!$I$5:$I$152,"&gt;0",③スチコン工程入力!$M$5:$M$152,"&gt;0")+SUMIFS(⑪ZEN工程入力!$I$6:$I$35,⑪ZEN工程入力!$S$6:$S$35,$J442,⑪ZEN工程入力!$I$6:$I$35,"&gt;0",⑪ZEN工程入力!$M$6:$M$35,"&gt;0")+SUMIFS(⑫ミキサー工程入力!$I$6:$I$65,⑫ミキサー工程入力!$S$6:$S$65,$J442,⑫ミキサー工程入力!$I$6:$I$65,"&gt;0",⑫ミキサー工程入力!$M$6:$M$65,"&gt;0")+SUMIFS(⑬計量工程入力!$I$6:$I$65,⑬計量工程入力!$S$6:$S$65,$J442,⑬計量工程入力!$I$6:$I$65,"&gt;0",⑬計量工程入力!$M$6:$M$65,"&gt;0")+SUMIFS(⑭手動工程入力!$I$6:$I$47,⑭手動工程入力!$S$6:$S$47,$J442,⑭手動工程入力!$I$6:$I$47,"&gt;0",⑭手動工程入力!$M$6:$M$47,"&gt;0"))</f>
        <v/>
      </c>
      <c r="N442" s="393">
        <f>IF($J442="",0,SUMIFS(②釜工程入力!$M$5:$M$117,②釜工程入力!$S$5:$S$117,$J442,②釜工程入力!$J$5:$J$117,"&gt;0")-SUMIFS(②釜工程入力!$M$5:$M$117,②釜工程入力!$S$5:$S$117,$J442,②釜工程入力!$J$5:$J$117,"&gt;0",②釜工程入力!$I$5:$I$117,"&gt;0")+SUMIFS(③スチコン工程入力!$M$5:$M$152,③スチコン工程入力!$S$5:$S$152,$J442,③スチコン工程入力!$J$5:$J$152,"&gt;0")-SUMIFS(③スチコン工程入力!$M$5:$M$152,③スチコン工程入力!$S$5:$S$152,$J442,③スチコン工程入力!$J$5:$J$152,"&gt;0",③スチコン工程入力!$I$5:$I$152,"&gt;0")+SUMIFS(⑪ZEN工程入力!$M$6:$M$35,⑪ZEN工程入力!$S$6:$S$35,$J442,⑪ZEN工程入力!$J$6:$J$35,"&gt;0")-SUMIFS(⑪ZEN工程入力!$M$6:$M$35,⑪ZEN工程入力!$S$6:$S$35,$J442,⑪ZEN工程入力!$J$6:$J$35,"&gt;0",⑪ZEN工程入力!$I$6:$I$35,"&gt;0")+SUMIFS(⑫ミキサー工程入力!$M$6:$M$65,⑫ミキサー工程入力!$S$6:$S$65,$J442,⑫ミキサー工程入力!$J$6:$J$65,"&gt;0")-SUMIFS(⑫ミキサー工程入力!$M$6:$M$65,⑫ミキサー工程入力!$S$6:$S$65,$J442,⑫ミキサー工程入力!$J$6:$J$65,"&gt;0",⑫ミキサー工程入力!$I$6:$I$65,"&gt;0")+SUMIFS(⑬計量工程入力!$M$6:$M$65,⑬計量工程入力!$S$6:$S$65,$J442,⑬計量工程入力!$J$6:$J$65,"&gt;0")-SUMIFS(⑬計量工程入力!$M$6:$M$65,⑬計量工程入力!$S$6:$S$65,$J442,⑬計量工程入力!$J$6:$J$65,"&gt;0",⑬計量工程入力!$I$6:$I$65,"&gt;0")+SUMIFS(⑭手動工程入力!$M$6:$M$47,⑭手動工程入力!$S$6:$S$47,$J442,⑭手動工程入力!$J$6:$J$47,"&gt;0")-SUMIFS(⑭手動工程入力!$M$6:$M$47,⑭手動工程入力!$S$6:$S$47,$J442,⑭手動工程入力!$J$6:$J$47,"&gt;0",⑭手動工程入力!$I$6:$I$47,"&gt;0"))</f>
        <v/>
      </c>
      <c r="O442" s="393">
        <f>IF($J442="",0,SUMIFS(②釜工程入力!$J$5:$J$117,②釜工程入力!$S$5:$S$117,$J442,②釜工程入力!$J$5:$J$117,"&gt;0",②釜工程入力!$M$5:$M$117,"&gt;0")-SUMIFS(②釜工程入力!$J$5:$J$117,②釜工程入力!$S$5:$S$117,$J442,②釜工程入力!$J$5:$J$117,"&gt;0",②釜工程入力!$I$5:$I$117,"&gt;0",②釜工程入力!$M$5:$M$117,"&gt;0")+SUMIFS(③スチコン工程入力!$J$5:$J$152,③スチコン工程入力!$S$5:$S$152,$J442,③スチコン工程入力!$J$5:$J$152,"&gt;0",③スチコン工程入力!$M$5:$M$152,"&gt;0")-SUMIFS(③スチコン工程入力!$J$5:$J$152,③スチコン工程入力!$S$5:$S$152,$J442,③スチコン工程入力!$J$5:$J$152,"&gt;0",③スチコン工程入力!$I$5:$I$152,"&gt;0",③スチコン工程入力!$M$5:$M$152,"&gt;0")+SUMIFS(⑪ZEN工程入力!$J$6:$J$35,⑪ZEN工程入力!$S$6:$S$35,$J442,⑪ZEN工程入力!$J$6:$J$35,"&gt;0",⑪ZEN工程入力!$M$6:$M$35,"&gt;0")-SUMIFS(⑪ZEN工程入力!$J$6:$J$35,⑪ZEN工程入力!$S$6:$S$35,$J442,⑪ZEN工程入力!$J$6:$J$35,"&gt;0",⑪ZEN工程入力!$I$6:$I$35,"&gt;0",⑪ZEN工程入力!$M$6:$M$35,"&gt;0")+SUMIFS(⑫ミキサー工程入力!$J$6:$J$65,⑫ミキサー工程入力!$S$6:$S$65,$J442,⑫ミキサー工程入力!$J$6:$J$65,"&gt;0",⑫ミキサー工程入力!$M$6:$M$65,"&gt;0")-SUMIFS(⑫ミキサー工程入力!$J$6:$J$65,⑫ミキサー工程入力!$S$6:$S$65,$J442,⑫ミキサー工程入力!$J$6:$J$65,"&gt;0",⑫ミキサー工程入力!$I$6:$I$65,"&gt;0",⑫ミキサー工程入力!$M$6:$M$65,"&gt;0")+SUMIFS(⑬計量工程入力!$J$6:$J$65,⑬計量工程入力!$S$6:$S$65,$J442,⑬計量工程入力!$J$6:$J$65,"&gt;0",⑬計量工程入力!$M$6:$M$65,"&gt;0")-SUMIFS(⑬計量工程入力!$J$6:$J$65,⑬計量工程入力!$S$6:$S$65,$J442,⑬計量工程入力!$J$6:$J$65,"&gt;0",⑬計量工程入力!$I$6:$I$65,"&gt;0",⑬計量工程入力!$M$6:$M$65,"&gt;0")+SUMIFS(⑭手動工程入力!$J$6:$J$47,⑭手動工程入力!$S$6:$S$47,$J442,⑭手動工程入力!$J$6:$J$47,"&gt;0",⑭手動工程入力!$M$6:$M$47,"&gt;0")-SUMIFS(⑭手動工程入力!$J$6:$J$47,⑭手動工程入力!$S$6:$S$47,$J442,⑭手動工程入力!$J$6:$J$47,"&gt;0",⑭手動工程入力!$I$6:$I$47,"&gt;0",⑭手動工程入力!$M$6:$M$47,"&gt;0"))</f>
        <v/>
      </c>
      <c r="P442" s="392" t="inlineStr">
        <is>
          <t>中間品リスト</t>
        </is>
      </c>
    </row>
    <row r="443">
      <c r="A443" s="392" t="n">
        <v>439</v>
      </c>
      <c r="B443" s="392" t="n"/>
      <c r="C443" s="392" t="n"/>
      <c r="D443" s="409" t="n"/>
      <c r="E443" s="392" t="n"/>
      <c r="F443" s="394" t="n"/>
      <c r="G443" s="392" t="n"/>
      <c r="H443" s="604">
        <f>IFERROR(IF(AND($K443&gt;0,ISNUMBER(IF(OR($D443="g",$D443="ｇ"),IF($M443&gt;0,$L443/$M443/1000,""),IF($D443="kg",IF($M443&gt;0,$L443/$M443,""),IF($D443="",IF($M443&gt;0,$L443/$M443/1000,IF($O443&gt;0,$N443/$O443,"")),IF($O443&gt;0,$N443/$O443,"")))))),IF(OR($D443="g",$D443="ｇ"),IF($M443&gt;0,$L443/$M443/1000,""),IF($D443="kg",IF($M443&gt;0,$L443/$M443,""),IF($D443="",IF($M443&gt;0,$L443/$M443/1000,IF($O443&gt;0,$N443/$O443,"")),IF($O443&gt;0,$N443/$O443,"")))),IF($F443="",IF(OR($E443="",$E443="⑩盛付梱包工程入力"),"",IF(OR($D443="g",$D443="ｇ"),INDEX(⑰工程労務費一覧!$N$5:$N$11,MATCH($E443,⑰工程労務費一覧!$K$5:$K$11,0))/1000,IF($D443="kg",INDEX(⑰工程労務費一覧!$N$5:$N$11,MATCH($E443,⑰工程労務費一覧!$K$5:$K$11,0)),IF(OR($D443="個",$D443="切",$D443="本",$D443="枚",$D443="尾"),IF($E443="⑬計量工程入力","",INDEX(⑰工程労務費一覧!$P$5:$P$11,MATCH($E443,⑰工程労務費一覧!$K$5:$K$11,0))),IF(AND($D443="",OR($E443="②釜工程入力",$E443="③スチコン工程入力")),INDEX(⑰工程労務費一覧!$N$5:$N$11,MATCH($E443,⑰工程労務費一覧!$K$5:$K$11,0))/1000,""))))),IF(OR($D443="g",$D443="ｇ"),INDEX(⑰工程労務費一覧!$H$5:$H$753,MATCH($F443,⑰工程労務費一覧!$D$5:$D$753,0))/1000,IF($D443="kg",INDEX(⑰工程労務費一覧!$H$5:$H$753,MATCH($F443,⑰工程労務費一覧!$D$5:$D$753,0)),INDEX(⑰工程労務費一覧!$I$5:$I$753,MATCH($F443,⑰工程労務費一覧!$D$5:$D$753,0)))))),"")</f>
        <v/>
      </c>
      <c r="I443" s="392">
        <f>IF($K443&gt;0,IF(ISNUMBER(IF(OR($D443="g",$D443="ｇ"),IF($M443&gt;0,$L443/$M443/1000,""),IF($D443="kg",IF($M443&gt;0,$L443/$M443,""),IF($D443="",IF($M443&gt;0,$L443/$M443/1000,IF($O443&gt;0,$N443/$O443,"")),IF($O443&gt;0,$N443/$O443,""))))),IF($D443="",IF($M443&gt;0,"◎ JAN紐づけ(g扱い)","◎ JAN紐づけ(個扱い)"),"◎ JAN紐づけ"),"△ JAN紐づけ済・実績不足→仮計算"),IF($F443="",IF(ISNUMBER($H443),IF($D443="","⑤ 工程平均で仮計算(g扱い)","⑤ 工程平均で仮計算"),IF($E443="⑩盛付梱包工程入力","⑥ 盛り込み(⑳F列で計上)",IF(AND($E443="⑬計量工程入力",OR($D443="個",$D443="切",$D443="本",$D443="枚",$D443="尾")),"① 未紐づけ(カット個単位は仮単価なし)","① 未紐づけ"))),IF(NOT(ISNUMBER($H443)),"② 工程側に単価なし",IF($D443="","③ 単位未設定(個で計算)","④ OK"))))</f>
        <v/>
      </c>
      <c r="J443" s="399">
        <f>IFERROR(LOOKUP(2,1/((中間品リスト!$F$2:$F$1299=$B443)*(中間品リスト!$E$2:$E$1299&lt;&gt;"-")*(中間品リスト!$E$2:$E$1299&lt;&gt;"")),中間品リスト!$E$2:$E$1299),"")</f>
        <v/>
      </c>
      <c r="K443" s="400">
        <f>IF($J443="",0,COUNTIF(②釜工程入力!$S$5:$S$117,$J443)+COUNTIF(③スチコン工程入力!$S$5:$S$152,$J443)+COUNTIF(⑪ZEN工程入力!$S$6:$S$35,$J443)+COUNTIF(⑫ミキサー工程入力!$S$6:$S$65,$J443)+COUNTIF(⑬計量工程入力!$S$6:$S$65,$J443)+COUNTIF(⑭手動工程入力!$S$6:$S$47,$J443))</f>
        <v/>
      </c>
      <c r="L443" s="393">
        <f>IF($J443="",0,SUMIFS(②釜工程入力!$M$5:$M$117,②釜工程入力!$S$5:$S$117,$J443,②釜工程入力!$I$5:$I$117,"&gt;0")+SUMIFS(③スチコン工程入力!$M$5:$M$152,③スチコン工程入力!$S$5:$S$152,$J443,③スチコン工程入力!$I$5:$I$152,"&gt;0")+SUMIFS(⑪ZEN工程入力!$M$6:$M$35,⑪ZEN工程入力!$S$6:$S$35,$J443,⑪ZEN工程入力!$I$6:$I$35,"&gt;0")+SUMIFS(⑫ミキサー工程入力!$M$6:$M$65,⑫ミキサー工程入力!$S$6:$S$65,$J443,⑫ミキサー工程入力!$I$6:$I$65,"&gt;0")+SUMIFS(⑬計量工程入力!$M$6:$M$65,⑬計量工程入力!$S$6:$S$65,$J443,⑬計量工程入力!$I$6:$I$65,"&gt;0")+SUMIFS(⑭手動工程入力!$M$6:$M$47,⑭手動工程入力!$S$6:$S$47,$J443,⑭手動工程入力!$I$6:$I$47,"&gt;0"))</f>
        <v/>
      </c>
      <c r="M443" s="393">
        <f>IF($J443="",0,SUMIFS(②釜工程入力!$I$5:$I$117,②釜工程入力!$S$5:$S$117,$J443,②釜工程入力!$I$5:$I$117,"&gt;0",②釜工程入力!$M$5:$M$117,"&gt;0")+SUMIFS(③スチコン工程入力!$I$5:$I$152,③スチコン工程入力!$S$5:$S$152,$J443,③スチコン工程入力!$I$5:$I$152,"&gt;0",③スチコン工程入力!$M$5:$M$152,"&gt;0")+SUMIFS(⑪ZEN工程入力!$I$6:$I$35,⑪ZEN工程入力!$S$6:$S$35,$J443,⑪ZEN工程入力!$I$6:$I$35,"&gt;0",⑪ZEN工程入力!$M$6:$M$35,"&gt;0")+SUMIFS(⑫ミキサー工程入力!$I$6:$I$65,⑫ミキサー工程入力!$S$6:$S$65,$J443,⑫ミキサー工程入力!$I$6:$I$65,"&gt;0",⑫ミキサー工程入力!$M$6:$M$65,"&gt;0")+SUMIFS(⑬計量工程入力!$I$6:$I$65,⑬計量工程入力!$S$6:$S$65,$J443,⑬計量工程入力!$I$6:$I$65,"&gt;0",⑬計量工程入力!$M$6:$M$65,"&gt;0")+SUMIFS(⑭手動工程入力!$I$6:$I$47,⑭手動工程入力!$S$6:$S$47,$J443,⑭手動工程入力!$I$6:$I$47,"&gt;0",⑭手動工程入力!$M$6:$M$47,"&gt;0"))</f>
        <v/>
      </c>
      <c r="N443" s="393">
        <f>IF($J443="",0,SUMIFS(②釜工程入力!$M$5:$M$117,②釜工程入力!$S$5:$S$117,$J443,②釜工程入力!$J$5:$J$117,"&gt;0")-SUMIFS(②釜工程入力!$M$5:$M$117,②釜工程入力!$S$5:$S$117,$J443,②釜工程入力!$J$5:$J$117,"&gt;0",②釜工程入力!$I$5:$I$117,"&gt;0")+SUMIFS(③スチコン工程入力!$M$5:$M$152,③スチコン工程入力!$S$5:$S$152,$J443,③スチコン工程入力!$J$5:$J$152,"&gt;0")-SUMIFS(③スチコン工程入力!$M$5:$M$152,③スチコン工程入力!$S$5:$S$152,$J443,③スチコン工程入力!$J$5:$J$152,"&gt;0",③スチコン工程入力!$I$5:$I$152,"&gt;0")+SUMIFS(⑪ZEN工程入力!$M$6:$M$35,⑪ZEN工程入力!$S$6:$S$35,$J443,⑪ZEN工程入力!$J$6:$J$35,"&gt;0")-SUMIFS(⑪ZEN工程入力!$M$6:$M$35,⑪ZEN工程入力!$S$6:$S$35,$J443,⑪ZEN工程入力!$J$6:$J$35,"&gt;0",⑪ZEN工程入力!$I$6:$I$35,"&gt;0")+SUMIFS(⑫ミキサー工程入力!$M$6:$M$65,⑫ミキサー工程入力!$S$6:$S$65,$J443,⑫ミキサー工程入力!$J$6:$J$65,"&gt;0")-SUMIFS(⑫ミキサー工程入力!$M$6:$M$65,⑫ミキサー工程入力!$S$6:$S$65,$J443,⑫ミキサー工程入力!$J$6:$J$65,"&gt;0",⑫ミキサー工程入力!$I$6:$I$65,"&gt;0")+SUMIFS(⑬計量工程入力!$M$6:$M$65,⑬計量工程入力!$S$6:$S$65,$J443,⑬計量工程入力!$J$6:$J$65,"&gt;0")-SUMIFS(⑬計量工程入力!$M$6:$M$65,⑬計量工程入力!$S$6:$S$65,$J443,⑬計量工程入力!$J$6:$J$65,"&gt;0",⑬計量工程入力!$I$6:$I$65,"&gt;0")+SUMIFS(⑭手動工程入力!$M$6:$M$47,⑭手動工程入力!$S$6:$S$47,$J443,⑭手動工程入力!$J$6:$J$47,"&gt;0")-SUMIFS(⑭手動工程入力!$M$6:$M$47,⑭手動工程入力!$S$6:$S$47,$J443,⑭手動工程入力!$J$6:$J$47,"&gt;0",⑭手動工程入力!$I$6:$I$47,"&gt;0"))</f>
        <v/>
      </c>
      <c r="O443" s="393">
        <f>IF($J443="",0,SUMIFS(②釜工程入力!$J$5:$J$117,②釜工程入力!$S$5:$S$117,$J443,②釜工程入力!$J$5:$J$117,"&gt;0",②釜工程入力!$M$5:$M$117,"&gt;0")-SUMIFS(②釜工程入力!$J$5:$J$117,②釜工程入力!$S$5:$S$117,$J443,②釜工程入力!$J$5:$J$117,"&gt;0",②釜工程入力!$I$5:$I$117,"&gt;0",②釜工程入力!$M$5:$M$117,"&gt;0")+SUMIFS(③スチコン工程入力!$J$5:$J$152,③スチコン工程入力!$S$5:$S$152,$J443,③スチコン工程入力!$J$5:$J$152,"&gt;0",③スチコン工程入力!$M$5:$M$152,"&gt;0")-SUMIFS(③スチコン工程入力!$J$5:$J$152,③スチコン工程入力!$S$5:$S$152,$J443,③スチコン工程入力!$J$5:$J$152,"&gt;0",③スチコン工程入力!$I$5:$I$152,"&gt;0",③スチコン工程入力!$M$5:$M$152,"&gt;0")+SUMIFS(⑪ZEN工程入力!$J$6:$J$35,⑪ZEN工程入力!$S$6:$S$35,$J443,⑪ZEN工程入力!$J$6:$J$35,"&gt;0",⑪ZEN工程入力!$M$6:$M$35,"&gt;0")-SUMIFS(⑪ZEN工程入力!$J$6:$J$35,⑪ZEN工程入力!$S$6:$S$35,$J443,⑪ZEN工程入力!$J$6:$J$35,"&gt;0",⑪ZEN工程入力!$I$6:$I$35,"&gt;0",⑪ZEN工程入力!$M$6:$M$35,"&gt;0")+SUMIFS(⑫ミキサー工程入力!$J$6:$J$65,⑫ミキサー工程入力!$S$6:$S$65,$J443,⑫ミキサー工程入力!$J$6:$J$65,"&gt;0",⑫ミキサー工程入力!$M$6:$M$65,"&gt;0")-SUMIFS(⑫ミキサー工程入力!$J$6:$J$65,⑫ミキサー工程入力!$S$6:$S$65,$J443,⑫ミキサー工程入力!$J$6:$J$65,"&gt;0",⑫ミキサー工程入力!$I$6:$I$65,"&gt;0",⑫ミキサー工程入力!$M$6:$M$65,"&gt;0")+SUMIFS(⑬計量工程入力!$J$6:$J$65,⑬計量工程入力!$S$6:$S$65,$J443,⑬計量工程入力!$J$6:$J$65,"&gt;0",⑬計量工程入力!$M$6:$M$65,"&gt;0")-SUMIFS(⑬計量工程入力!$J$6:$J$65,⑬計量工程入力!$S$6:$S$65,$J443,⑬計量工程入力!$J$6:$J$65,"&gt;0",⑬計量工程入力!$I$6:$I$65,"&gt;0",⑬計量工程入力!$M$6:$M$65,"&gt;0")+SUMIFS(⑭手動工程入力!$J$6:$J$47,⑭手動工程入力!$S$6:$S$47,$J443,⑭手動工程入力!$J$6:$J$47,"&gt;0",⑭手動工程入力!$M$6:$M$47,"&gt;0")-SUMIFS(⑭手動工程入力!$J$6:$J$47,⑭手動工程入力!$S$6:$S$47,$J443,⑭手動工程入力!$J$6:$J$47,"&gt;0",⑭手動工程入力!$I$6:$I$47,"&gt;0",⑭手動工程入力!$M$6:$M$47,"&gt;0"))</f>
        <v/>
      </c>
      <c r="P443" s="392" t="inlineStr">
        <is>
          <t>中間品リスト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17"/>
  <sheetViews>
    <sheetView tabSelected="1" workbookViewId="0">
      <pane ySplit="4" topLeftCell="A14" activePane="bottomLeft" state="frozen"/>
      <selection pane="bottomLeft" activeCell="F15" sqref="F15"/>
    </sheetView>
  </sheetViews>
  <sheetFormatPr baseColWidth="8" defaultRowHeight="13"/>
  <cols>
    <col width="12" customWidth="1" style="438" min="1" max="1"/>
    <col width="30" customWidth="1" style="438" min="2" max="2"/>
    <col width="36" customWidth="1" style="438" min="3" max="3"/>
    <col width="22" customWidth="1" style="438" min="4" max="4"/>
    <col width="7" customWidth="1" style="438" min="5" max="5"/>
    <col width="14" customWidth="1" style="438" min="6" max="6"/>
    <col width="15" customWidth="1" style="438" min="7" max="7"/>
    <col width="13" customWidth="1" style="438" min="8" max="8"/>
    <col width="17" customWidth="1" style="438" min="9" max="9"/>
  </cols>
  <sheetData>
    <row r="1" ht="14" customHeight="1" s="438">
      <c r="A1" s="389" t="inlineStr">
        <is>
          <t>⑲ 1食あたり労務費 明細（商品 × 中間品）　★F列に「1食あたり使用量」を入力</t>
        </is>
      </c>
    </row>
    <row r="2">
      <c r="A2" s="390" t="inlineStr">
        <is>
          <t>※ 益子ではレシピ（中間品リスト）が未整備のため、このシートは使いません。</t>
        </is>
      </c>
    </row>
    <row r="3"/>
    <row r="4" ht="32" customHeight="1" s="438">
      <c r="A4" s="391" t="inlineStr">
        <is>
          <t>カテゴリー</t>
        </is>
      </c>
      <c r="B4" s="391" t="inlineStr">
        <is>
          <t>商品名</t>
        </is>
      </c>
      <c r="C4" s="391" t="inlineStr">
        <is>
          <t>中間品名</t>
        </is>
      </c>
      <c r="D4" s="391" t="inlineStr">
        <is>
          <t>手配内容</t>
        </is>
      </c>
      <c r="E4" s="391" t="inlineStr">
        <is>
          <t>単位</t>
        </is>
      </c>
      <c r="F4" s="391" t="inlineStr">
        <is>
          <t>★1食あたり
使用量(入力)</t>
        </is>
      </c>
      <c r="G4" s="391" t="inlineStr">
        <is>
          <t>単位あたり労務費
(円/単位) 自動</t>
        </is>
      </c>
      <c r="H4" s="391" t="inlineStr">
        <is>
          <t>労務費
(円/食) 自動</t>
        </is>
      </c>
      <c r="I4" s="391" t="inlineStr">
        <is>
          <t>工程区分
(参考)</t>
        </is>
      </c>
    </row>
    <row r="5">
      <c r="A5" s="392" t="n"/>
      <c r="B5" s="392" t="n"/>
      <c r="C5" s="392" t="n"/>
      <c r="D5" s="392" t="n"/>
      <c r="E5" s="392" t="n"/>
      <c r="F5" s="394" t="n"/>
      <c r="G5" s="604">
        <f>IFERROR(INDEX(⑱中間品単価!$H$5:$H$443,MATCH($C5,⑱中間品単価!$B$5:$B$443,0)),"")</f>
        <v/>
      </c>
      <c r="H5" s="396">
        <f>IF(AND(ISNUMBER($F5),ISNUMBER($G5)),$F5*$G5,"")</f>
        <v/>
      </c>
      <c r="I5" s="392" t="n"/>
    </row>
    <row r="6">
      <c r="A6" s="392" t="n"/>
      <c r="B6" s="392" t="n"/>
      <c r="C6" s="392" t="n"/>
      <c r="D6" s="392" t="n"/>
      <c r="E6" s="392" t="n"/>
      <c r="F6" s="394" t="n"/>
      <c r="G6" s="604">
        <f>IFERROR(INDEX(⑱中間品単価!$H$5:$H$443,MATCH($C6,⑱中間品単価!$B$5:$B$443,0)),"")</f>
        <v/>
      </c>
      <c r="H6" s="396">
        <f>IF(AND(ISNUMBER($F6),ISNUMBER($G6)),$F6*$G6,"")</f>
        <v/>
      </c>
      <c r="I6" s="392" t="n"/>
    </row>
    <row r="7">
      <c r="A7" s="392" t="n"/>
      <c r="B7" s="392" t="n"/>
      <c r="C7" s="392" t="n"/>
      <c r="D7" s="392" t="n"/>
      <c r="E7" s="392" t="n"/>
      <c r="F7" s="394" t="n"/>
      <c r="G7" s="604">
        <f>IFERROR(INDEX(⑱中間品単価!$H$5:$H$443,MATCH($C7,⑱中間品単価!$B$5:$B$443,0)),"")</f>
        <v/>
      </c>
      <c r="H7" s="396">
        <f>IF(AND(ISNUMBER($F7),ISNUMBER($G7)),$F7*$G7,"")</f>
        <v/>
      </c>
      <c r="I7" s="392" t="n"/>
    </row>
    <row r="8">
      <c r="A8" s="392" t="n"/>
      <c r="B8" s="392" t="n"/>
      <c r="C8" s="392" t="n"/>
      <c r="D8" s="392" t="n"/>
      <c r="E8" s="392" t="n"/>
      <c r="F8" s="394" t="n"/>
      <c r="G8" s="604">
        <f>IFERROR(INDEX(⑱中間品単価!$H$5:$H$443,MATCH($C8,⑱中間品単価!$B$5:$B$443,0)),"")</f>
        <v/>
      </c>
      <c r="H8" s="396">
        <f>IF(AND(ISNUMBER($F8),ISNUMBER($G8)),$F8*$G8,"")</f>
        <v/>
      </c>
      <c r="I8" s="392" t="n"/>
    </row>
    <row r="9">
      <c r="A9" s="392" t="n"/>
      <c r="B9" s="392" t="n"/>
      <c r="C9" s="392" t="n"/>
      <c r="D9" s="392" t="n"/>
      <c r="E9" s="392" t="n"/>
      <c r="F9" s="394" t="n"/>
      <c r="G9" s="604">
        <f>IFERROR(INDEX(⑱中間品単価!$H$5:$H$443,MATCH($C9,⑱中間品単価!$B$5:$B$443,0)),"")</f>
        <v/>
      </c>
      <c r="H9" s="396">
        <f>IF(AND(ISNUMBER($F9),ISNUMBER($G9)),$F9*$G9,"")</f>
        <v/>
      </c>
      <c r="I9" s="392" t="n"/>
    </row>
    <row r="10">
      <c r="A10" s="392" t="n"/>
      <c r="B10" s="392" t="n"/>
      <c r="C10" s="392" t="n"/>
      <c r="D10" s="392" t="n"/>
      <c r="E10" s="392" t="n"/>
      <c r="F10" s="394" t="n"/>
      <c r="G10" s="604">
        <f>IFERROR(INDEX(⑱中間品単価!$H$5:$H$443,MATCH($C10,⑱中間品単価!$B$5:$B$443,0)),"")</f>
        <v/>
      </c>
      <c r="H10" s="396">
        <f>IF(AND(ISNUMBER($F10),ISNUMBER($G10)),$F10*$G10,"")</f>
        <v/>
      </c>
      <c r="I10" s="392" t="n"/>
    </row>
    <row r="11">
      <c r="A11" s="392" t="n"/>
      <c r="B11" s="392" t="n"/>
      <c r="C11" s="392" t="n"/>
      <c r="D11" s="392" t="n"/>
      <c r="E11" s="392" t="n"/>
      <c r="F11" s="394" t="n"/>
      <c r="G11" s="604">
        <f>IFERROR(INDEX(⑱中間品単価!$H$5:$H$443,MATCH($C11,⑱中間品単価!$B$5:$B$443,0)),"")</f>
        <v/>
      </c>
      <c r="H11" s="396">
        <f>IF(AND(ISNUMBER($F11),ISNUMBER($G11)),$F11*$G11,"")</f>
        <v/>
      </c>
      <c r="I11" s="392" t="n"/>
    </row>
    <row r="12">
      <c r="A12" s="392" t="n"/>
      <c r="B12" s="392" t="n"/>
      <c r="C12" s="392" t="n"/>
      <c r="D12" s="392" t="n"/>
      <c r="E12" s="392" t="n"/>
      <c r="F12" s="394" t="n"/>
      <c r="G12" s="604">
        <f>IFERROR(INDEX(⑱中間品単価!$H$5:$H$443,MATCH($C12,⑱中間品単価!$B$5:$B$443,0)),"")</f>
        <v/>
      </c>
      <c r="H12" s="396">
        <f>IF(AND(ISNUMBER($F12),ISNUMBER($G12)),$F12*$G12,"")</f>
        <v/>
      </c>
      <c r="I12" s="392" t="n"/>
    </row>
    <row r="13">
      <c r="A13" s="392" t="n"/>
      <c r="B13" s="392" t="n"/>
      <c r="C13" s="392" t="n"/>
      <c r="D13" s="392" t="n"/>
      <c r="E13" s="392" t="n"/>
      <c r="F13" s="394" t="n"/>
      <c r="G13" s="604">
        <f>IFERROR(INDEX(⑱中間品単価!$H$5:$H$443,MATCH($C13,⑱中間品単価!$B$5:$B$443,0)),"")</f>
        <v/>
      </c>
      <c r="H13" s="396">
        <f>IF(AND(ISNUMBER($F13),ISNUMBER($G13)),$F13*$G13,"")</f>
        <v/>
      </c>
      <c r="I13" s="392" t="n"/>
    </row>
    <row r="14">
      <c r="A14" s="392" t="n"/>
      <c r="B14" s="392" t="n"/>
      <c r="C14" s="392" t="n"/>
      <c r="D14" s="392" t="n"/>
      <c r="E14" s="392" t="n"/>
      <c r="F14" s="394" t="n"/>
      <c r="G14" s="604">
        <f>IFERROR(INDEX(⑱中間品単価!$H$5:$H$443,MATCH($C14,⑱中間品単価!$B$5:$B$443,0)),"")</f>
        <v/>
      </c>
      <c r="H14" s="396">
        <f>IF(AND(ISNUMBER($F14),ISNUMBER($G14)),$F14*$G14,"")</f>
        <v/>
      </c>
      <c r="I14" s="392" t="n"/>
    </row>
    <row r="15">
      <c r="A15" s="392" t="n"/>
      <c r="B15" s="392" t="n"/>
      <c r="C15" s="392" t="n"/>
      <c r="D15" s="392" t="n"/>
      <c r="E15" s="392" t="n"/>
      <c r="F15" s="394" t="n"/>
      <c r="G15" s="604">
        <f>IFERROR(INDEX(⑱中間品単価!$H$5:$H$443,MATCH($C15,⑱中間品単価!$B$5:$B$443,0)),"")</f>
        <v/>
      </c>
      <c r="H15" s="396">
        <f>IF(AND(ISNUMBER($F15),ISNUMBER($G15)),$F15*$G15,"")</f>
        <v/>
      </c>
      <c r="I15" s="392" t="n"/>
    </row>
    <row r="16">
      <c r="A16" s="392" t="n"/>
      <c r="B16" s="392" t="n"/>
      <c r="C16" s="392" t="n"/>
      <c r="D16" s="392" t="n"/>
      <c r="E16" s="392" t="n"/>
      <c r="F16" s="394" t="n"/>
      <c r="G16" s="604">
        <f>IFERROR(INDEX(⑱中間品単価!$H$5:$H$443,MATCH($C16,⑱中間品単価!$B$5:$B$443,0)),"")</f>
        <v/>
      </c>
      <c r="H16" s="396">
        <f>IF(AND(ISNUMBER($F16),ISNUMBER($G16)),$F16*$G16,"")</f>
        <v/>
      </c>
      <c r="I16" s="392" t="n"/>
    </row>
    <row r="17">
      <c r="A17" s="392" t="n"/>
      <c r="B17" s="392" t="n"/>
      <c r="C17" s="392" t="n"/>
      <c r="D17" s="392" t="n"/>
      <c r="E17" s="392" t="n"/>
      <c r="F17" s="394" t="n"/>
      <c r="G17" s="604">
        <f>IFERROR(INDEX(⑱中間品単価!$H$5:$H$443,MATCH($C17,⑱中間品単価!$B$5:$B$443,0)),"")</f>
        <v/>
      </c>
      <c r="H17" s="396">
        <f>IF(AND(ISNUMBER($F17),ISNUMBER($G17)),$F17*$G17,"")</f>
        <v/>
      </c>
      <c r="I17" s="392" t="n"/>
    </row>
    <row r="18">
      <c r="A18" s="392" t="n"/>
      <c r="B18" s="392" t="n"/>
      <c r="C18" s="392" t="n"/>
      <c r="D18" s="392" t="n"/>
      <c r="E18" s="392" t="n"/>
      <c r="F18" s="394" t="n"/>
      <c r="G18" s="604">
        <f>IFERROR(INDEX(⑱中間品単価!$H$5:$H$443,MATCH($C18,⑱中間品単価!$B$5:$B$443,0)),"")</f>
        <v/>
      </c>
      <c r="H18" s="396">
        <f>IF(AND(ISNUMBER($F18),ISNUMBER($G18)),$F18*$G18,"")</f>
        <v/>
      </c>
      <c r="I18" s="392" t="n"/>
    </row>
    <row r="19">
      <c r="A19" s="392" t="n"/>
      <c r="B19" s="392" t="n"/>
      <c r="C19" s="392" t="n"/>
      <c r="D19" s="392" t="n"/>
      <c r="E19" s="392" t="n"/>
      <c r="F19" s="394" t="n"/>
      <c r="G19" s="604">
        <f>IFERROR(INDEX(⑱中間品単価!$H$5:$H$443,MATCH($C19,⑱中間品単価!$B$5:$B$443,0)),"")</f>
        <v/>
      </c>
      <c r="H19" s="396">
        <f>IF(AND(ISNUMBER($F19),ISNUMBER($G19)),$F19*$G19,"")</f>
        <v/>
      </c>
      <c r="I19" s="392" t="n"/>
    </row>
    <row r="20">
      <c r="A20" s="392" t="n"/>
      <c r="B20" s="392" t="n"/>
      <c r="C20" s="392" t="n"/>
      <c r="D20" s="392" t="n"/>
      <c r="E20" s="392" t="n"/>
      <c r="F20" s="394" t="n"/>
      <c r="G20" s="604">
        <f>IFERROR(INDEX(⑱中間品単価!$H$5:$H$443,MATCH($C20,⑱中間品単価!$B$5:$B$443,0)),"")</f>
        <v/>
      </c>
      <c r="H20" s="396">
        <f>IF(AND(ISNUMBER($F20),ISNUMBER($G20)),$F20*$G20,"")</f>
        <v/>
      </c>
      <c r="I20" s="392" t="n"/>
    </row>
    <row r="21">
      <c r="A21" s="392" t="n"/>
      <c r="B21" s="392" t="n"/>
      <c r="C21" s="392" t="n"/>
      <c r="D21" s="392" t="n"/>
      <c r="E21" s="392" t="n"/>
      <c r="F21" s="394" t="n"/>
      <c r="G21" s="604">
        <f>IFERROR(INDEX(⑱中間品単価!$H$5:$H$443,MATCH($C21,⑱中間品単価!$B$5:$B$443,0)),"")</f>
        <v/>
      </c>
      <c r="H21" s="396">
        <f>IF(AND(ISNUMBER($F21),ISNUMBER($G21)),$F21*$G21,"")</f>
        <v/>
      </c>
      <c r="I21" s="392" t="n"/>
    </row>
    <row r="22">
      <c r="A22" s="392" t="n"/>
      <c r="B22" s="392" t="n"/>
      <c r="C22" s="392" t="n"/>
      <c r="D22" s="392" t="n"/>
      <c r="E22" s="392" t="n"/>
      <c r="F22" s="394" t="n"/>
      <c r="G22" s="604">
        <f>IFERROR(INDEX(⑱中間品単価!$H$5:$H$443,MATCH($C22,⑱中間品単価!$B$5:$B$443,0)),"")</f>
        <v/>
      </c>
      <c r="H22" s="396">
        <f>IF(AND(ISNUMBER($F22),ISNUMBER($G22)),$F22*$G22,"")</f>
        <v/>
      </c>
      <c r="I22" s="392" t="n"/>
    </row>
    <row r="23">
      <c r="A23" s="392" t="n"/>
      <c r="B23" s="392" t="n"/>
      <c r="C23" s="392" t="n"/>
      <c r="D23" s="392" t="n"/>
      <c r="E23" s="392" t="n"/>
      <c r="F23" s="394" t="n"/>
      <c r="G23" s="604">
        <f>IFERROR(INDEX(⑱中間品単価!$H$5:$H$443,MATCH($C23,⑱中間品単価!$B$5:$B$443,0)),"")</f>
        <v/>
      </c>
      <c r="H23" s="396">
        <f>IF(AND(ISNUMBER($F23),ISNUMBER($G23)),$F23*$G23,"")</f>
        <v/>
      </c>
      <c r="I23" s="392" t="n"/>
    </row>
    <row r="24">
      <c r="A24" s="392" t="n"/>
      <c r="B24" s="392" t="n"/>
      <c r="C24" s="392" t="n"/>
      <c r="D24" s="392" t="n"/>
      <c r="E24" s="392" t="n"/>
      <c r="F24" s="394" t="n"/>
      <c r="G24" s="604">
        <f>IFERROR(INDEX(⑱中間品単価!$H$5:$H$443,MATCH($C24,⑱中間品単価!$B$5:$B$443,0)),"")</f>
        <v/>
      </c>
      <c r="H24" s="396">
        <f>IF(AND(ISNUMBER($F24),ISNUMBER($G24)),$F24*$G24,"")</f>
        <v/>
      </c>
      <c r="I24" s="392" t="n"/>
    </row>
    <row r="25">
      <c r="A25" s="392" t="n"/>
      <c r="B25" s="392" t="n"/>
      <c r="C25" s="392" t="n"/>
      <c r="D25" s="392" t="n"/>
      <c r="E25" s="392" t="n"/>
      <c r="F25" s="394" t="n"/>
      <c r="G25" s="604">
        <f>IFERROR(INDEX(⑱中間品単価!$H$5:$H$443,MATCH($C25,⑱中間品単価!$B$5:$B$443,0)),"")</f>
        <v/>
      </c>
      <c r="H25" s="396">
        <f>IF(AND(ISNUMBER($F25),ISNUMBER($G25)),$F25*$G25,"")</f>
        <v/>
      </c>
      <c r="I25" s="392" t="n"/>
    </row>
    <row r="26">
      <c r="A26" s="392" t="n"/>
      <c r="B26" s="392" t="n"/>
      <c r="C26" s="392" t="n"/>
      <c r="D26" s="392" t="n"/>
      <c r="E26" s="392" t="n"/>
      <c r="F26" s="394" t="n"/>
      <c r="G26" s="604">
        <f>IFERROR(INDEX(⑱中間品単価!$H$5:$H$443,MATCH($C26,⑱中間品単価!$B$5:$B$443,0)),"")</f>
        <v/>
      </c>
      <c r="H26" s="396">
        <f>IF(AND(ISNUMBER($F26),ISNUMBER($G26)),$F26*$G26,"")</f>
        <v/>
      </c>
      <c r="I26" s="392" t="n"/>
    </row>
    <row r="27">
      <c r="A27" s="392" t="n"/>
      <c r="B27" s="392" t="n"/>
      <c r="C27" s="392" t="n"/>
      <c r="D27" s="392" t="n"/>
      <c r="E27" s="392" t="n"/>
      <c r="F27" s="394" t="n"/>
      <c r="G27" s="604">
        <f>IFERROR(INDEX(⑱中間品単価!$H$5:$H$443,MATCH($C27,⑱中間品単価!$B$5:$B$443,0)),"")</f>
        <v/>
      </c>
      <c r="H27" s="396">
        <f>IF(AND(ISNUMBER($F27),ISNUMBER($G27)),$F27*$G27,"")</f>
        <v/>
      </c>
      <c r="I27" s="392" t="n"/>
    </row>
    <row r="28">
      <c r="A28" s="392" t="n"/>
      <c r="B28" s="392" t="n"/>
      <c r="C28" s="392" t="n"/>
      <c r="D28" s="392" t="n"/>
      <c r="E28" s="392" t="n"/>
      <c r="F28" s="394" t="n"/>
      <c r="G28" s="604">
        <f>IFERROR(INDEX(⑱中間品単価!$H$5:$H$443,MATCH($C28,⑱中間品単価!$B$5:$B$443,0)),"")</f>
        <v/>
      </c>
      <c r="H28" s="396">
        <f>IF(AND(ISNUMBER($F28),ISNUMBER($G28)),$F28*$G28,"")</f>
        <v/>
      </c>
      <c r="I28" s="392" t="n"/>
    </row>
    <row r="29">
      <c r="A29" s="392" t="n"/>
      <c r="B29" s="392" t="n"/>
      <c r="C29" s="392" t="n"/>
      <c r="D29" s="392" t="n"/>
      <c r="E29" s="392" t="n"/>
      <c r="F29" s="394" t="n"/>
      <c r="G29" s="604">
        <f>IFERROR(INDEX(⑱中間品単価!$H$5:$H$443,MATCH($C29,⑱中間品単価!$B$5:$B$443,0)),"")</f>
        <v/>
      </c>
      <c r="H29" s="396">
        <f>IF(AND(ISNUMBER($F29),ISNUMBER($G29)),$F29*$G29,"")</f>
        <v/>
      </c>
      <c r="I29" s="392" t="n"/>
    </row>
    <row r="30">
      <c r="A30" s="392" t="n"/>
      <c r="B30" s="392" t="n"/>
      <c r="C30" s="392" t="n"/>
      <c r="D30" s="392" t="n"/>
      <c r="E30" s="392" t="n"/>
      <c r="F30" s="394" t="n"/>
      <c r="G30" s="604">
        <f>IFERROR(INDEX(⑱中間品単価!$H$5:$H$443,MATCH($C30,⑱中間品単価!$B$5:$B$443,0)),"")</f>
        <v/>
      </c>
      <c r="H30" s="396">
        <f>IF(AND(ISNUMBER($F30),ISNUMBER($G30)),$F30*$G30,"")</f>
        <v/>
      </c>
      <c r="I30" s="392" t="n"/>
    </row>
    <row r="31">
      <c r="A31" s="392" t="n"/>
      <c r="B31" s="392" t="n"/>
      <c r="C31" s="392" t="n"/>
      <c r="D31" s="392" t="n"/>
      <c r="E31" s="392" t="n"/>
      <c r="F31" s="394" t="n"/>
      <c r="G31" s="604">
        <f>IFERROR(INDEX(⑱中間品単価!$H$5:$H$443,MATCH($C31,⑱中間品単価!$B$5:$B$443,0)),"")</f>
        <v/>
      </c>
      <c r="H31" s="396">
        <f>IF(AND(ISNUMBER($F31),ISNUMBER($G31)),$F31*$G31,"")</f>
        <v/>
      </c>
      <c r="I31" s="392" t="n"/>
    </row>
    <row r="32">
      <c r="A32" s="392" t="n"/>
      <c r="B32" s="392" t="n"/>
      <c r="C32" s="392" t="n"/>
      <c r="D32" s="392" t="n"/>
      <c r="E32" s="392" t="n"/>
      <c r="F32" s="394" t="n"/>
      <c r="G32" s="604">
        <f>IFERROR(INDEX(⑱中間品単価!$H$5:$H$443,MATCH($C32,⑱中間品単価!$B$5:$B$443,0)),"")</f>
        <v/>
      </c>
      <c r="H32" s="396">
        <f>IF(AND(ISNUMBER($F32),ISNUMBER($G32)),$F32*$G32,"")</f>
        <v/>
      </c>
      <c r="I32" s="392" t="n"/>
    </row>
    <row r="33">
      <c r="A33" s="392" t="n"/>
      <c r="B33" s="392" t="n"/>
      <c r="C33" s="392" t="n"/>
      <c r="D33" s="392" t="n"/>
      <c r="E33" s="392" t="n"/>
      <c r="F33" s="394" t="n"/>
      <c r="G33" s="604">
        <f>IFERROR(INDEX(⑱中間品単価!$H$5:$H$443,MATCH($C33,⑱中間品単価!$B$5:$B$443,0)),"")</f>
        <v/>
      </c>
      <c r="H33" s="396">
        <f>IF(AND(ISNUMBER($F33),ISNUMBER($G33)),$F33*$G33,"")</f>
        <v/>
      </c>
      <c r="I33" s="392" t="n"/>
    </row>
    <row r="34">
      <c r="A34" s="392" t="n"/>
      <c r="B34" s="392" t="n"/>
      <c r="C34" s="392" t="n"/>
      <c r="D34" s="392" t="n"/>
      <c r="E34" s="392" t="n"/>
      <c r="F34" s="394" t="n"/>
      <c r="G34" s="604">
        <f>IFERROR(INDEX(⑱中間品単価!$H$5:$H$443,MATCH($C34,⑱中間品単価!$B$5:$B$443,0)),"")</f>
        <v/>
      </c>
      <c r="H34" s="396">
        <f>IF(AND(ISNUMBER($F34),ISNUMBER($G34)),$F34*$G34,"")</f>
        <v/>
      </c>
      <c r="I34" s="392" t="n"/>
    </row>
    <row r="35">
      <c r="A35" s="392" t="n"/>
      <c r="B35" s="392" t="n"/>
      <c r="C35" s="392" t="n"/>
      <c r="D35" s="392" t="n"/>
      <c r="E35" s="392" t="n"/>
      <c r="F35" s="394" t="n"/>
      <c r="G35" s="604">
        <f>IFERROR(INDEX(⑱中間品単価!$H$5:$H$443,MATCH($C35,⑱中間品単価!$B$5:$B$443,0)),"")</f>
        <v/>
      </c>
      <c r="H35" s="396">
        <f>IF(AND(ISNUMBER($F35),ISNUMBER($G35)),$F35*$G35,"")</f>
        <v/>
      </c>
      <c r="I35" s="392" t="n"/>
    </row>
    <row r="36">
      <c r="A36" s="392" t="n"/>
      <c r="B36" s="392" t="n"/>
      <c r="C36" s="392" t="n"/>
      <c r="D36" s="392" t="n"/>
      <c r="E36" s="392" t="n"/>
      <c r="F36" s="394" t="n"/>
      <c r="G36" s="604">
        <f>IFERROR(INDEX(⑱中間品単価!$H$5:$H$443,MATCH($C36,⑱中間品単価!$B$5:$B$443,0)),"")</f>
        <v/>
      </c>
      <c r="H36" s="396">
        <f>IF(AND(ISNUMBER($F36),ISNUMBER($G36)),$F36*$G36,"")</f>
        <v/>
      </c>
      <c r="I36" s="392" t="n"/>
    </row>
    <row r="37">
      <c r="A37" s="392" t="n"/>
      <c r="B37" s="392" t="n"/>
      <c r="C37" s="392" t="n"/>
      <c r="D37" s="392" t="n"/>
      <c r="E37" s="392" t="n"/>
      <c r="F37" s="394" t="n"/>
      <c r="G37" s="604">
        <f>IFERROR(INDEX(⑱中間品単価!$H$5:$H$443,MATCH($C37,⑱中間品単価!$B$5:$B$443,0)),"")</f>
        <v/>
      </c>
      <c r="H37" s="396">
        <f>IF(AND(ISNUMBER($F37),ISNUMBER($G37)),$F37*$G37,"")</f>
        <v/>
      </c>
      <c r="I37" s="392" t="n"/>
    </row>
    <row r="38">
      <c r="A38" s="392" t="n"/>
      <c r="B38" s="392" t="n"/>
      <c r="C38" s="392" t="n"/>
      <c r="D38" s="392" t="n"/>
      <c r="E38" s="392" t="n"/>
      <c r="F38" s="394" t="n"/>
      <c r="G38" s="604">
        <f>IFERROR(INDEX(⑱中間品単価!$H$5:$H$443,MATCH($C38,⑱中間品単価!$B$5:$B$443,0)),"")</f>
        <v/>
      </c>
      <c r="H38" s="396">
        <f>IF(AND(ISNUMBER($F38),ISNUMBER($G38)),$F38*$G38,"")</f>
        <v/>
      </c>
      <c r="I38" s="392" t="n"/>
    </row>
    <row r="39">
      <c r="A39" s="392" t="n"/>
      <c r="B39" s="392" t="n"/>
      <c r="C39" s="392" t="n"/>
      <c r="D39" s="392" t="n"/>
      <c r="E39" s="392" t="n"/>
      <c r="F39" s="394" t="n"/>
      <c r="G39" s="604">
        <f>IFERROR(INDEX(⑱中間品単価!$H$5:$H$443,MATCH($C39,⑱中間品単価!$B$5:$B$443,0)),"")</f>
        <v/>
      </c>
      <c r="H39" s="396">
        <f>IF(AND(ISNUMBER($F39),ISNUMBER($G39)),$F39*$G39,"")</f>
        <v/>
      </c>
      <c r="I39" s="392" t="n"/>
    </row>
    <row r="40">
      <c r="A40" s="392" t="n"/>
      <c r="B40" s="392" t="n"/>
      <c r="C40" s="392" t="n"/>
      <c r="D40" s="392" t="n"/>
      <c r="E40" s="392" t="n"/>
      <c r="F40" s="394" t="n"/>
      <c r="G40" s="604">
        <f>IFERROR(INDEX(⑱中間品単価!$H$5:$H$443,MATCH($C40,⑱中間品単価!$B$5:$B$443,0)),"")</f>
        <v/>
      </c>
      <c r="H40" s="396">
        <f>IF(AND(ISNUMBER($F40),ISNUMBER($G40)),$F40*$G40,"")</f>
        <v/>
      </c>
      <c r="I40" s="392" t="n"/>
    </row>
    <row r="41">
      <c r="A41" s="392" t="n"/>
      <c r="B41" s="392" t="n"/>
      <c r="C41" s="392" t="n"/>
      <c r="D41" s="392" t="n"/>
      <c r="E41" s="392" t="n"/>
      <c r="F41" s="394" t="n"/>
      <c r="G41" s="604">
        <f>IFERROR(INDEX(⑱中間品単価!$H$5:$H$443,MATCH($C41,⑱中間品単価!$B$5:$B$443,0)),"")</f>
        <v/>
      </c>
      <c r="H41" s="396">
        <f>IF(AND(ISNUMBER($F41),ISNUMBER($G41)),$F41*$G41,"")</f>
        <v/>
      </c>
      <c r="I41" s="392" t="n"/>
    </row>
    <row r="42">
      <c r="A42" s="392" t="n"/>
      <c r="B42" s="392" t="n"/>
      <c r="C42" s="392" t="n"/>
      <c r="D42" s="392" t="n"/>
      <c r="E42" s="392" t="n"/>
      <c r="F42" s="394" t="n"/>
      <c r="G42" s="604">
        <f>IFERROR(INDEX(⑱中間品単価!$H$5:$H$443,MATCH($C42,⑱中間品単価!$B$5:$B$443,0)),"")</f>
        <v/>
      </c>
      <c r="H42" s="396">
        <f>IF(AND(ISNUMBER($F42),ISNUMBER($G42)),$F42*$G42,"")</f>
        <v/>
      </c>
      <c r="I42" s="392" t="n"/>
    </row>
    <row r="43">
      <c r="A43" s="392" t="n"/>
      <c r="B43" s="392" t="n"/>
      <c r="C43" s="392" t="n"/>
      <c r="D43" s="392" t="n"/>
      <c r="E43" s="392" t="n"/>
      <c r="F43" s="394" t="n"/>
      <c r="G43" s="604">
        <f>IFERROR(INDEX(⑱中間品単価!$H$5:$H$443,MATCH($C43,⑱中間品単価!$B$5:$B$443,0)),"")</f>
        <v/>
      </c>
      <c r="H43" s="396">
        <f>IF(AND(ISNUMBER($F43),ISNUMBER($G43)),$F43*$G43,"")</f>
        <v/>
      </c>
      <c r="I43" s="392" t="n"/>
    </row>
    <row r="44">
      <c r="A44" s="392" t="n"/>
      <c r="B44" s="392" t="n"/>
      <c r="C44" s="392" t="n"/>
      <c r="D44" s="392" t="n"/>
      <c r="E44" s="392" t="n"/>
      <c r="F44" s="394" t="n"/>
      <c r="G44" s="604">
        <f>IFERROR(INDEX(⑱中間品単価!$H$5:$H$443,MATCH($C44,⑱中間品単価!$B$5:$B$443,0)),"")</f>
        <v/>
      </c>
      <c r="H44" s="396">
        <f>IF(AND(ISNUMBER($F44),ISNUMBER($G44)),$F44*$G44,"")</f>
        <v/>
      </c>
      <c r="I44" s="392" t="n"/>
    </row>
    <row r="45">
      <c r="A45" s="392" t="n"/>
      <c r="B45" s="392" t="n"/>
      <c r="C45" s="392" t="n"/>
      <c r="D45" s="392" t="n"/>
      <c r="E45" s="392" t="n"/>
      <c r="F45" s="394" t="n"/>
      <c r="G45" s="604">
        <f>IFERROR(INDEX(⑱中間品単価!$H$5:$H$443,MATCH($C45,⑱中間品単価!$B$5:$B$443,0)),"")</f>
        <v/>
      </c>
      <c r="H45" s="396">
        <f>IF(AND(ISNUMBER($F45),ISNUMBER($G45)),$F45*$G45,"")</f>
        <v/>
      </c>
      <c r="I45" s="392" t="n"/>
    </row>
    <row r="46">
      <c r="A46" s="392" t="n"/>
      <c r="B46" s="392" t="n"/>
      <c r="C46" s="392" t="n"/>
      <c r="D46" s="392" t="n"/>
      <c r="E46" s="392" t="n"/>
      <c r="F46" s="394" t="n"/>
      <c r="G46" s="604">
        <f>IFERROR(INDEX(⑱中間品単価!$H$5:$H$443,MATCH($C46,⑱中間品単価!$B$5:$B$443,0)),"")</f>
        <v/>
      </c>
      <c r="H46" s="396">
        <f>IF(AND(ISNUMBER($F46),ISNUMBER($G46)),$F46*$G46,"")</f>
        <v/>
      </c>
      <c r="I46" s="392" t="n"/>
    </row>
    <row r="47">
      <c r="A47" s="392" t="n"/>
      <c r="B47" s="392" t="n"/>
      <c r="C47" s="392" t="n"/>
      <c r="D47" s="392" t="n"/>
      <c r="E47" s="392" t="n"/>
      <c r="F47" s="394" t="n"/>
      <c r="G47" s="604">
        <f>IFERROR(INDEX(⑱中間品単価!$H$5:$H$443,MATCH($C47,⑱中間品単価!$B$5:$B$443,0)),"")</f>
        <v/>
      </c>
      <c r="H47" s="396">
        <f>IF(AND(ISNUMBER($F47),ISNUMBER($G47)),$F47*$G47,"")</f>
        <v/>
      </c>
      <c r="I47" s="392" t="n"/>
    </row>
    <row r="48">
      <c r="A48" s="392" t="n"/>
      <c r="B48" s="392" t="n"/>
      <c r="C48" s="392" t="n"/>
      <c r="D48" s="392" t="n"/>
      <c r="E48" s="392" t="n"/>
      <c r="F48" s="394" t="n"/>
      <c r="G48" s="604">
        <f>IFERROR(INDEX(⑱中間品単価!$H$5:$H$443,MATCH($C48,⑱中間品単価!$B$5:$B$443,0)),"")</f>
        <v/>
      </c>
      <c r="H48" s="396">
        <f>IF(AND(ISNUMBER($F48),ISNUMBER($G48)),$F48*$G48,"")</f>
        <v/>
      </c>
      <c r="I48" s="392" t="n"/>
    </row>
    <row r="49">
      <c r="A49" s="392" t="n"/>
      <c r="B49" s="392" t="n"/>
      <c r="C49" s="392" t="n"/>
      <c r="D49" s="392" t="n"/>
      <c r="E49" s="392" t="n"/>
      <c r="F49" s="394" t="n"/>
      <c r="G49" s="604">
        <f>IFERROR(INDEX(⑱中間品単価!$H$5:$H$443,MATCH($C49,⑱中間品単価!$B$5:$B$443,0)),"")</f>
        <v/>
      </c>
      <c r="H49" s="396">
        <f>IF(AND(ISNUMBER($F49),ISNUMBER($G49)),$F49*$G49,"")</f>
        <v/>
      </c>
      <c r="I49" s="392" t="n"/>
    </row>
    <row r="50">
      <c r="A50" s="392" t="n"/>
      <c r="B50" s="392" t="n"/>
      <c r="C50" s="392" t="n"/>
      <c r="D50" s="392" t="n"/>
      <c r="E50" s="392" t="n"/>
      <c r="F50" s="394" t="n"/>
      <c r="G50" s="604">
        <f>IFERROR(INDEX(⑱中間品単価!$H$5:$H$443,MATCH($C50,⑱中間品単価!$B$5:$B$443,0)),"")</f>
        <v/>
      </c>
      <c r="H50" s="396">
        <f>IF(AND(ISNUMBER($F50),ISNUMBER($G50)),$F50*$G50,"")</f>
        <v/>
      </c>
      <c r="I50" s="392" t="n"/>
    </row>
    <row r="51">
      <c r="A51" s="392" t="n"/>
      <c r="B51" s="392" t="n"/>
      <c r="C51" s="392" t="n"/>
      <c r="D51" s="392" t="n"/>
      <c r="E51" s="392" t="n"/>
      <c r="F51" s="394" t="n"/>
      <c r="G51" s="604">
        <f>IFERROR(INDEX(⑱中間品単価!$H$5:$H$443,MATCH($C51,⑱中間品単価!$B$5:$B$443,0)),"")</f>
        <v/>
      </c>
      <c r="H51" s="396">
        <f>IF(AND(ISNUMBER($F51),ISNUMBER($G51)),$F51*$G51,"")</f>
        <v/>
      </c>
      <c r="I51" s="392" t="n"/>
    </row>
    <row r="52">
      <c r="A52" s="392" t="n"/>
      <c r="B52" s="392" t="n"/>
      <c r="C52" s="392" t="n"/>
      <c r="D52" s="392" t="n"/>
      <c r="E52" s="392" t="n"/>
      <c r="F52" s="394" t="n"/>
      <c r="G52" s="604">
        <f>IFERROR(INDEX(⑱中間品単価!$H$5:$H$443,MATCH($C52,⑱中間品単価!$B$5:$B$443,0)),"")</f>
        <v/>
      </c>
      <c r="H52" s="396">
        <f>IF(AND(ISNUMBER($F52),ISNUMBER($G52)),$F52*$G52,"")</f>
        <v/>
      </c>
      <c r="I52" s="392" t="n"/>
    </row>
    <row r="53">
      <c r="A53" s="392" t="n"/>
      <c r="B53" s="392" t="n"/>
      <c r="C53" s="392" t="n"/>
      <c r="D53" s="392" t="n"/>
      <c r="E53" s="392" t="n"/>
      <c r="F53" s="394" t="n"/>
      <c r="G53" s="604">
        <f>IFERROR(INDEX(⑱中間品単価!$H$5:$H$443,MATCH($C53,⑱中間品単価!$B$5:$B$443,0)),"")</f>
        <v/>
      </c>
      <c r="H53" s="396">
        <f>IF(AND(ISNUMBER($F53),ISNUMBER($G53)),$F53*$G53,"")</f>
        <v/>
      </c>
      <c r="I53" s="392" t="n"/>
    </row>
    <row r="54">
      <c r="A54" s="392" t="n"/>
      <c r="B54" s="392" t="n"/>
      <c r="C54" s="392" t="n"/>
      <c r="D54" s="392" t="n"/>
      <c r="E54" s="392" t="n"/>
      <c r="F54" s="394" t="n"/>
      <c r="G54" s="604">
        <f>IFERROR(INDEX(⑱中間品単価!$H$5:$H$443,MATCH($C54,⑱中間品単価!$B$5:$B$443,0)),"")</f>
        <v/>
      </c>
      <c r="H54" s="396">
        <f>IF(AND(ISNUMBER($F54),ISNUMBER($G54)),$F54*$G54,"")</f>
        <v/>
      </c>
      <c r="I54" s="392" t="n"/>
    </row>
    <row r="55">
      <c r="A55" s="392" t="n"/>
      <c r="B55" s="392" t="n"/>
      <c r="C55" s="392" t="n"/>
      <c r="D55" s="392" t="n"/>
      <c r="E55" s="392" t="n"/>
      <c r="F55" s="394" t="n"/>
      <c r="G55" s="604">
        <f>IFERROR(INDEX(⑱中間品単価!$H$5:$H$443,MATCH($C55,⑱中間品単価!$B$5:$B$443,0)),"")</f>
        <v/>
      </c>
      <c r="H55" s="396">
        <f>IF(AND(ISNUMBER($F55),ISNUMBER($G55)),$F55*$G55,"")</f>
        <v/>
      </c>
      <c r="I55" s="392" t="n"/>
    </row>
    <row r="56">
      <c r="A56" s="392" t="n"/>
      <c r="B56" s="392" t="n"/>
      <c r="C56" s="392" t="n"/>
      <c r="D56" s="392" t="n"/>
      <c r="E56" s="392" t="n"/>
      <c r="F56" s="394" t="n"/>
      <c r="G56" s="604">
        <f>IFERROR(INDEX(⑱中間品単価!$H$5:$H$443,MATCH($C56,⑱中間品単価!$B$5:$B$443,0)),"")</f>
        <v/>
      </c>
      <c r="H56" s="396">
        <f>IF(AND(ISNUMBER($F56),ISNUMBER($G56)),$F56*$G56,"")</f>
        <v/>
      </c>
      <c r="I56" s="392" t="n"/>
    </row>
    <row r="57">
      <c r="A57" s="392" t="n"/>
      <c r="B57" s="392" t="n"/>
      <c r="C57" s="392" t="n"/>
      <c r="D57" s="392" t="n"/>
      <c r="E57" s="392" t="n"/>
      <c r="F57" s="394" t="n"/>
      <c r="G57" s="604">
        <f>IFERROR(INDEX(⑱中間品単価!$H$5:$H$443,MATCH($C57,⑱中間品単価!$B$5:$B$443,0)),"")</f>
        <v/>
      </c>
      <c r="H57" s="396">
        <f>IF(AND(ISNUMBER($F57),ISNUMBER($G57)),$F57*$G57,"")</f>
        <v/>
      </c>
      <c r="I57" s="392" t="n"/>
    </row>
    <row r="58">
      <c r="A58" s="392" t="n"/>
      <c r="B58" s="392" t="n"/>
      <c r="C58" s="392" t="n"/>
      <c r="D58" s="392" t="n"/>
      <c r="E58" s="392" t="n"/>
      <c r="F58" s="394" t="n"/>
      <c r="G58" s="604">
        <f>IFERROR(INDEX(⑱中間品単価!$H$5:$H$443,MATCH($C58,⑱中間品単価!$B$5:$B$443,0)),"")</f>
        <v/>
      </c>
      <c r="H58" s="396">
        <f>IF(AND(ISNUMBER($F58),ISNUMBER($G58)),$F58*$G58,"")</f>
        <v/>
      </c>
      <c r="I58" s="392" t="n"/>
    </row>
    <row r="59">
      <c r="A59" s="392" t="n"/>
      <c r="B59" s="392" t="n"/>
      <c r="C59" s="392" t="n"/>
      <c r="D59" s="392" t="n"/>
      <c r="E59" s="392" t="n"/>
      <c r="F59" s="394" t="n"/>
      <c r="G59" s="604">
        <f>IFERROR(INDEX(⑱中間品単価!$H$5:$H$443,MATCH($C59,⑱中間品単価!$B$5:$B$443,0)),"")</f>
        <v/>
      </c>
      <c r="H59" s="396">
        <f>IF(AND(ISNUMBER($F59),ISNUMBER($G59)),$F59*$G59,"")</f>
        <v/>
      </c>
      <c r="I59" s="392" t="n"/>
    </row>
    <row r="60">
      <c r="A60" s="392" t="n"/>
      <c r="B60" s="392" t="n"/>
      <c r="C60" s="392" t="n"/>
      <c r="D60" s="392" t="n"/>
      <c r="E60" s="392" t="n"/>
      <c r="F60" s="394" t="n"/>
      <c r="G60" s="604">
        <f>IFERROR(INDEX(⑱中間品単価!$H$5:$H$443,MATCH($C60,⑱中間品単価!$B$5:$B$443,0)),"")</f>
        <v/>
      </c>
      <c r="H60" s="396">
        <f>IF(AND(ISNUMBER($F60),ISNUMBER($G60)),$F60*$G60,"")</f>
        <v/>
      </c>
      <c r="I60" s="392" t="n"/>
    </row>
    <row r="61">
      <c r="A61" s="392" t="n"/>
      <c r="B61" s="392" t="n"/>
      <c r="C61" s="392" t="n"/>
      <c r="D61" s="392" t="n"/>
      <c r="E61" s="392" t="n"/>
      <c r="F61" s="394" t="n"/>
      <c r="G61" s="604">
        <f>IFERROR(INDEX(⑱中間品単価!$H$5:$H$443,MATCH($C61,⑱中間品単価!$B$5:$B$443,0)),"")</f>
        <v/>
      </c>
      <c r="H61" s="396">
        <f>IF(AND(ISNUMBER($F61),ISNUMBER($G61)),$F61*$G61,"")</f>
        <v/>
      </c>
      <c r="I61" s="392" t="n"/>
    </row>
    <row r="62">
      <c r="A62" s="392" t="n"/>
      <c r="B62" s="392" t="n"/>
      <c r="C62" s="392" t="n"/>
      <c r="D62" s="392" t="n"/>
      <c r="E62" s="392" t="n"/>
      <c r="F62" s="394" t="n"/>
      <c r="G62" s="604">
        <f>IFERROR(INDEX(⑱中間品単価!$H$5:$H$443,MATCH($C62,⑱中間品単価!$B$5:$B$443,0)),"")</f>
        <v/>
      </c>
      <c r="H62" s="396">
        <f>IF(AND(ISNUMBER($F62),ISNUMBER($G62)),$F62*$G62,"")</f>
        <v/>
      </c>
      <c r="I62" s="392" t="n"/>
    </row>
    <row r="63">
      <c r="A63" s="392" t="n"/>
      <c r="B63" s="392" t="n"/>
      <c r="C63" s="392" t="n"/>
      <c r="D63" s="392" t="n"/>
      <c r="E63" s="392" t="n"/>
      <c r="F63" s="394" t="n"/>
      <c r="G63" s="604">
        <f>IFERROR(INDEX(⑱中間品単価!$H$5:$H$443,MATCH($C63,⑱中間品単価!$B$5:$B$443,0)),"")</f>
        <v/>
      </c>
      <c r="H63" s="396">
        <f>IF(AND(ISNUMBER($F63),ISNUMBER($G63)),$F63*$G63,"")</f>
        <v/>
      </c>
      <c r="I63" s="392" t="n"/>
    </row>
    <row r="64">
      <c r="A64" s="392" t="n"/>
      <c r="B64" s="392" t="n"/>
      <c r="C64" s="392" t="n"/>
      <c r="D64" s="392" t="n"/>
      <c r="E64" s="392" t="n"/>
      <c r="F64" s="394" t="n"/>
      <c r="G64" s="604">
        <f>IFERROR(INDEX(⑱中間品単価!$H$5:$H$443,MATCH($C64,⑱中間品単価!$B$5:$B$443,0)),"")</f>
        <v/>
      </c>
      <c r="H64" s="396">
        <f>IF(AND(ISNUMBER($F64),ISNUMBER($G64)),$F64*$G64,"")</f>
        <v/>
      </c>
      <c r="I64" s="392" t="n"/>
    </row>
    <row r="65">
      <c r="A65" s="392" t="n"/>
      <c r="B65" s="392" t="n"/>
      <c r="C65" s="392" t="n"/>
      <c r="D65" s="392" t="n"/>
      <c r="E65" s="392" t="n"/>
      <c r="F65" s="394" t="n"/>
      <c r="G65" s="604">
        <f>IFERROR(INDEX(⑱中間品単価!$H$5:$H$443,MATCH($C65,⑱中間品単価!$B$5:$B$443,0)),"")</f>
        <v/>
      </c>
      <c r="H65" s="396">
        <f>IF(AND(ISNUMBER($F65),ISNUMBER($G65)),$F65*$G65,"")</f>
        <v/>
      </c>
      <c r="I65" s="392" t="n"/>
    </row>
    <row r="66">
      <c r="A66" s="392" t="n"/>
      <c r="B66" s="392" t="n"/>
      <c r="C66" s="392" t="n"/>
      <c r="D66" s="392" t="n"/>
      <c r="E66" s="392" t="n"/>
      <c r="F66" s="394" t="n"/>
      <c r="G66" s="604">
        <f>IFERROR(INDEX(⑱中間品単価!$H$5:$H$443,MATCH($C66,⑱中間品単価!$B$5:$B$443,0)),"")</f>
        <v/>
      </c>
      <c r="H66" s="396">
        <f>IF(AND(ISNUMBER($F66),ISNUMBER($G66)),$F66*$G66,"")</f>
        <v/>
      </c>
      <c r="I66" s="392" t="n"/>
    </row>
    <row r="67">
      <c r="A67" s="392" t="n"/>
      <c r="B67" s="392" t="n"/>
      <c r="C67" s="392" t="n"/>
      <c r="D67" s="392" t="n"/>
      <c r="E67" s="392" t="n"/>
      <c r="F67" s="394" t="n"/>
      <c r="G67" s="604">
        <f>IFERROR(INDEX(⑱中間品単価!$H$5:$H$443,MATCH($C67,⑱中間品単価!$B$5:$B$443,0)),"")</f>
        <v/>
      </c>
      <c r="H67" s="396">
        <f>IF(AND(ISNUMBER($F67),ISNUMBER($G67)),$F67*$G67,"")</f>
        <v/>
      </c>
      <c r="I67" s="392" t="n"/>
    </row>
    <row r="68">
      <c r="A68" s="392" t="n"/>
      <c r="B68" s="392" t="n"/>
      <c r="C68" s="392" t="n"/>
      <c r="D68" s="392" t="n"/>
      <c r="E68" s="392" t="n"/>
      <c r="F68" s="394" t="n"/>
      <c r="G68" s="604">
        <f>IFERROR(INDEX(⑱中間品単価!$H$5:$H$443,MATCH($C68,⑱中間品単価!$B$5:$B$443,0)),"")</f>
        <v/>
      </c>
      <c r="H68" s="396">
        <f>IF(AND(ISNUMBER($F68),ISNUMBER($G68)),$F68*$G68,"")</f>
        <v/>
      </c>
      <c r="I68" s="392" t="n"/>
    </row>
    <row r="69">
      <c r="A69" s="392" t="n"/>
      <c r="B69" s="392" t="n"/>
      <c r="C69" s="392" t="n"/>
      <c r="D69" s="392" t="n"/>
      <c r="E69" s="392" t="n"/>
      <c r="F69" s="394" t="n"/>
      <c r="G69" s="604">
        <f>IFERROR(INDEX(⑱中間品単価!$H$5:$H$443,MATCH($C69,⑱中間品単価!$B$5:$B$443,0)),"")</f>
        <v/>
      </c>
      <c r="H69" s="396">
        <f>IF(AND(ISNUMBER($F69),ISNUMBER($G69)),$F69*$G69,"")</f>
        <v/>
      </c>
      <c r="I69" s="392" t="n"/>
    </row>
    <row r="70">
      <c r="A70" s="392" t="n"/>
      <c r="B70" s="392" t="n"/>
      <c r="C70" s="392" t="n"/>
      <c r="D70" s="392" t="n"/>
      <c r="E70" s="392" t="n"/>
      <c r="F70" s="394" t="n"/>
      <c r="G70" s="604">
        <f>IFERROR(INDEX(⑱中間品単価!$H$5:$H$443,MATCH($C70,⑱中間品単価!$B$5:$B$443,0)),"")</f>
        <v/>
      </c>
      <c r="H70" s="396">
        <f>IF(AND(ISNUMBER($F70),ISNUMBER($G70)),$F70*$G70,"")</f>
        <v/>
      </c>
      <c r="I70" s="392" t="n"/>
    </row>
    <row r="71">
      <c r="A71" s="392" t="n"/>
      <c r="B71" s="392" t="n"/>
      <c r="C71" s="392" t="n"/>
      <c r="D71" s="392" t="n"/>
      <c r="E71" s="392" t="n"/>
      <c r="F71" s="394" t="n"/>
      <c r="G71" s="604">
        <f>IFERROR(INDEX(⑱中間品単価!$H$5:$H$443,MATCH($C71,⑱中間品単価!$B$5:$B$443,0)),"")</f>
        <v/>
      </c>
      <c r="H71" s="396">
        <f>IF(AND(ISNUMBER($F71),ISNUMBER($G71)),$F71*$G71,"")</f>
        <v/>
      </c>
      <c r="I71" s="392" t="n"/>
    </row>
    <row r="72">
      <c r="A72" s="392" t="n"/>
      <c r="B72" s="392" t="n"/>
      <c r="C72" s="392" t="n"/>
      <c r="D72" s="392" t="n"/>
      <c r="E72" s="392" t="n"/>
      <c r="F72" s="394" t="n"/>
      <c r="G72" s="604">
        <f>IFERROR(INDEX(⑱中間品単価!$H$5:$H$443,MATCH($C72,⑱中間品単価!$B$5:$B$443,0)),"")</f>
        <v/>
      </c>
      <c r="H72" s="396">
        <f>IF(AND(ISNUMBER($F72),ISNUMBER($G72)),$F72*$G72,"")</f>
        <v/>
      </c>
      <c r="I72" s="392" t="n"/>
    </row>
    <row r="73">
      <c r="A73" s="392" t="n"/>
      <c r="B73" s="392" t="n"/>
      <c r="C73" s="392" t="n"/>
      <c r="D73" s="392" t="n"/>
      <c r="E73" s="392" t="n"/>
      <c r="F73" s="394" t="n"/>
      <c r="G73" s="604">
        <f>IFERROR(INDEX(⑱中間品単価!$H$5:$H$443,MATCH($C73,⑱中間品単価!$B$5:$B$443,0)),"")</f>
        <v/>
      </c>
      <c r="H73" s="396">
        <f>IF(AND(ISNUMBER($F73),ISNUMBER($G73)),$F73*$G73,"")</f>
        <v/>
      </c>
      <c r="I73" s="392" t="n"/>
    </row>
    <row r="74">
      <c r="A74" s="392" t="n"/>
      <c r="B74" s="392" t="n"/>
      <c r="C74" s="392" t="n"/>
      <c r="D74" s="392" t="n"/>
      <c r="E74" s="392" t="n"/>
      <c r="F74" s="394" t="n"/>
      <c r="G74" s="604">
        <f>IFERROR(INDEX(⑱中間品単価!$H$5:$H$443,MATCH($C74,⑱中間品単価!$B$5:$B$443,0)),"")</f>
        <v/>
      </c>
      <c r="H74" s="396">
        <f>IF(AND(ISNUMBER($F74),ISNUMBER($G74)),$F74*$G74,"")</f>
        <v/>
      </c>
      <c r="I74" s="392" t="n"/>
    </row>
    <row r="75">
      <c r="A75" s="392" t="n"/>
      <c r="B75" s="392" t="n"/>
      <c r="C75" s="392" t="n"/>
      <c r="D75" s="392" t="n"/>
      <c r="E75" s="392" t="n"/>
      <c r="F75" s="394" t="n"/>
      <c r="G75" s="604">
        <f>IFERROR(INDEX(⑱中間品単価!$H$5:$H$443,MATCH($C75,⑱中間品単価!$B$5:$B$443,0)),"")</f>
        <v/>
      </c>
      <c r="H75" s="396">
        <f>IF(AND(ISNUMBER($F75),ISNUMBER($G75)),$F75*$G75,"")</f>
        <v/>
      </c>
      <c r="I75" s="392" t="n"/>
    </row>
    <row r="76">
      <c r="A76" s="392" t="n"/>
      <c r="B76" s="392" t="n"/>
      <c r="C76" s="392" t="n"/>
      <c r="D76" s="392" t="n"/>
      <c r="E76" s="392" t="n"/>
      <c r="F76" s="394" t="n"/>
      <c r="G76" s="604">
        <f>IFERROR(INDEX(⑱中間品単価!$H$5:$H$443,MATCH($C76,⑱中間品単価!$B$5:$B$443,0)),"")</f>
        <v/>
      </c>
      <c r="H76" s="396">
        <f>IF(AND(ISNUMBER($F76),ISNUMBER($G76)),$F76*$G76,"")</f>
        <v/>
      </c>
      <c r="I76" s="392" t="n"/>
    </row>
    <row r="77">
      <c r="A77" s="392" t="n"/>
      <c r="B77" s="392" t="n"/>
      <c r="C77" s="392" t="n"/>
      <c r="D77" s="392" t="n"/>
      <c r="E77" s="392" t="n"/>
      <c r="F77" s="394" t="n"/>
      <c r="G77" s="604">
        <f>IFERROR(INDEX(⑱中間品単価!$H$5:$H$443,MATCH($C77,⑱中間品単価!$B$5:$B$443,0)),"")</f>
        <v/>
      </c>
      <c r="H77" s="396">
        <f>IF(AND(ISNUMBER($F77),ISNUMBER($G77)),$F77*$G77,"")</f>
        <v/>
      </c>
      <c r="I77" s="392" t="n"/>
    </row>
    <row r="78">
      <c r="A78" s="392" t="n"/>
      <c r="B78" s="392" t="n"/>
      <c r="C78" s="392" t="n"/>
      <c r="D78" s="392" t="n"/>
      <c r="E78" s="392" t="n"/>
      <c r="F78" s="394" t="n"/>
      <c r="G78" s="604">
        <f>IFERROR(INDEX(⑱中間品単価!$H$5:$H$443,MATCH($C78,⑱中間品単価!$B$5:$B$443,0)),"")</f>
        <v/>
      </c>
      <c r="H78" s="396">
        <f>IF(AND(ISNUMBER($F78),ISNUMBER($G78)),$F78*$G78,"")</f>
        <v/>
      </c>
      <c r="I78" s="392" t="n"/>
    </row>
    <row r="79">
      <c r="A79" s="392" t="n"/>
      <c r="B79" s="392" t="n"/>
      <c r="C79" s="392" t="n"/>
      <c r="D79" s="392" t="n"/>
      <c r="E79" s="392" t="n"/>
      <c r="F79" s="394" t="n"/>
      <c r="G79" s="604">
        <f>IFERROR(INDEX(⑱中間品単価!$H$5:$H$443,MATCH($C79,⑱中間品単価!$B$5:$B$443,0)),"")</f>
        <v/>
      </c>
      <c r="H79" s="396">
        <f>IF(AND(ISNUMBER($F79),ISNUMBER($G79)),$F79*$G79,"")</f>
        <v/>
      </c>
      <c r="I79" s="392" t="n"/>
    </row>
    <row r="80">
      <c r="A80" s="392" t="n"/>
      <c r="B80" s="392" t="n"/>
      <c r="C80" s="392" t="n"/>
      <c r="D80" s="392" t="n"/>
      <c r="E80" s="392" t="n"/>
      <c r="F80" s="394" t="n"/>
      <c r="G80" s="604">
        <f>IFERROR(INDEX(⑱中間品単価!$H$5:$H$443,MATCH($C80,⑱中間品単価!$B$5:$B$443,0)),"")</f>
        <v/>
      </c>
      <c r="H80" s="396">
        <f>IF(AND(ISNUMBER($F80),ISNUMBER($G80)),$F80*$G80,"")</f>
        <v/>
      </c>
      <c r="I80" s="392" t="n"/>
    </row>
    <row r="81">
      <c r="A81" s="392" t="n"/>
      <c r="B81" s="392" t="n"/>
      <c r="C81" s="392" t="n"/>
      <c r="D81" s="392" t="n"/>
      <c r="E81" s="392" t="n"/>
      <c r="F81" s="394" t="n"/>
      <c r="G81" s="604">
        <f>IFERROR(INDEX(⑱中間品単価!$H$5:$H$443,MATCH($C81,⑱中間品単価!$B$5:$B$443,0)),"")</f>
        <v/>
      </c>
      <c r="H81" s="396">
        <f>IF(AND(ISNUMBER($F81),ISNUMBER($G81)),$F81*$G81,"")</f>
        <v/>
      </c>
      <c r="I81" s="392" t="n"/>
    </row>
    <row r="82">
      <c r="A82" s="392" t="n"/>
      <c r="B82" s="392" t="n"/>
      <c r="C82" s="392" t="n"/>
      <c r="D82" s="392" t="n"/>
      <c r="E82" s="392" t="n"/>
      <c r="F82" s="394" t="n"/>
      <c r="G82" s="604">
        <f>IFERROR(INDEX(⑱中間品単価!$H$5:$H$443,MATCH($C82,⑱中間品単価!$B$5:$B$443,0)),"")</f>
        <v/>
      </c>
      <c r="H82" s="396">
        <f>IF(AND(ISNUMBER($F82),ISNUMBER($G82)),$F82*$G82,"")</f>
        <v/>
      </c>
      <c r="I82" s="392" t="n"/>
    </row>
    <row r="83">
      <c r="A83" s="392" t="n"/>
      <c r="B83" s="392" t="n"/>
      <c r="C83" s="392" t="n"/>
      <c r="D83" s="392" t="n"/>
      <c r="E83" s="392" t="n"/>
      <c r="F83" s="394" t="n"/>
      <c r="G83" s="604">
        <f>IFERROR(INDEX(⑱中間品単価!$H$5:$H$443,MATCH($C83,⑱中間品単価!$B$5:$B$443,0)),"")</f>
        <v/>
      </c>
      <c r="H83" s="396">
        <f>IF(AND(ISNUMBER($F83),ISNUMBER($G83)),$F83*$G83,"")</f>
        <v/>
      </c>
      <c r="I83" s="392" t="n"/>
    </row>
    <row r="84">
      <c r="A84" s="392" t="n"/>
      <c r="B84" s="392" t="n"/>
      <c r="C84" s="392" t="n"/>
      <c r="D84" s="392" t="n"/>
      <c r="E84" s="392" t="n"/>
      <c r="F84" s="394" t="n"/>
      <c r="G84" s="604">
        <f>IFERROR(INDEX(⑱中間品単価!$H$5:$H$443,MATCH($C84,⑱中間品単価!$B$5:$B$443,0)),"")</f>
        <v/>
      </c>
      <c r="H84" s="396">
        <f>IF(AND(ISNUMBER($F84),ISNUMBER($G84)),$F84*$G84,"")</f>
        <v/>
      </c>
      <c r="I84" s="392" t="n"/>
    </row>
    <row r="85">
      <c r="A85" s="392" t="n"/>
      <c r="B85" s="392" t="n"/>
      <c r="C85" s="392" t="n"/>
      <c r="D85" s="392" t="n"/>
      <c r="E85" s="392" t="n"/>
      <c r="F85" s="394" t="n"/>
      <c r="G85" s="604">
        <f>IFERROR(INDEX(⑱中間品単価!$H$5:$H$443,MATCH($C85,⑱中間品単価!$B$5:$B$443,0)),"")</f>
        <v/>
      </c>
      <c r="H85" s="396">
        <f>IF(AND(ISNUMBER($F85),ISNUMBER($G85)),$F85*$G85,"")</f>
        <v/>
      </c>
      <c r="I85" s="392" t="n"/>
    </row>
    <row r="86">
      <c r="A86" s="392" t="n"/>
      <c r="B86" s="392" t="n"/>
      <c r="C86" s="392" t="n"/>
      <c r="D86" s="392" t="n"/>
      <c r="E86" s="392" t="n"/>
      <c r="F86" s="394" t="n"/>
      <c r="G86" s="604">
        <f>IFERROR(INDEX(⑱中間品単価!$H$5:$H$443,MATCH($C86,⑱中間品単価!$B$5:$B$443,0)),"")</f>
        <v/>
      </c>
      <c r="H86" s="396">
        <f>IF(AND(ISNUMBER($F86),ISNUMBER($G86)),$F86*$G86,"")</f>
        <v/>
      </c>
      <c r="I86" s="392" t="n"/>
    </row>
    <row r="87">
      <c r="A87" s="392" t="n"/>
      <c r="B87" s="392" t="n"/>
      <c r="C87" s="392" t="n"/>
      <c r="D87" s="392" t="n"/>
      <c r="E87" s="392" t="n"/>
      <c r="F87" s="394" t="n"/>
      <c r="G87" s="604">
        <f>IFERROR(INDEX(⑱中間品単価!$H$5:$H$443,MATCH($C87,⑱中間品単価!$B$5:$B$443,0)),"")</f>
        <v/>
      </c>
      <c r="H87" s="396">
        <f>IF(AND(ISNUMBER($F87),ISNUMBER($G87)),$F87*$G87,"")</f>
        <v/>
      </c>
      <c r="I87" s="392" t="n"/>
    </row>
    <row r="88">
      <c r="A88" s="392" t="n"/>
      <c r="B88" s="392" t="n"/>
      <c r="C88" s="392" t="n"/>
      <c r="D88" s="392" t="n"/>
      <c r="E88" s="392" t="n"/>
      <c r="F88" s="394" t="n"/>
      <c r="G88" s="604">
        <f>IFERROR(INDEX(⑱中間品単価!$H$5:$H$443,MATCH($C88,⑱中間品単価!$B$5:$B$443,0)),"")</f>
        <v/>
      </c>
      <c r="H88" s="396">
        <f>IF(AND(ISNUMBER($F88),ISNUMBER($G88)),$F88*$G88,"")</f>
        <v/>
      </c>
      <c r="I88" s="392" t="n"/>
    </row>
    <row r="89">
      <c r="A89" s="392" t="n"/>
      <c r="B89" s="392" t="n"/>
      <c r="C89" s="392" t="n"/>
      <c r="D89" s="392" t="n"/>
      <c r="E89" s="392" t="n"/>
      <c r="F89" s="394" t="n"/>
      <c r="G89" s="604">
        <f>IFERROR(INDEX(⑱中間品単価!$H$5:$H$443,MATCH($C89,⑱中間品単価!$B$5:$B$443,0)),"")</f>
        <v/>
      </c>
      <c r="H89" s="396">
        <f>IF(AND(ISNUMBER($F89),ISNUMBER($G89)),$F89*$G89,"")</f>
        <v/>
      </c>
      <c r="I89" s="392" t="n"/>
    </row>
    <row r="90">
      <c r="A90" s="392" t="n"/>
      <c r="B90" s="392" t="n"/>
      <c r="C90" s="392" t="n"/>
      <c r="D90" s="392" t="n"/>
      <c r="E90" s="392" t="n"/>
      <c r="F90" s="394" t="n"/>
      <c r="G90" s="604">
        <f>IFERROR(INDEX(⑱中間品単価!$H$5:$H$443,MATCH($C90,⑱中間品単価!$B$5:$B$443,0)),"")</f>
        <v/>
      </c>
      <c r="H90" s="396">
        <f>IF(AND(ISNUMBER($F90),ISNUMBER($G90)),$F90*$G90,"")</f>
        <v/>
      </c>
      <c r="I90" s="392" t="n"/>
    </row>
    <row r="91">
      <c r="A91" s="392" t="n"/>
      <c r="B91" s="392" t="n"/>
      <c r="C91" s="392" t="n"/>
      <c r="D91" s="392" t="n"/>
      <c r="E91" s="392" t="n"/>
      <c r="F91" s="394" t="n"/>
      <c r="G91" s="604">
        <f>IFERROR(INDEX(⑱中間品単価!$H$5:$H$443,MATCH($C91,⑱中間品単価!$B$5:$B$443,0)),"")</f>
        <v/>
      </c>
      <c r="H91" s="396">
        <f>IF(AND(ISNUMBER($F91),ISNUMBER($G91)),$F91*$G91,"")</f>
        <v/>
      </c>
      <c r="I91" s="392" t="n"/>
    </row>
    <row r="92">
      <c r="A92" s="392" t="n"/>
      <c r="B92" s="392" t="n"/>
      <c r="C92" s="392" t="n"/>
      <c r="D92" s="392" t="n"/>
      <c r="E92" s="392" t="n"/>
      <c r="F92" s="394" t="n"/>
      <c r="G92" s="604">
        <f>IFERROR(INDEX(⑱中間品単価!$H$5:$H$443,MATCH($C92,⑱中間品単価!$B$5:$B$443,0)),"")</f>
        <v/>
      </c>
      <c r="H92" s="396">
        <f>IF(AND(ISNUMBER($F92),ISNUMBER($G92)),$F92*$G92,"")</f>
        <v/>
      </c>
      <c r="I92" s="392" t="n"/>
    </row>
    <row r="93">
      <c r="A93" s="392" t="n"/>
      <c r="B93" s="392" t="n"/>
      <c r="C93" s="392" t="n"/>
      <c r="D93" s="392" t="n"/>
      <c r="E93" s="392" t="n"/>
      <c r="F93" s="394" t="n"/>
      <c r="G93" s="604">
        <f>IFERROR(INDEX(⑱中間品単価!$H$5:$H$443,MATCH($C93,⑱中間品単価!$B$5:$B$443,0)),"")</f>
        <v/>
      </c>
      <c r="H93" s="396">
        <f>IF(AND(ISNUMBER($F93),ISNUMBER($G93)),$F93*$G93,"")</f>
        <v/>
      </c>
      <c r="I93" s="392" t="n"/>
    </row>
    <row r="94">
      <c r="A94" s="392" t="n"/>
      <c r="B94" s="392" t="n"/>
      <c r="C94" s="392" t="n"/>
      <c r="D94" s="392" t="n"/>
      <c r="E94" s="392" t="n"/>
      <c r="F94" s="394" t="n"/>
      <c r="G94" s="604">
        <f>IFERROR(INDEX(⑱中間品単価!$H$5:$H$443,MATCH($C94,⑱中間品単価!$B$5:$B$443,0)),"")</f>
        <v/>
      </c>
      <c r="H94" s="396">
        <f>IF(AND(ISNUMBER($F94),ISNUMBER($G94)),$F94*$G94,"")</f>
        <v/>
      </c>
      <c r="I94" s="392" t="n"/>
    </row>
    <row r="95">
      <c r="A95" s="392" t="n"/>
      <c r="B95" s="392" t="n"/>
      <c r="C95" s="392" t="n"/>
      <c r="D95" s="392" t="n"/>
      <c r="E95" s="392" t="n"/>
      <c r="F95" s="394" t="n"/>
      <c r="G95" s="604">
        <f>IFERROR(INDEX(⑱中間品単価!$H$5:$H$443,MATCH($C95,⑱中間品単価!$B$5:$B$443,0)),"")</f>
        <v/>
      </c>
      <c r="H95" s="396">
        <f>IF(AND(ISNUMBER($F95),ISNUMBER($G95)),$F95*$G95,"")</f>
        <v/>
      </c>
      <c r="I95" s="392" t="n"/>
    </row>
    <row r="96">
      <c r="A96" s="392" t="n"/>
      <c r="B96" s="392" t="n"/>
      <c r="C96" s="392" t="n"/>
      <c r="D96" s="392" t="n"/>
      <c r="E96" s="392" t="n"/>
      <c r="F96" s="394" t="n"/>
      <c r="G96" s="604">
        <f>IFERROR(INDEX(⑱中間品単価!$H$5:$H$443,MATCH($C96,⑱中間品単価!$B$5:$B$443,0)),"")</f>
        <v/>
      </c>
      <c r="H96" s="396">
        <f>IF(AND(ISNUMBER($F96),ISNUMBER($G96)),$F96*$G96,"")</f>
        <v/>
      </c>
      <c r="I96" s="392" t="n"/>
    </row>
    <row r="97">
      <c r="A97" s="392" t="n"/>
      <c r="B97" s="392" t="n"/>
      <c r="C97" s="392" t="n"/>
      <c r="D97" s="392" t="n"/>
      <c r="E97" s="392" t="n"/>
      <c r="F97" s="394" t="n"/>
      <c r="G97" s="604">
        <f>IFERROR(INDEX(⑱中間品単価!$H$5:$H$443,MATCH($C97,⑱中間品単価!$B$5:$B$443,0)),"")</f>
        <v/>
      </c>
      <c r="H97" s="396">
        <f>IF(AND(ISNUMBER($F97),ISNUMBER($G97)),$F97*$G97,"")</f>
        <v/>
      </c>
      <c r="I97" s="392" t="n"/>
    </row>
    <row r="98">
      <c r="A98" s="392" t="n"/>
      <c r="B98" s="392" t="n"/>
      <c r="C98" s="392" t="n"/>
      <c r="D98" s="392" t="n"/>
      <c r="E98" s="392" t="n"/>
      <c r="F98" s="394" t="n"/>
      <c r="G98" s="604">
        <f>IFERROR(INDEX(⑱中間品単価!$H$5:$H$443,MATCH($C98,⑱中間品単価!$B$5:$B$443,0)),"")</f>
        <v/>
      </c>
      <c r="H98" s="396">
        <f>IF(AND(ISNUMBER($F98),ISNUMBER($G98)),$F98*$G98,"")</f>
        <v/>
      </c>
      <c r="I98" s="392" t="n"/>
    </row>
    <row r="99">
      <c r="A99" s="392" t="n"/>
      <c r="B99" s="392" t="n"/>
      <c r="C99" s="392" t="n"/>
      <c r="D99" s="392" t="n"/>
      <c r="E99" s="392" t="n"/>
      <c r="F99" s="394" t="n"/>
      <c r="G99" s="604">
        <f>IFERROR(INDEX(⑱中間品単価!$H$5:$H$443,MATCH($C99,⑱中間品単価!$B$5:$B$443,0)),"")</f>
        <v/>
      </c>
      <c r="H99" s="396">
        <f>IF(AND(ISNUMBER($F99),ISNUMBER($G99)),$F99*$G99,"")</f>
        <v/>
      </c>
      <c r="I99" s="392" t="n"/>
    </row>
    <row r="100">
      <c r="A100" s="392" t="n"/>
      <c r="B100" s="392" t="n"/>
      <c r="C100" s="392" t="n"/>
      <c r="D100" s="392" t="n"/>
      <c r="E100" s="392" t="n"/>
      <c r="F100" s="394" t="n"/>
      <c r="G100" s="604">
        <f>IFERROR(INDEX(⑱中間品単価!$H$5:$H$443,MATCH($C100,⑱中間品単価!$B$5:$B$443,0)),"")</f>
        <v/>
      </c>
      <c r="H100" s="396">
        <f>IF(AND(ISNUMBER($F100),ISNUMBER($G100)),$F100*$G100,"")</f>
        <v/>
      </c>
      <c r="I100" s="392" t="n"/>
    </row>
    <row r="101">
      <c r="A101" s="392" t="n"/>
      <c r="B101" s="392" t="n"/>
      <c r="C101" s="392" t="n"/>
      <c r="D101" s="392" t="n"/>
      <c r="E101" s="392" t="n"/>
      <c r="F101" s="394" t="n"/>
      <c r="G101" s="604">
        <f>IFERROR(INDEX(⑱中間品単価!$H$5:$H$443,MATCH($C101,⑱中間品単価!$B$5:$B$443,0)),"")</f>
        <v/>
      </c>
      <c r="H101" s="396">
        <f>IF(AND(ISNUMBER($F101),ISNUMBER($G101)),$F101*$G101,"")</f>
        <v/>
      </c>
      <c r="I101" s="392" t="n"/>
    </row>
    <row r="102">
      <c r="A102" s="392" t="n"/>
      <c r="B102" s="392" t="n"/>
      <c r="C102" s="392" t="n"/>
      <c r="D102" s="392" t="n"/>
      <c r="E102" s="392" t="n"/>
      <c r="F102" s="394" t="n"/>
      <c r="G102" s="604">
        <f>IFERROR(INDEX(⑱中間品単価!$H$5:$H$443,MATCH($C102,⑱中間品単価!$B$5:$B$443,0)),"")</f>
        <v/>
      </c>
      <c r="H102" s="396">
        <f>IF(AND(ISNUMBER($F102),ISNUMBER($G102)),$F102*$G102,"")</f>
        <v/>
      </c>
      <c r="I102" s="392" t="n"/>
    </row>
    <row r="103">
      <c r="A103" s="392" t="n"/>
      <c r="B103" s="392" t="n"/>
      <c r="C103" s="392" t="n"/>
      <c r="D103" s="392" t="n"/>
      <c r="E103" s="392" t="n"/>
      <c r="F103" s="394" t="n"/>
      <c r="G103" s="604">
        <f>IFERROR(INDEX(⑱中間品単価!$H$5:$H$443,MATCH($C103,⑱中間品単価!$B$5:$B$443,0)),"")</f>
        <v/>
      </c>
      <c r="H103" s="396">
        <f>IF(AND(ISNUMBER($F103),ISNUMBER($G103)),$F103*$G103,"")</f>
        <v/>
      </c>
      <c r="I103" s="392" t="n"/>
    </row>
    <row r="104">
      <c r="A104" s="392" t="n"/>
      <c r="B104" s="392" t="n"/>
      <c r="C104" s="392" t="n"/>
      <c r="D104" s="392" t="n"/>
      <c r="E104" s="392" t="n"/>
      <c r="F104" s="394" t="n"/>
      <c r="G104" s="604">
        <f>IFERROR(INDEX(⑱中間品単価!$H$5:$H$443,MATCH($C104,⑱中間品単価!$B$5:$B$443,0)),"")</f>
        <v/>
      </c>
      <c r="H104" s="396">
        <f>IF(AND(ISNUMBER($F104),ISNUMBER($G104)),$F104*$G104,"")</f>
        <v/>
      </c>
      <c r="I104" s="392" t="n"/>
    </row>
    <row r="105">
      <c r="A105" s="392" t="n"/>
      <c r="B105" s="392" t="n"/>
      <c r="C105" s="392" t="n"/>
      <c r="D105" s="392" t="n"/>
      <c r="E105" s="392" t="n"/>
      <c r="F105" s="394" t="n"/>
      <c r="G105" s="604">
        <f>IFERROR(INDEX(⑱中間品単価!$H$5:$H$443,MATCH($C105,⑱中間品単価!$B$5:$B$443,0)),"")</f>
        <v/>
      </c>
      <c r="H105" s="396">
        <f>IF(AND(ISNUMBER($F105),ISNUMBER($G105)),$F105*$G105,"")</f>
        <v/>
      </c>
      <c r="I105" s="392" t="n"/>
    </row>
    <row r="106">
      <c r="A106" s="392" t="n"/>
      <c r="B106" s="392" t="n"/>
      <c r="C106" s="392" t="n"/>
      <c r="D106" s="392" t="n"/>
      <c r="E106" s="392" t="n"/>
      <c r="F106" s="394" t="n"/>
      <c r="G106" s="604">
        <f>IFERROR(INDEX(⑱中間品単価!$H$5:$H$443,MATCH($C106,⑱中間品単価!$B$5:$B$443,0)),"")</f>
        <v/>
      </c>
      <c r="H106" s="396">
        <f>IF(AND(ISNUMBER($F106),ISNUMBER($G106)),$F106*$G106,"")</f>
        <v/>
      </c>
      <c r="I106" s="392" t="n"/>
    </row>
    <row r="107">
      <c r="A107" s="392" t="n"/>
      <c r="B107" s="392" t="n"/>
      <c r="C107" s="392" t="n"/>
      <c r="D107" s="392" t="n"/>
      <c r="E107" s="392" t="n"/>
      <c r="F107" s="394" t="n"/>
      <c r="G107" s="604">
        <f>IFERROR(INDEX(⑱中間品単価!$H$5:$H$443,MATCH($C107,⑱中間品単価!$B$5:$B$443,0)),"")</f>
        <v/>
      </c>
      <c r="H107" s="396">
        <f>IF(AND(ISNUMBER($F107),ISNUMBER($G107)),$F107*$G107,"")</f>
        <v/>
      </c>
      <c r="I107" s="392" t="n"/>
    </row>
    <row r="108">
      <c r="A108" s="392" t="n"/>
      <c r="B108" s="392" t="n"/>
      <c r="C108" s="392" t="n"/>
      <c r="D108" s="392" t="n"/>
      <c r="E108" s="392" t="n"/>
      <c r="F108" s="394" t="n"/>
      <c r="G108" s="604">
        <f>IFERROR(INDEX(⑱中間品単価!$H$5:$H$443,MATCH($C108,⑱中間品単価!$B$5:$B$443,0)),"")</f>
        <v/>
      </c>
      <c r="H108" s="396">
        <f>IF(AND(ISNUMBER($F108),ISNUMBER($G108)),$F108*$G108,"")</f>
        <v/>
      </c>
      <c r="I108" s="392" t="n"/>
    </row>
    <row r="109">
      <c r="A109" s="392" t="n"/>
      <c r="B109" s="392" t="n"/>
      <c r="C109" s="392" t="n"/>
      <c r="D109" s="392" t="n"/>
      <c r="E109" s="392" t="n"/>
      <c r="F109" s="394" t="n"/>
      <c r="G109" s="604">
        <f>IFERROR(INDEX(⑱中間品単価!$H$5:$H$443,MATCH($C109,⑱中間品単価!$B$5:$B$443,0)),"")</f>
        <v/>
      </c>
      <c r="H109" s="396">
        <f>IF(AND(ISNUMBER($F109),ISNUMBER($G109)),$F109*$G109,"")</f>
        <v/>
      </c>
      <c r="I109" s="392" t="n"/>
    </row>
    <row r="110">
      <c r="A110" s="392" t="n"/>
      <c r="B110" s="392" t="n"/>
      <c r="C110" s="392" t="n"/>
      <c r="D110" s="392" t="n"/>
      <c r="E110" s="392" t="n"/>
      <c r="F110" s="394" t="n"/>
      <c r="G110" s="604">
        <f>IFERROR(INDEX(⑱中間品単価!$H$5:$H$443,MATCH($C110,⑱中間品単価!$B$5:$B$443,0)),"")</f>
        <v/>
      </c>
      <c r="H110" s="396">
        <f>IF(AND(ISNUMBER($F110),ISNUMBER($G110)),$F110*$G110,"")</f>
        <v/>
      </c>
      <c r="I110" s="392" t="n"/>
    </row>
    <row r="111">
      <c r="A111" s="392" t="n"/>
      <c r="B111" s="392" t="n"/>
      <c r="C111" s="392" t="n"/>
      <c r="D111" s="392" t="n"/>
      <c r="E111" s="392" t="n"/>
      <c r="F111" s="394" t="n"/>
      <c r="G111" s="604">
        <f>IFERROR(INDEX(⑱中間品単価!$H$5:$H$443,MATCH($C111,⑱中間品単価!$B$5:$B$443,0)),"")</f>
        <v/>
      </c>
      <c r="H111" s="396">
        <f>IF(AND(ISNUMBER($F111),ISNUMBER($G111)),$F111*$G111,"")</f>
        <v/>
      </c>
      <c r="I111" s="392" t="n"/>
    </row>
    <row r="112">
      <c r="A112" s="392" t="n"/>
      <c r="B112" s="392" t="n"/>
      <c r="C112" s="392" t="n"/>
      <c r="D112" s="392" t="n"/>
      <c r="E112" s="392" t="n"/>
      <c r="F112" s="394" t="n"/>
      <c r="G112" s="604">
        <f>IFERROR(INDEX(⑱中間品単価!$H$5:$H$443,MATCH($C112,⑱中間品単価!$B$5:$B$443,0)),"")</f>
        <v/>
      </c>
      <c r="H112" s="396">
        <f>IF(AND(ISNUMBER($F112),ISNUMBER($G112)),$F112*$G112,"")</f>
        <v/>
      </c>
      <c r="I112" s="392" t="n"/>
    </row>
    <row r="113">
      <c r="A113" s="392" t="n"/>
      <c r="B113" s="392" t="n"/>
      <c r="C113" s="392" t="n"/>
      <c r="D113" s="392" t="n"/>
      <c r="E113" s="392" t="n"/>
      <c r="F113" s="394" t="n"/>
      <c r="G113" s="604">
        <f>IFERROR(INDEX(⑱中間品単価!$H$5:$H$443,MATCH($C113,⑱中間品単価!$B$5:$B$443,0)),"")</f>
        <v/>
      </c>
      <c r="H113" s="396">
        <f>IF(AND(ISNUMBER($F113),ISNUMBER($G113)),$F113*$G113,"")</f>
        <v/>
      </c>
      <c r="I113" s="392" t="n"/>
    </row>
    <row r="114">
      <c r="A114" s="392" t="n"/>
      <c r="B114" s="392" t="n"/>
      <c r="C114" s="392" t="n"/>
      <c r="D114" s="392" t="n"/>
      <c r="E114" s="392" t="n"/>
      <c r="F114" s="394" t="n"/>
      <c r="G114" s="604">
        <f>IFERROR(INDEX(⑱中間品単価!$H$5:$H$443,MATCH($C114,⑱中間品単価!$B$5:$B$443,0)),"")</f>
        <v/>
      </c>
      <c r="H114" s="396">
        <f>IF(AND(ISNUMBER($F114),ISNUMBER($G114)),$F114*$G114,"")</f>
        <v/>
      </c>
      <c r="I114" s="392" t="n"/>
    </row>
    <row r="115">
      <c r="A115" s="392" t="n"/>
      <c r="B115" s="392" t="n"/>
      <c r="C115" s="392" t="n"/>
      <c r="D115" s="392" t="n"/>
      <c r="E115" s="392" t="n"/>
      <c r="F115" s="394" t="n"/>
      <c r="G115" s="604">
        <f>IFERROR(INDEX(⑱中間品単価!$H$5:$H$443,MATCH($C115,⑱中間品単価!$B$5:$B$443,0)),"")</f>
        <v/>
      </c>
      <c r="H115" s="396">
        <f>IF(AND(ISNUMBER($F115),ISNUMBER($G115)),$F115*$G115,"")</f>
        <v/>
      </c>
      <c r="I115" s="392" t="n"/>
    </row>
    <row r="116">
      <c r="A116" s="392" t="n"/>
      <c r="B116" s="392" t="n"/>
      <c r="C116" s="392" t="n"/>
      <c r="D116" s="392" t="n"/>
      <c r="E116" s="392" t="n"/>
      <c r="F116" s="394" t="n"/>
      <c r="G116" s="604">
        <f>IFERROR(INDEX(⑱中間品単価!$H$5:$H$443,MATCH($C116,⑱中間品単価!$B$5:$B$443,0)),"")</f>
        <v/>
      </c>
      <c r="H116" s="396">
        <f>IF(AND(ISNUMBER($F116),ISNUMBER($G116)),$F116*$G116,"")</f>
        <v/>
      </c>
      <c r="I116" s="392" t="n"/>
    </row>
    <row r="117">
      <c r="A117" s="392" t="n"/>
      <c r="B117" s="392" t="n"/>
      <c r="C117" s="392" t="n"/>
      <c r="D117" s="392" t="n"/>
      <c r="E117" s="392" t="n"/>
      <c r="F117" s="394" t="n"/>
      <c r="G117" s="604">
        <f>IFERROR(INDEX(⑱中間品単価!$H$5:$H$443,MATCH($C117,⑱中間品単価!$B$5:$B$443,0)),"")</f>
        <v/>
      </c>
      <c r="H117" s="396">
        <f>IF(AND(ISNUMBER($F117),ISNUMBER($G117)),$F117*$G117,"")</f>
        <v/>
      </c>
      <c r="I117" s="392" t="n"/>
    </row>
    <row r="118">
      <c r="A118" s="392" t="n"/>
      <c r="B118" s="392" t="n"/>
      <c r="C118" s="392" t="n"/>
      <c r="D118" s="392" t="n"/>
      <c r="E118" s="392" t="n"/>
      <c r="F118" s="394" t="n"/>
      <c r="G118" s="604">
        <f>IFERROR(INDEX(⑱中間品単価!$H$5:$H$443,MATCH($C118,⑱中間品単価!$B$5:$B$443,0)),"")</f>
        <v/>
      </c>
      <c r="H118" s="396">
        <f>IF(AND(ISNUMBER($F118),ISNUMBER($G118)),$F118*$G118,"")</f>
        <v/>
      </c>
      <c r="I118" s="392" t="n"/>
    </row>
    <row r="119">
      <c r="A119" s="392" t="n"/>
      <c r="B119" s="392" t="n"/>
      <c r="C119" s="392" t="n"/>
      <c r="D119" s="392" t="n"/>
      <c r="E119" s="392" t="n"/>
      <c r="F119" s="394" t="n"/>
      <c r="G119" s="604">
        <f>IFERROR(INDEX(⑱中間品単価!$H$5:$H$443,MATCH($C119,⑱中間品単価!$B$5:$B$443,0)),"")</f>
        <v/>
      </c>
      <c r="H119" s="396">
        <f>IF(AND(ISNUMBER($F119),ISNUMBER($G119)),$F119*$G119,"")</f>
        <v/>
      </c>
      <c r="I119" s="392" t="n"/>
    </row>
    <row r="120">
      <c r="A120" s="392" t="n"/>
      <c r="B120" s="392" t="n"/>
      <c r="C120" s="392" t="n"/>
      <c r="D120" s="392" t="n"/>
      <c r="E120" s="392" t="n"/>
      <c r="F120" s="394" t="n"/>
      <c r="G120" s="604">
        <f>IFERROR(INDEX(⑱中間品単価!$H$5:$H$443,MATCH($C120,⑱中間品単価!$B$5:$B$443,0)),"")</f>
        <v/>
      </c>
      <c r="H120" s="396">
        <f>IF(AND(ISNUMBER($F120),ISNUMBER($G120)),$F120*$G120,"")</f>
        <v/>
      </c>
      <c r="I120" s="392" t="n"/>
    </row>
    <row r="121">
      <c r="A121" s="392" t="n"/>
      <c r="B121" s="392" t="n"/>
      <c r="C121" s="392" t="n"/>
      <c r="D121" s="392" t="n"/>
      <c r="E121" s="392" t="n"/>
      <c r="F121" s="394" t="n"/>
      <c r="G121" s="604">
        <f>IFERROR(INDEX(⑱中間品単価!$H$5:$H$443,MATCH($C121,⑱中間品単価!$B$5:$B$443,0)),"")</f>
        <v/>
      </c>
      <c r="H121" s="396">
        <f>IF(AND(ISNUMBER($F121),ISNUMBER($G121)),$F121*$G121,"")</f>
        <v/>
      </c>
      <c r="I121" s="392" t="n"/>
    </row>
    <row r="122">
      <c r="A122" s="392" t="n"/>
      <c r="B122" s="392" t="n"/>
      <c r="C122" s="392" t="n"/>
      <c r="D122" s="392" t="n"/>
      <c r="E122" s="392" t="n"/>
      <c r="F122" s="394" t="n"/>
      <c r="G122" s="604">
        <f>IFERROR(INDEX(⑱中間品単価!$H$5:$H$443,MATCH($C122,⑱中間品単価!$B$5:$B$443,0)),"")</f>
        <v/>
      </c>
      <c r="H122" s="396">
        <f>IF(AND(ISNUMBER($F122),ISNUMBER($G122)),$F122*$G122,"")</f>
        <v/>
      </c>
      <c r="I122" s="392" t="n"/>
    </row>
    <row r="123">
      <c r="A123" s="392" t="n"/>
      <c r="B123" s="392" t="n"/>
      <c r="C123" s="392" t="n"/>
      <c r="D123" s="392" t="n"/>
      <c r="E123" s="392" t="n"/>
      <c r="F123" s="394" t="n"/>
      <c r="G123" s="604">
        <f>IFERROR(INDEX(⑱中間品単価!$H$5:$H$443,MATCH($C123,⑱中間品単価!$B$5:$B$443,0)),"")</f>
        <v/>
      </c>
      <c r="H123" s="396">
        <f>IF(AND(ISNUMBER($F123),ISNUMBER($G123)),$F123*$G123,"")</f>
        <v/>
      </c>
      <c r="I123" s="392" t="n"/>
    </row>
    <row r="124">
      <c r="A124" s="392" t="n"/>
      <c r="B124" s="392" t="n"/>
      <c r="C124" s="392" t="n"/>
      <c r="D124" s="392" t="n"/>
      <c r="E124" s="392" t="n"/>
      <c r="F124" s="394" t="n"/>
      <c r="G124" s="604">
        <f>IFERROR(INDEX(⑱中間品単価!$H$5:$H$443,MATCH($C124,⑱中間品単価!$B$5:$B$443,0)),"")</f>
        <v/>
      </c>
      <c r="H124" s="396">
        <f>IF(AND(ISNUMBER($F124),ISNUMBER($G124)),$F124*$G124,"")</f>
        <v/>
      </c>
      <c r="I124" s="392" t="n"/>
    </row>
    <row r="125">
      <c r="A125" s="392" t="n"/>
      <c r="B125" s="392" t="n"/>
      <c r="C125" s="392" t="n"/>
      <c r="D125" s="392" t="n"/>
      <c r="E125" s="392" t="n"/>
      <c r="F125" s="394" t="n"/>
      <c r="G125" s="604">
        <f>IFERROR(INDEX(⑱中間品単価!$H$5:$H$443,MATCH($C125,⑱中間品単価!$B$5:$B$443,0)),"")</f>
        <v/>
      </c>
      <c r="H125" s="396">
        <f>IF(AND(ISNUMBER($F125),ISNUMBER($G125)),$F125*$G125,"")</f>
        <v/>
      </c>
      <c r="I125" s="392" t="n"/>
    </row>
    <row r="126">
      <c r="A126" s="392" t="n"/>
      <c r="B126" s="392" t="n"/>
      <c r="C126" s="392" t="n"/>
      <c r="D126" s="392" t="n"/>
      <c r="E126" s="392" t="n"/>
      <c r="F126" s="394" t="n"/>
      <c r="G126" s="604">
        <f>IFERROR(INDEX(⑱中間品単価!$H$5:$H$443,MATCH($C126,⑱中間品単価!$B$5:$B$443,0)),"")</f>
        <v/>
      </c>
      <c r="H126" s="396">
        <f>IF(AND(ISNUMBER($F126),ISNUMBER($G126)),$F126*$G126,"")</f>
        <v/>
      </c>
      <c r="I126" s="392" t="n"/>
    </row>
    <row r="127">
      <c r="A127" s="392" t="n"/>
      <c r="B127" s="392" t="n"/>
      <c r="C127" s="392" t="n"/>
      <c r="D127" s="392" t="n"/>
      <c r="E127" s="392" t="n"/>
      <c r="F127" s="394" t="n"/>
      <c r="G127" s="604">
        <f>IFERROR(INDEX(⑱中間品単価!$H$5:$H$443,MATCH($C127,⑱中間品単価!$B$5:$B$443,0)),"")</f>
        <v/>
      </c>
      <c r="H127" s="396">
        <f>IF(AND(ISNUMBER($F127),ISNUMBER($G127)),$F127*$G127,"")</f>
        <v/>
      </c>
      <c r="I127" s="392" t="n"/>
    </row>
    <row r="128">
      <c r="A128" s="392" t="n"/>
      <c r="B128" s="392" t="n"/>
      <c r="C128" s="392" t="n"/>
      <c r="D128" s="392" t="n"/>
      <c r="E128" s="392" t="n"/>
      <c r="F128" s="394" t="n"/>
      <c r="G128" s="604">
        <f>IFERROR(INDEX(⑱中間品単価!$H$5:$H$443,MATCH($C128,⑱中間品単価!$B$5:$B$443,0)),"")</f>
        <v/>
      </c>
      <c r="H128" s="396">
        <f>IF(AND(ISNUMBER($F128),ISNUMBER($G128)),$F128*$G128,"")</f>
        <v/>
      </c>
      <c r="I128" s="392" t="n"/>
    </row>
    <row r="129">
      <c r="A129" s="392" t="n"/>
      <c r="B129" s="392" t="n"/>
      <c r="C129" s="392" t="n"/>
      <c r="D129" s="392" t="n"/>
      <c r="E129" s="392" t="n"/>
      <c r="F129" s="394" t="n"/>
      <c r="G129" s="604">
        <f>IFERROR(INDEX(⑱中間品単価!$H$5:$H$443,MATCH($C129,⑱中間品単価!$B$5:$B$443,0)),"")</f>
        <v/>
      </c>
      <c r="H129" s="396">
        <f>IF(AND(ISNUMBER($F129),ISNUMBER($G129)),$F129*$G129,"")</f>
        <v/>
      </c>
      <c r="I129" s="392" t="n"/>
    </row>
    <row r="130">
      <c r="A130" s="392" t="n"/>
      <c r="B130" s="392" t="n"/>
      <c r="C130" s="392" t="n"/>
      <c r="D130" s="392" t="n"/>
      <c r="E130" s="392" t="n"/>
      <c r="F130" s="394" t="n"/>
      <c r="G130" s="604">
        <f>IFERROR(INDEX(⑱中間品単価!$H$5:$H$443,MATCH($C130,⑱中間品単価!$B$5:$B$443,0)),"")</f>
        <v/>
      </c>
      <c r="H130" s="396">
        <f>IF(AND(ISNUMBER($F130),ISNUMBER($G130)),$F130*$G130,"")</f>
        <v/>
      </c>
      <c r="I130" s="392" t="n"/>
    </row>
    <row r="131">
      <c r="A131" s="392" t="n"/>
      <c r="B131" s="392" t="n"/>
      <c r="C131" s="392" t="n"/>
      <c r="D131" s="392" t="n"/>
      <c r="E131" s="392" t="n"/>
      <c r="F131" s="394" t="n"/>
      <c r="G131" s="604">
        <f>IFERROR(INDEX(⑱中間品単価!$H$5:$H$443,MATCH($C131,⑱中間品単価!$B$5:$B$443,0)),"")</f>
        <v/>
      </c>
      <c r="H131" s="396">
        <f>IF(AND(ISNUMBER($F131),ISNUMBER($G131)),$F131*$G131,"")</f>
        <v/>
      </c>
      <c r="I131" s="392" t="n"/>
    </row>
    <row r="132">
      <c r="A132" s="392" t="n"/>
      <c r="B132" s="392" t="n"/>
      <c r="C132" s="392" t="n"/>
      <c r="D132" s="392" t="n"/>
      <c r="E132" s="392" t="n"/>
      <c r="F132" s="394" t="n"/>
      <c r="G132" s="604">
        <f>IFERROR(INDEX(⑱中間品単価!$H$5:$H$443,MATCH($C132,⑱中間品単価!$B$5:$B$443,0)),"")</f>
        <v/>
      </c>
      <c r="H132" s="396">
        <f>IF(AND(ISNUMBER($F132),ISNUMBER($G132)),$F132*$G132,"")</f>
        <v/>
      </c>
      <c r="I132" s="392" t="n"/>
    </row>
    <row r="133">
      <c r="A133" s="392" t="n"/>
      <c r="B133" s="392" t="n"/>
      <c r="C133" s="392" t="n"/>
      <c r="D133" s="392" t="n"/>
      <c r="E133" s="392" t="n"/>
      <c r="F133" s="394" t="n"/>
      <c r="G133" s="604">
        <f>IFERROR(INDEX(⑱中間品単価!$H$5:$H$443,MATCH($C133,⑱中間品単価!$B$5:$B$443,0)),"")</f>
        <v/>
      </c>
      <c r="H133" s="396">
        <f>IF(AND(ISNUMBER($F133),ISNUMBER($G133)),$F133*$G133,"")</f>
        <v/>
      </c>
      <c r="I133" s="392" t="n"/>
    </row>
    <row r="134">
      <c r="A134" s="392" t="n"/>
      <c r="B134" s="392" t="n"/>
      <c r="C134" s="392" t="n"/>
      <c r="D134" s="392" t="n"/>
      <c r="E134" s="392" t="n"/>
      <c r="F134" s="394" t="n"/>
      <c r="G134" s="604">
        <f>IFERROR(INDEX(⑱中間品単価!$H$5:$H$443,MATCH($C134,⑱中間品単価!$B$5:$B$443,0)),"")</f>
        <v/>
      </c>
      <c r="H134" s="396">
        <f>IF(AND(ISNUMBER($F134),ISNUMBER($G134)),$F134*$G134,"")</f>
        <v/>
      </c>
      <c r="I134" s="392" t="n"/>
    </row>
    <row r="135">
      <c r="A135" s="392" t="n"/>
      <c r="B135" s="392" t="n"/>
      <c r="C135" s="392" t="n"/>
      <c r="D135" s="392" t="n"/>
      <c r="E135" s="392" t="n"/>
      <c r="F135" s="394" t="n"/>
      <c r="G135" s="604">
        <f>IFERROR(INDEX(⑱中間品単価!$H$5:$H$443,MATCH($C135,⑱中間品単価!$B$5:$B$443,0)),"")</f>
        <v/>
      </c>
      <c r="H135" s="396">
        <f>IF(AND(ISNUMBER($F135),ISNUMBER($G135)),$F135*$G135,"")</f>
        <v/>
      </c>
      <c r="I135" s="392" t="n"/>
    </row>
    <row r="136">
      <c r="A136" s="392" t="n"/>
      <c r="B136" s="392" t="n"/>
      <c r="C136" s="392" t="n"/>
      <c r="D136" s="392" t="n"/>
      <c r="E136" s="392" t="n"/>
      <c r="F136" s="394" t="n"/>
      <c r="G136" s="604">
        <f>IFERROR(INDEX(⑱中間品単価!$H$5:$H$443,MATCH($C136,⑱中間品単価!$B$5:$B$443,0)),"")</f>
        <v/>
      </c>
      <c r="H136" s="396">
        <f>IF(AND(ISNUMBER($F136),ISNUMBER($G136)),$F136*$G136,"")</f>
        <v/>
      </c>
      <c r="I136" s="392" t="n"/>
    </row>
    <row r="137">
      <c r="A137" s="392" t="n"/>
      <c r="B137" s="392" t="n"/>
      <c r="C137" s="392" t="n"/>
      <c r="D137" s="392" t="n"/>
      <c r="E137" s="392" t="n"/>
      <c r="F137" s="394" t="n"/>
      <c r="G137" s="604">
        <f>IFERROR(INDEX(⑱中間品単価!$H$5:$H$443,MATCH($C137,⑱中間品単価!$B$5:$B$443,0)),"")</f>
        <v/>
      </c>
      <c r="H137" s="396">
        <f>IF(AND(ISNUMBER($F137),ISNUMBER($G137)),$F137*$G137,"")</f>
        <v/>
      </c>
      <c r="I137" s="392" t="n"/>
    </row>
    <row r="138">
      <c r="A138" s="392" t="n"/>
      <c r="B138" s="392" t="n"/>
      <c r="C138" s="392" t="n"/>
      <c r="D138" s="392" t="n"/>
      <c r="E138" s="392" t="n"/>
      <c r="F138" s="394" t="n"/>
      <c r="G138" s="604">
        <f>IFERROR(INDEX(⑱中間品単価!$H$5:$H$443,MATCH($C138,⑱中間品単価!$B$5:$B$443,0)),"")</f>
        <v/>
      </c>
      <c r="H138" s="396">
        <f>IF(AND(ISNUMBER($F138),ISNUMBER($G138)),$F138*$G138,"")</f>
        <v/>
      </c>
      <c r="I138" s="392" t="n"/>
    </row>
    <row r="139">
      <c r="A139" s="392" t="n"/>
      <c r="B139" s="392" t="n"/>
      <c r="C139" s="392" t="n"/>
      <c r="D139" s="392" t="n"/>
      <c r="E139" s="392" t="n"/>
      <c r="F139" s="394" t="n"/>
      <c r="G139" s="604">
        <f>IFERROR(INDEX(⑱中間品単価!$H$5:$H$443,MATCH($C139,⑱中間品単価!$B$5:$B$443,0)),"")</f>
        <v/>
      </c>
      <c r="H139" s="396">
        <f>IF(AND(ISNUMBER($F139),ISNUMBER($G139)),$F139*$G139,"")</f>
        <v/>
      </c>
      <c r="I139" s="392" t="n"/>
    </row>
    <row r="140">
      <c r="A140" s="392" t="n"/>
      <c r="B140" s="392" t="n"/>
      <c r="C140" s="392" t="n"/>
      <c r="D140" s="392" t="n"/>
      <c r="E140" s="392" t="n"/>
      <c r="F140" s="394" t="n"/>
      <c r="G140" s="604">
        <f>IFERROR(INDEX(⑱中間品単価!$H$5:$H$443,MATCH($C140,⑱中間品単価!$B$5:$B$443,0)),"")</f>
        <v/>
      </c>
      <c r="H140" s="396">
        <f>IF(AND(ISNUMBER($F140),ISNUMBER($G140)),$F140*$G140,"")</f>
        <v/>
      </c>
      <c r="I140" s="392" t="n"/>
    </row>
    <row r="141">
      <c r="A141" s="392" t="n"/>
      <c r="B141" s="392" t="n"/>
      <c r="C141" s="392" t="n"/>
      <c r="D141" s="392" t="n"/>
      <c r="E141" s="392" t="n"/>
      <c r="F141" s="394" t="n"/>
      <c r="G141" s="604">
        <f>IFERROR(INDEX(⑱中間品単価!$H$5:$H$443,MATCH($C141,⑱中間品単価!$B$5:$B$443,0)),"")</f>
        <v/>
      </c>
      <c r="H141" s="396">
        <f>IF(AND(ISNUMBER($F141),ISNUMBER($G141)),$F141*$G141,"")</f>
        <v/>
      </c>
      <c r="I141" s="392" t="n"/>
    </row>
    <row r="142">
      <c r="A142" s="392" t="n"/>
      <c r="B142" s="392" t="n"/>
      <c r="C142" s="392" t="n"/>
      <c r="D142" s="392" t="n"/>
      <c r="E142" s="392" t="n"/>
      <c r="F142" s="394" t="n"/>
      <c r="G142" s="604">
        <f>IFERROR(INDEX(⑱中間品単価!$H$5:$H$443,MATCH($C142,⑱中間品単価!$B$5:$B$443,0)),"")</f>
        <v/>
      </c>
      <c r="H142" s="396">
        <f>IF(AND(ISNUMBER($F142),ISNUMBER($G142)),$F142*$G142,"")</f>
        <v/>
      </c>
      <c r="I142" s="392" t="n"/>
    </row>
    <row r="143">
      <c r="A143" s="392" t="n"/>
      <c r="B143" s="392" t="n"/>
      <c r="C143" s="392" t="n"/>
      <c r="D143" s="392" t="n"/>
      <c r="E143" s="392" t="n"/>
      <c r="F143" s="394" t="n"/>
      <c r="G143" s="604">
        <f>IFERROR(INDEX(⑱中間品単価!$H$5:$H$443,MATCH($C143,⑱中間品単価!$B$5:$B$443,0)),"")</f>
        <v/>
      </c>
      <c r="H143" s="396">
        <f>IF(AND(ISNUMBER($F143),ISNUMBER($G143)),$F143*$G143,"")</f>
        <v/>
      </c>
      <c r="I143" s="392" t="n"/>
    </row>
    <row r="144">
      <c r="A144" s="392" t="n"/>
      <c r="B144" s="392" t="n"/>
      <c r="C144" s="392" t="n"/>
      <c r="D144" s="392" t="n"/>
      <c r="E144" s="392" t="n"/>
      <c r="F144" s="394" t="n"/>
      <c r="G144" s="604">
        <f>IFERROR(INDEX(⑱中間品単価!$H$5:$H$443,MATCH($C144,⑱中間品単価!$B$5:$B$443,0)),"")</f>
        <v/>
      </c>
      <c r="H144" s="396">
        <f>IF(AND(ISNUMBER($F144),ISNUMBER($G144)),$F144*$G144,"")</f>
        <v/>
      </c>
      <c r="I144" s="392" t="n"/>
    </row>
    <row r="145">
      <c r="A145" s="392" t="n"/>
      <c r="B145" s="392" t="n"/>
      <c r="C145" s="392" t="n"/>
      <c r="D145" s="392" t="n"/>
      <c r="E145" s="392" t="n"/>
      <c r="F145" s="394" t="n"/>
      <c r="G145" s="604">
        <f>IFERROR(INDEX(⑱中間品単価!$H$5:$H$443,MATCH($C145,⑱中間品単価!$B$5:$B$443,0)),"")</f>
        <v/>
      </c>
      <c r="H145" s="396">
        <f>IF(AND(ISNUMBER($F145),ISNUMBER($G145)),$F145*$G145,"")</f>
        <v/>
      </c>
      <c r="I145" s="392" t="n"/>
    </row>
    <row r="146">
      <c r="A146" s="392" t="n"/>
      <c r="B146" s="392" t="n"/>
      <c r="C146" s="392" t="n"/>
      <c r="D146" s="392" t="n"/>
      <c r="E146" s="392" t="n"/>
      <c r="F146" s="394" t="n"/>
      <c r="G146" s="604">
        <f>IFERROR(INDEX(⑱中間品単価!$H$5:$H$443,MATCH($C146,⑱中間品単価!$B$5:$B$443,0)),"")</f>
        <v/>
      </c>
      <c r="H146" s="396">
        <f>IF(AND(ISNUMBER($F146),ISNUMBER($G146)),$F146*$G146,"")</f>
        <v/>
      </c>
      <c r="I146" s="392" t="n"/>
    </row>
    <row r="147">
      <c r="A147" s="392" t="n"/>
      <c r="B147" s="392" t="n"/>
      <c r="C147" s="392" t="n"/>
      <c r="D147" s="392" t="n"/>
      <c r="E147" s="392" t="n"/>
      <c r="F147" s="394" t="n"/>
      <c r="G147" s="604">
        <f>IFERROR(INDEX(⑱中間品単価!$H$5:$H$443,MATCH($C147,⑱中間品単価!$B$5:$B$443,0)),"")</f>
        <v/>
      </c>
      <c r="H147" s="396">
        <f>IF(AND(ISNUMBER($F147),ISNUMBER($G147)),$F147*$G147,"")</f>
        <v/>
      </c>
      <c r="I147" s="392" t="n"/>
    </row>
    <row r="148">
      <c r="A148" s="392" t="n"/>
      <c r="B148" s="392" t="n"/>
      <c r="C148" s="392" t="n"/>
      <c r="D148" s="392" t="n"/>
      <c r="E148" s="392" t="n"/>
      <c r="F148" s="394" t="n"/>
      <c r="G148" s="604">
        <f>IFERROR(INDEX(⑱中間品単価!$H$5:$H$443,MATCH($C148,⑱中間品単価!$B$5:$B$443,0)),"")</f>
        <v/>
      </c>
      <c r="H148" s="396">
        <f>IF(AND(ISNUMBER($F148),ISNUMBER($G148)),$F148*$G148,"")</f>
        <v/>
      </c>
      <c r="I148" s="392" t="n"/>
    </row>
    <row r="149">
      <c r="A149" s="392" t="n"/>
      <c r="B149" s="392" t="n"/>
      <c r="C149" s="392" t="n"/>
      <c r="D149" s="392" t="n"/>
      <c r="E149" s="392" t="n"/>
      <c r="F149" s="394" t="n"/>
      <c r="G149" s="604">
        <f>IFERROR(INDEX(⑱中間品単価!$H$5:$H$443,MATCH($C149,⑱中間品単価!$B$5:$B$443,0)),"")</f>
        <v/>
      </c>
      <c r="H149" s="396">
        <f>IF(AND(ISNUMBER($F149),ISNUMBER($G149)),$F149*$G149,"")</f>
        <v/>
      </c>
      <c r="I149" s="392" t="n"/>
    </row>
    <row r="150">
      <c r="A150" s="392" t="n"/>
      <c r="B150" s="392" t="n"/>
      <c r="C150" s="392" t="n"/>
      <c r="D150" s="392" t="n"/>
      <c r="E150" s="392" t="n"/>
      <c r="F150" s="394" t="n"/>
      <c r="G150" s="604">
        <f>IFERROR(INDEX(⑱中間品単価!$H$5:$H$443,MATCH($C150,⑱中間品単価!$B$5:$B$443,0)),"")</f>
        <v/>
      </c>
      <c r="H150" s="396">
        <f>IF(AND(ISNUMBER($F150),ISNUMBER($G150)),$F150*$G150,"")</f>
        <v/>
      </c>
      <c r="I150" s="392" t="n"/>
    </row>
    <row r="151">
      <c r="A151" s="392" t="n"/>
      <c r="B151" s="392" t="n"/>
      <c r="C151" s="392" t="n"/>
      <c r="D151" s="392" t="n"/>
      <c r="E151" s="392" t="n"/>
      <c r="F151" s="394" t="n"/>
      <c r="G151" s="604">
        <f>IFERROR(INDEX(⑱中間品単価!$H$5:$H$443,MATCH($C151,⑱中間品単価!$B$5:$B$443,0)),"")</f>
        <v/>
      </c>
      <c r="H151" s="396">
        <f>IF(AND(ISNUMBER($F151),ISNUMBER($G151)),$F151*$G151,"")</f>
        <v/>
      </c>
      <c r="I151" s="392" t="n"/>
    </row>
    <row r="152">
      <c r="A152" s="392" t="n"/>
      <c r="B152" s="392" t="n"/>
      <c r="C152" s="392" t="n"/>
      <c r="D152" s="392" t="n"/>
      <c r="E152" s="392" t="n"/>
      <c r="F152" s="394" t="n"/>
      <c r="G152" s="604">
        <f>IFERROR(INDEX(⑱中間品単価!$H$5:$H$443,MATCH($C152,⑱中間品単価!$B$5:$B$443,0)),"")</f>
        <v/>
      </c>
      <c r="H152" s="396">
        <f>IF(AND(ISNUMBER($F152),ISNUMBER($G152)),$F152*$G152,"")</f>
        <v/>
      </c>
      <c r="I152" s="392" t="n"/>
    </row>
    <row r="153">
      <c r="A153" s="392" t="n"/>
      <c r="B153" s="392" t="n"/>
      <c r="C153" s="392" t="n"/>
      <c r="D153" s="392" t="n"/>
      <c r="E153" s="392" t="n"/>
      <c r="F153" s="394" t="n"/>
      <c r="G153" s="604">
        <f>IFERROR(INDEX(⑱中間品単価!$H$5:$H$443,MATCH($C153,⑱中間品単価!$B$5:$B$443,0)),"")</f>
        <v/>
      </c>
      <c r="H153" s="396">
        <f>IF(AND(ISNUMBER($F153),ISNUMBER($G153)),$F153*$G153,"")</f>
        <v/>
      </c>
      <c r="I153" s="392" t="n"/>
    </row>
    <row r="154">
      <c r="A154" s="392" t="n"/>
      <c r="B154" s="392" t="n"/>
      <c r="C154" s="392" t="n"/>
      <c r="D154" s="392" t="n"/>
      <c r="E154" s="392" t="n"/>
      <c r="F154" s="394" t="n"/>
      <c r="G154" s="604">
        <f>IFERROR(INDEX(⑱中間品単価!$H$5:$H$443,MATCH($C154,⑱中間品単価!$B$5:$B$443,0)),"")</f>
        <v/>
      </c>
      <c r="H154" s="396">
        <f>IF(AND(ISNUMBER($F154),ISNUMBER($G154)),$F154*$G154,"")</f>
        <v/>
      </c>
      <c r="I154" s="392" t="n"/>
    </row>
    <row r="155">
      <c r="A155" s="392" t="n"/>
      <c r="B155" s="392" t="n"/>
      <c r="C155" s="392" t="n"/>
      <c r="D155" s="392" t="n"/>
      <c r="E155" s="392" t="n"/>
      <c r="F155" s="394" t="n"/>
      <c r="G155" s="604">
        <f>IFERROR(INDEX(⑱中間品単価!$H$5:$H$443,MATCH($C155,⑱中間品単価!$B$5:$B$443,0)),"")</f>
        <v/>
      </c>
      <c r="H155" s="396">
        <f>IF(AND(ISNUMBER($F155),ISNUMBER($G155)),$F155*$G155,"")</f>
        <v/>
      </c>
      <c r="I155" s="392" t="n"/>
    </row>
    <row r="156">
      <c r="A156" s="392" t="n"/>
      <c r="B156" s="392" t="n"/>
      <c r="C156" s="392" t="n"/>
      <c r="D156" s="392" t="n"/>
      <c r="E156" s="392" t="n"/>
      <c r="F156" s="394" t="n"/>
      <c r="G156" s="604">
        <f>IFERROR(INDEX(⑱中間品単価!$H$5:$H$443,MATCH($C156,⑱中間品単価!$B$5:$B$443,0)),"")</f>
        <v/>
      </c>
      <c r="H156" s="396">
        <f>IF(AND(ISNUMBER($F156),ISNUMBER($G156)),$F156*$G156,"")</f>
        <v/>
      </c>
      <c r="I156" s="392" t="n"/>
    </row>
    <row r="157">
      <c r="A157" s="392" t="n"/>
      <c r="B157" s="392" t="n"/>
      <c r="C157" s="392" t="n"/>
      <c r="D157" s="392" t="n"/>
      <c r="E157" s="392" t="n"/>
      <c r="F157" s="394" t="n"/>
      <c r="G157" s="604">
        <f>IFERROR(INDEX(⑱中間品単価!$H$5:$H$443,MATCH($C157,⑱中間品単価!$B$5:$B$443,0)),"")</f>
        <v/>
      </c>
      <c r="H157" s="396">
        <f>IF(AND(ISNUMBER($F157),ISNUMBER($G157)),$F157*$G157,"")</f>
        <v/>
      </c>
      <c r="I157" s="392" t="n"/>
    </row>
    <row r="158">
      <c r="A158" s="392" t="n"/>
      <c r="B158" s="392" t="n"/>
      <c r="C158" s="392" t="n"/>
      <c r="D158" s="392" t="n"/>
      <c r="E158" s="392" t="n"/>
      <c r="F158" s="394" t="n"/>
      <c r="G158" s="604">
        <f>IFERROR(INDEX(⑱中間品単価!$H$5:$H$443,MATCH($C158,⑱中間品単価!$B$5:$B$443,0)),"")</f>
        <v/>
      </c>
      <c r="H158" s="396">
        <f>IF(AND(ISNUMBER($F158),ISNUMBER($G158)),$F158*$G158,"")</f>
        <v/>
      </c>
      <c r="I158" s="392" t="n"/>
    </row>
    <row r="159">
      <c r="A159" s="392" t="n"/>
      <c r="B159" s="392" t="n"/>
      <c r="C159" s="392" t="n"/>
      <c r="D159" s="392" t="n"/>
      <c r="E159" s="392" t="n"/>
      <c r="F159" s="394" t="n"/>
      <c r="G159" s="604">
        <f>IFERROR(INDEX(⑱中間品単価!$H$5:$H$443,MATCH($C159,⑱中間品単価!$B$5:$B$443,0)),"")</f>
        <v/>
      </c>
      <c r="H159" s="396">
        <f>IF(AND(ISNUMBER($F159),ISNUMBER($G159)),$F159*$G159,"")</f>
        <v/>
      </c>
      <c r="I159" s="392" t="n"/>
    </row>
    <row r="160">
      <c r="A160" s="392" t="n"/>
      <c r="B160" s="392" t="n"/>
      <c r="C160" s="392" t="n"/>
      <c r="D160" s="392" t="n"/>
      <c r="E160" s="392" t="n"/>
      <c r="F160" s="394" t="n"/>
      <c r="G160" s="604">
        <f>IFERROR(INDEX(⑱中間品単価!$H$5:$H$443,MATCH($C160,⑱中間品単価!$B$5:$B$443,0)),"")</f>
        <v/>
      </c>
      <c r="H160" s="396">
        <f>IF(AND(ISNUMBER($F160),ISNUMBER($G160)),$F160*$G160,"")</f>
        <v/>
      </c>
      <c r="I160" s="392" t="n"/>
    </row>
    <row r="161">
      <c r="A161" s="392" t="n"/>
      <c r="B161" s="392" t="n"/>
      <c r="C161" s="392" t="n"/>
      <c r="D161" s="392" t="n"/>
      <c r="E161" s="392" t="n"/>
      <c r="F161" s="394" t="n"/>
      <c r="G161" s="604">
        <f>IFERROR(INDEX(⑱中間品単価!$H$5:$H$443,MATCH($C161,⑱中間品単価!$B$5:$B$443,0)),"")</f>
        <v/>
      </c>
      <c r="H161" s="396">
        <f>IF(AND(ISNUMBER($F161),ISNUMBER($G161)),$F161*$G161,"")</f>
        <v/>
      </c>
      <c r="I161" s="392" t="n"/>
    </row>
    <row r="162">
      <c r="A162" s="392" t="n"/>
      <c r="B162" s="392" t="n"/>
      <c r="C162" s="392" t="n"/>
      <c r="D162" s="392" t="n"/>
      <c r="E162" s="392" t="n"/>
      <c r="F162" s="394" t="n"/>
      <c r="G162" s="604">
        <f>IFERROR(INDEX(⑱中間品単価!$H$5:$H$443,MATCH($C162,⑱中間品単価!$B$5:$B$443,0)),"")</f>
        <v/>
      </c>
      <c r="H162" s="396">
        <f>IF(AND(ISNUMBER($F162),ISNUMBER($G162)),$F162*$G162,"")</f>
        <v/>
      </c>
      <c r="I162" s="392" t="n"/>
    </row>
    <row r="163">
      <c r="A163" s="392" t="n"/>
      <c r="B163" s="392" t="n"/>
      <c r="C163" s="392" t="n"/>
      <c r="D163" s="392" t="n"/>
      <c r="E163" s="392" t="n"/>
      <c r="F163" s="394" t="n"/>
      <c r="G163" s="604">
        <f>IFERROR(INDEX(⑱中間品単価!$H$5:$H$443,MATCH($C163,⑱中間品単価!$B$5:$B$443,0)),"")</f>
        <v/>
      </c>
      <c r="H163" s="396">
        <f>IF(AND(ISNUMBER($F163),ISNUMBER($G163)),$F163*$G163,"")</f>
        <v/>
      </c>
      <c r="I163" s="392" t="n"/>
    </row>
    <row r="164">
      <c r="A164" s="392" t="n"/>
      <c r="B164" s="392" t="n"/>
      <c r="C164" s="392" t="n"/>
      <c r="D164" s="392" t="n"/>
      <c r="E164" s="392" t="n"/>
      <c r="F164" s="394" t="n"/>
      <c r="G164" s="604">
        <f>IFERROR(INDEX(⑱中間品単価!$H$5:$H$443,MATCH($C164,⑱中間品単価!$B$5:$B$443,0)),"")</f>
        <v/>
      </c>
      <c r="H164" s="396">
        <f>IF(AND(ISNUMBER($F164),ISNUMBER($G164)),$F164*$G164,"")</f>
        <v/>
      </c>
      <c r="I164" s="392" t="n"/>
    </row>
    <row r="165">
      <c r="A165" s="392" t="n"/>
      <c r="B165" s="392" t="n"/>
      <c r="C165" s="392" t="n"/>
      <c r="D165" s="392" t="n"/>
      <c r="E165" s="392" t="n"/>
      <c r="F165" s="394" t="n"/>
      <c r="G165" s="604">
        <f>IFERROR(INDEX(⑱中間品単価!$H$5:$H$443,MATCH($C165,⑱中間品単価!$B$5:$B$443,0)),"")</f>
        <v/>
      </c>
      <c r="H165" s="396">
        <f>IF(AND(ISNUMBER($F165),ISNUMBER($G165)),$F165*$G165,"")</f>
        <v/>
      </c>
      <c r="I165" s="392" t="n"/>
    </row>
    <row r="166">
      <c r="A166" s="392" t="n"/>
      <c r="B166" s="392" t="n"/>
      <c r="C166" s="392" t="n"/>
      <c r="D166" s="392" t="n"/>
      <c r="E166" s="392" t="n"/>
      <c r="F166" s="394" t="n"/>
      <c r="G166" s="604">
        <f>IFERROR(INDEX(⑱中間品単価!$H$5:$H$443,MATCH($C166,⑱中間品単価!$B$5:$B$443,0)),"")</f>
        <v/>
      </c>
      <c r="H166" s="396">
        <f>IF(AND(ISNUMBER($F166),ISNUMBER($G166)),$F166*$G166,"")</f>
        <v/>
      </c>
      <c r="I166" s="392" t="n"/>
    </row>
    <row r="167">
      <c r="A167" s="392" t="n"/>
      <c r="B167" s="392" t="n"/>
      <c r="C167" s="392" t="n"/>
      <c r="D167" s="392" t="n"/>
      <c r="E167" s="392" t="n"/>
      <c r="F167" s="394" t="n"/>
      <c r="G167" s="604">
        <f>IFERROR(INDEX(⑱中間品単価!$H$5:$H$443,MATCH($C167,⑱中間品単価!$B$5:$B$443,0)),"")</f>
        <v/>
      </c>
      <c r="H167" s="396">
        <f>IF(AND(ISNUMBER($F167),ISNUMBER($G167)),$F167*$G167,"")</f>
        <v/>
      </c>
      <c r="I167" s="392" t="n"/>
    </row>
    <row r="168">
      <c r="A168" s="392" t="n"/>
      <c r="B168" s="392" t="n"/>
      <c r="C168" s="392" t="n"/>
      <c r="D168" s="392" t="n"/>
      <c r="E168" s="392" t="n"/>
      <c r="F168" s="394" t="n"/>
      <c r="G168" s="604">
        <f>IFERROR(INDEX(⑱中間品単価!$H$5:$H$443,MATCH($C168,⑱中間品単価!$B$5:$B$443,0)),"")</f>
        <v/>
      </c>
      <c r="H168" s="396">
        <f>IF(AND(ISNUMBER($F168),ISNUMBER($G168)),$F168*$G168,"")</f>
        <v/>
      </c>
      <c r="I168" s="392" t="n"/>
    </row>
    <row r="169">
      <c r="A169" s="392" t="n"/>
      <c r="B169" s="392" t="n"/>
      <c r="C169" s="392" t="n"/>
      <c r="D169" s="392" t="n"/>
      <c r="E169" s="392" t="n"/>
      <c r="F169" s="394" t="n"/>
      <c r="G169" s="604">
        <f>IFERROR(INDEX(⑱中間品単価!$H$5:$H$443,MATCH($C169,⑱中間品単価!$B$5:$B$443,0)),"")</f>
        <v/>
      </c>
      <c r="H169" s="396">
        <f>IF(AND(ISNUMBER($F169),ISNUMBER($G169)),$F169*$G169,"")</f>
        <v/>
      </c>
      <c r="I169" s="392" t="n"/>
    </row>
    <row r="170">
      <c r="A170" s="392" t="n"/>
      <c r="B170" s="392" t="n"/>
      <c r="C170" s="392" t="n"/>
      <c r="D170" s="392" t="n"/>
      <c r="E170" s="392" t="n"/>
      <c r="F170" s="394" t="n"/>
      <c r="G170" s="604">
        <f>IFERROR(INDEX(⑱中間品単価!$H$5:$H$443,MATCH($C170,⑱中間品単価!$B$5:$B$443,0)),"")</f>
        <v/>
      </c>
      <c r="H170" s="396">
        <f>IF(AND(ISNUMBER($F170),ISNUMBER($G170)),$F170*$G170,"")</f>
        <v/>
      </c>
      <c r="I170" s="392" t="n"/>
    </row>
    <row r="171">
      <c r="A171" s="392" t="n"/>
      <c r="B171" s="392" t="n"/>
      <c r="C171" s="392" t="n"/>
      <c r="D171" s="392" t="n"/>
      <c r="E171" s="392" t="n"/>
      <c r="F171" s="394" t="n"/>
      <c r="G171" s="604">
        <f>IFERROR(INDEX(⑱中間品単価!$H$5:$H$443,MATCH($C171,⑱中間品単価!$B$5:$B$443,0)),"")</f>
        <v/>
      </c>
      <c r="H171" s="396">
        <f>IF(AND(ISNUMBER($F171),ISNUMBER($G171)),$F171*$G171,"")</f>
        <v/>
      </c>
      <c r="I171" s="392" t="n"/>
    </row>
    <row r="172">
      <c r="A172" s="392" t="n"/>
      <c r="B172" s="392" t="n"/>
      <c r="C172" s="392" t="n"/>
      <c r="D172" s="392" t="n"/>
      <c r="E172" s="392" t="n"/>
      <c r="F172" s="394" t="n"/>
      <c r="G172" s="604">
        <f>IFERROR(INDEX(⑱中間品単価!$H$5:$H$443,MATCH($C172,⑱中間品単価!$B$5:$B$443,0)),"")</f>
        <v/>
      </c>
      <c r="H172" s="396">
        <f>IF(AND(ISNUMBER($F172),ISNUMBER($G172)),$F172*$G172,"")</f>
        <v/>
      </c>
      <c r="I172" s="392" t="n"/>
    </row>
    <row r="173">
      <c r="A173" s="392" t="n"/>
      <c r="B173" s="392" t="n"/>
      <c r="C173" s="392" t="n"/>
      <c r="D173" s="392" t="n"/>
      <c r="E173" s="392" t="n"/>
      <c r="F173" s="394" t="n"/>
      <c r="G173" s="604">
        <f>IFERROR(INDEX(⑱中間品単価!$H$5:$H$443,MATCH($C173,⑱中間品単価!$B$5:$B$443,0)),"")</f>
        <v/>
      </c>
      <c r="H173" s="396">
        <f>IF(AND(ISNUMBER($F173),ISNUMBER($G173)),$F173*$G173,"")</f>
        <v/>
      </c>
      <c r="I173" s="392" t="n"/>
    </row>
    <row r="174">
      <c r="A174" s="392" t="n"/>
      <c r="B174" s="392" t="n"/>
      <c r="C174" s="392" t="n"/>
      <c r="D174" s="392" t="n"/>
      <c r="E174" s="392" t="n"/>
      <c r="F174" s="394" t="n"/>
      <c r="G174" s="604">
        <f>IFERROR(INDEX(⑱中間品単価!$H$5:$H$443,MATCH($C174,⑱中間品単価!$B$5:$B$443,0)),"")</f>
        <v/>
      </c>
      <c r="H174" s="396">
        <f>IF(AND(ISNUMBER($F174),ISNUMBER($G174)),$F174*$G174,"")</f>
        <v/>
      </c>
      <c r="I174" s="392" t="n"/>
    </row>
    <row r="175">
      <c r="A175" s="392" t="n"/>
      <c r="B175" s="392" t="n"/>
      <c r="C175" s="392" t="n"/>
      <c r="D175" s="392" t="n"/>
      <c r="E175" s="392" t="n"/>
      <c r="F175" s="394" t="n"/>
      <c r="G175" s="604">
        <f>IFERROR(INDEX(⑱中間品単価!$H$5:$H$443,MATCH($C175,⑱中間品単価!$B$5:$B$443,0)),"")</f>
        <v/>
      </c>
      <c r="H175" s="396">
        <f>IF(AND(ISNUMBER($F175),ISNUMBER($G175)),$F175*$G175,"")</f>
        <v/>
      </c>
      <c r="I175" s="392" t="n"/>
    </row>
    <row r="176">
      <c r="A176" s="392" t="n"/>
      <c r="B176" s="392" t="n"/>
      <c r="C176" s="392" t="n"/>
      <c r="D176" s="392" t="n"/>
      <c r="E176" s="392" t="n"/>
      <c r="F176" s="394" t="n"/>
      <c r="G176" s="604">
        <f>IFERROR(INDEX(⑱中間品単価!$H$5:$H$443,MATCH($C176,⑱中間品単価!$B$5:$B$443,0)),"")</f>
        <v/>
      </c>
      <c r="H176" s="396">
        <f>IF(AND(ISNUMBER($F176),ISNUMBER($G176)),$F176*$G176,"")</f>
        <v/>
      </c>
      <c r="I176" s="392" t="n"/>
    </row>
    <row r="177">
      <c r="A177" s="392" t="n"/>
      <c r="B177" s="392" t="n"/>
      <c r="C177" s="392" t="n"/>
      <c r="D177" s="392" t="n"/>
      <c r="E177" s="392" t="n"/>
      <c r="F177" s="394" t="n"/>
      <c r="G177" s="604">
        <f>IFERROR(INDEX(⑱中間品単価!$H$5:$H$443,MATCH($C177,⑱中間品単価!$B$5:$B$443,0)),"")</f>
        <v/>
      </c>
      <c r="H177" s="396">
        <f>IF(AND(ISNUMBER($F177),ISNUMBER($G177)),$F177*$G177,"")</f>
        <v/>
      </c>
      <c r="I177" s="392" t="n"/>
    </row>
    <row r="178">
      <c r="A178" s="392" t="n"/>
      <c r="B178" s="392" t="n"/>
      <c r="C178" s="392" t="n"/>
      <c r="D178" s="392" t="n"/>
      <c r="E178" s="392" t="n"/>
      <c r="F178" s="394" t="n"/>
      <c r="G178" s="604">
        <f>IFERROR(INDEX(⑱中間品単価!$H$5:$H$443,MATCH($C178,⑱中間品単価!$B$5:$B$443,0)),"")</f>
        <v/>
      </c>
      <c r="H178" s="396">
        <f>IF(AND(ISNUMBER($F178),ISNUMBER($G178)),$F178*$G178,"")</f>
        <v/>
      </c>
      <c r="I178" s="392" t="n"/>
    </row>
    <row r="179">
      <c r="A179" s="392" t="n"/>
      <c r="B179" s="392" t="n"/>
      <c r="C179" s="392" t="n"/>
      <c r="D179" s="392" t="n"/>
      <c r="E179" s="392" t="n"/>
      <c r="F179" s="394" t="n"/>
      <c r="G179" s="604">
        <f>IFERROR(INDEX(⑱中間品単価!$H$5:$H$443,MATCH($C179,⑱中間品単価!$B$5:$B$443,0)),"")</f>
        <v/>
      </c>
      <c r="H179" s="396">
        <f>IF(AND(ISNUMBER($F179),ISNUMBER($G179)),$F179*$G179,"")</f>
        <v/>
      </c>
      <c r="I179" s="392" t="n"/>
    </row>
    <row r="180">
      <c r="A180" s="392" t="n"/>
      <c r="B180" s="392" t="n"/>
      <c r="C180" s="392" t="n"/>
      <c r="D180" s="392" t="n"/>
      <c r="E180" s="392" t="n"/>
      <c r="F180" s="394" t="n"/>
      <c r="G180" s="604">
        <f>IFERROR(INDEX(⑱中間品単価!$H$5:$H$443,MATCH($C180,⑱中間品単価!$B$5:$B$443,0)),"")</f>
        <v/>
      </c>
      <c r="H180" s="396">
        <f>IF(AND(ISNUMBER($F180),ISNUMBER($G180)),$F180*$G180,"")</f>
        <v/>
      </c>
      <c r="I180" s="392" t="n"/>
    </row>
    <row r="181">
      <c r="A181" s="392" t="n"/>
      <c r="B181" s="392" t="n"/>
      <c r="C181" s="392" t="n"/>
      <c r="D181" s="392" t="n"/>
      <c r="E181" s="392" t="n"/>
      <c r="F181" s="394" t="n"/>
      <c r="G181" s="604">
        <f>IFERROR(INDEX(⑱中間品単価!$H$5:$H$443,MATCH($C181,⑱中間品単価!$B$5:$B$443,0)),"")</f>
        <v/>
      </c>
      <c r="H181" s="396">
        <f>IF(AND(ISNUMBER($F181),ISNUMBER($G181)),$F181*$G181,"")</f>
        <v/>
      </c>
      <c r="I181" s="392" t="n"/>
    </row>
    <row r="182">
      <c r="A182" s="392" t="n"/>
      <c r="B182" s="392" t="n"/>
      <c r="C182" s="392" t="n"/>
      <c r="D182" s="392" t="n"/>
      <c r="E182" s="392" t="n"/>
      <c r="F182" s="394" t="n"/>
      <c r="G182" s="604">
        <f>IFERROR(INDEX(⑱中間品単価!$H$5:$H$443,MATCH($C182,⑱中間品単価!$B$5:$B$443,0)),"")</f>
        <v/>
      </c>
      <c r="H182" s="396">
        <f>IF(AND(ISNUMBER($F182),ISNUMBER($G182)),$F182*$G182,"")</f>
        <v/>
      </c>
      <c r="I182" s="392" t="n"/>
    </row>
    <row r="183">
      <c r="A183" s="392" t="n"/>
      <c r="B183" s="392" t="n"/>
      <c r="C183" s="392" t="n"/>
      <c r="D183" s="392" t="n"/>
      <c r="E183" s="392" t="n"/>
      <c r="F183" s="394" t="n"/>
      <c r="G183" s="604">
        <f>IFERROR(INDEX(⑱中間品単価!$H$5:$H$443,MATCH($C183,⑱中間品単価!$B$5:$B$443,0)),"")</f>
        <v/>
      </c>
      <c r="H183" s="396">
        <f>IF(AND(ISNUMBER($F183),ISNUMBER($G183)),$F183*$G183,"")</f>
        <v/>
      </c>
      <c r="I183" s="392" t="n"/>
    </row>
    <row r="184">
      <c r="A184" s="392" t="n"/>
      <c r="B184" s="392" t="n"/>
      <c r="C184" s="392" t="n"/>
      <c r="D184" s="392" t="n"/>
      <c r="E184" s="392" t="n"/>
      <c r="F184" s="394" t="n"/>
      <c r="G184" s="604">
        <f>IFERROR(INDEX(⑱中間品単価!$H$5:$H$443,MATCH($C184,⑱中間品単価!$B$5:$B$443,0)),"")</f>
        <v/>
      </c>
      <c r="H184" s="396">
        <f>IF(AND(ISNUMBER($F184),ISNUMBER($G184)),$F184*$G184,"")</f>
        <v/>
      </c>
      <c r="I184" s="392" t="n"/>
    </row>
    <row r="185">
      <c r="A185" s="392" t="n"/>
      <c r="B185" s="392" t="n"/>
      <c r="C185" s="392" t="n"/>
      <c r="D185" s="392" t="n"/>
      <c r="E185" s="392" t="n"/>
      <c r="F185" s="394" t="n"/>
      <c r="G185" s="604">
        <f>IFERROR(INDEX(⑱中間品単価!$H$5:$H$443,MATCH($C185,⑱中間品単価!$B$5:$B$443,0)),"")</f>
        <v/>
      </c>
      <c r="H185" s="396">
        <f>IF(AND(ISNUMBER($F185),ISNUMBER($G185)),$F185*$G185,"")</f>
        <v/>
      </c>
      <c r="I185" s="392" t="n"/>
    </row>
    <row r="186">
      <c r="A186" s="392" t="n"/>
      <c r="B186" s="392" t="n"/>
      <c r="C186" s="392" t="n"/>
      <c r="D186" s="392" t="n"/>
      <c r="E186" s="392" t="n"/>
      <c r="F186" s="394" t="n"/>
      <c r="G186" s="604">
        <f>IFERROR(INDEX(⑱中間品単価!$H$5:$H$443,MATCH($C186,⑱中間品単価!$B$5:$B$443,0)),"")</f>
        <v/>
      </c>
      <c r="H186" s="396">
        <f>IF(AND(ISNUMBER($F186),ISNUMBER($G186)),$F186*$G186,"")</f>
        <v/>
      </c>
      <c r="I186" s="392" t="n"/>
    </row>
    <row r="187">
      <c r="A187" s="392" t="n"/>
      <c r="B187" s="392" t="n"/>
      <c r="C187" s="392" t="n"/>
      <c r="D187" s="392" t="n"/>
      <c r="E187" s="392" t="n"/>
      <c r="F187" s="394" t="n"/>
      <c r="G187" s="604">
        <f>IFERROR(INDEX(⑱中間品単価!$H$5:$H$443,MATCH($C187,⑱中間品単価!$B$5:$B$443,0)),"")</f>
        <v/>
      </c>
      <c r="H187" s="396">
        <f>IF(AND(ISNUMBER($F187),ISNUMBER($G187)),$F187*$G187,"")</f>
        <v/>
      </c>
      <c r="I187" s="392" t="n"/>
    </row>
    <row r="188">
      <c r="A188" s="392" t="n"/>
      <c r="B188" s="392" t="n"/>
      <c r="C188" s="392" t="n"/>
      <c r="D188" s="392" t="n"/>
      <c r="E188" s="392" t="n"/>
      <c r="F188" s="394" t="n"/>
      <c r="G188" s="604">
        <f>IFERROR(INDEX(⑱中間品単価!$H$5:$H$443,MATCH($C188,⑱中間品単価!$B$5:$B$443,0)),"")</f>
        <v/>
      </c>
      <c r="H188" s="396">
        <f>IF(AND(ISNUMBER($F188),ISNUMBER($G188)),$F188*$G188,"")</f>
        <v/>
      </c>
      <c r="I188" s="392" t="n"/>
    </row>
    <row r="189">
      <c r="A189" s="392" t="n"/>
      <c r="B189" s="392" t="n"/>
      <c r="C189" s="392" t="n"/>
      <c r="D189" s="392" t="n"/>
      <c r="E189" s="392" t="n"/>
      <c r="F189" s="394" t="n"/>
      <c r="G189" s="604">
        <f>IFERROR(INDEX(⑱中間品単価!$H$5:$H$443,MATCH($C189,⑱中間品単価!$B$5:$B$443,0)),"")</f>
        <v/>
      </c>
      <c r="H189" s="396">
        <f>IF(AND(ISNUMBER($F189),ISNUMBER($G189)),$F189*$G189,"")</f>
        <v/>
      </c>
      <c r="I189" s="392" t="n"/>
    </row>
    <row r="190">
      <c r="A190" s="392" t="n"/>
      <c r="B190" s="392" t="n"/>
      <c r="C190" s="392" t="n"/>
      <c r="D190" s="392" t="n"/>
      <c r="E190" s="392" t="n"/>
      <c r="F190" s="394" t="n"/>
      <c r="G190" s="604">
        <f>IFERROR(INDEX(⑱中間品単価!$H$5:$H$443,MATCH($C190,⑱中間品単価!$B$5:$B$443,0)),"")</f>
        <v/>
      </c>
      <c r="H190" s="396">
        <f>IF(AND(ISNUMBER($F190),ISNUMBER($G190)),$F190*$G190,"")</f>
        <v/>
      </c>
      <c r="I190" s="392" t="n"/>
    </row>
    <row r="191">
      <c r="A191" s="392" t="n"/>
      <c r="B191" s="392" t="n"/>
      <c r="C191" s="392" t="n"/>
      <c r="D191" s="392" t="n"/>
      <c r="E191" s="392" t="n"/>
      <c r="F191" s="394" t="n"/>
      <c r="G191" s="604">
        <f>IFERROR(INDEX(⑱中間品単価!$H$5:$H$443,MATCH($C191,⑱中間品単価!$B$5:$B$443,0)),"")</f>
        <v/>
      </c>
      <c r="H191" s="396">
        <f>IF(AND(ISNUMBER($F191),ISNUMBER($G191)),$F191*$G191,"")</f>
        <v/>
      </c>
      <c r="I191" s="392" t="n"/>
    </row>
    <row r="192">
      <c r="A192" s="392" t="n"/>
      <c r="B192" s="392" t="n"/>
      <c r="C192" s="392" t="n"/>
      <c r="D192" s="392" t="n"/>
      <c r="E192" s="392" t="n"/>
      <c r="F192" s="394" t="n"/>
      <c r="G192" s="604">
        <f>IFERROR(INDEX(⑱中間品単価!$H$5:$H$443,MATCH($C192,⑱中間品単価!$B$5:$B$443,0)),"")</f>
        <v/>
      </c>
      <c r="H192" s="396">
        <f>IF(AND(ISNUMBER($F192),ISNUMBER($G192)),$F192*$G192,"")</f>
        <v/>
      </c>
      <c r="I192" s="392" t="n"/>
    </row>
    <row r="193">
      <c r="A193" s="392" t="n"/>
      <c r="B193" s="392" t="n"/>
      <c r="C193" s="392" t="n"/>
      <c r="D193" s="392" t="n"/>
      <c r="E193" s="392" t="n"/>
      <c r="F193" s="394" t="n"/>
      <c r="G193" s="604">
        <f>IFERROR(INDEX(⑱中間品単価!$H$5:$H$443,MATCH($C193,⑱中間品単価!$B$5:$B$443,0)),"")</f>
        <v/>
      </c>
      <c r="H193" s="396">
        <f>IF(AND(ISNUMBER($F193),ISNUMBER($G193)),$F193*$G193,"")</f>
        <v/>
      </c>
      <c r="I193" s="392" t="n"/>
    </row>
    <row r="194">
      <c r="A194" s="392" t="n"/>
      <c r="B194" s="392" t="n"/>
      <c r="C194" s="392" t="n"/>
      <c r="D194" s="392" t="n"/>
      <c r="E194" s="392" t="n"/>
      <c r="F194" s="394" t="n"/>
      <c r="G194" s="604">
        <f>IFERROR(INDEX(⑱中間品単価!$H$5:$H$443,MATCH($C194,⑱中間品単価!$B$5:$B$443,0)),"")</f>
        <v/>
      </c>
      <c r="H194" s="396">
        <f>IF(AND(ISNUMBER($F194),ISNUMBER($G194)),$F194*$G194,"")</f>
        <v/>
      </c>
      <c r="I194" s="392" t="n"/>
    </row>
    <row r="195">
      <c r="A195" s="392" t="n"/>
      <c r="B195" s="392" t="n"/>
      <c r="C195" s="392" t="n"/>
      <c r="D195" s="392" t="n"/>
      <c r="E195" s="392" t="n"/>
      <c r="F195" s="394" t="n"/>
      <c r="G195" s="604">
        <f>IFERROR(INDEX(⑱中間品単価!$H$5:$H$443,MATCH($C195,⑱中間品単価!$B$5:$B$443,0)),"")</f>
        <v/>
      </c>
      <c r="H195" s="396">
        <f>IF(AND(ISNUMBER($F195),ISNUMBER($G195)),$F195*$G195,"")</f>
        <v/>
      </c>
      <c r="I195" s="392" t="n"/>
    </row>
    <row r="196">
      <c r="A196" s="392" t="n"/>
      <c r="B196" s="392" t="n"/>
      <c r="C196" s="392" t="n"/>
      <c r="D196" s="392" t="n"/>
      <c r="E196" s="392" t="n"/>
      <c r="F196" s="394" t="n"/>
      <c r="G196" s="604">
        <f>IFERROR(INDEX(⑱中間品単価!$H$5:$H$443,MATCH($C196,⑱中間品単価!$B$5:$B$443,0)),"")</f>
        <v/>
      </c>
      <c r="H196" s="396">
        <f>IF(AND(ISNUMBER($F196),ISNUMBER($G196)),$F196*$G196,"")</f>
        <v/>
      </c>
      <c r="I196" s="392" t="n"/>
    </row>
    <row r="197">
      <c r="A197" s="392" t="n"/>
      <c r="B197" s="392" t="n"/>
      <c r="C197" s="392" t="n"/>
      <c r="D197" s="392" t="n"/>
      <c r="E197" s="392" t="n"/>
      <c r="F197" s="394" t="n"/>
      <c r="G197" s="604">
        <f>IFERROR(INDEX(⑱中間品単価!$H$5:$H$443,MATCH($C197,⑱中間品単価!$B$5:$B$443,0)),"")</f>
        <v/>
      </c>
      <c r="H197" s="396">
        <f>IF(AND(ISNUMBER($F197),ISNUMBER($G197)),$F197*$G197,"")</f>
        <v/>
      </c>
      <c r="I197" s="392" t="n"/>
    </row>
    <row r="198">
      <c r="A198" s="392" t="n"/>
      <c r="B198" s="392" t="n"/>
      <c r="C198" s="392" t="n"/>
      <c r="D198" s="392" t="n"/>
      <c r="E198" s="392" t="n"/>
      <c r="F198" s="394" t="n"/>
      <c r="G198" s="604">
        <f>IFERROR(INDEX(⑱中間品単価!$H$5:$H$443,MATCH($C198,⑱中間品単価!$B$5:$B$443,0)),"")</f>
        <v/>
      </c>
      <c r="H198" s="396">
        <f>IF(AND(ISNUMBER($F198),ISNUMBER($G198)),$F198*$G198,"")</f>
        <v/>
      </c>
      <c r="I198" s="392" t="n"/>
    </row>
    <row r="199">
      <c r="A199" s="392" t="n"/>
      <c r="B199" s="392" t="n"/>
      <c r="C199" s="392" t="n"/>
      <c r="D199" s="392" t="n"/>
      <c r="E199" s="392" t="n"/>
      <c r="F199" s="394" t="n"/>
      <c r="G199" s="604">
        <f>IFERROR(INDEX(⑱中間品単価!$H$5:$H$443,MATCH($C199,⑱中間品単価!$B$5:$B$443,0)),"")</f>
        <v/>
      </c>
      <c r="H199" s="396">
        <f>IF(AND(ISNUMBER($F199),ISNUMBER($G199)),$F199*$G199,"")</f>
        <v/>
      </c>
      <c r="I199" s="392" t="n"/>
    </row>
    <row r="200">
      <c r="A200" s="392" t="n"/>
      <c r="B200" s="392" t="n"/>
      <c r="C200" s="392" t="n"/>
      <c r="D200" s="392" t="n"/>
      <c r="E200" s="392" t="n"/>
      <c r="F200" s="394" t="n"/>
      <c r="G200" s="604">
        <f>IFERROR(INDEX(⑱中間品単価!$H$5:$H$443,MATCH($C200,⑱中間品単価!$B$5:$B$443,0)),"")</f>
        <v/>
      </c>
      <c r="H200" s="396">
        <f>IF(AND(ISNUMBER($F200),ISNUMBER($G200)),$F200*$G200,"")</f>
        <v/>
      </c>
      <c r="I200" s="392" t="n"/>
    </row>
    <row r="201">
      <c r="A201" s="392" t="n"/>
      <c r="B201" s="392" t="n"/>
      <c r="C201" s="392" t="n"/>
      <c r="D201" s="392" t="n"/>
      <c r="E201" s="392" t="n"/>
      <c r="F201" s="394" t="n"/>
      <c r="G201" s="604">
        <f>IFERROR(INDEX(⑱中間品単価!$H$5:$H$443,MATCH($C201,⑱中間品単価!$B$5:$B$443,0)),"")</f>
        <v/>
      </c>
      <c r="H201" s="396">
        <f>IF(AND(ISNUMBER($F201),ISNUMBER($G201)),$F201*$G201,"")</f>
        <v/>
      </c>
      <c r="I201" s="392" t="n"/>
    </row>
    <row r="202">
      <c r="A202" s="392" t="n"/>
      <c r="B202" s="392" t="n"/>
      <c r="C202" s="392" t="n"/>
      <c r="D202" s="392" t="n"/>
      <c r="E202" s="392" t="n"/>
      <c r="F202" s="394" t="n"/>
      <c r="G202" s="604">
        <f>IFERROR(INDEX(⑱中間品単価!$H$5:$H$443,MATCH($C202,⑱中間品単価!$B$5:$B$443,0)),"")</f>
        <v/>
      </c>
      <c r="H202" s="396">
        <f>IF(AND(ISNUMBER($F202),ISNUMBER($G202)),$F202*$G202,"")</f>
        <v/>
      </c>
      <c r="I202" s="392" t="n"/>
    </row>
    <row r="203">
      <c r="A203" s="392" t="n"/>
      <c r="B203" s="392" t="n"/>
      <c r="C203" s="392" t="n"/>
      <c r="D203" s="392" t="n"/>
      <c r="E203" s="392" t="n"/>
      <c r="F203" s="394" t="n"/>
      <c r="G203" s="604">
        <f>IFERROR(INDEX(⑱中間品単価!$H$5:$H$443,MATCH($C203,⑱中間品単価!$B$5:$B$443,0)),"")</f>
        <v/>
      </c>
      <c r="H203" s="396">
        <f>IF(AND(ISNUMBER($F203),ISNUMBER($G203)),$F203*$G203,"")</f>
        <v/>
      </c>
      <c r="I203" s="392" t="n"/>
    </row>
    <row r="204">
      <c r="A204" s="392" t="n"/>
      <c r="B204" s="392" t="n"/>
      <c r="C204" s="392" t="n"/>
      <c r="D204" s="392" t="n"/>
      <c r="E204" s="392" t="n"/>
      <c r="F204" s="394" t="n"/>
      <c r="G204" s="604">
        <f>IFERROR(INDEX(⑱中間品単価!$H$5:$H$443,MATCH($C204,⑱中間品単価!$B$5:$B$443,0)),"")</f>
        <v/>
      </c>
      <c r="H204" s="396">
        <f>IF(AND(ISNUMBER($F204),ISNUMBER($G204)),$F204*$G204,"")</f>
        <v/>
      </c>
      <c r="I204" s="392" t="n"/>
    </row>
    <row r="205">
      <c r="A205" s="392" t="n"/>
      <c r="B205" s="392" t="n"/>
      <c r="C205" s="392" t="n"/>
      <c r="D205" s="392" t="n"/>
      <c r="E205" s="392" t="n"/>
      <c r="F205" s="394" t="n"/>
      <c r="G205" s="604">
        <f>IFERROR(INDEX(⑱中間品単価!$H$5:$H$443,MATCH($C205,⑱中間品単価!$B$5:$B$443,0)),"")</f>
        <v/>
      </c>
      <c r="H205" s="396">
        <f>IF(AND(ISNUMBER($F205),ISNUMBER($G205)),$F205*$G205,"")</f>
        <v/>
      </c>
      <c r="I205" s="392" t="n"/>
    </row>
    <row r="206">
      <c r="A206" s="392" t="n"/>
      <c r="B206" s="392" t="n"/>
      <c r="C206" s="392" t="n"/>
      <c r="D206" s="392" t="n"/>
      <c r="E206" s="392" t="n"/>
      <c r="F206" s="394" t="n"/>
      <c r="G206" s="604">
        <f>IFERROR(INDEX(⑱中間品単価!$H$5:$H$443,MATCH($C206,⑱中間品単価!$B$5:$B$443,0)),"")</f>
        <v/>
      </c>
      <c r="H206" s="396">
        <f>IF(AND(ISNUMBER($F206),ISNUMBER($G206)),$F206*$G206,"")</f>
        <v/>
      </c>
      <c r="I206" s="392" t="n"/>
    </row>
    <row r="207">
      <c r="A207" s="392" t="n"/>
      <c r="B207" s="392" t="n"/>
      <c r="C207" s="392" t="n"/>
      <c r="D207" s="392" t="n"/>
      <c r="E207" s="392" t="n"/>
      <c r="F207" s="394" t="n"/>
      <c r="G207" s="604">
        <f>IFERROR(INDEX(⑱中間品単価!$H$5:$H$443,MATCH($C207,⑱中間品単価!$B$5:$B$443,0)),"")</f>
        <v/>
      </c>
      <c r="H207" s="396">
        <f>IF(AND(ISNUMBER($F207),ISNUMBER($G207)),$F207*$G207,"")</f>
        <v/>
      </c>
      <c r="I207" s="392" t="n"/>
    </row>
    <row r="208">
      <c r="A208" s="392" t="n"/>
      <c r="B208" s="392" t="n"/>
      <c r="C208" s="392" t="n"/>
      <c r="D208" s="392" t="n"/>
      <c r="E208" s="392" t="n"/>
      <c r="F208" s="394" t="n"/>
      <c r="G208" s="604">
        <f>IFERROR(INDEX(⑱中間品単価!$H$5:$H$443,MATCH($C208,⑱中間品単価!$B$5:$B$443,0)),"")</f>
        <v/>
      </c>
      <c r="H208" s="396">
        <f>IF(AND(ISNUMBER($F208),ISNUMBER($G208)),$F208*$G208,"")</f>
        <v/>
      </c>
      <c r="I208" s="392" t="n"/>
    </row>
    <row r="209">
      <c r="A209" s="392" t="n"/>
      <c r="B209" s="392" t="n"/>
      <c r="C209" s="392" t="n"/>
      <c r="D209" s="392" t="n"/>
      <c r="E209" s="392" t="n"/>
      <c r="F209" s="394" t="n"/>
      <c r="G209" s="604">
        <f>IFERROR(INDEX(⑱中間品単価!$H$5:$H$443,MATCH($C209,⑱中間品単価!$B$5:$B$443,0)),"")</f>
        <v/>
      </c>
      <c r="H209" s="396">
        <f>IF(AND(ISNUMBER($F209),ISNUMBER($G209)),$F209*$G209,"")</f>
        <v/>
      </c>
      <c r="I209" s="392" t="n"/>
    </row>
    <row r="210">
      <c r="A210" s="392" t="n"/>
      <c r="B210" s="392" t="n"/>
      <c r="C210" s="392" t="n"/>
      <c r="D210" s="392" t="n"/>
      <c r="E210" s="392" t="n"/>
      <c r="F210" s="394" t="n"/>
      <c r="G210" s="604">
        <f>IFERROR(INDEX(⑱中間品単価!$H$5:$H$443,MATCH($C210,⑱中間品単価!$B$5:$B$443,0)),"")</f>
        <v/>
      </c>
      <c r="H210" s="396">
        <f>IF(AND(ISNUMBER($F210),ISNUMBER($G210)),$F210*$G210,"")</f>
        <v/>
      </c>
      <c r="I210" s="392" t="n"/>
    </row>
    <row r="211">
      <c r="A211" s="392" t="n"/>
      <c r="B211" s="392" t="n"/>
      <c r="C211" s="392" t="n"/>
      <c r="D211" s="392" t="n"/>
      <c r="E211" s="392" t="n"/>
      <c r="F211" s="394" t="n"/>
      <c r="G211" s="604">
        <f>IFERROR(INDEX(⑱中間品単価!$H$5:$H$443,MATCH($C211,⑱中間品単価!$B$5:$B$443,0)),"")</f>
        <v/>
      </c>
      <c r="H211" s="396">
        <f>IF(AND(ISNUMBER($F211),ISNUMBER($G211)),$F211*$G211,"")</f>
        <v/>
      </c>
      <c r="I211" s="392" t="n"/>
    </row>
    <row r="212">
      <c r="A212" s="392" t="n"/>
      <c r="B212" s="392" t="n"/>
      <c r="C212" s="392" t="n"/>
      <c r="D212" s="392" t="n"/>
      <c r="E212" s="392" t="n"/>
      <c r="F212" s="394" t="n"/>
      <c r="G212" s="604">
        <f>IFERROR(INDEX(⑱中間品単価!$H$5:$H$443,MATCH($C212,⑱中間品単価!$B$5:$B$443,0)),"")</f>
        <v/>
      </c>
      <c r="H212" s="396">
        <f>IF(AND(ISNUMBER($F212),ISNUMBER($G212)),$F212*$G212,"")</f>
        <v/>
      </c>
      <c r="I212" s="392" t="n"/>
    </row>
    <row r="213">
      <c r="A213" s="392" t="n"/>
      <c r="B213" s="392" t="n"/>
      <c r="C213" s="392" t="n"/>
      <c r="D213" s="392" t="n"/>
      <c r="E213" s="392" t="n"/>
      <c r="F213" s="394" t="n"/>
      <c r="G213" s="604">
        <f>IFERROR(INDEX(⑱中間品単価!$H$5:$H$443,MATCH($C213,⑱中間品単価!$B$5:$B$443,0)),"")</f>
        <v/>
      </c>
      <c r="H213" s="396">
        <f>IF(AND(ISNUMBER($F213),ISNUMBER($G213)),$F213*$G213,"")</f>
        <v/>
      </c>
      <c r="I213" s="392" t="n"/>
    </row>
    <row r="214">
      <c r="A214" s="392" t="n"/>
      <c r="B214" s="392" t="n"/>
      <c r="C214" s="392" t="n"/>
      <c r="D214" s="392" t="n"/>
      <c r="E214" s="392" t="n"/>
      <c r="F214" s="394" t="n"/>
      <c r="G214" s="604">
        <f>IFERROR(INDEX(⑱中間品単価!$H$5:$H$443,MATCH($C214,⑱中間品単価!$B$5:$B$443,0)),"")</f>
        <v/>
      </c>
      <c r="H214" s="396">
        <f>IF(AND(ISNUMBER($F214),ISNUMBER($G214)),$F214*$G214,"")</f>
        <v/>
      </c>
      <c r="I214" s="392" t="n"/>
    </row>
    <row r="215">
      <c r="A215" s="392" t="n"/>
      <c r="B215" s="392" t="n"/>
      <c r="C215" s="392" t="n"/>
      <c r="D215" s="392" t="n"/>
      <c r="E215" s="392" t="n"/>
      <c r="F215" s="394" t="n"/>
      <c r="G215" s="604">
        <f>IFERROR(INDEX(⑱中間品単価!$H$5:$H$443,MATCH($C215,⑱中間品単価!$B$5:$B$443,0)),"")</f>
        <v/>
      </c>
      <c r="H215" s="396">
        <f>IF(AND(ISNUMBER($F215),ISNUMBER($G215)),$F215*$G215,"")</f>
        <v/>
      </c>
      <c r="I215" s="392" t="n"/>
    </row>
    <row r="216">
      <c r="A216" s="392" t="n"/>
      <c r="B216" s="392" t="n"/>
      <c r="C216" s="392" t="n"/>
      <c r="D216" s="392" t="n"/>
      <c r="E216" s="392" t="n"/>
      <c r="F216" s="394" t="n"/>
      <c r="G216" s="604">
        <f>IFERROR(INDEX(⑱中間品単価!$H$5:$H$443,MATCH($C216,⑱中間品単価!$B$5:$B$443,0)),"")</f>
        <v/>
      </c>
      <c r="H216" s="396">
        <f>IF(AND(ISNUMBER($F216),ISNUMBER($G216)),$F216*$G216,"")</f>
        <v/>
      </c>
      <c r="I216" s="392" t="n"/>
    </row>
    <row r="217">
      <c r="A217" s="392" t="n"/>
      <c r="B217" s="392" t="n"/>
      <c r="C217" s="392" t="n"/>
      <c r="D217" s="392" t="n"/>
      <c r="E217" s="392" t="n"/>
      <c r="F217" s="394" t="n"/>
      <c r="G217" s="604">
        <f>IFERROR(INDEX(⑱中間品単価!$H$5:$H$443,MATCH($C217,⑱中間品単価!$B$5:$B$443,0)),"")</f>
        <v/>
      </c>
      <c r="H217" s="396">
        <f>IF(AND(ISNUMBER($F217),ISNUMBER($G217)),$F217*$G217,"")</f>
        <v/>
      </c>
      <c r="I217" s="392" t="n"/>
    </row>
    <row r="218">
      <c r="A218" s="392" t="n"/>
      <c r="B218" s="392" t="n"/>
      <c r="C218" s="392" t="n"/>
      <c r="D218" s="392" t="n"/>
      <c r="E218" s="392" t="n"/>
      <c r="F218" s="394" t="n"/>
      <c r="G218" s="604">
        <f>IFERROR(INDEX(⑱中間品単価!$H$5:$H$443,MATCH($C218,⑱中間品単価!$B$5:$B$443,0)),"")</f>
        <v/>
      </c>
      <c r="H218" s="396">
        <f>IF(AND(ISNUMBER($F218),ISNUMBER($G218)),$F218*$G218,"")</f>
        <v/>
      </c>
      <c r="I218" s="392" t="n"/>
    </row>
    <row r="219">
      <c r="A219" s="392" t="n"/>
      <c r="B219" s="392" t="n"/>
      <c r="C219" s="392" t="n"/>
      <c r="D219" s="392" t="n"/>
      <c r="E219" s="392" t="n"/>
      <c r="F219" s="394" t="n"/>
      <c r="G219" s="604">
        <f>IFERROR(INDEX(⑱中間品単価!$H$5:$H$443,MATCH($C219,⑱中間品単価!$B$5:$B$443,0)),"")</f>
        <v/>
      </c>
      <c r="H219" s="396">
        <f>IF(AND(ISNUMBER($F219),ISNUMBER($G219)),$F219*$G219,"")</f>
        <v/>
      </c>
      <c r="I219" s="392" t="n"/>
    </row>
    <row r="220">
      <c r="A220" s="392" t="n"/>
      <c r="B220" s="392" t="n"/>
      <c r="C220" s="392" t="n"/>
      <c r="D220" s="392" t="n"/>
      <c r="E220" s="392" t="n"/>
      <c r="F220" s="394" t="n"/>
      <c r="G220" s="604">
        <f>IFERROR(INDEX(⑱中間品単価!$H$5:$H$443,MATCH($C220,⑱中間品単価!$B$5:$B$443,0)),"")</f>
        <v/>
      </c>
      <c r="H220" s="396">
        <f>IF(AND(ISNUMBER($F220),ISNUMBER($G220)),$F220*$G220,"")</f>
        <v/>
      </c>
      <c r="I220" s="392" t="n"/>
    </row>
    <row r="221">
      <c r="A221" s="392" t="n"/>
      <c r="B221" s="392" t="n"/>
      <c r="C221" s="392" t="n"/>
      <c r="D221" s="392" t="n"/>
      <c r="E221" s="392" t="n"/>
      <c r="F221" s="394" t="n"/>
      <c r="G221" s="604">
        <f>IFERROR(INDEX(⑱中間品単価!$H$5:$H$443,MATCH($C221,⑱中間品単価!$B$5:$B$443,0)),"")</f>
        <v/>
      </c>
      <c r="H221" s="396">
        <f>IF(AND(ISNUMBER($F221),ISNUMBER($G221)),$F221*$G221,"")</f>
        <v/>
      </c>
      <c r="I221" s="392" t="n"/>
    </row>
    <row r="222">
      <c r="A222" s="392" t="n"/>
      <c r="B222" s="392" t="n"/>
      <c r="C222" s="392" t="n"/>
      <c r="D222" s="392" t="n"/>
      <c r="E222" s="392" t="n"/>
      <c r="F222" s="394" t="n"/>
      <c r="G222" s="604">
        <f>IFERROR(INDEX(⑱中間品単価!$H$5:$H$443,MATCH($C222,⑱中間品単価!$B$5:$B$443,0)),"")</f>
        <v/>
      </c>
      <c r="H222" s="396">
        <f>IF(AND(ISNUMBER($F222),ISNUMBER($G222)),$F222*$G222,"")</f>
        <v/>
      </c>
      <c r="I222" s="392" t="n"/>
    </row>
    <row r="223">
      <c r="A223" s="392" t="n"/>
      <c r="B223" s="392" t="n"/>
      <c r="C223" s="392" t="n"/>
      <c r="D223" s="392" t="n"/>
      <c r="E223" s="392" t="n"/>
      <c r="F223" s="394" t="n"/>
      <c r="G223" s="604">
        <f>IFERROR(INDEX(⑱中間品単価!$H$5:$H$443,MATCH($C223,⑱中間品単価!$B$5:$B$443,0)),"")</f>
        <v/>
      </c>
      <c r="H223" s="396">
        <f>IF(AND(ISNUMBER($F223),ISNUMBER($G223)),$F223*$G223,"")</f>
        <v/>
      </c>
      <c r="I223" s="392" t="n"/>
    </row>
    <row r="224">
      <c r="A224" s="392" t="n"/>
      <c r="B224" s="392" t="n"/>
      <c r="C224" s="392" t="n"/>
      <c r="D224" s="392" t="n"/>
      <c r="E224" s="392" t="n"/>
      <c r="F224" s="394" t="n"/>
      <c r="G224" s="604">
        <f>IFERROR(INDEX(⑱中間品単価!$H$5:$H$443,MATCH($C224,⑱中間品単価!$B$5:$B$443,0)),"")</f>
        <v/>
      </c>
      <c r="H224" s="396">
        <f>IF(AND(ISNUMBER($F224),ISNUMBER($G224)),$F224*$G224,"")</f>
        <v/>
      </c>
      <c r="I224" s="392" t="n"/>
    </row>
    <row r="225">
      <c r="A225" s="392" t="n"/>
      <c r="B225" s="392" t="n"/>
      <c r="C225" s="392" t="n"/>
      <c r="D225" s="392" t="n"/>
      <c r="E225" s="392" t="n"/>
      <c r="F225" s="394" t="n"/>
      <c r="G225" s="604">
        <f>IFERROR(INDEX(⑱中間品単価!$H$5:$H$443,MATCH($C225,⑱中間品単価!$B$5:$B$443,0)),"")</f>
        <v/>
      </c>
      <c r="H225" s="396">
        <f>IF(AND(ISNUMBER($F225),ISNUMBER($G225)),$F225*$G225,"")</f>
        <v/>
      </c>
      <c r="I225" s="392" t="n"/>
    </row>
    <row r="226">
      <c r="A226" s="392" t="n"/>
      <c r="B226" s="392" t="n"/>
      <c r="C226" s="392" t="n"/>
      <c r="D226" s="392" t="n"/>
      <c r="E226" s="392" t="n"/>
      <c r="F226" s="394" t="n"/>
      <c r="G226" s="604">
        <f>IFERROR(INDEX(⑱中間品単価!$H$5:$H$443,MATCH($C226,⑱中間品単価!$B$5:$B$443,0)),"")</f>
        <v/>
      </c>
      <c r="H226" s="396">
        <f>IF(AND(ISNUMBER($F226),ISNUMBER($G226)),$F226*$G226,"")</f>
        <v/>
      </c>
      <c r="I226" s="392" t="n"/>
    </row>
    <row r="227">
      <c r="A227" s="392" t="n"/>
      <c r="B227" s="392" t="n"/>
      <c r="C227" s="392" t="n"/>
      <c r="D227" s="392" t="n"/>
      <c r="E227" s="392" t="n"/>
      <c r="F227" s="394" t="n"/>
      <c r="G227" s="604">
        <f>IFERROR(INDEX(⑱中間品単価!$H$5:$H$443,MATCH($C227,⑱中間品単価!$B$5:$B$443,0)),"")</f>
        <v/>
      </c>
      <c r="H227" s="396">
        <f>IF(AND(ISNUMBER($F227),ISNUMBER($G227)),$F227*$G227,"")</f>
        <v/>
      </c>
      <c r="I227" s="392" t="n"/>
    </row>
    <row r="228">
      <c r="A228" s="392" t="n"/>
      <c r="B228" s="392" t="n"/>
      <c r="C228" s="392" t="n"/>
      <c r="D228" s="392" t="n"/>
      <c r="E228" s="392" t="n"/>
      <c r="F228" s="394" t="n"/>
      <c r="G228" s="604">
        <f>IFERROR(INDEX(⑱中間品単価!$H$5:$H$443,MATCH($C228,⑱中間品単価!$B$5:$B$443,0)),"")</f>
        <v/>
      </c>
      <c r="H228" s="396">
        <f>IF(AND(ISNUMBER($F228),ISNUMBER($G228)),$F228*$G228,"")</f>
        <v/>
      </c>
      <c r="I228" s="392" t="n"/>
    </row>
    <row r="229">
      <c r="A229" s="392" t="n"/>
      <c r="B229" s="392" t="n"/>
      <c r="C229" s="392" t="n"/>
      <c r="D229" s="392" t="n"/>
      <c r="E229" s="392" t="n"/>
      <c r="F229" s="394" t="n"/>
      <c r="G229" s="604">
        <f>IFERROR(INDEX(⑱中間品単価!$H$5:$H$443,MATCH($C229,⑱中間品単価!$B$5:$B$443,0)),"")</f>
        <v/>
      </c>
      <c r="H229" s="396">
        <f>IF(AND(ISNUMBER($F229),ISNUMBER($G229)),$F229*$G229,"")</f>
        <v/>
      </c>
      <c r="I229" s="392" t="n"/>
    </row>
    <row r="230">
      <c r="A230" s="392" t="n"/>
      <c r="B230" s="392" t="n"/>
      <c r="C230" s="392" t="n"/>
      <c r="D230" s="392" t="n"/>
      <c r="E230" s="392" t="n"/>
      <c r="F230" s="394" t="n"/>
      <c r="G230" s="604">
        <f>IFERROR(INDEX(⑱中間品単価!$H$5:$H$443,MATCH($C230,⑱中間品単価!$B$5:$B$443,0)),"")</f>
        <v/>
      </c>
      <c r="H230" s="396">
        <f>IF(AND(ISNUMBER($F230),ISNUMBER($G230)),$F230*$G230,"")</f>
        <v/>
      </c>
      <c r="I230" s="392" t="n"/>
    </row>
    <row r="231">
      <c r="A231" s="392" t="n"/>
      <c r="B231" s="392" t="n"/>
      <c r="C231" s="392" t="n"/>
      <c r="D231" s="392" t="n"/>
      <c r="E231" s="392" t="n"/>
      <c r="F231" s="394" t="n"/>
      <c r="G231" s="604">
        <f>IFERROR(INDEX(⑱中間品単価!$H$5:$H$443,MATCH($C231,⑱中間品単価!$B$5:$B$443,0)),"")</f>
        <v/>
      </c>
      <c r="H231" s="396">
        <f>IF(AND(ISNUMBER($F231),ISNUMBER($G231)),$F231*$G231,"")</f>
        <v/>
      </c>
      <c r="I231" s="392" t="n"/>
    </row>
    <row r="232">
      <c r="A232" s="392" t="n"/>
      <c r="B232" s="392" t="n"/>
      <c r="C232" s="392" t="n"/>
      <c r="D232" s="392" t="n"/>
      <c r="E232" s="392" t="n"/>
      <c r="F232" s="394" t="n"/>
      <c r="G232" s="604">
        <f>IFERROR(INDEX(⑱中間品単価!$H$5:$H$443,MATCH($C232,⑱中間品単価!$B$5:$B$443,0)),"")</f>
        <v/>
      </c>
      <c r="H232" s="396">
        <f>IF(AND(ISNUMBER($F232),ISNUMBER($G232)),$F232*$G232,"")</f>
        <v/>
      </c>
      <c r="I232" s="392" t="n"/>
    </row>
    <row r="233">
      <c r="A233" s="392" t="n"/>
      <c r="B233" s="392" t="n"/>
      <c r="C233" s="392" t="n"/>
      <c r="D233" s="392" t="n"/>
      <c r="E233" s="392" t="n"/>
      <c r="F233" s="394" t="n"/>
      <c r="G233" s="604">
        <f>IFERROR(INDEX(⑱中間品単価!$H$5:$H$443,MATCH($C233,⑱中間品単価!$B$5:$B$443,0)),"")</f>
        <v/>
      </c>
      <c r="H233" s="396">
        <f>IF(AND(ISNUMBER($F233),ISNUMBER($G233)),$F233*$G233,"")</f>
        <v/>
      </c>
      <c r="I233" s="392" t="n"/>
    </row>
    <row r="234">
      <c r="A234" s="392" t="n"/>
      <c r="B234" s="392" t="n"/>
      <c r="C234" s="392" t="n"/>
      <c r="D234" s="392" t="n"/>
      <c r="E234" s="392" t="n"/>
      <c r="F234" s="394" t="n"/>
      <c r="G234" s="604">
        <f>IFERROR(INDEX(⑱中間品単価!$H$5:$H$443,MATCH($C234,⑱中間品単価!$B$5:$B$443,0)),"")</f>
        <v/>
      </c>
      <c r="H234" s="396">
        <f>IF(AND(ISNUMBER($F234),ISNUMBER($G234)),$F234*$G234,"")</f>
        <v/>
      </c>
      <c r="I234" s="392" t="n"/>
    </row>
    <row r="235">
      <c r="A235" s="392" t="n"/>
      <c r="B235" s="392" t="n"/>
      <c r="C235" s="392" t="n"/>
      <c r="D235" s="392" t="n"/>
      <c r="E235" s="392" t="n"/>
      <c r="F235" s="394" t="n"/>
      <c r="G235" s="604">
        <f>IFERROR(INDEX(⑱中間品単価!$H$5:$H$443,MATCH($C235,⑱中間品単価!$B$5:$B$443,0)),"")</f>
        <v/>
      </c>
      <c r="H235" s="396">
        <f>IF(AND(ISNUMBER($F235),ISNUMBER($G235)),$F235*$G235,"")</f>
        <v/>
      </c>
      <c r="I235" s="392" t="n"/>
    </row>
    <row r="236">
      <c r="A236" s="392" t="n"/>
      <c r="B236" s="392" t="n"/>
      <c r="C236" s="392" t="n"/>
      <c r="D236" s="392" t="n"/>
      <c r="E236" s="392" t="n"/>
      <c r="F236" s="394" t="n"/>
      <c r="G236" s="604">
        <f>IFERROR(INDEX(⑱中間品単価!$H$5:$H$443,MATCH($C236,⑱中間品単価!$B$5:$B$443,0)),"")</f>
        <v/>
      </c>
      <c r="H236" s="396">
        <f>IF(AND(ISNUMBER($F236),ISNUMBER($G236)),$F236*$G236,"")</f>
        <v/>
      </c>
      <c r="I236" s="392" t="n"/>
    </row>
    <row r="237">
      <c r="A237" s="392" t="n"/>
      <c r="B237" s="392" t="n"/>
      <c r="C237" s="392" t="n"/>
      <c r="D237" s="392" t="n"/>
      <c r="E237" s="392" t="n"/>
      <c r="F237" s="394" t="n"/>
      <c r="G237" s="604">
        <f>IFERROR(INDEX(⑱中間品単価!$H$5:$H$443,MATCH($C237,⑱中間品単価!$B$5:$B$443,0)),"")</f>
        <v/>
      </c>
      <c r="H237" s="396">
        <f>IF(AND(ISNUMBER($F237),ISNUMBER($G237)),$F237*$G237,"")</f>
        <v/>
      </c>
      <c r="I237" s="392" t="n"/>
    </row>
    <row r="238">
      <c r="A238" s="392" t="n"/>
      <c r="B238" s="392" t="n"/>
      <c r="C238" s="392" t="n"/>
      <c r="D238" s="392" t="n"/>
      <c r="E238" s="392" t="n"/>
      <c r="F238" s="394" t="n"/>
      <c r="G238" s="604">
        <f>IFERROR(INDEX(⑱中間品単価!$H$5:$H$443,MATCH($C238,⑱中間品単価!$B$5:$B$443,0)),"")</f>
        <v/>
      </c>
      <c r="H238" s="396">
        <f>IF(AND(ISNUMBER($F238),ISNUMBER($G238)),$F238*$G238,"")</f>
        <v/>
      </c>
      <c r="I238" s="392" t="n"/>
    </row>
    <row r="239">
      <c r="A239" s="392" t="n"/>
      <c r="B239" s="392" t="n"/>
      <c r="C239" s="392" t="n"/>
      <c r="D239" s="392" t="n"/>
      <c r="E239" s="392" t="n"/>
      <c r="F239" s="394" t="n"/>
      <c r="G239" s="604">
        <f>IFERROR(INDEX(⑱中間品単価!$H$5:$H$443,MATCH($C239,⑱中間品単価!$B$5:$B$443,0)),"")</f>
        <v/>
      </c>
      <c r="H239" s="396">
        <f>IF(AND(ISNUMBER($F239),ISNUMBER($G239)),$F239*$G239,"")</f>
        <v/>
      </c>
      <c r="I239" s="392" t="n"/>
    </row>
    <row r="240">
      <c r="A240" s="392" t="n"/>
      <c r="B240" s="392" t="n"/>
      <c r="C240" s="392" t="n"/>
      <c r="D240" s="392" t="n"/>
      <c r="E240" s="392" t="n"/>
      <c r="F240" s="394" t="n"/>
      <c r="G240" s="604">
        <f>IFERROR(INDEX(⑱中間品単価!$H$5:$H$443,MATCH($C240,⑱中間品単価!$B$5:$B$443,0)),"")</f>
        <v/>
      </c>
      <c r="H240" s="396">
        <f>IF(AND(ISNUMBER($F240),ISNUMBER($G240)),$F240*$G240,"")</f>
        <v/>
      </c>
      <c r="I240" s="392" t="n"/>
    </row>
    <row r="241">
      <c r="A241" s="392" t="n"/>
      <c r="B241" s="392" t="n"/>
      <c r="C241" s="392" t="n"/>
      <c r="D241" s="392" t="n"/>
      <c r="E241" s="392" t="n"/>
      <c r="F241" s="394" t="n"/>
      <c r="G241" s="604">
        <f>IFERROR(INDEX(⑱中間品単価!$H$5:$H$443,MATCH($C241,⑱中間品単価!$B$5:$B$443,0)),"")</f>
        <v/>
      </c>
      <c r="H241" s="396">
        <f>IF(AND(ISNUMBER($F241),ISNUMBER($G241)),$F241*$G241,"")</f>
        <v/>
      </c>
      <c r="I241" s="392" t="n"/>
    </row>
    <row r="242">
      <c r="A242" s="392" t="n"/>
      <c r="B242" s="392" t="n"/>
      <c r="C242" s="392" t="n"/>
      <c r="D242" s="392" t="n"/>
      <c r="E242" s="392" t="n"/>
      <c r="F242" s="394" t="n"/>
      <c r="G242" s="604">
        <f>IFERROR(INDEX(⑱中間品単価!$H$5:$H$443,MATCH($C242,⑱中間品単価!$B$5:$B$443,0)),"")</f>
        <v/>
      </c>
      <c r="H242" s="396">
        <f>IF(AND(ISNUMBER($F242),ISNUMBER($G242)),$F242*$G242,"")</f>
        <v/>
      </c>
      <c r="I242" s="392" t="n"/>
    </row>
    <row r="243">
      <c r="A243" s="392" t="n"/>
      <c r="B243" s="392" t="n"/>
      <c r="C243" s="392" t="n"/>
      <c r="D243" s="392" t="n"/>
      <c r="E243" s="392" t="n"/>
      <c r="F243" s="394" t="n"/>
      <c r="G243" s="604">
        <f>IFERROR(INDEX(⑱中間品単価!$H$5:$H$443,MATCH($C243,⑱中間品単価!$B$5:$B$443,0)),"")</f>
        <v/>
      </c>
      <c r="H243" s="396">
        <f>IF(AND(ISNUMBER($F243),ISNUMBER($G243)),$F243*$G243,"")</f>
        <v/>
      </c>
      <c r="I243" s="392" t="n"/>
    </row>
    <row r="244">
      <c r="A244" s="392" t="n"/>
      <c r="B244" s="392" t="n"/>
      <c r="C244" s="392" t="n"/>
      <c r="D244" s="392" t="n"/>
      <c r="E244" s="392" t="n"/>
      <c r="F244" s="394" t="n"/>
      <c r="G244" s="604">
        <f>IFERROR(INDEX(⑱中間品単価!$H$5:$H$443,MATCH($C244,⑱中間品単価!$B$5:$B$443,0)),"")</f>
        <v/>
      </c>
      <c r="H244" s="396">
        <f>IF(AND(ISNUMBER($F244),ISNUMBER($G244)),$F244*$G244,"")</f>
        <v/>
      </c>
      <c r="I244" s="392" t="n"/>
    </row>
    <row r="245">
      <c r="A245" s="392" t="n"/>
      <c r="B245" s="392" t="n"/>
      <c r="C245" s="392" t="n"/>
      <c r="D245" s="392" t="n"/>
      <c r="E245" s="392" t="n"/>
      <c r="F245" s="394" t="n"/>
      <c r="G245" s="604">
        <f>IFERROR(INDEX(⑱中間品単価!$H$5:$H$443,MATCH($C245,⑱中間品単価!$B$5:$B$443,0)),"")</f>
        <v/>
      </c>
      <c r="H245" s="396">
        <f>IF(AND(ISNUMBER($F245),ISNUMBER($G245)),$F245*$G245,"")</f>
        <v/>
      </c>
      <c r="I245" s="392" t="n"/>
    </row>
    <row r="246">
      <c r="A246" s="392" t="n"/>
      <c r="B246" s="392" t="n"/>
      <c r="C246" s="392" t="n"/>
      <c r="D246" s="392" t="n"/>
      <c r="E246" s="392" t="n"/>
      <c r="F246" s="394" t="n"/>
      <c r="G246" s="604">
        <f>IFERROR(INDEX(⑱中間品単価!$H$5:$H$443,MATCH($C246,⑱中間品単価!$B$5:$B$443,0)),"")</f>
        <v/>
      </c>
      <c r="H246" s="396">
        <f>IF(AND(ISNUMBER($F246),ISNUMBER($G246)),$F246*$G246,"")</f>
        <v/>
      </c>
      <c r="I246" s="392" t="n"/>
    </row>
    <row r="247">
      <c r="A247" s="392" t="n"/>
      <c r="B247" s="392" t="n"/>
      <c r="C247" s="392" t="n"/>
      <c r="D247" s="392" t="n"/>
      <c r="E247" s="392" t="n"/>
      <c r="F247" s="394" t="n"/>
      <c r="G247" s="604">
        <f>IFERROR(INDEX(⑱中間品単価!$H$5:$H$443,MATCH($C247,⑱中間品単価!$B$5:$B$443,0)),"")</f>
        <v/>
      </c>
      <c r="H247" s="396">
        <f>IF(AND(ISNUMBER($F247),ISNUMBER($G247)),$F247*$G247,"")</f>
        <v/>
      </c>
      <c r="I247" s="392" t="n"/>
    </row>
    <row r="248">
      <c r="A248" s="392" t="n"/>
      <c r="B248" s="392" t="n"/>
      <c r="C248" s="392" t="n"/>
      <c r="D248" s="392" t="n"/>
      <c r="E248" s="392" t="n"/>
      <c r="F248" s="394" t="n"/>
      <c r="G248" s="604">
        <f>IFERROR(INDEX(⑱中間品単価!$H$5:$H$443,MATCH($C248,⑱中間品単価!$B$5:$B$443,0)),"")</f>
        <v/>
      </c>
      <c r="H248" s="396">
        <f>IF(AND(ISNUMBER($F248),ISNUMBER($G248)),$F248*$G248,"")</f>
        <v/>
      </c>
      <c r="I248" s="392" t="n"/>
    </row>
    <row r="249">
      <c r="A249" s="392" t="n"/>
      <c r="B249" s="392" t="n"/>
      <c r="C249" s="392" t="n"/>
      <c r="D249" s="392" t="n"/>
      <c r="E249" s="392" t="n"/>
      <c r="F249" s="394" t="n"/>
      <c r="G249" s="604">
        <f>IFERROR(INDEX(⑱中間品単価!$H$5:$H$443,MATCH($C249,⑱中間品単価!$B$5:$B$443,0)),"")</f>
        <v/>
      </c>
      <c r="H249" s="396">
        <f>IF(AND(ISNUMBER($F249),ISNUMBER($G249)),$F249*$G249,"")</f>
        <v/>
      </c>
      <c r="I249" s="392" t="n"/>
    </row>
    <row r="250">
      <c r="A250" s="392" t="n"/>
      <c r="B250" s="392" t="n"/>
      <c r="C250" s="392" t="n"/>
      <c r="D250" s="392" t="n"/>
      <c r="E250" s="392" t="n"/>
      <c r="F250" s="394" t="n"/>
      <c r="G250" s="604">
        <f>IFERROR(INDEX(⑱中間品単価!$H$5:$H$443,MATCH($C250,⑱中間品単価!$B$5:$B$443,0)),"")</f>
        <v/>
      </c>
      <c r="H250" s="396">
        <f>IF(AND(ISNUMBER($F250),ISNUMBER($G250)),$F250*$G250,"")</f>
        <v/>
      </c>
      <c r="I250" s="392" t="n"/>
    </row>
    <row r="251">
      <c r="A251" s="392" t="n"/>
      <c r="B251" s="392" t="n"/>
      <c r="C251" s="392" t="n"/>
      <c r="D251" s="392" t="n"/>
      <c r="E251" s="392" t="n"/>
      <c r="F251" s="394" t="n"/>
      <c r="G251" s="604">
        <f>IFERROR(INDEX(⑱中間品単価!$H$5:$H$443,MATCH($C251,⑱中間品単価!$B$5:$B$443,0)),"")</f>
        <v/>
      </c>
      <c r="H251" s="396">
        <f>IF(AND(ISNUMBER($F251),ISNUMBER($G251)),$F251*$G251,"")</f>
        <v/>
      </c>
      <c r="I251" s="392" t="n"/>
    </row>
    <row r="252">
      <c r="A252" s="392" t="n"/>
      <c r="B252" s="392" t="n"/>
      <c r="C252" s="392" t="n"/>
      <c r="D252" s="392" t="n"/>
      <c r="E252" s="392" t="n"/>
      <c r="F252" s="394" t="n"/>
      <c r="G252" s="604">
        <f>IFERROR(INDEX(⑱中間品単価!$H$5:$H$443,MATCH($C252,⑱中間品単価!$B$5:$B$443,0)),"")</f>
        <v/>
      </c>
      <c r="H252" s="396">
        <f>IF(AND(ISNUMBER($F252),ISNUMBER($G252)),$F252*$G252,"")</f>
        <v/>
      </c>
      <c r="I252" s="392" t="n"/>
    </row>
    <row r="253">
      <c r="A253" s="392" t="n"/>
      <c r="B253" s="392" t="n"/>
      <c r="C253" s="392" t="n"/>
      <c r="D253" s="392" t="n"/>
      <c r="E253" s="392" t="n"/>
      <c r="F253" s="394" t="n"/>
      <c r="G253" s="604">
        <f>IFERROR(INDEX(⑱中間品単価!$H$5:$H$443,MATCH($C253,⑱中間品単価!$B$5:$B$443,0)),"")</f>
        <v/>
      </c>
      <c r="H253" s="396">
        <f>IF(AND(ISNUMBER($F253),ISNUMBER($G253)),$F253*$G253,"")</f>
        <v/>
      </c>
      <c r="I253" s="392" t="n"/>
    </row>
    <row r="254">
      <c r="A254" s="392" t="n"/>
      <c r="B254" s="392" t="n"/>
      <c r="C254" s="392" t="n"/>
      <c r="D254" s="392" t="n"/>
      <c r="E254" s="392" t="n"/>
      <c r="F254" s="394" t="n"/>
      <c r="G254" s="604">
        <f>IFERROR(INDEX(⑱中間品単価!$H$5:$H$443,MATCH($C254,⑱中間品単価!$B$5:$B$443,0)),"")</f>
        <v/>
      </c>
      <c r="H254" s="396">
        <f>IF(AND(ISNUMBER($F254),ISNUMBER($G254)),$F254*$G254,"")</f>
        <v/>
      </c>
      <c r="I254" s="392" t="n"/>
    </row>
    <row r="255">
      <c r="A255" s="392" t="n"/>
      <c r="B255" s="392" t="n"/>
      <c r="C255" s="392" t="n"/>
      <c r="D255" s="392" t="n"/>
      <c r="E255" s="392" t="n"/>
      <c r="F255" s="394" t="n"/>
      <c r="G255" s="604">
        <f>IFERROR(INDEX(⑱中間品単価!$H$5:$H$443,MATCH($C255,⑱中間品単価!$B$5:$B$443,0)),"")</f>
        <v/>
      </c>
      <c r="H255" s="396">
        <f>IF(AND(ISNUMBER($F255),ISNUMBER($G255)),$F255*$G255,"")</f>
        <v/>
      </c>
      <c r="I255" s="392" t="n"/>
    </row>
    <row r="256">
      <c r="A256" s="392" t="n"/>
      <c r="B256" s="392" t="n"/>
      <c r="C256" s="392" t="n"/>
      <c r="D256" s="392" t="n"/>
      <c r="E256" s="392" t="n"/>
      <c r="F256" s="394" t="n"/>
      <c r="G256" s="604">
        <f>IFERROR(INDEX(⑱中間品単価!$H$5:$H$443,MATCH($C256,⑱中間品単価!$B$5:$B$443,0)),"")</f>
        <v/>
      </c>
      <c r="H256" s="396">
        <f>IF(AND(ISNUMBER($F256),ISNUMBER($G256)),$F256*$G256,"")</f>
        <v/>
      </c>
      <c r="I256" s="392" t="n"/>
    </row>
    <row r="257">
      <c r="A257" s="392" t="n"/>
      <c r="B257" s="392" t="n"/>
      <c r="C257" s="392" t="n"/>
      <c r="D257" s="392" t="n"/>
      <c r="E257" s="392" t="n"/>
      <c r="F257" s="394" t="n"/>
      <c r="G257" s="604">
        <f>IFERROR(INDEX(⑱中間品単価!$H$5:$H$443,MATCH($C257,⑱中間品単価!$B$5:$B$443,0)),"")</f>
        <v/>
      </c>
      <c r="H257" s="396">
        <f>IF(AND(ISNUMBER($F257),ISNUMBER($G257)),$F257*$G257,"")</f>
        <v/>
      </c>
      <c r="I257" s="392" t="n"/>
    </row>
    <row r="258">
      <c r="A258" s="392" t="n"/>
      <c r="B258" s="392" t="n"/>
      <c r="C258" s="392" t="n"/>
      <c r="D258" s="392" t="n"/>
      <c r="E258" s="392" t="n"/>
      <c r="F258" s="394" t="n"/>
      <c r="G258" s="604">
        <f>IFERROR(INDEX(⑱中間品単価!$H$5:$H$443,MATCH($C258,⑱中間品単価!$B$5:$B$443,0)),"")</f>
        <v/>
      </c>
      <c r="H258" s="396">
        <f>IF(AND(ISNUMBER($F258),ISNUMBER($G258)),$F258*$G258,"")</f>
        <v/>
      </c>
      <c r="I258" s="392" t="n"/>
    </row>
    <row r="259">
      <c r="A259" s="392" t="n"/>
      <c r="B259" s="392" t="n"/>
      <c r="C259" s="392" t="n"/>
      <c r="D259" s="392" t="n"/>
      <c r="E259" s="392" t="n"/>
      <c r="F259" s="394" t="n"/>
      <c r="G259" s="604">
        <f>IFERROR(INDEX(⑱中間品単価!$H$5:$H$443,MATCH($C259,⑱中間品単価!$B$5:$B$443,0)),"")</f>
        <v/>
      </c>
      <c r="H259" s="396">
        <f>IF(AND(ISNUMBER($F259),ISNUMBER($G259)),$F259*$G259,"")</f>
        <v/>
      </c>
      <c r="I259" s="392" t="n"/>
    </row>
    <row r="260">
      <c r="A260" s="392" t="n"/>
      <c r="B260" s="392" t="n"/>
      <c r="C260" s="392" t="n"/>
      <c r="D260" s="392" t="n"/>
      <c r="E260" s="392" t="n"/>
      <c r="F260" s="394" t="n"/>
      <c r="G260" s="604">
        <f>IFERROR(INDEX(⑱中間品単価!$H$5:$H$443,MATCH($C260,⑱中間品単価!$B$5:$B$443,0)),"")</f>
        <v/>
      </c>
      <c r="H260" s="396">
        <f>IF(AND(ISNUMBER($F260),ISNUMBER($G260)),$F260*$G260,"")</f>
        <v/>
      </c>
      <c r="I260" s="392" t="n"/>
    </row>
    <row r="261">
      <c r="A261" s="392" t="n"/>
      <c r="B261" s="392" t="n"/>
      <c r="C261" s="392" t="n"/>
      <c r="D261" s="392" t="n"/>
      <c r="E261" s="392" t="n"/>
      <c r="F261" s="394" t="n"/>
      <c r="G261" s="604">
        <f>IFERROR(INDEX(⑱中間品単価!$H$5:$H$443,MATCH($C261,⑱中間品単価!$B$5:$B$443,0)),"")</f>
        <v/>
      </c>
      <c r="H261" s="396">
        <f>IF(AND(ISNUMBER($F261),ISNUMBER($G261)),$F261*$G261,"")</f>
        <v/>
      </c>
      <c r="I261" s="392" t="n"/>
    </row>
    <row r="262">
      <c r="A262" s="392" t="n"/>
      <c r="B262" s="392" t="n"/>
      <c r="C262" s="392" t="n"/>
      <c r="D262" s="392" t="n"/>
      <c r="E262" s="392" t="n"/>
      <c r="F262" s="394" t="n"/>
      <c r="G262" s="604">
        <f>IFERROR(INDEX(⑱中間品単価!$H$5:$H$443,MATCH($C262,⑱中間品単価!$B$5:$B$443,0)),"")</f>
        <v/>
      </c>
      <c r="H262" s="396">
        <f>IF(AND(ISNUMBER($F262),ISNUMBER($G262)),$F262*$G262,"")</f>
        <v/>
      </c>
      <c r="I262" s="392" t="n"/>
    </row>
    <row r="263">
      <c r="A263" s="392" t="n"/>
      <c r="B263" s="392" t="n"/>
      <c r="C263" s="392" t="n"/>
      <c r="D263" s="392" t="n"/>
      <c r="E263" s="392" t="n"/>
      <c r="F263" s="394" t="n"/>
      <c r="G263" s="604">
        <f>IFERROR(INDEX(⑱中間品単価!$H$5:$H$443,MATCH($C263,⑱中間品単価!$B$5:$B$443,0)),"")</f>
        <v/>
      </c>
      <c r="H263" s="396">
        <f>IF(AND(ISNUMBER($F263),ISNUMBER($G263)),$F263*$G263,"")</f>
        <v/>
      </c>
      <c r="I263" s="392" t="n"/>
    </row>
    <row r="264">
      <c r="A264" s="392" t="n"/>
      <c r="B264" s="392" t="n"/>
      <c r="C264" s="392" t="n"/>
      <c r="D264" s="392" t="n"/>
      <c r="E264" s="392" t="n"/>
      <c r="F264" s="394" t="n"/>
      <c r="G264" s="604">
        <f>IFERROR(INDEX(⑱中間品単価!$H$5:$H$443,MATCH($C264,⑱中間品単価!$B$5:$B$443,0)),"")</f>
        <v/>
      </c>
      <c r="H264" s="396">
        <f>IF(AND(ISNUMBER($F264),ISNUMBER($G264)),$F264*$G264,"")</f>
        <v/>
      </c>
      <c r="I264" s="392" t="n"/>
    </row>
    <row r="265">
      <c r="A265" s="392" t="n"/>
      <c r="B265" s="392" t="n"/>
      <c r="C265" s="392" t="n"/>
      <c r="D265" s="392" t="n"/>
      <c r="E265" s="392" t="n"/>
      <c r="F265" s="394" t="n"/>
      <c r="G265" s="604">
        <f>IFERROR(INDEX(⑱中間品単価!$H$5:$H$443,MATCH($C265,⑱中間品単価!$B$5:$B$443,0)),"")</f>
        <v/>
      </c>
      <c r="H265" s="396">
        <f>IF(AND(ISNUMBER($F265),ISNUMBER($G265)),$F265*$G265,"")</f>
        <v/>
      </c>
      <c r="I265" s="392" t="n"/>
    </row>
    <row r="266">
      <c r="A266" s="392" t="n"/>
      <c r="B266" s="392" t="n"/>
      <c r="C266" s="392" t="n"/>
      <c r="D266" s="392" t="n"/>
      <c r="E266" s="392" t="n"/>
      <c r="F266" s="394" t="n"/>
      <c r="G266" s="604">
        <f>IFERROR(INDEX(⑱中間品単価!$H$5:$H$443,MATCH($C266,⑱中間品単価!$B$5:$B$443,0)),"")</f>
        <v/>
      </c>
      <c r="H266" s="396">
        <f>IF(AND(ISNUMBER($F266),ISNUMBER($G266)),$F266*$G266,"")</f>
        <v/>
      </c>
      <c r="I266" s="392" t="n"/>
    </row>
    <row r="267">
      <c r="A267" s="392" t="n"/>
      <c r="B267" s="392" t="n"/>
      <c r="C267" s="392" t="n"/>
      <c r="D267" s="392" t="n"/>
      <c r="E267" s="392" t="n"/>
      <c r="F267" s="394" t="n"/>
      <c r="G267" s="604">
        <f>IFERROR(INDEX(⑱中間品単価!$H$5:$H$443,MATCH($C267,⑱中間品単価!$B$5:$B$443,0)),"")</f>
        <v/>
      </c>
      <c r="H267" s="396">
        <f>IF(AND(ISNUMBER($F267),ISNUMBER($G267)),$F267*$G267,"")</f>
        <v/>
      </c>
      <c r="I267" s="392" t="n"/>
    </row>
    <row r="268">
      <c r="A268" s="392" t="n"/>
      <c r="B268" s="392" t="n"/>
      <c r="C268" s="392" t="n"/>
      <c r="D268" s="392" t="n"/>
      <c r="E268" s="392" t="n"/>
      <c r="F268" s="394" t="n"/>
      <c r="G268" s="604">
        <f>IFERROR(INDEX(⑱中間品単価!$H$5:$H$443,MATCH($C268,⑱中間品単価!$B$5:$B$443,0)),"")</f>
        <v/>
      </c>
      <c r="H268" s="396">
        <f>IF(AND(ISNUMBER($F268),ISNUMBER($G268)),$F268*$G268,"")</f>
        <v/>
      </c>
      <c r="I268" s="392" t="n"/>
    </row>
    <row r="269">
      <c r="A269" s="392" t="n"/>
      <c r="B269" s="392" t="n"/>
      <c r="C269" s="392" t="n"/>
      <c r="D269" s="392" t="n"/>
      <c r="E269" s="392" t="n"/>
      <c r="F269" s="394" t="n"/>
      <c r="G269" s="604">
        <f>IFERROR(INDEX(⑱中間品単価!$H$5:$H$443,MATCH($C269,⑱中間品単価!$B$5:$B$443,0)),"")</f>
        <v/>
      </c>
      <c r="H269" s="396">
        <f>IF(AND(ISNUMBER($F269),ISNUMBER($G269)),$F269*$G269,"")</f>
        <v/>
      </c>
      <c r="I269" s="392" t="n"/>
    </row>
    <row r="270">
      <c r="A270" s="392" t="n"/>
      <c r="B270" s="392" t="n"/>
      <c r="C270" s="392" t="n"/>
      <c r="D270" s="392" t="n"/>
      <c r="E270" s="392" t="n"/>
      <c r="F270" s="394" t="n"/>
      <c r="G270" s="604">
        <f>IFERROR(INDEX(⑱中間品単価!$H$5:$H$443,MATCH($C270,⑱中間品単価!$B$5:$B$443,0)),"")</f>
        <v/>
      </c>
      <c r="H270" s="396">
        <f>IF(AND(ISNUMBER($F270),ISNUMBER($G270)),$F270*$G270,"")</f>
        <v/>
      </c>
      <c r="I270" s="392" t="n"/>
    </row>
    <row r="271">
      <c r="A271" s="392" t="n"/>
      <c r="B271" s="392" t="n"/>
      <c r="C271" s="392" t="n"/>
      <c r="D271" s="392" t="n"/>
      <c r="E271" s="392" t="n"/>
      <c r="F271" s="394" t="n"/>
      <c r="G271" s="604">
        <f>IFERROR(INDEX(⑱中間品単価!$H$5:$H$443,MATCH($C271,⑱中間品単価!$B$5:$B$443,0)),"")</f>
        <v/>
      </c>
      <c r="H271" s="396">
        <f>IF(AND(ISNUMBER($F271),ISNUMBER($G271)),$F271*$G271,"")</f>
        <v/>
      </c>
      <c r="I271" s="392" t="n"/>
    </row>
    <row r="272">
      <c r="A272" s="392" t="n"/>
      <c r="B272" s="392" t="n"/>
      <c r="C272" s="392" t="n"/>
      <c r="D272" s="392" t="n"/>
      <c r="E272" s="392" t="n"/>
      <c r="F272" s="394" t="n"/>
      <c r="G272" s="604">
        <f>IFERROR(INDEX(⑱中間品単価!$H$5:$H$443,MATCH($C272,⑱中間品単価!$B$5:$B$443,0)),"")</f>
        <v/>
      </c>
      <c r="H272" s="396">
        <f>IF(AND(ISNUMBER($F272),ISNUMBER($G272)),$F272*$G272,"")</f>
        <v/>
      </c>
      <c r="I272" s="392" t="n"/>
    </row>
    <row r="273">
      <c r="A273" s="392" t="n"/>
      <c r="B273" s="392" t="n"/>
      <c r="C273" s="392" t="n"/>
      <c r="D273" s="392" t="n"/>
      <c r="E273" s="392" t="n"/>
      <c r="F273" s="394" t="n"/>
      <c r="G273" s="604">
        <f>IFERROR(INDEX(⑱中間品単価!$H$5:$H$443,MATCH($C273,⑱中間品単価!$B$5:$B$443,0)),"")</f>
        <v/>
      </c>
      <c r="H273" s="396">
        <f>IF(AND(ISNUMBER($F273),ISNUMBER($G273)),$F273*$G273,"")</f>
        <v/>
      </c>
      <c r="I273" s="392" t="n"/>
    </row>
    <row r="274">
      <c r="A274" s="392" t="n"/>
      <c r="B274" s="392" t="n"/>
      <c r="C274" s="392" t="n"/>
      <c r="D274" s="392" t="n"/>
      <c r="E274" s="392" t="n"/>
      <c r="F274" s="394" t="n"/>
      <c r="G274" s="604">
        <f>IFERROR(INDEX(⑱中間品単価!$H$5:$H$443,MATCH($C274,⑱中間品単価!$B$5:$B$443,0)),"")</f>
        <v/>
      </c>
      <c r="H274" s="396">
        <f>IF(AND(ISNUMBER($F274),ISNUMBER($G274)),$F274*$G274,"")</f>
        <v/>
      </c>
      <c r="I274" s="392" t="n"/>
    </row>
    <row r="275">
      <c r="A275" s="392" t="n"/>
      <c r="B275" s="392" t="n"/>
      <c r="C275" s="392" t="n"/>
      <c r="D275" s="392" t="n"/>
      <c r="E275" s="392" t="n"/>
      <c r="F275" s="394" t="n"/>
      <c r="G275" s="604">
        <f>IFERROR(INDEX(⑱中間品単価!$H$5:$H$443,MATCH($C275,⑱中間品単価!$B$5:$B$443,0)),"")</f>
        <v/>
      </c>
      <c r="H275" s="396">
        <f>IF(AND(ISNUMBER($F275),ISNUMBER($G275)),$F275*$G275,"")</f>
        <v/>
      </c>
      <c r="I275" s="392" t="n"/>
    </row>
    <row r="276">
      <c r="A276" s="392" t="n"/>
      <c r="B276" s="392" t="n"/>
      <c r="C276" s="392" t="n"/>
      <c r="D276" s="392" t="n"/>
      <c r="E276" s="392" t="n"/>
      <c r="F276" s="394" t="n"/>
      <c r="G276" s="604">
        <f>IFERROR(INDEX(⑱中間品単価!$H$5:$H$443,MATCH($C276,⑱中間品単価!$B$5:$B$443,0)),"")</f>
        <v/>
      </c>
      <c r="H276" s="396">
        <f>IF(AND(ISNUMBER($F276),ISNUMBER($G276)),$F276*$G276,"")</f>
        <v/>
      </c>
      <c r="I276" s="392" t="n"/>
    </row>
    <row r="277">
      <c r="A277" s="392" t="n"/>
      <c r="B277" s="392" t="n"/>
      <c r="C277" s="392" t="n"/>
      <c r="D277" s="392" t="n"/>
      <c r="E277" s="392" t="n"/>
      <c r="F277" s="394" t="n"/>
      <c r="G277" s="604">
        <f>IFERROR(INDEX(⑱中間品単価!$H$5:$H$443,MATCH($C277,⑱中間品単価!$B$5:$B$443,0)),"")</f>
        <v/>
      </c>
      <c r="H277" s="396">
        <f>IF(AND(ISNUMBER($F277),ISNUMBER($G277)),$F277*$G277,"")</f>
        <v/>
      </c>
      <c r="I277" s="392" t="n"/>
    </row>
    <row r="278">
      <c r="A278" s="392" t="n"/>
      <c r="B278" s="392" t="n"/>
      <c r="C278" s="392" t="n"/>
      <c r="D278" s="392" t="n"/>
      <c r="E278" s="392" t="n"/>
      <c r="F278" s="394" t="n"/>
      <c r="G278" s="604">
        <f>IFERROR(INDEX(⑱中間品単価!$H$5:$H$443,MATCH($C278,⑱中間品単価!$B$5:$B$443,0)),"")</f>
        <v/>
      </c>
      <c r="H278" s="396">
        <f>IF(AND(ISNUMBER($F278),ISNUMBER($G278)),$F278*$G278,"")</f>
        <v/>
      </c>
      <c r="I278" s="392" t="n"/>
    </row>
    <row r="279">
      <c r="A279" s="392" t="n"/>
      <c r="B279" s="392" t="n"/>
      <c r="C279" s="392" t="n"/>
      <c r="D279" s="392" t="n"/>
      <c r="E279" s="392" t="n"/>
      <c r="F279" s="394" t="n"/>
      <c r="G279" s="604">
        <f>IFERROR(INDEX(⑱中間品単価!$H$5:$H$443,MATCH($C279,⑱中間品単価!$B$5:$B$443,0)),"")</f>
        <v/>
      </c>
      <c r="H279" s="396">
        <f>IF(AND(ISNUMBER($F279),ISNUMBER($G279)),$F279*$G279,"")</f>
        <v/>
      </c>
      <c r="I279" s="392" t="n"/>
    </row>
    <row r="280">
      <c r="A280" s="392" t="n"/>
      <c r="B280" s="392" t="n"/>
      <c r="C280" s="392" t="n"/>
      <c r="D280" s="392" t="n"/>
      <c r="E280" s="392" t="n"/>
      <c r="F280" s="394" t="n"/>
      <c r="G280" s="604">
        <f>IFERROR(INDEX(⑱中間品単価!$H$5:$H$443,MATCH($C280,⑱中間品単価!$B$5:$B$443,0)),"")</f>
        <v/>
      </c>
      <c r="H280" s="396">
        <f>IF(AND(ISNUMBER($F280),ISNUMBER($G280)),$F280*$G280,"")</f>
        <v/>
      </c>
      <c r="I280" s="392" t="n"/>
    </row>
    <row r="281">
      <c r="A281" s="392" t="n"/>
      <c r="B281" s="392" t="n"/>
      <c r="C281" s="392" t="n"/>
      <c r="D281" s="392" t="n"/>
      <c r="E281" s="392" t="n"/>
      <c r="F281" s="394" t="n"/>
      <c r="G281" s="604">
        <f>IFERROR(INDEX(⑱中間品単価!$H$5:$H$443,MATCH($C281,⑱中間品単価!$B$5:$B$443,0)),"")</f>
        <v/>
      </c>
      <c r="H281" s="396">
        <f>IF(AND(ISNUMBER($F281),ISNUMBER($G281)),$F281*$G281,"")</f>
        <v/>
      </c>
      <c r="I281" s="392" t="n"/>
    </row>
    <row r="282">
      <c r="A282" s="392" t="n"/>
      <c r="B282" s="392" t="n"/>
      <c r="C282" s="392" t="n"/>
      <c r="D282" s="392" t="n"/>
      <c r="E282" s="392" t="n"/>
      <c r="F282" s="394" t="n"/>
      <c r="G282" s="604">
        <f>IFERROR(INDEX(⑱中間品単価!$H$5:$H$443,MATCH($C282,⑱中間品単価!$B$5:$B$443,0)),"")</f>
        <v/>
      </c>
      <c r="H282" s="396">
        <f>IF(AND(ISNUMBER($F282),ISNUMBER($G282)),$F282*$G282,"")</f>
        <v/>
      </c>
      <c r="I282" s="392" t="n"/>
    </row>
    <row r="283">
      <c r="A283" s="392" t="n"/>
      <c r="B283" s="392" t="n"/>
      <c r="C283" s="392" t="n"/>
      <c r="D283" s="392" t="n"/>
      <c r="E283" s="392" t="n"/>
      <c r="F283" s="394" t="n"/>
      <c r="G283" s="604">
        <f>IFERROR(INDEX(⑱中間品単価!$H$5:$H$443,MATCH($C283,⑱中間品単価!$B$5:$B$443,0)),"")</f>
        <v/>
      </c>
      <c r="H283" s="396">
        <f>IF(AND(ISNUMBER($F283),ISNUMBER($G283)),$F283*$G283,"")</f>
        <v/>
      </c>
      <c r="I283" s="392" t="n"/>
    </row>
    <row r="284">
      <c r="A284" s="392" t="n"/>
      <c r="B284" s="392" t="n"/>
      <c r="C284" s="392" t="n"/>
      <c r="D284" s="392" t="n"/>
      <c r="E284" s="392" t="n"/>
      <c r="F284" s="394" t="n"/>
      <c r="G284" s="604">
        <f>IFERROR(INDEX(⑱中間品単価!$H$5:$H$443,MATCH($C284,⑱中間品単価!$B$5:$B$443,0)),"")</f>
        <v/>
      </c>
      <c r="H284" s="396">
        <f>IF(AND(ISNUMBER($F284),ISNUMBER($G284)),$F284*$G284,"")</f>
        <v/>
      </c>
      <c r="I284" s="392" t="n"/>
    </row>
    <row r="285">
      <c r="A285" s="392" t="n"/>
      <c r="B285" s="392" t="n"/>
      <c r="C285" s="392" t="n"/>
      <c r="D285" s="392" t="n"/>
      <c r="E285" s="392" t="n"/>
      <c r="F285" s="394" t="n"/>
      <c r="G285" s="604">
        <f>IFERROR(INDEX(⑱中間品単価!$H$5:$H$443,MATCH($C285,⑱中間品単価!$B$5:$B$443,0)),"")</f>
        <v/>
      </c>
      <c r="H285" s="396">
        <f>IF(AND(ISNUMBER($F285),ISNUMBER($G285)),$F285*$G285,"")</f>
        <v/>
      </c>
      <c r="I285" s="392" t="n"/>
    </row>
    <row r="286">
      <c r="A286" s="392" t="n"/>
      <c r="B286" s="392" t="n"/>
      <c r="C286" s="392" t="n"/>
      <c r="D286" s="392" t="n"/>
      <c r="E286" s="392" t="n"/>
      <c r="F286" s="394" t="n"/>
      <c r="G286" s="604">
        <f>IFERROR(INDEX(⑱中間品単価!$H$5:$H$443,MATCH($C286,⑱中間品単価!$B$5:$B$443,0)),"")</f>
        <v/>
      </c>
      <c r="H286" s="396">
        <f>IF(AND(ISNUMBER($F286),ISNUMBER($G286)),$F286*$G286,"")</f>
        <v/>
      </c>
      <c r="I286" s="392" t="n"/>
    </row>
    <row r="287">
      <c r="A287" s="392" t="n"/>
      <c r="B287" s="392" t="n"/>
      <c r="C287" s="392" t="n"/>
      <c r="D287" s="392" t="n"/>
      <c r="E287" s="392" t="n"/>
      <c r="F287" s="394" t="n"/>
      <c r="G287" s="604">
        <f>IFERROR(INDEX(⑱中間品単価!$H$5:$H$443,MATCH($C287,⑱中間品単価!$B$5:$B$443,0)),"")</f>
        <v/>
      </c>
      <c r="H287" s="396">
        <f>IF(AND(ISNUMBER($F287),ISNUMBER($G287)),$F287*$G287,"")</f>
        <v/>
      </c>
      <c r="I287" s="392" t="n"/>
    </row>
    <row r="288">
      <c r="A288" s="392" t="n"/>
      <c r="B288" s="392" t="n"/>
      <c r="C288" s="392" t="n"/>
      <c r="D288" s="392" t="n"/>
      <c r="E288" s="392" t="n"/>
      <c r="F288" s="394" t="n"/>
      <c r="G288" s="604">
        <f>IFERROR(INDEX(⑱中間品単価!$H$5:$H$443,MATCH($C288,⑱中間品単価!$B$5:$B$443,0)),"")</f>
        <v/>
      </c>
      <c r="H288" s="396">
        <f>IF(AND(ISNUMBER($F288),ISNUMBER($G288)),$F288*$G288,"")</f>
        <v/>
      </c>
      <c r="I288" s="392" t="n"/>
    </row>
    <row r="289">
      <c r="A289" s="392" t="n"/>
      <c r="B289" s="392" t="n"/>
      <c r="C289" s="392" t="n"/>
      <c r="D289" s="392" t="n"/>
      <c r="E289" s="392" t="n"/>
      <c r="F289" s="394" t="n"/>
      <c r="G289" s="604">
        <f>IFERROR(INDEX(⑱中間品単価!$H$5:$H$443,MATCH($C289,⑱中間品単価!$B$5:$B$443,0)),"")</f>
        <v/>
      </c>
      <c r="H289" s="396">
        <f>IF(AND(ISNUMBER($F289),ISNUMBER($G289)),$F289*$G289,"")</f>
        <v/>
      </c>
      <c r="I289" s="392" t="n"/>
    </row>
    <row r="290">
      <c r="A290" s="392" t="n"/>
      <c r="B290" s="392" t="n"/>
      <c r="C290" s="392" t="n"/>
      <c r="D290" s="392" t="n"/>
      <c r="E290" s="392" t="n"/>
      <c r="F290" s="394" t="n"/>
      <c r="G290" s="604">
        <f>IFERROR(INDEX(⑱中間品単価!$H$5:$H$443,MATCH($C290,⑱中間品単価!$B$5:$B$443,0)),"")</f>
        <v/>
      </c>
      <c r="H290" s="396">
        <f>IF(AND(ISNUMBER($F290),ISNUMBER($G290)),$F290*$G290,"")</f>
        <v/>
      </c>
      <c r="I290" s="392" t="n"/>
    </row>
    <row r="291">
      <c r="A291" s="392" t="n"/>
      <c r="B291" s="392" t="n"/>
      <c r="C291" s="392" t="n"/>
      <c r="D291" s="392" t="n"/>
      <c r="E291" s="392" t="n"/>
      <c r="F291" s="394" t="n"/>
      <c r="G291" s="604">
        <f>IFERROR(INDEX(⑱中間品単価!$H$5:$H$443,MATCH($C291,⑱中間品単価!$B$5:$B$443,0)),"")</f>
        <v/>
      </c>
      <c r="H291" s="396">
        <f>IF(AND(ISNUMBER($F291),ISNUMBER($G291)),$F291*$G291,"")</f>
        <v/>
      </c>
      <c r="I291" s="392" t="n"/>
    </row>
    <row r="292">
      <c r="A292" s="392" t="n"/>
      <c r="B292" s="392" t="n"/>
      <c r="C292" s="392" t="n"/>
      <c r="D292" s="392" t="n"/>
      <c r="E292" s="392" t="n"/>
      <c r="F292" s="394" t="n"/>
      <c r="G292" s="604">
        <f>IFERROR(INDEX(⑱中間品単価!$H$5:$H$443,MATCH($C292,⑱中間品単価!$B$5:$B$443,0)),"")</f>
        <v/>
      </c>
      <c r="H292" s="396">
        <f>IF(AND(ISNUMBER($F292),ISNUMBER($G292)),$F292*$G292,"")</f>
        <v/>
      </c>
      <c r="I292" s="392" t="n"/>
    </row>
    <row r="293">
      <c r="A293" s="392" t="n"/>
      <c r="B293" s="392" t="n"/>
      <c r="C293" s="392" t="n"/>
      <c r="D293" s="392" t="n"/>
      <c r="E293" s="392" t="n"/>
      <c r="F293" s="394" t="n"/>
      <c r="G293" s="604">
        <f>IFERROR(INDEX(⑱中間品単価!$H$5:$H$443,MATCH($C293,⑱中間品単価!$B$5:$B$443,0)),"")</f>
        <v/>
      </c>
      <c r="H293" s="396">
        <f>IF(AND(ISNUMBER($F293),ISNUMBER($G293)),$F293*$G293,"")</f>
        <v/>
      </c>
      <c r="I293" s="392" t="n"/>
    </row>
    <row r="294">
      <c r="A294" s="392" t="n"/>
      <c r="B294" s="392" t="n"/>
      <c r="C294" s="392" t="n"/>
      <c r="D294" s="392" t="n"/>
      <c r="E294" s="392" t="n"/>
      <c r="F294" s="394" t="n"/>
      <c r="G294" s="604">
        <f>IFERROR(INDEX(⑱中間品単価!$H$5:$H$443,MATCH($C294,⑱中間品単価!$B$5:$B$443,0)),"")</f>
        <v/>
      </c>
      <c r="H294" s="396">
        <f>IF(AND(ISNUMBER($F294),ISNUMBER($G294)),$F294*$G294,"")</f>
        <v/>
      </c>
      <c r="I294" s="392" t="n"/>
    </row>
    <row r="295">
      <c r="A295" s="392" t="n"/>
      <c r="B295" s="392" t="n"/>
      <c r="C295" s="392" t="n"/>
      <c r="D295" s="392" t="n"/>
      <c r="E295" s="392" t="n"/>
      <c r="F295" s="394" t="n"/>
      <c r="G295" s="604">
        <f>IFERROR(INDEX(⑱中間品単価!$H$5:$H$443,MATCH($C295,⑱中間品単価!$B$5:$B$443,0)),"")</f>
        <v/>
      </c>
      <c r="H295" s="396">
        <f>IF(AND(ISNUMBER($F295),ISNUMBER($G295)),$F295*$G295,"")</f>
        <v/>
      </c>
      <c r="I295" s="392" t="n"/>
    </row>
    <row r="296">
      <c r="A296" s="392" t="n"/>
      <c r="B296" s="392" t="n"/>
      <c r="C296" s="392" t="n"/>
      <c r="D296" s="392" t="n"/>
      <c r="E296" s="392" t="n"/>
      <c r="F296" s="394" t="n"/>
      <c r="G296" s="604">
        <f>IFERROR(INDEX(⑱中間品単価!$H$5:$H$443,MATCH($C296,⑱中間品単価!$B$5:$B$443,0)),"")</f>
        <v/>
      </c>
      <c r="H296" s="396">
        <f>IF(AND(ISNUMBER($F296),ISNUMBER($G296)),$F296*$G296,"")</f>
        <v/>
      </c>
      <c r="I296" s="392" t="n"/>
    </row>
    <row r="297">
      <c r="A297" s="392" t="n"/>
      <c r="B297" s="392" t="n"/>
      <c r="C297" s="392" t="n"/>
      <c r="D297" s="392" t="n"/>
      <c r="E297" s="392" t="n"/>
      <c r="F297" s="394" t="n"/>
      <c r="G297" s="604">
        <f>IFERROR(INDEX(⑱中間品単価!$H$5:$H$443,MATCH($C297,⑱中間品単価!$B$5:$B$443,0)),"")</f>
        <v/>
      </c>
      <c r="H297" s="396">
        <f>IF(AND(ISNUMBER($F297),ISNUMBER($G297)),$F297*$G297,"")</f>
        <v/>
      </c>
      <c r="I297" s="392" t="n"/>
    </row>
    <row r="298">
      <c r="A298" s="392" t="n"/>
      <c r="B298" s="392" t="n"/>
      <c r="C298" s="392" t="n"/>
      <c r="D298" s="392" t="n"/>
      <c r="E298" s="392" t="n"/>
      <c r="F298" s="394" t="n"/>
      <c r="G298" s="604">
        <f>IFERROR(INDEX(⑱中間品単価!$H$5:$H$443,MATCH($C298,⑱中間品単価!$B$5:$B$443,0)),"")</f>
        <v/>
      </c>
      <c r="H298" s="396">
        <f>IF(AND(ISNUMBER($F298),ISNUMBER($G298)),$F298*$G298,"")</f>
        <v/>
      </c>
      <c r="I298" s="392" t="n"/>
    </row>
    <row r="299">
      <c r="A299" s="392" t="n"/>
      <c r="B299" s="392" t="n"/>
      <c r="C299" s="392" t="n"/>
      <c r="D299" s="392" t="n"/>
      <c r="E299" s="392" t="n"/>
      <c r="F299" s="394" t="n"/>
      <c r="G299" s="604">
        <f>IFERROR(INDEX(⑱中間品単価!$H$5:$H$443,MATCH($C299,⑱中間品単価!$B$5:$B$443,0)),"")</f>
        <v/>
      </c>
      <c r="H299" s="396">
        <f>IF(AND(ISNUMBER($F299),ISNUMBER($G299)),$F299*$G299,"")</f>
        <v/>
      </c>
      <c r="I299" s="392" t="n"/>
    </row>
    <row r="300">
      <c r="A300" s="392" t="n"/>
      <c r="B300" s="392" t="n"/>
      <c r="C300" s="392" t="n"/>
      <c r="D300" s="392" t="n"/>
      <c r="E300" s="392" t="n"/>
      <c r="F300" s="394" t="n"/>
      <c r="G300" s="604">
        <f>IFERROR(INDEX(⑱中間品単価!$H$5:$H$443,MATCH($C300,⑱中間品単価!$B$5:$B$443,0)),"")</f>
        <v/>
      </c>
      <c r="H300" s="396">
        <f>IF(AND(ISNUMBER($F300),ISNUMBER($G300)),$F300*$G300,"")</f>
        <v/>
      </c>
      <c r="I300" s="392" t="n"/>
    </row>
    <row r="301">
      <c r="A301" s="392" t="n"/>
      <c r="B301" s="392" t="n"/>
      <c r="C301" s="392" t="n"/>
      <c r="D301" s="392" t="n"/>
      <c r="E301" s="392" t="n"/>
      <c r="F301" s="394" t="n"/>
      <c r="G301" s="604">
        <f>IFERROR(INDEX(⑱中間品単価!$H$5:$H$443,MATCH($C301,⑱中間品単価!$B$5:$B$443,0)),"")</f>
        <v/>
      </c>
      <c r="H301" s="396">
        <f>IF(AND(ISNUMBER($F301),ISNUMBER($G301)),$F301*$G301,"")</f>
        <v/>
      </c>
      <c r="I301" s="392" t="n"/>
    </row>
    <row r="302">
      <c r="A302" s="392" t="n"/>
      <c r="B302" s="392" t="n"/>
      <c r="C302" s="392" t="n"/>
      <c r="D302" s="392" t="n"/>
      <c r="E302" s="392" t="n"/>
      <c r="F302" s="394" t="n"/>
      <c r="G302" s="604">
        <f>IFERROR(INDEX(⑱中間品単価!$H$5:$H$443,MATCH($C302,⑱中間品単価!$B$5:$B$443,0)),"")</f>
        <v/>
      </c>
      <c r="H302" s="396">
        <f>IF(AND(ISNUMBER($F302),ISNUMBER($G302)),$F302*$G302,"")</f>
        <v/>
      </c>
      <c r="I302" s="392" t="n"/>
    </row>
    <row r="303">
      <c r="A303" s="392" t="n"/>
      <c r="B303" s="392" t="n"/>
      <c r="C303" s="392" t="n"/>
      <c r="D303" s="392" t="n"/>
      <c r="E303" s="392" t="n"/>
      <c r="F303" s="394" t="n"/>
      <c r="G303" s="604">
        <f>IFERROR(INDEX(⑱中間品単価!$H$5:$H$443,MATCH($C303,⑱中間品単価!$B$5:$B$443,0)),"")</f>
        <v/>
      </c>
      <c r="H303" s="396">
        <f>IF(AND(ISNUMBER($F303),ISNUMBER($G303)),$F303*$G303,"")</f>
        <v/>
      </c>
      <c r="I303" s="392" t="n"/>
    </row>
    <row r="304">
      <c r="A304" s="392" t="n"/>
      <c r="B304" s="392" t="n"/>
      <c r="C304" s="392" t="n"/>
      <c r="D304" s="392" t="n"/>
      <c r="E304" s="392" t="n"/>
      <c r="F304" s="394" t="n"/>
      <c r="G304" s="604">
        <f>IFERROR(INDEX(⑱中間品単価!$H$5:$H$443,MATCH($C304,⑱中間品単価!$B$5:$B$443,0)),"")</f>
        <v/>
      </c>
      <c r="H304" s="396">
        <f>IF(AND(ISNUMBER($F304),ISNUMBER($G304)),$F304*$G304,"")</f>
        <v/>
      </c>
      <c r="I304" s="392" t="n"/>
    </row>
    <row r="305">
      <c r="A305" s="392" t="n"/>
      <c r="B305" s="392" t="n"/>
      <c r="C305" s="392" t="n"/>
      <c r="D305" s="392" t="n"/>
      <c r="E305" s="392" t="n"/>
      <c r="F305" s="394" t="n"/>
      <c r="G305" s="604">
        <f>IFERROR(INDEX(⑱中間品単価!$H$5:$H$443,MATCH($C305,⑱中間品単価!$B$5:$B$443,0)),"")</f>
        <v/>
      </c>
      <c r="H305" s="396">
        <f>IF(AND(ISNUMBER($F305),ISNUMBER($G305)),$F305*$G305,"")</f>
        <v/>
      </c>
      <c r="I305" s="392" t="n"/>
    </row>
    <row r="306">
      <c r="A306" s="392" t="n"/>
      <c r="B306" s="392" t="n"/>
      <c r="C306" s="392" t="n"/>
      <c r="D306" s="392" t="n"/>
      <c r="E306" s="392" t="n"/>
      <c r="F306" s="394" t="n"/>
      <c r="G306" s="604">
        <f>IFERROR(INDEX(⑱中間品単価!$H$5:$H$443,MATCH($C306,⑱中間品単価!$B$5:$B$443,0)),"")</f>
        <v/>
      </c>
      <c r="H306" s="396">
        <f>IF(AND(ISNUMBER($F306),ISNUMBER($G306)),$F306*$G306,"")</f>
        <v/>
      </c>
      <c r="I306" s="392" t="n"/>
    </row>
    <row r="307">
      <c r="A307" s="392" t="n"/>
      <c r="B307" s="392" t="n"/>
      <c r="C307" s="392" t="n"/>
      <c r="D307" s="392" t="n"/>
      <c r="E307" s="392" t="n"/>
      <c r="F307" s="394" t="n"/>
      <c r="G307" s="604">
        <f>IFERROR(INDEX(⑱中間品単価!$H$5:$H$443,MATCH($C307,⑱中間品単価!$B$5:$B$443,0)),"")</f>
        <v/>
      </c>
      <c r="H307" s="396">
        <f>IF(AND(ISNUMBER($F307),ISNUMBER($G307)),$F307*$G307,"")</f>
        <v/>
      </c>
      <c r="I307" s="392" t="n"/>
    </row>
    <row r="308">
      <c r="A308" s="392" t="n"/>
      <c r="B308" s="392" t="n"/>
      <c r="C308" s="392" t="n"/>
      <c r="D308" s="392" t="n"/>
      <c r="E308" s="392" t="n"/>
      <c r="F308" s="394" t="n"/>
      <c r="G308" s="604">
        <f>IFERROR(INDEX(⑱中間品単価!$H$5:$H$443,MATCH($C308,⑱中間品単価!$B$5:$B$443,0)),"")</f>
        <v/>
      </c>
      <c r="H308" s="396">
        <f>IF(AND(ISNUMBER($F308),ISNUMBER($G308)),$F308*$G308,"")</f>
        <v/>
      </c>
      <c r="I308" s="392" t="n"/>
    </row>
    <row r="309">
      <c r="A309" s="392" t="n"/>
      <c r="B309" s="392" t="n"/>
      <c r="C309" s="392" t="n"/>
      <c r="D309" s="392" t="n"/>
      <c r="E309" s="392" t="n"/>
      <c r="F309" s="394" t="n"/>
      <c r="G309" s="604">
        <f>IFERROR(INDEX(⑱中間品単価!$H$5:$H$443,MATCH($C309,⑱中間品単価!$B$5:$B$443,0)),"")</f>
        <v/>
      </c>
      <c r="H309" s="396">
        <f>IF(AND(ISNUMBER($F309),ISNUMBER($G309)),$F309*$G309,"")</f>
        <v/>
      </c>
      <c r="I309" s="392" t="n"/>
    </row>
    <row r="310">
      <c r="A310" s="392" t="n"/>
      <c r="B310" s="392" t="n"/>
      <c r="C310" s="392" t="n"/>
      <c r="D310" s="392" t="n"/>
      <c r="E310" s="392" t="n"/>
      <c r="F310" s="394" t="n"/>
      <c r="G310" s="604">
        <f>IFERROR(INDEX(⑱中間品単価!$H$5:$H$443,MATCH($C310,⑱中間品単価!$B$5:$B$443,0)),"")</f>
        <v/>
      </c>
      <c r="H310" s="396">
        <f>IF(AND(ISNUMBER($F310),ISNUMBER($G310)),$F310*$G310,"")</f>
        <v/>
      </c>
      <c r="I310" s="392" t="n"/>
    </row>
    <row r="311">
      <c r="A311" s="392" t="n"/>
      <c r="B311" s="392" t="n"/>
      <c r="C311" s="392" t="n"/>
      <c r="D311" s="392" t="n"/>
      <c r="E311" s="392" t="n"/>
      <c r="F311" s="394" t="n"/>
      <c r="G311" s="604">
        <f>IFERROR(INDEX(⑱中間品単価!$H$5:$H$443,MATCH($C311,⑱中間品単価!$B$5:$B$443,0)),"")</f>
        <v/>
      </c>
      <c r="H311" s="396">
        <f>IF(AND(ISNUMBER($F311),ISNUMBER($G311)),$F311*$G311,"")</f>
        <v/>
      </c>
      <c r="I311" s="392" t="n"/>
    </row>
    <row r="312">
      <c r="A312" s="392" t="n"/>
      <c r="B312" s="392" t="n"/>
      <c r="C312" s="392" t="n"/>
      <c r="D312" s="392" t="n"/>
      <c r="E312" s="392" t="n"/>
      <c r="F312" s="394" t="n"/>
      <c r="G312" s="604">
        <f>IFERROR(INDEX(⑱中間品単価!$H$5:$H$443,MATCH($C312,⑱中間品単価!$B$5:$B$443,0)),"")</f>
        <v/>
      </c>
      <c r="H312" s="396">
        <f>IF(AND(ISNUMBER($F312),ISNUMBER($G312)),$F312*$G312,"")</f>
        <v/>
      </c>
      <c r="I312" s="392" t="n"/>
    </row>
    <row r="313">
      <c r="A313" s="392" t="n"/>
      <c r="B313" s="392" t="n"/>
      <c r="C313" s="392" t="n"/>
      <c r="D313" s="392" t="n"/>
      <c r="E313" s="392" t="n"/>
      <c r="F313" s="394" t="n"/>
      <c r="G313" s="604">
        <f>IFERROR(INDEX(⑱中間品単価!$H$5:$H$443,MATCH($C313,⑱中間品単価!$B$5:$B$443,0)),"")</f>
        <v/>
      </c>
      <c r="H313" s="396">
        <f>IF(AND(ISNUMBER($F313),ISNUMBER($G313)),$F313*$G313,"")</f>
        <v/>
      </c>
      <c r="I313" s="392" t="n"/>
    </row>
    <row r="314">
      <c r="A314" s="392" t="n"/>
      <c r="B314" s="392" t="n"/>
      <c r="C314" s="392" t="n"/>
      <c r="D314" s="392" t="n"/>
      <c r="E314" s="392" t="n"/>
      <c r="F314" s="394" t="n"/>
      <c r="G314" s="604">
        <f>IFERROR(INDEX(⑱中間品単価!$H$5:$H$443,MATCH($C314,⑱中間品単価!$B$5:$B$443,0)),"")</f>
        <v/>
      </c>
      <c r="H314" s="396">
        <f>IF(AND(ISNUMBER($F314),ISNUMBER($G314)),$F314*$G314,"")</f>
        <v/>
      </c>
      <c r="I314" s="392" t="n"/>
    </row>
    <row r="315">
      <c r="A315" s="392" t="n"/>
      <c r="B315" s="392" t="n"/>
      <c r="C315" s="392" t="n"/>
      <c r="D315" s="392" t="n"/>
      <c r="E315" s="392" t="n"/>
      <c r="F315" s="394" t="n"/>
      <c r="G315" s="604">
        <f>IFERROR(INDEX(⑱中間品単価!$H$5:$H$443,MATCH($C315,⑱中間品単価!$B$5:$B$443,0)),"")</f>
        <v/>
      </c>
      <c r="H315" s="396">
        <f>IF(AND(ISNUMBER($F315),ISNUMBER($G315)),$F315*$G315,"")</f>
        <v/>
      </c>
      <c r="I315" s="392" t="n"/>
    </row>
    <row r="316">
      <c r="A316" s="392" t="n"/>
      <c r="B316" s="392" t="n"/>
      <c r="C316" s="392" t="n"/>
      <c r="D316" s="392" t="n"/>
      <c r="E316" s="392" t="n"/>
      <c r="F316" s="394" t="n"/>
      <c r="G316" s="604">
        <f>IFERROR(INDEX(⑱中間品単価!$H$5:$H$443,MATCH($C316,⑱中間品単価!$B$5:$B$443,0)),"")</f>
        <v/>
      </c>
      <c r="H316" s="396">
        <f>IF(AND(ISNUMBER($F316),ISNUMBER($G316)),$F316*$G316,"")</f>
        <v/>
      </c>
      <c r="I316" s="392" t="n"/>
    </row>
    <row r="317">
      <c r="A317" s="392" t="n"/>
      <c r="B317" s="392" t="n"/>
      <c r="C317" s="392" t="n"/>
      <c r="D317" s="392" t="n"/>
      <c r="E317" s="392" t="n"/>
      <c r="F317" s="394" t="n"/>
      <c r="G317" s="604">
        <f>IFERROR(INDEX(⑱中間品単価!$H$5:$H$443,MATCH($C317,⑱中間品単価!$B$5:$B$443,0)),"")</f>
        <v/>
      </c>
      <c r="H317" s="396">
        <f>IF(AND(ISNUMBER($F317),ISNUMBER($G317)),$F317*$G317,"")</f>
        <v/>
      </c>
      <c r="I317" s="392" t="n"/>
    </row>
    <row r="318">
      <c r="A318" s="392" t="n"/>
      <c r="B318" s="392" t="n"/>
      <c r="C318" s="392" t="n"/>
      <c r="D318" s="392" t="n"/>
      <c r="E318" s="392" t="n"/>
      <c r="F318" s="394" t="n"/>
      <c r="G318" s="604">
        <f>IFERROR(INDEX(⑱中間品単価!$H$5:$H$443,MATCH($C318,⑱中間品単価!$B$5:$B$443,0)),"")</f>
        <v/>
      </c>
      <c r="H318" s="396">
        <f>IF(AND(ISNUMBER($F318),ISNUMBER($G318)),$F318*$G318,"")</f>
        <v/>
      </c>
      <c r="I318" s="392" t="n"/>
    </row>
    <row r="319">
      <c r="A319" s="392" t="n"/>
      <c r="B319" s="392" t="n"/>
      <c r="C319" s="392" t="n"/>
      <c r="D319" s="392" t="n"/>
      <c r="E319" s="392" t="n"/>
      <c r="F319" s="394" t="n"/>
      <c r="G319" s="604">
        <f>IFERROR(INDEX(⑱中間品単価!$H$5:$H$443,MATCH($C319,⑱中間品単価!$B$5:$B$443,0)),"")</f>
        <v/>
      </c>
      <c r="H319" s="396">
        <f>IF(AND(ISNUMBER($F319),ISNUMBER($G319)),$F319*$G319,"")</f>
        <v/>
      </c>
      <c r="I319" s="392" t="n"/>
    </row>
    <row r="320">
      <c r="A320" s="392" t="n"/>
      <c r="B320" s="392" t="n"/>
      <c r="C320" s="392" t="n"/>
      <c r="D320" s="392" t="n"/>
      <c r="E320" s="392" t="n"/>
      <c r="F320" s="394" t="n"/>
      <c r="G320" s="604">
        <f>IFERROR(INDEX(⑱中間品単価!$H$5:$H$443,MATCH($C320,⑱中間品単価!$B$5:$B$443,0)),"")</f>
        <v/>
      </c>
      <c r="H320" s="396">
        <f>IF(AND(ISNUMBER($F320),ISNUMBER($G320)),$F320*$G320,"")</f>
        <v/>
      </c>
      <c r="I320" s="392" t="n"/>
    </row>
    <row r="321">
      <c r="A321" s="392" t="n"/>
      <c r="B321" s="392" t="n"/>
      <c r="C321" s="392" t="n"/>
      <c r="D321" s="392" t="n"/>
      <c r="E321" s="392" t="n"/>
      <c r="F321" s="394" t="n"/>
      <c r="G321" s="604">
        <f>IFERROR(INDEX(⑱中間品単価!$H$5:$H$443,MATCH($C321,⑱中間品単価!$B$5:$B$443,0)),"")</f>
        <v/>
      </c>
      <c r="H321" s="396">
        <f>IF(AND(ISNUMBER($F321),ISNUMBER($G321)),$F321*$G321,"")</f>
        <v/>
      </c>
      <c r="I321" s="392" t="n"/>
    </row>
    <row r="322">
      <c r="A322" s="392" t="n"/>
      <c r="B322" s="392" t="n"/>
      <c r="C322" s="392" t="n"/>
      <c r="D322" s="392" t="n"/>
      <c r="E322" s="392" t="n"/>
      <c r="F322" s="394" t="n"/>
      <c r="G322" s="604">
        <f>IFERROR(INDEX(⑱中間品単価!$H$5:$H$443,MATCH($C322,⑱中間品単価!$B$5:$B$443,0)),"")</f>
        <v/>
      </c>
      <c r="H322" s="396">
        <f>IF(AND(ISNUMBER($F322),ISNUMBER($G322)),$F322*$G322,"")</f>
        <v/>
      </c>
      <c r="I322" s="392" t="n"/>
    </row>
    <row r="323">
      <c r="A323" s="392" t="n"/>
      <c r="B323" s="392" t="n"/>
      <c r="C323" s="392" t="n"/>
      <c r="D323" s="392" t="n"/>
      <c r="E323" s="392" t="n"/>
      <c r="F323" s="394" t="n"/>
      <c r="G323" s="604">
        <f>IFERROR(INDEX(⑱中間品単価!$H$5:$H$443,MATCH($C323,⑱中間品単価!$B$5:$B$443,0)),"")</f>
        <v/>
      </c>
      <c r="H323" s="396">
        <f>IF(AND(ISNUMBER($F323),ISNUMBER($G323)),$F323*$G323,"")</f>
        <v/>
      </c>
      <c r="I323" s="392" t="n"/>
    </row>
    <row r="324">
      <c r="A324" s="392" t="n"/>
      <c r="B324" s="392" t="n"/>
      <c r="C324" s="392" t="n"/>
      <c r="D324" s="392" t="n"/>
      <c r="E324" s="392" t="n"/>
      <c r="F324" s="394" t="n"/>
      <c r="G324" s="604">
        <f>IFERROR(INDEX(⑱中間品単価!$H$5:$H$443,MATCH($C324,⑱中間品単価!$B$5:$B$443,0)),"")</f>
        <v/>
      </c>
      <c r="H324" s="396">
        <f>IF(AND(ISNUMBER($F324),ISNUMBER($G324)),$F324*$G324,"")</f>
        <v/>
      </c>
      <c r="I324" s="392" t="n"/>
    </row>
    <row r="325">
      <c r="A325" s="392" t="n"/>
      <c r="B325" s="392" t="n"/>
      <c r="C325" s="392" t="n"/>
      <c r="D325" s="392" t="n"/>
      <c r="E325" s="392" t="n"/>
      <c r="F325" s="394" t="n"/>
      <c r="G325" s="604">
        <f>IFERROR(INDEX(⑱中間品単価!$H$5:$H$443,MATCH($C325,⑱中間品単価!$B$5:$B$443,0)),"")</f>
        <v/>
      </c>
      <c r="H325" s="396">
        <f>IF(AND(ISNUMBER($F325),ISNUMBER($G325)),$F325*$G325,"")</f>
        <v/>
      </c>
      <c r="I325" s="392" t="n"/>
    </row>
    <row r="326">
      <c r="A326" s="392" t="n"/>
      <c r="B326" s="392" t="n"/>
      <c r="C326" s="392" t="n"/>
      <c r="D326" s="392" t="n"/>
      <c r="E326" s="392" t="n"/>
      <c r="F326" s="394" t="n"/>
      <c r="G326" s="604">
        <f>IFERROR(INDEX(⑱中間品単価!$H$5:$H$443,MATCH($C326,⑱中間品単価!$B$5:$B$443,0)),"")</f>
        <v/>
      </c>
      <c r="H326" s="396">
        <f>IF(AND(ISNUMBER($F326),ISNUMBER($G326)),$F326*$G326,"")</f>
        <v/>
      </c>
      <c r="I326" s="392" t="n"/>
    </row>
    <row r="327">
      <c r="A327" s="392" t="n"/>
      <c r="B327" s="392" t="n"/>
      <c r="C327" s="392" t="n"/>
      <c r="D327" s="392" t="n"/>
      <c r="E327" s="392" t="n"/>
      <c r="F327" s="394" t="n"/>
      <c r="G327" s="604">
        <f>IFERROR(INDEX(⑱中間品単価!$H$5:$H$443,MATCH($C327,⑱中間品単価!$B$5:$B$443,0)),"")</f>
        <v/>
      </c>
      <c r="H327" s="396">
        <f>IF(AND(ISNUMBER($F327),ISNUMBER($G327)),$F327*$G327,"")</f>
        <v/>
      </c>
      <c r="I327" s="392" t="n"/>
    </row>
    <row r="328">
      <c r="A328" s="392" t="n"/>
      <c r="B328" s="392" t="n"/>
      <c r="C328" s="392" t="n"/>
      <c r="D328" s="392" t="n"/>
      <c r="E328" s="392" t="n"/>
      <c r="F328" s="394" t="n"/>
      <c r="G328" s="604">
        <f>IFERROR(INDEX(⑱中間品単価!$H$5:$H$443,MATCH($C328,⑱中間品単価!$B$5:$B$443,0)),"")</f>
        <v/>
      </c>
      <c r="H328" s="396">
        <f>IF(AND(ISNUMBER($F328),ISNUMBER($G328)),$F328*$G328,"")</f>
        <v/>
      </c>
      <c r="I328" s="392" t="n"/>
    </row>
    <row r="329">
      <c r="A329" s="392" t="n"/>
      <c r="B329" s="392" t="n"/>
      <c r="C329" s="392" t="n"/>
      <c r="D329" s="392" t="n"/>
      <c r="E329" s="392" t="n"/>
      <c r="F329" s="394" t="n"/>
      <c r="G329" s="604">
        <f>IFERROR(INDEX(⑱中間品単価!$H$5:$H$443,MATCH($C329,⑱中間品単価!$B$5:$B$443,0)),"")</f>
        <v/>
      </c>
      <c r="H329" s="396">
        <f>IF(AND(ISNUMBER($F329),ISNUMBER($G329)),$F329*$G329,"")</f>
        <v/>
      </c>
      <c r="I329" s="392" t="n"/>
    </row>
    <row r="330">
      <c r="A330" s="392" t="n"/>
      <c r="B330" s="392" t="n"/>
      <c r="C330" s="392" t="n"/>
      <c r="D330" s="392" t="n"/>
      <c r="E330" s="392" t="n"/>
      <c r="F330" s="394" t="n"/>
      <c r="G330" s="604">
        <f>IFERROR(INDEX(⑱中間品単価!$H$5:$H$443,MATCH($C330,⑱中間品単価!$B$5:$B$443,0)),"")</f>
        <v/>
      </c>
      <c r="H330" s="396">
        <f>IF(AND(ISNUMBER($F330),ISNUMBER($G330)),$F330*$G330,"")</f>
        <v/>
      </c>
      <c r="I330" s="392" t="n"/>
    </row>
    <row r="331">
      <c r="A331" s="392" t="n"/>
      <c r="B331" s="392" t="n"/>
      <c r="C331" s="392" t="n"/>
      <c r="D331" s="392" t="n"/>
      <c r="E331" s="392" t="n"/>
      <c r="F331" s="394" t="n"/>
      <c r="G331" s="604">
        <f>IFERROR(INDEX(⑱中間品単価!$H$5:$H$443,MATCH($C331,⑱中間品単価!$B$5:$B$443,0)),"")</f>
        <v/>
      </c>
      <c r="H331" s="396">
        <f>IF(AND(ISNUMBER($F331),ISNUMBER($G331)),$F331*$G331,"")</f>
        <v/>
      </c>
      <c r="I331" s="392" t="n"/>
    </row>
    <row r="332">
      <c r="A332" s="392" t="n"/>
      <c r="B332" s="392" t="n"/>
      <c r="C332" s="392" t="n"/>
      <c r="D332" s="392" t="n"/>
      <c r="E332" s="392" t="n"/>
      <c r="F332" s="394" t="n"/>
      <c r="G332" s="604">
        <f>IFERROR(INDEX(⑱中間品単価!$H$5:$H$443,MATCH($C332,⑱中間品単価!$B$5:$B$443,0)),"")</f>
        <v/>
      </c>
      <c r="H332" s="396">
        <f>IF(AND(ISNUMBER($F332),ISNUMBER($G332)),$F332*$G332,"")</f>
        <v/>
      </c>
      <c r="I332" s="392" t="n"/>
    </row>
    <row r="333">
      <c r="A333" s="392" t="n"/>
      <c r="B333" s="392" t="n"/>
      <c r="C333" s="392" t="n"/>
      <c r="D333" s="392" t="n"/>
      <c r="E333" s="392" t="n"/>
      <c r="F333" s="394" t="n"/>
      <c r="G333" s="604">
        <f>IFERROR(INDEX(⑱中間品単価!$H$5:$H$443,MATCH($C333,⑱中間品単価!$B$5:$B$443,0)),"")</f>
        <v/>
      </c>
      <c r="H333" s="396">
        <f>IF(AND(ISNUMBER($F333),ISNUMBER($G333)),$F333*$G333,"")</f>
        <v/>
      </c>
      <c r="I333" s="392" t="n"/>
    </row>
    <row r="334">
      <c r="A334" s="392" t="n"/>
      <c r="B334" s="392" t="n"/>
      <c r="C334" s="392" t="n"/>
      <c r="D334" s="392" t="n"/>
      <c r="E334" s="392" t="n"/>
      <c r="F334" s="394" t="n"/>
      <c r="G334" s="604">
        <f>IFERROR(INDEX(⑱中間品単価!$H$5:$H$443,MATCH($C334,⑱中間品単価!$B$5:$B$443,0)),"")</f>
        <v/>
      </c>
      <c r="H334" s="396">
        <f>IF(AND(ISNUMBER($F334),ISNUMBER($G334)),$F334*$G334,"")</f>
        <v/>
      </c>
      <c r="I334" s="392" t="n"/>
    </row>
    <row r="335">
      <c r="A335" s="392" t="n"/>
      <c r="B335" s="392" t="n"/>
      <c r="C335" s="392" t="n"/>
      <c r="D335" s="392" t="n"/>
      <c r="E335" s="392" t="n"/>
      <c r="F335" s="394" t="n"/>
      <c r="G335" s="604">
        <f>IFERROR(INDEX(⑱中間品単価!$H$5:$H$443,MATCH($C335,⑱中間品単価!$B$5:$B$443,0)),"")</f>
        <v/>
      </c>
      <c r="H335" s="396">
        <f>IF(AND(ISNUMBER($F335),ISNUMBER($G335)),$F335*$G335,"")</f>
        <v/>
      </c>
      <c r="I335" s="392" t="n"/>
    </row>
    <row r="336">
      <c r="A336" s="392" t="n"/>
      <c r="B336" s="392" t="n"/>
      <c r="C336" s="392" t="n"/>
      <c r="D336" s="392" t="n"/>
      <c r="E336" s="392" t="n"/>
      <c r="F336" s="394" t="n"/>
      <c r="G336" s="604">
        <f>IFERROR(INDEX(⑱中間品単価!$H$5:$H$443,MATCH($C336,⑱中間品単価!$B$5:$B$443,0)),"")</f>
        <v/>
      </c>
      <c r="H336" s="396">
        <f>IF(AND(ISNUMBER($F336),ISNUMBER($G336)),$F336*$G336,"")</f>
        <v/>
      </c>
      <c r="I336" s="392" t="n"/>
    </row>
    <row r="337">
      <c r="A337" s="392" t="n"/>
      <c r="B337" s="392" t="n"/>
      <c r="C337" s="392" t="n"/>
      <c r="D337" s="392" t="n"/>
      <c r="E337" s="392" t="n"/>
      <c r="F337" s="394" t="n"/>
      <c r="G337" s="604">
        <f>IFERROR(INDEX(⑱中間品単価!$H$5:$H$443,MATCH($C337,⑱中間品単価!$B$5:$B$443,0)),"")</f>
        <v/>
      </c>
      <c r="H337" s="396">
        <f>IF(AND(ISNUMBER($F337),ISNUMBER($G337)),$F337*$G337,"")</f>
        <v/>
      </c>
      <c r="I337" s="392" t="n"/>
    </row>
    <row r="338">
      <c r="A338" s="392" t="n"/>
      <c r="B338" s="392" t="n"/>
      <c r="C338" s="392" t="n"/>
      <c r="D338" s="392" t="n"/>
      <c r="E338" s="392" t="n"/>
      <c r="F338" s="394" t="n"/>
      <c r="G338" s="604">
        <f>IFERROR(INDEX(⑱中間品単価!$H$5:$H$443,MATCH($C338,⑱中間品単価!$B$5:$B$443,0)),"")</f>
        <v/>
      </c>
      <c r="H338" s="396">
        <f>IF(AND(ISNUMBER($F338),ISNUMBER($G338)),$F338*$G338,"")</f>
        <v/>
      </c>
      <c r="I338" s="392" t="n"/>
    </row>
    <row r="339">
      <c r="A339" s="392" t="n"/>
      <c r="B339" s="392" t="n"/>
      <c r="C339" s="392" t="n"/>
      <c r="D339" s="392" t="n"/>
      <c r="E339" s="392" t="n"/>
      <c r="F339" s="394" t="n"/>
      <c r="G339" s="604">
        <f>IFERROR(INDEX(⑱中間品単価!$H$5:$H$443,MATCH($C339,⑱中間品単価!$B$5:$B$443,0)),"")</f>
        <v/>
      </c>
      <c r="H339" s="396">
        <f>IF(AND(ISNUMBER($F339),ISNUMBER($G339)),$F339*$G339,"")</f>
        <v/>
      </c>
      <c r="I339" s="392" t="n"/>
    </row>
    <row r="340">
      <c r="A340" s="392" t="n"/>
      <c r="B340" s="392" t="n"/>
      <c r="C340" s="392" t="n"/>
      <c r="D340" s="392" t="n"/>
      <c r="E340" s="392" t="n"/>
      <c r="F340" s="394" t="n"/>
      <c r="G340" s="604">
        <f>IFERROR(INDEX(⑱中間品単価!$H$5:$H$443,MATCH($C340,⑱中間品単価!$B$5:$B$443,0)),"")</f>
        <v/>
      </c>
      <c r="H340" s="396">
        <f>IF(AND(ISNUMBER($F340),ISNUMBER($G340)),$F340*$G340,"")</f>
        <v/>
      </c>
      <c r="I340" s="392" t="n"/>
    </row>
    <row r="341">
      <c r="A341" s="392" t="n"/>
      <c r="B341" s="392" t="n"/>
      <c r="C341" s="392" t="n"/>
      <c r="D341" s="392" t="n"/>
      <c r="E341" s="392" t="n"/>
      <c r="F341" s="394" t="n"/>
      <c r="G341" s="604">
        <f>IFERROR(INDEX(⑱中間品単価!$H$5:$H$443,MATCH($C341,⑱中間品単価!$B$5:$B$443,0)),"")</f>
        <v/>
      </c>
      <c r="H341" s="396">
        <f>IF(AND(ISNUMBER($F341),ISNUMBER($G341)),$F341*$G341,"")</f>
        <v/>
      </c>
      <c r="I341" s="392" t="n"/>
    </row>
    <row r="342">
      <c r="A342" s="392" t="n"/>
      <c r="B342" s="392" t="n"/>
      <c r="C342" s="392" t="n"/>
      <c r="D342" s="392" t="n"/>
      <c r="E342" s="392" t="n"/>
      <c r="F342" s="394" t="n"/>
      <c r="G342" s="604">
        <f>IFERROR(INDEX(⑱中間品単価!$H$5:$H$443,MATCH($C342,⑱中間品単価!$B$5:$B$443,0)),"")</f>
        <v/>
      </c>
      <c r="H342" s="396">
        <f>IF(AND(ISNUMBER($F342),ISNUMBER($G342)),$F342*$G342,"")</f>
        <v/>
      </c>
      <c r="I342" s="392" t="n"/>
    </row>
    <row r="343">
      <c r="A343" s="392" t="n"/>
      <c r="B343" s="392" t="n"/>
      <c r="C343" s="392" t="n"/>
      <c r="D343" s="392" t="n"/>
      <c r="E343" s="392" t="n"/>
      <c r="F343" s="394" t="n"/>
      <c r="G343" s="604">
        <f>IFERROR(INDEX(⑱中間品単価!$H$5:$H$443,MATCH($C343,⑱中間品単価!$B$5:$B$443,0)),"")</f>
        <v/>
      </c>
      <c r="H343" s="396">
        <f>IF(AND(ISNUMBER($F343),ISNUMBER($G343)),$F343*$G343,"")</f>
        <v/>
      </c>
      <c r="I343" s="392" t="n"/>
    </row>
    <row r="344">
      <c r="A344" s="392" t="n"/>
      <c r="B344" s="392" t="n"/>
      <c r="C344" s="392" t="n"/>
      <c r="D344" s="392" t="n"/>
      <c r="E344" s="392" t="n"/>
      <c r="F344" s="394" t="n"/>
      <c r="G344" s="604">
        <f>IFERROR(INDEX(⑱中間品単価!$H$5:$H$443,MATCH($C344,⑱中間品単価!$B$5:$B$443,0)),"")</f>
        <v/>
      </c>
      <c r="H344" s="396">
        <f>IF(AND(ISNUMBER($F344),ISNUMBER($G344)),$F344*$G344,"")</f>
        <v/>
      </c>
      <c r="I344" s="392" t="n"/>
    </row>
    <row r="345">
      <c r="A345" s="392" t="n"/>
      <c r="B345" s="392" t="n"/>
      <c r="C345" s="392" t="n"/>
      <c r="D345" s="392" t="n"/>
      <c r="E345" s="392" t="n"/>
      <c r="F345" s="394" t="n"/>
      <c r="G345" s="604">
        <f>IFERROR(INDEX(⑱中間品単価!$H$5:$H$443,MATCH($C345,⑱中間品単価!$B$5:$B$443,0)),"")</f>
        <v/>
      </c>
      <c r="H345" s="396">
        <f>IF(AND(ISNUMBER($F345),ISNUMBER($G345)),$F345*$G345,"")</f>
        <v/>
      </c>
      <c r="I345" s="392" t="n"/>
    </row>
    <row r="346">
      <c r="A346" s="392" t="n"/>
      <c r="B346" s="392" t="n"/>
      <c r="C346" s="392" t="n"/>
      <c r="D346" s="392" t="n"/>
      <c r="E346" s="392" t="n"/>
      <c r="F346" s="394" t="n"/>
      <c r="G346" s="604">
        <f>IFERROR(INDEX(⑱中間品単価!$H$5:$H$443,MATCH($C346,⑱中間品単価!$B$5:$B$443,0)),"")</f>
        <v/>
      </c>
      <c r="H346" s="396">
        <f>IF(AND(ISNUMBER($F346),ISNUMBER($G346)),$F346*$G346,"")</f>
        <v/>
      </c>
      <c r="I346" s="392" t="n"/>
    </row>
    <row r="347">
      <c r="A347" s="392" t="n"/>
      <c r="B347" s="392" t="n"/>
      <c r="C347" s="392" t="n"/>
      <c r="D347" s="392" t="n"/>
      <c r="E347" s="392" t="n"/>
      <c r="F347" s="394" t="n"/>
      <c r="G347" s="604">
        <f>IFERROR(INDEX(⑱中間品単価!$H$5:$H$443,MATCH($C347,⑱中間品単価!$B$5:$B$443,0)),"")</f>
        <v/>
      </c>
      <c r="H347" s="396">
        <f>IF(AND(ISNUMBER($F347),ISNUMBER($G347)),$F347*$G347,"")</f>
        <v/>
      </c>
      <c r="I347" s="392" t="n"/>
    </row>
    <row r="348">
      <c r="A348" s="392" t="n"/>
      <c r="B348" s="392" t="n"/>
      <c r="C348" s="392" t="n"/>
      <c r="D348" s="392" t="n"/>
      <c r="E348" s="392" t="n"/>
      <c r="F348" s="394" t="n"/>
      <c r="G348" s="604">
        <f>IFERROR(INDEX(⑱中間品単価!$H$5:$H$443,MATCH($C348,⑱中間品単価!$B$5:$B$443,0)),"")</f>
        <v/>
      </c>
      <c r="H348" s="396">
        <f>IF(AND(ISNUMBER($F348),ISNUMBER($G348)),$F348*$G348,"")</f>
        <v/>
      </c>
      <c r="I348" s="392" t="n"/>
    </row>
    <row r="349">
      <c r="A349" s="392" t="n"/>
      <c r="B349" s="392" t="n"/>
      <c r="C349" s="392" t="n"/>
      <c r="D349" s="392" t="n"/>
      <c r="E349" s="392" t="n"/>
      <c r="F349" s="394" t="n"/>
      <c r="G349" s="604">
        <f>IFERROR(INDEX(⑱中間品単価!$H$5:$H$443,MATCH($C349,⑱中間品単価!$B$5:$B$443,0)),"")</f>
        <v/>
      </c>
      <c r="H349" s="396">
        <f>IF(AND(ISNUMBER($F349),ISNUMBER($G349)),$F349*$G349,"")</f>
        <v/>
      </c>
      <c r="I349" s="392" t="n"/>
    </row>
    <row r="350">
      <c r="A350" s="392" t="n"/>
      <c r="B350" s="392" t="n"/>
      <c r="C350" s="392" t="n"/>
      <c r="D350" s="392" t="n"/>
      <c r="E350" s="392" t="n"/>
      <c r="F350" s="394" t="n"/>
      <c r="G350" s="604">
        <f>IFERROR(INDEX(⑱中間品単価!$H$5:$H$443,MATCH($C350,⑱中間品単価!$B$5:$B$443,0)),"")</f>
        <v/>
      </c>
      <c r="H350" s="396">
        <f>IF(AND(ISNUMBER($F350),ISNUMBER($G350)),$F350*$G350,"")</f>
        <v/>
      </c>
      <c r="I350" s="392" t="n"/>
    </row>
    <row r="351">
      <c r="A351" s="392" t="n"/>
      <c r="B351" s="392" t="n"/>
      <c r="C351" s="392" t="n"/>
      <c r="D351" s="392" t="n"/>
      <c r="E351" s="392" t="n"/>
      <c r="F351" s="394" t="n"/>
      <c r="G351" s="604">
        <f>IFERROR(INDEX(⑱中間品単価!$H$5:$H$443,MATCH($C351,⑱中間品単価!$B$5:$B$443,0)),"")</f>
        <v/>
      </c>
      <c r="H351" s="396">
        <f>IF(AND(ISNUMBER($F351),ISNUMBER($G351)),$F351*$G351,"")</f>
        <v/>
      </c>
      <c r="I351" s="392" t="n"/>
    </row>
    <row r="352">
      <c r="A352" s="392" t="n"/>
      <c r="B352" s="392" t="n"/>
      <c r="C352" s="392" t="n"/>
      <c r="D352" s="392" t="n"/>
      <c r="E352" s="392" t="n"/>
      <c r="F352" s="394" t="n"/>
      <c r="G352" s="604">
        <f>IFERROR(INDEX(⑱中間品単価!$H$5:$H$443,MATCH($C352,⑱中間品単価!$B$5:$B$443,0)),"")</f>
        <v/>
      </c>
      <c r="H352" s="396">
        <f>IF(AND(ISNUMBER($F352),ISNUMBER($G352)),$F352*$G352,"")</f>
        <v/>
      </c>
      <c r="I352" s="392" t="n"/>
    </row>
    <row r="353">
      <c r="A353" s="392" t="n"/>
      <c r="B353" s="392" t="n"/>
      <c r="C353" s="392" t="n"/>
      <c r="D353" s="392" t="n"/>
      <c r="E353" s="392" t="n"/>
      <c r="F353" s="394" t="n"/>
      <c r="G353" s="604">
        <f>IFERROR(INDEX(⑱中間品単価!$H$5:$H$443,MATCH($C353,⑱中間品単価!$B$5:$B$443,0)),"")</f>
        <v/>
      </c>
      <c r="H353" s="396">
        <f>IF(AND(ISNUMBER($F353),ISNUMBER($G353)),$F353*$G353,"")</f>
        <v/>
      </c>
      <c r="I353" s="392" t="n"/>
    </row>
    <row r="354">
      <c r="A354" s="392" t="n"/>
      <c r="B354" s="392" t="n"/>
      <c r="C354" s="392" t="n"/>
      <c r="D354" s="392" t="n"/>
      <c r="E354" s="392" t="n"/>
      <c r="F354" s="394" t="n"/>
      <c r="G354" s="604">
        <f>IFERROR(INDEX(⑱中間品単価!$H$5:$H$443,MATCH($C354,⑱中間品単価!$B$5:$B$443,0)),"")</f>
        <v/>
      </c>
      <c r="H354" s="396">
        <f>IF(AND(ISNUMBER($F354),ISNUMBER($G354)),$F354*$G354,"")</f>
        <v/>
      </c>
      <c r="I354" s="392" t="n"/>
    </row>
    <row r="355">
      <c r="A355" s="392" t="n"/>
      <c r="B355" s="392" t="n"/>
      <c r="C355" s="392" t="n"/>
      <c r="D355" s="392" t="n"/>
      <c r="E355" s="392" t="n"/>
      <c r="F355" s="394" t="n"/>
      <c r="G355" s="604">
        <f>IFERROR(INDEX(⑱中間品単価!$H$5:$H$443,MATCH($C355,⑱中間品単価!$B$5:$B$443,0)),"")</f>
        <v/>
      </c>
      <c r="H355" s="396">
        <f>IF(AND(ISNUMBER($F355),ISNUMBER($G355)),$F355*$G355,"")</f>
        <v/>
      </c>
      <c r="I355" s="392" t="n"/>
    </row>
    <row r="356">
      <c r="A356" s="392" t="n"/>
      <c r="B356" s="392" t="n"/>
      <c r="C356" s="392" t="n"/>
      <c r="D356" s="392" t="n"/>
      <c r="E356" s="392" t="n"/>
      <c r="F356" s="394" t="n"/>
      <c r="G356" s="604">
        <f>IFERROR(INDEX(⑱中間品単価!$H$5:$H$443,MATCH($C356,⑱中間品単価!$B$5:$B$443,0)),"")</f>
        <v/>
      </c>
      <c r="H356" s="396">
        <f>IF(AND(ISNUMBER($F356),ISNUMBER($G356)),$F356*$G356,"")</f>
        <v/>
      </c>
      <c r="I356" s="392" t="n"/>
    </row>
    <row r="357">
      <c r="A357" s="392" t="n"/>
      <c r="B357" s="392" t="n"/>
      <c r="C357" s="392" t="n"/>
      <c r="D357" s="392" t="n"/>
      <c r="E357" s="392" t="n"/>
      <c r="F357" s="394" t="n"/>
      <c r="G357" s="604">
        <f>IFERROR(INDEX(⑱中間品単価!$H$5:$H$443,MATCH($C357,⑱中間品単価!$B$5:$B$443,0)),"")</f>
        <v/>
      </c>
      <c r="H357" s="396">
        <f>IF(AND(ISNUMBER($F357),ISNUMBER($G357)),$F357*$G357,"")</f>
        <v/>
      </c>
      <c r="I357" s="392" t="n"/>
    </row>
    <row r="358">
      <c r="A358" s="392" t="n"/>
      <c r="B358" s="392" t="n"/>
      <c r="C358" s="392" t="n"/>
      <c r="D358" s="392" t="n"/>
      <c r="E358" s="392" t="n"/>
      <c r="F358" s="394" t="n"/>
      <c r="G358" s="604">
        <f>IFERROR(INDEX(⑱中間品単価!$H$5:$H$443,MATCH($C358,⑱中間品単価!$B$5:$B$443,0)),"")</f>
        <v/>
      </c>
      <c r="H358" s="396">
        <f>IF(AND(ISNUMBER($F358),ISNUMBER($G358)),$F358*$G358,"")</f>
        <v/>
      </c>
      <c r="I358" s="392" t="n"/>
    </row>
    <row r="359">
      <c r="A359" s="392" t="n"/>
      <c r="B359" s="392" t="n"/>
      <c r="C359" s="392" t="n"/>
      <c r="D359" s="392" t="n"/>
      <c r="E359" s="392" t="n"/>
      <c r="F359" s="394" t="n"/>
      <c r="G359" s="604">
        <f>IFERROR(INDEX(⑱中間品単価!$H$5:$H$443,MATCH($C359,⑱中間品単価!$B$5:$B$443,0)),"")</f>
        <v/>
      </c>
      <c r="H359" s="396">
        <f>IF(AND(ISNUMBER($F359),ISNUMBER($G359)),$F359*$G359,"")</f>
        <v/>
      </c>
      <c r="I359" s="392" t="n"/>
    </row>
    <row r="360">
      <c r="A360" s="392" t="n"/>
      <c r="B360" s="392" t="n"/>
      <c r="C360" s="392" t="n"/>
      <c r="D360" s="392" t="n"/>
      <c r="E360" s="392" t="n"/>
      <c r="F360" s="394" t="n"/>
      <c r="G360" s="604">
        <f>IFERROR(INDEX(⑱中間品単価!$H$5:$H$443,MATCH($C360,⑱中間品単価!$B$5:$B$443,0)),"")</f>
        <v/>
      </c>
      <c r="H360" s="396">
        <f>IF(AND(ISNUMBER($F360),ISNUMBER($G360)),$F360*$G360,"")</f>
        <v/>
      </c>
      <c r="I360" s="392" t="n"/>
    </row>
    <row r="361">
      <c r="A361" s="392" t="n"/>
      <c r="B361" s="392" t="n"/>
      <c r="C361" s="392" t="n"/>
      <c r="D361" s="392" t="n"/>
      <c r="E361" s="392" t="n"/>
      <c r="F361" s="394" t="n"/>
      <c r="G361" s="604">
        <f>IFERROR(INDEX(⑱中間品単価!$H$5:$H$443,MATCH($C361,⑱中間品単価!$B$5:$B$443,0)),"")</f>
        <v/>
      </c>
      <c r="H361" s="396">
        <f>IF(AND(ISNUMBER($F361),ISNUMBER($G361)),$F361*$G361,"")</f>
        <v/>
      </c>
      <c r="I361" s="392" t="n"/>
    </row>
    <row r="362">
      <c r="A362" s="392" t="n"/>
      <c r="B362" s="392" t="n"/>
      <c r="C362" s="392" t="n"/>
      <c r="D362" s="392" t="n"/>
      <c r="E362" s="392" t="n"/>
      <c r="F362" s="394" t="n"/>
      <c r="G362" s="604">
        <f>IFERROR(INDEX(⑱中間品単価!$H$5:$H$443,MATCH($C362,⑱中間品単価!$B$5:$B$443,0)),"")</f>
        <v/>
      </c>
      <c r="H362" s="396">
        <f>IF(AND(ISNUMBER($F362),ISNUMBER($G362)),$F362*$G362,"")</f>
        <v/>
      </c>
      <c r="I362" s="392" t="n"/>
    </row>
    <row r="363">
      <c r="A363" s="392" t="n"/>
      <c r="B363" s="392" t="n"/>
      <c r="C363" s="392" t="n"/>
      <c r="D363" s="392" t="n"/>
      <c r="E363" s="392" t="n"/>
      <c r="F363" s="394" t="n"/>
      <c r="G363" s="604">
        <f>IFERROR(INDEX(⑱中間品単価!$H$5:$H$443,MATCH($C363,⑱中間品単価!$B$5:$B$443,0)),"")</f>
        <v/>
      </c>
      <c r="H363" s="396">
        <f>IF(AND(ISNUMBER($F363),ISNUMBER($G363)),$F363*$G363,"")</f>
        <v/>
      </c>
      <c r="I363" s="392" t="n"/>
    </row>
    <row r="364">
      <c r="A364" s="392" t="n"/>
      <c r="B364" s="392" t="n"/>
      <c r="C364" s="392" t="n"/>
      <c r="D364" s="392" t="n"/>
      <c r="E364" s="392" t="n"/>
      <c r="F364" s="394" t="n"/>
      <c r="G364" s="604">
        <f>IFERROR(INDEX(⑱中間品単価!$H$5:$H$443,MATCH($C364,⑱中間品単価!$B$5:$B$443,0)),"")</f>
        <v/>
      </c>
      <c r="H364" s="396">
        <f>IF(AND(ISNUMBER($F364),ISNUMBER($G364)),$F364*$G364,"")</f>
        <v/>
      </c>
      <c r="I364" s="392" t="n"/>
    </row>
    <row r="365">
      <c r="A365" s="392" t="n"/>
      <c r="B365" s="392" t="n"/>
      <c r="C365" s="392" t="n"/>
      <c r="D365" s="392" t="n"/>
      <c r="E365" s="392" t="n"/>
      <c r="F365" s="394" t="n"/>
      <c r="G365" s="604">
        <f>IFERROR(INDEX(⑱中間品単価!$H$5:$H$443,MATCH($C365,⑱中間品単価!$B$5:$B$443,0)),"")</f>
        <v/>
      </c>
      <c r="H365" s="396">
        <f>IF(AND(ISNUMBER($F365),ISNUMBER($G365)),$F365*$G365,"")</f>
        <v/>
      </c>
      <c r="I365" s="392" t="n"/>
    </row>
    <row r="366">
      <c r="A366" s="392" t="n"/>
      <c r="B366" s="392" t="n"/>
      <c r="C366" s="392" t="n"/>
      <c r="D366" s="392" t="n"/>
      <c r="E366" s="392" t="n"/>
      <c r="F366" s="394" t="n"/>
      <c r="G366" s="604">
        <f>IFERROR(INDEX(⑱中間品単価!$H$5:$H$443,MATCH($C366,⑱中間品単価!$B$5:$B$443,0)),"")</f>
        <v/>
      </c>
      <c r="H366" s="396">
        <f>IF(AND(ISNUMBER($F366),ISNUMBER($G366)),$F366*$G366,"")</f>
        <v/>
      </c>
      <c r="I366" s="392" t="n"/>
    </row>
    <row r="367">
      <c r="A367" s="392" t="n"/>
      <c r="B367" s="392" t="n"/>
      <c r="C367" s="392" t="n"/>
      <c r="D367" s="392" t="n"/>
      <c r="E367" s="392" t="n"/>
      <c r="F367" s="394" t="n"/>
      <c r="G367" s="604">
        <f>IFERROR(INDEX(⑱中間品単価!$H$5:$H$443,MATCH($C367,⑱中間品単価!$B$5:$B$443,0)),"")</f>
        <v/>
      </c>
      <c r="H367" s="396">
        <f>IF(AND(ISNUMBER($F367),ISNUMBER($G367)),$F367*$G367,"")</f>
        <v/>
      </c>
      <c r="I367" s="392" t="n"/>
    </row>
    <row r="368">
      <c r="A368" s="392" t="n"/>
      <c r="B368" s="392" t="n"/>
      <c r="C368" s="392" t="n"/>
      <c r="D368" s="392" t="n"/>
      <c r="E368" s="392" t="n"/>
      <c r="F368" s="394" t="n"/>
      <c r="G368" s="604">
        <f>IFERROR(INDEX(⑱中間品単価!$H$5:$H$443,MATCH($C368,⑱中間品単価!$B$5:$B$443,0)),"")</f>
        <v/>
      </c>
      <c r="H368" s="396">
        <f>IF(AND(ISNUMBER($F368),ISNUMBER($G368)),$F368*$G368,"")</f>
        <v/>
      </c>
      <c r="I368" s="392" t="n"/>
    </row>
    <row r="369">
      <c r="A369" s="392" t="n"/>
      <c r="B369" s="392" t="n"/>
      <c r="C369" s="392" t="n"/>
      <c r="D369" s="392" t="n"/>
      <c r="E369" s="392" t="n"/>
      <c r="F369" s="394" t="n"/>
      <c r="G369" s="604">
        <f>IFERROR(INDEX(⑱中間品単価!$H$5:$H$443,MATCH($C369,⑱中間品単価!$B$5:$B$443,0)),"")</f>
        <v/>
      </c>
      <c r="H369" s="396">
        <f>IF(AND(ISNUMBER($F369),ISNUMBER($G369)),$F369*$G369,"")</f>
        <v/>
      </c>
      <c r="I369" s="392" t="n"/>
    </row>
    <row r="370">
      <c r="A370" s="392" t="n"/>
      <c r="B370" s="392" t="n"/>
      <c r="C370" s="392" t="n"/>
      <c r="D370" s="392" t="n"/>
      <c r="E370" s="392" t="n"/>
      <c r="F370" s="394" t="n"/>
      <c r="G370" s="604">
        <f>IFERROR(INDEX(⑱中間品単価!$H$5:$H$443,MATCH($C370,⑱中間品単価!$B$5:$B$443,0)),"")</f>
        <v/>
      </c>
      <c r="H370" s="396">
        <f>IF(AND(ISNUMBER($F370),ISNUMBER($G370)),$F370*$G370,"")</f>
        <v/>
      </c>
      <c r="I370" s="392" t="n"/>
    </row>
    <row r="371">
      <c r="A371" s="392" t="n"/>
      <c r="B371" s="392" t="n"/>
      <c r="C371" s="392" t="n"/>
      <c r="D371" s="392" t="n"/>
      <c r="E371" s="392" t="n"/>
      <c r="F371" s="394" t="n"/>
      <c r="G371" s="604">
        <f>IFERROR(INDEX(⑱中間品単価!$H$5:$H$443,MATCH($C371,⑱中間品単価!$B$5:$B$443,0)),"")</f>
        <v/>
      </c>
      <c r="H371" s="396">
        <f>IF(AND(ISNUMBER($F371),ISNUMBER($G371)),$F371*$G371,"")</f>
        <v/>
      </c>
      <c r="I371" s="392" t="n"/>
    </row>
    <row r="372">
      <c r="A372" s="392" t="n"/>
      <c r="B372" s="392" t="n"/>
      <c r="C372" s="392" t="n"/>
      <c r="D372" s="392" t="n"/>
      <c r="E372" s="392" t="n"/>
      <c r="F372" s="394" t="n"/>
      <c r="G372" s="604">
        <f>IFERROR(INDEX(⑱中間品単価!$H$5:$H$443,MATCH($C372,⑱中間品単価!$B$5:$B$443,0)),"")</f>
        <v/>
      </c>
      <c r="H372" s="396">
        <f>IF(AND(ISNUMBER($F372),ISNUMBER($G372)),$F372*$G372,"")</f>
        <v/>
      </c>
      <c r="I372" s="392" t="n"/>
    </row>
    <row r="373">
      <c r="A373" s="392" t="n"/>
      <c r="B373" s="392" t="n"/>
      <c r="C373" s="392" t="n"/>
      <c r="D373" s="392" t="n"/>
      <c r="E373" s="392" t="n"/>
      <c r="F373" s="394" t="n"/>
      <c r="G373" s="604">
        <f>IFERROR(INDEX(⑱中間品単価!$H$5:$H$443,MATCH($C373,⑱中間品単価!$B$5:$B$443,0)),"")</f>
        <v/>
      </c>
      <c r="H373" s="396">
        <f>IF(AND(ISNUMBER($F373),ISNUMBER($G373)),$F373*$G373,"")</f>
        <v/>
      </c>
      <c r="I373" s="392" t="n"/>
    </row>
    <row r="374">
      <c r="A374" s="392" t="n"/>
      <c r="B374" s="392" t="n"/>
      <c r="C374" s="392" t="n"/>
      <c r="D374" s="392" t="n"/>
      <c r="E374" s="392" t="n"/>
      <c r="F374" s="394" t="n"/>
      <c r="G374" s="604">
        <f>IFERROR(INDEX(⑱中間品単価!$H$5:$H$443,MATCH($C374,⑱中間品単価!$B$5:$B$443,0)),"")</f>
        <v/>
      </c>
      <c r="H374" s="396">
        <f>IF(AND(ISNUMBER($F374),ISNUMBER($G374)),$F374*$G374,"")</f>
        <v/>
      </c>
      <c r="I374" s="392" t="n"/>
    </row>
    <row r="375">
      <c r="A375" s="392" t="n"/>
      <c r="B375" s="392" t="n"/>
      <c r="C375" s="392" t="n"/>
      <c r="D375" s="392" t="n"/>
      <c r="E375" s="392" t="n"/>
      <c r="F375" s="394" t="n"/>
      <c r="G375" s="604">
        <f>IFERROR(INDEX(⑱中間品単価!$H$5:$H$443,MATCH($C375,⑱中間品単価!$B$5:$B$443,0)),"")</f>
        <v/>
      </c>
      <c r="H375" s="396">
        <f>IF(AND(ISNUMBER($F375),ISNUMBER($G375)),$F375*$G375,"")</f>
        <v/>
      </c>
      <c r="I375" s="392" t="n"/>
    </row>
    <row r="376">
      <c r="A376" s="392" t="n"/>
      <c r="B376" s="392" t="n"/>
      <c r="C376" s="392" t="n"/>
      <c r="D376" s="392" t="n"/>
      <c r="E376" s="392" t="n"/>
      <c r="F376" s="394" t="n"/>
      <c r="G376" s="604">
        <f>IFERROR(INDEX(⑱中間品単価!$H$5:$H$443,MATCH($C376,⑱中間品単価!$B$5:$B$443,0)),"")</f>
        <v/>
      </c>
      <c r="H376" s="396">
        <f>IF(AND(ISNUMBER($F376),ISNUMBER($G376)),$F376*$G376,"")</f>
        <v/>
      </c>
      <c r="I376" s="392" t="n"/>
    </row>
    <row r="377">
      <c r="A377" s="392" t="n"/>
      <c r="B377" s="392" t="n"/>
      <c r="C377" s="392" t="n"/>
      <c r="D377" s="392" t="n"/>
      <c r="E377" s="392" t="n"/>
      <c r="F377" s="394" t="n"/>
      <c r="G377" s="604">
        <f>IFERROR(INDEX(⑱中間品単価!$H$5:$H$443,MATCH($C377,⑱中間品単価!$B$5:$B$443,0)),"")</f>
        <v/>
      </c>
      <c r="H377" s="396">
        <f>IF(AND(ISNUMBER($F377),ISNUMBER($G377)),$F377*$G377,"")</f>
        <v/>
      </c>
      <c r="I377" s="392" t="n"/>
    </row>
    <row r="378">
      <c r="A378" s="392" t="n"/>
      <c r="B378" s="392" t="n"/>
      <c r="C378" s="392" t="n"/>
      <c r="D378" s="392" t="n"/>
      <c r="E378" s="392" t="n"/>
      <c r="F378" s="394" t="n"/>
      <c r="G378" s="604">
        <f>IFERROR(INDEX(⑱中間品単価!$H$5:$H$443,MATCH($C378,⑱中間品単価!$B$5:$B$443,0)),"")</f>
        <v/>
      </c>
      <c r="H378" s="396">
        <f>IF(AND(ISNUMBER($F378),ISNUMBER($G378)),$F378*$G378,"")</f>
        <v/>
      </c>
      <c r="I378" s="392" t="n"/>
    </row>
    <row r="379">
      <c r="A379" s="392" t="n"/>
      <c r="B379" s="392" t="n"/>
      <c r="C379" s="392" t="n"/>
      <c r="D379" s="392" t="n"/>
      <c r="E379" s="392" t="n"/>
      <c r="F379" s="394" t="n"/>
      <c r="G379" s="604">
        <f>IFERROR(INDEX(⑱中間品単価!$H$5:$H$443,MATCH($C379,⑱中間品単価!$B$5:$B$443,0)),"")</f>
        <v/>
      </c>
      <c r="H379" s="396">
        <f>IF(AND(ISNUMBER($F379),ISNUMBER($G379)),$F379*$G379,"")</f>
        <v/>
      </c>
      <c r="I379" s="392" t="n"/>
    </row>
    <row r="380">
      <c r="A380" s="392" t="n"/>
      <c r="B380" s="392" t="n"/>
      <c r="C380" s="392" t="n"/>
      <c r="D380" s="392" t="n"/>
      <c r="E380" s="392" t="n"/>
      <c r="F380" s="394" t="n"/>
      <c r="G380" s="604">
        <f>IFERROR(INDEX(⑱中間品単価!$H$5:$H$443,MATCH($C380,⑱中間品単価!$B$5:$B$443,0)),"")</f>
        <v/>
      </c>
      <c r="H380" s="396">
        <f>IF(AND(ISNUMBER($F380),ISNUMBER($G380)),$F380*$G380,"")</f>
        <v/>
      </c>
      <c r="I380" s="392" t="n"/>
    </row>
    <row r="381">
      <c r="A381" s="392" t="n"/>
      <c r="B381" s="392" t="n"/>
      <c r="C381" s="392" t="n"/>
      <c r="D381" s="392" t="n"/>
      <c r="E381" s="392" t="n"/>
      <c r="F381" s="394" t="n"/>
      <c r="G381" s="604">
        <f>IFERROR(INDEX(⑱中間品単価!$H$5:$H$443,MATCH($C381,⑱中間品単価!$B$5:$B$443,0)),"")</f>
        <v/>
      </c>
      <c r="H381" s="396">
        <f>IF(AND(ISNUMBER($F381),ISNUMBER($G381)),$F381*$G381,"")</f>
        <v/>
      </c>
      <c r="I381" s="392" t="n"/>
    </row>
    <row r="382">
      <c r="A382" s="392" t="n"/>
      <c r="B382" s="392" t="n"/>
      <c r="C382" s="392" t="n"/>
      <c r="D382" s="392" t="n"/>
      <c r="E382" s="392" t="n"/>
      <c r="F382" s="394" t="n"/>
      <c r="G382" s="604">
        <f>IFERROR(INDEX(⑱中間品単価!$H$5:$H$443,MATCH($C382,⑱中間品単価!$B$5:$B$443,0)),"")</f>
        <v/>
      </c>
      <c r="H382" s="396">
        <f>IF(AND(ISNUMBER($F382),ISNUMBER($G382)),$F382*$G382,"")</f>
        <v/>
      </c>
      <c r="I382" s="392" t="n"/>
    </row>
    <row r="383">
      <c r="A383" s="392" t="n"/>
      <c r="B383" s="392" t="n"/>
      <c r="C383" s="392" t="n"/>
      <c r="D383" s="392" t="n"/>
      <c r="E383" s="392" t="n"/>
      <c r="F383" s="394" t="n"/>
      <c r="G383" s="604">
        <f>IFERROR(INDEX(⑱中間品単価!$H$5:$H$443,MATCH($C383,⑱中間品単価!$B$5:$B$443,0)),"")</f>
        <v/>
      </c>
      <c r="H383" s="396">
        <f>IF(AND(ISNUMBER($F383),ISNUMBER($G383)),$F383*$G383,"")</f>
        <v/>
      </c>
      <c r="I383" s="392" t="n"/>
    </row>
    <row r="384">
      <c r="A384" s="392" t="n"/>
      <c r="B384" s="392" t="n"/>
      <c r="C384" s="392" t="n"/>
      <c r="D384" s="392" t="n"/>
      <c r="E384" s="392" t="n"/>
      <c r="F384" s="394" t="n"/>
      <c r="G384" s="604">
        <f>IFERROR(INDEX(⑱中間品単価!$H$5:$H$443,MATCH($C384,⑱中間品単価!$B$5:$B$443,0)),"")</f>
        <v/>
      </c>
      <c r="H384" s="396">
        <f>IF(AND(ISNUMBER($F384),ISNUMBER($G384)),$F384*$G384,"")</f>
        <v/>
      </c>
      <c r="I384" s="392" t="n"/>
    </row>
    <row r="385">
      <c r="A385" s="392" t="n"/>
      <c r="B385" s="392" t="n"/>
      <c r="C385" s="392" t="n"/>
      <c r="D385" s="392" t="n"/>
      <c r="E385" s="392" t="n"/>
      <c r="F385" s="394" t="n"/>
      <c r="G385" s="604">
        <f>IFERROR(INDEX(⑱中間品単価!$H$5:$H$443,MATCH($C385,⑱中間品単価!$B$5:$B$443,0)),"")</f>
        <v/>
      </c>
      <c r="H385" s="396">
        <f>IF(AND(ISNUMBER($F385),ISNUMBER($G385)),$F385*$G385,"")</f>
        <v/>
      </c>
      <c r="I385" s="392" t="n"/>
    </row>
    <row r="386">
      <c r="A386" s="392" t="n"/>
      <c r="B386" s="392" t="n"/>
      <c r="C386" s="392" t="n"/>
      <c r="D386" s="392" t="n"/>
      <c r="E386" s="392" t="n"/>
      <c r="F386" s="394" t="n"/>
      <c r="G386" s="604">
        <f>IFERROR(INDEX(⑱中間品単価!$H$5:$H$443,MATCH($C386,⑱中間品単価!$B$5:$B$443,0)),"")</f>
        <v/>
      </c>
      <c r="H386" s="396">
        <f>IF(AND(ISNUMBER($F386),ISNUMBER($G386)),$F386*$G386,"")</f>
        <v/>
      </c>
      <c r="I386" s="392" t="n"/>
    </row>
    <row r="387">
      <c r="A387" s="392" t="n"/>
      <c r="B387" s="392" t="n"/>
      <c r="C387" s="392" t="n"/>
      <c r="D387" s="392" t="n"/>
      <c r="E387" s="392" t="n"/>
      <c r="F387" s="394" t="n"/>
      <c r="G387" s="604">
        <f>IFERROR(INDEX(⑱中間品単価!$H$5:$H$443,MATCH($C387,⑱中間品単価!$B$5:$B$443,0)),"")</f>
        <v/>
      </c>
      <c r="H387" s="396">
        <f>IF(AND(ISNUMBER($F387),ISNUMBER($G387)),$F387*$G387,"")</f>
        <v/>
      </c>
      <c r="I387" s="392" t="n"/>
    </row>
    <row r="388">
      <c r="A388" s="392" t="n"/>
      <c r="B388" s="392" t="n"/>
      <c r="C388" s="392" t="n"/>
      <c r="D388" s="392" t="n"/>
      <c r="E388" s="392" t="n"/>
      <c r="F388" s="394" t="n"/>
      <c r="G388" s="604">
        <f>IFERROR(INDEX(⑱中間品単価!$H$5:$H$443,MATCH($C388,⑱中間品単価!$B$5:$B$443,0)),"")</f>
        <v/>
      </c>
      <c r="H388" s="396">
        <f>IF(AND(ISNUMBER($F388),ISNUMBER($G388)),$F388*$G388,"")</f>
        <v/>
      </c>
      <c r="I388" s="392" t="n"/>
    </row>
    <row r="389">
      <c r="A389" s="392" t="n"/>
      <c r="B389" s="392" t="n"/>
      <c r="C389" s="392" t="n"/>
      <c r="D389" s="392" t="n"/>
      <c r="E389" s="392" t="n"/>
      <c r="F389" s="394" t="n"/>
      <c r="G389" s="604">
        <f>IFERROR(INDEX(⑱中間品単価!$H$5:$H$443,MATCH($C389,⑱中間品単価!$B$5:$B$443,0)),"")</f>
        <v/>
      </c>
      <c r="H389" s="396">
        <f>IF(AND(ISNUMBER($F389),ISNUMBER($G389)),$F389*$G389,"")</f>
        <v/>
      </c>
      <c r="I389" s="392" t="n"/>
    </row>
    <row r="390">
      <c r="A390" s="392" t="n"/>
      <c r="B390" s="392" t="n"/>
      <c r="C390" s="392" t="n"/>
      <c r="D390" s="392" t="n"/>
      <c r="E390" s="392" t="n"/>
      <c r="F390" s="394" t="n"/>
      <c r="G390" s="604">
        <f>IFERROR(INDEX(⑱中間品単価!$H$5:$H$443,MATCH($C390,⑱中間品単価!$B$5:$B$443,0)),"")</f>
        <v/>
      </c>
      <c r="H390" s="396">
        <f>IF(AND(ISNUMBER($F390),ISNUMBER($G390)),$F390*$G390,"")</f>
        <v/>
      </c>
      <c r="I390" s="392" t="n"/>
    </row>
    <row r="391">
      <c r="A391" s="392" t="n"/>
      <c r="B391" s="392" t="n"/>
      <c r="C391" s="392" t="n"/>
      <c r="D391" s="392" t="n"/>
      <c r="E391" s="392" t="n"/>
      <c r="F391" s="394" t="n"/>
      <c r="G391" s="604">
        <f>IFERROR(INDEX(⑱中間品単価!$H$5:$H$443,MATCH($C391,⑱中間品単価!$B$5:$B$443,0)),"")</f>
        <v/>
      </c>
      <c r="H391" s="396">
        <f>IF(AND(ISNUMBER($F391),ISNUMBER($G391)),$F391*$G391,"")</f>
        <v/>
      </c>
      <c r="I391" s="392" t="n"/>
    </row>
    <row r="392">
      <c r="A392" s="392" t="n"/>
      <c r="B392" s="392" t="n"/>
      <c r="C392" s="392" t="n"/>
      <c r="D392" s="392" t="n"/>
      <c r="E392" s="392" t="n"/>
      <c r="F392" s="394" t="n"/>
      <c r="G392" s="604">
        <f>IFERROR(INDEX(⑱中間品単価!$H$5:$H$443,MATCH($C392,⑱中間品単価!$B$5:$B$443,0)),"")</f>
        <v/>
      </c>
      <c r="H392" s="396">
        <f>IF(AND(ISNUMBER($F392),ISNUMBER($G392)),$F392*$G392,"")</f>
        <v/>
      </c>
      <c r="I392" s="392" t="n"/>
    </row>
    <row r="393">
      <c r="A393" s="392" t="n"/>
      <c r="B393" s="392" t="n"/>
      <c r="C393" s="392" t="n"/>
      <c r="D393" s="392" t="n"/>
      <c r="E393" s="392" t="n"/>
      <c r="F393" s="394" t="n"/>
      <c r="G393" s="604">
        <f>IFERROR(INDEX(⑱中間品単価!$H$5:$H$443,MATCH($C393,⑱中間品単価!$B$5:$B$443,0)),"")</f>
        <v/>
      </c>
      <c r="H393" s="396">
        <f>IF(AND(ISNUMBER($F393),ISNUMBER($G393)),$F393*$G393,"")</f>
        <v/>
      </c>
      <c r="I393" s="392" t="n"/>
    </row>
    <row r="394">
      <c r="A394" s="392" t="n"/>
      <c r="B394" s="392" t="n"/>
      <c r="C394" s="392" t="n"/>
      <c r="D394" s="392" t="n"/>
      <c r="E394" s="392" t="n"/>
      <c r="F394" s="394" t="n"/>
      <c r="G394" s="604">
        <f>IFERROR(INDEX(⑱中間品単価!$H$5:$H$443,MATCH($C394,⑱中間品単価!$B$5:$B$443,0)),"")</f>
        <v/>
      </c>
      <c r="H394" s="396">
        <f>IF(AND(ISNUMBER($F394),ISNUMBER($G394)),$F394*$G394,"")</f>
        <v/>
      </c>
      <c r="I394" s="392" t="n"/>
    </row>
    <row r="395">
      <c r="A395" s="392" t="n"/>
      <c r="B395" s="392" t="n"/>
      <c r="C395" s="392" t="n"/>
      <c r="D395" s="392" t="n"/>
      <c r="E395" s="392" t="n"/>
      <c r="F395" s="394" t="n"/>
      <c r="G395" s="604">
        <f>IFERROR(INDEX(⑱中間品単価!$H$5:$H$443,MATCH($C395,⑱中間品単価!$B$5:$B$443,0)),"")</f>
        <v/>
      </c>
      <c r="H395" s="396">
        <f>IF(AND(ISNUMBER($F395),ISNUMBER($G395)),$F395*$G395,"")</f>
        <v/>
      </c>
      <c r="I395" s="392" t="n"/>
    </row>
    <row r="396">
      <c r="A396" s="392" t="n"/>
      <c r="B396" s="392" t="n"/>
      <c r="C396" s="392" t="n"/>
      <c r="D396" s="392" t="n"/>
      <c r="E396" s="392" t="n"/>
      <c r="F396" s="394" t="n"/>
      <c r="G396" s="604">
        <f>IFERROR(INDEX(⑱中間品単価!$H$5:$H$443,MATCH($C396,⑱中間品単価!$B$5:$B$443,0)),"")</f>
        <v/>
      </c>
      <c r="H396" s="396">
        <f>IF(AND(ISNUMBER($F396),ISNUMBER($G396)),$F396*$G396,"")</f>
        <v/>
      </c>
      <c r="I396" s="392" t="n"/>
    </row>
    <row r="397">
      <c r="A397" s="392" t="n"/>
      <c r="B397" s="392" t="n"/>
      <c r="C397" s="392" t="n"/>
      <c r="D397" s="392" t="n"/>
      <c r="E397" s="392" t="n"/>
      <c r="F397" s="394" t="n"/>
      <c r="G397" s="604">
        <f>IFERROR(INDEX(⑱中間品単価!$H$5:$H$443,MATCH($C397,⑱中間品単価!$B$5:$B$443,0)),"")</f>
        <v/>
      </c>
      <c r="H397" s="396">
        <f>IF(AND(ISNUMBER($F397),ISNUMBER($G397)),$F397*$G397,"")</f>
        <v/>
      </c>
      <c r="I397" s="392" t="n"/>
    </row>
    <row r="398">
      <c r="A398" s="392" t="n"/>
      <c r="B398" s="392" t="n"/>
      <c r="C398" s="392" t="n"/>
      <c r="D398" s="392" t="n"/>
      <c r="E398" s="392" t="n"/>
      <c r="F398" s="394" t="n"/>
      <c r="G398" s="604">
        <f>IFERROR(INDEX(⑱中間品単価!$H$5:$H$443,MATCH($C398,⑱中間品単価!$B$5:$B$443,0)),"")</f>
        <v/>
      </c>
      <c r="H398" s="396">
        <f>IF(AND(ISNUMBER($F398),ISNUMBER($G398)),$F398*$G398,"")</f>
        <v/>
      </c>
      <c r="I398" s="392" t="n"/>
    </row>
    <row r="399">
      <c r="A399" s="392" t="n"/>
      <c r="B399" s="392" t="n"/>
      <c r="C399" s="392" t="n"/>
      <c r="D399" s="392" t="n"/>
      <c r="E399" s="392" t="n"/>
      <c r="F399" s="394" t="n"/>
      <c r="G399" s="604">
        <f>IFERROR(INDEX(⑱中間品単価!$H$5:$H$443,MATCH($C399,⑱中間品単価!$B$5:$B$443,0)),"")</f>
        <v/>
      </c>
      <c r="H399" s="396">
        <f>IF(AND(ISNUMBER($F399),ISNUMBER($G399)),$F399*$G399,"")</f>
        <v/>
      </c>
      <c r="I399" s="392" t="n"/>
    </row>
    <row r="400">
      <c r="A400" s="392" t="n"/>
      <c r="B400" s="392" t="n"/>
      <c r="C400" s="392" t="n"/>
      <c r="D400" s="392" t="n"/>
      <c r="E400" s="392" t="n"/>
      <c r="F400" s="394" t="n"/>
      <c r="G400" s="604">
        <f>IFERROR(INDEX(⑱中間品単価!$H$5:$H$443,MATCH($C400,⑱中間品単価!$B$5:$B$443,0)),"")</f>
        <v/>
      </c>
      <c r="H400" s="396">
        <f>IF(AND(ISNUMBER($F400),ISNUMBER($G400)),$F400*$G400,"")</f>
        <v/>
      </c>
      <c r="I400" s="392" t="n"/>
    </row>
    <row r="401">
      <c r="A401" s="392" t="n"/>
      <c r="B401" s="392" t="n"/>
      <c r="C401" s="392" t="n"/>
      <c r="D401" s="392" t="n"/>
      <c r="E401" s="392" t="n"/>
      <c r="F401" s="394" t="n"/>
      <c r="G401" s="604">
        <f>IFERROR(INDEX(⑱中間品単価!$H$5:$H$443,MATCH($C401,⑱中間品単価!$B$5:$B$443,0)),"")</f>
        <v/>
      </c>
      <c r="H401" s="396">
        <f>IF(AND(ISNUMBER($F401),ISNUMBER($G401)),$F401*$G401,"")</f>
        <v/>
      </c>
      <c r="I401" s="392" t="n"/>
    </row>
    <row r="402">
      <c r="A402" s="392" t="n"/>
      <c r="B402" s="392" t="n"/>
      <c r="C402" s="392" t="n"/>
      <c r="D402" s="392" t="n"/>
      <c r="E402" s="392" t="n"/>
      <c r="F402" s="394" t="n"/>
      <c r="G402" s="604">
        <f>IFERROR(INDEX(⑱中間品単価!$H$5:$H$443,MATCH($C402,⑱中間品単価!$B$5:$B$443,0)),"")</f>
        <v/>
      </c>
      <c r="H402" s="396">
        <f>IF(AND(ISNUMBER($F402),ISNUMBER($G402)),$F402*$G402,"")</f>
        <v/>
      </c>
      <c r="I402" s="392" t="n"/>
    </row>
    <row r="403">
      <c r="A403" s="392" t="n"/>
      <c r="B403" s="392" t="n"/>
      <c r="C403" s="392" t="n"/>
      <c r="D403" s="392" t="n"/>
      <c r="E403" s="392" t="n"/>
      <c r="F403" s="394" t="n"/>
      <c r="G403" s="604">
        <f>IFERROR(INDEX(⑱中間品単価!$H$5:$H$443,MATCH($C403,⑱中間品単価!$B$5:$B$443,0)),"")</f>
        <v/>
      </c>
      <c r="H403" s="396">
        <f>IF(AND(ISNUMBER($F403),ISNUMBER($G403)),$F403*$G403,"")</f>
        <v/>
      </c>
      <c r="I403" s="392" t="n"/>
    </row>
    <row r="404">
      <c r="A404" s="392" t="n"/>
      <c r="B404" s="392" t="n"/>
      <c r="C404" s="392" t="n"/>
      <c r="D404" s="392" t="n"/>
      <c r="E404" s="392" t="n"/>
      <c r="F404" s="394" t="n"/>
      <c r="G404" s="604">
        <f>IFERROR(INDEX(⑱中間品単価!$H$5:$H$443,MATCH($C404,⑱中間品単価!$B$5:$B$443,0)),"")</f>
        <v/>
      </c>
      <c r="H404" s="396">
        <f>IF(AND(ISNUMBER($F404),ISNUMBER($G404)),$F404*$G404,"")</f>
        <v/>
      </c>
      <c r="I404" s="392" t="n"/>
    </row>
    <row r="405">
      <c r="A405" s="392" t="n"/>
      <c r="B405" s="392" t="n"/>
      <c r="C405" s="392" t="n"/>
      <c r="D405" s="392" t="n"/>
      <c r="E405" s="392" t="n"/>
      <c r="F405" s="394" t="n"/>
      <c r="G405" s="604">
        <f>IFERROR(INDEX(⑱中間品単価!$H$5:$H$443,MATCH($C405,⑱中間品単価!$B$5:$B$443,0)),"")</f>
        <v/>
      </c>
      <c r="H405" s="396">
        <f>IF(AND(ISNUMBER($F405),ISNUMBER($G405)),$F405*$G405,"")</f>
        <v/>
      </c>
      <c r="I405" s="392" t="n"/>
    </row>
    <row r="406">
      <c r="A406" s="392" t="n"/>
      <c r="B406" s="392" t="n"/>
      <c r="C406" s="392" t="n"/>
      <c r="D406" s="392" t="n"/>
      <c r="E406" s="392" t="n"/>
      <c r="F406" s="394" t="n"/>
      <c r="G406" s="604">
        <f>IFERROR(INDEX(⑱中間品単価!$H$5:$H$443,MATCH($C406,⑱中間品単価!$B$5:$B$443,0)),"")</f>
        <v/>
      </c>
      <c r="H406" s="396">
        <f>IF(AND(ISNUMBER($F406),ISNUMBER($G406)),$F406*$G406,"")</f>
        <v/>
      </c>
      <c r="I406" s="392" t="n"/>
    </row>
    <row r="407">
      <c r="A407" s="392" t="n"/>
      <c r="B407" s="392" t="n"/>
      <c r="C407" s="392" t="n"/>
      <c r="D407" s="392" t="n"/>
      <c r="E407" s="392" t="n"/>
      <c r="F407" s="394" t="n"/>
      <c r="G407" s="604">
        <f>IFERROR(INDEX(⑱中間品単価!$H$5:$H$443,MATCH($C407,⑱中間品単価!$B$5:$B$443,0)),"")</f>
        <v/>
      </c>
      <c r="H407" s="396">
        <f>IF(AND(ISNUMBER($F407),ISNUMBER($G407)),$F407*$G407,"")</f>
        <v/>
      </c>
      <c r="I407" s="392" t="n"/>
    </row>
    <row r="408">
      <c r="A408" s="392" t="n"/>
      <c r="B408" s="392" t="n"/>
      <c r="C408" s="392" t="n"/>
      <c r="D408" s="392" t="n"/>
      <c r="E408" s="392" t="n"/>
      <c r="F408" s="394" t="n"/>
      <c r="G408" s="604">
        <f>IFERROR(INDEX(⑱中間品単価!$H$5:$H$443,MATCH($C408,⑱中間品単価!$B$5:$B$443,0)),"")</f>
        <v/>
      </c>
      <c r="H408" s="396">
        <f>IF(AND(ISNUMBER($F408),ISNUMBER($G408)),$F408*$G408,"")</f>
        <v/>
      </c>
      <c r="I408" s="392" t="n"/>
    </row>
    <row r="409">
      <c r="A409" s="392" t="n"/>
      <c r="B409" s="392" t="n"/>
      <c r="C409" s="392" t="n"/>
      <c r="D409" s="392" t="n"/>
      <c r="E409" s="392" t="n"/>
      <c r="F409" s="394" t="n"/>
      <c r="G409" s="604">
        <f>IFERROR(INDEX(⑱中間品単価!$H$5:$H$443,MATCH($C409,⑱中間品単価!$B$5:$B$443,0)),"")</f>
        <v/>
      </c>
      <c r="H409" s="396">
        <f>IF(AND(ISNUMBER($F409),ISNUMBER($G409)),$F409*$G409,"")</f>
        <v/>
      </c>
      <c r="I409" s="392" t="n"/>
    </row>
    <row r="410">
      <c r="A410" s="392" t="n"/>
      <c r="B410" s="392" t="n"/>
      <c r="C410" s="392" t="n"/>
      <c r="D410" s="392" t="n"/>
      <c r="E410" s="392" t="n"/>
      <c r="F410" s="394" t="n"/>
      <c r="G410" s="604">
        <f>IFERROR(INDEX(⑱中間品単価!$H$5:$H$443,MATCH($C410,⑱中間品単価!$B$5:$B$443,0)),"")</f>
        <v/>
      </c>
      <c r="H410" s="396">
        <f>IF(AND(ISNUMBER($F410),ISNUMBER($G410)),$F410*$G410,"")</f>
        <v/>
      </c>
      <c r="I410" s="392" t="n"/>
    </row>
    <row r="411">
      <c r="A411" s="392" t="n"/>
      <c r="B411" s="392" t="n"/>
      <c r="C411" s="392" t="n"/>
      <c r="D411" s="392" t="n"/>
      <c r="E411" s="392" t="n"/>
      <c r="F411" s="394" t="n"/>
      <c r="G411" s="604">
        <f>IFERROR(INDEX(⑱中間品単価!$H$5:$H$443,MATCH($C411,⑱中間品単価!$B$5:$B$443,0)),"")</f>
        <v/>
      </c>
      <c r="H411" s="396">
        <f>IF(AND(ISNUMBER($F411),ISNUMBER($G411)),$F411*$G411,"")</f>
        <v/>
      </c>
      <c r="I411" s="392" t="n"/>
    </row>
    <row r="412">
      <c r="A412" s="392" t="n"/>
      <c r="B412" s="392" t="n"/>
      <c r="C412" s="392" t="n"/>
      <c r="D412" s="392" t="n"/>
      <c r="E412" s="392" t="n"/>
      <c r="F412" s="394" t="n"/>
      <c r="G412" s="604">
        <f>IFERROR(INDEX(⑱中間品単価!$H$5:$H$443,MATCH($C412,⑱中間品単価!$B$5:$B$443,0)),"")</f>
        <v/>
      </c>
      <c r="H412" s="396">
        <f>IF(AND(ISNUMBER($F412),ISNUMBER($G412)),$F412*$G412,"")</f>
        <v/>
      </c>
      <c r="I412" s="392" t="n"/>
    </row>
    <row r="413">
      <c r="A413" s="392" t="n"/>
      <c r="B413" s="392" t="n"/>
      <c r="C413" s="392" t="n"/>
      <c r="D413" s="392" t="n"/>
      <c r="E413" s="392" t="n"/>
      <c r="F413" s="394" t="n"/>
      <c r="G413" s="604">
        <f>IFERROR(INDEX(⑱中間品単価!$H$5:$H$443,MATCH($C413,⑱中間品単価!$B$5:$B$443,0)),"")</f>
        <v/>
      </c>
      <c r="H413" s="396">
        <f>IF(AND(ISNUMBER($F413),ISNUMBER($G413)),$F413*$G413,"")</f>
        <v/>
      </c>
      <c r="I413" s="392" t="n"/>
    </row>
    <row r="414">
      <c r="A414" s="392" t="n"/>
      <c r="B414" s="392" t="n"/>
      <c r="C414" s="392" t="n"/>
      <c r="D414" s="392" t="n"/>
      <c r="E414" s="392" t="n"/>
      <c r="F414" s="394" t="n"/>
      <c r="G414" s="604">
        <f>IFERROR(INDEX(⑱中間品単価!$H$5:$H$443,MATCH($C414,⑱中間品単価!$B$5:$B$443,0)),"")</f>
        <v/>
      </c>
      <c r="H414" s="396">
        <f>IF(AND(ISNUMBER($F414),ISNUMBER($G414)),$F414*$G414,"")</f>
        <v/>
      </c>
      <c r="I414" s="392" t="n"/>
    </row>
    <row r="415">
      <c r="A415" s="392" t="n"/>
      <c r="B415" s="392" t="n"/>
      <c r="C415" s="392" t="n"/>
      <c r="D415" s="392" t="n"/>
      <c r="E415" s="392" t="n"/>
      <c r="F415" s="394" t="n"/>
      <c r="G415" s="604">
        <f>IFERROR(INDEX(⑱中間品単価!$H$5:$H$443,MATCH($C415,⑱中間品単価!$B$5:$B$443,0)),"")</f>
        <v/>
      </c>
      <c r="H415" s="396">
        <f>IF(AND(ISNUMBER($F415),ISNUMBER($G415)),$F415*$G415,"")</f>
        <v/>
      </c>
      <c r="I415" s="392" t="n"/>
    </row>
    <row r="416">
      <c r="A416" s="392" t="n"/>
      <c r="B416" s="392" t="n"/>
      <c r="C416" s="392" t="n"/>
      <c r="D416" s="392" t="n"/>
      <c r="E416" s="392" t="n"/>
      <c r="F416" s="394" t="n"/>
      <c r="G416" s="604">
        <f>IFERROR(INDEX(⑱中間品単価!$H$5:$H$443,MATCH($C416,⑱中間品単価!$B$5:$B$443,0)),"")</f>
        <v/>
      </c>
      <c r="H416" s="396">
        <f>IF(AND(ISNUMBER($F416),ISNUMBER($G416)),$F416*$G416,"")</f>
        <v/>
      </c>
      <c r="I416" s="392" t="n"/>
    </row>
    <row r="417">
      <c r="A417" s="392" t="n"/>
      <c r="B417" s="392" t="n"/>
      <c r="C417" s="392" t="n"/>
      <c r="D417" s="392" t="n"/>
      <c r="E417" s="392" t="n"/>
      <c r="F417" s="394" t="n"/>
      <c r="G417" s="604">
        <f>IFERROR(INDEX(⑱中間品単価!$H$5:$H$443,MATCH($C417,⑱中間品単価!$B$5:$B$443,0)),"")</f>
        <v/>
      </c>
      <c r="H417" s="396">
        <f>IF(AND(ISNUMBER($F417),ISNUMBER($G417)),$F417*$G417,"")</f>
        <v/>
      </c>
      <c r="I417" s="392" t="n"/>
    </row>
    <row r="418">
      <c r="A418" s="392" t="n"/>
      <c r="B418" s="392" t="n"/>
      <c r="C418" s="392" t="n"/>
      <c r="D418" s="392" t="n"/>
      <c r="E418" s="392" t="n"/>
      <c r="F418" s="394" t="n"/>
      <c r="G418" s="604">
        <f>IFERROR(INDEX(⑱中間品単価!$H$5:$H$443,MATCH($C418,⑱中間品単価!$B$5:$B$443,0)),"")</f>
        <v/>
      </c>
      <c r="H418" s="396">
        <f>IF(AND(ISNUMBER($F418),ISNUMBER($G418)),$F418*$G418,"")</f>
        <v/>
      </c>
      <c r="I418" s="392" t="n"/>
    </row>
    <row r="419">
      <c r="A419" s="392" t="n"/>
      <c r="B419" s="392" t="n"/>
      <c r="C419" s="392" t="n"/>
      <c r="D419" s="392" t="n"/>
      <c r="E419" s="392" t="n"/>
      <c r="F419" s="394" t="n"/>
      <c r="G419" s="604">
        <f>IFERROR(INDEX(⑱中間品単価!$H$5:$H$443,MATCH($C419,⑱中間品単価!$B$5:$B$443,0)),"")</f>
        <v/>
      </c>
      <c r="H419" s="396">
        <f>IF(AND(ISNUMBER($F419),ISNUMBER($G419)),$F419*$G419,"")</f>
        <v/>
      </c>
      <c r="I419" s="392" t="n"/>
    </row>
    <row r="420">
      <c r="A420" s="392" t="n"/>
      <c r="B420" s="392" t="n"/>
      <c r="C420" s="392" t="n"/>
      <c r="D420" s="392" t="n"/>
      <c r="E420" s="392" t="n"/>
      <c r="F420" s="394" t="n"/>
      <c r="G420" s="604">
        <f>IFERROR(INDEX(⑱中間品単価!$H$5:$H$443,MATCH($C420,⑱中間品単価!$B$5:$B$443,0)),"")</f>
        <v/>
      </c>
      <c r="H420" s="396">
        <f>IF(AND(ISNUMBER($F420),ISNUMBER($G420)),$F420*$G420,"")</f>
        <v/>
      </c>
      <c r="I420" s="392" t="n"/>
    </row>
    <row r="421">
      <c r="A421" s="392" t="n"/>
      <c r="B421" s="392" t="n"/>
      <c r="C421" s="392" t="n"/>
      <c r="D421" s="392" t="n"/>
      <c r="E421" s="392" t="n"/>
      <c r="F421" s="394" t="n"/>
      <c r="G421" s="604">
        <f>IFERROR(INDEX(⑱中間品単価!$H$5:$H$443,MATCH($C421,⑱中間品単価!$B$5:$B$443,0)),"")</f>
        <v/>
      </c>
      <c r="H421" s="396">
        <f>IF(AND(ISNUMBER($F421),ISNUMBER($G421)),$F421*$G421,"")</f>
        <v/>
      </c>
      <c r="I421" s="392" t="n"/>
    </row>
    <row r="422">
      <c r="A422" s="392" t="n"/>
      <c r="B422" s="392" t="n"/>
      <c r="C422" s="392" t="n"/>
      <c r="D422" s="392" t="n"/>
      <c r="E422" s="392" t="n"/>
      <c r="F422" s="394" t="n"/>
      <c r="G422" s="604">
        <f>IFERROR(INDEX(⑱中間品単価!$H$5:$H$443,MATCH($C422,⑱中間品単価!$B$5:$B$443,0)),"")</f>
        <v/>
      </c>
      <c r="H422" s="396">
        <f>IF(AND(ISNUMBER($F422),ISNUMBER($G422)),$F422*$G422,"")</f>
        <v/>
      </c>
      <c r="I422" s="392" t="n"/>
    </row>
    <row r="423">
      <c r="A423" s="392" t="n"/>
      <c r="B423" s="392" t="n"/>
      <c r="C423" s="392" t="n"/>
      <c r="D423" s="392" t="n"/>
      <c r="E423" s="392" t="n"/>
      <c r="F423" s="394" t="n"/>
      <c r="G423" s="604">
        <f>IFERROR(INDEX(⑱中間品単価!$H$5:$H$443,MATCH($C423,⑱中間品単価!$B$5:$B$443,0)),"")</f>
        <v/>
      </c>
      <c r="H423" s="396">
        <f>IF(AND(ISNUMBER($F423),ISNUMBER($G423)),$F423*$G423,"")</f>
        <v/>
      </c>
      <c r="I423" s="392" t="n"/>
    </row>
    <row r="424">
      <c r="A424" s="392" t="n"/>
      <c r="B424" s="392" t="n"/>
      <c r="C424" s="392" t="n"/>
      <c r="D424" s="392" t="n"/>
      <c r="E424" s="392" t="n"/>
      <c r="F424" s="394" t="n"/>
      <c r="G424" s="604">
        <f>IFERROR(INDEX(⑱中間品単価!$H$5:$H$443,MATCH($C424,⑱中間品単価!$B$5:$B$443,0)),"")</f>
        <v/>
      </c>
      <c r="H424" s="396">
        <f>IF(AND(ISNUMBER($F424),ISNUMBER($G424)),$F424*$G424,"")</f>
        <v/>
      </c>
      <c r="I424" s="392" t="n"/>
    </row>
    <row r="425">
      <c r="A425" s="392" t="n"/>
      <c r="B425" s="392" t="n"/>
      <c r="C425" s="392" t="n"/>
      <c r="D425" s="392" t="n"/>
      <c r="E425" s="392" t="n"/>
      <c r="F425" s="394" t="n"/>
      <c r="G425" s="604">
        <f>IFERROR(INDEX(⑱中間品単価!$H$5:$H$443,MATCH($C425,⑱中間品単価!$B$5:$B$443,0)),"")</f>
        <v/>
      </c>
      <c r="H425" s="396">
        <f>IF(AND(ISNUMBER($F425),ISNUMBER($G425)),$F425*$G425,"")</f>
        <v/>
      </c>
      <c r="I425" s="392" t="n"/>
    </row>
    <row r="426">
      <c r="A426" s="392" t="n"/>
      <c r="B426" s="392" t="n"/>
      <c r="C426" s="392" t="n"/>
      <c r="D426" s="392" t="n"/>
      <c r="E426" s="392" t="n"/>
      <c r="F426" s="394" t="n"/>
      <c r="G426" s="604">
        <f>IFERROR(INDEX(⑱中間品単価!$H$5:$H$443,MATCH($C426,⑱中間品単価!$B$5:$B$443,0)),"")</f>
        <v/>
      </c>
      <c r="H426" s="396">
        <f>IF(AND(ISNUMBER($F426),ISNUMBER($G426)),$F426*$G426,"")</f>
        <v/>
      </c>
      <c r="I426" s="392" t="n"/>
    </row>
    <row r="427">
      <c r="A427" s="392" t="n"/>
      <c r="B427" s="392" t="n"/>
      <c r="C427" s="392" t="n"/>
      <c r="D427" s="392" t="n"/>
      <c r="E427" s="392" t="n"/>
      <c r="F427" s="394" t="n"/>
      <c r="G427" s="604">
        <f>IFERROR(INDEX(⑱中間品単価!$H$5:$H$443,MATCH($C427,⑱中間品単価!$B$5:$B$443,0)),"")</f>
        <v/>
      </c>
      <c r="H427" s="396">
        <f>IF(AND(ISNUMBER($F427),ISNUMBER($G427)),$F427*$G427,"")</f>
        <v/>
      </c>
      <c r="I427" s="392" t="n"/>
    </row>
    <row r="428">
      <c r="A428" s="392" t="n"/>
      <c r="B428" s="392" t="n"/>
      <c r="C428" s="392" t="n"/>
      <c r="D428" s="392" t="n"/>
      <c r="E428" s="392" t="n"/>
      <c r="F428" s="394" t="n"/>
      <c r="G428" s="604">
        <f>IFERROR(INDEX(⑱中間品単価!$H$5:$H$443,MATCH($C428,⑱中間品単価!$B$5:$B$443,0)),"")</f>
        <v/>
      </c>
      <c r="H428" s="396">
        <f>IF(AND(ISNUMBER($F428),ISNUMBER($G428)),$F428*$G428,"")</f>
        <v/>
      </c>
      <c r="I428" s="392" t="n"/>
    </row>
    <row r="429">
      <c r="A429" s="392" t="n"/>
      <c r="B429" s="392" t="n"/>
      <c r="C429" s="392" t="n"/>
      <c r="D429" s="392" t="n"/>
      <c r="E429" s="392" t="n"/>
      <c r="F429" s="394" t="n"/>
      <c r="G429" s="604">
        <f>IFERROR(INDEX(⑱中間品単価!$H$5:$H$443,MATCH($C429,⑱中間品単価!$B$5:$B$443,0)),"")</f>
        <v/>
      </c>
      <c r="H429" s="396">
        <f>IF(AND(ISNUMBER($F429),ISNUMBER($G429)),$F429*$G429,"")</f>
        <v/>
      </c>
      <c r="I429" s="392" t="n"/>
    </row>
    <row r="430">
      <c r="A430" s="392" t="n"/>
      <c r="B430" s="392" t="n"/>
      <c r="C430" s="392" t="n"/>
      <c r="D430" s="392" t="n"/>
      <c r="E430" s="392" t="n"/>
      <c r="F430" s="394" t="n"/>
      <c r="G430" s="604">
        <f>IFERROR(INDEX(⑱中間品単価!$H$5:$H$443,MATCH($C430,⑱中間品単価!$B$5:$B$443,0)),"")</f>
        <v/>
      </c>
      <c r="H430" s="396">
        <f>IF(AND(ISNUMBER($F430),ISNUMBER($G430)),$F430*$G430,"")</f>
        <v/>
      </c>
      <c r="I430" s="392" t="n"/>
    </row>
    <row r="431">
      <c r="A431" s="392" t="n"/>
      <c r="B431" s="392" t="n"/>
      <c r="C431" s="392" t="n"/>
      <c r="D431" s="392" t="n"/>
      <c r="E431" s="392" t="n"/>
      <c r="F431" s="394" t="n"/>
      <c r="G431" s="604">
        <f>IFERROR(INDEX(⑱中間品単価!$H$5:$H$443,MATCH($C431,⑱中間品単価!$B$5:$B$443,0)),"")</f>
        <v/>
      </c>
      <c r="H431" s="396">
        <f>IF(AND(ISNUMBER($F431),ISNUMBER($G431)),$F431*$G431,"")</f>
        <v/>
      </c>
      <c r="I431" s="392" t="n"/>
    </row>
    <row r="432">
      <c r="A432" s="392" t="n"/>
      <c r="B432" s="392" t="n"/>
      <c r="C432" s="392" t="n"/>
      <c r="D432" s="392" t="n"/>
      <c r="E432" s="392" t="n"/>
      <c r="F432" s="394" t="n"/>
      <c r="G432" s="604">
        <f>IFERROR(INDEX(⑱中間品単価!$H$5:$H$443,MATCH($C432,⑱中間品単価!$B$5:$B$443,0)),"")</f>
        <v/>
      </c>
      <c r="H432" s="396">
        <f>IF(AND(ISNUMBER($F432),ISNUMBER($G432)),$F432*$G432,"")</f>
        <v/>
      </c>
      <c r="I432" s="392" t="n"/>
    </row>
    <row r="433">
      <c r="A433" s="392" t="n"/>
      <c r="B433" s="392" t="n"/>
      <c r="C433" s="392" t="n"/>
      <c r="D433" s="392" t="n"/>
      <c r="E433" s="392" t="n"/>
      <c r="F433" s="394" t="n"/>
      <c r="G433" s="604">
        <f>IFERROR(INDEX(⑱中間品単価!$H$5:$H$443,MATCH($C433,⑱中間品単価!$B$5:$B$443,0)),"")</f>
        <v/>
      </c>
      <c r="H433" s="396">
        <f>IF(AND(ISNUMBER($F433),ISNUMBER($G433)),$F433*$G433,"")</f>
        <v/>
      </c>
      <c r="I433" s="392" t="n"/>
    </row>
    <row r="434">
      <c r="A434" s="392" t="n"/>
      <c r="B434" s="392" t="n"/>
      <c r="C434" s="392" t="n"/>
      <c r="D434" s="392" t="n"/>
      <c r="E434" s="392" t="n"/>
      <c r="F434" s="394" t="n"/>
      <c r="G434" s="604">
        <f>IFERROR(INDEX(⑱中間品単価!$H$5:$H$443,MATCH($C434,⑱中間品単価!$B$5:$B$443,0)),"")</f>
        <v/>
      </c>
      <c r="H434" s="396">
        <f>IF(AND(ISNUMBER($F434),ISNUMBER($G434)),$F434*$G434,"")</f>
        <v/>
      </c>
      <c r="I434" s="392" t="n"/>
    </row>
    <row r="435">
      <c r="A435" s="392" t="n"/>
      <c r="B435" s="392" t="n"/>
      <c r="C435" s="392" t="n"/>
      <c r="D435" s="392" t="n"/>
      <c r="E435" s="392" t="n"/>
      <c r="F435" s="394" t="n"/>
      <c r="G435" s="604">
        <f>IFERROR(INDEX(⑱中間品単価!$H$5:$H$443,MATCH($C435,⑱中間品単価!$B$5:$B$443,0)),"")</f>
        <v/>
      </c>
      <c r="H435" s="396">
        <f>IF(AND(ISNUMBER($F435),ISNUMBER($G435)),$F435*$G435,"")</f>
        <v/>
      </c>
      <c r="I435" s="392" t="n"/>
    </row>
    <row r="436">
      <c r="A436" s="392" t="n"/>
      <c r="B436" s="392" t="n"/>
      <c r="C436" s="392" t="n"/>
      <c r="D436" s="392" t="n"/>
      <c r="E436" s="392" t="n"/>
      <c r="F436" s="394" t="n"/>
      <c r="G436" s="604">
        <f>IFERROR(INDEX(⑱中間品単価!$H$5:$H$443,MATCH($C436,⑱中間品単価!$B$5:$B$443,0)),"")</f>
        <v/>
      </c>
      <c r="H436" s="396">
        <f>IF(AND(ISNUMBER($F436),ISNUMBER($G436)),$F436*$G436,"")</f>
        <v/>
      </c>
      <c r="I436" s="392" t="n"/>
    </row>
    <row r="437">
      <c r="A437" s="392" t="n"/>
      <c r="B437" s="392" t="n"/>
      <c r="C437" s="392" t="n"/>
      <c r="D437" s="392" t="n"/>
      <c r="E437" s="392" t="n"/>
      <c r="F437" s="394" t="n"/>
      <c r="G437" s="604">
        <f>IFERROR(INDEX(⑱中間品単価!$H$5:$H$443,MATCH($C437,⑱中間品単価!$B$5:$B$443,0)),"")</f>
        <v/>
      </c>
      <c r="H437" s="396">
        <f>IF(AND(ISNUMBER($F437),ISNUMBER($G437)),$F437*$G437,"")</f>
        <v/>
      </c>
      <c r="I437" s="392" t="n"/>
    </row>
    <row r="438">
      <c r="A438" s="392" t="n"/>
      <c r="B438" s="392" t="n"/>
      <c r="C438" s="392" t="n"/>
      <c r="D438" s="392" t="n"/>
      <c r="E438" s="392" t="n"/>
      <c r="F438" s="394" t="n"/>
      <c r="G438" s="604">
        <f>IFERROR(INDEX(⑱中間品単価!$H$5:$H$443,MATCH($C438,⑱中間品単価!$B$5:$B$443,0)),"")</f>
        <v/>
      </c>
      <c r="H438" s="396">
        <f>IF(AND(ISNUMBER($F438),ISNUMBER($G438)),$F438*$G438,"")</f>
        <v/>
      </c>
      <c r="I438" s="392" t="n"/>
    </row>
    <row r="439">
      <c r="A439" s="392" t="n"/>
      <c r="B439" s="392" t="n"/>
      <c r="C439" s="392" t="n"/>
      <c r="D439" s="392" t="n"/>
      <c r="E439" s="392" t="n"/>
      <c r="F439" s="394" t="n"/>
      <c r="G439" s="604">
        <f>IFERROR(INDEX(⑱中間品単価!$H$5:$H$443,MATCH($C439,⑱中間品単価!$B$5:$B$443,0)),"")</f>
        <v/>
      </c>
      <c r="H439" s="396">
        <f>IF(AND(ISNUMBER($F439),ISNUMBER($G439)),$F439*$G439,"")</f>
        <v/>
      </c>
      <c r="I439" s="392" t="n"/>
    </row>
    <row r="440">
      <c r="A440" s="392" t="n"/>
      <c r="B440" s="392" t="n"/>
      <c r="C440" s="392" t="n"/>
      <c r="D440" s="392" t="n"/>
      <c r="E440" s="392" t="n"/>
      <c r="F440" s="394" t="n"/>
      <c r="G440" s="604">
        <f>IFERROR(INDEX(⑱中間品単価!$H$5:$H$443,MATCH($C440,⑱中間品単価!$B$5:$B$443,0)),"")</f>
        <v/>
      </c>
      <c r="H440" s="396">
        <f>IF(AND(ISNUMBER($F440),ISNUMBER($G440)),$F440*$G440,"")</f>
        <v/>
      </c>
      <c r="I440" s="392" t="n"/>
    </row>
    <row r="441">
      <c r="A441" s="392" t="n"/>
      <c r="B441" s="392" t="n"/>
      <c r="C441" s="392" t="n"/>
      <c r="D441" s="392" t="n"/>
      <c r="E441" s="392" t="n"/>
      <c r="F441" s="394" t="n"/>
      <c r="G441" s="604">
        <f>IFERROR(INDEX(⑱中間品単価!$H$5:$H$443,MATCH($C441,⑱中間品単価!$B$5:$B$443,0)),"")</f>
        <v/>
      </c>
      <c r="H441" s="396">
        <f>IF(AND(ISNUMBER($F441),ISNUMBER($G441)),$F441*$G441,"")</f>
        <v/>
      </c>
      <c r="I441" s="392" t="n"/>
    </row>
    <row r="442">
      <c r="A442" s="392" t="n"/>
      <c r="B442" s="392" t="n"/>
      <c r="C442" s="392" t="n"/>
      <c r="D442" s="392" t="n"/>
      <c r="E442" s="392" t="n"/>
      <c r="F442" s="394" t="n"/>
      <c r="G442" s="604">
        <f>IFERROR(INDEX(⑱中間品単価!$H$5:$H$443,MATCH($C442,⑱中間品単価!$B$5:$B$443,0)),"")</f>
        <v/>
      </c>
      <c r="H442" s="396">
        <f>IF(AND(ISNUMBER($F442),ISNUMBER($G442)),$F442*$G442,"")</f>
        <v/>
      </c>
      <c r="I442" s="392" t="n"/>
    </row>
    <row r="443">
      <c r="A443" s="392" t="n"/>
      <c r="B443" s="392" t="n"/>
      <c r="C443" s="392" t="n"/>
      <c r="D443" s="392" t="n"/>
      <c r="E443" s="392" t="n"/>
      <c r="F443" s="394" t="n"/>
      <c r="G443" s="604">
        <f>IFERROR(INDEX(⑱中間品単価!$H$5:$H$443,MATCH($C443,⑱中間品単価!$B$5:$B$443,0)),"")</f>
        <v/>
      </c>
      <c r="H443" s="396">
        <f>IF(AND(ISNUMBER($F443),ISNUMBER($G443)),$F443*$G443,"")</f>
        <v/>
      </c>
      <c r="I443" s="392" t="n"/>
    </row>
    <row r="444">
      <c r="A444" s="392" t="n"/>
      <c r="B444" s="392" t="n"/>
      <c r="C444" s="392" t="n"/>
      <c r="D444" s="392" t="n"/>
      <c r="E444" s="392" t="n"/>
      <c r="F444" s="394" t="n"/>
      <c r="G444" s="604">
        <f>IFERROR(INDEX(⑱中間品単価!$H$5:$H$443,MATCH($C444,⑱中間品単価!$B$5:$B$443,0)),"")</f>
        <v/>
      </c>
      <c r="H444" s="396">
        <f>IF(AND(ISNUMBER($F444),ISNUMBER($G444)),$F444*$G444,"")</f>
        <v/>
      </c>
      <c r="I444" s="392" t="n"/>
    </row>
    <row r="445">
      <c r="A445" s="392" t="n"/>
      <c r="B445" s="392" t="n"/>
      <c r="C445" s="392" t="n"/>
      <c r="D445" s="392" t="n"/>
      <c r="E445" s="392" t="n"/>
      <c r="F445" s="394" t="n"/>
      <c r="G445" s="604">
        <f>IFERROR(INDEX(⑱中間品単価!$H$5:$H$443,MATCH($C445,⑱中間品単価!$B$5:$B$443,0)),"")</f>
        <v/>
      </c>
      <c r="H445" s="396">
        <f>IF(AND(ISNUMBER($F445),ISNUMBER($G445)),$F445*$G445,"")</f>
        <v/>
      </c>
      <c r="I445" s="392" t="n"/>
    </row>
    <row r="446">
      <c r="A446" s="392" t="n"/>
      <c r="B446" s="392" t="n"/>
      <c r="C446" s="392" t="n"/>
      <c r="D446" s="392" t="n"/>
      <c r="E446" s="392" t="n"/>
      <c r="F446" s="394" t="n"/>
      <c r="G446" s="604">
        <f>IFERROR(INDEX(⑱中間品単価!$H$5:$H$443,MATCH($C446,⑱中間品単価!$B$5:$B$443,0)),"")</f>
        <v/>
      </c>
      <c r="H446" s="396">
        <f>IF(AND(ISNUMBER($F446),ISNUMBER($G446)),$F446*$G446,"")</f>
        <v/>
      </c>
      <c r="I446" s="392" t="n"/>
    </row>
    <row r="447">
      <c r="A447" s="392" t="n"/>
      <c r="B447" s="392" t="n"/>
      <c r="C447" s="392" t="n"/>
      <c r="D447" s="392" t="n"/>
      <c r="E447" s="392" t="n"/>
      <c r="F447" s="394" t="n"/>
      <c r="G447" s="604">
        <f>IFERROR(INDEX(⑱中間品単価!$H$5:$H$443,MATCH($C447,⑱中間品単価!$B$5:$B$443,0)),"")</f>
        <v/>
      </c>
      <c r="H447" s="396">
        <f>IF(AND(ISNUMBER($F447),ISNUMBER($G447)),$F447*$G447,"")</f>
        <v/>
      </c>
      <c r="I447" s="392" t="n"/>
    </row>
    <row r="448">
      <c r="A448" s="392" t="n"/>
      <c r="B448" s="392" t="n"/>
      <c r="C448" s="392" t="n"/>
      <c r="D448" s="392" t="n"/>
      <c r="E448" s="392" t="n"/>
      <c r="F448" s="394" t="n"/>
      <c r="G448" s="604">
        <f>IFERROR(INDEX(⑱中間品単価!$H$5:$H$443,MATCH($C448,⑱中間品単価!$B$5:$B$443,0)),"")</f>
        <v/>
      </c>
      <c r="H448" s="396">
        <f>IF(AND(ISNUMBER($F448),ISNUMBER($G448)),$F448*$G448,"")</f>
        <v/>
      </c>
      <c r="I448" s="392" t="n"/>
    </row>
    <row r="449">
      <c r="A449" s="392" t="n"/>
      <c r="B449" s="392" t="n"/>
      <c r="C449" s="392" t="n"/>
      <c r="D449" s="392" t="n"/>
      <c r="E449" s="392" t="n"/>
      <c r="F449" s="394" t="n"/>
      <c r="G449" s="604">
        <f>IFERROR(INDEX(⑱中間品単価!$H$5:$H$443,MATCH($C449,⑱中間品単価!$B$5:$B$443,0)),"")</f>
        <v/>
      </c>
      <c r="H449" s="396">
        <f>IF(AND(ISNUMBER($F449),ISNUMBER($G449)),$F449*$G449,"")</f>
        <v/>
      </c>
      <c r="I449" s="392" t="n"/>
    </row>
    <row r="450">
      <c r="A450" s="392" t="n"/>
      <c r="B450" s="392" t="n"/>
      <c r="C450" s="392" t="n"/>
      <c r="D450" s="392" t="n"/>
      <c r="E450" s="392" t="n"/>
      <c r="F450" s="394" t="n"/>
      <c r="G450" s="604">
        <f>IFERROR(INDEX(⑱中間品単価!$H$5:$H$443,MATCH($C450,⑱中間品単価!$B$5:$B$443,0)),"")</f>
        <v/>
      </c>
      <c r="H450" s="396">
        <f>IF(AND(ISNUMBER($F450),ISNUMBER($G450)),$F450*$G450,"")</f>
        <v/>
      </c>
      <c r="I450" s="392" t="n"/>
    </row>
    <row r="451">
      <c r="A451" s="392" t="n"/>
      <c r="B451" s="392" t="n"/>
      <c r="C451" s="392" t="n"/>
      <c r="D451" s="392" t="n"/>
      <c r="E451" s="392" t="n"/>
      <c r="F451" s="394" t="n"/>
      <c r="G451" s="604">
        <f>IFERROR(INDEX(⑱中間品単価!$H$5:$H$443,MATCH($C451,⑱中間品単価!$B$5:$B$443,0)),"")</f>
        <v/>
      </c>
      <c r="H451" s="396">
        <f>IF(AND(ISNUMBER($F451),ISNUMBER($G451)),$F451*$G451,"")</f>
        <v/>
      </c>
      <c r="I451" s="392" t="n"/>
    </row>
    <row r="452">
      <c r="A452" s="392" t="n"/>
      <c r="B452" s="392" t="n"/>
      <c r="C452" s="392" t="n"/>
      <c r="D452" s="392" t="n"/>
      <c r="E452" s="392" t="n"/>
      <c r="F452" s="394" t="n"/>
      <c r="G452" s="604">
        <f>IFERROR(INDEX(⑱中間品単価!$H$5:$H$443,MATCH($C452,⑱中間品単価!$B$5:$B$443,0)),"")</f>
        <v/>
      </c>
      <c r="H452" s="396">
        <f>IF(AND(ISNUMBER($F452),ISNUMBER($G452)),$F452*$G452,"")</f>
        <v/>
      </c>
      <c r="I452" s="392" t="n"/>
    </row>
    <row r="453">
      <c r="A453" s="392" t="n"/>
      <c r="B453" s="392" t="n"/>
      <c r="C453" s="392" t="n"/>
      <c r="D453" s="392" t="n"/>
      <c r="E453" s="392" t="n"/>
      <c r="F453" s="394" t="n"/>
      <c r="G453" s="604">
        <f>IFERROR(INDEX(⑱中間品単価!$H$5:$H$443,MATCH($C453,⑱中間品単価!$B$5:$B$443,0)),"")</f>
        <v/>
      </c>
      <c r="H453" s="396">
        <f>IF(AND(ISNUMBER($F453),ISNUMBER($G453)),$F453*$G453,"")</f>
        <v/>
      </c>
      <c r="I453" s="392" t="n"/>
    </row>
    <row r="454">
      <c r="A454" s="392" t="n"/>
      <c r="B454" s="392" t="n"/>
      <c r="C454" s="392" t="n"/>
      <c r="D454" s="392" t="n"/>
      <c r="E454" s="392" t="n"/>
      <c r="F454" s="394" t="n"/>
      <c r="G454" s="604">
        <f>IFERROR(INDEX(⑱中間品単価!$H$5:$H$443,MATCH($C454,⑱中間品単価!$B$5:$B$443,0)),"")</f>
        <v/>
      </c>
      <c r="H454" s="396">
        <f>IF(AND(ISNUMBER($F454),ISNUMBER($G454)),$F454*$G454,"")</f>
        <v/>
      </c>
      <c r="I454" s="392" t="n"/>
    </row>
    <row r="455">
      <c r="A455" s="392" t="n"/>
      <c r="B455" s="392" t="n"/>
      <c r="C455" s="392" t="n"/>
      <c r="D455" s="392" t="n"/>
      <c r="E455" s="392" t="n"/>
      <c r="F455" s="394" t="n"/>
      <c r="G455" s="604">
        <f>IFERROR(INDEX(⑱中間品単価!$H$5:$H$443,MATCH($C455,⑱中間品単価!$B$5:$B$443,0)),"")</f>
        <v/>
      </c>
      <c r="H455" s="396">
        <f>IF(AND(ISNUMBER($F455),ISNUMBER($G455)),$F455*$G455,"")</f>
        <v/>
      </c>
      <c r="I455" s="392" t="n"/>
    </row>
    <row r="456">
      <c r="A456" s="392" t="n"/>
      <c r="B456" s="392" t="n"/>
      <c r="C456" s="392" t="n"/>
      <c r="D456" s="392" t="n"/>
      <c r="E456" s="392" t="n"/>
      <c r="F456" s="394" t="n"/>
      <c r="G456" s="604">
        <f>IFERROR(INDEX(⑱中間品単価!$H$5:$H$443,MATCH($C456,⑱中間品単価!$B$5:$B$443,0)),"")</f>
        <v/>
      </c>
      <c r="H456" s="396">
        <f>IF(AND(ISNUMBER($F456),ISNUMBER($G456)),$F456*$G456,"")</f>
        <v/>
      </c>
      <c r="I456" s="392" t="n"/>
    </row>
    <row r="457">
      <c r="A457" s="392" t="n"/>
      <c r="B457" s="392" t="n"/>
      <c r="C457" s="392" t="n"/>
      <c r="D457" s="392" t="n"/>
      <c r="E457" s="392" t="n"/>
      <c r="F457" s="394" t="n"/>
      <c r="G457" s="604">
        <f>IFERROR(INDEX(⑱中間品単価!$H$5:$H$443,MATCH($C457,⑱中間品単価!$B$5:$B$443,0)),"")</f>
        <v/>
      </c>
      <c r="H457" s="396">
        <f>IF(AND(ISNUMBER($F457),ISNUMBER($G457)),$F457*$G457,"")</f>
        <v/>
      </c>
      <c r="I457" s="392" t="n"/>
    </row>
    <row r="458">
      <c r="A458" s="392" t="n"/>
      <c r="B458" s="392" t="n"/>
      <c r="C458" s="392" t="n"/>
      <c r="D458" s="392" t="n"/>
      <c r="E458" s="392" t="n"/>
      <c r="F458" s="394" t="n"/>
      <c r="G458" s="604">
        <f>IFERROR(INDEX(⑱中間品単価!$H$5:$H$443,MATCH($C458,⑱中間品単価!$B$5:$B$443,0)),"")</f>
        <v/>
      </c>
      <c r="H458" s="396">
        <f>IF(AND(ISNUMBER($F458),ISNUMBER($G458)),$F458*$G458,"")</f>
        <v/>
      </c>
      <c r="I458" s="392" t="n"/>
    </row>
    <row r="459">
      <c r="A459" s="392" t="n"/>
      <c r="B459" s="392" t="n"/>
      <c r="C459" s="392" t="n"/>
      <c r="D459" s="392" t="n"/>
      <c r="E459" s="392" t="n"/>
      <c r="F459" s="394" t="n"/>
      <c r="G459" s="604">
        <f>IFERROR(INDEX(⑱中間品単価!$H$5:$H$443,MATCH($C459,⑱中間品単価!$B$5:$B$443,0)),"")</f>
        <v/>
      </c>
      <c r="H459" s="396">
        <f>IF(AND(ISNUMBER($F459),ISNUMBER($G459)),$F459*$G459,"")</f>
        <v/>
      </c>
      <c r="I459" s="392" t="n"/>
    </row>
    <row r="460">
      <c r="A460" s="392" t="n"/>
      <c r="B460" s="392" t="n"/>
      <c r="C460" s="392" t="n"/>
      <c r="D460" s="392" t="n"/>
      <c r="E460" s="392" t="n"/>
      <c r="F460" s="394" t="n"/>
      <c r="G460" s="604">
        <f>IFERROR(INDEX(⑱中間品単価!$H$5:$H$443,MATCH($C460,⑱中間品単価!$B$5:$B$443,0)),"")</f>
        <v/>
      </c>
      <c r="H460" s="396">
        <f>IF(AND(ISNUMBER($F460),ISNUMBER($G460)),$F460*$G460,"")</f>
        <v/>
      </c>
      <c r="I460" s="392" t="n"/>
    </row>
    <row r="461">
      <c r="A461" s="392" t="n"/>
      <c r="B461" s="392" t="n"/>
      <c r="C461" s="392" t="n"/>
      <c r="D461" s="392" t="n"/>
      <c r="E461" s="392" t="n"/>
      <c r="F461" s="394" t="n"/>
      <c r="G461" s="604">
        <f>IFERROR(INDEX(⑱中間品単価!$H$5:$H$443,MATCH($C461,⑱中間品単価!$B$5:$B$443,0)),"")</f>
        <v/>
      </c>
      <c r="H461" s="396">
        <f>IF(AND(ISNUMBER($F461),ISNUMBER($G461)),$F461*$G461,"")</f>
        <v/>
      </c>
      <c r="I461" s="392" t="n"/>
    </row>
    <row r="462">
      <c r="A462" s="392" t="n"/>
      <c r="B462" s="392" t="n"/>
      <c r="C462" s="392" t="n"/>
      <c r="D462" s="392" t="n"/>
      <c r="E462" s="392" t="n"/>
      <c r="F462" s="394" t="n"/>
      <c r="G462" s="604">
        <f>IFERROR(INDEX(⑱中間品単価!$H$5:$H$443,MATCH($C462,⑱中間品単価!$B$5:$B$443,0)),"")</f>
        <v/>
      </c>
      <c r="H462" s="396">
        <f>IF(AND(ISNUMBER($F462),ISNUMBER($G462)),$F462*$G462,"")</f>
        <v/>
      </c>
      <c r="I462" s="392" t="n"/>
    </row>
    <row r="463">
      <c r="A463" s="392" t="n"/>
      <c r="B463" s="392" t="n"/>
      <c r="C463" s="392" t="n"/>
      <c r="D463" s="392" t="n"/>
      <c r="E463" s="392" t="n"/>
      <c r="F463" s="394" t="n"/>
      <c r="G463" s="604">
        <f>IFERROR(INDEX(⑱中間品単価!$H$5:$H$443,MATCH($C463,⑱中間品単価!$B$5:$B$443,0)),"")</f>
        <v/>
      </c>
      <c r="H463" s="396">
        <f>IF(AND(ISNUMBER($F463),ISNUMBER($G463)),$F463*$G463,"")</f>
        <v/>
      </c>
      <c r="I463" s="392" t="n"/>
    </row>
    <row r="464">
      <c r="A464" s="392" t="n"/>
      <c r="B464" s="392" t="n"/>
      <c r="C464" s="392" t="n"/>
      <c r="D464" s="392" t="n"/>
      <c r="E464" s="392" t="n"/>
      <c r="F464" s="394" t="n"/>
      <c r="G464" s="604">
        <f>IFERROR(INDEX(⑱中間品単価!$H$5:$H$443,MATCH($C464,⑱中間品単価!$B$5:$B$443,0)),"")</f>
        <v/>
      </c>
      <c r="H464" s="396">
        <f>IF(AND(ISNUMBER($F464),ISNUMBER($G464)),$F464*$G464,"")</f>
        <v/>
      </c>
      <c r="I464" s="392" t="n"/>
    </row>
    <row r="465">
      <c r="A465" s="392" t="n"/>
      <c r="B465" s="392" t="n"/>
      <c r="C465" s="392" t="n"/>
      <c r="D465" s="392" t="n"/>
      <c r="E465" s="392" t="n"/>
      <c r="F465" s="394" t="n"/>
      <c r="G465" s="604">
        <f>IFERROR(INDEX(⑱中間品単価!$H$5:$H$443,MATCH($C465,⑱中間品単価!$B$5:$B$443,0)),"")</f>
        <v/>
      </c>
      <c r="H465" s="396">
        <f>IF(AND(ISNUMBER($F465),ISNUMBER($G465)),$F465*$G465,"")</f>
        <v/>
      </c>
      <c r="I465" s="392" t="n"/>
    </row>
    <row r="466">
      <c r="A466" s="392" t="n"/>
      <c r="B466" s="392" t="n"/>
      <c r="C466" s="392" t="n"/>
      <c r="D466" s="392" t="n"/>
      <c r="E466" s="392" t="n"/>
      <c r="F466" s="394" t="n"/>
      <c r="G466" s="604">
        <f>IFERROR(INDEX(⑱中間品単価!$H$5:$H$443,MATCH($C466,⑱中間品単価!$B$5:$B$443,0)),"")</f>
        <v/>
      </c>
      <c r="H466" s="396">
        <f>IF(AND(ISNUMBER($F466),ISNUMBER($G466)),$F466*$G466,"")</f>
        <v/>
      </c>
      <c r="I466" s="392" t="n"/>
    </row>
    <row r="467">
      <c r="A467" s="392" t="n"/>
      <c r="B467" s="392" t="n"/>
      <c r="C467" s="392" t="n"/>
      <c r="D467" s="392" t="n"/>
      <c r="E467" s="392" t="n"/>
      <c r="F467" s="394" t="n"/>
      <c r="G467" s="604">
        <f>IFERROR(INDEX(⑱中間品単価!$H$5:$H$443,MATCH($C467,⑱中間品単価!$B$5:$B$443,0)),"")</f>
        <v/>
      </c>
      <c r="H467" s="396">
        <f>IF(AND(ISNUMBER($F467),ISNUMBER($G467)),$F467*$G467,"")</f>
        <v/>
      </c>
      <c r="I467" s="392" t="n"/>
    </row>
    <row r="468">
      <c r="A468" s="392" t="n"/>
      <c r="B468" s="392" t="n"/>
      <c r="C468" s="392" t="n"/>
      <c r="D468" s="392" t="n"/>
      <c r="E468" s="392" t="n"/>
      <c r="F468" s="394" t="n"/>
      <c r="G468" s="604">
        <f>IFERROR(INDEX(⑱中間品単価!$H$5:$H$443,MATCH($C468,⑱中間品単価!$B$5:$B$443,0)),"")</f>
        <v/>
      </c>
      <c r="H468" s="396">
        <f>IF(AND(ISNUMBER($F468),ISNUMBER($G468)),$F468*$G468,"")</f>
        <v/>
      </c>
      <c r="I468" s="392" t="n"/>
    </row>
    <row r="469">
      <c r="A469" s="392" t="n"/>
      <c r="B469" s="392" t="n"/>
      <c r="C469" s="392" t="n"/>
      <c r="D469" s="392" t="n"/>
      <c r="E469" s="392" t="n"/>
      <c r="F469" s="394" t="n"/>
      <c r="G469" s="604">
        <f>IFERROR(INDEX(⑱中間品単価!$H$5:$H$443,MATCH($C469,⑱中間品単価!$B$5:$B$443,0)),"")</f>
        <v/>
      </c>
      <c r="H469" s="396">
        <f>IF(AND(ISNUMBER($F469),ISNUMBER($G469)),$F469*$G469,"")</f>
        <v/>
      </c>
      <c r="I469" s="392" t="n"/>
    </row>
    <row r="470">
      <c r="A470" s="392" t="n"/>
      <c r="B470" s="392" t="n"/>
      <c r="C470" s="392" t="n"/>
      <c r="D470" s="392" t="n"/>
      <c r="E470" s="392" t="n"/>
      <c r="F470" s="394" t="n"/>
      <c r="G470" s="604">
        <f>IFERROR(INDEX(⑱中間品単価!$H$5:$H$443,MATCH($C470,⑱中間品単価!$B$5:$B$443,0)),"")</f>
        <v/>
      </c>
      <c r="H470" s="396">
        <f>IF(AND(ISNUMBER($F470),ISNUMBER($G470)),$F470*$G470,"")</f>
        <v/>
      </c>
      <c r="I470" s="392" t="n"/>
    </row>
    <row r="471">
      <c r="A471" s="392" t="n"/>
      <c r="B471" s="392" t="n"/>
      <c r="C471" s="392" t="n"/>
      <c r="D471" s="392" t="n"/>
      <c r="E471" s="392" t="n"/>
      <c r="F471" s="394" t="n"/>
      <c r="G471" s="604">
        <f>IFERROR(INDEX(⑱中間品単価!$H$5:$H$443,MATCH($C471,⑱中間品単価!$B$5:$B$443,0)),"")</f>
        <v/>
      </c>
      <c r="H471" s="396">
        <f>IF(AND(ISNUMBER($F471),ISNUMBER($G471)),$F471*$G471,"")</f>
        <v/>
      </c>
      <c r="I471" s="392" t="n"/>
    </row>
    <row r="472">
      <c r="A472" s="392" t="n"/>
      <c r="B472" s="392" t="n"/>
      <c r="C472" s="392" t="n"/>
      <c r="D472" s="392" t="n"/>
      <c r="E472" s="392" t="n"/>
      <c r="F472" s="394" t="n"/>
      <c r="G472" s="604">
        <f>IFERROR(INDEX(⑱中間品単価!$H$5:$H$443,MATCH($C472,⑱中間品単価!$B$5:$B$443,0)),"")</f>
        <v/>
      </c>
      <c r="H472" s="396">
        <f>IF(AND(ISNUMBER($F472),ISNUMBER($G472)),$F472*$G472,"")</f>
        <v/>
      </c>
      <c r="I472" s="392" t="n"/>
    </row>
    <row r="473">
      <c r="A473" s="392" t="n"/>
      <c r="B473" s="392" t="n"/>
      <c r="C473" s="392" t="n"/>
      <c r="D473" s="392" t="n"/>
      <c r="E473" s="392" t="n"/>
      <c r="F473" s="394" t="n"/>
      <c r="G473" s="604">
        <f>IFERROR(INDEX(⑱中間品単価!$H$5:$H$443,MATCH($C473,⑱中間品単価!$B$5:$B$443,0)),"")</f>
        <v/>
      </c>
      <c r="H473" s="396">
        <f>IF(AND(ISNUMBER($F473),ISNUMBER($G473)),$F473*$G473,"")</f>
        <v/>
      </c>
      <c r="I473" s="392" t="n"/>
    </row>
    <row r="474">
      <c r="A474" s="392" t="n"/>
      <c r="B474" s="392" t="n"/>
      <c r="C474" s="392" t="n"/>
      <c r="D474" s="392" t="n"/>
      <c r="E474" s="392" t="n"/>
      <c r="F474" s="394" t="n"/>
      <c r="G474" s="604">
        <f>IFERROR(INDEX(⑱中間品単価!$H$5:$H$443,MATCH($C474,⑱中間品単価!$B$5:$B$443,0)),"")</f>
        <v/>
      </c>
      <c r="H474" s="396">
        <f>IF(AND(ISNUMBER($F474),ISNUMBER($G474)),$F474*$G474,"")</f>
        <v/>
      </c>
      <c r="I474" s="392" t="n"/>
    </row>
    <row r="475">
      <c r="A475" s="392" t="n"/>
      <c r="B475" s="392" t="n"/>
      <c r="C475" s="392" t="n"/>
      <c r="D475" s="392" t="n"/>
      <c r="E475" s="392" t="n"/>
      <c r="F475" s="394" t="n"/>
      <c r="G475" s="604">
        <f>IFERROR(INDEX(⑱中間品単価!$H$5:$H$443,MATCH($C475,⑱中間品単価!$B$5:$B$443,0)),"")</f>
        <v/>
      </c>
      <c r="H475" s="396">
        <f>IF(AND(ISNUMBER($F475),ISNUMBER($G475)),$F475*$G475,"")</f>
        <v/>
      </c>
      <c r="I475" s="392" t="n"/>
    </row>
    <row r="476">
      <c r="A476" s="392" t="n"/>
      <c r="B476" s="392" t="n"/>
      <c r="C476" s="392" t="n"/>
      <c r="D476" s="392" t="n"/>
      <c r="E476" s="392" t="n"/>
      <c r="F476" s="394" t="n"/>
      <c r="G476" s="604">
        <f>IFERROR(INDEX(⑱中間品単価!$H$5:$H$443,MATCH($C476,⑱中間品単価!$B$5:$B$443,0)),"")</f>
        <v/>
      </c>
      <c r="H476" s="396">
        <f>IF(AND(ISNUMBER($F476),ISNUMBER($G476)),$F476*$G476,"")</f>
        <v/>
      </c>
      <c r="I476" s="392" t="n"/>
    </row>
    <row r="477">
      <c r="A477" s="392" t="n"/>
      <c r="B477" s="392" t="n"/>
      <c r="C477" s="392" t="n"/>
      <c r="D477" s="392" t="n"/>
      <c r="E477" s="392" t="n"/>
      <c r="F477" s="394" t="n"/>
      <c r="G477" s="604">
        <f>IFERROR(INDEX(⑱中間品単価!$H$5:$H$443,MATCH($C477,⑱中間品単価!$B$5:$B$443,0)),"")</f>
        <v/>
      </c>
      <c r="H477" s="396">
        <f>IF(AND(ISNUMBER($F477),ISNUMBER($G477)),$F477*$G477,"")</f>
        <v/>
      </c>
      <c r="I477" s="392" t="n"/>
    </row>
    <row r="478">
      <c r="A478" s="392" t="n"/>
      <c r="B478" s="392" t="n"/>
      <c r="C478" s="392" t="n"/>
      <c r="D478" s="392" t="n"/>
      <c r="E478" s="392" t="n"/>
      <c r="F478" s="394" t="n"/>
      <c r="G478" s="604">
        <f>IFERROR(INDEX(⑱中間品単価!$H$5:$H$443,MATCH($C478,⑱中間品単価!$B$5:$B$443,0)),"")</f>
        <v/>
      </c>
      <c r="H478" s="396">
        <f>IF(AND(ISNUMBER($F478),ISNUMBER($G478)),$F478*$G478,"")</f>
        <v/>
      </c>
      <c r="I478" s="392" t="n"/>
    </row>
    <row r="479">
      <c r="A479" s="392" t="n"/>
      <c r="B479" s="392" t="n"/>
      <c r="C479" s="392" t="n"/>
      <c r="D479" s="392" t="n"/>
      <c r="E479" s="392" t="n"/>
      <c r="F479" s="394" t="n"/>
      <c r="G479" s="604">
        <f>IFERROR(INDEX(⑱中間品単価!$H$5:$H$443,MATCH($C479,⑱中間品単価!$B$5:$B$443,0)),"")</f>
        <v/>
      </c>
      <c r="H479" s="396">
        <f>IF(AND(ISNUMBER($F479),ISNUMBER($G479)),$F479*$G479,"")</f>
        <v/>
      </c>
      <c r="I479" s="392" t="n"/>
    </row>
    <row r="480">
      <c r="A480" s="392" t="n"/>
      <c r="B480" s="392" t="n"/>
      <c r="C480" s="392" t="n"/>
      <c r="D480" s="392" t="n"/>
      <c r="E480" s="392" t="n"/>
      <c r="F480" s="394" t="n"/>
      <c r="G480" s="604">
        <f>IFERROR(INDEX(⑱中間品単価!$H$5:$H$443,MATCH($C480,⑱中間品単価!$B$5:$B$443,0)),"")</f>
        <v/>
      </c>
      <c r="H480" s="396">
        <f>IF(AND(ISNUMBER($F480),ISNUMBER($G480)),$F480*$G480,"")</f>
        <v/>
      </c>
      <c r="I480" s="392" t="n"/>
    </row>
    <row r="481">
      <c r="A481" s="392" t="n"/>
      <c r="B481" s="392" t="n"/>
      <c r="C481" s="392" t="n"/>
      <c r="D481" s="392" t="n"/>
      <c r="E481" s="392" t="n"/>
      <c r="F481" s="394" t="n"/>
      <c r="G481" s="604">
        <f>IFERROR(INDEX(⑱中間品単価!$H$5:$H$443,MATCH($C481,⑱中間品単価!$B$5:$B$443,0)),"")</f>
        <v/>
      </c>
      <c r="H481" s="396">
        <f>IF(AND(ISNUMBER($F481),ISNUMBER($G481)),$F481*$G481,"")</f>
        <v/>
      </c>
      <c r="I481" s="392" t="n"/>
    </row>
    <row r="482">
      <c r="A482" s="392" t="n"/>
      <c r="B482" s="392" t="n"/>
      <c r="C482" s="392" t="n"/>
      <c r="D482" s="392" t="n"/>
      <c r="E482" s="392" t="n"/>
      <c r="F482" s="394" t="n"/>
      <c r="G482" s="604">
        <f>IFERROR(INDEX(⑱中間品単価!$H$5:$H$443,MATCH($C482,⑱中間品単価!$B$5:$B$443,0)),"")</f>
        <v/>
      </c>
      <c r="H482" s="396">
        <f>IF(AND(ISNUMBER($F482),ISNUMBER($G482)),$F482*$G482,"")</f>
        <v/>
      </c>
      <c r="I482" s="392" t="n"/>
    </row>
    <row r="483">
      <c r="A483" s="392" t="n"/>
      <c r="B483" s="392" t="n"/>
      <c r="C483" s="392" t="n"/>
      <c r="D483" s="392" t="n"/>
      <c r="E483" s="392" t="n"/>
      <c r="F483" s="394" t="n"/>
      <c r="G483" s="604">
        <f>IFERROR(INDEX(⑱中間品単価!$H$5:$H$443,MATCH($C483,⑱中間品単価!$B$5:$B$443,0)),"")</f>
        <v/>
      </c>
      <c r="H483" s="396">
        <f>IF(AND(ISNUMBER($F483),ISNUMBER($G483)),$F483*$G483,"")</f>
        <v/>
      </c>
      <c r="I483" s="392" t="n"/>
    </row>
    <row r="484">
      <c r="A484" s="392" t="n"/>
      <c r="B484" s="392" t="n"/>
      <c r="C484" s="392" t="n"/>
      <c r="D484" s="392" t="n"/>
      <c r="E484" s="392" t="n"/>
      <c r="F484" s="394" t="n"/>
      <c r="G484" s="604">
        <f>IFERROR(INDEX(⑱中間品単価!$H$5:$H$443,MATCH($C484,⑱中間品単価!$B$5:$B$443,0)),"")</f>
        <v/>
      </c>
      <c r="H484" s="396">
        <f>IF(AND(ISNUMBER($F484),ISNUMBER($G484)),$F484*$G484,"")</f>
        <v/>
      </c>
      <c r="I484" s="392" t="n"/>
    </row>
    <row r="485">
      <c r="A485" s="392" t="n"/>
      <c r="B485" s="392" t="n"/>
      <c r="C485" s="392" t="n"/>
      <c r="D485" s="392" t="n"/>
      <c r="E485" s="392" t="n"/>
      <c r="F485" s="394" t="n"/>
      <c r="G485" s="604">
        <f>IFERROR(INDEX(⑱中間品単価!$H$5:$H$443,MATCH($C485,⑱中間品単価!$B$5:$B$443,0)),"")</f>
        <v/>
      </c>
      <c r="H485" s="396">
        <f>IF(AND(ISNUMBER($F485),ISNUMBER($G485)),$F485*$G485,"")</f>
        <v/>
      </c>
      <c r="I485" s="392" t="n"/>
    </row>
    <row r="486">
      <c r="A486" s="392" t="n"/>
      <c r="B486" s="392" t="n"/>
      <c r="C486" s="392" t="n"/>
      <c r="D486" s="392" t="n"/>
      <c r="E486" s="392" t="n"/>
      <c r="F486" s="394" t="n"/>
      <c r="G486" s="604">
        <f>IFERROR(INDEX(⑱中間品単価!$H$5:$H$443,MATCH($C486,⑱中間品単価!$B$5:$B$443,0)),"")</f>
        <v/>
      </c>
      <c r="H486" s="396">
        <f>IF(AND(ISNUMBER($F486),ISNUMBER($G486)),$F486*$G486,"")</f>
        <v/>
      </c>
      <c r="I486" s="392" t="n"/>
    </row>
    <row r="487">
      <c r="A487" s="392" t="n"/>
      <c r="B487" s="392" t="n"/>
      <c r="C487" s="392" t="n"/>
      <c r="D487" s="392" t="n"/>
      <c r="E487" s="392" t="n"/>
      <c r="F487" s="394" t="n"/>
      <c r="G487" s="604">
        <f>IFERROR(INDEX(⑱中間品単価!$H$5:$H$443,MATCH($C487,⑱中間品単価!$B$5:$B$443,0)),"")</f>
        <v/>
      </c>
      <c r="H487" s="396">
        <f>IF(AND(ISNUMBER($F487),ISNUMBER($G487)),$F487*$G487,"")</f>
        <v/>
      </c>
      <c r="I487" s="392" t="n"/>
    </row>
    <row r="488">
      <c r="A488" s="392" t="n"/>
      <c r="B488" s="392" t="n"/>
      <c r="C488" s="392" t="n"/>
      <c r="D488" s="392" t="n"/>
      <c r="E488" s="392" t="n"/>
      <c r="F488" s="394" t="n"/>
      <c r="G488" s="604">
        <f>IFERROR(INDEX(⑱中間品単価!$H$5:$H$443,MATCH($C488,⑱中間品単価!$B$5:$B$443,0)),"")</f>
        <v/>
      </c>
      <c r="H488" s="396">
        <f>IF(AND(ISNUMBER($F488),ISNUMBER($G488)),$F488*$G488,"")</f>
        <v/>
      </c>
      <c r="I488" s="392" t="n"/>
    </row>
    <row r="489">
      <c r="A489" s="392" t="n"/>
      <c r="B489" s="392" t="n"/>
      <c r="C489" s="392" t="n"/>
      <c r="D489" s="392" t="n"/>
      <c r="E489" s="392" t="n"/>
      <c r="F489" s="394" t="n"/>
      <c r="G489" s="604">
        <f>IFERROR(INDEX(⑱中間品単価!$H$5:$H$443,MATCH($C489,⑱中間品単価!$B$5:$B$443,0)),"")</f>
        <v/>
      </c>
      <c r="H489" s="396">
        <f>IF(AND(ISNUMBER($F489),ISNUMBER($G489)),$F489*$G489,"")</f>
        <v/>
      </c>
      <c r="I489" s="392" t="n"/>
    </row>
    <row r="490">
      <c r="A490" s="392" t="n"/>
      <c r="B490" s="392" t="n"/>
      <c r="C490" s="392" t="n"/>
      <c r="D490" s="392" t="n"/>
      <c r="E490" s="392" t="n"/>
      <c r="F490" s="394" t="n"/>
      <c r="G490" s="604">
        <f>IFERROR(INDEX(⑱中間品単価!$H$5:$H$443,MATCH($C490,⑱中間品単価!$B$5:$B$443,0)),"")</f>
        <v/>
      </c>
      <c r="H490" s="396">
        <f>IF(AND(ISNUMBER($F490),ISNUMBER($G490)),$F490*$G490,"")</f>
        <v/>
      </c>
      <c r="I490" s="392" t="n"/>
    </row>
    <row r="491">
      <c r="A491" s="392" t="n"/>
      <c r="B491" s="392" t="n"/>
      <c r="C491" s="392" t="n"/>
      <c r="D491" s="392" t="n"/>
      <c r="E491" s="392" t="n"/>
      <c r="F491" s="394" t="n"/>
      <c r="G491" s="604">
        <f>IFERROR(INDEX(⑱中間品単価!$H$5:$H$443,MATCH($C491,⑱中間品単価!$B$5:$B$443,0)),"")</f>
        <v/>
      </c>
      <c r="H491" s="396">
        <f>IF(AND(ISNUMBER($F491),ISNUMBER($G491)),$F491*$G491,"")</f>
        <v/>
      </c>
      <c r="I491" s="392" t="n"/>
    </row>
    <row r="492">
      <c r="A492" s="392" t="n"/>
      <c r="B492" s="392" t="n"/>
      <c r="C492" s="392" t="n"/>
      <c r="D492" s="392" t="n"/>
      <c r="E492" s="392" t="n"/>
      <c r="F492" s="394" t="n"/>
      <c r="G492" s="604">
        <f>IFERROR(INDEX(⑱中間品単価!$H$5:$H$443,MATCH($C492,⑱中間品単価!$B$5:$B$443,0)),"")</f>
        <v/>
      </c>
      <c r="H492" s="396">
        <f>IF(AND(ISNUMBER($F492),ISNUMBER($G492)),$F492*$G492,"")</f>
        <v/>
      </c>
      <c r="I492" s="392" t="n"/>
    </row>
    <row r="493">
      <c r="A493" s="392" t="n"/>
      <c r="B493" s="392" t="n"/>
      <c r="C493" s="392" t="n"/>
      <c r="D493" s="392" t="n"/>
      <c r="E493" s="392" t="n"/>
      <c r="F493" s="394" t="n"/>
      <c r="G493" s="604">
        <f>IFERROR(INDEX(⑱中間品単価!$H$5:$H$443,MATCH($C493,⑱中間品単価!$B$5:$B$443,0)),"")</f>
        <v/>
      </c>
      <c r="H493" s="396">
        <f>IF(AND(ISNUMBER($F493),ISNUMBER($G493)),$F493*$G493,"")</f>
        <v/>
      </c>
      <c r="I493" s="392" t="n"/>
    </row>
    <row r="494">
      <c r="A494" s="392" t="n"/>
      <c r="B494" s="392" t="n"/>
      <c r="C494" s="392" t="n"/>
      <c r="D494" s="392" t="n"/>
      <c r="E494" s="392" t="n"/>
      <c r="F494" s="394" t="n"/>
      <c r="G494" s="604">
        <f>IFERROR(INDEX(⑱中間品単価!$H$5:$H$443,MATCH($C494,⑱中間品単価!$B$5:$B$443,0)),"")</f>
        <v/>
      </c>
      <c r="H494" s="396">
        <f>IF(AND(ISNUMBER($F494),ISNUMBER($G494)),$F494*$G494,"")</f>
        <v/>
      </c>
      <c r="I494" s="392" t="n"/>
    </row>
    <row r="495">
      <c r="A495" s="392" t="n"/>
      <c r="B495" s="392" t="n"/>
      <c r="C495" s="392" t="n"/>
      <c r="D495" s="392" t="n"/>
      <c r="E495" s="392" t="n"/>
      <c r="F495" s="394" t="n"/>
      <c r="G495" s="604">
        <f>IFERROR(INDEX(⑱中間品単価!$H$5:$H$443,MATCH($C495,⑱中間品単価!$B$5:$B$443,0)),"")</f>
        <v/>
      </c>
      <c r="H495" s="396">
        <f>IF(AND(ISNUMBER($F495),ISNUMBER($G495)),$F495*$G495,"")</f>
        <v/>
      </c>
      <c r="I495" s="392" t="n"/>
    </row>
    <row r="496">
      <c r="A496" s="392" t="n"/>
      <c r="B496" s="392" t="n"/>
      <c r="C496" s="392" t="n"/>
      <c r="D496" s="392" t="n"/>
      <c r="E496" s="392" t="n"/>
      <c r="F496" s="394" t="n"/>
      <c r="G496" s="604">
        <f>IFERROR(INDEX(⑱中間品単価!$H$5:$H$443,MATCH($C496,⑱中間品単価!$B$5:$B$443,0)),"")</f>
        <v/>
      </c>
      <c r="H496" s="396">
        <f>IF(AND(ISNUMBER($F496),ISNUMBER($G496)),$F496*$G496,"")</f>
        <v/>
      </c>
      <c r="I496" s="392" t="n"/>
    </row>
    <row r="497">
      <c r="A497" s="392" t="n"/>
      <c r="B497" s="392" t="n"/>
      <c r="C497" s="392" t="n"/>
      <c r="D497" s="392" t="n"/>
      <c r="E497" s="392" t="n"/>
      <c r="F497" s="394" t="n"/>
      <c r="G497" s="604">
        <f>IFERROR(INDEX(⑱中間品単価!$H$5:$H$443,MATCH($C497,⑱中間品単価!$B$5:$B$443,0)),"")</f>
        <v/>
      </c>
      <c r="H497" s="396">
        <f>IF(AND(ISNUMBER($F497),ISNUMBER($G497)),$F497*$G497,"")</f>
        <v/>
      </c>
      <c r="I497" s="392" t="n"/>
    </row>
    <row r="498">
      <c r="A498" s="392" t="n"/>
      <c r="B498" s="392" t="n"/>
      <c r="C498" s="392" t="n"/>
      <c r="D498" s="392" t="n"/>
      <c r="E498" s="392" t="n"/>
      <c r="F498" s="394" t="n"/>
      <c r="G498" s="604">
        <f>IFERROR(INDEX(⑱中間品単価!$H$5:$H$443,MATCH($C498,⑱中間品単価!$B$5:$B$443,0)),"")</f>
        <v/>
      </c>
      <c r="H498" s="396">
        <f>IF(AND(ISNUMBER($F498),ISNUMBER($G498)),$F498*$G498,"")</f>
        <v/>
      </c>
      <c r="I498" s="392" t="n"/>
    </row>
    <row r="499">
      <c r="A499" s="392" t="n"/>
      <c r="B499" s="392" t="n"/>
      <c r="C499" s="392" t="n"/>
      <c r="D499" s="392" t="n"/>
      <c r="E499" s="392" t="n"/>
      <c r="F499" s="394" t="n"/>
      <c r="G499" s="604">
        <f>IFERROR(INDEX(⑱中間品単価!$H$5:$H$443,MATCH($C499,⑱中間品単価!$B$5:$B$443,0)),"")</f>
        <v/>
      </c>
      <c r="H499" s="396">
        <f>IF(AND(ISNUMBER($F499),ISNUMBER($G499)),$F499*$G499,"")</f>
        <v/>
      </c>
      <c r="I499" s="392" t="n"/>
    </row>
    <row r="500">
      <c r="A500" s="392" t="n"/>
      <c r="B500" s="392" t="n"/>
      <c r="C500" s="392" t="n"/>
      <c r="D500" s="392" t="n"/>
      <c r="E500" s="392" t="n"/>
      <c r="F500" s="394" t="n"/>
      <c r="G500" s="604">
        <f>IFERROR(INDEX(⑱中間品単価!$H$5:$H$443,MATCH($C500,⑱中間品単価!$B$5:$B$443,0)),"")</f>
        <v/>
      </c>
      <c r="H500" s="396">
        <f>IF(AND(ISNUMBER($F500),ISNUMBER($G500)),$F500*$G500,"")</f>
        <v/>
      </c>
      <c r="I500" s="392" t="n"/>
    </row>
    <row r="501">
      <c r="A501" s="392" t="n"/>
      <c r="B501" s="392" t="n"/>
      <c r="C501" s="392" t="n"/>
      <c r="D501" s="392" t="n"/>
      <c r="E501" s="392" t="n"/>
      <c r="F501" s="394" t="n"/>
      <c r="G501" s="604">
        <f>IFERROR(INDEX(⑱中間品単価!$H$5:$H$443,MATCH($C501,⑱中間品単価!$B$5:$B$443,0)),"")</f>
        <v/>
      </c>
      <c r="H501" s="396">
        <f>IF(AND(ISNUMBER($F501),ISNUMBER($G501)),$F501*$G501,"")</f>
        <v/>
      </c>
      <c r="I501" s="392" t="n"/>
    </row>
    <row r="502">
      <c r="A502" s="392" t="n"/>
      <c r="B502" s="392" t="n"/>
      <c r="C502" s="392" t="n"/>
      <c r="D502" s="392" t="n"/>
      <c r="E502" s="392" t="n"/>
      <c r="F502" s="394" t="n"/>
      <c r="G502" s="604">
        <f>IFERROR(INDEX(⑱中間品単価!$H$5:$H$443,MATCH($C502,⑱中間品単価!$B$5:$B$443,0)),"")</f>
        <v/>
      </c>
      <c r="H502" s="396">
        <f>IF(AND(ISNUMBER($F502),ISNUMBER($G502)),$F502*$G502,"")</f>
        <v/>
      </c>
      <c r="I502" s="392" t="n"/>
    </row>
    <row r="503">
      <c r="A503" s="392" t="n"/>
      <c r="B503" s="392" t="n"/>
      <c r="C503" s="392" t="n"/>
      <c r="D503" s="392" t="n"/>
      <c r="E503" s="392" t="n"/>
      <c r="F503" s="394" t="n"/>
      <c r="G503" s="604">
        <f>IFERROR(INDEX(⑱中間品単価!$H$5:$H$443,MATCH($C503,⑱中間品単価!$B$5:$B$443,0)),"")</f>
        <v/>
      </c>
      <c r="H503" s="396">
        <f>IF(AND(ISNUMBER($F503),ISNUMBER($G503)),$F503*$G503,"")</f>
        <v/>
      </c>
      <c r="I503" s="392" t="n"/>
    </row>
    <row r="504">
      <c r="A504" s="392" t="n"/>
      <c r="B504" s="392" t="n"/>
      <c r="C504" s="392" t="n"/>
      <c r="D504" s="392" t="n"/>
      <c r="E504" s="392" t="n"/>
      <c r="F504" s="394" t="n"/>
      <c r="G504" s="604">
        <f>IFERROR(INDEX(⑱中間品単価!$H$5:$H$443,MATCH($C504,⑱中間品単価!$B$5:$B$443,0)),"")</f>
        <v/>
      </c>
      <c r="H504" s="396">
        <f>IF(AND(ISNUMBER($F504),ISNUMBER($G504)),$F504*$G504,"")</f>
        <v/>
      </c>
      <c r="I504" s="392" t="n"/>
    </row>
    <row r="505">
      <c r="A505" s="392" t="n"/>
      <c r="B505" s="392" t="n"/>
      <c r="C505" s="392" t="n"/>
      <c r="D505" s="392" t="n"/>
      <c r="E505" s="392" t="n"/>
      <c r="F505" s="394" t="n"/>
      <c r="G505" s="604">
        <f>IFERROR(INDEX(⑱中間品単価!$H$5:$H$443,MATCH($C505,⑱中間品単価!$B$5:$B$443,0)),"")</f>
        <v/>
      </c>
      <c r="H505" s="396">
        <f>IF(AND(ISNUMBER($F505),ISNUMBER($G505)),$F505*$G505,"")</f>
        <v/>
      </c>
      <c r="I505" s="392" t="n"/>
    </row>
    <row r="506">
      <c r="A506" s="392" t="n"/>
      <c r="B506" s="392" t="n"/>
      <c r="C506" s="392" t="n"/>
      <c r="D506" s="392" t="n"/>
      <c r="E506" s="392" t="n"/>
      <c r="F506" s="394" t="n"/>
      <c r="G506" s="604">
        <f>IFERROR(INDEX(⑱中間品単価!$H$5:$H$443,MATCH($C506,⑱中間品単価!$B$5:$B$443,0)),"")</f>
        <v/>
      </c>
      <c r="H506" s="396">
        <f>IF(AND(ISNUMBER($F506),ISNUMBER($G506)),$F506*$G506,"")</f>
        <v/>
      </c>
      <c r="I506" s="392" t="n"/>
    </row>
    <row r="507">
      <c r="A507" s="392" t="n"/>
      <c r="B507" s="392" t="n"/>
      <c r="C507" s="392" t="n"/>
      <c r="D507" s="392" t="n"/>
      <c r="E507" s="392" t="n"/>
      <c r="F507" s="394" t="n"/>
      <c r="G507" s="604">
        <f>IFERROR(INDEX(⑱中間品単価!$H$5:$H$443,MATCH($C507,⑱中間品単価!$B$5:$B$443,0)),"")</f>
        <v/>
      </c>
      <c r="H507" s="396">
        <f>IF(AND(ISNUMBER($F507),ISNUMBER($G507)),$F507*$G507,"")</f>
        <v/>
      </c>
      <c r="I507" s="392" t="n"/>
    </row>
    <row r="508">
      <c r="A508" s="392" t="n"/>
      <c r="B508" s="392" t="n"/>
      <c r="C508" s="392" t="n"/>
      <c r="D508" s="392" t="n"/>
      <c r="E508" s="392" t="n"/>
      <c r="F508" s="394" t="n"/>
      <c r="G508" s="604">
        <f>IFERROR(INDEX(⑱中間品単価!$H$5:$H$443,MATCH($C508,⑱中間品単価!$B$5:$B$443,0)),"")</f>
        <v/>
      </c>
      <c r="H508" s="396">
        <f>IF(AND(ISNUMBER($F508),ISNUMBER($G508)),$F508*$G508,"")</f>
        <v/>
      </c>
      <c r="I508" s="392" t="n"/>
    </row>
    <row r="509">
      <c r="A509" s="392" t="n"/>
      <c r="B509" s="392" t="n"/>
      <c r="C509" s="392" t="n"/>
      <c r="D509" s="392" t="n"/>
      <c r="E509" s="392" t="n"/>
      <c r="F509" s="394" t="n"/>
      <c r="G509" s="604">
        <f>IFERROR(INDEX(⑱中間品単価!$H$5:$H$443,MATCH($C509,⑱中間品単価!$B$5:$B$443,0)),"")</f>
        <v/>
      </c>
      <c r="H509" s="396">
        <f>IF(AND(ISNUMBER($F509),ISNUMBER($G509)),$F509*$G509,"")</f>
        <v/>
      </c>
      <c r="I509" s="392" t="n"/>
    </row>
    <row r="510">
      <c r="A510" s="392" t="n"/>
      <c r="B510" s="392" t="n"/>
      <c r="C510" s="392" t="n"/>
      <c r="D510" s="392" t="n"/>
      <c r="E510" s="392" t="n"/>
      <c r="F510" s="394" t="n"/>
      <c r="G510" s="604">
        <f>IFERROR(INDEX(⑱中間品単価!$H$5:$H$443,MATCH($C510,⑱中間品単価!$B$5:$B$443,0)),"")</f>
        <v/>
      </c>
      <c r="H510" s="396">
        <f>IF(AND(ISNUMBER($F510),ISNUMBER($G510)),$F510*$G510,"")</f>
        <v/>
      </c>
      <c r="I510" s="392" t="n"/>
    </row>
    <row r="511">
      <c r="A511" s="392" t="n"/>
      <c r="B511" s="392" t="n"/>
      <c r="C511" s="392" t="n"/>
      <c r="D511" s="392" t="n"/>
      <c r="E511" s="392" t="n"/>
      <c r="F511" s="394" t="n"/>
      <c r="G511" s="604">
        <f>IFERROR(INDEX(⑱中間品単価!$H$5:$H$443,MATCH($C511,⑱中間品単価!$B$5:$B$443,0)),"")</f>
        <v/>
      </c>
      <c r="H511" s="396">
        <f>IF(AND(ISNUMBER($F511),ISNUMBER($G511)),$F511*$G511,"")</f>
        <v/>
      </c>
      <c r="I511" s="392" t="n"/>
    </row>
    <row r="512">
      <c r="A512" s="392" t="n"/>
      <c r="B512" s="392" t="n"/>
      <c r="C512" s="392" t="n"/>
      <c r="D512" s="392" t="n"/>
      <c r="E512" s="392" t="n"/>
      <c r="F512" s="394" t="n"/>
      <c r="G512" s="604">
        <f>IFERROR(INDEX(⑱中間品単価!$H$5:$H$443,MATCH($C512,⑱中間品単価!$B$5:$B$443,0)),"")</f>
        <v/>
      </c>
      <c r="H512" s="396">
        <f>IF(AND(ISNUMBER($F512),ISNUMBER($G512)),$F512*$G512,"")</f>
        <v/>
      </c>
      <c r="I512" s="392" t="n"/>
    </row>
    <row r="513">
      <c r="A513" s="392" t="n"/>
      <c r="B513" s="392" t="n"/>
      <c r="C513" s="392" t="n"/>
      <c r="D513" s="392" t="n"/>
      <c r="E513" s="392" t="n"/>
      <c r="F513" s="394" t="n"/>
      <c r="G513" s="604">
        <f>IFERROR(INDEX(⑱中間品単価!$H$5:$H$443,MATCH($C513,⑱中間品単価!$B$5:$B$443,0)),"")</f>
        <v/>
      </c>
      <c r="H513" s="396">
        <f>IF(AND(ISNUMBER($F513),ISNUMBER($G513)),$F513*$G513,"")</f>
        <v/>
      </c>
      <c r="I513" s="392" t="n"/>
    </row>
    <row r="514">
      <c r="A514" s="392" t="n"/>
      <c r="B514" s="392" t="n"/>
      <c r="C514" s="392" t="n"/>
      <c r="D514" s="392" t="n"/>
      <c r="E514" s="392" t="n"/>
      <c r="F514" s="394" t="n"/>
      <c r="G514" s="604">
        <f>IFERROR(INDEX(⑱中間品単価!$H$5:$H$443,MATCH($C514,⑱中間品単価!$B$5:$B$443,0)),"")</f>
        <v/>
      </c>
      <c r="H514" s="396">
        <f>IF(AND(ISNUMBER($F514),ISNUMBER($G514)),$F514*$G514,"")</f>
        <v/>
      </c>
      <c r="I514" s="392" t="n"/>
    </row>
    <row r="515">
      <c r="A515" s="392" t="n"/>
      <c r="B515" s="392" t="n"/>
      <c r="C515" s="392" t="n"/>
      <c r="D515" s="392" t="n"/>
      <c r="E515" s="392" t="n"/>
      <c r="F515" s="394" t="n"/>
      <c r="G515" s="604">
        <f>IFERROR(INDEX(⑱中間品単価!$H$5:$H$443,MATCH($C515,⑱中間品単価!$B$5:$B$443,0)),"")</f>
        <v/>
      </c>
      <c r="H515" s="396">
        <f>IF(AND(ISNUMBER($F515),ISNUMBER($G515)),$F515*$G515,"")</f>
        <v/>
      </c>
      <c r="I515" s="392" t="n"/>
    </row>
    <row r="516">
      <c r="A516" s="392" t="n"/>
      <c r="B516" s="392" t="n"/>
      <c r="C516" s="392" t="n"/>
      <c r="D516" s="392" t="n"/>
      <c r="E516" s="392" t="n"/>
      <c r="F516" s="394" t="n"/>
      <c r="G516" s="604">
        <f>IFERROR(INDEX(⑱中間品単価!$H$5:$H$443,MATCH($C516,⑱中間品単価!$B$5:$B$443,0)),"")</f>
        <v/>
      </c>
      <c r="H516" s="396">
        <f>IF(AND(ISNUMBER($F516),ISNUMBER($G516)),$F516*$G516,"")</f>
        <v/>
      </c>
      <c r="I516" s="392" t="n"/>
    </row>
    <row r="517">
      <c r="A517" s="392" t="n"/>
      <c r="B517" s="392" t="n"/>
      <c r="C517" s="392" t="n"/>
      <c r="D517" s="392" t="n"/>
      <c r="E517" s="392" t="n"/>
      <c r="F517" s="394" t="n"/>
      <c r="G517" s="604">
        <f>IFERROR(INDEX(⑱中間品単価!$H$5:$H$443,MATCH($C517,⑱中間品単価!$B$5:$B$443,0)),"")</f>
        <v/>
      </c>
      <c r="H517" s="396">
        <f>IF(AND(ISNUMBER($F517),ISNUMBER($G517)),$F517*$G517,"")</f>
        <v/>
      </c>
      <c r="I517" s="392" t="n"/>
    </row>
    <row r="518">
      <c r="A518" s="392" t="n"/>
      <c r="B518" s="392" t="n"/>
      <c r="C518" s="392" t="n"/>
      <c r="D518" s="392" t="n"/>
      <c r="E518" s="392" t="n"/>
      <c r="F518" s="394" t="n"/>
      <c r="G518" s="604">
        <f>IFERROR(INDEX(⑱中間品単価!$H$5:$H$443,MATCH($C518,⑱中間品単価!$B$5:$B$443,0)),"")</f>
        <v/>
      </c>
      <c r="H518" s="396">
        <f>IF(AND(ISNUMBER($F518),ISNUMBER($G518)),$F518*$G518,"")</f>
        <v/>
      </c>
      <c r="I518" s="392" t="n"/>
    </row>
    <row r="519">
      <c r="A519" s="392" t="n"/>
      <c r="B519" s="392" t="n"/>
      <c r="C519" s="392" t="n"/>
      <c r="D519" s="392" t="n"/>
      <c r="E519" s="392" t="n"/>
      <c r="F519" s="394" t="n"/>
      <c r="G519" s="604">
        <f>IFERROR(INDEX(⑱中間品単価!$H$5:$H$443,MATCH($C519,⑱中間品単価!$B$5:$B$443,0)),"")</f>
        <v/>
      </c>
      <c r="H519" s="396">
        <f>IF(AND(ISNUMBER($F519),ISNUMBER($G519)),$F519*$G519,"")</f>
        <v/>
      </c>
      <c r="I519" s="392" t="n"/>
    </row>
    <row r="520">
      <c r="A520" s="392" t="n"/>
      <c r="B520" s="392" t="n"/>
      <c r="C520" s="392" t="n"/>
      <c r="D520" s="392" t="n"/>
      <c r="E520" s="392" t="n"/>
      <c r="F520" s="394" t="n"/>
      <c r="G520" s="604">
        <f>IFERROR(INDEX(⑱中間品単価!$H$5:$H$443,MATCH($C520,⑱中間品単価!$B$5:$B$443,0)),"")</f>
        <v/>
      </c>
      <c r="H520" s="396">
        <f>IF(AND(ISNUMBER($F520),ISNUMBER($G520)),$F520*$G520,"")</f>
        <v/>
      </c>
      <c r="I520" s="392" t="n"/>
    </row>
    <row r="521">
      <c r="A521" s="392" t="n"/>
      <c r="B521" s="392" t="n"/>
      <c r="C521" s="392" t="n"/>
      <c r="D521" s="392" t="n"/>
      <c r="E521" s="392" t="n"/>
      <c r="F521" s="394" t="n"/>
      <c r="G521" s="604">
        <f>IFERROR(INDEX(⑱中間品単価!$H$5:$H$443,MATCH($C521,⑱中間品単価!$B$5:$B$443,0)),"")</f>
        <v/>
      </c>
      <c r="H521" s="396">
        <f>IF(AND(ISNUMBER($F521),ISNUMBER($G521)),$F521*$G521,"")</f>
        <v/>
      </c>
      <c r="I521" s="392" t="n"/>
    </row>
    <row r="522">
      <c r="A522" s="392" t="n"/>
      <c r="B522" s="392" t="n"/>
      <c r="C522" s="392" t="n"/>
      <c r="D522" s="392" t="n"/>
      <c r="E522" s="392" t="n"/>
      <c r="F522" s="394" t="n"/>
      <c r="G522" s="604">
        <f>IFERROR(INDEX(⑱中間品単価!$H$5:$H$443,MATCH($C522,⑱中間品単価!$B$5:$B$443,0)),"")</f>
        <v/>
      </c>
      <c r="H522" s="396">
        <f>IF(AND(ISNUMBER($F522),ISNUMBER($G522)),$F522*$G522,"")</f>
        <v/>
      </c>
      <c r="I522" s="392" t="n"/>
    </row>
    <row r="523">
      <c r="A523" s="392" t="n"/>
      <c r="B523" s="392" t="n"/>
      <c r="C523" s="392" t="n"/>
      <c r="D523" s="392" t="n"/>
      <c r="E523" s="392" t="n"/>
      <c r="F523" s="394" t="n"/>
      <c r="G523" s="604">
        <f>IFERROR(INDEX(⑱中間品単価!$H$5:$H$443,MATCH($C523,⑱中間品単価!$B$5:$B$443,0)),"")</f>
        <v/>
      </c>
      <c r="H523" s="396">
        <f>IF(AND(ISNUMBER($F523),ISNUMBER($G523)),$F523*$G523,"")</f>
        <v/>
      </c>
      <c r="I523" s="392" t="n"/>
    </row>
    <row r="524">
      <c r="A524" s="392" t="n"/>
      <c r="B524" s="392" t="n"/>
      <c r="C524" s="392" t="n"/>
      <c r="D524" s="392" t="n"/>
      <c r="E524" s="392" t="n"/>
      <c r="F524" s="394" t="n"/>
      <c r="G524" s="604">
        <f>IFERROR(INDEX(⑱中間品単価!$H$5:$H$443,MATCH($C524,⑱中間品単価!$B$5:$B$443,0)),"")</f>
        <v/>
      </c>
      <c r="H524" s="396">
        <f>IF(AND(ISNUMBER($F524),ISNUMBER($G524)),$F524*$G524,"")</f>
        <v/>
      </c>
      <c r="I524" s="392" t="n"/>
    </row>
    <row r="525">
      <c r="A525" s="392" t="n"/>
      <c r="B525" s="392" t="n"/>
      <c r="C525" s="392" t="n"/>
      <c r="D525" s="392" t="n"/>
      <c r="E525" s="392" t="n"/>
      <c r="F525" s="394" t="n"/>
      <c r="G525" s="604">
        <f>IFERROR(INDEX(⑱中間品単価!$H$5:$H$443,MATCH($C525,⑱中間品単価!$B$5:$B$443,0)),"")</f>
        <v/>
      </c>
      <c r="H525" s="396">
        <f>IF(AND(ISNUMBER($F525),ISNUMBER($G525)),$F525*$G525,"")</f>
        <v/>
      </c>
      <c r="I525" s="392" t="n"/>
    </row>
    <row r="526">
      <c r="A526" s="392" t="n"/>
      <c r="B526" s="392" t="n"/>
      <c r="C526" s="392" t="n"/>
      <c r="D526" s="392" t="n"/>
      <c r="E526" s="392" t="n"/>
      <c r="F526" s="394" t="n"/>
      <c r="G526" s="604">
        <f>IFERROR(INDEX(⑱中間品単価!$H$5:$H$443,MATCH($C526,⑱中間品単価!$B$5:$B$443,0)),"")</f>
        <v/>
      </c>
      <c r="H526" s="396">
        <f>IF(AND(ISNUMBER($F526),ISNUMBER($G526)),$F526*$G526,"")</f>
        <v/>
      </c>
      <c r="I526" s="392" t="n"/>
    </row>
    <row r="527">
      <c r="A527" s="392" t="n"/>
      <c r="B527" s="392" t="n"/>
      <c r="C527" s="392" t="n"/>
      <c r="D527" s="392" t="n"/>
      <c r="E527" s="392" t="n"/>
      <c r="F527" s="394" t="n"/>
      <c r="G527" s="604">
        <f>IFERROR(INDEX(⑱中間品単価!$H$5:$H$443,MATCH($C527,⑱中間品単価!$B$5:$B$443,0)),"")</f>
        <v/>
      </c>
      <c r="H527" s="396">
        <f>IF(AND(ISNUMBER($F527),ISNUMBER($G527)),$F527*$G527,"")</f>
        <v/>
      </c>
      <c r="I527" s="392" t="n"/>
    </row>
    <row r="528">
      <c r="A528" s="392" t="n"/>
      <c r="B528" s="392" t="n"/>
      <c r="C528" s="392" t="n"/>
      <c r="D528" s="392" t="n"/>
      <c r="E528" s="392" t="n"/>
      <c r="F528" s="394" t="n"/>
      <c r="G528" s="604">
        <f>IFERROR(INDEX(⑱中間品単価!$H$5:$H$443,MATCH($C528,⑱中間品単価!$B$5:$B$443,0)),"")</f>
        <v/>
      </c>
      <c r="H528" s="396">
        <f>IF(AND(ISNUMBER($F528),ISNUMBER($G528)),$F528*$G528,"")</f>
        <v/>
      </c>
      <c r="I528" s="392" t="n"/>
    </row>
    <row r="529">
      <c r="A529" s="392" t="n"/>
      <c r="B529" s="392" t="n"/>
      <c r="C529" s="392" t="n"/>
      <c r="D529" s="392" t="n"/>
      <c r="E529" s="392" t="n"/>
      <c r="F529" s="394" t="n"/>
      <c r="G529" s="604">
        <f>IFERROR(INDEX(⑱中間品単価!$H$5:$H$443,MATCH($C529,⑱中間品単価!$B$5:$B$443,0)),"")</f>
        <v/>
      </c>
      <c r="H529" s="396">
        <f>IF(AND(ISNUMBER($F529),ISNUMBER($G529)),$F529*$G529,"")</f>
        <v/>
      </c>
      <c r="I529" s="392" t="n"/>
    </row>
    <row r="530">
      <c r="A530" s="392" t="n"/>
      <c r="B530" s="392" t="n"/>
      <c r="C530" s="392" t="n"/>
      <c r="D530" s="392" t="n"/>
      <c r="E530" s="392" t="n"/>
      <c r="F530" s="394" t="n"/>
      <c r="G530" s="604">
        <f>IFERROR(INDEX(⑱中間品単価!$H$5:$H$443,MATCH($C530,⑱中間品単価!$B$5:$B$443,0)),"")</f>
        <v/>
      </c>
      <c r="H530" s="396">
        <f>IF(AND(ISNUMBER($F530),ISNUMBER($G530)),$F530*$G530,"")</f>
        <v/>
      </c>
      <c r="I530" s="392" t="n"/>
    </row>
    <row r="531">
      <c r="A531" s="392" t="n"/>
      <c r="B531" s="392" t="n"/>
      <c r="C531" s="392" t="n"/>
      <c r="D531" s="392" t="n"/>
      <c r="E531" s="392" t="n"/>
      <c r="F531" s="394" t="n"/>
      <c r="G531" s="604">
        <f>IFERROR(INDEX(⑱中間品単価!$H$5:$H$443,MATCH($C531,⑱中間品単価!$B$5:$B$443,0)),"")</f>
        <v/>
      </c>
      <c r="H531" s="396">
        <f>IF(AND(ISNUMBER($F531),ISNUMBER($G531)),$F531*$G531,"")</f>
        <v/>
      </c>
      <c r="I531" s="392" t="n"/>
    </row>
    <row r="532">
      <c r="A532" s="392" t="n"/>
      <c r="B532" s="392" t="n"/>
      <c r="C532" s="392" t="n"/>
      <c r="D532" s="392" t="n"/>
      <c r="E532" s="392" t="n"/>
      <c r="F532" s="394" t="n"/>
      <c r="G532" s="604">
        <f>IFERROR(INDEX(⑱中間品単価!$H$5:$H$443,MATCH($C532,⑱中間品単価!$B$5:$B$443,0)),"")</f>
        <v/>
      </c>
      <c r="H532" s="396">
        <f>IF(AND(ISNUMBER($F532),ISNUMBER($G532)),$F532*$G532,"")</f>
        <v/>
      </c>
      <c r="I532" s="392" t="n"/>
    </row>
    <row r="533">
      <c r="A533" s="392" t="n"/>
      <c r="B533" s="392" t="n"/>
      <c r="C533" s="392" t="n"/>
      <c r="D533" s="392" t="n"/>
      <c r="E533" s="392" t="n"/>
      <c r="F533" s="394" t="n"/>
      <c r="G533" s="604">
        <f>IFERROR(INDEX(⑱中間品単価!$H$5:$H$443,MATCH($C533,⑱中間品単価!$B$5:$B$443,0)),"")</f>
        <v/>
      </c>
      <c r="H533" s="396">
        <f>IF(AND(ISNUMBER($F533),ISNUMBER($G533)),$F533*$G533,"")</f>
        <v/>
      </c>
      <c r="I533" s="392" t="n"/>
    </row>
    <row r="534">
      <c r="A534" s="392" t="n"/>
      <c r="B534" s="392" t="n"/>
      <c r="C534" s="392" t="n"/>
      <c r="D534" s="392" t="n"/>
      <c r="E534" s="392" t="n"/>
      <c r="F534" s="394" t="n"/>
      <c r="G534" s="604">
        <f>IFERROR(INDEX(⑱中間品単価!$H$5:$H$443,MATCH($C534,⑱中間品単価!$B$5:$B$443,0)),"")</f>
        <v/>
      </c>
      <c r="H534" s="396">
        <f>IF(AND(ISNUMBER($F534),ISNUMBER($G534)),$F534*$G534,"")</f>
        <v/>
      </c>
      <c r="I534" s="392" t="n"/>
    </row>
    <row r="535">
      <c r="A535" s="392" t="n"/>
      <c r="B535" s="392" t="n"/>
      <c r="C535" s="392" t="n"/>
      <c r="D535" s="392" t="n"/>
      <c r="E535" s="392" t="n"/>
      <c r="F535" s="394" t="n"/>
      <c r="G535" s="604">
        <f>IFERROR(INDEX(⑱中間品単価!$H$5:$H$443,MATCH($C535,⑱中間品単価!$B$5:$B$443,0)),"")</f>
        <v/>
      </c>
      <c r="H535" s="396">
        <f>IF(AND(ISNUMBER($F535),ISNUMBER($G535)),$F535*$G535,"")</f>
        <v/>
      </c>
      <c r="I535" s="392" t="n"/>
    </row>
    <row r="536">
      <c r="A536" s="392" t="n"/>
      <c r="B536" s="392" t="n"/>
      <c r="C536" s="392" t="n"/>
      <c r="D536" s="392" t="n"/>
      <c r="E536" s="392" t="n"/>
      <c r="F536" s="394" t="n"/>
      <c r="G536" s="604">
        <f>IFERROR(INDEX(⑱中間品単価!$H$5:$H$443,MATCH($C536,⑱中間品単価!$B$5:$B$443,0)),"")</f>
        <v/>
      </c>
      <c r="H536" s="396">
        <f>IF(AND(ISNUMBER($F536),ISNUMBER($G536)),$F536*$G536,"")</f>
        <v/>
      </c>
      <c r="I536" s="392" t="n"/>
    </row>
    <row r="537">
      <c r="A537" s="392" t="n"/>
      <c r="B537" s="392" t="n"/>
      <c r="C537" s="392" t="n"/>
      <c r="D537" s="392" t="n"/>
      <c r="E537" s="392" t="n"/>
      <c r="F537" s="394" t="n"/>
      <c r="G537" s="604">
        <f>IFERROR(INDEX(⑱中間品単価!$H$5:$H$443,MATCH($C537,⑱中間品単価!$B$5:$B$443,0)),"")</f>
        <v/>
      </c>
      <c r="H537" s="396">
        <f>IF(AND(ISNUMBER($F537),ISNUMBER($G537)),$F537*$G537,"")</f>
        <v/>
      </c>
      <c r="I537" s="392" t="n"/>
    </row>
    <row r="538">
      <c r="A538" s="392" t="n"/>
      <c r="B538" s="392" t="n"/>
      <c r="C538" s="392" t="n"/>
      <c r="D538" s="392" t="n"/>
      <c r="E538" s="392" t="n"/>
      <c r="F538" s="394" t="n"/>
      <c r="G538" s="604">
        <f>IFERROR(INDEX(⑱中間品単価!$H$5:$H$443,MATCH($C538,⑱中間品単価!$B$5:$B$443,0)),"")</f>
        <v/>
      </c>
      <c r="H538" s="396">
        <f>IF(AND(ISNUMBER($F538),ISNUMBER($G538)),$F538*$G538,"")</f>
        <v/>
      </c>
      <c r="I538" s="392" t="n"/>
    </row>
    <row r="539">
      <c r="A539" s="392" t="n"/>
      <c r="B539" s="392" t="n"/>
      <c r="C539" s="392" t="n"/>
      <c r="D539" s="392" t="n"/>
      <c r="E539" s="392" t="n"/>
      <c r="F539" s="394" t="n"/>
      <c r="G539" s="604">
        <f>IFERROR(INDEX(⑱中間品単価!$H$5:$H$443,MATCH($C539,⑱中間品単価!$B$5:$B$443,0)),"")</f>
        <v/>
      </c>
      <c r="H539" s="396">
        <f>IF(AND(ISNUMBER($F539),ISNUMBER($G539)),$F539*$G539,"")</f>
        <v/>
      </c>
      <c r="I539" s="392" t="n"/>
    </row>
    <row r="540">
      <c r="A540" s="392" t="n"/>
      <c r="B540" s="392" t="n"/>
      <c r="C540" s="392" t="n"/>
      <c r="D540" s="392" t="n"/>
      <c r="E540" s="392" t="n"/>
      <c r="F540" s="394" t="n"/>
      <c r="G540" s="604">
        <f>IFERROR(INDEX(⑱中間品単価!$H$5:$H$443,MATCH($C540,⑱中間品単価!$B$5:$B$443,0)),"")</f>
        <v/>
      </c>
      <c r="H540" s="396">
        <f>IF(AND(ISNUMBER($F540),ISNUMBER($G540)),$F540*$G540,"")</f>
        <v/>
      </c>
      <c r="I540" s="392" t="n"/>
    </row>
    <row r="541">
      <c r="A541" s="392" t="n"/>
      <c r="B541" s="392" t="n"/>
      <c r="C541" s="392" t="n"/>
      <c r="D541" s="392" t="n"/>
      <c r="E541" s="392" t="n"/>
      <c r="F541" s="394" t="n"/>
      <c r="G541" s="604">
        <f>IFERROR(INDEX(⑱中間品単価!$H$5:$H$443,MATCH($C541,⑱中間品単価!$B$5:$B$443,0)),"")</f>
        <v/>
      </c>
      <c r="H541" s="396">
        <f>IF(AND(ISNUMBER($F541),ISNUMBER($G541)),$F541*$G541,"")</f>
        <v/>
      </c>
      <c r="I541" s="392" t="n"/>
    </row>
    <row r="542">
      <c r="A542" s="392" t="n"/>
      <c r="B542" s="392" t="n"/>
      <c r="C542" s="392" t="n"/>
      <c r="D542" s="392" t="n"/>
      <c r="E542" s="392" t="n"/>
      <c r="F542" s="394" t="n"/>
      <c r="G542" s="604">
        <f>IFERROR(INDEX(⑱中間品単価!$H$5:$H$443,MATCH($C542,⑱中間品単価!$B$5:$B$443,0)),"")</f>
        <v/>
      </c>
      <c r="H542" s="396">
        <f>IF(AND(ISNUMBER($F542),ISNUMBER($G542)),$F542*$G542,"")</f>
        <v/>
      </c>
      <c r="I542" s="392" t="n"/>
    </row>
    <row r="543">
      <c r="A543" s="392" t="n"/>
      <c r="B543" s="392" t="n"/>
      <c r="C543" s="392" t="n"/>
      <c r="D543" s="392" t="n"/>
      <c r="E543" s="392" t="n"/>
      <c r="F543" s="394" t="n"/>
      <c r="G543" s="604">
        <f>IFERROR(INDEX(⑱中間品単価!$H$5:$H$443,MATCH($C543,⑱中間品単価!$B$5:$B$443,0)),"")</f>
        <v/>
      </c>
      <c r="H543" s="396">
        <f>IF(AND(ISNUMBER($F543),ISNUMBER($G543)),$F543*$G543,"")</f>
        <v/>
      </c>
      <c r="I543" s="392" t="n"/>
    </row>
    <row r="544">
      <c r="A544" s="392" t="n"/>
      <c r="B544" s="392" t="n"/>
      <c r="C544" s="392" t="n"/>
      <c r="D544" s="392" t="n"/>
      <c r="E544" s="392" t="n"/>
      <c r="F544" s="394" t="n"/>
      <c r="G544" s="604">
        <f>IFERROR(INDEX(⑱中間品単価!$H$5:$H$443,MATCH($C544,⑱中間品単価!$B$5:$B$443,0)),"")</f>
        <v/>
      </c>
      <c r="H544" s="396">
        <f>IF(AND(ISNUMBER($F544),ISNUMBER($G544)),$F544*$G544,"")</f>
        <v/>
      </c>
      <c r="I544" s="392" t="n"/>
    </row>
    <row r="545">
      <c r="A545" s="392" t="n"/>
      <c r="B545" s="392" t="n"/>
      <c r="C545" s="392" t="n"/>
      <c r="D545" s="392" t="n"/>
      <c r="E545" s="392" t="n"/>
      <c r="F545" s="394" t="n"/>
      <c r="G545" s="604">
        <f>IFERROR(INDEX(⑱中間品単価!$H$5:$H$443,MATCH($C545,⑱中間品単価!$B$5:$B$443,0)),"")</f>
        <v/>
      </c>
      <c r="H545" s="396">
        <f>IF(AND(ISNUMBER($F545),ISNUMBER($G545)),$F545*$G545,"")</f>
        <v/>
      </c>
      <c r="I545" s="392" t="n"/>
    </row>
    <row r="546">
      <c r="A546" s="392" t="n"/>
      <c r="B546" s="392" t="n"/>
      <c r="C546" s="392" t="n"/>
      <c r="D546" s="392" t="n"/>
      <c r="E546" s="392" t="n"/>
      <c r="F546" s="394" t="n"/>
      <c r="G546" s="604">
        <f>IFERROR(INDEX(⑱中間品単価!$H$5:$H$443,MATCH($C546,⑱中間品単価!$B$5:$B$443,0)),"")</f>
        <v/>
      </c>
      <c r="H546" s="396">
        <f>IF(AND(ISNUMBER($F546),ISNUMBER($G546)),$F546*$G546,"")</f>
        <v/>
      </c>
      <c r="I546" s="392" t="n"/>
    </row>
    <row r="547">
      <c r="A547" s="392" t="n"/>
      <c r="B547" s="392" t="n"/>
      <c r="C547" s="392" t="n"/>
      <c r="D547" s="392" t="n"/>
      <c r="E547" s="392" t="n"/>
      <c r="F547" s="394" t="n"/>
      <c r="G547" s="604">
        <f>IFERROR(INDEX(⑱中間品単価!$H$5:$H$443,MATCH($C547,⑱中間品単価!$B$5:$B$443,0)),"")</f>
        <v/>
      </c>
      <c r="H547" s="396">
        <f>IF(AND(ISNUMBER($F547),ISNUMBER($G547)),$F547*$G547,"")</f>
        <v/>
      </c>
      <c r="I547" s="392" t="n"/>
    </row>
    <row r="548">
      <c r="A548" s="392" t="n"/>
      <c r="B548" s="392" t="n"/>
      <c r="C548" s="392" t="n"/>
      <c r="D548" s="392" t="n"/>
      <c r="E548" s="392" t="n"/>
      <c r="F548" s="394" t="n"/>
      <c r="G548" s="604">
        <f>IFERROR(INDEX(⑱中間品単価!$H$5:$H$443,MATCH($C548,⑱中間品単価!$B$5:$B$443,0)),"")</f>
        <v/>
      </c>
      <c r="H548" s="396">
        <f>IF(AND(ISNUMBER($F548),ISNUMBER($G548)),$F548*$G548,"")</f>
        <v/>
      </c>
      <c r="I548" s="392" t="n"/>
    </row>
    <row r="549">
      <c r="A549" s="392" t="n"/>
      <c r="B549" s="392" t="n"/>
      <c r="C549" s="392" t="n"/>
      <c r="D549" s="392" t="n"/>
      <c r="E549" s="392" t="n"/>
      <c r="F549" s="394" t="n"/>
      <c r="G549" s="604">
        <f>IFERROR(INDEX(⑱中間品単価!$H$5:$H$443,MATCH($C549,⑱中間品単価!$B$5:$B$443,0)),"")</f>
        <v/>
      </c>
      <c r="H549" s="396">
        <f>IF(AND(ISNUMBER($F549),ISNUMBER($G549)),$F549*$G549,"")</f>
        <v/>
      </c>
      <c r="I549" s="392" t="n"/>
    </row>
    <row r="550">
      <c r="A550" s="392" t="n"/>
      <c r="B550" s="392" t="n"/>
      <c r="C550" s="392" t="n"/>
      <c r="D550" s="392" t="n"/>
      <c r="E550" s="392" t="n"/>
      <c r="F550" s="394" t="n"/>
      <c r="G550" s="604">
        <f>IFERROR(INDEX(⑱中間品単価!$H$5:$H$443,MATCH($C550,⑱中間品単価!$B$5:$B$443,0)),"")</f>
        <v/>
      </c>
      <c r="H550" s="396">
        <f>IF(AND(ISNUMBER($F550),ISNUMBER($G550)),$F550*$G550,"")</f>
        <v/>
      </c>
      <c r="I550" s="392" t="n"/>
    </row>
    <row r="551">
      <c r="A551" s="392" t="n"/>
      <c r="B551" s="392" t="n"/>
      <c r="C551" s="392" t="n"/>
      <c r="D551" s="392" t="n"/>
      <c r="E551" s="392" t="n"/>
      <c r="F551" s="394" t="n"/>
      <c r="G551" s="604">
        <f>IFERROR(INDEX(⑱中間品単価!$H$5:$H$443,MATCH($C551,⑱中間品単価!$B$5:$B$443,0)),"")</f>
        <v/>
      </c>
      <c r="H551" s="396">
        <f>IF(AND(ISNUMBER($F551),ISNUMBER($G551)),$F551*$G551,"")</f>
        <v/>
      </c>
      <c r="I551" s="392" t="n"/>
    </row>
    <row r="552">
      <c r="A552" s="392" t="n"/>
      <c r="B552" s="392" t="n"/>
      <c r="C552" s="392" t="n"/>
      <c r="D552" s="392" t="n"/>
      <c r="E552" s="392" t="n"/>
      <c r="F552" s="394" t="n"/>
      <c r="G552" s="604">
        <f>IFERROR(INDEX(⑱中間品単価!$H$5:$H$443,MATCH($C552,⑱中間品単価!$B$5:$B$443,0)),"")</f>
        <v/>
      </c>
      <c r="H552" s="396">
        <f>IF(AND(ISNUMBER($F552),ISNUMBER($G552)),$F552*$G552,"")</f>
        <v/>
      </c>
      <c r="I552" s="392" t="n"/>
    </row>
    <row r="553">
      <c r="A553" s="392" t="n"/>
      <c r="B553" s="392" t="n"/>
      <c r="C553" s="392" t="n"/>
      <c r="D553" s="392" t="n"/>
      <c r="E553" s="392" t="n"/>
      <c r="F553" s="394" t="n"/>
      <c r="G553" s="604">
        <f>IFERROR(INDEX(⑱中間品単価!$H$5:$H$443,MATCH($C553,⑱中間品単価!$B$5:$B$443,0)),"")</f>
        <v/>
      </c>
      <c r="H553" s="396">
        <f>IF(AND(ISNUMBER($F553),ISNUMBER($G553)),$F553*$G553,"")</f>
        <v/>
      </c>
      <c r="I553" s="392" t="n"/>
    </row>
    <row r="554">
      <c r="A554" s="392" t="n"/>
      <c r="B554" s="392" t="n"/>
      <c r="C554" s="392" t="n"/>
      <c r="D554" s="392" t="n"/>
      <c r="E554" s="392" t="n"/>
      <c r="F554" s="394" t="n"/>
      <c r="G554" s="604">
        <f>IFERROR(INDEX(⑱中間品単価!$H$5:$H$443,MATCH($C554,⑱中間品単価!$B$5:$B$443,0)),"")</f>
        <v/>
      </c>
      <c r="H554" s="396">
        <f>IF(AND(ISNUMBER($F554),ISNUMBER($G554)),$F554*$G554,"")</f>
        <v/>
      </c>
      <c r="I554" s="392" t="n"/>
    </row>
    <row r="555">
      <c r="A555" s="392" t="n"/>
      <c r="B555" s="392" t="n"/>
      <c r="C555" s="392" t="n"/>
      <c r="D555" s="392" t="n"/>
      <c r="E555" s="392" t="n"/>
      <c r="F555" s="394" t="n"/>
      <c r="G555" s="604">
        <f>IFERROR(INDEX(⑱中間品単価!$H$5:$H$443,MATCH($C555,⑱中間品単価!$B$5:$B$443,0)),"")</f>
        <v/>
      </c>
      <c r="H555" s="396">
        <f>IF(AND(ISNUMBER($F555),ISNUMBER($G555)),$F555*$G555,"")</f>
        <v/>
      </c>
      <c r="I555" s="392" t="n"/>
    </row>
    <row r="556">
      <c r="A556" s="392" t="n"/>
      <c r="B556" s="392" t="n"/>
      <c r="C556" s="392" t="n"/>
      <c r="D556" s="392" t="n"/>
      <c r="E556" s="392" t="n"/>
      <c r="F556" s="394" t="n"/>
      <c r="G556" s="604">
        <f>IFERROR(INDEX(⑱中間品単価!$H$5:$H$443,MATCH($C556,⑱中間品単価!$B$5:$B$443,0)),"")</f>
        <v/>
      </c>
      <c r="H556" s="396">
        <f>IF(AND(ISNUMBER($F556),ISNUMBER($G556)),$F556*$G556,"")</f>
        <v/>
      </c>
      <c r="I556" s="392" t="n"/>
    </row>
    <row r="557">
      <c r="A557" s="392" t="n"/>
      <c r="B557" s="392" t="n"/>
      <c r="C557" s="392" t="n"/>
      <c r="D557" s="392" t="n"/>
      <c r="E557" s="392" t="n"/>
      <c r="F557" s="394" t="n"/>
      <c r="G557" s="604">
        <f>IFERROR(INDEX(⑱中間品単価!$H$5:$H$443,MATCH($C557,⑱中間品単価!$B$5:$B$443,0)),"")</f>
        <v/>
      </c>
      <c r="H557" s="396">
        <f>IF(AND(ISNUMBER($F557),ISNUMBER($G557)),$F557*$G557,"")</f>
        <v/>
      </c>
      <c r="I557" s="392" t="n"/>
    </row>
    <row r="558">
      <c r="A558" s="392" t="n"/>
      <c r="B558" s="392" t="n"/>
      <c r="C558" s="392" t="n"/>
      <c r="D558" s="392" t="n"/>
      <c r="E558" s="392" t="n"/>
      <c r="F558" s="394" t="n"/>
      <c r="G558" s="604">
        <f>IFERROR(INDEX(⑱中間品単価!$H$5:$H$443,MATCH($C558,⑱中間品単価!$B$5:$B$443,0)),"")</f>
        <v/>
      </c>
      <c r="H558" s="396">
        <f>IF(AND(ISNUMBER($F558),ISNUMBER($G558)),$F558*$G558,"")</f>
        <v/>
      </c>
      <c r="I558" s="392" t="n"/>
    </row>
    <row r="559">
      <c r="A559" s="392" t="n"/>
      <c r="B559" s="392" t="n"/>
      <c r="C559" s="392" t="n"/>
      <c r="D559" s="392" t="n"/>
      <c r="E559" s="392" t="n"/>
      <c r="F559" s="394" t="n"/>
      <c r="G559" s="604">
        <f>IFERROR(INDEX(⑱中間品単価!$H$5:$H$443,MATCH($C559,⑱中間品単価!$B$5:$B$443,0)),"")</f>
        <v/>
      </c>
      <c r="H559" s="396">
        <f>IF(AND(ISNUMBER($F559),ISNUMBER($G559)),$F559*$G559,"")</f>
        <v/>
      </c>
      <c r="I559" s="392" t="n"/>
    </row>
    <row r="560">
      <c r="A560" s="392" t="n"/>
      <c r="B560" s="392" t="n"/>
      <c r="C560" s="392" t="n"/>
      <c r="D560" s="392" t="n"/>
      <c r="E560" s="392" t="n"/>
      <c r="F560" s="394" t="n"/>
      <c r="G560" s="604">
        <f>IFERROR(INDEX(⑱中間品単価!$H$5:$H$443,MATCH($C560,⑱中間品単価!$B$5:$B$443,0)),"")</f>
        <v/>
      </c>
      <c r="H560" s="396">
        <f>IF(AND(ISNUMBER($F560),ISNUMBER($G560)),$F560*$G560,"")</f>
        <v/>
      </c>
      <c r="I560" s="392" t="n"/>
    </row>
    <row r="561">
      <c r="A561" s="392" t="n"/>
      <c r="B561" s="392" t="n"/>
      <c r="C561" s="392" t="n"/>
      <c r="D561" s="392" t="n"/>
      <c r="E561" s="392" t="n"/>
      <c r="F561" s="394" t="n"/>
      <c r="G561" s="604">
        <f>IFERROR(INDEX(⑱中間品単価!$H$5:$H$443,MATCH($C561,⑱中間品単価!$B$5:$B$443,0)),"")</f>
        <v/>
      </c>
      <c r="H561" s="396">
        <f>IF(AND(ISNUMBER($F561),ISNUMBER($G561)),$F561*$G561,"")</f>
        <v/>
      </c>
      <c r="I561" s="392" t="n"/>
    </row>
    <row r="562">
      <c r="A562" s="392" t="n"/>
      <c r="B562" s="392" t="n"/>
      <c r="C562" s="392" t="n"/>
      <c r="D562" s="392" t="n"/>
      <c r="E562" s="392" t="n"/>
      <c r="F562" s="394" t="n"/>
      <c r="G562" s="604">
        <f>IFERROR(INDEX(⑱中間品単価!$H$5:$H$443,MATCH($C562,⑱中間品単価!$B$5:$B$443,0)),"")</f>
        <v/>
      </c>
      <c r="H562" s="396">
        <f>IF(AND(ISNUMBER($F562),ISNUMBER($G562)),$F562*$G562,"")</f>
        <v/>
      </c>
      <c r="I562" s="392" t="n"/>
    </row>
    <row r="563">
      <c r="A563" s="392" t="n"/>
      <c r="B563" s="392" t="n"/>
      <c r="C563" s="392" t="n"/>
      <c r="D563" s="392" t="n"/>
      <c r="E563" s="392" t="n"/>
      <c r="F563" s="394" t="n"/>
      <c r="G563" s="604">
        <f>IFERROR(INDEX(⑱中間品単価!$H$5:$H$443,MATCH($C563,⑱中間品単価!$B$5:$B$443,0)),"")</f>
        <v/>
      </c>
      <c r="H563" s="396">
        <f>IF(AND(ISNUMBER($F563),ISNUMBER($G563)),$F563*$G563,"")</f>
        <v/>
      </c>
      <c r="I563" s="392" t="n"/>
    </row>
    <row r="564">
      <c r="A564" s="392" t="n"/>
      <c r="B564" s="392" t="n"/>
      <c r="C564" s="392" t="n"/>
      <c r="D564" s="392" t="n"/>
      <c r="E564" s="392" t="n"/>
      <c r="F564" s="394" t="n"/>
      <c r="G564" s="604">
        <f>IFERROR(INDEX(⑱中間品単価!$H$5:$H$443,MATCH($C564,⑱中間品単価!$B$5:$B$443,0)),"")</f>
        <v/>
      </c>
      <c r="H564" s="396">
        <f>IF(AND(ISNUMBER($F564),ISNUMBER($G564)),$F564*$G564,"")</f>
        <v/>
      </c>
      <c r="I564" s="392" t="n"/>
    </row>
    <row r="565">
      <c r="A565" s="392" t="n"/>
      <c r="B565" s="392" t="n"/>
      <c r="C565" s="392" t="n"/>
      <c r="D565" s="392" t="n"/>
      <c r="E565" s="392" t="n"/>
      <c r="F565" s="394" t="n"/>
      <c r="G565" s="604">
        <f>IFERROR(INDEX(⑱中間品単価!$H$5:$H$443,MATCH($C565,⑱中間品単価!$B$5:$B$443,0)),"")</f>
        <v/>
      </c>
      <c r="H565" s="396">
        <f>IF(AND(ISNUMBER($F565),ISNUMBER($G565)),$F565*$G565,"")</f>
        <v/>
      </c>
      <c r="I565" s="392" t="n"/>
    </row>
    <row r="566">
      <c r="A566" s="392" t="n"/>
      <c r="B566" s="392" t="n"/>
      <c r="C566" s="392" t="n"/>
      <c r="D566" s="392" t="n"/>
      <c r="E566" s="392" t="n"/>
      <c r="F566" s="394" t="n"/>
      <c r="G566" s="604">
        <f>IFERROR(INDEX(⑱中間品単価!$H$5:$H$443,MATCH($C566,⑱中間品単価!$B$5:$B$443,0)),"")</f>
        <v/>
      </c>
      <c r="H566" s="396">
        <f>IF(AND(ISNUMBER($F566),ISNUMBER($G566)),$F566*$G566,"")</f>
        <v/>
      </c>
      <c r="I566" s="392" t="n"/>
    </row>
    <row r="567">
      <c r="A567" s="392" t="n"/>
      <c r="B567" s="392" t="n"/>
      <c r="C567" s="392" t="n"/>
      <c r="D567" s="392" t="n"/>
      <c r="E567" s="392" t="n"/>
      <c r="F567" s="394" t="n"/>
      <c r="G567" s="604">
        <f>IFERROR(INDEX(⑱中間品単価!$H$5:$H$443,MATCH($C567,⑱中間品単価!$B$5:$B$443,0)),"")</f>
        <v/>
      </c>
      <c r="H567" s="396">
        <f>IF(AND(ISNUMBER($F567),ISNUMBER($G567)),$F567*$G567,"")</f>
        <v/>
      </c>
      <c r="I567" s="392" t="n"/>
    </row>
    <row r="568">
      <c r="A568" s="392" t="n"/>
      <c r="B568" s="392" t="n"/>
      <c r="C568" s="392" t="n"/>
      <c r="D568" s="392" t="n"/>
      <c r="E568" s="392" t="n"/>
      <c r="F568" s="394" t="n"/>
      <c r="G568" s="604">
        <f>IFERROR(INDEX(⑱中間品単価!$H$5:$H$443,MATCH($C568,⑱中間品単価!$B$5:$B$443,0)),"")</f>
        <v/>
      </c>
      <c r="H568" s="396">
        <f>IF(AND(ISNUMBER($F568),ISNUMBER($G568)),$F568*$G568,"")</f>
        <v/>
      </c>
      <c r="I568" s="392" t="n"/>
    </row>
    <row r="569">
      <c r="A569" s="392" t="n"/>
      <c r="B569" s="392" t="n"/>
      <c r="C569" s="392" t="n"/>
      <c r="D569" s="392" t="n"/>
      <c r="E569" s="392" t="n"/>
      <c r="F569" s="394" t="n"/>
      <c r="G569" s="604">
        <f>IFERROR(INDEX(⑱中間品単価!$H$5:$H$443,MATCH($C569,⑱中間品単価!$B$5:$B$443,0)),"")</f>
        <v/>
      </c>
      <c r="H569" s="396">
        <f>IF(AND(ISNUMBER($F569),ISNUMBER($G569)),$F569*$G569,"")</f>
        <v/>
      </c>
      <c r="I569" s="392" t="n"/>
    </row>
    <row r="570">
      <c r="A570" s="392" t="n"/>
      <c r="B570" s="392" t="n"/>
      <c r="C570" s="392" t="n"/>
      <c r="D570" s="392" t="n"/>
      <c r="E570" s="392" t="n"/>
      <c r="F570" s="394" t="n"/>
      <c r="G570" s="604">
        <f>IFERROR(INDEX(⑱中間品単価!$H$5:$H$443,MATCH($C570,⑱中間品単価!$B$5:$B$443,0)),"")</f>
        <v/>
      </c>
      <c r="H570" s="396">
        <f>IF(AND(ISNUMBER($F570),ISNUMBER($G570)),$F570*$G570,"")</f>
        <v/>
      </c>
      <c r="I570" s="392" t="n"/>
    </row>
    <row r="571">
      <c r="A571" s="392" t="n"/>
      <c r="B571" s="392" t="n"/>
      <c r="C571" s="392" t="n"/>
      <c r="D571" s="392" t="n"/>
      <c r="E571" s="392" t="n"/>
      <c r="F571" s="394" t="n"/>
      <c r="G571" s="604">
        <f>IFERROR(INDEX(⑱中間品単価!$H$5:$H$443,MATCH($C571,⑱中間品単価!$B$5:$B$443,0)),"")</f>
        <v/>
      </c>
      <c r="H571" s="396">
        <f>IF(AND(ISNUMBER($F571),ISNUMBER($G571)),$F571*$G571,"")</f>
        <v/>
      </c>
      <c r="I571" s="392" t="n"/>
    </row>
    <row r="572">
      <c r="A572" s="392" t="n"/>
      <c r="B572" s="392" t="n"/>
      <c r="C572" s="392" t="n"/>
      <c r="D572" s="392" t="n"/>
      <c r="E572" s="392" t="n"/>
      <c r="F572" s="394" t="n"/>
      <c r="G572" s="604">
        <f>IFERROR(INDEX(⑱中間品単価!$H$5:$H$443,MATCH($C572,⑱中間品単価!$B$5:$B$443,0)),"")</f>
        <v/>
      </c>
      <c r="H572" s="396">
        <f>IF(AND(ISNUMBER($F572),ISNUMBER($G572)),$F572*$G572,"")</f>
        <v/>
      </c>
      <c r="I572" s="392" t="n"/>
    </row>
    <row r="573">
      <c r="A573" s="392" t="n"/>
      <c r="B573" s="392" t="n"/>
      <c r="C573" s="392" t="n"/>
      <c r="D573" s="392" t="n"/>
      <c r="E573" s="392" t="n"/>
      <c r="F573" s="394" t="n"/>
      <c r="G573" s="604">
        <f>IFERROR(INDEX(⑱中間品単価!$H$5:$H$443,MATCH($C573,⑱中間品単価!$B$5:$B$443,0)),"")</f>
        <v/>
      </c>
      <c r="H573" s="396">
        <f>IF(AND(ISNUMBER($F573),ISNUMBER($G573)),$F573*$G573,"")</f>
        <v/>
      </c>
      <c r="I573" s="392" t="n"/>
    </row>
    <row r="574">
      <c r="A574" s="392" t="n"/>
      <c r="B574" s="392" t="n"/>
      <c r="C574" s="392" t="n"/>
      <c r="D574" s="392" t="n"/>
      <c r="E574" s="392" t="n"/>
      <c r="F574" s="394" t="n"/>
      <c r="G574" s="604">
        <f>IFERROR(INDEX(⑱中間品単価!$H$5:$H$443,MATCH($C574,⑱中間品単価!$B$5:$B$443,0)),"")</f>
        <v/>
      </c>
      <c r="H574" s="396">
        <f>IF(AND(ISNUMBER($F574),ISNUMBER($G574)),$F574*$G574,"")</f>
        <v/>
      </c>
      <c r="I574" s="392" t="n"/>
    </row>
    <row r="575">
      <c r="A575" s="392" t="n"/>
      <c r="B575" s="392" t="n"/>
      <c r="C575" s="392" t="n"/>
      <c r="D575" s="392" t="n"/>
      <c r="E575" s="392" t="n"/>
      <c r="F575" s="394" t="n"/>
      <c r="G575" s="604">
        <f>IFERROR(INDEX(⑱中間品単価!$H$5:$H$443,MATCH($C575,⑱中間品単価!$B$5:$B$443,0)),"")</f>
        <v/>
      </c>
      <c r="H575" s="396">
        <f>IF(AND(ISNUMBER($F575),ISNUMBER($G575)),$F575*$G575,"")</f>
        <v/>
      </c>
      <c r="I575" s="392" t="n"/>
    </row>
    <row r="576">
      <c r="A576" s="392" t="n"/>
      <c r="B576" s="392" t="n"/>
      <c r="C576" s="392" t="n"/>
      <c r="D576" s="392" t="n"/>
      <c r="E576" s="392" t="n"/>
      <c r="F576" s="394" t="n"/>
      <c r="G576" s="604">
        <f>IFERROR(INDEX(⑱中間品単価!$H$5:$H$443,MATCH($C576,⑱中間品単価!$B$5:$B$443,0)),"")</f>
        <v/>
      </c>
      <c r="H576" s="396">
        <f>IF(AND(ISNUMBER($F576),ISNUMBER($G576)),$F576*$G576,"")</f>
        <v/>
      </c>
      <c r="I576" s="392" t="n"/>
    </row>
    <row r="577">
      <c r="A577" s="392" t="n"/>
      <c r="B577" s="392" t="n"/>
      <c r="C577" s="392" t="n"/>
      <c r="D577" s="392" t="n"/>
      <c r="E577" s="392" t="n"/>
      <c r="F577" s="394" t="n"/>
      <c r="G577" s="604">
        <f>IFERROR(INDEX(⑱中間品単価!$H$5:$H$443,MATCH($C577,⑱中間品単価!$B$5:$B$443,0)),"")</f>
        <v/>
      </c>
      <c r="H577" s="396">
        <f>IF(AND(ISNUMBER($F577),ISNUMBER($G577)),$F577*$G577,"")</f>
        <v/>
      </c>
      <c r="I577" s="392" t="n"/>
    </row>
    <row r="578">
      <c r="A578" s="392" t="n"/>
      <c r="B578" s="392" t="n"/>
      <c r="C578" s="392" t="n"/>
      <c r="D578" s="392" t="n"/>
      <c r="E578" s="392" t="n"/>
      <c r="F578" s="394" t="n"/>
      <c r="G578" s="604">
        <f>IFERROR(INDEX(⑱中間品単価!$H$5:$H$443,MATCH($C578,⑱中間品単価!$B$5:$B$443,0)),"")</f>
        <v/>
      </c>
      <c r="H578" s="396">
        <f>IF(AND(ISNUMBER($F578),ISNUMBER($G578)),$F578*$G578,"")</f>
        <v/>
      </c>
      <c r="I578" s="392" t="n"/>
    </row>
    <row r="579">
      <c r="A579" s="392" t="n"/>
      <c r="B579" s="392" t="n"/>
      <c r="C579" s="392" t="n"/>
      <c r="D579" s="392" t="n"/>
      <c r="E579" s="392" t="n"/>
      <c r="F579" s="394" t="n"/>
      <c r="G579" s="604">
        <f>IFERROR(INDEX(⑱中間品単価!$H$5:$H$443,MATCH($C579,⑱中間品単価!$B$5:$B$443,0)),"")</f>
        <v/>
      </c>
      <c r="H579" s="396">
        <f>IF(AND(ISNUMBER($F579),ISNUMBER($G579)),$F579*$G579,"")</f>
        <v/>
      </c>
      <c r="I579" s="392" t="n"/>
    </row>
    <row r="580">
      <c r="A580" s="392" t="n"/>
      <c r="B580" s="392" t="n"/>
      <c r="C580" s="392" t="n"/>
      <c r="D580" s="392" t="n"/>
      <c r="E580" s="392" t="n"/>
      <c r="F580" s="394" t="n"/>
      <c r="G580" s="604">
        <f>IFERROR(INDEX(⑱中間品単価!$H$5:$H$443,MATCH($C580,⑱中間品単価!$B$5:$B$443,0)),"")</f>
        <v/>
      </c>
      <c r="H580" s="396">
        <f>IF(AND(ISNUMBER($F580),ISNUMBER($G580)),$F580*$G580,"")</f>
        <v/>
      </c>
      <c r="I580" s="392" t="n"/>
    </row>
    <row r="581">
      <c r="A581" s="392" t="n"/>
      <c r="B581" s="392" t="n"/>
      <c r="C581" s="392" t="n"/>
      <c r="D581" s="392" t="n"/>
      <c r="E581" s="392" t="n"/>
      <c r="F581" s="394" t="n"/>
      <c r="G581" s="604">
        <f>IFERROR(INDEX(⑱中間品単価!$H$5:$H$443,MATCH($C581,⑱中間品単価!$B$5:$B$443,0)),"")</f>
        <v/>
      </c>
      <c r="H581" s="396">
        <f>IF(AND(ISNUMBER($F581),ISNUMBER($G581)),$F581*$G581,"")</f>
        <v/>
      </c>
      <c r="I581" s="392" t="n"/>
    </row>
    <row r="582">
      <c r="A582" s="392" t="n"/>
      <c r="B582" s="392" t="n"/>
      <c r="C582" s="392" t="n"/>
      <c r="D582" s="392" t="n"/>
      <c r="E582" s="392" t="n"/>
      <c r="F582" s="394" t="n"/>
      <c r="G582" s="604">
        <f>IFERROR(INDEX(⑱中間品単価!$H$5:$H$443,MATCH($C582,⑱中間品単価!$B$5:$B$443,0)),"")</f>
        <v/>
      </c>
      <c r="H582" s="396">
        <f>IF(AND(ISNUMBER($F582),ISNUMBER($G582)),$F582*$G582,"")</f>
        <v/>
      </c>
      <c r="I582" s="392" t="n"/>
    </row>
    <row r="583">
      <c r="A583" s="392" t="n"/>
      <c r="B583" s="392" t="n"/>
      <c r="C583" s="392" t="n"/>
      <c r="D583" s="392" t="n"/>
      <c r="E583" s="392" t="n"/>
      <c r="F583" s="394" t="n"/>
      <c r="G583" s="604">
        <f>IFERROR(INDEX(⑱中間品単価!$H$5:$H$443,MATCH($C583,⑱中間品単価!$B$5:$B$443,0)),"")</f>
        <v/>
      </c>
      <c r="H583" s="396">
        <f>IF(AND(ISNUMBER($F583),ISNUMBER($G583)),$F583*$G583,"")</f>
        <v/>
      </c>
      <c r="I583" s="392" t="n"/>
    </row>
    <row r="584">
      <c r="A584" s="392" t="n"/>
      <c r="B584" s="392" t="n"/>
      <c r="C584" s="392" t="n"/>
      <c r="D584" s="392" t="n"/>
      <c r="E584" s="392" t="n"/>
      <c r="F584" s="394" t="n"/>
      <c r="G584" s="604">
        <f>IFERROR(INDEX(⑱中間品単価!$H$5:$H$443,MATCH($C584,⑱中間品単価!$B$5:$B$443,0)),"")</f>
        <v/>
      </c>
      <c r="H584" s="396">
        <f>IF(AND(ISNUMBER($F584),ISNUMBER($G584)),$F584*$G584,"")</f>
        <v/>
      </c>
      <c r="I584" s="392" t="n"/>
    </row>
    <row r="585">
      <c r="A585" s="392" t="n"/>
      <c r="B585" s="392" t="n"/>
      <c r="C585" s="392" t="n"/>
      <c r="D585" s="392" t="n"/>
      <c r="E585" s="392" t="n"/>
      <c r="F585" s="394" t="n"/>
      <c r="G585" s="604">
        <f>IFERROR(INDEX(⑱中間品単価!$H$5:$H$443,MATCH($C585,⑱中間品単価!$B$5:$B$443,0)),"")</f>
        <v/>
      </c>
      <c r="H585" s="396">
        <f>IF(AND(ISNUMBER($F585),ISNUMBER($G585)),$F585*$G585,"")</f>
        <v/>
      </c>
      <c r="I585" s="392" t="n"/>
    </row>
    <row r="586">
      <c r="A586" s="392" t="n"/>
      <c r="B586" s="392" t="n"/>
      <c r="C586" s="392" t="n"/>
      <c r="D586" s="392" t="n"/>
      <c r="E586" s="392" t="n"/>
      <c r="F586" s="394" t="n"/>
      <c r="G586" s="604">
        <f>IFERROR(INDEX(⑱中間品単価!$H$5:$H$443,MATCH($C586,⑱中間品単価!$B$5:$B$443,0)),"")</f>
        <v/>
      </c>
      <c r="H586" s="396">
        <f>IF(AND(ISNUMBER($F586),ISNUMBER($G586)),$F586*$G586,"")</f>
        <v/>
      </c>
      <c r="I586" s="392" t="n"/>
    </row>
    <row r="587">
      <c r="A587" s="392" t="n"/>
      <c r="B587" s="392" t="n"/>
      <c r="C587" s="392" t="n"/>
      <c r="D587" s="392" t="n"/>
      <c r="E587" s="392" t="n"/>
      <c r="F587" s="394" t="n"/>
      <c r="G587" s="604">
        <f>IFERROR(INDEX(⑱中間品単価!$H$5:$H$443,MATCH($C587,⑱中間品単価!$B$5:$B$443,0)),"")</f>
        <v/>
      </c>
      <c r="H587" s="396">
        <f>IF(AND(ISNUMBER($F587),ISNUMBER($G587)),$F587*$G587,"")</f>
        <v/>
      </c>
      <c r="I587" s="392" t="n"/>
    </row>
    <row r="588">
      <c r="A588" s="392" t="n"/>
      <c r="B588" s="392" t="n"/>
      <c r="C588" s="392" t="n"/>
      <c r="D588" s="392" t="n"/>
      <c r="E588" s="392" t="n"/>
      <c r="F588" s="394" t="n"/>
      <c r="G588" s="604">
        <f>IFERROR(INDEX(⑱中間品単価!$H$5:$H$443,MATCH($C588,⑱中間品単価!$B$5:$B$443,0)),"")</f>
        <v/>
      </c>
      <c r="H588" s="396">
        <f>IF(AND(ISNUMBER($F588),ISNUMBER($G588)),$F588*$G588,"")</f>
        <v/>
      </c>
      <c r="I588" s="392" t="n"/>
    </row>
    <row r="589">
      <c r="A589" s="392" t="n"/>
      <c r="B589" s="392" t="n"/>
      <c r="C589" s="392" t="n"/>
      <c r="D589" s="392" t="n"/>
      <c r="E589" s="392" t="n"/>
      <c r="F589" s="394" t="n"/>
      <c r="G589" s="604">
        <f>IFERROR(INDEX(⑱中間品単価!$H$5:$H$443,MATCH($C589,⑱中間品単価!$B$5:$B$443,0)),"")</f>
        <v/>
      </c>
      <c r="H589" s="396">
        <f>IF(AND(ISNUMBER($F589),ISNUMBER($G589)),$F589*$G589,"")</f>
        <v/>
      </c>
      <c r="I589" s="392" t="n"/>
    </row>
    <row r="590">
      <c r="A590" s="392" t="n"/>
      <c r="B590" s="392" t="n"/>
      <c r="C590" s="392" t="n"/>
      <c r="D590" s="392" t="n"/>
      <c r="E590" s="392" t="n"/>
      <c r="F590" s="394" t="n"/>
      <c r="G590" s="604">
        <f>IFERROR(INDEX(⑱中間品単価!$H$5:$H$443,MATCH($C590,⑱中間品単価!$B$5:$B$443,0)),"")</f>
        <v/>
      </c>
      <c r="H590" s="396">
        <f>IF(AND(ISNUMBER($F590),ISNUMBER($G590)),$F590*$G590,"")</f>
        <v/>
      </c>
      <c r="I590" s="392" t="n"/>
    </row>
    <row r="591">
      <c r="A591" s="392" t="n"/>
      <c r="B591" s="392" t="n"/>
      <c r="C591" s="392" t="n"/>
      <c r="D591" s="392" t="n"/>
      <c r="E591" s="392" t="n"/>
      <c r="F591" s="394" t="n"/>
      <c r="G591" s="604">
        <f>IFERROR(INDEX(⑱中間品単価!$H$5:$H$443,MATCH($C591,⑱中間品単価!$B$5:$B$443,0)),"")</f>
        <v/>
      </c>
      <c r="H591" s="396">
        <f>IF(AND(ISNUMBER($F591),ISNUMBER($G591)),$F591*$G591,"")</f>
        <v/>
      </c>
      <c r="I591" s="392" t="n"/>
    </row>
    <row r="592">
      <c r="A592" s="392" t="n"/>
      <c r="B592" s="392" t="n"/>
      <c r="C592" s="392" t="n"/>
      <c r="D592" s="392" t="n"/>
      <c r="E592" s="392" t="n"/>
      <c r="F592" s="394" t="n"/>
      <c r="G592" s="604">
        <f>IFERROR(INDEX(⑱中間品単価!$H$5:$H$443,MATCH($C592,⑱中間品単価!$B$5:$B$443,0)),"")</f>
        <v/>
      </c>
      <c r="H592" s="396">
        <f>IF(AND(ISNUMBER($F592),ISNUMBER($G592)),$F592*$G592,"")</f>
        <v/>
      </c>
      <c r="I592" s="392" t="n"/>
    </row>
    <row r="593">
      <c r="A593" s="392" t="n"/>
      <c r="B593" s="392" t="n"/>
      <c r="C593" s="392" t="n"/>
      <c r="D593" s="392" t="n"/>
      <c r="E593" s="392" t="n"/>
      <c r="F593" s="394" t="n"/>
      <c r="G593" s="604">
        <f>IFERROR(INDEX(⑱中間品単価!$H$5:$H$443,MATCH($C593,⑱中間品単価!$B$5:$B$443,0)),"")</f>
        <v/>
      </c>
      <c r="H593" s="396">
        <f>IF(AND(ISNUMBER($F593),ISNUMBER($G593)),$F593*$G593,"")</f>
        <v/>
      </c>
      <c r="I593" s="392" t="n"/>
    </row>
    <row r="594">
      <c r="A594" s="392" t="n"/>
      <c r="B594" s="392" t="n"/>
      <c r="C594" s="392" t="n"/>
      <c r="D594" s="392" t="n"/>
      <c r="E594" s="392" t="n"/>
      <c r="F594" s="394" t="n"/>
      <c r="G594" s="604">
        <f>IFERROR(INDEX(⑱中間品単価!$H$5:$H$443,MATCH($C594,⑱中間品単価!$B$5:$B$443,0)),"")</f>
        <v/>
      </c>
      <c r="H594" s="396">
        <f>IF(AND(ISNUMBER($F594),ISNUMBER($G594)),$F594*$G594,"")</f>
        <v/>
      </c>
      <c r="I594" s="392" t="n"/>
    </row>
    <row r="595">
      <c r="A595" s="392" t="n"/>
      <c r="B595" s="392" t="n"/>
      <c r="C595" s="392" t="n"/>
      <c r="D595" s="392" t="n"/>
      <c r="E595" s="392" t="n"/>
      <c r="F595" s="394" t="n"/>
      <c r="G595" s="604">
        <f>IFERROR(INDEX(⑱中間品単価!$H$5:$H$443,MATCH($C595,⑱中間品単価!$B$5:$B$443,0)),"")</f>
        <v/>
      </c>
      <c r="H595" s="396">
        <f>IF(AND(ISNUMBER($F595),ISNUMBER($G595)),$F595*$G595,"")</f>
        <v/>
      </c>
      <c r="I595" s="392" t="n"/>
    </row>
    <row r="596">
      <c r="A596" s="392" t="n"/>
      <c r="B596" s="392" t="n"/>
      <c r="C596" s="392" t="n"/>
      <c r="D596" s="392" t="n"/>
      <c r="E596" s="392" t="n"/>
      <c r="F596" s="394" t="n"/>
      <c r="G596" s="604">
        <f>IFERROR(INDEX(⑱中間品単価!$H$5:$H$443,MATCH($C596,⑱中間品単価!$B$5:$B$443,0)),"")</f>
        <v/>
      </c>
      <c r="H596" s="396">
        <f>IF(AND(ISNUMBER($F596),ISNUMBER($G596)),$F596*$G596,"")</f>
        <v/>
      </c>
      <c r="I596" s="392" t="n"/>
    </row>
    <row r="597">
      <c r="A597" s="392" t="n"/>
      <c r="B597" s="392" t="n"/>
      <c r="C597" s="392" t="n"/>
      <c r="D597" s="392" t="n"/>
      <c r="E597" s="392" t="n"/>
      <c r="F597" s="394" t="n"/>
      <c r="G597" s="604">
        <f>IFERROR(INDEX(⑱中間品単価!$H$5:$H$443,MATCH($C597,⑱中間品単価!$B$5:$B$443,0)),"")</f>
        <v/>
      </c>
      <c r="H597" s="396">
        <f>IF(AND(ISNUMBER($F597),ISNUMBER($G597)),$F597*$G597,"")</f>
        <v/>
      </c>
      <c r="I597" s="392" t="n"/>
    </row>
    <row r="598">
      <c r="A598" s="392" t="n"/>
      <c r="B598" s="392" t="n"/>
      <c r="C598" s="392" t="n"/>
      <c r="D598" s="392" t="n"/>
      <c r="E598" s="392" t="n"/>
      <c r="F598" s="394" t="n"/>
      <c r="G598" s="604">
        <f>IFERROR(INDEX(⑱中間品単価!$H$5:$H$443,MATCH($C598,⑱中間品単価!$B$5:$B$443,0)),"")</f>
        <v/>
      </c>
      <c r="H598" s="396">
        <f>IF(AND(ISNUMBER($F598),ISNUMBER($G598)),$F598*$G598,"")</f>
        <v/>
      </c>
      <c r="I598" s="392" t="n"/>
    </row>
    <row r="599">
      <c r="A599" s="392" t="n"/>
      <c r="B599" s="392" t="n"/>
      <c r="C599" s="392" t="n"/>
      <c r="D599" s="392" t="n"/>
      <c r="E599" s="392" t="n"/>
      <c r="F599" s="394" t="n"/>
      <c r="G599" s="604">
        <f>IFERROR(INDEX(⑱中間品単価!$H$5:$H$443,MATCH($C599,⑱中間品単価!$B$5:$B$443,0)),"")</f>
        <v/>
      </c>
      <c r="H599" s="396">
        <f>IF(AND(ISNUMBER($F599),ISNUMBER($G599)),$F599*$G599,"")</f>
        <v/>
      </c>
      <c r="I599" s="392" t="n"/>
    </row>
    <row r="600">
      <c r="A600" s="392" t="n"/>
      <c r="B600" s="392" t="n"/>
      <c r="C600" s="392" t="n"/>
      <c r="D600" s="392" t="n"/>
      <c r="E600" s="392" t="n"/>
      <c r="F600" s="394" t="n"/>
      <c r="G600" s="604">
        <f>IFERROR(INDEX(⑱中間品単価!$H$5:$H$443,MATCH($C600,⑱中間品単価!$B$5:$B$443,0)),"")</f>
        <v/>
      </c>
      <c r="H600" s="396">
        <f>IF(AND(ISNUMBER($F600),ISNUMBER($G600)),$F600*$G600,"")</f>
        <v/>
      </c>
      <c r="I600" s="392" t="n"/>
    </row>
    <row r="601">
      <c r="A601" s="392" t="n"/>
      <c r="B601" s="392" t="n"/>
      <c r="C601" s="392" t="n"/>
      <c r="D601" s="392" t="n"/>
      <c r="E601" s="392" t="n"/>
      <c r="F601" s="394" t="n"/>
      <c r="G601" s="604">
        <f>IFERROR(INDEX(⑱中間品単価!$H$5:$H$443,MATCH($C601,⑱中間品単価!$B$5:$B$443,0)),"")</f>
        <v/>
      </c>
      <c r="H601" s="396">
        <f>IF(AND(ISNUMBER($F601),ISNUMBER($G601)),$F601*$G601,"")</f>
        <v/>
      </c>
      <c r="I601" s="392" t="n"/>
    </row>
    <row r="602">
      <c r="A602" s="392" t="n"/>
      <c r="B602" s="392" t="n"/>
      <c r="C602" s="392" t="n"/>
      <c r="D602" s="392" t="n"/>
      <c r="E602" s="392" t="n"/>
      <c r="F602" s="394" t="n"/>
      <c r="G602" s="604">
        <f>IFERROR(INDEX(⑱中間品単価!$H$5:$H$443,MATCH($C602,⑱中間品単価!$B$5:$B$443,0)),"")</f>
        <v/>
      </c>
      <c r="H602" s="396">
        <f>IF(AND(ISNUMBER($F602),ISNUMBER($G602)),$F602*$G602,"")</f>
        <v/>
      </c>
      <c r="I602" s="392" t="n"/>
    </row>
    <row r="603">
      <c r="A603" s="392" t="n"/>
      <c r="B603" s="392" t="n"/>
      <c r="C603" s="392" t="n"/>
      <c r="D603" s="392" t="n"/>
      <c r="E603" s="392" t="n"/>
      <c r="F603" s="394" t="n"/>
      <c r="G603" s="604">
        <f>IFERROR(INDEX(⑱中間品単価!$H$5:$H$443,MATCH($C603,⑱中間品単価!$B$5:$B$443,0)),"")</f>
        <v/>
      </c>
      <c r="H603" s="396">
        <f>IF(AND(ISNUMBER($F603),ISNUMBER($G603)),$F603*$G603,"")</f>
        <v/>
      </c>
      <c r="I603" s="392" t="n"/>
    </row>
    <row r="604">
      <c r="A604" s="392" t="n"/>
      <c r="B604" s="392" t="n"/>
      <c r="C604" s="392" t="n"/>
      <c r="D604" s="392" t="n"/>
      <c r="E604" s="392" t="n"/>
      <c r="F604" s="394" t="n"/>
      <c r="G604" s="604">
        <f>IFERROR(INDEX(⑱中間品単価!$H$5:$H$443,MATCH($C604,⑱中間品単価!$B$5:$B$443,0)),"")</f>
        <v/>
      </c>
      <c r="H604" s="396">
        <f>IF(AND(ISNUMBER($F604),ISNUMBER($G604)),$F604*$G604,"")</f>
        <v/>
      </c>
      <c r="I604" s="392" t="n"/>
    </row>
    <row r="605">
      <c r="A605" s="392" t="n"/>
      <c r="B605" s="392" t="n"/>
      <c r="C605" s="392" t="n"/>
      <c r="D605" s="392" t="n"/>
      <c r="E605" s="392" t="n"/>
      <c r="F605" s="394" t="n"/>
      <c r="G605" s="604">
        <f>IFERROR(INDEX(⑱中間品単価!$H$5:$H$443,MATCH($C605,⑱中間品単価!$B$5:$B$443,0)),"")</f>
        <v/>
      </c>
      <c r="H605" s="396">
        <f>IF(AND(ISNUMBER($F605),ISNUMBER($G605)),$F605*$G605,"")</f>
        <v/>
      </c>
      <c r="I605" s="392" t="n"/>
    </row>
    <row r="606">
      <c r="A606" s="392" t="n"/>
      <c r="B606" s="392" t="n"/>
      <c r="C606" s="392" t="n"/>
      <c r="D606" s="392" t="n"/>
      <c r="E606" s="392" t="n"/>
      <c r="F606" s="394" t="n"/>
      <c r="G606" s="604">
        <f>IFERROR(INDEX(⑱中間品単価!$H$5:$H$443,MATCH($C606,⑱中間品単価!$B$5:$B$443,0)),"")</f>
        <v/>
      </c>
      <c r="H606" s="396">
        <f>IF(AND(ISNUMBER($F606),ISNUMBER($G606)),$F606*$G606,"")</f>
        <v/>
      </c>
      <c r="I606" s="392" t="n"/>
    </row>
    <row r="607">
      <c r="A607" s="392" t="n"/>
      <c r="B607" s="392" t="n"/>
      <c r="C607" s="392" t="n"/>
      <c r="D607" s="392" t="n"/>
      <c r="E607" s="392" t="n"/>
      <c r="F607" s="394" t="n"/>
      <c r="G607" s="604">
        <f>IFERROR(INDEX(⑱中間品単価!$H$5:$H$443,MATCH($C607,⑱中間品単価!$B$5:$B$443,0)),"")</f>
        <v/>
      </c>
      <c r="H607" s="396">
        <f>IF(AND(ISNUMBER($F607),ISNUMBER($G607)),$F607*$G607,"")</f>
        <v/>
      </c>
      <c r="I607" s="392" t="n"/>
    </row>
    <row r="608">
      <c r="A608" s="392" t="n"/>
      <c r="B608" s="392" t="n"/>
      <c r="C608" s="392" t="n"/>
      <c r="D608" s="392" t="n"/>
      <c r="E608" s="392" t="n"/>
      <c r="F608" s="394" t="n"/>
      <c r="G608" s="604">
        <f>IFERROR(INDEX(⑱中間品単価!$H$5:$H$443,MATCH($C608,⑱中間品単価!$B$5:$B$443,0)),"")</f>
        <v/>
      </c>
      <c r="H608" s="396">
        <f>IF(AND(ISNUMBER($F608),ISNUMBER($G608)),$F608*$G608,"")</f>
        <v/>
      </c>
      <c r="I608" s="392" t="n"/>
    </row>
    <row r="609">
      <c r="A609" s="392" t="n"/>
      <c r="B609" s="392" t="n"/>
      <c r="C609" s="392" t="n"/>
      <c r="D609" s="392" t="n"/>
      <c r="E609" s="392" t="n"/>
      <c r="F609" s="394" t="n"/>
      <c r="G609" s="604">
        <f>IFERROR(INDEX(⑱中間品単価!$H$5:$H$443,MATCH($C609,⑱中間品単価!$B$5:$B$443,0)),"")</f>
        <v/>
      </c>
      <c r="H609" s="396">
        <f>IF(AND(ISNUMBER($F609),ISNUMBER($G609)),$F609*$G609,"")</f>
        <v/>
      </c>
      <c r="I609" s="392" t="n"/>
    </row>
    <row r="610">
      <c r="A610" s="392" t="n"/>
      <c r="B610" s="392" t="n"/>
      <c r="C610" s="392" t="n"/>
      <c r="D610" s="392" t="n"/>
      <c r="E610" s="392" t="n"/>
      <c r="F610" s="394" t="n"/>
      <c r="G610" s="604">
        <f>IFERROR(INDEX(⑱中間品単価!$H$5:$H$443,MATCH($C610,⑱中間品単価!$B$5:$B$443,0)),"")</f>
        <v/>
      </c>
      <c r="H610" s="396">
        <f>IF(AND(ISNUMBER($F610),ISNUMBER($G610)),$F610*$G610,"")</f>
        <v/>
      </c>
      <c r="I610" s="392" t="n"/>
    </row>
    <row r="611">
      <c r="A611" s="392" t="n"/>
      <c r="B611" s="392" t="n"/>
      <c r="C611" s="392" t="n"/>
      <c r="D611" s="392" t="n"/>
      <c r="E611" s="392" t="n"/>
      <c r="F611" s="394" t="n"/>
      <c r="G611" s="604">
        <f>IFERROR(INDEX(⑱中間品単価!$H$5:$H$443,MATCH($C611,⑱中間品単価!$B$5:$B$443,0)),"")</f>
        <v/>
      </c>
      <c r="H611" s="396">
        <f>IF(AND(ISNUMBER($F611),ISNUMBER($G611)),$F611*$G611,"")</f>
        <v/>
      </c>
      <c r="I611" s="392" t="n"/>
    </row>
    <row r="612">
      <c r="A612" s="392" t="n"/>
      <c r="B612" s="392" t="n"/>
      <c r="C612" s="392" t="n"/>
      <c r="D612" s="392" t="n"/>
      <c r="E612" s="392" t="n"/>
      <c r="F612" s="394" t="n"/>
      <c r="G612" s="604">
        <f>IFERROR(INDEX(⑱中間品単価!$H$5:$H$443,MATCH($C612,⑱中間品単価!$B$5:$B$443,0)),"")</f>
        <v/>
      </c>
      <c r="H612" s="396">
        <f>IF(AND(ISNUMBER($F612),ISNUMBER($G612)),$F612*$G612,"")</f>
        <v/>
      </c>
      <c r="I612" s="392" t="n"/>
    </row>
    <row r="613">
      <c r="A613" s="392" t="n"/>
      <c r="B613" s="392" t="n"/>
      <c r="C613" s="392" t="n"/>
      <c r="D613" s="392" t="n"/>
      <c r="E613" s="392" t="n"/>
      <c r="F613" s="394" t="n"/>
      <c r="G613" s="604">
        <f>IFERROR(INDEX(⑱中間品単価!$H$5:$H$443,MATCH($C613,⑱中間品単価!$B$5:$B$443,0)),"")</f>
        <v/>
      </c>
      <c r="H613" s="396">
        <f>IF(AND(ISNUMBER($F613),ISNUMBER($G613)),$F613*$G613,"")</f>
        <v/>
      </c>
      <c r="I613" s="392" t="n"/>
    </row>
    <row r="614">
      <c r="A614" s="392" t="n"/>
      <c r="B614" s="392" t="n"/>
      <c r="C614" s="392" t="n"/>
      <c r="D614" s="392" t="n"/>
      <c r="E614" s="392" t="n"/>
      <c r="F614" s="394" t="n"/>
      <c r="G614" s="604">
        <f>IFERROR(INDEX(⑱中間品単価!$H$5:$H$443,MATCH($C614,⑱中間品単価!$B$5:$B$443,0)),"")</f>
        <v/>
      </c>
      <c r="H614" s="396">
        <f>IF(AND(ISNUMBER($F614),ISNUMBER($G614)),$F614*$G614,"")</f>
        <v/>
      </c>
      <c r="I614" s="392" t="n"/>
    </row>
    <row r="615">
      <c r="A615" s="392" t="n"/>
      <c r="B615" s="392" t="n"/>
      <c r="C615" s="392" t="n"/>
      <c r="D615" s="392" t="n"/>
      <c r="E615" s="392" t="n"/>
      <c r="F615" s="394" t="n"/>
      <c r="G615" s="604">
        <f>IFERROR(INDEX(⑱中間品単価!$H$5:$H$443,MATCH($C615,⑱中間品単価!$B$5:$B$443,0)),"")</f>
        <v/>
      </c>
      <c r="H615" s="396">
        <f>IF(AND(ISNUMBER($F615),ISNUMBER($G615)),$F615*$G615,"")</f>
        <v/>
      </c>
      <c r="I615" s="392" t="n"/>
    </row>
    <row r="616">
      <c r="A616" s="392" t="n"/>
      <c r="B616" s="392" t="n"/>
      <c r="C616" s="392" t="n"/>
      <c r="D616" s="392" t="n"/>
      <c r="E616" s="392" t="n"/>
      <c r="F616" s="394" t="n"/>
      <c r="G616" s="604">
        <f>IFERROR(INDEX(⑱中間品単価!$H$5:$H$443,MATCH($C616,⑱中間品単価!$B$5:$B$443,0)),"")</f>
        <v/>
      </c>
      <c r="H616" s="396">
        <f>IF(AND(ISNUMBER($F616),ISNUMBER($G616)),$F616*$G616,"")</f>
        <v/>
      </c>
      <c r="I616" s="392" t="n"/>
    </row>
    <row r="617">
      <c r="A617" s="392" t="n"/>
      <c r="B617" s="392" t="n"/>
      <c r="C617" s="392" t="n"/>
      <c r="D617" s="392" t="n"/>
      <c r="E617" s="392" t="n"/>
      <c r="F617" s="394" t="n"/>
      <c r="G617" s="604">
        <f>IFERROR(INDEX(⑱中間品単価!$H$5:$H$443,MATCH($C617,⑱中間品単価!$B$5:$B$443,0)),"")</f>
        <v/>
      </c>
      <c r="H617" s="396">
        <f>IF(AND(ISNUMBER($F617),ISNUMBER($G617)),$F617*$G617,"")</f>
        <v/>
      </c>
      <c r="I617" s="392" t="n"/>
    </row>
    <row r="618">
      <c r="A618" s="392" t="n"/>
      <c r="B618" s="392" t="n"/>
      <c r="C618" s="392" t="n"/>
      <c r="D618" s="392" t="n"/>
      <c r="E618" s="392" t="n"/>
      <c r="F618" s="394" t="n"/>
      <c r="G618" s="604">
        <f>IFERROR(INDEX(⑱中間品単価!$H$5:$H$443,MATCH($C618,⑱中間品単価!$B$5:$B$443,0)),"")</f>
        <v/>
      </c>
      <c r="H618" s="396">
        <f>IF(AND(ISNUMBER($F618),ISNUMBER($G618)),$F618*$G618,"")</f>
        <v/>
      </c>
      <c r="I618" s="392" t="n"/>
    </row>
    <row r="619">
      <c r="A619" s="392" t="n"/>
      <c r="B619" s="392" t="n"/>
      <c r="C619" s="392" t="n"/>
      <c r="D619" s="392" t="n"/>
      <c r="E619" s="392" t="n"/>
      <c r="F619" s="394" t="n"/>
      <c r="G619" s="604">
        <f>IFERROR(INDEX(⑱中間品単価!$H$5:$H$443,MATCH($C619,⑱中間品単価!$B$5:$B$443,0)),"")</f>
        <v/>
      </c>
      <c r="H619" s="396">
        <f>IF(AND(ISNUMBER($F619),ISNUMBER($G619)),$F619*$G619,"")</f>
        <v/>
      </c>
      <c r="I619" s="392" t="n"/>
    </row>
    <row r="620">
      <c r="A620" s="392" t="n"/>
      <c r="B620" s="392" t="n"/>
      <c r="C620" s="392" t="n"/>
      <c r="D620" s="392" t="n"/>
      <c r="E620" s="392" t="n"/>
      <c r="F620" s="394" t="n"/>
      <c r="G620" s="604">
        <f>IFERROR(INDEX(⑱中間品単価!$H$5:$H$443,MATCH($C620,⑱中間品単価!$B$5:$B$443,0)),"")</f>
        <v/>
      </c>
      <c r="H620" s="396">
        <f>IF(AND(ISNUMBER($F620),ISNUMBER($G620)),$F620*$G620,"")</f>
        <v/>
      </c>
      <c r="I620" s="392" t="n"/>
    </row>
    <row r="621">
      <c r="A621" s="392" t="n"/>
      <c r="B621" s="392" t="n"/>
      <c r="C621" s="392" t="n"/>
      <c r="D621" s="392" t="n"/>
      <c r="E621" s="392" t="n"/>
      <c r="F621" s="394" t="n"/>
      <c r="G621" s="604">
        <f>IFERROR(INDEX(⑱中間品単価!$H$5:$H$443,MATCH($C621,⑱中間品単価!$B$5:$B$443,0)),"")</f>
        <v/>
      </c>
      <c r="H621" s="396">
        <f>IF(AND(ISNUMBER($F621),ISNUMBER($G621)),$F621*$G621,"")</f>
        <v/>
      </c>
      <c r="I621" s="392" t="n"/>
    </row>
    <row r="622">
      <c r="A622" s="392" t="n"/>
      <c r="B622" s="392" t="n"/>
      <c r="C622" s="392" t="n"/>
      <c r="D622" s="392" t="n"/>
      <c r="E622" s="392" t="n"/>
      <c r="F622" s="394" t="n"/>
      <c r="G622" s="604">
        <f>IFERROR(INDEX(⑱中間品単価!$H$5:$H$443,MATCH($C622,⑱中間品単価!$B$5:$B$443,0)),"")</f>
        <v/>
      </c>
      <c r="H622" s="396">
        <f>IF(AND(ISNUMBER($F622),ISNUMBER($G622)),$F622*$G622,"")</f>
        <v/>
      </c>
      <c r="I622" s="392" t="n"/>
    </row>
    <row r="623">
      <c r="A623" s="392" t="n"/>
      <c r="B623" s="392" t="n"/>
      <c r="C623" s="392" t="n"/>
      <c r="D623" s="392" t="n"/>
      <c r="E623" s="392" t="n"/>
      <c r="F623" s="394" t="n"/>
      <c r="G623" s="604">
        <f>IFERROR(INDEX(⑱中間品単価!$H$5:$H$443,MATCH($C623,⑱中間品単価!$B$5:$B$443,0)),"")</f>
        <v/>
      </c>
      <c r="H623" s="396">
        <f>IF(AND(ISNUMBER($F623),ISNUMBER($G623)),$F623*$G623,"")</f>
        <v/>
      </c>
      <c r="I623" s="392" t="n"/>
    </row>
    <row r="624">
      <c r="A624" s="392" t="n"/>
      <c r="B624" s="392" t="n"/>
      <c r="C624" s="392" t="n"/>
      <c r="D624" s="392" t="n"/>
      <c r="E624" s="392" t="n"/>
      <c r="F624" s="394" t="n"/>
      <c r="G624" s="604">
        <f>IFERROR(INDEX(⑱中間品単価!$H$5:$H$443,MATCH($C624,⑱中間品単価!$B$5:$B$443,0)),"")</f>
        <v/>
      </c>
      <c r="H624" s="396">
        <f>IF(AND(ISNUMBER($F624),ISNUMBER($G624)),$F624*$G624,"")</f>
        <v/>
      </c>
      <c r="I624" s="392" t="n"/>
    </row>
    <row r="625">
      <c r="A625" s="392" t="n"/>
      <c r="B625" s="392" t="n"/>
      <c r="C625" s="392" t="n"/>
      <c r="D625" s="392" t="n"/>
      <c r="E625" s="392" t="n"/>
      <c r="F625" s="394" t="n"/>
      <c r="G625" s="604">
        <f>IFERROR(INDEX(⑱中間品単価!$H$5:$H$443,MATCH($C625,⑱中間品単価!$B$5:$B$443,0)),"")</f>
        <v/>
      </c>
      <c r="H625" s="396">
        <f>IF(AND(ISNUMBER($F625),ISNUMBER($G625)),$F625*$G625,"")</f>
        <v/>
      </c>
      <c r="I625" s="392" t="n"/>
    </row>
    <row r="626">
      <c r="A626" s="392" t="n"/>
      <c r="B626" s="392" t="n"/>
      <c r="C626" s="392" t="n"/>
      <c r="D626" s="392" t="n"/>
      <c r="E626" s="392" t="n"/>
      <c r="F626" s="394" t="n"/>
      <c r="G626" s="604">
        <f>IFERROR(INDEX(⑱中間品単価!$H$5:$H$443,MATCH($C626,⑱中間品単価!$B$5:$B$443,0)),"")</f>
        <v/>
      </c>
      <c r="H626" s="396">
        <f>IF(AND(ISNUMBER($F626),ISNUMBER($G626)),$F626*$G626,"")</f>
        <v/>
      </c>
      <c r="I626" s="392" t="n"/>
    </row>
    <row r="627">
      <c r="A627" s="392" t="n"/>
      <c r="B627" s="392" t="n"/>
      <c r="C627" s="392" t="n"/>
      <c r="D627" s="392" t="n"/>
      <c r="E627" s="392" t="n"/>
      <c r="F627" s="394" t="n"/>
      <c r="G627" s="604">
        <f>IFERROR(INDEX(⑱中間品単価!$H$5:$H$443,MATCH($C627,⑱中間品単価!$B$5:$B$443,0)),"")</f>
        <v/>
      </c>
      <c r="H627" s="396">
        <f>IF(AND(ISNUMBER($F627),ISNUMBER($G627)),$F627*$G627,"")</f>
        <v/>
      </c>
      <c r="I627" s="392" t="n"/>
    </row>
    <row r="628">
      <c r="A628" s="392" t="n"/>
      <c r="B628" s="392" t="n"/>
      <c r="C628" s="392" t="n"/>
      <c r="D628" s="392" t="n"/>
      <c r="E628" s="392" t="n"/>
      <c r="F628" s="394" t="n"/>
      <c r="G628" s="604">
        <f>IFERROR(INDEX(⑱中間品単価!$H$5:$H$443,MATCH($C628,⑱中間品単価!$B$5:$B$443,0)),"")</f>
        <v/>
      </c>
      <c r="H628" s="396">
        <f>IF(AND(ISNUMBER($F628),ISNUMBER($G628)),$F628*$G628,"")</f>
        <v/>
      </c>
      <c r="I628" s="392" t="n"/>
    </row>
    <row r="629">
      <c r="A629" s="392" t="n"/>
      <c r="B629" s="392" t="n"/>
      <c r="C629" s="392" t="n"/>
      <c r="D629" s="392" t="n"/>
      <c r="E629" s="392" t="n"/>
      <c r="F629" s="394" t="n"/>
      <c r="G629" s="604">
        <f>IFERROR(INDEX(⑱中間品単価!$H$5:$H$443,MATCH($C629,⑱中間品単価!$B$5:$B$443,0)),"")</f>
        <v/>
      </c>
      <c r="H629" s="396">
        <f>IF(AND(ISNUMBER($F629),ISNUMBER($G629)),$F629*$G629,"")</f>
        <v/>
      </c>
      <c r="I629" s="392" t="n"/>
    </row>
    <row r="630">
      <c r="A630" s="392" t="n"/>
      <c r="B630" s="392" t="n"/>
      <c r="C630" s="392" t="n"/>
      <c r="D630" s="392" t="n"/>
      <c r="E630" s="392" t="n"/>
      <c r="F630" s="394" t="n"/>
      <c r="G630" s="604">
        <f>IFERROR(INDEX(⑱中間品単価!$H$5:$H$443,MATCH($C630,⑱中間品単価!$B$5:$B$443,0)),"")</f>
        <v/>
      </c>
      <c r="H630" s="396">
        <f>IF(AND(ISNUMBER($F630),ISNUMBER($G630)),$F630*$G630,"")</f>
        <v/>
      </c>
      <c r="I630" s="392" t="n"/>
    </row>
    <row r="631">
      <c r="A631" s="392" t="n"/>
      <c r="B631" s="392" t="n"/>
      <c r="C631" s="392" t="n"/>
      <c r="D631" s="392" t="n"/>
      <c r="E631" s="392" t="n"/>
      <c r="F631" s="394" t="n"/>
      <c r="G631" s="604">
        <f>IFERROR(INDEX(⑱中間品単価!$H$5:$H$443,MATCH($C631,⑱中間品単価!$B$5:$B$443,0)),"")</f>
        <v/>
      </c>
      <c r="H631" s="396">
        <f>IF(AND(ISNUMBER($F631),ISNUMBER($G631)),$F631*$G631,"")</f>
        <v/>
      </c>
      <c r="I631" s="392" t="n"/>
    </row>
    <row r="632">
      <c r="A632" s="392" t="n"/>
      <c r="B632" s="392" t="n"/>
      <c r="C632" s="392" t="n"/>
      <c r="D632" s="392" t="n"/>
      <c r="E632" s="392" t="n"/>
      <c r="F632" s="394" t="n"/>
      <c r="G632" s="604">
        <f>IFERROR(INDEX(⑱中間品単価!$H$5:$H$443,MATCH($C632,⑱中間品単価!$B$5:$B$443,0)),"")</f>
        <v/>
      </c>
      <c r="H632" s="396">
        <f>IF(AND(ISNUMBER($F632),ISNUMBER($G632)),$F632*$G632,"")</f>
        <v/>
      </c>
      <c r="I632" s="392" t="n"/>
    </row>
    <row r="633">
      <c r="A633" s="392" t="n"/>
      <c r="B633" s="392" t="n"/>
      <c r="C633" s="392" t="n"/>
      <c r="D633" s="392" t="n"/>
      <c r="E633" s="392" t="n"/>
      <c r="F633" s="394" t="n"/>
      <c r="G633" s="604">
        <f>IFERROR(INDEX(⑱中間品単価!$H$5:$H$443,MATCH($C633,⑱中間品単価!$B$5:$B$443,0)),"")</f>
        <v/>
      </c>
      <c r="H633" s="396">
        <f>IF(AND(ISNUMBER($F633),ISNUMBER($G633)),$F633*$G633,"")</f>
        <v/>
      </c>
      <c r="I633" s="392" t="n"/>
    </row>
    <row r="634">
      <c r="A634" s="392" t="n"/>
      <c r="B634" s="392" t="n"/>
      <c r="C634" s="392" t="n"/>
      <c r="D634" s="392" t="n"/>
      <c r="E634" s="392" t="n"/>
      <c r="F634" s="394" t="n"/>
      <c r="G634" s="604">
        <f>IFERROR(INDEX(⑱中間品単価!$H$5:$H$443,MATCH($C634,⑱中間品単価!$B$5:$B$443,0)),"")</f>
        <v/>
      </c>
      <c r="H634" s="396">
        <f>IF(AND(ISNUMBER($F634),ISNUMBER($G634)),$F634*$G634,"")</f>
        <v/>
      </c>
      <c r="I634" s="392" t="n"/>
    </row>
    <row r="635">
      <c r="A635" s="392" t="n"/>
      <c r="B635" s="392" t="n"/>
      <c r="C635" s="392" t="n"/>
      <c r="D635" s="392" t="n"/>
      <c r="E635" s="392" t="n"/>
      <c r="F635" s="394" t="n"/>
      <c r="G635" s="604">
        <f>IFERROR(INDEX(⑱中間品単価!$H$5:$H$443,MATCH($C635,⑱中間品単価!$B$5:$B$443,0)),"")</f>
        <v/>
      </c>
      <c r="H635" s="396">
        <f>IF(AND(ISNUMBER($F635),ISNUMBER($G635)),$F635*$G635,"")</f>
        <v/>
      </c>
      <c r="I635" s="392" t="n"/>
    </row>
    <row r="636">
      <c r="A636" s="392" t="n"/>
      <c r="B636" s="392" t="n"/>
      <c r="C636" s="392" t="n"/>
      <c r="D636" s="392" t="n"/>
      <c r="E636" s="392" t="n"/>
      <c r="F636" s="394" t="n"/>
      <c r="G636" s="604">
        <f>IFERROR(INDEX(⑱中間品単価!$H$5:$H$443,MATCH($C636,⑱中間品単価!$B$5:$B$443,0)),"")</f>
        <v/>
      </c>
      <c r="H636" s="396">
        <f>IF(AND(ISNUMBER($F636),ISNUMBER($G636)),$F636*$G636,"")</f>
        <v/>
      </c>
      <c r="I636" s="392" t="n"/>
    </row>
    <row r="637">
      <c r="A637" s="392" t="n"/>
      <c r="B637" s="392" t="n"/>
      <c r="C637" s="392" t="n"/>
      <c r="D637" s="392" t="n"/>
      <c r="E637" s="392" t="n"/>
      <c r="F637" s="394" t="n"/>
      <c r="G637" s="604">
        <f>IFERROR(INDEX(⑱中間品単価!$H$5:$H$443,MATCH($C637,⑱中間品単価!$B$5:$B$443,0)),"")</f>
        <v/>
      </c>
      <c r="H637" s="396">
        <f>IF(AND(ISNUMBER($F637),ISNUMBER($G637)),$F637*$G637,"")</f>
        <v/>
      </c>
      <c r="I637" s="392" t="n"/>
    </row>
    <row r="638">
      <c r="A638" s="392" t="n"/>
      <c r="B638" s="392" t="n"/>
      <c r="C638" s="392" t="n"/>
      <c r="D638" s="392" t="n"/>
      <c r="E638" s="392" t="n"/>
      <c r="F638" s="394" t="n"/>
      <c r="G638" s="604">
        <f>IFERROR(INDEX(⑱中間品単価!$H$5:$H$443,MATCH($C638,⑱中間品単価!$B$5:$B$443,0)),"")</f>
        <v/>
      </c>
      <c r="H638" s="396">
        <f>IF(AND(ISNUMBER($F638),ISNUMBER($G638)),$F638*$G638,"")</f>
        <v/>
      </c>
      <c r="I638" s="392" t="n"/>
    </row>
    <row r="639">
      <c r="A639" s="392" t="n"/>
      <c r="B639" s="392" t="n"/>
      <c r="C639" s="392" t="n"/>
      <c r="D639" s="392" t="n"/>
      <c r="E639" s="392" t="n"/>
      <c r="F639" s="394" t="n"/>
      <c r="G639" s="604">
        <f>IFERROR(INDEX(⑱中間品単価!$H$5:$H$443,MATCH($C639,⑱中間品単価!$B$5:$B$443,0)),"")</f>
        <v/>
      </c>
      <c r="H639" s="396">
        <f>IF(AND(ISNUMBER($F639),ISNUMBER($G639)),$F639*$G639,"")</f>
        <v/>
      </c>
      <c r="I639" s="392" t="n"/>
    </row>
    <row r="640">
      <c r="A640" s="392" t="n"/>
      <c r="B640" s="392" t="n"/>
      <c r="C640" s="392" t="n"/>
      <c r="D640" s="392" t="n"/>
      <c r="E640" s="392" t="n"/>
      <c r="F640" s="394" t="n"/>
      <c r="G640" s="604">
        <f>IFERROR(INDEX(⑱中間品単価!$H$5:$H$443,MATCH($C640,⑱中間品単価!$B$5:$B$443,0)),"")</f>
        <v/>
      </c>
      <c r="H640" s="396">
        <f>IF(AND(ISNUMBER($F640),ISNUMBER($G640)),$F640*$G640,"")</f>
        <v/>
      </c>
      <c r="I640" s="392" t="n"/>
    </row>
    <row r="641">
      <c r="A641" s="392" t="n"/>
      <c r="B641" s="392" t="n"/>
      <c r="C641" s="392" t="n"/>
      <c r="D641" s="392" t="n"/>
      <c r="E641" s="392" t="n"/>
      <c r="F641" s="394" t="n"/>
      <c r="G641" s="604">
        <f>IFERROR(INDEX(⑱中間品単価!$H$5:$H$443,MATCH($C641,⑱中間品単価!$B$5:$B$443,0)),"")</f>
        <v/>
      </c>
      <c r="H641" s="396">
        <f>IF(AND(ISNUMBER($F641),ISNUMBER($G641)),$F641*$G641,"")</f>
        <v/>
      </c>
      <c r="I641" s="392" t="n"/>
    </row>
    <row r="642">
      <c r="A642" s="392" t="n"/>
      <c r="B642" s="392" t="n"/>
      <c r="C642" s="392" t="n"/>
      <c r="D642" s="392" t="n"/>
      <c r="E642" s="392" t="n"/>
      <c r="F642" s="394" t="n"/>
      <c r="G642" s="604">
        <f>IFERROR(INDEX(⑱中間品単価!$H$5:$H$443,MATCH($C642,⑱中間品単価!$B$5:$B$443,0)),"")</f>
        <v/>
      </c>
      <c r="H642" s="396">
        <f>IF(AND(ISNUMBER($F642),ISNUMBER($G642)),$F642*$G642,"")</f>
        <v/>
      </c>
      <c r="I642" s="392" t="n"/>
    </row>
    <row r="643">
      <c r="A643" s="392" t="n"/>
      <c r="B643" s="392" t="n"/>
      <c r="C643" s="392" t="n"/>
      <c r="D643" s="392" t="n"/>
      <c r="E643" s="392" t="n"/>
      <c r="F643" s="394" t="n"/>
      <c r="G643" s="604">
        <f>IFERROR(INDEX(⑱中間品単価!$H$5:$H$443,MATCH($C643,⑱中間品単価!$B$5:$B$443,0)),"")</f>
        <v/>
      </c>
      <c r="H643" s="396">
        <f>IF(AND(ISNUMBER($F643),ISNUMBER($G643)),$F643*$G643,"")</f>
        <v/>
      </c>
      <c r="I643" s="392" t="n"/>
    </row>
    <row r="644">
      <c r="A644" s="392" t="n"/>
      <c r="B644" s="392" t="n"/>
      <c r="C644" s="392" t="n"/>
      <c r="D644" s="392" t="n"/>
      <c r="E644" s="392" t="n"/>
      <c r="F644" s="394" t="n"/>
      <c r="G644" s="604">
        <f>IFERROR(INDEX(⑱中間品単価!$H$5:$H$443,MATCH($C644,⑱中間品単価!$B$5:$B$443,0)),"")</f>
        <v/>
      </c>
      <c r="H644" s="396">
        <f>IF(AND(ISNUMBER($F644),ISNUMBER($G644)),$F644*$G644,"")</f>
        <v/>
      </c>
      <c r="I644" s="392" t="n"/>
    </row>
    <row r="645">
      <c r="A645" s="392" t="n"/>
      <c r="B645" s="392" t="n"/>
      <c r="C645" s="392" t="n"/>
      <c r="D645" s="392" t="n"/>
      <c r="E645" s="392" t="n"/>
      <c r="F645" s="394" t="n"/>
      <c r="G645" s="604">
        <f>IFERROR(INDEX(⑱中間品単価!$H$5:$H$443,MATCH($C645,⑱中間品単価!$B$5:$B$443,0)),"")</f>
        <v/>
      </c>
      <c r="H645" s="396">
        <f>IF(AND(ISNUMBER($F645),ISNUMBER($G645)),$F645*$G645,"")</f>
        <v/>
      </c>
      <c r="I645" s="392" t="n"/>
    </row>
    <row r="646">
      <c r="A646" s="392" t="n"/>
      <c r="B646" s="392" t="n"/>
      <c r="C646" s="392" t="n"/>
      <c r="D646" s="392" t="n"/>
      <c r="E646" s="392" t="n"/>
      <c r="F646" s="394" t="n"/>
      <c r="G646" s="604">
        <f>IFERROR(INDEX(⑱中間品単価!$H$5:$H$443,MATCH($C646,⑱中間品単価!$B$5:$B$443,0)),"")</f>
        <v/>
      </c>
      <c r="H646" s="396">
        <f>IF(AND(ISNUMBER($F646),ISNUMBER($G646)),$F646*$G646,"")</f>
        <v/>
      </c>
      <c r="I646" s="392" t="n"/>
    </row>
    <row r="647">
      <c r="A647" s="392" t="n"/>
      <c r="B647" s="392" t="n"/>
      <c r="C647" s="392" t="n"/>
      <c r="D647" s="392" t="n"/>
      <c r="E647" s="392" t="n"/>
      <c r="F647" s="394" t="n"/>
      <c r="G647" s="604">
        <f>IFERROR(INDEX(⑱中間品単価!$H$5:$H$443,MATCH($C647,⑱中間品単価!$B$5:$B$443,0)),"")</f>
        <v/>
      </c>
      <c r="H647" s="396">
        <f>IF(AND(ISNUMBER($F647),ISNUMBER($G647)),$F647*$G647,"")</f>
        <v/>
      </c>
      <c r="I647" s="392" t="n"/>
    </row>
    <row r="648">
      <c r="A648" s="392" t="n"/>
      <c r="B648" s="392" t="n"/>
      <c r="C648" s="392" t="n"/>
      <c r="D648" s="392" t="n"/>
      <c r="E648" s="392" t="n"/>
      <c r="F648" s="394" t="n"/>
      <c r="G648" s="604">
        <f>IFERROR(INDEX(⑱中間品単価!$H$5:$H$443,MATCH($C648,⑱中間品単価!$B$5:$B$443,0)),"")</f>
        <v/>
      </c>
      <c r="H648" s="396">
        <f>IF(AND(ISNUMBER($F648),ISNUMBER($G648)),$F648*$G648,"")</f>
        <v/>
      </c>
      <c r="I648" s="392" t="n"/>
    </row>
    <row r="649">
      <c r="A649" s="392" t="n"/>
      <c r="B649" s="392" t="n"/>
      <c r="C649" s="392" t="n"/>
      <c r="D649" s="392" t="n"/>
      <c r="E649" s="392" t="n"/>
      <c r="F649" s="394" t="n"/>
      <c r="G649" s="604">
        <f>IFERROR(INDEX(⑱中間品単価!$H$5:$H$443,MATCH($C649,⑱中間品単価!$B$5:$B$443,0)),"")</f>
        <v/>
      </c>
      <c r="H649" s="396">
        <f>IF(AND(ISNUMBER($F649),ISNUMBER($G649)),$F649*$G649,"")</f>
        <v/>
      </c>
      <c r="I649" s="392" t="n"/>
    </row>
    <row r="650">
      <c r="A650" s="392" t="n"/>
      <c r="B650" s="392" t="n"/>
      <c r="C650" s="392" t="n"/>
      <c r="D650" s="392" t="n"/>
      <c r="E650" s="392" t="n"/>
      <c r="F650" s="394" t="n"/>
      <c r="G650" s="604">
        <f>IFERROR(INDEX(⑱中間品単価!$H$5:$H$443,MATCH($C650,⑱中間品単価!$B$5:$B$443,0)),"")</f>
        <v/>
      </c>
      <c r="H650" s="396">
        <f>IF(AND(ISNUMBER($F650),ISNUMBER($G650)),$F650*$G650,"")</f>
        <v/>
      </c>
      <c r="I650" s="392" t="n"/>
    </row>
    <row r="651">
      <c r="A651" s="392" t="n"/>
      <c r="B651" s="392" t="n"/>
      <c r="C651" s="392" t="n"/>
      <c r="D651" s="392" t="n"/>
      <c r="E651" s="392" t="n"/>
      <c r="F651" s="394" t="n"/>
      <c r="G651" s="604">
        <f>IFERROR(INDEX(⑱中間品単価!$H$5:$H$443,MATCH($C651,⑱中間品単価!$B$5:$B$443,0)),"")</f>
        <v/>
      </c>
      <c r="H651" s="396">
        <f>IF(AND(ISNUMBER($F651),ISNUMBER($G651)),$F651*$G651,"")</f>
        <v/>
      </c>
      <c r="I651" s="392" t="n"/>
    </row>
    <row r="652">
      <c r="A652" s="392" t="n"/>
      <c r="B652" s="392" t="n"/>
      <c r="C652" s="392" t="n"/>
      <c r="D652" s="392" t="n"/>
      <c r="E652" s="392" t="n"/>
      <c r="F652" s="394" t="n"/>
      <c r="G652" s="604">
        <f>IFERROR(INDEX(⑱中間品単価!$H$5:$H$443,MATCH($C652,⑱中間品単価!$B$5:$B$443,0)),"")</f>
        <v/>
      </c>
      <c r="H652" s="396">
        <f>IF(AND(ISNUMBER($F652),ISNUMBER($G652)),$F652*$G652,"")</f>
        <v/>
      </c>
      <c r="I652" s="392" t="n"/>
    </row>
    <row r="653">
      <c r="A653" s="392" t="n"/>
      <c r="B653" s="392" t="n"/>
      <c r="C653" s="392" t="n"/>
      <c r="D653" s="392" t="n"/>
      <c r="E653" s="392" t="n"/>
      <c r="F653" s="394" t="n"/>
      <c r="G653" s="604">
        <f>IFERROR(INDEX(⑱中間品単価!$H$5:$H$443,MATCH($C653,⑱中間品単価!$B$5:$B$443,0)),"")</f>
        <v/>
      </c>
      <c r="H653" s="396">
        <f>IF(AND(ISNUMBER($F653),ISNUMBER($G653)),$F653*$G653,"")</f>
        <v/>
      </c>
      <c r="I653" s="392" t="n"/>
    </row>
    <row r="654">
      <c r="A654" s="392" t="n"/>
      <c r="B654" s="392" t="n"/>
      <c r="C654" s="392" t="n"/>
      <c r="D654" s="392" t="n"/>
      <c r="E654" s="392" t="n"/>
      <c r="F654" s="394" t="n"/>
      <c r="G654" s="604">
        <f>IFERROR(INDEX(⑱中間品単価!$H$5:$H$443,MATCH($C654,⑱中間品単価!$B$5:$B$443,0)),"")</f>
        <v/>
      </c>
      <c r="H654" s="396">
        <f>IF(AND(ISNUMBER($F654),ISNUMBER($G654)),$F654*$G654,"")</f>
        <v/>
      </c>
      <c r="I654" s="392" t="n"/>
    </row>
    <row r="655">
      <c r="A655" s="392" t="n"/>
      <c r="B655" s="392" t="n"/>
      <c r="C655" s="392" t="n"/>
      <c r="D655" s="392" t="n"/>
      <c r="E655" s="392" t="n"/>
      <c r="F655" s="394" t="n"/>
      <c r="G655" s="604">
        <f>IFERROR(INDEX(⑱中間品単価!$H$5:$H$443,MATCH($C655,⑱中間品単価!$B$5:$B$443,0)),"")</f>
        <v/>
      </c>
      <c r="H655" s="396">
        <f>IF(AND(ISNUMBER($F655),ISNUMBER($G655)),$F655*$G655,"")</f>
        <v/>
      </c>
      <c r="I655" s="392" t="n"/>
    </row>
    <row r="656">
      <c r="A656" s="392" t="n"/>
      <c r="B656" s="392" t="n"/>
      <c r="C656" s="392" t="n"/>
      <c r="D656" s="392" t="n"/>
      <c r="E656" s="392" t="n"/>
      <c r="F656" s="394" t="n"/>
      <c r="G656" s="604">
        <f>IFERROR(INDEX(⑱中間品単価!$H$5:$H$443,MATCH($C656,⑱中間品単価!$B$5:$B$443,0)),"")</f>
        <v/>
      </c>
      <c r="H656" s="396">
        <f>IF(AND(ISNUMBER($F656),ISNUMBER($G656)),$F656*$G656,"")</f>
        <v/>
      </c>
      <c r="I656" s="392" t="n"/>
    </row>
    <row r="657">
      <c r="A657" s="392" t="n"/>
      <c r="B657" s="392" t="n"/>
      <c r="C657" s="392" t="n"/>
      <c r="D657" s="392" t="n"/>
      <c r="E657" s="392" t="n"/>
      <c r="F657" s="394" t="n"/>
      <c r="G657" s="604">
        <f>IFERROR(INDEX(⑱中間品単価!$H$5:$H$443,MATCH($C657,⑱中間品単価!$B$5:$B$443,0)),"")</f>
        <v/>
      </c>
      <c r="H657" s="396">
        <f>IF(AND(ISNUMBER($F657),ISNUMBER($G657)),$F657*$G657,"")</f>
        <v/>
      </c>
      <c r="I657" s="392" t="n"/>
    </row>
    <row r="658">
      <c r="A658" s="392" t="n"/>
      <c r="B658" s="392" t="n"/>
      <c r="C658" s="392" t="n"/>
      <c r="D658" s="392" t="n"/>
      <c r="E658" s="392" t="n"/>
      <c r="F658" s="394" t="n"/>
      <c r="G658" s="604">
        <f>IFERROR(INDEX(⑱中間品単価!$H$5:$H$443,MATCH($C658,⑱中間品単価!$B$5:$B$443,0)),"")</f>
        <v/>
      </c>
      <c r="H658" s="396">
        <f>IF(AND(ISNUMBER($F658),ISNUMBER($G658)),$F658*$G658,"")</f>
        <v/>
      </c>
      <c r="I658" s="392" t="n"/>
    </row>
    <row r="659">
      <c r="A659" s="392" t="n"/>
      <c r="B659" s="392" t="n"/>
      <c r="C659" s="392" t="n"/>
      <c r="D659" s="392" t="n"/>
      <c r="E659" s="392" t="n"/>
      <c r="F659" s="394" t="n"/>
      <c r="G659" s="604">
        <f>IFERROR(INDEX(⑱中間品単価!$H$5:$H$443,MATCH($C659,⑱中間品単価!$B$5:$B$443,0)),"")</f>
        <v/>
      </c>
      <c r="H659" s="396">
        <f>IF(AND(ISNUMBER($F659),ISNUMBER($G659)),$F659*$G659,"")</f>
        <v/>
      </c>
      <c r="I659" s="392" t="n"/>
    </row>
    <row r="660">
      <c r="A660" s="392" t="n"/>
      <c r="B660" s="392" t="n"/>
      <c r="C660" s="392" t="n"/>
      <c r="D660" s="392" t="n"/>
      <c r="E660" s="392" t="n"/>
      <c r="F660" s="394" t="n"/>
      <c r="G660" s="604">
        <f>IFERROR(INDEX(⑱中間品単価!$H$5:$H$443,MATCH($C660,⑱中間品単価!$B$5:$B$443,0)),"")</f>
        <v/>
      </c>
      <c r="H660" s="396">
        <f>IF(AND(ISNUMBER($F660),ISNUMBER($G660)),$F660*$G660,"")</f>
        <v/>
      </c>
      <c r="I660" s="392" t="n"/>
    </row>
    <row r="661">
      <c r="A661" s="392" t="n"/>
      <c r="B661" s="392" t="n"/>
      <c r="C661" s="392" t="n"/>
      <c r="D661" s="392" t="n"/>
      <c r="E661" s="392" t="n"/>
      <c r="F661" s="394" t="n"/>
      <c r="G661" s="604">
        <f>IFERROR(INDEX(⑱中間品単価!$H$5:$H$443,MATCH($C661,⑱中間品単価!$B$5:$B$443,0)),"")</f>
        <v/>
      </c>
      <c r="H661" s="396">
        <f>IF(AND(ISNUMBER($F661),ISNUMBER($G661)),$F661*$G661,"")</f>
        <v/>
      </c>
      <c r="I661" s="392" t="n"/>
    </row>
    <row r="662">
      <c r="A662" s="392" t="n"/>
      <c r="B662" s="392" t="n"/>
      <c r="C662" s="392" t="n"/>
      <c r="D662" s="392" t="n"/>
      <c r="E662" s="392" t="n"/>
      <c r="F662" s="394" t="n"/>
      <c r="G662" s="604">
        <f>IFERROR(INDEX(⑱中間品単価!$H$5:$H$443,MATCH($C662,⑱中間品単価!$B$5:$B$443,0)),"")</f>
        <v/>
      </c>
      <c r="H662" s="396">
        <f>IF(AND(ISNUMBER($F662),ISNUMBER($G662)),$F662*$G662,"")</f>
        <v/>
      </c>
      <c r="I662" s="392" t="n"/>
    </row>
    <row r="663">
      <c r="A663" s="392" t="n"/>
      <c r="B663" s="392" t="n"/>
      <c r="C663" s="392" t="n"/>
      <c r="D663" s="392" t="n"/>
      <c r="E663" s="392" t="n"/>
      <c r="F663" s="394" t="n"/>
      <c r="G663" s="604">
        <f>IFERROR(INDEX(⑱中間品単価!$H$5:$H$443,MATCH($C663,⑱中間品単価!$B$5:$B$443,0)),"")</f>
        <v/>
      </c>
      <c r="H663" s="396">
        <f>IF(AND(ISNUMBER($F663),ISNUMBER($G663)),$F663*$G663,"")</f>
        <v/>
      </c>
      <c r="I663" s="392" t="n"/>
    </row>
    <row r="664">
      <c r="A664" s="392" t="n"/>
      <c r="B664" s="392" t="n"/>
      <c r="C664" s="392" t="n"/>
      <c r="D664" s="392" t="n"/>
      <c r="E664" s="392" t="n"/>
      <c r="F664" s="394" t="n"/>
      <c r="G664" s="604">
        <f>IFERROR(INDEX(⑱中間品単価!$H$5:$H$443,MATCH($C664,⑱中間品単価!$B$5:$B$443,0)),"")</f>
        <v/>
      </c>
      <c r="H664" s="396">
        <f>IF(AND(ISNUMBER($F664),ISNUMBER($G664)),$F664*$G664,"")</f>
        <v/>
      </c>
      <c r="I664" s="392" t="n"/>
    </row>
    <row r="665">
      <c r="A665" s="392" t="n"/>
      <c r="B665" s="392" t="n"/>
      <c r="C665" s="392" t="n"/>
      <c r="D665" s="392" t="n"/>
      <c r="E665" s="392" t="n"/>
      <c r="F665" s="394" t="n"/>
      <c r="G665" s="604">
        <f>IFERROR(INDEX(⑱中間品単価!$H$5:$H$443,MATCH($C665,⑱中間品単価!$B$5:$B$443,0)),"")</f>
        <v/>
      </c>
      <c r="H665" s="396">
        <f>IF(AND(ISNUMBER($F665),ISNUMBER($G665)),$F665*$G665,"")</f>
        <v/>
      </c>
      <c r="I665" s="392" t="n"/>
    </row>
    <row r="666">
      <c r="A666" s="392" t="n"/>
      <c r="B666" s="392" t="n"/>
      <c r="C666" s="392" t="n"/>
      <c r="D666" s="392" t="n"/>
      <c r="E666" s="392" t="n"/>
      <c r="F666" s="394" t="n"/>
      <c r="G666" s="604">
        <f>IFERROR(INDEX(⑱中間品単価!$H$5:$H$443,MATCH($C666,⑱中間品単価!$B$5:$B$443,0)),"")</f>
        <v/>
      </c>
      <c r="H666" s="396">
        <f>IF(AND(ISNUMBER($F666),ISNUMBER($G666)),$F666*$G666,"")</f>
        <v/>
      </c>
      <c r="I666" s="392" t="n"/>
    </row>
    <row r="667">
      <c r="A667" s="392" t="n"/>
      <c r="B667" s="392" t="n"/>
      <c r="C667" s="392" t="n"/>
      <c r="D667" s="392" t="n"/>
      <c r="E667" s="392" t="n"/>
      <c r="F667" s="394" t="n"/>
      <c r="G667" s="604">
        <f>IFERROR(INDEX(⑱中間品単価!$H$5:$H$443,MATCH($C667,⑱中間品単価!$B$5:$B$443,0)),"")</f>
        <v/>
      </c>
      <c r="H667" s="396">
        <f>IF(AND(ISNUMBER($F667),ISNUMBER($G667)),$F667*$G667,"")</f>
        <v/>
      </c>
      <c r="I667" s="392" t="n"/>
    </row>
    <row r="668">
      <c r="A668" s="392" t="n"/>
      <c r="B668" s="392" t="n"/>
      <c r="C668" s="392" t="n"/>
      <c r="D668" s="392" t="n"/>
      <c r="E668" s="392" t="n"/>
      <c r="F668" s="394" t="n"/>
      <c r="G668" s="604">
        <f>IFERROR(INDEX(⑱中間品単価!$H$5:$H$443,MATCH($C668,⑱中間品単価!$B$5:$B$443,0)),"")</f>
        <v/>
      </c>
      <c r="H668" s="396">
        <f>IF(AND(ISNUMBER($F668),ISNUMBER($G668)),$F668*$G668,"")</f>
        <v/>
      </c>
      <c r="I668" s="392" t="n"/>
    </row>
    <row r="669">
      <c r="A669" s="392" t="n"/>
      <c r="B669" s="392" t="n"/>
      <c r="C669" s="392" t="n"/>
      <c r="D669" s="392" t="n"/>
      <c r="E669" s="392" t="n"/>
      <c r="F669" s="394" t="n"/>
      <c r="G669" s="604">
        <f>IFERROR(INDEX(⑱中間品単価!$H$5:$H$443,MATCH($C669,⑱中間品単価!$B$5:$B$443,0)),"")</f>
        <v/>
      </c>
      <c r="H669" s="396">
        <f>IF(AND(ISNUMBER($F669),ISNUMBER($G669)),$F669*$G669,"")</f>
        <v/>
      </c>
      <c r="I669" s="392" t="n"/>
    </row>
    <row r="670">
      <c r="A670" s="392" t="n"/>
      <c r="B670" s="392" t="n"/>
      <c r="C670" s="392" t="n"/>
      <c r="D670" s="392" t="n"/>
      <c r="E670" s="392" t="n"/>
      <c r="F670" s="394" t="n"/>
      <c r="G670" s="604">
        <f>IFERROR(INDEX(⑱中間品単価!$H$5:$H$443,MATCH($C670,⑱中間品単価!$B$5:$B$443,0)),"")</f>
        <v/>
      </c>
      <c r="H670" s="396">
        <f>IF(AND(ISNUMBER($F670),ISNUMBER($G670)),$F670*$G670,"")</f>
        <v/>
      </c>
      <c r="I670" s="392" t="n"/>
    </row>
    <row r="671">
      <c r="A671" s="392" t="n"/>
      <c r="B671" s="392" t="n"/>
      <c r="C671" s="392" t="n"/>
      <c r="D671" s="392" t="n"/>
      <c r="E671" s="392" t="n"/>
      <c r="F671" s="394" t="n"/>
      <c r="G671" s="604">
        <f>IFERROR(INDEX(⑱中間品単価!$H$5:$H$443,MATCH($C671,⑱中間品単価!$B$5:$B$443,0)),"")</f>
        <v/>
      </c>
      <c r="H671" s="396">
        <f>IF(AND(ISNUMBER($F671),ISNUMBER($G671)),$F671*$G671,"")</f>
        <v/>
      </c>
      <c r="I671" s="392" t="n"/>
    </row>
    <row r="672">
      <c r="A672" s="392" t="n"/>
      <c r="B672" s="392" t="n"/>
      <c r="C672" s="392" t="n"/>
      <c r="D672" s="392" t="n"/>
      <c r="E672" s="392" t="n"/>
      <c r="F672" s="394" t="n"/>
      <c r="G672" s="604">
        <f>IFERROR(INDEX(⑱中間品単価!$H$5:$H$443,MATCH($C672,⑱中間品単価!$B$5:$B$443,0)),"")</f>
        <v/>
      </c>
      <c r="H672" s="396">
        <f>IF(AND(ISNUMBER($F672),ISNUMBER($G672)),$F672*$G672,"")</f>
        <v/>
      </c>
      <c r="I672" s="392" t="n"/>
    </row>
    <row r="673">
      <c r="A673" s="392" t="n"/>
      <c r="B673" s="392" t="n"/>
      <c r="C673" s="392" t="n"/>
      <c r="D673" s="392" t="n"/>
      <c r="E673" s="392" t="n"/>
      <c r="F673" s="394" t="n"/>
      <c r="G673" s="604">
        <f>IFERROR(INDEX(⑱中間品単価!$H$5:$H$443,MATCH($C673,⑱中間品単価!$B$5:$B$443,0)),"")</f>
        <v/>
      </c>
      <c r="H673" s="396">
        <f>IF(AND(ISNUMBER($F673),ISNUMBER($G673)),$F673*$G673,"")</f>
        <v/>
      </c>
      <c r="I673" s="392" t="n"/>
    </row>
    <row r="674">
      <c r="A674" s="392" t="n"/>
      <c r="B674" s="392" t="n"/>
      <c r="C674" s="392" t="n"/>
      <c r="D674" s="392" t="n"/>
      <c r="E674" s="392" t="n"/>
      <c r="F674" s="394" t="n"/>
      <c r="G674" s="604">
        <f>IFERROR(INDEX(⑱中間品単価!$H$5:$H$443,MATCH($C674,⑱中間品単価!$B$5:$B$443,0)),"")</f>
        <v/>
      </c>
      <c r="H674" s="396">
        <f>IF(AND(ISNUMBER($F674),ISNUMBER($G674)),$F674*$G674,"")</f>
        <v/>
      </c>
      <c r="I674" s="392" t="n"/>
    </row>
    <row r="675">
      <c r="A675" s="392" t="n"/>
      <c r="B675" s="392" t="n"/>
      <c r="C675" s="392" t="n"/>
      <c r="D675" s="392" t="n"/>
      <c r="E675" s="392" t="n"/>
      <c r="F675" s="394" t="n"/>
      <c r="G675" s="604">
        <f>IFERROR(INDEX(⑱中間品単価!$H$5:$H$443,MATCH($C675,⑱中間品単価!$B$5:$B$443,0)),"")</f>
        <v/>
      </c>
      <c r="H675" s="396">
        <f>IF(AND(ISNUMBER($F675),ISNUMBER($G675)),$F675*$G675,"")</f>
        <v/>
      </c>
      <c r="I675" s="392" t="n"/>
    </row>
    <row r="676">
      <c r="A676" s="392" t="n"/>
      <c r="B676" s="392" t="n"/>
      <c r="C676" s="392" t="n"/>
      <c r="D676" s="392" t="n"/>
      <c r="E676" s="392" t="n"/>
      <c r="F676" s="394" t="n"/>
      <c r="G676" s="604">
        <f>IFERROR(INDEX(⑱中間品単価!$H$5:$H$443,MATCH($C676,⑱中間品単価!$B$5:$B$443,0)),"")</f>
        <v/>
      </c>
      <c r="H676" s="396">
        <f>IF(AND(ISNUMBER($F676),ISNUMBER($G676)),$F676*$G676,"")</f>
        <v/>
      </c>
      <c r="I676" s="392" t="n"/>
    </row>
    <row r="677">
      <c r="A677" s="392" t="n"/>
      <c r="B677" s="392" t="n"/>
      <c r="C677" s="392" t="n"/>
      <c r="D677" s="392" t="n"/>
      <c r="E677" s="392" t="n"/>
      <c r="F677" s="394" t="n"/>
      <c r="G677" s="604">
        <f>IFERROR(INDEX(⑱中間品単価!$H$5:$H$443,MATCH($C677,⑱中間品単価!$B$5:$B$443,0)),"")</f>
        <v/>
      </c>
      <c r="H677" s="396">
        <f>IF(AND(ISNUMBER($F677),ISNUMBER($G677)),$F677*$G677,"")</f>
        <v/>
      </c>
      <c r="I677" s="392" t="n"/>
    </row>
    <row r="678">
      <c r="A678" s="392" t="n"/>
      <c r="B678" s="392" t="n"/>
      <c r="C678" s="392" t="n"/>
      <c r="D678" s="392" t="n"/>
      <c r="E678" s="392" t="n"/>
      <c r="F678" s="394" t="n"/>
      <c r="G678" s="604">
        <f>IFERROR(INDEX(⑱中間品単価!$H$5:$H$443,MATCH($C678,⑱中間品単価!$B$5:$B$443,0)),"")</f>
        <v/>
      </c>
      <c r="H678" s="396">
        <f>IF(AND(ISNUMBER($F678),ISNUMBER($G678)),$F678*$G678,"")</f>
        <v/>
      </c>
      <c r="I678" s="392" t="n"/>
    </row>
    <row r="679">
      <c r="A679" s="392" t="n"/>
      <c r="B679" s="392" t="n"/>
      <c r="C679" s="392" t="n"/>
      <c r="D679" s="392" t="n"/>
      <c r="E679" s="392" t="n"/>
      <c r="F679" s="394" t="n"/>
      <c r="G679" s="604">
        <f>IFERROR(INDEX(⑱中間品単価!$H$5:$H$443,MATCH($C679,⑱中間品単価!$B$5:$B$443,0)),"")</f>
        <v/>
      </c>
      <c r="H679" s="396">
        <f>IF(AND(ISNUMBER($F679),ISNUMBER($G679)),$F679*$G679,"")</f>
        <v/>
      </c>
      <c r="I679" s="392" t="n"/>
    </row>
    <row r="680">
      <c r="A680" s="392" t="n"/>
      <c r="B680" s="392" t="n"/>
      <c r="C680" s="392" t="n"/>
      <c r="D680" s="392" t="n"/>
      <c r="E680" s="392" t="n"/>
      <c r="F680" s="394" t="n"/>
      <c r="G680" s="604">
        <f>IFERROR(INDEX(⑱中間品単価!$H$5:$H$443,MATCH($C680,⑱中間品単価!$B$5:$B$443,0)),"")</f>
        <v/>
      </c>
      <c r="H680" s="396">
        <f>IF(AND(ISNUMBER($F680),ISNUMBER($G680)),$F680*$G680,"")</f>
        <v/>
      </c>
      <c r="I680" s="392" t="n"/>
    </row>
    <row r="681">
      <c r="A681" s="392" t="n"/>
      <c r="B681" s="392" t="n"/>
      <c r="C681" s="392" t="n"/>
      <c r="D681" s="392" t="n"/>
      <c r="E681" s="392" t="n"/>
      <c r="F681" s="394" t="n"/>
      <c r="G681" s="604">
        <f>IFERROR(INDEX(⑱中間品単価!$H$5:$H$443,MATCH($C681,⑱中間品単価!$B$5:$B$443,0)),"")</f>
        <v/>
      </c>
      <c r="H681" s="396">
        <f>IF(AND(ISNUMBER($F681),ISNUMBER($G681)),$F681*$G681,"")</f>
        <v/>
      </c>
      <c r="I681" s="392" t="n"/>
    </row>
    <row r="682">
      <c r="A682" s="392" t="n"/>
      <c r="B682" s="392" t="n"/>
      <c r="C682" s="392" t="n"/>
      <c r="D682" s="392" t="n"/>
      <c r="E682" s="392" t="n"/>
      <c r="F682" s="394" t="n"/>
      <c r="G682" s="604">
        <f>IFERROR(INDEX(⑱中間品単価!$H$5:$H$443,MATCH($C682,⑱中間品単価!$B$5:$B$443,0)),"")</f>
        <v/>
      </c>
      <c r="H682" s="396">
        <f>IF(AND(ISNUMBER($F682),ISNUMBER($G682)),$F682*$G682,"")</f>
        <v/>
      </c>
      <c r="I682" s="392" t="n"/>
    </row>
    <row r="683">
      <c r="A683" s="392" t="n"/>
      <c r="B683" s="392" t="n"/>
      <c r="C683" s="392" t="n"/>
      <c r="D683" s="392" t="n"/>
      <c r="E683" s="392" t="n"/>
      <c r="F683" s="394" t="n"/>
      <c r="G683" s="604">
        <f>IFERROR(INDEX(⑱中間品単価!$H$5:$H$443,MATCH($C683,⑱中間品単価!$B$5:$B$443,0)),"")</f>
        <v/>
      </c>
      <c r="H683" s="396">
        <f>IF(AND(ISNUMBER($F683),ISNUMBER($G683)),$F683*$G683,"")</f>
        <v/>
      </c>
      <c r="I683" s="392" t="n"/>
    </row>
    <row r="684">
      <c r="A684" s="392" t="n"/>
      <c r="B684" s="392" t="n"/>
      <c r="C684" s="392" t="n"/>
      <c r="D684" s="392" t="n"/>
      <c r="E684" s="392" t="n"/>
      <c r="F684" s="394" t="n"/>
      <c r="G684" s="604">
        <f>IFERROR(INDEX(⑱中間品単価!$H$5:$H$443,MATCH($C684,⑱中間品単価!$B$5:$B$443,0)),"")</f>
        <v/>
      </c>
      <c r="H684" s="396">
        <f>IF(AND(ISNUMBER($F684),ISNUMBER($G684)),$F684*$G684,"")</f>
        <v/>
      </c>
      <c r="I684" s="392" t="n"/>
    </row>
    <row r="685">
      <c r="A685" s="392" t="n"/>
      <c r="B685" s="392" t="n"/>
      <c r="C685" s="392" t="n"/>
      <c r="D685" s="392" t="n"/>
      <c r="E685" s="392" t="n"/>
      <c r="F685" s="394" t="n"/>
      <c r="G685" s="604">
        <f>IFERROR(INDEX(⑱中間品単価!$H$5:$H$443,MATCH($C685,⑱中間品単価!$B$5:$B$443,0)),"")</f>
        <v/>
      </c>
      <c r="H685" s="396">
        <f>IF(AND(ISNUMBER($F685),ISNUMBER($G685)),$F685*$G685,"")</f>
        <v/>
      </c>
      <c r="I685" s="392" t="n"/>
    </row>
    <row r="686">
      <c r="A686" s="392" t="n"/>
      <c r="B686" s="392" t="n"/>
      <c r="C686" s="392" t="n"/>
      <c r="D686" s="392" t="n"/>
      <c r="E686" s="392" t="n"/>
      <c r="F686" s="394" t="n"/>
      <c r="G686" s="604">
        <f>IFERROR(INDEX(⑱中間品単価!$H$5:$H$443,MATCH($C686,⑱中間品単価!$B$5:$B$443,0)),"")</f>
        <v/>
      </c>
      <c r="H686" s="396">
        <f>IF(AND(ISNUMBER($F686),ISNUMBER($G686)),$F686*$G686,"")</f>
        <v/>
      </c>
      <c r="I686" s="392" t="n"/>
    </row>
    <row r="687">
      <c r="A687" s="392" t="n"/>
      <c r="B687" s="392" t="n"/>
      <c r="C687" s="392" t="n"/>
      <c r="D687" s="392" t="n"/>
      <c r="E687" s="392" t="n"/>
      <c r="F687" s="394" t="n"/>
      <c r="G687" s="604">
        <f>IFERROR(INDEX(⑱中間品単価!$H$5:$H$443,MATCH($C687,⑱中間品単価!$B$5:$B$443,0)),"")</f>
        <v/>
      </c>
      <c r="H687" s="396">
        <f>IF(AND(ISNUMBER($F687),ISNUMBER($G687)),$F687*$G687,"")</f>
        <v/>
      </c>
      <c r="I687" s="392" t="n"/>
    </row>
    <row r="688">
      <c r="A688" s="392" t="n"/>
      <c r="B688" s="392" t="n"/>
      <c r="C688" s="392" t="n"/>
      <c r="D688" s="392" t="n"/>
      <c r="E688" s="392" t="n"/>
      <c r="F688" s="394" t="n"/>
      <c r="G688" s="604">
        <f>IFERROR(INDEX(⑱中間品単価!$H$5:$H$443,MATCH($C688,⑱中間品単価!$B$5:$B$443,0)),"")</f>
        <v/>
      </c>
      <c r="H688" s="396">
        <f>IF(AND(ISNUMBER($F688),ISNUMBER($G688)),$F688*$G688,"")</f>
        <v/>
      </c>
      <c r="I688" s="392" t="n"/>
    </row>
    <row r="689">
      <c r="A689" s="392" t="n"/>
      <c r="B689" s="392" t="n"/>
      <c r="C689" s="392" t="n"/>
      <c r="D689" s="392" t="n"/>
      <c r="E689" s="392" t="n"/>
      <c r="F689" s="394" t="n"/>
      <c r="G689" s="604">
        <f>IFERROR(INDEX(⑱中間品単価!$H$5:$H$443,MATCH($C689,⑱中間品単価!$B$5:$B$443,0)),"")</f>
        <v/>
      </c>
      <c r="H689" s="396">
        <f>IF(AND(ISNUMBER($F689),ISNUMBER($G689)),$F689*$G689,"")</f>
        <v/>
      </c>
      <c r="I689" s="392" t="n"/>
    </row>
    <row r="690">
      <c r="A690" s="392" t="n"/>
      <c r="B690" s="392" t="n"/>
      <c r="C690" s="392" t="n"/>
      <c r="D690" s="392" t="n"/>
      <c r="E690" s="392" t="n"/>
      <c r="F690" s="394" t="n"/>
      <c r="G690" s="604">
        <f>IFERROR(INDEX(⑱中間品単価!$H$5:$H$443,MATCH($C690,⑱中間品単価!$B$5:$B$443,0)),"")</f>
        <v/>
      </c>
      <c r="H690" s="396">
        <f>IF(AND(ISNUMBER($F690),ISNUMBER($G690)),$F690*$G690,"")</f>
        <v/>
      </c>
      <c r="I690" s="392" t="n"/>
    </row>
    <row r="691">
      <c r="A691" s="392" t="n"/>
      <c r="B691" s="392" t="n"/>
      <c r="C691" s="392" t="n"/>
      <c r="D691" s="392" t="n"/>
      <c r="E691" s="392" t="n"/>
      <c r="F691" s="394" t="n"/>
      <c r="G691" s="604">
        <f>IFERROR(INDEX(⑱中間品単価!$H$5:$H$443,MATCH($C691,⑱中間品単価!$B$5:$B$443,0)),"")</f>
        <v/>
      </c>
      <c r="H691" s="396">
        <f>IF(AND(ISNUMBER($F691),ISNUMBER($G691)),$F691*$G691,"")</f>
        <v/>
      </c>
      <c r="I691" s="392" t="n"/>
    </row>
    <row r="692">
      <c r="A692" s="392" t="n"/>
      <c r="B692" s="392" t="n"/>
      <c r="C692" s="392" t="n"/>
      <c r="D692" s="392" t="n"/>
      <c r="E692" s="392" t="n"/>
      <c r="F692" s="394" t="n"/>
      <c r="G692" s="604">
        <f>IFERROR(INDEX(⑱中間品単価!$H$5:$H$443,MATCH($C692,⑱中間品単価!$B$5:$B$443,0)),"")</f>
        <v/>
      </c>
      <c r="H692" s="396">
        <f>IF(AND(ISNUMBER($F692),ISNUMBER($G692)),$F692*$G692,"")</f>
        <v/>
      </c>
      <c r="I692" s="392" t="n"/>
    </row>
    <row r="693">
      <c r="A693" s="392" t="n"/>
      <c r="B693" s="392" t="n"/>
      <c r="C693" s="392" t="n"/>
      <c r="D693" s="392" t="n"/>
      <c r="E693" s="392" t="n"/>
      <c r="F693" s="394" t="n"/>
      <c r="G693" s="604">
        <f>IFERROR(INDEX(⑱中間品単価!$H$5:$H$443,MATCH($C693,⑱中間品単価!$B$5:$B$443,0)),"")</f>
        <v/>
      </c>
      <c r="H693" s="396">
        <f>IF(AND(ISNUMBER($F693),ISNUMBER($G693)),$F693*$G693,"")</f>
        <v/>
      </c>
      <c r="I693" s="392" t="n"/>
    </row>
    <row r="694">
      <c r="A694" s="392" t="n"/>
      <c r="B694" s="392" t="n"/>
      <c r="C694" s="392" t="n"/>
      <c r="D694" s="392" t="n"/>
      <c r="E694" s="392" t="n"/>
      <c r="F694" s="394" t="n"/>
      <c r="G694" s="604">
        <f>IFERROR(INDEX(⑱中間品単価!$H$5:$H$443,MATCH($C694,⑱中間品単価!$B$5:$B$443,0)),"")</f>
        <v/>
      </c>
      <c r="H694" s="396">
        <f>IF(AND(ISNUMBER($F694),ISNUMBER($G694)),$F694*$G694,"")</f>
        <v/>
      </c>
      <c r="I694" s="392" t="n"/>
    </row>
    <row r="695">
      <c r="A695" s="392" t="n"/>
      <c r="B695" s="392" t="n"/>
      <c r="C695" s="392" t="n"/>
      <c r="D695" s="392" t="n"/>
      <c r="E695" s="392" t="n"/>
      <c r="F695" s="394" t="n"/>
      <c r="G695" s="604">
        <f>IFERROR(INDEX(⑱中間品単価!$H$5:$H$443,MATCH($C695,⑱中間品単価!$B$5:$B$443,0)),"")</f>
        <v/>
      </c>
      <c r="H695" s="396">
        <f>IF(AND(ISNUMBER($F695),ISNUMBER($G695)),$F695*$G695,"")</f>
        <v/>
      </c>
      <c r="I695" s="392" t="n"/>
    </row>
    <row r="696">
      <c r="A696" s="392" t="n"/>
      <c r="B696" s="392" t="n"/>
      <c r="C696" s="392" t="n"/>
      <c r="D696" s="392" t="n"/>
      <c r="E696" s="392" t="n"/>
      <c r="F696" s="394" t="n"/>
      <c r="G696" s="604">
        <f>IFERROR(INDEX(⑱中間品単価!$H$5:$H$443,MATCH($C696,⑱中間品単価!$B$5:$B$443,0)),"")</f>
        <v/>
      </c>
      <c r="H696" s="396">
        <f>IF(AND(ISNUMBER($F696),ISNUMBER($G696)),$F696*$G696,"")</f>
        <v/>
      </c>
      <c r="I696" s="392" t="n"/>
    </row>
    <row r="697">
      <c r="A697" s="392" t="n"/>
      <c r="B697" s="392" t="n"/>
      <c r="C697" s="392" t="n"/>
      <c r="D697" s="392" t="n"/>
      <c r="E697" s="392" t="n"/>
      <c r="F697" s="394" t="n"/>
      <c r="G697" s="604">
        <f>IFERROR(INDEX(⑱中間品単価!$H$5:$H$443,MATCH($C697,⑱中間品単価!$B$5:$B$443,0)),"")</f>
        <v/>
      </c>
      <c r="H697" s="396">
        <f>IF(AND(ISNUMBER($F697),ISNUMBER($G697)),$F697*$G697,"")</f>
        <v/>
      </c>
      <c r="I697" s="392" t="n"/>
    </row>
    <row r="698">
      <c r="A698" s="392" t="n"/>
      <c r="B698" s="392" t="n"/>
      <c r="C698" s="392" t="n"/>
      <c r="D698" s="392" t="n"/>
      <c r="E698" s="392" t="n"/>
      <c r="F698" s="394" t="n"/>
      <c r="G698" s="604">
        <f>IFERROR(INDEX(⑱中間品単価!$H$5:$H$443,MATCH($C698,⑱中間品単価!$B$5:$B$443,0)),"")</f>
        <v/>
      </c>
      <c r="H698" s="396">
        <f>IF(AND(ISNUMBER($F698),ISNUMBER($G698)),$F698*$G698,"")</f>
        <v/>
      </c>
      <c r="I698" s="392" t="n"/>
    </row>
    <row r="699">
      <c r="A699" s="392" t="n"/>
      <c r="B699" s="392" t="n"/>
      <c r="C699" s="392" t="n"/>
      <c r="D699" s="392" t="n"/>
      <c r="E699" s="392" t="n"/>
      <c r="F699" s="394" t="n"/>
      <c r="G699" s="604">
        <f>IFERROR(INDEX(⑱中間品単価!$H$5:$H$443,MATCH($C699,⑱中間品単価!$B$5:$B$443,0)),"")</f>
        <v/>
      </c>
      <c r="H699" s="396">
        <f>IF(AND(ISNUMBER($F699),ISNUMBER($G699)),$F699*$G699,"")</f>
        <v/>
      </c>
      <c r="I699" s="392" t="n"/>
    </row>
    <row r="700">
      <c r="A700" s="392" t="n"/>
      <c r="B700" s="392" t="n"/>
      <c r="C700" s="392" t="n"/>
      <c r="D700" s="392" t="n"/>
      <c r="E700" s="392" t="n"/>
      <c r="F700" s="394" t="n"/>
      <c r="G700" s="604">
        <f>IFERROR(INDEX(⑱中間品単価!$H$5:$H$443,MATCH($C700,⑱中間品単価!$B$5:$B$443,0)),"")</f>
        <v/>
      </c>
      <c r="H700" s="396">
        <f>IF(AND(ISNUMBER($F700),ISNUMBER($G700)),$F700*$G700,"")</f>
        <v/>
      </c>
      <c r="I700" s="392" t="n"/>
    </row>
    <row r="701">
      <c r="A701" s="392" t="n"/>
      <c r="B701" s="392" t="n"/>
      <c r="C701" s="392" t="n"/>
      <c r="D701" s="392" t="n"/>
      <c r="E701" s="392" t="n"/>
      <c r="F701" s="394" t="n"/>
      <c r="G701" s="604">
        <f>IFERROR(INDEX(⑱中間品単価!$H$5:$H$443,MATCH($C701,⑱中間品単価!$B$5:$B$443,0)),"")</f>
        <v/>
      </c>
      <c r="H701" s="396">
        <f>IF(AND(ISNUMBER($F701),ISNUMBER($G701)),$F701*$G701,"")</f>
        <v/>
      </c>
      <c r="I701" s="392" t="n"/>
    </row>
    <row r="702">
      <c r="A702" s="392" t="n"/>
      <c r="B702" s="392" t="n"/>
      <c r="C702" s="392" t="n"/>
      <c r="D702" s="392" t="n"/>
      <c r="E702" s="392" t="n"/>
      <c r="F702" s="394" t="n"/>
      <c r="G702" s="604">
        <f>IFERROR(INDEX(⑱中間品単価!$H$5:$H$443,MATCH($C702,⑱中間品単価!$B$5:$B$443,0)),"")</f>
        <v/>
      </c>
      <c r="H702" s="396">
        <f>IF(AND(ISNUMBER($F702),ISNUMBER($G702)),$F702*$G702,"")</f>
        <v/>
      </c>
      <c r="I702" s="392" t="n"/>
    </row>
    <row r="703">
      <c r="A703" s="392" t="n"/>
      <c r="B703" s="392" t="n"/>
      <c r="C703" s="392" t="n"/>
      <c r="D703" s="392" t="n"/>
      <c r="E703" s="392" t="n"/>
      <c r="F703" s="394" t="n"/>
      <c r="G703" s="604">
        <f>IFERROR(INDEX(⑱中間品単価!$H$5:$H$443,MATCH($C703,⑱中間品単価!$B$5:$B$443,0)),"")</f>
        <v/>
      </c>
      <c r="H703" s="396">
        <f>IF(AND(ISNUMBER($F703),ISNUMBER($G703)),$F703*$G703,"")</f>
        <v/>
      </c>
      <c r="I703" s="392" t="n"/>
    </row>
    <row r="704">
      <c r="A704" s="392" t="n"/>
      <c r="B704" s="392" t="n"/>
      <c r="C704" s="392" t="n"/>
      <c r="D704" s="392" t="n"/>
      <c r="E704" s="392" t="n"/>
      <c r="F704" s="394" t="n"/>
      <c r="G704" s="604">
        <f>IFERROR(INDEX(⑱中間品単価!$H$5:$H$443,MATCH($C704,⑱中間品単価!$B$5:$B$443,0)),"")</f>
        <v/>
      </c>
      <c r="H704" s="396">
        <f>IF(AND(ISNUMBER($F704),ISNUMBER($G704)),$F704*$G704,"")</f>
        <v/>
      </c>
      <c r="I704" s="392" t="n"/>
    </row>
    <row r="705">
      <c r="A705" s="392" t="n"/>
      <c r="B705" s="392" t="n"/>
      <c r="C705" s="392" t="n"/>
      <c r="D705" s="392" t="n"/>
      <c r="E705" s="392" t="n"/>
      <c r="F705" s="394" t="n"/>
      <c r="G705" s="604">
        <f>IFERROR(INDEX(⑱中間品単価!$H$5:$H$443,MATCH($C705,⑱中間品単価!$B$5:$B$443,0)),"")</f>
        <v/>
      </c>
      <c r="H705" s="396">
        <f>IF(AND(ISNUMBER($F705),ISNUMBER($G705)),$F705*$G705,"")</f>
        <v/>
      </c>
      <c r="I705" s="392" t="n"/>
    </row>
    <row r="706">
      <c r="A706" s="392" t="n"/>
      <c r="B706" s="392" t="n"/>
      <c r="C706" s="392" t="n"/>
      <c r="D706" s="392" t="n"/>
      <c r="E706" s="392" t="n"/>
      <c r="F706" s="394" t="n"/>
      <c r="G706" s="604">
        <f>IFERROR(INDEX(⑱中間品単価!$H$5:$H$443,MATCH($C706,⑱中間品単価!$B$5:$B$443,0)),"")</f>
        <v/>
      </c>
      <c r="H706" s="396">
        <f>IF(AND(ISNUMBER($F706),ISNUMBER($G706)),$F706*$G706,"")</f>
        <v/>
      </c>
      <c r="I706" s="392" t="n"/>
    </row>
    <row r="707">
      <c r="A707" s="392" t="n"/>
      <c r="B707" s="392" t="n"/>
      <c r="C707" s="392" t="n"/>
      <c r="D707" s="392" t="n"/>
      <c r="E707" s="392" t="n"/>
      <c r="F707" s="394" t="n"/>
      <c r="G707" s="604">
        <f>IFERROR(INDEX(⑱中間品単価!$H$5:$H$443,MATCH($C707,⑱中間品単価!$B$5:$B$443,0)),"")</f>
        <v/>
      </c>
      <c r="H707" s="396">
        <f>IF(AND(ISNUMBER($F707),ISNUMBER($G707)),$F707*$G707,"")</f>
        <v/>
      </c>
      <c r="I707" s="392" t="n"/>
    </row>
    <row r="708">
      <c r="A708" s="392" t="n"/>
      <c r="B708" s="392" t="n"/>
      <c r="C708" s="392" t="n"/>
      <c r="D708" s="392" t="n"/>
      <c r="E708" s="392" t="n"/>
      <c r="F708" s="394" t="n"/>
      <c r="G708" s="604">
        <f>IFERROR(INDEX(⑱中間品単価!$H$5:$H$443,MATCH($C708,⑱中間品単価!$B$5:$B$443,0)),"")</f>
        <v/>
      </c>
      <c r="H708" s="396">
        <f>IF(AND(ISNUMBER($F708),ISNUMBER($G708)),$F708*$G708,"")</f>
        <v/>
      </c>
      <c r="I708" s="392" t="n"/>
    </row>
    <row r="709">
      <c r="A709" s="392" t="n"/>
      <c r="B709" s="392" t="n"/>
      <c r="C709" s="392" t="n"/>
      <c r="D709" s="392" t="n"/>
      <c r="E709" s="392" t="n"/>
      <c r="F709" s="394" t="n"/>
      <c r="G709" s="604">
        <f>IFERROR(INDEX(⑱中間品単価!$H$5:$H$443,MATCH($C709,⑱中間品単価!$B$5:$B$443,0)),"")</f>
        <v/>
      </c>
      <c r="H709" s="396">
        <f>IF(AND(ISNUMBER($F709),ISNUMBER($G709)),$F709*$G709,"")</f>
        <v/>
      </c>
      <c r="I709" s="392" t="n"/>
    </row>
    <row r="710">
      <c r="A710" s="392" t="n"/>
      <c r="B710" s="392" t="n"/>
      <c r="C710" s="392" t="n"/>
      <c r="D710" s="392" t="n"/>
      <c r="E710" s="392" t="n"/>
      <c r="F710" s="394" t="n"/>
      <c r="G710" s="604">
        <f>IFERROR(INDEX(⑱中間品単価!$H$5:$H$443,MATCH($C710,⑱中間品単価!$B$5:$B$443,0)),"")</f>
        <v/>
      </c>
      <c r="H710" s="396">
        <f>IF(AND(ISNUMBER($F710),ISNUMBER($G710)),$F710*$G710,"")</f>
        <v/>
      </c>
      <c r="I710" s="392" t="n"/>
    </row>
    <row r="711">
      <c r="A711" s="392" t="n"/>
      <c r="B711" s="392" t="n"/>
      <c r="C711" s="392" t="n"/>
      <c r="D711" s="392" t="n"/>
      <c r="E711" s="392" t="n"/>
      <c r="F711" s="394" t="n"/>
      <c r="G711" s="604">
        <f>IFERROR(INDEX(⑱中間品単価!$H$5:$H$443,MATCH($C711,⑱中間品単価!$B$5:$B$443,0)),"")</f>
        <v/>
      </c>
      <c r="H711" s="396">
        <f>IF(AND(ISNUMBER($F711),ISNUMBER($G711)),$F711*$G711,"")</f>
        <v/>
      </c>
      <c r="I711" s="392" t="n"/>
    </row>
    <row r="712">
      <c r="A712" s="392" t="n"/>
      <c r="B712" s="392" t="n"/>
      <c r="C712" s="392" t="n"/>
      <c r="D712" s="392" t="n"/>
      <c r="E712" s="392" t="n"/>
      <c r="F712" s="394" t="n"/>
      <c r="G712" s="604">
        <f>IFERROR(INDEX(⑱中間品単価!$H$5:$H$443,MATCH($C712,⑱中間品単価!$B$5:$B$443,0)),"")</f>
        <v/>
      </c>
      <c r="H712" s="396">
        <f>IF(AND(ISNUMBER($F712),ISNUMBER($G712)),$F712*$G712,"")</f>
        <v/>
      </c>
      <c r="I712" s="392" t="n"/>
    </row>
    <row r="713">
      <c r="A713" s="392" t="n"/>
      <c r="B713" s="392" t="n"/>
      <c r="C713" s="392" t="n"/>
      <c r="D713" s="392" t="n"/>
      <c r="E713" s="392" t="n"/>
      <c r="F713" s="394" t="n"/>
      <c r="G713" s="604">
        <f>IFERROR(INDEX(⑱中間品単価!$H$5:$H$443,MATCH($C713,⑱中間品単価!$B$5:$B$443,0)),"")</f>
        <v/>
      </c>
      <c r="H713" s="396">
        <f>IF(AND(ISNUMBER($F713),ISNUMBER($G713)),$F713*$G713,"")</f>
        <v/>
      </c>
      <c r="I713" s="392" t="n"/>
    </row>
    <row r="714">
      <c r="A714" s="392" t="n"/>
      <c r="B714" s="392" t="n"/>
      <c r="C714" s="392" t="n"/>
      <c r="D714" s="392" t="n"/>
      <c r="E714" s="392" t="n"/>
      <c r="F714" s="394" t="n"/>
      <c r="G714" s="604">
        <f>IFERROR(INDEX(⑱中間品単価!$H$5:$H$443,MATCH($C714,⑱中間品単価!$B$5:$B$443,0)),"")</f>
        <v/>
      </c>
      <c r="H714" s="396">
        <f>IF(AND(ISNUMBER($F714),ISNUMBER($G714)),$F714*$G714,"")</f>
        <v/>
      </c>
      <c r="I714" s="392" t="n"/>
    </row>
    <row r="715">
      <c r="A715" s="392" t="n"/>
      <c r="B715" s="392" t="n"/>
      <c r="C715" s="392" t="n"/>
      <c r="D715" s="392" t="n"/>
      <c r="E715" s="392" t="n"/>
      <c r="F715" s="394" t="n"/>
      <c r="G715" s="604">
        <f>IFERROR(INDEX(⑱中間品単価!$H$5:$H$443,MATCH($C715,⑱中間品単価!$B$5:$B$443,0)),"")</f>
        <v/>
      </c>
      <c r="H715" s="396">
        <f>IF(AND(ISNUMBER($F715),ISNUMBER($G715)),$F715*$G715,"")</f>
        <v/>
      </c>
      <c r="I715" s="392" t="n"/>
    </row>
    <row r="716">
      <c r="A716" s="392" t="n"/>
      <c r="B716" s="392" t="n"/>
      <c r="C716" s="392" t="n"/>
      <c r="D716" s="392" t="n"/>
      <c r="E716" s="392" t="n"/>
      <c r="F716" s="394" t="n"/>
      <c r="G716" s="604">
        <f>IFERROR(INDEX(⑱中間品単価!$H$5:$H$443,MATCH($C716,⑱中間品単価!$B$5:$B$443,0)),"")</f>
        <v/>
      </c>
      <c r="H716" s="396">
        <f>IF(AND(ISNUMBER($F716),ISNUMBER($G716)),$F716*$G716,"")</f>
        <v/>
      </c>
      <c r="I716" s="392" t="n"/>
    </row>
    <row r="717">
      <c r="A717" s="392" t="n"/>
      <c r="B717" s="392" t="n"/>
      <c r="C717" s="392" t="n"/>
      <c r="D717" s="392" t="n"/>
      <c r="E717" s="392" t="n"/>
      <c r="F717" s="394" t="n"/>
      <c r="G717" s="604">
        <f>IFERROR(INDEX(⑱中間品単価!$H$5:$H$443,MATCH($C717,⑱中間品単価!$B$5:$B$443,0)),"")</f>
        <v/>
      </c>
      <c r="H717" s="396">
        <f>IF(AND(ISNUMBER($F717),ISNUMBER($G717)),$F717*$G717,"")</f>
        <v/>
      </c>
      <c r="I717" s="392" t="n"/>
    </row>
    <row r="718">
      <c r="A718" s="392" t="n"/>
      <c r="B718" s="392" t="n"/>
      <c r="C718" s="392" t="n"/>
      <c r="D718" s="392" t="n"/>
      <c r="E718" s="392" t="n"/>
      <c r="F718" s="394" t="n"/>
      <c r="G718" s="604">
        <f>IFERROR(INDEX(⑱中間品単価!$H$5:$H$443,MATCH($C718,⑱中間品単価!$B$5:$B$443,0)),"")</f>
        <v/>
      </c>
      <c r="H718" s="396">
        <f>IF(AND(ISNUMBER($F718),ISNUMBER($G718)),$F718*$G718,"")</f>
        <v/>
      </c>
      <c r="I718" s="392" t="n"/>
    </row>
    <row r="719">
      <c r="A719" s="392" t="n"/>
      <c r="B719" s="392" t="n"/>
      <c r="C719" s="392" t="n"/>
      <c r="D719" s="392" t="n"/>
      <c r="E719" s="392" t="n"/>
      <c r="F719" s="394" t="n"/>
      <c r="G719" s="604">
        <f>IFERROR(INDEX(⑱中間品単価!$H$5:$H$443,MATCH($C719,⑱中間品単価!$B$5:$B$443,0)),"")</f>
        <v/>
      </c>
      <c r="H719" s="396">
        <f>IF(AND(ISNUMBER($F719),ISNUMBER($G719)),$F719*$G719,"")</f>
        <v/>
      </c>
      <c r="I719" s="392" t="n"/>
    </row>
    <row r="720">
      <c r="A720" s="392" t="n"/>
      <c r="B720" s="392" t="n"/>
      <c r="C720" s="392" t="n"/>
      <c r="D720" s="392" t="n"/>
      <c r="E720" s="392" t="n"/>
      <c r="F720" s="394" t="n"/>
      <c r="G720" s="604">
        <f>IFERROR(INDEX(⑱中間品単価!$H$5:$H$443,MATCH($C720,⑱中間品単価!$B$5:$B$443,0)),"")</f>
        <v/>
      </c>
      <c r="H720" s="396">
        <f>IF(AND(ISNUMBER($F720),ISNUMBER($G720)),$F720*$G720,"")</f>
        <v/>
      </c>
      <c r="I720" s="392" t="n"/>
    </row>
    <row r="721">
      <c r="A721" s="392" t="n"/>
      <c r="B721" s="392" t="n"/>
      <c r="C721" s="392" t="n"/>
      <c r="D721" s="392" t="n"/>
      <c r="E721" s="392" t="n"/>
      <c r="F721" s="394" t="n"/>
      <c r="G721" s="604">
        <f>IFERROR(INDEX(⑱中間品単価!$H$5:$H$443,MATCH($C721,⑱中間品単価!$B$5:$B$443,0)),"")</f>
        <v/>
      </c>
      <c r="H721" s="396">
        <f>IF(AND(ISNUMBER($F721),ISNUMBER($G721)),$F721*$G721,"")</f>
        <v/>
      </c>
      <c r="I721" s="392" t="n"/>
    </row>
    <row r="722">
      <c r="A722" s="392" t="n"/>
      <c r="B722" s="392" t="n"/>
      <c r="C722" s="392" t="n"/>
      <c r="D722" s="392" t="n"/>
      <c r="E722" s="392" t="n"/>
      <c r="F722" s="394" t="n"/>
      <c r="G722" s="604">
        <f>IFERROR(INDEX(⑱中間品単価!$H$5:$H$443,MATCH($C722,⑱中間品単価!$B$5:$B$443,0)),"")</f>
        <v/>
      </c>
      <c r="H722" s="396">
        <f>IF(AND(ISNUMBER($F722),ISNUMBER($G722)),$F722*$G722,"")</f>
        <v/>
      </c>
      <c r="I722" s="392" t="n"/>
    </row>
    <row r="723">
      <c r="A723" s="392" t="n"/>
      <c r="B723" s="392" t="n"/>
      <c r="C723" s="392" t="n"/>
      <c r="D723" s="392" t="n"/>
      <c r="E723" s="392" t="n"/>
      <c r="F723" s="394" t="n"/>
      <c r="G723" s="604">
        <f>IFERROR(INDEX(⑱中間品単価!$H$5:$H$443,MATCH($C723,⑱中間品単価!$B$5:$B$443,0)),"")</f>
        <v/>
      </c>
      <c r="H723" s="396">
        <f>IF(AND(ISNUMBER($F723),ISNUMBER($G723)),$F723*$G723,"")</f>
        <v/>
      </c>
      <c r="I723" s="392" t="n"/>
    </row>
    <row r="724">
      <c r="A724" s="392" t="n"/>
      <c r="B724" s="392" t="n"/>
      <c r="C724" s="392" t="n"/>
      <c r="D724" s="392" t="n"/>
      <c r="E724" s="392" t="n"/>
      <c r="F724" s="394" t="n"/>
      <c r="G724" s="604">
        <f>IFERROR(INDEX(⑱中間品単価!$H$5:$H$443,MATCH($C724,⑱中間品単価!$B$5:$B$443,0)),"")</f>
        <v/>
      </c>
      <c r="H724" s="396">
        <f>IF(AND(ISNUMBER($F724),ISNUMBER($G724)),$F724*$G724,"")</f>
        <v/>
      </c>
      <c r="I724" s="392" t="n"/>
    </row>
    <row r="725">
      <c r="A725" s="392" t="n"/>
      <c r="B725" s="392" t="n"/>
      <c r="C725" s="392" t="n"/>
      <c r="D725" s="392" t="n"/>
      <c r="E725" s="392" t="n"/>
      <c r="F725" s="394" t="n"/>
      <c r="G725" s="604">
        <f>IFERROR(INDEX(⑱中間品単価!$H$5:$H$443,MATCH($C725,⑱中間品単価!$B$5:$B$443,0)),"")</f>
        <v/>
      </c>
      <c r="H725" s="396">
        <f>IF(AND(ISNUMBER($F725),ISNUMBER($G725)),$F725*$G725,"")</f>
        <v/>
      </c>
      <c r="I725" s="392" t="n"/>
    </row>
    <row r="726">
      <c r="A726" s="392" t="n"/>
      <c r="B726" s="392" t="n"/>
      <c r="C726" s="392" t="n"/>
      <c r="D726" s="392" t="n"/>
      <c r="E726" s="392" t="n"/>
      <c r="F726" s="394" t="n"/>
      <c r="G726" s="604">
        <f>IFERROR(INDEX(⑱中間品単価!$H$5:$H$443,MATCH($C726,⑱中間品単価!$B$5:$B$443,0)),"")</f>
        <v/>
      </c>
      <c r="H726" s="396">
        <f>IF(AND(ISNUMBER($F726),ISNUMBER($G726)),$F726*$G726,"")</f>
        <v/>
      </c>
      <c r="I726" s="392" t="n"/>
    </row>
    <row r="727">
      <c r="A727" s="392" t="n"/>
      <c r="B727" s="392" t="n"/>
      <c r="C727" s="392" t="n"/>
      <c r="D727" s="392" t="n"/>
      <c r="E727" s="392" t="n"/>
      <c r="F727" s="394" t="n"/>
      <c r="G727" s="604">
        <f>IFERROR(INDEX(⑱中間品単価!$H$5:$H$443,MATCH($C727,⑱中間品単価!$B$5:$B$443,0)),"")</f>
        <v/>
      </c>
      <c r="H727" s="396">
        <f>IF(AND(ISNUMBER($F727),ISNUMBER($G727)),$F727*$G727,"")</f>
        <v/>
      </c>
      <c r="I727" s="392" t="n"/>
    </row>
    <row r="728">
      <c r="A728" s="392" t="n"/>
      <c r="B728" s="392" t="n"/>
      <c r="C728" s="392" t="n"/>
      <c r="D728" s="392" t="n"/>
      <c r="E728" s="392" t="n"/>
      <c r="F728" s="394" t="n"/>
      <c r="G728" s="604">
        <f>IFERROR(INDEX(⑱中間品単価!$H$5:$H$443,MATCH($C728,⑱中間品単価!$B$5:$B$443,0)),"")</f>
        <v/>
      </c>
      <c r="H728" s="396">
        <f>IF(AND(ISNUMBER($F728),ISNUMBER($G728)),$F728*$G728,"")</f>
        <v/>
      </c>
      <c r="I728" s="392" t="n"/>
    </row>
    <row r="729">
      <c r="A729" s="392" t="n"/>
      <c r="B729" s="392" t="n"/>
      <c r="C729" s="392" t="n"/>
      <c r="D729" s="392" t="n"/>
      <c r="E729" s="392" t="n"/>
      <c r="F729" s="394" t="n"/>
      <c r="G729" s="604">
        <f>IFERROR(INDEX(⑱中間品単価!$H$5:$H$443,MATCH($C729,⑱中間品単価!$B$5:$B$443,0)),"")</f>
        <v/>
      </c>
      <c r="H729" s="396">
        <f>IF(AND(ISNUMBER($F729),ISNUMBER($G729)),$F729*$G729,"")</f>
        <v/>
      </c>
      <c r="I729" s="392" t="n"/>
    </row>
    <row r="730">
      <c r="A730" s="392" t="n"/>
      <c r="B730" s="392" t="n"/>
      <c r="C730" s="392" t="n"/>
      <c r="D730" s="392" t="n"/>
      <c r="E730" s="392" t="n"/>
      <c r="F730" s="394" t="n"/>
      <c r="G730" s="604">
        <f>IFERROR(INDEX(⑱中間品単価!$H$5:$H$443,MATCH($C730,⑱中間品単価!$B$5:$B$443,0)),"")</f>
        <v/>
      </c>
      <c r="H730" s="396">
        <f>IF(AND(ISNUMBER($F730),ISNUMBER($G730)),$F730*$G730,"")</f>
        <v/>
      </c>
      <c r="I730" s="392" t="n"/>
    </row>
    <row r="731">
      <c r="A731" s="392" t="n"/>
      <c r="B731" s="392" t="n"/>
      <c r="C731" s="392" t="n"/>
      <c r="D731" s="392" t="n"/>
      <c r="E731" s="392" t="n"/>
      <c r="F731" s="394" t="n"/>
      <c r="G731" s="604">
        <f>IFERROR(INDEX(⑱中間品単価!$H$5:$H$443,MATCH($C731,⑱中間品単価!$B$5:$B$443,0)),"")</f>
        <v/>
      </c>
      <c r="H731" s="396">
        <f>IF(AND(ISNUMBER($F731),ISNUMBER($G731)),$F731*$G731,"")</f>
        <v/>
      </c>
      <c r="I731" s="392" t="n"/>
    </row>
    <row r="732">
      <c r="A732" s="392" t="n"/>
      <c r="B732" s="392" t="n"/>
      <c r="C732" s="392" t="n"/>
      <c r="D732" s="392" t="n"/>
      <c r="E732" s="392" t="n"/>
      <c r="F732" s="394" t="n"/>
      <c r="G732" s="604">
        <f>IFERROR(INDEX(⑱中間品単価!$H$5:$H$443,MATCH($C732,⑱中間品単価!$B$5:$B$443,0)),"")</f>
        <v/>
      </c>
      <c r="H732" s="396">
        <f>IF(AND(ISNUMBER($F732),ISNUMBER($G732)),$F732*$G732,"")</f>
        <v/>
      </c>
      <c r="I732" s="392" t="n"/>
    </row>
    <row r="733">
      <c r="A733" s="392" t="n"/>
      <c r="B733" s="392" t="n"/>
      <c r="C733" s="392" t="n"/>
      <c r="D733" s="392" t="n"/>
      <c r="E733" s="392" t="n"/>
      <c r="F733" s="394" t="n"/>
      <c r="G733" s="604">
        <f>IFERROR(INDEX(⑱中間品単価!$H$5:$H$443,MATCH($C733,⑱中間品単価!$B$5:$B$443,0)),"")</f>
        <v/>
      </c>
      <c r="H733" s="396">
        <f>IF(AND(ISNUMBER($F733),ISNUMBER($G733)),$F733*$G733,"")</f>
        <v/>
      </c>
      <c r="I733" s="392" t="n"/>
    </row>
    <row r="734">
      <c r="A734" s="392" t="n"/>
      <c r="B734" s="392" t="n"/>
      <c r="C734" s="392" t="n"/>
      <c r="D734" s="392" t="n"/>
      <c r="E734" s="392" t="n"/>
      <c r="F734" s="394" t="n"/>
      <c r="G734" s="604">
        <f>IFERROR(INDEX(⑱中間品単価!$H$5:$H$443,MATCH($C734,⑱中間品単価!$B$5:$B$443,0)),"")</f>
        <v/>
      </c>
      <c r="H734" s="396">
        <f>IF(AND(ISNUMBER($F734),ISNUMBER($G734)),$F734*$G734,"")</f>
        <v/>
      </c>
      <c r="I734" s="392" t="n"/>
    </row>
    <row r="735">
      <c r="A735" s="392" t="n"/>
      <c r="B735" s="392" t="n"/>
      <c r="C735" s="392" t="n"/>
      <c r="D735" s="392" t="n"/>
      <c r="E735" s="392" t="n"/>
      <c r="F735" s="394" t="n"/>
      <c r="G735" s="604">
        <f>IFERROR(INDEX(⑱中間品単価!$H$5:$H$443,MATCH($C735,⑱中間品単価!$B$5:$B$443,0)),"")</f>
        <v/>
      </c>
      <c r="H735" s="396">
        <f>IF(AND(ISNUMBER($F735),ISNUMBER($G735)),$F735*$G735,"")</f>
        <v/>
      </c>
      <c r="I735" s="392" t="n"/>
    </row>
    <row r="736">
      <c r="A736" s="392" t="n"/>
      <c r="B736" s="392" t="n"/>
      <c r="C736" s="392" t="n"/>
      <c r="D736" s="392" t="n"/>
      <c r="E736" s="392" t="n"/>
      <c r="F736" s="394" t="n"/>
      <c r="G736" s="604">
        <f>IFERROR(INDEX(⑱中間品単価!$H$5:$H$443,MATCH($C736,⑱中間品単価!$B$5:$B$443,0)),"")</f>
        <v/>
      </c>
      <c r="H736" s="396">
        <f>IF(AND(ISNUMBER($F736),ISNUMBER($G736)),$F736*$G736,"")</f>
        <v/>
      </c>
      <c r="I736" s="392" t="n"/>
    </row>
    <row r="737">
      <c r="A737" s="392" t="n"/>
      <c r="B737" s="392" t="n"/>
      <c r="C737" s="392" t="n"/>
      <c r="D737" s="392" t="n"/>
      <c r="E737" s="392" t="n"/>
      <c r="F737" s="394" t="n"/>
      <c r="G737" s="604">
        <f>IFERROR(INDEX(⑱中間品単価!$H$5:$H$443,MATCH($C737,⑱中間品単価!$B$5:$B$443,0)),"")</f>
        <v/>
      </c>
      <c r="H737" s="396">
        <f>IF(AND(ISNUMBER($F737),ISNUMBER($G737)),$F737*$G737,"")</f>
        <v/>
      </c>
      <c r="I737" s="392" t="n"/>
    </row>
    <row r="738">
      <c r="A738" s="392" t="n"/>
      <c r="B738" s="392" t="n"/>
      <c r="C738" s="392" t="n"/>
      <c r="D738" s="392" t="n"/>
      <c r="E738" s="392" t="n"/>
      <c r="F738" s="394" t="n"/>
      <c r="G738" s="604">
        <f>IFERROR(INDEX(⑱中間品単価!$H$5:$H$443,MATCH($C738,⑱中間品単価!$B$5:$B$443,0)),"")</f>
        <v/>
      </c>
      <c r="H738" s="396">
        <f>IF(AND(ISNUMBER($F738),ISNUMBER($G738)),$F738*$G738,"")</f>
        <v/>
      </c>
      <c r="I738" s="392" t="n"/>
    </row>
    <row r="739">
      <c r="A739" s="392" t="n"/>
      <c r="B739" s="392" t="n"/>
      <c r="C739" s="392" t="n"/>
      <c r="D739" s="392" t="n"/>
      <c r="E739" s="392" t="n"/>
      <c r="F739" s="394" t="n"/>
      <c r="G739" s="604">
        <f>IFERROR(INDEX(⑱中間品単価!$H$5:$H$443,MATCH($C739,⑱中間品単価!$B$5:$B$443,0)),"")</f>
        <v/>
      </c>
      <c r="H739" s="396">
        <f>IF(AND(ISNUMBER($F739),ISNUMBER($G739)),$F739*$G739,"")</f>
        <v/>
      </c>
      <c r="I739" s="392" t="n"/>
    </row>
    <row r="740">
      <c r="A740" s="392" t="n"/>
      <c r="B740" s="392" t="n"/>
      <c r="C740" s="392" t="n"/>
      <c r="D740" s="392" t="n"/>
      <c r="E740" s="392" t="n"/>
      <c r="F740" s="394" t="n"/>
      <c r="G740" s="604">
        <f>IFERROR(INDEX(⑱中間品単価!$H$5:$H$443,MATCH($C740,⑱中間品単価!$B$5:$B$443,0)),"")</f>
        <v/>
      </c>
      <c r="H740" s="396">
        <f>IF(AND(ISNUMBER($F740),ISNUMBER($G740)),$F740*$G740,"")</f>
        <v/>
      </c>
      <c r="I740" s="392" t="n"/>
    </row>
    <row r="741">
      <c r="A741" s="392" t="n"/>
      <c r="B741" s="392" t="n"/>
      <c r="C741" s="392" t="n"/>
      <c r="D741" s="392" t="n"/>
      <c r="E741" s="392" t="n"/>
      <c r="F741" s="394" t="n"/>
      <c r="G741" s="604">
        <f>IFERROR(INDEX(⑱中間品単価!$H$5:$H$443,MATCH($C741,⑱中間品単価!$B$5:$B$443,0)),"")</f>
        <v/>
      </c>
      <c r="H741" s="396">
        <f>IF(AND(ISNUMBER($F741),ISNUMBER($G741)),$F741*$G741,"")</f>
        <v/>
      </c>
      <c r="I741" s="392" t="n"/>
    </row>
    <row r="742">
      <c r="A742" s="392" t="n"/>
      <c r="B742" s="392" t="n"/>
      <c r="C742" s="392" t="n"/>
      <c r="D742" s="392" t="n"/>
      <c r="E742" s="392" t="n"/>
      <c r="F742" s="394" t="n"/>
      <c r="G742" s="604">
        <f>IFERROR(INDEX(⑱中間品単価!$H$5:$H$443,MATCH($C742,⑱中間品単価!$B$5:$B$443,0)),"")</f>
        <v/>
      </c>
      <c r="H742" s="396">
        <f>IF(AND(ISNUMBER($F742),ISNUMBER($G742)),$F742*$G742,"")</f>
        <v/>
      </c>
      <c r="I742" s="392" t="n"/>
    </row>
    <row r="743">
      <c r="A743" s="392" t="n"/>
      <c r="B743" s="392" t="n"/>
      <c r="C743" s="392" t="n"/>
      <c r="D743" s="392" t="n"/>
      <c r="E743" s="392" t="n"/>
      <c r="F743" s="394" t="n"/>
      <c r="G743" s="604">
        <f>IFERROR(INDEX(⑱中間品単価!$H$5:$H$443,MATCH($C743,⑱中間品単価!$B$5:$B$443,0)),"")</f>
        <v/>
      </c>
      <c r="H743" s="396">
        <f>IF(AND(ISNUMBER($F743),ISNUMBER($G743)),$F743*$G743,"")</f>
        <v/>
      </c>
      <c r="I743" s="392" t="n"/>
    </row>
    <row r="744">
      <c r="A744" s="392" t="n"/>
      <c r="B744" s="392" t="n"/>
      <c r="C744" s="392" t="n"/>
      <c r="D744" s="392" t="n"/>
      <c r="E744" s="392" t="n"/>
      <c r="F744" s="394" t="n"/>
      <c r="G744" s="604">
        <f>IFERROR(INDEX(⑱中間品単価!$H$5:$H$443,MATCH($C744,⑱中間品単価!$B$5:$B$443,0)),"")</f>
        <v/>
      </c>
      <c r="H744" s="396">
        <f>IF(AND(ISNUMBER($F744),ISNUMBER($G744)),$F744*$G744,"")</f>
        <v/>
      </c>
      <c r="I744" s="392" t="n"/>
    </row>
    <row r="745">
      <c r="A745" s="392" t="n"/>
      <c r="B745" s="392" t="n"/>
      <c r="C745" s="392" t="n"/>
      <c r="D745" s="392" t="n"/>
      <c r="E745" s="392" t="n"/>
      <c r="F745" s="394" t="n"/>
      <c r="G745" s="604">
        <f>IFERROR(INDEX(⑱中間品単価!$H$5:$H$443,MATCH($C745,⑱中間品単価!$B$5:$B$443,0)),"")</f>
        <v/>
      </c>
      <c r="H745" s="396">
        <f>IF(AND(ISNUMBER($F745),ISNUMBER($G745)),$F745*$G745,"")</f>
        <v/>
      </c>
      <c r="I745" s="392" t="n"/>
    </row>
    <row r="746">
      <c r="A746" s="392" t="n"/>
      <c r="B746" s="392" t="n"/>
      <c r="C746" s="392" t="n"/>
      <c r="D746" s="392" t="n"/>
      <c r="E746" s="392" t="n"/>
      <c r="F746" s="394" t="n"/>
      <c r="G746" s="604">
        <f>IFERROR(INDEX(⑱中間品単価!$H$5:$H$443,MATCH($C746,⑱中間品単価!$B$5:$B$443,0)),"")</f>
        <v/>
      </c>
      <c r="H746" s="396">
        <f>IF(AND(ISNUMBER($F746),ISNUMBER($G746)),$F746*$G746,"")</f>
        <v/>
      </c>
      <c r="I746" s="392" t="n"/>
    </row>
    <row r="747">
      <c r="A747" s="392" t="n"/>
      <c r="B747" s="392" t="n"/>
      <c r="C747" s="392" t="n"/>
      <c r="D747" s="392" t="n"/>
      <c r="E747" s="392" t="n"/>
      <c r="F747" s="394" t="n"/>
      <c r="G747" s="604">
        <f>IFERROR(INDEX(⑱中間品単価!$H$5:$H$443,MATCH($C747,⑱中間品単価!$B$5:$B$443,0)),"")</f>
        <v/>
      </c>
      <c r="H747" s="396">
        <f>IF(AND(ISNUMBER($F747),ISNUMBER($G747)),$F747*$G747,"")</f>
        <v/>
      </c>
      <c r="I747" s="392" t="n"/>
    </row>
    <row r="748">
      <c r="A748" s="392" t="n"/>
      <c r="B748" s="392" t="n"/>
      <c r="C748" s="392" t="n"/>
      <c r="D748" s="392" t="n"/>
      <c r="E748" s="392" t="n"/>
      <c r="F748" s="394" t="n"/>
      <c r="G748" s="604">
        <f>IFERROR(INDEX(⑱中間品単価!$H$5:$H$443,MATCH($C748,⑱中間品単価!$B$5:$B$443,0)),"")</f>
        <v/>
      </c>
      <c r="H748" s="396">
        <f>IF(AND(ISNUMBER($F748),ISNUMBER($G748)),$F748*$G748,"")</f>
        <v/>
      </c>
      <c r="I748" s="392" t="n"/>
    </row>
    <row r="749">
      <c r="A749" s="392" t="n"/>
      <c r="B749" s="392" t="n"/>
      <c r="C749" s="392" t="n"/>
      <c r="D749" s="392" t="n"/>
      <c r="E749" s="392" t="n"/>
      <c r="F749" s="394" t="n"/>
      <c r="G749" s="604">
        <f>IFERROR(INDEX(⑱中間品単価!$H$5:$H$443,MATCH($C749,⑱中間品単価!$B$5:$B$443,0)),"")</f>
        <v/>
      </c>
      <c r="H749" s="396">
        <f>IF(AND(ISNUMBER($F749),ISNUMBER($G749)),$F749*$G749,"")</f>
        <v/>
      </c>
      <c r="I749" s="392" t="n"/>
    </row>
    <row r="750">
      <c r="A750" s="392" t="n"/>
      <c r="B750" s="392" t="n"/>
      <c r="C750" s="392" t="n"/>
      <c r="D750" s="392" t="n"/>
      <c r="E750" s="392" t="n"/>
      <c r="F750" s="394" t="n"/>
      <c r="G750" s="604">
        <f>IFERROR(INDEX(⑱中間品単価!$H$5:$H$443,MATCH($C750,⑱中間品単価!$B$5:$B$443,0)),"")</f>
        <v/>
      </c>
      <c r="H750" s="396">
        <f>IF(AND(ISNUMBER($F750),ISNUMBER($G750)),$F750*$G750,"")</f>
        <v/>
      </c>
      <c r="I750" s="392" t="n"/>
    </row>
    <row r="751">
      <c r="A751" s="392" t="n"/>
      <c r="B751" s="392" t="n"/>
      <c r="C751" s="392" t="n"/>
      <c r="D751" s="392" t="n"/>
      <c r="E751" s="392" t="n"/>
      <c r="F751" s="394" t="n"/>
      <c r="G751" s="604">
        <f>IFERROR(INDEX(⑱中間品単価!$H$5:$H$443,MATCH($C751,⑱中間品単価!$B$5:$B$443,0)),"")</f>
        <v/>
      </c>
      <c r="H751" s="396">
        <f>IF(AND(ISNUMBER($F751),ISNUMBER($G751)),$F751*$G751,"")</f>
        <v/>
      </c>
      <c r="I751" s="392" t="n"/>
    </row>
    <row r="752">
      <c r="A752" s="392" t="n"/>
      <c r="B752" s="392" t="n"/>
      <c r="C752" s="392" t="n"/>
      <c r="D752" s="392" t="n"/>
      <c r="E752" s="392" t="n"/>
      <c r="F752" s="394" t="n"/>
      <c r="G752" s="604">
        <f>IFERROR(INDEX(⑱中間品単価!$H$5:$H$443,MATCH($C752,⑱中間品単価!$B$5:$B$443,0)),"")</f>
        <v/>
      </c>
      <c r="H752" s="396">
        <f>IF(AND(ISNUMBER($F752),ISNUMBER($G752)),$F752*$G752,"")</f>
        <v/>
      </c>
      <c r="I752" s="392" t="n"/>
    </row>
    <row r="753">
      <c r="A753" s="392" t="n"/>
      <c r="B753" s="392" t="n"/>
      <c r="C753" s="392" t="n"/>
      <c r="D753" s="392" t="n"/>
      <c r="E753" s="392" t="n"/>
      <c r="F753" s="394" t="n"/>
      <c r="G753" s="604">
        <f>IFERROR(INDEX(⑱中間品単価!$H$5:$H$443,MATCH($C753,⑱中間品単価!$B$5:$B$443,0)),"")</f>
        <v/>
      </c>
      <c r="H753" s="396">
        <f>IF(AND(ISNUMBER($F753),ISNUMBER($G753)),$F753*$G753,"")</f>
        <v/>
      </c>
      <c r="I753" s="392" t="n"/>
    </row>
    <row r="754">
      <c r="A754" s="392" t="n"/>
      <c r="B754" s="392" t="n"/>
      <c r="C754" s="392" t="n"/>
      <c r="D754" s="392" t="n"/>
      <c r="E754" s="392" t="n"/>
      <c r="F754" s="394" t="n"/>
      <c r="G754" s="604">
        <f>IFERROR(INDEX(⑱中間品単価!$H$5:$H$443,MATCH($C754,⑱中間品単価!$B$5:$B$443,0)),"")</f>
        <v/>
      </c>
      <c r="H754" s="396">
        <f>IF(AND(ISNUMBER($F754),ISNUMBER($G754)),$F754*$G754,"")</f>
        <v/>
      </c>
      <c r="I754" s="392" t="n"/>
    </row>
    <row r="755">
      <c r="A755" s="392" t="n"/>
      <c r="B755" s="392" t="n"/>
      <c r="C755" s="392" t="n"/>
      <c r="D755" s="392" t="n"/>
      <c r="E755" s="392" t="n"/>
      <c r="F755" s="394" t="n"/>
      <c r="G755" s="604">
        <f>IFERROR(INDEX(⑱中間品単価!$H$5:$H$443,MATCH($C755,⑱中間品単価!$B$5:$B$443,0)),"")</f>
        <v/>
      </c>
      <c r="H755" s="396">
        <f>IF(AND(ISNUMBER($F755),ISNUMBER($G755)),$F755*$G755,"")</f>
        <v/>
      </c>
      <c r="I755" s="392" t="n"/>
    </row>
    <row r="756">
      <c r="A756" s="392" t="n"/>
      <c r="B756" s="392" t="n"/>
      <c r="C756" s="392" t="n"/>
      <c r="D756" s="392" t="n"/>
      <c r="E756" s="392" t="n"/>
      <c r="F756" s="394" t="n"/>
      <c r="G756" s="604">
        <f>IFERROR(INDEX(⑱中間品単価!$H$5:$H$443,MATCH($C756,⑱中間品単価!$B$5:$B$443,0)),"")</f>
        <v/>
      </c>
      <c r="H756" s="396">
        <f>IF(AND(ISNUMBER($F756),ISNUMBER($G756)),$F756*$G756,"")</f>
        <v/>
      </c>
      <c r="I756" s="392" t="n"/>
    </row>
    <row r="757">
      <c r="A757" s="392" t="n"/>
      <c r="B757" s="392" t="n"/>
      <c r="C757" s="392" t="n"/>
      <c r="D757" s="392" t="n"/>
      <c r="E757" s="392" t="n"/>
      <c r="F757" s="394" t="n"/>
      <c r="G757" s="604">
        <f>IFERROR(INDEX(⑱中間品単価!$H$5:$H$443,MATCH($C757,⑱中間品単価!$B$5:$B$443,0)),"")</f>
        <v/>
      </c>
      <c r="H757" s="396">
        <f>IF(AND(ISNUMBER($F757),ISNUMBER($G757)),$F757*$G757,"")</f>
        <v/>
      </c>
      <c r="I757" s="392" t="n"/>
    </row>
    <row r="758">
      <c r="A758" s="392" t="n"/>
      <c r="B758" s="392" t="n"/>
      <c r="C758" s="392" t="n"/>
      <c r="D758" s="392" t="n"/>
      <c r="E758" s="392" t="n"/>
      <c r="F758" s="394" t="n"/>
      <c r="G758" s="604">
        <f>IFERROR(INDEX(⑱中間品単価!$H$5:$H$443,MATCH($C758,⑱中間品単価!$B$5:$B$443,0)),"")</f>
        <v/>
      </c>
      <c r="H758" s="396">
        <f>IF(AND(ISNUMBER($F758),ISNUMBER($G758)),$F758*$G758,"")</f>
        <v/>
      </c>
      <c r="I758" s="392" t="n"/>
    </row>
    <row r="759">
      <c r="A759" s="392" t="n"/>
      <c r="B759" s="392" t="n"/>
      <c r="C759" s="392" t="n"/>
      <c r="D759" s="392" t="n"/>
      <c r="E759" s="392" t="n"/>
      <c r="F759" s="394" t="n"/>
      <c r="G759" s="604">
        <f>IFERROR(INDEX(⑱中間品単価!$H$5:$H$443,MATCH($C759,⑱中間品単価!$B$5:$B$443,0)),"")</f>
        <v/>
      </c>
      <c r="H759" s="396">
        <f>IF(AND(ISNUMBER($F759),ISNUMBER($G759)),$F759*$G759,"")</f>
        <v/>
      </c>
      <c r="I759" s="392" t="n"/>
    </row>
    <row r="760">
      <c r="A760" s="392" t="n"/>
      <c r="B760" s="392" t="n"/>
      <c r="C760" s="392" t="n"/>
      <c r="D760" s="392" t="n"/>
      <c r="E760" s="392" t="n"/>
      <c r="F760" s="394" t="n"/>
      <c r="G760" s="604">
        <f>IFERROR(INDEX(⑱中間品単価!$H$5:$H$443,MATCH($C760,⑱中間品単価!$B$5:$B$443,0)),"")</f>
        <v/>
      </c>
      <c r="H760" s="396">
        <f>IF(AND(ISNUMBER($F760),ISNUMBER($G760)),$F760*$G760,"")</f>
        <v/>
      </c>
      <c r="I760" s="392" t="n"/>
    </row>
    <row r="761">
      <c r="A761" s="392" t="n"/>
      <c r="B761" s="392" t="n"/>
      <c r="C761" s="392" t="n"/>
      <c r="D761" s="392" t="n"/>
      <c r="E761" s="392" t="n"/>
      <c r="F761" s="394" t="n"/>
      <c r="G761" s="604">
        <f>IFERROR(INDEX(⑱中間品単価!$H$5:$H$443,MATCH($C761,⑱中間品単価!$B$5:$B$443,0)),"")</f>
        <v/>
      </c>
      <c r="H761" s="396">
        <f>IF(AND(ISNUMBER($F761),ISNUMBER($G761)),$F761*$G761,"")</f>
        <v/>
      </c>
      <c r="I761" s="392" t="n"/>
    </row>
    <row r="762">
      <c r="A762" s="392" t="n"/>
      <c r="B762" s="392" t="n"/>
      <c r="C762" s="392" t="n"/>
      <c r="D762" s="392" t="n"/>
      <c r="E762" s="392" t="n"/>
      <c r="F762" s="394" t="n"/>
      <c r="G762" s="604">
        <f>IFERROR(INDEX(⑱中間品単価!$H$5:$H$443,MATCH($C762,⑱中間品単価!$B$5:$B$443,0)),"")</f>
        <v/>
      </c>
      <c r="H762" s="396">
        <f>IF(AND(ISNUMBER($F762),ISNUMBER($G762)),$F762*$G762,"")</f>
        <v/>
      </c>
      <c r="I762" s="392" t="n"/>
    </row>
    <row r="763">
      <c r="A763" s="392" t="n"/>
      <c r="B763" s="392" t="n"/>
      <c r="C763" s="392" t="n"/>
      <c r="D763" s="392" t="n"/>
      <c r="E763" s="392" t="n"/>
      <c r="F763" s="394" t="n"/>
      <c r="G763" s="604">
        <f>IFERROR(INDEX(⑱中間品単価!$H$5:$H$443,MATCH($C763,⑱中間品単価!$B$5:$B$443,0)),"")</f>
        <v/>
      </c>
      <c r="H763" s="396">
        <f>IF(AND(ISNUMBER($F763),ISNUMBER($G763)),$F763*$G763,"")</f>
        <v/>
      </c>
      <c r="I763" s="392" t="n"/>
    </row>
    <row r="764">
      <c r="A764" s="392" t="n"/>
      <c r="B764" s="392" t="n"/>
      <c r="C764" s="392" t="n"/>
      <c r="D764" s="392" t="n"/>
      <c r="E764" s="392" t="n"/>
      <c r="F764" s="394" t="n"/>
      <c r="G764" s="604">
        <f>IFERROR(INDEX(⑱中間品単価!$H$5:$H$443,MATCH($C764,⑱中間品単価!$B$5:$B$443,0)),"")</f>
        <v/>
      </c>
      <c r="H764" s="396">
        <f>IF(AND(ISNUMBER($F764),ISNUMBER($G764)),$F764*$G764,"")</f>
        <v/>
      </c>
      <c r="I764" s="392" t="n"/>
    </row>
    <row r="765">
      <c r="A765" s="392" t="n"/>
      <c r="B765" s="392" t="n"/>
      <c r="C765" s="392" t="n"/>
      <c r="D765" s="392" t="n"/>
      <c r="E765" s="392" t="n"/>
      <c r="F765" s="394" t="n"/>
      <c r="G765" s="604">
        <f>IFERROR(INDEX(⑱中間品単価!$H$5:$H$443,MATCH($C765,⑱中間品単価!$B$5:$B$443,0)),"")</f>
        <v/>
      </c>
      <c r="H765" s="396">
        <f>IF(AND(ISNUMBER($F765),ISNUMBER($G765)),$F765*$G765,"")</f>
        <v/>
      </c>
      <c r="I765" s="392" t="n"/>
    </row>
    <row r="766">
      <c r="A766" s="392" t="n"/>
      <c r="B766" s="392" t="n"/>
      <c r="C766" s="392" t="n"/>
      <c r="D766" s="392" t="n"/>
      <c r="E766" s="392" t="n"/>
      <c r="F766" s="394" t="n"/>
      <c r="G766" s="604">
        <f>IFERROR(INDEX(⑱中間品単価!$H$5:$H$443,MATCH($C766,⑱中間品単価!$B$5:$B$443,0)),"")</f>
        <v/>
      </c>
      <c r="H766" s="396">
        <f>IF(AND(ISNUMBER($F766),ISNUMBER($G766)),$F766*$G766,"")</f>
        <v/>
      </c>
      <c r="I766" s="392" t="n"/>
    </row>
    <row r="767">
      <c r="A767" s="392" t="n"/>
      <c r="B767" s="392" t="n"/>
      <c r="C767" s="392" t="n"/>
      <c r="D767" s="392" t="n"/>
      <c r="E767" s="392" t="n"/>
      <c r="F767" s="394" t="n"/>
      <c r="G767" s="604">
        <f>IFERROR(INDEX(⑱中間品単価!$H$5:$H$443,MATCH($C767,⑱中間品単価!$B$5:$B$443,0)),"")</f>
        <v/>
      </c>
      <c r="H767" s="396">
        <f>IF(AND(ISNUMBER($F767),ISNUMBER($G767)),$F767*$G767,"")</f>
        <v/>
      </c>
      <c r="I767" s="392" t="n"/>
    </row>
    <row r="768">
      <c r="A768" s="392" t="n"/>
      <c r="B768" s="392" t="n"/>
      <c r="C768" s="392" t="n"/>
      <c r="D768" s="392" t="n"/>
      <c r="E768" s="392" t="n"/>
      <c r="F768" s="394" t="n"/>
      <c r="G768" s="604">
        <f>IFERROR(INDEX(⑱中間品単価!$H$5:$H$443,MATCH($C768,⑱中間品単価!$B$5:$B$443,0)),"")</f>
        <v/>
      </c>
      <c r="H768" s="396">
        <f>IF(AND(ISNUMBER($F768),ISNUMBER($G768)),$F768*$G768,"")</f>
        <v/>
      </c>
      <c r="I768" s="392" t="n"/>
    </row>
    <row r="769">
      <c r="A769" s="392" t="n"/>
      <c r="B769" s="392" t="n"/>
      <c r="C769" s="392" t="n"/>
      <c r="D769" s="392" t="n"/>
      <c r="E769" s="392" t="n"/>
      <c r="F769" s="394" t="n"/>
      <c r="G769" s="604">
        <f>IFERROR(INDEX(⑱中間品単価!$H$5:$H$443,MATCH($C769,⑱中間品単価!$B$5:$B$443,0)),"")</f>
        <v/>
      </c>
      <c r="H769" s="396">
        <f>IF(AND(ISNUMBER($F769),ISNUMBER($G769)),$F769*$G769,"")</f>
        <v/>
      </c>
      <c r="I769" s="392" t="n"/>
    </row>
    <row r="770">
      <c r="A770" s="392" t="n"/>
      <c r="B770" s="392" t="n"/>
      <c r="C770" s="392" t="n"/>
      <c r="D770" s="392" t="n"/>
      <c r="E770" s="392" t="n"/>
      <c r="F770" s="394" t="n"/>
      <c r="G770" s="604">
        <f>IFERROR(INDEX(⑱中間品単価!$H$5:$H$443,MATCH($C770,⑱中間品単価!$B$5:$B$443,0)),"")</f>
        <v/>
      </c>
      <c r="H770" s="396">
        <f>IF(AND(ISNUMBER($F770),ISNUMBER($G770)),$F770*$G770,"")</f>
        <v/>
      </c>
      <c r="I770" s="392" t="n"/>
    </row>
    <row r="771">
      <c r="A771" s="392" t="n"/>
      <c r="B771" s="392" t="n"/>
      <c r="C771" s="392" t="n"/>
      <c r="D771" s="392" t="n"/>
      <c r="E771" s="392" t="n"/>
      <c r="F771" s="394" t="n"/>
      <c r="G771" s="604">
        <f>IFERROR(INDEX(⑱中間品単価!$H$5:$H$443,MATCH($C771,⑱中間品単価!$B$5:$B$443,0)),"")</f>
        <v/>
      </c>
      <c r="H771" s="396">
        <f>IF(AND(ISNUMBER($F771),ISNUMBER($G771)),$F771*$G771,"")</f>
        <v/>
      </c>
      <c r="I771" s="392" t="n"/>
    </row>
    <row r="772">
      <c r="A772" s="392" t="n"/>
      <c r="B772" s="392" t="n"/>
      <c r="C772" s="392" t="n"/>
      <c r="D772" s="392" t="n"/>
      <c r="E772" s="392" t="n"/>
      <c r="F772" s="394" t="n"/>
      <c r="G772" s="604">
        <f>IFERROR(INDEX(⑱中間品単価!$H$5:$H$443,MATCH($C772,⑱中間品単価!$B$5:$B$443,0)),"")</f>
        <v/>
      </c>
      <c r="H772" s="396">
        <f>IF(AND(ISNUMBER($F772),ISNUMBER($G772)),$F772*$G772,"")</f>
        <v/>
      </c>
      <c r="I772" s="392" t="n"/>
    </row>
    <row r="773">
      <c r="A773" s="392" t="n"/>
      <c r="B773" s="392" t="n"/>
      <c r="C773" s="392" t="n"/>
      <c r="D773" s="392" t="n"/>
      <c r="E773" s="392" t="n"/>
      <c r="F773" s="394" t="n"/>
      <c r="G773" s="604">
        <f>IFERROR(INDEX(⑱中間品単価!$H$5:$H$443,MATCH($C773,⑱中間品単価!$B$5:$B$443,0)),"")</f>
        <v/>
      </c>
      <c r="H773" s="396">
        <f>IF(AND(ISNUMBER($F773),ISNUMBER($G773)),$F773*$G773,"")</f>
        <v/>
      </c>
      <c r="I773" s="392" t="n"/>
    </row>
    <row r="774">
      <c r="A774" s="392" t="n"/>
      <c r="B774" s="392" t="n"/>
      <c r="C774" s="392" t="n"/>
      <c r="D774" s="392" t="n"/>
      <c r="E774" s="392" t="n"/>
      <c r="F774" s="394" t="n"/>
      <c r="G774" s="604">
        <f>IFERROR(INDEX(⑱中間品単価!$H$5:$H$443,MATCH($C774,⑱中間品単価!$B$5:$B$443,0)),"")</f>
        <v/>
      </c>
      <c r="H774" s="396">
        <f>IF(AND(ISNUMBER($F774),ISNUMBER($G774)),$F774*$G774,"")</f>
        <v/>
      </c>
      <c r="I774" s="392" t="n"/>
    </row>
    <row r="775">
      <c r="A775" s="392" t="n"/>
      <c r="B775" s="392" t="n"/>
      <c r="C775" s="392" t="n"/>
      <c r="D775" s="392" t="n"/>
      <c r="E775" s="392" t="n"/>
      <c r="F775" s="394" t="n"/>
      <c r="G775" s="604">
        <f>IFERROR(INDEX(⑱中間品単価!$H$5:$H$443,MATCH($C775,⑱中間品単価!$B$5:$B$443,0)),"")</f>
        <v/>
      </c>
      <c r="H775" s="396">
        <f>IF(AND(ISNUMBER($F775),ISNUMBER($G775)),$F775*$G775,"")</f>
        <v/>
      </c>
      <c r="I775" s="392" t="n"/>
    </row>
    <row r="776">
      <c r="A776" s="392" t="n"/>
      <c r="B776" s="392" t="n"/>
      <c r="C776" s="392" t="n"/>
      <c r="D776" s="392" t="n"/>
      <c r="E776" s="392" t="n"/>
      <c r="F776" s="394" t="n"/>
      <c r="G776" s="604">
        <f>IFERROR(INDEX(⑱中間品単価!$H$5:$H$443,MATCH($C776,⑱中間品単価!$B$5:$B$443,0)),"")</f>
        <v/>
      </c>
      <c r="H776" s="396">
        <f>IF(AND(ISNUMBER($F776),ISNUMBER($G776)),$F776*$G776,"")</f>
        <v/>
      </c>
      <c r="I776" s="392" t="n"/>
    </row>
    <row r="777">
      <c r="A777" s="392" t="n"/>
      <c r="B777" s="392" t="n"/>
      <c r="C777" s="392" t="n"/>
      <c r="D777" s="392" t="n"/>
      <c r="E777" s="392" t="n"/>
      <c r="F777" s="394" t="n"/>
      <c r="G777" s="604">
        <f>IFERROR(INDEX(⑱中間品単価!$H$5:$H$443,MATCH($C777,⑱中間品単価!$B$5:$B$443,0)),"")</f>
        <v/>
      </c>
      <c r="H777" s="396">
        <f>IF(AND(ISNUMBER($F777),ISNUMBER($G777)),$F777*$G777,"")</f>
        <v/>
      </c>
      <c r="I777" s="392" t="n"/>
    </row>
    <row r="778">
      <c r="A778" s="392" t="n"/>
      <c r="B778" s="392" t="n"/>
      <c r="C778" s="392" t="n"/>
      <c r="D778" s="392" t="n"/>
      <c r="E778" s="392" t="n"/>
      <c r="F778" s="394" t="n"/>
      <c r="G778" s="604">
        <f>IFERROR(INDEX(⑱中間品単価!$H$5:$H$443,MATCH($C778,⑱中間品単価!$B$5:$B$443,0)),"")</f>
        <v/>
      </c>
      <c r="H778" s="396">
        <f>IF(AND(ISNUMBER($F778),ISNUMBER($G778)),$F778*$G778,"")</f>
        <v/>
      </c>
      <c r="I778" s="392" t="n"/>
    </row>
    <row r="779">
      <c r="A779" s="392" t="n"/>
      <c r="B779" s="392" t="n"/>
      <c r="C779" s="392" t="n"/>
      <c r="D779" s="392" t="n"/>
      <c r="E779" s="392" t="n"/>
      <c r="F779" s="394" t="n"/>
      <c r="G779" s="604">
        <f>IFERROR(INDEX(⑱中間品単価!$H$5:$H$443,MATCH($C779,⑱中間品単価!$B$5:$B$443,0)),"")</f>
        <v/>
      </c>
      <c r="H779" s="396">
        <f>IF(AND(ISNUMBER($F779),ISNUMBER($G779)),$F779*$G779,"")</f>
        <v/>
      </c>
      <c r="I779" s="392" t="n"/>
    </row>
    <row r="780">
      <c r="A780" s="392" t="n"/>
      <c r="B780" s="392" t="n"/>
      <c r="C780" s="392" t="n"/>
      <c r="D780" s="392" t="n"/>
      <c r="E780" s="392" t="n"/>
      <c r="F780" s="394" t="n"/>
      <c r="G780" s="604">
        <f>IFERROR(INDEX(⑱中間品単価!$H$5:$H$443,MATCH($C780,⑱中間品単価!$B$5:$B$443,0)),"")</f>
        <v/>
      </c>
      <c r="H780" s="396">
        <f>IF(AND(ISNUMBER($F780),ISNUMBER($G780)),$F780*$G780,"")</f>
        <v/>
      </c>
      <c r="I780" s="392" t="n"/>
    </row>
    <row r="781">
      <c r="A781" s="392" t="n"/>
      <c r="B781" s="392" t="n"/>
      <c r="C781" s="392" t="n"/>
      <c r="D781" s="392" t="n"/>
      <c r="E781" s="392" t="n"/>
      <c r="F781" s="394" t="n"/>
      <c r="G781" s="604">
        <f>IFERROR(INDEX(⑱中間品単価!$H$5:$H$443,MATCH($C781,⑱中間品単価!$B$5:$B$443,0)),"")</f>
        <v/>
      </c>
      <c r="H781" s="396">
        <f>IF(AND(ISNUMBER($F781),ISNUMBER($G781)),$F781*$G781,"")</f>
        <v/>
      </c>
      <c r="I781" s="392" t="n"/>
    </row>
    <row r="782">
      <c r="A782" s="392" t="n"/>
      <c r="B782" s="392" t="n"/>
      <c r="C782" s="392" t="n"/>
      <c r="D782" s="392" t="n"/>
      <c r="E782" s="392" t="n"/>
      <c r="F782" s="394" t="n"/>
      <c r="G782" s="604">
        <f>IFERROR(INDEX(⑱中間品単価!$H$5:$H$443,MATCH($C782,⑱中間品単価!$B$5:$B$443,0)),"")</f>
        <v/>
      </c>
      <c r="H782" s="396">
        <f>IF(AND(ISNUMBER($F782),ISNUMBER($G782)),$F782*$G782,"")</f>
        <v/>
      </c>
      <c r="I782" s="392" t="n"/>
    </row>
    <row r="783">
      <c r="A783" s="392" t="n"/>
      <c r="B783" s="392" t="n"/>
      <c r="C783" s="392" t="n"/>
      <c r="D783" s="392" t="n"/>
      <c r="E783" s="392" t="n"/>
      <c r="F783" s="394" t="n"/>
      <c r="G783" s="604">
        <f>IFERROR(INDEX(⑱中間品単価!$H$5:$H$443,MATCH($C783,⑱中間品単価!$B$5:$B$443,0)),"")</f>
        <v/>
      </c>
      <c r="H783" s="396">
        <f>IF(AND(ISNUMBER($F783),ISNUMBER($G783)),$F783*$G783,"")</f>
        <v/>
      </c>
      <c r="I783" s="392" t="n"/>
    </row>
    <row r="784">
      <c r="A784" s="392" t="n"/>
      <c r="B784" s="392" t="n"/>
      <c r="C784" s="392" t="n"/>
      <c r="D784" s="392" t="n"/>
      <c r="E784" s="392" t="n"/>
      <c r="F784" s="394" t="n"/>
      <c r="G784" s="604">
        <f>IFERROR(INDEX(⑱中間品単価!$H$5:$H$443,MATCH($C784,⑱中間品単価!$B$5:$B$443,0)),"")</f>
        <v/>
      </c>
      <c r="H784" s="396">
        <f>IF(AND(ISNUMBER($F784),ISNUMBER($G784)),$F784*$G784,"")</f>
        <v/>
      </c>
      <c r="I784" s="392" t="n"/>
    </row>
    <row r="785">
      <c r="A785" s="392" t="n"/>
      <c r="B785" s="392" t="n"/>
      <c r="C785" s="392" t="n"/>
      <c r="D785" s="392" t="n"/>
      <c r="E785" s="392" t="n"/>
      <c r="F785" s="394" t="n"/>
      <c r="G785" s="604">
        <f>IFERROR(INDEX(⑱中間品単価!$H$5:$H$443,MATCH($C785,⑱中間品単価!$B$5:$B$443,0)),"")</f>
        <v/>
      </c>
      <c r="H785" s="396">
        <f>IF(AND(ISNUMBER($F785),ISNUMBER($G785)),$F785*$G785,"")</f>
        <v/>
      </c>
      <c r="I785" s="392" t="n"/>
    </row>
    <row r="786">
      <c r="A786" s="392" t="n"/>
      <c r="B786" s="392" t="n"/>
      <c r="C786" s="392" t="n"/>
      <c r="D786" s="392" t="n"/>
      <c r="E786" s="392" t="n"/>
      <c r="F786" s="394" t="n"/>
      <c r="G786" s="604">
        <f>IFERROR(INDEX(⑱中間品単価!$H$5:$H$443,MATCH($C786,⑱中間品単価!$B$5:$B$443,0)),"")</f>
        <v/>
      </c>
      <c r="H786" s="396">
        <f>IF(AND(ISNUMBER($F786),ISNUMBER($G786)),$F786*$G786,"")</f>
        <v/>
      </c>
      <c r="I786" s="392" t="n"/>
    </row>
    <row r="787">
      <c r="A787" s="392" t="n"/>
      <c r="B787" s="392" t="n"/>
      <c r="C787" s="392" t="n"/>
      <c r="D787" s="392" t="n"/>
      <c r="E787" s="392" t="n"/>
      <c r="F787" s="394" t="n"/>
      <c r="G787" s="604">
        <f>IFERROR(INDEX(⑱中間品単価!$H$5:$H$443,MATCH($C787,⑱中間品単価!$B$5:$B$443,0)),"")</f>
        <v/>
      </c>
      <c r="H787" s="396">
        <f>IF(AND(ISNUMBER($F787),ISNUMBER($G787)),$F787*$G787,"")</f>
        <v/>
      </c>
      <c r="I787" s="392" t="n"/>
    </row>
    <row r="788">
      <c r="A788" s="392" t="n"/>
      <c r="B788" s="392" t="n"/>
      <c r="C788" s="392" t="n"/>
      <c r="D788" s="392" t="n"/>
      <c r="E788" s="392" t="n"/>
      <c r="F788" s="394" t="n"/>
      <c r="G788" s="604">
        <f>IFERROR(INDEX(⑱中間品単価!$H$5:$H$443,MATCH($C788,⑱中間品単価!$B$5:$B$443,0)),"")</f>
        <v/>
      </c>
      <c r="H788" s="396">
        <f>IF(AND(ISNUMBER($F788),ISNUMBER($G788)),$F788*$G788,"")</f>
        <v/>
      </c>
      <c r="I788" s="392" t="n"/>
    </row>
    <row r="789">
      <c r="A789" s="392" t="n"/>
      <c r="B789" s="392" t="n"/>
      <c r="C789" s="392" t="n"/>
      <c r="D789" s="392" t="n"/>
      <c r="E789" s="392" t="n"/>
      <c r="F789" s="394" t="n"/>
      <c r="G789" s="604">
        <f>IFERROR(INDEX(⑱中間品単価!$H$5:$H$443,MATCH($C789,⑱中間品単価!$B$5:$B$443,0)),"")</f>
        <v/>
      </c>
      <c r="H789" s="396">
        <f>IF(AND(ISNUMBER($F789),ISNUMBER($G789)),$F789*$G789,"")</f>
        <v/>
      </c>
      <c r="I789" s="392" t="n"/>
    </row>
    <row r="790">
      <c r="A790" s="392" t="n"/>
      <c r="B790" s="392" t="n"/>
      <c r="C790" s="392" t="n"/>
      <c r="D790" s="392" t="n"/>
      <c r="E790" s="392" t="n"/>
      <c r="F790" s="394" t="n"/>
      <c r="G790" s="604">
        <f>IFERROR(INDEX(⑱中間品単価!$H$5:$H$443,MATCH($C790,⑱中間品単価!$B$5:$B$443,0)),"")</f>
        <v/>
      </c>
      <c r="H790" s="396">
        <f>IF(AND(ISNUMBER($F790),ISNUMBER($G790)),$F790*$G790,"")</f>
        <v/>
      </c>
      <c r="I790" s="392" t="n"/>
    </row>
    <row r="791">
      <c r="A791" s="392" t="n"/>
      <c r="B791" s="392" t="n"/>
      <c r="C791" s="392" t="n"/>
      <c r="D791" s="392" t="n"/>
      <c r="E791" s="392" t="n"/>
      <c r="F791" s="394" t="n"/>
      <c r="G791" s="604">
        <f>IFERROR(INDEX(⑱中間品単価!$H$5:$H$443,MATCH($C791,⑱中間品単価!$B$5:$B$443,0)),"")</f>
        <v/>
      </c>
      <c r="H791" s="396">
        <f>IF(AND(ISNUMBER($F791),ISNUMBER($G791)),$F791*$G791,"")</f>
        <v/>
      </c>
      <c r="I791" s="392" t="n"/>
    </row>
    <row r="792">
      <c r="A792" s="392" t="n"/>
      <c r="B792" s="392" t="n"/>
      <c r="C792" s="392" t="n"/>
      <c r="D792" s="392" t="n"/>
      <c r="E792" s="392" t="n"/>
      <c r="F792" s="394" t="n"/>
      <c r="G792" s="604">
        <f>IFERROR(INDEX(⑱中間品単価!$H$5:$H$443,MATCH($C792,⑱中間品単価!$B$5:$B$443,0)),"")</f>
        <v/>
      </c>
      <c r="H792" s="396">
        <f>IF(AND(ISNUMBER($F792),ISNUMBER($G792)),$F792*$G792,"")</f>
        <v/>
      </c>
      <c r="I792" s="392" t="n"/>
    </row>
    <row r="793">
      <c r="A793" s="392" t="n"/>
      <c r="B793" s="392" t="n"/>
      <c r="C793" s="392" t="n"/>
      <c r="D793" s="392" t="n"/>
      <c r="E793" s="392" t="n"/>
      <c r="F793" s="394" t="n"/>
      <c r="G793" s="604">
        <f>IFERROR(INDEX(⑱中間品単価!$H$5:$H$443,MATCH($C793,⑱中間品単価!$B$5:$B$443,0)),"")</f>
        <v/>
      </c>
      <c r="H793" s="396">
        <f>IF(AND(ISNUMBER($F793),ISNUMBER($G793)),$F793*$G793,"")</f>
        <v/>
      </c>
      <c r="I793" s="392" t="n"/>
    </row>
    <row r="794">
      <c r="A794" s="392" t="n"/>
      <c r="B794" s="392" t="n"/>
      <c r="C794" s="392" t="n"/>
      <c r="D794" s="392" t="n"/>
      <c r="E794" s="392" t="n"/>
      <c r="F794" s="394" t="n"/>
      <c r="G794" s="604">
        <f>IFERROR(INDEX(⑱中間品単価!$H$5:$H$443,MATCH($C794,⑱中間品単価!$B$5:$B$443,0)),"")</f>
        <v/>
      </c>
      <c r="H794" s="396">
        <f>IF(AND(ISNUMBER($F794),ISNUMBER($G794)),$F794*$G794,"")</f>
        <v/>
      </c>
      <c r="I794" s="392" t="n"/>
    </row>
    <row r="795">
      <c r="A795" s="392" t="n"/>
      <c r="B795" s="392" t="n"/>
      <c r="C795" s="392" t="n"/>
      <c r="D795" s="392" t="n"/>
      <c r="E795" s="392" t="n"/>
      <c r="F795" s="394" t="n"/>
      <c r="G795" s="604">
        <f>IFERROR(INDEX(⑱中間品単価!$H$5:$H$443,MATCH($C795,⑱中間品単価!$B$5:$B$443,0)),"")</f>
        <v/>
      </c>
      <c r="H795" s="396">
        <f>IF(AND(ISNUMBER($F795),ISNUMBER($G795)),$F795*$G795,"")</f>
        <v/>
      </c>
      <c r="I795" s="392" t="n"/>
    </row>
    <row r="796">
      <c r="A796" s="392" t="n"/>
      <c r="B796" s="392" t="n"/>
      <c r="C796" s="392" t="n"/>
      <c r="D796" s="392" t="n"/>
      <c r="E796" s="392" t="n"/>
      <c r="F796" s="394" t="n"/>
      <c r="G796" s="604">
        <f>IFERROR(INDEX(⑱中間品単価!$H$5:$H$443,MATCH($C796,⑱中間品単価!$B$5:$B$443,0)),"")</f>
        <v/>
      </c>
      <c r="H796" s="396">
        <f>IF(AND(ISNUMBER($F796),ISNUMBER($G796)),$F796*$G796,"")</f>
        <v/>
      </c>
      <c r="I796" s="392" t="n"/>
    </row>
    <row r="797">
      <c r="A797" s="392" t="n"/>
      <c r="B797" s="392" t="n"/>
      <c r="C797" s="392" t="n"/>
      <c r="D797" s="392" t="n"/>
      <c r="E797" s="392" t="n"/>
      <c r="F797" s="394" t="n"/>
      <c r="G797" s="604">
        <f>IFERROR(INDEX(⑱中間品単価!$H$5:$H$443,MATCH($C797,⑱中間品単価!$B$5:$B$443,0)),"")</f>
        <v/>
      </c>
      <c r="H797" s="396">
        <f>IF(AND(ISNUMBER($F797),ISNUMBER($G797)),$F797*$G797,"")</f>
        <v/>
      </c>
      <c r="I797" s="392" t="n"/>
    </row>
    <row r="798">
      <c r="A798" s="392" t="n"/>
      <c r="B798" s="392" t="n"/>
      <c r="C798" s="392" t="n"/>
      <c r="D798" s="392" t="n"/>
      <c r="E798" s="392" t="n"/>
      <c r="F798" s="394" t="n"/>
      <c r="G798" s="604">
        <f>IFERROR(INDEX(⑱中間品単価!$H$5:$H$443,MATCH($C798,⑱中間品単価!$B$5:$B$443,0)),"")</f>
        <v/>
      </c>
      <c r="H798" s="396">
        <f>IF(AND(ISNUMBER($F798),ISNUMBER($G798)),$F798*$G798,"")</f>
        <v/>
      </c>
      <c r="I798" s="392" t="n"/>
    </row>
    <row r="799">
      <c r="A799" s="392" t="n"/>
      <c r="B799" s="392" t="n"/>
      <c r="C799" s="392" t="n"/>
      <c r="D799" s="392" t="n"/>
      <c r="E799" s="392" t="n"/>
      <c r="F799" s="394" t="n"/>
      <c r="G799" s="604">
        <f>IFERROR(INDEX(⑱中間品単価!$H$5:$H$443,MATCH($C799,⑱中間品単価!$B$5:$B$443,0)),"")</f>
        <v/>
      </c>
      <c r="H799" s="396">
        <f>IF(AND(ISNUMBER($F799),ISNUMBER($G799)),$F799*$G799,"")</f>
        <v/>
      </c>
      <c r="I799" s="392" t="n"/>
    </row>
    <row r="800">
      <c r="A800" s="392" t="n"/>
      <c r="B800" s="392" t="n"/>
      <c r="C800" s="392" t="n"/>
      <c r="D800" s="392" t="n"/>
      <c r="E800" s="392" t="n"/>
      <c r="F800" s="394" t="n"/>
      <c r="G800" s="604">
        <f>IFERROR(INDEX(⑱中間品単価!$H$5:$H$443,MATCH($C800,⑱中間品単価!$B$5:$B$443,0)),"")</f>
        <v/>
      </c>
      <c r="H800" s="396">
        <f>IF(AND(ISNUMBER($F800),ISNUMBER($G800)),$F800*$G800,"")</f>
        <v/>
      </c>
      <c r="I800" s="392" t="n"/>
    </row>
    <row r="801">
      <c r="A801" s="392" t="n"/>
      <c r="B801" s="392" t="n"/>
      <c r="C801" s="392" t="n"/>
      <c r="D801" s="392" t="n"/>
      <c r="E801" s="392" t="n"/>
      <c r="F801" s="394" t="n"/>
      <c r="G801" s="604">
        <f>IFERROR(INDEX(⑱中間品単価!$H$5:$H$443,MATCH($C801,⑱中間品単価!$B$5:$B$443,0)),"")</f>
        <v/>
      </c>
      <c r="H801" s="396">
        <f>IF(AND(ISNUMBER($F801),ISNUMBER($G801)),$F801*$G801,"")</f>
        <v/>
      </c>
      <c r="I801" s="392" t="n"/>
    </row>
    <row r="802">
      <c r="A802" s="392" t="n"/>
      <c r="B802" s="392" t="n"/>
      <c r="C802" s="392" t="n"/>
      <c r="D802" s="392" t="n"/>
      <c r="E802" s="392" t="n"/>
      <c r="F802" s="394" t="n"/>
      <c r="G802" s="604">
        <f>IFERROR(INDEX(⑱中間品単価!$H$5:$H$443,MATCH($C802,⑱中間品単価!$B$5:$B$443,0)),"")</f>
        <v/>
      </c>
      <c r="H802" s="396">
        <f>IF(AND(ISNUMBER($F802),ISNUMBER($G802)),$F802*$G802,"")</f>
        <v/>
      </c>
      <c r="I802" s="392" t="n"/>
    </row>
    <row r="803">
      <c r="A803" s="392" t="n"/>
      <c r="B803" s="392" t="n"/>
      <c r="C803" s="392" t="n"/>
      <c r="D803" s="392" t="n"/>
      <c r="E803" s="392" t="n"/>
      <c r="F803" s="394" t="n"/>
      <c r="G803" s="604">
        <f>IFERROR(INDEX(⑱中間品単価!$H$5:$H$443,MATCH($C803,⑱中間品単価!$B$5:$B$443,0)),"")</f>
        <v/>
      </c>
      <c r="H803" s="396">
        <f>IF(AND(ISNUMBER($F803),ISNUMBER($G803)),$F803*$G803,"")</f>
        <v/>
      </c>
      <c r="I803" s="392" t="n"/>
    </row>
    <row r="804">
      <c r="A804" s="392" t="n"/>
      <c r="B804" s="392" t="n"/>
      <c r="C804" s="392" t="n"/>
      <c r="D804" s="392" t="n"/>
      <c r="E804" s="392" t="n"/>
      <c r="F804" s="394" t="n"/>
      <c r="G804" s="604">
        <f>IFERROR(INDEX(⑱中間品単価!$H$5:$H$443,MATCH($C804,⑱中間品単価!$B$5:$B$443,0)),"")</f>
        <v/>
      </c>
      <c r="H804" s="396">
        <f>IF(AND(ISNUMBER($F804),ISNUMBER($G804)),$F804*$G804,"")</f>
        <v/>
      </c>
      <c r="I804" s="392" t="n"/>
    </row>
    <row r="805">
      <c r="A805" s="392" t="n"/>
      <c r="B805" s="392" t="n"/>
      <c r="C805" s="392" t="n"/>
      <c r="D805" s="392" t="n"/>
      <c r="E805" s="392" t="n"/>
      <c r="F805" s="394" t="n"/>
      <c r="G805" s="604">
        <f>IFERROR(INDEX(⑱中間品単価!$H$5:$H$443,MATCH($C805,⑱中間品単価!$B$5:$B$443,0)),"")</f>
        <v/>
      </c>
      <c r="H805" s="396">
        <f>IF(AND(ISNUMBER($F805),ISNUMBER($G805)),$F805*$G805,"")</f>
        <v/>
      </c>
      <c r="I805" s="392" t="n"/>
    </row>
    <row r="806">
      <c r="A806" s="392" t="n"/>
      <c r="B806" s="392" t="n"/>
      <c r="C806" s="392" t="n"/>
      <c r="D806" s="392" t="n"/>
      <c r="E806" s="392" t="n"/>
      <c r="F806" s="394" t="n"/>
      <c r="G806" s="604">
        <f>IFERROR(INDEX(⑱中間品単価!$H$5:$H$443,MATCH($C806,⑱中間品単価!$B$5:$B$443,0)),"")</f>
        <v/>
      </c>
      <c r="H806" s="396">
        <f>IF(AND(ISNUMBER($F806),ISNUMBER($G806)),$F806*$G806,"")</f>
        <v/>
      </c>
      <c r="I806" s="392" t="n"/>
    </row>
    <row r="807">
      <c r="A807" s="392" t="n"/>
      <c r="B807" s="392" t="n"/>
      <c r="C807" s="392" t="n"/>
      <c r="D807" s="392" t="n"/>
      <c r="E807" s="392" t="n"/>
      <c r="F807" s="394" t="n"/>
      <c r="G807" s="604">
        <f>IFERROR(INDEX(⑱中間品単価!$H$5:$H$443,MATCH($C807,⑱中間品単価!$B$5:$B$443,0)),"")</f>
        <v/>
      </c>
      <c r="H807" s="396">
        <f>IF(AND(ISNUMBER($F807),ISNUMBER($G807)),$F807*$G807,"")</f>
        <v/>
      </c>
      <c r="I807" s="392" t="n"/>
    </row>
    <row r="808">
      <c r="A808" s="392" t="n"/>
      <c r="B808" s="392" t="n"/>
      <c r="C808" s="392" t="n"/>
      <c r="D808" s="392" t="n"/>
      <c r="E808" s="392" t="n"/>
      <c r="F808" s="394" t="n"/>
      <c r="G808" s="604">
        <f>IFERROR(INDEX(⑱中間品単価!$H$5:$H$443,MATCH($C808,⑱中間品単価!$B$5:$B$443,0)),"")</f>
        <v/>
      </c>
      <c r="H808" s="396">
        <f>IF(AND(ISNUMBER($F808),ISNUMBER($G808)),$F808*$G808,"")</f>
        <v/>
      </c>
      <c r="I808" s="392" t="n"/>
    </row>
    <row r="809">
      <c r="A809" s="392" t="n"/>
      <c r="B809" s="392" t="n"/>
      <c r="C809" s="392" t="n"/>
      <c r="D809" s="392" t="n"/>
      <c r="E809" s="392" t="n"/>
      <c r="F809" s="394" t="n"/>
      <c r="G809" s="604">
        <f>IFERROR(INDEX(⑱中間品単価!$H$5:$H$443,MATCH($C809,⑱中間品単価!$B$5:$B$443,0)),"")</f>
        <v/>
      </c>
      <c r="H809" s="396">
        <f>IF(AND(ISNUMBER($F809),ISNUMBER($G809)),$F809*$G809,"")</f>
        <v/>
      </c>
      <c r="I809" s="392" t="n"/>
    </row>
    <row r="810">
      <c r="A810" s="392" t="n"/>
      <c r="B810" s="392" t="n"/>
      <c r="C810" s="392" t="n"/>
      <c r="D810" s="392" t="n"/>
      <c r="E810" s="392" t="n"/>
      <c r="F810" s="394" t="n"/>
      <c r="G810" s="604">
        <f>IFERROR(INDEX(⑱中間品単価!$H$5:$H$443,MATCH($C810,⑱中間品単価!$B$5:$B$443,0)),"")</f>
        <v/>
      </c>
      <c r="H810" s="396">
        <f>IF(AND(ISNUMBER($F810),ISNUMBER($G810)),$F810*$G810,"")</f>
        <v/>
      </c>
      <c r="I810" s="392" t="n"/>
    </row>
    <row r="811">
      <c r="A811" s="392" t="n"/>
      <c r="B811" s="392" t="n"/>
      <c r="C811" s="392" t="n"/>
      <c r="D811" s="392" t="n"/>
      <c r="E811" s="392" t="n"/>
      <c r="F811" s="394" t="n"/>
      <c r="G811" s="604">
        <f>IFERROR(INDEX(⑱中間品単価!$H$5:$H$443,MATCH($C811,⑱中間品単価!$B$5:$B$443,0)),"")</f>
        <v/>
      </c>
      <c r="H811" s="396">
        <f>IF(AND(ISNUMBER($F811),ISNUMBER($G811)),$F811*$G811,"")</f>
        <v/>
      </c>
      <c r="I811" s="392" t="n"/>
    </row>
    <row r="812">
      <c r="A812" s="392" t="n"/>
      <c r="B812" s="392" t="n"/>
      <c r="C812" s="392" t="n"/>
      <c r="D812" s="392" t="n"/>
      <c r="E812" s="392" t="n"/>
      <c r="F812" s="394" t="n"/>
      <c r="G812" s="604">
        <f>IFERROR(INDEX(⑱中間品単価!$H$5:$H$443,MATCH($C812,⑱中間品単価!$B$5:$B$443,0)),"")</f>
        <v/>
      </c>
      <c r="H812" s="396">
        <f>IF(AND(ISNUMBER($F812),ISNUMBER($G812)),$F812*$G812,"")</f>
        <v/>
      </c>
      <c r="I812" s="392" t="n"/>
    </row>
    <row r="813">
      <c r="A813" s="392" t="n"/>
      <c r="B813" s="392" t="n"/>
      <c r="C813" s="392" t="n"/>
      <c r="D813" s="392" t="n"/>
      <c r="E813" s="392" t="n"/>
      <c r="F813" s="394" t="n"/>
      <c r="G813" s="604">
        <f>IFERROR(INDEX(⑱中間品単価!$H$5:$H$443,MATCH($C813,⑱中間品単価!$B$5:$B$443,0)),"")</f>
        <v/>
      </c>
      <c r="H813" s="396">
        <f>IF(AND(ISNUMBER($F813),ISNUMBER($G813)),$F813*$G813,"")</f>
        <v/>
      </c>
      <c r="I813" s="392" t="n"/>
    </row>
    <row r="814">
      <c r="A814" s="392" t="n"/>
      <c r="B814" s="392" t="n"/>
      <c r="C814" s="392" t="n"/>
      <c r="D814" s="392" t="n"/>
      <c r="E814" s="392" t="n"/>
      <c r="F814" s="394" t="n"/>
      <c r="G814" s="604">
        <f>IFERROR(INDEX(⑱中間品単価!$H$5:$H$443,MATCH($C814,⑱中間品単価!$B$5:$B$443,0)),"")</f>
        <v/>
      </c>
      <c r="H814" s="396">
        <f>IF(AND(ISNUMBER($F814),ISNUMBER($G814)),$F814*$G814,"")</f>
        <v/>
      </c>
      <c r="I814" s="392" t="n"/>
    </row>
    <row r="815">
      <c r="A815" s="392" t="n"/>
      <c r="B815" s="392" t="n"/>
      <c r="C815" s="392" t="n"/>
      <c r="D815" s="392" t="n"/>
      <c r="E815" s="392" t="n"/>
      <c r="F815" s="394" t="n"/>
      <c r="G815" s="604">
        <f>IFERROR(INDEX(⑱中間品単価!$H$5:$H$443,MATCH($C815,⑱中間品単価!$B$5:$B$443,0)),"")</f>
        <v/>
      </c>
      <c r="H815" s="396">
        <f>IF(AND(ISNUMBER($F815),ISNUMBER($G815)),$F815*$G815,"")</f>
        <v/>
      </c>
      <c r="I815" s="392" t="n"/>
    </row>
    <row r="816">
      <c r="A816" s="392" t="n"/>
      <c r="B816" s="392" t="n"/>
      <c r="C816" s="392" t="n"/>
      <c r="D816" s="392" t="n"/>
      <c r="E816" s="392" t="n"/>
      <c r="F816" s="394" t="n"/>
      <c r="G816" s="604">
        <f>IFERROR(INDEX(⑱中間品単価!$H$5:$H$443,MATCH($C816,⑱中間品単価!$B$5:$B$443,0)),"")</f>
        <v/>
      </c>
      <c r="H816" s="396">
        <f>IF(AND(ISNUMBER($F816),ISNUMBER($G816)),$F816*$G816,"")</f>
        <v/>
      </c>
      <c r="I816" s="392" t="n"/>
    </row>
    <row r="817">
      <c r="A817" s="392" t="n"/>
      <c r="B817" s="392" t="n"/>
      <c r="C817" s="392" t="n"/>
      <c r="D817" s="392" t="n"/>
      <c r="E817" s="392" t="n"/>
      <c r="F817" s="394" t="n"/>
      <c r="G817" s="604">
        <f>IFERROR(INDEX(⑱中間品単価!$H$5:$H$443,MATCH($C817,⑱中間品単価!$B$5:$B$443,0)),"")</f>
        <v/>
      </c>
      <c r="H817" s="396">
        <f>IF(AND(ISNUMBER($F817),ISNUMBER($G817)),$F817*$G817,"")</f>
        <v/>
      </c>
      <c r="I817" s="392" t="n"/>
    </row>
    <row r="818">
      <c r="A818" s="392" t="n"/>
      <c r="B818" s="392" t="n"/>
      <c r="C818" s="392" t="n"/>
      <c r="D818" s="392" t="n"/>
      <c r="E818" s="392" t="n"/>
      <c r="F818" s="394" t="n"/>
      <c r="G818" s="604">
        <f>IFERROR(INDEX(⑱中間品単価!$H$5:$H$443,MATCH($C818,⑱中間品単価!$B$5:$B$443,0)),"")</f>
        <v/>
      </c>
      <c r="H818" s="396">
        <f>IF(AND(ISNUMBER($F818),ISNUMBER($G818)),$F818*$G818,"")</f>
        <v/>
      </c>
      <c r="I818" s="392" t="n"/>
    </row>
    <row r="819">
      <c r="A819" s="392" t="n"/>
      <c r="B819" s="392" t="n"/>
      <c r="C819" s="392" t="n"/>
      <c r="D819" s="392" t="n"/>
      <c r="E819" s="392" t="n"/>
      <c r="F819" s="394" t="n"/>
      <c r="G819" s="604">
        <f>IFERROR(INDEX(⑱中間品単価!$H$5:$H$443,MATCH($C819,⑱中間品単価!$B$5:$B$443,0)),"")</f>
        <v/>
      </c>
      <c r="H819" s="396">
        <f>IF(AND(ISNUMBER($F819),ISNUMBER($G819)),$F819*$G819,"")</f>
        <v/>
      </c>
      <c r="I819" s="392" t="n"/>
    </row>
    <row r="820">
      <c r="A820" s="392" t="n"/>
      <c r="B820" s="392" t="n"/>
      <c r="C820" s="392" t="n"/>
      <c r="D820" s="392" t="n"/>
      <c r="E820" s="392" t="n"/>
      <c r="F820" s="394" t="n"/>
      <c r="G820" s="604">
        <f>IFERROR(INDEX(⑱中間品単価!$H$5:$H$443,MATCH($C820,⑱中間品単価!$B$5:$B$443,0)),"")</f>
        <v/>
      </c>
      <c r="H820" s="396">
        <f>IF(AND(ISNUMBER($F820),ISNUMBER($G820)),$F820*$G820,"")</f>
        <v/>
      </c>
      <c r="I820" s="392" t="n"/>
    </row>
    <row r="821">
      <c r="A821" s="392" t="n"/>
      <c r="B821" s="392" t="n"/>
      <c r="C821" s="392" t="n"/>
      <c r="D821" s="392" t="n"/>
      <c r="E821" s="392" t="n"/>
      <c r="F821" s="394" t="n"/>
      <c r="G821" s="604">
        <f>IFERROR(INDEX(⑱中間品単価!$H$5:$H$443,MATCH($C821,⑱中間品単価!$B$5:$B$443,0)),"")</f>
        <v/>
      </c>
      <c r="H821" s="396">
        <f>IF(AND(ISNUMBER($F821),ISNUMBER($G821)),$F821*$G821,"")</f>
        <v/>
      </c>
      <c r="I821" s="392" t="n"/>
    </row>
    <row r="822">
      <c r="A822" s="392" t="n"/>
      <c r="B822" s="392" t="n"/>
      <c r="C822" s="392" t="n"/>
      <c r="D822" s="392" t="n"/>
      <c r="E822" s="392" t="n"/>
      <c r="F822" s="394" t="n"/>
      <c r="G822" s="604">
        <f>IFERROR(INDEX(⑱中間品単価!$H$5:$H$443,MATCH($C822,⑱中間品単価!$B$5:$B$443,0)),"")</f>
        <v/>
      </c>
      <c r="H822" s="396">
        <f>IF(AND(ISNUMBER($F822),ISNUMBER($G822)),$F822*$G822,"")</f>
        <v/>
      </c>
      <c r="I822" s="392" t="n"/>
    </row>
    <row r="823">
      <c r="A823" s="392" t="n"/>
      <c r="B823" s="392" t="n"/>
      <c r="C823" s="392" t="n"/>
      <c r="D823" s="392" t="n"/>
      <c r="E823" s="392" t="n"/>
      <c r="F823" s="394" t="n"/>
      <c r="G823" s="604">
        <f>IFERROR(INDEX(⑱中間品単価!$H$5:$H$443,MATCH($C823,⑱中間品単価!$B$5:$B$443,0)),"")</f>
        <v/>
      </c>
      <c r="H823" s="396">
        <f>IF(AND(ISNUMBER($F823),ISNUMBER($G823)),$F823*$G823,"")</f>
        <v/>
      </c>
      <c r="I823" s="392" t="n"/>
    </row>
    <row r="824">
      <c r="A824" s="392" t="n"/>
      <c r="B824" s="392" t="n"/>
      <c r="C824" s="392" t="n"/>
      <c r="D824" s="392" t="n"/>
      <c r="E824" s="392" t="n"/>
      <c r="F824" s="394" t="n"/>
      <c r="G824" s="604">
        <f>IFERROR(INDEX(⑱中間品単価!$H$5:$H$443,MATCH($C824,⑱中間品単価!$B$5:$B$443,0)),"")</f>
        <v/>
      </c>
      <c r="H824" s="396">
        <f>IF(AND(ISNUMBER($F824),ISNUMBER($G824)),$F824*$G824,"")</f>
        <v/>
      </c>
      <c r="I824" s="392" t="n"/>
    </row>
    <row r="825">
      <c r="A825" s="392" t="n"/>
      <c r="B825" s="392" t="n"/>
      <c r="C825" s="392" t="n"/>
      <c r="D825" s="392" t="n"/>
      <c r="E825" s="392" t="n"/>
      <c r="F825" s="394" t="n"/>
      <c r="G825" s="604">
        <f>IFERROR(INDEX(⑱中間品単価!$H$5:$H$443,MATCH($C825,⑱中間品単価!$B$5:$B$443,0)),"")</f>
        <v/>
      </c>
      <c r="H825" s="396">
        <f>IF(AND(ISNUMBER($F825),ISNUMBER($G825)),$F825*$G825,"")</f>
        <v/>
      </c>
      <c r="I825" s="392" t="n"/>
    </row>
    <row r="826">
      <c r="A826" s="392" t="n"/>
      <c r="B826" s="392" t="n"/>
      <c r="C826" s="392" t="n"/>
      <c r="D826" s="392" t="n"/>
      <c r="E826" s="392" t="n"/>
      <c r="F826" s="394" t="n"/>
      <c r="G826" s="604">
        <f>IFERROR(INDEX(⑱中間品単価!$H$5:$H$443,MATCH($C826,⑱中間品単価!$B$5:$B$443,0)),"")</f>
        <v/>
      </c>
      <c r="H826" s="396">
        <f>IF(AND(ISNUMBER($F826),ISNUMBER($G826)),$F826*$G826,"")</f>
        <v/>
      </c>
      <c r="I826" s="392" t="n"/>
    </row>
    <row r="827">
      <c r="A827" s="392" t="n"/>
      <c r="B827" s="392" t="n"/>
      <c r="C827" s="392" t="n"/>
      <c r="D827" s="392" t="n"/>
      <c r="E827" s="392" t="n"/>
      <c r="F827" s="394" t="n"/>
      <c r="G827" s="604">
        <f>IFERROR(INDEX(⑱中間品単価!$H$5:$H$443,MATCH($C827,⑱中間品単価!$B$5:$B$443,0)),"")</f>
        <v/>
      </c>
      <c r="H827" s="396">
        <f>IF(AND(ISNUMBER($F827),ISNUMBER($G827)),$F827*$G827,"")</f>
        <v/>
      </c>
      <c r="I827" s="392" t="n"/>
    </row>
    <row r="828">
      <c r="A828" s="392" t="n"/>
      <c r="B828" s="392" t="n"/>
      <c r="C828" s="392" t="n"/>
      <c r="D828" s="392" t="n"/>
      <c r="E828" s="392" t="n"/>
      <c r="F828" s="394" t="n"/>
      <c r="G828" s="604">
        <f>IFERROR(INDEX(⑱中間品単価!$H$5:$H$443,MATCH($C828,⑱中間品単価!$B$5:$B$443,0)),"")</f>
        <v/>
      </c>
      <c r="H828" s="396">
        <f>IF(AND(ISNUMBER($F828),ISNUMBER($G828)),$F828*$G828,"")</f>
        <v/>
      </c>
      <c r="I828" s="392" t="n"/>
    </row>
    <row r="829">
      <c r="A829" s="392" t="n"/>
      <c r="B829" s="392" t="n"/>
      <c r="C829" s="392" t="n"/>
      <c r="D829" s="392" t="n"/>
      <c r="E829" s="392" t="n"/>
      <c r="F829" s="394" t="n"/>
      <c r="G829" s="604">
        <f>IFERROR(INDEX(⑱中間品単価!$H$5:$H$443,MATCH($C829,⑱中間品単価!$B$5:$B$443,0)),"")</f>
        <v/>
      </c>
      <c r="H829" s="396">
        <f>IF(AND(ISNUMBER($F829),ISNUMBER($G829)),$F829*$G829,"")</f>
        <v/>
      </c>
      <c r="I829" s="392" t="n"/>
    </row>
    <row r="830">
      <c r="A830" s="392" t="n"/>
      <c r="B830" s="392" t="n"/>
      <c r="C830" s="392" t="n"/>
      <c r="D830" s="392" t="n"/>
      <c r="E830" s="392" t="n"/>
      <c r="F830" s="394" t="n"/>
      <c r="G830" s="604">
        <f>IFERROR(INDEX(⑱中間品単価!$H$5:$H$443,MATCH($C830,⑱中間品単価!$B$5:$B$443,0)),"")</f>
        <v/>
      </c>
      <c r="H830" s="396">
        <f>IF(AND(ISNUMBER($F830),ISNUMBER($G830)),$F830*$G830,"")</f>
        <v/>
      </c>
      <c r="I830" s="392" t="n"/>
    </row>
    <row r="831">
      <c r="A831" s="392" t="n"/>
      <c r="B831" s="392" t="n"/>
      <c r="C831" s="392" t="n"/>
      <c r="D831" s="392" t="n"/>
      <c r="E831" s="392" t="n"/>
      <c r="F831" s="394" t="n"/>
      <c r="G831" s="604">
        <f>IFERROR(INDEX(⑱中間品単価!$H$5:$H$443,MATCH($C831,⑱中間品単価!$B$5:$B$443,0)),"")</f>
        <v/>
      </c>
      <c r="H831" s="396">
        <f>IF(AND(ISNUMBER($F831),ISNUMBER($G831)),$F831*$G831,"")</f>
        <v/>
      </c>
      <c r="I831" s="392" t="n"/>
    </row>
    <row r="832">
      <c r="A832" s="392" t="n"/>
      <c r="B832" s="392" t="n"/>
      <c r="C832" s="392" t="n"/>
      <c r="D832" s="392" t="n"/>
      <c r="E832" s="392" t="n"/>
      <c r="F832" s="394" t="n"/>
      <c r="G832" s="604">
        <f>IFERROR(INDEX(⑱中間品単価!$H$5:$H$443,MATCH($C832,⑱中間品単価!$B$5:$B$443,0)),"")</f>
        <v/>
      </c>
      <c r="H832" s="396">
        <f>IF(AND(ISNUMBER($F832),ISNUMBER($G832)),$F832*$G832,"")</f>
        <v/>
      </c>
      <c r="I832" s="392" t="n"/>
    </row>
    <row r="833">
      <c r="A833" s="392" t="n"/>
      <c r="B833" s="392" t="n"/>
      <c r="C833" s="392" t="n"/>
      <c r="D833" s="392" t="n"/>
      <c r="E833" s="392" t="n"/>
      <c r="F833" s="394" t="n"/>
      <c r="G833" s="604">
        <f>IFERROR(INDEX(⑱中間品単価!$H$5:$H$443,MATCH($C833,⑱中間品単価!$B$5:$B$443,0)),"")</f>
        <v/>
      </c>
      <c r="H833" s="396">
        <f>IF(AND(ISNUMBER($F833),ISNUMBER($G833)),$F833*$G833,"")</f>
        <v/>
      </c>
      <c r="I833" s="392" t="n"/>
    </row>
    <row r="834">
      <c r="A834" s="392" t="n"/>
      <c r="B834" s="392" t="n"/>
      <c r="C834" s="392" t="n"/>
      <c r="D834" s="392" t="n"/>
      <c r="E834" s="392" t="n"/>
      <c r="F834" s="394" t="n"/>
      <c r="G834" s="604">
        <f>IFERROR(INDEX(⑱中間品単価!$H$5:$H$443,MATCH($C834,⑱中間品単価!$B$5:$B$443,0)),"")</f>
        <v/>
      </c>
      <c r="H834" s="396">
        <f>IF(AND(ISNUMBER($F834),ISNUMBER($G834)),$F834*$G834,"")</f>
        <v/>
      </c>
      <c r="I834" s="392" t="n"/>
    </row>
    <row r="835">
      <c r="A835" s="392" t="n"/>
      <c r="B835" s="392" t="n"/>
      <c r="C835" s="392" t="n"/>
      <c r="D835" s="392" t="n"/>
      <c r="E835" s="392" t="n"/>
      <c r="F835" s="394" t="n"/>
      <c r="G835" s="604">
        <f>IFERROR(INDEX(⑱中間品単価!$H$5:$H$443,MATCH($C835,⑱中間品単価!$B$5:$B$443,0)),"")</f>
        <v/>
      </c>
      <c r="H835" s="396">
        <f>IF(AND(ISNUMBER($F835),ISNUMBER($G835)),$F835*$G835,"")</f>
        <v/>
      </c>
      <c r="I835" s="392" t="n"/>
    </row>
    <row r="836">
      <c r="A836" s="392" t="n"/>
      <c r="B836" s="392" t="n"/>
      <c r="C836" s="392" t="n"/>
      <c r="D836" s="392" t="n"/>
      <c r="E836" s="392" t="n"/>
      <c r="F836" s="394" t="n"/>
      <c r="G836" s="604">
        <f>IFERROR(INDEX(⑱中間品単価!$H$5:$H$443,MATCH($C836,⑱中間品単価!$B$5:$B$443,0)),"")</f>
        <v/>
      </c>
      <c r="H836" s="396">
        <f>IF(AND(ISNUMBER($F836),ISNUMBER($G836)),$F836*$G836,"")</f>
        <v/>
      </c>
      <c r="I836" s="392" t="n"/>
    </row>
    <row r="837">
      <c r="A837" s="392" t="n"/>
      <c r="B837" s="392" t="n"/>
      <c r="C837" s="392" t="n"/>
      <c r="D837" s="392" t="n"/>
      <c r="E837" s="392" t="n"/>
      <c r="F837" s="394" t="n"/>
      <c r="G837" s="604">
        <f>IFERROR(INDEX(⑱中間品単価!$H$5:$H$443,MATCH($C837,⑱中間品単価!$B$5:$B$443,0)),"")</f>
        <v/>
      </c>
      <c r="H837" s="396">
        <f>IF(AND(ISNUMBER($F837),ISNUMBER($G837)),$F837*$G837,"")</f>
        <v/>
      </c>
      <c r="I837" s="392" t="n"/>
    </row>
    <row r="838">
      <c r="A838" s="392" t="n"/>
      <c r="B838" s="392" t="n"/>
      <c r="C838" s="392" t="n"/>
      <c r="D838" s="392" t="n"/>
      <c r="E838" s="392" t="n"/>
      <c r="F838" s="394" t="n"/>
      <c r="G838" s="604">
        <f>IFERROR(INDEX(⑱中間品単価!$H$5:$H$443,MATCH($C838,⑱中間品単価!$B$5:$B$443,0)),"")</f>
        <v/>
      </c>
      <c r="H838" s="396">
        <f>IF(AND(ISNUMBER($F838),ISNUMBER($G838)),$F838*$G838,"")</f>
        <v/>
      </c>
      <c r="I838" s="392" t="n"/>
    </row>
    <row r="839">
      <c r="A839" s="392" t="n"/>
      <c r="B839" s="392" t="n"/>
      <c r="C839" s="392" t="n"/>
      <c r="D839" s="392" t="n"/>
      <c r="E839" s="392" t="n"/>
      <c r="F839" s="394" t="n"/>
      <c r="G839" s="604">
        <f>IFERROR(INDEX(⑱中間品単価!$H$5:$H$443,MATCH($C839,⑱中間品単価!$B$5:$B$443,0)),"")</f>
        <v/>
      </c>
      <c r="H839" s="396">
        <f>IF(AND(ISNUMBER($F839),ISNUMBER($G839)),$F839*$G839,"")</f>
        <v/>
      </c>
      <c r="I839" s="392" t="n"/>
    </row>
    <row r="840">
      <c r="A840" s="392" t="n"/>
      <c r="B840" s="392" t="n"/>
      <c r="C840" s="392" t="n"/>
      <c r="D840" s="392" t="n"/>
      <c r="E840" s="392" t="n"/>
      <c r="F840" s="394" t="n"/>
      <c r="G840" s="604">
        <f>IFERROR(INDEX(⑱中間品単価!$H$5:$H$443,MATCH($C840,⑱中間品単価!$B$5:$B$443,0)),"")</f>
        <v/>
      </c>
      <c r="H840" s="396">
        <f>IF(AND(ISNUMBER($F840),ISNUMBER($G840)),$F840*$G840,"")</f>
        <v/>
      </c>
      <c r="I840" s="392" t="n"/>
    </row>
    <row r="841">
      <c r="A841" s="392" t="n"/>
      <c r="B841" s="392" t="n"/>
      <c r="C841" s="392" t="n"/>
      <c r="D841" s="392" t="n"/>
      <c r="E841" s="392" t="n"/>
      <c r="F841" s="394" t="n"/>
      <c r="G841" s="604">
        <f>IFERROR(INDEX(⑱中間品単価!$H$5:$H$443,MATCH($C841,⑱中間品単価!$B$5:$B$443,0)),"")</f>
        <v/>
      </c>
      <c r="H841" s="396">
        <f>IF(AND(ISNUMBER($F841),ISNUMBER($G841)),$F841*$G841,"")</f>
        <v/>
      </c>
      <c r="I841" s="392" t="n"/>
    </row>
    <row r="842">
      <c r="A842" s="392" t="n"/>
      <c r="B842" s="392" t="n"/>
      <c r="C842" s="392" t="n"/>
      <c r="D842" s="392" t="n"/>
      <c r="E842" s="392" t="n"/>
      <c r="F842" s="394" t="n"/>
      <c r="G842" s="604">
        <f>IFERROR(INDEX(⑱中間品単価!$H$5:$H$443,MATCH($C842,⑱中間品単価!$B$5:$B$443,0)),"")</f>
        <v/>
      </c>
      <c r="H842" s="396">
        <f>IF(AND(ISNUMBER($F842),ISNUMBER($G842)),$F842*$G842,"")</f>
        <v/>
      </c>
      <c r="I842" s="392" t="n"/>
    </row>
    <row r="843">
      <c r="A843" s="392" t="n"/>
      <c r="B843" s="392" t="n"/>
      <c r="C843" s="392" t="n"/>
      <c r="D843" s="392" t="n"/>
      <c r="E843" s="392" t="n"/>
      <c r="F843" s="394" t="n"/>
      <c r="G843" s="604">
        <f>IFERROR(INDEX(⑱中間品単価!$H$5:$H$443,MATCH($C843,⑱中間品単価!$B$5:$B$443,0)),"")</f>
        <v/>
      </c>
      <c r="H843" s="396">
        <f>IF(AND(ISNUMBER($F843),ISNUMBER($G843)),$F843*$G843,"")</f>
        <v/>
      </c>
      <c r="I843" s="392" t="n"/>
    </row>
    <row r="844">
      <c r="A844" s="392" t="n"/>
      <c r="B844" s="392" t="n"/>
      <c r="C844" s="392" t="n"/>
      <c r="D844" s="392" t="n"/>
      <c r="E844" s="392" t="n"/>
      <c r="F844" s="394" t="n"/>
      <c r="G844" s="604">
        <f>IFERROR(INDEX(⑱中間品単価!$H$5:$H$443,MATCH($C844,⑱中間品単価!$B$5:$B$443,0)),"")</f>
        <v/>
      </c>
      <c r="H844" s="396">
        <f>IF(AND(ISNUMBER($F844),ISNUMBER($G844)),$F844*$G844,"")</f>
        <v/>
      </c>
      <c r="I844" s="392" t="n"/>
    </row>
    <row r="845">
      <c r="A845" s="392" t="n"/>
      <c r="B845" s="392" t="n"/>
      <c r="C845" s="392" t="n"/>
      <c r="D845" s="392" t="n"/>
      <c r="E845" s="392" t="n"/>
      <c r="F845" s="394" t="n"/>
      <c r="G845" s="604">
        <f>IFERROR(INDEX(⑱中間品単価!$H$5:$H$443,MATCH($C845,⑱中間品単価!$B$5:$B$443,0)),"")</f>
        <v/>
      </c>
      <c r="H845" s="396">
        <f>IF(AND(ISNUMBER($F845),ISNUMBER($G845)),$F845*$G845,"")</f>
        <v/>
      </c>
      <c r="I845" s="392" t="n"/>
    </row>
    <row r="846">
      <c r="A846" s="392" t="n"/>
      <c r="B846" s="392" t="n"/>
      <c r="C846" s="392" t="n"/>
      <c r="D846" s="392" t="n"/>
      <c r="E846" s="392" t="n"/>
      <c r="F846" s="394" t="n"/>
      <c r="G846" s="604">
        <f>IFERROR(INDEX(⑱中間品単価!$H$5:$H$443,MATCH($C846,⑱中間品単価!$B$5:$B$443,0)),"")</f>
        <v/>
      </c>
      <c r="H846" s="396">
        <f>IF(AND(ISNUMBER($F846),ISNUMBER($G846)),$F846*$G846,"")</f>
        <v/>
      </c>
      <c r="I846" s="392" t="n"/>
    </row>
    <row r="847">
      <c r="A847" s="392" t="n"/>
      <c r="B847" s="392" t="n"/>
      <c r="C847" s="392" t="n"/>
      <c r="D847" s="392" t="n"/>
      <c r="E847" s="392" t="n"/>
      <c r="F847" s="394" t="n"/>
      <c r="G847" s="604">
        <f>IFERROR(INDEX(⑱中間品単価!$H$5:$H$443,MATCH($C847,⑱中間品単価!$B$5:$B$443,0)),"")</f>
        <v/>
      </c>
      <c r="H847" s="396">
        <f>IF(AND(ISNUMBER($F847),ISNUMBER($G847)),$F847*$G847,"")</f>
        <v/>
      </c>
      <c r="I847" s="392" t="n"/>
    </row>
    <row r="848">
      <c r="A848" s="392" t="n"/>
      <c r="B848" s="392" t="n"/>
      <c r="C848" s="392" t="n"/>
      <c r="D848" s="392" t="n"/>
      <c r="E848" s="392" t="n"/>
      <c r="F848" s="394" t="n"/>
      <c r="G848" s="604">
        <f>IFERROR(INDEX(⑱中間品単価!$H$5:$H$443,MATCH($C848,⑱中間品単価!$B$5:$B$443,0)),"")</f>
        <v/>
      </c>
      <c r="H848" s="396">
        <f>IF(AND(ISNUMBER($F848),ISNUMBER($G848)),$F848*$G848,"")</f>
        <v/>
      </c>
      <c r="I848" s="392" t="n"/>
    </row>
    <row r="849">
      <c r="A849" s="392" t="n"/>
      <c r="B849" s="392" t="n"/>
      <c r="C849" s="392" t="n"/>
      <c r="D849" s="392" t="n"/>
      <c r="E849" s="392" t="n"/>
      <c r="F849" s="394" t="n"/>
      <c r="G849" s="604">
        <f>IFERROR(INDEX(⑱中間品単価!$H$5:$H$443,MATCH($C849,⑱中間品単価!$B$5:$B$443,0)),"")</f>
        <v/>
      </c>
      <c r="H849" s="396">
        <f>IF(AND(ISNUMBER($F849),ISNUMBER($G849)),$F849*$G849,"")</f>
        <v/>
      </c>
      <c r="I849" s="392" t="n"/>
    </row>
    <row r="850">
      <c r="A850" s="392" t="n"/>
      <c r="B850" s="392" t="n"/>
      <c r="C850" s="392" t="n"/>
      <c r="D850" s="392" t="n"/>
      <c r="E850" s="392" t="n"/>
      <c r="F850" s="394" t="n"/>
      <c r="G850" s="604">
        <f>IFERROR(INDEX(⑱中間品単価!$H$5:$H$443,MATCH($C850,⑱中間品単価!$B$5:$B$443,0)),"")</f>
        <v/>
      </c>
      <c r="H850" s="396">
        <f>IF(AND(ISNUMBER($F850),ISNUMBER($G850)),$F850*$G850,"")</f>
        <v/>
      </c>
      <c r="I850" s="392" t="n"/>
    </row>
    <row r="851">
      <c r="A851" s="392" t="n"/>
      <c r="B851" s="392" t="n"/>
      <c r="C851" s="392" t="n"/>
      <c r="D851" s="392" t="n"/>
      <c r="E851" s="392" t="n"/>
      <c r="F851" s="394" t="n"/>
      <c r="G851" s="604">
        <f>IFERROR(INDEX(⑱中間品単価!$H$5:$H$443,MATCH($C851,⑱中間品単価!$B$5:$B$443,0)),"")</f>
        <v/>
      </c>
      <c r="H851" s="396">
        <f>IF(AND(ISNUMBER($F851),ISNUMBER($G851)),$F851*$G851,"")</f>
        <v/>
      </c>
      <c r="I851" s="392" t="n"/>
    </row>
    <row r="852">
      <c r="A852" s="392" t="n"/>
      <c r="B852" s="392" t="n"/>
      <c r="C852" s="392" t="n"/>
      <c r="D852" s="392" t="n"/>
      <c r="E852" s="392" t="n"/>
      <c r="F852" s="394" t="n"/>
      <c r="G852" s="604">
        <f>IFERROR(INDEX(⑱中間品単価!$H$5:$H$443,MATCH($C852,⑱中間品単価!$B$5:$B$443,0)),"")</f>
        <v/>
      </c>
      <c r="H852" s="396">
        <f>IF(AND(ISNUMBER($F852),ISNUMBER($G852)),$F852*$G852,"")</f>
        <v/>
      </c>
      <c r="I852" s="392" t="n"/>
    </row>
    <row r="853">
      <c r="A853" s="392" t="n"/>
      <c r="B853" s="392" t="n"/>
      <c r="C853" s="392" t="n"/>
      <c r="D853" s="392" t="n"/>
      <c r="E853" s="392" t="n"/>
      <c r="F853" s="394" t="n"/>
      <c r="G853" s="604">
        <f>IFERROR(INDEX(⑱中間品単価!$H$5:$H$443,MATCH($C853,⑱中間品単価!$B$5:$B$443,0)),"")</f>
        <v/>
      </c>
      <c r="H853" s="396">
        <f>IF(AND(ISNUMBER($F853),ISNUMBER($G853)),$F853*$G853,"")</f>
        <v/>
      </c>
      <c r="I853" s="392" t="n"/>
    </row>
    <row r="854">
      <c r="A854" s="392" t="n"/>
      <c r="B854" s="392" t="n"/>
      <c r="C854" s="392" t="n"/>
      <c r="D854" s="392" t="n"/>
      <c r="E854" s="392" t="n"/>
      <c r="F854" s="394" t="n"/>
      <c r="G854" s="604">
        <f>IFERROR(INDEX(⑱中間品単価!$H$5:$H$443,MATCH($C854,⑱中間品単価!$B$5:$B$443,0)),"")</f>
        <v/>
      </c>
      <c r="H854" s="396">
        <f>IF(AND(ISNUMBER($F854),ISNUMBER($G854)),$F854*$G854,"")</f>
        <v/>
      </c>
      <c r="I854" s="392" t="n"/>
    </row>
    <row r="855">
      <c r="A855" s="392" t="n"/>
      <c r="B855" s="392" t="n"/>
      <c r="C855" s="392" t="n"/>
      <c r="D855" s="392" t="n"/>
      <c r="E855" s="392" t="n"/>
      <c r="F855" s="394" t="n"/>
      <c r="G855" s="604">
        <f>IFERROR(INDEX(⑱中間品単価!$H$5:$H$443,MATCH($C855,⑱中間品単価!$B$5:$B$443,0)),"")</f>
        <v/>
      </c>
      <c r="H855" s="396">
        <f>IF(AND(ISNUMBER($F855),ISNUMBER($G855)),$F855*$G855,"")</f>
        <v/>
      </c>
      <c r="I855" s="392" t="n"/>
    </row>
    <row r="856">
      <c r="A856" s="392" t="n"/>
      <c r="B856" s="392" t="n"/>
      <c r="C856" s="392" t="n"/>
      <c r="D856" s="392" t="n"/>
      <c r="E856" s="392" t="n"/>
      <c r="F856" s="394" t="n"/>
      <c r="G856" s="604">
        <f>IFERROR(INDEX(⑱中間品単価!$H$5:$H$443,MATCH($C856,⑱中間品単価!$B$5:$B$443,0)),"")</f>
        <v/>
      </c>
      <c r="H856" s="396">
        <f>IF(AND(ISNUMBER($F856),ISNUMBER($G856)),$F856*$G856,"")</f>
        <v/>
      </c>
      <c r="I856" s="392" t="n"/>
    </row>
    <row r="857">
      <c r="A857" s="392" t="n"/>
      <c r="B857" s="392" t="n"/>
      <c r="C857" s="392" t="n"/>
      <c r="D857" s="392" t="n"/>
      <c r="E857" s="392" t="n"/>
      <c r="F857" s="394" t="n"/>
      <c r="G857" s="604">
        <f>IFERROR(INDEX(⑱中間品単価!$H$5:$H$443,MATCH($C857,⑱中間品単価!$B$5:$B$443,0)),"")</f>
        <v/>
      </c>
      <c r="H857" s="396">
        <f>IF(AND(ISNUMBER($F857),ISNUMBER($G857)),$F857*$G857,"")</f>
        <v/>
      </c>
      <c r="I857" s="392" t="n"/>
    </row>
    <row r="858">
      <c r="A858" s="392" t="n"/>
      <c r="B858" s="392" t="n"/>
      <c r="C858" s="392" t="n"/>
      <c r="D858" s="392" t="n"/>
      <c r="E858" s="392" t="n"/>
      <c r="F858" s="394" t="n"/>
      <c r="G858" s="604">
        <f>IFERROR(INDEX(⑱中間品単価!$H$5:$H$443,MATCH($C858,⑱中間品単価!$B$5:$B$443,0)),"")</f>
        <v/>
      </c>
      <c r="H858" s="396">
        <f>IF(AND(ISNUMBER($F858),ISNUMBER($G858)),$F858*$G858,"")</f>
        <v/>
      </c>
      <c r="I858" s="392" t="n"/>
    </row>
    <row r="859">
      <c r="A859" s="392" t="n"/>
      <c r="B859" s="392" t="n"/>
      <c r="C859" s="392" t="n"/>
      <c r="D859" s="392" t="n"/>
      <c r="E859" s="392" t="n"/>
      <c r="F859" s="394" t="n"/>
      <c r="G859" s="604">
        <f>IFERROR(INDEX(⑱中間品単価!$H$5:$H$443,MATCH($C859,⑱中間品単価!$B$5:$B$443,0)),"")</f>
        <v/>
      </c>
      <c r="H859" s="396">
        <f>IF(AND(ISNUMBER($F859),ISNUMBER($G859)),$F859*$G859,"")</f>
        <v/>
      </c>
      <c r="I859" s="392" t="n"/>
    </row>
    <row r="860">
      <c r="A860" s="392" t="n"/>
      <c r="B860" s="392" t="n"/>
      <c r="C860" s="392" t="n"/>
      <c r="D860" s="392" t="n"/>
      <c r="E860" s="392" t="n"/>
      <c r="F860" s="394" t="n"/>
      <c r="G860" s="604">
        <f>IFERROR(INDEX(⑱中間品単価!$H$5:$H$443,MATCH($C860,⑱中間品単価!$B$5:$B$443,0)),"")</f>
        <v/>
      </c>
      <c r="H860" s="396">
        <f>IF(AND(ISNUMBER($F860),ISNUMBER($G860)),$F860*$G860,"")</f>
        <v/>
      </c>
      <c r="I860" s="392" t="n"/>
    </row>
    <row r="861">
      <c r="A861" s="392" t="n"/>
      <c r="B861" s="392" t="n"/>
      <c r="C861" s="392" t="n"/>
      <c r="D861" s="392" t="n"/>
      <c r="E861" s="392" t="n"/>
      <c r="F861" s="394" t="n"/>
      <c r="G861" s="604">
        <f>IFERROR(INDEX(⑱中間品単価!$H$5:$H$443,MATCH($C861,⑱中間品単価!$B$5:$B$443,0)),"")</f>
        <v/>
      </c>
      <c r="H861" s="396">
        <f>IF(AND(ISNUMBER($F861),ISNUMBER($G861)),$F861*$G861,"")</f>
        <v/>
      </c>
      <c r="I861" s="392" t="n"/>
    </row>
    <row r="862">
      <c r="A862" s="392" t="n"/>
      <c r="B862" s="392" t="n"/>
      <c r="C862" s="392" t="n"/>
      <c r="D862" s="392" t="n"/>
      <c r="E862" s="392" t="n"/>
      <c r="F862" s="394" t="n"/>
      <c r="G862" s="604">
        <f>IFERROR(INDEX(⑱中間品単価!$H$5:$H$443,MATCH($C862,⑱中間品単価!$B$5:$B$443,0)),"")</f>
        <v/>
      </c>
      <c r="H862" s="396">
        <f>IF(AND(ISNUMBER($F862),ISNUMBER($G862)),$F862*$G862,"")</f>
        <v/>
      </c>
      <c r="I862" s="392" t="n"/>
    </row>
    <row r="863">
      <c r="A863" s="392" t="n"/>
      <c r="B863" s="392" t="n"/>
      <c r="C863" s="392" t="n"/>
      <c r="D863" s="392" t="n"/>
      <c r="E863" s="392" t="n"/>
      <c r="F863" s="394" t="n"/>
      <c r="G863" s="604">
        <f>IFERROR(INDEX(⑱中間品単価!$H$5:$H$443,MATCH($C863,⑱中間品単価!$B$5:$B$443,0)),"")</f>
        <v/>
      </c>
      <c r="H863" s="396">
        <f>IF(AND(ISNUMBER($F863),ISNUMBER($G863)),$F863*$G863,"")</f>
        <v/>
      </c>
      <c r="I863" s="392" t="n"/>
    </row>
    <row r="864">
      <c r="A864" s="392" t="n"/>
      <c r="B864" s="392" t="n"/>
      <c r="C864" s="392" t="n"/>
      <c r="D864" s="392" t="n"/>
      <c r="E864" s="392" t="n"/>
      <c r="F864" s="394" t="n"/>
      <c r="G864" s="604">
        <f>IFERROR(INDEX(⑱中間品単価!$H$5:$H$443,MATCH($C864,⑱中間品単価!$B$5:$B$443,0)),"")</f>
        <v/>
      </c>
      <c r="H864" s="396">
        <f>IF(AND(ISNUMBER($F864),ISNUMBER($G864)),$F864*$G864,"")</f>
        <v/>
      </c>
      <c r="I864" s="392" t="n"/>
    </row>
    <row r="865">
      <c r="A865" s="392" t="n"/>
      <c r="B865" s="392" t="n"/>
      <c r="C865" s="392" t="n"/>
      <c r="D865" s="392" t="n"/>
      <c r="E865" s="392" t="n"/>
      <c r="F865" s="394" t="n"/>
      <c r="G865" s="604">
        <f>IFERROR(INDEX(⑱中間品単価!$H$5:$H$443,MATCH($C865,⑱中間品単価!$B$5:$B$443,0)),"")</f>
        <v/>
      </c>
      <c r="H865" s="396">
        <f>IF(AND(ISNUMBER($F865),ISNUMBER($G865)),$F865*$G865,"")</f>
        <v/>
      </c>
      <c r="I865" s="392" t="n"/>
    </row>
    <row r="866">
      <c r="A866" s="392" t="n"/>
      <c r="B866" s="392" t="n"/>
      <c r="C866" s="392" t="n"/>
      <c r="D866" s="392" t="n"/>
      <c r="E866" s="392" t="n"/>
      <c r="F866" s="394" t="n"/>
      <c r="G866" s="604">
        <f>IFERROR(INDEX(⑱中間品単価!$H$5:$H$443,MATCH($C866,⑱中間品単価!$B$5:$B$443,0)),"")</f>
        <v/>
      </c>
      <c r="H866" s="396">
        <f>IF(AND(ISNUMBER($F866),ISNUMBER($G866)),$F866*$G866,"")</f>
        <v/>
      </c>
      <c r="I866" s="392" t="n"/>
    </row>
    <row r="867">
      <c r="A867" s="392" t="n"/>
      <c r="B867" s="392" t="n"/>
      <c r="C867" s="392" t="n"/>
      <c r="D867" s="392" t="n"/>
      <c r="E867" s="392" t="n"/>
      <c r="F867" s="394" t="n"/>
      <c r="G867" s="604">
        <f>IFERROR(INDEX(⑱中間品単価!$H$5:$H$443,MATCH($C867,⑱中間品単価!$B$5:$B$443,0)),"")</f>
        <v/>
      </c>
      <c r="H867" s="396">
        <f>IF(AND(ISNUMBER($F867),ISNUMBER($G867)),$F867*$G867,"")</f>
        <v/>
      </c>
      <c r="I867" s="392" t="n"/>
    </row>
    <row r="868">
      <c r="A868" s="392" t="n"/>
      <c r="B868" s="392" t="n"/>
      <c r="C868" s="392" t="n"/>
      <c r="D868" s="392" t="n"/>
      <c r="E868" s="392" t="n"/>
      <c r="F868" s="394" t="n"/>
      <c r="G868" s="604">
        <f>IFERROR(INDEX(⑱中間品単価!$H$5:$H$443,MATCH($C868,⑱中間品単価!$B$5:$B$443,0)),"")</f>
        <v/>
      </c>
      <c r="H868" s="396">
        <f>IF(AND(ISNUMBER($F868),ISNUMBER($G868)),$F868*$G868,"")</f>
        <v/>
      </c>
      <c r="I868" s="392" t="n"/>
    </row>
    <row r="869">
      <c r="A869" s="392" t="n"/>
      <c r="B869" s="392" t="n"/>
      <c r="C869" s="392" t="n"/>
      <c r="D869" s="392" t="n"/>
      <c r="E869" s="392" t="n"/>
      <c r="F869" s="394" t="n"/>
      <c r="G869" s="604">
        <f>IFERROR(INDEX(⑱中間品単価!$H$5:$H$443,MATCH($C869,⑱中間品単価!$B$5:$B$443,0)),"")</f>
        <v/>
      </c>
      <c r="H869" s="396">
        <f>IF(AND(ISNUMBER($F869),ISNUMBER($G869)),$F869*$G869,"")</f>
        <v/>
      </c>
      <c r="I869" s="392" t="n"/>
    </row>
    <row r="870">
      <c r="A870" s="392" t="n"/>
      <c r="B870" s="392" t="n"/>
      <c r="C870" s="392" t="n"/>
      <c r="D870" s="392" t="n"/>
      <c r="E870" s="392" t="n"/>
      <c r="F870" s="394" t="n"/>
      <c r="G870" s="604">
        <f>IFERROR(INDEX(⑱中間品単価!$H$5:$H$443,MATCH($C870,⑱中間品単価!$B$5:$B$443,0)),"")</f>
        <v/>
      </c>
      <c r="H870" s="396">
        <f>IF(AND(ISNUMBER($F870),ISNUMBER($G870)),$F870*$G870,"")</f>
        <v/>
      </c>
      <c r="I870" s="392" t="n"/>
    </row>
    <row r="871">
      <c r="A871" s="392" t="n"/>
      <c r="B871" s="392" t="n"/>
      <c r="C871" s="392" t="n"/>
      <c r="D871" s="392" t="n"/>
      <c r="E871" s="392" t="n"/>
      <c r="F871" s="394" t="n"/>
      <c r="G871" s="604">
        <f>IFERROR(INDEX(⑱中間品単価!$H$5:$H$443,MATCH($C871,⑱中間品単価!$B$5:$B$443,0)),"")</f>
        <v/>
      </c>
      <c r="H871" s="396">
        <f>IF(AND(ISNUMBER($F871),ISNUMBER($G871)),$F871*$G871,"")</f>
        <v/>
      </c>
      <c r="I871" s="392" t="n"/>
    </row>
    <row r="872">
      <c r="A872" s="392" t="n"/>
      <c r="B872" s="392" t="n"/>
      <c r="C872" s="392" t="n"/>
      <c r="D872" s="392" t="n"/>
      <c r="E872" s="392" t="n"/>
      <c r="F872" s="394" t="n"/>
      <c r="G872" s="604">
        <f>IFERROR(INDEX(⑱中間品単価!$H$5:$H$443,MATCH($C872,⑱中間品単価!$B$5:$B$443,0)),"")</f>
        <v/>
      </c>
      <c r="H872" s="396">
        <f>IF(AND(ISNUMBER($F872),ISNUMBER($G872)),$F872*$G872,"")</f>
        <v/>
      </c>
      <c r="I872" s="392" t="n"/>
    </row>
    <row r="873">
      <c r="A873" s="392" t="n"/>
      <c r="B873" s="392" t="n"/>
      <c r="C873" s="392" t="n"/>
      <c r="D873" s="392" t="n"/>
      <c r="E873" s="392" t="n"/>
      <c r="F873" s="394" t="n"/>
      <c r="G873" s="604">
        <f>IFERROR(INDEX(⑱中間品単価!$H$5:$H$443,MATCH($C873,⑱中間品単価!$B$5:$B$443,0)),"")</f>
        <v/>
      </c>
      <c r="H873" s="396">
        <f>IF(AND(ISNUMBER($F873),ISNUMBER($G873)),$F873*$G873,"")</f>
        <v/>
      </c>
      <c r="I873" s="392" t="n"/>
    </row>
    <row r="874">
      <c r="A874" s="392" t="n"/>
      <c r="B874" s="392" t="n"/>
      <c r="C874" s="392" t="n"/>
      <c r="D874" s="392" t="n"/>
      <c r="E874" s="392" t="n"/>
      <c r="F874" s="394" t="n"/>
      <c r="G874" s="604">
        <f>IFERROR(INDEX(⑱中間品単価!$H$5:$H$443,MATCH($C874,⑱中間品単価!$B$5:$B$443,0)),"")</f>
        <v/>
      </c>
      <c r="H874" s="396">
        <f>IF(AND(ISNUMBER($F874),ISNUMBER($G874)),$F874*$G874,"")</f>
        <v/>
      </c>
      <c r="I874" s="392" t="n"/>
    </row>
    <row r="875">
      <c r="A875" s="392" t="n"/>
      <c r="B875" s="392" t="n"/>
      <c r="C875" s="392" t="n"/>
      <c r="D875" s="392" t="n"/>
      <c r="E875" s="392" t="n"/>
      <c r="F875" s="394" t="n"/>
      <c r="G875" s="604">
        <f>IFERROR(INDEX(⑱中間品単価!$H$5:$H$443,MATCH($C875,⑱中間品単価!$B$5:$B$443,0)),"")</f>
        <v/>
      </c>
      <c r="H875" s="396">
        <f>IF(AND(ISNUMBER($F875),ISNUMBER($G875)),$F875*$G875,"")</f>
        <v/>
      </c>
      <c r="I875" s="392" t="n"/>
    </row>
    <row r="876">
      <c r="A876" s="392" t="n"/>
      <c r="B876" s="392" t="n"/>
      <c r="C876" s="392" t="n"/>
      <c r="D876" s="392" t="n"/>
      <c r="E876" s="392" t="n"/>
      <c r="F876" s="394" t="n"/>
      <c r="G876" s="604">
        <f>IFERROR(INDEX(⑱中間品単価!$H$5:$H$443,MATCH($C876,⑱中間品単価!$B$5:$B$443,0)),"")</f>
        <v/>
      </c>
      <c r="H876" s="396">
        <f>IF(AND(ISNUMBER($F876),ISNUMBER($G876)),$F876*$G876,"")</f>
        <v/>
      </c>
      <c r="I876" s="392" t="n"/>
    </row>
    <row r="877">
      <c r="A877" s="392" t="n"/>
      <c r="B877" s="392" t="n"/>
      <c r="C877" s="392" t="n"/>
      <c r="D877" s="392" t="n"/>
      <c r="E877" s="392" t="n"/>
      <c r="F877" s="394" t="n"/>
      <c r="G877" s="604">
        <f>IFERROR(INDEX(⑱中間品単価!$H$5:$H$443,MATCH($C877,⑱中間品単価!$B$5:$B$443,0)),"")</f>
        <v/>
      </c>
      <c r="H877" s="396">
        <f>IF(AND(ISNUMBER($F877),ISNUMBER($G877)),$F877*$G877,"")</f>
        <v/>
      </c>
      <c r="I877" s="392" t="n"/>
    </row>
    <row r="878">
      <c r="A878" s="392" t="n"/>
      <c r="B878" s="392" t="n"/>
      <c r="C878" s="392" t="n"/>
      <c r="D878" s="392" t="n"/>
      <c r="E878" s="392" t="n"/>
      <c r="F878" s="394" t="n"/>
      <c r="G878" s="604">
        <f>IFERROR(INDEX(⑱中間品単価!$H$5:$H$443,MATCH($C878,⑱中間品単価!$B$5:$B$443,0)),"")</f>
        <v/>
      </c>
      <c r="H878" s="396">
        <f>IF(AND(ISNUMBER($F878),ISNUMBER($G878)),$F878*$G878,"")</f>
        <v/>
      </c>
      <c r="I878" s="392" t="n"/>
    </row>
    <row r="879">
      <c r="A879" s="392" t="n"/>
      <c r="B879" s="392" t="n"/>
      <c r="C879" s="392" t="n"/>
      <c r="D879" s="392" t="n"/>
      <c r="E879" s="392" t="n"/>
      <c r="F879" s="394" t="n"/>
      <c r="G879" s="604">
        <f>IFERROR(INDEX(⑱中間品単価!$H$5:$H$443,MATCH($C879,⑱中間品単価!$B$5:$B$443,0)),"")</f>
        <v/>
      </c>
      <c r="H879" s="396">
        <f>IF(AND(ISNUMBER($F879),ISNUMBER($G879)),$F879*$G879,"")</f>
        <v/>
      </c>
      <c r="I879" s="392" t="n"/>
    </row>
    <row r="880">
      <c r="A880" s="392" t="n"/>
      <c r="B880" s="392" t="n"/>
      <c r="C880" s="392" t="n"/>
      <c r="D880" s="392" t="n"/>
      <c r="E880" s="392" t="n"/>
      <c r="F880" s="394" t="n"/>
      <c r="G880" s="604">
        <f>IFERROR(INDEX(⑱中間品単価!$H$5:$H$443,MATCH($C880,⑱中間品単価!$B$5:$B$443,0)),"")</f>
        <v/>
      </c>
      <c r="H880" s="396">
        <f>IF(AND(ISNUMBER($F880),ISNUMBER($G880)),$F880*$G880,"")</f>
        <v/>
      </c>
      <c r="I880" s="392" t="n"/>
    </row>
    <row r="881">
      <c r="A881" s="392" t="n"/>
      <c r="B881" s="392" t="n"/>
      <c r="C881" s="392" t="n"/>
      <c r="D881" s="392" t="n"/>
      <c r="E881" s="392" t="n"/>
      <c r="F881" s="394" t="n"/>
      <c r="G881" s="604">
        <f>IFERROR(INDEX(⑱中間品単価!$H$5:$H$443,MATCH($C881,⑱中間品単価!$B$5:$B$443,0)),"")</f>
        <v/>
      </c>
      <c r="H881" s="396">
        <f>IF(AND(ISNUMBER($F881),ISNUMBER($G881)),$F881*$G881,"")</f>
        <v/>
      </c>
      <c r="I881" s="392" t="n"/>
    </row>
    <row r="882">
      <c r="A882" s="392" t="n"/>
      <c r="B882" s="392" t="n"/>
      <c r="C882" s="392" t="n"/>
      <c r="D882" s="392" t="n"/>
      <c r="E882" s="392" t="n"/>
      <c r="F882" s="394" t="n"/>
      <c r="G882" s="604">
        <f>IFERROR(INDEX(⑱中間品単価!$H$5:$H$443,MATCH($C882,⑱中間品単価!$B$5:$B$443,0)),"")</f>
        <v/>
      </c>
      <c r="H882" s="396">
        <f>IF(AND(ISNUMBER($F882),ISNUMBER($G882)),$F882*$G882,"")</f>
        <v/>
      </c>
      <c r="I882" s="392" t="n"/>
    </row>
    <row r="883">
      <c r="A883" s="392" t="n"/>
      <c r="B883" s="392" t="n"/>
      <c r="C883" s="392" t="n"/>
      <c r="D883" s="392" t="n"/>
      <c r="E883" s="392" t="n"/>
      <c r="F883" s="394" t="n"/>
      <c r="G883" s="604">
        <f>IFERROR(INDEX(⑱中間品単価!$H$5:$H$443,MATCH($C883,⑱中間品単価!$B$5:$B$443,0)),"")</f>
        <v/>
      </c>
      <c r="H883" s="396">
        <f>IF(AND(ISNUMBER($F883),ISNUMBER($G883)),$F883*$G883,"")</f>
        <v/>
      </c>
      <c r="I883" s="392" t="n"/>
    </row>
    <row r="884">
      <c r="A884" s="392" t="n"/>
      <c r="B884" s="392" t="n"/>
      <c r="C884" s="392" t="n"/>
      <c r="D884" s="392" t="n"/>
      <c r="E884" s="392" t="n"/>
      <c r="F884" s="394" t="n"/>
      <c r="G884" s="604">
        <f>IFERROR(INDEX(⑱中間品単価!$H$5:$H$443,MATCH($C884,⑱中間品単価!$B$5:$B$443,0)),"")</f>
        <v/>
      </c>
      <c r="H884" s="396">
        <f>IF(AND(ISNUMBER($F884),ISNUMBER($G884)),$F884*$G884,"")</f>
        <v/>
      </c>
      <c r="I884" s="392" t="n"/>
    </row>
    <row r="885">
      <c r="A885" s="392" t="n"/>
      <c r="B885" s="392" t="n"/>
      <c r="C885" s="392" t="n"/>
      <c r="D885" s="392" t="n"/>
      <c r="E885" s="392" t="n"/>
      <c r="F885" s="394" t="n"/>
      <c r="G885" s="604">
        <f>IFERROR(INDEX(⑱中間品単価!$H$5:$H$443,MATCH($C885,⑱中間品単価!$B$5:$B$443,0)),"")</f>
        <v/>
      </c>
      <c r="H885" s="396">
        <f>IF(AND(ISNUMBER($F885),ISNUMBER($G885)),$F885*$G885,"")</f>
        <v/>
      </c>
      <c r="I885" s="392" t="n"/>
    </row>
    <row r="886">
      <c r="A886" s="392" t="n"/>
      <c r="B886" s="392" t="n"/>
      <c r="C886" s="392" t="n"/>
      <c r="D886" s="392" t="n"/>
      <c r="E886" s="392" t="n"/>
      <c r="F886" s="394" t="n"/>
      <c r="G886" s="604">
        <f>IFERROR(INDEX(⑱中間品単価!$H$5:$H$443,MATCH($C886,⑱中間品単価!$B$5:$B$443,0)),"")</f>
        <v/>
      </c>
      <c r="H886" s="396">
        <f>IF(AND(ISNUMBER($F886),ISNUMBER($G886)),$F886*$G886,"")</f>
        <v/>
      </c>
      <c r="I886" s="392" t="n"/>
    </row>
    <row r="887">
      <c r="A887" s="392" t="n"/>
      <c r="B887" s="392" t="n"/>
      <c r="C887" s="392" t="n"/>
      <c r="D887" s="392" t="n"/>
      <c r="E887" s="392" t="n"/>
      <c r="F887" s="394" t="n"/>
      <c r="G887" s="604">
        <f>IFERROR(INDEX(⑱中間品単価!$H$5:$H$443,MATCH($C887,⑱中間品単価!$B$5:$B$443,0)),"")</f>
        <v/>
      </c>
      <c r="H887" s="396">
        <f>IF(AND(ISNUMBER($F887),ISNUMBER($G887)),$F887*$G887,"")</f>
        <v/>
      </c>
      <c r="I887" s="392" t="n"/>
    </row>
    <row r="888">
      <c r="A888" s="392" t="n"/>
      <c r="B888" s="392" t="n"/>
      <c r="C888" s="392" t="n"/>
      <c r="D888" s="392" t="n"/>
      <c r="E888" s="392" t="n"/>
      <c r="F888" s="394" t="n"/>
      <c r="G888" s="604">
        <f>IFERROR(INDEX(⑱中間品単価!$H$5:$H$443,MATCH($C888,⑱中間品単価!$B$5:$B$443,0)),"")</f>
        <v/>
      </c>
      <c r="H888" s="396">
        <f>IF(AND(ISNUMBER($F888),ISNUMBER($G888)),$F888*$G888,"")</f>
        <v/>
      </c>
      <c r="I888" s="392" t="n"/>
    </row>
    <row r="889">
      <c r="A889" s="392" t="n"/>
      <c r="B889" s="392" t="n"/>
      <c r="C889" s="392" t="n"/>
      <c r="D889" s="392" t="n"/>
      <c r="E889" s="392" t="n"/>
      <c r="F889" s="394" t="n"/>
      <c r="G889" s="604">
        <f>IFERROR(INDEX(⑱中間品単価!$H$5:$H$443,MATCH($C889,⑱中間品単価!$B$5:$B$443,0)),"")</f>
        <v/>
      </c>
      <c r="H889" s="396">
        <f>IF(AND(ISNUMBER($F889),ISNUMBER($G889)),$F889*$G889,"")</f>
        <v/>
      </c>
      <c r="I889" s="392" t="n"/>
    </row>
    <row r="890">
      <c r="A890" s="392" t="n"/>
      <c r="B890" s="392" t="n"/>
      <c r="C890" s="392" t="n"/>
      <c r="D890" s="392" t="n"/>
      <c r="E890" s="392" t="n"/>
      <c r="F890" s="394" t="n"/>
      <c r="G890" s="604">
        <f>IFERROR(INDEX(⑱中間品単価!$H$5:$H$443,MATCH($C890,⑱中間品単価!$B$5:$B$443,0)),"")</f>
        <v/>
      </c>
      <c r="H890" s="396">
        <f>IF(AND(ISNUMBER($F890),ISNUMBER($G890)),$F890*$G890,"")</f>
        <v/>
      </c>
      <c r="I890" s="392" t="n"/>
    </row>
    <row r="891">
      <c r="A891" s="392" t="n"/>
      <c r="B891" s="392" t="n"/>
      <c r="C891" s="392" t="n"/>
      <c r="D891" s="392" t="n"/>
      <c r="E891" s="392" t="n"/>
      <c r="F891" s="394" t="n"/>
      <c r="G891" s="604">
        <f>IFERROR(INDEX(⑱中間品単価!$H$5:$H$443,MATCH($C891,⑱中間品単価!$B$5:$B$443,0)),"")</f>
        <v/>
      </c>
      <c r="H891" s="396">
        <f>IF(AND(ISNUMBER($F891),ISNUMBER($G891)),$F891*$G891,"")</f>
        <v/>
      </c>
      <c r="I891" s="392" t="n"/>
    </row>
    <row r="892">
      <c r="A892" s="392" t="n"/>
      <c r="B892" s="392" t="n"/>
      <c r="C892" s="392" t="n"/>
      <c r="D892" s="392" t="n"/>
      <c r="E892" s="392" t="n"/>
      <c r="F892" s="394" t="n"/>
      <c r="G892" s="604">
        <f>IFERROR(INDEX(⑱中間品単価!$H$5:$H$443,MATCH($C892,⑱中間品単価!$B$5:$B$443,0)),"")</f>
        <v/>
      </c>
      <c r="H892" s="396">
        <f>IF(AND(ISNUMBER($F892),ISNUMBER($G892)),$F892*$G892,"")</f>
        <v/>
      </c>
      <c r="I892" s="392" t="n"/>
    </row>
    <row r="893">
      <c r="A893" s="392" t="n"/>
      <c r="B893" s="392" t="n"/>
      <c r="C893" s="392" t="n"/>
      <c r="D893" s="392" t="n"/>
      <c r="E893" s="392" t="n"/>
      <c r="F893" s="394" t="n"/>
      <c r="G893" s="604">
        <f>IFERROR(INDEX(⑱中間品単価!$H$5:$H$443,MATCH($C893,⑱中間品単価!$B$5:$B$443,0)),"")</f>
        <v/>
      </c>
      <c r="H893" s="396">
        <f>IF(AND(ISNUMBER($F893),ISNUMBER($G893)),$F893*$G893,"")</f>
        <v/>
      </c>
      <c r="I893" s="392" t="n"/>
    </row>
    <row r="894">
      <c r="A894" s="392" t="n"/>
      <c r="B894" s="392" t="n"/>
      <c r="C894" s="392" t="n"/>
      <c r="D894" s="392" t="n"/>
      <c r="E894" s="392" t="n"/>
      <c r="F894" s="394" t="n"/>
      <c r="G894" s="604">
        <f>IFERROR(INDEX(⑱中間品単価!$H$5:$H$443,MATCH($C894,⑱中間品単価!$B$5:$B$443,0)),"")</f>
        <v/>
      </c>
      <c r="H894" s="396">
        <f>IF(AND(ISNUMBER($F894),ISNUMBER($G894)),$F894*$G894,"")</f>
        <v/>
      </c>
      <c r="I894" s="392" t="n"/>
    </row>
    <row r="895">
      <c r="A895" s="392" t="n"/>
      <c r="B895" s="392" t="n"/>
      <c r="C895" s="392" t="n"/>
      <c r="D895" s="392" t="n"/>
      <c r="E895" s="392" t="n"/>
      <c r="F895" s="394" t="n"/>
      <c r="G895" s="604">
        <f>IFERROR(INDEX(⑱中間品単価!$H$5:$H$443,MATCH($C895,⑱中間品単価!$B$5:$B$443,0)),"")</f>
        <v/>
      </c>
      <c r="H895" s="396">
        <f>IF(AND(ISNUMBER($F895),ISNUMBER($G895)),$F895*$G895,"")</f>
        <v/>
      </c>
      <c r="I895" s="392" t="n"/>
    </row>
    <row r="896">
      <c r="A896" s="392" t="n"/>
      <c r="B896" s="392" t="n"/>
      <c r="C896" s="392" t="n"/>
      <c r="D896" s="392" t="n"/>
      <c r="E896" s="392" t="n"/>
      <c r="F896" s="394" t="n"/>
      <c r="G896" s="604">
        <f>IFERROR(INDEX(⑱中間品単価!$H$5:$H$443,MATCH($C896,⑱中間品単価!$B$5:$B$443,0)),"")</f>
        <v/>
      </c>
      <c r="H896" s="396">
        <f>IF(AND(ISNUMBER($F896),ISNUMBER($G896)),$F896*$G896,"")</f>
        <v/>
      </c>
      <c r="I896" s="392" t="n"/>
    </row>
    <row r="897">
      <c r="A897" s="392" t="n"/>
      <c r="B897" s="392" t="n"/>
      <c r="C897" s="392" t="n"/>
      <c r="D897" s="392" t="n"/>
      <c r="E897" s="392" t="n"/>
      <c r="F897" s="394" t="n"/>
      <c r="G897" s="604">
        <f>IFERROR(INDEX(⑱中間品単価!$H$5:$H$443,MATCH($C897,⑱中間品単価!$B$5:$B$443,0)),"")</f>
        <v/>
      </c>
      <c r="H897" s="396">
        <f>IF(AND(ISNUMBER($F897),ISNUMBER($G897)),$F897*$G897,"")</f>
        <v/>
      </c>
      <c r="I897" s="392" t="n"/>
    </row>
    <row r="898">
      <c r="A898" s="392" t="n"/>
      <c r="B898" s="392" t="n"/>
      <c r="C898" s="392" t="n"/>
      <c r="D898" s="392" t="n"/>
      <c r="E898" s="392" t="n"/>
      <c r="F898" s="394" t="n"/>
      <c r="G898" s="604">
        <f>IFERROR(INDEX(⑱中間品単価!$H$5:$H$443,MATCH($C898,⑱中間品単価!$B$5:$B$443,0)),"")</f>
        <v/>
      </c>
      <c r="H898" s="396">
        <f>IF(AND(ISNUMBER($F898),ISNUMBER($G898)),$F898*$G898,"")</f>
        <v/>
      </c>
      <c r="I898" s="392" t="n"/>
    </row>
    <row r="899">
      <c r="A899" s="392" t="n"/>
      <c r="B899" s="392" t="n"/>
      <c r="C899" s="392" t="n"/>
      <c r="D899" s="392" t="n"/>
      <c r="E899" s="392" t="n"/>
      <c r="F899" s="394" t="n"/>
      <c r="G899" s="604">
        <f>IFERROR(INDEX(⑱中間品単価!$H$5:$H$443,MATCH($C899,⑱中間品単価!$B$5:$B$443,0)),"")</f>
        <v/>
      </c>
      <c r="H899" s="396">
        <f>IF(AND(ISNUMBER($F899),ISNUMBER($G899)),$F899*$G899,"")</f>
        <v/>
      </c>
      <c r="I899" s="392" t="n"/>
    </row>
    <row r="900">
      <c r="A900" s="392" t="n"/>
      <c r="B900" s="392" t="n"/>
      <c r="C900" s="392" t="n"/>
      <c r="D900" s="392" t="n"/>
      <c r="E900" s="392" t="n"/>
      <c r="F900" s="394" t="n"/>
      <c r="G900" s="604">
        <f>IFERROR(INDEX(⑱中間品単価!$H$5:$H$443,MATCH($C900,⑱中間品単価!$B$5:$B$443,0)),"")</f>
        <v/>
      </c>
      <c r="H900" s="396">
        <f>IF(AND(ISNUMBER($F900),ISNUMBER($G900)),$F900*$G900,"")</f>
        <v/>
      </c>
      <c r="I900" s="392" t="n"/>
    </row>
    <row r="901">
      <c r="A901" s="392" t="n"/>
      <c r="B901" s="392" t="n"/>
      <c r="C901" s="392" t="n"/>
      <c r="D901" s="392" t="n"/>
      <c r="E901" s="392" t="n"/>
      <c r="F901" s="394" t="n"/>
      <c r="G901" s="604">
        <f>IFERROR(INDEX(⑱中間品単価!$H$5:$H$443,MATCH($C901,⑱中間品単価!$B$5:$B$443,0)),"")</f>
        <v/>
      </c>
      <c r="H901" s="396">
        <f>IF(AND(ISNUMBER($F901),ISNUMBER($G901)),$F901*$G901,"")</f>
        <v/>
      </c>
      <c r="I901" s="392" t="n"/>
    </row>
    <row r="902">
      <c r="A902" s="392" t="n"/>
      <c r="B902" s="392" t="n"/>
      <c r="C902" s="392" t="n"/>
      <c r="D902" s="392" t="n"/>
      <c r="E902" s="392" t="n"/>
      <c r="F902" s="394" t="n"/>
      <c r="G902" s="604">
        <f>IFERROR(INDEX(⑱中間品単価!$H$5:$H$443,MATCH($C902,⑱中間品単価!$B$5:$B$443,0)),"")</f>
        <v/>
      </c>
      <c r="H902" s="396">
        <f>IF(AND(ISNUMBER($F902),ISNUMBER($G902)),$F902*$G902,"")</f>
        <v/>
      </c>
      <c r="I902" s="392" t="n"/>
    </row>
    <row r="903">
      <c r="A903" s="392" t="n"/>
      <c r="B903" s="392" t="n"/>
      <c r="C903" s="392" t="n"/>
      <c r="D903" s="392" t="n"/>
      <c r="E903" s="392" t="n"/>
      <c r="F903" s="394" t="n"/>
      <c r="G903" s="604">
        <f>IFERROR(INDEX(⑱中間品単価!$H$5:$H$443,MATCH($C903,⑱中間品単価!$B$5:$B$443,0)),"")</f>
        <v/>
      </c>
      <c r="H903" s="396">
        <f>IF(AND(ISNUMBER($F903),ISNUMBER($G903)),$F903*$G903,"")</f>
        <v/>
      </c>
      <c r="I903" s="392" t="n"/>
    </row>
    <row r="904">
      <c r="A904" s="392" t="n"/>
      <c r="B904" s="392" t="n"/>
      <c r="C904" s="392" t="n"/>
      <c r="D904" s="392" t="n"/>
      <c r="E904" s="392" t="n"/>
      <c r="F904" s="394" t="n"/>
      <c r="G904" s="604">
        <f>IFERROR(INDEX(⑱中間品単価!$H$5:$H$443,MATCH($C904,⑱中間品単価!$B$5:$B$443,0)),"")</f>
        <v/>
      </c>
      <c r="H904" s="396">
        <f>IF(AND(ISNUMBER($F904),ISNUMBER($G904)),$F904*$G904,"")</f>
        <v/>
      </c>
      <c r="I904" s="392" t="n"/>
    </row>
    <row r="905">
      <c r="A905" s="392" t="n"/>
      <c r="B905" s="392" t="n"/>
      <c r="C905" s="392" t="n"/>
      <c r="D905" s="392" t="n"/>
      <c r="E905" s="392" t="n"/>
      <c r="F905" s="394" t="n"/>
      <c r="G905" s="604">
        <f>IFERROR(INDEX(⑱中間品単価!$H$5:$H$443,MATCH($C905,⑱中間品単価!$B$5:$B$443,0)),"")</f>
        <v/>
      </c>
      <c r="H905" s="396">
        <f>IF(AND(ISNUMBER($F905),ISNUMBER($G905)),$F905*$G905,"")</f>
        <v/>
      </c>
      <c r="I905" s="392" t="n"/>
    </row>
    <row r="906">
      <c r="A906" s="392" t="n"/>
      <c r="B906" s="392" t="n"/>
      <c r="C906" s="392" t="n"/>
      <c r="D906" s="392" t="n"/>
      <c r="E906" s="392" t="n"/>
      <c r="F906" s="394" t="n"/>
      <c r="G906" s="604">
        <f>IFERROR(INDEX(⑱中間品単価!$H$5:$H$443,MATCH($C906,⑱中間品単価!$B$5:$B$443,0)),"")</f>
        <v/>
      </c>
      <c r="H906" s="396">
        <f>IF(AND(ISNUMBER($F906),ISNUMBER($G906)),$F906*$G906,"")</f>
        <v/>
      </c>
      <c r="I906" s="392" t="n"/>
    </row>
    <row r="907">
      <c r="A907" s="392" t="n"/>
      <c r="B907" s="392" t="n"/>
      <c r="C907" s="392" t="n"/>
      <c r="D907" s="392" t="n"/>
      <c r="E907" s="392" t="n"/>
      <c r="F907" s="394" t="n"/>
      <c r="G907" s="604">
        <f>IFERROR(INDEX(⑱中間品単価!$H$5:$H$443,MATCH($C907,⑱中間品単価!$B$5:$B$443,0)),"")</f>
        <v/>
      </c>
      <c r="H907" s="396">
        <f>IF(AND(ISNUMBER($F907),ISNUMBER($G907)),$F907*$G907,"")</f>
        <v/>
      </c>
      <c r="I907" s="392" t="n"/>
    </row>
    <row r="908">
      <c r="A908" s="392" t="n"/>
      <c r="B908" s="392" t="n"/>
      <c r="C908" s="392" t="n"/>
      <c r="D908" s="392" t="n"/>
      <c r="E908" s="392" t="n"/>
      <c r="F908" s="394" t="n"/>
      <c r="G908" s="604">
        <f>IFERROR(INDEX(⑱中間品単価!$H$5:$H$443,MATCH($C908,⑱中間品単価!$B$5:$B$443,0)),"")</f>
        <v/>
      </c>
      <c r="H908" s="396">
        <f>IF(AND(ISNUMBER($F908),ISNUMBER($G908)),$F908*$G908,"")</f>
        <v/>
      </c>
      <c r="I908" s="392" t="n"/>
    </row>
    <row r="909">
      <c r="A909" s="392" t="n"/>
      <c r="B909" s="392" t="n"/>
      <c r="C909" s="392" t="n"/>
      <c r="D909" s="392" t="n"/>
      <c r="E909" s="392" t="n"/>
      <c r="F909" s="394" t="n"/>
      <c r="G909" s="604">
        <f>IFERROR(INDEX(⑱中間品単価!$H$5:$H$443,MATCH($C909,⑱中間品単価!$B$5:$B$443,0)),"")</f>
        <v/>
      </c>
      <c r="H909" s="396">
        <f>IF(AND(ISNUMBER($F909),ISNUMBER($G909)),$F909*$G909,"")</f>
        <v/>
      </c>
      <c r="I909" s="392" t="n"/>
    </row>
    <row r="910">
      <c r="A910" s="392" t="n"/>
      <c r="B910" s="392" t="n"/>
      <c r="C910" s="392" t="n"/>
      <c r="D910" s="392" t="n"/>
      <c r="E910" s="392" t="n"/>
      <c r="F910" s="394" t="n"/>
      <c r="G910" s="604">
        <f>IFERROR(INDEX(⑱中間品単価!$H$5:$H$443,MATCH($C910,⑱中間品単価!$B$5:$B$443,0)),"")</f>
        <v/>
      </c>
      <c r="H910" s="396">
        <f>IF(AND(ISNUMBER($F910),ISNUMBER($G910)),$F910*$G910,"")</f>
        <v/>
      </c>
      <c r="I910" s="392" t="n"/>
    </row>
    <row r="911">
      <c r="A911" s="392" t="n"/>
      <c r="B911" s="392" t="n"/>
      <c r="C911" s="392" t="n"/>
      <c r="D911" s="392" t="n"/>
      <c r="E911" s="392" t="n"/>
      <c r="F911" s="394" t="n"/>
      <c r="G911" s="604">
        <f>IFERROR(INDEX(⑱中間品単価!$H$5:$H$443,MATCH($C911,⑱中間品単価!$B$5:$B$443,0)),"")</f>
        <v/>
      </c>
      <c r="H911" s="396">
        <f>IF(AND(ISNUMBER($F911),ISNUMBER($G911)),$F911*$G911,"")</f>
        <v/>
      </c>
      <c r="I911" s="392" t="n"/>
    </row>
    <row r="912">
      <c r="A912" s="392" t="n"/>
      <c r="B912" s="392" t="n"/>
      <c r="C912" s="392" t="n"/>
      <c r="D912" s="392" t="n"/>
      <c r="E912" s="392" t="n"/>
      <c r="F912" s="394" t="n"/>
      <c r="G912" s="604">
        <f>IFERROR(INDEX(⑱中間品単価!$H$5:$H$443,MATCH($C912,⑱中間品単価!$B$5:$B$443,0)),"")</f>
        <v/>
      </c>
      <c r="H912" s="396">
        <f>IF(AND(ISNUMBER($F912),ISNUMBER($G912)),$F912*$G912,"")</f>
        <v/>
      </c>
      <c r="I912" s="392" t="n"/>
    </row>
    <row r="913">
      <c r="A913" s="392" t="n"/>
      <c r="B913" s="392" t="n"/>
      <c r="C913" s="392" t="n"/>
      <c r="D913" s="392" t="n"/>
      <c r="E913" s="392" t="n"/>
      <c r="F913" s="394" t="n"/>
      <c r="G913" s="604">
        <f>IFERROR(INDEX(⑱中間品単価!$H$5:$H$443,MATCH($C913,⑱中間品単価!$B$5:$B$443,0)),"")</f>
        <v/>
      </c>
      <c r="H913" s="396">
        <f>IF(AND(ISNUMBER($F913),ISNUMBER($G913)),$F913*$G913,"")</f>
        <v/>
      </c>
      <c r="I913" s="392" t="n"/>
    </row>
    <row r="914">
      <c r="A914" s="392" t="n"/>
      <c r="B914" s="392" t="n"/>
      <c r="C914" s="392" t="n"/>
      <c r="D914" s="392" t="n"/>
      <c r="E914" s="392" t="n"/>
      <c r="F914" s="394" t="n"/>
      <c r="G914" s="604">
        <f>IFERROR(INDEX(⑱中間品単価!$H$5:$H$443,MATCH($C914,⑱中間品単価!$B$5:$B$443,0)),"")</f>
        <v/>
      </c>
      <c r="H914" s="396">
        <f>IF(AND(ISNUMBER($F914),ISNUMBER($G914)),$F914*$G914,"")</f>
        <v/>
      </c>
      <c r="I914" s="392" t="n"/>
    </row>
    <row r="915">
      <c r="A915" s="392" t="n"/>
      <c r="B915" s="392" t="n"/>
      <c r="C915" s="392" t="n"/>
      <c r="D915" s="392" t="n"/>
      <c r="E915" s="392" t="n"/>
      <c r="F915" s="394" t="n"/>
      <c r="G915" s="604">
        <f>IFERROR(INDEX(⑱中間品単価!$H$5:$H$443,MATCH($C915,⑱中間品単価!$B$5:$B$443,0)),"")</f>
        <v/>
      </c>
      <c r="H915" s="396">
        <f>IF(AND(ISNUMBER($F915),ISNUMBER($G915)),$F915*$G915,"")</f>
        <v/>
      </c>
      <c r="I915" s="392" t="n"/>
    </row>
    <row r="916">
      <c r="A916" s="392" t="n"/>
      <c r="B916" s="392" t="n"/>
      <c r="C916" s="392" t="n"/>
      <c r="D916" s="392" t="n"/>
      <c r="E916" s="392" t="n"/>
      <c r="F916" s="394" t="n"/>
      <c r="G916" s="604">
        <f>IFERROR(INDEX(⑱中間品単価!$H$5:$H$443,MATCH($C916,⑱中間品単価!$B$5:$B$443,0)),"")</f>
        <v/>
      </c>
      <c r="H916" s="396">
        <f>IF(AND(ISNUMBER($F916),ISNUMBER($G916)),$F916*$G916,"")</f>
        <v/>
      </c>
      <c r="I916" s="392" t="n"/>
    </row>
    <row r="917">
      <c r="A917" s="392" t="n"/>
      <c r="B917" s="392" t="n"/>
      <c r="C917" s="392" t="n"/>
      <c r="D917" s="392" t="n"/>
      <c r="E917" s="392" t="n"/>
      <c r="F917" s="394" t="n"/>
      <c r="G917" s="604">
        <f>IFERROR(INDEX(⑱中間品単価!$H$5:$H$443,MATCH($C917,⑱中間品単価!$B$5:$B$443,0)),"")</f>
        <v/>
      </c>
      <c r="H917" s="396">
        <f>IF(AND(ISNUMBER($F917),ISNUMBER($G917)),$F917*$G917,"")</f>
        <v/>
      </c>
      <c r="I917" s="392" t="n"/>
    </row>
    <row r="918">
      <c r="A918" s="392" t="n"/>
      <c r="B918" s="392" t="n"/>
      <c r="C918" s="392" t="n"/>
      <c r="D918" s="392" t="n"/>
      <c r="E918" s="392" t="n"/>
      <c r="F918" s="394" t="n"/>
      <c r="G918" s="604">
        <f>IFERROR(INDEX(⑱中間品単価!$H$5:$H$443,MATCH($C918,⑱中間品単価!$B$5:$B$443,0)),"")</f>
        <v/>
      </c>
      <c r="H918" s="396">
        <f>IF(AND(ISNUMBER($F918),ISNUMBER($G918)),$F918*$G918,"")</f>
        <v/>
      </c>
      <c r="I918" s="392" t="n"/>
    </row>
    <row r="919">
      <c r="A919" s="392" t="n"/>
      <c r="B919" s="392" t="n"/>
      <c r="C919" s="392" t="n"/>
      <c r="D919" s="392" t="n"/>
      <c r="E919" s="392" t="n"/>
      <c r="F919" s="394" t="n"/>
      <c r="G919" s="604">
        <f>IFERROR(INDEX(⑱中間品単価!$H$5:$H$443,MATCH($C919,⑱中間品単価!$B$5:$B$443,0)),"")</f>
        <v/>
      </c>
      <c r="H919" s="396">
        <f>IF(AND(ISNUMBER($F919),ISNUMBER($G919)),$F919*$G919,"")</f>
        <v/>
      </c>
      <c r="I919" s="392" t="n"/>
    </row>
    <row r="920">
      <c r="A920" s="392" t="n"/>
      <c r="B920" s="392" t="n"/>
      <c r="C920" s="392" t="n"/>
      <c r="D920" s="392" t="n"/>
      <c r="E920" s="392" t="n"/>
      <c r="F920" s="394" t="n"/>
      <c r="G920" s="604">
        <f>IFERROR(INDEX(⑱中間品単価!$H$5:$H$443,MATCH($C920,⑱中間品単価!$B$5:$B$443,0)),"")</f>
        <v/>
      </c>
      <c r="H920" s="396">
        <f>IF(AND(ISNUMBER($F920),ISNUMBER($G920)),$F920*$G920,"")</f>
        <v/>
      </c>
      <c r="I920" s="392" t="n"/>
    </row>
    <row r="921">
      <c r="A921" s="392" t="n"/>
      <c r="B921" s="392" t="n"/>
      <c r="C921" s="392" t="n"/>
      <c r="D921" s="392" t="n"/>
      <c r="E921" s="392" t="n"/>
      <c r="F921" s="394" t="n"/>
      <c r="G921" s="604">
        <f>IFERROR(INDEX(⑱中間品単価!$H$5:$H$443,MATCH($C921,⑱中間品単価!$B$5:$B$443,0)),"")</f>
        <v/>
      </c>
      <c r="H921" s="396">
        <f>IF(AND(ISNUMBER($F921),ISNUMBER($G921)),$F921*$G921,"")</f>
        <v/>
      </c>
      <c r="I921" s="392" t="n"/>
    </row>
    <row r="922">
      <c r="A922" s="392" t="n"/>
      <c r="B922" s="392" t="n"/>
      <c r="C922" s="392" t="n"/>
      <c r="D922" s="392" t="n"/>
      <c r="E922" s="392" t="n"/>
      <c r="F922" s="394" t="n"/>
      <c r="G922" s="604">
        <f>IFERROR(INDEX(⑱中間品単価!$H$5:$H$443,MATCH($C922,⑱中間品単価!$B$5:$B$443,0)),"")</f>
        <v/>
      </c>
      <c r="H922" s="396">
        <f>IF(AND(ISNUMBER($F922),ISNUMBER($G922)),$F922*$G922,"")</f>
        <v/>
      </c>
      <c r="I922" s="392" t="n"/>
    </row>
    <row r="923">
      <c r="A923" s="392" t="n"/>
      <c r="B923" s="392" t="n"/>
      <c r="C923" s="392" t="n"/>
      <c r="D923" s="392" t="n"/>
      <c r="E923" s="392" t="n"/>
      <c r="F923" s="394" t="n"/>
      <c r="G923" s="604">
        <f>IFERROR(INDEX(⑱中間品単価!$H$5:$H$443,MATCH($C923,⑱中間品単価!$B$5:$B$443,0)),"")</f>
        <v/>
      </c>
      <c r="H923" s="396">
        <f>IF(AND(ISNUMBER($F923),ISNUMBER($G923)),$F923*$G923,"")</f>
        <v/>
      </c>
      <c r="I923" s="392" t="n"/>
    </row>
    <row r="924">
      <c r="A924" s="392" t="n"/>
      <c r="B924" s="392" t="n"/>
      <c r="C924" s="392" t="n"/>
      <c r="D924" s="392" t="n"/>
      <c r="E924" s="392" t="n"/>
      <c r="F924" s="394" t="n"/>
      <c r="G924" s="604">
        <f>IFERROR(INDEX(⑱中間品単価!$H$5:$H$443,MATCH($C924,⑱中間品単価!$B$5:$B$443,0)),"")</f>
        <v/>
      </c>
      <c r="H924" s="396">
        <f>IF(AND(ISNUMBER($F924),ISNUMBER($G924)),$F924*$G924,"")</f>
        <v/>
      </c>
      <c r="I924" s="392" t="n"/>
    </row>
    <row r="925">
      <c r="A925" s="392" t="n"/>
      <c r="B925" s="392" t="n"/>
      <c r="C925" s="392" t="n"/>
      <c r="D925" s="392" t="n"/>
      <c r="E925" s="392" t="n"/>
      <c r="F925" s="394" t="n"/>
      <c r="G925" s="604">
        <f>IFERROR(INDEX(⑱中間品単価!$H$5:$H$443,MATCH($C925,⑱中間品単価!$B$5:$B$443,0)),"")</f>
        <v/>
      </c>
      <c r="H925" s="396">
        <f>IF(AND(ISNUMBER($F925),ISNUMBER($G925)),$F925*$G925,"")</f>
        <v/>
      </c>
      <c r="I925" s="392" t="n"/>
    </row>
    <row r="926">
      <c r="A926" s="392" t="n"/>
      <c r="B926" s="392" t="n"/>
      <c r="C926" s="392" t="n"/>
      <c r="D926" s="392" t="n"/>
      <c r="E926" s="392" t="n"/>
      <c r="F926" s="394" t="n"/>
      <c r="G926" s="604">
        <f>IFERROR(INDEX(⑱中間品単価!$H$5:$H$443,MATCH($C926,⑱中間品単価!$B$5:$B$443,0)),"")</f>
        <v/>
      </c>
      <c r="H926" s="396">
        <f>IF(AND(ISNUMBER($F926),ISNUMBER($G926)),$F926*$G926,"")</f>
        <v/>
      </c>
      <c r="I926" s="392" t="n"/>
    </row>
    <row r="927">
      <c r="A927" s="392" t="n"/>
      <c r="B927" s="392" t="n"/>
      <c r="C927" s="392" t="n"/>
      <c r="D927" s="392" t="n"/>
      <c r="E927" s="392" t="n"/>
      <c r="F927" s="394" t="n"/>
      <c r="G927" s="604">
        <f>IFERROR(INDEX(⑱中間品単価!$H$5:$H$443,MATCH($C927,⑱中間品単価!$B$5:$B$443,0)),"")</f>
        <v/>
      </c>
      <c r="H927" s="396">
        <f>IF(AND(ISNUMBER($F927),ISNUMBER($G927)),$F927*$G927,"")</f>
        <v/>
      </c>
      <c r="I927" s="392" t="n"/>
    </row>
    <row r="928">
      <c r="A928" s="392" t="n"/>
      <c r="B928" s="392" t="n"/>
      <c r="C928" s="392" t="n"/>
      <c r="D928" s="392" t="n"/>
      <c r="E928" s="392" t="n"/>
      <c r="F928" s="394" t="n"/>
      <c r="G928" s="604">
        <f>IFERROR(INDEX(⑱中間品単価!$H$5:$H$443,MATCH($C928,⑱中間品単価!$B$5:$B$443,0)),"")</f>
        <v/>
      </c>
      <c r="H928" s="396">
        <f>IF(AND(ISNUMBER($F928),ISNUMBER($G928)),$F928*$G928,"")</f>
        <v/>
      </c>
      <c r="I928" s="392" t="n"/>
    </row>
    <row r="929">
      <c r="A929" s="392" t="n"/>
      <c r="B929" s="392" t="n"/>
      <c r="C929" s="392" t="n"/>
      <c r="D929" s="392" t="n"/>
      <c r="E929" s="392" t="n"/>
      <c r="F929" s="394" t="n"/>
      <c r="G929" s="604">
        <f>IFERROR(INDEX(⑱中間品単価!$H$5:$H$443,MATCH($C929,⑱中間品単価!$B$5:$B$443,0)),"")</f>
        <v/>
      </c>
      <c r="H929" s="396">
        <f>IF(AND(ISNUMBER($F929),ISNUMBER($G929)),$F929*$G929,"")</f>
        <v/>
      </c>
      <c r="I929" s="392" t="n"/>
    </row>
    <row r="930">
      <c r="A930" s="392" t="n"/>
      <c r="B930" s="392" t="n"/>
      <c r="C930" s="392" t="n"/>
      <c r="D930" s="392" t="n"/>
      <c r="E930" s="392" t="n"/>
      <c r="F930" s="394" t="n"/>
      <c r="G930" s="604">
        <f>IFERROR(INDEX(⑱中間品単価!$H$5:$H$443,MATCH($C930,⑱中間品単価!$B$5:$B$443,0)),"")</f>
        <v/>
      </c>
      <c r="H930" s="396">
        <f>IF(AND(ISNUMBER($F930),ISNUMBER($G930)),$F930*$G930,"")</f>
        <v/>
      </c>
      <c r="I930" s="392" t="n"/>
    </row>
    <row r="931">
      <c r="A931" s="392" t="n"/>
      <c r="B931" s="392" t="n"/>
      <c r="C931" s="392" t="n"/>
      <c r="D931" s="392" t="n"/>
      <c r="E931" s="392" t="n"/>
      <c r="F931" s="394" t="n"/>
      <c r="G931" s="604">
        <f>IFERROR(INDEX(⑱中間品単価!$H$5:$H$443,MATCH($C931,⑱中間品単価!$B$5:$B$443,0)),"")</f>
        <v/>
      </c>
      <c r="H931" s="396">
        <f>IF(AND(ISNUMBER($F931),ISNUMBER($G931)),$F931*$G931,"")</f>
        <v/>
      </c>
      <c r="I931" s="392" t="n"/>
    </row>
    <row r="932">
      <c r="A932" s="392" t="n"/>
      <c r="B932" s="392" t="n"/>
      <c r="C932" s="392" t="n"/>
      <c r="D932" s="392" t="n"/>
      <c r="E932" s="392" t="n"/>
      <c r="F932" s="394" t="n"/>
      <c r="G932" s="604">
        <f>IFERROR(INDEX(⑱中間品単価!$H$5:$H$443,MATCH($C932,⑱中間品単価!$B$5:$B$443,0)),"")</f>
        <v/>
      </c>
      <c r="H932" s="396">
        <f>IF(AND(ISNUMBER($F932),ISNUMBER($G932)),$F932*$G932,"")</f>
        <v/>
      </c>
      <c r="I932" s="392" t="n"/>
    </row>
    <row r="933">
      <c r="A933" s="392" t="n"/>
      <c r="B933" s="392" t="n"/>
      <c r="C933" s="392" t="n"/>
      <c r="D933" s="392" t="n"/>
      <c r="E933" s="392" t="n"/>
      <c r="F933" s="394" t="n"/>
      <c r="G933" s="604">
        <f>IFERROR(INDEX(⑱中間品単価!$H$5:$H$443,MATCH($C933,⑱中間品単価!$B$5:$B$443,0)),"")</f>
        <v/>
      </c>
      <c r="H933" s="396">
        <f>IF(AND(ISNUMBER($F933),ISNUMBER($G933)),$F933*$G933,"")</f>
        <v/>
      </c>
      <c r="I933" s="392" t="n"/>
    </row>
    <row r="934">
      <c r="A934" s="392" t="n"/>
      <c r="B934" s="392" t="n"/>
      <c r="C934" s="392" t="n"/>
      <c r="D934" s="392" t="n"/>
      <c r="E934" s="392" t="n"/>
      <c r="F934" s="394" t="n"/>
      <c r="G934" s="604">
        <f>IFERROR(INDEX(⑱中間品単価!$H$5:$H$443,MATCH($C934,⑱中間品単価!$B$5:$B$443,0)),"")</f>
        <v/>
      </c>
      <c r="H934" s="396">
        <f>IF(AND(ISNUMBER($F934),ISNUMBER($G934)),$F934*$G934,"")</f>
        <v/>
      </c>
      <c r="I934" s="392" t="n"/>
    </row>
    <row r="935">
      <c r="A935" s="392" t="n"/>
      <c r="B935" s="392" t="n"/>
      <c r="C935" s="392" t="n"/>
      <c r="D935" s="392" t="n"/>
      <c r="E935" s="392" t="n"/>
      <c r="F935" s="394" t="n"/>
      <c r="G935" s="604">
        <f>IFERROR(INDEX(⑱中間品単価!$H$5:$H$443,MATCH($C935,⑱中間品単価!$B$5:$B$443,0)),"")</f>
        <v/>
      </c>
      <c r="H935" s="396">
        <f>IF(AND(ISNUMBER($F935),ISNUMBER($G935)),$F935*$G935,"")</f>
        <v/>
      </c>
      <c r="I935" s="392" t="n"/>
    </row>
    <row r="936">
      <c r="A936" s="392" t="n"/>
      <c r="B936" s="392" t="n"/>
      <c r="C936" s="392" t="n"/>
      <c r="D936" s="392" t="n"/>
      <c r="E936" s="392" t="n"/>
      <c r="F936" s="394" t="n"/>
      <c r="G936" s="604">
        <f>IFERROR(INDEX(⑱中間品単価!$H$5:$H$443,MATCH($C936,⑱中間品単価!$B$5:$B$443,0)),"")</f>
        <v/>
      </c>
      <c r="H936" s="396">
        <f>IF(AND(ISNUMBER($F936),ISNUMBER($G936)),$F936*$G936,"")</f>
        <v/>
      </c>
      <c r="I936" s="392" t="n"/>
    </row>
    <row r="937">
      <c r="A937" s="392" t="n"/>
      <c r="B937" s="392" t="n"/>
      <c r="C937" s="392" t="n"/>
      <c r="D937" s="392" t="n"/>
      <c r="E937" s="392" t="n"/>
      <c r="F937" s="394" t="n"/>
      <c r="G937" s="604">
        <f>IFERROR(INDEX(⑱中間品単価!$H$5:$H$443,MATCH($C937,⑱中間品単価!$B$5:$B$443,0)),"")</f>
        <v/>
      </c>
      <c r="H937" s="396">
        <f>IF(AND(ISNUMBER($F937),ISNUMBER($G937)),$F937*$G937,"")</f>
        <v/>
      </c>
      <c r="I937" s="392" t="n"/>
    </row>
    <row r="938">
      <c r="A938" s="392" t="n"/>
      <c r="B938" s="392" t="n"/>
      <c r="C938" s="392" t="n"/>
      <c r="D938" s="392" t="n"/>
      <c r="E938" s="392" t="n"/>
      <c r="F938" s="394" t="n"/>
      <c r="G938" s="604">
        <f>IFERROR(INDEX(⑱中間品単価!$H$5:$H$443,MATCH($C938,⑱中間品単価!$B$5:$B$443,0)),"")</f>
        <v/>
      </c>
      <c r="H938" s="396">
        <f>IF(AND(ISNUMBER($F938),ISNUMBER($G938)),$F938*$G938,"")</f>
        <v/>
      </c>
      <c r="I938" s="392" t="n"/>
    </row>
    <row r="939">
      <c r="A939" s="392" t="n"/>
      <c r="B939" s="392" t="n"/>
      <c r="C939" s="392" t="n"/>
      <c r="D939" s="392" t="n"/>
      <c r="E939" s="392" t="n"/>
      <c r="F939" s="394" t="n"/>
      <c r="G939" s="604">
        <f>IFERROR(INDEX(⑱中間品単価!$H$5:$H$443,MATCH($C939,⑱中間品単価!$B$5:$B$443,0)),"")</f>
        <v/>
      </c>
      <c r="H939" s="396">
        <f>IF(AND(ISNUMBER($F939),ISNUMBER($G939)),$F939*$G939,"")</f>
        <v/>
      </c>
      <c r="I939" s="392" t="n"/>
    </row>
    <row r="940">
      <c r="A940" s="392" t="n"/>
      <c r="B940" s="392" t="n"/>
      <c r="C940" s="392" t="n"/>
      <c r="D940" s="392" t="n"/>
      <c r="E940" s="392" t="n"/>
      <c r="F940" s="394" t="n"/>
      <c r="G940" s="604">
        <f>IFERROR(INDEX(⑱中間品単価!$H$5:$H$443,MATCH($C940,⑱中間品単価!$B$5:$B$443,0)),"")</f>
        <v/>
      </c>
      <c r="H940" s="396">
        <f>IF(AND(ISNUMBER($F940),ISNUMBER($G940)),$F940*$G940,"")</f>
        <v/>
      </c>
      <c r="I940" s="392" t="n"/>
    </row>
    <row r="941">
      <c r="A941" s="392" t="n"/>
      <c r="B941" s="392" t="n"/>
      <c r="C941" s="392" t="n"/>
      <c r="D941" s="392" t="n"/>
      <c r="E941" s="392" t="n"/>
      <c r="F941" s="394" t="n"/>
      <c r="G941" s="604">
        <f>IFERROR(INDEX(⑱中間品単価!$H$5:$H$443,MATCH($C941,⑱中間品単価!$B$5:$B$443,0)),"")</f>
        <v/>
      </c>
      <c r="H941" s="396">
        <f>IF(AND(ISNUMBER($F941),ISNUMBER($G941)),$F941*$G941,"")</f>
        <v/>
      </c>
      <c r="I941" s="392" t="n"/>
    </row>
    <row r="942">
      <c r="A942" s="392" t="n"/>
      <c r="B942" s="392" t="n"/>
      <c r="C942" s="392" t="n"/>
      <c r="D942" s="392" t="n"/>
      <c r="E942" s="392" t="n"/>
      <c r="F942" s="394" t="n"/>
      <c r="G942" s="604">
        <f>IFERROR(INDEX(⑱中間品単価!$H$5:$H$443,MATCH($C942,⑱中間品単価!$B$5:$B$443,0)),"")</f>
        <v/>
      </c>
      <c r="H942" s="396">
        <f>IF(AND(ISNUMBER($F942),ISNUMBER($G942)),$F942*$G942,"")</f>
        <v/>
      </c>
      <c r="I942" s="392" t="n"/>
    </row>
    <row r="943">
      <c r="A943" s="392" t="n"/>
      <c r="B943" s="392" t="n"/>
      <c r="C943" s="392" t="n"/>
      <c r="D943" s="392" t="n"/>
      <c r="E943" s="392" t="n"/>
      <c r="F943" s="394" t="n"/>
      <c r="G943" s="604">
        <f>IFERROR(INDEX(⑱中間品単価!$H$5:$H$443,MATCH($C943,⑱中間品単価!$B$5:$B$443,0)),"")</f>
        <v/>
      </c>
      <c r="H943" s="396">
        <f>IF(AND(ISNUMBER($F943),ISNUMBER($G943)),$F943*$G943,"")</f>
        <v/>
      </c>
      <c r="I943" s="392" t="n"/>
    </row>
    <row r="944">
      <c r="A944" s="392" t="n"/>
      <c r="B944" s="392" t="n"/>
      <c r="C944" s="392" t="n"/>
      <c r="D944" s="392" t="n"/>
      <c r="E944" s="392" t="n"/>
      <c r="F944" s="394" t="n"/>
      <c r="G944" s="604">
        <f>IFERROR(INDEX(⑱中間品単価!$H$5:$H$443,MATCH($C944,⑱中間品単価!$B$5:$B$443,0)),"")</f>
        <v/>
      </c>
      <c r="H944" s="396">
        <f>IF(AND(ISNUMBER($F944),ISNUMBER($G944)),$F944*$G944,"")</f>
        <v/>
      </c>
      <c r="I944" s="392" t="n"/>
    </row>
    <row r="945">
      <c r="A945" s="392" t="n"/>
      <c r="B945" s="392" t="n"/>
      <c r="C945" s="392" t="n"/>
      <c r="D945" s="392" t="n"/>
      <c r="E945" s="392" t="n"/>
      <c r="F945" s="394" t="n"/>
      <c r="G945" s="604">
        <f>IFERROR(INDEX(⑱中間品単価!$H$5:$H$443,MATCH($C945,⑱中間品単価!$B$5:$B$443,0)),"")</f>
        <v/>
      </c>
      <c r="H945" s="396">
        <f>IF(AND(ISNUMBER($F945),ISNUMBER($G945)),$F945*$G945,"")</f>
        <v/>
      </c>
      <c r="I945" s="392" t="n"/>
    </row>
    <row r="946">
      <c r="A946" s="392" t="n"/>
      <c r="B946" s="392" t="n"/>
      <c r="C946" s="392" t="n"/>
      <c r="D946" s="392" t="n"/>
      <c r="E946" s="392" t="n"/>
      <c r="F946" s="394" t="n"/>
      <c r="G946" s="604">
        <f>IFERROR(INDEX(⑱中間品単価!$H$5:$H$443,MATCH($C946,⑱中間品単価!$B$5:$B$443,0)),"")</f>
        <v/>
      </c>
      <c r="H946" s="396">
        <f>IF(AND(ISNUMBER($F946),ISNUMBER($G946)),$F946*$G946,"")</f>
        <v/>
      </c>
      <c r="I946" s="392" t="n"/>
    </row>
    <row r="947">
      <c r="A947" s="392" t="n"/>
      <c r="B947" s="392" t="n"/>
      <c r="C947" s="392" t="n"/>
      <c r="D947" s="392" t="n"/>
      <c r="E947" s="392" t="n"/>
      <c r="F947" s="394" t="n"/>
      <c r="G947" s="604">
        <f>IFERROR(INDEX(⑱中間品単価!$H$5:$H$443,MATCH($C947,⑱中間品単価!$B$5:$B$443,0)),"")</f>
        <v/>
      </c>
      <c r="H947" s="396">
        <f>IF(AND(ISNUMBER($F947),ISNUMBER($G947)),$F947*$G947,"")</f>
        <v/>
      </c>
      <c r="I947" s="392" t="n"/>
    </row>
    <row r="948">
      <c r="A948" s="392" t="n"/>
      <c r="B948" s="392" t="n"/>
      <c r="C948" s="392" t="n"/>
      <c r="D948" s="392" t="n"/>
      <c r="E948" s="392" t="n"/>
      <c r="F948" s="394" t="n"/>
      <c r="G948" s="604">
        <f>IFERROR(INDEX(⑱中間品単価!$H$5:$H$443,MATCH($C948,⑱中間品単価!$B$5:$B$443,0)),"")</f>
        <v/>
      </c>
      <c r="H948" s="396">
        <f>IF(AND(ISNUMBER($F948),ISNUMBER($G948)),$F948*$G948,"")</f>
        <v/>
      </c>
      <c r="I948" s="392" t="n"/>
    </row>
    <row r="949">
      <c r="A949" s="392" t="n"/>
      <c r="B949" s="392" t="n"/>
      <c r="C949" s="392" t="n"/>
      <c r="D949" s="392" t="n"/>
      <c r="E949" s="392" t="n"/>
      <c r="F949" s="394" t="n"/>
      <c r="G949" s="604">
        <f>IFERROR(INDEX(⑱中間品単価!$H$5:$H$443,MATCH($C949,⑱中間品単価!$B$5:$B$443,0)),"")</f>
        <v/>
      </c>
      <c r="H949" s="396">
        <f>IF(AND(ISNUMBER($F949),ISNUMBER($G949)),$F949*$G949,"")</f>
        <v/>
      </c>
      <c r="I949" s="392" t="n"/>
    </row>
    <row r="950">
      <c r="A950" s="392" t="n"/>
      <c r="B950" s="392" t="n"/>
      <c r="C950" s="392" t="n"/>
      <c r="D950" s="392" t="n"/>
      <c r="E950" s="392" t="n"/>
      <c r="F950" s="394" t="n"/>
      <c r="G950" s="604">
        <f>IFERROR(INDEX(⑱中間品単価!$H$5:$H$443,MATCH($C950,⑱中間品単価!$B$5:$B$443,0)),"")</f>
        <v/>
      </c>
      <c r="H950" s="396">
        <f>IF(AND(ISNUMBER($F950),ISNUMBER($G950)),$F950*$G950,"")</f>
        <v/>
      </c>
      <c r="I950" s="392" t="n"/>
    </row>
    <row r="951">
      <c r="A951" s="392" t="n"/>
      <c r="B951" s="392" t="n"/>
      <c r="C951" s="392" t="n"/>
      <c r="D951" s="392" t="n"/>
      <c r="E951" s="392" t="n"/>
      <c r="F951" s="394" t="n"/>
      <c r="G951" s="604">
        <f>IFERROR(INDEX(⑱中間品単価!$H$5:$H$443,MATCH($C951,⑱中間品単価!$B$5:$B$443,0)),"")</f>
        <v/>
      </c>
      <c r="H951" s="396">
        <f>IF(AND(ISNUMBER($F951),ISNUMBER($G951)),$F951*$G951,"")</f>
        <v/>
      </c>
      <c r="I951" s="392" t="n"/>
    </row>
    <row r="952">
      <c r="A952" s="392" t="n"/>
      <c r="B952" s="392" t="n"/>
      <c r="C952" s="392" t="n"/>
      <c r="D952" s="392" t="n"/>
      <c r="E952" s="392" t="n"/>
      <c r="F952" s="394" t="n"/>
      <c r="G952" s="604">
        <f>IFERROR(INDEX(⑱中間品単価!$H$5:$H$443,MATCH($C952,⑱中間品単価!$B$5:$B$443,0)),"")</f>
        <v/>
      </c>
      <c r="H952" s="396">
        <f>IF(AND(ISNUMBER($F952),ISNUMBER($G952)),$F952*$G952,"")</f>
        <v/>
      </c>
      <c r="I952" s="392" t="n"/>
    </row>
    <row r="953">
      <c r="A953" s="392" t="n"/>
      <c r="B953" s="392" t="n"/>
      <c r="C953" s="392" t="n"/>
      <c r="D953" s="392" t="n"/>
      <c r="E953" s="392" t="n"/>
      <c r="F953" s="394" t="n"/>
      <c r="G953" s="604">
        <f>IFERROR(INDEX(⑱中間品単価!$H$5:$H$443,MATCH($C953,⑱中間品単価!$B$5:$B$443,0)),"")</f>
        <v/>
      </c>
      <c r="H953" s="396">
        <f>IF(AND(ISNUMBER($F953),ISNUMBER($G953)),$F953*$G953,"")</f>
        <v/>
      </c>
      <c r="I953" s="392" t="n"/>
    </row>
    <row r="954">
      <c r="A954" s="392" t="n"/>
      <c r="B954" s="392" t="n"/>
      <c r="C954" s="392" t="n"/>
      <c r="D954" s="392" t="n"/>
      <c r="E954" s="392" t="n"/>
      <c r="F954" s="394" t="n"/>
      <c r="G954" s="604">
        <f>IFERROR(INDEX(⑱中間品単価!$H$5:$H$443,MATCH($C954,⑱中間品単価!$B$5:$B$443,0)),"")</f>
        <v/>
      </c>
      <c r="H954" s="396">
        <f>IF(AND(ISNUMBER($F954),ISNUMBER($G954)),$F954*$G954,"")</f>
        <v/>
      </c>
      <c r="I954" s="392" t="n"/>
    </row>
    <row r="955">
      <c r="A955" s="392" t="n"/>
      <c r="B955" s="392" t="n"/>
      <c r="C955" s="392" t="n"/>
      <c r="D955" s="392" t="n"/>
      <c r="E955" s="392" t="n"/>
      <c r="F955" s="394" t="n"/>
      <c r="G955" s="604">
        <f>IFERROR(INDEX(⑱中間品単価!$H$5:$H$443,MATCH($C955,⑱中間品単価!$B$5:$B$443,0)),"")</f>
        <v/>
      </c>
      <c r="H955" s="396">
        <f>IF(AND(ISNUMBER($F955),ISNUMBER($G955)),$F955*$G955,"")</f>
        <v/>
      </c>
      <c r="I955" s="392" t="n"/>
    </row>
    <row r="956">
      <c r="A956" s="392" t="n"/>
      <c r="B956" s="392" t="n"/>
      <c r="C956" s="392" t="n"/>
      <c r="D956" s="392" t="n"/>
      <c r="E956" s="392" t="n"/>
      <c r="F956" s="394" t="n"/>
      <c r="G956" s="604">
        <f>IFERROR(INDEX(⑱中間品単価!$H$5:$H$443,MATCH($C956,⑱中間品単価!$B$5:$B$443,0)),"")</f>
        <v/>
      </c>
      <c r="H956" s="396">
        <f>IF(AND(ISNUMBER($F956),ISNUMBER($G956)),$F956*$G956,"")</f>
        <v/>
      </c>
      <c r="I956" s="392" t="n"/>
    </row>
    <row r="957">
      <c r="A957" s="392" t="n"/>
      <c r="B957" s="392" t="n"/>
      <c r="C957" s="392" t="n"/>
      <c r="D957" s="392" t="n"/>
      <c r="E957" s="392" t="n"/>
      <c r="F957" s="394" t="n"/>
      <c r="G957" s="604">
        <f>IFERROR(INDEX(⑱中間品単価!$H$5:$H$443,MATCH($C957,⑱中間品単価!$B$5:$B$443,0)),"")</f>
        <v/>
      </c>
      <c r="H957" s="396">
        <f>IF(AND(ISNUMBER($F957),ISNUMBER($G957)),$F957*$G957,"")</f>
        <v/>
      </c>
      <c r="I957" s="392" t="n"/>
    </row>
    <row r="958">
      <c r="A958" s="392" t="n"/>
      <c r="B958" s="392" t="n"/>
      <c r="C958" s="392" t="n"/>
      <c r="D958" s="392" t="n"/>
      <c r="E958" s="392" t="n"/>
      <c r="F958" s="394" t="n"/>
      <c r="G958" s="604">
        <f>IFERROR(INDEX(⑱中間品単価!$H$5:$H$443,MATCH($C958,⑱中間品単価!$B$5:$B$443,0)),"")</f>
        <v/>
      </c>
      <c r="H958" s="396">
        <f>IF(AND(ISNUMBER($F958),ISNUMBER($G958)),$F958*$G958,"")</f>
        <v/>
      </c>
      <c r="I958" s="392" t="n"/>
    </row>
    <row r="959">
      <c r="A959" s="392" t="n"/>
      <c r="B959" s="392" t="n"/>
      <c r="C959" s="392" t="n"/>
      <c r="D959" s="392" t="n"/>
      <c r="E959" s="392" t="n"/>
      <c r="F959" s="394" t="n"/>
      <c r="G959" s="604">
        <f>IFERROR(INDEX(⑱中間品単価!$H$5:$H$443,MATCH($C959,⑱中間品単価!$B$5:$B$443,0)),"")</f>
        <v/>
      </c>
      <c r="H959" s="396">
        <f>IF(AND(ISNUMBER($F959),ISNUMBER($G959)),$F959*$G959,"")</f>
        <v/>
      </c>
      <c r="I959" s="392" t="n"/>
    </row>
    <row r="960">
      <c r="A960" s="392" t="n"/>
      <c r="B960" s="392" t="n"/>
      <c r="C960" s="392" t="n"/>
      <c r="D960" s="392" t="n"/>
      <c r="E960" s="392" t="n"/>
      <c r="F960" s="394" t="n"/>
      <c r="G960" s="604">
        <f>IFERROR(INDEX(⑱中間品単価!$H$5:$H$443,MATCH($C960,⑱中間品単価!$B$5:$B$443,0)),"")</f>
        <v/>
      </c>
      <c r="H960" s="396">
        <f>IF(AND(ISNUMBER($F960),ISNUMBER($G960)),$F960*$G960,"")</f>
        <v/>
      </c>
      <c r="I960" s="392" t="n"/>
    </row>
    <row r="961">
      <c r="A961" s="392" t="n"/>
      <c r="B961" s="392" t="n"/>
      <c r="C961" s="392" t="n"/>
      <c r="D961" s="392" t="n"/>
      <c r="E961" s="392" t="n"/>
      <c r="F961" s="394" t="n"/>
      <c r="G961" s="604">
        <f>IFERROR(INDEX(⑱中間品単価!$H$5:$H$443,MATCH($C961,⑱中間品単価!$B$5:$B$443,0)),"")</f>
        <v/>
      </c>
      <c r="H961" s="396">
        <f>IF(AND(ISNUMBER($F961),ISNUMBER($G961)),$F961*$G961,"")</f>
        <v/>
      </c>
      <c r="I961" s="392" t="n"/>
    </row>
    <row r="962">
      <c r="A962" s="392" t="n"/>
      <c r="B962" s="392" t="n"/>
      <c r="C962" s="392" t="n"/>
      <c r="D962" s="392" t="n"/>
      <c r="E962" s="392" t="n"/>
      <c r="F962" s="394" t="n"/>
      <c r="G962" s="604">
        <f>IFERROR(INDEX(⑱中間品単価!$H$5:$H$443,MATCH($C962,⑱中間品単価!$B$5:$B$443,0)),"")</f>
        <v/>
      </c>
      <c r="H962" s="396">
        <f>IF(AND(ISNUMBER($F962),ISNUMBER($G962)),$F962*$G962,"")</f>
        <v/>
      </c>
      <c r="I962" s="392" t="n"/>
    </row>
    <row r="963">
      <c r="A963" s="392" t="n"/>
      <c r="B963" s="392" t="n"/>
      <c r="C963" s="392" t="n"/>
      <c r="D963" s="392" t="n"/>
      <c r="E963" s="392" t="n"/>
      <c r="F963" s="394" t="n"/>
      <c r="G963" s="604">
        <f>IFERROR(INDEX(⑱中間品単価!$H$5:$H$443,MATCH($C963,⑱中間品単価!$B$5:$B$443,0)),"")</f>
        <v/>
      </c>
      <c r="H963" s="396">
        <f>IF(AND(ISNUMBER($F963),ISNUMBER($G963)),$F963*$G963,"")</f>
        <v/>
      </c>
      <c r="I963" s="392" t="n"/>
    </row>
    <row r="964">
      <c r="A964" s="392" t="n"/>
      <c r="B964" s="392" t="n"/>
      <c r="C964" s="392" t="n"/>
      <c r="D964" s="392" t="n"/>
      <c r="E964" s="392" t="n"/>
      <c r="F964" s="394" t="n"/>
      <c r="G964" s="604">
        <f>IFERROR(INDEX(⑱中間品単価!$H$5:$H$443,MATCH($C964,⑱中間品単価!$B$5:$B$443,0)),"")</f>
        <v/>
      </c>
      <c r="H964" s="396">
        <f>IF(AND(ISNUMBER($F964),ISNUMBER($G964)),$F964*$G964,"")</f>
        <v/>
      </c>
      <c r="I964" s="392" t="n"/>
    </row>
    <row r="965">
      <c r="A965" s="392" t="n"/>
      <c r="B965" s="392" t="n"/>
      <c r="C965" s="392" t="n"/>
      <c r="D965" s="392" t="n"/>
      <c r="E965" s="392" t="n"/>
      <c r="F965" s="394" t="n"/>
      <c r="G965" s="604">
        <f>IFERROR(INDEX(⑱中間品単価!$H$5:$H$443,MATCH($C965,⑱中間品単価!$B$5:$B$443,0)),"")</f>
        <v/>
      </c>
      <c r="H965" s="396">
        <f>IF(AND(ISNUMBER($F965),ISNUMBER($G965)),$F965*$G965,"")</f>
        <v/>
      </c>
      <c r="I965" s="392" t="n"/>
    </row>
    <row r="966">
      <c r="A966" s="392" t="n"/>
      <c r="B966" s="392" t="n"/>
      <c r="C966" s="392" t="n"/>
      <c r="D966" s="392" t="n"/>
      <c r="E966" s="392" t="n"/>
      <c r="F966" s="394" t="n"/>
      <c r="G966" s="604">
        <f>IFERROR(INDEX(⑱中間品単価!$H$5:$H$443,MATCH($C966,⑱中間品単価!$B$5:$B$443,0)),"")</f>
        <v/>
      </c>
      <c r="H966" s="396">
        <f>IF(AND(ISNUMBER($F966),ISNUMBER($G966)),$F966*$G966,"")</f>
        <v/>
      </c>
      <c r="I966" s="392" t="n"/>
    </row>
    <row r="967">
      <c r="A967" s="392" t="n"/>
      <c r="B967" s="392" t="n"/>
      <c r="C967" s="392" t="n"/>
      <c r="D967" s="392" t="n"/>
      <c r="E967" s="392" t="n"/>
      <c r="F967" s="394" t="n"/>
      <c r="G967" s="604">
        <f>IFERROR(INDEX(⑱中間品単価!$H$5:$H$443,MATCH($C967,⑱中間品単価!$B$5:$B$443,0)),"")</f>
        <v/>
      </c>
      <c r="H967" s="396">
        <f>IF(AND(ISNUMBER($F967),ISNUMBER($G967)),$F967*$G967,"")</f>
        <v/>
      </c>
      <c r="I967" s="392" t="n"/>
    </row>
    <row r="968">
      <c r="A968" s="392" t="n"/>
      <c r="B968" s="392" t="n"/>
      <c r="C968" s="392" t="n"/>
      <c r="D968" s="392" t="n"/>
      <c r="E968" s="392" t="n"/>
      <c r="F968" s="394" t="n"/>
      <c r="G968" s="604">
        <f>IFERROR(INDEX(⑱中間品単価!$H$5:$H$443,MATCH($C968,⑱中間品単価!$B$5:$B$443,0)),"")</f>
        <v/>
      </c>
      <c r="H968" s="396">
        <f>IF(AND(ISNUMBER($F968),ISNUMBER($G968)),$F968*$G968,"")</f>
        <v/>
      </c>
      <c r="I968" s="392" t="n"/>
    </row>
    <row r="969">
      <c r="A969" s="392" t="n"/>
      <c r="B969" s="392" t="n"/>
      <c r="C969" s="392" t="n"/>
      <c r="D969" s="392" t="n"/>
      <c r="E969" s="392" t="n"/>
      <c r="F969" s="394" t="n"/>
      <c r="G969" s="604">
        <f>IFERROR(INDEX(⑱中間品単価!$H$5:$H$443,MATCH($C969,⑱中間品単価!$B$5:$B$443,0)),"")</f>
        <v/>
      </c>
      <c r="H969" s="396">
        <f>IF(AND(ISNUMBER($F969),ISNUMBER($G969)),$F969*$G969,"")</f>
        <v/>
      </c>
      <c r="I969" s="392" t="n"/>
    </row>
    <row r="970">
      <c r="A970" s="392" t="n"/>
      <c r="B970" s="392" t="n"/>
      <c r="C970" s="392" t="n"/>
      <c r="D970" s="392" t="n"/>
      <c r="E970" s="392" t="n"/>
      <c r="F970" s="394" t="n"/>
      <c r="G970" s="604">
        <f>IFERROR(INDEX(⑱中間品単価!$H$5:$H$443,MATCH($C970,⑱中間品単価!$B$5:$B$443,0)),"")</f>
        <v/>
      </c>
      <c r="H970" s="396">
        <f>IF(AND(ISNUMBER($F970),ISNUMBER($G970)),$F970*$G970,"")</f>
        <v/>
      </c>
      <c r="I970" s="392" t="n"/>
    </row>
    <row r="971">
      <c r="A971" s="392" t="n"/>
      <c r="B971" s="392" t="n"/>
      <c r="C971" s="392" t="n"/>
      <c r="D971" s="392" t="n"/>
      <c r="E971" s="392" t="n"/>
      <c r="F971" s="394" t="n"/>
      <c r="G971" s="604">
        <f>IFERROR(INDEX(⑱中間品単価!$H$5:$H$443,MATCH($C971,⑱中間品単価!$B$5:$B$443,0)),"")</f>
        <v/>
      </c>
      <c r="H971" s="396">
        <f>IF(AND(ISNUMBER($F971),ISNUMBER($G971)),$F971*$G971,"")</f>
        <v/>
      </c>
      <c r="I971" s="392" t="n"/>
    </row>
    <row r="972">
      <c r="A972" s="392" t="n"/>
      <c r="B972" s="392" t="n"/>
      <c r="C972" s="392" t="n"/>
      <c r="D972" s="392" t="n"/>
      <c r="E972" s="392" t="n"/>
      <c r="F972" s="394" t="n"/>
      <c r="G972" s="604">
        <f>IFERROR(INDEX(⑱中間品単価!$H$5:$H$443,MATCH($C972,⑱中間品単価!$B$5:$B$443,0)),"")</f>
        <v/>
      </c>
      <c r="H972" s="396">
        <f>IF(AND(ISNUMBER($F972),ISNUMBER($G972)),$F972*$G972,"")</f>
        <v/>
      </c>
      <c r="I972" s="392" t="n"/>
    </row>
    <row r="973">
      <c r="A973" s="392" t="n"/>
      <c r="B973" s="392" t="n"/>
      <c r="C973" s="392" t="n"/>
      <c r="D973" s="392" t="n"/>
      <c r="E973" s="392" t="n"/>
      <c r="F973" s="394" t="n"/>
      <c r="G973" s="604">
        <f>IFERROR(INDEX(⑱中間品単価!$H$5:$H$443,MATCH($C973,⑱中間品単価!$B$5:$B$443,0)),"")</f>
        <v/>
      </c>
      <c r="H973" s="396">
        <f>IF(AND(ISNUMBER($F973),ISNUMBER($G973)),$F973*$G973,"")</f>
        <v/>
      </c>
      <c r="I973" s="392" t="n"/>
    </row>
    <row r="974">
      <c r="A974" s="392" t="n"/>
      <c r="B974" s="392" t="n"/>
      <c r="C974" s="392" t="n"/>
      <c r="D974" s="392" t="n"/>
      <c r="E974" s="392" t="n"/>
      <c r="F974" s="394" t="n"/>
      <c r="G974" s="604">
        <f>IFERROR(INDEX(⑱中間品単価!$H$5:$H$443,MATCH($C974,⑱中間品単価!$B$5:$B$443,0)),"")</f>
        <v/>
      </c>
      <c r="H974" s="396">
        <f>IF(AND(ISNUMBER($F974),ISNUMBER($G974)),$F974*$G974,"")</f>
        <v/>
      </c>
      <c r="I974" s="392" t="n"/>
    </row>
    <row r="975">
      <c r="A975" s="392" t="n"/>
      <c r="B975" s="392" t="n"/>
      <c r="C975" s="392" t="n"/>
      <c r="D975" s="392" t="n"/>
      <c r="E975" s="392" t="n"/>
      <c r="F975" s="394" t="n"/>
      <c r="G975" s="604">
        <f>IFERROR(INDEX(⑱中間品単価!$H$5:$H$443,MATCH($C975,⑱中間品単価!$B$5:$B$443,0)),"")</f>
        <v/>
      </c>
      <c r="H975" s="396">
        <f>IF(AND(ISNUMBER($F975),ISNUMBER($G975)),$F975*$G975,"")</f>
        <v/>
      </c>
      <c r="I975" s="392" t="n"/>
    </row>
    <row r="976">
      <c r="A976" s="392" t="n"/>
      <c r="B976" s="392" t="n"/>
      <c r="C976" s="392" t="n"/>
      <c r="D976" s="392" t="n"/>
      <c r="E976" s="392" t="n"/>
      <c r="F976" s="394" t="n"/>
      <c r="G976" s="604">
        <f>IFERROR(INDEX(⑱中間品単価!$H$5:$H$443,MATCH($C976,⑱中間品単価!$B$5:$B$443,0)),"")</f>
        <v/>
      </c>
      <c r="H976" s="396">
        <f>IF(AND(ISNUMBER($F976),ISNUMBER($G976)),$F976*$G976,"")</f>
        <v/>
      </c>
      <c r="I976" s="392" t="n"/>
    </row>
    <row r="977">
      <c r="A977" s="392" t="n"/>
      <c r="B977" s="392" t="n"/>
      <c r="C977" s="392" t="n"/>
      <c r="D977" s="392" t="n"/>
      <c r="E977" s="392" t="n"/>
      <c r="F977" s="394" t="n"/>
      <c r="G977" s="604">
        <f>IFERROR(INDEX(⑱中間品単価!$H$5:$H$443,MATCH($C977,⑱中間品単価!$B$5:$B$443,0)),"")</f>
        <v/>
      </c>
      <c r="H977" s="396">
        <f>IF(AND(ISNUMBER($F977),ISNUMBER($G977)),$F977*$G977,"")</f>
        <v/>
      </c>
      <c r="I977" s="392" t="n"/>
    </row>
    <row r="978">
      <c r="A978" s="392" t="n"/>
      <c r="B978" s="392" t="n"/>
      <c r="C978" s="392" t="n"/>
      <c r="D978" s="392" t="n"/>
      <c r="E978" s="392" t="n"/>
      <c r="F978" s="394" t="n"/>
      <c r="G978" s="604">
        <f>IFERROR(INDEX(⑱中間品単価!$H$5:$H$443,MATCH($C978,⑱中間品単価!$B$5:$B$443,0)),"")</f>
        <v/>
      </c>
      <c r="H978" s="396">
        <f>IF(AND(ISNUMBER($F978),ISNUMBER($G978)),$F978*$G978,"")</f>
        <v/>
      </c>
      <c r="I978" s="392" t="n"/>
    </row>
    <row r="979">
      <c r="A979" s="392" t="n"/>
      <c r="B979" s="392" t="n"/>
      <c r="C979" s="392" t="n"/>
      <c r="D979" s="392" t="n"/>
      <c r="E979" s="392" t="n"/>
      <c r="F979" s="394" t="n"/>
      <c r="G979" s="604">
        <f>IFERROR(INDEX(⑱中間品単価!$H$5:$H$443,MATCH($C979,⑱中間品単価!$B$5:$B$443,0)),"")</f>
        <v/>
      </c>
      <c r="H979" s="396">
        <f>IF(AND(ISNUMBER($F979),ISNUMBER($G979)),$F979*$G979,"")</f>
        <v/>
      </c>
      <c r="I979" s="392" t="n"/>
    </row>
    <row r="980">
      <c r="A980" s="392" t="n"/>
      <c r="B980" s="392" t="n"/>
      <c r="C980" s="392" t="n"/>
      <c r="D980" s="392" t="n"/>
      <c r="E980" s="392" t="n"/>
      <c r="F980" s="394" t="n"/>
      <c r="G980" s="604">
        <f>IFERROR(INDEX(⑱中間品単価!$H$5:$H$443,MATCH($C980,⑱中間品単価!$B$5:$B$443,0)),"")</f>
        <v/>
      </c>
      <c r="H980" s="396">
        <f>IF(AND(ISNUMBER($F980),ISNUMBER($G980)),$F980*$G980,"")</f>
        <v/>
      </c>
      <c r="I980" s="392" t="n"/>
    </row>
    <row r="981">
      <c r="A981" s="392" t="n"/>
      <c r="B981" s="392" t="n"/>
      <c r="C981" s="392" t="n"/>
      <c r="D981" s="392" t="n"/>
      <c r="E981" s="392" t="n"/>
      <c r="F981" s="394" t="n"/>
      <c r="G981" s="604">
        <f>IFERROR(INDEX(⑱中間品単価!$H$5:$H$443,MATCH($C981,⑱中間品単価!$B$5:$B$443,0)),"")</f>
        <v/>
      </c>
      <c r="H981" s="396">
        <f>IF(AND(ISNUMBER($F981),ISNUMBER($G981)),$F981*$G981,"")</f>
        <v/>
      </c>
      <c r="I981" s="392" t="n"/>
    </row>
    <row r="982">
      <c r="A982" s="392" t="n"/>
      <c r="B982" s="392" t="n"/>
      <c r="C982" s="392" t="n"/>
      <c r="D982" s="392" t="n"/>
      <c r="E982" s="392" t="n"/>
      <c r="F982" s="394" t="n"/>
      <c r="G982" s="604">
        <f>IFERROR(INDEX(⑱中間品単価!$H$5:$H$443,MATCH($C982,⑱中間品単価!$B$5:$B$443,0)),"")</f>
        <v/>
      </c>
      <c r="H982" s="396">
        <f>IF(AND(ISNUMBER($F982),ISNUMBER($G982)),$F982*$G982,"")</f>
        <v/>
      </c>
      <c r="I982" s="392" t="n"/>
    </row>
    <row r="983">
      <c r="A983" s="392" t="n"/>
      <c r="B983" s="392" t="n"/>
      <c r="C983" s="392" t="n"/>
      <c r="D983" s="392" t="n"/>
      <c r="E983" s="392" t="n"/>
      <c r="F983" s="394" t="n"/>
      <c r="G983" s="604">
        <f>IFERROR(INDEX(⑱中間品単価!$H$5:$H$443,MATCH($C983,⑱中間品単価!$B$5:$B$443,0)),"")</f>
        <v/>
      </c>
      <c r="H983" s="396">
        <f>IF(AND(ISNUMBER($F983),ISNUMBER($G983)),$F983*$G983,"")</f>
        <v/>
      </c>
      <c r="I983" s="392" t="n"/>
    </row>
    <row r="984">
      <c r="A984" s="392" t="n"/>
      <c r="B984" s="392" t="n"/>
      <c r="C984" s="392" t="n"/>
      <c r="D984" s="392" t="n"/>
      <c r="E984" s="392" t="n"/>
      <c r="F984" s="394" t="n"/>
      <c r="G984" s="604">
        <f>IFERROR(INDEX(⑱中間品単価!$H$5:$H$443,MATCH($C984,⑱中間品単価!$B$5:$B$443,0)),"")</f>
        <v/>
      </c>
      <c r="H984" s="396">
        <f>IF(AND(ISNUMBER($F984),ISNUMBER($G984)),$F984*$G984,"")</f>
        <v/>
      </c>
      <c r="I984" s="392" t="n"/>
    </row>
    <row r="985">
      <c r="A985" s="392" t="n"/>
      <c r="B985" s="392" t="n"/>
      <c r="C985" s="392" t="n"/>
      <c r="D985" s="392" t="n"/>
      <c r="E985" s="392" t="n"/>
      <c r="F985" s="394" t="n"/>
      <c r="G985" s="604">
        <f>IFERROR(INDEX(⑱中間品単価!$H$5:$H$443,MATCH($C985,⑱中間品単価!$B$5:$B$443,0)),"")</f>
        <v/>
      </c>
      <c r="H985" s="396">
        <f>IF(AND(ISNUMBER($F985),ISNUMBER($G985)),$F985*$G985,"")</f>
        <v/>
      </c>
      <c r="I985" s="392" t="n"/>
    </row>
    <row r="986">
      <c r="A986" s="392" t="n"/>
      <c r="B986" s="392" t="n"/>
      <c r="C986" s="392" t="n"/>
      <c r="D986" s="392" t="n"/>
      <c r="E986" s="392" t="n"/>
      <c r="F986" s="394" t="n"/>
      <c r="G986" s="604">
        <f>IFERROR(INDEX(⑱中間品単価!$H$5:$H$443,MATCH($C986,⑱中間品単価!$B$5:$B$443,0)),"")</f>
        <v/>
      </c>
      <c r="H986" s="396">
        <f>IF(AND(ISNUMBER($F986),ISNUMBER($G986)),$F986*$G986,"")</f>
        <v/>
      </c>
      <c r="I986" s="392" t="n"/>
    </row>
    <row r="987">
      <c r="A987" s="392" t="n"/>
      <c r="B987" s="392" t="n"/>
      <c r="C987" s="392" t="n"/>
      <c r="D987" s="392" t="n"/>
      <c r="E987" s="392" t="n"/>
      <c r="F987" s="394" t="n"/>
      <c r="G987" s="604">
        <f>IFERROR(INDEX(⑱中間品単価!$H$5:$H$443,MATCH($C987,⑱中間品単価!$B$5:$B$443,0)),"")</f>
        <v/>
      </c>
      <c r="H987" s="396">
        <f>IF(AND(ISNUMBER($F987),ISNUMBER($G987)),$F987*$G987,"")</f>
        <v/>
      </c>
      <c r="I987" s="392" t="n"/>
    </row>
    <row r="988">
      <c r="A988" s="392" t="n"/>
      <c r="B988" s="392" t="n"/>
      <c r="C988" s="392" t="n"/>
      <c r="D988" s="392" t="n"/>
      <c r="E988" s="392" t="n"/>
      <c r="F988" s="394" t="n"/>
      <c r="G988" s="604">
        <f>IFERROR(INDEX(⑱中間品単価!$H$5:$H$443,MATCH($C988,⑱中間品単価!$B$5:$B$443,0)),"")</f>
        <v/>
      </c>
      <c r="H988" s="396">
        <f>IF(AND(ISNUMBER($F988),ISNUMBER($G988)),$F988*$G988,"")</f>
        <v/>
      </c>
      <c r="I988" s="392" t="n"/>
    </row>
    <row r="989">
      <c r="A989" s="392" t="n"/>
      <c r="B989" s="392" t="n"/>
      <c r="C989" s="392" t="n"/>
      <c r="D989" s="392" t="n"/>
      <c r="E989" s="392" t="n"/>
      <c r="F989" s="394" t="n"/>
      <c r="G989" s="604">
        <f>IFERROR(INDEX(⑱中間品単価!$H$5:$H$443,MATCH($C989,⑱中間品単価!$B$5:$B$443,0)),"")</f>
        <v/>
      </c>
      <c r="H989" s="396">
        <f>IF(AND(ISNUMBER($F989),ISNUMBER($G989)),$F989*$G989,"")</f>
        <v/>
      </c>
      <c r="I989" s="392" t="n"/>
    </row>
    <row r="990">
      <c r="A990" s="392" t="n"/>
      <c r="B990" s="392" t="n"/>
      <c r="C990" s="392" t="n"/>
      <c r="D990" s="392" t="n"/>
      <c r="E990" s="392" t="n"/>
      <c r="F990" s="394" t="n"/>
      <c r="G990" s="604">
        <f>IFERROR(INDEX(⑱中間品単価!$H$5:$H$443,MATCH($C990,⑱中間品単価!$B$5:$B$443,0)),"")</f>
        <v/>
      </c>
      <c r="H990" s="396">
        <f>IF(AND(ISNUMBER($F990),ISNUMBER($G990)),$F990*$G990,"")</f>
        <v/>
      </c>
      <c r="I990" s="392" t="n"/>
    </row>
    <row r="991">
      <c r="A991" s="392" t="n"/>
      <c r="B991" s="392" t="n"/>
      <c r="C991" s="392" t="n"/>
      <c r="D991" s="392" t="n"/>
      <c r="E991" s="392" t="n"/>
      <c r="F991" s="394" t="n"/>
      <c r="G991" s="604">
        <f>IFERROR(INDEX(⑱中間品単価!$H$5:$H$443,MATCH($C991,⑱中間品単価!$B$5:$B$443,0)),"")</f>
        <v/>
      </c>
      <c r="H991" s="396">
        <f>IF(AND(ISNUMBER($F991),ISNUMBER($G991)),$F991*$G991,"")</f>
        <v/>
      </c>
      <c r="I991" s="392" t="n"/>
    </row>
    <row r="992">
      <c r="A992" s="392" t="n"/>
      <c r="B992" s="392" t="n"/>
      <c r="C992" s="392" t="n"/>
      <c r="D992" s="392" t="n"/>
      <c r="E992" s="392" t="n"/>
      <c r="F992" s="394" t="n"/>
      <c r="G992" s="604">
        <f>IFERROR(INDEX(⑱中間品単価!$H$5:$H$443,MATCH($C992,⑱中間品単価!$B$5:$B$443,0)),"")</f>
        <v/>
      </c>
      <c r="H992" s="396">
        <f>IF(AND(ISNUMBER($F992),ISNUMBER($G992)),$F992*$G992,"")</f>
        <v/>
      </c>
      <c r="I992" s="392" t="n"/>
    </row>
    <row r="993">
      <c r="A993" s="392" t="n"/>
      <c r="B993" s="392" t="n"/>
      <c r="C993" s="392" t="n"/>
      <c r="D993" s="392" t="n"/>
      <c r="E993" s="392" t="n"/>
      <c r="F993" s="394" t="n"/>
      <c r="G993" s="604">
        <f>IFERROR(INDEX(⑱中間品単価!$H$5:$H$443,MATCH($C993,⑱中間品単価!$B$5:$B$443,0)),"")</f>
        <v/>
      </c>
      <c r="H993" s="396">
        <f>IF(AND(ISNUMBER($F993),ISNUMBER($G993)),$F993*$G993,"")</f>
        <v/>
      </c>
      <c r="I993" s="392" t="n"/>
    </row>
    <row r="994">
      <c r="A994" s="392" t="n"/>
      <c r="B994" s="392" t="n"/>
      <c r="C994" s="392" t="n"/>
      <c r="D994" s="392" t="n"/>
      <c r="E994" s="392" t="n"/>
      <c r="F994" s="394" t="n"/>
      <c r="G994" s="604">
        <f>IFERROR(INDEX(⑱中間品単価!$H$5:$H$443,MATCH($C994,⑱中間品単価!$B$5:$B$443,0)),"")</f>
        <v/>
      </c>
      <c r="H994" s="396">
        <f>IF(AND(ISNUMBER($F994),ISNUMBER($G994)),$F994*$G994,"")</f>
        <v/>
      </c>
      <c r="I994" s="392" t="n"/>
    </row>
    <row r="995">
      <c r="A995" s="392" t="n"/>
      <c r="B995" s="392" t="n"/>
      <c r="C995" s="392" t="n"/>
      <c r="D995" s="392" t="n"/>
      <c r="E995" s="392" t="n"/>
      <c r="F995" s="394" t="n"/>
      <c r="G995" s="604">
        <f>IFERROR(INDEX(⑱中間品単価!$H$5:$H$443,MATCH($C995,⑱中間品単価!$B$5:$B$443,0)),"")</f>
        <v/>
      </c>
      <c r="H995" s="396">
        <f>IF(AND(ISNUMBER($F995),ISNUMBER($G995)),$F995*$G995,"")</f>
        <v/>
      </c>
      <c r="I995" s="392" t="n"/>
    </row>
    <row r="996">
      <c r="A996" s="392" t="n"/>
      <c r="B996" s="392" t="n"/>
      <c r="C996" s="392" t="n"/>
      <c r="D996" s="392" t="n"/>
      <c r="E996" s="392" t="n"/>
      <c r="F996" s="394" t="n"/>
      <c r="G996" s="604">
        <f>IFERROR(INDEX(⑱中間品単価!$H$5:$H$443,MATCH($C996,⑱中間品単価!$B$5:$B$443,0)),"")</f>
        <v/>
      </c>
      <c r="H996" s="396">
        <f>IF(AND(ISNUMBER($F996),ISNUMBER($G996)),$F996*$G996,"")</f>
        <v/>
      </c>
      <c r="I996" s="392" t="n"/>
    </row>
    <row r="997">
      <c r="A997" s="392" t="n"/>
      <c r="B997" s="392" t="n"/>
      <c r="C997" s="392" t="n"/>
      <c r="D997" s="392" t="n"/>
      <c r="E997" s="392" t="n"/>
      <c r="F997" s="394" t="n"/>
      <c r="G997" s="604">
        <f>IFERROR(INDEX(⑱中間品単価!$H$5:$H$443,MATCH($C997,⑱中間品単価!$B$5:$B$443,0)),"")</f>
        <v/>
      </c>
      <c r="H997" s="396">
        <f>IF(AND(ISNUMBER($F997),ISNUMBER($G997)),$F997*$G997,"")</f>
        <v/>
      </c>
      <c r="I997" s="392" t="n"/>
    </row>
    <row r="998">
      <c r="A998" s="392" t="n"/>
      <c r="B998" s="392" t="n"/>
      <c r="C998" s="392" t="n"/>
      <c r="D998" s="392" t="n"/>
      <c r="E998" s="392" t="n"/>
      <c r="F998" s="394" t="n"/>
      <c r="G998" s="604">
        <f>IFERROR(INDEX(⑱中間品単価!$H$5:$H$443,MATCH($C998,⑱中間品単価!$B$5:$B$443,0)),"")</f>
        <v/>
      </c>
      <c r="H998" s="396">
        <f>IF(AND(ISNUMBER($F998),ISNUMBER($G998)),$F998*$G998,"")</f>
        <v/>
      </c>
      <c r="I998" s="392" t="n"/>
    </row>
    <row r="999">
      <c r="A999" s="392" t="n"/>
      <c r="B999" s="392" t="n"/>
      <c r="C999" s="392" t="n"/>
      <c r="D999" s="392" t="n"/>
      <c r="E999" s="392" t="n"/>
      <c r="F999" s="394" t="n"/>
      <c r="G999" s="604">
        <f>IFERROR(INDEX(⑱中間品単価!$H$5:$H$443,MATCH($C999,⑱中間品単価!$B$5:$B$443,0)),"")</f>
        <v/>
      </c>
      <c r="H999" s="396">
        <f>IF(AND(ISNUMBER($F999),ISNUMBER($G999)),$F999*$G999,"")</f>
        <v/>
      </c>
      <c r="I999" s="392" t="n"/>
    </row>
    <row r="1000">
      <c r="A1000" s="392" t="n"/>
      <c r="B1000" s="392" t="n"/>
      <c r="C1000" s="392" t="n"/>
      <c r="D1000" s="392" t="n"/>
      <c r="E1000" s="392" t="n"/>
      <c r="F1000" s="394" t="n"/>
      <c r="G1000" s="604">
        <f>IFERROR(INDEX(⑱中間品単価!$H$5:$H$443,MATCH($C1000,⑱中間品単価!$B$5:$B$443,0)),"")</f>
        <v/>
      </c>
      <c r="H1000" s="396">
        <f>IF(AND(ISNUMBER($F1000),ISNUMBER($G1000)),$F1000*$G1000,"")</f>
        <v/>
      </c>
      <c r="I1000" s="392" t="n"/>
    </row>
    <row r="1001">
      <c r="A1001" s="392" t="n"/>
      <c r="B1001" s="392" t="n"/>
      <c r="C1001" s="392" t="n"/>
      <c r="D1001" s="392" t="n"/>
      <c r="E1001" s="392" t="n"/>
      <c r="F1001" s="394" t="n"/>
      <c r="G1001" s="604">
        <f>IFERROR(INDEX(⑱中間品単価!$H$5:$H$443,MATCH($C1001,⑱中間品単価!$B$5:$B$443,0)),"")</f>
        <v/>
      </c>
      <c r="H1001" s="396">
        <f>IF(AND(ISNUMBER($F1001),ISNUMBER($G1001)),$F1001*$G1001,"")</f>
        <v/>
      </c>
      <c r="I1001" s="392" t="n"/>
    </row>
    <row r="1002">
      <c r="A1002" s="392" t="n"/>
      <c r="B1002" s="392" t="n"/>
      <c r="C1002" s="392" t="n"/>
      <c r="D1002" s="392" t="n"/>
      <c r="E1002" s="392" t="n"/>
      <c r="F1002" s="394" t="n"/>
      <c r="G1002" s="604">
        <f>IFERROR(INDEX(⑱中間品単価!$H$5:$H$443,MATCH($C1002,⑱中間品単価!$B$5:$B$443,0)),"")</f>
        <v/>
      </c>
      <c r="H1002" s="396">
        <f>IF(AND(ISNUMBER($F1002),ISNUMBER($G1002)),$F1002*$G1002,"")</f>
        <v/>
      </c>
      <c r="I1002" s="392" t="n"/>
    </row>
    <row r="1003">
      <c r="A1003" s="392" t="n"/>
      <c r="B1003" s="392" t="n"/>
      <c r="C1003" s="392" t="n"/>
      <c r="D1003" s="392" t="n"/>
      <c r="E1003" s="392" t="n"/>
      <c r="F1003" s="394" t="n"/>
      <c r="G1003" s="604">
        <f>IFERROR(INDEX(⑱中間品単価!$H$5:$H$443,MATCH($C1003,⑱中間品単価!$B$5:$B$443,0)),"")</f>
        <v/>
      </c>
      <c r="H1003" s="396">
        <f>IF(AND(ISNUMBER($F1003),ISNUMBER($G1003)),$F1003*$G1003,"")</f>
        <v/>
      </c>
      <c r="I1003" s="392" t="n"/>
    </row>
    <row r="1004">
      <c r="A1004" s="392" t="n"/>
      <c r="B1004" s="392" t="n"/>
      <c r="C1004" s="392" t="n"/>
      <c r="D1004" s="392" t="n"/>
      <c r="E1004" s="392" t="n"/>
      <c r="F1004" s="394" t="n"/>
      <c r="G1004" s="604">
        <f>IFERROR(INDEX(⑱中間品単価!$H$5:$H$443,MATCH($C1004,⑱中間品単価!$B$5:$B$443,0)),"")</f>
        <v/>
      </c>
      <c r="H1004" s="396">
        <f>IF(AND(ISNUMBER($F1004),ISNUMBER($G1004)),$F1004*$G1004,"")</f>
        <v/>
      </c>
      <c r="I1004" s="392" t="n"/>
    </row>
    <row r="1005">
      <c r="A1005" s="392" t="n"/>
      <c r="B1005" s="392" t="n"/>
      <c r="C1005" s="392" t="n"/>
      <c r="D1005" s="392" t="n"/>
      <c r="E1005" s="392" t="n"/>
      <c r="F1005" s="394" t="n"/>
      <c r="G1005" s="604">
        <f>IFERROR(INDEX(⑱中間品単価!$H$5:$H$443,MATCH($C1005,⑱中間品単価!$B$5:$B$443,0)),"")</f>
        <v/>
      </c>
      <c r="H1005" s="396">
        <f>IF(AND(ISNUMBER($F1005),ISNUMBER($G1005)),$F1005*$G1005,"")</f>
        <v/>
      </c>
      <c r="I1005" s="392" t="n"/>
    </row>
    <row r="1006">
      <c r="A1006" s="392" t="n"/>
      <c r="B1006" s="392" t="n"/>
      <c r="C1006" s="392" t="n"/>
      <c r="D1006" s="392" t="n"/>
      <c r="E1006" s="392" t="n"/>
      <c r="F1006" s="394" t="n"/>
      <c r="G1006" s="604">
        <f>IFERROR(INDEX(⑱中間品単価!$H$5:$H$443,MATCH($C1006,⑱中間品単価!$B$5:$B$443,0)),"")</f>
        <v/>
      </c>
      <c r="H1006" s="396">
        <f>IF(AND(ISNUMBER($F1006),ISNUMBER($G1006)),$F1006*$G1006,"")</f>
        <v/>
      </c>
      <c r="I1006" s="392" t="n"/>
    </row>
    <row r="1007">
      <c r="A1007" s="392" t="n"/>
      <c r="B1007" s="392" t="n"/>
      <c r="C1007" s="392" t="n"/>
      <c r="D1007" s="392" t="n"/>
      <c r="E1007" s="392" t="n"/>
      <c r="F1007" s="394" t="n"/>
      <c r="G1007" s="604">
        <f>IFERROR(INDEX(⑱中間品単価!$H$5:$H$443,MATCH($C1007,⑱中間品単価!$B$5:$B$443,0)),"")</f>
        <v/>
      </c>
      <c r="H1007" s="396">
        <f>IF(AND(ISNUMBER($F1007),ISNUMBER($G1007)),$F1007*$G1007,"")</f>
        <v/>
      </c>
      <c r="I1007" s="392" t="n"/>
    </row>
    <row r="1008">
      <c r="A1008" s="392" t="n"/>
      <c r="B1008" s="392" t="n"/>
      <c r="C1008" s="392" t="n"/>
      <c r="D1008" s="392" t="n"/>
      <c r="E1008" s="392" t="n"/>
      <c r="F1008" s="394" t="n"/>
      <c r="G1008" s="604">
        <f>IFERROR(INDEX(⑱中間品単価!$H$5:$H$443,MATCH($C1008,⑱中間品単価!$B$5:$B$443,0)),"")</f>
        <v/>
      </c>
      <c r="H1008" s="396">
        <f>IF(AND(ISNUMBER($F1008),ISNUMBER($G1008)),$F1008*$G1008,"")</f>
        <v/>
      </c>
      <c r="I1008" s="392" t="n"/>
    </row>
    <row r="1009">
      <c r="A1009" s="392" t="n"/>
      <c r="B1009" s="392" t="n"/>
      <c r="C1009" s="392" t="n"/>
      <c r="D1009" s="392" t="n"/>
      <c r="E1009" s="392" t="n"/>
      <c r="F1009" s="394" t="n"/>
      <c r="G1009" s="604">
        <f>IFERROR(INDEX(⑱中間品単価!$H$5:$H$443,MATCH($C1009,⑱中間品単価!$B$5:$B$443,0)),"")</f>
        <v/>
      </c>
      <c r="H1009" s="396">
        <f>IF(AND(ISNUMBER($F1009),ISNUMBER($G1009)),$F1009*$G1009,"")</f>
        <v/>
      </c>
      <c r="I1009" s="392" t="n"/>
    </row>
    <row r="1010">
      <c r="A1010" s="392" t="n"/>
      <c r="B1010" s="392" t="n"/>
      <c r="C1010" s="392" t="n"/>
      <c r="D1010" s="392" t="n"/>
      <c r="E1010" s="392" t="n"/>
      <c r="F1010" s="394" t="n"/>
      <c r="G1010" s="604">
        <f>IFERROR(INDEX(⑱中間品単価!$H$5:$H$443,MATCH($C1010,⑱中間品単価!$B$5:$B$443,0)),"")</f>
        <v/>
      </c>
      <c r="H1010" s="396">
        <f>IF(AND(ISNUMBER($F1010),ISNUMBER($G1010)),$F1010*$G1010,"")</f>
        <v/>
      </c>
      <c r="I1010" s="392" t="n"/>
    </row>
    <row r="1011">
      <c r="A1011" s="392" t="n"/>
      <c r="B1011" s="392" t="n"/>
      <c r="C1011" s="392" t="n"/>
      <c r="D1011" s="392" t="n"/>
      <c r="E1011" s="392" t="n"/>
      <c r="F1011" s="394" t="n"/>
      <c r="G1011" s="604">
        <f>IFERROR(INDEX(⑱中間品単価!$H$5:$H$443,MATCH($C1011,⑱中間品単価!$B$5:$B$443,0)),"")</f>
        <v/>
      </c>
      <c r="H1011" s="396">
        <f>IF(AND(ISNUMBER($F1011),ISNUMBER($G1011)),$F1011*$G1011,"")</f>
        <v/>
      </c>
      <c r="I1011" s="392" t="n"/>
    </row>
    <row r="1012">
      <c r="A1012" s="392" t="n"/>
      <c r="B1012" s="392" t="n"/>
      <c r="C1012" s="392" t="n"/>
      <c r="D1012" s="392" t="n"/>
      <c r="E1012" s="392" t="n"/>
      <c r="F1012" s="394" t="n"/>
      <c r="G1012" s="604">
        <f>IFERROR(INDEX(⑱中間品単価!$H$5:$H$443,MATCH($C1012,⑱中間品単価!$B$5:$B$443,0)),"")</f>
        <v/>
      </c>
      <c r="H1012" s="396">
        <f>IF(AND(ISNUMBER($F1012),ISNUMBER($G1012)),$F1012*$G1012,"")</f>
        <v/>
      </c>
      <c r="I1012" s="392" t="n"/>
    </row>
    <row r="1013">
      <c r="A1013" s="392" t="n"/>
      <c r="B1013" s="392" t="n"/>
      <c r="C1013" s="392" t="n"/>
      <c r="D1013" s="392" t="n"/>
      <c r="E1013" s="392" t="n"/>
      <c r="F1013" s="394" t="n"/>
      <c r="G1013" s="604">
        <f>IFERROR(INDEX(⑱中間品単価!$H$5:$H$443,MATCH($C1013,⑱中間品単価!$B$5:$B$443,0)),"")</f>
        <v/>
      </c>
      <c r="H1013" s="396">
        <f>IF(AND(ISNUMBER($F1013),ISNUMBER($G1013)),$F1013*$G1013,"")</f>
        <v/>
      </c>
      <c r="I1013" s="392" t="n"/>
    </row>
    <row r="1014">
      <c r="A1014" s="392" t="n"/>
      <c r="B1014" s="392" t="n"/>
      <c r="C1014" s="392" t="n"/>
      <c r="D1014" s="392" t="n"/>
      <c r="E1014" s="392" t="n"/>
      <c r="F1014" s="394" t="n"/>
      <c r="G1014" s="604">
        <f>IFERROR(INDEX(⑱中間品単価!$H$5:$H$443,MATCH($C1014,⑱中間品単価!$B$5:$B$443,0)),"")</f>
        <v/>
      </c>
      <c r="H1014" s="396">
        <f>IF(AND(ISNUMBER($F1014),ISNUMBER($G1014)),$F1014*$G1014,"")</f>
        <v/>
      </c>
      <c r="I1014" s="392" t="n"/>
    </row>
    <row r="1015">
      <c r="A1015" s="392" t="n"/>
      <c r="B1015" s="392" t="n"/>
      <c r="C1015" s="392" t="n"/>
      <c r="D1015" s="392" t="n"/>
      <c r="E1015" s="392" t="n"/>
      <c r="F1015" s="394" t="n"/>
      <c r="G1015" s="604">
        <f>IFERROR(INDEX(⑱中間品単価!$H$5:$H$443,MATCH($C1015,⑱中間品単価!$B$5:$B$443,0)),"")</f>
        <v/>
      </c>
      <c r="H1015" s="396">
        <f>IF(AND(ISNUMBER($F1015),ISNUMBER($G1015)),$F1015*$G1015,"")</f>
        <v/>
      </c>
      <c r="I1015" s="392" t="n"/>
    </row>
    <row r="1016">
      <c r="A1016" s="392" t="n"/>
      <c r="B1016" s="392" t="n"/>
      <c r="C1016" s="392" t="n"/>
      <c r="D1016" s="392" t="n"/>
      <c r="E1016" s="392" t="n"/>
      <c r="F1016" s="394" t="n"/>
      <c r="G1016" s="604">
        <f>IFERROR(INDEX(⑱中間品単価!$H$5:$H$443,MATCH($C1016,⑱中間品単価!$B$5:$B$443,0)),"")</f>
        <v/>
      </c>
      <c r="H1016" s="396">
        <f>IF(AND(ISNUMBER($F1016),ISNUMBER($G1016)),$F1016*$G1016,"")</f>
        <v/>
      </c>
      <c r="I1016" s="392" t="n"/>
    </row>
    <row r="1017">
      <c r="A1017" s="392" t="n"/>
      <c r="B1017" s="392" t="n"/>
      <c r="C1017" s="392" t="n"/>
      <c r="D1017" s="392" t="n"/>
      <c r="E1017" s="392" t="n"/>
      <c r="F1017" s="394" t="n"/>
      <c r="G1017" s="604">
        <f>IFERROR(INDEX(⑱中間品単価!$H$5:$H$443,MATCH($C1017,⑱中間品単価!$B$5:$B$443,0)),"")</f>
        <v/>
      </c>
      <c r="H1017" s="396">
        <f>IF(AND(ISNUMBER($F1017),ISNUMBER($G1017)),$F1017*$G1017,"")</f>
        <v/>
      </c>
      <c r="I1017" s="392" t="n"/>
    </row>
    <row r="1018">
      <c r="A1018" s="392" t="n"/>
      <c r="B1018" s="392" t="n"/>
      <c r="C1018" s="392" t="n"/>
      <c r="D1018" s="392" t="n"/>
      <c r="E1018" s="392" t="n"/>
      <c r="F1018" s="394" t="n"/>
      <c r="G1018" s="604">
        <f>IFERROR(INDEX(⑱中間品単価!$H$5:$H$443,MATCH($C1018,⑱中間品単価!$B$5:$B$443,0)),"")</f>
        <v/>
      </c>
      <c r="H1018" s="396">
        <f>IF(AND(ISNUMBER($F1018),ISNUMBER($G1018)),$F1018*$G1018,"")</f>
        <v/>
      </c>
      <c r="I1018" s="392" t="n"/>
    </row>
    <row r="1019">
      <c r="A1019" s="392" t="n"/>
      <c r="B1019" s="392" t="n"/>
      <c r="C1019" s="392" t="n"/>
      <c r="D1019" s="392" t="n"/>
      <c r="E1019" s="392" t="n"/>
      <c r="F1019" s="394" t="n"/>
      <c r="G1019" s="604">
        <f>IFERROR(INDEX(⑱中間品単価!$H$5:$H$443,MATCH($C1019,⑱中間品単価!$B$5:$B$443,0)),"")</f>
        <v/>
      </c>
      <c r="H1019" s="396">
        <f>IF(AND(ISNUMBER($F1019),ISNUMBER($G1019)),$F1019*$G1019,"")</f>
        <v/>
      </c>
      <c r="I1019" s="392" t="n"/>
    </row>
    <row r="1020">
      <c r="A1020" s="392" t="n"/>
      <c r="B1020" s="392" t="n"/>
      <c r="C1020" s="392" t="n"/>
      <c r="D1020" s="392" t="n"/>
      <c r="E1020" s="392" t="n"/>
      <c r="F1020" s="394" t="n"/>
      <c r="G1020" s="604">
        <f>IFERROR(INDEX(⑱中間品単価!$H$5:$H$443,MATCH($C1020,⑱中間品単価!$B$5:$B$443,0)),"")</f>
        <v/>
      </c>
      <c r="H1020" s="396">
        <f>IF(AND(ISNUMBER($F1020),ISNUMBER($G1020)),$F1020*$G1020,"")</f>
        <v/>
      </c>
      <c r="I1020" s="392" t="n"/>
    </row>
    <row r="1021">
      <c r="A1021" s="392" t="n"/>
      <c r="B1021" s="392" t="n"/>
      <c r="C1021" s="392" t="n"/>
      <c r="D1021" s="392" t="n"/>
      <c r="E1021" s="392" t="n"/>
      <c r="F1021" s="394" t="n"/>
      <c r="G1021" s="604">
        <f>IFERROR(INDEX(⑱中間品単価!$H$5:$H$443,MATCH($C1021,⑱中間品単価!$B$5:$B$443,0)),"")</f>
        <v/>
      </c>
      <c r="H1021" s="396">
        <f>IF(AND(ISNUMBER($F1021),ISNUMBER($G1021)),$F1021*$G1021,"")</f>
        <v/>
      </c>
      <c r="I1021" s="392" t="n"/>
    </row>
    <row r="1022">
      <c r="A1022" s="392" t="n"/>
      <c r="B1022" s="392" t="n"/>
      <c r="C1022" s="392" t="n"/>
      <c r="D1022" s="392" t="n"/>
      <c r="E1022" s="392" t="n"/>
      <c r="F1022" s="394" t="n"/>
      <c r="G1022" s="604">
        <f>IFERROR(INDEX(⑱中間品単価!$H$5:$H$443,MATCH($C1022,⑱中間品単価!$B$5:$B$443,0)),"")</f>
        <v/>
      </c>
      <c r="H1022" s="396">
        <f>IF(AND(ISNUMBER($F1022),ISNUMBER($G1022)),$F1022*$G1022,"")</f>
        <v/>
      </c>
      <c r="I1022" s="392" t="n"/>
    </row>
    <row r="1023">
      <c r="A1023" s="392" t="n"/>
      <c r="B1023" s="392" t="n"/>
      <c r="C1023" s="392" t="n"/>
      <c r="D1023" s="392" t="n"/>
      <c r="E1023" s="392" t="n"/>
      <c r="F1023" s="394" t="n"/>
      <c r="G1023" s="604">
        <f>IFERROR(INDEX(⑱中間品単価!$H$5:$H$443,MATCH($C1023,⑱中間品単価!$B$5:$B$443,0)),"")</f>
        <v/>
      </c>
      <c r="H1023" s="396">
        <f>IF(AND(ISNUMBER($F1023),ISNUMBER($G1023)),$F1023*$G1023,"")</f>
        <v/>
      </c>
      <c r="I1023" s="392" t="n"/>
    </row>
    <row r="1024">
      <c r="A1024" s="392" t="n"/>
      <c r="B1024" s="392" t="n"/>
      <c r="C1024" s="392" t="n"/>
      <c r="D1024" s="392" t="n"/>
      <c r="E1024" s="392" t="n"/>
      <c r="F1024" s="394" t="n"/>
      <c r="G1024" s="604">
        <f>IFERROR(INDEX(⑱中間品単価!$H$5:$H$443,MATCH($C1024,⑱中間品単価!$B$5:$B$443,0)),"")</f>
        <v/>
      </c>
      <c r="H1024" s="396">
        <f>IF(AND(ISNUMBER($F1024),ISNUMBER($G1024)),$F1024*$G1024,"")</f>
        <v/>
      </c>
      <c r="I1024" s="392" t="n"/>
    </row>
    <row r="1025">
      <c r="A1025" s="392" t="n"/>
      <c r="B1025" s="392" t="n"/>
      <c r="C1025" s="392" t="n"/>
      <c r="D1025" s="392" t="n"/>
      <c r="E1025" s="392" t="n"/>
      <c r="F1025" s="394" t="n"/>
      <c r="G1025" s="604">
        <f>IFERROR(INDEX(⑱中間品単価!$H$5:$H$443,MATCH($C1025,⑱中間品単価!$B$5:$B$443,0)),"")</f>
        <v/>
      </c>
      <c r="H1025" s="396">
        <f>IF(AND(ISNUMBER($F1025),ISNUMBER($G1025)),$F1025*$G1025,"")</f>
        <v/>
      </c>
      <c r="I1025" s="392" t="n"/>
    </row>
    <row r="1026">
      <c r="A1026" s="392" t="n"/>
      <c r="B1026" s="392" t="n"/>
      <c r="C1026" s="392" t="n"/>
      <c r="D1026" s="392" t="n"/>
      <c r="E1026" s="392" t="n"/>
      <c r="F1026" s="394" t="n"/>
      <c r="G1026" s="604">
        <f>IFERROR(INDEX(⑱中間品単価!$H$5:$H$443,MATCH($C1026,⑱中間品単価!$B$5:$B$443,0)),"")</f>
        <v/>
      </c>
      <c r="H1026" s="396">
        <f>IF(AND(ISNUMBER($F1026),ISNUMBER($G1026)),$F1026*$G1026,"")</f>
        <v/>
      </c>
      <c r="I1026" s="392" t="n"/>
    </row>
    <row r="1027">
      <c r="A1027" s="392" t="n"/>
      <c r="B1027" s="392" t="n"/>
      <c r="C1027" s="392" t="n"/>
      <c r="D1027" s="392" t="n"/>
      <c r="E1027" s="392" t="n"/>
      <c r="F1027" s="394" t="n"/>
      <c r="G1027" s="604">
        <f>IFERROR(INDEX(⑱中間品単価!$H$5:$H$443,MATCH($C1027,⑱中間品単価!$B$5:$B$443,0)),"")</f>
        <v/>
      </c>
      <c r="H1027" s="396">
        <f>IF(AND(ISNUMBER($F1027),ISNUMBER($G1027)),$F1027*$G1027,"")</f>
        <v/>
      </c>
      <c r="I1027" s="392" t="n"/>
    </row>
    <row r="1028">
      <c r="A1028" s="392" t="n"/>
      <c r="B1028" s="392" t="n"/>
      <c r="C1028" s="392" t="n"/>
      <c r="D1028" s="392" t="n"/>
      <c r="E1028" s="392" t="n"/>
      <c r="F1028" s="394" t="n"/>
      <c r="G1028" s="604">
        <f>IFERROR(INDEX(⑱中間品単価!$H$5:$H$443,MATCH($C1028,⑱中間品単価!$B$5:$B$443,0)),"")</f>
        <v/>
      </c>
      <c r="H1028" s="396">
        <f>IF(AND(ISNUMBER($F1028),ISNUMBER($G1028)),$F1028*$G1028,"")</f>
        <v/>
      </c>
      <c r="I1028" s="392" t="n"/>
    </row>
    <row r="1029">
      <c r="A1029" s="392" t="n"/>
      <c r="B1029" s="392" t="n"/>
      <c r="C1029" s="392" t="n"/>
      <c r="D1029" s="392" t="n"/>
      <c r="E1029" s="392" t="n"/>
      <c r="F1029" s="394" t="n"/>
      <c r="G1029" s="604">
        <f>IFERROR(INDEX(⑱中間品単価!$H$5:$H$443,MATCH($C1029,⑱中間品単価!$B$5:$B$443,0)),"")</f>
        <v/>
      </c>
      <c r="H1029" s="396">
        <f>IF(AND(ISNUMBER($F1029),ISNUMBER($G1029)),$F1029*$G1029,"")</f>
        <v/>
      </c>
      <c r="I1029" s="392" t="n"/>
    </row>
    <row r="1030">
      <c r="A1030" s="392" t="n"/>
      <c r="B1030" s="392" t="n"/>
      <c r="C1030" s="392" t="n"/>
      <c r="D1030" s="392" t="n"/>
      <c r="E1030" s="392" t="n"/>
      <c r="F1030" s="394" t="n"/>
      <c r="G1030" s="604">
        <f>IFERROR(INDEX(⑱中間品単価!$H$5:$H$443,MATCH($C1030,⑱中間品単価!$B$5:$B$443,0)),"")</f>
        <v/>
      </c>
      <c r="H1030" s="396">
        <f>IF(AND(ISNUMBER($F1030),ISNUMBER($G1030)),$F1030*$G1030,"")</f>
        <v/>
      </c>
      <c r="I1030" s="392" t="n"/>
    </row>
    <row r="1031">
      <c r="A1031" s="392" t="n"/>
      <c r="B1031" s="392" t="n"/>
      <c r="C1031" s="392" t="n"/>
      <c r="D1031" s="392" t="n"/>
      <c r="E1031" s="392" t="n"/>
      <c r="F1031" s="394" t="n"/>
      <c r="G1031" s="604">
        <f>IFERROR(INDEX(⑱中間品単価!$H$5:$H$443,MATCH($C1031,⑱中間品単価!$B$5:$B$443,0)),"")</f>
        <v/>
      </c>
      <c r="H1031" s="396">
        <f>IF(AND(ISNUMBER($F1031),ISNUMBER($G1031)),$F1031*$G1031,"")</f>
        <v/>
      </c>
      <c r="I1031" s="392" t="n"/>
    </row>
    <row r="1032">
      <c r="A1032" s="392" t="n"/>
      <c r="B1032" s="392" t="n"/>
      <c r="C1032" s="392" t="n"/>
      <c r="D1032" s="392" t="n"/>
      <c r="E1032" s="392" t="n"/>
      <c r="F1032" s="394" t="n"/>
      <c r="G1032" s="604">
        <f>IFERROR(INDEX(⑱中間品単価!$H$5:$H$443,MATCH($C1032,⑱中間品単価!$B$5:$B$443,0)),"")</f>
        <v/>
      </c>
      <c r="H1032" s="396">
        <f>IF(AND(ISNUMBER($F1032),ISNUMBER($G1032)),$F1032*$G1032,"")</f>
        <v/>
      </c>
      <c r="I1032" s="392" t="n"/>
    </row>
    <row r="1033">
      <c r="A1033" s="392" t="n"/>
      <c r="B1033" s="392" t="n"/>
      <c r="C1033" s="392" t="n"/>
      <c r="D1033" s="392" t="n"/>
      <c r="E1033" s="392" t="n"/>
      <c r="F1033" s="394" t="n"/>
      <c r="G1033" s="604">
        <f>IFERROR(INDEX(⑱中間品単価!$H$5:$H$443,MATCH($C1033,⑱中間品単価!$B$5:$B$443,0)),"")</f>
        <v/>
      </c>
      <c r="H1033" s="396">
        <f>IF(AND(ISNUMBER($F1033),ISNUMBER($G1033)),$F1033*$G1033,"")</f>
        <v/>
      </c>
      <c r="I1033" s="392" t="n"/>
    </row>
    <row r="1034">
      <c r="A1034" s="392" t="n"/>
      <c r="B1034" s="392" t="n"/>
      <c r="C1034" s="392" t="n"/>
      <c r="D1034" s="392" t="n"/>
      <c r="E1034" s="392" t="n"/>
      <c r="F1034" s="394" t="n"/>
      <c r="G1034" s="604">
        <f>IFERROR(INDEX(⑱中間品単価!$H$5:$H$443,MATCH($C1034,⑱中間品単価!$B$5:$B$443,0)),"")</f>
        <v/>
      </c>
      <c r="H1034" s="396">
        <f>IF(AND(ISNUMBER($F1034),ISNUMBER($G1034)),$F1034*$G1034,"")</f>
        <v/>
      </c>
      <c r="I1034" s="392" t="n"/>
    </row>
    <row r="1035">
      <c r="A1035" s="392" t="n"/>
      <c r="B1035" s="392" t="n"/>
      <c r="C1035" s="392" t="n"/>
      <c r="D1035" s="392" t="n"/>
      <c r="E1035" s="392" t="n"/>
      <c r="F1035" s="394" t="n"/>
      <c r="G1035" s="604">
        <f>IFERROR(INDEX(⑱中間品単価!$H$5:$H$443,MATCH($C1035,⑱中間品単価!$B$5:$B$443,0)),"")</f>
        <v/>
      </c>
      <c r="H1035" s="396">
        <f>IF(AND(ISNUMBER($F1035),ISNUMBER($G1035)),$F1035*$G1035,"")</f>
        <v/>
      </c>
      <c r="I1035" s="392" t="n"/>
    </row>
    <row r="1036">
      <c r="A1036" s="392" t="n"/>
      <c r="B1036" s="392" t="n"/>
      <c r="C1036" s="392" t="n"/>
      <c r="D1036" s="392" t="n"/>
      <c r="E1036" s="392" t="n"/>
      <c r="F1036" s="394" t="n"/>
      <c r="G1036" s="604">
        <f>IFERROR(INDEX(⑱中間品単価!$H$5:$H$443,MATCH($C1036,⑱中間品単価!$B$5:$B$443,0)),"")</f>
        <v/>
      </c>
      <c r="H1036" s="396">
        <f>IF(AND(ISNUMBER($F1036),ISNUMBER($G1036)),$F1036*$G1036,"")</f>
        <v/>
      </c>
      <c r="I1036" s="392" t="n"/>
    </row>
    <row r="1037">
      <c r="A1037" s="392" t="n"/>
      <c r="B1037" s="392" t="n"/>
      <c r="C1037" s="392" t="n"/>
      <c r="D1037" s="392" t="n"/>
      <c r="E1037" s="392" t="n"/>
      <c r="F1037" s="394" t="n"/>
      <c r="G1037" s="604">
        <f>IFERROR(INDEX(⑱中間品単価!$H$5:$H$443,MATCH($C1037,⑱中間品単価!$B$5:$B$443,0)),"")</f>
        <v/>
      </c>
      <c r="H1037" s="396">
        <f>IF(AND(ISNUMBER($F1037),ISNUMBER($G1037)),$F1037*$G1037,"")</f>
        <v/>
      </c>
      <c r="I1037" s="392" t="n"/>
    </row>
    <row r="1038">
      <c r="A1038" s="392" t="n"/>
      <c r="B1038" s="392" t="n"/>
      <c r="C1038" s="392" t="n"/>
      <c r="D1038" s="392" t="n"/>
      <c r="E1038" s="392" t="n"/>
      <c r="F1038" s="394" t="n"/>
      <c r="G1038" s="604">
        <f>IFERROR(INDEX(⑱中間品単価!$H$5:$H$443,MATCH($C1038,⑱中間品単価!$B$5:$B$443,0)),"")</f>
        <v/>
      </c>
      <c r="H1038" s="396">
        <f>IF(AND(ISNUMBER($F1038),ISNUMBER($G1038)),$F1038*$G1038,"")</f>
        <v/>
      </c>
      <c r="I1038" s="392" t="n"/>
    </row>
    <row r="1039">
      <c r="A1039" s="392" t="n"/>
      <c r="B1039" s="392" t="n"/>
      <c r="C1039" s="392" t="n"/>
      <c r="D1039" s="392" t="n"/>
      <c r="E1039" s="392" t="n"/>
      <c r="F1039" s="394" t="n"/>
      <c r="G1039" s="604">
        <f>IFERROR(INDEX(⑱中間品単価!$H$5:$H$443,MATCH($C1039,⑱中間品単価!$B$5:$B$443,0)),"")</f>
        <v/>
      </c>
      <c r="H1039" s="396">
        <f>IF(AND(ISNUMBER($F1039),ISNUMBER($G1039)),$F1039*$G1039,"")</f>
        <v/>
      </c>
      <c r="I1039" s="392" t="n"/>
    </row>
    <row r="1040">
      <c r="A1040" s="392" t="n"/>
      <c r="B1040" s="392" t="n"/>
      <c r="C1040" s="392" t="n"/>
      <c r="D1040" s="392" t="n"/>
      <c r="E1040" s="392" t="n"/>
      <c r="F1040" s="394" t="n"/>
      <c r="G1040" s="604">
        <f>IFERROR(INDEX(⑱中間品単価!$H$5:$H$443,MATCH($C1040,⑱中間品単価!$B$5:$B$443,0)),"")</f>
        <v/>
      </c>
      <c r="H1040" s="396">
        <f>IF(AND(ISNUMBER($F1040),ISNUMBER($G1040)),$F1040*$G1040,"")</f>
        <v/>
      </c>
      <c r="I1040" s="392" t="n"/>
    </row>
    <row r="1041">
      <c r="A1041" s="392" t="n"/>
      <c r="B1041" s="392" t="n"/>
      <c r="C1041" s="392" t="n"/>
      <c r="D1041" s="392" t="n"/>
      <c r="E1041" s="392" t="n"/>
      <c r="F1041" s="394" t="n"/>
      <c r="G1041" s="604">
        <f>IFERROR(INDEX(⑱中間品単価!$H$5:$H$443,MATCH($C1041,⑱中間品単価!$B$5:$B$443,0)),"")</f>
        <v/>
      </c>
      <c r="H1041" s="396">
        <f>IF(AND(ISNUMBER($F1041),ISNUMBER($G1041)),$F1041*$G1041,"")</f>
        <v/>
      </c>
      <c r="I1041" s="392" t="n"/>
    </row>
    <row r="1042">
      <c r="A1042" s="392" t="n"/>
      <c r="B1042" s="392" t="n"/>
      <c r="C1042" s="392" t="n"/>
      <c r="D1042" s="392" t="n"/>
      <c r="E1042" s="392" t="n"/>
      <c r="F1042" s="394" t="n"/>
      <c r="G1042" s="604">
        <f>IFERROR(INDEX(⑱中間品単価!$H$5:$H$443,MATCH($C1042,⑱中間品単価!$B$5:$B$443,0)),"")</f>
        <v/>
      </c>
      <c r="H1042" s="396">
        <f>IF(AND(ISNUMBER($F1042),ISNUMBER($G1042)),$F1042*$G1042,"")</f>
        <v/>
      </c>
      <c r="I1042" s="392" t="n"/>
    </row>
    <row r="1043">
      <c r="A1043" s="392" t="n"/>
      <c r="B1043" s="392" t="n"/>
      <c r="C1043" s="392" t="n"/>
      <c r="D1043" s="392" t="n"/>
      <c r="E1043" s="392" t="n"/>
      <c r="F1043" s="394" t="n"/>
      <c r="G1043" s="604">
        <f>IFERROR(INDEX(⑱中間品単価!$H$5:$H$443,MATCH($C1043,⑱中間品単価!$B$5:$B$443,0)),"")</f>
        <v/>
      </c>
      <c r="H1043" s="396">
        <f>IF(AND(ISNUMBER($F1043),ISNUMBER($G1043)),$F1043*$G1043,"")</f>
        <v/>
      </c>
      <c r="I1043" s="392" t="n"/>
    </row>
    <row r="1044">
      <c r="A1044" s="392" t="n"/>
      <c r="B1044" s="392" t="n"/>
      <c r="C1044" s="392" t="n"/>
      <c r="D1044" s="392" t="n"/>
      <c r="E1044" s="392" t="n"/>
      <c r="F1044" s="394" t="n"/>
      <c r="G1044" s="604">
        <f>IFERROR(INDEX(⑱中間品単価!$H$5:$H$443,MATCH($C1044,⑱中間品単価!$B$5:$B$443,0)),"")</f>
        <v/>
      </c>
      <c r="H1044" s="396">
        <f>IF(AND(ISNUMBER($F1044),ISNUMBER($G1044)),$F1044*$G1044,"")</f>
        <v/>
      </c>
      <c r="I1044" s="392" t="n"/>
    </row>
    <row r="1045">
      <c r="A1045" s="392" t="n"/>
      <c r="B1045" s="392" t="n"/>
      <c r="C1045" s="392" t="n"/>
      <c r="D1045" s="392" t="n"/>
      <c r="E1045" s="392" t="n"/>
      <c r="F1045" s="394" t="n"/>
      <c r="G1045" s="604">
        <f>IFERROR(INDEX(⑱中間品単価!$H$5:$H$443,MATCH($C1045,⑱中間品単価!$B$5:$B$443,0)),"")</f>
        <v/>
      </c>
      <c r="H1045" s="396">
        <f>IF(AND(ISNUMBER($F1045),ISNUMBER($G1045)),$F1045*$G1045,"")</f>
        <v/>
      </c>
      <c r="I1045" s="392" t="n"/>
    </row>
    <row r="1046">
      <c r="A1046" s="392" t="n"/>
      <c r="B1046" s="392" t="n"/>
      <c r="C1046" s="392" t="n"/>
      <c r="D1046" s="392" t="n"/>
      <c r="E1046" s="392" t="n"/>
      <c r="F1046" s="394" t="n"/>
      <c r="G1046" s="604">
        <f>IFERROR(INDEX(⑱中間品単価!$H$5:$H$443,MATCH($C1046,⑱中間品単価!$B$5:$B$443,0)),"")</f>
        <v/>
      </c>
      <c r="H1046" s="396">
        <f>IF(AND(ISNUMBER($F1046),ISNUMBER($G1046)),$F1046*$G1046,"")</f>
        <v/>
      </c>
      <c r="I1046" s="392" t="n"/>
    </row>
    <row r="1047">
      <c r="A1047" s="392" t="n"/>
      <c r="B1047" s="392" t="n"/>
      <c r="C1047" s="392" t="n"/>
      <c r="D1047" s="392" t="n"/>
      <c r="E1047" s="392" t="n"/>
      <c r="F1047" s="394" t="n"/>
      <c r="G1047" s="604">
        <f>IFERROR(INDEX(⑱中間品単価!$H$5:$H$443,MATCH($C1047,⑱中間品単価!$B$5:$B$443,0)),"")</f>
        <v/>
      </c>
      <c r="H1047" s="396">
        <f>IF(AND(ISNUMBER($F1047),ISNUMBER($G1047)),$F1047*$G1047,"")</f>
        <v/>
      </c>
      <c r="I1047" s="392" t="n"/>
    </row>
    <row r="1048">
      <c r="A1048" s="392" t="n"/>
      <c r="B1048" s="392" t="n"/>
      <c r="C1048" s="392" t="n"/>
      <c r="D1048" s="392" t="n"/>
      <c r="E1048" s="392" t="n"/>
      <c r="F1048" s="394" t="n"/>
      <c r="G1048" s="604">
        <f>IFERROR(INDEX(⑱中間品単価!$H$5:$H$443,MATCH($C1048,⑱中間品単価!$B$5:$B$443,0)),"")</f>
        <v/>
      </c>
      <c r="H1048" s="396">
        <f>IF(AND(ISNUMBER($F1048),ISNUMBER($G1048)),$F1048*$G1048,"")</f>
        <v/>
      </c>
      <c r="I1048" s="392" t="n"/>
    </row>
    <row r="1049">
      <c r="A1049" s="392" t="n"/>
      <c r="B1049" s="392" t="n"/>
      <c r="C1049" s="392" t="n"/>
      <c r="D1049" s="392" t="n"/>
      <c r="E1049" s="392" t="n"/>
      <c r="F1049" s="394" t="n"/>
      <c r="G1049" s="604">
        <f>IFERROR(INDEX(⑱中間品単価!$H$5:$H$443,MATCH($C1049,⑱中間品単価!$B$5:$B$443,0)),"")</f>
        <v/>
      </c>
      <c r="H1049" s="396">
        <f>IF(AND(ISNUMBER($F1049),ISNUMBER($G1049)),$F1049*$G1049,"")</f>
        <v/>
      </c>
      <c r="I1049" s="392" t="n"/>
    </row>
    <row r="1050">
      <c r="A1050" s="392" t="n"/>
      <c r="B1050" s="392" t="n"/>
      <c r="C1050" s="392" t="n"/>
      <c r="D1050" s="392" t="n"/>
      <c r="E1050" s="392" t="n"/>
      <c r="F1050" s="394" t="n"/>
      <c r="G1050" s="604">
        <f>IFERROR(INDEX(⑱中間品単価!$H$5:$H$443,MATCH($C1050,⑱中間品単価!$B$5:$B$443,0)),"")</f>
        <v/>
      </c>
      <c r="H1050" s="396">
        <f>IF(AND(ISNUMBER($F1050),ISNUMBER($G1050)),$F1050*$G1050,"")</f>
        <v/>
      </c>
      <c r="I1050" s="392" t="n"/>
    </row>
    <row r="1051">
      <c r="A1051" s="392" t="n"/>
      <c r="B1051" s="392" t="n"/>
      <c r="C1051" s="392" t="n"/>
      <c r="D1051" s="392" t="n"/>
      <c r="E1051" s="392" t="n"/>
      <c r="F1051" s="394" t="n"/>
      <c r="G1051" s="604">
        <f>IFERROR(INDEX(⑱中間品単価!$H$5:$H$443,MATCH($C1051,⑱中間品単価!$B$5:$B$443,0)),"")</f>
        <v/>
      </c>
      <c r="H1051" s="396">
        <f>IF(AND(ISNUMBER($F1051),ISNUMBER($G1051)),$F1051*$G1051,"")</f>
        <v/>
      </c>
      <c r="I1051" s="392" t="n"/>
    </row>
    <row r="1052">
      <c r="A1052" s="392" t="n"/>
      <c r="B1052" s="392" t="n"/>
      <c r="C1052" s="392" t="n"/>
      <c r="D1052" s="392" t="n"/>
      <c r="E1052" s="392" t="n"/>
      <c r="F1052" s="394" t="n"/>
      <c r="G1052" s="604">
        <f>IFERROR(INDEX(⑱中間品単価!$H$5:$H$443,MATCH($C1052,⑱中間品単価!$B$5:$B$443,0)),"")</f>
        <v/>
      </c>
      <c r="H1052" s="396">
        <f>IF(AND(ISNUMBER($F1052),ISNUMBER($G1052)),$F1052*$G1052,"")</f>
        <v/>
      </c>
      <c r="I1052" s="392" t="n"/>
    </row>
    <row r="1053">
      <c r="A1053" s="392" t="n"/>
      <c r="B1053" s="392" t="n"/>
      <c r="C1053" s="392" t="n"/>
      <c r="D1053" s="392" t="n"/>
      <c r="E1053" s="392" t="n"/>
      <c r="F1053" s="394" t="n"/>
      <c r="G1053" s="604">
        <f>IFERROR(INDEX(⑱中間品単価!$H$5:$H$443,MATCH($C1053,⑱中間品単価!$B$5:$B$443,0)),"")</f>
        <v/>
      </c>
      <c r="H1053" s="396">
        <f>IF(AND(ISNUMBER($F1053),ISNUMBER($G1053)),$F1053*$G1053,"")</f>
        <v/>
      </c>
      <c r="I1053" s="392" t="n"/>
    </row>
    <row r="1054">
      <c r="A1054" s="392" t="n"/>
      <c r="B1054" s="392" t="n"/>
      <c r="C1054" s="392" t="n"/>
      <c r="D1054" s="392" t="n"/>
      <c r="E1054" s="392" t="n"/>
      <c r="F1054" s="394" t="n"/>
      <c r="G1054" s="604">
        <f>IFERROR(INDEX(⑱中間品単価!$H$5:$H$443,MATCH($C1054,⑱中間品単価!$B$5:$B$443,0)),"")</f>
        <v/>
      </c>
      <c r="H1054" s="396">
        <f>IF(AND(ISNUMBER($F1054),ISNUMBER($G1054)),$F1054*$G1054,"")</f>
        <v/>
      </c>
      <c r="I1054" s="392" t="n"/>
    </row>
    <row r="1055">
      <c r="A1055" s="392" t="n"/>
      <c r="B1055" s="392" t="n"/>
      <c r="C1055" s="392" t="n"/>
      <c r="D1055" s="392" t="n"/>
      <c r="E1055" s="392" t="n"/>
      <c r="F1055" s="394" t="n"/>
      <c r="G1055" s="604">
        <f>IFERROR(INDEX(⑱中間品単価!$H$5:$H$443,MATCH($C1055,⑱中間品単価!$B$5:$B$443,0)),"")</f>
        <v/>
      </c>
      <c r="H1055" s="396">
        <f>IF(AND(ISNUMBER($F1055),ISNUMBER($G1055)),$F1055*$G1055,"")</f>
        <v/>
      </c>
      <c r="I1055" s="392" t="n"/>
    </row>
    <row r="1056">
      <c r="A1056" s="392" t="n"/>
      <c r="B1056" s="392" t="n"/>
      <c r="C1056" s="392" t="n"/>
      <c r="D1056" s="392" t="n"/>
      <c r="E1056" s="392" t="n"/>
      <c r="F1056" s="394" t="n"/>
      <c r="G1056" s="604">
        <f>IFERROR(INDEX(⑱中間品単価!$H$5:$H$443,MATCH($C1056,⑱中間品単価!$B$5:$B$443,0)),"")</f>
        <v/>
      </c>
      <c r="H1056" s="396">
        <f>IF(AND(ISNUMBER($F1056),ISNUMBER($G1056)),$F1056*$G1056,"")</f>
        <v/>
      </c>
      <c r="I1056" s="392" t="n"/>
    </row>
    <row r="1057">
      <c r="A1057" s="392" t="n"/>
      <c r="B1057" s="392" t="n"/>
      <c r="C1057" s="392" t="n"/>
      <c r="D1057" s="392" t="n"/>
      <c r="E1057" s="392" t="n"/>
      <c r="F1057" s="394" t="n"/>
      <c r="G1057" s="604">
        <f>IFERROR(INDEX(⑱中間品単価!$H$5:$H$443,MATCH($C1057,⑱中間品単価!$B$5:$B$443,0)),"")</f>
        <v/>
      </c>
      <c r="H1057" s="396">
        <f>IF(AND(ISNUMBER($F1057),ISNUMBER($G1057)),$F1057*$G1057,"")</f>
        <v/>
      </c>
      <c r="I1057" s="392" t="n"/>
    </row>
    <row r="1058">
      <c r="A1058" s="392" t="n"/>
      <c r="B1058" s="392" t="n"/>
      <c r="C1058" s="392" t="n"/>
      <c r="D1058" s="392" t="n"/>
      <c r="E1058" s="392" t="n"/>
      <c r="F1058" s="394" t="n"/>
      <c r="G1058" s="604">
        <f>IFERROR(INDEX(⑱中間品単価!$H$5:$H$443,MATCH($C1058,⑱中間品単価!$B$5:$B$443,0)),"")</f>
        <v/>
      </c>
      <c r="H1058" s="396">
        <f>IF(AND(ISNUMBER($F1058),ISNUMBER($G1058)),$F1058*$G1058,"")</f>
        <v/>
      </c>
      <c r="I1058" s="392" t="n"/>
    </row>
    <row r="1059">
      <c r="A1059" s="392" t="n"/>
      <c r="B1059" s="392" t="n"/>
      <c r="C1059" s="392" t="n"/>
      <c r="D1059" s="392" t="n"/>
      <c r="E1059" s="392" t="n"/>
      <c r="F1059" s="394" t="n"/>
      <c r="G1059" s="604">
        <f>IFERROR(INDEX(⑱中間品単価!$H$5:$H$443,MATCH($C1059,⑱中間品単価!$B$5:$B$443,0)),"")</f>
        <v/>
      </c>
      <c r="H1059" s="396">
        <f>IF(AND(ISNUMBER($F1059),ISNUMBER($G1059)),$F1059*$G1059,"")</f>
        <v/>
      </c>
      <c r="I1059" s="392" t="n"/>
    </row>
    <row r="1060">
      <c r="A1060" s="392" t="n"/>
      <c r="B1060" s="392" t="n"/>
      <c r="C1060" s="392" t="n"/>
      <c r="D1060" s="392" t="n"/>
      <c r="E1060" s="392" t="n"/>
      <c r="F1060" s="394" t="n"/>
      <c r="G1060" s="604">
        <f>IFERROR(INDEX(⑱中間品単価!$H$5:$H$443,MATCH($C1060,⑱中間品単価!$B$5:$B$443,0)),"")</f>
        <v/>
      </c>
      <c r="H1060" s="396">
        <f>IF(AND(ISNUMBER($F1060),ISNUMBER($G1060)),$F1060*$G1060,"")</f>
        <v/>
      </c>
      <c r="I1060" s="392" t="n"/>
    </row>
    <row r="1061">
      <c r="A1061" s="392" t="n"/>
      <c r="B1061" s="392" t="n"/>
      <c r="C1061" s="392" t="n"/>
      <c r="D1061" s="392" t="n"/>
      <c r="E1061" s="392" t="n"/>
      <c r="F1061" s="394" t="n"/>
      <c r="G1061" s="604">
        <f>IFERROR(INDEX(⑱中間品単価!$H$5:$H$443,MATCH($C1061,⑱中間品単価!$B$5:$B$443,0)),"")</f>
        <v/>
      </c>
      <c r="H1061" s="396">
        <f>IF(AND(ISNUMBER($F1061),ISNUMBER($G1061)),$F1061*$G1061,"")</f>
        <v/>
      </c>
      <c r="I1061" s="392" t="n"/>
    </row>
    <row r="1062">
      <c r="A1062" s="392" t="n"/>
      <c r="B1062" s="392" t="n"/>
      <c r="C1062" s="392" t="n"/>
      <c r="D1062" s="392" t="n"/>
      <c r="E1062" s="392" t="n"/>
      <c r="F1062" s="394" t="n"/>
      <c r="G1062" s="604">
        <f>IFERROR(INDEX(⑱中間品単価!$H$5:$H$443,MATCH($C1062,⑱中間品単価!$B$5:$B$443,0)),"")</f>
        <v/>
      </c>
      <c r="H1062" s="396">
        <f>IF(AND(ISNUMBER($F1062),ISNUMBER($G1062)),$F1062*$G1062,"")</f>
        <v/>
      </c>
      <c r="I1062" s="392" t="n"/>
    </row>
    <row r="1063">
      <c r="A1063" s="392" t="n"/>
      <c r="B1063" s="392" t="n"/>
      <c r="C1063" s="392" t="n"/>
      <c r="D1063" s="392" t="n"/>
      <c r="E1063" s="392" t="n"/>
      <c r="F1063" s="394" t="n"/>
      <c r="G1063" s="604">
        <f>IFERROR(INDEX(⑱中間品単価!$H$5:$H$443,MATCH($C1063,⑱中間品単価!$B$5:$B$443,0)),"")</f>
        <v/>
      </c>
      <c r="H1063" s="396">
        <f>IF(AND(ISNUMBER($F1063),ISNUMBER($G1063)),$F1063*$G1063,"")</f>
        <v/>
      </c>
      <c r="I1063" s="392" t="n"/>
    </row>
    <row r="1064">
      <c r="A1064" s="392" t="n"/>
      <c r="B1064" s="392" t="n"/>
      <c r="C1064" s="392" t="n"/>
      <c r="D1064" s="392" t="n"/>
      <c r="E1064" s="392" t="n"/>
      <c r="F1064" s="394" t="n"/>
      <c r="G1064" s="604">
        <f>IFERROR(INDEX(⑱中間品単価!$H$5:$H$443,MATCH($C1064,⑱中間品単価!$B$5:$B$443,0)),"")</f>
        <v/>
      </c>
      <c r="H1064" s="396">
        <f>IF(AND(ISNUMBER($F1064),ISNUMBER($G1064)),$F1064*$G1064,"")</f>
        <v/>
      </c>
      <c r="I1064" s="392" t="n"/>
    </row>
    <row r="1065">
      <c r="A1065" s="392" t="n"/>
      <c r="B1065" s="392" t="n"/>
      <c r="C1065" s="392" t="n"/>
      <c r="D1065" s="392" t="n"/>
      <c r="E1065" s="392" t="n"/>
      <c r="F1065" s="394" t="n"/>
      <c r="G1065" s="604">
        <f>IFERROR(INDEX(⑱中間品単価!$H$5:$H$443,MATCH($C1065,⑱中間品単価!$B$5:$B$443,0)),"")</f>
        <v/>
      </c>
      <c r="H1065" s="396">
        <f>IF(AND(ISNUMBER($F1065),ISNUMBER($G1065)),$F1065*$G1065,"")</f>
        <v/>
      </c>
      <c r="I1065" s="392" t="n"/>
    </row>
    <row r="1066">
      <c r="A1066" s="392" t="n"/>
      <c r="B1066" s="392" t="n"/>
      <c r="C1066" s="392" t="n"/>
      <c r="D1066" s="392" t="n"/>
      <c r="E1066" s="392" t="n"/>
      <c r="F1066" s="394" t="n"/>
      <c r="G1066" s="604">
        <f>IFERROR(INDEX(⑱中間品単価!$H$5:$H$443,MATCH($C1066,⑱中間品単価!$B$5:$B$443,0)),"")</f>
        <v/>
      </c>
      <c r="H1066" s="396">
        <f>IF(AND(ISNUMBER($F1066),ISNUMBER($G1066)),$F1066*$G1066,"")</f>
        <v/>
      </c>
      <c r="I1066" s="392" t="n"/>
    </row>
    <row r="1067">
      <c r="A1067" s="392" t="n"/>
      <c r="B1067" s="392" t="n"/>
      <c r="C1067" s="392" t="n"/>
      <c r="D1067" s="392" t="n"/>
      <c r="E1067" s="392" t="n"/>
      <c r="F1067" s="394" t="n"/>
      <c r="G1067" s="604">
        <f>IFERROR(INDEX(⑱中間品単価!$H$5:$H$443,MATCH($C1067,⑱中間品単価!$B$5:$B$443,0)),"")</f>
        <v/>
      </c>
      <c r="H1067" s="396">
        <f>IF(AND(ISNUMBER($F1067),ISNUMBER($G1067)),$F1067*$G1067,"")</f>
        <v/>
      </c>
      <c r="I1067" s="392" t="n"/>
    </row>
    <row r="1068">
      <c r="A1068" s="392" t="n"/>
      <c r="B1068" s="392" t="n"/>
      <c r="C1068" s="392" t="n"/>
      <c r="D1068" s="392" t="n"/>
      <c r="E1068" s="392" t="n"/>
      <c r="F1068" s="394" t="n"/>
      <c r="G1068" s="604">
        <f>IFERROR(INDEX(⑱中間品単価!$H$5:$H$443,MATCH($C1068,⑱中間品単価!$B$5:$B$443,0)),"")</f>
        <v/>
      </c>
      <c r="H1068" s="396">
        <f>IF(AND(ISNUMBER($F1068),ISNUMBER($G1068)),$F1068*$G1068,"")</f>
        <v/>
      </c>
      <c r="I1068" s="392" t="n"/>
    </row>
    <row r="1069">
      <c r="A1069" s="392" t="n"/>
      <c r="B1069" s="392" t="n"/>
      <c r="C1069" s="392" t="n"/>
      <c r="D1069" s="392" t="n"/>
      <c r="E1069" s="392" t="n"/>
      <c r="F1069" s="394" t="n"/>
      <c r="G1069" s="604">
        <f>IFERROR(INDEX(⑱中間品単価!$H$5:$H$443,MATCH($C1069,⑱中間品単価!$B$5:$B$443,0)),"")</f>
        <v/>
      </c>
      <c r="H1069" s="396">
        <f>IF(AND(ISNUMBER($F1069),ISNUMBER($G1069)),$F1069*$G1069,"")</f>
        <v/>
      </c>
      <c r="I1069" s="392" t="n"/>
    </row>
    <row r="1070">
      <c r="A1070" s="392" t="n"/>
      <c r="B1070" s="392" t="n"/>
      <c r="C1070" s="392" t="n"/>
      <c r="D1070" s="392" t="n"/>
      <c r="E1070" s="392" t="n"/>
      <c r="F1070" s="394" t="n"/>
      <c r="G1070" s="604">
        <f>IFERROR(INDEX(⑱中間品単価!$H$5:$H$443,MATCH($C1070,⑱中間品単価!$B$5:$B$443,0)),"")</f>
        <v/>
      </c>
      <c r="H1070" s="396">
        <f>IF(AND(ISNUMBER($F1070),ISNUMBER($G1070)),$F1070*$G1070,"")</f>
        <v/>
      </c>
      <c r="I1070" s="392" t="n"/>
    </row>
    <row r="1071">
      <c r="A1071" s="392" t="n"/>
      <c r="B1071" s="392" t="n"/>
      <c r="C1071" s="392" t="n"/>
      <c r="D1071" s="392" t="n"/>
      <c r="E1071" s="392" t="n"/>
      <c r="F1071" s="394" t="n"/>
      <c r="G1071" s="604">
        <f>IFERROR(INDEX(⑱中間品単価!$H$5:$H$443,MATCH($C1071,⑱中間品単価!$B$5:$B$443,0)),"")</f>
        <v/>
      </c>
      <c r="H1071" s="396">
        <f>IF(AND(ISNUMBER($F1071),ISNUMBER($G1071)),$F1071*$G1071,"")</f>
        <v/>
      </c>
      <c r="I1071" s="392" t="n"/>
    </row>
    <row r="1072">
      <c r="A1072" s="392" t="n"/>
      <c r="B1072" s="392" t="n"/>
      <c r="C1072" s="392" t="n"/>
      <c r="D1072" s="392" t="n"/>
      <c r="E1072" s="392" t="n"/>
      <c r="F1072" s="394" t="n"/>
      <c r="G1072" s="604">
        <f>IFERROR(INDEX(⑱中間品単価!$H$5:$H$443,MATCH($C1072,⑱中間品単価!$B$5:$B$443,0)),"")</f>
        <v/>
      </c>
      <c r="H1072" s="396">
        <f>IF(AND(ISNUMBER($F1072),ISNUMBER($G1072)),$F1072*$G1072,"")</f>
        <v/>
      </c>
      <c r="I1072" s="392" t="n"/>
    </row>
    <row r="1073">
      <c r="A1073" s="392" t="n"/>
      <c r="B1073" s="392" t="n"/>
      <c r="C1073" s="392" t="n"/>
      <c r="D1073" s="392" t="n"/>
      <c r="E1073" s="392" t="n"/>
      <c r="F1073" s="394" t="n"/>
      <c r="G1073" s="604">
        <f>IFERROR(INDEX(⑱中間品単価!$H$5:$H$443,MATCH($C1073,⑱中間品単価!$B$5:$B$443,0)),"")</f>
        <v/>
      </c>
      <c r="H1073" s="396">
        <f>IF(AND(ISNUMBER($F1073),ISNUMBER($G1073)),$F1073*$G1073,"")</f>
        <v/>
      </c>
      <c r="I1073" s="392" t="n"/>
    </row>
    <row r="1074">
      <c r="A1074" s="392" t="n"/>
      <c r="B1074" s="392" t="n"/>
      <c r="C1074" s="392" t="n"/>
      <c r="D1074" s="392" t="n"/>
      <c r="E1074" s="392" t="n"/>
      <c r="F1074" s="394" t="n"/>
      <c r="G1074" s="604">
        <f>IFERROR(INDEX(⑱中間品単価!$H$5:$H$443,MATCH($C1074,⑱中間品単価!$B$5:$B$443,0)),"")</f>
        <v/>
      </c>
      <c r="H1074" s="396">
        <f>IF(AND(ISNUMBER($F1074),ISNUMBER($G1074)),$F1074*$G1074,"")</f>
        <v/>
      </c>
      <c r="I1074" s="392" t="n"/>
    </row>
    <row r="1075">
      <c r="A1075" s="392" t="n"/>
      <c r="B1075" s="392" t="n"/>
      <c r="C1075" s="392" t="n"/>
      <c r="D1075" s="392" t="n"/>
      <c r="E1075" s="392" t="n"/>
      <c r="F1075" s="394" t="n"/>
      <c r="G1075" s="604">
        <f>IFERROR(INDEX(⑱中間品単価!$H$5:$H$443,MATCH($C1075,⑱中間品単価!$B$5:$B$443,0)),"")</f>
        <v/>
      </c>
      <c r="H1075" s="396">
        <f>IF(AND(ISNUMBER($F1075),ISNUMBER($G1075)),$F1075*$G1075,"")</f>
        <v/>
      </c>
      <c r="I1075" s="392" t="n"/>
    </row>
    <row r="1076">
      <c r="A1076" s="392" t="n"/>
      <c r="B1076" s="392" t="n"/>
      <c r="C1076" s="392" t="n"/>
      <c r="D1076" s="392" t="n"/>
      <c r="E1076" s="392" t="n"/>
      <c r="F1076" s="394" t="n"/>
      <c r="G1076" s="604">
        <f>IFERROR(INDEX(⑱中間品単価!$H$5:$H$443,MATCH($C1076,⑱中間品単価!$B$5:$B$443,0)),"")</f>
        <v/>
      </c>
      <c r="H1076" s="396">
        <f>IF(AND(ISNUMBER($F1076),ISNUMBER($G1076)),$F1076*$G1076,"")</f>
        <v/>
      </c>
      <c r="I1076" s="392" t="n"/>
    </row>
    <row r="1077">
      <c r="A1077" s="392" t="n"/>
      <c r="B1077" s="392" t="n"/>
      <c r="C1077" s="392" t="n"/>
      <c r="D1077" s="392" t="n"/>
      <c r="E1077" s="392" t="n"/>
      <c r="F1077" s="394" t="n"/>
      <c r="G1077" s="604">
        <f>IFERROR(INDEX(⑱中間品単価!$H$5:$H$443,MATCH($C1077,⑱中間品単価!$B$5:$B$443,0)),"")</f>
        <v/>
      </c>
      <c r="H1077" s="396">
        <f>IF(AND(ISNUMBER($F1077),ISNUMBER($G1077)),$F1077*$G1077,"")</f>
        <v/>
      </c>
      <c r="I1077" s="392" t="n"/>
    </row>
    <row r="1078">
      <c r="A1078" s="392" t="n"/>
      <c r="B1078" s="392" t="n"/>
      <c r="C1078" s="392" t="n"/>
      <c r="D1078" s="392" t="n"/>
      <c r="E1078" s="392" t="n"/>
      <c r="F1078" s="394" t="n"/>
      <c r="G1078" s="604">
        <f>IFERROR(INDEX(⑱中間品単価!$H$5:$H$443,MATCH($C1078,⑱中間品単価!$B$5:$B$443,0)),"")</f>
        <v/>
      </c>
      <c r="H1078" s="396">
        <f>IF(AND(ISNUMBER($F1078),ISNUMBER($G1078)),$F1078*$G1078,"")</f>
        <v/>
      </c>
      <c r="I1078" s="392" t="n"/>
    </row>
    <row r="1079">
      <c r="A1079" s="392" t="n"/>
      <c r="B1079" s="392" t="n"/>
      <c r="C1079" s="392" t="n"/>
      <c r="D1079" s="392" t="n"/>
      <c r="E1079" s="392" t="n"/>
      <c r="F1079" s="394" t="n"/>
      <c r="G1079" s="604">
        <f>IFERROR(INDEX(⑱中間品単価!$H$5:$H$443,MATCH($C1079,⑱中間品単価!$B$5:$B$443,0)),"")</f>
        <v/>
      </c>
      <c r="H1079" s="396">
        <f>IF(AND(ISNUMBER($F1079),ISNUMBER($G1079)),$F1079*$G1079,"")</f>
        <v/>
      </c>
      <c r="I1079" s="392" t="n"/>
    </row>
    <row r="1080">
      <c r="A1080" s="392" t="n"/>
      <c r="B1080" s="392" t="n"/>
      <c r="C1080" s="392" t="n"/>
      <c r="D1080" s="392" t="n"/>
      <c r="E1080" s="392" t="n"/>
      <c r="F1080" s="394" t="n"/>
      <c r="G1080" s="604">
        <f>IFERROR(INDEX(⑱中間品単価!$H$5:$H$443,MATCH($C1080,⑱中間品単価!$B$5:$B$443,0)),"")</f>
        <v/>
      </c>
      <c r="H1080" s="396">
        <f>IF(AND(ISNUMBER($F1080),ISNUMBER($G1080)),$F1080*$G1080,"")</f>
        <v/>
      </c>
      <c r="I1080" s="392" t="n"/>
    </row>
    <row r="1081">
      <c r="A1081" s="392" t="n"/>
      <c r="B1081" s="392" t="n"/>
      <c r="C1081" s="392" t="n"/>
      <c r="D1081" s="392" t="n"/>
      <c r="E1081" s="392" t="n"/>
      <c r="F1081" s="394" t="n"/>
      <c r="G1081" s="604">
        <f>IFERROR(INDEX(⑱中間品単価!$H$5:$H$443,MATCH($C1081,⑱中間品単価!$B$5:$B$443,0)),"")</f>
        <v/>
      </c>
      <c r="H1081" s="396">
        <f>IF(AND(ISNUMBER($F1081),ISNUMBER($G1081)),$F1081*$G1081,"")</f>
        <v/>
      </c>
      <c r="I1081" s="392" t="n"/>
    </row>
    <row r="1082">
      <c r="A1082" s="392" t="n"/>
      <c r="B1082" s="392" t="n"/>
      <c r="C1082" s="392" t="n"/>
      <c r="D1082" s="392" t="n"/>
      <c r="E1082" s="392" t="n"/>
      <c r="F1082" s="394" t="n"/>
      <c r="G1082" s="604">
        <f>IFERROR(INDEX(⑱中間品単価!$H$5:$H$443,MATCH($C1082,⑱中間品単価!$B$5:$B$443,0)),"")</f>
        <v/>
      </c>
      <c r="H1082" s="396">
        <f>IF(AND(ISNUMBER($F1082),ISNUMBER($G1082)),$F1082*$G1082,"")</f>
        <v/>
      </c>
      <c r="I1082" s="392" t="n"/>
    </row>
    <row r="1083">
      <c r="A1083" s="392" t="n"/>
      <c r="B1083" s="392" t="n"/>
      <c r="C1083" s="392" t="n"/>
      <c r="D1083" s="392" t="n"/>
      <c r="E1083" s="392" t="n"/>
      <c r="F1083" s="394" t="n"/>
      <c r="G1083" s="604">
        <f>IFERROR(INDEX(⑱中間品単価!$H$5:$H$443,MATCH($C1083,⑱中間品単価!$B$5:$B$443,0)),"")</f>
        <v/>
      </c>
      <c r="H1083" s="396">
        <f>IF(AND(ISNUMBER($F1083),ISNUMBER($G1083)),$F1083*$G1083,"")</f>
        <v/>
      </c>
      <c r="I1083" s="392" t="n"/>
    </row>
    <row r="1084">
      <c r="A1084" s="392" t="n"/>
      <c r="B1084" s="392" t="n"/>
      <c r="C1084" s="392" t="n"/>
      <c r="D1084" s="392" t="n"/>
      <c r="E1084" s="392" t="n"/>
      <c r="F1084" s="394" t="n"/>
      <c r="G1084" s="604">
        <f>IFERROR(INDEX(⑱中間品単価!$H$5:$H$443,MATCH($C1084,⑱中間品単価!$B$5:$B$443,0)),"")</f>
        <v/>
      </c>
      <c r="H1084" s="396">
        <f>IF(AND(ISNUMBER($F1084),ISNUMBER($G1084)),$F1084*$G1084,"")</f>
        <v/>
      </c>
      <c r="I1084" s="392" t="n"/>
    </row>
    <row r="1085">
      <c r="A1085" s="392" t="n"/>
      <c r="B1085" s="392" t="n"/>
      <c r="C1085" s="392" t="n"/>
      <c r="D1085" s="392" t="n"/>
      <c r="E1085" s="392" t="n"/>
      <c r="F1085" s="394" t="n"/>
      <c r="G1085" s="604">
        <f>IFERROR(INDEX(⑱中間品単価!$H$5:$H$443,MATCH($C1085,⑱中間品単価!$B$5:$B$443,0)),"")</f>
        <v/>
      </c>
      <c r="H1085" s="396">
        <f>IF(AND(ISNUMBER($F1085),ISNUMBER($G1085)),$F1085*$G1085,"")</f>
        <v/>
      </c>
      <c r="I1085" s="392" t="n"/>
    </row>
    <row r="1086">
      <c r="A1086" s="392" t="n"/>
      <c r="B1086" s="392" t="n"/>
      <c r="C1086" s="392" t="n"/>
      <c r="D1086" s="392" t="n"/>
      <c r="E1086" s="392" t="n"/>
      <c r="F1086" s="394" t="n"/>
      <c r="G1086" s="604">
        <f>IFERROR(INDEX(⑱中間品単価!$H$5:$H$443,MATCH($C1086,⑱中間品単価!$B$5:$B$443,0)),"")</f>
        <v/>
      </c>
      <c r="H1086" s="396">
        <f>IF(AND(ISNUMBER($F1086),ISNUMBER($G1086)),$F1086*$G1086,"")</f>
        <v/>
      </c>
      <c r="I1086" s="392" t="n"/>
    </row>
    <row r="1087">
      <c r="A1087" s="392" t="n"/>
      <c r="B1087" s="392" t="n"/>
      <c r="C1087" s="392" t="n"/>
      <c r="D1087" s="392" t="n"/>
      <c r="E1087" s="392" t="n"/>
      <c r="F1087" s="394" t="n"/>
      <c r="G1087" s="604">
        <f>IFERROR(INDEX(⑱中間品単価!$H$5:$H$443,MATCH($C1087,⑱中間品単価!$B$5:$B$443,0)),"")</f>
        <v/>
      </c>
      <c r="H1087" s="396">
        <f>IF(AND(ISNUMBER($F1087),ISNUMBER($G1087)),$F1087*$G1087,"")</f>
        <v/>
      </c>
      <c r="I1087" s="392" t="n"/>
    </row>
    <row r="1088">
      <c r="A1088" s="392" t="n"/>
      <c r="B1088" s="392" t="n"/>
      <c r="C1088" s="392" t="n"/>
      <c r="D1088" s="392" t="n"/>
      <c r="E1088" s="392" t="n"/>
      <c r="F1088" s="394" t="n"/>
      <c r="G1088" s="604">
        <f>IFERROR(INDEX(⑱中間品単価!$H$5:$H$443,MATCH($C1088,⑱中間品単価!$B$5:$B$443,0)),"")</f>
        <v/>
      </c>
      <c r="H1088" s="396">
        <f>IF(AND(ISNUMBER($F1088),ISNUMBER($G1088)),$F1088*$G1088,"")</f>
        <v/>
      </c>
      <c r="I1088" s="392" t="n"/>
    </row>
    <row r="1089">
      <c r="A1089" s="392" t="n"/>
      <c r="B1089" s="392" t="n"/>
      <c r="C1089" s="392" t="n"/>
      <c r="D1089" s="392" t="n"/>
      <c r="E1089" s="392" t="n"/>
      <c r="F1089" s="394" t="n"/>
      <c r="G1089" s="604">
        <f>IFERROR(INDEX(⑱中間品単価!$H$5:$H$443,MATCH($C1089,⑱中間品単価!$B$5:$B$443,0)),"")</f>
        <v/>
      </c>
      <c r="H1089" s="396">
        <f>IF(AND(ISNUMBER($F1089),ISNUMBER($G1089)),$F1089*$G1089,"")</f>
        <v/>
      </c>
      <c r="I1089" s="392" t="n"/>
    </row>
    <row r="1090">
      <c r="A1090" s="392" t="n"/>
      <c r="B1090" s="392" t="n"/>
      <c r="C1090" s="392" t="n"/>
      <c r="D1090" s="392" t="n"/>
      <c r="E1090" s="392" t="n"/>
      <c r="F1090" s="394" t="n"/>
      <c r="G1090" s="604">
        <f>IFERROR(INDEX(⑱中間品単価!$H$5:$H$443,MATCH($C1090,⑱中間品単価!$B$5:$B$443,0)),"")</f>
        <v/>
      </c>
      <c r="H1090" s="396">
        <f>IF(AND(ISNUMBER($F1090),ISNUMBER($G1090)),$F1090*$G1090,"")</f>
        <v/>
      </c>
      <c r="I1090" s="392" t="n"/>
    </row>
    <row r="1091">
      <c r="A1091" s="392" t="n"/>
      <c r="B1091" s="392" t="n"/>
      <c r="C1091" s="392" t="n"/>
      <c r="D1091" s="392" t="n"/>
      <c r="E1091" s="392" t="n"/>
      <c r="F1091" s="394" t="n"/>
      <c r="G1091" s="604">
        <f>IFERROR(INDEX(⑱中間品単価!$H$5:$H$443,MATCH($C1091,⑱中間品単価!$B$5:$B$443,0)),"")</f>
        <v/>
      </c>
      <c r="H1091" s="396">
        <f>IF(AND(ISNUMBER($F1091),ISNUMBER($G1091)),$F1091*$G1091,"")</f>
        <v/>
      </c>
      <c r="I1091" s="392" t="n"/>
    </row>
    <row r="1092">
      <c r="A1092" s="392" t="n"/>
      <c r="B1092" s="392" t="n"/>
      <c r="C1092" s="392" t="n"/>
      <c r="D1092" s="392" t="n"/>
      <c r="E1092" s="392" t="n"/>
      <c r="F1092" s="394" t="n"/>
      <c r="G1092" s="604">
        <f>IFERROR(INDEX(⑱中間品単価!$H$5:$H$443,MATCH($C1092,⑱中間品単価!$B$5:$B$443,0)),"")</f>
        <v/>
      </c>
      <c r="H1092" s="396">
        <f>IF(AND(ISNUMBER($F1092),ISNUMBER($G1092)),$F1092*$G1092,"")</f>
        <v/>
      </c>
      <c r="I1092" s="392" t="n"/>
    </row>
    <row r="1093">
      <c r="A1093" s="392" t="n"/>
      <c r="B1093" s="392" t="n"/>
      <c r="C1093" s="392" t="n"/>
      <c r="D1093" s="392" t="n"/>
      <c r="E1093" s="392" t="n"/>
      <c r="F1093" s="394" t="n"/>
      <c r="G1093" s="604">
        <f>IFERROR(INDEX(⑱中間品単価!$H$5:$H$443,MATCH($C1093,⑱中間品単価!$B$5:$B$443,0)),"")</f>
        <v/>
      </c>
      <c r="H1093" s="396">
        <f>IF(AND(ISNUMBER($F1093),ISNUMBER($G1093)),$F1093*$G1093,"")</f>
        <v/>
      </c>
      <c r="I1093" s="392" t="n"/>
    </row>
    <row r="1094">
      <c r="A1094" s="392" t="n"/>
      <c r="B1094" s="392" t="n"/>
      <c r="C1094" s="392" t="n"/>
      <c r="D1094" s="392" t="n"/>
      <c r="E1094" s="392" t="n"/>
      <c r="F1094" s="394" t="n"/>
      <c r="G1094" s="604">
        <f>IFERROR(INDEX(⑱中間品単価!$H$5:$H$443,MATCH($C1094,⑱中間品単価!$B$5:$B$443,0)),"")</f>
        <v/>
      </c>
      <c r="H1094" s="396">
        <f>IF(AND(ISNUMBER($F1094),ISNUMBER($G1094)),$F1094*$G1094,"")</f>
        <v/>
      </c>
      <c r="I1094" s="392" t="n"/>
    </row>
    <row r="1095">
      <c r="A1095" s="392" t="n"/>
      <c r="B1095" s="392" t="n"/>
      <c r="C1095" s="392" t="n"/>
      <c r="D1095" s="392" t="n"/>
      <c r="E1095" s="392" t="n"/>
      <c r="F1095" s="394" t="n"/>
      <c r="G1095" s="604">
        <f>IFERROR(INDEX(⑱中間品単価!$H$5:$H$443,MATCH($C1095,⑱中間品単価!$B$5:$B$443,0)),"")</f>
        <v/>
      </c>
      <c r="H1095" s="396">
        <f>IF(AND(ISNUMBER($F1095),ISNUMBER($G1095)),$F1095*$G1095,"")</f>
        <v/>
      </c>
      <c r="I1095" s="392" t="n"/>
    </row>
    <row r="1096">
      <c r="A1096" s="392" t="n"/>
      <c r="B1096" s="392" t="n"/>
      <c r="C1096" s="392" t="n"/>
      <c r="D1096" s="392" t="n"/>
      <c r="E1096" s="392" t="n"/>
      <c r="F1096" s="394" t="n"/>
      <c r="G1096" s="604">
        <f>IFERROR(INDEX(⑱中間品単価!$H$5:$H$443,MATCH($C1096,⑱中間品単価!$B$5:$B$443,0)),"")</f>
        <v/>
      </c>
      <c r="H1096" s="396">
        <f>IF(AND(ISNUMBER($F1096),ISNUMBER($G1096)),$F1096*$G1096,"")</f>
        <v/>
      </c>
      <c r="I1096" s="392" t="n"/>
    </row>
    <row r="1097">
      <c r="A1097" s="392" t="n"/>
      <c r="B1097" s="392" t="n"/>
      <c r="C1097" s="392" t="n"/>
      <c r="D1097" s="392" t="n"/>
      <c r="E1097" s="392" t="n"/>
      <c r="F1097" s="394" t="n"/>
      <c r="G1097" s="604">
        <f>IFERROR(INDEX(⑱中間品単価!$H$5:$H$443,MATCH($C1097,⑱中間品単価!$B$5:$B$443,0)),"")</f>
        <v/>
      </c>
      <c r="H1097" s="396">
        <f>IF(AND(ISNUMBER($F1097),ISNUMBER($G1097)),$F1097*$G1097,"")</f>
        <v/>
      </c>
      <c r="I1097" s="392" t="n"/>
    </row>
    <row r="1098">
      <c r="A1098" s="392" t="n"/>
      <c r="B1098" s="392" t="n"/>
      <c r="C1098" s="392" t="n"/>
      <c r="D1098" s="392" t="n"/>
      <c r="E1098" s="392" t="n"/>
      <c r="F1098" s="394" t="n"/>
      <c r="G1098" s="604">
        <f>IFERROR(INDEX(⑱中間品単価!$H$5:$H$443,MATCH($C1098,⑱中間品単価!$B$5:$B$443,0)),"")</f>
        <v/>
      </c>
      <c r="H1098" s="396">
        <f>IF(AND(ISNUMBER($F1098),ISNUMBER($G1098)),$F1098*$G1098,"")</f>
        <v/>
      </c>
      <c r="I1098" s="392" t="n"/>
    </row>
    <row r="1099">
      <c r="A1099" s="392" t="n"/>
      <c r="B1099" s="392" t="n"/>
      <c r="C1099" s="392" t="n"/>
      <c r="D1099" s="392" t="n"/>
      <c r="E1099" s="392" t="n"/>
      <c r="F1099" s="394" t="n"/>
      <c r="G1099" s="604">
        <f>IFERROR(INDEX(⑱中間品単価!$H$5:$H$443,MATCH($C1099,⑱中間品単価!$B$5:$B$443,0)),"")</f>
        <v/>
      </c>
      <c r="H1099" s="396">
        <f>IF(AND(ISNUMBER($F1099),ISNUMBER($G1099)),$F1099*$G1099,"")</f>
        <v/>
      </c>
      <c r="I1099" s="392" t="n"/>
    </row>
    <row r="1100">
      <c r="A1100" s="392" t="n"/>
      <c r="B1100" s="392" t="n"/>
      <c r="C1100" s="392" t="n"/>
      <c r="D1100" s="392" t="n"/>
      <c r="E1100" s="392" t="n"/>
      <c r="F1100" s="394" t="n"/>
      <c r="G1100" s="604">
        <f>IFERROR(INDEX(⑱中間品単価!$H$5:$H$443,MATCH($C1100,⑱中間品単価!$B$5:$B$443,0)),"")</f>
        <v/>
      </c>
      <c r="H1100" s="396">
        <f>IF(AND(ISNUMBER($F1100),ISNUMBER($G1100)),$F1100*$G1100,"")</f>
        <v/>
      </c>
      <c r="I1100" s="392" t="n"/>
    </row>
    <row r="1101">
      <c r="A1101" s="392" t="n"/>
      <c r="B1101" s="392" t="n"/>
      <c r="C1101" s="392" t="n"/>
      <c r="D1101" s="392" t="n"/>
      <c r="E1101" s="392" t="n"/>
      <c r="F1101" s="394" t="n"/>
      <c r="G1101" s="604">
        <f>IFERROR(INDEX(⑱中間品単価!$H$5:$H$443,MATCH($C1101,⑱中間品単価!$B$5:$B$443,0)),"")</f>
        <v/>
      </c>
      <c r="H1101" s="396">
        <f>IF(AND(ISNUMBER($F1101),ISNUMBER($G1101)),$F1101*$G1101,"")</f>
        <v/>
      </c>
      <c r="I1101" s="392" t="n"/>
    </row>
    <row r="1102">
      <c r="A1102" s="392" t="n"/>
      <c r="B1102" s="392" t="n"/>
      <c r="C1102" s="392" t="n"/>
      <c r="D1102" s="392" t="n"/>
      <c r="E1102" s="392" t="n"/>
      <c r="F1102" s="394" t="n"/>
      <c r="G1102" s="604">
        <f>IFERROR(INDEX(⑱中間品単価!$H$5:$H$443,MATCH($C1102,⑱中間品単価!$B$5:$B$443,0)),"")</f>
        <v/>
      </c>
      <c r="H1102" s="396">
        <f>IF(AND(ISNUMBER($F1102),ISNUMBER($G1102)),$F1102*$G1102,"")</f>
        <v/>
      </c>
      <c r="I1102" s="392" t="n"/>
    </row>
    <row r="1103">
      <c r="A1103" s="392" t="n"/>
      <c r="B1103" s="392" t="n"/>
      <c r="C1103" s="392" t="n"/>
      <c r="D1103" s="392" t="n"/>
      <c r="E1103" s="392" t="n"/>
      <c r="F1103" s="394" t="n"/>
      <c r="G1103" s="604">
        <f>IFERROR(INDEX(⑱中間品単価!$H$5:$H$443,MATCH($C1103,⑱中間品単価!$B$5:$B$443,0)),"")</f>
        <v/>
      </c>
      <c r="H1103" s="396">
        <f>IF(AND(ISNUMBER($F1103),ISNUMBER($G1103)),$F1103*$G1103,"")</f>
        <v/>
      </c>
      <c r="I1103" s="392" t="n"/>
    </row>
    <row r="1104">
      <c r="A1104" s="392" t="n"/>
      <c r="B1104" s="392" t="n"/>
      <c r="C1104" s="392" t="n"/>
      <c r="D1104" s="392" t="n"/>
      <c r="E1104" s="392" t="n"/>
      <c r="F1104" s="394" t="n"/>
      <c r="G1104" s="604">
        <f>IFERROR(INDEX(⑱中間品単価!$H$5:$H$443,MATCH($C1104,⑱中間品単価!$B$5:$B$443,0)),"")</f>
        <v/>
      </c>
      <c r="H1104" s="396">
        <f>IF(AND(ISNUMBER($F1104),ISNUMBER($G1104)),$F1104*$G1104,"")</f>
        <v/>
      </c>
      <c r="I1104" s="392" t="n"/>
    </row>
    <row r="1105">
      <c r="A1105" s="392" t="n"/>
      <c r="B1105" s="392" t="n"/>
      <c r="C1105" s="392" t="n"/>
      <c r="D1105" s="392" t="n"/>
      <c r="E1105" s="392" t="n"/>
      <c r="F1105" s="394" t="n"/>
      <c r="G1105" s="604">
        <f>IFERROR(INDEX(⑱中間品単価!$H$5:$H$443,MATCH($C1105,⑱中間品単価!$B$5:$B$443,0)),"")</f>
        <v/>
      </c>
      <c r="H1105" s="396">
        <f>IF(AND(ISNUMBER($F1105),ISNUMBER($G1105)),$F1105*$G1105,"")</f>
        <v/>
      </c>
      <c r="I1105" s="392" t="n"/>
    </row>
    <row r="1106">
      <c r="A1106" s="392" t="n"/>
      <c r="B1106" s="392" t="n"/>
      <c r="C1106" s="392" t="n"/>
      <c r="D1106" s="392" t="n"/>
      <c r="E1106" s="392" t="n"/>
      <c r="F1106" s="394" t="n"/>
      <c r="G1106" s="604">
        <f>IFERROR(INDEX(⑱中間品単価!$H$5:$H$443,MATCH($C1106,⑱中間品単価!$B$5:$B$443,0)),"")</f>
        <v/>
      </c>
      <c r="H1106" s="396">
        <f>IF(AND(ISNUMBER($F1106),ISNUMBER($G1106)),$F1106*$G1106,"")</f>
        <v/>
      </c>
      <c r="I1106" s="392" t="n"/>
    </row>
    <row r="1107">
      <c r="A1107" s="392" t="n"/>
      <c r="B1107" s="392" t="n"/>
      <c r="C1107" s="392" t="n"/>
      <c r="D1107" s="392" t="n"/>
      <c r="E1107" s="392" t="n"/>
      <c r="F1107" s="394" t="n"/>
      <c r="G1107" s="604">
        <f>IFERROR(INDEX(⑱中間品単価!$H$5:$H$443,MATCH($C1107,⑱中間品単価!$B$5:$B$443,0)),"")</f>
        <v/>
      </c>
      <c r="H1107" s="396">
        <f>IF(AND(ISNUMBER($F1107),ISNUMBER($G1107)),$F1107*$G1107,"")</f>
        <v/>
      </c>
      <c r="I1107" s="392" t="n"/>
    </row>
    <row r="1108">
      <c r="A1108" s="392" t="n"/>
      <c r="B1108" s="392" t="n"/>
      <c r="C1108" s="392" t="n"/>
      <c r="D1108" s="392" t="n"/>
      <c r="E1108" s="392" t="n"/>
      <c r="F1108" s="394" t="n"/>
      <c r="G1108" s="604">
        <f>IFERROR(INDEX(⑱中間品単価!$H$5:$H$443,MATCH($C1108,⑱中間品単価!$B$5:$B$443,0)),"")</f>
        <v/>
      </c>
      <c r="H1108" s="396">
        <f>IF(AND(ISNUMBER($F1108),ISNUMBER($G1108)),$F1108*$G1108,"")</f>
        <v/>
      </c>
      <c r="I1108" s="392" t="n"/>
    </row>
    <row r="1109">
      <c r="A1109" s="392" t="n"/>
      <c r="B1109" s="392" t="n"/>
      <c r="C1109" s="392" t="n"/>
      <c r="D1109" s="392" t="n"/>
      <c r="E1109" s="392" t="n"/>
      <c r="F1109" s="394" t="n"/>
      <c r="G1109" s="604">
        <f>IFERROR(INDEX(⑱中間品単価!$H$5:$H$443,MATCH($C1109,⑱中間品単価!$B$5:$B$443,0)),"")</f>
        <v/>
      </c>
      <c r="H1109" s="396">
        <f>IF(AND(ISNUMBER($F1109),ISNUMBER($G1109)),$F1109*$G1109,"")</f>
        <v/>
      </c>
      <c r="I1109" s="392" t="n"/>
    </row>
    <row r="1110">
      <c r="A1110" s="392" t="n"/>
      <c r="B1110" s="392" t="n"/>
      <c r="C1110" s="392" t="n"/>
      <c r="D1110" s="392" t="n"/>
      <c r="E1110" s="392" t="n"/>
      <c r="F1110" s="394" t="n"/>
      <c r="G1110" s="604">
        <f>IFERROR(INDEX(⑱中間品単価!$H$5:$H$443,MATCH($C1110,⑱中間品単価!$B$5:$B$443,0)),"")</f>
        <v/>
      </c>
      <c r="H1110" s="396">
        <f>IF(AND(ISNUMBER($F1110),ISNUMBER($G1110)),$F1110*$G1110,"")</f>
        <v/>
      </c>
      <c r="I1110" s="392" t="n"/>
    </row>
    <row r="1111">
      <c r="A1111" s="392" t="n"/>
      <c r="B1111" s="392" t="n"/>
      <c r="C1111" s="392" t="n"/>
      <c r="D1111" s="392" t="n"/>
      <c r="E1111" s="392" t="n"/>
      <c r="F1111" s="394" t="n"/>
      <c r="G1111" s="604">
        <f>IFERROR(INDEX(⑱中間品単価!$H$5:$H$443,MATCH($C1111,⑱中間品単価!$B$5:$B$443,0)),"")</f>
        <v/>
      </c>
      <c r="H1111" s="396">
        <f>IF(AND(ISNUMBER($F1111),ISNUMBER($G1111)),$F1111*$G1111,"")</f>
        <v/>
      </c>
      <c r="I1111" s="392" t="n"/>
    </row>
    <row r="1112">
      <c r="A1112" s="392" t="n"/>
      <c r="B1112" s="392" t="n"/>
      <c r="C1112" s="392" t="n"/>
      <c r="D1112" s="392" t="n"/>
      <c r="E1112" s="392" t="n"/>
      <c r="F1112" s="394" t="n"/>
      <c r="G1112" s="604">
        <f>IFERROR(INDEX(⑱中間品単価!$H$5:$H$443,MATCH($C1112,⑱中間品単価!$B$5:$B$443,0)),"")</f>
        <v/>
      </c>
      <c r="H1112" s="396">
        <f>IF(AND(ISNUMBER($F1112),ISNUMBER($G1112)),$F1112*$G1112,"")</f>
        <v/>
      </c>
      <c r="I1112" s="392" t="n"/>
    </row>
    <row r="1113">
      <c r="A1113" s="392" t="n"/>
      <c r="B1113" s="392" t="n"/>
      <c r="C1113" s="392" t="n"/>
      <c r="D1113" s="392" t="n"/>
      <c r="E1113" s="392" t="n"/>
      <c r="F1113" s="394" t="n"/>
      <c r="G1113" s="604">
        <f>IFERROR(INDEX(⑱中間品単価!$H$5:$H$443,MATCH($C1113,⑱中間品単価!$B$5:$B$443,0)),"")</f>
        <v/>
      </c>
      <c r="H1113" s="396">
        <f>IF(AND(ISNUMBER($F1113),ISNUMBER($G1113)),$F1113*$G1113,"")</f>
        <v/>
      </c>
      <c r="I1113" s="392" t="n"/>
    </row>
    <row r="1114">
      <c r="A1114" s="392" t="n"/>
      <c r="B1114" s="392" t="n"/>
      <c r="C1114" s="392" t="n"/>
      <c r="D1114" s="392" t="n"/>
      <c r="E1114" s="392" t="n"/>
      <c r="F1114" s="394" t="n"/>
      <c r="G1114" s="604">
        <f>IFERROR(INDEX(⑱中間品単価!$H$5:$H$443,MATCH($C1114,⑱中間品単価!$B$5:$B$443,0)),"")</f>
        <v/>
      </c>
      <c r="H1114" s="396">
        <f>IF(AND(ISNUMBER($F1114),ISNUMBER($G1114)),$F1114*$G1114,"")</f>
        <v/>
      </c>
      <c r="I1114" s="392" t="n"/>
    </row>
    <row r="1115">
      <c r="A1115" s="392" t="n"/>
      <c r="B1115" s="392" t="n"/>
      <c r="C1115" s="392" t="n"/>
      <c r="D1115" s="392" t="n"/>
      <c r="E1115" s="392" t="n"/>
      <c r="F1115" s="394" t="n"/>
      <c r="G1115" s="604">
        <f>IFERROR(INDEX(⑱中間品単価!$H$5:$H$443,MATCH($C1115,⑱中間品単価!$B$5:$B$443,0)),"")</f>
        <v/>
      </c>
      <c r="H1115" s="396">
        <f>IF(AND(ISNUMBER($F1115),ISNUMBER($G1115)),$F1115*$G1115,"")</f>
        <v/>
      </c>
      <c r="I1115" s="392" t="n"/>
    </row>
    <row r="1116">
      <c r="A1116" s="392" t="n"/>
      <c r="B1116" s="392" t="n"/>
      <c r="C1116" s="392" t="n"/>
      <c r="D1116" s="392" t="n"/>
      <c r="E1116" s="392" t="n"/>
      <c r="F1116" s="394" t="n"/>
      <c r="G1116" s="604">
        <f>IFERROR(INDEX(⑱中間品単価!$H$5:$H$443,MATCH($C1116,⑱中間品単価!$B$5:$B$443,0)),"")</f>
        <v/>
      </c>
      <c r="H1116" s="396">
        <f>IF(AND(ISNUMBER($F1116),ISNUMBER($G1116)),$F1116*$G1116,"")</f>
        <v/>
      </c>
      <c r="I1116" s="392" t="n"/>
    </row>
    <row r="1117">
      <c r="A1117" s="392" t="n"/>
      <c r="B1117" s="392" t="n"/>
      <c r="C1117" s="392" t="n"/>
      <c r="D1117" s="392" t="n"/>
      <c r="E1117" s="392" t="n"/>
      <c r="F1117" s="394" t="n"/>
      <c r="G1117" s="604">
        <f>IFERROR(INDEX(⑱中間品単価!$H$5:$H$443,MATCH($C1117,⑱中間品単価!$B$5:$B$443,0)),"")</f>
        <v/>
      </c>
      <c r="H1117" s="396">
        <f>IF(AND(ISNUMBER($F1117),ISNUMBER($G1117)),$F1117*$G1117,"")</f>
        <v/>
      </c>
      <c r="I1117" s="392" t="n"/>
    </row>
    <row r="1118">
      <c r="A1118" s="392" t="n"/>
      <c r="B1118" s="392" t="n"/>
      <c r="C1118" s="392" t="n"/>
      <c r="D1118" s="392" t="n"/>
      <c r="E1118" s="392" t="n"/>
      <c r="F1118" s="394" t="n"/>
      <c r="G1118" s="604">
        <f>IFERROR(INDEX(⑱中間品単価!$H$5:$H$443,MATCH($C1118,⑱中間品単価!$B$5:$B$443,0)),"")</f>
        <v/>
      </c>
      <c r="H1118" s="396">
        <f>IF(AND(ISNUMBER($F1118),ISNUMBER($G1118)),$F1118*$G1118,"")</f>
        <v/>
      </c>
      <c r="I1118" s="392" t="n"/>
    </row>
    <row r="1119">
      <c r="A1119" s="392" t="n"/>
      <c r="B1119" s="392" t="n"/>
      <c r="C1119" s="392" t="n"/>
      <c r="D1119" s="392" t="n"/>
      <c r="E1119" s="392" t="n"/>
      <c r="F1119" s="394" t="n"/>
      <c r="G1119" s="604">
        <f>IFERROR(INDEX(⑱中間品単価!$H$5:$H$443,MATCH($C1119,⑱中間品単価!$B$5:$B$443,0)),"")</f>
        <v/>
      </c>
      <c r="H1119" s="396">
        <f>IF(AND(ISNUMBER($F1119),ISNUMBER($G1119)),$F1119*$G1119,"")</f>
        <v/>
      </c>
      <c r="I1119" s="392" t="n"/>
    </row>
    <row r="1120">
      <c r="A1120" s="392" t="n"/>
      <c r="B1120" s="392" t="n"/>
      <c r="C1120" s="392" t="n"/>
      <c r="D1120" s="392" t="n"/>
      <c r="E1120" s="392" t="n"/>
      <c r="F1120" s="394" t="n"/>
      <c r="G1120" s="604">
        <f>IFERROR(INDEX(⑱中間品単価!$H$5:$H$443,MATCH($C1120,⑱中間品単価!$B$5:$B$443,0)),"")</f>
        <v/>
      </c>
      <c r="H1120" s="396">
        <f>IF(AND(ISNUMBER($F1120),ISNUMBER($G1120)),$F1120*$G1120,"")</f>
        <v/>
      </c>
      <c r="I1120" s="392" t="n"/>
    </row>
    <row r="1121">
      <c r="A1121" s="392" t="n"/>
      <c r="B1121" s="392" t="n"/>
      <c r="C1121" s="392" t="n"/>
      <c r="D1121" s="392" t="n"/>
      <c r="E1121" s="392" t="n"/>
      <c r="F1121" s="394" t="n"/>
      <c r="G1121" s="604">
        <f>IFERROR(INDEX(⑱中間品単価!$H$5:$H$443,MATCH($C1121,⑱中間品単価!$B$5:$B$443,0)),"")</f>
        <v/>
      </c>
      <c r="H1121" s="396">
        <f>IF(AND(ISNUMBER($F1121),ISNUMBER($G1121)),$F1121*$G1121,"")</f>
        <v/>
      </c>
      <c r="I1121" s="392" t="n"/>
    </row>
    <row r="1122">
      <c r="A1122" s="392" t="n"/>
      <c r="B1122" s="392" t="n"/>
      <c r="C1122" s="392" t="n"/>
      <c r="D1122" s="392" t="n"/>
      <c r="E1122" s="392" t="n"/>
      <c r="F1122" s="394" t="n"/>
      <c r="G1122" s="604">
        <f>IFERROR(INDEX(⑱中間品単価!$H$5:$H$443,MATCH($C1122,⑱中間品単価!$B$5:$B$443,0)),"")</f>
        <v/>
      </c>
      <c r="H1122" s="396">
        <f>IF(AND(ISNUMBER($F1122),ISNUMBER($G1122)),$F1122*$G1122,"")</f>
        <v/>
      </c>
      <c r="I1122" s="392" t="n"/>
    </row>
    <row r="1123">
      <c r="A1123" s="392" t="n"/>
      <c r="B1123" s="392" t="n"/>
      <c r="C1123" s="392" t="n"/>
      <c r="D1123" s="392" t="n"/>
      <c r="E1123" s="392" t="n"/>
      <c r="F1123" s="394" t="n"/>
      <c r="G1123" s="604">
        <f>IFERROR(INDEX(⑱中間品単価!$H$5:$H$443,MATCH($C1123,⑱中間品単価!$B$5:$B$443,0)),"")</f>
        <v/>
      </c>
      <c r="H1123" s="396">
        <f>IF(AND(ISNUMBER($F1123),ISNUMBER($G1123)),$F1123*$G1123,"")</f>
        <v/>
      </c>
      <c r="I1123" s="392" t="n"/>
    </row>
    <row r="1124">
      <c r="A1124" s="392" t="n"/>
      <c r="B1124" s="392" t="n"/>
      <c r="C1124" s="392" t="n"/>
      <c r="D1124" s="392" t="n"/>
      <c r="E1124" s="392" t="n"/>
      <c r="F1124" s="394" t="n"/>
      <c r="G1124" s="604">
        <f>IFERROR(INDEX(⑱中間品単価!$H$5:$H$443,MATCH($C1124,⑱中間品単価!$B$5:$B$443,0)),"")</f>
        <v/>
      </c>
      <c r="H1124" s="396">
        <f>IF(AND(ISNUMBER($F1124),ISNUMBER($G1124)),$F1124*$G1124,"")</f>
        <v/>
      </c>
      <c r="I1124" s="392" t="n"/>
    </row>
    <row r="1125">
      <c r="A1125" s="392" t="n"/>
      <c r="B1125" s="392" t="n"/>
      <c r="C1125" s="392" t="n"/>
      <c r="D1125" s="392" t="n"/>
      <c r="E1125" s="392" t="n"/>
      <c r="F1125" s="394" t="n"/>
      <c r="G1125" s="604">
        <f>IFERROR(INDEX(⑱中間品単価!$H$5:$H$443,MATCH($C1125,⑱中間品単価!$B$5:$B$443,0)),"")</f>
        <v/>
      </c>
      <c r="H1125" s="396">
        <f>IF(AND(ISNUMBER($F1125),ISNUMBER($G1125)),$F1125*$G1125,"")</f>
        <v/>
      </c>
      <c r="I1125" s="392" t="n"/>
    </row>
    <row r="1126">
      <c r="A1126" s="392" t="n"/>
      <c r="B1126" s="392" t="n"/>
      <c r="C1126" s="392" t="n"/>
      <c r="D1126" s="392" t="n"/>
      <c r="E1126" s="392" t="n"/>
      <c r="F1126" s="394" t="n"/>
      <c r="G1126" s="604">
        <f>IFERROR(INDEX(⑱中間品単価!$H$5:$H$443,MATCH($C1126,⑱中間品単価!$B$5:$B$443,0)),"")</f>
        <v/>
      </c>
      <c r="H1126" s="396">
        <f>IF(AND(ISNUMBER($F1126),ISNUMBER($G1126)),$F1126*$G1126,"")</f>
        <v/>
      </c>
      <c r="I1126" s="392" t="n"/>
    </row>
    <row r="1127">
      <c r="A1127" s="392" t="n"/>
      <c r="B1127" s="392" t="n"/>
      <c r="C1127" s="392" t="n"/>
      <c r="D1127" s="392" t="n"/>
      <c r="E1127" s="392" t="n"/>
      <c r="F1127" s="394" t="n"/>
      <c r="G1127" s="604">
        <f>IFERROR(INDEX(⑱中間品単価!$H$5:$H$443,MATCH($C1127,⑱中間品単価!$B$5:$B$443,0)),"")</f>
        <v/>
      </c>
      <c r="H1127" s="396">
        <f>IF(AND(ISNUMBER($F1127),ISNUMBER($G1127)),$F1127*$G1127,"")</f>
        <v/>
      </c>
      <c r="I1127" s="392" t="n"/>
    </row>
    <row r="1128">
      <c r="A1128" s="392" t="n"/>
      <c r="B1128" s="392" t="n"/>
      <c r="C1128" s="392" t="n"/>
      <c r="D1128" s="392" t="n"/>
      <c r="E1128" s="392" t="n"/>
      <c r="F1128" s="394" t="n"/>
      <c r="G1128" s="604">
        <f>IFERROR(INDEX(⑱中間品単価!$H$5:$H$443,MATCH($C1128,⑱中間品単価!$B$5:$B$443,0)),"")</f>
        <v/>
      </c>
      <c r="H1128" s="396">
        <f>IF(AND(ISNUMBER($F1128),ISNUMBER($G1128)),$F1128*$G1128,"")</f>
        <v/>
      </c>
      <c r="I1128" s="392" t="n"/>
    </row>
    <row r="1129">
      <c r="A1129" s="392" t="n"/>
      <c r="B1129" s="392" t="n"/>
      <c r="C1129" s="392" t="n"/>
      <c r="D1129" s="392" t="n"/>
      <c r="E1129" s="392" t="n"/>
      <c r="F1129" s="394" t="n"/>
      <c r="G1129" s="604">
        <f>IFERROR(INDEX(⑱中間品単価!$H$5:$H$443,MATCH($C1129,⑱中間品単価!$B$5:$B$443,0)),"")</f>
        <v/>
      </c>
      <c r="H1129" s="396">
        <f>IF(AND(ISNUMBER($F1129),ISNUMBER($G1129)),$F1129*$G1129,"")</f>
        <v/>
      </c>
      <c r="I1129" s="392" t="n"/>
    </row>
    <row r="1130">
      <c r="A1130" s="392" t="n"/>
      <c r="B1130" s="392" t="n"/>
      <c r="C1130" s="392" t="n"/>
      <c r="D1130" s="392" t="n"/>
      <c r="E1130" s="392" t="n"/>
      <c r="F1130" s="394" t="n"/>
      <c r="G1130" s="604">
        <f>IFERROR(INDEX(⑱中間品単価!$H$5:$H$443,MATCH($C1130,⑱中間品単価!$B$5:$B$443,0)),"")</f>
        <v/>
      </c>
      <c r="H1130" s="396">
        <f>IF(AND(ISNUMBER($F1130),ISNUMBER($G1130)),$F1130*$G1130,"")</f>
        <v/>
      </c>
      <c r="I1130" s="392" t="n"/>
    </row>
    <row r="1131">
      <c r="A1131" s="392" t="n"/>
      <c r="B1131" s="392" t="n"/>
      <c r="C1131" s="392" t="n"/>
      <c r="D1131" s="392" t="n"/>
      <c r="E1131" s="392" t="n"/>
      <c r="F1131" s="394" t="n"/>
      <c r="G1131" s="604">
        <f>IFERROR(INDEX(⑱中間品単価!$H$5:$H$443,MATCH($C1131,⑱中間品単価!$B$5:$B$443,0)),"")</f>
        <v/>
      </c>
      <c r="H1131" s="396">
        <f>IF(AND(ISNUMBER($F1131),ISNUMBER($G1131)),$F1131*$G1131,"")</f>
        <v/>
      </c>
      <c r="I1131" s="392" t="n"/>
    </row>
    <row r="1132">
      <c r="A1132" s="392" t="n"/>
      <c r="B1132" s="392" t="n"/>
      <c r="C1132" s="392" t="n"/>
      <c r="D1132" s="392" t="n"/>
      <c r="E1132" s="392" t="n"/>
      <c r="F1132" s="394" t="n"/>
      <c r="G1132" s="604">
        <f>IFERROR(INDEX(⑱中間品単価!$H$5:$H$443,MATCH($C1132,⑱中間品単価!$B$5:$B$443,0)),"")</f>
        <v/>
      </c>
      <c r="H1132" s="396">
        <f>IF(AND(ISNUMBER($F1132),ISNUMBER($G1132)),$F1132*$G1132,"")</f>
        <v/>
      </c>
      <c r="I1132" s="392" t="n"/>
    </row>
    <row r="1133">
      <c r="A1133" s="392" t="n"/>
      <c r="B1133" s="392" t="n"/>
      <c r="C1133" s="392" t="n"/>
      <c r="D1133" s="392" t="n"/>
      <c r="E1133" s="392" t="n"/>
      <c r="F1133" s="394" t="n"/>
      <c r="G1133" s="604">
        <f>IFERROR(INDEX(⑱中間品単価!$H$5:$H$443,MATCH($C1133,⑱中間品単価!$B$5:$B$443,0)),"")</f>
        <v/>
      </c>
      <c r="H1133" s="396">
        <f>IF(AND(ISNUMBER($F1133),ISNUMBER($G1133)),$F1133*$G1133,"")</f>
        <v/>
      </c>
      <c r="I1133" s="392" t="n"/>
    </row>
    <row r="1134">
      <c r="A1134" s="392" t="n"/>
      <c r="B1134" s="392" t="n"/>
      <c r="C1134" s="392" t="n"/>
      <c r="D1134" s="392" t="n"/>
      <c r="E1134" s="392" t="n"/>
      <c r="F1134" s="394" t="n"/>
      <c r="G1134" s="604">
        <f>IFERROR(INDEX(⑱中間品単価!$H$5:$H$443,MATCH($C1134,⑱中間品単価!$B$5:$B$443,0)),"")</f>
        <v/>
      </c>
      <c r="H1134" s="396">
        <f>IF(AND(ISNUMBER($F1134),ISNUMBER($G1134)),$F1134*$G1134,"")</f>
        <v/>
      </c>
      <c r="I1134" s="392" t="n"/>
    </row>
    <row r="1135">
      <c r="A1135" s="392" t="n"/>
      <c r="B1135" s="392" t="n"/>
      <c r="C1135" s="392" t="n"/>
      <c r="D1135" s="392" t="n"/>
      <c r="E1135" s="392" t="n"/>
      <c r="F1135" s="394" t="n"/>
      <c r="G1135" s="604">
        <f>IFERROR(INDEX(⑱中間品単価!$H$5:$H$443,MATCH($C1135,⑱中間品単価!$B$5:$B$443,0)),"")</f>
        <v/>
      </c>
      <c r="H1135" s="396">
        <f>IF(AND(ISNUMBER($F1135),ISNUMBER($G1135)),$F1135*$G1135,"")</f>
        <v/>
      </c>
      <c r="I1135" s="392" t="n"/>
    </row>
    <row r="1136">
      <c r="A1136" s="392" t="n"/>
      <c r="B1136" s="392" t="n"/>
      <c r="C1136" s="392" t="n"/>
      <c r="D1136" s="392" t="n"/>
      <c r="E1136" s="392" t="n"/>
      <c r="F1136" s="394" t="n"/>
      <c r="G1136" s="604">
        <f>IFERROR(INDEX(⑱中間品単価!$H$5:$H$443,MATCH($C1136,⑱中間品単価!$B$5:$B$443,0)),"")</f>
        <v/>
      </c>
      <c r="H1136" s="396">
        <f>IF(AND(ISNUMBER($F1136),ISNUMBER($G1136)),$F1136*$G1136,"")</f>
        <v/>
      </c>
      <c r="I1136" s="392" t="n"/>
    </row>
    <row r="1137">
      <c r="A1137" s="392" t="n"/>
      <c r="B1137" s="392" t="n"/>
      <c r="C1137" s="392" t="n"/>
      <c r="D1137" s="392" t="n"/>
      <c r="E1137" s="392" t="n"/>
      <c r="F1137" s="394" t="n"/>
      <c r="G1137" s="604">
        <f>IFERROR(INDEX(⑱中間品単価!$H$5:$H$443,MATCH($C1137,⑱中間品単価!$B$5:$B$443,0)),"")</f>
        <v/>
      </c>
      <c r="H1137" s="396">
        <f>IF(AND(ISNUMBER($F1137),ISNUMBER($G1137)),$F1137*$G1137,"")</f>
        <v/>
      </c>
      <c r="I1137" s="392" t="n"/>
    </row>
    <row r="1138">
      <c r="A1138" s="392" t="n"/>
      <c r="B1138" s="392" t="n"/>
      <c r="C1138" s="392" t="n"/>
      <c r="D1138" s="392" t="n"/>
      <c r="E1138" s="392" t="n"/>
      <c r="F1138" s="394" t="n"/>
      <c r="G1138" s="604">
        <f>IFERROR(INDEX(⑱中間品単価!$H$5:$H$443,MATCH($C1138,⑱中間品単価!$B$5:$B$443,0)),"")</f>
        <v/>
      </c>
      <c r="H1138" s="396">
        <f>IF(AND(ISNUMBER($F1138),ISNUMBER($G1138)),$F1138*$G1138,"")</f>
        <v/>
      </c>
      <c r="I1138" s="392" t="n"/>
    </row>
    <row r="1139">
      <c r="A1139" s="392" t="n"/>
      <c r="B1139" s="392" t="n"/>
      <c r="C1139" s="392" t="n"/>
      <c r="D1139" s="392" t="n"/>
      <c r="E1139" s="392" t="n"/>
      <c r="F1139" s="394" t="n"/>
      <c r="G1139" s="604">
        <f>IFERROR(INDEX(⑱中間品単価!$H$5:$H$443,MATCH($C1139,⑱中間品単価!$B$5:$B$443,0)),"")</f>
        <v/>
      </c>
      <c r="H1139" s="396">
        <f>IF(AND(ISNUMBER($F1139),ISNUMBER($G1139)),$F1139*$G1139,"")</f>
        <v/>
      </c>
      <c r="I1139" s="392" t="n"/>
    </row>
    <row r="1140">
      <c r="A1140" s="392" t="n"/>
      <c r="B1140" s="392" t="n"/>
      <c r="C1140" s="392" t="n"/>
      <c r="D1140" s="392" t="n"/>
      <c r="E1140" s="392" t="n"/>
      <c r="F1140" s="394" t="n"/>
      <c r="G1140" s="604">
        <f>IFERROR(INDEX(⑱中間品単価!$H$5:$H$443,MATCH($C1140,⑱中間品単価!$B$5:$B$443,0)),"")</f>
        <v/>
      </c>
      <c r="H1140" s="396">
        <f>IF(AND(ISNUMBER($F1140),ISNUMBER($G1140)),$F1140*$G1140,"")</f>
        <v/>
      </c>
      <c r="I1140" s="392" t="n"/>
    </row>
    <row r="1141">
      <c r="A1141" s="392" t="n"/>
      <c r="B1141" s="392" t="n"/>
      <c r="C1141" s="392" t="n"/>
      <c r="D1141" s="392" t="n"/>
      <c r="E1141" s="392" t="n"/>
      <c r="F1141" s="394" t="n"/>
      <c r="G1141" s="604">
        <f>IFERROR(INDEX(⑱中間品単価!$H$5:$H$443,MATCH($C1141,⑱中間品単価!$B$5:$B$443,0)),"")</f>
        <v/>
      </c>
      <c r="H1141" s="396">
        <f>IF(AND(ISNUMBER($F1141),ISNUMBER($G1141)),$F1141*$G1141,"")</f>
        <v/>
      </c>
      <c r="I1141" s="392" t="n"/>
    </row>
    <row r="1142">
      <c r="A1142" s="392" t="n"/>
      <c r="B1142" s="392" t="n"/>
      <c r="C1142" s="392" t="n"/>
      <c r="D1142" s="392" t="n"/>
      <c r="E1142" s="392" t="n"/>
      <c r="F1142" s="394" t="n"/>
      <c r="G1142" s="604">
        <f>IFERROR(INDEX(⑱中間品単価!$H$5:$H$443,MATCH($C1142,⑱中間品単価!$B$5:$B$443,0)),"")</f>
        <v/>
      </c>
      <c r="H1142" s="396">
        <f>IF(AND(ISNUMBER($F1142),ISNUMBER($G1142)),$F1142*$G1142,"")</f>
        <v/>
      </c>
      <c r="I1142" s="392" t="n"/>
    </row>
    <row r="1143">
      <c r="A1143" s="392" t="n"/>
      <c r="B1143" s="392" t="n"/>
      <c r="C1143" s="392" t="n"/>
      <c r="D1143" s="392" t="n"/>
      <c r="E1143" s="392" t="n"/>
      <c r="F1143" s="394" t="n"/>
      <c r="G1143" s="604">
        <f>IFERROR(INDEX(⑱中間品単価!$H$5:$H$443,MATCH($C1143,⑱中間品単価!$B$5:$B$443,0)),"")</f>
        <v/>
      </c>
      <c r="H1143" s="396">
        <f>IF(AND(ISNUMBER($F1143),ISNUMBER($G1143)),$F1143*$G1143,"")</f>
        <v/>
      </c>
      <c r="I1143" s="392" t="n"/>
    </row>
    <row r="1144">
      <c r="A1144" s="392" t="n"/>
      <c r="B1144" s="392" t="n"/>
      <c r="C1144" s="392" t="n"/>
      <c r="D1144" s="392" t="n"/>
      <c r="E1144" s="392" t="n"/>
      <c r="F1144" s="394" t="n"/>
      <c r="G1144" s="604">
        <f>IFERROR(INDEX(⑱中間品単価!$H$5:$H$443,MATCH($C1144,⑱中間品単価!$B$5:$B$443,0)),"")</f>
        <v/>
      </c>
      <c r="H1144" s="396">
        <f>IF(AND(ISNUMBER($F1144),ISNUMBER($G1144)),$F1144*$G1144,"")</f>
        <v/>
      </c>
      <c r="I1144" s="392" t="n"/>
    </row>
    <row r="1145">
      <c r="A1145" s="392" t="n"/>
      <c r="B1145" s="392" t="n"/>
      <c r="C1145" s="392" t="n"/>
      <c r="D1145" s="392" t="n"/>
      <c r="E1145" s="392" t="n"/>
      <c r="F1145" s="394" t="n"/>
      <c r="G1145" s="604">
        <f>IFERROR(INDEX(⑱中間品単価!$H$5:$H$443,MATCH($C1145,⑱中間品単価!$B$5:$B$443,0)),"")</f>
        <v/>
      </c>
      <c r="H1145" s="396">
        <f>IF(AND(ISNUMBER($F1145),ISNUMBER($G1145)),$F1145*$G1145,"")</f>
        <v/>
      </c>
      <c r="I1145" s="392" t="n"/>
    </row>
    <row r="1146">
      <c r="A1146" s="392" t="n"/>
      <c r="B1146" s="392" t="n"/>
      <c r="C1146" s="392" t="n"/>
      <c r="D1146" s="392" t="n"/>
      <c r="E1146" s="392" t="n"/>
      <c r="F1146" s="394" t="n"/>
      <c r="G1146" s="604">
        <f>IFERROR(INDEX(⑱中間品単価!$H$5:$H$443,MATCH($C1146,⑱中間品単価!$B$5:$B$443,0)),"")</f>
        <v/>
      </c>
      <c r="H1146" s="396">
        <f>IF(AND(ISNUMBER($F1146),ISNUMBER($G1146)),$F1146*$G1146,"")</f>
        <v/>
      </c>
      <c r="I1146" s="392" t="n"/>
    </row>
    <row r="1147">
      <c r="A1147" s="392" t="n"/>
      <c r="B1147" s="392" t="n"/>
      <c r="C1147" s="392" t="n"/>
      <c r="D1147" s="392" t="n"/>
      <c r="E1147" s="392" t="n"/>
      <c r="F1147" s="394" t="n"/>
      <c r="G1147" s="604">
        <f>IFERROR(INDEX(⑱中間品単価!$H$5:$H$443,MATCH($C1147,⑱中間品単価!$B$5:$B$443,0)),"")</f>
        <v/>
      </c>
      <c r="H1147" s="396">
        <f>IF(AND(ISNUMBER($F1147),ISNUMBER($G1147)),$F1147*$G1147,"")</f>
        <v/>
      </c>
      <c r="I1147" s="392" t="n"/>
    </row>
    <row r="1148">
      <c r="A1148" s="392" t="n"/>
      <c r="B1148" s="392" t="n"/>
      <c r="C1148" s="392" t="n"/>
      <c r="D1148" s="392" t="n"/>
      <c r="E1148" s="392" t="n"/>
      <c r="F1148" s="394" t="n"/>
      <c r="G1148" s="604">
        <f>IFERROR(INDEX(⑱中間品単価!$H$5:$H$443,MATCH($C1148,⑱中間品単価!$B$5:$B$443,0)),"")</f>
        <v/>
      </c>
      <c r="H1148" s="396">
        <f>IF(AND(ISNUMBER($F1148),ISNUMBER($G1148)),$F1148*$G1148,"")</f>
        <v/>
      </c>
      <c r="I1148" s="392" t="n"/>
    </row>
    <row r="1149">
      <c r="A1149" s="392" t="n"/>
      <c r="B1149" s="392" t="n"/>
      <c r="C1149" s="392" t="n"/>
      <c r="D1149" s="392" t="n"/>
      <c r="E1149" s="392" t="n"/>
      <c r="F1149" s="394" t="n"/>
      <c r="G1149" s="604">
        <f>IFERROR(INDEX(⑱中間品単価!$H$5:$H$443,MATCH($C1149,⑱中間品単価!$B$5:$B$443,0)),"")</f>
        <v/>
      </c>
      <c r="H1149" s="396">
        <f>IF(AND(ISNUMBER($F1149),ISNUMBER($G1149)),$F1149*$G1149,"")</f>
        <v/>
      </c>
      <c r="I1149" s="392" t="n"/>
    </row>
    <row r="1150">
      <c r="A1150" s="392" t="n"/>
      <c r="B1150" s="392" t="n"/>
      <c r="C1150" s="392" t="n"/>
      <c r="D1150" s="392" t="n"/>
      <c r="E1150" s="392" t="n"/>
      <c r="F1150" s="394" t="n"/>
      <c r="G1150" s="604">
        <f>IFERROR(INDEX(⑱中間品単価!$H$5:$H$443,MATCH($C1150,⑱中間品単価!$B$5:$B$443,0)),"")</f>
        <v/>
      </c>
      <c r="H1150" s="396">
        <f>IF(AND(ISNUMBER($F1150),ISNUMBER($G1150)),$F1150*$G1150,"")</f>
        <v/>
      </c>
      <c r="I1150" s="392" t="n"/>
    </row>
    <row r="1151">
      <c r="A1151" s="392" t="n"/>
      <c r="B1151" s="392" t="n"/>
      <c r="C1151" s="392" t="n"/>
      <c r="D1151" s="392" t="n"/>
      <c r="E1151" s="392" t="n"/>
      <c r="F1151" s="394" t="n"/>
      <c r="G1151" s="604">
        <f>IFERROR(INDEX(⑱中間品単価!$H$5:$H$443,MATCH($C1151,⑱中間品単価!$B$5:$B$443,0)),"")</f>
        <v/>
      </c>
      <c r="H1151" s="396">
        <f>IF(AND(ISNUMBER($F1151),ISNUMBER($G1151)),$F1151*$G1151,"")</f>
        <v/>
      </c>
      <c r="I1151" s="392" t="n"/>
    </row>
    <row r="1152">
      <c r="A1152" s="392" t="n"/>
      <c r="B1152" s="392" t="n"/>
      <c r="C1152" s="392" t="n"/>
      <c r="D1152" s="392" t="n"/>
      <c r="E1152" s="392" t="n"/>
      <c r="F1152" s="394" t="n"/>
      <c r="G1152" s="604">
        <f>IFERROR(INDEX(⑱中間品単価!$H$5:$H$443,MATCH($C1152,⑱中間品単価!$B$5:$B$443,0)),"")</f>
        <v/>
      </c>
      <c r="H1152" s="396">
        <f>IF(AND(ISNUMBER($F1152),ISNUMBER($G1152)),$F1152*$G1152,"")</f>
        <v/>
      </c>
      <c r="I1152" s="392" t="n"/>
    </row>
    <row r="1153">
      <c r="A1153" s="392" t="n"/>
      <c r="B1153" s="392" t="n"/>
      <c r="C1153" s="392" t="n"/>
      <c r="D1153" s="392" t="n"/>
      <c r="E1153" s="392" t="n"/>
      <c r="F1153" s="394" t="n"/>
      <c r="G1153" s="604">
        <f>IFERROR(INDEX(⑱中間品単価!$H$5:$H$443,MATCH($C1153,⑱中間品単価!$B$5:$B$443,0)),"")</f>
        <v/>
      </c>
      <c r="H1153" s="396">
        <f>IF(AND(ISNUMBER($F1153),ISNUMBER($G1153)),$F1153*$G1153,"")</f>
        <v/>
      </c>
      <c r="I1153" s="392" t="n"/>
    </row>
    <row r="1154">
      <c r="A1154" s="392" t="n"/>
      <c r="B1154" s="392" t="n"/>
      <c r="C1154" s="392" t="n"/>
      <c r="D1154" s="392" t="n"/>
      <c r="E1154" s="392" t="n"/>
      <c r="F1154" s="394" t="n"/>
      <c r="G1154" s="604">
        <f>IFERROR(INDEX(⑱中間品単価!$H$5:$H$443,MATCH($C1154,⑱中間品単価!$B$5:$B$443,0)),"")</f>
        <v/>
      </c>
      <c r="H1154" s="396">
        <f>IF(AND(ISNUMBER($F1154),ISNUMBER($G1154)),$F1154*$G1154,"")</f>
        <v/>
      </c>
      <c r="I1154" s="392" t="n"/>
    </row>
    <row r="1155">
      <c r="A1155" s="392" t="n"/>
      <c r="B1155" s="392" t="n"/>
      <c r="C1155" s="392" t="n"/>
      <c r="D1155" s="392" t="n"/>
      <c r="E1155" s="392" t="n"/>
      <c r="F1155" s="394" t="n"/>
      <c r="G1155" s="604">
        <f>IFERROR(INDEX(⑱中間品単価!$H$5:$H$443,MATCH($C1155,⑱中間品単価!$B$5:$B$443,0)),"")</f>
        <v/>
      </c>
      <c r="H1155" s="396">
        <f>IF(AND(ISNUMBER($F1155),ISNUMBER($G1155)),$F1155*$G1155,"")</f>
        <v/>
      </c>
      <c r="I1155" s="392" t="n"/>
    </row>
    <row r="1156">
      <c r="A1156" s="392" t="n"/>
      <c r="B1156" s="392" t="n"/>
      <c r="C1156" s="392" t="n"/>
      <c r="D1156" s="392" t="n"/>
      <c r="E1156" s="392" t="n"/>
      <c r="F1156" s="394" t="n"/>
      <c r="G1156" s="604">
        <f>IFERROR(INDEX(⑱中間品単価!$H$5:$H$443,MATCH($C1156,⑱中間品単価!$B$5:$B$443,0)),"")</f>
        <v/>
      </c>
      <c r="H1156" s="396">
        <f>IF(AND(ISNUMBER($F1156),ISNUMBER($G1156)),$F1156*$G1156,"")</f>
        <v/>
      </c>
      <c r="I1156" s="392" t="n"/>
    </row>
    <row r="1157">
      <c r="A1157" s="392" t="n"/>
      <c r="B1157" s="392" t="n"/>
      <c r="C1157" s="392" t="n"/>
      <c r="D1157" s="392" t="n"/>
      <c r="E1157" s="392" t="n"/>
      <c r="F1157" s="394" t="n"/>
      <c r="G1157" s="604">
        <f>IFERROR(INDEX(⑱中間品単価!$H$5:$H$443,MATCH($C1157,⑱中間品単価!$B$5:$B$443,0)),"")</f>
        <v/>
      </c>
      <c r="H1157" s="396">
        <f>IF(AND(ISNUMBER($F1157),ISNUMBER($G1157)),$F1157*$G1157,"")</f>
        <v/>
      </c>
      <c r="I1157" s="392" t="n"/>
    </row>
    <row r="1158">
      <c r="A1158" s="392" t="n"/>
      <c r="B1158" s="392" t="n"/>
      <c r="C1158" s="392" t="n"/>
      <c r="D1158" s="392" t="n"/>
      <c r="E1158" s="392" t="n"/>
      <c r="F1158" s="394" t="n"/>
      <c r="G1158" s="604">
        <f>IFERROR(INDEX(⑱中間品単価!$H$5:$H$443,MATCH($C1158,⑱中間品単価!$B$5:$B$443,0)),"")</f>
        <v/>
      </c>
      <c r="H1158" s="396">
        <f>IF(AND(ISNUMBER($F1158),ISNUMBER($G1158)),$F1158*$G1158,"")</f>
        <v/>
      </c>
      <c r="I1158" s="392" t="n"/>
    </row>
    <row r="1159">
      <c r="A1159" s="392" t="n"/>
      <c r="B1159" s="392" t="n"/>
      <c r="C1159" s="392" t="n"/>
      <c r="D1159" s="392" t="n"/>
      <c r="E1159" s="392" t="n"/>
      <c r="F1159" s="394" t="n"/>
      <c r="G1159" s="604">
        <f>IFERROR(INDEX(⑱中間品単価!$H$5:$H$443,MATCH($C1159,⑱中間品単価!$B$5:$B$443,0)),"")</f>
        <v/>
      </c>
      <c r="H1159" s="396">
        <f>IF(AND(ISNUMBER($F1159),ISNUMBER($G1159)),$F1159*$G1159,"")</f>
        <v/>
      </c>
      <c r="I1159" s="392" t="n"/>
    </row>
    <row r="1160">
      <c r="A1160" s="392" t="n"/>
      <c r="B1160" s="392" t="n"/>
      <c r="C1160" s="392" t="n"/>
      <c r="D1160" s="392" t="n"/>
      <c r="E1160" s="392" t="n"/>
      <c r="F1160" s="394" t="n"/>
      <c r="G1160" s="604">
        <f>IFERROR(INDEX(⑱中間品単価!$H$5:$H$443,MATCH($C1160,⑱中間品単価!$B$5:$B$443,0)),"")</f>
        <v/>
      </c>
      <c r="H1160" s="396">
        <f>IF(AND(ISNUMBER($F1160),ISNUMBER($G1160)),$F1160*$G1160,"")</f>
        <v/>
      </c>
      <c r="I1160" s="392" t="n"/>
    </row>
    <row r="1161">
      <c r="A1161" s="392" t="n"/>
      <c r="B1161" s="392" t="n"/>
      <c r="C1161" s="392" t="n"/>
      <c r="D1161" s="392" t="n"/>
      <c r="E1161" s="392" t="n"/>
      <c r="F1161" s="394" t="n"/>
      <c r="G1161" s="604">
        <f>IFERROR(INDEX(⑱中間品単価!$H$5:$H$443,MATCH($C1161,⑱中間品単価!$B$5:$B$443,0)),"")</f>
        <v/>
      </c>
      <c r="H1161" s="396">
        <f>IF(AND(ISNUMBER($F1161),ISNUMBER($G1161)),$F1161*$G1161,"")</f>
        <v/>
      </c>
      <c r="I1161" s="392" t="n"/>
    </row>
    <row r="1162">
      <c r="A1162" s="392" t="n"/>
      <c r="B1162" s="392" t="n"/>
      <c r="C1162" s="392" t="n"/>
      <c r="D1162" s="392" t="n"/>
      <c r="E1162" s="392" t="n"/>
      <c r="F1162" s="394" t="n"/>
      <c r="G1162" s="604">
        <f>IFERROR(INDEX(⑱中間品単価!$H$5:$H$443,MATCH($C1162,⑱中間品単価!$B$5:$B$443,0)),"")</f>
        <v/>
      </c>
      <c r="H1162" s="396">
        <f>IF(AND(ISNUMBER($F1162),ISNUMBER($G1162)),$F1162*$G1162,"")</f>
        <v/>
      </c>
      <c r="I1162" s="392" t="n"/>
    </row>
    <row r="1163">
      <c r="A1163" s="392" t="n"/>
      <c r="B1163" s="392" t="n"/>
      <c r="C1163" s="392" t="n"/>
      <c r="D1163" s="392" t="n"/>
      <c r="E1163" s="392" t="n"/>
      <c r="F1163" s="394" t="n"/>
      <c r="G1163" s="604">
        <f>IFERROR(INDEX(⑱中間品単価!$H$5:$H$443,MATCH($C1163,⑱中間品単価!$B$5:$B$443,0)),"")</f>
        <v/>
      </c>
      <c r="H1163" s="396">
        <f>IF(AND(ISNUMBER($F1163),ISNUMBER($G1163)),$F1163*$G1163,"")</f>
        <v/>
      </c>
      <c r="I1163" s="392" t="n"/>
    </row>
    <row r="1164">
      <c r="A1164" s="392" t="n"/>
      <c r="B1164" s="392" t="n"/>
      <c r="C1164" s="392" t="n"/>
      <c r="D1164" s="392" t="n"/>
      <c r="E1164" s="392" t="n"/>
      <c r="F1164" s="394" t="n"/>
      <c r="G1164" s="604">
        <f>IFERROR(INDEX(⑱中間品単価!$H$5:$H$443,MATCH($C1164,⑱中間品単価!$B$5:$B$443,0)),"")</f>
        <v/>
      </c>
      <c r="H1164" s="396">
        <f>IF(AND(ISNUMBER($F1164),ISNUMBER($G1164)),$F1164*$G1164,"")</f>
        <v/>
      </c>
      <c r="I1164" s="392" t="n"/>
    </row>
    <row r="1165">
      <c r="A1165" s="392" t="n"/>
      <c r="B1165" s="392" t="n"/>
      <c r="C1165" s="392" t="n"/>
      <c r="D1165" s="392" t="n"/>
      <c r="E1165" s="392" t="n"/>
      <c r="F1165" s="394" t="n"/>
      <c r="G1165" s="604">
        <f>IFERROR(INDEX(⑱中間品単価!$H$5:$H$443,MATCH($C1165,⑱中間品単価!$B$5:$B$443,0)),"")</f>
        <v/>
      </c>
      <c r="H1165" s="396">
        <f>IF(AND(ISNUMBER($F1165),ISNUMBER($G1165)),$F1165*$G1165,"")</f>
        <v/>
      </c>
      <c r="I1165" s="392" t="n"/>
    </row>
    <row r="1166">
      <c r="A1166" s="392" t="n"/>
      <c r="B1166" s="392" t="n"/>
      <c r="C1166" s="392" t="n"/>
      <c r="D1166" s="392" t="n"/>
      <c r="E1166" s="392" t="n"/>
      <c r="F1166" s="394" t="n"/>
      <c r="G1166" s="604">
        <f>IFERROR(INDEX(⑱中間品単価!$H$5:$H$443,MATCH($C1166,⑱中間品単価!$B$5:$B$443,0)),"")</f>
        <v/>
      </c>
      <c r="H1166" s="396">
        <f>IF(AND(ISNUMBER($F1166),ISNUMBER($G1166)),$F1166*$G1166,"")</f>
        <v/>
      </c>
      <c r="I1166" s="392" t="n"/>
    </row>
    <row r="1167">
      <c r="A1167" s="392" t="n"/>
      <c r="B1167" s="392" t="n"/>
      <c r="C1167" s="392" t="n"/>
      <c r="D1167" s="392" t="n"/>
      <c r="E1167" s="392" t="n"/>
      <c r="F1167" s="394" t="n"/>
      <c r="G1167" s="604">
        <f>IFERROR(INDEX(⑱中間品単価!$H$5:$H$443,MATCH($C1167,⑱中間品単価!$B$5:$B$443,0)),"")</f>
        <v/>
      </c>
      <c r="H1167" s="396">
        <f>IF(AND(ISNUMBER($F1167),ISNUMBER($G1167)),$F1167*$G1167,"")</f>
        <v/>
      </c>
      <c r="I1167" s="392" t="n"/>
    </row>
    <row r="1168">
      <c r="A1168" s="392" t="n"/>
      <c r="B1168" s="392" t="n"/>
      <c r="C1168" s="392" t="n"/>
      <c r="D1168" s="392" t="n"/>
      <c r="E1168" s="392" t="n"/>
      <c r="F1168" s="394" t="n"/>
      <c r="G1168" s="604">
        <f>IFERROR(INDEX(⑱中間品単価!$H$5:$H$443,MATCH($C1168,⑱中間品単価!$B$5:$B$443,0)),"")</f>
        <v/>
      </c>
      <c r="H1168" s="396">
        <f>IF(AND(ISNUMBER($F1168),ISNUMBER($G1168)),$F1168*$G1168,"")</f>
        <v/>
      </c>
      <c r="I1168" s="392" t="n"/>
    </row>
    <row r="1169">
      <c r="A1169" s="392" t="n"/>
      <c r="B1169" s="392" t="n"/>
      <c r="C1169" s="392" t="n"/>
      <c r="D1169" s="392" t="n"/>
      <c r="E1169" s="392" t="n"/>
      <c r="F1169" s="394" t="n"/>
      <c r="G1169" s="604">
        <f>IFERROR(INDEX(⑱中間品単価!$H$5:$H$443,MATCH($C1169,⑱中間品単価!$B$5:$B$443,0)),"")</f>
        <v/>
      </c>
      <c r="H1169" s="396">
        <f>IF(AND(ISNUMBER($F1169),ISNUMBER($G1169)),$F1169*$G1169,"")</f>
        <v/>
      </c>
      <c r="I1169" s="392" t="n"/>
    </row>
    <row r="1170">
      <c r="A1170" s="392" t="n"/>
      <c r="B1170" s="392" t="n"/>
      <c r="C1170" s="392" t="n"/>
      <c r="D1170" s="392" t="n"/>
      <c r="E1170" s="392" t="n"/>
      <c r="F1170" s="394" t="n"/>
      <c r="G1170" s="604">
        <f>IFERROR(INDEX(⑱中間品単価!$H$5:$H$443,MATCH($C1170,⑱中間品単価!$B$5:$B$443,0)),"")</f>
        <v/>
      </c>
      <c r="H1170" s="396">
        <f>IF(AND(ISNUMBER($F1170),ISNUMBER($G1170)),$F1170*$G1170,"")</f>
        <v/>
      </c>
      <c r="I1170" s="392" t="n"/>
    </row>
    <row r="1171">
      <c r="A1171" s="392" t="n"/>
      <c r="B1171" s="392" t="n"/>
      <c r="C1171" s="392" t="n"/>
      <c r="D1171" s="392" t="n"/>
      <c r="E1171" s="392" t="n"/>
      <c r="F1171" s="394" t="n"/>
      <c r="G1171" s="604">
        <f>IFERROR(INDEX(⑱中間品単価!$H$5:$H$443,MATCH($C1171,⑱中間品単価!$B$5:$B$443,0)),"")</f>
        <v/>
      </c>
      <c r="H1171" s="396">
        <f>IF(AND(ISNUMBER($F1171),ISNUMBER($G1171)),$F1171*$G1171,"")</f>
        <v/>
      </c>
      <c r="I1171" s="392" t="n"/>
    </row>
    <row r="1172">
      <c r="A1172" s="392" t="n"/>
      <c r="B1172" s="392" t="n"/>
      <c r="C1172" s="392" t="n"/>
      <c r="D1172" s="392" t="n"/>
      <c r="E1172" s="392" t="n"/>
      <c r="F1172" s="394" t="n"/>
      <c r="G1172" s="604">
        <f>IFERROR(INDEX(⑱中間品単価!$H$5:$H$443,MATCH($C1172,⑱中間品単価!$B$5:$B$443,0)),"")</f>
        <v/>
      </c>
      <c r="H1172" s="396">
        <f>IF(AND(ISNUMBER($F1172),ISNUMBER($G1172)),$F1172*$G1172,"")</f>
        <v/>
      </c>
      <c r="I1172" s="392" t="n"/>
    </row>
    <row r="1173">
      <c r="A1173" s="392" t="n"/>
      <c r="B1173" s="392" t="n"/>
      <c r="C1173" s="392" t="n"/>
      <c r="D1173" s="392" t="n"/>
      <c r="E1173" s="392" t="n"/>
      <c r="F1173" s="394" t="n"/>
      <c r="G1173" s="604">
        <f>IFERROR(INDEX(⑱中間品単価!$H$5:$H$443,MATCH($C1173,⑱中間品単価!$B$5:$B$443,0)),"")</f>
        <v/>
      </c>
      <c r="H1173" s="396">
        <f>IF(AND(ISNUMBER($F1173),ISNUMBER($G1173)),$F1173*$G1173,"")</f>
        <v/>
      </c>
      <c r="I1173" s="392" t="n"/>
    </row>
    <row r="1174">
      <c r="A1174" s="392" t="n"/>
      <c r="B1174" s="392" t="n"/>
      <c r="C1174" s="392" t="n"/>
      <c r="D1174" s="392" t="n"/>
      <c r="E1174" s="392" t="n"/>
      <c r="F1174" s="394" t="n"/>
      <c r="G1174" s="604">
        <f>IFERROR(INDEX(⑱中間品単価!$H$5:$H$443,MATCH($C1174,⑱中間品単価!$B$5:$B$443,0)),"")</f>
        <v/>
      </c>
      <c r="H1174" s="396">
        <f>IF(AND(ISNUMBER($F1174),ISNUMBER($G1174)),$F1174*$G1174,"")</f>
        <v/>
      </c>
      <c r="I1174" s="392" t="n"/>
    </row>
    <row r="1175">
      <c r="A1175" s="392" t="n"/>
      <c r="B1175" s="392" t="n"/>
      <c r="C1175" s="392" t="n"/>
      <c r="D1175" s="392" t="n"/>
      <c r="E1175" s="392" t="n"/>
      <c r="F1175" s="394" t="n"/>
      <c r="G1175" s="604">
        <f>IFERROR(INDEX(⑱中間品単価!$H$5:$H$443,MATCH($C1175,⑱中間品単価!$B$5:$B$443,0)),"")</f>
        <v/>
      </c>
      <c r="H1175" s="396">
        <f>IF(AND(ISNUMBER($F1175),ISNUMBER($G1175)),$F1175*$G1175,"")</f>
        <v/>
      </c>
      <c r="I1175" s="392" t="n"/>
    </row>
    <row r="1176">
      <c r="A1176" s="392" t="n"/>
      <c r="B1176" s="392" t="n"/>
      <c r="C1176" s="392" t="n"/>
      <c r="D1176" s="392" t="n"/>
      <c r="E1176" s="392" t="n"/>
      <c r="F1176" s="394" t="n"/>
      <c r="G1176" s="604">
        <f>IFERROR(INDEX(⑱中間品単価!$H$5:$H$443,MATCH($C1176,⑱中間品単価!$B$5:$B$443,0)),"")</f>
        <v/>
      </c>
      <c r="H1176" s="396">
        <f>IF(AND(ISNUMBER($F1176),ISNUMBER($G1176)),$F1176*$G1176,"")</f>
        <v/>
      </c>
      <c r="I1176" s="392" t="n"/>
    </row>
    <row r="1177">
      <c r="A1177" s="392" t="n"/>
      <c r="B1177" s="392" t="n"/>
      <c r="C1177" s="392" t="n"/>
      <c r="D1177" s="392" t="n"/>
      <c r="E1177" s="392" t="n"/>
      <c r="F1177" s="394" t="n"/>
      <c r="G1177" s="604">
        <f>IFERROR(INDEX(⑱中間品単価!$H$5:$H$443,MATCH($C1177,⑱中間品単価!$B$5:$B$443,0)),"")</f>
        <v/>
      </c>
      <c r="H1177" s="396">
        <f>IF(AND(ISNUMBER($F1177),ISNUMBER($G1177)),$F1177*$G1177,"")</f>
        <v/>
      </c>
      <c r="I1177" s="392" t="n"/>
    </row>
    <row r="1178">
      <c r="A1178" s="392" t="n"/>
      <c r="B1178" s="392" t="n"/>
      <c r="C1178" s="392" t="n"/>
      <c r="D1178" s="392" t="n"/>
      <c r="E1178" s="392" t="n"/>
      <c r="F1178" s="394" t="n"/>
      <c r="G1178" s="604">
        <f>IFERROR(INDEX(⑱中間品単価!$H$5:$H$443,MATCH($C1178,⑱中間品単価!$B$5:$B$443,0)),"")</f>
        <v/>
      </c>
      <c r="H1178" s="396">
        <f>IF(AND(ISNUMBER($F1178),ISNUMBER($G1178)),$F1178*$G1178,"")</f>
        <v/>
      </c>
      <c r="I1178" s="392" t="n"/>
    </row>
    <row r="1179">
      <c r="A1179" s="392" t="n"/>
      <c r="B1179" s="392" t="n"/>
      <c r="C1179" s="392" t="n"/>
      <c r="D1179" s="392" t="n"/>
      <c r="E1179" s="392" t="n"/>
      <c r="F1179" s="394" t="n"/>
      <c r="G1179" s="604">
        <f>IFERROR(INDEX(⑱中間品単価!$H$5:$H$443,MATCH($C1179,⑱中間品単価!$B$5:$B$443,0)),"")</f>
        <v/>
      </c>
      <c r="H1179" s="396">
        <f>IF(AND(ISNUMBER($F1179),ISNUMBER($G1179)),$F1179*$G1179,"")</f>
        <v/>
      </c>
      <c r="I1179" s="392" t="n"/>
    </row>
    <row r="1180">
      <c r="A1180" s="392" t="n"/>
      <c r="B1180" s="392" t="n"/>
      <c r="C1180" s="392" t="n"/>
      <c r="D1180" s="392" t="n"/>
      <c r="E1180" s="392" t="n"/>
      <c r="F1180" s="394" t="n"/>
      <c r="G1180" s="604">
        <f>IFERROR(INDEX(⑱中間品単価!$H$5:$H$443,MATCH($C1180,⑱中間品単価!$B$5:$B$443,0)),"")</f>
        <v/>
      </c>
      <c r="H1180" s="396">
        <f>IF(AND(ISNUMBER($F1180),ISNUMBER($G1180)),$F1180*$G1180,"")</f>
        <v/>
      </c>
      <c r="I1180" s="392" t="n"/>
    </row>
    <row r="1181">
      <c r="A1181" s="392" t="n"/>
      <c r="B1181" s="392" t="n"/>
      <c r="C1181" s="392" t="n"/>
      <c r="D1181" s="392" t="n"/>
      <c r="E1181" s="392" t="n"/>
      <c r="F1181" s="394" t="n"/>
      <c r="G1181" s="604">
        <f>IFERROR(INDEX(⑱中間品単価!$H$5:$H$443,MATCH($C1181,⑱中間品単価!$B$5:$B$443,0)),"")</f>
        <v/>
      </c>
      <c r="H1181" s="396">
        <f>IF(AND(ISNUMBER($F1181),ISNUMBER($G1181)),$F1181*$G1181,"")</f>
        <v/>
      </c>
      <c r="I1181" s="392" t="n"/>
    </row>
    <row r="1182">
      <c r="A1182" s="392" t="n"/>
      <c r="B1182" s="392" t="n"/>
      <c r="C1182" s="392" t="n"/>
      <c r="D1182" s="392" t="n"/>
      <c r="E1182" s="392" t="n"/>
      <c r="F1182" s="394" t="n"/>
      <c r="G1182" s="604">
        <f>IFERROR(INDEX(⑱中間品単価!$H$5:$H$443,MATCH($C1182,⑱中間品単価!$B$5:$B$443,0)),"")</f>
        <v/>
      </c>
      <c r="H1182" s="396">
        <f>IF(AND(ISNUMBER($F1182),ISNUMBER($G1182)),$F1182*$G1182,"")</f>
        <v/>
      </c>
      <c r="I1182" s="392" t="n"/>
    </row>
    <row r="1183">
      <c r="A1183" s="392" t="n"/>
      <c r="B1183" s="392" t="n"/>
      <c r="C1183" s="392" t="n"/>
      <c r="D1183" s="392" t="n"/>
      <c r="E1183" s="392" t="n"/>
      <c r="F1183" s="394" t="n"/>
      <c r="G1183" s="604">
        <f>IFERROR(INDEX(⑱中間品単価!$H$5:$H$443,MATCH($C1183,⑱中間品単価!$B$5:$B$443,0)),"")</f>
        <v/>
      </c>
      <c r="H1183" s="396">
        <f>IF(AND(ISNUMBER($F1183),ISNUMBER($G1183)),$F1183*$G1183,"")</f>
        <v/>
      </c>
      <c r="I1183" s="392" t="n"/>
    </row>
    <row r="1184">
      <c r="A1184" s="392" t="n"/>
      <c r="B1184" s="392" t="n"/>
      <c r="C1184" s="392" t="n"/>
      <c r="D1184" s="392" t="n"/>
      <c r="E1184" s="392" t="n"/>
      <c r="F1184" s="394" t="n"/>
      <c r="G1184" s="604">
        <f>IFERROR(INDEX(⑱中間品単価!$H$5:$H$443,MATCH($C1184,⑱中間品単価!$B$5:$B$443,0)),"")</f>
        <v/>
      </c>
      <c r="H1184" s="396">
        <f>IF(AND(ISNUMBER($F1184),ISNUMBER($G1184)),$F1184*$G1184,"")</f>
        <v/>
      </c>
      <c r="I1184" s="392" t="n"/>
    </row>
    <row r="1185">
      <c r="A1185" s="392" t="n"/>
      <c r="B1185" s="392" t="n"/>
      <c r="C1185" s="392" t="n"/>
      <c r="D1185" s="392" t="n"/>
      <c r="E1185" s="392" t="n"/>
      <c r="F1185" s="394" t="n"/>
      <c r="G1185" s="604">
        <f>IFERROR(INDEX(⑱中間品単価!$H$5:$H$443,MATCH($C1185,⑱中間品単価!$B$5:$B$443,0)),"")</f>
        <v/>
      </c>
      <c r="H1185" s="396">
        <f>IF(AND(ISNUMBER($F1185),ISNUMBER($G1185)),$F1185*$G1185,"")</f>
        <v/>
      </c>
      <c r="I1185" s="392" t="n"/>
    </row>
    <row r="1186">
      <c r="A1186" s="392" t="n"/>
      <c r="B1186" s="392" t="n"/>
      <c r="C1186" s="392" t="n"/>
      <c r="D1186" s="392" t="n"/>
      <c r="E1186" s="392" t="n"/>
      <c r="F1186" s="394" t="n"/>
      <c r="G1186" s="604">
        <f>IFERROR(INDEX(⑱中間品単価!$H$5:$H$443,MATCH($C1186,⑱中間品単価!$B$5:$B$443,0)),"")</f>
        <v/>
      </c>
      <c r="H1186" s="396">
        <f>IF(AND(ISNUMBER($F1186),ISNUMBER($G1186)),$F1186*$G1186,"")</f>
        <v/>
      </c>
      <c r="I1186" s="392" t="n"/>
    </row>
    <row r="1187">
      <c r="A1187" s="392" t="n"/>
      <c r="B1187" s="392" t="n"/>
      <c r="C1187" s="392" t="n"/>
      <c r="D1187" s="392" t="n"/>
      <c r="E1187" s="392" t="n"/>
      <c r="F1187" s="394" t="n"/>
      <c r="G1187" s="604">
        <f>IFERROR(INDEX(⑱中間品単価!$H$5:$H$443,MATCH($C1187,⑱中間品単価!$B$5:$B$443,0)),"")</f>
        <v/>
      </c>
      <c r="H1187" s="396">
        <f>IF(AND(ISNUMBER($F1187),ISNUMBER($G1187)),$F1187*$G1187,"")</f>
        <v/>
      </c>
      <c r="I1187" s="392" t="n"/>
    </row>
    <row r="1188">
      <c r="A1188" s="392" t="n"/>
      <c r="B1188" s="392" t="n"/>
      <c r="C1188" s="392" t="n"/>
      <c r="D1188" s="392" t="n"/>
      <c r="E1188" s="392" t="n"/>
      <c r="F1188" s="394" t="n"/>
      <c r="G1188" s="604">
        <f>IFERROR(INDEX(⑱中間品単価!$H$5:$H$443,MATCH($C1188,⑱中間品単価!$B$5:$B$443,0)),"")</f>
        <v/>
      </c>
      <c r="H1188" s="396">
        <f>IF(AND(ISNUMBER($F1188),ISNUMBER($G1188)),$F1188*$G1188,"")</f>
        <v/>
      </c>
      <c r="I1188" s="392" t="n"/>
    </row>
    <row r="1189">
      <c r="A1189" s="392" t="n"/>
      <c r="B1189" s="392" t="n"/>
      <c r="C1189" s="392" t="n"/>
      <c r="D1189" s="392" t="n"/>
      <c r="E1189" s="392" t="n"/>
      <c r="F1189" s="394" t="n"/>
      <c r="G1189" s="604">
        <f>IFERROR(INDEX(⑱中間品単価!$H$5:$H$443,MATCH($C1189,⑱中間品単価!$B$5:$B$443,0)),"")</f>
        <v/>
      </c>
      <c r="H1189" s="396">
        <f>IF(AND(ISNUMBER($F1189),ISNUMBER($G1189)),$F1189*$G1189,"")</f>
        <v/>
      </c>
      <c r="I1189" s="392" t="n"/>
    </row>
    <row r="1190">
      <c r="A1190" s="392" t="n"/>
      <c r="B1190" s="392" t="n"/>
      <c r="C1190" s="392" t="n"/>
      <c r="D1190" s="392" t="n"/>
      <c r="E1190" s="392" t="n"/>
      <c r="F1190" s="394" t="n"/>
      <c r="G1190" s="604">
        <f>IFERROR(INDEX(⑱中間品単価!$H$5:$H$443,MATCH($C1190,⑱中間品単価!$B$5:$B$443,0)),"")</f>
        <v/>
      </c>
      <c r="H1190" s="396">
        <f>IF(AND(ISNUMBER($F1190),ISNUMBER($G1190)),$F1190*$G1190,"")</f>
        <v/>
      </c>
      <c r="I1190" s="392" t="n"/>
    </row>
    <row r="1191">
      <c r="A1191" s="392" t="n"/>
      <c r="B1191" s="392" t="n"/>
      <c r="C1191" s="392" t="n"/>
      <c r="D1191" s="392" t="n"/>
      <c r="E1191" s="392" t="n"/>
      <c r="F1191" s="394" t="n"/>
      <c r="G1191" s="604">
        <f>IFERROR(INDEX(⑱中間品単価!$H$5:$H$443,MATCH($C1191,⑱中間品単価!$B$5:$B$443,0)),"")</f>
        <v/>
      </c>
      <c r="H1191" s="396">
        <f>IF(AND(ISNUMBER($F1191),ISNUMBER($G1191)),$F1191*$G1191,"")</f>
        <v/>
      </c>
      <c r="I1191" s="392" t="n"/>
    </row>
    <row r="1192">
      <c r="A1192" s="392" t="n"/>
      <c r="B1192" s="392" t="n"/>
      <c r="C1192" s="392" t="n"/>
      <c r="D1192" s="392" t="n"/>
      <c r="E1192" s="392" t="n"/>
      <c r="F1192" s="394" t="n"/>
      <c r="G1192" s="604">
        <f>IFERROR(INDEX(⑱中間品単価!$H$5:$H$443,MATCH($C1192,⑱中間品単価!$B$5:$B$443,0)),"")</f>
        <v/>
      </c>
      <c r="H1192" s="396">
        <f>IF(AND(ISNUMBER($F1192),ISNUMBER($G1192)),$F1192*$G1192,"")</f>
        <v/>
      </c>
      <c r="I1192" s="392" t="n"/>
    </row>
    <row r="1193">
      <c r="A1193" s="392" t="n"/>
      <c r="B1193" s="392" t="n"/>
      <c r="C1193" s="392" t="n"/>
      <c r="D1193" s="392" t="n"/>
      <c r="E1193" s="392" t="n"/>
      <c r="F1193" s="394" t="n"/>
      <c r="G1193" s="604">
        <f>IFERROR(INDEX(⑱中間品単価!$H$5:$H$443,MATCH($C1193,⑱中間品単価!$B$5:$B$443,0)),"")</f>
        <v/>
      </c>
      <c r="H1193" s="396">
        <f>IF(AND(ISNUMBER($F1193),ISNUMBER($G1193)),$F1193*$G1193,"")</f>
        <v/>
      </c>
      <c r="I1193" s="392" t="n"/>
    </row>
    <row r="1194">
      <c r="A1194" s="392" t="n"/>
      <c r="B1194" s="392" t="n"/>
      <c r="C1194" s="392" t="n"/>
      <c r="D1194" s="392" t="n"/>
      <c r="E1194" s="392" t="n"/>
      <c r="F1194" s="394" t="n"/>
      <c r="G1194" s="604">
        <f>IFERROR(INDEX(⑱中間品単価!$H$5:$H$443,MATCH($C1194,⑱中間品単価!$B$5:$B$443,0)),"")</f>
        <v/>
      </c>
      <c r="H1194" s="396">
        <f>IF(AND(ISNUMBER($F1194),ISNUMBER($G1194)),$F1194*$G1194,"")</f>
        <v/>
      </c>
      <c r="I1194" s="392" t="n"/>
    </row>
    <row r="1195">
      <c r="A1195" s="392" t="n"/>
      <c r="B1195" s="392" t="n"/>
      <c r="C1195" s="392" t="n"/>
      <c r="D1195" s="392" t="n"/>
      <c r="E1195" s="392" t="n"/>
      <c r="F1195" s="394" t="n"/>
      <c r="G1195" s="604">
        <f>IFERROR(INDEX(⑱中間品単価!$H$5:$H$443,MATCH($C1195,⑱中間品単価!$B$5:$B$443,0)),"")</f>
        <v/>
      </c>
      <c r="H1195" s="396">
        <f>IF(AND(ISNUMBER($F1195),ISNUMBER($G1195)),$F1195*$G1195,"")</f>
        <v/>
      </c>
      <c r="I1195" s="392" t="n"/>
    </row>
    <row r="1196">
      <c r="A1196" s="392" t="n"/>
      <c r="B1196" s="392" t="n"/>
      <c r="C1196" s="392" t="n"/>
      <c r="D1196" s="392" t="n"/>
      <c r="E1196" s="392" t="n"/>
      <c r="F1196" s="394" t="n"/>
      <c r="G1196" s="604">
        <f>IFERROR(INDEX(⑱中間品単価!$H$5:$H$443,MATCH($C1196,⑱中間品単価!$B$5:$B$443,0)),"")</f>
        <v/>
      </c>
      <c r="H1196" s="396">
        <f>IF(AND(ISNUMBER($F1196),ISNUMBER($G1196)),$F1196*$G1196,"")</f>
        <v/>
      </c>
      <c r="I1196" s="392" t="n"/>
    </row>
    <row r="1197">
      <c r="A1197" s="392" t="n"/>
      <c r="B1197" s="392" t="n"/>
      <c r="C1197" s="392" t="n"/>
      <c r="D1197" s="392" t="n"/>
      <c r="E1197" s="392" t="n"/>
      <c r="F1197" s="394" t="n"/>
      <c r="G1197" s="604">
        <f>IFERROR(INDEX(⑱中間品単価!$H$5:$H$443,MATCH($C1197,⑱中間品単価!$B$5:$B$443,0)),"")</f>
        <v/>
      </c>
      <c r="H1197" s="396">
        <f>IF(AND(ISNUMBER($F1197),ISNUMBER($G1197)),$F1197*$G1197,"")</f>
        <v/>
      </c>
      <c r="I1197" s="392" t="n"/>
    </row>
    <row r="1198">
      <c r="A1198" s="392" t="n"/>
      <c r="B1198" s="392" t="n"/>
      <c r="C1198" s="392" t="n"/>
      <c r="D1198" s="392" t="n"/>
      <c r="E1198" s="392" t="n"/>
      <c r="F1198" s="394" t="n"/>
      <c r="G1198" s="604">
        <f>IFERROR(INDEX(⑱中間品単価!$H$5:$H$443,MATCH($C1198,⑱中間品単価!$B$5:$B$443,0)),"")</f>
        <v/>
      </c>
      <c r="H1198" s="396">
        <f>IF(AND(ISNUMBER($F1198),ISNUMBER($G1198)),$F1198*$G1198,"")</f>
        <v/>
      </c>
      <c r="I1198" s="392" t="n"/>
    </row>
    <row r="1199">
      <c r="A1199" s="392" t="n"/>
      <c r="B1199" s="392" t="n"/>
      <c r="C1199" s="392" t="n"/>
      <c r="D1199" s="392" t="n"/>
      <c r="E1199" s="392" t="n"/>
      <c r="F1199" s="394" t="n"/>
      <c r="G1199" s="604">
        <f>IFERROR(INDEX(⑱中間品単価!$H$5:$H$443,MATCH($C1199,⑱中間品単価!$B$5:$B$443,0)),"")</f>
        <v/>
      </c>
      <c r="H1199" s="396">
        <f>IF(AND(ISNUMBER($F1199),ISNUMBER($G1199)),$F1199*$G1199,"")</f>
        <v/>
      </c>
      <c r="I1199" s="392" t="n"/>
    </row>
    <row r="1200">
      <c r="A1200" s="392" t="n"/>
      <c r="B1200" s="392" t="n"/>
      <c r="C1200" s="392" t="n"/>
      <c r="D1200" s="392" t="n"/>
      <c r="E1200" s="392" t="n"/>
      <c r="F1200" s="394" t="n"/>
      <c r="G1200" s="604">
        <f>IFERROR(INDEX(⑱中間品単価!$H$5:$H$443,MATCH($C1200,⑱中間品単価!$B$5:$B$443,0)),"")</f>
        <v/>
      </c>
      <c r="H1200" s="396">
        <f>IF(AND(ISNUMBER($F1200),ISNUMBER($G1200)),$F1200*$G1200,"")</f>
        <v/>
      </c>
      <c r="I1200" s="392" t="n"/>
    </row>
    <row r="1201">
      <c r="A1201" s="392" t="n"/>
      <c r="B1201" s="392" t="n"/>
      <c r="C1201" s="392" t="n"/>
      <c r="D1201" s="392" t="n"/>
      <c r="E1201" s="392" t="n"/>
      <c r="F1201" s="394" t="n"/>
      <c r="G1201" s="604">
        <f>IFERROR(INDEX(⑱中間品単価!$H$5:$H$443,MATCH($C1201,⑱中間品単価!$B$5:$B$443,0)),"")</f>
        <v/>
      </c>
      <c r="H1201" s="396">
        <f>IF(AND(ISNUMBER($F1201),ISNUMBER($G1201)),$F1201*$G1201,"")</f>
        <v/>
      </c>
      <c r="I1201" s="392" t="n"/>
    </row>
    <row r="1202">
      <c r="A1202" s="392" t="n"/>
      <c r="B1202" s="392" t="n"/>
      <c r="C1202" s="392" t="n"/>
      <c r="D1202" s="392" t="n"/>
      <c r="E1202" s="392" t="n"/>
      <c r="F1202" s="394" t="n"/>
      <c r="G1202" s="604">
        <f>IFERROR(INDEX(⑱中間品単価!$H$5:$H$443,MATCH($C1202,⑱中間品単価!$B$5:$B$443,0)),"")</f>
        <v/>
      </c>
      <c r="H1202" s="396">
        <f>IF(AND(ISNUMBER($F1202),ISNUMBER($G1202)),$F1202*$G1202,"")</f>
        <v/>
      </c>
      <c r="I1202" s="392" t="n"/>
    </row>
    <row r="1203">
      <c r="A1203" s="392" t="n"/>
      <c r="B1203" s="392" t="n"/>
      <c r="C1203" s="392" t="n"/>
      <c r="D1203" s="392" t="n"/>
      <c r="E1203" s="392" t="n"/>
      <c r="F1203" s="394" t="n"/>
      <c r="G1203" s="604">
        <f>IFERROR(INDEX(⑱中間品単価!$H$5:$H$443,MATCH($C1203,⑱中間品単価!$B$5:$B$443,0)),"")</f>
        <v/>
      </c>
      <c r="H1203" s="396">
        <f>IF(AND(ISNUMBER($F1203),ISNUMBER($G1203)),$F1203*$G1203,"")</f>
        <v/>
      </c>
      <c r="I1203" s="392" t="n"/>
    </row>
    <row r="1204">
      <c r="A1204" s="392" t="n"/>
      <c r="B1204" s="392" t="n"/>
      <c r="C1204" s="392" t="n"/>
      <c r="D1204" s="392" t="n"/>
      <c r="E1204" s="392" t="n"/>
      <c r="F1204" s="394" t="n"/>
      <c r="G1204" s="604">
        <f>IFERROR(INDEX(⑱中間品単価!$H$5:$H$443,MATCH($C1204,⑱中間品単価!$B$5:$B$443,0)),"")</f>
        <v/>
      </c>
      <c r="H1204" s="396">
        <f>IF(AND(ISNUMBER($F1204),ISNUMBER($G1204)),$F1204*$G1204,"")</f>
        <v/>
      </c>
      <c r="I1204" s="392" t="n"/>
    </row>
    <row r="1205">
      <c r="A1205" s="392" t="n"/>
      <c r="B1205" s="392" t="n"/>
      <c r="C1205" s="392" t="n"/>
      <c r="D1205" s="392" t="n"/>
      <c r="E1205" s="392" t="n"/>
      <c r="F1205" s="394" t="n"/>
      <c r="G1205" s="604">
        <f>IFERROR(INDEX(⑱中間品単価!$H$5:$H$443,MATCH($C1205,⑱中間品単価!$B$5:$B$443,0)),"")</f>
        <v/>
      </c>
      <c r="H1205" s="396">
        <f>IF(AND(ISNUMBER($F1205),ISNUMBER($G1205)),$F1205*$G1205,"")</f>
        <v/>
      </c>
      <c r="I1205" s="392" t="n"/>
    </row>
    <row r="1206">
      <c r="A1206" s="392" t="n"/>
      <c r="B1206" s="392" t="n"/>
      <c r="C1206" s="392" t="n"/>
      <c r="D1206" s="392" t="n"/>
      <c r="E1206" s="392" t="n"/>
      <c r="F1206" s="394" t="n"/>
      <c r="G1206" s="604">
        <f>IFERROR(INDEX(⑱中間品単価!$H$5:$H$443,MATCH($C1206,⑱中間品単価!$B$5:$B$443,0)),"")</f>
        <v/>
      </c>
      <c r="H1206" s="396">
        <f>IF(AND(ISNUMBER($F1206),ISNUMBER($G1206)),$F1206*$G1206,"")</f>
        <v/>
      </c>
      <c r="I1206" s="392" t="n"/>
    </row>
    <row r="1207">
      <c r="A1207" s="392" t="n"/>
      <c r="B1207" s="392" t="n"/>
      <c r="C1207" s="392" t="n"/>
      <c r="D1207" s="392" t="n"/>
      <c r="E1207" s="392" t="n"/>
      <c r="F1207" s="394" t="n"/>
      <c r="G1207" s="604">
        <f>IFERROR(INDEX(⑱中間品単価!$H$5:$H$443,MATCH($C1207,⑱中間品単価!$B$5:$B$443,0)),"")</f>
        <v/>
      </c>
      <c r="H1207" s="396">
        <f>IF(AND(ISNUMBER($F1207),ISNUMBER($G1207)),$F1207*$G1207,"")</f>
        <v/>
      </c>
      <c r="I1207" s="392" t="n"/>
    </row>
    <row r="1208">
      <c r="A1208" s="392" t="n"/>
      <c r="B1208" s="392" t="n"/>
      <c r="C1208" s="392" t="n"/>
      <c r="D1208" s="392" t="n"/>
      <c r="E1208" s="392" t="n"/>
      <c r="F1208" s="394" t="n"/>
      <c r="G1208" s="604">
        <f>IFERROR(INDEX(⑱中間品単価!$H$5:$H$443,MATCH($C1208,⑱中間品単価!$B$5:$B$443,0)),"")</f>
        <v/>
      </c>
      <c r="H1208" s="396">
        <f>IF(AND(ISNUMBER($F1208),ISNUMBER($G1208)),$F1208*$G1208,"")</f>
        <v/>
      </c>
      <c r="I1208" s="392" t="n"/>
    </row>
    <row r="1209">
      <c r="A1209" s="392" t="n"/>
      <c r="B1209" s="392" t="n"/>
      <c r="C1209" s="392" t="n"/>
      <c r="D1209" s="392" t="n"/>
      <c r="E1209" s="392" t="n"/>
      <c r="F1209" s="394" t="n"/>
      <c r="G1209" s="604">
        <f>IFERROR(INDEX(⑱中間品単価!$H$5:$H$443,MATCH($C1209,⑱中間品単価!$B$5:$B$443,0)),"")</f>
        <v/>
      </c>
      <c r="H1209" s="396">
        <f>IF(AND(ISNUMBER($F1209),ISNUMBER($G1209)),$F1209*$G1209,"")</f>
        <v/>
      </c>
      <c r="I1209" s="392" t="n"/>
    </row>
    <row r="1210">
      <c r="A1210" s="392" t="n"/>
      <c r="B1210" s="392" t="n"/>
      <c r="C1210" s="392" t="n"/>
      <c r="D1210" s="392" t="n"/>
      <c r="E1210" s="392" t="n"/>
      <c r="F1210" s="394" t="n"/>
      <c r="G1210" s="604">
        <f>IFERROR(INDEX(⑱中間品単価!$H$5:$H$443,MATCH($C1210,⑱中間品単価!$B$5:$B$443,0)),"")</f>
        <v/>
      </c>
      <c r="H1210" s="396">
        <f>IF(AND(ISNUMBER($F1210),ISNUMBER($G1210)),$F1210*$G1210,"")</f>
        <v/>
      </c>
      <c r="I1210" s="392" t="n"/>
    </row>
    <row r="1211">
      <c r="A1211" s="392" t="n"/>
      <c r="B1211" s="392" t="n"/>
      <c r="C1211" s="392" t="n"/>
      <c r="D1211" s="392" t="n"/>
      <c r="E1211" s="392" t="n"/>
      <c r="F1211" s="394" t="n"/>
      <c r="G1211" s="604">
        <f>IFERROR(INDEX(⑱中間品単価!$H$5:$H$443,MATCH($C1211,⑱中間品単価!$B$5:$B$443,0)),"")</f>
        <v/>
      </c>
      <c r="H1211" s="396">
        <f>IF(AND(ISNUMBER($F1211),ISNUMBER($G1211)),$F1211*$G1211,"")</f>
        <v/>
      </c>
      <c r="I1211" s="392" t="n"/>
    </row>
    <row r="1212">
      <c r="A1212" s="392" t="n"/>
      <c r="B1212" s="392" t="n"/>
      <c r="C1212" s="392" t="n"/>
      <c r="D1212" s="392" t="n"/>
      <c r="E1212" s="392" t="n"/>
      <c r="F1212" s="394" t="n"/>
      <c r="G1212" s="604">
        <f>IFERROR(INDEX(⑱中間品単価!$H$5:$H$443,MATCH($C1212,⑱中間品単価!$B$5:$B$443,0)),"")</f>
        <v/>
      </c>
      <c r="H1212" s="396">
        <f>IF(AND(ISNUMBER($F1212),ISNUMBER($G1212)),$F1212*$G1212,"")</f>
        <v/>
      </c>
      <c r="I1212" s="392" t="n"/>
    </row>
    <row r="1213">
      <c r="A1213" s="392" t="n"/>
      <c r="B1213" s="392" t="n"/>
      <c r="C1213" s="392" t="n"/>
      <c r="D1213" s="392" t="n"/>
      <c r="E1213" s="392" t="n"/>
      <c r="F1213" s="394" t="n"/>
      <c r="G1213" s="604">
        <f>IFERROR(INDEX(⑱中間品単価!$H$5:$H$443,MATCH($C1213,⑱中間品単価!$B$5:$B$443,0)),"")</f>
        <v/>
      </c>
      <c r="H1213" s="396">
        <f>IF(AND(ISNUMBER($F1213),ISNUMBER($G1213)),$F1213*$G1213,"")</f>
        <v/>
      </c>
      <c r="I1213" s="392" t="n"/>
    </row>
    <row r="1214">
      <c r="A1214" s="392" t="n"/>
      <c r="B1214" s="392" t="n"/>
      <c r="C1214" s="392" t="n"/>
      <c r="D1214" s="392" t="n"/>
      <c r="E1214" s="392" t="n"/>
      <c r="F1214" s="394" t="n"/>
      <c r="G1214" s="604">
        <f>IFERROR(INDEX(⑱中間品単価!$H$5:$H$443,MATCH($C1214,⑱中間品単価!$B$5:$B$443,0)),"")</f>
        <v/>
      </c>
      <c r="H1214" s="396">
        <f>IF(AND(ISNUMBER($F1214),ISNUMBER($G1214)),$F1214*$G1214,"")</f>
        <v/>
      </c>
      <c r="I1214" s="392" t="n"/>
    </row>
    <row r="1215">
      <c r="A1215" s="392" t="n"/>
      <c r="B1215" s="392" t="n"/>
      <c r="C1215" s="392" t="n"/>
      <c r="D1215" s="392" t="n"/>
      <c r="E1215" s="392" t="n"/>
      <c r="F1215" s="394" t="n"/>
      <c r="G1215" s="604">
        <f>IFERROR(INDEX(⑱中間品単価!$H$5:$H$443,MATCH($C1215,⑱中間品単価!$B$5:$B$443,0)),"")</f>
        <v/>
      </c>
      <c r="H1215" s="396">
        <f>IF(AND(ISNUMBER($F1215),ISNUMBER($G1215)),$F1215*$G1215,"")</f>
        <v/>
      </c>
      <c r="I1215" s="392" t="n"/>
    </row>
    <row r="1216">
      <c r="A1216" s="392" t="n"/>
      <c r="B1216" s="392" t="n"/>
      <c r="C1216" s="392" t="n"/>
      <c r="D1216" s="392" t="n"/>
      <c r="E1216" s="392" t="n"/>
      <c r="F1216" s="394" t="n"/>
      <c r="G1216" s="604">
        <f>IFERROR(INDEX(⑱中間品単価!$H$5:$H$443,MATCH($C1216,⑱中間品単価!$B$5:$B$443,0)),"")</f>
        <v/>
      </c>
      <c r="H1216" s="396">
        <f>IF(AND(ISNUMBER($F1216),ISNUMBER($G1216)),$F1216*$G1216,"")</f>
        <v/>
      </c>
      <c r="I1216" s="392" t="n"/>
    </row>
    <row r="1217">
      <c r="A1217" s="392" t="n"/>
      <c r="B1217" s="392" t="n"/>
      <c r="C1217" s="392" t="n"/>
      <c r="D1217" s="392" t="n"/>
      <c r="E1217" s="392" t="n"/>
      <c r="F1217" s="394" t="n"/>
      <c r="G1217" s="604">
        <f>IFERROR(INDEX(⑱中間品単価!$H$5:$H$443,MATCH($C1217,⑱中間品単価!$B$5:$B$443,0)),"")</f>
        <v/>
      </c>
      <c r="H1217" s="396">
        <f>IF(AND(ISNUMBER($F1217),ISNUMBER($G1217)),$F1217*$G1217,"")</f>
        <v/>
      </c>
      <c r="I1217" s="392" t="n"/>
    </row>
  </sheetData>
  <autoFilter ref="A4:I1217"/>
  <dataValidations count="1">
    <dataValidation sqref="F5:F1217" showDropDown="0" showInputMessage="0" showErrorMessage="0" allowBlank="1" errorTitle="数値を入力してください" error="1食あたり使用量は 0 以上の数値です（単位はE列）" promptTitle="1食あたり使用量" prompt="E列の単位（g / 個 / 切 / 本 / 枚）での1食あたり数量" type="decimal" operator="greaterThanOrEqual">
      <formula1>0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pane ySplit="4" topLeftCell="A5" activePane="bottomLeft" state="frozen"/>
      <selection pane="bottomLeft" activeCell="H17" sqref="H17"/>
    </sheetView>
  </sheetViews>
  <sheetFormatPr baseColWidth="8" defaultRowHeight="13"/>
  <cols>
    <col width="6" customWidth="1" style="438" min="1" max="1"/>
    <col width="12" customWidth="1" style="438" min="2" max="2"/>
    <col width="32" customWidth="1" style="438" min="3" max="3"/>
    <col width="8" customWidth="1" style="438" min="4" max="4"/>
    <col width="15" customWidth="1" style="438" min="5" max="5"/>
    <col width="14" customWidth="1" style="438" min="7" max="7"/>
    <col width="16" customWidth="1" style="438" min="8" max="8"/>
    <col width="10" customWidth="1" style="438" min="9" max="9"/>
    <col width="13" customWidth="1" style="438" min="10" max="10"/>
    <col width="13" customWidth="1" style="438" min="11" max="11"/>
    <col width="14" customWidth="1" style="438" min="13" max="13"/>
    <col width="14" customWidth="1" style="438" min="14" max="14"/>
    <col width="10" customWidth="1" style="438" min="16" max="16"/>
    <col width="12" customWidth="1" style="438" min="17" max="17"/>
    <col width="16" customWidth="1" style="438" min="18" max="18"/>
    <col width="26" customWidth="1" style="438" min="21" max="21"/>
    <col width="16" customWidth="1" style="438" min="22" max="22"/>
    <col width="16" customWidth="1" style="438" min="23" max="23"/>
    <col width="20" customWidth="1" style="438" min="24" max="24"/>
    <col width="16" customWidth="1" style="438" min="25" max="25"/>
    <col width="30" customWidth="1" style="438" min="27" max="27"/>
  </cols>
  <sheetData>
    <row r="1" ht="14" customHeight="1" s="438">
      <c r="A1" s="389" t="inlineStr">
        <is>
          <t>⑳ 商品別 1食あたり労務費（工程入力のひもづけ集計）</t>
        </is>
      </c>
    </row>
    <row r="2">
      <c r="A2" s="390" t="inlineStr">
        <is>
          <t>★ 工程入力のR〜X列で商品を選ぶと集計されます（最大6商品・食数の比で配分）。時給は④前提設定B4。J列＝商品原価、K列＝経費（原価×経費率B21・人件費除く）、L列＝総原価、M列＝売価、N列＝差益（売価−総原価−採用1食労務費）、O列＝差益率。V列＝KIT別作業時間シートからの1食労務費（作業時間÷60×時給）。W列の採用値は「今回の工程実績→KIT作業時間→前回資料」の順に使います。Y列＝出荷数（2026/8月・益子CK）、Z列＝その労務費。 G列＝設定加工賃（商品別乖離シートF列から商品名で照合）。</t>
        </is>
      </c>
    </row>
    <row r="3"/>
    <row r="4" ht="32" customHeight="1" s="438">
      <c r="A4" s="391" t="inlineStr">
        <is>
          <t>No.</t>
        </is>
      </c>
      <c r="B4" s="391" t="inlineStr">
        <is>
          <t>カテゴリー</t>
        </is>
      </c>
      <c r="C4" s="391" t="inlineStr">
        <is>
          <t>商品名</t>
        </is>
      </c>
      <c r="D4" s="391" t="inlineStr">
        <is>
          <t>食数
(⑩盛付から自動)</t>
        </is>
      </c>
      <c r="E4" s="391" t="inlineStr">
        <is>
          <t>食数
★入力（⑩に無い商品）</t>
        </is>
      </c>
      <c r="F4" s="391" t="inlineStr">
        <is>
          <t>使う食数</t>
        </is>
      </c>
      <c r="G4" s="391" t="inlineStr">
        <is>
          <t>設定加工賃
(円/個)
※商品別乖離より</t>
        </is>
      </c>
      <c r="H4" s="391" t="inlineStr">
        <is>
          <t>工程労務費
(円・ひもづけ分)</t>
        </is>
      </c>
      <c r="I4" s="391" t="inlineStr">
        <is>
          <t>1食あたり労務費
(円/食)</t>
        </is>
      </c>
      <c r="J4" s="391" t="inlineStr">
        <is>
          <t>商品原価
(円/個)</t>
        </is>
      </c>
      <c r="K4" s="391" t="inlineStr">
        <is>
          <t>経費
(円/個)
原価×経費率</t>
        </is>
      </c>
      <c r="L4" s="391" t="inlineStr">
        <is>
          <t>総原価
(円/個)</t>
        </is>
      </c>
      <c r="M4" s="391" t="inlineStr">
        <is>
          <t>売価
(円/個)</t>
        </is>
      </c>
      <c r="N4" s="391" t="inlineStr">
        <is>
          <t>差益
(円/個)
売価−総原価−労務費</t>
        </is>
      </c>
      <c r="O4" s="391" t="inlineStr">
        <is>
          <t>差益率
(%)</t>
        </is>
      </c>
      <c r="P4" s="391" t="inlineStr">
        <is>
          <t>ひもづけ
行数</t>
        </is>
      </c>
      <c r="Q4" s="391" t="inlineStr">
        <is>
          <t>メモ</t>
        </is>
      </c>
      <c r="R4" s="391" t="inlineStr">
        <is>
          <t>前回資料の
1食労務費(円)</t>
        </is>
      </c>
      <c r="S4" s="391" t="inlineStr">
        <is>
          <t>前回の
製造数</t>
        </is>
      </c>
      <c r="T4" s="391" t="inlineStr">
        <is>
          <t>差（今回−前回）
(円/食)</t>
        </is>
      </c>
      <c r="U4" s="391" t="inlineStr">
        <is>
          <t>参照した前回商品名</t>
        </is>
      </c>
      <c r="V4" s="391" t="inlineStr">
        <is>
          <t>KIT作業時間からの
1食労務費(円)</t>
        </is>
      </c>
      <c r="W4" s="391" t="inlineStr">
        <is>
          <t>採用する
1食労務費(円)</t>
        </is>
      </c>
      <c r="X4" s="391" t="inlineStr">
        <is>
          <t>出どころ</t>
        </is>
      </c>
      <c r="Y4" s="391" t="inlineStr">
        <is>
          <t>出荷数
(8月・益子CK)</t>
        </is>
      </c>
      <c r="Z4" s="391" t="inlineStr">
        <is>
          <t>労務費
(円・8月)</t>
        </is>
      </c>
      <c r="AA4" s="391" t="inlineStr">
        <is>
          <t>出庫データの商品名</t>
        </is>
      </c>
    </row>
    <row r="5">
      <c r="A5" s="392" t="n">
        <v>1</v>
      </c>
      <c r="B5" s="392" t="n"/>
      <c r="C5" s="392" t="inlineStr">
        <is>
          <t>【店舗用】ブレンド米４Ｋ</t>
        </is>
      </c>
      <c r="D5" s="398">
        <f>SUMIF(⑩盛付梱包工程入力!$R$5:$R$300,$C5,⑩盛付梱包工程入力!$AC$5:$AC$300)+SUMIF(⑩盛付梱包工程入力!$S$5:$S$300,$C5,⑩盛付梱包工程入力!$AC$5:$AC$300)+SUMIF(⑩盛付梱包工程入力!$T$5:$T$300,$C5,⑩盛付梱包工程入力!$AC$5:$AC$300)+SUMIF(⑩盛付梱包工程入力!$U$5:$U$300,$C5,⑩盛付梱包工程入力!$AC$5:$AC$300)+SUMIF(⑩盛付梱包工程入力!$V$5:$V$300,$C5,⑩盛付梱包工程入力!$AC$5:$AC$300)+SUMIF(⑩盛付梱包工程入力!$W$5:$W$300,$C5,⑩盛付梱包工程入力!$AC$5:$AC$300)</f>
        <v/>
      </c>
      <c r="E5" s="398" t="n">
        <v>78</v>
      </c>
      <c r="F5" s="398">
        <f>IF(N($E5)&gt;0,$E5,$D5)</f>
        <v/>
      </c>
      <c r="G5" s="393" t="n">
        <v>650</v>
      </c>
      <c r="H5" s="393">
        <f>SUMIF(②釜工程入力!$R$5:$R$117,$C5,②釜工程入力!$AD$5:$AD$117)+SUMIF(②釜工程入力!$S$5:$S$117,$C5,②釜工程入力!$AE$5:$AE$117)+SUMIF(②釜工程入力!$T$5:$T$117,$C5,②釜工程入力!$AF$5:$AF$117)+SUMIF(②釜工程入力!$U$5:$U$117,$C5,②釜工程入力!$AG$5:$AG$117)+SUMIF(②釜工程入力!$V$5:$V$117,$C5,②釜工程入力!$AH$5:$AH$117)+SUMIF(②釜工程入力!$W$5:$W$117,$C5,②釜工程入力!$AI$5:$AI$117)+SUMIF(③スチコン工程入力!$R$5:$R$152,$C5,③スチコン工程入力!$AD$5:$AD$152)+SUMIF(③スチコン工程入力!$S$5:$S$152,$C5,③スチコン工程入力!$AE$5:$AE$152)+SUMIF(③スチコン工程入力!$T$5:$T$152,$C5,③スチコン工程入力!$AF$5:$AF$152)+SUMIF(③スチコン工程入力!$U$5:$U$152,$C5,③スチコン工程入力!$AG$5:$AG$152)+SUMIF(③スチコン工程入力!$V$5:$V$152,$C5,③スチコン工程入力!$AH$5:$AH$152)+SUMIF(③スチコン工程入力!$W$5:$W$152,$C5,③スチコン工程入力!$AI$5:$AI$152)+SUMIF(⑩盛付梱包工程入力!$R$5:$R$300,$C5,⑩盛付梱包工程入力!$AD$5:$AD$300)+SUMIF(⑩盛付梱包工程入力!$S$5:$S$300,$C5,⑩盛付梱包工程入力!$AE$5:$AE$300)+SUMIF(⑩盛付梱包工程入力!$T$5:$T$300,$C5,⑩盛付梱包工程入力!$AF$5:$AF$300)+SUMIF(⑩盛付梱包工程入力!$U$5:$U$300,$C5,⑩盛付梱包工程入力!$AG$5:$AG$300)+SUMIF(⑩盛付梱包工程入力!$V$5:$V$300,$C5,⑩盛付梱包工程入力!$AH$5:$AH$300)+SUMIF(⑩盛付梱包工程入力!$W$5:$W$300,$C5,⑩盛付梱包工程入力!$AI$5:$AI$300)+SUMIF(⑪ZEN工程入力!$R$6:$R$35,$C5,⑪ZEN工程入力!$AD$6:$AD$35)+SUMIF(⑪ZEN工程入力!$S$6:$S$35,$C5,⑪ZEN工程入力!$AE$6:$AE$35)+SUMIF(⑪ZEN工程入力!$T$6:$T$35,$C5,⑪ZEN工程入力!$AF$6:$AF$35)+SUMIF(⑪ZEN工程入力!$U$6:$U$35,$C5,⑪ZEN工程入力!$AG$6:$AG$35)+SUMIF(⑪ZEN工程入力!$V$6:$V$35,$C5,⑪ZEN工程入力!$AH$6:$AH$35)+SUMIF(⑪ZEN工程入力!$W$6:$W$35,$C5,⑪ZEN工程入力!$AI$6:$AI$35)+SUMIF(⑫ミキサー工程入力!$R$6:$R$65,$C5,⑫ミキサー工程入力!$AD$6:$AD$65)+SUMIF(⑫ミキサー工程入力!$S$6:$S$65,$C5,⑫ミキサー工程入力!$AE$6:$AE$65)+SUMIF(⑫ミキサー工程入力!$T$6:$T$65,$C5,⑫ミキサー工程入力!$AF$6:$AF$65)+SUMIF(⑫ミキサー工程入力!$U$6:$U$65,$C5,⑫ミキサー工程入力!$AG$6:$AG$65)+SUMIF(⑫ミキサー工程入力!$V$6:$V$65,$C5,⑫ミキサー工程入力!$AH$6:$AH$65)+SUMIF(⑫ミキサー工程入力!$W$6:$W$65,$C5,⑫ミキサー工程入力!$AI$6:$AI$65)+SUMIF(⑬計量工程入力!$R$6:$R$65,$C5,⑬計量工程入力!$AD$6:$AD$65)+SUMIF(⑬計量工程入力!$S$6:$S$65,$C5,⑬計量工程入力!$AE$6:$AE$65)+SUMIF(⑬計量工程入力!$T$6:$T$65,$C5,⑬計量工程入力!$AF$6:$AF$65)+SUMIF(⑬計量工程入力!$U$6:$U$65,$C5,⑬計量工程入力!$AG$6:$AG$65)+SUMIF(⑬計量工程入力!$V$6:$V$65,$C5,⑬計量工程入力!$AH$6:$AH$65)+SUMIF(⑬計量工程入力!$W$6:$W$65,$C5,⑬計量工程入力!$AI$6:$AI$65)+SUMIF(⑭手動工程入力!$R$6:$R$47,$C5,⑭手動工程入力!$AD$6:$AD$47)+SUMIF(⑭手動工程入力!$S$6:$S$47,$C5,⑭手動工程入力!$AE$6:$AE$47)+SUMIF(⑭手動工程入力!$T$6:$T$47,$C5,⑭手動工程入力!$AF$6:$AF$47)+SUMIF(⑭手動工程入力!$U$6:$U$47,$C5,⑭手動工程入力!$AG$6:$AG$47)+SUMIF(⑭手動工程入力!$V$6:$V$47,$C5,⑭手動工程入力!$AH$6:$AH$47)+SUMIF(⑭手動工程入力!$W$6:$W$47,$C5,⑭手動工程入力!$AI$6:$AI$47)</f>
        <v/>
      </c>
      <c r="I5" s="393">
        <f>IF($F5&gt;0,$H5/$F5,"")</f>
        <v/>
      </c>
      <c r="J5" s="605">
        <f>IFERROR(INDEX(商品原価!$B$4:$B$112,MATCH(SUBSTITUTE(SUBSTITUTE(SUBSTITUTE(SUBSTITUTE(SUBSTITUTE(SUBSTITUTE(SUBSTITUTE(SUBSTITUTE(SUBSTITUTE(SUBSTITUTE(ASC($C5),"①","1"),"②","2"),"③","3"),"④","4"),"⑤","5"),"⑥","6"),"⑦","7"),"⑧","8"),"⑨","9")," ",""),商品原価!$C$4:$C$112,0)),"")</f>
        <v/>
      </c>
      <c r="K5" s="542">
        <f>IF(ISNUMBER($J5),$J5*④前提設定!$B$21,"")</f>
        <v/>
      </c>
      <c r="L5" s="605">
        <f>IF(AND(NOT(ISNUMBER($J5)),NOT(ISNUMBER($K5))),"",N($J5)+N($K5))</f>
        <v/>
      </c>
      <c r="M5" s="605">
        <f>IFERROR(INDEX(商品原価!$E$4:$E$112,MATCH(SUBSTITUTE(SUBSTITUTE(SUBSTITUTE(SUBSTITUTE(SUBSTITUTE(SUBSTITUTE(SUBSTITUTE(SUBSTITUTE(SUBSTITUTE(SUBSTITUTE(ASC($C5),"①","1"),"②","2"),"③","3"),"④","4"),"⑤","5"),"⑥","6"),"⑦","7"),"⑧","8"),"⑨","9")," ",""),商品原価!$C$4:$C$112,0)),"")</f>
        <v/>
      </c>
      <c r="N5" s="605">
        <f>IF(AND(ISNUMBER($M5),ISNUMBER($L5)),$M5-$L5-N($W5),"")</f>
        <v/>
      </c>
      <c r="O5" s="606">
        <f>IF(AND(ISNUMBER($N5),ISNUMBER($M5),$M5&gt;0),$N5/$M5,"")</f>
        <v/>
      </c>
      <c r="P5" s="398">
        <f>COUNTIF(②釜工程入力!$R$5:$R$117,$C5)+COUNTIF(②釜工程入力!$S$5:$S$117,$C5)+COUNTIF(②釜工程入力!$T$5:$T$117,$C5)+COUNTIF(②釜工程入力!$U$5:$U$117,$C5)+COUNTIF(②釜工程入力!$V$5:$V$117,$C5)+COUNTIF(②釜工程入力!$W$5:$W$117,$C5)+COUNTIF(③スチコン工程入力!$R$5:$R$152,$C5)+COUNTIF(③スチコン工程入力!$S$5:$S$152,$C5)+COUNTIF(③スチコン工程入力!$T$5:$T$152,$C5)+COUNTIF(③スチコン工程入力!$U$5:$U$152,$C5)+COUNTIF(③スチコン工程入力!$V$5:$V$152,$C5)+COUNTIF(③スチコン工程入力!$W$5:$W$152,$C5)+COUNTIF(⑩盛付梱包工程入力!$R$5:$R$300,$C5)+COUNTIF(⑩盛付梱包工程入力!$S$5:$S$300,$C5)+COUNTIF(⑩盛付梱包工程入力!$T$5:$T$300,$C5)+COUNTIF(⑩盛付梱包工程入力!$U$5:$U$300,$C5)+COUNTIF(⑩盛付梱包工程入力!$V$5:$V$300,$C5)+COUNTIF(⑩盛付梱包工程入力!$W$5:$W$300,$C5)+COUNTIF(⑪ZEN工程入力!$R$6:$R$35,$C5)+COUNTIF(⑪ZEN工程入力!$S$6:$S$35,$C5)+COUNTIF(⑪ZEN工程入力!$T$6:$T$35,$C5)+COUNTIF(⑪ZEN工程入力!$U$6:$U$35,$C5)+COUNTIF(⑪ZEN工程入力!$V$6:$V$35,$C5)+COUNTIF(⑪ZEN工程入力!$W$6:$W$35,$C5)+COUNTIF(⑫ミキサー工程入力!$R$6:$R$65,$C5)+COUNTIF(⑫ミキサー工程入力!$S$6:$S$65,$C5)+COUNTIF(⑫ミキサー工程入力!$T$6:$T$65,$C5)+COUNTIF(⑫ミキサー工程入力!$U$6:$U$65,$C5)+COUNTIF(⑫ミキサー工程入力!$V$6:$V$65,$C5)+COUNTIF(⑫ミキサー工程入力!$W$6:$W$65,$C5)+COUNTIF(⑬計量工程入力!$R$6:$R$65,$C5)+COUNTIF(⑬計量工程入力!$S$6:$S$65,$C5)+COUNTIF(⑬計量工程入力!$T$6:$T$65,$C5)+COUNTIF(⑬計量工程入力!$U$6:$U$65,$C5)+COUNTIF(⑬計量工程入力!$V$6:$V$65,$C5)+COUNTIF(⑬計量工程入力!$W$6:$W$65,$C5)+COUNTIF(⑭手動工程入力!$R$6:$R$47,$C5)+COUNTIF(⑭手動工程入力!$S$6:$S$47,$C5)+COUNTIF(⑭手動工程入力!$T$6:$T$47,$C5)+COUNTIF(⑭手動工程入力!$U$6:$U$47,$C5)+COUNTIF(⑭手動工程入力!$V$6:$V$47,$C5)+COUNTIF(⑭手動工程入力!$W$6:$W$47,$C5)</f>
        <v/>
      </c>
      <c r="Q5" s="392" t="inlineStr">
        <is>
          <t>⑩盛付梱包 48行目に入力欄を作成（工程記録なし）</t>
        </is>
      </c>
      <c r="R5" s="393" t="n"/>
      <c r="S5" s="393" t="n"/>
      <c r="T5" s="393" t="n"/>
      <c r="U5" s="393" t="n"/>
      <c r="V5" s="605">
        <f>IFERROR(INDEX(KIT別作業時間!$D$4:$D$27,MATCH(SUBSTITUTE(SUBSTITUTE(SUBSTITUTE(SUBSTITUTE(SUBSTITUTE(SUBSTITUTE(SUBSTITUTE(SUBSTITUTE(SUBSTITUTE(SUBSTITUTE(ASC($C5),"①","1"),"②","2"),"③","3"),"④","4"),"⑤","5"),"⑥","6"),"⑦","7"),"⑧","8"),"⑨","9")," ",""),KIT別作業時間!$C$4:$C$27,0)),"")</f>
        <v/>
      </c>
      <c r="W5" s="393">
        <f>IF(AND(ISNUMBER($I5),$I5&gt;0),$I5,IF(ISNUMBER($V5),$V5,IF(ISNUMBER($R5),$R5,"")))</f>
        <v/>
      </c>
      <c r="X5" s="393">
        <f>IF(AND(ISNUMBER($I5),$I5&gt;0),"今回の工程実績",IF(ISNUMBER($V5),"KIT作業時間",IF(ISNUMBER($R5),"前回資料","")))</f>
        <v/>
      </c>
      <c r="Y5" s="398" t="n">
        <v>2296</v>
      </c>
      <c r="Z5" s="398">
        <f>IF(AND(ISNUMBER($W5),ISNUMBER($Y5)),$W5*$Y5,"")</f>
        <v/>
      </c>
      <c r="AA5" s="393" t="n"/>
    </row>
    <row r="6">
      <c r="A6" s="392" t="n">
        <v>2</v>
      </c>
      <c r="B6" s="392" t="n"/>
      <c r="C6" s="392" t="inlineStr">
        <is>
          <t>麹醤油からあげＫＩＴ５ｋ</t>
        </is>
      </c>
      <c r="D6" s="398">
        <f>SUMIF(⑩盛付梱包工程入力!$R$5:$R$300,$C6,⑩盛付梱包工程入力!$AC$5:$AC$300)+SUMIF(⑩盛付梱包工程入力!$S$5:$S$300,$C6,⑩盛付梱包工程入力!$AC$5:$AC$300)+SUMIF(⑩盛付梱包工程入力!$T$5:$T$300,$C6,⑩盛付梱包工程入力!$AC$5:$AC$300)+SUMIF(⑩盛付梱包工程入力!$U$5:$U$300,$C6,⑩盛付梱包工程入力!$AC$5:$AC$300)+SUMIF(⑩盛付梱包工程入力!$V$5:$V$300,$C6,⑩盛付梱包工程入力!$AC$5:$AC$300)+SUMIF(⑩盛付梱包工程入力!$W$5:$W$300,$C6,⑩盛付梱包工程入力!$AC$5:$AC$300)</f>
        <v/>
      </c>
      <c r="E6" s="398" t="n">
        <v>149</v>
      </c>
      <c r="F6" s="398">
        <f>IF(N($E6)&gt;0,$E6,$D6)</f>
        <v/>
      </c>
      <c r="G6" s="393" t="n">
        <v>843.0902272727272</v>
      </c>
      <c r="H6" s="393">
        <f>SUMIF(②釜工程入力!$R$5:$R$117,$C6,②釜工程入力!$AD$5:$AD$117)+SUMIF(②釜工程入力!$S$5:$S$117,$C6,②釜工程入力!$AE$5:$AE$117)+SUMIF(②釜工程入力!$T$5:$T$117,$C6,②釜工程入力!$AF$5:$AF$117)+SUMIF(②釜工程入力!$U$5:$U$117,$C6,②釜工程入力!$AG$5:$AG$117)+SUMIF(②釜工程入力!$V$5:$V$117,$C6,②釜工程入力!$AH$5:$AH$117)+SUMIF(②釜工程入力!$W$5:$W$117,$C6,②釜工程入力!$AI$5:$AI$117)+SUMIF(③スチコン工程入力!$R$5:$R$152,$C6,③スチコン工程入力!$AD$5:$AD$152)+SUMIF(③スチコン工程入力!$S$5:$S$152,$C6,③スチコン工程入力!$AE$5:$AE$152)+SUMIF(③スチコン工程入力!$T$5:$T$152,$C6,③スチコン工程入力!$AF$5:$AF$152)+SUMIF(③スチコン工程入力!$U$5:$U$152,$C6,③スチコン工程入力!$AG$5:$AG$152)+SUMIF(③スチコン工程入力!$V$5:$V$152,$C6,③スチコン工程入力!$AH$5:$AH$152)+SUMIF(③スチコン工程入力!$W$5:$W$152,$C6,③スチコン工程入力!$AI$5:$AI$152)+SUMIF(⑩盛付梱包工程入力!$R$5:$R$300,$C6,⑩盛付梱包工程入力!$AD$5:$AD$300)+SUMIF(⑩盛付梱包工程入力!$S$5:$S$300,$C6,⑩盛付梱包工程入力!$AE$5:$AE$300)+SUMIF(⑩盛付梱包工程入力!$T$5:$T$300,$C6,⑩盛付梱包工程入力!$AF$5:$AF$300)+SUMIF(⑩盛付梱包工程入力!$U$5:$U$300,$C6,⑩盛付梱包工程入力!$AG$5:$AG$300)+SUMIF(⑩盛付梱包工程入力!$V$5:$V$300,$C6,⑩盛付梱包工程入力!$AH$5:$AH$300)+SUMIF(⑩盛付梱包工程入力!$W$5:$W$300,$C6,⑩盛付梱包工程入力!$AI$5:$AI$300)+SUMIF(⑪ZEN工程入力!$R$6:$R$35,$C6,⑪ZEN工程入力!$AD$6:$AD$35)+SUMIF(⑪ZEN工程入力!$S$6:$S$35,$C6,⑪ZEN工程入力!$AE$6:$AE$35)+SUMIF(⑪ZEN工程入力!$T$6:$T$35,$C6,⑪ZEN工程入力!$AF$6:$AF$35)+SUMIF(⑪ZEN工程入力!$U$6:$U$35,$C6,⑪ZEN工程入力!$AG$6:$AG$35)+SUMIF(⑪ZEN工程入力!$V$6:$V$35,$C6,⑪ZEN工程入力!$AH$6:$AH$35)+SUMIF(⑪ZEN工程入力!$W$6:$W$35,$C6,⑪ZEN工程入力!$AI$6:$AI$35)+SUMIF(⑫ミキサー工程入力!$R$6:$R$65,$C6,⑫ミキサー工程入力!$AD$6:$AD$65)+SUMIF(⑫ミキサー工程入力!$S$6:$S$65,$C6,⑫ミキサー工程入力!$AE$6:$AE$65)+SUMIF(⑫ミキサー工程入力!$T$6:$T$65,$C6,⑫ミキサー工程入力!$AF$6:$AF$65)+SUMIF(⑫ミキサー工程入力!$U$6:$U$65,$C6,⑫ミキサー工程入力!$AG$6:$AG$65)+SUMIF(⑫ミキサー工程入力!$V$6:$V$65,$C6,⑫ミキサー工程入力!$AH$6:$AH$65)+SUMIF(⑫ミキサー工程入力!$W$6:$W$65,$C6,⑫ミキサー工程入力!$AI$6:$AI$65)+SUMIF(⑬計量工程入力!$R$6:$R$65,$C6,⑬計量工程入力!$AD$6:$AD$65)+SUMIF(⑬計量工程入力!$S$6:$S$65,$C6,⑬計量工程入力!$AE$6:$AE$65)+SUMIF(⑬計量工程入力!$T$6:$T$65,$C6,⑬計量工程入力!$AF$6:$AF$65)+SUMIF(⑬計量工程入力!$U$6:$U$65,$C6,⑬計量工程入力!$AG$6:$AG$65)+SUMIF(⑬計量工程入力!$V$6:$V$65,$C6,⑬計量工程入力!$AH$6:$AH$65)+SUMIF(⑬計量工程入力!$W$6:$W$65,$C6,⑬計量工程入力!$AI$6:$AI$65)+SUMIF(⑭手動工程入力!$R$6:$R$47,$C6,⑭手動工程入力!$AD$6:$AD$47)+SUMIF(⑭手動工程入力!$S$6:$S$47,$C6,⑭手動工程入力!$AE$6:$AE$47)+SUMIF(⑭手動工程入力!$T$6:$T$47,$C6,⑭手動工程入力!$AF$6:$AF$47)+SUMIF(⑭手動工程入力!$U$6:$U$47,$C6,⑭手動工程入力!$AG$6:$AG$47)+SUMIF(⑭手動工程入力!$V$6:$V$47,$C6,⑭手動工程入力!$AH$6:$AH$47)+SUMIF(⑭手動工程入力!$W$6:$W$47,$C6,⑭手動工程入力!$AI$6:$AI$47)</f>
        <v/>
      </c>
      <c r="I6" s="393">
        <f>IF($F6&gt;0,$H6/$F6,"")</f>
        <v/>
      </c>
      <c r="J6" s="605">
        <f>IFERROR(INDEX(商品原価!$B$4:$B$112,MATCH(SUBSTITUTE(SUBSTITUTE(SUBSTITUTE(SUBSTITUTE(SUBSTITUTE(SUBSTITUTE(SUBSTITUTE(SUBSTITUTE(SUBSTITUTE(SUBSTITUTE(ASC($C6),"①","1"),"②","2"),"③","3"),"④","4"),"⑤","5"),"⑥","6"),"⑦","7"),"⑧","8"),"⑨","9")," ",""),商品原価!$C$4:$C$112,0)),"")</f>
        <v/>
      </c>
      <c r="K6" s="542">
        <f>IF(ISNUMBER($J6),$J6*④前提設定!$B$21,"")</f>
        <v/>
      </c>
      <c r="L6" s="605">
        <f>IF(AND(NOT(ISNUMBER($J6)),NOT(ISNUMBER($K6))),"",N($J6)+N($K6))</f>
        <v/>
      </c>
      <c r="M6" s="605">
        <f>IFERROR(INDEX(商品原価!$E$4:$E$112,MATCH(SUBSTITUTE(SUBSTITUTE(SUBSTITUTE(SUBSTITUTE(SUBSTITUTE(SUBSTITUTE(SUBSTITUTE(SUBSTITUTE(SUBSTITUTE(SUBSTITUTE(ASC($C6),"①","1"),"②","2"),"③","3"),"④","4"),"⑤","5"),"⑥","6"),"⑦","7"),"⑧","8"),"⑨","9")," ",""),商品原価!$C$4:$C$112,0)),"")</f>
        <v/>
      </c>
      <c r="N6" s="605">
        <f>IF(AND(ISNUMBER($M6),ISNUMBER($L6)),$M6-$L6-N($W6),"")</f>
        <v/>
      </c>
      <c r="O6" s="606">
        <f>IF(AND(ISNUMBER($N6),ISNUMBER($M6),$M6&gt;0),$N6/$M6,"")</f>
        <v/>
      </c>
      <c r="P6" s="398">
        <f>COUNTIF(②釜工程入力!$R$5:$R$117,$C6)+COUNTIF(②釜工程入力!$S$5:$S$117,$C6)+COUNTIF(②釜工程入力!$T$5:$T$117,$C6)+COUNTIF(②釜工程入力!$U$5:$U$117,$C6)+COUNTIF(②釜工程入力!$V$5:$V$117,$C6)+COUNTIF(②釜工程入力!$W$5:$W$117,$C6)+COUNTIF(③スチコン工程入力!$R$5:$R$152,$C6)+COUNTIF(③スチコン工程入力!$S$5:$S$152,$C6)+COUNTIF(③スチコン工程入力!$T$5:$T$152,$C6)+COUNTIF(③スチコン工程入力!$U$5:$U$152,$C6)+COUNTIF(③スチコン工程入力!$V$5:$V$152,$C6)+COUNTIF(③スチコン工程入力!$W$5:$W$152,$C6)+COUNTIF(⑩盛付梱包工程入力!$R$5:$R$300,$C6)+COUNTIF(⑩盛付梱包工程入力!$S$5:$S$300,$C6)+COUNTIF(⑩盛付梱包工程入力!$T$5:$T$300,$C6)+COUNTIF(⑩盛付梱包工程入力!$U$5:$U$300,$C6)+COUNTIF(⑩盛付梱包工程入力!$V$5:$V$300,$C6)+COUNTIF(⑩盛付梱包工程入力!$W$5:$W$300,$C6)+COUNTIF(⑪ZEN工程入力!$R$6:$R$35,$C6)+COUNTIF(⑪ZEN工程入力!$S$6:$S$35,$C6)+COUNTIF(⑪ZEN工程入力!$T$6:$T$35,$C6)+COUNTIF(⑪ZEN工程入力!$U$6:$U$35,$C6)+COUNTIF(⑪ZEN工程入力!$V$6:$V$35,$C6)+COUNTIF(⑪ZEN工程入力!$W$6:$W$35,$C6)+COUNTIF(⑫ミキサー工程入力!$R$6:$R$65,$C6)+COUNTIF(⑫ミキサー工程入力!$S$6:$S$65,$C6)+COUNTIF(⑫ミキサー工程入力!$T$6:$T$65,$C6)+COUNTIF(⑫ミキサー工程入力!$U$6:$U$65,$C6)+COUNTIF(⑫ミキサー工程入力!$V$6:$V$65,$C6)+COUNTIF(⑫ミキサー工程入力!$W$6:$W$65,$C6)+COUNTIF(⑬計量工程入力!$R$6:$R$65,$C6)+COUNTIF(⑬計量工程入力!$S$6:$S$65,$C6)+COUNTIF(⑬計量工程入力!$T$6:$T$65,$C6)+COUNTIF(⑬計量工程入力!$U$6:$U$65,$C6)+COUNTIF(⑬計量工程入力!$V$6:$V$65,$C6)+COUNTIF(⑬計量工程入力!$W$6:$W$65,$C6)+COUNTIF(⑭手動工程入力!$R$6:$R$47,$C6)+COUNTIF(⑭手動工程入力!$S$6:$S$47,$C6)+COUNTIF(⑭手動工程入力!$T$6:$T$47,$C6)+COUNTIF(⑭手動工程入力!$U$6:$U$47,$C6)+COUNTIF(⑭手動工程入力!$V$6:$V$47,$C6)+COUNTIF(⑭手動工程入力!$W$6:$W$47,$C6)</f>
        <v/>
      </c>
      <c r="Q6" s="392" t="inlineStr">
        <is>
          <t>⑩盛付梱包 41行目に入力欄を作成（工程記録なし）</t>
        </is>
      </c>
      <c r="R6" s="393" t="n"/>
      <c r="S6" s="393" t="n"/>
      <c r="T6" s="393" t="n"/>
      <c r="U6" s="393" t="n"/>
      <c r="V6" s="605">
        <f>IFERROR(INDEX(KIT別作業時間!$D$4:$D$27,MATCH(SUBSTITUTE(SUBSTITUTE(SUBSTITUTE(SUBSTITUTE(SUBSTITUTE(SUBSTITUTE(SUBSTITUTE(SUBSTITUTE(SUBSTITUTE(SUBSTITUTE(ASC($C6),"①","1"),"②","2"),"③","3"),"④","4"),"⑤","5"),"⑥","6"),"⑦","7"),"⑧","8"),"⑨","9")," ",""),KIT別作業時間!$C$4:$C$27,0)),"")</f>
        <v/>
      </c>
      <c r="W6" s="393">
        <f>IF(AND(ISNUMBER($I6),$I6&gt;0),$I6,IF(ISNUMBER($V6),$V6,IF(ISNUMBER($R6),$R6,"")))</f>
        <v/>
      </c>
      <c r="X6" s="393">
        <f>IF(AND(ISNUMBER($I6),$I6&gt;0),"今回の工程実績",IF(ISNUMBER($V6),"KIT作業時間",IF(ISNUMBER($R6),"前回資料","")))</f>
        <v/>
      </c>
      <c r="Y6" s="398" t="n">
        <v>4715</v>
      </c>
      <c r="Z6" s="398">
        <f>IF(AND(ISNUMBER($W6),ISNUMBER($Y6)),$W6*$Y6,"")</f>
        <v/>
      </c>
      <c r="AA6" s="393" t="n"/>
    </row>
    <row r="7">
      <c r="A7" s="392" t="n">
        <v>3</v>
      </c>
      <c r="B7" s="392" t="n"/>
      <c r="C7" s="392" t="inlineStr">
        <is>
          <t>自社製国産チキンカツむね２</t>
        </is>
      </c>
      <c r="D7" s="398">
        <f>SUMIF(⑩盛付梱包工程入力!$R$5:$R$300,$C7,⑩盛付梱包工程入力!$AC$5:$AC$300)+SUMIF(⑩盛付梱包工程入力!$S$5:$S$300,$C7,⑩盛付梱包工程入力!$AC$5:$AC$300)+SUMIF(⑩盛付梱包工程入力!$T$5:$T$300,$C7,⑩盛付梱包工程入力!$AC$5:$AC$300)+SUMIF(⑩盛付梱包工程入力!$U$5:$U$300,$C7,⑩盛付梱包工程入力!$AC$5:$AC$300)+SUMIF(⑩盛付梱包工程入力!$V$5:$V$300,$C7,⑩盛付梱包工程入力!$AC$5:$AC$300)+SUMIF(⑩盛付梱包工程入力!$W$5:$W$300,$C7,⑩盛付梱包工程入力!$AC$5:$AC$300)</f>
        <v/>
      </c>
      <c r="E7" s="398" t="n">
        <v>278</v>
      </c>
      <c r="F7" s="398">
        <f>IF(N($E7)&gt;0,$E7,$D7)</f>
        <v/>
      </c>
      <c r="G7" s="393" t="n">
        <v>338.0123244102836</v>
      </c>
      <c r="H7" s="393">
        <f>SUMIF(②釜工程入力!$R$5:$R$117,$C7,②釜工程入力!$AD$5:$AD$117)+SUMIF(②釜工程入力!$S$5:$S$117,$C7,②釜工程入力!$AE$5:$AE$117)+SUMIF(②釜工程入力!$T$5:$T$117,$C7,②釜工程入力!$AF$5:$AF$117)+SUMIF(②釜工程入力!$U$5:$U$117,$C7,②釜工程入力!$AG$5:$AG$117)+SUMIF(②釜工程入力!$V$5:$V$117,$C7,②釜工程入力!$AH$5:$AH$117)+SUMIF(②釜工程入力!$W$5:$W$117,$C7,②釜工程入力!$AI$5:$AI$117)+SUMIF(③スチコン工程入力!$R$5:$R$152,$C7,③スチコン工程入力!$AD$5:$AD$152)+SUMIF(③スチコン工程入力!$S$5:$S$152,$C7,③スチコン工程入力!$AE$5:$AE$152)+SUMIF(③スチコン工程入力!$T$5:$T$152,$C7,③スチコン工程入力!$AF$5:$AF$152)+SUMIF(③スチコン工程入力!$U$5:$U$152,$C7,③スチコン工程入力!$AG$5:$AG$152)+SUMIF(③スチコン工程入力!$V$5:$V$152,$C7,③スチコン工程入力!$AH$5:$AH$152)+SUMIF(③スチコン工程入力!$W$5:$W$152,$C7,③スチコン工程入力!$AI$5:$AI$152)+SUMIF(⑩盛付梱包工程入力!$R$5:$R$300,$C7,⑩盛付梱包工程入力!$AD$5:$AD$300)+SUMIF(⑩盛付梱包工程入力!$S$5:$S$300,$C7,⑩盛付梱包工程入力!$AE$5:$AE$300)+SUMIF(⑩盛付梱包工程入力!$T$5:$T$300,$C7,⑩盛付梱包工程入力!$AF$5:$AF$300)+SUMIF(⑩盛付梱包工程入力!$U$5:$U$300,$C7,⑩盛付梱包工程入力!$AG$5:$AG$300)+SUMIF(⑩盛付梱包工程入力!$V$5:$V$300,$C7,⑩盛付梱包工程入力!$AH$5:$AH$300)+SUMIF(⑩盛付梱包工程入力!$W$5:$W$300,$C7,⑩盛付梱包工程入力!$AI$5:$AI$300)+SUMIF(⑪ZEN工程入力!$R$6:$R$35,$C7,⑪ZEN工程入力!$AD$6:$AD$35)+SUMIF(⑪ZEN工程入力!$S$6:$S$35,$C7,⑪ZEN工程入力!$AE$6:$AE$35)+SUMIF(⑪ZEN工程入力!$T$6:$T$35,$C7,⑪ZEN工程入力!$AF$6:$AF$35)+SUMIF(⑪ZEN工程入力!$U$6:$U$35,$C7,⑪ZEN工程入力!$AG$6:$AG$35)+SUMIF(⑪ZEN工程入力!$V$6:$V$35,$C7,⑪ZEN工程入力!$AH$6:$AH$35)+SUMIF(⑪ZEN工程入力!$W$6:$W$35,$C7,⑪ZEN工程入力!$AI$6:$AI$35)+SUMIF(⑫ミキサー工程入力!$R$6:$R$65,$C7,⑫ミキサー工程入力!$AD$6:$AD$65)+SUMIF(⑫ミキサー工程入力!$S$6:$S$65,$C7,⑫ミキサー工程入力!$AE$6:$AE$65)+SUMIF(⑫ミキサー工程入力!$T$6:$T$65,$C7,⑫ミキサー工程入力!$AF$6:$AF$65)+SUMIF(⑫ミキサー工程入力!$U$6:$U$65,$C7,⑫ミキサー工程入力!$AG$6:$AG$65)+SUMIF(⑫ミキサー工程入力!$V$6:$V$65,$C7,⑫ミキサー工程入力!$AH$6:$AH$65)+SUMIF(⑫ミキサー工程入力!$W$6:$W$65,$C7,⑫ミキサー工程入力!$AI$6:$AI$65)+SUMIF(⑬計量工程入力!$R$6:$R$65,$C7,⑬計量工程入力!$AD$6:$AD$65)+SUMIF(⑬計量工程入力!$S$6:$S$65,$C7,⑬計量工程入力!$AE$6:$AE$65)+SUMIF(⑬計量工程入力!$T$6:$T$65,$C7,⑬計量工程入力!$AF$6:$AF$65)+SUMIF(⑬計量工程入力!$U$6:$U$65,$C7,⑬計量工程入力!$AG$6:$AG$65)+SUMIF(⑬計量工程入力!$V$6:$V$65,$C7,⑬計量工程入力!$AH$6:$AH$65)+SUMIF(⑬計量工程入力!$W$6:$W$65,$C7,⑬計量工程入力!$AI$6:$AI$65)+SUMIF(⑭手動工程入力!$R$6:$R$47,$C7,⑭手動工程入力!$AD$6:$AD$47)+SUMIF(⑭手動工程入力!$S$6:$S$47,$C7,⑭手動工程入力!$AE$6:$AE$47)+SUMIF(⑭手動工程入力!$T$6:$T$47,$C7,⑭手動工程入力!$AF$6:$AF$47)+SUMIF(⑭手動工程入力!$U$6:$U$47,$C7,⑭手動工程入力!$AG$6:$AG$47)+SUMIF(⑭手動工程入力!$V$6:$V$47,$C7,⑭手動工程入力!$AH$6:$AH$47)+SUMIF(⑭手動工程入力!$W$6:$W$47,$C7,⑭手動工程入力!$AI$6:$AI$47)</f>
        <v/>
      </c>
      <c r="I7" s="393">
        <f>IF($F7&gt;0,$H7/$F7,"")</f>
        <v/>
      </c>
      <c r="J7" s="605">
        <f>IFERROR(INDEX(商品原価!$B$4:$B$112,MATCH(SUBSTITUTE(SUBSTITUTE(SUBSTITUTE(SUBSTITUTE(SUBSTITUTE(SUBSTITUTE(SUBSTITUTE(SUBSTITUTE(SUBSTITUTE(SUBSTITUTE(ASC($C7),"①","1"),"②","2"),"③","3"),"④","4"),"⑤","5"),"⑥","6"),"⑦","7"),"⑧","8"),"⑨","9")," ",""),商品原価!$C$4:$C$112,0)),"")</f>
        <v/>
      </c>
      <c r="K7" s="542">
        <f>IF(ISNUMBER($J7),$J7*④前提設定!$B$21,"")</f>
        <v/>
      </c>
      <c r="L7" s="605">
        <f>IF(AND(NOT(ISNUMBER($J7)),NOT(ISNUMBER($K7))),"",N($J7)+N($K7))</f>
        <v/>
      </c>
      <c r="M7" s="605">
        <f>IFERROR(INDEX(商品原価!$E$4:$E$112,MATCH(SUBSTITUTE(SUBSTITUTE(SUBSTITUTE(SUBSTITUTE(SUBSTITUTE(SUBSTITUTE(SUBSTITUTE(SUBSTITUTE(SUBSTITUTE(SUBSTITUTE(ASC($C7),"①","1"),"②","2"),"③","3"),"④","4"),"⑤","5"),"⑥","6"),"⑦","7"),"⑧","8"),"⑨","9")," ",""),商品原価!$C$4:$C$112,0)),"")</f>
        <v/>
      </c>
      <c r="N7" s="605">
        <f>IF(AND(ISNUMBER($M7),ISNUMBER($L7)),$M7-$L7-N($W7),"")</f>
        <v/>
      </c>
      <c r="O7" s="606">
        <f>IF(AND(ISNUMBER($N7),ISNUMBER($M7),$M7&gt;0),$N7/$M7,"")</f>
        <v/>
      </c>
      <c r="P7" s="398">
        <f>COUNTIF(②釜工程入力!$R$5:$R$117,$C7)+COUNTIF(②釜工程入力!$S$5:$S$117,$C7)+COUNTIF(②釜工程入力!$T$5:$T$117,$C7)+COUNTIF(②釜工程入力!$U$5:$U$117,$C7)+COUNTIF(②釜工程入力!$V$5:$V$117,$C7)+COUNTIF(②釜工程入力!$W$5:$W$117,$C7)+COUNTIF(③スチコン工程入力!$R$5:$R$152,$C7)+COUNTIF(③スチコン工程入力!$S$5:$S$152,$C7)+COUNTIF(③スチコン工程入力!$T$5:$T$152,$C7)+COUNTIF(③スチコン工程入力!$U$5:$U$152,$C7)+COUNTIF(③スチコン工程入力!$V$5:$V$152,$C7)+COUNTIF(③スチコン工程入力!$W$5:$W$152,$C7)+COUNTIF(⑩盛付梱包工程入力!$R$5:$R$300,$C7)+COUNTIF(⑩盛付梱包工程入力!$S$5:$S$300,$C7)+COUNTIF(⑩盛付梱包工程入力!$T$5:$T$300,$C7)+COUNTIF(⑩盛付梱包工程入力!$U$5:$U$300,$C7)+COUNTIF(⑩盛付梱包工程入力!$V$5:$V$300,$C7)+COUNTIF(⑩盛付梱包工程入力!$W$5:$W$300,$C7)+COUNTIF(⑪ZEN工程入力!$R$6:$R$35,$C7)+COUNTIF(⑪ZEN工程入力!$S$6:$S$35,$C7)+COUNTIF(⑪ZEN工程入力!$T$6:$T$35,$C7)+COUNTIF(⑪ZEN工程入力!$U$6:$U$35,$C7)+COUNTIF(⑪ZEN工程入力!$V$6:$V$35,$C7)+COUNTIF(⑪ZEN工程入力!$W$6:$W$35,$C7)+COUNTIF(⑫ミキサー工程入力!$R$6:$R$65,$C7)+COUNTIF(⑫ミキサー工程入力!$S$6:$S$65,$C7)+COUNTIF(⑫ミキサー工程入力!$T$6:$T$65,$C7)+COUNTIF(⑫ミキサー工程入力!$U$6:$U$65,$C7)+COUNTIF(⑫ミキサー工程入力!$V$6:$V$65,$C7)+COUNTIF(⑫ミキサー工程入力!$W$6:$W$65,$C7)+COUNTIF(⑬計量工程入力!$R$6:$R$65,$C7)+COUNTIF(⑬計量工程入力!$S$6:$S$65,$C7)+COUNTIF(⑬計量工程入力!$T$6:$T$65,$C7)+COUNTIF(⑬計量工程入力!$U$6:$U$65,$C7)+COUNTIF(⑬計量工程入力!$V$6:$V$65,$C7)+COUNTIF(⑬計量工程入力!$W$6:$W$65,$C7)+COUNTIF(⑭手動工程入力!$R$6:$R$47,$C7)+COUNTIF(⑭手動工程入力!$S$6:$S$47,$C7)+COUNTIF(⑭手動工程入力!$T$6:$T$47,$C7)+COUNTIF(⑭手動工程入力!$U$6:$U$47,$C7)+COUNTIF(⑭手動工程入力!$V$6:$V$47,$C7)+COUNTIF(⑭手動工程入力!$W$6:$W$47,$C7)</f>
        <v/>
      </c>
      <c r="Q7" s="392" t="inlineStr">
        <is>
          <t>⑩盛付梱包 34行目に入力欄を作成（工程記録なし）</t>
        </is>
      </c>
      <c r="R7" s="393" t="n"/>
      <c r="S7" s="393" t="n"/>
      <c r="T7" s="393" t="n"/>
      <c r="U7" s="393" t="n"/>
      <c r="V7" s="605">
        <f>IFERROR(INDEX(KIT別作業時間!$D$4:$D$27,MATCH(SUBSTITUTE(SUBSTITUTE(SUBSTITUTE(SUBSTITUTE(SUBSTITUTE(SUBSTITUTE(SUBSTITUTE(SUBSTITUTE(SUBSTITUTE(SUBSTITUTE(ASC($C7),"①","1"),"②","2"),"③","3"),"④","4"),"⑤","5"),"⑥","6"),"⑦","7"),"⑧","8"),"⑨","9")," ",""),KIT別作業時間!$C$4:$C$27,0)),"")</f>
        <v/>
      </c>
      <c r="W7" s="393">
        <f>IF(AND(ISNUMBER($I7),$I7&gt;0),$I7,IF(ISNUMBER($V7),$V7,IF(ISNUMBER($R7),$R7,"")))</f>
        <v/>
      </c>
      <c r="X7" s="393">
        <f>IF(AND(ISNUMBER($I7),$I7&gt;0),"今回の工程実績",IF(ISNUMBER($V7),"KIT作業時間",IF(ISNUMBER($R7),"前回資料","")))</f>
        <v/>
      </c>
      <c r="Y7" s="398" t="n">
        <v>6652</v>
      </c>
      <c r="Z7" s="398">
        <f>IF(AND(ISNUMBER($W7),ISNUMBER($Y7)),$W7*$Y7,"")</f>
        <v/>
      </c>
      <c r="AA7" s="393" t="n"/>
    </row>
    <row r="8">
      <c r="A8" s="392" t="n">
        <v>4</v>
      </c>
      <c r="B8" s="392" t="n"/>
      <c r="C8" s="392" t="inlineStr">
        <is>
          <t>Ｓカスタード＆ホイップシュ</t>
        </is>
      </c>
      <c r="D8" s="398">
        <f>SUMIF(⑩盛付梱包工程入力!$R$5:$R$300,$C8,⑩盛付梱包工程入力!$AC$5:$AC$300)+SUMIF(⑩盛付梱包工程入力!$S$5:$S$300,$C8,⑩盛付梱包工程入力!$AC$5:$AC$300)+SUMIF(⑩盛付梱包工程入力!$T$5:$T$300,$C8,⑩盛付梱包工程入力!$AC$5:$AC$300)+SUMIF(⑩盛付梱包工程入力!$U$5:$U$300,$C8,⑩盛付梱包工程入力!$AC$5:$AC$300)+SUMIF(⑩盛付梱包工程入力!$V$5:$V$300,$C8,⑩盛付梱包工程入力!$AC$5:$AC$300)+SUMIF(⑩盛付梱包工程入力!$W$5:$W$300,$C8,⑩盛付梱包工程入力!$AC$5:$AC$300)</f>
        <v/>
      </c>
      <c r="E8" s="398" t="n">
        <v>1808</v>
      </c>
      <c r="F8" s="398">
        <f>IF(N($E8)&gt;0,$E8,$D8)</f>
        <v/>
      </c>
      <c r="G8" s="393" t="n">
        <v>40.68987885481863</v>
      </c>
      <c r="H8" s="393">
        <f>SUMIF(②釜工程入力!$R$5:$R$117,$C8,②釜工程入力!$AD$5:$AD$117)+SUMIF(②釜工程入力!$S$5:$S$117,$C8,②釜工程入力!$AE$5:$AE$117)+SUMIF(②釜工程入力!$T$5:$T$117,$C8,②釜工程入力!$AF$5:$AF$117)+SUMIF(②釜工程入力!$U$5:$U$117,$C8,②釜工程入力!$AG$5:$AG$117)+SUMIF(②釜工程入力!$V$5:$V$117,$C8,②釜工程入力!$AH$5:$AH$117)+SUMIF(②釜工程入力!$W$5:$W$117,$C8,②釜工程入力!$AI$5:$AI$117)+SUMIF(③スチコン工程入力!$R$5:$R$152,$C8,③スチコン工程入力!$AD$5:$AD$152)+SUMIF(③スチコン工程入力!$S$5:$S$152,$C8,③スチコン工程入力!$AE$5:$AE$152)+SUMIF(③スチコン工程入力!$T$5:$T$152,$C8,③スチコン工程入力!$AF$5:$AF$152)+SUMIF(③スチコン工程入力!$U$5:$U$152,$C8,③スチコン工程入力!$AG$5:$AG$152)+SUMIF(③スチコン工程入力!$V$5:$V$152,$C8,③スチコン工程入力!$AH$5:$AH$152)+SUMIF(③スチコン工程入力!$W$5:$W$152,$C8,③スチコン工程入力!$AI$5:$AI$152)+SUMIF(⑩盛付梱包工程入力!$R$5:$R$300,$C8,⑩盛付梱包工程入力!$AD$5:$AD$300)+SUMIF(⑩盛付梱包工程入力!$S$5:$S$300,$C8,⑩盛付梱包工程入力!$AE$5:$AE$300)+SUMIF(⑩盛付梱包工程入力!$T$5:$T$300,$C8,⑩盛付梱包工程入力!$AF$5:$AF$300)+SUMIF(⑩盛付梱包工程入力!$U$5:$U$300,$C8,⑩盛付梱包工程入力!$AG$5:$AG$300)+SUMIF(⑩盛付梱包工程入力!$V$5:$V$300,$C8,⑩盛付梱包工程入力!$AH$5:$AH$300)+SUMIF(⑩盛付梱包工程入力!$W$5:$W$300,$C8,⑩盛付梱包工程入力!$AI$5:$AI$300)+SUMIF(⑪ZEN工程入力!$R$6:$R$35,$C8,⑪ZEN工程入力!$AD$6:$AD$35)+SUMIF(⑪ZEN工程入力!$S$6:$S$35,$C8,⑪ZEN工程入力!$AE$6:$AE$35)+SUMIF(⑪ZEN工程入力!$T$6:$T$35,$C8,⑪ZEN工程入力!$AF$6:$AF$35)+SUMIF(⑪ZEN工程入力!$U$6:$U$35,$C8,⑪ZEN工程入力!$AG$6:$AG$35)+SUMIF(⑪ZEN工程入力!$V$6:$V$35,$C8,⑪ZEN工程入力!$AH$6:$AH$35)+SUMIF(⑪ZEN工程入力!$W$6:$W$35,$C8,⑪ZEN工程入力!$AI$6:$AI$35)+SUMIF(⑫ミキサー工程入力!$R$6:$R$65,$C8,⑫ミキサー工程入力!$AD$6:$AD$65)+SUMIF(⑫ミキサー工程入力!$S$6:$S$65,$C8,⑫ミキサー工程入力!$AE$6:$AE$65)+SUMIF(⑫ミキサー工程入力!$T$6:$T$65,$C8,⑫ミキサー工程入力!$AF$6:$AF$65)+SUMIF(⑫ミキサー工程入力!$U$6:$U$65,$C8,⑫ミキサー工程入力!$AG$6:$AG$65)+SUMIF(⑫ミキサー工程入力!$V$6:$V$65,$C8,⑫ミキサー工程入力!$AH$6:$AH$65)+SUMIF(⑫ミキサー工程入力!$W$6:$W$65,$C8,⑫ミキサー工程入力!$AI$6:$AI$65)+SUMIF(⑬計量工程入力!$R$6:$R$65,$C8,⑬計量工程入力!$AD$6:$AD$65)+SUMIF(⑬計量工程入力!$S$6:$S$65,$C8,⑬計量工程入力!$AE$6:$AE$65)+SUMIF(⑬計量工程入力!$T$6:$T$65,$C8,⑬計量工程入力!$AF$6:$AF$65)+SUMIF(⑬計量工程入力!$U$6:$U$65,$C8,⑬計量工程入力!$AG$6:$AG$65)+SUMIF(⑬計量工程入力!$V$6:$V$65,$C8,⑬計量工程入力!$AH$6:$AH$65)+SUMIF(⑬計量工程入力!$W$6:$W$65,$C8,⑬計量工程入力!$AI$6:$AI$65)+SUMIF(⑭手動工程入力!$R$6:$R$47,$C8,⑭手動工程入力!$AD$6:$AD$47)+SUMIF(⑭手動工程入力!$S$6:$S$47,$C8,⑭手動工程入力!$AE$6:$AE$47)+SUMIF(⑭手動工程入力!$T$6:$T$47,$C8,⑭手動工程入力!$AF$6:$AF$47)+SUMIF(⑭手動工程入力!$U$6:$U$47,$C8,⑭手動工程入力!$AG$6:$AG$47)+SUMIF(⑭手動工程入力!$V$6:$V$47,$C8,⑭手動工程入力!$AH$6:$AH$47)+SUMIF(⑭手動工程入力!$W$6:$W$47,$C8,⑭手動工程入力!$AI$6:$AI$47)</f>
        <v/>
      </c>
      <c r="I8" s="393">
        <f>IF($F8&gt;0,$H8/$F8,"")</f>
        <v/>
      </c>
      <c r="J8" s="605">
        <f>IFERROR(INDEX(商品原価!$B$4:$B$112,MATCH(SUBSTITUTE(SUBSTITUTE(SUBSTITUTE(SUBSTITUTE(SUBSTITUTE(SUBSTITUTE(SUBSTITUTE(SUBSTITUTE(SUBSTITUTE(SUBSTITUTE(ASC($C8),"①","1"),"②","2"),"③","3"),"④","4"),"⑤","5"),"⑥","6"),"⑦","7"),"⑧","8"),"⑨","9")," ",""),商品原価!$C$4:$C$112,0)),"")</f>
        <v/>
      </c>
      <c r="K8" s="542">
        <f>IF(ISNUMBER($J8),$J8*④前提設定!$B$21,"")</f>
        <v/>
      </c>
      <c r="L8" s="605">
        <f>IF(AND(NOT(ISNUMBER($J8)),NOT(ISNUMBER($K8))),"",N($J8)+N($K8))</f>
        <v/>
      </c>
      <c r="M8" s="605">
        <f>IFERROR(INDEX(商品原価!$E$4:$E$112,MATCH(SUBSTITUTE(SUBSTITUTE(SUBSTITUTE(SUBSTITUTE(SUBSTITUTE(SUBSTITUTE(SUBSTITUTE(SUBSTITUTE(SUBSTITUTE(SUBSTITUTE(ASC($C8),"①","1"),"②","2"),"③","3"),"④","4"),"⑤","5"),"⑥","6"),"⑦","7"),"⑧","8"),"⑨","9")," ",""),商品原価!$C$4:$C$112,0)),"")</f>
        <v/>
      </c>
      <c r="N8" s="605">
        <f>IF(AND(ISNUMBER($M8),ISNUMBER($L8)),$M8-$L8-N($W8),"")</f>
        <v/>
      </c>
      <c r="O8" s="606">
        <f>IF(AND(ISNUMBER($N8),ISNUMBER($M8),$M8&gt;0),$N8/$M8,"")</f>
        <v/>
      </c>
      <c r="P8" s="398">
        <f>COUNTIF(②釜工程入力!$R$5:$R$117,$C8)+COUNTIF(②釜工程入力!$S$5:$S$117,$C8)+COUNTIF(②釜工程入力!$T$5:$T$117,$C8)+COUNTIF(②釜工程入力!$U$5:$U$117,$C8)+COUNTIF(②釜工程入力!$V$5:$V$117,$C8)+COUNTIF(②釜工程入力!$W$5:$W$117,$C8)+COUNTIF(③スチコン工程入力!$R$5:$R$152,$C8)+COUNTIF(③スチコン工程入力!$S$5:$S$152,$C8)+COUNTIF(③スチコン工程入力!$T$5:$T$152,$C8)+COUNTIF(③スチコン工程入力!$U$5:$U$152,$C8)+COUNTIF(③スチコン工程入力!$V$5:$V$152,$C8)+COUNTIF(③スチコン工程入力!$W$5:$W$152,$C8)+COUNTIF(⑩盛付梱包工程入力!$R$5:$R$300,$C8)+COUNTIF(⑩盛付梱包工程入力!$S$5:$S$300,$C8)+COUNTIF(⑩盛付梱包工程入力!$T$5:$T$300,$C8)+COUNTIF(⑩盛付梱包工程入力!$U$5:$U$300,$C8)+COUNTIF(⑩盛付梱包工程入力!$V$5:$V$300,$C8)+COUNTIF(⑩盛付梱包工程入力!$W$5:$W$300,$C8)+COUNTIF(⑪ZEN工程入力!$R$6:$R$35,$C8)+COUNTIF(⑪ZEN工程入力!$S$6:$S$35,$C8)+COUNTIF(⑪ZEN工程入力!$T$6:$T$35,$C8)+COUNTIF(⑪ZEN工程入力!$U$6:$U$35,$C8)+COUNTIF(⑪ZEN工程入力!$V$6:$V$35,$C8)+COUNTIF(⑪ZEN工程入力!$W$6:$W$35,$C8)+COUNTIF(⑫ミキサー工程入力!$R$6:$R$65,$C8)+COUNTIF(⑫ミキサー工程入力!$S$6:$S$65,$C8)+COUNTIF(⑫ミキサー工程入力!$T$6:$T$65,$C8)+COUNTIF(⑫ミキサー工程入力!$U$6:$U$65,$C8)+COUNTIF(⑫ミキサー工程入力!$V$6:$V$65,$C8)+COUNTIF(⑫ミキサー工程入力!$W$6:$W$65,$C8)+COUNTIF(⑬計量工程入力!$R$6:$R$65,$C8)+COUNTIF(⑬計量工程入力!$S$6:$S$65,$C8)+COUNTIF(⑬計量工程入力!$T$6:$T$65,$C8)+COUNTIF(⑬計量工程入力!$U$6:$U$65,$C8)+COUNTIF(⑬計量工程入力!$V$6:$V$65,$C8)+COUNTIF(⑬計量工程入力!$W$6:$W$65,$C8)+COUNTIF(⑭手動工程入力!$R$6:$R$47,$C8)+COUNTIF(⑭手動工程入力!$S$6:$S$47,$C8)+COUNTIF(⑭手動工程入力!$T$6:$T$47,$C8)+COUNTIF(⑭手動工程入力!$U$6:$U$47,$C8)+COUNTIF(⑭手動工程入力!$V$6:$V$47,$C8)+COUNTIF(⑭手動工程入力!$W$6:$W$47,$C8)</f>
        <v/>
      </c>
      <c r="Q8" s="392" t="n"/>
      <c r="R8" s="393" t="n">
        <v>34.52</v>
      </c>
      <c r="S8" s="393" t="n">
        <v>2999</v>
      </c>
      <c r="T8" s="393">
        <f>IF(AND(ISNUMBER($I8),ISNUMBER($R8)),$I8-$R8,"")</f>
        <v/>
      </c>
      <c r="U8" s="393" t="inlineStr">
        <is>
          <t>カスタード＆ホイップシュー</t>
        </is>
      </c>
      <c r="V8" s="605">
        <f>IFERROR(INDEX(KIT別作業時間!$D$4:$D$27,MATCH(SUBSTITUTE(SUBSTITUTE(SUBSTITUTE(SUBSTITUTE(SUBSTITUTE(SUBSTITUTE(SUBSTITUTE(SUBSTITUTE(SUBSTITUTE(SUBSTITUTE(ASC($C8),"①","1"),"②","2"),"③","3"),"④","4"),"⑤","5"),"⑥","6"),"⑦","7"),"⑧","8"),"⑨","9")," ",""),KIT別作業時間!$C$4:$C$27,0)),"")</f>
        <v/>
      </c>
      <c r="W8" s="393">
        <f>IF(AND(ISNUMBER($I8),$I8&gt;0),$I8,IF(ISNUMBER($V8),$V8,IF(ISNUMBER($R8),$R8,"")))</f>
        <v/>
      </c>
      <c r="X8" s="393">
        <f>IF(AND(ISNUMBER($I8),$I8&gt;0),"今回の工程実績",IF(ISNUMBER($V8),"KIT作業時間",IF(ISNUMBER($R8),"前回資料","")))</f>
        <v/>
      </c>
      <c r="Y8" s="398" t="n">
        <v>66208</v>
      </c>
      <c r="Z8" s="398">
        <f>IF(AND(ISNUMBER($W8),ISNUMBER($Y8)),$W8*$Y8,"")</f>
        <v/>
      </c>
      <c r="AA8" s="393" t="n"/>
    </row>
    <row r="9">
      <c r="A9" s="392" t="n">
        <v>5</v>
      </c>
      <c r="B9" s="392" t="n"/>
      <c r="C9" s="392" t="inlineStr">
        <is>
          <t>Ｓ大人のコーヒーゼリー小４</t>
        </is>
      </c>
      <c r="D9" s="398">
        <f>SUMIF(⑩盛付梱包工程入力!$R$5:$R$300,$C9,⑩盛付梱包工程入力!$AC$5:$AC$300)+SUMIF(⑩盛付梱包工程入力!$S$5:$S$300,$C9,⑩盛付梱包工程入力!$AC$5:$AC$300)+SUMIF(⑩盛付梱包工程入力!$T$5:$T$300,$C9,⑩盛付梱包工程入力!$AC$5:$AC$300)+SUMIF(⑩盛付梱包工程入力!$U$5:$U$300,$C9,⑩盛付梱包工程入力!$AC$5:$AC$300)+SUMIF(⑩盛付梱包工程入力!$V$5:$V$300,$C9,⑩盛付梱包工程入力!$AC$5:$AC$300)+SUMIF(⑩盛付梱包工程入力!$W$5:$W$300,$C9,⑩盛付梱包工程入力!$AC$5:$AC$300)</f>
        <v/>
      </c>
      <c r="E9" s="398" t="n">
        <v>2836</v>
      </c>
      <c r="F9" s="398">
        <f>IF(N($E9)&gt;0,$E9,$D9)</f>
        <v/>
      </c>
      <c r="G9" s="393" t="n">
        <v>25.05027448062854</v>
      </c>
      <c r="H9" s="393">
        <f>SUMIF(②釜工程入力!$R$5:$R$117,$C9,②釜工程入力!$AD$5:$AD$117)+SUMIF(②釜工程入力!$S$5:$S$117,$C9,②釜工程入力!$AE$5:$AE$117)+SUMIF(②釜工程入力!$T$5:$T$117,$C9,②釜工程入力!$AF$5:$AF$117)+SUMIF(②釜工程入力!$U$5:$U$117,$C9,②釜工程入力!$AG$5:$AG$117)+SUMIF(②釜工程入力!$V$5:$V$117,$C9,②釜工程入力!$AH$5:$AH$117)+SUMIF(②釜工程入力!$W$5:$W$117,$C9,②釜工程入力!$AI$5:$AI$117)+SUMIF(③スチコン工程入力!$R$5:$R$152,$C9,③スチコン工程入力!$AD$5:$AD$152)+SUMIF(③スチコン工程入力!$S$5:$S$152,$C9,③スチコン工程入力!$AE$5:$AE$152)+SUMIF(③スチコン工程入力!$T$5:$T$152,$C9,③スチコン工程入力!$AF$5:$AF$152)+SUMIF(③スチコン工程入力!$U$5:$U$152,$C9,③スチコン工程入力!$AG$5:$AG$152)+SUMIF(③スチコン工程入力!$V$5:$V$152,$C9,③スチコン工程入力!$AH$5:$AH$152)+SUMIF(③スチコン工程入力!$W$5:$W$152,$C9,③スチコン工程入力!$AI$5:$AI$152)+SUMIF(⑩盛付梱包工程入力!$R$5:$R$300,$C9,⑩盛付梱包工程入力!$AD$5:$AD$300)+SUMIF(⑩盛付梱包工程入力!$S$5:$S$300,$C9,⑩盛付梱包工程入力!$AE$5:$AE$300)+SUMIF(⑩盛付梱包工程入力!$T$5:$T$300,$C9,⑩盛付梱包工程入力!$AF$5:$AF$300)+SUMIF(⑩盛付梱包工程入力!$U$5:$U$300,$C9,⑩盛付梱包工程入力!$AG$5:$AG$300)+SUMIF(⑩盛付梱包工程入力!$V$5:$V$300,$C9,⑩盛付梱包工程入力!$AH$5:$AH$300)+SUMIF(⑩盛付梱包工程入力!$W$5:$W$300,$C9,⑩盛付梱包工程入力!$AI$5:$AI$300)+SUMIF(⑪ZEN工程入力!$R$6:$R$35,$C9,⑪ZEN工程入力!$AD$6:$AD$35)+SUMIF(⑪ZEN工程入力!$S$6:$S$35,$C9,⑪ZEN工程入力!$AE$6:$AE$35)+SUMIF(⑪ZEN工程入力!$T$6:$T$35,$C9,⑪ZEN工程入力!$AF$6:$AF$35)+SUMIF(⑪ZEN工程入力!$U$6:$U$35,$C9,⑪ZEN工程入力!$AG$6:$AG$35)+SUMIF(⑪ZEN工程入力!$V$6:$V$35,$C9,⑪ZEN工程入力!$AH$6:$AH$35)+SUMIF(⑪ZEN工程入力!$W$6:$W$35,$C9,⑪ZEN工程入力!$AI$6:$AI$35)+SUMIF(⑫ミキサー工程入力!$R$6:$R$65,$C9,⑫ミキサー工程入力!$AD$6:$AD$65)+SUMIF(⑫ミキサー工程入力!$S$6:$S$65,$C9,⑫ミキサー工程入力!$AE$6:$AE$65)+SUMIF(⑫ミキサー工程入力!$T$6:$T$65,$C9,⑫ミキサー工程入力!$AF$6:$AF$65)+SUMIF(⑫ミキサー工程入力!$U$6:$U$65,$C9,⑫ミキサー工程入力!$AG$6:$AG$65)+SUMIF(⑫ミキサー工程入力!$V$6:$V$65,$C9,⑫ミキサー工程入力!$AH$6:$AH$65)+SUMIF(⑫ミキサー工程入力!$W$6:$W$65,$C9,⑫ミキサー工程入力!$AI$6:$AI$65)+SUMIF(⑬計量工程入力!$R$6:$R$65,$C9,⑬計量工程入力!$AD$6:$AD$65)+SUMIF(⑬計量工程入力!$S$6:$S$65,$C9,⑬計量工程入力!$AE$6:$AE$65)+SUMIF(⑬計量工程入力!$T$6:$T$65,$C9,⑬計量工程入力!$AF$6:$AF$65)+SUMIF(⑬計量工程入力!$U$6:$U$65,$C9,⑬計量工程入力!$AG$6:$AG$65)+SUMIF(⑬計量工程入力!$V$6:$V$65,$C9,⑬計量工程入力!$AH$6:$AH$65)+SUMIF(⑬計量工程入力!$W$6:$W$65,$C9,⑬計量工程入力!$AI$6:$AI$65)+SUMIF(⑭手動工程入力!$R$6:$R$47,$C9,⑭手動工程入力!$AD$6:$AD$47)+SUMIF(⑭手動工程入力!$S$6:$S$47,$C9,⑭手動工程入力!$AE$6:$AE$47)+SUMIF(⑭手動工程入力!$T$6:$T$47,$C9,⑭手動工程入力!$AF$6:$AF$47)+SUMIF(⑭手動工程入力!$U$6:$U$47,$C9,⑭手動工程入力!$AG$6:$AG$47)+SUMIF(⑭手動工程入力!$V$6:$V$47,$C9,⑭手動工程入力!$AH$6:$AH$47)+SUMIF(⑭手動工程入力!$W$6:$W$47,$C9,⑭手動工程入力!$AI$6:$AI$47)</f>
        <v/>
      </c>
      <c r="I9" s="393">
        <f>IF($F9&gt;0,$H9/$F9,"")</f>
        <v/>
      </c>
      <c r="J9" s="605">
        <f>IFERROR(INDEX(商品原価!$B$4:$B$112,MATCH(SUBSTITUTE(SUBSTITUTE(SUBSTITUTE(SUBSTITUTE(SUBSTITUTE(SUBSTITUTE(SUBSTITUTE(SUBSTITUTE(SUBSTITUTE(SUBSTITUTE(ASC($C9),"①","1"),"②","2"),"③","3"),"④","4"),"⑤","5"),"⑥","6"),"⑦","7"),"⑧","8"),"⑨","9")," ",""),商品原価!$C$4:$C$112,0)),"")</f>
        <v/>
      </c>
      <c r="K9" s="542">
        <f>IF(ISNUMBER($J9),$J9*④前提設定!$B$21,"")</f>
        <v/>
      </c>
      <c r="L9" s="605">
        <f>IF(AND(NOT(ISNUMBER($J9)),NOT(ISNUMBER($K9))),"",N($J9)+N($K9))</f>
        <v/>
      </c>
      <c r="M9" s="605">
        <f>IFERROR(INDEX(商品原価!$E$4:$E$112,MATCH(SUBSTITUTE(SUBSTITUTE(SUBSTITUTE(SUBSTITUTE(SUBSTITUTE(SUBSTITUTE(SUBSTITUTE(SUBSTITUTE(SUBSTITUTE(SUBSTITUTE(ASC($C9),"①","1"),"②","2"),"③","3"),"④","4"),"⑤","5"),"⑥","6"),"⑦","7"),"⑧","8"),"⑨","9")," ",""),商品原価!$C$4:$C$112,0)),"")</f>
        <v/>
      </c>
      <c r="N9" s="605">
        <f>IF(AND(ISNUMBER($M9),ISNUMBER($L9)),$M9-$L9-N($W9),"")</f>
        <v/>
      </c>
      <c r="O9" s="606">
        <f>IF(AND(ISNUMBER($N9),ISNUMBER($M9),$M9&gt;0),$N9/$M9,"")</f>
        <v/>
      </c>
      <c r="P9" s="398">
        <f>COUNTIF(②釜工程入力!$R$5:$R$117,$C9)+COUNTIF(②釜工程入力!$S$5:$S$117,$C9)+COUNTIF(②釜工程入力!$T$5:$T$117,$C9)+COUNTIF(②釜工程入力!$U$5:$U$117,$C9)+COUNTIF(②釜工程入力!$V$5:$V$117,$C9)+COUNTIF(②釜工程入力!$W$5:$W$117,$C9)+COUNTIF(③スチコン工程入力!$R$5:$R$152,$C9)+COUNTIF(③スチコン工程入力!$S$5:$S$152,$C9)+COUNTIF(③スチコン工程入力!$T$5:$T$152,$C9)+COUNTIF(③スチコン工程入力!$U$5:$U$152,$C9)+COUNTIF(③スチコン工程入力!$V$5:$V$152,$C9)+COUNTIF(③スチコン工程入力!$W$5:$W$152,$C9)+COUNTIF(⑩盛付梱包工程入力!$R$5:$R$300,$C9)+COUNTIF(⑩盛付梱包工程入力!$S$5:$S$300,$C9)+COUNTIF(⑩盛付梱包工程入力!$T$5:$T$300,$C9)+COUNTIF(⑩盛付梱包工程入力!$U$5:$U$300,$C9)+COUNTIF(⑩盛付梱包工程入力!$V$5:$V$300,$C9)+COUNTIF(⑩盛付梱包工程入力!$W$5:$W$300,$C9)+COUNTIF(⑪ZEN工程入力!$R$6:$R$35,$C9)+COUNTIF(⑪ZEN工程入力!$S$6:$S$35,$C9)+COUNTIF(⑪ZEN工程入力!$T$6:$T$35,$C9)+COUNTIF(⑪ZEN工程入力!$U$6:$U$35,$C9)+COUNTIF(⑪ZEN工程入力!$V$6:$V$35,$C9)+COUNTIF(⑪ZEN工程入力!$W$6:$W$35,$C9)+COUNTIF(⑫ミキサー工程入力!$R$6:$R$65,$C9)+COUNTIF(⑫ミキサー工程入力!$S$6:$S$65,$C9)+COUNTIF(⑫ミキサー工程入力!$T$6:$T$65,$C9)+COUNTIF(⑫ミキサー工程入力!$U$6:$U$65,$C9)+COUNTIF(⑫ミキサー工程入力!$V$6:$V$65,$C9)+COUNTIF(⑫ミキサー工程入力!$W$6:$W$65,$C9)+COUNTIF(⑬計量工程入力!$R$6:$R$65,$C9)+COUNTIF(⑬計量工程入力!$S$6:$S$65,$C9)+COUNTIF(⑬計量工程入力!$T$6:$T$65,$C9)+COUNTIF(⑬計量工程入力!$U$6:$U$65,$C9)+COUNTIF(⑬計量工程入力!$V$6:$V$65,$C9)+COUNTIF(⑬計量工程入力!$W$6:$W$65,$C9)+COUNTIF(⑭手動工程入力!$R$6:$R$47,$C9)+COUNTIF(⑭手動工程入力!$S$6:$S$47,$C9)+COUNTIF(⑭手動工程入力!$T$6:$T$47,$C9)+COUNTIF(⑭手動工程入力!$U$6:$U$47,$C9)+COUNTIF(⑭手動工程入力!$V$6:$V$47,$C9)+COUNTIF(⑭手動工程入力!$W$6:$W$47,$C9)</f>
        <v/>
      </c>
      <c r="Q9" s="392" t="n"/>
      <c r="R9" s="393" t="n">
        <v>41.88</v>
      </c>
      <c r="S9" s="393" t="n">
        <v>3664</v>
      </c>
      <c r="T9" s="393">
        <f>IF(AND(ISNUMBER($I9),ISNUMBER($R9)),$I9-$R9,"")</f>
        <v/>
      </c>
      <c r="U9" s="393" t="inlineStr">
        <is>
          <t>大人のコーヒーゼリー小</t>
        </is>
      </c>
      <c r="V9" s="605">
        <f>IFERROR(INDEX(KIT別作業時間!$D$4:$D$27,MATCH(SUBSTITUTE(SUBSTITUTE(SUBSTITUTE(SUBSTITUTE(SUBSTITUTE(SUBSTITUTE(SUBSTITUTE(SUBSTITUTE(SUBSTITUTE(SUBSTITUTE(ASC($C9),"①","1"),"②","2"),"③","3"),"④","4"),"⑤","5"),"⑥","6"),"⑦","7"),"⑧","8"),"⑨","9")," ",""),KIT別作業時間!$C$4:$C$27,0)),"")</f>
        <v/>
      </c>
      <c r="W9" s="393">
        <f>IF(AND(ISNUMBER($I9),$I9&gt;0),$I9,IF(ISNUMBER($V9),$V9,IF(ISNUMBER($R9),$R9,"")))</f>
        <v/>
      </c>
      <c r="X9" s="393">
        <f>IF(AND(ISNUMBER($I9),$I9&gt;0),"今回の工程実績",IF(ISNUMBER($V9),"KIT作業時間",IF(ISNUMBER($R9),"前回資料","")))</f>
        <v/>
      </c>
      <c r="Y9" s="398" t="n">
        <v>100060</v>
      </c>
      <c r="Z9" s="398">
        <f>IF(AND(ISNUMBER($W9),ISNUMBER($Y9)),$W9*$Y9,"")</f>
        <v/>
      </c>
      <c r="AA9" s="393" t="n"/>
    </row>
    <row r="10">
      <c r="A10" s="392" t="n">
        <v>6</v>
      </c>
      <c r="B10" s="392" t="n"/>
      <c r="C10" s="392" t="inlineStr">
        <is>
          <t>Ｓホイップの卵プリン</t>
        </is>
      </c>
      <c r="D10" s="398">
        <f>SUMIF(⑩盛付梱包工程入力!$R$5:$R$300,$C10,⑩盛付梱包工程入力!$AC$5:$AC$300)+SUMIF(⑩盛付梱包工程入力!$S$5:$S$300,$C10,⑩盛付梱包工程入力!$AC$5:$AC$300)+SUMIF(⑩盛付梱包工程入力!$T$5:$T$300,$C10,⑩盛付梱包工程入力!$AC$5:$AC$300)+SUMIF(⑩盛付梱包工程入力!$U$5:$U$300,$C10,⑩盛付梱包工程入力!$AC$5:$AC$300)+SUMIF(⑩盛付梱包工程入力!$V$5:$V$300,$C10,⑩盛付梱包工程入力!$AC$5:$AC$300)+SUMIF(⑩盛付梱包工程入力!$W$5:$W$300,$C10,⑩盛付梱包工程入力!$AC$5:$AC$300)</f>
        <v/>
      </c>
      <c r="E10" s="398" t="n">
        <v>1708</v>
      </c>
      <c r="F10" s="398">
        <f>IF(N($E10)&gt;0,$E10,$D10)</f>
        <v/>
      </c>
      <c r="G10" s="393" t="n">
        <v>33.08004159969746</v>
      </c>
      <c r="H10" s="393">
        <f>SUMIF(②釜工程入力!$R$5:$R$117,$C10,②釜工程入力!$AD$5:$AD$117)+SUMIF(②釜工程入力!$S$5:$S$117,$C10,②釜工程入力!$AE$5:$AE$117)+SUMIF(②釜工程入力!$T$5:$T$117,$C10,②釜工程入力!$AF$5:$AF$117)+SUMIF(②釜工程入力!$U$5:$U$117,$C10,②釜工程入力!$AG$5:$AG$117)+SUMIF(②釜工程入力!$V$5:$V$117,$C10,②釜工程入力!$AH$5:$AH$117)+SUMIF(②釜工程入力!$W$5:$W$117,$C10,②釜工程入力!$AI$5:$AI$117)+SUMIF(③スチコン工程入力!$R$5:$R$152,$C10,③スチコン工程入力!$AD$5:$AD$152)+SUMIF(③スチコン工程入力!$S$5:$S$152,$C10,③スチコン工程入力!$AE$5:$AE$152)+SUMIF(③スチコン工程入力!$T$5:$T$152,$C10,③スチコン工程入力!$AF$5:$AF$152)+SUMIF(③スチコン工程入力!$U$5:$U$152,$C10,③スチコン工程入力!$AG$5:$AG$152)+SUMIF(③スチコン工程入力!$V$5:$V$152,$C10,③スチコン工程入力!$AH$5:$AH$152)+SUMIF(③スチコン工程入力!$W$5:$W$152,$C10,③スチコン工程入力!$AI$5:$AI$152)+SUMIF(⑩盛付梱包工程入力!$R$5:$R$300,$C10,⑩盛付梱包工程入力!$AD$5:$AD$300)+SUMIF(⑩盛付梱包工程入力!$S$5:$S$300,$C10,⑩盛付梱包工程入力!$AE$5:$AE$300)+SUMIF(⑩盛付梱包工程入力!$T$5:$T$300,$C10,⑩盛付梱包工程入力!$AF$5:$AF$300)+SUMIF(⑩盛付梱包工程入力!$U$5:$U$300,$C10,⑩盛付梱包工程入力!$AG$5:$AG$300)+SUMIF(⑩盛付梱包工程入力!$V$5:$V$300,$C10,⑩盛付梱包工程入力!$AH$5:$AH$300)+SUMIF(⑩盛付梱包工程入力!$W$5:$W$300,$C10,⑩盛付梱包工程入力!$AI$5:$AI$300)+SUMIF(⑪ZEN工程入力!$R$6:$R$35,$C10,⑪ZEN工程入力!$AD$6:$AD$35)+SUMIF(⑪ZEN工程入力!$S$6:$S$35,$C10,⑪ZEN工程入力!$AE$6:$AE$35)+SUMIF(⑪ZEN工程入力!$T$6:$T$35,$C10,⑪ZEN工程入力!$AF$6:$AF$35)+SUMIF(⑪ZEN工程入力!$U$6:$U$35,$C10,⑪ZEN工程入力!$AG$6:$AG$35)+SUMIF(⑪ZEN工程入力!$V$6:$V$35,$C10,⑪ZEN工程入力!$AH$6:$AH$35)+SUMIF(⑪ZEN工程入力!$W$6:$W$35,$C10,⑪ZEN工程入力!$AI$6:$AI$35)+SUMIF(⑫ミキサー工程入力!$R$6:$R$65,$C10,⑫ミキサー工程入力!$AD$6:$AD$65)+SUMIF(⑫ミキサー工程入力!$S$6:$S$65,$C10,⑫ミキサー工程入力!$AE$6:$AE$65)+SUMIF(⑫ミキサー工程入力!$T$6:$T$65,$C10,⑫ミキサー工程入力!$AF$6:$AF$65)+SUMIF(⑫ミキサー工程入力!$U$6:$U$65,$C10,⑫ミキサー工程入力!$AG$6:$AG$65)+SUMIF(⑫ミキサー工程入力!$V$6:$V$65,$C10,⑫ミキサー工程入力!$AH$6:$AH$65)+SUMIF(⑫ミキサー工程入力!$W$6:$W$65,$C10,⑫ミキサー工程入力!$AI$6:$AI$65)+SUMIF(⑬計量工程入力!$R$6:$R$65,$C10,⑬計量工程入力!$AD$6:$AD$65)+SUMIF(⑬計量工程入力!$S$6:$S$65,$C10,⑬計量工程入力!$AE$6:$AE$65)+SUMIF(⑬計量工程入力!$T$6:$T$65,$C10,⑬計量工程入力!$AF$6:$AF$65)+SUMIF(⑬計量工程入力!$U$6:$U$65,$C10,⑬計量工程入力!$AG$6:$AG$65)+SUMIF(⑬計量工程入力!$V$6:$V$65,$C10,⑬計量工程入力!$AH$6:$AH$65)+SUMIF(⑬計量工程入力!$W$6:$W$65,$C10,⑬計量工程入力!$AI$6:$AI$65)+SUMIF(⑭手動工程入力!$R$6:$R$47,$C10,⑭手動工程入力!$AD$6:$AD$47)+SUMIF(⑭手動工程入力!$S$6:$S$47,$C10,⑭手動工程入力!$AE$6:$AE$47)+SUMIF(⑭手動工程入力!$T$6:$T$47,$C10,⑭手動工程入力!$AF$6:$AF$47)+SUMIF(⑭手動工程入力!$U$6:$U$47,$C10,⑭手動工程入力!$AG$6:$AG$47)+SUMIF(⑭手動工程入力!$V$6:$V$47,$C10,⑭手動工程入力!$AH$6:$AH$47)+SUMIF(⑭手動工程入力!$W$6:$W$47,$C10,⑭手動工程入力!$AI$6:$AI$47)</f>
        <v/>
      </c>
      <c r="I10" s="393">
        <f>IF($F10&gt;0,$H10/$F10,"")</f>
        <v/>
      </c>
      <c r="J10" s="605">
        <f>IFERROR(INDEX(商品原価!$B$4:$B$112,MATCH(SUBSTITUTE(SUBSTITUTE(SUBSTITUTE(SUBSTITUTE(SUBSTITUTE(SUBSTITUTE(SUBSTITUTE(SUBSTITUTE(SUBSTITUTE(SUBSTITUTE(ASC($C10),"①","1"),"②","2"),"③","3"),"④","4"),"⑤","5"),"⑥","6"),"⑦","7"),"⑧","8"),"⑨","9")," ",""),商品原価!$C$4:$C$112,0)),"")</f>
        <v/>
      </c>
      <c r="K10" s="542">
        <f>IF(ISNUMBER($J10),$J10*④前提設定!$B$21,"")</f>
        <v/>
      </c>
      <c r="L10" s="605">
        <f>IF(AND(NOT(ISNUMBER($J10)),NOT(ISNUMBER($K10))),"",N($J10)+N($K10))</f>
        <v/>
      </c>
      <c r="M10" s="605">
        <f>IFERROR(INDEX(商品原価!$E$4:$E$112,MATCH(SUBSTITUTE(SUBSTITUTE(SUBSTITUTE(SUBSTITUTE(SUBSTITUTE(SUBSTITUTE(SUBSTITUTE(SUBSTITUTE(SUBSTITUTE(SUBSTITUTE(ASC($C10),"①","1"),"②","2"),"③","3"),"④","4"),"⑤","5"),"⑥","6"),"⑦","7"),"⑧","8"),"⑨","9")," ",""),商品原価!$C$4:$C$112,0)),"")</f>
        <v/>
      </c>
      <c r="N10" s="605">
        <f>IF(AND(ISNUMBER($M10),ISNUMBER($L10)),$M10-$L10-N($W10),"")</f>
        <v/>
      </c>
      <c r="O10" s="606">
        <f>IF(AND(ISNUMBER($N10),ISNUMBER($M10),$M10&gt;0),$N10/$M10,"")</f>
        <v/>
      </c>
      <c r="P10" s="398">
        <f>COUNTIF(②釜工程入力!$R$5:$R$117,$C10)+COUNTIF(②釜工程入力!$S$5:$S$117,$C10)+COUNTIF(②釜工程入力!$T$5:$T$117,$C10)+COUNTIF(②釜工程入力!$U$5:$U$117,$C10)+COUNTIF(②釜工程入力!$V$5:$V$117,$C10)+COUNTIF(②釜工程入力!$W$5:$W$117,$C10)+COUNTIF(③スチコン工程入力!$R$5:$R$152,$C10)+COUNTIF(③スチコン工程入力!$S$5:$S$152,$C10)+COUNTIF(③スチコン工程入力!$T$5:$T$152,$C10)+COUNTIF(③スチコン工程入力!$U$5:$U$152,$C10)+COUNTIF(③スチコン工程入力!$V$5:$V$152,$C10)+COUNTIF(③スチコン工程入力!$W$5:$W$152,$C10)+COUNTIF(⑩盛付梱包工程入力!$R$5:$R$300,$C10)+COUNTIF(⑩盛付梱包工程入力!$S$5:$S$300,$C10)+COUNTIF(⑩盛付梱包工程入力!$T$5:$T$300,$C10)+COUNTIF(⑩盛付梱包工程入力!$U$5:$U$300,$C10)+COUNTIF(⑩盛付梱包工程入力!$V$5:$V$300,$C10)+COUNTIF(⑩盛付梱包工程入力!$W$5:$W$300,$C10)+COUNTIF(⑪ZEN工程入力!$R$6:$R$35,$C10)+COUNTIF(⑪ZEN工程入力!$S$6:$S$35,$C10)+COUNTIF(⑪ZEN工程入力!$T$6:$T$35,$C10)+COUNTIF(⑪ZEN工程入力!$U$6:$U$35,$C10)+COUNTIF(⑪ZEN工程入力!$V$6:$V$35,$C10)+COUNTIF(⑪ZEN工程入力!$W$6:$W$35,$C10)+COUNTIF(⑫ミキサー工程入力!$R$6:$R$65,$C10)+COUNTIF(⑫ミキサー工程入力!$S$6:$S$65,$C10)+COUNTIF(⑫ミキサー工程入力!$T$6:$T$65,$C10)+COUNTIF(⑫ミキサー工程入力!$U$6:$U$65,$C10)+COUNTIF(⑫ミキサー工程入力!$V$6:$V$65,$C10)+COUNTIF(⑫ミキサー工程入力!$W$6:$W$65,$C10)+COUNTIF(⑬計量工程入力!$R$6:$R$65,$C10)+COUNTIF(⑬計量工程入力!$S$6:$S$65,$C10)+COUNTIF(⑬計量工程入力!$T$6:$T$65,$C10)+COUNTIF(⑬計量工程入力!$U$6:$U$65,$C10)+COUNTIF(⑬計量工程入力!$V$6:$V$65,$C10)+COUNTIF(⑬計量工程入力!$W$6:$W$65,$C10)+COUNTIF(⑭手動工程入力!$R$6:$R$47,$C10)+COUNTIF(⑭手動工程入力!$S$6:$S$47,$C10)+COUNTIF(⑭手動工程入力!$T$6:$T$47,$C10)+COUNTIF(⑭手動工程入力!$U$6:$U$47,$C10)+COUNTIF(⑭手動工程入力!$V$6:$V$47,$C10)+COUNTIF(⑭手動工程入力!$W$6:$W$47,$C10)</f>
        <v/>
      </c>
      <c r="Q10" s="392" t="n"/>
      <c r="R10" s="393" t="n">
        <v>36.07</v>
      </c>
      <c r="S10" s="393" t="n">
        <v>2251</v>
      </c>
      <c r="T10" s="393">
        <f>IF(AND(ISNUMBER($I10),ISNUMBER($R10)),$I10-$R10,"")</f>
        <v/>
      </c>
      <c r="U10" s="393" t="inlineStr">
        <is>
          <t>卵プリン</t>
        </is>
      </c>
      <c r="V10" s="605">
        <f>IFERROR(INDEX(KIT別作業時間!$D$4:$D$27,MATCH(SUBSTITUTE(SUBSTITUTE(SUBSTITUTE(SUBSTITUTE(SUBSTITUTE(SUBSTITUTE(SUBSTITUTE(SUBSTITUTE(SUBSTITUTE(SUBSTITUTE(ASC($C10),"①","1"),"②","2"),"③","3"),"④","4"),"⑤","5"),"⑥","6"),"⑦","7"),"⑧","8"),"⑨","9")," ",""),KIT別作業時間!$C$4:$C$27,0)),"")</f>
        <v/>
      </c>
      <c r="W10" s="393">
        <f>IF(AND(ISNUMBER($I10),$I10&gt;0),$I10,IF(ISNUMBER($V10),$V10,IF(ISNUMBER($R10),$R10,"")))</f>
        <v/>
      </c>
      <c r="X10" s="393">
        <f>IF(AND(ISNUMBER($I10),$I10&gt;0),"今回の工程実績",IF(ISNUMBER($V10),"KIT作業時間",IF(ISNUMBER($R10),"前回資料","")))</f>
        <v/>
      </c>
      <c r="Y10" s="398" t="n">
        <v>60137</v>
      </c>
      <c r="Z10" s="398">
        <f>IF(AND(ISNUMBER($W10),ISNUMBER($Y10)),$W10*$Y10,"")</f>
        <v/>
      </c>
      <c r="AA10" s="393" t="n"/>
    </row>
    <row r="11">
      <c r="A11" s="392" t="n">
        <v>7</v>
      </c>
      <c r="B11" s="392" t="n"/>
      <c r="C11" s="392" t="inlineStr">
        <is>
          <t>Ｓお箸でつまんでわらび餅小</t>
        </is>
      </c>
      <c r="D11" s="398">
        <f>SUMIF(⑩盛付梱包工程入力!$R$5:$R$300,$C11,⑩盛付梱包工程入力!$AC$5:$AC$300)+SUMIF(⑩盛付梱包工程入力!$S$5:$S$300,$C11,⑩盛付梱包工程入力!$AC$5:$AC$300)+SUMIF(⑩盛付梱包工程入力!$T$5:$T$300,$C11,⑩盛付梱包工程入力!$AC$5:$AC$300)+SUMIF(⑩盛付梱包工程入力!$U$5:$U$300,$C11,⑩盛付梱包工程入力!$AC$5:$AC$300)+SUMIF(⑩盛付梱包工程入力!$V$5:$V$300,$C11,⑩盛付梱包工程入力!$AC$5:$AC$300)+SUMIF(⑩盛付梱包工程入力!$W$5:$W$300,$C11,⑩盛付梱包工程入力!$AC$5:$AC$300)</f>
        <v/>
      </c>
      <c r="E11" s="398" t="n">
        <v>2236</v>
      </c>
      <c r="F11" s="398">
        <f>IF(N($E11)&gt;0,$E11,$D11)</f>
        <v/>
      </c>
      <c r="G11" s="393" t="n">
        <v>35.16037090775671</v>
      </c>
      <c r="H11" s="393">
        <f>SUMIF(②釜工程入力!$R$5:$R$117,$C11,②釜工程入力!$AD$5:$AD$117)+SUMIF(②釜工程入力!$S$5:$S$117,$C11,②釜工程入力!$AE$5:$AE$117)+SUMIF(②釜工程入力!$T$5:$T$117,$C11,②釜工程入力!$AF$5:$AF$117)+SUMIF(②釜工程入力!$U$5:$U$117,$C11,②釜工程入力!$AG$5:$AG$117)+SUMIF(②釜工程入力!$V$5:$V$117,$C11,②釜工程入力!$AH$5:$AH$117)+SUMIF(②釜工程入力!$W$5:$W$117,$C11,②釜工程入力!$AI$5:$AI$117)+SUMIF(③スチコン工程入力!$R$5:$R$152,$C11,③スチコン工程入力!$AD$5:$AD$152)+SUMIF(③スチコン工程入力!$S$5:$S$152,$C11,③スチコン工程入力!$AE$5:$AE$152)+SUMIF(③スチコン工程入力!$T$5:$T$152,$C11,③スチコン工程入力!$AF$5:$AF$152)+SUMIF(③スチコン工程入力!$U$5:$U$152,$C11,③スチコン工程入力!$AG$5:$AG$152)+SUMIF(③スチコン工程入力!$V$5:$V$152,$C11,③スチコン工程入力!$AH$5:$AH$152)+SUMIF(③スチコン工程入力!$W$5:$W$152,$C11,③スチコン工程入力!$AI$5:$AI$152)+SUMIF(⑩盛付梱包工程入力!$R$5:$R$300,$C11,⑩盛付梱包工程入力!$AD$5:$AD$300)+SUMIF(⑩盛付梱包工程入力!$S$5:$S$300,$C11,⑩盛付梱包工程入力!$AE$5:$AE$300)+SUMIF(⑩盛付梱包工程入力!$T$5:$T$300,$C11,⑩盛付梱包工程入力!$AF$5:$AF$300)+SUMIF(⑩盛付梱包工程入力!$U$5:$U$300,$C11,⑩盛付梱包工程入力!$AG$5:$AG$300)+SUMIF(⑩盛付梱包工程入力!$V$5:$V$300,$C11,⑩盛付梱包工程入力!$AH$5:$AH$300)+SUMIF(⑩盛付梱包工程入力!$W$5:$W$300,$C11,⑩盛付梱包工程入力!$AI$5:$AI$300)+SUMIF(⑪ZEN工程入力!$R$6:$R$35,$C11,⑪ZEN工程入力!$AD$6:$AD$35)+SUMIF(⑪ZEN工程入力!$S$6:$S$35,$C11,⑪ZEN工程入力!$AE$6:$AE$35)+SUMIF(⑪ZEN工程入力!$T$6:$T$35,$C11,⑪ZEN工程入力!$AF$6:$AF$35)+SUMIF(⑪ZEN工程入力!$U$6:$U$35,$C11,⑪ZEN工程入力!$AG$6:$AG$35)+SUMIF(⑪ZEN工程入力!$V$6:$V$35,$C11,⑪ZEN工程入力!$AH$6:$AH$35)+SUMIF(⑪ZEN工程入力!$W$6:$W$35,$C11,⑪ZEN工程入力!$AI$6:$AI$35)+SUMIF(⑫ミキサー工程入力!$R$6:$R$65,$C11,⑫ミキサー工程入力!$AD$6:$AD$65)+SUMIF(⑫ミキサー工程入力!$S$6:$S$65,$C11,⑫ミキサー工程入力!$AE$6:$AE$65)+SUMIF(⑫ミキサー工程入力!$T$6:$T$65,$C11,⑫ミキサー工程入力!$AF$6:$AF$65)+SUMIF(⑫ミキサー工程入力!$U$6:$U$65,$C11,⑫ミキサー工程入力!$AG$6:$AG$65)+SUMIF(⑫ミキサー工程入力!$V$6:$V$65,$C11,⑫ミキサー工程入力!$AH$6:$AH$65)+SUMIF(⑫ミキサー工程入力!$W$6:$W$65,$C11,⑫ミキサー工程入力!$AI$6:$AI$65)+SUMIF(⑬計量工程入力!$R$6:$R$65,$C11,⑬計量工程入力!$AD$6:$AD$65)+SUMIF(⑬計量工程入力!$S$6:$S$65,$C11,⑬計量工程入力!$AE$6:$AE$65)+SUMIF(⑬計量工程入力!$T$6:$T$65,$C11,⑬計量工程入力!$AF$6:$AF$65)+SUMIF(⑬計量工程入力!$U$6:$U$65,$C11,⑬計量工程入力!$AG$6:$AG$65)+SUMIF(⑬計量工程入力!$V$6:$V$65,$C11,⑬計量工程入力!$AH$6:$AH$65)+SUMIF(⑬計量工程入力!$W$6:$W$65,$C11,⑬計量工程入力!$AI$6:$AI$65)+SUMIF(⑭手動工程入力!$R$6:$R$47,$C11,⑭手動工程入力!$AD$6:$AD$47)+SUMIF(⑭手動工程入力!$S$6:$S$47,$C11,⑭手動工程入力!$AE$6:$AE$47)+SUMIF(⑭手動工程入力!$T$6:$T$47,$C11,⑭手動工程入力!$AF$6:$AF$47)+SUMIF(⑭手動工程入力!$U$6:$U$47,$C11,⑭手動工程入力!$AG$6:$AG$47)+SUMIF(⑭手動工程入力!$V$6:$V$47,$C11,⑭手動工程入力!$AH$6:$AH$47)+SUMIF(⑭手動工程入力!$W$6:$W$47,$C11,⑭手動工程入力!$AI$6:$AI$47)</f>
        <v/>
      </c>
      <c r="I11" s="393">
        <f>IF($F11&gt;0,$H11/$F11,"")</f>
        <v/>
      </c>
      <c r="J11" s="605">
        <f>IFERROR(INDEX(商品原価!$B$4:$B$112,MATCH(SUBSTITUTE(SUBSTITUTE(SUBSTITUTE(SUBSTITUTE(SUBSTITUTE(SUBSTITUTE(SUBSTITUTE(SUBSTITUTE(SUBSTITUTE(SUBSTITUTE(ASC($C11),"①","1"),"②","2"),"③","3"),"④","4"),"⑤","5"),"⑥","6"),"⑦","7"),"⑧","8"),"⑨","9")," ",""),商品原価!$C$4:$C$112,0)),"")</f>
        <v/>
      </c>
      <c r="K11" s="542">
        <f>IF(ISNUMBER($J11),$J11*④前提設定!$B$21,"")</f>
        <v/>
      </c>
      <c r="L11" s="605">
        <f>IF(AND(NOT(ISNUMBER($J11)),NOT(ISNUMBER($K11))),"",N($J11)+N($K11))</f>
        <v/>
      </c>
      <c r="M11" s="605">
        <f>IFERROR(INDEX(商品原価!$E$4:$E$112,MATCH(SUBSTITUTE(SUBSTITUTE(SUBSTITUTE(SUBSTITUTE(SUBSTITUTE(SUBSTITUTE(SUBSTITUTE(SUBSTITUTE(SUBSTITUTE(SUBSTITUTE(ASC($C11),"①","1"),"②","2"),"③","3"),"④","4"),"⑤","5"),"⑥","6"),"⑦","7"),"⑧","8"),"⑨","9")," ",""),商品原価!$C$4:$C$112,0)),"")</f>
        <v/>
      </c>
      <c r="N11" s="605">
        <f>IF(AND(ISNUMBER($M11),ISNUMBER($L11)),$M11-$L11-N($W11),"")</f>
        <v/>
      </c>
      <c r="O11" s="606">
        <f>IF(AND(ISNUMBER($N11),ISNUMBER($M11),$M11&gt;0),$N11/$M11,"")</f>
        <v/>
      </c>
      <c r="P11" s="398">
        <f>COUNTIF(②釜工程入力!$R$5:$R$117,$C11)+COUNTIF(②釜工程入力!$S$5:$S$117,$C11)+COUNTIF(②釜工程入力!$T$5:$T$117,$C11)+COUNTIF(②釜工程入力!$U$5:$U$117,$C11)+COUNTIF(②釜工程入力!$V$5:$V$117,$C11)+COUNTIF(②釜工程入力!$W$5:$W$117,$C11)+COUNTIF(③スチコン工程入力!$R$5:$R$152,$C11)+COUNTIF(③スチコン工程入力!$S$5:$S$152,$C11)+COUNTIF(③スチコン工程入力!$T$5:$T$152,$C11)+COUNTIF(③スチコン工程入力!$U$5:$U$152,$C11)+COUNTIF(③スチコン工程入力!$V$5:$V$152,$C11)+COUNTIF(③スチコン工程入力!$W$5:$W$152,$C11)+COUNTIF(⑩盛付梱包工程入力!$R$5:$R$300,$C11)+COUNTIF(⑩盛付梱包工程入力!$S$5:$S$300,$C11)+COUNTIF(⑩盛付梱包工程入力!$T$5:$T$300,$C11)+COUNTIF(⑩盛付梱包工程入力!$U$5:$U$300,$C11)+COUNTIF(⑩盛付梱包工程入力!$V$5:$V$300,$C11)+COUNTIF(⑩盛付梱包工程入力!$W$5:$W$300,$C11)+COUNTIF(⑪ZEN工程入力!$R$6:$R$35,$C11)+COUNTIF(⑪ZEN工程入力!$S$6:$S$35,$C11)+COUNTIF(⑪ZEN工程入力!$T$6:$T$35,$C11)+COUNTIF(⑪ZEN工程入力!$U$6:$U$35,$C11)+COUNTIF(⑪ZEN工程入力!$V$6:$V$35,$C11)+COUNTIF(⑪ZEN工程入力!$W$6:$W$35,$C11)+COUNTIF(⑫ミキサー工程入力!$R$6:$R$65,$C11)+COUNTIF(⑫ミキサー工程入力!$S$6:$S$65,$C11)+COUNTIF(⑫ミキサー工程入力!$T$6:$T$65,$C11)+COUNTIF(⑫ミキサー工程入力!$U$6:$U$65,$C11)+COUNTIF(⑫ミキサー工程入力!$V$6:$V$65,$C11)+COUNTIF(⑫ミキサー工程入力!$W$6:$W$65,$C11)+COUNTIF(⑬計量工程入力!$R$6:$R$65,$C11)+COUNTIF(⑬計量工程入力!$S$6:$S$65,$C11)+COUNTIF(⑬計量工程入力!$T$6:$T$65,$C11)+COUNTIF(⑬計量工程入力!$U$6:$U$65,$C11)+COUNTIF(⑬計量工程入力!$V$6:$V$65,$C11)+COUNTIF(⑬計量工程入力!$W$6:$W$65,$C11)+COUNTIF(⑭手動工程入力!$R$6:$R$47,$C11)+COUNTIF(⑭手動工程入力!$S$6:$S$47,$C11)+COUNTIF(⑭手動工程入力!$T$6:$T$47,$C11)+COUNTIF(⑭手動工程入力!$U$6:$U$47,$C11)+COUNTIF(⑭手動工程入力!$V$6:$V$47,$C11)+COUNTIF(⑭手動工程入力!$W$6:$W$47,$C11)</f>
        <v/>
      </c>
      <c r="Q11" s="392" t="n"/>
      <c r="R11" s="393" t="n"/>
      <c r="S11" s="393" t="n"/>
      <c r="T11" s="393" t="n"/>
      <c r="U11" s="393" t="n"/>
      <c r="V11" s="605">
        <f>IFERROR(INDEX(KIT別作業時間!$D$4:$D$27,MATCH(SUBSTITUTE(SUBSTITUTE(SUBSTITUTE(SUBSTITUTE(SUBSTITUTE(SUBSTITUTE(SUBSTITUTE(SUBSTITUTE(SUBSTITUTE(SUBSTITUTE(ASC($C11),"①","1"),"②","2"),"③","3"),"④","4"),"⑤","5"),"⑥","6"),"⑦","7"),"⑧","8"),"⑨","9")," ",""),KIT別作業時間!$C$4:$C$27,0)),"")</f>
        <v/>
      </c>
      <c r="W11" s="393">
        <f>IF(AND(ISNUMBER($I11),$I11&gt;0),$I11,IF(ISNUMBER($V11),$V11,IF(ISNUMBER($R11),$R11,"")))</f>
        <v/>
      </c>
      <c r="X11" s="393">
        <f>IF(AND(ISNUMBER($I11),$I11&gt;0),"今回の工程実績",IF(ISNUMBER($V11),"KIT作業時間",IF(ISNUMBER($R11),"前回資料","")))</f>
        <v/>
      </c>
      <c r="Y11" s="398" t="n">
        <v>53632</v>
      </c>
      <c r="Z11" s="398">
        <f>IF(AND(ISNUMBER($W11),ISNUMBER($Y11)),$W11*$Y11,"")</f>
        <v/>
      </c>
      <c r="AA11" s="393" t="n"/>
    </row>
    <row r="12">
      <c r="A12" s="392" t="n">
        <v>8</v>
      </c>
      <c r="B12" s="392" t="n"/>
      <c r="C12" s="392" t="inlineStr">
        <is>
          <t>藻塩からあげＫＩＴ５Ｋ</t>
        </is>
      </c>
      <c r="D12" s="398">
        <f>SUMIF(⑩盛付梱包工程入力!$R$5:$R$300,$C12,⑩盛付梱包工程入力!$AC$5:$AC$300)+SUMIF(⑩盛付梱包工程入力!$S$5:$S$300,$C12,⑩盛付梱包工程入力!$AC$5:$AC$300)+SUMIF(⑩盛付梱包工程入力!$T$5:$T$300,$C12,⑩盛付梱包工程入力!$AC$5:$AC$300)+SUMIF(⑩盛付梱包工程入力!$U$5:$U$300,$C12,⑩盛付梱包工程入力!$AC$5:$AC$300)+SUMIF(⑩盛付梱包工程入力!$V$5:$V$300,$C12,⑩盛付梱包工程入力!$AC$5:$AC$300)+SUMIF(⑩盛付梱包工程入力!$W$5:$W$300,$C12,⑩盛付梱包工程入力!$AC$5:$AC$300)</f>
        <v/>
      </c>
      <c r="E12" s="398" t="n">
        <v>47</v>
      </c>
      <c r="F12" s="398">
        <f>IF(N($E12)&gt;0,$E12,$D12)</f>
        <v/>
      </c>
      <c r="G12" s="393" t="n">
        <v>820.8347425057648</v>
      </c>
      <c r="H12" s="393">
        <f>SUMIF(②釜工程入力!$R$5:$R$117,$C12,②釜工程入力!$AD$5:$AD$117)+SUMIF(②釜工程入力!$S$5:$S$117,$C12,②釜工程入力!$AE$5:$AE$117)+SUMIF(②釜工程入力!$T$5:$T$117,$C12,②釜工程入力!$AF$5:$AF$117)+SUMIF(②釜工程入力!$U$5:$U$117,$C12,②釜工程入力!$AG$5:$AG$117)+SUMIF(②釜工程入力!$V$5:$V$117,$C12,②釜工程入力!$AH$5:$AH$117)+SUMIF(②釜工程入力!$W$5:$W$117,$C12,②釜工程入力!$AI$5:$AI$117)+SUMIF(③スチコン工程入力!$R$5:$R$152,$C12,③スチコン工程入力!$AD$5:$AD$152)+SUMIF(③スチコン工程入力!$S$5:$S$152,$C12,③スチコン工程入力!$AE$5:$AE$152)+SUMIF(③スチコン工程入力!$T$5:$T$152,$C12,③スチコン工程入力!$AF$5:$AF$152)+SUMIF(③スチコン工程入力!$U$5:$U$152,$C12,③スチコン工程入力!$AG$5:$AG$152)+SUMIF(③スチコン工程入力!$V$5:$V$152,$C12,③スチコン工程入力!$AH$5:$AH$152)+SUMIF(③スチコン工程入力!$W$5:$W$152,$C12,③スチコン工程入力!$AI$5:$AI$152)+SUMIF(⑩盛付梱包工程入力!$R$5:$R$300,$C12,⑩盛付梱包工程入力!$AD$5:$AD$300)+SUMIF(⑩盛付梱包工程入力!$S$5:$S$300,$C12,⑩盛付梱包工程入力!$AE$5:$AE$300)+SUMIF(⑩盛付梱包工程入力!$T$5:$T$300,$C12,⑩盛付梱包工程入力!$AF$5:$AF$300)+SUMIF(⑩盛付梱包工程入力!$U$5:$U$300,$C12,⑩盛付梱包工程入力!$AG$5:$AG$300)+SUMIF(⑩盛付梱包工程入力!$V$5:$V$300,$C12,⑩盛付梱包工程入力!$AH$5:$AH$300)+SUMIF(⑩盛付梱包工程入力!$W$5:$W$300,$C12,⑩盛付梱包工程入力!$AI$5:$AI$300)+SUMIF(⑪ZEN工程入力!$R$6:$R$35,$C12,⑪ZEN工程入力!$AD$6:$AD$35)+SUMIF(⑪ZEN工程入力!$S$6:$S$35,$C12,⑪ZEN工程入力!$AE$6:$AE$35)+SUMIF(⑪ZEN工程入力!$T$6:$T$35,$C12,⑪ZEN工程入力!$AF$6:$AF$35)+SUMIF(⑪ZEN工程入力!$U$6:$U$35,$C12,⑪ZEN工程入力!$AG$6:$AG$35)+SUMIF(⑪ZEN工程入力!$V$6:$V$35,$C12,⑪ZEN工程入力!$AH$6:$AH$35)+SUMIF(⑪ZEN工程入力!$W$6:$W$35,$C12,⑪ZEN工程入力!$AI$6:$AI$35)+SUMIF(⑫ミキサー工程入力!$R$6:$R$65,$C12,⑫ミキサー工程入力!$AD$6:$AD$65)+SUMIF(⑫ミキサー工程入力!$S$6:$S$65,$C12,⑫ミキサー工程入力!$AE$6:$AE$65)+SUMIF(⑫ミキサー工程入力!$T$6:$T$65,$C12,⑫ミキサー工程入力!$AF$6:$AF$65)+SUMIF(⑫ミキサー工程入力!$U$6:$U$65,$C12,⑫ミキサー工程入力!$AG$6:$AG$65)+SUMIF(⑫ミキサー工程入力!$V$6:$V$65,$C12,⑫ミキサー工程入力!$AH$6:$AH$65)+SUMIF(⑫ミキサー工程入力!$W$6:$W$65,$C12,⑫ミキサー工程入力!$AI$6:$AI$65)+SUMIF(⑬計量工程入力!$R$6:$R$65,$C12,⑬計量工程入力!$AD$6:$AD$65)+SUMIF(⑬計量工程入力!$S$6:$S$65,$C12,⑬計量工程入力!$AE$6:$AE$65)+SUMIF(⑬計量工程入力!$T$6:$T$65,$C12,⑬計量工程入力!$AF$6:$AF$65)+SUMIF(⑬計量工程入力!$U$6:$U$65,$C12,⑬計量工程入力!$AG$6:$AG$65)+SUMIF(⑬計量工程入力!$V$6:$V$65,$C12,⑬計量工程入力!$AH$6:$AH$65)+SUMIF(⑬計量工程入力!$W$6:$W$65,$C12,⑬計量工程入力!$AI$6:$AI$65)+SUMIF(⑭手動工程入力!$R$6:$R$47,$C12,⑭手動工程入力!$AD$6:$AD$47)+SUMIF(⑭手動工程入力!$S$6:$S$47,$C12,⑭手動工程入力!$AE$6:$AE$47)+SUMIF(⑭手動工程入力!$T$6:$T$47,$C12,⑭手動工程入力!$AF$6:$AF$47)+SUMIF(⑭手動工程入力!$U$6:$U$47,$C12,⑭手動工程入力!$AG$6:$AG$47)+SUMIF(⑭手動工程入力!$V$6:$V$47,$C12,⑭手動工程入力!$AH$6:$AH$47)+SUMIF(⑭手動工程入力!$W$6:$W$47,$C12,⑭手動工程入力!$AI$6:$AI$47)</f>
        <v/>
      </c>
      <c r="I12" s="393">
        <f>IF($F12&gt;0,$H12/$F12,"")</f>
        <v/>
      </c>
      <c r="J12" s="605">
        <f>IFERROR(INDEX(商品原価!$B$4:$B$112,MATCH(SUBSTITUTE(SUBSTITUTE(SUBSTITUTE(SUBSTITUTE(SUBSTITUTE(SUBSTITUTE(SUBSTITUTE(SUBSTITUTE(SUBSTITUTE(SUBSTITUTE(ASC($C12),"①","1"),"②","2"),"③","3"),"④","4"),"⑤","5"),"⑥","6"),"⑦","7"),"⑧","8"),"⑨","9")," ",""),商品原価!$C$4:$C$112,0)),"")</f>
        <v/>
      </c>
      <c r="K12" s="542">
        <f>IF(ISNUMBER($J12),$J12*④前提設定!$B$21,"")</f>
        <v/>
      </c>
      <c r="L12" s="605">
        <f>IF(AND(NOT(ISNUMBER($J12)),NOT(ISNUMBER($K12))),"",N($J12)+N($K12))</f>
        <v/>
      </c>
      <c r="M12" s="605">
        <f>IFERROR(INDEX(商品原価!$E$4:$E$112,MATCH(SUBSTITUTE(SUBSTITUTE(SUBSTITUTE(SUBSTITUTE(SUBSTITUTE(SUBSTITUTE(SUBSTITUTE(SUBSTITUTE(SUBSTITUTE(SUBSTITUTE(ASC($C12),"①","1"),"②","2"),"③","3"),"④","4"),"⑤","5"),"⑥","6"),"⑦","7"),"⑧","8"),"⑨","9")," ",""),商品原価!$C$4:$C$112,0)),"")</f>
        <v/>
      </c>
      <c r="N12" s="605">
        <f>IF(AND(ISNUMBER($M12),ISNUMBER($L12)),$M12-$L12-N($W12),"")</f>
        <v/>
      </c>
      <c r="O12" s="606">
        <f>IF(AND(ISNUMBER($N12),ISNUMBER($M12),$M12&gt;0),$N12/$M12,"")</f>
        <v/>
      </c>
      <c r="P12" s="398">
        <f>COUNTIF(②釜工程入力!$R$5:$R$117,$C12)+COUNTIF(②釜工程入力!$S$5:$S$117,$C12)+COUNTIF(②釜工程入力!$T$5:$T$117,$C12)+COUNTIF(②釜工程入力!$U$5:$U$117,$C12)+COUNTIF(②釜工程入力!$V$5:$V$117,$C12)+COUNTIF(②釜工程入力!$W$5:$W$117,$C12)+COUNTIF(③スチコン工程入力!$R$5:$R$152,$C12)+COUNTIF(③スチコン工程入力!$S$5:$S$152,$C12)+COUNTIF(③スチコン工程入力!$T$5:$T$152,$C12)+COUNTIF(③スチコン工程入力!$U$5:$U$152,$C12)+COUNTIF(③スチコン工程入力!$V$5:$V$152,$C12)+COUNTIF(③スチコン工程入力!$W$5:$W$152,$C12)+COUNTIF(⑩盛付梱包工程入力!$R$5:$R$300,$C12)+COUNTIF(⑩盛付梱包工程入力!$S$5:$S$300,$C12)+COUNTIF(⑩盛付梱包工程入力!$T$5:$T$300,$C12)+COUNTIF(⑩盛付梱包工程入力!$U$5:$U$300,$C12)+COUNTIF(⑩盛付梱包工程入力!$V$5:$V$300,$C12)+COUNTIF(⑩盛付梱包工程入力!$W$5:$W$300,$C12)+COUNTIF(⑪ZEN工程入力!$R$6:$R$35,$C12)+COUNTIF(⑪ZEN工程入力!$S$6:$S$35,$C12)+COUNTIF(⑪ZEN工程入力!$T$6:$T$35,$C12)+COUNTIF(⑪ZEN工程入力!$U$6:$U$35,$C12)+COUNTIF(⑪ZEN工程入力!$V$6:$V$35,$C12)+COUNTIF(⑪ZEN工程入力!$W$6:$W$35,$C12)+COUNTIF(⑫ミキサー工程入力!$R$6:$R$65,$C12)+COUNTIF(⑫ミキサー工程入力!$S$6:$S$65,$C12)+COUNTIF(⑫ミキサー工程入力!$T$6:$T$65,$C12)+COUNTIF(⑫ミキサー工程入力!$U$6:$U$65,$C12)+COUNTIF(⑫ミキサー工程入力!$V$6:$V$65,$C12)+COUNTIF(⑫ミキサー工程入力!$W$6:$W$65,$C12)+COUNTIF(⑬計量工程入力!$R$6:$R$65,$C12)+COUNTIF(⑬計量工程入力!$S$6:$S$65,$C12)+COUNTIF(⑬計量工程入力!$T$6:$T$65,$C12)+COUNTIF(⑬計量工程入力!$U$6:$U$65,$C12)+COUNTIF(⑬計量工程入力!$V$6:$V$65,$C12)+COUNTIF(⑬計量工程入力!$W$6:$W$65,$C12)+COUNTIF(⑭手動工程入力!$R$6:$R$47,$C12)+COUNTIF(⑭手動工程入力!$S$6:$S$47,$C12)+COUNTIF(⑭手動工程入力!$T$6:$T$47,$C12)+COUNTIF(⑭手動工程入力!$U$6:$U$47,$C12)+COUNTIF(⑭手動工程入力!$V$6:$V$47,$C12)+COUNTIF(⑭手動工程入力!$W$6:$W$47,$C12)</f>
        <v/>
      </c>
      <c r="Q12" s="392" t="inlineStr">
        <is>
          <t>⑩盛付梱包 52行目に入力欄を作成（工程記録なし）</t>
        </is>
      </c>
      <c r="R12" s="393" t="n"/>
      <c r="S12" s="393" t="n"/>
      <c r="T12" s="393" t="n"/>
      <c r="U12" s="393" t="n"/>
      <c r="V12" s="605">
        <f>IFERROR(INDEX(KIT別作業時間!$D$4:$D$27,MATCH(SUBSTITUTE(SUBSTITUTE(SUBSTITUTE(SUBSTITUTE(SUBSTITUTE(SUBSTITUTE(SUBSTITUTE(SUBSTITUTE(SUBSTITUTE(SUBSTITUTE(ASC($C12),"①","1"),"②","2"),"③","3"),"④","4"),"⑤","5"),"⑥","6"),"⑦","7"),"⑧","8"),"⑨","9")," ",""),KIT別作業時間!$C$4:$C$27,0)),"")</f>
        <v/>
      </c>
      <c r="W12" s="393">
        <f>IF(AND(ISNUMBER($I12),$I12&gt;0),$I12,IF(ISNUMBER($V12),$V12,IF(ISNUMBER($R12),$R12,"")))</f>
        <v/>
      </c>
      <c r="X12" s="393">
        <f>IF(AND(ISNUMBER($I12),$I12&gt;0),"今回の工程実績",IF(ISNUMBER($V12),"KIT作業時間",IF(ISNUMBER($R12),"前回資料","")))</f>
        <v/>
      </c>
      <c r="Y12" s="398" t="n">
        <v>1499</v>
      </c>
      <c r="Z12" s="398">
        <f>IF(AND(ISNUMBER($W12),ISNUMBER($Y12)),$W12*$Y12,"")</f>
        <v/>
      </c>
      <c r="AA12" s="393" t="n"/>
    </row>
    <row r="13">
      <c r="A13" s="392" t="n">
        <v>9</v>
      </c>
      <c r="B13" s="392" t="n"/>
      <c r="C13" s="392" t="inlineStr">
        <is>
          <t>Ｓ蜜いもスイートポテト</t>
        </is>
      </c>
      <c r="D13" s="398">
        <f>SUMIF(⑩盛付梱包工程入力!$R$5:$R$300,$C13,⑩盛付梱包工程入力!$AC$5:$AC$300)+SUMIF(⑩盛付梱包工程入力!$S$5:$S$300,$C13,⑩盛付梱包工程入力!$AC$5:$AC$300)+SUMIF(⑩盛付梱包工程入力!$T$5:$T$300,$C13,⑩盛付梱包工程入力!$AC$5:$AC$300)+SUMIF(⑩盛付梱包工程入力!$U$5:$U$300,$C13,⑩盛付梱包工程入力!$AC$5:$AC$300)+SUMIF(⑩盛付梱包工程入力!$V$5:$V$300,$C13,⑩盛付梱包工程入力!$AC$5:$AC$300)+SUMIF(⑩盛付梱包工程入力!$W$5:$W$300,$C13,⑩盛付梱包工程入力!$AC$5:$AC$300)</f>
        <v/>
      </c>
      <c r="E13" s="398" t="n">
        <v>863</v>
      </c>
      <c r="F13" s="398">
        <f>IF(N($E13)&gt;0,$E13,$D13)</f>
        <v/>
      </c>
      <c r="G13" s="393" t="n">
        <v>76.9005783296479</v>
      </c>
      <c r="H13" s="393">
        <f>SUMIF(②釜工程入力!$R$5:$R$117,$C13,②釜工程入力!$AD$5:$AD$117)+SUMIF(②釜工程入力!$S$5:$S$117,$C13,②釜工程入力!$AE$5:$AE$117)+SUMIF(②釜工程入力!$T$5:$T$117,$C13,②釜工程入力!$AF$5:$AF$117)+SUMIF(②釜工程入力!$U$5:$U$117,$C13,②釜工程入力!$AG$5:$AG$117)+SUMIF(②釜工程入力!$V$5:$V$117,$C13,②釜工程入力!$AH$5:$AH$117)+SUMIF(②釜工程入力!$W$5:$W$117,$C13,②釜工程入力!$AI$5:$AI$117)+SUMIF(③スチコン工程入力!$R$5:$R$152,$C13,③スチコン工程入力!$AD$5:$AD$152)+SUMIF(③スチコン工程入力!$S$5:$S$152,$C13,③スチコン工程入力!$AE$5:$AE$152)+SUMIF(③スチコン工程入力!$T$5:$T$152,$C13,③スチコン工程入力!$AF$5:$AF$152)+SUMIF(③スチコン工程入力!$U$5:$U$152,$C13,③スチコン工程入力!$AG$5:$AG$152)+SUMIF(③スチコン工程入力!$V$5:$V$152,$C13,③スチコン工程入力!$AH$5:$AH$152)+SUMIF(③スチコン工程入力!$W$5:$W$152,$C13,③スチコン工程入力!$AI$5:$AI$152)+SUMIF(⑩盛付梱包工程入力!$R$5:$R$300,$C13,⑩盛付梱包工程入力!$AD$5:$AD$300)+SUMIF(⑩盛付梱包工程入力!$S$5:$S$300,$C13,⑩盛付梱包工程入力!$AE$5:$AE$300)+SUMIF(⑩盛付梱包工程入力!$T$5:$T$300,$C13,⑩盛付梱包工程入力!$AF$5:$AF$300)+SUMIF(⑩盛付梱包工程入力!$U$5:$U$300,$C13,⑩盛付梱包工程入力!$AG$5:$AG$300)+SUMIF(⑩盛付梱包工程入力!$V$5:$V$300,$C13,⑩盛付梱包工程入力!$AH$5:$AH$300)+SUMIF(⑩盛付梱包工程入力!$W$5:$W$300,$C13,⑩盛付梱包工程入力!$AI$5:$AI$300)+SUMIF(⑪ZEN工程入力!$R$6:$R$35,$C13,⑪ZEN工程入力!$AD$6:$AD$35)+SUMIF(⑪ZEN工程入力!$S$6:$S$35,$C13,⑪ZEN工程入力!$AE$6:$AE$35)+SUMIF(⑪ZEN工程入力!$T$6:$T$35,$C13,⑪ZEN工程入力!$AF$6:$AF$35)+SUMIF(⑪ZEN工程入力!$U$6:$U$35,$C13,⑪ZEN工程入力!$AG$6:$AG$35)+SUMIF(⑪ZEN工程入力!$V$6:$V$35,$C13,⑪ZEN工程入力!$AH$6:$AH$35)+SUMIF(⑪ZEN工程入力!$W$6:$W$35,$C13,⑪ZEN工程入力!$AI$6:$AI$35)+SUMIF(⑫ミキサー工程入力!$R$6:$R$65,$C13,⑫ミキサー工程入力!$AD$6:$AD$65)+SUMIF(⑫ミキサー工程入力!$S$6:$S$65,$C13,⑫ミキサー工程入力!$AE$6:$AE$65)+SUMIF(⑫ミキサー工程入力!$T$6:$T$65,$C13,⑫ミキサー工程入力!$AF$6:$AF$65)+SUMIF(⑫ミキサー工程入力!$U$6:$U$65,$C13,⑫ミキサー工程入力!$AG$6:$AG$65)+SUMIF(⑫ミキサー工程入力!$V$6:$V$65,$C13,⑫ミキサー工程入力!$AH$6:$AH$65)+SUMIF(⑫ミキサー工程入力!$W$6:$W$65,$C13,⑫ミキサー工程入力!$AI$6:$AI$65)+SUMIF(⑬計量工程入力!$R$6:$R$65,$C13,⑬計量工程入力!$AD$6:$AD$65)+SUMIF(⑬計量工程入力!$S$6:$S$65,$C13,⑬計量工程入力!$AE$6:$AE$65)+SUMIF(⑬計量工程入力!$T$6:$T$65,$C13,⑬計量工程入力!$AF$6:$AF$65)+SUMIF(⑬計量工程入力!$U$6:$U$65,$C13,⑬計量工程入力!$AG$6:$AG$65)+SUMIF(⑬計量工程入力!$V$6:$V$65,$C13,⑬計量工程入力!$AH$6:$AH$65)+SUMIF(⑬計量工程入力!$W$6:$W$65,$C13,⑬計量工程入力!$AI$6:$AI$65)+SUMIF(⑭手動工程入力!$R$6:$R$47,$C13,⑭手動工程入力!$AD$6:$AD$47)+SUMIF(⑭手動工程入力!$S$6:$S$47,$C13,⑭手動工程入力!$AE$6:$AE$47)+SUMIF(⑭手動工程入力!$T$6:$T$47,$C13,⑭手動工程入力!$AF$6:$AF$47)+SUMIF(⑭手動工程入力!$U$6:$U$47,$C13,⑭手動工程入力!$AG$6:$AG$47)+SUMIF(⑭手動工程入力!$V$6:$V$47,$C13,⑭手動工程入力!$AH$6:$AH$47)+SUMIF(⑭手動工程入力!$W$6:$W$47,$C13,⑭手動工程入力!$AI$6:$AI$47)</f>
        <v/>
      </c>
      <c r="I13" s="393">
        <f>IF($F13&gt;0,$H13/$F13,"")</f>
        <v/>
      </c>
      <c r="J13" s="605">
        <f>IFERROR(INDEX(商品原価!$B$4:$B$112,MATCH(SUBSTITUTE(SUBSTITUTE(SUBSTITUTE(SUBSTITUTE(SUBSTITUTE(SUBSTITUTE(SUBSTITUTE(SUBSTITUTE(SUBSTITUTE(SUBSTITUTE(ASC($C13),"①","1"),"②","2"),"③","3"),"④","4"),"⑤","5"),"⑥","6"),"⑦","7"),"⑧","8"),"⑨","9")," ",""),商品原価!$C$4:$C$112,0)),"")</f>
        <v/>
      </c>
      <c r="K13" s="542">
        <f>IF(ISNUMBER($J13),$J13*④前提設定!$B$21,"")</f>
        <v/>
      </c>
      <c r="L13" s="605">
        <f>IF(AND(NOT(ISNUMBER($J13)),NOT(ISNUMBER($K13))),"",N($J13)+N($K13))</f>
        <v/>
      </c>
      <c r="M13" s="605">
        <f>IFERROR(INDEX(商品原価!$E$4:$E$112,MATCH(SUBSTITUTE(SUBSTITUTE(SUBSTITUTE(SUBSTITUTE(SUBSTITUTE(SUBSTITUTE(SUBSTITUTE(SUBSTITUTE(SUBSTITUTE(SUBSTITUTE(ASC($C13),"①","1"),"②","2"),"③","3"),"④","4"),"⑤","5"),"⑥","6"),"⑦","7"),"⑧","8"),"⑨","9")," ",""),商品原価!$C$4:$C$112,0)),"")</f>
        <v/>
      </c>
      <c r="N13" s="605">
        <f>IF(AND(ISNUMBER($M13),ISNUMBER($L13)),$M13-$L13-N($W13),"")</f>
        <v/>
      </c>
      <c r="O13" s="606">
        <f>IF(AND(ISNUMBER($N13),ISNUMBER($M13),$M13&gt;0),$N13/$M13,"")</f>
        <v/>
      </c>
      <c r="P13" s="398">
        <f>COUNTIF(②釜工程入力!$R$5:$R$117,$C13)+COUNTIF(②釜工程入力!$S$5:$S$117,$C13)+COUNTIF(②釜工程入力!$T$5:$T$117,$C13)+COUNTIF(②釜工程入力!$U$5:$U$117,$C13)+COUNTIF(②釜工程入力!$V$5:$V$117,$C13)+COUNTIF(②釜工程入力!$W$5:$W$117,$C13)+COUNTIF(③スチコン工程入力!$R$5:$R$152,$C13)+COUNTIF(③スチコン工程入力!$S$5:$S$152,$C13)+COUNTIF(③スチコン工程入力!$T$5:$T$152,$C13)+COUNTIF(③スチコン工程入力!$U$5:$U$152,$C13)+COUNTIF(③スチコン工程入力!$V$5:$V$152,$C13)+COUNTIF(③スチコン工程入力!$W$5:$W$152,$C13)+COUNTIF(⑩盛付梱包工程入力!$R$5:$R$300,$C13)+COUNTIF(⑩盛付梱包工程入力!$S$5:$S$300,$C13)+COUNTIF(⑩盛付梱包工程入力!$T$5:$T$300,$C13)+COUNTIF(⑩盛付梱包工程入力!$U$5:$U$300,$C13)+COUNTIF(⑩盛付梱包工程入力!$V$5:$V$300,$C13)+COUNTIF(⑩盛付梱包工程入力!$W$5:$W$300,$C13)+COUNTIF(⑪ZEN工程入力!$R$6:$R$35,$C13)+COUNTIF(⑪ZEN工程入力!$S$6:$S$35,$C13)+COUNTIF(⑪ZEN工程入力!$T$6:$T$35,$C13)+COUNTIF(⑪ZEN工程入力!$U$6:$U$35,$C13)+COUNTIF(⑪ZEN工程入力!$V$6:$V$35,$C13)+COUNTIF(⑪ZEN工程入力!$W$6:$W$35,$C13)+COUNTIF(⑫ミキサー工程入力!$R$6:$R$65,$C13)+COUNTIF(⑫ミキサー工程入力!$S$6:$S$65,$C13)+COUNTIF(⑫ミキサー工程入力!$T$6:$T$65,$C13)+COUNTIF(⑫ミキサー工程入力!$U$6:$U$65,$C13)+COUNTIF(⑫ミキサー工程入力!$V$6:$V$65,$C13)+COUNTIF(⑫ミキサー工程入力!$W$6:$W$65,$C13)+COUNTIF(⑬計量工程入力!$R$6:$R$65,$C13)+COUNTIF(⑬計量工程入力!$S$6:$S$65,$C13)+COUNTIF(⑬計量工程入力!$T$6:$T$65,$C13)+COUNTIF(⑬計量工程入力!$U$6:$U$65,$C13)+COUNTIF(⑬計量工程入力!$V$6:$V$65,$C13)+COUNTIF(⑬計量工程入力!$W$6:$W$65,$C13)+COUNTIF(⑭手動工程入力!$R$6:$R$47,$C13)+COUNTIF(⑭手動工程入力!$S$6:$S$47,$C13)+COUNTIF(⑭手動工程入力!$T$6:$T$47,$C13)+COUNTIF(⑭手動工程入力!$U$6:$U$47,$C13)+COUNTIF(⑭手動工程入力!$V$6:$V$47,$C13)+COUNTIF(⑭手動工程入力!$W$6:$W$47,$C13)</f>
        <v/>
      </c>
      <c r="Q13" s="392" t="n"/>
      <c r="R13" s="393" t="n"/>
      <c r="S13" s="393" t="n"/>
      <c r="T13" s="393" t="n"/>
      <c r="U13" s="393" t="n"/>
      <c r="V13" s="605">
        <f>IFERROR(INDEX(KIT別作業時間!$D$4:$D$27,MATCH(SUBSTITUTE(SUBSTITUTE(SUBSTITUTE(SUBSTITUTE(SUBSTITUTE(SUBSTITUTE(SUBSTITUTE(SUBSTITUTE(SUBSTITUTE(SUBSTITUTE(ASC($C13),"①","1"),"②","2"),"③","3"),"④","4"),"⑤","5"),"⑥","6"),"⑦","7"),"⑧","8"),"⑨","9")," ",""),KIT別作業時間!$C$4:$C$27,0)),"")</f>
        <v/>
      </c>
      <c r="W13" s="393">
        <f>IF(AND(ISNUMBER($I13),$I13&gt;0),$I13,IF(ISNUMBER($V13),$V13,IF(ISNUMBER($R13),$R13,"")))</f>
        <v/>
      </c>
      <c r="X13" s="393">
        <f>IF(AND(ISNUMBER($I13),$I13&gt;0),"今回の工程実績",IF(ISNUMBER($V13),"KIT作業時間",IF(ISNUMBER($R13),"前回資料","")))</f>
        <v/>
      </c>
      <c r="Y13" s="398" t="n">
        <v>22002</v>
      </c>
      <c r="Z13" s="398">
        <f>IF(AND(ISNUMBER($W13),ISNUMBER($Y13)),$W13*$Y13,"")</f>
        <v/>
      </c>
      <c r="AA13" s="393" t="inlineStr">
        <is>
          <t>【白】蜜いもスイートポテト（2商品に等分）</t>
        </is>
      </c>
    </row>
    <row r="14">
      <c r="A14" s="392" t="n">
        <v>10</v>
      </c>
      <c r="B14" s="392" t="n"/>
      <c r="C14" s="392" t="inlineStr">
        <is>
          <t>Ｓ２層仕立てのチーズケーキ</t>
        </is>
      </c>
      <c r="D14" s="398">
        <f>SUMIF(⑩盛付梱包工程入力!$R$5:$R$300,$C14,⑩盛付梱包工程入力!$AC$5:$AC$300)+SUMIF(⑩盛付梱包工程入力!$S$5:$S$300,$C14,⑩盛付梱包工程入力!$AC$5:$AC$300)+SUMIF(⑩盛付梱包工程入力!$T$5:$T$300,$C14,⑩盛付梱包工程入力!$AC$5:$AC$300)+SUMIF(⑩盛付梱包工程入力!$U$5:$U$300,$C14,⑩盛付梱包工程入力!$AC$5:$AC$300)+SUMIF(⑩盛付梱包工程入力!$V$5:$V$300,$C14,⑩盛付梱包工程入力!$AC$5:$AC$300)+SUMIF(⑩盛付梱包工程入力!$W$5:$W$300,$C14,⑩盛付梱包工程入力!$AC$5:$AC$300)</f>
        <v/>
      </c>
      <c r="E14" s="398" t="n">
        <v>646</v>
      </c>
      <c r="F14" s="398">
        <f>IF(N($E14)&gt;0,$E14,$D14)</f>
        <v/>
      </c>
      <c r="G14" s="393" t="n">
        <v>58.750395256917</v>
      </c>
      <c r="H14" s="393">
        <f>SUMIF(②釜工程入力!$R$5:$R$117,$C14,②釜工程入力!$AD$5:$AD$117)+SUMIF(②釜工程入力!$S$5:$S$117,$C14,②釜工程入力!$AE$5:$AE$117)+SUMIF(②釜工程入力!$T$5:$T$117,$C14,②釜工程入力!$AF$5:$AF$117)+SUMIF(②釜工程入力!$U$5:$U$117,$C14,②釜工程入力!$AG$5:$AG$117)+SUMIF(②釜工程入力!$V$5:$V$117,$C14,②釜工程入力!$AH$5:$AH$117)+SUMIF(②釜工程入力!$W$5:$W$117,$C14,②釜工程入力!$AI$5:$AI$117)+SUMIF(③スチコン工程入力!$R$5:$R$152,$C14,③スチコン工程入力!$AD$5:$AD$152)+SUMIF(③スチコン工程入力!$S$5:$S$152,$C14,③スチコン工程入力!$AE$5:$AE$152)+SUMIF(③スチコン工程入力!$T$5:$T$152,$C14,③スチコン工程入力!$AF$5:$AF$152)+SUMIF(③スチコン工程入力!$U$5:$U$152,$C14,③スチコン工程入力!$AG$5:$AG$152)+SUMIF(③スチコン工程入力!$V$5:$V$152,$C14,③スチコン工程入力!$AH$5:$AH$152)+SUMIF(③スチコン工程入力!$W$5:$W$152,$C14,③スチコン工程入力!$AI$5:$AI$152)+SUMIF(⑩盛付梱包工程入力!$R$5:$R$300,$C14,⑩盛付梱包工程入力!$AD$5:$AD$300)+SUMIF(⑩盛付梱包工程入力!$S$5:$S$300,$C14,⑩盛付梱包工程入力!$AE$5:$AE$300)+SUMIF(⑩盛付梱包工程入力!$T$5:$T$300,$C14,⑩盛付梱包工程入力!$AF$5:$AF$300)+SUMIF(⑩盛付梱包工程入力!$U$5:$U$300,$C14,⑩盛付梱包工程入力!$AG$5:$AG$300)+SUMIF(⑩盛付梱包工程入力!$V$5:$V$300,$C14,⑩盛付梱包工程入力!$AH$5:$AH$300)+SUMIF(⑩盛付梱包工程入力!$W$5:$W$300,$C14,⑩盛付梱包工程入力!$AI$5:$AI$300)+SUMIF(⑪ZEN工程入力!$R$6:$R$35,$C14,⑪ZEN工程入力!$AD$6:$AD$35)+SUMIF(⑪ZEN工程入力!$S$6:$S$35,$C14,⑪ZEN工程入力!$AE$6:$AE$35)+SUMIF(⑪ZEN工程入力!$T$6:$T$35,$C14,⑪ZEN工程入力!$AF$6:$AF$35)+SUMIF(⑪ZEN工程入力!$U$6:$U$35,$C14,⑪ZEN工程入力!$AG$6:$AG$35)+SUMIF(⑪ZEN工程入力!$V$6:$V$35,$C14,⑪ZEN工程入力!$AH$6:$AH$35)+SUMIF(⑪ZEN工程入力!$W$6:$W$35,$C14,⑪ZEN工程入力!$AI$6:$AI$35)+SUMIF(⑫ミキサー工程入力!$R$6:$R$65,$C14,⑫ミキサー工程入力!$AD$6:$AD$65)+SUMIF(⑫ミキサー工程入力!$S$6:$S$65,$C14,⑫ミキサー工程入力!$AE$6:$AE$65)+SUMIF(⑫ミキサー工程入力!$T$6:$T$65,$C14,⑫ミキサー工程入力!$AF$6:$AF$65)+SUMIF(⑫ミキサー工程入力!$U$6:$U$65,$C14,⑫ミキサー工程入力!$AG$6:$AG$65)+SUMIF(⑫ミキサー工程入力!$V$6:$V$65,$C14,⑫ミキサー工程入力!$AH$6:$AH$65)+SUMIF(⑫ミキサー工程入力!$W$6:$W$65,$C14,⑫ミキサー工程入力!$AI$6:$AI$65)+SUMIF(⑬計量工程入力!$R$6:$R$65,$C14,⑬計量工程入力!$AD$6:$AD$65)+SUMIF(⑬計量工程入力!$S$6:$S$65,$C14,⑬計量工程入力!$AE$6:$AE$65)+SUMIF(⑬計量工程入力!$T$6:$T$65,$C14,⑬計量工程入力!$AF$6:$AF$65)+SUMIF(⑬計量工程入力!$U$6:$U$65,$C14,⑬計量工程入力!$AG$6:$AG$65)+SUMIF(⑬計量工程入力!$V$6:$V$65,$C14,⑬計量工程入力!$AH$6:$AH$65)+SUMIF(⑬計量工程入力!$W$6:$W$65,$C14,⑬計量工程入力!$AI$6:$AI$65)+SUMIF(⑭手動工程入力!$R$6:$R$47,$C14,⑭手動工程入力!$AD$6:$AD$47)+SUMIF(⑭手動工程入力!$S$6:$S$47,$C14,⑭手動工程入力!$AE$6:$AE$47)+SUMIF(⑭手動工程入力!$T$6:$T$47,$C14,⑭手動工程入力!$AF$6:$AF$47)+SUMIF(⑭手動工程入力!$U$6:$U$47,$C14,⑭手動工程入力!$AG$6:$AG$47)+SUMIF(⑭手動工程入力!$V$6:$V$47,$C14,⑭手動工程入力!$AH$6:$AH$47)+SUMIF(⑭手動工程入力!$W$6:$W$47,$C14,⑭手動工程入力!$AI$6:$AI$47)</f>
        <v/>
      </c>
      <c r="I14" s="393">
        <f>IF($F14&gt;0,$H14/$F14,"")</f>
        <v/>
      </c>
      <c r="J14" s="605">
        <f>IFERROR(INDEX(商品原価!$B$4:$B$112,MATCH(SUBSTITUTE(SUBSTITUTE(SUBSTITUTE(SUBSTITUTE(SUBSTITUTE(SUBSTITUTE(SUBSTITUTE(SUBSTITUTE(SUBSTITUTE(SUBSTITUTE(ASC($C14),"①","1"),"②","2"),"③","3"),"④","4"),"⑤","5"),"⑥","6"),"⑦","7"),"⑧","8"),"⑨","9")," ",""),商品原価!$C$4:$C$112,0)),"")</f>
        <v/>
      </c>
      <c r="K14" s="542">
        <f>IF(ISNUMBER($J14),$J14*④前提設定!$B$21,"")</f>
        <v/>
      </c>
      <c r="L14" s="605">
        <f>IF(AND(NOT(ISNUMBER($J14)),NOT(ISNUMBER($K14))),"",N($J14)+N($K14))</f>
        <v/>
      </c>
      <c r="M14" s="605">
        <f>IFERROR(INDEX(商品原価!$E$4:$E$112,MATCH(SUBSTITUTE(SUBSTITUTE(SUBSTITUTE(SUBSTITUTE(SUBSTITUTE(SUBSTITUTE(SUBSTITUTE(SUBSTITUTE(SUBSTITUTE(SUBSTITUTE(ASC($C14),"①","1"),"②","2"),"③","3"),"④","4"),"⑤","5"),"⑥","6"),"⑦","7"),"⑧","8"),"⑨","9")," ",""),商品原価!$C$4:$C$112,0)),"")</f>
        <v/>
      </c>
      <c r="N14" s="605">
        <f>IF(AND(ISNUMBER($M14),ISNUMBER($L14)),$M14-$L14-N($W14),"")</f>
        <v/>
      </c>
      <c r="O14" s="606">
        <f>IF(AND(ISNUMBER($N14),ISNUMBER($M14),$M14&gt;0),$N14/$M14,"")</f>
        <v/>
      </c>
      <c r="P14" s="398">
        <f>COUNTIF(②釜工程入力!$R$5:$R$117,$C14)+COUNTIF(②釜工程入力!$S$5:$S$117,$C14)+COUNTIF(②釜工程入力!$T$5:$T$117,$C14)+COUNTIF(②釜工程入力!$U$5:$U$117,$C14)+COUNTIF(②釜工程入力!$V$5:$V$117,$C14)+COUNTIF(②釜工程入力!$W$5:$W$117,$C14)+COUNTIF(③スチコン工程入力!$R$5:$R$152,$C14)+COUNTIF(③スチコン工程入力!$S$5:$S$152,$C14)+COUNTIF(③スチコン工程入力!$T$5:$T$152,$C14)+COUNTIF(③スチコン工程入力!$U$5:$U$152,$C14)+COUNTIF(③スチコン工程入力!$V$5:$V$152,$C14)+COUNTIF(③スチコン工程入力!$W$5:$W$152,$C14)+COUNTIF(⑩盛付梱包工程入力!$R$5:$R$300,$C14)+COUNTIF(⑩盛付梱包工程入力!$S$5:$S$300,$C14)+COUNTIF(⑩盛付梱包工程入力!$T$5:$T$300,$C14)+COUNTIF(⑩盛付梱包工程入力!$U$5:$U$300,$C14)+COUNTIF(⑩盛付梱包工程入力!$V$5:$V$300,$C14)+COUNTIF(⑩盛付梱包工程入力!$W$5:$W$300,$C14)+COUNTIF(⑪ZEN工程入力!$R$6:$R$35,$C14)+COUNTIF(⑪ZEN工程入力!$S$6:$S$35,$C14)+COUNTIF(⑪ZEN工程入力!$T$6:$T$35,$C14)+COUNTIF(⑪ZEN工程入力!$U$6:$U$35,$C14)+COUNTIF(⑪ZEN工程入力!$V$6:$V$35,$C14)+COUNTIF(⑪ZEN工程入力!$W$6:$W$35,$C14)+COUNTIF(⑫ミキサー工程入力!$R$6:$R$65,$C14)+COUNTIF(⑫ミキサー工程入力!$S$6:$S$65,$C14)+COUNTIF(⑫ミキサー工程入力!$T$6:$T$65,$C14)+COUNTIF(⑫ミキサー工程入力!$U$6:$U$65,$C14)+COUNTIF(⑫ミキサー工程入力!$V$6:$V$65,$C14)+COUNTIF(⑫ミキサー工程入力!$W$6:$W$65,$C14)+COUNTIF(⑬計量工程入力!$R$6:$R$65,$C14)+COUNTIF(⑬計量工程入力!$S$6:$S$65,$C14)+COUNTIF(⑬計量工程入力!$T$6:$T$65,$C14)+COUNTIF(⑬計量工程入力!$U$6:$U$65,$C14)+COUNTIF(⑬計量工程入力!$V$6:$V$65,$C14)+COUNTIF(⑬計量工程入力!$W$6:$W$65,$C14)+COUNTIF(⑭手動工程入力!$R$6:$R$47,$C14)+COUNTIF(⑭手動工程入力!$S$6:$S$47,$C14)+COUNTIF(⑭手動工程入力!$T$6:$T$47,$C14)+COUNTIF(⑭手動工程入力!$U$6:$U$47,$C14)+COUNTIF(⑭手動工程入力!$V$6:$V$47,$C14)+COUNTIF(⑭手動工程入力!$W$6:$W$47,$C14)</f>
        <v/>
      </c>
      <c r="Q14" s="392" t="n"/>
      <c r="R14" s="393" t="n">
        <v>48.61</v>
      </c>
      <c r="S14" s="393" t="n">
        <v>910</v>
      </c>
      <c r="T14" s="393">
        <f>IF(AND(ISNUMBER($I14),ISNUMBER($R14)),$I14-$R14,"")</f>
        <v/>
      </c>
      <c r="U14" s="393" t="inlineStr">
        <is>
          <t>２層仕立てのチーズケーキ２</t>
        </is>
      </c>
      <c r="V14" s="605">
        <f>IFERROR(INDEX(KIT別作業時間!$D$4:$D$27,MATCH(SUBSTITUTE(SUBSTITUTE(SUBSTITUTE(SUBSTITUTE(SUBSTITUTE(SUBSTITUTE(SUBSTITUTE(SUBSTITUTE(SUBSTITUTE(SUBSTITUTE(ASC($C14),"①","1"),"②","2"),"③","3"),"④","4"),"⑤","5"),"⑥","6"),"⑦","7"),"⑧","8"),"⑨","9")," ",""),KIT別作業時間!$C$4:$C$27,0)),"")</f>
        <v/>
      </c>
      <c r="W14" s="393">
        <f>IF(AND(ISNUMBER($I14),$I14&gt;0),$I14,IF(ISNUMBER($V14),$V14,IF(ISNUMBER($R14),$R14,"")))</f>
        <v/>
      </c>
      <c r="X14" s="393">
        <f>IF(AND(ISNUMBER($I14),$I14&gt;0),"今回の工程実績",IF(ISNUMBER($V14),"KIT作業時間",IF(ISNUMBER($R14),"前回資料","")))</f>
        <v/>
      </c>
      <c r="Y14" s="398" t="n">
        <v>24288</v>
      </c>
      <c r="Z14" s="398">
        <f>IF(AND(ISNUMBER($W14),ISNUMBER($Y14)),$W14*$Y14,"")</f>
        <v/>
      </c>
      <c r="AA14" s="393" t="n"/>
    </row>
    <row r="15">
      <c r="A15" s="392" t="n">
        <v>11</v>
      </c>
      <c r="B15" s="392" t="n"/>
      <c r="C15" s="392" t="inlineStr">
        <is>
          <t>自社製キャベツメンチカツ２</t>
        </is>
      </c>
      <c r="D15" s="398">
        <f>SUMIF(⑩盛付梱包工程入力!$R$5:$R$300,$C15,⑩盛付梱包工程入力!$AC$5:$AC$300)+SUMIF(⑩盛付梱包工程入力!$S$5:$S$300,$C15,⑩盛付梱包工程入力!$AC$5:$AC$300)+SUMIF(⑩盛付梱包工程入力!$T$5:$T$300,$C15,⑩盛付梱包工程入力!$AC$5:$AC$300)+SUMIF(⑩盛付梱包工程入力!$U$5:$U$300,$C15,⑩盛付梱包工程入力!$AC$5:$AC$300)+SUMIF(⑩盛付梱包工程入力!$V$5:$V$300,$C15,⑩盛付梱包工程入力!$AC$5:$AC$300)+SUMIF(⑩盛付梱包工程入力!$W$5:$W$300,$C15,⑩盛付梱包工程入力!$AC$5:$AC$300)</f>
        <v/>
      </c>
      <c r="E15" s="398" t="n">
        <v>201</v>
      </c>
      <c r="F15" s="398">
        <f>IF(N($E15)&gt;0,$E15,$D15)</f>
        <v/>
      </c>
      <c r="G15" s="393" t="n">
        <v>120.508173668483</v>
      </c>
      <c r="H15" s="393">
        <f>SUMIF(②釜工程入力!$R$5:$R$117,$C15,②釜工程入力!$AD$5:$AD$117)+SUMIF(②釜工程入力!$S$5:$S$117,$C15,②釜工程入力!$AE$5:$AE$117)+SUMIF(②釜工程入力!$T$5:$T$117,$C15,②釜工程入力!$AF$5:$AF$117)+SUMIF(②釜工程入力!$U$5:$U$117,$C15,②釜工程入力!$AG$5:$AG$117)+SUMIF(②釜工程入力!$V$5:$V$117,$C15,②釜工程入力!$AH$5:$AH$117)+SUMIF(②釜工程入力!$W$5:$W$117,$C15,②釜工程入力!$AI$5:$AI$117)+SUMIF(③スチコン工程入力!$R$5:$R$152,$C15,③スチコン工程入力!$AD$5:$AD$152)+SUMIF(③スチコン工程入力!$S$5:$S$152,$C15,③スチコン工程入力!$AE$5:$AE$152)+SUMIF(③スチコン工程入力!$T$5:$T$152,$C15,③スチコン工程入力!$AF$5:$AF$152)+SUMIF(③スチコン工程入力!$U$5:$U$152,$C15,③スチコン工程入力!$AG$5:$AG$152)+SUMIF(③スチコン工程入力!$V$5:$V$152,$C15,③スチコン工程入力!$AH$5:$AH$152)+SUMIF(③スチコン工程入力!$W$5:$W$152,$C15,③スチコン工程入力!$AI$5:$AI$152)+SUMIF(⑩盛付梱包工程入力!$R$5:$R$300,$C15,⑩盛付梱包工程入力!$AD$5:$AD$300)+SUMIF(⑩盛付梱包工程入力!$S$5:$S$300,$C15,⑩盛付梱包工程入力!$AE$5:$AE$300)+SUMIF(⑩盛付梱包工程入力!$T$5:$T$300,$C15,⑩盛付梱包工程入力!$AF$5:$AF$300)+SUMIF(⑩盛付梱包工程入力!$U$5:$U$300,$C15,⑩盛付梱包工程入力!$AG$5:$AG$300)+SUMIF(⑩盛付梱包工程入力!$V$5:$V$300,$C15,⑩盛付梱包工程入力!$AH$5:$AH$300)+SUMIF(⑩盛付梱包工程入力!$W$5:$W$300,$C15,⑩盛付梱包工程入力!$AI$5:$AI$300)+SUMIF(⑪ZEN工程入力!$R$6:$R$35,$C15,⑪ZEN工程入力!$AD$6:$AD$35)+SUMIF(⑪ZEN工程入力!$S$6:$S$35,$C15,⑪ZEN工程入力!$AE$6:$AE$35)+SUMIF(⑪ZEN工程入力!$T$6:$T$35,$C15,⑪ZEN工程入力!$AF$6:$AF$35)+SUMIF(⑪ZEN工程入力!$U$6:$U$35,$C15,⑪ZEN工程入力!$AG$6:$AG$35)+SUMIF(⑪ZEN工程入力!$V$6:$V$35,$C15,⑪ZEN工程入力!$AH$6:$AH$35)+SUMIF(⑪ZEN工程入力!$W$6:$W$35,$C15,⑪ZEN工程入力!$AI$6:$AI$35)+SUMIF(⑫ミキサー工程入力!$R$6:$R$65,$C15,⑫ミキサー工程入力!$AD$6:$AD$65)+SUMIF(⑫ミキサー工程入力!$S$6:$S$65,$C15,⑫ミキサー工程入力!$AE$6:$AE$65)+SUMIF(⑫ミキサー工程入力!$T$6:$T$65,$C15,⑫ミキサー工程入力!$AF$6:$AF$65)+SUMIF(⑫ミキサー工程入力!$U$6:$U$65,$C15,⑫ミキサー工程入力!$AG$6:$AG$65)+SUMIF(⑫ミキサー工程入力!$V$6:$V$65,$C15,⑫ミキサー工程入力!$AH$6:$AH$65)+SUMIF(⑫ミキサー工程入力!$W$6:$W$65,$C15,⑫ミキサー工程入力!$AI$6:$AI$65)+SUMIF(⑬計量工程入力!$R$6:$R$65,$C15,⑬計量工程入力!$AD$6:$AD$65)+SUMIF(⑬計量工程入力!$S$6:$S$65,$C15,⑬計量工程入力!$AE$6:$AE$65)+SUMIF(⑬計量工程入力!$T$6:$T$65,$C15,⑬計量工程入力!$AF$6:$AF$65)+SUMIF(⑬計量工程入力!$U$6:$U$65,$C15,⑬計量工程入力!$AG$6:$AG$65)+SUMIF(⑬計量工程入力!$V$6:$V$65,$C15,⑬計量工程入力!$AH$6:$AH$65)+SUMIF(⑬計量工程入力!$W$6:$W$65,$C15,⑬計量工程入力!$AI$6:$AI$65)+SUMIF(⑭手動工程入力!$R$6:$R$47,$C15,⑭手動工程入力!$AD$6:$AD$47)+SUMIF(⑭手動工程入力!$S$6:$S$47,$C15,⑭手動工程入力!$AE$6:$AE$47)+SUMIF(⑭手動工程入力!$T$6:$T$47,$C15,⑭手動工程入力!$AF$6:$AF$47)+SUMIF(⑭手動工程入力!$U$6:$U$47,$C15,⑭手動工程入力!$AG$6:$AG$47)+SUMIF(⑭手動工程入力!$V$6:$V$47,$C15,⑭手動工程入力!$AH$6:$AH$47)+SUMIF(⑭手動工程入力!$W$6:$W$47,$C15,⑭手動工程入力!$AI$6:$AI$47)</f>
        <v/>
      </c>
      <c r="I15" s="393">
        <f>IF($F15&gt;0,$H15/$F15,"")</f>
        <v/>
      </c>
      <c r="J15" s="605">
        <f>IFERROR(INDEX(商品原価!$B$4:$B$112,MATCH(SUBSTITUTE(SUBSTITUTE(SUBSTITUTE(SUBSTITUTE(SUBSTITUTE(SUBSTITUTE(SUBSTITUTE(SUBSTITUTE(SUBSTITUTE(SUBSTITUTE(ASC($C15),"①","1"),"②","2"),"③","3"),"④","4"),"⑤","5"),"⑥","6"),"⑦","7"),"⑧","8"),"⑨","9")," ",""),商品原価!$C$4:$C$112,0)),"")</f>
        <v/>
      </c>
      <c r="K15" s="542">
        <f>IF(ISNUMBER($J15),$J15*④前提設定!$B$21,"")</f>
        <v/>
      </c>
      <c r="L15" s="605">
        <f>IF(AND(NOT(ISNUMBER($J15)),NOT(ISNUMBER($K15))),"",N($J15)+N($K15))</f>
        <v/>
      </c>
      <c r="M15" s="605">
        <f>IFERROR(INDEX(商品原価!$E$4:$E$112,MATCH(SUBSTITUTE(SUBSTITUTE(SUBSTITUTE(SUBSTITUTE(SUBSTITUTE(SUBSTITUTE(SUBSTITUTE(SUBSTITUTE(SUBSTITUTE(SUBSTITUTE(ASC($C15),"①","1"),"②","2"),"③","3"),"④","4"),"⑤","5"),"⑥","6"),"⑦","7"),"⑧","8"),"⑨","9")," ",""),商品原価!$C$4:$C$112,0)),"")</f>
        <v/>
      </c>
      <c r="N15" s="605">
        <f>IF(AND(ISNUMBER($M15),ISNUMBER($L15)),$M15-$L15-N($W15),"")</f>
        <v/>
      </c>
      <c r="O15" s="606">
        <f>IF(AND(ISNUMBER($N15),ISNUMBER($M15),$M15&gt;0),$N15/$M15,"")</f>
        <v/>
      </c>
      <c r="P15" s="398">
        <f>COUNTIF(②釜工程入力!$R$5:$R$117,$C15)+COUNTIF(②釜工程入力!$S$5:$S$117,$C15)+COUNTIF(②釜工程入力!$T$5:$T$117,$C15)+COUNTIF(②釜工程入力!$U$5:$U$117,$C15)+COUNTIF(②釜工程入力!$V$5:$V$117,$C15)+COUNTIF(②釜工程入力!$W$5:$W$117,$C15)+COUNTIF(③スチコン工程入力!$R$5:$R$152,$C15)+COUNTIF(③スチコン工程入力!$S$5:$S$152,$C15)+COUNTIF(③スチコン工程入力!$T$5:$T$152,$C15)+COUNTIF(③スチコン工程入力!$U$5:$U$152,$C15)+COUNTIF(③スチコン工程入力!$V$5:$V$152,$C15)+COUNTIF(③スチコン工程入力!$W$5:$W$152,$C15)+COUNTIF(⑩盛付梱包工程入力!$R$5:$R$300,$C15)+COUNTIF(⑩盛付梱包工程入力!$S$5:$S$300,$C15)+COUNTIF(⑩盛付梱包工程入力!$T$5:$T$300,$C15)+COUNTIF(⑩盛付梱包工程入力!$U$5:$U$300,$C15)+COUNTIF(⑩盛付梱包工程入力!$V$5:$V$300,$C15)+COUNTIF(⑩盛付梱包工程入力!$W$5:$W$300,$C15)+COUNTIF(⑪ZEN工程入力!$R$6:$R$35,$C15)+COUNTIF(⑪ZEN工程入力!$S$6:$S$35,$C15)+COUNTIF(⑪ZEN工程入力!$T$6:$T$35,$C15)+COUNTIF(⑪ZEN工程入力!$U$6:$U$35,$C15)+COUNTIF(⑪ZEN工程入力!$V$6:$V$35,$C15)+COUNTIF(⑪ZEN工程入力!$W$6:$W$35,$C15)+COUNTIF(⑫ミキサー工程入力!$R$6:$R$65,$C15)+COUNTIF(⑫ミキサー工程入力!$S$6:$S$65,$C15)+COUNTIF(⑫ミキサー工程入力!$T$6:$T$65,$C15)+COUNTIF(⑫ミキサー工程入力!$U$6:$U$65,$C15)+COUNTIF(⑫ミキサー工程入力!$V$6:$V$65,$C15)+COUNTIF(⑫ミキサー工程入力!$W$6:$W$65,$C15)+COUNTIF(⑬計量工程入力!$R$6:$R$65,$C15)+COUNTIF(⑬計量工程入力!$S$6:$S$65,$C15)+COUNTIF(⑬計量工程入力!$T$6:$T$65,$C15)+COUNTIF(⑬計量工程入力!$U$6:$U$65,$C15)+COUNTIF(⑬計量工程入力!$V$6:$V$65,$C15)+COUNTIF(⑬計量工程入力!$W$6:$W$65,$C15)+COUNTIF(⑭手動工程入力!$R$6:$R$47,$C15)+COUNTIF(⑭手動工程入力!$S$6:$S$47,$C15)+COUNTIF(⑭手動工程入力!$T$6:$T$47,$C15)+COUNTIF(⑭手動工程入力!$U$6:$U$47,$C15)+COUNTIF(⑭手動工程入力!$V$6:$V$47,$C15)+COUNTIF(⑭手動工程入力!$W$6:$W$47,$C15)</f>
        <v/>
      </c>
      <c r="Q15" s="392" t="inlineStr">
        <is>
          <t>⑩盛付梱包 37行目に入力欄を作成（工程記録なし）</t>
        </is>
      </c>
      <c r="R15" s="393" t="n"/>
      <c r="S15" s="393" t="n"/>
      <c r="T15" s="393" t="n"/>
      <c r="U15" s="393" t="n"/>
      <c r="V15" s="605">
        <f>IFERROR(INDEX(KIT別作業時間!$D$4:$D$27,MATCH(SUBSTITUTE(SUBSTITUTE(SUBSTITUTE(SUBSTITUTE(SUBSTITUTE(SUBSTITUTE(SUBSTITUTE(SUBSTITUTE(SUBSTITUTE(SUBSTITUTE(ASC($C15),"①","1"),"②","2"),"③","3"),"④","4"),"⑤","5"),"⑥","6"),"⑦","7"),"⑧","8"),"⑨","9")," ",""),KIT別作業時間!$C$4:$C$27,0)),"")</f>
        <v/>
      </c>
      <c r="W15" s="393">
        <f>IF(AND(ISNUMBER($I15),$I15&gt;0),$I15,IF(ISNUMBER($V15),$V15,IF(ISNUMBER($R15),$R15,"")))</f>
        <v/>
      </c>
      <c r="X15" s="393">
        <f>IF(AND(ISNUMBER($I15),$I15&gt;0),"今回の工程実績",IF(ISNUMBER($V15),"KIT作業時間",IF(ISNUMBER($R15),"前回資料","")))</f>
        <v/>
      </c>
      <c r="Y15" s="398" t="n">
        <v>6014</v>
      </c>
      <c r="Z15" s="398">
        <f>IF(AND(ISNUMBER($W15),ISNUMBER($Y15)),$W15*$Y15,"")</f>
        <v/>
      </c>
      <c r="AA15" s="393" t="n"/>
    </row>
    <row r="16">
      <c r="A16" s="392" t="n">
        <v>12</v>
      </c>
      <c r="B16" s="392" t="n"/>
      <c r="C16" s="392" t="inlineStr">
        <is>
          <t>お箸でつまんでわらび餅小</t>
        </is>
      </c>
      <c r="D16" s="398">
        <f>SUMIF(⑩盛付梱包工程入力!$R$5:$R$300,$C16,⑩盛付梱包工程入力!$AC$5:$AC$300)+SUMIF(⑩盛付梱包工程入力!$S$5:$S$300,$C16,⑩盛付梱包工程入力!$AC$5:$AC$300)+SUMIF(⑩盛付梱包工程入力!$T$5:$T$300,$C16,⑩盛付梱包工程入力!$AC$5:$AC$300)+SUMIF(⑩盛付梱包工程入力!$U$5:$U$300,$C16,⑩盛付梱包工程入力!$AC$5:$AC$300)+SUMIF(⑩盛付梱包工程入力!$V$5:$V$300,$C16,⑩盛付梱包工程入力!$AC$5:$AC$300)+SUMIF(⑩盛付梱包工程入力!$W$5:$W$300,$C16,⑩盛付梱包工程入力!$AC$5:$AC$300)</f>
        <v/>
      </c>
      <c r="E16" s="398" t="n">
        <v>884</v>
      </c>
      <c r="F16" s="398">
        <f>IF(N($E16)&gt;0,$E16,$D16)</f>
        <v/>
      </c>
      <c r="G16" s="393" t="n">
        <v>35.15295424564327</v>
      </c>
      <c r="H16" s="393">
        <f>SUMIF(②釜工程入力!$R$5:$R$117,$C16,②釜工程入力!$AD$5:$AD$117)+SUMIF(②釜工程入力!$S$5:$S$117,$C16,②釜工程入力!$AE$5:$AE$117)+SUMIF(②釜工程入力!$T$5:$T$117,$C16,②釜工程入力!$AF$5:$AF$117)+SUMIF(②釜工程入力!$U$5:$U$117,$C16,②釜工程入力!$AG$5:$AG$117)+SUMIF(②釜工程入力!$V$5:$V$117,$C16,②釜工程入力!$AH$5:$AH$117)+SUMIF(②釜工程入力!$W$5:$W$117,$C16,②釜工程入力!$AI$5:$AI$117)+SUMIF(③スチコン工程入力!$R$5:$R$152,$C16,③スチコン工程入力!$AD$5:$AD$152)+SUMIF(③スチコン工程入力!$S$5:$S$152,$C16,③スチコン工程入力!$AE$5:$AE$152)+SUMIF(③スチコン工程入力!$T$5:$T$152,$C16,③スチコン工程入力!$AF$5:$AF$152)+SUMIF(③スチコン工程入力!$U$5:$U$152,$C16,③スチコン工程入力!$AG$5:$AG$152)+SUMIF(③スチコン工程入力!$V$5:$V$152,$C16,③スチコン工程入力!$AH$5:$AH$152)+SUMIF(③スチコン工程入力!$W$5:$W$152,$C16,③スチコン工程入力!$AI$5:$AI$152)+SUMIF(⑩盛付梱包工程入力!$R$5:$R$300,$C16,⑩盛付梱包工程入力!$AD$5:$AD$300)+SUMIF(⑩盛付梱包工程入力!$S$5:$S$300,$C16,⑩盛付梱包工程入力!$AE$5:$AE$300)+SUMIF(⑩盛付梱包工程入力!$T$5:$T$300,$C16,⑩盛付梱包工程入力!$AF$5:$AF$300)+SUMIF(⑩盛付梱包工程入力!$U$5:$U$300,$C16,⑩盛付梱包工程入力!$AG$5:$AG$300)+SUMIF(⑩盛付梱包工程入力!$V$5:$V$300,$C16,⑩盛付梱包工程入力!$AH$5:$AH$300)+SUMIF(⑩盛付梱包工程入力!$W$5:$W$300,$C16,⑩盛付梱包工程入力!$AI$5:$AI$300)+SUMIF(⑪ZEN工程入力!$R$6:$R$35,$C16,⑪ZEN工程入力!$AD$6:$AD$35)+SUMIF(⑪ZEN工程入力!$S$6:$S$35,$C16,⑪ZEN工程入力!$AE$6:$AE$35)+SUMIF(⑪ZEN工程入力!$T$6:$T$35,$C16,⑪ZEN工程入力!$AF$6:$AF$35)+SUMIF(⑪ZEN工程入力!$U$6:$U$35,$C16,⑪ZEN工程入力!$AG$6:$AG$35)+SUMIF(⑪ZEN工程入力!$V$6:$V$35,$C16,⑪ZEN工程入力!$AH$6:$AH$35)+SUMIF(⑪ZEN工程入力!$W$6:$W$35,$C16,⑪ZEN工程入力!$AI$6:$AI$35)+SUMIF(⑫ミキサー工程入力!$R$6:$R$65,$C16,⑫ミキサー工程入力!$AD$6:$AD$65)+SUMIF(⑫ミキサー工程入力!$S$6:$S$65,$C16,⑫ミキサー工程入力!$AE$6:$AE$65)+SUMIF(⑫ミキサー工程入力!$T$6:$T$65,$C16,⑫ミキサー工程入力!$AF$6:$AF$65)+SUMIF(⑫ミキサー工程入力!$U$6:$U$65,$C16,⑫ミキサー工程入力!$AG$6:$AG$65)+SUMIF(⑫ミキサー工程入力!$V$6:$V$65,$C16,⑫ミキサー工程入力!$AH$6:$AH$65)+SUMIF(⑫ミキサー工程入力!$W$6:$W$65,$C16,⑫ミキサー工程入力!$AI$6:$AI$65)+SUMIF(⑬計量工程入力!$R$6:$R$65,$C16,⑬計量工程入力!$AD$6:$AD$65)+SUMIF(⑬計量工程入力!$S$6:$S$65,$C16,⑬計量工程入力!$AE$6:$AE$65)+SUMIF(⑬計量工程入力!$T$6:$T$65,$C16,⑬計量工程入力!$AF$6:$AF$65)+SUMIF(⑬計量工程入力!$U$6:$U$65,$C16,⑬計量工程入力!$AG$6:$AG$65)+SUMIF(⑬計量工程入力!$V$6:$V$65,$C16,⑬計量工程入力!$AH$6:$AH$65)+SUMIF(⑬計量工程入力!$W$6:$W$65,$C16,⑬計量工程入力!$AI$6:$AI$65)+SUMIF(⑭手動工程入力!$R$6:$R$47,$C16,⑭手動工程入力!$AD$6:$AD$47)+SUMIF(⑭手動工程入力!$S$6:$S$47,$C16,⑭手動工程入力!$AE$6:$AE$47)+SUMIF(⑭手動工程入力!$T$6:$T$47,$C16,⑭手動工程入力!$AF$6:$AF$47)+SUMIF(⑭手動工程入力!$U$6:$U$47,$C16,⑭手動工程入力!$AG$6:$AG$47)+SUMIF(⑭手動工程入力!$V$6:$V$47,$C16,⑭手動工程入力!$AH$6:$AH$47)+SUMIF(⑭手動工程入力!$W$6:$W$47,$C16,⑭手動工程入力!$AI$6:$AI$47)</f>
        <v/>
      </c>
      <c r="I16" s="393">
        <f>IF($F16&gt;0,$H16/$F16,"")</f>
        <v/>
      </c>
      <c r="J16" s="605">
        <f>IFERROR(INDEX(商品原価!$B$4:$B$112,MATCH(SUBSTITUTE(SUBSTITUTE(SUBSTITUTE(SUBSTITUTE(SUBSTITUTE(SUBSTITUTE(SUBSTITUTE(SUBSTITUTE(SUBSTITUTE(SUBSTITUTE(ASC($C16),"①","1"),"②","2"),"③","3"),"④","4"),"⑤","5"),"⑥","6"),"⑦","7"),"⑧","8"),"⑨","9")," ",""),商品原価!$C$4:$C$112,0)),"")</f>
        <v/>
      </c>
      <c r="K16" s="542">
        <f>IF(ISNUMBER($J16),$J16*④前提設定!$B$21,"")</f>
        <v/>
      </c>
      <c r="L16" s="605">
        <f>IF(AND(NOT(ISNUMBER($J16)),NOT(ISNUMBER($K16))),"",N($J16)+N($K16))</f>
        <v/>
      </c>
      <c r="M16" s="605">
        <f>IFERROR(INDEX(商品原価!$E$4:$E$112,MATCH(SUBSTITUTE(SUBSTITUTE(SUBSTITUTE(SUBSTITUTE(SUBSTITUTE(SUBSTITUTE(SUBSTITUTE(SUBSTITUTE(SUBSTITUTE(SUBSTITUTE(ASC($C16),"①","1"),"②","2"),"③","3"),"④","4"),"⑤","5"),"⑥","6"),"⑦","7"),"⑧","8"),"⑨","9")," ",""),商品原価!$C$4:$C$112,0)),"")</f>
        <v/>
      </c>
      <c r="N16" s="605">
        <f>IF(AND(ISNUMBER($M16),ISNUMBER($L16)),$M16-$L16-N($W16),"")</f>
        <v/>
      </c>
      <c r="O16" s="606">
        <f>IF(AND(ISNUMBER($N16),ISNUMBER($M16),$M16&gt;0),$N16/$M16,"")</f>
        <v/>
      </c>
      <c r="P16" s="398">
        <f>COUNTIF(②釜工程入力!$R$5:$R$117,$C16)+COUNTIF(②釜工程入力!$S$5:$S$117,$C16)+COUNTIF(②釜工程入力!$T$5:$T$117,$C16)+COUNTIF(②釜工程入力!$U$5:$U$117,$C16)+COUNTIF(②釜工程入力!$V$5:$V$117,$C16)+COUNTIF(②釜工程入力!$W$5:$W$117,$C16)+COUNTIF(③スチコン工程入力!$R$5:$R$152,$C16)+COUNTIF(③スチコン工程入力!$S$5:$S$152,$C16)+COUNTIF(③スチコン工程入力!$T$5:$T$152,$C16)+COUNTIF(③スチコン工程入力!$U$5:$U$152,$C16)+COUNTIF(③スチコン工程入力!$V$5:$V$152,$C16)+COUNTIF(③スチコン工程入力!$W$5:$W$152,$C16)+COUNTIF(⑩盛付梱包工程入力!$R$5:$R$300,$C16)+COUNTIF(⑩盛付梱包工程入力!$S$5:$S$300,$C16)+COUNTIF(⑩盛付梱包工程入力!$T$5:$T$300,$C16)+COUNTIF(⑩盛付梱包工程入力!$U$5:$U$300,$C16)+COUNTIF(⑩盛付梱包工程入力!$V$5:$V$300,$C16)+COUNTIF(⑩盛付梱包工程入力!$W$5:$W$300,$C16)+COUNTIF(⑪ZEN工程入力!$R$6:$R$35,$C16)+COUNTIF(⑪ZEN工程入力!$S$6:$S$35,$C16)+COUNTIF(⑪ZEN工程入力!$T$6:$T$35,$C16)+COUNTIF(⑪ZEN工程入力!$U$6:$U$35,$C16)+COUNTIF(⑪ZEN工程入力!$V$6:$V$35,$C16)+COUNTIF(⑪ZEN工程入力!$W$6:$W$35,$C16)+COUNTIF(⑫ミキサー工程入力!$R$6:$R$65,$C16)+COUNTIF(⑫ミキサー工程入力!$S$6:$S$65,$C16)+COUNTIF(⑫ミキサー工程入力!$T$6:$T$65,$C16)+COUNTIF(⑫ミキサー工程入力!$U$6:$U$65,$C16)+COUNTIF(⑫ミキサー工程入力!$V$6:$V$65,$C16)+COUNTIF(⑫ミキサー工程入力!$W$6:$W$65,$C16)+COUNTIF(⑬計量工程入力!$R$6:$R$65,$C16)+COUNTIF(⑬計量工程入力!$S$6:$S$65,$C16)+COUNTIF(⑬計量工程入力!$T$6:$T$65,$C16)+COUNTIF(⑬計量工程入力!$U$6:$U$65,$C16)+COUNTIF(⑬計量工程入力!$V$6:$V$65,$C16)+COUNTIF(⑬計量工程入力!$W$6:$W$65,$C16)+COUNTIF(⑭手動工程入力!$R$6:$R$47,$C16)+COUNTIF(⑭手動工程入力!$S$6:$S$47,$C16)+COUNTIF(⑭手動工程入力!$T$6:$T$47,$C16)+COUNTIF(⑭手動工程入力!$U$6:$U$47,$C16)+COUNTIF(⑭手動工程入力!$V$6:$V$47,$C16)+COUNTIF(⑭手動工程入力!$W$6:$W$47,$C16)</f>
        <v/>
      </c>
      <c r="Q16" s="392" t="n"/>
      <c r="R16" s="393" t="n"/>
      <c r="S16" s="393" t="n"/>
      <c r="T16" s="393" t="n"/>
      <c r="U16" s="393" t="n"/>
      <c r="V16" s="605">
        <f>IFERROR(INDEX(KIT別作業時間!$D$4:$D$27,MATCH(SUBSTITUTE(SUBSTITUTE(SUBSTITUTE(SUBSTITUTE(SUBSTITUTE(SUBSTITUTE(SUBSTITUTE(SUBSTITUTE(SUBSTITUTE(SUBSTITUTE(ASC($C16),"①","1"),"②","2"),"③","3"),"④","4"),"⑤","5"),"⑥","6"),"⑦","7"),"⑧","8"),"⑨","9")," ",""),KIT別作業時間!$C$4:$C$27,0)),"")</f>
        <v/>
      </c>
      <c r="W16" s="393">
        <f>IF(AND(ISNUMBER($I16),$I16&gt;0),$I16,IF(ISNUMBER($V16),$V16,IF(ISNUMBER($R16),$R16,"")))</f>
        <v/>
      </c>
      <c r="X16" s="393">
        <f>IF(AND(ISNUMBER($I16),$I16&gt;0),"今回の工程実績",IF(ISNUMBER($V16),"KIT作業時間",IF(ISNUMBER($R16),"前回資料","")))</f>
        <v/>
      </c>
      <c r="Y16" s="398" t="n">
        <v>33668</v>
      </c>
      <c r="Z16" s="398">
        <f>IF(AND(ISNUMBER($W16),ISNUMBER($Y16)),$W16*$Y16,"")</f>
        <v/>
      </c>
      <c r="AA16" s="393" t="n"/>
    </row>
    <row r="17">
      <c r="A17" s="392" t="n">
        <v>13</v>
      </c>
      <c r="B17" s="392" t="n"/>
      <c r="C17" s="392" t="inlineStr">
        <is>
          <t>Ｓバナナのふんわりロール２</t>
        </is>
      </c>
      <c r="D17" s="398">
        <f>SUMIF(⑩盛付梱包工程入力!$R$5:$R$300,$C17,⑩盛付梱包工程入力!$AC$5:$AC$300)+SUMIF(⑩盛付梱包工程入力!$S$5:$S$300,$C17,⑩盛付梱包工程入力!$AC$5:$AC$300)+SUMIF(⑩盛付梱包工程入力!$T$5:$T$300,$C17,⑩盛付梱包工程入力!$AC$5:$AC$300)+SUMIF(⑩盛付梱包工程入力!$U$5:$U$300,$C17,⑩盛付梱包工程入力!$AC$5:$AC$300)+SUMIF(⑩盛付梱包工程入力!$V$5:$V$300,$C17,⑩盛付梱包工程入力!$AC$5:$AC$300)+SUMIF(⑩盛付梱包工程入力!$W$5:$W$300,$C17,⑩盛付梱包工程入力!$AC$5:$AC$300)</f>
        <v/>
      </c>
      <c r="E17" s="398" t="n">
        <v>1166</v>
      </c>
      <c r="F17" s="398">
        <f>IF(N($E17)&gt;0,$E17,$D17)</f>
        <v/>
      </c>
      <c r="G17" s="393" t="n">
        <v>42.74966937464576</v>
      </c>
      <c r="H17" s="393">
        <f>SUMIF(②釜工程入力!$R$5:$R$117,$C17,②釜工程入力!$AD$5:$AD$117)+SUMIF(②釜工程入力!$S$5:$S$117,$C17,②釜工程入力!$AE$5:$AE$117)+SUMIF(②釜工程入力!$T$5:$T$117,$C17,②釜工程入力!$AF$5:$AF$117)+SUMIF(②釜工程入力!$U$5:$U$117,$C17,②釜工程入力!$AG$5:$AG$117)+SUMIF(②釜工程入力!$V$5:$V$117,$C17,②釜工程入力!$AH$5:$AH$117)+SUMIF(②釜工程入力!$W$5:$W$117,$C17,②釜工程入力!$AI$5:$AI$117)+SUMIF(③スチコン工程入力!$R$5:$R$152,$C17,③スチコン工程入力!$AD$5:$AD$152)+SUMIF(③スチコン工程入力!$S$5:$S$152,$C17,③スチコン工程入力!$AE$5:$AE$152)+SUMIF(③スチコン工程入力!$T$5:$T$152,$C17,③スチコン工程入力!$AF$5:$AF$152)+SUMIF(③スチコン工程入力!$U$5:$U$152,$C17,③スチコン工程入力!$AG$5:$AG$152)+SUMIF(③スチコン工程入力!$V$5:$V$152,$C17,③スチコン工程入力!$AH$5:$AH$152)+SUMIF(③スチコン工程入力!$W$5:$W$152,$C17,③スチコン工程入力!$AI$5:$AI$152)+SUMIF(⑩盛付梱包工程入力!$R$5:$R$300,$C17,⑩盛付梱包工程入力!$AD$5:$AD$300)+SUMIF(⑩盛付梱包工程入力!$S$5:$S$300,$C17,⑩盛付梱包工程入力!$AE$5:$AE$300)+SUMIF(⑩盛付梱包工程入力!$T$5:$T$300,$C17,⑩盛付梱包工程入力!$AF$5:$AF$300)+SUMIF(⑩盛付梱包工程入力!$U$5:$U$300,$C17,⑩盛付梱包工程入力!$AG$5:$AG$300)+SUMIF(⑩盛付梱包工程入力!$V$5:$V$300,$C17,⑩盛付梱包工程入力!$AH$5:$AH$300)+SUMIF(⑩盛付梱包工程入力!$W$5:$W$300,$C17,⑩盛付梱包工程入力!$AI$5:$AI$300)+SUMIF(⑪ZEN工程入力!$R$6:$R$35,$C17,⑪ZEN工程入力!$AD$6:$AD$35)+SUMIF(⑪ZEN工程入力!$S$6:$S$35,$C17,⑪ZEN工程入力!$AE$6:$AE$35)+SUMIF(⑪ZEN工程入力!$T$6:$T$35,$C17,⑪ZEN工程入力!$AF$6:$AF$35)+SUMIF(⑪ZEN工程入力!$U$6:$U$35,$C17,⑪ZEN工程入力!$AG$6:$AG$35)+SUMIF(⑪ZEN工程入力!$V$6:$V$35,$C17,⑪ZEN工程入力!$AH$6:$AH$35)+SUMIF(⑪ZEN工程入力!$W$6:$W$35,$C17,⑪ZEN工程入力!$AI$6:$AI$35)+SUMIF(⑫ミキサー工程入力!$R$6:$R$65,$C17,⑫ミキサー工程入力!$AD$6:$AD$65)+SUMIF(⑫ミキサー工程入力!$S$6:$S$65,$C17,⑫ミキサー工程入力!$AE$6:$AE$65)+SUMIF(⑫ミキサー工程入力!$T$6:$T$65,$C17,⑫ミキサー工程入力!$AF$6:$AF$65)+SUMIF(⑫ミキサー工程入力!$U$6:$U$65,$C17,⑫ミキサー工程入力!$AG$6:$AG$65)+SUMIF(⑫ミキサー工程入力!$V$6:$V$65,$C17,⑫ミキサー工程入力!$AH$6:$AH$65)+SUMIF(⑫ミキサー工程入力!$W$6:$W$65,$C17,⑫ミキサー工程入力!$AI$6:$AI$65)+SUMIF(⑬計量工程入力!$R$6:$R$65,$C17,⑬計量工程入力!$AD$6:$AD$65)+SUMIF(⑬計量工程入力!$S$6:$S$65,$C17,⑬計量工程入力!$AE$6:$AE$65)+SUMIF(⑬計量工程入力!$T$6:$T$65,$C17,⑬計量工程入力!$AF$6:$AF$65)+SUMIF(⑬計量工程入力!$U$6:$U$65,$C17,⑬計量工程入力!$AG$6:$AG$65)+SUMIF(⑬計量工程入力!$V$6:$V$65,$C17,⑬計量工程入力!$AH$6:$AH$65)+SUMIF(⑬計量工程入力!$W$6:$W$65,$C17,⑬計量工程入力!$AI$6:$AI$65)+SUMIF(⑭手動工程入力!$R$6:$R$47,$C17,⑭手動工程入力!$AD$6:$AD$47)+SUMIF(⑭手動工程入力!$S$6:$S$47,$C17,⑭手動工程入力!$AE$6:$AE$47)+SUMIF(⑭手動工程入力!$T$6:$T$47,$C17,⑭手動工程入力!$AF$6:$AF$47)+SUMIF(⑭手動工程入力!$U$6:$U$47,$C17,⑭手動工程入力!$AG$6:$AG$47)+SUMIF(⑭手動工程入力!$V$6:$V$47,$C17,⑭手動工程入力!$AH$6:$AH$47)+SUMIF(⑭手動工程入力!$W$6:$W$47,$C17,⑭手動工程入力!$AI$6:$AI$47)</f>
        <v/>
      </c>
      <c r="I17" s="393">
        <f>IF($F17&gt;0,$H17/$F17,"")</f>
        <v/>
      </c>
      <c r="J17" s="605">
        <f>IFERROR(INDEX(商品原価!$B$4:$B$112,MATCH(SUBSTITUTE(SUBSTITUTE(SUBSTITUTE(SUBSTITUTE(SUBSTITUTE(SUBSTITUTE(SUBSTITUTE(SUBSTITUTE(SUBSTITUTE(SUBSTITUTE(ASC($C17),"①","1"),"②","2"),"③","3"),"④","4"),"⑤","5"),"⑥","6"),"⑦","7"),"⑧","8"),"⑨","9")," ",""),商品原価!$C$4:$C$112,0)),"")</f>
        <v/>
      </c>
      <c r="K17" s="542">
        <f>IF(ISNUMBER($J17),$J17*④前提設定!$B$21,"")</f>
        <v/>
      </c>
      <c r="L17" s="605">
        <f>IF(AND(NOT(ISNUMBER($J17)),NOT(ISNUMBER($K17))),"",N($J17)+N($K17))</f>
        <v/>
      </c>
      <c r="M17" s="605">
        <f>IFERROR(INDEX(商品原価!$E$4:$E$112,MATCH(SUBSTITUTE(SUBSTITUTE(SUBSTITUTE(SUBSTITUTE(SUBSTITUTE(SUBSTITUTE(SUBSTITUTE(SUBSTITUTE(SUBSTITUTE(SUBSTITUTE(ASC($C17),"①","1"),"②","2"),"③","3"),"④","4"),"⑤","5"),"⑥","6"),"⑦","7"),"⑧","8"),"⑨","9")," ",""),商品原価!$C$4:$C$112,0)),"")</f>
        <v/>
      </c>
      <c r="N17" s="605">
        <f>IF(AND(ISNUMBER($M17),ISNUMBER($L17)),$M17-$L17-N($W17),"")</f>
        <v/>
      </c>
      <c r="O17" s="606">
        <f>IF(AND(ISNUMBER($N17),ISNUMBER($M17),$M17&gt;0),$N17/$M17,"")</f>
        <v/>
      </c>
      <c r="P17" s="398">
        <f>COUNTIF(②釜工程入力!$R$5:$R$117,$C17)+COUNTIF(②釜工程入力!$S$5:$S$117,$C17)+COUNTIF(②釜工程入力!$T$5:$T$117,$C17)+COUNTIF(②釜工程入力!$U$5:$U$117,$C17)+COUNTIF(②釜工程入力!$V$5:$V$117,$C17)+COUNTIF(②釜工程入力!$W$5:$W$117,$C17)+COUNTIF(③スチコン工程入力!$R$5:$R$152,$C17)+COUNTIF(③スチコン工程入力!$S$5:$S$152,$C17)+COUNTIF(③スチコン工程入力!$T$5:$T$152,$C17)+COUNTIF(③スチコン工程入力!$U$5:$U$152,$C17)+COUNTIF(③スチコン工程入力!$V$5:$V$152,$C17)+COUNTIF(③スチコン工程入力!$W$5:$W$152,$C17)+COUNTIF(⑩盛付梱包工程入力!$R$5:$R$300,$C17)+COUNTIF(⑩盛付梱包工程入力!$S$5:$S$300,$C17)+COUNTIF(⑩盛付梱包工程入力!$T$5:$T$300,$C17)+COUNTIF(⑩盛付梱包工程入力!$U$5:$U$300,$C17)+COUNTIF(⑩盛付梱包工程入力!$V$5:$V$300,$C17)+COUNTIF(⑩盛付梱包工程入力!$W$5:$W$300,$C17)+COUNTIF(⑪ZEN工程入力!$R$6:$R$35,$C17)+COUNTIF(⑪ZEN工程入力!$S$6:$S$35,$C17)+COUNTIF(⑪ZEN工程入力!$T$6:$T$35,$C17)+COUNTIF(⑪ZEN工程入力!$U$6:$U$35,$C17)+COUNTIF(⑪ZEN工程入力!$V$6:$V$35,$C17)+COUNTIF(⑪ZEN工程入力!$W$6:$W$35,$C17)+COUNTIF(⑫ミキサー工程入力!$R$6:$R$65,$C17)+COUNTIF(⑫ミキサー工程入力!$S$6:$S$65,$C17)+COUNTIF(⑫ミキサー工程入力!$T$6:$T$65,$C17)+COUNTIF(⑫ミキサー工程入力!$U$6:$U$65,$C17)+COUNTIF(⑫ミキサー工程入力!$V$6:$V$65,$C17)+COUNTIF(⑫ミキサー工程入力!$W$6:$W$65,$C17)+COUNTIF(⑬計量工程入力!$R$6:$R$65,$C17)+COUNTIF(⑬計量工程入力!$S$6:$S$65,$C17)+COUNTIF(⑬計量工程入力!$T$6:$T$65,$C17)+COUNTIF(⑬計量工程入力!$U$6:$U$65,$C17)+COUNTIF(⑬計量工程入力!$V$6:$V$65,$C17)+COUNTIF(⑬計量工程入力!$W$6:$W$65,$C17)+COUNTIF(⑭手動工程入力!$R$6:$R$47,$C17)+COUNTIF(⑭手動工程入力!$S$6:$S$47,$C17)+COUNTIF(⑭手動工程入力!$T$6:$T$47,$C17)+COUNTIF(⑭手動工程入力!$U$6:$U$47,$C17)+COUNTIF(⑭手動工程入力!$V$6:$V$47,$C17)+COUNTIF(⑭手動工程入力!$W$6:$W$47,$C17)</f>
        <v/>
      </c>
      <c r="Q17" s="392" t="n"/>
      <c r="R17" s="393" t="n"/>
      <c r="S17" s="393" t="n"/>
      <c r="T17" s="393" t="n"/>
      <c r="U17" s="393" t="n"/>
      <c r="V17" s="605">
        <f>IFERROR(INDEX(KIT別作業時間!$D$4:$D$27,MATCH(SUBSTITUTE(SUBSTITUTE(SUBSTITUTE(SUBSTITUTE(SUBSTITUTE(SUBSTITUTE(SUBSTITUTE(SUBSTITUTE(SUBSTITUTE(SUBSTITUTE(ASC($C17),"①","1"),"②","2"),"③","3"),"④","4"),"⑤","5"),"⑥","6"),"⑦","7"),"⑧","8"),"⑨","9")," ",""),KIT別作業時間!$C$4:$C$27,0)),"")</f>
        <v/>
      </c>
      <c r="W17" s="393">
        <f>IF(AND(ISNUMBER($I17),$I17&gt;0),$I17,IF(ISNUMBER($V17),$V17,IF(ISNUMBER($R17),$R17,"")))</f>
        <v/>
      </c>
      <c r="X17" s="393">
        <f>IF(AND(ISNUMBER($I17),$I17&gt;0),"今回の工程実績",IF(ISNUMBER($V17),"KIT作業時間",IF(ISNUMBER($R17),"前回資料","")))</f>
        <v/>
      </c>
      <c r="Y17" s="398" t="n">
        <v>29837</v>
      </c>
      <c r="Z17" s="398">
        <f>IF(AND(ISNUMBER($W17),ISNUMBER($Y17)),$W17*$Y17,"")</f>
        <v/>
      </c>
      <c r="AA17" s="393" t="inlineStr">
        <is>
          <t>バナナのふんわりロール（2商品に等分）</t>
        </is>
      </c>
    </row>
    <row r="18">
      <c r="A18" s="392" t="n">
        <v>14</v>
      </c>
      <c r="B18" s="392" t="n"/>
      <c r="C18" s="392" t="inlineStr">
        <is>
          <t>デカ麹醤油唐揚ＫＩＴ</t>
        </is>
      </c>
      <c r="D18" s="398">
        <f>SUMIF(⑩盛付梱包工程入力!$R$5:$R$300,$C18,⑩盛付梱包工程入力!$AC$5:$AC$300)+SUMIF(⑩盛付梱包工程入力!$S$5:$S$300,$C18,⑩盛付梱包工程入力!$AC$5:$AC$300)+SUMIF(⑩盛付梱包工程入力!$T$5:$T$300,$C18,⑩盛付梱包工程入力!$AC$5:$AC$300)+SUMIF(⑩盛付梱包工程入力!$U$5:$U$300,$C18,⑩盛付梱包工程入力!$AC$5:$AC$300)+SUMIF(⑩盛付梱包工程入力!$V$5:$V$300,$C18,⑩盛付梱包工程入力!$AC$5:$AC$300)+SUMIF(⑩盛付梱包工程入力!$W$5:$W$300,$C18,⑩盛付梱包工程入力!$AC$5:$AC$300)</f>
        <v/>
      </c>
      <c r="E18" s="398" t="n">
        <v>63</v>
      </c>
      <c r="F18" s="398">
        <f>IF(N($E18)&gt;0,$E18,$D18)</f>
        <v/>
      </c>
      <c r="G18" s="393" t="n">
        <v>427.5536556603774</v>
      </c>
      <c r="H18" s="393">
        <f>SUMIF(②釜工程入力!$R$5:$R$117,$C18,②釜工程入力!$AD$5:$AD$117)+SUMIF(②釜工程入力!$S$5:$S$117,$C18,②釜工程入力!$AE$5:$AE$117)+SUMIF(②釜工程入力!$T$5:$T$117,$C18,②釜工程入力!$AF$5:$AF$117)+SUMIF(②釜工程入力!$U$5:$U$117,$C18,②釜工程入力!$AG$5:$AG$117)+SUMIF(②釜工程入力!$V$5:$V$117,$C18,②釜工程入力!$AH$5:$AH$117)+SUMIF(②釜工程入力!$W$5:$W$117,$C18,②釜工程入力!$AI$5:$AI$117)+SUMIF(③スチコン工程入力!$R$5:$R$152,$C18,③スチコン工程入力!$AD$5:$AD$152)+SUMIF(③スチコン工程入力!$S$5:$S$152,$C18,③スチコン工程入力!$AE$5:$AE$152)+SUMIF(③スチコン工程入力!$T$5:$T$152,$C18,③スチコン工程入力!$AF$5:$AF$152)+SUMIF(③スチコン工程入力!$U$5:$U$152,$C18,③スチコン工程入力!$AG$5:$AG$152)+SUMIF(③スチコン工程入力!$V$5:$V$152,$C18,③スチコン工程入力!$AH$5:$AH$152)+SUMIF(③スチコン工程入力!$W$5:$W$152,$C18,③スチコン工程入力!$AI$5:$AI$152)+SUMIF(⑩盛付梱包工程入力!$R$5:$R$300,$C18,⑩盛付梱包工程入力!$AD$5:$AD$300)+SUMIF(⑩盛付梱包工程入力!$S$5:$S$300,$C18,⑩盛付梱包工程入力!$AE$5:$AE$300)+SUMIF(⑩盛付梱包工程入力!$T$5:$T$300,$C18,⑩盛付梱包工程入力!$AF$5:$AF$300)+SUMIF(⑩盛付梱包工程入力!$U$5:$U$300,$C18,⑩盛付梱包工程入力!$AG$5:$AG$300)+SUMIF(⑩盛付梱包工程入力!$V$5:$V$300,$C18,⑩盛付梱包工程入力!$AH$5:$AH$300)+SUMIF(⑩盛付梱包工程入力!$W$5:$W$300,$C18,⑩盛付梱包工程入力!$AI$5:$AI$300)+SUMIF(⑪ZEN工程入力!$R$6:$R$35,$C18,⑪ZEN工程入力!$AD$6:$AD$35)+SUMIF(⑪ZEN工程入力!$S$6:$S$35,$C18,⑪ZEN工程入力!$AE$6:$AE$35)+SUMIF(⑪ZEN工程入力!$T$6:$T$35,$C18,⑪ZEN工程入力!$AF$6:$AF$35)+SUMIF(⑪ZEN工程入力!$U$6:$U$35,$C18,⑪ZEN工程入力!$AG$6:$AG$35)+SUMIF(⑪ZEN工程入力!$V$6:$V$35,$C18,⑪ZEN工程入力!$AH$6:$AH$35)+SUMIF(⑪ZEN工程入力!$W$6:$W$35,$C18,⑪ZEN工程入力!$AI$6:$AI$35)+SUMIF(⑫ミキサー工程入力!$R$6:$R$65,$C18,⑫ミキサー工程入力!$AD$6:$AD$65)+SUMIF(⑫ミキサー工程入力!$S$6:$S$65,$C18,⑫ミキサー工程入力!$AE$6:$AE$65)+SUMIF(⑫ミキサー工程入力!$T$6:$T$65,$C18,⑫ミキサー工程入力!$AF$6:$AF$65)+SUMIF(⑫ミキサー工程入力!$U$6:$U$65,$C18,⑫ミキサー工程入力!$AG$6:$AG$65)+SUMIF(⑫ミキサー工程入力!$V$6:$V$65,$C18,⑫ミキサー工程入力!$AH$6:$AH$65)+SUMIF(⑫ミキサー工程入力!$W$6:$W$65,$C18,⑫ミキサー工程入力!$AI$6:$AI$65)+SUMIF(⑬計量工程入力!$R$6:$R$65,$C18,⑬計量工程入力!$AD$6:$AD$65)+SUMIF(⑬計量工程入力!$S$6:$S$65,$C18,⑬計量工程入力!$AE$6:$AE$65)+SUMIF(⑬計量工程入力!$T$6:$T$65,$C18,⑬計量工程入力!$AF$6:$AF$65)+SUMIF(⑬計量工程入力!$U$6:$U$65,$C18,⑬計量工程入力!$AG$6:$AG$65)+SUMIF(⑬計量工程入力!$V$6:$V$65,$C18,⑬計量工程入力!$AH$6:$AH$65)+SUMIF(⑬計量工程入力!$W$6:$W$65,$C18,⑬計量工程入力!$AI$6:$AI$65)+SUMIF(⑭手動工程入力!$R$6:$R$47,$C18,⑭手動工程入力!$AD$6:$AD$47)+SUMIF(⑭手動工程入力!$S$6:$S$47,$C18,⑭手動工程入力!$AE$6:$AE$47)+SUMIF(⑭手動工程入力!$T$6:$T$47,$C18,⑭手動工程入力!$AF$6:$AF$47)+SUMIF(⑭手動工程入力!$U$6:$U$47,$C18,⑭手動工程入力!$AG$6:$AG$47)+SUMIF(⑭手動工程入力!$V$6:$V$47,$C18,⑭手動工程入力!$AH$6:$AH$47)+SUMIF(⑭手動工程入力!$W$6:$W$47,$C18,⑭手動工程入力!$AI$6:$AI$47)</f>
        <v/>
      </c>
      <c r="I18" s="393">
        <f>IF($F18&gt;0,$H18/$F18,"")</f>
        <v/>
      </c>
      <c r="J18" s="605">
        <f>IFERROR(INDEX(商品原価!$B$4:$B$112,MATCH(SUBSTITUTE(SUBSTITUTE(SUBSTITUTE(SUBSTITUTE(SUBSTITUTE(SUBSTITUTE(SUBSTITUTE(SUBSTITUTE(SUBSTITUTE(SUBSTITUTE(ASC($C18),"①","1"),"②","2"),"③","3"),"④","4"),"⑤","5"),"⑥","6"),"⑦","7"),"⑧","8"),"⑨","9")," ",""),商品原価!$C$4:$C$112,0)),"")</f>
        <v/>
      </c>
      <c r="K18" s="542">
        <f>IF(ISNUMBER($J18),$J18*④前提設定!$B$21,"")</f>
        <v/>
      </c>
      <c r="L18" s="605">
        <f>IF(AND(NOT(ISNUMBER($J18)),NOT(ISNUMBER($K18))),"",N($J18)+N($K18))</f>
        <v/>
      </c>
      <c r="M18" s="605">
        <f>IFERROR(INDEX(商品原価!$E$4:$E$112,MATCH(SUBSTITUTE(SUBSTITUTE(SUBSTITUTE(SUBSTITUTE(SUBSTITUTE(SUBSTITUTE(SUBSTITUTE(SUBSTITUTE(SUBSTITUTE(SUBSTITUTE(ASC($C18),"①","1"),"②","2"),"③","3"),"④","4"),"⑤","5"),"⑥","6"),"⑦","7"),"⑧","8"),"⑨","9")," ",""),商品原価!$C$4:$C$112,0)),"")</f>
        <v/>
      </c>
      <c r="N18" s="605">
        <f>IF(AND(ISNUMBER($M18),ISNUMBER($L18)),$M18-$L18-N($W18),"")</f>
        <v/>
      </c>
      <c r="O18" s="606">
        <f>IF(AND(ISNUMBER($N18),ISNUMBER($M18),$M18&gt;0),$N18/$M18,"")</f>
        <v/>
      </c>
      <c r="P18" s="398">
        <f>COUNTIF(②釜工程入力!$R$5:$R$117,$C18)+COUNTIF(②釜工程入力!$S$5:$S$117,$C18)+COUNTIF(②釜工程入力!$T$5:$T$117,$C18)+COUNTIF(②釜工程入力!$U$5:$U$117,$C18)+COUNTIF(②釜工程入力!$V$5:$V$117,$C18)+COUNTIF(②釜工程入力!$W$5:$W$117,$C18)+COUNTIF(③スチコン工程入力!$R$5:$R$152,$C18)+COUNTIF(③スチコン工程入力!$S$5:$S$152,$C18)+COUNTIF(③スチコン工程入力!$T$5:$T$152,$C18)+COUNTIF(③スチコン工程入力!$U$5:$U$152,$C18)+COUNTIF(③スチコン工程入力!$V$5:$V$152,$C18)+COUNTIF(③スチコン工程入力!$W$5:$W$152,$C18)+COUNTIF(⑩盛付梱包工程入力!$R$5:$R$300,$C18)+COUNTIF(⑩盛付梱包工程入力!$S$5:$S$300,$C18)+COUNTIF(⑩盛付梱包工程入力!$T$5:$T$300,$C18)+COUNTIF(⑩盛付梱包工程入力!$U$5:$U$300,$C18)+COUNTIF(⑩盛付梱包工程入力!$V$5:$V$300,$C18)+COUNTIF(⑩盛付梱包工程入力!$W$5:$W$300,$C18)+COUNTIF(⑪ZEN工程入力!$R$6:$R$35,$C18)+COUNTIF(⑪ZEN工程入力!$S$6:$S$35,$C18)+COUNTIF(⑪ZEN工程入力!$T$6:$T$35,$C18)+COUNTIF(⑪ZEN工程入力!$U$6:$U$35,$C18)+COUNTIF(⑪ZEN工程入力!$V$6:$V$35,$C18)+COUNTIF(⑪ZEN工程入力!$W$6:$W$35,$C18)+COUNTIF(⑫ミキサー工程入力!$R$6:$R$65,$C18)+COUNTIF(⑫ミキサー工程入力!$S$6:$S$65,$C18)+COUNTIF(⑫ミキサー工程入力!$T$6:$T$65,$C18)+COUNTIF(⑫ミキサー工程入力!$U$6:$U$65,$C18)+COUNTIF(⑫ミキサー工程入力!$V$6:$V$65,$C18)+COUNTIF(⑫ミキサー工程入力!$W$6:$W$65,$C18)+COUNTIF(⑬計量工程入力!$R$6:$R$65,$C18)+COUNTIF(⑬計量工程入力!$S$6:$S$65,$C18)+COUNTIF(⑬計量工程入力!$T$6:$T$65,$C18)+COUNTIF(⑬計量工程入力!$U$6:$U$65,$C18)+COUNTIF(⑬計量工程入力!$V$6:$V$65,$C18)+COUNTIF(⑬計量工程入力!$W$6:$W$65,$C18)+COUNTIF(⑭手動工程入力!$R$6:$R$47,$C18)+COUNTIF(⑭手動工程入力!$S$6:$S$47,$C18)+COUNTIF(⑭手動工程入力!$T$6:$T$47,$C18)+COUNTIF(⑭手動工程入力!$U$6:$U$47,$C18)+COUNTIF(⑭手動工程入力!$V$6:$V$47,$C18)+COUNTIF(⑭手動工程入力!$W$6:$W$47,$C18)</f>
        <v/>
      </c>
      <c r="Q18" s="392" t="inlineStr">
        <is>
          <t>⑩盛付梱包 50行目に入力欄を作成（工程記録なし）</t>
        </is>
      </c>
      <c r="R18" s="393" t="n"/>
      <c r="S18" s="393" t="n"/>
      <c r="T18" s="393" t="n"/>
      <c r="U18" s="393" t="n"/>
      <c r="V18" s="605">
        <f>IFERROR(INDEX(KIT別作業時間!$D$4:$D$27,MATCH(SUBSTITUTE(SUBSTITUTE(SUBSTITUTE(SUBSTITUTE(SUBSTITUTE(SUBSTITUTE(SUBSTITUTE(SUBSTITUTE(SUBSTITUTE(SUBSTITUTE(ASC($C18),"①","1"),"②","2"),"③","3"),"④","4"),"⑤","5"),"⑥","6"),"⑦","7"),"⑧","8"),"⑨","9")," ",""),KIT別作業時間!$C$4:$C$27,0)),"")</f>
        <v/>
      </c>
      <c r="W18" s="393">
        <f>IF(AND(ISNUMBER($I18),$I18&gt;0),$I18,IF(ISNUMBER($V18),$V18,IF(ISNUMBER($R18),$R18,"")))</f>
        <v/>
      </c>
      <c r="X18" s="393">
        <f>IF(AND(ISNUMBER($I18),$I18&gt;0),"今回の工程実績",IF(ISNUMBER($V18),"KIT作業時間",IF(ISNUMBER($R18),"前回資料","")))</f>
        <v/>
      </c>
      <c r="Y18" s="398" t="n">
        <v>1918</v>
      </c>
      <c r="Z18" s="398">
        <f>IF(AND(ISNUMBER($W18),ISNUMBER($Y18)),$W18*$Y18,"")</f>
        <v/>
      </c>
      <c r="AA18" s="393" t="n"/>
    </row>
    <row r="19">
      <c r="A19" s="392" t="n">
        <v>15</v>
      </c>
      <c r="B19" s="392" t="n"/>
      <c r="C19" s="392" t="inlineStr">
        <is>
          <t>自社製白身フライ（バサ）４</t>
        </is>
      </c>
      <c r="D19" s="398">
        <f>SUMIF(⑩盛付梱包工程入力!$R$5:$R$300,$C19,⑩盛付梱包工程入力!$AC$5:$AC$300)+SUMIF(⑩盛付梱包工程入力!$S$5:$S$300,$C19,⑩盛付梱包工程入力!$AC$5:$AC$300)+SUMIF(⑩盛付梱包工程入力!$T$5:$T$300,$C19,⑩盛付梱包工程入力!$AC$5:$AC$300)+SUMIF(⑩盛付梱包工程入力!$U$5:$U$300,$C19,⑩盛付梱包工程入力!$AC$5:$AC$300)+SUMIF(⑩盛付梱包工程入力!$V$5:$V$300,$C19,⑩盛付梱包工程入力!$AC$5:$AC$300)+SUMIF(⑩盛付梱包工程入力!$W$5:$W$300,$C19,⑩盛付梱包工程入力!$AC$5:$AC$300)</f>
        <v/>
      </c>
      <c r="E19" s="398" t="n">
        <v>82</v>
      </c>
      <c r="F19" s="398">
        <f>IF(N($E19)&gt;0,$E19,$D19)</f>
        <v/>
      </c>
      <c r="G19" s="393" t="n">
        <v>342</v>
      </c>
      <c r="H19" s="393">
        <f>SUMIF(②釜工程入力!$R$5:$R$117,$C19,②釜工程入力!$AD$5:$AD$117)+SUMIF(②釜工程入力!$S$5:$S$117,$C19,②釜工程入力!$AE$5:$AE$117)+SUMIF(②釜工程入力!$T$5:$T$117,$C19,②釜工程入力!$AF$5:$AF$117)+SUMIF(②釜工程入力!$U$5:$U$117,$C19,②釜工程入力!$AG$5:$AG$117)+SUMIF(②釜工程入力!$V$5:$V$117,$C19,②釜工程入力!$AH$5:$AH$117)+SUMIF(②釜工程入力!$W$5:$W$117,$C19,②釜工程入力!$AI$5:$AI$117)+SUMIF(③スチコン工程入力!$R$5:$R$152,$C19,③スチコン工程入力!$AD$5:$AD$152)+SUMIF(③スチコン工程入力!$S$5:$S$152,$C19,③スチコン工程入力!$AE$5:$AE$152)+SUMIF(③スチコン工程入力!$T$5:$T$152,$C19,③スチコン工程入力!$AF$5:$AF$152)+SUMIF(③スチコン工程入力!$U$5:$U$152,$C19,③スチコン工程入力!$AG$5:$AG$152)+SUMIF(③スチコン工程入力!$V$5:$V$152,$C19,③スチコン工程入力!$AH$5:$AH$152)+SUMIF(③スチコン工程入力!$W$5:$W$152,$C19,③スチコン工程入力!$AI$5:$AI$152)+SUMIF(⑩盛付梱包工程入力!$R$5:$R$300,$C19,⑩盛付梱包工程入力!$AD$5:$AD$300)+SUMIF(⑩盛付梱包工程入力!$S$5:$S$300,$C19,⑩盛付梱包工程入力!$AE$5:$AE$300)+SUMIF(⑩盛付梱包工程入力!$T$5:$T$300,$C19,⑩盛付梱包工程入力!$AF$5:$AF$300)+SUMIF(⑩盛付梱包工程入力!$U$5:$U$300,$C19,⑩盛付梱包工程入力!$AG$5:$AG$300)+SUMIF(⑩盛付梱包工程入力!$V$5:$V$300,$C19,⑩盛付梱包工程入力!$AH$5:$AH$300)+SUMIF(⑩盛付梱包工程入力!$W$5:$W$300,$C19,⑩盛付梱包工程入力!$AI$5:$AI$300)+SUMIF(⑪ZEN工程入力!$R$6:$R$35,$C19,⑪ZEN工程入力!$AD$6:$AD$35)+SUMIF(⑪ZEN工程入力!$S$6:$S$35,$C19,⑪ZEN工程入力!$AE$6:$AE$35)+SUMIF(⑪ZEN工程入力!$T$6:$T$35,$C19,⑪ZEN工程入力!$AF$6:$AF$35)+SUMIF(⑪ZEN工程入力!$U$6:$U$35,$C19,⑪ZEN工程入力!$AG$6:$AG$35)+SUMIF(⑪ZEN工程入力!$V$6:$V$35,$C19,⑪ZEN工程入力!$AH$6:$AH$35)+SUMIF(⑪ZEN工程入力!$W$6:$W$35,$C19,⑪ZEN工程入力!$AI$6:$AI$35)+SUMIF(⑫ミキサー工程入力!$R$6:$R$65,$C19,⑫ミキサー工程入力!$AD$6:$AD$65)+SUMIF(⑫ミキサー工程入力!$S$6:$S$65,$C19,⑫ミキサー工程入力!$AE$6:$AE$65)+SUMIF(⑫ミキサー工程入力!$T$6:$T$65,$C19,⑫ミキサー工程入力!$AF$6:$AF$65)+SUMIF(⑫ミキサー工程入力!$U$6:$U$65,$C19,⑫ミキサー工程入力!$AG$6:$AG$65)+SUMIF(⑫ミキサー工程入力!$V$6:$V$65,$C19,⑫ミキサー工程入力!$AH$6:$AH$65)+SUMIF(⑫ミキサー工程入力!$W$6:$W$65,$C19,⑫ミキサー工程入力!$AI$6:$AI$65)+SUMIF(⑬計量工程入力!$R$6:$R$65,$C19,⑬計量工程入力!$AD$6:$AD$65)+SUMIF(⑬計量工程入力!$S$6:$S$65,$C19,⑬計量工程入力!$AE$6:$AE$65)+SUMIF(⑬計量工程入力!$T$6:$T$65,$C19,⑬計量工程入力!$AF$6:$AF$65)+SUMIF(⑬計量工程入力!$U$6:$U$65,$C19,⑬計量工程入力!$AG$6:$AG$65)+SUMIF(⑬計量工程入力!$V$6:$V$65,$C19,⑬計量工程入力!$AH$6:$AH$65)+SUMIF(⑬計量工程入力!$W$6:$W$65,$C19,⑬計量工程入力!$AI$6:$AI$65)+SUMIF(⑭手動工程入力!$R$6:$R$47,$C19,⑭手動工程入力!$AD$6:$AD$47)+SUMIF(⑭手動工程入力!$S$6:$S$47,$C19,⑭手動工程入力!$AE$6:$AE$47)+SUMIF(⑭手動工程入力!$T$6:$T$47,$C19,⑭手動工程入力!$AF$6:$AF$47)+SUMIF(⑭手動工程入力!$U$6:$U$47,$C19,⑭手動工程入力!$AG$6:$AG$47)+SUMIF(⑭手動工程入力!$V$6:$V$47,$C19,⑭手動工程入力!$AH$6:$AH$47)+SUMIF(⑭手動工程入力!$W$6:$W$47,$C19,⑭手動工程入力!$AI$6:$AI$47)</f>
        <v/>
      </c>
      <c r="I19" s="393">
        <f>IF($F19&gt;0,$H19/$F19,"")</f>
        <v/>
      </c>
      <c r="J19" s="605">
        <f>IFERROR(INDEX(商品原価!$B$4:$B$112,MATCH(SUBSTITUTE(SUBSTITUTE(SUBSTITUTE(SUBSTITUTE(SUBSTITUTE(SUBSTITUTE(SUBSTITUTE(SUBSTITUTE(SUBSTITUTE(SUBSTITUTE(ASC($C19),"①","1"),"②","2"),"③","3"),"④","4"),"⑤","5"),"⑥","6"),"⑦","7"),"⑧","8"),"⑨","9")," ",""),商品原価!$C$4:$C$112,0)),"")</f>
        <v/>
      </c>
      <c r="K19" s="542">
        <f>IF(ISNUMBER($J19),$J19*④前提設定!$B$21,"")</f>
        <v/>
      </c>
      <c r="L19" s="605">
        <f>IF(AND(NOT(ISNUMBER($J19)),NOT(ISNUMBER($K19))),"",N($J19)+N($K19))</f>
        <v/>
      </c>
      <c r="M19" s="605">
        <f>IFERROR(INDEX(商品原価!$E$4:$E$112,MATCH(SUBSTITUTE(SUBSTITUTE(SUBSTITUTE(SUBSTITUTE(SUBSTITUTE(SUBSTITUTE(SUBSTITUTE(SUBSTITUTE(SUBSTITUTE(SUBSTITUTE(ASC($C19),"①","1"),"②","2"),"③","3"),"④","4"),"⑤","5"),"⑥","6"),"⑦","7"),"⑧","8"),"⑨","9")," ",""),商品原価!$C$4:$C$112,0)),"")</f>
        <v/>
      </c>
      <c r="N19" s="605">
        <f>IF(AND(ISNUMBER($M19),ISNUMBER($L19)),$M19-$L19-N($W19),"")</f>
        <v/>
      </c>
      <c r="O19" s="606">
        <f>IF(AND(ISNUMBER($N19),ISNUMBER($M19),$M19&gt;0),$N19/$M19,"")</f>
        <v/>
      </c>
      <c r="P19" s="398">
        <f>COUNTIF(②釜工程入力!$R$5:$R$117,$C19)+COUNTIF(②釜工程入力!$S$5:$S$117,$C19)+COUNTIF(②釜工程入力!$T$5:$T$117,$C19)+COUNTIF(②釜工程入力!$U$5:$U$117,$C19)+COUNTIF(②釜工程入力!$V$5:$V$117,$C19)+COUNTIF(②釜工程入力!$W$5:$W$117,$C19)+COUNTIF(③スチコン工程入力!$R$5:$R$152,$C19)+COUNTIF(③スチコン工程入力!$S$5:$S$152,$C19)+COUNTIF(③スチコン工程入力!$T$5:$T$152,$C19)+COUNTIF(③スチコン工程入力!$U$5:$U$152,$C19)+COUNTIF(③スチコン工程入力!$V$5:$V$152,$C19)+COUNTIF(③スチコン工程入力!$W$5:$W$152,$C19)+COUNTIF(⑩盛付梱包工程入力!$R$5:$R$300,$C19)+COUNTIF(⑩盛付梱包工程入力!$S$5:$S$300,$C19)+COUNTIF(⑩盛付梱包工程入力!$T$5:$T$300,$C19)+COUNTIF(⑩盛付梱包工程入力!$U$5:$U$300,$C19)+COUNTIF(⑩盛付梱包工程入力!$V$5:$V$300,$C19)+COUNTIF(⑩盛付梱包工程入力!$W$5:$W$300,$C19)+COUNTIF(⑪ZEN工程入力!$R$6:$R$35,$C19)+COUNTIF(⑪ZEN工程入力!$S$6:$S$35,$C19)+COUNTIF(⑪ZEN工程入力!$T$6:$T$35,$C19)+COUNTIF(⑪ZEN工程入力!$U$6:$U$35,$C19)+COUNTIF(⑪ZEN工程入力!$V$6:$V$35,$C19)+COUNTIF(⑪ZEN工程入力!$W$6:$W$35,$C19)+COUNTIF(⑫ミキサー工程入力!$R$6:$R$65,$C19)+COUNTIF(⑫ミキサー工程入力!$S$6:$S$65,$C19)+COUNTIF(⑫ミキサー工程入力!$T$6:$T$65,$C19)+COUNTIF(⑫ミキサー工程入力!$U$6:$U$65,$C19)+COUNTIF(⑫ミキサー工程入力!$V$6:$V$65,$C19)+COUNTIF(⑫ミキサー工程入力!$W$6:$W$65,$C19)+COUNTIF(⑬計量工程入力!$R$6:$R$65,$C19)+COUNTIF(⑬計量工程入力!$S$6:$S$65,$C19)+COUNTIF(⑬計量工程入力!$T$6:$T$65,$C19)+COUNTIF(⑬計量工程入力!$U$6:$U$65,$C19)+COUNTIF(⑬計量工程入力!$V$6:$V$65,$C19)+COUNTIF(⑬計量工程入力!$W$6:$W$65,$C19)+COUNTIF(⑭手動工程入力!$R$6:$R$47,$C19)+COUNTIF(⑭手動工程入力!$S$6:$S$47,$C19)+COUNTIF(⑭手動工程入力!$T$6:$T$47,$C19)+COUNTIF(⑭手動工程入力!$U$6:$U$47,$C19)+COUNTIF(⑭手動工程入力!$V$6:$V$47,$C19)+COUNTIF(⑭手動工程入力!$W$6:$W$47,$C19)</f>
        <v/>
      </c>
      <c r="Q19" s="392" t="inlineStr">
        <is>
          <t>⑩盛付梱包 45行目に入力欄を作成（工程記録なし）</t>
        </is>
      </c>
      <c r="R19" s="393" t="n"/>
      <c r="S19" s="393" t="n"/>
      <c r="T19" s="393" t="n"/>
      <c r="U19" s="393" t="n"/>
      <c r="V19" s="605">
        <f>IFERROR(INDEX(KIT別作業時間!$D$4:$D$27,MATCH(SUBSTITUTE(SUBSTITUTE(SUBSTITUTE(SUBSTITUTE(SUBSTITUTE(SUBSTITUTE(SUBSTITUTE(SUBSTITUTE(SUBSTITUTE(SUBSTITUTE(ASC($C19),"①","1"),"②","2"),"③","3"),"④","4"),"⑤","5"),"⑥","6"),"⑦","7"),"⑧","8"),"⑨","9")," ",""),KIT別作業時間!$C$4:$C$27,0)),"")</f>
        <v/>
      </c>
      <c r="W19" s="393">
        <f>IF(AND(ISNUMBER($I19),$I19&gt;0),$I19,IF(ISNUMBER($V19),$V19,IF(ISNUMBER($R19),$R19,"")))</f>
        <v/>
      </c>
      <c r="X19" s="393">
        <f>IF(AND(ISNUMBER($I19),$I19&gt;0),"今回の工程実績",IF(ISNUMBER($V19),"KIT作業時間",IF(ISNUMBER($R19),"前回資料","")))</f>
        <v/>
      </c>
      <c r="Y19" s="398" t="n">
        <v>2508</v>
      </c>
      <c r="Z19" s="398">
        <f>IF(AND(ISNUMBER($W19),ISNUMBER($Y19)),$W19*$Y19,"")</f>
        <v/>
      </c>
      <c r="AA19" s="393" t="n"/>
    </row>
    <row r="20">
      <c r="A20" s="392" t="n">
        <v>16</v>
      </c>
      <c r="B20" s="392" t="n"/>
      <c r="C20" s="392" t="inlineStr">
        <is>
          <t>Ｓクリーム爆盛ロールケキ小</t>
        </is>
      </c>
      <c r="D20" s="398">
        <f>SUMIF(⑩盛付梱包工程入力!$R$5:$R$300,$C20,⑩盛付梱包工程入力!$AC$5:$AC$300)+SUMIF(⑩盛付梱包工程入力!$S$5:$S$300,$C20,⑩盛付梱包工程入力!$AC$5:$AC$300)+SUMIF(⑩盛付梱包工程入力!$T$5:$T$300,$C20,⑩盛付梱包工程入力!$AC$5:$AC$300)+SUMIF(⑩盛付梱包工程入力!$U$5:$U$300,$C20,⑩盛付梱包工程入力!$AC$5:$AC$300)+SUMIF(⑩盛付梱包工程入力!$V$5:$V$300,$C20,⑩盛付梱包工程入力!$AC$5:$AC$300)+SUMIF(⑩盛付梱包工程入力!$W$5:$W$300,$C20,⑩盛付梱包工程入力!$AC$5:$AC$300)</f>
        <v/>
      </c>
      <c r="E20" s="398" t="n">
        <v>840</v>
      </c>
      <c r="F20" s="398">
        <f>IF(N($E20)&gt;0,$E20,$D20)</f>
        <v/>
      </c>
      <c r="G20" s="393" t="n">
        <v>32.83980770721873</v>
      </c>
      <c r="H20" s="393">
        <f>SUMIF(②釜工程入力!$R$5:$R$117,$C20,②釜工程入力!$AD$5:$AD$117)+SUMIF(②釜工程入力!$S$5:$S$117,$C20,②釜工程入力!$AE$5:$AE$117)+SUMIF(②釜工程入力!$T$5:$T$117,$C20,②釜工程入力!$AF$5:$AF$117)+SUMIF(②釜工程入力!$U$5:$U$117,$C20,②釜工程入力!$AG$5:$AG$117)+SUMIF(②釜工程入力!$V$5:$V$117,$C20,②釜工程入力!$AH$5:$AH$117)+SUMIF(②釜工程入力!$W$5:$W$117,$C20,②釜工程入力!$AI$5:$AI$117)+SUMIF(③スチコン工程入力!$R$5:$R$152,$C20,③スチコン工程入力!$AD$5:$AD$152)+SUMIF(③スチコン工程入力!$S$5:$S$152,$C20,③スチコン工程入力!$AE$5:$AE$152)+SUMIF(③スチコン工程入力!$T$5:$T$152,$C20,③スチコン工程入力!$AF$5:$AF$152)+SUMIF(③スチコン工程入力!$U$5:$U$152,$C20,③スチコン工程入力!$AG$5:$AG$152)+SUMIF(③スチコン工程入力!$V$5:$V$152,$C20,③スチコン工程入力!$AH$5:$AH$152)+SUMIF(③スチコン工程入力!$W$5:$W$152,$C20,③スチコン工程入力!$AI$5:$AI$152)+SUMIF(⑩盛付梱包工程入力!$R$5:$R$300,$C20,⑩盛付梱包工程入力!$AD$5:$AD$300)+SUMIF(⑩盛付梱包工程入力!$S$5:$S$300,$C20,⑩盛付梱包工程入力!$AE$5:$AE$300)+SUMIF(⑩盛付梱包工程入力!$T$5:$T$300,$C20,⑩盛付梱包工程入力!$AF$5:$AF$300)+SUMIF(⑩盛付梱包工程入力!$U$5:$U$300,$C20,⑩盛付梱包工程入力!$AG$5:$AG$300)+SUMIF(⑩盛付梱包工程入力!$V$5:$V$300,$C20,⑩盛付梱包工程入力!$AH$5:$AH$300)+SUMIF(⑩盛付梱包工程入力!$W$5:$W$300,$C20,⑩盛付梱包工程入力!$AI$5:$AI$300)+SUMIF(⑪ZEN工程入力!$R$6:$R$35,$C20,⑪ZEN工程入力!$AD$6:$AD$35)+SUMIF(⑪ZEN工程入力!$S$6:$S$35,$C20,⑪ZEN工程入力!$AE$6:$AE$35)+SUMIF(⑪ZEN工程入力!$T$6:$T$35,$C20,⑪ZEN工程入力!$AF$6:$AF$35)+SUMIF(⑪ZEN工程入力!$U$6:$U$35,$C20,⑪ZEN工程入力!$AG$6:$AG$35)+SUMIF(⑪ZEN工程入力!$V$6:$V$35,$C20,⑪ZEN工程入力!$AH$6:$AH$35)+SUMIF(⑪ZEN工程入力!$W$6:$W$35,$C20,⑪ZEN工程入力!$AI$6:$AI$35)+SUMIF(⑫ミキサー工程入力!$R$6:$R$65,$C20,⑫ミキサー工程入力!$AD$6:$AD$65)+SUMIF(⑫ミキサー工程入力!$S$6:$S$65,$C20,⑫ミキサー工程入力!$AE$6:$AE$65)+SUMIF(⑫ミキサー工程入力!$T$6:$T$65,$C20,⑫ミキサー工程入力!$AF$6:$AF$65)+SUMIF(⑫ミキサー工程入力!$U$6:$U$65,$C20,⑫ミキサー工程入力!$AG$6:$AG$65)+SUMIF(⑫ミキサー工程入力!$V$6:$V$65,$C20,⑫ミキサー工程入力!$AH$6:$AH$65)+SUMIF(⑫ミキサー工程入力!$W$6:$W$65,$C20,⑫ミキサー工程入力!$AI$6:$AI$65)+SUMIF(⑬計量工程入力!$R$6:$R$65,$C20,⑬計量工程入力!$AD$6:$AD$65)+SUMIF(⑬計量工程入力!$S$6:$S$65,$C20,⑬計量工程入力!$AE$6:$AE$65)+SUMIF(⑬計量工程入力!$T$6:$T$65,$C20,⑬計量工程入力!$AF$6:$AF$65)+SUMIF(⑬計量工程入力!$U$6:$U$65,$C20,⑬計量工程入力!$AG$6:$AG$65)+SUMIF(⑬計量工程入力!$V$6:$V$65,$C20,⑬計量工程入力!$AH$6:$AH$65)+SUMIF(⑬計量工程入力!$W$6:$W$65,$C20,⑬計量工程入力!$AI$6:$AI$65)+SUMIF(⑭手動工程入力!$R$6:$R$47,$C20,⑭手動工程入力!$AD$6:$AD$47)+SUMIF(⑭手動工程入力!$S$6:$S$47,$C20,⑭手動工程入力!$AE$6:$AE$47)+SUMIF(⑭手動工程入力!$T$6:$T$47,$C20,⑭手動工程入力!$AF$6:$AF$47)+SUMIF(⑭手動工程入力!$U$6:$U$47,$C20,⑭手動工程入力!$AG$6:$AG$47)+SUMIF(⑭手動工程入力!$V$6:$V$47,$C20,⑭手動工程入力!$AH$6:$AH$47)+SUMIF(⑭手動工程入力!$W$6:$W$47,$C20,⑭手動工程入力!$AI$6:$AI$47)</f>
        <v/>
      </c>
      <c r="I20" s="393">
        <f>IF($F20&gt;0,$H20/$F20,"")</f>
        <v/>
      </c>
      <c r="J20" s="605">
        <f>IFERROR(INDEX(商品原価!$B$4:$B$112,MATCH(SUBSTITUTE(SUBSTITUTE(SUBSTITUTE(SUBSTITUTE(SUBSTITUTE(SUBSTITUTE(SUBSTITUTE(SUBSTITUTE(SUBSTITUTE(SUBSTITUTE(ASC($C20),"①","1"),"②","2"),"③","3"),"④","4"),"⑤","5"),"⑥","6"),"⑦","7"),"⑧","8"),"⑨","9")," ",""),商品原価!$C$4:$C$112,0)),"")</f>
        <v/>
      </c>
      <c r="K20" s="542">
        <f>IF(ISNUMBER($J20),$J20*④前提設定!$B$21,"")</f>
        <v/>
      </c>
      <c r="L20" s="605">
        <f>IF(AND(NOT(ISNUMBER($J20)),NOT(ISNUMBER($K20))),"",N($J20)+N($K20))</f>
        <v/>
      </c>
      <c r="M20" s="605">
        <f>IFERROR(INDEX(商品原価!$E$4:$E$112,MATCH(SUBSTITUTE(SUBSTITUTE(SUBSTITUTE(SUBSTITUTE(SUBSTITUTE(SUBSTITUTE(SUBSTITUTE(SUBSTITUTE(SUBSTITUTE(SUBSTITUTE(ASC($C20),"①","1"),"②","2"),"③","3"),"④","4"),"⑤","5"),"⑥","6"),"⑦","7"),"⑧","8"),"⑨","9")," ",""),商品原価!$C$4:$C$112,0)),"")</f>
        <v/>
      </c>
      <c r="N20" s="605">
        <f>IF(AND(ISNUMBER($M20),ISNUMBER($L20)),$M20-$L20-N($W20),"")</f>
        <v/>
      </c>
      <c r="O20" s="606">
        <f>IF(AND(ISNUMBER($N20),ISNUMBER($M20),$M20&gt;0),$N20/$M20,"")</f>
        <v/>
      </c>
      <c r="P20" s="398">
        <f>COUNTIF(②釜工程入力!$R$5:$R$117,$C20)+COUNTIF(②釜工程入力!$S$5:$S$117,$C20)+COUNTIF(②釜工程入力!$T$5:$T$117,$C20)+COUNTIF(②釜工程入力!$U$5:$U$117,$C20)+COUNTIF(②釜工程入力!$V$5:$V$117,$C20)+COUNTIF(②釜工程入力!$W$5:$W$117,$C20)+COUNTIF(③スチコン工程入力!$R$5:$R$152,$C20)+COUNTIF(③スチコン工程入力!$S$5:$S$152,$C20)+COUNTIF(③スチコン工程入力!$T$5:$T$152,$C20)+COUNTIF(③スチコン工程入力!$U$5:$U$152,$C20)+COUNTIF(③スチコン工程入力!$V$5:$V$152,$C20)+COUNTIF(③スチコン工程入力!$W$5:$W$152,$C20)+COUNTIF(⑩盛付梱包工程入力!$R$5:$R$300,$C20)+COUNTIF(⑩盛付梱包工程入力!$S$5:$S$300,$C20)+COUNTIF(⑩盛付梱包工程入力!$T$5:$T$300,$C20)+COUNTIF(⑩盛付梱包工程入力!$U$5:$U$300,$C20)+COUNTIF(⑩盛付梱包工程入力!$V$5:$V$300,$C20)+COUNTIF(⑩盛付梱包工程入力!$W$5:$W$300,$C20)+COUNTIF(⑪ZEN工程入力!$R$6:$R$35,$C20)+COUNTIF(⑪ZEN工程入力!$S$6:$S$35,$C20)+COUNTIF(⑪ZEN工程入力!$T$6:$T$35,$C20)+COUNTIF(⑪ZEN工程入力!$U$6:$U$35,$C20)+COUNTIF(⑪ZEN工程入力!$V$6:$V$35,$C20)+COUNTIF(⑪ZEN工程入力!$W$6:$W$35,$C20)+COUNTIF(⑫ミキサー工程入力!$R$6:$R$65,$C20)+COUNTIF(⑫ミキサー工程入力!$S$6:$S$65,$C20)+COUNTIF(⑫ミキサー工程入力!$T$6:$T$65,$C20)+COUNTIF(⑫ミキサー工程入力!$U$6:$U$65,$C20)+COUNTIF(⑫ミキサー工程入力!$V$6:$V$65,$C20)+COUNTIF(⑫ミキサー工程入力!$W$6:$W$65,$C20)+COUNTIF(⑬計量工程入力!$R$6:$R$65,$C20)+COUNTIF(⑬計量工程入力!$S$6:$S$65,$C20)+COUNTIF(⑬計量工程入力!$T$6:$T$65,$C20)+COUNTIF(⑬計量工程入力!$U$6:$U$65,$C20)+COUNTIF(⑬計量工程入力!$V$6:$V$65,$C20)+COUNTIF(⑬計量工程入力!$W$6:$W$65,$C20)+COUNTIF(⑭手動工程入力!$R$6:$R$47,$C20)+COUNTIF(⑭手動工程入力!$S$6:$S$47,$C20)+COUNTIF(⑭手動工程入力!$T$6:$T$47,$C20)+COUNTIF(⑭手動工程入力!$U$6:$U$47,$C20)+COUNTIF(⑭手動工程入力!$V$6:$V$47,$C20)+COUNTIF(⑭手動工程入力!$W$6:$W$47,$C20)</f>
        <v/>
      </c>
      <c r="Q20" s="392" t="n"/>
      <c r="R20" s="393" t="n"/>
      <c r="S20" s="393" t="n"/>
      <c r="T20" s="393" t="n"/>
      <c r="U20" s="393" t="n"/>
      <c r="V20" s="605">
        <f>IFERROR(INDEX(KIT別作業時間!$D$4:$D$27,MATCH(SUBSTITUTE(SUBSTITUTE(SUBSTITUTE(SUBSTITUTE(SUBSTITUTE(SUBSTITUTE(SUBSTITUTE(SUBSTITUTE(SUBSTITUTE(SUBSTITUTE(ASC($C20),"①","1"),"②","2"),"③","3"),"④","4"),"⑤","5"),"⑥","6"),"⑦","7"),"⑧","8"),"⑨","9")," ",""),KIT別作業時間!$C$4:$C$27,0)),"")</f>
        <v/>
      </c>
      <c r="W20" s="393">
        <f>IF(AND(ISNUMBER($I20),$I20&gt;0),$I20,IF(ISNUMBER($V20),$V20,IF(ISNUMBER($R20),$R20,"")))</f>
        <v/>
      </c>
      <c r="X20" s="393">
        <f>IF(AND(ISNUMBER($I20),$I20&gt;0),"今回の工程実績",IF(ISNUMBER($V20),"KIT作業時間",IF(ISNUMBER($R20),"前回資料","")))</f>
        <v/>
      </c>
      <c r="Y20" s="398" t="n">
        <v>29837</v>
      </c>
      <c r="Z20" s="398">
        <f>IF(AND(ISNUMBER($W20),ISNUMBER($Y20)),$W20*$Y20,"")</f>
        <v/>
      </c>
      <c r="AA20" s="393" t="n"/>
    </row>
    <row r="21">
      <c r="A21" s="392" t="n">
        <v>17</v>
      </c>
      <c r="B21" s="392" t="n"/>
      <c r="C21" s="392" t="inlineStr">
        <is>
          <t>Ｓみかんの牛乳寒天　小</t>
        </is>
      </c>
      <c r="D21" s="398">
        <f>SUMIF(⑩盛付梱包工程入力!$R$5:$R$300,$C21,⑩盛付梱包工程入力!$AC$5:$AC$300)+SUMIF(⑩盛付梱包工程入力!$S$5:$S$300,$C21,⑩盛付梱包工程入力!$AC$5:$AC$300)+SUMIF(⑩盛付梱包工程入力!$T$5:$T$300,$C21,⑩盛付梱包工程入力!$AC$5:$AC$300)+SUMIF(⑩盛付梱包工程入力!$U$5:$U$300,$C21,⑩盛付梱包工程入力!$AC$5:$AC$300)+SUMIF(⑩盛付梱包工程入力!$V$5:$V$300,$C21,⑩盛付梱包工程入力!$AC$5:$AC$300)+SUMIF(⑩盛付梱包工程入力!$W$5:$W$300,$C21,⑩盛付梱包工程入力!$AC$5:$AC$300)</f>
        <v/>
      </c>
      <c r="E21" s="398" t="n">
        <v>1100</v>
      </c>
      <c r="F21" s="398">
        <f>IF(N($E21)&gt;0,$E21,$D21)</f>
        <v/>
      </c>
      <c r="G21" s="393" t="n">
        <v>32.08944003598162</v>
      </c>
      <c r="H21" s="393">
        <f>SUMIF(②釜工程入力!$R$5:$R$117,$C21,②釜工程入力!$AD$5:$AD$117)+SUMIF(②釜工程入力!$S$5:$S$117,$C21,②釜工程入力!$AE$5:$AE$117)+SUMIF(②釜工程入力!$T$5:$T$117,$C21,②釜工程入力!$AF$5:$AF$117)+SUMIF(②釜工程入力!$U$5:$U$117,$C21,②釜工程入力!$AG$5:$AG$117)+SUMIF(②釜工程入力!$V$5:$V$117,$C21,②釜工程入力!$AH$5:$AH$117)+SUMIF(②釜工程入力!$W$5:$W$117,$C21,②釜工程入力!$AI$5:$AI$117)+SUMIF(③スチコン工程入力!$R$5:$R$152,$C21,③スチコン工程入力!$AD$5:$AD$152)+SUMIF(③スチコン工程入力!$S$5:$S$152,$C21,③スチコン工程入力!$AE$5:$AE$152)+SUMIF(③スチコン工程入力!$T$5:$T$152,$C21,③スチコン工程入力!$AF$5:$AF$152)+SUMIF(③スチコン工程入力!$U$5:$U$152,$C21,③スチコン工程入力!$AG$5:$AG$152)+SUMIF(③スチコン工程入力!$V$5:$V$152,$C21,③スチコン工程入力!$AH$5:$AH$152)+SUMIF(③スチコン工程入力!$W$5:$W$152,$C21,③スチコン工程入力!$AI$5:$AI$152)+SUMIF(⑩盛付梱包工程入力!$R$5:$R$300,$C21,⑩盛付梱包工程入力!$AD$5:$AD$300)+SUMIF(⑩盛付梱包工程入力!$S$5:$S$300,$C21,⑩盛付梱包工程入力!$AE$5:$AE$300)+SUMIF(⑩盛付梱包工程入力!$T$5:$T$300,$C21,⑩盛付梱包工程入力!$AF$5:$AF$300)+SUMIF(⑩盛付梱包工程入力!$U$5:$U$300,$C21,⑩盛付梱包工程入力!$AG$5:$AG$300)+SUMIF(⑩盛付梱包工程入力!$V$5:$V$300,$C21,⑩盛付梱包工程入力!$AH$5:$AH$300)+SUMIF(⑩盛付梱包工程入力!$W$5:$W$300,$C21,⑩盛付梱包工程入力!$AI$5:$AI$300)+SUMIF(⑪ZEN工程入力!$R$6:$R$35,$C21,⑪ZEN工程入力!$AD$6:$AD$35)+SUMIF(⑪ZEN工程入力!$S$6:$S$35,$C21,⑪ZEN工程入力!$AE$6:$AE$35)+SUMIF(⑪ZEN工程入力!$T$6:$T$35,$C21,⑪ZEN工程入力!$AF$6:$AF$35)+SUMIF(⑪ZEN工程入力!$U$6:$U$35,$C21,⑪ZEN工程入力!$AG$6:$AG$35)+SUMIF(⑪ZEN工程入力!$V$6:$V$35,$C21,⑪ZEN工程入力!$AH$6:$AH$35)+SUMIF(⑪ZEN工程入力!$W$6:$W$35,$C21,⑪ZEN工程入力!$AI$6:$AI$35)+SUMIF(⑫ミキサー工程入力!$R$6:$R$65,$C21,⑫ミキサー工程入力!$AD$6:$AD$65)+SUMIF(⑫ミキサー工程入力!$S$6:$S$65,$C21,⑫ミキサー工程入力!$AE$6:$AE$65)+SUMIF(⑫ミキサー工程入力!$T$6:$T$65,$C21,⑫ミキサー工程入力!$AF$6:$AF$65)+SUMIF(⑫ミキサー工程入力!$U$6:$U$65,$C21,⑫ミキサー工程入力!$AG$6:$AG$65)+SUMIF(⑫ミキサー工程入力!$V$6:$V$65,$C21,⑫ミキサー工程入力!$AH$6:$AH$65)+SUMIF(⑫ミキサー工程入力!$W$6:$W$65,$C21,⑫ミキサー工程入力!$AI$6:$AI$65)+SUMIF(⑬計量工程入力!$R$6:$R$65,$C21,⑬計量工程入力!$AD$6:$AD$65)+SUMIF(⑬計量工程入力!$S$6:$S$65,$C21,⑬計量工程入力!$AE$6:$AE$65)+SUMIF(⑬計量工程入力!$T$6:$T$65,$C21,⑬計量工程入力!$AF$6:$AF$65)+SUMIF(⑬計量工程入力!$U$6:$U$65,$C21,⑬計量工程入力!$AG$6:$AG$65)+SUMIF(⑬計量工程入力!$V$6:$V$65,$C21,⑬計量工程入力!$AH$6:$AH$65)+SUMIF(⑬計量工程入力!$W$6:$W$65,$C21,⑬計量工程入力!$AI$6:$AI$65)+SUMIF(⑭手動工程入力!$R$6:$R$47,$C21,⑭手動工程入力!$AD$6:$AD$47)+SUMIF(⑭手動工程入力!$S$6:$S$47,$C21,⑭手動工程入力!$AE$6:$AE$47)+SUMIF(⑭手動工程入力!$T$6:$T$47,$C21,⑭手動工程入力!$AF$6:$AF$47)+SUMIF(⑭手動工程入力!$U$6:$U$47,$C21,⑭手動工程入力!$AG$6:$AG$47)+SUMIF(⑭手動工程入力!$V$6:$V$47,$C21,⑭手動工程入力!$AH$6:$AH$47)+SUMIF(⑭手動工程入力!$W$6:$W$47,$C21,⑭手動工程入力!$AI$6:$AI$47)</f>
        <v/>
      </c>
      <c r="I21" s="393">
        <f>IF($F21&gt;0,$H21/$F21,"")</f>
        <v/>
      </c>
      <c r="J21" s="605">
        <f>IFERROR(INDEX(商品原価!$B$4:$B$112,MATCH(SUBSTITUTE(SUBSTITUTE(SUBSTITUTE(SUBSTITUTE(SUBSTITUTE(SUBSTITUTE(SUBSTITUTE(SUBSTITUTE(SUBSTITUTE(SUBSTITUTE(ASC($C21),"①","1"),"②","2"),"③","3"),"④","4"),"⑤","5"),"⑥","6"),"⑦","7"),"⑧","8"),"⑨","9")," ",""),商品原価!$C$4:$C$112,0)),"")</f>
        <v/>
      </c>
      <c r="K21" s="542">
        <f>IF(ISNUMBER($J21),$J21*④前提設定!$B$21,"")</f>
        <v/>
      </c>
      <c r="L21" s="605">
        <f>IF(AND(NOT(ISNUMBER($J21)),NOT(ISNUMBER($K21))),"",N($J21)+N($K21))</f>
        <v/>
      </c>
      <c r="M21" s="605">
        <f>IFERROR(INDEX(商品原価!$E$4:$E$112,MATCH(SUBSTITUTE(SUBSTITUTE(SUBSTITUTE(SUBSTITUTE(SUBSTITUTE(SUBSTITUTE(SUBSTITUTE(SUBSTITUTE(SUBSTITUTE(SUBSTITUTE(ASC($C21),"①","1"),"②","2"),"③","3"),"④","4"),"⑤","5"),"⑥","6"),"⑦","7"),"⑧","8"),"⑨","9")," ",""),商品原価!$C$4:$C$112,0)),"")</f>
        <v/>
      </c>
      <c r="N21" s="605">
        <f>IF(AND(ISNUMBER($M21),ISNUMBER($L21)),$M21-$L21-N($W21),"")</f>
        <v/>
      </c>
      <c r="O21" s="606">
        <f>IF(AND(ISNUMBER($N21),ISNUMBER($M21),$M21&gt;0),$N21/$M21,"")</f>
        <v/>
      </c>
      <c r="P21" s="398">
        <f>COUNTIF(②釜工程入力!$R$5:$R$117,$C21)+COUNTIF(②釜工程入力!$S$5:$S$117,$C21)+COUNTIF(②釜工程入力!$T$5:$T$117,$C21)+COUNTIF(②釜工程入力!$U$5:$U$117,$C21)+COUNTIF(②釜工程入力!$V$5:$V$117,$C21)+COUNTIF(②釜工程入力!$W$5:$W$117,$C21)+COUNTIF(③スチコン工程入力!$R$5:$R$152,$C21)+COUNTIF(③スチコン工程入力!$S$5:$S$152,$C21)+COUNTIF(③スチコン工程入力!$T$5:$T$152,$C21)+COUNTIF(③スチコン工程入力!$U$5:$U$152,$C21)+COUNTIF(③スチコン工程入力!$V$5:$V$152,$C21)+COUNTIF(③スチコン工程入力!$W$5:$W$152,$C21)+COUNTIF(⑩盛付梱包工程入力!$R$5:$R$300,$C21)+COUNTIF(⑩盛付梱包工程入力!$S$5:$S$300,$C21)+COUNTIF(⑩盛付梱包工程入力!$T$5:$T$300,$C21)+COUNTIF(⑩盛付梱包工程入力!$U$5:$U$300,$C21)+COUNTIF(⑩盛付梱包工程入力!$V$5:$V$300,$C21)+COUNTIF(⑩盛付梱包工程入力!$W$5:$W$300,$C21)+COUNTIF(⑪ZEN工程入力!$R$6:$R$35,$C21)+COUNTIF(⑪ZEN工程入力!$S$6:$S$35,$C21)+COUNTIF(⑪ZEN工程入力!$T$6:$T$35,$C21)+COUNTIF(⑪ZEN工程入力!$U$6:$U$35,$C21)+COUNTIF(⑪ZEN工程入力!$V$6:$V$35,$C21)+COUNTIF(⑪ZEN工程入力!$W$6:$W$35,$C21)+COUNTIF(⑫ミキサー工程入力!$R$6:$R$65,$C21)+COUNTIF(⑫ミキサー工程入力!$S$6:$S$65,$C21)+COUNTIF(⑫ミキサー工程入力!$T$6:$T$65,$C21)+COUNTIF(⑫ミキサー工程入力!$U$6:$U$65,$C21)+COUNTIF(⑫ミキサー工程入力!$V$6:$V$65,$C21)+COUNTIF(⑫ミキサー工程入力!$W$6:$W$65,$C21)+COUNTIF(⑬計量工程入力!$R$6:$R$65,$C21)+COUNTIF(⑬計量工程入力!$S$6:$S$65,$C21)+COUNTIF(⑬計量工程入力!$T$6:$T$65,$C21)+COUNTIF(⑬計量工程入力!$U$6:$U$65,$C21)+COUNTIF(⑬計量工程入力!$V$6:$V$65,$C21)+COUNTIF(⑬計量工程入力!$W$6:$W$65,$C21)+COUNTIF(⑭手動工程入力!$R$6:$R$47,$C21)+COUNTIF(⑭手動工程入力!$S$6:$S$47,$C21)+COUNTIF(⑭手動工程入力!$T$6:$T$47,$C21)+COUNTIF(⑭手動工程入力!$U$6:$U$47,$C21)+COUNTIF(⑭手動工程入力!$V$6:$V$47,$C21)+COUNTIF(⑭手動工程入力!$W$6:$W$47,$C21)</f>
        <v/>
      </c>
      <c r="Q21" s="392" t="n"/>
      <c r="R21" s="393" t="n">
        <v>18.68</v>
      </c>
      <c r="S21" s="393" t="n">
        <v>223</v>
      </c>
      <c r="T21" s="393">
        <f>IF(AND(ISNUMBER($I21),ISNUMBER($R21)),$I21-$R21,"")</f>
        <v/>
      </c>
      <c r="U21" s="393" t="inlineStr">
        <is>
          <t>みかんの牛乳寒</t>
        </is>
      </c>
      <c r="V21" s="605">
        <f>IFERROR(INDEX(KIT別作業時間!$D$4:$D$27,MATCH(SUBSTITUTE(SUBSTITUTE(SUBSTITUTE(SUBSTITUTE(SUBSTITUTE(SUBSTITUTE(SUBSTITUTE(SUBSTITUTE(SUBSTITUTE(SUBSTITUTE(ASC($C21),"①","1"),"②","2"),"③","3"),"④","4"),"⑤","5"),"⑥","6"),"⑦","7"),"⑧","8"),"⑨","9")," ",""),KIT別作業時間!$C$4:$C$27,0)),"")</f>
        <v/>
      </c>
      <c r="W21" s="393">
        <f>IF(AND(ISNUMBER($I21),$I21&gt;0),$I21,IF(ISNUMBER($V21),$V21,IF(ISNUMBER($R21),$R21,"")))</f>
        <v/>
      </c>
      <c r="X21" s="393">
        <f>IF(AND(ISNUMBER($I21),$I21&gt;0),"今回の工程実績",IF(ISNUMBER($V21),"KIT作業時間",IF(ISNUMBER($R21),"前回資料","")))</f>
        <v/>
      </c>
      <c r="Y21" s="398" t="n">
        <v>30208</v>
      </c>
      <c r="Z21" s="398">
        <f>IF(AND(ISNUMBER($W21),ISNUMBER($Y21)),$W21*$Y21,"")</f>
        <v/>
      </c>
      <c r="AA21" s="393" t="n"/>
    </row>
    <row r="22">
      <c r="A22" s="392" t="n">
        <v>18</v>
      </c>
      <c r="B22" s="392" t="n"/>
      <c r="C22" s="392" t="inlineStr">
        <is>
          <t>Ｓ大人のコーヒーゼリー４</t>
        </is>
      </c>
      <c r="D22" s="398">
        <f>SUMIF(⑩盛付梱包工程入力!$R$5:$R$300,$C22,⑩盛付梱包工程入力!$AC$5:$AC$300)+SUMIF(⑩盛付梱包工程入力!$S$5:$S$300,$C22,⑩盛付梱包工程入力!$AC$5:$AC$300)+SUMIF(⑩盛付梱包工程入力!$T$5:$T$300,$C22,⑩盛付梱包工程入力!$AC$5:$AC$300)+SUMIF(⑩盛付梱包工程入力!$U$5:$U$300,$C22,⑩盛付梱包工程入力!$AC$5:$AC$300)+SUMIF(⑩盛付梱包工程入力!$V$5:$V$300,$C22,⑩盛付梱包工程入力!$AC$5:$AC$300)+SUMIF(⑩盛付梱包工程入力!$W$5:$W$300,$C22,⑩盛付梱包工程入力!$AC$5:$AC$300)</f>
        <v/>
      </c>
      <c r="E22" s="398" t="n">
        <v>745</v>
      </c>
      <c r="F22" s="398">
        <f>IF(N($E22)&gt;0,$E22,$D22)</f>
        <v/>
      </c>
      <c r="G22" s="393" t="n">
        <v>31.80010093788114</v>
      </c>
      <c r="H22" s="393">
        <f>SUMIF(②釜工程入力!$R$5:$R$117,$C22,②釜工程入力!$AD$5:$AD$117)+SUMIF(②釜工程入力!$S$5:$S$117,$C22,②釜工程入力!$AE$5:$AE$117)+SUMIF(②釜工程入力!$T$5:$T$117,$C22,②釜工程入力!$AF$5:$AF$117)+SUMIF(②釜工程入力!$U$5:$U$117,$C22,②釜工程入力!$AG$5:$AG$117)+SUMIF(②釜工程入力!$V$5:$V$117,$C22,②釜工程入力!$AH$5:$AH$117)+SUMIF(②釜工程入力!$W$5:$W$117,$C22,②釜工程入力!$AI$5:$AI$117)+SUMIF(③スチコン工程入力!$R$5:$R$152,$C22,③スチコン工程入力!$AD$5:$AD$152)+SUMIF(③スチコン工程入力!$S$5:$S$152,$C22,③スチコン工程入力!$AE$5:$AE$152)+SUMIF(③スチコン工程入力!$T$5:$T$152,$C22,③スチコン工程入力!$AF$5:$AF$152)+SUMIF(③スチコン工程入力!$U$5:$U$152,$C22,③スチコン工程入力!$AG$5:$AG$152)+SUMIF(③スチコン工程入力!$V$5:$V$152,$C22,③スチコン工程入力!$AH$5:$AH$152)+SUMIF(③スチコン工程入力!$W$5:$W$152,$C22,③スチコン工程入力!$AI$5:$AI$152)+SUMIF(⑩盛付梱包工程入力!$R$5:$R$300,$C22,⑩盛付梱包工程入力!$AD$5:$AD$300)+SUMIF(⑩盛付梱包工程入力!$S$5:$S$300,$C22,⑩盛付梱包工程入力!$AE$5:$AE$300)+SUMIF(⑩盛付梱包工程入力!$T$5:$T$300,$C22,⑩盛付梱包工程入力!$AF$5:$AF$300)+SUMIF(⑩盛付梱包工程入力!$U$5:$U$300,$C22,⑩盛付梱包工程入力!$AG$5:$AG$300)+SUMIF(⑩盛付梱包工程入力!$V$5:$V$300,$C22,⑩盛付梱包工程入力!$AH$5:$AH$300)+SUMIF(⑩盛付梱包工程入力!$W$5:$W$300,$C22,⑩盛付梱包工程入力!$AI$5:$AI$300)+SUMIF(⑪ZEN工程入力!$R$6:$R$35,$C22,⑪ZEN工程入力!$AD$6:$AD$35)+SUMIF(⑪ZEN工程入力!$S$6:$S$35,$C22,⑪ZEN工程入力!$AE$6:$AE$35)+SUMIF(⑪ZEN工程入力!$T$6:$T$35,$C22,⑪ZEN工程入力!$AF$6:$AF$35)+SUMIF(⑪ZEN工程入力!$U$6:$U$35,$C22,⑪ZEN工程入力!$AG$6:$AG$35)+SUMIF(⑪ZEN工程入力!$V$6:$V$35,$C22,⑪ZEN工程入力!$AH$6:$AH$35)+SUMIF(⑪ZEN工程入力!$W$6:$W$35,$C22,⑪ZEN工程入力!$AI$6:$AI$35)+SUMIF(⑫ミキサー工程入力!$R$6:$R$65,$C22,⑫ミキサー工程入力!$AD$6:$AD$65)+SUMIF(⑫ミキサー工程入力!$S$6:$S$65,$C22,⑫ミキサー工程入力!$AE$6:$AE$65)+SUMIF(⑫ミキサー工程入力!$T$6:$T$65,$C22,⑫ミキサー工程入力!$AF$6:$AF$65)+SUMIF(⑫ミキサー工程入力!$U$6:$U$65,$C22,⑫ミキサー工程入力!$AG$6:$AG$65)+SUMIF(⑫ミキサー工程入力!$V$6:$V$65,$C22,⑫ミキサー工程入力!$AH$6:$AH$65)+SUMIF(⑫ミキサー工程入力!$W$6:$W$65,$C22,⑫ミキサー工程入力!$AI$6:$AI$65)+SUMIF(⑬計量工程入力!$R$6:$R$65,$C22,⑬計量工程入力!$AD$6:$AD$65)+SUMIF(⑬計量工程入力!$S$6:$S$65,$C22,⑬計量工程入力!$AE$6:$AE$65)+SUMIF(⑬計量工程入力!$T$6:$T$65,$C22,⑬計量工程入力!$AF$6:$AF$65)+SUMIF(⑬計量工程入力!$U$6:$U$65,$C22,⑬計量工程入力!$AG$6:$AG$65)+SUMIF(⑬計量工程入力!$V$6:$V$65,$C22,⑬計量工程入力!$AH$6:$AH$65)+SUMIF(⑬計量工程入力!$W$6:$W$65,$C22,⑬計量工程入力!$AI$6:$AI$65)+SUMIF(⑭手動工程入力!$R$6:$R$47,$C22,⑭手動工程入力!$AD$6:$AD$47)+SUMIF(⑭手動工程入力!$S$6:$S$47,$C22,⑭手動工程入力!$AE$6:$AE$47)+SUMIF(⑭手動工程入力!$T$6:$T$47,$C22,⑭手動工程入力!$AF$6:$AF$47)+SUMIF(⑭手動工程入力!$U$6:$U$47,$C22,⑭手動工程入力!$AG$6:$AG$47)+SUMIF(⑭手動工程入力!$V$6:$V$47,$C22,⑭手動工程入力!$AH$6:$AH$47)+SUMIF(⑭手動工程入力!$W$6:$W$47,$C22,⑭手動工程入力!$AI$6:$AI$47)</f>
        <v/>
      </c>
      <c r="I22" s="393">
        <f>IF($F22&gt;0,$H22/$F22,"")</f>
        <v/>
      </c>
      <c r="J22" s="605">
        <f>IFERROR(INDEX(商品原価!$B$4:$B$112,MATCH(SUBSTITUTE(SUBSTITUTE(SUBSTITUTE(SUBSTITUTE(SUBSTITUTE(SUBSTITUTE(SUBSTITUTE(SUBSTITUTE(SUBSTITUTE(SUBSTITUTE(ASC($C22),"①","1"),"②","2"),"③","3"),"④","4"),"⑤","5"),"⑥","6"),"⑦","7"),"⑧","8"),"⑨","9")," ",""),商品原価!$C$4:$C$112,0)),"")</f>
        <v/>
      </c>
      <c r="K22" s="542">
        <f>IF(ISNUMBER($J22),$J22*④前提設定!$B$21,"")</f>
        <v/>
      </c>
      <c r="L22" s="605">
        <f>IF(AND(NOT(ISNUMBER($J22)),NOT(ISNUMBER($K22))),"",N($J22)+N($K22))</f>
        <v/>
      </c>
      <c r="M22" s="605">
        <f>IFERROR(INDEX(商品原価!$E$4:$E$112,MATCH(SUBSTITUTE(SUBSTITUTE(SUBSTITUTE(SUBSTITUTE(SUBSTITUTE(SUBSTITUTE(SUBSTITUTE(SUBSTITUTE(SUBSTITUTE(SUBSTITUTE(ASC($C22),"①","1"),"②","2"),"③","3"),"④","4"),"⑤","5"),"⑥","6"),"⑦","7"),"⑧","8"),"⑨","9")," ",""),商品原価!$C$4:$C$112,0)),"")</f>
        <v/>
      </c>
      <c r="N22" s="605">
        <f>IF(AND(ISNUMBER($M22),ISNUMBER($L22)),$M22-$L22-N($W22),"")</f>
        <v/>
      </c>
      <c r="O22" s="606">
        <f>IF(AND(ISNUMBER($N22),ISNUMBER($M22),$M22&gt;0),$N22/$M22,"")</f>
        <v/>
      </c>
      <c r="P22" s="398">
        <f>COUNTIF(②釜工程入力!$R$5:$R$117,$C22)+COUNTIF(②釜工程入力!$S$5:$S$117,$C22)+COUNTIF(②釜工程入力!$T$5:$T$117,$C22)+COUNTIF(②釜工程入力!$U$5:$U$117,$C22)+COUNTIF(②釜工程入力!$V$5:$V$117,$C22)+COUNTIF(②釜工程入力!$W$5:$W$117,$C22)+COUNTIF(③スチコン工程入力!$R$5:$R$152,$C22)+COUNTIF(③スチコン工程入力!$S$5:$S$152,$C22)+COUNTIF(③スチコン工程入力!$T$5:$T$152,$C22)+COUNTIF(③スチコン工程入力!$U$5:$U$152,$C22)+COUNTIF(③スチコン工程入力!$V$5:$V$152,$C22)+COUNTIF(③スチコン工程入力!$W$5:$W$152,$C22)+COUNTIF(⑩盛付梱包工程入力!$R$5:$R$300,$C22)+COUNTIF(⑩盛付梱包工程入力!$S$5:$S$300,$C22)+COUNTIF(⑩盛付梱包工程入力!$T$5:$T$300,$C22)+COUNTIF(⑩盛付梱包工程入力!$U$5:$U$300,$C22)+COUNTIF(⑩盛付梱包工程入力!$V$5:$V$300,$C22)+COUNTIF(⑩盛付梱包工程入力!$W$5:$W$300,$C22)+COUNTIF(⑪ZEN工程入力!$R$6:$R$35,$C22)+COUNTIF(⑪ZEN工程入力!$S$6:$S$35,$C22)+COUNTIF(⑪ZEN工程入力!$T$6:$T$35,$C22)+COUNTIF(⑪ZEN工程入力!$U$6:$U$35,$C22)+COUNTIF(⑪ZEN工程入力!$V$6:$V$35,$C22)+COUNTIF(⑪ZEN工程入力!$W$6:$W$35,$C22)+COUNTIF(⑫ミキサー工程入力!$R$6:$R$65,$C22)+COUNTIF(⑫ミキサー工程入力!$S$6:$S$65,$C22)+COUNTIF(⑫ミキサー工程入力!$T$6:$T$65,$C22)+COUNTIF(⑫ミキサー工程入力!$U$6:$U$65,$C22)+COUNTIF(⑫ミキサー工程入力!$V$6:$V$65,$C22)+COUNTIF(⑫ミキサー工程入力!$W$6:$W$65,$C22)+COUNTIF(⑬計量工程入力!$R$6:$R$65,$C22)+COUNTIF(⑬計量工程入力!$S$6:$S$65,$C22)+COUNTIF(⑬計量工程入力!$T$6:$T$65,$C22)+COUNTIF(⑬計量工程入力!$U$6:$U$65,$C22)+COUNTIF(⑬計量工程入力!$V$6:$V$65,$C22)+COUNTIF(⑬計量工程入力!$W$6:$W$65,$C22)+COUNTIF(⑭手動工程入力!$R$6:$R$47,$C22)+COUNTIF(⑭手動工程入力!$S$6:$S$47,$C22)+COUNTIF(⑭手動工程入力!$T$6:$T$47,$C22)+COUNTIF(⑭手動工程入力!$U$6:$U$47,$C22)+COUNTIF(⑭手動工程入力!$V$6:$V$47,$C22)+COUNTIF(⑭手動工程入力!$W$6:$W$47,$C22)</f>
        <v/>
      </c>
      <c r="Q22" s="392" t="n"/>
      <c r="R22" s="393" t="n">
        <v>44.19</v>
      </c>
      <c r="S22" s="393" t="n">
        <v>1300</v>
      </c>
      <c r="T22" s="393">
        <f>IF(AND(ISNUMBER($I22),ISNUMBER($R22)),$I22-$R22,"")</f>
        <v/>
      </c>
      <c r="U22" s="393" t="inlineStr">
        <is>
          <t>大人のコーヒーゼリー</t>
        </is>
      </c>
      <c r="V22" s="605">
        <f>IFERROR(INDEX(KIT別作業時間!$D$4:$D$27,MATCH(SUBSTITUTE(SUBSTITUTE(SUBSTITUTE(SUBSTITUTE(SUBSTITUTE(SUBSTITUTE(SUBSTITUTE(SUBSTITUTE(SUBSTITUTE(SUBSTITUTE(ASC($C22),"①","1"),"②","2"),"③","3"),"④","4"),"⑤","5"),"⑥","6"),"⑦","7"),"⑧","8"),"⑨","9")," ",""),KIT別作業時間!$C$4:$C$27,0)),"")</f>
        <v/>
      </c>
      <c r="W22" s="393">
        <f>IF(AND(ISNUMBER($I22),$I22&gt;0),$I22,IF(ISNUMBER($V22),$V22,IF(ISNUMBER($R22),$R22,"")))</f>
        <v/>
      </c>
      <c r="X22" s="393">
        <f>IF(AND(ISNUMBER($I22),$I22&gt;0),"今回の工程実績",IF(ISNUMBER($V22),"KIT作業時間",IF(ISNUMBER($R22),"前回資料","")))</f>
        <v/>
      </c>
      <c r="Y22" s="398" t="n">
        <v>28983</v>
      </c>
      <c r="Z22" s="398">
        <f>IF(AND(ISNUMBER($W22),ISNUMBER($Y22)),$W22*$Y22,"")</f>
        <v/>
      </c>
      <c r="AA22" s="393" t="inlineStr">
        <is>
          <t>大人のコーヒーゼリー５（2商品に等分）</t>
        </is>
      </c>
    </row>
    <row r="23">
      <c r="A23" s="392" t="n">
        <v>19</v>
      </c>
      <c r="B23" s="392" t="n"/>
      <c r="C23" s="392" t="inlineStr">
        <is>
          <t>Ｓひんやり和パフェあんみつ</t>
        </is>
      </c>
      <c r="D23" s="398">
        <f>SUMIF(⑩盛付梱包工程入力!$R$5:$R$300,$C23,⑩盛付梱包工程入力!$AC$5:$AC$300)+SUMIF(⑩盛付梱包工程入力!$S$5:$S$300,$C23,⑩盛付梱包工程入力!$AC$5:$AC$300)+SUMIF(⑩盛付梱包工程入力!$T$5:$T$300,$C23,⑩盛付梱包工程入力!$AC$5:$AC$300)+SUMIF(⑩盛付梱包工程入力!$U$5:$U$300,$C23,⑩盛付梱包工程入力!$AC$5:$AC$300)+SUMIF(⑩盛付梱包工程入力!$V$5:$V$300,$C23,⑩盛付梱包工程入力!$AC$5:$AC$300)+SUMIF(⑩盛付梱包工程入力!$W$5:$W$300,$C23,⑩盛付梱包工程入力!$AC$5:$AC$300)</f>
        <v/>
      </c>
      <c r="E23" s="398" t="n"/>
      <c r="F23" s="398">
        <f>IF(N($E23)&gt;0,$E23,$D23)</f>
        <v/>
      </c>
      <c r="G23" s="398" t="n"/>
      <c r="H23" s="393">
        <f>SUMIF(②釜工程入力!$R$5:$R$117,$C23,②釜工程入力!$AD$5:$AD$117)+SUMIF(②釜工程入力!$S$5:$S$117,$C23,②釜工程入力!$AE$5:$AE$117)+SUMIF(②釜工程入力!$T$5:$T$117,$C23,②釜工程入力!$AF$5:$AF$117)+SUMIF(②釜工程入力!$U$5:$U$117,$C23,②釜工程入力!$AG$5:$AG$117)+SUMIF(②釜工程入力!$V$5:$V$117,$C23,②釜工程入力!$AH$5:$AH$117)+SUMIF(②釜工程入力!$W$5:$W$117,$C23,②釜工程入力!$AI$5:$AI$117)+SUMIF(③スチコン工程入力!$R$5:$R$152,$C23,③スチコン工程入力!$AD$5:$AD$152)+SUMIF(③スチコン工程入力!$S$5:$S$152,$C23,③スチコン工程入力!$AE$5:$AE$152)+SUMIF(③スチコン工程入力!$T$5:$T$152,$C23,③スチコン工程入力!$AF$5:$AF$152)+SUMIF(③スチコン工程入力!$U$5:$U$152,$C23,③スチコン工程入力!$AG$5:$AG$152)+SUMIF(③スチコン工程入力!$V$5:$V$152,$C23,③スチコン工程入力!$AH$5:$AH$152)+SUMIF(③スチコン工程入力!$W$5:$W$152,$C23,③スチコン工程入力!$AI$5:$AI$152)+SUMIF(⑩盛付梱包工程入力!$R$5:$R$300,$C23,⑩盛付梱包工程入力!$AD$5:$AD$300)+SUMIF(⑩盛付梱包工程入力!$S$5:$S$300,$C23,⑩盛付梱包工程入力!$AE$5:$AE$300)+SUMIF(⑩盛付梱包工程入力!$T$5:$T$300,$C23,⑩盛付梱包工程入力!$AF$5:$AF$300)+SUMIF(⑩盛付梱包工程入力!$U$5:$U$300,$C23,⑩盛付梱包工程入力!$AG$5:$AG$300)+SUMIF(⑩盛付梱包工程入力!$V$5:$V$300,$C23,⑩盛付梱包工程入力!$AH$5:$AH$300)+SUMIF(⑩盛付梱包工程入力!$W$5:$W$300,$C23,⑩盛付梱包工程入力!$AI$5:$AI$300)+SUMIF(⑪ZEN工程入力!$R$6:$R$35,$C23,⑪ZEN工程入力!$AD$6:$AD$35)+SUMIF(⑪ZEN工程入力!$S$6:$S$35,$C23,⑪ZEN工程入力!$AE$6:$AE$35)+SUMIF(⑪ZEN工程入力!$T$6:$T$35,$C23,⑪ZEN工程入力!$AF$6:$AF$35)+SUMIF(⑪ZEN工程入力!$U$6:$U$35,$C23,⑪ZEN工程入力!$AG$6:$AG$35)+SUMIF(⑪ZEN工程入力!$V$6:$V$35,$C23,⑪ZEN工程入力!$AH$6:$AH$35)+SUMIF(⑪ZEN工程入力!$W$6:$W$35,$C23,⑪ZEN工程入力!$AI$6:$AI$35)+SUMIF(⑫ミキサー工程入力!$R$6:$R$65,$C23,⑫ミキサー工程入力!$AD$6:$AD$65)+SUMIF(⑫ミキサー工程入力!$S$6:$S$65,$C23,⑫ミキサー工程入力!$AE$6:$AE$65)+SUMIF(⑫ミキサー工程入力!$T$6:$T$65,$C23,⑫ミキサー工程入力!$AF$6:$AF$65)+SUMIF(⑫ミキサー工程入力!$U$6:$U$65,$C23,⑫ミキサー工程入力!$AG$6:$AG$65)+SUMIF(⑫ミキサー工程入力!$V$6:$V$65,$C23,⑫ミキサー工程入力!$AH$6:$AH$65)+SUMIF(⑫ミキサー工程入力!$W$6:$W$65,$C23,⑫ミキサー工程入力!$AI$6:$AI$65)+SUMIF(⑬計量工程入力!$R$6:$R$65,$C23,⑬計量工程入力!$AD$6:$AD$65)+SUMIF(⑬計量工程入力!$S$6:$S$65,$C23,⑬計量工程入力!$AE$6:$AE$65)+SUMIF(⑬計量工程入力!$T$6:$T$65,$C23,⑬計量工程入力!$AF$6:$AF$65)+SUMIF(⑬計量工程入力!$U$6:$U$65,$C23,⑬計量工程入力!$AG$6:$AG$65)+SUMIF(⑬計量工程入力!$V$6:$V$65,$C23,⑬計量工程入力!$AH$6:$AH$65)+SUMIF(⑬計量工程入力!$W$6:$W$65,$C23,⑬計量工程入力!$AI$6:$AI$65)+SUMIF(⑭手動工程入力!$R$6:$R$47,$C23,⑭手動工程入力!$AD$6:$AD$47)+SUMIF(⑭手動工程入力!$S$6:$S$47,$C23,⑭手動工程入力!$AE$6:$AE$47)+SUMIF(⑭手動工程入力!$T$6:$T$47,$C23,⑭手動工程入力!$AF$6:$AF$47)+SUMIF(⑭手動工程入力!$U$6:$U$47,$C23,⑭手動工程入力!$AG$6:$AG$47)+SUMIF(⑭手動工程入力!$V$6:$V$47,$C23,⑭手動工程入力!$AH$6:$AH$47)+SUMIF(⑭手動工程入力!$W$6:$W$47,$C23,⑭手動工程入力!$AI$6:$AI$47)</f>
        <v/>
      </c>
      <c r="I23" s="393">
        <f>IF($F23&gt;0,$H23/$F23,"")</f>
        <v/>
      </c>
      <c r="J23" s="605">
        <f>IFERROR(INDEX(商品原価!$B$4:$B$112,MATCH(SUBSTITUTE(SUBSTITUTE(SUBSTITUTE(SUBSTITUTE(SUBSTITUTE(SUBSTITUTE(SUBSTITUTE(SUBSTITUTE(SUBSTITUTE(SUBSTITUTE(ASC($C23),"①","1"),"②","2"),"③","3"),"④","4"),"⑤","5"),"⑥","6"),"⑦","7"),"⑧","8"),"⑨","9")," ",""),商品原価!$C$4:$C$112,0)),"")</f>
        <v/>
      </c>
      <c r="K23" s="542">
        <f>IF(ISNUMBER($J23),$J23*④前提設定!$B$21,"")</f>
        <v/>
      </c>
      <c r="L23" s="605">
        <f>IF(AND(NOT(ISNUMBER($J23)),NOT(ISNUMBER($K23))),"",N($J23)+N($K23))</f>
        <v/>
      </c>
      <c r="M23" s="605">
        <f>IFERROR(INDEX(商品原価!$E$4:$E$112,MATCH(SUBSTITUTE(SUBSTITUTE(SUBSTITUTE(SUBSTITUTE(SUBSTITUTE(SUBSTITUTE(SUBSTITUTE(SUBSTITUTE(SUBSTITUTE(SUBSTITUTE(ASC($C23),"①","1"),"②","2"),"③","3"),"④","4"),"⑤","5"),"⑥","6"),"⑦","7"),"⑧","8"),"⑨","9")," ",""),商品原価!$C$4:$C$112,0)),"")</f>
        <v/>
      </c>
      <c r="N23" s="605">
        <f>IF(AND(ISNUMBER($M23),ISNUMBER($L23)),$M23-$L23-N($W23),"")</f>
        <v/>
      </c>
      <c r="O23" s="606">
        <f>IF(AND(ISNUMBER($N23),ISNUMBER($M23),$M23&gt;0),$N23/$M23,"")</f>
        <v/>
      </c>
      <c r="P23" s="398">
        <f>COUNTIF(②釜工程入力!$R$5:$R$117,$C23)+COUNTIF(②釜工程入力!$S$5:$S$117,$C23)+COUNTIF(②釜工程入力!$T$5:$T$117,$C23)+COUNTIF(②釜工程入力!$U$5:$U$117,$C23)+COUNTIF(②釜工程入力!$V$5:$V$117,$C23)+COUNTIF(②釜工程入力!$W$5:$W$117,$C23)+COUNTIF(③スチコン工程入力!$R$5:$R$152,$C23)+COUNTIF(③スチコン工程入力!$S$5:$S$152,$C23)+COUNTIF(③スチコン工程入力!$T$5:$T$152,$C23)+COUNTIF(③スチコン工程入力!$U$5:$U$152,$C23)+COUNTIF(③スチコン工程入力!$V$5:$V$152,$C23)+COUNTIF(③スチコン工程入力!$W$5:$W$152,$C23)+COUNTIF(⑩盛付梱包工程入力!$R$5:$R$300,$C23)+COUNTIF(⑩盛付梱包工程入力!$S$5:$S$300,$C23)+COUNTIF(⑩盛付梱包工程入力!$T$5:$T$300,$C23)+COUNTIF(⑩盛付梱包工程入力!$U$5:$U$300,$C23)+COUNTIF(⑩盛付梱包工程入力!$V$5:$V$300,$C23)+COUNTIF(⑩盛付梱包工程入力!$W$5:$W$300,$C23)+COUNTIF(⑪ZEN工程入力!$R$6:$R$35,$C23)+COUNTIF(⑪ZEN工程入力!$S$6:$S$35,$C23)+COUNTIF(⑪ZEN工程入力!$T$6:$T$35,$C23)+COUNTIF(⑪ZEN工程入力!$U$6:$U$35,$C23)+COUNTIF(⑪ZEN工程入力!$V$6:$V$35,$C23)+COUNTIF(⑪ZEN工程入力!$W$6:$W$35,$C23)+COUNTIF(⑫ミキサー工程入力!$R$6:$R$65,$C23)+COUNTIF(⑫ミキサー工程入力!$S$6:$S$65,$C23)+COUNTIF(⑫ミキサー工程入力!$T$6:$T$65,$C23)+COUNTIF(⑫ミキサー工程入力!$U$6:$U$65,$C23)+COUNTIF(⑫ミキサー工程入力!$V$6:$V$65,$C23)+COUNTIF(⑫ミキサー工程入力!$W$6:$W$65,$C23)+COUNTIF(⑬計量工程入力!$R$6:$R$65,$C23)+COUNTIF(⑬計量工程入力!$S$6:$S$65,$C23)+COUNTIF(⑬計量工程入力!$T$6:$T$65,$C23)+COUNTIF(⑬計量工程入力!$U$6:$U$65,$C23)+COUNTIF(⑬計量工程入力!$V$6:$V$65,$C23)+COUNTIF(⑬計量工程入力!$W$6:$W$65,$C23)+COUNTIF(⑭手動工程入力!$R$6:$R$47,$C23)+COUNTIF(⑭手動工程入力!$S$6:$S$47,$C23)+COUNTIF(⑭手動工程入力!$T$6:$T$47,$C23)+COUNTIF(⑭手動工程入力!$U$6:$U$47,$C23)+COUNTIF(⑭手動工程入力!$V$6:$V$47,$C23)+COUNTIF(⑭手動工程入力!$W$6:$W$47,$C23)</f>
        <v/>
      </c>
      <c r="Q23" s="392" t="n"/>
      <c r="R23" s="393" t="n"/>
      <c r="S23" s="393" t="n"/>
      <c r="T23" s="393" t="n"/>
      <c r="U23" s="393" t="n"/>
      <c r="V23" s="605">
        <f>IFERROR(INDEX(KIT別作業時間!$D$4:$D$27,MATCH(SUBSTITUTE(SUBSTITUTE(SUBSTITUTE(SUBSTITUTE(SUBSTITUTE(SUBSTITUTE(SUBSTITUTE(SUBSTITUTE(SUBSTITUTE(SUBSTITUTE(ASC($C23),"①","1"),"②","2"),"③","3"),"④","4"),"⑤","5"),"⑥","6"),"⑦","7"),"⑧","8"),"⑨","9")," ",""),KIT別作業時間!$C$4:$C$27,0)),"")</f>
        <v/>
      </c>
      <c r="W23" s="393">
        <f>IF(AND(ISNUMBER($I23),$I23&gt;0),$I23,IF(ISNUMBER($V23),$V23,IF(ISNUMBER($R23),$R23,"")))</f>
        <v/>
      </c>
      <c r="X23" s="393">
        <f>IF(AND(ISNUMBER($I23),$I23&gt;0),"今回の工程実績",IF(ISNUMBER($V23),"KIT作業時間",IF(ISNUMBER($R23),"前回資料","")))</f>
        <v/>
      </c>
      <c r="Y23" s="398" t="n">
        <v>20831</v>
      </c>
      <c r="Z23" s="398">
        <f>IF(AND(ISNUMBER($W23),ISNUMBER($Y23)),$W23*$Y23,"")</f>
        <v/>
      </c>
      <c r="AA23" s="393" t="n"/>
    </row>
    <row r="24">
      <c r="A24" s="392" t="n">
        <v>20</v>
      </c>
      <c r="B24" s="392" t="n"/>
      <c r="C24" s="392" t="inlineStr">
        <is>
          <t>国産とり天キット</t>
        </is>
      </c>
      <c r="D24" s="398">
        <f>SUMIF(⑩盛付梱包工程入力!$R$5:$R$300,$C24,⑩盛付梱包工程入力!$AC$5:$AC$300)+SUMIF(⑩盛付梱包工程入力!$S$5:$S$300,$C24,⑩盛付梱包工程入力!$AC$5:$AC$300)+SUMIF(⑩盛付梱包工程入力!$T$5:$T$300,$C24,⑩盛付梱包工程入力!$AC$5:$AC$300)+SUMIF(⑩盛付梱包工程入力!$U$5:$U$300,$C24,⑩盛付梱包工程入力!$AC$5:$AC$300)+SUMIF(⑩盛付梱包工程入力!$V$5:$V$300,$C24,⑩盛付梱包工程入力!$AC$5:$AC$300)+SUMIF(⑩盛付梱包工程入力!$W$5:$W$300,$C24,⑩盛付梱包工程入力!$AC$5:$AC$300)</f>
        <v/>
      </c>
      <c r="E24" s="398" t="n">
        <v>194</v>
      </c>
      <c r="F24" s="398">
        <f>IF(N($E24)&gt;0,$E24,$D24)</f>
        <v/>
      </c>
      <c r="G24" s="393" t="n">
        <v>147.3879196840026</v>
      </c>
      <c r="H24" s="393">
        <f>SUMIF(②釜工程入力!$R$5:$R$117,$C24,②釜工程入力!$AD$5:$AD$117)+SUMIF(②釜工程入力!$S$5:$S$117,$C24,②釜工程入力!$AE$5:$AE$117)+SUMIF(②釜工程入力!$T$5:$T$117,$C24,②釜工程入力!$AF$5:$AF$117)+SUMIF(②釜工程入力!$U$5:$U$117,$C24,②釜工程入力!$AG$5:$AG$117)+SUMIF(②釜工程入力!$V$5:$V$117,$C24,②釜工程入力!$AH$5:$AH$117)+SUMIF(②釜工程入力!$W$5:$W$117,$C24,②釜工程入力!$AI$5:$AI$117)+SUMIF(③スチコン工程入力!$R$5:$R$152,$C24,③スチコン工程入力!$AD$5:$AD$152)+SUMIF(③スチコン工程入力!$S$5:$S$152,$C24,③スチコン工程入力!$AE$5:$AE$152)+SUMIF(③スチコン工程入力!$T$5:$T$152,$C24,③スチコン工程入力!$AF$5:$AF$152)+SUMIF(③スチコン工程入力!$U$5:$U$152,$C24,③スチコン工程入力!$AG$5:$AG$152)+SUMIF(③スチコン工程入力!$V$5:$V$152,$C24,③スチコン工程入力!$AH$5:$AH$152)+SUMIF(③スチコン工程入力!$W$5:$W$152,$C24,③スチコン工程入力!$AI$5:$AI$152)+SUMIF(⑩盛付梱包工程入力!$R$5:$R$300,$C24,⑩盛付梱包工程入力!$AD$5:$AD$300)+SUMIF(⑩盛付梱包工程入力!$S$5:$S$300,$C24,⑩盛付梱包工程入力!$AE$5:$AE$300)+SUMIF(⑩盛付梱包工程入力!$T$5:$T$300,$C24,⑩盛付梱包工程入力!$AF$5:$AF$300)+SUMIF(⑩盛付梱包工程入力!$U$5:$U$300,$C24,⑩盛付梱包工程入力!$AG$5:$AG$300)+SUMIF(⑩盛付梱包工程入力!$V$5:$V$300,$C24,⑩盛付梱包工程入力!$AH$5:$AH$300)+SUMIF(⑩盛付梱包工程入力!$W$5:$W$300,$C24,⑩盛付梱包工程入力!$AI$5:$AI$300)+SUMIF(⑪ZEN工程入力!$R$6:$R$35,$C24,⑪ZEN工程入力!$AD$6:$AD$35)+SUMIF(⑪ZEN工程入力!$S$6:$S$35,$C24,⑪ZEN工程入力!$AE$6:$AE$35)+SUMIF(⑪ZEN工程入力!$T$6:$T$35,$C24,⑪ZEN工程入力!$AF$6:$AF$35)+SUMIF(⑪ZEN工程入力!$U$6:$U$35,$C24,⑪ZEN工程入力!$AG$6:$AG$35)+SUMIF(⑪ZEN工程入力!$V$6:$V$35,$C24,⑪ZEN工程入力!$AH$6:$AH$35)+SUMIF(⑪ZEN工程入力!$W$6:$W$35,$C24,⑪ZEN工程入力!$AI$6:$AI$35)+SUMIF(⑫ミキサー工程入力!$R$6:$R$65,$C24,⑫ミキサー工程入力!$AD$6:$AD$65)+SUMIF(⑫ミキサー工程入力!$S$6:$S$65,$C24,⑫ミキサー工程入力!$AE$6:$AE$65)+SUMIF(⑫ミキサー工程入力!$T$6:$T$65,$C24,⑫ミキサー工程入力!$AF$6:$AF$65)+SUMIF(⑫ミキサー工程入力!$U$6:$U$65,$C24,⑫ミキサー工程入力!$AG$6:$AG$65)+SUMIF(⑫ミキサー工程入力!$V$6:$V$65,$C24,⑫ミキサー工程入力!$AH$6:$AH$65)+SUMIF(⑫ミキサー工程入力!$W$6:$W$65,$C24,⑫ミキサー工程入力!$AI$6:$AI$65)+SUMIF(⑬計量工程入力!$R$6:$R$65,$C24,⑬計量工程入力!$AD$6:$AD$65)+SUMIF(⑬計量工程入力!$S$6:$S$65,$C24,⑬計量工程入力!$AE$6:$AE$65)+SUMIF(⑬計量工程入力!$T$6:$T$65,$C24,⑬計量工程入力!$AF$6:$AF$65)+SUMIF(⑬計量工程入力!$U$6:$U$65,$C24,⑬計量工程入力!$AG$6:$AG$65)+SUMIF(⑬計量工程入力!$V$6:$V$65,$C24,⑬計量工程入力!$AH$6:$AH$65)+SUMIF(⑬計量工程入力!$W$6:$W$65,$C24,⑬計量工程入力!$AI$6:$AI$65)+SUMIF(⑭手動工程入力!$R$6:$R$47,$C24,⑭手動工程入力!$AD$6:$AD$47)+SUMIF(⑭手動工程入力!$S$6:$S$47,$C24,⑭手動工程入力!$AE$6:$AE$47)+SUMIF(⑭手動工程入力!$T$6:$T$47,$C24,⑭手動工程入力!$AF$6:$AF$47)+SUMIF(⑭手動工程入力!$U$6:$U$47,$C24,⑭手動工程入力!$AG$6:$AG$47)+SUMIF(⑭手動工程入力!$V$6:$V$47,$C24,⑭手動工程入力!$AH$6:$AH$47)+SUMIF(⑭手動工程入力!$W$6:$W$47,$C24,⑭手動工程入力!$AI$6:$AI$47)</f>
        <v/>
      </c>
      <c r="I24" s="393">
        <f>IF($F24&gt;0,$H24/$F24,"")</f>
        <v/>
      </c>
      <c r="J24" s="605">
        <f>IFERROR(INDEX(商品原価!$B$4:$B$112,MATCH(SUBSTITUTE(SUBSTITUTE(SUBSTITUTE(SUBSTITUTE(SUBSTITUTE(SUBSTITUTE(SUBSTITUTE(SUBSTITUTE(SUBSTITUTE(SUBSTITUTE(ASC($C24),"①","1"),"②","2"),"③","3"),"④","4"),"⑤","5"),"⑥","6"),"⑦","7"),"⑧","8"),"⑨","9")," ",""),商品原価!$C$4:$C$112,0)),"")</f>
        <v/>
      </c>
      <c r="K24" s="542">
        <f>IF(ISNUMBER($J24),$J24*④前提設定!$B$21,"")</f>
        <v/>
      </c>
      <c r="L24" s="605">
        <f>IF(AND(NOT(ISNUMBER($J24)),NOT(ISNUMBER($K24))),"",N($J24)+N($K24))</f>
        <v/>
      </c>
      <c r="M24" s="605">
        <f>IFERROR(INDEX(商品原価!$E$4:$E$112,MATCH(SUBSTITUTE(SUBSTITUTE(SUBSTITUTE(SUBSTITUTE(SUBSTITUTE(SUBSTITUTE(SUBSTITUTE(SUBSTITUTE(SUBSTITUTE(SUBSTITUTE(ASC($C24),"①","1"),"②","2"),"③","3"),"④","4"),"⑤","5"),"⑥","6"),"⑦","7"),"⑧","8"),"⑨","9")," ",""),商品原価!$C$4:$C$112,0)),"")</f>
        <v/>
      </c>
      <c r="N24" s="605">
        <f>IF(AND(ISNUMBER($M24),ISNUMBER($L24)),$M24-$L24-N($W24),"")</f>
        <v/>
      </c>
      <c r="O24" s="606">
        <f>IF(AND(ISNUMBER($N24),ISNUMBER($M24),$M24&gt;0),$N24/$M24,"")</f>
        <v/>
      </c>
      <c r="P24" s="398">
        <f>COUNTIF(②釜工程入力!$R$5:$R$117,$C24)+COUNTIF(②釜工程入力!$S$5:$S$117,$C24)+COUNTIF(②釜工程入力!$T$5:$T$117,$C24)+COUNTIF(②釜工程入力!$U$5:$U$117,$C24)+COUNTIF(②釜工程入力!$V$5:$V$117,$C24)+COUNTIF(②釜工程入力!$W$5:$W$117,$C24)+COUNTIF(③スチコン工程入力!$R$5:$R$152,$C24)+COUNTIF(③スチコン工程入力!$S$5:$S$152,$C24)+COUNTIF(③スチコン工程入力!$T$5:$T$152,$C24)+COUNTIF(③スチコン工程入力!$U$5:$U$152,$C24)+COUNTIF(③スチコン工程入力!$V$5:$V$152,$C24)+COUNTIF(③スチコン工程入力!$W$5:$W$152,$C24)+COUNTIF(⑩盛付梱包工程入力!$R$5:$R$300,$C24)+COUNTIF(⑩盛付梱包工程入力!$S$5:$S$300,$C24)+COUNTIF(⑩盛付梱包工程入力!$T$5:$T$300,$C24)+COUNTIF(⑩盛付梱包工程入力!$U$5:$U$300,$C24)+COUNTIF(⑩盛付梱包工程入力!$V$5:$V$300,$C24)+COUNTIF(⑩盛付梱包工程入力!$W$5:$W$300,$C24)+COUNTIF(⑪ZEN工程入力!$R$6:$R$35,$C24)+COUNTIF(⑪ZEN工程入力!$S$6:$S$35,$C24)+COUNTIF(⑪ZEN工程入力!$T$6:$T$35,$C24)+COUNTIF(⑪ZEN工程入力!$U$6:$U$35,$C24)+COUNTIF(⑪ZEN工程入力!$V$6:$V$35,$C24)+COUNTIF(⑪ZEN工程入力!$W$6:$W$35,$C24)+COUNTIF(⑫ミキサー工程入力!$R$6:$R$65,$C24)+COUNTIF(⑫ミキサー工程入力!$S$6:$S$65,$C24)+COUNTIF(⑫ミキサー工程入力!$T$6:$T$65,$C24)+COUNTIF(⑫ミキサー工程入力!$U$6:$U$65,$C24)+COUNTIF(⑫ミキサー工程入力!$V$6:$V$65,$C24)+COUNTIF(⑫ミキサー工程入力!$W$6:$W$65,$C24)+COUNTIF(⑬計量工程入力!$R$6:$R$65,$C24)+COUNTIF(⑬計量工程入力!$S$6:$S$65,$C24)+COUNTIF(⑬計量工程入力!$T$6:$T$65,$C24)+COUNTIF(⑬計量工程入力!$U$6:$U$65,$C24)+COUNTIF(⑬計量工程入力!$V$6:$V$65,$C24)+COUNTIF(⑬計量工程入力!$W$6:$W$65,$C24)+COUNTIF(⑭手動工程入力!$R$6:$R$47,$C24)+COUNTIF(⑭手動工程入力!$S$6:$S$47,$C24)+COUNTIF(⑭手動工程入力!$T$6:$T$47,$C24)+COUNTIF(⑭手動工程入力!$U$6:$U$47,$C24)+COUNTIF(⑭手動工程入力!$V$6:$V$47,$C24)+COUNTIF(⑭手動工程入力!$W$6:$W$47,$C24)</f>
        <v/>
      </c>
      <c r="Q24" s="392" t="inlineStr">
        <is>
          <t>⑩盛付梱包 38行目に入力欄を作成（工程記録なし）</t>
        </is>
      </c>
      <c r="R24" s="393" t="n"/>
      <c r="S24" s="393" t="n"/>
      <c r="T24" s="393" t="n"/>
      <c r="U24" s="393" t="n"/>
      <c r="V24" s="605">
        <f>IFERROR(INDEX(KIT別作業時間!$D$4:$D$27,MATCH(SUBSTITUTE(SUBSTITUTE(SUBSTITUTE(SUBSTITUTE(SUBSTITUTE(SUBSTITUTE(SUBSTITUTE(SUBSTITUTE(SUBSTITUTE(SUBSTITUTE(ASC($C24),"①","1"),"②","2"),"③","3"),"④","4"),"⑤","5"),"⑥","6"),"⑦","7"),"⑧","8"),"⑨","9")," ",""),KIT別作業時間!$C$4:$C$27,0)),"")</f>
        <v/>
      </c>
      <c r="W24" s="393">
        <f>IF(AND(ISNUMBER($I24),$I24&gt;0),$I24,IF(ISNUMBER($V24),$V24,IF(ISNUMBER($R24),$R24,"")))</f>
        <v/>
      </c>
      <c r="X24" s="393">
        <f>IF(AND(ISNUMBER($I24),$I24&gt;0),"今回の工程実績",IF(ISNUMBER($V24),"KIT作業時間",IF(ISNUMBER($R24),"前回資料","")))</f>
        <v/>
      </c>
      <c r="Y24" s="398" t="n">
        <v>5228</v>
      </c>
      <c r="Z24" s="398">
        <f>IF(AND(ISNUMBER($W24),ISNUMBER($Y24)),$W24*$Y24,"")</f>
        <v/>
      </c>
      <c r="AA24" s="393" t="n"/>
    </row>
    <row r="25">
      <c r="A25" s="392" t="n">
        <v>21</v>
      </c>
      <c r="B25" s="392" t="n"/>
      <c r="C25" s="392" t="inlineStr">
        <is>
          <t>メロン塩パン２個入</t>
        </is>
      </c>
      <c r="D25" s="398">
        <f>SUMIF(⑩盛付梱包工程入力!$R$5:$R$300,$C25,⑩盛付梱包工程入力!$AC$5:$AC$300)+SUMIF(⑩盛付梱包工程入力!$S$5:$S$300,$C25,⑩盛付梱包工程入力!$AC$5:$AC$300)+SUMIF(⑩盛付梱包工程入力!$T$5:$T$300,$C25,⑩盛付梱包工程入力!$AC$5:$AC$300)+SUMIF(⑩盛付梱包工程入力!$U$5:$U$300,$C25,⑩盛付梱包工程入力!$AC$5:$AC$300)+SUMIF(⑩盛付梱包工程入力!$V$5:$V$300,$C25,⑩盛付梱包工程入力!$AC$5:$AC$300)+SUMIF(⑩盛付梱包工程入力!$W$5:$W$300,$C25,⑩盛付梱包工程入力!$AC$5:$AC$300)</f>
        <v/>
      </c>
      <c r="E25" s="398" t="n">
        <v>620</v>
      </c>
      <c r="F25" s="398">
        <f>IF(N($E25)&gt;0,$E25,$D25)</f>
        <v/>
      </c>
      <c r="G25" s="393" t="n">
        <v>56.76145603360077</v>
      </c>
      <c r="H25" s="393">
        <f>SUMIF(②釜工程入力!$R$5:$R$117,$C25,②釜工程入力!$AD$5:$AD$117)+SUMIF(②釜工程入力!$S$5:$S$117,$C25,②釜工程入力!$AE$5:$AE$117)+SUMIF(②釜工程入力!$T$5:$T$117,$C25,②釜工程入力!$AF$5:$AF$117)+SUMIF(②釜工程入力!$U$5:$U$117,$C25,②釜工程入力!$AG$5:$AG$117)+SUMIF(②釜工程入力!$V$5:$V$117,$C25,②釜工程入力!$AH$5:$AH$117)+SUMIF(②釜工程入力!$W$5:$W$117,$C25,②釜工程入力!$AI$5:$AI$117)+SUMIF(③スチコン工程入力!$R$5:$R$152,$C25,③スチコン工程入力!$AD$5:$AD$152)+SUMIF(③スチコン工程入力!$S$5:$S$152,$C25,③スチコン工程入力!$AE$5:$AE$152)+SUMIF(③スチコン工程入力!$T$5:$T$152,$C25,③スチコン工程入力!$AF$5:$AF$152)+SUMIF(③スチコン工程入力!$U$5:$U$152,$C25,③スチコン工程入力!$AG$5:$AG$152)+SUMIF(③スチコン工程入力!$V$5:$V$152,$C25,③スチコン工程入力!$AH$5:$AH$152)+SUMIF(③スチコン工程入力!$W$5:$W$152,$C25,③スチコン工程入力!$AI$5:$AI$152)+SUMIF(⑩盛付梱包工程入力!$R$5:$R$300,$C25,⑩盛付梱包工程入力!$AD$5:$AD$300)+SUMIF(⑩盛付梱包工程入力!$S$5:$S$300,$C25,⑩盛付梱包工程入力!$AE$5:$AE$300)+SUMIF(⑩盛付梱包工程入力!$T$5:$T$300,$C25,⑩盛付梱包工程入力!$AF$5:$AF$300)+SUMIF(⑩盛付梱包工程入力!$U$5:$U$300,$C25,⑩盛付梱包工程入力!$AG$5:$AG$300)+SUMIF(⑩盛付梱包工程入力!$V$5:$V$300,$C25,⑩盛付梱包工程入力!$AH$5:$AH$300)+SUMIF(⑩盛付梱包工程入力!$W$5:$W$300,$C25,⑩盛付梱包工程入力!$AI$5:$AI$300)+SUMIF(⑪ZEN工程入力!$R$6:$R$35,$C25,⑪ZEN工程入力!$AD$6:$AD$35)+SUMIF(⑪ZEN工程入力!$S$6:$S$35,$C25,⑪ZEN工程入力!$AE$6:$AE$35)+SUMIF(⑪ZEN工程入力!$T$6:$T$35,$C25,⑪ZEN工程入力!$AF$6:$AF$35)+SUMIF(⑪ZEN工程入力!$U$6:$U$35,$C25,⑪ZEN工程入力!$AG$6:$AG$35)+SUMIF(⑪ZEN工程入力!$V$6:$V$35,$C25,⑪ZEN工程入力!$AH$6:$AH$35)+SUMIF(⑪ZEN工程入力!$W$6:$W$35,$C25,⑪ZEN工程入力!$AI$6:$AI$35)+SUMIF(⑫ミキサー工程入力!$R$6:$R$65,$C25,⑫ミキサー工程入力!$AD$6:$AD$65)+SUMIF(⑫ミキサー工程入力!$S$6:$S$65,$C25,⑫ミキサー工程入力!$AE$6:$AE$65)+SUMIF(⑫ミキサー工程入力!$T$6:$T$65,$C25,⑫ミキサー工程入力!$AF$6:$AF$65)+SUMIF(⑫ミキサー工程入力!$U$6:$U$65,$C25,⑫ミキサー工程入力!$AG$6:$AG$65)+SUMIF(⑫ミキサー工程入力!$V$6:$V$65,$C25,⑫ミキサー工程入力!$AH$6:$AH$65)+SUMIF(⑫ミキサー工程入力!$W$6:$W$65,$C25,⑫ミキサー工程入力!$AI$6:$AI$65)+SUMIF(⑬計量工程入力!$R$6:$R$65,$C25,⑬計量工程入力!$AD$6:$AD$65)+SUMIF(⑬計量工程入力!$S$6:$S$65,$C25,⑬計量工程入力!$AE$6:$AE$65)+SUMIF(⑬計量工程入力!$T$6:$T$65,$C25,⑬計量工程入力!$AF$6:$AF$65)+SUMIF(⑬計量工程入力!$U$6:$U$65,$C25,⑬計量工程入力!$AG$6:$AG$65)+SUMIF(⑬計量工程入力!$V$6:$V$65,$C25,⑬計量工程入力!$AH$6:$AH$65)+SUMIF(⑬計量工程入力!$W$6:$W$65,$C25,⑬計量工程入力!$AI$6:$AI$65)+SUMIF(⑭手動工程入力!$R$6:$R$47,$C25,⑭手動工程入力!$AD$6:$AD$47)+SUMIF(⑭手動工程入力!$S$6:$S$47,$C25,⑭手動工程入力!$AE$6:$AE$47)+SUMIF(⑭手動工程入力!$T$6:$T$47,$C25,⑭手動工程入力!$AF$6:$AF$47)+SUMIF(⑭手動工程入力!$U$6:$U$47,$C25,⑭手動工程入力!$AG$6:$AG$47)+SUMIF(⑭手動工程入力!$V$6:$V$47,$C25,⑭手動工程入力!$AH$6:$AH$47)+SUMIF(⑭手動工程入力!$W$6:$W$47,$C25,⑭手動工程入力!$AI$6:$AI$47)</f>
        <v/>
      </c>
      <c r="I25" s="393">
        <f>IF($F25&gt;0,$H25/$F25,"")</f>
        <v/>
      </c>
      <c r="J25" s="605">
        <f>IFERROR(INDEX(商品原価!$B$4:$B$112,MATCH(SUBSTITUTE(SUBSTITUTE(SUBSTITUTE(SUBSTITUTE(SUBSTITUTE(SUBSTITUTE(SUBSTITUTE(SUBSTITUTE(SUBSTITUTE(SUBSTITUTE(ASC($C25),"①","1"),"②","2"),"③","3"),"④","4"),"⑤","5"),"⑥","6"),"⑦","7"),"⑧","8"),"⑨","9")," ",""),商品原価!$C$4:$C$112,0)),"")</f>
        <v/>
      </c>
      <c r="K25" s="542">
        <f>IF(ISNUMBER($J25),$J25*④前提設定!$B$21,"")</f>
        <v/>
      </c>
      <c r="L25" s="605">
        <f>IF(AND(NOT(ISNUMBER($J25)),NOT(ISNUMBER($K25))),"",N($J25)+N($K25))</f>
        <v/>
      </c>
      <c r="M25" s="605">
        <f>IFERROR(INDEX(商品原価!$E$4:$E$112,MATCH(SUBSTITUTE(SUBSTITUTE(SUBSTITUTE(SUBSTITUTE(SUBSTITUTE(SUBSTITUTE(SUBSTITUTE(SUBSTITUTE(SUBSTITUTE(SUBSTITUTE(ASC($C25),"①","1"),"②","2"),"③","3"),"④","4"),"⑤","5"),"⑥","6"),"⑦","7"),"⑧","8"),"⑨","9")," ",""),商品原価!$C$4:$C$112,0)),"")</f>
        <v/>
      </c>
      <c r="N25" s="605">
        <f>IF(AND(ISNUMBER($M25),ISNUMBER($L25)),$M25-$L25-N($W25),"")</f>
        <v/>
      </c>
      <c r="O25" s="606">
        <f>IF(AND(ISNUMBER($N25),ISNUMBER($M25),$M25&gt;0),$N25/$M25,"")</f>
        <v/>
      </c>
      <c r="P25" s="398">
        <f>COUNTIF(②釜工程入力!$R$5:$R$117,$C25)+COUNTIF(②釜工程入力!$S$5:$S$117,$C25)+COUNTIF(②釜工程入力!$T$5:$T$117,$C25)+COUNTIF(②釜工程入力!$U$5:$U$117,$C25)+COUNTIF(②釜工程入力!$V$5:$V$117,$C25)+COUNTIF(②釜工程入力!$W$5:$W$117,$C25)+COUNTIF(③スチコン工程入力!$R$5:$R$152,$C25)+COUNTIF(③スチコン工程入力!$S$5:$S$152,$C25)+COUNTIF(③スチコン工程入力!$T$5:$T$152,$C25)+COUNTIF(③スチコン工程入力!$U$5:$U$152,$C25)+COUNTIF(③スチコン工程入力!$V$5:$V$152,$C25)+COUNTIF(③スチコン工程入力!$W$5:$W$152,$C25)+COUNTIF(⑩盛付梱包工程入力!$R$5:$R$300,$C25)+COUNTIF(⑩盛付梱包工程入力!$S$5:$S$300,$C25)+COUNTIF(⑩盛付梱包工程入力!$T$5:$T$300,$C25)+COUNTIF(⑩盛付梱包工程入力!$U$5:$U$300,$C25)+COUNTIF(⑩盛付梱包工程入力!$V$5:$V$300,$C25)+COUNTIF(⑩盛付梱包工程入力!$W$5:$W$300,$C25)+COUNTIF(⑪ZEN工程入力!$R$6:$R$35,$C25)+COUNTIF(⑪ZEN工程入力!$S$6:$S$35,$C25)+COUNTIF(⑪ZEN工程入力!$T$6:$T$35,$C25)+COUNTIF(⑪ZEN工程入力!$U$6:$U$35,$C25)+COUNTIF(⑪ZEN工程入力!$V$6:$V$35,$C25)+COUNTIF(⑪ZEN工程入力!$W$6:$W$35,$C25)+COUNTIF(⑫ミキサー工程入力!$R$6:$R$65,$C25)+COUNTIF(⑫ミキサー工程入力!$S$6:$S$65,$C25)+COUNTIF(⑫ミキサー工程入力!$T$6:$T$65,$C25)+COUNTIF(⑫ミキサー工程入力!$U$6:$U$65,$C25)+COUNTIF(⑫ミキサー工程入力!$V$6:$V$65,$C25)+COUNTIF(⑫ミキサー工程入力!$W$6:$W$65,$C25)+COUNTIF(⑬計量工程入力!$R$6:$R$65,$C25)+COUNTIF(⑬計量工程入力!$S$6:$S$65,$C25)+COUNTIF(⑬計量工程入力!$T$6:$T$65,$C25)+COUNTIF(⑬計量工程入力!$U$6:$U$65,$C25)+COUNTIF(⑬計量工程入力!$V$6:$V$65,$C25)+COUNTIF(⑬計量工程入力!$W$6:$W$65,$C25)+COUNTIF(⑭手動工程入力!$R$6:$R$47,$C25)+COUNTIF(⑭手動工程入力!$S$6:$S$47,$C25)+COUNTIF(⑭手動工程入力!$T$6:$T$47,$C25)+COUNTIF(⑭手動工程入力!$U$6:$U$47,$C25)+COUNTIF(⑭手動工程入力!$V$6:$V$47,$C25)+COUNTIF(⑭手動工程入力!$W$6:$W$47,$C25)</f>
        <v/>
      </c>
      <c r="Q25" s="392" t="n"/>
      <c r="R25" s="393" t="n"/>
      <c r="S25" s="393" t="n"/>
      <c r="T25" s="393" t="n"/>
      <c r="U25" s="393" t="n"/>
      <c r="V25" s="605">
        <f>IFERROR(INDEX(KIT別作業時間!$D$4:$D$27,MATCH(SUBSTITUTE(SUBSTITUTE(SUBSTITUTE(SUBSTITUTE(SUBSTITUTE(SUBSTITUTE(SUBSTITUTE(SUBSTITUTE(SUBSTITUTE(SUBSTITUTE(ASC($C25),"①","1"),"②","2"),"③","3"),"④","4"),"⑤","5"),"⑥","6"),"⑦","7"),"⑧","8"),"⑨","9")," ",""),KIT別作業時間!$C$4:$C$27,0)),"")</f>
        <v/>
      </c>
      <c r="W25" s="393">
        <f>IF(AND(ISNUMBER($I25),$I25&gt;0),$I25,IF(ISNUMBER($V25),$V25,IF(ISNUMBER($R25),$R25,"")))</f>
        <v/>
      </c>
      <c r="X25" s="393">
        <f>IF(AND(ISNUMBER($I25),$I25&gt;0),"今回の工程実績",IF(ISNUMBER($V25),"KIT作業時間",IF(ISNUMBER($R25),"前回資料","")))</f>
        <v/>
      </c>
      <c r="Y25" s="398" t="n">
        <v>18293</v>
      </c>
      <c r="Z25" s="398">
        <f>IF(AND(ISNUMBER($W25),ISNUMBER($Y25)),$W25*$Y25,"")</f>
        <v/>
      </c>
      <c r="AA25" s="393" t="n"/>
    </row>
    <row r="26">
      <c r="A26" s="392" t="n">
        <v>22</v>
      </c>
      <c r="B26" s="392" t="n"/>
      <c r="C26" s="392" t="inlineStr">
        <is>
          <t>Ｓ２種柑橘の杏仁プリン</t>
        </is>
      </c>
      <c r="D26" s="398">
        <f>SUMIF(⑩盛付梱包工程入力!$R$5:$R$300,$C26,⑩盛付梱包工程入力!$AC$5:$AC$300)+SUMIF(⑩盛付梱包工程入力!$S$5:$S$300,$C26,⑩盛付梱包工程入力!$AC$5:$AC$300)+SUMIF(⑩盛付梱包工程入力!$T$5:$T$300,$C26,⑩盛付梱包工程入力!$AC$5:$AC$300)+SUMIF(⑩盛付梱包工程入力!$U$5:$U$300,$C26,⑩盛付梱包工程入力!$AC$5:$AC$300)+SUMIF(⑩盛付梱包工程入力!$V$5:$V$300,$C26,⑩盛付梱包工程入力!$AC$5:$AC$300)+SUMIF(⑩盛付梱包工程入力!$W$5:$W$300,$C26,⑩盛付梱包工程入力!$AC$5:$AC$300)</f>
        <v/>
      </c>
      <c r="E26" s="398" t="n">
        <v>2</v>
      </c>
      <c r="F26" s="398">
        <f>IF(N($E26)&gt;0,$E26,$D26)</f>
        <v/>
      </c>
      <c r="G26" s="398" t="n"/>
      <c r="H26" s="393">
        <f>SUMIF(②釜工程入力!$R$5:$R$117,$C26,②釜工程入力!$AD$5:$AD$117)+SUMIF(②釜工程入力!$S$5:$S$117,$C26,②釜工程入力!$AE$5:$AE$117)+SUMIF(②釜工程入力!$T$5:$T$117,$C26,②釜工程入力!$AF$5:$AF$117)+SUMIF(②釜工程入力!$U$5:$U$117,$C26,②釜工程入力!$AG$5:$AG$117)+SUMIF(②釜工程入力!$V$5:$V$117,$C26,②釜工程入力!$AH$5:$AH$117)+SUMIF(②釜工程入力!$W$5:$W$117,$C26,②釜工程入力!$AI$5:$AI$117)+SUMIF(③スチコン工程入力!$R$5:$R$152,$C26,③スチコン工程入力!$AD$5:$AD$152)+SUMIF(③スチコン工程入力!$S$5:$S$152,$C26,③スチコン工程入力!$AE$5:$AE$152)+SUMIF(③スチコン工程入力!$T$5:$T$152,$C26,③スチコン工程入力!$AF$5:$AF$152)+SUMIF(③スチコン工程入力!$U$5:$U$152,$C26,③スチコン工程入力!$AG$5:$AG$152)+SUMIF(③スチコン工程入力!$V$5:$V$152,$C26,③スチコン工程入力!$AH$5:$AH$152)+SUMIF(③スチコン工程入力!$W$5:$W$152,$C26,③スチコン工程入力!$AI$5:$AI$152)+SUMIF(⑩盛付梱包工程入力!$R$5:$R$300,$C26,⑩盛付梱包工程入力!$AD$5:$AD$300)+SUMIF(⑩盛付梱包工程入力!$S$5:$S$300,$C26,⑩盛付梱包工程入力!$AE$5:$AE$300)+SUMIF(⑩盛付梱包工程入力!$T$5:$T$300,$C26,⑩盛付梱包工程入力!$AF$5:$AF$300)+SUMIF(⑩盛付梱包工程入力!$U$5:$U$300,$C26,⑩盛付梱包工程入力!$AG$5:$AG$300)+SUMIF(⑩盛付梱包工程入力!$V$5:$V$300,$C26,⑩盛付梱包工程入力!$AH$5:$AH$300)+SUMIF(⑩盛付梱包工程入力!$W$5:$W$300,$C26,⑩盛付梱包工程入力!$AI$5:$AI$300)+SUMIF(⑪ZEN工程入力!$R$6:$R$35,$C26,⑪ZEN工程入力!$AD$6:$AD$35)+SUMIF(⑪ZEN工程入力!$S$6:$S$35,$C26,⑪ZEN工程入力!$AE$6:$AE$35)+SUMIF(⑪ZEN工程入力!$T$6:$T$35,$C26,⑪ZEN工程入力!$AF$6:$AF$35)+SUMIF(⑪ZEN工程入力!$U$6:$U$35,$C26,⑪ZEN工程入力!$AG$6:$AG$35)+SUMIF(⑪ZEN工程入力!$V$6:$V$35,$C26,⑪ZEN工程入力!$AH$6:$AH$35)+SUMIF(⑪ZEN工程入力!$W$6:$W$35,$C26,⑪ZEN工程入力!$AI$6:$AI$35)+SUMIF(⑫ミキサー工程入力!$R$6:$R$65,$C26,⑫ミキサー工程入力!$AD$6:$AD$65)+SUMIF(⑫ミキサー工程入力!$S$6:$S$65,$C26,⑫ミキサー工程入力!$AE$6:$AE$65)+SUMIF(⑫ミキサー工程入力!$T$6:$T$65,$C26,⑫ミキサー工程入力!$AF$6:$AF$65)+SUMIF(⑫ミキサー工程入力!$U$6:$U$65,$C26,⑫ミキサー工程入力!$AG$6:$AG$65)+SUMIF(⑫ミキサー工程入力!$V$6:$V$65,$C26,⑫ミキサー工程入力!$AH$6:$AH$65)+SUMIF(⑫ミキサー工程入力!$W$6:$W$65,$C26,⑫ミキサー工程入力!$AI$6:$AI$65)+SUMIF(⑬計量工程入力!$R$6:$R$65,$C26,⑬計量工程入力!$AD$6:$AD$65)+SUMIF(⑬計量工程入力!$S$6:$S$65,$C26,⑬計量工程入力!$AE$6:$AE$65)+SUMIF(⑬計量工程入力!$T$6:$T$65,$C26,⑬計量工程入力!$AF$6:$AF$65)+SUMIF(⑬計量工程入力!$U$6:$U$65,$C26,⑬計量工程入力!$AG$6:$AG$65)+SUMIF(⑬計量工程入力!$V$6:$V$65,$C26,⑬計量工程入力!$AH$6:$AH$65)+SUMIF(⑬計量工程入力!$W$6:$W$65,$C26,⑬計量工程入力!$AI$6:$AI$65)+SUMIF(⑭手動工程入力!$R$6:$R$47,$C26,⑭手動工程入力!$AD$6:$AD$47)+SUMIF(⑭手動工程入力!$S$6:$S$47,$C26,⑭手動工程入力!$AE$6:$AE$47)+SUMIF(⑭手動工程入力!$T$6:$T$47,$C26,⑭手動工程入力!$AF$6:$AF$47)+SUMIF(⑭手動工程入力!$U$6:$U$47,$C26,⑭手動工程入力!$AG$6:$AG$47)+SUMIF(⑭手動工程入力!$V$6:$V$47,$C26,⑭手動工程入力!$AH$6:$AH$47)+SUMIF(⑭手動工程入力!$W$6:$W$47,$C26,⑭手動工程入力!$AI$6:$AI$47)</f>
        <v/>
      </c>
      <c r="I26" s="393">
        <f>IF($F26&gt;0,$H26/$F26,"")</f>
        <v/>
      </c>
      <c r="J26" s="605">
        <f>IFERROR(INDEX(商品原価!$B$4:$B$112,MATCH(SUBSTITUTE(SUBSTITUTE(SUBSTITUTE(SUBSTITUTE(SUBSTITUTE(SUBSTITUTE(SUBSTITUTE(SUBSTITUTE(SUBSTITUTE(SUBSTITUTE(ASC($C26),"①","1"),"②","2"),"③","3"),"④","4"),"⑤","5"),"⑥","6"),"⑦","7"),"⑧","8"),"⑨","9")," ",""),商品原価!$C$4:$C$112,0)),"")</f>
        <v/>
      </c>
      <c r="K26" s="542">
        <f>IF(ISNUMBER($J26),$J26*④前提設定!$B$21,"")</f>
        <v/>
      </c>
      <c r="L26" s="605">
        <f>IF(AND(NOT(ISNUMBER($J26)),NOT(ISNUMBER($K26))),"",N($J26)+N($K26))</f>
        <v/>
      </c>
      <c r="M26" s="605">
        <f>IFERROR(INDEX(商品原価!$E$4:$E$112,MATCH(SUBSTITUTE(SUBSTITUTE(SUBSTITUTE(SUBSTITUTE(SUBSTITUTE(SUBSTITUTE(SUBSTITUTE(SUBSTITUTE(SUBSTITUTE(SUBSTITUTE(ASC($C26),"①","1"),"②","2"),"③","3"),"④","4"),"⑤","5"),"⑥","6"),"⑦","7"),"⑧","8"),"⑨","9")," ",""),商品原価!$C$4:$C$112,0)),"")</f>
        <v/>
      </c>
      <c r="N26" s="605">
        <f>IF(AND(ISNUMBER($M26),ISNUMBER($L26)),$M26-$L26-N($W26),"")</f>
        <v/>
      </c>
      <c r="O26" s="606">
        <f>IF(AND(ISNUMBER($N26),ISNUMBER($M26),$M26&gt;0),$N26/$M26,"")</f>
        <v/>
      </c>
      <c r="P26" s="398">
        <f>COUNTIF(②釜工程入力!$R$5:$R$117,$C26)+COUNTIF(②釜工程入力!$S$5:$S$117,$C26)+COUNTIF(②釜工程入力!$T$5:$T$117,$C26)+COUNTIF(②釜工程入力!$U$5:$U$117,$C26)+COUNTIF(②釜工程入力!$V$5:$V$117,$C26)+COUNTIF(②釜工程入力!$W$5:$W$117,$C26)+COUNTIF(③スチコン工程入力!$R$5:$R$152,$C26)+COUNTIF(③スチコン工程入力!$S$5:$S$152,$C26)+COUNTIF(③スチコン工程入力!$T$5:$T$152,$C26)+COUNTIF(③スチコン工程入力!$U$5:$U$152,$C26)+COUNTIF(③スチコン工程入力!$V$5:$V$152,$C26)+COUNTIF(③スチコン工程入力!$W$5:$W$152,$C26)+COUNTIF(⑩盛付梱包工程入力!$R$5:$R$300,$C26)+COUNTIF(⑩盛付梱包工程入力!$S$5:$S$300,$C26)+COUNTIF(⑩盛付梱包工程入力!$T$5:$T$300,$C26)+COUNTIF(⑩盛付梱包工程入力!$U$5:$U$300,$C26)+COUNTIF(⑩盛付梱包工程入力!$V$5:$V$300,$C26)+COUNTIF(⑩盛付梱包工程入力!$W$5:$W$300,$C26)+COUNTIF(⑪ZEN工程入力!$R$6:$R$35,$C26)+COUNTIF(⑪ZEN工程入力!$S$6:$S$35,$C26)+COUNTIF(⑪ZEN工程入力!$T$6:$T$35,$C26)+COUNTIF(⑪ZEN工程入力!$U$6:$U$35,$C26)+COUNTIF(⑪ZEN工程入力!$V$6:$V$35,$C26)+COUNTIF(⑪ZEN工程入力!$W$6:$W$35,$C26)+COUNTIF(⑫ミキサー工程入力!$R$6:$R$65,$C26)+COUNTIF(⑫ミキサー工程入力!$S$6:$S$65,$C26)+COUNTIF(⑫ミキサー工程入力!$T$6:$T$65,$C26)+COUNTIF(⑫ミキサー工程入力!$U$6:$U$65,$C26)+COUNTIF(⑫ミキサー工程入力!$V$6:$V$65,$C26)+COUNTIF(⑫ミキサー工程入力!$W$6:$W$65,$C26)+COUNTIF(⑬計量工程入力!$R$6:$R$65,$C26)+COUNTIF(⑬計量工程入力!$S$6:$S$65,$C26)+COUNTIF(⑬計量工程入力!$T$6:$T$65,$C26)+COUNTIF(⑬計量工程入力!$U$6:$U$65,$C26)+COUNTIF(⑬計量工程入力!$V$6:$V$65,$C26)+COUNTIF(⑬計量工程入力!$W$6:$W$65,$C26)+COUNTIF(⑭手動工程入力!$R$6:$R$47,$C26)+COUNTIF(⑭手動工程入力!$S$6:$S$47,$C26)+COUNTIF(⑭手動工程入力!$T$6:$T$47,$C26)+COUNTIF(⑭手動工程入力!$U$6:$U$47,$C26)+COUNTIF(⑭手動工程入力!$V$6:$V$47,$C26)+COUNTIF(⑭手動工程入力!$W$6:$W$47,$C26)</f>
        <v/>
      </c>
      <c r="Q26" s="392" t="inlineStr">
        <is>
          <t>⑩盛付梱包 77行目に入力欄を作成（工程記録なし）</t>
        </is>
      </c>
      <c r="R26" s="393" t="n"/>
      <c r="S26" s="393" t="n"/>
      <c r="T26" s="393" t="n"/>
      <c r="U26" s="393" t="n"/>
      <c r="V26" s="605">
        <f>IFERROR(INDEX(KIT別作業時間!$D$4:$D$27,MATCH(SUBSTITUTE(SUBSTITUTE(SUBSTITUTE(SUBSTITUTE(SUBSTITUTE(SUBSTITUTE(SUBSTITUTE(SUBSTITUTE(SUBSTITUTE(SUBSTITUTE(ASC($C26),"①","1"),"②","2"),"③","3"),"④","4"),"⑤","5"),"⑥","6"),"⑦","7"),"⑧","8"),"⑨","9")," ",""),KIT別作業時間!$C$4:$C$27,0)),"")</f>
        <v/>
      </c>
      <c r="W26" s="393">
        <f>IF(AND(ISNUMBER($I26),$I26&gt;0),$I26,IF(ISNUMBER($V26),$V26,IF(ISNUMBER($R26),$R26,"")))</f>
        <v/>
      </c>
      <c r="X26" s="393">
        <f>IF(AND(ISNUMBER($I26),$I26&gt;0),"今回の工程実績",IF(ISNUMBER($V26),"KIT作業時間",IF(ISNUMBER($R26),"前回資料","")))</f>
        <v/>
      </c>
      <c r="Y26" s="398" t="n">
        <v>13912</v>
      </c>
      <c r="Z26" s="398">
        <f>IF(AND(ISNUMBER($W26),ISNUMBER($Y26)),$W26*$Y26,"")</f>
        <v/>
      </c>
      <c r="AA26" s="393" t="n"/>
    </row>
    <row r="27">
      <c r="A27" s="392" t="n">
        <v>23</v>
      </c>
      <c r="B27" s="392" t="n"/>
      <c r="C27" s="392" t="inlineStr">
        <is>
          <t>大人のコーヒーゼリー小４</t>
        </is>
      </c>
      <c r="D27" s="398">
        <f>SUMIF(⑩盛付梱包工程入力!$R$5:$R$300,$C27,⑩盛付梱包工程入力!$AC$5:$AC$300)+SUMIF(⑩盛付梱包工程入力!$S$5:$S$300,$C27,⑩盛付梱包工程入力!$AC$5:$AC$300)+SUMIF(⑩盛付梱包工程入力!$T$5:$T$300,$C27,⑩盛付梱包工程入力!$AC$5:$AC$300)+SUMIF(⑩盛付梱包工程入力!$U$5:$U$300,$C27,⑩盛付梱包工程入力!$AC$5:$AC$300)+SUMIF(⑩盛付梱包工程入力!$V$5:$V$300,$C27,⑩盛付梱包工程入力!$AC$5:$AC$300)+SUMIF(⑩盛付梱包工程入力!$W$5:$W$300,$C27,⑩盛付梱包工程入力!$AC$5:$AC$300)</f>
        <v/>
      </c>
      <c r="E27" s="398" t="n">
        <v>768</v>
      </c>
      <c r="F27" s="398">
        <f>IF(N($E27)&gt;0,$E27,$D27)</f>
        <v/>
      </c>
      <c r="G27" s="393" t="n">
        <v>25.05067961165048</v>
      </c>
      <c r="H27" s="393">
        <f>SUMIF(②釜工程入力!$R$5:$R$117,$C27,②釜工程入力!$AD$5:$AD$117)+SUMIF(②釜工程入力!$S$5:$S$117,$C27,②釜工程入力!$AE$5:$AE$117)+SUMIF(②釜工程入力!$T$5:$T$117,$C27,②釜工程入力!$AF$5:$AF$117)+SUMIF(②釜工程入力!$U$5:$U$117,$C27,②釜工程入力!$AG$5:$AG$117)+SUMIF(②釜工程入力!$V$5:$V$117,$C27,②釜工程入力!$AH$5:$AH$117)+SUMIF(②釜工程入力!$W$5:$W$117,$C27,②釜工程入力!$AI$5:$AI$117)+SUMIF(③スチコン工程入力!$R$5:$R$152,$C27,③スチコン工程入力!$AD$5:$AD$152)+SUMIF(③スチコン工程入力!$S$5:$S$152,$C27,③スチコン工程入力!$AE$5:$AE$152)+SUMIF(③スチコン工程入力!$T$5:$T$152,$C27,③スチコン工程入力!$AF$5:$AF$152)+SUMIF(③スチコン工程入力!$U$5:$U$152,$C27,③スチコン工程入力!$AG$5:$AG$152)+SUMIF(③スチコン工程入力!$V$5:$V$152,$C27,③スチコン工程入力!$AH$5:$AH$152)+SUMIF(③スチコン工程入力!$W$5:$W$152,$C27,③スチコン工程入力!$AI$5:$AI$152)+SUMIF(⑩盛付梱包工程入力!$R$5:$R$300,$C27,⑩盛付梱包工程入力!$AD$5:$AD$300)+SUMIF(⑩盛付梱包工程入力!$S$5:$S$300,$C27,⑩盛付梱包工程入力!$AE$5:$AE$300)+SUMIF(⑩盛付梱包工程入力!$T$5:$T$300,$C27,⑩盛付梱包工程入力!$AF$5:$AF$300)+SUMIF(⑩盛付梱包工程入力!$U$5:$U$300,$C27,⑩盛付梱包工程入力!$AG$5:$AG$300)+SUMIF(⑩盛付梱包工程入力!$V$5:$V$300,$C27,⑩盛付梱包工程入力!$AH$5:$AH$300)+SUMIF(⑩盛付梱包工程入力!$W$5:$W$300,$C27,⑩盛付梱包工程入力!$AI$5:$AI$300)+SUMIF(⑪ZEN工程入力!$R$6:$R$35,$C27,⑪ZEN工程入力!$AD$6:$AD$35)+SUMIF(⑪ZEN工程入力!$S$6:$S$35,$C27,⑪ZEN工程入力!$AE$6:$AE$35)+SUMIF(⑪ZEN工程入力!$T$6:$T$35,$C27,⑪ZEN工程入力!$AF$6:$AF$35)+SUMIF(⑪ZEN工程入力!$U$6:$U$35,$C27,⑪ZEN工程入力!$AG$6:$AG$35)+SUMIF(⑪ZEN工程入力!$V$6:$V$35,$C27,⑪ZEN工程入力!$AH$6:$AH$35)+SUMIF(⑪ZEN工程入力!$W$6:$W$35,$C27,⑪ZEN工程入力!$AI$6:$AI$35)+SUMIF(⑫ミキサー工程入力!$R$6:$R$65,$C27,⑫ミキサー工程入力!$AD$6:$AD$65)+SUMIF(⑫ミキサー工程入力!$S$6:$S$65,$C27,⑫ミキサー工程入力!$AE$6:$AE$65)+SUMIF(⑫ミキサー工程入力!$T$6:$T$65,$C27,⑫ミキサー工程入力!$AF$6:$AF$65)+SUMIF(⑫ミキサー工程入力!$U$6:$U$65,$C27,⑫ミキサー工程入力!$AG$6:$AG$65)+SUMIF(⑫ミキサー工程入力!$V$6:$V$65,$C27,⑫ミキサー工程入力!$AH$6:$AH$65)+SUMIF(⑫ミキサー工程入力!$W$6:$W$65,$C27,⑫ミキサー工程入力!$AI$6:$AI$65)+SUMIF(⑬計量工程入力!$R$6:$R$65,$C27,⑬計量工程入力!$AD$6:$AD$65)+SUMIF(⑬計量工程入力!$S$6:$S$65,$C27,⑬計量工程入力!$AE$6:$AE$65)+SUMIF(⑬計量工程入力!$T$6:$T$65,$C27,⑬計量工程入力!$AF$6:$AF$65)+SUMIF(⑬計量工程入力!$U$6:$U$65,$C27,⑬計量工程入力!$AG$6:$AG$65)+SUMIF(⑬計量工程入力!$V$6:$V$65,$C27,⑬計量工程入力!$AH$6:$AH$65)+SUMIF(⑬計量工程入力!$W$6:$W$65,$C27,⑬計量工程入力!$AI$6:$AI$65)+SUMIF(⑭手動工程入力!$R$6:$R$47,$C27,⑭手動工程入力!$AD$6:$AD$47)+SUMIF(⑭手動工程入力!$S$6:$S$47,$C27,⑭手動工程入力!$AE$6:$AE$47)+SUMIF(⑭手動工程入力!$T$6:$T$47,$C27,⑭手動工程入力!$AF$6:$AF$47)+SUMIF(⑭手動工程入力!$U$6:$U$47,$C27,⑭手動工程入力!$AG$6:$AG$47)+SUMIF(⑭手動工程入力!$V$6:$V$47,$C27,⑭手動工程入力!$AH$6:$AH$47)+SUMIF(⑭手動工程入力!$W$6:$W$47,$C27,⑭手動工程入力!$AI$6:$AI$47)</f>
        <v/>
      </c>
      <c r="I27" s="393">
        <f>IF($F27&gt;0,$H27/$F27,"")</f>
        <v/>
      </c>
      <c r="J27" s="605">
        <f>IFERROR(INDEX(商品原価!$B$4:$B$112,MATCH(SUBSTITUTE(SUBSTITUTE(SUBSTITUTE(SUBSTITUTE(SUBSTITUTE(SUBSTITUTE(SUBSTITUTE(SUBSTITUTE(SUBSTITUTE(SUBSTITUTE(ASC($C27),"①","1"),"②","2"),"③","3"),"④","4"),"⑤","5"),"⑥","6"),"⑦","7"),"⑧","8"),"⑨","9")," ",""),商品原価!$C$4:$C$112,0)),"")</f>
        <v/>
      </c>
      <c r="K27" s="542">
        <f>IF(ISNUMBER($J27),$J27*④前提設定!$B$21,"")</f>
        <v/>
      </c>
      <c r="L27" s="605">
        <f>IF(AND(NOT(ISNUMBER($J27)),NOT(ISNUMBER($K27))),"",N($J27)+N($K27))</f>
        <v/>
      </c>
      <c r="M27" s="605">
        <f>IFERROR(INDEX(商品原価!$E$4:$E$112,MATCH(SUBSTITUTE(SUBSTITUTE(SUBSTITUTE(SUBSTITUTE(SUBSTITUTE(SUBSTITUTE(SUBSTITUTE(SUBSTITUTE(SUBSTITUTE(SUBSTITUTE(ASC($C27),"①","1"),"②","2"),"③","3"),"④","4"),"⑤","5"),"⑥","6"),"⑦","7"),"⑧","8"),"⑨","9")," ",""),商品原価!$C$4:$C$112,0)),"")</f>
        <v/>
      </c>
      <c r="N27" s="605">
        <f>IF(AND(ISNUMBER($M27),ISNUMBER($L27)),$M27-$L27-N($W27),"")</f>
        <v/>
      </c>
      <c r="O27" s="606">
        <f>IF(AND(ISNUMBER($N27),ISNUMBER($M27),$M27&gt;0),$N27/$M27,"")</f>
        <v/>
      </c>
      <c r="P27" s="398">
        <f>COUNTIF(②釜工程入力!$R$5:$R$117,$C27)+COUNTIF(②釜工程入力!$S$5:$S$117,$C27)+COUNTIF(②釜工程入力!$T$5:$T$117,$C27)+COUNTIF(②釜工程入力!$U$5:$U$117,$C27)+COUNTIF(②釜工程入力!$V$5:$V$117,$C27)+COUNTIF(②釜工程入力!$W$5:$W$117,$C27)+COUNTIF(③スチコン工程入力!$R$5:$R$152,$C27)+COUNTIF(③スチコン工程入力!$S$5:$S$152,$C27)+COUNTIF(③スチコン工程入力!$T$5:$T$152,$C27)+COUNTIF(③スチコン工程入力!$U$5:$U$152,$C27)+COUNTIF(③スチコン工程入力!$V$5:$V$152,$C27)+COUNTIF(③スチコン工程入力!$W$5:$W$152,$C27)+COUNTIF(⑩盛付梱包工程入力!$R$5:$R$300,$C27)+COUNTIF(⑩盛付梱包工程入力!$S$5:$S$300,$C27)+COUNTIF(⑩盛付梱包工程入力!$T$5:$T$300,$C27)+COUNTIF(⑩盛付梱包工程入力!$U$5:$U$300,$C27)+COUNTIF(⑩盛付梱包工程入力!$V$5:$V$300,$C27)+COUNTIF(⑩盛付梱包工程入力!$W$5:$W$300,$C27)+COUNTIF(⑪ZEN工程入力!$R$6:$R$35,$C27)+COUNTIF(⑪ZEN工程入力!$S$6:$S$35,$C27)+COUNTIF(⑪ZEN工程入力!$T$6:$T$35,$C27)+COUNTIF(⑪ZEN工程入力!$U$6:$U$35,$C27)+COUNTIF(⑪ZEN工程入力!$V$6:$V$35,$C27)+COUNTIF(⑪ZEN工程入力!$W$6:$W$35,$C27)+COUNTIF(⑫ミキサー工程入力!$R$6:$R$65,$C27)+COUNTIF(⑫ミキサー工程入力!$S$6:$S$65,$C27)+COUNTIF(⑫ミキサー工程入力!$T$6:$T$65,$C27)+COUNTIF(⑫ミキサー工程入力!$U$6:$U$65,$C27)+COUNTIF(⑫ミキサー工程入力!$V$6:$V$65,$C27)+COUNTIF(⑫ミキサー工程入力!$W$6:$W$65,$C27)+COUNTIF(⑬計量工程入力!$R$6:$R$65,$C27)+COUNTIF(⑬計量工程入力!$S$6:$S$65,$C27)+COUNTIF(⑬計量工程入力!$T$6:$T$65,$C27)+COUNTIF(⑬計量工程入力!$U$6:$U$65,$C27)+COUNTIF(⑬計量工程入力!$V$6:$V$65,$C27)+COUNTIF(⑬計量工程入力!$W$6:$W$65,$C27)+COUNTIF(⑭手動工程入力!$R$6:$R$47,$C27)+COUNTIF(⑭手動工程入力!$S$6:$S$47,$C27)+COUNTIF(⑭手動工程入力!$T$6:$T$47,$C27)+COUNTIF(⑭手動工程入力!$U$6:$U$47,$C27)+COUNTIF(⑭手動工程入力!$V$6:$V$47,$C27)+COUNTIF(⑭手動工程入力!$W$6:$W$47,$C27)</f>
        <v/>
      </c>
      <c r="Q27" s="392" t="n"/>
      <c r="R27" s="393" t="n">
        <v>41.88</v>
      </c>
      <c r="S27" s="393" t="n">
        <v>3664</v>
      </c>
      <c r="T27" s="393">
        <f>IF(AND(ISNUMBER($I27),ISNUMBER($R27)),$I27-$R27,"")</f>
        <v/>
      </c>
      <c r="U27" s="393" t="inlineStr">
        <is>
          <t>大人のコーヒーゼリー小</t>
        </is>
      </c>
      <c r="V27" s="605">
        <f>IFERROR(INDEX(KIT別作業時間!$D$4:$D$27,MATCH(SUBSTITUTE(SUBSTITUTE(SUBSTITUTE(SUBSTITUTE(SUBSTITUTE(SUBSTITUTE(SUBSTITUTE(SUBSTITUTE(SUBSTITUTE(SUBSTITUTE(ASC($C27),"①","1"),"②","2"),"③","3"),"④","4"),"⑤","5"),"⑥","6"),"⑦","7"),"⑧","8"),"⑨","9")," ",""),KIT別作業時間!$C$4:$C$27,0)),"")</f>
        <v/>
      </c>
      <c r="W27" s="393">
        <f>IF(AND(ISNUMBER($I27),$I27&gt;0),$I27,IF(ISNUMBER($V27),$V27,IF(ISNUMBER($R27),$R27,"")))</f>
        <v/>
      </c>
      <c r="X27" s="393">
        <f>IF(AND(ISNUMBER($I27),$I27&gt;0),"今回の工程実績",IF(ISNUMBER($V27),"KIT作業時間",IF(ISNUMBER($R27),"前回資料","")))</f>
        <v/>
      </c>
      <c r="Y27" s="398" t="n">
        <v>30749</v>
      </c>
      <c r="Z27" s="398">
        <f>IF(AND(ISNUMBER($W27),ISNUMBER($Y27)),$W27*$Y27,"")</f>
        <v/>
      </c>
      <c r="AA27" s="393" t="n"/>
    </row>
    <row r="28">
      <c r="A28" s="392" t="n">
        <v>24</v>
      </c>
      <c r="B28" s="392" t="n"/>
      <c r="C28" s="392" t="inlineStr">
        <is>
          <t>【中華】ムネ唐揚げＫＩＴ</t>
        </is>
      </c>
      <c r="D28" s="398">
        <f>SUMIF(⑩盛付梱包工程入力!$R$5:$R$300,$C28,⑩盛付梱包工程入力!$AC$5:$AC$300)+SUMIF(⑩盛付梱包工程入力!$S$5:$S$300,$C28,⑩盛付梱包工程入力!$AC$5:$AC$300)+SUMIF(⑩盛付梱包工程入力!$T$5:$T$300,$C28,⑩盛付梱包工程入力!$AC$5:$AC$300)+SUMIF(⑩盛付梱包工程入力!$U$5:$U$300,$C28,⑩盛付梱包工程入力!$AC$5:$AC$300)+SUMIF(⑩盛付梱包工程入力!$V$5:$V$300,$C28,⑩盛付梱包工程入力!$AC$5:$AC$300)+SUMIF(⑩盛付梱包工程入力!$W$5:$W$300,$C28,⑩盛付梱包工程入力!$AC$5:$AC$300)</f>
        <v/>
      </c>
      <c r="E28" s="398" t="n">
        <v>81</v>
      </c>
      <c r="F28" s="398">
        <f>IF(N($E28)&gt;0,$E28,$D28)</f>
        <v/>
      </c>
      <c r="G28" s="393" t="n">
        <v>293.008</v>
      </c>
      <c r="H28" s="393">
        <f>SUMIF(②釜工程入力!$R$5:$R$117,$C28,②釜工程入力!$AD$5:$AD$117)+SUMIF(②釜工程入力!$S$5:$S$117,$C28,②釜工程入力!$AE$5:$AE$117)+SUMIF(②釜工程入力!$T$5:$T$117,$C28,②釜工程入力!$AF$5:$AF$117)+SUMIF(②釜工程入力!$U$5:$U$117,$C28,②釜工程入力!$AG$5:$AG$117)+SUMIF(②釜工程入力!$V$5:$V$117,$C28,②釜工程入力!$AH$5:$AH$117)+SUMIF(②釜工程入力!$W$5:$W$117,$C28,②釜工程入力!$AI$5:$AI$117)+SUMIF(③スチコン工程入力!$R$5:$R$152,$C28,③スチコン工程入力!$AD$5:$AD$152)+SUMIF(③スチコン工程入力!$S$5:$S$152,$C28,③スチコン工程入力!$AE$5:$AE$152)+SUMIF(③スチコン工程入力!$T$5:$T$152,$C28,③スチコン工程入力!$AF$5:$AF$152)+SUMIF(③スチコン工程入力!$U$5:$U$152,$C28,③スチコン工程入力!$AG$5:$AG$152)+SUMIF(③スチコン工程入力!$V$5:$V$152,$C28,③スチコン工程入力!$AH$5:$AH$152)+SUMIF(③スチコン工程入力!$W$5:$W$152,$C28,③スチコン工程入力!$AI$5:$AI$152)+SUMIF(⑩盛付梱包工程入力!$R$5:$R$300,$C28,⑩盛付梱包工程入力!$AD$5:$AD$300)+SUMIF(⑩盛付梱包工程入力!$S$5:$S$300,$C28,⑩盛付梱包工程入力!$AE$5:$AE$300)+SUMIF(⑩盛付梱包工程入力!$T$5:$T$300,$C28,⑩盛付梱包工程入力!$AF$5:$AF$300)+SUMIF(⑩盛付梱包工程入力!$U$5:$U$300,$C28,⑩盛付梱包工程入力!$AG$5:$AG$300)+SUMIF(⑩盛付梱包工程入力!$V$5:$V$300,$C28,⑩盛付梱包工程入力!$AH$5:$AH$300)+SUMIF(⑩盛付梱包工程入力!$W$5:$W$300,$C28,⑩盛付梱包工程入力!$AI$5:$AI$300)+SUMIF(⑪ZEN工程入力!$R$6:$R$35,$C28,⑪ZEN工程入力!$AD$6:$AD$35)+SUMIF(⑪ZEN工程入力!$S$6:$S$35,$C28,⑪ZEN工程入力!$AE$6:$AE$35)+SUMIF(⑪ZEN工程入力!$T$6:$T$35,$C28,⑪ZEN工程入力!$AF$6:$AF$35)+SUMIF(⑪ZEN工程入力!$U$6:$U$35,$C28,⑪ZEN工程入力!$AG$6:$AG$35)+SUMIF(⑪ZEN工程入力!$V$6:$V$35,$C28,⑪ZEN工程入力!$AH$6:$AH$35)+SUMIF(⑪ZEN工程入力!$W$6:$W$35,$C28,⑪ZEN工程入力!$AI$6:$AI$35)+SUMIF(⑫ミキサー工程入力!$R$6:$R$65,$C28,⑫ミキサー工程入力!$AD$6:$AD$65)+SUMIF(⑫ミキサー工程入力!$S$6:$S$65,$C28,⑫ミキサー工程入力!$AE$6:$AE$65)+SUMIF(⑫ミキサー工程入力!$T$6:$T$65,$C28,⑫ミキサー工程入力!$AF$6:$AF$65)+SUMIF(⑫ミキサー工程入力!$U$6:$U$65,$C28,⑫ミキサー工程入力!$AG$6:$AG$65)+SUMIF(⑫ミキサー工程入力!$V$6:$V$65,$C28,⑫ミキサー工程入力!$AH$6:$AH$65)+SUMIF(⑫ミキサー工程入力!$W$6:$W$65,$C28,⑫ミキサー工程入力!$AI$6:$AI$65)+SUMIF(⑬計量工程入力!$R$6:$R$65,$C28,⑬計量工程入力!$AD$6:$AD$65)+SUMIF(⑬計量工程入力!$S$6:$S$65,$C28,⑬計量工程入力!$AE$6:$AE$65)+SUMIF(⑬計量工程入力!$T$6:$T$65,$C28,⑬計量工程入力!$AF$6:$AF$65)+SUMIF(⑬計量工程入力!$U$6:$U$65,$C28,⑬計量工程入力!$AG$6:$AG$65)+SUMIF(⑬計量工程入力!$V$6:$V$65,$C28,⑬計量工程入力!$AH$6:$AH$65)+SUMIF(⑬計量工程入力!$W$6:$W$65,$C28,⑬計量工程入力!$AI$6:$AI$65)+SUMIF(⑭手動工程入力!$R$6:$R$47,$C28,⑭手動工程入力!$AD$6:$AD$47)+SUMIF(⑭手動工程入力!$S$6:$S$47,$C28,⑭手動工程入力!$AE$6:$AE$47)+SUMIF(⑭手動工程入力!$T$6:$T$47,$C28,⑭手動工程入力!$AF$6:$AF$47)+SUMIF(⑭手動工程入力!$U$6:$U$47,$C28,⑭手動工程入力!$AG$6:$AG$47)+SUMIF(⑭手動工程入力!$V$6:$V$47,$C28,⑭手動工程入力!$AH$6:$AH$47)+SUMIF(⑭手動工程入力!$W$6:$W$47,$C28,⑭手動工程入力!$AI$6:$AI$47)</f>
        <v/>
      </c>
      <c r="I28" s="393">
        <f>IF($F28&gt;0,$H28/$F28,"")</f>
        <v/>
      </c>
      <c r="J28" s="605">
        <f>IFERROR(INDEX(商品原価!$B$4:$B$112,MATCH(SUBSTITUTE(SUBSTITUTE(SUBSTITUTE(SUBSTITUTE(SUBSTITUTE(SUBSTITUTE(SUBSTITUTE(SUBSTITUTE(SUBSTITUTE(SUBSTITUTE(ASC($C28),"①","1"),"②","2"),"③","3"),"④","4"),"⑤","5"),"⑥","6"),"⑦","7"),"⑧","8"),"⑨","9")," ",""),商品原価!$C$4:$C$112,0)),"")</f>
        <v/>
      </c>
      <c r="K28" s="542">
        <f>IF(ISNUMBER($J28),$J28*④前提設定!$B$21,"")</f>
        <v/>
      </c>
      <c r="L28" s="605">
        <f>IF(AND(NOT(ISNUMBER($J28)),NOT(ISNUMBER($K28))),"",N($J28)+N($K28))</f>
        <v/>
      </c>
      <c r="M28" s="605">
        <f>IFERROR(INDEX(商品原価!$E$4:$E$112,MATCH(SUBSTITUTE(SUBSTITUTE(SUBSTITUTE(SUBSTITUTE(SUBSTITUTE(SUBSTITUTE(SUBSTITUTE(SUBSTITUTE(SUBSTITUTE(SUBSTITUTE(ASC($C28),"①","1"),"②","2"),"③","3"),"④","4"),"⑤","5"),"⑥","6"),"⑦","7"),"⑧","8"),"⑨","9")," ",""),商品原価!$C$4:$C$112,0)),"")</f>
        <v/>
      </c>
      <c r="N28" s="605">
        <f>IF(AND(ISNUMBER($M28),ISNUMBER($L28)),$M28-$L28-N($W28),"")</f>
        <v/>
      </c>
      <c r="O28" s="606">
        <f>IF(AND(ISNUMBER($N28),ISNUMBER($M28),$M28&gt;0),$N28/$M28,"")</f>
        <v/>
      </c>
      <c r="P28" s="398">
        <f>COUNTIF(②釜工程入力!$R$5:$R$117,$C28)+COUNTIF(②釜工程入力!$S$5:$S$117,$C28)+COUNTIF(②釜工程入力!$T$5:$T$117,$C28)+COUNTIF(②釜工程入力!$U$5:$U$117,$C28)+COUNTIF(②釜工程入力!$V$5:$V$117,$C28)+COUNTIF(②釜工程入力!$W$5:$W$117,$C28)+COUNTIF(③スチコン工程入力!$R$5:$R$152,$C28)+COUNTIF(③スチコン工程入力!$S$5:$S$152,$C28)+COUNTIF(③スチコン工程入力!$T$5:$T$152,$C28)+COUNTIF(③スチコン工程入力!$U$5:$U$152,$C28)+COUNTIF(③スチコン工程入力!$V$5:$V$152,$C28)+COUNTIF(③スチコン工程入力!$W$5:$W$152,$C28)+COUNTIF(⑩盛付梱包工程入力!$R$5:$R$300,$C28)+COUNTIF(⑩盛付梱包工程入力!$S$5:$S$300,$C28)+COUNTIF(⑩盛付梱包工程入力!$T$5:$T$300,$C28)+COUNTIF(⑩盛付梱包工程入力!$U$5:$U$300,$C28)+COUNTIF(⑩盛付梱包工程入力!$V$5:$V$300,$C28)+COUNTIF(⑩盛付梱包工程入力!$W$5:$W$300,$C28)+COUNTIF(⑪ZEN工程入力!$R$6:$R$35,$C28)+COUNTIF(⑪ZEN工程入力!$S$6:$S$35,$C28)+COUNTIF(⑪ZEN工程入力!$T$6:$T$35,$C28)+COUNTIF(⑪ZEN工程入力!$U$6:$U$35,$C28)+COUNTIF(⑪ZEN工程入力!$V$6:$V$35,$C28)+COUNTIF(⑪ZEN工程入力!$W$6:$W$35,$C28)+COUNTIF(⑫ミキサー工程入力!$R$6:$R$65,$C28)+COUNTIF(⑫ミキサー工程入力!$S$6:$S$65,$C28)+COUNTIF(⑫ミキサー工程入力!$T$6:$T$65,$C28)+COUNTIF(⑫ミキサー工程入力!$U$6:$U$65,$C28)+COUNTIF(⑫ミキサー工程入力!$V$6:$V$65,$C28)+COUNTIF(⑫ミキサー工程入力!$W$6:$W$65,$C28)+COUNTIF(⑬計量工程入力!$R$6:$R$65,$C28)+COUNTIF(⑬計量工程入力!$S$6:$S$65,$C28)+COUNTIF(⑬計量工程入力!$T$6:$T$65,$C28)+COUNTIF(⑬計量工程入力!$U$6:$U$65,$C28)+COUNTIF(⑬計量工程入力!$V$6:$V$65,$C28)+COUNTIF(⑬計量工程入力!$W$6:$W$65,$C28)+COUNTIF(⑭手動工程入力!$R$6:$R$47,$C28)+COUNTIF(⑭手動工程入力!$S$6:$S$47,$C28)+COUNTIF(⑭手動工程入力!$T$6:$T$47,$C28)+COUNTIF(⑭手動工程入力!$U$6:$U$47,$C28)+COUNTIF(⑭手動工程入力!$V$6:$V$47,$C28)+COUNTIF(⑭手動工程入力!$W$6:$W$47,$C28)</f>
        <v/>
      </c>
      <c r="Q28" s="392" t="inlineStr">
        <is>
          <t>⑩盛付梱包 46行目に入力欄を作成（工程記録なし）</t>
        </is>
      </c>
      <c r="R28" s="393" t="n"/>
      <c r="S28" s="393" t="n"/>
      <c r="T28" s="393" t="n"/>
      <c r="U28" s="393" t="n"/>
      <c r="V28" s="605">
        <f>IFERROR(INDEX(KIT別作業時間!$D$4:$D$27,MATCH(SUBSTITUTE(SUBSTITUTE(SUBSTITUTE(SUBSTITUTE(SUBSTITUTE(SUBSTITUTE(SUBSTITUTE(SUBSTITUTE(SUBSTITUTE(SUBSTITUTE(ASC($C28),"①","1"),"②","2"),"③","3"),"④","4"),"⑤","5"),"⑥","6"),"⑦","7"),"⑧","8"),"⑨","9")," ",""),KIT別作業時間!$C$4:$C$27,0)),"")</f>
        <v/>
      </c>
      <c r="W28" s="393">
        <f>IF(AND(ISNUMBER($I28),$I28&gt;0),$I28,IF(ISNUMBER($V28),$V28,IF(ISNUMBER($R28),$R28,"")))</f>
        <v/>
      </c>
      <c r="X28" s="393">
        <f>IF(AND(ISNUMBER($I28),$I28&gt;0),"今回の工程実績",IF(ISNUMBER($V28),"KIT作業時間",IF(ISNUMBER($R28),"前回資料","")))</f>
        <v/>
      </c>
      <c r="Y28" s="398" t="n">
        <v>2086</v>
      </c>
      <c r="Z28" s="398">
        <f>IF(AND(ISNUMBER($W28),ISNUMBER($Y28)),$W28*$Y28,"")</f>
        <v/>
      </c>
      <c r="AA28" s="393" t="n"/>
    </row>
    <row r="29">
      <c r="A29" s="392" t="n">
        <v>25</v>
      </c>
      <c r="B29" s="392" t="n"/>
      <c r="C29" s="392" t="inlineStr">
        <is>
          <t>カスタード＆ホイップシュー</t>
        </is>
      </c>
      <c r="D29" s="398">
        <f>SUMIF(⑩盛付梱包工程入力!$R$5:$R$300,$C29,⑩盛付梱包工程入力!$AC$5:$AC$300)+SUMIF(⑩盛付梱包工程入力!$S$5:$S$300,$C29,⑩盛付梱包工程入力!$AC$5:$AC$300)+SUMIF(⑩盛付梱包工程入力!$T$5:$T$300,$C29,⑩盛付梱包工程入力!$AC$5:$AC$300)+SUMIF(⑩盛付梱包工程入力!$U$5:$U$300,$C29,⑩盛付梱包工程入力!$AC$5:$AC$300)+SUMIF(⑩盛付梱包工程入力!$V$5:$V$300,$C29,⑩盛付梱包工程入力!$AC$5:$AC$300)+SUMIF(⑩盛付梱包工程入力!$W$5:$W$300,$C29,⑩盛付梱包工程入力!$AC$5:$AC$300)</f>
        <v/>
      </c>
      <c r="E29" s="398" t="n">
        <v>578</v>
      </c>
      <c r="F29" s="398">
        <f>IF(N($E29)&gt;0,$E29,$D29)</f>
        <v/>
      </c>
      <c r="G29" s="393" t="n">
        <v>40.67922023055103</v>
      </c>
      <c r="H29" s="393">
        <f>SUMIF(②釜工程入力!$R$5:$R$117,$C29,②釜工程入力!$AD$5:$AD$117)+SUMIF(②釜工程入力!$S$5:$S$117,$C29,②釜工程入力!$AE$5:$AE$117)+SUMIF(②釜工程入力!$T$5:$T$117,$C29,②釜工程入力!$AF$5:$AF$117)+SUMIF(②釜工程入力!$U$5:$U$117,$C29,②釜工程入力!$AG$5:$AG$117)+SUMIF(②釜工程入力!$V$5:$V$117,$C29,②釜工程入力!$AH$5:$AH$117)+SUMIF(②釜工程入力!$W$5:$W$117,$C29,②釜工程入力!$AI$5:$AI$117)+SUMIF(③スチコン工程入力!$R$5:$R$152,$C29,③スチコン工程入力!$AD$5:$AD$152)+SUMIF(③スチコン工程入力!$S$5:$S$152,$C29,③スチコン工程入力!$AE$5:$AE$152)+SUMIF(③スチコン工程入力!$T$5:$T$152,$C29,③スチコン工程入力!$AF$5:$AF$152)+SUMIF(③スチコン工程入力!$U$5:$U$152,$C29,③スチコン工程入力!$AG$5:$AG$152)+SUMIF(③スチコン工程入力!$V$5:$V$152,$C29,③スチコン工程入力!$AH$5:$AH$152)+SUMIF(③スチコン工程入力!$W$5:$W$152,$C29,③スチコン工程入力!$AI$5:$AI$152)+SUMIF(⑩盛付梱包工程入力!$R$5:$R$300,$C29,⑩盛付梱包工程入力!$AD$5:$AD$300)+SUMIF(⑩盛付梱包工程入力!$S$5:$S$300,$C29,⑩盛付梱包工程入力!$AE$5:$AE$300)+SUMIF(⑩盛付梱包工程入力!$T$5:$T$300,$C29,⑩盛付梱包工程入力!$AF$5:$AF$300)+SUMIF(⑩盛付梱包工程入力!$U$5:$U$300,$C29,⑩盛付梱包工程入力!$AG$5:$AG$300)+SUMIF(⑩盛付梱包工程入力!$V$5:$V$300,$C29,⑩盛付梱包工程入力!$AH$5:$AH$300)+SUMIF(⑩盛付梱包工程入力!$W$5:$W$300,$C29,⑩盛付梱包工程入力!$AI$5:$AI$300)+SUMIF(⑪ZEN工程入力!$R$6:$R$35,$C29,⑪ZEN工程入力!$AD$6:$AD$35)+SUMIF(⑪ZEN工程入力!$S$6:$S$35,$C29,⑪ZEN工程入力!$AE$6:$AE$35)+SUMIF(⑪ZEN工程入力!$T$6:$T$35,$C29,⑪ZEN工程入力!$AF$6:$AF$35)+SUMIF(⑪ZEN工程入力!$U$6:$U$35,$C29,⑪ZEN工程入力!$AG$6:$AG$35)+SUMIF(⑪ZEN工程入力!$V$6:$V$35,$C29,⑪ZEN工程入力!$AH$6:$AH$35)+SUMIF(⑪ZEN工程入力!$W$6:$W$35,$C29,⑪ZEN工程入力!$AI$6:$AI$35)+SUMIF(⑫ミキサー工程入力!$R$6:$R$65,$C29,⑫ミキサー工程入力!$AD$6:$AD$65)+SUMIF(⑫ミキサー工程入力!$S$6:$S$65,$C29,⑫ミキサー工程入力!$AE$6:$AE$65)+SUMIF(⑫ミキサー工程入力!$T$6:$T$65,$C29,⑫ミキサー工程入力!$AF$6:$AF$65)+SUMIF(⑫ミキサー工程入力!$U$6:$U$65,$C29,⑫ミキサー工程入力!$AG$6:$AG$65)+SUMIF(⑫ミキサー工程入力!$V$6:$V$65,$C29,⑫ミキサー工程入力!$AH$6:$AH$65)+SUMIF(⑫ミキサー工程入力!$W$6:$W$65,$C29,⑫ミキサー工程入力!$AI$6:$AI$65)+SUMIF(⑬計量工程入力!$R$6:$R$65,$C29,⑬計量工程入力!$AD$6:$AD$65)+SUMIF(⑬計量工程入力!$S$6:$S$65,$C29,⑬計量工程入力!$AE$6:$AE$65)+SUMIF(⑬計量工程入力!$T$6:$T$65,$C29,⑬計量工程入力!$AF$6:$AF$65)+SUMIF(⑬計量工程入力!$U$6:$U$65,$C29,⑬計量工程入力!$AG$6:$AG$65)+SUMIF(⑬計量工程入力!$V$6:$V$65,$C29,⑬計量工程入力!$AH$6:$AH$65)+SUMIF(⑬計量工程入力!$W$6:$W$65,$C29,⑬計量工程入力!$AI$6:$AI$65)+SUMIF(⑭手動工程入力!$R$6:$R$47,$C29,⑭手動工程入力!$AD$6:$AD$47)+SUMIF(⑭手動工程入力!$S$6:$S$47,$C29,⑭手動工程入力!$AE$6:$AE$47)+SUMIF(⑭手動工程入力!$T$6:$T$47,$C29,⑭手動工程入力!$AF$6:$AF$47)+SUMIF(⑭手動工程入力!$U$6:$U$47,$C29,⑭手動工程入力!$AG$6:$AG$47)+SUMIF(⑭手動工程入力!$V$6:$V$47,$C29,⑭手動工程入力!$AH$6:$AH$47)+SUMIF(⑭手動工程入力!$W$6:$W$47,$C29,⑭手動工程入力!$AI$6:$AI$47)</f>
        <v/>
      </c>
      <c r="I29" s="393">
        <f>IF($F29&gt;0,$H29/$F29,"")</f>
        <v/>
      </c>
      <c r="J29" s="605">
        <f>IFERROR(INDEX(商品原価!$B$4:$B$112,MATCH(SUBSTITUTE(SUBSTITUTE(SUBSTITUTE(SUBSTITUTE(SUBSTITUTE(SUBSTITUTE(SUBSTITUTE(SUBSTITUTE(SUBSTITUTE(SUBSTITUTE(ASC($C29),"①","1"),"②","2"),"③","3"),"④","4"),"⑤","5"),"⑥","6"),"⑦","7"),"⑧","8"),"⑨","9")," ",""),商品原価!$C$4:$C$112,0)),"")</f>
        <v/>
      </c>
      <c r="K29" s="542">
        <f>IF(ISNUMBER($J29),$J29*④前提設定!$B$21,"")</f>
        <v/>
      </c>
      <c r="L29" s="605">
        <f>IF(AND(NOT(ISNUMBER($J29)),NOT(ISNUMBER($K29))),"",N($J29)+N($K29))</f>
        <v/>
      </c>
      <c r="M29" s="605">
        <f>IFERROR(INDEX(商品原価!$E$4:$E$112,MATCH(SUBSTITUTE(SUBSTITUTE(SUBSTITUTE(SUBSTITUTE(SUBSTITUTE(SUBSTITUTE(SUBSTITUTE(SUBSTITUTE(SUBSTITUTE(SUBSTITUTE(ASC($C29),"①","1"),"②","2"),"③","3"),"④","4"),"⑤","5"),"⑥","6"),"⑦","7"),"⑧","8"),"⑨","9")," ",""),商品原価!$C$4:$C$112,0)),"")</f>
        <v/>
      </c>
      <c r="N29" s="605">
        <f>IF(AND(ISNUMBER($M29),ISNUMBER($L29)),$M29-$L29-N($W29),"")</f>
        <v/>
      </c>
      <c r="O29" s="606">
        <f>IF(AND(ISNUMBER($N29),ISNUMBER($M29),$M29&gt;0),$N29/$M29,"")</f>
        <v/>
      </c>
      <c r="P29" s="398">
        <f>COUNTIF(②釜工程入力!$R$5:$R$117,$C29)+COUNTIF(②釜工程入力!$S$5:$S$117,$C29)+COUNTIF(②釜工程入力!$T$5:$T$117,$C29)+COUNTIF(②釜工程入力!$U$5:$U$117,$C29)+COUNTIF(②釜工程入力!$V$5:$V$117,$C29)+COUNTIF(②釜工程入力!$W$5:$W$117,$C29)+COUNTIF(③スチコン工程入力!$R$5:$R$152,$C29)+COUNTIF(③スチコン工程入力!$S$5:$S$152,$C29)+COUNTIF(③スチコン工程入力!$T$5:$T$152,$C29)+COUNTIF(③スチコン工程入力!$U$5:$U$152,$C29)+COUNTIF(③スチコン工程入力!$V$5:$V$152,$C29)+COUNTIF(③スチコン工程入力!$W$5:$W$152,$C29)+COUNTIF(⑩盛付梱包工程入力!$R$5:$R$300,$C29)+COUNTIF(⑩盛付梱包工程入力!$S$5:$S$300,$C29)+COUNTIF(⑩盛付梱包工程入力!$T$5:$T$300,$C29)+COUNTIF(⑩盛付梱包工程入力!$U$5:$U$300,$C29)+COUNTIF(⑩盛付梱包工程入力!$V$5:$V$300,$C29)+COUNTIF(⑩盛付梱包工程入力!$W$5:$W$300,$C29)+COUNTIF(⑪ZEN工程入力!$R$6:$R$35,$C29)+COUNTIF(⑪ZEN工程入力!$S$6:$S$35,$C29)+COUNTIF(⑪ZEN工程入力!$T$6:$T$35,$C29)+COUNTIF(⑪ZEN工程入力!$U$6:$U$35,$C29)+COUNTIF(⑪ZEN工程入力!$V$6:$V$35,$C29)+COUNTIF(⑪ZEN工程入力!$W$6:$W$35,$C29)+COUNTIF(⑫ミキサー工程入力!$R$6:$R$65,$C29)+COUNTIF(⑫ミキサー工程入力!$S$6:$S$65,$C29)+COUNTIF(⑫ミキサー工程入力!$T$6:$T$65,$C29)+COUNTIF(⑫ミキサー工程入力!$U$6:$U$65,$C29)+COUNTIF(⑫ミキサー工程入力!$V$6:$V$65,$C29)+COUNTIF(⑫ミキサー工程入力!$W$6:$W$65,$C29)+COUNTIF(⑬計量工程入力!$R$6:$R$65,$C29)+COUNTIF(⑬計量工程入力!$S$6:$S$65,$C29)+COUNTIF(⑬計量工程入力!$T$6:$T$65,$C29)+COUNTIF(⑬計量工程入力!$U$6:$U$65,$C29)+COUNTIF(⑬計量工程入力!$V$6:$V$65,$C29)+COUNTIF(⑬計量工程入力!$W$6:$W$65,$C29)+COUNTIF(⑭手動工程入力!$R$6:$R$47,$C29)+COUNTIF(⑭手動工程入力!$S$6:$S$47,$C29)+COUNTIF(⑭手動工程入力!$T$6:$T$47,$C29)+COUNTIF(⑭手動工程入力!$U$6:$U$47,$C29)+COUNTIF(⑭手動工程入力!$V$6:$V$47,$C29)+COUNTIF(⑭手動工程入力!$W$6:$W$47,$C29)</f>
        <v/>
      </c>
      <c r="Q29" s="392" t="n"/>
      <c r="R29" s="393" t="n">
        <v>34.52</v>
      </c>
      <c r="S29" s="393" t="n">
        <v>2999</v>
      </c>
      <c r="T29" s="393">
        <f>IF(AND(ISNUMBER($I29),ISNUMBER($R29)),$I29-$R29,"")</f>
        <v/>
      </c>
      <c r="U29" s="393" t="inlineStr">
        <is>
          <t>カスタード＆ホイップシュー</t>
        </is>
      </c>
      <c r="V29" s="605">
        <f>IFERROR(INDEX(KIT別作業時間!$D$4:$D$27,MATCH(SUBSTITUTE(SUBSTITUTE(SUBSTITUTE(SUBSTITUTE(SUBSTITUTE(SUBSTITUTE(SUBSTITUTE(SUBSTITUTE(SUBSTITUTE(SUBSTITUTE(ASC($C29),"①","1"),"②","2"),"③","3"),"④","4"),"⑤","5"),"⑥","6"),"⑦","7"),"⑧","8"),"⑨","9")," ",""),KIT別作業時間!$C$4:$C$27,0)),"")</f>
        <v/>
      </c>
      <c r="W29" s="393">
        <f>IF(AND(ISNUMBER($I29),$I29&gt;0),$I29,IF(ISNUMBER($V29),$V29,IF(ISNUMBER($R29),$R29,"")))</f>
        <v/>
      </c>
      <c r="X29" s="393">
        <f>IF(AND(ISNUMBER($I29),$I29&gt;0),"今回の工程実績",IF(ISNUMBER($V29),"KIT作業時間",IF(ISNUMBER($R29),"前回資料","")))</f>
        <v/>
      </c>
      <c r="Y29" s="398" t="n">
        <v>18204</v>
      </c>
      <c r="Z29" s="398">
        <f>IF(AND(ISNUMBER($W29),ISNUMBER($Y29)),$W29*$Y29,"")</f>
        <v/>
      </c>
      <c r="AA29" s="393" t="n"/>
    </row>
    <row r="30">
      <c r="A30" s="392" t="n">
        <v>26</v>
      </c>
      <c r="B30" s="392" t="n"/>
      <c r="C30" s="392" t="inlineStr">
        <is>
          <t>チキン南蛮ＫＩＴ</t>
        </is>
      </c>
      <c r="D30" s="398">
        <f>SUMIF(⑩盛付梱包工程入力!$R$5:$R$300,$C30,⑩盛付梱包工程入力!$AC$5:$AC$300)+SUMIF(⑩盛付梱包工程入力!$S$5:$S$300,$C30,⑩盛付梱包工程入力!$AC$5:$AC$300)+SUMIF(⑩盛付梱包工程入力!$T$5:$T$300,$C30,⑩盛付梱包工程入力!$AC$5:$AC$300)+SUMIF(⑩盛付梱包工程入力!$U$5:$U$300,$C30,⑩盛付梱包工程入力!$AC$5:$AC$300)+SUMIF(⑩盛付梱包工程入力!$V$5:$V$300,$C30,⑩盛付梱包工程入力!$AC$5:$AC$300)+SUMIF(⑩盛付梱包工程入力!$W$5:$W$300,$C30,⑩盛付梱包工程入力!$AC$5:$AC$300)</f>
        <v/>
      </c>
      <c r="E30" s="398" t="n">
        <v>86</v>
      </c>
      <c r="F30" s="398">
        <f>IF(N($E30)&gt;0,$E30,$D30)</f>
        <v/>
      </c>
      <c r="G30" s="393" t="n">
        <v>331.2735640648012</v>
      </c>
      <c r="H30" s="393">
        <f>SUMIF(②釜工程入力!$R$5:$R$117,$C30,②釜工程入力!$AD$5:$AD$117)+SUMIF(②釜工程入力!$S$5:$S$117,$C30,②釜工程入力!$AE$5:$AE$117)+SUMIF(②釜工程入力!$T$5:$T$117,$C30,②釜工程入力!$AF$5:$AF$117)+SUMIF(②釜工程入力!$U$5:$U$117,$C30,②釜工程入力!$AG$5:$AG$117)+SUMIF(②釜工程入力!$V$5:$V$117,$C30,②釜工程入力!$AH$5:$AH$117)+SUMIF(②釜工程入力!$W$5:$W$117,$C30,②釜工程入力!$AI$5:$AI$117)+SUMIF(③スチコン工程入力!$R$5:$R$152,$C30,③スチコン工程入力!$AD$5:$AD$152)+SUMIF(③スチコン工程入力!$S$5:$S$152,$C30,③スチコン工程入力!$AE$5:$AE$152)+SUMIF(③スチコン工程入力!$T$5:$T$152,$C30,③スチコン工程入力!$AF$5:$AF$152)+SUMIF(③スチコン工程入力!$U$5:$U$152,$C30,③スチコン工程入力!$AG$5:$AG$152)+SUMIF(③スチコン工程入力!$V$5:$V$152,$C30,③スチコン工程入力!$AH$5:$AH$152)+SUMIF(③スチコン工程入力!$W$5:$W$152,$C30,③スチコン工程入力!$AI$5:$AI$152)+SUMIF(⑩盛付梱包工程入力!$R$5:$R$300,$C30,⑩盛付梱包工程入力!$AD$5:$AD$300)+SUMIF(⑩盛付梱包工程入力!$S$5:$S$300,$C30,⑩盛付梱包工程入力!$AE$5:$AE$300)+SUMIF(⑩盛付梱包工程入力!$T$5:$T$300,$C30,⑩盛付梱包工程入力!$AF$5:$AF$300)+SUMIF(⑩盛付梱包工程入力!$U$5:$U$300,$C30,⑩盛付梱包工程入力!$AG$5:$AG$300)+SUMIF(⑩盛付梱包工程入力!$V$5:$V$300,$C30,⑩盛付梱包工程入力!$AH$5:$AH$300)+SUMIF(⑩盛付梱包工程入力!$W$5:$W$300,$C30,⑩盛付梱包工程入力!$AI$5:$AI$300)+SUMIF(⑪ZEN工程入力!$R$6:$R$35,$C30,⑪ZEN工程入力!$AD$6:$AD$35)+SUMIF(⑪ZEN工程入力!$S$6:$S$35,$C30,⑪ZEN工程入力!$AE$6:$AE$35)+SUMIF(⑪ZEN工程入力!$T$6:$T$35,$C30,⑪ZEN工程入力!$AF$6:$AF$35)+SUMIF(⑪ZEN工程入力!$U$6:$U$35,$C30,⑪ZEN工程入力!$AG$6:$AG$35)+SUMIF(⑪ZEN工程入力!$V$6:$V$35,$C30,⑪ZEN工程入力!$AH$6:$AH$35)+SUMIF(⑪ZEN工程入力!$W$6:$W$35,$C30,⑪ZEN工程入力!$AI$6:$AI$35)+SUMIF(⑫ミキサー工程入力!$R$6:$R$65,$C30,⑫ミキサー工程入力!$AD$6:$AD$65)+SUMIF(⑫ミキサー工程入力!$S$6:$S$65,$C30,⑫ミキサー工程入力!$AE$6:$AE$65)+SUMIF(⑫ミキサー工程入力!$T$6:$T$65,$C30,⑫ミキサー工程入力!$AF$6:$AF$65)+SUMIF(⑫ミキサー工程入力!$U$6:$U$65,$C30,⑫ミキサー工程入力!$AG$6:$AG$65)+SUMIF(⑫ミキサー工程入力!$V$6:$V$65,$C30,⑫ミキサー工程入力!$AH$6:$AH$65)+SUMIF(⑫ミキサー工程入力!$W$6:$W$65,$C30,⑫ミキサー工程入力!$AI$6:$AI$65)+SUMIF(⑬計量工程入力!$R$6:$R$65,$C30,⑬計量工程入力!$AD$6:$AD$65)+SUMIF(⑬計量工程入力!$S$6:$S$65,$C30,⑬計量工程入力!$AE$6:$AE$65)+SUMIF(⑬計量工程入力!$T$6:$T$65,$C30,⑬計量工程入力!$AF$6:$AF$65)+SUMIF(⑬計量工程入力!$U$6:$U$65,$C30,⑬計量工程入力!$AG$6:$AG$65)+SUMIF(⑬計量工程入力!$V$6:$V$65,$C30,⑬計量工程入力!$AH$6:$AH$65)+SUMIF(⑬計量工程入力!$W$6:$W$65,$C30,⑬計量工程入力!$AI$6:$AI$65)+SUMIF(⑭手動工程入力!$R$6:$R$47,$C30,⑭手動工程入力!$AD$6:$AD$47)+SUMIF(⑭手動工程入力!$S$6:$S$47,$C30,⑭手動工程入力!$AE$6:$AE$47)+SUMIF(⑭手動工程入力!$T$6:$T$47,$C30,⑭手動工程入力!$AF$6:$AF$47)+SUMIF(⑭手動工程入力!$U$6:$U$47,$C30,⑭手動工程入力!$AG$6:$AG$47)+SUMIF(⑭手動工程入力!$V$6:$V$47,$C30,⑭手動工程入力!$AH$6:$AH$47)+SUMIF(⑭手動工程入力!$W$6:$W$47,$C30,⑭手動工程入力!$AI$6:$AI$47)</f>
        <v/>
      </c>
      <c r="I30" s="393">
        <f>IF($F30&gt;0,$H30/$F30,"")</f>
        <v/>
      </c>
      <c r="J30" s="605">
        <f>IFERROR(INDEX(商品原価!$B$4:$B$112,MATCH(SUBSTITUTE(SUBSTITUTE(SUBSTITUTE(SUBSTITUTE(SUBSTITUTE(SUBSTITUTE(SUBSTITUTE(SUBSTITUTE(SUBSTITUTE(SUBSTITUTE(ASC($C30),"①","1"),"②","2"),"③","3"),"④","4"),"⑤","5"),"⑥","6"),"⑦","7"),"⑧","8"),"⑨","9")," ",""),商品原価!$C$4:$C$112,0)),"")</f>
        <v/>
      </c>
      <c r="K30" s="542">
        <f>IF(ISNUMBER($J30),$J30*④前提設定!$B$21,"")</f>
        <v/>
      </c>
      <c r="L30" s="605">
        <f>IF(AND(NOT(ISNUMBER($J30)),NOT(ISNUMBER($K30))),"",N($J30)+N($K30))</f>
        <v/>
      </c>
      <c r="M30" s="605">
        <f>IFERROR(INDEX(商品原価!$E$4:$E$112,MATCH(SUBSTITUTE(SUBSTITUTE(SUBSTITUTE(SUBSTITUTE(SUBSTITUTE(SUBSTITUTE(SUBSTITUTE(SUBSTITUTE(SUBSTITUTE(SUBSTITUTE(ASC($C30),"①","1"),"②","2"),"③","3"),"④","4"),"⑤","5"),"⑥","6"),"⑦","7"),"⑧","8"),"⑨","9")," ",""),商品原価!$C$4:$C$112,0)),"")</f>
        <v/>
      </c>
      <c r="N30" s="605">
        <f>IF(AND(ISNUMBER($M30),ISNUMBER($L30)),$M30-$L30-N($W30),"")</f>
        <v/>
      </c>
      <c r="O30" s="606">
        <f>IF(AND(ISNUMBER($N30),ISNUMBER($M30),$M30&gt;0),$N30/$M30,"")</f>
        <v/>
      </c>
      <c r="P30" s="398">
        <f>COUNTIF(②釜工程入力!$R$5:$R$117,$C30)+COUNTIF(②釜工程入力!$S$5:$S$117,$C30)+COUNTIF(②釜工程入力!$T$5:$T$117,$C30)+COUNTIF(②釜工程入力!$U$5:$U$117,$C30)+COUNTIF(②釜工程入力!$V$5:$V$117,$C30)+COUNTIF(②釜工程入力!$W$5:$W$117,$C30)+COUNTIF(③スチコン工程入力!$R$5:$R$152,$C30)+COUNTIF(③スチコン工程入力!$S$5:$S$152,$C30)+COUNTIF(③スチコン工程入力!$T$5:$T$152,$C30)+COUNTIF(③スチコン工程入力!$U$5:$U$152,$C30)+COUNTIF(③スチコン工程入力!$V$5:$V$152,$C30)+COUNTIF(③スチコン工程入力!$W$5:$W$152,$C30)+COUNTIF(⑩盛付梱包工程入力!$R$5:$R$300,$C30)+COUNTIF(⑩盛付梱包工程入力!$S$5:$S$300,$C30)+COUNTIF(⑩盛付梱包工程入力!$T$5:$T$300,$C30)+COUNTIF(⑩盛付梱包工程入力!$U$5:$U$300,$C30)+COUNTIF(⑩盛付梱包工程入力!$V$5:$V$300,$C30)+COUNTIF(⑩盛付梱包工程入力!$W$5:$W$300,$C30)+COUNTIF(⑪ZEN工程入力!$R$6:$R$35,$C30)+COUNTIF(⑪ZEN工程入力!$S$6:$S$35,$C30)+COUNTIF(⑪ZEN工程入力!$T$6:$T$35,$C30)+COUNTIF(⑪ZEN工程入力!$U$6:$U$35,$C30)+COUNTIF(⑪ZEN工程入力!$V$6:$V$35,$C30)+COUNTIF(⑪ZEN工程入力!$W$6:$W$35,$C30)+COUNTIF(⑫ミキサー工程入力!$R$6:$R$65,$C30)+COUNTIF(⑫ミキサー工程入力!$S$6:$S$65,$C30)+COUNTIF(⑫ミキサー工程入力!$T$6:$T$65,$C30)+COUNTIF(⑫ミキサー工程入力!$U$6:$U$65,$C30)+COUNTIF(⑫ミキサー工程入力!$V$6:$V$65,$C30)+COUNTIF(⑫ミキサー工程入力!$W$6:$W$65,$C30)+COUNTIF(⑬計量工程入力!$R$6:$R$65,$C30)+COUNTIF(⑬計量工程入力!$S$6:$S$65,$C30)+COUNTIF(⑬計量工程入力!$T$6:$T$65,$C30)+COUNTIF(⑬計量工程入力!$U$6:$U$65,$C30)+COUNTIF(⑬計量工程入力!$V$6:$V$65,$C30)+COUNTIF(⑬計量工程入力!$W$6:$W$65,$C30)+COUNTIF(⑭手動工程入力!$R$6:$R$47,$C30)+COUNTIF(⑭手動工程入力!$S$6:$S$47,$C30)+COUNTIF(⑭手動工程入力!$T$6:$T$47,$C30)+COUNTIF(⑭手動工程入力!$U$6:$U$47,$C30)+COUNTIF(⑭手動工程入力!$V$6:$V$47,$C30)+COUNTIF(⑭手動工程入力!$W$6:$W$47,$C30)</f>
        <v/>
      </c>
      <c r="Q30" s="392" t="inlineStr">
        <is>
          <t>⑩盛付梱包 44行目に入力欄を作成（工程記録なし）</t>
        </is>
      </c>
      <c r="R30" s="393" t="n"/>
      <c r="S30" s="393" t="n"/>
      <c r="T30" s="393" t="n"/>
      <c r="U30" s="393" t="n"/>
      <c r="V30" s="605">
        <f>IFERROR(INDEX(KIT別作業時間!$D$4:$D$27,MATCH(SUBSTITUTE(SUBSTITUTE(SUBSTITUTE(SUBSTITUTE(SUBSTITUTE(SUBSTITUTE(SUBSTITUTE(SUBSTITUTE(SUBSTITUTE(SUBSTITUTE(ASC($C30),"①","1"),"②","2"),"③","3"),"④","4"),"⑤","5"),"⑥","6"),"⑦","7"),"⑧","8"),"⑨","9")," ",""),KIT別作業時間!$C$4:$C$27,0)),"")</f>
        <v/>
      </c>
      <c r="W30" s="393">
        <f>IF(AND(ISNUMBER($I30),$I30&gt;0),$I30,IF(ISNUMBER($V30),$V30,IF(ISNUMBER($R30),$R30,"")))</f>
        <v/>
      </c>
      <c r="X30" s="393">
        <f>IF(AND(ISNUMBER($I30),$I30&gt;0),"今回の工程実績",IF(ISNUMBER($V30),"KIT作業時間",IF(ISNUMBER($R30),"前回資料","")))</f>
        <v/>
      </c>
      <c r="Y30" s="398" t="n">
        <v>2121</v>
      </c>
      <c r="Z30" s="398">
        <f>IF(AND(ISNUMBER($W30),ISNUMBER($Y30)),$W30*$Y30,"")</f>
        <v/>
      </c>
      <c r="AA30" s="393" t="n"/>
    </row>
    <row r="31">
      <c r="A31" s="392" t="n">
        <v>27</v>
      </c>
      <c r="B31" s="392" t="n"/>
      <c r="C31" s="392" t="inlineStr">
        <is>
          <t>ふわもちホテルロール１６個</t>
        </is>
      </c>
      <c r="D31" s="398">
        <f>SUMIF(⑩盛付梱包工程入力!$R$5:$R$300,$C31,⑩盛付梱包工程入力!$AC$5:$AC$300)+SUMIF(⑩盛付梱包工程入力!$S$5:$S$300,$C31,⑩盛付梱包工程入力!$AC$5:$AC$300)+SUMIF(⑩盛付梱包工程入力!$T$5:$T$300,$C31,⑩盛付梱包工程入力!$AC$5:$AC$300)+SUMIF(⑩盛付梱包工程入力!$U$5:$U$300,$C31,⑩盛付梱包工程入力!$AC$5:$AC$300)+SUMIF(⑩盛付梱包工程入力!$V$5:$V$300,$C31,⑩盛付梱包工程入力!$AC$5:$AC$300)+SUMIF(⑩盛付梱包工程入力!$W$5:$W$300,$C31,⑩盛付梱包工程入力!$AC$5:$AC$300)</f>
        <v/>
      </c>
      <c r="E31" s="398" t="n">
        <v>398</v>
      </c>
      <c r="F31" s="398">
        <f>IF(N($E31)&gt;0,$E31,$D31)</f>
        <v/>
      </c>
      <c r="G31" s="393" t="n">
        <v>88.14807627404657</v>
      </c>
      <c r="H31" s="393">
        <f>SUMIF(②釜工程入力!$R$5:$R$117,$C31,②釜工程入力!$AD$5:$AD$117)+SUMIF(②釜工程入力!$S$5:$S$117,$C31,②釜工程入力!$AE$5:$AE$117)+SUMIF(②釜工程入力!$T$5:$T$117,$C31,②釜工程入力!$AF$5:$AF$117)+SUMIF(②釜工程入力!$U$5:$U$117,$C31,②釜工程入力!$AG$5:$AG$117)+SUMIF(②釜工程入力!$V$5:$V$117,$C31,②釜工程入力!$AH$5:$AH$117)+SUMIF(②釜工程入力!$W$5:$W$117,$C31,②釜工程入力!$AI$5:$AI$117)+SUMIF(③スチコン工程入力!$R$5:$R$152,$C31,③スチコン工程入力!$AD$5:$AD$152)+SUMIF(③スチコン工程入力!$S$5:$S$152,$C31,③スチコン工程入力!$AE$5:$AE$152)+SUMIF(③スチコン工程入力!$T$5:$T$152,$C31,③スチコン工程入力!$AF$5:$AF$152)+SUMIF(③スチコン工程入力!$U$5:$U$152,$C31,③スチコン工程入力!$AG$5:$AG$152)+SUMIF(③スチコン工程入力!$V$5:$V$152,$C31,③スチコン工程入力!$AH$5:$AH$152)+SUMIF(③スチコン工程入力!$W$5:$W$152,$C31,③スチコン工程入力!$AI$5:$AI$152)+SUMIF(⑩盛付梱包工程入力!$R$5:$R$300,$C31,⑩盛付梱包工程入力!$AD$5:$AD$300)+SUMIF(⑩盛付梱包工程入力!$S$5:$S$300,$C31,⑩盛付梱包工程入力!$AE$5:$AE$300)+SUMIF(⑩盛付梱包工程入力!$T$5:$T$300,$C31,⑩盛付梱包工程入力!$AF$5:$AF$300)+SUMIF(⑩盛付梱包工程入力!$U$5:$U$300,$C31,⑩盛付梱包工程入力!$AG$5:$AG$300)+SUMIF(⑩盛付梱包工程入力!$V$5:$V$300,$C31,⑩盛付梱包工程入力!$AH$5:$AH$300)+SUMIF(⑩盛付梱包工程入力!$W$5:$W$300,$C31,⑩盛付梱包工程入力!$AI$5:$AI$300)+SUMIF(⑪ZEN工程入力!$R$6:$R$35,$C31,⑪ZEN工程入力!$AD$6:$AD$35)+SUMIF(⑪ZEN工程入力!$S$6:$S$35,$C31,⑪ZEN工程入力!$AE$6:$AE$35)+SUMIF(⑪ZEN工程入力!$T$6:$T$35,$C31,⑪ZEN工程入力!$AF$6:$AF$35)+SUMIF(⑪ZEN工程入力!$U$6:$U$35,$C31,⑪ZEN工程入力!$AG$6:$AG$35)+SUMIF(⑪ZEN工程入力!$V$6:$V$35,$C31,⑪ZEN工程入力!$AH$6:$AH$35)+SUMIF(⑪ZEN工程入力!$W$6:$W$35,$C31,⑪ZEN工程入力!$AI$6:$AI$35)+SUMIF(⑫ミキサー工程入力!$R$6:$R$65,$C31,⑫ミキサー工程入力!$AD$6:$AD$65)+SUMIF(⑫ミキサー工程入力!$S$6:$S$65,$C31,⑫ミキサー工程入力!$AE$6:$AE$65)+SUMIF(⑫ミキサー工程入力!$T$6:$T$65,$C31,⑫ミキサー工程入力!$AF$6:$AF$65)+SUMIF(⑫ミキサー工程入力!$U$6:$U$65,$C31,⑫ミキサー工程入力!$AG$6:$AG$65)+SUMIF(⑫ミキサー工程入力!$V$6:$V$65,$C31,⑫ミキサー工程入力!$AH$6:$AH$65)+SUMIF(⑫ミキサー工程入力!$W$6:$W$65,$C31,⑫ミキサー工程入力!$AI$6:$AI$65)+SUMIF(⑬計量工程入力!$R$6:$R$65,$C31,⑬計量工程入力!$AD$6:$AD$65)+SUMIF(⑬計量工程入力!$S$6:$S$65,$C31,⑬計量工程入力!$AE$6:$AE$65)+SUMIF(⑬計量工程入力!$T$6:$T$65,$C31,⑬計量工程入力!$AF$6:$AF$65)+SUMIF(⑬計量工程入力!$U$6:$U$65,$C31,⑬計量工程入力!$AG$6:$AG$65)+SUMIF(⑬計量工程入力!$V$6:$V$65,$C31,⑬計量工程入力!$AH$6:$AH$65)+SUMIF(⑬計量工程入力!$W$6:$W$65,$C31,⑬計量工程入力!$AI$6:$AI$65)+SUMIF(⑭手動工程入力!$R$6:$R$47,$C31,⑭手動工程入力!$AD$6:$AD$47)+SUMIF(⑭手動工程入力!$S$6:$S$47,$C31,⑭手動工程入力!$AE$6:$AE$47)+SUMIF(⑭手動工程入力!$T$6:$T$47,$C31,⑭手動工程入力!$AF$6:$AF$47)+SUMIF(⑭手動工程入力!$U$6:$U$47,$C31,⑭手動工程入力!$AG$6:$AG$47)+SUMIF(⑭手動工程入力!$V$6:$V$47,$C31,⑭手動工程入力!$AH$6:$AH$47)+SUMIF(⑭手動工程入力!$W$6:$W$47,$C31,⑭手動工程入力!$AI$6:$AI$47)</f>
        <v/>
      </c>
      <c r="I31" s="393">
        <f>IF($F31&gt;0,$H31/$F31,"")</f>
        <v/>
      </c>
      <c r="J31" s="605">
        <f>IFERROR(INDEX(商品原価!$B$4:$B$112,MATCH(SUBSTITUTE(SUBSTITUTE(SUBSTITUTE(SUBSTITUTE(SUBSTITUTE(SUBSTITUTE(SUBSTITUTE(SUBSTITUTE(SUBSTITUTE(SUBSTITUTE(ASC($C31),"①","1"),"②","2"),"③","3"),"④","4"),"⑤","5"),"⑥","6"),"⑦","7"),"⑧","8"),"⑨","9")," ",""),商品原価!$C$4:$C$112,0)),"")</f>
        <v/>
      </c>
      <c r="K31" s="542">
        <f>IF(ISNUMBER($J31),$J31*④前提設定!$B$21,"")</f>
        <v/>
      </c>
      <c r="L31" s="605">
        <f>IF(AND(NOT(ISNUMBER($J31)),NOT(ISNUMBER($K31))),"",N($J31)+N($K31))</f>
        <v/>
      </c>
      <c r="M31" s="605">
        <f>IFERROR(INDEX(商品原価!$E$4:$E$112,MATCH(SUBSTITUTE(SUBSTITUTE(SUBSTITUTE(SUBSTITUTE(SUBSTITUTE(SUBSTITUTE(SUBSTITUTE(SUBSTITUTE(SUBSTITUTE(SUBSTITUTE(ASC($C31),"①","1"),"②","2"),"③","3"),"④","4"),"⑤","5"),"⑥","6"),"⑦","7"),"⑧","8"),"⑨","9")," ",""),商品原価!$C$4:$C$112,0)),"")</f>
        <v/>
      </c>
      <c r="N31" s="605">
        <f>IF(AND(ISNUMBER($M31),ISNUMBER($L31)),$M31-$L31-N($W31),"")</f>
        <v/>
      </c>
      <c r="O31" s="606">
        <f>IF(AND(ISNUMBER($N31),ISNUMBER($M31),$M31&gt;0),$N31/$M31,"")</f>
        <v/>
      </c>
      <c r="P31" s="398">
        <f>COUNTIF(②釜工程入力!$R$5:$R$117,$C31)+COUNTIF(②釜工程入力!$S$5:$S$117,$C31)+COUNTIF(②釜工程入力!$T$5:$T$117,$C31)+COUNTIF(②釜工程入力!$U$5:$U$117,$C31)+COUNTIF(②釜工程入力!$V$5:$V$117,$C31)+COUNTIF(②釜工程入力!$W$5:$W$117,$C31)+COUNTIF(③スチコン工程入力!$R$5:$R$152,$C31)+COUNTIF(③スチコン工程入力!$S$5:$S$152,$C31)+COUNTIF(③スチコン工程入力!$T$5:$T$152,$C31)+COUNTIF(③スチコン工程入力!$U$5:$U$152,$C31)+COUNTIF(③スチコン工程入力!$V$5:$V$152,$C31)+COUNTIF(③スチコン工程入力!$W$5:$W$152,$C31)+COUNTIF(⑩盛付梱包工程入力!$R$5:$R$300,$C31)+COUNTIF(⑩盛付梱包工程入力!$S$5:$S$300,$C31)+COUNTIF(⑩盛付梱包工程入力!$T$5:$T$300,$C31)+COUNTIF(⑩盛付梱包工程入力!$U$5:$U$300,$C31)+COUNTIF(⑩盛付梱包工程入力!$V$5:$V$300,$C31)+COUNTIF(⑩盛付梱包工程入力!$W$5:$W$300,$C31)+COUNTIF(⑪ZEN工程入力!$R$6:$R$35,$C31)+COUNTIF(⑪ZEN工程入力!$S$6:$S$35,$C31)+COUNTIF(⑪ZEN工程入力!$T$6:$T$35,$C31)+COUNTIF(⑪ZEN工程入力!$U$6:$U$35,$C31)+COUNTIF(⑪ZEN工程入力!$V$6:$V$35,$C31)+COUNTIF(⑪ZEN工程入力!$W$6:$W$35,$C31)+COUNTIF(⑫ミキサー工程入力!$R$6:$R$65,$C31)+COUNTIF(⑫ミキサー工程入力!$S$6:$S$65,$C31)+COUNTIF(⑫ミキサー工程入力!$T$6:$T$65,$C31)+COUNTIF(⑫ミキサー工程入力!$U$6:$U$65,$C31)+COUNTIF(⑫ミキサー工程入力!$V$6:$V$65,$C31)+COUNTIF(⑫ミキサー工程入力!$W$6:$W$65,$C31)+COUNTIF(⑬計量工程入力!$R$6:$R$65,$C31)+COUNTIF(⑬計量工程入力!$S$6:$S$65,$C31)+COUNTIF(⑬計量工程入力!$T$6:$T$65,$C31)+COUNTIF(⑬計量工程入力!$U$6:$U$65,$C31)+COUNTIF(⑬計量工程入力!$V$6:$V$65,$C31)+COUNTIF(⑬計量工程入力!$W$6:$W$65,$C31)+COUNTIF(⑭手動工程入力!$R$6:$R$47,$C31)+COUNTIF(⑭手動工程入力!$S$6:$S$47,$C31)+COUNTIF(⑭手動工程入力!$T$6:$T$47,$C31)+COUNTIF(⑭手動工程入力!$U$6:$U$47,$C31)+COUNTIF(⑭手動工程入力!$V$6:$V$47,$C31)+COUNTIF(⑭手動工程入力!$W$6:$W$47,$C31)</f>
        <v/>
      </c>
      <c r="Q31" s="392" t="n"/>
      <c r="R31" s="393" t="n"/>
      <c r="S31" s="393" t="n"/>
      <c r="T31" s="393" t="n"/>
      <c r="U31" s="393" t="n"/>
      <c r="V31" s="605">
        <f>IFERROR(INDEX(KIT別作業時間!$D$4:$D$27,MATCH(SUBSTITUTE(SUBSTITUTE(SUBSTITUTE(SUBSTITUTE(SUBSTITUTE(SUBSTITUTE(SUBSTITUTE(SUBSTITUTE(SUBSTITUTE(SUBSTITUTE(ASC($C31),"①","1"),"②","2"),"③","3"),"④","4"),"⑤","5"),"⑥","6"),"⑦","7"),"⑧","8"),"⑨","9")," ",""),KIT別作業時間!$C$4:$C$27,0)),"")</f>
        <v/>
      </c>
      <c r="W31" s="393">
        <f>IF(AND(ISNUMBER($I31),$I31&gt;0),$I31,IF(ISNUMBER($V31),$V31,IF(ISNUMBER($R31),$R31,"")))</f>
        <v/>
      </c>
      <c r="X31" s="393">
        <f>IF(AND(ISNUMBER($I31),$I31&gt;0),"今回の工程実績",IF(ISNUMBER($V31),"KIT作業時間",IF(ISNUMBER($R31),"前回資料","")))</f>
        <v/>
      </c>
      <c r="Y31" s="398" t="n">
        <v>10691</v>
      </c>
      <c r="Z31" s="398">
        <f>IF(AND(ISNUMBER($W31),ISNUMBER($Y31)),$W31*$Y31,"")</f>
        <v/>
      </c>
      <c r="AA31" s="393" t="n"/>
    </row>
    <row r="32">
      <c r="A32" s="392" t="n">
        <v>28</v>
      </c>
      <c r="B32" s="392" t="n"/>
      <c r="C32" s="392" t="inlineStr">
        <is>
          <t>肉団子ＫＩＴ（４０個）３</t>
        </is>
      </c>
      <c r="D32" s="398">
        <f>SUMIF(⑩盛付梱包工程入力!$R$5:$R$300,$C32,⑩盛付梱包工程入力!$AC$5:$AC$300)+SUMIF(⑩盛付梱包工程入力!$S$5:$S$300,$C32,⑩盛付梱包工程入力!$AC$5:$AC$300)+SUMIF(⑩盛付梱包工程入力!$T$5:$T$300,$C32,⑩盛付梱包工程入力!$AC$5:$AC$300)+SUMIF(⑩盛付梱包工程入力!$U$5:$U$300,$C32,⑩盛付梱包工程入力!$AC$5:$AC$300)+SUMIF(⑩盛付梱包工程入力!$V$5:$V$300,$C32,⑩盛付梱包工程入力!$AC$5:$AC$300)+SUMIF(⑩盛付梱包工程入力!$W$5:$W$300,$C32,⑩盛付梱包工程入力!$AC$5:$AC$300)</f>
        <v/>
      </c>
      <c r="E32" s="398" t="n">
        <v>186</v>
      </c>
      <c r="F32" s="398">
        <f>IF(N($E32)&gt;0,$E32,$D32)</f>
        <v/>
      </c>
      <c r="G32" s="393" t="n">
        <v>106.1159420289855</v>
      </c>
      <c r="H32" s="393">
        <f>SUMIF(②釜工程入力!$R$5:$R$117,$C32,②釜工程入力!$AD$5:$AD$117)+SUMIF(②釜工程入力!$S$5:$S$117,$C32,②釜工程入力!$AE$5:$AE$117)+SUMIF(②釜工程入力!$T$5:$T$117,$C32,②釜工程入力!$AF$5:$AF$117)+SUMIF(②釜工程入力!$U$5:$U$117,$C32,②釜工程入力!$AG$5:$AG$117)+SUMIF(②釜工程入力!$V$5:$V$117,$C32,②釜工程入力!$AH$5:$AH$117)+SUMIF(②釜工程入力!$W$5:$W$117,$C32,②釜工程入力!$AI$5:$AI$117)+SUMIF(③スチコン工程入力!$R$5:$R$152,$C32,③スチコン工程入力!$AD$5:$AD$152)+SUMIF(③スチコン工程入力!$S$5:$S$152,$C32,③スチコン工程入力!$AE$5:$AE$152)+SUMIF(③スチコン工程入力!$T$5:$T$152,$C32,③スチコン工程入力!$AF$5:$AF$152)+SUMIF(③スチコン工程入力!$U$5:$U$152,$C32,③スチコン工程入力!$AG$5:$AG$152)+SUMIF(③スチコン工程入力!$V$5:$V$152,$C32,③スチコン工程入力!$AH$5:$AH$152)+SUMIF(③スチコン工程入力!$W$5:$W$152,$C32,③スチコン工程入力!$AI$5:$AI$152)+SUMIF(⑩盛付梱包工程入力!$R$5:$R$300,$C32,⑩盛付梱包工程入力!$AD$5:$AD$300)+SUMIF(⑩盛付梱包工程入力!$S$5:$S$300,$C32,⑩盛付梱包工程入力!$AE$5:$AE$300)+SUMIF(⑩盛付梱包工程入力!$T$5:$T$300,$C32,⑩盛付梱包工程入力!$AF$5:$AF$300)+SUMIF(⑩盛付梱包工程入力!$U$5:$U$300,$C32,⑩盛付梱包工程入力!$AG$5:$AG$300)+SUMIF(⑩盛付梱包工程入力!$V$5:$V$300,$C32,⑩盛付梱包工程入力!$AH$5:$AH$300)+SUMIF(⑩盛付梱包工程入力!$W$5:$W$300,$C32,⑩盛付梱包工程入力!$AI$5:$AI$300)+SUMIF(⑪ZEN工程入力!$R$6:$R$35,$C32,⑪ZEN工程入力!$AD$6:$AD$35)+SUMIF(⑪ZEN工程入力!$S$6:$S$35,$C32,⑪ZEN工程入力!$AE$6:$AE$35)+SUMIF(⑪ZEN工程入力!$T$6:$T$35,$C32,⑪ZEN工程入力!$AF$6:$AF$35)+SUMIF(⑪ZEN工程入力!$U$6:$U$35,$C32,⑪ZEN工程入力!$AG$6:$AG$35)+SUMIF(⑪ZEN工程入力!$V$6:$V$35,$C32,⑪ZEN工程入力!$AH$6:$AH$35)+SUMIF(⑪ZEN工程入力!$W$6:$W$35,$C32,⑪ZEN工程入力!$AI$6:$AI$35)+SUMIF(⑫ミキサー工程入力!$R$6:$R$65,$C32,⑫ミキサー工程入力!$AD$6:$AD$65)+SUMIF(⑫ミキサー工程入力!$S$6:$S$65,$C32,⑫ミキサー工程入力!$AE$6:$AE$65)+SUMIF(⑫ミキサー工程入力!$T$6:$T$65,$C32,⑫ミキサー工程入力!$AF$6:$AF$65)+SUMIF(⑫ミキサー工程入力!$U$6:$U$65,$C32,⑫ミキサー工程入力!$AG$6:$AG$65)+SUMIF(⑫ミキサー工程入力!$V$6:$V$65,$C32,⑫ミキサー工程入力!$AH$6:$AH$65)+SUMIF(⑫ミキサー工程入力!$W$6:$W$65,$C32,⑫ミキサー工程入力!$AI$6:$AI$65)+SUMIF(⑬計量工程入力!$R$6:$R$65,$C32,⑬計量工程入力!$AD$6:$AD$65)+SUMIF(⑬計量工程入力!$S$6:$S$65,$C32,⑬計量工程入力!$AE$6:$AE$65)+SUMIF(⑬計量工程入力!$T$6:$T$65,$C32,⑬計量工程入力!$AF$6:$AF$65)+SUMIF(⑬計量工程入力!$U$6:$U$65,$C32,⑬計量工程入力!$AG$6:$AG$65)+SUMIF(⑬計量工程入力!$V$6:$V$65,$C32,⑬計量工程入力!$AH$6:$AH$65)+SUMIF(⑬計量工程入力!$W$6:$W$65,$C32,⑬計量工程入力!$AI$6:$AI$65)+SUMIF(⑭手動工程入力!$R$6:$R$47,$C32,⑭手動工程入力!$AD$6:$AD$47)+SUMIF(⑭手動工程入力!$S$6:$S$47,$C32,⑭手動工程入力!$AE$6:$AE$47)+SUMIF(⑭手動工程入力!$T$6:$T$47,$C32,⑭手動工程入力!$AF$6:$AF$47)+SUMIF(⑭手動工程入力!$U$6:$U$47,$C32,⑭手動工程入力!$AG$6:$AG$47)+SUMIF(⑭手動工程入力!$V$6:$V$47,$C32,⑭手動工程入力!$AH$6:$AH$47)+SUMIF(⑭手動工程入力!$W$6:$W$47,$C32,⑭手動工程入力!$AI$6:$AI$47)</f>
        <v/>
      </c>
      <c r="I32" s="393">
        <f>IF($F32&gt;0,$H32/$F32,"")</f>
        <v/>
      </c>
      <c r="J32" s="605">
        <f>IFERROR(INDEX(商品原価!$B$4:$B$112,MATCH(SUBSTITUTE(SUBSTITUTE(SUBSTITUTE(SUBSTITUTE(SUBSTITUTE(SUBSTITUTE(SUBSTITUTE(SUBSTITUTE(SUBSTITUTE(SUBSTITUTE(ASC($C32),"①","1"),"②","2"),"③","3"),"④","4"),"⑤","5"),"⑥","6"),"⑦","7"),"⑧","8"),"⑨","9")," ",""),商品原価!$C$4:$C$112,0)),"")</f>
        <v/>
      </c>
      <c r="K32" s="542">
        <f>IF(ISNUMBER($J32),$J32*④前提設定!$B$21,"")</f>
        <v/>
      </c>
      <c r="L32" s="605">
        <f>IF(AND(NOT(ISNUMBER($J32)),NOT(ISNUMBER($K32))),"",N($J32)+N($K32))</f>
        <v/>
      </c>
      <c r="M32" s="605">
        <f>IFERROR(INDEX(商品原価!$E$4:$E$112,MATCH(SUBSTITUTE(SUBSTITUTE(SUBSTITUTE(SUBSTITUTE(SUBSTITUTE(SUBSTITUTE(SUBSTITUTE(SUBSTITUTE(SUBSTITUTE(SUBSTITUTE(ASC($C32),"①","1"),"②","2"),"③","3"),"④","4"),"⑤","5"),"⑥","6"),"⑦","7"),"⑧","8"),"⑨","9")," ",""),商品原価!$C$4:$C$112,0)),"")</f>
        <v/>
      </c>
      <c r="N32" s="605">
        <f>IF(AND(ISNUMBER($M32),ISNUMBER($L32)),$M32-$L32-N($W32),"")</f>
        <v/>
      </c>
      <c r="O32" s="606">
        <f>IF(AND(ISNUMBER($N32),ISNUMBER($M32),$M32&gt;0),$N32/$M32,"")</f>
        <v/>
      </c>
      <c r="P32" s="398">
        <f>COUNTIF(②釜工程入力!$R$5:$R$117,$C32)+COUNTIF(②釜工程入力!$S$5:$S$117,$C32)+COUNTIF(②釜工程入力!$T$5:$T$117,$C32)+COUNTIF(②釜工程入力!$U$5:$U$117,$C32)+COUNTIF(②釜工程入力!$V$5:$V$117,$C32)+COUNTIF(②釜工程入力!$W$5:$W$117,$C32)+COUNTIF(③スチコン工程入力!$R$5:$R$152,$C32)+COUNTIF(③スチコン工程入力!$S$5:$S$152,$C32)+COUNTIF(③スチコン工程入力!$T$5:$T$152,$C32)+COUNTIF(③スチコン工程入力!$U$5:$U$152,$C32)+COUNTIF(③スチコン工程入力!$V$5:$V$152,$C32)+COUNTIF(③スチコン工程入力!$W$5:$W$152,$C32)+COUNTIF(⑩盛付梱包工程入力!$R$5:$R$300,$C32)+COUNTIF(⑩盛付梱包工程入力!$S$5:$S$300,$C32)+COUNTIF(⑩盛付梱包工程入力!$T$5:$T$300,$C32)+COUNTIF(⑩盛付梱包工程入力!$U$5:$U$300,$C32)+COUNTIF(⑩盛付梱包工程入力!$V$5:$V$300,$C32)+COUNTIF(⑩盛付梱包工程入力!$W$5:$W$300,$C32)+COUNTIF(⑪ZEN工程入力!$R$6:$R$35,$C32)+COUNTIF(⑪ZEN工程入力!$S$6:$S$35,$C32)+COUNTIF(⑪ZEN工程入力!$T$6:$T$35,$C32)+COUNTIF(⑪ZEN工程入力!$U$6:$U$35,$C32)+COUNTIF(⑪ZEN工程入力!$V$6:$V$35,$C32)+COUNTIF(⑪ZEN工程入力!$W$6:$W$35,$C32)+COUNTIF(⑫ミキサー工程入力!$R$6:$R$65,$C32)+COUNTIF(⑫ミキサー工程入力!$S$6:$S$65,$C32)+COUNTIF(⑫ミキサー工程入力!$T$6:$T$65,$C32)+COUNTIF(⑫ミキサー工程入力!$U$6:$U$65,$C32)+COUNTIF(⑫ミキサー工程入力!$V$6:$V$65,$C32)+COUNTIF(⑫ミキサー工程入力!$W$6:$W$65,$C32)+COUNTIF(⑬計量工程入力!$R$6:$R$65,$C32)+COUNTIF(⑬計量工程入力!$S$6:$S$65,$C32)+COUNTIF(⑬計量工程入力!$T$6:$T$65,$C32)+COUNTIF(⑬計量工程入力!$U$6:$U$65,$C32)+COUNTIF(⑬計量工程入力!$V$6:$V$65,$C32)+COUNTIF(⑬計量工程入力!$W$6:$W$65,$C32)+COUNTIF(⑭手動工程入力!$R$6:$R$47,$C32)+COUNTIF(⑭手動工程入力!$S$6:$S$47,$C32)+COUNTIF(⑭手動工程入力!$T$6:$T$47,$C32)+COUNTIF(⑭手動工程入力!$U$6:$U$47,$C32)+COUNTIF(⑭手動工程入力!$V$6:$V$47,$C32)+COUNTIF(⑭手動工程入力!$W$6:$W$47,$C32)</f>
        <v/>
      </c>
      <c r="Q32" s="392" t="inlineStr">
        <is>
          <t>⑩盛付梱包 39行目に入力欄を作成（工程記録なし）</t>
        </is>
      </c>
      <c r="R32" s="393" t="n"/>
      <c r="S32" s="393" t="n"/>
      <c r="T32" s="393" t="n"/>
      <c r="U32" s="393" t="n"/>
      <c r="V32" s="605">
        <f>IFERROR(INDEX(KIT別作業時間!$D$4:$D$27,MATCH(SUBSTITUTE(SUBSTITUTE(SUBSTITUTE(SUBSTITUTE(SUBSTITUTE(SUBSTITUTE(SUBSTITUTE(SUBSTITUTE(SUBSTITUTE(SUBSTITUTE(ASC($C32),"①","1"),"②","2"),"③","3"),"④","4"),"⑤","5"),"⑥","6"),"⑦","7"),"⑧","8"),"⑨","9")," ",""),KIT別作業時間!$C$4:$C$27,0)),"")</f>
        <v/>
      </c>
      <c r="W32" s="393">
        <f>IF(AND(ISNUMBER($I32),$I32&gt;0),$I32,IF(ISNUMBER($V32),$V32,IF(ISNUMBER($R32),$R32,"")))</f>
        <v/>
      </c>
      <c r="X32" s="393">
        <f>IF(AND(ISNUMBER($I32),$I32&gt;0),"今回の工程実績",IF(ISNUMBER($V32),"KIT作業時間",IF(ISNUMBER($R32),"前回資料","")))</f>
        <v/>
      </c>
      <c r="Y32" s="398" t="n">
        <v>5759</v>
      </c>
      <c r="Z32" s="398">
        <f>IF(AND(ISNUMBER($W32),ISNUMBER($Y32)),$W32*$Y32,"")</f>
        <v/>
      </c>
      <c r="AA32" s="393" t="n"/>
    </row>
    <row r="33">
      <c r="A33" s="392" t="n">
        <v>29</v>
      </c>
      <c r="B33" s="392" t="n"/>
      <c r="C33" s="392" t="inlineStr">
        <is>
          <t>自社製ホイップの卵プリン</t>
        </is>
      </c>
      <c r="D33" s="398">
        <f>SUMIF(⑩盛付梱包工程入力!$R$5:$R$300,$C33,⑩盛付梱包工程入力!$AC$5:$AC$300)+SUMIF(⑩盛付梱包工程入力!$S$5:$S$300,$C33,⑩盛付梱包工程入力!$AC$5:$AC$300)+SUMIF(⑩盛付梱包工程入力!$T$5:$T$300,$C33,⑩盛付梱包工程入力!$AC$5:$AC$300)+SUMIF(⑩盛付梱包工程入力!$U$5:$U$300,$C33,⑩盛付梱包工程入力!$AC$5:$AC$300)+SUMIF(⑩盛付梱包工程入力!$V$5:$V$300,$C33,⑩盛付梱包工程入力!$AC$5:$AC$300)+SUMIF(⑩盛付梱包工程入力!$W$5:$W$300,$C33,⑩盛付梱包工程入力!$AC$5:$AC$300)</f>
        <v/>
      </c>
      <c r="E33" s="398" t="n">
        <v>505</v>
      </c>
      <c r="F33" s="398">
        <f>IF(N($E33)&gt;0,$E33,$D33)</f>
        <v/>
      </c>
      <c r="G33" s="393" t="n">
        <v>33.05585670516144</v>
      </c>
      <c r="H33" s="393">
        <f>SUMIF(②釜工程入力!$R$5:$R$117,$C33,②釜工程入力!$AD$5:$AD$117)+SUMIF(②釜工程入力!$S$5:$S$117,$C33,②釜工程入力!$AE$5:$AE$117)+SUMIF(②釜工程入力!$T$5:$T$117,$C33,②釜工程入力!$AF$5:$AF$117)+SUMIF(②釜工程入力!$U$5:$U$117,$C33,②釜工程入力!$AG$5:$AG$117)+SUMIF(②釜工程入力!$V$5:$V$117,$C33,②釜工程入力!$AH$5:$AH$117)+SUMIF(②釜工程入力!$W$5:$W$117,$C33,②釜工程入力!$AI$5:$AI$117)+SUMIF(③スチコン工程入力!$R$5:$R$152,$C33,③スチコン工程入力!$AD$5:$AD$152)+SUMIF(③スチコン工程入力!$S$5:$S$152,$C33,③スチコン工程入力!$AE$5:$AE$152)+SUMIF(③スチコン工程入力!$T$5:$T$152,$C33,③スチコン工程入力!$AF$5:$AF$152)+SUMIF(③スチコン工程入力!$U$5:$U$152,$C33,③スチコン工程入力!$AG$5:$AG$152)+SUMIF(③スチコン工程入力!$V$5:$V$152,$C33,③スチコン工程入力!$AH$5:$AH$152)+SUMIF(③スチコン工程入力!$W$5:$W$152,$C33,③スチコン工程入力!$AI$5:$AI$152)+SUMIF(⑩盛付梱包工程入力!$R$5:$R$300,$C33,⑩盛付梱包工程入力!$AD$5:$AD$300)+SUMIF(⑩盛付梱包工程入力!$S$5:$S$300,$C33,⑩盛付梱包工程入力!$AE$5:$AE$300)+SUMIF(⑩盛付梱包工程入力!$T$5:$T$300,$C33,⑩盛付梱包工程入力!$AF$5:$AF$300)+SUMIF(⑩盛付梱包工程入力!$U$5:$U$300,$C33,⑩盛付梱包工程入力!$AG$5:$AG$300)+SUMIF(⑩盛付梱包工程入力!$V$5:$V$300,$C33,⑩盛付梱包工程入力!$AH$5:$AH$300)+SUMIF(⑩盛付梱包工程入力!$W$5:$W$300,$C33,⑩盛付梱包工程入力!$AI$5:$AI$300)+SUMIF(⑪ZEN工程入力!$R$6:$R$35,$C33,⑪ZEN工程入力!$AD$6:$AD$35)+SUMIF(⑪ZEN工程入力!$S$6:$S$35,$C33,⑪ZEN工程入力!$AE$6:$AE$35)+SUMIF(⑪ZEN工程入力!$T$6:$T$35,$C33,⑪ZEN工程入力!$AF$6:$AF$35)+SUMIF(⑪ZEN工程入力!$U$6:$U$35,$C33,⑪ZEN工程入力!$AG$6:$AG$35)+SUMIF(⑪ZEN工程入力!$V$6:$V$35,$C33,⑪ZEN工程入力!$AH$6:$AH$35)+SUMIF(⑪ZEN工程入力!$W$6:$W$35,$C33,⑪ZEN工程入力!$AI$6:$AI$35)+SUMIF(⑫ミキサー工程入力!$R$6:$R$65,$C33,⑫ミキサー工程入力!$AD$6:$AD$65)+SUMIF(⑫ミキサー工程入力!$S$6:$S$65,$C33,⑫ミキサー工程入力!$AE$6:$AE$65)+SUMIF(⑫ミキサー工程入力!$T$6:$T$65,$C33,⑫ミキサー工程入力!$AF$6:$AF$65)+SUMIF(⑫ミキサー工程入力!$U$6:$U$65,$C33,⑫ミキサー工程入力!$AG$6:$AG$65)+SUMIF(⑫ミキサー工程入力!$V$6:$V$65,$C33,⑫ミキサー工程入力!$AH$6:$AH$65)+SUMIF(⑫ミキサー工程入力!$W$6:$W$65,$C33,⑫ミキサー工程入力!$AI$6:$AI$65)+SUMIF(⑬計量工程入力!$R$6:$R$65,$C33,⑬計量工程入力!$AD$6:$AD$65)+SUMIF(⑬計量工程入力!$S$6:$S$65,$C33,⑬計量工程入力!$AE$6:$AE$65)+SUMIF(⑬計量工程入力!$T$6:$T$65,$C33,⑬計量工程入力!$AF$6:$AF$65)+SUMIF(⑬計量工程入力!$U$6:$U$65,$C33,⑬計量工程入力!$AG$6:$AG$65)+SUMIF(⑬計量工程入力!$V$6:$V$65,$C33,⑬計量工程入力!$AH$6:$AH$65)+SUMIF(⑬計量工程入力!$W$6:$W$65,$C33,⑬計量工程入力!$AI$6:$AI$65)+SUMIF(⑭手動工程入力!$R$6:$R$47,$C33,⑭手動工程入力!$AD$6:$AD$47)+SUMIF(⑭手動工程入力!$S$6:$S$47,$C33,⑭手動工程入力!$AE$6:$AE$47)+SUMIF(⑭手動工程入力!$T$6:$T$47,$C33,⑭手動工程入力!$AF$6:$AF$47)+SUMIF(⑭手動工程入力!$U$6:$U$47,$C33,⑭手動工程入力!$AG$6:$AG$47)+SUMIF(⑭手動工程入力!$V$6:$V$47,$C33,⑭手動工程入力!$AH$6:$AH$47)+SUMIF(⑭手動工程入力!$W$6:$W$47,$C33,⑭手動工程入力!$AI$6:$AI$47)</f>
        <v/>
      </c>
      <c r="I33" s="393">
        <f>IF($F33&gt;0,$H33/$F33,"")</f>
        <v/>
      </c>
      <c r="J33" s="605">
        <f>IFERROR(INDEX(商品原価!$B$4:$B$112,MATCH(SUBSTITUTE(SUBSTITUTE(SUBSTITUTE(SUBSTITUTE(SUBSTITUTE(SUBSTITUTE(SUBSTITUTE(SUBSTITUTE(SUBSTITUTE(SUBSTITUTE(ASC($C33),"①","1"),"②","2"),"③","3"),"④","4"),"⑤","5"),"⑥","6"),"⑦","7"),"⑧","8"),"⑨","9")," ",""),商品原価!$C$4:$C$112,0)),"")</f>
        <v/>
      </c>
      <c r="K33" s="542">
        <f>IF(ISNUMBER($J33),$J33*④前提設定!$B$21,"")</f>
        <v/>
      </c>
      <c r="L33" s="605">
        <f>IF(AND(NOT(ISNUMBER($J33)),NOT(ISNUMBER($K33))),"",N($J33)+N($K33))</f>
        <v/>
      </c>
      <c r="M33" s="605">
        <f>IFERROR(INDEX(商品原価!$E$4:$E$112,MATCH(SUBSTITUTE(SUBSTITUTE(SUBSTITUTE(SUBSTITUTE(SUBSTITUTE(SUBSTITUTE(SUBSTITUTE(SUBSTITUTE(SUBSTITUTE(SUBSTITUTE(ASC($C33),"①","1"),"②","2"),"③","3"),"④","4"),"⑤","5"),"⑥","6"),"⑦","7"),"⑧","8"),"⑨","9")," ",""),商品原価!$C$4:$C$112,0)),"")</f>
        <v/>
      </c>
      <c r="N33" s="605">
        <f>IF(AND(ISNUMBER($M33),ISNUMBER($L33)),$M33-$L33-N($W33),"")</f>
        <v/>
      </c>
      <c r="O33" s="606">
        <f>IF(AND(ISNUMBER($N33),ISNUMBER($M33),$M33&gt;0),$N33/$M33,"")</f>
        <v/>
      </c>
      <c r="P33" s="398">
        <f>COUNTIF(②釜工程入力!$R$5:$R$117,$C33)+COUNTIF(②釜工程入力!$S$5:$S$117,$C33)+COUNTIF(②釜工程入力!$T$5:$T$117,$C33)+COUNTIF(②釜工程入力!$U$5:$U$117,$C33)+COUNTIF(②釜工程入力!$V$5:$V$117,$C33)+COUNTIF(②釜工程入力!$W$5:$W$117,$C33)+COUNTIF(③スチコン工程入力!$R$5:$R$152,$C33)+COUNTIF(③スチコン工程入力!$S$5:$S$152,$C33)+COUNTIF(③スチコン工程入力!$T$5:$T$152,$C33)+COUNTIF(③スチコン工程入力!$U$5:$U$152,$C33)+COUNTIF(③スチコン工程入力!$V$5:$V$152,$C33)+COUNTIF(③スチコン工程入力!$W$5:$W$152,$C33)+COUNTIF(⑩盛付梱包工程入力!$R$5:$R$300,$C33)+COUNTIF(⑩盛付梱包工程入力!$S$5:$S$300,$C33)+COUNTIF(⑩盛付梱包工程入力!$T$5:$T$300,$C33)+COUNTIF(⑩盛付梱包工程入力!$U$5:$U$300,$C33)+COUNTIF(⑩盛付梱包工程入力!$V$5:$V$300,$C33)+COUNTIF(⑩盛付梱包工程入力!$W$5:$W$300,$C33)+COUNTIF(⑪ZEN工程入力!$R$6:$R$35,$C33)+COUNTIF(⑪ZEN工程入力!$S$6:$S$35,$C33)+COUNTIF(⑪ZEN工程入力!$T$6:$T$35,$C33)+COUNTIF(⑪ZEN工程入力!$U$6:$U$35,$C33)+COUNTIF(⑪ZEN工程入力!$V$6:$V$35,$C33)+COUNTIF(⑪ZEN工程入力!$W$6:$W$35,$C33)+COUNTIF(⑫ミキサー工程入力!$R$6:$R$65,$C33)+COUNTIF(⑫ミキサー工程入力!$S$6:$S$65,$C33)+COUNTIF(⑫ミキサー工程入力!$T$6:$T$65,$C33)+COUNTIF(⑫ミキサー工程入力!$U$6:$U$65,$C33)+COUNTIF(⑫ミキサー工程入力!$V$6:$V$65,$C33)+COUNTIF(⑫ミキサー工程入力!$W$6:$W$65,$C33)+COUNTIF(⑬計量工程入力!$R$6:$R$65,$C33)+COUNTIF(⑬計量工程入力!$S$6:$S$65,$C33)+COUNTIF(⑬計量工程入力!$T$6:$T$65,$C33)+COUNTIF(⑬計量工程入力!$U$6:$U$65,$C33)+COUNTIF(⑬計量工程入力!$V$6:$V$65,$C33)+COUNTIF(⑬計量工程入力!$W$6:$W$65,$C33)+COUNTIF(⑭手動工程入力!$R$6:$R$47,$C33)+COUNTIF(⑭手動工程入力!$S$6:$S$47,$C33)+COUNTIF(⑭手動工程入力!$T$6:$T$47,$C33)+COUNTIF(⑭手動工程入力!$U$6:$U$47,$C33)+COUNTIF(⑭手動工程入力!$V$6:$V$47,$C33)+COUNTIF(⑭手動工程入力!$W$6:$W$47,$C33)</f>
        <v/>
      </c>
      <c r="Q33" s="392" t="n"/>
      <c r="R33" s="393" t="n">
        <v>36.07</v>
      </c>
      <c r="S33" s="393" t="n">
        <v>2251</v>
      </c>
      <c r="T33" s="393">
        <f>IF(AND(ISNUMBER($I33),ISNUMBER($R33)),$I33-$R33,"")</f>
        <v/>
      </c>
      <c r="U33" s="393" t="inlineStr">
        <is>
          <t>卵プリン</t>
        </is>
      </c>
      <c r="V33" s="605">
        <f>IFERROR(INDEX(KIT別作業時間!$D$4:$D$27,MATCH(SUBSTITUTE(SUBSTITUTE(SUBSTITUTE(SUBSTITUTE(SUBSTITUTE(SUBSTITUTE(SUBSTITUTE(SUBSTITUTE(SUBSTITUTE(SUBSTITUTE(ASC($C33),"①","1"),"②","2"),"③","3"),"④","4"),"⑤","5"),"⑥","6"),"⑦","7"),"⑧","8"),"⑨","9")," ",""),KIT別作業時間!$C$4:$C$27,0)),"")</f>
        <v/>
      </c>
      <c r="W33" s="393">
        <f>IF(AND(ISNUMBER($I33),$I33&gt;0),$I33,IF(ISNUMBER($V33),$V33,IF(ISNUMBER($R33),$R33,"")))</f>
        <v/>
      </c>
      <c r="X33" s="393">
        <f>IF(AND(ISNUMBER($I33),$I33&gt;0),"今回の工程実績",IF(ISNUMBER($V33),"KIT作業時間",IF(ISNUMBER($R33),"前回資料","")))</f>
        <v/>
      </c>
      <c r="Y33" s="398" t="n">
        <v>19333</v>
      </c>
      <c r="Z33" s="398">
        <f>IF(AND(ISNUMBER($W33),ISNUMBER($Y33)),$W33*$Y33,"")</f>
        <v/>
      </c>
      <c r="AA33" s="393" t="n"/>
    </row>
    <row r="34">
      <c r="A34" s="392" t="n">
        <v>30</v>
      </c>
      <c r="B34" s="392" t="n"/>
      <c r="C34" s="392" t="inlineStr">
        <is>
          <t>鶏むね油淋鶏ＫＩＴ</t>
        </is>
      </c>
      <c r="D34" s="398">
        <f>SUMIF(⑩盛付梱包工程入力!$R$5:$R$300,$C34,⑩盛付梱包工程入力!$AC$5:$AC$300)+SUMIF(⑩盛付梱包工程入力!$S$5:$S$300,$C34,⑩盛付梱包工程入力!$AC$5:$AC$300)+SUMIF(⑩盛付梱包工程入力!$T$5:$T$300,$C34,⑩盛付梱包工程入力!$AC$5:$AC$300)+SUMIF(⑩盛付梱包工程入力!$U$5:$U$300,$C34,⑩盛付梱包工程入力!$AC$5:$AC$300)+SUMIF(⑩盛付梱包工程入力!$V$5:$V$300,$C34,⑩盛付梱包工程入力!$AC$5:$AC$300)+SUMIF(⑩盛付梱包工程入力!$W$5:$W$300,$C34,⑩盛付梱包工程入力!$AC$5:$AC$300)</f>
        <v/>
      </c>
      <c r="E34" s="398" t="n">
        <v>109</v>
      </c>
      <c r="F34" s="398">
        <f>IF(N($E34)&gt;0,$E34,$D34)</f>
        <v/>
      </c>
      <c r="G34" s="393" t="n">
        <v>153.3599764913312</v>
      </c>
      <c r="H34" s="393">
        <f>SUMIF(②釜工程入力!$R$5:$R$117,$C34,②釜工程入力!$AD$5:$AD$117)+SUMIF(②釜工程入力!$S$5:$S$117,$C34,②釜工程入力!$AE$5:$AE$117)+SUMIF(②釜工程入力!$T$5:$T$117,$C34,②釜工程入力!$AF$5:$AF$117)+SUMIF(②釜工程入力!$U$5:$U$117,$C34,②釜工程入力!$AG$5:$AG$117)+SUMIF(②釜工程入力!$V$5:$V$117,$C34,②釜工程入力!$AH$5:$AH$117)+SUMIF(②釜工程入力!$W$5:$W$117,$C34,②釜工程入力!$AI$5:$AI$117)+SUMIF(③スチコン工程入力!$R$5:$R$152,$C34,③スチコン工程入力!$AD$5:$AD$152)+SUMIF(③スチコン工程入力!$S$5:$S$152,$C34,③スチコン工程入力!$AE$5:$AE$152)+SUMIF(③スチコン工程入力!$T$5:$T$152,$C34,③スチコン工程入力!$AF$5:$AF$152)+SUMIF(③スチコン工程入力!$U$5:$U$152,$C34,③スチコン工程入力!$AG$5:$AG$152)+SUMIF(③スチコン工程入力!$V$5:$V$152,$C34,③スチコン工程入力!$AH$5:$AH$152)+SUMIF(③スチコン工程入力!$W$5:$W$152,$C34,③スチコン工程入力!$AI$5:$AI$152)+SUMIF(⑩盛付梱包工程入力!$R$5:$R$300,$C34,⑩盛付梱包工程入力!$AD$5:$AD$300)+SUMIF(⑩盛付梱包工程入力!$S$5:$S$300,$C34,⑩盛付梱包工程入力!$AE$5:$AE$300)+SUMIF(⑩盛付梱包工程入力!$T$5:$T$300,$C34,⑩盛付梱包工程入力!$AF$5:$AF$300)+SUMIF(⑩盛付梱包工程入力!$U$5:$U$300,$C34,⑩盛付梱包工程入力!$AG$5:$AG$300)+SUMIF(⑩盛付梱包工程入力!$V$5:$V$300,$C34,⑩盛付梱包工程入力!$AH$5:$AH$300)+SUMIF(⑩盛付梱包工程入力!$W$5:$W$300,$C34,⑩盛付梱包工程入力!$AI$5:$AI$300)+SUMIF(⑪ZEN工程入力!$R$6:$R$35,$C34,⑪ZEN工程入力!$AD$6:$AD$35)+SUMIF(⑪ZEN工程入力!$S$6:$S$35,$C34,⑪ZEN工程入力!$AE$6:$AE$35)+SUMIF(⑪ZEN工程入力!$T$6:$T$35,$C34,⑪ZEN工程入力!$AF$6:$AF$35)+SUMIF(⑪ZEN工程入力!$U$6:$U$35,$C34,⑪ZEN工程入力!$AG$6:$AG$35)+SUMIF(⑪ZEN工程入力!$V$6:$V$35,$C34,⑪ZEN工程入力!$AH$6:$AH$35)+SUMIF(⑪ZEN工程入力!$W$6:$W$35,$C34,⑪ZEN工程入力!$AI$6:$AI$35)+SUMIF(⑫ミキサー工程入力!$R$6:$R$65,$C34,⑫ミキサー工程入力!$AD$6:$AD$65)+SUMIF(⑫ミキサー工程入力!$S$6:$S$65,$C34,⑫ミキサー工程入力!$AE$6:$AE$65)+SUMIF(⑫ミキサー工程入力!$T$6:$T$65,$C34,⑫ミキサー工程入力!$AF$6:$AF$65)+SUMIF(⑫ミキサー工程入力!$U$6:$U$65,$C34,⑫ミキサー工程入力!$AG$6:$AG$65)+SUMIF(⑫ミキサー工程入力!$V$6:$V$65,$C34,⑫ミキサー工程入力!$AH$6:$AH$65)+SUMIF(⑫ミキサー工程入力!$W$6:$W$65,$C34,⑫ミキサー工程入力!$AI$6:$AI$65)+SUMIF(⑬計量工程入力!$R$6:$R$65,$C34,⑬計量工程入力!$AD$6:$AD$65)+SUMIF(⑬計量工程入力!$S$6:$S$65,$C34,⑬計量工程入力!$AE$6:$AE$65)+SUMIF(⑬計量工程入力!$T$6:$T$65,$C34,⑬計量工程入力!$AF$6:$AF$65)+SUMIF(⑬計量工程入力!$U$6:$U$65,$C34,⑬計量工程入力!$AG$6:$AG$65)+SUMIF(⑬計量工程入力!$V$6:$V$65,$C34,⑬計量工程入力!$AH$6:$AH$65)+SUMIF(⑬計量工程入力!$W$6:$W$65,$C34,⑬計量工程入力!$AI$6:$AI$65)+SUMIF(⑭手動工程入力!$R$6:$R$47,$C34,⑭手動工程入力!$AD$6:$AD$47)+SUMIF(⑭手動工程入力!$S$6:$S$47,$C34,⑭手動工程入力!$AE$6:$AE$47)+SUMIF(⑭手動工程入力!$T$6:$T$47,$C34,⑭手動工程入力!$AF$6:$AF$47)+SUMIF(⑭手動工程入力!$U$6:$U$47,$C34,⑭手動工程入力!$AG$6:$AG$47)+SUMIF(⑭手動工程入力!$V$6:$V$47,$C34,⑭手動工程入力!$AH$6:$AH$47)+SUMIF(⑭手動工程入力!$W$6:$W$47,$C34,⑭手動工程入力!$AI$6:$AI$47)</f>
        <v/>
      </c>
      <c r="I34" s="393">
        <f>IF($F34&gt;0,$H34/$F34,"")</f>
        <v/>
      </c>
      <c r="J34" s="605">
        <f>IFERROR(INDEX(商品原価!$B$4:$B$112,MATCH(SUBSTITUTE(SUBSTITUTE(SUBSTITUTE(SUBSTITUTE(SUBSTITUTE(SUBSTITUTE(SUBSTITUTE(SUBSTITUTE(SUBSTITUTE(SUBSTITUTE(ASC($C34),"①","1"),"②","2"),"③","3"),"④","4"),"⑤","5"),"⑥","6"),"⑦","7"),"⑧","8"),"⑨","9")," ",""),商品原価!$C$4:$C$112,0)),"")</f>
        <v/>
      </c>
      <c r="K34" s="542">
        <f>IF(ISNUMBER($J34),$J34*④前提設定!$B$21,"")</f>
        <v/>
      </c>
      <c r="L34" s="605">
        <f>IF(AND(NOT(ISNUMBER($J34)),NOT(ISNUMBER($K34))),"",N($J34)+N($K34))</f>
        <v/>
      </c>
      <c r="M34" s="605">
        <f>IFERROR(INDEX(商品原価!$E$4:$E$112,MATCH(SUBSTITUTE(SUBSTITUTE(SUBSTITUTE(SUBSTITUTE(SUBSTITUTE(SUBSTITUTE(SUBSTITUTE(SUBSTITUTE(SUBSTITUTE(SUBSTITUTE(ASC($C34),"①","1"),"②","2"),"③","3"),"④","4"),"⑤","5"),"⑥","6"),"⑦","7"),"⑧","8"),"⑨","9")," ",""),商品原価!$C$4:$C$112,0)),"")</f>
        <v/>
      </c>
      <c r="N34" s="605">
        <f>IF(AND(ISNUMBER($M34),ISNUMBER($L34)),$M34-$L34-N($W34),"")</f>
        <v/>
      </c>
      <c r="O34" s="606">
        <f>IF(AND(ISNUMBER($N34),ISNUMBER($M34),$M34&gt;0),$N34/$M34,"")</f>
        <v/>
      </c>
      <c r="P34" s="398">
        <f>COUNTIF(②釜工程入力!$R$5:$R$117,$C34)+COUNTIF(②釜工程入力!$S$5:$S$117,$C34)+COUNTIF(②釜工程入力!$T$5:$T$117,$C34)+COUNTIF(②釜工程入力!$U$5:$U$117,$C34)+COUNTIF(②釜工程入力!$V$5:$V$117,$C34)+COUNTIF(②釜工程入力!$W$5:$W$117,$C34)+COUNTIF(③スチコン工程入力!$R$5:$R$152,$C34)+COUNTIF(③スチコン工程入力!$S$5:$S$152,$C34)+COUNTIF(③スチコン工程入力!$T$5:$T$152,$C34)+COUNTIF(③スチコン工程入力!$U$5:$U$152,$C34)+COUNTIF(③スチコン工程入力!$V$5:$V$152,$C34)+COUNTIF(③スチコン工程入力!$W$5:$W$152,$C34)+COUNTIF(⑩盛付梱包工程入力!$R$5:$R$300,$C34)+COUNTIF(⑩盛付梱包工程入力!$S$5:$S$300,$C34)+COUNTIF(⑩盛付梱包工程入力!$T$5:$T$300,$C34)+COUNTIF(⑩盛付梱包工程入力!$U$5:$U$300,$C34)+COUNTIF(⑩盛付梱包工程入力!$V$5:$V$300,$C34)+COUNTIF(⑩盛付梱包工程入力!$W$5:$W$300,$C34)+COUNTIF(⑪ZEN工程入力!$R$6:$R$35,$C34)+COUNTIF(⑪ZEN工程入力!$S$6:$S$35,$C34)+COUNTIF(⑪ZEN工程入力!$T$6:$T$35,$C34)+COUNTIF(⑪ZEN工程入力!$U$6:$U$35,$C34)+COUNTIF(⑪ZEN工程入力!$V$6:$V$35,$C34)+COUNTIF(⑪ZEN工程入力!$W$6:$W$35,$C34)+COUNTIF(⑫ミキサー工程入力!$R$6:$R$65,$C34)+COUNTIF(⑫ミキサー工程入力!$S$6:$S$65,$C34)+COUNTIF(⑫ミキサー工程入力!$T$6:$T$65,$C34)+COUNTIF(⑫ミキサー工程入力!$U$6:$U$65,$C34)+COUNTIF(⑫ミキサー工程入力!$V$6:$V$65,$C34)+COUNTIF(⑫ミキサー工程入力!$W$6:$W$65,$C34)+COUNTIF(⑬計量工程入力!$R$6:$R$65,$C34)+COUNTIF(⑬計量工程入力!$S$6:$S$65,$C34)+COUNTIF(⑬計量工程入力!$T$6:$T$65,$C34)+COUNTIF(⑬計量工程入力!$U$6:$U$65,$C34)+COUNTIF(⑬計量工程入力!$V$6:$V$65,$C34)+COUNTIF(⑬計量工程入力!$W$6:$W$65,$C34)+COUNTIF(⑭手動工程入力!$R$6:$R$47,$C34)+COUNTIF(⑭手動工程入力!$S$6:$S$47,$C34)+COUNTIF(⑭手動工程入力!$T$6:$T$47,$C34)+COUNTIF(⑭手動工程入力!$U$6:$U$47,$C34)+COUNTIF(⑭手動工程入力!$V$6:$V$47,$C34)+COUNTIF(⑭手動工程入力!$W$6:$W$47,$C34)</f>
        <v/>
      </c>
      <c r="Q34" s="392" t="inlineStr">
        <is>
          <t>⑩盛付梱包 42行目に入力欄を作成（工程記録なし）</t>
        </is>
      </c>
      <c r="R34" s="393" t="n"/>
      <c r="S34" s="393" t="n"/>
      <c r="T34" s="393" t="n"/>
      <c r="U34" s="393" t="n"/>
      <c r="V34" s="605">
        <f>IFERROR(INDEX(KIT別作業時間!$D$4:$D$27,MATCH(SUBSTITUTE(SUBSTITUTE(SUBSTITUTE(SUBSTITUTE(SUBSTITUTE(SUBSTITUTE(SUBSTITUTE(SUBSTITUTE(SUBSTITUTE(SUBSTITUTE(ASC($C34),"①","1"),"②","2"),"③","3"),"④","4"),"⑤","5"),"⑥","6"),"⑦","7"),"⑧","8"),"⑨","9")," ",""),KIT別作業時間!$C$4:$C$27,0)),"")</f>
        <v/>
      </c>
      <c r="W34" s="393">
        <f>IF(AND(ISNUMBER($I34),$I34&gt;0),$I34,IF(ISNUMBER($V34),$V34,IF(ISNUMBER($R34),$R34,"")))</f>
        <v/>
      </c>
      <c r="X34" s="393">
        <f>IF(AND(ISNUMBER($I34),$I34&gt;0),"今回の工程実績",IF(ISNUMBER($V34),"KIT作業時間",IF(ISNUMBER($R34),"前回資料","")))</f>
        <v/>
      </c>
      <c r="Y34" s="398" t="n">
        <v>3249</v>
      </c>
      <c r="Z34" s="398">
        <f>IF(AND(ISNUMBER($W34),ISNUMBER($Y34)),$W34*$Y34,"")</f>
        <v/>
      </c>
      <c r="AA34" s="393" t="n"/>
    </row>
    <row r="35">
      <c r="A35" s="392" t="n">
        <v>31</v>
      </c>
      <c r="B35" s="392" t="n"/>
      <c r="C35" s="392" t="inlineStr">
        <is>
          <t>塩パンＫＩＴ</t>
        </is>
      </c>
      <c r="D35" s="398">
        <f>SUMIF(⑩盛付梱包工程入力!$R$5:$R$300,$C35,⑩盛付梱包工程入力!$AC$5:$AC$300)+SUMIF(⑩盛付梱包工程入力!$S$5:$S$300,$C35,⑩盛付梱包工程入力!$AC$5:$AC$300)+SUMIF(⑩盛付梱包工程入力!$T$5:$T$300,$C35,⑩盛付梱包工程入力!$AC$5:$AC$300)+SUMIF(⑩盛付梱包工程入力!$U$5:$U$300,$C35,⑩盛付梱包工程入力!$AC$5:$AC$300)+SUMIF(⑩盛付梱包工程入力!$V$5:$V$300,$C35,⑩盛付梱包工程入力!$AC$5:$AC$300)+SUMIF(⑩盛付梱包工程入力!$W$5:$W$300,$C35,⑩盛付梱包工程入力!$AC$5:$AC$300)</f>
        <v/>
      </c>
      <c r="E35" s="398" t="n">
        <v>70</v>
      </c>
      <c r="F35" s="398">
        <f>IF(N($E35)&gt;0,$E35,$D35)</f>
        <v/>
      </c>
      <c r="G35" s="393" t="n">
        <v>185.1890700749229</v>
      </c>
      <c r="H35" s="393">
        <f>SUMIF(②釜工程入力!$R$5:$R$117,$C35,②釜工程入力!$AD$5:$AD$117)+SUMIF(②釜工程入力!$S$5:$S$117,$C35,②釜工程入力!$AE$5:$AE$117)+SUMIF(②釜工程入力!$T$5:$T$117,$C35,②釜工程入力!$AF$5:$AF$117)+SUMIF(②釜工程入力!$U$5:$U$117,$C35,②釜工程入力!$AG$5:$AG$117)+SUMIF(②釜工程入力!$V$5:$V$117,$C35,②釜工程入力!$AH$5:$AH$117)+SUMIF(②釜工程入力!$W$5:$W$117,$C35,②釜工程入力!$AI$5:$AI$117)+SUMIF(③スチコン工程入力!$R$5:$R$152,$C35,③スチコン工程入力!$AD$5:$AD$152)+SUMIF(③スチコン工程入力!$S$5:$S$152,$C35,③スチコン工程入力!$AE$5:$AE$152)+SUMIF(③スチコン工程入力!$T$5:$T$152,$C35,③スチコン工程入力!$AF$5:$AF$152)+SUMIF(③スチコン工程入力!$U$5:$U$152,$C35,③スチコン工程入力!$AG$5:$AG$152)+SUMIF(③スチコン工程入力!$V$5:$V$152,$C35,③スチコン工程入力!$AH$5:$AH$152)+SUMIF(③スチコン工程入力!$W$5:$W$152,$C35,③スチコン工程入力!$AI$5:$AI$152)+SUMIF(⑩盛付梱包工程入力!$R$5:$R$300,$C35,⑩盛付梱包工程入力!$AD$5:$AD$300)+SUMIF(⑩盛付梱包工程入力!$S$5:$S$300,$C35,⑩盛付梱包工程入力!$AE$5:$AE$300)+SUMIF(⑩盛付梱包工程入力!$T$5:$T$300,$C35,⑩盛付梱包工程入力!$AF$5:$AF$300)+SUMIF(⑩盛付梱包工程入力!$U$5:$U$300,$C35,⑩盛付梱包工程入力!$AG$5:$AG$300)+SUMIF(⑩盛付梱包工程入力!$V$5:$V$300,$C35,⑩盛付梱包工程入力!$AH$5:$AH$300)+SUMIF(⑩盛付梱包工程入力!$W$5:$W$300,$C35,⑩盛付梱包工程入力!$AI$5:$AI$300)+SUMIF(⑪ZEN工程入力!$R$6:$R$35,$C35,⑪ZEN工程入力!$AD$6:$AD$35)+SUMIF(⑪ZEN工程入力!$S$6:$S$35,$C35,⑪ZEN工程入力!$AE$6:$AE$35)+SUMIF(⑪ZEN工程入力!$T$6:$T$35,$C35,⑪ZEN工程入力!$AF$6:$AF$35)+SUMIF(⑪ZEN工程入力!$U$6:$U$35,$C35,⑪ZEN工程入力!$AG$6:$AG$35)+SUMIF(⑪ZEN工程入力!$V$6:$V$35,$C35,⑪ZEN工程入力!$AH$6:$AH$35)+SUMIF(⑪ZEN工程入力!$W$6:$W$35,$C35,⑪ZEN工程入力!$AI$6:$AI$35)+SUMIF(⑫ミキサー工程入力!$R$6:$R$65,$C35,⑫ミキサー工程入力!$AD$6:$AD$65)+SUMIF(⑫ミキサー工程入力!$S$6:$S$65,$C35,⑫ミキサー工程入力!$AE$6:$AE$65)+SUMIF(⑫ミキサー工程入力!$T$6:$T$65,$C35,⑫ミキサー工程入力!$AF$6:$AF$65)+SUMIF(⑫ミキサー工程入力!$U$6:$U$65,$C35,⑫ミキサー工程入力!$AG$6:$AG$65)+SUMIF(⑫ミキサー工程入力!$V$6:$V$65,$C35,⑫ミキサー工程入力!$AH$6:$AH$65)+SUMIF(⑫ミキサー工程入力!$W$6:$W$65,$C35,⑫ミキサー工程入力!$AI$6:$AI$65)+SUMIF(⑬計量工程入力!$R$6:$R$65,$C35,⑬計量工程入力!$AD$6:$AD$65)+SUMIF(⑬計量工程入力!$S$6:$S$65,$C35,⑬計量工程入力!$AE$6:$AE$65)+SUMIF(⑬計量工程入力!$T$6:$T$65,$C35,⑬計量工程入力!$AF$6:$AF$65)+SUMIF(⑬計量工程入力!$U$6:$U$65,$C35,⑬計量工程入力!$AG$6:$AG$65)+SUMIF(⑬計量工程入力!$V$6:$V$65,$C35,⑬計量工程入力!$AH$6:$AH$65)+SUMIF(⑬計量工程入力!$W$6:$W$65,$C35,⑬計量工程入力!$AI$6:$AI$65)+SUMIF(⑭手動工程入力!$R$6:$R$47,$C35,⑭手動工程入力!$AD$6:$AD$47)+SUMIF(⑭手動工程入力!$S$6:$S$47,$C35,⑭手動工程入力!$AE$6:$AE$47)+SUMIF(⑭手動工程入力!$T$6:$T$47,$C35,⑭手動工程入力!$AF$6:$AF$47)+SUMIF(⑭手動工程入力!$U$6:$U$47,$C35,⑭手動工程入力!$AG$6:$AG$47)+SUMIF(⑭手動工程入力!$V$6:$V$47,$C35,⑭手動工程入力!$AH$6:$AH$47)+SUMIF(⑭手動工程入力!$W$6:$W$47,$C35,⑭手動工程入力!$AI$6:$AI$47)</f>
        <v/>
      </c>
      <c r="I35" s="393">
        <f>IF($F35&gt;0,$H35/$F35,"")</f>
        <v/>
      </c>
      <c r="J35" s="605">
        <f>IFERROR(INDEX(商品原価!$B$4:$B$112,MATCH(SUBSTITUTE(SUBSTITUTE(SUBSTITUTE(SUBSTITUTE(SUBSTITUTE(SUBSTITUTE(SUBSTITUTE(SUBSTITUTE(SUBSTITUTE(SUBSTITUTE(ASC($C35),"①","1"),"②","2"),"③","3"),"④","4"),"⑤","5"),"⑥","6"),"⑦","7"),"⑧","8"),"⑨","9")," ",""),商品原価!$C$4:$C$112,0)),"")</f>
        <v/>
      </c>
      <c r="K35" s="542">
        <f>IF(ISNUMBER($J35),$J35*④前提設定!$B$21,"")</f>
        <v/>
      </c>
      <c r="L35" s="605">
        <f>IF(AND(NOT(ISNUMBER($J35)),NOT(ISNUMBER($K35))),"",N($J35)+N($K35))</f>
        <v/>
      </c>
      <c r="M35" s="605">
        <f>IFERROR(INDEX(商品原価!$E$4:$E$112,MATCH(SUBSTITUTE(SUBSTITUTE(SUBSTITUTE(SUBSTITUTE(SUBSTITUTE(SUBSTITUTE(SUBSTITUTE(SUBSTITUTE(SUBSTITUTE(SUBSTITUTE(ASC($C35),"①","1"),"②","2"),"③","3"),"④","4"),"⑤","5"),"⑥","6"),"⑦","7"),"⑧","8"),"⑨","9")," ",""),商品原価!$C$4:$C$112,0)),"")</f>
        <v/>
      </c>
      <c r="N35" s="605">
        <f>IF(AND(ISNUMBER($M35),ISNUMBER($L35)),$M35-$L35-N($W35),"")</f>
        <v/>
      </c>
      <c r="O35" s="606">
        <f>IF(AND(ISNUMBER($N35),ISNUMBER($M35),$M35&gt;0),$N35/$M35,"")</f>
        <v/>
      </c>
      <c r="P35" s="398">
        <f>COUNTIF(②釜工程入力!$R$5:$R$117,$C35)+COUNTIF(②釜工程入力!$S$5:$S$117,$C35)+COUNTIF(②釜工程入力!$T$5:$T$117,$C35)+COUNTIF(②釜工程入力!$U$5:$U$117,$C35)+COUNTIF(②釜工程入力!$V$5:$V$117,$C35)+COUNTIF(②釜工程入力!$W$5:$W$117,$C35)+COUNTIF(③スチコン工程入力!$R$5:$R$152,$C35)+COUNTIF(③スチコン工程入力!$S$5:$S$152,$C35)+COUNTIF(③スチコン工程入力!$T$5:$T$152,$C35)+COUNTIF(③スチコン工程入力!$U$5:$U$152,$C35)+COUNTIF(③スチコン工程入力!$V$5:$V$152,$C35)+COUNTIF(③スチコン工程入力!$W$5:$W$152,$C35)+COUNTIF(⑩盛付梱包工程入力!$R$5:$R$300,$C35)+COUNTIF(⑩盛付梱包工程入力!$S$5:$S$300,$C35)+COUNTIF(⑩盛付梱包工程入力!$T$5:$T$300,$C35)+COUNTIF(⑩盛付梱包工程入力!$U$5:$U$300,$C35)+COUNTIF(⑩盛付梱包工程入力!$V$5:$V$300,$C35)+COUNTIF(⑩盛付梱包工程入力!$W$5:$W$300,$C35)+COUNTIF(⑪ZEN工程入力!$R$6:$R$35,$C35)+COUNTIF(⑪ZEN工程入力!$S$6:$S$35,$C35)+COUNTIF(⑪ZEN工程入力!$T$6:$T$35,$C35)+COUNTIF(⑪ZEN工程入力!$U$6:$U$35,$C35)+COUNTIF(⑪ZEN工程入力!$V$6:$V$35,$C35)+COUNTIF(⑪ZEN工程入力!$W$6:$W$35,$C35)+COUNTIF(⑫ミキサー工程入力!$R$6:$R$65,$C35)+COUNTIF(⑫ミキサー工程入力!$S$6:$S$65,$C35)+COUNTIF(⑫ミキサー工程入力!$T$6:$T$65,$C35)+COUNTIF(⑫ミキサー工程入力!$U$6:$U$65,$C35)+COUNTIF(⑫ミキサー工程入力!$V$6:$V$65,$C35)+COUNTIF(⑫ミキサー工程入力!$W$6:$W$65,$C35)+COUNTIF(⑬計量工程入力!$R$6:$R$65,$C35)+COUNTIF(⑬計量工程入力!$S$6:$S$65,$C35)+COUNTIF(⑬計量工程入力!$T$6:$T$65,$C35)+COUNTIF(⑬計量工程入力!$U$6:$U$65,$C35)+COUNTIF(⑬計量工程入力!$V$6:$V$65,$C35)+COUNTIF(⑬計量工程入力!$W$6:$W$65,$C35)+COUNTIF(⑭手動工程入力!$R$6:$R$47,$C35)+COUNTIF(⑭手動工程入力!$S$6:$S$47,$C35)+COUNTIF(⑭手動工程入力!$T$6:$T$47,$C35)+COUNTIF(⑭手動工程入力!$U$6:$U$47,$C35)+COUNTIF(⑭手動工程入力!$V$6:$V$47,$C35)+COUNTIF(⑭手動工程入力!$W$6:$W$47,$C35)</f>
        <v/>
      </c>
      <c r="Q35" s="392" t="n"/>
      <c r="R35" s="393" t="n"/>
      <c r="S35" s="393" t="n"/>
      <c r="T35" s="393" t="n"/>
      <c r="U35" s="393" t="n"/>
      <c r="V35" s="605">
        <f>IFERROR(INDEX(KIT別作業時間!$D$4:$D$27,MATCH(SUBSTITUTE(SUBSTITUTE(SUBSTITUTE(SUBSTITUTE(SUBSTITUTE(SUBSTITUTE(SUBSTITUTE(SUBSTITUTE(SUBSTITUTE(SUBSTITUTE(ASC($C35),"①","1"),"②","2"),"③","3"),"④","4"),"⑤","5"),"⑥","6"),"⑦","7"),"⑧","8"),"⑨","9")," ",""),KIT別作業時間!$C$4:$C$27,0)),"")</f>
        <v/>
      </c>
      <c r="W35" s="393">
        <f>IF(AND(ISNUMBER($I35),$I35&gt;0),$I35,IF(ISNUMBER($V35),$V35,IF(ISNUMBER($R35),$R35,"")))</f>
        <v/>
      </c>
      <c r="X35" s="393">
        <f>IF(AND(ISNUMBER($I35),$I35&gt;0),"今回の工程実績",IF(ISNUMBER($V35),"KIT作業時間",IF(ISNUMBER($R35),"前回資料","")))</f>
        <v/>
      </c>
      <c r="Y35" s="398" t="n">
        <v>2511</v>
      </c>
      <c r="Z35" s="398">
        <f>IF(AND(ISNUMBER($W35),ISNUMBER($Y35)),$W35*$Y35,"")</f>
        <v/>
      </c>
      <c r="AA35" s="393" t="n"/>
    </row>
    <row r="36">
      <c r="A36" s="392" t="n">
        <v>32</v>
      </c>
      <c r="B36" s="392" t="n"/>
      <c r="C36" s="392" t="inlineStr">
        <is>
          <t>照焼きチキンＫＩＴ２</t>
        </is>
      </c>
      <c r="D36" s="398">
        <f>SUMIF(⑩盛付梱包工程入力!$R$5:$R$300,$C36,⑩盛付梱包工程入力!$AC$5:$AC$300)+SUMIF(⑩盛付梱包工程入力!$S$5:$S$300,$C36,⑩盛付梱包工程入力!$AC$5:$AC$300)+SUMIF(⑩盛付梱包工程入力!$T$5:$T$300,$C36,⑩盛付梱包工程入力!$AC$5:$AC$300)+SUMIF(⑩盛付梱包工程入力!$U$5:$U$300,$C36,⑩盛付梱包工程入力!$AC$5:$AC$300)+SUMIF(⑩盛付梱包工程入力!$V$5:$V$300,$C36,⑩盛付梱包工程入力!$AC$5:$AC$300)+SUMIF(⑩盛付梱包工程入力!$W$5:$W$300,$C36,⑩盛付梱包工程入力!$AC$5:$AC$300)</f>
        <v/>
      </c>
      <c r="E36" s="398" t="n">
        <v>37</v>
      </c>
      <c r="F36" s="398">
        <f>IF(N($E36)&gt;0,$E36,$D36)</f>
        <v/>
      </c>
      <c r="G36" s="393" t="n">
        <v>373.3595800524934</v>
      </c>
      <c r="H36" s="393">
        <f>SUMIF(②釜工程入力!$R$5:$R$117,$C36,②釜工程入力!$AD$5:$AD$117)+SUMIF(②釜工程入力!$S$5:$S$117,$C36,②釜工程入力!$AE$5:$AE$117)+SUMIF(②釜工程入力!$T$5:$T$117,$C36,②釜工程入力!$AF$5:$AF$117)+SUMIF(②釜工程入力!$U$5:$U$117,$C36,②釜工程入力!$AG$5:$AG$117)+SUMIF(②釜工程入力!$V$5:$V$117,$C36,②釜工程入力!$AH$5:$AH$117)+SUMIF(②釜工程入力!$W$5:$W$117,$C36,②釜工程入力!$AI$5:$AI$117)+SUMIF(③スチコン工程入力!$R$5:$R$152,$C36,③スチコン工程入力!$AD$5:$AD$152)+SUMIF(③スチコン工程入力!$S$5:$S$152,$C36,③スチコン工程入力!$AE$5:$AE$152)+SUMIF(③スチコン工程入力!$T$5:$T$152,$C36,③スチコン工程入力!$AF$5:$AF$152)+SUMIF(③スチコン工程入力!$U$5:$U$152,$C36,③スチコン工程入力!$AG$5:$AG$152)+SUMIF(③スチコン工程入力!$V$5:$V$152,$C36,③スチコン工程入力!$AH$5:$AH$152)+SUMIF(③スチコン工程入力!$W$5:$W$152,$C36,③スチコン工程入力!$AI$5:$AI$152)+SUMIF(⑩盛付梱包工程入力!$R$5:$R$300,$C36,⑩盛付梱包工程入力!$AD$5:$AD$300)+SUMIF(⑩盛付梱包工程入力!$S$5:$S$300,$C36,⑩盛付梱包工程入力!$AE$5:$AE$300)+SUMIF(⑩盛付梱包工程入力!$T$5:$T$300,$C36,⑩盛付梱包工程入力!$AF$5:$AF$300)+SUMIF(⑩盛付梱包工程入力!$U$5:$U$300,$C36,⑩盛付梱包工程入力!$AG$5:$AG$300)+SUMIF(⑩盛付梱包工程入力!$V$5:$V$300,$C36,⑩盛付梱包工程入力!$AH$5:$AH$300)+SUMIF(⑩盛付梱包工程入力!$W$5:$W$300,$C36,⑩盛付梱包工程入力!$AI$5:$AI$300)+SUMIF(⑪ZEN工程入力!$R$6:$R$35,$C36,⑪ZEN工程入力!$AD$6:$AD$35)+SUMIF(⑪ZEN工程入力!$S$6:$S$35,$C36,⑪ZEN工程入力!$AE$6:$AE$35)+SUMIF(⑪ZEN工程入力!$T$6:$T$35,$C36,⑪ZEN工程入力!$AF$6:$AF$35)+SUMIF(⑪ZEN工程入力!$U$6:$U$35,$C36,⑪ZEN工程入力!$AG$6:$AG$35)+SUMIF(⑪ZEN工程入力!$V$6:$V$35,$C36,⑪ZEN工程入力!$AH$6:$AH$35)+SUMIF(⑪ZEN工程入力!$W$6:$W$35,$C36,⑪ZEN工程入力!$AI$6:$AI$35)+SUMIF(⑫ミキサー工程入力!$R$6:$R$65,$C36,⑫ミキサー工程入力!$AD$6:$AD$65)+SUMIF(⑫ミキサー工程入力!$S$6:$S$65,$C36,⑫ミキサー工程入力!$AE$6:$AE$65)+SUMIF(⑫ミキサー工程入力!$T$6:$T$65,$C36,⑫ミキサー工程入力!$AF$6:$AF$65)+SUMIF(⑫ミキサー工程入力!$U$6:$U$65,$C36,⑫ミキサー工程入力!$AG$6:$AG$65)+SUMIF(⑫ミキサー工程入力!$V$6:$V$65,$C36,⑫ミキサー工程入力!$AH$6:$AH$65)+SUMIF(⑫ミキサー工程入力!$W$6:$W$65,$C36,⑫ミキサー工程入力!$AI$6:$AI$65)+SUMIF(⑬計量工程入力!$R$6:$R$65,$C36,⑬計量工程入力!$AD$6:$AD$65)+SUMIF(⑬計量工程入力!$S$6:$S$65,$C36,⑬計量工程入力!$AE$6:$AE$65)+SUMIF(⑬計量工程入力!$T$6:$T$65,$C36,⑬計量工程入力!$AF$6:$AF$65)+SUMIF(⑬計量工程入力!$U$6:$U$65,$C36,⑬計量工程入力!$AG$6:$AG$65)+SUMIF(⑬計量工程入力!$V$6:$V$65,$C36,⑬計量工程入力!$AH$6:$AH$65)+SUMIF(⑬計量工程入力!$W$6:$W$65,$C36,⑬計量工程入力!$AI$6:$AI$65)+SUMIF(⑭手動工程入力!$R$6:$R$47,$C36,⑭手動工程入力!$AD$6:$AD$47)+SUMIF(⑭手動工程入力!$S$6:$S$47,$C36,⑭手動工程入力!$AE$6:$AE$47)+SUMIF(⑭手動工程入力!$T$6:$T$47,$C36,⑭手動工程入力!$AF$6:$AF$47)+SUMIF(⑭手動工程入力!$U$6:$U$47,$C36,⑭手動工程入力!$AG$6:$AG$47)+SUMIF(⑭手動工程入力!$V$6:$V$47,$C36,⑭手動工程入力!$AH$6:$AH$47)+SUMIF(⑭手動工程入力!$W$6:$W$47,$C36,⑭手動工程入力!$AI$6:$AI$47)</f>
        <v/>
      </c>
      <c r="I36" s="393">
        <f>IF($F36&gt;0,$H36/$F36,"")</f>
        <v/>
      </c>
      <c r="J36" s="605">
        <f>IFERROR(INDEX(商品原価!$B$4:$B$112,MATCH(SUBSTITUTE(SUBSTITUTE(SUBSTITUTE(SUBSTITUTE(SUBSTITUTE(SUBSTITUTE(SUBSTITUTE(SUBSTITUTE(SUBSTITUTE(SUBSTITUTE(ASC($C36),"①","1"),"②","2"),"③","3"),"④","4"),"⑤","5"),"⑥","6"),"⑦","7"),"⑧","8"),"⑨","9")," ",""),商品原価!$C$4:$C$112,0)),"")</f>
        <v/>
      </c>
      <c r="K36" s="542">
        <f>IF(ISNUMBER($J36),$J36*④前提設定!$B$21,"")</f>
        <v/>
      </c>
      <c r="L36" s="605">
        <f>IF(AND(NOT(ISNUMBER($J36)),NOT(ISNUMBER($K36))),"",N($J36)+N($K36))</f>
        <v/>
      </c>
      <c r="M36" s="605">
        <f>IFERROR(INDEX(商品原価!$E$4:$E$112,MATCH(SUBSTITUTE(SUBSTITUTE(SUBSTITUTE(SUBSTITUTE(SUBSTITUTE(SUBSTITUTE(SUBSTITUTE(SUBSTITUTE(SUBSTITUTE(SUBSTITUTE(ASC($C36),"①","1"),"②","2"),"③","3"),"④","4"),"⑤","5"),"⑥","6"),"⑦","7"),"⑧","8"),"⑨","9")," ",""),商品原価!$C$4:$C$112,0)),"")</f>
        <v/>
      </c>
      <c r="N36" s="605">
        <f>IF(AND(ISNUMBER($M36),ISNUMBER($L36)),$M36-$L36-N($W36),"")</f>
        <v/>
      </c>
      <c r="O36" s="606">
        <f>IF(AND(ISNUMBER($N36),ISNUMBER($M36),$M36&gt;0),$N36/$M36,"")</f>
        <v/>
      </c>
      <c r="P36" s="398">
        <f>COUNTIF(②釜工程入力!$R$5:$R$117,$C36)+COUNTIF(②釜工程入力!$S$5:$S$117,$C36)+COUNTIF(②釜工程入力!$T$5:$T$117,$C36)+COUNTIF(②釜工程入力!$U$5:$U$117,$C36)+COUNTIF(②釜工程入力!$V$5:$V$117,$C36)+COUNTIF(②釜工程入力!$W$5:$W$117,$C36)+COUNTIF(③スチコン工程入力!$R$5:$R$152,$C36)+COUNTIF(③スチコン工程入力!$S$5:$S$152,$C36)+COUNTIF(③スチコン工程入力!$T$5:$T$152,$C36)+COUNTIF(③スチコン工程入力!$U$5:$U$152,$C36)+COUNTIF(③スチコン工程入力!$V$5:$V$152,$C36)+COUNTIF(③スチコン工程入力!$W$5:$W$152,$C36)+COUNTIF(⑩盛付梱包工程入力!$R$5:$R$300,$C36)+COUNTIF(⑩盛付梱包工程入力!$S$5:$S$300,$C36)+COUNTIF(⑩盛付梱包工程入力!$T$5:$T$300,$C36)+COUNTIF(⑩盛付梱包工程入力!$U$5:$U$300,$C36)+COUNTIF(⑩盛付梱包工程入力!$V$5:$V$300,$C36)+COUNTIF(⑩盛付梱包工程入力!$W$5:$W$300,$C36)+COUNTIF(⑪ZEN工程入力!$R$6:$R$35,$C36)+COUNTIF(⑪ZEN工程入力!$S$6:$S$35,$C36)+COUNTIF(⑪ZEN工程入力!$T$6:$T$35,$C36)+COUNTIF(⑪ZEN工程入力!$U$6:$U$35,$C36)+COUNTIF(⑪ZEN工程入力!$V$6:$V$35,$C36)+COUNTIF(⑪ZEN工程入力!$W$6:$W$35,$C36)+COUNTIF(⑫ミキサー工程入力!$R$6:$R$65,$C36)+COUNTIF(⑫ミキサー工程入力!$S$6:$S$65,$C36)+COUNTIF(⑫ミキサー工程入力!$T$6:$T$65,$C36)+COUNTIF(⑫ミキサー工程入力!$U$6:$U$65,$C36)+COUNTIF(⑫ミキサー工程入力!$V$6:$V$65,$C36)+COUNTIF(⑫ミキサー工程入力!$W$6:$W$65,$C36)+COUNTIF(⑬計量工程入力!$R$6:$R$65,$C36)+COUNTIF(⑬計量工程入力!$S$6:$S$65,$C36)+COUNTIF(⑬計量工程入力!$T$6:$T$65,$C36)+COUNTIF(⑬計量工程入力!$U$6:$U$65,$C36)+COUNTIF(⑬計量工程入力!$V$6:$V$65,$C36)+COUNTIF(⑬計量工程入力!$W$6:$W$65,$C36)+COUNTIF(⑭手動工程入力!$R$6:$R$47,$C36)+COUNTIF(⑭手動工程入力!$S$6:$S$47,$C36)+COUNTIF(⑭手動工程入力!$T$6:$T$47,$C36)+COUNTIF(⑭手動工程入力!$U$6:$U$47,$C36)+COUNTIF(⑭手動工程入力!$V$6:$V$47,$C36)+COUNTIF(⑭手動工程入力!$W$6:$W$47,$C36)</f>
        <v/>
      </c>
      <c r="Q36" s="392" t="inlineStr">
        <is>
          <t>⑩盛付梱包 56行目に入力欄を作成（工程記録なし）</t>
        </is>
      </c>
      <c r="R36" s="393" t="n"/>
      <c r="S36" s="393" t="n"/>
      <c r="T36" s="393" t="n"/>
      <c r="U36" s="393" t="n"/>
      <c r="V36" s="605">
        <f>IFERROR(INDEX(KIT別作業時間!$D$4:$D$27,MATCH(SUBSTITUTE(SUBSTITUTE(SUBSTITUTE(SUBSTITUTE(SUBSTITUTE(SUBSTITUTE(SUBSTITUTE(SUBSTITUTE(SUBSTITUTE(SUBSTITUTE(ASC($C36),"①","1"),"②","2"),"③","3"),"④","4"),"⑤","5"),"⑥","6"),"⑦","7"),"⑧","8"),"⑨","9")," ",""),KIT別作業時間!$C$4:$C$27,0)),"")</f>
        <v/>
      </c>
      <c r="W36" s="393">
        <f>IF(AND(ISNUMBER($I36),$I36&gt;0),$I36,IF(ISNUMBER($V36),$V36,IF(ISNUMBER($R36),$R36,"")))</f>
        <v/>
      </c>
      <c r="X36" s="393">
        <f>IF(AND(ISNUMBER($I36),$I36&gt;0),"今回の工程実績",IF(ISNUMBER($V36),"KIT作業時間",IF(ISNUMBER($R36),"前回資料","")))</f>
        <v/>
      </c>
      <c r="Y36" s="398" t="n">
        <v>1204</v>
      </c>
      <c r="Z36" s="398">
        <f>IF(AND(ISNUMBER($W36),ISNUMBER($Y36)),$W36*$Y36,"")</f>
        <v/>
      </c>
      <c r="AA36" s="393" t="n"/>
    </row>
    <row r="37">
      <c r="A37" s="392" t="n">
        <v>33</v>
      </c>
      <c r="B37" s="392" t="n"/>
      <c r="C37" s="392" t="inlineStr">
        <is>
          <t>Ｓチキンカツ（もも）ＫＩＴ</t>
        </is>
      </c>
      <c r="D37" s="398">
        <f>SUMIF(⑩盛付梱包工程入力!$R$5:$R$300,$C37,⑩盛付梱包工程入力!$AC$5:$AC$300)+SUMIF(⑩盛付梱包工程入力!$S$5:$S$300,$C37,⑩盛付梱包工程入力!$AC$5:$AC$300)+SUMIF(⑩盛付梱包工程入力!$T$5:$T$300,$C37,⑩盛付梱包工程入力!$AC$5:$AC$300)+SUMIF(⑩盛付梱包工程入力!$U$5:$U$300,$C37,⑩盛付梱包工程入力!$AC$5:$AC$300)+SUMIF(⑩盛付梱包工程入力!$V$5:$V$300,$C37,⑩盛付梱包工程入力!$AC$5:$AC$300)+SUMIF(⑩盛付梱包工程入力!$W$5:$W$300,$C37,⑩盛付梱包工程入力!$AC$5:$AC$300)</f>
        <v/>
      </c>
      <c r="E37" s="398" t="n">
        <v>47</v>
      </c>
      <c r="F37" s="398">
        <f>IF(N($E37)&gt;0,$E37,$D37)</f>
        <v/>
      </c>
      <c r="G37" s="393" t="n">
        <v>232.2785714285715</v>
      </c>
      <c r="H37" s="393">
        <f>SUMIF(②釜工程入力!$R$5:$R$117,$C37,②釜工程入力!$AD$5:$AD$117)+SUMIF(②釜工程入力!$S$5:$S$117,$C37,②釜工程入力!$AE$5:$AE$117)+SUMIF(②釜工程入力!$T$5:$T$117,$C37,②釜工程入力!$AF$5:$AF$117)+SUMIF(②釜工程入力!$U$5:$U$117,$C37,②釜工程入力!$AG$5:$AG$117)+SUMIF(②釜工程入力!$V$5:$V$117,$C37,②釜工程入力!$AH$5:$AH$117)+SUMIF(②釜工程入力!$W$5:$W$117,$C37,②釜工程入力!$AI$5:$AI$117)+SUMIF(③スチコン工程入力!$R$5:$R$152,$C37,③スチコン工程入力!$AD$5:$AD$152)+SUMIF(③スチコン工程入力!$S$5:$S$152,$C37,③スチコン工程入力!$AE$5:$AE$152)+SUMIF(③スチコン工程入力!$T$5:$T$152,$C37,③スチコン工程入力!$AF$5:$AF$152)+SUMIF(③スチコン工程入力!$U$5:$U$152,$C37,③スチコン工程入力!$AG$5:$AG$152)+SUMIF(③スチコン工程入力!$V$5:$V$152,$C37,③スチコン工程入力!$AH$5:$AH$152)+SUMIF(③スチコン工程入力!$W$5:$W$152,$C37,③スチコン工程入力!$AI$5:$AI$152)+SUMIF(⑩盛付梱包工程入力!$R$5:$R$300,$C37,⑩盛付梱包工程入力!$AD$5:$AD$300)+SUMIF(⑩盛付梱包工程入力!$S$5:$S$300,$C37,⑩盛付梱包工程入力!$AE$5:$AE$300)+SUMIF(⑩盛付梱包工程入力!$T$5:$T$300,$C37,⑩盛付梱包工程入力!$AF$5:$AF$300)+SUMIF(⑩盛付梱包工程入力!$U$5:$U$300,$C37,⑩盛付梱包工程入力!$AG$5:$AG$300)+SUMIF(⑩盛付梱包工程入力!$V$5:$V$300,$C37,⑩盛付梱包工程入力!$AH$5:$AH$300)+SUMIF(⑩盛付梱包工程入力!$W$5:$W$300,$C37,⑩盛付梱包工程入力!$AI$5:$AI$300)+SUMIF(⑪ZEN工程入力!$R$6:$R$35,$C37,⑪ZEN工程入力!$AD$6:$AD$35)+SUMIF(⑪ZEN工程入力!$S$6:$S$35,$C37,⑪ZEN工程入力!$AE$6:$AE$35)+SUMIF(⑪ZEN工程入力!$T$6:$T$35,$C37,⑪ZEN工程入力!$AF$6:$AF$35)+SUMIF(⑪ZEN工程入力!$U$6:$U$35,$C37,⑪ZEN工程入力!$AG$6:$AG$35)+SUMIF(⑪ZEN工程入力!$V$6:$V$35,$C37,⑪ZEN工程入力!$AH$6:$AH$35)+SUMIF(⑪ZEN工程入力!$W$6:$W$35,$C37,⑪ZEN工程入力!$AI$6:$AI$35)+SUMIF(⑫ミキサー工程入力!$R$6:$R$65,$C37,⑫ミキサー工程入力!$AD$6:$AD$65)+SUMIF(⑫ミキサー工程入力!$S$6:$S$65,$C37,⑫ミキサー工程入力!$AE$6:$AE$65)+SUMIF(⑫ミキサー工程入力!$T$6:$T$65,$C37,⑫ミキサー工程入力!$AF$6:$AF$65)+SUMIF(⑫ミキサー工程入力!$U$6:$U$65,$C37,⑫ミキサー工程入力!$AG$6:$AG$65)+SUMIF(⑫ミキサー工程入力!$V$6:$V$65,$C37,⑫ミキサー工程入力!$AH$6:$AH$65)+SUMIF(⑫ミキサー工程入力!$W$6:$W$65,$C37,⑫ミキサー工程入力!$AI$6:$AI$65)+SUMIF(⑬計量工程入力!$R$6:$R$65,$C37,⑬計量工程入力!$AD$6:$AD$65)+SUMIF(⑬計量工程入力!$S$6:$S$65,$C37,⑬計量工程入力!$AE$6:$AE$65)+SUMIF(⑬計量工程入力!$T$6:$T$65,$C37,⑬計量工程入力!$AF$6:$AF$65)+SUMIF(⑬計量工程入力!$U$6:$U$65,$C37,⑬計量工程入力!$AG$6:$AG$65)+SUMIF(⑬計量工程入力!$V$6:$V$65,$C37,⑬計量工程入力!$AH$6:$AH$65)+SUMIF(⑬計量工程入力!$W$6:$W$65,$C37,⑬計量工程入力!$AI$6:$AI$65)+SUMIF(⑭手動工程入力!$R$6:$R$47,$C37,⑭手動工程入力!$AD$6:$AD$47)+SUMIF(⑭手動工程入力!$S$6:$S$47,$C37,⑭手動工程入力!$AE$6:$AE$47)+SUMIF(⑭手動工程入力!$T$6:$T$47,$C37,⑭手動工程入力!$AF$6:$AF$47)+SUMIF(⑭手動工程入力!$U$6:$U$47,$C37,⑭手動工程入力!$AG$6:$AG$47)+SUMIF(⑭手動工程入力!$V$6:$V$47,$C37,⑭手動工程入力!$AH$6:$AH$47)+SUMIF(⑭手動工程入力!$W$6:$W$47,$C37,⑭手動工程入力!$AI$6:$AI$47)</f>
        <v/>
      </c>
      <c r="I37" s="393">
        <f>IF($F37&gt;0,$H37/$F37,"")</f>
        <v/>
      </c>
      <c r="J37" s="605">
        <f>IFERROR(INDEX(商品原価!$B$4:$B$112,MATCH(SUBSTITUTE(SUBSTITUTE(SUBSTITUTE(SUBSTITUTE(SUBSTITUTE(SUBSTITUTE(SUBSTITUTE(SUBSTITUTE(SUBSTITUTE(SUBSTITUTE(ASC($C37),"①","1"),"②","2"),"③","3"),"④","4"),"⑤","5"),"⑥","6"),"⑦","7"),"⑧","8"),"⑨","9")," ",""),商品原価!$C$4:$C$112,0)),"")</f>
        <v/>
      </c>
      <c r="K37" s="542">
        <f>IF(ISNUMBER($J37),$J37*④前提設定!$B$21,"")</f>
        <v/>
      </c>
      <c r="L37" s="605">
        <f>IF(AND(NOT(ISNUMBER($J37)),NOT(ISNUMBER($K37))),"",N($J37)+N($K37))</f>
        <v/>
      </c>
      <c r="M37" s="605">
        <f>IFERROR(INDEX(商品原価!$E$4:$E$112,MATCH(SUBSTITUTE(SUBSTITUTE(SUBSTITUTE(SUBSTITUTE(SUBSTITUTE(SUBSTITUTE(SUBSTITUTE(SUBSTITUTE(SUBSTITUTE(SUBSTITUTE(ASC($C37),"①","1"),"②","2"),"③","3"),"④","4"),"⑤","5"),"⑥","6"),"⑦","7"),"⑧","8"),"⑨","9")," ",""),商品原価!$C$4:$C$112,0)),"")</f>
        <v/>
      </c>
      <c r="N37" s="605">
        <f>IF(AND(ISNUMBER($M37),ISNUMBER($L37)),$M37-$L37-N($W37),"")</f>
        <v/>
      </c>
      <c r="O37" s="606">
        <f>IF(AND(ISNUMBER($N37),ISNUMBER($M37),$M37&gt;0),$N37/$M37,"")</f>
        <v/>
      </c>
      <c r="P37" s="398">
        <f>COUNTIF(②釜工程入力!$R$5:$R$117,$C37)+COUNTIF(②釜工程入力!$S$5:$S$117,$C37)+COUNTIF(②釜工程入力!$T$5:$T$117,$C37)+COUNTIF(②釜工程入力!$U$5:$U$117,$C37)+COUNTIF(②釜工程入力!$V$5:$V$117,$C37)+COUNTIF(②釜工程入力!$W$5:$W$117,$C37)+COUNTIF(③スチコン工程入力!$R$5:$R$152,$C37)+COUNTIF(③スチコン工程入力!$S$5:$S$152,$C37)+COUNTIF(③スチコン工程入力!$T$5:$T$152,$C37)+COUNTIF(③スチコン工程入力!$U$5:$U$152,$C37)+COUNTIF(③スチコン工程入力!$V$5:$V$152,$C37)+COUNTIF(③スチコン工程入力!$W$5:$W$152,$C37)+COUNTIF(⑩盛付梱包工程入力!$R$5:$R$300,$C37)+COUNTIF(⑩盛付梱包工程入力!$S$5:$S$300,$C37)+COUNTIF(⑩盛付梱包工程入力!$T$5:$T$300,$C37)+COUNTIF(⑩盛付梱包工程入力!$U$5:$U$300,$C37)+COUNTIF(⑩盛付梱包工程入力!$V$5:$V$300,$C37)+COUNTIF(⑩盛付梱包工程入力!$W$5:$W$300,$C37)+COUNTIF(⑪ZEN工程入力!$R$6:$R$35,$C37)+COUNTIF(⑪ZEN工程入力!$S$6:$S$35,$C37)+COUNTIF(⑪ZEN工程入力!$T$6:$T$35,$C37)+COUNTIF(⑪ZEN工程入力!$U$6:$U$35,$C37)+COUNTIF(⑪ZEN工程入力!$V$6:$V$35,$C37)+COUNTIF(⑪ZEN工程入力!$W$6:$W$35,$C37)+COUNTIF(⑫ミキサー工程入力!$R$6:$R$65,$C37)+COUNTIF(⑫ミキサー工程入力!$S$6:$S$65,$C37)+COUNTIF(⑫ミキサー工程入力!$T$6:$T$65,$C37)+COUNTIF(⑫ミキサー工程入力!$U$6:$U$65,$C37)+COUNTIF(⑫ミキサー工程入力!$V$6:$V$65,$C37)+COUNTIF(⑫ミキサー工程入力!$W$6:$W$65,$C37)+COUNTIF(⑬計量工程入力!$R$6:$R$65,$C37)+COUNTIF(⑬計量工程入力!$S$6:$S$65,$C37)+COUNTIF(⑬計量工程入力!$T$6:$T$65,$C37)+COUNTIF(⑬計量工程入力!$U$6:$U$65,$C37)+COUNTIF(⑬計量工程入力!$V$6:$V$65,$C37)+COUNTIF(⑬計量工程入力!$W$6:$W$65,$C37)+COUNTIF(⑭手動工程入力!$R$6:$R$47,$C37)+COUNTIF(⑭手動工程入力!$S$6:$S$47,$C37)+COUNTIF(⑭手動工程入力!$T$6:$T$47,$C37)+COUNTIF(⑭手動工程入力!$U$6:$U$47,$C37)+COUNTIF(⑭手動工程入力!$V$6:$V$47,$C37)+COUNTIF(⑭手動工程入力!$W$6:$W$47,$C37)</f>
        <v/>
      </c>
      <c r="Q37" s="392" t="inlineStr">
        <is>
          <t>⑩盛付梱包 53行目に入力欄を作成（工程記録なし）</t>
        </is>
      </c>
      <c r="R37" s="393" t="n"/>
      <c r="S37" s="393" t="n"/>
      <c r="T37" s="393" t="n"/>
      <c r="U37" s="393" t="n"/>
      <c r="V37" s="605">
        <f>IFERROR(INDEX(KIT別作業時間!$D$4:$D$27,MATCH(SUBSTITUTE(SUBSTITUTE(SUBSTITUTE(SUBSTITUTE(SUBSTITUTE(SUBSTITUTE(SUBSTITUTE(SUBSTITUTE(SUBSTITUTE(SUBSTITUTE(ASC($C37),"①","1"),"②","2"),"③","3"),"④","4"),"⑤","5"),"⑥","6"),"⑦","7"),"⑧","8"),"⑨","9")," ",""),KIT別作業時間!$C$4:$C$27,0)),"")</f>
        <v/>
      </c>
      <c r="W37" s="393">
        <f>IF(AND(ISNUMBER($I37),$I37&gt;0),$I37,IF(ISNUMBER($V37),$V37,IF(ISNUMBER($R37),$R37,"")))</f>
        <v/>
      </c>
      <c r="X37" s="393">
        <f>IF(AND(ISNUMBER($I37),$I37&gt;0),"今回の工程実績",IF(ISNUMBER($V37),"KIT作業時間",IF(ISNUMBER($R37),"前回資料","")))</f>
        <v/>
      </c>
      <c r="Y37" s="398" t="n">
        <v>1403</v>
      </c>
      <c r="Z37" s="398">
        <f>IF(AND(ISNUMBER($W37),ISNUMBER($Y37)),$W37*$Y37,"")</f>
        <v/>
      </c>
      <c r="AA37" s="393" t="n"/>
    </row>
    <row r="38">
      <c r="A38" s="392" t="n">
        <v>34</v>
      </c>
      <c r="B38" s="392" t="n"/>
      <c r="C38" s="392" t="inlineStr">
        <is>
          <t>バナナのふんわりロール２</t>
        </is>
      </c>
      <c r="D38" s="398">
        <f>SUMIF(⑩盛付梱包工程入力!$R$5:$R$300,$C38,⑩盛付梱包工程入力!$AC$5:$AC$300)+SUMIF(⑩盛付梱包工程入力!$S$5:$S$300,$C38,⑩盛付梱包工程入力!$AC$5:$AC$300)+SUMIF(⑩盛付梱包工程入力!$T$5:$T$300,$C38,⑩盛付梱包工程入力!$AC$5:$AC$300)+SUMIF(⑩盛付梱包工程入力!$U$5:$U$300,$C38,⑩盛付梱包工程入力!$AC$5:$AC$300)+SUMIF(⑩盛付梱包工程入力!$V$5:$V$300,$C38,⑩盛付梱包工程入力!$AC$5:$AC$300)+SUMIF(⑩盛付梱包工程入力!$W$5:$W$300,$C38,⑩盛付梱包工程入力!$AC$5:$AC$300)</f>
        <v/>
      </c>
      <c r="E38" s="398" t="n">
        <v>364</v>
      </c>
      <c r="F38" s="398">
        <f>IF(N($E38)&gt;0,$E38,$D38)</f>
        <v/>
      </c>
      <c r="G38" s="393" t="n">
        <v>42.74942196531792</v>
      </c>
      <c r="H38" s="393">
        <f>SUMIF(②釜工程入力!$R$5:$R$117,$C38,②釜工程入力!$AD$5:$AD$117)+SUMIF(②釜工程入力!$S$5:$S$117,$C38,②釜工程入力!$AE$5:$AE$117)+SUMIF(②釜工程入力!$T$5:$T$117,$C38,②釜工程入力!$AF$5:$AF$117)+SUMIF(②釜工程入力!$U$5:$U$117,$C38,②釜工程入力!$AG$5:$AG$117)+SUMIF(②釜工程入力!$V$5:$V$117,$C38,②釜工程入力!$AH$5:$AH$117)+SUMIF(②釜工程入力!$W$5:$W$117,$C38,②釜工程入力!$AI$5:$AI$117)+SUMIF(③スチコン工程入力!$R$5:$R$152,$C38,③スチコン工程入力!$AD$5:$AD$152)+SUMIF(③スチコン工程入力!$S$5:$S$152,$C38,③スチコン工程入力!$AE$5:$AE$152)+SUMIF(③スチコン工程入力!$T$5:$T$152,$C38,③スチコン工程入力!$AF$5:$AF$152)+SUMIF(③スチコン工程入力!$U$5:$U$152,$C38,③スチコン工程入力!$AG$5:$AG$152)+SUMIF(③スチコン工程入力!$V$5:$V$152,$C38,③スチコン工程入力!$AH$5:$AH$152)+SUMIF(③スチコン工程入力!$W$5:$W$152,$C38,③スチコン工程入力!$AI$5:$AI$152)+SUMIF(⑩盛付梱包工程入力!$R$5:$R$300,$C38,⑩盛付梱包工程入力!$AD$5:$AD$300)+SUMIF(⑩盛付梱包工程入力!$S$5:$S$300,$C38,⑩盛付梱包工程入力!$AE$5:$AE$300)+SUMIF(⑩盛付梱包工程入力!$T$5:$T$300,$C38,⑩盛付梱包工程入力!$AF$5:$AF$300)+SUMIF(⑩盛付梱包工程入力!$U$5:$U$300,$C38,⑩盛付梱包工程入力!$AG$5:$AG$300)+SUMIF(⑩盛付梱包工程入力!$V$5:$V$300,$C38,⑩盛付梱包工程入力!$AH$5:$AH$300)+SUMIF(⑩盛付梱包工程入力!$W$5:$W$300,$C38,⑩盛付梱包工程入力!$AI$5:$AI$300)+SUMIF(⑪ZEN工程入力!$R$6:$R$35,$C38,⑪ZEN工程入力!$AD$6:$AD$35)+SUMIF(⑪ZEN工程入力!$S$6:$S$35,$C38,⑪ZEN工程入力!$AE$6:$AE$35)+SUMIF(⑪ZEN工程入力!$T$6:$T$35,$C38,⑪ZEN工程入力!$AF$6:$AF$35)+SUMIF(⑪ZEN工程入力!$U$6:$U$35,$C38,⑪ZEN工程入力!$AG$6:$AG$35)+SUMIF(⑪ZEN工程入力!$V$6:$V$35,$C38,⑪ZEN工程入力!$AH$6:$AH$35)+SUMIF(⑪ZEN工程入力!$W$6:$W$35,$C38,⑪ZEN工程入力!$AI$6:$AI$35)+SUMIF(⑫ミキサー工程入力!$R$6:$R$65,$C38,⑫ミキサー工程入力!$AD$6:$AD$65)+SUMIF(⑫ミキサー工程入力!$S$6:$S$65,$C38,⑫ミキサー工程入力!$AE$6:$AE$65)+SUMIF(⑫ミキサー工程入力!$T$6:$T$65,$C38,⑫ミキサー工程入力!$AF$6:$AF$65)+SUMIF(⑫ミキサー工程入力!$U$6:$U$65,$C38,⑫ミキサー工程入力!$AG$6:$AG$65)+SUMIF(⑫ミキサー工程入力!$V$6:$V$65,$C38,⑫ミキサー工程入力!$AH$6:$AH$65)+SUMIF(⑫ミキサー工程入力!$W$6:$W$65,$C38,⑫ミキサー工程入力!$AI$6:$AI$65)+SUMIF(⑬計量工程入力!$R$6:$R$65,$C38,⑬計量工程入力!$AD$6:$AD$65)+SUMIF(⑬計量工程入力!$S$6:$S$65,$C38,⑬計量工程入力!$AE$6:$AE$65)+SUMIF(⑬計量工程入力!$T$6:$T$65,$C38,⑬計量工程入力!$AF$6:$AF$65)+SUMIF(⑬計量工程入力!$U$6:$U$65,$C38,⑬計量工程入力!$AG$6:$AG$65)+SUMIF(⑬計量工程入力!$V$6:$V$65,$C38,⑬計量工程入力!$AH$6:$AH$65)+SUMIF(⑬計量工程入力!$W$6:$W$65,$C38,⑬計量工程入力!$AI$6:$AI$65)+SUMIF(⑭手動工程入力!$R$6:$R$47,$C38,⑭手動工程入力!$AD$6:$AD$47)+SUMIF(⑭手動工程入力!$S$6:$S$47,$C38,⑭手動工程入力!$AE$6:$AE$47)+SUMIF(⑭手動工程入力!$T$6:$T$47,$C38,⑭手動工程入力!$AF$6:$AF$47)+SUMIF(⑭手動工程入力!$U$6:$U$47,$C38,⑭手動工程入力!$AG$6:$AG$47)+SUMIF(⑭手動工程入力!$V$6:$V$47,$C38,⑭手動工程入力!$AH$6:$AH$47)+SUMIF(⑭手動工程入力!$W$6:$W$47,$C38,⑭手動工程入力!$AI$6:$AI$47)</f>
        <v/>
      </c>
      <c r="I38" s="393">
        <f>IF($F38&gt;0,$H38/$F38,"")</f>
        <v/>
      </c>
      <c r="J38" s="605">
        <f>IFERROR(INDEX(商品原価!$B$4:$B$112,MATCH(SUBSTITUTE(SUBSTITUTE(SUBSTITUTE(SUBSTITUTE(SUBSTITUTE(SUBSTITUTE(SUBSTITUTE(SUBSTITUTE(SUBSTITUTE(SUBSTITUTE(ASC($C38),"①","1"),"②","2"),"③","3"),"④","4"),"⑤","5"),"⑥","6"),"⑦","7"),"⑧","8"),"⑨","9")," ",""),商品原価!$C$4:$C$112,0)),"")</f>
        <v/>
      </c>
      <c r="K38" s="542">
        <f>IF(ISNUMBER($J38),$J38*④前提設定!$B$21,"")</f>
        <v/>
      </c>
      <c r="L38" s="605">
        <f>IF(AND(NOT(ISNUMBER($J38)),NOT(ISNUMBER($K38))),"",N($J38)+N($K38))</f>
        <v/>
      </c>
      <c r="M38" s="605">
        <f>IFERROR(INDEX(商品原価!$E$4:$E$112,MATCH(SUBSTITUTE(SUBSTITUTE(SUBSTITUTE(SUBSTITUTE(SUBSTITUTE(SUBSTITUTE(SUBSTITUTE(SUBSTITUTE(SUBSTITUTE(SUBSTITUTE(ASC($C38),"①","1"),"②","2"),"③","3"),"④","4"),"⑤","5"),"⑥","6"),"⑦","7"),"⑧","8"),"⑨","9")," ",""),商品原価!$C$4:$C$112,0)),"")</f>
        <v/>
      </c>
      <c r="N38" s="605">
        <f>IF(AND(ISNUMBER($M38),ISNUMBER($L38)),$M38-$L38-N($W38),"")</f>
        <v/>
      </c>
      <c r="O38" s="606">
        <f>IF(AND(ISNUMBER($N38),ISNUMBER($M38),$M38&gt;0),$N38/$M38,"")</f>
        <v/>
      </c>
      <c r="P38" s="398">
        <f>COUNTIF(②釜工程入力!$R$5:$R$117,$C38)+COUNTIF(②釜工程入力!$S$5:$S$117,$C38)+COUNTIF(②釜工程入力!$T$5:$T$117,$C38)+COUNTIF(②釜工程入力!$U$5:$U$117,$C38)+COUNTIF(②釜工程入力!$V$5:$V$117,$C38)+COUNTIF(②釜工程入力!$W$5:$W$117,$C38)+COUNTIF(③スチコン工程入力!$R$5:$R$152,$C38)+COUNTIF(③スチコン工程入力!$S$5:$S$152,$C38)+COUNTIF(③スチコン工程入力!$T$5:$T$152,$C38)+COUNTIF(③スチコン工程入力!$U$5:$U$152,$C38)+COUNTIF(③スチコン工程入力!$V$5:$V$152,$C38)+COUNTIF(③スチコン工程入力!$W$5:$W$152,$C38)+COUNTIF(⑩盛付梱包工程入力!$R$5:$R$300,$C38)+COUNTIF(⑩盛付梱包工程入力!$S$5:$S$300,$C38)+COUNTIF(⑩盛付梱包工程入力!$T$5:$T$300,$C38)+COUNTIF(⑩盛付梱包工程入力!$U$5:$U$300,$C38)+COUNTIF(⑩盛付梱包工程入力!$V$5:$V$300,$C38)+COUNTIF(⑩盛付梱包工程入力!$W$5:$W$300,$C38)+COUNTIF(⑪ZEN工程入力!$R$6:$R$35,$C38)+COUNTIF(⑪ZEN工程入力!$S$6:$S$35,$C38)+COUNTIF(⑪ZEN工程入力!$T$6:$T$35,$C38)+COUNTIF(⑪ZEN工程入力!$U$6:$U$35,$C38)+COUNTIF(⑪ZEN工程入力!$V$6:$V$35,$C38)+COUNTIF(⑪ZEN工程入力!$W$6:$W$35,$C38)+COUNTIF(⑫ミキサー工程入力!$R$6:$R$65,$C38)+COUNTIF(⑫ミキサー工程入力!$S$6:$S$65,$C38)+COUNTIF(⑫ミキサー工程入力!$T$6:$T$65,$C38)+COUNTIF(⑫ミキサー工程入力!$U$6:$U$65,$C38)+COUNTIF(⑫ミキサー工程入力!$V$6:$V$65,$C38)+COUNTIF(⑫ミキサー工程入力!$W$6:$W$65,$C38)+COUNTIF(⑬計量工程入力!$R$6:$R$65,$C38)+COUNTIF(⑬計量工程入力!$S$6:$S$65,$C38)+COUNTIF(⑬計量工程入力!$T$6:$T$65,$C38)+COUNTIF(⑬計量工程入力!$U$6:$U$65,$C38)+COUNTIF(⑬計量工程入力!$V$6:$V$65,$C38)+COUNTIF(⑬計量工程入力!$W$6:$W$65,$C38)+COUNTIF(⑭手動工程入力!$R$6:$R$47,$C38)+COUNTIF(⑭手動工程入力!$S$6:$S$47,$C38)+COUNTIF(⑭手動工程入力!$T$6:$T$47,$C38)+COUNTIF(⑭手動工程入力!$U$6:$U$47,$C38)+COUNTIF(⑭手動工程入力!$V$6:$V$47,$C38)+COUNTIF(⑭手動工程入力!$W$6:$W$47,$C38)</f>
        <v/>
      </c>
      <c r="Q38" s="392" t="n"/>
      <c r="R38" s="393" t="n"/>
      <c r="S38" s="393" t="n"/>
      <c r="T38" s="393" t="n"/>
      <c r="U38" s="393" t="n"/>
      <c r="V38" s="605">
        <f>IFERROR(INDEX(KIT別作業時間!$D$4:$D$27,MATCH(SUBSTITUTE(SUBSTITUTE(SUBSTITUTE(SUBSTITUTE(SUBSTITUTE(SUBSTITUTE(SUBSTITUTE(SUBSTITUTE(SUBSTITUTE(SUBSTITUTE(ASC($C38),"①","1"),"②","2"),"③","3"),"④","4"),"⑤","5"),"⑥","6"),"⑦","7"),"⑧","8"),"⑨","9")," ",""),KIT別作業時間!$C$4:$C$27,0)),"")</f>
        <v/>
      </c>
      <c r="W38" s="393">
        <f>IF(AND(ISNUMBER($I38),$I38&gt;0),$I38,IF(ISNUMBER($V38),$V38,IF(ISNUMBER($R38),$R38,"")))</f>
        <v/>
      </c>
      <c r="X38" s="393">
        <f>IF(AND(ISNUMBER($I38),$I38&gt;0),"今回の工程実績",IF(ISNUMBER($V38),"KIT作業時間",IF(ISNUMBER($R38),"前回資料","")))</f>
        <v/>
      </c>
      <c r="Y38" s="398" t="n">
        <v>15172</v>
      </c>
      <c r="Z38" s="398">
        <f>IF(AND(ISNUMBER($W38),ISNUMBER($Y38)),$W38*$Y38,"")</f>
        <v/>
      </c>
      <c r="AA38" s="393" t="inlineStr">
        <is>
          <t>バナナのふんわりロール（2商品に等分）</t>
        </is>
      </c>
    </row>
    <row r="39">
      <c r="A39" s="392" t="n">
        <v>35</v>
      </c>
      <c r="B39" s="392" t="n"/>
      <c r="C39" s="392" t="inlineStr">
        <is>
          <t>蜜いもスイートポテト</t>
        </is>
      </c>
      <c r="D39" s="398">
        <f>SUMIF(⑩盛付梱包工程入力!$R$5:$R$300,$C39,⑩盛付梱包工程入力!$AC$5:$AC$300)+SUMIF(⑩盛付梱包工程入力!$S$5:$S$300,$C39,⑩盛付梱包工程入力!$AC$5:$AC$300)+SUMIF(⑩盛付梱包工程入力!$T$5:$T$300,$C39,⑩盛付梱包工程入力!$AC$5:$AC$300)+SUMIF(⑩盛付梱包工程入力!$U$5:$U$300,$C39,⑩盛付梱包工程入力!$AC$5:$AC$300)+SUMIF(⑩盛付梱包工程入力!$V$5:$V$300,$C39,⑩盛付梱包工程入力!$AC$5:$AC$300)+SUMIF(⑩盛付梱包工程入力!$W$5:$W$300,$C39,⑩盛付梱包工程入力!$AC$5:$AC$300)</f>
        <v/>
      </c>
      <c r="E39" s="398" t="n">
        <v>252</v>
      </c>
      <c r="F39" s="398">
        <f>IF(N($E39)&gt;0,$E39,$D39)</f>
        <v/>
      </c>
      <c r="G39" s="393" t="n">
        <v>76.91581632653062</v>
      </c>
      <c r="H39" s="393">
        <f>SUMIF(②釜工程入力!$R$5:$R$117,$C39,②釜工程入力!$AD$5:$AD$117)+SUMIF(②釜工程入力!$S$5:$S$117,$C39,②釜工程入力!$AE$5:$AE$117)+SUMIF(②釜工程入力!$T$5:$T$117,$C39,②釜工程入力!$AF$5:$AF$117)+SUMIF(②釜工程入力!$U$5:$U$117,$C39,②釜工程入力!$AG$5:$AG$117)+SUMIF(②釜工程入力!$V$5:$V$117,$C39,②釜工程入力!$AH$5:$AH$117)+SUMIF(②釜工程入力!$W$5:$W$117,$C39,②釜工程入力!$AI$5:$AI$117)+SUMIF(③スチコン工程入力!$R$5:$R$152,$C39,③スチコン工程入力!$AD$5:$AD$152)+SUMIF(③スチコン工程入力!$S$5:$S$152,$C39,③スチコン工程入力!$AE$5:$AE$152)+SUMIF(③スチコン工程入力!$T$5:$T$152,$C39,③スチコン工程入力!$AF$5:$AF$152)+SUMIF(③スチコン工程入力!$U$5:$U$152,$C39,③スチコン工程入力!$AG$5:$AG$152)+SUMIF(③スチコン工程入力!$V$5:$V$152,$C39,③スチコン工程入力!$AH$5:$AH$152)+SUMIF(③スチコン工程入力!$W$5:$W$152,$C39,③スチコン工程入力!$AI$5:$AI$152)+SUMIF(⑩盛付梱包工程入力!$R$5:$R$300,$C39,⑩盛付梱包工程入力!$AD$5:$AD$300)+SUMIF(⑩盛付梱包工程入力!$S$5:$S$300,$C39,⑩盛付梱包工程入力!$AE$5:$AE$300)+SUMIF(⑩盛付梱包工程入力!$T$5:$T$300,$C39,⑩盛付梱包工程入力!$AF$5:$AF$300)+SUMIF(⑩盛付梱包工程入力!$U$5:$U$300,$C39,⑩盛付梱包工程入力!$AG$5:$AG$300)+SUMIF(⑩盛付梱包工程入力!$V$5:$V$300,$C39,⑩盛付梱包工程入力!$AH$5:$AH$300)+SUMIF(⑩盛付梱包工程入力!$W$5:$W$300,$C39,⑩盛付梱包工程入力!$AI$5:$AI$300)+SUMIF(⑪ZEN工程入力!$R$6:$R$35,$C39,⑪ZEN工程入力!$AD$6:$AD$35)+SUMIF(⑪ZEN工程入力!$S$6:$S$35,$C39,⑪ZEN工程入力!$AE$6:$AE$35)+SUMIF(⑪ZEN工程入力!$T$6:$T$35,$C39,⑪ZEN工程入力!$AF$6:$AF$35)+SUMIF(⑪ZEN工程入力!$U$6:$U$35,$C39,⑪ZEN工程入力!$AG$6:$AG$35)+SUMIF(⑪ZEN工程入力!$V$6:$V$35,$C39,⑪ZEN工程入力!$AH$6:$AH$35)+SUMIF(⑪ZEN工程入力!$W$6:$W$35,$C39,⑪ZEN工程入力!$AI$6:$AI$35)+SUMIF(⑫ミキサー工程入力!$R$6:$R$65,$C39,⑫ミキサー工程入力!$AD$6:$AD$65)+SUMIF(⑫ミキサー工程入力!$S$6:$S$65,$C39,⑫ミキサー工程入力!$AE$6:$AE$65)+SUMIF(⑫ミキサー工程入力!$T$6:$T$65,$C39,⑫ミキサー工程入力!$AF$6:$AF$65)+SUMIF(⑫ミキサー工程入力!$U$6:$U$65,$C39,⑫ミキサー工程入力!$AG$6:$AG$65)+SUMIF(⑫ミキサー工程入力!$V$6:$V$65,$C39,⑫ミキサー工程入力!$AH$6:$AH$65)+SUMIF(⑫ミキサー工程入力!$W$6:$W$65,$C39,⑫ミキサー工程入力!$AI$6:$AI$65)+SUMIF(⑬計量工程入力!$R$6:$R$65,$C39,⑬計量工程入力!$AD$6:$AD$65)+SUMIF(⑬計量工程入力!$S$6:$S$65,$C39,⑬計量工程入力!$AE$6:$AE$65)+SUMIF(⑬計量工程入力!$T$6:$T$65,$C39,⑬計量工程入力!$AF$6:$AF$65)+SUMIF(⑬計量工程入力!$U$6:$U$65,$C39,⑬計量工程入力!$AG$6:$AG$65)+SUMIF(⑬計量工程入力!$V$6:$V$65,$C39,⑬計量工程入力!$AH$6:$AH$65)+SUMIF(⑬計量工程入力!$W$6:$W$65,$C39,⑬計量工程入力!$AI$6:$AI$65)+SUMIF(⑭手動工程入力!$R$6:$R$47,$C39,⑭手動工程入力!$AD$6:$AD$47)+SUMIF(⑭手動工程入力!$S$6:$S$47,$C39,⑭手動工程入力!$AE$6:$AE$47)+SUMIF(⑭手動工程入力!$T$6:$T$47,$C39,⑭手動工程入力!$AF$6:$AF$47)+SUMIF(⑭手動工程入力!$U$6:$U$47,$C39,⑭手動工程入力!$AG$6:$AG$47)+SUMIF(⑭手動工程入力!$V$6:$V$47,$C39,⑭手動工程入力!$AH$6:$AH$47)+SUMIF(⑭手動工程入力!$W$6:$W$47,$C39,⑭手動工程入力!$AI$6:$AI$47)</f>
        <v/>
      </c>
      <c r="I39" s="393">
        <f>IF($F39&gt;0,$H39/$F39,"")</f>
        <v/>
      </c>
      <c r="J39" s="605">
        <f>IFERROR(INDEX(商品原価!$B$4:$B$112,MATCH(SUBSTITUTE(SUBSTITUTE(SUBSTITUTE(SUBSTITUTE(SUBSTITUTE(SUBSTITUTE(SUBSTITUTE(SUBSTITUTE(SUBSTITUTE(SUBSTITUTE(ASC($C39),"①","1"),"②","2"),"③","3"),"④","4"),"⑤","5"),"⑥","6"),"⑦","7"),"⑧","8"),"⑨","9")," ",""),商品原価!$C$4:$C$112,0)),"")</f>
        <v/>
      </c>
      <c r="K39" s="542">
        <f>IF(ISNUMBER($J39),$J39*④前提設定!$B$21,"")</f>
        <v/>
      </c>
      <c r="L39" s="605">
        <f>IF(AND(NOT(ISNUMBER($J39)),NOT(ISNUMBER($K39))),"",N($J39)+N($K39))</f>
        <v/>
      </c>
      <c r="M39" s="605">
        <f>IFERROR(INDEX(商品原価!$E$4:$E$112,MATCH(SUBSTITUTE(SUBSTITUTE(SUBSTITUTE(SUBSTITUTE(SUBSTITUTE(SUBSTITUTE(SUBSTITUTE(SUBSTITUTE(SUBSTITUTE(SUBSTITUTE(ASC($C39),"①","1"),"②","2"),"③","3"),"④","4"),"⑤","5"),"⑥","6"),"⑦","7"),"⑧","8"),"⑨","9")," ",""),商品原価!$C$4:$C$112,0)),"")</f>
        <v/>
      </c>
      <c r="N39" s="605">
        <f>IF(AND(ISNUMBER($M39),ISNUMBER($L39)),$M39-$L39-N($W39),"")</f>
        <v/>
      </c>
      <c r="O39" s="606">
        <f>IF(AND(ISNUMBER($N39),ISNUMBER($M39),$M39&gt;0),$N39/$M39,"")</f>
        <v/>
      </c>
      <c r="P39" s="398">
        <f>COUNTIF(②釜工程入力!$R$5:$R$117,$C39)+COUNTIF(②釜工程入力!$S$5:$S$117,$C39)+COUNTIF(②釜工程入力!$T$5:$T$117,$C39)+COUNTIF(②釜工程入力!$U$5:$U$117,$C39)+COUNTIF(②釜工程入力!$V$5:$V$117,$C39)+COUNTIF(②釜工程入力!$W$5:$W$117,$C39)+COUNTIF(③スチコン工程入力!$R$5:$R$152,$C39)+COUNTIF(③スチコン工程入力!$S$5:$S$152,$C39)+COUNTIF(③スチコン工程入力!$T$5:$T$152,$C39)+COUNTIF(③スチコン工程入力!$U$5:$U$152,$C39)+COUNTIF(③スチコン工程入力!$V$5:$V$152,$C39)+COUNTIF(③スチコン工程入力!$W$5:$W$152,$C39)+COUNTIF(⑩盛付梱包工程入力!$R$5:$R$300,$C39)+COUNTIF(⑩盛付梱包工程入力!$S$5:$S$300,$C39)+COUNTIF(⑩盛付梱包工程入力!$T$5:$T$300,$C39)+COUNTIF(⑩盛付梱包工程入力!$U$5:$U$300,$C39)+COUNTIF(⑩盛付梱包工程入力!$V$5:$V$300,$C39)+COUNTIF(⑩盛付梱包工程入力!$W$5:$W$300,$C39)+COUNTIF(⑪ZEN工程入力!$R$6:$R$35,$C39)+COUNTIF(⑪ZEN工程入力!$S$6:$S$35,$C39)+COUNTIF(⑪ZEN工程入力!$T$6:$T$35,$C39)+COUNTIF(⑪ZEN工程入力!$U$6:$U$35,$C39)+COUNTIF(⑪ZEN工程入力!$V$6:$V$35,$C39)+COUNTIF(⑪ZEN工程入力!$W$6:$W$35,$C39)+COUNTIF(⑫ミキサー工程入力!$R$6:$R$65,$C39)+COUNTIF(⑫ミキサー工程入力!$S$6:$S$65,$C39)+COUNTIF(⑫ミキサー工程入力!$T$6:$T$65,$C39)+COUNTIF(⑫ミキサー工程入力!$U$6:$U$65,$C39)+COUNTIF(⑫ミキサー工程入力!$V$6:$V$65,$C39)+COUNTIF(⑫ミキサー工程入力!$W$6:$W$65,$C39)+COUNTIF(⑬計量工程入力!$R$6:$R$65,$C39)+COUNTIF(⑬計量工程入力!$S$6:$S$65,$C39)+COUNTIF(⑬計量工程入力!$T$6:$T$65,$C39)+COUNTIF(⑬計量工程入力!$U$6:$U$65,$C39)+COUNTIF(⑬計量工程入力!$V$6:$V$65,$C39)+COUNTIF(⑬計量工程入力!$W$6:$W$65,$C39)+COUNTIF(⑭手動工程入力!$R$6:$R$47,$C39)+COUNTIF(⑭手動工程入力!$S$6:$S$47,$C39)+COUNTIF(⑭手動工程入力!$T$6:$T$47,$C39)+COUNTIF(⑭手動工程入力!$U$6:$U$47,$C39)+COUNTIF(⑭手動工程入力!$V$6:$V$47,$C39)+COUNTIF(⑭手動工程入力!$W$6:$W$47,$C39)</f>
        <v/>
      </c>
      <c r="Q39" s="392" t="n"/>
      <c r="R39" s="393" t="n"/>
      <c r="S39" s="393" t="n"/>
      <c r="T39" s="393" t="n"/>
      <c r="U39" s="393" t="n"/>
      <c r="V39" s="605">
        <f>IFERROR(INDEX(KIT別作業時間!$D$4:$D$27,MATCH(SUBSTITUTE(SUBSTITUTE(SUBSTITUTE(SUBSTITUTE(SUBSTITUTE(SUBSTITUTE(SUBSTITUTE(SUBSTITUTE(SUBSTITUTE(SUBSTITUTE(ASC($C39),"①","1"),"②","2"),"③","3"),"④","4"),"⑤","5"),"⑥","6"),"⑦","7"),"⑧","8"),"⑨","9")," ",""),KIT別作業時間!$C$4:$C$27,0)),"")</f>
        <v/>
      </c>
      <c r="W39" s="393">
        <f>IF(AND(ISNUMBER($I39),$I39&gt;0),$I39,IF(ISNUMBER($V39),$V39,IF(ISNUMBER($R39),$R39,"")))</f>
        <v/>
      </c>
      <c r="X39" s="393">
        <f>IF(AND(ISNUMBER($I39),$I39&gt;0),"今回の工程実績",IF(ISNUMBER($V39),"KIT作業時間",IF(ISNUMBER($R39),"前回資料","")))</f>
        <v/>
      </c>
      <c r="Y39" s="398" t="n">
        <v>6474</v>
      </c>
      <c r="Z39" s="398">
        <f>IF(AND(ISNUMBER($W39),ISNUMBER($Y39)),$W39*$Y39,"")</f>
        <v/>
      </c>
      <c r="AA39" s="393" t="inlineStr">
        <is>
          <t>【白】蜜いもスイートポテト（2商品に等分）</t>
        </is>
      </c>
    </row>
    <row r="40">
      <c r="A40" s="392" t="n">
        <v>36</v>
      </c>
      <c r="B40" s="392" t="n"/>
      <c r="C40" s="392" t="inlineStr">
        <is>
          <t>砂ずり唐揚げＫＩＴ</t>
        </is>
      </c>
      <c r="D40" s="398">
        <f>SUMIF(⑩盛付梱包工程入力!$R$5:$R$300,$C40,⑩盛付梱包工程入力!$AC$5:$AC$300)+SUMIF(⑩盛付梱包工程入力!$S$5:$S$300,$C40,⑩盛付梱包工程入力!$AC$5:$AC$300)+SUMIF(⑩盛付梱包工程入力!$T$5:$T$300,$C40,⑩盛付梱包工程入力!$AC$5:$AC$300)+SUMIF(⑩盛付梱包工程入力!$U$5:$U$300,$C40,⑩盛付梱包工程入力!$AC$5:$AC$300)+SUMIF(⑩盛付梱包工程入力!$V$5:$V$300,$C40,⑩盛付梱包工程入力!$AC$5:$AC$300)+SUMIF(⑩盛付梱包工程入力!$W$5:$W$300,$C40,⑩盛付梱包工程入力!$AC$5:$AC$300)</f>
        <v/>
      </c>
      <c r="E40" s="398" t="n">
        <v>68</v>
      </c>
      <c r="F40" s="398">
        <f>IF(N($E40)&gt;0,$E40,$D40)</f>
        <v/>
      </c>
      <c r="G40" s="393" t="n">
        <v>155.2164948453608</v>
      </c>
      <c r="H40" s="393">
        <f>SUMIF(②釜工程入力!$R$5:$R$117,$C40,②釜工程入力!$AD$5:$AD$117)+SUMIF(②釜工程入力!$S$5:$S$117,$C40,②釜工程入力!$AE$5:$AE$117)+SUMIF(②釜工程入力!$T$5:$T$117,$C40,②釜工程入力!$AF$5:$AF$117)+SUMIF(②釜工程入力!$U$5:$U$117,$C40,②釜工程入力!$AG$5:$AG$117)+SUMIF(②釜工程入力!$V$5:$V$117,$C40,②釜工程入力!$AH$5:$AH$117)+SUMIF(②釜工程入力!$W$5:$W$117,$C40,②釜工程入力!$AI$5:$AI$117)+SUMIF(③スチコン工程入力!$R$5:$R$152,$C40,③スチコン工程入力!$AD$5:$AD$152)+SUMIF(③スチコン工程入力!$S$5:$S$152,$C40,③スチコン工程入力!$AE$5:$AE$152)+SUMIF(③スチコン工程入力!$T$5:$T$152,$C40,③スチコン工程入力!$AF$5:$AF$152)+SUMIF(③スチコン工程入力!$U$5:$U$152,$C40,③スチコン工程入力!$AG$5:$AG$152)+SUMIF(③スチコン工程入力!$V$5:$V$152,$C40,③スチコン工程入力!$AH$5:$AH$152)+SUMIF(③スチコン工程入力!$W$5:$W$152,$C40,③スチコン工程入力!$AI$5:$AI$152)+SUMIF(⑩盛付梱包工程入力!$R$5:$R$300,$C40,⑩盛付梱包工程入力!$AD$5:$AD$300)+SUMIF(⑩盛付梱包工程入力!$S$5:$S$300,$C40,⑩盛付梱包工程入力!$AE$5:$AE$300)+SUMIF(⑩盛付梱包工程入力!$T$5:$T$300,$C40,⑩盛付梱包工程入力!$AF$5:$AF$300)+SUMIF(⑩盛付梱包工程入力!$U$5:$U$300,$C40,⑩盛付梱包工程入力!$AG$5:$AG$300)+SUMIF(⑩盛付梱包工程入力!$V$5:$V$300,$C40,⑩盛付梱包工程入力!$AH$5:$AH$300)+SUMIF(⑩盛付梱包工程入力!$W$5:$W$300,$C40,⑩盛付梱包工程入力!$AI$5:$AI$300)+SUMIF(⑪ZEN工程入力!$R$6:$R$35,$C40,⑪ZEN工程入力!$AD$6:$AD$35)+SUMIF(⑪ZEN工程入力!$S$6:$S$35,$C40,⑪ZEN工程入力!$AE$6:$AE$35)+SUMIF(⑪ZEN工程入力!$T$6:$T$35,$C40,⑪ZEN工程入力!$AF$6:$AF$35)+SUMIF(⑪ZEN工程入力!$U$6:$U$35,$C40,⑪ZEN工程入力!$AG$6:$AG$35)+SUMIF(⑪ZEN工程入力!$V$6:$V$35,$C40,⑪ZEN工程入力!$AH$6:$AH$35)+SUMIF(⑪ZEN工程入力!$W$6:$W$35,$C40,⑪ZEN工程入力!$AI$6:$AI$35)+SUMIF(⑫ミキサー工程入力!$R$6:$R$65,$C40,⑫ミキサー工程入力!$AD$6:$AD$65)+SUMIF(⑫ミキサー工程入力!$S$6:$S$65,$C40,⑫ミキサー工程入力!$AE$6:$AE$65)+SUMIF(⑫ミキサー工程入力!$T$6:$T$65,$C40,⑫ミキサー工程入力!$AF$6:$AF$65)+SUMIF(⑫ミキサー工程入力!$U$6:$U$65,$C40,⑫ミキサー工程入力!$AG$6:$AG$65)+SUMIF(⑫ミキサー工程入力!$V$6:$V$65,$C40,⑫ミキサー工程入力!$AH$6:$AH$65)+SUMIF(⑫ミキサー工程入力!$W$6:$W$65,$C40,⑫ミキサー工程入力!$AI$6:$AI$65)+SUMIF(⑬計量工程入力!$R$6:$R$65,$C40,⑬計量工程入力!$AD$6:$AD$65)+SUMIF(⑬計量工程入力!$S$6:$S$65,$C40,⑬計量工程入力!$AE$6:$AE$65)+SUMIF(⑬計量工程入力!$T$6:$T$65,$C40,⑬計量工程入力!$AF$6:$AF$65)+SUMIF(⑬計量工程入力!$U$6:$U$65,$C40,⑬計量工程入力!$AG$6:$AG$65)+SUMIF(⑬計量工程入力!$V$6:$V$65,$C40,⑬計量工程入力!$AH$6:$AH$65)+SUMIF(⑬計量工程入力!$W$6:$W$65,$C40,⑬計量工程入力!$AI$6:$AI$65)+SUMIF(⑭手動工程入力!$R$6:$R$47,$C40,⑭手動工程入力!$AD$6:$AD$47)+SUMIF(⑭手動工程入力!$S$6:$S$47,$C40,⑭手動工程入力!$AE$6:$AE$47)+SUMIF(⑭手動工程入力!$T$6:$T$47,$C40,⑭手動工程入力!$AF$6:$AF$47)+SUMIF(⑭手動工程入力!$U$6:$U$47,$C40,⑭手動工程入力!$AG$6:$AG$47)+SUMIF(⑭手動工程入力!$V$6:$V$47,$C40,⑭手動工程入力!$AH$6:$AH$47)+SUMIF(⑭手動工程入力!$W$6:$W$47,$C40,⑭手動工程入力!$AI$6:$AI$47)</f>
        <v/>
      </c>
      <c r="I40" s="393">
        <f>IF($F40&gt;0,$H40/$F40,"")</f>
        <v/>
      </c>
      <c r="J40" s="605">
        <f>IFERROR(INDEX(商品原価!$B$4:$B$112,MATCH(SUBSTITUTE(SUBSTITUTE(SUBSTITUTE(SUBSTITUTE(SUBSTITUTE(SUBSTITUTE(SUBSTITUTE(SUBSTITUTE(SUBSTITUTE(SUBSTITUTE(ASC($C40),"①","1"),"②","2"),"③","3"),"④","4"),"⑤","5"),"⑥","6"),"⑦","7"),"⑧","8"),"⑨","9")," ",""),商品原価!$C$4:$C$112,0)),"")</f>
        <v/>
      </c>
      <c r="K40" s="542">
        <f>IF(ISNUMBER($J40),$J40*④前提設定!$B$21,"")</f>
        <v/>
      </c>
      <c r="L40" s="605">
        <f>IF(AND(NOT(ISNUMBER($J40)),NOT(ISNUMBER($K40))),"",N($J40)+N($K40))</f>
        <v/>
      </c>
      <c r="M40" s="605">
        <f>IFERROR(INDEX(商品原価!$E$4:$E$112,MATCH(SUBSTITUTE(SUBSTITUTE(SUBSTITUTE(SUBSTITUTE(SUBSTITUTE(SUBSTITUTE(SUBSTITUTE(SUBSTITUTE(SUBSTITUTE(SUBSTITUTE(ASC($C40),"①","1"),"②","2"),"③","3"),"④","4"),"⑤","5"),"⑥","6"),"⑦","7"),"⑧","8"),"⑨","9")," ",""),商品原価!$C$4:$C$112,0)),"")</f>
        <v/>
      </c>
      <c r="N40" s="605">
        <f>IF(AND(ISNUMBER($M40),ISNUMBER($L40)),$M40-$L40-N($W40),"")</f>
        <v/>
      </c>
      <c r="O40" s="606">
        <f>IF(AND(ISNUMBER($N40),ISNUMBER($M40),$M40&gt;0),$N40/$M40,"")</f>
        <v/>
      </c>
      <c r="P40" s="398">
        <f>COUNTIF(②釜工程入力!$R$5:$R$117,$C40)+COUNTIF(②釜工程入力!$S$5:$S$117,$C40)+COUNTIF(②釜工程入力!$T$5:$T$117,$C40)+COUNTIF(②釜工程入力!$U$5:$U$117,$C40)+COUNTIF(②釜工程入力!$V$5:$V$117,$C40)+COUNTIF(②釜工程入力!$W$5:$W$117,$C40)+COUNTIF(③スチコン工程入力!$R$5:$R$152,$C40)+COUNTIF(③スチコン工程入力!$S$5:$S$152,$C40)+COUNTIF(③スチコン工程入力!$T$5:$T$152,$C40)+COUNTIF(③スチコン工程入力!$U$5:$U$152,$C40)+COUNTIF(③スチコン工程入力!$V$5:$V$152,$C40)+COUNTIF(③スチコン工程入力!$W$5:$W$152,$C40)+COUNTIF(⑩盛付梱包工程入力!$R$5:$R$300,$C40)+COUNTIF(⑩盛付梱包工程入力!$S$5:$S$300,$C40)+COUNTIF(⑩盛付梱包工程入力!$T$5:$T$300,$C40)+COUNTIF(⑩盛付梱包工程入力!$U$5:$U$300,$C40)+COUNTIF(⑩盛付梱包工程入力!$V$5:$V$300,$C40)+COUNTIF(⑩盛付梱包工程入力!$W$5:$W$300,$C40)+COUNTIF(⑪ZEN工程入力!$R$6:$R$35,$C40)+COUNTIF(⑪ZEN工程入力!$S$6:$S$35,$C40)+COUNTIF(⑪ZEN工程入力!$T$6:$T$35,$C40)+COUNTIF(⑪ZEN工程入力!$U$6:$U$35,$C40)+COUNTIF(⑪ZEN工程入力!$V$6:$V$35,$C40)+COUNTIF(⑪ZEN工程入力!$W$6:$W$35,$C40)+COUNTIF(⑫ミキサー工程入力!$R$6:$R$65,$C40)+COUNTIF(⑫ミキサー工程入力!$S$6:$S$65,$C40)+COUNTIF(⑫ミキサー工程入力!$T$6:$T$65,$C40)+COUNTIF(⑫ミキサー工程入力!$U$6:$U$65,$C40)+COUNTIF(⑫ミキサー工程入力!$V$6:$V$65,$C40)+COUNTIF(⑫ミキサー工程入力!$W$6:$W$65,$C40)+COUNTIF(⑬計量工程入力!$R$6:$R$65,$C40)+COUNTIF(⑬計量工程入力!$S$6:$S$65,$C40)+COUNTIF(⑬計量工程入力!$T$6:$T$65,$C40)+COUNTIF(⑬計量工程入力!$U$6:$U$65,$C40)+COUNTIF(⑬計量工程入力!$V$6:$V$65,$C40)+COUNTIF(⑬計量工程入力!$W$6:$W$65,$C40)+COUNTIF(⑭手動工程入力!$R$6:$R$47,$C40)+COUNTIF(⑭手動工程入力!$S$6:$S$47,$C40)+COUNTIF(⑭手動工程入力!$T$6:$T$47,$C40)+COUNTIF(⑭手動工程入力!$U$6:$U$47,$C40)+COUNTIF(⑭手動工程入力!$V$6:$V$47,$C40)+COUNTIF(⑭手動工程入力!$W$6:$W$47,$C40)</f>
        <v/>
      </c>
      <c r="Q40" s="392" t="inlineStr">
        <is>
          <t>⑩盛付梱包 49行目に入力欄を作成（工程記録なし）</t>
        </is>
      </c>
      <c r="R40" s="393" t="n"/>
      <c r="S40" s="393" t="n"/>
      <c r="T40" s="393" t="n"/>
      <c r="U40" s="393" t="n"/>
      <c r="V40" s="605">
        <f>IFERROR(INDEX(KIT別作業時間!$D$4:$D$27,MATCH(SUBSTITUTE(SUBSTITUTE(SUBSTITUTE(SUBSTITUTE(SUBSTITUTE(SUBSTITUTE(SUBSTITUTE(SUBSTITUTE(SUBSTITUTE(SUBSTITUTE(ASC($C40),"①","1"),"②","2"),"③","3"),"④","4"),"⑤","5"),"⑥","6"),"⑦","7"),"⑧","8"),"⑨","9")," ",""),KIT別作業時間!$C$4:$C$27,0)),"")</f>
        <v/>
      </c>
      <c r="W40" s="393">
        <f>IF(AND(ISNUMBER($I40),$I40&gt;0),$I40,IF(ISNUMBER($V40),$V40,IF(ISNUMBER($R40),$R40,"")))</f>
        <v/>
      </c>
      <c r="X40" s="393">
        <f>IF(AND(ISNUMBER($I40),$I40&gt;0),"今回の工程実績",IF(ISNUMBER($V40),"KIT作業時間",IF(ISNUMBER($R40),"前回資料","")))</f>
        <v/>
      </c>
      <c r="Y40" s="398" t="n">
        <v>2387</v>
      </c>
      <c r="Z40" s="398">
        <f>IF(AND(ISNUMBER($W40),ISNUMBER($Y40)),$W40*$Y40,"")</f>
        <v/>
      </c>
      <c r="AA40" s="393" t="n"/>
    </row>
    <row r="41">
      <c r="A41" s="392" t="n">
        <v>37</v>
      </c>
      <c r="B41" s="392" t="n"/>
      <c r="C41" s="392" t="inlineStr">
        <is>
          <t>ＳメンチカツＫＩＴ</t>
        </is>
      </c>
      <c r="D41" s="398">
        <f>SUMIF(⑩盛付梱包工程入力!$R$5:$R$300,$C41,⑩盛付梱包工程入力!$AC$5:$AC$300)+SUMIF(⑩盛付梱包工程入力!$S$5:$S$300,$C41,⑩盛付梱包工程入力!$AC$5:$AC$300)+SUMIF(⑩盛付梱包工程入力!$T$5:$T$300,$C41,⑩盛付梱包工程入力!$AC$5:$AC$300)+SUMIF(⑩盛付梱包工程入力!$U$5:$U$300,$C41,⑩盛付梱包工程入力!$AC$5:$AC$300)+SUMIF(⑩盛付梱包工程入力!$V$5:$V$300,$C41,⑩盛付梱包工程入力!$AC$5:$AC$300)+SUMIF(⑩盛付梱包工程入力!$W$5:$W$300,$C41,⑩盛付梱包工程入力!$AC$5:$AC$300)</f>
        <v/>
      </c>
      <c r="E41" s="398" t="n">
        <v>62</v>
      </c>
      <c r="F41" s="398">
        <f>IF(N($E41)&gt;0,$E41,$D41)</f>
        <v/>
      </c>
      <c r="G41" s="393" t="n">
        <v>185.044262295082</v>
      </c>
      <c r="H41" s="393">
        <f>SUMIF(②釜工程入力!$R$5:$R$117,$C41,②釜工程入力!$AD$5:$AD$117)+SUMIF(②釜工程入力!$S$5:$S$117,$C41,②釜工程入力!$AE$5:$AE$117)+SUMIF(②釜工程入力!$T$5:$T$117,$C41,②釜工程入力!$AF$5:$AF$117)+SUMIF(②釜工程入力!$U$5:$U$117,$C41,②釜工程入力!$AG$5:$AG$117)+SUMIF(②釜工程入力!$V$5:$V$117,$C41,②釜工程入力!$AH$5:$AH$117)+SUMIF(②釜工程入力!$W$5:$W$117,$C41,②釜工程入力!$AI$5:$AI$117)+SUMIF(③スチコン工程入力!$R$5:$R$152,$C41,③スチコン工程入力!$AD$5:$AD$152)+SUMIF(③スチコン工程入力!$S$5:$S$152,$C41,③スチコン工程入力!$AE$5:$AE$152)+SUMIF(③スチコン工程入力!$T$5:$T$152,$C41,③スチコン工程入力!$AF$5:$AF$152)+SUMIF(③スチコン工程入力!$U$5:$U$152,$C41,③スチコン工程入力!$AG$5:$AG$152)+SUMIF(③スチコン工程入力!$V$5:$V$152,$C41,③スチコン工程入力!$AH$5:$AH$152)+SUMIF(③スチコン工程入力!$W$5:$W$152,$C41,③スチコン工程入力!$AI$5:$AI$152)+SUMIF(⑩盛付梱包工程入力!$R$5:$R$300,$C41,⑩盛付梱包工程入力!$AD$5:$AD$300)+SUMIF(⑩盛付梱包工程入力!$S$5:$S$300,$C41,⑩盛付梱包工程入力!$AE$5:$AE$300)+SUMIF(⑩盛付梱包工程入力!$T$5:$T$300,$C41,⑩盛付梱包工程入力!$AF$5:$AF$300)+SUMIF(⑩盛付梱包工程入力!$U$5:$U$300,$C41,⑩盛付梱包工程入力!$AG$5:$AG$300)+SUMIF(⑩盛付梱包工程入力!$V$5:$V$300,$C41,⑩盛付梱包工程入力!$AH$5:$AH$300)+SUMIF(⑩盛付梱包工程入力!$W$5:$W$300,$C41,⑩盛付梱包工程入力!$AI$5:$AI$300)+SUMIF(⑪ZEN工程入力!$R$6:$R$35,$C41,⑪ZEN工程入力!$AD$6:$AD$35)+SUMIF(⑪ZEN工程入力!$S$6:$S$35,$C41,⑪ZEN工程入力!$AE$6:$AE$35)+SUMIF(⑪ZEN工程入力!$T$6:$T$35,$C41,⑪ZEN工程入力!$AF$6:$AF$35)+SUMIF(⑪ZEN工程入力!$U$6:$U$35,$C41,⑪ZEN工程入力!$AG$6:$AG$35)+SUMIF(⑪ZEN工程入力!$V$6:$V$35,$C41,⑪ZEN工程入力!$AH$6:$AH$35)+SUMIF(⑪ZEN工程入力!$W$6:$W$35,$C41,⑪ZEN工程入力!$AI$6:$AI$35)+SUMIF(⑫ミキサー工程入力!$R$6:$R$65,$C41,⑫ミキサー工程入力!$AD$6:$AD$65)+SUMIF(⑫ミキサー工程入力!$S$6:$S$65,$C41,⑫ミキサー工程入力!$AE$6:$AE$65)+SUMIF(⑫ミキサー工程入力!$T$6:$T$65,$C41,⑫ミキサー工程入力!$AF$6:$AF$65)+SUMIF(⑫ミキサー工程入力!$U$6:$U$65,$C41,⑫ミキサー工程入力!$AG$6:$AG$65)+SUMIF(⑫ミキサー工程入力!$V$6:$V$65,$C41,⑫ミキサー工程入力!$AH$6:$AH$65)+SUMIF(⑫ミキサー工程入力!$W$6:$W$65,$C41,⑫ミキサー工程入力!$AI$6:$AI$65)+SUMIF(⑬計量工程入力!$R$6:$R$65,$C41,⑬計量工程入力!$AD$6:$AD$65)+SUMIF(⑬計量工程入力!$S$6:$S$65,$C41,⑬計量工程入力!$AE$6:$AE$65)+SUMIF(⑬計量工程入力!$T$6:$T$65,$C41,⑬計量工程入力!$AF$6:$AF$65)+SUMIF(⑬計量工程入力!$U$6:$U$65,$C41,⑬計量工程入力!$AG$6:$AG$65)+SUMIF(⑬計量工程入力!$V$6:$V$65,$C41,⑬計量工程入力!$AH$6:$AH$65)+SUMIF(⑬計量工程入力!$W$6:$W$65,$C41,⑬計量工程入力!$AI$6:$AI$65)+SUMIF(⑭手動工程入力!$R$6:$R$47,$C41,⑭手動工程入力!$AD$6:$AD$47)+SUMIF(⑭手動工程入力!$S$6:$S$47,$C41,⑭手動工程入力!$AE$6:$AE$47)+SUMIF(⑭手動工程入力!$T$6:$T$47,$C41,⑭手動工程入力!$AF$6:$AF$47)+SUMIF(⑭手動工程入力!$U$6:$U$47,$C41,⑭手動工程入力!$AG$6:$AG$47)+SUMIF(⑭手動工程入力!$V$6:$V$47,$C41,⑭手動工程入力!$AH$6:$AH$47)+SUMIF(⑭手動工程入力!$W$6:$W$47,$C41,⑭手動工程入力!$AI$6:$AI$47)</f>
        <v/>
      </c>
      <c r="I41" s="393">
        <f>IF($F41&gt;0,$H41/$F41,"")</f>
        <v/>
      </c>
      <c r="J41" s="605">
        <f>IFERROR(INDEX(商品原価!$B$4:$B$112,MATCH(SUBSTITUTE(SUBSTITUTE(SUBSTITUTE(SUBSTITUTE(SUBSTITUTE(SUBSTITUTE(SUBSTITUTE(SUBSTITUTE(SUBSTITUTE(SUBSTITUTE(ASC($C41),"①","1"),"②","2"),"③","3"),"④","4"),"⑤","5"),"⑥","6"),"⑦","7"),"⑧","8"),"⑨","9")," ",""),商品原価!$C$4:$C$112,0)),"")</f>
        <v/>
      </c>
      <c r="K41" s="542">
        <f>IF(ISNUMBER($J41),$J41*④前提設定!$B$21,"")</f>
        <v/>
      </c>
      <c r="L41" s="605">
        <f>IF(AND(NOT(ISNUMBER($J41)),NOT(ISNUMBER($K41))),"",N($J41)+N($K41))</f>
        <v/>
      </c>
      <c r="M41" s="605">
        <f>IFERROR(INDEX(商品原価!$E$4:$E$112,MATCH(SUBSTITUTE(SUBSTITUTE(SUBSTITUTE(SUBSTITUTE(SUBSTITUTE(SUBSTITUTE(SUBSTITUTE(SUBSTITUTE(SUBSTITUTE(SUBSTITUTE(ASC($C41),"①","1"),"②","2"),"③","3"),"④","4"),"⑤","5"),"⑥","6"),"⑦","7"),"⑧","8"),"⑨","9")," ",""),商品原価!$C$4:$C$112,0)),"")</f>
        <v/>
      </c>
      <c r="N41" s="605">
        <f>IF(AND(ISNUMBER($M41),ISNUMBER($L41)),$M41-$L41-N($W41),"")</f>
        <v/>
      </c>
      <c r="O41" s="606">
        <f>IF(AND(ISNUMBER($N41),ISNUMBER($M41),$M41&gt;0),$N41/$M41,"")</f>
        <v/>
      </c>
      <c r="P41" s="398">
        <f>COUNTIF(②釜工程入力!$R$5:$R$117,$C41)+COUNTIF(②釜工程入力!$S$5:$S$117,$C41)+COUNTIF(②釜工程入力!$T$5:$T$117,$C41)+COUNTIF(②釜工程入力!$U$5:$U$117,$C41)+COUNTIF(②釜工程入力!$V$5:$V$117,$C41)+COUNTIF(②釜工程入力!$W$5:$W$117,$C41)+COUNTIF(③スチコン工程入力!$R$5:$R$152,$C41)+COUNTIF(③スチコン工程入力!$S$5:$S$152,$C41)+COUNTIF(③スチコン工程入力!$T$5:$T$152,$C41)+COUNTIF(③スチコン工程入力!$U$5:$U$152,$C41)+COUNTIF(③スチコン工程入力!$V$5:$V$152,$C41)+COUNTIF(③スチコン工程入力!$W$5:$W$152,$C41)+COUNTIF(⑩盛付梱包工程入力!$R$5:$R$300,$C41)+COUNTIF(⑩盛付梱包工程入力!$S$5:$S$300,$C41)+COUNTIF(⑩盛付梱包工程入力!$T$5:$T$300,$C41)+COUNTIF(⑩盛付梱包工程入力!$U$5:$U$300,$C41)+COUNTIF(⑩盛付梱包工程入力!$V$5:$V$300,$C41)+COUNTIF(⑩盛付梱包工程入力!$W$5:$W$300,$C41)+COUNTIF(⑪ZEN工程入力!$R$6:$R$35,$C41)+COUNTIF(⑪ZEN工程入力!$S$6:$S$35,$C41)+COUNTIF(⑪ZEN工程入力!$T$6:$T$35,$C41)+COUNTIF(⑪ZEN工程入力!$U$6:$U$35,$C41)+COUNTIF(⑪ZEN工程入力!$V$6:$V$35,$C41)+COUNTIF(⑪ZEN工程入力!$W$6:$W$35,$C41)+COUNTIF(⑫ミキサー工程入力!$R$6:$R$65,$C41)+COUNTIF(⑫ミキサー工程入力!$S$6:$S$65,$C41)+COUNTIF(⑫ミキサー工程入力!$T$6:$T$65,$C41)+COUNTIF(⑫ミキサー工程入力!$U$6:$U$65,$C41)+COUNTIF(⑫ミキサー工程入力!$V$6:$V$65,$C41)+COUNTIF(⑫ミキサー工程入力!$W$6:$W$65,$C41)+COUNTIF(⑬計量工程入力!$R$6:$R$65,$C41)+COUNTIF(⑬計量工程入力!$S$6:$S$65,$C41)+COUNTIF(⑬計量工程入力!$T$6:$T$65,$C41)+COUNTIF(⑬計量工程入力!$U$6:$U$65,$C41)+COUNTIF(⑬計量工程入力!$V$6:$V$65,$C41)+COUNTIF(⑬計量工程入力!$W$6:$W$65,$C41)+COUNTIF(⑭手動工程入力!$R$6:$R$47,$C41)+COUNTIF(⑭手動工程入力!$S$6:$S$47,$C41)+COUNTIF(⑭手動工程入力!$T$6:$T$47,$C41)+COUNTIF(⑭手動工程入力!$U$6:$U$47,$C41)+COUNTIF(⑭手動工程入力!$V$6:$V$47,$C41)+COUNTIF(⑭手動工程入力!$W$6:$W$47,$C41)</f>
        <v/>
      </c>
      <c r="Q41" s="392" t="inlineStr">
        <is>
          <t>⑩盛付梱包 51行目に入力欄を作成（工程記録なし）</t>
        </is>
      </c>
      <c r="R41" s="393" t="n"/>
      <c r="S41" s="393" t="n"/>
      <c r="T41" s="393" t="n"/>
      <c r="U41" s="393" t="n"/>
      <c r="V41" s="605">
        <f>IFERROR(INDEX(KIT別作業時間!$D$4:$D$27,MATCH(SUBSTITUTE(SUBSTITUTE(SUBSTITUTE(SUBSTITUTE(SUBSTITUTE(SUBSTITUTE(SUBSTITUTE(SUBSTITUTE(SUBSTITUTE(SUBSTITUTE(ASC($C41),"①","1"),"②","2"),"③","3"),"④","4"),"⑤","5"),"⑥","6"),"⑦","7"),"⑧","8"),"⑨","9")," ",""),KIT別作業時間!$C$4:$C$27,0)),"")</f>
        <v/>
      </c>
      <c r="W41" s="393">
        <f>IF(AND(ISNUMBER($I41),$I41&gt;0),$I41,IF(ISNUMBER($V41),$V41,IF(ISNUMBER($R41),$R41,"")))</f>
        <v/>
      </c>
      <c r="X41" s="393">
        <f>IF(AND(ISNUMBER($I41),$I41&gt;0),"今回の工程実績",IF(ISNUMBER($V41),"KIT作業時間",IF(ISNUMBER($R41),"前回資料","")))</f>
        <v/>
      </c>
      <c r="Y41" s="398" t="n">
        <v>1880</v>
      </c>
      <c r="Z41" s="398">
        <f>IF(AND(ISNUMBER($W41),ISNUMBER($Y41)),$W41*$Y41,"")</f>
        <v/>
      </c>
      <c r="AA41" s="393" t="n"/>
    </row>
    <row r="42">
      <c r="A42" s="392" t="n">
        <v>38</v>
      </c>
      <c r="B42" s="392" t="n"/>
      <c r="C42" s="392" t="inlineStr">
        <is>
          <t>クルンジ２個入</t>
        </is>
      </c>
      <c r="D42" s="398">
        <f>SUMIF(⑩盛付梱包工程入力!$R$5:$R$300,$C42,⑩盛付梱包工程入力!$AC$5:$AC$300)+SUMIF(⑩盛付梱包工程入力!$S$5:$S$300,$C42,⑩盛付梱包工程入力!$AC$5:$AC$300)+SUMIF(⑩盛付梱包工程入力!$T$5:$T$300,$C42,⑩盛付梱包工程入力!$AC$5:$AC$300)+SUMIF(⑩盛付梱包工程入力!$U$5:$U$300,$C42,⑩盛付梱包工程入力!$AC$5:$AC$300)+SUMIF(⑩盛付梱包工程入力!$V$5:$V$300,$C42,⑩盛付梱包工程入力!$AC$5:$AC$300)+SUMIF(⑩盛付梱包工程入力!$W$5:$W$300,$C42,⑩盛付梱包工程入力!$AC$5:$AC$300)</f>
        <v/>
      </c>
      <c r="E42" s="398" t="n">
        <v>403</v>
      </c>
      <c r="F42" s="398">
        <f>IF(N($E42)&gt;0,$E42,$D42)</f>
        <v/>
      </c>
      <c r="G42" s="393" t="n">
        <v>82.62200042471862</v>
      </c>
      <c r="H42" s="393">
        <f>SUMIF(②釜工程入力!$R$5:$R$117,$C42,②釜工程入力!$AD$5:$AD$117)+SUMIF(②釜工程入力!$S$5:$S$117,$C42,②釜工程入力!$AE$5:$AE$117)+SUMIF(②釜工程入力!$T$5:$T$117,$C42,②釜工程入力!$AF$5:$AF$117)+SUMIF(②釜工程入力!$U$5:$U$117,$C42,②釜工程入力!$AG$5:$AG$117)+SUMIF(②釜工程入力!$V$5:$V$117,$C42,②釜工程入力!$AH$5:$AH$117)+SUMIF(②釜工程入力!$W$5:$W$117,$C42,②釜工程入力!$AI$5:$AI$117)+SUMIF(③スチコン工程入力!$R$5:$R$152,$C42,③スチコン工程入力!$AD$5:$AD$152)+SUMIF(③スチコン工程入力!$S$5:$S$152,$C42,③スチコン工程入力!$AE$5:$AE$152)+SUMIF(③スチコン工程入力!$T$5:$T$152,$C42,③スチコン工程入力!$AF$5:$AF$152)+SUMIF(③スチコン工程入力!$U$5:$U$152,$C42,③スチコン工程入力!$AG$5:$AG$152)+SUMIF(③スチコン工程入力!$V$5:$V$152,$C42,③スチコン工程入力!$AH$5:$AH$152)+SUMIF(③スチコン工程入力!$W$5:$W$152,$C42,③スチコン工程入力!$AI$5:$AI$152)+SUMIF(⑩盛付梱包工程入力!$R$5:$R$300,$C42,⑩盛付梱包工程入力!$AD$5:$AD$300)+SUMIF(⑩盛付梱包工程入力!$S$5:$S$300,$C42,⑩盛付梱包工程入力!$AE$5:$AE$300)+SUMIF(⑩盛付梱包工程入力!$T$5:$T$300,$C42,⑩盛付梱包工程入力!$AF$5:$AF$300)+SUMIF(⑩盛付梱包工程入力!$U$5:$U$300,$C42,⑩盛付梱包工程入力!$AG$5:$AG$300)+SUMIF(⑩盛付梱包工程入力!$V$5:$V$300,$C42,⑩盛付梱包工程入力!$AH$5:$AH$300)+SUMIF(⑩盛付梱包工程入力!$W$5:$W$300,$C42,⑩盛付梱包工程入力!$AI$5:$AI$300)+SUMIF(⑪ZEN工程入力!$R$6:$R$35,$C42,⑪ZEN工程入力!$AD$6:$AD$35)+SUMIF(⑪ZEN工程入力!$S$6:$S$35,$C42,⑪ZEN工程入力!$AE$6:$AE$35)+SUMIF(⑪ZEN工程入力!$T$6:$T$35,$C42,⑪ZEN工程入力!$AF$6:$AF$35)+SUMIF(⑪ZEN工程入力!$U$6:$U$35,$C42,⑪ZEN工程入力!$AG$6:$AG$35)+SUMIF(⑪ZEN工程入力!$V$6:$V$35,$C42,⑪ZEN工程入力!$AH$6:$AH$35)+SUMIF(⑪ZEN工程入力!$W$6:$W$35,$C42,⑪ZEN工程入力!$AI$6:$AI$35)+SUMIF(⑫ミキサー工程入力!$R$6:$R$65,$C42,⑫ミキサー工程入力!$AD$6:$AD$65)+SUMIF(⑫ミキサー工程入力!$S$6:$S$65,$C42,⑫ミキサー工程入力!$AE$6:$AE$65)+SUMIF(⑫ミキサー工程入力!$T$6:$T$65,$C42,⑫ミキサー工程入力!$AF$6:$AF$65)+SUMIF(⑫ミキサー工程入力!$U$6:$U$65,$C42,⑫ミキサー工程入力!$AG$6:$AG$65)+SUMIF(⑫ミキサー工程入力!$V$6:$V$65,$C42,⑫ミキサー工程入力!$AH$6:$AH$65)+SUMIF(⑫ミキサー工程入力!$W$6:$W$65,$C42,⑫ミキサー工程入力!$AI$6:$AI$65)+SUMIF(⑬計量工程入力!$R$6:$R$65,$C42,⑬計量工程入力!$AD$6:$AD$65)+SUMIF(⑬計量工程入力!$S$6:$S$65,$C42,⑬計量工程入力!$AE$6:$AE$65)+SUMIF(⑬計量工程入力!$T$6:$T$65,$C42,⑬計量工程入力!$AF$6:$AF$65)+SUMIF(⑬計量工程入力!$U$6:$U$65,$C42,⑬計量工程入力!$AG$6:$AG$65)+SUMIF(⑬計量工程入力!$V$6:$V$65,$C42,⑬計量工程入力!$AH$6:$AH$65)+SUMIF(⑬計量工程入力!$W$6:$W$65,$C42,⑬計量工程入力!$AI$6:$AI$65)+SUMIF(⑭手動工程入力!$R$6:$R$47,$C42,⑭手動工程入力!$AD$6:$AD$47)+SUMIF(⑭手動工程入力!$S$6:$S$47,$C42,⑭手動工程入力!$AE$6:$AE$47)+SUMIF(⑭手動工程入力!$T$6:$T$47,$C42,⑭手動工程入力!$AF$6:$AF$47)+SUMIF(⑭手動工程入力!$U$6:$U$47,$C42,⑭手動工程入力!$AG$6:$AG$47)+SUMIF(⑭手動工程入力!$V$6:$V$47,$C42,⑭手動工程入力!$AH$6:$AH$47)+SUMIF(⑭手動工程入力!$W$6:$W$47,$C42,⑭手動工程入力!$AI$6:$AI$47)</f>
        <v/>
      </c>
      <c r="I42" s="393">
        <f>IF($F42&gt;0,$H42/$F42,"")</f>
        <v/>
      </c>
      <c r="J42" s="605">
        <f>IFERROR(INDEX(商品原価!$B$4:$B$112,MATCH(SUBSTITUTE(SUBSTITUTE(SUBSTITUTE(SUBSTITUTE(SUBSTITUTE(SUBSTITUTE(SUBSTITUTE(SUBSTITUTE(SUBSTITUTE(SUBSTITUTE(ASC($C42),"①","1"),"②","2"),"③","3"),"④","4"),"⑤","5"),"⑥","6"),"⑦","7"),"⑧","8"),"⑨","9")," ",""),商品原価!$C$4:$C$112,0)),"")</f>
        <v/>
      </c>
      <c r="K42" s="542">
        <f>IF(ISNUMBER($J42),$J42*④前提設定!$B$21,"")</f>
        <v/>
      </c>
      <c r="L42" s="605">
        <f>IF(AND(NOT(ISNUMBER($J42)),NOT(ISNUMBER($K42))),"",N($J42)+N($K42))</f>
        <v/>
      </c>
      <c r="M42" s="605">
        <f>IFERROR(INDEX(商品原価!$E$4:$E$112,MATCH(SUBSTITUTE(SUBSTITUTE(SUBSTITUTE(SUBSTITUTE(SUBSTITUTE(SUBSTITUTE(SUBSTITUTE(SUBSTITUTE(SUBSTITUTE(SUBSTITUTE(ASC($C42),"①","1"),"②","2"),"③","3"),"④","4"),"⑤","5"),"⑥","6"),"⑦","7"),"⑧","8"),"⑨","9")," ",""),商品原価!$C$4:$C$112,0)),"")</f>
        <v/>
      </c>
      <c r="N42" s="605">
        <f>IF(AND(ISNUMBER($M42),ISNUMBER($L42)),$M42-$L42-N($W42),"")</f>
        <v/>
      </c>
      <c r="O42" s="606">
        <f>IF(AND(ISNUMBER($N42),ISNUMBER($M42),$M42&gt;0),$N42/$M42,"")</f>
        <v/>
      </c>
      <c r="P42" s="398">
        <f>COUNTIF(②釜工程入力!$R$5:$R$117,$C42)+COUNTIF(②釜工程入力!$S$5:$S$117,$C42)+COUNTIF(②釜工程入力!$T$5:$T$117,$C42)+COUNTIF(②釜工程入力!$U$5:$U$117,$C42)+COUNTIF(②釜工程入力!$V$5:$V$117,$C42)+COUNTIF(②釜工程入力!$W$5:$W$117,$C42)+COUNTIF(③スチコン工程入力!$R$5:$R$152,$C42)+COUNTIF(③スチコン工程入力!$S$5:$S$152,$C42)+COUNTIF(③スチコン工程入力!$T$5:$T$152,$C42)+COUNTIF(③スチコン工程入力!$U$5:$U$152,$C42)+COUNTIF(③スチコン工程入力!$V$5:$V$152,$C42)+COUNTIF(③スチコン工程入力!$W$5:$W$152,$C42)+COUNTIF(⑩盛付梱包工程入力!$R$5:$R$300,$C42)+COUNTIF(⑩盛付梱包工程入力!$S$5:$S$300,$C42)+COUNTIF(⑩盛付梱包工程入力!$T$5:$T$300,$C42)+COUNTIF(⑩盛付梱包工程入力!$U$5:$U$300,$C42)+COUNTIF(⑩盛付梱包工程入力!$V$5:$V$300,$C42)+COUNTIF(⑩盛付梱包工程入力!$W$5:$W$300,$C42)+COUNTIF(⑪ZEN工程入力!$R$6:$R$35,$C42)+COUNTIF(⑪ZEN工程入力!$S$6:$S$35,$C42)+COUNTIF(⑪ZEN工程入力!$T$6:$T$35,$C42)+COUNTIF(⑪ZEN工程入力!$U$6:$U$35,$C42)+COUNTIF(⑪ZEN工程入力!$V$6:$V$35,$C42)+COUNTIF(⑪ZEN工程入力!$W$6:$W$35,$C42)+COUNTIF(⑫ミキサー工程入力!$R$6:$R$65,$C42)+COUNTIF(⑫ミキサー工程入力!$S$6:$S$65,$C42)+COUNTIF(⑫ミキサー工程入力!$T$6:$T$65,$C42)+COUNTIF(⑫ミキサー工程入力!$U$6:$U$65,$C42)+COUNTIF(⑫ミキサー工程入力!$V$6:$V$65,$C42)+COUNTIF(⑫ミキサー工程入力!$W$6:$W$65,$C42)+COUNTIF(⑬計量工程入力!$R$6:$R$65,$C42)+COUNTIF(⑬計量工程入力!$S$6:$S$65,$C42)+COUNTIF(⑬計量工程入力!$T$6:$T$65,$C42)+COUNTIF(⑬計量工程入力!$U$6:$U$65,$C42)+COUNTIF(⑬計量工程入力!$V$6:$V$65,$C42)+COUNTIF(⑬計量工程入力!$W$6:$W$65,$C42)+COUNTIF(⑭手動工程入力!$R$6:$R$47,$C42)+COUNTIF(⑭手動工程入力!$S$6:$S$47,$C42)+COUNTIF(⑭手動工程入力!$T$6:$T$47,$C42)+COUNTIF(⑭手動工程入力!$U$6:$U$47,$C42)+COUNTIF(⑭手動工程入力!$V$6:$V$47,$C42)+COUNTIF(⑭手動工程入力!$W$6:$W$47,$C42)</f>
        <v/>
      </c>
      <c r="Q42" s="392" t="n"/>
      <c r="R42" s="393" t="n"/>
      <c r="S42" s="393" t="n"/>
      <c r="T42" s="393" t="n"/>
      <c r="U42" s="393" t="n"/>
      <c r="V42" s="605">
        <f>IFERROR(INDEX(KIT別作業時間!$D$4:$D$27,MATCH(SUBSTITUTE(SUBSTITUTE(SUBSTITUTE(SUBSTITUTE(SUBSTITUTE(SUBSTITUTE(SUBSTITUTE(SUBSTITUTE(SUBSTITUTE(SUBSTITUTE(ASC($C42),"①","1"),"②","2"),"③","3"),"④","4"),"⑤","5"),"⑥","6"),"⑦","7"),"⑧","8"),"⑨","9")," ",""),KIT別作業時間!$C$4:$C$27,0)),"")</f>
        <v/>
      </c>
      <c r="W42" s="393">
        <f>IF(AND(ISNUMBER($I42),$I42&gt;0),$I42,IF(ISNUMBER($V42),$V42,IF(ISNUMBER($R42),$R42,"")))</f>
        <v/>
      </c>
      <c r="X42" s="393">
        <f>IF(AND(ISNUMBER($I42),$I42&gt;0),"今回の工程実績",IF(ISNUMBER($V42),"KIT作業時間",IF(ISNUMBER($R42),"前回資料","")))</f>
        <v/>
      </c>
      <c r="Y42" s="398" t="n">
        <v>7036</v>
      </c>
      <c r="Z42" s="398">
        <f>IF(AND(ISNUMBER($W42),ISNUMBER($Y42)),$W42*$Y42,"")</f>
        <v/>
      </c>
      <c r="AA42" s="393" t="n"/>
    </row>
    <row r="43">
      <c r="A43" s="392" t="n">
        <v>39</v>
      </c>
      <c r="B43" s="392" t="n"/>
      <c r="C43" s="392" t="inlineStr">
        <is>
          <t>ふわもちホテルロール８個入</t>
        </is>
      </c>
      <c r="D43" s="398">
        <f>SUMIF(⑩盛付梱包工程入力!$R$5:$R$300,$C43,⑩盛付梱包工程入力!$AC$5:$AC$300)+SUMIF(⑩盛付梱包工程入力!$S$5:$S$300,$C43,⑩盛付梱包工程入力!$AC$5:$AC$300)+SUMIF(⑩盛付梱包工程入力!$T$5:$T$300,$C43,⑩盛付梱包工程入力!$AC$5:$AC$300)+SUMIF(⑩盛付梱包工程入力!$U$5:$U$300,$C43,⑩盛付梱包工程入力!$AC$5:$AC$300)+SUMIF(⑩盛付梱包工程入力!$V$5:$V$300,$C43,⑩盛付梱包工程入力!$AC$5:$AC$300)+SUMIF(⑩盛付梱包工程入力!$W$5:$W$300,$C43,⑩盛付梱包工程入力!$AC$5:$AC$300)</f>
        <v/>
      </c>
      <c r="E43" s="398" t="n">
        <v>531</v>
      </c>
      <c r="F43" s="398">
        <f>IF(N($E43)&gt;0,$E43,$D43)</f>
        <v/>
      </c>
      <c r="G43" s="393" t="n">
        <v>45.6717868338558</v>
      </c>
      <c r="H43" s="393">
        <f>SUMIF(②釜工程入力!$R$5:$R$117,$C43,②釜工程入力!$AD$5:$AD$117)+SUMIF(②釜工程入力!$S$5:$S$117,$C43,②釜工程入力!$AE$5:$AE$117)+SUMIF(②釜工程入力!$T$5:$T$117,$C43,②釜工程入力!$AF$5:$AF$117)+SUMIF(②釜工程入力!$U$5:$U$117,$C43,②釜工程入力!$AG$5:$AG$117)+SUMIF(②釜工程入力!$V$5:$V$117,$C43,②釜工程入力!$AH$5:$AH$117)+SUMIF(②釜工程入力!$W$5:$W$117,$C43,②釜工程入力!$AI$5:$AI$117)+SUMIF(③スチコン工程入力!$R$5:$R$152,$C43,③スチコン工程入力!$AD$5:$AD$152)+SUMIF(③スチコン工程入力!$S$5:$S$152,$C43,③スチコン工程入力!$AE$5:$AE$152)+SUMIF(③スチコン工程入力!$T$5:$T$152,$C43,③スチコン工程入力!$AF$5:$AF$152)+SUMIF(③スチコン工程入力!$U$5:$U$152,$C43,③スチコン工程入力!$AG$5:$AG$152)+SUMIF(③スチコン工程入力!$V$5:$V$152,$C43,③スチコン工程入力!$AH$5:$AH$152)+SUMIF(③スチコン工程入力!$W$5:$W$152,$C43,③スチコン工程入力!$AI$5:$AI$152)+SUMIF(⑩盛付梱包工程入力!$R$5:$R$300,$C43,⑩盛付梱包工程入力!$AD$5:$AD$300)+SUMIF(⑩盛付梱包工程入力!$S$5:$S$300,$C43,⑩盛付梱包工程入力!$AE$5:$AE$300)+SUMIF(⑩盛付梱包工程入力!$T$5:$T$300,$C43,⑩盛付梱包工程入力!$AF$5:$AF$300)+SUMIF(⑩盛付梱包工程入力!$U$5:$U$300,$C43,⑩盛付梱包工程入力!$AG$5:$AG$300)+SUMIF(⑩盛付梱包工程入力!$V$5:$V$300,$C43,⑩盛付梱包工程入力!$AH$5:$AH$300)+SUMIF(⑩盛付梱包工程入力!$W$5:$W$300,$C43,⑩盛付梱包工程入力!$AI$5:$AI$300)+SUMIF(⑪ZEN工程入力!$R$6:$R$35,$C43,⑪ZEN工程入力!$AD$6:$AD$35)+SUMIF(⑪ZEN工程入力!$S$6:$S$35,$C43,⑪ZEN工程入力!$AE$6:$AE$35)+SUMIF(⑪ZEN工程入力!$T$6:$T$35,$C43,⑪ZEN工程入力!$AF$6:$AF$35)+SUMIF(⑪ZEN工程入力!$U$6:$U$35,$C43,⑪ZEN工程入力!$AG$6:$AG$35)+SUMIF(⑪ZEN工程入力!$V$6:$V$35,$C43,⑪ZEN工程入力!$AH$6:$AH$35)+SUMIF(⑪ZEN工程入力!$W$6:$W$35,$C43,⑪ZEN工程入力!$AI$6:$AI$35)+SUMIF(⑫ミキサー工程入力!$R$6:$R$65,$C43,⑫ミキサー工程入力!$AD$6:$AD$65)+SUMIF(⑫ミキサー工程入力!$S$6:$S$65,$C43,⑫ミキサー工程入力!$AE$6:$AE$65)+SUMIF(⑫ミキサー工程入力!$T$6:$T$65,$C43,⑫ミキサー工程入力!$AF$6:$AF$65)+SUMIF(⑫ミキサー工程入力!$U$6:$U$65,$C43,⑫ミキサー工程入力!$AG$6:$AG$65)+SUMIF(⑫ミキサー工程入力!$V$6:$V$65,$C43,⑫ミキサー工程入力!$AH$6:$AH$65)+SUMIF(⑫ミキサー工程入力!$W$6:$W$65,$C43,⑫ミキサー工程入力!$AI$6:$AI$65)+SUMIF(⑬計量工程入力!$R$6:$R$65,$C43,⑬計量工程入力!$AD$6:$AD$65)+SUMIF(⑬計量工程入力!$S$6:$S$65,$C43,⑬計量工程入力!$AE$6:$AE$65)+SUMIF(⑬計量工程入力!$T$6:$T$65,$C43,⑬計量工程入力!$AF$6:$AF$65)+SUMIF(⑬計量工程入力!$U$6:$U$65,$C43,⑬計量工程入力!$AG$6:$AG$65)+SUMIF(⑬計量工程入力!$V$6:$V$65,$C43,⑬計量工程入力!$AH$6:$AH$65)+SUMIF(⑬計量工程入力!$W$6:$W$65,$C43,⑬計量工程入力!$AI$6:$AI$65)+SUMIF(⑭手動工程入力!$R$6:$R$47,$C43,⑭手動工程入力!$AD$6:$AD$47)+SUMIF(⑭手動工程入力!$S$6:$S$47,$C43,⑭手動工程入力!$AE$6:$AE$47)+SUMIF(⑭手動工程入力!$T$6:$T$47,$C43,⑭手動工程入力!$AF$6:$AF$47)+SUMIF(⑭手動工程入力!$U$6:$U$47,$C43,⑭手動工程入力!$AG$6:$AG$47)+SUMIF(⑭手動工程入力!$V$6:$V$47,$C43,⑭手動工程入力!$AH$6:$AH$47)+SUMIF(⑭手動工程入力!$W$6:$W$47,$C43,⑭手動工程入力!$AI$6:$AI$47)</f>
        <v/>
      </c>
      <c r="I43" s="393">
        <f>IF($F43&gt;0,$H43/$F43,"")</f>
        <v/>
      </c>
      <c r="J43" s="605">
        <f>IFERROR(INDEX(商品原価!$B$4:$B$112,MATCH(SUBSTITUTE(SUBSTITUTE(SUBSTITUTE(SUBSTITUTE(SUBSTITUTE(SUBSTITUTE(SUBSTITUTE(SUBSTITUTE(SUBSTITUTE(SUBSTITUTE(ASC($C43),"①","1"),"②","2"),"③","3"),"④","4"),"⑤","5"),"⑥","6"),"⑦","7"),"⑧","8"),"⑨","9")," ",""),商品原価!$C$4:$C$112,0)),"")</f>
        <v/>
      </c>
      <c r="K43" s="542">
        <f>IF(ISNUMBER($J43),$J43*④前提設定!$B$21,"")</f>
        <v/>
      </c>
      <c r="L43" s="605">
        <f>IF(AND(NOT(ISNUMBER($J43)),NOT(ISNUMBER($K43))),"",N($J43)+N($K43))</f>
        <v/>
      </c>
      <c r="M43" s="605">
        <f>IFERROR(INDEX(商品原価!$E$4:$E$112,MATCH(SUBSTITUTE(SUBSTITUTE(SUBSTITUTE(SUBSTITUTE(SUBSTITUTE(SUBSTITUTE(SUBSTITUTE(SUBSTITUTE(SUBSTITUTE(SUBSTITUTE(ASC($C43),"①","1"),"②","2"),"③","3"),"④","4"),"⑤","5"),"⑥","6"),"⑦","7"),"⑧","8"),"⑨","9")," ",""),商品原価!$C$4:$C$112,0)),"")</f>
        <v/>
      </c>
      <c r="N43" s="605">
        <f>IF(AND(ISNUMBER($M43),ISNUMBER($L43)),$M43-$L43-N($W43),"")</f>
        <v/>
      </c>
      <c r="O43" s="606">
        <f>IF(AND(ISNUMBER($N43),ISNUMBER($M43),$M43&gt;0),$N43/$M43,"")</f>
        <v/>
      </c>
      <c r="P43" s="398">
        <f>COUNTIF(②釜工程入力!$R$5:$R$117,$C43)+COUNTIF(②釜工程入力!$S$5:$S$117,$C43)+COUNTIF(②釜工程入力!$T$5:$T$117,$C43)+COUNTIF(②釜工程入力!$U$5:$U$117,$C43)+COUNTIF(②釜工程入力!$V$5:$V$117,$C43)+COUNTIF(②釜工程入力!$W$5:$W$117,$C43)+COUNTIF(③スチコン工程入力!$R$5:$R$152,$C43)+COUNTIF(③スチコン工程入力!$S$5:$S$152,$C43)+COUNTIF(③スチコン工程入力!$T$5:$T$152,$C43)+COUNTIF(③スチコン工程入力!$U$5:$U$152,$C43)+COUNTIF(③スチコン工程入力!$V$5:$V$152,$C43)+COUNTIF(③スチコン工程入力!$W$5:$W$152,$C43)+COUNTIF(⑩盛付梱包工程入力!$R$5:$R$300,$C43)+COUNTIF(⑩盛付梱包工程入力!$S$5:$S$300,$C43)+COUNTIF(⑩盛付梱包工程入力!$T$5:$T$300,$C43)+COUNTIF(⑩盛付梱包工程入力!$U$5:$U$300,$C43)+COUNTIF(⑩盛付梱包工程入力!$V$5:$V$300,$C43)+COUNTIF(⑩盛付梱包工程入力!$W$5:$W$300,$C43)+COUNTIF(⑪ZEN工程入力!$R$6:$R$35,$C43)+COUNTIF(⑪ZEN工程入力!$S$6:$S$35,$C43)+COUNTIF(⑪ZEN工程入力!$T$6:$T$35,$C43)+COUNTIF(⑪ZEN工程入力!$U$6:$U$35,$C43)+COUNTIF(⑪ZEN工程入力!$V$6:$V$35,$C43)+COUNTIF(⑪ZEN工程入力!$W$6:$W$35,$C43)+COUNTIF(⑫ミキサー工程入力!$R$6:$R$65,$C43)+COUNTIF(⑫ミキサー工程入力!$S$6:$S$65,$C43)+COUNTIF(⑫ミキサー工程入力!$T$6:$T$65,$C43)+COUNTIF(⑫ミキサー工程入力!$U$6:$U$65,$C43)+COUNTIF(⑫ミキサー工程入力!$V$6:$V$65,$C43)+COUNTIF(⑫ミキサー工程入力!$W$6:$W$65,$C43)+COUNTIF(⑬計量工程入力!$R$6:$R$65,$C43)+COUNTIF(⑬計量工程入力!$S$6:$S$65,$C43)+COUNTIF(⑬計量工程入力!$T$6:$T$65,$C43)+COUNTIF(⑬計量工程入力!$U$6:$U$65,$C43)+COUNTIF(⑬計量工程入力!$V$6:$V$65,$C43)+COUNTIF(⑬計量工程入力!$W$6:$W$65,$C43)+COUNTIF(⑭手動工程入力!$R$6:$R$47,$C43)+COUNTIF(⑭手動工程入力!$S$6:$S$47,$C43)+COUNTIF(⑭手動工程入力!$T$6:$T$47,$C43)+COUNTIF(⑭手動工程入力!$U$6:$U$47,$C43)+COUNTIF(⑭手動工程入力!$V$6:$V$47,$C43)+COUNTIF(⑭手動工程入力!$W$6:$W$47,$C43)</f>
        <v/>
      </c>
      <c r="Q43" s="392" t="n"/>
      <c r="R43" s="393" t="n"/>
      <c r="S43" s="393" t="n"/>
      <c r="T43" s="393" t="n"/>
      <c r="U43" s="393" t="n"/>
      <c r="V43" s="605">
        <f>IFERROR(INDEX(KIT別作業時間!$D$4:$D$27,MATCH(SUBSTITUTE(SUBSTITUTE(SUBSTITUTE(SUBSTITUTE(SUBSTITUTE(SUBSTITUTE(SUBSTITUTE(SUBSTITUTE(SUBSTITUTE(SUBSTITUTE(ASC($C43),"①","1"),"②","2"),"③","3"),"④","4"),"⑤","5"),"⑥","6"),"⑦","7"),"⑧","8"),"⑨","9")," ",""),KIT別作業時間!$C$4:$C$27,0)),"")</f>
        <v/>
      </c>
      <c r="W43" s="393">
        <f>IF(AND(ISNUMBER($I43),$I43&gt;0),$I43,IF(ISNUMBER($V43),$V43,IF(ISNUMBER($R43),$R43,"")))</f>
        <v/>
      </c>
      <c r="X43" s="393">
        <f>IF(AND(ISNUMBER($I43),$I43&gt;0),"今回の工程実績",IF(ISNUMBER($V43),"KIT作業時間",IF(ISNUMBER($R43),"前回資料","")))</f>
        <v/>
      </c>
      <c r="Y43" s="398" t="n">
        <v>12459</v>
      </c>
      <c r="Z43" s="398">
        <f>IF(AND(ISNUMBER($W43),ISNUMBER($Y43)),$W43*$Y43,"")</f>
        <v/>
      </c>
      <c r="AA43" s="393" t="n"/>
    </row>
    <row r="44">
      <c r="A44" s="392" t="n">
        <v>40</v>
      </c>
      <c r="B44" s="392" t="n"/>
      <c r="C44" s="392" t="inlineStr">
        <is>
          <t>２層仕立てのチーズケーキ</t>
        </is>
      </c>
      <c r="D44" s="398">
        <f>SUMIF(⑩盛付梱包工程入力!$R$5:$R$300,$C44,⑩盛付梱包工程入力!$AC$5:$AC$300)+SUMIF(⑩盛付梱包工程入力!$S$5:$S$300,$C44,⑩盛付梱包工程入力!$AC$5:$AC$300)+SUMIF(⑩盛付梱包工程入力!$T$5:$T$300,$C44,⑩盛付梱包工程入力!$AC$5:$AC$300)+SUMIF(⑩盛付梱包工程入力!$U$5:$U$300,$C44,⑩盛付梱包工程入力!$AC$5:$AC$300)+SUMIF(⑩盛付梱包工程入力!$V$5:$V$300,$C44,⑩盛付梱包工程入力!$AC$5:$AC$300)+SUMIF(⑩盛付梱包工程入力!$W$5:$W$300,$C44,⑩盛付梱包工程入力!$AC$5:$AC$300)</f>
        <v/>
      </c>
      <c r="E44" s="398" t="n">
        <v>240</v>
      </c>
      <c r="F44" s="398">
        <f>IF(N($E44)&gt;0,$E44,$D44)</f>
        <v/>
      </c>
      <c r="G44" s="393" t="n">
        <v>58.7146017699115</v>
      </c>
      <c r="H44" s="393">
        <f>SUMIF(②釜工程入力!$R$5:$R$117,$C44,②釜工程入力!$AD$5:$AD$117)+SUMIF(②釜工程入力!$S$5:$S$117,$C44,②釜工程入力!$AE$5:$AE$117)+SUMIF(②釜工程入力!$T$5:$T$117,$C44,②釜工程入力!$AF$5:$AF$117)+SUMIF(②釜工程入力!$U$5:$U$117,$C44,②釜工程入力!$AG$5:$AG$117)+SUMIF(②釜工程入力!$V$5:$V$117,$C44,②釜工程入力!$AH$5:$AH$117)+SUMIF(②釜工程入力!$W$5:$W$117,$C44,②釜工程入力!$AI$5:$AI$117)+SUMIF(③スチコン工程入力!$R$5:$R$152,$C44,③スチコン工程入力!$AD$5:$AD$152)+SUMIF(③スチコン工程入力!$S$5:$S$152,$C44,③スチコン工程入力!$AE$5:$AE$152)+SUMIF(③スチコン工程入力!$T$5:$T$152,$C44,③スチコン工程入力!$AF$5:$AF$152)+SUMIF(③スチコン工程入力!$U$5:$U$152,$C44,③スチコン工程入力!$AG$5:$AG$152)+SUMIF(③スチコン工程入力!$V$5:$V$152,$C44,③スチコン工程入力!$AH$5:$AH$152)+SUMIF(③スチコン工程入力!$W$5:$W$152,$C44,③スチコン工程入力!$AI$5:$AI$152)+SUMIF(⑩盛付梱包工程入力!$R$5:$R$300,$C44,⑩盛付梱包工程入力!$AD$5:$AD$300)+SUMIF(⑩盛付梱包工程入力!$S$5:$S$300,$C44,⑩盛付梱包工程入力!$AE$5:$AE$300)+SUMIF(⑩盛付梱包工程入力!$T$5:$T$300,$C44,⑩盛付梱包工程入力!$AF$5:$AF$300)+SUMIF(⑩盛付梱包工程入力!$U$5:$U$300,$C44,⑩盛付梱包工程入力!$AG$5:$AG$300)+SUMIF(⑩盛付梱包工程入力!$V$5:$V$300,$C44,⑩盛付梱包工程入力!$AH$5:$AH$300)+SUMIF(⑩盛付梱包工程入力!$W$5:$W$300,$C44,⑩盛付梱包工程入力!$AI$5:$AI$300)+SUMIF(⑪ZEN工程入力!$R$6:$R$35,$C44,⑪ZEN工程入力!$AD$6:$AD$35)+SUMIF(⑪ZEN工程入力!$S$6:$S$35,$C44,⑪ZEN工程入力!$AE$6:$AE$35)+SUMIF(⑪ZEN工程入力!$T$6:$T$35,$C44,⑪ZEN工程入力!$AF$6:$AF$35)+SUMIF(⑪ZEN工程入力!$U$6:$U$35,$C44,⑪ZEN工程入力!$AG$6:$AG$35)+SUMIF(⑪ZEN工程入力!$V$6:$V$35,$C44,⑪ZEN工程入力!$AH$6:$AH$35)+SUMIF(⑪ZEN工程入力!$W$6:$W$35,$C44,⑪ZEN工程入力!$AI$6:$AI$35)+SUMIF(⑫ミキサー工程入力!$R$6:$R$65,$C44,⑫ミキサー工程入力!$AD$6:$AD$65)+SUMIF(⑫ミキサー工程入力!$S$6:$S$65,$C44,⑫ミキサー工程入力!$AE$6:$AE$65)+SUMIF(⑫ミキサー工程入力!$T$6:$T$65,$C44,⑫ミキサー工程入力!$AF$6:$AF$65)+SUMIF(⑫ミキサー工程入力!$U$6:$U$65,$C44,⑫ミキサー工程入力!$AG$6:$AG$65)+SUMIF(⑫ミキサー工程入力!$V$6:$V$65,$C44,⑫ミキサー工程入力!$AH$6:$AH$65)+SUMIF(⑫ミキサー工程入力!$W$6:$W$65,$C44,⑫ミキサー工程入力!$AI$6:$AI$65)+SUMIF(⑬計量工程入力!$R$6:$R$65,$C44,⑬計量工程入力!$AD$6:$AD$65)+SUMIF(⑬計量工程入力!$S$6:$S$65,$C44,⑬計量工程入力!$AE$6:$AE$65)+SUMIF(⑬計量工程入力!$T$6:$T$65,$C44,⑬計量工程入力!$AF$6:$AF$65)+SUMIF(⑬計量工程入力!$U$6:$U$65,$C44,⑬計量工程入力!$AG$6:$AG$65)+SUMIF(⑬計量工程入力!$V$6:$V$65,$C44,⑬計量工程入力!$AH$6:$AH$65)+SUMIF(⑬計量工程入力!$W$6:$W$65,$C44,⑬計量工程入力!$AI$6:$AI$65)+SUMIF(⑭手動工程入力!$R$6:$R$47,$C44,⑭手動工程入力!$AD$6:$AD$47)+SUMIF(⑭手動工程入力!$S$6:$S$47,$C44,⑭手動工程入力!$AE$6:$AE$47)+SUMIF(⑭手動工程入力!$T$6:$T$47,$C44,⑭手動工程入力!$AF$6:$AF$47)+SUMIF(⑭手動工程入力!$U$6:$U$47,$C44,⑭手動工程入力!$AG$6:$AG$47)+SUMIF(⑭手動工程入力!$V$6:$V$47,$C44,⑭手動工程入力!$AH$6:$AH$47)+SUMIF(⑭手動工程入力!$W$6:$W$47,$C44,⑭手動工程入力!$AI$6:$AI$47)</f>
        <v/>
      </c>
      <c r="I44" s="393">
        <f>IF($F44&gt;0,$H44/$F44,"")</f>
        <v/>
      </c>
      <c r="J44" s="605">
        <f>IFERROR(INDEX(商品原価!$B$4:$B$112,MATCH(SUBSTITUTE(SUBSTITUTE(SUBSTITUTE(SUBSTITUTE(SUBSTITUTE(SUBSTITUTE(SUBSTITUTE(SUBSTITUTE(SUBSTITUTE(SUBSTITUTE(ASC($C44),"①","1"),"②","2"),"③","3"),"④","4"),"⑤","5"),"⑥","6"),"⑦","7"),"⑧","8"),"⑨","9")," ",""),商品原価!$C$4:$C$112,0)),"")</f>
        <v/>
      </c>
      <c r="K44" s="542">
        <f>IF(ISNUMBER($J44),$J44*④前提設定!$B$21,"")</f>
        <v/>
      </c>
      <c r="L44" s="605">
        <f>IF(AND(NOT(ISNUMBER($J44)),NOT(ISNUMBER($K44))),"",N($J44)+N($K44))</f>
        <v/>
      </c>
      <c r="M44" s="605">
        <f>IFERROR(INDEX(商品原価!$E$4:$E$112,MATCH(SUBSTITUTE(SUBSTITUTE(SUBSTITUTE(SUBSTITUTE(SUBSTITUTE(SUBSTITUTE(SUBSTITUTE(SUBSTITUTE(SUBSTITUTE(SUBSTITUTE(ASC($C44),"①","1"),"②","2"),"③","3"),"④","4"),"⑤","5"),"⑥","6"),"⑦","7"),"⑧","8"),"⑨","9")," ",""),商品原価!$C$4:$C$112,0)),"")</f>
        <v/>
      </c>
      <c r="N44" s="605">
        <f>IF(AND(ISNUMBER($M44),ISNUMBER($L44)),$M44-$L44-N($W44),"")</f>
        <v/>
      </c>
      <c r="O44" s="606">
        <f>IF(AND(ISNUMBER($N44),ISNUMBER($M44),$M44&gt;0),$N44/$M44,"")</f>
        <v/>
      </c>
      <c r="P44" s="398">
        <f>COUNTIF(②釜工程入力!$R$5:$R$117,$C44)+COUNTIF(②釜工程入力!$S$5:$S$117,$C44)+COUNTIF(②釜工程入力!$T$5:$T$117,$C44)+COUNTIF(②釜工程入力!$U$5:$U$117,$C44)+COUNTIF(②釜工程入力!$V$5:$V$117,$C44)+COUNTIF(②釜工程入力!$W$5:$W$117,$C44)+COUNTIF(③スチコン工程入力!$R$5:$R$152,$C44)+COUNTIF(③スチコン工程入力!$S$5:$S$152,$C44)+COUNTIF(③スチコン工程入力!$T$5:$T$152,$C44)+COUNTIF(③スチコン工程入力!$U$5:$U$152,$C44)+COUNTIF(③スチコン工程入力!$V$5:$V$152,$C44)+COUNTIF(③スチコン工程入力!$W$5:$W$152,$C44)+COUNTIF(⑩盛付梱包工程入力!$R$5:$R$300,$C44)+COUNTIF(⑩盛付梱包工程入力!$S$5:$S$300,$C44)+COUNTIF(⑩盛付梱包工程入力!$T$5:$T$300,$C44)+COUNTIF(⑩盛付梱包工程入力!$U$5:$U$300,$C44)+COUNTIF(⑩盛付梱包工程入力!$V$5:$V$300,$C44)+COUNTIF(⑩盛付梱包工程入力!$W$5:$W$300,$C44)+COUNTIF(⑪ZEN工程入力!$R$6:$R$35,$C44)+COUNTIF(⑪ZEN工程入力!$S$6:$S$35,$C44)+COUNTIF(⑪ZEN工程入力!$T$6:$T$35,$C44)+COUNTIF(⑪ZEN工程入力!$U$6:$U$35,$C44)+COUNTIF(⑪ZEN工程入力!$V$6:$V$35,$C44)+COUNTIF(⑪ZEN工程入力!$W$6:$W$35,$C44)+COUNTIF(⑫ミキサー工程入力!$R$6:$R$65,$C44)+COUNTIF(⑫ミキサー工程入力!$S$6:$S$65,$C44)+COUNTIF(⑫ミキサー工程入力!$T$6:$T$65,$C44)+COUNTIF(⑫ミキサー工程入力!$U$6:$U$65,$C44)+COUNTIF(⑫ミキサー工程入力!$V$6:$V$65,$C44)+COUNTIF(⑫ミキサー工程入力!$W$6:$W$65,$C44)+COUNTIF(⑬計量工程入力!$R$6:$R$65,$C44)+COUNTIF(⑬計量工程入力!$S$6:$S$65,$C44)+COUNTIF(⑬計量工程入力!$T$6:$T$65,$C44)+COUNTIF(⑬計量工程入力!$U$6:$U$65,$C44)+COUNTIF(⑬計量工程入力!$V$6:$V$65,$C44)+COUNTIF(⑬計量工程入力!$W$6:$W$65,$C44)+COUNTIF(⑭手動工程入力!$R$6:$R$47,$C44)+COUNTIF(⑭手動工程入力!$S$6:$S$47,$C44)+COUNTIF(⑭手動工程入力!$T$6:$T$47,$C44)+COUNTIF(⑭手動工程入力!$U$6:$U$47,$C44)+COUNTIF(⑭手動工程入力!$V$6:$V$47,$C44)+COUNTIF(⑭手動工程入力!$W$6:$W$47,$C44)</f>
        <v/>
      </c>
      <c r="Q44" s="392" t="n"/>
      <c r="R44" s="393" t="n">
        <v>48.61</v>
      </c>
      <c r="S44" s="393" t="n">
        <v>910</v>
      </c>
      <c r="T44" s="393">
        <f>IF(AND(ISNUMBER($I44),ISNUMBER($R44)),$I44-$R44,"")</f>
        <v/>
      </c>
      <c r="U44" s="393" t="inlineStr">
        <is>
          <t>２層仕立てのチーズケーキ２</t>
        </is>
      </c>
      <c r="V44" s="605">
        <f>IFERROR(INDEX(KIT別作業時間!$D$4:$D$27,MATCH(SUBSTITUTE(SUBSTITUTE(SUBSTITUTE(SUBSTITUTE(SUBSTITUTE(SUBSTITUTE(SUBSTITUTE(SUBSTITUTE(SUBSTITUTE(SUBSTITUTE(ASC($C44),"①","1"),"②","2"),"③","3"),"④","4"),"⑤","5"),"⑥","6"),"⑦","7"),"⑧","8"),"⑨","9")," ",""),KIT別作業時間!$C$4:$C$27,0)),"")</f>
        <v/>
      </c>
      <c r="W44" s="393">
        <f>IF(AND(ISNUMBER($I44),$I44&gt;0),$I44,IF(ISNUMBER($V44),$V44,IF(ISNUMBER($R44),$R44,"")))</f>
        <v/>
      </c>
      <c r="X44" s="393">
        <f>IF(AND(ISNUMBER($I44),$I44&gt;0),"今回の工程実績",IF(ISNUMBER($V44),"KIT作業時間",IF(ISNUMBER($R44),"前回資料","")))</f>
        <v/>
      </c>
      <c r="Y44" s="398" t="n">
        <v>7174</v>
      </c>
      <c r="Z44" s="398">
        <f>IF(AND(ISNUMBER($W44),ISNUMBER($Y44)),$W44*$Y44,"")</f>
        <v/>
      </c>
      <c r="AA44" s="393" t="n"/>
    </row>
    <row r="45">
      <c r="A45" s="392" t="n">
        <v>41</v>
      </c>
      <c r="B45" s="392" t="n"/>
      <c r="C45" s="392" t="inlineStr">
        <is>
          <t>明太フィリングＫＩＴ</t>
        </is>
      </c>
      <c r="D45" s="398">
        <f>SUMIF(⑩盛付梱包工程入力!$R$5:$R$300,$C45,⑩盛付梱包工程入力!$AC$5:$AC$300)+SUMIF(⑩盛付梱包工程入力!$S$5:$S$300,$C45,⑩盛付梱包工程入力!$AC$5:$AC$300)+SUMIF(⑩盛付梱包工程入力!$T$5:$T$300,$C45,⑩盛付梱包工程入力!$AC$5:$AC$300)+SUMIF(⑩盛付梱包工程入力!$U$5:$U$300,$C45,⑩盛付梱包工程入力!$AC$5:$AC$300)+SUMIF(⑩盛付梱包工程入力!$V$5:$V$300,$C45,⑩盛付梱包工程入力!$AC$5:$AC$300)+SUMIF(⑩盛付梱包工程入力!$W$5:$W$300,$C45,⑩盛付梱包工程入力!$AC$5:$AC$300)</f>
        <v/>
      </c>
      <c r="E45" s="398" t="n">
        <v>25</v>
      </c>
      <c r="F45" s="398">
        <f>IF(N($E45)&gt;0,$E45,$D45)</f>
        <v/>
      </c>
      <c r="G45" s="393" t="n">
        <v>393</v>
      </c>
      <c r="H45" s="393">
        <f>SUMIF(②釜工程入力!$R$5:$R$117,$C45,②釜工程入力!$AD$5:$AD$117)+SUMIF(②釜工程入力!$S$5:$S$117,$C45,②釜工程入力!$AE$5:$AE$117)+SUMIF(②釜工程入力!$T$5:$T$117,$C45,②釜工程入力!$AF$5:$AF$117)+SUMIF(②釜工程入力!$U$5:$U$117,$C45,②釜工程入力!$AG$5:$AG$117)+SUMIF(②釜工程入力!$V$5:$V$117,$C45,②釜工程入力!$AH$5:$AH$117)+SUMIF(②釜工程入力!$W$5:$W$117,$C45,②釜工程入力!$AI$5:$AI$117)+SUMIF(③スチコン工程入力!$R$5:$R$152,$C45,③スチコン工程入力!$AD$5:$AD$152)+SUMIF(③スチコン工程入力!$S$5:$S$152,$C45,③スチコン工程入力!$AE$5:$AE$152)+SUMIF(③スチコン工程入力!$T$5:$T$152,$C45,③スチコン工程入力!$AF$5:$AF$152)+SUMIF(③スチコン工程入力!$U$5:$U$152,$C45,③スチコン工程入力!$AG$5:$AG$152)+SUMIF(③スチコン工程入力!$V$5:$V$152,$C45,③スチコン工程入力!$AH$5:$AH$152)+SUMIF(③スチコン工程入力!$W$5:$W$152,$C45,③スチコン工程入力!$AI$5:$AI$152)+SUMIF(⑩盛付梱包工程入力!$R$5:$R$300,$C45,⑩盛付梱包工程入力!$AD$5:$AD$300)+SUMIF(⑩盛付梱包工程入力!$S$5:$S$300,$C45,⑩盛付梱包工程入力!$AE$5:$AE$300)+SUMIF(⑩盛付梱包工程入力!$T$5:$T$300,$C45,⑩盛付梱包工程入力!$AF$5:$AF$300)+SUMIF(⑩盛付梱包工程入力!$U$5:$U$300,$C45,⑩盛付梱包工程入力!$AG$5:$AG$300)+SUMIF(⑩盛付梱包工程入力!$V$5:$V$300,$C45,⑩盛付梱包工程入力!$AH$5:$AH$300)+SUMIF(⑩盛付梱包工程入力!$W$5:$W$300,$C45,⑩盛付梱包工程入力!$AI$5:$AI$300)+SUMIF(⑪ZEN工程入力!$R$6:$R$35,$C45,⑪ZEN工程入力!$AD$6:$AD$35)+SUMIF(⑪ZEN工程入力!$S$6:$S$35,$C45,⑪ZEN工程入力!$AE$6:$AE$35)+SUMIF(⑪ZEN工程入力!$T$6:$T$35,$C45,⑪ZEN工程入力!$AF$6:$AF$35)+SUMIF(⑪ZEN工程入力!$U$6:$U$35,$C45,⑪ZEN工程入力!$AG$6:$AG$35)+SUMIF(⑪ZEN工程入力!$V$6:$V$35,$C45,⑪ZEN工程入力!$AH$6:$AH$35)+SUMIF(⑪ZEN工程入力!$W$6:$W$35,$C45,⑪ZEN工程入力!$AI$6:$AI$35)+SUMIF(⑫ミキサー工程入力!$R$6:$R$65,$C45,⑫ミキサー工程入力!$AD$6:$AD$65)+SUMIF(⑫ミキサー工程入力!$S$6:$S$65,$C45,⑫ミキサー工程入力!$AE$6:$AE$65)+SUMIF(⑫ミキサー工程入力!$T$6:$T$65,$C45,⑫ミキサー工程入力!$AF$6:$AF$65)+SUMIF(⑫ミキサー工程入力!$U$6:$U$65,$C45,⑫ミキサー工程入力!$AG$6:$AG$65)+SUMIF(⑫ミキサー工程入力!$V$6:$V$65,$C45,⑫ミキサー工程入力!$AH$6:$AH$65)+SUMIF(⑫ミキサー工程入力!$W$6:$W$65,$C45,⑫ミキサー工程入力!$AI$6:$AI$65)+SUMIF(⑬計量工程入力!$R$6:$R$65,$C45,⑬計量工程入力!$AD$6:$AD$65)+SUMIF(⑬計量工程入力!$S$6:$S$65,$C45,⑬計量工程入力!$AE$6:$AE$65)+SUMIF(⑬計量工程入力!$T$6:$T$65,$C45,⑬計量工程入力!$AF$6:$AF$65)+SUMIF(⑬計量工程入力!$U$6:$U$65,$C45,⑬計量工程入力!$AG$6:$AG$65)+SUMIF(⑬計量工程入力!$V$6:$V$65,$C45,⑬計量工程入力!$AH$6:$AH$65)+SUMIF(⑬計量工程入力!$W$6:$W$65,$C45,⑬計量工程入力!$AI$6:$AI$65)+SUMIF(⑭手動工程入力!$R$6:$R$47,$C45,⑭手動工程入力!$AD$6:$AD$47)+SUMIF(⑭手動工程入力!$S$6:$S$47,$C45,⑭手動工程入力!$AE$6:$AE$47)+SUMIF(⑭手動工程入力!$T$6:$T$47,$C45,⑭手動工程入力!$AF$6:$AF$47)+SUMIF(⑭手動工程入力!$U$6:$U$47,$C45,⑭手動工程入力!$AG$6:$AG$47)+SUMIF(⑭手動工程入力!$V$6:$V$47,$C45,⑭手動工程入力!$AH$6:$AH$47)+SUMIF(⑭手動工程入力!$W$6:$W$47,$C45,⑭手動工程入力!$AI$6:$AI$47)</f>
        <v/>
      </c>
      <c r="I45" s="393">
        <f>IF($F45&gt;0,$H45/$F45,"")</f>
        <v/>
      </c>
      <c r="J45" s="605">
        <f>IFERROR(INDEX(商品原価!$B$4:$B$112,MATCH(SUBSTITUTE(SUBSTITUTE(SUBSTITUTE(SUBSTITUTE(SUBSTITUTE(SUBSTITUTE(SUBSTITUTE(SUBSTITUTE(SUBSTITUTE(SUBSTITUTE(ASC($C45),"①","1"),"②","2"),"③","3"),"④","4"),"⑤","5"),"⑥","6"),"⑦","7"),"⑧","8"),"⑨","9")," ",""),商品原価!$C$4:$C$112,0)),"")</f>
        <v/>
      </c>
      <c r="K45" s="542">
        <f>IF(ISNUMBER($J45),$J45*④前提設定!$B$21,"")</f>
        <v/>
      </c>
      <c r="L45" s="605">
        <f>IF(AND(NOT(ISNUMBER($J45)),NOT(ISNUMBER($K45))),"",N($J45)+N($K45))</f>
        <v/>
      </c>
      <c r="M45" s="605">
        <f>IFERROR(INDEX(商品原価!$E$4:$E$112,MATCH(SUBSTITUTE(SUBSTITUTE(SUBSTITUTE(SUBSTITUTE(SUBSTITUTE(SUBSTITUTE(SUBSTITUTE(SUBSTITUTE(SUBSTITUTE(SUBSTITUTE(ASC($C45),"①","1"),"②","2"),"③","3"),"④","4"),"⑤","5"),"⑥","6"),"⑦","7"),"⑧","8"),"⑨","9")," ",""),商品原価!$C$4:$C$112,0)),"")</f>
        <v/>
      </c>
      <c r="N45" s="605">
        <f>IF(AND(ISNUMBER($M45),ISNUMBER($L45)),$M45-$L45-N($W45),"")</f>
        <v/>
      </c>
      <c r="O45" s="606">
        <f>IF(AND(ISNUMBER($N45),ISNUMBER($M45),$M45&gt;0),$N45/$M45,"")</f>
        <v/>
      </c>
      <c r="P45" s="398">
        <f>COUNTIF(②釜工程入力!$R$5:$R$117,$C45)+COUNTIF(②釜工程入力!$S$5:$S$117,$C45)+COUNTIF(②釜工程入力!$T$5:$T$117,$C45)+COUNTIF(②釜工程入力!$U$5:$U$117,$C45)+COUNTIF(②釜工程入力!$V$5:$V$117,$C45)+COUNTIF(②釜工程入力!$W$5:$W$117,$C45)+COUNTIF(③スチコン工程入力!$R$5:$R$152,$C45)+COUNTIF(③スチコン工程入力!$S$5:$S$152,$C45)+COUNTIF(③スチコン工程入力!$T$5:$T$152,$C45)+COUNTIF(③スチコン工程入力!$U$5:$U$152,$C45)+COUNTIF(③スチコン工程入力!$V$5:$V$152,$C45)+COUNTIF(③スチコン工程入力!$W$5:$W$152,$C45)+COUNTIF(⑩盛付梱包工程入力!$R$5:$R$300,$C45)+COUNTIF(⑩盛付梱包工程入力!$S$5:$S$300,$C45)+COUNTIF(⑩盛付梱包工程入力!$T$5:$T$300,$C45)+COUNTIF(⑩盛付梱包工程入力!$U$5:$U$300,$C45)+COUNTIF(⑩盛付梱包工程入力!$V$5:$V$300,$C45)+COUNTIF(⑩盛付梱包工程入力!$W$5:$W$300,$C45)+COUNTIF(⑪ZEN工程入力!$R$6:$R$35,$C45)+COUNTIF(⑪ZEN工程入力!$S$6:$S$35,$C45)+COUNTIF(⑪ZEN工程入力!$T$6:$T$35,$C45)+COUNTIF(⑪ZEN工程入力!$U$6:$U$35,$C45)+COUNTIF(⑪ZEN工程入力!$V$6:$V$35,$C45)+COUNTIF(⑪ZEN工程入力!$W$6:$W$35,$C45)+COUNTIF(⑫ミキサー工程入力!$R$6:$R$65,$C45)+COUNTIF(⑫ミキサー工程入力!$S$6:$S$65,$C45)+COUNTIF(⑫ミキサー工程入力!$T$6:$T$65,$C45)+COUNTIF(⑫ミキサー工程入力!$U$6:$U$65,$C45)+COUNTIF(⑫ミキサー工程入力!$V$6:$V$65,$C45)+COUNTIF(⑫ミキサー工程入力!$W$6:$W$65,$C45)+COUNTIF(⑬計量工程入力!$R$6:$R$65,$C45)+COUNTIF(⑬計量工程入力!$S$6:$S$65,$C45)+COUNTIF(⑬計量工程入力!$T$6:$T$65,$C45)+COUNTIF(⑬計量工程入力!$U$6:$U$65,$C45)+COUNTIF(⑬計量工程入力!$V$6:$V$65,$C45)+COUNTIF(⑬計量工程入力!$W$6:$W$65,$C45)+COUNTIF(⑭手動工程入力!$R$6:$R$47,$C45)+COUNTIF(⑭手動工程入力!$S$6:$S$47,$C45)+COUNTIF(⑭手動工程入力!$T$6:$T$47,$C45)+COUNTIF(⑭手動工程入力!$U$6:$U$47,$C45)+COUNTIF(⑭手動工程入力!$V$6:$V$47,$C45)+COUNTIF(⑭手動工程入力!$W$6:$W$47,$C45)</f>
        <v/>
      </c>
      <c r="Q45" s="392" t="inlineStr">
        <is>
          <t>⑩盛付梱包 60行目に入力欄を作成（工程記録なし）</t>
        </is>
      </c>
      <c r="R45" s="393" t="n"/>
      <c r="S45" s="393" t="n"/>
      <c r="T45" s="393" t="n"/>
      <c r="U45" s="393" t="n"/>
      <c r="V45" s="605">
        <f>IFERROR(INDEX(KIT別作業時間!$D$4:$D$27,MATCH(SUBSTITUTE(SUBSTITUTE(SUBSTITUTE(SUBSTITUTE(SUBSTITUTE(SUBSTITUTE(SUBSTITUTE(SUBSTITUTE(SUBSTITUTE(SUBSTITUTE(ASC($C45),"①","1"),"②","2"),"③","3"),"④","4"),"⑤","5"),"⑥","6"),"⑦","7"),"⑧","8"),"⑨","9")," ",""),KIT別作業時間!$C$4:$C$27,0)),"")</f>
        <v/>
      </c>
      <c r="W45" s="393">
        <f>IF(AND(ISNUMBER($I45),$I45&gt;0),$I45,IF(ISNUMBER($V45),$V45,IF(ISNUMBER($R45),$R45,"")))</f>
        <v/>
      </c>
      <c r="X45" s="393">
        <f>IF(AND(ISNUMBER($I45),$I45&gt;0),"今回の工程実績",IF(ISNUMBER($V45),"KIT作業時間",IF(ISNUMBER($R45),"前回資料","")))</f>
        <v/>
      </c>
      <c r="Y45" s="398" t="n">
        <v>819</v>
      </c>
      <c r="Z45" s="398">
        <f>IF(AND(ISNUMBER($W45),ISNUMBER($Y45)),$W45*$Y45,"")</f>
        <v/>
      </c>
      <c r="AA45" s="393" t="n"/>
    </row>
    <row r="46">
      <c r="A46" s="392" t="n">
        <v>42</v>
      </c>
      <c r="B46" s="392" t="n"/>
      <c r="C46" s="392" t="inlineStr">
        <is>
          <t>ひんやり和パフェあんみつ</t>
        </is>
      </c>
      <c r="D46" s="398">
        <f>SUMIF(⑩盛付梱包工程入力!$R$5:$R$300,$C46,⑩盛付梱包工程入力!$AC$5:$AC$300)+SUMIF(⑩盛付梱包工程入力!$S$5:$S$300,$C46,⑩盛付梱包工程入力!$AC$5:$AC$300)+SUMIF(⑩盛付梱包工程入力!$T$5:$T$300,$C46,⑩盛付梱包工程入力!$AC$5:$AC$300)+SUMIF(⑩盛付梱包工程入力!$U$5:$U$300,$C46,⑩盛付梱包工程入力!$AC$5:$AC$300)+SUMIF(⑩盛付梱包工程入力!$V$5:$V$300,$C46,⑩盛付梱包工程入力!$AC$5:$AC$300)+SUMIF(⑩盛付梱包工程入力!$W$5:$W$300,$C46,⑩盛付梱包工程入力!$AC$5:$AC$300)</f>
        <v/>
      </c>
      <c r="E46" s="398" t="n"/>
      <c r="F46" s="398">
        <f>IF(N($E46)&gt;0,$E46,$D46)</f>
        <v/>
      </c>
      <c r="G46" s="398" t="n"/>
      <c r="H46" s="393">
        <f>SUMIF(②釜工程入力!$R$5:$R$117,$C46,②釜工程入力!$AD$5:$AD$117)+SUMIF(②釜工程入力!$S$5:$S$117,$C46,②釜工程入力!$AE$5:$AE$117)+SUMIF(②釜工程入力!$T$5:$T$117,$C46,②釜工程入力!$AF$5:$AF$117)+SUMIF(②釜工程入力!$U$5:$U$117,$C46,②釜工程入力!$AG$5:$AG$117)+SUMIF(②釜工程入力!$V$5:$V$117,$C46,②釜工程入力!$AH$5:$AH$117)+SUMIF(②釜工程入力!$W$5:$W$117,$C46,②釜工程入力!$AI$5:$AI$117)+SUMIF(③スチコン工程入力!$R$5:$R$152,$C46,③スチコン工程入力!$AD$5:$AD$152)+SUMIF(③スチコン工程入力!$S$5:$S$152,$C46,③スチコン工程入力!$AE$5:$AE$152)+SUMIF(③スチコン工程入力!$T$5:$T$152,$C46,③スチコン工程入力!$AF$5:$AF$152)+SUMIF(③スチコン工程入力!$U$5:$U$152,$C46,③スチコン工程入力!$AG$5:$AG$152)+SUMIF(③スチコン工程入力!$V$5:$V$152,$C46,③スチコン工程入力!$AH$5:$AH$152)+SUMIF(③スチコン工程入力!$W$5:$W$152,$C46,③スチコン工程入力!$AI$5:$AI$152)+SUMIF(⑩盛付梱包工程入力!$R$5:$R$300,$C46,⑩盛付梱包工程入力!$AD$5:$AD$300)+SUMIF(⑩盛付梱包工程入力!$S$5:$S$300,$C46,⑩盛付梱包工程入力!$AE$5:$AE$300)+SUMIF(⑩盛付梱包工程入力!$T$5:$T$300,$C46,⑩盛付梱包工程入力!$AF$5:$AF$300)+SUMIF(⑩盛付梱包工程入力!$U$5:$U$300,$C46,⑩盛付梱包工程入力!$AG$5:$AG$300)+SUMIF(⑩盛付梱包工程入力!$V$5:$V$300,$C46,⑩盛付梱包工程入力!$AH$5:$AH$300)+SUMIF(⑩盛付梱包工程入力!$W$5:$W$300,$C46,⑩盛付梱包工程入力!$AI$5:$AI$300)+SUMIF(⑪ZEN工程入力!$R$6:$R$35,$C46,⑪ZEN工程入力!$AD$6:$AD$35)+SUMIF(⑪ZEN工程入力!$S$6:$S$35,$C46,⑪ZEN工程入力!$AE$6:$AE$35)+SUMIF(⑪ZEN工程入力!$T$6:$T$35,$C46,⑪ZEN工程入力!$AF$6:$AF$35)+SUMIF(⑪ZEN工程入力!$U$6:$U$35,$C46,⑪ZEN工程入力!$AG$6:$AG$35)+SUMIF(⑪ZEN工程入力!$V$6:$V$35,$C46,⑪ZEN工程入力!$AH$6:$AH$35)+SUMIF(⑪ZEN工程入力!$W$6:$W$35,$C46,⑪ZEN工程入力!$AI$6:$AI$35)+SUMIF(⑫ミキサー工程入力!$R$6:$R$65,$C46,⑫ミキサー工程入力!$AD$6:$AD$65)+SUMIF(⑫ミキサー工程入力!$S$6:$S$65,$C46,⑫ミキサー工程入力!$AE$6:$AE$65)+SUMIF(⑫ミキサー工程入力!$T$6:$T$65,$C46,⑫ミキサー工程入力!$AF$6:$AF$65)+SUMIF(⑫ミキサー工程入力!$U$6:$U$65,$C46,⑫ミキサー工程入力!$AG$6:$AG$65)+SUMIF(⑫ミキサー工程入力!$V$6:$V$65,$C46,⑫ミキサー工程入力!$AH$6:$AH$65)+SUMIF(⑫ミキサー工程入力!$W$6:$W$65,$C46,⑫ミキサー工程入力!$AI$6:$AI$65)+SUMIF(⑬計量工程入力!$R$6:$R$65,$C46,⑬計量工程入力!$AD$6:$AD$65)+SUMIF(⑬計量工程入力!$S$6:$S$65,$C46,⑬計量工程入力!$AE$6:$AE$65)+SUMIF(⑬計量工程入力!$T$6:$T$65,$C46,⑬計量工程入力!$AF$6:$AF$65)+SUMIF(⑬計量工程入力!$U$6:$U$65,$C46,⑬計量工程入力!$AG$6:$AG$65)+SUMIF(⑬計量工程入力!$V$6:$V$65,$C46,⑬計量工程入力!$AH$6:$AH$65)+SUMIF(⑬計量工程入力!$W$6:$W$65,$C46,⑬計量工程入力!$AI$6:$AI$65)+SUMIF(⑭手動工程入力!$R$6:$R$47,$C46,⑭手動工程入力!$AD$6:$AD$47)+SUMIF(⑭手動工程入力!$S$6:$S$47,$C46,⑭手動工程入力!$AE$6:$AE$47)+SUMIF(⑭手動工程入力!$T$6:$T$47,$C46,⑭手動工程入力!$AF$6:$AF$47)+SUMIF(⑭手動工程入力!$U$6:$U$47,$C46,⑭手動工程入力!$AG$6:$AG$47)+SUMIF(⑭手動工程入力!$V$6:$V$47,$C46,⑭手動工程入力!$AH$6:$AH$47)+SUMIF(⑭手動工程入力!$W$6:$W$47,$C46,⑭手動工程入力!$AI$6:$AI$47)</f>
        <v/>
      </c>
      <c r="I46" s="393">
        <f>IF($F46&gt;0,$H46/$F46,"")</f>
        <v/>
      </c>
      <c r="J46" s="605">
        <f>IFERROR(INDEX(商品原価!$B$4:$B$112,MATCH(SUBSTITUTE(SUBSTITUTE(SUBSTITUTE(SUBSTITUTE(SUBSTITUTE(SUBSTITUTE(SUBSTITUTE(SUBSTITUTE(SUBSTITUTE(SUBSTITUTE(ASC($C46),"①","1"),"②","2"),"③","3"),"④","4"),"⑤","5"),"⑥","6"),"⑦","7"),"⑧","8"),"⑨","9")," ",""),商品原価!$C$4:$C$112,0)),"")</f>
        <v/>
      </c>
      <c r="K46" s="542">
        <f>IF(ISNUMBER($J46),$J46*④前提設定!$B$21,"")</f>
        <v/>
      </c>
      <c r="L46" s="605">
        <f>IF(AND(NOT(ISNUMBER($J46)),NOT(ISNUMBER($K46))),"",N($J46)+N($K46))</f>
        <v/>
      </c>
      <c r="M46" s="605">
        <f>IFERROR(INDEX(商品原価!$E$4:$E$112,MATCH(SUBSTITUTE(SUBSTITUTE(SUBSTITUTE(SUBSTITUTE(SUBSTITUTE(SUBSTITUTE(SUBSTITUTE(SUBSTITUTE(SUBSTITUTE(SUBSTITUTE(ASC($C46),"①","1"),"②","2"),"③","3"),"④","4"),"⑤","5"),"⑥","6"),"⑦","7"),"⑧","8"),"⑨","9")," ",""),商品原価!$C$4:$C$112,0)),"")</f>
        <v/>
      </c>
      <c r="N46" s="605">
        <f>IF(AND(ISNUMBER($M46),ISNUMBER($L46)),$M46-$L46-N($W46),"")</f>
        <v/>
      </c>
      <c r="O46" s="606">
        <f>IF(AND(ISNUMBER($N46),ISNUMBER($M46),$M46&gt;0),$N46/$M46,"")</f>
        <v/>
      </c>
      <c r="P46" s="398">
        <f>COUNTIF(②釜工程入力!$R$5:$R$117,$C46)+COUNTIF(②釜工程入力!$S$5:$S$117,$C46)+COUNTIF(②釜工程入力!$T$5:$T$117,$C46)+COUNTIF(②釜工程入力!$U$5:$U$117,$C46)+COUNTIF(②釜工程入力!$V$5:$V$117,$C46)+COUNTIF(②釜工程入力!$W$5:$W$117,$C46)+COUNTIF(③スチコン工程入力!$R$5:$R$152,$C46)+COUNTIF(③スチコン工程入力!$S$5:$S$152,$C46)+COUNTIF(③スチコン工程入力!$T$5:$T$152,$C46)+COUNTIF(③スチコン工程入力!$U$5:$U$152,$C46)+COUNTIF(③スチコン工程入力!$V$5:$V$152,$C46)+COUNTIF(③スチコン工程入力!$W$5:$W$152,$C46)+COUNTIF(⑩盛付梱包工程入力!$R$5:$R$300,$C46)+COUNTIF(⑩盛付梱包工程入力!$S$5:$S$300,$C46)+COUNTIF(⑩盛付梱包工程入力!$T$5:$T$300,$C46)+COUNTIF(⑩盛付梱包工程入力!$U$5:$U$300,$C46)+COUNTIF(⑩盛付梱包工程入力!$V$5:$V$300,$C46)+COUNTIF(⑩盛付梱包工程入力!$W$5:$W$300,$C46)+COUNTIF(⑪ZEN工程入力!$R$6:$R$35,$C46)+COUNTIF(⑪ZEN工程入力!$S$6:$S$35,$C46)+COUNTIF(⑪ZEN工程入力!$T$6:$T$35,$C46)+COUNTIF(⑪ZEN工程入力!$U$6:$U$35,$C46)+COUNTIF(⑪ZEN工程入力!$V$6:$V$35,$C46)+COUNTIF(⑪ZEN工程入力!$W$6:$W$35,$C46)+COUNTIF(⑫ミキサー工程入力!$R$6:$R$65,$C46)+COUNTIF(⑫ミキサー工程入力!$S$6:$S$65,$C46)+COUNTIF(⑫ミキサー工程入力!$T$6:$T$65,$C46)+COUNTIF(⑫ミキサー工程入力!$U$6:$U$65,$C46)+COUNTIF(⑫ミキサー工程入力!$V$6:$V$65,$C46)+COUNTIF(⑫ミキサー工程入力!$W$6:$W$65,$C46)+COUNTIF(⑬計量工程入力!$R$6:$R$65,$C46)+COUNTIF(⑬計量工程入力!$S$6:$S$65,$C46)+COUNTIF(⑬計量工程入力!$T$6:$T$65,$C46)+COUNTIF(⑬計量工程入力!$U$6:$U$65,$C46)+COUNTIF(⑬計量工程入力!$V$6:$V$65,$C46)+COUNTIF(⑬計量工程入力!$W$6:$W$65,$C46)+COUNTIF(⑭手動工程入力!$R$6:$R$47,$C46)+COUNTIF(⑭手動工程入力!$S$6:$S$47,$C46)+COUNTIF(⑭手動工程入力!$T$6:$T$47,$C46)+COUNTIF(⑭手動工程入力!$U$6:$U$47,$C46)+COUNTIF(⑭手動工程入力!$V$6:$V$47,$C46)+COUNTIF(⑭手動工程入力!$W$6:$W$47,$C46)</f>
        <v/>
      </c>
      <c r="Q46" s="392" t="n"/>
      <c r="R46" s="393" t="n"/>
      <c r="S46" s="393" t="n"/>
      <c r="T46" s="393" t="n"/>
      <c r="U46" s="393" t="n"/>
      <c r="V46" s="605">
        <f>IFERROR(INDEX(KIT別作業時間!$D$4:$D$27,MATCH(SUBSTITUTE(SUBSTITUTE(SUBSTITUTE(SUBSTITUTE(SUBSTITUTE(SUBSTITUTE(SUBSTITUTE(SUBSTITUTE(SUBSTITUTE(SUBSTITUTE(ASC($C46),"①","1"),"②","2"),"③","3"),"④","4"),"⑤","5"),"⑥","6"),"⑦","7"),"⑧","8"),"⑨","9")," ",""),KIT別作業時間!$C$4:$C$27,0)),"")</f>
        <v/>
      </c>
      <c r="W46" s="393">
        <f>IF(AND(ISNUMBER($I46),$I46&gt;0),$I46,IF(ISNUMBER($V46),$V46,IF(ISNUMBER($R46),$R46,"")))</f>
        <v/>
      </c>
      <c r="X46" s="393">
        <f>IF(AND(ISNUMBER($I46),$I46&gt;0),"今回の工程実績",IF(ISNUMBER($V46),"KIT作業時間",IF(ISNUMBER($R46),"前回資料","")))</f>
        <v/>
      </c>
      <c r="Y46" s="398" t="n">
        <v>9424</v>
      </c>
      <c r="Z46" s="398">
        <f>IF(AND(ISNUMBER($W46),ISNUMBER($Y46)),$W46*$Y46,"")</f>
        <v/>
      </c>
      <c r="AA46" s="393" t="n"/>
    </row>
    <row r="47">
      <c r="A47" s="392" t="n">
        <v>43</v>
      </c>
      <c r="B47" s="392" t="n"/>
      <c r="C47" s="392" t="inlineStr">
        <is>
          <t>Ｓ２種ぶどうの杏仁プリン</t>
        </is>
      </c>
      <c r="D47" s="398">
        <f>SUMIF(⑩盛付梱包工程入力!$R$5:$R$300,$C47,⑩盛付梱包工程入力!$AC$5:$AC$300)+SUMIF(⑩盛付梱包工程入力!$S$5:$S$300,$C47,⑩盛付梱包工程入力!$AC$5:$AC$300)+SUMIF(⑩盛付梱包工程入力!$T$5:$T$300,$C47,⑩盛付梱包工程入力!$AC$5:$AC$300)+SUMIF(⑩盛付梱包工程入力!$U$5:$U$300,$C47,⑩盛付梱包工程入力!$AC$5:$AC$300)+SUMIF(⑩盛付梱包工程入力!$V$5:$V$300,$C47,⑩盛付梱包工程入力!$AC$5:$AC$300)+SUMIF(⑩盛付梱包工程入力!$W$5:$W$300,$C47,⑩盛付梱包工程入力!$AC$5:$AC$300)</f>
        <v/>
      </c>
      <c r="E47" s="398" t="n"/>
      <c r="F47" s="398">
        <f>IF(N($E47)&gt;0,$E47,$D47)</f>
        <v/>
      </c>
      <c r="G47" s="398" t="n"/>
      <c r="H47" s="393">
        <f>SUMIF(②釜工程入力!$R$5:$R$117,$C47,②釜工程入力!$AD$5:$AD$117)+SUMIF(②釜工程入力!$S$5:$S$117,$C47,②釜工程入力!$AE$5:$AE$117)+SUMIF(②釜工程入力!$T$5:$T$117,$C47,②釜工程入力!$AF$5:$AF$117)+SUMIF(②釜工程入力!$U$5:$U$117,$C47,②釜工程入力!$AG$5:$AG$117)+SUMIF(②釜工程入力!$V$5:$V$117,$C47,②釜工程入力!$AH$5:$AH$117)+SUMIF(②釜工程入力!$W$5:$W$117,$C47,②釜工程入力!$AI$5:$AI$117)+SUMIF(③スチコン工程入力!$R$5:$R$152,$C47,③スチコン工程入力!$AD$5:$AD$152)+SUMIF(③スチコン工程入力!$S$5:$S$152,$C47,③スチコン工程入力!$AE$5:$AE$152)+SUMIF(③スチコン工程入力!$T$5:$T$152,$C47,③スチコン工程入力!$AF$5:$AF$152)+SUMIF(③スチコン工程入力!$U$5:$U$152,$C47,③スチコン工程入力!$AG$5:$AG$152)+SUMIF(③スチコン工程入力!$V$5:$V$152,$C47,③スチコン工程入力!$AH$5:$AH$152)+SUMIF(③スチコン工程入力!$W$5:$W$152,$C47,③スチコン工程入力!$AI$5:$AI$152)+SUMIF(⑩盛付梱包工程入力!$R$5:$R$300,$C47,⑩盛付梱包工程入力!$AD$5:$AD$300)+SUMIF(⑩盛付梱包工程入力!$S$5:$S$300,$C47,⑩盛付梱包工程入力!$AE$5:$AE$300)+SUMIF(⑩盛付梱包工程入力!$T$5:$T$300,$C47,⑩盛付梱包工程入力!$AF$5:$AF$300)+SUMIF(⑩盛付梱包工程入力!$U$5:$U$300,$C47,⑩盛付梱包工程入力!$AG$5:$AG$300)+SUMIF(⑩盛付梱包工程入力!$V$5:$V$300,$C47,⑩盛付梱包工程入力!$AH$5:$AH$300)+SUMIF(⑩盛付梱包工程入力!$W$5:$W$300,$C47,⑩盛付梱包工程入力!$AI$5:$AI$300)+SUMIF(⑪ZEN工程入力!$R$6:$R$35,$C47,⑪ZEN工程入力!$AD$6:$AD$35)+SUMIF(⑪ZEN工程入力!$S$6:$S$35,$C47,⑪ZEN工程入力!$AE$6:$AE$35)+SUMIF(⑪ZEN工程入力!$T$6:$T$35,$C47,⑪ZEN工程入力!$AF$6:$AF$35)+SUMIF(⑪ZEN工程入力!$U$6:$U$35,$C47,⑪ZEN工程入力!$AG$6:$AG$35)+SUMIF(⑪ZEN工程入力!$V$6:$V$35,$C47,⑪ZEN工程入力!$AH$6:$AH$35)+SUMIF(⑪ZEN工程入力!$W$6:$W$35,$C47,⑪ZEN工程入力!$AI$6:$AI$35)+SUMIF(⑫ミキサー工程入力!$R$6:$R$65,$C47,⑫ミキサー工程入力!$AD$6:$AD$65)+SUMIF(⑫ミキサー工程入力!$S$6:$S$65,$C47,⑫ミキサー工程入力!$AE$6:$AE$65)+SUMIF(⑫ミキサー工程入力!$T$6:$T$65,$C47,⑫ミキサー工程入力!$AF$6:$AF$65)+SUMIF(⑫ミキサー工程入力!$U$6:$U$65,$C47,⑫ミキサー工程入力!$AG$6:$AG$65)+SUMIF(⑫ミキサー工程入力!$V$6:$V$65,$C47,⑫ミキサー工程入力!$AH$6:$AH$65)+SUMIF(⑫ミキサー工程入力!$W$6:$W$65,$C47,⑫ミキサー工程入力!$AI$6:$AI$65)+SUMIF(⑬計量工程入力!$R$6:$R$65,$C47,⑬計量工程入力!$AD$6:$AD$65)+SUMIF(⑬計量工程入力!$S$6:$S$65,$C47,⑬計量工程入力!$AE$6:$AE$65)+SUMIF(⑬計量工程入力!$T$6:$T$65,$C47,⑬計量工程入力!$AF$6:$AF$65)+SUMIF(⑬計量工程入力!$U$6:$U$65,$C47,⑬計量工程入力!$AG$6:$AG$65)+SUMIF(⑬計量工程入力!$V$6:$V$65,$C47,⑬計量工程入力!$AH$6:$AH$65)+SUMIF(⑬計量工程入力!$W$6:$W$65,$C47,⑬計量工程入力!$AI$6:$AI$65)+SUMIF(⑭手動工程入力!$R$6:$R$47,$C47,⑭手動工程入力!$AD$6:$AD$47)+SUMIF(⑭手動工程入力!$S$6:$S$47,$C47,⑭手動工程入力!$AE$6:$AE$47)+SUMIF(⑭手動工程入力!$T$6:$T$47,$C47,⑭手動工程入力!$AF$6:$AF$47)+SUMIF(⑭手動工程入力!$U$6:$U$47,$C47,⑭手動工程入力!$AG$6:$AG$47)+SUMIF(⑭手動工程入力!$V$6:$V$47,$C47,⑭手動工程入力!$AH$6:$AH$47)+SUMIF(⑭手動工程入力!$W$6:$W$47,$C47,⑭手動工程入力!$AI$6:$AI$47)</f>
        <v/>
      </c>
      <c r="I47" s="393">
        <f>IF($F47&gt;0,$H47/$F47,"")</f>
        <v/>
      </c>
      <c r="J47" s="605">
        <f>IFERROR(INDEX(商品原価!$B$4:$B$112,MATCH(SUBSTITUTE(SUBSTITUTE(SUBSTITUTE(SUBSTITUTE(SUBSTITUTE(SUBSTITUTE(SUBSTITUTE(SUBSTITUTE(SUBSTITUTE(SUBSTITUTE(ASC($C47),"①","1"),"②","2"),"③","3"),"④","4"),"⑤","5"),"⑥","6"),"⑦","7"),"⑧","8"),"⑨","9")," ",""),商品原価!$C$4:$C$112,0)),"")</f>
        <v/>
      </c>
      <c r="K47" s="542">
        <f>IF(ISNUMBER($J47),$J47*④前提設定!$B$21,"")</f>
        <v/>
      </c>
      <c r="L47" s="605">
        <f>IF(AND(NOT(ISNUMBER($J47)),NOT(ISNUMBER($K47))),"",N($J47)+N($K47))</f>
        <v/>
      </c>
      <c r="M47" s="605">
        <f>IFERROR(INDEX(商品原価!$E$4:$E$112,MATCH(SUBSTITUTE(SUBSTITUTE(SUBSTITUTE(SUBSTITUTE(SUBSTITUTE(SUBSTITUTE(SUBSTITUTE(SUBSTITUTE(SUBSTITUTE(SUBSTITUTE(ASC($C47),"①","1"),"②","2"),"③","3"),"④","4"),"⑤","5"),"⑥","6"),"⑦","7"),"⑧","8"),"⑨","9")," ",""),商品原価!$C$4:$C$112,0)),"")</f>
        <v/>
      </c>
      <c r="N47" s="605">
        <f>IF(AND(ISNUMBER($M47),ISNUMBER($L47)),$M47-$L47-N($W47),"")</f>
        <v/>
      </c>
      <c r="O47" s="606">
        <f>IF(AND(ISNUMBER($N47),ISNUMBER($M47),$M47&gt;0),$N47/$M47,"")</f>
        <v/>
      </c>
      <c r="P47" s="398">
        <f>COUNTIF(②釜工程入力!$R$5:$R$117,$C47)+COUNTIF(②釜工程入力!$S$5:$S$117,$C47)+COUNTIF(②釜工程入力!$T$5:$T$117,$C47)+COUNTIF(②釜工程入力!$U$5:$U$117,$C47)+COUNTIF(②釜工程入力!$V$5:$V$117,$C47)+COUNTIF(②釜工程入力!$W$5:$W$117,$C47)+COUNTIF(③スチコン工程入力!$R$5:$R$152,$C47)+COUNTIF(③スチコン工程入力!$S$5:$S$152,$C47)+COUNTIF(③スチコン工程入力!$T$5:$T$152,$C47)+COUNTIF(③スチコン工程入力!$U$5:$U$152,$C47)+COUNTIF(③スチコン工程入力!$V$5:$V$152,$C47)+COUNTIF(③スチコン工程入力!$W$5:$W$152,$C47)+COUNTIF(⑩盛付梱包工程入力!$R$5:$R$300,$C47)+COUNTIF(⑩盛付梱包工程入力!$S$5:$S$300,$C47)+COUNTIF(⑩盛付梱包工程入力!$T$5:$T$300,$C47)+COUNTIF(⑩盛付梱包工程入力!$U$5:$U$300,$C47)+COUNTIF(⑩盛付梱包工程入力!$V$5:$V$300,$C47)+COUNTIF(⑩盛付梱包工程入力!$W$5:$W$300,$C47)+COUNTIF(⑪ZEN工程入力!$R$6:$R$35,$C47)+COUNTIF(⑪ZEN工程入力!$S$6:$S$35,$C47)+COUNTIF(⑪ZEN工程入力!$T$6:$T$35,$C47)+COUNTIF(⑪ZEN工程入力!$U$6:$U$35,$C47)+COUNTIF(⑪ZEN工程入力!$V$6:$V$35,$C47)+COUNTIF(⑪ZEN工程入力!$W$6:$W$35,$C47)+COUNTIF(⑫ミキサー工程入力!$R$6:$R$65,$C47)+COUNTIF(⑫ミキサー工程入力!$S$6:$S$65,$C47)+COUNTIF(⑫ミキサー工程入力!$T$6:$T$65,$C47)+COUNTIF(⑫ミキサー工程入力!$U$6:$U$65,$C47)+COUNTIF(⑫ミキサー工程入力!$V$6:$V$65,$C47)+COUNTIF(⑫ミキサー工程入力!$W$6:$W$65,$C47)+COUNTIF(⑬計量工程入力!$R$6:$R$65,$C47)+COUNTIF(⑬計量工程入力!$S$6:$S$65,$C47)+COUNTIF(⑬計量工程入力!$T$6:$T$65,$C47)+COUNTIF(⑬計量工程入力!$U$6:$U$65,$C47)+COUNTIF(⑬計量工程入力!$V$6:$V$65,$C47)+COUNTIF(⑬計量工程入力!$W$6:$W$65,$C47)+COUNTIF(⑭手動工程入力!$R$6:$R$47,$C47)+COUNTIF(⑭手動工程入力!$S$6:$S$47,$C47)+COUNTIF(⑭手動工程入力!$T$6:$T$47,$C47)+COUNTIF(⑭手動工程入力!$U$6:$U$47,$C47)+COUNTIF(⑭手動工程入力!$V$6:$V$47,$C47)+COUNTIF(⑭手動工程入力!$W$6:$W$47,$C47)</f>
        <v/>
      </c>
      <c r="Q47" s="392" t="n"/>
      <c r="R47" s="393" t="n"/>
      <c r="S47" s="393" t="n"/>
      <c r="T47" s="393" t="n"/>
      <c r="U47" s="393" t="n"/>
      <c r="V47" s="605">
        <f>IFERROR(INDEX(KIT別作業時間!$D$4:$D$27,MATCH(SUBSTITUTE(SUBSTITUTE(SUBSTITUTE(SUBSTITUTE(SUBSTITUTE(SUBSTITUTE(SUBSTITUTE(SUBSTITUTE(SUBSTITUTE(SUBSTITUTE(ASC($C47),"①","1"),"②","2"),"③","3"),"④","4"),"⑤","5"),"⑥","6"),"⑦","7"),"⑧","8"),"⑨","9")," ",""),KIT別作業時間!$C$4:$C$27,0)),"")</f>
        <v/>
      </c>
      <c r="W47" s="393">
        <f>IF(AND(ISNUMBER($I47),$I47&gt;0),$I47,IF(ISNUMBER($V47),$V47,IF(ISNUMBER($R47),$R47,"")))</f>
        <v/>
      </c>
      <c r="X47" s="393">
        <f>IF(AND(ISNUMBER($I47),$I47&gt;0),"今回の工程実績",IF(ISNUMBER($V47),"KIT作業時間",IF(ISNUMBER($R47),"前回資料","")))</f>
        <v/>
      </c>
      <c r="Y47" s="398" t="n">
        <v>3933</v>
      </c>
      <c r="Z47" s="398">
        <f>IF(AND(ISNUMBER($W47),ISNUMBER($Y47)),$W47*$Y47,"")</f>
        <v/>
      </c>
      <c r="AA47" s="393" t="n"/>
    </row>
    <row r="48">
      <c r="A48" s="392" t="n">
        <v>44</v>
      </c>
      <c r="B48" s="392" t="n"/>
      <c r="C48" s="392" t="inlineStr">
        <is>
          <t>クリーム爆盛ロールケーキ小</t>
        </is>
      </c>
      <c r="D48" s="398">
        <f>SUMIF(⑩盛付梱包工程入力!$R$5:$R$300,$C48,⑩盛付梱包工程入力!$AC$5:$AC$300)+SUMIF(⑩盛付梱包工程入力!$S$5:$S$300,$C48,⑩盛付梱包工程入力!$AC$5:$AC$300)+SUMIF(⑩盛付梱包工程入力!$T$5:$T$300,$C48,⑩盛付梱包工程入力!$AC$5:$AC$300)+SUMIF(⑩盛付梱包工程入力!$U$5:$U$300,$C48,⑩盛付梱包工程入力!$AC$5:$AC$300)+SUMIF(⑩盛付梱包工程入力!$V$5:$V$300,$C48,⑩盛付梱包工程入力!$AC$5:$AC$300)+SUMIF(⑩盛付梱包工程入力!$W$5:$W$300,$C48,⑩盛付梱包工程入力!$AC$5:$AC$300)</f>
        <v/>
      </c>
      <c r="E48" s="398" t="n">
        <v>281</v>
      </c>
      <c r="F48" s="398">
        <f>IF(N($E48)&gt;0,$E48,$D48)</f>
        <v/>
      </c>
      <c r="G48" s="393" t="n">
        <v>32.85366338602247</v>
      </c>
      <c r="H48" s="393">
        <f>SUMIF(②釜工程入力!$R$5:$R$117,$C48,②釜工程入力!$AD$5:$AD$117)+SUMIF(②釜工程入力!$S$5:$S$117,$C48,②釜工程入力!$AE$5:$AE$117)+SUMIF(②釜工程入力!$T$5:$T$117,$C48,②釜工程入力!$AF$5:$AF$117)+SUMIF(②釜工程入力!$U$5:$U$117,$C48,②釜工程入力!$AG$5:$AG$117)+SUMIF(②釜工程入力!$V$5:$V$117,$C48,②釜工程入力!$AH$5:$AH$117)+SUMIF(②釜工程入力!$W$5:$W$117,$C48,②釜工程入力!$AI$5:$AI$117)+SUMIF(③スチコン工程入力!$R$5:$R$152,$C48,③スチコン工程入力!$AD$5:$AD$152)+SUMIF(③スチコン工程入力!$S$5:$S$152,$C48,③スチコン工程入力!$AE$5:$AE$152)+SUMIF(③スチコン工程入力!$T$5:$T$152,$C48,③スチコン工程入力!$AF$5:$AF$152)+SUMIF(③スチコン工程入力!$U$5:$U$152,$C48,③スチコン工程入力!$AG$5:$AG$152)+SUMIF(③スチコン工程入力!$V$5:$V$152,$C48,③スチコン工程入力!$AH$5:$AH$152)+SUMIF(③スチコン工程入力!$W$5:$W$152,$C48,③スチコン工程入力!$AI$5:$AI$152)+SUMIF(⑩盛付梱包工程入力!$R$5:$R$300,$C48,⑩盛付梱包工程入力!$AD$5:$AD$300)+SUMIF(⑩盛付梱包工程入力!$S$5:$S$300,$C48,⑩盛付梱包工程入力!$AE$5:$AE$300)+SUMIF(⑩盛付梱包工程入力!$T$5:$T$300,$C48,⑩盛付梱包工程入力!$AF$5:$AF$300)+SUMIF(⑩盛付梱包工程入力!$U$5:$U$300,$C48,⑩盛付梱包工程入力!$AG$5:$AG$300)+SUMIF(⑩盛付梱包工程入力!$V$5:$V$300,$C48,⑩盛付梱包工程入力!$AH$5:$AH$300)+SUMIF(⑩盛付梱包工程入力!$W$5:$W$300,$C48,⑩盛付梱包工程入力!$AI$5:$AI$300)+SUMIF(⑪ZEN工程入力!$R$6:$R$35,$C48,⑪ZEN工程入力!$AD$6:$AD$35)+SUMIF(⑪ZEN工程入力!$S$6:$S$35,$C48,⑪ZEN工程入力!$AE$6:$AE$35)+SUMIF(⑪ZEN工程入力!$T$6:$T$35,$C48,⑪ZEN工程入力!$AF$6:$AF$35)+SUMIF(⑪ZEN工程入力!$U$6:$U$35,$C48,⑪ZEN工程入力!$AG$6:$AG$35)+SUMIF(⑪ZEN工程入力!$V$6:$V$35,$C48,⑪ZEN工程入力!$AH$6:$AH$35)+SUMIF(⑪ZEN工程入力!$W$6:$W$35,$C48,⑪ZEN工程入力!$AI$6:$AI$35)+SUMIF(⑫ミキサー工程入力!$R$6:$R$65,$C48,⑫ミキサー工程入力!$AD$6:$AD$65)+SUMIF(⑫ミキサー工程入力!$S$6:$S$65,$C48,⑫ミキサー工程入力!$AE$6:$AE$65)+SUMIF(⑫ミキサー工程入力!$T$6:$T$65,$C48,⑫ミキサー工程入力!$AF$6:$AF$65)+SUMIF(⑫ミキサー工程入力!$U$6:$U$65,$C48,⑫ミキサー工程入力!$AG$6:$AG$65)+SUMIF(⑫ミキサー工程入力!$V$6:$V$65,$C48,⑫ミキサー工程入力!$AH$6:$AH$65)+SUMIF(⑫ミキサー工程入力!$W$6:$W$65,$C48,⑫ミキサー工程入力!$AI$6:$AI$65)+SUMIF(⑬計量工程入力!$R$6:$R$65,$C48,⑬計量工程入力!$AD$6:$AD$65)+SUMIF(⑬計量工程入力!$S$6:$S$65,$C48,⑬計量工程入力!$AE$6:$AE$65)+SUMIF(⑬計量工程入力!$T$6:$T$65,$C48,⑬計量工程入力!$AF$6:$AF$65)+SUMIF(⑬計量工程入力!$U$6:$U$65,$C48,⑬計量工程入力!$AG$6:$AG$65)+SUMIF(⑬計量工程入力!$V$6:$V$65,$C48,⑬計量工程入力!$AH$6:$AH$65)+SUMIF(⑬計量工程入力!$W$6:$W$65,$C48,⑬計量工程入力!$AI$6:$AI$65)+SUMIF(⑭手動工程入力!$R$6:$R$47,$C48,⑭手動工程入力!$AD$6:$AD$47)+SUMIF(⑭手動工程入力!$S$6:$S$47,$C48,⑭手動工程入力!$AE$6:$AE$47)+SUMIF(⑭手動工程入力!$T$6:$T$47,$C48,⑭手動工程入力!$AF$6:$AF$47)+SUMIF(⑭手動工程入力!$U$6:$U$47,$C48,⑭手動工程入力!$AG$6:$AG$47)+SUMIF(⑭手動工程入力!$V$6:$V$47,$C48,⑭手動工程入力!$AH$6:$AH$47)+SUMIF(⑭手動工程入力!$W$6:$W$47,$C48,⑭手動工程入力!$AI$6:$AI$47)</f>
        <v/>
      </c>
      <c r="I48" s="393">
        <f>IF($F48&gt;0,$H48/$F48,"")</f>
        <v/>
      </c>
      <c r="J48" s="605">
        <f>IFERROR(INDEX(商品原価!$B$4:$B$112,MATCH(SUBSTITUTE(SUBSTITUTE(SUBSTITUTE(SUBSTITUTE(SUBSTITUTE(SUBSTITUTE(SUBSTITUTE(SUBSTITUTE(SUBSTITUTE(SUBSTITUTE(ASC($C48),"①","1"),"②","2"),"③","3"),"④","4"),"⑤","5"),"⑥","6"),"⑦","7"),"⑧","8"),"⑨","9")," ",""),商品原価!$C$4:$C$112,0)),"")</f>
        <v/>
      </c>
      <c r="K48" s="542">
        <f>IF(ISNUMBER($J48),$J48*④前提設定!$B$21,"")</f>
        <v/>
      </c>
      <c r="L48" s="605">
        <f>IF(AND(NOT(ISNUMBER($J48)),NOT(ISNUMBER($K48))),"",N($J48)+N($K48))</f>
        <v/>
      </c>
      <c r="M48" s="605">
        <f>IFERROR(INDEX(商品原価!$E$4:$E$112,MATCH(SUBSTITUTE(SUBSTITUTE(SUBSTITUTE(SUBSTITUTE(SUBSTITUTE(SUBSTITUTE(SUBSTITUTE(SUBSTITUTE(SUBSTITUTE(SUBSTITUTE(ASC($C48),"①","1"),"②","2"),"③","3"),"④","4"),"⑤","5"),"⑥","6"),"⑦","7"),"⑧","8"),"⑨","9")," ",""),商品原価!$C$4:$C$112,0)),"")</f>
        <v/>
      </c>
      <c r="N48" s="605">
        <f>IF(AND(ISNUMBER($M48),ISNUMBER($L48)),$M48-$L48-N($W48),"")</f>
        <v/>
      </c>
      <c r="O48" s="606">
        <f>IF(AND(ISNUMBER($N48),ISNUMBER($M48),$M48&gt;0),$N48/$M48,"")</f>
        <v/>
      </c>
      <c r="P48" s="398">
        <f>COUNTIF(②釜工程入力!$R$5:$R$117,$C48)+COUNTIF(②釜工程入力!$S$5:$S$117,$C48)+COUNTIF(②釜工程入力!$T$5:$T$117,$C48)+COUNTIF(②釜工程入力!$U$5:$U$117,$C48)+COUNTIF(②釜工程入力!$V$5:$V$117,$C48)+COUNTIF(②釜工程入力!$W$5:$W$117,$C48)+COUNTIF(③スチコン工程入力!$R$5:$R$152,$C48)+COUNTIF(③スチコン工程入力!$S$5:$S$152,$C48)+COUNTIF(③スチコン工程入力!$T$5:$T$152,$C48)+COUNTIF(③スチコン工程入力!$U$5:$U$152,$C48)+COUNTIF(③スチコン工程入力!$V$5:$V$152,$C48)+COUNTIF(③スチコン工程入力!$W$5:$W$152,$C48)+COUNTIF(⑩盛付梱包工程入力!$R$5:$R$300,$C48)+COUNTIF(⑩盛付梱包工程入力!$S$5:$S$300,$C48)+COUNTIF(⑩盛付梱包工程入力!$T$5:$T$300,$C48)+COUNTIF(⑩盛付梱包工程入力!$U$5:$U$300,$C48)+COUNTIF(⑩盛付梱包工程入力!$V$5:$V$300,$C48)+COUNTIF(⑩盛付梱包工程入力!$W$5:$W$300,$C48)+COUNTIF(⑪ZEN工程入力!$R$6:$R$35,$C48)+COUNTIF(⑪ZEN工程入力!$S$6:$S$35,$C48)+COUNTIF(⑪ZEN工程入力!$T$6:$T$35,$C48)+COUNTIF(⑪ZEN工程入力!$U$6:$U$35,$C48)+COUNTIF(⑪ZEN工程入力!$V$6:$V$35,$C48)+COUNTIF(⑪ZEN工程入力!$W$6:$W$35,$C48)+COUNTIF(⑫ミキサー工程入力!$R$6:$R$65,$C48)+COUNTIF(⑫ミキサー工程入力!$S$6:$S$65,$C48)+COUNTIF(⑫ミキサー工程入力!$T$6:$T$65,$C48)+COUNTIF(⑫ミキサー工程入力!$U$6:$U$65,$C48)+COUNTIF(⑫ミキサー工程入力!$V$6:$V$65,$C48)+COUNTIF(⑫ミキサー工程入力!$W$6:$W$65,$C48)+COUNTIF(⑬計量工程入力!$R$6:$R$65,$C48)+COUNTIF(⑬計量工程入力!$S$6:$S$65,$C48)+COUNTIF(⑬計量工程入力!$T$6:$T$65,$C48)+COUNTIF(⑬計量工程入力!$U$6:$U$65,$C48)+COUNTIF(⑬計量工程入力!$V$6:$V$65,$C48)+COUNTIF(⑬計量工程入力!$W$6:$W$65,$C48)+COUNTIF(⑭手動工程入力!$R$6:$R$47,$C48)+COUNTIF(⑭手動工程入力!$S$6:$S$47,$C48)+COUNTIF(⑭手動工程入力!$T$6:$T$47,$C48)+COUNTIF(⑭手動工程入力!$U$6:$U$47,$C48)+COUNTIF(⑭手動工程入力!$V$6:$V$47,$C48)+COUNTIF(⑭手動工程入力!$W$6:$W$47,$C48)</f>
        <v/>
      </c>
      <c r="Q48" s="392" t="n"/>
      <c r="R48" s="393" t="n"/>
      <c r="S48" s="393" t="n"/>
      <c r="T48" s="393" t="n"/>
      <c r="U48" s="393" t="n"/>
      <c r="V48" s="605">
        <f>IFERROR(INDEX(KIT別作業時間!$D$4:$D$27,MATCH(SUBSTITUTE(SUBSTITUTE(SUBSTITUTE(SUBSTITUTE(SUBSTITUTE(SUBSTITUTE(SUBSTITUTE(SUBSTITUTE(SUBSTITUTE(SUBSTITUTE(ASC($C48),"①","1"),"②","2"),"③","3"),"④","4"),"⑤","5"),"⑥","6"),"⑦","7"),"⑧","8"),"⑨","9")," ",""),KIT別作業時間!$C$4:$C$27,0)),"")</f>
        <v/>
      </c>
      <c r="W48" s="393">
        <f>IF(AND(ISNUMBER($I48),$I48&gt;0),$I48,IF(ISNUMBER($V48),$V48,IF(ISNUMBER($R48),$R48,"")))</f>
        <v/>
      </c>
      <c r="X48" s="393">
        <f>IF(AND(ISNUMBER($I48),$I48&gt;0),"今回の工程実績",IF(ISNUMBER($V48),"KIT作業時間",IF(ISNUMBER($R48),"前回資料","")))</f>
        <v/>
      </c>
      <c r="Y48" s="398" t="n">
        <v>11015</v>
      </c>
      <c r="Z48" s="398">
        <f>IF(AND(ISNUMBER($W48),ISNUMBER($Y48)),$W48*$Y48,"")</f>
        <v/>
      </c>
      <c r="AA48" s="393" t="n"/>
    </row>
    <row r="49">
      <c r="A49" s="392" t="n">
        <v>45</v>
      </c>
      <c r="B49" s="392" t="n"/>
      <c r="C49" s="392" t="inlineStr">
        <is>
          <t>チキン南蛮用（むね肉）</t>
        </is>
      </c>
      <c r="D49" s="398">
        <f>SUMIF(⑩盛付梱包工程入力!$R$5:$R$300,$C49,⑩盛付梱包工程入力!$AC$5:$AC$300)+SUMIF(⑩盛付梱包工程入力!$S$5:$S$300,$C49,⑩盛付梱包工程入力!$AC$5:$AC$300)+SUMIF(⑩盛付梱包工程入力!$T$5:$T$300,$C49,⑩盛付梱包工程入力!$AC$5:$AC$300)+SUMIF(⑩盛付梱包工程入力!$U$5:$U$300,$C49,⑩盛付梱包工程入力!$AC$5:$AC$300)+SUMIF(⑩盛付梱包工程入力!$V$5:$V$300,$C49,⑩盛付梱包工程入力!$AC$5:$AC$300)+SUMIF(⑩盛付梱包工程入力!$W$5:$W$300,$C49,⑩盛付梱包工程入力!$AC$5:$AC$300)</f>
        <v/>
      </c>
      <c r="E49" s="398" t="n">
        <v>24</v>
      </c>
      <c r="F49" s="398">
        <f>IF(N($E49)&gt;0,$E49,$D49)</f>
        <v/>
      </c>
      <c r="G49" s="393" t="n">
        <v>240.416569428238</v>
      </c>
      <c r="H49" s="393">
        <f>SUMIF(②釜工程入力!$R$5:$R$117,$C49,②釜工程入力!$AD$5:$AD$117)+SUMIF(②釜工程入力!$S$5:$S$117,$C49,②釜工程入力!$AE$5:$AE$117)+SUMIF(②釜工程入力!$T$5:$T$117,$C49,②釜工程入力!$AF$5:$AF$117)+SUMIF(②釜工程入力!$U$5:$U$117,$C49,②釜工程入力!$AG$5:$AG$117)+SUMIF(②釜工程入力!$V$5:$V$117,$C49,②釜工程入力!$AH$5:$AH$117)+SUMIF(②釜工程入力!$W$5:$W$117,$C49,②釜工程入力!$AI$5:$AI$117)+SUMIF(③スチコン工程入力!$R$5:$R$152,$C49,③スチコン工程入力!$AD$5:$AD$152)+SUMIF(③スチコン工程入力!$S$5:$S$152,$C49,③スチコン工程入力!$AE$5:$AE$152)+SUMIF(③スチコン工程入力!$T$5:$T$152,$C49,③スチコン工程入力!$AF$5:$AF$152)+SUMIF(③スチコン工程入力!$U$5:$U$152,$C49,③スチコン工程入力!$AG$5:$AG$152)+SUMIF(③スチコン工程入力!$V$5:$V$152,$C49,③スチコン工程入力!$AH$5:$AH$152)+SUMIF(③スチコン工程入力!$W$5:$W$152,$C49,③スチコン工程入力!$AI$5:$AI$152)+SUMIF(⑩盛付梱包工程入力!$R$5:$R$300,$C49,⑩盛付梱包工程入力!$AD$5:$AD$300)+SUMIF(⑩盛付梱包工程入力!$S$5:$S$300,$C49,⑩盛付梱包工程入力!$AE$5:$AE$300)+SUMIF(⑩盛付梱包工程入力!$T$5:$T$300,$C49,⑩盛付梱包工程入力!$AF$5:$AF$300)+SUMIF(⑩盛付梱包工程入力!$U$5:$U$300,$C49,⑩盛付梱包工程入力!$AG$5:$AG$300)+SUMIF(⑩盛付梱包工程入力!$V$5:$V$300,$C49,⑩盛付梱包工程入力!$AH$5:$AH$300)+SUMIF(⑩盛付梱包工程入力!$W$5:$W$300,$C49,⑩盛付梱包工程入力!$AI$5:$AI$300)+SUMIF(⑪ZEN工程入力!$R$6:$R$35,$C49,⑪ZEN工程入力!$AD$6:$AD$35)+SUMIF(⑪ZEN工程入力!$S$6:$S$35,$C49,⑪ZEN工程入力!$AE$6:$AE$35)+SUMIF(⑪ZEN工程入力!$T$6:$T$35,$C49,⑪ZEN工程入力!$AF$6:$AF$35)+SUMIF(⑪ZEN工程入力!$U$6:$U$35,$C49,⑪ZEN工程入力!$AG$6:$AG$35)+SUMIF(⑪ZEN工程入力!$V$6:$V$35,$C49,⑪ZEN工程入力!$AH$6:$AH$35)+SUMIF(⑪ZEN工程入力!$W$6:$W$35,$C49,⑪ZEN工程入力!$AI$6:$AI$35)+SUMIF(⑫ミキサー工程入力!$R$6:$R$65,$C49,⑫ミキサー工程入力!$AD$6:$AD$65)+SUMIF(⑫ミキサー工程入力!$S$6:$S$65,$C49,⑫ミキサー工程入力!$AE$6:$AE$65)+SUMIF(⑫ミキサー工程入力!$T$6:$T$65,$C49,⑫ミキサー工程入力!$AF$6:$AF$65)+SUMIF(⑫ミキサー工程入力!$U$6:$U$65,$C49,⑫ミキサー工程入力!$AG$6:$AG$65)+SUMIF(⑫ミキサー工程入力!$V$6:$V$65,$C49,⑫ミキサー工程入力!$AH$6:$AH$65)+SUMIF(⑫ミキサー工程入力!$W$6:$W$65,$C49,⑫ミキサー工程入力!$AI$6:$AI$65)+SUMIF(⑬計量工程入力!$R$6:$R$65,$C49,⑬計量工程入力!$AD$6:$AD$65)+SUMIF(⑬計量工程入力!$S$6:$S$65,$C49,⑬計量工程入力!$AE$6:$AE$65)+SUMIF(⑬計量工程入力!$T$6:$T$65,$C49,⑬計量工程入力!$AF$6:$AF$65)+SUMIF(⑬計量工程入力!$U$6:$U$65,$C49,⑬計量工程入力!$AG$6:$AG$65)+SUMIF(⑬計量工程入力!$V$6:$V$65,$C49,⑬計量工程入力!$AH$6:$AH$65)+SUMIF(⑬計量工程入力!$W$6:$W$65,$C49,⑬計量工程入力!$AI$6:$AI$65)+SUMIF(⑭手動工程入力!$R$6:$R$47,$C49,⑭手動工程入力!$AD$6:$AD$47)+SUMIF(⑭手動工程入力!$S$6:$S$47,$C49,⑭手動工程入力!$AE$6:$AE$47)+SUMIF(⑭手動工程入力!$T$6:$T$47,$C49,⑭手動工程入力!$AF$6:$AF$47)+SUMIF(⑭手動工程入力!$U$6:$U$47,$C49,⑭手動工程入力!$AG$6:$AG$47)+SUMIF(⑭手動工程入力!$V$6:$V$47,$C49,⑭手動工程入力!$AH$6:$AH$47)+SUMIF(⑭手動工程入力!$W$6:$W$47,$C49,⑭手動工程入力!$AI$6:$AI$47)</f>
        <v/>
      </c>
      <c r="I49" s="393">
        <f>IF($F49&gt;0,$H49/$F49,"")</f>
        <v/>
      </c>
      <c r="J49" s="605">
        <f>IFERROR(INDEX(商品原価!$B$4:$B$112,MATCH(SUBSTITUTE(SUBSTITUTE(SUBSTITUTE(SUBSTITUTE(SUBSTITUTE(SUBSTITUTE(SUBSTITUTE(SUBSTITUTE(SUBSTITUTE(SUBSTITUTE(ASC($C49),"①","1"),"②","2"),"③","3"),"④","4"),"⑤","5"),"⑥","6"),"⑦","7"),"⑧","8"),"⑨","9")," ",""),商品原価!$C$4:$C$112,0)),"")</f>
        <v/>
      </c>
      <c r="K49" s="542">
        <f>IF(ISNUMBER($J49),$J49*④前提設定!$B$21,"")</f>
        <v/>
      </c>
      <c r="L49" s="605">
        <f>IF(AND(NOT(ISNUMBER($J49)),NOT(ISNUMBER($K49))),"",N($J49)+N($K49))</f>
        <v/>
      </c>
      <c r="M49" s="605">
        <f>IFERROR(INDEX(商品原価!$E$4:$E$112,MATCH(SUBSTITUTE(SUBSTITUTE(SUBSTITUTE(SUBSTITUTE(SUBSTITUTE(SUBSTITUTE(SUBSTITUTE(SUBSTITUTE(SUBSTITUTE(SUBSTITUTE(ASC($C49),"①","1"),"②","2"),"③","3"),"④","4"),"⑤","5"),"⑥","6"),"⑦","7"),"⑧","8"),"⑨","9")," ",""),商品原価!$C$4:$C$112,0)),"")</f>
        <v/>
      </c>
      <c r="N49" s="605">
        <f>IF(AND(ISNUMBER($M49),ISNUMBER($L49)),$M49-$L49-N($W49),"")</f>
        <v/>
      </c>
      <c r="O49" s="606">
        <f>IF(AND(ISNUMBER($N49),ISNUMBER($M49),$M49&gt;0),$N49/$M49,"")</f>
        <v/>
      </c>
      <c r="P49" s="398">
        <f>COUNTIF(②釜工程入力!$R$5:$R$117,$C49)+COUNTIF(②釜工程入力!$S$5:$S$117,$C49)+COUNTIF(②釜工程入力!$T$5:$T$117,$C49)+COUNTIF(②釜工程入力!$U$5:$U$117,$C49)+COUNTIF(②釜工程入力!$V$5:$V$117,$C49)+COUNTIF(②釜工程入力!$W$5:$W$117,$C49)+COUNTIF(③スチコン工程入力!$R$5:$R$152,$C49)+COUNTIF(③スチコン工程入力!$S$5:$S$152,$C49)+COUNTIF(③スチコン工程入力!$T$5:$T$152,$C49)+COUNTIF(③スチコン工程入力!$U$5:$U$152,$C49)+COUNTIF(③スチコン工程入力!$V$5:$V$152,$C49)+COUNTIF(③スチコン工程入力!$W$5:$W$152,$C49)+COUNTIF(⑩盛付梱包工程入力!$R$5:$R$300,$C49)+COUNTIF(⑩盛付梱包工程入力!$S$5:$S$300,$C49)+COUNTIF(⑩盛付梱包工程入力!$T$5:$T$300,$C49)+COUNTIF(⑩盛付梱包工程入力!$U$5:$U$300,$C49)+COUNTIF(⑩盛付梱包工程入力!$V$5:$V$300,$C49)+COUNTIF(⑩盛付梱包工程入力!$W$5:$W$300,$C49)+COUNTIF(⑪ZEN工程入力!$R$6:$R$35,$C49)+COUNTIF(⑪ZEN工程入力!$S$6:$S$35,$C49)+COUNTIF(⑪ZEN工程入力!$T$6:$T$35,$C49)+COUNTIF(⑪ZEN工程入力!$U$6:$U$35,$C49)+COUNTIF(⑪ZEN工程入力!$V$6:$V$35,$C49)+COUNTIF(⑪ZEN工程入力!$W$6:$W$35,$C49)+COUNTIF(⑫ミキサー工程入力!$R$6:$R$65,$C49)+COUNTIF(⑫ミキサー工程入力!$S$6:$S$65,$C49)+COUNTIF(⑫ミキサー工程入力!$T$6:$T$65,$C49)+COUNTIF(⑫ミキサー工程入力!$U$6:$U$65,$C49)+COUNTIF(⑫ミキサー工程入力!$V$6:$V$65,$C49)+COUNTIF(⑫ミキサー工程入力!$W$6:$W$65,$C49)+COUNTIF(⑬計量工程入力!$R$6:$R$65,$C49)+COUNTIF(⑬計量工程入力!$S$6:$S$65,$C49)+COUNTIF(⑬計量工程入力!$T$6:$T$65,$C49)+COUNTIF(⑬計量工程入力!$U$6:$U$65,$C49)+COUNTIF(⑬計量工程入力!$V$6:$V$65,$C49)+COUNTIF(⑬計量工程入力!$W$6:$W$65,$C49)+COUNTIF(⑭手動工程入力!$R$6:$R$47,$C49)+COUNTIF(⑭手動工程入力!$S$6:$S$47,$C49)+COUNTIF(⑭手動工程入力!$T$6:$T$47,$C49)+COUNTIF(⑭手動工程入力!$U$6:$U$47,$C49)+COUNTIF(⑭手動工程入力!$V$6:$V$47,$C49)+COUNTIF(⑭手動工程入力!$W$6:$W$47,$C49)</f>
        <v/>
      </c>
      <c r="Q49" s="392" t="inlineStr">
        <is>
          <t>⑩盛付梱包 61行目に入力欄を作成（工程記録なし）</t>
        </is>
      </c>
      <c r="R49" s="393" t="n"/>
      <c r="S49" s="393" t="n"/>
      <c r="T49" s="393" t="n"/>
      <c r="U49" s="393" t="n"/>
      <c r="V49" s="605">
        <f>IFERROR(INDEX(KIT別作業時間!$D$4:$D$27,MATCH(SUBSTITUTE(SUBSTITUTE(SUBSTITUTE(SUBSTITUTE(SUBSTITUTE(SUBSTITUTE(SUBSTITUTE(SUBSTITUTE(SUBSTITUTE(SUBSTITUTE(ASC($C49),"①","1"),"②","2"),"③","3"),"④","4"),"⑤","5"),"⑥","6"),"⑦","7"),"⑧","8"),"⑨","9")," ",""),KIT別作業時間!$C$4:$C$27,0)),"")</f>
        <v/>
      </c>
      <c r="W49" s="393">
        <f>IF(AND(ISNUMBER($I49),$I49&gt;0),$I49,IF(ISNUMBER($V49),$V49,IF(ISNUMBER($R49),$R49,"")))</f>
        <v/>
      </c>
      <c r="X49" s="393">
        <f>IF(AND(ISNUMBER($I49),$I49&gt;0),"今回の工程実績",IF(ISNUMBER($V49),"KIT作業時間",IF(ISNUMBER($R49),"前回資料","")))</f>
        <v/>
      </c>
      <c r="Y49" s="398" t="n">
        <v>1036</v>
      </c>
      <c r="Z49" s="398">
        <f>IF(AND(ISNUMBER($W49),ISNUMBER($Y49)),$W49*$Y49,"")</f>
        <v/>
      </c>
      <c r="AA49" s="393" t="n"/>
    </row>
    <row r="50">
      <c r="A50" s="392" t="n">
        <v>46</v>
      </c>
      <c r="B50" s="392" t="n"/>
      <c r="C50" s="392" t="inlineStr">
        <is>
          <t>蜜いもスイートポテト（小）</t>
        </is>
      </c>
      <c r="D50" s="398">
        <f>SUMIF(⑩盛付梱包工程入力!$R$5:$R$300,$C50,⑩盛付梱包工程入力!$AC$5:$AC$300)+SUMIF(⑩盛付梱包工程入力!$S$5:$S$300,$C50,⑩盛付梱包工程入力!$AC$5:$AC$300)+SUMIF(⑩盛付梱包工程入力!$T$5:$T$300,$C50,⑩盛付梱包工程入力!$AC$5:$AC$300)+SUMIF(⑩盛付梱包工程入力!$U$5:$U$300,$C50,⑩盛付梱包工程入力!$AC$5:$AC$300)+SUMIF(⑩盛付梱包工程入力!$V$5:$V$300,$C50,⑩盛付梱包工程入力!$AC$5:$AC$300)+SUMIF(⑩盛付梱包工程入力!$W$5:$W$300,$C50,⑩盛付梱包工程入力!$AC$5:$AC$300)</f>
        <v/>
      </c>
      <c r="E50" s="398" t="n">
        <v>284</v>
      </c>
      <c r="F50" s="398">
        <f>IF(N($E50)&gt;0,$E50,$D50)</f>
        <v/>
      </c>
      <c r="G50" s="393" t="n">
        <v>49.69507864028412</v>
      </c>
      <c r="H50" s="393">
        <f>SUMIF(②釜工程入力!$R$5:$R$117,$C50,②釜工程入力!$AD$5:$AD$117)+SUMIF(②釜工程入力!$S$5:$S$117,$C50,②釜工程入力!$AE$5:$AE$117)+SUMIF(②釜工程入力!$T$5:$T$117,$C50,②釜工程入力!$AF$5:$AF$117)+SUMIF(②釜工程入力!$U$5:$U$117,$C50,②釜工程入力!$AG$5:$AG$117)+SUMIF(②釜工程入力!$V$5:$V$117,$C50,②釜工程入力!$AH$5:$AH$117)+SUMIF(②釜工程入力!$W$5:$W$117,$C50,②釜工程入力!$AI$5:$AI$117)+SUMIF(③スチコン工程入力!$R$5:$R$152,$C50,③スチコン工程入力!$AD$5:$AD$152)+SUMIF(③スチコン工程入力!$S$5:$S$152,$C50,③スチコン工程入力!$AE$5:$AE$152)+SUMIF(③スチコン工程入力!$T$5:$T$152,$C50,③スチコン工程入力!$AF$5:$AF$152)+SUMIF(③スチコン工程入力!$U$5:$U$152,$C50,③スチコン工程入力!$AG$5:$AG$152)+SUMIF(③スチコン工程入力!$V$5:$V$152,$C50,③スチコン工程入力!$AH$5:$AH$152)+SUMIF(③スチコン工程入力!$W$5:$W$152,$C50,③スチコン工程入力!$AI$5:$AI$152)+SUMIF(⑩盛付梱包工程入力!$R$5:$R$300,$C50,⑩盛付梱包工程入力!$AD$5:$AD$300)+SUMIF(⑩盛付梱包工程入力!$S$5:$S$300,$C50,⑩盛付梱包工程入力!$AE$5:$AE$300)+SUMIF(⑩盛付梱包工程入力!$T$5:$T$300,$C50,⑩盛付梱包工程入力!$AF$5:$AF$300)+SUMIF(⑩盛付梱包工程入力!$U$5:$U$300,$C50,⑩盛付梱包工程入力!$AG$5:$AG$300)+SUMIF(⑩盛付梱包工程入力!$V$5:$V$300,$C50,⑩盛付梱包工程入力!$AH$5:$AH$300)+SUMIF(⑩盛付梱包工程入力!$W$5:$W$300,$C50,⑩盛付梱包工程入力!$AI$5:$AI$300)+SUMIF(⑪ZEN工程入力!$R$6:$R$35,$C50,⑪ZEN工程入力!$AD$6:$AD$35)+SUMIF(⑪ZEN工程入力!$S$6:$S$35,$C50,⑪ZEN工程入力!$AE$6:$AE$35)+SUMIF(⑪ZEN工程入力!$T$6:$T$35,$C50,⑪ZEN工程入力!$AF$6:$AF$35)+SUMIF(⑪ZEN工程入力!$U$6:$U$35,$C50,⑪ZEN工程入力!$AG$6:$AG$35)+SUMIF(⑪ZEN工程入力!$V$6:$V$35,$C50,⑪ZEN工程入力!$AH$6:$AH$35)+SUMIF(⑪ZEN工程入力!$W$6:$W$35,$C50,⑪ZEN工程入力!$AI$6:$AI$35)+SUMIF(⑫ミキサー工程入力!$R$6:$R$65,$C50,⑫ミキサー工程入力!$AD$6:$AD$65)+SUMIF(⑫ミキサー工程入力!$S$6:$S$65,$C50,⑫ミキサー工程入力!$AE$6:$AE$65)+SUMIF(⑫ミキサー工程入力!$T$6:$T$65,$C50,⑫ミキサー工程入力!$AF$6:$AF$65)+SUMIF(⑫ミキサー工程入力!$U$6:$U$65,$C50,⑫ミキサー工程入力!$AG$6:$AG$65)+SUMIF(⑫ミキサー工程入力!$V$6:$V$65,$C50,⑫ミキサー工程入力!$AH$6:$AH$65)+SUMIF(⑫ミキサー工程入力!$W$6:$W$65,$C50,⑫ミキサー工程入力!$AI$6:$AI$65)+SUMIF(⑬計量工程入力!$R$6:$R$65,$C50,⑬計量工程入力!$AD$6:$AD$65)+SUMIF(⑬計量工程入力!$S$6:$S$65,$C50,⑬計量工程入力!$AE$6:$AE$65)+SUMIF(⑬計量工程入力!$T$6:$T$65,$C50,⑬計量工程入力!$AF$6:$AF$65)+SUMIF(⑬計量工程入力!$U$6:$U$65,$C50,⑬計量工程入力!$AG$6:$AG$65)+SUMIF(⑬計量工程入力!$V$6:$V$65,$C50,⑬計量工程入力!$AH$6:$AH$65)+SUMIF(⑬計量工程入力!$W$6:$W$65,$C50,⑬計量工程入力!$AI$6:$AI$65)+SUMIF(⑭手動工程入力!$R$6:$R$47,$C50,⑭手動工程入力!$AD$6:$AD$47)+SUMIF(⑭手動工程入力!$S$6:$S$47,$C50,⑭手動工程入力!$AE$6:$AE$47)+SUMIF(⑭手動工程入力!$T$6:$T$47,$C50,⑭手動工程入力!$AF$6:$AF$47)+SUMIF(⑭手動工程入力!$U$6:$U$47,$C50,⑭手動工程入力!$AG$6:$AG$47)+SUMIF(⑭手動工程入力!$V$6:$V$47,$C50,⑭手動工程入力!$AH$6:$AH$47)+SUMIF(⑭手動工程入力!$W$6:$W$47,$C50,⑭手動工程入力!$AI$6:$AI$47)</f>
        <v/>
      </c>
      <c r="I50" s="393">
        <f>IF($F50&gt;0,$H50/$F50,"")</f>
        <v/>
      </c>
      <c r="J50" s="605">
        <f>IFERROR(INDEX(商品原価!$B$4:$B$112,MATCH(SUBSTITUTE(SUBSTITUTE(SUBSTITUTE(SUBSTITUTE(SUBSTITUTE(SUBSTITUTE(SUBSTITUTE(SUBSTITUTE(SUBSTITUTE(SUBSTITUTE(ASC($C50),"①","1"),"②","2"),"③","3"),"④","4"),"⑤","5"),"⑥","6"),"⑦","7"),"⑧","8"),"⑨","9")," ",""),商品原価!$C$4:$C$112,0)),"")</f>
        <v/>
      </c>
      <c r="K50" s="542">
        <f>IF(ISNUMBER($J50),$J50*④前提設定!$B$21,"")</f>
        <v/>
      </c>
      <c r="L50" s="605">
        <f>IF(AND(NOT(ISNUMBER($J50)),NOT(ISNUMBER($K50))),"",N($J50)+N($K50))</f>
        <v/>
      </c>
      <c r="M50" s="605">
        <f>IFERROR(INDEX(商品原価!$E$4:$E$112,MATCH(SUBSTITUTE(SUBSTITUTE(SUBSTITUTE(SUBSTITUTE(SUBSTITUTE(SUBSTITUTE(SUBSTITUTE(SUBSTITUTE(SUBSTITUTE(SUBSTITUTE(ASC($C50),"①","1"),"②","2"),"③","3"),"④","4"),"⑤","5"),"⑥","6"),"⑦","7"),"⑧","8"),"⑨","9")," ",""),商品原価!$C$4:$C$112,0)),"")</f>
        <v/>
      </c>
      <c r="N50" s="605">
        <f>IF(AND(ISNUMBER($M50),ISNUMBER($L50)),$M50-$L50-N($W50),"")</f>
        <v/>
      </c>
      <c r="O50" s="606">
        <f>IF(AND(ISNUMBER($N50),ISNUMBER($M50),$M50&gt;0),$N50/$M50,"")</f>
        <v/>
      </c>
      <c r="P50" s="398">
        <f>COUNTIF(②釜工程入力!$R$5:$R$117,$C50)+COUNTIF(②釜工程入力!$S$5:$S$117,$C50)+COUNTIF(②釜工程入力!$T$5:$T$117,$C50)+COUNTIF(②釜工程入力!$U$5:$U$117,$C50)+COUNTIF(②釜工程入力!$V$5:$V$117,$C50)+COUNTIF(②釜工程入力!$W$5:$W$117,$C50)+COUNTIF(③スチコン工程入力!$R$5:$R$152,$C50)+COUNTIF(③スチコン工程入力!$S$5:$S$152,$C50)+COUNTIF(③スチコン工程入力!$T$5:$T$152,$C50)+COUNTIF(③スチコン工程入力!$U$5:$U$152,$C50)+COUNTIF(③スチコン工程入力!$V$5:$V$152,$C50)+COUNTIF(③スチコン工程入力!$W$5:$W$152,$C50)+COUNTIF(⑩盛付梱包工程入力!$R$5:$R$300,$C50)+COUNTIF(⑩盛付梱包工程入力!$S$5:$S$300,$C50)+COUNTIF(⑩盛付梱包工程入力!$T$5:$T$300,$C50)+COUNTIF(⑩盛付梱包工程入力!$U$5:$U$300,$C50)+COUNTIF(⑩盛付梱包工程入力!$V$5:$V$300,$C50)+COUNTIF(⑩盛付梱包工程入力!$W$5:$W$300,$C50)+COUNTIF(⑪ZEN工程入力!$R$6:$R$35,$C50)+COUNTIF(⑪ZEN工程入力!$S$6:$S$35,$C50)+COUNTIF(⑪ZEN工程入力!$T$6:$T$35,$C50)+COUNTIF(⑪ZEN工程入力!$U$6:$U$35,$C50)+COUNTIF(⑪ZEN工程入力!$V$6:$V$35,$C50)+COUNTIF(⑪ZEN工程入力!$W$6:$W$35,$C50)+COUNTIF(⑫ミキサー工程入力!$R$6:$R$65,$C50)+COUNTIF(⑫ミキサー工程入力!$S$6:$S$65,$C50)+COUNTIF(⑫ミキサー工程入力!$T$6:$T$65,$C50)+COUNTIF(⑫ミキサー工程入力!$U$6:$U$65,$C50)+COUNTIF(⑫ミキサー工程入力!$V$6:$V$65,$C50)+COUNTIF(⑫ミキサー工程入力!$W$6:$W$65,$C50)+COUNTIF(⑬計量工程入力!$R$6:$R$65,$C50)+COUNTIF(⑬計量工程入力!$S$6:$S$65,$C50)+COUNTIF(⑬計量工程入力!$T$6:$T$65,$C50)+COUNTIF(⑬計量工程入力!$U$6:$U$65,$C50)+COUNTIF(⑬計量工程入力!$V$6:$V$65,$C50)+COUNTIF(⑬計量工程入力!$W$6:$W$65,$C50)+COUNTIF(⑭手動工程入力!$R$6:$R$47,$C50)+COUNTIF(⑭手動工程入力!$S$6:$S$47,$C50)+COUNTIF(⑭手動工程入力!$T$6:$T$47,$C50)+COUNTIF(⑭手動工程入力!$U$6:$U$47,$C50)+COUNTIF(⑭手動工程入力!$V$6:$V$47,$C50)+COUNTIF(⑭手動工程入力!$W$6:$W$47,$C50)</f>
        <v/>
      </c>
      <c r="Q50" s="392" t="n"/>
      <c r="R50" s="393" t="n"/>
      <c r="S50" s="393" t="n"/>
      <c r="T50" s="393" t="n"/>
      <c r="U50" s="393" t="n"/>
      <c r="V50" s="605">
        <f>IFERROR(INDEX(KIT別作業時間!$D$4:$D$27,MATCH(SUBSTITUTE(SUBSTITUTE(SUBSTITUTE(SUBSTITUTE(SUBSTITUTE(SUBSTITUTE(SUBSTITUTE(SUBSTITUTE(SUBSTITUTE(SUBSTITUTE(ASC($C50),"①","1"),"②","2"),"③","3"),"④","4"),"⑤","5"),"⑥","6"),"⑦","7"),"⑧","8"),"⑨","9")," ",""),KIT別作業時間!$C$4:$C$27,0)),"")</f>
        <v/>
      </c>
      <c r="W50" s="393">
        <f>IF(AND(ISNUMBER($I50),$I50&gt;0),$I50,IF(ISNUMBER($V50),$V50,IF(ISNUMBER($R50),$R50,"")))</f>
        <v/>
      </c>
      <c r="X50" s="393">
        <f>IF(AND(ISNUMBER($I50),$I50&gt;0),"今回の工程実績",IF(ISNUMBER($V50),"KIT作業時間",IF(ISNUMBER($R50),"前回資料","")))</f>
        <v/>
      </c>
      <c r="Y50" s="398" t="n">
        <v>7067</v>
      </c>
      <c r="Z50" s="398">
        <f>IF(AND(ISNUMBER($W50),ISNUMBER($Y50)),$W50*$Y50,"")</f>
        <v/>
      </c>
      <c r="AA50" s="393" t="inlineStr">
        <is>
          <t>蜜いもスイートポテト（小）</t>
        </is>
      </c>
    </row>
    <row r="51">
      <c r="A51" s="392" t="n">
        <v>47</v>
      </c>
      <c r="B51" s="392" t="n"/>
      <c r="C51" s="392" t="inlineStr">
        <is>
          <t>照り焼きチキンピザＫＩＴ４</t>
        </is>
      </c>
      <c r="D51" s="398">
        <f>SUMIF(⑩盛付梱包工程入力!$R$5:$R$300,$C51,⑩盛付梱包工程入力!$AC$5:$AC$300)+SUMIF(⑩盛付梱包工程入力!$S$5:$S$300,$C51,⑩盛付梱包工程入力!$AC$5:$AC$300)+SUMIF(⑩盛付梱包工程入力!$T$5:$T$300,$C51,⑩盛付梱包工程入力!$AC$5:$AC$300)+SUMIF(⑩盛付梱包工程入力!$U$5:$U$300,$C51,⑩盛付梱包工程入力!$AC$5:$AC$300)+SUMIF(⑩盛付梱包工程入力!$V$5:$V$300,$C51,⑩盛付梱包工程入力!$AC$5:$AC$300)+SUMIF(⑩盛付梱包工程入力!$W$5:$W$300,$C51,⑩盛付梱包工程入力!$AC$5:$AC$300)</f>
        <v/>
      </c>
      <c r="E51" s="398" t="n">
        <v>79</v>
      </c>
      <c r="F51" s="398">
        <f>IF(N($E51)&gt;0,$E51,$D51)</f>
        <v/>
      </c>
      <c r="G51" s="393" t="n">
        <v>72.52616952292728</v>
      </c>
      <c r="H51" s="393">
        <f>SUMIF(②釜工程入力!$R$5:$R$117,$C51,②釜工程入力!$AD$5:$AD$117)+SUMIF(②釜工程入力!$S$5:$S$117,$C51,②釜工程入力!$AE$5:$AE$117)+SUMIF(②釜工程入力!$T$5:$T$117,$C51,②釜工程入力!$AF$5:$AF$117)+SUMIF(②釜工程入力!$U$5:$U$117,$C51,②釜工程入力!$AG$5:$AG$117)+SUMIF(②釜工程入力!$V$5:$V$117,$C51,②釜工程入力!$AH$5:$AH$117)+SUMIF(②釜工程入力!$W$5:$W$117,$C51,②釜工程入力!$AI$5:$AI$117)+SUMIF(③スチコン工程入力!$R$5:$R$152,$C51,③スチコン工程入力!$AD$5:$AD$152)+SUMIF(③スチコン工程入力!$S$5:$S$152,$C51,③スチコン工程入力!$AE$5:$AE$152)+SUMIF(③スチコン工程入力!$T$5:$T$152,$C51,③スチコン工程入力!$AF$5:$AF$152)+SUMIF(③スチコン工程入力!$U$5:$U$152,$C51,③スチコン工程入力!$AG$5:$AG$152)+SUMIF(③スチコン工程入力!$V$5:$V$152,$C51,③スチコン工程入力!$AH$5:$AH$152)+SUMIF(③スチコン工程入力!$W$5:$W$152,$C51,③スチコン工程入力!$AI$5:$AI$152)+SUMIF(⑩盛付梱包工程入力!$R$5:$R$300,$C51,⑩盛付梱包工程入力!$AD$5:$AD$300)+SUMIF(⑩盛付梱包工程入力!$S$5:$S$300,$C51,⑩盛付梱包工程入力!$AE$5:$AE$300)+SUMIF(⑩盛付梱包工程入力!$T$5:$T$300,$C51,⑩盛付梱包工程入力!$AF$5:$AF$300)+SUMIF(⑩盛付梱包工程入力!$U$5:$U$300,$C51,⑩盛付梱包工程入力!$AG$5:$AG$300)+SUMIF(⑩盛付梱包工程入力!$V$5:$V$300,$C51,⑩盛付梱包工程入力!$AH$5:$AH$300)+SUMIF(⑩盛付梱包工程入力!$W$5:$W$300,$C51,⑩盛付梱包工程入力!$AI$5:$AI$300)+SUMIF(⑪ZEN工程入力!$R$6:$R$35,$C51,⑪ZEN工程入力!$AD$6:$AD$35)+SUMIF(⑪ZEN工程入力!$S$6:$S$35,$C51,⑪ZEN工程入力!$AE$6:$AE$35)+SUMIF(⑪ZEN工程入力!$T$6:$T$35,$C51,⑪ZEN工程入力!$AF$6:$AF$35)+SUMIF(⑪ZEN工程入力!$U$6:$U$35,$C51,⑪ZEN工程入力!$AG$6:$AG$35)+SUMIF(⑪ZEN工程入力!$V$6:$V$35,$C51,⑪ZEN工程入力!$AH$6:$AH$35)+SUMIF(⑪ZEN工程入力!$W$6:$W$35,$C51,⑪ZEN工程入力!$AI$6:$AI$35)+SUMIF(⑫ミキサー工程入力!$R$6:$R$65,$C51,⑫ミキサー工程入力!$AD$6:$AD$65)+SUMIF(⑫ミキサー工程入力!$S$6:$S$65,$C51,⑫ミキサー工程入力!$AE$6:$AE$65)+SUMIF(⑫ミキサー工程入力!$T$6:$T$65,$C51,⑫ミキサー工程入力!$AF$6:$AF$65)+SUMIF(⑫ミキサー工程入力!$U$6:$U$65,$C51,⑫ミキサー工程入力!$AG$6:$AG$65)+SUMIF(⑫ミキサー工程入力!$V$6:$V$65,$C51,⑫ミキサー工程入力!$AH$6:$AH$65)+SUMIF(⑫ミキサー工程入力!$W$6:$W$65,$C51,⑫ミキサー工程入力!$AI$6:$AI$65)+SUMIF(⑬計量工程入力!$R$6:$R$65,$C51,⑬計量工程入力!$AD$6:$AD$65)+SUMIF(⑬計量工程入力!$S$6:$S$65,$C51,⑬計量工程入力!$AE$6:$AE$65)+SUMIF(⑬計量工程入力!$T$6:$T$65,$C51,⑬計量工程入力!$AF$6:$AF$65)+SUMIF(⑬計量工程入力!$U$6:$U$65,$C51,⑬計量工程入力!$AG$6:$AG$65)+SUMIF(⑬計量工程入力!$V$6:$V$65,$C51,⑬計量工程入力!$AH$6:$AH$65)+SUMIF(⑬計量工程入力!$W$6:$W$65,$C51,⑬計量工程入力!$AI$6:$AI$65)+SUMIF(⑭手動工程入力!$R$6:$R$47,$C51,⑭手動工程入力!$AD$6:$AD$47)+SUMIF(⑭手動工程入力!$S$6:$S$47,$C51,⑭手動工程入力!$AE$6:$AE$47)+SUMIF(⑭手動工程入力!$T$6:$T$47,$C51,⑭手動工程入力!$AF$6:$AF$47)+SUMIF(⑭手動工程入力!$U$6:$U$47,$C51,⑭手動工程入力!$AG$6:$AG$47)+SUMIF(⑭手動工程入力!$V$6:$V$47,$C51,⑭手動工程入力!$AH$6:$AH$47)+SUMIF(⑭手動工程入力!$W$6:$W$47,$C51,⑭手動工程入力!$AI$6:$AI$47)</f>
        <v/>
      </c>
      <c r="I51" s="393">
        <f>IF($F51&gt;0,$H51/$F51,"")</f>
        <v/>
      </c>
      <c r="J51" s="605">
        <f>IFERROR(INDEX(商品原価!$B$4:$B$112,MATCH(SUBSTITUTE(SUBSTITUTE(SUBSTITUTE(SUBSTITUTE(SUBSTITUTE(SUBSTITUTE(SUBSTITUTE(SUBSTITUTE(SUBSTITUTE(SUBSTITUTE(ASC($C51),"①","1"),"②","2"),"③","3"),"④","4"),"⑤","5"),"⑥","6"),"⑦","7"),"⑧","8"),"⑨","9")," ",""),商品原価!$C$4:$C$112,0)),"")</f>
        <v/>
      </c>
      <c r="K51" s="542">
        <f>IF(ISNUMBER($J51),$J51*④前提設定!$B$21,"")</f>
        <v/>
      </c>
      <c r="L51" s="605">
        <f>IF(AND(NOT(ISNUMBER($J51)),NOT(ISNUMBER($K51))),"",N($J51)+N($K51))</f>
        <v/>
      </c>
      <c r="M51" s="605">
        <f>IFERROR(INDEX(商品原価!$E$4:$E$112,MATCH(SUBSTITUTE(SUBSTITUTE(SUBSTITUTE(SUBSTITUTE(SUBSTITUTE(SUBSTITUTE(SUBSTITUTE(SUBSTITUTE(SUBSTITUTE(SUBSTITUTE(ASC($C51),"①","1"),"②","2"),"③","3"),"④","4"),"⑤","5"),"⑥","6"),"⑦","7"),"⑧","8"),"⑨","9")," ",""),商品原価!$C$4:$C$112,0)),"")</f>
        <v/>
      </c>
      <c r="N51" s="605">
        <f>IF(AND(ISNUMBER($M51),ISNUMBER($L51)),$M51-$L51-N($W51),"")</f>
        <v/>
      </c>
      <c r="O51" s="606">
        <f>IF(AND(ISNUMBER($N51),ISNUMBER($M51),$M51&gt;0),$N51/$M51,"")</f>
        <v/>
      </c>
      <c r="P51" s="398">
        <f>COUNTIF(②釜工程入力!$R$5:$R$117,$C51)+COUNTIF(②釜工程入力!$S$5:$S$117,$C51)+COUNTIF(②釜工程入力!$T$5:$T$117,$C51)+COUNTIF(②釜工程入力!$U$5:$U$117,$C51)+COUNTIF(②釜工程入力!$V$5:$V$117,$C51)+COUNTIF(②釜工程入力!$W$5:$W$117,$C51)+COUNTIF(③スチコン工程入力!$R$5:$R$152,$C51)+COUNTIF(③スチコン工程入力!$S$5:$S$152,$C51)+COUNTIF(③スチコン工程入力!$T$5:$T$152,$C51)+COUNTIF(③スチコン工程入力!$U$5:$U$152,$C51)+COUNTIF(③スチコン工程入力!$V$5:$V$152,$C51)+COUNTIF(③スチコン工程入力!$W$5:$W$152,$C51)+COUNTIF(⑩盛付梱包工程入力!$R$5:$R$300,$C51)+COUNTIF(⑩盛付梱包工程入力!$S$5:$S$300,$C51)+COUNTIF(⑩盛付梱包工程入力!$T$5:$T$300,$C51)+COUNTIF(⑩盛付梱包工程入力!$U$5:$U$300,$C51)+COUNTIF(⑩盛付梱包工程入力!$V$5:$V$300,$C51)+COUNTIF(⑩盛付梱包工程入力!$W$5:$W$300,$C51)+COUNTIF(⑪ZEN工程入力!$R$6:$R$35,$C51)+COUNTIF(⑪ZEN工程入力!$S$6:$S$35,$C51)+COUNTIF(⑪ZEN工程入力!$T$6:$T$35,$C51)+COUNTIF(⑪ZEN工程入力!$U$6:$U$35,$C51)+COUNTIF(⑪ZEN工程入力!$V$6:$V$35,$C51)+COUNTIF(⑪ZEN工程入力!$W$6:$W$35,$C51)+COUNTIF(⑫ミキサー工程入力!$R$6:$R$65,$C51)+COUNTIF(⑫ミキサー工程入力!$S$6:$S$65,$C51)+COUNTIF(⑫ミキサー工程入力!$T$6:$T$65,$C51)+COUNTIF(⑫ミキサー工程入力!$U$6:$U$65,$C51)+COUNTIF(⑫ミキサー工程入力!$V$6:$V$65,$C51)+COUNTIF(⑫ミキサー工程入力!$W$6:$W$65,$C51)+COUNTIF(⑬計量工程入力!$R$6:$R$65,$C51)+COUNTIF(⑬計量工程入力!$S$6:$S$65,$C51)+COUNTIF(⑬計量工程入力!$T$6:$T$65,$C51)+COUNTIF(⑬計量工程入力!$U$6:$U$65,$C51)+COUNTIF(⑬計量工程入力!$V$6:$V$65,$C51)+COUNTIF(⑬計量工程入力!$W$6:$W$65,$C51)+COUNTIF(⑭手動工程入力!$R$6:$R$47,$C51)+COUNTIF(⑭手動工程入力!$S$6:$S$47,$C51)+COUNTIF(⑭手動工程入力!$T$6:$T$47,$C51)+COUNTIF(⑭手動工程入力!$U$6:$U$47,$C51)+COUNTIF(⑭手動工程入力!$V$6:$V$47,$C51)+COUNTIF(⑭手動工程入力!$W$6:$W$47,$C51)</f>
        <v/>
      </c>
      <c r="Q51" s="392" t="inlineStr">
        <is>
          <t>⑩盛付梱包 47行目に入力欄を作成（工程記録なし）</t>
        </is>
      </c>
      <c r="R51" s="393" t="n"/>
      <c r="S51" s="393" t="n"/>
      <c r="T51" s="393" t="n"/>
      <c r="U51" s="393" t="n"/>
      <c r="V51" s="605">
        <f>IFERROR(INDEX(KIT別作業時間!$D$4:$D$27,MATCH(SUBSTITUTE(SUBSTITUTE(SUBSTITUTE(SUBSTITUTE(SUBSTITUTE(SUBSTITUTE(SUBSTITUTE(SUBSTITUTE(SUBSTITUTE(SUBSTITUTE(ASC($C51),"①","1"),"②","2"),"③","3"),"④","4"),"⑤","5"),"⑥","6"),"⑦","7"),"⑧","8"),"⑨","9")," ",""),KIT別作業時間!$C$4:$C$27,0)),"")</f>
        <v/>
      </c>
      <c r="W51" s="393">
        <f>IF(AND(ISNUMBER($I51),$I51&gt;0),$I51,IF(ISNUMBER($V51),$V51,IF(ISNUMBER($R51),$R51,"")))</f>
        <v/>
      </c>
      <c r="X51" s="393">
        <f>IF(AND(ISNUMBER($I51),$I51&gt;0),"今回の工程実績",IF(ISNUMBER($V51),"KIT作業時間",IF(ISNUMBER($R51),"前回資料","")))</f>
        <v/>
      </c>
      <c r="Y51" s="398" t="n">
        <v>3244</v>
      </c>
      <c r="Z51" s="398">
        <f>IF(AND(ISNUMBER($W51),ISNUMBER($Y51)),$W51*$Y51,"")</f>
        <v/>
      </c>
      <c r="AA51" s="393" t="inlineStr">
        <is>
          <t>照り焼きチキンピザＫＩＴ８</t>
        </is>
      </c>
    </row>
    <row r="52">
      <c r="A52" s="392" t="n">
        <v>48</v>
      </c>
      <c r="B52" s="392" t="n"/>
      <c r="C52" s="392" t="inlineStr">
        <is>
          <t>みかんの牛乳寒天　小</t>
        </is>
      </c>
      <c r="D52" s="398">
        <f>SUMIF(⑩盛付梱包工程入力!$R$5:$R$300,$C52,⑩盛付梱包工程入力!$AC$5:$AC$300)+SUMIF(⑩盛付梱包工程入力!$S$5:$S$300,$C52,⑩盛付梱包工程入力!$AC$5:$AC$300)+SUMIF(⑩盛付梱包工程入力!$T$5:$T$300,$C52,⑩盛付梱包工程入力!$AC$5:$AC$300)+SUMIF(⑩盛付梱包工程入力!$U$5:$U$300,$C52,⑩盛付梱包工程入力!$AC$5:$AC$300)+SUMIF(⑩盛付梱包工程入力!$V$5:$V$300,$C52,⑩盛付梱包工程入力!$AC$5:$AC$300)+SUMIF(⑩盛付梱包工程入力!$W$5:$W$300,$C52,⑩盛付梱包工程入力!$AC$5:$AC$300)</f>
        <v/>
      </c>
      <c r="E52" s="398" t="n">
        <v>245</v>
      </c>
      <c r="F52" s="398">
        <f>IF(N($E52)&gt;0,$E52,$D52)</f>
        <v/>
      </c>
      <c r="G52" s="393" t="n">
        <v>32.06636782467937</v>
      </c>
      <c r="H52" s="393">
        <f>SUMIF(②釜工程入力!$R$5:$R$117,$C52,②釜工程入力!$AD$5:$AD$117)+SUMIF(②釜工程入力!$S$5:$S$117,$C52,②釜工程入力!$AE$5:$AE$117)+SUMIF(②釜工程入力!$T$5:$T$117,$C52,②釜工程入力!$AF$5:$AF$117)+SUMIF(②釜工程入力!$U$5:$U$117,$C52,②釜工程入力!$AG$5:$AG$117)+SUMIF(②釜工程入力!$V$5:$V$117,$C52,②釜工程入力!$AH$5:$AH$117)+SUMIF(②釜工程入力!$W$5:$W$117,$C52,②釜工程入力!$AI$5:$AI$117)+SUMIF(③スチコン工程入力!$R$5:$R$152,$C52,③スチコン工程入力!$AD$5:$AD$152)+SUMIF(③スチコン工程入力!$S$5:$S$152,$C52,③スチコン工程入力!$AE$5:$AE$152)+SUMIF(③スチコン工程入力!$T$5:$T$152,$C52,③スチコン工程入力!$AF$5:$AF$152)+SUMIF(③スチコン工程入力!$U$5:$U$152,$C52,③スチコン工程入力!$AG$5:$AG$152)+SUMIF(③スチコン工程入力!$V$5:$V$152,$C52,③スチコン工程入力!$AH$5:$AH$152)+SUMIF(③スチコン工程入力!$W$5:$W$152,$C52,③スチコン工程入力!$AI$5:$AI$152)+SUMIF(⑩盛付梱包工程入力!$R$5:$R$300,$C52,⑩盛付梱包工程入力!$AD$5:$AD$300)+SUMIF(⑩盛付梱包工程入力!$S$5:$S$300,$C52,⑩盛付梱包工程入力!$AE$5:$AE$300)+SUMIF(⑩盛付梱包工程入力!$T$5:$T$300,$C52,⑩盛付梱包工程入力!$AF$5:$AF$300)+SUMIF(⑩盛付梱包工程入力!$U$5:$U$300,$C52,⑩盛付梱包工程入力!$AG$5:$AG$300)+SUMIF(⑩盛付梱包工程入力!$V$5:$V$300,$C52,⑩盛付梱包工程入力!$AH$5:$AH$300)+SUMIF(⑩盛付梱包工程入力!$W$5:$W$300,$C52,⑩盛付梱包工程入力!$AI$5:$AI$300)+SUMIF(⑪ZEN工程入力!$R$6:$R$35,$C52,⑪ZEN工程入力!$AD$6:$AD$35)+SUMIF(⑪ZEN工程入力!$S$6:$S$35,$C52,⑪ZEN工程入力!$AE$6:$AE$35)+SUMIF(⑪ZEN工程入力!$T$6:$T$35,$C52,⑪ZEN工程入力!$AF$6:$AF$35)+SUMIF(⑪ZEN工程入力!$U$6:$U$35,$C52,⑪ZEN工程入力!$AG$6:$AG$35)+SUMIF(⑪ZEN工程入力!$V$6:$V$35,$C52,⑪ZEN工程入力!$AH$6:$AH$35)+SUMIF(⑪ZEN工程入力!$W$6:$W$35,$C52,⑪ZEN工程入力!$AI$6:$AI$35)+SUMIF(⑫ミキサー工程入力!$R$6:$R$65,$C52,⑫ミキサー工程入力!$AD$6:$AD$65)+SUMIF(⑫ミキサー工程入力!$S$6:$S$65,$C52,⑫ミキサー工程入力!$AE$6:$AE$65)+SUMIF(⑫ミキサー工程入力!$T$6:$T$65,$C52,⑫ミキサー工程入力!$AF$6:$AF$65)+SUMIF(⑫ミキサー工程入力!$U$6:$U$65,$C52,⑫ミキサー工程入力!$AG$6:$AG$65)+SUMIF(⑫ミキサー工程入力!$V$6:$V$65,$C52,⑫ミキサー工程入力!$AH$6:$AH$65)+SUMIF(⑫ミキサー工程入力!$W$6:$W$65,$C52,⑫ミキサー工程入力!$AI$6:$AI$65)+SUMIF(⑬計量工程入力!$R$6:$R$65,$C52,⑬計量工程入力!$AD$6:$AD$65)+SUMIF(⑬計量工程入力!$S$6:$S$65,$C52,⑬計量工程入力!$AE$6:$AE$65)+SUMIF(⑬計量工程入力!$T$6:$T$65,$C52,⑬計量工程入力!$AF$6:$AF$65)+SUMIF(⑬計量工程入力!$U$6:$U$65,$C52,⑬計量工程入力!$AG$6:$AG$65)+SUMIF(⑬計量工程入力!$V$6:$V$65,$C52,⑬計量工程入力!$AH$6:$AH$65)+SUMIF(⑬計量工程入力!$W$6:$W$65,$C52,⑬計量工程入力!$AI$6:$AI$65)+SUMIF(⑭手動工程入力!$R$6:$R$47,$C52,⑭手動工程入力!$AD$6:$AD$47)+SUMIF(⑭手動工程入力!$S$6:$S$47,$C52,⑭手動工程入力!$AE$6:$AE$47)+SUMIF(⑭手動工程入力!$T$6:$T$47,$C52,⑭手動工程入力!$AF$6:$AF$47)+SUMIF(⑭手動工程入力!$U$6:$U$47,$C52,⑭手動工程入力!$AG$6:$AG$47)+SUMIF(⑭手動工程入力!$V$6:$V$47,$C52,⑭手動工程入力!$AH$6:$AH$47)+SUMIF(⑭手動工程入力!$W$6:$W$47,$C52,⑭手動工程入力!$AI$6:$AI$47)</f>
        <v/>
      </c>
      <c r="I52" s="393">
        <f>IF($F52&gt;0,$H52/$F52,"")</f>
        <v/>
      </c>
      <c r="J52" s="605">
        <f>IFERROR(INDEX(商品原価!$B$4:$B$112,MATCH(SUBSTITUTE(SUBSTITUTE(SUBSTITUTE(SUBSTITUTE(SUBSTITUTE(SUBSTITUTE(SUBSTITUTE(SUBSTITUTE(SUBSTITUTE(SUBSTITUTE(ASC($C52),"①","1"),"②","2"),"③","3"),"④","4"),"⑤","5"),"⑥","6"),"⑦","7"),"⑧","8"),"⑨","9")," ",""),商品原価!$C$4:$C$112,0)),"")</f>
        <v/>
      </c>
      <c r="K52" s="542">
        <f>IF(ISNUMBER($J52),$J52*④前提設定!$B$21,"")</f>
        <v/>
      </c>
      <c r="L52" s="605">
        <f>IF(AND(NOT(ISNUMBER($J52)),NOT(ISNUMBER($K52))),"",N($J52)+N($K52))</f>
        <v/>
      </c>
      <c r="M52" s="605">
        <f>IFERROR(INDEX(商品原価!$E$4:$E$112,MATCH(SUBSTITUTE(SUBSTITUTE(SUBSTITUTE(SUBSTITUTE(SUBSTITUTE(SUBSTITUTE(SUBSTITUTE(SUBSTITUTE(SUBSTITUTE(SUBSTITUTE(ASC($C52),"①","1"),"②","2"),"③","3"),"④","4"),"⑤","5"),"⑥","6"),"⑦","7"),"⑧","8"),"⑨","9")," ",""),商品原価!$C$4:$C$112,0)),"")</f>
        <v/>
      </c>
      <c r="N52" s="605">
        <f>IF(AND(ISNUMBER($M52),ISNUMBER($L52)),$M52-$L52-N($W52),"")</f>
        <v/>
      </c>
      <c r="O52" s="606">
        <f>IF(AND(ISNUMBER($N52),ISNUMBER($M52),$M52&gt;0),$N52/$M52,"")</f>
        <v/>
      </c>
      <c r="P52" s="398">
        <f>COUNTIF(②釜工程入力!$R$5:$R$117,$C52)+COUNTIF(②釜工程入力!$S$5:$S$117,$C52)+COUNTIF(②釜工程入力!$T$5:$T$117,$C52)+COUNTIF(②釜工程入力!$U$5:$U$117,$C52)+COUNTIF(②釜工程入力!$V$5:$V$117,$C52)+COUNTIF(②釜工程入力!$W$5:$W$117,$C52)+COUNTIF(③スチコン工程入力!$R$5:$R$152,$C52)+COUNTIF(③スチコン工程入力!$S$5:$S$152,$C52)+COUNTIF(③スチコン工程入力!$T$5:$T$152,$C52)+COUNTIF(③スチコン工程入力!$U$5:$U$152,$C52)+COUNTIF(③スチコン工程入力!$V$5:$V$152,$C52)+COUNTIF(③スチコン工程入力!$W$5:$W$152,$C52)+COUNTIF(⑩盛付梱包工程入力!$R$5:$R$300,$C52)+COUNTIF(⑩盛付梱包工程入力!$S$5:$S$300,$C52)+COUNTIF(⑩盛付梱包工程入力!$T$5:$T$300,$C52)+COUNTIF(⑩盛付梱包工程入力!$U$5:$U$300,$C52)+COUNTIF(⑩盛付梱包工程入力!$V$5:$V$300,$C52)+COUNTIF(⑩盛付梱包工程入力!$W$5:$W$300,$C52)+COUNTIF(⑪ZEN工程入力!$R$6:$R$35,$C52)+COUNTIF(⑪ZEN工程入力!$S$6:$S$35,$C52)+COUNTIF(⑪ZEN工程入力!$T$6:$T$35,$C52)+COUNTIF(⑪ZEN工程入力!$U$6:$U$35,$C52)+COUNTIF(⑪ZEN工程入力!$V$6:$V$35,$C52)+COUNTIF(⑪ZEN工程入力!$W$6:$W$35,$C52)+COUNTIF(⑫ミキサー工程入力!$R$6:$R$65,$C52)+COUNTIF(⑫ミキサー工程入力!$S$6:$S$65,$C52)+COUNTIF(⑫ミキサー工程入力!$T$6:$T$65,$C52)+COUNTIF(⑫ミキサー工程入力!$U$6:$U$65,$C52)+COUNTIF(⑫ミキサー工程入力!$V$6:$V$65,$C52)+COUNTIF(⑫ミキサー工程入力!$W$6:$W$65,$C52)+COUNTIF(⑬計量工程入力!$R$6:$R$65,$C52)+COUNTIF(⑬計量工程入力!$S$6:$S$65,$C52)+COUNTIF(⑬計量工程入力!$T$6:$T$65,$C52)+COUNTIF(⑬計量工程入力!$U$6:$U$65,$C52)+COUNTIF(⑬計量工程入力!$V$6:$V$65,$C52)+COUNTIF(⑬計量工程入力!$W$6:$W$65,$C52)+COUNTIF(⑭手動工程入力!$R$6:$R$47,$C52)+COUNTIF(⑭手動工程入力!$S$6:$S$47,$C52)+COUNTIF(⑭手動工程入力!$T$6:$T$47,$C52)+COUNTIF(⑭手動工程入力!$U$6:$U$47,$C52)+COUNTIF(⑭手動工程入力!$V$6:$V$47,$C52)+COUNTIF(⑭手動工程入力!$W$6:$W$47,$C52)</f>
        <v/>
      </c>
      <c r="Q52" s="392" t="n"/>
      <c r="R52" s="393" t="n">
        <v>18.68</v>
      </c>
      <c r="S52" s="393" t="n">
        <v>223</v>
      </c>
      <c r="T52" s="393">
        <f>IF(AND(ISNUMBER($I52),ISNUMBER($R52)),$I52-$R52,"")</f>
        <v/>
      </c>
      <c r="U52" s="393" t="inlineStr">
        <is>
          <t>みかんの牛乳寒</t>
        </is>
      </c>
      <c r="V52" s="605">
        <f>IFERROR(INDEX(KIT別作業時間!$D$4:$D$27,MATCH(SUBSTITUTE(SUBSTITUTE(SUBSTITUTE(SUBSTITUTE(SUBSTITUTE(SUBSTITUTE(SUBSTITUTE(SUBSTITUTE(SUBSTITUTE(SUBSTITUTE(ASC($C52),"①","1"),"②","2"),"③","3"),"④","4"),"⑤","5"),"⑥","6"),"⑦","7"),"⑧","8"),"⑨","9")," ",""),KIT別作業時間!$C$4:$C$27,0)),"")</f>
        <v/>
      </c>
      <c r="W52" s="393">
        <f>IF(AND(ISNUMBER($I52),$I52&gt;0),$I52,IF(ISNUMBER($V52),$V52,IF(ISNUMBER($R52),$R52,"")))</f>
        <v/>
      </c>
      <c r="X52" s="393">
        <f>IF(AND(ISNUMBER($I52),$I52&gt;0),"今回の工程実績",IF(ISNUMBER($V52),"KIT作業時間",IF(ISNUMBER($R52),"前回資料","")))</f>
        <v/>
      </c>
      <c r="Y52" s="398" t="n">
        <v>9911</v>
      </c>
      <c r="Z52" s="398">
        <f>IF(AND(ISNUMBER($W52),ISNUMBER($Y52)),$W52*$Y52,"")</f>
        <v/>
      </c>
      <c r="AA52" s="393" t="n"/>
    </row>
    <row r="53">
      <c r="A53" s="392" t="n">
        <v>49</v>
      </c>
      <c r="B53" s="392" t="n"/>
      <c r="C53" s="392" t="inlineStr">
        <is>
          <t>大人のコーヒーゼリー４</t>
        </is>
      </c>
      <c r="D53" s="398">
        <f>SUMIF(⑩盛付梱包工程入力!$R$5:$R$300,$C53,⑩盛付梱包工程入力!$AC$5:$AC$300)+SUMIF(⑩盛付梱包工程入力!$S$5:$S$300,$C53,⑩盛付梱包工程入力!$AC$5:$AC$300)+SUMIF(⑩盛付梱包工程入力!$T$5:$T$300,$C53,⑩盛付梱包工程入力!$AC$5:$AC$300)+SUMIF(⑩盛付梱包工程入力!$U$5:$U$300,$C53,⑩盛付梱包工程入力!$AC$5:$AC$300)+SUMIF(⑩盛付梱包工程入力!$V$5:$V$300,$C53,⑩盛付梱包工程入力!$AC$5:$AC$300)+SUMIF(⑩盛付梱包工程入力!$W$5:$W$300,$C53,⑩盛付梱包工程入力!$AC$5:$AC$300)</f>
        <v/>
      </c>
      <c r="E53" s="398" t="n">
        <v>218</v>
      </c>
      <c r="F53" s="398">
        <f>IF(N($E53)&gt;0,$E53,$D53)</f>
        <v/>
      </c>
      <c r="G53" s="393" t="n">
        <v>31.76413255360624</v>
      </c>
      <c r="H53" s="393">
        <f>SUMIF(②釜工程入力!$R$5:$R$117,$C53,②釜工程入力!$AD$5:$AD$117)+SUMIF(②釜工程入力!$S$5:$S$117,$C53,②釜工程入力!$AE$5:$AE$117)+SUMIF(②釜工程入力!$T$5:$T$117,$C53,②釜工程入力!$AF$5:$AF$117)+SUMIF(②釜工程入力!$U$5:$U$117,$C53,②釜工程入力!$AG$5:$AG$117)+SUMIF(②釜工程入力!$V$5:$V$117,$C53,②釜工程入力!$AH$5:$AH$117)+SUMIF(②釜工程入力!$W$5:$W$117,$C53,②釜工程入力!$AI$5:$AI$117)+SUMIF(③スチコン工程入力!$R$5:$R$152,$C53,③スチコン工程入力!$AD$5:$AD$152)+SUMIF(③スチコン工程入力!$S$5:$S$152,$C53,③スチコン工程入力!$AE$5:$AE$152)+SUMIF(③スチコン工程入力!$T$5:$T$152,$C53,③スチコン工程入力!$AF$5:$AF$152)+SUMIF(③スチコン工程入力!$U$5:$U$152,$C53,③スチコン工程入力!$AG$5:$AG$152)+SUMIF(③スチコン工程入力!$V$5:$V$152,$C53,③スチコン工程入力!$AH$5:$AH$152)+SUMIF(③スチコン工程入力!$W$5:$W$152,$C53,③スチコン工程入力!$AI$5:$AI$152)+SUMIF(⑩盛付梱包工程入力!$R$5:$R$300,$C53,⑩盛付梱包工程入力!$AD$5:$AD$300)+SUMIF(⑩盛付梱包工程入力!$S$5:$S$300,$C53,⑩盛付梱包工程入力!$AE$5:$AE$300)+SUMIF(⑩盛付梱包工程入力!$T$5:$T$300,$C53,⑩盛付梱包工程入力!$AF$5:$AF$300)+SUMIF(⑩盛付梱包工程入力!$U$5:$U$300,$C53,⑩盛付梱包工程入力!$AG$5:$AG$300)+SUMIF(⑩盛付梱包工程入力!$V$5:$V$300,$C53,⑩盛付梱包工程入力!$AH$5:$AH$300)+SUMIF(⑩盛付梱包工程入力!$W$5:$W$300,$C53,⑩盛付梱包工程入力!$AI$5:$AI$300)+SUMIF(⑪ZEN工程入力!$R$6:$R$35,$C53,⑪ZEN工程入力!$AD$6:$AD$35)+SUMIF(⑪ZEN工程入力!$S$6:$S$35,$C53,⑪ZEN工程入力!$AE$6:$AE$35)+SUMIF(⑪ZEN工程入力!$T$6:$T$35,$C53,⑪ZEN工程入力!$AF$6:$AF$35)+SUMIF(⑪ZEN工程入力!$U$6:$U$35,$C53,⑪ZEN工程入力!$AG$6:$AG$35)+SUMIF(⑪ZEN工程入力!$V$6:$V$35,$C53,⑪ZEN工程入力!$AH$6:$AH$35)+SUMIF(⑪ZEN工程入力!$W$6:$W$35,$C53,⑪ZEN工程入力!$AI$6:$AI$35)+SUMIF(⑫ミキサー工程入力!$R$6:$R$65,$C53,⑫ミキサー工程入力!$AD$6:$AD$65)+SUMIF(⑫ミキサー工程入力!$S$6:$S$65,$C53,⑫ミキサー工程入力!$AE$6:$AE$65)+SUMIF(⑫ミキサー工程入力!$T$6:$T$65,$C53,⑫ミキサー工程入力!$AF$6:$AF$65)+SUMIF(⑫ミキサー工程入力!$U$6:$U$65,$C53,⑫ミキサー工程入力!$AG$6:$AG$65)+SUMIF(⑫ミキサー工程入力!$V$6:$V$65,$C53,⑫ミキサー工程入力!$AH$6:$AH$65)+SUMIF(⑫ミキサー工程入力!$W$6:$W$65,$C53,⑫ミキサー工程入力!$AI$6:$AI$65)+SUMIF(⑬計量工程入力!$R$6:$R$65,$C53,⑬計量工程入力!$AD$6:$AD$65)+SUMIF(⑬計量工程入力!$S$6:$S$65,$C53,⑬計量工程入力!$AE$6:$AE$65)+SUMIF(⑬計量工程入力!$T$6:$T$65,$C53,⑬計量工程入力!$AF$6:$AF$65)+SUMIF(⑬計量工程入力!$U$6:$U$65,$C53,⑬計量工程入力!$AG$6:$AG$65)+SUMIF(⑬計量工程入力!$V$6:$V$65,$C53,⑬計量工程入力!$AH$6:$AH$65)+SUMIF(⑬計量工程入力!$W$6:$W$65,$C53,⑬計量工程入力!$AI$6:$AI$65)+SUMIF(⑭手動工程入力!$R$6:$R$47,$C53,⑭手動工程入力!$AD$6:$AD$47)+SUMIF(⑭手動工程入力!$S$6:$S$47,$C53,⑭手動工程入力!$AE$6:$AE$47)+SUMIF(⑭手動工程入力!$T$6:$T$47,$C53,⑭手動工程入力!$AF$6:$AF$47)+SUMIF(⑭手動工程入力!$U$6:$U$47,$C53,⑭手動工程入力!$AG$6:$AG$47)+SUMIF(⑭手動工程入力!$V$6:$V$47,$C53,⑭手動工程入力!$AH$6:$AH$47)+SUMIF(⑭手動工程入力!$W$6:$W$47,$C53,⑭手動工程入力!$AI$6:$AI$47)</f>
        <v/>
      </c>
      <c r="I53" s="393">
        <f>IF($F53&gt;0,$H53/$F53,"")</f>
        <v/>
      </c>
      <c r="J53" s="605">
        <f>IFERROR(INDEX(商品原価!$B$4:$B$112,MATCH(SUBSTITUTE(SUBSTITUTE(SUBSTITUTE(SUBSTITUTE(SUBSTITUTE(SUBSTITUTE(SUBSTITUTE(SUBSTITUTE(SUBSTITUTE(SUBSTITUTE(ASC($C53),"①","1"),"②","2"),"③","3"),"④","4"),"⑤","5"),"⑥","6"),"⑦","7"),"⑧","8"),"⑨","9")," ",""),商品原価!$C$4:$C$112,0)),"")</f>
        <v/>
      </c>
      <c r="K53" s="542">
        <f>IF(ISNUMBER($J53),$J53*④前提設定!$B$21,"")</f>
        <v/>
      </c>
      <c r="L53" s="605">
        <f>IF(AND(NOT(ISNUMBER($J53)),NOT(ISNUMBER($K53))),"",N($J53)+N($K53))</f>
        <v/>
      </c>
      <c r="M53" s="605">
        <f>IFERROR(INDEX(商品原価!$E$4:$E$112,MATCH(SUBSTITUTE(SUBSTITUTE(SUBSTITUTE(SUBSTITUTE(SUBSTITUTE(SUBSTITUTE(SUBSTITUTE(SUBSTITUTE(SUBSTITUTE(SUBSTITUTE(ASC($C53),"①","1"),"②","2"),"③","3"),"④","4"),"⑤","5"),"⑥","6"),"⑦","7"),"⑧","8"),"⑨","9")," ",""),商品原価!$C$4:$C$112,0)),"")</f>
        <v/>
      </c>
      <c r="N53" s="605">
        <f>IF(AND(ISNUMBER($M53),ISNUMBER($L53)),$M53-$L53-N($W53),"")</f>
        <v/>
      </c>
      <c r="O53" s="606">
        <f>IF(AND(ISNUMBER($N53),ISNUMBER($M53),$M53&gt;0),$N53/$M53,"")</f>
        <v/>
      </c>
      <c r="P53" s="398">
        <f>COUNTIF(②釜工程入力!$R$5:$R$117,$C53)+COUNTIF(②釜工程入力!$S$5:$S$117,$C53)+COUNTIF(②釜工程入力!$T$5:$T$117,$C53)+COUNTIF(②釜工程入力!$U$5:$U$117,$C53)+COUNTIF(②釜工程入力!$V$5:$V$117,$C53)+COUNTIF(②釜工程入力!$W$5:$W$117,$C53)+COUNTIF(③スチコン工程入力!$R$5:$R$152,$C53)+COUNTIF(③スチコン工程入力!$S$5:$S$152,$C53)+COUNTIF(③スチコン工程入力!$T$5:$T$152,$C53)+COUNTIF(③スチコン工程入力!$U$5:$U$152,$C53)+COUNTIF(③スチコン工程入力!$V$5:$V$152,$C53)+COUNTIF(③スチコン工程入力!$W$5:$W$152,$C53)+COUNTIF(⑩盛付梱包工程入力!$R$5:$R$300,$C53)+COUNTIF(⑩盛付梱包工程入力!$S$5:$S$300,$C53)+COUNTIF(⑩盛付梱包工程入力!$T$5:$T$300,$C53)+COUNTIF(⑩盛付梱包工程入力!$U$5:$U$300,$C53)+COUNTIF(⑩盛付梱包工程入力!$V$5:$V$300,$C53)+COUNTIF(⑩盛付梱包工程入力!$W$5:$W$300,$C53)+COUNTIF(⑪ZEN工程入力!$R$6:$R$35,$C53)+COUNTIF(⑪ZEN工程入力!$S$6:$S$35,$C53)+COUNTIF(⑪ZEN工程入力!$T$6:$T$35,$C53)+COUNTIF(⑪ZEN工程入力!$U$6:$U$35,$C53)+COUNTIF(⑪ZEN工程入力!$V$6:$V$35,$C53)+COUNTIF(⑪ZEN工程入力!$W$6:$W$35,$C53)+COUNTIF(⑫ミキサー工程入力!$R$6:$R$65,$C53)+COUNTIF(⑫ミキサー工程入力!$S$6:$S$65,$C53)+COUNTIF(⑫ミキサー工程入力!$T$6:$T$65,$C53)+COUNTIF(⑫ミキサー工程入力!$U$6:$U$65,$C53)+COUNTIF(⑫ミキサー工程入力!$V$6:$V$65,$C53)+COUNTIF(⑫ミキサー工程入力!$W$6:$W$65,$C53)+COUNTIF(⑬計量工程入力!$R$6:$R$65,$C53)+COUNTIF(⑬計量工程入力!$S$6:$S$65,$C53)+COUNTIF(⑬計量工程入力!$T$6:$T$65,$C53)+COUNTIF(⑬計量工程入力!$U$6:$U$65,$C53)+COUNTIF(⑬計量工程入力!$V$6:$V$65,$C53)+COUNTIF(⑬計量工程入力!$W$6:$W$65,$C53)+COUNTIF(⑭手動工程入力!$R$6:$R$47,$C53)+COUNTIF(⑭手動工程入力!$S$6:$S$47,$C53)+COUNTIF(⑭手動工程入力!$T$6:$T$47,$C53)+COUNTIF(⑭手動工程入力!$U$6:$U$47,$C53)+COUNTIF(⑭手動工程入力!$V$6:$V$47,$C53)+COUNTIF(⑭手動工程入力!$W$6:$W$47,$C53)</f>
        <v/>
      </c>
      <c r="Q53" s="392" t="n"/>
      <c r="R53" s="393" t="n">
        <v>44.19</v>
      </c>
      <c r="S53" s="393" t="n">
        <v>1300</v>
      </c>
      <c r="T53" s="393">
        <f>IF(AND(ISNUMBER($I53),ISNUMBER($R53)),$I53-$R53,"")</f>
        <v/>
      </c>
      <c r="U53" s="393" t="inlineStr">
        <is>
          <t>大人のコーヒーゼリー</t>
        </is>
      </c>
      <c r="V53" s="605">
        <f>IFERROR(INDEX(KIT別作業時間!$D$4:$D$27,MATCH(SUBSTITUTE(SUBSTITUTE(SUBSTITUTE(SUBSTITUTE(SUBSTITUTE(SUBSTITUTE(SUBSTITUTE(SUBSTITUTE(SUBSTITUTE(SUBSTITUTE(ASC($C53),"①","1"),"②","2"),"③","3"),"④","4"),"⑤","5"),"⑥","6"),"⑦","7"),"⑧","8"),"⑨","9")," ",""),KIT別作業時間!$C$4:$C$27,0)),"")</f>
        <v/>
      </c>
      <c r="W53" s="393">
        <f>IF(AND(ISNUMBER($I53),$I53&gt;0),$I53,IF(ISNUMBER($V53),$V53,IF(ISNUMBER($R53),$R53,"")))</f>
        <v/>
      </c>
      <c r="X53" s="393">
        <f>IF(AND(ISNUMBER($I53),$I53&gt;0),"今回の工程実績",IF(ISNUMBER($V53),"KIT作業時間",IF(ISNUMBER($R53),"前回資料","")))</f>
        <v/>
      </c>
      <c r="Y53" s="398" t="n">
        <v>9981</v>
      </c>
      <c r="Z53" s="398">
        <f>IF(AND(ISNUMBER($W53),ISNUMBER($Y53)),$W53*$Y53,"")</f>
        <v/>
      </c>
      <c r="AA53" s="393" t="inlineStr">
        <is>
          <t>大人のコーヒーゼリー５（2商品に等分）</t>
        </is>
      </c>
    </row>
    <row r="54">
      <c r="A54" s="392" t="n">
        <v>50</v>
      </c>
      <c r="B54" s="392" t="n"/>
      <c r="C54" s="392" t="inlineStr">
        <is>
          <t>レモン＆ベリー食べ比べ</t>
        </is>
      </c>
      <c r="D54" s="398">
        <f>SUMIF(⑩盛付梱包工程入力!$R$5:$R$300,$C54,⑩盛付梱包工程入力!$AC$5:$AC$300)+SUMIF(⑩盛付梱包工程入力!$S$5:$S$300,$C54,⑩盛付梱包工程入力!$AC$5:$AC$300)+SUMIF(⑩盛付梱包工程入力!$T$5:$T$300,$C54,⑩盛付梱包工程入力!$AC$5:$AC$300)+SUMIF(⑩盛付梱包工程入力!$U$5:$U$300,$C54,⑩盛付梱包工程入力!$AC$5:$AC$300)+SUMIF(⑩盛付梱包工程入力!$V$5:$V$300,$C54,⑩盛付梱包工程入力!$AC$5:$AC$300)+SUMIF(⑩盛付梱包工程入力!$W$5:$W$300,$C54,⑩盛付梱包工程入力!$AC$5:$AC$300)</f>
        <v/>
      </c>
      <c r="E54" s="398" t="n"/>
      <c r="F54" s="398">
        <f>IF(N($E54)&gt;0,$E54,$D54)</f>
        <v/>
      </c>
      <c r="G54" s="398" t="n"/>
      <c r="H54" s="393">
        <f>SUMIF(②釜工程入力!$R$5:$R$117,$C54,②釜工程入力!$AD$5:$AD$117)+SUMIF(②釜工程入力!$S$5:$S$117,$C54,②釜工程入力!$AE$5:$AE$117)+SUMIF(②釜工程入力!$T$5:$T$117,$C54,②釜工程入力!$AF$5:$AF$117)+SUMIF(②釜工程入力!$U$5:$U$117,$C54,②釜工程入力!$AG$5:$AG$117)+SUMIF(②釜工程入力!$V$5:$V$117,$C54,②釜工程入力!$AH$5:$AH$117)+SUMIF(②釜工程入力!$W$5:$W$117,$C54,②釜工程入力!$AI$5:$AI$117)+SUMIF(③スチコン工程入力!$R$5:$R$152,$C54,③スチコン工程入力!$AD$5:$AD$152)+SUMIF(③スチコン工程入力!$S$5:$S$152,$C54,③スチコン工程入力!$AE$5:$AE$152)+SUMIF(③スチコン工程入力!$T$5:$T$152,$C54,③スチコン工程入力!$AF$5:$AF$152)+SUMIF(③スチコン工程入力!$U$5:$U$152,$C54,③スチコン工程入力!$AG$5:$AG$152)+SUMIF(③スチコン工程入力!$V$5:$V$152,$C54,③スチコン工程入力!$AH$5:$AH$152)+SUMIF(③スチコン工程入力!$W$5:$W$152,$C54,③スチコン工程入力!$AI$5:$AI$152)+SUMIF(⑩盛付梱包工程入力!$R$5:$R$300,$C54,⑩盛付梱包工程入力!$AD$5:$AD$300)+SUMIF(⑩盛付梱包工程入力!$S$5:$S$300,$C54,⑩盛付梱包工程入力!$AE$5:$AE$300)+SUMIF(⑩盛付梱包工程入力!$T$5:$T$300,$C54,⑩盛付梱包工程入力!$AF$5:$AF$300)+SUMIF(⑩盛付梱包工程入力!$U$5:$U$300,$C54,⑩盛付梱包工程入力!$AG$5:$AG$300)+SUMIF(⑩盛付梱包工程入力!$V$5:$V$300,$C54,⑩盛付梱包工程入力!$AH$5:$AH$300)+SUMIF(⑩盛付梱包工程入力!$W$5:$W$300,$C54,⑩盛付梱包工程入力!$AI$5:$AI$300)+SUMIF(⑪ZEN工程入力!$R$6:$R$35,$C54,⑪ZEN工程入力!$AD$6:$AD$35)+SUMIF(⑪ZEN工程入力!$S$6:$S$35,$C54,⑪ZEN工程入力!$AE$6:$AE$35)+SUMIF(⑪ZEN工程入力!$T$6:$T$35,$C54,⑪ZEN工程入力!$AF$6:$AF$35)+SUMIF(⑪ZEN工程入力!$U$6:$U$35,$C54,⑪ZEN工程入力!$AG$6:$AG$35)+SUMIF(⑪ZEN工程入力!$V$6:$V$35,$C54,⑪ZEN工程入力!$AH$6:$AH$35)+SUMIF(⑪ZEN工程入力!$W$6:$W$35,$C54,⑪ZEN工程入力!$AI$6:$AI$35)+SUMIF(⑫ミキサー工程入力!$R$6:$R$65,$C54,⑫ミキサー工程入力!$AD$6:$AD$65)+SUMIF(⑫ミキサー工程入力!$S$6:$S$65,$C54,⑫ミキサー工程入力!$AE$6:$AE$65)+SUMIF(⑫ミキサー工程入力!$T$6:$T$65,$C54,⑫ミキサー工程入力!$AF$6:$AF$65)+SUMIF(⑫ミキサー工程入力!$U$6:$U$65,$C54,⑫ミキサー工程入力!$AG$6:$AG$65)+SUMIF(⑫ミキサー工程入力!$V$6:$V$65,$C54,⑫ミキサー工程入力!$AH$6:$AH$65)+SUMIF(⑫ミキサー工程入力!$W$6:$W$65,$C54,⑫ミキサー工程入力!$AI$6:$AI$65)+SUMIF(⑬計量工程入力!$R$6:$R$65,$C54,⑬計量工程入力!$AD$6:$AD$65)+SUMIF(⑬計量工程入力!$S$6:$S$65,$C54,⑬計量工程入力!$AE$6:$AE$65)+SUMIF(⑬計量工程入力!$T$6:$T$65,$C54,⑬計量工程入力!$AF$6:$AF$65)+SUMIF(⑬計量工程入力!$U$6:$U$65,$C54,⑬計量工程入力!$AG$6:$AG$65)+SUMIF(⑬計量工程入力!$V$6:$V$65,$C54,⑬計量工程入力!$AH$6:$AH$65)+SUMIF(⑬計量工程入力!$W$6:$W$65,$C54,⑬計量工程入力!$AI$6:$AI$65)+SUMIF(⑭手動工程入力!$R$6:$R$47,$C54,⑭手動工程入力!$AD$6:$AD$47)+SUMIF(⑭手動工程入力!$S$6:$S$47,$C54,⑭手動工程入力!$AE$6:$AE$47)+SUMIF(⑭手動工程入力!$T$6:$T$47,$C54,⑭手動工程入力!$AF$6:$AF$47)+SUMIF(⑭手動工程入力!$U$6:$U$47,$C54,⑭手動工程入力!$AG$6:$AG$47)+SUMIF(⑭手動工程入力!$V$6:$V$47,$C54,⑭手動工程入力!$AH$6:$AH$47)+SUMIF(⑭手動工程入力!$W$6:$W$47,$C54,⑭手動工程入力!$AI$6:$AI$47)</f>
        <v/>
      </c>
      <c r="I54" s="393">
        <f>IF($F54&gt;0,$H54/$F54,"")</f>
        <v/>
      </c>
      <c r="J54" s="605">
        <f>IFERROR(INDEX(商品原価!$B$4:$B$112,MATCH(SUBSTITUTE(SUBSTITUTE(SUBSTITUTE(SUBSTITUTE(SUBSTITUTE(SUBSTITUTE(SUBSTITUTE(SUBSTITUTE(SUBSTITUTE(SUBSTITUTE(ASC($C54),"①","1"),"②","2"),"③","3"),"④","4"),"⑤","5"),"⑥","6"),"⑦","7"),"⑧","8"),"⑨","9")," ",""),商品原価!$C$4:$C$112,0)),"")</f>
        <v/>
      </c>
      <c r="K54" s="542">
        <f>IF(ISNUMBER($J54),$J54*④前提設定!$B$21,"")</f>
        <v/>
      </c>
      <c r="L54" s="605">
        <f>IF(AND(NOT(ISNUMBER($J54)),NOT(ISNUMBER($K54))),"",N($J54)+N($K54))</f>
        <v/>
      </c>
      <c r="M54" s="605">
        <f>IFERROR(INDEX(商品原価!$E$4:$E$112,MATCH(SUBSTITUTE(SUBSTITUTE(SUBSTITUTE(SUBSTITUTE(SUBSTITUTE(SUBSTITUTE(SUBSTITUTE(SUBSTITUTE(SUBSTITUTE(SUBSTITUTE(ASC($C54),"①","1"),"②","2"),"③","3"),"④","4"),"⑤","5"),"⑥","6"),"⑦","7"),"⑧","8"),"⑨","9")," ",""),商品原価!$C$4:$C$112,0)),"")</f>
        <v/>
      </c>
      <c r="N54" s="605">
        <f>IF(AND(ISNUMBER($M54),ISNUMBER($L54)),$M54-$L54-N($W54),"")</f>
        <v/>
      </c>
      <c r="O54" s="606">
        <f>IF(AND(ISNUMBER($N54),ISNUMBER($M54),$M54&gt;0),$N54/$M54,"")</f>
        <v/>
      </c>
      <c r="P54" s="398">
        <f>COUNTIF(②釜工程入力!$R$5:$R$117,$C54)+COUNTIF(②釜工程入力!$S$5:$S$117,$C54)+COUNTIF(②釜工程入力!$T$5:$T$117,$C54)+COUNTIF(②釜工程入力!$U$5:$U$117,$C54)+COUNTIF(②釜工程入力!$V$5:$V$117,$C54)+COUNTIF(②釜工程入力!$W$5:$W$117,$C54)+COUNTIF(③スチコン工程入力!$R$5:$R$152,$C54)+COUNTIF(③スチコン工程入力!$S$5:$S$152,$C54)+COUNTIF(③スチコン工程入力!$T$5:$T$152,$C54)+COUNTIF(③スチコン工程入力!$U$5:$U$152,$C54)+COUNTIF(③スチコン工程入力!$V$5:$V$152,$C54)+COUNTIF(③スチコン工程入力!$W$5:$W$152,$C54)+COUNTIF(⑩盛付梱包工程入力!$R$5:$R$300,$C54)+COUNTIF(⑩盛付梱包工程入力!$S$5:$S$300,$C54)+COUNTIF(⑩盛付梱包工程入力!$T$5:$T$300,$C54)+COUNTIF(⑩盛付梱包工程入力!$U$5:$U$300,$C54)+COUNTIF(⑩盛付梱包工程入力!$V$5:$V$300,$C54)+COUNTIF(⑩盛付梱包工程入力!$W$5:$W$300,$C54)+COUNTIF(⑪ZEN工程入力!$R$6:$R$35,$C54)+COUNTIF(⑪ZEN工程入力!$S$6:$S$35,$C54)+COUNTIF(⑪ZEN工程入力!$T$6:$T$35,$C54)+COUNTIF(⑪ZEN工程入力!$U$6:$U$35,$C54)+COUNTIF(⑪ZEN工程入力!$V$6:$V$35,$C54)+COUNTIF(⑪ZEN工程入力!$W$6:$W$35,$C54)+COUNTIF(⑫ミキサー工程入力!$R$6:$R$65,$C54)+COUNTIF(⑫ミキサー工程入力!$S$6:$S$65,$C54)+COUNTIF(⑫ミキサー工程入力!$T$6:$T$65,$C54)+COUNTIF(⑫ミキサー工程入力!$U$6:$U$65,$C54)+COUNTIF(⑫ミキサー工程入力!$V$6:$V$65,$C54)+COUNTIF(⑫ミキサー工程入力!$W$6:$W$65,$C54)+COUNTIF(⑬計量工程入力!$R$6:$R$65,$C54)+COUNTIF(⑬計量工程入力!$S$6:$S$65,$C54)+COUNTIF(⑬計量工程入力!$T$6:$T$65,$C54)+COUNTIF(⑬計量工程入力!$U$6:$U$65,$C54)+COUNTIF(⑬計量工程入力!$V$6:$V$65,$C54)+COUNTIF(⑬計量工程入力!$W$6:$W$65,$C54)+COUNTIF(⑭手動工程入力!$R$6:$R$47,$C54)+COUNTIF(⑭手動工程入力!$S$6:$S$47,$C54)+COUNTIF(⑭手動工程入力!$T$6:$T$47,$C54)+COUNTIF(⑭手動工程入力!$U$6:$U$47,$C54)+COUNTIF(⑭手動工程入力!$V$6:$V$47,$C54)+COUNTIF(⑭手動工程入力!$W$6:$W$47,$C54)</f>
        <v/>
      </c>
      <c r="Q54" s="392" t="n"/>
      <c r="R54" s="393" t="n"/>
      <c r="S54" s="393" t="n"/>
      <c r="T54" s="393" t="n"/>
      <c r="U54" s="393" t="n"/>
      <c r="V54" s="605">
        <f>IFERROR(INDEX(KIT別作業時間!$D$4:$D$27,MATCH(SUBSTITUTE(SUBSTITUTE(SUBSTITUTE(SUBSTITUTE(SUBSTITUTE(SUBSTITUTE(SUBSTITUTE(SUBSTITUTE(SUBSTITUTE(SUBSTITUTE(ASC($C54),"①","1"),"②","2"),"③","3"),"④","4"),"⑤","5"),"⑥","6"),"⑦","7"),"⑧","8"),"⑨","9")," ",""),KIT別作業時間!$C$4:$C$27,0)),"")</f>
        <v/>
      </c>
      <c r="W54" s="393">
        <f>IF(AND(ISNUMBER($I54),$I54&gt;0),$I54,IF(ISNUMBER($V54),$V54,IF(ISNUMBER($R54),$R54,"")))</f>
        <v/>
      </c>
      <c r="X54" s="393">
        <f>IF(AND(ISNUMBER($I54),$I54&gt;0),"今回の工程実績",IF(ISNUMBER($V54),"KIT作業時間",IF(ISNUMBER($R54),"前回資料","")))</f>
        <v/>
      </c>
      <c r="Y54" s="398" t="n">
        <v>2460</v>
      </c>
      <c r="Z54" s="398">
        <f>IF(AND(ISNUMBER($W54),ISNUMBER($Y54)),$W54*$Y54,"")</f>
        <v/>
      </c>
      <c r="AA54" s="393" t="n"/>
    </row>
    <row r="55">
      <c r="A55" s="392" t="n">
        <v>51</v>
      </c>
      <c r="B55" s="392" t="n"/>
      <c r="C55" s="392" t="inlineStr">
        <is>
          <t>厚切りとんかつＫＩＴ２</t>
        </is>
      </c>
      <c r="D55" s="398">
        <f>SUMIF(⑩盛付梱包工程入力!$R$5:$R$300,$C55,⑩盛付梱包工程入力!$AC$5:$AC$300)+SUMIF(⑩盛付梱包工程入力!$S$5:$S$300,$C55,⑩盛付梱包工程入力!$AC$5:$AC$300)+SUMIF(⑩盛付梱包工程入力!$T$5:$T$300,$C55,⑩盛付梱包工程入力!$AC$5:$AC$300)+SUMIF(⑩盛付梱包工程入力!$U$5:$U$300,$C55,⑩盛付梱包工程入力!$AC$5:$AC$300)+SUMIF(⑩盛付梱包工程入力!$V$5:$V$300,$C55,⑩盛付梱包工程入力!$AC$5:$AC$300)+SUMIF(⑩盛付梱包工程入力!$W$5:$W$300,$C55,⑩盛付梱包工程入力!$AC$5:$AC$300)</f>
        <v/>
      </c>
      <c r="E55" s="398" t="n">
        <v>19</v>
      </c>
      <c r="F55" s="398">
        <f>IF(N($E55)&gt;0,$E55,$D55)</f>
        <v/>
      </c>
      <c r="G55" s="393" t="n">
        <v>439.1811175337187</v>
      </c>
      <c r="H55" s="393">
        <f>SUMIF(②釜工程入力!$R$5:$R$117,$C55,②釜工程入力!$AD$5:$AD$117)+SUMIF(②釜工程入力!$S$5:$S$117,$C55,②釜工程入力!$AE$5:$AE$117)+SUMIF(②釜工程入力!$T$5:$T$117,$C55,②釜工程入力!$AF$5:$AF$117)+SUMIF(②釜工程入力!$U$5:$U$117,$C55,②釜工程入力!$AG$5:$AG$117)+SUMIF(②釜工程入力!$V$5:$V$117,$C55,②釜工程入力!$AH$5:$AH$117)+SUMIF(②釜工程入力!$W$5:$W$117,$C55,②釜工程入力!$AI$5:$AI$117)+SUMIF(③スチコン工程入力!$R$5:$R$152,$C55,③スチコン工程入力!$AD$5:$AD$152)+SUMIF(③スチコン工程入力!$S$5:$S$152,$C55,③スチコン工程入力!$AE$5:$AE$152)+SUMIF(③スチコン工程入力!$T$5:$T$152,$C55,③スチコン工程入力!$AF$5:$AF$152)+SUMIF(③スチコン工程入力!$U$5:$U$152,$C55,③スチコン工程入力!$AG$5:$AG$152)+SUMIF(③スチコン工程入力!$V$5:$V$152,$C55,③スチコン工程入力!$AH$5:$AH$152)+SUMIF(③スチコン工程入力!$W$5:$W$152,$C55,③スチコン工程入力!$AI$5:$AI$152)+SUMIF(⑩盛付梱包工程入力!$R$5:$R$300,$C55,⑩盛付梱包工程入力!$AD$5:$AD$300)+SUMIF(⑩盛付梱包工程入力!$S$5:$S$300,$C55,⑩盛付梱包工程入力!$AE$5:$AE$300)+SUMIF(⑩盛付梱包工程入力!$T$5:$T$300,$C55,⑩盛付梱包工程入力!$AF$5:$AF$300)+SUMIF(⑩盛付梱包工程入力!$U$5:$U$300,$C55,⑩盛付梱包工程入力!$AG$5:$AG$300)+SUMIF(⑩盛付梱包工程入力!$V$5:$V$300,$C55,⑩盛付梱包工程入力!$AH$5:$AH$300)+SUMIF(⑩盛付梱包工程入力!$W$5:$W$300,$C55,⑩盛付梱包工程入力!$AI$5:$AI$300)+SUMIF(⑪ZEN工程入力!$R$6:$R$35,$C55,⑪ZEN工程入力!$AD$6:$AD$35)+SUMIF(⑪ZEN工程入力!$S$6:$S$35,$C55,⑪ZEN工程入力!$AE$6:$AE$35)+SUMIF(⑪ZEN工程入力!$T$6:$T$35,$C55,⑪ZEN工程入力!$AF$6:$AF$35)+SUMIF(⑪ZEN工程入力!$U$6:$U$35,$C55,⑪ZEN工程入力!$AG$6:$AG$35)+SUMIF(⑪ZEN工程入力!$V$6:$V$35,$C55,⑪ZEN工程入力!$AH$6:$AH$35)+SUMIF(⑪ZEN工程入力!$W$6:$W$35,$C55,⑪ZEN工程入力!$AI$6:$AI$35)+SUMIF(⑫ミキサー工程入力!$R$6:$R$65,$C55,⑫ミキサー工程入力!$AD$6:$AD$65)+SUMIF(⑫ミキサー工程入力!$S$6:$S$65,$C55,⑫ミキサー工程入力!$AE$6:$AE$65)+SUMIF(⑫ミキサー工程入力!$T$6:$T$65,$C55,⑫ミキサー工程入力!$AF$6:$AF$65)+SUMIF(⑫ミキサー工程入力!$U$6:$U$65,$C55,⑫ミキサー工程入力!$AG$6:$AG$65)+SUMIF(⑫ミキサー工程入力!$V$6:$V$65,$C55,⑫ミキサー工程入力!$AH$6:$AH$65)+SUMIF(⑫ミキサー工程入力!$W$6:$W$65,$C55,⑫ミキサー工程入力!$AI$6:$AI$65)+SUMIF(⑬計量工程入力!$R$6:$R$65,$C55,⑬計量工程入力!$AD$6:$AD$65)+SUMIF(⑬計量工程入力!$S$6:$S$65,$C55,⑬計量工程入力!$AE$6:$AE$65)+SUMIF(⑬計量工程入力!$T$6:$T$65,$C55,⑬計量工程入力!$AF$6:$AF$65)+SUMIF(⑬計量工程入力!$U$6:$U$65,$C55,⑬計量工程入力!$AG$6:$AG$65)+SUMIF(⑬計量工程入力!$V$6:$V$65,$C55,⑬計量工程入力!$AH$6:$AH$65)+SUMIF(⑬計量工程入力!$W$6:$W$65,$C55,⑬計量工程入力!$AI$6:$AI$65)+SUMIF(⑭手動工程入力!$R$6:$R$47,$C55,⑭手動工程入力!$AD$6:$AD$47)+SUMIF(⑭手動工程入力!$S$6:$S$47,$C55,⑭手動工程入力!$AE$6:$AE$47)+SUMIF(⑭手動工程入力!$T$6:$T$47,$C55,⑭手動工程入力!$AF$6:$AF$47)+SUMIF(⑭手動工程入力!$U$6:$U$47,$C55,⑭手動工程入力!$AG$6:$AG$47)+SUMIF(⑭手動工程入力!$V$6:$V$47,$C55,⑭手動工程入力!$AH$6:$AH$47)+SUMIF(⑭手動工程入力!$W$6:$W$47,$C55,⑭手動工程入力!$AI$6:$AI$47)</f>
        <v/>
      </c>
      <c r="I55" s="393">
        <f>IF($F55&gt;0,$H55/$F55,"")</f>
        <v/>
      </c>
      <c r="J55" s="605">
        <f>IFERROR(INDEX(商品原価!$B$4:$B$112,MATCH(SUBSTITUTE(SUBSTITUTE(SUBSTITUTE(SUBSTITUTE(SUBSTITUTE(SUBSTITUTE(SUBSTITUTE(SUBSTITUTE(SUBSTITUTE(SUBSTITUTE(ASC($C55),"①","1"),"②","2"),"③","3"),"④","4"),"⑤","5"),"⑥","6"),"⑦","7"),"⑧","8"),"⑨","9")," ",""),商品原価!$C$4:$C$112,0)),"")</f>
        <v/>
      </c>
      <c r="K55" s="542">
        <f>IF(ISNUMBER($J55),$J55*④前提設定!$B$21,"")</f>
        <v/>
      </c>
      <c r="L55" s="605">
        <f>IF(AND(NOT(ISNUMBER($J55)),NOT(ISNUMBER($K55))),"",N($J55)+N($K55))</f>
        <v/>
      </c>
      <c r="M55" s="605">
        <f>IFERROR(INDEX(商品原価!$E$4:$E$112,MATCH(SUBSTITUTE(SUBSTITUTE(SUBSTITUTE(SUBSTITUTE(SUBSTITUTE(SUBSTITUTE(SUBSTITUTE(SUBSTITUTE(SUBSTITUTE(SUBSTITUTE(ASC($C55),"①","1"),"②","2"),"③","3"),"④","4"),"⑤","5"),"⑥","6"),"⑦","7"),"⑧","8"),"⑨","9")," ",""),商品原価!$C$4:$C$112,0)),"")</f>
        <v/>
      </c>
      <c r="N55" s="605">
        <f>IF(AND(ISNUMBER($M55),ISNUMBER($L55)),$M55-$L55-N($W55),"")</f>
        <v/>
      </c>
      <c r="O55" s="606">
        <f>IF(AND(ISNUMBER($N55),ISNUMBER($M55),$M55&gt;0),$N55/$M55,"")</f>
        <v/>
      </c>
      <c r="P55" s="398">
        <f>COUNTIF(②釜工程入力!$R$5:$R$117,$C55)+COUNTIF(②釜工程入力!$S$5:$S$117,$C55)+COUNTIF(②釜工程入力!$T$5:$T$117,$C55)+COUNTIF(②釜工程入力!$U$5:$U$117,$C55)+COUNTIF(②釜工程入力!$V$5:$V$117,$C55)+COUNTIF(②釜工程入力!$W$5:$W$117,$C55)+COUNTIF(③スチコン工程入力!$R$5:$R$152,$C55)+COUNTIF(③スチコン工程入力!$S$5:$S$152,$C55)+COUNTIF(③スチコン工程入力!$T$5:$T$152,$C55)+COUNTIF(③スチコン工程入力!$U$5:$U$152,$C55)+COUNTIF(③スチコン工程入力!$V$5:$V$152,$C55)+COUNTIF(③スチコン工程入力!$W$5:$W$152,$C55)+COUNTIF(⑩盛付梱包工程入力!$R$5:$R$300,$C55)+COUNTIF(⑩盛付梱包工程入力!$S$5:$S$300,$C55)+COUNTIF(⑩盛付梱包工程入力!$T$5:$T$300,$C55)+COUNTIF(⑩盛付梱包工程入力!$U$5:$U$300,$C55)+COUNTIF(⑩盛付梱包工程入力!$V$5:$V$300,$C55)+COUNTIF(⑩盛付梱包工程入力!$W$5:$W$300,$C55)+COUNTIF(⑪ZEN工程入力!$R$6:$R$35,$C55)+COUNTIF(⑪ZEN工程入力!$S$6:$S$35,$C55)+COUNTIF(⑪ZEN工程入力!$T$6:$T$35,$C55)+COUNTIF(⑪ZEN工程入力!$U$6:$U$35,$C55)+COUNTIF(⑪ZEN工程入力!$V$6:$V$35,$C55)+COUNTIF(⑪ZEN工程入力!$W$6:$W$35,$C55)+COUNTIF(⑫ミキサー工程入力!$R$6:$R$65,$C55)+COUNTIF(⑫ミキサー工程入力!$S$6:$S$65,$C55)+COUNTIF(⑫ミキサー工程入力!$T$6:$T$65,$C55)+COUNTIF(⑫ミキサー工程入力!$U$6:$U$65,$C55)+COUNTIF(⑫ミキサー工程入力!$V$6:$V$65,$C55)+COUNTIF(⑫ミキサー工程入力!$W$6:$W$65,$C55)+COUNTIF(⑬計量工程入力!$R$6:$R$65,$C55)+COUNTIF(⑬計量工程入力!$S$6:$S$65,$C55)+COUNTIF(⑬計量工程入力!$T$6:$T$65,$C55)+COUNTIF(⑬計量工程入力!$U$6:$U$65,$C55)+COUNTIF(⑬計量工程入力!$V$6:$V$65,$C55)+COUNTIF(⑬計量工程入力!$W$6:$W$65,$C55)+COUNTIF(⑭手動工程入力!$R$6:$R$47,$C55)+COUNTIF(⑭手動工程入力!$S$6:$S$47,$C55)+COUNTIF(⑭手動工程入力!$T$6:$T$47,$C55)+COUNTIF(⑭手動工程入力!$U$6:$U$47,$C55)+COUNTIF(⑭手動工程入力!$V$6:$V$47,$C55)+COUNTIF(⑭手動工程入力!$W$6:$W$47,$C55)</f>
        <v/>
      </c>
      <c r="Q55" s="392" t="inlineStr">
        <is>
          <t>⑩盛付梱包 63行目に入力欄を作成（工程記録なし）</t>
        </is>
      </c>
      <c r="R55" s="393" t="n"/>
      <c r="S55" s="393" t="n"/>
      <c r="T55" s="393" t="n"/>
      <c r="U55" s="393" t="n"/>
      <c r="V55" s="605">
        <f>IFERROR(INDEX(KIT別作業時間!$D$4:$D$27,MATCH(SUBSTITUTE(SUBSTITUTE(SUBSTITUTE(SUBSTITUTE(SUBSTITUTE(SUBSTITUTE(SUBSTITUTE(SUBSTITUTE(SUBSTITUTE(SUBSTITUTE(ASC($C55),"①","1"),"②","2"),"③","3"),"④","4"),"⑤","5"),"⑥","6"),"⑦","7"),"⑧","8"),"⑨","9")," ",""),KIT別作業時間!$C$4:$C$27,0)),"")</f>
        <v/>
      </c>
      <c r="W55" s="393">
        <f>IF(AND(ISNUMBER($I55),$I55&gt;0),$I55,IF(ISNUMBER($V55),$V55,IF(ISNUMBER($R55),$R55,"")))</f>
        <v/>
      </c>
      <c r="X55" s="393">
        <f>IF(AND(ISNUMBER($I55),$I55&gt;0),"今回の工程実績",IF(ISNUMBER($V55),"KIT作業時間",IF(ISNUMBER($R55),"前回資料","")))</f>
        <v/>
      </c>
      <c r="Y55" s="398" t="n">
        <v>545</v>
      </c>
      <c r="Z55" s="398">
        <f>IF(AND(ISNUMBER($W55),ISNUMBER($Y55)),$W55*$Y55,"")</f>
        <v/>
      </c>
      <c r="AA55" s="393" t="n"/>
    </row>
    <row r="56">
      <c r="A56" s="392" t="n">
        <v>52</v>
      </c>
      <c r="B56" s="392" t="n"/>
      <c r="C56" s="392" t="inlineStr">
        <is>
          <t>みかんの牛乳寒天２</t>
        </is>
      </c>
      <c r="D56" s="398">
        <f>SUMIF(⑩盛付梱包工程入力!$R$5:$R$300,$C56,⑩盛付梱包工程入力!$AC$5:$AC$300)+SUMIF(⑩盛付梱包工程入力!$S$5:$S$300,$C56,⑩盛付梱包工程入力!$AC$5:$AC$300)+SUMIF(⑩盛付梱包工程入力!$T$5:$T$300,$C56,⑩盛付梱包工程入力!$AC$5:$AC$300)+SUMIF(⑩盛付梱包工程入力!$U$5:$U$300,$C56,⑩盛付梱包工程入力!$AC$5:$AC$300)+SUMIF(⑩盛付梱包工程入力!$V$5:$V$300,$C56,⑩盛付梱包工程入力!$AC$5:$AC$300)+SUMIF(⑩盛付梱包工程入力!$W$5:$W$300,$C56,⑩盛付梱包工程入力!$AC$5:$AC$300)</f>
        <v/>
      </c>
      <c r="E56" s="398" t="n">
        <v>162</v>
      </c>
      <c r="F56" s="398">
        <f>IF(N($E56)&gt;0,$E56,$D56)</f>
        <v/>
      </c>
      <c r="G56" s="393" t="n">
        <v>46.71328023708094</v>
      </c>
      <c r="H56" s="393">
        <f>SUMIF(②釜工程入力!$R$5:$R$117,$C56,②釜工程入力!$AD$5:$AD$117)+SUMIF(②釜工程入力!$S$5:$S$117,$C56,②釜工程入力!$AE$5:$AE$117)+SUMIF(②釜工程入力!$T$5:$T$117,$C56,②釜工程入力!$AF$5:$AF$117)+SUMIF(②釜工程入力!$U$5:$U$117,$C56,②釜工程入力!$AG$5:$AG$117)+SUMIF(②釜工程入力!$V$5:$V$117,$C56,②釜工程入力!$AH$5:$AH$117)+SUMIF(②釜工程入力!$W$5:$W$117,$C56,②釜工程入力!$AI$5:$AI$117)+SUMIF(③スチコン工程入力!$R$5:$R$152,$C56,③スチコン工程入力!$AD$5:$AD$152)+SUMIF(③スチコン工程入力!$S$5:$S$152,$C56,③スチコン工程入力!$AE$5:$AE$152)+SUMIF(③スチコン工程入力!$T$5:$T$152,$C56,③スチコン工程入力!$AF$5:$AF$152)+SUMIF(③スチコン工程入力!$U$5:$U$152,$C56,③スチコン工程入力!$AG$5:$AG$152)+SUMIF(③スチコン工程入力!$V$5:$V$152,$C56,③スチコン工程入力!$AH$5:$AH$152)+SUMIF(③スチコン工程入力!$W$5:$W$152,$C56,③スチコン工程入力!$AI$5:$AI$152)+SUMIF(⑩盛付梱包工程入力!$R$5:$R$300,$C56,⑩盛付梱包工程入力!$AD$5:$AD$300)+SUMIF(⑩盛付梱包工程入力!$S$5:$S$300,$C56,⑩盛付梱包工程入力!$AE$5:$AE$300)+SUMIF(⑩盛付梱包工程入力!$T$5:$T$300,$C56,⑩盛付梱包工程入力!$AF$5:$AF$300)+SUMIF(⑩盛付梱包工程入力!$U$5:$U$300,$C56,⑩盛付梱包工程入力!$AG$5:$AG$300)+SUMIF(⑩盛付梱包工程入力!$V$5:$V$300,$C56,⑩盛付梱包工程入力!$AH$5:$AH$300)+SUMIF(⑩盛付梱包工程入力!$W$5:$W$300,$C56,⑩盛付梱包工程入力!$AI$5:$AI$300)+SUMIF(⑪ZEN工程入力!$R$6:$R$35,$C56,⑪ZEN工程入力!$AD$6:$AD$35)+SUMIF(⑪ZEN工程入力!$S$6:$S$35,$C56,⑪ZEN工程入力!$AE$6:$AE$35)+SUMIF(⑪ZEN工程入力!$T$6:$T$35,$C56,⑪ZEN工程入力!$AF$6:$AF$35)+SUMIF(⑪ZEN工程入力!$U$6:$U$35,$C56,⑪ZEN工程入力!$AG$6:$AG$35)+SUMIF(⑪ZEN工程入力!$V$6:$V$35,$C56,⑪ZEN工程入力!$AH$6:$AH$35)+SUMIF(⑪ZEN工程入力!$W$6:$W$35,$C56,⑪ZEN工程入力!$AI$6:$AI$35)+SUMIF(⑫ミキサー工程入力!$R$6:$R$65,$C56,⑫ミキサー工程入力!$AD$6:$AD$65)+SUMIF(⑫ミキサー工程入力!$S$6:$S$65,$C56,⑫ミキサー工程入力!$AE$6:$AE$65)+SUMIF(⑫ミキサー工程入力!$T$6:$T$65,$C56,⑫ミキサー工程入力!$AF$6:$AF$65)+SUMIF(⑫ミキサー工程入力!$U$6:$U$65,$C56,⑫ミキサー工程入力!$AG$6:$AG$65)+SUMIF(⑫ミキサー工程入力!$V$6:$V$65,$C56,⑫ミキサー工程入力!$AH$6:$AH$65)+SUMIF(⑫ミキサー工程入力!$W$6:$W$65,$C56,⑫ミキサー工程入力!$AI$6:$AI$65)+SUMIF(⑬計量工程入力!$R$6:$R$65,$C56,⑬計量工程入力!$AD$6:$AD$65)+SUMIF(⑬計量工程入力!$S$6:$S$65,$C56,⑬計量工程入力!$AE$6:$AE$65)+SUMIF(⑬計量工程入力!$T$6:$T$65,$C56,⑬計量工程入力!$AF$6:$AF$65)+SUMIF(⑬計量工程入力!$U$6:$U$65,$C56,⑬計量工程入力!$AG$6:$AG$65)+SUMIF(⑬計量工程入力!$V$6:$V$65,$C56,⑬計量工程入力!$AH$6:$AH$65)+SUMIF(⑬計量工程入力!$W$6:$W$65,$C56,⑬計量工程入力!$AI$6:$AI$65)+SUMIF(⑭手動工程入力!$R$6:$R$47,$C56,⑭手動工程入力!$AD$6:$AD$47)+SUMIF(⑭手動工程入力!$S$6:$S$47,$C56,⑭手動工程入力!$AE$6:$AE$47)+SUMIF(⑭手動工程入力!$T$6:$T$47,$C56,⑭手動工程入力!$AF$6:$AF$47)+SUMIF(⑭手動工程入力!$U$6:$U$47,$C56,⑭手動工程入力!$AG$6:$AG$47)+SUMIF(⑭手動工程入力!$V$6:$V$47,$C56,⑭手動工程入力!$AH$6:$AH$47)+SUMIF(⑭手動工程入力!$W$6:$W$47,$C56,⑭手動工程入力!$AI$6:$AI$47)</f>
        <v/>
      </c>
      <c r="I56" s="393">
        <f>IF($F56&gt;0,$H56/$F56,"")</f>
        <v/>
      </c>
      <c r="J56" s="605">
        <f>IFERROR(INDEX(商品原価!$B$4:$B$112,MATCH(SUBSTITUTE(SUBSTITUTE(SUBSTITUTE(SUBSTITUTE(SUBSTITUTE(SUBSTITUTE(SUBSTITUTE(SUBSTITUTE(SUBSTITUTE(SUBSTITUTE(ASC($C56),"①","1"),"②","2"),"③","3"),"④","4"),"⑤","5"),"⑥","6"),"⑦","7"),"⑧","8"),"⑨","9")," ",""),商品原価!$C$4:$C$112,0)),"")</f>
        <v/>
      </c>
      <c r="K56" s="542">
        <f>IF(ISNUMBER($J56),$J56*④前提設定!$B$21,"")</f>
        <v/>
      </c>
      <c r="L56" s="605">
        <f>IF(AND(NOT(ISNUMBER($J56)),NOT(ISNUMBER($K56))),"",N($J56)+N($K56))</f>
        <v/>
      </c>
      <c r="M56" s="605">
        <f>IFERROR(INDEX(商品原価!$E$4:$E$112,MATCH(SUBSTITUTE(SUBSTITUTE(SUBSTITUTE(SUBSTITUTE(SUBSTITUTE(SUBSTITUTE(SUBSTITUTE(SUBSTITUTE(SUBSTITUTE(SUBSTITUTE(ASC($C56),"①","1"),"②","2"),"③","3"),"④","4"),"⑤","5"),"⑥","6"),"⑦","7"),"⑧","8"),"⑨","9")," ",""),商品原価!$C$4:$C$112,0)),"")</f>
        <v/>
      </c>
      <c r="N56" s="605">
        <f>IF(AND(ISNUMBER($M56),ISNUMBER($L56)),$M56-$L56-N($W56),"")</f>
        <v/>
      </c>
      <c r="O56" s="606">
        <f>IF(AND(ISNUMBER($N56),ISNUMBER($M56),$M56&gt;0),$N56/$M56,"")</f>
        <v/>
      </c>
      <c r="P56" s="398">
        <f>COUNTIF(②釜工程入力!$R$5:$R$117,$C56)+COUNTIF(②釜工程入力!$S$5:$S$117,$C56)+COUNTIF(②釜工程入力!$T$5:$T$117,$C56)+COUNTIF(②釜工程入力!$U$5:$U$117,$C56)+COUNTIF(②釜工程入力!$V$5:$V$117,$C56)+COUNTIF(②釜工程入力!$W$5:$W$117,$C56)+COUNTIF(③スチコン工程入力!$R$5:$R$152,$C56)+COUNTIF(③スチコン工程入力!$S$5:$S$152,$C56)+COUNTIF(③スチコン工程入力!$T$5:$T$152,$C56)+COUNTIF(③スチコン工程入力!$U$5:$U$152,$C56)+COUNTIF(③スチコン工程入力!$V$5:$V$152,$C56)+COUNTIF(③スチコン工程入力!$W$5:$W$152,$C56)+COUNTIF(⑩盛付梱包工程入力!$R$5:$R$300,$C56)+COUNTIF(⑩盛付梱包工程入力!$S$5:$S$300,$C56)+COUNTIF(⑩盛付梱包工程入力!$T$5:$T$300,$C56)+COUNTIF(⑩盛付梱包工程入力!$U$5:$U$300,$C56)+COUNTIF(⑩盛付梱包工程入力!$V$5:$V$300,$C56)+COUNTIF(⑩盛付梱包工程入力!$W$5:$W$300,$C56)+COUNTIF(⑪ZEN工程入力!$R$6:$R$35,$C56)+COUNTIF(⑪ZEN工程入力!$S$6:$S$35,$C56)+COUNTIF(⑪ZEN工程入力!$T$6:$T$35,$C56)+COUNTIF(⑪ZEN工程入力!$U$6:$U$35,$C56)+COUNTIF(⑪ZEN工程入力!$V$6:$V$35,$C56)+COUNTIF(⑪ZEN工程入力!$W$6:$W$35,$C56)+COUNTIF(⑫ミキサー工程入力!$R$6:$R$65,$C56)+COUNTIF(⑫ミキサー工程入力!$S$6:$S$65,$C56)+COUNTIF(⑫ミキサー工程入力!$T$6:$T$65,$C56)+COUNTIF(⑫ミキサー工程入力!$U$6:$U$65,$C56)+COUNTIF(⑫ミキサー工程入力!$V$6:$V$65,$C56)+COUNTIF(⑫ミキサー工程入力!$W$6:$W$65,$C56)+COUNTIF(⑬計量工程入力!$R$6:$R$65,$C56)+COUNTIF(⑬計量工程入力!$S$6:$S$65,$C56)+COUNTIF(⑬計量工程入力!$T$6:$T$65,$C56)+COUNTIF(⑬計量工程入力!$U$6:$U$65,$C56)+COUNTIF(⑬計量工程入力!$V$6:$V$65,$C56)+COUNTIF(⑬計量工程入力!$W$6:$W$65,$C56)+COUNTIF(⑭手動工程入力!$R$6:$R$47,$C56)+COUNTIF(⑭手動工程入力!$S$6:$S$47,$C56)+COUNTIF(⑭手動工程入力!$T$6:$T$47,$C56)+COUNTIF(⑭手動工程入力!$U$6:$U$47,$C56)+COUNTIF(⑭手動工程入力!$V$6:$V$47,$C56)+COUNTIF(⑭手動工程入力!$W$6:$W$47,$C56)</f>
        <v/>
      </c>
      <c r="Q56" s="392" t="n"/>
      <c r="R56" s="393" t="n">
        <v>18.68</v>
      </c>
      <c r="S56" s="393" t="n">
        <v>223</v>
      </c>
      <c r="T56" s="393">
        <f>IF(AND(ISNUMBER($I56),ISNUMBER($R56)),$I56-$R56,"")</f>
        <v/>
      </c>
      <c r="U56" s="393" t="inlineStr">
        <is>
          <t>みかんの牛乳寒</t>
        </is>
      </c>
      <c r="V56" s="605">
        <f>IFERROR(INDEX(KIT別作業時間!$D$4:$D$27,MATCH(SUBSTITUTE(SUBSTITUTE(SUBSTITUTE(SUBSTITUTE(SUBSTITUTE(SUBSTITUTE(SUBSTITUTE(SUBSTITUTE(SUBSTITUTE(SUBSTITUTE(ASC($C56),"①","1"),"②","2"),"③","3"),"④","4"),"⑤","5"),"⑥","6"),"⑦","7"),"⑧","8"),"⑨","9")," ",""),KIT別作業時間!$C$4:$C$27,0)),"")</f>
        <v/>
      </c>
      <c r="W56" s="393">
        <f>IF(AND(ISNUMBER($I56),$I56&gt;0),$I56,IF(ISNUMBER($V56),$V56,IF(ISNUMBER($R56),$R56,"")))</f>
        <v/>
      </c>
      <c r="X56" s="393">
        <f>IF(AND(ISNUMBER($I56),$I56&gt;0),"今回の工程実績",IF(ISNUMBER($V56),"KIT作業時間",IF(ISNUMBER($R56),"前回資料","")))</f>
        <v/>
      </c>
      <c r="Y56" s="398" t="n">
        <v>6342</v>
      </c>
      <c r="Z56" s="398">
        <f>IF(AND(ISNUMBER($W56),ISNUMBER($Y56)),$W56*$Y56,"")</f>
        <v/>
      </c>
      <c r="AA56" s="393" t="n"/>
    </row>
    <row r="57">
      <c r="A57" s="392" t="n">
        <v>53</v>
      </c>
      <c r="B57" s="392" t="n"/>
      <c r="C57" s="392" t="inlineStr">
        <is>
          <t>串なし焼き鳥ＫＩＴ</t>
        </is>
      </c>
      <c r="D57" s="398">
        <f>SUMIF(⑩盛付梱包工程入力!$R$5:$R$300,$C57,⑩盛付梱包工程入力!$AC$5:$AC$300)+SUMIF(⑩盛付梱包工程入力!$S$5:$S$300,$C57,⑩盛付梱包工程入力!$AC$5:$AC$300)+SUMIF(⑩盛付梱包工程入力!$T$5:$T$300,$C57,⑩盛付梱包工程入力!$AC$5:$AC$300)+SUMIF(⑩盛付梱包工程入力!$U$5:$U$300,$C57,⑩盛付梱包工程入力!$AC$5:$AC$300)+SUMIF(⑩盛付梱包工程入力!$V$5:$V$300,$C57,⑩盛付梱包工程入力!$AC$5:$AC$300)+SUMIF(⑩盛付梱包工程入力!$W$5:$W$300,$C57,⑩盛付梱包工程入力!$AC$5:$AC$300)</f>
        <v/>
      </c>
      <c r="E57" s="398" t="n">
        <v>16</v>
      </c>
      <c r="F57" s="398">
        <f>IF(N($E57)&gt;0,$E57,$D57)</f>
        <v/>
      </c>
      <c r="G57" s="393" t="n">
        <v>341.9407407407408</v>
      </c>
      <c r="H57" s="393">
        <f>SUMIF(②釜工程入力!$R$5:$R$117,$C57,②釜工程入力!$AD$5:$AD$117)+SUMIF(②釜工程入力!$S$5:$S$117,$C57,②釜工程入力!$AE$5:$AE$117)+SUMIF(②釜工程入力!$T$5:$T$117,$C57,②釜工程入力!$AF$5:$AF$117)+SUMIF(②釜工程入力!$U$5:$U$117,$C57,②釜工程入力!$AG$5:$AG$117)+SUMIF(②釜工程入力!$V$5:$V$117,$C57,②釜工程入力!$AH$5:$AH$117)+SUMIF(②釜工程入力!$W$5:$W$117,$C57,②釜工程入力!$AI$5:$AI$117)+SUMIF(③スチコン工程入力!$R$5:$R$152,$C57,③スチコン工程入力!$AD$5:$AD$152)+SUMIF(③スチコン工程入力!$S$5:$S$152,$C57,③スチコン工程入力!$AE$5:$AE$152)+SUMIF(③スチコン工程入力!$T$5:$T$152,$C57,③スチコン工程入力!$AF$5:$AF$152)+SUMIF(③スチコン工程入力!$U$5:$U$152,$C57,③スチコン工程入力!$AG$5:$AG$152)+SUMIF(③スチコン工程入力!$V$5:$V$152,$C57,③スチコン工程入力!$AH$5:$AH$152)+SUMIF(③スチコン工程入力!$W$5:$W$152,$C57,③スチコン工程入力!$AI$5:$AI$152)+SUMIF(⑩盛付梱包工程入力!$R$5:$R$300,$C57,⑩盛付梱包工程入力!$AD$5:$AD$300)+SUMIF(⑩盛付梱包工程入力!$S$5:$S$300,$C57,⑩盛付梱包工程入力!$AE$5:$AE$300)+SUMIF(⑩盛付梱包工程入力!$T$5:$T$300,$C57,⑩盛付梱包工程入力!$AF$5:$AF$300)+SUMIF(⑩盛付梱包工程入力!$U$5:$U$300,$C57,⑩盛付梱包工程入力!$AG$5:$AG$300)+SUMIF(⑩盛付梱包工程入力!$V$5:$V$300,$C57,⑩盛付梱包工程入力!$AH$5:$AH$300)+SUMIF(⑩盛付梱包工程入力!$W$5:$W$300,$C57,⑩盛付梱包工程入力!$AI$5:$AI$300)+SUMIF(⑪ZEN工程入力!$R$6:$R$35,$C57,⑪ZEN工程入力!$AD$6:$AD$35)+SUMIF(⑪ZEN工程入力!$S$6:$S$35,$C57,⑪ZEN工程入力!$AE$6:$AE$35)+SUMIF(⑪ZEN工程入力!$T$6:$T$35,$C57,⑪ZEN工程入力!$AF$6:$AF$35)+SUMIF(⑪ZEN工程入力!$U$6:$U$35,$C57,⑪ZEN工程入力!$AG$6:$AG$35)+SUMIF(⑪ZEN工程入力!$V$6:$V$35,$C57,⑪ZEN工程入力!$AH$6:$AH$35)+SUMIF(⑪ZEN工程入力!$W$6:$W$35,$C57,⑪ZEN工程入力!$AI$6:$AI$35)+SUMIF(⑫ミキサー工程入力!$R$6:$R$65,$C57,⑫ミキサー工程入力!$AD$6:$AD$65)+SUMIF(⑫ミキサー工程入力!$S$6:$S$65,$C57,⑫ミキサー工程入力!$AE$6:$AE$65)+SUMIF(⑫ミキサー工程入力!$T$6:$T$65,$C57,⑫ミキサー工程入力!$AF$6:$AF$65)+SUMIF(⑫ミキサー工程入力!$U$6:$U$65,$C57,⑫ミキサー工程入力!$AG$6:$AG$65)+SUMIF(⑫ミキサー工程入力!$V$6:$V$65,$C57,⑫ミキサー工程入力!$AH$6:$AH$65)+SUMIF(⑫ミキサー工程入力!$W$6:$W$65,$C57,⑫ミキサー工程入力!$AI$6:$AI$65)+SUMIF(⑬計量工程入力!$R$6:$R$65,$C57,⑬計量工程入力!$AD$6:$AD$65)+SUMIF(⑬計量工程入力!$S$6:$S$65,$C57,⑬計量工程入力!$AE$6:$AE$65)+SUMIF(⑬計量工程入力!$T$6:$T$65,$C57,⑬計量工程入力!$AF$6:$AF$65)+SUMIF(⑬計量工程入力!$U$6:$U$65,$C57,⑬計量工程入力!$AG$6:$AG$65)+SUMIF(⑬計量工程入力!$V$6:$V$65,$C57,⑬計量工程入力!$AH$6:$AH$65)+SUMIF(⑬計量工程入力!$W$6:$W$65,$C57,⑬計量工程入力!$AI$6:$AI$65)+SUMIF(⑭手動工程入力!$R$6:$R$47,$C57,⑭手動工程入力!$AD$6:$AD$47)+SUMIF(⑭手動工程入力!$S$6:$S$47,$C57,⑭手動工程入力!$AE$6:$AE$47)+SUMIF(⑭手動工程入力!$T$6:$T$47,$C57,⑭手動工程入力!$AF$6:$AF$47)+SUMIF(⑭手動工程入力!$U$6:$U$47,$C57,⑭手動工程入力!$AG$6:$AG$47)+SUMIF(⑭手動工程入力!$V$6:$V$47,$C57,⑭手動工程入力!$AH$6:$AH$47)+SUMIF(⑭手動工程入力!$W$6:$W$47,$C57,⑭手動工程入力!$AI$6:$AI$47)</f>
        <v/>
      </c>
      <c r="I57" s="393">
        <f>IF($F57&gt;0,$H57/$F57,"")</f>
        <v/>
      </c>
      <c r="J57" s="605">
        <f>IFERROR(INDEX(商品原価!$B$4:$B$112,MATCH(SUBSTITUTE(SUBSTITUTE(SUBSTITUTE(SUBSTITUTE(SUBSTITUTE(SUBSTITUTE(SUBSTITUTE(SUBSTITUTE(SUBSTITUTE(SUBSTITUTE(ASC($C57),"①","1"),"②","2"),"③","3"),"④","4"),"⑤","5"),"⑥","6"),"⑦","7"),"⑧","8"),"⑨","9")," ",""),商品原価!$C$4:$C$112,0)),"")</f>
        <v/>
      </c>
      <c r="K57" s="542">
        <f>IF(ISNUMBER($J57),$J57*④前提設定!$B$21,"")</f>
        <v/>
      </c>
      <c r="L57" s="605">
        <f>IF(AND(NOT(ISNUMBER($J57)),NOT(ISNUMBER($K57))),"",N($J57)+N($K57))</f>
        <v/>
      </c>
      <c r="M57" s="605">
        <f>IFERROR(INDEX(商品原価!$E$4:$E$112,MATCH(SUBSTITUTE(SUBSTITUTE(SUBSTITUTE(SUBSTITUTE(SUBSTITUTE(SUBSTITUTE(SUBSTITUTE(SUBSTITUTE(SUBSTITUTE(SUBSTITUTE(ASC($C57),"①","1"),"②","2"),"③","3"),"④","4"),"⑤","5"),"⑥","6"),"⑦","7"),"⑧","8"),"⑨","9")," ",""),商品原価!$C$4:$C$112,0)),"")</f>
        <v/>
      </c>
      <c r="N57" s="605">
        <f>IF(AND(ISNUMBER($M57),ISNUMBER($L57)),$M57-$L57-N($W57),"")</f>
        <v/>
      </c>
      <c r="O57" s="606">
        <f>IF(AND(ISNUMBER($N57),ISNUMBER($M57),$M57&gt;0),$N57/$M57,"")</f>
        <v/>
      </c>
      <c r="P57" s="398">
        <f>COUNTIF(②釜工程入力!$R$5:$R$117,$C57)+COUNTIF(②釜工程入力!$S$5:$S$117,$C57)+COUNTIF(②釜工程入力!$T$5:$T$117,$C57)+COUNTIF(②釜工程入力!$U$5:$U$117,$C57)+COUNTIF(②釜工程入力!$V$5:$V$117,$C57)+COUNTIF(②釜工程入力!$W$5:$W$117,$C57)+COUNTIF(③スチコン工程入力!$R$5:$R$152,$C57)+COUNTIF(③スチコン工程入力!$S$5:$S$152,$C57)+COUNTIF(③スチコン工程入力!$T$5:$T$152,$C57)+COUNTIF(③スチコン工程入力!$U$5:$U$152,$C57)+COUNTIF(③スチコン工程入力!$V$5:$V$152,$C57)+COUNTIF(③スチコン工程入力!$W$5:$W$152,$C57)+COUNTIF(⑩盛付梱包工程入力!$R$5:$R$300,$C57)+COUNTIF(⑩盛付梱包工程入力!$S$5:$S$300,$C57)+COUNTIF(⑩盛付梱包工程入力!$T$5:$T$300,$C57)+COUNTIF(⑩盛付梱包工程入力!$U$5:$U$300,$C57)+COUNTIF(⑩盛付梱包工程入力!$V$5:$V$300,$C57)+COUNTIF(⑩盛付梱包工程入力!$W$5:$W$300,$C57)+COUNTIF(⑪ZEN工程入力!$R$6:$R$35,$C57)+COUNTIF(⑪ZEN工程入力!$S$6:$S$35,$C57)+COUNTIF(⑪ZEN工程入力!$T$6:$T$35,$C57)+COUNTIF(⑪ZEN工程入力!$U$6:$U$35,$C57)+COUNTIF(⑪ZEN工程入力!$V$6:$V$35,$C57)+COUNTIF(⑪ZEN工程入力!$W$6:$W$35,$C57)+COUNTIF(⑫ミキサー工程入力!$R$6:$R$65,$C57)+COUNTIF(⑫ミキサー工程入力!$S$6:$S$65,$C57)+COUNTIF(⑫ミキサー工程入力!$T$6:$T$65,$C57)+COUNTIF(⑫ミキサー工程入力!$U$6:$U$65,$C57)+COUNTIF(⑫ミキサー工程入力!$V$6:$V$65,$C57)+COUNTIF(⑫ミキサー工程入力!$W$6:$W$65,$C57)+COUNTIF(⑬計量工程入力!$R$6:$R$65,$C57)+COUNTIF(⑬計量工程入力!$S$6:$S$65,$C57)+COUNTIF(⑬計量工程入力!$T$6:$T$65,$C57)+COUNTIF(⑬計量工程入力!$U$6:$U$65,$C57)+COUNTIF(⑬計量工程入力!$V$6:$V$65,$C57)+COUNTIF(⑬計量工程入力!$W$6:$W$65,$C57)+COUNTIF(⑭手動工程入力!$R$6:$R$47,$C57)+COUNTIF(⑭手動工程入力!$S$6:$S$47,$C57)+COUNTIF(⑭手動工程入力!$T$6:$T$47,$C57)+COUNTIF(⑭手動工程入力!$U$6:$U$47,$C57)+COUNTIF(⑭手動工程入力!$V$6:$V$47,$C57)+COUNTIF(⑭手動工程入力!$W$6:$W$47,$C57)</f>
        <v/>
      </c>
      <c r="Q57" s="392" t="inlineStr">
        <is>
          <t>⑩盛付梱包 64行目に入力欄を作成（工程記録なし）</t>
        </is>
      </c>
      <c r="R57" s="393" t="n"/>
      <c r="S57" s="393" t="n"/>
      <c r="T57" s="393" t="n"/>
      <c r="U57" s="393" t="n"/>
      <c r="V57" s="605">
        <f>IFERROR(INDEX(KIT別作業時間!$D$4:$D$27,MATCH(SUBSTITUTE(SUBSTITUTE(SUBSTITUTE(SUBSTITUTE(SUBSTITUTE(SUBSTITUTE(SUBSTITUTE(SUBSTITUTE(SUBSTITUTE(SUBSTITUTE(ASC($C57),"①","1"),"②","2"),"③","3"),"④","4"),"⑤","5"),"⑥","6"),"⑦","7"),"⑧","8"),"⑨","9")," ",""),KIT別作業時間!$C$4:$C$27,0)),"")</f>
        <v/>
      </c>
      <c r="W57" s="393">
        <f>IF(AND(ISNUMBER($I57),$I57&gt;0),$I57,IF(ISNUMBER($V57),$V57,IF(ISNUMBER($R57),$R57,"")))</f>
        <v/>
      </c>
      <c r="X57" s="393">
        <f>IF(AND(ISNUMBER($I57),$I57&gt;0),"今回の工程実績",IF(ISNUMBER($V57),"KIT作業時間",IF(ISNUMBER($R57),"前回資料","")))</f>
        <v/>
      </c>
      <c r="Y57" s="398" t="n">
        <v>613</v>
      </c>
      <c r="Z57" s="398">
        <f>IF(AND(ISNUMBER($W57),ISNUMBER($Y57)),$W57*$Y57,"")</f>
        <v/>
      </c>
      <c r="AA57" s="393" t="n"/>
    </row>
    <row r="58">
      <c r="A58" s="392" t="n">
        <v>54</v>
      </c>
      <c r="B58" s="392" t="n"/>
      <c r="C58" s="392" t="inlineStr">
        <is>
          <t>全粒粉入り湯種ロール６個</t>
        </is>
      </c>
      <c r="D58" s="398">
        <f>SUMIF(⑩盛付梱包工程入力!$R$5:$R$300,$C58,⑩盛付梱包工程入力!$AC$5:$AC$300)+SUMIF(⑩盛付梱包工程入力!$S$5:$S$300,$C58,⑩盛付梱包工程入力!$AC$5:$AC$300)+SUMIF(⑩盛付梱包工程入力!$T$5:$T$300,$C58,⑩盛付梱包工程入力!$AC$5:$AC$300)+SUMIF(⑩盛付梱包工程入力!$U$5:$U$300,$C58,⑩盛付梱包工程入力!$AC$5:$AC$300)+SUMIF(⑩盛付梱包工程入力!$V$5:$V$300,$C58,⑩盛付梱包工程入力!$AC$5:$AC$300)+SUMIF(⑩盛付梱包工程入力!$W$5:$W$300,$C58,⑩盛付梱包工程入力!$AC$5:$AC$300)</f>
        <v/>
      </c>
      <c r="E58" s="398" t="n">
        <v>288</v>
      </c>
      <c r="F58" s="398">
        <f>IF(N($E58)&gt;0,$E58,$D58)</f>
        <v/>
      </c>
      <c r="G58" s="393" t="n">
        <v>43.42241569318933</v>
      </c>
      <c r="H58" s="393">
        <f>SUMIF(②釜工程入力!$R$5:$R$117,$C58,②釜工程入力!$AD$5:$AD$117)+SUMIF(②釜工程入力!$S$5:$S$117,$C58,②釜工程入力!$AE$5:$AE$117)+SUMIF(②釜工程入力!$T$5:$T$117,$C58,②釜工程入力!$AF$5:$AF$117)+SUMIF(②釜工程入力!$U$5:$U$117,$C58,②釜工程入力!$AG$5:$AG$117)+SUMIF(②釜工程入力!$V$5:$V$117,$C58,②釜工程入力!$AH$5:$AH$117)+SUMIF(②釜工程入力!$W$5:$W$117,$C58,②釜工程入力!$AI$5:$AI$117)+SUMIF(③スチコン工程入力!$R$5:$R$152,$C58,③スチコン工程入力!$AD$5:$AD$152)+SUMIF(③スチコン工程入力!$S$5:$S$152,$C58,③スチコン工程入力!$AE$5:$AE$152)+SUMIF(③スチコン工程入力!$T$5:$T$152,$C58,③スチコン工程入力!$AF$5:$AF$152)+SUMIF(③スチコン工程入力!$U$5:$U$152,$C58,③スチコン工程入力!$AG$5:$AG$152)+SUMIF(③スチコン工程入力!$V$5:$V$152,$C58,③スチコン工程入力!$AH$5:$AH$152)+SUMIF(③スチコン工程入力!$W$5:$W$152,$C58,③スチコン工程入力!$AI$5:$AI$152)+SUMIF(⑩盛付梱包工程入力!$R$5:$R$300,$C58,⑩盛付梱包工程入力!$AD$5:$AD$300)+SUMIF(⑩盛付梱包工程入力!$S$5:$S$300,$C58,⑩盛付梱包工程入力!$AE$5:$AE$300)+SUMIF(⑩盛付梱包工程入力!$T$5:$T$300,$C58,⑩盛付梱包工程入力!$AF$5:$AF$300)+SUMIF(⑩盛付梱包工程入力!$U$5:$U$300,$C58,⑩盛付梱包工程入力!$AG$5:$AG$300)+SUMIF(⑩盛付梱包工程入力!$V$5:$V$300,$C58,⑩盛付梱包工程入力!$AH$5:$AH$300)+SUMIF(⑩盛付梱包工程入力!$W$5:$W$300,$C58,⑩盛付梱包工程入力!$AI$5:$AI$300)+SUMIF(⑪ZEN工程入力!$R$6:$R$35,$C58,⑪ZEN工程入力!$AD$6:$AD$35)+SUMIF(⑪ZEN工程入力!$S$6:$S$35,$C58,⑪ZEN工程入力!$AE$6:$AE$35)+SUMIF(⑪ZEN工程入力!$T$6:$T$35,$C58,⑪ZEN工程入力!$AF$6:$AF$35)+SUMIF(⑪ZEN工程入力!$U$6:$U$35,$C58,⑪ZEN工程入力!$AG$6:$AG$35)+SUMIF(⑪ZEN工程入力!$V$6:$V$35,$C58,⑪ZEN工程入力!$AH$6:$AH$35)+SUMIF(⑪ZEN工程入力!$W$6:$W$35,$C58,⑪ZEN工程入力!$AI$6:$AI$35)+SUMIF(⑫ミキサー工程入力!$R$6:$R$65,$C58,⑫ミキサー工程入力!$AD$6:$AD$65)+SUMIF(⑫ミキサー工程入力!$S$6:$S$65,$C58,⑫ミキサー工程入力!$AE$6:$AE$65)+SUMIF(⑫ミキサー工程入力!$T$6:$T$65,$C58,⑫ミキサー工程入力!$AF$6:$AF$65)+SUMIF(⑫ミキサー工程入力!$U$6:$U$65,$C58,⑫ミキサー工程入力!$AG$6:$AG$65)+SUMIF(⑫ミキサー工程入力!$V$6:$V$65,$C58,⑫ミキサー工程入力!$AH$6:$AH$65)+SUMIF(⑫ミキサー工程入力!$W$6:$W$65,$C58,⑫ミキサー工程入力!$AI$6:$AI$65)+SUMIF(⑬計量工程入力!$R$6:$R$65,$C58,⑬計量工程入力!$AD$6:$AD$65)+SUMIF(⑬計量工程入力!$S$6:$S$65,$C58,⑬計量工程入力!$AE$6:$AE$65)+SUMIF(⑬計量工程入力!$T$6:$T$65,$C58,⑬計量工程入力!$AF$6:$AF$65)+SUMIF(⑬計量工程入力!$U$6:$U$65,$C58,⑬計量工程入力!$AG$6:$AG$65)+SUMIF(⑬計量工程入力!$V$6:$V$65,$C58,⑬計量工程入力!$AH$6:$AH$65)+SUMIF(⑬計量工程入力!$W$6:$W$65,$C58,⑬計量工程入力!$AI$6:$AI$65)+SUMIF(⑭手動工程入力!$R$6:$R$47,$C58,⑭手動工程入力!$AD$6:$AD$47)+SUMIF(⑭手動工程入力!$S$6:$S$47,$C58,⑭手動工程入力!$AE$6:$AE$47)+SUMIF(⑭手動工程入力!$T$6:$T$47,$C58,⑭手動工程入力!$AF$6:$AF$47)+SUMIF(⑭手動工程入力!$U$6:$U$47,$C58,⑭手動工程入力!$AG$6:$AG$47)+SUMIF(⑭手動工程入力!$V$6:$V$47,$C58,⑭手動工程入力!$AH$6:$AH$47)+SUMIF(⑭手動工程入力!$W$6:$W$47,$C58,⑭手動工程入力!$AI$6:$AI$47)</f>
        <v/>
      </c>
      <c r="I58" s="393">
        <f>IF($F58&gt;0,$H58/$F58,"")</f>
        <v/>
      </c>
      <c r="J58" s="605">
        <f>IFERROR(INDEX(商品原価!$B$4:$B$112,MATCH(SUBSTITUTE(SUBSTITUTE(SUBSTITUTE(SUBSTITUTE(SUBSTITUTE(SUBSTITUTE(SUBSTITUTE(SUBSTITUTE(SUBSTITUTE(SUBSTITUTE(ASC($C58),"①","1"),"②","2"),"③","3"),"④","4"),"⑤","5"),"⑥","6"),"⑦","7"),"⑧","8"),"⑨","9")," ",""),商品原価!$C$4:$C$112,0)),"")</f>
        <v/>
      </c>
      <c r="K58" s="542">
        <f>IF(ISNUMBER($J58),$J58*④前提設定!$B$21,"")</f>
        <v/>
      </c>
      <c r="L58" s="605">
        <f>IF(AND(NOT(ISNUMBER($J58)),NOT(ISNUMBER($K58))),"",N($J58)+N($K58))</f>
        <v/>
      </c>
      <c r="M58" s="605">
        <f>IFERROR(INDEX(商品原価!$E$4:$E$112,MATCH(SUBSTITUTE(SUBSTITUTE(SUBSTITUTE(SUBSTITUTE(SUBSTITUTE(SUBSTITUTE(SUBSTITUTE(SUBSTITUTE(SUBSTITUTE(SUBSTITUTE(ASC($C58),"①","1"),"②","2"),"③","3"),"④","4"),"⑤","5"),"⑥","6"),"⑦","7"),"⑧","8"),"⑨","9")," ",""),商品原価!$C$4:$C$112,0)),"")</f>
        <v/>
      </c>
      <c r="N58" s="605">
        <f>IF(AND(ISNUMBER($M58),ISNUMBER($L58)),$M58-$L58-N($W58),"")</f>
        <v/>
      </c>
      <c r="O58" s="606">
        <f>IF(AND(ISNUMBER($N58),ISNUMBER($M58),$M58&gt;0),$N58/$M58,"")</f>
        <v/>
      </c>
      <c r="P58" s="398">
        <f>COUNTIF(②釜工程入力!$R$5:$R$117,$C58)+COUNTIF(②釜工程入力!$S$5:$S$117,$C58)+COUNTIF(②釜工程入力!$T$5:$T$117,$C58)+COUNTIF(②釜工程入力!$U$5:$U$117,$C58)+COUNTIF(②釜工程入力!$V$5:$V$117,$C58)+COUNTIF(②釜工程入力!$W$5:$W$117,$C58)+COUNTIF(③スチコン工程入力!$R$5:$R$152,$C58)+COUNTIF(③スチコン工程入力!$S$5:$S$152,$C58)+COUNTIF(③スチコン工程入力!$T$5:$T$152,$C58)+COUNTIF(③スチコン工程入力!$U$5:$U$152,$C58)+COUNTIF(③スチコン工程入力!$V$5:$V$152,$C58)+COUNTIF(③スチコン工程入力!$W$5:$W$152,$C58)+COUNTIF(⑩盛付梱包工程入力!$R$5:$R$300,$C58)+COUNTIF(⑩盛付梱包工程入力!$S$5:$S$300,$C58)+COUNTIF(⑩盛付梱包工程入力!$T$5:$T$300,$C58)+COUNTIF(⑩盛付梱包工程入力!$U$5:$U$300,$C58)+COUNTIF(⑩盛付梱包工程入力!$V$5:$V$300,$C58)+COUNTIF(⑩盛付梱包工程入力!$W$5:$W$300,$C58)+COUNTIF(⑪ZEN工程入力!$R$6:$R$35,$C58)+COUNTIF(⑪ZEN工程入力!$S$6:$S$35,$C58)+COUNTIF(⑪ZEN工程入力!$T$6:$T$35,$C58)+COUNTIF(⑪ZEN工程入力!$U$6:$U$35,$C58)+COUNTIF(⑪ZEN工程入力!$V$6:$V$35,$C58)+COUNTIF(⑪ZEN工程入力!$W$6:$W$35,$C58)+COUNTIF(⑫ミキサー工程入力!$R$6:$R$65,$C58)+COUNTIF(⑫ミキサー工程入力!$S$6:$S$65,$C58)+COUNTIF(⑫ミキサー工程入力!$T$6:$T$65,$C58)+COUNTIF(⑫ミキサー工程入力!$U$6:$U$65,$C58)+COUNTIF(⑫ミキサー工程入力!$V$6:$V$65,$C58)+COUNTIF(⑫ミキサー工程入力!$W$6:$W$65,$C58)+COUNTIF(⑬計量工程入力!$R$6:$R$65,$C58)+COUNTIF(⑬計量工程入力!$S$6:$S$65,$C58)+COUNTIF(⑬計量工程入力!$T$6:$T$65,$C58)+COUNTIF(⑬計量工程入力!$U$6:$U$65,$C58)+COUNTIF(⑬計量工程入力!$V$6:$V$65,$C58)+COUNTIF(⑬計量工程入力!$W$6:$W$65,$C58)+COUNTIF(⑭手動工程入力!$R$6:$R$47,$C58)+COUNTIF(⑭手動工程入力!$S$6:$S$47,$C58)+COUNTIF(⑭手動工程入力!$T$6:$T$47,$C58)+COUNTIF(⑭手動工程入力!$U$6:$U$47,$C58)+COUNTIF(⑭手動工程入力!$V$6:$V$47,$C58)+COUNTIF(⑭手動工程入力!$W$6:$W$47,$C58)</f>
        <v/>
      </c>
      <c r="Q58" s="392" t="n"/>
      <c r="R58" s="393" t="n"/>
      <c r="S58" s="393" t="n"/>
      <c r="T58" s="393" t="n"/>
      <c r="U58" s="393" t="n"/>
      <c r="V58" s="605">
        <f>IFERROR(INDEX(KIT別作業時間!$D$4:$D$27,MATCH(SUBSTITUTE(SUBSTITUTE(SUBSTITUTE(SUBSTITUTE(SUBSTITUTE(SUBSTITUTE(SUBSTITUTE(SUBSTITUTE(SUBSTITUTE(SUBSTITUTE(ASC($C58),"①","1"),"②","2"),"③","3"),"④","4"),"⑤","5"),"⑥","6"),"⑦","7"),"⑧","8"),"⑨","9")," ",""),KIT別作業時間!$C$4:$C$27,0)),"")</f>
        <v/>
      </c>
      <c r="W58" s="393">
        <f>IF(AND(ISNUMBER($I58),$I58&gt;0),$I58,IF(ISNUMBER($V58),$V58,IF(ISNUMBER($R58),$R58,"")))</f>
        <v/>
      </c>
      <c r="X58" s="393">
        <f>IF(AND(ISNUMBER($I58),$I58&gt;0),"今回の工程実績",IF(ISNUMBER($V58),"KIT作業時間",IF(ISNUMBER($R58),"前回資料","")))</f>
        <v/>
      </c>
      <c r="Y58" s="398" t="n">
        <v>8162</v>
      </c>
      <c r="Z58" s="398">
        <f>IF(AND(ISNUMBER($W58),ISNUMBER($Y58)),$W58*$Y58,"")</f>
        <v/>
      </c>
      <c r="AA58" s="393" t="n"/>
    </row>
    <row r="59">
      <c r="A59" s="392" t="n">
        <v>55</v>
      </c>
      <c r="B59" s="392" t="n"/>
      <c r="C59" s="392" t="inlineStr">
        <is>
          <t>メロン塩パンＫＩＴ</t>
        </is>
      </c>
      <c r="D59" s="398">
        <f>SUMIF(⑩盛付梱包工程入力!$R$5:$R$300,$C59,⑩盛付梱包工程入力!$AC$5:$AC$300)+SUMIF(⑩盛付梱包工程入力!$S$5:$S$300,$C59,⑩盛付梱包工程入力!$AC$5:$AC$300)+SUMIF(⑩盛付梱包工程入力!$T$5:$T$300,$C59,⑩盛付梱包工程入力!$AC$5:$AC$300)+SUMIF(⑩盛付梱包工程入力!$U$5:$U$300,$C59,⑩盛付梱包工程入力!$AC$5:$AC$300)+SUMIF(⑩盛付梱包工程入力!$V$5:$V$300,$C59,⑩盛付梱包工程入力!$AC$5:$AC$300)+SUMIF(⑩盛付梱包工程入力!$W$5:$W$300,$C59,⑩盛付梱包工程入力!$AC$5:$AC$300)</f>
        <v/>
      </c>
      <c r="E59" s="398" t="n">
        <v>18</v>
      </c>
      <c r="F59" s="398">
        <f>IF(N($E59)&gt;0,$E59,$D59)</f>
        <v/>
      </c>
      <c r="G59" s="393" t="n">
        <v>262.7275362318841</v>
      </c>
      <c r="H59" s="393">
        <f>SUMIF(②釜工程入力!$R$5:$R$117,$C59,②釜工程入力!$AD$5:$AD$117)+SUMIF(②釜工程入力!$S$5:$S$117,$C59,②釜工程入力!$AE$5:$AE$117)+SUMIF(②釜工程入力!$T$5:$T$117,$C59,②釜工程入力!$AF$5:$AF$117)+SUMIF(②釜工程入力!$U$5:$U$117,$C59,②釜工程入力!$AG$5:$AG$117)+SUMIF(②釜工程入力!$V$5:$V$117,$C59,②釜工程入力!$AH$5:$AH$117)+SUMIF(②釜工程入力!$W$5:$W$117,$C59,②釜工程入力!$AI$5:$AI$117)+SUMIF(③スチコン工程入力!$R$5:$R$152,$C59,③スチコン工程入力!$AD$5:$AD$152)+SUMIF(③スチコン工程入力!$S$5:$S$152,$C59,③スチコン工程入力!$AE$5:$AE$152)+SUMIF(③スチコン工程入力!$T$5:$T$152,$C59,③スチコン工程入力!$AF$5:$AF$152)+SUMIF(③スチコン工程入力!$U$5:$U$152,$C59,③スチコン工程入力!$AG$5:$AG$152)+SUMIF(③スチコン工程入力!$V$5:$V$152,$C59,③スチコン工程入力!$AH$5:$AH$152)+SUMIF(③スチコン工程入力!$W$5:$W$152,$C59,③スチコン工程入力!$AI$5:$AI$152)+SUMIF(⑩盛付梱包工程入力!$R$5:$R$300,$C59,⑩盛付梱包工程入力!$AD$5:$AD$300)+SUMIF(⑩盛付梱包工程入力!$S$5:$S$300,$C59,⑩盛付梱包工程入力!$AE$5:$AE$300)+SUMIF(⑩盛付梱包工程入力!$T$5:$T$300,$C59,⑩盛付梱包工程入力!$AF$5:$AF$300)+SUMIF(⑩盛付梱包工程入力!$U$5:$U$300,$C59,⑩盛付梱包工程入力!$AG$5:$AG$300)+SUMIF(⑩盛付梱包工程入力!$V$5:$V$300,$C59,⑩盛付梱包工程入力!$AH$5:$AH$300)+SUMIF(⑩盛付梱包工程入力!$W$5:$W$300,$C59,⑩盛付梱包工程入力!$AI$5:$AI$300)+SUMIF(⑪ZEN工程入力!$R$6:$R$35,$C59,⑪ZEN工程入力!$AD$6:$AD$35)+SUMIF(⑪ZEN工程入力!$S$6:$S$35,$C59,⑪ZEN工程入力!$AE$6:$AE$35)+SUMIF(⑪ZEN工程入力!$T$6:$T$35,$C59,⑪ZEN工程入力!$AF$6:$AF$35)+SUMIF(⑪ZEN工程入力!$U$6:$U$35,$C59,⑪ZEN工程入力!$AG$6:$AG$35)+SUMIF(⑪ZEN工程入力!$V$6:$V$35,$C59,⑪ZEN工程入力!$AH$6:$AH$35)+SUMIF(⑪ZEN工程入力!$W$6:$W$35,$C59,⑪ZEN工程入力!$AI$6:$AI$35)+SUMIF(⑫ミキサー工程入力!$R$6:$R$65,$C59,⑫ミキサー工程入力!$AD$6:$AD$65)+SUMIF(⑫ミキサー工程入力!$S$6:$S$65,$C59,⑫ミキサー工程入力!$AE$6:$AE$65)+SUMIF(⑫ミキサー工程入力!$T$6:$T$65,$C59,⑫ミキサー工程入力!$AF$6:$AF$65)+SUMIF(⑫ミキサー工程入力!$U$6:$U$65,$C59,⑫ミキサー工程入力!$AG$6:$AG$65)+SUMIF(⑫ミキサー工程入力!$V$6:$V$65,$C59,⑫ミキサー工程入力!$AH$6:$AH$65)+SUMIF(⑫ミキサー工程入力!$W$6:$W$65,$C59,⑫ミキサー工程入力!$AI$6:$AI$65)+SUMIF(⑬計量工程入力!$R$6:$R$65,$C59,⑬計量工程入力!$AD$6:$AD$65)+SUMIF(⑬計量工程入力!$S$6:$S$65,$C59,⑬計量工程入力!$AE$6:$AE$65)+SUMIF(⑬計量工程入力!$T$6:$T$65,$C59,⑬計量工程入力!$AF$6:$AF$65)+SUMIF(⑬計量工程入力!$U$6:$U$65,$C59,⑬計量工程入力!$AG$6:$AG$65)+SUMIF(⑬計量工程入力!$V$6:$V$65,$C59,⑬計量工程入力!$AH$6:$AH$65)+SUMIF(⑬計量工程入力!$W$6:$W$65,$C59,⑬計量工程入力!$AI$6:$AI$65)+SUMIF(⑭手動工程入力!$R$6:$R$47,$C59,⑭手動工程入力!$AD$6:$AD$47)+SUMIF(⑭手動工程入力!$S$6:$S$47,$C59,⑭手動工程入力!$AE$6:$AE$47)+SUMIF(⑭手動工程入力!$T$6:$T$47,$C59,⑭手動工程入力!$AF$6:$AF$47)+SUMIF(⑭手動工程入力!$U$6:$U$47,$C59,⑭手動工程入力!$AG$6:$AG$47)+SUMIF(⑭手動工程入力!$V$6:$V$47,$C59,⑭手動工程入力!$AH$6:$AH$47)+SUMIF(⑭手動工程入力!$W$6:$W$47,$C59,⑭手動工程入力!$AI$6:$AI$47)</f>
        <v/>
      </c>
      <c r="I59" s="393">
        <f>IF($F59&gt;0,$H59/$F59,"")</f>
        <v/>
      </c>
      <c r="J59" s="605">
        <f>IFERROR(INDEX(商品原価!$B$4:$B$112,MATCH(SUBSTITUTE(SUBSTITUTE(SUBSTITUTE(SUBSTITUTE(SUBSTITUTE(SUBSTITUTE(SUBSTITUTE(SUBSTITUTE(SUBSTITUTE(SUBSTITUTE(ASC($C59),"①","1"),"②","2"),"③","3"),"④","4"),"⑤","5"),"⑥","6"),"⑦","7"),"⑧","8"),"⑨","9")," ",""),商品原価!$C$4:$C$112,0)),"")</f>
        <v/>
      </c>
      <c r="K59" s="542">
        <f>IF(ISNUMBER($J59),$J59*④前提設定!$B$21,"")</f>
        <v/>
      </c>
      <c r="L59" s="605">
        <f>IF(AND(NOT(ISNUMBER($J59)),NOT(ISNUMBER($K59))),"",N($J59)+N($K59))</f>
        <v/>
      </c>
      <c r="M59" s="605">
        <f>IFERROR(INDEX(商品原価!$E$4:$E$112,MATCH(SUBSTITUTE(SUBSTITUTE(SUBSTITUTE(SUBSTITUTE(SUBSTITUTE(SUBSTITUTE(SUBSTITUTE(SUBSTITUTE(SUBSTITUTE(SUBSTITUTE(ASC($C59),"①","1"),"②","2"),"③","3"),"④","4"),"⑤","5"),"⑥","6"),"⑦","7"),"⑧","8"),"⑨","9")," ",""),商品原価!$C$4:$C$112,0)),"")</f>
        <v/>
      </c>
      <c r="N59" s="605">
        <f>IF(AND(ISNUMBER($M59),ISNUMBER($L59)),$M59-$L59-N($W59),"")</f>
        <v/>
      </c>
      <c r="O59" s="606">
        <f>IF(AND(ISNUMBER($N59),ISNUMBER($M59),$M59&gt;0),$N59/$M59,"")</f>
        <v/>
      </c>
      <c r="P59" s="398">
        <f>COUNTIF(②釜工程入力!$R$5:$R$117,$C59)+COUNTIF(②釜工程入力!$S$5:$S$117,$C59)+COUNTIF(②釜工程入力!$T$5:$T$117,$C59)+COUNTIF(②釜工程入力!$U$5:$U$117,$C59)+COUNTIF(②釜工程入力!$V$5:$V$117,$C59)+COUNTIF(②釜工程入力!$W$5:$W$117,$C59)+COUNTIF(③スチコン工程入力!$R$5:$R$152,$C59)+COUNTIF(③スチコン工程入力!$S$5:$S$152,$C59)+COUNTIF(③スチコン工程入力!$T$5:$T$152,$C59)+COUNTIF(③スチコン工程入力!$U$5:$U$152,$C59)+COUNTIF(③スチコン工程入力!$V$5:$V$152,$C59)+COUNTIF(③スチコン工程入力!$W$5:$W$152,$C59)+COUNTIF(⑩盛付梱包工程入力!$R$5:$R$300,$C59)+COUNTIF(⑩盛付梱包工程入力!$S$5:$S$300,$C59)+COUNTIF(⑩盛付梱包工程入力!$T$5:$T$300,$C59)+COUNTIF(⑩盛付梱包工程入力!$U$5:$U$300,$C59)+COUNTIF(⑩盛付梱包工程入力!$V$5:$V$300,$C59)+COUNTIF(⑩盛付梱包工程入力!$W$5:$W$300,$C59)+COUNTIF(⑪ZEN工程入力!$R$6:$R$35,$C59)+COUNTIF(⑪ZEN工程入力!$S$6:$S$35,$C59)+COUNTIF(⑪ZEN工程入力!$T$6:$T$35,$C59)+COUNTIF(⑪ZEN工程入力!$U$6:$U$35,$C59)+COUNTIF(⑪ZEN工程入力!$V$6:$V$35,$C59)+COUNTIF(⑪ZEN工程入力!$W$6:$W$35,$C59)+COUNTIF(⑫ミキサー工程入力!$R$6:$R$65,$C59)+COUNTIF(⑫ミキサー工程入力!$S$6:$S$65,$C59)+COUNTIF(⑫ミキサー工程入力!$T$6:$T$65,$C59)+COUNTIF(⑫ミキサー工程入力!$U$6:$U$65,$C59)+COUNTIF(⑫ミキサー工程入力!$V$6:$V$65,$C59)+COUNTIF(⑫ミキサー工程入力!$W$6:$W$65,$C59)+COUNTIF(⑬計量工程入力!$R$6:$R$65,$C59)+COUNTIF(⑬計量工程入力!$S$6:$S$65,$C59)+COUNTIF(⑬計量工程入力!$T$6:$T$65,$C59)+COUNTIF(⑬計量工程入力!$U$6:$U$65,$C59)+COUNTIF(⑬計量工程入力!$V$6:$V$65,$C59)+COUNTIF(⑬計量工程入力!$W$6:$W$65,$C59)+COUNTIF(⑭手動工程入力!$R$6:$R$47,$C59)+COUNTIF(⑭手動工程入力!$S$6:$S$47,$C59)+COUNTIF(⑭手動工程入力!$T$6:$T$47,$C59)+COUNTIF(⑭手動工程入力!$U$6:$U$47,$C59)+COUNTIF(⑭手動工程入力!$V$6:$V$47,$C59)+COUNTIF(⑭手動工程入力!$W$6:$W$47,$C59)</f>
        <v/>
      </c>
      <c r="Q59" s="392" t="n"/>
      <c r="R59" s="393" t="n"/>
      <c r="S59" s="393" t="n"/>
      <c r="T59" s="393" t="n"/>
      <c r="U59" s="393" t="n"/>
      <c r="V59" s="605">
        <f>IFERROR(INDEX(KIT別作業時間!$D$4:$D$27,MATCH(SUBSTITUTE(SUBSTITUTE(SUBSTITUTE(SUBSTITUTE(SUBSTITUTE(SUBSTITUTE(SUBSTITUTE(SUBSTITUTE(SUBSTITUTE(SUBSTITUTE(ASC($C59),"①","1"),"②","2"),"③","3"),"④","4"),"⑤","5"),"⑥","6"),"⑦","7"),"⑧","8"),"⑨","9")," ",""),KIT別作業時間!$C$4:$C$27,0)),"")</f>
        <v/>
      </c>
      <c r="W59" s="393">
        <f>IF(AND(ISNUMBER($I59),$I59&gt;0),$I59,IF(ISNUMBER($V59),$V59,IF(ISNUMBER($R59),$R59,"")))</f>
        <v/>
      </c>
      <c r="X59" s="393">
        <f>IF(AND(ISNUMBER($I59),$I59&gt;0),"今回の工程実績",IF(ISNUMBER($V59),"KIT作業時間",IF(ISNUMBER($R59),"前回資料","")))</f>
        <v/>
      </c>
      <c r="Y59" s="398" t="n">
        <v>754</v>
      </c>
      <c r="Z59" s="398">
        <f>IF(AND(ISNUMBER($W59),ISNUMBER($Y59)),$W59*$Y59,"")</f>
        <v/>
      </c>
      <c r="AA59" s="393" t="n"/>
    </row>
    <row r="60">
      <c r="A60" s="392" t="n">
        <v>56</v>
      </c>
      <c r="B60" s="392" t="n"/>
      <c r="C60" s="392" t="inlineStr">
        <is>
          <t>ミックスピザ４</t>
        </is>
      </c>
      <c r="D60" s="398">
        <f>SUMIF(⑩盛付梱包工程入力!$R$5:$R$300,$C60,⑩盛付梱包工程入力!$AC$5:$AC$300)+SUMIF(⑩盛付梱包工程入力!$S$5:$S$300,$C60,⑩盛付梱包工程入力!$AC$5:$AC$300)+SUMIF(⑩盛付梱包工程入力!$T$5:$T$300,$C60,⑩盛付梱包工程入力!$AC$5:$AC$300)+SUMIF(⑩盛付梱包工程入力!$U$5:$U$300,$C60,⑩盛付梱包工程入力!$AC$5:$AC$300)+SUMIF(⑩盛付梱包工程入力!$V$5:$V$300,$C60,⑩盛付梱包工程入力!$AC$5:$AC$300)+SUMIF(⑩盛付梱包工程入力!$W$5:$W$300,$C60,⑩盛付梱包工程入力!$AC$5:$AC$300)</f>
        <v/>
      </c>
      <c r="E60" s="398" t="n">
        <v>108</v>
      </c>
      <c r="F60" s="398">
        <f>IF(N($E60)&gt;0,$E60,$D60)</f>
        <v/>
      </c>
      <c r="G60" s="393" t="n">
        <v>48.68929402637703</v>
      </c>
      <c r="H60" s="393">
        <f>SUMIF(②釜工程入力!$R$5:$R$117,$C60,②釜工程入力!$AD$5:$AD$117)+SUMIF(②釜工程入力!$S$5:$S$117,$C60,②釜工程入力!$AE$5:$AE$117)+SUMIF(②釜工程入力!$T$5:$T$117,$C60,②釜工程入力!$AF$5:$AF$117)+SUMIF(②釜工程入力!$U$5:$U$117,$C60,②釜工程入力!$AG$5:$AG$117)+SUMIF(②釜工程入力!$V$5:$V$117,$C60,②釜工程入力!$AH$5:$AH$117)+SUMIF(②釜工程入力!$W$5:$W$117,$C60,②釜工程入力!$AI$5:$AI$117)+SUMIF(③スチコン工程入力!$R$5:$R$152,$C60,③スチコン工程入力!$AD$5:$AD$152)+SUMIF(③スチコン工程入力!$S$5:$S$152,$C60,③スチコン工程入力!$AE$5:$AE$152)+SUMIF(③スチコン工程入力!$T$5:$T$152,$C60,③スチコン工程入力!$AF$5:$AF$152)+SUMIF(③スチコン工程入力!$U$5:$U$152,$C60,③スチコン工程入力!$AG$5:$AG$152)+SUMIF(③スチコン工程入力!$V$5:$V$152,$C60,③スチコン工程入力!$AH$5:$AH$152)+SUMIF(③スチコン工程入力!$W$5:$W$152,$C60,③スチコン工程入力!$AI$5:$AI$152)+SUMIF(⑩盛付梱包工程入力!$R$5:$R$300,$C60,⑩盛付梱包工程入力!$AD$5:$AD$300)+SUMIF(⑩盛付梱包工程入力!$S$5:$S$300,$C60,⑩盛付梱包工程入力!$AE$5:$AE$300)+SUMIF(⑩盛付梱包工程入力!$T$5:$T$300,$C60,⑩盛付梱包工程入力!$AF$5:$AF$300)+SUMIF(⑩盛付梱包工程入力!$U$5:$U$300,$C60,⑩盛付梱包工程入力!$AG$5:$AG$300)+SUMIF(⑩盛付梱包工程入力!$V$5:$V$300,$C60,⑩盛付梱包工程入力!$AH$5:$AH$300)+SUMIF(⑩盛付梱包工程入力!$W$5:$W$300,$C60,⑩盛付梱包工程入力!$AI$5:$AI$300)+SUMIF(⑪ZEN工程入力!$R$6:$R$35,$C60,⑪ZEN工程入力!$AD$6:$AD$35)+SUMIF(⑪ZEN工程入力!$S$6:$S$35,$C60,⑪ZEN工程入力!$AE$6:$AE$35)+SUMIF(⑪ZEN工程入力!$T$6:$T$35,$C60,⑪ZEN工程入力!$AF$6:$AF$35)+SUMIF(⑪ZEN工程入力!$U$6:$U$35,$C60,⑪ZEN工程入力!$AG$6:$AG$35)+SUMIF(⑪ZEN工程入力!$V$6:$V$35,$C60,⑪ZEN工程入力!$AH$6:$AH$35)+SUMIF(⑪ZEN工程入力!$W$6:$W$35,$C60,⑪ZEN工程入力!$AI$6:$AI$35)+SUMIF(⑫ミキサー工程入力!$R$6:$R$65,$C60,⑫ミキサー工程入力!$AD$6:$AD$65)+SUMIF(⑫ミキサー工程入力!$S$6:$S$65,$C60,⑫ミキサー工程入力!$AE$6:$AE$65)+SUMIF(⑫ミキサー工程入力!$T$6:$T$65,$C60,⑫ミキサー工程入力!$AF$6:$AF$65)+SUMIF(⑫ミキサー工程入力!$U$6:$U$65,$C60,⑫ミキサー工程入力!$AG$6:$AG$65)+SUMIF(⑫ミキサー工程入力!$V$6:$V$65,$C60,⑫ミキサー工程入力!$AH$6:$AH$65)+SUMIF(⑫ミキサー工程入力!$W$6:$W$65,$C60,⑫ミキサー工程入力!$AI$6:$AI$65)+SUMIF(⑬計量工程入力!$R$6:$R$65,$C60,⑬計量工程入力!$AD$6:$AD$65)+SUMIF(⑬計量工程入力!$S$6:$S$65,$C60,⑬計量工程入力!$AE$6:$AE$65)+SUMIF(⑬計量工程入力!$T$6:$T$65,$C60,⑬計量工程入力!$AF$6:$AF$65)+SUMIF(⑬計量工程入力!$U$6:$U$65,$C60,⑬計量工程入力!$AG$6:$AG$65)+SUMIF(⑬計量工程入力!$V$6:$V$65,$C60,⑬計量工程入力!$AH$6:$AH$65)+SUMIF(⑬計量工程入力!$W$6:$W$65,$C60,⑬計量工程入力!$AI$6:$AI$65)+SUMIF(⑭手動工程入力!$R$6:$R$47,$C60,⑭手動工程入力!$AD$6:$AD$47)+SUMIF(⑭手動工程入力!$S$6:$S$47,$C60,⑭手動工程入力!$AE$6:$AE$47)+SUMIF(⑭手動工程入力!$T$6:$T$47,$C60,⑭手動工程入力!$AF$6:$AF$47)+SUMIF(⑭手動工程入力!$U$6:$U$47,$C60,⑭手動工程入力!$AG$6:$AG$47)+SUMIF(⑭手動工程入力!$V$6:$V$47,$C60,⑭手動工程入力!$AH$6:$AH$47)+SUMIF(⑭手動工程入力!$W$6:$W$47,$C60,⑭手動工程入力!$AI$6:$AI$47)</f>
        <v/>
      </c>
      <c r="I60" s="393">
        <f>IF($F60&gt;0,$H60/$F60,"")</f>
        <v/>
      </c>
      <c r="J60" s="605">
        <f>IFERROR(INDEX(商品原価!$B$4:$B$112,MATCH(SUBSTITUTE(SUBSTITUTE(SUBSTITUTE(SUBSTITUTE(SUBSTITUTE(SUBSTITUTE(SUBSTITUTE(SUBSTITUTE(SUBSTITUTE(SUBSTITUTE(ASC($C60),"①","1"),"②","2"),"③","3"),"④","4"),"⑤","5"),"⑥","6"),"⑦","7"),"⑧","8"),"⑨","9")," ",""),商品原価!$C$4:$C$112,0)),"")</f>
        <v/>
      </c>
      <c r="K60" s="542">
        <f>IF(ISNUMBER($J60),$J60*④前提設定!$B$21,"")</f>
        <v/>
      </c>
      <c r="L60" s="605">
        <f>IF(AND(NOT(ISNUMBER($J60)),NOT(ISNUMBER($K60))),"",N($J60)+N($K60))</f>
        <v/>
      </c>
      <c r="M60" s="605">
        <f>IFERROR(INDEX(商品原価!$E$4:$E$112,MATCH(SUBSTITUTE(SUBSTITUTE(SUBSTITUTE(SUBSTITUTE(SUBSTITUTE(SUBSTITUTE(SUBSTITUTE(SUBSTITUTE(SUBSTITUTE(SUBSTITUTE(ASC($C60),"①","1"),"②","2"),"③","3"),"④","4"),"⑤","5"),"⑥","6"),"⑦","7"),"⑧","8"),"⑨","9")," ",""),商品原価!$C$4:$C$112,0)),"")</f>
        <v/>
      </c>
      <c r="N60" s="605">
        <f>IF(AND(ISNUMBER($M60),ISNUMBER($L60)),$M60-$L60-N($W60),"")</f>
        <v/>
      </c>
      <c r="O60" s="606">
        <f>IF(AND(ISNUMBER($N60),ISNUMBER($M60),$M60&gt;0),$N60/$M60,"")</f>
        <v/>
      </c>
      <c r="P60" s="398">
        <f>COUNTIF(②釜工程入力!$R$5:$R$117,$C60)+COUNTIF(②釜工程入力!$S$5:$S$117,$C60)+COUNTIF(②釜工程入力!$T$5:$T$117,$C60)+COUNTIF(②釜工程入力!$U$5:$U$117,$C60)+COUNTIF(②釜工程入力!$V$5:$V$117,$C60)+COUNTIF(②釜工程入力!$W$5:$W$117,$C60)+COUNTIF(③スチコン工程入力!$R$5:$R$152,$C60)+COUNTIF(③スチコン工程入力!$S$5:$S$152,$C60)+COUNTIF(③スチコン工程入力!$T$5:$T$152,$C60)+COUNTIF(③スチコン工程入力!$U$5:$U$152,$C60)+COUNTIF(③スチコン工程入力!$V$5:$V$152,$C60)+COUNTIF(③スチコン工程入力!$W$5:$W$152,$C60)+COUNTIF(⑩盛付梱包工程入力!$R$5:$R$300,$C60)+COUNTIF(⑩盛付梱包工程入力!$S$5:$S$300,$C60)+COUNTIF(⑩盛付梱包工程入力!$T$5:$T$300,$C60)+COUNTIF(⑩盛付梱包工程入力!$U$5:$U$300,$C60)+COUNTIF(⑩盛付梱包工程入力!$V$5:$V$300,$C60)+COUNTIF(⑩盛付梱包工程入力!$W$5:$W$300,$C60)+COUNTIF(⑪ZEN工程入力!$R$6:$R$35,$C60)+COUNTIF(⑪ZEN工程入力!$S$6:$S$35,$C60)+COUNTIF(⑪ZEN工程入力!$T$6:$T$35,$C60)+COUNTIF(⑪ZEN工程入力!$U$6:$U$35,$C60)+COUNTIF(⑪ZEN工程入力!$V$6:$V$35,$C60)+COUNTIF(⑪ZEN工程入力!$W$6:$W$35,$C60)+COUNTIF(⑫ミキサー工程入力!$R$6:$R$65,$C60)+COUNTIF(⑫ミキサー工程入力!$S$6:$S$65,$C60)+COUNTIF(⑫ミキサー工程入力!$T$6:$T$65,$C60)+COUNTIF(⑫ミキサー工程入力!$U$6:$U$65,$C60)+COUNTIF(⑫ミキサー工程入力!$V$6:$V$65,$C60)+COUNTIF(⑫ミキサー工程入力!$W$6:$W$65,$C60)+COUNTIF(⑬計量工程入力!$R$6:$R$65,$C60)+COUNTIF(⑬計量工程入力!$S$6:$S$65,$C60)+COUNTIF(⑬計量工程入力!$T$6:$T$65,$C60)+COUNTIF(⑬計量工程入力!$U$6:$U$65,$C60)+COUNTIF(⑬計量工程入力!$V$6:$V$65,$C60)+COUNTIF(⑬計量工程入力!$W$6:$W$65,$C60)+COUNTIF(⑭手動工程入力!$R$6:$R$47,$C60)+COUNTIF(⑭手動工程入力!$S$6:$S$47,$C60)+COUNTIF(⑭手動工程入力!$T$6:$T$47,$C60)+COUNTIF(⑭手動工程入力!$U$6:$U$47,$C60)+COUNTIF(⑭手動工程入力!$V$6:$V$47,$C60)+COUNTIF(⑭手動工程入力!$W$6:$W$47,$C60)</f>
        <v/>
      </c>
      <c r="Q60" s="392" t="inlineStr">
        <is>
          <t>⑩盛付梱包 43行目に入力欄を作成（工程記録なし）</t>
        </is>
      </c>
      <c r="R60" s="393" t="n"/>
      <c r="S60" s="393" t="n"/>
      <c r="T60" s="393" t="n"/>
      <c r="U60" s="393" t="n"/>
      <c r="V60" s="605">
        <f>IFERROR(INDEX(KIT別作業時間!$D$4:$D$27,MATCH(SUBSTITUTE(SUBSTITUTE(SUBSTITUTE(SUBSTITUTE(SUBSTITUTE(SUBSTITUTE(SUBSTITUTE(SUBSTITUTE(SUBSTITUTE(SUBSTITUTE(ASC($C60),"①","1"),"②","2"),"③","3"),"④","4"),"⑤","5"),"⑥","6"),"⑦","7"),"⑧","8"),"⑨","9")," ",""),KIT別作業時間!$C$4:$C$27,0)),"")</f>
        <v/>
      </c>
      <c r="W60" s="393">
        <f>IF(AND(ISNUMBER($I60),$I60&gt;0),$I60,IF(ISNUMBER($V60),$V60,IF(ISNUMBER($R60),$R60,"")))</f>
        <v/>
      </c>
      <c r="X60" s="393">
        <f>IF(AND(ISNUMBER($I60),$I60&gt;0),"今回の工程実績",IF(ISNUMBER($V60),"KIT作業時間",IF(ISNUMBER($R60),"前回資料","")))</f>
        <v/>
      </c>
      <c r="Y60" s="398" t="n">
        <v>3516</v>
      </c>
      <c r="Z60" s="398">
        <f>IF(AND(ISNUMBER($W60),ISNUMBER($Y60)),$W60*$Y60,"")</f>
        <v/>
      </c>
      <c r="AA60" s="393" t="n"/>
    </row>
    <row r="61">
      <c r="A61" s="392" t="n">
        <v>57</v>
      </c>
      <c r="B61" s="392" t="n"/>
      <c r="C61" s="392" t="inlineStr">
        <is>
          <t>ホテルブレッド生地ＫＩＴ</t>
        </is>
      </c>
      <c r="D61" s="398">
        <f>SUMIF(⑩盛付梱包工程入力!$R$5:$R$300,$C61,⑩盛付梱包工程入力!$AC$5:$AC$300)+SUMIF(⑩盛付梱包工程入力!$S$5:$S$300,$C61,⑩盛付梱包工程入力!$AC$5:$AC$300)+SUMIF(⑩盛付梱包工程入力!$T$5:$T$300,$C61,⑩盛付梱包工程入力!$AC$5:$AC$300)+SUMIF(⑩盛付梱包工程入力!$U$5:$U$300,$C61,⑩盛付梱包工程入力!$AC$5:$AC$300)+SUMIF(⑩盛付梱包工程入力!$V$5:$V$300,$C61,⑩盛付梱包工程入力!$AC$5:$AC$300)+SUMIF(⑩盛付梱包工程入力!$W$5:$W$300,$C61,⑩盛付梱包工程入力!$AC$5:$AC$300)</f>
        <v/>
      </c>
      <c r="E61" s="398" t="n">
        <v>7</v>
      </c>
      <c r="F61" s="398">
        <f>IF(N($E61)&gt;0,$E61,$D61)</f>
        <v/>
      </c>
      <c r="G61" s="393" t="n">
        <v>478.8793103448276</v>
      </c>
      <c r="H61" s="393">
        <f>SUMIF(②釜工程入力!$R$5:$R$117,$C61,②釜工程入力!$AD$5:$AD$117)+SUMIF(②釜工程入力!$S$5:$S$117,$C61,②釜工程入力!$AE$5:$AE$117)+SUMIF(②釜工程入力!$T$5:$T$117,$C61,②釜工程入力!$AF$5:$AF$117)+SUMIF(②釜工程入力!$U$5:$U$117,$C61,②釜工程入力!$AG$5:$AG$117)+SUMIF(②釜工程入力!$V$5:$V$117,$C61,②釜工程入力!$AH$5:$AH$117)+SUMIF(②釜工程入力!$W$5:$W$117,$C61,②釜工程入力!$AI$5:$AI$117)+SUMIF(③スチコン工程入力!$R$5:$R$152,$C61,③スチコン工程入力!$AD$5:$AD$152)+SUMIF(③スチコン工程入力!$S$5:$S$152,$C61,③スチコン工程入力!$AE$5:$AE$152)+SUMIF(③スチコン工程入力!$T$5:$T$152,$C61,③スチコン工程入力!$AF$5:$AF$152)+SUMIF(③スチコン工程入力!$U$5:$U$152,$C61,③スチコン工程入力!$AG$5:$AG$152)+SUMIF(③スチコン工程入力!$V$5:$V$152,$C61,③スチコン工程入力!$AH$5:$AH$152)+SUMIF(③スチコン工程入力!$W$5:$W$152,$C61,③スチコン工程入力!$AI$5:$AI$152)+SUMIF(⑩盛付梱包工程入力!$R$5:$R$300,$C61,⑩盛付梱包工程入力!$AD$5:$AD$300)+SUMIF(⑩盛付梱包工程入力!$S$5:$S$300,$C61,⑩盛付梱包工程入力!$AE$5:$AE$300)+SUMIF(⑩盛付梱包工程入力!$T$5:$T$300,$C61,⑩盛付梱包工程入力!$AF$5:$AF$300)+SUMIF(⑩盛付梱包工程入力!$U$5:$U$300,$C61,⑩盛付梱包工程入力!$AG$5:$AG$300)+SUMIF(⑩盛付梱包工程入力!$V$5:$V$300,$C61,⑩盛付梱包工程入力!$AH$5:$AH$300)+SUMIF(⑩盛付梱包工程入力!$W$5:$W$300,$C61,⑩盛付梱包工程入力!$AI$5:$AI$300)+SUMIF(⑪ZEN工程入力!$R$6:$R$35,$C61,⑪ZEN工程入力!$AD$6:$AD$35)+SUMIF(⑪ZEN工程入力!$S$6:$S$35,$C61,⑪ZEN工程入力!$AE$6:$AE$35)+SUMIF(⑪ZEN工程入力!$T$6:$T$35,$C61,⑪ZEN工程入力!$AF$6:$AF$35)+SUMIF(⑪ZEN工程入力!$U$6:$U$35,$C61,⑪ZEN工程入力!$AG$6:$AG$35)+SUMIF(⑪ZEN工程入力!$V$6:$V$35,$C61,⑪ZEN工程入力!$AH$6:$AH$35)+SUMIF(⑪ZEN工程入力!$W$6:$W$35,$C61,⑪ZEN工程入力!$AI$6:$AI$35)+SUMIF(⑫ミキサー工程入力!$R$6:$R$65,$C61,⑫ミキサー工程入力!$AD$6:$AD$65)+SUMIF(⑫ミキサー工程入力!$S$6:$S$65,$C61,⑫ミキサー工程入力!$AE$6:$AE$65)+SUMIF(⑫ミキサー工程入力!$T$6:$T$65,$C61,⑫ミキサー工程入力!$AF$6:$AF$65)+SUMIF(⑫ミキサー工程入力!$U$6:$U$65,$C61,⑫ミキサー工程入力!$AG$6:$AG$65)+SUMIF(⑫ミキサー工程入力!$V$6:$V$65,$C61,⑫ミキサー工程入力!$AH$6:$AH$65)+SUMIF(⑫ミキサー工程入力!$W$6:$W$65,$C61,⑫ミキサー工程入力!$AI$6:$AI$65)+SUMIF(⑬計量工程入力!$R$6:$R$65,$C61,⑬計量工程入力!$AD$6:$AD$65)+SUMIF(⑬計量工程入力!$S$6:$S$65,$C61,⑬計量工程入力!$AE$6:$AE$65)+SUMIF(⑬計量工程入力!$T$6:$T$65,$C61,⑬計量工程入力!$AF$6:$AF$65)+SUMIF(⑬計量工程入力!$U$6:$U$65,$C61,⑬計量工程入力!$AG$6:$AG$65)+SUMIF(⑬計量工程入力!$V$6:$V$65,$C61,⑬計量工程入力!$AH$6:$AH$65)+SUMIF(⑬計量工程入力!$W$6:$W$65,$C61,⑬計量工程入力!$AI$6:$AI$65)+SUMIF(⑭手動工程入力!$R$6:$R$47,$C61,⑭手動工程入力!$AD$6:$AD$47)+SUMIF(⑭手動工程入力!$S$6:$S$47,$C61,⑭手動工程入力!$AE$6:$AE$47)+SUMIF(⑭手動工程入力!$T$6:$T$47,$C61,⑭手動工程入力!$AF$6:$AF$47)+SUMIF(⑭手動工程入力!$U$6:$U$47,$C61,⑭手動工程入力!$AG$6:$AG$47)+SUMIF(⑭手動工程入力!$V$6:$V$47,$C61,⑭手動工程入力!$AH$6:$AH$47)+SUMIF(⑭手動工程入力!$W$6:$W$47,$C61,⑭手動工程入力!$AI$6:$AI$47)</f>
        <v/>
      </c>
      <c r="I61" s="393">
        <f>IF($F61&gt;0,$H61/$F61,"")</f>
        <v/>
      </c>
      <c r="J61" s="605">
        <f>IFERROR(INDEX(商品原価!$B$4:$B$112,MATCH(SUBSTITUTE(SUBSTITUTE(SUBSTITUTE(SUBSTITUTE(SUBSTITUTE(SUBSTITUTE(SUBSTITUTE(SUBSTITUTE(SUBSTITUTE(SUBSTITUTE(ASC($C61),"①","1"),"②","2"),"③","3"),"④","4"),"⑤","5"),"⑥","6"),"⑦","7"),"⑧","8"),"⑨","9")," ",""),商品原価!$C$4:$C$112,0)),"")</f>
        <v/>
      </c>
      <c r="K61" s="542">
        <f>IF(ISNUMBER($J61),$J61*④前提設定!$B$21,"")</f>
        <v/>
      </c>
      <c r="L61" s="605">
        <f>IF(AND(NOT(ISNUMBER($J61)),NOT(ISNUMBER($K61))),"",N($J61)+N($K61))</f>
        <v/>
      </c>
      <c r="M61" s="605">
        <f>IFERROR(INDEX(商品原価!$E$4:$E$112,MATCH(SUBSTITUTE(SUBSTITUTE(SUBSTITUTE(SUBSTITUTE(SUBSTITUTE(SUBSTITUTE(SUBSTITUTE(SUBSTITUTE(SUBSTITUTE(SUBSTITUTE(ASC($C61),"①","1"),"②","2"),"③","3"),"④","4"),"⑤","5"),"⑥","6"),"⑦","7"),"⑧","8"),"⑨","9")," ",""),商品原価!$C$4:$C$112,0)),"")</f>
        <v/>
      </c>
      <c r="N61" s="605">
        <f>IF(AND(ISNUMBER($M61),ISNUMBER($L61)),$M61-$L61-N($W61),"")</f>
        <v/>
      </c>
      <c r="O61" s="606">
        <f>IF(AND(ISNUMBER($N61),ISNUMBER($M61),$M61&gt;0),$N61/$M61,"")</f>
        <v/>
      </c>
      <c r="P61" s="398">
        <f>COUNTIF(②釜工程入力!$R$5:$R$117,$C61)+COUNTIF(②釜工程入力!$S$5:$S$117,$C61)+COUNTIF(②釜工程入力!$T$5:$T$117,$C61)+COUNTIF(②釜工程入力!$U$5:$U$117,$C61)+COUNTIF(②釜工程入力!$V$5:$V$117,$C61)+COUNTIF(②釜工程入力!$W$5:$W$117,$C61)+COUNTIF(③スチコン工程入力!$R$5:$R$152,$C61)+COUNTIF(③スチコン工程入力!$S$5:$S$152,$C61)+COUNTIF(③スチコン工程入力!$T$5:$T$152,$C61)+COUNTIF(③スチコン工程入力!$U$5:$U$152,$C61)+COUNTIF(③スチコン工程入力!$V$5:$V$152,$C61)+COUNTIF(③スチコン工程入力!$W$5:$W$152,$C61)+COUNTIF(⑩盛付梱包工程入力!$R$5:$R$300,$C61)+COUNTIF(⑩盛付梱包工程入力!$S$5:$S$300,$C61)+COUNTIF(⑩盛付梱包工程入力!$T$5:$T$300,$C61)+COUNTIF(⑩盛付梱包工程入力!$U$5:$U$300,$C61)+COUNTIF(⑩盛付梱包工程入力!$V$5:$V$300,$C61)+COUNTIF(⑩盛付梱包工程入力!$W$5:$W$300,$C61)+COUNTIF(⑪ZEN工程入力!$R$6:$R$35,$C61)+COUNTIF(⑪ZEN工程入力!$S$6:$S$35,$C61)+COUNTIF(⑪ZEN工程入力!$T$6:$T$35,$C61)+COUNTIF(⑪ZEN工程入力!$U$6:$U$35,$C61)+COUNTIF(⑪ZEN工程入力!$V$6:$V$35,$C61)+COUNTIF(⑪ZEN工程入力!$W$6:$W$35,$C61)+COUNTIF(⑫ミキサー工程入力!$R$6:$R$65,$C61)+COUNTIF(⑫ミキサー工程入力!$S$6:$S$65,$C61)+COUNTIF(⑫ミキサー工程入力!$T$6:$T$65,$C61)+COUNTIF(⑫ミキサー工程入力!$U$6:$U$65,$C61)+COUNTIF(⑫ミキサー工程入力!$V$6:$V$65,$C61)+COUNTIF(⑫ミキサー工程入力!$W$6:$W$65,$C61)+COUNTIF(⑬計量工程入力!$R$6:$R$65,$C61)+COUNTIF(⑬計量工程入力!$S$6:$S$65,$C61)+COUNTIF(⑬計量工程入力!$T$6:$T$65,$C61)+COUNTIF(⑬計量工程入力!$U$6:$U$65,$C61)+COUNTIF(⑬計量工程入力!$V$6:$V$65,$C61)+COUNTIF(⑬計量工程入力!$W$6:$W$65,$C61)+COUNTIF(⑭手動工程入力!$R$6:$R$47,$C61)+COUNTIF(⑭手動工程入力!$S$6:$S$47,$C61)+COUNTIF(⑭手動工程入力!$T$6:$T$47,$C61)+COUNTIF(⑭手動工程入力!$U$6:$U$47,$C61)+COUNTIF(⑭手動工程入力!$V$6:$V$47,$C61)+COUNTIF(⑭手動工程入力!$W$6:$W$47,$C61)</f>
        <v/>
      </c>
      <c r="Q61" s="392" t="n"/>
      <c r="R61" s="393" t="n"/>
      <c r="S61" s="393" t="n"/>
      <c r="T61" s="393" t="n"/>
      <c r="U61" s="393" t="n"/>
      <c r="V61" s="605">
        <f>IFERROR(INDEX(KIT別作業時間!$D$4:$D$27,MATCH(SUBSTITUTE(SUBSTITUTE(SUBSTITUTE(SUBSTITUTE(SUBSTITUTE(SUBSTITUTE(SUBSTITUTE(SUBSTITUTE(SUBSTITUTE(SUBSTITUTE(ASC($C61),"①","1"),"②","2"),"③","3"),"④","4"),"⑤","5"),"⑥","6"),"⑦","7"),"⑧","8"),"⑨","9")," ",""),KIT別作業時間!$C$4:$C$27,0)),"")</f>
        <v/>
      </c>
      <c r="W61" s="393">
        <f>IF(AND(ISNUMBER($I61),$I61&gt;0),$I61,IF(ISNUMBER($V61),$V61,IF(ISNUMBER($R61),$R61,"")))</f>
        <v/>
      </c>
      <c r="X61" s="393">
        <f>IF(AND(ISNUMBER($I61),$I61&gt;0),"今回の工程実績",IF(ISNUMBER($V61),"KIT作業時間",IF(ISNUMBER($R61),"前回資料","")))</f>
        <v/>
      </c>
      <c r="Y61" s="398" t="n">
        <v>400</v>
      </c>
      <c r="Z61" s="398">
        <f>IF(AND(ISNUMBER($W61),ISNUMBER($Y61)),$W61*$Y61,"")</f>
        <v/>
      </c>
      <c r="AA61" s="393" t="n"/>
    </row>
    <row r="62">
      <c r="A62" s="392" t="n">
        <v>58</v>
      </c>
      <c r="B62" s="392" t="n"/>
      <c r="C62" s="392" t="inlineStr">
        <is>
          <t>２種柑橘の杏仁プリン</t>
        </is>
      </c>
      <c r="D62" s="398">
        <f>SUMIF(⑩盛付梱包工程入力!$R$5:$R$300,$C62,⑩盛付梱包工程入力!$AC$5:$AC$300)+SUMIF(⑩盛付梱包工程入力!$S$5:$S$300,$C62,⑩盛付梱包工程入力!$AC$5:$AC$300)+SUMIF(⑩盛付梱包工程入力!$T$5:$T$300,$C62,⑩盛付梱包工程入力!$AC$5:$AC$300)+SUMIF(⑩盛付梱包工程入力!$U$5:$U$300,$C62,⑩盛付梱包工程入力!$AC$5:$AC$300)+SUMIF(⑩盛付梱包工程入力!$V$5:$V$300,$C62,⑩盛付梱包工程入力!$AC$5:$AC$300)+SUMIF(⑩盛付梱包工程入力!$W$5:$W$300,$C62,⑩盛付梱包工程入力!$AC$5:$AC$300)</f>
        <v/>
      </c>
      <c r="E62" s="398" t="n"/>
      <c r="F62" s="398">
        <f>IF(N($E62)&gt;0,$E62,$D62)</f>
        <v/>
      </c>
      <c r="G62" s="398" t="n"/>
      <c r="H62" s="393">
        <f>SUMIF(②釜工程入力!$R$5:$R$117,$C62,②釜工程入力!$AD$5:$AD$117)+SUMIF(②釜工程入力!$S$5:$S$117,$C62,②釜工程入力!$AE$5:$AE$117)+SUMIF(②釜工程入力!$T$5:$T$117,$C62,②釜工程入力!$AF$5:$AF$117)+SUMIF(②釜工程入力!$U$5:$U$117,$C62,②釜工程入力!$AG$5:$AG$117)+SUMIF(②釜工程入力!$V$5:$V$117,$C62,②釜工程入力!$AH$5:$AH$117)+SUMIF(②釜工程入力!$W$5:$W$117,$C62,②釜工程入力!$AI$5:$AI$117)+SUMIF(③スチコン工程入力!$R$5:$R$152,$C62,③スチコン工程入力!$AD$5:$AD$152)+SUMIF(③スチコン工程入力!$S$5:$S$152,$C62,③スチコン工程入力!$AE$5:$AE$152)+SUMIF(③スチコン工程入力!$T$5:$T$152,$C62,③スチコン工程入力!$AF$5:$AF$152)+SUMIF(③スチコン工程入力!$U$5:$U$152,$C62,③スチコン工程入力!$AG$5:$AG$152)+SUMIF(③スチコン工程入力!$V$5:$V$152,$C62,③スチコン工程入力!$AH$5:$AH$152)+SUMIF(③スチコン工程入力!$W$5:$W$152,$C62,③スチコン工程入力!$AI$5:$AI$152)+SUMIF(⑩盛付梱包工程入力!$R$5:$R$300,$C62,⑩盛付梱包工程入力!$AD$5:$AD$300)+SUMIF(⑩盛付梱包工程入力!$S$5:$S$300,$C62,⑩盛付梱包工程入力!$AE$5:$AE$300)+SUMIF(⑩盛付梱包工程入力!$T$5:$T$300,$C62,⑩盛付梱包工程入力!$AF$5:$AF$300)+SUMIF(⑩盛付梱包工程入力!$U$5:$U$300,$C62,⑩盛付梱包工程入力!$AG$5:$AG$300)+SUMIF(⑩盛付梱包工程入力!$V$5:$V$300,$C62,⑩盛付梱包工程入力!$AH$5:$AH$300)+SUMIF(⑩盛付梱包工程入力!$W$5:$W$300,$C62,⑩盛付梱包工程入力!$AI$5:$AI$300)+SUMIF(⑪ZEN工程入力!$R$6:$R$35,$C62,⑪ZEN工程入力!$AD$6:$AD$35)+SUMIF(⑪ZEN工程入力!$S$6:$S$35,$C62,⑪ZEN工程入力!$AE$6:$AE$35)+SUMIF(⑪ZEN工程入力!$T$6:$T$35,$C62,⑪ZEN工程入力!$AF$6:$AF$35)+SUMIF(⑪ZEN工程入力!$U$6:$U$35,$C62,⑪ZEN工程入力!$AG$6:$AG$35)+SUMIF(⑪ZEN工程入力!$V$6:$V$35,$C62,⑪ZEN工程入力!$AH$6:$AH$35)+SUMIF(⑪ZEN工程入力!$W$6:$W$35,$C62,⑪ZEN工程入力!$AI$6:$AI$35)+SUMIF(⑫ミキサー工程入力!$R$6:$R$65,$C62,⑫ミキサー工程入力!$AD$6:$AD$65)+SUMIF(⑫ミキサー工程入力!$S$6:$S$65,$C62,⑫ミキサー工程入力!$AE$6:$AE$65)+SUMIF(⑫ミキサー工程入力!$T$6:$T$65,$C62,⑫ミキサー工程入力!$AF$6:$AF$65)+SUMIF(⑫ミキサー工程入力!$U$6:$U$65,$C62,⑫ミキサー工程入力!$AG$6:$AG$65)+SUMIF(⑫ミキサー工程入力!$V$6:$V$65,$C62,⑫ミキサー工程入力!$AH$6:$AH$65)+SUMIF(⑫ミキサー工程入力!$W$6:$W$65,$C62,⑫ミキサー工程入力!$AI$6:$AI$65)+SUMIF(⑬計量工程入力!$R$6:$R$65,$C62,⑬計量工程入力!$AD$6:$AD$65)+SUMIF(⑬計量工程入力!$S$6:$S$65,$C62,⑬計量工程入力!$AE$6:$AE$65)+SUMIF(⑬計量工程入力!$T$6:$T$65,$C62,⑬計量工程入力!$AF$6:$AF$65)+SUMIF(⑬計量工程入力!$U$6:$U$65,$C62,⑬計量工程入力!$AG$6:$AG$65)+SUMIF(⑬計量工程入力!$V$6:$V$65,$C62,⑬計量工程入力!$AH$6:$AH$65)+SUMIF(⑬計量工程入力!$W$6:$W$65,$C62,⑬計量工程入力!$AI$6:$AI$65)+SUMIF(⑭手動工程入力!$R$6:$R$47,$C62,⑭手動工程入力!$AD$6:$AD$47)+SUMIF(⑭手動工程入力!$S$6:$S$47,$C62,⑭手動工程入力!$AE$6:$AE$47)+SUMIF(⑭手動工程入力!$T$6:$T$47,$C62,⑭手動工程入力!$AF$6:$AF$47)+SUMIF(⑭手動工程入力!$U$6:$U$47,$C62,⑭手動工程入力!$AG$6:$AG$47)+SUMIF(⑭手動工程入力!$V$6:$V$47,$C62,⑭手動工程入力!$AH$6:$AH$47)+SUMIF(⑭手動工程入力!$W$6:$W$47,$C62,⑭手動工程入力!$AI$6:$AI$47)</f>
        <v/>
      </c>
      <c r="I62" s="393">
        <f>IF($F62&gt;0,$H62/$F62,"")</f>
        <v/>
      </c>
      <c r="J62" s="605">
        <f>IFERROR(INDEX(商品原価!$B$4:$B$112,MATCH(SUBSTITUTE(SUBSTITUTE(SUBSTITUTE(SUBSTITUTE(SUBSTITUTE(SUBSTITUTE(SUBSTITUTE(SUBSTITUTE(SUBSTITUTE(SUBSTITUTE(ASC($C62),"①","1"),"②","2"),"③","3"),"④","4"),"⑤","5"),"⑥","6"),"⑦","7"),"⑧","8"),"⑨","9")," ",""),商品原価!$C$4:$C$112,0)),"")</f>
        <v/>
      </c>
      <c r="K62" s="542">
        <f>IF(ISNUMBER($J62),$J62*④前提設定!$B$21,"")</f>
        <v/>
      </c>
      <c r="L62" s="605">
        <f>IF(AND(NOT(ISNUMBER($J62)),NOT(ISNUMBER($K62))),"",N($J62)+N($K62))</f>
        <v/>
      </c>
      <c r="M62" s="605">
        <f>IFERROR(INDEX(商品原価!$E$4:$E$112,MATCH(SUBSTITUTE(SUBSTITUTE(SUBSTITUTE(SUBSTITUTE(SUBSTITUTE(SUBSTITUTE(SUBSTITUTE(SUBSTITUTE(SUBSTITUTE(SUBSTITUTE(ASC($C62),"①","1"),"②","2"),"③","3"),"④","4"),"⑤","5"),"⑥","6"),"⑦","7"),"⑧","8"),"⑨","9")," ",""),商品原価!$C$4:$C$112,0)),"")</f>
        <v/>
      </c>
      <c r="N62" s="605">
        <f>IF(AND(ISNUMBER($M62),ISNUMBER($L62)),$M62-$L62-N($W62),"")</f>
        <v/>
      </c>
      <c r="O62" s="606">
        <f>IF(AND(ISNUMBER($N62),ISNUMBER($M62),$M62&gt;0),$N62/$M62,"")</f>
        <v/>
      </c>
      <c r="P62" s="398">
        <f>COUNTIF(②釜工程入力!$R$5:$R$117,$C62)+COUNTIF(②釜工程入力!$S$5:$S$117,$C62)+COUNTIF(②釜工程入力!$T$5:$T$117,$C62)+COUNTIF(②釜工程入力!$U$5:$U$117,$C62)+COUNTIF(②釜工程入力!$V$5:$V$117,$C62)+COUNTIF(②釜工程入力!$W$5:$W$117,$C62)+COUNTIF(③スチコン工程入力!$R$5:$R$152,$C62)+COUNTIF(③スチコン工程入力!$S$5:$S$152,$C62)+COUNTIF(③スチコン工程入力!$T$5:$T$152,$C62)+COUNTIF(③スチコン工程入力!$U$5:$U$152,$C62)+COUNTIF(③スチコン工程入力!$V$5:$V$152,$C62)+COUNTIF(③スチコン工程入力!$W$5:$W$152,$C62)+COUNTIF(⑩盛付梱包工程入力!$R$5:$R$300,$C62)+COUNTIF(⑩盛付梱包工程入力!$S$5:$S$300,$C62)+COUNTIF(⑩盛付梱包工程入力!$T$5:$T$300,$C62)+COUNTIF(⑩盛付梱包工程入力!$U$5:$U$300,$C62)+COUNTIF(⑩盛付梱包工程入力!$V$5:$V$300,$C62)+COUNTIF(⑩盛付梱包工程入力!$W$5:$W$300,$C62)+COUNTIF(⑪ZEN工程入力!$R$6:$R$35,$C62)+COUNTIF(⑪ZEN工程入力!$S$6:$S$35,$C62)+COUNTIF(⑪ZEN工程入力!$T$6:$T$35,$C62)+COUNTIF(⑪ZEN工程入力!$U$6:$U$35,$C62)+COUNTIF(⑪ZEN工程入力!$V$6:$V$35,$C62)+COUNTIF(⑪ZEN工程入力!$W$6:$W$35,$C62)+COUNTIF(⑫ミキサー工程入力!$R$6:$R$65,$C62)+COUNTIF(⑫ミキサー工程入力!$S$6:$S$65,$C62)+COUNTIF(⑫ミキサー工程入力!$T$6:$T$65,$C62)+COUNTIF(⑫ミキサー工程入力!$U$6:$U$65,$C62)+COUNTIF(⑫ミキサー工程入力!$V$6:$V$65,$C62)+COUNTIF(⑫ミキサー工程入力!$W$6:$W$65,$C62)+COUNTIF(⑬計量工程入力!$R$6:$R$65,$C62)+COUNTIF(⑬計量工程入力!$S$6:$S$65,$C62)+COUNTIF(⑬計量工程入力!$T$6:$T$65,$C62)+COUNTIF(⑬計量工程入力!$U$6:$U$65,$C62)+COUNTIF(⑬計量工程入力!$V$6:$V$65,$C62)+COUNTIF(⑬計量工程入力!$W$6:$W$65,$C62)+COUNTIF(⑭手動工程入力!$R$6:$R$47,$C62)+COUNTIF(⑭手動工程入力!$S$6:$S$47,$C62)+COUNTIF(⑭手動工程入力!$T$6:$T$47,$C62)+COUNTIF(⑭手動工程入力!$U$6:$U$47,$C62)+COUNTIF(⑭手動工程入力!$V$6:$V$47,$C62)+COUNTIF(⑭手動工程入力!$W$6:$W$47,$C62)</f>
        <v/>
      </c>
      <c r="Q62" s="392" t="n"/>
      <c r="R62" s="393" t="n"/>
      <c r="S62" s="393" t="n"/>
      <c r="T62" s="393" t="n"/>
      <c r="U62" s="393" t="n"/>
      <c r="V62" s="605">
        <f>IFERROR(INDEX(KIT別作業時間!$D$4:$D$27,MATCH(SUBSTITUTE(SUBSTITUTE(SUBSTITUTE(SUBSTITUTE(SUBSTITUTE(SUBSTITUTE(SUBSTITUTE(SUBSTITUTE(SUBSTITUTE(SUBSTITUTE(ASC($C62),"①","1"),"②","2"),"③","3"),"④","4"),"⑤","5"),"⑥","6"),"⑦","7"),"⑧","8"),"⑨","9")," ",""),KIT別作業時間!$C$4:$C$27,0)),"")</f>
        <v/>
      </c>
      <c r="W62" s="393">
        <f>IF(AND(ISNUMBER($I62),$I62&gt;0),$I62,IF(ISNUMBER($V62),$V62,IF(ISNUMBER($R62),$R62,"")))</f>
        <v/>
      </c>
      <c r="X62" s="393">
        <f>IF(AND(ISNUMBER($I62),$I62&gt;0),"今回の工程実績",IF(ISNUMBER($V62),"KIT作業時間",IF(ISNUMBER($R62),"前回資料","")))</f>
        <v/>
      </c>
      <c r="Y62" s="398" t="n">
        <v>3969</v>
      </c>
      <c r="Z62" s="398">
        <f>IF(AND(ISNUMBER($W62),ISNUMBER($Y62)),$W62*$Y62,"")</f>
        <v/>
      </c>
      <c r="AA62" s="393" t="n"/>
    </row>
    <row r="63">
      <c r="A63" s="392" t="n">
        <v>59</v>
      </c>
      <c r="B63" s="392" t="n"/>
      <c r="C63" s="392" t="inlineStr">
        <is>
          <t>クリーム爆盛ロールケーキ大</t>
        </is>
      </c>
      <c r="D63" s="398">
        <f>SUMIF(⑩盛付梱包工程入力!$R$5:$R$300,$C63,⑩盛付梱包工程入力!$AC$5:$AC$300)+SUMIF(⑩盛付梱包工程入力!$S$5:$S$300,$C63,⑩盛付梱包工程入力!$AC$5:$AC$300)+SUMIF(⑩盛付梱包工程入力!$T$5:$T$300,$C63,⑩盛付梱包工程入力!$AC$5:$AC$300)+SUMIF(⑩盛付梱包工程入力!$U$5:$U$300,$C63,⑩盛付梱包工程入力!$AC$5:$AC$300)+SUMIF(⑩盛付梱包工程入力!$V$5:$V$300,$C63,⑩盛付梱包工程入力!$AC$5:$AC$300)+SUMIF(⑩盛付梱包工程入力!$W$5:$W$300,$C63,⑩盛付梱包工程入力!$AC$5:$AC$300)</f>
        <v/>
      </c>
      <c r="E63" s="398" t="n">
        <v>71</v>
      </c>
      <c r="F63" s="398">
        <f>IF(N($E63)&gt;0,$E63,$D63)</f>
        <v/>
      </c>
      <c r="G63" s="393" t="n">
        <v>122.5307917888563</v>
      </c>
      <c r="H63" s="393">
        <f>SUMIF(②釜工程入力!$R$5:$R$117,$C63,②釜工程入力!$AD$5:$AD$117)+SUMIF(②釜工程入力!$S$5:$S$117,$C63,②釜工程入力!$AE$5:$AE$117)+SUMIF(②釜工程入力!$T$5:$T$117,$C63,②釜工程入力!$AF$5:$AF$117)+SUMIF(②釜工程入力!$U$5:$U$117,$C63,②釜工程入力!$AG$5:$AG$117)+SUMIF(②釜工程入力!$V$5:$V$117,$C63,②釜工程入力!$AH$5:$AH$117)+SUMIF(②釜工程入力!$W$5:$W$117,$C63,②釜工程入力!$AI$5:$AI$117)+SUMIF(③スチコン工程入力!$R$5:$R$152,$C63,③スチコン工程入力!$AD$5:$AD$152)+SUMIF(③スチコン工程入力!$S$5:$S$152,$C63,③スチコン工程入力!$AE$5:$AE$152)+SUMIF(③スチコン工程入力!$T$5:$T$152,$C63,③スチコン工程入力!$AF$5:$AF$152)+SUMIF(③スチコン工程入力!$U$5:$U$152,$C63,③スチコン工程入力!$AG$5:$AG$152)+SUMIF(③スチコン工程入力!$V$5:$V$152,$C63,③スチコン工程入力!$AH$5:$AH$152)+SUMIF(③スチコン工程入力!$W$5:$W$152,$C63,③スチコン工程入力!$AI$5:$AI$152)+SUMIF(⑩盛付梱包工程入力!$R$5:$R$300,$C63,⑩盛付梱包工程入力!$AD$5:$AD$300)+SUMIF(⑩盛付梱包工程入力!$S$5:$S$300,$C63,⑩盛付梱包工程入力!$AE$5:$AE$300)+SUMIF(⑩盛付梱包工程入力!$T$5:$T$300,$C63,⑩盛付梱包工程入力!$AF$5:$AF$300)+SUMIF(⑩盛付梱包工程入力!$U$5:$U$300,$C63,⑩盛付梱包工程入力!$AG$5:$AG$300)+SUMIF(⑩盛付梱包工程入力!$V$5:$V$300,$C63,⑩盛付梱包工程入力!$AH$5:$AH$300)+SUMIF(⑩盛付梱包工程入力!$W$5:$W$300,$C63,⑩盛付梱包工程入力!$AI$5:$AI$300)+SUMIF(⑪ZEN工程入力!$R$6:$R$35,$C63,⑪ZEN工程入力!$AD$6:$AD$35)+SUMIF(⑪ZEN工程入力!$S$6:$S$35,$C63,⑪ZEN工程入力!$AE$6:$AE$35)+SUMIF(⑪ZEN工程入力!$T$6:$T$35,$C63,⑪ZEN工程入力!$AF$6:$AF$35)+SUMIF(⑪ZEN工程入力!$U$6:$U$35,$C63,⑪ZEN工程入力!$AG$6:$AG$35)+SUMIF(⑪ZEN工程入力!$V$6:$V$35,$C63,⑪ZEN工程入力!$AH$6:$AH$35)+SUMIF(⑪ZEN工程入力!$W$6:$W$35,$C63,⑪ZEN工程入力!$AI$6:$AI$35)+SUMIF(⑫ミキサー工程入力!$R$6:$R$65,$C63,⑫ミキサー工程入力!$AD$6:$AD$65)+SUMIF(⑫ミキサー工程入力!$S$6:$S$65,$C63,⑫ミキサー工程入力!$AE$6:$AE$65)+SUMIF(⑫ミキサー工程入力!$T$6:$T$65,$C63,⑫ミキサー工程入力!$AF$6:$AF$65)+SUMIF(⑫ミキサー工程入力!$U$6:$U$65,$C63,⑫ミキサー工程入力!$AG$6:$AG$65)+SUMIF(⑫ミキサー工程入力!$V$6:$V$65,$C63,⑫ミキサー工程入力!$AH$6:$AH$65)+SUMIF(⑫ミキサー工程入力!$W$6:$W$65,$C63,⑫ミキサー工程入力!$AI$6:$AI$65)+SUMIF(⑬計量工程入力!$R$6:$R$65,$C63,⑬計量工程入力!$AD$6:$AD$65)+SUMIF(⑬計量工程入力!$S$6:$S$65,$C63,⑬計量工程入力!$AE$6:$AE$65)+SUMIF(⑬計量工程入力!$T$6:$T$65,$C63,⑬計量工程入力!$AF$6:$AF$65)+SUMIF(⑬計量工程入力!$U$6:$U$65,$C63,⑬計量工程入力!$AG$6:$AG$65)+SUMIF(⑬計量工程入力!$V$6:$V$65,$C63,⑬計量工程入力!$AH$6:$AH$65)+SUMIF(⑬計量工程入力!$W$6:$W$65,$C63,⑬計量工程入力!$AI$6:$AI$65)+SUMIF(⑭手動工程入力!$R$6:$R$47,$C63,⑭手動工程入力!$AD$6:$AD$47)+SUMIF(⑭手動工程入力!$S$6:$S$47,$C63,⑭手動工程入力!$AE$6:$AE$47)+SUMIF(⑭手動工程入力!$T$6:$T$47,$C63,⑭手動工程入力!$AF$6:$AF$47)+SUMIF(⑭手動工程入力!$U$6:$U$47,$C63,⑭手動工程入力!$AG$6:$AG$47)+SUMIF(⑭手動工程入力!$V$6:$V$47,$C63,⑭手動工程入力!$AH$6:$AH$47)+SUMIF(⑭手動工程入力!$W$6:$W$47,$C63,⑭手動工程入力!$AI$6:$AI$47)</f>
        <v/>
      </c>
      <c r="I63" s="393">
        <f>IF($F63&gt;0,$H63/$F63,"")</f>
        <v/>
      </c>
      <c r="J63" s="605">
        <f>IFERROR(INDEX(商品原価!$B$4:$B$112,MATCH(SUBSTITUTE(SUBSTITUTE(SUBSTITUTE(SUBSTITUTE(SUBSTITUTE(SUBSTITUTE(SUBSTITUTE(SUBSTITUTE(SUBSTITUTE(SUBSTITUTE(ASC($C63),"①","1"),"②","2"),"③","3"),"④","4"),"⑤","5"),"⑥","6"),"⑦","7"),"⑧","8"),"⑨","9")," ",""),商品原価!$C$4:$C$112,0)),"")</f>
        <v/>
      </c>
      <c r="K63" s="542">
        <f>IF(ISNUMBER($J63),$J63*④前提設定!$B$21,"")</f>
        <v/>
      </c>
      <c r="L63" s="605">
        <f>IF(AND(NOT(ISNUMBER($J63)),NOT(ISNUMBER($K63))),"",N($J63)+N($K63))</f>
        <v/>
      </c>
      <c r="M63" s="605">
        <f>IFERROR(INDEX(商品原価!$E$4:$E$112,MATCH(SUBSTITUTE(SUBSTITUTE(SUBSTITUTE(SUBSTITUTE(SUBSTITUTE(SUBSTITUTE(SUBSTITUTE(SUBSTITUTE(SUBSTITUTE(SUBSTITUTE(ASC($C63),"①","1"),"②","2"),"③","3"),"④","4"),"⑤","5"),"⑥","6"),"⑦","7"),"⑧","8"),"⑨","9")," ",""),商品原価!$C$4:$C$112,0)),"")</f>
        <v/>
      </c>
      <c r="N63" s="605">
        <f>IF(AND(ISNUMBER($M63),ISNUMBER($L63)),$M63-$L63-N($W63),"")</f>
        <v/>
      </c>
      <c r="O63" s="606">
        <f>IF(AND(ISNUMBER($N63),ISNUMBER($M63),$M63&gt;0),$N63/$M63,"")</f>
        <v/>
      </c>
      <c r="P63" s="398">
        <f>COUNTIF(②釜工程入力!$R$5:$R$117,$C63)+COUNTIF(②釜工程入力!$S$5:$S$117,$C63)+COUNTIF(②釜工程入力!$T$5:$T$117,$C63)+COUNTIF(②釜工程入力!$U$5:$U$117,$C63)+COUNTIF(②釜工程入力!$V$5:$V$117,$C63)+COUNTIF(②釜工程入力!$W$5:$W$117,$C63)+COUNTIF(③スチコン工程入力!$R$5:$R$152,$C63)+COUNTIF(③スチコン工程入力!$S$5:$S$152,$C63)+COUNTIF(③スチコン工程入力!$T$5:$T$152,$C63)+COUNTIF(③スチコン工程入力!$U$5:$U$152,$C63)+COUNTIF(③スチコン工程入力!$V$5:$V$152,$C63)+COUNTIF(③スチコン工程入力!$W$5:$W$152,$C63)+COUNTIF(⑩盛付梱包工程入力!$R$5:$R$300,$C63)+COUNTIF(⑩盛付梱包工程入力!$S$5:$S$300,$C63)+COUNTIF(⑩盛付梱包工程入力!$T$5:$T$300,$C63)+COUNTIF(⑩盛付梱包工程入力!$U$5:$U$300,$C63)+COUNTIF(⑩盛付梱包工程入力!$V$5:$V$300,$C63)+COUNTIF(⑩盛付梱包工程入力!$W$5:$W$300,$C63)+COUNTIF(⑪ZEN工程入力!$R$6:$R$35,$C63)+COUNTIF(⑪ZEN工程入力!$S$6:$S$35,$C63)+COUNTIF(⑪ZEN工程入力!$T$6:$T$35,$C63)+COUNTIF(⑪ZEN工程入力!$U$6:$U$35,$C63)+COUNTIF(⑪ZEN工程入力!$V$6:$V$35,$C63)+COUNTIF(⑪ZEN工程入力!$W$6:$W$35,$C63)+COUNTIF(⑫ミキサー工程入力!$R$6:$R$65,$C63)+COUNTIF(⑫ミキサー工程入力!$S$6:$S$65,$C63)+COUNTIF(⑫ミキサー工程入力!$T$6:$T$65,$C63)+COUNTIF(⑫ミキサー工程入力!$U$6:$U$65,$C63)+COUNTIF(⑫ミキサー工程入力!$V$6:$V$65,$C63)+COUNTIF(⑫ミキサー工程入力!$W$6:$W$65,$C63)+COUNTIF(⑬計量工程入力!$R$6:$R$65,$C63)+COUNTIF(⑬計量工程入力!$S$6:$S$65,$C63)+COUNTIF(⑬計量工程入力!$T$6:$T$65,$C63)+COUNTIF(⑬計量工程入力!$U$6:$U$65,$C63)+COUNTIF(⑬計量工程入力!$V$6:$V$65,$C63)+COUNTIF(⑬計量工程入力!$W$6:$W$65,$C63)+COUNTIF(⑭手動工程入力!$R$6:$R$47,$C63)+COUNTIF(⑭手動工程入力!$S$6:$S$47,$C63)+COUNTIF(⑭手動工程入力!$T$6:$T$47,$C63)+COUNTIF(⑭手動工程入力!$U$6:$U$47,$C63)+COUNTIF(⑭手動工程入力!$V$6:$V$47,$C63)+COUNTIF(⑭手動工程入力!$W$6:$W$47,$C63)</f>
        <v/>
      </c>
      <c r="Q63" s="392" t="n"/>
      <c r="R63" s="393" t="n"/>
      <c r="S63" s="393" t="n"/>
      <c r="T63" s="393" t="n"/>
      <c r="U63" s="393" t="n"/>
      <c r="V63" s="605">
        <f>IFERROR(INDEX(KIT別作業時間!$D$4:$D$27,MATCH(SUBSTITUTE(SUBSTITUTE(SUBSTITUTE(SUBSTITUTE(SUBSTITUTE(SUBSTITUTE(SUBSTITUTE(SUBSTITUTE(SUBSTITUTE(SUBSTITUTE(ASC($C63),"①","1"),"②","2"),"③","3"),"④","4"),"⑤","5"),"⑥","6"),"⑦","7"),"⑧","8"),"⑨","9")," ",""),KIT別作業時間!$C$4:$C$27,0)),"")</f>
        <v/>
      </c>
      <c r="W63" s="393">
        <f>IF(AND(ISNUMBER($I63),$I63&gt;0),$I63,IF(ISNUMBER($V63),$V63,IF(ISNUMBER($R63),$R63,"")))</f>
        <v/>
      </c>
      <c r="X63" s="393">
        <f>IF(AND(ISNUMBER($I63),$I63&gt;0),"今回の工程実績",IF(ISNUMBER($V63),"KIT作業時間",IF(ISNUMBER($R63),"前回資料","")))</f>
        <v/>
      </c>
      <c r="Y63" s="398" t="n">
        <v>1469</v>
      </c>
      <c r="Z63" s="398">
        <f>IF(AND(ISNUMBER($W63),ISNUMBER($Y63)),$W63*$Y63,"")</f>
        <v/>
      </c>
      <c r="AA63" s="393" t="n"/>
    </row>
    <row r="64">
      <c r="A64" s="392" t="n">
        <v>60</v>
      </c>
      <c r="B64" s="392" t="n"/>
      <c r="C64" s="392" t="inlineStr">
        <is>
          <t>豚ももスライスＫＩＴ</t>
        </is>
      </c>
      <c r="D64" s="398">
        <f>SUMIF(⑩盛付梱包工程入力!$R$5:$R$300,$C64,⑩盛付梱包工程入力!$AC$5:$AC$300)+SUMIF(⑩盛付梱包工程入力!$S$5:$S$300,$C64,⑩盛付梱包工程入力!$AC$5:$AC$300)+SUMIF(⑩盛付梱包工程入力!$T$5:$T$300,$C64,⑩盛付梱包工程入力!$AC$5:$AC$300)+SUMIF(⑩盛付梱包工程入力!$U$5:$U$300,$C64,⑩盛付梱包工程入力!$AC$5:$AC$300)+SUMIF(⑩盛付梱包工程入力!$V$5:$V$300,$C64,⑩盛付梱包工程入力!$AC$5:$AC$300)+SUMIF(⑩盛付梱包工程入力!$W$5:$W$300,$C64,⑩盛付梱包工程入力!$AC$5:$AC$300)</f>
        <v/>
      </c>
      <c r="E64" s="398" t="n">
        <v>26</v>
      </c>
      <c r="F64" s="398">
        <f>IF(N($E64)&gt;0,$E64,$D64)</f>
        <v/>
      </c>
      <c r="G64" s="393" t="n">
        <v>253.5090439276486</v>
      </c>
      <c r="H64" s="393">
        <f>SUMIF(②釜工程入力!$R$5:$R$117,$C64,②釜工程入力!$AD$5:$AD$117)+SUMIF(②釜工程入力!$S$5:$S$117,$C64,②釜工程入力!$AE$5:$AE$117)+SUMIF(②釜工程入力!$T$5:$T$117,$C64,②釜工程入力!$AF$5:$AF$117)+SUMIF(②釜工程入力!$U$5:$U$117,$C64,②釜工程入力!$AG$5:$AG$117)+SUMIF(②釜工程入力!$V$5:$V$117,$C64,②釜工程入力!$AH$5:$AH$117)+SUMIF(②釜工程入力!$W$5:$W$117,$C64,②釜工程入力!$AI$5:$AI$117)+SUMIF(③スチコン工程入力!$R$5:$R$152,$C64,③スチコン工程入力!$AD$5:$AD$152)+SUMIF(③スチコン工程入力!$S$5:$S$152,$C64,③スチコン工程入力!$AE$5:$AE$152)+SUMIF(③スチコン工程入力!$T$5:$T$152,$C64,③スチコン工程入力!$AF$5:$AF$152)+SUMIF(③スチコン工程入力!$U$5:$U$152,$C64,③スチコン工程入力!$AG$5:$AG$152)+SUMIF(③スチコン工程入力!$V$5:$V$152,$C64,③スチコン工程入力!$AH$5:$AH$152)+SUMIF(③スチコン工程入力!$W$5:$W$152,$C64,③スチコン工程入力!$AI$5:$AI$152)+SUMIF(⑩盛付梱包工程入力!$R$5:$R$300,$C64,⑩盛付梱包工程入力!$AD$5:$AD$300)+SUMIF(⑩盛付梱包工程入力!$S$5:$S$300,$C64,⑩盛付梱包工程入力!$AE$5:$AE$300)+SUMIF(⑩盛付梱包工程入力!$T$5:$T$300,$C64,⑩盛付梱包工程入力!$AF$5:$AF$300)+SUMIF(⑩盛付梱包工程入力!$U$5:$U$300,$C64,⑩盛付梱包工程入力!$AG$5:$AG$300)+SUMIF(⑩盛付梱包工程入力!$V$5:$V$300,$C64,⑩盛付梱包工程入力!$AH$5:$AH$300)+SUMIF(⑩盛付梱包工程入力!$W$5:$W$300,$C64,⑩盛付梱包工程入力!$AI$5:$AI$300)+SUMIF(⑪ZEN工程入力!$R$6:$R$35,$C64,⑪ZEN工程入力!$AD$6:$AD$35)+SUMIF(⑪ZEN工程入力!$S$6:$S$35,$C64,⑪ZEN工程入力!$AE$6:$AE$35)+SUMIF(⑪ZEN工程入力!$T$6:$T$35,$C64,⑪ZEN工程入力!$AF$6:$AF$35)+SUMIF(⑪ZEN工程入力!$U$6:$U$35,$C64,⑪ZEN工程入力!$AG$6:$AG$35)+SUMIF(⑪ZEN工程入力!$V$6:$V$35,$C64,⑪ZEN工程入力!$AH$6:$AH$35)+SUMIF(⑪ZEN工程入力!$W$6:$W$35,$C64,⑪ZEN工程入力!$AI$6:$AI$35)+SUMIF(⑫ミキサー工程入力!$R$6:$R$65,$C64,⑫ミキサー工程入力!$AD$6:$AD$65)+SUMIF(⑫ミキサー工程入力!$S$6:$S$65,$C64,⑫ミキサー工程入力!$AE$6:$AE$65)+SUMIF(⑫ミキサー工程入力!$T$6:$T$65,$C64,⑫ミキサー工程入力!$AF$6:$AF$65)+SUMIF(⑫ミキサー工程入力!$U$6:$U$65,$C64,⑫ミキサー工程入力!$AG$6:$AG$65)+SUMIF(⑫ミキサー工程入力!$V$6:$V$65,$C64,⑫ミキサー工程入力!$AH$6:$AH$65)+SUMIF(⑫ミキサー工程入力!$W$6:$W$65,$C64,⑫ミキサー工程入力!$AI$6:$AI$65)+SUMIF(⑬計量工程入力!$R$6:$R$65,$C64,⑬計量工程入力!$AD$6:$AD$65)+SUMIF(⑬計量工程入力!$S$6:$S$65,$C64,⑬計量工程入力!$AE$6:$AE$65)+SUMIF(⑬計量工程入力!$T$6:$T$65,$C64,⑬計量工程入力!$AF$6:$AF$65)+SUMIF(⑬計量工程入力!$U$6:$U$65,$C64,⑬計量工程入力!$AG$6:$AG$65)+SUMIF(⑬計量工程入力!$V$6:$V$65,$C64,⑬計量工程入力!$AH$6:$AH$65)+SUMIF(⑬計量工程入力!$W$6:$W$65,$C64,⑬計量工程入力!$AI$6:$AI$65)+SUMIF(⑭手動工程入力!$R$6:$R$47,$C64,⑭手動工程入力!$AD$6:$AD$47)+SUMIF(⑭手動工程入力!$S$6:$S$47,$C64,⑭手動工程入力!$AE$6:$AE$47)+SUMIF(⑭手動工程入力!$T$6:$T$47,$C64,⑭手動工程入力!$AF$6:$AF$47)+SUMIF(⑭手動工程入力!$U$6:$U$47,$C64,⑭手動工程入力!$AG$6:$AG$47)+SUMIF(⑭手動工程入力!$V$6:$V$47,$C64,⑭手動工程入力!$AH$6:$AH$47)+SUMIF(⑭手動工程入力!$W$6:$W$47,$C64,⑭手動工程入力!$AI$6:$AI$47)</f>
        <v/>
      </c>
      <c r="I64" s="393">
        <f>IF($F64&gt;0,$H64/$F64,"")</f>
        <v/>
      </c>
      <c r="J64" s="605">
        <f>IFERROR(INDEX(商品原価!$B$4:$B$112,MATCH(SUBSTITUTE(SUBSTITUTE(SUBSTITUTE(SUBSTITUTE(SUBSTITUTE(SUBSTITUTE(SUBSTITUTE(SUBSTITUTE(SUBSTITUTE(SUBSTITUTE(ASC($C64),"①","1"),"②","2"),"③","3"),"④","4"),"⑤","5"),"⑥","6"),"⑦","7"),"⑧","8"),"⑨","9")," ",""),商品原価!$C$4:$C$112,0)),"")</f>
        <v/>
      </c>
      <c r="K64" s="542">
        <f>IF(ISNUMBER($J64),$J64*④前提設定!$B$21,"")</f>
        <v/>
      </c>
      <c r="L64" s="605">
        <f>IF(AND(NOT(ISNUMBER($J64)),NOT(ISNUMBER($K64))),"",N($J64)+N($K64))</f>
        <v/>
      </c>
      <c r="M64" s="605">
        <f>IFERROR(INDEX(商品原価!$E$4:$E$112,MATCH(SUBSTITUTE(SUBSTITUTE(SUBSTITUTE(SUBSTITUTE(SUBSTITUTE(SUBSTITUTE(SUBSTITUTE(SUBSTITUTE(SUBSTITUTE(SUBSTITUTE(ASC($C64),"①","1"),"②","2"),"③","3"),"④","4"),"⑤","5"),"⑥","6"),"⑦","7"),"⑧","8"),"⑨","9")," ",""),商品原価!$C$4:$C$112,0)),"")</f>
        <v/>
      </c>
      <c r="N64" s="605">
        <f>IF(AND(ISNUMBER($M64),ISNUMBER($L64)),$M64-$L64-N($W64),"")</f>
        <v/>
      </c>
      <c r="O64" s="606">
        <f>IF(AND(ISNUMBER($N64),ISNUMBER($M64),$M64&gt;0),$N64/$M64,"")</f>
        <v/>
      </c>
      <c r="P64" s="398">
        <f>COUNTIF(②釜工程入力!$R$5:$R$117,$C64)+COUNTIF(②釜工程入力!$S$5:$S$117,$C64)+COUNTIF(②釜工程入力!$T$5:$T$117,$C64)+COUNTIF(②釜工程入力!$U$5:$U$117,$C64)+COUNTIF(②釜工程入力!$V$5:$V$117,$C64)+COUNTIF(②釜工程入力!$W$5:$W$117,$C64)+COUNTIF(③スチコン工程入力!$R$5:$R$152,$C64)+COUNTIF(③スチコン工程入力!$S$5:$S$152,$C64)+COUNTIF(③スチコン工程入力!$T$5:$T$152,$C64)+COUNTIF(③スチコン工程入力!$U$5:$U$152,$C64)+COUNTIF(③スチコン工程入力!$V$5:$V$152,$C64)+COUNTIF(③スチコン工程入力!$W$5:$W$152,$C64)+COUNTIF(⑩盛付梱包工程入力!$R$5:$R$300,$C64)+COUNTIF(⑩盛付梱包工程入力!$S$5:$S$300,$C64)+COUNTIF(⑩盛付梱包工程入力!$T$5:$T$300,$C64)+COUNTIF(⑩盛付梱包工程入力!$U$5:$U$300,$C64)+COUNTIF(⑩盛付梱包工程入力!$V$5:$V$300,$C64)+COUNTIF(⑩盛付梱包工程入力!$W$5:$W$300,$C64)+COUNTIF(⑪ZEN工程入力!$R$6:$R$35,$C64)+COUNTIF(⑪ZEN工程入力!$S$6:$S$35,$C64)+COUNTIF(⑪ZEN工程入力!$T$6:$T$35,$C64)+COUNTIF(⑪ZEN工程入力!$U$6:$U$35,$C64)+COUNTIF(⑪ZEN工程入力!$V$6:$V$35,$C64)+COUNTIF(⑪ZEN工程入力!$W$6:$W$35,$C64)+COUNTIF(⑫ミキサー工程入力!$R$6:$R$65,$C64)+COUNTIF(⑫ミキサー工程入力!$S$6:$S$65,$C64)+COUNTIF(⑫ミキサー工程入力!$T$6:$T$65,$C64)+COUNTIF(⑫ミキサー工程入力!$U$6:$U$65,$C64)+COUNTIF(⑫ミキサー工程入力!$V$6:$V$65,$C64)+COUNTIF(⑫ミキサー工程入力!$W$6:$W$65,$C64)+COUNTIF(⑬計量工程入力!$R$6:$R$65,$C64)+COUNTIF(⑬計量工程入力!$S$6:$S$65,$C64)+COUNTIF(⑬計量工程入力!$T$6:$T$65,$C64)+COUNTIF(⑬計量工程入力!$U$6:$U$65,$C64)+COUNTIF(⑬計量工程入力!$V$6:$V$65,$C64)+COUNTIF(⑬計量工程入力!$W$6:$W$65,$C64)+COUNTIF(⑭手動工程入力!$R$6:$R$47,$C64)+COUNTIF(⑭手動工程入力!$S$6:$S$47,$C64)+COUNTIF(⑭手動工程入力!$T$6:$T$47,$C64)+COUNTIF(⑭手動工程入力!$U$6:$U$47,$C64)+COUNTIF(⑭手動工程入力!$V$6:$V$47,$C64)+COUNTIF(⑭手動工程入力!$W$6:$W$47,$C64)</f>
        <v/>
      </c>
      <c r="Q64" s="392" t="inlineStr">
        <is>
          <t>⑩盛付梱包 59行目に入力欄を作成（工程記録なし）</t>
        </is>
      </c>
      <c r="R64" s="393" t="n"/>
      <c r="S64" s="393" t="n"/>
      <c r="T64" s="393" t="n"/>
      <c r="U64" s="393" t="n"/>
      <c r="V64" s="605">
        <f>IFERROR(INDEX(KIT別作業時間!$D$4:$D$27,MATCH(SUBSTITUTE(SUBSTITUTE(SUBSTITUTE(SUBSTITUTE(SUBSTITUTE(SUBSTITUTE(SUBSTITUTE(SUBSTITUTE(SUBSTITUTE(SUBSTITUTE(ASC($C64),"①","1"),"②","2"),"③","3"),"④","4"),"⑤","5"),"⑥","6"),"⑦","7"),"⑧","8"),"⑨","9")," ",""),KIT別作業時間!$C$4:$C$27,0)),"")</f>
        <v/>
      </c>
      <c r="W64" s="393">
        <f>IF(AND(ISNUMBER($I64),$I64&gt;0),$I64,IF(ISNUMBER($V64),$V64,IF(ISNUMBER($R64),$R64,"")))</f>
        <v/>
      </c>
      <c r="X64" s="393">
        <f>IF(AND(ISNUMBER($I64),$I64&gt;0),"今回の工程実績",IF(ISNUMBER($V64),"KIT作業時間",IF(ISNUMBER($R64),"前回資料","")))</f>
        <v/>
      </c>
      <c r="Y64" s="398" t="n">
        <v>689</v>
      </c>
      <c r="Z64" s="398">
        <f>IF(AND(ISNUMBER($W64),ISNUMBER($Y64)),$W64*$Y64,"")</f>
        <v/>
      </c>
      <c r="AA64" s="393" t="n"/>
    </row>
    <row r="65">
      <c r="A65" s="392" t="n">
        <v>61</v>
      </c>
      <c r="B65" s="392" t="n"/>
      <c r="C65" s="392" t="inlineStr">
        <is>
          <t>ガーリックフランスＫＩＴ</t>
        </is>
      </c>
      <c r="D65" s="398">
        <f>SUMIF(⑩盛付梱包工程入力!$R$5:$R$300,$C65,⑩盛付梱包工程入力!$AC$5:$AC$300)+SUMIF(⑩盛付梱包工程入力!$S$5:$S$300,$C65,⑩盛付梱包工程入力!$AC$5:$AC$300)+SUMIF(⑩盛付梱包工程入力!$T$5:$T$300,$C65,⑩盛付梱包工程入力!$AC$5:$AC$300)+SUMIF(⑩盛付梱包工程入力!$U$5:$U$300,$C65,⑩盛付梱包工程入力!$AC$5:$AC$300)+SUMIF(⑩盛付梱包工程入力!$V$5:$V$300,$C65,⑩盛付梱包工程入力!$AC$5:$AC$300)+SUMIF(⑩盛付梱包工程入力!$W$5:$W$300,$C65,⑩盛付梱包工程入力!$AC$5:$AC$300)</f>
        <v/>
      </c>
      <c r="E65" s="398" t="n">
        <v>58</v>
      </c>
      <c r="F65" s="398">
        <f>IF(N($E65)&gt;0,$E65,$D65)</f>
        <v/>
      </c>
      <c r="G65" s="393" t="n">
        <v>104.4143980641258</v>
      </c>
      <c r="H65" s="393">
        <f>SUMIF(②釜工程入力!$R$5:$R$117,$C65,②釜工程入力!$AD$5:$AD$117)+SUMIF(②釜工程入力!$S$5:$S$117,$C65,②釜工程入力!$AE$5:$AE$117)+SUMIF(②釜工程入力!$T$5:$T$117,$C65,②釜工程入力!$AF$5:$AF$117)+SUMIF(②釜工程入力!$U$5:$U$117,$C65,②釜工程入力!$AG$5:$AG$117)+SUMIF(②釜工程入力!$V$5:$V$117,$C65,②釜工程入力!$AH$5:$AH$117)+SUMIF(②釜工程入力!$W$5:$W$117,$C65,②釜工程入力!$AI$5:$AI$117)+SUMIF(③スチコン工程入力!$R$5:$R$152,$C65,③スチコン工程入力!$AD$5:$AD$152)+SUMIF(③スチコン工程入力!$S$5:$S$152,$C65,③スチコン工程入力!$AE$5:$AE$152)+SUMIF(③スチコン工程入力!$T$5:$T$152,$C65,③スチコン工程入力!$AF$5:$AF$152)+SUMIF(③スチコン工程入力!$U$5:$U$152,$C65,③スチコン工程入力!$AG$5:$AG$152)+SUMIF(③スチコン工程入力!$V$5:$V$152,$C65,③スチコン工程入力!$AH$5:$AH$152)+SUMIF(③スチコン工程入力!$W$5:$W$152,$C65,③スチコン工程入力!$AI$5:$AI$152)+SUMIF(⑩盛付梱包工程入力!$R$5:$R$300,$C65,⑩盛付梱包工程入力!$AD$5:$AD$300)+SUMIF(⑩盛付梱包工程入力!$S$5:$S$300,$C65,⑩盛付梱包工程入力!$AE$5:$AE$300)+SUMIF(⑩盛付梱包工程入力!$T$5:$T$300,$C65,⑩盛付梱包工程入力!$AF$5:$AF$300)+SUMIF(⑩盛付梱包工程入力!$U$5:$U$300,$C65,⑩盛付梱包工程入力!$AG$5:$AG$300)+SUMIF(⑩盛付梱包工程入力!$V$5:$V$300,$C65,⑩盛付梱包工程入力!$AH$5:$AH$300)+SUMIF(⑩盛付梱包工程入力!$W$5:$W$300,$C65,⑩盛付梱包工程入力!$AI$5:$AI$300)+SUMIF(⑪ZEN工程入力!$R$6:$R$35,$C65,⑪ZEN工程入力!$AD$6:$AD$35)+SUMIF(⑪ZEN工程入力!$S$6:$S$35,$C65,⑪ZEN工程入力!$AE$6:$AE$35)+SUMIF(⑪ZEN工程入力!$T$6:$T$35,$C65,⑪ZEN工程入力!$AF$6:$AF$35)+SUMIF(⑪ZEN工程入力!$U$6:$U$35,$C65,⑪ZEN工程入力!$AG$6:$AG$35)+SUMIF(⑪ZEN工程入力!$V$6:$V$35,$C65,⑪ZEN工程入力!$AH$6:$AH$35)+SUMIF(⑪ZEN工程入力!$W$6:$W$35,$C65,⑪ZEN工程入力!$AI$6:$AI$35)+SUMIF(⑫ミキサー工程入力!$R$6:$R$65,$C65,⑫ミキサー工程入力!$AD$6:$AD$65)+SUMIF(⑫ミキサー工程入力!$S$6:$S$65,$C65,⑫ミキサー工程入力!$AE$6:$AE$65)+SUMIF(⑫ミキサー工程入力!$T$6:$T$65,$C65,⑫ミキサー工程入力!$AF$6:$AF$65)+SUMIF(⑫ミキサー工程入力!$U$6:$U$65,$C65,⑫ミキサー工程入力!$AG$6:$AG$65)+SUMIF(⑫ミキサー工程入力!$V$6:$V$65,$C65,⑫ミキサー工程入力!$AH$6:$AH$65)+SUMIF(⑫ミキサー工程入力!$W$6:$W$65,$C65,⑫ミキサー工程入力!$AI$6:$AI$65)+SUMIF(⑬計量工程入力!$R$6:$R$65,$C65,⑬計量工程入力!$AD$6:$AD$65)+SUMIF(⑬計量工程入力!$S$6:$S$65,$C65,⑬計量工程入力!$AE$6:$AE$65)+SUMIF(⑬計量工程入力!$T$6:$T$65,$C65,⑬計量工程入力!$AF$6:$AF$65)+SUMIF(⑬計量工程入力!$U$6:$U$65,$C65,⑬計量工程入力!$AG$6:$AG$65)+SUMIF(⑬計量工程入力!$V$6:$V$65,$C65,⑬計量工程入力!$AH$6:$AH$65)+SUMIF(⑬計量工程入力!$W$6:$W$65,$C65,⑬計量工程入力!$AI$6:$AI$65)+SUMIF(⑭手動工程入力!$R$6:$R$47,$C65,⑭手動工程入力!$AD$6:$AD$47)+SUMIF(⑭手動工程入力!$S$6:$S$47,$C65,⑭手動工程入力!$AE$6:$AE$47)+SUMIF(⑭手動工程入力!$T$6:$T$47,$C65,⑭手動工程入力!$AF$6:$AF$47)+SUMIF(⑭手動工程入力!$U$6:$U$47,$C65,⑭手動工程入力!$AG$6:$AG$47)+SUMIF(⑭手動工程入力!$V$6:$V$47,$C65,⑭手動工程入力!$AH$6:$AH$47)+SUMIF(⑭手動工程入力!$W$6:$W$47,$C65,⑭手動工程入力!$AI$6:$AI$47)</f>
        <v/>
      </c>
      <c r="I65" s="393">
        <f>IF($F65&gt;0,$H65/$F65,"")</f>
        <v/>
      </c>
      <c r="J65" s="605">
        <f>IFERROR(INDEX(商品原価!$B$4:$B$112,MATCH(SUBSTITUTE(SUBSTITUTE(SUBSTITUTE(SUBSTITUTE(SUBSTITUTE(SUBSTITUTE(SUBSTITUTE(SUBSTITUTE(SUBSTITUTE(SUBSTITUTE(ASC($C65),"①","1"),"②","2"),"③","3"),"④","4"),"⑤","5"),"⑥","6"),"⑦","7"),"⑧","8"),"⑨","9")," ",""),商品原価!$C$4:$C$112,0)),"")</f>
        <v/>
      </c>
      <c r="K65" s="542">
        <f>IF(ISNUMBER($J65),$J65*④前提設定!$B$21,"")</f>
        <v/>
      </c>
      <c r="L65" s="605">
        <f>IF(AND(NOT(ISNUMBER($J65)),NOT(ISNUMBER($K65))),"",N($J65)+N($K65))</f>
        <v/>
      </c>
      <c r="M65" s="605">
        <f>IFERROR(INDEX(商品原価!$E$4:$E$112,MATCH(SUBSTITUTE(SUBSTITUTE(SUBSTITUTE(SUBSTITUTE(SUBSTITUTE(SUBSTITUTE(SUBSTITUTE(SUBSTITUTE(SUBSTITUTE(SUBSTITUTE(ASC($C65),"①","1"),"②","2"),"③","3"),"④","4"),"⑤","5"),"⑥","6"),"⑦","7"),"⑧","8"),"⑨","9")," ",""),商品原価!$C$4:$C$112,0)),"")</f>
        <v/>
      </c>
      <c r="N65" s="605">
        <f>IF(AND(ISNUMBER($M65),ISNUMBER($L65)),$M65-$L65-N($W65),"")</f>
        <v/>
      </c>
      <c r="O65" s="606">
        <f>IF(AND(ISNUMBER($N65),ISNUMBER($M65),$M65&gt;0),$N65/$M65,"")</f>
        <v/>
      </c>
      <c r="P65" s="398">
        <f>COUNTIF(②釜工程入力!$R$5:$R$117,$C65)+COUNTIF(②釜工程入力!$S$5:$S$117,$C65)+COUNTIF(②釜工程入力!$T$5:$T$117,$C65)+COUNTIF(②釜工程入力!$U$5:$U$117,$C65)+COUNTIF(②釜工程入力!$V$5:$V$117,$C65)+COUNTIF(②釜工程入力!$W$5:$W$117,$C65)+COUNTIF(③スチコン工程入力!$R$5:$R$152,$C65)+COUNTIF(③スチコン工程入力!$S$5:$S$152,$C65)+COUNTIF(③スチコン工程入力!$T$5:$T$152,$C65)+COUNTIF(③スチコン工程入力!$U$5:$U$152,$C65)+COUNTIF(③スチコン工程入力!$V$5:$V$152,$C65)+COUNTIF(③スチコン工程入力!$W$5:$W$152,$C65)+COUNTIF(⑩盛付梱包工程入力!$R$5:$R$300,$C65)+COUNTIF(⑩盛付梱包工程入力!$S$5:$S$300,$C65)+COUNTIF(⑩盛付梱包工程入力!$T$5:$T$300,$C65)+COUNTIF(⑩盛付梱包工程入力!$U$5:$U$300,$C65)+COUNTIF(⑩盛付梱包工程入力!$V$5:$V$300,$C65)+COUNTIF(⑩盛付梱包工程入力!$W$5:$W$300,$C65)+COUNTIF(⑪ZEN工程入力!$R$6:$R$35,$C65)+COUNTIF(⑪ZEN工程入力!$S$6:$S$35,$C65)+COUNTIF(⑪ZEN工程入力!$T$6:$T$35,$C65)+COUNTIF(⑪ZEN工程入力!$U$6:$U$35,$C65)+COUNTIF(⑪ZEN工程入力!$V$6:$V$35,$C65)+COUNTIF(⑪ZEN工程入力!$W$6:$W$35,$C65)+COUNTIF(⑫ミキサー工程入力!$R$6:$R$65,$C65)+COUNTIF(⑫ミキサー工程入力!$S$6:$S$65,$C65)+COUNTIF(⑫ミキサー工程入力!$T$6:$T$65,$C65)+COUNTIF(⑫ミキサー工程入力!$U$6:$U$65,$C65)+COUNTIF(⑫ミキサー工程入力!$V$6:$V$65,$C65)+COUNTIF(⑫ミキサー工程入力!$W$6:$W$65,$C65)+COUNTIF(⑬計量工程入力!$R$6:$R$65,$C65)+COUNTIF(⑬計量工程入力!$S$6:$S$65,$C65)+COUNTIF(⑬計量工程入力!$T$6:$T$65,$C65)+COUNTIF(⑬計量工程入力!$U$6:$U$65,$C65)+COUNTIF(⑬計量工程入力!$V$6:$V$65,$C65)+COUNTIF(⑬計量工程入力!$W$6:$W$65,$C65)+COUNTIF(⑭手動工程入力!$R$6:$R$47,$C65)+COUNTIF(⑭手動工程入力!$S$6:$S$47,$C65)+COUNTIF(⑭手動工程入力!$T$6:$T$47,$C65)+COUNTIF(⑭手動工程入力!$U$6:$U$47,$C65)+COUNTIF(⑭手動工程入力!$V$6:$V$47,$C65)+COUNTIF(⑭手動工程入力!$W$6:$W$47,$C65)</f>
        <v/>
      </c>
      <c r="Q65" s="392" t="n"/>
      <c r="R65" s="393" t="n"/>
      <c r="S65" s="393" t="n"/>
      <c r="T65" s="393" t="n"/>
      <c r="U65" s="393" t="n"/>
      <c r="V65" s="605">
        <f>IFERROR(INDEX(KIT別作業時間!$D$4:$D$27,MATCH(SUBSTITUTE(SUBSTITUTE(SUBSTITUTE(SUBSTITUTE(SUBSTITUTE(SUBSTITUTE(SUBSTITUTE(SUBSTITUTE(SUBSTITUTE(SUBSTITUTE(ASC($C65),"①","1"),"②","2"),"③","3"),"④","4"),"⑤","5"),"⑥","6"),"⑦","7"),"⑧","8"),"⑨","9")," ",""),KIT別作業時間!$C$4:$C$27,0)),"")</f>
        <v/>
      </c>
      <c r="W65" s="393">
        <f>IF(AND(ISNUMBER($I65),$I65&gt;0),$I65,IF(ISNUMBER($V65),$V65,IF(ISNUMBER($R65),$R65,"")))</f>
        <v/>
      </c>
      <c r="X65" s="393">
        <f>IF(AND(ISNUMBER($I65),$I65&gt;0),"今回の工程実績",IF(ISNUMBER($V65),"KIT作業時間",IF(ISNUMBER($R65),"前回資料","")))</f>
        <v/>
      </c>
      <c r="Y65" s="398" t="n">
        <v>1581</v>
      </c>
      <c r="Z65" s="398">
        <f>IF(AND(ISNUMBER($W65),ISNUMBER($Y65)),$W65*$Y65,"")</f>
        <v/>
      </c>
      <c r="AA65" s="393" t="n"/>
    </row>
    <row r="66">
      <c r="A66" s="392" t="n">
        <v>62</v>
      </c>
      <c r="B66" s="392" t="n"/>
      <c r="C66" s="392" t="inlineStr">
        <is>
          <t>２種ぶどうの杏仁プリン</t>
        </is>
      </c>
      <c r="D66" s="398">
        <f>SUMIF(⑩盛付梱包工程入力!$R$5:$R$300,$C66,⑩盛付梱包工程入力!$AC$5:$AC$300)+SUMIF(⑩盛付梱包工程入力!$S$5:$S$300,$C66,⑩盛付梱包工程入力!$AC$5:$AC$300)+SUMIF(⑩盛付梱包工程入力!$T$5:$T$300,$C66,⑩盛付梱包工程入力!$AC$5:$AC$300)+SUMIF(⑩盛付梱包工程入力!$U$5:$U$300,$C66,⑩盛付梱包工程入力!$AC$5:$AC$300)+SUMIF(⑩盛付梱包工程入力!$V$5:$V$300,$C66,⑩盛付梱包工程入力!$AC$5:$AC$300)+SUMIF(⑩盛付梱包工程入力!$W$5:$W$300,$C66,⑩盛付梱包工程入力!$AC$5:$AC$300)</f>
        <v/>
      </c>
      <c r="E66" s="398" t="n"/>
      <c r="F66" s="398">
        <f>IF(N($E66)&gt;0,$E66,$D66)</f>
        <v/>
      </c>
      <c r="G66" s="398" t="n"/>
      <c r="H66" s="393">
        <f>SUMIF(②釜工程入力!$R$5:$R$117,$C66,②釜工程入力!$AD$5:$AD$117)+SUMIF(②釜工程入力!$S$5:$S$117,$C66,②釜工程入力!$AE$5:$AE$117)+SUMIF(②釜工程入力!$T$5:$T$117,$C66,②釜工程入力!$AF$5:$AF$117)+SUMIF(②釜工程入力!$U$5:$U$117,$C66,②釜工程入力!$AG$5:$AG$117)+SUMIF(②釜工程入力!$V$5:$V$117,$C66,②釜工程入力!$AH$5:$AH$117)+SUMIF(②釜工程入力!$W$5:$W$117,$C66,②釜工程入力!$AI$5:$AI$117)+SUMIF(③スチコン工程入力!$R$5:$R$152,$C66,③スチコン工程入力!$AD$5:$AD$152)+SUMIF(③スチコン工程入力!$S$5:$S$152,$C66,③スチコン工程入力!$AE$5:$AE$152)+SUMIF(③スチコン工程入力!$T$5:$T$152,$C66,③スチコン工程入力!$AF$5:$AF$152)+SUMIF(③スチコン工程入力!$U$5:$U$152,$C66,③スチコン工程入力!$AG$5:$AG$152)+SUMIF(③スチコン工程入力!$V$5:$V$152,$C66,③スチコン工程入力!$AH$5:$AH$152)+SUMIF(③スチコン工程入力!$W$5:$W$152,$C66,③スチコン工程入力!$AI$5:$AI$152)+SUMIF(⑩盛付梱包工程入力!$R$5:$R$300,$C66,⑩盛付梱包工程入力!$AD$5:$AD$300)+SUMIF(⑩盛付梱包工程入力!$S$5:$S$300,$C66,⑩盛付梱包工程入力!$AE$5:$AE$300)+SUMIF(⑩盛付梱包工程入力!$T$5:$T$300,$C66,⑩盛付梱包工程入力!$AF$5:$AF$300)+SUMIF(⑩盛付梱包工程入力!$U$5:$U$300,$C66,⑩盛付梱包工程入力!$AG$5:$AG$300)+SUMIF(⑩盛付梱包工程入力!$V$5:$V$300,$C66,⑩盛付梱包工程入力!$AH$5:$AH$300)+SUMIF(⑩盛付梱包工程入力!$W$5:$W$300,$C66,⑩盛付梱包工程入力!$AI$5:$AI$300)+SUMIF(⑪ZEN工程入力!$R$6:$R$35,$C66,⑪ZEN工程入力!$AD$6:$AD$35)+SUMIF(⑪ZEN工程入力!$S$6:$S$35,$C66,⑪ZEN工程入力!$AE$6:$AE$35)+SUMIF(⑪ZEN工程入力!$T$6:$T$35,$C66,⑪ZEN工程入力!$AF$6:$AF$35)+SUMIF(⑪ZEN工程入力!$U$6:$U$35,$C66,⑪ZEN工程入力!$AG$6:$AG$35)+SUMIF(⑪ZEN工程入力!$V$6:$V$35,$C66,⑪ZEN工程入力!$AH$6:$AH$35)+SUMIF(⑪ZEN工程入力!$W$6:$W$35,$C66,⑪ZEN工程入力!$AI$6:$AI$35)+SUMIF(⑫ミキサー工程入力!$R$6:$R$65,$C66,⑫ミキサー工程入力!$AD$6:$AD$65)+SUMIF(⑫ミキサー工程入力!$S$6:$S$65,$C66,⑫ミキサー工程入力!$AE$6:$AE$65)+SUMIF(⑫ミキサー工程入力!$T$6:$T$65,$C66,⑫ミキサー工程入力!$AF$6:$AF$65)+SUMIF(⑫ミキサー工程入力!$U$6:$U$65,$C66,⑫ミキサー工程入力!$AG$6:$AG$65)+SUMIF(⑫ミキサー工程入力!$V$6:$V$65,$C66,⑫ミキサー工程入力!$AH$6:$AH$65)+SUMIF(⑫ミキサー工程入力!$W$6:$W$65,$C66,⑫ミキサー工程入力!$AI$6:$AI$65)+SUMIF(⑬計量工程入力!$R$6:$R$65,$C66,⑬計量工程入力!$AD$6:$AD$65)+SUMIF(⑬計量工程入力!$S$6:$S$65,$C66,⑬計量工程入力!$AE$6:$AE$65)+SUMIF(⑬計量工程入力!$T$6:$T$65,$C66,⑬計量工程入力!$AF$6:$AF$65)+SUMIF(⑬計量工程入力!$U$6:$U$65,$C66,⑬計量工程入力!$AG$6:$AG$65)+SUMIF(⑬計量工程入力!$V$6:$V$65,$C66,⑬計量工程入力!$AH$6:$AH$65)+SUMIF(⑬計量工程入力!$W$6:$W$65,$C66,⑬計量工程入力!$AI$6:$AI$65)+SUMIF(⑭手動工程入力!$R$6:$R$47,$C66,⑭手動工程入力!$AD$6:$AD$47)+SUMIF(⑭手動工程入力!$S$6:$S$47,$C66,⑭手動工程入力!$AE$6:$AE$47)+SUMIF(⑭手動工程入力!$T$6:$T$47,$C66,⑭手動工程入力!$AF$6:$AF$47)+SUMIF(⑭手動工程入力!$U$6:$U$47,$C66,⑭手動工程入力!$AG$6:$AG$47)+SUMIF(⑭手動工程入力!$V$6:$V$47,$C66,⑭手動工程入力!$AH$6:$AH$47)+SUMIF(⑭手動工程入力!$W$6:$W$47,$C66,⑭手動工程入力!$AI$6:$AI$47)</f>
        <v/>
      </c>
      <c r="I66" s="393">
        <f>IF($F66&gt;0,$H66/$F66,"")</f>
        <v/>
      </c>
      <c r="J66" s="605">
        <f>IFERROR(INDEX(商品原価!$B$4:$B$112,MATCH(SUBSTITUTE(SUBSTITUTE(SUBSTITUTE(SUBSTITUTE(SUBSTITUTE(SUBSTITUTE(SUBSTITUTE(SUBSTITUTE(SUBSTITUTE(SUBSTITUTE(ASC($C66),"①","1"),"②","2"),"③","3"),"④","4"),"⑤","5"),"⑥","6"),"⑦","7"),"⑧","8"),"⑨","9")," ",""),商品原価!$C$4:$C$112,0)),"")</f>
        <v/>
      </c>
      <c r="K66" s="542">
        <f>IF(ISNUMBER($J66),$J66*④前提設定!$B$21,"")</f>
        <v/>
      </c>
      <c r="L66" s="605">
        <f>IF(AND(NOT(ISNUMBER($J66)),NOT(ISNUMBER($K66))),"",N($J66)+N($K66))</f>
        <v/>
      </c>
      <c r="M66" s="605">
        <f>IFERROR(INDEX(商品原価!$E$4:$E$112,MATCH(SUBSTITUTE(SUBSTITUTE(SUBSTITUTE(SUBSTITUTE(SUBSTITUTE(SUBSTITUTE(SUBSTITUTE(SUBSTITUTE(SUBSTITUTE(SUBSTITUTE(ASC($C66),"①","1"),"②","2"),"③","3"),"④","4"),"⑤","5"),"⑥","6"),"⑦","7"),"⑧","8"),"⑨","9")," ",""),商品原価!$C$4:$C$112,0)),"")</f>
        <v/>
      </c>
      <c r="N66" s="605">
        <f>IF(AND(ISNUMBER($M66),ISNUMBER($L66)),$M66-$L66-N($W66),"")</f>
        <v/>
      </c>
      <c r="O66" s="606">
        <f>IF(AND(ISNUMBER($N66),ISNUMBER($M66),$M66&gt;0),$N66/$M66,"")</f>
        <v/>
      </c>
      <c r="P66" s="398">
        <f>COUNTIF(②釜工程入力!$R$5:$R$117,$C66)+COUNTIF(②釜工程入力!$S$5:$S$117,$C66)+COUNTIF(②釜工程入力!$T$5:$T$117,$C66)+COUNTIF(②釜工程入力!$U$5:$U$117,$C66)+COUNTIF(②釜工程入力!$V$5:$V$117,$C66)+COUNTIF(②釜工程入力!$W$5:$W$117,$C66)+COUNTIF(③スチコン工程入力!$R$5:$R$152,$C66)+COUNTIF(③スチコン工程入力!$S$5:$S$152,$C66)+COUNTIF(③スチコン工程入力!$T$5:$T$152,$C66)+COUNTIF(③スチコン工程入力!$U$5:$U$152,$C66)+COUNTIF(③スチコン工程入力!$V$5:$V$152,$C66)+COUNTIF(③スチコン工程入力!$W$5:$W$152,$C66)+COUNTIF(⑩盛付梱包工程入力!$R$5:$R$300,$C66)+COUNTIF(⑩盛付梱包工程入力!$S$5:$S$300,$C66)+COUNTIF(⑩盛付梱包工程入力!$T$5:$T$300,$C66)+COUNTIF(⑩盛付梱包工程入力!$U$5:$U$300,$C66)+COUNTIF(⑩盛付梱包工程入力!$V$5:$V$300,$C66)+COUNTIF(⑩盛付梱包工程入力!$W$5:$W$300,$C66)+COUNTIF(⑪ZEN工程入力!$R$6:$R$35,$C66)+COUNTIF(⑪ZEN工程入力!$S$6:$S$35,$C66)+COUNTIF(⑪ZEN工程入力!$T$6:$T$35,$C66)+COUNTIF(⑪ZEN工程入力!$U$6:$U$35,$C66)+COUNTIF(⑪ZEN工程入力!$V$6:$V$35,$C66)+COUNTIF(⑪ZEN工程入力!$W$6:$W$35,$C66)+COUNTIF(⑫ミキサー工程入力!$R$6:$R$65,$C66)+COUNTIF(⑫ミキサー工程入力!$S$6:$S$65,$C66)+COUNTIF(⑫ミキサー工程入力!$T$6:$T$65,$C66)+COUNTIF(⑫ミキサー工程入力!$U$6:$U$65,$C66)+COUNTIF(⑫ミキサー工程入力!$V$6:$V$65,$C66)+COUNTIF(⑫ミキサー工程入力!$W$6:$W$65,$C66)+COUNTIF(⑬計量工程入力!$R$6:$R$65,$C66)+COUNTIF(⑬計量工程入力!$S$6:$S$65,$C66)+COUNTIF(⑬計量工程入力!$T$6:$T$65,$C66)+COUNTIF(⑬計量工程入力!$U$6:$U$65,$C66)+COUNTIF(⑬計量工程入力!$V$6:$V$65,$C66)+COUNTIF(⑬計量工程入力!$W$6:$W$65,$C66)+COUNTIF(⑭手動工程入力!$R$6:$R$47,$C66)+COUNTIF(⑭手動工程入力!$S$6:$S$47,$C66)+COUNTIF(⑭手動工程入力!$T$6:$T$47,$C66)+COUNTIF(⑭手動工程入力!$U$6:$U$47,$C66)+COUNTIF(⑭手動工程入力!$V$6:$V$47,$C66)+COUNTIF(⑭手動工程入力!$W$6:$W$47,$C66)</f>
        <v/>
      </c>
      <c r="Q66" s="392" t="n"/>
      <c r="R66" s="393" t="n"/>
      <c r="S66" s="393" t="n"/>
      <c r="T66" s="393" t="n"/>
      <c r="U66" s="393" t="n"/>
      <c r="V66" s="605">
        <f>IFERROR(INDEX(KIT別作業時間!$D$4:$D$27,MATCH(SUBSTITUTE(SUBSTITUTE(SUBSTITUTE(SUBSTITUTE(SUBSTITUTE(SUBSTITUTE(SUBSTITUTE(SUBSTITUTE(SUBSTITUTE(SUBSTITUTE(ASC($C66),"①","1"),"②","2"),"③","3"),"④","4"),"⑤","5"),"⑥","6"),"⑦","7"),"⑧","8"),"⑨","9")," ",""),KIT別作業時間!$C$4:$C$27,0)),"")</f>
        <v/>
      </c>
      <c r="W66" s="393">
        <f>IF(AND(ISNUMBER($I66),$I66&gt;0),$I66,IF(ISNUMBER($V66),$V66,IF(ISNUMBER($R66),$R66,"")))</f>
        <v/>
      </c>
      <c r="X66" s="393">
        <f>IF(AND(ISNUMBER($I66),$I66&gt;0),"今回の工程実績",IF(ISNUMBER($V66),"KIT作業時間",IF(ISNUMBER($R66),"前回資料","")))</f>
        <v/>
      </c>
      <c r="Y66" s="398" t="n">
        <v>2181</v>
      </c>
      <c r="Z66" s="398">
        <f>IF(AND(ISNUMBER($W66),ISNUMBER($Y66)),$W66*$Y66,"")</f>
        <v/>
      </c>
      <c r="AA66" s="393" t="n"/>
    </row>
    <row r="67">
      <c r="A67" s="392" t="n">
        <v>63</v>
      </c>
      <c r="B67" s="392" t="n"/>
      <c r="C67" s="392" t="inlineStr">
        <is>
          <t>ごま団子ＫＩＴ</t>
        </is>
      </c>
      <c r="D67" s="398">
        <f>SUMIF(⑩盛付梱包工程入力!$R$5:$R$300,$C67,⑩盛付梱包工程入力!$AC$5:$AC$300)+SUMIF(⑩盛付梱包工程入力!$S$5:$S$300,$C67,⑩盛付梱包工程入力!$AC$5:$AC$300)+SUMIF(⑩盛付梱包工程入力!$T$5:$T$300,$C67,⑩盛付梱包工程入力!$AC$5:$AC$300)+SUMIF(⑩盛付梱包工程入力!$U$5:$U$300,$C67,⑩盛付梱包工程入力!$AC$5:$AC$300)+SUMIF(⑩盛付梱包工程入力!$V$5:$V$300,$C67,⑩盛付梱包工程入力!$AC$5:$AC$300)+SUMIF(⑩盛付梱包工程入力!$W$5:$W$300,$C67,⑩盛付梱包工程入力!$AC$5:$AC$300)</f>
        <v/>
      </c>
      <c r="E67" s="398" t="n">
        <v>47</v>
      </c>
      <c r="F67" s="398">
        <f>IF(N($E67)&gt;0,$E67,$D67)</f>
        <v/>
      </c>
      <c r="G67" s="393" t="n">
        <v>155.0793078586878</v>
      </c>
      <c r="H67" s="393">
        <f>SUMIF(②釜工程入力!$R$5:$R$117,$C67,②釜工程入力!$AD$5:$AD$117)+SUMIF(②釜工程入力!$S$5:$S$117,$C67,②釜工程入力!$AE$5:$AE$117)+SUMIF(②釜工程入力!$T$5:$T$117,$C67,②釜工程入力!$AF$5:$AF$117)+SUMIF(②釜工程入力!$U$5:$U$117,$C67,②釜工程入力!$AG$5:$AG$117)+SUMIF(②釜工程入力!$V$5:$V$117,$C67,②釜工程入力!$AH$5:$AH$117)+SUMIF(②釜工程入力!$W$5:$W$117,$C67,②釜工程入力!$AI$5:$AI$117)+SUMIF(③スチコン工程入力!$R$5:$R$152,$C67,③スチコン工程入力!$AD$5:$AD$152)+SUMIF(③スチコン工程入力!$S$5:$S$152,$C67,③スチコン工程入力!$AE$5:$AE$152)+SUMIF(③スチコン工程入力!$T$5:$T$152,$C67,③スチコン工程入力!$AF$5:$AF$152)+SUMIF(③スチコン工程入力!$U$5:$U$152,$C67,③スチコン工程入力!$AG$5:$AG$152)+SUMIF(③スチコン工程入力!$V$5:$V$152,$C67,③スチコン工程入力!$AH$5:$AH$152)+SUMIF(③スチコン工程入力!$W$5:$W$152,$C67,③スチコン工程入力!$AI$5:$AI$152)+SUMIF(⑩盛付梱包工程入力!$R$5:$R$300,$C67,⑩盛付梱包工程入力!$AD$5:$AD$300)+SUMIF(⑩盛付梱包工程入力!$S$5:$S$300,$C67,⑩盛付梱包工程入力!$AE$5:$AE$300)+SUMIF(⑩盛付梱包工程入力!$T$5:$T$300,$C67,⑩盛付梱包工程入力!$AF$5:$AF$300)+SUMIF(⑩盛付梱包工程入力!$U$5:$U$300,$C67,⑩盛付梱包工程入力!$AG$5:$AG$300)+SUMIF(⑩盛付梱包工程入力!$V$5:$V$300,$C67,⑩盛付梱包工程入力!$AH$5:$AH$300)+SUMIF(⑩盛付梱包工程入力!$W$5:$W$300,$C67,⑩盛付梱包工程入力!$AI$5:$AI$300)+SUMIF(⑪ZEN工程入力!$R$6:$R$35,$C67,⑪ZEN工程入力!$AD$6:$AD$35)+SUMIF(⑪ZEN工程入力!$S$6:$S$35,$C67,⑪ZEN工程入力!$AE$6:$AE$35)+SUMIF(⑪ZEN工程入力!$T$6:$T$35,$C67,⑪ZEN工程入力!$AF$6:$AF$35)+SUMIF(⑪ZEN工程入力!$U$6:$U$35,$C67,⑪ZEN工程入力!$AG$6:$AG$35)+SUMIF(⑪ZEN工程入力!$V$6:$V$35,$C67,⑪ZEN工程入力!$AH$6:$AH$35)+SUMIF(⑪ZEN工程入力!$W$6:$W$35,$C67,⑪ZEN工程入力!$AI$6:$AI$35)+SUMIF(⑫ミキサー工程入力!$R$6:$R$65,$C67,⑫ミキサー工程入力!$AD$6:$AD$65)+SUMIF(⑫ミキサー工程入力!$S$6:$S$65,$C67,⑫ミキサー工程入力!$AE$6:$AE$65)+SUMIF(⑫ミキサー工程入力!$T$6:$T$65,$C67,⑫ミキサー工程入力!$AF$6:$AF$65)+SUMIF(⑫ミキサー工程入力!$U$6:$U$65,$C67,⑫ミキサー工程入力!$AG$6:$AG$65)+SUMIF(⑫ミキサー工程入力!$V$6:$V$65,$C67,⑫ミキサー工程入力!$AH$6:$AH$65)+SUMIF(⑫ミキサー工程入力!$W$6:$W$65,$C67,⑫ミキサー工程入力!$AI$6:$AI$65)+SUMIF(⑬計量工程入力!$R$6:$R$65,$C67,⑬計量工程入力!$AD$6:$AD$65)+SUMIF(⑬計量工程入力!$S$6:$S$65,$C67,⑬計量工程入力!$AE$6:$AE$65)+SUMIF(⑬計量工程入力!$T$6:$T$65,$C67,⑬計量工程入力!$AF$6:$AF$65)+SUMIF(⑬計量工程入力!$U$6:$U$65,$C67,⑬計量工程入力!$AG$6:$AG$65)+SUMIF(⑬計量工程入力!$V$6:$V$65,$C67,⑬計量工程入力!$AH$6:$AH$65)+SUMIF(⑬計量工程入力!$W$6:$W$65,$C67,⑬計量工程入力!$AI$6:$AI$65)+SUMIF(⑭手動工程入力!$R$6:$R$47,$C67,⑭手動工程入力!$AD$6:$AD$47)+SUMIF(⑭手動工程入力!$S$6:$S$47,$C67,⑭手動工程入力!$AE$6:$AE$47)+SUMIF(⑭手動工程入力!$T$6:$T$47,$C67,⑭手動工程入力!$AF$6:$AF$47)+SUMIF(⑭手動工程入力!$U$6:$U$47,$C67,⑭手動工程入力!$AG$6:$AG$47)+SUMIF(⑭手動工程入力!$V$6:$V$47,$C67,⑭手動工程入力!$AH$6:$AH$47)+SUMIF(⑭手動工程入力!$W$6:$W$47,$C67,⑭手動工程入力!$AI$6:$AI$47)</f>
        <v/>
      </c>
      <c r="I67" s="393">
        <f>IF($F67&gt;0,$H67/$F67,"")</f>
        <v/>
      </c>
      <c r="J67" s="605">
        <f>IFERROR(INDEX(商品原価!$B$4:$B$112,MATCH(SUBSTITUTE(SUBSTITUTE(SUBSTITUTE(SUBSTITUTE(SUBSTITUTE(SUBSTITUTE(SUBSTITUTE(SUBSTITUTE(SUBSTITUTE(SUBSTITUTE(ASC($C67),"①","1"),"②","2"),"③","3"),"④","4"),"⑤","5"),"⑥","6"),"⑦","7"),"⑧","8"),"⑨","9")," ",""),商品原価!$C$4:$C$112,0)),"")</f>
        <v/>
      </c>
      <c r="K67" s="542">
        <f>IF(ISNUMBER($J67),$J67*④前提設定!$B$21,"")</f>
        <v/>
      </c>
      <c r="L67" s="605">
        <f>IF(AND(NOT(ISNUMBER($J67)),NOT(ISNUMBER($K67))),"",N($J67)+N($K67))</f>
        <v/>
      </c>
      <c r="M67" s="605">
        <f>IFERROR(INDEX(商品原価!$E$4:$E$112,MATCH(SUBSTITUTE(SUBSTITUTE(SUBSTITUTE(SUBSTITUTE(SUBSTITUTE(SUBSTITUTE(SUBSTITUTE(SUBSTITUTE(SUBSTITUTE(SUBSTITUTE(ASC($C67),"①","1"),"②","2"),"③","3"),"④","4"),"⑤","5"),"⑥","6"),"⑦","7"),"⑧","8"),"⑨","9")," ",""),商品原価!$C$4:$C$112,0)),"")</f>
        <v/>
      </c>
      <c r="N67" s="605">
        <f>IF(AND(ISNUMBER($M67),ISNUMBER($L67)),$M67-$L67-N($W67),"")</f>
        <v/>
      </c>
      <c r="O67" s="606">
        <f>IF(AND(ISNUMBER($N67),ISNUMBER($M67),$M67&gt;0),$N67/$M67,"")</f>
        <v/>
      </c>
      <c r="P67" s="398">
        <f>COUNTIF(②釜工程入力!$R$5:$R$117,$C67)+COUNTIF(②釜工程入力!$S$5:$S$117,$C67)+COUNTIF(②釜工程入力!$T$5:$T$117,$C67)+COUNTIF(②釜工程入力!$U$5:$U$117,$C67)+COUNTIF(②釜工程入力!$V$5:$V$117,$C67)+COUNTIF(②釜工程入力!$W$5:$W$117,$C67)+COUNTIF(③スチコン工程入力!$R$5:$R$152,$C67)+COUNTIF(③スチコン工程入力!$S$5:$S$152,$C67)+COUNTIF(③スチコン工程入力!$T$5:$T$152,$C67)+COUNTIF(③スチコン工程入力!$U$5:$U$152,$C67)+COUNTIF(③スチコン工程入力!$V$5:$V$152,$C67)+COUNTIF(③スチコン工程入力!$W$5:$W$152,$C67)+COUNTIF(⑩盛付梱包工程入力!$R$5:$R$300,$C67)+COUNTIF(⑩盛付梱包工程入力!$S$5:$S$300,$C67)+COUNTIF(⑩盛付梱包工程入力!$T$5:$T$300,$C67)+COUNTIF(⑩盛付梱包工程入力!$U$5:$U$300,$C67)+COUNTIF(⑩盛付梱包工程入力!$V$5:$V$300,$C67)+COUNTIF(⑩盛付梱包工程入力!$W$5:$W$300,$C67)+COUNTIF(⑪ZEN工程入力!$R$6:$R$35,$C67)+COUNTIF(⑪ZEN工程入力!$S$6:$S$35,$C67)+COUNTIF(⑪ZEN工程入力!$T$6:$T$35,$C67)+COUNTIF(⑪ZEN工程入力!$U$6:$U$35,$C67)+COUNTIF(⑪ZEN工程入力!$V$6:$V$35,$C67)+COUNTIF(⑪ZEN工程入力!$W$6:$W$35,$C67)+COUNTIF(⑫ミキサー工程入力!$R$6:$R$65,$C67)+COUNTIF(⑫ミキサー工程入力!$S$6:$S$65,$C67)+COUNTIF(⑫ミキサー工程入力!$T$6:$T$65,$C67)+COUNTIF(⑫ミキサー工程入力!$U$6:$U$65,$C67)+COUNTIF(⑫ミキサー工程入力!$V$6:$V$65,$C67)+COUNTIF(⑫ミキサー工程入力!$W$6:$W$65,$C67)+COUNTIF(⑬計量工程入力!$R$6:$R$65,$C67)+COUNTIF(⑬計量工程入力!$S$6:$S$65,$C67)+COUNTIF(⑬計量工程入力!$T$6:$T$65,$C67)+COUNTIF(⑬計量工程入力!$U$6:$U$65,$C67)+COUNTIF(⑬計量工程入力!$V$6:$V$65,$C67)+COUNTIF(⑬計量工程入力!$W$6:$W$65,$C67)+COUNTIF(⑭手動工程入力!$R$6:$R$47,$C67)+COUNTIF(⑭手動工程入力!$S$6:$S$47,$C67)+COUNTIF(⑭手動工程入力!$T$6:$T$47,$C67)+COUNTIF(⑭手動工程入力!$U$6:$U$47,$C67)+COUNTIF(⑭手動工程入力!$V$6:$V$47,$C67)+COUNTIF(⑭手動工程入力!$W$6:$W$47,$C67)</f>
        <v/>
      </c>
      <c r="Q67" s="392" t="n"/>
      <c r="R67" s="393" t="n"/>
      <c r="S67" s="393" t="n"/>
      <c r="T67" s="393" t="n"/>
      <c r="U67" s="393" t="n"/>
      <c r="V67" s="605">
        <f>IFERROR(INDEX(KIT別作業時間!$D$4:$D$27,MATCH(SUBSTITUTE(SUBSTITUTE(SUBSTITUTE(SUBSTITUTE(SUBSTITUTE(SUBSTITUTE(SUBSTITUTE(SUBSTITUTE(SUBSTITUTE(SUBSTITUTE(ASC($C67),"①","1"),"②","2"),"③","3"),"④","4"),"⑤","5"),"⑥","6"),"⑦","7"),"⑧","8"),"⑨","9")," ",""),KIT別作業時間!$C$4:$C$27,0)),"")</f>
        <v/>
      </c>
      <c r="W67" s="393">
        <f>IF(AND(ISNUMBER($I67),$I67&gt;0),$I67,IF(ISNUMBER($V67),$V67,IF(ISNUMBER($R67),$R67,"")))</f>
        <v/>
      </c>
      <c r="X67" s="393">
        <f>IF(AND(ISNUMBER($I67),$I67&gt;0),"今回の工程実績",IF(ISNUMBER($V67),"KIT作業時間",IF(ISNUMBER($R67),"前回資料","")))</f>
        <v/>
      </c>
      <c r="Y67" s="398" t="n">
        <v>1086</v>
      </c>
      <c r="Z67" s="398">
        <f>IF(AND(ISNUMBER($W67),ISNUMBER($Y67)),$W67*$Y67,"")</f>
        <v/>
      </c>
      <c r="AA67" s="393" t="n"/>
    </row>
    <row r="68">
      <c r="A68" s="392" t="n">
        <v>64</v>
      </c>
      <c r="B68" s="392" t="n"/>
      <c r="C68" s="392" t="inlineStr">
        <is>
          <t>Ｓ砂ずり唐揚げＫＩＴブラ産</t>
        </is>
      </c>
      <c r="D68" s="398">
        <f>SUMIF(⑩盛付梱包工程入力!$R$5:$R$300,$C68,⑩盛付梱包工程入力!$AC$5:$AC$300)+SUMIF(⑩盛付梱包工程入力!$S$5:$S$300,$C68,⑩盛付梱包工程入力!$AC$5:$AC$300)+SUMIF(⑩盛付梱包工程入力!$T$5:$T$300,$C68,⑩盛付梱包工程入力!$AC$5:$AC$300)+SUMIF(⑩盛付梱包工程入力!$U$5:$U$300,$C68,⑩盛付梱包工程入力!$AC$5:$AC$300)+SUMIF(⑩盛付梱包工程入力!$V$5:$V$300,$C68,⑩盛付梱包工程入力!$AC$5:$AC$300)+SUMIF(⑩盛付梱包工程入力!$W$5:$W$300,$C68,⑩盛付梱包工程入力!$AC$5:$AC$300)</f>
        <v/>
      </c>
      <c r="E68" s="398" t="n">
        <v>33</v>
      </c>
      <c r="F68" s="398">
        <f>IF(N($E68)&gt;0,$E68,$D68)</f>
        <v/>
      </c>
      <c r="G68" s="393" t="n">
        <v>155.2477341389728</v>
      </c>
      <c r="H68" s="393">
        <f>SUMIF(②釜工程入力!$R$5:$R$117,$C68,②釜工程入力!$AD$5:$AD$117)+SUMIF(②釜工程入力!$S$5:$S$117,$C68,②釜工程入力!$AE$5:$AE$117)+SUMIF(②釜工程入力!$T$5:$T$117,$C68,②釜工程入力!$AF$5:$AF$117)+SUMIF(②釜工程入力!$U$5:$U$117,$C68,②釜工程入力!$AG$5:$AG$117)+SUMIF(②釜工程入力!$V$5:$V$117,$C68,②釜工程入力!$AH$5:$AH$117)+SUMIF(②釜工程入力!$W$5:$W$117,$C68,②釜工程入力!$AI$5:$AI$117)+SUMIF(③スチコン工程入力!$R$5:$R$152,$C68,③スチコン工程入力!$AD$5:$AD$152)+SUMIF(③スチコン工程入力!$S$5:$S$152,$C68,③スチコン工程入力!$AE$5:$AE$152)+SUMIF(③スチコン工程入力!$T$5:$T$152,$C68,③スチコン工程入力!$AF$5:$AF$152)+SUMIF(③スチコン工程入力!$U$5:$U$152,$C68,③スチコン工程入力!$AG$5:$AG$152)+SUMIF(③スチコン工程入力!$V$5:$V$152,$C68,③スチコン工程入力!$AH$5:$AH$152)+SUMIF(③スチコン工程入力!$W$5:$W$152,$C68,③スチコン工程入力!$AI$5:$AI$152)+SUMIF(⑩盛付梱包工程入力!$R$5:$R$300,$C68,⑩盛付梱包工程入力!$AD$5:$AD$300)+SUMIF(⑩盛付梱包工程入力!$S$5:$S$300,$C68,⑩盛付梱包工程入力!$AE$5:$AE$300)+SUMIF(⑩盛付梱包工程入力!$T$5:$T$300,$C68,⑩盛付梱包工程入力!$AF$5:$AF$300)+SUMIF(⑩盛付梱包工程入力!$U$5:$U$300,$C68,⑩盛付梱包工程入力!$AG$5:$AG$300)+SUMIF(⑩盛付梱包工程入力!$V$5:$V$300,$C68,⑩盛付梱包工程入力!$AH$5:$AH$300)+SUMIF(⑩盛付梱包工程入力!$W$5:$W$300,$C68,⑩盛付梱包工程入力!$AI$5:$AI$300)+SUMIF(⑪ZEN工程入力!$R$6:$R$35,$C68,⑪ZEN工程入力!$AD$6:$AD$35)+SUMIF(⑪ZEN工程入力!$S$6:$S$35,$C68,⑪ZEN工程入力!$AE$6:$AE$35)+SUMIF(⑪ZEN工程入力!$T$6:$T$35,$C68,⑪ZEN工程入力!$AF$6:$AF$35)+SUMIF(⑪ZEN工程入力!$U$6:$U$35,$C68,⑪ZEN工程入力!$AG$6:$AG$35)+SUMIF(⑪ZEN工程入力!$V$6:$V$35,$C68,⑪ZEN工程入力!$AH$6:$AH$35)+SUMIF(⑪ZEN工程入力!$W$6:$W$35,$C68,⑪ZEN工程入力!$AI$6:$AI$35)+SUMIF(⑫ミキサー工程入力!$R$6:$R$65,$C68,⑫ミキサー工程入力!$AD$6:$AD$65)+SUMIF(⑫ミキサー工程入力!$S$6:$S$65,$C68,⑫ミキサー工程入力!$AE$6:$AE$65)+SUMIF(⑫ミキサー工程入力!$T$6:$T$65,$C68,⑫ミキサー工程入力!$AF$6:$AF$65)+SUMIF(⑫ミキサー工程入力!$U$6:$U$65,$C68,⑫ミキサー工程入力!$AG$6:$AG$65)+SUMIF(⑫ミキサー工程入力!$V$6:$V$65,$C68,⑫ミキサー工程入力!$AH$6:$AH$65)+SUMIF(⑫ミキサー工程入力!$W$6:$W$65,$C68,⑫ミキサー工程入力!$AI$6:$AI$65)+SUMIF(⑬計量工程入力!$R$6:$R$65,$C68,⑬計量工程入力!$AD$6:$AD$65)+SUMIF(⑬計量工程入力!$S$6:$S$65,$C68,⑬計量工程入力!$AE$6:$AE$65)+SUMIF(⑬計量工程入力!$T$6:$T$65,$C68,⑬計量工程入力!$AF$6:$AF$65)+SUMIF(⑬計量工程入力!$U$6:$U$65,$C68,⑬計量工程入力!$AG$6:$AG$65)+SUMIF(⑬計量工程入力!$V$6:$V$65,$C68,⑬計量工程入力!$AH$6:$AH$65)+SUMIF(⑬計量工程入力!$W$6:$W$65,$C68,⑬計量工程入力!$AI$6:$AI$65)+SUMIF(⑭手動工程入力!$R$6:$R$47,$C68,⑭手動工程入力!$AD$6:$AD$47)+SUMIF(⑭手動工程入力!$S$6:$S$47,$C68,⑭手動工程入力!$AE$6:$AE$47)+SUMIF(⑭手動工程入力!$T$6:$T$47,$C68,⑭手動工程入力!$AF$6:$AF$47)+SUMIF(⑭手動工程入力!$U$6:$U$47,$C68,⑭手動工程入力!$AG$6:$AG$47)+SUMIF(⑭手動工程入力!$V$6:$V$47,$C68,⑭手動工程入力!$AH$6:$AH$47)+SUMIF(⑭手動工程入力!$W$6:$W$47,$C68,⑭手動工程入力!$AI$6:$AI$47)</f>
        <v/>
      </c>
      <c r="I68" s="393">
        <f>IF($F68&gt;0,$H68/$F68,"")</f>
        <v/>
      </c>
      <c r="J68" s="605">
        <f>IFERROR(INDEX(商品原価!$B$4:$B$112,MATCH(SUBSTITUTE(SUBSTITUTE(SUBSTITUTE(SUBSTITUTE(SUBSTITUTE(SUBSTITUTE(SUBSTITUTE(SUBSTITUTE(SUBSTITUTE(SUBSTITUTE(ASC($C68),"①","1"),"②","2"),"③","3"),"④","4"),"⑤","5"),"⑥","6"),"⑦","7"),"⑧","8"),"⑨","9")," ",""),商品原価!$C$4:$C$112,0)),"")</f>
        <v/>
      </c>
      <c r="K68" s="542">
        <f>IF(ISNUMBER($J68),$J68*④前提設定!$B$21,"")</f>
        <v/>
      </c>
      <c r="L68" s="605">
        <f>IF(AND(NOT(ISNUMBER($J68)),NOT(ISNUMBER($K68))),"",N($J68)+N($K68))</f>
        <v/>
      </c>
      <c r="M68" s="605">
        <f>IFERROR(INDEX(商品原価!$E$4:$E$112,MATCH(SUBSTITUTE(SUBSTITUTE(SUBSTITUTE(SUBSTITUTE(SUBSTITUTE(SUBSTITUTE(SUBSTITUTE(SUBSTITUTE(SUBSTITUTE(SUBSTITUTE(ASC($C68),"①","1"),"②","2"),"③","3"),"④","4"),"⑤","5"),"⑥","6"),"⑦","7"),"⑧","8"),"⑨","9")," ",""),商品原価!$C$4:$C$112,0)),"")</f>
        <v/>
      </c>
      <c r="N68" s="605">
        <f>IF(AND(ISNUMBER($M68),ISNUMBER($L68)),$M68-$L68-N($W68),"")</f>
        <v/>
      </c>
      <c r="O68" s="606">
        <f>IF(AND(ISNUMBER($N68),ISNUMBER($M68),$M68&gt;0),$N68/$M68,"")</f>
        <v/>
      </c>
      <c r="P68" s="398">
        <f>COUNTIF(②釜工程入力!$R$5:$R$117,$C68)+COUNTIF(②釜工程入力!$S$5:$S$117,$C68)+COUNTIF(②釜工程入力!$T$5:$T$117,$C68)+COUNTIF(②釜工程入力!$U$5:$U$117,$C68)+COUNTIF(②釜工程入力!$V$5:$V$117,$C68)+COUNTIF(②釜工程入力!$W$5:$W$117,$C68)+COUNTIF(③スチコン工程入力!$R$5:$R$152,$C68)+COUNTIF(③スチコン工程入力!$S$5:$S$152,$C68)+COUNTIF(③スチコン工程入力!$T$5:$T$152,$C68)+COUNTIF(③スチコン工程入力!$U$5:$U$152,$C68)+COUNTIF(③スチコン工程入力!$V$5:$V$152,$C68)+COUNTIF(③スチコン工程入力!$W$5:$W$152,$C68)+COUNTIF(⑩盛付梱包工程入力!$R$5:$R$300,$C68)+COUNTIF(⑩盛付梱包工程入力!$S$5:$S$300,$C68)+COUNTIF(⑩盛付梱包工程入力!$T$5:$T$300,$C68)+COUNTIF(⑩盛付梱包工程入力!$U$5:$U$300,$C68)+COUNTIF(⑩盛付梱包工程入力!$V$5:$V$300,$C68)+COUNTIF(⑩盛付梱包工程入力!$W$5:$W$300,$C68)+COUNTIF(⑪ZEN工程入力!$R$6:$R$35,$C68)+COUNTIF(⑪ZEN工程入力!$S$6:$S$35,$C68)+COUNTIF(⑪ZEN工程入力!$T$6:$T$35,$C68)+COUNTIF(⑪ZEN工程入力!$U$6:$U$35,$C68)+COUNTIF(⑪ZEN工程入力!$V$6:$V$35,$C68)+COUNTIF(⑪ZEN工程入力!$W$6:$W$35,$C68)+COUNTIF(⑫ミキサー工程入力!$R$6:$R$65,$C68)+COUNTIF(⑫ミキサー工程入力!$S$6:$S$65,$C68)+COUNTIF(⑫ミキサー工程入力!$T$6:$T$65,$C68)+COUNTIF(⑫ミキサー工程入力!$U$6:$U$65,$C68)+COUNTIF(⑫ミキサー工程入力!$V$6:$V$65,$C68)+COUNTIF(⑫ミキサー工程入力!$W$6:$W$65,$C68)+COUNTIF(⑬計量工程入力!$R$6:$R$65,$C68)+COUNTIF(⑬計量工程入力!$S$6:$S$65,$C68)+COUNTIF(⑬計量工程入力!$T$6:$T$65,$C68)+COUNTIF(⑬計量工程入力!$U$6:$U$65,$C68)+COUNTIF(⑬計量工程入力!$V$6:$V$65,$C68)+COUNTIF(⑬計量工程入力!$W$6:$W$65,$C68)+COUNTIF(⑭手動工程入力!$R$6:$R$47,$C68)+COUNTIF(⑭手動工程入力!$S$6:$S$47,$C68)+COUNTIF(⑭手動工程入力!$T$6:$T$47,$C68)+COUNTIF(⑭手動工程入力!$U$6:$U$47,$C68)+COUNTIF(⑭手動工程入力!$V$6:$V$47,$C68)+COUNTIF(⑭手動工程入力!$W$6:$W$47,$C68)</f>
        <v/>
      </c>
      <c r="Q68" s="392" t="inlineStr">
        <is>
          <t>⑩盛付梱包 58行目に入力欄を作成（工程記録なし）</t>
        </is>
      </c>
      <c r="R68" s="393" t="n"/>
      <c r="S68" s="393" t="n"/>
      <c r="T68" s="393" t="n"/>
      <c r="U68" s="393" t="n"/>
      <c r="V68" s="605">
        <f>IFERROR(INDEX(KIT別作業時間!$D$4:$D$27,MATCH(SUBSTITUTE(SUBSTITUTE(SUBSTITUTE(SUBSTITUTE(SUBSTITUTE(SUBSTITUTE(SUBSTITUTE(SUBSTITUTE(SUBSTITUTE(SUBSTITUTE(ASC($C68),"①","1"),"②","2"),"③","3"),"④","4"),"⑤","5"),"⑥","6"),"⑦","7"),"⑧","8"),"⑨","9")," ",""),KIT別作業時間!$C$4:$C$27,0)),"")</f>
        <v/>
      </c>
      <c r="W68" s="393">
        <f>IF(AND(ISNUMBER($I68),$I68&gt;0),$I68,IF(ISNUMBER($V68),$V68,IF(ISNUMBER($R68),$R68,"")))</f>
        <v/>
      </c>
      <c r="X68" s="393">
        <f>IF(AND(ISNUMBER($I68),$I68&gt;0),"今回の工程実績",IF(ISNUMBER($V68),"KIT作業時間",IF(ISNUMBER($R68),"前回資料","")))</f>
        <v/>
      </c>
      <c r="Y68" s="398" t="n">
        <v>1020</v>
      </c>
      <c r="Z68" s="398">
        <f>IF(AND(ISNUMBER($W68),ISNUMBER($Y68)),$W68*$Y68,"")</f>
        <v/>
      </c>
      <c r="AA68" s="393" t="n"/>
    </row>
    <row r="69">
      <c r="A69" s="392" t="n">
        <v>65</v>
      </c>
      <c r="B69" s="392" t="n"/>
      <c r="C69" s="392" t="inlineStr">
        <is>
          <t>自社製コロッケＫＩＴ４</t>
        </is>
      </c>
      <c r="D69" s="398">
        <f>SUMIF(⑩盛付梱包工程入力!$R$5:$R$300,$C69,⑩盛付梱包工程入力!$AC$5:$AC$300)+SUMIF(⑩盛付梱包工程入力!$S$5:$S$300,$C69,⑩盛付梱包工程入力!$AC$5:$AC$300)+SUMIF(⑩盛付梱包工程入力!$T$5:$T$300,$C69,⑩盛付梱包工程入力!$AC$5:$AC$300)+SUMIF(⑩盛付梱包工程入力!$U$5:$U$300,$C69,⑩盛付梱包工程入力!$AC$5:$AC$300)+SUMIF(⑩盛付梱包工程入力!$V$5:$V$300,$C69,⑩盛付梱包工程入力!$AC$5:$AC$300)+SUMIF(⑩盛付梱包工程入力!$W$5:$W$300,$C69,⑩盛付梱包工程入力!$AC$5:$AC$300)</f>
        <v/>
      </c>
      <c r="E69" s="398" t="n">
        <v>22</v>
      </c>
      <c r="F69" s="398">
        <f>IF(N($E69)&gt;0,$E69,$D69)</f>
        <v/>
      </c>
      <c r="G69" s="393" t="n">
        <v>139</v>
      </c>
      <c r="H69" s="393">
        <f>SUMIF(②釜工程入力!$R$5:$R$117,$C69,②釜工程入力!$AD$5:$AD$117)+SUMIF(②釜工程入力!$S$5:$S$117,$C69,②釜工程入力!$AE$5:$AE$117)+SUMIF(②釜工程入力!$T$5:$T$117,$C69,②釜工程入力!$AF$5:$AF$117)+SUMIF(②釜工程入力!$U$5:$U$117,$C69,②釜工程入力!$AG$5:$AG$117)+SUMIF(②釜工程入力!$V$5:$V$117,$C69,②釜工程入力!$AH$5:$AH$117)+SUMIF(②釜工程入力!$W$5:$W$117,$C69,②釜工程入力!$AI$5:$AI$117)+SUMIF(③スチコン工程入力!$R$5:$R$152,$C69,③スチコン工程入力!$AD$5:$AD$152)+SUMIF(③スチコン工程入力!$S$5:$S$152,$C69,③スチコン工程入力!$AE$5:$AE$152)+SUMIF(③スチコン工程入力!$T$5:$T$152,$C69,③スチコン工程入力!$AF$5:$AF$152)+SUMIF(③スチコン工程入力!$U$5:$U$152,$C69,③スチコン工程入力!$AG$5:$AG$152)+SUMIF(③スチコン工程入力!$V$5:$V$152,$C69,③スチコン工程入力!$AH$5:$AH$152)+SUMIF(③スチコン工程入力!$W$5:$W$152,$C69,③スチコン工程入力!$AI$5:$AI$152)+SUMIF(⑩盛付梱包工程入力!$R$5:$R$300,$C69,⑩盛付梱包工程入力!$AD$5:$AD$300)+SUMIF(⑩盛付梱包工程入力!$S$5:$S$300,$C69,⑩盛付梱包工程入力!$AE$5:$AE$300)+SUMIF(⑩盛付梱包工程入力!$T$5:$T$300,$C69,⑩盛付梱包工程入力!$AF$5:$AF$300)+SUMIF(⑩盛付梱包工程入力!$U$5:$U$300,$C69,⑩盛付梱包工程入力!$AG$5:$AG$300)+SUMIF(⑩盛付梱包工程入力!$V$5:$V$300,$C69,⑩盛付梱包工程入力!$AH$5:$AH$300)+SUMIF(⑩盛付梱包工程入力!$W$5:$W$300,$C69,⑩盛付梱包工程入力!$AI$5:$AI$300)+SUMIF(⑪ZEN工程入力!$R$6:$R$35,$C69,⑪ZEN工程入力!$AD$6:$AD$35)+SUMIF(⑪ZEN工程入力!$S$6:$S$35,$C69,⑪ZEN工程入力!$AE$6:$AE$35)+SUMIF(⑪ZEN工程入力!$T$6:$T$35,$C69,⑪ZEN工程入力!$AF$6:$AF$35)+SUMIF(⑪ZEN工程入力!$U$6:$U$35,$C69,⑪ZEN工程入力!$AG$6:$AG$35)+SUMIF(⑪ZEN工程入力!$V$6:$V$35,$C69,⑪ZEN工程入力!$AH$6:$AH$35)+SUMIF(⑪ZEN工程入力!$W$6:$W$35,$C69,⑪ZEN工程入力!$AI$6:$AI$35)+SUMIF(⑫ミキサー工程入力!$R$6:$R$65,$C69,⑫ミキサー工程入力!$AD$6:$AD$65)+SUMIF(⑫ミキサー工程入力!$S$6:$S$65,$C69,⑫ミキサー工程入力!$AE$6:$AE$65)+SUMIF(⑫ミキサー工程入力!$T$6:$T$65,$C69,⑫ミキサー工程入力!$AF$6:$AF$65)+SUMIF(⑫ミキサー工程入力!$U$6:$U$65,$C69,⑫ミキサー工程入力!$AG$6:$AG$65)+SUMIF(⑫ミキサー工程入力!$V$6:$V$65,$C69,⑫ミキサー工程入力!$AH$6:$AH$65)+SUMIF(⑫ミキサー工程入力!$W$6:$W$65,$C69,⑫ミキサー工程入力!$AI$6:$AI$65)+SUMIF(⑬計量工程入力!$R$6:$R$65,$C69,⑬計量工程入力!$AD$6:$AD$65)+SUMIF(⑬計量工程入力!$S$6:$S$65,$C69,⑬計量工程入力!$AE$6:$AE$65)+SUMIF(⑬計量工程入力!$T$6:$T$65,$C69,⑬計量工程入力!$AF$6:$AF$65)+SUMIF(⑬計量工程入力!$U$6:$U$65,$C69,⑬計量工程入力!$AG$6:$AG$65)+SUMIF(⑬計量工程入力!$V$6:$V$65,$C69,⑬計量工程入力!$AH$6:$AH$65)+SUMIF(⑬計量工程入力!$W$6:$W$65,$C69,⑬計量工程入力!$AI$6:$AI$65)+SUMIF(⑭手動工程入力!$R$6:$R$47,$C69,⑭手動工程入力!$AD$6:$AD$47)+SUMIF(⑭手動工程入力!$S$6:$S$47,$C69,⑭手動工程入力!$AE$6:$AE$47)+SUMIF(⑭手動工程入力!$T$6:$T$47,$C69,⑭手動工程入力!$AF$6:$AF$47)+SUMIF(⑭手動工程入力!$U$6:$U$47,$C69,⑭手動工程入力!$AG$6:$AG$47)+SUMIF(⑭手動工程入力!$V$6:$V$47,$C69,⑭手動工程入力!$AH$6:$AH$47)+SUMIF(⑭手動工程入力!$W$6:$W$47,$C69,⑭手動工程入力!$AI$6:$AI$47)</f>
        <v/>
      </c>
      <c r="I69" s="393">
        <f>IF($F69&gt;0,$H69/$F69,"")</f>
        <v/>
      </c>
      <c r="J69" s="605">
        <f>IFERROR(INDEX(商品原価!$B$4:$B$112,MATCH(SUBSTITUTE(SUBSTITUTE(SUBSTITUTE(SUBSTITUTE(SUBSTITUTE(SUBSTITUTE(SUBSTITUTE(SUBSTITUTE(SUBSTITUTE(SUBSTITUTE(ASC($C69),"①","1"),"②","2"),"③","3"),"④","4"),"⑤","5"),"⑥","6"),"⑦","7"),"⑧","8"),"⑨","9")," ",""),商品原価!$C$4:$C$112,0)),"")</f>
        <v/>
      </c>
      <c r="K69" s="542">
        <f>IF(ISNUMBER($J69),$J69*④前提設定!$B$21,"")</f>
        <v/>
      </c>
      <c r="L69" s="605">
        <f>IF(AND(NOT(ISNUMBER($J69)),NOT(ISNUMBER($K69))),"",N($J69)+N($K69))</f>
        <v/>
      </c>
      <c r="M69" s="605">
        <f>IFERROR(INDEX(商品原価!$E$4:$E$112,MATCH(SUBSTITUTE(SUBSTITUTE(SUBSTITUTE(SUBSTITUTE(SUBSTITUTE(SUBSTITUTE(SUBSTITUTE(SUBSTITUTE(SUBSTITUTE(SUBSTITUTE(ASC($C69),"①","1"),"②","2"),"③","3"),"④","4"),"⑤","5"),"⑥","6"),"⑦","7"),"⑧","8"),"⑨","9")," ",""),商品原価!$C$4:$C$112,0)),"")</f>
        <v/>
      </c>
      <c r="N69" s="605">
        <f>IF(AND(ISNUMBER($M69),ISNUMBER($L69)),$M69-$L69-N($W69),"")</f>
        <v/>
      </c>
      <c r="O69" s="606">
        <f>IF(AND(ISNUMBER($N69),ISNUMBER($M69),$M69&gt;0),$N69/$M69,"")</f>
        <v/>
      </c>
      <c r="P69" s="398">
        <f>COUNTIF(②釜工程入力!$R$5:$R$117,$C69)+COUNTIF(②釜工程入力!$S$5:$S$117,$C69)+COUNTIF(②釜工程入力!$T$5:$T$117,$C69)+COUNTIF(②釜工程入力!$U$5:$U$117,$C69)+COUNTIF(②釜工程入力!$V$5:$V$117,$C69)+COUNTIF(②釜工程入力!$W$5:$W$117,$C69)+COUNTIF(③スチコン工程入力!$R$5:$R$152,$C69)+COUNTIF(③スチコン工程入力!$S$5:$S$152,$C69)+COUNTIF(③スチコン工程入力!$T$5:$T$152,$C69)+COUNTIF(③スチコン工程入力!$U$5:$U$152,$C69)+COUNTIF(③スチコン工程入力!$V$5:$V$152,$C69)+COUNTIF(③スチコン工程入力!$W$5:$W$152,$C69)+COUNTIF(⑩盛付梱包工程入力!$R$5:$R$300,$C69)+COUNTIF(⑩盛付梱包工程入力!$S$5:$S$300,$C69)+COUNTIF(⑩盛付梱包工程入力!$T$5:$T$300,$C69)+COUNTIF(⑩盛付梱包工程入力!$U$5:$U$300,$C69)+COUNTIF(⑩盛付梱包工程入力!$V$5:$V$300,$C69)+COUNTIF(⑩盛付梱包工程入力!$W$5:$W$300,$C69)+COUNTIF(⑪ZEN工程入力!$R$6:$R$35,$C69)+COUNTIF(⑪ZEN工程入力!$S$6:$S$35,$C69)+COUNTIF(⑪ZEN工程入力!$T$6:$T$35,$C69)+COUNTIF(⑪ZEN工程入力!$U$6:$U$35,$C69)+COUNTIF(⑪ZEN工程入力!$V$6:$V$35,$C69)+COUNTIF(⑪ZEN工程入力!$W$6:$W$35,$C69)+COUNTIF(⑫ミキサー工程入力!$R$6:$R$65,$C69)+COUNTIF(⑫ミキサー工程入力!$S$6:$S$65,$C69)+COUNTIF(⑫ミキサー工程入力!$T$6:$T$65,$C69)+COUNTIF(⑫ミキサー工程入力!$U$6:$U$65,$C69)+COUNTIF(⑫ミキサー工程入力!$V$6:$V$65,$C69)+COUNTIF(⑫ミキサー工程入力!$W$6:$W$65,$C69)+COUNTIF(⑬計量工程入力!$R$6:$R$65,$C69)+COUNTIF(⑬計量工程入力!$S$6:$S$65,$C69)+COUNTIF(⑬計量工程入力!$T$6:$T$65,$C69)+COUNTIF(⑬計量工程入力!$U$6:$U$65,$C69)+COUNTIF(⑬計量工程入力!$V$6:$V$65,$C69)+COUNTIF(⑬計量工程入力!$W$6:$W$65,$C69)+COUNTIF(⑭手動工程入力!$R$6:$R$47,$C69)+COUNTIF(⑭手動工程入力!$S$6:$S$47,$C69)+COUNTIF(⑭手動工程入力!$T$6:$T$47,$C69)+COUNTIF(⑭手動工程入力!$U$6:$U$47,$C69)+COUNTIF(⑭手動工程入力!$V$6:$V$47,$C69)+COUNTIF(⑭手動工程入力!$W$6:$W$47,$C69)</f>
        <v/>
      </c>
      <c r="Q69" s="392" t="inlineStr">
        <is>
          <t>⑩盛付梱包 62行目に入力欄を作成（工程記録なし）</t>
        </is>
      </c>
      <c r="R69" s="393" t="n"/>
      <c r="S69" s="393" t="n"/>
      <c r="T69" s="393" t="n"/>
      <c r="U69" s="393" t="n"/>
      <c r="V69" s="605">
        <f>IFERROR(INDEX(KIT別作業時間!$D$4:$D$27,MATCH(SUBSTITUTE(SUBSTITUTE(SUBSTITUTE(SUBSTITUTE(SUBSTITUTE(SUBSTITUTE(SUBSTITUTE(SUBSTITUTE(SUBSTITUTE(SUBSTITUTE(ASC($C69),"①","1"),"②","2"),"③","3"),"④","4"),"⑤","5"),"⑥","6"),"⑦","7"),"⑧","8"),"⑨","9")," ",""),KIT別作業時間!$C$4:$C$27,0)),"")</f>
        <v/>
      </c>
      <c r="W69" s="393">
        <f>IF(AND(ISNUMBER($I69),$I69&gt;0),$I69,IF(ISNUMBER($V69),$V69,IF(ISNUMBER($R69),$R69,"")))</f>
        <v/>
      </c>
      <c r="X69" s="393">
        <f>IF(AND(ISNUMBER($I69),$I69&gt;0),"今回の工程実績",IF(ISNUMBER($V69),"KIT作業時間",IF(ISNUMBER($R69),"前回資料","")))</f>
        <v/>
      </c>
      <c r="Y69" s="398" t="n">
        <v>1121</v>
      </c>
      <c r="Z69" s="398">
        <f>IF(AND(ISNUMBER($W69),ISNUMBER($Y69)),$W69*$Y69,"")</f>
        <v/>
      </c>
      <c r="AA69" s="393" t="n"/>
    </row>
    <row r="70">
      <c r="A70" s="392" t="n">
        <v>66</v>
      </c>
      <c r="B70" s="392" t="n"/>
      <c r="C70" s="392" t="inlineStr">
        <is>
          <t>ミニシューＢＯＸ</t>
        </is>
      </c>
      <c r="D70" s="398">
        <f>SUMIF(⑩盛付梱包工程入力!$R$5:$R$300,$C70,⑩盛付梱包工程入力!$AC$5:$AC$300)+SUMIF(⑩盛付梱包工程入力!$S$5:$S$300,$C70,⑩盛付梱包工程入力!$AC$5:$AC$300)+SUMIF(⑩盛付梱包工程入力!$T$5:$T$300,$C70,⑩盛付梱包工程入力!$AC$5:$AC$300)+SUMIF(⑩盛付梱包工程入力!$U$5:$U$300,$C70,⑩盛付梱包工程入力!$AC$5:$AC$300)+SUMIF(⑩盛付梱包工程入力!$V$5:$V$300,$C70,⑩盛付梱包工程入力!$AC$5:$AC$300)+SUMIF(⑩盛付梱包工程入力!$W$5:$W$300,$C70,⑩盛付梱包工程入力!$AC$5:$AC$300)</f>
        <v/>
      </c>
      <c r="E70" s="398" t="n">
        <v>69</v>
      </c>
      <c r="F70" s="398">
        <f>IF(N($E70)&gt;0,$E70,$D70)</f>
        <v/>
      </c>
      <c r="G70" s="393" t="n">
        <v>98.3237951807229</v>
      </c>
      <c r="H70" s="393">
        <f>SUMIF(②釜工程入力!$R$5:$R$117,$C70,②釜工程入力!$AD$5:$AD$117)+SUMIF(②釜工程入力!$S$5:$S$117,$C70,②釜工程入力!$AE$5:$AE$117)+SUMIF(②釜工程入力!$T$5:$T$117,$C70,②釜工程入力!$AF$5:$AF$117)+SUMIF(②釜工程入力!$U$5:$U$117,$C70,②釜工程入力!$AG$5:$AG$117)+SUMIF(②釜工程入力!$V$5:$V$117,$C70,②釜工程入力!$AH$5:$AH$117)+SUMIF(②釜工程入力!$W$5:$W$117,$C70,②釜工程入力!$AI$5:$AI$117)+SUMIF(③スチコン工程入力!$R$5:$R$152,$C70,③スチコン工程入力!$AD$5:$AD$152)+SUMIF(③スチコン工程入力!$S$5:$S$152,$C70,③スチコン工程入力!$AE$5:$AE$152)+SUMIF(③スチコン工程入力!$T$5:$T$152,$C70,③スチコン工程入力!$AF$5:$AF$152)+SUMIF(③スチコン工程入力!$U$5:$U$152,$C70,③スチコン工程入力!$AG$5:$AG$152)+SUMIF(③スチコン工程入力!$V$5:$V$152,$C70,③スチコン工程入力!$AH$5:$AH$152)+SUMIF(③スチコン工程入力!$W$5:$W$152,$C70,③スチコン工程入力!$AI$5:$AI$152)+SUMIF(⑩盛付梱包工程入力!$R$5:$R$300,$C70,⑩盛付梱包工程入力!$AD$5:$AD$300)+SUMIF(⑩盛付梱包工程入力!$S$5:$S$300,$C70,⑩盛付梱包工程入力!$AE$5:$AE$300)+SUMIF(⑩盛付梱包工程入力!$T$5:$T$300,$C70,⑩盛付梱包工程入力!$AF$5:$AF$300)+SUMIF(⑩盛付梱包工程入力!$U$5:$U$300,$C70,⑩盛付梱包工程入力!$AG$5:$AG$300)+SUMIF(⑩盛付梱包工程入力!$V$5:$V$300,$C70,⑩盛付梱包工程入力!$AH$5:$AH$300)+SUMIF(⑩盛付梱包工程入力!$W$5:$W$300,$C70,⑩盛付梱包工程入力!$AI$5:$AI$300)+SUMIF(⑪ZEN工程入力!$R$6:$R$35,$C70,⑪ZEN工程入力!$AD$6:$AD$35)+SUMIF(⑪ZEN工程入力!$S$6:$S$35,$C70,⑪ZEN工程入力!$AE$6:$AE$35)+SUMIF(⑪ZEN工程入力!$T$6:$T$35,$C70,⑪ZEN工程入力!$AF$6:$AF$35)+SUMIF(⑪ZEN工程入力!$U$6:$U$35,$C70,⑪ZEN工程入力!$AG$6:$AG$35)+SUMIF(⑪ZEN工程入力!$V$6:$V$35,$C70,⑪ZEN工程入力!$AH$6:$AH$35)+SUMIF(⑪ZEN工程入力!$W$6:$W$35,$C70,⑪ZEN工程入力!$AI$6:$AI$35)+SUMIF(⑫ミキサー工程入力!$R$6:$R$65,$C70,⑫ミキサー工程入力!$AD$6:$AD$65)+SUMIF(⑫ミキサー工程入力!$S$6:$S$65,$C70,⑫ミキサー工程入力!$AE$6:$AE$65)+SUMIF(⑫ミキサー工程入力!$T$6:$T$65,$C70,⑫ミキサー工程入力!$AF$6:$AF$65)+SUMIF(⑫ミキサー工程入力!$U$6:$U$65,$C70,⑫ミキサー工程入力!$AG$6:$AG$65)+SUMIF(⑫ミキサー工程入力!$V$6:$V$65,$C70,⑫ミキサー工程入力!$AH$6:$AH$65)+SUMIF(⑫ミキサー工程入力!$W$6:$W$65,$C70,⑫ミキサー工程入力!$AI$6:$AI$65)+SUMIF(⑬計量工程入力!$R$6:$R$65,$C70,⑬計量工程入力!$AD$6:$AD$65)+SUMIF(⑬計量工程入力!$S$6:$S$65,$C70,⑬計量工程入力!$AE$6:$AE$65)+SUMIF(⑬計量工程入力!$T$6:$T$65,$C70,⑬計量工程入力!$AF$6:$AF$65)+SUMIF(⑬計量工程入力!$U$6:$U$65,$C70,⑬計量工程入力!$AG$6:$AG$65)+SUMIF(⑬計量工程入力!$V$6:$V$65,$C70,⑬計量工程入力!$AH$6:$AH$65)+SUMIF(⑬計量工程入力!$W$6:$W$65,$C70,⑬計量工程入力!$AI$6:$AI$65)+SUMIF(⑭手動工程入力!$R$6:$R$47,$C70,⑭手動工程入力!$AD$6:$AD$47)+SUMIF(⑭手動工程入力!$S$6:$S$47,$C70,⑭手動工程入力!$AE$6:$AE$47)+SUMIF(⑭手動工程入力!$T$6:$T$47,$C70,⑭手動工程入力!$AF$6:$AF$47)+SUMIF(⑭手動工程入力!$U$6:$U$47,$C70,⑭手動工程入力!$AG$6:$AG$47)+SUMIF(⑭手動工程入力!$V$6:$V$47,$C70,⑭手動工程入力!$AH$6:$AH$47)+SUMIF(⑭手動工程入力!$W$6:$W$47,$C70,⑭手動工程入力!$AI$6:$AI$47)</f>
        <v/>
      </c>
      <c r="I70" s="393">
        <f>IF($F70&gt;0,$H70/$F70,"")</f>
        <v/>
      </c>
      <c r="J70" s="605">
        <f>IFERROR(INDEX(商品原価!$B$4:$B$112,MATCH(SUBSTITUTE(SUBSTITUTE(SUBSTITUTE(SUBSTITUTE(SUBSTITUTE(SUBSTITUTE(SUBSTITUTE(SUBSTITUTE(SUBSTITUTE(SUBSTITUTE(ASC($C70),"①","1"),"②","2"),"③","3"),"④","4"),"⑤","5"),"⑥","6"),"⑦","7"),"⑧","8"),"⑨","9")," ",""),商品原価!$C$4:$C$112,0)),"")</f>
        <v/>
      </c>
      <c r="K70" s="542">
        <f>IF(ISNUMBER($J70),$J70*④前提設定!$B$21,"")</f>
        <v/>
      </c>
      <c r="L70" s="605">
        <f>IF(AND(NOT(ISNUMBER($J70)),NOT(ISNUMBER($K70))),"",N($J70)+N($K70))</f>
        <v/>
      </c>
      <c r="M70" s="605">
        <f>IFERROR(INDEX(商品原価!$E$4:$E$112,MATCH(SUBSTITUTE(SUBSTITUTE(SUBSTITUTE(SUBSTITUTE(SUBSTITUTE(SUBSTITUTE(SUBSTITUTE(SUBSTITUTE(SUBSTITUTE(SUBSTITUTE(ASC($C70),"①","1"),"②","2"),"③","3"),"④","4"),"⑤","5"),"⑥","6"),"⑦","7"),"⑧","8"),"⑨","9")," ",""),商品原価!$C$4:$C$112,0)),"")</f>
        <v/>
      </c>
      <c r="N70" s="605">
        <f>IF(AND(ISNUMBER($M70),ISNUMBER($L70)),$M70-$L70-N($W70),"")</f>
        <v/>
      </c>
      <c r="O70" s="606">
        <f>IF(AND(ISNUMBER($N70),ISNUMBER($M70),$M70&gt;0),$N70/$M70,"")</f>
        <v/>
      </c>
      <c r="P70" s="398">
        <f>COUNTIF(②釜工程入力!$R$5:$R$117,$C70)+COUNTIF(②釜工程入力!$S$5:$S$117,$C70)+COUNTIF(②釜工程入力!$T$5:$T$117,$C70)+COUNTIF(②釜工程入力!$U$5:$U$117,$C70)+COUNTIF(②釜工程入力!$V$5:$V$117,$C70)+COUNTIF(②釜工程入力!$W$5:$W$117,$C70)+COUNTIF(③スチコン工程入力!$R$5:$R$152,$C70)+COUNTIF(③スチコン工程入力!$S$5:$S$152,$C70)+COUNTIF(③スチコン工程入力!$T$5:$T$152,$C70)+COUNTIF(③スチコン工程入力!$U$5:$U$152,$C70)+COUNTIF(③スチコン工程入力!$V$5:$V$152,$C70)+COUNTIF(③スチコン工程入力!$W$5:$W$152,$C70)+COUNTIF(⑩盛付梱包工程入力!$R$5:$R$300,$C70)+COUNTIF(⑩盛付梱包工程入力!$S$5:$S$300,$C70)+COUNTIF(⑩盛付梱包工程入力!$T$5:$T$300,$C70)+COUNTIF(⑩盛付梱包工程入力!$U$5:$U$300,$C70)+COUNTIF(⑩盛付梱包工程入力!$V$5:$V$300,$C70)+COUNTIF(⑩盛付梱包工程入力!$W$5:$W$300,$C70)+COUNTIF(⑪ZEN工程入力!$R$6:$R$35,$C70)+COUNTIF(⑪ZEN工程入力!$S$6:$S$35,$C70)+COUNTIF(⑪ZEN工程入力!$T$6:$T$35,$C70)+COUNTIF(⑪ZEN工程入力!$U$6:$U$35,$C70)+COUNTIF(⑪ZEN工程入力!$V$6:$V$35,$C70)+COUNTIF(⑪ZEN工程入力!$W$6:$W$35,$C70)+COUNTIF(⑫ミキサー工程入力!$R$6:$R$65,$C70)+COUNTIF(⑫ミキサー工程入力!$S$6:$S$65,$C70)+COUNTIF(⑫ミキサー工程入力!$T$6:$T$65,$C70)+COUNTIF(⑫ミキサー工程入力!$U$6:$U$65,$C70)+COUNTIF(⑫ミキサー工程入力!$V$6:$V$65,$C70)+COUNTIF(⑫ミキサー工程入力!$W$6:$W$65,$C70)+COUNTIF(⑬計量工程入力!$R$6:$R$65,$C70)+COUNTIF(⑬計量工程入力!$S$6:$S$65,$C70)+COUNTIF(⑬計量工程入力!$T$6:$T$65,$C70)+COUNTIF(⑬計量工程入力!$U$6:$U$65,$C70)+COUNTIF(⑬計量工程入力!$V$6:$V$65,$C70)+COUNTIF(⑬計量工程入力!$W$6:$W$65,$C70)+COUNTIF(⑭手動工程入力!$R$6:$R$47,$C70)+COUNTIF(⑭手動工程入力!$S$6:$S$47,$C70)+COUNTIF(⑭手動工程入力!$T$6:$T$47,$C70)+COUNTIF(⑭手動工程入力!$U$6:$U$47,$C70)+COUNTIF(⑭手動工程入力!$V$6:$V$47,$C70)+COUNTIF(⑭手動工程入力!$W$6:$W$47,$C70)</f>
        <v/>
      </c>
      <c r="Q70" s="392" t="n"/>
      <c r="R70" s="393" t="n"/>
      <c r="S70" s="393" t="n"/>
      <c r="T70" s="393" t="n"/>
      <c r="U70" s="393" t="n"/>
      <c r="V70" s="605">
        <f>IFERROR(INDEX(KIT別作業時間!$D$4:$D$27,MATCH(SUBSTITUTE(SUBSTITUTE(SUBSTITUTE(SUBSTITUTE(SUBSTITUTE(SUBSTITUTE(SUBSTITUTE(SUBSTITUTE(SUBSTITUTE(SUBSTITUTE(ASC($C70),"①","1"),"②","2"),"③","3"),"④","4"),"⑤","5"),"⑥","6"),"⑦","7"),"⑧","8"),"⑨","9")," ",""),KIT別作業時間!$C$4:$C$27,0)),"")</f>
        <v/>
      </c>
      <c r="W70" s="393">
        <f>IF(AND(ISNUMBER($I70),$I70&gt;0),$I70,IF(ISNUMBER($V70),$V70,IF(ISNUMBER($R70),$R70,"")))</f>
        <v/>
      </c>
      <c r="X70" s="393">
        <f>IF(AND(ISNUMBER($I70),$I70&gt;0),"今回の工程実績",IF(ISNUMBER($V70),"KIT作業時間",IF(ISNUMBER($R70),"前回資料","")))</f>
        <v/>
      </c>
      <c r="Y70" s="398" t="n">
        <v>1612</v>
      </c>
      <c r="Z70" s="398">
        <f>IF(AND(ISNUMBER($W70),ISNUMBER($Y70)),$W70*$Y70,"")</f>
        <v/>
      </c>
      <c r="AA70" s="393" t="n"/>
    </row>
    <row r="71">
      <c r="A71" s="392" t="n">
        <v>67</v>
      </c>
      <c r="B71" s="392" t="n"/>
      <c r="C71" s="392" t="inlineStr">
        <is>
          <t>２５自社製焼豚（生）ＫＩＴ</t>
        </is>
      </c>
      <c r="D71" s="398">
        <f>SUMIF(⑩盛付梱包工程入力!$R$5:$R$300,$C71,⑩盛付梱包工程入力!$AC$5:$AC$300)+SUMIF(⑩盛付梱包工程入力!$S$5:$S$300,$C71,⑩盛付梱包工程入力!$AC$5:$AC$300)+SUMIF(⑩盛付梱包工程入力!$T$5:$T$300,$C71,⑩盛付梱包工程入力!$AC$5:$AC$300)+SUMIF(⑩盛付梱包工程入力!$U$5:$U$300,$C71,⑩盛付梱包工程入力!$AC$5:$AC$300)+SUMIF(⑩盛付梱包工程入力!$V$5:$V$300,$C71,⑩盛付梱包工程入力!$AC$5:$AC$300)+SUMIF(⑩盛付梱包工程入力!$W$5:$W$300,$C71,⑩盛付梱包工程入力!$AC$5:$AC$300)</f>
        <v/>
      </c>
      <c r="E71" s="398" t="n">
        <v>1</v>
      </c>
      <c r="F71" s="398">
        <f>IF(N($E71)&gt;0,$E71,$D71)</f>
        <v/>
      </c>
      <c r="G71" s="393" t="n">
        <v>221.2989130434783</v>
      </c>
      <c r="H71" s="393">
        <f>SUMIF(②釜工程入力!$R$5:$R$117,$C71,②釜工程入力!$AD$5:$AD$117)+SUMIF(②釜工程入力!$S$5:$S$117,$C71,②釜工程入力!$AE$5:$AE$117)+SUMIF(②釜工程入力!$T$5:$T$117,$C71,②釜工程入力!$AF$5:$AF$117)+SUMIF(②釜工程入力!$U$5:$U$117,$C71,②釜工程入力!$AG$5:$AG$117)+SUMIF(②釜工程入力!$V$5:$V$117,$C71,②釜工程入力!$AH$5:$AH$117)+SUMIF(②釜工程入力!$W$5:$W$117,$C71,②釜工程入力!$AI$5:$AI$117)+SUMIF(③スチコン工程入力!$R$5:$R$152,$C71,③スチコン工程入力!$AD$5:$AD$152)+SUMIF(③スチコン工程入力!$S$5:$S$152,$C71,③スチコン工程入力!$AE$5:$AE$152)+SUMIF(③スチコン工程入力!$T$5:$T$152,$C71,③スチコン工程入力!$AF$5:$AF$152)+SUMIF(③スチコン工程入力!$U$5:$U$152,$C71,③スチコン工程入力!$AG$5:$AG$152)+SUMIF(③スチコン工程入力!$V$5:$V$152,$C71,③スチコン工程入力!$AH$5:$AH$152)+SUMIF(③スチコン工程入力!$W$5:$W$152,$C71,③スチコン工程入力!$AI$5:$AI$152)+SUMIF(⑩盛付梱包工程入力!$R$5:$R$300,$C71,⑩盛付梱包工程入力!$AD$5:$AD$300)+SUMIF(⑩盛付梱包工程入力!$S$5:$S$300,$C71,⑩盛付梱包工程入力!$AE$5:$AE$300)+SUMIF(⑩盛付梱包工程入力!$T$5:$T$300,$C71,⑩盛付梱包工程入力!$AF$5:$AF$300)+SUMIF(⑩盛付梱包工程入力!$U$5:$U$300,$C71,⑩盛付梱包工程入力!$AG$5:$AG$300)+SUMIF(⑩盛付梱包工程入力!$V$5:$V$300,$C71,⑩盛付梱包工程入力!$AH$5:$AH$300)+SUMIF(⑩盛付梱包工程入力!$W$5:$W$300,$C71,⑩盛付梱包工程入力!$AI$5:$AI$300)+SUMIF(⑪ZEN工程入力!$R$6:$R$35,$C71,⑪ZEN工程入力!$AD$6:$AD$35)+SUMIF(⑪ZEN工程入力!$S$6:$S$35,$C71,⑪ZEN工程入力!$AE$6:$AE$35)+SUMIF(⑪ZEN工程入力!$T$6:$T$35,$C71,⑪ZEN工程入力!$AF$6:$AF$35)+SUMIF(⑪ZEN工程入力!$U$6:$U$35,$C71,⑪ZEN工程入力!$AG$6:$AG$35)+SUMIF(⑪ZEN工程入力!$V$6:$V$35,$C71,⑪ZEN工程入力!$AH$6:$AH$35)+SUMIF(⑪ZEN工程入力!$W$6:$W$35,$C71,⑪ZEN工程入力!$AI$6:$AI$35)+SUMIF(⑫ミキサー工程入力!$R$6:$R$65,$C71,⑫ミキサー工程入力!$AD$6:$AD$65)+SUMIF(⑫ミキサー工程入力!$S$6:$S$65,$C71,⑫ミキサー工程入力!$AE$6:$AE$65)+SUMIF(⑫ミキサー工程入力!$T$6:$T$65,$C71,⑫ミキサー工程入力!$AF$6:$AF$65)+SUMIF(⑫ミキサー工程入力!$U$6:$U$65,$C71,⑫ミキサー工程入力!$AG$6:$AG$65)+SUMIF(⑫ミキサー工程入力!$V$6:$V$65,$C71,⑫ミキサー工程入力!$AH$6:$AH$65)+SUMIF(⑫ミキサー工程入力!$W$6:$W$65,$C71,⑫ミキサー工程入力!$AI$6:$AI$65)+SUMIF(⑬計量工程入力!$R$6:$R$65,$C71,⑬計量工程入力!$AD$6:$AD$65)+SUMIF(⑬計量工程入力!$S$6:$S$65,$C71,⑬計量工程入力!$AE$6:$AE$65)+SUMIF(⑬計量工程入力!$T$6:$T$65,$C71,⑬計量工程入力!$AF$6:$AF$65)+SUMIF(⑬計量工程入力!$U$6:$U$65,$C71,⑬計量工程入力!$AG$6:$AG$65)+SUMIF(⑬計量工程入力!$V$6:$V$65,$C71,⑬計量工程入力!$AH$6:$AH$65)+SUMIF(⑬計量工程入力!$W$6:$W$65,$C71,⑬計量工程入力!$AI$6:$AI$65)+SUMIF(⑭手動工程入力!$R$6:$R$47,$C71,⑭手動工程入力!$AD$6:$AD$47)+SUMIF(⑭手動工程入力!$S$6:$S$47,$C71,⑭手動工程入力!$AE$6:$AE$47)+SUMIF(⑭手動工程入力!$T$6:$T$47,$C71,⑭手動工程入力!$AF$6:$AF$47)+SUMIF(⑭手動工程入力!$U$6:$U$47,$C71,⑭手動工程入力!$AG$6:$AG$47)+SUMIF(⑭手動工程入力!$V$6:$V$47,$C71,⑭手動工程入力!$AH$6:$AH$47)+SUMIF(⑭手動工程入力!$W$6:$W$47,$C71,⑭手動工程入力!$AI$6:$AI$47)</f>
        <v/>
      </c>
      <c r="I71" s="393">
        <f>IF($F71&gt;0,$H71/$F71,"")</f>
        <v/>
      </c>
      <c r="J71" s="605">
        <f>IFERROR(INDEX(商品原価!$B$4:$B$112,MATCH(SUBSTITUTE(SUBSTITUTE(SUBSTITUTE(SUBSTITUTE(SUBSTITUTE(SUBSTITUTE(SUBSTITUTE(SUBSTITUTE(SUBSTITUTE(SUBSTITUTE(ASC($C71),"①","1"),"②","2"),"③","3"),"④","4"),"⑤","5"),"⑥","6"),"⑦","7"),"⑧","8"),"⑨","9")," ",""),商品原価!$C$4:$C$112,0)),"")</f>
        <v/>
      </c>
      <c r="K71" s="542">
        <f>IF(ISNUMBER($J71),$J71*④前提設定!$B$21,"")</f>
        <v/>
      </c>
      <c r="L71" s="605">
        <f>IF(AND(NOT(ISNUMBER($J71)),NOT(ISNUMBER($K71))),"",N($J71)+N($K71))</f>
        <v/>
      </c>
      <c r="M71" s="605">
        <f>IFERROR(INDEX(商品原価!$E$4:$E$112,MATCH(SUBSTITUTE(SUBSTITUTE(SUBSTITUTE(SUBSTITUTE(SUBSTITUTE(SUBSTITUTE(SUBSTITUTE(SUBSTITUTE(SUBSTITUTE(SUBSTITUTE(ASC($C71),"①","1"),"②","2"),"③","3"),"④","4"),"⑤","5"),"⑥","6"),"⑦","7"),"⑧","8"),"⑨","9")," ",""),商品原価!$C$4:$C$112,0)),"")</f>
        <v/>
      </c>
      <c r="N71" s="605">
        <f>IF(AND(ISNUMBER($M71),ISNUMBER($L71)),$M71-$L71-N($W71),"")</f>
        <v/>
      </c>
      <c r="O71" s="606">
        <f>IF(AND(ISNUMBER($N71),ISNUMBER($M71),$M71&gt;0),$N71/$M71,"")</f>
        <v/>
      </c>
      <c r="P71" s="398">
        <f>COUNTIF(②釜工程入力!$R$5:$R$117,$C71)+COUNTIF(②釜工程入力!$S$5:$S$117,$C71)+COUNTIF(②釜工程入力!$T$5:$T$117,$C71)+COUNTIF(②釜工程入力!$U$5:$U$117,$C71)+COUNTIF(②釜工程入力!$V$5:$V$117,$C71)+COUNTIF(②釜工程入力!$W$5:$W$117,$C71)+COUNTIF(③スチコン工程入力!$R$5:$R$152,$C71)+COUNTIF(③スチコン工程入力!$S$5:$S$152,$C71)+COUNTIF(③スチコン工程入力!$T$5:$T$152,$C71)+COUNTIF(③スチコン工程入力!$U$5:$U$152,$C71)+COUNTIF(③スチコン工程入力!$V$5:$V$152,$C71)+COUNTIF(③スチコン工程入力!$W$5:$W$152,$C71)+COUNTIF(⑩盛付梱包工程入力!$R$5:$R$300,$C71)+COUNTIF(⑩盛付梱包工程入力!$S$5:$S$300,$C71)+COUNTIF(⑩盛付梱包工程入力!$T$5:$T$300,$C71)+COUNTIF(⑩盛付梱包工程入力!$U$5:$U$300,$C71)+COUNTIF(⑩盛付梱包工程入力!$V$5:$V$300,$C71)+COUNTIF(⑩盛付梱包工程入力!$W$5:$W$300,$C71)+COUNTIF(⑪ZEN工程入力!$R$6:$R$35,$C71)+COUNTIF(⑪ZEN工程入力!$S$6:$S$35,$C71)+COUNTIF(⑪ZEN工程入力!$T$6:$T$35,$C71)+COUNTIF(⑪ZEN工程入力!$U$6:$U$35,$C71)+COUNTIF(⑪ZEN工程入力!$V$6:$V$35,$C71)+COUNTIF(⑪ZEN工程入力!$W$6:$W$35,$C71)+COUNTIF(⑫ミキサー工程入力!$R$6:$R$65,$C71)+COUNTIF(⑫ミキサー工程入力!$S$6:$S$65,$C71)+COUNTIF(⑫ミキサー工程入力!$T$6:$T$65,$C71)+COUNTIF(⑫ミキサー工程入力!$U$6:$U$65,$C71)+COUNTIF(⑫ミキサー工程入力!$V$6:$V$65,$C71)+COUNTIF(⑫ミキサー工程入力!$W$6:$W$65,$C71)+COUNTIF(⑬計量工程入力!$R$6:$R$65,$C71)+COUNTIF(⑬計量工程入力!$S$6:$S$65,$C71)+COUNTIF(⑬計量工程入力!$T$6:$T$65,$C71)+COUNTIF(⑬計量工程入力!$U$6:$U$65,$C71)+COUNTIF(⑬計量工程入力!$V$6:$V$65,$C71)+COUNTIF(⑬計量工程入力!$W$6:$W$65,$C71)+COUNTIF(⑭手動工程入力!$R$6:$R$47,$C71)+COUNTIF(⑭手動工程入力!$S$6:$S$47,$C71)+COUNTIF(⑭手動工程入力!$T$6:$T$47,$C71)+COUNTIF(⑭手動工程入力!$U$6:$U$47,$C71)+COUNTIF(⑭手動工程入力!$V$6:$V$47,$C71)+COUNTIF(⑭手動工程入力!$W$6:$W$47,$C71)</f>
        <v/>
      </c>
      <c r="Q71" s="392" t="inlineStr">
        <is>
          <t>⑩盛付梱包 83行目に入力欄を作成（工程記録なし）</t>
        </is>
      </c>
      <c r="R71" s="393" t="n"/>
      <c r="S71" s="393" t="n"/>
      <c r="T71" s="393" t="n"/>
      <c r="U71" s="393" t="n"/>
      <c r="V71" s="605">
        <f>IFERROR(INDEX(KIT別作業時間!$D$4:$D$27,MATCH(SUBSTITUTE(SUBSTITUTE(SUBSTITUTE(SUBSTITUTE(SUBSTITUTE(SUBSTITUTE(SUBSTITUTE(SUBSTITUTE(SUBSTITUTE(SUBSTITUTE(ASC($C71),"①","1"),"②","2"),"③","3"),"④","4"),"⑤","5"),"⑥","6"),"⑦","7"),"⑧","8"),"⑨","9")," ",""),KIT別作業時間!$C$4:$C$27,0)),"")</f>
        <v/>
      </c>
      <c r="W71" s="393">
        <f>IF(AND(ISNUMBER($I71),$I71&gt;0),$I71,IF(ISNUMBER($V71),$V71,IF(ISNUMBER($R71),$R71,"")))</f>
        <v/>
      </c>
      <c r="X71" s="393">
        <f>IF(AND(ISNUMBER($I71),$I71&gt;0),"今回の工程実績",IF(ISNUMBER($V71),"KIT作業時間",IF(ISNUMBER($R71),"前回資料","")))</f>
        <v/>
      </c>
      <c r="Y71" s="398" t="n">
        <v>589</v>
      </c>
      <c r="Z71" s="398">
        <f>IF(AND(ISNUMBER($W71),ISNUMBER($Y71)),$W71*$Y71,"")</f>
        <v/>
      </c>
      <c r="AA71" s="393" t="n"/>
    </row>
    <row r="72">
      <c r="A72" s="392" t="n">
        <v>68</v>
      </c>
      <c r="B72" s="392" t="n"/>
      <c r="C72" s="392" t="inlineStr">
        <is>
          <t>福島生姜焼きＫＩＴ</t>
        </is>
      </c>
      <c r="D72" s="398">
        <f>SUMIF(⑩盛付梱包工程入力!$R$5:$R$300,$C72,⑩盛付梱包工程入力!$AC$5:$AC$300)+SUMIF(⑩盛付梱包工程入力!$S$5:$S$300,$C72,⑩盛付梱包工程入力!$AC$5:$AC$300)+SUMIF(⑩盛付梱包工程入力!$T$5:$T$300,$C72,⑩盛付梱包工程入力!$AC$5:$AC$300)+SUMIF(⑩盛付梱包工程入力!$U$5:$U$300,$C72,⑩盛付梱包工程入力!$AC$5:$AC$300)+SUMIF(⑩盛付梱包工程入力!$V$5:$V$300,$C72,⑩盛付梱包工程入力!$AC$5:$AC$300)+SUMIF(⑩盛付梱包工程入力!$W$5:$W$300,$C72,⑩盛付梱包工程入力!$AC$5:$AC$300)</f>
        <v/>
      </c>
      <c r="E72" s="398" t="n">
        <v>6</v>
      </c>
      <c r="F72" s="398">
        <f>IF(N($E72)&gt;0,$E72,$D72)</f>
        <v/>
      </c>
      <c r="G72" s="393" t="n">
        <v>303</v>
      </c>
      <c r="H72" s="393">
        <f>SUMIF(②釜工程入力!$R$5:$R$117,$C72,②釜工程入力!$AD$5:$AD$117)+SUMIF(②釜工程入力!$S$5:$S$117,$C72,②釜工程入力!$AE$5:$AE$117)+SUMIF(②釜工程入力!$T$5:$T$117,$C72,②釜工程入力!$AF$5:$AF$117)+SUMIF(②釜工程入力!$U$5:$U$117,$C72,②釜工程入力!$AG$5:$AG$117)+SUMIF(②釜工程入力!$V$5:$V$117,$C72,②釜工程入力!$AH$5:$AH$117)+SUMIF(②釜工程入力!$W$5:$W$117,$C72,②釜工程入力!$AI$5:$AI$117)+SUMIF(③スチコン工程入力!$R$5:$R$152,$C72,③スチコン工程入力!$AD$5:$AD$152)+SUMIF(③スチコン工程入力!$S$5:$S$152,$C72,③スチコン工程入力!$AE$5:$AE$152)+SUMIF(③スチコン工程入力!$T$5:$T$152,$C72,③スチコン工程入力!$AF$5:$AF$152)+SUMIF(③スチコン工程入力!$U$5:$U$152,$C72,③スチコン工程入力!$AG$5:$AG$152)+SUMIF(③スチコン工程入力!$V$5:$V$152,$C72,③スチコン工程入力!$AH$5:$AH$152)+SUMIF(③スチコン工程入力!$W$5:$W$152,$C72,③スチコン工程入力!$AI$5:$AI$152)+SUMIF(⑩盛付梱包工程入力!$R$5:$R$300,$C72,⑩盛付梱包工程入力!$AD$5:$AD$300)+SUMIF(⑩盛付梱包工程入力!$S$5:$S$300,$C72,⑩盛付梱包工程入力!$AE$5:$AE$300)+SUMIF(⑩盛付梱包工程入力!$T$5:$T$300,$C72,⑩盛付梱包工程入力!$AF$5:$AF$300)+SUMIF(⑩盛付梱包工程入力!$U$5:$U$300,$C72,⑩盛付梱包工程入力!$AG$5:$AG$300)+SUMIF(⑩盛付梱包工程入力!$V$5:$V$300,$C72,⑩盛付梱包工程入力!$AH$5:$AH$300)+SUMIF(⑩盛付梱包工程入力!$W$5:$W$300,$C72,⑩盛付梱包工程入力!$AI$5:$AI$300)+SUMIF(⑪ZEN工程入力!$R$6:$R$35,$C72,⑪ZEN工程入力!$AD$6:$AD$35)+SUMIF(⑪ZEN工程入力!$S$6:$S$35,$C72,⑪ZEN工程入力!$AE$6:$AE$35)+SUMIF(⑪ZEN工程入力!$T$6:$T$35,$C72,⑪ZEN工程入力!$AF$6:$AF$35)+SUMIF(⑪ZEN工程入力!$U$6:$U$35,$C72,⑪ZEN工程入力!$AG$6:$AG$35)+SUMIF(⑪ZEN工程入力!$V$6:$V$35,$C72,⑪ZEN工程入力!$AH$6:$AH$35)+SUMIF(⑪ZEN工程入力!$W$6:$W$35,$C72,⑪ZEN工程入力!$AI$6:$AI$35)+SUMIF(⑫ミキサー工程入力!$R$6:$R$65,$C72,⑫ミキサー工程入力!$AD$6:$AD$65)+SUMIF(⑫ミキサー工程入力!$S$6:$S$65,$C72,⑫ミキサー工程入力!$AE$6:$AE$65)+SUMIF(⑫ミキサー工程入力!$T$6:$T$65,$C72,⑫ミキサー工程入力!$AF$6:$AF$65)+SUMIF(⑫ミキサー工程入力!$U$6:$U$65,$C72,⑫ミキサー工程入力!$AG$6:$AG$65)+SUMIF(⑫ミキサー工程入力!$V$6:$V$65,$C72,⑫ミキサー工程入力!$AH$6:$AH$65)+SUMIF(⑫ミキサー工程入力!$W$6:$W$65,$C72,⑫ミキサー工程入力!$AI$6:$AI$65)+SUMIF(⑬計量工程入力!$R$6:$R$65,$C72,⑬計量工程入力!$AD$6:$AD$65)+SUMIF(⑬計量工程入力!$S$6:$S$65,$C72,⑬計量工程入力!$AE$6:$AE$65)+SUMIF(⑬計量工程入力!$T$6:$T$65,$C72,⑬計量工程入力!$AF$6:$AF$65)+SUMIF(⑬計量工程入力!$U$6:$U$65,$C72,⑬計量工程入力!$AG$6:$AG$65)+SUMIF(⑬計量工程入力!$V$6:$V$65,$C72,⑬計量工程入力!$AH$6:$AH$65)+SUMIF(⑬計量工程入力!$W$6:$W$65,$C72,⑬計量工程入力!$AI$6:$AI$65)+SUMIF(⑭手動工程入力!$R$6:$R$47,$C72,⑭手動工程入力!$AD$6:$AD$47)+SUMIF(⑭手動工程入力!$S$6:$S$47,$C72,⑭手動工程入力!$AE$6:$AE$47)+SUMIF(⑭手動工程入力!$T$6:$T$47,$C72,⑭手動工程入力!$AF$6:$AF$47)+SUMIF(⑭手動工程入力!$U$6:$U$47,$C72,⑭手動工程入力!$AG$6:$AG$47)+SUMIF(⑭手動工程入力!$V$6:$V$47,$C72,⑭手動工程入力!$AH$6:$AH$47)+SUMIF(⑭手動工程入力!$W$6:$W$47,$C72,⑭手動工程入力!$AI$6:$AI$47)</f>
        <v/>
      </c>
      <c r="I72" s="393">
        <f>IF($F72&gt;0,$H72/$F72,"")</f>
        <v/>
      </c>
      <c r="J72" s="605">
        <f>IFERROR(INDEX(商品原価!$B$4:$B$112,MATCH(SUBSTITUTE(SUBSTITUTE(SUBSTITUTE(SUBSTITUTE(SUBSTITUTE(SUBSTITUTE(SUBSTITUTE(SUBSTITUTE(SUBSTITUTE(SUBSTITUTE(ASC($C72),"①","1"),"②","2"),"③","3"),"④","4"),"⑤","5"),"⑥","6"),"⑦","7"),"⑧","8"),"⑨","9")," ",""),商品原価!$C$4:$C$112,0)),"")</f>
        <v/>
      </c>
      <c r="K72" s="542">
        <f>IF(ISNUMBER($J72),$J72*④前提設定!$B$21,"")</f>
        <v/>
      </c>
      <c r="L72" s="605">
        <f>IF(AND(NOT(ISNUMBER($J72)),NOT(ISNUMBER($K72))),"",N($J72)+N($K72))</f>
        <v/>
      </c>
      <c r="M72" s="605">
        <f>IFERROR(INDEX(商品原価!$E$4:$E$112,MATCH(SUBSTITUTE(SUBSTITUTE(SUBSTITUTE(SUBSTITUTE(SUBSTITUTE(SUBSTITUTE(SUBSTITUTE(SUBSTITUTE(SUBSTITUTE(SUBSTITUTE(ASC($C72),"①","1"),"②","2"),"③","3"),"④","4"),"⑤","5"),"⑥","6"),"⑦","7"),"⑧","8"),"⑨","9")," ",""),商品原価!$C$4:$C$112,0)),"")</f>
        <v/>
      </c>
      <c r="N72" s="605">
        <f>IF(AND(ISNUMBER($M72),ISNUMBER($L72)),$M72-$L72-N($W72),"")</f>
        <v/>
      </c>
      <c r="O72" s="606">
        <f>IF(AND(ISNUMBER($N72),ISNUMBER($M72),$M72&gt;0),$N72/$M72,"")</f>
        <v/>
      </c>
      <c r="P72" s="398">
        <f>COUNTIF(②釜工程入力!$R$5:$R$117,$C72)+COUNTIF(②釜工程入力!$S$5:$S$117,$C72)+COUNTIF(②釜工程入力!$T$5:$T$117,$C72)+COUNTIF(②釜工程入力!$U$5:$U$117,$C72)+COUNTIF(②釜工程入力!$V$5:$V$117,$C72)+COUNTIF(②釜工程入力!$W$5:$W$117,$C72)+COUNTIF(③スチコン工程入力!$R$5:$R$152,$C72)+COUNTIF(③スチコン工程入力!$S$5:$S$152,$C72)+COUNTIF(③スチコン工程入力!$T$5:$T$152,$C72)+COUNTIF(③スチコン工程入力!$U$5:$U$152,$C72)+COUNTIF(③スチコン工程入力!$V$5:$V$152,$C72)+COUNTIF(③スチコン工程入力!$W$5:$W$152,$C72)+COUNTIF(⑩盛付梱包工程入力!$R$5:$R$300,$C72)+COUNTIF(⑩盛付梱包工程入力!$S$5:$S$300,$C72)+COUNTIF(⑩盛付梱包工程入力!$T$5:$T$300,$C72)+COUNTIF(⑩盛付梱包工程入力!$U$5:$U$300,$C72)+COUNTIF(⑩盛付梱包工程入力!$V$5:$V$300,$C72)+COUNTIF(⑩盛付梱包工程入力!$W$5:$W$300,$C72)+COUNTIF(⑪ZEN工程入力!$R$6:$R$35,$C72)+COUNTIF(⑪ZEN工程入力!$S$6:$S$35,$C72)+COUNTIF(⑪ZEN工程入力!$T$6:$T$35,$C72)+COUNTIF(⑪ZEN工程入力!$U$6:$U$35,$C72)+COUNTIF(⑪ZEN工程入力!$V$6:$V$35,$C72)+COUNTIF(⑪ZEN工程入力!$W$6:$W$35,$C72)+COUNTIF(⑫ミキサー工程入力!$R$6:$R$65,$C72)+COUNTIF(⑫ミキサー工程入力!$S$6:$S$65,$C72)+COUNTIF(⑫ミキサー工程入力!$T$6:$T$65,$C72)+COUNTIF(⑫ミキサー工程入力!$U$6:$U$65,$C72)+COUNTIF(⑫ミキサー工程入力!$V$6:$V$65,$C72)+COUNTIF(⑫ミキサー工程入力!$W$6:$W$65,$C72)+COUNTIF(⑬計量工程入力!$R$6:$R$65,$C72)+COUNTIF(⑬計量工程入力!$S$6:$S$65,$C72)+COUNTIF(⑬計量工程入力!$T$6:$T$65,$C72)+COUNTIF(⑬計量工程入力!$U$6:$U$65,$C72)+COUNTIF(⑬計量工程入力!$V$6:$V$65,$C72)+COUNTIF(⑬計量工程入力!$W$6:$W$65,$C72)+COUNTIF(⑭手動工程入力!$R$6:$R$47,$C72)+COUNTIF(⑭手動工程入力!$S$6:$S$47,$C72)+COUNTIF(⑭手動工程入力!$T$6:$T$47,$C72)+COUNTIF(⑭手動工程入力!$U$6:$U$47,$C72)+COUNTIF(⑭手動工程入力!$V$6:$V$47,$C72)+COUNTIF(⑭手動工程入力!$W$6:$W$47,$C72)</f>
        <v/>
      </c>
      <c r="Q72" s="392" t="inlineStr">
        <is>
          <t>⑩盛付梱包 69行目に入力欄を作成（工程記録なし）</t>
        </is>
      </c>
      <c r="R72" s="393" t="n"/>
      <c r="S72" s="393" t="n"/>
      <c r="T72" s="393" t="n"/>
      <c r="U72" s="393" t="n"/>
      <c r="V72" s="605">
        <f>IFERROR(INDEX(KIT別作業時間!$D$4:$D$27,MATCH(SUBSTITUTE(SUBSTITUTE(SUBSTITUTE(SUBSTITUTE(SUBSTITUTE(SUBSTITUTE(SUBSTITUTE(SUBSTITUTE(SUBSTITUTE(SUBSTITUTE(ASC($C72),"①","1"),"②","2"),"③","3"),"④","4"),"⑤","5"),"⑥","6"),"⑦","7"),"⑧","8"),"⑨","9")," ",""),KIT別作業時間!$C$4:$C$27,0)),"")</f>
        <v/>
      </c>
      <c r="W72" s="393">
        <f>IF(AND(ISNUMBER($I72),$I72&gt;0),$I72,IF(ISNUMBER($V72),$V72,IF(ISNUMBER($R72),$R72,"")))</f>
        <v/>
      </c>
      <c r="X72" s="393">
        <f>IF(AND(ISNUMBER($I72),$I72&gt;0),"今回の工程実績",IF(ISNUMBER($V72),"KIT作業時間",IF(ISNUMBER($R72),"前回資料","")))</f>
        <v/>
      </c>
      <c r="Y72" s="398" t="n">
        <v>405</v>
      </c>
      <c r="Z72" s="398">
        <f>IF(AND(ISNUMBER($W72),ISNUMBER($Y72)),$W72*$Y72,"")</f>
        <v/>
      </c>
      <c r="AA72" s="393" t="n"/>
    </row>
    <row r="73">
      <c r="A73" s="392" t="n">
        <v>69</v>
      </c>
      <c r="B73" s="392" t="n"/>
      <c r="C73" s="392" t="inlineStr">
        <is>
          <t>明太フランスパンＫＩＴ</t>
        </is>
      </c>
      <c r="D73" s="398">
        <f>SUMIF(⑩盛付梱包工程入力!$R$5:$R$300,$C73,⑩盛付梱包工程入力!$AC$5:$AC$300)+SUMIF(⑩盛付梱包工程入力!$S$5:$S$300,$C73,⑩盛付梱包工程入力!$AC$5:$AC$300)+SUMIF(⑩盛付梱包工程入力!$T$5:$T$300,$C73,⑩盛付梱包工程入力!$AC$5:$AC$300)+SUMIF(⑩盛付梱包工程入力!$U$5:$U$300,$C73,⑩盛付梱包工程入力!$AC$5:$AC$300)+SUMIF(⑩盛付梱包工程入力!$V$5:$V$300,$C73,⑩盛付梱包工程入力!$AC$5:$AC$300)+SUMIF(⑩盛付梱包工程入力!$W$5:$W$300,$C73,⑩盛付梱包工程入力!$AC$5:$AC$300)</f>
        <v/>
      </c>
      <c r="E73" s="398" t="n">
        <v>52</v>
      </c>
      <c r="F73" s="398">
        <f>IF(N($E73)&gt;0,$E73,$D73)</f>
        <v/>
      </c>
      <c r="G73" s="393" t="n">
        <v>87.88362369337979</v>
      </c>
      <c r="H73" s="393">
        <f>SUMIF(②釜工程入力!$R$5:$R$117,$C73,②釜工程入力!$AD$5:$AD$117)+SUMIF(②釜工程入力!$S$5:$S$117,$C73,②釜工程入力!$AE$5:$AE$117)+SUMIF(②釜工程入力!$T$5:$T$117,$C73,②釜工程入力!$AF$5:$AF$117)+SUMIF(②釜工程入力!$U$5:$U$117,$C73,②釜工程入力!$AG$5:$AG$117)+SUMIF(②釜工程入力!$V$5:$V$117,$C73,②釜工程入力!$AH$5:$AH$117)+SUMIF(②釜工程入力!$W$5:$W$117,$C73,②釜工程入力!$AI$5:$AI$117)+SUMIF(③スチコン工程入力!$R$5:$R$152,$C73,③スチコン工程入力!$AD$5:$AD$152)+SUMIF(③スチコン工程入力!$S$5:$S$152,$C73,③スチコン工程入力!$AE$5:$AE$152)+SUMIF(③スチコン工程入力!$T$5:$T$152,$C73,③スチコン工程入力!$AF$5:$AF$152)+SUMIF(③スチコン工程入力!$U$5:$U$152,$C73,③スチコン工程入力!$AG$5:$AG$152)+SUMIF(③スチコン工程入力!$V$5:$V$152,$C73,③スチコン工程入力!$AH$5:$AH$152)+SUMIF(③スチコン工程入力!$W$5:$W$152,$C73,③スチコン工程入力!$AI$5:$AI$152)+SUMIF(⑩盛付梱包工程入力!$R$5:$R$300,$C73,⑩盛付梱包工程入力!$AD$5:$AD$300)+SUMIF(⑩盛付梱包工程入力!$S$5:$S$300,$C73,⑩盛付梱包工程入力!$AE$5:$AE$300)+SUMIF(⑩盛付梱包工程入力!$T$5:$T$300,$C73,⑩盛付梱包工程入力!$AF$5:$AF$300)+SUMIF(⑩盛付梱包工程入力!$U$5:$U$300,$C73,⑩盛付梱包工程入力!$AG$5:$AG$300)+SUMIF(⑩盛付梱包工程入力!$V$5:$V$300,$C73,⑩盛付梱包工程入力!$AH$5:$AH$300)+SUMIF(⑩盛付梱包工程入力!$W$5:$W$300,$C73,⑩盛付梱包工程入力!$AI$5:$AI$300)+SUMIF(⑪ZEN工程入力!$R$6:$R$35,$C73,⑪ZEN工程入力!$AD$6:$AD$35)+SUMIF(⑪ZEN工程入力!$S$6:$S$35,$C73,⑪ZEN工程入力!$AE$6:$AE$35)+SUMIF(⑪ZEN工程入力!$T$6:$T$35,$C73,⑪ZEN工程入力!$AF$6:$AF$35)+SUMIF(⑪ZEN工程入力!$U$6:$U$35,$C73,⑪ZEN工程入力!$AG$6:$AG$35)+SUMIF(⑪ZEN工程入力!$V$6:$V$35,$C73,⑪ZEN工程入力!$AH$6:$AH$35)+SUMIF(⑪ZEN工程入力!$W$6:$W$35,$C73,⑪ZEN工程入力!$AI$6:$AI$35)+SUMIF(⑫ミキサー工程入力!$R$6:$R$65,$C73,⑫ミキサー工程入力!$AD$6:$AD$65)+SUMIF(⑫ミキサー工程入力!$S$6:$S$65,$C73,⑫ミキサー工程入力!$AE$6:$AE$65)+SUMIF(⑫ミキサー工程入力!$T$6:$T$65,$C73,⑫ミキサー工程入力!$AF$6:$AF$65)+SUMIF(⑫ミキサー工程入力!$U$6:$U$65,$C73,⑫ミキサー工程入力!$AG$6:$AG$65)+SUMIF(⑫ミキサー工程入力!$V$6:$V$65,$C73,⑫ミキサー工程入力!$AH$6:$AH$65)+SUMIF(⑫ミキサー工程入力!$W$6:$W$65,$C73,⑫ミキサー工程入力!$AI$6:$AI$65)+SUMIF(⑬計量工程入力!$R$6:$R$65,$C73,⑬計量工程入力!$AD$6:$AD$65)+SUMIF(⑬計量工程入力!$S$6:$S$65,$C73,⑬計量工程入力!$AE$6:$AE$65)+SUMIF(⑬計量工程入力!$T$6:$T$65,$C73,⑬計量工程入力!$AF$6:$AF$65)+SUMIF(⑬計量工程入力!$U$6:$U$65,$C73,⑬計量工程入力!$AG$6:$AG$65)+SUMIF(⑬計量工程入力!$V$6:$V$65,$C73,⑬計量工程入力!$AH$6:$AH$65)+SUMIF(⑬計量工程入力!$W$6:$W$65,$C73,⑬計量工程入力!$AI$6:$AI$65)+SUMIF(⑭手動工程入力!$R$6:$R$47,$C73,⑭手動工程入力!$AD$6:$AD$47)+SUMIF(⑭手動工程入力!$S$6:$S$47,$C73,⑭手動工程入力!$AE$6:$AE$47)+SUMIF(⑭手動工程入力!$T$6:$T$47,$C73,⑭手動工程入力!$AF$6:$AF$47)+SUMIF(⑭手動工程入力!$U$6:$U$47,$C73,⑭手動工程入力!$AG$6:$AG$47)+SUMIF(⑭手動工程入力!$V$6:$V$47,$C73,⑭手動工程入力!$AH$6:$AH$47)+SUMIF(⑭手動工程入力!$W$6:$W$47,$C73,⑭手動工程入力!$AI$6:$AI$47)</f>
        <v/>
      </c>
      <c r="I73" s="393">
        <f>IF($F73&gt;0,$H73/$F73,"")</f>
        <v/>
      </c>
      <c r="J73" s="605">
        <f>IFERROR(INDEX(商品原価!$B$4:$B$112,MATCH(SUBSTITUTE(SUBSTITUTE(SUBSTITUTE(SUBSTITUTE(SUBSTITUTE(SUBSTITUTE(SUBSTITUTE(SUBSTITUTE(SUBSTITUTE(SUBSTITUTE(ASC($C73),"①","1"),"②","2"),"③","3"),"④","4"),"⑤","5"),"⑥","6"),"⑦","7"),"⑧","8"),"⑨","9")," ",""),商品原価!$C$4:$C$112,0)),"")</f>
        <v/>
      </c>
      <c r="K73" s="542">
        <f>IF(ISNUMBER($J73),$J73*④前提設定!$B$21,"")</f>
        <v/>
      </c>
      <c r="L73" s="605">
        <f>IF(AND(NOT(ISNUMBER($J73)),NOT(ISNUMBER($K73))),"",N($J73)+N($K73))</f>
        <v/>
      </c>
      <c r="M73" s="605">
        <f>IFERROR(INDEX(商品原価!$E$4:$E$112,MATCH(SUBSTITUTE(SUBSTITUTE(SUBSTITUTE(SUBSTITUTE(SUBSTITUTE(SUBSTITUTE(SUBSTITUTE(SUBSTITUTE(SUBSTITUTE(SUBSTITUTE(ASC($C73),"①","1"),"②","2"),"③","3"),"④","4"),"⑤","5"),"⑥","6"),"⑦","7"),"⑧","8"),"⑨","9")," ",""),商品原価!$C$4:$C$112,0)),"")</f>
        <v/>
      </c>
      <c r="N73" s="605">
        <f>IF(AND(ISNUMBER($M73),ISNUMBER($L73)),$M73-$L73-N($W73),"")</f>
        <v/>
      </c>
      <c r="O73" s="606">
        <f>IF(AND(ISNUMBER($N73),ISNUMBER($M73),$M73&gt;0),$N73/$M73,"")</f>
        <v/>
      </c>
      <c r="P73" s="398">
        <f>COUNTIF(②釜工程入力!$R$5:$R$117,$C73)+COUNTIF(②釜工程入力!$S$5:$S$117,$C73)+COUNTIF(②釜工程入力!$T$5:$T$117,$C73)+COUNTIF(②釜工程入力!$U$5:$U$117,$C73)+COUNTIF(②釜工程入力!$V$5:$V$117,$C73)+COUNTIF(②釜工程入力!$W$5:$W$117,$C73)+COUNTIF(③スチコン工程入力!$R$5:$R$152,$C73)+COUNTIF(③スチコン工程入力!$S$5:$S$152,$C73)+COUNTIF(③スチコン工程入力!$T$5:$T$152,$C73)+COUNTIF(③スチコン工程入力!$U$5:$U$152,$C73)+COUNTIF(③スチコン工程入力!$V$5:$V$152,$C73)+COUNTIF(③スチコン工程入力!$W$5:$W$152,$C73)+COUNTIF(⑩盛付梱包工程入力!$R$5:$R$300,$C73)+COUNTIF(⑩盛付梱包工程入力!$S$5:$S$300,$C73)+COUNTIF(⑩盛付梱包工程入力!$T$5:$T$300,$C73)+COUNTIF(⑩盛付梱包工程入力!$U$5:$U$300,$C73)+COUNTIF(⑩盛付梱包工程入力!$V$5:$V$300,$C73)+COUNTIF(⑩盛付梱包工程入力!$W$5:$W$300,$C73)+COUNTIF(⑪ZEN工程入力!$R$6:$R$35,$C73)+COUNTIF(⑪ZEN工程入力!$S$6:$S$35,$C73)+COUNTIF(⑪ZEN工程入力!$T$6:$T$35,$C73)+COUNTIF(⑪ZEN工程入力!$U$6:$U$35,$C73)+COUNTIF(⑪ZEN工程入力!$V$6:$V$35,$C73)+COUNTIF(⑪ZEN工程入力!$W$6:$W$35,$C73)+COUNTIF(⑫ミキサー工程入力!$R$6:$R$65,$C73)+COUNTIF(⑫ミキサー工程入力!$S$6:$S$65,$C73)+COUNTIF(⑫ミキサー工程入力!$T$6:$T$65,$C73)+COUNTIF(⑫ミキサー工程入力!$U$6:$U$65,$C73)+COUNTIF(⑫ミキサー工程入力!$V$6:$V$65,$C73)+COUNTIF(⑫ミキサー工程入力!$W$6:$W$65,$C73)+COUNTIF(⑬計量工程入力!$R$6:$R$65,$C73)+COUNTIF(⑬計量工程入力!$S$6:$S$65,$C73)+COUNTIF(⑬計量工程入力!$T$6:$T$65,$C73)+COUNTIF(⑬計量工程入力!$U$6:$U$65,$C73)+COUNTIF(⑬計量工程入力!$V$6:$V$65,$C73)+COUNTIF(⑬計量工程入力!$W$6:$W$65,$C73)+COUNTIF(⑭手動工程入力!$R$6:$R$47,$C73)+COUNTIF(⑭手動工程入力!$S$6:$S$47,$C73)+COUNTIF(⑭手動工程入力!$T$6:$T$47,$C73)+COUNTIF(⑭手動工程入力!$U$6:$U$47,$C73)+COUNTIF(⑭手動工程入力!$V$6:$V$47,$C73)+COUNTIF(⑭手動工程入力!$W$6:$W$47,$C73)</f>
        <v/>
      </c>
      <c r="Q73" s="392" t="n"/>
      <c r="R73" s="393" t="n"/>
      <c r="S73" s="393" t="n"/>
      <c r="T73" s="393" t="n"/>
      <c r="U73" s="393" t="n"/>
      <c r="V73" s="605">
        <f>IFERROR(INDEX(KIT別作業時間!$D$4:$D$27,MATCH(SUBSTITUTE(SUBSTITUTE(SUBSTITUTE(SUBSTITUTE(SUBSTITUTE(SUBSTITUTE(SUBSTITUTE(SUBSTITUTE(SUBSTITUTE(SUBSTITUTE(ASC($C73),"①","1"),"②","2"),"③","3"),"④","4"),"⑤","5"),"⑥","6"),"⑦","7"),"⑧","8"),"⑨","9")," ",""),KIT別作業時間!$C$4:$C$27,0)),"")</f>
        <v/>
      </c>
      <c r="W73" s="393">
        <f>IF(AND(ISNUMBER($I73),$I73&gt;0),$I73,IF(ISNUMBER($V73),$V73,IF(ISNUMBER($R73),$R73,"")))</f>
        <v/>
      </c>
      <c r="X73" s="393">
        <f>IF(AND(ISNUMBER($I73),$I73&gt;0),"今回の工程実績",IF(ISNUMBER($V73),"KIT作業時間",IF(ISNUMBER($R73),"前回資料","")))</f>
        <v/>
      </c>
      <c r="Y73" s="398" t="n">
        <v>1404</v>
      </c>
      <c r="Z73" s="398">
        <f>IF(AND(ISNUMBER($W73),ISNUMBER($Y73)),$W73*$Y73,"")</f>
        <v/>
      </c>
      <c r="AA73" s="393" t="n"/>
    </row>
    <row r="74">
      <c r="A74" s="392" t="n">
        <v>70</v>
      </c>
      <c r="B74" s="392" t="n"/>
      <c r="C74" s="392" t="inlineStr">
        <is>
          <t>ハンバーグキット１０００４</t>
        </is>
      </c>
      <c r="D74" s="398">
        <f>SUMIF(⑩盛付梱包工程入力!$R$5:$R$300,$C74,⑩盛付梱包工程入力!$AC$5:$AC$300)+SUMIF(⑩盛付梱包工程入力!$S$5:$S$300,$C74,⑩盛付梱包工程入力!$AC$5:$AC$300)+SUMIF(⑩盛付梱包工程入力!$T$5:$T$300,$C74,⑩盛付梱包工程入力!$AC$5:$AC$300)+SUMIF(⑩盛付梱包工程入力!$U$5:$U$300,$C74,⑩盛付梱包工程入力!$AC$5:$AC$300)+SUMIF(⑩盛付梱包工程入力!$V$5:$V$300,$C74,⑩盛付梱包工程入力!$AC$5:$AC$300)+SUMIF(⑩盛付梱包工程入力!$W$5:$W$300,$C74,⑩盛付梱包工程入力!$AC$5:$AC$300)</f>
        <v/>
      </c>
      <c r="E74" s="398" t="n">
        <v>9</v>
      </c>
      <c r="F74" s="398">
        <f>IF(N($E74)&gt;0,$E74,$D74)</f>
        <v/>
      </c>
      <c r="G74" s="393" t="n">
        <v>221.9972752043597</v>
      </c>
      <c r="H74" s="393">
        <f>SUMIF(②釜工程入力!$R$5:$R$117,$C74,②釜工程入力!$AD$5:$AD$117)+SUMIF(②釜工程入力!$S$5:$S$117,$C74,②釜工程入力!$AE$5:$AE$117)+SUMIF(②釜工程入力!$T$5:$T$117,$C74,②釜工程入力!$AF$5:$AF$117)+SUMIF(②釜工程入力!$U$5:$U$117,$C74,②釜工程入力!$AG$5:$AG$117)+SUMIF(②釜工程入力!$V$5:$V$117,$C74,②釜工程入力!$AH$5:$AH$117)+SUMIF(②釜工程入力!$W$5:$W$117,$C74,②釜工程入力!$AI$5:$AI$117)+SUMIF(③スチコン工程入力!$R$5:$R$152,$C74,③スチコン工程入力!$AD$5:$AD$152)+SUMIF(③スチコン工程入力!$S$5:$S$152,$C74,③スチコン工程入力!$AE$5:$AE$152)+SUMIF(③スチコン工程入力!$T$5:$T$152,$C74,③スチコン工程入力!$AF$5:$AF$152)+SUMIF(③スチコン工程入力!$U$5:$U$152,$C74,③スチコン工程入力!$AG$5:$AG$152)+SUMIF(③スチコン工程入力!$V$5:$V$152,$C74,③スチコン工程入力!$AH$5:$AH$152)+SUMIF(③スチコン工程入力!$W$5:$W$152,$C74,③スチコン工程入力!$AI$5:$AI$152)+SUMIF(⑩盛付梱包工程入力!$R$5:$R$300,$C74,⑩盛付梱包工程入力!$AD$5:$AD$300)+SUMIF(⑩盛付梱包工程入力!$S$5:$S$300,$C74,⑩盛付梱包工程入力!$AE$5:$AE$300)+SUMIF(⑩盛付梱包工程入力!$T$5:$T$300,$C74,⑩盛付梱包工程入力!$AF$5:$AF$300)+SUMIF(⑩盛付梱包工程入力!$U$5:$U$300,$C74,⑩盛付梱包工程入力!$AG$5:$AG$300)+SUMIF(⑩盛付梱包工程入力!$V$5:$V$300,$C74,⑩盛付梱包工程入力!$AH$5:$AH$300)+SUMIF(⑩盛付梱包工程入力!$W$5:$W$300,$C74,⑩盛付梱包工程入力!$AI$5:$AI$300)+SUMIF(⑪ZEN工程入力!$R$6:$R$35,$C74,⑪ZEN工程入力!$AD$6:$AD$35)+SUMIF(⑪ZEN工程入力!$S$6:$S$35,$C74,⑪ZEN工程入力!$AE$6:$AE$35)+SUMIF(⑪ZEN工程入力!$T$6:$T$35,$C74,⑪ZEN工程入力!$AF$6:$AF$35)+SUMIF(⑪ZEN工程入力!$U$6:$U$35,$C74,⑪ZEN工程入力!$AG$6:$AG$35)+SUMIF(⑪ZEN工程入力!$V$6:$V$35,$C74,⑪ZEN工程入力!$AH$6:$AH$35)+SUMIF(⑪ZEN工程入力!$W$6:$W$35,$C74,⑪ZEN工程入力!$AI$6:$AI$35)+SUMIF(⑫ミキサー工程入力!$R$6:$R$65,$C74,⑫ミキサー工程入力!$AD$6:$AD$65)+SUMIF(⑫ミキサー工程入力!$S$6:$S$65,$C74,⑫ミキサー工程入力!$AE$6:$AE$65)+SUMIF(⑫ミキサー工程入力!$T$6:$T$65,$C74,⑫ミキサー工程入力!$AF$6:$AF$65)+SUMIF(⑫ミキサー工程入力!$U$6:$U$65,$C74,⑫ミキサー工程入力!$AG$6:$AG$65)+SUMIF(⑫ミキサー工程入力!$V$6:$V$65,$C74,⑫ミキサー工程入力!$AH$6:$AH$65)+SUMIF(⑫ミキサー工程入力!$W$6:$W$65,$C74,⑫ミキサー工程入力!$AI$6:$AI$65)+SUMIF(⑬計量工程入力!$R$6:$R$65,$C74,⑬計量工程入力!$AD$6:$AD$65)+SUMIF(⑬計量工程入力!$S$6:$S$65,$C74,⑬計量工程入力!$AE$6:$AE$65)+SUMIF(⑬計量工程入力!$T$6:$T$65,$C74,⑬計量工程入力!$AF$6:$AF$65)+SUMIF(⑬計量工程入力!$U$6:$U$65,$C74,⑬計量工程入力!$AG$6:$AG$65)+SUMIF(⑬計量工程入力!$V$6:$V$65,$C74,⑬計量工程入力!$AH$6:$AH$65)+SUMIF(⑬計量工程入力!$W$6:$W$65,$C74,⑬計量工程入力!$AI$6:$AI$65)+SUMIF(⑭手動工程入力!$R$6:$R$47,$C74,⑭手動工程入力!$AD$6:$AD$47)+SUMIF(⑭手動工程入力!$S$6:$S$47,$C74,⑭手動工程入力!$AE$6:$AE$47)+SUMIF(⑭手動工程入力!$T$6:$T$47,$C74,⑭手動工程入力!$AF$6:$AF$47)+SUMIF(⑭手動工程入力!$U$6:$U$47,$C74,⑭手動工程入力!$AG$6:$AG$47)+SUMIF(⑭手動工程入力!$V$6:$V$47,$C74,⑭手動工程入力!$AH$6:$AH$47)+SUMIF(⑭手動工程入力!$W$6:$W$47,$C74,⑭手動工程入力!$AI$6:$AI$47)</f>
        <v/>
      </c>
      <c r="I74" s="393">
        <f>IF($F74&gt;0,$H74/$F74,"")</f>
        <v/>
      </c>
      <c r="J74" s="605">
        <f>IFERROR(INDEX(商品原価!$B$4:$B$112,MATCH(SUBSTITUTE(SUBSTITUTE(SUBSTITUTE(SUBSTITUTE(SUBSTITUTE(SUBSTITUTE(SUBSTITUTE(SUBSTITUTE(SUBSTITUTE(SUBSTITUTE(ASC($C74),"①","1"),"②","2"),"③","3"),"④","4"),"⑤","5"),"⑥","6"),"⑦","7"),"⑧","8"),"⑨","9")," ",""),商品原価!$C$4:$C$112,0)),"")</f>
        <v/>
      </c>
      <c r="K74" s="542">
        <f>IF(ISNUMBER($J74),$J74*④前提設定!$B$21,"")</f>
        <v/>
      </c>
      <c r="L74" s="605">
        <f>IF(AND(NOT(ISNUMBER($J74)),NOT(ISNUMBER($K74))),"",N($J74)+N($K74))</f>
        <v/>
      </c>
      <c r="M74" s="605">
        <f>IFERROR(INDEX(商品原価!$E$4:$E$112,MATCH(SUBSTITUTE(SUBSTITUTE(SUBSTITUTE(SUBSTITUTE(SUBSTITUTE(SUBSTITUTE(SUBSTITUTE(SUBSTITUTE(SUBSTITUTE(SUBSTITUTE(ASC($C74),"①","1"),"②","2"),"③","3"),"④","4"),"⑤","5"),"⑥","6"),"⑦","7"),"⑧","8"),"⑨","9")," ",""),商品原価!$C$4:$C$112,0)),"")</f>
        <v/>
      </c>
      <c r="N74" s="605">
        <f>IF(AND(ISNUMBER($M74),ISNUMBER($L74)),$M74-$L74-N($W74),"")</f>
        <v/>
      </c>
      <c r="O74" s="606">
        <f>IF(AND(ISNUMBER($N74),ISNUMBER($M74),$M74&gt;0),$N74/$M74,"")</f>
        <v/>
      </c>
      <c r="P74" s="398">
        <f>COUNTIF(②釜工程入力!$R$5:$R$117,$C74)+COUNTIF(②釜工程入力!$S$5:$S$117,$C74)+COUNTIF(②釜工程入力!$T$5:$T$117,$C74)+COUNTIF(②釜工程入力!$U$5:$U$117,$C74)+COUNTIF(②釜工程入力!$V$5:$V$117,$C74)+COUNTIF(②釜工程入力!$W$5:$W$117,$C74)+COUNTIF(③スチコン工程入力!$R$5:$R$152,$C74)+COUNTIF(③スチコン工程入力!$S$5:$S$152,$C74)+COUNTIF(③スチコン工程入力!$T$5:$T$152,$C74)+COUNTIF(③スチコン工程入力!$U$5:$U$152,$C74)+COUNTIF(③スチコン工程入力!$V$5:$V$152,$C74)+COUNTIF(③スチコン工程入力!$W$5:$W$152,$C74)+COUNTIF(⑩盛付梱包工程入力!$R$5:$R$300,$C74)+COUNTIF(⑩盛付梱包工程入力!$S$5:$S$300,$C74)+COUNTIF(⑩盛付梱包工程入力!$T$5:$T$300,$C74)+COUNTIF(⑩盛付梱包工程入力!$U$5:$U$300,$C74)+COUNTIF(⑩盛付梱包工程入力!$V$5:$V$300,$C74)+COUNTIF(⑩盛付梱包工程入力!$W$5:$W$300,$C74)+COUNTIF(⑪ZEN工程入力!$R$6:$R$35,$C74)+COUNTIF(⑪ZEN工程入力!$S$6:$S$35,$C74)+COUNTIF(⑪ZEN工程入力!$T$6:$T$35,$C74)+COUNTIF(⑪ZEN工程入力!$U$6:$U$35,$C74)+COUNTIF(⑪ZEN工程入力!$V$6:$V$35,$C74)+COUNTIF(⑪ZEN工程入力!$W$6:$W$35,$C74)+COUNTIF(⑫ミキサー工程入力!$R$6:$R$65,$C74)+COUNTIF(⑫ミキサー工程入力!$S$6:$S$65,$C74)+COUNTIF(⑫ミキサー工程入力!$T$6:$T$65,$C74)+COUNTIF(⑫ミキサー工程入力!$U$6:$U$65,$C74)+COUNTIF(⑫ミキサー工程入力!$V$6:$V$65,$C74)+COUNTIF(⑫ミキサー工程入力!$W$6:$W$65,$C74)+COUNTIF(⑬計量工程入力!$R$6:$R$65,$C74)+COUNTIF(⑬計量工程入力!$S$6:$S$65,$C74)+COUNTIF(⑬計量工程入力!$T$6:$T$65,$C74)+COUNTIF(⑬計量工程入力!$U$6:$U$65,$C74)+COUNTIF(⑬計量工程入力!$V$6:$V$65,$C74)+COUNTIF(⑬計量工程入力!$W$6:$W$65,$C74)+COUNTIF(⑭手動工程入力!$R$6:$R$47,$C74)+COUNTIF(⑭手動工程入力!$S$6:$S$47,$C74)+COUNTIF(⑭手動工程入力!$T$6:$T$47,$C74)+COUNTIF(⑭手動工程入力!$U$6:$U$47,$C74)+COUNTIF(⑭手動工程入力!$V$6:$V$47,$C74)+COUNTIF(⑭手動工程入力!$W$6:$W$47,$C74)</f>
        <v/>
      </c>
      <c r="Q74" s="392" t="inlineStr">
        <is>
          <t>⑩盛付梱包 68行目に入力欄を作成（工程記録なし）</t>
        </is>
      </c>
      <c r="R74" s="393" t="n"/>
      <c r="S74" s="393" t="n"/>
      <c r="T74" s="393" t="n"/>
      <c r="U74" s="393" t="n"/>
      <c r="V74" s="605">
        <f>IFERROR(INDEX(KIT別作業時間!$D$4:$D$27,MATCH(SUBSTITUTE(SUBSTITUTE(SUBSTITUTE(SUBSTITUTE(SUBSTITUTE(SUBSTITUTE(SUBSTITUTE(SUBSTITUTE(SUBSTITUTE(SUBSTITUTE(ASC($C74),"①","1"),"②","2"),"③","3"),"④","4"),"⑤","5"),"⑥","6"),"⑦","7"),"⑧","8"),"⑨","9")," ",""),KIT別作業時間!$C$4:$C$27,0)),"")</f>
        <v/>
      </c>
      <c r="W74" s="393">
        <f>IF(AND(ISNUMBER($I74),$I74&gt;0),$I74,IF(ISNUMBER($V74),$V74,IF(ISNUMBER($R74),$R74,"")))</f>
        <v/>
      </c>
      <c r="X74" s="393">
        <f>IF(AND(ISNUMBER($I74),$I74&gt;0),"今回の工程実績",IF(ISNUMBER($V74),"KIT作業時間",IF(ISNUMBER($R74),"前回資料","")))</f>
        <v/>
      </c>
      <c r="Y74" s="398" t="n">
        <v>560</v>
      </c>
      <c r="Z74" s="398">
        <f>IF(AND(ISNUMBER($W74),ISNUMBER($Y74)),$W74*$Y74,"")</f>
        <v/>
      </c>
      <c r="AA74" s="393" t="n"/>
    </row>
    <row r="75">
      <c r="A75" s="392" t="n">
        <v>71</v>
      </c>
      <c r="B75" s="392" t="n"/>
      <c r="C75" s="392" t="inlineStr">
        <is>
          <t>国産フライドチキンＫＩＴ</t>
        </is>
      </c>
      <c r="D75" s="398">
        <f>SUMIF(⑩盛付梱包工程入力!$R$5:$R$300,$C75,⑩盛付梱包工程入力!$AC$5:$AC$300)+SUMIF(⑩盛付梱包工程入力!$S$5:$S$300,$C75,⑩盛付梱包工程入力!$AC$5:$AC$300)+SUMIF(⑩盛付梱包工程入力!$T$5:$T$300,$C75,⑩盛付梱包工程入力!$AC$5:$AC$300)+SUMIF(⑩盛付梱包工程入力!$U$5:$U$300,$C75,⑩盛付梱包工程入力!$AC$5:$AC$300)+SUMIF(⑩盛付梱包工程入力!$V$5:$V$300,$C75,⑩盛付梱包工程入力!$AC$5:$AC$300)+SUMIF(⑩盛付梱包工程入力!$W$5:$W$300,$C75,⑩盛付梱包工程入力!$AC$5:$AC$300)</f>
        <v/>
      </c>
      <c r="E75" s="398" t="n">
        <v>12</v>
      </c>
      <c r="F75" s="398">
        <f>IF(N($E75)&gt;0,$E75,$D75)</f>
        <v/>
      </c>
      <c r="G75" s="393" t="n">
        <v>229.0357941834452</v>
      </c>
      <c r="H75" s="393">
        <f>SUMIF(②釜工程入力!$R$5:$R$117,$C75,②釜工程入力!$AD$5:$AD$117)+SUMIF(②釜工程入力!$S$5:$S$117,$C75,②釜工程入力!$AE$5:$AE$117)+SUMIF(②釜工程入力!$T$5:$T$117,$C75,②釜工程入力!$AF$5:$AF$117)+SUMIF(②釜工程入力!$U$5:$U$117,$C75,②釜工程入力!$AG$5:$AG$117)+SUMIF(②釜工程入力!$V$5:$V$117,$C75,②釜工程入力!$AH$5:$AH$117)+SUMIF(②釜工程入力!$W$5:$W$117,$C75,②釜工程入力!$AI$5:$AI$117)+SUMIF(③スチコン工程入力!$R$5:$R$152,$C75,③スチコン工程入力!$AD$5:$AD$152)+SUMIF(③スチコン工程入力!$S$5:$S$152,$C75,③スチコン工程入力!$AE$5:$AE$152)+SUMIF(③スチコン工程入力!$T$5:$T$152,$C75,③スチコン工程入力!$AF$5:$AF$152)+SUMIF(③スチコン工程入力!$U$5:$U$152,$C75,③スチコン工程入力!$AG$5:$AG$152)+SUMIF(③スチコン工程入力!$V$5:$V$152,$C75,③スチコン工程入力!$AH$5:$AH$152)+SUMIF(③スチコン工程入力!$W$5:$W$152,$C75,③スチコン工程入力!$AI$5:$AI$152)+SUMIF(⑩盛付梱包工程入力!$R$5:$R$300,$C75,⑩盛付梱包工程入力!$AD$5:$AD$300)+SUMIF(⑩盛付梱包工程入力!$S$5:$S$300,$C75,⑩盛付梱包工程入力!$AE$5:$AE$300)+SUMIF(⑩盛付梱包工程入力!$T$5:$T$300,$C75,⑩盛付梱包工程入力!$AF$5:$AF$300)+SUMIF(⑩盛付梱包工程入力!$U$5:$U$300,$C75,⑩盛付梱包工程入力!$AG$5:$AG$300)+SUMIF(⑩盛付梱包工程入力!$V$5:$V$300,$C75,⑩盛付梱包工程入力!$AH$5:$AH$300)+SUMIF(⑩盛付梱包工程入力!$W$5:$W$300,$C75,⑩盛付梱包工程入力!$AI$5:$AI$300)+SUMIF(⑪ZEN工程入力!$R$6:$R$35,$C75,⑪ZEN工程入力!$AD$6:$AD$35)+SUMIF(⑪ZEN工程入力!$S$6:$S$35,$C75,⑪ZEN工程入力!$AE$6:$AE$35)+SUMIF(⑪ZEN工程入力!$T$6:$T$35,$C75,⑪ZEN工程入力!$AF$6:$AF$35)+SUMIF(⑪ZEN工程入力!$U$6:$U$35,$C75,⑪ZEN工程入力!$AG$6:$AG$35)+SUMIF(⑪ZEN工程入力!$V$6:$V$35,$C75,⑪ZEN工程入力!$AH$6:$AH$35)+SUMIF(⑪ZEN工程入力!$W$6:$W$35,$C75,⑪ZEN工程入力!$AI$6:$AI$35)+SUMIF(⑫ミキサー工程入力!$R$6:$R$65,$C75,⑫ミキサー工程入力!$AD$6:$AD$65)+SUMIF(⑫ミキサー工程入力!$S$6:$S$65,$C75,⑫ミキサー工程入力!$AE$6:$AE$65)+SUMIF(⑫ミキサー工程入力!$T$6:$T$65,$C75,⑫ミキサー工程入力!$AF$6:$AF$65)+SUMIF(⑫ミキサー工程入力!$U$6:$U$65,$C75,⑫ミキサー工程入力!$AG$6:$AG$65)+SUMIF(⑫ミキサー工程入力!$V$6:$V$65,$C75,⑫ミキサー工程入力!$AH$6:$AH$65)+SUMIF(⑫ミキサー工程入力!$W$6:$W$65,$C75,⑫ミキサー工程入力!$AI$6:$AI$65)+SUMIF(⑬計量工程入力!$R$6:$R$65,$C75,⑬計量工程入力!$AD$6:$AD$65)+SUMIF(⑬計量工程入力!$S$6:$S$65,$C75,⑬計量工程入力!$AE$6:$AE$65)+SUMIF(⑬計量工程入力!$T$6:$T$65,$C75,⑬計量工程入力!$AF$6:$AF$65)+SUMIF(⑬計量工程入力!$U$6:$U$65,$C75,⑬計量工程入力!$AG$6:$AG$65)+SUMIF(⑬計量工程入力!$V$6:$V$65,$C75,⑬計量工程入力!$AH$6:$AH$65)+SUMIF(⑬計量工程入力!$W$6:$W$65,$C75,⑬計量工程入力!$AI$6:$AI$65)+SUMIF(⑭手動工程入力!$R$6:$R$47,$C75,⑭手動工程入力!$AD$6:$AD$47)+SUMIF(⑭手動工程入力!$S$6:$S$47,$C75,⑭手動工程入力!$AE$6:$AE$47)+SUMIF(⑭手動工程入力!$T$6:$T$47,$C75,⑭手動工程入力!$AF$6:$AF$47)+SUMIF(⑭手動工程入力!$U$6:$U$47,$C75,⑭手動工程入力!$AG$6:$AG$47)+SUMIF(⑭手動工程入力!$V$6:$V$47,$C75,⑭手動工程入力!$AH$6:$AH$47)+SUMIF(⑭手動工程入力!$W$6:$W$47,$C75,⑭手動工程入力!$AI$6:$AI$47)</f>
        <v/>
      </c>
      <c r="I75" s="393">
        <f>IF($F75&gt;0,$H75/$F75,"")</f>
        <v/>
      </c>
      <c r="J75" s="605">
        <f>IFERROR(INDEX(商品原価!$B$4:$B$112,MATCH(SUBSTITUTE(SUBSTITUTE(SUBSTITUTE(SUBSTITUTE(SUBSTITUTE(SUBSTITUTE(SUBSTITUTE(SUBSTITUTE(SUBSTITUTE(SUBSTITUTE(ASC($C75),"①","1"),"②","2"),"③","3"),"④","4"),"⑤","5"),"⑥","6"),"⑦","7"),"⑧","8"),"⑨","9")," ",""),商品原価!$C$4:$C$112,0)),"")</f>
        <v/>
      </c>
      <c r="K75" s="542">
        <f>IF(ISNUMBER($J75),$J75*④前提設定!$B$21,"")</f>
        <v/>
      </c>
      <c r="L75" s="605">
        <f>IF(AND(NOT(ISNUMBER($J75)),NOT(ISNUMBER($K75))),"",N($J75)+N($K75))</f>
        <v/>
      </c>
      <c r="M75" s="605">
        <f>IFERROR(INDEX(商品原価!$E$4:$E$112,MATCH(SUBSTITUTE(SUBSTITUTE(SUBSTITUTE(SUBSTITUTE(SUBSTITUTE(SUBSTITUTE(SUBSTITUTE(SUBSTITUTE(SUBSTITUTE(SUBSTITUTE(ASC($C75),"①","1"),"②","2"),"③","3"),"④","4"),"⑤","5"),"⑥","6"),"⑦","7"),"⑧","8"),"⑨","9")," ",""),商品原価!$C$4:$C$112,0)),"")</f>
        <v/>
      </c>
      <c r="N75" s="605">
        <f>IF(AND(ISNUMBER($M75),ISNUMBER($L75)),$M75-$L75-N($W75),"")</f>
        <v/>
      </c>
      <c r="O75" s="606">
        <f>IF(AND(ISNUMBER($N75),ISNUMBER($M75),$M75&gt;0),$N75/$M75,"")</f>
        <v/>
      </c>
      <c r="P75" s="398">
        <f>COUNTIF(②釜工程入力!$R$5:$R$117,$C75)+COUNTIF(②釜工程入力!$S$5:$S$117,$C75)+COUNTIF(②釜工程入力!$T$5:$T$117,$C75)+COUNTIF(②釜工程入力!$U$5:$U$117,$C75)+COUNTIF(②釜工程入力!$V$5:$V$117,$C75)+COUNTIF(②釜工程入力!$W$5:$W$117,$C75)+COUNTIF(③スチコン工程入力!$R$5:$R$152,$C75)+COUNTIF(③スチコン工程入力!$S$5:$S$152,$C75)+COUNTIF(③スチコン工程入力!$T$5:$T$152,$C75)+COUNTIF(③スチコン工程入力!$U$5:$U$152,$C75)+COUNTIF(③スチコン工程入力!$V$5:$V$152,$C75)+COUNTIF(③スチコン工程入力!$W$5:$W$152,$C75)+COUNTIF(⑩盛付梱包工程入力!$R$5:$R$300,$C75)+COUNTIF(⑩盛付梱包工程入力!$S$5:$S$300,$C75)+COUNTIF(⑩盛付梱包工程入力!$T$5:$T$300,$C75)+COUNTIF(⑩盛付梱包工程入力!$U$5:$U$300,$C75)+COUNTIF(⑩盛付梱包工程入力!$V$5:$V$300,$C75)+COUNTIF(⑩盛付梱包工程入力!$W$5:$W$300,$C75)+COUNTIF(⑪ZEN工程入力!$R$6:$R$35,$C75)+COUNTIF(⑪ZEN工程入力!$S$6:$S$35,$C75)+COUNTIF(⑪ZEN工程入力!$T$6:$T$35,$C75)+COUNTIF(⑪ZEN工程入力!$U$6:$U$35,$C75)+COUNTIF(⑪ZEN工程入力!$V$6:$V$35,$C75)+COUNTIF(⑪ZEN工程入力!$W$6:$W$35,$C75)+COUNTIF(⑫ミキサー工程入力!$R$6:$R$65,$C75)+COUNTIF(⑫ミキサー工程入力!$S$6:$S$65,$C75)+COUNTIF(⑫ミキサー工程入力!$T$6:$T$65,$C75)+COUNTIF(⑫ミキサー工程入力!$U$6:$U$65,$C75)+COUNTIF(⑫ミキサー工程入力!$V$6:$V$65,$C75)+COUNTIF(⑫ミキサー工程入力!$W$6:$W$65,$C75)+COUNTIF(⑬計量工程入力!$R$6:$R$65,$C75)+COUNTIF(⑬計量工程入力!$S$6:$S$65,$C75)+COUNTIF(⑬計量工程入力!$T$6:$T$65,$C75)+COUNTIF(⑬計量工程入力!$U$6:$U$65,$C75)+COUNTIF(⑬計量工程入力!$V$6:$V$65,$C75)+COUNTIF(⑬計量工程入力!$W$6:$W$65,$C75)+COUNTIF(⑭手動工程入力!$R$6:$R$47,$C75)+COUNTIF(⑭手動工程入力!$S$6:$S$47,$C75)+COUNTIF(⑭手動工程入力!$T$6:$T$47,$C75)+COUNTIF(⑭手動工程入力!$U$6:$U$47,$C75)+COUNTIF(⑭手動工程入力!$V$6:$V$47,$C75)+COUNTIF(⑭手動工程入力!$W$6:$W$47,$C75)</f>
        <v/>
      </c>
      <c r="Q75" s="392" t="inlineStr">
        <is>
          <t>⑩盛付梱包 67行目に入力欄を作成（工程記録なし）</t>
        </is>
      </c>
      <c r="R75" s="393" t="n"/>
      <c r="S75" s="393" t="n"/>
      <c r="T75" s="393" t="n"/>
      <c r="U75" s="393" t="n"/>
      <c r="V75" s="605">
        <f>IFERROR(INDEX(KIT別作業時間!$D$4:$D$27,MATCH(SUBSTITUTE(SUBSTITUTE(SUBSTITUTE(SUBSTITUTE(SUBSTITUTE(SUBSTITUTE(SUBSTITUTE(SUBSTITUTE(SUBSTITUTE(SUBSTITUTE(ASC($C75),"①","1"),"②","2"),"③","3"),"④","4"),"⑤","5"),"⑥","6"),"⑦","7"),"⑧","8"),"⑨","9")," ",""),KIT別作業時間!$C$4:$C$27,0)),"")</f>
        <v/>
      </c>
      <c r="W75" s="393">
        <f>IF(AND(ISNUMBER($I75),$I75&gt;0),$I75,IF(ISNUMBER($V75),$V75,IF(ISNUMBER($R75),$R75,"")))</f>
        <v/>
      </c>
      <c r="X75" s="393">
        <f>IF(AND(ISNUMBER($I75),$I75&gt;0),"今回の工程実績",IF(ISNUMBER($V75),"KIT作業時間",IF(ISNUMBER($R75),"前回資料","")))</f>
        <v/>
      </c>
      <c r="Y75" s="398" t="n">
        <v>541</v>
      </c>
      <c r="Z75" s="398">
        <f>IF(AND(ISNUMBER($W75),ISNUMBER($Y75)),$W75*$Y75,"")</f>
        <v/>
      </c>
      <c r="AA75" s="393" t="n"/>
    </row>
    <row r="76">
      <c r="A76" s="392" t="n">
        <v>72</v>
      </c>
      <c r="B76" s="392" t="n"/>
      <c r="C76" s="392" t="inlineStr">
        <is>
          <t>こはく本舗ハンバーグＫＩＴ</t>
        </is>
      </c>
      <c r="D76" s="398">
        <f>SUMIF(⑩盛付梱包工程入力!$R$5:$R$300,$C76,⑩盛付梱包工程入力!$AC$5:$AC$300)+SUMIF(⑩盛付梱包工程入力!$S$5:$S$300,$C76,⑩盛付梱包工程入力!$AC$5:$AC$300)+SUMIF(⑩盛付梱包工程入力!$T$5:$T$300,$C76,⑩盛付梱包工程入力!$AC$5:$AC$300)+SUMIF(⑩盛付梱包工程入力!$U$5:$U$300,$C76,⑩盛付梱包工程入力!$AC$5:$AC$300)+SUMIF(⑩盛付梱包工程入力!$V$5:$V$300,$C76,⑩盛付梱包工程入力!$AC$5:$AC$300)+SUMIF(⑩盛付梱包工程入力!$W$5:$W$300,$C76,⑩盛付梱包工程入力!$AC$5:$AC$300)</f>
        <v/>
      </c>
      <c r="E76" s="398" t="n">
        <v>15</v>
      </c>
      <c r="F76" s="398">
        <f>IF(N($E76)&gt;0,$E76,$D76)</f>
        <v/>
      </c>
      <c r="G76" s="393" t="n">
        <v>266.9437148217636</v>
      </c>
      <c r="H76" s="393">
        <f>SUMIF(②釜工程入力!$R$5:$R$117,$C76,②釜工程入力!$AD$5:$AD$117)+SUMIF(②釜工程入力!$S$5:$S$117,$C76,②釜工程入力!$AE$5:$AE$117)+SUMIF(②釜工程入力!$T$5:$T$117,$C76,②釜工程入力!$AF$5:$AF$117)+SUMIF(②釜工程入力!$U$5:$U$117,$C76,②釜工程入力!$AG$5:$AG$117)+SUMIF(②釜工程入力!$V$5:$V$117,$C76,②釜工程入力!$AH$5:$AH$117)+SUMIF(②釜工程入力!$W$5:$W$117,$C76,②釜工程入力!$AI$5:$AI$117)+SUMIF(③スチコン工程入力!$R$5:$R$152,$C76,③スチコン工程入力!$AD$5:$AD$152)+SUMIF(③スチコン工程入力!$S$5:$S$152,$C76,③スチコン工程入力!$AE$5:$AE$152)+SUMIF(③スチコン工程入力!$T$5:$T$152,$C76,③スチコン工程入力!$AF$5:$AF$152)+SUMIF(③スチコン工程入力!$U$5:$U$152,$C76,③スチコン工程入力!$AG$5:$AG$152)+SUMIF(③スチコン工程入力!$V$5:$V$152,$C76,③スチコン工程入力!$AH$5:$AH$152)+SUMIF(③スチコン工程入力!$W$5:$W$152,$C76,③スチコン工程入力!$AI$5:$AI$152)+SUMIF(⑩盛付梱包工程入力!$R$5:$R$300,$C76,⑩盛付梱包工程入力!$AD$5:$AD$300)+SUMIF(⑩盛付梱包工程入力!$S$5:$S$300,$C76,⑩盛付梱包工程入力!$AE$5:$AE$300)+SUMIF(⑩盛付梱包工程入力!$T$5:$T$300,$C76,⑩盛付梱包工程入力!$AF$5:$AF$300)+SUMIF(⑩盛付梱包工程入力!$U$5:$U$300,$C76,⑩盛付梱包工程入力!$AG$5:$AG$300)+SUMIF(⑩盛付梱包工程入力!$V$5:$V$300,$C76,⑩盛付梱包工程入力!$AH$5:$AH$300)+SUMIF(⑩盛付梱包工程入力!$W$5:$W$300,$C76,⑩盛付梱包工程入力!$AI$5:$AI$300)+SUMIF(⑪ZEN工程入力!$R$6:$R$35,$C76,⑪ZEN工程入力!$AD$6:$AD$35)+SUMIF(⑪ZEN工程入力!$S$6:$S$35,$C76,⑪ZEN工程入力!$AE$6:$AE$35)+SUMIF(⑪ZEN工程入力!$T$6:$T$35,$C76,⑪ZEN工程入力!$AF$6:$AF$35)+SUMIF(⑪ZEN工程入力!$U$6:$U$35,$C76,⑪ZEN工程入力!$AG$6:$AG$35)+SUMIF(⑪ZEN工程入力!$V$6:$V$35,$C76,⑪ZEN工程入力!$AH$6:$AH$35)+SUMIF(⑪ZEN工程入力!$W$6:$W$35,$C76,⑪ZEN工程入力!$AI$6:$AI$35)+SUMIF(⑫ミキサー工程入力!$R$6:$R$65,$C76,⑫ミキサー工程入力!$AD$6:$AD$65)+SUMIF(⑫ミキサー工程入力!$S$6:$S$65,$C76,⑫ミキサー工程入力!$AE$6:$AE$65)+SUMIF(⑫ミキサー工程入力!$T$6:$T$65,$C76,⑫ミキサー工程入力!$AF$6:$AF$65)+SUMIF(⑫ミキサー工程入力!$U$6:$U$65,$C76,⑫ミキサー工程入力!$AG$6:$AG$65)+SUMIF(⑫ミキサー工程入力!$V$6:$V$65,$C76,⑫ミキサー工程入力!$AH$6:$AH$65)+SUMIF(⑫ミキサー工程入力!$W$6:$W$65,$C76,⑫ミキサー工程入力!$AI$6:$AI$65)+SUMIF(⑬計量工程入力!$R$6:$R$65,$C76,⑬計量工程入力!$AD$6:$AD$65)+SUMIF(⑬計量工程入力!$S$6:$S$65,$C76,⑬計量工程入力!$AE$6:$AE$65)+SUMIF(⑬計量工程入力!$T$6:$T$65,$C76,⑬計量工程入力!$AF$6:$AF$65)+SUMIF(⑬計量工程入力!$U$6:$U$65,$C76,⑬計量工程入力!$AG$6:$AG$65)+SUMIF(⑬計量工程入力!$V$6:$V$65,$C76,⑬計量工程入力!$AH$6:$AH$65)+SUMIF(⑬計量工程入力!$W$6:$W$65,$C76,⑬計量工程入力!$AI$6:$AI$65)+SUMIF(⑭手動工程入力!$R$6:$R$47,$C76,⑭手動工程入力!$AD$6:$AD$47)+SUMIF(⑭手動工程入力!$S$6:$S$47,$C76,⑭手動工程入力!$AE$6:$AE$47)+SUMIF(⑭手動工程入力!$T$6:$T$47,$C76,⑭手動工程入力!$AF$6:$AF$47)+SUMIF(⑭手動工程入力!$U$6:$U$47,$C76,⑭手動工程入力!$AG$6:$AG$47)+SUMIF(⑭手動工程入力!$V$6:$V$47,$C76,⑭手動工程入力!$AH$6:$AH$47)+SUMIF(⑭手動工程入力!$W$6:$W$47,$C76,⑭手動工程入力!$AI$6:$AI$47)</f>
        <v/>
      </c>
      <c r="I76" s="393">
        <f>IF($F76&gt;0,$H76/$F76,"")</f>
        <v/>
      </c>
      <c r="J76" s="605">
        <f>IFERROR(INDEX(商品原価!$B$4:$B$112,MATCH(SUBSTITUTE(SUBSTITUTE(SUBSTITUTE(SUBSTITUTE(SUBSTITUTE(SUBSTITUTE(SUBSTITUTE(SUBSTITUTE(SUBSTITUTE(SUBSTITUTE(ASC($C76),"①","1"),"②","2"),"③","3"),"④","4"),"⑤","5"),"⑥","6"),"⑦","7"),"⑧","8"),"⑨","9")," ",""),商品原価!$C$4:$C$112,0)),"")</f>
        <v/>
      </c>
      <c r="K76" s="542">
        <f>IF(ISNUMBER($J76),$J76*④前提設定!$B$21,"")</f>
        <v/>
      </c>
      <c r="L76" s="605">
        <f>IF(AND(NOT(ISNUMBER($J76)),NOT(ISNUMBER($K76))),"",N($J76)+N($K76))</f>
        <v/>
      </c>
      <c r="M76" s="605">
        <f>IFERROR(INDEX(商品原価!$E$4:$E$112,MATCH(SUBSTITUTE(SUBSTITUTE(SUBSTITUTE(SUBSTITUTE(SUBSTITUTE(SUBSTITUTE(SUBSTITUTE(SUBSTITUTE(SUBSTITUTE(SUBSTITUTE(ASC($C76),"①","1"),"②","2"),"③","3"),"④","4"),"⑤","5"),"⑥","6"),"⑦","7"),"⑧","8"),"⑨","9")," ",""),商品原価!$C$4:$C$112,0)),"")</f>
        <v/>
      </c>
      <c r="N76" s="605">
        <f>IF(AND(ISNUMBER($M76),ISNUMBER($L76)),$M76-$L76-N($W76),"")</f>
        <v/>
      </c>
      <c r="O76" s="606">
        <f>IF(AND(ISNUMBER($N76),ISNUMBER($M76),$M76&gt;0),$N76/$M76,"")</f>
        <v/>
      </c>
      <c r="P76" s="398">
        <f>COUNTIF(②釜工程入力!$R$5:$R$117,$C76)+COUNTIF(②釜工程入力!$S$5:$S$117,$C76)+COUNTIF(②釜工程入力!$T$5:$T$117,$C76)+COUNTIF(②釜工程入力!$U$5:$U$117,$C76)+COUNTIF(②釜工程入力!$V$5:$V$117,$C76)+COUNTIF(②釜工程入力!$W$5:$W$117,$C76)+COUNTIF(③スチコン工程入力!$R$5:$R$152,$C76)+COUNTIF(③スチコン工程入力!$S$5:$S$152,$C76)+COUNTIF(③スチコン工程入力!$T$5:$T$152,$C76)+COUNTIF(③スチコン工程入力!$U$5:$U$152,$C76)+COUNTIF(③スチコン工程入力!$V$5:$V$152,$C76)+COUNTIF(③スチコン工程入力!$W$5:$W$152,$C76)+COUNTIF(⑩盛付梱包工程入力!$R$5:$R$300,$C76)+COUNTIF(⑩盛付梱包工程入力!$S$5:$S$300,$C76)+COUNTIF(⑩盛付梱包工程入力!$T$5:$T$300,$C76)+COUNTIF(⑩盛付梱包工程入力!$U$5:$U$300,$C76)+COUNTIF(⑩盛付梱包工程入力!$V$5:$V$300,$C76)+COUNTIF(⑩盛付梱包工程入力!$W$5:$W$300,$C76)+COUNTIF(⑪ZEN工程入力!$R$6:$R$35,$C76)+COUNTIF(⑪ZEN工程入力!$S$6:$S$35,$C76)+COUNTIF(⑪ZEN工程入力!$T$6:$T$35,$C76)+COUNTIF(⑪ZEN工程入力!$U$6:$U$35,$C76)+COUNTIF(⑪ZEN工程入力!$V$6:$V$35,$C76)+COUNTIF(⑪ZEN工程入力!$W$6:$W$35,$C76)+COUNTIF(⑫ミキサー工程入力!$R$6:$R$65,$C76)+COUNTIF(⑫ミキサー工程入力!$S$6:$S$65,$C76)+COUNTIF(⑫ミキサー工程入力!$T$6:$T$65,$C76)+COUNTIF(⑫ミキサー工程入力!$U$6:$U$65,$C76)+COUNTIF(⑫ミキサー工程入力!$V$6:$V$65,$C76)+COUNTIF(⑫ミキサー工程入力!$W$6:$W$65,$C76)+COUNTIF(⑬計量工程入力!$R$6:$R$65,$C76)+COUNTIF(⑬計量工程入力!$S$6:$S$65,$C76)+COUNTIF(⑬計量工程入力!$T$6:$T$65,$C76)+COUNTIF(⑬計量工程入力!$U$6:$U$65,$C76)+COUNTIF(⑬計量工程入力!$V$6:$V$65,$C76)+COUNTIF(⑬計量工程入力!$W$6:$W$65,$C76)+COUNTIF(⑭手動工程入力!$R$6:$R$47,$C76)+COUNTIF(⑭手動工程入力!$S$6:$S$47,$C76)+COUNTIF(⑭手動工程入力!$T$6:$T$47,$C76)+COUNTIF(⑭手動工程入力!$U$6:$U$47,$C76)+COUNTIF(⑭手動工程入力!$V$6:$V$47,$C76)+COUNTIF(⑭手動工程入力!$W$6:$W$47,$C76)</f>
        <v/>
      </c>
      <c r="Q76" s="392" t="inlineStr">
        <is>
          <t>⑩盛付梱包 65行目に入力欄を作成（工程記録なし）</t>
        </is>
      </c>
      <c r="R76" s="393" t="n"/>
      <c r="S76" s="393" t="n"/>
      <c r="T76" s="393" t="n"/>
      <c r="U76" s="393" t="n"/>
      <c r="V76" s="605">
        <f>IFERROR(INDEX(KIT別作業時間!$D$4:$D$27,MATCH(SUBSTITUTE(SUBSTITUTE(SUBSTITUTE(SUBSTITUTE(SUBSTITUTE(SUBSTITUTE(SUBSTITUTE(SUBSTITUTE(SUBSTITUTE(SUBSTITUTE(ASC($C76),"①","1"),"②","2"),"③","3"),"④","4"),"⑤","5"),"⑥","6"),"⑦","7"),"⑧","8"),"⑨","9")," ",""),KIT別作業時間!$C$4:$C$27,0)),"")</f>
        <v/>
      </c>
      <c r="W76" s="393">
        <f>IF(AND(ISNUMBER($I76),$I76&gt;0),$I76,IF(ISNUMBER($V76),$V76,IF(ISNUMBER($R76),$R76,"")))</f>
        <v/>
      </c>
      <c r="X76" s="393">
        <f>IF(AND(ISNUMBER($I76),$I76&gt;0),"今回の工程実績",IF(ISNUMBER($V76),"KIT作業時間",IF(ISNUMBER($R76),"前回資料","")))</f>
        <v/>
      </c>
      <c r="Y76" s="398" t="n">
        <v>405</v>
      </c>
      <c r="Z76" s="398">
        <f>IF(AND(ISNUMBER($W76),ISNUMBER($Y76)),$W76*$Y76,"")</f>
        <v/>
      </c>
      <c r="AA76" s="393" t="n"/>
    </row>
    <row r="77">
      <c r="A77" s="392" t="n">
        <v>73</v>
      </c>
      <c r="B77" s="392" t="n"/>
      <c r="C77" s="392" t="inlineStr">
        <is>
          <t>鶏皮唐揚げＫＩＴ</t>
        </is>
      </c>
      <c r="D77" s="398">
        <f>SUMIF(⑩盛付梱包工程入力!$R$5:$R$300,$C77,⑩盛付梱包工程入力!$AC$5:$AC$300)+SUMIF(⑩盛付梱包工程入力!$S$5:$S$300,$C77,⑩盛付梱包工程入力!$AC$5:$AC$300)+SUMIF(⑩盛付梱包工程入力!$T$5:$T$300,$C77,⑩盛付梱包工程入力!$AC$5:$AC$300)+SUMIF(⑩盛付梱包工程入力!$U$5:$U$300,$C77,⑩盛付梱包工程入力!$AC$5:$AC$300)+SUMIF(⑩盛付梱包工程入力!$V$5:$V$300,$C77,⑩盛付梱包工程入力!$AC$5:$AC$300)+SUMIF(⑩盛付梱包工程入力!$W$5:$W$300,$C77,⑩盛付梱包工程入力!$AC$5:$AC$300)</f>
        <v/>
      </c>
      <c r="E77" s="398" t="n">
        <v>43</v>
      </c>
      <c r="F77" s="398">
        <f>IF(N($E77)&gt;0,$E77,$D77)</f>
        <v/>
      </c>
      <c r="G77" s="393" t="n">
        <v>84</v>
      </c>
      <c r="H77" s="393">
        <f>SUMIF(②釜工程入力!$R$5:$R$117,$C77,②釜工程入力!$AD$5:$AD$117)+SUMIF(②釜工程入力!$S$5:$S$117,$C77,②釜工程入力!$AE$5:$AE$117)+SUMIF(②釜工程入力!$T$5:$T$117,$C77,②釜工程入力!$AF$5:$AF$117)+SUMIF(②釜工程入力!$U$5:$U$117,$C77,②釜工程入力!$AG$5:$AG$117)+SUMIF(②釜工程入力!$V$5:$V$117,$C77,②釜工程入力!$AH$5:$AH$117)+SUMIF(②釜工程入力!$W$5:$W$117,$C77,②釜工程入力!$AI$5:$AI$117)+SUMIF(③スチコン工程入力!$R$5:$R$152,$C77,③スチコン工程入力!$AD$5:$AD$152)+SUMIF(③スチコン工程入力!$S$5:$S$152,$C77,③スチコン工程入力!$AE$5:$AE$152)+SUMIF(③スチコン工程入力!$T$5:$T$152,$C77,③スチコン工程入力!$AF$5:$AF$152)+SUMIF(③スチコン工程入力!$U$5:$U$152,$C77,③スチコン工程入力!$AG$5:$AG$152)+SUMIF(③スチコン工程入力!$V$5:$V$152,$C77,③スチコン工程入力!$AH$5:$AH$152)+SUMIF(③スチコン工程入力!$W$5:$W$152,$C77,③スチコン工程入力!$AI$5:$AI$152)+SUMIF(⑩盛付梱包工程入力!$R$5:$R$300,$C77,⑩盛付梱包工程入力!$AD$5:$AD$300)+SUMIF(⑩盛付梱包工程入力!$S$5:$S$300,$C77,⑩盛付梱包工程入力!$AE$5:$AE$300)+SUMIF(⑩盛付梱包工程入力!$T$5:$T$300,$C77,⑩盛付梱包工程入力!$AF$5:$AF$300)+SUMIF(⑩盛付梱包工程入力!$U$5:$U$300,$C77,⑩盛付梱包工程入力!$AG$5:$AG$300)+SUMIF(⑩盛付梱包工程入力!$V$5:$V$300,$C77,⑩盛付梱包工程入力!$AH$5:$AH$300)+SUMIF(⑩盛付梱包工程入力!$W$5:$W$300,$C77,⑩盛付梱包工程入力!$AI$5:$AI$300)+SUMIF(⑪ZEN工程入力!$R$6:$R$35,$C77,⑪ZEN工程入力!$AD$6:$AD$35)+SUMIF(⑪ZEN工程入力!$S$6:$S$35,$C77,⑪ZEN工程入力!$AE$6:$AE$35)+SUMIF(⑪ZEN工程入力!$T$6:$T$35,$C77,⑪ZEN工程入力!$AF$6:$AF$35)+SUMIF(⑪ZEN工程入力!$U$6:$U$35,$C77,⑪ZEN工程入力!$AG$6:$AG$35)+SUMIF(⑪ZEN工程入力!$V$6:$V$35,$C77,⑪ZEN工程入力!$AH$6:$AH$35)+SUMIF(⑪ZEN工程入力!$W$6:$W$35,$C77,⑪ZEN工程入力!$AI$6:$AI$35)+SUMIF(⑫ミキサー工程入力!$R$6:$R$65,$C77,⑫ミキサー工程入力!$AD$6:$AD$65)+SUMIF(⑫ミキサー工程入力!$S$6:$S$65,$C77,⑫ミキサー工程入力!$AE$6:$AE$65)+SUMIF(⑫ミキサー工程入力!$T$6:$T$65,$C77,⑫ミキサー工程入力!$AF$6:$AF$65)+SUMIF(⑫ミキサー工程入力!$U$6:$U$65,$C77,⑫ミキサー工程入力!$AG$6:$AG$65)+SUMIF(⑫ミキサー工程入力!$V$6:$V$65,$C77,⑫ミキサー工程入力!$AH$6:$AH$65)+SUMIF(⑫ミキサー工程入力!$W$6:$W$65,$C77,⑫ミキサー工程入力!$AI$6:$AI$65)+SUMIF(⑬計量工程入力!$R$6:$R$65,$C77,⑬計量工程入力!$AD$6:$AD$65)+SUMIF(⑬計量工程入力!$S$6:$S$65,$C77,⑬計量工程入力!$AE$6:$AE$65)+SUMIF(⑬計量工程入力!$T$6:$T$65,$C77,⑬計量工程入力!$AF$6:$AF$65)+SUMIF(⑬計量工程入力!$U$6:$U$65,$C77,⑬計量工程入力!$AG$6:$AG$65)+SUMIF(⑬計量工程入力!$V$6:$V$65,$C77,⑬計量工程入力!$AH$6:$AH$65)+SUMIF(⑬計量工程入力!$W$6:$W$65,$C77,⑬計量工程入力!$AI$6:$AI$65)+SUMIF(⑭手動工程入力!$R$6:$R$47,$C77,⑭手動工程入力!$AD$6:$AD$47)+SUMIF(⑭手動工程入力!$S$6:$S$47,$C77,⑭手動工程入力!$AE$6:$AE$47)+SUMIF(⑭手動工程入力!$T$6:$T$47,$C77,⑭手動工程入力!$AF$6:$AF$47)+SUMIF(⑭手動工程入力!$U$6:$U$47,$C77,⑭手動工程入力!$AG$6:$AG$47)+SUMIF(⑭手動工程入力!$V$6:$V$47,$C77,⑭手動工程入力!$AH$6:$AH$47)+SUMIF(⑭手動工程入力!$W$6:$W$47,$C77,⑭手動工程入力!$AI$6:$AI$47)</f>
        <v/>
      </c>
      <c r="I77" s="393">
        <f>IF($F77&gt;0,$H77/$F77,"")</f>
        <v/>
      </c>
      <c r="J77" s="605">
        <f>IFERROR(INDEX(商品原価!$B$4:$B$112,MATCH(SUBSTITUTE(SUBSTITUTE(SUBSTITUTE(SUBSTITUTE(SUBSTITUTE(SUBSTITUTE(SUBSTITUTE(SUBSTITUTE(SUBSTITUTE(SUBSTITUTE(ASC($C77),"①","1"),"②","2"),"③","3"),"④","4"),"⑤","5"),"⑥","6"),"⑦","7"),"⑧","8"),"⑨","9")," ",""),商品原価!$C$4:$C$112,0)),"")</f>
        <v/>
      </c>
      <c r="K77" s="542">
        <f>IF(ISNUMBER($J77),$J77*④前提設定!$B$21,"")</f>
        <v/>
      </c>
      <c r="L77" s="605">
        <f>IF(AND(NOT(ISNUMBER($J77)),NOT(ISNUMBER($K77))),"",N($J77)+N($K77))</f>
        <v/>
      </c>
      <c r="M77" s="605">
        <f>IFERROR(INDEX(商品原価!$E$4:$E$112,MATCH(SUBSTITUTE(SUBSTITUTE(SUBSTITUTE(SUBSTITUTE(SUBSTITUTE(SUBSTITUTE(SUBSTITUTE(SUBSTITUTE(SUBSTITUTE(SUBSTITUTE(ASC($C77),"①","1"),"②","2"),"③","3"),"④","4"),"⑤","5"),"⑥","6"),"⑦","7"),"⑧","8"),"⑨","9")," ",""),商品原価!$C$4:$C$112,0)),"")</f>
        <v/>
      </c>
      <c r="N77" s="605">
        <f>IF(AND(ISNUMBER($M77),ISNUMBER($L77)),$M77-$L77-N($W77),"")</f>
        <v/>
      </c>
      <c r="O77" s="606">
        <f>IF(AND(ISNUMBER($N77),ISNUMBER($M77),$M77&gt;0),$N77/$M77,"")</f>
        <v/>
      </c>
      <c r="P77" s="398">
        <f>COUNTIF(②釜工程入力!$R$5:$R$117,$C77)+COUNTIF(②釜工程入力!$S$5:$S$117,$C77)+COUNTIF(②釜工程入力!$T$5:$T$117,$C77)+COUNTIF(②釜工程入力!$U$5:$U$117,$C77)+COUNTIF(②釜工程入力!$V$5:$V$117,$C77)+COUNTIF(②釜工程入力!$W$5:$W$117,$C77)+COUNTIF(③スチコン工程入力!$R$5:$R$152,$C77)+COUNTIF(③スチコン工程入力!$S$5:$S$152,$C77)+COUNTIF(③スチコン工程入力!$T$5:$T$152,$C77)+COUNTIF(③スチコン工程入力!$U$5:$U$152,$C77)+COUNTIF(③スチコン工程入力!$V$5:$V$152,$C77)+COUNTIF(③スチコン工程入力!$W$5:$W$152,$C77)+COUNTIF(⑩盛付梱包工程入力!$R$5:$R$300,$C77)+COUNTIF(⑩盛付梱包工程入力!$S$5:$S$300,$C77)+COUNTIF(⑩盛付梱包工程入力!$T$5:$T$300,$C77)+COUNTIF(⑩盛付梱包工程入力!$U$5:$U$300,$C77)+COUNTIF(⑩盛付梱包工程入力!$V$5:$V$300,$C77)+COUNTIF(⑩盛付梱包工程入力!$W$5:$W$300,$C77)+COUNTIF(⑪ZEN工程入力!$R$6:$R$35,$C77)+COUNTIF(⑪ZEN工程入力!$S$6:$S$35,$C77)+COUNTIF(⑪ZEN工程入力!$T$6:$T$35,$C77)+COUNTIF(⑪ZEN工程入力!$U$6:$U$35,$C77)+COUNTIF(⑪ZEN工程入力!$V$6:$V$35,$C77)+COUNTIF(⑪ZEN工程入力!$W$6:$W$35,$C77)+COUNTIF(⑫ミキサー工程入力!$R$6:$R$65,$C77)+COUNTIF(⑫ミキサー工程入力!$S$6:$S$65,$C77)+COUNTIF(⑫ミキサー工程入力!$T$6:$T$65,$C77)+COUNTIF(⑫ミキサー工程入力!$U$6:$U$65,$C77)+COUNTIF(⑫ミキサー工程入力!$V$6:$V$65,$C77)+COUNTIF(⑫ミキサー工程入力!$W$6:$W$65,$C77)+COUNTIF(⑬計量工程入力!$R$6:$R$65,$C77)+COUNTIF(⑬計量工程入力!$S$6:$S$65,$C77)+COUNTIF(⑬計量工程入力!$T$6:$T$65,$C77)+COUNTIF(⑬計量工程入力!$U$6:$U$65,$C77)+COUNTIF(⑬計量工程入力!$V$6:$V$65,$C77)+COUNTIF(⑬計量工程入力!$W$6:$W$65,$C77)+COUNTIF(⑭手動工程入力!$R$6:$R$47,$C77)+COUNTIF(⑭手動工程入力!$S$6:$S$47,$C77)+COUNTIF(⑭手動工程入力!$T$6:$T$47,$C77)+COUNTIF(⑭手動工程入力!$U$6:$U$47,$C77)+COUNTIF(⑭手動工程入力!$V$6:$V$47,$C77)+COUNTIF(⑭手動工程入力!$W$6:$W$47,$C77)</f>
        <v/>
      </c>
      <c r="Q77" s="392" t="inlineStr">
        <is>
          <t>⑩盛付梱包 54行目に入力欄を作成（工程記録なし）</t>
        </is>
      </c>
      <c r="R77" s="393" t="n"/>
      <c r="S77" s="393" t="n"/>
      <c r="T77" s="393" t="n"/>
      <c r="U77" s="393" t="n"/>
      <c r="V77" s="605">
        <f>IFERROR(INDEX(KIT別作業時間!$D$4:$D$27,MATCH(SUBSTITUTE(SUBSTITUTE(SUBSTITUTE(SUBSTITUTE(SUBSTITUTE(SUBSTITUTE(SUBSTITUTE(SUBSTITUTE(SUBSTITUTE(SUBSTITUTE(ASC($C77),"①","1"),"②","2"),"③","3"),"④","4"),"⑤","5"),"⑥","6"),"⑦","7"),"⑧","8"),"⑨","9")," ",""),KIT別作業時間!$C$4:$C$27,0)),"")</f>
        <v/>
      </c>
      <c r="W77" s="393">
        <f>IF(AND(ISNUMBER($I77),$I77&gt;0),$I77,IF(ISNUMBER($V77),$V77,IF(ISNUMBER($R77),$R77,"")))</f>
        <v/>
      </c>
      <c r="X77" s="393">
        <f>IF(AND(ISNUMBER($I77),$I77&gt;0),"今回の工程実績",IF(ISNUMBER($V77),"KIT作業時間",IF(ISNUMBER($R77),"前回資料","")))</f>
        <v/>
      </c>
      <c r="Y77" s="398" t="n">
        <v>835</v>
      </c>
      <c r="Z77" s="398">
        <f>IF(AND(ISNUMBER($W77),ISNUMBER($Y77)),$W77*$Y77,"")</f>
        <v/>
      </c>
      <c r="AA77" s="393" t="n"/>
    </row>
    <row r="78">
      <c r="A78" s="392" t="n">
        <v>74</v>
      </c>
      <c r="B78" s="392" t="n"/>
      <c r="C78" s="392" t="inlineStr">
        <is>
          <t>賑わいフルーツみるくプリン</t>
        </is>
      </c>
      <c r="D78" s="398">
        <f>SUMIF(⑩盛付梱包工程入力!$R$5:$R$300,$C78,⑩盛付梱包工程入力!$AC$5:$AC$300)+SUMIF(⑩盛付梱包工程入力!$S$5:$S$300,$C78,⑩盛付梱包工程入力!$AC$5:$AC$300)+SUMIF(⑩盛付梱包工程入力!$T$5:$T$300,$C78,⑩盛付梱包工程入力!$AC$5:$AC$300)+SUMIF(⑩盛付梱包工程入力!$U$5:$U$300,$C78,⑩盛付梱包工程入力!$AC$5:$AC$300)+SUMIF(⑩盛付梱包工程入力!$V$5:$V$300,$C78,⑩盛付梱包工程入力!$AC$5:$AC$300)+SUMIF(⑩盛付梱包工程入力!$W$5:$W$300,$C78,⑩盛付梱包工程入力!$AC$5:$AC$300)</f>
        <v/>
      </c>
      <c r="E78" s="398" t="n"/>
      <c r="F78" s="398">
        <f>IF(N($E78)&gt;0,$E78,$D78)</f>
        <v/>
      </c>
      <c r="G78" s="398" t="n"/>
      <c r="H78" s="393">
        <f>SUMIF(②釜工程入力!$R$5:$R$117,$C78,②釜工程入力!$AD$5:$AD$117)+SUMIF(②釜工程入力!$S$5:$S$117,$C78,②釜工程入力!$AE$5:$AE$117)+SUMIF(②釜工程入力!$T$5:$T$117,$C78,②釜工程入力!$AF$5:$AF$117)+SUMIF(②釜工程入力!$U$5:$U$117,$C78,②釜工程入力!$AG$5:$AG$117)+SUMIF(②釜工程入力!$V$5:$V$117,$C78,②釜工程入力!$AH$5:$AH$117)+SUMIF(②釜工程入力!$W$5:$W$117,$C78,②釜工程入力!$AI$5:$AI$117)+SUMIF(③スチコン工程入力!$R$5:$R$152,$C78,③スチコン工程入力!$AD$5:$AD$152)+SUMIF(③スチコン工程入力!$S$5:$S$152,$C78,③スチコン工程入力!$AE$5:$AE$152)+SUMIF(③スチコン工程入力!$T$5:$T$152,$C78,③スチコン工程入力!$AF$5:$AF$152)+SUMIF(③スチコン工程入力!$U$5:$U$152,$C78,③スチコン工程入力!$AG$5:$AG$152)+SUMIF(③スチコン工程入力!$V$5:$V$152,$C78,③スチコン工程入力!$AH$5:$AH$152)+SUMIF(③スチコン工程入力!$W$5:$W$152,$C78,③スチコン工程入力!$AI$5:$AI$152)+SUMIF(⑩盛付梱包工程入力!$R$5:$R$300,$C78,⑩盛付梱包工程入力!$AD$5:$AD$300)+SUMIF(⑩盛付梱包工程入力!$S$5:$S$300,$C78,⑩盛付梱包工程入力!$AE$5:$AE$300)+SUMIF(⑩盛付梱包工程入力!$T$5:$T$300,$C78,⑩盛付梱包工程入力!$AF$5:$AF$300)+SUMIF(⑩盛付梱包工程入力!$U$5:$U$300,$C78,⑩盛付梱包工程入力!$AG$5:$AG$300)+SUMIF(⑩盛付梱包工程入力!$V$5:$V$300,$C78,⑩盛付梱包工程入力!$AH$5:$AH$300)+SUMIF(⑩盛付梱包工程入力!$W$5:$W$300,$C78,⑩盛付梱包工程入力!$AI$5:$AI$300)+SUMIF(⑪ZEN工程入力!$R$6:$R$35,$C78,⑪ZEN工程入力!$AD$6:$AD$35)+SUMIF(⑪ZEN工程入力!$S$6:$S$35,$C78,⑪ZEN工程入力!$AE$6:$AE$35)+SUMIF(⑪ZEN工程入力!$T$6:$T$35,$C78,⑪ZEN工程入力!$AF$6:$AF$35)+SUMIF(⑪ZEN工程入力!$U$6:$U$35,$C78,⑪ZEN工程入力!$AG$6:$AG$35)+SUMIF(⑪ZEN工程入力!$V$6:$V$35,$C78,⑪ZEN工程入力!$AH$6:$AH$35)+SUMIF(⑪ZEN工程入力!$W$6:$W$35,$C78,⑪ZEN工程入力!$AI$6:$AI$35)+SUMIF(⑫ミキサー工程入力!$R$6:$R$65,$C78,⑫ミキサー工程入力!$AD$6:$AD$65)+SUMIF(⑫ミキサー工程入力!$S$6:$S$65,$C78,⑫ミキサー工程入力!$AE$6:$AE$65)+SUMIF(⑫ミキサー工程入力!$T$6:$T$65,$C78,⑫ミキサー工程入力!$AF$6:$AF$65)+SUMIF(⑫ミキサー工程入力!$U$6:$U$65,$C78,⑫ミキサー工程入力!$AG$6:$AG$65)+SUMIF(⑫ミキサー工程入力!$V$6:$V$65,$C78,⑫ミキサー工程入力!$AH$6:$AH$65)+SUMIF(⑫ミキサー工程入力!$W$6:$W$65,$C78,⑫ミキサー工程入力!$AI$6:$AI$65)+SUMIF(⑬計量工程入力!$R$6:$R$65,$C78,⑬計量工程入力!$AD$6:$AD$65)+SUMIF(⑬計量工程入力!$S$6:$S$65,$C78,⑬計量工程入力!$AE$6:$AE$65)+SUMIF(⑬計量工程入力!$T$6:$T$65,$C78,⑬計量工程入力!$AF$6:$AF$65)+SUMIF(⑬計量工程入力!$U$6:$U$65,$C78,⑬計量工程入力!$AG$6:$AG$65)+SUMIF(⑬計量工程入力!$V$6:$V$65,$C78,⑬計量工程入力!$AH$6:$AH$65)+SUMIF(⑬計量工程入力!$W$6:$W$65,$C78,⑬計量工程入力!$AI$6:$AI$65)+SUMIF(⑭手動工程入力!$R$6:$R$47,$C78,⑭手動工程入力!$AD$6:$AD$47)+SUMIF(⑭手動工程入力!$S$6:$S$47,$C78,⑭手動工程入力!$AE$6:$AE$47)+SUMIF(⑭手動工程入力!$T$6:$T$47,$C78,⑭手動工程入力!$AF$6:$AF$47)+SUMIF(⑭手動工程入力!$U$6:$U$47,$C78,⑭手動工程入力!$AG$6:$AG$47)+SUMIF(⑭手動工程入力!$V$6:$V$47,$C78,⑭手動工程入力!$AH$6:$AH$47)+SUMIF(⑭手動工程入力!$W$6:$W$47,$C78,⑭手動工程入力!$AI$6:$AI$47)</f>
        <v/>
      </c>
      <c r="I78" s="393">
        <f>IF($F78&gt;0,$H78/$F78,"")</f>
        <v/>
      </c>
      <c r="J78" s="605">
        <f>IFERROR(INDEX(商品原価!$B$4:$B$112,MATCH(SUBSTITUTE(SUBSTITUTE(SUBSTITUTE(SUBSTITUTE(SUBSTITUTE(SUBSTITUTE(SUBSTITUTE(SUBSTITUTE(SUBSTITUTE(SUBSTITUTE(ASC($C78),"①","1"),"②","2"),"③","3"),"④","4"),"⑤","5"),"⑥","6"),"⑦","7"),"⑧","8"),"⑨","9")," ",""),商品原価!$C$4:$C$112,0)),"")</f>
        <v/>
      </c>
      <c r="K78" s="542">
        <f>IF(ISNUMBER($J78),$J78*④前提設定!$B$21,"")</f>
        <v/>
      </c>
      <c r="L78" s="605">
        <f>IF(AND(NOT(ISNUMBER($J78)),NOT(ISNUMBER($K78))),"",N($J78)+N($K78))</f>
        <v/>
      </c>
      <c r="M78" s="605">
        <f>IFERROR(INDEX(商品原価!$E$4:$E$112,MATCH(SUBSTITUTE(SUBSTITUTE(SUBSTITUTE(SUBSTITUTE(SUBSTITUTE(SUBSTITUTE(SUBSTITUTE(SUBSTITUTE(SUBSTITUTE(SUBSTITUTE(ASC($C78),"①","1"),"②","2"),"③","3"),"④","4"),"⑤","5"),"⑥","6"),"⑦","7"),"⑧","8"),"⑨","9")," ",""),商品原価!$C$4:$C$112,0)),"")</f>
        <v/>
      </c>
      <c r="N78" s="605">
        <f>IF(AND(ISNUMBER($M78),ISNUMBER($L78)),$M78-$L78-N($W78),"")</f>
        <v/>
      </c>
      <c r="O78" s="606">
        <f>IF(AND(ISNUMBER($N78),ISNUMBER($M78),$M78&gt;0),$N78/$M78,"")</f>
        <v/>
      </c>
      <c r="P78" s="398">
        <f>COUNTIF(②釜工程入力!$R$5:$R$117,$C78)+COUNTIF(②釜工程入力!$S$5:$S$117,$C78)+COUNTIF(②釜工程入力!$T$5:$T$117,$C78)+COUNTIF(②釜工程入力!$U$5:$U$117,$C78)+COUNTIF(②釜工程入力!$V$5:$V$117,$C78)+COUNTIF(②釜工程入力!$W$5:$W$117,$C78)+COUNTIF(③スチコン工程入力!$R$5:$R$152,$C78)+COUNTIF(③スチコン工程入力!$S$5:$S$152,$C78)+COUNTIF(③スチコン工程入力!$T$5:$T$152,$C78)+COUNTIF(③スチコン工程入力!$U$5:$U$152,$C78)+COUNTIF(③スチコン工程入力!$V$5:$V$152,$C78)+COUNTIF(③スチコン工程入力!$W$5:$W$152,$C78)+COUNTIF(⑩盛付梱包工程入力!$R$5:$R$300,$C78)+COUNTIF(⑩盛付梱包工程入力!$S$5:$S$300,$C78)+COUNTIF(⑩盛付梱包工程入力!$T$5:$T$300,$C78)+COUNTIF(⑩盛付梱包工程入力!$U$5:$U$300,$C78)+COUNTIF(⑩盛付梱包工程入力!$V$5:$V$300,$C78)+COUNTIF(⑩盛付梱包工程入力!$W$5:$W$300,$C78)+COUNTIF(⑪ZEN工程入力!$R$6:$R$35,$C78)+COUNTIF(⑪ZEN工程入力!$S$6:$S$35,$C78)+COUNTIF(⑪ZEN工程入力!$T$6:$T$35,$C78)+COUNTIF(⑪ZEN工程入力!$U$6:$U$35,$C78)+COUNTIF(⑪ZEN工程入力!$V$6:$V$35,$C78)+COUNTIF(⑪ZEN工程入力!$W$6:$W$35,$C78)+COUNTIF(⑫ミキサー工程入力!$R$6:$R$65,$C78)+COUNTIF(⑫ミキサー工程入力!$S$6:$S$65,$C78)+COUNTIF(⑫ミキサー工程入力!$T$6:$T$65,$C78)+COUNTIF(⑫ミキサー工程入力!$U$6:$U$65,$C78)+COUNTIF(⑫ミキサー工程入力!$V$6:$V$65,$C78)+COUNTIF(⑫ミキサー工程入力!$W$6:$W$65,$C78)+COUNTIF(⑬計量工程入力!$R$6:$R$65,$C78)+COUNTIF(⑬計量工程入力!$S$6:$S$65,$C78)+COUNTIF(⑬計量工程入力!$T$6:$T$65,$C78)+COUNTIF(⑬計量工程入力!$U$6:$U$65,$C78)+COUNTIF(⑬計量工程入力!$V$6:$V$65,$C78)+COUNTIF(⑬計量工程入力!$W$6:$W$65,$C78)+COUNTIF(⑭手動工程入力!$R$6:$R$47,$C78)+COUNTIF(⑭手動工程入力!$S$6:$S$47,$C78)+COUNTIF(⑭手動工程入力!$T$6:$T$47,$C78)+COUNTIF(⑭手動工程入力!$U$6:$U$47,$C78)+COUNTIF(⑭手動工程入力!$V$6:$V$47,$C78)+COUNTIF(⑭手動工程入力!$W$6:$W$47,$C78)</f>
        <v/>
      </c>
      <c r="Q78" s="392" t="n"/>
      <c r="R78" s="393" t="n"/>
      <c r="S78" s="393" t="n"/>
      <c r="T78" s="393" t="n"/>
      <c r="U78" s="393" t="n"/>
      <c r="V78" s="605">
        <f>IFERROR(INDEX(KIT別作業時間!$D$4:$D$27,MATCH(SUBSTITUTE(SUBSTITUTE(SUBSTITUTE(SUBSTITUTE(SUBSTITUTE(SUBSTITUTE(SUBSTITUTE(SUBSTITUTE(SUBSTITUTE(SUBSTITUTE(ASC($C78),"①","1"),"②","2"),"③","3"),"④","4"),"⑤","5"),"⑥","6"),"⑦","7"),"⑧","8"),"⑨","9")," ",""),KIT別作業時間!$C$4:$C$27,0)),"")</f>
        <v/>
      </c>
      <c r="W78" s="393">
        <f>IF(AND(ISNUMBER($I78),$I78&gt;0),$I78,IF(ISNUMBER($V78),$V78,IF(ISNUMBER($R78),$R78,"")))</f>
        <v/>
      </c>
      <c r="X78" s="393">
        <f>IF(AND(ISNUMBER($I78),$I78&gt;0),"今回の工程実績",IF(ISNUMBER($V78),"KIT作業時間",IF(ISNUMBER($R78),"前回資料","")))</f>
        <v/>
      </c>
      <c r="Y78" s="398" t="n">
        <v>130</v>
      </c>
      <c r="Z78" s="398">
        <f>IF(AND(ISNUMBER($W78),ISNUMBER($Y78)),$W78*$Y78,"")</f>
        <v/>
      </c>
      <c r="AA78" s="393" t="n"/>
    </row>
    <row r="79">
      <c r="A79" s="392" t="n">
        <v>75</v>
      </c>
      <c r="B79" s="392" t="n"/>
      <c r="C79" s="392" t="inlineStr">
        <is>
          <t>あんこＫＩＴ　１ｋｇ</t>
        </is>
      </c>
      <c r="D79" s="398">
        <f>SUMIF(⑩盛付梱包工程入力!$R$5:$R$300,$C79,⑩盛付梱包工程入力!$AC$5:$AC$300)+SUMIF(⑩盛付梱包工程入力!$S$5:$S$300,$C79,⑩盛付梱包工程入力!$AC$5:$AC$300)+SUMIF(⑩盛付梱包工程入力!$T$5:$T$300,$C79,⑩盛付梱包工程入力!$AC$5:$AC$300)+SUMIF(⑩盛付梱包工程入力!$U$5:$U$300,$C79,⑩盛付梱包工程入力!$AC$5:$AC$300)+SUMIF(⑩盛付梱包工程入力!$V$5:$V$300,$C79,⑩盛付梱包工程入力!$AC$5:$AC$300)+SUMIF(⑩盛付梱包工程入力!$W$5:$W$300,$C79,⑩盛付梱包工程入力!$AC$5:$AC$300)</f>
        <v/>
      </c>
      <c r="E79" s="398" t="n">
        <v>13</v>
      </c>
      <c r="F79" s="398">
        <f>IF(N($E79)&gt;0,$E79,$D79)</f>
        <v/>
      </c>
      <c r="G79" s="393" t="n">
        <v>101.4586129753915</v>
      </c>
      <c r="H79" s="393">
        <f>SUMIF(②釜工程入力!$R$5:$R$117,$C79,②釜工程入力!$AD$5:$AD$117)+SUMIF(②釜工程入力!$S$5:$S$117,$C79,②釜工程入力!$AE$5:$AE$117)+SUMIF(②釜工程入力!$T$5:$T$117,$C79,②釜工程入力!$AF$5:$AF$117)+SUMIF(②釜工程入力!$U$5:$U$117,$C79,②釜工程入力!$AG$5:$AG$117)+SUMIF(②釜工程入力!$V$5:$V$117,$C79,②釜工程入力!$AH$5:$AH$117)+SUMIF(②釜工程入力!$W$5:$W$117,$C79,②釜工程入力!$AI$5:$AI$117)+SUMIF(③スチコン工程入力!$R$5:$R$152,$C79,③スチコン工程入力!$AD$5:$AD$152)+SUMIF(③スチコン工程入力!$S$5:$S$152,$C79,③スチコン工程入力!$AE$5:$AE$152)+SUMIF(③スチコン工程入力!$T$5:$T$152,$C79,③スチコン工程入力!$AF$5:$AF$152)+SUMIF(③スチコン工程入力!$U$5:$U$152,$C79,③スチコン工程入力!$AG$5:$AG$152)+SUMIF(③スチコン工程入力!$V$5:$V$152,$C79,③スチコン工程入力!$AH$5:$AH$152)+SUMIF(③スチコン工程入力!$W$5:$W$152,$C79,③スチコン工程入力!$AI$5:$AI$152)+SUMIF(⑩盛付梱包工程入力!$R$5:$R$300,$C79,⑩盛付梱包工程入力!$AD$5:$AD$300)+SUMIF(⑩盛付梱包工程入力!$S$5:$S$300,$C79,⑩盛付梱包工程入力!$AE$5:$AE$300)+SUMIF(⑩盛付梱包工程入力!$T$5:$T$300,$C79,⑩盛付梱包工程入力!$AF$5:$AF$300)+SUMIF(⑩盛付梱包工程入力!$U$5:$U$300,$C79,⑩盛付梱包工程入力!$AG$5:$AG$300)+SUMIF(⑩盛付梱包工程入力!$V$5:$V$300,$C79,⑩盛付梱包工程入力!$AH$5:$AH$300)+SUMIF(⑩盛付梱包工程入力!$W$5:$W$300,$C79,⑩盛付梱包工程入力!$AI$5:$AI$300)+SUMIF(⑪ZEN工程入力!$R$6:$R$35,$C79,⑪ZEN工程入力!$AD$6:$AD$35)+SUMIF(⑪ZEN工程入力!$S$6:$S$35,$C79,⑪ZEN工程入力!$AE$6:$AE$35)+SUMIF(⑪ZEN工程入力!$T$6:$T$35,$C79,⑪ZEN工程入力!$AF$6:$AF$35)+SUMIF(⑪ZEN工程入力!$U$6:$U$35,$C79,⑪ZEN工程入力!$AG$6:$AG$35)+SUMIF(⑪ZEN工程入力!$V$6:$V$35,$C79,⑪ZEN工程入力!$AH$6:$AH$35)+SUMIF(⑪ZEN工程入力!$W$6:$W$35,$C79,⑪ZEN工程入力!$AI$6:$AI$35)+SUMIF(⑫ミキサー工程入力!$R$6:$R$65,$C79,⑫ミキサー工程入力!$AD$6:$AD$65)+SUMIF(⑫ミキサー工程入力!$S$6:$S$65,$C79,⑫ミキサー工程入力!$AE$6:$AE$65)+SUMIF(⑫ミキサー工程入力!$T$6:$T$65,$C79,⑫ミキサー工程入力!$AF$6:$AF$65)+SUMIF(⑫ミキサー工程入力!$U$6:$U$65,$C79,⑫ミキサー工程入力!$AG$6:$AG$65)+SUMIF(⑫ミキサー工程入力!$V$6:$V$65,$C79,⑫ミキサー工程入力!$AH$6:$AH$65)+SUMIF(⑫ミキサー工程入力!$W$6:$W$65,$C79,⑫ミキサー工程入力!$AI$6:$AI$65)+SUMIF(⑬計量工程入力!$R$6:$R$65,$C79,⑬計量工程入力!$AD$6:$AD$65)+SUMIF(⑬計量工程入力!$S$6:$S$65,$C79,⑬計量工程入力!$AE$6:$AE$65)+SUMIF(⑬計量工程入力!$T$6:$T$65,$C79,⑬計量工程入力!$AF$6:$AF$65)+SUMIF(⑬計量工程入力!$U$6:$U$65,$C79,⑬計量工程入力!$AG$6:$AG$65)+SUMIF(⑬計量工程入力!$V$6:$V$65,$C79,⑬計量工程入力!$AH$6:$AH$65)+SUMIF(⑬計量工程入力!$W$6:$W$65,$C79,⑬計量工程入力!$AI$6:$AI$65)+SUMIF(⑭手動工程入力!$R$6:$R$47,$C79,⑭手動工程入力!$AD$6:$AD$47)+SUMIF(⑭手動工程入力!$S$6:$S$47,$C79,⑭手動工程入力!$AE$6:$AE$47)+SUMIF(⑭手動工程入力!$T$6:$T$47,$C79,⑭手動工程入力!$AF$6:$AF$47)+SUMIF(⑭手動工程入力!$U$6:$U$47,$C79,⑭手動工程入力!$AG$6:$AG$47)+SUMIF(⑭手動工程入力!$V$6:$V$47,$C79,⑭手動工程入力!$AH$6:$AH$47)+SUMIF(⑭手動工程入力!$W$6:$W$47,$C79,⑭手動工程入力!$AI$6:$AI$47)</f>
        <v/>
      </c>
      <c r="I79" s="393">
        <f>IF($F79&gt;0,$H79/$F79,"")</f>
        <v/>
      </c>
      <c r="J79" s="605">
        <f>IFERROR(INDEX(商品原価!$B$4:$B$112,MATCH(SUBSTITUTE(SUBSTITUTE(SUBSTITUTE(SUBSTITUTE(SUBSTITUTE(SUBSTITUTE(SUBSTITUTE(SUBSTITUTE(SUBSTITUTE(SUBSTITUTE(ASC($C79),"①","1"),"②","2"),"③","3"),"④","4"),"⑤","5"),"⑥","6"),"⑦","7"),"⑧","8"),"⑨","9")," ",""),商品原価!$C$4:$C$112,0)),"")</f>
        <v/>
      </c>
      <c r="K79" s="542">
        <f>IF(ISNUMBER($J79),$J79*④前提設定!$B$21,"")</f>
        <v/>
      </c>
      <c r="L79" s="605">
        <f>IF(AND(NOT(ISNUMBER($J79)),NOT(ISNUMBER($K79))),"",N($J79)+N($K79))</f>
        <v/>
      </c>
      <c r="M79" s="605">
        <f>IFERROR(INDEX(商品原価!$E$4:$E$112,MATCH(SUBSTITUTE(SUBSTITUTE(SUBSTITUTE(SUBSTITUTE(SUBSTITUTE(SUBSTITUTE(SUBSTITUTE(SUBSTITUTE(SUBSTITUTE(SUBSTITUTE(ASC($C79),"①","1"),"②","2"),"③","3"),"④","4"),"⑤","5"),"⑥","6"),"⑦","7"),"⑧","8"),"⑨","9")," ",""),商品原価!$C$4:$C$112,0)),"")</f>
        <v/>
      </c>
      <c r="N79" s="605">
        <f>IF(AND(ISNUMBER($M79),ISNUMBER($L79)),$M79-$L79-N($W79),"")</f>
        <v/>
      </c>
      <c r="O79" s="606">
        <f>IF(AND(ISNUMBER($N79),ISNUMBER($M79),$M79&gt;0),$N79/$M79,"")</f>
        <v/>
      </c>
      <c r="P79" s="398">
        <f>COUNTIF(②釜工程入力!$R$5:$R$117,$C79)+COUNTIF(②釜工程入力!$S$5:$S$117,$C79)+COUNTIF(②釜工程入力!$T$5:$T$117,$C79)+COUNTIF(②釜工程入力!$U$5:$U$117,$C79)+COUNTIF(②釜工程入力!$V$5:$V$117,$C79)+COUNTIF(②釜工程入力!$W$5:$W$117,$C79)+COUNTIF(③スチコン工程入力!$R$5:$R$152,$C79)+COUNTIF(③スチコン工程入力!$S$5:$S$152,$C79)+COUNTIF(③スチコン工程入力!$T$5:$T$152,$C79)+COUNTIF(③スチコン工程入力!$U$5:$U$152,$C79)+COUNTIF(③スチコン工程入力!$V$5:$V$152,$C79)+COUNTIF(③スチコン工程入力!$W$5:$W$152,$C79)+COUNTIF(⑩盛付梱包工程入力!$R$5:$R$300,$C79)+COUNTIF(⑩盛付梱包工程入力!$S$5:$S$300,$C79)+COUNTIF(⑩盛付梱包工程入力!$T$5:$T$300,$C79)+COUNTIF(⑩盛付梱包工程入力!$U$5:$U$300,$C79)+COUNTIF(⑩盛付梱包工程入力!$V$5:$V$300,$C79)+COUNTIF(⑩盛付梱包工程入力!$W$5:$W$300,$C79)+COUNTIF(⑪ZEN工程入力!$R$6:$R$35,$C79)+COUNTIF(⑪ZEN工程入力!$S$6:$S$35,$C79)+COUNTIF(⑪ZEN工程入力!$T$6:$T$35,$C79)+COUNTIF(⑪ZEN工程入力!$U$6:$U$35,$C79)+COUNTIF(⑪ZEN工程入力!$V$6:$V$35,$C79)+COUNTIF(⑪ZEN工程入力!$W$6:$W$35,$C79)+COUNTIF(⑫ミキサー工程入力!$R$6:$R$65,$C79)+COUNTIF(⑫ミキサー工程入力!$S$6:$S$65,$C79)+COUNTIF(⑫ミキサー工程入力!$T$6:$T$65,$C79)+COUNTIF(⑫ミキサー工程入力!$U$6:$U$65,$C79)+COUNTIF(⑫ミキサー工程入力!$V$6:$V$65,$C79)+COUNTIF(⑫ミキサー工程入力!$W$6:$W$65,$C79)+COUNTIF(⑬計量工程入力!$R$6:$R$65,$C79)+COUNTIF(⑬計量工程入力!$S$6:$S$65,$C79)+COUNTIF(⑬計量工程入力!$T$6:$T$65,$C79)+COUNTIF(⑬計量工程入力!$U$6:$U$65,$C79)+COUNTIF(⑬計量工程入力!$V$6:$V$65,$C79)+COUNTIF(⑬計量工程入力!$W$6:$W$65,$C79)+COUNTIF(⑭手動工程入力!$R$6:$R$47,$C79)+COUNTIF(⑭手動工程入力!$S$6:$S$47,$C79)+COUNTIF(⑭手動工程入力!$T$6:$T$47,$C79)+COUNTIF(⑭手動工程入力!$U$6:$U$47,$C79)+COUNTIF(⑭手動工程入力!$V$6:$V$47,$C79)+COUNTIF(⑭手動工程入力!$W$6:$W$47,$C79)</f>
        <v/>
      </c>
      <c r="Q79" s="392" t="inlineStr">
        <is>
          <t>あんこ工程（②釜6・7行）からひもづけ済。おはぎ・どら焼きの食数が未入力の間は、あんこの労務費がこの商品に全部乗ります</t>
        </is>
      </c>
      <c r="R79" s="393" t="n"/>
      <c r="S79" s="393" t="n"/>
      <c r="T79" s="393" t="n"/>
      <c r="U79" s="393" t="n"/>
      <c r="V79" s="605">
        <f>IFERROR(INDEX(KIT別作業時間!$D$4:$D$27,MATCH(SUBSTITUTE(SUBSTITUTE(SUBSTITUTE(SUBSTITUTE(SUBSTITUTE(SUBSTITUTE(SUBSTITUTE(SUBSTITUTE(SUBSTITUTE(SUBSTITUTE(ASC($C79),"①","1"),"②","2"),"③","3"),"④","4"),"⑤","5"),"⑥","6"),"⑦","7"),"⑧","8"),"⑨","9")," ",""),KIT別作業時間!$C$4:$C$27,0)),"")</f>
        <v/>
      </c>
      <c r="W79" s="393">
        <f>IF(AND(ISNUMBER($I79),$I79&gt;0),$I79,IF(ISNUMBER($V79),$V79,IF(ISNUMBER($R79),$R79,"")))</f>
        <v/>
      </c>
      <c r="X79" s="393">
        <f>IF(AND(ISNUMBER($I79),$I79&gt;0),"今回の工程実績",IF(ISNUMBER($V79),"KIT作業時間",IF(ISNUMBER($R79),"前回資料","")))</f>
        <v/>
      </c>
      <c r="Y79" s="398" t="n">
        <v>457</v>
      </c>
      <c r="Z79" s="398">
        <f>IF(AND(ISNUMBER($W79),ISNUMBER($Y79)),$W79*$Y79,"")</f>
        <v/>
      </c>
      <c r="AA79" s="393" t="n"/>
    </row>
    <row r="80">
      <c r="A80" s="392" t="n">
        <v>76</v>
      </c>
      <c r="B80" s="392" t="n"/>
      <c r="C80" s="392" t="inlineStr">
        <is>
          <t>バタールＫＩＴ</t>
        </is>
      </c>
      <c r="D80" s="398">
        <f>SUMIF(⑩盛付梱包工程入力!$R$5:$R$300,$C80,⑩盛付梱包工程入力!$AC$5:$AC$300)+SUMIF(⑩盛付梱包工程入力!$S$5:$S$300,$C80,⑩盛付梱包工程入力!$AC$5:$AC$300)+SUMIF(⑩盛付梱包工程入力!$T$5:$T$300,$C80,⑩盛付梱包工程入力!$AC$5:$AC$300)+SUMIF(⑩盛付梱包工程入力!$U$5:$U$300,$C80,⑩盛付梱包工程入力!$AC$5:$AC$300)+SUMIF(⑩盛付梱包工程入力!$V$5:$V$300,$C80,⑩盛付梱包工程入力!$AC$5:$AC$300)+SUMIF(⑩盛付梱包工程入力!$W$5:$W$300,$C80,⑩盛付梱包工程入力!$AC$5:$AC$300)</f>
        <v/>
      </c>
      <c r="E80" s="398" t="n">
        <v>10</v>
      </c>
      <c r="F80" s="398">
        <f>IF(N($E80)&gt;0,$E80,$D80)</f>
        <v/>
      </c>
      <c r="G80" s="393" t="n">
        <v>118</v>
      </c>
      <c r="H80" s="393">
        <f>SUMIF(②釜工程入力!$R$5:$R$117,$C80,②釜工程入力!$AD$5:$AD$117)+SUMIF(②釜工程入力!$S$5:$S$117,$C80,②釜工程入力!$AE$5:$AE$117)+SUMIF(②釜工程入力!$T$5:$T$117,$C80,②釜工程入力!$AF$5:$AF$117)+SUMIF(②釜工程入力!$U$5:$U$117,$C80,②釜工程入力!$AG$5:$AG$117)+SUMIF(②釜工程入力!$V$5:$V$117,$C80,②釜工程入力!$AH$5:$AH$117)+SUMIF(②釜工程入力!$W$5:$W$117,$C80,②釜工程入力!$AI$5:$AI$117)+SUMIF(③スチコン工程入力!$R$5:$R$152,$C80,③スチコン工程入力!$AD$5:$AD$152)+SUMIF(③スチコン工程入力!$S$5:$S$152,$C80,③スチコン工程入力!$AE$5:$AE$152)+SUMIF(③スチコン工程入力!$T$5:$T$152,$C80,③スチコン工程入力!$AF$5:$AF$152)+SUMIF(③スチコン工程入力!$U$5:$U$152,$C80,③スチコン工程入力!$AG$5:$AG$152)+SUMIF(③スチコン工程入力!$V$5:$V$152,$C80,③スチコン工程入力!$AH$5:$AH$152)+SUMIF(③スチコン工程入力!$W$5:$W$152,$C80,③スチコン工程入力!$AI$5:$AI$152)+SUMIF(⑩盛付梱包工程入力!$R$5:$R$300,$C80,⑩盛付梱包工程入力!$AD$5:$AD$300)+SUMIF(⑩盛付梱包工程入力!$S$5:$S$300,$C80,⑩盛付梱包工程入力!$AE$5:$AE$300)+SUMIF(⑩盛付梱包工程入力!$T$5:$T$300,$C80,⑩盛付梱包工程入力!$AF$5:$AF$300)+SUMIF(⑩盛付梱包工程入力!$U$5:$U$300,$C80,⑩盛付梱包工程入力!$AG$5:$AG$300)+SUMIF(⑩盛付梱包工程入力!$V$5:$V$300,$C80,⑩盛付梱包工程入力!$AH$5:$AH$300)+SUMIF(⑩盛付梱包工程入力!$W$5:$W$300,$C80,⑩盛付梱包工程入力!$AI$5:$AI$300)+SUMIF(⑪ZEN工程入力!$R$6:$R$35,$C80,⑪ZEN工程入力!$AD$6:$AD$35)+SUMIF(⑪ZEN工程入力!$S$6:$S$35,$C80,⑪ZEN工程入力!$AE$6:$AE$35)+SUMIF(⑪ZEN工程入力!$T$6:$T$35,$C80,⑪ZEN工程入力!$AF$6:$AF$35)+SUMIF(⑪ZEN工程入力!$U$6:$U$35,$C80,⑪ZEN工程入力!$AG$6:$AG$35)+SUMIF(⑪ZEN工程入力!$V$6:$V$35,$C80,⑪ZEN工程入力!$AH$6:$AH$35)+SUMIF(⑪ZEN工程入力!$W$6:$W$35,$C80,⑪ZEN工程入力!$AI$6:$AI$35)+SUMIF(⑫ミキサー工程入力!$R$6:$R$65,$C80,⑫ミキサー工程入力!$AD$6:$AD$65)+SUMIF(⑫ミキサー工程入力!$S$6:$S$65,$C80,⑫ミキサー工程入力!$AE$6:$AE$65)+SUMIF(⑫ミキサー工程入力!$T$6:$T$65,$C80,⑫ミキサー工程入力!$AF$6:$AF$65)+SUMIF(⑫ミキサー工程入力!$U$6:$U$65,$C80,⑫ミキサー工程入力!$AG$6:$AG$65)+SUMIF(⑫ミキサー工程入力!$V$6:$V$65,$C80,⑫ミキサー工程入力!$AH$6:$AH$65)+SUMIF(⑫ミキサー工程入力!$W$6:$W$65,$C80,⑫ミキサー工程入力!$AI$6:$AI$65)+SUMIF(⑬計量工程入力!$R$6:$R$65,$C80,⑬計量工程入力!$AD$6:$AD$65)+SUMIF(⑬計量工程入力!$S$6:$S$65,$C80,⑬計量工程入力!$AE$6:$AE$65)+SUMIF(⑬計量工程入力!$T$6:$T$65,$C80,⑬計量工程入力!$AF$6:$AF$65)+SUMIF(⑬計量工程入力!$U$6:$U$65,$C80,⑬計量工程入力!$AG$6:$AG$65)+SUMIF(⑬計量工程入力!$V$6:$V$65,$C80,⑬計量工程入力!$AH$6:$AH$65)+SUMIF(⑬計量工程入力!$W$6:$W$65,$C80,⑬計量工程入力!$AI$6:$AI$65)+SUMIF(⑭手動工程入力!$R$6:$R$47,$C80,⑭手動工程入力!$AD$6:$AD$47)+SUMIF(⑭手動工程入力!$S$6:$S$47,$C80,⑭手動工程入力!$AE$6:$AE$47)+SUMIF(⑭手動工程入力!$T$6:$T$47,$C80,⑭手動工程入力!$AF$6:$AF$47)+SUMIF(⑭手動工程入力!$U$6:$U$47,$C80,⑭手動工程入力!$AG$6:$AG$47)+SUMIF(⑭手動工程入力!$V$6:$V$47,$C80,⑭手動工程入力!$AH$6:$AH$47)+SUMIF(⑭手動工程入力!$W$6:$W$47,$C80,⑭手動工程入力!$AI$6:$AI$47)</f>
        <v/>
      </c>
      <c r="I80" s="393">
        <f>IF($F80&gt;0,$H80/$F80,"")</f>
        <v/>
      </c>
      <c r="J80" s="605">
        <f>IFERROR(INDEX(商品原価!$B$4:$B$112,MATCH(SUBSTITUTE(SUBSTITUTE(SUBSTITUTE(SUBSTITUTE(SUBSTITUTE(SUBSTITUTE(SUBSTITUTE(SUBSTITUTE(SUBSTITUTE(SUBSTITUTE(ASC($C80),"①","1"),"②","2"),"③","3"),"④","4"),"⑤","5"),"⑥","6"),"⑦","7"),"⑧","8"),"⑨","9")," ",""),商品原価!$C$4:$C$112,0)),"")</f>
        <v/>
      </c>
      <c r="K80" s="542">
        <f>IF(ISNUMBER($J80),$J80*④前提設定!$B$21,"")</f>
        <v/>
      </c>
      <c r="L80" s="605">
        <f>IF(AND(NOT(ISNUMBER($J80)),NOT(ISNUMBER($K80))),"",N($J80)+N($K80))</f>
        <v/>
      </c>
      <c r="M80" s="605">
        <f>IFERROR(INDEX(商品原価!$E$4:$E$112,MATCH(SUBSTITUTE(SUBSTITUTE(SUBSTITUTE(SUBSTITUTE(SUBSTITUTE(SUBSTITUTE(SUBSTITUTE(SUBSTITUTE(SUBSTITUTE(SUBSTITUTE(ASC($C80),"①","1"),"②","2"),"③","3"),"④","4"),"⑤","5"),"⑥","6"),"⑦","7"),"⑧","8"),"⑨","9")," ",""),商品原価!$C$4:$C$112,0)),"")</f>
        <v/>
      </c>
      <c r="N80" s="605">
        <f>IF(AND(ISNUMBER($M80),ISNUMBER($L80)),$M80-$L80-N($W80),"")</f>
        <v/>
      </c>
      <c r="O80" s="606">
        <f>IF(AND(ISNUMBER($N80),ISNUMBER($M80),$M80&gt;0),$N80/$M80,"")</f>
        <v/>
      </c>
      <c r="P80" s="398">
        <f>COUNTIF(②釜工程入力!$R$5:$R$117,$C80)+COUNTIF(②釜工程入力!$S$5:$S$117,$C80)+COUNTIF(②釜工程入力!$T$5:$T$117,$C80)+COUNTIF(②釜工程入力!$U$5:$U$117,$C80)+COUNTIF(②釜工程入力!$V$5:$V$117,$C80)+COUNTIF(②釜工程入力!$W$5:$W$117,$C80)+COUNTIF(③スチコン工程入力!$R$5:$R$152,$C80)+COUNTIF(③スチコン工程入力!$S$5:$S$152,$C80)+COUNTIF(③スチコン工程入力!$T$5:$T$152,$C80)+COUNTIF(③スチコン工程入力!$U$5:$U$152,$C80)+COUNTIF(③スチコン工程入力!$V$5:$V$152,$C80)+COUNTIF(③スチコン工程入力!$W$5:$W$152,$C80)+COUNTIF(⑩盛付梱包工程入力!$R$5:$R$300,$C80)+COUNTIF(⑩盛付梱包工程入力!$S$5:$S$300,$C80)+COUNTIF(⑩盛付梱包工程入力!$T$5:$T$300,$C80)+COUNTIF(⑩盛付梱包工程入力!$U$5:$U$300,$C80)+COUNTIF(⑩盛付梱包工程入力!$V$5:$V$300,$C80)+COUNTIF(⑩盛付梱包工程入力!$W$5:$W$300,$C80)+COUNTIF(⑪ZEN工程入力!$R$6:$R$35,$C80)+COUNTIF(⑪ZEN工程入力!$S$6:$S$35,$C80)+COUNTIF(⑪ZEN工程入力!$T$6:$T$35,$C80)+COUNTIF(⑪ZEN工程入力!$U$6:$U$35,$C80)+COUNTIF(⑪ZEN工程入力!$V$6:$V$35,$C80)+COUNTIF(⑪ZEN工程入力!$W$6:$W$35,$C80)+COUNTIF(⑫ミキサー工程入力!$R$6:$R$65,$C80)+COUNTIF(⑫ミキサー工程入力!$S$6:$S$65,$C80)+COUNTIF(⑫ミキサー工程入力!$T$6:$T$65,$C80)+COUNTIF(⑫ミキサー工程入力!$U$6:$U$65,$C80)+COUNTIF(⑫ミキサー工程入力!$V$6:$V$65,$C80)+COUNTIF(⑫ミキサー工程入力!$W$6:$W$65,$C80)+COUNTIF(⑬計量工程入力!$R$6:$R$65,$C80)+COUNTIF(⑬計量工程入力!$S$6:$S$65,$C80)+COUNTIF(⑬計量工程入力!$T$6:$T$65,$C80)+COUNTIF(⑬計量工程入力!$U$6:$U$65,$C80)+COUNTIF(⑬計量工程入力!$V$6:$V$65,$C80)+COUNTIF(⑬計量工程入力!$W$6:$W$65,$C80)+COUNTIF(⑭手動工程入力!$R$6:$R$47,$C80)+COUNTIF(⑭手動工程入力!$S$6:$S$47,$C80)+COUNTIF(⑭手動工程入力!$T$6:$T$47,$C80)+COUNTIF(⑭手動工程入力!$U$6:$U$47,$C80)+COUNTIF(⑭手動工程入力!$V$6:$V$47,$C80)+COUNTIF(⑭手動工程入力!$W$6:$W$47,$C80)</f>
        <v/>
      </c>
      <c r="Q80" s="392" t="n"/>
      <c r="R80" s="393" t="n"/>
      <c r="S80" s="393" t="n"/>
      <c r="T80" s="393" t="n"/>
      <c r="U80" s="393" t="n"/>
      <c r="V80" s="605">
        <f>IFERROR(INDEX(KIT別作業時間!$D$4:$D$27,MATCH(SUBSTITUTE(SUBSTITUTE(SUBSTITUTE(SUBSTITUTE(SUBSTITUTE(SUBSTITUTE(SUBSTITUTE(SUBSTITUTE(SUBSTITUTE(SUBSTITUTE(ASC($C80),"①","1"),"②","2"),"③","3"),"④","4"),"⑤","5"),"⑥","6"),"⑦","7"),"⑧","8"),"⑨","9")," ",""),KIT別作業時間!$C$4:$C$27,0)),"")</f>
        <v/>
      </c>
      <c r="W80" s="393">
        <f>IF(AND(ISNUMBER($I80),$I80&gt;0),$I80,IF(ISNUMBER($V80),$V80,IF(ISNUMBER($R80),$R80,"")))</f>
        <v/>
      </c>
      <c r="X80" s="393">
        <f>IF(AND(ISNUMBER($I80),$I80&gt;0),"今回の工程実績",IF(ISNUMBER($V80),"KIT作業時間",IF(ISNUMBER($R80),"前回資料","")))</f>
        <v/>
      </c>
      <c r="Y80" s="398" t="n">
        <v>291</v>
      </c>
      <c r="Z80" s="398">
        <f>IF(AND(ISNUMBER($W80),ISNUMBER($Y80)),$W80*$Y80,"")</f>
        <v/>
      </c>
      <c r="AA80" s="393" t="n"/>
    </row>
    <row r="81">
      <c r="A81" s="392" t="n">
        <v>77</v>
      </c>
      <c r="B81" s="392" t="n"/>
      <c r="C81" s="392" t="inlineStr">
        <is>
          <t>塩パン２個</t>
        </is>
      </c>
      <c r="D81" s="398">
        <f>SUMIF(⑩盛付梱包工程入力!$R$5:$R$300,$C81,⑩盛付梱包工程入力!$AC$5:$AC$300)+SUMIF(⑩盛付梱包工程入力!$S$5:$S$300,$C81,⑩盛付梱包工程入力!$AC$5:$AC$300)+SUMIF(⑩盛付梱包工程入力!$T$5:$T$300,$C81,⑩盛付梱包工程入力!$AC$5:$AC$300)+SUMIF(⑩盛付梱包工程入力!$U$5:$U$300,$C81,⑩盛付梱包工程入力!$AC$5:$AC$300)+SUMIF(⑩盛付梱包工程入力!$V$5:$V$300,$C81,⑩盛付梱包工程入力!$AC$5:$AC$300)+SUMIF(⑩盛付梱包工程入力!$W$5:$W$300,$C81,⑩盛付梱包工程入力!$AC$5:$AC$300)</f>
        <v/>
      </c>
      <c r="E81" s="398" t="n">
        <v>66</v>
      </c>
      <c r="F81" s="398">
        <f>IF(N($E81)&gt;0,$E81,$D81)</f>
        <v/>
      </c>
      <c r="G81" s="393" t="n">
        <v>28.71605575632421</v>
      </c>
      <c r="H81" s="393">
        <f>SUMIF(②釜工程入力!$R$5:$R$117,$C81,②釜工程入力!$AD$5:$AD$117)+SUMIF(②釜工程入力!$S$5:$S$117,$C81,②釜工程入力!$AE$5:$AE$117)+SUMIF(②釜工程入力!$T$5:$T$117,$C81,②釜工程入力!$AF$5:$AF$117)+SUMIF(②釜工程入力!$U$5:$U$117,$C81,②釜工程入力!$AG$5:$AG$117)+SUMIF(②釜工程入力!$V$5:$V$117,$C81,②釜工程入力!$AH$5:$AH$117)+SUMIF(②釜工程入力!$W$5:$W$117,$C81,②釜工程入力!$AI$5:$AI$117)+SUMIF(③スチコン工程入力!$R$5:$R$152,$C81,③スチコン工程入力!$AD$5:$AD$152)+SUMIF(③スチコン工程入力!$S$5:$S$152,$C81,③スチコン工程入力!$AE$5:$AE$152)+SUMIF(③スチコン工程入力!$T$5:$T$152,$C81,③スチコン工程入力!$AF$5:$AF$152)+SUMIF(③スチコン工程入力!$U$5:$U$152,$C81,③スチコン工程入力!$AG$5:$AG$152)+SUMIF(③スチコン工程入力!$V$5:$V$152,$C81,③スチコン工程入力!$AH$5:$AH$152)+SUMIF(③スチコン工程入力!$W$5:$W$152,$C81,③スチコン工程入力!$AI$5:$AI$152)+SUMIF(⑩盛付梱包工程入力!$R$5:$R$300,$C81,⑩盛付梱包工程入力!$AD$5:$AD$300)+SUMIF(⑩盛付梱包工程入力!$S$5:$S$300,$C81,⑩盛付梱包工程入力!$AE$5:$AE$300)+SUMIF(⑩盛付梱包工程入力!$T$5:$T$300,$C81,⑩盛付梱包工程入力!$AF$5:$AF$300)+SUMIF(⑩盛付梱包工程入力!$U$5:$U$300,$C81,⑩盛付梱包工程入力!$AG$5:$AG$300)+SUMIF(⑩盛付梱包工程入力!$V$5:$V$300,$C81,⑩盛付梱包工程入力!$AH$5:$AH$300)+SUMIF(⑩盛付梱包工程入力!$W$5:$W$300,$C81,⑩盛付梱包工程入力!$AI$5:$AI$300)+SUMIF(⑪ZEN工程入力!$R$6:$R$35,$C81,⑪ZEN工程入力!$AD$6:$AD$35)+SUMIF(⑪ZEN工程入力!$S$6:$S$35,$C81,⑪ZEN工程入力!$AE$6:$AE$35)+SUMIF(⑪ZEN工程入力!$T$6:$T$35,$C81,⑪ZEN工程入力!$AF$6:$AF$35)+SUMIF(⑪ZEN工程入力!$U$6:$U$35,$C81,⑪ZEN工程入力!$AG$6:$AG$35)+SUMIF(⑪ZEN工程入力!$V$6:$V$35,$C81,⑪ZEN工程入力!$AH$6:$AH$35)+SUMIF(⑪ZEN工程入力!$W$6:$W$35,$C81,⑪ZEN工程入力!$AI$6:$AI$35)+SUMIF(⑫ミキサー工程入力!$R$6:$R$65,$C81,⑫ミキサー工程入力!$AD$6:$AD$65)+SUMIF(⑫ミキサー工程入力!$S$6:$S$65,$C81,⑫ミキサー工程入力!$AE$6:$AE$65)+SUMIF(⑫ミキサー工程入力!$T$6:$T$65,$C81,⑫ミキサー工程入力!$AF$6:$AF$65)+SUMIF(⑫ミキサー工程入力!$U$6:$U$65,$C81,⑫ミキサー工程入力!$AG$6:$AG$65)+SUMIF(⑫ミキサー工程入力!$V$6:$V$65,$C81,⑫ミキサー工程入力!$AH$6:$AH$65)+SUMIF(⑫ミキサー工程入力!$W$6:$W$65,$C81,⑫ミキサー工程入力!$AI$6:$AI$65)+SUMIF(⑬計量工程入力!$R$6:$R$65,$C81,⑬計量工程入力!$AD$6:$AD$65)+SUMIF(⑬計量工程入力!$S$6:$S$65,$C81,⑬計量工程入力!$AE$6:$AE$65)+SUMIF(⑬計量工程入力!$T$6:$T$65,$C81,⑬計量工程入力!$AF$6:$AF$65)+SUMIF(⑬計量工程入力!$U$6:$U$65,$C81,⑬計量工程入力!$AG$6:$AG$65)+SUMIF(⑬計量工程入力!$V$6:$V$65,$C81,⑬計量工程入力!$AH$6:$AH$65)+SUMIF(⑬計量工程入力!$W$6:$W$65,$C81,⑬計量工程入力!$AI$6:$AI$65)+SUMIF(⑭手動工程入力!$R$6:$R$47,$C81,⑭手動工程入力!$AD$6:$AD$47)+SUMIF(⑭手動工程入力!$S$6:$S$47,$C81,⑭手動工程入力!$AE$6:$AE$47)+SUMIF(⑭手動工程入力!$T$6:$T$47,$C81,⑭手動工程入力!$AF$6:$AF$47)+SUMIF(⑭手動工程入力!$U$6:$U$47,$C81,⑭手動工程入力!$AG$6:$AG$47)+SUMIF(⑭手動工程入力!$V$6:$V$47,$C81,⑭手動工程入力!$AH$6:$AH$47)+SUMIF(⑭手動工程入力!$W$6:$W$47,$C81,⑭手動工程入力!$AI$6:$AI$47)</f>
        <v/>
      </c>
      <c r="I81" s="393">
        <f>IF($F81&gt;0,$H81/$F81,"")</f>
        <v/>
      </c>
      <c r="J81" s="605">
        <f>IFERROR(INDEX(商品原価!$B$4:$B$112,MATCH(SUBSTITUTE(SUBSTITUTE(SUBSTITUTE(SUBSTITUTE(SUBSTITUTE(SUBSTITUTE(SUBSTITUTE(SUBSTITUTE(SUBSTITUTE(SUBSTITUTE(ASC($C81),"①","1"),"②","2"),"③","3"),"④","4"),"⑤","5"),"⑥","6"),"⑦","7"),"⑧","8"),"⑨","9")," ",""),商品原価!$C$4:$C$112,0)),"")</f>
        <v/>
      </c>
      <c r="K81" s="542">
        <f>IF(ISNUMBER($J81),$J81*④前提設定!$B$21,"")</f>
        <v/>
      </c>
      <c r="L81" s="605">
        <f>IF(AND(NOT(ISNUMBER($J81)),NOT(ISNUMBER($K81))),"",N($J81)+N($K81))</f>
        <v/>
      </c>
      <c r="M81" s="605">
        <f>IFERROR(INDEX(商品原価!$E$4:$E$112,MATCH(SUBSTITUTE(SUBSTITUTE(SUBSTITUTE(SUBSTITUTE(SUBSTITUTE(SUBSTITUTE(SUBSTITUTE(SUBSTITUTE(SUBSTITUTE(SUBSTITUTE(ASC($C81),"①","1"),"②","2"),"③","3"),"④","4"),"⑤","5"),"⑥","6"),"⑦","7"),"⑧","8"),"⑨","9")," ",""),商品原価!$C$4:$C$112,0)),"")</f>
        <v/>
      </c>
      <c r="N81" s="605">
        <f>IF(AND(ISNUMBER($M81),ISNUMBER($L81)),$M81-$L81-N($W81),"")</f>
        <v/>
      </c>
      <c r="O81" s="606">
        <f>IF(AND(ISNUMBER($N81),ISNUMBER($M81),$M81&gt;0),$N81/$M81,"")</f>
        <v/>
      </c>
      <c r="P81" s="398">
        <f>COUNTIF(②釜工程入力!$R$5:$R$117,$C81)+COUNTIF(②釜工程入力!$S$5:$S$117,$C81)+COUNTIF(②釜工程入力!$T$5:$T$117,$C81)+COUNTIF(②釜工程入力!$U$5:$U$117,$C81)+COUNTIF(②釜工程入力!$V$5:$V$117,$C81)+COUNTIF(②釜工程入力!$W$5:$W$117,$C81)+COUNTIF(③スチコン工程入力!$R$5:$R$152,$C81)+COUNTIF(③スチコン工程入力!$S$5:$S$152,$C81)+COUNTIF(③スチコン工程入力!$T$5:$T$152,$C81)+COUNTIF(③スチコン工程入力!$U$5:$U$152,$C81)+COUNTIF(③スチコン工程入力!$V$5:$V$152,$C81)+COUNTIF(③スチコン工程入力!$W$5:$W$152,$C81)+COUNTIF(⑩盛付梱包工程入力!$R$5:$R$300,$C81)+COUNTIF(⑩盛付梱包工程入力!$S$5:$S$300,$C81)+COUNTIF(⑩盛付梱包工程入力!$T$5:$T$300,$C81)+COUNTIF(⑩盛付梱包工程入力!$U$5:$U$300,$C81)+COUNTIF(⑩盛付梱包工程入力!$V$5:$V$300,$C81)+COUNTIF(⑩盛付梱包工程入力!$W$5:$W$300,$C81)+COUNTIF(⑪ZEN工程入力!$R$6:$R$35,$C81)+COUNTIF(⑪ZEN工程入力!$S$6:$S$35,$C81)+COUNTIF(⑪ZEN工程入力!$T$6:$T$35,$C81)+COUNTIF(⑪ZEN工程入力!$U$6:$U$35,$C81)+COUNTIF(⑪ZEN工程入力!$V$6:$V$35,$C81)+COUNTIF(⑪ZEN工程入力!$W$6:$W$35,$C81)+COUNTIF(⑫ミキサー工程入力!$R$6:$R$65,$C81)+COUNTIF(⑫ミキサー工程入力!$S$6:$S$65,$C81)+COUNTIF(⑫ミキサー工程入力!$T$6:$T$65,$C81)+COUNTIF(⑫ミキサー工程入力!$U$6:$U$65,$C81)+COUNTIF(⑫ミキサー工程入力!$V$6:$V$65,$C81)+COUNTIF(⑫ミキサー工程入力!$W$6:$W$65,$C81)+COUNTIF(⑬計量工程入力!$R$6:$R$65,$C81)+COUNTIF(⑬計量工程入力!$S$6:$S$65,$C81)+COUNTIF(⑬計量工程入力!$T$6:$T$65,$C81)+COUNTIF(⑬計量工程入力!$U$6:$U$65,$C81)+COUNTIF(⑬計量工程入力!$V$6:$V$65,$C81)+COUNTIF(⑬計量工程入力!$W$6:$W$65,$C81)+COUNTIF(⑭手動工程入力!$R$6:$R$47,$C81)+COUNTIF(⑭手動工程入力!$S$6:$S$47,$C81)+COUNTIF(⑭手動工程入力!$T$6:$T$47,$C81)+COUNTIF(⑭手動工程入力!$U$6:$U$47,$C81)+COUNTIF(⑭手動工程入力!$V$6:$V$47,$C81)+COUNTIF(⑭手動工程入力!$W$6:$W$47,$C81)</f>
        <v/>
      </c>
      <c r="Q81" s="392" t="n"/>
      <c r="R81" s="393" t="n"/>
      <c r="S81" s="393" t="n"/>
      <c r="T81" s="393" t="n"/>
      <c r="U81" s="393" t="n"/>
      <c r="V81" s="605">
        <f>IFERROR(INDEX(KIT別作業時間!$D$4:$D$27,MATCH(SUBSTITUTE(SUBSTITUTE(SUBSTITUTE(SUBSTITUTE(SUBSTITUTE(SUBSTITUTE(SUBSTITUTE(SUBSTITUTE(SUBSTITUTE(SUBSTITUTE(ASC($C81),"①","1"),"②","2"),"③","3"),"④","4"),"⑤","5"),"⑥","6"),"⑦","7"),"⑧","8"),"⑨","9")," ",""),KIT別作業時間!$C$4:$C$27,0)),"")</f>
        <v/>
      </c>
      <c r="W81" s="393">
        <f>IF(AND(ISNUMBER($I81),$I81&gt;0),$I81,IF(ISNUMBER($V81),$V81,IF(ISNUMBER($R81),$R81,"")))</f>
        <v/>
      </c>
      <c r="X81" s="393">
        <f>IF(AND(ISNUMBER($I81),$I81&gt;0),"今回の工程実績",IF(ISNUMBER($V81),"KIT作業時間",IF(ISNUMBER($R81),"前回資料","")))</f>
        <v/>
      </c>
      <c r="Y81" s="398" t="n">
        <v>1648</v>
      </c>
      <c r="Z81" s="398">
        <f>IF(AND(ISNUMBER($W81),ISNUMBER($Y81)),$W81*$Y81,"")</f>
        <v/>
      </c>
      <c r="AA81" s="393" t="n"/>
    </row>
    <row r="82">
      <c r="A82" s="392" t="n">
        <v>78</v>
      </c>
      <c r="B82" s="392" t="n"/>
      <c r="C82" s="392" t="inlineStr">
        <is>
          <t>チーズ塩パン２個</t>
        </is>
      </c>
      <c r="D82" s="398">
        <f>SUMIF(⑩盛付梱包工程入力!$R$5:$R$300,$C82,⑩盛付梱包工程入力!$AC$5:$AC$300)+SUMIF(⑩盛付梱包工程入力!$S$5:$S$300,$C82,⑩盛付梱包工程入力!$AC$5:$AC$300)+SUMIF(⑩盛付梱包工程入力!$T$5:$T$300,$C82,⑩盛付梱包工程入力!$AC$5:$AC$300)+SUMIF(⑩盛付梱包工程入力!$U$5:$U$300,$C82,⑩盛付梱包工程入力!$AC$5:$AC$300)+SUMIF(⑩盛付梱包工程入力!$V$5:$V$300,$C82,⑩盛付梱包工程入力!$AC$5:$AC$300)+SUMIF(⑩盛付梱包工程入力!$W$5:$W$300,$C82,⑩盛付梱包工程入力!$AC$5:$AC$300)</f>
        <v/>
      </c>
      <c r="E82" s="398" t="n">
        <v>20</v>
      </c>
      <c r="F82" s="398">
        <f>IF(N($E82)&gt;0,$E82,$D82)</f>
        <v/>
      </c>
      <c r="G82" s="393" t="n">
        <v>39.83168891468369</v>
      </c>
      <c r="H82" s="393">
        <f>SUMIF(②釜工程入力!$R$5:$R$117,$C82,②釜工程入力!$AD$5:$AD$117)+SUMIF(②釜工程入力!$S$5:$S$117,$C82,②釜工程入力!$AE$5:$AE$117)+SUMIF(②釜工程入力!$T$5:$T$117,$C82,②釜工程入力!$AF$5:$AF$117)+SUMIF(②釜工程入力!$U$5:$U$117,$C82,②釜工程入力!$AG$5:$AG$117)+SUMIF(②釜工程入力!$V$5:$V$117,$C82,②釜工程入力!$AH$5:$AH$117)+SUMIF(②釜工程入力!$W$5:$W$117,$C82,②釜工程入力!$AI$5:$AI$117)+SUMIF(③スチコン工程入力!$R$5:$R$152,$C82,③スチコン工程入力!$AD$5:$AD$152)+SUMIF(③スチコン工程入力!$S$5:$S$152,$C82,③スチコン工程入力!$AE$5:$AE$152)+SUMIF(③スチコン工程入力!$T$5:$T$152,$C82,③スチコン工程入力!$AF$5:$AF$152)+SUMIF(③スチコン工程入力!$U$5:$U$152,$C82,③スチコン工程入力!$AG$5:$AG$152)+SUMIF(③スチコン工程入力!$V$5:$V$152,$C82,③スチコン工程入力!$AH$5:$AH$152)+SUMIF(③スチコン工程入力!$W$5:$W$152,$C82,③スチコン工程入力!$AI$5:$AI$152)+SUMIF(⑩盛付梱包工程入力!$R$5:$R$300,$C82,⑩盛付梱包工程入力!$AD$5:$AD$300)+SUMIF(⑩盛付梱包工程入力!$S$5:$S$300,$C82,⑩盛付梱包工程入力!$AE$5:$AE$300)+SUMIF(⑩盛付梱包工程入力!$T$5:$T$300,$C82,⑩盛付梱包工程入力!$AF$5:$AF$300)+SUMIF(⑩盛付梱包工程入力!$U$5:$U$300,$C82,⑩盛付梱包工程入力!$AG$5:$AG$300)+SUMIF(⑩盛付梱包工程入力!$V$5:$V$300,$C82,⑩盛付梱包工程入力!$AH$5:$AH$300)+SUMIF(⑩盛付梱包工程入力!$W$5:$W$300,$C82,⑩盛付梱包工程入力!$AI$5:$AI$300)+SUMIF(⑪ZEN工程入力!$R$6:$R$35,$C82,⑪ZEN工程入力!$AD$6:$AD$35)+SUMIF(⑪ZEN工程入力!$S$6:$S$35,$C82,⑪ZEN工程入力!$AE$6:$AE$35)+SUMIF(⑪ZEN工程入力!$T$6:$T$35,$C82,⑪ZEN工程入力!$AF$6:$AF$35)+SUMIF(⑪ZEN工程入力!$U$6:$U$35,$C82,⑪ZEN工程入力!$AG$6:$AG$35)+SUMIF(⑪ZEN工程入力!$V$6:$V$35,$C82,⑪ZEN工程入力!$AH$6:$AH$35)+SUMIF(⑪ZEN工程入力!$W$6:$W$35,$C82,⑪ZEN工程入力!$AI$6:$AI$35)+SUMIF(⑫ミキサー工程入力!$R$6:$R$65,$C82,⑫ミキサー工程入力!$AD$6:$AD$65)+SUMIF(⑫ミキサー工程入力!$S$6:$S$65,$C82,⑫ミキサー工程入力!$AE$6:$AE$65)+SUMIF(⑫ミキサー工程入力!$T$6:$T$65,$C82,⑫ミキサー工程入力!$AF$6:$AF$65)+SUMIF(⑫ミキサー工程入力!$U$6:$U$65,$C82,⑫ミキサー工程入力!$AG$6:$AG$65)+SUMIF(⑫ミキサー工程入力!$V$6:$V$65,$C82,⑫ミキサー工程入力!$AH$6:$AH$65)+SUMIF(⑫ミキサー工程入力!$W$6:$W$65,$C82,⑫ミキサー工程入力!$AI$6:$AI$65)+SUMIF(⑬計量工程入力!$R$6:$R$65,$C82,⑬計量工程入力!$AD$6:$AD$65)+SUMIF(⑬計量工程入力!$S$6:$S$65,$C82,⑬計量工程入力!$AE$6:$AE$65)+SUMIF(⑬計量工程入力!$T$6:$T$65,$C82,⑬計量工程入力!$AF$6:$AF$65)+SUMIF(⑬計量工程入力!$U$6:$U$65,$C82,⑬計量工程入力!$AG$6:$AG$65)+SUMIF(⑬計量工程入力!$V$6:$V$65,$C82,⑬計量工程入力!$AH$6:$AH$65)+SUMIF(⑬計量工程入力!$W$6:$W$65,$C82,⑬計量工程入力!$AI$6:$AI$65)+SUMIF(⑭手動工程入力!$R$6:$R$47,$C82,⑭手動工程入力!$AD$6:$AD$47)+SUMIF(⑭手動工程入力!$S$6:$S$47,$C82,⑭手動工程入力!$AE$6:$AE$47)+SUMIF(⑭手動工程入力!$T$6:$T$47,$C82,⑭手動工程入力!$AF$6:$AF$47)+SUMIF(⑭手動工程入力!$U$6:$U$47,$C82,⑭手動工程入力!$AG$6:$AG$47)+SUMIF(⑭手動工程入力!$V$6:$V$47,$C82,⑭手動工程入力!$AH$6:$AH$47)+SUMIF(⑭手動工程入力!$W$6:$W$47,$C82,⑭手動工程入力!$AI$6:$AI$47)</f>
        <v/>
      </c>
      <c r="I82" s="393">
        <f>IF($F82&gt;0,$H82/$F82,"")</f>
        <v/>
      </c>
      <c r="J82" s="605">
        <f>IFERROR(INDEX(商品原価!$B$4:$B$112,MATCH(SUBSTITUTE(SUBSTITUTE(SUBSTITUTE(SUBSTITUTE(SUBSTITUTE(SUBSTITUTE(SUBSTITUTE(SUBSTITUTE(SUBSTITUTE(SUBSTITUTE(ASC($C82),"①","1"),"②","2"),"③","3"),"④","4"),"⑤","5"),"⑥","6"),"⑦","7"),"⑧","8"),"⑨","9")," ",""),商品原価!$C$4:$C$112,0)),"")</f>
        <v/>
      </c>
      <c r="K82" s="542">
        <f>IF(ISNUMBER($J82),$J82*④前提設定!$B$21,"")</f>
        <v/>
      </c>
      <c r="L82" s="605">
        <f>IF(AND(NOT(ISNUMBER($J82)),NOT(ISNUMBER($K82))),"",N($J82)+N($K82))</f>
        <v/>
      </c>
      <c r="M82" s="605">
        <f>IFERROR(INDEX(商品原価!$E$4:$E$112,MATCH(SUBSTITUTE(SUBSTITUTE(SUBSTITUTE(SUBSTITUTE(SUBSTITUTE(SUBSTITUTE(SUBSTITUTE(SUBSTITUTE(SUBSTITUTE(SUBSTITUTE(ASC($C82),"①","1"),"②","2"),"③","3"),"④","4"),"⑤","5"),"⑥","6"),"⑦","7"),"⑧","8"),"⑨","9")," ",""),商品原価!$C$4:$C$112,0)),"")</f>
        <v/>
      </c>
      <c r="N82" s="605">
        <f>IF(AND(ISNUMBER($M82),ISNUMBER($L82)),$M82-$L82-N($W82),"")</f>
        <v/>
      </c>
      <c r="O82" s="606">
        <f>IF(AND(ISNUMBER($N82),ISNUMBER($M82),$M82&gt;0),$N82/$M82,"")</f>
        <v/>
      </c>
      <c r="P82" s="398">
        <f>COUNTIF(②釜工程入力!$R$5:$R$117,$C82)+COUNTIF(②釜工程入力!$S$5:$S$117,$C82)+COUNTIF(②釜工程入力!$T$5:$T$117,$C82)+COUNTIF(②釜工程入力!$U$5:$U$117,$C82)+COUNTIF(②釜工程入力!$V$5:$V$117,$C82)+COUNTIF(②釜工程入力!$W$5:$W$117,$C82)+COUNTIF(③スチコン工程入力!$R$5:$R$152,$C82)+COUNTIF(③スチコン工程入力!$S$5:$S$152,$C82)+COUNTIF(③スチコン工程入力!$T$5:$T$152,$C82)+COUNTIF(③スチコン工程入力!$U$5:$U$152,$C82)+COUNTIF(③スチコン工程入力!$V$5:$V$152,$C82)+COUNTIF(③スチコン工程入力!$W$5:$W$152,$C82)+COUNTIF(⑩盛付梱包工程入力!$R$5:$R$300,$C82)+COUNTIF(⑩盛付梱包工程入力!$S$5:$S$300,$C82)+COUNTIF(⑩盛付梱包工程入力!$T$5:$T$300,$C82)+COUNTIF(⑩盛付梱包工程入力!$U$5:$U$300,$C82)+COUNTIF(⑩盛付梱包工程入力!$V$5:$V$300,$C82)+COUNTIF(⑩盛付梱包工程入力!$W$5:$W$300,$C82)+COUNTIF(⑪ZEN工程入力!$R$6:$R$35,$C82)+COUNTIF(⑪ZEN工程入力!$S$6:$S$35,$C82)+COUNTIF(⑪ZEN工程入力!$T$6:$T$35,$C82)+COUNTIF(⑪ZEN工程入力!$U$6:$U$35,$C82)+COUNTIF(⑪ZEN工程入力!$V$6:$V$35,$C82)+COUNTIF(⑪ZEN工程入力!$W$6:$W$35,$C82)+COUNTIF(⑫ミキサー工程入力!$R$6:$R$65,$C82)+COUNTIF(⑫ミキサー工程入力!$S$6:$S$65,$C82)+COUNTIF(⑫ミキサー工程入力!$T$6:$T$65,$C82)+COUNTIF(⑫ミキサー工程入力!$U$6:$U$65,$C82)+COUNTIF(⑫ミキサー工程入力!$V$6:$V$65,$C82)+COUNTIF(⑫ミキサー工程入力!$W$6:$W$65,$C82)+COUNTIF(⑬計量工程入力!$R$6:$R$65,$C82)+COUNTIF(⑬計量工程入力!$S$6:$S$65,$C82)+COUNTIF(⑬計量工程入力!$T$6:$T$65,$C82)+COUNTIF(⑬計量工程入力!$U$6:$U$65,$C82)+COUNTIF(⑬計量工程入力!$V$6:$V$65,$C82)+COUNTIF(⑬計量工程入力!$W$6:$W$65,$C82)+COUNTIF(⑭手動工程入力!$R$6:$R$47,$C82)+COUNTIF(⑭手動工程入力!$S$6:$S$47,$C82)+COUNTIF(⑭手動工程入力!$T$6:$T$47,$C82)+COUNTIF(⑭手動工程入力!$U$6:$U$47,$C82)+COUNTIF(⑭手動工程入力!$V$6:$V$47,$C82)+COUNTIF(⑭手動工程入力!$W$6:$W$47,$C82)</f>
        <v/>
      </c>
      <c r="Q82" s="392" t="n"/>
      <c r="R82" s="393" t="n"/>
      <c r="S82" s="393" t="n"/>
      <c r="T82" s="393" t="n"/>
      <c r="U82" s="393" t="n"/>
      <c r="V82" s="605">
        <f>IFERROR(INDEX(KIT別作業時間!$D$4:$D$27,MATCH(SUBSTITUTE(SUBSTITUTE(SUBSTITUTE(SUBSTITUTE(SUBSTITUTE(SUBSTITUTE(SUBSTITUTE(SUBSTITUTE(SUBSTITUTE(SUBSTITUTE(ASC($C82),"①","1"),"②","2"),"③","3"),"④","4"),"⑤","5"),"⑥","6"),"⑦","7"),"⑧","8"),"⑨","9")," ",""),KIT別作業時間!$C$4:$C$27,0)),"")</f>
        <v/>
      </c>
      <c r="W82" s="393">
        <f>IF(AND(ISNUMBER($I82),$I82&gt;0),$I82,IF(ISNUMBER($V82),$V82,IF(ISNUMBER($R82),$R82,"")))</f>
        <v/>
      </c>
      <c r="X82" s="393">
        <f>IF(AND(ISNUMBER($I82),$I82&gt;0),"今回の工程実績",IF(ISNUMBER($V82),"KIT作業時間",IF(ISNUMBER($R82),"前回資料","")))</f>
        <v/>
      </c>
      <c r="Y82" s="398" t="n">
        <v>1296</v>
      </c>
      <c r="Z82" s="398">
        <f>IF(AND(ISNUMBER($W82),ISNUMBER($Y82)),$W82*$Y82,"")</f>
        <v/>
      </c>
      <c r="AA82" s="393" t="n"/>
    </row>
    <row r="83">
      <c r="A83" s="392" t="n">
        <v>79</v>
      </c>
      <c r="B83" s="392" t="n"/>
      <c r="C83" s="392" t="inlineStr">
        <is>
          <t>スペアリブＫＩＴ</t>
        </is>
      </c>
      <c r="D83" s="398">
        <f>SUMIF(⑩盛付梱包工程入力!$R$5:$R$300,$C83,⑩盛付梱包工程入力!$AC$5:$AC$300)+SUMIF(⑩盛付梱包工程入力!$S$5:$S$300,$C83,⑩盛付梱包工程入力!$AC$5:$AC$300)+SUMIF(⑩盛付梱包工程入力!$T$5:$T$300,$C83,⑩盛付梱包工程入力!$AC$5:$AC$300)+SUMIF(⑩盛付梱包工程入力!$U$5:$U$300,$C83,⑩盛付梱包工程入力!$AC$5:$AC$300)+SUMIF(⑩盛付梱包工程入力!$V$5:$V$300,$C83,⑩盛付梱包工程入力!$AC$5:$AC$300)+SUMIF(⑩盛付梱包工程入力!$W$5:$W$300,$C83,⑩盛付梱包工程入力!$AC$5:$AC$300)</f>
        <v/>
      </c>
      <c r="E83" s="398" t="n">
        <v>1</v>
      </c>
      <c r="F83" s="398">
        <f>IF(N($E83)&gt;0,$E83,$D83)</f>
        <v/>
      </c>
      <c r="G83" s="393" t="n">
        <v>880.7099236641221</v>
      </c>
      <c r="H83" s="393">
        <f>SUMIF(②釜工程入力!$R$5:$R$117,$C83,②釜工程入力!$AD$5:$AD$117)+SUMIF(②釜工程入力!$S$5:$S$117,$C83,②釜工程入力!$AE$5:$AE$117)+SUMIF(②釜工程入力!$T$5:$T$117,$C83,②釜工程入力!$AF$5:$AF$117)+SUMIF(②釜工程入力!$U$5:$U$117,$C83,②釜工程入力!$AG$5:$AG$117)+SUMIF(②釜工程入力!$V$5:$V$117,$C83,②釜工程入力!$AH$5:$AH$117)+SUMIF(②釜工程入力!$W$5:$W$117,$C83,②釜工程入力!$AI$5:$AI$117)+SUMIF(③スチコン工程入力!$R$5:$R$152,$C83,③スチコン工程入力!$AD$5:$AD$152)+SUMIF(③スチコン工程入力!$S$5:$S$152,$C83,③スチコン工程入力!$AE$5:$AE$152)+SUMIF(③スチコン工程入力!$T$5:$T$152,$C83,③スチコン工程入力!$AF$5:$AF$152)+SUMIF(③スチコン工程入力!$U$5:$U$152,$C83,③スチコン工程入力!$AG$5:$AG$152)+SUMIF(③スチコン工程入力!$V$5:$V$152,$C83,③スチコン工程入力!$AH$5:$AH$152)+SUMIF(③スチコン工程入力!$W$5:$W$152,$C83,③スチコン工程入力!$AI$5:$AI$152)+SUMIF(⑩盛付梱包工程入力!$R$5:$R$300,$C83,⑩盛付梱包工程入力!$AD$5:$AD$300)+SUMIF(⑩盛付梱包工程入力!$S$5:$S$300,$C83,⑩盛付梱包工程入力!$AE$5:$AE$300)+SUMIF(⑩盛付梱包工程入力!$T$5:$T$300,$C83,⑩盛付梱包工程入力!$AF$5:$AF$300)+SUMIF(⑩盛付梱包工程入力!$U$5:$U$300,$C83,⑩盛付梱包工程入力!$AG$5:$AG$300)+SUMIF(⑩盛付梱包工程入力!$V$5:$V$300,$C83,⑩盛付梱包工程入力!$AH$5:$AH$300)+SUMIF(⑩盛付梱包工程入力!$W$5:$W$300,$C83,⑩盛付梱包工程入力!$AI$5:$AI$300)+SUMIF(⑪ZEN工程入力!$R$6:$R$35,$C83,⑪ZEN工程入力!$AD$6:$AD$35)+SUMIF(⑪ZEN工程入力!$S$6:$S$35,$C83,⑪ZEN工程入力!$AE$6:$AE$35)+SUMIF(⑪ZEN工程入力!$T$6:$T$35,$C83,⑪ZEN工程入力!$AF$6:$AF$35)+SUMIF(⑪ZEN工程入力!$U$6:$U$35,$C83,⑪ZEN工程入力!$AG$6:$AG$35)+SUMIF(⑪ZEN工程入力!$V$6:$V$35,$C83,⑪ZEN工程入力!$AH$6:$AH$35)+SUMIF(⑪ZEN工程入力!$W$6:$W$35,$C83,⑪ZEN工程入力!$AI$6:$AI$35)+SUMIF(⑫ミキサー工程入力!$R$6:$R$65,$C83,⑫ミキサー工程入力!$AD$6:$AD$65)+SUMIF(⑫ミキサー工程入力!$S$6:$S$65,$C83,⑫ミキサー工程入力!$AE$6:$AE$65)+SUMIF(⑫ミキサー工程入力!$T$6:$T$65,$C83,⑫ミキサー工程入力!$AF$6:$AF$65)+SUMIF(⑫ミキサー工程入力!$U$6:$U$65,$C83,⑫ミキサー工程入力!$AG$6:$AG$65)+SUMIF(⑫ミキサー工程入力!$V$6:$V$65,$C83,⑫ミキサー工程入力!$AH$6:$AH$65)+SUMIF(⑫ミキサー工程入力!$W$6:$W$65,$C83,⑫ミキサー工程入力!$AI$6:$AI$65)+SUMIF(⑬計量工程入力!$R$6:$R$65,$C83,⑬計量工程入力!$AD$6:$AD$65)+SUMIF(⑬計量工程入力!$S$6:$S$65,$C83,⑬計量工程入力!$AE$6:$AE$65)+SUMIF(⑬計量工程入力!$T$6:$T$65,$C83,⑬計量工程入力!$AF$6:$AF$65)+SUMIF(⑬計量工程入力!$U$6:$U$65,$C83,⑬計量工程入力!$AG$6:$AG$65)+SUMIF(⑬計量工程入力!$V$6:$V$65,$C83,⑬計量工程入力!$AH$6:$AH$65)+SUMIF(⑬計量工程入力!$W$6:$W$65,$C83,⑬計量工程入力!$AI$6:$AI$65)+SUMIF(⑭手動工程入力!$R$6:$R$47,$C83,⑭手動工程入力!$AD$6:$AD$47)+SUMIF(⑭手動工程入力!$S$6:$S$47,$C83,⑭手動工程入力!$AE$6:$AE$47)+SUMIF(⑭手動工程入力!$T$6:$T$47,$C83,⑭手動工程入力!$AF$6:$AF$47)+SUMIF(⑭手動工程入力!$U$6:$U$47,$C83,⑭手動工程入力!$AG$6:$AG$47)+SUMIF(⑭手動工程入力!$V$6:$V$47,$C83,⑭手動工程入力!$AH$6:$AH$47)+SUMIF(⑭手動工程入力!$W$6:$W$47,$C83,⑭手動工程入力!$AI$6:$AI$47)</f>
        <v/>
      </c>
      <c r="I83" s="393">
        <f>IF($F83&gt;0,$H83/$F83,"")</f>
        <v/>
      </c>
      <c r="J83" s="605">
        <f>IFERROR(INDEX(商品原価!$B$4:$B$112,MATCH(SUBSTITUTE(SUBSTITUTE(SUBSTITUTE(SUBSTITUTE(SUBSTITUTE(SUBSTITUTE(SUBSTITUTE(SUBSTITUTE(SUBSTITUTE(SUBSTITUTE(ASC($C83),"①","1"),"②","2"),"③","3"),"④","4"),"⑤","5"),"⑥","6"),"⑦","7"),"⑧","8"),"⑨","9")," ",""),商品原価!$C$4:$C$112,0)),"")</f>
        <v/>
      </c>
      <c r="K83" s="542">
        <f>IF(ISNUMBER($J83),$J83*④前提設定!$B$21,"")</f>
        <v/>
      </c>
      <c r="L83" s="605">
        <f>IF(AND(NOT(ISNUMBER($J83)),NOT(ISNUMBER($K83))),"",N($J83)+N($K83))</f>
        <v/>
      </c>
      <c r="M83" s="605">
        <f>IFERROR(INDEX(商品原価!$E$4:$E$112,MATCH(SUBSTITUTE(SUBSTITUTE(SUBSTITUTE(SUBSTITUTE(SUBSTITUTE(SUBSTITUTE(SUBSTITUTE(SUBSTITUTE(SUBSTITUTE(SUBSTITUTE(ASC($C83),"①","1"),"②","2"),"③","3"),"④","4"),"⑤","5"),"⑥","6"),"⑦","7"),"⑧","8"),"⑨","9")," ",""),商品原価!$C$4:$C$112,0)),"")</f>
        <v/>
      </c>
      <c r="N83" s="605">
        <f>IF(AND(ISNUMBER($M83),ISNUMBER($L83)),$M83-$L83-N($W83),"")</f>
        <v/>
      </c>
      <c r="O83" s="606">
        <f>IF(AND(ISNUMBER($N83),ISNUMBER($M83),$M83&gt;0),$N83/$M83,"")</f>
        <v/>
      </c>
      <c r="P83" s="398">
        <f>COUNTIF(②釜工程入力!$R$5:$R$117,$C83)+COUNTIF(②釜工程入力!$S$5:$S$117,$C83)+COUNTIF(②釜工程入力!$T$5:$T$117,$C83)+COUNTIF(②釜工程入力!$U$5:$U$117,$C83)+COUNTIF(②釜工程入力!$V$5:$V$117,$C83)+COUNTIF(②釜工程入力!$W$5:$W$117,$C83)+COUNTIF(③スチコン工程入力!$R$5:$R$152,$C83)+COUNTIF(③スチコン工程入力!$S$5:$S$152,$C83)+COUNTIF(③スチコン工程入力!$T$5:$T$152,$C83)+COUNTIF(③スチコン工程入力!$U$5:$U$152,$C83)+COUNTIF(③スチコン工程入力!$V$5:$V$152,$C83)+COUNTIF(③スチコン工程入力!$W$5:$W$152,$C83)+COUNTIF(⑩盛付梱包工程入力!$R$5:$R$300,$C83)+COUNTIF(⑩盛付梱包工程入力!$S$5:$S$300,$C83)+COUNTIF(⑩盛付梱包工程入力!$T$5:$T$300,$C83)+COUNTIF(⑩盛付梱包工程入力!$U$5:$U$300,$C83)+COUNTIF(⑩盛付梱包工程入力!$V$5:$V$300,$C83)+COUNTIF(⑩盛付梱包工程入力!$W$5:$W$300,$C83)+COUNTIF(⑪ZEN工程入力!$R$6:$R$35,$C83)+COUNTIF(⑪ZEN工程入力!$S$6:$S$35,$C83)+COUNTIF(⑪ZEN工程入力!$T$6:$T$35,$C83)+COUNTIF(⑪ZEN工程入力!$U$6:$U$35,$C83)+COUNTIF(⑪ZEN工程入力!$V$6:$V$35,$C83)+COUNTIF(⑪ZEN工程入力!$W$6:$W$35,$C83)+COUNTIF(⑫ミキサー工程入力!$R$6:$R$65,$C83)+COUNTIF(⑫ミキサー工程入力!$S$6:$S$65,$C83)+COUNTIF(⑫ミキサー工程入力!$T$6:$T$65,$C83)+COUNTIF(⑫ミキサー工程入力!$U$6:$U$65,$C83)+COUNTIF(⑫ミキサー工程入力!$V$6:$V$65,$C83)+COUNTIF(⑫ミキサー工程入力!$W$6:$W$65,$C83)+COUNTIF(⑬計量工程入力!$R$6:$R$65,$C83)+COUNTIF(⑬計量工程入力!$S$6:$S$65,$C83)+COUNTIF(⑬計量工程入力!$T$6:$T$65,$C83)+COUNTIF(⑬計量工程入力!$U$6:$U$65,$C83)+COUNTIF(⑬計量工程入力!$V$6:$V$65,$C83)+COUNTIF(⑬計量工程入力!$W$6:$W$65,$C83)+COUNTIF(⑭手動工程入力!$R$6:$R$47,$C83)+COUNTIF(⑭手動工程入力!$S$6:$S$47,$C83)+COUNTIF(⑭手動工程入力!$T$6:$T$47,$C83)+COUNTIF(⑭手動工程入力!$U$6:$U$47,$C83)+COUNTIF(⑭手動工程入力!$V$6:$V$47,$C83)+COUNTIF(⑭手動工程入力!$W$6:$W$47,$C83)</f>
        <v/>
      </c>
      <c r="Q83" s="392" t="inlineStr">
        <is>
          <t>⑩盛付梱包 84行目に入力欄を作成（工程記録なし）</t>
        </is>
      </c>
      <c r="R83" s="393" t="n"/>
      <c r="S83" s="393" t="n"/>
      <c r="T83" s="393" t="n"/>
      <c r="U83" s="393" t="n"/>
      <c r="V83" s="605">
        <f>IFERROR(INDEX(KIT別作業時間!$D$4:$D$27,MATCH(SUBSTITUTE(SUBSTITUTE(SUBSTITUTE(SUBSTITUTE(SUBSTITUTE(SUBSTITUTE(SUBSTITUTE(SUBSTITUTE(SUBSTITUTE(SUBSTITUTE(ASC($C83),"①","1"),"②","2"),"③","3"),"④","4"),"⑤","5"),"⑥","6"),"⑦","7"),"⑧","8"),"⑨","9")," ",""),KIT別作業時間!$C$4:$C$27,0)),"")</f>
        <v/>
      </c>
      <c r="W83" s="393">
        <f>IF(AND(ISNUMBER($I83),$I83&gt;0),$I83,IF(ISNUMBER($V83),$V83,IF(ISNUMBER($R83),$R83,"")))</f>
        <v/>
      </c>
      <c r="X83" s="393">
        <f>IF(AND(ISNUMBER($I83),$I83&gt;0),"今回の工程実績",IF(ISNUMBER($V83),"KIT作業時間",IF(ISNUMBER($R83),"前回資料","")))</f>
        <v/>
      </c>
      <c r="Y83" s="398" t="n">
        <v>44</v>
      </c>
      <c r="Z83" s="398">
        <f>IF(AND(ISNUMBER($W83),ISNUMBER($Y83)),$W83*$Y83,"")</f>
        <v/>
      </c>
      <c r="AA83" s="393" t="n"/>
    </row>
    <row r="84">
      <c r="A84" s="392" t="n">
        <v>80</v>
      </c>
      <c r="B84" s="392" t="n"/>
      <c r="C84" s="392" t="inlineStr">
        <is>
          <t>ふわもちホテルロール３個</t>
        </is>
      </c>
      <c r="D84" s="398">
        <f>SUMIF(⑩盛付梱包工程入力!$R$5:$R$300,$C84,⑩盛付梱包工程入力!$AC$5:$AC$300)+SUMIF(⑩盛付梱包工程入力!$S$5:$S$300,$C84,⑩盛付梱包工程入力!$AC$5:$AC$300)+SUMIF(⑩盛付梱包工程入力!$T$5:$T$300,$C84,⑩盛付梱包工程入力!$AC$5:$AC$300)+SUMIF(⑩盛付梱包工程入力!$U$5:$U$300,$C84,⑩盛付梱包工程入力!$AC$5:$AC$300)+SUMIF(⑩盛付梱包工程入力!$V$5:$V$300,$C84,⑩盛付梱包工程入力!$AC$5:$AC$300)+SUMIF(⑩盛付梱包工程入力!$W$5:$W$300,$C84,⑩盛付梱包工程入力!$AC$5:$AC$300)</f>
        <v/>
      </c>
      <c r="E84" s="398" t="n">
        <v>51</v>
      </c>
      <c r="F84" s="398">
        <f>IF(N($E84)&gt;0,$E84,$D84)</f>
        <v/>
      </c>
      <c r="G84" s="393" t="n">
        <v>19.4353169469599</v>
      </c>
      <c r="H84" s="393">
        <f>SUMIF(②釜工程入力!$R$5:$R$117,$C84,②釜工程入力!$AD$5:$AD$117)+SUMIF(②釜工程入力!$S$5:$S$117,$C84,②釜工程入力!$AE$5:$AE$117)+SUMIF(②釜工程入力!$T$5:$T$117,$C84,②釜工程入力!$AF$5:$AF$117)+SUMIF(②釜工程入力!$U$5:$U$117,$C84,②釜工程入力!$AG$5:$AG$117)+SUMIF(②釜工程入力!$V$5:$V$117,$C84,②釜工程入力!$AH$5:$AH$117)+SUMIF(②釜工程入力!$W$5:$W$117,$C84,②釜工程入力!$AI$5:$AI$117)+SUMIF(③スチコン工程入力!$R$5:$R$152,$C84,③スチコン工程入力!$AD$5:$AD$152)+SUMIF(③スチコン工程入力!$S$5:$S$152,$C84,③スチコン工程入力!$AE$5:$AE$152)+SUMIF(③スチコン工程入力!$T$5:$T$152,$C84,③スチコン工程入力!$AF$5:$AF$152)+SUMIF(③スチコン工程入力!$U$5:$U$152,$C84,③スチコン工程入力!$AG$5:$AG$152)+SUMIF(③スチコン工程入力!$V$5:$V$152,$C84,③スチコン工程入力!$AH$5:$AH$152)+SUMIF(③スチコン工程入力!$W$5:$W$152,$C84,③スチコン工程入力!$AI$5:$AI$152)+SUMIF(⑩盛付梱包工程入力!$R$5:$R$300,$C84,⑩盛付梱包工程入力!$AD$5:$AD$300)+SUMIF(⑩盛付梱包工程入力!$S$5:$S$300,$C84,⑩盛付梱包工程入力!$AE$5:$AE$300)+SUMIF(⑩盛付梱包工程入力!$T$5:$T$300,$C84,⑩盛付梱包工程入力!$AF$5:$AF$300)+SUMIF(⑩盛付梱包工程入力!$U$5:$U$300,$C84,⑩盛付梱包工程入力!$AG$5:$AG$300)+SUMIF(⑩盛付梱包工程入力!$V$5:$V$300,$C84,⑩盛付梱包工程入力!$AH$5:$AH$300)+SUMIF(⑩盛付梱包工程入力!$W$5:$W$300,$C84,⑩盛付梱包工程入力!$AI$5:$AI$300)+SUMIF(⑪ZEN工程入力!$R$6:$R$35,$C84,⑪ZEN工程入力!$AD$6:$AD$35)+SUMIF(⑪ZEN工程入力!$S$6:$S$35,$C84,⑪ZEN工程入力!$AE$6:$AE$35)+SUMIF(⑪ZEN工程入力!$T$6:$T$35,$C84,⑪ZEN工程入力!$AF$6:$AF$35)+SUMIF(⑪ZEN工程入力!$U$6:$U$35,$C84,⑪ZEN工程入力!$AG$6:$AG$35)+SUMIF(⑪ZEN工程入力!$V$6:$V$35,$C84,⑪ZEN工程入力!$AH$6:$AH$35)+SUMIF(⑪ZEN工程入力!$W$6:$W$35,$C84,⑪ZEN工程入力!$AI$6:$AI$35)+SUMIF(⑫ミキサー工程入力!$R$6:$R$65,$C84,⑫ミキサー工程入力!$AD$6:$AD$65)+SUMIF(⑫ミキサー工程入力!$S$6:$S$65,$C84,⑫ミキサー工程入力!$AE$6:$AE$65)+SUMIF(⑫ミキサー工程入力!$T$6:$T$65,$C84,⑫ミキサー工程入力!$AF$6:$AF$65)+SUMIF(⑫ミキサー工程入力!$U$6:$U$65,$C84,⑫ミキサー工程入力!$AG$6:$AG$65)+SUMIF(⑫ミキサー工程入力!$V$6:$V$65,$C84,⑫ミキサー工程入力!$AH$6:$AH$65)+SUMIF(⑫ミキサー工程入力!$W$6:$W$65,$C84,⑫ミキサー工程入力!$AI$6:$AI$65)+SUMIF(⑬計量工程入力!$R$6:$R$65,$C84,⑬計量工程入力!$AD$6:$AD$65)+SUMIF(⑬計量工程入力!$S$6:$S$65,$C84,⑬計量工程入力!$AE$6:$AE$65)+SUMIF(⑬計量工程入力!$T$6:$T$65,$C84,⑬計量工程入力!$AF$6:$AF$65)+SUMIF(⑬計量工程入力!$U$6:$U$65,$C84,⑬計量工程入力!$AG$6:$AG$65)+SUMIF(⑬計量工程入力!$V$6:$V$65,$C84,⑬計量工程入力!$AH$6:$AH$65)+SUMIF(⑬計量工程入力!$W$6:$W$65,$C84,⑬計量工程入力!$AI$6:$AI$65)+SUMIF(⑭手動工程入力!$R$6:$R$47,$C84,⑭手動工程入力!$AD$6:$AD$47)+SUMIF(⑭手動工程入力!$S$6:$S$47,$C84,⑭手動工程入力!$AE$6:$AE$47)+SUMIF(⑭手動工程入力!$T$6:$T$47,$C84,⑭手動工程入力!$AF$6:$AF$47)+SUMIF(⑭手動工程入力!$U$6:$U$47,$C84,⑭手動工程入力!$AG$6:$AG$47)+SUMIF(⑭手動工程入力!$V$6:$V$47,$C84,⑭手動工程入力!$AH$6:$AH$47)+SUMIF(⑭手動工程入力!$W$6:$W$47,$C84,⑭手動工程入力!$AI$6:$AI$47)</f>
        <v/>
      </c>
      <c r="I84" s="393">
        <f>IF($F84&gt;0,$H84/$F84,"")</f>
        <v/>
      </c>
      <c r="J84" s="605">
        <f>IFERROR(INDEX(商品原価!$B$4:$B$112,MATCH(SUBSTITUTE(SUBSTITUTE(SUBSTITUTE(SUBSTITUTE(SUBSTITUTE(SUBSTITUTE(SUBSTITUTE(SUBSTITUTE(SUBSTITUTE(SUBSTITUTE(ASC($C84),"①","1"),"②","2"),"③","3"),"④","4"),"⑤","5"),"⑥","6"),"⑦","7"),"⑧","8"),"⑨","9")," ",""),商品原価!$C$4:$C$112,0)),"")</f>
        <v/>
      </c>
      <c r="K84" s="542">
        <f>IF(ISNUMBER($J84),$J84*④前提設定!$B$21,"")</f>
        <v/>
      </c>
      <c r="L84" s="605">
        <f>IF(AND(NOT(ISNUMBER($J84)),NOT(ISNUMBER($K84))),"",N($J84)+N($K84))</f>
        <v/>
      </c>
      <c r="M84" s="605">
        <f>IFERROR(INDEX(商品原価!$E$4:$E$112,MATCH(SUBSTITUTE(SUBSTITUTE(SUBSTITUTE(SUBSTITUTE(SUBSTITUTE(SUBSTITUTE(SUBSTITUTE(SUBSTITUTE(SUBSTITUTE(SUBSTITUTE(ASC($C84),"①","1"),"②","2"),"③","3"),"④","4"),"⑤","5"),"⑥","6"),"⑦","7"),"⑧","8"),"⑨","9")," ",""),商品原価!$C$4:$C$112,0)),"")</f>
        <v/>
      </c>
      <c r="N84" s="605">
        <f>IF(AND(ISNUMBER($M84),ISNUMBER($L84)),$M84-$L84-N($W84),"")</f>
        <v/>
      </c>
      <c r="O84" s="606">
        <f>IF(AND(ISNUMBER($N84),ISNUMBER($M84),$M84&gt;0),$N84/$M84,"")</f>
        <v/>
      </c>
      <c r="P84" s="398">
        <f>COUNTIF(②釜工程入力!$R$5:$R$117,$C84)+COUNTIF(②釜工程入力!$S$5:$S$117,$C84)+COUNTIF(②釜工程入力!$T$5:$T$117,$C84)+COUNTIF(②釜工程入力!$U$5:$U$117,$C84)+COUNTIF(②釜工程入力!$V$5:$V$117,$C84)+COUNTIF(②釜工程入力!$W$5:$W$117,$C84)+COUNTIF(③スチコン工程入力!$R$5:$R$152,$C84)+COUNTIF(③スチコン工程入力!$S$5:$S$152,$C84)+COUNTIF(③スチコン工程入力!$T$5:$T$152,$C84)+COUNTIF(③スチコン工程入力!$U$5:$U$152,$C84)+COUNTIF(③スチコン工程入力!$V$5:$V$152,$C84)+COUNTIF(③スチコン工程入力!$W$5:$W$152,$C84)+COUNTIF(⑩盛付梱包工程入力!$R$5:$R$300,$C84)+COUNTIF(⑩盛付梱包工程入力!$S$5:$S$300,$C84)+COUNTIF(⑩盛付梱包工程入力!$T$5:$T$300,$C84)+COUNTIF(⑩盛付梱包工程入力!$U$5:$U$300,$C84)+COUNTIF(⑩盛付梱包工程入力!$V$5:$V$300,$C84)+COUNTIF(⑩盛付梱包工程入力!$W$5:$W$300,$C84)+COUNTIF(⑪ZEN工程入力!$R$6:$R$35,$C84)+COUNTIF(⑪ZEN工程入力!$S$6:$S$35,$C84)+COUNTIF(⑪ZEN工程入力!$T$6:$T$35,$C84)+COUNTIF(⑪ZEN工程入力!$U$6:$U$35,$C84)+COUNTIF(⑪ZEN工程入力!$V$6:$V$35,$C84)+COUNTIF(⑪ZEN工程入力!$W$6:$W$35,$C84)+COUNTIF(⑫ミキサー工程入力!$R$6:$R$65,$C84)+COUNTIF(⑫ミキサー工程入力!$S$6:$S$65,$C84)+COUNTIF(⑫ミキサー工程入力!$T$6:$T$65,$C84)+COUNTIF(⑫ミキサー工程入力!$U$6:$U$65,$C84)+COUNTIF(⑫ミキサー工程入力!$V$6:$V$65,$C84)+COUNTIF(⑫ミキサー工程入力!$W$6:$W$65,$C84)+COUNTIF(⑬計量工程入力!$R$6:$R$65,$C84)+COUNTIF(⑬計量工程入力!$S$6:$S$65,$C84)+COUNTIF(⑬計量工程入力!$T$6:$T$65,$C84)+COUNTIF(⑬計量工程入力!$U$6:$U$65,$C84)+COUNTIF(⑬計量工程入力!$V$6:$V$65,$C84)+COUNTIF(⑬計量工程入力!$W$6:$W$65,$C84)+COUNTIF(⑭手動工程入力!$R$6:$R$47,$C84)+COUNTIF(⑭手動工程入力!$S$6:$S$47,$C84)+COUNTIF(⑭手動工程入力!$T$6:$T$47,$C84)+COUNTIF(⑭手動工程入力!$U$6:$U$47,$C84)+COUNTIF(⑭手動工程入力!$V$6:$V$47,$C84)+COUNTIF(⑭手動工程入力!$W$6:$W$47,$C84)</f>
        <v/>
      </c>
      <c r="Q84" s="392" t="n"/>
      <c r="R84" s="393" t="n"/>
      <c r="S84" s="393" t="n"/>
      <c r="T84" s="393" t="n"/>
      <c r="U84" s="393" t="n"/>
      <c r="V84" s="605">
        <f>IFERROR(INDEX(KIT別作業時間!$D$4:$D$27,MATCH(SUBSTITUTE(SUBSTITUTE(SUBSTITUTE(SUBSTITUTE(SUBSTITUTE(SUBSTITUTE(SUBSTITUTE(SUBSTITUTE(SUBSTITUTE(SUBSTITUTE(ASC($C84),"①","1"),"②","2"),"③","3"),"④","4"),"⑤","5"),"⑥","6"),"⑦","7"),"⑧","8"),"⑨","9")," ",""),KIT別作業時間!$C$4:$C$27,0)),"")</f>
        <v/>
      </c>
      <c r="W84" s="393">
        <f>IF(AND(ISNUMBER($I84),$I84&gt;0),$I84,IF(ISNUMBER($V84),$V84,IF(ISNUMBER($R84),$R84,"")))</f>
        <v/>
      </c>
      <c r="X84" s="393">
        <f>IF(AND(ISNUMBER($I84),$I84&gt;0),"今回の工程実績",IF(ISNUMBER($V84),"KIT作業時間",IF(ISNUMBER($R84),"前回資料","")))</f>
        <v/>
      </c>
      <c r="Y84" s="398" t="n">
        <v>1334</v>
      </c>
      <c r="Z84" s="398">
        <f>IF(AND(ISNUMBER($W84),ISNUMBER($Y84)),$W84*$Y84,"")</f>
        <v/>
      </c>
      <c r="AA84" s="393" t="n"/>
    </row>
    <row r="85">
      <c r="A85" s="392" t="n">
        <v>81</v>
      </c>
      <c r="B85" s="392" t="n"/>
      <c r="C85" s="392" t="inlineStr">
        <is>
          <t>たっぷりトマトピザＫＩＴ</t>
        </is>
      </c>
      <c r="D85" s="398">
        <f>SUMIF(⑩盛付梱包工程入力!$R$5:$R$300,$C85,⑩盛付梱包工程入力!$AC$5:$AC$300)+SUMIF(⑩盛付梱包工程入力!$S$5:$S$300,$C85,⑩盛付梱包工程入力!$AC$5:$AC$300)+SUMIF(⑩盛付梱包工程入力!$T$5:$T$300,$C85,⑩盛付梱包工程入力!$AC$5:$AC$300)+SUMIF(⑩盛付梱包工程入力!$U$5:$U$300,$C85,⑩盛付梱包工程入力!$AC$5:$AC$300)+SUMIF(⑩盛付梱包工程入力!$V$5:$V$300,$C85,⑩盛付梱包工程入力!$AC$5:$AC$300)+SUMIF(⑩盛付梱包工程入力!$W$5:$W$300,$C85,⑩盛付梱包工程入力!$AC$5:$AC$300)</f>
        <v/>
      </c>
      <c r="E85" s="398" t="n">
        <v>6</v>
      </c>
      <c r="F85" s="398">
        <f>IF(N($E85)&gt;0,$E85,$D85)</f>
        <v/>
      </c>
      <c r="G85" s="393" t="n">
        <v>45</v>
      </c>
      <c r="H85" s="393">
        <f>SUMIF(②釜工程入力!$R$5:$R$117,$C85,②釜工程入力!$AD$5:$AD$117)+SUMIF(②釜工程入力!$S$5:$S$117,$C85,②釜工程入力!$AE$5:$AE$117)+SUMIF(②釜工程入力!$T$5:$T$117,$C85,②釜工程入力!$AF$5:$AF$117)+SUMIF(②釜工程入力!$U$5:$U$117,$C85,②釜工程入力!$AG$5:$AG$117)+SUMIF(②釜工程入力!$V$5:$V$117,$C85,②釜工程入力!$AH$5:$AH$117)+SUMIF(②釜工程入力!$W$5:$W$117,$C85,②釜工程入力!$AI$5:$AI$117)+SUMIF(③スチコン工程入力!$R$5:$R$152,$C85,③スチコン工程入力!$AD$5:$AD$152)+SUMIF(③スチコン工程入力!$S$5:$S$152,$C85,③スチコン工程入力!$AE$5:$AE$152)+SUMIF(③スチコン工程入力!$T$5:$T$152,$C85,③スチコン工程入力!$AF$5:$AF$152)+SUMIF(③スチコン工程入力!$U$5:$U$152,$C85,③スチコン工程入力!$AG$5:$AG$152)+SUMIF(③スチコン工程入力!$V$5:$V$152,$C85,③スチコン工程入力!$AH$5:$AH$152)+SUMIF(③スチコン工程入力!$W$5:$W$152,$C85,③スチコン工程入力!$AI$5:$AI$152)+SUMIF(⑩盛付梱包工程入力!$R$5:$R$300,$C85,⑩盛付梱包工程入力!$AD$5:$AD$300)+SUMIF(⑩盛付梱包工程入力!$S$5:$S$300,$C85,⑩盛付梱包工程入力!$AE$5:$AE$300)+SUMIF(⑩盛付梱包工程入力!$T$5:$T$300,$C85,⑩盛付梱包工程入力!$AF$5:$AF$300)+SUMIF(⑩盛付梱包工程入力!$U$5:$U$300,$C85,⑩盛付梱包工程入力!$AG$5:$AG$300)+SUMIF(⑩盛付梱包工程入力!$V$5:$V$300,$C85,⑩盛付梱包工程入力!$AH$5:$AH$300)+SUMIF(⑩盛付梱包工程入力!$W$5:$W$300,$C85,⑩盛付梱包工程入力!$AI$5:$AI$300)+SUMIF(⑪ZEN工程入力!$R$6:$R$35,$C85,⑪ZEN工程入力!$AD$6:$AD$35)+SUMIF(⑪ZEN工程入力!$S$6:$S$35,$C85,⑪ZEN工程入力!$AE$6:$AE$35)+SUMIF(⑪ZEN工程入力!$T$6:$T$35,$C85,⑪ZEN工程入力!$AF$6:$AF$35)+SUMIF(⑪ZEN工程入力!$U$6:$U$35,$C85,⑪ZEN工程入力!$AG$6:$AG$35)+SUMIF(⑪ZEN工程入力!$V$6:$V$35,$C85,⑪ZEN工程入力!$AH$6:$AH$35)+SUMIF(⑪ZEN工程入力!$W$6:$W$35,$C85,⑪ZEN工程入力!$AI$6:$AI$35)+SUMIF(⑫ミキサー工程入力!$R$6:$R$65,$C85,⑫ミキサー工程入力!$AD$6:$AD$65)+SUMIF(⑫ミキサー工程入力!$S$6:$S$65,$C85,⑫ミキサー工程入力!$AE$6:$AE$65)+SUMIF(⑫ミキサー工程入力!$T$6:$T$65,$C85,⑫ミキサー工程入力!$AF$6:$AF$65)+SUMIF(⑫ミキサー工程入力!$U$6:$U$65,$C85,⑫ミキサー工程入力!$AG$6:$AG$65)+SUMIF(⑫ミキサー工程入力!$V$6:$V$65,$C85,⑫ミキサー工程入力!$AH$6:$AH$65)+SUMIF(⑫ミキサー工程入力!$W$6:$W$65,$C85,⑫ミキサー工程入力!$AI$6:$AI$65)+SUMIF(⑬計量工程入力!$R$6:$R$65,$C85,⑬計量工程入力!$AD$6:$AD$65)+SUMIF(⑬計量工程入力!$S$6:$S$65,$C85,⑬計量工程入力!$AE$6:$AE$65)+SUMIF(⑬計量工程入力!$T$6:$T$65,$C85,⑬計量工程入力!$AF$6:$AF$65)+SUMIF(⑬計量工程入力!$U$6:$U$65,$C85,⑬計量工程入力!$AG$6:$AG$65)+SUMIF(⑬計量工程入力!$V$6:$V$65,$C85,⑬計量工程入力!$AH$6:$AH$65)+SUMIF(⑬計量工程入力!$W$6:$W$65,$C85,⑬計量工程入力!$AI$6:$AI$65)+SUMIF(⑭手動工程入力!$R$6:$R$47,$C85,⑭手動工程入力!$AD$6:$AD$47)+SUMIF(⑭手動工程入力!$S$6:$S$47,$C85,⑭手動工程入力!$AE$6:$AE$47)+SUMIF(⑭手動工程入力!$T$6:$T$47,$C85,⑭手動工程入力!$AF$6:$AF$47)+SUMIF(⑭手動工程入力!$U$6:$U$47,$C85,⑭手動工程入力!$AG$6:$AG$47)+SUMIF(⑭手動工程入力!$V$6:$V$47,$C85,⑭手動工程入力!$AH$6:$AH$47)+SUMIF(⑭手動工程入力!$W$6:$W$47,$C85,⑭手動工程入力!$AI$6:$AI$47)</f>
        <v/>
      </c>
      <c r="I85" s="393">
        <f>IF($F85&gt;0,$H85/$F85,"")</f>
        <v/>
      </c>
      <c r="J85" s="605">
        <f>IFERROR(INDEX(商品原価!$B$4:$B$112,MATCH(SUBSTITUTE(SUBSTITUTE(SUBSTITUTE(SUBSTITUTE(SUBSTITUTE(SUBSTITUTE(SUBSTITUTE(SUBSTITUTE(SUBSTITUTE(SUBSTITUTE(ASC($C85),"①","1"),"②","2"),"③","3"),"④","4"),"⑤","5"),"⑥","6"),"⑦","7"),"⑧","8"),"⑨","9")," ",""),商品原価!$C$4:$C$112,0)),"")</f>
        <v/>
      </c>
      <c r="K85" s="542">
        <f>IF(ISNUMBER($J85),$J85*④前提設定!$B$21,"")</f>
        <v/>
      </c>
      <c r="L85" s="605">
        <f>IF(AND(NOT(ISNUMBER($J85)),NOT(ISNUMBER($K85))),"",N($J85)+N($K85))</f>
        <v/>
      </c>
      <c r="M85" s="605">
        <f>IFERROR(INDEX(商品原価!$E$4:$E$112,MATCH(SUBSTITUTE(SUBSTITUTE(SUBSTITUTE(SUBSTITUTE(SUBSTITUTE(SUBSTITUTE(SUBSTITUTE(SUBSTITUTE(SUBSTITUTE(SUBSTITUTE(ASC($C85),"①","1"),"②","2"),"③","3"),"④","4"),"⑤","5"),"⑥","6"),"⑦","7"),"⑧","8"),"⑨","9")," ",""),商品原価!$C$4:$C$112,0)),"")</f>
        <v/>
      </c>
      <c r="N85" s="605">
        <f>IF(AND(ISNUMBER($M85),ISNUMBER($L85)),$M85-$L85-N($W85),"")</f>
        <v/>
      </c>
      <c r="O85" s="606">
        <f>IF(AND(ISNUMBER($N85),ISNUMBER($M85),$M85&gt;0),$N85/$M85,"")</f>
        <v/>
      </c>
      <c r="P85" s="398">
        <f>COUNTIF(②釜工程入力!$R$5:$R$117,$C85)+COUNTIF(②釜工程入力!$S$5:$S$117,$C85)+COUNTIF(②釜工程入力!$T$5:$T$117,$C85)+COUNTIF(②釜工程入力!$U$5:$U$117,$C85)+COUNTIF(②釜工程入力!$V$5:$V$117,$C85)+COUNTIF(②釜工程入力!$W$5:$W$117,$C85)+COUNTIF(③スチコン工程入力!$R$5:$R$152,$C85)+COUNTIF(③スチコン工程入力!$S$5:$S$152,$C85)+COUNTIF(③スチコン工程入力!$T$5:$T$152,$C85)+COUNTIF(③スチコン工程入力!$U$5:$U$152,$C85)+COUNTIF(③スチコン工程入力!$V$5:$V$152,$C85)+COUNTIF(③スチコン工程入力!$W$5:$W$152,$C85)+COUNTIF(⑩盛付梱包工程入力!$R$5:$R$300,$C85)+COUNTIF(⑩盛付梱包工程入力!$S$5:$S$300,$C85)+COUNTIF(⑩盛付梱包工程入力!$T$5:$T$300,$C85)+COUNTIF(⑩盛付梱包工程入力!$U$5:$U$300,$C85)+COUNTIF(⑩盛付梱包工程入力!$V$5:$V$300,$C85)+COUNTIF(⑩盛付梱包工程入力!$W$5:$W$300,$C85)+COUNTIF(⑪ZEN工程入力!$R$6:$R$35,$C85)+COUNTIF(⑪ZEN工程入力!$S$6:$S$35,$C85)+COUNTIF(⑪ZEN工程入力!$T$6:$T$35,$C85)+COUNTIF(⑪ZEN工程入力!$U$6:$U$35,$C85)+COUNTIF(⑪ZEN工程入力!$V$6:$V$35,$C85)+COUNTIF(⑪ZEN工程入力!$W$6:$W$35,$C85)+COUNTIF(⑫ミキサー工程入力!$R$6:$R$65,$C85)+COUNTIF(⑫ミキサー工程入力!$S$6:$S$65,$C85)+COUNTIF(⑫ミキサー工程入力!$T$6:$T$65,$C85)+COUNTIF(⑫ミキサー工程入力!$U$6:$U$65,$C85)+COUNTIF(⑫ミキサー工程入力!$V$6:$V$65,$C85)+COUNTIF(⑫ミキサー工程入力!$W$6:$W$65,$C85)+COUNTIF(⑬計量工程入力!$R$6:$R$65,$C85)+COUNTIF(⑬計量工程入力!$S$6:$S$65,$C85)+COUNTIF(⑬計量工程入力!$T$6:$T$65,$C85)+COUNTIF(⑬計量工程入力!$U$6:$U$65,$C85)+COUNTIF(⑬計量工程入力!$V$6:$V$65,$C85)+COUNTIF(⑬計量工程入力!$W$6:$W$65,$C85)+COUNTIF(⑭手動工程入力!$R$6:$R$47,$C85)+COUNTIF(⑭手動工程入力!$S$6:$S$47,$C85)+COUNTIF(⑭手動工程入力!$T$6:$T$47,$C85)+COUNTIF(⑭手動工程入力!$U$6:$U$47,$C85)+COUNTIF(⑭手動工程入力!$V$6:$V$47,$C85)+COUNTIF(⑭手動工程入力!$W$6:$W$47,$C85)</f>
        <v/>
      </c>
      <c r="Q85" s="392" t="inlineStr">
        <is>
          <t>⑩盛付梱包 70行目に入力欄を作成（工程記録なし）</t>
        </is>
      </c>
      <c r="R85" s="393" t="n"/>
      <c r="S85" s="393" t="n"/>
      <c r="T85" s="393" t="n"/>
      <c r="U85" s="393" t="n"/>
      <c r="V85" s="605">
        <f>IFERROR(INDEX(KIT別作業時間!$D$4:$D$27,MATCH(SUBSTITUTE(SUBSTITUTE(SUBSTITUTE(SUBSTITUTE(SUBSTITUTE(SUBSTITUTE(SUBSTITUTE(SUBSTITUTE(SUBSTITUTE(SUBSTITUTE(ASC($C85),"①","1"),"②","2"),"③","3"),"④","4"),"⑤","5"),"⑥","6"),"⑦","7"),"⑧","8"),"⑨","9")," ",""),KIT別作業時間!$C$4:$C$27,0)),"")</f>
        <v/>
      </c>
      <c r="W85" s="393">
        <f>IF(AND(ISNUMBER($I85),$I85&gt;0),$I85,IF(ISNUMBER($V85),$V85,IF(ISNUMBER($R85),$R85,"")))</f>
        <v/>
      </c>
      <c r="X85" s="393">
        <f>IF(AND(ISNUMBER($I85),$I85&gt;0),"今回の工程実績",IF(ISNUMBER($V85),"KIT作業時間",IF(ISNUMBER($R85),"前回資料","")))</f>
        <v/>
      </c>
      <c r="Y85" s="398" t="n">
        <v>273</v>
      </c>
      <c r="Z85" s="398">
        <f>IF(AND(ISNUMBER($W85),ISNUMBER($Y85)),$W85*$Y85,"")</f>
        <v/>
      </c>
      <c r="AA85" s="393" t="inlineStr">
        <is>
          <t>たっぷりトマトピザＫＩＴ２</t>
        </is>
      </c>
    </row>
    <row r="86">
      <c r="A86" s="392" t="n">
        <v>82</v>
      </c>
      <c r="B86" s="392" t="n"/>
      <c r="C86" s="392" t="inlineStr">
        <is>
          <t>全粒粉入り湯種ロール３個</t>
        </is>
      </c>
      <c r="D86" s="398">
        <f>SUMIF(⑩盛付梱包工程入力!$R$5:$R$300,$C86,⑩盛付梱包工程入力!$AC$5:$AC$300)+SUMIF(⑩盛付梱包工程入力!$S$5:$S$300,$C86,⑩盛付梱包工程入力!$AC$5:$AC$300)+SUMIF(⑩盛付梱包工程入力!$T$5:$T$300,$C86,⑩盛付梱包工程入力!$AC$5:$AC$300)+SUMIF(⑩盛付梱包工程入力!$U$5:$U$300,$C86,⑩盛付梱包工程入力!$AC$5:$AC$300)+SUMIF(⑩盛付梱包工程入力!$V$5:$V$300,$C86,⑩盛付梱包工程入力!$AC$5:$AC$300)+SUMIF(⑩盛付梱包工程入力!$W$5:$W$300,$C86,⑩盛付梱包工程入力!$AC$5:$AC$300)</f>
        <v/>
      </c>
      <c r="E86" s="398" t="n">
        <v>37</v>
      </c>
      <c r="F86" s="398">
        <f>IF(N($E86)&gt;0,$E86,$D86)</f>
        <v/>
      </c>
      <c r="G86" s="393" t="n">
        <v>23.47815533980582</v>
      </c>
      <c r="H86" s="393">
        <f>SUMIF(②釜工程入力!$R$5:$R$117,$C86,②釜工程入力!$AD$5:$AD$117)+SUMIF(②釜工程入力!$S$5:$S$117,$C86,②釜工程入力!$AE$5:$AE$117)+SUMIF(②釜工程入力!$T$5:$T$117,$C86,②釜工程入力!$AF$5:$AF$117)+SUMIF(②釜工程入力!$U$5:$U$117,$C86,②釜工程入力!$AG$5:$AG$117)+SUMIF(②釜工程入力!$V$5:$V$117,$C86,②釜工程入力!$AH$5:$AH$117)+SUMIF(②釜工程入力!$W$5:$W$117,$C86,②釜工程入力!$AI$5:$AI$117)+SUMIF(③スチコン工程入力!$R$5:$R$152,$C86,③スチコン工程入力!$AD$5:$AD$152)+SUMIF(③スチコン工程入力!$S$5:$S$152,$C86,③スチコン工程入力!$AE$5:$AE$152)+SUMIF(③スチコン工程入力!$T$5:$T$152,$C86,③スチコン工程入力!$AF$5:$AF$152)+SUMIF(③スチコン工程入力!$U$5:$U$152,$C86,③スチコン工程入力!$AG$5:$AG$152)+SUMIF(③スチコン工程入力!$V$5:$V$152,$C86,③スチコン工程入力!$AH$5:$AH$152)+SUMIF(③スチコン工程入力!$W$5:$W$152,$C86,③スチコン工程入力!$AI$5:$AI$152)+SUMIF(⑩盛付梱包工程入力!$R$5:$R$300,$C86,⑩盛付梱包工程入力!$AD$5:$AD$300)+SUMIF(⑩盛付梱包工程入力!$S$5:$S$300,$C86,⑩盛付梱包工程入力!$AE$5:$AE$300)+SUMIF(⑩盛付梱包工程入力!$T$5:$T$300,$C86,⑩盛付梱包工程入力!$AF$5:$AF$300)+SUMIF(⑩盛付梱包工程入力!$U$5:$U$300,$C86,⑩盛付梱包工程入力!$AG$5:$AG$300)+SUMIF(⑩盛付梱包工程入力!$V$5:$V$300,$C86,⑩盛付梱包工程入力!$AH$5:$AH$300)+SUMIF(⑩盛付梱包工程入力!$W$5:$W$300,$C86,⑩盛付梱包工程入力!$AI$5:$AI$300)+SUMIF(⑪ZEN工程入力!$R$6:$R$35,$C86,⑪ZEN工程入力!$AD$6:$AD$35)+SUMIF(⑪ZEN工程入力!$S$6:$S$35,$C86,⑪ZEN工程入力!$AE$6:$AE$35)+SUMIF(⑪ZEN工程入力!$T$6:$T$35,$C86,⑪ZEN工程入力!$AF$6:$AF$35)+SUMIF(⑪ZEN工程入力!$U$6:$U$35,$C86,⑪ZEN工程入力!$AG$6:$AG$35)+SUMIF(⑪ZEN工程入力!$V$6:$V$35,$C86,⑪ZEN工程入力!$AH$6:$AH$35)+SUMIF(⑪ZEN工程入力!$W$6:$W$35,$C86,⑪ZEN工程入力!$AI$6:$AI$35)+SUMIF(⑫ミキサー工程入力!$R$6:$R$65,$C86,⑫ミキサー工程入力!$AD$6:$AD$65)+SUMIF(⑫ミキサー工程入力!$S$6:$S$65,$C86,⑫ミキサー工程入力!$AE$6:$AE$65)+SUMIF(⑫ミキサー工程入力!$T$6:$T$65,$C86,⑫ミキサー工程入力!$AF$6:$AF$65)+SUMIF(⑫ミキサー工程入力!$U$6:$U$65,$C86,⑫ミキサー工程入力!$AG$6:$AG$65)+SUMIF(⑫ミキサー工程入力!$V$6:$V$65,$C86,⑫ミキサー工程入力!$AH$6:$AH$65)+SUMIF(⑫ミキサー工程入力!$W$6:$W$65,$C86,⑫ミキサー工程入力!$AI$6:$AI$65)+SUMIF(⑬計量工程入力!$R$6:$R$65,$C86,⑬計量工程入力!$AD$6:$AD$65)+SUMIF(⑬計量工程入力!$S$6:$S$65,$C86,⑬計量工程入力!$AE$6:$AE$65)+SUMIF(⑬計量工程入力!$T$6:$T$65,$C86,⑬計量工程入力!$AF$6:$AF$65)+SUMIF(⑬計量工程入力!$U$6:$U$65,$C86,⑬計量工程入力!$AG$6:$AG$65)+SUMIF(⑬計量工程入力!$V$6:$V$65,$C86,⑬計量工程入力!$AH$6:$AH$65)+SUMIF(⑬計量工程入力!$W$6:$W$65,$C86,⑬計量工程入力!$AI$6:$AI$65)+SUMIF(⑭手動工程入力!$R$6:$R$47,$C86,⑭手動工程入力!$AD$6:$AD$47)+SUMIF(⑭手動工程入力!$S$6:$S$47,$C86,⑭手動工程入力!$AE$6:$AE$47)+SUMIF(⑭手動工程入力!$T$6:$T$47,$C86,⑭手動工程入力!$AF$6:$AF$47)+SUMIF(⑭手動工程入力!$U$6:$U$47,$C86,⑭手動工程入力!$AG$6:$AG$47)+SUMIF(⑭手動工程入力!$V$6:$V$47,$C86,⑭手動工程入力!$AH$6:$AH$47)+SUMIF(⑭手動工程入力!$W$6:$W$47,$C86,⑭手動工程入力!$AI$6:$AI$47)</f>
        <v/>
      </c>
      <c r="I86" s="393">
        <f>IF($F86&gt;0,$H86/$F86,"")</f>
        <v/>
      </c>
      <c r="J86" s="605">
        <f>IFERROR(INDEX(商品原価!$B$4:$B$112,MATCH(SUBSTITUTE(SUBSTITUTE(SUBSTITUTE(SUBSTITUTE(SUBSTITUTE(SUBSTITUTE(SUBSTITUTE(SUBSTITUTE(SUBSTITUTE(SUBSTITUTE(ASC($C86),"①","1"),"②","2"),"③","3"),"④","4"),"⑤","5"),"⑥","6"),"⑦","7"),"⑧","8"),"⑨","9")," ",""),商品原価!$C$4:$C$112,0)),"")</f>
        <v/>
      </c>
      <c r="K86" s="542">
        <f>IF(ISNUMBER($J86),$J86*④前提設定!$B$21,"")</f>
        <v/>
      </c>
      <c r="L86" s="605">
        <f>IF(AND(NOT(ISNUMBER($J86)),NOT(ISNUMBER($K86))),"",N($J86)+N($K86))</f>
        <v/>
      </c>
      <c r="M86" s="605">
        <f>IFERROR(INDEX(商品原価!$E$4:$E$112,MATCH(SUBSTITUTE(SUBSTITUTE(SUBSTITUTE(SUBSTITUTE(SUBSTITUTE(SUBSTITUTE(SUBSTITUTE(SUBSTITUTE(SUBSTITUTE(SUBSTITUTE(ASC($C86),"①","1"),"②","2"),"③","3"),"④","4"),"⑤","5"),"⑥","6"),"⑦","7"),"⑧","8"),"⑨","9")," ",""),商品原価!$C$4:$C$112,0)),"")</f>
        <v/>
      </c>
      <c r="N86" s="605">
        <f>IF(AND(ISNUMBER($M86),ISNUMBER($L86)),$M86-$L86-N($W86),"")</f>
        <v/>
      </c>
      <c r="O86" s="606">
        <f>IF(AND(ISNUMBER($N86),ISNUMBER($M86),$M86&gt;0),$N86/$M86,"")</f>
        <v/>
      </c>
      <c r="P86" s="398">
        <f>COUNTIF(②釜工程入力!$R$5:$R$117,$C86)+COUNTIF(②釜工程入力!$S$5:$S$117,$C86)+COUNTIF(②釜工程入力!$T$5:$T$117,$C86)+COUNTIF(②釜工程入力!$U$5:$U$117,$C86)+COUNTIF(②釜工程入力!$V$5:$V$117,$C86)+COUNTIF(②釜工程入力!$W$5:$W$117,$C86)+COUNTIF(③スチコン工程入力!$R$5:$R$152,$C86)+COUNTIF(③スチコン工程入力!$S$5:$S$152,$C86)+COUNTIF(③スチコン工程入力!$T$5:$T$152,$C86)+COUNTIF(③スチコン工程入力!$U$5:$U$152,$C86)+COUNTIF(③スチコン工程入力!$V$5:$V$152,$C86)+COUNTIF(③スチコン工程入力!$W$5:$W$152,$C86)+COUNTIF(⑩盛付梱包工程入力!$R$5:$R$300,$C86)+COUNTIF(⑩盛付梱包工程入力!$S$5:$S$300,$C86)+COUNTIF(⑩盛付梱包工程入力!$T$5:$T$300,$C86)+COUNTIF(⑩盛付梱包工程入力!$U$5:$U$300,$C86)+COUNTIF(⑩盛付梱包工程入力!$V$5:$V$300,$C86)+COUNTIF(⑩盛付梱包工程入力!$W$5:$W$300,$C86)+COUNTIF(⑪ZEN工程入力!$R$6:$R$35,$C86)+COUNTIF(⑪ZEN工程入力!$S$6:$S$35,$C86)+COUNTIF(⑪ZEN工程入力!$T$6:$T$35,$C86)+COUNTIF(⑪ZEN工程入力!$U$6:$U$35,$C86)+COUNTIF(⑪ZEN工程入力!$V$6:$V$35,$C86)+COUNTIF(⑪ZEN工程入力!$W$6:$W$35,$C86)+COUNTIF(⑫ミキサー工程入力!$R$6:$R$65,$C86)+COUNTIF(⑫ミキサー工程入力!$S$6:$S$65,$C86)+COUNTIF(⑫ミキサー工程入力!$T$6:$T$65,$C86)+COUNTIF(⑫ミキサー工程入力!$U$6:$U$65,$C86)+COUNTIF(⑫ミキサー工程入力!$V$6:$V$65,$C86)+COUNTIF(⑫ミキサー工程入力!$W$6:$W$65,$C86)+COUNTIF(⑬計量工程入力!$R$6:$R$65,$C86)+COUNTIF(⑬計量工程入力!$S$6:$S$65,$C86)+COUNTIF(⑬計量工程入力!$T$6:$T$65,$C86)+COUNTIF(⑬計量工程入力!$U$6:$U$65,$C86)+COUNTIF(⑬計量工程入力!$V$6:$V$65,$C86)+COUNTIF(⑬計量工程入力!$W$6:$W$65,$C86)+COUNTIF(⑭手動工程入力!$R$6:$R$47,$C86)+COUNTIF(⑭手動工程入力!$S$6:$S$47,$C86)+COUNTIF(⑭手動工程入力!$T$6:$T$47,$C86)+COUNTIF(⑭手動工程入力!$U$6:$U$47,$C86)+COUNTIF(⑭手動工程入力!$V$6:$V$47,$C86)+COUNTIF(⑭手動工程入力!$W$6:$W$47,$C86)</f>
        <v/>
      </c>
      <c r="Q86" s="392" t="n"/>
      <c r="R86" s="393" t="n"/>
      <c r="S86" s="393" t="n"/>
      <c r="T86" s="393" t="n"/>
      <c r="U86" s="393" t="n"/>
      <c r="V86" s="605">
        <f>IFERROR(INDEX(KIT別作業時間!$D$4:$D$27,MATCH(SUBSTITUTE(SUBSTITUTE(SUBSTITUTE(SUBSTITUTE(SUBSTITUTE(SUBSTITUTE(SUBSTITUTE(SUBSTITUTE(SUBSTITUTE(SUBSTITUTE(ASC($C86),"①","1"),"②","2"),"③","3"),"④","4"),"⑤","5"),"⑥","6"),"⑦","7"),"⑧","8"),"⑨","9")," ",""),KIT別作業時間!$C$4:$C$27,0)),"")</f>
        <v/>
      </c>
      <c r="W86" s="393">
        <f>IF(AND(ISNUMBER($I86),$I86&gt;0),$I86,IF(ISNUMBER($V86),$V86,IF(ISNUMBER($R86),$R86,"")))</f>
        <v/>
      </c>
      <c r="X86" s="393">
        <f>IF(AND(ISNUMBER($I86),$I86&gt;0),"今回の工程実績",IF(ISNUMBER($V86),"KIT作業時間",IF(ISNUMBER($R86),"前回資料","")))</f>
        <v/>
      </c>
      <c r="Y86" s="398" t="n">
        <v>767</v>
      </c>
      <c r="Z86" s="398">
        <f>IF(AND(ISNUMBER($W86),ISNUMBER($Y86)),$W86*$Y86,"")</f>
        <v/>
      </c>
      <c r="AA86" s="393" t="n"/>
    </row>
    <row r="87">
      <c r="A87" s="392" t="n">
        <v>83</v>
      </c>
      <c r="B87" s="392" t="n"/>
      <c r="C87" s="392" t="inlineStr">
        <is>
          <t>たっぷりシェアシュー１８</t>
        </is>
      </c>
      <c r="D87" s="398">
        <f>SUMIF(⑩盛付梱包工程入力!$R$5:$R$300,$C87,⑩盛付梱包工程入力!$AC$5:$AC$300)+SUMIF(⑩盛付梱包工程入力!$S$5:$S$300,$C87,⑩盛付梱包工程入力!$AC$5:$AC$300)+SUMIF(⑩盛付梱包工程入力!$T$5:$T$300,$C87,⑩盛付梱包工程入力!$AC$5:$AC$300)+SUMIF(⑩盛付梱包工程入力!$U$5:$U$300,$C87,⑩盛付梱包工程入力!$AC$5:$AC$300)+SUMIF(⑩盛付梱包工程入力!$V$5:$V$300,$C87,⑩盛付梱包工程入力!$AC$5:$AC$300)+SUMIF(⑩盛付梱包工程入力!$W$5:$W$300,$C87,⑩盛付梱包工程入力!$AC$5:$AC$300)</f>
        <v/>
      </c>
      <c r="E87" s="398" t="n"/>
      <c r="F87" s="398">
        <f>IF(N($E87)&gt;0,$E87,$D87)</f>
        <v/>
      </c>
      <c r="G87" s="398" t="n"/>
      <c r="H87" s="393">
        <f>SUMIF(②釜工程入力!$R$5:$R$117,$C87,②釜工程入力!$AD$5:$AD$117)+SUMIF(②釜工程入力!$S$5:$S$117,$C87,②釜工程入力!$AE$5:$AE$117)+SUMIF(②釜工程入力!$T$5:$T$117,$C87,②釜工程入力!$AF$5:$AF$117)+SUMIF(②釜工程入力!$U$5:$U$117,$C87,②釜工程入力!$AG$5:$AG$117)+SUMIF(②釜工程入力!$V$5:$V$117,$C87,②釜工程入力!$AH$5:$AH$117)+SUMIF(②釜工程入力!$W$5:$W$117,$C87,②釜工程入力!$AI$5:$AI$117)+SUMIF(③スチコン工程入力!$R$5:$R$152,$C87,③スチコン工程入力!$AD$5:$AD$152)+SUMIF(③スチコン工程入力!$S$5:$S$152,$C87,③スチコン工程入力!$AE$5:$AE$152)+SUMIF(③スチコン工程入力!$T$5:$T$152,$C87,③スチコン工程入力!$AF$5:$AF$152)+SUMIF(③スチコン工程入力!$U$5:$U$152,$C87,③スチコン工程入力!$AG$5:$AG$152)+SUMIF(③スチコン工程入力!$V$5:$V$152,$C87,③スチコン工程入力!$AH$5:$AH$152)+SUMIF(③スチコン工程入力!$W$5:$W$152,$C87,③スチコン工程入力!$AI$5:$AI$152)+SUMIF(⑩盛付梱包工程入力!$R$5:$R$300,$C87,⑩盛付梱包工程入力!$AD$5:$AD$300)+SUMIF(⑩盛付梱包工程入力!$S$5:$S$300,$C87,⑩盛付梱包工程入力!$AE$5:$AE$300)+SUMIF(⑩盛付梱包工程入力!$T$5:$T$300,$C87,⑩盛付梱包工程入力!$AF$5:$AF$300)+SUMIF(⑩盛付梱包工程入力!$U$5:$U$300,$C87,⑩盛付梱包工程入力!$AG$5:$AG$300)+SUMIF(⑩盛付梱包工程入力!$V$5:$V$300,$C87,⑩盛付梱包工程入力!$AH$5:$AH$300)+SUMIF(⑩盛付梱包工程入力!$W$5:$W$300,$C87,⑩盛付梱包工程入力!$AI$5:$AI$300)+SUMIF(⑪ZEN工程入力!$R$6:$R$35,$C87,⑪ZEN工程入力!$AD$6:$AD$35)+SUMIF(⑪ZEN工程入力!$S$6:$S$35,$C87,⑪ZEN工程入力!$AE$6:$AE$35)+SUMIF(⑪ZEN工程入力!$T$6:$T$35,$C87,⑪ZEN工程入力!$AF$6:$AF$35)+SUMIF(⑪ZEN工程入力!$U$6:$U$35,$C87,⑪ZEN工程入力!$AG$6:$AG$35)+SUMIF(⑪ZEN工程入力!$V$6:$V$35,$C87,⑪ZEN工程入力!$AH$6:$AH$35)+SUMIF(⑪ZEN工程入力!$W$6:$W$35,$C87,⑪ZEN工程入力!$AI$6:$AI$35)+SUMIF(⑫ミキサー工程入力!$R$6:$R$65,$C87,⑫ミキサー工程入力!$AD$6:$AD$65)+SUMIF(⑫ミキサー工程入力!$S$6:$S$65,$C87,⑫ミキサー工程入力!$AE$6:$AE$65)+SUMIF(⑫ミキサー工程入力!$T$6:$T$65,$C87,⑫ミキサー工程入力!$AF$6:$AF$65)+SUMIF(⑫ミキサー工程入力!$U$6:$U$65,$C87,⑫ミキサー工程入力!$AG$6:$AG$65)+SUMIF(⑫ミキサー工程入力!$V$6:$V$65,$C87,⑫ミキサー工程入力!$AH$6:$AH$65)+SUMIF(⑫ミキサー工程入力!$W$6:$W$65,$C87,⑫ミキサー工程入力!$AI$6:$AI$65)+SUMIF(⑬計量工程入力!$R$6:$R$65,$C87,⑬計量工程入力!$AD$6:$AD$65)+SUMIF(⑬計量工程入力!$S$6:$S$65,$C87,⑬計量工程入力!$AE$6:$AE$65)+SUMIF(⑬計量工程入力!$T$6:$T$65,$C87,⑬計量工程入力!$AF$6:$AF$65)+SUMIF(⑬計量工程入力!$U$6:$U$65,$C87,⑬計量工程入力!$AG$6:$AG$65)+SUMIF(⑬計量工程入力!$V$6:$V$65,$C87,⑬計量工程入力!$AH$6:$AH$65)+SUMIF(⑬計量工程入力!$W$6:$W$65,$C87,⑬計量工程入力!$AI$6:$AI$65)+SUMIF(⑭手動工程入力!$R$6:$R$47,$C87,⑭手動工程入力!$AD$6:$AD$47)+SUMIF(⑭手動工程入力!$S$6:$S$47,$C87,⑭手動工程入力!$AE$6:$AE$47)+SUMIF(⑭手動工程入力!$T$6:$T$47,$C87,⑭手動工程入力!$AF$6:$AF$47)+SUMIF(⑭手動工程入力!$U$6:$U$47,$C87,⑭手動工程入力!$AG$6:$AG$47)+SUMIF(⑭手動工程入力!$V$6:$V$47,$C87,⑭手動工程入力!$AH$6:$AH$47)+SUMIF(⑭手動工程入力!$W$6:$W$47,$C87,⑭手動工程入力!$AI$6:$AI$47)</f>
        <v/>
      </c>
      <c r="I87" s="393">
        <f>IF($F87&gt;0,$H87/$F87,"")</f>
        <v/>
      </c>
      <c r="J87" s="605">
        <f>IFERROR(INDEX(商品原価!$B$4:$B$112,MATCH(SUBSTITUTE(SUBSTITUTE(SUBSTITUTE(SUBSTITUTE(SUBSTITUTE(SUBSTITUTE(SUBSTITUTE(SUBSTITUTE(SUBSTITUTE(SUBSTITUTE(ASC($C87),"①","1"),"②","2"),"③","3"),"④","4"),"⑤","5"),"⑥","6"),"⑦","7"),"⑧","8"),"⑨","9")," ",""),商品原価!$C$4:$C$112,0)),"")</f>
        <v/>
      </c>
      <c r="K87" s="542">
        <f>IF(ISNUMBER($J87),$J87*④前提設定!$B$21,"")</f>
        <v/>
      </c>
      <c r="L87" s="605">
        <f>IF(AND(NOT(ISNUMBER($J87)),NOT(ISNUMBER($K87))),"",N($J87)+N($K87))</f>
        <v/>
      </c>
      <c r="M87" s="605">
        <f>IFERROR(INDEX(商品原価!$E$4:$E$112,MATCH(SUBSTITUTE(SUBSTITUTE(SUBSTITUTE(SUBSTITUTE(SUBSTITUTE(SUBSTITUTE(SUBSTITUTE(SUBSTITUTE(SUBSTITUTE(SUBSTITUTE(ASC($C87),"①","1"),"②","2"),"③","3"),"④","4"),"⑤","5"),"⑥","6"),"⑦","7"),"⑧","8"),"⑨","9")," ",""),商品原価!$C$4:$C$112,0)),"")</f>
        <v/>
      </c>
      <c r="N87" s="605">
        <f>IF(AND(ISNUMBER($M87),ISNUMBER($L87)),$M87-$L87-N($W87),"")</f>
        <v/>
      </c>
      <c r="O87" s="606">
        <f>IF(AND(ISNUMBER($N87),ISNUMBER($M87),$M87&gt;0),$N87/$M87,"")</f>
        <v/>
      </c>
      <c r="P87" s="398">
        <f>COUNTIF(②釜工程入力!$R$5:$R$117,$C87)+COUNTIF(②釜工程入力!$S$5:$S$117,$C87)+COUNTIF(②釜工程入力!$T$5:$T$117,$C87)+COUNTIF(②釜工程入力!$U$5:$U$117,$C87)+COUNTIF(②釜工程入力!$V$5:$V$117,$C87)+COUNTIF(②釜工程入力!$W$5:$W$117,$C87)+COUNTIF(③スチコン工程入力!$R$5:$R$152,$C87)+COUNTIF(③スチコン工程入力!$S$5:$S$152,$C87)+COUNTIF(③スチコン工程入力!$T$5:$T$152,$C87)+COUNTIF(③スチコン工程入力!$U$5:$U$152,$C87)+COUNTIF(③スチコン工程入力!$V$5:$V$152,$C87)+COUNTIF(③スチコン工程入力!$W$5:$W$152,$C87)+COUNTIF(⑩盛付梱包工程入力!$R$5:$R$300,$C87)+COUNTIF(⑩盛付梱包工程入力!$S$5:$S$300,$C87)+COUNTIF(⑩盛付梱包工程入力!$T$5:$T$300,$C87)+COUNTIF(⑩盛付梱包工程入力!$U$5:$U$300,$C87)+COUNTIF(⑩盛付梱包工程入力!$V$5:$V$300,$C87)+COUNTIF(⑩盛付梱包工程入力!$W$5:$W$300,$C87)+COUNTIF(⑪ZEN工程入力!$R$6:$R$35,$C87)+COUNTIF(⑪ZEN工程入力!$S$6:$S$35,$C87)+COUNTIF(⑪ZEN工程入力!$T$6:$T$35,$C87)+COUNTIF(⑪ZEN工程入力!$U$6:$U$35,$C87)+COUNTIF(⑪ZEN工程入力!$V$6:$V$35,$C87)+COUNTIF(⑪ZEN工程入力!$W$6:$W$35,$C87)+COUNTIF(⑫ミキサー工程入力!$R$6:$R$65,$C87)+COUNTIF(⑫ミキサー工程入力!$S$6:$S$65,$C87)+COUNTIF(⑫ミキサー工程入力!$T$6:$T$65,$C87)+COUNTIF(⑫ミキサー工程入力!$U$6:$U$65,$C87)+COUNTIF(⑫ミキサー工程入力!$V$6:$V$65,$C87)+COUNTIF(⑫ミキサー工程入力!$W$6:$W$65,$C87)+COUNTIF(⑬計量工程入力!$R$6:$R$65,$C87)+COUNTIF(⑬計量工程入力!$S$6:$S$65,$C87)+COUNTIF(⑬計量工程入力!$T$6:$T$65,$C87)+COUNTIF(⑬計量工程入力!$U$6:$U$65,$C87)+COUNTIF(⑬計量工程入力!$V$6:$V$65,$C87)+COUNTIF(⑬計量工程入力!$W$6:$W$65,$C87)+COUNTIF(⑭手動工程入力!$R$6:$R$47,$C87)+COUNTIF(⑭手動工程入力!$S$6:$S$47,$C87)+COUNTIF(⑭手動工程入力!$T$6:$T$47,$C87)+COUNTIF(⑭手動工程入力!$U$6:$U$47,$C87)+COUNTIF(⑭手動工程入力!$V$6:$V$47,$C87)+COUNTIF(⑭手動工程入力!$W$6:$W$47,$C87)</f>
        <v/>
      </c>
      <c r="Q87" s="392" t="n"/>
      <c r="R87" s="393" t="n"/>
      <c r="S87" s="393" t="n"/>
      <c r="T87" s="393" t="n"/>
      <c r="U87" s="393" t="n"/>
      <c r="V87" s="605">
        <f>IFERROR(INDEX(KIT別作業時間!$D$4:$D$27,MATCH(SUBSTITUTE(SUBSTITUTE(SUBSTITUTE(SUBSTITUTE(SUBSTITUTE(SUBSTITUTE(SUBSTITUTE(SUBSTITUTE(SUBSTITUTE(SUBSTITUTE(ASC($C87),"①","1"),"②","2"),"③","3"),"④","4"),"⑤","5"),"⑥","6"),"⑦","7"),"⑧","8"),"⑨","9")," ",""),KIT別作業時間!$C$4:$C$27,0)),"")</f>
        <v/>
      </c>
      <c r="W87" s="393">
        <f>IF(AND(ISNUMBER($I87),$I87&gt;0),$I87,IF(ISNUMBER($V87),$V87,IF(ISNUMBER($R87),$R87,"")))</f>
        <v/>
      </c>
      <c r="X87" s="393">
        <f>IF(AND(ISNUMBER($I87),$I87&gt;0),"今回の工程実績",IF(ISNUMBER($V87),"KIT作業時間",IF(ISNUMBER($R87),"前回資料","")))</f>
        <v/>
      </c>
      <c r="Y87" s="398" t="n">
        <v>60</v>
      </c>
      <c r="Z87" s="398">
        <f>IF(AND(ISNUMBER($W87),ISNUMBER($Y87)),$W87*$Y87,"")</f>
        <v/>
      </c>
      <c r="AA87" s="393" t="n"/>
    </row>
    <row r="88">
      <c r="A88" s="392" t="n">
        <v>84</v>
      </c>
      <c r="B88" s="392" t="n"/>
      <c r="C88" s="392" t="inlineStr">
        <is>
          <t>南蛮（生もも）１０枚ＫＩＴ</t>
        </is>
      </c>
      <c r="D88" s="398">
        <f>SUMIF(⑩盛付梱包工程入力!$R$5:$R$300,$C88,⑩盛付梱包工程入力!$AC$5:$AC$300)+SUMIF(⑩盛付梱包工程入力!$S$5:$S$300,$C88,⑩盛付梱包工程入力!$AC$5:$AC$300)+SUMIF(⑩盛付梱包工程入力!$T$5:$T$300,$C88,⑩盛付梱包工程入力!$AC$5:$AC$300)+SUMIF(⑩盛付梱包工程入力!$U$5:$U$300,$C88,⑩盛付梱包工程入力!$AC$5:$AC$300)+SUMIF(⑩盛付梱包工程入力!$V$5:$V$300,$C88,⑩盛付梱包工程入力!$AC$5:$AC$300)+SUMIF(⑩盛付梱包工程入力!$W$5:$W$300,$C88,⑩盛付梱包工程入力!$AC$5:$AC$300)</f>
        <v/>
      </c>
      <c r="E88" s="398" t="n"/>
      <c r="F88" s="398">
        <f>IF(N($E88)&gt;0,$E88,$D88)</f>
        <v/>
      </c>
      <c r="G88" s="393" t="n">
        <v>255</v>
      </c>
      <c r="H88" s="393">
        <f>SUMIF(②釜工程入力!$R$5:$R$117,$C88,②釜工程入力!$AD$5:$AD$117)+SUMIF(②釜工程入力!$S$5:$S$117,$C88,②釜工程入力!$AE$5:$AE$117)+SUMIF(②釜工程入力!$T$5:$T$117,$C88,②釜工程入力!$AF$5:$AF$117)+SUMIF(②釜工程入力!$U$5:$U$117,$C88,②釜工程入力!$AG$5:$AG$117)+SUMIF(②釜工程入力!$V$5:$V$117,$C88,②釜工程入力!$AH$5:$AH$117)+SUMIF(②釜工程入力!$W$5:$W$117,$C88,②釜工程入力!$AI$5:$AI$117)+SUMIF(③スチコン工程入力!$R$5:$R$152,$C88,③スチコン工程入力!$AD$5:$AD$152)+SUMIF(③スチコン工程入力!$S$5:$S$152,$C88,③スチコン工程入力!$AE$5:$AE$152)+SUMIF(③スチコン工程入力!$T$5:$T$152,$C88,③スチコン工程入力!$AF$5:$AF$152)+SUMIF(③スチコン工程入力!$U$5:$U$152,$C88,③スチコン工程入力!$AG$5:$AG$152)+SUMIF(③スチコン工程入力!$V$5:$V$152,$C88,③スチコン工程入力!$AH$5:$AH$152)+SUMIF(③スチコン工程入力!$W$5:$W$152,$C88,③スチコン工程入力!$AI$5:$AI$152)+SUMIF(⑩盛付梱包工程入力!$R$5:$R$300,$C88,⑩盛付梱包工程入力!$AD$5:$AD$300)+SUMIF(⑩盛付梱包工程入力!$S$5:$S$300,$C88,⑩盛付梱包工程入力!$AE$5:$AE$300)+SUMIF(⑩盛付梱包工程入力!$T$5:$T$300,$C88,⑩盛付梱包工程入力!$AF$5:$AF$300)+SUMIF(⑩盛付梱包工程入力!$U$5:$U$300,$C88,⑩盛付梱包工程入力!$AG$5:$AG$300)+SUMIF(⑩盛付梱包工程入力!$V$5:$V$300,$C88,⑩盛付梱包工程入力!$AH$5:$AH$300)+SUMIF(⑩盛付梱包工程入力!$W$5:$W$300,$C88,⑩盛付梱包工程入力!$AI$5:$AI$300)+SUMIF(⑪ZEN工程入力!$R$6:$R$35,$C88,⑪ZEN工程入力!$AD$6:$AD$35)+SUMIF(⑪ZEN工程入力!$S$6:$S$35,$C88,⑪ZEN工程入力!$AE$6:$AE$35)+SUMIF(⑪ZEN工程入力!$T$6:$T$35,$C88,⑪ZEN工程入力!$AF$6:$AF$35)+SUMIF(⑪ZEN工程入力!$U$6:$U$35,$C88,⑪ZEN工程入力!$AG$6:$AG$35)+SUMIF(⑪ZEN工程入力!$V$6:$V$35,$C88,⑪ZEN工程入力!$AH$6:$AH$35)+SUMIF(⑪ZEN工程入力!$W$6:$W$35,$C88,⑪ZEN工程入力!$AI$6:$AI$35)+SUMIF(⑫ミキサー工程入力!$R$6:$R$65,$C88,⑫ミキサー工程入力!$AD$6:$AD$65)+SUMIF(⑫ミキサー工程入力!$S$6:$S$65,$C88,⑫ミキサー工程入力!$AE$6:$AE$65)+SUMIF(⑫ミキサー工程入力!$T$6:$T$65,$C88,⑫ミキサー工程入力!$AF$6:$AF$65)+SUMIF(⑫ミキサー工程入力!$U$6:$U$65,$C88,⑫ミキサー工程入力!$AG$6:$AG$65)+SUMIF(⑫ミキサー工程入力!$V$6:$V$65,$C88,⑫ミキサー工程入力!$AH$6:$AH$65)+SUMIF(⑫ミキサー工程入力!$W$6:$W$65,$C88,⑫ミキサー工程入力!$AI$6:$AI$65)+SUMIF(⑬計量工程入力!$R$6:$R$65,$C88,⑬計量工程入力!$AD$6:$AD$65)+SUMIF(⑬計量工程入力!$S$6:$S$65,$C88,⑬計量工程入力!$AE$6:$AE$65)+SUMIF(⑬計量工程入力!$T$6:$T$65,$C88,⑬計量工程入力!$AF$6:$AF$65)+SUMIF(⑬計量工程入力!$U$6:$U$65,$C88,⑬計量工程入力!$AG$6:$AG$65)+SUMIF(⑬計量工程入力!$V$6:$V$65,$C88,⑬計量工程入力!$AH$6:$AH$65)+SUMIF(⑬計量工程入力!$W$6:$W$65,$C88,⑬計量工程入力!$AI$6:$AI$65)+SUMIF(⑭手動工程入力!$R$6:$R$47,$C88,⑭手動工程入力!$AD$6:$AD$47)+SUMIF(⑭手動工程入力!$S$6:$S$47,$C88,⑭手動工程入力!$AE$6:$AE$47)+SUMIF(⑭手動工程入力!$T$6:$T$47,$C88,⑭手動工程入力!$AF$6:$AF$47)+SUMIF(⑭手動工程入力!$U$6:$U$47,$C88,⑭手動工程入力!$AG$6:$AG$47)+SUMIF(⑭手動工程入力!$V$6:$V$47,$C88,⑭手動工程入力!$AH$6:$AH$47)+SUMIF(⑭手動工程入力!$W$6:$W$47,$C88,⑭手動工程入力!$AI$6:$AI$47)</f>
        <v/>
      </c>
      <c r="I88" s="393">
        <f>IF($F88&gt;0,$H88/$F88,"")</f>
        <v/>
      </c>
      <c r="J88" s="605">
        <f>IFERROR(INDEX(商品原価!$B$4:$B$112,MATCH(SUBSTITUTE(SUBSTITUTE(SUBSTITUTE(SUBSTITUTE(SUBSTITUTE(SUBSTITUTE(SUBSTITUTE(SUBSTITUTE(SUBSTITUTE(SUBSTITUTE(ASC($C88),"①","1"),"②","2"),"③","3"),"④","4"),"⑤","5"),"⑥","6"),"⑦","7"),"⑧","8"),"⑨","9")," ",""),商品原価!$C$4:$C$112,0)),"")</f>
        <v/>
      </c>
      <c r="K88" s="542">
        <f>IF(ISNUMBER($J88),$J88*④前提設定!$B$21,"")</f>
        <v/>
      </c>
      <c r="L88" s="605">
        <f>IF(AND(NOT(ISNUMBER($J88)),NOT(ISNUMBER($K88))),"",N($J88)+N($K88))</f>
        <v/>
      </c>
      <c r="M88" s="605">
        <f>IFERROR(INDEX(商品原価!$E$4:$E$112,MATCH(SUBSTITUTE(SUBSTITUTE(SUBSTITUTE(SUBSTITUTE(SUBSTITUTE(SUBSTITUTE(SUBSTITUTE(SUBSTITUTE(SUBSTITUTE(SUBSTITUTE(ASC($C88),"①","1"),"②","2"),"③","3"),"④","4"),"⑤","5"),"⑥","6"),"⑦","7"),"⑧","8"),"⑨","9")," ",""),商品原価!$C$4:$C$112,0)),"")</f>
        <v/>
      </c>
      <c r="N88" s="605">
        <f>IF(AND(ISNUMBER($M88),ISNUMBER($L88)),$M88-$L88-N($W88),"")</f>
        <v/>
      </c>
      <c r="O88" s="606">
        <f>IF(AND(ISNUMBER($N88),ISNUMBER($M88),$M88&gt;0),$N88/$M88,"")</f>
        <v/>
      </c>
      <c r="P88" s="398">
        <f>COUNTIF(②釜工程入力!$R$5:$R$117,$C88)+COUNTIF(②釜工程入力!$S$5:$S$117,$C88)+COUNTIF(②釜工程入力!$T$5:$T$117,$C88)+COUNTIF(②釜工程入力!$U$5:$U$117,$C88)+COUNTIF(②釜工程入力!$V$5:$V$117,$C88)+COUNTIF(②釜工程入力!$W$5:$W$117,$C88)+COUNTIF(③スチコン工程入力!$R$5:$R$152,$C88)+COUNTIF(③スチコン工程入力!$S$5:$S$152,$C88)+COUNTIF(③スチコン工程入力!$T$5:$T$152,$C88)+COUNTIF(③スチコン工程入力!$U$5:$U$152,$C88)+COUNTIF(③スチコン工程入力!$V$5:$V$152,$C88)+COUNTIF(③スチコン工程入力!$W$5:$W$152,$C88)+COUNTIF(⑩盛付梱包工程入力!$R$5:$R$300,$C88)+COUNTIF(⑩盛付梱包工程入力!$S$5:$S$300,$C88)+COUNTIF(⑩盛付梱包工程入力!$T$5:$T$300,$C88)+COUNTIF(⑩盛付梱包工程入力!$U$5:$U$300,$C88)+COUNTIF(⑩盛付梱包工程入力!$V$5:$V$300,$C88)+COUNTIF(⑩盛付梱包工程入力!$W$5:$W$300,$C88)+COUNTIF(⑪ZEN工程入力!$R$6:$R$35,$C88)+COUNTIF(⑪ZEN工程入力!$S$6:$S$35,$C88)+COUNTIF(⑪ZEN工程入力!$T$6:$T$35,$C88)+COUNTIF(⑪ZEN工程入力!$U$6:$U$35,$C88)+COUNTIF(⑪ZEN工程入力!$V$6:$V$35,$C88)+COUNTIF(⑪ZEN工程入力!$W$6:$W$35,$C88)+COUNTIF(⑫ミキサー工程入力!$R$6:$R$65,$C88)+COUNTIF(⑫ミキサー工程入力!$S$6:$S$65,$C88)+COUNTIF(⑫ミキサー工程入力!$T$6:$T$65,$C88)+COUNTIF(⑫ミキサー工程入力!$U$6:$U$65,$C88)+COUNTIF(⑫ミキサー工程入力!$V$6:$V$65,$C88)+COUNTIF(⑫ミキサー工程入力!$W$6:$W$65,$C88)+COUNTIF(⑬計量工程入力!$R$6:$R$65,$C88)+COUNTIF(⑬計量工程入力!$S$6:$S$65,$C88)+COUNTIF(⑬計量工程入力!$T$6:$T$65,$C88)+COUNTIF(⑬計量工程入力!$U$6:$U$65,$C88)+COUNTIF(⑬計量工程入力!$V$6:$V$65,$C88)+COUNTIF(⑬計量工程入力!$W$6:$W$65,$C88)+COUNTIF(⑭手動工程入力!$R$6:$R$47,$C88)+COUNTIF(⑭手動工程入力!$S$6:$S$47,$C88)+COUNTIF(⑭手動工程入力!$T$6:$T$47,$C88)+COUNTIF(⑭手動工程入力!$U$6:$U$47,$C88)+COUNTIF(⑭手動工程入力!$V$6:$V$47,$C88)+COUNTIF(⑭手動工程入力!$W$6:$W$47,$C88)</f>
        <v/>
      </c>
      <c r="Q88" s="392" t="n"/>
      <c r="R88" s="393" t="n"/>
      <c r="S88" s="393" t="n"/>
      <c r="T88" s="393" t="n"/>
      <c r="U88" s="393" t="n"/>
      <c r="V88" s="605">
        <f>IFERROR(INDEX(KIT別作業時間!$D$4:$D$27,MATCH(SUBSTITUTE(SUBSTITUTE(SUBSTITUTE(SUBSTITUTE(SUBSTITUTE(SUBSTITUTE(SUBSTITUTE(SUBSTITUTE(SUBSTITUTE(SUBSTITUTE(ASC($C88),"①","1"),"②","2"),"③","3"),"④","4"),"⑤","5"),"⑥","6"),"⑦","7"),"⑧","8"),"⑨","9")," ",""),KIT別作業時間!$C$4:$C$27,0)),"")</f>
        <v/>
      </c>
      <c r="W88" s="393">
        <f>IF(AND(ISNUMBER($I88),$I88&gt;0),$I88,IF(ISNUMBER($V88),$V88,IF(ISNUMBER($R88),$R88,"")))</f>
        <v/>
      </c>
      <c r="X88" s="393">
        <f>IF(AND(ISNUMBER($I88),$I88&gt;0),"今回の工程実績",IF(ISNUMBER($V88),"KIT作業時間",IF(ISNUMBER($R88),"前回資料","")))</f>
        <v/>
      </c>
      <c r="Y88" s="398" t="n">
        <v>31</v>
      </c>
      <c r="Z88" s="398">
        <f>IF(AND(ISNUMBER($W88),ISNUMBER($Y88)),$W88*$Y88,"")</f>
        <v/>
      </c>
      <c r="AA88" s="393" t="n"/>
    </row>
    <row r="89">
      <c r="A89" s="392" t="n">
        <v>85</v>
      </c>
      <c r="B89" s="392" t="n"/>
      <c r="C89" s="392" t="inlineStr">
        <is>
          <t>ホテルロールＫＩＴ　４０個</t>
        </is>
      </c>
      <c r="D89" s="398">
        <f>SUMIF(⑩盛付梱包工程入力!$R$5:$R$300,$C89,⑩盛付梱包工程入力!$AC$5:$AC$300)+SUMIF(⑩盛付梱包工程入力!$S$5:$S$300,$C89,⑩盛付梱包工程入力!$AC$5:$AC$300)+SUMIF(⑩盛付梱包工程入力!$T$5:$T$300,$C89,⑩盛付梱包工程入力!$AC$5:$AC$300)+SUMIF(⑩盛付梱包工程入力!$U$5:$U$300,$C89,⑩盛付梱包工程入力!$AC$5:$AC$300)+SUMIF(⑩盛付梱包工程入力!$V$5:$V$300,$C89,⑩盛付梱包工程入力!$AC$5:$AC$300)+SUMIF(⑩盛付梱包工程入力!$W$5:$W$300,$C89,⑩盛付梱包工程入力!$AC$5:$AC$300)</f>
        <v/>
      </c>
      <c r="E89" s="398" t="n">
        <v>2</v>
      </c>
      <c r="F89" s="398">
        <f>IF(N($E89)&gt;0,$E89,$D89)</f>
        <v/>
      </c>
      <c r="G89" s="393" t="n">
        <v>102</v>
      </c>
      <c r="H89" s="393">
        <f>SUMIF(②釜工程入力!$R$5:$R$117,$C89,②釜工程入力!$AD$5:$AD$117)+SUMIF(②釜工程入力!$S$5:$S$117,$C89,②釜工程入力!$AE$5:$AE$117)+SUMIF(②釜工程入力!$T$5:$T$117,$C89,②釜工程入力!$AF$5:$AF$117)+SUMIF(②釜工程入力!$U$5:$U$117,$C89,②釜工程入力!$AG$5:$AG$117)+SUMIF(②釜工程入力!$V$5:$V$117,$C89,②釜工程入力!$AH$5:$AH$117)+SUMIF(②釜工程入力!$W$5:$W$117,$C89,②釜工程入力!$AI$5:$AI$117)+SUMIF(③スチコン工程入力!$R$5:$R$152,$C89,③スチコン工程入力!$AD$5:$AD$152)+SUMIF(③スチコン工程入力!$S$5:$S$152,$C89,③スチコン工程入力!$AE$5:$AE$152)+SUMIF(③スチコン工程入力!$T$5:$T$152,$C89,③スチコン工程入力!$AF$5:$AF$152)+SUMIF(③スチコン工程入力!$U$5:$U$152,$C89,③スチコン工程入力!$AG$5:$AG$152)+SUMIF(③スチコン工程入力!$V$5:$V$152,$C89,③スチコン工程入力!$AH$5:$AH$152)+SUMIF(③スチコン工程入力!$W$5:$W$152,$C89,③スチコン工程入力!$AI$5:$AI$152)+SUMIF(⑩盛付梱包工程入力!$R$5:$R$300,$C89,⑩盛付梱包工程入力!$AD$5:$AD$300)+SUMIF(⑩盛付梱包工程入力!$S$5:$S$300,$C89,⑩盛付梱包工程入力!$AE$5:$AE$300)+SUMIF(⑩盛付梱包工程入力!$T$5:$T$300,$C89,⑩盛付梱包工程入力!$AF$5:$AF$300)+SUMIF(⑩盛付梱包工程入力!$U$5:$U$300,$C89,⑩盛付梱包工程入力!$AG$5:$AG$300)+SUMIF(⑩盛付梱包工程入力!$V$5:$V$300,$C89,⑩盛付梱包工程入力!$AH$5:$AH$300)+SUMIF(⑩盛付梱包工程入力!$W$5:$W$300,$C89,⑩盛付梱包工程入力!$AI$5:$AI$300)+SUMIF(⑪ZEN工程入力!$R$6:$R$35,$C89,⑪ZEN工程入力!$AD$6:$AD$35)+SUMIF(⑪ZEN工程入力!$S$6:$S$35,$C89,⑪ZEN工程入力!$AE$6:$AE$35)+SUMIF(⑪ZEN工程入力!$T$6:$T$35,$C89,⑪ZEN工程入力!$AF$6:$AF$35)+SUMIF(⑪ZEN工程入力!$U$6:$U$35,$C89,⑪ZEN工程入力!$AG$6:$AG$35)+SUMIF(⑪ZEN工程入力!$V$6:$V$35,$C89,⑪ZEN工程入力!$AH$6:$AH$35)+SUMIF(⑪ZEN工程入力!$W$6:$W$35,$C89,⑪ZEN工程入力!$AI$6:$AI$35)+SUMIF(⑫ミキサー工程入力!$R$6:$R$65,$C89,⑫ミキサー工程入力!$AD$6:$AD$65)+SUMIF(⑫ミキサー工程入力!$S$6:$S$65,$C89,⑫ミキサー工程入力!$AE$6:$AE$65)+SUMIF(⑫ミキサー工程入力!$T$6:$T$65,$C89,⑫ミキサー工程入力!$AF$6:$AF$65)+SUMIF(⑫ミキサー工程入力!$U$6:$U$65,$C89,⑫ミキサー工程入力!$AG$6:$AG$65)+SUMIF(⑫ミキサー工程入力!$V$6:$V$65,$C89,⑫ミキサー工程入力!$AH$6:$AH$65)+SUMIF(⑫ミキサー工程入力!$W$6:$W$65,$C89,⑫ミキサー工程入力!$AI$6:$AI$65)+SUMIF(⑬計量工程入力!$R$6:$R$65,$C89,⑬計量工程入力!$AD$6:$AD$65)+SUMIF(⑬計量工程入力!$S$6:$S$65,$C89,⑬計量工程入力!$AE$6:$AE$65)+SUMIF(⑬計量工程入力!$T$6:$T$65,$C89,⑬計量工程入力!$AF$6:$AF$65)+SUMIF(⑬計量工程入力!$U$6:$U$65,$C89,⑬計量工程入力!$AG$6:$AG$65)+SUMIF(⑬計量工程入力!$V$6:$V$65,$C89,⑬計量工程入力!$AH$6:$AH$65)+SUMIF(⑬計量工程入力!$W$6:$W$65,$C89,⑬計量工程入力!$AI$6:$AI$65)+SUMIF(⑭手動工程入力!$R$6:$R$47,$C89,⑭手動工程入力!$AD$6:$AD$47)+SUMIF(⑭手動工程入力!$S$6:$S$47,$C89,⑭手動工程入力!$AE$6:$AE$47)+SUMIF(⑭手動工程入力!$T$6:$T$47,$C89,⑭手動工程入力!$AF$6:$AF$47)+SUMIF(⑭手動工程入力!$U$6:$U$47,$C89,⑭手動工程入力!$AG$6:$AG$47)+SUMIF(⑭手動工程入力!$V$6:$V$47,$C89,⑭手動工程入力!$AH$6:$AH$47)+SUMIF(⑭手動工程入力!$W$6:$W$47,$C89,⑭手動工程入力!$AI$6:$AI$47)</f>
        <v/>
      </c>
      <c r="I89" s="393">
        <f>IF($F89&gt;0,$H89/$F89,"")</f>
        <v/>
      </c>
      <c r="J89" s="605">
        <f>IFERROR(INDEX(商品原価!$B$4:$B$112,MATCH(SUBSTITUTE(SUBSTITUTE(SUBSTITUTE(SUBSTITUTE(SUBSTITUTE(SUBSTITUTE(SUBSTITUTE(SUBSTITUTE(SUBSTITUTE(SUBSTITUTE(ASC($C89),"①","1"),"②","2"),"③","3"),"④","4"),"⑤","5"),"⑥","6"),"⑦","7"),"⑧","8"),"⑨","9")," ",""),商品原価!$C$4:$C$112,0)),"")</f>
        <v/>
      </c>
      <c r="K89" s="542">
        <f>IF(ISNUMBER($J89),$J89*④前提設定!$B$21,"")</f>
        <v/>
      </c>
      <c r="L89" s="605">
        <f>IF(AND(NOT(ISNUMBER($J89)),NOT(ISNUMBER($K89))),"",N($J89)+N($K89))</f>
        <v/>
      </c>
      <c r="M89" s="605">
        <f>IFERROR(INDEX(商品原価!$E$4:$E$112,MATCH(SUBSTITUTE(SUBSTITUTE(SUBSTITUTE(SUBSTITUTE(SUBSTITUTE(SUBSTITUTE(SUBSTITUTE(SUBSTITUTE(SUBSTITUTE(SUBSTITUTE(ASC($C89),"①","1"),"②","2"),"③","3"),"④","4"),"⑤","5"),"⑥","6"),"⑦","7"),"⑧","8"),"⑨","9")," ",""),商品原価!$C$4:$C$112,0)),"")</f>
        <v/>
      </c>
      <c r="N89" s="605">
        <f>IF(AND(ISNUMBER($M89),ISNUMBER($L89)),$M89-$L89-N($W89),"")</f>
        <v/>
      </c>
      <c r="O89" s="606">
        <f>IF(AND(ISNUMBER($N89),ISNUMBER($M89),$M89&gt;0),$N89/$M89,"")</f>
        <v/>
      </c>
      <c r="P89" s="398">
        <f>COUNTIF(②釜工程入力!$R$5:$R$117,$C89)+COUNTIF(②釜工程入力!$S$5:$S$117,$C89)+COUNTIF(②釜工程入力!$T$5:$T$117,$C89)+COUNTIF(②釜工程入力!$U$5:$U$117,$C89)+COUNTIF(②釜工程入力!$V$5:$V$117,$C89)+COUNTIF(②釜工程入力!$W$5:$W$117,$C89)+COUNTIF(③スチコン工程入力!$R$5:$R$152,$C89)+COUNTIF(③スチコン工程入力!$S$5:$S$152,$C89)+COUNTIF(③スチコン工程入力!$T$5:$T$152,$C89)+COUNTIF(③スチコン工程入力!$U$5:$U$152,$C89)+COUNTIF(③スチコン工程入力!$V$5:$V$152,$C89)+COUNTIF(③スチコン工程入力!$W$5:$W$152,$C89)+COUNTIF(⑩盛付梱包工程入力!$R$5:$R$300,$C89)+COUNTIF(⑩盛付梱包工程入力!$S$5:$S$300,$C89)+COUNTIF(⑩盛付梱包工程入力!$T$5:$T$300,$C89)+COUNTIF(⑩盛付梱包工程入力!$U$5:$U$300,$C89)+COUNTIF(⑩盛付梱包工程入力!$V$5:$V$300,$C89)+COUNTIF(⑩盛付梱包工程入力!$W$5:$W$300,$C89)+COUNTIF(⑪ZEN工程入力!$R$6:$R$35,$C89)+COUNTIF(⑪ZEN工程入力!$S$6:$S$35,$C89)+COUNTIF(⑪ZEN工程入力!$T$6:$T$35,$C89)+COUNTIF(⑪ZEN工程入力!$U$6:$U$35,$C89)+COUNTIF(⑪ZEN工程入力!$V$6:$V$35,$C89)+COUNTIF(⑪ZEN工程入力!$W$6:$W$35,$C89)+COUNTIF(⑫ミキサー工程入力!$R$6:$R$65,$C89)+COUNTIF(⑫ミキサー工程入力!$S$6:$S$65,$C89)+COUNTIF(⑫ミキサー工程入力!$T$6:$T$65,$C89)+COUNTIF(⑫ミキサー工程入力!$U$6:$U$65,$C89)+COUNTIF(⑫ミキサー工程入力!$V$6:$V$65,$C89)+COUNTIF(⑫ミキサー工程入力!$W$6:$W$65,$C89)+COUNTIF(⑬計量工程入力!$R$6:$R$65,$C89)+COUNTIF(⑬計量工程入力!$S$6:$S$65,$C89)+COUNTIF(⑬計量工程入力!$T$6:$T$65,$C89)+COUNTIF(⑬計量工程入力!$U$6:$U$65,$C89)+COUNTIF(⑬計量工程入力!$V$6:$V$65,$C89)+COUNTIF(⑬計量工程入力!$W$6:$W$65,$C89)+COUNTIF(⑭手動工程入力!$R$6:$R$47,$C89)+COUNTIF(⑭手動工程入力!$S$6:$S$47,$C89)+COUNTIF(⑭手動工程入力!$T$6:$T$47,$C89)+COUNTIF(⑭手動工程入力!$U$6:$U$47,$C89)+COUNTIF(⑭手動工程入力!$V$6:$V$47,$C89)+COUNTIF(⑭手動工程入力!$W$6:$W$47,$C89)</f>
        <v/>
      </c>
      <c r="Q89" s="392" t="n"/>
      <c r="R89" s="393" t="n"/>
      <c r="S89" s="393" t="n"/>
      <c r="T89" s="393" t="n"/>
      <c r="U89" s="393" t="n"/>
      <c r="V89" s="605">
        <f>IFERROR(INDEX(KIT別作業時間!$D$4:$D$27,MATCH(SUBSTITUTE(SUBSTITUTE(SUBSTITUTE(SUBSTITUTE(SUBSTITUTE(SUBSTITUTE(SUBSTITUTE(SUBSTITUTE(SUBSTITUTE(SUBSTITUTE(ASC($C89),"①","1"),"②","2"),"③","3"),"④","4"),"⑤","5"),"⑥","6"),"⑦","7"),"⑧","8"),"⑨","9")," ",""),KIT別作業時間!$C$4:$C$27,0)),"")</f>
        <v/>
      </c>
      <c r="W89" s="393">
        <f>IF(AND(ISNUMBER($I89),$I89&gt;0),$I89,IF(ISNUMBER($V89),$V89,IF(ISNUMBER($R89),$R89,"")))</f>
        <v/>
      </c>
      <c r="X89" s="393">
        <f>IF(AND(ISNUMBER($I89),$I89&gt;0),"今回の工程実績",IF(ISNUMBER($V89),"KIT作業時間",IF(ISNUMBER($R89),"前回資料","")))</f>
        <v/>
      </c>
      <c r="Y89" s="398" t="n">
        <v>67</v>
      </c>
      <c r="Z89" s="398">
        <f>IF(AND(ISNUMBER($W89),ISNUMBER($Y89)),$W89*$Y89,"")</f>
        <v/>
      </c>
      <c r="AA89" s="393" t="n"/>
    </row>
    <row r="90">
      <c r="A90" s="392" t="n">
        <v>86</v>
      </c>
      <c r="B90" s="392" t="n"/>
      <c r="C90" s="392" t="inlineStr">
        <is>
          <t>Ｓメロン塩パン２個入</t>
        </is>
      </c>
      <c r="D90" s="398">
        <f>SUMIF(⑩盛付梱包工程入力!$R$5:$R$300,$C90,⑩盛付梱包工程入力!$AC$5:$AC$300)+SUMIF(⑩盛付梱包工程入力!$S$5:$S$300,$C90,⑩盛付梱包工程入力!$AC$5:$AC$300)+SUMIF(⑩盛付梱包工程入力!$T$5:$T$300,$C90,⑩盛付梱包工程入力!$AC$5:$AC$300)+SUMIF(⑩盛付梱包工程入力!$U$5:$U$300,$C90,⑩盛付梱包工程入力!$AC$5:$AC$300)+SUMIF(⑩盛付梱包工程入力!$V$5:$V$300,$C90,⑩盛付梱包工程入力!$AC$5:$AC$300)+SUMIF(⑩盛付梱包工程入力!$W$5:$W$300,$C90,⑩盛付梱包工程入力!$AC$5:$AC$300)</f>
        <v/>
      </c>
      <c r="E90" s="398" t="n">
        <v>4</v>
      </c>
      <c r="F90" s="398">
        <f>IF(N($E90)&gt;0,$E90,$D90)</f>
        <v/>
      </c>
      <c r="G90" s="393" t="n">
        <v>56.75</v>
      </c>
      <c r="H90" s="393">
        <f>SUMIF(②釜工程入力!$R$5:$R$117,$C90,②釜工程入力!$AD$5:$AD$117)+SUMIF(②釜工程入力!$S$5:$S$117,$C90,②釜工程入力!$AE$5:$AE$117)+SUMIF(②釜工程入力!$T$5:$T$117,$C90,②釜工程入力!$AF$5:$AF$117)+SUMIF(②釜工程入力!$U$5:$U$117,$C90,②釜工程入力!$AG$5:$AG$117)+SUMIF(②釜工程入力!$V$5:$V$117,$C90,②釜工程入力!$AH$5:$AH$117)+SUMIF(②釜工程入力!$W$5:$W$117,$C90,②釜工程入力!$AI$5:$AI$117)+SUMIF(③スチコン工程入力!$R$5:$R$152,$C90,③スチコン工程入力!$AD$5:$AD$152)+SUMIF(③スチコン工程入力!$S$5:$S$152,$C90,③スチコン工程入力!$AE$5:$AE$152)+SUMIF(③スチコン工程入力!$T$5:$T$152,$C90,③スチコン工程入力!$AF$5:$AF$152)+SUMIF(③スチコン工程入力!$U$5:$U$152,$C90,③スチコン工程入力!$AG$5:$AG$152)+SUMIF(③スチコン工程入力!$V$5:$V$152,$C90,③スチコン工程入力!$AH$5:$AH$152)+SUMIF(③スチコン工程入力!$W$5:$W$152,$C90,③スチコン工程入力!$AI$5:$AI$152)+SUMIF(⑩盛付梱包工程入力!$R$5:$R$300,$C90,⑩盛付梱包工程入力!$AD$5:$AD$300)+SUMIF(⑩盛付梱包工程入力!$S$5:$S$300,$C90,⑩盛付梱包工程入力!$AE$5:$AE$300)+SUMIF(⑩盛付梱包工程入力!$T$5:$T$300,$C90,⑩盛付梱包工程入力!$AF$5:$AF$300)+SUMIF(⑩盛付梱包工程入力!$U$5:$U$300,$C90,⑩盛付梱包工程入力!$AG$5:$AG$300)+SUMIF(⑩盛付梱包工程入力!$V$5:$V$300,$C90,⑩盛付梱包工程入力!$AH$5:$AH$300)+SUMIF(⑩盛付梱包工程入力!$W$5:$W$300,$C90,⑩盛付梱包工程入力!$AI$5:$AI$300)+SUMIF(⑪ZEN工程入力!$R$6:$R$35,$C90,⑪ZEN工程入力!$AD$6:$AD$35)+SUMIF(⑪ZEN工程入力!$S$6:$S$35,$C90,⑪ZEN工程入力!$AE$6:$AE$35)+SUMIF(⑪ZEN工程入力!$T$6:$T$35,$C90,⑪ZEN工程入力!$AF$6:$AF$35)+SUMIF(⑪ZEN工程入力!$U$6:$U$35,$C90,⑪ZEN工程入力!$AG$6:$AG$35)+SUMIF(⑪ZEN工程入力!$V$6:$V$35,$C90,⑪ZEN工程入力!$AH$6:$AH$35)+SUMIF(⑪ZEN工程入力!$W$6:$W$35,$C90,⑪ZEN工程入力!$AI$6:$AI$35)+SUMIF(⑫ミキサー工程入力!$R$6:$R$65,$C90,⑫ミキサー工程入力!$AD$6:$AD$65)+SUMIF(⑫ミキサー工程入力!$S$6:$S$65,$C90,⑫ミキサー工程入力!$AE$6:$AE$65)+SUMIF(⑫ミキサー工程入力!$T$6:$T$65,$C90,⑫ミキサー工程入力!$AF$6:$AF$65)+SUMIF(⑫ミキサー工程入力!$U$6:$U$65,$C90,⑫ミキサー工程入力!$AG$6:$AG$65)+SUMIF(⑫ミキサー工程入力!$V$6:$V$65,$C90,⑫ミキサー工程入力!$AH$6:$AH$65)+SUMIF(⑫ミキサー工程入力!$W$6:$W$65,$C90,⑫ミキサー工程入力!$AI$6:$AI$65)+SUMIF(⑬計量工程入力!$R$6:$R$65,$C90,⑬計量工程入力!$AD$6:$AD$65)+SUMIF(⑬計量工程入力!$S$6:$S$65,$C90,⑬計量工程入力!$AE$6:$AE$65)+SUMIF(⑬計量工程入力!$T$6:$T$65,$C90,⑬計量工程入力!$AF$6:$AF$65)+SUMIF(⑬計量工程入力!$U$6:$U$65,$C90,⑬計量工程入力!$AG$6:$AG$65)+SUMIF(⑬計量工程入力!$V$6:$V$65,$C90,⑬計量工程入力!$AH$6:$AH$65)+SUMIF(⑬計量工程入力!$W$6:$W$65,$C90,⑬計量工程入力!$AI$6:$AI$65)+SUMIF(⑭手動工程入力!$R$6:$R$47,$C90,⑭手動工程入力!$AD$6:$AD$47)+SUMIF(⑭手動工程入力!$S$6:$S$47,$C90,⑭手動工程入力!$AE$6:$AE$47)+SUMIF(⑭手動工程入力!$T$6:$T$47,$C90,⑭手動工程入力!$AF$6:$AF$47)+SUMIF(⑭手動工程入力!$U$6:$U$47,$C90,⑭手動工程入力!$AG$6:$AG$47)+SUMIF(⑭手動工程入力!$V$6:$V$47,$C90,⑭手動工程入力!$AH$6:$AH$47)+SUMIF(⑭手動工程入力!$W$6:$W$47,$C90,⑭手動工程入力!$AI$6:$AI$47)</f>
        <v/>
      </c>
      <c r="I90" s="393">
        <f>IF($F90&gt;0,$H90/$F90,"")</f>
        <v/>
      </c>
      <c r="J90" s="605">
        <f>IFERROR(INDEX(商品原価!$B$4:$B$112,MATCH(SUBSTITUTE(SUBSTITUTE(SUBSTITUTE(SUBSTITUTE(SUBSTITUTE(SUBSTITUTE(SUBSTITUTE(SUBSTITUTE(SUBSTITUTE(SUBSTITUTE(ASC($C90),"①","1"),"②","2"),"③","3"),"④","4"),"⑤","5"),"⑥","6"),"⑦","7"),"⑧","8"),"⑨","9")," ",""),商品原価!$C$4:$C$112,0)),"")</f>
        <v/>
      </c>
      <c r="K90" s="542">
        <f>IF(ISNUMBER($J90),$J90*④前提設定!$B$21,"")</f>
        <v/>
      </c>
      <c r="L90" s="605">
        <f>IF(AND(NOT(ISNUMBER($J90)),NOT(ISNUMBER($K90))),"",N($J90)+N($K90))</f>
        <v/>
      </c>
      <c r="M90" s="605">
        <f>IFERROR(INDEX(商品原価!$E$4:$E$112,MATCH(SUBSTITUTE(SUBSTITUTE(SUBSTITUTE(SUBSTITUTE(SUBSTITUTE(SUBSTITUTE(SUBSTITUTE(SUBSTITUTE(SUBSTITUTE(SUBSTITUTE(ASC($C90),"①","1"),"②","2"),"③","3"),"④","4"),"⑤","5"),"⑥","6"),"⑦","7"),"⑧","8"),"⑨","9")," ",""),商品原価!$C$4:$C$112,0)),"")</f>
        <v/>
      </c>
      <c r="N90" s="605">
        <f>IF(AND(ISNUMBER($M90),ISNUMBER($L90)),$M90-$L90-N($W90),"")</f>
        <v/>
      </c>
      <c r="O90" s="606">
        <f>IF(AND(ISNUMBER($N90),ISNUMBER($M90),$M90&gt;0),$N90/$M90,"")</f>
        <v/>
      </c>
      <c r="P90" s="398">
        <f>COUNTIF(②釜工程入力!$R$5:$R$117,$C90)+COUNTIF(②釜工程入力!$S$5:$S$117,$C90)+COUNTIF(②釜工程入力!$T$5:$T$117,$C90)+COUNTIF(②釜工程入力!$U$5:$U$117,$C90)+COUNTIF(②釜工程入力!$V$5:$V$117,$C90)+COUNTIF(②釜工程入力!$W$5:$W$117,$C90)+COUNTIF(③スチコン工程入力!$R$5:$R$152,$C90)+COUNTIF(③スチコン工程入力!$S$5:$S$152,$C90)+COUNTIF(③スチコン工程入力!$T$5:$T$152,$C90)+COUNTIF(③スチコン工程入力!$U$5:$U$152,$C90)+COUNTIF(③スチコン工程入力!$V$5:$V$152,$C90)+COUNTIF(③スチコン工程入力!$W$5:$W$152,$C90)+COUNTIF(⑩盛付梱包工程入力!$R$5:$R$300,$C90)+COUNTIF(⑩盛付梱包工程入力!$S$5:$S$300,$C90)+COUNTIF(⑩盛付梱包工程入力!$T$5:$T$300,$C90)+COUNTIF(⑩盛付梱包工程入力!$U$5:$U$300,$C90)+COUNTIF(⑩盛付梱包工程入力!$V$5:$V$300,$C90)+COUNTIF(⑩盛付梱包工程入力!$W$5:$W$300,$C90)+COUNTIF(⑪ZEN工程入力!$R$6:$R$35,$C90)+COUNTIF(⑪ZEN工程入力!$S$6:$S$35,$C90)+COUNTIF(⑪ZEN工程入力!$T$6:$T$35,$C90)+COUNTIF(⑪ZEN工程入力!$U$6:$U$35,$C90)+COUNTIF(⑪ZEN工程入力!$V$6:$V$35,$C90)+COUNTIF(⑪ZEN工程入力!$W$6:$W$35,$C90)+COUNTIF(⑫ミキサー工程入力!$R$6:$R$65,$C90)+COUNTIF(⑫ミキサー工程入力!$S$6:$S$65,$C90)+COUNTIF(⑫ミキサー工程入力!$T$6:$T$65,$C90)+COUNTIF(⑫ミキサー工程入力!$U$6:$U$65,$C90)+COUNTIF(⑫ミキサー工程入力!$V$6:$V$65,$C90)+COUNTIF(⑫ミキサー工程入力!$W$6:$W$65,$C90)+COUNTIF(⑬計量工程入力!$R$6:$R$65,$C90)+COUNTIF(⑬計量工程入力!$S$6:$S$65,$C90)+COUNTIF(⑬計量工程入力!$T$6:$T$65,$C90)+COUNTIF(⑬計量工程入力!$U$6:$U$65,$C90)+COUNTIF(⑬計量工程入力!$V$6:$V$65,$C90)+COUNTIF(⑬計量工程入力!$W$6:$W$65,$C90)+COUNTIF(⑭手動工程入力!$R$6:$R$47,$C90)+COUNTIF(⑭手動工程入力!$S$6:$S$47,$C90)+COUNTIF(⑭手動工程入力!$T$6:$T$47,$C90)+COUNTIF(⑭手動工程入力!$U$6:$U$47,$C90)+COUNTIF(⑭手動工程入力!$V$6:$V$47,$C90)+COUNTIF(⑭手動工程入力!$W$6:$W$47,$C90)</f>
        <v/>
      </c>
      <c r="Q90" s="392" t="n"/>
      <c r="R90" s="393" t="n"/>
      <c r="S90" s="393" t="n"/>
      <c r="T90" s="393" t="n"/>
      <c r="U90" s="393" t="n"/>
      <c r="V90" s="605">
        <f>IFERROR(INDEX(KIT別作業時間!$D$4:$D$27,MATCH(SUBSTITUTE(SUBSTITUTE(SUBSTITUTE(SUBSTITUTE(SUBSTITUTE(SUBSTITUTE(SUBSTITUTE(SUBSTITUTE(SUBSTITUTE(SUBSTITUTE(ASC($C90),"①","1"),"②","2"),"③","3"),"④","4"),"⑤","5"),"⑥","6"),"⑦","7"),"⑧","8"),"⑨","9")," ",""),KIT別作業時間!$C$4:$C$27,0)),"")</f>
        <v/>
      </c>
      <c r="W90" s="393">
        <f>IF(AND(ISNUMBER($I90),$I90&gt;0),$I90,IF(ISNUMBER($V90),$V90,IF(ISNUMBER($R90),$R90,"")))</f>
        <v/>
      </c>
      <c r="X90" s="393">
        <f>IF(AND(ISNUMBER($I90),$I90&gt;0),"今回の工程実績",IF(ISNUMBER($V90),"KIT作業時間",IF(ISNUMBER($R90),"前回資料","")))</f>
        <v/>
      </c>
      <c r="Y90" s="398" t="n">
        <v>100</v>
      </c>
      <c r="Z90" s="398">
        <f>IF(AND(ISNUMBER($W90),ISNUMBER($Y90)),$W90*$Y90,"")</f>
        <v/>
      </c>
      <c r="AA90" s="393" t="n"/>
    </row>
    <row r="91">
      <c r="A91" s="392" t="n">
        <v>87</v>
      </c>
      <c r="B91" s="392" t="n"/>
      <c r="C91" s="392" t="inlineStr">
        <is>
          <t>ひと口チキンカツＫＩＴ２</t>
        </is>
      </c>
      <c r="D91" s="398">
        <f>SUMIF(⑩盛付梱包工程入力!$R$5:$R$300,$C91,⑩盛付梱包工程入力!$AC$5:$AC$300)+SUMIF(⑩盛付梱包工程入力!$S$5:$S$300,$C91,⑩盛付梱包工程入力!$AC$5:$AC$300)+SUMIF(⑩盛付梱包工程入力!$T$5:$T$300,$C91,⑩盛付梱包工程入力!$AC$5:$AC$300)+SUMIF(⑩盛付梱包工程入力!$U$5:$U$300,$C91,⑩盛付梱包工程入力!$AC$5:$AC$300)+SUMIF(⑩盛付梱包工程入力!$V$5:$V$300,$C91,⑩盛付梱包工程入力!$AC$5:$AC$300)+SUMIF(⑩盛付梱包工程入力!$W$5:$W$300,$C91,⑩盛付梱包工程入力!$AC$5:$AC$300)</f>
        <v/>
      </c>
      <c r="E91" s="398" t="n"/>
      <c r="F91" s="398">
        <f>IF(N($E91)&gt;0,$E91,$D91)</f>
        <v/>
      </c>
      <c r="G91" s="398" t="n"/>
      <c r="H91" s="393">
        <f>SUMIF(②釜工程入力!$R$5:$R$117,$C91,②釜工程入力!$AD$5:$AD$117)+SUMIF(②釜工程入力!$S$5:$S$117,$C91,②釜工程入力!$AE$5:$AE$117)+SUMIF(②釜工程入力!$T$5:$T$117,$C91,②釜工程入力!$AF$5:$AF$117)+SUMIF(②釜工程入力!$U$5:$U$117,$C91,②釜工程入力!$AG$5:$AG$117)+SUMIF(②釜工程入力!$V$5:$V$117,$C91,②釜工程入力!$AH$5:$AH$117)+SUMIF(②釜工程入力!$W$5:$W$117,$C91,②釜工程入力!$AI$5:$AI$117)+SUMIF(③スチコン工程入力!$R$5:$R$152,$C91,③スチコン工程入力!$AD$5:$AD$152)+SUMIF(③スチコン工程入力!$S$5:$S$152,$C91,③スチコン工程入力!$AE$5:$AE$152)+SUMIF(③スチコン工程入力!$T$5:$T$152,$C91,③スチコン工程入力!$AF$5:$AF$152)+SUMIF(③スチコン工程入力!$U$5:$U$152,$C91,③スチコン工程入力!$AG$5:$AG$152)+SUMIF(③スチコン工程入力!$V$5:$V$152,$C91,③スチコン工程入力!$AH$5:$AH$152)+SUMIF(③スチコン工程入力!$W$5:$W$152,$C91,③スチコン工程入力!$AI$5:$AI$152)+SUMIF(⑩盛付梱包工程入力!$R$5:$R$300,$C91,⑩盛付梱包工程入力!$AD$5:$AD$300)+SUMIF(⑩盛付梱包工程入力!$S$5:$S$300,$C91,⑩盛付梱包工程入力!$AE$5:$AE$300)+SUMIF(⑩盛付梱包工程入力!$T$5:$T$300,$C91,⑩盛付梱包工程入力!$AF$5:$AF$300)+SUMIF(⑩盛付梱包工程入力!$U$5:$U$300,$C91,⑩盛付梱包工程入力!$AG$5:$AG$300)+SUMIF(⑩盛付梱包工程入力!$V$5:$V$300,$C91,⑩盛付梱包工程入力!$AH$5:$AH$300)+SUMIF(⑩盛付梱包工程入力!$W$5:$W$300,$C91,⑩盛付梱包工程入力!$AI$5:$AI$300)+SUMIF(⑪ZEN工程入力!$R$6:$R$35,$C91,⑪ZEN工程入力!$AD$6:$AD$35)+SUMIF(⑪ZEN工程入力!$S$6:$S$35,$C91,⑪ZEN工程入力!$AE$6:$AE$35)+SUMIF(⑪ZEN工程入力!$T$6:$T$35,$C91,⑪ZEN工程入力!$AF$6:$AF$35)+SUMIF(⑪ZEN工程入力!$U$6:$U$35,$C91,⑪ZEN工程入力!$AG$6:$AG$35)+SUMIF(⑪ZEN工程入力!$V$6:$V$35,$C91,⑪ZEN工程入力!$AH$6:$AH$35)+SUMIF(⑪ZEN工程入力!$W$6:$W$35,$C91,⑪ZEN工程入力!$AI$6:$AI$35)+SUMIF(⑫ミキサー工程入力!$R$6:$R$65,$C91,⑫ミキサー工程入力!$AD$6:$AD$65)+SUMIF(⑫ミキサー工程入力!$S$6:$S$65,$C91,⑫ミキサー工程入力!$AE$6:$AE$65)+SUMIF(⑫ミキサー工程入力!$T$6:$T$65,$C91,⑫ミキサー工程入力!$AF$6:$AF$65)+SUMIF(⑫ミキサー工程入力!$U$6:$U$65,$C91,⑫ミキサー工程入力!$AG$6:$AG$65)+SUMIF(⑫ミキサー工程入力!$V$6:$V$65,$C91,⑫ミキサー工程入力!$AH$6:$AH$65)+SUMIF(⑫ミキサー工程入力!$W$6:$W$65,$C91,⑫ミキサー工程入力!$AI$6:$AI$65)+SUMIF(⑬計量工程入力!$R$6:$R$65,$C91,⑬計量工程入力!$AD$6:$AD$65)+SUMIF(⑬計量工程入力!$S$6:$S$65,$C91,⑬計量工程入力!$AE$6:$AE$65)+SUMIF(⑬計量工程入力!$T$6:$T$65,$C91,⑬計量工程入力!$AF$6:$AF$65)+SUMIF(⑬計量工程入力!$U$6:$U$65,$C91,⑬計量工程入力!$AG$6:$AG$65)+SUMIF(⑬計量工程入力!$V$6:$V$65,$C91,⑬計量工程入力!$AH$6:$AH$65)+SUMIF(⑬計量工程入力!$W$6:$W$65,$C91,⑬計量工程入力!$AI$6:$AI$65)+SUMIF(⑭手動工程入力!$R$6:$R$47,$C91,⑭手動工程入力!$AD$6:$AD$47)+SUMIF(⑭手動工程入力!$S$6:$S$47,$C91,⑭手動工程入力!$AE$6:$AE$47)+SUMIF(⑭手動工程入力!$T$6:$T$47,$C91,⑭手動工程入力!$AF$6:$AF$47)+SUMIF(⑭手動工程入力!$U$6:$U$47,$C91,⑭手動工程入力!$AG$6:$AG$47)+SUMIF(⑭手動工程入力!$V$6:$V$47,$C91,⑭手動工程入力!$AH$6:$AH$47)+SUMIF(⑭手動工程入力!$W$6:$W$47,$C91,⑭手動工程入力!$AI$6:$AI$47)</f>
        <v/>
      </c>
      <c r="I91" s="393">
        <f>IF($F91&gt;0,$H91/$F91,"")</f>
        <v/>
      </c>
      <c r="J91" s="605">
        <f>IFERROR(INDEX(商品原価!$B$4:$B$112,MATCH(SUBSTITUTE(SUBSTITUTE(SUBSTITUTE(SUBSTITUTE(SUBSTITUTE(SUBSTITUTE(SUBSTITUTE(SUBSTITUTE(SUBSTITUTE(SUBSTITUTE(ASC($C91),"①","1"),"②","2"),"③","3"),"④","4"),"⑤","5"),"⑥","6"),"⑦","7"),"⑧","8"),"⑨","9")," ",""),商品原価!$C$4:$C$112,0)),"")</f>
        <v/>
      </c>
      <c r="K91" s="542">
        <f>IF(ISNUMBER($J91),$J91*④前提設定!$B$21,"")</f>
        <v/>
      </c>
      <c r="L91" s="605">
        <f>IF(AND(NOT(ISNUMBER($J91)),NOT(ISNUMBER($K91))),"",N($J91)+N($K91))</f>
        <v/>
      </c>
      <c r="M91" s="605">
        <f>IFERROR(INDEX(商品原価!$E$4:$E$112,MATCH(SUBSTITUTE(SUBSTITUTE(SUBSTITUTE(SUBSTITUTE(SUBSTITUTE(SUBSTITUTE(SUBSTITUTE(SUBSTITUTE(SUBSTITUTE(SUBSTITUTE(ASC($C91),"①","1"),"②","2"),"③","3"),"④","4"),"⑤","5"),"⑥","6"),"⑦","7"),"⑧","8"),"⑨","9")," ",""),商品原価!$C$4:$C$112,0)),"")</f>
        <v/>
      </c>
      <c r="N91" s="605">
        <f>IF(AND(ISNUMBER($M91),ISNUMBER($L91)),$M91-$L91-N($W91),"")</f>
        <v/>
      </c>
      <c r="O91" s="606">
        <f>IF(AND(ISNUMBER($N91),ISNUMBER($M91),$M91&gt;0),$N91/$M91,"")</f>
        <v/>
      </c>
      <c r="P91" s="398">
        <f>COUNTIF(②釜工程入力!$R$5:$R$117,$C91)+COUNTIF(②釜工程入力!$S$5:$S$117,$C91)+COUNTIF(②釜工程入力!$T$5:$T$117,$C91)+COUNTIF(②釜工程入力!$U$5:$U$117,$C91)+COUNTIF(②釜工程入力!$V$5:$V$117,$C91)+COUNTIF(②釜工程入力!$W$5:$W$117,$C91)+COUNTIF(③スチコン工程入力!$R$5:$R$152,$C91)+COUNTIF(③スチコン工程入力!$S$5:$S$152,$C91)+COUNTIF(③スチコン工程入力!$T$5:$T$152,$C91)+COUNTIF(③スチコン工程入力!$U$5:$U$152,$C91)+COUNTIF(③スチコン工程入力!$V$5:$V$152,$C91)+COUNTIF(③スチコン工程入力!$W$5:$W$152,$C91)+COUNTIF(⑩盛付梱包工程入力!$R$5:$R$300,$C91)+COUNTIF(⑩盛付梱包工程入力!$S$5:$S$300,$C91)+COUNTIF(⑩盛付梱包工程入力!$T$5:$T$300,$C91)+COUNTIF(⑩盛付梱包工程入力!$U$5:$U$300,$C91)+COUNTIF(⑩盛付梱包工程入力!$V$5:$V$300,$C91)+COUNTIF(⑩盛付梱包工程入力!$W$5:$W$300,$C91)+COUNTIF(⑪ZEN工程入力!$R$6:$R$35,$C91)+COUNTIF(⑪ZEN工程入力!$S$6:$S$35,$C91)+COUNTIF(⑪ZEN工程入力!$T$6:$T$35,$C91)+COUNTIF(⑪ZEN工程入力!$U$6:$U$35,$C91)+COUNTIF(⑪ZEN工程入力!$V$6:$V$35,$C91)+COUNTIF(⑪ZEN工程入力!$W$6:$W$35,$C91)+COUNTIF(⑫ミキサー工程入力!$R$6:$R$65,$C91)+COUNTIF(⑫ミキサー工程入力!$S$6:$S$65,$C91)+COUNTIF(⑫ミキサー工程入力!$T$6:$T$65,$C91)+COUNTIF(⑫ミキサー工程入力!$U$6:$U$65,$C91)+COUNTIF(⑫ミキサー工程入力!$V$6:$V$65,$C91)+COUNTIF(⑫ミキサー工程入力!$W$6:$W$65,$C91)+COUNTIF(⑬計量工程入力!$R$6:$R$65,$C91)+COUNTIF(⑬計量工程入力!$S$6:$S$65,$C91)+COUNTIF(⑬計量工程入力!$T$6:$T$65,$C91)+COUNTIF(⑬計量工程入力!$U$6:$U$65,$C91)+COUNTIF(⑬計量工程入力!$V$6:$V$65,$C91)+COUNTIF(⑬計量工程入力!$W$6:$W$65,$C91)+COUNTIF(⑭手動工程入力!$R$6:$R$47,$C91)+COUNTIF(⑭手動工程入力!$S$6:$S$47,$C91)+COUNTIF(⑭手動工程入力!$T$6:$T$47,$C91)+COUNTIF(⑭手動工程入力!$U$6:$U$47,$C91)+COUNTIF(⑭手動工程入力!$V$6:$V$47,$C91)+COUNTIF(⑭手動工程入力!$W$6:$W$47,$C91)</f>
        <v/>
      </c>
      <c r="Q91" s="392" t="n"/>
      <c r="R91" s="393" t="n"/>
      <c r="S91" s="393" t="n"/>
      <c r="T91" s="393" t="n"/>
      <c r="U91" s="393" t="n"/>
      <c r="V91" s="605">
        <f>IFERROR(INDEX(KIT別作業時間!$D$4:$D$27,MATCH(SUBSTITUTE(SUBSTITUTE(SUBSTITUTE(SUBSTITUTE(SUBSTITUTE(SUBSTITUTE(SUBSTITUTE(SUBSTITUTE(SUBSTITUTE(SUBSTITUTE(ASC($C91),"①","1"),"②","2"),"③","3"),"④","4"),"⑤","5"),"⑥","6"),"⑦","7"),"⑧","8"),"⑨","9")," ",""),KIT別作業時間!$C$4:$C$27,0)),"")</f>
        <v/>
      </c>
      <c r="W91" s="393">
        <f>IF(AND(ISNUMBER($I91),$I91&gt;0),$I91,IF(ISNUMBER($V91),$V91,IF(ISNUMBER($R91),$R91,"")))</f>
        <v/>
      </c>
      <c r="X91" s="393">
        <f>IF(AND(ISNUMBER($I91),$I91&gt;0),"今回の工程実績",IF(ISNUMBER($V91),"KIT作業時間",IF(ISNUMBER($R91),"前回資料","")))</f>
        <v/>
      </c>
      <c r="Y91" s="398" t="n">
        <v>7</v>
      </c>
      <c r="Z91" s="398">
        <f>IF(AND(ISNUMBER($W91),ISNUMBER($Y91)),$W91*$Y91,"")</f>
        <v/>
      </c>
      <c r="AA91" s="393" t="n"/>
    </row>
    <row r="92">
      <c r="A92" s="392" t="n">
        <v>88</v>
      </c>
      <c r="B92" s="392" t="n"/>
      <c r="C92" s="392" t="inlineStr">
        <is>
          <t>Ｓ蜜いもスイートポテト小</t>
        </is>
      </c>
      <c r="D92" s="398">
        <f>SUMIF(⑩盛付梱包工程入力!$R$5:$R$300,$C92,⑩盛付梱包工程入力!$AC$5:$AC$300)+SUMIF(⑩盛付梱包工程入力!$S$5:$S$300,$C92,⑩盛付梱包工程入力!$AC$5:$AC$300)+SUMIF(⑩盛付梱包工程入力!$T$5:$T$300,$C92,⑩盛付梱包工程入力!$AC$5:$AC$300)+SUMIF(⑩盛付梱包工程入力!$U$5:$U$300,$C92,⑩盛付梱包工程入力!$AC$5:$AC$300)+SUMIF(⑩盛付梱包工程入力!$V$5:$V$300,$C92,⑩盛付梱包工程入力!$AC$5:$AC$300)+SUMIF(⑩盛付梱包工程入力!$W$5:$W$300,$C92,⑩盛付梱包工程入力!$AC$5:$AC$300)</f>
        <v/>
      </c>
      <c r="E92" s="398" t="n">
        <v>4</v>
      </c>
      <c r="F92" s="398">
        <f>IF(N($E92)&gt;0,$E92,$D92)</f>
        <v/>
      </c>
      <c r="G92" s="393" t="n">
        <v>49.58888888888889</v>
      </c>
      <c r="H92" s="393">
        <f>SUMIF(②釜工程入力!$R$5:$R$117,$C92,②釜工程入力!$AD$5:$AD$117)+SUMIF(②釜工程入力!$S$5:$S$117,$C92,②釜工程入力!$AE$5:$AE$117)+SUMIF(②釜工程入力!$T$5:$T$117,$C92,②釜工程入力!$AF$5:$AF$117)+SUMIF(②釜工程入力!$U$5:$U$117,$C92,②釜工程入力!$AG$5:$AG$117)+SUMIF(②釜工程入力!$V$5:$V$117,$C92,②釜工程入力!$AH$5:$AH$117)+SUMIF(②釜工程入力!$W$5:$W$117,$C92,②釜工程入力!$AI$5:$AI$117)+SUMIF(③スチコン工程入力!$R$5:$R$152,$C92,③スチコン工程入力!$AD$5:$AD$152)+SUMIF(③スチコン工程入力!$S$5:$S$152,$C92,③スチコン工程入力!$AE$5:$AE$152)+SUMIF(③スチコン工程入力!$T$5:$T$152,$C92,③スチコン工程入力!$AF$5:$AF$152)+SUMIF(③スチコン工程入力!$U$5:$U$152,$C92,③スチコン工程入力!$AG$5:$AG$152)+SUMIF(③スチコン工程入力!$V$5:$V$152,$C92,③スチコン工程入力!$AH$5:$AH$152)+SUMIF(③スチコン工程入力!$W$5:$W$152,$C92,③スチコン工程入力!$AI$5:$AI$152)+SUMIF(⑩盛付梱包工程入力!$R$5:$R$300,$C92,⑩盛付梱包工程入力!$AD$5:$AD$300)+SUMIF(⑩盛付梱包工程入力!$S$5:$S$300,$C92,⑩盛付梱包工程入力!$AE$5:$AE$300)+SUMIF(⑩盛付梱包工程入力!$T$5:$T$300,$C92,⑩盛付梱包工程入力!$AF$5:$AF$300)+SUMIF(⑩盛付梱包工程入力!$U$5:$U$300,$C92,⑩盛付梱包工程入力!$AG$5:$AG$300)+SUMIF(⑩盛付梱包工程入力!$V$5:$V$300,$C92,⑩盛付梱包工程入力!$AH$5:$AH$300)+SUMIF(⑩盛付梱包工程入力!$W$5:$W$300,$C92,⑩盛付梱包工程入力!$AI$5:$AI$300)+SUMIF(⑪ZEN工程入力!$R$6:$R$35,$C92,⑪ZEN工程入力!$AD$6:$AD$35)+SUMIF(⑪ZEN工程入力!$S$6:$S$35,$C92,⑪ZEN工程入力!$AE$6:$AE$35)+SUMIF(⑪ZEN工程入力!$T$6:$T$35,$C92,⑪ZEN工程入力!$AF$6:$AF$35)+SUMIF(⑪ZEN工程入力!$U$6:$U$35,$C92,⑪ZEN工程入力!$AG$6:$AG$35)+SUMIF(⑪ZEN工程入力!$V$6:$V$35,$C92,⑪ZEN工程入力!$AH$6:$AH$35)+SUMIF(⑪ZEN工程入力!$W$6:$W$35,$C92,⑪ZEN工程入力!$AI$6:$AI$35)+SUMIF(⑫ミキサー工程入力!$R$6:$R$65,$C92,⑫ミキサー工程入力!$AD$6:$AD$65)+SUMIF(⑫ミキサー工程入力!$S$6:$S$65,$C92,⑫ミキサー工程入力!$AE$6:$AE$65)+SUMIF(⑫ミキサー工程入力!$T$6:$T$65,$C92,⑫ミキサー工程入力!$AF$6:$AF$65)+SUMIF(⑫ミキサー工程入力!$U$6:$U$65,$C92,⑫ミキサー工程入力!$AG$6:$AG$65)+SUMIF(⑫ミキサー工程入力!$V$6:$V$65,$C92,⑫ミキサー工程入力!$AH$6:$AH$65)+SUMIF(⑫ミキサー工程入力!$W$6:$W$65,$C92,⑫ミキサー工程入力!$AI$6:$AI$65)+SUMIF(⑬計量工程入力!$R$6:$R$65,$C92,⑬計量工程入力!$AD$6:$AD$65)+SUMIF(⑬計量工程入力!$S$6:$S$65,$C92,⑬計量工程入力!$AE$6:$AE$65)+SUMIF(⑬計量工程入力!$T$6:$T$65,$C92,⑬計量工程入力!$AF$6:$AF$65)+SUMIF(⑬計量工程入力!$U$6:$U$65,$C92,⑬計量工程入力!$AG$6:$AG$65)+SUMIF(⑬計量工程入力!$V$6:$V$65,$C92,⑬計量工程入力!$AH$6:$AH$65)+SUMIF(⑬計量工程入力!$W$6:$W$65,$C92,⑬計量工程入力!$AI$6:$AI$65)+SUMIF(⑭手動工程入力!$R$6:$R$47,$C92,⑭手動工程入力!$AD$6:$AD$47)+SUMIF(⑭手動工程入力!$S$6:$S$47,$C92,⑭手動工程入力!$AE$6:$AE$47)+SUMIF(⑭手動工程入力!$T$6:$T$47,$C92,⑭手動工程入力!$AF$6:$AF$47)+SUMIF(⑭手動工程入力!$U$6:$U$47,$C92,⑭手動工程入力!$AG$6:$AG$47)+SUMIF(⑭手動工程入力!$V$6:$V$47,$C92,⑭手動工程入力!$AH$6:$AH$47)+SUMIF(⑭手動工程入力!$W$6:$W$47,$C92,⑭手動工程入力!$AI$6:$AI$47)</f>
        <v/>
      </c>
      <c r="I92" s="393">
        <f>IF($F92&gt;0,$H92/$F92,"")</f>
        <v/>
      </c>
      <c r="J92" s="605">
        <f>IFERROR(INDEX(商品原価!$B$4:$B$112,MATCH(SUBSTITUTE(SUBSTITUTE(SUBSTITUTE(SUBSTITUTE(SUBSTITUTE(SUBSTITUTE(SUBSTITUTE(SUBSTITUTE(SUBSTITUTE(SUBSTITUTE(ASC($C92),"①","1"),"②","2"),"③","3"),"④","4"),"⑤","5"),"⑥","6"),"⑦","7"),"⑧","8"),"⑨","9")," ",""),商品原価!$C$4:$C$112,0)),"")</f>
        <v/>
      </c>
      <c r="K92" s="542">
        <f>IF(ISNUMBER($J92),$J92*④前提設定!$B$21,"")</f>
        <v/>
      </c>
      <c r="L92" s="605">
        <f>IF(AND(NOT(ISNUMBER($J92)),NOT(ISNUMBER($K92))),"",N($J92)+N($K92))</f>
        <v/>
      </c>
      <c r="M92" s="605">
        <f>IFERROR(INDEX(商品原価!$E$4:$E$112,MATCH(SUBSTITUTE(SUBSTITUTE(SUBSTITUTE(SUBSTITUTE(SUBSTITUTE(SUBSTITUTE(SUBSTITUTE(SUBSTITUTE(SUBSTITUTE(SUBSTITUTE(ASC($C92),"①","1"),"②","2"),"③","3"),"④","4"),"⑤","5"),"⑥","6"),"⑦","7"),"⑧","8"),"⑨","9")," ",""),商品原価!$C$4:$C$112,0)),"")</f>
        <v/>
      </c>
      <c r="N92" s="605">
        <f>IF(AND(ISNUMBER($M92),ISNUMBER($L92)),$M92-$L92-N($W92),"")</f>
        <v/>
      </c>
      <c r="O92" s="606">
        <f>IF(AND(ISNUMBER($N92),ISNUMBER($M92),$M92&gt;0),$N92/$M92,"")</f>
        <v/>
      </c>
      <c r="P92" s="398">
        <f>COUNTIF(②釜工程入力!$R$5:$R$117,$C92)+COUNTIF(②釜工程入力!$S$5:$S$117,$C92)+COUNTIF(②釜工程入力!$T$5:$T$117,$C92)+COUNTIF(②釜工程入力!$U$5:$U$117,$C92)+COUNTIF(②釜工程入力!$V$5:$V$117,$C92)+COUNTIF(②釜工程入力!$W$5:$W$117,$C92)+COUNTIF(③スチコン工程入力!$R$5:$R$152,$C92)+COUNTIF(③スチコン工程入力!$S$5:$S$152,$C92)+COUNTIF(③スチコン工程入力!$T$5:$T$152,$C92)+COUNTIF(③スチコン工程入力!$U$5:$U$152,$C92)+COUNTIF(③スチコン工程入力!$V$5:$V$152,$C92)+COUNTIF(③スチコン工程入力!$W$5:$W$152,$C92)+COUNTIF(⑩盛付梱包工程入力!$R$5:$R$300,$C92)+COUNTIF(⑩盛付梱包工程入力!$S$5:$S$300,$C92)+COUNTIF(⑩盛付梱包工程入力!$T$5:$T$300,$C92)+COUNTIF(⑩盛付梱包工程入力!$U$5:$U$300,$C92)+COUNTIF(⑩盛付梱包工程入力!$V$5:$V$300,$C92)+COUNTIF(⑩盛付梱包工程入力!$W$5:$W$300,$C92)+COUNTIF(⑪ZEN工程入力!$R$6:$R$35,$C92)+COUNTIF(⑪ZEN工程入力!$S$6:$S$35,$C92)+COUNTIF(⑪ZEN工程入力!$T$6:$T$35,$C92)+COUNTIF(⑪ZEN工程入力!$U$6:$U$35,$C92)+COUNTIF(⑪ZEN工程入力!$V$6:$V$35,$C92)+COUNTIF(⑪ZEN工程入力!$W$6:$W$35,$C92)+COUNTIF(⑫ミキサー工程入力!$R$6:$R$65,$C92)+COUNTIF(⑫ミキサー工程入力!$S$6:$S$65,$C92)+COUNTIF(⑫ミキサー工程入力!$T$6:$T$65,$C92)+COUNTIF(⑫ミキサー工程入力!$U$6:$U$65,$C92)+COUNTIF(⑫ミキサー工程入力!$V$6:$V$65,$C92)+COUNTIF(⑫ミキサー工程入力!$W$6:$W$65,$C92)+COUNTIF(⑬計量工程入力!$R$6:$R$65,$C92)+COUNTIF(⑬計量工程入力!$S$6:$S$65,$C92)+COUNTIF(⑬計量工程入力!$T$6:$T$65,$C92)+COUNTIF(⑬計量工程入力!$U$6:$U$65,$C92)+COUNTIF(⑬計量工程入力!$V$6:$V$65,$C92)+COUNTIF(⑬計量工程入力!$W$6:$W$65,$C92)+COUNTIF(⑭手動工程入力!$R$6:$R$47,$C92)+COUNTIF(⑭手動工程入力!$S$6:$S$47,$C92)+COUNTIF(⑭手動工程入力!$T$6:$T$47,$C92)+COUNTIF(⑭手動工程入力!$U$6:$U$47,$C92)+COUNTIF(⑭手動工程入力!$V$6:$V$47,$C92)+COUNTIF(⑭手動工程入力!$W$6:$W$47,$C92)</f>
        <v/>
      </c>
      <c r="Q92" s="392" t="n"/>
      <c r="R92" s="393" t="n"/>
      <c r="S92" s="393" t="n"/>
      <c r="T92" s="393" t="n"/>
      <c r="U92" s="393" t="n"/>
      <c r="V92" s="605">
        <f>IFERROR(INDEX(KIT別作業時間!$D$4:$D$27,MATCH(SUBSTITUTE(SUBSTITUTE(SUBSTITUTE(SUBSTITUTE(SUBSTITUTE(SUBSTITUTE(SUBSTITUTE(SUBSTITUTE(SUBSTITUTE(SUBSTITUTE(ASC($C92),"①","1"),"②","2"),"③","3"),"④","4"),"⑤","5"),"⑥","6"),"⑦","7"),"⑧","8"),"⑨","9")," ",""),KIT別作業時間!$C$4:$C$27,0)),"")</f>
        <v/>
      </c>
      <c r="W92" s="393">
        <f>IF(AND(ISNUMBER($I92),$I92&gt;0),$I92,IF(ISNUMBER($V92),$V92,IF(ISNUMBER($R92),$R92,"")))</f>
        <v/>
      </c>
      <c r="X92" s="393">
        <f>IF(AND(ISNUMBER($I92),$I92&gt;0),"今回の工程実績",IF(ISNUMBER($V92),"KIT作業時間",IF(ISNUMBER($R92),"前回資料","")))</f>
        <v/>
      </c>
      <c r="Y92" s="398" t="n">
        <v>75</v>
      </c>
      <c r="Z92" s="398">
        <f>IF(AND(ISNUMBER($W92),ISNUMBER($Y92)),$W92*$Y92,"")</f>
        <v/>
      </c>
      <c r="AA92" s="393" t="n"/>
    </row>
    <row r="93">
      <c r="A93" s="392" t="n">
        <v>89</v>
      </c>
      <c r="B93" s="392" t="n"/>
      <c r="C93" s="392" t="inlineStr">
        <is>
          <t>Ｓ全粒粉入り湯種ロール６個</t>
        </is>
      </c>
      <c r="D93" s="398">
        <f>SUMIF(⑩盛付梱包工程入力!$R$5:$R$300,$C93,⑩盛付梱包工程入力!$AC$5:$AC$300)+SUMIF(⑩盛付梱包工程入力!$S$5:$S$300,$C93,⑩盛付梱包工程入力!$AC$5:$AC$300)+SUMIF(⑩盛付梱包工程入力!$T$5:$T$300,$C93,⑩盛付梱包工程入力!$AC$5:$AC$300)+SUMIF(⑩盛付梱包工程入力!$U$5:$U$300,$C93,⑩盛付梱包工程入力!$AC$5:$AC$300)+SUMIF(⑩盛付梱包工程入力!$V$5:$V$300,$C93,⑩盛付梱包工程入力!$AC$5:$AC$300)+SUMIF(⑩盛付梱包工程入力!$W$5:$W$300,$C93,⑩盛付梱包工程入力!$AC$5:$AC$300)</f>
        <v/>
      </c>
      <c r="E93" s="398" t="n">
        <v>70</v>
      </c>
      <c r="F93" s="398">
        <f>IF(N($E93)&gt;0,$E93,$D93)</f>
        <v/>
      </c>
      <c r="G93" s="393" t="n">
        <v>43.41611374407583</v>
      </c>
      <c r="H93" s="393">
        <f>SUMIF(②釜工程入力!$R$5:$R$117,$C93,②釜工程入力!$AD$5:$AD$117)+SUMIF(②釜工程入力!$S$5:$S$117,$C93,②釜工程入力!$AE$5:$AE$117)+SUMIF(②釜工程入力!$T$5:$T$117,$C93,②釜工程入力!$AF$5:$AF$117)+SUMIF(②釜工程入力!$U$5:$U$117,$C93,②釜工程入力!$AG$5:$AG$117)+SUMIF(②釜工程入力!$V$5:$V$117,$C93,②釜工程入力!$AH$5:$AH$117)+SUMIF(②釜工程入力!$W$5:$W$117,$C93,②釜工程入力!$AI$5:$AI$117)+SUMIF(③スチコン工程入力!$R$5:$R$152,$C93,③スチコン工程入力!$AD$5:$AD$152)+SUMIF(③スチコン工程入力!$S$5:$S$152,$C93,③スチコン工程入力!$AE$5:$AE$152)+SUMIF(③スチコン工程入力!$T$5:$T$152,$C93,③スチコン工程入力!$AF$5:$AF$152)+SUMIF(③スチコン工程入力!$U$5:$U$152,$C93,③スチコン工程入力!$AG$5:$AG$152)+SUMIF(③スチコン工程入力!$V$5:$V$152,$C93,③スチコン工程入力!$AH$5:$AH$152)+SUMIF(③スチコン工程入力!$W$5:$W$152,$C93,③スチコン工程入力!$AI$5:$AI$152)+SUMIF(⑩盛付梱包工程入力!$R$5:$R$300,$C93,⑩盛付梱包工程入力!$AD$5:$AD$300)+SUMIF(⑩盛付梱包工程入力!$S$5:$S$300,$C93,⑩盛付梱包工程入力!$AE$5:$AE$300)+SUMIF(⑩盛付梱包工程入力!$T$5:$T$300,$C93,⑩盛付梱包工程入力!$AF$5:$AF$300)+SUMIF(⑩盛付梱包工程入力!$U$5:$U$300,$C93,⑩盛付梱包工程入力!$AG$5:$AG$300)+SUMIF(⑩盛付梱包工程入力!$V$5:$V$300,$C93,⑩盛付梱包工程入力!$AH$5:$AH$300)+SUMIF(⑩盛付梱包工程入力!$W$5:$W$300,$C93,⑩盛付梱包工程入力!$AI$5:$AI$300)+SUMIF(⑪ZEN工程入力!$R$6:$R$35,$C93,⑪ZEN工程入力!$AD$6:$AD$35)+SUMIF(⑪ZEN工程入力!$S$6:$S$35,$C93,⑪ZEN工程入力!$AE$6:$AE$35)+SUMIF(⑪ZEN工程入力!$T$6:$T$35,$C93,⑪ZEN工程入力!$AF$6:$AF$35)+SUMIF(⑪ZEN工程入力!$U$6:$U$35,$C93,⑪ZEN工程入力!$AG$6:$AG$35)+SUMIF(⑪ZEN工程入力!$V$6:$V$35,$C93,⑪ZEN工程入力!$AH$6:$AH$35)+SUMIF(⑪ZEN工程入力!$W$6:$W$35,$C93,⑪ZEN工程入力!$AI$6:$AI$35)+SUMIF(⑫ミキサー工程入力!$R$6:$R$65,$C93,⑫ミキサー工程入力!$AD$6:$AD$65)+SUMIF(⑫ミキサー工程入力!$S$6:$S$65,$C93,⑫ミキサー工程入力!$AE$6:$AE$65)+SUMIF(⑫ミキサー工程入力!$T$6:$T$65,$C93,⑫ミキサー工程入力!$AF$6:$AF$65)+SUMIF(⑫ミキサー工程入力!$U$6:$U$65,$C93,⑫ミキサー工程入力!$AG$6:$AG$65)+SUMIF(⑫ミキサー工程入力!$V$6:$V$65,$C93,⑫ミキサー工程入力!$AH$6:$AH$65)+SUMIF(⑫ミキサー工程入力!$W$6:$W$65,$C93,⑫ミキサー工程入力!$AI$6:$AI$65)+SUMIF(⑬計量工程入力!$R$6:$R$65,$C93,⑬計量工程入力!$AD$6:$AD$65)+SUMIF(⑬計量工程入力!$S$6:$S$65,$C93,⑬計量工程入力!$AE$6:$AE$65)+SUMIF(⑬計量工程入力!$T$6:$T$65,$C93,⑬計量工程入力!$AF$6:$AF$65)+SUMIF(⑬計量工程入力!$U$6:$U$65,$C93,⑬計量工程入力!$AG$6:$AG$65)+SUMIF(⑬計量工程入力!$V$6:$V$65,$C93,⑬計量工程入力!$AH$6:$AH$65)+SUMIF(⑬計量工程入力!$W$6:$W$65,$C93,⑬計量工程入力!$AI$6:$AI$65)+SUMIF(⑭手動工程入力!$R$6:$R$47,$C93,⑭手動工程入力!$AD$6:$AD$47)+SUMIF(⑭手動工程入力!$S$6:$S$47,$C93,⑭手動工程入力!$AE$6:$AE$47)+SUMIF(⑭手動工程入力!$T$6:$T$47,$C93,⑭手動工程入力!$AF$6:$AF$47)+SUMIF(⑭手動工程入力!$U$6:$U$47,$C93,⑭手動工程入力!$AG$6:$AG$47)+SUMIF(⑭手動工程入力!$V$6:$V$47,$C93,⑭手動工程入力!$AH$6:$AH$47)+SUMIF(⑭手動工程入力!$W$6:$W$47,$C93,⑭手動工程入力!$AI$6:$AI$47)</f>
        <v/>
      </c>
      <c r="I93" s="393">
        <f>IF($F93&gt;0,$H93/$F93,"")</f>
        <v/>
      </c>
      <c r="J93" s="605">
        <f>IFERROR(INDEX(商品原価!$B$4:$B$112,MATCH(SUBSTITUTE(SUBSTITUTE(SUBSTITUTE(SUBSTITUTE(SUBSTITUTE(SUBSTITUTE(SUBSTITUTE(SUBSTITUTE(SUBSTITUTE(SUBSTITUTE(ASC($C93),"①","1"),"②","2"),"③","3"),"④","4"),"⑤","5"),"⑥","6"),"⑦","7"),"⑧","8"),"⑨","9")," ",""),商品原価!$C$4:$C$112,0)),"")</f>
        <v/>
      </c>
      <c r="K93" s="542">
        <f>IF(ISNUMBER($J93),$J93*④前提設定!$B$21,"")</f>
        <v/>
      </c>
      <c r="L93" s="605">
        <f>IF(AND(NOT(ISNUMBER($J93)),NOT(ISNUMBER($K93))),"",N($J93)+N($K93))</f>
        <v/>
      </c>
      <c r="M93" s="605">
        <f>IFERROR(INDEX(商品原価!$E$4:$E$112,MATCH(SUBSTITUTE(SUBSTITUTE(SUBSTITUTE(SUBSTITUTE(SUBSTITUTE(SUBSTITUTE(SUBSTITUTE(SUBSTITUTE(SUBSTITUTE(SUBSTITUTE(ASC($C93),"①","1"),"②","2"),"③","3"),"④","4"),"⑤","5"),"⑥","6"),"⑦","7"),"⑧","8"),"⑨","9")," ",""),商品原価!$C$4:$C$112,0)),"")</f>
        <v/>
      </c>
      <c r="N93" s="605">
        <f>IF(AND(ISNUMBER($M93),ISNUMBER($L93)),$M93-$L93-N($W93),"")</f>
        <v/>
      </c>
      <c r="O93" s="606">
        <f>IF(AND(ISNUMBER($N93),ISNUMBER($M93),$M93&gt;0),$N93/$M93,"")</f>
        <v/>
      </c>
      <c r="P93" s="398">
        <f>COUNTIF(②釜工程入力!$R$5:$R$117,$C93)+COUNTIF(②釜工程入力!$S$5:$S$117,$C93)+COUNTIF(②釜工程入力!$T$5:$T$117,$C93)+COUNTIF(②釜工程入力!$U$5:$U$117,$C93)+COUNTIF(②釜工程入力!$V$5:$V$117,$C93)+COUNTIF(②釜工程入力!$W$5:$W$117,$C93)+COUNTIF(③スチコン工程入力!$R$5:$R$152,$C93)+COUNTIF(③スチコン工程入力!$S$5:$S$152,$C93)+COUNTIF(③スチコン工程入力!$T$5:$T$152,$C93)+COUNTIF(③スチコン工程入力!$U$5:$U$152,$C93)+COUNTIF(③スチコン工程入力!$V$5:$V$152,$C93)+COUNTIF(③スチコン工程入力!$W$5:$W$152,$C93)+COUNTIF(⑩盛付梱包工程入力!$R$5:$R$300,$C93)+COUNTIF(⑩盛付梱包工程入力!$S$5:$S$300,$C93)+COUNTIF(⑩盛付梱包工程入力!$T$5:$T$300,$C93)+COUNTIF(⑩盛付梱包工程入力!$U$5:$U$300,$C93)+COUNTIF(⑩盛付梱包工程入力!$V$5:$V$300,$C93)+COUNTIF(⑩盛付梱包工程入力!$W$5:$W$300,$C93)+COUNTIF(⑪ZEN工程入力!$R$6:$R$35,$C93)+COUNTIF(⑪ZEN工程入力!$S$6:$S$35,$C93)+COUNTIF(⑪ZEN工程入力!$T$6:$T$35,$C93)+COUNTIF(⑪ZEN工程入力!$U$6:$U$35,$C93)+COUNTIF(⑪ZEN工程入力!$V$6:$V$35,$C93)+COUNTIF(⑪ZEN工程入力!$W$6:$W$35,$C93)+COUNTIF(⑫ミキサー工程入力!$R$6:$R$65,$C93)+COUNTIF(⑫ミキサー工程入力!$S$6:$S$65,$C93)+COUNTIF(⑫ミキサー工程入力!$T$6:$T$65,$C93)+COUNTIF(⑫ミキサー工程入力!$U$6:$U$65,$C93)+COUNTIF(⑫ミキサー工程入力!$V$6:$V$65,$C93)+COUNTIF(⑫ミキサー工程入力!$W$6:$W$65,$C93)+COUNTIF(⑬計量工程入力!$R$6:$R$65,$C93)+COUNTIF(⑬計量工程入力!$S$6:$S$65,$C93)+COUNTIF(⑬計量工程入力!$T$6:$T$65,$C93)+COUNTIF(⑬計量工程入力!$U$6:$U$65,$C93)+COUNTIF(⑬計量工程入力!$V$6:$V$65,$C93)+COUNTIF(⑬計量工程入力!$W$6:$W$65,$C93)+COUNTIF(⑭手動工程入力!$R$6:$R$47,$C93)+COUNTIF(⑭手動工程入力!$S$6:$S$47,$C93)+COUNTIF(⑭手動工程入力!$T$6:$T$47,$C93)+COUNTIF(⑭手動工程入力!$U$6:$U$47,$C93)+COUNTIF(⑭手動工程入力!$V$6:$V$47,$C93)+COUNTIF(⑭手動工程入力!$W$6:$W$47,$C93)</f>
        <v/>
      </c>
      <c r="Q93" s="392" t="n"/>
      <c r="R93" s="393" t="n"/>
      <c r="S93" s="393" t="n"/>
      <c r="T93" s="393" t="n"/>
      <c r="U93" s="393" t="n"/>
      <c r="V93" s="605">
        <f>IFERROR(INDEX(KIT別作業時間!$D$4:$D$27,MATCH(SUBSTITUTE(SUBSTITUTE(SUBSTITUTE(SUBSTITUTE(SUBSTITUTE(SUBSTITUTE(SUBSTITUTE(SUBSTITUTE(SUBSTITUTE(SUBSTITUTE(ASC($C93),"①","1"),"②","2"),"③","3"),"④","4"),"⑤","5"),"⑥","6"),"⑦","7"),"⑧","8"),"⑨","9")," ",""),KIT別作業時間!$C$4:$C$27,0)),"")</f>
        <v/>
      </c>
      <c r="W93" s="393">
        <f>IF(AND(ISNUMBER($I93),$I93&gt;0),$I93,IF(ISNUMBER($V93),$V93,IF(ISNUMBER($R93),$R93,"")))</f>
        <v/>
      </c>
      <c r="X93" s="393">
        <f>IF(AND(ISNUMBER($I93),$I93&gt;0),"今回の工程実績",IF(ISNUMBER($V93),"KIT作業時間",IF(ISNUMBER($R93),"前回資料","")))</f>
        <v/>
      </c>
      <c r="Y93" s="398" t="n">
        <v>864</v>
      </c>
      <c r="Z93" s="398">
        <f>IF(AND(ISNUMBER($W93),ISNUMBER($Y93)),$W93*$Y93,"")</f>
        <v/>
      </c>
      <c r="AA93" s="393" t="n"/>
    </row>
    <row r="94">
      <c r="A94" s="392" t="n">
        <v>90</v>
      </c>
      <c r="B94" s="392" t="n"/>
      <c r="C94" s="392" t="inlineStr">
        <is>
          <t>マルゲリータピザＫＩＴ２</t>
        </is>
      </c>
      <c r="D94" s="398">
        <f>SUMIF(⑩盛付梱包工程入力!$R$5:$R$300,$C94,⑩盛付梱包工程入力!$AC$5:$AC$300)+SUMIF(⑩盛付梱包工程入力!$S$5:$S$300,$C94,⑩盛付梱包工程入力!$AC$5:$AC$300)+SUMIF(⑩盛付梱包工程入力!$T$5:$T$300,$C94,⑩盛付梱包工程入力!$AC$5:$AC$300)+SUMIF(⑩盛付梱包工程入力!$U$5:$U$300,$C94,⑩盛付梱包工程入力!$AC$5:$AC$300)+SUMIF(⑩盛付梱包工程入力!$V$5:$V$300,$C94,⑩盛付梱包工程入力!$AC$5:$AC$300)+SUMIF(⑩盛付梱包工程入力!$W$5:$W$300,$C94,⑩盛付梱包工程入力!$AC$5:$AC$300)</f>
        <v/>
      </c>
      <c r="E94" s="398" t="n"/>
      <c r="F94" s="398">
        <f>IF(N($E94)&gt;0,$E94,$D94)</f>
        <v/>
      </c>
      <c r="G94" s="398" t="n"/>
      <c r="H94" s="393">
        <f>SUMIF(②釜工程入力!$R$5:$R$117,$C94,②釜工程入力!$AD$5:$AD$117)+SUMIF(②釜工程入力!$S$5:$S$117,$C94,②釜工程入力!$AE$5:$AE$117)+SUMIF(②釜工程入力!$T$5:$T$117,$C94,②釜工程入力!$AF$5:$AF$117)+SUMIF(②釜工程入力!$U$5:$U$117,$C94,②釜工程入力!$AG$5:$AG$117)+SUMIF(②釜工程入力!$V$5:$V$117,$C94,②釜工程入力!$AH$5:$AH$117)+SUMIF(②釜工程入力!$W$5:$W$117,$C94,②釜工程入力!$AI$5:$AI$117)+SUMIF(③スチコン工程入力!$R$5:$R$152,$C94,③スチコン工程入力!$AD$5:$AD$152)+SUMIF(③スチコン工程入力!$S$5:$S$152,$C94,③スチコン工程入力!$AE$5:$AE$152)+SUMIF(③スチコン工程入力!$T$5:$T$152,$C94,③スチコン工程入力!$AF$5:$AF$152)+SUMIF(③スチコン工程入力!$U$5:$U$152,$C94,③スチコン工程入力!$AG$5:$AG$152)+SUMIF(③スチコン工程入力!$V$5:$V$152,$C94,③スチコン工程入力!$AH$5:$AH$152)+SUMIF(③スチコン工程入力!$W$5:$W$152,$C94,③スチコン工程入力!$AI$5:$AI$152)+SUMIF(⑩盛付梱包工程入力!$R$5:$R$300,$C94,⑩盛付梱包工程入力!$AD$5:$AD$300)+SUMIF(⑩盛付梱包工程入力!$S$5:$S$300,$C94,⑩盛付梱包工程入力!$AE$5:$AE$300)+SUMIF(⑩盛付梱包工程入力!$T$5:$T$300,$C94,⑩盛付梱包工程入力!$AF$5:$AF$300)+SUMIF(⑩盛付梱包工程入力!$U$5:$U$300,$C94,⑩盛付梱包工程入力!$AG$5:$AG$300)+SUMIF(⑩盛付梱包工程入力!$V$5:$V$300,$C94,⑩盛付梱包工程入力!$AH$5:$AH$300)+SUMIF(⑩盛付梱包工程入力!$W$5:$W$300,$C94,⑩盛付梱包工程入力!$AI$5:$AI$300)+SUMIF(⑪ZEN工程入力!$R$6:$R$35,$C94,⑪ZEN工程入力!$AD$6:$AD$35)+SUMIF(⑪ZEN工程入力!$S$6:$S$35,$C94,⑪ZEN工程入力!$AE$6:$AE$35)+SUMIF(⑪ZEN工程入力!$T$6:$T$35,$C94,⑪ZEN工程入力!$AF$6:$AF$35)+SUMIF(⑪ZEN工程入力!$U$6:$U$35,$C94,⑪ZEN工程入力!$AG$6:$AG$35)+SUMIF(⑪ZEN工程入力!$V$6:$V$35,$C94,⑪ZEN工程入力!$AH$6:$AH$35)+SUMIF(⑪ZEN工程入力!$W$6:$W$35,$C94,⑪ZEN工程入力!$AI$6:$AI$35)+SUMIF(⑫ミキサー工程入力!$R$6:$R$65,$C94,⑫ミキサー工程入力!$AD$6:$AD$65)+SUMIF(⑫ミキサー工程入力!$S$6:$S$65,$C94,⑫ミキサー工程入力!$AE$6:$AE$65)+SUMIF(⑫ミキサー工程入力!$T$6:$T$65,$C94,⑫ミキサー工程入力!$AF$6:$AF$65)+SUMIF(⑫ミキサー工程入力!$U$6:$U$65,$C94,⑫ミキサー工程入力!$AG$6:$AG$65)+SUMIF(⑫ミキサー工程入力!$V$6:$V$65,$C94,⑫ミキサー工程入力!$AH$6:$AH$65)+SUMIF(⑫ミキサー工程入力!$W$6:$W$65,$C94,⑫ミキサー工程入力!$AI$6:$AI$65)+SUMIF(⑬計量工程入力!$R$6:$R$65,$C94,⑬計量工程入力!$AD$6:$AD$65)+SUMIF(⑬計量工程入力!$S$6:$S$65,$C94,⑬計量工程入力!$AE$6:$AE$65)+SUMIF(⑬計量工程入力!$T$6:$T$65,$C94,⑬計量工程入力!$AF$6:$AF$65)+SUMIF(⑬計量工程入力!$U$6:$U$65,$C94,⑬計量工程入力!$AG$6:$AG$65)+SUMIF(⑬計量工程入力!$V$6:$V$65,$C94,⑬計量工程入力!$AH$6:$AH$65)+SUMIF(⑬計量工程入力!$W$6:$W$65,$C94,⑬計量工程入力!$AI$6:$AI$65)+SUMIF(⑭手動工程入力!$R$6:$R$47,$C94,⑭手動工程入力!$AD$6:$AD$47)+SUMIF(⑭手動工程入力!$S$6:$S$47,$C94,⑭手動工程入力!$AE$6:$AE$47)+SUMIF(⑭手動工程入力!$T$6:$T$47,$C94,⑭手動工程入力!$AF$6:$AF$47)+SUMIF(⑭手動工程入力!$U$6:$U$47,$C94,⑭手動工程入力!$AG$6:$AG$47)+SUMIF(⑭手動工程入力!$V$6:$V$47,$C94,⑭手動工程入力!$AH$6:$AH$47)+SUMIF(⑭手動工程入力!$W$6:$W$47,$C94,⑭手動工程入力!$AI$6:$AI$47)</f>
        <v/>
      </c>
      <c r="I94" s="393">
        <f>IF($F94&gt;0,$H94/$F94,"")</f>
        <v/>
      </c>
      <c r="J94" s="605">
        <f>IFERROR(INDEX(商品原価!$B$4:$B$112,MATCH(SUBSTITUTE(SUBSTITUTE(SUBSTITUTE(SUBSTITUTE(SUBSTITUTE(SUBSTITUTE(SUBSTITUTE(SUBSTITUTE(SUBSTITUTE(SUBSTITUTE(ASC($C94),"①","1"),"②","2"),"③","3"),"④","4"),"⑤","5"),"⑥","6"),"⑦","7"),"⑧","8"),"⑨","9")," ",""),商品原価!$C$4:$C$112,0)),"")</f>
        <v/>
      </c>
      <c r="K94" s="542">
        <f>IF(ISNUMBER($J94),$J94*④前提設定!$B$21,"")</f>
        <v/>
      </c>
      <c r="L94" s="605">
        <f>IF(AND(NOT(ISNUMBER($J94)),NOT(ISNUMBER($K94))),"",N($J94)+N($K94))</f>
        <v/>
      </c>
      <c r="M94" s="605">
        <f>IFERROR(INDEX(商品原価!$E$4:$E$112,MATCH(SUBSTITUTE(SUBSTITUTE(SUBSTITUTE(SUBSTITUTE(SUBSTITUTE(SUBSTITUTE(SUBSTITUTE(SUBSTITUTE(SUBSTITUTE(SUBSTITUTE(ASC($C94),"①","1"),"②","2"),"③","3"),"④","4"),"⑤","5"),"⑥","6"),"⑦","7"),"⑧","8"),"⑨","9")," ",""),商品原価!$C$4:$C$112,0)),"")</f>
        <v/>
      </c>
      <c r="N94" s="605">
        <f>IF(AND(ISNUMBER($M94),ISNUMBER($L94)),$M94-$L94-N($W94),"")</f>
        <v/>
      </c>
      <c r="O94" s="606">
        <f>IF(AND(ISNUMBER($N94),ISNUMBER($M94),$M94&gt;0),$N94/$M94,"")</f>
        <v/>
      </c>
      <c r="P94" s="398">
        <f>COUNTIF(②釜工程入力!$R$5:$R$117,$C94)+COUNTIF(②釜工程入力!$S$5:$S$117,$C94)+COUNTIF(②釜工程入力!$T$5:$T$117,$C94)+COUNTIF(②釜工程入力!$U$5:$U$117,$C94)+COUNTIF(②釜工程入力!$V$5:$V$117,$C94)+COUNTIF(②釜工程入力!$W$5:$W$117,$C94)+COUNTIF(③スチコン工程入力!$R$5:$R$152,$C94)+COUNTIF(③スチコン工程入力!$S$5:$S$152,$C94)+COUNTIF(③スチコン工程入力!$T$5:$T$152,$C94)+COUNTIF(③スチコン工程入力!$U$5:$U$152,$C94)+COUNTIF(③スチコン工程入力!$V$5:$V$152,$C94)+COUNTIF(③スチコン工程入力!$W$5:$W$152,$C94)+COUNTIF(⑩盛付梱包工程入力!$R$5:$R$300,$C94)+COUNTIF(⑩盛付梱包工程入力!$S$5:$S$300,$C94)+COUNTIF(⑩盛付梱包工程入力!$T$5:$T$300,$C94)+COUNTIF(⑩盛付梱包工程入力!$U$5:$U$300,$C94)+COUNTIF(⑩盛付梱包工程入力!$V$5:$V$300,$C94)+COUNTIF(⑩盛付梱包工程入力!$W$5:$W$300,$C94)+COUNTIF(⑪ZEN工程入力!$R$6:$R$35,$C94)+COUNTIF(⑪ZEN工程入力!$S$6:$S$35,$C94)+COUNTIF(⑪ZEN工程入力!$T$6:$T$35,$C94)+COUNTIF(⑪ZEN工程入力!$U$6:$U$35,$C94)+COUNTIF(⑪ZEN工程入力!$V$6:$V$35,$C94)+COUNTIF(⑪ZEN工程入力!$W$6:$W$35,$C94)+COUNTIF(⑫ミキサー工程入力!$R$6:$R$65,$C94)+COUNTIF(⑫ミキサー工程入力!$S$6:$S$65,$C94)+COUNTIF(⑫ミキサー工程入力!$T$6:$T$65,$C94)+COUNTIF(⑫ミキサー工程入力!$U$6:$U$65,$C94)+COUNTIF(⑫ミキサー工程入力!$V$6:$V$65,$C94)+COUNTIF(⑫ミキサー工程入力!$W$6:$W$65,$C94)+COUNTIF(⑬計量工程入力!$R$6:$R$65,$C94)+COUNTIF(⑬計量工程入力!$S$6:$S$65,$C94)+COUNTIF(⑬計量工程入力!$T$6:$T$65,$C94)+COUNTIF(⑬計量工程入力!$U$6:$U$65,$C94)+COUNTIF(⑬計量工程入力!$V$6:$V$65,$C94)+COUNTIF(⑬計量工程入力!$W$6:$W$65,$C94)+COUNTIF(⑭手動工程入力!$R$6:$R$47,$C94)+COUNTIF(⑭手動工程入力!$S$6:$S$47,$C94)+COUNTIF(⑭手動工程入力!$T$6:$T$47,$C94)+COUNTIF(⑭手動工程入力!$U$6:$U$47,$C94)+COUNTIF(⑭手動工程入力!$V$6:$V$47,$C94)+COUNTIF(⑭手動工程入力!$W$6:$W$47,$C94)</f>
        <v/>
      </c>
      <c r="Q94" s="392" t="n"/>
      <c r="R94" s="393" t="n"/>
      <c r="S94" s="393" t="n"/>
      <c r="T94" s="393" t="n"/>
      <c r="U94" s="393" t="n"/>
      <c r="V94" s="605">
        <f>IFERROR(INDEX(KIT別作業時間!$D$4:$D$27,MATCH(SUBSTITUTE(SUBSTITUTE(SUBSTITUTE(SUBSTITUTE(SUBSTITUTE(SUBSTITUTE(SUBSTITUTE(SUBSTITUTE(SUBSTITUTE(SUBSTITUTE(ASC($C94),"①","1"),"②","2"),"③","3"),"④","4"),"⑤","5"),"⑥","6"),"⑦","7"),"⑧","8"),"⑨","9")," ",""),KIT別作業時間!$C$4:$C$27,0)),"")</f>
        <v/>
      </c>
      <c r="W94" s="393">
        <f>IF(AND(ISNUMBER($I94),$I94&gt;0),$I94,IF(ISNUMBER($V94),$V94,IF(ISNUMBER($R94),$R94,"")))</f>
        <v/>
      </c>
      <c r="X94" s="393">
        <f>IF(AND(ISNUMBER($I94),$I94&gt;0),"今回の工程実績",IF(ISNUMBER($V94),"KIT作業時間",IF(ISNUMBER($R94),"前回資料","")))</f>
        <v/>
      </c>
      <c r="Y94" s="398" t="n">
        <v>16</v>
      </c>
      <c r="Z94" s="398">
        <f>IF(AND(ISNUMBER($W94),ISNUMBER($Y94)),$W94*$Y94,"")</f>
        <v/>
      </c>
      <c r="AA94" s="393" t="n"/>
    </row>
    <row r="95">
      <c r="A95" s="392" t="n">
        <v>91</v>
      </c>
      <c r="B95" s="392" t="n"/>
      <c r="C95" s="392" t="inlineStr">
        <is>
          <t>ソフトフランスパンＫＩＴ</t>
        </is>
      </c>
      <c r="D95" s="398">
        <f>SUMIF(⑩盛付梱包工程入力!$R$5:$R$300,$C95,⑩盛付梱包工程入力!$AC$5:$AC$300)+SUMIF(⑩盛付梱包工程入力!$S$5:$S$300,$C95,⑩盛付梱包工程入力!$AC$5:$AC$300)+SUMIF(⑩盛付梱包工程入力!$T$5:$T$300,$C95,⑩盛付梱包工程入力!$AC$5:$AC$300)+SUMIF(⑩盛付梱包工程入力!$U$5:$U$300,$C95,⑩盛付梱包工程入力!$AC$5:$AC$300)+SUMIF(⑩盛付梱包工程入力!$V$5:$V$300,$C95,⑩盛付梱包工程入力!$AC$5:$AC$300)+SUMIF(⑩盛付梱包工程入力!$W$5:$W$300,$C95,⑩盛付梱包工程入力!$AC$5:$AC$300)</f>
        <v/>
      </c>
      <c r="E95" s="398" t="n">
        <v>3</v>
      </c>
      <c r="F95" s="398">
        <f>IF(N($E95)&gt;0,$E95,$D95)</f>
        <v/>
      </c>
      <c r="G95" s="393" t="n">
        <v>189.787037037037</v>
      </c>
      <c r="H95" s="393">
        <f>SUMIF(②釜工程入力!$R$5:$R$117,$C95,②釜工程入力!$AD$5:$AD$117)+SUMIF(②釜工程入力!$S$5:$S$117,$C95,②釜工程入力!$AE$5:$AE$117)+SUMIF(②釜工程入力!$T$5:$T$117,$C95,②釜工程入力!$AF$5:$AF$117)+SUMIF(②釜工程入力!$U$5:$U$117,$C95,②釜工程入力!$AG$5:$AG$117)+SUMIF(②釜工程入力!$V$5:$V$117,$C95,②釜工程入力!$AH$5:$AH$117)+SUMIF(②釜工程入力!$W$5:$W$117,$C95,②釜工程入力!$AI$5:$AI$117)+SUMIF(③スチコン工程入力!$R$5:$R$152,$C95,③スチコン工程入力!$AD$5:$AD$152)+SUMIF(③スチコン工程入力!$S$5:$S$152,$C95,③スチコン工程入力!$AE$5:$AE$152)+SUMIF(③スチコン工程入力!$T$5:$T$152,$C95,③スチコン工程入力!$AF$5:$AF$152)+SUMIF(③スチコン工程入力!$U$5:$U$152,$C95,③スチコン工程入力!$AG$5:$AG$152)+SUMIF(③スチコン工程入力!$V$5:$V$152,$C95,③スチコン工程入力!$AH$5:$AH$152)+SUMIF(③スチコン工程入力!$W$5:$W$152,$C95,③スチコン工程入力!$AI$5:$AI$152)+SUMIF(⑩盛付梱包工程入力!$R$5:$R$300,$C95,⑩盛付梱包工程入力!$AD$5:$AD$300)+SUMIF(⑩盛付梱包工程入力!$S$5:$S$300,$C95,⑩盛付梱包工程入力!$AE$5:$AE$300)+SUMIF(⑩盛付梱包工程入力!$T$5:$T$300,$C95,⑩盛付梱包工程入力!$AF$5:$AF$300)+SUMIF(⑩盛付梱包工程入力!$U$5:$U$300,$C95,⑩盛付梱包工程入力!$AG$5:$AG$300)+SUMIF(⑩盛付梱包工程入力!$V$5:$V$300,$C95,⑩盛付梱包工程入力!$AH$5:$AH$300)+SUMIF(⑩盛付梱包工程入力!$W$5:$W$300,$C95,⑩盛付梱包工程入力!$AI$5:$AI$300)+SUMIF(⑪ZEN工程入力!$R$6:$R$35,$C95,⑪ZEN工程入力!$AD$6:$AD$35)+SUMIF(⑪ZEN工程入力!$S$6:$S$35,$C95,⑪ZEN工程入力!$AE$6:$AE$35)+SUMIF(⑪ZEN工程入力!$T$6:$T$35,$C95,⑪ZEN工程入力!$AF$6:$AF$35)+SUMIF(⑪ZEN工程入力!$U$6:$U$35,$C95,⑪ZEN工程入力!$AG$6:$AG$35)+SUMIF(⑪ZEN工程入力!$V$6:$V$35,$C95,⑪ZEN工程入力!$AH$6:$AH$35)+SUMIF(⑪ZEN工程入力!$W$6:$W$35,$C95,⑪ZEN工程入力!$AI$6:$AI$35)+SUMIF(⑫ミキサー工程入力!$R$6:$R$65,$C95,⑫ミキサー工程入力!$AD$6:$AD$65)+SUMIF(⑫ミキサー工程入力!$S$6:$S$65,$C95,⑫ミキサー工程入力!$AE$6:$AE$65)+SUMIF(⑫ミキサー工程入力!$T$6:$T$65,$C95,⑫ミキサー工程入力!$AF$6:$AF$65)+SUMIF(⑫ミキサー工程入力!$U$6:$U$65,$C95,⑫ミキサー工程入力!$AG$6:$AG$65)+SUMIF(⑫ミキサー工程入力!$V$6:$V$65,$C95,⑫ミキサー工程入力!$AH$6:$AH$65)+SUMIF(⑫ミキサー工程入力!$W$6:$W$65,$C95,⑫ミキサー工程入力!$AI$6:$AI$65)+SUMIF(⑬計量工程入力!$R$6:$R$65,$C95,⑬計量工程入力!$AD$6:$AD$65)+SUMIF(⑬計量工程入力!$S$6:$S$65,$C95,⑬計量工程入力!$AE$6:$AE$65)+SUMIF(⑬計量工程入力!$T$6:$T$65,$C95,⑬計量工程入力!$AF$6:$AF$65)+SUMIF(⑬計量工程入力!$U$6:$U$65,$C95,⑬計量工程入力!$AG$6:$AG$65)+SUMIF(⑬計量工程入力!$V$6:$V$65,$C95,⑬計量工程入力!$AH$6:$AH$65)+SUMIF(⑬計量工程入力!$W$6:$W$65,$C95,⑬計量工程入力!$AI$6:$AI$65)+SUMIF(⑭手動工程入力!$R$6:$R$47,$C95,⑭手動工程入力!$AD$6:$AD$47)+SUMIF(⑭手動工程入力!$S$6:$S$47,$C95,⑭手動工程入力!$AE$6:$AE$47)+SUMIF(⑭手動工程入力!$T$6:$T$47,$C95,⑭手動工程入力!$AF$6:$AF$47)+SUMIF(⑭手動工程入力!$U$6:$U$47,$C95,⑭手動工程入力!$AG$6:$AG$47)+SUMIF(⑭手動工程入力!$V$6:$V$47,$C95,⑭手動工程入力!$AH$6:$AH$47)+SUMIF(⑭手動工程入力!$W$6:$W$47,$C95,⑭手動工程入力!$AI$6:$AI$47)</f>
        <v/>
      </c>
      <c r="I95" s="393">
        <f>IF($F95&gt;0,$H95/$F95,"")</f>
        <v/>
      </c>
      <c r="J95" s="605">
        <f>IFERROR(INDEX(商品原価!$B$4:$B$112,MATCH(SUBSTITUTE(SUBSTITUTE(SUBSTITUTE(SUBSTITUTE(SUBSTITUTE(SUBSTITUTE(SUBSTITUTE(SUBSTITUTE(SUBSTITUTE(SUBSTITUTE(ASC($C95),"①","1"),"②","2"),"③","3"),"④","4"),"⑤","5"),"⑥","6"),"⑦","7"),"⑧","8"),"⑨","9")," ",""),商品原価!$C$4:$C$112,0)),"")</f>
        <v/>
      </c>
      <c r="K95" s="542">
        <f>IF(ISNUMBER($J95),$J95*④前提設定!$B$21,"")</f>
        <v/>
      </c>
      <c r="L95" s="605">
        <f>IF(AND(NOT(ISNUMBER($J95)),NOT(ISNUMBER($K95))),"",N($J95)+N($K95))</f>
        <v/>
      </c>
      <c r="M95" s="605">
        <f>IFERROR(INDEX(商品原価!$E$4:$E$112,MATCH(SUBSTITUTE(SUBSTITUTE(SUBSTITUTE(SUBSTITUTE(SUBSTITUTE(SUBSTITUTE(SUBSTITUTE(SUBSTITUTE(SUBSTITUTE(SUBSTITUTE(ASC($C95),"①","1"),"②","2"),"③","3"),"④","4"),"⑤","5"),"⑥","6"),"⑦","7"),"⑧","8"),"⑨","9")," ",""),商品原価!$C$4:$C$112,0)),"")</f>
        <v/>
      </c>
      <c r="N95" s="605">
        <f>IF(AND(ISNUMBER($M95),ISNUMBER($L95)),$M95-$L95-N($W95),"")</f>
        <v/>
      </c>
      <c r="O95" s="606">
        <f>IF(AND(ISNUMBER($N95),ISNUMBER($M95),$M95&gt;0),$N95/$M95,"")</f>
        <v/>
      </c>
      <c r="P95" s="398">
        <f>COUNTIF(②釜工程入力!$R$5:$R$117,$C95)+COUNTIF(②釜工程入力!$S$5:$S$117,$C95)+COUNTIF(②釜工程入力!$T$5:$T$117,$C95)+COUNTIF(②釜工程入力!$U$5:$U$117,$C95)+COUNTIF(②釜工程入力!$V$5:$V$117,$C95)+COUNTIF(②釜工程入力!$W$5:$W$117,$C95)+COUNTIF(③スチコン工程入力!$R$5:$R$152,$C95)+COUNTIF(③スチコン工程入力!$S$5:$S$152,$C95)+COUNTIF(③スチコン工程入力!$T$5:$T$152,$C95)+COUNTIF(③スチコン工程入力!$U$5:$U$152,$C95)+COUNTIF(③スチコン工程入力!$V$5:$V$152,$C95)+COUNTIF(③スチコン工程入力!$W$5:$W$152,$C95)+COUNTIF(⑩盛付梱包工程入力!$R$5:$R$300,$C95)+COUNTIF(⑩盛付梱包工程入力!$S$5:$S$300,$C95)+COUNTIF(⑩盛付梱包工程入力!$T$5:$T$300,$C95)+COUNTIF(⑩盛付梱包工程入力!$U$5:$U$300,$C95)+COUNTIF(⑩盛付梱包工程入力!$V$5:$V$300,$C95)+COUNTIF(⑩盛付梱包工程入力!$W$5:$W$300,$C95)+COUNTIF(⑪ZEN工程入力!$R$6:$R$35,$C95)+COUNTIF(⑪ZEN工程入力!$S$6:$S$35,$C95)+COUNTIF(⑪ZEN工程入力!$T$6:$T$35,$C95)+COUNTIF(⑪ZEN工程入力!$U$6:$U$35,$C95)+COUNTIF(⑪ZEN工程入力!$V$6:$V$35,$C95)+COUNTIF(⑪ZEN工程入力!$W$6:$W$35,$C95)+COUNTIF(⑫ミキサー工程入力!$R$6:$R$65,$C95)+COUNTIF(⑫ミキサー工程入力!$S$6:$S$65,$C95)+COUNTIF(⑫ミキサー工程入力!$T$6:$T$65,$C95)+COUNTIF(⑫ミキサー工程入力!$U$6:$U$65,$C95)+COUNTIF(⑫ミキサー工程入力!$V$6:$V$65,$C95)+COUNTIF(⑫ミキサー工程入力!$W$6:$W$65,$C95)+COUNTIF(⑬計量工程入力!$R$6:$R$65,$C95)+COUNTIF(⑬計量工程入力!$S$6:$S$65,$C95)+COUNTIF(⑬計量工程入力!$T$6:$T$65,$C95)+COUNTIF(⑬計量工程入力!$U$6:$U$65,$C95)+COUNTIF(⑬計量工程入力!$V$6:$V$65,$C95)+COUNTIF(⑬計量工程入力!$W$6:$W$65,$C95)+COUNTIF(⑭手動工程入力!$R$6:$R$47,$C95)+COUNTIF(⑭手動工程入力!$S$6:$S$47,$C95)+COUNTIF(⑭手動工程入力!$T$6:$T$47,$C95)+COUNTIF(⑭手動工程入力!$U$6:$U$47,$C95)+COUNTIF(⑭手動工程入力!$V$6:$V$47,$C95)+COUNTIF(⑭手動工程入力!$W$6:$W$47,$C95)</f>
        <v/>
      </c>
      <c r="Q95" s="392" t="n"/>
      <c r="R95" s="393" t="n"/>
      <c r="S95" s="393" t="n"/>
      <c r="T95" s="393" t="n"/>
      <c r="U95" s="393" t="n"/>
      <c r="V95" s="605">
        <f>IFERROR(INDEX(KIT別作業時間!$D$4:$D$27,MATCH(SUBSTITUTE(SUBSTITUTE(SUBSTITUTE(SUBSTITUTE(SUBSTITUTE(SUBSTITUTE(SUBSTITUTE(SUBSTITUTE(SUBSTITUTE(SUBSTITUTE(ASC($C95),"①","1"),"②","2"),"③","3"),"④","4"),"⑤","5"),"⑥","6"),"⑦","7"),"⑧","8"),"⑨","9")," ",""),KIT別作業時間!$C$4:$C$27,0)),"")</f>
        <v/>
      </c>
      <c r="W95" s="393">
        <f>IF(AND(ISNUMBER($I95),$I95&gt;0),$I95,IF(ISNUMBER($V95),$V95,IF(ISNUMBER($R95),$R95,"")))</f>
        <v/>
      </c>
      <c r="X95" s="393">
        <f>IF(AND(ISNUMBER($I95),$I95&gt;0),"今回の工程実績",IF(ISNUMBER($V95),"KIT作業時間",IF(ISNUMBER($R95),"前回資料","")))</f>
        <v/>
      </c>
      <c r="Y95" s="398" t="n">
        <v>18</v>
      </c>
      <c r="Z95" s="398">
        <f>IF(AND(ISNUMBER($W95),ISNUMBER($Y95)),$W95*$Y95,"")</f>
        <v/>
      </c>
      <c r="AA95" s="393" t="n"/>
    </row>
    <row r="96">
      <c r="A96" s="392" t="n">
        <v>92</v>
      </c>
      <c r="B96" s="392" t="n"/>
      <c r="C96" s="392" t="inlineStr">
        <is>
          <t>プリン！？なロールケーキ</t>
        </is>
      </c>
      <c r="D96" s="398">
        <f>SUMIF(⑩盛付梱包工程入力!$R$5:$R$300,$C96,⑩盛付梱包工程入力!$AC$5:$AC$300)+SUMIF(⑩盛付梱包工程入力!$S$5:$S$300,$C96,⑩盛付梱包工程入力!$AC$5:$AC$300)+SUMIF(⑩盛付梱包工程入力!$T$5:$T$300,$C96,⑩盛付梱包工程入力!$AC$5:$AC$300)+SUMIF(⑩盛付梱包工程入力!$U$5:$U$300,$C96,⑩盛付梱包工程入力!$AC$5:$AC$300)+SUMIF(⑩盛付梱包工程入力!$V$5:$V$300,$C96,⑩盛付梱包工程入力!$AC$5:$AC$300)+SUMIF(⑩盛付梱包工程入力!$W$5:$W$300,$C96,⑩盛付梱包工程入力!$AC$5:$AC$300)</f>
        <v/>
      </c>
      <c r="E96" s="398" t="n">
        <v>87</v>
      </c>
      <c r="F96" s="398">
        <f>IF(N($E96)&gt;0,$E96,$D96)</f>
        <v/>
      </c>
      <c r="G96" s="393" t="n">
        <v>58.90470193115029</v>
      </c>
      <c r="H96" s="393">
        <f>SUMIF(②釜工程入力!$R$5:$R$117,$C96,②釜工程入力!$AD$5:$AD$117)+SUMIF(②釜工程入力!$S$5:$S$117,$C96,②釜工程入力!$AE$5:$AE$117)+SUMIF(②釜工程入力!$T$5:$T$117,$C96,②釜工程入力!$AF$5:$AF$117)+SUMIF(②釜工程入力!$U$5:$U$117,$C96,②釜工程入力!$AG$5:$AG$117)+SUMIF(②釜工程入力!$V$5:$V$117,$C96,②釜工程入力!$AH$5:$AH$117)+SUMIF(②釜工程入力!$W$5:$W$117,$C96,②釜工程入力!$AI$5:$AI$117)+SUMIF(③スチコン工程入力!$R$5:$R$152,$C96,③スチコン工程入力!$AD$5:$AD$152)+SUMIF(③スチコン工程入力!$S$5:$S$152,$C96,③スチコン工程入力!$AE$5:$AE$152)+SUMIF(③スチコン工程入力!$T$5:$T$152,$C96,③スチコン工程入力!$AF$5:$AF$152)+SUMIF(③スチコン工程入力!$U$5:$U$152,$C96,③スチコン工程入力!$AG$5:$AG$152)+SUMIF(③スチコン工程入力!$V$5:$V$152,$C96,③スチコン工程入力!$AH$5:$AH$152)+SUMIF(③スチコン工程入力!$W$5:$W$152,$C96,③スチコン工程入力!$AI$5:$AI$152)+SUMIF(⑩盛付梱包工程入力!$R$5:$R$300,$C96,⑩盛付梱包工程入力!$AD$5:$AD$300)+SUMIF(⑩盛付梱包工程入力!$S$5:$S$300,$C96,⑩盛付梱包工程入力!$AE$5:$AE$300)+SUMIF(⑩盛付梱包工程入力!$T$5:$T$300,$C96,⑩盛付梱包工程入力!$AF$5:$AF$300)+SUMIF(⑩盛付梱包工程入力!$U$5:$U$300,$C96,⑩盛付梱包工程入力!$AG$5:$AG$300)+SUMIF(⑩盛付梱包工程入力!$V$5:$V$300,$C96,⑩盛付梱包工程入力!$AH$5:$AH$300)+SUMIF(⑩盛付梱包工程入力!$W$5:$W$300,$C96,⑩盛付梱包工程入力!$AI$5:$AI$300)+SUMIF(⑪ZEN工程入力!$R$6:$R$35,$C96,⑪ZEN工程入力!$AD$6:$AD$35)+SUMIF(⑪ZEN工程入力!$S$6:$S$35,$C96,⑪ZEN工程入力!$AE$6:$AE$35)+SUMIF(⑪ZEN工程入力!$T$6:$T$35,$C96,⑪ZEN工程入力!$AF$6:$AF$35)+SUMIF(⑪ZEN工程入力!$U$6:$U$35,$C96,⑪ZEN工程入力!$AG$6:$AG$35)+SUMIF(⑪ZEN工程入力!$V$6:$V$35,$C96,⑪ZEN工程入力!$AH$6:$AH$35)+SUMIF(⑪ZEN工程入力!$W$6:$W$35,$C96,⑪ZEN工程入力!$AI$6:$AI$35)+SUMIF(⑫ミキサー工程入力!$R$6:$R$65,$C96,⑫ミキサー工程入力!$AD$6:$AD$65)+SUMIF(⑫ミキサー工程入力!$S$6:$S$65,$C96,⑫ミキサー工程入力!$AE$6:$AE$65)+SUMIF(⑫ミキサー工程入力!$T$6:$T$65,$C96,⑫ミキサー工程入力!$AF$6:$AF$65)+SUMIF(⑫ミキサー工程入力!$U$6:$U$65,$C96,⑫ミキサー工程入力!$AG$6:$AG$65)+SUMIF(⑫ミキサー工程入力!$V$6:$V$65,$C96,⑫ミキサー工程入力!$AH$6:$AH$65)+SUMIF(⑫ミキサー工程入力!$W$6:$W$65,$C96,⑫ミキサー工程入力!$AI$6:$AI$65)+SUMIF(⑬計量工程入力!$R$6:$R$65,$C96,⑬計量工程入力!$AD$6:$AD$65)+SUMIF(⑬計量工程入力!$S$6:$S$65,$C96,⑬計量工程入力!$AE$6:$AE$65)+SUMIF(⑬計量工程入力!$T$6:$T$65,$C96,⑬計量工程入力!$AF$6:$AF$65)+SUMIF(⑬計量工程入力!$U$6:$U$65,$C96,⑬計量工程入力!$AG$6:$AG$65)+SUMIF(⑬計量工程入力!$V$6:$V$65,$C96,⑬計量工程入力!$AH$6:$AH$65)+SUMIF(⑬計量工程入力!$W$6:$W$65,$C96,⑬計量工程入力!$AI$6:$AI$65)+SUMIF(⑭手動工程入力!$R$6:$R$47,$C96,⑭手動工程入力!$AD$6:$AD$47)+SUMIF(⑭手動工程入力!$S$6:$S$47,$C96,⑭手動工程入力!$AE$6:$AE$47)+SUMIF(⑭手動工程入力!$T$6:$T$47,$C96,⑭手動工程入力!$AF$6:$AF$47)+SUMIF(⑭手動工程入力!$U$6:$U$47,$C96,⑭手動工程入力!$AG$6:$AG$47)+SUMIF(⑭手動工程入力!$V$6:$V$47,$C96,⑭手動工程入力!$AH$6:$AH$47)+SUMIF(⑭手動工程入力!$W$6:$W$47,$C96,⑭手動工程入力!$AI$6:$AI$47)</f>
        <v/>
      </c>
      <c r="I96" s="393">
        <f>IF($F96&gt;0,$H96/$F96,"")</f>
        <v/>
      </c>
      <c r="J96" s="605">
        <f>IFERROR(INDEX(商品原価!$B$4:$B$112,MATCH(SUBSTITUTE(SUBSTITUTE(SUBSTITUTE(SUBSTITUTE(SUBSTITUTE(SUBSTITUTE(SUBSTITUTE(SUBSTITUTE(SUBSTITUTE(SUBSTITUTE(ASC($C96),"①","1"),"②","2"),"③","3"),"④","4"),"⑤","5"),"⑥","6"),"⑦","7"),"⑧","8"),"⑨","9")," ",""),商品原価!$C$4:$C$112,0)),"")</f>
        <v/>
      </c>
      <c r="K96" s="542">
        <f>IF(ISNUMBER($J96),$J96*④前提設定!$B$21,"")</f>
        <v/>
      </c>
      <c r="L96" s="605">
        <f>IF(AND(NOT(ISNUMBER($J96)),NOT(ISNUMBER($K96))),"",N($J96)+N($K96))</f>
        <v/>
      </c>
      <c r="M96" s="605">
        <f>IFERROR(INDEX(商品原価!$E$4:$E$112,MATCH(SUBSTITUTE(SUBSTITUTE(SUBSTITUTE(SUBSTITUTE(SUBSTITUTE(SUBSTITUTE(SUBSTITUTE(SUBSTITUTE(SUBSTITUTE(SUBSTITUTE(ASC($C96),"①","1"),"②","2"),"③","3"),"④","4"),"⑤","5"),"⑥","6"),"⑦","7"),"⑧","8"),"⑨","9")," ",""),商品原価!$C$4:$C$112,0)),"")</f>
        <v/>
      </c>
      <c r="N96" s="605">
        <f>IF(AND(ISNUMBER($M96),ISNUMBER($L96)),$M96-$L96-N($W96),"")</f>
        <v/>
      </c>
      <c r="O96" s="606">
        <f>IF(AND(ISNUMBER($N96),ISNUMBER($M96),$M96&gt;0),$N96/$M96,"")</f>
        <v/>
      </c>
      <c r="P96" s="398">
        <f>COUNTIF(②釜工程入力!$R$5:$R$117,$C96)+COUNTIF(②釜工程入力!$S$5:$S$117,$C96)+COUNTIF(②釜工程入力!$T$5:$T$117,$C96)+COUNTIF(②釜工程入力!$U$5:$U$117,$C96)+COUNTIF(②釜工程入力!$V$5:$V$117,$C96)+COUNTIF(②釜工程入力!$W$5:$W$117,$C96)+COUNTIF(③スチコン工程入力!$R$5:$R$152,$C96)+COUNTIF(③スチコン工程入力!$S$5:$S$152,$C96)+COUNTIF(③スチコン工程入力!$T$5:$T$152,$C96)+COUNTIF(③スチコン工程入力!$U$5:$U$152,$C96)+COUNTIF(③スチコン工程入力!$V$5:$V$152,$C96)+COUNTIF(③スチコン工程入力!$W$5:$W$152,$C96)+COUNTIF(⑩盛付梱包工程入力!$R$5:$R$300,$C96)+COUNTIF(⑩盛付梱包工程入力!$S$5:$S$300,$C96)+COUNTIF(⑩盛付梱包工程入力!$T$5:$T$300,$C96)+COUNTIF(⑩盛付梱包工程入力!$U$5:$U$300,$C96)+COUNTIF(⑩盛付梱包工程入力!$V$5:$V$300,$C96)+COUNTIF(⑩盛付梱包工程入力!$W$5:$W$300,$C96)+COUNTIF(⑪ZEN工程入力!$R$6:$R$35,$C96)+COUNTIF(⑪ZEN工程入力!$S$6:$S$35,$C96)+COUNTIF(⑪ZEN工程入力!$T$6:$T$35,$C96)+COUNTIF(⑪ZEN工程入力!$U$6:$U$35,$C96)+COUNTIF(⑪ZEN工程入力!$V$6:$V$35,$C96)+COUNTIF(⑪ZEN工程入力!$W$6:$W$35,$C96)+COUNTIF(⑫ミキサー工程入力!$R$6:$R$65,$C96)+COUNTIF(⑫ミキサー工程入力!$S$6:$S$65,$C96)+COUNTIF(⑫ミキサー工程入力!$T$6:$T$65,$C96)+COUNTIF(⑫ミキサー工程入力!$U$6:$U$65,$C96)+COUNTIF(⑫ミキサー工程入力!$V$6:$V$65,$C96)+COUNTIF(⑫ミキサー工程入力!$W$6:$W$65,$C96)+COUNTIF(⑬計量工程入力!$R$6:$R$65,$C96)+COUNTIF(⑬計量工程入力!$S$6:$S$65,$C96)+COUNTIF(⑬計量工程入力!$T$6:$T$65,$C96)+COUNTIF(⑬計量工程入力!$U$6:$U$65,$C96)+COUNTIF(⑬計量工程入力!$V$6:$V$65,$C96)+COUNTIF(⑬計量工程入力!$W$6:$W$65,$C96)+COUNTIF(⑭手動工程入力!$R$6:$R$47,$C96)+COUNTIF(⑭手動工程入力!$S$6:$S$47,$C96)+COUNTIF(⑭手動工程入力!$T$6:$T$47,$C96)+COUNTIF(⑭手動工程入力!$U$6:$U$47,$C96)+COUNTIF(⑭手動工程入力!$V$6:$V$47,$C96)+COUNTIF(⑭手動工程入力!$W$6:$W$47,$C96)</f>
        <v/>
      </c>
      <c r="Q96" s="392" t="n"/>
      <c r="R96" s="393" t="n"/>
      <c r="S96" s="393" t="n"/>
      <c r="T96" s="393" t="n"/>
      <c r="U96" s="393" t="n"/>
      <c r="V96" s="605">
        <f>IFERROR(INDEX(KIT別作業時間!$D$4:$D$27,MATCH(SUBSTITUTE(SUBSTITUTE(SUBSTITUTE(SUBSTITUTE(SUBSTITUTE(SUBSTITUTE(SUBSTITUTE(SUBSTITUTE(SUBSTITUTE(SUBSTITUTE(ASC($C96),"①","1"),"②","2"),"③","3"),"④","4"),"⑤","5"),"⑥","6"),"⑦","7"),"⑧","8"),"⑨","9")," ",""),KIT別作業時間!$C$4:$C$27,0)),"")</f>
        <v/>
      </c>
      <c r="W96" s="393">
        <f>IF(AND(ISNUMBER($I96),$I96&gt;0),$I96,IF(ISNUMBER($V96),$V96,IF(ISNUMBER($R96),$R96,"")))</f>
        <v/>
      </c>
      <c r="X96" s="393">
        <f>IF(AND(ISNUMBER($I96),$I96&gt;0),"今回の工程実績",IF(ISNUMBER($V96),"KIT作業時間",IF(ISNUMBER($R96),"前回資料","")))</f>
        <v/>
      </c>
      <c r="Y96" s="398" t="n"/>
      <c r="Z96" s="398">
        <f>IF(AND(ISNUMBER($W96),ISNUMBER($Y96)),$W96*$Y96,"")</f>
        <v/>
      </c>
      <c r="AA96" s="393" t="n"/>
    </row>
    <row r="97">
      <c r="A97" s="392" t="n">
        <v>93</v>
      </c>
      <c r="B97" s="392" t="n"/>
      <c r="C97" s="392" t="inlineStr">
        <is>
          <t>まっしろミルクプリン３</t>
        </is>
      </c>
      <c r="D97" s="398">
        <f>SUMIF(⑩盛付梱包工程入力!$R$5:$R$300,$C97,⑩盛付梱包工程入力!$AC$5:$AC$300)+SUMIF(⑩盛付梱包工程入力!$S$5:$S$300,$C97,⑩盛付梱包工程入力!$AC$5:$AC$300)+SUMIF(⑩盛付梱包工程入力!$T$5:$T$300,$C97,⑩盛付梱包工程入力!$AC$5:$AC$300)+SUMIF(⑩盛付梱包工程入力!$U$5:$U$300,$C97,⑩盛付梱包工程入力!$AC$5:$AC$300)+SUMIF(⑩盛付梱包工程入力!$V$5:$V$300,$C97,⑩盛付梱包工程入力!$AC$5:$AC$300)+SUMIF(⑩盛付梱包工程入力!$W$5:$W$300,$C97,⑩盛付梱包工程入力!$AC$5:$AC$300)</f>
        <v/>
      </c>
      <c r="E97" s="398" t="n">
        <v>93</v>
      </c>
      <c r="F97" s="398">
        <f>IF(N($E97)&gt;0,$E97,$D97)</f>
        <v/>
      </c>
      <c r="G97" s="393" t="n">
        <v>47.15610859728506</v>
      </c>
      <c r="H97" s="393">
        <f>SUMIF(②釜工程入力!$R$5:$R$117,$C97,②釜工程入力!$AD$5:$AD$117)+SUMIF(②釜工程入力!$S$5:$S$117,$C97,②釜工程入力!$AE$5:$AE$117)+SUMIF(②釜工程入力!$T$5:$T$117,$C97,②釜工程入力!$AF$5:$AF$117)+SUMIF(②釜工程入力!$U$5:$U$117,$C97,②釜工程入力!$AG$5:$AG$117)+SUMIF(②釜工程入力!$V$5:$V$117,$C97,②釜工程入力!$AH$5:$AH$117)+SUMIF(②釜工程入力!$W$5:$W$117,$C97,②釜工程入力!$AI$5:$AI$117)+SUMIF(③スチコン工程入力!$R$5:$R$152,$C97,③スチコン工程入力!$AD$5:$AD$152)+SUMIF(③スチコン工程入力!$S$5:$S$152,$C97,③スチコン工程入力!$AE$5:$AE$152)+SUMIF(③スチコン工程入力!$T$5:$T$152,$C97,③スチコン工程入力!$AF$5:$AF$152)+SUMIF(③スチコン工程入力!$U$5:$U$152,$C97,③スチコン工程入力!$AG$5:$AG$152)+SUMIF(③スチコン工程入力!$V$5:$V$152,$C97,③スチコン工程入力!$AH$5:$AH$152)+SUMIF(③スチコン工程入力!$W$5:$W$152,$C97,③スチコン工程入力!$AI$5:$AI$152)+SUMIF(⑩盛付梱包工程入力!$R$5:$R$300,$C97,⑩盛付梱包工程入力!$AD$5:$AD$300)+SUMIF(⑩盛付梱包工程入力!$S$5:$S$300,$C97,⑩盛付梱包工程入力!$AE$5:$AE$300)+SUMIF(⑩盛付梱包工程入力!$T$5:$T$300,$C97,⑩盛付梱包工程入力!$AF$5:$AF$300)+SUMIF(⑩盛付梱包工程入力!$U$5:$U$300,$C97,⑩盛付梱包工程入力!$AG$5:$AG$300)+SUMIF(⑩盛付梱包工程入力!$V$5:$V$300,$C97,⑩盛付梱包工程入力!$AH$5:$AH$300)+SUMIF(⑩盛付梱包工程入力!$W$5:$W$300,$C97,⑩盛付梱包工程入力!$AI$5:$AI$300)+SUMIF(⑪ZEN工程入力!$R$6:$R$35,$C97,⑪ZEN工程入力!$AD$6:$AD$35)+SUMIF(⑪ZEN工程入力!$S$6:$S$35,$C97,⑪ZEN工程入力!$AE$6:$AE$35)+SUMIF(⑪ZEN工程入力!$T$6:$T$35,$C97,⑪ZEN工程入力!$AF$6:$AF$35)+SUMIF(⑪ZEN工程入力!$U$6:$U$35,$C97,⑪ZEN工程入力!$AG$6:$AG$35)+SUMIF(⑪ZEN工程入力!$V$6:$V$35,$C97,⑪ZEN工程入力!$AH$6:$AH$35)+SUMIF(⑪ZEN工程入力!$W$6:$W$35,$C97,⑪ZEN工程入力!$AI$6:$AI$35)+SUMIF(⑫ミキサー工程入力!$R$6:$R$65,$C97,⑫ミキサー工程入力!$AD$6:$AD$65)+SUMIF(⑫ミキサー工程入力!$S$6:$S$65,$C97,⑫ミキサー工程入力!$AE$6:$AE$65)+SUMIF(⑫ミキサー工程入力!$T$6:$T$65,$C97,⑫ミキサー工程入力!$AF$6:$AF$65)+SUMIF(⑫ミキサー工程入力!$U$6:$U$65,$C97,⑫ミキサー工程入力!$AG$6:$AG$65)+SUMIF(⑫ミキサー工程入力!$V$6:$V$65,$C97,⑫ミキサー工程入力!$AH$6:$AH$65)+SUMIF(⑫ミキサー工程入力!$W$6:$W$65,$C97,⑫ミキサー工程入力!$AI$6:$AI$65)+SUMIF(⑬計量工程入力!$R$6:$R$65,$C97,⑬計量工程入力!$AD$6:$AD$65)+SUMIF(⑬計量工程入力!$S$6:$S$65,$C97,⑬計量工程入力!$AE$6:$AE$65)+SUMIF(⑬計量工程入力!$T$6:$T$65,$C97,⑬計量工程入力!$AF$6:$AF$65)+SUMIF(⑬計量工程入力!$U$6:$U$65,$C97,⑬計量工程入力!$AG$6:$AG$65)+SUMIF(⑬計量工程入力!$V$6:$V$65,$C97,⑬計量工程入力!$AH$6:$AH$65)+SUMIF(⑬計量工程入力!$W$6:$W$65,$C97,⑬計量工程入力!$AI$6:$AI$65)+SUMIF(⑭手動工程入力!$R$6:$R$47,$C97,⑭手動工程入力!$AD$6:$AD$47)+SUMIF(⑭手動工程入力!$S$6:$S$47,$C97,⑭手動工程入力!$AE$6:$AE$47)+SUMIF(⑭手動工程入力!$T$6:$T$47,$C97,⑭手動工程入力!$AF$6:$AF$47)+SUMIF(⑭手動工程入力!$U$6:$U$47,$C97,⑭手動工程入力!$AG$6:$AG$47)+SUMIF(⑭手動工程入力!$V$6:$V$47,$C97,⑭手動工程入力!$AH$6:$AH$47)+SUMIF(⑭手動工程入力!$W$6:$W$47,$C97,⑭手動工程入力!$AI$6:$AI$47)</f>
        <v/>
      </c>
      <c r="I97" s="393">
        <f>IF($F97&gt;0,$H97/$F97,"")</f>
        <v/>
      </c>
      <c r="J97" s="605">
        <f>IFERROR(INDEX(商品原価!$B$4:$B$112,MATCH(SUBSTITUTE(SUBSTITUTE(SUBSTITUTE(SUBSTITUTE(SUBSTITUTE(SUBSTITUTE(SUBSTITUTE(SUBSTITUTE(SUBSTITUTE(SUBSTITUTE(ASC($C97),"①","1"),"②","2"),"③","3"),"④","4"),"⑤","5"),"⑥","6"),"⑦","7"),"⑧","8"),"⑨","9")," ",""),商品原価!$C$4:$C$112,0)),"")</f>
        <v/>
      </c>
      <c r="K97" s="542">
        <f>IF(ISNUMBER($J97),$J97*④前提設定!$B$21,"")</f>
        <v/>
      </c>
      <c r="L97" s="605">
        <f>IF(AND(NOT(ISNUMBER($J97)),NOT(ISNUMBER($K97))),"",N($J97)+N($K97))</f>
        <v/>
      </c>
      <c r="M97" s="605">
        <f>IFERROR(INDEX(商品原価!$E$4:$E$112,MATCH(SUBSTITUTE(SUBSTITUTE(SUBSTITUTE(SUBSTITUTE(SUBSTITUTE(SUBSTITUTE(SUBSTITUTE(SUBSTITUTE(SUBSTITUTE(SUBSTITUTE(ASC($C97),"①","1"),"②","2"),"③","3"),"④","4"),"⑤","5"),"⑥","6"),"⑦","7"),"⑧","8"),"⑨","9")," ",""),商品原価!$C$4:$C$112,0)),"")</f>
        <v/>
      </c>
      <c r="N97" s="605">
        <f>IF(AND(ISNUMBER($M97),ISNUMBER($L97)),$M97-$L97-N($W97),"")</f>
        <v/>
      </c>
      <c r="O97" s="606">
        <f>IF(AND(ISNUMBER($N97),ISNUMBER($M97),$M97&gt;0),$N97/$M97,"")</f>
        <v/>
      </c>
      <c r="P97" s="398">
        <f>COUNTIF(②釜工程入力!$R$5:$R$117,$C97)+COUNTIF(②釜工程入力!$S$5:$S$117,$C97)+COUNTIF(②釜工程入力!$T$5:$T$117,$C97)+COUNTIF(②釜工程入力!$U$5:$U$117,$C97)+COUNTIF(②釜工程入力!$V$5:$V$117,$C97)+COUNTIF(②釜工程入力!$W$5:$W$117,$C97)+COUNTIF(③スチコン工程入力!$R$5:$R$152,$C97)+COUNTIF(③スチコン工程入力!$S$5:$S$152,$C97)+COUNTIF(③スチコン工程入力!$T$5:$T$152,$C97)+COUNTIF(③スチコン工程入力!$U$5:$U$152,$C97)+COUNTIF(③スチコン工程入力!$V$5:$V$152,$C97)+COUNTIF(③スチコン工程入力!$W$5:$W$152,$C97)+COUNTIF(⑩盛付梱包工程入力!$R$5:$R$300,$C97)+COUNTIF(⑩盛付梱包工程入力!$S$5:$S$300,$C97)+COUNTIF(⑩盛付梱包工程入力!$T$5:$T$300,$C97)+COUNTIF(⑩盛付梱包工程入力!$U$5:$U$300,$C97)+COUNTIF(⑩盛付梱包工程入力!$V$5:$V$300,$C97)+COUNTIF(⑩盛付梱包工程入力!$W$5:$W$300,$C97)+COUNTIF(⑪ZEN工程入力!$R$6:$R$35,$C97)+COUNTIF(⑪ZEN工程入力!$S$6:$S$35,$C97)+COUNTIF(⑪ZEN工程入力!$T$6:$T$35,$C97)+COUNTIF(⑪ZEN工程入力!$U$6:$U$35,$C97)+COUNTIF(⑪ZEN工程入力!$V$6:$V$35,$C97)+COUNTIF(⑪ZEN工程入力!$W$6:$W$35,$C97)+COUNTIF(⑫ミキサー工程入力!$R$6:$R$65,$C97)+COUNTIF(⑫ミキサー工程入力!$S$6:$S$65,$C97)+COUNTIF(⑫ミキサー工程入力!$T$6:$T$65,$C97)+COUNTIF(⑫ミキサー工程入力!$U$6:$U$65,$C97)+COUNTIF(⑫ミキサー工程入力!$V$6:$V$65,$C97)+COUNTIF(⑫ミキサー工程入力!$W$6:$W$65,$C97)+COUNTIF(⑬計量工程入力!$R$6:$R$65,$C97)+COUNTIF(⑬計量工程入力!$S$6:$S$65,$C97)+COUNTIF(⑬計量工程入力!$T$6:$T$65,$C97)+COUNTIF(⑬計量工程入力!$U$6:$U$65,$C97)+COUNTIF(⑬計量工程入力!$V$6:$V$65,$C97)+COUNTIF(⑬計量工程入力!$W$6:$W$65,$C97)+COUNTIF(⑭手動工程入力!$R$6:$R$47,$C97)+COUNTIF(⑭手動工程入力!$S$6:$S$47,$C97)+COUNTIF(⑭手動工程入力!$T$6:$T$47,$C97)+COUNTIF(⑭手動工程入力!$U$6:$U$47,$C97)+COUNTIF(⑭手動工程入力!$V$6:$V$47,$C97)+COUNTIF(⑭手動工程入力!$W$6:$W$47,$C97)</f>
        <v/>
      </c>
      <c r="Q97" s="392" t="n"/>
      <c r="R97" s="393" t="n"/>
      <c r="S97" s="393" t="n"/>
      <c r="T97" s="393" t="n"/>
      <c r="U97" s="393" t="n"/>
      <c r="V97" s="605">
        <f>IFERROR(INDEX(KIT別作業時間!$D$4:$D$27,MATCH(SUBSTITUTE(SUBSTITUTE(SUBSTITUTE(SUBSTITUTE(SUBSTITUTE(SUBSTITUTE(SUBSTITUTE(SUBSTITUTE(SUBSTITUTE(SUBSTITUTE(ASC($C97),"①","1"),"②","2"),"③","3"),"④","4"),"⑤","5"),"⑥","6"),"⑦","7"),"⑧","8"),"⑨","9")," ",""),KIT別作業時間!$C$4:$C$27,0)),"")</f>
        <v/>
      </c>
      <c r="W97" s="393">
        <f>IF(AND(ISNUMBER($I97),$I97&gt;0),$I97,IF(ISNUMBER($V97),$V97,IF(ISNUMBER($R97),$R97,"")))</f>
        <v/>
      </c>
      <c r="X97" s="393">
        <f>IF(AND(ISNUMBER($I97),$I97&gt;0),"今回の工程実績",IF(ISNUMBER($V97),"KIT作業時間",IF(ISNUMBER($R97),"前回資料","")))</f>
        <v/>
      </c>
      <c r="Y97" s="398" t="n"/>
      <c r="Z97" s="398">
        <f>IF(AND(ISNUMBER($W97),ISNUMBER($Y97)),$W97*$Y97,"")</f>
        <v/>
      </c>
      <c r="AA97" s="393" t="n"/>
    </row>
    <row r="98">
      <c r="A98" s="392" t="n">
        <v>94</v>
      </c>
      <c r="B98" s="392" t="n"/>
      <c r="C98" s="392" t="inlineStr">
        <is>
          <t>Ｓまっしろミルクプリン小３</t>
        </is>
      </c>
      <c r="D98" s="398">
        <f>SUMIF(⑩盛付梱包工程入力!$R$5:$R$300,$C98,⑩盛付梱包工程入力!$AC$5:$AC$300)+SUMIF(⑩盛付梱包工程入力!$S$5:$S$300,$C98,⑩盛付梱包工程入力!$AC$5:$AC$300)+SUMIF(⑩盛付梱包工程入力!$T$5:$T$300,$C98,⑩盛付梱包工程入力!$AC$5:$AC$300)+SUMIF(⑩盛付梱包工程入力!$U$5:$U$300,$C98,⑩盛付梱包工程入力!$AC$5:$AC$300)+SUMIF(⑩盛付梱包工程入力!$V$5:$V$300,$C98,⑩盛付梱包工程入力!$AC$5:$AC$300)+SUMIF(⑩盛付梱包工程入力!$W$5:$W$300,$C98,⑩盛付梱包工程入力!$AC$5:$AC$300)</f>
        <v/>
      </c>
      <c r="E98" s="398" t="n">
        <v>795</v>
      </c>
      <c r="F98" s="398">
        <f>IF(N($E98)&gt;0,$E98,$D98)</f>
        <v/>
      </c>
      <c r="G98" s="393" t="n">
        <v>37.11933500341608</v>
      </c>
      <c r="H98" s="393">
        <f>SUMIF(②釜工程入力!$R$5:$R$117,$C98,②釜工程入力!$AD$5:$AD$117)+SUMIF(②釜工程入力!$S$5:$S$117,$C98,②釜工程入力!$AE$5:$AE$117)+SUMIF(②釜工程入力!$T$5:$T$117,$C98,②釜工程入力!$AF$5:$AF$117)+SUMIF(②釜工程入力!$U$5:$U$117,$C98,②釜工程入力!$AG$5:$AG$117)+SUMIF(②釜工程入力!$V$5:$V$117,$C98,②釜工程入力!$AH$5:$AH$117)+SUMIF(②釜工程入力!$W$5:$W$117,$C98,②釜工程入力!$AI$5:$AI$117)+SUMIF(③スチコン工程入力!$R$5:$R$152,$C98,③スチコン工程入力!$AD$5:$AD$152)+SUMIF(③スチコン工程入力!$S$5:$S$152,$C98,③スチコン工程入力!$AE$5:$AE$152)+SUMIF(③スチコン工程入力!$T$5:$T$152,$C98,③スチコン工程入力!$AF$5:$AF$152)+SUMIF(③スチコン工程入力!$U$5:$U$152,$C98,③スチコン工程入力!$AG$5:$AG$152)+SUMIF(③スチコン工程入力!$V$5:$V$152,$C98,③スチコン工程入力!$AH$5:$AH$152)+SUMIF(③スチコン工程入力!$W$5:$W$152,$C98,③スチコン工程入力!$AI$5:$AI$152)+SUMIF(⑩盛付梱包工程入力!$R$5:$R$300,$C98,⑩盛付梱包工程入力!$AD$5:$AD$300)+SUMIF(⑩盛付梱包工程入力!$S$5:$S$300,$C98,⑩盛付梱包工程入力!$AE$5:$AE$300)+SUMIF(⑩盛付梱包工程入力!$T$5:$T$300,$C98,⑩盛付梱包工程入力!$AF$5:$AF$300)+SUMIF(⑩盛付梱包工程入力!$U$5:$U$300,$C98,⑩盛付梱包工程入力!$AG$5:$AG$300)+SUMIF(⑩盛付梱包工程入力!$V$5:$V$300,$C98,⑩盛付梱包工程入力!$AH$5:$AH$300)+SUMIF(⑩盛付梱包工程入力!$W$5:$W$300,$C98,⑩盛付梱包工程入力!$AI$5:$AI$300)+SUMIF(⑪ZEN工程入力!$R$6:$R$35,$C98,⑪ZEN工程入力!$AD$6:$AD$35)+SUMIF(⑪ZEN工程入力!$S$6:$S$35,$C98,⑪ZEN工程入力!$AE$6:$AE$35)+SUMIF(⑪ZEN工程入力!$T$6:$T$35,$C98,⑪ZEN工程入力!$AF$6:$AF$35)+SUMIF(⑪ZEN工程入力!$U$6:$U$35,$C98,⑪ZEN工程入力!$AG$6:$AG$35)+SUMIF(⑪ZEN工程入力!$V$6:$V$35,$C98,⑪ZEN工程入力!$AH$6:$AH$35)+SUMIF(⑪ZEN工程入力!$W$6:$W$35,$C98,⑪ZEN工程入力!$AI$6:$AI$35)+SUMIF(⑫ミキサー工程入力!$R$6:$R$65,$C98,⑫ミキサー工程入力!$AD$6:$AD$65)+SUMIF(⑫ミキサー工程入力!$S$6:$S$65,$C98,⑫ミキサー工程入力!$AE$6:$AE$65)+SUMIF(⑫ミキサー工程入力!$T$6:$T$65,$C98,⑫ミキサー工程入力!$AF$6:$AF$65)+SUMIF(⑫ミキサー工程入力!$U$6:$U$65,$C98,⑫ミキサー工程入力!$AG$6:$AG$65)+SUMIF(⑫ミキサー工程入力!$V$6:$V$65,$C98,⑫ミキサー工程入力!$AH$6:$AH$65)+SUMIF(⑫ミキサー工程入力!$W$6:$W$65,$C98,⑫ミキサー工程入力!$AI$6:$AI$65)+SUMIF(⑬計量工程入力!$R$6:$R$65,$C98,⑬計量工程入力!$AD$6:$AD$65)+SUMIF(⑬計量工程入力!$S$6:$S$65,$C98,⑬計量工程入力!$AE$6:$AE$65)+SUMIF(⑬計量工程入力!$T$6:$T$65,$C98,⑬計量工程入力!$AF$6:$AF$65)+SUMIF(⑬計量工程入力!$U$6:$U$65,$C98,⑬計量工程入力!$AG$6:$AG$65)+SUMIF(⑬計量工程入力!$V$6:$V$65,$C98,⑬計量工程入力!$AH$6:$AH$65)+SUMIF(⑬計量工程入力!$W$6:$W$65,$C98,⑬計量工程入力!$AI$6:$AI$65)+SUMIF(⑭手動工程入力!$R$6:$R$47,$C98,⑭手動工程入力!$AD$6:$AD$47)+SUMIF(⑭手動工程入力!$S$6:$S$47,$C98,⑭手動工程入力!$AE$6:$AE$47)+SUMIF(⑭手動工程入力!$T$6:$T$47,$C98,⑭手動工程入力!$AF$6:$AF$47)+SUMIF(⑭手動工程入力!$U$6:$U$47,$C98,⑭手動工程入力!$AG$6:$AG$47)+SUMIF(⑭手動工程入力!$V$6:$V$47,$C98,⑭手動工程入力!$AH$6:$AH$47)+SUMIF(⑭手動工程入力!$W$6:$W$47,$C98,⑭手動工程入力!$AI$6:$AI$47)</f>
        <v/>
      </c>
      <c r="I98" s="393">
        <f>IF($F98&gt;0,$H98/$F98,"")</f>
        <v/>
      </c>
      <c r="J98" s="605">
        <f>IFERROR(INDEX(商品原価!$B$4:$B$112,MATCH(SUBSTITUTE(SUBSTITUTE(SUBSTITUTE(SUBSTITUTE(SUBSTITUTE(SUBSTITUTE(SUBSTITUTE(SUBSTITUTE(SUBSTITUTE(SUBSTITUTE(ASC($C98),"①","1"),"②","2"),"③","3"),"④","4"),"⑤","5"),"⑥","6"),"⑦","7"),"⑧","8"),"⑨","9")," ",""),商品原価!$C$4:$C$112,0)),"")</f>
        <v/>
      </c>
      <c r="K98" s="542">
        <f>IF(ISNUMBER($J98),$J98*④前提設定!$B$21,"")</f>
        <v/>
      </c>
      <c r="L98" s="605">
        <f>IF(AND(NOT(ISNUMBER($J98)),NOT(ISNUMBER($K98))),"",N($J98)+N($K98))</f>
        <v/>
      </c>
      <c r="M98" s="605">
        <f>IFERROR(INDEX(商品原価!$E$4:$E$112,MATCH(SUBSTITUTE(SUBSTITUTE(SUBSTITUTE(SUBSTITUTE(SUBSTITUTE(SUBSTITUTE(SUBSTITUTE(SUBSTITUTE(SUBSTITUTE(SUBSTITUTE(ASC($C98),"①","1"),"②","2"),"③","3"),"④","4"),"⑤","5"),"⑥","6"),"⑦","7"),"⑧","8"),"⑨","9")," ",""),商品原価!$C$4:$C$112,0)),"")</f>
        <v/>
      </c>
      <c r="N98" s="605">
        <f>IF(AND(ISNUMBER($M98),ISNUMBER($L98)),$M98-$L98-N($W98),"")</f>
        <v/>
      </c>
      <c r="O98" s="606">
        <f>IF(AND(ISNUMBER($N98),ISNUMBER($M98),$M98&gt;0),$N98/$M98,"")</f>
        <v/>
      </c>
      <c r="P98" s="398">
        <f>COUNTIF(②釜工程入力!$R$5:$R$117,$C98)+COUNTIF(②釜工程入力!$S$5:$S$117,$C98)+COUNTIF(②釜工程入力!$T$5:$T$117,$C98)+COUNTIF(②釜工程入力!$U$5:$U$117,$C98)+COUNTIF(②釜工程入力!$V$5:$V$117,$C98)+COUNTIF(②釜工程入力!$W$5:$W$117,$C98)+COUNTIF(③スチコン工程入力!$R$5:$R$152,$C98)+COUNTIF(③スチコン工程入力!$S$5:$S$152,$C98)+COUNTIF(③スチコン工程入力!$T$5:$T$152,$C98)+COUNTIF(③スチコン工程入力!$U$5:$U$152,$C98)+COUNTIF(③スチコン工程入力!$V$5:$V$152,$C98)+COUNTIF(③スチコン工程入力!$W$5:$W$152,$C98)+COUNTIF(⑩盛付梱包工程入力!$R$5:$R$300,$C98)+COUNTIF(⑩盛付梱包工程入力!$S$5:$S$300,$C98)+COUNTIF(⑩盛付梱包工程入力!$T$5:$T$300,$C98)+COUNTIF(⑩盛付梱包工程入力!$U$5:$U$300,$C98)+COUNTIF(⑩盛付梱包工程入力!$V$5:$V$300,$C98)+COUNTIF(⑩盛付梱包工程入力!$W$5:$W$300,$C98)+COUNTIF(⑪ZEN工程入力!$R$6:$R$35,$C98)+COUNTIF(⑪ZEN工程入力!$S$6:$S$35,$C98)+COUNTIF(⑪ZEN工程入力!$T$6:$T$35,$C98)+COUNTIF(⑪ZEN工程入力!$U$6:$U$35,$C98)+COUNTIF(⑪ZEN工程入力!$V$6:$V$35,$C98)+COUNTIF(⑪ZEN工程入力!$W$6:$W$35,$C98)+COUNTIF(⑫ミキサー工程入力!$R$6:$R$65,$C98)+COUNTIF(⑫ミキサー工程入力!$S$6:$S$65,$C98)+COUNTIF(⑫ミキサー工程入力!$T$6:$T$65,$C98)+COUNTIF(⑫ミキサー工程入力!$U$6:$U$65,$C98)+COUNTIF(⑫ミキサー工程入力!$V$6:$V$65,$C98)+COUNTIF(⑫ミキサー工程入力!$W$6:$W$65,$C98)+COUNTIF(⑬計量工程入力!$R$6:$R$65,$C98)+COUNTIF(⑬計量工程入力!$S$6:$S$65,$C98)+COUNTIF(⑬計量工程入力!$T$6:$T$65,$C98)+COUNTIF(⑬計量工程入力!$U$6:$U$65,$C98)+COUNTIF(⑬計量工程入力!$V$6:$V$65,$C98)+COUNTIF(⑬計量工程入力!$W$6:$W$65,$C98)+COUNTIF(⑭手動工程入力!$R$6:$R$47,$C98)+COUNTIF(⑭手動工程入力!$S$6:$S$47,$C98)+COUNTIF(⑭手動工程入力!$T$6:$T$47,$C98)+COUNTIF(⑭手動工程入力!$U$6:$U$47,$C98)+COUNTIF(⑭手動工程入力!$V$6:$V$47,$C98)+COUNTIF(⑭手動工程入力!$W$6:$W$47,$C98)</f>
        <v/>
      </c>
      <c r="Q98" s="392" t="n"/>
      <c r="R98" s="393" t="n">
        <v>35.69</v>
      </c>
      <c r="S98" s="393" t="n">
        <v>1595</v>
      </c>
      <c r="T98" s="393">
        <f>IF(AND(ISNUMBER($I98),ISNUMBER($R98)),$I98-$R98,"")</f>
        <v/>
      </c>
      <c r="U98" s="393" t="inlineStr">
        <is>
          <t>まっしろミルクプリン小</t>
        </is>
      </c>
      <c r="V98" s="605">
        <f>IFERROR(INDEX(KIT別作業時間!$D$4:$D$27,MATCH(SUBSTITUTE(SUBSTITUTE(SUBSTITUTE(SUBSTITUTE(SUBSTITUTE(SUBSTITUTE(SUBSTITUTE(SUBSTITUTE(SUBSTITUTE(SUBSTITUTE(ASC($C98),"①","1"),"②","2"),"③","3"),"④","4"),"⑤","5"),"⑥","6"),"⑦","7"),"⑧","8"),"⑨","9")," ",""),KIT別作業時間!$C$4:$C$27,0)),"")</f>
        <v/>
      </c>
      <c r="W98" s="393">
        <f>IF(AND(ISNUMBER($I98),$I98&gt;0),$I98,IF(ISNUMBER($V98),$V98,IF(ISNUMBER($R98),$R98,"")))</f>
        <v/>
      </c>
      <c r="X98" s="393">
        <f>IF(AND(ISNUMBER($I98),$I98&gt;0),"今回の工程実績",IF(ISNUMBER($V98),"KIT作業時間",IF(ISNUMBER($R98),"前回資料","")))</f>
        <v/>
      </c>
      <c r="Y98" s="398" t="n"/>
      <c r="Z98" s="398">
        <f>IF(AND(ISNUMBER($W98),ISNUMBER($Y98)),$W98*$Y98,"")</f>
        <v/>
      </c>
      <c r="AA98" s="393" t="inlineStr">
        <is>
          <t>まっしろミルクプリン小５</t>
        </is>
      </c>
    </row>
    <row r="99">
      <c r="A99" s="392" t="n">
        <v>95</v>
      </c>
      <c r="B99" s="392" t="n"/>
      <c r="C99" s="392" t="inlineStr">
        <is>
          <t>Ｓホイップの苺プリン</t>
        </is>
      </c>
      <c r="D99" s="398">
        <f>SUMIF(⑩盛付梱包工程入力!$R$5:$R$300,$C99,⑩盛付梱包工程入力!$AC$5:$AC$300)+SUMIF(⑩盛付梱包工程入力!$S$5:$S$300,$C99,⑩盛付梱包工程入力!$AC$5:$AC$300)+SUMIF(⑩盛付梱包工程入力!$T$5:$T$300,$C99,⑩盛付梱包工程入力!$AC$5:$AC$300)+SUMIF(⑩盛付梱包工程入力!$U$5:$U$300,$C99,⑩盛付梱包工程入力!$AC$5:$AC$300)+SUMIF(⑩盛付梱包工程入力!$V$5:$V$300,$C99,⑩盛付梱包工程入力!$AC$5:$AC$300)+SUMIF(⑩盛付梱包工程入力!$W$5:$W$300,$C99,⑩盛付梱包工程入力!$AC$5:$AC$300)</f>
        <v/>
      </c>
      <c r="E99" s="398" t="n">
        <v>2</v>
      </c>
      <c r="F99" s="398">
        <f>IF(N($E99)&gt;0,$E99,$D99)</f>
        <v/>
      </c>
      <c r="G99" s="398" t="n"/>
      <c r="H99" s="393">
        <f>SUMIF(②釜工程入力!$R$5:$R$117,$C99,②釜工程入力!$AD$5:$AD$117)+SUMIF(②釜工程入力!$S$5:$S$117,$C99,②釜工程入力!$AE$5:$AE$117)+SUMIF(②釜工程入力!$T$5:$T$117,$C99,②釜工程入力!$AF$5:$AF$117)+SUMIF(②釜工程入力!$U$5:$U$117,$C99,②釜工程入力!$AG$5:$AG$117)+SUMIF(②釜工程入力!$V$5:$V$117,$C99,②釜工程入力!$AH$5:$AH$117)+SUMIF(②釜工程入力!$W$5:$W$117,$C99,②釜工程入力!$AI$5:$AI$117)+SUMIF(③スチコン工程入力!$R$5:$R$152,$C99,③スチコン工程入力!$AD$5:$AD$152)+SUMIF(③スチコン工程入力!$S$5:$S$152,$C99,③スチコン工程入力!$AE$5:$AE$152)+SUMIF(③スチコン工程入力!$T$5:$T$152,$C99,③スチコン工程入力!$AF$5:$AF$152)+SUMIF(③スチコン工程入力!$U$5:$U$152,$C99,③スチコン工程入力!$AG$5:$AG$152)+SUMIF(③スチコン工程入力!$V$5:$V$152,$C99,③スチコン工程入力!$AH$5:$AH$152)+SUMIF(③スチコン工程入力!$W$5:$W$152,$C99,③スチコン工程入力!$AI$5:$AI$152)+SUMIF(⑩盛付梱包工程入力!$R$5:$R$300,$C99,⑩盛付梱包工程入力!$AD$5:$AD$300)+SUMIF(⑩盛付梱包工程入力!$S$5:$S$300,$C99,⑩盛付梱包工程入力!$AE$5:$AE$300)+SUMIF(⑩盛付梱包工程入力!$T$5:$T$300,$C99,⑩盛付梱包工程入力!$AF$5:$AF$300)+SUMIF(⑩盛付梱包工程入力!$U$5:$U$300,$C99,⑩盛付梱包工程入力!$AG$5:$AG$300)+SUMIF(⑩盛付梱包工程入力!$V$5:$V$300,$C99,⑩盛付梱包工程入力!$AH$5:$AH$300)+SUMIF(⑩盛付梱包工程入力!$W$5:$W$300,$C99,⑩盛付梱包工程入力!$AI$5:$AI$300)+SUMIF(⑪ZEN工程入力!$R$6:$R$35,$C99,⑪ZEN工程入力!$AD$6:$AD$35)+SUMIF(⑪ZEN工程入力!$S$6:$S$35,$C99,⑪ZEN工程入力!$AE$6:$AE$35)+SUMIF(⑪ZEN工程入力!$T$6:$T$35,$C99,⑪ZEN工程入力!$AF$6:$AF$35)+SUMIF(⑪ZEN工程入力!$U$6:$U$35,$C99,⑪ZEN工程入力!$AG$6:$AG$35)+SUMIF(⑪ZEN工程入力!$V$6:$V$35,$C99,⑪ZEN工程入力!$AH$6:$AH$35)+SUMIF(⑪ZEN工程入力!$W$6:$W$35,$C99,⑪ZEN工程入力!$AI$6:$AI$35)+SUMIF(⑫ミキサー工程入力!$R$6:$R$65,$C99,⑫ミキサー工程入力!$AD$6:$AD$65)+SUMIF(⑫ミキサー工程入力!$S$6:$S$65,$C99,⑫ミキサー工程入力!$AE$6:$AE$65)+SUMIF(⑫ミキサー工程入力!$T$6:$T$65,$C99,⑫ミキサー工程入力!$AF$6:$AF$65)+SUMIF(⑫ミキサー工程入力!$U$6:$U$65,$C99,⑫ミキサー工程入力!$AG$6:$AG$65)+SUMIF(⑫ミキサー工程入力!$V$6:$V$65,$C99,⑫ミキサー工程入力!$AH$6:$AH$65)+SUMIF(⑫ミキサー工程入力!$W$6:$W$65,$C99,⑫ミキサー工程入力!$AI$6:$AI$65)+SUMIF(⑬計量工程入力!$R$6:$R$65,$C99,⑬計量工程入力!$AD$6:$AD$65)+SUMIF(⑬計量工程入力!$S$6:$S$65,$C99,⑬計量工程入力!$AE$6:$AE$65)+SUMIF(⑬計量工程入力!$T$6:$T$65,$C99,⑬計量工程入力!$AF$6:$AF$65)+SUMIF(⑬計量工程入力!$U$6:$U$65,$C99,⑬計量工程入力!$AG$6:$AG$65)+SUMIF(⑬計量工程入力!$V$6:$V$65,$C99,⑬計量工程入力!$AH$6:$AH$65)+SUMIF(⑬計量工程入力!$W$6:$W$65,$C99,⑬計量工程入力!$AI$6:$AI$65)+SUMIF(⑭手動工程入力!$R$6:$R$47,$C99,⑭手動工程入力!$AD$6:$AD$47)+SUMIF(⑭手動工程入力!$S$6:$S$47,$C99,⑭手動工程入力!$AE$6:$AE$47)+SUMIF(⑭手動工程入力!$T$6:$T$47,$C99,⑭手動工程入力!$AF$6:$AF$47)+SUMIF(⑭手動工程入力!$U$6:$U$47,$C99,⑭手動工程入力!$AG$6:$AG$47)+SUMIF(⑭手動工程入力!$V$6:$V$47,$C99,⑭手動工程入力!$AH$6:$AH$47)+SUMIF(⑭手動工程入力!$W$6:$W$47,$C99,⑭手動工程入力!$AI$6:$AI$47)</f>
        <v/>
      </c>
      <c r="I99" s="393">
        <f>IF($F99&gt;0,$H99/$F99,"")</f>
        <v/>
      </c>
      <c r="J99" s="605">
        <f>IFERROR(INDEX(商品原価!$B$4:$B$112,MATCH(SUBSTITUTE(SUBSTITUTE(SUBSTITUTE(SUBSTITUTE(SUBSTITUTE(SUBSTITUTE(SUBSTITUTE(SUBSTITUTE(SUBSTITUTE(SUBSTITUTE(ASC($C99),"①","1"),"②","2"),"③","3"),"④","4"),"⑤","5"),"⑥","6"),"⑦","7"),"⑧","8"),"⑨","9")," ",""),商品原価!$C$4:$C$112,0)),"")</f>
        <v/>
      </c>
      <c r="K99" s="542">
        <f>IF(ISNUMBER($J99),$J99*④前提設定!$B$21,"")</f>
        <v/>
      </c>
      <c r="L99" s="605">
        <f>IF(AND(NOT(ISNUMBER($J99)),NOT(ISNUMBER($K99))),"",N($J99)+N($K99))</f>
        <v/>
      </c>
      <c r="M99" s="605">
        <f>IFERROR(INDEX(商品原価!$E$4:$E$112,MATCH(SUBSTITUTE(SUBSTITUTE(SUBSTITUTE(SUBSTITUTE(SUBSTITUTE(SUBSTITUTE(SUBSTITUTE(SUBSTITUTE(SUBSTITUTE(SUBSTITUTE(ASC($C99),"①","1"),"②","2"),"③","3"),"④","4"),"⑤","5"),"⑥","6"),"⑦","7"),"⑧","8"),"⑨","9")," ",""),商品原価!$C$4:$C$112,0)),"")</f>
        <v/>
      </c>
      <c r="N99" s="605">
        <f>IF(AND(ISNUMBER($M99),ISNUMBER($L99)),$M99-$L99-N($W99),"")</f>
        <v/>
      </c>
      <c r="O99" s="606">
        <f>IF(AND(ISNUMBER($N99),ISNUMBER($M99),$M99&gt;0),$N99/$M99,"")</f>
        <v/>
      </c>
      <c r="P99" s="398">
        <f>COUNTIF(②釜工程入力!$R$5:$R$117,$C99)+COUNTIF(②釜工程入力!$S$5:$S$117,$C99)+COUNTIF(②釜工程入力!$T$5:$T$117,$C99)+COUNTIF(②釜工程入力!$U$5:$U$117,$C99)+COUNTIF(②釜工程入力!$V$5:$V$117,$C99)+COUNTIF(②釜工程入力!$W$5:$W$117,$C99)+COUNTIF(③スチコン工程入力!$R$5:$R$152,$C99)+COUNTIF(③スチコン工程入力!$S$5:$S$152,$C99)+COUNTIF(③スチコン工程入力!$T$5:$T$152,$C99)+COUNTIF(③スチコン工程入力!$U$5:$U$152,$C99)+COUNTIF(③スチコン工程入力!$V$5:$V$152,$C99)+COUNTIF(③スチコン工程入力!$W$5:$W$152,$C99)+COUNTIF(⑩盛付梱包工程入力!$R$5:$R$300,$C99)+COUNTIF(⑩盛付梱包工程入力!$S$5:$S$300,$C99)+COUNTIF(⑩盛付梱包工程入力!$T$5:$T$300,$C99)+COUNTIF(⑩盛付梱包工程入力!$U$5:$U$300,$C99)+COUNTIF(⑩盛付梱包工程入力!$V$5:$V$300,$C99)+COUNTIF(⑩盛付梱包工程入力!$W$5:$W$300,$C99)+COUNTIF(⑪ZEN工程入力!$R$6:$R$35,$C99)+COUNTIF(⑪ZEN工程入力!$S$6:$S$35,$C99)+COUNTIF(⑪ZEN工程入力!$T$6:$T$35,$C99)+COUNTIF(⑪ZEN工程入力!$U$6:$U$35,$C99)+COUNTIF(⑪ZEN工程入力!$V$6:$V$35,$C99)+COUNTIF(⑪ZEN工程入力!$W$6:$W$35,$C99)+COUNTIF(⑫ミキサー工程入力!$R$6:$R$65,$C99)+COUNTIF(⑫ミキサー工程入力!$S$6:$S$65,$C99)+COUNTIF(⑫ミキサー工程入力!$T$6:$T$65,$C99)+COUNTIF(⑫ミキサー工程入力!$U$6:$U$65,$C99)+COUNTIF(⑫ミキサー工程入力!$V$6:$V$65,$C99)+COUNTIF(⑫ミキサー工程入力!$W$6:$W$65,$C99)+COUNTIF(⑬計量工程入力!$R$6:$R$65,$C99)+COUNTIF(⑬計量工程入力!$S$6:$S$65,$C99)+COUNTIF(⑬計量工程入力!$T$6:$T$65,$C99)+COUNTIF(⑬計量工程入力!$U$6:$U$65,$C99)+COUNTIF(⑬計量工程入力!$V$6:$V$65,$C99)+COUNTIF(⑬計量工程入力!$W$6:$W$65,$C99)+COUNTIF(⑭手動工程入力!$R$6:$R$47,$C99)+COUNTIF(⑭手動工程入力!$S$6:$S$47,$C99)+COUNTIF(⑭手動工程入力!$T$6:$T$47,$C99)+COUNTIF(⑭手動工程入力!$U$6:$U$47,$C99)+COUNTIF(⑭手動工程入力!$V$6:$V$47,$C99)+COUNTIF(⑭手動工程入力!$W$6:$W$47,$C99)</f>
        <v/>
      </c>
      <c r="Q99" s="392" t="inlineStr">
        <is>
          <t>⑩盛付梱包 78行目に入力欄を作成（工程記録なし）</t>
        </is>
      </c>
      <c r="R99" s="393" t="n"/>
      <c r="S99" s="393" t="n"/>
      <c r="T99" s="393" t="n"/>
      <c r="U99" s="393" t="n"/>
      <c r="V99" s="605">
        <f>IFERROR(INDEX(KIT別作業時間!$D$4:$D$27,MATCH(SUBSTITUTE(SUBSTITUTE(SUBSTITUTE(SUBSTITUTE(SUBSTITUTE(SUBSTITUTE(SUBSTITUTE(SUBSTITUTE(SUBSTITUTE(SUBSTITUTE(ASC($C99),"①","1"),"②","2"),"③","3"),"④","4"),"⑤","5"),"⑥","6"),"⑦","7"),"⑧","8"),"⑨","9")," ",""),KIT別作業時間!$C$4:$C$27,0)),"")</f>
        <v/>
      </c>
      <c r="W99" s="393">
        <f>IF(AND(ISNUMBER($I99),$I99&gt;0),$I99,IF(ISNUMBER($V99),$V99,IF(ISNUMBER($R99),$R99,"")))</f>
        <v/>
      </c>
      <c r="X99" s="393">
        <f>IF(AND(ISNUMBER($I99),$I99&gt;0),"今回の工程実績",IF(ISNUMBER($V99),"KIT作業時間",IF(ISNUMBER($R99),"前回資料","")))</f>
        <v/>
      </c>
      <c r="Y99" s="398" t="n"/>
      <c r="Z99" s="398">
        <f>IF(AND(ISNUMBER($W99),ISNUMBER($Y99)),$W99*$Y99,"")</f>
        <v/>
      </c>
      <c r="AA99" s="393" t="n"/>
    </row>
    <row r="100">
      <c r="A100" s="392" t="n">
        <v>96</v>
      </c>
      <c r="B100" s="392" t="n"/>
      <c r="C100" s="392" t="inlineStr">
        <is>
          <t>Ｓもちっときなこプリン</t>
        </is>
      </c>
      <c r="D100" s="398">
        <f>SUMIF(⑩盛付梱包工程入力!$R$5:$R$300,$C100,⑩盛付梱包工程入力!$AC$5:$AC$300)+SUMIF(⑩盛付梱包工程入力!$S$5:$S$300,$C100,⑩盛付梱包工程入力!$AC$5:$AC$300)+SUMIF(⑩盛付梱包工程入力!$T$5:$T$300,$C100,⑩盛付梱包工程入力!$AC$5:$AC$300)+SUMIF(⑩盛付梱包工程入力!$U$5:$U$300,$C100,⑩盛付梱包工程入力!$AC$5:$AC$300)+SUMIF(⑩盛付梱包工程入力!$V$5:$V$300,$C100,⑩盛付梱包工程入力!$AC$5:$AC$300)+SUMIF(⑩盛付梱包工程入力!$W$5:$W$300,$C100,⑩盛付梱包工程入力!$AC$5:$AC$300)</f>
        <v/>
      </c>
      <c r="E100" s="398" t="n">
        <v>2</v>
      </c>
      <c r="F100" s="398">
        <f>IF(N($E100)&gt;0,$E100,$D100)</f>
        <v/>
      </c>
      <c r="G100" s="398" t="n"/>
      <c r="H100" s="393">
        <f>SUMIF(②釜工程入力!$R$5:$R$117,$C100,②釜工程入力!$AD$5:$AD$117)+SUMIF(②釜工程入力!$S$5:$S$117,$C100,②釜工程入力!$AE$5:$AE$117)+SUMIF(②釜工程入力!$T$5:$T$117,$C100,②釜工程入力!$AF$5:$AF$117)+SUMIF(②釜工程入力!$U$5:$U$117,$C100,②釜工程入力!$AG$5:$AG$117)+SUMIF(②釜工程入力!$V$5:$V$117,$C100,②釜工程入力!$AH$5:$AH$117)+SUMIF(②釜工程入力!$W$5:$W$117,$C100,②釜工程入力!$AI$5:$AI$117)+SUMIF(③スチコン工程入力!$R$5:$R$152,$C100,③スチコン工程入力!$AD$5:$AD$152)+SUMIF(③スチコン工程入力!$S$5:$S$152,$C100,③スチコン工程入力!$AE$5:$AE$152)+SUMIF(③スチコン工程入力!$T$5:$T$152,$C100,③スチコン工程入力!$AF$5:$AF$152)+SUMIF(③スチコン工程入力!$U$5:$U$152,$C100,③スチコン工程入力!$AG$5:$AG$152)+SUMIF(③スチコン工程入力!$V$5:$V$152,$C100,③スチコン工程入力!$AH$5:$AH$152)+SUMIF(③スチコン工程入力!$W$5:$W$152,$C100,③スチコン工程入力!$AI$5:$AI$152)+SUMIF(⑩盛付梱包工程入力!$R$5:$R$300,$C100,⑩盛付梱包工程入力!$AD$5:$AD$300)+SUMIF(⑩盛付梱包工程入力!$S$5:$S$300,$C100,⑩盛付梱包工程入力!$AE$5:$AE$300)+SUMIF(⑩盛付梱包工程入力!$T$5:$T$300,$C100,⑩盛付梱包工程入力!$AF$5:$AF$300)+SUMIF(⑩盛付梱包工程入力!$U$5:$U$300,$C100,⑩盛付梱包工程入力!$AG$5:$AG$300)+SUMIF(⑩盛付梱包工程入力!$V$5:$V$300,$C100,⑩盛付梱包工程入力!$AH$5:$AH$300)+SUMIF(⑩盛付梱包工程入力!$W$5:$W$300,$C100,⑩盛付梱包工程入力!$AI$5:$AI$300)+SUMIF(⑪ZEN工程入力!$R$6:$R$35,$C100,⑪ZEN工程入力!$AD$6:$AD$35)+SUMIF(⑪ZEN工程入力!$S$6:$S$35,$C100,⑪ZEN工程入力!$AE$6:$AE$35)+SUMIF(⑪ZEN工程入力!$T$6:$T$35,$C100,⑪ZEN工程入力!$AF$6:$AF$35)+SUMIF(⑪ZEN工程入力!$U$6:$U$35,$C100,⑪ZEN工程入力!$AG$6:$AG$35)+SUMIF(⑪ZEN工程入力!$V$6:$V$35,$C100,⑪ZEN工程入力!$AH$6:$AH$35)+SUMIF(⑪ZEN工程入力!$W$6:$W$35,$C100,⑪ZEN工程入力!$AI$6:$AI$35)+SUMIF(⑫ミキサー工程入力!$R$6:$R$65,$C100,⑫ミキサー工程入力!$AD$6:$AD$65)+SUMIF(⑫ミキサー工程入力!$S$6:$S$65,$C100,⑫ミキサー工程入力!$AE$6:$AE$65)+SUMIF(⑫ミキサー工程入力!$T$6:$T$65,$C100,⑫ミキサー工程入力!$AF$6:$AF$65)+SUMIF(⑫ミキサー工程入力!$U$6:$U$65,$C100,⑫ミキサー工程入力!$AG$6:$AG$65)+SUMIF(⑫ミキサー工程入力!$V$6:$V$65,$C100,⑫ミキサー工程入力!$AH$6:$AH$65)+SUMIF(⑫ミキサー工程入力!$W$6:$W$65,$C100,⑫ミキサー工程入力!$AI$6:$AI$65)+SUMIF(⑬計量工程入力!$R$6:$R$65,$C100,⑬計量工程入力!$AD$6:$AD$65)+SUMIF(⑬計量工程入力!$S$6:$S$65,$C100,⑬計量工程入力!$AE$6:$AE$65)+SUMIF(⑬計量工程入力!$T$6:$T$65,$C100,⑬計量工程入力!$AF$6:$AF$65)+SUMIF(⑬計量工程入力!$U$6:$U$65,$C100,⑬計量工程入力!$AG$6:$AG$65)+SUMIF(⑬計量工程入力!$V$6:$V$65,$C100,⑬計量工程入力!$AH$6:$AH$65)+SUMIF(⑬計量工程入力!$W$6:$W$65,$C100,⑬計量工程入力!$AI$6:$AI$65)+SUMIF(⑭手動工程入力!$R$6:$R$47,$C100,⑭手動工程入力!$AD$6:$AD$47)+SUMIF(⑭手動工程入力!$S$6:$S$47,$C100,⑭手動工程入力!$AE$6:$AE$47)+SUMIF(⑭手動工程入力!$T$6:$T$47,$C100,⑭手動工程入力!$AF$6:$AF$47)+SUMIF(⑭手動工程入力!$U$6:$U$47,$C100,⑭手動工程入力!$AG$6:$AG$47)+SUMIF(⑭手動工程入力!$V$6:$V$47,$C100,⑭手動工程入力!$AH$6:$AH$47)+SUMIF(⑭手動工程入力!$W$6:$W$47,$C100,⑭手動工程入力!$AI$6:$AI$47)</f>
        <v/>
      </c>
      <c r="I100" s="393">
        <f>IF($F100&gt;0,$H100/$F100,"")</f>
        <v/>
      </c>
      <c r="J100" s="605">
        <f>IFERROR(INDEX(商品原価!$B$4:$B$112,MATCH(SUBSTITUTE(SUBSTITUTE(SUBSTITUTE(SUBSTITUTE(SUBSTITUTE(SUBSTITUTE(SUBSTITUTE(SUBSTITUTE(SUBSTITUTE(SUBSTITUTE(ASC($C100),"①","1"),"②","2"),"③","3"),"④","4"),"⑤","5"),"⑥","6"),"⑦","7"),"⑧","8"),"⑨","9")," ",""),商品原価!$C$4:$C$112,0)),"")</f>
        <v/>
      </c>
      <c r="K100" s="542">
        <f>IF(ISNUMBER($J100),$J100*④前提設定!$B$21,"")</f>
        <v/>
      </c>
      <c r="L100" s="605">
        <f>IF(AND(NOT(ISNUMBER($J100)),NOT(ISNUMBER($K100))),"",N($J100)+N($K100))</f>
        <v/>
      </c>
      <c r="M100" s="605">
        <f>IFERROR(INDEX(商品原価!$E$4:$E$112,MATCH(SUBSTITUTE(SUBSTITUTE(SUBSTITUTE(SUBSTITUTE(SUBSTITUTE(SUBSTITUTE(SUBSTITUTE(SUBSTITUTE(SUBSTITUTE(SUBSTITUTE(ASC($C100),"①","1"),"②","2"),"③","3"),"④","4"),"⑤","5"),"⑥","6"),"⑦","7"),"⑧","8"),"⑨","9")," ",""),商品原価!$C$4:$C$112,0)),"")</f>
        <v/>
      </c>
      <c r="N100" s="605">
        <f>IF(AND(ISNUMBER($M100),ISNUMBER($L100)),$M100-$L100-N($W100),"")</f>
        <v/>
      </c>
      <c r="O100" s="606">
        <f>IF(AND(ISNUMBER($N100),ISNUMBER($M100),$M100&gt;0),$N100/$M100,"")</f>
        <v/>
      </c>
      <c r="P100" s="398">
        <f>COUNTIF(②釜工程入力!$R$5:$R$117,$C100)+COUNTIF(②釜工程入力!$S$5:$S$117,$C100)+COUNTIF(②釜工程入力!$T$5:$T$117,$C100)+COUNTIF(②釜工程入力!$U$5:$U$117,$C100)+COUNTIF(②釜工程入力!$V$5:$V$117,$C100)+COUNTIF(②釜工程入力!$W$5:$W$117,$C100)+COUNTIF(③スチコン工程入力!$R$5:$R$152,$C100)+COUNTIF(③スチコン工程入力!$S$5:$S$152,$C100)+COUNTIF(③スチコン工程入力!$T$5:$T$152,$C100)+COUNTIF(③スチコン工程入力!$U$5:$U$152,$C100)+COUNTIF(③スチコン工程入力!$V$5:$V$152,$C100)+COUNTIF(③スチコン工程入力!$W$5:$W$152,$C100)+COUNTIF(⑩盛付梱包工程入力!$R$5:$R$300,$C100)+COUNTIF(⑩盛付梱包工程入力!$S$5:$S$300,$C100)+COUNTIF(⑩盛付梱包工程入力!$T$5:$T$300,$C100)+COUNTIF(⑩盛付梱包工程入力!$U$5:$U$300,$C100)+COUNTIF(⑩盛付梱包工程入力!$V$5:$V$300,$C100)+COUNTIF(⑩盛付梱包工程入力!$W$5:$W$300,$C100)+COUNTIF(⑪ZEN工程入力!$R$6:$R$35,$C100)+COUNTIF(⑪ZEN工程入力!$S$6:$S$35,$C100)+COUNTIF(⑪ZEN工程入力!$T$6:$T$35,$C100)+COUNTIF(⑪ZEN工程入力!$U$6:$U$35,$C100)+COUNTIF(⑪ZEN工程入力!$V$6:$V$35,$C100)+COUNTIF(⑪ZEN工程入力!$W$6:$W$35,$C100)+COUNTIF(⑫ミキサー工程入力!$R$6:$R$65,$C100)+COUNTIF(⑫ミキサー工程入力!$S$6:$S$65,$C100)+COUNTIF(⑫ミキサー工程入力!$T$6:$T$65,$C100)+COUNTIF(⑫ミキサー工程入力!$U$6:$U$65,$C100)+COUNTIF(⑫ミキサー工程入力!$V$6:$V$65,$C100)+COUNTIF(⑫ミキサー工程入力!$W$6:$W$65,$C100)+COUNTIF(⑬計量工程入力!$R$6:$R$65,$C100)+COUNTIF(⑬計量工程入力!$S$6:$S$65,$C100)+COUNTIF(⑬計量工程入力!$T$6:$T$65,$C100)+COUNTIF(⑬計量工程入力!$U$6:$U$65,$C100)+COUNTIF(⑬計量工程入力!$V$6:$V$65,$C100)+COUNTIF(⑬計量工程入力!$W$6:$W$65,$C100)+COUNTIF(⑭手動工程入力!$R$6:$R$47,$C100)+COUNTIF(⑭手動工程入力!$S$6:$S$47,$C100)+COUNTIF(⑭手動工程入力!$T$6:$T$47,$C100)+COUNTIF(⑭手動工程入力!$U$6:$U$47,$C100)+COUNTIF(⑭手動工程入力!$V$6:$V$47,$C100)+COUNTIF(⑭手動工程入力!$W$6:$W$47,$C100)</f>
        <v/>
      </c>
      <c r="Q100" s="392" t="inlineStr">
        <is>
          <t>⑩盛付梱包 79行目に入力欄を作成（工程記録なし）</t>
        </is>
      </c>
      <c r="R100" s="393" t="n"/>
      <c r="S100" s="393" t="n"/>
      <c r="T100" s="393" t="n"/>
      <c r="U100" s="393" t="n"/>
      <c r="V100" s="605">
        <f>IFERROR(INDEX(KIT別作業時間!$D$4:$D$27,MATCH(SUBSTITUTE(SUBSTITUTE(SUBSTITUTE(SUBSTITUTE(SUBSTITUTE(SUBSTITUTE(SUBSTITUTE(SUBSTITUTE(SUBSTITUTE(SUBSTITUTE(ASC($C100),"①","1"),"②","2"),"③","3"),"④","4"),"⑤","5"),"⑥","6"),"⑦","7"),"⑧","8"),"⑨","9")," ",""),KIT別作業時間!$C$4:$C$27,0)),"")</f>
        <v/>
      </c>
      <c r="W100" s="393">
        <f>IF(AND(ISNUMBER($I100),$I100&gt;0),$I100,IF(ISNUMBER($V100),$V100,IF(ISNUMBER($R100),$R100,"")))</f>
        <v/>
      </c>
      <c r="X100" s="393">
        <f>IF(AND(ISNUMBER($I100),$I100&gt;0),"今回の工程実績",IF(ISNUMBER($V100),"KIT作業時間",IF(ISNUMBER($R100),"前回資料","")))</f>
        <v/>
      </c>
      <c r="Y100" s="398" t="n"/>
      <c r="Z100" s="398">
        <f>IF(AND(ISNUMBER($W100),ISNUMBER($Y100)),$W100*$Y100,"")</f>
        <v/>
      </c>
      <c r="AA100" s="393" t="n"/>
    </row>
    <row r="101">
      <c r="A101" s="392" t="n">
        <v>97</v>
      </c>
      <c r="B101" s="392" t="n"/>
      <c r="C101" s="392" t="inlineStr">
        <is>
          <t>ホイップの卵プリン</t>
        </is>
      </c>
      <c r="D101" s="398">
        <f>SUMIF(⑩盛付梱包工程入力!$R$5:$R$300,$C101,⑩盛付梱包工程入力!$AC$5:$AC$300)+SUMIF(⑩盛付梱包工程入力!$S$5:$S$300,$C101,⑩盛付梱包工程入力!$AC$5:$AC$300)+SUMIF(⑩盛付梱包工程入力!$T$5:$T$300,$C101,⑩盛付梱包工程入力!$AC$5:$AC$300)+SUMIF(⑩盛付梱包工程入力!$U$5:$U$300,$C101,⑩盛付梱包工程入力!$AC$5:$AC$300)+SUMIF(⑩盛付梱包工程入力!$V$5:$V$300,$C101,⑩盛付梱包工程入力!$AC$5:$AC$300)+SUMIF(⑩盛付梱包工程入力!$W$5:$W$300,$C101,⑩盛付梱包工程入力!$AC$5:$AC$300)</f>
        <v/>
      </c>
      <c r="E101" s="398" t="n">
        <v>4</v>
      </c>
      <c r="F101" s="398">
        <f>IF(N($E101)&gt;0,$E101,$D101)</f>
        <v/>
      </c>
      <c r="G101" s="398" t="n"/>
      <c r="H101" s="393">
        <f>SUMIF(②釜工程入力!$R$5:$R$117,$C101,②釜工程入力!$AD$5:$AD$117)+SUMIF(②釜工程入力!$S$5:$S$117,$C101,②釜工程入力!$AE$5:$AE$117)+SUMIF(②釜工程入力!$T$5:$T$117,$C101,②釜工程入力!$AF$5:$AF$117)+SUMIF(②釜工程入力!$U$5:$U$117,$C101,②釜工程入力!$AG$5:$AG$117)+SUMIF(②釜工程入力!$V$5:$V$117,$C101,②釜工程入力!$AH$5:$AH$117)+SUMIF(②釜工程入力!$W$5:$W$117,$C101,②釜工程入力!$AI$5:$AI$117)+SUMIF(③スチコン工程入力!$R$5:$R$152,$C101,③スチコン工程入力!$AD$5:$AD$152)+SUMIF(③スチコン工程入力!$S$5:$S$152,$C101,③スチコン工程入力!$AE$5:$AE$152)+SUMIF(③スチコン工程入力!$T$5:$T$152,$C101,③スチコン工程入力!$AF$5:$AF$152)+SUMIF(③スチコン工程入力!$U$5:$U$152,$C101,③スチコン工程入力!$AG$5:$AG$152)+SUMIF(③スチコン工程入力!$V$5:$V$152,$C101,③スチコン工程入力!$AH$5:$AH$152)+SUMIF(③スチコン工程入力!$W$5:$W$152,$C101,③スチコン工程入力!$AI$5:$AI$152)+SUMIF(⑩盛付梱包工程入力!$R$5:$R$300,$C101,⑩盛付梱包工程入力!$AD$5:$AD$300)+SUMIF(⑩盛付梱包工程入力!$S$5:$S$300,$C101,⑩盛付梱包工程入力!$AE$5:$AE$300)+SUMIF(⑩盛付梱包工程入力!$T$5:$T$300,$C101,⑩盛付梱包工程入力!$AF$5:$AF$300)+SUMIF(⑩盛付梱包工程入力!$U$5:$U$300,$C101,⑩盛付梱包工程入力!$AG$5:$AG$300)+SUMIF(⑩盛付梱包工程入力!$V$5:$V$300,$C101,⑩盛付梱包工程入力!$AH$5:$AH$300)+SUMIF(⑩盛付梱包工程入力!$W$5:$W$300,$C101,⑩盛付梱包工程入力!$AI$5:$AI$300)+SUMIF(⑪ZEN工程入力!$R$6:$R$35,$C101,⑪ZEN工程入力!$AD$6:$AD$35)+SUMIF(⑪ZEN工程入力!$S$6:$S$35,$C101,⑪ZEN工程入力!$AE$6:$AE$35)+SUMIF(⑪ZEN工程入力!$T$6:$T$35,$C101,⑪ZEN工程入力!$AF$6:$AF$35)+SUMIF(⑪ZEN工程入力!$U$6:$U$35,$C101,⑪ZEN工程入力!$AG$6:$AG$35)+SUMIF(⑪ZEN工程入力!$V$6:$V$35,$C101,⑪ZEN工程入力!$AH$6:$AH$35)+SUMIF(⑪ZEN工程入力!$W$6:$W$35,$C101,⑪ZEN工程入力!$AI$6:$AI$35)+SUMIF(⑫ミキサー工程入力!$R$6:$R$65,$C101,⑫ミキサー工程入力!$AD$6:$AD$65)+SUMIF(⑫ミキサー工程入力!$S$6:$S$65,$C101,⑫ミキサー工程入力!$AE$6:$AE$65)+SUMIF(⑫ミキサー工程入力!$T$6:$T$65,$C101,⑫ミキサー工程入力!$AF$6:$AF$65)+SUMIF(⑫ミキサー工程入力!$U$6:$U$65,$C101,⑫ミキサー工程入力!$AG$6:$AG$65)+SUMIF(⑫ミキサー工程入力!$V$6:$V$65,$C101,⑫ミキサー工程入力!$AH$6:$AH$65)+SUMIF(⑫ミキサー工程入力!$W$6:$W$65,$C101,⑫ミキサー工程入力!$AI$6:$AI$65)+SUMIF(⑬計量工程入力!$R$6:$R$65,$C101,⑬計量工程入力!$AD$6:$AD$65)+SUMIF(⑬計量工程入力!$S$6:$S$65,$C101,⑬計量工程入力!$AE$6:$AE$65)+SUMIF(⑬計量工程入力!$T$6:$T$65,$C101,⑬計量工程入力!$AF$6:$AF$65)+SUMIF(⑬計量工程入力!$U$6:$U$65,$C101,⑬計量工程入力!$AG$6:$AG$65)+SUMIF(⑬計量工程入力!$V$6:$V$65,$C101,⑬計量工程入力!$AH$6:$AH$65)+SUMIF(⑬計量工程入力!$W$6:$W$65,$C101,⑬計量工程入力!$AI$6:$AI$65)+SUMIF(⑭手動工程入力!$R$6:$R$47,$C101,⑭手動工程入力!$AD$6:$AD$47)+SUMIF(⑭手動工程入力!$S$6:$S$47,$C101,⑭手動工程入力!$AE$6:$AE$47)+SUMIF(⑭手動工程入力!$T$6:$T$47,$C101,⑭手動工程入力!$AF$6:$AF$47)+SUMIF(⑭手動工程入力!$U$6:$U$47,$C101,⑭手動工程入力!$AG$6:$AG$47)+SUMIF(⑭手動工程入力!$V$6:$V$47,$C101,⑭手動工程入力!$AH$6:$AH$47)+SUMIF(⑭手動工程入力!$W$6:$W$47,$C101,⑭手動工程入力!$AI$6:$AI$47)</f>
        <v/>
      </c>
      <c r="I101" s="393">
        <f>IF($F101&gt;0,$H101/$F101,"")</f>
        <v/>
      </c>
      <c r="J101" s="605">
        <f>IFERROR(INDEX(商品原価!$B$4:$B$112,MATCH(SUBSTITUTE(SUBSTITUTE(SUBSTITUTE(SUBSTITUTE(SUBSTITUTE(SUBSTITUTE(SUBSTITUTE(SUBSTITUTE(SUBSTITUTE(SUBSTITUTE(ASC("Ｓホイップの卵プリン"),"①","1"),"②","2"),"③","3"),"④","4"),"⑤","5"),"⑥","6"),"⑦","7"),"⑧","8"),"⑨","9")," ",""),商品原価!$C$4:$C$112,0)),"")</f>
        <v/>
      </c>
      <c r="K101" s="542">
        <f>IF(ISNUMBER($J101),$J101*④前提設定!$B$21,"")</f>
        <v/>
      </c>
      <c r="L101" s="605">
        <f>IF(AND(NOT(ISNUMBER($J101)),NOT(ISNUMBER($K101))),"",N($J101)+N($K101))</f>
        <v/>
      </c>
      <c r="M101" s="605">
        <f>IFERROR(INDEX(商品原価!$E$4:$E$112,MATCH(SUBSTITUTE(SUBSTITUTE(SUBSTITUTE(SUBSTITUTE(SUBSTITUTE(SUBSTITUTE(SUBSTITUTE(SUBSTITUTE(SUBSTITUTE(SUBSTITUTE(ASC("Ｓホイップの卵プリン"),"①","1"),"②","2"),"③","3"),"④","4"),"⑤","5"),"⑥","6"),"⑦","7"),"⑧","8"),"⑨","9")," ",""),商品原価!$C$4:$C$112,0)),"")</f>
        <v/>
      </c>
      <c r="N101" s="605">
        <f>IF(AND(ISNUMBER($M101),ISNUMBER($L101)),$M101-$L101-N($W101),"")</f>
        <v/>
      </c>
      <c r="O101" s="606">
        <f>IF(AND(ISNUMBER($N101),ISNUMBER($M101),$M101&gt;0),$N101/$M101,"")</f>
        <v/>
      </c>
      <c r="P101" s="398">
        <f>COUNTIF(②釜工程入力!$R$5:$R$117,$C101)+COUNTIF(②釜工程入力!$S$5:$S$117,$C101)+COUNTIF(②釜工程入力!$T$5:$T$117,$C101)+COUNTIF(②釜工程入力!$U$5:$U$117,$C101)+COUNTIF(②釜工程入力!$V$5:$V$117,$C101)+COUNTIF(②釜工程入力!$W$5:$W$117,$C101)+COUNTIF(③スチコン工程入力!$R$5:$R$152,$C101)+COUNTIF(③スチコン工程入力!$S$5:$S$152,$C101)+COUNTIF(③スチコン工程入力!$T$5:$T$152,$C101)+COUNTIF(③スチコン工程入力!$U$5:$U$152,$C101)+COUNTIF(③スチコン工程入力!$V$5:$V$152,$C101)+COUNTIF(③スチコン工程入力!$W$5:$W$152,$C101)+COUNTIF(⑩盛付梱包工程入力!$R$5:$R$300,$C101)+COUNTIF(⑩盛付梱包工程入力!$S$5:$S$300,$C101)+COUNTIF(⑩盛付梱包工程入力!$T$5:$T$300,$C101)+COUNTIF(⑩盛付梱包工程入力!$U$5:$U$300,$C101)+COUNTIF(⑩盛付梱包工程入力!$V$5:$V$300,$C101)+COUNTIF(⑩盛付梱包工程入力!$W$5:$W$300,$C101)+COUNTIF(⑪ZEN工程入力!$R$6:$R$35,$C101)+COUNTIF(⑪ZEN工程入力!$S$6:$S$35,$C101)+COUNTIF(⑪ZEN工程入力!$T$6:$T$35,$C101)+COUNTIF(⑪ZEN工程入力!$U$6:$U$35,$C101)+COUNTIF(⑪ZEN工程入力!$V$6:$V$35,$C101)+COUNTIF(⑪ZEN工程入力!$W$6:$W$35,$C101)+COUNTIF(⑫ミキサー工程入力!$R$6:$R$65,$C101)+COUNTIF(⑫ミキサー工程入力!$S$6:$S$65,$C101)+COUNTIF(⑫ミキサー工程入力!$T$6:$T$65,$C101)+COUNTIF(⑫ミキサー工程入力!$U$6:$U$65,$C101)+COUNTIF(⑫ミキサー工程入力!$V$6:$V$65,$C101)+COUNTIF(⑫ミキサー工程入力!$W$6:$W$65,$C101)+COUNTIF(⑬計量工程入力!$R$6:$R$65,$C101)+COUNTIF(⑬計量工程入力!$S$6:$S$65,$C101)+COUNTIF(⑬計量工程入力!$T$6:$T$65,$C101)+COUNTIF(⑬計量工程入力!$U$6:$U$65,$C101)+COUNTIF(⑬計量工程入力!$V$6:$V$65,$C101)+COUNTIF(⑬計量工程入力!$W$6:$W$65,$C101)+COUNTIF(⑭手動工程入力!$R$6:$R$47,$C101)+COUNTIF(⑭手動工程入力!$S$6:$S$47,$C101)+COUNTIF(⑭手動工程入力!$T$6:$T$47,$C101)+COUNTIF(⑭手動工程入力!$U$6:$U$47,$C101)+COUNTIF(⑭手動工程入力!$V$6:$V$47,$C101)+COUNTIF(⑭手動工程入力!$W$6:$W$47,$C101)</f>
        <v/>
      </c>
      <c r="Q101" s="392" t="inlineStr">
        <is>
          <t>原価は「Ｓホイップの卵プリン」を参照</t>
        </is>
      </c>
      <c r="R101" s="393" t="n">
        <v>36.07</v>
      </c>
      <c r="S101" s="393" t="n">
        <v>2251</v>
      </c>
      <c r="T101" s="393">
        <f>IF(AND(ISNUMBER($I101),ISNUMBER($R101)),$I101-$R101,"")</f>
        <v/>
      </c>
      <c r="U101" s="393" t="inlineStr">
        <is>
          <t>卵プリン</t>
        </is>
      </c>
      <c r="V101" s="605">
        <f>IFERROR(INDEX(KIT別作業時間!$D$4:$D$27,MATCH(SUBSTITUTE(SUBSTITUTE(SUBSTITUTE(SUBSTITUTE(SUBSTITUTE(SUBSTITUTE(SUBSTITUTE(SUBSTITUTE(SUBSTITUTE(SUBSTITUTE(ASC($C101),"①","1"),"②","2"),"③","3"),"④","4"),"⑤","5"),"⑥","6"),"⑦","7"),"⑧","8"),"⑨","9")," ",""),KIT別作業時間!$C$4:$C$27,0)),"")</f>
        <v/>
      </c>
      <c r="W101" s="393">
        <f>IF(AND(ISNUMBER($I101),$I101&gt;0),$I101,IF(ISNUMBER($V101),$V101,IF(ISNUMBER($R101),$R101,"")))</f>
        <v/>
      </c>
      <c r="X101" s="393">
        <f>IF(AND(ISNUMBER($I101),$I101&gt;0),"今回の工程実績",IF(ISNUMBER($V101),"KIT作業時間",IF(ISNUMBER($R101),"前回資料","")))</f>
        <v/>
      </c>
      <c r="Y101" s="398" t="n">
        <v>60137</v>
      </c>
      <c r="Z101" s="398">
        <f>IF(AND(ISNUMBER($W101),ISNUMBER($Y101)),$W101*$Y101,"")</f>
        <v/>
      </c>
      <c r="AA101" s="393" t="n"/>
    </row>
    <row r="102">
      <c r="A102" s="392" t="n">
        <v>98</v>
      </c>
      <c r="B102" s="392" t="n"/>
      <c r="C102" s="392" t="inlineStr">
        <is>
          <t>Ｓ箸でつまんで抹茶わらび餅</t>
        </is>
      </c>
      <c r="D102" s="398">
        <f>SUMIF(⑩盛付梱包工程入力!$R$5:$R$300,$C102,⑩盛付梱包工程入力!$AC$5:$AC$300)+SUMIF(⑩盛付梱包工程入力!$S$5:$S$300,$C102,⑩盛付梱包工程入力!$AC$5:$AC$300)+SUMIF(⑩盛付梱包工程入力!$T$5:$T$300,$C102,⑩盛付梱包工程入力!$AC$5:$AC$300)+SUMIF(⑩盛付梱包工程入力!$U$5:$U$300,$C102,⑩盛付梱包工程入力!$AC$5:$AC$300)+SUMIF(⑩盛付梱包工程入力!$V$5:$V$300,$C102,⑩盛付梱包工程入力!$AC$5:$AC$300)+SUMIF(⑩盛付梱包工程入力!$W$5:$W$300,$C102,⑩盛付梱包工程入力!$AC$5:$AC$300)</f>
        <v/>
      </c>
      <c r="E102" s="398" t="n">
        <v>4</v>
      </c>
      <c r="F102" s="398">
        <f>IF(N($E102)&gt;0,$E102,$D102)</f>
        <v/>
      </c>
      <c r="G102" s="398" t="n"/>
      <c r="H102" s="393">
        <f>SUMIF(②釜工程入力!$R$5:$R$117,$C102,②釜工程入力!$AD$5:$AD$117)+SUMIF(②釜工程入力!$S$5:$S$117,$C102,②釜工程入力!$AE$5:$AE$117)+SUMIF(②釜工程入力!$T$5:$T$117,$C102,②釜工程入力!$AF$5:$AF$117)+SUMIF(②釜工程入力!$U$5:$U$117,$C102,②釜工程入力!$AG$5:$AG$117)+SUMIF(②釜工程入力!$V$5:$V$117,$C102,②釜工程入力!$AH$5:$AH$117)+SUMIF(②釜工程入力!$W$5:$W$117,$C102,②釜工程入力!$AI$5:$AI$117)+SUMIF(③スチコン工程入力!$R$5:$R$152,$C102,③スチコン工程入力!$AD$5:$AD$152)+SUMIF(③スチコン工程入力!$S$5:$S$152,$C102,③スチコン工程入力!$AE$5:$AE$152)+SUMIF(③スチコン工程入力!$T$5:$T$152,$C102,③スチコン工程入力!$AF$5:$AF$152)+SUMIF(③スチコン工程入力!$U$5:$U$152,$C102,③スチコン工程入力!$AG$5:$AG$152)+SUMIF(③スチコン工程入力!$V$5:$V$152,$C102,③スチコン工程入力!$AH$5:$AH$152)+SUMIF(③スチコン工程入力!$W$5:$W$152,$C102,③スチコン工程入力!$AI$5:$AI$152)+SUMIF(⑩盛付梱包工程入力!$R$5:$R$300,$C102,⑩盛付梱包工程入力!$AD$5:$AD$300)+SUMIF(⑩盛付梱包工程入力!$S$5:$S$300,$C102,⑩盛付梱包工程入力!$AE$5:$AE$300)+SUMIF(⑩盛付梱包工程入力!$T$5:$T$300,$C102,⑩盛付梱包工程入力!$AF$5:$AF$300)+SUMIF(⑩盛付梱包工程入力!$U$5:$U$300,$C102,⑩盛付梱包工程入力!$AG$5:$AG$300)+SUMIF(⑩盛付梱包工程入力!$V$5:$V$300,$C102,⑩盛付梱包工程入力!$AH$5:$AH$300)+SUMIF(⑩盛付梱包工程入力!$W$5:$W$300,$C102,⑩盛付梱包工程入力!$AI$5:$AI$300)+SUMIF(⑪ZEN工程入力!$R$6:$R$35,$C102,⑪ZEN工程入力!$AD$6:$AD$35)+SUMIF(⑪ZEN工程入力!$S$6:$S$35,$C102,⑪ZEN工程入力!$AE$6:$AE$35)+SUMIF(⑪ZEN工程入力!$T$6:$T$35,$C102,⑪ZEN工程入力!$AF$6:$AF$35)+SUMIF(⑪ZEN工程入力!$U$6:$U$35,$C102,⑪ZEN工程入力!$AG$6:$AG$35)+SUMIF(⑪ZEN工程入力!$V$6:$V$35,$C102,⑪ZEN工程入力!$AH$6:$AH$35)+SUMIF(⑪ZEN工程入力!$W$6:$W$35,$C102,⑪ZEN工程入力!$AI$6:$AI$35)+SUMIF(⑫ミキサー工程入力!$R$6:$R$65,$C102,⑫ミキサー工程入力!$AD$6:$AD$65)+SUMIF(⑫ミキサー工程入力!$S$6:$S$65,$C102,⑫ミキサー工程入力!$AE$6:$AE$65)+SUMIF(⑫ミキサー工程入力!$T$6:$T$65,$C102,⑫ミキサー工程入力!$AF$6:$AF$65)+SUMIF(⑫ミキサー工程入力!$U$6:$U$65,$C102,⑫ミキサー工程入力!$AG$6:$AG$65)+SUMIF(⑫ミキサー工程入力!$V$6:$V$65,$C102,⑫ミキサー工程入力!$AH$6:$AH$65)+SUMIF(⑫ミキサー工程入力!$W$6:$W$65,$C102,⑫ミキサー工程入力!$AI$6:$AI$65)+SUMIF(⑬計量工程入力!$R$6:$R$65,$C102,⑬計量工程入力!$AD$6:$AD$65)+SUMIF(⑬計量工程入力!$S$6:$S$65,$C102,⑬計量工程入力!$AE$6:$AE$65)+SUMIF(⑬計量工程入力!$T$6:$T$65,$C102,⑬計量工程入力!$AF$6:$AF$65)+SUMIF(⑬計量工程入力!$U$6:$U$65,$C102,⑬計量工程入力!$AG$6:$AG$65)+SUMIF(⑬計量工程入力!$V$6:$V$65,$C102,⑬計量工程入力!$AH$6:$AH$65)+SUMIF(⑬計量工程入力!$W$6:$W$65,$C102,⑬計量工程入力!$AI$6:$AI$65)+SUMIF(⑭手動工程入力!$R$6:$R$47,$C102,⑭手動工程入力!$AD$6:$AD$47)+SUMIF(⑭手動工程入力!$S$6:$S$47,$C102,⑭手動工程入力!$AE$6:$AE$47)+SUMIF(⑭手動工程入力!$T$6:$T$47,$C102,⑭手動工程入力!$AF$6:$AF$47)+SUMIF(⑭手動工程入力!$U$6:$U$47,$C102,⑭手動工程入力!$AG$6:$AG$47)+SUMIF(⑭手動工程入力!$V$6:$V$47,$C102,⑭手動工程入力!$AH$6:$AH$47)+SUMIF(⑭手動工程入力!$W$6:$W$47,$C102,⑭手動工程入力!$AI$6:$AI$47)</f>
        <v/>
      </c>
      <c r="I102" s="393">
        <f>IF($F102&gt;0,$H102/$F102,"")</f>
        <v/>
      </c>
      <c r="J102" s="605">
        <f>IFERROR(INDEX(商品原価!$B$4:$B$112,MATCH(SUBSTITUTE(SUBSTITUTE(SUBSTITUTE(SUBSTITUTE(SUBSTITUTE(SUBSTITUTE(SUBSTITUTE(SUBSTITUTE(SUBSTITUTE(SUBSTITUTE(ASC($C102),"①","1"),"②","2"),"③","3"),"④","4"),"⑤","5"),"⑥","6"),"⑦","7"),"⑧","8"),"⑨","9")," ",""),商品原価!$C$4:$C$112,0)),"")</f>
        <v/>
      </c>
      <c r="K102" s="542">
        <f>IF(ISNUMBER($J102),$J102*④前提設定!$B$21,"")</f>
        <v/>
      </c>
      <c r="L102" s="605">
        <f>IF(AND(NOT(ISNUMBER($J102)),NOT(ISNUMBER($K102))),"",N($J102)+N($K102))</f>
        <v/>
      </c>
      <c r="M102" s="605">
        <f>IFERROR(INDEX(商品原価!$E$4:$E$112,MATCH(SUBSTITUTE(SUBSTITUTE(SUBSTITUTE(SUBSTITUTE(SUBSTITUTE(SUBSTITUTE(SUBSTITUTE(SUBSTITUTE(SUBSTITUTE(SUBSTITUTE(ASC($C102),"①","1"),"②","2"),"③","3"),"④","4"),"⑤","5"),"⑥","6"),"⑦","7"),"⑧","8"),"⑨","9")," ",""),商品原価!$C$4:$C$112,0)),"")</f>
        <v/>
      </c>
      <c r="N102" s="605">
        <f>IF(AND(ISNUMBER($M102),ISNUMBER($L102)),$M102-$L102-N($W102),"")</f>
        <v/>
      </c>
      <c r="O102" s="606">
        <f>IF(AND(ISNUMBER($N102),ISNUMBER($M102),$M102&gt;0),$N102/$M102,"")</f>
        <v/>
      </c>
      <c r="P102" s="398">
        <f>COUNTIF(②釜工程入力!$R$5:$R$117,$C102)+COUNTIF(②釜工程入力!$S$5:$S$117,$C102)+COUNTIF(②釜工程入力!$T$5:$T$117,$C102)+COUNTIF(②釜工程入力!$U$5:$U$117,$C102)+COUNTIF(②釜工程入力!$V$5:$V$117,$C102)+COUNTIF(②釜工程入力!$W$5:$W$117,$C102)+COUNTIF(③スチコン工程入力!$R$5:$R$152,$C102)+COUNTIF(③スチコン工程入力!$S$5:$S$152,$C102)+COUNTIF(③スチコン工程入力!$T$5:$T$152,$C102)+COUNTIF(③スチコン工程入力!$U$5:$U$152,$C102)+COUNTIF(③スチコン工程入力!$V$5:$V$152,$C102)+COUNTIF(③スチコン工程入力!$W$5:$W$152,$C102)+COUNTIF(⑩盛付梱包工程入力!$R$5:$R$300,$C102)+COUNTIF(⑩盛付梱包工程入力!$S$5:$S$300,$C102)+COUNTIF(⑩盛付梱包工程入力!$T$5:$T$300,$C102)+COUNTIF(⑩盛付梱包工程入力!$U$5:$U$300,$C102)+COUNTIF(⑩盛付梱包工程入力!$V$5:$V$300,$C102)+COUNTIF(⑩盛付梱包工程入力!$W$5:$W$300,$C102)+COUNTIF(⑪ZEN工程入力!$R$6:$R$35,$C102)+COUNTIF(⑪ZEN工程入力!$S$6:$S$35,$C102)+COUNTIF(⑪ZEN工程入力!$T$6:$T$35,$C102)+COUNTIF(⑪ZEN工程入力!$U$6:$U$35,$C102)+COUNTIF(⑪ZEN工程入力!$V$6:$V$35,$C102)+COUNTIF(⑪ZEN工程入力!$W$6:$W$35,$C102)+COUNTIF(⑫ミキサー工程入力!$R$6:$R$65,$C102)+COUNTIF(⑫ミキサー工程入力!$S$6:$S$65,$C102)+COUNTIF(⑫ミキサー工程入力!$T$6:$T$65,$C102)+COUNTIF(⑫ミキサー工程入力!$U$6:$U$65,$C102)+COUNTIF(⑫ミキサー工程入力!$V$6:$V$65,$C102)+COUNTIF(⑫ミキサー工程入力!$W$6:$W$65,$C102)+COUNTIF(⑬計量工程入力!$R$6:$R$65,$C102)+COUNTIF(⑬計量工程入力!$S$6:$S$65,$C102)+COUNTIF(⑬計量工程入力!$T$6:$T$65,$C102)+COUNTIF(⑬計量工程入力!$U$6:$U$65,$C102)+COUNTIF(⑬計量工程入力!$V$6:$V$65,$C102)+COUNTIF(⑬計量工程入力!$W$6:$W$65,$C102)+COUNTIF(⑭手動工程入力!$R$6:$R$47,$C102)+COUNTIF(⑭手動工程入力!$S$6:$S$47,$C102)+COUNTIF(⑭手動工程入力!$T$6:$T$47,$C102)+COUNTIF(⑭手動工程入力!$U$6:$U$47,$C102)+COUNTIF(⑭手動工程入力!$V$6:$V$47,$C102)+COUNTIF(⑭手動工程入力!$W$6:$W$47,$C102)</f>
        <v/>
      </c>
      <c r="Q102" s="392" t="inlineStr">
        <is>
          <t>⑩盛付梱包 72行目に入力欄を作成（工程記録なし）</t>
        </is>
      </c>
      <c r="R102" s="393" t="n">
        <v>52.96</v>
      </c>
      <c r="S102" s="393" t="n">
        <v>1048</v>
      </c>
      <c r="T102" s="393">
        <f>IF(AND(ISNUMBER($I102),ISNUMBER($R102)),$I102-$R102,"")</f>
        <v/>
      </c>
      <c r="U102" s="393" t="inlineStr">
        <is>
          <t>抹茶わらび餅</t>
        </is>
      </c>
      <c r="V102" s="605">
        <f>IFERROR(INDEX(KIT別作業時間!$D$4:$D$27,MATCH(SUBSTITUTE(SUBSTITUTE(SUBSTITUTE(SUBSTITUTE(SUBSTITUTE(SUBSTITUTE(SUBSTITUTE(SUBSTITUTE(SUBSTITUTE(SUBSTITUTE(ASC($C102),"①","1"),"②","2"),"③","3"),"④","4"),"⑤","5"),"⑥","6"),"⑦","7"),"⑧","8"),"⑨","9")," ",""),KIT別作業時間!$C$4:$C$27,0)),"")</f>
        <v/>
      </c>
      <c r="W102" s="393">
        <f>IF(AND(ISNUMBER($I102),$I102&gt;0),$I102,IF(ISNUMBER($V102),$V102,IF(ISNUMBER($R102),$R102,"")))</f>
        <v/>
      </c>
      <c r="X102" s="393">
        <f>IF(AND(ISNUMBER($I102),$I102&gt;0),"今回の工程実績",IF(ISNUMBER($V102),"KIT作業時間",IF(ISNUMBER($R102),"前回資料","")))</f>
        <v/>
      </c>
      <c r="Y102" s="398" t="n"/>
      <c r="Z102" s="398">
        <f>IF(AND(ISNUMBER($W102),ISNUMBER($Y102)),$W102*$Y102,"")</f>
        <v/>
      </c>
      <c r="AA102" s="393" t="n"/>
    </row>
    <row r="103">
      <c r="A103" s="392" t="n">
        <v>99</v>
      </c>
      <c r="B103" s="392" t="n"/>
      <c r="C103" s="392" t="inlineStr">
        <is>
          <t>お芋ムースのパンナコッタ</t>
        </is>
      </c>
      <c r="D103" s="398">
        <f>SUMIF(⑩盛付梱包工程入力!$R$5:$R$300,$C103,⑩盛付梱包工程入力!$AC$5:$AC$300)+SUMIF(⑩盛付梱包工程入力!$S$5:$S$300,$C103,⑩盛付梱包工程入力!$AC$5:$AC$300)+SUMIF(⑩盛付梱包工程入力!$T$5:$T$300,$C103,⑩盛付梱包工程入力!$AC$5:$AC$300)+SUMIF(⑩盛付梱包工程入力!$U$5:$U$300,$C103,⑩盛付梱包工程入力!$AC$5:$AC$300)+SUMIF(⑩盛付梱包工程入力!$V$5:$V$300,$C103,⑩盛付梱包工程入力!$AC$5:$AC$300)+SUMIF(⑩盛付梱包工程入力!$W$5:$W$300,$C103,⑩盛付梱包工程入力!$AC$5:$AC$300)</f>
        <v/>
      </c>
      <c r="E103" s="398" t="n">
        <v>257</v>
      </c>
      <c r="F103" s="398">
        <f>IF(N($E103)&gt;0,$E103,$D103)</f>
        <v/>
      </c>
      <c r="G103" s="393" t="n">
        <v>61.57126398946676</v>
      </c>
      <c r="H103" s="393">
        <f>SUMIF(②釜工程入力!$R$5:$R$117,$C103,②釜工程入力!$AD$5:$AD$117)+SUMIF(②釜工程入力!$S$5:$S$117,$C103,②釜工程入力!$AE$5:$AE$117)+SUMIF(②釜工程入力!$T$5:$T$117,$C103,②釜工程入力!$AF$5:$AF$117)+SUMIF(②釜工程入力!$U$5:$U$117,$C103,②釜工程入力!$AG$5:$AG$117)+SUMIF(②釜工程入力!$V$5:$V$117,$C103,②釜工程入力!$AH$5:$AH$117)+SUMIF(②釜工程入力!$W$5:$W$117,$C103,②釜工程入力!$AI$5:$AI$117)+SUMIF(③スチコン工程入力!$R$5:$R$152,$C103,③スチコン工程入力!$AD$5:$AD$152)+SUMIF(③スチコン工程入力!$S$5:$S$152,$C103,③スチコン工程入力!$AE$5:$AE$152)+SUMIF(③スチコン工程入力!$T$5:$T$152,$C103,③スチコン工程入力!$AF$5:$AF$152)+SUMIF(③スチコン工程入力!$U$5:$U$152,$C103,③スチコン工程入力!$AG$5:$AG$152)+SUMIF(③スチコン工程入力!$V$5:$V$152,$C103,③スチコン工程入力!$AH$5:$AH$152)+SUMIF(③スチコン工程入力!$W$5:$W$152,$C103,③スチコン工程入力!$AI$5:$AI$152)+SUMIF(⑩盛付梱包工程入力!$R$5:$R$300,$C103,⑩盛付梱包工程入力!$AD$5:$AD$300)+SUMIF(⑩盛付梱包工程入力!$S$5:$S$300,$C103,⑩盛付梱包工程入力!$AE$5:$AE$300)+SUMIF(⑩盛付梱包工程入力!$T$5:$T$300,$C103,⑩盛付梱包工程入力!$AF$5:$AF$300)+SUMIF(⑩盛付梱包工程入力!$U$5:$U$300,$C103,⑩盛付梱包工程入力!$AG$5:$AG$300)+SUMIF(⑩盛付梱包工程入力!$V$5:$V$300,$C103,⑩盛付梱包工程入力!$AH$5:$AH$300)+SUMIF(⑩盛付梱包工程入力!$W$5:$W$300,$C103,⑩盛付梱包工程入力!$AI$5:$AI$300)+SUMIF(⑪ZEN工程入力!$R$6:$R$35,$C103,⑪ZEN工程入力!$AD$6:$AD$35)+SUMIF(⑪ZEN工程入力!$S$6:$S$35,$C103,⑪ZEN工程入力!$AE$6:$AE$35)+SUMIF(⑪ZEN工程入力!$T$6:$T$35,$C103,⑪ZEN工程入力!$AF$6:$AF$35)+SUMIF(⑪ZEN工程入力!$U$6:$U$35,$C103,⑪ZEN工程入力!$AG$6:$AG$35)+SUMIF(⑪ZEN工程入力!$V$6:$V$35,$C103,⑪ZEN工程入力!$AH$6:$AH$35)+SUMIF(⑪ZEN工程入力!$W$6:$W$35,$C103,⑪ZEN工程入力!$AI$6:$AI$35)+SUMIF(⑫ミキサー工程入力!$R$6:$R$65,$C103,⑫ミキサー工程入力!$AD$6:$AD$65)+SUMIF(⑫ミキサー工程入力!$S$6:$S$65,$C103,⑫ミキサー工程入力!$AE$6:$AE$65)+SUMIF(⑫ミキサー工程入力!$T$6:$T$65,$C103,⑫ミキサー工程入力!$AF$6:$AF$65)+SUMIF(⑫ミキサー工程入力!$U$6:$U$65,$C103,⑫ミキサー工程入力!$AG$6:$AG$65)+SUMIF(⑫ミキサー工程入力!$V$6:$V$65,$C103,⑫ミキサー工程入力!$AH$6:$AH$65)+SUMIF(⑫ミキサー工程入力!$W$6:$W$65,$C103,⑫ミキサー工程入力!$AI$6:$AI$65)+SUMIF(⑬計量工程入力!$R$6:$R$65,$C103,⑬計量工程入力!$AD$6:$AD$65)+SUMIF(⑬計量工程入力!$S$6:$S$65,$C103,⑬計量工程入力!$AE$6:$AE$65)+SUMIF(⑬計量工程入力!$T$6:$T$65,$C103,⑬計量工程入力!$AF$6:$AF$65)+SUMIF(⑬計量工程入力!$U$6:$U$65,$C103,⑬計量工程入力!$AG$6:$AG$65)+SUMIF(⑬計量工程入力!$V$6:$V$65,$C103,⑬計量工程入力!$AH$6:$AH$65)+SUMIF(⑬計量工程入力!$W$6:$W$65,$C103,⑬計量工程入力!$AI$6:$AI$65)+SUMIF(⑭手動工程入力!$R$6:$R$47,$C103,⑭手動工程入力!$AD$6:$AD$47)+SUMIF(⑭手動工程入力!$S$6:$S$47,$C103,⑭手動工程入力!$AE$6:$AE$47)+SUMIF(⑭手動工程入力!$T$6:$T$47,$C103,⑭手動工程入力!$AF$6:$AF$47)+SUMIF(⑭手動工程入力!$U$6:$U$47,$C103,⑭手動工程入力!$AG$6:$AG$47)+SUMIF(⑭手動工程入力!$V$6:$V$47,$C103,⑭手動工程入力!$AH$6:$AH$47)+SUMIF(⑭手動工程入力!$W$6:$W$47,$C103,⑭手動工程入力!$AI$6:$AI$47)</f>
        <v/>
      </c>
      <c r="I103" s="393">
        <f>IF($F103&gt;0,$H103/$F103,"")</f>
        <v/>
      </c>
      <c r="J103" s="605">
        <f>IFERROR(INDEX(商品原価!$B$4:$B$112,MATCH(SUBSTITUTE(SUBSTITUTE(SUBSTITUTE(SUBSTITUTE(SUBSTITUTE(SUBSTITUTE(SUBSTITUTE(SUBSTITUTE(SUBSTITUTE(SUBSTITUTE(ASC($C103),"①","1"),"②","2"),"③","3"),"④","4"),"⑤","5"),"⑥","6"),"⑦","7"),"⑧","8"),"⑨","9")," ",""),商品原価!$C$4:$C$112,0)),"")</f>
        <v/>
      </c>
      <c r="K103" s="542">
        <f>IF(ISNUMBER($J103),$J103*④前提設定!$B$21,"")</f>
        <v/>
      </c>
      <c r="L103" s="605">
        <f>IF(AND(NOT(ISNUMBER($J103)),NOT(ISNUMBER($K103))),"",N($J103)+N($K103))</f>
        <v/>
      </c>
      <c r="M103" s="605">
        <f>IFERROR(INDEX(商品原価!$E$4:$E$112,MATCH(SUBSTITUTE(SUBSTITUTE(SUBSTITUTE(SUBSTITUTE(SUBSTITUTE(SUBSTITUTE(SUBSTITUTE(SUBSTITUTE(SUBSTITUTE(SUBSTITUTE(ASC($C103),"①","1"),"②","2"),"③","3"),"④","4"),"⑤","5"),"⑥","6"),"⑦","7"),"⑧","8"),"⑨","9")," ",""),商品原価!$C$4:$C$112,0)),"")</f>
        <v/>
      </c>
      <c r="N103" s="605">
        <f>IF(AND(ISNUMBER($M103),ISNUMBER($L103)),$M103-$L103-N($W103),"")</f>
        <v/>
      </c>
      <c r="O103" s="606">
        <f>IF(AND(ISNUMBER($N103),ISNUMBER($M103),$M103&gt;0),$N103/$M103,"")</f>
        <v/>
      </c>
      <c r="P103" s="398">
        <f>COUNTIF(②釜工程入力!$R$5:$R$117,$C103)+COUNTIF(②釜工程入力!$S$5:$S$117,$C103)+COUNTIF(②釜工程入力!$T$5:$T$117,$C103)+COUNTIF(②釜工程入力!$U$5:$U$117,$C103)+COUNTIF(②釜工程入力!$V$5:$V$117,$C103)+COUNTIF(②釜工程入力!$W$5:$W$117,$C103)+COUNTIF(③スチコン工程入力!$R$5:$R$152,$C103)+COUNTIF(③スチコン工程入力!$S$5:$S$152,$C103)+COUNTIF(③スチコン工程入力!$T$5:$T$152,$C103)+COUNTIF(③スチコン工程入力!$U$5:$U$152,$C103)+COUNTIF(③スチコン工程入力!$V$5:$V$152,$C103)+COUNTIF(③スチコン工程入力!$W$5:$W$152,$C103)+COUNTIF(⑩盛付梱包工程入力!$R$5:$R$300,$C103)+COUNTIF(⑩盛付梱包工程入力!$S$5:$S$300,$C103)+COUNTIF(⑩盛付梱包工程入力!$T$5:$T$300,$C103)+COUNTIF(⑩盛付梱包工程入力!$U$5:$U$300,$C103)+COUNTIF(⑩盛付梱包工程入力!$V$5:$V$300,$C103)+COUNTIF(⑩盛付梱包工程入力!$W$5:$W$300,$C103)+COUNTIF(⑪ZEN工程入力!$R$6:$R$35,$C103)+COUNTIF(⑪ZEN工程入力!$S$6:$S$35,$C103)+COUNTIF(⑪ZEN工程入力!$T$6:$T$35,$C103)+COUNTIF(⑪ZEN工程入力!$U$6:$U$35,$C103)+COUNTIF(⑪ZEN工程入力!$V$6:$V$35,$C103)+COUNTIF(⑪ZEN工程入力!$W$6:$W$35,$C103)+COUNTIF(⑫ミキサー工程入力!$R$6:$R$65,$C103)+COUNTIF(⑫ミキサー工程入力!$S$6:$S$65,$C103)+COUNTIF(⑫ミキサー工程入力!$T$6:$T$65,$C103)+COUNTIF(⑫ミキサー工程入力!$U$6:$U$65,$C103)+COUNTIF(⑫ミキサー工程入力!$V$6:$V$65,$C103)+COUNTIF(⑫ミキサー工程入力!$W$6:$W$65,$C103)+COUNTIF(⑬計量工程入力!$R$6:$R$65,$C103)+COUNTIF(⑬計量工程入力!$S$6:$S$65,$C103)+COUNTIF(⑬計量工程入力!$T$6:$T$65,$C103)+COUNTIF(⑬計量工程入力!$U$6:$U$65,$C103)+COUNTIF(⑬計量工程入力!$V$6:$V$65,$C103)+COUNTIF(⑬計量工程入力!$W$6:$W$65,$C103)+COUNTIF(⑭手動工程入力!$R$6:$R$47,$C103)+COUNTIF(⑭手動工程入力!$S$6:$S$47,$C103)+COUNTIF(⑭手動工程入力!$T$6:$T$47,$C103)+COUNTIF(⑭手動工程入力!$U$6:$U$47,$C103)+COUNTIF(⑭手動工程入力!$V$6:$V$47,$C103)+COUNTIF(⑭手動工程入力!$W$6:$W$47,$C103)</f>
        <v/>
      </c>
      <c r="Q103" s="392" t="inlineStr">
        <is>
          <t>⑩盛付梱包 35行目に入力欄を作成（工程記録なし）</t>
        </is>
      </c>
      <c r="R103" s="393" t="n"/>
      <c r="S103" s="393" t="n"/>
      <c r="T103" s="393" t="n"/>
      <c r="U103" s="393" t="n"/>
      <c r="V103" s="605">
        <f>IFERROR(INDEX(KIT別作業時間!$D$4:$D$27,MATCH(SUBSTITUTE(SUBSTITUTE(SUBSTITUTE(SUBSTITUTE(SUBSTITUTE(SUBSTITUTE(SUBSTITUTE(SUBSTITUTE(SUBSTITUTE(SUBSTITUTE(ASC($C103),"①","1"),"②","2"),"③","3"),"④","4"),"⑤","5"),"⑥","6"),"⑦","7"),"⑧","8"),"⑨","9")," ",""),KIT別作業時間!$C$4:$C$27,0)),"")</f>
        <v/>
      </c>
      <c r="W103" s="393">
        <f>IF(AND(ISNUMBER($I103),$I103&gt;0),$I103,IF(ISNUMBER($V103),$V103,IF(ISNUMBER($R103),$R103,"")))</f>
        <v/>
      </c>
      <c r="X103" s="393">
        <f>IF(AND(ISNUMBER($I103),$I103&gt;0),"今回の工程実績",IF(ISNUMBER($V103),"KIT作業時間",IF(ISNUMBER($R103),"前回資料","")))</f>
        <v/>
      </c>
      <c r="Y103" s="398" t="n">
        <v>1308</v>
      </c>
      <c r="Z103" s="398">
        <f>IF(AND(ISNUMBER($W103),ISNUMBER($Y103)),$W103*$Y103,"")</f>
        <v/>
      </c>
      <c r="AA103" s="393" t="n"/>
    </row>
    <row r="104">
      <c r="A104" s="392" t="n">
        <v>100</v>
      </c>
      <c r="B104" s="392" t="n"/>
      <c r="C104" s="392" t="inlineStr">
        <is>
          <t>パキっとろっお芋ティラミス</t>
        </is>
      </c>
      <c r="D104" s="398">
        <f>SUMIF(⑩盛付梱包工程入力!$R$5:$R$300,$C104,⑩盛付梱包工程入力!$AC$5:$AC$300)+SUMIF(⑩盛付梱包工程入力!$S$5:$S$300,$C104,⑩盛付梱包工程入力!$AC$5:$AC$300)+SUMIF(⑩盛付梱包工程入力!$T$5:$T$300,$C104,⑩盛付梱包工程入力!$AC$5:$AC$300)+SUMIF(⑩盛付梱包工程入力!$U$5:$U$300,$C104,⑩盛付梱包工程入力!$AC$5:$AC$300)+SUMIF(⑩盛付梱包工程入力!$V$5:$V$300,$C104,⑩盛付梱包工程入力!$AC$5:$AC$300)+SUMIF(⑩盛付梱包工程入力!$W$5:$W$300,$C104,⑩盛付梱包工程入力!$AC$5:$AC$300)</f>
        <v/>
      </c>
      <c r="E104" s="398" t="n">
        <v>220</v>
      </c>
      <c r="F104" s="398">
        <f>IF(N($E104)&gt;0,$E104,$D104)</f>
        <v/>
      </c>
      <c r="G104" s="393" t="n">
        <v>54.40994792601904</v>
      </c>
      <c r="H104" s="393">
        <f>SUMIF(②釜工程入力!$R$5:$R$117,$C104,②釜工程入力!$AD$5:$AD$117)+SUMIF(②釜工程入力!$S$5:$S$117,$C104,②釜工程入力!$AE$5:$AE$117)+SUMIF(②釜工程入力!$T$5:$T$117,$C104,②釜工程入力!$AF$5:$AF$117)+SUMIF(②釜工程入力!$U$5:$U$117,$C104,②釜工程入力!$AG$5:$AG$117)+SUMIF(②釜工程入力!$V$5:$V$117,$C104,②釜工程入力!$AH$5:$AH$117)+SUMIF(②釜工程入力!$W$5:$W$117,$C104,②釜工程入力!$AI$5:$AI$117)+SUMIF(③スチコン工程入力!$R$5:$R$152,$C104,③スチコン工程入力!$AD$5:$AD$152)+SUMIF(③スチコン工程入力!$S$5:$S$152,$C104,③スチコン工程入力!$AE$5:$AE$152)+SUMIF(③スチコン工程入力!$T$5:$T$152,$C104,③スチコン工程入力!$AF$5:$AF$152)+SUMIF(③スチコン工程入力!$U$5:$U$152,$C104,③スチコン工程入力!$AG$5:$AG$152)+SUMIF(③スチコン工程入力!$V$5:$V$152,$C104,③スチコン工程入力!$AH$5:$AH$152)+SUMIF(③スチコン工程入力!$W$5:$W$152,$C104,③スチコン工程入力!$AI$5:$AI$152)+SUMIF(⑩盛付梱包工程入力!$R$5:$R$300,$C104,⑩盛付梱包工程入力!$AD$5:$AD$300)+SUMIF(⑩盛付梱包工程入力!$S$5:$S$300,$C104,⑩盛付梱包工程入力!$AE$5:$AE$300)+SUMIF(⑩盛付梱包工程入力!$T$5:$T$300,$C104,⑩盛付梱包工程入力!$AF$5:$AF$300)+SUMIF(⑩盛付梱包工程入力!$U$5:$U$300,$C104,⑩盛付梱包工程入力!$AG$5:$AG$300)+SUMIF(⑩盛付梱包工程入力!$V$5:$V$300,$C104,⑩盛付梱包工程入力!$AH$5:$AH$300)+SUMIF(⑩盛付梱包工程入力!$W$5:$W$300,$C104,⑩盛付梱包工程入力!$AI$5:$AI$300)+SUMIF(⑪ZEN工程入力!$R$6:$R$35,$C104,⑪ZEN工程入力!$AD$6:$AD$35)+SUMIF(⑪ZEN工程入力!$S$6:$S$35,$C104,⑪ZEN工程入力!$AE$6:$AE$35)+SUMIF(⑪ZEN工程入力!$T$6:$T$35,$C104,⑪ZEN工程入力!$AF$6:$AF$35)+SUMIF(⑪ZEN工程入力!$U$6:$U$35,$C104,⑪ZEN工程入力!$AG$6:$AG$35)+SUMIF(⑪ZEN工程入力!$V$6:$V$35,$C104,⑪ZEN工程入力!$AH$6:$AH$35)+SUMIF(⑪ZEN工程入力!$W$6:$W$35,$C104,⑪ZEN工程入力!$AI$6:$AI$35)+SUMIF(⑫ミキサー工程入力!$R$6:$R$65,$C104,⑫ミキサー工程入力!$AD$6:$AD$65)+SUMIF(⑫ミキサー工程入力!$S$6:$S$65,$C104,⑫ミキサー工程入力!$AE$6:$AE$65)+SUMIF(⑫ミキサー工程入力!$T$6:$T$65,$C104,⑫ミキサー工程入力!$AF$6:$AF$65)+SUMIF(⑫ミキサー工程入力!$U$6:$U$65,$C104,⑫ミキサー工程入力!$AG$6:$AG$65)+SUMIF(⑫ミキサー工程入力!$V$6:$V$65,$C104,⑫ミキサー工程入力!$AH$6:$AH$65)+SUMIF(⑫ミキサー工程入力!$W$6:$W$65,$C104,⑫ミキサー工程入力!$AI$6:$AI$65)+SUMIF(⑬計量工程入力!$R$6:$R$65,$C104,⑬計量工程入力!$AD$6:$AD$65)+SUMIF(⑬計量工程入力!$S$6:$S$65,$C104,⑬計量工程入力!$AE$6:$AE$65)+SUMIF(⑬計量工程入力!$T$6:$T$65,$C104,⑬計量工程入力!$AF$6:$AF$65)+SUMIF(⑬計量工程入力!$U$6:$U$65,$C104,⑬計量工程入力!$AG$6:$AG$65)+SUMIF(⑬計量工程入力!$V$6:$V$65,$C104,⑬計量工程入力!$AH$6:$AH$65)+SUMIF(⑬計量工程入力!$W$6:$W$65,$C104,⑬計量工程入力!$AI$6:$AI$65)+SUMIF(⑭手動工程入力!$R$6:$R$47,$C104,⑭手動工程入力!$AD$6:$AD$47)+SUMIF(⑭手動工程入力!$S$6:$S$47,$C104,⑭手動工程入力!$AE$6:$AE$47)+SUMIF(⑭手動工程入力!$T$6:$T$47,$C104,⑭手動工程入力!$AF$6:$AF$47)+SUMIF(⑭手動工程入力!$U$6:$U$47,$C104,⑭手動工程入力!$AG$6:$AG$47)+SUMIF(⑭手動工程入力!$V$6:$V$47,$C104,⑭手動工程入力!$AH$6:$AH$47)+SUMIF(⑭手動工程入力!$W$6:$W$47,$C104,⑭手動工程入力!$AI$6:$AI$47)</f>
        <v/>
      </c>
      <c r="I104" s="393">
        <f>IF($F104&gt;0,$H104/$F104,"")</f>
        <v/>
      </c>
      <c r="J104" s="605">
        <f>IFERROR(INDEX(商品原価!$B$4:$B$112,MATCH(SUBSTITUTE(SUBSTITUTE(SUBSTITUTE(SUBSTITUTE(SUBSTITUTE(SUBSTITUTE(SUBSTITUTE(SUBSTITUTE(SUBSTITUTE(SUBSTITUTE(ASC($C104),"①","1"),"②","2"),"③","3"),"④","4"),"⑤","5"),"⑥","6"),"⑦","7"),"⑧","8"),"⑨","9")," ",""),商品原価!$C$4:$C$112,0)),"")</f>
        <v/>
      </c>
      <c r="K104" s="542">
        <f>IF(ISNUMBER($J104),$J104*④前提設定!$B$21,"")</f>
        <v/>
      </c>
      <c r="L104" s="605">
        <f>IF(AND(NOT(ISNUMBER($J104)),NOT(ISNUMBER($K104))),"",N($J104)+N($K104))</f>
        <v/>
      </c>
      <c r="M104" s="605">
        <f>IFERROR(INDEX(商品原価!$E$4:$E$112,MATCH(SUBSTITUTE(SUBSTITUTE(SUBSTITUTE(SUBSTITUTE(SUBSTITUTE(SUBSTITUTE(SUBSTITUTE(SUBSTITUTE(SUBSTITUTE(SUBSTITUTE(ASC($C104),"①","1"),"②","2"),"③","3"),"④","4"),"⑤","5"),"⑥","6"),"⑦","7"),"⑧","8"),"⑨","9")," ",""),商品原価!$C$4:$C$112,0)),"")</f>
        <v/>
      </c>
      <c r="N104" s="605">
        <f>IF(AND(ISNUMBER($M104),ISNUMBER($L104)),$M104-$L104-N($W104),"")</f>
        <v/>
      </c>
      <c r="O104" s="606">
        <f>IF(AND(ISNUMBER($N104),ISNUMBER($M104),$M104&gt;0),$N104/$M104,"")</f>
        <v/>
      </c>
      <c r="P104" s="398">
        <f>COUNTIF(②釜工程入力!$R$5:$R$117,$C104)+COUNTIF(②釜工程入力!$S$5:$S$117,$C104)+COUNTIF(②釜工程入力!$T$5:$T$117,$C104)+COUNTIF(②釜工程入力!$U$5:$U$117,$C104)+COUNTIF(②釜工程入力!$V$5:$V$117,$C104)+COUNTIF(②釜工程入力!$W$5:$W$117,$C104)+COUNTIF(③スチコン工程入力!$R$5:$R$152,$C104)+COUNTIF(③スチコン工程入力!$S$5:$S$152,$C104)+COUNTIF(③スチコン工程入力!$T$5:$T$152,$C104)+COUNTIF(③スチコン工程入力!$U$5:$U$152,$C104)+COUNTIF(③スチコン工程入力!$V$5:$V$152,$C104)+COUNTIF(③スチコン工程入力!$W$5:$W$152,$C104)+COUNTIF(⑩盛付梱包工程入力!$R$5:$R$300,$C104)+COUNTIF(⑩盛付梱包工程入力!$S$5:$S$300,$C104)+COUNTIF(⑩盛付梱包工程入力!$T$5:$T$300,$C104)+COUNTIF(⑩盛付梱包工程入力!$U$5:$U$300,$C104)+COUNTIF(⑩盛付梱包工程入力!$V$5:$V$300,$C104)+COUNTIF(⑩盛付梱包工程入力!$W$5:$W$300,$C104)+COUNTIF(⑪ZEN工程入力!$R$6:$R$35,$C104)+COUNTIF(⑪ZEN工程入力!$S$6:$S$35,$C104)+COUNTIF(⑪ZEN工程入力!$T$6:$T$35,$C104)+COUNTIF(⑪ZEN工程入力!$U$6:$U$35,$C104)+COUNTIF(⑪ZEN工程入力!$V$6:$V$35,$C104)+COUNTIF(⑪ZEN工程入力!$W$6:$W$35,$C104)+COUNTIF(⑫ミキサー工程入力!$R$6:$R$65,$C104)+COUNTIF(⑫ミキサー工程入力!$S$6:$S$65,$C104)+COUNTIF(⑫ミキサー工程入力!$T$6:$T$65,$C104)+COUNTIF(⑫ミキサー工程入力!$U$6:$U$65,$C104)+COUNTIF(⑫ミキサー工程入力!$V$6:$V$65,$C104)+COUNTIF(⑫ミキサー工程入力!$W$6:$W$65,$C104)+COUNTIF(⑬計量工程入力!$R$6:$R$65,$C104)+COUNTIF(⑬計量工程入力!$S$6:$S$65,$C104)+COUNTIF(⑬計量工程入力!$T$6:$T$65,$C104)+COUNTIF(⑬計量工程入力!$U$6:$U$65,$C104)+COUNTIF(⑬計量工程入力!$V$6:$V$65,$C104)+COUNTIF(⑬計量工程入力!$W$6:$W$65,$C104)+COUNTIF(⑭手動工程入力!$R$6:$R$47,$C104)+COUNTIF(⑭手動工程入力!$S$6:$S$47,$C104)+COUNTIF(⑭手動工程入力!$T$6:$T$47,$C104)+COUNTIF(⑭手動工程入力!$U$6:$U$47,$C104)+COUNTIF(⑭手動工程入力!$V$6:$V$47,$C104)+COUNTIF(⑭手動工程入力!$W$6:$W$47,$C104)</f>
        <v/>
      </c>
      <c r="Q104" s="392" t="inlineStr">
        <is>
          <t>⑩盛付梱包 36行目に入力欄を作成（工程記録なし）</t>
        </is>
      </c>
      <c r="R104" s="393" t="n"/>
      <c r="S104" s="393" t="n"/>
      <c r="T104" s="393" t="n"/>
      <c r="U104" s="393" t="n"/>
      <c r="V104" s="605">
        <f>IFERROR(INDEX(KIT別作業時間!$D$4:$D$27,MATCH(SUBSTITUTE(SUBSTITUTE(SUBSTITUTE(SUBSTITUTE(SUBSTITUTE(SUBSTITUTE(SUBSTITUTE(SUBSTITUTE(SUBSTITUTE(SUBSTITUTE(ASC($C104),"①","1"),"②","2"),"③","3"),"④","4"),"⑤","5"),"⑥","6"),"⑦","7"),"⑧","8"),"⑨","9")," ",""),KIT別作業時間!$C$4:$C$27,0)),"")</f>
        <v/>
      </c>
      <c r="W104" s="393">
        <f>IF(AND(ISNUMBER($I104),$I104&gt;0),$I104,IF(ISNUMBER($V104),$V104,IF(ISNUMBER($R104),$R104,"")))</f>
        <v/>
      </c>
      <c r="X104" s="393">
        <f>IF(AND(ISNUMBER($I104),$I104&gt;0),"今回の工程実績",IF(ISNUMBER($V104),"KIT作業時間",IF(ISNUMBER($R104),"前回資料","")))</f>
        <v/>
      </c>
      <c r="Y104" s="398" t="n">
        <v>1123</v>
      </c>
      <c r="Z104" s="398">
        <f>IF(AND(ISNUMBER($W104),ISNUMBER($Y104)),$W104*$Y104,"")</f>
        <v/>
      </c>
      <c r="AA104" s="393" t="n"/>
    </row>
    <row r="105">
      <c r="A105" s="392" t="n">
        <v>101</v>
      </c>
      <c r="B105" s="392" t="n"/>
      <c r="C105" s="392" t="inlineStr">
        <is>
          <t>もちっと芋の暴れん坊</t>
        </is>
      </c>
      <c r="D105" s="398">
        <f>SUMIF(⑩盛付梱包工程入力!$R$5:$R$300,$C105,⑩盛付梱包工程入力!$AC$5:$AC$300)+SUMIF(⑩盛付梱包工程入力!$S$5:$S$300,$C105,⑩盛付梱包工程入力!$AC$5:$AC$300)+SUMIF(⑩盛付梱包工程入力!$T$5:$T$300,$C105,⑩盛付梱包工程入力!$AC$5:$AC$300)+SUMIF(⑩盛付梱包工程入力!$U$5:$U$300,$C105,⑩盛付梱包工程入力!$AC$5:$AC$300)+SUMIF(⑩盛付梱包工程入力!$V$5:$V$300,$C105,⑩盛付梱包工程入力!$AC$5:$AC$300)+SUMIF(⑩盛付梱包工程入力!$W$5:$W$300,$C105,⑩盛付梱包工程入力!$AC$5:$AC$300)</f>
        <v/>
      </c>
      <c r="E105" s="398" t="n">
        <v>153</v>
      </c>
      <c r="F105" s="398">
        <f>IF(N($E105)&gt;0,$E105,$D105)</f>
        <v/>
      </c>
      <c r="G105" s="393" t="n">
        <v>60.92565901763702</v>
      </c>
      <c r="H105" s="393">
        <f>SUMIF(②釜工程入力!$R$5:$R$117,$C105,②釜工程入力!$AD$5:$AD$117)+SUMIF(②釜工程入力!$S$5:$S$117,$C105,②釜工程入力!$AE$5:$AE$117)+SUMIF(②釜工程入力!$T$5:$T$117,$C105,②釜工程入力!$AF$5:$AF$117)+SUMIF(②釜工程入力!$U$5:$U$117,$C105,②釜工程入力!$AG$5:$AG$117)+SUMIF(②釜工程入力!$V$5:$V$117,$C105,②釜工程入力!$AH$5:$AH$117)+SUMIF(②釜工程入力!$W$5:$W$117,$C105,②釜工程入力!$AI$5:$AI$117)+SUMIF(③スチコン工程入力!$R$5:$R$152,$C105,③スチコン工程入力!$AD$5:$AD$152)+SUMIF(③スチコン工程入力!$S$5:$S$152,$C105,③スチコン工程入力!$AE$5:$AE$152)+SUMIF(③スチコン工程入力!$T$5:$T$152,$C105,③スチコン工程入力!$AF$5:$AF$152)+SUMIF(③スチコン工程入力!$U$5:$U$152,$C105,③スチコン工程入力!$AG$5:$AG$152)+SUMIF(③スチコン工程入力!$V$5:$V$152,$C105,③スチコン工程入力!$AH$5:$AH$152)+SUMIF(③スチコン工程入力!$W$5:$W$152,$C105,③スチコン工程入力!$AI$5:$AI$152)+SUMIF(⑩盛付梱包工程入力!$R$5:$R$300,$C105,⑩盛付梱包工程入力!$AD$5:$AD$300)+SUMIF(⑩盛付梱包工程入力!$S$5:$S$300,$C105,⑩盛付梱包工程入力!$AE$5:$AE$300)+SUMIF(⑩盛付梱包工程入力!$T$5:$T$300,$C105,⑩盛付梱包工程入力!$AF$5:$AF$300)+SUMIF(⑩盛付梱包工程入力!$U$5:$U$300,$C105,⑩盛付梱包工程入力!$AG$5:$AG$300)+SUMIF(⑩盛付梱包工程入力!$V$5:$V$300,$C105,⑩盛付梱包工程入力!$AH$5:$AH$300)+SUMIF(⑩盛付梱包工程入力!$W$5:$W$300,$C105,⑩盛付梱包工程入力!$AI$5:$AI$300)+SUMIF(⑪ZEN工程入力!$R$6:$R$35,$C105,⑪ZEN工程入力!$AD$6:$AD$35)+SUMIF(⑪ZEN工程入力!$S$6:$S$35,$C105,⑪ZEN工程入力!$AE$6:$AE$35)+SUMIF(⑪ZEN工程入力!$T$6:$T$35,$C105,⑪ZEN工程入力!$AF$6:$AF$35)+SUMIF(⑪ZEN工程入力!$U$6:$U$35,$C105,⑪ZEN工程入力!$AG$6:$AG$35)+SUMIF(⑪ZEN工程入力!$V$6:$V$35,$C105,⑪ZEN工程入力!$AH$6:$AH$35)+SUMIF(⑪ZEN工程入力!$W$6:$W$35,$C105,⑪ZEN工程入力!$AI$6:$AI$35)+SUMIF(⑫ミキサー工程入力!$R$6:$R$65,$C105,⑫ミキサー工程入力!$AD$6:$AD$65)+SUMIF(⑫ミキサー工程入力!$S$6:$S$65,$C105,⑫ミキサー工程入力!$AE$6:$AE$65)+SUMIF(⑫ミキサー工程入力!$T$6:$T$65,$C105,⑫ミキサー工程入力!$AF$6:$AF$65)+SUMIF(⑫ミキサー工程入力!$U$6:$U$65,$C105,⑫ミキサー工程入力!$AG$6:$AG$65)+SUMIF(⑫ミキサー工程入力!$V$6:$V$65,$C105,⑫ミキサー工程入力!$AH$6:$AH$65)+SUMIF(⑫ミキサー工程入力!$W$6:$W$65,$C105,⑫ミキサー工程入力!$AI$6:$AI$65)+SUMIF(⑬計量工程入力!$R$6:$R$65,$C105,⑬計量工程入力!$AD$6:$AD$65)+SUMIF(⑬計量工程入力!$S$6:$S$65,$C105,⑬計量工程入力!$AE$6:$AE$65)+SUMIF(⑬計量工程入力!$T$6:$T$65,$C105,⑬計量工程入力!$AF$6:$AF$65)+SUMIF(⑬計量工程入力!$U$6:$U$65,$C105,⑬計量工程入力!$AG$6:$AG$65)+SUMIF(⑬計量工程入力!$V$6:$V$65,$C105,⑬計量工程入力!$AH$6:$AH$65)+SUMIF(⑬計量工程入力!$W$6:$W$65,$C105,⑬計量工程入力!$AI$6:$AI$65)+SUMIF(⑭手動工程入力!$R$6:$R$47,$C105,⑭手動工程入力!$AD$6:$AD$47)+SUMIF(⑭手動工程入力!$S$6:$S$47,$C105,⑭手動工程入力!$AE$6:$AE$47)+SUMIF(⑭手動工程入力!$T$6:$T$47,$C105,⑭手動工程入力!$AF$6:$AF$47)+SUMIF(⑭手動工程入力!$U$6:$U$47,$C105,⑭手動工程入力!$AG$6:$AG$47)+SUMIF(⑭手動工程入力!$V$6:$V$47,$C105,⑭手動工程入力!$AH$6:$AH$47)+SUMIF(⑭手動工程入力!$W$6:$W$47,$C105,⑭手動工程入力!$AI$6:$AI$47)</f>
        <v/>
      </c>
      <c r="I105" s="393">
        <f>IF($F105&gt;0,$H105/$F105,"")</f>
        <v/>
      </c>
      <c r="J105" s="605">
        <f>IFERROR(INDEX(商品原価!$B$4:$B$112,MATCH(SUBSTITUTE(SUBSTITUTE(SUBSTITUTE(SUBSTITUTE(SUBSTITUTE(SUBSTITUTE(SUBSTITUTE(SUBSTITUTE(SUBSTITUTE(SUBSTITUTE(ASC($C105),"①","1"),"②","2"),"③","3"),"④","4"),"⑤","5"),"⑥","6"),"⑦","7"),"⑧","8"),"⑨","9")," ",""),商品原価!$C$4:$C$112,0)),"")</f>
        <v/>
      </c>
      <c r="K105" s="542">
        <f>IF(ISNUMBER($J105),$J105*④前提設定!$B$21,"")</f>
        <v/>
      </c>
      <c r="L105" s="605">
        <f>IF(AND(NOT(ISNUMBER($J105)),NOT(ISNUMBER($K105))),"",N($J105)+N($K105))</f>
        <v/>
      </c>
      <c r="M105" s="605">
        <f>IFERROR(INDEX(商品原価!$E$4:$E$112,MATCH(SUBSTITUTE(SUBSTITUTE(SUBSTITUTE(SUBSTITUTE(SUBSTITUTE(SUBSTITUTE(SUBSTITUTE(SUBSTITUTE(SUBSTITUTE(SUBSTITUTE(ASC($C105),"①","1"),"②","2"),"③","3"),"④","4"),"⑤","5"),"⑥","6"),"⑦","7"),"⑧","8"),"⑨","9")," ",""),商品原価!$C$4:$C$112,0)),"")</f>
        <v/>
      </c>
      <c r="N105" s="605">
        <f>IF(AND(ISNUMBER($M105),ISNUMBER($L105)),$M105-$L105-N($W105),"")</f>
        <v/>
      </c>
      <c r="O105" s="606">
        <f>IF(AND(ISNUMBER($N105),ISNUMBER($M105),$M105&gt;0),$N105/$M105,"")</f>
        <v/>
      </c>
      <c r="P105" s="398">
        <f>COUNTIF(②釜工程入力!$R$5:$R$117,$C105)+COUNTIF(②釜工程入力!$S$5:$S$117,$C105)+COUNTIF(②釜工程入力!$T$5:$T$117,$C105)+COUNTIF(②釜工程入力!$U$5:$U$117,$C105)+COUNTIF(②釜工程入力!$V$5:$V$117,$C105)+COUNTIF(②釜工程入力!$W$5:$W$117,$C105)+COUNTIF(③スチコン工程入力!$R$5:$R$152,$C105)+COUNTIF(③スチコン工程入力!$S$5:$S$152,$C105)+COUNTIF(③スチコン工程入力!$T$5:$T$152,$C105)+COUNTIF(③スチコン工程入力!$U$5:$U$152,$C105)+COUNTIF(③スチコン工程入力!$V$5:$V$152,$C105)+COUNTIF(③スチコン工程入力!$W$5:$W$152,$C105)+COUNTIF(⑩盛付梱包工程入力!$R$5:$R$300,$C105)+COUNTIF(⑩盛付梱包工程入力!$S$5:$S$300,$C105)+COUNTIF(⑩盛付梱包工程入力!$T$5:$T$300,$C105)+COUNTIF(⑩盛付梱包工程入力!$U$5:$U$300,$C105)+COUNTIF(⑩盛付梱包工程入力!$V$5:$V$300,$C105)+COUNTIF(⑩盛付梱包工程入力!$W$5:$W$300,$C105)+COUNTIF(⑪ZEN工程入力!$R$6:$R$35,$C105)+COUNTIF(⑪ZEN工程入力!$S$6:$S$35,$C105)+COUNTIF(⑪ZEN工程入力!$T$6:$T$35,$C105)+COUNTIF(⑪ZEN工程入力!$U$6:$U$35,$C105)+COUNTIF(⑪ZEN工程入力!$V$6:$V$35,$C105)+COUNTIF(⑪ZEN工程入力!$W$6:$W$35,$C105)+COUNTIF(⑫ミキサー工程入力!$R$6:$R$65,$C105)+COUNTIF(⑫ミキサー工程入力!$S$6:$S$65,$C105)+COUNTIF(⑫ミキサー工程入力!$T$6:$T$65,$C105)+COUNTIF(⑫ミキサー工程入力!$U$6:$U$65,$C105)+COUNTIF(⑫ミキサー工程入力!$V$6:$V$65,$C105)+COUNTIF(⑫ミキサー工程入力!$W$6:$W$65,$C105)+COUNTIF(⑬計量工程入力!$R$6:$R$65,$C105)+COUNTIF(⑬計量工程入力!$S$6:$S$65,$C105)+COUNTIF(⑬計量工程入力!$T$6:$T$65,$C105)+COUNTIF(⑬計量工程入力!$U$6:$U$65,$C105)+COUNTIF(⑬計量工程入力!$V$6:$V$65,$C105)+COUNTIF(⑬計量工程入力!$W$6:$W$65,$C105)+COUNTIF(⑭手動工程入力!$R$6:$R$47,$C105)+COUNTIF(⑭手動工程入力!$S$6:$S$47,$C105)+COUNTIF(⑭手動工程入力!$T$6:$T$47,$C105)+COUNTIF(⑭手動工程入力!$U$6:$U$47,$C105)+COUNTIF(⑭手動工程入力!$V$6:$V$47,$C105)+COUNTIF(⑭手動工程入力!$W$6:$W$47,$C105)</f>
        <v/>
      </c>
      <c r="Q105" s="392" t="inlineStr">
        <is>
          <t>⑩盛付梱包 40行目に入力欄を作成（工程記録なし）</t>
        </is>
      </c>
      <c r="R105" s="393" t="n"/>
      <c r="S105" s="393" t="n"/>
      <c r="T105" s="393" t="n"/>
      <c r="U105" s="393" t="n"/>
      <c r="V105" s="605">
        <f>IFERROR(INDEX(KIT別作業時間!$D$4:$D$27,MATCH(SUBSTITUTE(SUBSTITUTE(SUBSTITUTE(SUBSTITUTE(SUBSTITUTE(SUBSTITUTE(SUBSTITUTE(SUBSTITUTE(SUBSTITUTE(SUBSTITUTE(ASC($C105),"①","1"),"②","2"),"③","3"),"④","4"),"⑤","5"),"⑥","6"),"⑦","7"),"⑧","8"),"⑨","9")," ",""),KIT別作業時間!$C$4:$C$27,0)),"")</f>
        <v/>
      </c>
      <c r="W105" s="393">
        <f>IF(AND(ISNUMBER($I105),$I105&gt;0),$I105,IF(ISNUMBER($V105),$V105,IF(ISNUMBER($R105),$R105,"")))</f>
        <v/>
      </c>
      <c r="X105" s="393">
        <f>IF(AND(ISNUMBER($I105),$I105&gt;0),"今回の工程実績",IF(ISNUMBER($V105),"KIT作業時間",IF(ISNUMBER($R105),"前回資料","")))</f>
        <v/>
      </c>
      <c r="Y105" s="398" t="n">
        <v>1307</v>
      </c>
      <c r="Z105" s="398">
        <f>IF(AND(ISNUMBER($W105),ISNUMBER($Y105)),$W105*$Y105,"")</f>
        <v/>
      </c>
      <c r="AA105" s="393" t="n"/>
    </row>
    <row r="106">
      <c r="A106" s="392" t="n">
        <v>102</v>
      </c>
      <c r="B106" s="392" t="n"/>
      <c r="C106" s="392" t="inlineStr">
        <is>
          <t>素材を感じる焼き芋ロール</t>
        </is>
      </c>
      <c r="D106" s="398">
        <f>SUMIF(⑩盛付梱包工程入力!$R$5:$R$300,$C106,⑩盛付梱包工程入力!$AC$5:$AC$300)+SUMIF(⑩盛付梱包工程入力!$S$5:$S$300,$C106,⑩盛付梱包工程入力!$AC$5:$AC$300)+SUMIF(⑩盛付梱包工程入力!$T$5:$T$300,$C106,⑩盛付梱包工程入力!$AC$5:$AC$300)+SUMIF(⑩盛付梱包工程入力!$U$5:$U$300,$C106,⑩盛付梱包工程入力!$AC$5:$AC$300)+SUMIF(⑩盛付梱包工程入力!$V$5:$V$300,$C106,⑩盛付梱包工程入力!$AC$5:$AC$300)+SUMIF(⑩盛付梱包工程入力!$W$5:$W$300,$C106,⑩盛付梱包工程入力!$AC$5:$AC$300)</f>
        <v/>
      </c>
      <c r="E106" s="398" t="n">
        <v>291</v>
      </c>
      <c r="F106" s="398">
        <f>IF(N($E106)&gt;0,$E106,$D106)</f>
        <v/>
      </c>
      <c r="G106" s="393" t="n">
        <v>94.63496426608026</v>
      </c>
      <c r="H106" s="393">
        <f>SUMIF(②釜工程入力!$R$5:$R$117,$C106,②釜工程入力!$AD$5:$AD$117)+SUMIF(②釜工程入力!$S$5:$S$117,$C106,②釜工程入力!$AE$5:$AE$117)+SUMIF(②釜工程入力!$T$5:$T$117,$C106,②釜工程入力!$AF$5:$AF$117)+SUMIF(②釜工程入力!$U$5:$U$117,$C106,②釜工程入力!$AG$5:$AG$117)+SUMIF(②釜工程入力!$V$5:$V$117,$C106,②釜工程入力!$AH$5:$AH$117)+SUMIF(②釜工程入力!$W$5:$W$117,$C106,②釜工程入力!$AI$5:$AI$117)+SUMIF(③スチコン工程入力!$R$5:$R$152,$C106,③スチコン工程入力!$AD$5:$AD$152)+SUMIF(③スチコン工程入力!$S$5:$S$152,$C106,③スチコン工程入力!$AE$5:$AE$152)+SUMIF(③スチコン工程入力!$T$5:$T$152,$C106,③スチコン工程入力!$AF$5:$AF$152)+SUMIF(③スチコン工程入力!$U$5:$U$152,$C106,③スチコン工程入力!$AG$5:$AG$152)+SUMIF(③スチコン工程入力!$V$5:$V$152,$C106,③スチコン工程入力!$AH$5:$AH$152)+SUMIF(③スチコン工程入力!$W$5:$W$152,$C106,③スチコン工程入力!$AI$5:$AI$152)+SUMIF(⑩盛付梱包工程入力!$R$5:$R$300,$C106,⑩盛付梱包工程入力!$AD$5:$AD$300)+SUMIF(⑩盛付梱包工程入力!$S$5:$S$300,$C106,⑩盛付梱包工程入力!$AE$5:$AE$300)+SUMIF(⑩盛付梱包工程入力!$T$5:$T$300,$C106,⑩盛付梱包工程入力!$AF$5:$AF$300)+SUMIF(⑩盛付梱包工程入力!$U$5:$U$300,$C106,⑩盛付梱包工程入力!$AG$5:$AG$300)+SUMIF(⑩盛付梱包工程入力!$V$5:$V$300,$C106,⑩盛付梱包工程入力!$AH$5:$AH$300)+SUMIF(⑩盛付梱包工程入力!$W$5:$W$300,$C106,⑩盛付梱包工程入力!$AI$5:$AI$300)+SUMIF(⑪ZEN工程入力!$R$6:$R$35,$C106,⑪ZEN工程入力!$AD$6:$AD$35)+SUMIF(⑪ZEN工程入力!$S$6:$S$35,$C106,⑪ZEN工程入力!$AE$6:$AE$35)+SUMIF(⑪ZEN工程入力!$T$6:$T$35,$C106,⑪ZEN工程入力!$AF$6:$AF$35)+SUMIF(⑪ZEN工程入力!$U$6:$U$35,$C106,⑪ZEN工程入力!$AG$6:$AG$35)+SUMIF(⑪ZEN工程入力!$V$6:$V$35,$C106,⑪ZEN工程入力!$AH$6:$AH$35)+SUMIF(⑪ZEN工程入力!$W$6:$W$35,$C106,⑪ZEN工程入力!$AI$6:$AI$35)+SUMIF(⑫ミキサー工程入力!$R$6:$R$65,$C106,⑫ミキサー工程入力!$AD$6:$AD$65)+SUMIF(⑫ミキサー工程入力!$S$6:$S$65,$C106,⑫ミキサー工程入力!$AE$6:$AE$65)+SUMIF(⑫ミキサー工程入力!$T$6:$T$65,$C106,⑫ミキサー工程入力!$AF$6:$AF$65)+SUMIF(⑫ミキサー工程入力!$U$6:$U$65,$C106,⑫ミキサー工程入力!$AG$6:$AG$65)+SUMIF(⑫ミキサー工程入力!$V$6:$V$65,$C106,⑫ミキサー工程入力!$AH$6:$AH$65)+SUMIF(⑫ミキサー工程入力!$W$6:$W$65,$C106,⑫ミキサー工程入力!$AI$6:$AI$65)+SUMIF(⑬計量工程入力!$R$6:$R$65,$C106,⑬計量工程入力!$AD$6:$AD$65)+SUMIF(⑬計量工程入力!$S$6:$S$65,$C106,⑬計量工程入力!$AE$6:$AE$65)+SUMIF(⑬計量工程入力!$T$6:$T$65,$C106,⑬計量工程入力!$AF$6:$AF$65)+SUMIF(⑬計量工程入力!$U$6:$U$65,$C106,⑬計量工程入力!$AG$6:$AG$65)+SUMIF(⑬計量工程入力!$V$6:$V$65,$C106,⑬計量工程入力!$AH$6:$AH$65)+SUMIF(⑬計量工程入力!$W$6:$W$65,$C106,⑬計量工程入力!$AI$6:$AI$65)+SUMIF(⑭手動工程入力!$R$6:$R$47,$C106,⑭手動工程入力!$AD$6:$AD$47)+SUMIF(⑭手動工程入力!$S$6:$S$47,$C106,⑭手動工程入力!$AE$6:$AE$47)+SUMIF(⑭手動工程入力!$T$6:$T$47,$C106,⑭手動工程入力!$AF$6:$AF$47)+SUMIF(⑭手動工程入力!$U$6:$U$47,$C106,⑭手動工程入力!$AG$6:$AG$47)+SUMIF(⑭手動工程入力!$V$6:$V$47,$C106,⑭手動工程入力!$AH$6:$AH$47)+SUMIF(⑭手動工程入力!$W$6:$W$47,$C106,⑭手動工程入力!$AI$6:$AI$47)</f>
        <v/>
      </c>
      <c r="I106" s="393">
        <f>IF($F106&gt;0,$H106/$F106,"")</f>
        <v/>
      </c>
      <c r="J106" s="605">
        <f>IFERROR(INDEX(商品原価!$B$4:$B$112,MATCH(SUBSTITUTE(SUBSTITUTE(SUBSTITUTE(SUBSTITUTE(SUBSTITUTE(SUBSTITUTE(SUBSTITUTE(SUBSTITUTE(SUBSTITUTE(SUBSTITUTE(ASC($C106),"①","1"),"②","2"),"③","3"),"④","4"),"⑤","5"),"⑥","6"),"⑦","7"),"⑧","8"),"⑨","9")," ",""),商品原価!$C$4:$C$112,0)),"")</f>
        <v/>
      </c>
      <c r="K106" s="542">
        <f>IF(ISNUMBER($J106),$J106*④前提設定!$B$21,"")</f>
        <v/>
      </c>
      <c r="L106" s="605">
        <f>IF(AND(NOT(ISNUMBER($J106)),NOT(ISNUMBER($K106))),"",N($J106)+N($K106))</f>
        <v/>
      </c>
      <c r="M106" s="605">
        <f>IFERROR(INDEX(商品原価!$E$4:$E$112,MATCH(SUBSTITUTE(SUBSTITUTE(SUBSTITUTE(SUBSTITUTE(SUBSTITUTE(SUBSTITUTE(SUBSTITUTE(SUBSTITUTE(SUBSTITUTE(SUBSTITUTE(ASC($C106),"①","1"),"②","2"),"③","3"),"④","4"),"⑤","5"),"⑥","6"),"⑦","7"),"⑧","8"),"⑨","9")," ",""),商品原価!$C$4:$C$112,0)),"")</f>
        <v/>
      </c>
      <c r="N106" s="605">
        <f>IF(AND(ISNUMBER($M106),ISNUMBER($L106)),$M106-$L106-N($W106),"")</f>
        <v/>
      </c>
      <c r="O106" s="606">
        <f>IF(AND(ISNUMBER($N106),ISNUMBER($M106),$M106&gt;0),$N106/$M106,"")</f>
        <v/>
      </c>
      <c r="P106" s="398">
        <f>COUNTIF(②釜工程入力!$R$5:$R$117,$C106)+COUNTIF(②釜工程入力!$S$5:$S$117,$C106)+COUNTIF(②釜工程入力!$T$5:$T$117,$C106)+COUNTIF(②釜工程入力!$U$5:$U$117,$C106)+COUNTIF(②釜工程入力!$V$5:$V$117,$C106)+COUNTIF(②釜工程入力!$W$5:$W$117,$C106)+COUNTIF(③スチコン工程入力!$R$5:$R$152,$C106)+COUNTIF(③スチコン工程入力!$S$5:$S$152,$C106)+COUNTIF(③スチコン工程入力!$T$5:$T$152,$C106)+COUNTIF(③スチコン工程入力!$U$5:$U$152,$C106)+COUNTIF(③スチコン工程入力!$V$5:$V$152,$C106)+COUNTIF(③スチコン工程入力!$W$5:$W$152,$C106)+COUNTIF(⑩盛付梱包工程入力!$R$5:$R$300,$C106)+COUNTIF(⑩盛付梱包工程入力!$S$5:$S$300,$C106)+COUNTIF(⑩盛付梱包工程入力!$T$5:$T$300,$C106)+COUNTIF(⑩盛付梱包工程入力!$U$5:$U$300,$C106)+COUNTIF(⑩盛付梱包工程入力!$V$5:$V$300,$C106)+COUNTIF(⑩盛付梱包工程入力!$W$5:$W$300,$C106)+COUNTIF(⑪ZEN工程入力!$R$6:$R$35,$C106)+COUNTIF(⑪ZEN工程入力!$S$6:$S$35,$C106)+COUNTIF(⑪ZEN工程入力!$T$6:$T$35,$C106)+COUNTIF(⑪ZEN工程入力!$U$6:$U$35,$C106)+COUNTIF(⑪ZEN工程入力!$V$6:$V$35,$C106)+COUNTIF(⑪ZEN工程入力!$W$6:$W$35,$C106)+COUNTIF(⑫ミキサー工程入力!$R$6:$R$65,$C106)+COUNTIF(⑫ミキサー工程入力!$S$6:$S$65,$C106)+COUNTIF(⑫ミキサー工程入力!$T$6:$T$65,$C106)+COUNTIF(⑫ミキサー工程入力!$U$6:$U$65,$C106)+COUNTIF(⑫ミキサー工程入力!$V$6:$V$65,$C106)+COUNTIF(⑫ミキサー工程入力!$W$6:$W$65,$C106)+COUNTIF(⑬計量工程入力!$R$6:$R$65,$C106)+COUNTIF(⑬計量工程入力!$S$6:$S$65,$C106)+COUNTIF(⑬計量工程入力!$T$6:$T$65,$C106)+COUNTIF(⑬計量工程入力!$U$6:$U$65,$C106)+COUNTIF(⑬計量工程入力!$V$6:$V$65,$C106)+COUNTIF(⑬計量工程入力!$W$6:$W$65,$C106)+COUNTIF(⑭手動工程入力!$R$6:$R$47,$C106)+COUNTIF(⑭手動工程入力!$S$6:$S$47,$C106)+COUNTIF(⑭手動工程入力!$T$6:$T$47,$C106)+COUNTIF(⑭手動工程入力!$U$6:$U$47,$C106)+COUNTIF(⑭手動工程入力!$V$6:$V$47,$C106)+COUNTIF(⑭手動工程入力!$W$6:$W$47,$C106)</f>
        <v/>
      </c>
      <c r="Q106" s="392" t="inlineStr">
        <is>
          <t>⑩盛付梱包 33行目に入力欄を作成（工程記録なし）</t>
        </is>
      </c>
      <c r="R106" s="393" t="n"/>
      <c r="S106" s="393" t="n"/>
      <c r="T106" s="393" t="n"/>
      <c r="U106" s="393" t="n"/>
      <c r="V106" s="605">
        <f>IFERROR(INDEX(KIT別作業時間!$D$4:$D$27,MATCH(SUBSTITUTE(SUBSTITUTE(SUBSTITUTE(SUBSTITUTE(SUBSTITUTE(SUBSTITUTE(SUBSTITUTE(SUBSTITUTE(SUBSTITUTE(SUBSTITUTE(ASC($C106),"①","1"),"②","2"),"③","3"),"④","4"),"⑤","5"),"⑥","6"),"⑦","7"),"⑧","8"),"⑨","9")," ",""),KIT別作業時間!$C$4:$C$27,0)),"")</f>
        <v/>
      </c>
      <c r="W106" s="393">
        <f>IF(AND(ISNUMBER($I106),$I106&gt;0),$I106,IF(ISNUMBER($V106),$V106,IF(ISNUMBER($R106),$R106,"")))</f>
        <v/>
      </c>
      <c r="X106" s="393">
        <f>IF(AND(ISNUMBER($I106),$I106&gt;0),"今回の工程実績",IF(ISNUMBER($V106),"KIT作業時間",IF(ISNUMBER($R106),"前回資料","")))</f>
        <v/>
      </c>
      <c r="Y106" s="398" t="n">
        <v>1032</v>
      </c>
      <c r="Z106" s="398">
        <f>IF(AND(ISNUMBER($W106),ISNUMBER($Y106)),$W106*$Y106,"")</f>
        <v/>
      </c>
      <c r="AA106" s="393" t="n"/>
    </row>
    <row r="107">
      <c r="A107" s="392" t="n">
        <v>103</v>
      </c>
      <c r="B107" s="392" t="n"/>
      <c r="C107" s="392" t="inlineStr">
        <is>
          <t>Ｃパキとろっお芋ティラミス</t>
        </is>
      </c>
      <c r="D107" s="398">
        <f>SUMIF(⑩盛付梱包工程入力!$R$5:$R$300,$C107,⑩盛付梱包工程入力!$AC$5:$AC$300)+SUMIF(⑩盛付梱包工程入力!$S$5:$S$300,$C107,⑩盛付梱包工程入力!$AC$5:$AC$300)+SUMIF(⑩盛付梱包工程入力!$T$5:$T$300,$C107,⑩盛付梱包工程入力!$AC$5:$AC$300)+SUMIF(⑩盛付梱包工程入力!$U$5:$U$300,$C107,⑩盛付梱包工程入力!$AC$5:$AC$300)+SUMIF(⑩盛付梱包工程入力!$V$5:$V$300,$C107,⑩盛付梱包工程入力!$AC$5:$AC$300)+SUMIF(⑩盛付梱包工程入力!$W$5:$W$300,$C107,⑩盛付梱包工程入力!$AC$5:$AC$300)</f>
        <v/>
      </c>
      <c r="E107" s="398" t="n">
        <v>3</v>
      </c>
      <c r="F107" s="398">
        <f>IF(N($E107)&gt;0,$E107,$D107)</f>
        <v/>
      </c>
      <c r="G107" s="393" t="n">
        <v>54.33333333333334</v>
      </c>
      <c r="H107" s="393">
        <f>SUMIF(②釜工程入力!$R$5:$R$117,$C107,②釜工程入力!$AD$5:$AD$117)+SUMIF(②釜工程入力!$S$5:$S$117,$C107,②釜工程入力!$AE$5:$AE$117)+SUMIF(②釜工程入力!$T$5:$T$117,$C107,②釜工程入力!$AF$5:$AF$117)+SUMIF(②釜工程入力!$U$5:$U$117,$C107,②釜工程入力!$AG$5:$AG$117)+SUMIF(②釜工程入力!$V$5:$V$117,$C107,②釜工程入力!$AH$5:$AH$117)+SUMIF(②釜工程入力!$W$5:$W$117,$C107,②釜工程入力!$AI$5:$AI$117)+SUMIF(③スチコン工程入力!$R$5:$R$152,$C107,③スチコン工程入力!$AD$5:$AD$152)+SUMIF(③スチコン工程入力!$S$5:$S$152,$C107,③スチコン工程入力!$AE$5:$AE$152)+SUMIF(③スチコン工程入力!$T$5:$T$152,$C107,③スチコン工程入力!$AF$5:$AF$152)+SUMIF(③スチコン工程入力!$U$5:$U$152,$C107,③スチコン工程入力!$AG$5:$AG$152)+SUMIF(③スチコン工程入力!$V$5:$V$152,$C107,③スチコン工程入力!$AH$5:$AH$152)+SUMIF(③スチコン工程入力!$W$5:$W$152,$C107,③スチコン工程入力!$AI$5:$AI$152)+SUMIF(⑩盛付梱包工程入力!$R$5:$R$300,$C107,⑩盛付梱包工程入力!$AD$5:$AD$300)+SUMIF(⑩盛付梱包工程入力!$S$5:$S$300,$C107,⑩盛付梱包工程入力!$AE$5:$AE$300)+SUMIF(⑩盛付梱包工程入力!$T$5:$T$300,$C107,⑩盛付梱包工程入力!$AF$5:$AF$300)+SUMIF(⑩盛付梱包工程入力!$U$5:$U$300,$C107,⑩盛付梱包工程入力!$AG$5:$AG$300)+SUMIF(⑩盛付梱包工程入力!$V$5:$V$300,$C107,⑩盛付梱包工程入力!$AH$5:$AH$300)+SUMIF(⑩盛付梱包工程入力!$W$5:$W$300,$C107,⑩盛付梱包工程入力!$AI$5:$AI$300)+SUMIF(⑪ZEN工程入力!$R$6:$R$35,$C107,⑪ZEN工程入力!$AD$6:$AD$35)+SUMIF(⑪ZEN工程入力!$S$6:$S$35,$C107,⑪ZEN工程入力!$AE$6:$AE$35)+SUMIF(⑪ZEN工程入力!$T$6:$T$35,$C107,⑪ZEN工程入力!$AF$6:$AF$35)+SUMIF(⑪ZEN工程入力!$U$6:$U$35,$C107,⑪ZEN工程入力!$AG$6:$AG$35)+SUMIF(⑪ZEN工程入力!$V$6:$V$35,$C107,⑪ZEN工程入力!$AH$6:$AH$35)+SUMIF(⑪ZEN工程入力!$W$6:$W$35,$C107,⑪ZEN工程入力!$AI$6:$AI$35)+SUMIF(⑫ミキサー工程入力!$R$6:$R$65,$C107,⑫ミキサー工程入力!$AD$6:$AD$65)+SUMIF(⑫ミキサー工程入力!$S$6:$S$65,$C107,⑫ミキサー工程入力!$AE$6:$AE$65)+SUMIF(⑫ミキサー工程入力!$T$6:$T$65,$C107,⑫ミキサー工程入力!$AF$6:$AF$65)+SUMIF(⑫ミキサー工程入力!$U$6:$U$65,$C107,⑫ミキサー工程入力!$AG$6:$AG$65)+SUMIF(⑫ミキサー工程入力!$V$6:$V$65,$C107,⑫ミキサー工程入力!$AH$6:$AH$65)+SUMIF(⑫ミキサー工程入力!$W$6:$W$65,$C107,⑫ミキサー工程入力!$AI$6:$AI$65)+SUMIF(⑬計量工程入力!$R$6:$R$65,$C107,⑬計量工程入力!$AD$6:$AD$65)+SUMIF(⑬計量工程入力!$S$6:$S$65,$C107,⑬計量工程入力!$AE$6:$AE$65)+SUMIF(⑬計量工程入力!$T$6:$T$65,$C107,⑬計量工程入力!$AF$6:$AF$65)+SUMIF(⑬計量工程入力!$U$6:$U$65,$C107,⑬計量工程入力!$AG$6:$AG$65)+SUMIF(⑬計量工程入力!$V$6:$V$65,$C107,⑬計量工程入力!$AH$6:$AH$65)+SUMIF(⑬計量工程入力!$W$6:$W$65,$C107,⑬計量工程入力!$AI$6:$AI$65)+SUMIF(⑭手動工程入力!$R$6:$R$47,$C107,⑭手動工程入力!$AD$6:$AD$47)+SUMIF(⑭手動工程入力!$S$6:$S$47,$C107,⑭手動工程入力!$AE$6:$AE$47)+SUMIF(⑭手動工程入力!$T$6:$T$47,$C107,⑭手動工程入力!$AF$6:$AF$47)+SUMIF(⑭手動工程入力!$U$6:$U$47,$C107,⑭手動工程入力!$AG$6:$AG$47)+SUMIF(⑭手動工程入力!$V$6:$V$47,$C107,⑭手動工程入力!$AH$6:$AH$47)+SUMIF(⑭手動工程入力!$W$6:$W$47,$C107,⑭手動工程入力!$AI$6:$AI$47)</f>
        <v/>
      </c>
      <c r="I107" s="393">
        <f>IF($F107&gt;0,$H107/$F107,"")</f>
        <v/>
      </c>
      <c r="J107" s="605">
        <f>IFERROR(INDEX(商品原価!$B$4:$B$112,MATCH(SUBSTITUTE(SUBSTITUTE(SUBSTITUTE(SUBSTITUTE(SUBSTITUTE(SUBSTITUTE(SUBSTITUTE(SUBSTITUTE(SUBSTITUTE(SUBSTITUTE(ASC($C107),"①","1"),"②","2"),"③","3"),"④","4"),"⑤","5"),"⑥","6"),"⑦","7"),"⑧","8"),"⑨","9")," ",""),商品原価!$C$4:$C$112,0)),"")</f>
        <v/>
      </c>
      <c r="K107" s="542">
        <f>IF(ISNUMBER($J107),$J107*④前提設定!$B$21,"")</f>
        <v/>
      </c>
      <c r="L107" s="605">
        <f>IF(AND(NOT(ISNUMBER($J107)),NOT(ISNUMBER($K107))),"",N($J107)+N($K107))</f>
        <v/>
      </c>
      <c r="M107" s="605">
        <f>IFERROR(INDEX(商品原価!$E$4:$E$112,MATCH(SUBSTITUTE(SUBSTITUTE(SUBSTITUTE(SUBSTITUTE(SUBSTITUTE(SUBSTITUTE(SUBSTITUTE(SUBSTITUTE(SUBSTITUTE(SUBSTITUTE(ASC($C107),"①","1"),"②","2"),"③","3"),"④","4"),"⑤","5"),"⑥","6"),"⑦","7"),"⑧","8"),"⑨","9")," ",""),商品原価!$C$4:$C$112,0)),"")</f>
        <v/>
      </c>
      <c r="N107" s="605">
        <f>IF(AND(ISNUMBER($M107),ISNUMBER($L107)),$M107-$L107-N($W107),"")</f>
        <v/>
      </c>
      <c r="O107" s="606">
        <f>IF(AND(ISNUMBER($N107),ISNUMBER($M107),$M107&gt;0),$N107/$M107,"")</f>
        <v/>
      </c>
      <c r="P107" s="398">
        <f>COUNTIF(②釜工程入力!$R$5:$R$117,$C107)+COUNTIF(②釜工程入力!$S$5:$S$117,$C107)+COUNTIF(②釜工程入力!$T$5:$T$117,$C107)+COUNTIF(②釜工程入力!$U$5:$U$117,$C107)+COUNTIF(②釜工程入力!$V$5:$V$117,$C107)+COUNTIF(②釜工程入力!$W$5:$W$117,$C107)+COUNTIF(③スチコン工程入力!$R$5:$R$152,$C107)+COUNTIF(③スチコン工程入力!$S$5:$S$152,$C107)+COUNTIF(③スチコン工程入力!$T$5:$T$152,$C107)+COUNTIF(③スチコン工程入力!$U$5:$U$152,$C107)+COUNTIF(③スチコン工程入力!$V$5:$V$152,$C107)+COUNTIF(③スチコン工程入力!$W$5:$W$152,$C107)+COUNTIF(⑩盛付梱包工程入力!$R$5:$R$300,$C107)+COUNTIF(⑩盛付梱包工程入力!$S$5:$S$300,$C107)+COUNTIF(⑩盛付梱包工程入力!$T$5:$T$300,$C107)+COUNTIF(⑩盛付梱包工程入力!$U$5:$U$300,$C107)+COUNTIF(⑩盛付梱包工程入力!$V$5:$V$300,$C107)+COUNTIF(⑩盛付梱包工程入力!$W$5:$W$300,$C107)+COUNTIF(⑪ZEN工程入力!$R$6:$R$35,$C107)+COUNTIF(⑪ZEN工程入力!$S$6:$S$35,$C107)+COUNTIF(⑪ZEN工程入力!$T$6:$T$35,$C107)+COUNTIF(⑪ZEN工程入力!$U$6:$U$35,$C107)+COUNTIF(⑪ZEN工程入力!$V$6:$V$35,$C107)+COUNTIF(⑪ZEN工程入力!$W$6:$W$35,$C107)+COUNTIF(⑫ミキサー工程入力!$R$6:$R$65,$C107)+COUNTIF(⑫ミキサー工程入力!$S$6:$S$65,$C107)+COUNTIF(⑫ミキサー工程入力!$T$6:$T$65,$C107)+COUNTIF(⑫ミキサー工程入力!$U$6:$U$65,$C107)+COUNTIF(⑫ミキサー工程入力!$V$6:$V$65,$C107)+COUNTIF(⑫ミキサー工程入力!$W$6:$W$65,$C107)+COUNTIF(⑬計量工程入力!$R$6:$R$65,$C107)+COUNTIF(⑬計量工程入力!$S$6:$S$65,$C107)+COUNTIF(⑬計量工程入力!$T$6:$T$65,$C107)+COUNTIF(⑬計量工程入力!$U$6:$U$65,$C107)+COUNTIF(⑬計量工程入力!$V$6:$V$65,$C107)+COUNTIF(⑬計量工程入力!$W$6:$W$65,$C107)+COUNTIF(⑭手動工程入力!$R$6:$R$47,$C107)+COUNTIF(⑭手動工程入力!$S$6:$S$47,$C107)+COUNTIF(⑭手動工程入力!$T$6:$T$47,$C107)+COUNTIF(⑭手動工程入力!$U$6:$U$47,$C107)+COUNTIF(⑭手動工程入力!$V$6:$V$47,$C107)+COUNTIF(⑭手動工程入力!$W$6:$W$47,$C107)</f>
        <v/>
      </c>
      <c r="Q107" s="392" t="inlineStr">
        <is>
          <t>⑩盛付梱包 73行目に入力欄を作成（工程記録なし）</t>
        </is>
      </c>
      <c r="R107" s="393" t="n"/>
      <c r="S107" s="393" t="n"/>
      <c r="T107" s="393" t="n"/>
      <c r="U107" s="393" t="n"/>
      <c r="V107" s="605">
        <f>IFERROR(INDEX(KIT別作業時間!$D$4:$D$27,MATCH(SUBSTITUTE(SUBSTITUTE(SUBSTITUTE(SUBSTITUTE(SUBSTITUTE(SUBSTITUTE(SUBSTITUTE(SUBSTITUTE(SUBSTITUTE(SUBSTITUTE(ASC($C107),"①","1"),"②","2"),"③","3"),"④","4"),"⑤","5"),"⑥","6"),"⑦","7"),"⑧","8"),"⑨","9")," ",""),KIT別作業時間!$C$4:$C$27,0)),"")</f>
        <v/>
      </c>
      <c r="W107" s="393">
        <f>IF(AND(ISNUMBER($I107),$I107&gt;0),$I107,IF(ISNUMBER($V107),$V107,IF(ISNUMBER($R107),$R107,"")))</f>
        <v/>
      </c>
      <c r="X107" s="393">
        <f>IF(AND(ISNUMBER($I107),$I107&gt;0),"今回の工程実績",IF(ISNUMBER($V107),"KIT作業時間",IF(ISNUMBER($R107),"前回資料","")))</f>
        <v/>
      </c>
      <c r="Y107" s="398" t="n">
        <v>3</v>
      </c>
      <c r="Z107" s="398">
        <f>IF(AND(ISNUMBER($W107),ISNUMBER($Y107)),$W107*$Y107,"")</f>
        <v/>
      </c>
      <c r="AA107" s="393" t="n"/>
    </row>
    <row r="108">
      <c r="A108" s="392" t="n">
        <v>104</v>
      </c>
      <c r="B108" s="392" t="n"/>
      <c r="C108" s="392" t="inlineStr">
        <is>
          <t>Ｃお芋ムースのパンナコッタ</t>
        </is>
      </c>
      <c r="D108" s="398">
        <f>SUMIF(⑩盛付梱包工程入力!$R$5:$R$300,$C108,⑩盛付梱包工程入力!$AC$5:$AC$300)+SUMIF(⑩盛付梱包工程入力!$S$5:$S$300,$C108,⑩盛付梱包工程入力!$AC$5:$AC$300)+SUMIF(⑩盛付梱包工程入力!$T$5:$T$300,$C108,⑩盛付梱包工程入力!$AC$5:$AC$300)+SUMIF(⑩盛付梱包工程入力!$U$5:$U$300,$C108,⑩盛付梱包工程入力!$AC$5:$AC$300)+SUMIF(⑩盛付梱包工程入力!$V$5:$V$300,$C108,⑩盛付梱包工程入力!$AC$5:$AC$300)+SUMIF(⑩盛付梱包工程入力!$W$5:$W$300,$C108,⑩盛付梱包工程入力!$AC$5:$AC$300)</f>
        <v/>
      </c>
      <c r="E108" s="398" t="n">
        <v>5</v>
      </c>
      <c r="F108" s="398">
        <f>IF(N($E108)&gt;0,$E108,$D108)</f>
        <v/>
      </c>
      <c r="G108" s="393" t="n">
        <v>61.33333333333334</v>
      </c>
      <c r="H108" s="393">
        <f>SUMIF(②釜工程入力!$R$5:$R$117,$C108,②釜工程入力!$AD$5:$AD$117)+SUMIF(②釜工程入力!$S$5:$S$117,$C108,②釜工程入力!$AE$5:$AE$117)+SUMIF(②釜工程入力!$T$5:$T$117,$C108,②釜工程入力!$AF$5:$AF$117)+SUMIF(②釜工程入力!$U$5:$U$117,$C108,②釜工程入力!$AG$5:$AG$117)+SUMIF(②釜工程入力!$V$5:$V$117,$C108,②釜工程入力!$AH$5:$AH$117)+SUMIF(②釜工程入力!$W$5:$W$117,$C108,②釜工程入力!$AI$5:$AI$117)+SUMIF(③スチコン工程入力!$R$5:$R$152,$C108,③スチコン工程入力!$AD$5:$AD$152)+SUMIF(③スチコン工程入力!$S$5:$S$152,$C108,③スチコン工程入力!$AE$5:$AE$152)+SUMIF(③スチコン工程入力!$T$5:$T$152,$C108,③スチコン工程入力!$AF$5:$AF$152)+SUMIF(③スチコン工程入力!$U$5:$U$152,$C108,③スチコン工程入力!$AG$5:$AG$152)+SUMIF(③スチコン工程入力!$V$5:$V$152,$C108,③スチコン工程入力!$AH$5:$AH$152)+SUMIF(③スチコン工程入力!$W$5:$W$152,$C108,③スチコン工程入力!$AI$5:$AI$152)+SUMIF(⑩盛付梱包工程入力!$R$5:$R$300,$C108,⑩盛付梱包工程入力!$AD$5:$AD$300)+SUMIF(⑩盛付梱包工程入力!$S$5:$S$300,$C108,⑩盛付梱包工程入力!$AE$5:$AE$300)+SUMIF(⑩盛付梱包工程入力!$T$5:$T$300,$C108,⑩盛付梱包工程入力!$AF$5:$AF$300)+SUMIF(⑩盛付梱包工程入力!$U$5:$U$300,$C108,⑩盛付梱包工程入力!$AG$5:$AG$300)+SUMIF(⑩盛付梱包工程入力!$V$5:$V$300,$C108,⑩盛付梱包工程入力!$AH$5:$AH$300)+SUMIF(⑩盛付梱包工程入力!$W$5:$W$300,$C108,⑩盛付梱包工程入力!$AI$5:$AI$300)+SUMIF(⑪ZEN工程入力!$R$6:$R$35,$C108,⑪ZEN工程入力!$AD$6:$AD$35)+SUMIF(⑪ZEN工程入力!$S$6:$S$35,$C108,⑪ZEN工程入力!$AE$6:$AE$35)+SUMIF(⑪ZEN工程入力!$T$6:$T$35,$C108,⑪ZEN工程入力!$AF$6:$AF$35)+SUMIF(⑪ZEN工程入力!$U$6:$U$35,$C108,⑪ZEN工程入力!$AG$6:$AG$35)+SUMIF(⑪ZEN工程入力!$V$6:$V$35,$C108,⑪ZEN工程入力!$AH$6:$AH$35)+SUMIF(⑪ZEN工程入力!$W$6:$W$35,$C108,⑪ZEN工程入力!$AI$6:$AI$35)+SUMIF(⑫ミキサー工程入力!$R$6:$R$65,$C108,⑫ミキサー工程入力!$AD$6:$AD$65)+SUMIF(⑫ミキサー工程入力!$S$6:$S$65,$C108,⑫ミキサー工程入力!$AE$6:$AE$65)+SUMIF(⑫ミキサー工程入力!$T$6:$T$65,$C108,⑫ミキサー工程入力!$AF$6:$AF$65)+SUMIF(⑫ミキサー工程入力!$U$6:$U$65,$C108,⑫ミキサー工程入力!$AG$6:$AG$65)+SUMIF(⑫ミキサー工程入力!$V$6:$V$65,$C108,⑫ミキサー工程入力!$AH$6:$AH$65)+SUMIF(⑫ミキサー工程入力!$W$6:$W$65,$C108,⑫ミキサー工程入力!$AI$6:$AI$65)+SUMIF(⑬計量工程入力!$R$6:$R$65,$C108,⑬計量工程入力!$AD$6:$AD$65)+SUMIF(⑬計量工程入力!$S$6:$S$65,$C108,⑬計量工程入力!$AE$6:$AE$65)+SUMIF(⑬計量工程入力!$T$6:$T$65,$C108,⑬計量工程入力!$AF$6:$AF$65)+SUMIF(⑬計量工程入力!$U$6:$U$65,$C108,⑬計量工程入力!$AG$6:$AG$65)+SUMIF(⑬計量工程入力!$V$6:$V$65,$C108,⑬計量工程入力!$AH$6:$AH$65)+SUMIF(⑬計量工程入力!$W$6:$W$65,$C108,⑬計量工程入力!$AI$6:$AI$65)+SUMIF(⑭手動工程入力!$R$6:$R$47,$C108,⑭手動工程入力!$AD$6:$AD$47)+SUMIF(⑭手動工程入力!$S$6:$S$47,$C108,⑭手動工程入力!$AE$6:$AE$47)+SUMIF(⑭手動工程入力!$T$6:$T$47,$C108,⑭手動工程入力!$AF$6:$AF$47)+SUMIF(⑭手動工程入力!$U$6:$U$47,$C108,⑭手動工程入力!$AG$6:$AG$47)+SUMIF(⑭手動工程入力!$V$6:$V$47,$C108,⑭手動工程入力!$AH$6:$AH$47)+SUMIF(⑭手動工程入力!$W$6:$W$47,$C108,⑭手動工程入力!$AI$6:$AI$47)</f>
        <v/>
      </c>
      <c r="I108" s="393">
        <f>IF($F108&gt;0,$H108/$F108,"")</f>
        <v/>
      </c>
      <c r="J108" s="605">
        <f>IFERROR(INDEX(商品原価!$B$4:$B$112,MATCH(SUBSTITUTE(SUBSTITUTE(SUBSTITUTE(SUBSTITUTE(SUBSTITUTE(SUBSTITUTE(SUBSTITUTE(SUBSTITUTE(SUBSTITUTE(SUBSTITUTE(ASC($C108),"①","1"),"②","2"),"③","3"),"④","4"),"⑤","5"),"⑥","6"),"⑦","7"),"⑧","8"),"⑨","9")," ",""),商品原価!$C$4:$C$112,0)),"")</f>
        <v/>
      </c>
      <c r="K108" s="542">
        <f>IF(ISNUMBER($J108),$J108*④前提設定!$B$21,"")</f>
        <v/>
      </c>
      <c r="L108" s="605">
        <f>IF(AND(NOT(ISNUMBER($J108)),NOT(ISNUMBER($K108))),"",N($J108)+N($K108))</f>
        <v/>
      </c>
      <c r="M108" s="605">
        <f>IFERROR(INDEX(商品原価!$E$4:$E$112,MATCH(SUBSTITUTE(SUBSTITUTE(SUBSTITUTE(SUBSTITUTE(SUBSTITUTE(SUBSTITUTE(SUBSTITUTE(SUBSTITUTE(SUBSTITUTE(SUBSTITUTE(ASC($C108),"①","1"),"②","2"),"③","3"),"④","4"),"⑤","5"),"⑥","6"),"⑦","7"),"⑧","8"),"⑨","9")," ",""),商品原価!$C$4:$C$112,0)),"")</f>
        <v/>
      </c>
      <c r="N108" s="605">
        <f>IF(AND(ISNUMBER($M108),ISNUMBER($L108)),$M108-$L108-N($W108),"")</f>
        <v/>
      </c>
      <c r="O108" s="606">
        <f>IF(AND(ISNUMBER($N108),ISNUMBER($M108),$M108&gt;0),$N108/$M108,"")</f>
        <v/>
      </c>
      <c r="P108" s="398">
        <f>COUNTIF(②釜工程入力!$R$5:$R$117,$C108)+COUNTIF(②釜工程入力!$S$5:$S$117,$C108)+COUNTIF(②釜工程入力!$T$5:$T$117,$C108)+COUNTIF(②釜工程入力!$U$5:$U$117,$C108)+COUNTIF(②釜工程入力!$V$5:$V$117,$C108)+COUNTIF(②釜工程入力!$W$5:$W$117,$C108)+COUNTIF(③スチコン工程入力!$R$5:$R$152,$C108)+COUNTIF(③スチコン工程入力!$S$5:$S$152,$C108)+COUNTIF(③スチコン工程入力!$T$5:$T$152,$C108)+COUNTIF(③スチコン工程入力!$U$5:$U$152,$C108)+COUNTIF(③スチコン工程入力!$V$5:$V$152,$C108)+COUNTIF(③スチコン工程入力!$W$5:$W$152,$C108)+COUNTIF(⑩盛付梱包工程入力!$R$5:$R$300,$C108)+COUNTIF(⑩盛付梱包工程入力!$S$5:$S$300,$C108)+COUNTIF(⑩盛付梱包工程入力!$T$5:$T$300,$C108)+COUNTIF(⑩盛付梱包工程入力!$U$5:$U$300,$C108)+COUNTIF(⑩盛付梱包工程入力!$V$5:$V$300,$C108)+COUNTIF(⑩盛付梱包工程入力!$W$5:$W$300,$C108)+COUNTIF(⑪ZEN工程入力!$R$6:$R$35,$C108)+COUNTIF(⑪ZEN工程入力!$S$6:$S$35,$C108)+COUNTIF(⑪ZEN工程入力!$T$6:$T$35,$C108)+COUNTIF(⑪ZEN工程入力!$U$6:$U$35,$C108)+COUNTIF(⑪ZEN工程入力!$V$6:$V$35,$C108)+COUNTIF(⑪ZEN工程入力!$W$6:$W$35,$C108)+COUNTIF(⑫ミキサー工程入力!$R$6:$R$65,$C108)+COUNTIF(⑫ミキサー工程入力!$S$6:$S$65,$C108)+COUNTIF(⑫ミキサー工程入力!$T$6:$T$65,$C108)+COUNTIF(⑫ミキサー工程入力!$U$6:$U$65,$C108)+COUNTIF(⑫ミキサー工程入力!$V$6:$V$65,$C108)+COUNTIF(⑫ミキサー工程入力!$W$6:$W$65,$C108)+COUNTIF(⑬計量工程入力!$R$6:$R$65,$C108)+COUNTIF(⑬計量工程入力!$S$6:$S$65,$C108)+COUNTIF(⑬計量工程入力!$T$6:$T$65,$C108)+COUNTIF(⑬計量工程入力!$U$6:$U$65,$C108)+COUNTIF(⑬計量工程入力!$V$6:$V$65,$C108)+COUNTIF(⑬計量工程入力!$W$6:$W$65,$C108)+COUNTIF(⑭手動工程入力!$R$6:$R$47,$C108)+COUNTIF(⑭手動工程入力!$S$6:$S$47,$C108)+COUNTIF(⑭手動工程入力!$T$6:$T$47,$C108)+COUNTIF(⑭手動工程入力!$U$6:$U$47,$C108)+COUNTIF(⑭手動工程入力!$V$6:$V$47,$C108)+COUNTIF(⑭手動工程入力!$W$6:$W$47,$C108)</f>
        <v/>
      </c>
      <c r="Q108" s="392" t="inlineStr">
        <is>
          <t>⑩盛付梱包 71行目に入力欄を作成（工程記録なし）</t>
        </is>
      </c>
      <c r="R108" s="393" t="n"/>
      <c r="S108" s="393" t="n"/>
      <c r="T108" s="393" t="n"/>
      <c r="U108" s="393" t="n"/>
      <c r="V108" s="605">
        <f>IFERROR(INDEX(KIT別作業時間!$D$4:$D$27,MATCH(SUBSTITUTE(SUBSTITUTE(SUBSTITUTE(SUBSTITUTE(SUBSTITUTE(SUBSTITUTE(SUBSTITUTE(SUBSTITUTE(SUBSTITUTE(SUBSTITUTE(ASC($C108),"①","1"),"②","2"),"③","3"),"④","4"),"⑤","5"),"⑥","6"),"⑦","7"),"⑧","8"),"⑨","9")," ",""),KIT別作業時間!$C$4:$C$27,0)),"")</f>
        <v/>
      </c>
      <c r="W108" s="393">
        <f>IF(AND(ISNUMBER($I108),$I108&gt;0),$I108,IF(ISNUMBER($V108),$V108,IF(ISNUMBER($R108),$R108,"")))</f>
        <v/>
      </c>
      <c r="X108" s="393">
        <f>IF(AND(ISNUMBER($I108),$I108&gt;0),"今回の工程実績",IF(ISNUMBER($V108),"KIT作業時間",IF(ISNUMBER($R108),"前回資料","")))</f>
        <v/>
      </c>
      <c r="Y108" s="398" t="n">
        <v>3</v>
      </c>
      <c r="Z108" s="398">
        <f>IF(AND(ISNUMBER($W108),ISNUMBER($Y108)),$W108*$Y108,"")</f>
        <v/>
      </c>
      <c r="AA108" s="393" t="n"/>
    </row>
    <row r="109">
      <c r="A109" s="392" t="n">
        <v>105</v>
      </c>
      <c r="B109" s="392" t="n"/>
      <c r="C109" s="392" t="inlineStr">
        <is>
          <t>Ｓもちっと芋の暴れん坊</t>
        </is>
      </c>
      <c r="D109" s="398">
        <f>SUMIF(⑩盛付梱包工程入力!$R$5:$R$300,$C109,⑩盛付梱包工程入力!$AC$5:$AC$300)+SUMIF(⑩盛付梱包工程入力!$S$5:$S$300,$C109,⑩盛付梱包工程入力!$AC$5:$AC$300)+SUMIF(⑩盛付梱包工程入力!$T$5:$T$300,$C109,⑩盛付梱包工程入力!$AC$5:$AC$300)+SUMIF(⑩盛付梱包工程入力!$U$5:$U$300,$C109,⑩盛付梱包工程入力!$AC$5:$AC$300)+SUMIF(⑩盛付梱包工程入力!$V$5:$V$300,$C109,⑩盛付梱包工程入力!$AC$5:$AC$300)+SUMIF(⑩盛付梱包工程入力!$W$5:$W$300,$C109,⑩盛付梱包工程入力!$AC$5:$AC$300)</f>
        <v/>
      </c>
      <c r="E109" s="398" t="n">
        <v>519</v>
      </c>
      <c r="F109" s="398">
        <f>IF(N($E109)&gt;0,$E109,$D109)</f>
        <v/>
      </c>
      <c r="G109" s="393" t="n">
        <v>60.92965762561138</v>
      </c>
      <c r="H109" s="393">
        <f>SUMIF(②釜工程入力!$R$5:$R$117,$C109,②釜工程入力!$AD$5:$AD$117)+SUMIF(②釜工程入力!$S$5:$S$117,$C109,②釜工程入力!$AE$5:$AE$117)+SUMIF(②釜工程入力!$T$5:$T$117,$C109,②釜工程入力!$AF$5:$AF$117)+SUMIF(②釜工程入力!$U$5:$U$117,$C109,②釜工程入力!$AG$5:$AG$117)+SUMIF(②釜工程入力!$V$5:$V$117,$C109,②釜工程入力!$AH$5:$AH$117)+SUMIF(②釜工程入力!$W$5:$W$117,$C109,②釜工程入力!$AI$5:$AI$117)+SUMIF(③スチコン工程入力!$R$5:$R$152,$C109,③スチコン工程入力!$AD$5:$AD$152)+SUMIF(③スチコン工程入力!$S$5:$S$152,$C109,③スチコン工程入力!$AE$5:$AE$152)+SUMIF(③スチコン工程入力!$T$5:$T$152,$C109,③スチコン工程入力!$AF$5:$AF$152)+SUMIF(③スチコン工程入力!$U$5:$U$152,$C109,③スチコン工程入力!$AG$5:$AG$152)+SUMIF(③スチコン工程入力!$V$5:$V$152,$C109,③スチコン工程入力!$AH$5:$AH$152)+SUMIF(③スチコン工程入力!$W$5:$W$152,$C109,③スチコン工程入力!$AI$5:$AI$152)+SUMIF(⑩盛付梱包工程入力!$R$5:$R$300,$C109,⑩盛付梱包工程入力!$AD$5:$AD$300)+SUMIF(⑩盛付梱包工程入力!$S$5:$S$300,$C109,⑩盛付梱包工程入力!$AE$5:$AE$300)+SUMIF(⑩盛付梱包工程入力!$T$5:$T$300,$C109,⑩盛付梱包工程入力!$AF$5:$AF$300)+SUMIF(⑩盛付梱包工程入力!$U$5:$U$300,$C109,⑩盛付梱包工程入力!$AG$5:$AG$300)+SUMIF(⑩盛付梱包工程入力!$V$5:$V$300,$C109,⑩盛付梱包工程入力!$AH$5:$AH$300)+SUMIF(⑩盛付梱包工程入力!$W$5:$W$300,$C109,⑩盛付梱包工程入力!$AI$5:$AI$300)+SUMIF(⑪ZEN工程入力!$R$6:$R$35,$C109,⑪ZEN工程入力!$AD$6:$AD$35)+SUMIF(⑪ZEN工程入力!$S$6:$S$35,$C109,⑪ZEN工程入力!$AE$6:$AE$35)+SUMIF(⑪ZEN工程入力!$T$6:$T$35,$C109,⑪ZEN工程入力!$AF$6:$AF$35)+SUMIF(⑪ZEN工程入力!$U$6:$U$35,$C109,⑪ZEN工程入力!$AG$6:$AG$35)+SUMIF(⑪ZEN工程入力!$V$6:$V$35,$C109,⑪ZEN工程入力!$AH$6:$AH$35)+SUMIF(⑪ZEN工程入力!$W$6:$W$35,$C109,⑪ZEN工程入力!$AI$6:$AI$35)+SUMIF(⑫ミキサー工程入力!$R$6:$R$65,$C109,⑫ミキサー工程入力!$AD$6:$AD$65)+SUMIF(⑫ミキサー工程入力!$S$6:$S$65,$C109,⑫ミキサー工程入力!$AE$6:$AE$65)+SUMIF(⑫ミキサー工程入力!$T$6:$T$65,$C109,⑫ミキサー工程入力!$AF$6:$AF$65)+SUMIF(⑫ミキサー工程入力!$U$6:$U$65,$C109,⑫ミキサー工程入力!$AG$6:$AG$65)+SUMIF(⑫ミキサー工程入力!$V$6:$V$65,$C109,⑫ミキサー工程入力!$AH$6:$AH$65)+SUMIF(⑫ミキサー工程入力!$W$6:$W$65,$C109,⑫ミキサー工程入力!$AI$6:$AI$65)+SUMIF(⑬計量工程入力!$R$6:$R$65,$C109,⑬計量工程入力!$AD$6:$AD$65)+SUMIF(⑬計量工程入力!$S$6:$S$65,$C109,⑬計量工程入力!$AE$6:$AE$65)+SUMIF(⑬計量工程入力!$T$6:$T$65,$C109,⑬計量工程入力!$AF$6:$AF$65)+SUMIF(⑬計量工程入力!$U$6:$U$65,$C109,⑬計量工程入力!$AG$6:$AG$65)+SUMIF(⑬計量工程入力!$V$6:$V$65,$C109,⑬計量工程入力!$AH$6:$AH$65)+SUMIF(⑬計量工程入力!$W$6:$W$65,$C109,⑬計量工程入力!$AI$6:$AI$65)+SUMIF(⑭手動工程入力!$R$6:$R$47,$C109,⑭手動工程入力!$AD$6:$AD$47)+SUMIF(⑭手動工程入力!$S$6:$S$47,$C109,⑭手動工程入力!$AE$6:$AE$47)+SUMIF(⑭手動工程入力!$T$6:$T$47,$C109,⑭手動工程入力!$AF$6:$AF$47)+SUMIF(⑭手動工程入力!$U$6:$U$47,$C109,⑭手動工程入力!$AG$6:$AG$47)+SUMIF(⑭手動工程入力!$V$6:$V$47,$C109,⑭手動工程入力!$AH$6:$AH$47)+SUMIF(⑭手動工程入力!$W$6:$W$47,$C109,⑭手動工程入力!$AI$6:$AI$47)</f>
        <v/>
      </c>
      <c r="I109" s="393">
        <f>IF($F109&gt;0,$H109/$F109,"")</f>
        <v/>
      </c>
      <c r="J109" s="605">
        <f>IFERROR(INDEX(商品原価!$B$4:$B$112,MATCH(SUBSTITUTE(SUBSTITUTE(SUBSTITUTE(SUBSTITUTE(SUBSTITUTE(SUBSTITUTE(SUBSTITUTE(SUBSTITUTE(SUBSTITUTE(SUBSTITUTE(ASC($C109),"①","1"),"②","2"),"③","3"),"④","4"),"⑤","5"),"⑥","6"),"⑦","7"),"⑧","8"),"⑨","9")," ",""),商品原価!$C$4:$C$112,0)),"")</f>
        <v/>
      </c>
      <c r="K109" s="542">
        <f>IF(ISNUMBER($J109),$J109*④前提設定!$B$21,"")</f>
        <v/>
      </c>
      <c r="L109" s="605">
        <f>IF(AND(NOT(ISNUMBER($J109)),NOT(ISNUMBER($K109))),"",N($J109)+N($K109))</f>
        <v/>
      </c>
      <c r="M109" s="605">
        <f>IFERROR(INDEX(商品原価!$E$4:$E$112,MATCH(SUBSTITUTE(SUBSTITUTE(SUBSTITUTE(SUBSTITUTE(SUBSTITUTE(SUBSTITUTE(SUBSTITUTE(SUBSTITUTE(SUBSTITUTE(SUBSTITUTE(ASC($C109),"①","1"),"②","2"),"③","3"),"④","4"),"⑤","5"),"⑥","6"),"⑦","7"),"⑧","8"),"⑨","9")," ",""),商品原価!$C$4:$C$112,0)),"")</f>
        <v/>
      </c>
      <c r="N109" s="605">
        <f>IF(AND(ISNUMBER($M109),ISNUMBER($L109)),$M109-$L109-N($W109),"")</f>
        <v/>
      </c>
      <c r="O109" s="606">
        <f>IF(AND(ISNUMBER($N109),ISNUMBER($M109),$M109&gt;0),$N109/$M109,"")</f>
        <v/>
      </c>
      <c r="P109" s="398">
        <f>COUNTIF(②釜工程入力!$R$5:$R$117,$C109)+COUNTIF(②釜工程入力!$S$5:$S$117,$C109)+COUNTIF(②釜工程入力!$T$5:$T$117,$C109)+COUNTIF(②釜工程入力!$U$5:$U$117,$C109)+COUNTIF(②釜工程入力!$V$5:$V$117,$C109)+COUNTIF(②釜工程入力!$W$5:$W$117,$C109)+COUNTIF(③スチコン工程入力!$R$5:$R$152,$C109)+COUNTIF(③スチコン工程入力!$S$5:$S$152,$C109)+COUNTIF(③スチコン工程入力!$T$5:$T$152,$C109)+COUNTIF(③スチコン工程入力!$U$5:$U$152,$C109)+COUNTIF(③スチコン工程入力!$V$5:$V$152,$C109)+COUNTIF(③スチコン工程入力!$W$5:$W$152,$C109)+COUNTIF(⑩盛付梱包工程入力!$R$5:$R$300,$C109)+COUNTIF(⑩盛付梱包工程入力!$S$5:$S$300,$C109)+COUNTIF(⑩盛付梱包工程入力!$T$5:$T$300,$C109)+COUNTIF(⑩盛付梱包工程入力!$U$5:$U$300,$C109)+COUNTIF(⑩盛付梱包工程入力!$V$5:$V$300,$C109)+COUNTIF(⑩盛付梱包工程入力!$W$5:$W$300,$C109)+COUNTIF(⑪ZEN工程入力!$R$6:$R$35,$C109)+COUNTIF(⑪ZEN工程入力!$S$6:$S$35,$C109)+COUNTIF(⑪ZEN工程入力!$T$6:$T$35,$C109)+COUNTIF(⑪ZEN工程入力!$U$6:$U$35,$C109)+COUNTIF(⑪ZEN工程入力!$V$6:$V$35,$C109)+COUNTIF(⑪ZEN工程入力!$W$6:$W$35,$C109)+COUNTIF(⑫ミキサー工程入力!$R$6:$R$65,$C109)+COUNTIF(⑫ミキサー工程入力!$S$6:$S$65,$C109)+COUNTIF(⑫ミキサー工程入力!$T$6:$T$65,$C109)+COUNTIF(⑫ミキサー工程入力!$U$6:$U$65,$C109)+COUNTIF(⑫ミキサー工程入力!$V$6:$V$65,$C109)+COUNTIF(⑫ミキサー工程入力!$W$6:$W$65,$C109)+COUNTIF(⑬計量工程入力!$R$6:$R$65,$C109)+COUNTIF(⑬計量工程入力!$S$6:$S$65,$C109)+COUNTIF(⑬計量工程入力!$T$6:$T$65,$C109)+COUNTIF(⑬計量工程入力!$U$6:$U$65,$C109)+COUNTIF(⑬計量工程入力!$V$6:$V$65,$C109)+COUNTIF(⑬計量工程入力!$W$6:$W$65,$C109)+COUNTIF(⑭手動工程入力!$R$6:$R$47,$C109)+COUNTIF(⑭手動工程入力!$S$6:$S$47,$C109)+COUNTIF(⑭手動工程入力!$T$6:$T$47,$C109)+COUNTIF(⑭手動工程入力!$U$6:$U$47,$C109)+COUNTIF(⑭手動工程入力!$V$6:$V$47,$C109)+COUNTIF(⑭手動工程入力!$W$6:$W$47,$C109)</f>
        <v/>
      </c>
      <c r="Q109" s="392" t="inlineStr">
        <is>
          <t>⑩盛付梱包 32行目に入力欄を作成（工程記録なし）</t>
        </is>
      </c>
      <c r="R109" s="393" t="n"/>
      <c r="S109" s="393" t="n"/>
      <c r="T109" s="393" t="n"/>
      <c r="U109" s="393" t="n"/>
      <c r="V109" s="605">
        <f>IFERROR(INDEX(KIT別作業時間!$D$4:$D$27,MATCH(SUBSTITUTE(SUBSTITUTE(SUBSTITUTE(SUBSTITUTE(SUBSTITUTE(SUBSTITUTE(SUBSTITUTE(SUBSTITUTE(SUBSTITUTE(SUBSTITUTE(ASC($C109),"①","1"),"②","2"),"③","3"),"④","4"),"⑤","5"),"⑥","6"),"⑦","7"),"⑧","8"),"⑨","9")," ",""),KIT別作業時間!$C$4:$C$27,0)),"")</f>
        <v/>
      </c>
      <c r="W109" s="393">
        <f>IF(AND(ISNUMBER($I109),$I109&gt;0),$I109,IF(ISNUMBER($V109),$V109,IF(ISNUMBER($R109),$R109,"")))</f>
        <v/>
      </c>
      <c r="X109" s="393">
        <f>IF(AND(ISNUMBER($I109),$I109&gt;0),"今回の工程実績",IF(ISNUMBER($V109),"KIT作業時間",IF(ISNUMBER($R109),"前回資料","")))</f>
        <v/>
      </c>
      <c r="Y109" s="398" t="n">
        <v>612</v>
      </c>
      <c r="Z109" s="398">
        <f>IF(AND(ISNUMBER($W109),ISNUMBER($Y109)),$W109*$Y109,"")</f>
        <v/>
      </c>
      <c r="AA109" s="393" t="n"/>
    </row>
    <row r="110">
      <c r="A110" s="392" t="n">
        <v>106</v>
      </c>
      <c r="B110" s="392" t="n"/>
      <c r="C110" s="392" t="inlineStr">
        <is>
          <t>Ｃもちっと芋の暴れん坊</t>
        </is>
      </c>
      <c r="D110" s="398">
        <f>SUMIF(⑩盛付梱包工程入力!$R$5:$R$300,$C110,⑩盛付梱包工程入力!$AC$5:$AC$300)+SUMIF(⑩盛付梱包工程入力!$S$5:$S$300,$C110,⑩盛付梱包工程入力!$AC$5:$AC$300)+SUMIF(⑩盛付梱包工程入力!$T$5:$T$300,$C110,⑩盛付梱包工程入力!$AC$5:$AC$300)+SUMIF(⑩盛付梱包工程入力!$U$5:$U$300,$C110,⑩盛付梱包工程入力!$AC$5:$AC$300)+SUMIF(⑩盛付梱包工程入力!$V$5:$V$300,$C110,⑩盛付梱包工程入力!$AC$5:$AC$300)+SUMIF(⑩盛付梱包工程入力!$W$5:$W$300,$C110,⑩盛付梱包工程入力!$AC$5:$AC$300)</f>
        <v/>
      </c>
      <c r="E110" s="398" t="n">
        <v>3</v>
      </c>
      <c r="F110" s="398">
        <f>IF(N($E110)&gt;0,$E110,$D110)</f>
        <v/>
      </c>
      <c r="G110" s="393" t="n">
        <v>61</v>
      </c>
      <c r="H110" s="393">
        <f>SUMIF(②釜工程入力!$R$5:$R$117,$C110,②釜工程入力!$AD$5:$AD$117)+SUMIF(②釜工程入力!$S$5:$S$117,$C110,②釜工程入力!$AE$5:$AE$117)+SUMIF(②釜工程入力!$T$5:$T$117,$C110,②釜工程入力!$AF$5:$AF$117)+SUMIF(②釜工程入力!$U$5:$U$117,$C110,②釜工程入力!$AG$5:$AG$117)+SUMIF(②釜工程入力!$V$5:$V$117,$C110,②釜工程入力!$AH$5:$AH$117)+SUMIF(②釜工程入力!$W$5:$W$117,$C110,②釜工程入力!$AI$5:$AI$117)+SUMIF(③スチコン工程入力!$R$5:$R$152,$C110,③スチコン工程入力!$AD$5:$AD$152)+SUMIF(③スチコン工程入力!$S$5:$S$152,$C110,③スチコン工程入力!$AE$5:$AE$152)+SUMIF(③スチコン工程入力!$T$5:$T$152,$C110,③スチコン工程入力!$AF$5:$AF$152)+SUMIF(③スチコン工程入力!$U$5:$U$152,$C110,③スチコン工程入力!$AG$5:$AG$152)+SUMIF(③スチコン工程入力!$V$5:$V$152,$C110,③スチコン工程入力!$AH$5:$AH$152)+SUMIF(③スチコン工程入力!$W$5:$W$152,$C110,③スチコン工程入力!$AI$5:$AI$152)+SUMIF(⑩盛付梱包工程入力!$R$5:$R$300,$C110,⑩盛付梱包工程入力!$AD$5:$AD$300)+SUMIF(⑩盛付梱包工程入力!$S$5:$S$300,$C110,⑩盛付梱包工程入力!$AE$5:$AE$300)+SUMIF(⑩盛付梱包工程入力!$T$5:$T$300,$C110,⑩盛付梱包工程入力!$AF$5:$AF$300)+SUMIF(⑩盛付梱包工程入力!$U$5:$U$300,$C110,⑩盛付梱包工程入力!$AG$5:$AG$300)+SUMIF(⑩盛付梱包工程入力!$V$5:$V$300,$C110,⑩盛付梱包工程入力!$AH$5:$AH$300)+SUMIF(⑩盛付梱包工程入力!$W$5:$W$300,$C110,⑩盛付梱包工程入力!$AI$5:$AI$300)+SUMIF(⑪ZEN工程入力!$R$6:$R$35,$C110,⑪ZEN工程入力!$AD$6:$AD$35)+SUMIF(⑪ZEN工程入力!$S$6:$S$35,$C110,⑪ZEN工程入力!$AE$6:$AE$35)+SUMIF(⑪ZEN工程入力!$T$6:$T$35,$C110,⑪ZEN工程入力!$AF$6:$AF$35)+SUMIF(⑪ZEN工程入力!$U$6:$U$35,$C110,⑪ZEN工程入力!$AG$6:$AG$35)+SUMIF(⑪ZEN工程入力!$V$6:$V$35,$C110,⑪ZEN工程入力!$AH$6:$AH$35)+SUMIF(⑪ZEN工程入力!$W$6:$W$35,$C110,⑪ZEN工程入力!$AI$6:$AI$35)+SUMIF(⑫ミキサー工程入力!$R$6:$R$65,$C110,⑫ミキサー工程入力!$AD$6:$AD$65)+SUMIF(⑫ミキサー工程入力!$S$6:$S$65,$C110,⑫ミキサー工程入力!$AE$6:$AE$65)+SUMIF(⑫ミキサー工程入力!$T$6:$T$65,$C110,⑫ミキサー工程入力!$AF$6:$AF$65)+SUMIF(⑫ミキサー工程入力!$U$6:$U$65,$C110,⑫ミキサー工程入力!$AG$6:$AG$65)+SUMIF(⑫ミキサー工程入力!$V$6:$V$65,$C110,⑫ミキサー工程入力!$AH$6:$AH$65)+SUMIF(⑫ミキサー工程入力!$W$6:$W$65,$C110,⑫ミキサー工程入力!$AI$6:$AI$65)+SUMIF(⑬計量工程入力!$R$6:$R$65,$C110,⑬計量工程入力!$AD$6:$AD$65)+SUMIF(⑬計量工程入力!$S$6:$S$65,$C110,⑬計量工程入力!$AE$6:$AE$65)+SUMIF(⑬計量工程入力!$T$6:$T$65,$C110,⑬計量工程入力!$AF$6:$AF$65)+SUMIF(⑬計量工程入力!$U$6:$U$65,$C110,⑬計量工程入力!$AG$6:$AG$65)+SUMIF(⑬計量工程入力!$V$6:$V$65,$C110,⑬計量工程入力!$AH$6:$AH$65)+SUMIF(⑬計量工程入力!$W$6:$W$65,$C110,⑬計量工程入力!$AI$6:$AI$65)+SUMIF(⑭手動工程入力!$R$6:$R$47,$C110,⑭手動工程入力!$AD$6:$AD$47)+SUMIF(⑭手動工程入力!$S$6:$S$47,$C110,⑭手動工程入力!$AE$6:$AE$47)+SUMIF(⑭手動工程入力!$T$6:$T$47,$C110,⑭手動工程入力!$AF$6:$AF$47)+SUMIF(⑭手動工程入力!$U$6:$U$47,$C110,⑭手動工程入力!$AG$6:$AG$47)+SUMIF(⑭手動工程入力!$V$6:$V$47,$C110,⑭手動工程入力!$AH$6:$AH$47)+SUMIF(⑭手動工程入力!$W$6:$W$47,$C110,⑭手動工程入力!$AI$6:$AI$47)</f>
        <v/>
      </c>
      <c r="I110" s="393">
        <f>IF($F110&gt;0,$H110/$F110,"")</f>
        <v/>
      </c>
      <c r="J110" s="605">
        <f>IFERROR(INDEX(商品原価!$B$4:$B$112,MATCH(SUBSTITUTE(SUBSTITUTE(SUBSTITUTE(SUBSTITUTE(SUBSTITUTE(SUBSTITUTE(SUBSTITUTE(SUBSTITUTE(SUBSTITUTE(SUBSTITUTE(ASC($C110),"①","1"),"②","2"),"③","3"),"④","4"),"⑤","5"),"⑥","6"),"⑦","7"),"⑧","8"),"⑨","9")," ",""),商品原価!$C$4:$C$112,0)),"")</f>
        <v/>
      </c>
      <c r="K110" s="542">
        <f>IF(ISNUMBER($J110),$J110*④前提設定!$B$21,"")</f>
        <v/>
      </c>
      <c r="L110" s="605">
        <f>IF(AND(NOT(ISNUMBER($J110)),NOT(ISNUMBER($K110))),"",N($J110)+N($K110))</f>
        <v/>
      </c>
      <c r="M110" s="605">
        <f>IFERROR(INDEX(商品原価!$E$4:$E$112,MATCH(SUBSTITUTE(SUBSTITUTE(SUBSTITUTE(SUBSTITUTE(SUBSTITUTE(SUBSTITUTE(SUBSTITUTE(SUBSTITUTE(SUBSTITUTE(SUBSTITUTE(ASC($C110),"①","1"),"②","2"),"③","3"),"④","4"),"⑤","5"),"⑥","6"),"⑦","7"),"⑧","8"),"⑨","9")," ",""),商品原価!$C$4:$C$112,0)),"")</f>
        <v/>
      </c>
      <c r="N110" s="605">
        <f>IF(AND(ISNUMBER($M110),ISNUMBER($L110)),$M110-$L110-N($W110),"")</f>
        <v/>
      </c>
      <c r="O110" s="606">
        <f>IF(AND(ISNUMBER($N110),ISNUMBER($M110),$M110&gt;0),$N110/$M110,"")</f>
        <v/>
      </c>
      <c r="P110" s="398">
        <f>COUNTIF(②釜工程入力!$R$5:$R$117,$C110)+COUNTIF(②釜工程入力!$S$5:$S$117,$C110)+COUNTIF(②釜工程入力!$T$5:$T$117,$C110)+COUNTIF(②釜工程入力!$U$5:$U$117,$C110)+COUNTIF(②釜工程入力!$V$5:$V$117,$C110)+COUNTIF(②釜工程入力!$W$5:$W$117,$C110)+COUNTIF(③スチコン工程入力!$R$5:$R$152,$C110)+COUNTIF(③スチコン工程入力!$S$5:$S$152,$C110)+COUNTIF(③スチコン工程入力!$T$5:$T$152,$C110)+COUNTIF(③スチコン工程入力!$U$5:$U$152,$C110)+COUNTIF(③スチコン工程入力!$V$5:$V$152,$C110)+COUNTIF(③スチコン工程入力!$W$5:$W$152,$C110)+COUNTIF(⑩盛付梱包工程入力!$R$5:$R$300,$C110)+COUNTIF(⑩盛付梱包工程入力!$S$5:$S$300,$C110)+COUNTIF(⑩盛付梱包工程入力!$T$5:$T$300,$C110)+COUNTIF(⑩盛付梱包工程入力!$U$5:$U$300,$C110)+COUNTIF(⑩盛付梱包工程入力!$V$5:$V$300,$C110)+COUNTIF(⑩盛付梱包工程入力!$W$5:$W$300,$C110)+COUNTIF(⑪ZEN工程入力!$R$6:$R$35,$C110)+COUNTIF(⑪ZEN工程入力!$S$6:$S$35,$C110)+COUNTIF(⑪ZEN工程入力!$T$6:$T$35,$C110)+COUNTIF(⑪ZEN工程入力!$U$6:$U$35,$C110)+COUNTIF(⑪ZEN工程入力!$V$6:$V$35,$C110)+COUNTIF(⑪ZEN工程入力!$W$6:$W$35,$C110)+COUNTIF(⑫ミキサー工程入力!$R$6:$R$65,$C110)+COUNTIF(⑫ミキサー工程入力!$S$6:$S$65,$C110)+COUNTIF(⑫ミキサー工程入力!$T$6:$T$65,$C110)+COUNTIF(⑫ミキサー工程入力!$U$6:$U$65,$C110)+COUNTIF(⑫ミキサー工程入力!$V$6:$V$65,$C110)+COUNTIF(⑫ミキサー工程入力!$W$6:$W$65,$C110)+COUNTIF(⑬計量工程入力!$R$6:$R$65,$C110)+COUNTIF(⑬計量工程入力!$S$6:$S$65,$C110)+COUNTIF(⑬計量工程入力!$T$6:$T$65,$C110)+COUNTIF(⑬計量工程入力!$U$6:$U$65,$C110)+COUNTIF(⑬計量工程入力!$V$6:$V$65,$C110)+COUNTIF(⑬計量工程入力!$W$6:$W$65,$C110)+COUNTIF(⑭手動工程入力!$R$6:$R$47,$C110)+COUNTIF(⑭手動工程入力!$S$6:$S$47,$C110)+COUNTIF(⑭手動工程入力!$T$6:$T$47,$C110)+COUNTIF(⑭手動工程入力!$U$6:$U$47,$C110)+COUNTIF(⑭手動工程入力!$V$6:$V$47,$C110)+COUNTIF(⑭手動工程入力!$W$6:$W$47,$C110)</f>
        <v/>
      </c>
      <c r="Q110" s="392" t="inlineStr">
        <is>
          <t>⑩盛付梱包 74行目に入力欄を作成（工程記録なし）</t>
        </is>
      </c>
      <c r="R110" s="393" t="n"/>
      <c r="S110" s="393" t="n"/>
      <c r="T110" s="393" t="n"/>
      <c r="U110" s="393" t="n"/>
      <c r="V110" s="605">
        <f>IFERROR(INDEX(KIT別作業時間!$D$4:$D$27,MATCH(SUBSTITUTE(SUBSTITUTE(SUBSTITUTE(SUBSTITUTE(SUBSTITUTE(SUBSTITUTE(SUBSTITUTE(SUBSTITUTE(SUBSTITUTE(SUBSTITUTE(ASC($C110),"①","1"),"②","2"),"③","3"),"④","4"),"⑤","5"),"⑥","6"),"⑦","7"),"⑧","8"),"⑨","9")," ",""),KIT別作業時間!$C$4:$C$27,0)),"")</f>
        <v/>
      </c>
      <c r="W110" s="393">
        <f>IF(AND(ISNUMBER($I110),$I110&gt;0),$I110,IF(ISNUMBER($V110),$V110,IF(ISNUMBER($R110),$R110,"")))</f>
        <v/>
      </c>
      <c r="X110" s="393">
        <f>IF(AND(ISNUMBER($I110),$I110&gt;0),"今回の工程実績",IF(ISNUMBER($V110),"KIT作業時間",IF(ISNUMBER($R110),"前回資料","")))</f>
        <v/>
      </c>
      <c r="Y110" s="398" t="n">
        <v>3</v>
      </c>
      <c r="Z110" s="398">
        <f>IF(AND(ISNUMBER($W110),ISNUMBER($Y110)),$W110*$Y110,"")</f>
        <v/>
      </c>
      <c r="AA110" s="393" t="n"/>
    </row>
    <row r="111">
      <c r="A111" s="392" t="n">
        <v>107</v>
      </c>
      <c r="B111" s="392" t="n"/>
      <c r="C111" s="392" t="inlineStr">
        <is>
          <t>Ｓ素材を感じる焼き芋ロール</t>
        </is>
      </c>
      <c r="D111" s="398">
        <f>SUMIF(⑩盛付梱包工程入力!$R$5:$R$300,$C111,⑩盛付梱包工程入力!$AC$5:$AC$300)+SUMIF(⑩盛付梱包工程入力!$S$5:$S$300,$C111,⑩盛付梱包工程入力!$AC$5:$AC$300)+SUMIF(⑩盛付梱包工程入力!$T$5:$T$300,$C111,⑩盛付梱包工程入力!$AC$5:$AC$300)+SUMIF(⑩盛付梱包工程入力!$U$5:$U$300,$C111,⑩盛付梱包工程入力!$AC$5:$AC$300)+SUMIF(⑩盛付梱包工程入力!$V$5:$V$300,$C111,⑩盛付梱包工程入力!$AC$5:$AC$300)+SUMIF(⑩盛付梱包工程入力!$W$5:$W$300,$C111,⑩盛付梱包工程入力!$AC$5:$AC$300)</f>
        <v/>
      </c>
      <c r="E111" s="398" t="n">
        <v>670</v>
      </c>
      <c r="F111" s="398">
        <f>IF(N($E111)&gt;0,$E111,$D111)</f>
        <v/>
      </c>
      <c r="G111" s="393" t="n">
        <v>94.59031171019376</v>
      </c>
      <c r="H111" s="393">
        <f>SUMIF(②釜工程入力!$R$5:$R$117,$C111,②釜工程入力!$AD$5:$AD$117)+SUMIF(②釜工程入力!$S$5:$S$117,$C111,②釜工程入力!$AE$5:$AE$117)+SUMIF(②釜工程入力!$T$5:$T$117,$C111,②釜工程入力!$AF$5:$AF$117)+SUMIF(②釜工程入力!$U$5:$U$117,$C111,②釜工程入力!$AG$5:$AG$117)+SUMIF(②釜工程入力!$V$5:$V$117,$C111,②釜工程入力!$AH$5:$AH$117)+SUMIF(②釜工程入力!$W$5:$W$117,$C111,②釜工程入力!$AI$5:$AI$117)+SUMIF(③スチコン工程入力!$R$5:$R$152,$C111,③スチコン工程入力!$AD$5:$AD$152)+SUMIF(③スチコン工程入力!$S$5:$S$152,$C111,③スチコン工程入力!$AE$5:$AE$152)+SUMIF(③スチコン工程入力!$T$5:$T$152,$C111,③スチコン工程入力!$AF$5:$AF$152)+SUMIF(③スチコン工程入力!$U$5:$U$152,$C111,③スチコン工程入力!$AG$5:$AG$152)+SUMIF(③スチコン工程入力!$V$5:$V$152,$C111,③スチコン工程入力!$AH$5:$AH$152)+SUMIF(③スチコン工程入力!$W$5:$W$152,$C111,③スチコン工程入力!$AI$5:$AI$152)+SUMIF(⑩盛付梱包工程入力!$R$5:$R$300,$C111,⑩盛付梱包工程入力!$AD$5:$AD$300)+SUMIF(⑩盛付梱包工程入力!$S$5:$S$300,$C111,⑩盛付梱包工程入力!$AE$5:$AE$300)+SUMIF(⑩盛付梱包工程入力!$T$5:$T$300,$C111,⑩盛付梱包工程入力!$AF$5:$AF$300)+SUMIF(⑩盛付梱包工程入力!$U$5:$U$300,$C111,⑩盛付梱包工程入力!$AG$5:$AG$300)+SUMIF(⑩盛付梱包工程入力!$V$5:$V$300,$C111,⑩盛付梱包工程入力!$AH$5:$AH$300)+SUMIF(⑩盛付梱包工程入力!$W$5:$W$300,$C111,⑩盛付梱包工程入力!$AI$5:$AI$300)+SUMIF(⑪ZEN工程入力!$R$6:$R$35,$C111,⑪ZEN工程入力!$AD$6:$AD$35)+SUMIF(⑪ZEN工程入力!$S$6:$S$35,$C111,⑪ZEN工程入力!$AE$6:$AE$35)+SUMIF(⑪ZEN工程入力!$T$6:$T$35,$C111,⑪ZEN工程入力!$AF$6:$AF$35)+SUMIF(⑪ZEN工程入力!$U$6:$U$35,$C111,⑪ZEN工程入力!$AG$6:$AG$35)+SUMIF(⑪ZEN工程入力!$V$6:$V$35,$C111,⑪ZEN工程入力!$AH$6:$AH$35)+SUMIF(⑪ZEN工程入力!$W$6:$W$35,$C111,⑪ZEN工程入力!$AI$6:$AI$35)+SUMIF(⑫ミキサー工程入力!$R$6:$R$65,$C111,⑫ミキサー工程入力!$AD$6:$AD$65)+SUMIF(⑫ミキサー工程入力!$S$6:$S$65,$C111,⑫ミキサー工程入力!$AE$6:$AE$65)+SUMIF(⑫ミキサー工程入力!$T$6:$T$65,$C111,⑫ミキサー工程入力!$AF$6:$AF$65)+SUMIF(⑫ミキサー工程入力!$U$6:$U$65,$C111,⑫ミキサー工程入力!$AG$6:$AG$65)+SUMIF(⑫ミキサー工程入力!$V$6:$V$65,$C111,⑫ミキサー工程入力!$AH$6:$AH$65)+SUMIF(⑫ミキサー工程入力!$W$6:$W$65,$C111,⑫ミキサー工程入力!$AI$6:$AI$65)+SUMIF(⑬計量工程入力!$R$6:$R$65,$C111,⑬計量工程入力!$AD$6:$AD$65)+SUMIF(⑬計量工程入力!$S$6:$S$65,$C111,⑬計量工程入力!$AE$6:$AE$65)+SUMIF(⑬計量工程入力!$T$6:$T$65,$C111,⑬計量工程入力!$AF$6:$AF$65)+SUMIF(⑬計量工程入力!$U$6:$U$65,$C111,⑬計量工程入力!$AG$6:$AG$65)+SUMIF(⑬計量工程入力!$V$6:$V$65,$C111,⑬計量工程入力!$AH$6:$AH$65)+SUMIF(⑬計量工程入力!$W$6:$W$65,$C111,⑬計量工程入力!$AI$6:$AI$65)+SUMIF(⑭手動工程入力!$R$6:$R$47,$C111,⑭手動工程入力!$AD$6:$AD$47)+SUMIF(⑭手動工程入力!$S$6:$S$47,$C111,⑭手動工程入力!$AE$6:$AE$47)+SUMIF(⑭手動工程入力!$T$6:$T$47,$C111,⑭手動工程入力!$AF$6:$AF$47)+SUMIF(⑭手動工程入力!$U$6:$U$47,$C111,⑭手動工程入力!$AG$6:$AG$47)+SUMIF(⑭手動工程入力!$V$6:$V$47,$C111,⑭手動工程入力!$AH$6:$AH$47)+SUMIF(⑭手動工程入力!$W$6:$W$47,$C111,⑭手動工程入力!$AI$6:$AI$47)</f>
        <v/>
      </c>
      <c r="I111" s="393">
        <f>IF($F111&gt;0,$H111/$F111,"")</f>
        <v/>
      </c>
      <c r="J111" s="605">
        <f>IFERROR(INDEX(商品原価!$B$4:$B$112,MATCH(SUBSTITUTE(SUBSTITUTE(SUBSTITUTE(SUBSTITUTE(SUBSTITUTE(SUBSTITUTE(SUBSTITUTE(SUBSTITUTE(SUBSTITUTE(SUBSTITUTE(ASC($C111),"①","1"),"②","2"),"③","3"),"④","4"),"⑤","5"),"⑥","6"),"⑦","7"),"⑧","8"),"⑨","9")," ",""),商品原価!$C$4:$C$112,0)),"")</f>
        <v/>
      </c>
      <c r="K111" s="542">
        <f>IF(ISNUMBER($J111),$J111*④前提設定!$B$21,"")</f>
        <v/>
      </c>
      <c r="L111" s="605">
        <f>IF(AND(NOT(ISNUMBER($J111)),NOT(ISNUMBER($K111))),"",N($J111)+N($K111))</f>
        <v/>
      </c>
      <c r="M111" s="605">
        <f>IFERROR(INDEX(商品原価!$E$4:$E$112,MATCH(SUBSTITUTE(SUBSTITUTE(SUBSTITUTE(SUBSTITUTE(SUBSTITUTE(SUBSTITUTE(SUBSTITUTE(SUBSTITUTE(SUBSTITUTE(SUBSTITUTE(ASC($C111),"①","1"),"②","2"),"③","3"),"④","4"),"⑤","5"),"⑥","6"),"⑦","7"),"⑧","8"),"⑨","9")," ",""),商品原価!$C$4:$C$112,0)),"")</f>
        <v/>
      </c>
      <c r="N111" s="605">
        <f>IF(AND(ISNUMBER($M111),ISNUMBER($L111)),$M111-$L111-N($W111),"")</f>
        <v/>
      </c>
      <c r="O111" s="606">
        <f>IF(AND(ISNUMBER($N111),ISNUMBER($M111),$M111&gt;0),$N111/$M111,"")</f>
        <v/>
      </c>
      <c r="P111" s="398">
        <f>COUNTIF(②釜工程入力!$R$5:$R$117,$C111)+COUNTIF(②釜工程入力!$S$5:$S$117,$C111)+COUNTIF(②釜工程入力!$T$5:$T$117,$C111)+COUNTIF(②釜工程入力!$U$5:$U$117,$C111)+COUNTIF(②釜工程入力!$V$5:$V$117,$C111)+COUNTIF(②釜工程入力!$W$5:$W$117,$C111)+COUNTIF(③スチコン工程入力!$R$5:$R$152,$C111)+COUNTIF(③スチコン工程入力!$S$5:$S$152,$C111)+COUNTIF(③スチコン工程入力!$T$5:$T$152,$C111)+COUNTIF(③スチコン工程入力!$U$5:$U$152,$C111)+COUNTIF(③スチコン工程入力!$V$5:$V$152,$C111)+COUNTIF(③スチコン工程入力!$W$5:$W$152,$C111)+COUNTIF(⑩盛付梱包工程入力!$R$5:$R$300,$C111)+COUNTIF(⑩盛付梱包工程入力!$S$5:$S$300,$C111)+COUNTIF(⑩盛付梱包工程入力!$T$5:$T$300,$C111)+COUNTIF(⑩盛付梱包工程入力!$U$5:$U$300,$C111)+COUNTIF(⑩盛付梱包工程入力!$V$5:$V$300,$C111)+COUNTIF(⑩盛付梱包工程入力!$W$5:$W$300,$C111)+COUNTIF(⑪ZEN工程入力!$R$6:$R$35,$C111)+COUNTIF(⑪ZEN工程入力!$S$6:$S$35,$C111)+COUNTIF(⑪ZEN工程入力!$T$6:$T$35,$C111)+COUNTIF(⑪ZEN工程入力!$U$6:$U$35,$C111)+COUNTIF(⑪ZEN工程入力!$V$6:$V$35,$C111)+COUNTIF(⑪ZEN工程入力!$W$6:$W$35,$C111)+COUNTIF(⑫ミキサー工程入力!$R$6:$R$65,$C111)+COUNTIF(⑫ミキサー工程入力!$S$6:$S$65,$C111)+COUNTIF(⑫ミキサー工程入力!$T$6:$T$65,$C111)+COUNTIF(⑫ミキサー工程入力!$U$6:$U$65,$C111)+COUNTIF(⑫ミキサー工程入力!$V$6:$V$65,$C111)+COUNTIF(⑫ミキサー工程入力!$W$6:$W$65,$C111)+COUNTIF(⑬計量工程入力!$R$6:$R$65,$C111)+COUNTIF(⑬計量工程入力!$S$6:$S$65,$C111)+COUNTIF(⑬計量工程入力!$T$6:$T$65,$C111)+COUNTIF(⑬計量工程入力!$U$6:$U$65,$C111)+COUNTIF(⑬計量工程入力!$V$6:$V$65,$C111)+COUNTIF(⑬計量工程入力!$W$6:$W$65,$C111)+COUNTIF(⑭手動工程入力!$R$6:$R$47,$C111)+COUNTIF(⑭手動工程入力!$S$6:$S$47,$C111)+COUNTIF(⑭手動工程入力!$T$6:$T$47,$C111)+COUNTIF(⑭手動工程入力!$U$6:$U$47,$C111)+COUNTIF(⑭手動工程入力!$V$6:$V$47,$C111)+COUNTIF(⑭手動工程入力!$W$6:$W$47,$C111)</f>
        <v/>
      </c>
      <c r="Q111" s="392" t="inlineStr">
        <is>
          <t>⑩盛付梱包 26行目に入力欄を作成（工程記録なし）</t>
        </is>
      </c>
      <c r="R111" s="393" t="n"/>
      <c r="S111" s="393" t="n"/>
      <c r="T111" s="393" t="n"/>
      <c r="U111" s="393" t="n"/>
      <c r="V111" s="605">
        <f>IFERROR(INDEX(KIT別作業時間!$D$4:$D$27,MATCH(SUBSTITUTE(SUBSTITUTE(SUBSTITUTE(SUBSTITUTE(SUBSTITUTE(SUBSTITUTE(SUBSTITUTE(SUBSTITUTE(SUBSTITUTE(SUBSTITUTE(ASC($C111),"①","1"),"②","2"),"③","3"),"④","4"),"⑤","5"),"⑥","6"),"⑦","7"),"⑧","8"),"⑨","9")," ",""),KIT別作業時間!$C$4:$C$27,0)),"")</f>
        <v/>
      </c>
      <c r="W111" s="393">
        <f>IF(AND(ISNUMBER($I111),$I111&gt;0),$I111,IF(ISNUMBER($V111),$V111,IF(ISNUMBER($R111),$R111,"")))</f>
        <v/>
      </c>
      <c r="X111" s="393">
        <f>IF(AND(ISNUMBER($I111),$I111&gt;0),"今回の工程実績",IF(ISNUMBER($V111),"KIT作業時間",IF(ISNUMBER($R111),"前回資料","")))</f>
        <v/>
      </c>
      <c r="Y111" s="398" t="n">
        <v>616</v>
      </c>
      <c r="Z111" s="398">
        <f>IF(AND(ISNUMBER($W111),ISNUMBER($Y111)),$W111*$Y111,"")</f>
        <v/>
      </c>
      <c r="AA111" s="393" t="n"/>
    </row>
    <row r="112">
      <c r="A112" s="392" t="n">
        <v>108</v>
      </c>
      <c r="B112" s="392" t="n"/>
      <c r="C112" s="392" t="inlineStr">
        <is>
          <t>Ｃ素材を感じる焼き芋ロール</t>
        </is>
      </c>
      <c r="D112" s="398">
        <f>SUMIF(⑩盛付梱包工程入力!$R$5:$R$300,$C112,⑩盛付梱包工程入力!$AC$5:$AC$300)+SUMIF(⑩盛付梱包工程入力!$S$5:$S$300,$C112,⑩盛付梱包工程入力!$AC$5:$AC$300)+SUMIF(⑩盛付梱包工程入力!$T$5:$T$300,$C112,⑩盛付梱包工程入力!$AC$5:$AC$300)+SUMIF(⑩盛付梱包工程入力!$U$5:$U$300,$C112,⑩盛付梱包工程入力!$AC$5:$AC$300)+SUMIF(⑩盛付梱包工程入力!$V$5:$V$300,$C112,⑩盛付梱包工程入力!$AC$5:$AC$300)+SUMIF(⑩盛付梱包工程入力!$W$5:$W$300,$C112,⑩盛付梱包工程入力!$AC$5:$AC$300)</f>
        <v/>
      </c>
      <c r="E112" s="398" t="n">
        <v>3</v>
      </c>
      <c r="F112" s="398">
        <f>IF(N($E112)&gt;0,$E112,$D112)</f>
        <v/>
      </c>
      <c r="G112" s="393" t="n">
        <v>94.66666666666667</v>
      </c>
      <c r="H112" s="393">
        <f>SUMIF(②釜工程入力!$R$5:$R$117,$C112,②釜工程入力!$AD$5:$AD$117)+SUMIF(②釜工程入力!$S$5:$S$117,$C112,②釜工程入力!$AE$5:$AE$117)+SUMIF(②釜工程入力!$T$5:$T$117,$C112,②釜工程入力!$AF$5:$AF$117)+SUMIF(②釜工程入力!$U$5:$U$117,$C112,②釜工程入力!$AG$5:$AG$117)+SUMIF(②釜工程入力!$V$5:$V$117,$C112,②釜工程入力!$AH$5:$AH$117)+SUMIF(②釜工程入力!$W$5:$W$117,$C112,②釜工程入力!$AI$5:$AI$117)+SUMIF(③スチコン工程入力!$R$5:$R$152,$C112,③スチコン工程入力!$AD$5:$AD$152)+SUMIF(③スチコン工程入力!$S$5:$S$152,$C112,③スチコン工程入力!$AE$5:$AE$152)+SUMIF(③スチコン工程入力!$T$5:$T$152,$C112,③スチコン工程入力!$AF$5:$AF$152)+SUMIF(③スチコン工程入力!$U$5:$U$152,$C112,③スチコン工程入力!$AG$5:$AG$152)+SUMIF(③スチコン工程入力!$V$5:$V$152,$C112,③スチコン工程入力!$AH$5:$AH$152)+SUMIF(③スチコン工程入力!$W$5:$W$152,$C112,③スチコン工程入力!$AI$5:$AI$152)+SUMIF(⑩盛付梱包工程入力!$R$5:$R$300,$C112,⑩盛付梱包工程入力!$AD$5:$AD$300)+SUMIF(⑩盛付梱包工程入力!$S$5:$S$300,$C112,⑩盛付梱包工程入力!$AE$5:$AE$300)+SUMIF(⑩盛付梱包工程入力!$T$5:$T$300,$C112,⑩盛付梱包工程入力!$AF$5:$AF$300)+SUMIF(⑩盛付梱包工程入力!$U$5:$U$300,$C112,⑩盛付梱包工程入力!$AG$5:$AG$300)+SUMIF(⑩盛付梱包工程入力!$V$5:$V$300,$C112,⑩盛付梱包工程入力!$AH$5:$AH$300)+SUMIF(⑩盛付梱包工程入力!$W$5:$W$300,$C112,⑩盛付梱包工程入力!$AI$5:$AI$300)+SUMIF(⑪ZEN工程入力!$R$6:$R$35,$C112,⑪ZEN工程入力!$AD$6:$AD$35)+SUMIF(⑪ZEN工程入力!$S$6:$S$35,$C112,⑪ZEN工程入力!$AE$6:$AE$35)+SUMIF(⑪ZEN工程入力!$T$6:$T$35,$C112,⑪ZEN工程入力!$AF$6:$AF$35)+SUMIF(⑪ZEN工程入力!$U$6:$U$35,$C112,⑪ZEN工程入力!$AG$6:$AG$35)+SUMIF(⑪ZEN工程入力!$V$6:$V$35,$C112,⑪ZEN工程入力!$AH$6:$AH$35)+SUMIF(⑪ZEN工程入力!$W$6:$W$35,$C112,⑪ZEN工程入力!$AI$6:$AI$35)+SUMIF(⑫ミキサー工程入力!$R$6:$R$65,$C112,⑫ミキサー工程入力!$AD$6:$AD$65)+SUMIF(⑫ミキサー工程入力!$S$6:$S$65,$C112,⑫ミキサー工程入力!$AE$6:$AE$65)+SUMIF(⑫ミキサー工程入力!$T$6:$T$65,$C112,⑫ミキサー工程入力!$AF$6:$AF$65)+SUMIF(⑫ミキサー工程入力!$U$6:$U$65,$C112,⑫ミキサー工程入力!$AG$6:$AG$65)+SUMIF(⑫ミキサー工程入力!$V$6:$V$65,$C112,⑫ミキサー工程入力!$AH$6:$AH$65)+SUMIF(⑫ミキサー工程入力!$W$6:$W$65,$C112,⑫ミキサー工程入力!$AI$6:$AI$65)+SUMIF(⑬計量工程入力!$R$6:$R$65,$C112,⑬計量工程入力!$AD$6:$AD$65)+SUMIF(⑬計量工程入力!$S$6:$S$65,$C112,⑬計量工程入力!$AE$6:$AE$65)+SUMIF(⑬計量工程入力!$T$6:$T$65,$C112,⑬計量工程入力!$AF$6:$AF$65)+SUMIF(⑬計量工程入力!$U$6:$U$65,$C112,⑬計量工程入力!$AG$6:$AG$65)+SUMIF(⑬計量工程入力!$V$6:$V$65,$C112,⑬計量工程入力!$AH$6:$AH$65)+SUMIF(⑬計量工程入力!$W$6:$W$65,$C112,⑬計量工程入力!$AI$6:$AI$65)+SUMIF(⑭手動工程入力!$R$6:$R$47,$C112,⑭手動工程入力!$AD$6:$AD$47)+SUMIF(⑭手動工程入力!$S$6:$S$47,$C112,⑭手動工程入力!$AE$6:$AE$47)+SUMIF(⑭手動工程入力!$T$6:$T$47,$C112,⑭手動工程入力!$AF$6:$AF$47)+SUMIF(⑭手動工程入力!$U$6:$U$47,$C112,⑭手動工程入力!$AG$6:$AG$47)+SUMIF(⑭手動工程入力!$V$6:$V$47,$C112,⑭手動工程入力!$AH$6:$AH$47)+SUMIF(⑭手動工程入力!$W$6:$W$47,$C112,⑭手動工程入力!$AI$6:$AI$47)</f>
        <v/>
      </c>
      <c r="I112" s="393">
        <f>IF($F112&gt;0,$H112/$F112,"")</f>
        <v/>
      </c>
      <c r="J112" s="605">
        <f>IFERROR(INDEX(商品原価!$B$4:$B$112,MATCH(SUBSTITUTE(SUBSTITUTE(SUBSTITUTE(SUBSTITUTE(SUBSTITUTE(SUBSTITUTE(SUBSTITUTE(SUBSTITUTE(SUBSTITUTE(SUBSTITUTE(ASC($C112),"①","1"),"②","2"),"③","3"),"④","4"),"⑤","5"),"⑥","6"),"⑦","7"),"⑧","8"),"⑨","9")," ",""),商品原価!$C$4:$C$112,0)),"")</f>
        <v/>
      </c>
      <c r="K112" s="542">
        <f>IF(ISNUMBER($J112),$J112*④前提設定!$B$21,"")</f>
        <v/>
      </c>
      <c r="L112" s="605">
        <f>IF(AND(NOT(ISNUMBER($J112)),NOT(ISNUMBER($K112))),"",N($J112)+N($K112))</f>
        <v/>
      </c>
      <c r="M112" s="605">
        <f>IFERROR(INDEX(商品原価!$E$4:$E$112,MATCH(SUBSTITUTE(SUBSTITUTE(SUBSTITUTE(SUBSTITUTE(SUBSTITUTE(SUBSTITUTE(SUBSTITUTE(SUBSTITUTE(SUBSTITUTE(SUBSTITUTE(ASC($C112),"①","1"),"②","2"),"③","3"),"④","4"),"⑤","5"),"⑥","6"),"⑦","7"),"⑧","8"),"⑨","9")," ",""),商品原価!$C$4:$C$112,0)),"")</f>
        <v/>
      </c>
      <c r="N112" s="605">
        <f>IF(AND(ISNUMBER($M112),ISNUMBER($L112)),$M112-$L112-N($W112),"")</f>
        <v/>
      </c>
      <c r="O112" s="606">
        <f>IF(AND(ISNUMBER($N112),ISNUMBER($M112),$M112&gt;0),$N112/$M112,"")</f>
        <v/>
      </c>
      <c r="P112" s="398">
        <f>COUNTIF(②釜工程入力!$R$5:$R$117,$C112)+COUNTIF(②釜工程入力!$S$5:$S$117,$C112)+COUNTIF(②釜工程入力!$T$5:$T$117,$C112)+COUNTIF(②釜工程入力!$U$5:$U$117,$C112)+COUNTIF(②釜工程入力!$V$5:$V$117,$C112)+COUNTIF(②釜工程入力!$W$5:$W$117,$C112)+COUNTIF(③スチコン工程入力!$R$5:$R$152,$C112)+COUNTIF(③スチコン工程入力!$S$5:$S$152,$C112)+COUNTIF(③スチコン工程入力!$T$5:$T$152,$C112)+COUNTIF(③スチコン工程入力!$U$5:$U$152,$C112)+COUNTIF(③スチコン工程入力!$V$5:$V$152,$C112)+COUNTIF(③スチコン工程入力!$W$5:$W$152,$C112)+COUNTIF(⑩盛付梱包工程入力!$R$5:$R$300,$C112)+COUNTIF(⑩盛付梱包工程入力!$S$5:$S$300,$C112)+COUNTIF(⑩盛付梱包工程入力!$T$5:$T$300,$C112)+COUNTIF(⑩盛付梱包工程入力!$U$5:$U$300,$C112)+COUNTIF(⑩盛付梱包工程入力!$V$5:$V$300,$C112)+COUNTIF(⑩盛付梱包工程入力!$W$5:$W$300,$C112)+COUNTIF(⑪ZEN工程入力!$R$6:$R$35,$C112)+COUNTIF(⑪ZEN工程入力!$S$6:$S$35,$C112)+COUNTIF(⑪ZEN工程入力!$T$6:$T$35,$C112)+COUNTIF(⑪ZEN工程入力!$U$6:$U$35,$C112)+COUNTIF(⑪ZEN工程入力!$V$6:$V$35,$C112)+COUNTIF(⑪ZEN工程入力!$W$6:$W$35,$C112)+COUNTIF(⑫ミキサー工程入力!$R$6:$R$65,$C112)+COUNTIF(⑫ミキサー工程入力!$S$6:$S$65,$C112)+COUNTIF(⑫ミキサー工程入力!$T$6:$T$65,$C112)+COUNTIF(⑫ミキサー工程入力!$U$6:$U$65,$C112)+COUNTIF(⑫ミキサー工程入力!$V$6:$V$65,$C112)+COUNTIF(⑫ミキサー工程入力!$W$6:$W$65,$C112)+COUNTIF(⑬計量工程入力!$R$6:$R$65,$C112)+COUNTIF(⑬計量工程入力!$S$6:$S$65,$C112)+COUNTIF(⑬計量工程入力!$T$6:$T$65,$C112)+COUNTIF(⑬計量工程入力!$U$6:$U$65,$C112)+COUNTIF(⑬計量工程入力!$V$6:$V$65,$C112)+COUNTIF(⑬計量工程入力!$W$6:$W$65,$C112)+COUNTIF(⑭手動工程入力!$R$6:$R$47,$C112)+COUNTIF(⑭手動工程入力!$S$6:$S$47,$C112)+COUNTIF(⑭手動工程入力!$T$6:$T$47,$C112)+COUNTIF(⑭手動工程入力!$U$6:$U$47,$C112)+COUNTIF(⑭手動工程入力!$V$6:$V$47,$C112)+COUNTIF(⑭手動工程入力!$W$6:$W$47,$C112)</f>
        <v/>
      </c>
      <c r="Q112" s="392" t="inlineStr">
        <is>
          <t>⑩盛付梱包 75行目に入力欄を作成（工程記録なし）</t>
        </is>
      </c>
      <c r="R112" s="393" t="n"/>
      <c r="S112" s="393" t="n"/>
      <c r="T112" s="393" t="n"/>
      <c r="U112" s="393" t="n"/>
      <c r="V112" s="605">
        <f>IFERROR(INDEX(KIT別作業時間!$D$4:$D$27,MATCH(SUBSTITUTE(SUBSTITUTE(SUBSTITUTE(SUBSTITUTE(SUBSTITUTE(SUBSTITUTE(SUBSTITUTE(SUBSTITUTE(SUBSTITUTE(SUBSTITUTE(ASC($C112),"①","1"),"②","2"),"③","3"),"④","4"),"⑤","5"),"⑥","6"),"⑦","7"),"⑧","8"),"⑨","9")," ",""),KIT別作業時間!$C$4:$C$27,0)),"")</f>
        <v/>
      </c>
      <c r="W112" s="393">
        <f>IF(AND(ISNUMBER($I112),$I112&gt;0),$I112,IF(ISNUMBER($V112),$V112,IF(ISNUMBER($R112),$R112,"")))</f>
        <v/>
      </c>
      <c r="X112" s="393">
        <f>IF(AND(ISNUMBER($I112),$I112&gt;0),"今回の工程実績",IF(ISNUMBER($V112),"KIT作業時間",IF(ISNUMBER($R112),"前回資料","")))</f>
        <v/>
      </c>
      <c r="Y112" s="398" t="n">
        <v>3</v>
      </c>
      <c r="Z112" s="398">
        <f>IF(AND(ISNUMBER($W112),ISNUMBER($Y112)),$W112*$Y112,"")</f>
        <v/>
      </c>
      <c r="AA112" s="393" t="n"/>
    </row>
    <row r="113">
      <c r="A113" s="392" t="n">
        <v>109</v>
      </c>
      <c r="B113" s="392" t="n"/>
      <c r="C113" s="392" t="inlineStr">
        <is>
          <t>チョコチップスコーン３個</t>
        </is>
      </c>
      <c r="D113" s="398">
        <f>SUMIF(⑩盛付梱包工程入力!$R$5:$R$300,$C113,⑩盛付梱包工程入力!$AC$5:$AC$300)+SUMIF(⑩盛付梱包工程入力!$S$5:$S$300,$C113,⑩盛付梱包工程入力!$AC$5:$AC$300)+SUMIF(⑩盛付梱包工程入力!$T$5:$T$300,$C113,⑩盛付梱包工程入力!$AC$5:$AC$300)+SUMIF(⑩盛付梱包工程入力!$U$5:$U$300,$C113,⑩盛付梱包工程入力!$AC$5:$AC$300)+SUMIF(⑩盛付梱包工程入力!$V$5:$V$300,$C113,⑩盛付梱包工程入力!$AC$5:$AC$300)+SUMIF(⑩盛付梱包工程入力!$W$5:$W$300,$C113,⑩盛付梱包工程入力!$AC$5:$AC$300)</f>
        <v/>
      </c>
      <c r="E113" s="398" t="n">
        <v>2</v>
      </c>
      <c r="F113" s="398">
        <f>IF(N($E113)&gt;0,$E113,$D113)</f>
        <v/>
      </c>
      <c r="G113" s="398" t="n"/>
      <c r="H113" s="393">
        <f>SUMIF(②釜工程入力!$R$5:$R$117,$C113,②釜工程入力!$AD$5:$AD$117)+SUMIF(②釜工程入力!$S$5:$S$117,$C113,②釜工程入力!$AE$5:$AE$117)+SUMIF(②釜工程入力!$T$5:$T$117,$C113,②釜工程入力!$AF$5:$AF$117)+SUMIF(②釜工程入力!$U$5:$U$117,$C113,②釜工程入力!$AG$5:$AG$117)+SUMIF(②釜工程入力!$V$5:$V$117,$C113,②釜工程入力!$AH$5:$AH$117)+SUMIF(②釜工程入力!$W$5:$W$117,$C113,②釜工程入力!$AI$5:$AI$117)+SUMIF(③スチコン工程入力!$R$5:$R$152,$C113,③スチコン工程入力!$AD$5:$AD$152)+SUMIF(③スチコン工程入力!$S$5:$S$152,$C113,③スチコン工程入力!$AE$5:$AE$152)+SUMIF(③スチコン工程入力!$T$5:$T$152,$C113,③スチコン工程入力!$AF$5:$AF$152)+SUMIF(③スチコン工程入力!$U$5:$U$152,$C113,③スチコン工程入力!$AG$5:$AG$152)+SUMIF(③スチコン工程入力!$V$5:$V$152,$C113,③スチコン工程入力!$AH$5:$AH$152)+SUMIF(③スチコン工程入力!$W$5:$W$152,$C113,③スチコン工程入力!$AI$5:$AI$152)+SUMIF(⑩盛付梱包工程入力!$R$5:$R$300,$C113,⑩盛付梱包工程入力!$AD$5:$AD$300)+SUMIF(⑩盛付梱包工程入力!$S$5:$S$300,$C113,⑩盛付梱包工程入力!$AE$5:$AE$300)+SUMIF(⑩盛付梱包工程入力!$T$5:$T$300,$C113,⑩盛付梱包工程入力!$AF$5:$AF$300)+SUMIF(⑩盛付梱包工程入力!$U$5:$U$300,$C113,⑩盛付梱包工程入力!$AG$5:$AG$300)+SUMIF(⑩盛付梱包工程入力!$V$5:$V$300,$C113,⑩盛付梱包工程入力!$AH$5:$AH$300)+SUMIF(⑩盛付梱包工程入力!$W$5:$W$300,$C113,⑩盛付梱包工程入力!$AI$5:$AI$300)+SUMIF(⑪ZEN工程入力!$R$6:$R$35,$C113,⑪ZEN工程入力!$AD$6:$AD$35)+SUMIF(⑪ZEN工程入力!$S$6:$S$35,$C113,⑪ZEN工程入力!$AE$6:$AE$35)+SUMIF(⑪ZEN工程入力!$T$6:$T$35,$C113,⑪ZEN工程入力!$AF$6:$AF$35)+SUMIF(⑪ZEN工程入力!$U$6:$U$35,$C113,⑪ZEN工程入力!$AG$6:$AG$35)+SUMIF(⑪ZEN工程入力!$V$6:$V$35,$C113,⑪ZEN工程入力!$AH$6:$AH$35)+SUMIF(⑪ZEN工程入力!$W$6:$W$35,$C113,⑪ZEN工程入力!$AI$6:$AI$35)+SUMIF(⑫ミキサー工程入力!$R$6:$R$65,$C113,⑫ミキサー工程入力!$AD$6:$AD$65)+SUMIF(⑫ミキサー工程入力!$S$6:$S$65,$C113,⑫ミキサー工程入力!$AE$6:$AE$65)+SUMIF(⑫ミキサー工程入力!$T$6:$T$65,$C113,⑫ミキサー工程入力!$AF$6:$AF$65)+SUMIF(⑫ミキサー工程入力!$U$6:$U$65,$C113,⑫ミキサー工程入力!$AG$6:$AG$65)+SUMIF(⑫ミキサー工程入力!$V$6:$V$65,$C113,⑫ミキサー工程入力!$AH$6:$AH$65)+SUMIF(⑫ミキサー工程入力!$W$6:$W$65,$C113,⑫ミキサー工程入力!$AI$6:$AI$65)+SUMIF(⑬計量工程入力!$R$6:$R$65,$C113,⑬計量工程入力!$AD$6:$AD$65)+SUMIF(⑬計量工程入力!$S$6:$S$65,$C113,⑬計量工程入力!$AE$6:$AE$65)+SUMIF(⑬計量工程入力!$T$6:$T$65,$C113,⑬計量工程入力!$AF$6:$AF$65)+SUMIF(⑬計量工程入力!$U$6:$U$65,$C113,⑬計量工程入力!$AG$6:$AG$65)+SUMIF(⑬計量工程入力!$V$6:$V$65,$C113,⑬計量工程入力!$AH$6:$AH$65)+SUMIF(⑬計量工程入力!$W$6:$W$65,$C113,⑬計量工程入力!$AI$6:$AI$65)+SUMIF(⑭手動工程入力!$R$6:$R$47,$C113,⑭手動工程入力!$AD$6:$AD$47)+SUMIF(⑭手動工程入力!$S$6:$S$47,$C113,⑭手動工程入力!$AE$6:$AE$47)+SUMIF(⑭手動工程入力!$T$6:$T$47,$C113,⑭手動工程入力!$AF$6:$AF$47)+SUMIF(⑭手動工程入力!$U$6:$U$47,$C113,⑭手動工程入力!$AG$6:$AG$47)+SUMIF(⑭手動工程入力!$V$6:$V$47,$C113,⑭手動工程入力!$AH$6:$AH$47)+SUMIF(⑭手動工程入力!$W$6:$W$47,$C113,⑭手動工程入力!$AI$6:$AI$47)</f>
        <v/>
      </c>
      <c r="I113" s="393">
        <f>IF($F113&gt;0,$H113/$F113,"")</f>
        <v/>
      </c>
      <c r="J113" s="605">
        <f>IFERROR(INDEX(商品原価!$B$4:$B$112,MATCH(SUBSTITUTE(SUBSTITUTE(SUBSTITUTE(SUBSTITUTE(SUBSTITUTE(SUBSTITUTE(SUBSTITUTE(SUBSTITUTE(SUBSTITUTE(SUBSTITUTE(ASC($C113),"①","1"),"②","2"),"③","3"),"④","4"),"⑤","5"),"⑥","6"),"⑦","7"),"⑧","8"),"⑨","9")," ",""),商品原価!$C$4:$C$112,0)),"")</f>
        <v/>
      </c>
      <c r="K113" s="542">
        <f>IF(ISNUMBER($J113),$J113*④前提設定!$B$21,"")</f>
        <v/>
      </c>
      <c r="L113" s="605">
        <f>IF(AND(NOT(ISNUMBER($J113)),NOT(ISNUMBER($K113))),"",N($J113)+N($K113))</f>
        <v/>
      </c>
      <c r="M113" s="605">
        <f>IFERROR(INDEX(商品原価!$E$4:$E$112,MATCH(SUBSTITUTE(SUBSTITUTE(SUBSTITUTE(SUBSTITUTE(SUBSTITUTE(SUBSTITUTE(SUBSTITUTE(SUBSTITUTE(SUBSTITUTE(SUBSTITUTE(ASC($C113),"①","1"),"②","2"),"③","3"),"④","4"),"⑤","5"),"⑥","6"),"⑦","7"),"⑧","8"),"⑨","9")," ",""),商品原価!$C$4:$C$112,0)),"")</f>
        <v/>
      </c>
      <c r="N113" s="605">
        <f>IF(AND(ISNUMBER($M113),ISNUMBER($L113)),$M113-$L113-N($W113),"")</f>
        <v/>
      </c>
      <c r="O113" s="606">
        <f>IF(AND(ISNUMBER($N113),ISNUMBER($M113),$M113&gt;0),$N113/$M113,"")</f>
        <v/>
      </c>
      <c r="P113" s="398">
        <f>COUNTIF(②釜工程入力!$R$5:$R$117,$C113)+COUNTIF(②釜工程入力!$S$5:$S$117,$C113)+COUNTIF(②釜工程入力!$T$5:$T$117,$C113)+COUNTIF(②釜工程入力!$U$5:$U$117,$C113)+COUNTIF(②釜工程入力!$V$5:$V$117,$C113)+COUNTIF(②釜工程入力!$W$5:$W$117,$C113)+COUNTIF(③スチコン工程入力!$R$5:$R$152,$C113)+COUNTIF(③スチコン工程入力!$S$5:$S$152,$C113)+COUNTIF(③スチコン工程入力!$T$5:$T$152,$C113)+COUNTIF(③スチコン工程入力!$U$5:$U$152,$C113)+COUNTIF(③スチコン工程入力!$V$5:$V$152,$C113)+COUNTIF(③スチコン工程入力!$W$5:$W$152,$C113)+COUNTIF(⑩盛付梱包工程入力!$R$5:$R$300,$C113)+COUNTIF(⑩盛付梱包工程入力!$S$5:$S$300,$C113)+COUNTIF(⑩盛付梱包工程入力!$T$5:$T$300,$C113)+COUNTIF(⑩盛付梱包工程入力!$U$5:$U$300,$C113)+COUNTIF(⑩盛付梱包工程入力!$V$5:$V$300,$C113)+COUNTIF(⑩盛付梱包工程入力!$W$5:$W$300,$C113)+COUNTIF(⑪ZEN工程入力!$R$6:$R$35,$C113)+COUNTIF(⑪ZEN工程入力!$S$6:$S$35,$C113)+COUNTIF(⑪ZEN工程入力!$T$6:$T$35,$C113)+COUNTIF(⑪ZEN工程入力!$U$6:$U$35,$C113)+COUNTIF(⑪ZEN工程入力!$V$6:$V$35,$C113)+COUNTIF(⑪ZEN工程入力!$W$6:$W$35,$C113)+COUNTIF(⑫ミキサー工程入力!$R$6:$R$65,$C113)+COUNTIF(⑫ミキサー工程入力!$S$6:$S$65,$C113)+COUNTIF(⑫ミキサー工程入力!$T$6:$T$65,$C113)+COUNTIF(⑫ミキサー工程入力!$U$6:$U$65,$C113)+COUNTIF(⑫ミキサー工程入力!$V$6:$V$65,$C113)+COUNTIF(⑫ミキサー工程入力!$W$6:$W$65,$C113)+COUNTIF(⑬計量工程入力!$R$6:$R$65,$C113)+COUNTIF(⑬計量工程入力!$S$6:$S$65,$C113)+COUNTIF(⑬計量工程入力!$T$6:$T$65,$C113)+COUNTIF(⑬計量工程入力!$U$6:$U$65,$C113)+COUNTIF(⑬計量工程入力!$V$6:$V$65,$C113)+COUNTIF(⑬計量工程入力!$W$6:$W$65,$C113)+COUNTIF(⑭手動工程入力!$R$6:$R$47,$C113)+COUNTIF(⑭手動工程入力!$S$6:$S$47,$C113)+COUNTIF(⑭手動工程入力!$T$6:$T$47,$C113)+COUNTIF(⑭手動工程入力!$U$6:$U$47,$C113)+COUNTIF(⑭手動工程入力!$V$6:$V$47,$C113)+COUNTIF(⑭手動工程入力!$W$6:$W$47,$C113)</f>
        <v/>
      </c>
      <c r="Q113" s="392" t="inlineStr">
        <is>
          <t>⑩盛付梱包 80行目に入力欄を作成（工程記録なし）</t>
        </is>
      </c>
      <c r="R113" s="393" t="n"/>
      <c r="S113" s="393" t="n"/>
      <c r="T113" s="393" t="n"/>
      <c r="U113" s="393" t="n"/>
      <c r="V113" s="605">
        <f>IFERROR(INDEX(KIT別作業時間!$D$4:$D$27,MATCH(SUBSTITUTE(SUBSTITUTE(SUBSTITUTE(SUBSTITUTE(SUBSTITUTE(SUBSTITUTE(SUBSTITUTE(SUBSTITUTE(SUBSTITUTE(SUBSTITUTE(ASC($C113),"①","1"),"②","2"),"③","3"),"④","4"),"⑤","5"),"⑥","6"),"⑦","7"),"⑧","8"),"⑨","9")," ",""),KIT別作業時間!$C$4:$C$27,0)),"")</f>
        <v/>
      </c>
      <c r="W113" s="393">
        <f>IF(AND(ISNUMBER($I113),$I113&gt;0),$I113,IF(ISNUMBER($V113),$V113,IF(ISNUMBER($R113),$R113,"")))</f>
        <v/>
      </c>
      <c r="X113" s="393">
        <f>IF(AND(ISNUMBER($I113),$I113&gt;0),"今回の工程実績",IF(ISNUMBER($V113),"KIT作業時間",IF(ISNUMBER($R113),"前回資料","")))</f>
        <v/>
      </c>
      <c r="Y113" s="398" t="n"/>
      <c r="Z113" s="398">
        <f>IF(AND(ISNUMBER($W113),ISNUMBER($Y113)),$W113*$Y113,"")</f>
        <v/>
      </c>
      <c r="AA113" s="393" t="n"/>
    </row>
    <row r="114">
      <c r="A114" s="392" t="n">
        <v>110</v>
      </c>
      <c r="B114" s="392" t="n"/>
      <c r="C114" s="392" t="inlineStr">
        <is>
          <t>Ｓふわもちホテルロール１６</t>
        </is>
      </c>
      <c r="D114" s="398">
        <f>SUMIF(⑩盛付梱包工程入力!$R$5:$R$300,$C114,⑩盛付梱包工程入力!$AC$5:$AC$300)+SUMIF(⑩盛付梱包工程入力!$S$5:$S$300,$C114,⑩盛付梱包工程入力!$AC$5:$AC$300)+SUMIF(⑩盛付梱包工程入力!$T$5:$T$300,$C114,⑩盛付梱包工程入力!$AC$5:$AC$300)+SUMIF(⑩盛付梱包工程入力!$U$5:$U$300,$C114,⑩盛付梱包工程入力!$AC$5:$AC$300)+SUMIF(⑩盛付梱包工程入力!$V$5:$V$300,$C114,⑩盛付梱包工程入力!$AC$5:$AC$300)+SUMIF(⑩盛付梱包工程入力!$W$5:$W$300,$C114,⑩盛付梱包工程入力!$AC$5:$AC$300)</f>
        <v/>
      </c>
      <c r="E114" s="398" t="n">
        <v>31</v>
      </c>
      <c r="F114" s="398">
        <f>IF(N($E114)&gt;0,$E114,$D114)</f>
        <v/>
      </c>
      <c r="G114" s="393" t="n">
        <v>88.15600775193798</v>
      </c>
      <c r="H114" s="393">
        <f>SUMIF(②釜工程入力!$R$5:$R$117,$C114,②釜工程入力!$AD$5:$AD$117)+SUMIF(②釜工程入力!$S$5:$S$117,$C114,②釜工程入力!$AE$5:$AE$117)+SUMIF(②釜工程入力!$T$5:$T$117,$C114,②釜工程入力!$AF$5:$AF$117)+SUMIF(②釜工程入力!$U$5:$U$117,$C114,②釜工程入力!$AG$5:$AG$117)+SUMIF(②釜工程入力!$V$5:$V$117,$C114,②釜工程入力!$AH$5:$AH$117)+SUMIF(②釜工程入力!$W$5:$W$117,$C114,②釜工程入力!$AI$5:$AI$117)+SUMIF(③スチコン工程入力!$R$5:$R$152,$C114,③スチコン工程入力!$AD$5:$AD$152)+SUMIF(③スチコン工程入力!$S$5:$S$152,$C114,③スチコン工程入力!$AE$5:$AE$152)+SUMIF(③スチコン工程入力!$T$5:$T$152,$C114,③スチコン工程入力!$AF$5:$AF$152)+SUMIF(③スチコン工程入力!$U$5:$U$152,$C114,③スチコン工程入力!$AG$5:$AG$152)+SUMIF(③スチコン工程入力!$V$5:$V$152,$C114,③スチコン工程入力!$AH$5:$AH$152)+SUMIF(③スチコン工程入力!$W$5:$W$152,$C114,③スチコン工程入力!$AI$5:$AI$152)+SUMIF(⑩盛付梱包工程入力!$R$5:$R$300,$C114,⑩盛付梱包工程入力!$AD$5:$AD$300)+SUMIF(⑩盛付梱包工程入力!$S$5:$S$300,$C114,⑩盛付梱包工程入力!$AE$5:$AE$300)+SUMIF(⑩盛付梱包工程入力!$T$5:$T$300,$C114,⑩盛付梱包工程入力!$AF$5:$AF$300)+SUMIF(⑩盛付梱包工程入力!$U$5:$U$300,$C114,⑩盛付梱包工程入力!$AG$5:$AG$300)+SUMIF(⑩盛付梱包工程入力!$V$5:$V$300,$C114,⑩盛付梱包工程入力!$AH$5:$AH$300)+SUMIF(⑩盛付梱包工程入力!$W$5:$W$300,$C114,⑩盛付梱包工程入力!$AI$5:$AI$300)+SUMIF(⑪ZEN工程入力!$R$6:$R$35,$C114,⑪ZEN工程入力!$AD$6:$AD$35)+SUMIF(⑪ZEN工程入力!$S$6:$S$35,$C114,⑪ZEN工程入力!$AE$6:$AE$35)+SUMIF(⑪ZEN工程入力!$T$6:$T$35,$C114,⑪ZEN工程入力!$AF$6:$AF$35)+SUMIF(⑪ZEN工程入力!$U$6:$U$35,$C114,⑪ZEN工程入力!$AG$6:$AG$35)+SUMIF(⑪ZEN工程入力!$V$6:$V$35,$C114,⑪ZEN工程入力!$AH$6:$AH$35)+SUMIF(⑪ZEN工程入力!$W$6:$W$35,$C114,⑪ZEN工程入力!$AI$6:$AI$35)+SUMIF(⑫ミキサー工程入力!$R$6:$R$65,$C114,⑫ミキサー工程入力!$AD$6:$AD$65)+SUMIF(⑫ミキサー工程入力!$S$6:$S$65,$C114,⑫ミキサー工程入力!$AE$6:$AE$65)+SUMIF(⑫ミキサー工程入力!$T$6:$T$65,$C114,⑫ミキサー工程入力!$AF$6:$AF$65)+SUMIF(⑫ミキサー工程入力!$U$6:$U$65,$C114,⑫ミキサー工程入力!$AG$6:$AG$65)+SUMIF(⑫ミキサー工程入力!$V$6:$V$65,$C114,⑫ミキサー工程入力!$AH$6:$AH$65)+SUMIF(⑫ミキサー工程入力!$W$6:$W$65,$C114,⑫ミキサー工程入力!$AI$6:$AI$65)+SUMIF(⑬計量工程入力!$R$6:$R$65,$C114,⑬計量工程入力!$AD$6:$AD$65)+SUMIF(⑬計量工程入力!$S$6:$S$65,$C114,⑬計量工程入力!$AE$6:$AE$65)+SUMIF(⑬計量工程入力!$T$6:$T$65,$C114,⑬計量工程入力!$AF$6:$AF$65)+SUMIF(⑬計量工程入力!$U$6:$U$65,$C114,⑬計量工程入力!$AG$6:$AG$65)+SUMIF(⑬計量工程入力!$V$6:$V$65,$C114,⑬計量工程入力!$AH$6:$AH$65)+SUMIF(⑬計量工程入力!$W$6:$W$65,$C114,⑬計量工程入力!$AI$6:$AI$65)+SUMIF(⑭手動工程入力!$R$6:$R$47,$C114,⑭手動工程入力!$AD$6:$AD$47)+SUMIF(⑭手動工程入力!$S$6:$S$47,$C114,⑭手動工程入力!$AE$6:$AE$47)+SUMIF(⑭手動工程入力!$T$6:$T$47,$C114,⑭手動工程入力!$AF$6:$AF$47)+SUMIF(⑭手動工程入力!$U$6:$U$47,$C114,⑭手動工程入力!$AG$6:$AG$47)+SUMIF(⑭手動工程入力!$V$6:$V$47,$C114,⑭手動工程入力!$AH$6:$AH$47)+SUMIF(⑭手動工程入力!$W$6:$W$47,$C114,⑭手動工程入力!$AI$6:$AI$47)</f>
        <v/>
      </c>
      <c r="I114" s="393">
        <f>IF($F114&gt;0,$H114/$F114,"")</f>
        <v/>
      </c>
      <c r="J114" s="605">
        <f>IFERROR(INDEX(商品原価!$B$4:$B$112,MATCH(SUBSTITUTE(SUBSTITUTE(SUBSTITUTE(SUBSTITUTE(SUBSTITUTE(SUBSTITUTE(SUBSTITUTE(SUBSTITUTE(SUBSTITUTE(SUBSTITUTE(ASC($C114),"①","1"),"②","2"),"③","3"),"④","4"),"⑤","5"),"⑥","6"),"⑦","7"),"⑧","8"),"⑨","9")," ",""),商品原価!$C$4:$C$112,0)),"")</f>
        <v/>
      </c>
      <c r="K114" s="542">
        <f>IF(ISNUMBER($J114),$J114*④前提設定!$B$21,"")</f>
        <v/>
      </c>
      <c r="L114" s="605">
        <f>IF(AND(NOT(ISNUMBER($J114)),NOT(ISNUMBER($K114))),"",N($J114)+N($K114))</f>
        <v/>
      </c>
      <c r="M114" s="605">
        <f>IFERROR(INDEX(商品原価!$E$4:$E$112,MATCH(SUBSTITUTE(SUBSTITUTE(SUBSTITUTE(SUBSTITUTE(SUBSTITUTE(SUBSTITUTE(SUBSTITUTE(SUBSTITUTE(SUBSTITUTE(SUBSTITUTE(ASC($C114),"①","1"),"②","2"),"③","3"),"④","4"),"⑤","5"),"⑥","6"),"⑦","7"),"⑧","8"),"⑨","9")," ",""),商品原価!$C$4:$C$112,0)),"")</f>
        <v/>
      </c>
      <c r="N114" s="605">
        <f>IF(AND(ISNUMBER($M114),ISNUMBER($L114)),$M114-$L114-N($W114),"")</f>
        <v/>
      </c>
      <c r="O114" s="606">
        <f>IF(AND(ISNUMBER($N114),ISNUMBER($M114),$M114&gt;0),$N114/$M114,"")</f>
        <v/>
      </c>
      <c r="P114" s="398">
        <f>COUNTIF(②釜工程入力!$R$5:$R$117,$C114)+COUNTIF(②釜工程入力!$S$5:$S$117,$C114)+COUNTIF(②釜工程入力!$T$5:$T$117,$C114)+COUNTIF(②釜工程入力!$U$5:$U$117,$C114)+COUNTIF(②釜工程入力!$V$5:$V$117,$C114)+COUNTIF(②釜工程入力!$W$5:$W$117,$C114)+COUNTIF(③スチコン工程入力!$R$5:$R$152,$C114)+COUNTIF(③スチコン工程入力!$S$5:$S$152,$C114)+COUNTIF(③スチコン工程入力!$T$5:$T$152,$C114)+COUNTIF(③スチコン工程入力!$U$5:$U$152,$C114)+COUNTIF(③スチコン工程入力!$V$5:$V$152,$C114)+COUNTIF(③スチコン工程入力!$W$5:$W$152,$C114)+COUNTIF(⑩盛付梱包工程入力!$R$5:$R$300,$C114)+COUNTIF(⑩盛付梱包工程入力!$S$5:$S$300,$C114)+COUNTIF(⑩盛付梱包工程入力!$T$5:$T$300,$C114)+COUNTIF(⑩盛付梱包工程入力!$U$5:$U$300,$C114)+COUNTIF(⑩盛付梱包工程入力!$V$5:$V$300,$C114)+COUNTIF(⑩盛付梱包工程入力!$W$5:$W$300,$C114)+COUNTIF(⑪ZEN工程入力!$R$6:$R$35,$C114)+COUNTIF(⑪ZEN工程入力!$S$6:$S$35,$C114)+COUNTIF(⑪ZEN工程入力!$T$6:$T$35,$C114)+COUNTIF(⑪ZEN工程入力!$U$6:$U$35,$C114)+COUNTIF(⑪ZEN工程入力!$V$6:$V$35,$C114)+COUNTIF(⑪ZEN工程入力!$W$6:$W$35,$C114)+COUNTIF(⑫ミキサー工程入力!$R$6:$R$65,$C114)+COUNTIF(⑫ミキサー工程入力!$S$6:$S$65,$C114)+COUNTIF(⑫ミキサー工程入力!$T$6:$T$65,$C114)+COUNTIF(⑫ミキサー工程入力!$U$6:$U$65,$C114)+COUNTIF(⑫ミキサー工程入力!$V$6:$V$65,$C114)+COUNTIF(⑫ミキサー工程入力!$W$6:$W$65,$C114)+COUNTIF(⑬計量工程入力!$R$6:$R$65,$C114)+COUNTIF(⑬計量工程入力!$S$6:$S$65,$C114)+COUNTIF(⑬計量工程入力!$T$6:$T$65,$C114)+COUNTIF(⑬計量工程入力!$U$6:$U$65,$C114)+COUNTIF(⑬計量工程入力!$V$6:$V$65,$C114)+COUNTIF(⑬計量工程入力!$W$6:$W$65,$C114)+COUNTIF(⑭手動工程入力!$R$6:$R$47,$C114)+COUNTIF(⑭手動工程入力!$S$6:$S$47,$C114)+COUNTIF(⑭手動工程入力!$T$6:$T$47,$C114)+COUNTIF(⑭手動工程入力!$U$6:$U$47,$C114)+COUNTIF(⑭手動工程入力!$V$6:$V$47,$C114)+COUNTIF(⑭手動工程入力!$W$6:$W$47,$C114)</f>
        <v/>
      </c>
      <c r="Q114" s="392" t="n"/>
      <c r="R114" s="393" t="n"/>
      <c r="S114" s="393" t="n"/>
      <c r="T114" s="393" t="n"/>
      <c r="U114" s="393" t="n"/>
      <c r="V114" s="605">
        <f>IFERROR(INDEX(KIT別作業時間!$D$4:$D$27,MATCH(SUBSTITUTE(SUBSTITUTE(SUBSTITUTE(SUBSTITUTE(SUBSTITUTE(SUBSTITUTE(SUBSTITUTE(SUBSTITUTE(SUBSTITUTE(SUBSTITUTE(ASC($C114),"①","1"),"②","2"),"③","3"),"④","4"),"⑤","5"),"⑥","6"),"⑦","7"),"⑧","8"),"⑨","9")," ",""),KIT別作業時間!$C$4:$C$27,0)),"")</f>
        <v/>
      </c>
      <c r="W114" s="393">
        <f>IF(AND(ISNUMBER($I114),$I114&gt;0),$I114,IF(ISNUMBER($V114),$V114,IF(ISNUMBER($R114),$R114,"")))</f>
        <v/>
      </c>
      <c r="X114" s="393">
        <f>IF(AND(ISNUMBER($I114),$I114&gt;0),"今回の工程実績",IF(ISNUMBER($V114),"KIT作業時間",IF(ISNUMBER($R114),"前回資料","")))</f>
        <v/>
      </c>
      <c r="Y114" s="398" t="n">
        <v>448</v>
      </c>
      <c r="Z114" s="398">
        <f>IF(AND(ISNUMBER($W114),ISNUMBER($Y114)),$W114*$Y114,"")</f>
        <v/>
      </c>
      <c r="AA114" s="393" t="n"/>
    </row>
    <row r="115">
      <c r="A115" s="392" t="n">
        <v>111</v>
      </c>
      <c r="B115" s="392" t="n"/>
      <c r="C115" s="392" t="inlineStr">
        <is>
          <t>Ｓハニーレモンマフィン１個</t>
        </is>
      </c>
      <c r="D115" s="398">
        <f>SUMIF(⑩盛付梱包工程入力!$R$5:$R$300,$C115,⑩盛付梱包工程入力!$AC$5:$AC$300)+SUMIF(⑩盛付梱包工程入力!$S$5:$S$300,$C115,⑩盛付梱包工程入力!$AC$5:$AC$300)+SUMIF(⑩盛付梱包工程入力!$T$5:$T$300,$C115,⑩盛付梱包工程入力!$AC$5:$AC$300)+SUMIF(⑩盛付梱包工程入力!$U$5:$U$300,$C115,⑩盛付梱包工程入力!$AC$5:$AC$300)+SUMIF(⑩盛付梱包工程入力!$V$5:$V$300,$C115,⑩盛付梱包工程入力!$AC$5:$AC$300)+SUMIF(⑩盛付梱包工程入力!$W$5:$W$300,$C115,⑩盛付梱包工程入力!$AC$5:$AC$300)</f>
        <v/>
      </c>
      <c r="E115" s="398" t="n">
        <v>2</v>
      </c>
      <c r="F115" s="398">
        <f>IF(N($E115)&gt;0,$E115,$D115)</f>
        <v/>
      </c>
      <c r="G115" s="398" t="n"/>
      <c r="H115" s="393">
        <f>SUMIF(②釜工程入力!$R$5:$R$117,$C115,②釜工程入力!$AD$5:$AD$117)+SUMIF(②釜工程入力!$S$5:$S$117,$C115,②釜工程入力!$AE$5:$AE$117)+SUMIF(②釜工程入力!$T$5:$T$117,$C115,②釜工程入力!$AF$5:$AF$117)+SUMIF(②釜工程入力!$U$5:$U$117,$C115,②釜工程入力!$AG$5:$AG$117)+SUMIF(②釜工程入力!$V$5:$V$117,$C115,②釜工程入力!$AH$5:$AH$117)+SUMIF(②釜工程入力!$W$5:$W$117,$C115,②釜工程入力!$AI$5:$AI$117)+SUMIF(③スチコン工程入力!$R$5:$R$152,$C115,③スチコン工程入力!$AD$5:$AD$152)+SUMIF(③スチコン工程入力!$S$5:$S$152,$C115,③スチコン工程入力!$AE$5:$AE$152)+SUMIF(③スチコン工程入力!$T$5:$T$152,$C115,③スチコン工程入力!$AF$5:$AF$152)+SUMIF(③スチコン工程入力!$U$5:$U$152,$C115,③スチコン工程入力!$AG$5:$AG$152)+SUMIF(③スチコン工程入力!$V$5:$V$152,$C115,③スチコン工程入力!$AH$5:$AH$152)+SUMIF(③スチコン工程入力!$W$5:$W$152,$C115,③スチコン工程入力!$AI$5:$AI$152)+SUMIF(⑩盛付梱包工程入力!$R$5:$R$300,$C115,⑩盛付梱包工程入力!$AD$5:$AD$300)+SUMIF(⑩盛付梱包工程入力!$S$5:$S$300,$C115,⑩盛付梱包工程入力!$AE$5:$AE$300)+SUMIF(⑩盛付梱包工程入力!$T$5:$T$300,$C115,⑩盛付梱包工程入力!$AF$5:$AF$300)+SUMIF(⑩盛付梱包工程入力!$U$5:$U$300,$C115,⑩盛付梱包工程入力!$AG$5:$AG$300)+SUMIF(⑩盛付梱包工程入力!$V$5:$V$300,$C115,⑩盛付梱包工程入力!$AH$5:$AH$300)+SUMIF(⑩盛付梱包工程入力!$W$5:$W$300,$C115,⑩盛付梱包工程入力!$AI$5:$AI$300)+SUMIF(⑪ZEN工程入力!$R$6:$R$35,$C115,⑪ZEN工程入力!$AD$6:$AD$35)+SUMIF(⑪ZEN工程入力!$S$6:$S$35,$C115,⑪ZEN工程入力!$AE$6:$AE$35)+SUMIF(⑪ZEN工程入力!$T$6:$T$35,$C115,⑪ZEN工程入力!$AF$6:$AF$35)+SUMIF(⑪ZEN工程入力!$U$6:$U$35,$C115,⑪ZEN工程入力!$AG$6:$AG$35)+SUMIF(⑪ZEN工程入力!$V$6:$V$35,$C115,⑪ZEN工程入力!$AH$6:$AH$35)+SUMIF(⑪ZEN工程入力!$W$6:$W$35,$C115,⑪ZEN工程入力!$AI$6:$AI$35)+SUMIF(⑫ミキサー工程入力!$R$6:$R$65,$C115,⑫ミキサー工程入力!$AD$6:$AD$65)+SUMIF(⑫ミキサー工程入力!$S$6:$S$65,$C115,⑫ミキサー工程入力!$AE$6:$AE$65)+SUMIF(⑫ミキサー工程入力!$T$6:$T$65,$C115,⑫ミキサー工程入力!$AF$6:$AF$65)+SUMIF(⑫ミキサー工程入力!$U$6:$U$65,$C115,⑫ミキサー工程入力!$AG$6:$AG$65)+SUMIF(⑫ミキサー工程入力!$V$6:$V$65,$C115,⑫ミキサー工程入力!$AH$6:$AH$65)+SUMIF(⑫ミキサー工程入力!$W$6:$W$65,$C115,⑫ミキサー工程入力!$AI$6:$AI$65)+SUMIF(⑬計量工程入力!$R$6:$R$65,$C115,⑬計量工程入力!$AD$6:$AD$65)+SUMIF(⑬計量工程入力!$S$6:$S$65,$C115,⑬計量工程入力!$AE$6:$AE$65)+SUMIF(⑬計量工程入力!$T$6:$T$65,$C115,⑬計量工程入力!$AF$6:$AF$65)+SUMIF(⑬計量工程入力!$U$6:$U$65,$C115,⑬計量工程入力!$AG$6:$AG$65)+SUMIF(⑬計量工程入力!$V$6:$V$65,$C115,⑬計量工程入力!$AH$6:$AH$65)+SUMIF(⑬計量工程入力!$W$6:$W$65,$C115,⑬計量工程入力!$AI$6:$AI$65)+SUMIF(⑭手動工程入力!$R$6:$R$47,$C115,⑭手動工程入力!$AD$6:$AD$47)+SUMIF(⑭手動工程入力!$S$6:$S$47,$C115,⑭手動工程入力!$AE$6:$AE$47)+SUMIF(⑭手動工程入力!$T$6:$T$47,$C115,⑭手動工程入力!$AF$6:$AF$47)+SUMIF(⑭手動工程入力!$U$6:$U$47,$C115,⑭手動工程入力!$AG$6:$AG$47)+SUMIF(⑭手動工程入力!$V$6:$V$47,$C115,⑭手動工程入力!$AH$6:$AH$47)+SUMIF(⑭手動工程入力!$W$6:$W$47,$C115,⑭手動工程入力!$AI$6:$AI$47)</f>
        <v/>
      </c>
      <c r="I115" s="393">
        <f>IF($F115&gt;0,$H115/$F115,"")</f>
        <v/>
      </c>
      <c r="J115" s="605">
        <f>IFERROR(INDEX(商品原価!$B$4:$B$112,MATCH(SUBSTITUTE(SUBSTITUTE(SUBSTITUTE(SUBSTITUTE(SUBSTITUTE(SUBSTITUTE(SUBSTITUTE(SUBSTITUTE(SUBSTITUTE(SUBSTITUTE(ASC($C115),"①","1"),"②","2"),"③","3"),"④","4"),"⑤","5"),"⑥","6"),"⑦","7"),"⑧","8"),"⑨","9")," ",""),商品原価!$C$4:$C$112,0)),"")</f>
        <v/>
      </c>
      <c r="K115" s="542">
        <f>IF(ISNUMBER($J115),$J115*④前提設定!$B$21,"")</f>
        <v/>
      </c>
      <c r="L115" s="605">
        <f>IF(AND(NOT(ISNUMBER($J115)),NOT(ISNUMBER($K115))),"",N($J115)+N($K115))</f>
        <v/>
      </c>
      <c r="M115" s="605">
        <f>IFERROR(INDEX(商品原価!$E$4:$E$112,MATCH(SUBSTITUTE(SUBSTITUTE(SUBSTITUTE(SUBSTITUTE(SUBSTITUTE(SUBSTITUTE(SUBSTITUTE(SUBSTITUTE(SUBSTITUTE(SUBSTITUTE(ASC($C115),"①","1"),"②","2"),"③","3"),"④","4"),"⑤","5"),"⑥","6"),"⑦","7"),"⑧","8"),"⑨","9")," ",""),商品原価!$C$4:$C$112,0)),"")</f>
        <v/>
      </c>
      <c r="N115" s="605">
        <f>IF(AND(ISNUMBER($M115),ISNUMBER($L115)),$M115-$L115-N($W115),"")</f>
        <v/>
      </c>
      <c r="O115" s="606">
        <f>IF(AND(ISNUMBER($N115),ISNUMBER($M115),$M115&gt;0),$N115/$M115,"")</f>
        <v/>
      </c>
      <c r="P115" s="398">
        <f>COUNTIF(②釜工程入力!$R$5:$R$117,$C115)+COUNTIF(②釜工程入力!$S$5:$S$117,$C115)+COUNTIF(②釜工程入力!$T$5:$T$117,$C115)+COUNTIF(②釜工程入力!$U$5:$U$117,$C115)+COUNTIF(②釜工程入力!$V$5:$V$117,$C115)+COUNTIF(②釜工程入力!$W$5:$W$117,$C115)+COUNTIF(③スチコン工程入力!$R$5:$R$152,$C115)+COUNTIF(③スチコン工程入力!$S$5:$S$152,$C115)+COUNTIF(③スチコン工程入力!$T$5:$T$152,$C115)+COUNTIF(③スチコン工程入力!$U$5:$U$152,$C115)+COUNTIF(③スチコン工程入力!$V$5:$V$152,$C115)+COUNTIF(③スチコン工程入力!$W$5:$W$152,$C115)+COUNTIF(⑩盛付梱包工程入力!$R$5:$R$300,$C115)+COUNTIF(⑩盛付梱包工程入力!$S$5:$S$300,$C115)+COUNTIF(⑩盛付梱包工程入力!$T$5:$T$300,$C115)+COUNTIF(⑩盛付梱包工程入力!$U$5:$U$300,$C115)+COUNTIF(⑩盛付梱包工程入力!$V$5:$V$300,$C115)+COUNTIF(⑩盛付梱包工程入力!$W$5:$W$300,$C115)+COUNTIF(⑪ZEN工程入力!$R$6:$R$35,$C115)+COUNTIF(⑪ZEN工程入力!$S$6:$S$35,$C115)+COUNTIF(⑪ZEN工程入力!$T$6:$T$35,$C115)+COUNTIF(⑪ZEN工程入力!$U$6:$U$35,$C115)+COUNTIF(⑪ZEN工程入力!$V$6:$V$35,$C115)+COUNTIF(⑪ZEN工程入力!$W$6:$W$35,$C115)+COUNTIF(⑫ミキサー工程入力!$R$6:$R$65,$C115)+COUNTIF(⑫ミキサー工程入力!$S$6:$S$65,$C115)+COUNTIF(⑫ミキサー工程入力!$T$6:$T$65,$C115)+COUNTIF(⑫ミキサー工程入力!$U$6:$U$65,$C115)+COUNTIF(⑫ミキサー工程入力!$V$6:$V$65,$C115)+COUNTIF(⑫ミキサー工程入力!$W$6:$W$65,$C115)+COUNTIF(⑬計量工程入力!$R$6:$R$65,$C115)+COUNTIF(⑬計量工程入力!$S$6:$S$65,$C115)+COUNTIF(⑬計量工程入力!$T$6:$T$65,$C115)+COUNTIF(⑬計量工程入力!$U$6:$U$65,$C115)+COUNTIF(⑬計量工程入力!$V$6:$V$65,$C115)+COUNTIF(⑬計量工程入力!$W$6:$W$65,$C115)+COUNTIF(⑭手動工程入力!$R$6:$R$47,$C115)+COUNTIF(⑭手動工程入力!$S$6:$S$47,$C115)+COUNTIF(⑭手動工程入力!$T$6:$T$47,$C115)+COUNTIF(⑭手動工程入力!$U$6:$U$47,$C115)+COUNTIF(⑭手動工程入力!$V$6:$V$47,$C115)+COUNTIF(⑭手動工程入力!$W$6:$W$47,$C115)</f>
        <v/>
      </c>
      <c r="Q115" s="392" t="inlineStr">
        <is>
          <t>⑩盛付梱包 81行目に入力欄を作成（工程記録なし）</t>
        </is>
      </c>
      <c r="R115" s="393" t="n"/>
      <c r="S115" s="393" t="n"/>
      <c r="T115" s="393" t="n"/>
      <c r="U115" s="393" t="n"/>
      <c r="V115" s="605">
        <f>IFERROR(INDEX(KIT別作業時間!$D$4:$D$27,MATCH(SUBSTITUTE(SUBSTITUTE(SUBSTITUTE(SUBSTITUTE(SUBSTITUTE(SUBSTITUTE(SUBSTITUTE(SUBSTITUTE(SUBSTITUTE(SUBSTITUTE(ASC($C115),"①","1"),"②","2"),"③","3"),"④","4"),"⑤","5"),"⑥","6"),"⑦","7"),"⑧","8"),"⑨","9")," ",""),KIT別作業時間!$C$4:$C$27,0)),"")</f>
        <v/>
      </c>
      <c r="W115" s="393">
        <f>IF(AND(ISNUMBER($I115),$I115&gt;0),$I115,IF(ISNUMBER($V115),$V115,IF(ISNUMBER($R115),$R115,"")))</f>
        <v/>
      </c>
      <c r="X115" s="393">
        <f>IF(AND(ISNUMBER($I115),$I115&gt;0),"今回の工程実績",IF(ISNUMBER($V115),"KIT作業時間",IF(ISNUMBER($R115),"前回資料","")))</f>
        <v/>
      </c>
      <c r="Y115" s="398" t="n"/>
      <c r="Z115" s="398">
        <f>IF(AND(ISNUMBER($W115),ISNUMBER($Y115)),$W115*$Y115,"")</f>
        <v/>
      </c>
      <c r="AA115" s="393" t="n"/>
    </row>
    <row r="116">
      <c r="A116" s="392" t="n">
        <v>112</v>
      </c>
      <c r="B116" s="392" t="n"/>
      <c r="C116" s="392" t="inlineStr">
        <is>
          <t>Ｓブルーベリーマフィン１個</t>
        </is>
      </c>
      <c r="D116" s="398">
        <f>SUMIF(⑩盛付梱包工程入力!$R$5:$R$300,$C116,⑩盛付梱包工程入力!$AC$5:$AC$300)+SUMIF(⑩盛付梱包工程入力!$S$5:$S$300,$C116,⑩盛付梱包工程入力!$AC$5:$AC$300)+SUMIF(⑩盛付梱包工程入力!$T$5:$T$300,$C116,⑩盛付梱包工程入力!$AC$5:$AC$300)+SUMIF(⑩盛付梱包工程入力!$U$5:$U$300,$C116,⑩盛付梱包工程入力!$AC$5:$AC$300)+SUMIF(⑩盛付梱包工程入力!$V$5:$V$300,$C116,⑩盛付梱包工程入力!$AC$5:$AC$300)+SUMIF(⑩盛付梱包工程入力!$W$5:$W$300,$C116,⑩盛付梱包工程入力!$AC$5:$AC$300)</f>
        <v/>
      </c>
      <c r="E116" s="398" t="n">
        <v>2</v>
      </c>
      <c r="F116" s="398">
        <f>IF(N($E116)&gt;0,$E116,$D116)</f>
        <v/>
      </c>
      <c r="G116" s="398" t="n"/>
      <c r="H116" s="393">
        <f>SUMIF(②釜工程入力!$R$5:$R$117,$C116,②釜工程入力!$AD$5:$AD$117)+SUMIF(②釜工程入力!$S$5:$S$117,$C116,②釜工程入力!$AE$5:$AE$117)+SUMIF(②釜工程入力!$T$5:$T$117,$C116,②釜工程入力!$AF$5:$AF$117)+SUMIF(②釜工程入力!$U$5:$U$117,$C116,②釜工程入力!$AG$5:$AG$117)+SUMIF(②釜工程入力!$V$5:$V$117,$C116,②釜工程入力!$AH$5:$AH$117)+SUMIF(②釜工程入力!$W$5:$W$117,$C116,②釜工程入力!$AI$5:$AI$117)+SUMIF(③スチコン工程入力!$R$5:$R$152,$C116,③スチコン工程入力!$AD$5:$AD$152)+SUMIF(③スチコン工程入力!$S$5:$S$152,$C116,③スチコン工程入力!$AE$5:$AE$152)+SUMIF(③スチコン工程入力!$T$5:$T$152,$C116,③スチコン工程入力!$AF$5:$AF$152)+SUMIF(③スチコン工程入力!$U$5:$U$152,$C116,③スチコン工程入力!$AG$5:$AG$152)+SUMIF(③スチコン工程入力!$V$5:$V$152,$C116,③スチコン工程入力!$AH$5:$AH$152)+SUMIF(③スチコン工程入力!$W$5:$W$152,$C116,③スチコン工程入力!$AI$5:$AI$152)+SUMIF(⑩盛付梱包工程入力!$R$5:$R$300,$C116,⑩盛付梱包工程入力!$AD$5:$AD$300)+SUMIF(⑩盛付梱包工程入力!$S$5:$S$300,$C116,⑩盛付梱包工程入力!$AE$5:$AE$300)+SUMIF(⑩盛付梱包工程入力!$T$5:$T$300,$C116,⑩盛付梱包工程入力!$AF$5:$AF$300)+SUMIF(⑩盛付梱包工程入力!$U$5:$U$300,$C116,⑩盛付梱包工程入力!$AG$5:$AG$300)+SUMIF(⑩盛付梱包工程入力!$V$5:$V$300,$C116,⑩盛付梱包工程入力!$AH$5:$AH$300)+SUMIF(⑩盛付梱包工程入力!$W$5:$W$300,$C116,⑩盛付梱包工程入力!$AI$5:$AI$300)+SUMIF(⑪ZEN工程入力!$R$6:$R$35,$C116,⑪ZEN工程入力!$AD$6:$AD$35)+SUMIF(⑪ZEN工程入力!$S$6:$S$35,$C116,⑪ZEN工程入力!$AE$6:$AE$35)+SUMIF(⑪ZEN工程入力!$T$6:$T$35,$C116,⑪ZEN工程入力!$AF$6:$AF$35)+SUMIF(⑪ZEN工程入力!$U$6:$U$35,$C116,⑪ZEN工程入力!$AG$6:$AG$35)+SUMIF(⑪ZEN工程入力!$V$6:$V$35,$C116,⑪ZEN工程入力!$AH$6:$AH$35)+SUMIF(⑪ZEN工程入力!$W$6:$W$35,$C116,⑪ZEN工程入力!$AI$6:$AI$35)+SUMIF(⑫ミキサー工程入力!$R$6:$R$65,$C116,⑫ミキサー工程入力!$AD$6:$AD$65)+SUMIF(⑫ミキサー工程入力!$S$6:$S$65,$C116,⑫ミキサー工程入力!$AE$6:$AE$65)+SUMIF(⑫ミキサー工程入力!$T$6:$T$65,$C116,⑫ミキサー工程入力!$AF$6:$AF$65)+SUMIF(⑫ミキサー工程入力!$U$6:$U$65,$C116,⑫ミキサー工程入力!$AG$6:$AG$65)+SUMIF(⑫ミキサー工程入力!$V$6:$V$65,$C116,⑫ミキサー工程入力!$AH$6:$AH$65)+SUMIF(⑫ミキサー工程入力!$W$6:$W$65,$C116,⑫ミキサー工程入力!$AI$6:$AI$65)+SUMIF(⑬計量工程入力!$R$6:$R$65,$C116,⑬計量工程入力!$AD$6:$AD$65)+SUMIF(⑬計量工程入力!$S$6:$S$65,$C116,⑬計量工程入力!$AE$6:$AE$65)+SUMIF(⑬計量工程入力!$T$6:$T$65,$C116,⑬計量工程入力!$AF$6:$AF$65)+SUMIF(⑬計量工程入力!$U$6:$U$65,$C116,⑬計量工程入力!$AG$6:$AG$65)+SUMIF(⑬計量工程入力!$V$6:$V$65,$C116,⑬計量工程入力!$AH$6:$AH$65)+SUMIF(⑬計量工程入力!$W$6:$W$65,$C116,⑬計量工程入力!$AI$6:$AI$65)+SUMIF(⑭手動工程入力!$R$6:$R$47,$C116,⑭手動工程入力!$AD$6:$AD$47)+SUMIF(⑭手動工程入力!$S$6:$S$47,$C116,⑭手動工程入力!$AE$6:$AE$47)+SUMIF(⑭手動工程入力!$T$6:$T$47,$C116,⑭手動工程入力!$AF$6:$AF$47)+SUMIF(⑭手動工程入力!$U$6:$U$47,$C116,⑭手動工程入力!$AG$6:$AG$47)+SUMIF(⑭手動工程入力!$V$6:$V$47,$C116,⑭手動工程入力!$AH$6:$AH$47)+SUMIF(⑭手動工程入力!$W$6:$W$47,$C116,⑭手動工程入力!$AI$6:$AI$47)</f>
        <v/>
      </c>
      <c r="I116" s="393">
        <f>IF($F116&gt;0,$H116/$F116,"")</f>
        <v/>
      </c>
      <c r="J116" s="605">
        <f>IFERROR(INDEX(商品原価!$B$4:$B$112,MATCH(SUBSTITUTE(SUBSTITUTE(SUBSTITUTE(SUBSTITUTE(SUBSTITUTE(SUBSTITUTE(SUBSTITUTE(SUBSTITUTE(SUBSTITUTE(SUBSTITUTE(ASC($C116),"①","1"),"②","2"),"③","3"),"④","4"),"⑤","5"),"⑥","6"),"⑦","7"),"⑧","8"),"⑨","9")," ",""),商品原価!$C$4:$C$112,0)),"")</f>
        <v/>
      </c>
      <c r="K116" s="542">
        <f>IF(ISNUMBER($J116),$J116*④前提設定!$B$21,"")</f>
        <v/>
      </c>
      <c r="L116" s="605">
        <f>IF(AND(NOT(ISNUMBER($J116)),NOT(ISNUMBER($K116))),"",N($J116)+N($K116))</f>
        <v/>
      </c>
      <c r="M116" s="605">
        <f>IFERROR(INDEX(商品原価!$E$4:$E$112,MATCH(SUBSTITUTE(SUBSTITUTE(SUBSTITUTE(SUBSTITUTE(SUBSTITUTE(SUBSTITUTE(SUBSTITUTE(SUBSTITUTE(SUBSTITUTE(SUBSTITUTE(ASC($C116),"①","1"),"②","2"),"③","3"),"④","4"),"⑤","5"),"⑥","6"),"⑦","7"),"⑧","8"),"⑨","9")," ",""),商品原価!$C$4:$C$112,0)),"")</f>
        <v/>
      </c>
      <c r="N116" s="605">
        <f>IF(AND(ISNUMBER($M116),ISNUMBER($L116)),$M116-$L116-N($W116),"")</f>
        <v/>
      </c>
      <c r="O116" s="606">
        <f>IF(AND(ISNUMBER($N116),ISNUMBER($M116),$M116&gt;0),$N116/$M116,"")</f>
        <v/>
      </c>
      <c r="P116" s="398">
        <f>COUNTIF(②釜工程入力!$R$5:$R$117,$C116)+COUNTIF(②釜工程入力!$S$5:$S$117,$C116)+COUNTIF(②釜工程入力!$T$5:$T$117,$C116)+COUNTIF(②釜工程入力!$U$5:$U$117,$C116)+COUNTIF(②釜工程入力!$V$5:$V$117,$C116)+COUNTIF(②釜工程入力!$W$5:$W$117,$C116)+COUNTIF(③スチコン工程入力!$R$5:$R$152,$C116)+COUNTIF(③スチコン工程入力!$S$5:$S$152,$C116)+COUNTIF(③スチコン工程入力!$T$5:$T$152,$C116)+COUNTIF(③スチコン工程入力!$U$5:$U$152,$C116)+COUNTIF(③スチコン工程入力!$V$5:$V$152,$C116)+COUNTIF(③スチコン工程入力!$W$5:$W$152,$C116)+COUNTIF(⑩盛付梱包工程入力!$R$5:$R$300,$C116)+COUNTIF(⑩盛付梱包工程入力!$S$5:$S$300,$C116)+COUNTIF(⑩盛付梱包工程入力!$T$5:$T$300,$C116)+COUNTIF(⑩盛付梱包工程入力!$U$5:$U$300,$C116)+COUNTIF(⑩盛付梱包工程入力!$V$5:$V$300,$C116)+COUNTIF(⑩盛付梱包工程入力!$W$5:$W$300,$C116)+COUNTIF(⑪ZEN工程入力!$R$6:$R$35,$C116)+COUNTIF(⑪ZEN工程入力!$S$6:$S$35,$C116)+COUNTIF(⑪ZEN工程入力!$T$6:$T$35,$C116)+COUNTIF(⑪ZEN工程入力!$U$6:$U$35,$C116)+COUNTIF(⑪ZEN工程入力!$V$6:$V$35,$C116)+COUNTIF(⑪ZEN工程入力!$W$6:$W$35,$C116)+COUNTIF(⑫ミキサー工程入力!$R$6:$R$65,$C116)+COUNTIF(⑫ミキサー工程入力!$S$6:$S$65,$C116)+COUNTIF(⑫ミキサー工程入力!$T$6:$T$65,$C116)+COUNTIF(⑫ミキサー工程入力!$U$6:$U$65,$C116)+COUNTIF(⑫ミキサー工程入力!$V$6:$V$65,$C116)+COUNTIF(⑫ミキサー工程入力!$W$6:$W$65,$C116)+COUNTIF(⑬計量工程入力!$R$6:$R$65,$C116)+COUNTIF(⑬計量工程入力!$S$6:$S$65,$C116)+COUNTIF(⑬計量工程入力!$T$6:$T$65,$C116)+COUNTIF(⑬計量工程入力!$U$6:$U$65,$C116)+COUNTIF(⑬計量工程入力!$V$6:$V$65,$C116)+COUNTIF(⑬計量工程入力!$W$6:$W$65,$C116)+COUNTIF(⑭手動工程入力!$R$6:$R$47,$C116)+COUNTIF(⑭手動工程入力!$S$6:$S$47,$C116)+COUNTIF(⑭手動工程入力!$T$6:$T$47,$C116)+COUNTIF(⑭手動工程入力!$U$6:$U$47,$C116)+COUNTIF(⑭手動工程入力!$V$6:$V$47,$C116)+COUNTIF(⑭手動工程入力!$W$6:$W$47,$C116)</f>
        <v/>
      </c>
      <c r="Q116" s="392" t="inlineStr">
        <is>
          <t>⑩盛付梱包 82行目に入力欄を作成（工程記録なし）</t>
        </is>
      </c>
      <c r="R116" s="393" t="n"/>
      <c r="S116" s="393" t="n"/>
      <c r="T116" s="393" t="n"/>
      <c r="U116" s="393" t="n"/>
      <c r="V116" s="605">
        <f>IFERROR(INDEX(KIT別作業時間!$D$4:$D$27,MATCH(SUBSTITUTE(SUBSTITUTE(SUBSTITUTE(SUBSTITUTE(SUBSTITUTE(SUBSTITUTE(SUBSTITUTE(SUBSTITUTE(SUBSTITUTE(SUBSTITUTE(ASC($C116),"①","1"),"②","2"),"③","3"),"④","4"),"⑤","5"),"⑥","6"),"⑦","7"),"⑧","8"),"⑨","9")," ",""),KIT別作業時間!$C$4:$C$27,0)),"")</f>
        <v/>
      </c>
      <c r="W116" s="393">
        <f>IF(AND(ISNUMBER($I116),$I116&gt;0),$I116,IF(ISNUMBER($V116),$V116,IF(ISNUMBER($R116),$R116,"")))</f>
        <v/>
      </c>
      <c r="X116" s="393">
        <f>IF(AND(ISNUMBER($I116),$I116&gt;0),"今回の工程実績",IF(ISNUMBER($V116),"KIT作業時間",IF(ISNUMBER($R116),"前回資料","")))</f>
        <v/>
      </c>
      <c r="Y116" s="398" t="n"/>
      <c r="Z116" s="398">
        <f>IF(AND(ISNUMBER($W116),ISNUMBER($Y116)),$W116*$Y116,"")</f>
        <v/>
      </c>
      <c r="AA116" s="393" t="n"/>
    </row>
    <row r="117">
      <c r="A117" s="392" t="n">
        <v>113</v>
      </c>
      <c r="B117" s="392" t="n"/>
      <c r="C117" s="392" t="inlineStr">
        <is>
          <t>Ｓふわもちホテルロール８個</t>
        </is>
      </c>
      <c r="D117" s="398">
        <f>SUMIF(⑩盛付梱包工程入力!$R$5:$R$300,$C117,⑩盛付梱包工程入力!$AC$5:$AC$300)+SUMIF(⑩盛付梱包工程入力!$S$5:$S$300,$C117,⑩盛付梱包工程入力!$AC$5:$AC$300)+SUMIF(⑩盛付梱包工程入力!$T$5:$T$300,$C117,⑩盛付梱包工程入力!$AC$5:$AC$300)+SUMIF(⑩盛付梱包工程入力!$U$5:$U$300,$C117,⑩盛付梱包工程入力!$AC$5:$AC$300)+SUMIF(⑩盛付梱包工程入力!$V$5:$V$300,$C117,⑩盛付梱包工程入力!$AC$5:$AC$300)+SUMIF(⑩盛付梱包工程入力!$W$5:$W$300,$C117,⑩盛付梱包工程入力!$AC$5:$AC$300)</f>
        <v/>
      </c>
      <c r="E117" s="398" t="n">
        <v>80</v>
      </c>
      <c r="F117" s="398">
        <f>IF(N($E117)&gt;0,$E117,$D117)</f>
        <v/>
      </c>
      <c r="G117" s="393" t="n">
        <v>45.67374301675977</v>
      </c>
      <c r="H117" s="393">
        <f>SUMIF(②釜工程入力!$R$5:$R$117,$C117,②釜工程入力!$AD$5:$AD$117)+SUMIF(②釜工程入力!$S$5:$S$117,$C117,②釜工程入力!$AE$5:$AE$117)+SUMIF(②釜工程入力!$T$5:$T$117,$C117,②釜工程入力!$AF$5:$AF$117)+SUMIF(②釜工程入力!$U$5:$U$117,$C117,②釜工程入力!$AG$5:$AG$117)+SUMIF(②釜工程入力!$V$5:$V$117,$C117,②釜工程入力!$AH$5:$AH$117)+SUMIF(②釜工程入力!$W$5:$W$117,$C117,②釜工程入力!$AI$5:$AI$117)+SUMIF(③スチコン工程入力!$R$5:$R$152,$C117,③スチコン工程入力!$AD$5:$AD$152)+SUMIF(③スチコン工程入力!$S$5:$S$152,$C117,③スチコン工程入力!$AE$5:$AE$152)+SUMIF(③スチコン工程入力!$T$5:$T$152,$C117,③スチコン工程入力!$AF$5:$AF$152)+SUMIF(③スチコン工程入力!$U$5:$U$152,$C117,③スチコン工程入力!$AG$5:$AG$152)+SUMIF(③スチコン工程入力!$V$5:$V$152,$C117,③スチコン工程入力!$AH$5:$AH$152)+SUMIF(③スチコン工程入力!$W$5:$W$152,$C117,③スチコン工程入力!$AI$5:$AI$152)+SUMIF(⑩盛付梱包工程入力!$R$5:$R$300,$C117,⑩盛付梱包工程入力!$AD$5:$AD$300)+SUMIF(⑩盛付梱包工程入力!$S$5:$S$300,$C117,⑩盛付梱包工程入力!$AE$5:$AE$300)+SUMIF(⑩盛付梱包工程入力!$T$5:$T$300,$C117,⑩盛付梱包工程入力!$AF$5:$AF$300)+SUMIF(⑩盛付梱包工程入力!$U$5:$U$300,$C117,⑩盛付梱包工程入力!$AG$5:$AG$300)+SUMIF(⑩盛付梱包工程入力!$V$5:$V$300,$C117,⑩盛付梱包工程入力!$AH$5:$AH$300)+SUMIF(⑩盛付梱包工程入力!$W$5:$W$300,$C117,⑩盛付梱包工程入力!$AI$5:$AI$300)+SUMIF(⑪ZEN工程入力!$R$6:$R$35,$C117,⑪ZEN工程入力!$AD$6:$AD$35)+SUMIF(⑪ZEN工程入力!$S$6:$S$35,$C117,⑪ZEN工程入力!$AE$6:$AE$35)+SUMIF(⑪ZEN工程入力!$T$6:$T$35,$C117,⑪ZEN工程入力!$AF$6:$AF$35)+SUMIF(⑪ZEN工程入力!$U$6:$U$35,$C117,⑪ZEN工程入力!$AG$6:$AG$35)+SUMIF(⑪ZEN工程入力!$V$6:$V$35,$C117,⑪ZEN工程入力!$AH$6:$AH$35)+SUMIF(⑪ZEN工程入力!$W$6:$W$35,$C117,⑪ZEN工程入力!$AI$6:$AI$35)+SUMIF(⑫ミキサー工程入力!$R$6:$R$65,$C117,⑫ミキサー工程入力!$AD$6:$AD$65)+SUMIF(⑫ミキサー工程入力!$S$6:$S$65,$C117,⑫ミキサー工程入力!$AE$6:$AE$65)+SUMIF(⑫ミキサー工程入力!$T$6:$T$65,$C117,⑫ミキサー工程入力!$AF$6:$AF$65)+SUMIF(⑫ミキサー工程入力!$U$6:$U$65,$C117,⑫ミキサー工程入力!$AG$6:$AG$65)+SUMIF(⑫ミキサー工程入力!$V$6:$V$65,$C117,⑫ミキサー工程入力!$AH$6:$AH$65)+SUMIF(⑫ミキサー工程入力!$W$6:$W$65,$C117,⑫ミキサー工程入力!$AI$6:$AI$65)+SUMIF(⑬計量工程入力!$R$6:$R$65,$C117,⑬計量工程入力!$AD$6:$AD$65)+SUMIF(⑬計量工程入力!$S$6:$S$65,$C117,⑬計量工程入力!$AE$6:$AE$65)+SUMIF(⑬計量工程入力!$T$6:$T$65,$C117,⑬計量工程入力!$AF$6:$AF$65)+SUMIF(⑬計量工程入力!$U$6:$U$65,$C117,⑬計量工程入力!$AG$6:$AG$65)+SUMIF(⑬計量工程入力!$V$6:$V$65,$C117,⑬計量工程入力!$AH$6:$AH$65)+SUMIF(⑬計量工程入力!$W$6:$W$65,$C117,⑬計量工程入力!$AI$6:$AI$65)+SUMIF(⑭手動工程入力!$R$6:$R$47,$C117,⑭手動工程入力!$AD$6:$AD$47)+SUMIF(⑭手動工程入力!$S$6:$S$47,$C117,⑭手動工程入力!$AE$6:$AE$47)+SUMIF(⑭手動工程入力!$T$6:$T$47,$C117,⑭手動工程入力!$AF$6:$AF$47)+SUMIF(⑭手動工程入力!$U$6:$U$47,$C117,⑭手動工程入力!$AG$6:$AG$47)+SUMIF(⑭手動工程入力!$V$6:$V$47,$C117,⑭手動工程入力!$AH$6:$AH$47)+SUMIF(⑭手動工程入力!$W$6:$W$47,$C117,⑭手動工程入力!$AI$6:$AI$47)</f>
        <v/>
      </c>
      <c r="I117" s="393">
        <f>IF($F117&gt;0,$H117/$F117,"")</f>
        <v/>
      </c>
      <c r="J117" s="605">
        <f>IFERROR(INDEX(商品原価!$B$4:$B$112,MATCH(SUBSTITUTE(SUBSTITUTE(SUBSTITUTE(SUBSTITUTE(SUBSTITUTE(SUBSTITUTE(SUBSTITUTE(SUBSTITUTE(SUBSTITUTE(SUBSTITUTE(ASC($C117),"①","1"),"②","2"),"③","3"),"④","4"),"⑤","5"),"⑥","6"),"⑦","7"),"⑧","8"),"⑨","9")," ",""),商品原価!$C$4:$C$112,0)),"")</f>
        <v/>
      </c>
      <c r="K117" s="542">
        <f>IF(ISNUMBER($J117),$J117*④前提設定!$B$21,"")</f>
        <v/>
      </c>
      <c r="L117" s="605">
        <f>IF(AND(NOT(ISNUMBER($J117)),NOT(ISNUMBER($K117))),"",N($J117)+N($K117))</f>
        <v/>
      </c>
      <c r="M117" s="605">
        <f>IFERROR(INDEX(商品原価!$E$4:$E$112,MATCH(SUBSTITUTE(SUBSTITUTE(SUBSTITUTE(SUBSTITUTE(SUBSTITUTE(SUBSTITUTE(SUBSTITUTE(SUBSTITUTE(SUBSTITUTE(SUBSTITUTE(ASC($C117),"①","1"),"②","2"),"③","3"),"④","4"),"⑤","5"),"⑥","6"),"⑦","7"),"⑧","8"),"⑨","9")," ",""),商品原価!$C$4:$C$112,0)),"")</f>
        <v/>
      </c>
      <c r="N117" s="605">
        <f>IF(AND(ISNUMBER($M117),ISNUMBER($L117)),$M117-$L117-N($W117),"")</f>
        <v/>
      </c>
      <c r="O117" s="606">
        <f>IF(AND(ISNUMBER($N117),ISNUMBER($M117),$M117&gt;0),$N117/$M117,"")</f>
        <v/>
      </c>
      <c r="P117" s="398">
        <f>COUNTIF(②釜工程入力!$R$5:$R$117,$C117)+COUNTIF(②釜工程入力!$S$5:$S$117,$C117)+COUNTIF(②釜工程入力!$T$5:$T$117,$C117)+COUNTIF(②釜工程入力!$U$5:$U$117,$C117)+COUNTIF(②釜工程入力!$V$5:$V$117,$C117)+COUNTIF(②釜工程入力!$W$5:$W$117,$C117)+COUNTIF(③スチコン工程入力!$R$5:$R$152,$C117)+COUNTIF(③スチコン工程入力!$S$5:$S$152,$C117)+COUNTIF(③スチコン工程入力!$T$5:$T$152,$C117)+COUNTIF(③スチコン工程入力!$U$5:$U$152,$C117)+COUNTIF(③スチコン工程入力!$V$5:$V$152,$C117)+COUNTIF(③スチコン工程入力!$W$5:$W$152,$C117)+COUNTIF(⑩盛付梱包工程入力!$R$5:$R$300,$C117)+COUNTIF(⑩盛付梱包工程入力!$S$5:$S$300,$C117)+COUNTIF(⑩盛付梱包工程入力!$T$5:$T$300,$C117)+COUNTIF(⑩盛付梱包工程入力!$U$5:$U$300,$C117)+COUNTIF(⑩盛付梱包工程入力!$V$5:$V$300,$C117)+COUNTIF(⑩盛付梱包工程入力!$W$5:$W$300,$C117)+COUNTIF(⑪ZEN工程入力!$R$6:$R$35,$C117)+COUNTIF(⑪ZEN工程入力!$S$6:$S$35,$C117)+COUNTIF(⑪ZEN工程入力!$T$6:$T$35,$C117)+COUNTIF(⑪ZEN工程入力!$U$6:$U$35,$C117)+COUNTIF(⑪ZEN工程入力!$V$6:$V$35,$C117)+COUNTIF(⑪ZEN工程入力!$W$6:$W$35,$C117)+COUNTIF(⑫ミキサー工程入力!$R$6:$R$65,$C117)+COUNTIF(⑫ミキサー工程入力!$S$6:$S$65,$C117)+COUNTIF(⑫ミキサー工程入力!$T$6:$T$65,$C117)+COUNTIF(⑫ミキサー工程入力!$U$6:$U$65,$C117)+COUNTIF(⑫ミキサー工程入力!$V$6:$V$65,$C117)+COUNTIF(⑫ミキサー工程入力!$W$6:$W$65,$C117)+COUNTIF(⑬計量工程入力!$R$6:$R$65,$C117)+COUNTIF(⑬計量工程入力!$S$6:$S$65,$C117)+COUNTIF(⑬計量工程入力!$T$6:$T$65,$C117)+COUNTIF(⑬計量工程入力!$U$6:$U$65,$C117)+COUNTIF(⑬計量工程入力!$V$6:$V$65,$C117)+COUNTIF(⑬計量工程入力!$W$6:$W$65,$C117)+COUNTIF(⑭手動工程入力!$R$6:$R$47,$C117)+COUNTIF(⑭手動工程入力!$S$6:$S$47,$C117)+COUNTIF(⑭手動工程入力!$T$6:$T$47,$C117)+COUNTIF(⑭手動工程入力!$U$6:$U$47,$C117)+COUNTIF(⑭手動工程入力!$V$6:$V$47,$C117)+COUNTIF(⑭手動工程入力!$W$6:$W$47,$C117)</f>
        <v/>
      </c>
      <c r="Q117" s="392" t="n"/>
      <c r="R117" s="393" t="n"/>
      <c r="S117" s="393" t="n"/>
      <c r="T117" s="393" t="n"/>
      <c r="U117" s="393" t="n"/>
      <c r="V117" s="605">
        <f>IFERROR(INDEX(KIT別作業時間!$D$4:$D$27,MATCH(SUBSTITUTE(SUBSTITUTE(SUBSTITUTE(SUBSTITUTE(SUBSTITUTE(SUBSTITUTE(SUBSTITUTE(SUBSTITUTE(SUBSTITUTE(SUBSTITUTE(ASC($C117),"①","1"),"②","2"),"③","3"),"④","4"),"⑤","5"),"⑥","6"),"⑦","7"),"⑧","8"),"⑨","9")," ",""),KIT別作業時間!$C$4:$C$27,0)),"")</f>
        <v/>
      </c>
      <c r="W117" s="393">
        <f>IF(AND(ISNUMBER($I117),$I117&gt;0),$I117,IF(ISNUMBER($V117),$V117,IF(ISNUMBER($R117),$R117,"")))</f>
        <v/>
      </c>
      <c r="X117" s="393">
        <f>IF(AND(ISNUMBER($I117),$I117&gt;0),"今回の工程実績",IF(ISNUMBER($V117),"KIT作業時間",IF(ISNUMBER($R117),"前回資料","")))</f>
        <v/>
      </c>
      <c r="Y117" s="398" t="n">
        <v>964</v>
      </c>
      <c r="Z117" s="398">
        <f>IF(AND(ISNUMBER($W117),ISNUMBER($Y117)),$W117*$Y117,"")</f>
        <v/>
      </c>
      <c r="AA117" s="393" t="n"/>
    </row>
    <row r="118">
      <c r="A118" s="392" t="n">
        <v>114</v>
      </c>
      <c r="B118" s="392" t="n"/>
      <c r="C118" s="392" t="inlineStr">
        <is>
          <t>ホテルブレッド生地ＫＩＴ２</t>
        </is>
      </c>
      <c r="D118" s="398">
        <f>SUMIF(⑩盛付梱包工程入力!$R$5:$R$300,$C118,⑩盛付梱包工程入力!$AC$5:$AC$300)+SUMIF(⑩盛付梱包工程入力!$S$5:$S$300,$C118,⑩盛付梱包工程入力!$AC$5:$AC$300)+SUMIF(⑩盛付梱包工程入力!$T$5:$T$300,$C118,⑩盛付梱包工程入力!$AC$5:$AC$300)+SUMIF(⑩盛付梱包工程入力!$U$5:$U$300,$C118,⑩盛付梱包工程入力!$AC$5:$AC$300)+SUMIF(⑩盛付梱包工程入力!$V$5:$V$300,$C118,⑩盛付梱包工程入力!$AC$5:$AC$300)+SUMIF(⑩盛付梱包工程入力!$W$5:$W$300,$C118,⑩盛付梱包工程入力!$AC$5:$AC$300)</f>
        <v/>
      </c>
      <c r="E118" s="398" t="n">
        <v>11</v>
      </c>
      <c r="F118" s="398">
        <f>IF(N($E118)&gt;0,$E118,$D118)</f>
        <v/>
      </c>
      <c r="G118" s="393" t="n">
        <v>811.6028368794326</v>
      </c>
      <c r="H118" s="393">
        <f>SUMIF(②釜工程入力!$R$5:$R$117,$C118,②釜工程入力!$AD$5:$AD$117)+SUMIF(②釜工程入力!$S$5:$S$117,$C118,②釜工程入力!$AE$5:$AE$117)+SUMIF(②釜工程入力!$T$5:$T$117,$C118,②釜工程入力!$AF$5:$AF$117)+SUMIF(②釜工程入力!$U$5:$U$117,$C118,②釜工程入力!$AG$5:$AG$117)+SUMIF(②釜工程入力!$V$5:$V$117,$C118,②釜工程入力!$AH$5:$AH$117)+SUMIF(②釜工程入力!$W$5:$W$117,$C118,②釜工程入力!$AI$5:$AI$117)+SUMIF(③スチコン工程入力!$R$5:$R$152,$C118,③スチコン工程入力!$AD$5:$AD$152)+SUMIF(③スチコン工程入力!$S$5:$S$152,$C118,③スチコン工程入力!$AE$5:$AE$152)+SUMIF(③スチコン工程入力!$T$5:$T$152,$C118,③スチコン工程入力!$AF$5:$AF$152)+SUMIF(③スチコン工程入力!$U$5:$U$152,$C118,③スチコン工程入力!$AG$5:$AG$152)+SUMIF(③スチコン工程入力!$V$5:$V$152,$C118,③スチコン工程入力!$AH$5:$AH$152)+SUMIF(③スチコン工程入力!$W$5:$W$152,$C118,③スチコン工程入力!$AI$5:$AI$152)+SUMIF(⑩盛付梱包工程入力!$R$5:$R$300,$C118,⑩盛付梱包工程入力!$AD$5:$AD$300)+SUMIF(⑩盛付梱包工程入力!$S$5:$S$300,$C118,⑩盛付梱包工程入力!$AE$5:$AE$300)+SUMIF(⑩盛付梱包工程入力!$T$5:$T$300,$C118,⑩盛付梱包工程入力!$AF$5:$AF$300)+SUMIF(⑩盛付梱包工程入力!$U$5:$U$300,$C118,⑩盛付梱包工程入力!$AG$5:$AG$300)+SUMIF(⑩盛付梱包工程入力!$V$5:$V$300,$C118,⑩盛付梱包工程入力!$AH$5:$AH$300)+SUMIF(⑩盛付梱包工程入力!$W$5:$W$300,$C118,⑩盛付梱包工程入力!$AI$5:$AI$300)+SUMIF(⑪ZEN工程入力!$R$6:$R$35,$C118,⑪ZEN工程入力!$AD$6:$AD$35)+SUMIF(⑪ZEN工程入力!$S$6:$S$35,$C118,⑪ZEN工程入力!$AE$6:$AE$35)+SUMIF(⑪ZEN工程入力!$T$6:$T$35,$C118,⑪ZEN工程入力!$AF$6:$AF$35)+SUMIF(⑪ZEN工程入力!$U$6:$U$35,$C118,⑪ZEN工程入力!$AG$6:$AG$35)+SUMIF(⑪ZEN工程入力!$V$6:$V$35,$C118,⑪ZEN工程入力!$AH$6:$AH$35)+SUMIF(⑪ZEN工程入力!$W$6:$W$35,$C118,⑪ZEN工程入力!$AI$6:$AI$35)+SUMIF(⑫ミキサー工程入力!$R$6:$R$65,$C118,⑫ミキサー工程入力!$AD$6:$AD$65)+SUMIF(⑫ミキサー工程入力!$S$6:$S$65,$C118,⑫ミキサー工程入力!$AE$6:$AE$65)+SUMIF(⑫ミキサー工程入力!$T$6:$T$65,$C118,⑫ミキサー工程入力!$AF$6:$AF$65)+SUMIF(⑫ミキサー工程入力!$U$6:$U$65,$C118,⑫ミキサー工程入力!$AG$6:$AG$65)+SUMIF(⑫ミキサー工程入力!$V$6:$V$65,$C118,⑫ミキサー工程入力!$AH$6:$AH$65)+SUMIF(⑫ミキサー工程入力!$W$6:$W$65,$C118,⑫ミキサー工程入力!$AI$6:$AI$65)+SUMIF(⑬計量工程入力!$R$6:$R$65,$C118,⑬計量工程入力!$AD$6:$AD$65)+SUMIF(⑬計量工程入力!$S$6:$S$65,$C118,⑬計量工程入力!$AE$6:$AE$65)+SUMIF(⑬計量工程入力!$T$6:$T$65,$C118,⑬計量工程入力!$AF$6:$AF$65)+SUMIF(⑬計量工程入力!$U$6:$U$65,$C118,⑬計量工程入力!$AG$6:$AG$65)+SUMIF(⑬計量工程入力!$V$6:$V$65,$C118,⑬計量工程入力!$AH$6:$AH$65)+SUMIF(⑬計量工程入力!$W$6:$W$65,$C118,⑬計量工程入力!$AI$6:$AI$65)+SUMIF(⑭手動工程入力!$R$6:$R$47,$C118,⑭手動工程入力!$AD$6:$AD$47)+SUMIF(⑭手動工程入力!$S$6:$S$47,$C118,⑭手動工程入力!$AE$6:$AE$47)+SUMIF(⑭手動工程入力!$T$6:$T$47,$C118,⑭手動工程入力!$AF$6:$AF$47)+SUMIF(⑭手動工程入力!$U$6:$U$47,$C118,⑭手動工程入力!$AG$6:$AG$47)+SUMIF(⑭手動工程入力!$V$6:$V$47,$C118,⑭手動工程入力!$AH$6:$AH$47)+SUMIF(⑭手動工程入力!$W$6:$W$47,$C118,⑭手動工程入力!$AI$6:$AI$47)</f>
        <v/>
      </c>
      <c r="I118" s="393">
        <f>IF($F118&gt;0,$H118/$F118,"")</f>
        <v/>
      </c>
      <c r="J118" s="605">
        <f>IFERROR(INDEX(商品原価!$B$4:$B$112,MATCH(SUBSTITUTE(SUBSTITUTE(SUBSTITUTE(SUBSTITUTE(SUBSTITUTE(SUBSTITUTE(SUBSTITUTE(SUBSTITUTE(SUBSTITUTE(SUBSTITUTE(ASC("ホテルブレッド生地ＫＩＴ"),"①","1"),"②","2"),"③","3"),"④","4"),"⑤","5"),"⑥","6"),"⑦","7"),"⑧","8"),"⑨","9")," ",""),商品原価!$C$4:$C$112,0)),"")</f>
        <v/>
      </c>
      <c r="K118" s="542">
        <f>IF(ISNUMBER($J118),$J118*④前提設定!$B$21,"")</f>
        <v/>
      </c>
      <c r="L118" s="605">
        <f>IF(AND(NOT(ISNUMBER($J118)),NOT(ISNUMBER($K118))),"",N($J118)+N($K118))</f>
        <v/>
      </c>
      <c r="M118" s="605">
        <f>IFERROR(INDEX(商品原価!$E$4:$E$112,MATCH(SUBSTITUTE(SUBSTITUTE(SUBSTITUTE(SUBSTITUTE(SUBSTITUTE(SUBSTITUTE(SUBSTITUTE(SUBSTITUTE(SUBSTITUTE(SUBSTITUTE(ASC("ホテルブレッド生地ＫＩＴ"),"①","1"),"②","2"),"③","3"),"④","4"),"⑤","5"),"⑥","6"),"⑦","7"),"⑧","8"),"⑨","9")," ",""),商品原価!$C$4:$C$112,0)),"")</f>
        <v/>
      </c>
      <c r="N118" s="605">
        <f>IF(AND(ISNUMBER($M118),ISNUMBER($L118)),$M118-$L118-N($W118),"")</f>
        <v/>
      </c>
      <c r="O118" s="606">
        <f>IF(AND(ISNUMBER($N118),ISNUMBER($M118),$M118&gt;0),$N118/$M118,"")</f>
        <v/>
      </c>
      <c r="P118" s="398">
        <f>COUNTIF(②釜工程入力!$R$5:$R$117,$C118)+COUNTIF(②釜工程入力!$S$5:$S$117,$C118)+COUNTIF(②釜工程入力!$T$5:$T$117,$C118)+COUNTIF(②釜工程入力!$U$5:$U$117,$C118)+COUNTIF(②釜工程入力!$V$5:$V$117,$C118)+COUNTIF(②釜工程入力!$W$5:$W$117,$C118)+COUNTIF(③スチコン工程入力!$R$5:$R$152,$C118)+COUNTIF(③スチコン工程入力!$S$5:$S$152,$C118)+COUNTIF(③スチコン工程入力!$T$5:$T$152,$C118)+COUNTIF(③スチコン工程入力!$U$5:$U$152,$C118)+COUNTIF(③スチコン工程入力!$V$5:$V$152,$C118)+COUNTIF(③スチコン工程入力!$W$5:$W$152,$C118)+COUNTIF(⑩盛付梱包工程入力!$R$5:$R$300,$C118)+COUNTIF(⑩盛付梱包工程入力!$S$5:$S$300,$C118)+COUNTIF(⑩盛付梱包工程入力!$T$5:$T$300,$C118)+COUNTIF(⑩盛付梱包工程入力!$U$5:$U$300,$C118)+COUNTIF(⑩盛付梱包工程入力!$V$5:$V$300,$C118)+COUNTIF(⑩盛付梱包工程入力!$W$5:$W$300,$C118)+COUNTIF(⑪ZEN工程入力!$R$6:$R$35,$C118)+COUNTIF(⑪ZEN工程入力!$S$6:$S$35,$C118)+COUNTIF(⑪ZEN工程入力!$T$6:$T$35,$C118)+COUNTIF(⑪ZEN工程入力!$U$6:$U$35,$C118)+COUNTIF(⑪ZEN工程入力!$V$6:$V$35,$C118)+COUNTIF(⑪ZEN工程入力!$W$6:$W$35,$C118)+COUNTIF(⑫ミキサー工程入力!$R$6:$R$65,$C118)+COUNTIF(⑫ミキサー工程入力!$S$6:$S$65,$C118)+COUNTIF(⑫ミキサー工程入力!$T$6:$T$65,$C118)+COUNTIF(⑫ミキサー工程入力!$U$6:$U$65,$C118)+COUNTIF(⑫ミキサー工程入力!$V$6:$V$65,$C118)+COUNTIF(⑫ミキサー工程入力!$W$6:$W$65,$C118)+COUNTIF(⑬計量工程入力!$R$6:$R$65,$C118)+COUNTIF(⑬計量工程入力!$S$6:$S$65,$C118)+COUNTIF(⑬計量工程入力!$T$6:$T$65,$C118)+COUNTIF(⑬計量工程入力!$U$6:$U$65,$C118)+COUNTIF(⑬計量工程入力!$V$6:$V$65,$C118)+COUNTIF(⑬計量工程入力!$W$6:$W$65,$C118)+COUNTIF(⑭手動工程入力!$R$6:$R$47,$C118)+COUNTIF(⑭手動工程入力!$S$6:$S$47,$C118)+COUNTIF(⑭手動工程入力!$T$6:$T$47,$C118)+COUNTIF(⑭手動工程入力!$U$6:$U$47,$C118)+COUNTIF(⑭手動工程入力!$V$6:$V$47,$C118)+COUNTIF(⑭手動工程入力!$W$6:$W$47,$C118)</f>
        <v/>
      </c>
      <c r="Q118" s="392" t="inlineStr">
        <is>
          <t>原価は「ホテルブレッド生地ＫＩＴ」を参照</t>
        </is>
      </c>
      <c r="R118" s="393" t="n"/>
      <c r="S118" s="393" t="n"/>
      <c r="T118" s="393" t="n"/>
      <c r="U118" s="393" t="n"/>
      <c r="V118" s="605">
        <f>IFERROR(INDEX(KIT別作業時間!$D$4:$D$27,MATCH(SUBSTITUTE(SUBSTITUTE(SUBSTITUTE(SUBSTITUTE(SUBSTITUTE(SUBSTITUTE(SUBSTITUTE(SUBSTITUTE(SUBSTITUTE(SUBSTITUTE(ASC($C118),"①","1"),"②","2"),"③","3"),"④","4"),"⑤","5"),"⑥","6"),"⑦","7"),"⑧","8"),"⑨","9")," ",""),KIT別作業時間!$C$4:$C$27,0)),"")</f>
        <v/>
      </c>
      <c r="W118" s="393">
        <f>IF(AND(ISNUMBER($I118),$I118&gt;0),$I118,IF(ISNUMBER($V118),$V118,IF(ISNUMBER($R118),$R118,"")))</f>
        <v/>
      </c>
      <c r="X118" s="393">
        <f>IF(AND(ISNUMBER($I118),$I118&gt;0),"今回の工程実績",IF(ISNUMBER($V118),"KIT作業時間",IF(ISNUMBER($R118),"前回資料","")))</f>
        <v/>
      </c>
      <c r="Y118" s="398" t="n">
        <v>400</v>
      </c>
      <c r="Z118" s="398">
        <f>IF(AND(ISNUMBER($W118),ISNUMBER($Y118)),$W118*$Y118,"")</f>
        <v/>
      </c>
      <c r="AA118" s="393" t="n"/>
    </row>
    <row r="119">
      <c r="A119" s="392" t="n">
        <v>115</v>
      </c>
      <c r="B119" s="392" t="n"/>
      <c r="C119" s="392" t="inlineStr">
        <is>
          <t>パインコンポートＫＩＴ</t>
        </is>
      </c>
      <c r="D119" s="398">
        <f>SUMIF(⑩盛付梱包工程入力!$R$5:$R$300,$C119,⑩盛付梱包工程入力!$AC$5:$AC$300)+SUMIF(⑩盛付梱包工程入力!$S$5:$S$300,$C119,⑩盛付梱包工程入力!$AC$5:$AC$300)+SUMIF(⑩盛付梱包工程入力!$T$5:$T$300,$C119,⑩盛付梱包工程入力!$AC$5:$AC$300)+SUMIF(⑩盛付梱包工程入力!$U$5:$U$300,$C119,⑩盛付梱包工程入力!$AC$5:$AC$300)+SUMIF(⑩盛付梱包工程入力!$V$5:$V$300,$C119,⑩盛付梱包工程入力!$AC$5:$AC$300)+SUMIF(⑩盛付梱包工程入力!$W$5:$W$300,$C119,⑩盛付梱包工程入力!$AC$5:$AC$300)</f>
        <v/>
      </c>
      <c r="E119" s="398" t="n">
        <v>3</v>
      </c>
      <c r="F119" s="398">
        <f>IF(N($E119)&gt;0,$E119,$D119)</f>
        <v/>
      </c>
      <c r="G119" s="393" t="n">
        <v>584.5102040816327</v>
      </c>
      <c r="H119" s="393">
        <f>SUMIF(②釜工程入力!$R$5:$R$117,$C119,②釜工程入力!$AD$5:$AD$117)+SUMIF(②釜工程入力!$S$5:$S$117,$C119,②釜工程入力!$AE$5:$AE$117)+SUMIF(②釜工程入力!$T$5:$T$117,$C119,②釜工程入力!$AF$5:$AF$117)+SUMIF(②釜工程入力!$U$5:$U$117,$C119,②釜工程入力!$AG$5:$AG$117)+SUMIF(②釜工程入力!$V$5:$V$117,$C119,②釜工程入力!$AH$5:$AH$117)+SUMIF(②釜工程入力!$W$5:$W$117,$C119,②釜工程入力!$AI$5:$AI$117)+SUMIF(③スチコン工程入力!$R$5:$R$152,$C119,③スチコン工程入力!$AD$5:$AD$152)+SUMIF(③スチコン工程入力!$S$5:$S$152,$C119,③スチコン工程入力!$AE$5:$AE$152)+SUMIF(③スチコン工程入力!$T$5:$T$152,$C119,③スチコン工程入力!$AF$5:$AF$152)+SUMIF(③スチコン工程入力!$U$5:$U$152,$C119,③スチコン工程入力!$AG$5:$AG$152)+SUMIF(③スチコン工程入力!$V$5:$V$152,$C119,③スチコン工程入力!$AH$5:$AH$152)+SUMIF(③スチコン工程入力!$W$5:$W$152,$C119,③スチコン工程入力!$AI$5:$AI$152)+SUMIF(⑩盛付梱包工程入力!$R$5:$R$300,$C119,⑩盛付梱包工程入力!$AD$5:$AD$300)+SUMIF(⑩盛付梱包工程入力!$S$5:$S$300,$C119,⑩盛付梱包工程入力!$AE$5:$AE$300)+SUMIF(⑩盛付梱包工程入力!$T$5:$T$300,$C119,⑩盛付梱包工程入力!$AF$5:$AF$300)+SUMIF(⑩盛付梱包工程入力!$U$5:$U$300,$C119,⑩盛付梱包工程入力!$AG$5:$AG$300)+SUMIF(⑩盛付梱包工程入力!$V$5:$V$300,$C119,⑩盛付梱包工程入力!$AH$5:$AH$300)+SUMIF(⑩盛付梱包工程入力!$W$5:$W$300,$C119,⑩盛付梱包工程入力!$AI$5:$AI$300)+SUMIF(⑪ZEN工程入力!$R$6:$R$35,$C119,⑪ZEN工程入力!$AD$6:$AD$35)+SUMIF(⑪ZEN工程入力!$S$6:$S$35,$C119,⑪ZEN工程入力!$AE$6:$AE$35)+SUMIF(⑪ZEN工程入力!$T$6:$T$35,$C119,⑪ZEN工程入力!$AF$6:$AF$35)+SUMIF(⑪ZEN工程入力!$U$6:$U$35,$C119,⑪ZEN工程入力!$AG$6:$AG$35)+SUMIF(⑪ZEN工程入力!$V$6:$V$35,$C119,⑪ZEN工程入力!$AH$6:$AH$35)+SUMIF(⑪ZEN工程入力!$W$6:$W$35,$C119,⑪ZEN工程入力!$AI$6:$AI$35)+SUMIF(⑫ミキサー工程入力!$R$6:$R$65,$C119,⑫ミキサー工程入力!$AD$6:$AD$65)+SUMIF(⑫ミキサー工程入力!$S$6:$S$65,$C119,⑫ミキサー工程入力!$AE$6:$AE$65)+SUMIF(⑫ミキサー工程入力!$T$6:$T$65,$C119,⑫ミキサー工程入力!$AF$6:$AF$65)+SUMIF(⑫ミキサー工程入力!$U$6:$U$65,$C119,⑫ミキサー工程入力!$AG$6:$AG$65)+SUMIF(⑫ミキサー工程入力!$V$6:$V$65,$C119,⑫ミキサー工程入力!$AH$6:$AH$65)+SUMIF(⑫ミキサー工程入力!$W$6:$W$65,$C119,⑫ミキサー工程入力!$AI$6:$AI$65)+SUMIF(⑬計量工程入力!$R$6:$R$65,$C119,⑬計量工程入力!$AD$6:$AD$65)+SUMIF(⑬計量工程入力!$S$6:$S$65,$C119,⑬計量工程入力!$AE$6:$AE$65)+SUMIF(⑬計量工程入力!$T$6:$T$65,$C119,⑬計量工程入力!$AF$6:$AF$65)+SUMIF(⑬計量工程入力!$U$6:$U$65,$C119,⑬計量工程入力!$AG$6:$AG$65)+SUMIF(⑬計量工程入力!$V$6:$V$65,$C119,⑬計量工程入力!$AH$6:$AH$65)+SUMIF(⑬計量工程入力!$W$6:$W$65,$C119,⑬計量工程入力!$AI$6:$AI$65)+SUMIF(⑭手動工程入力!$R$6:$R$47,$C119,⑭手動工程入力!$AD$6:$AD$47)+SUMIF(⑭手動工程入力!$S$6:$S$47,$C119,⑭手動工程入力!$AE$6:$AE$47)+SUMIF(⑭手動工程入力!$T$6:$T$47,$C119,⑭手動工程入力!$AF$6:$AF$47)+SUMIF(⑭手動工程入力!$U$6:$U$47,$C119,⑭手動工程入力!$AG$6:$AG$47)+SUMIF(⑭手動工程入力!$V$6:$V$47,$C119,⑭手動工程入力!$AH$6:$AH$47)+SUMIF(⑭手動工程入力!$W$6:$W$47,$C119,⑭手動工程入力!$AI$6:$AI$47)</f>
        <v/>
      </c>
      <c r="I119" s="393">
        <f>IF($F119&gt;0,$H119/$F119,"")</f>
        <v/>
      </c>
      <c r="J119" s="605">
        <f>IFERROR(INDEX(商品原価!$B$4:$B$112,MATCH(SUBSTITUTE(SUBSTITUTE(SUBSTITUTE(SUBSTITUTE(SUBSTITUTE(SUBSTITUTE(SUBSTITUTE(SUBSTITUTE(SUBSTITUTE(SUBSTITUTE(ASC($C119),"①","1"),"②","2"),"③","3"),"④","4"),"⑤","5"),"⑥","6"),"⑦","7"),"⑧","8"),"⑨","9")," ",""),商品原価!$C$4:$C$112,0)),"")</f>
        <v/>
      </c>
      <c r="K119" s="542">
        <f>IF(ISNUMBER($J119),$J119*④前提設定!$B$21,"")</f>
        <v/>
      </c>
      <c r="L119" s="605">
        <f>IF(AND(NOT(ISNUMBER($J119)),NOT(ISNUMBER($K119))),"",N($J119)+N($K119))</f>
        <v/>
      </c>
      <c r="M119" s="605">
        <f>IFERROR(INDEX(商品原価!$E$4:$E$112,MATCH(SUBSTITUTE(SUBSTITUTE(SUBSTITUTE(SUBSTITUTE(SUBSTITUTE(SUBSTITUTE(SUBSTITUTE(SUBSTITUTE(SUBSTITUTE(SUBSTITUTE(ASC($C119),"①","1"),"②","2"),"③","3"),"④","4"),"⑤","5"),"⑥","6"),"⑦","7"),"⑧","8"),"⑨","9")," ",""),商品原価!$C$4:$C$112,0)),"")</f>
        <v/>
      </c>
      <c r="N119" s="605">
        <f>IF(AND(ISNUMBER($M119),ISNUMBER($L119)),$M119-$L119-N($W119),"")</f>
        <v/>
      </c>
      <c r="O119" s="606">
        <f>IF(AND(ISNUMBER($N119),ISNUMBER($M119),$M119&gt;0),$N119/$M119,"")</f>
        <v/>
      </c>
      <c r="P119" s="398">
        <f>COUNTIF(②釜工程入力!$R$5:$R$117,$C119)+COUNTIF(②釜工程入力!$S$5:$S$117,$C119)+COUNTIF(②釜工程入力!$T$5:$T$117,$C119)+COUNTIF(②釜工程入力!$U$5:$U$117,$C119)+COUNTIF(②釜工程入力!$V$5:$V$117,$C119)+COUNTIF(②釜工程入力!$W$5:$W$117,$C119)+COUNTIF(③スチコン工程入力!$R$5:$R$152,$C119)+COUNTIF(③スチコン工程入力!$S$5:$S$152,$C119)+COUNTIF(③スチコン工程入力!$T$5:$T$152,$C119)+COUNTIF(③スチコン工程入力!$U$5:$U$152,$C119)+COUNTIF(③スチコン工程入力!$V$5:$V$152,$C119)+COUNTIF(③スチコン工程入力!$W$5:$W$152,$C119)+COUNTIF(⑩盛付梱包工程入力!$R$5:$R$300,$C119)+COUNTIF(⑩盛付梱包工程入力!$S$5:$S$300,$C119)+COUNTIF(⑩盛付梱包工程入力!$T$5:$T$300,$C119)+COUNTIF(⑩盛付梱包工程入力!$U$5:$U$300,$C119)+COUNTIF(⑩盛付梱包工程入力!$V$5:$V$300,$C119)+COUNTIF(⑩盛付梱包工程入力!$W$5:$W$300,$C119)+COUNTIF(⑪ZEN工程入力!$R$6:$R$35,$C119)+COUNTIF(⑪ZEN工程入力!$S$6:$S$35,$C119)+COUNTIF(⑪ZEN工程入力!$T$6:$T$35,$C119)+COUNTIF(⑪ZEN工程入力!$U$6:$U$35,$C119)+COUNTIF(⑪ZEN工程入力!$V$6:$V$35,$C119)+COUNTIF(⑪ZEN工程入力!$W$6:$W$35,$C119)+COUNTIF(⑫ミキサー工程入力!$R$6:$R$65,$C119)+COUNTIF(⑫ミキサー工程入力!$S$6:$S$65,$C119)+COUNTIF(⑫ミキサー工程入力!$T$6:$T$65,$C119)+COUNTIF(⑫ミキサー工程入力!$U$6:$U$65,$C119)+COUNTIF(⑫ミキサー工程入力!$V$6:$V$65,$C119)+COUNTIF(⑫ミキサー工程入力!$W$6:$W$65,$C119)+COUNTIF(⑬計量工程入力!$R$6:$R$65,$C119)+COUNTIF(⑬計量工程入力!$S$6:$S$65,$C119)+COUNTIF(⑬計量工程入力!$T$6:$T$65,$C119)+COUNTIF(⑬計量工程入力!$U$6:$U$65,$C119)+COUNTIF(⑬計量工程入力!$V$6:$V$65,$C119)+COUNTIF(⑬計量工程入力!$W$6:$W$65,$C119)+COUNTIF(⑭手動工程入力!$R$6:$R$47,$C119)+COUNTIF(⑭手動工程入力!$S$6:$S$47,$C119)+COUNTIF(⑭手動工程入力!$T$6:$T$47,$C119)+COUNTIF(⑭手動工程入力!$U$6:$U$47,$C119)+COUNTIF(⑭手動工程入力!$V$6:$V$47,$C119)+COUNTIF(⑭手動工程入力!$W$6:$W$47,$C119)</f>
        <v/>
      </c>
      <c r="Q119" s="392" t="inlineStr">
        <is>
          <t>⑩盛付梱包 76行目に入力欄を作成（工程記録なし）</t>
        </is>
      </c>
      <c r="R119" s="393" t="n"/>
      <c r="S119" s="393" t="n"/>
      <c r="T119" s="393" t="n"/>
      <c r="U119" s="393" t="n"/>
      <c r="V119" s="605">
        <f>IFERROR(INDEX(KIT別作業時間!$D$4:$D$27,MATCH(SUBSTITUTE(SUBSTITUTE(SUBSTITUTE(SUBSTITUTE(SUBSTITUTE(SUBSTITUTE(SUBSTITUTE(SUBSTITUTE(SUBSTITUTE(SUBSTITUTE(ASC($C119),"①","1"),"②","2"),"③","3"),"④","4"),"⑤","5"),"⑥","6"),"⑦","7"),"⑧","8"),"⑨","9")," ",""),KIT別作業時間!$C$4:$C$27,0)),"")</f>
        <v/>
      </c>
      <c r="W119" s="393">
        <f>IF(AND(ISNUMBER($I119),$I119&gt;0),$I119,IF(ISNUMBER($V119),$V119,IF(ISNUMBER($R119),$R119,"")))</f>
        <v/>
      </c>
      <c r="X119" s="393">
        <f>IF(AND(ISNUMBER($I119),$I119&gt;0),"今回の工程実績",IF(ISNUMBER($V119),"KIT作業時間",IF(ISNUMBER($R119),"前回資料","")))</f>
        <v/>
      </c>
      <c r="Y119" s="398" t="n"/>
      <c r="Z119" s="398">
        <f>IF(AND(ISNUMBER($W119),ISNUMBER($Y119)),$W119*$Y119,"")</f>
        <v/>
      </c>
      <c r="AA119" s="393" t="n"/>
    </row>
    <row r="120">
      <c r="A120" s="392" t="n">
        <v>116</v>
      </c>
      <c r="B120" s="392" t="n"/>
      <c r="C120" s="392" t="inlineStr">
        <is>
          <t>販促シール　焼きそば</t>
        </is>
      </c>
      <c r="D120" s="398">
        <f>SUMIF(⑩盛付梱包工程入力!$R$5:$R$300,$C120,⑩盛付梱包工程入力!$AC$5:$AC$300)+SUMIF(⑩盛付梱包工程入力!$S$5:$S$300,$C120,⑩盛付梱包工程入力!$AC$5:$AC$300)+SUMIF(⑩盛付梱包工程入力!$T$5:$T$300,$C120,⑩盛付梱包工程入力!$AC$5:$AC$300)+SUMIF(⑩盛付梱包工程入力!$U$5:$U$300,$C120,⑩盛付梱包工程入力!$AC$5:$AC$300)+SUMIF(⑩盛付梱包工程入力!$V$5:$V$300,$C120,⑩盛付梱包工程入力!$AC$5:$AC$300)+SUMIF(⑩盛付梱包工程入力!$W$5:$W$300,$C120,⑩盛付梱包工程入力!$AC$5:$AC$300)</f>
        <v/>
      </c>
      <c r="E120" s="398" t="n">
        <v>2</v>
      </c>
      <c r="F120" s="398">
        <f>IF(N($E120)&gt;0,$E120,$D120)</f>
        <v/>
      </c>
      <c r="G120" s="393" t="n">
        <v>1</v>
      </c>
      <c r="H120" s="393">
        <f>SUMIF(②釜工程入力!$R$5:$R$117,$C120,②釜工程入力!$AD$5:$AD$117)+SUMIF(②釜工程入力!$S$5:$S$117,$C120,②釜工程入力!$AE$5:$AE$117)+SUMIF(②釜工程入力!$T$5:$T$117,$C120,②釜工程入力!$AF$5:$AF$117)+SUMIF(②釜工程入力!$U$5:$U$117,$C120,②釜工程入力!$AG$5:$AG$117)+SUMIF(②釜工程入力!$V$5:$V$117,$C120,②釜工程入力!$AH$5:$AH$117)+SUMIF(②釜工程入力!$W$5:$W$117,$C120,②釜工程入力!$AI$5:$AI$117)+SUMIF(③スチコン工程入力!$R$5:$R$152,$C120,③スチコン工程入力!$AD$5:$AD$152)+SUMIF(③スチコン工程入力!$S$5:$S$152,$C120,③スチコン工程入力!$AE$5:$AE$152)+SUMIF(③スチコン工程入力!$T$5:$T$152,$C120,③スチコン工程入力!$AF$5:$AF$152)+SUMIF(③スチコン工程入力!$U$5:$U$152,$C120,③スチコン工程入力!$AG$5:$AG$152)+SUMIF(③スチコン工程入力!$V$5:$V$152,$C120,③スチコン工程入力!$AH$5:$AH$152)+SUMIF(③スチコン工程入力!$W$5:$W$152,$C120,③スチコン工程入力!$AI$5:$AI$152)+SUMIF(⑩盛付梱包工程入力!$R$5:$R$300,$C120,⑩盛付梱包工程入力!$AD$5:$AD$300)+SUMIF(⑩盛付梱包工程入力!$S$5:$S$300,$C120,⑩盛付梱包工程入力!$AE$5:$AE$300)+SUMIF(⑩盛付梱包工程入力!$T$5:$T$300,$C120,⑩盛付梱包工程入力!$AF$5:$AF$300)+SUMIF(⑩盛付梱包工程入力!$U$5:$U$300,$C120,⑩盛付梱包工程入力!$AG$5:$AG$300)+SUMIF(⑩盛付梱包工程入力!$V$5:$V$300,$C120,⑩盛付梱包工程入力!$AH$5:$AH$300)+SUMIF(⑩盛付梱包工程入力!$W$5:$W$300,$C120,⑩盛付梱包工程入力!$AI$5:$AI$300)+SUMIF(⑪ZEN工程入力!$R$6:$R$35,$C120,⑪ZEN工程入力!$AD$6:$AD$35)+SUMIF(⑪ZEN工程入力!$S$6:$S$35,$C120,⑪ZEN工程入力!$AE$6:$AE$35)+SUMIF(⑪ZEN工程入力!$T$6:$T$35,$C120,⑪ZEN工程入力!$AF$6:$AF$35)+SUMIF(⑪ZEN工程入力!$U$6:$U$35,$C120,⑪ZEN工程入力!$AG$6:$AG$35)+SUMIF(⑪ZEN工程入力!$V$6:$V$35,$C120,⑪ZEN工程入力!$AH$6:$AH$35)+SUMIF(⑪ZEN工程入力!$W$6:$W$35,$C120,⑪ZEN工程入力!$AI$6:$AI$35)+SUMIF(⑫ミキサー工程入力!$R$6:$R$65,$C120,⑫ミキサー工程入力!$AD$6:$AD$65)+SUMIF(⑫ミキサー工程入力!$S$6:$S$65,$C120,⑫ミキサー工程入力!$AE$6:$AE$65)+SUMIF(⑫ミキサー工程入力!$T$6:$T$65,$C120,⑫ミキサー工程入力!$AF$6:$AF$65)+SUMIF(⑫ミキサー工程入力!$U$6:$U$65,$C120,⑫ミキサー工程入力!$AG$6:$AG$65)+SUMIF(⑫ミキサー工程入力!$V$6:$V$65,$C120,⑫ミキサー工程入力!$AH$6:$AH$65)+SUMIF(⑫ミキサー工程入力!$W$6:$W$65,$C120,⑫ミキサー工程入力!$AI$6:$AI$65)+SUMIF(⑬計量工程入力!$R$6:$R$65,$C120,⑬計量工程入力!$AD$6:$AD$65)+SUMIF(⑬計量工程入力!$S$6:$S$65,$C120,⑬計量工程入力!$AE$6:$AE$65)+SUMIF(⑬計量工程入力!$T$6:$T$65,$C120,⑬計量工程入力!$AF$6:$AF$65)+SUMIF(⑬計量工程入力!$U$6:$U$65,$C120,⑬計量工程入力!$AG$6:$AG$65)+SUMIF(⑬計量工程入力!$V$6:$V$65,$C120,⑬計量工程入力!$AH$6:$AH$65)+SUMIF(⑬計量工程入力!$W$6:$W$65,$C120,⑬計量工程入力!$AI$6:$AI$65)+SUMIF(⑭手動工程入力!$R$6:$R$47,$C120,⑭手動工程入力!$AD$6:$AD$47)+SUMIF(⑭手動工程入力!$S$6:$S$47,$C120,⑭手動工程入力!$AE$6:$AE$47)+SUMIF(⑭手動工程入力!$T$6:$T$47,$C120,⑭手動工程入力!$AF$6:$AF$47)+SUMIF(⑭手動工程入力!$U$6:$U$47,$C120,⑭手動工程入力!$AG$6:$AG$47)+SUMIF(⑭手動工程入力!$V$6:$V$47,$C120,⑭手動工程入力!$AH$6:$AH$47)+SUMIF(⑭手動工程入力!$W$6:$W$47,$C120,⑭手動工程入力!$AI$6:$AI$47)</f>
        <v/>
      </c>
      <c r="I120" s="393">
        <f>IF($F120&gt;0,$H120/$F120,"")</f>
        <v/>
      </c>
      <c r="J120" s="605">
        <f>IFERROR(INDEX(商品原価!$B$4:$B$112,MATCH(SUBSTITUTE(SUBSTITUTE(SUBSTITUTE(SUBSTITUTE(SUBSTITUTE(SUBSTITUTE(SUBSTITUTE(SUBSTITUTE(SUBSTITUTE(SUBSTITUTE(ASC($C120),"①","1"),"②","2"),"③","3"),"④","4"),"⑤","5"),"⑥","6"),"⑦","7"),"⑧","8"),"⑨","9")," ",""),商品原価!$C$4:$C$112,0)),"")</f>
        <v/>
      </c>
      <c r="K120" s="542">
        <f>IF(ISNUMBER($J120),$J120*④前提設定!$B$21,"")</f>
        <v/>
      </c>
      <c r="L120" s="605">
        <f>IF(AND(NOT(ISNUMBER($J120)),NOT(ISNUMBER($K120))),"",N($J120)+N($K120))</f>
        <v/>
      </c>
      <c r="M120" s="605">
        <f>IFERROR(INDEX(商品原価!$E$4:$E$112,MATCH(SUBSTITUTE(SUBSTITUTE(SUBSTITUTE(SUBSTITUTE(SUBSTITUTE(SUBSTITUTE(SUBSTITUTE(SUBSTITUTE(SUBSTITUTE(SUBSTITUTE(ASC($C120),"①","1"),"②","2"),"③","3"),"④","4"),"⑤","5"),"⑥","6"),"⑦","7"),"⑧","8"),"⑨","9")," ",""),商品原価!$C$4:$C$112,0)),"")</f>
        <v/>
      </c>
      <c r="N120" s="605">
        <f>IF(AND(ISNUMBER($M120),ISNUMBER($L120)),$M120-$L120-N($W120),"")</f>
        <v/>
      </c>
      <c r="O120" s="606">
        <f>IF(AND(ISNUMBER($N120),ISNUMBER($M120),$M120&gt;0),$N120/$M120,"")</f>
        <v/>
      </c>
      <c r="P120" s="398">
        <f>COUNTIF(②釜工程入力!$R$5:$R$117,$C120)+COUNTIF(②釜工程入力!$S$5:$S$117,$C120)+COUNTIF(②釜工程入力!$T$5:$T$117,$C120)+COUNTIF(②釜工程入力!$U$5:$U$117,$C120)+COUNTIF(②釜工程入力!$V$5:$V$117,$C120)+COUNTIF(②釜工程入力!$W$5:$W$117,$C120)+COUNTIF(③スチコン工程入力!$R$5:$R$152,$C120)+COUNTIF(③スチコン工程入力!$S$5:$S$152,$C120)+COUNTIF(③スチコン工程入力!$T$5:$T$152,$C120)+COUNTIF(③スチコン工程入力!$U$5:$U$152,$C120)+COUNTIF(③スチコン工程入力!$V$5:$V$152,$C120)+COUNTIF(③スチコン工程入力!$W$5:$W$152,$C120)+COUNTIF(⑩盛付梱包工程入力!$R$5:$R$300,$C120)+COUNTIF(⑩盛付梱包工程入力!$S$5:$S$300,$C120)+COUNTIF(⑩盛付梱包工程入力!$T$5:$T$300,$C120)+COUNTIF(⑩盛付梱包工程入力!$U$5:$U$300,$C120)+COUNTIF(⑩盛付梱包工程入力!$V$5:$V$300,$C120)+COUNTIF(⑩盛付梱包工程入力!$W$5:$W$300,$C120)+COUNTIF(⑪ZEN工程入力!$R$6:$R$35,$C120)+COUNTIF(⑪ZEN工程入力!$S$6:$S$35,$C120)+COUNTIF(⑪ZEN工程入力!$T$6:$T$35,$C120)+COUNTIF(⑪ZEN工程入力!$U$6:$U$35,$C120)+COUNTIF(⑪ZEN工程入力!$V$6:$V$35,$C120)+COUNTIF(⑪ZEN工程入力!$W$6:$W$35,$C120)+COUNTIF(⑫ミキサー工程入力!$R$6:$R$65,$C120)+COUNTIF(⑫ミキサー工程入力!$S$6:$S$65,$C120)+COUNTIF(⑫ミキサー工程入力!$T$6:$T$65,$C120)+COUNTIF(⑫ミキサー工程入力!$U$6:$U$65,$C120)+COUNTIF(⑫ミキサー工程入力!$V$6:$V$65,$C120)+COUNTIF(⑫ミキサー工程入力!$W$6:$W$65,$C120)+COUNTIF(⑬計量工程入力!$R$6:$R$65,$C120)+COUNTIF(⑬計量工程入力!$S$6:$S$65,$C120)+COUNTIF(⑬計量工程入力!$T$6:$T$65,$C120)+COUNTIF(⑬計量工程入力!$U$6:$U$65,$C120)+COUNTIF(⑬計量工程入力!$V$6:$V$65,$C120)+COUNTIF(⑬計量工程入力!$W$6:$W$65,$C120)+COUNTIF(⑭手動工程入力!$R$6:$R$47,$C120)+COUNTIF(⑭手動工程入力!$S$6:$S$47,$C120)+COUNTIF(⑭手動工程入力!$T$6:$T$47,$C120)+COUNTIF(⑭手動工程入力!$U$6:$U$47,$C120)+COUNTIF(⑭手動工程入力!$V$6:$V$47,$C120)+COUNTIF(⑭手動工程入力!$W$6:$W$47,$C120)</f>
        <v/>
      </c>
      <c r="Q120" s="392" t="inlineStr">
        <is>
          <t>販促資材のため工程労務費なし（対象外）</t>
        </is>
      </c>
      <c r="R120" s="393" t="n"/>
      <c r="S120" s="393" t="n"/>
      <c r="T120" s="393" t="n"/>
      <c r="U120" s="393" t="n"/>
      <c r="V120" s="605">
        <f>IFERROR(INDEX(KIT別作業時間!$D$4:$D$27,MATCH(SUBSTITUTE(SUBSTITUTE(SUBSTITUTE(SUBSTITUTE(SUBSTITUTE(SUBSTITUTE(SUBSTITUTE(SUBSTITUTE(SUBSTITUTE(SUBSTITUTE(ASC($C120),"①","1"),"②","2"),"③","3"),"④","4"),"⑤","5"),"⑥","6"),"⑦","7"),"⑧","8"),"⑨","9")," ",""),KIT別作業時間!$C$4:$C$27,0)),"")</f>
        <v/>
      </c>
      <c r="W120" s="393">
        <f>IF(AND(ISNUMBER($I120),$I120&gt;0),$I120,IF(ISNUMBER($V120),$V120,IF(ISNUMBER($R120),$R120,"")))</f>
        <v/>
      </c>
      <c r="X120" s="393">
        <f>IF(AND(ISNUMBER($I120),$I120&gt;0),"今回の工程実績",IF(ISNUMBER($V120),"KIT作業時間",IF(ISNUMBER($R120),"前回資料","")))</f>
        <v/>
      </c>
      <c r="Y120" s="398" t="n">
        <v>26</v>
      </c>
      <c r="Z120" s="398">
        <f>IF(AND(ISNUMBER($W120),ISNUMBER($Y120)),$W120*$Y120,"")</f>
        <v/>
      </c>
      <c r="AA120" s="393" t="n"/>
    </row>
    <row r="121">
      <c r="A121" s="392" t="n">
        <v>117</v>
      </c>
      <c r="B121" s="392" t="n"/>
      <c r="C121" s="392" t="inlineStr">
        <is>
          <t>販促シール　かつ重帯シール</t>
        </is>
      </c>
      <c r="D121" s="398">
        <f>SUMIF(⑩盛付梱包工程入力!$R$5:$R$300,$C121,⑩盛付梱包工程入力!$AC$5:$AC$300)+SUMIF(⑩盛付梱包工程入力!$S$5:$S$300,$C121,⑩盛付梱包工程入力!$AC$5:$AC$300)+SUMIF(⑩盛付梱包工程入力!$T$5:$T$300,$C121,⑩盛付梱包工程入力!$AC$5:$AC$300)+SUMIF(⑩盛付梱包工程入力!$U$5:$U$300,$C121,⑩盛付梱包工程入力!$AC$5:$AC$300)+SUMIF(⑩盛付梱包工程入力!$V$5:$V$300,$C121,⑩盛付梱包工程入力!$AC$5:$AC$300)+SUMIF(⑩盛付梱包工程入力!$W$5:$W$300,$C121,⑩盛付梱包工程入力!$AC$5:$AC$300)</f>
        <v/>
      </c>
      <c r="E121" s="398" t="n">
        <v>4</v>
      </c>
      <c r="F121" s="398">
        <f>IF(N($E121)&gt;0,$E121,$D121)</f>
        <v/>
      </c>
      <c r="G121" s="393" t="n">
        <v>1</v>
      </c>
      <c r="H121" s="393">
        <f>SUMIF(②釜工程入力!$R$5:$R$117,$C121,②釜工程入力!$AD$5:$AD$117)+SUMIF(②釜工程入力!$S$5:$S$117,$C121,②釜工程入力!$AE$5:$AE$117)+SUMIF(②釜工程入力!$T$5:$T$117,$C121,②釜工程入力!$AF$5:$AF$117)+SUMIF(②釜工程入力!$U$5:$U$117,$C121,②釜工程入力!$AG$5:$AG$117)+SUMIF(②釜工程入力!$V$5:$V$117,$C121,②釜工程入力!$AH$5:$AH$117)+SUMIF(②釜工程入力!$W$5:$W$117,$C121,②釜工程入力!$AI$5:$AI$117)+SUMIF(③スチコン工程入力!$R$5:$R$152,$C121,③スチコン工程入力!$AD$5:$AD$152)+SUMIF(③スチコン工程入力!$S$5:$S$152,$C121,③スチコン工程入力!$AE$5:$AE$152)+SUMIF(③スチコン工程入力!$T$5:$T$152,$C121,③スチコン工程入力!$AF$5:$AF$152)+SUMIF(③スチコン工程入力!$U$5:$U$152,$C121,③スチコン工程入力!$AG$5:$AG$152)+SUMIF(③スチコン工程入力!$V$5:$V$152,$C121,③スチコン工程入力!$AH$5:$AH$152)+SUMIF(③スチコン工程入力!$W$5:$W$152,$C121,③スチコン工程入力!$AI$5:$AI$152)+SUMIF(⑩盛付梱包工程入力!$R$5:$R$300,$C121,⑩盛付梱包工程入力!$AD$5:$AD$300)+SUMIF(⑩盛付梱包工程入力!$S$5:$S$300,$C121,⑩盛付梱包工程入力!$AE$5:$AE$300)+SUMIF(⑩盛付梱包工程入力!$T$5:$T$300,$C121,⑩盛付梱包工程入力!$AF$5:$AF$300)+SUMIF(⑩盛付梱包工程入力!$U$5:$U$300,$C121,⑩盛付梱包工程入力!$AG$5:$AG$300)+SUMIF(⑩盛付梱包工程入力!$V$5:$V$300,$C121,⑩盛付梱包工程入力!$AH$5:$AH$300)+SUMIF(⑩盛付梱包工程入力!$W$5:$W$300,$C121,⑩盛付梱包工程入力!$AI$5:$AI$300)+SUMIF(⑪ZEN工程入力!$R$6:$R$35,$C121,⑪ZEN工程入力!$AD$6:$AD$35)+SUMIF(⑪ZEN工程入力!$S$6:$S$35,$C121,⑪ZEN工程入力!$AE$6:$AE$35)+SUMIF(⑪ZEN工程入力!$T$6:$T$35,$C121,⑪ZEN工程入力!$AF$6:$AF$35)+SUMIF(⑪ZEN工程入力!$U$6:$U$35,$C121,⑪ZEN工程入力!$AG$6:$AG$35)+SUMIF(⑪ZEN工程入力!$V$6:$V$35,$C121,⑪ZEN工程入力!$AH$6:$AH$35)+SUMIF(⑪ZEN工程入力!$W$6:$W$35,$C121,⑪ZEN工程入力!$AI$6:$AI$35)+SUMIF(⑫ミキサー工程入力!$R$6:$R$65,$C121,⑫ミキサー工程入力!$AD$6:$AD$65)+SUMIF(⑫ミキサー工程入力!$S$6:$S$65,$C121,⑫ミキサー工程入力!$AE$6:$AE$65)+SUMIF(⑫ミキサー工程入力!$T$6:$T$65,$C121,⑫ミキサー工程入力!$AF$6:$AF$65)+SUMIF(⑫ミキサー工程入力!$U$6:$U$65,$C121,⑫ミキサー工程入力!$AG$6:$AG$65)+SUMIF(⑫ミキサー工程入力!$V$6:$V$65,$C121,⑫ミキサー工程入力!$AH$6:$AH$65)+SUMIF(⑫ミキサー工程入力!$W$6:$W$65,$C121,⑫ミキサー工程入力!$AI$6:$AI$65)+SUMIF(⑬計量工程入力!$R$6:$R$65,$C121,⑬計量工程入力!$AD$6:$AD$65)+SUMIF(⑬計量工程入力!$S$6:$S$65,$C121,⑬計量工程入力!$AE$6:$AE$65)+SUMIF(⑬計量工程入力!$T$6:$T$65,$C121,⑬計量工程入力!$AF$6:$AF$65)+SUMIF(⑬計量工程入力!$U$6:$U$65,$C121,⑬計量工程入力!$AG$6:$AG$65)+SUMIF(⑬計量工程入力!$V$6:$V$65,$C121,⑬計量工程入力!$AH$6:$AH$65)+SUMIF(⑬計量工程入力!$W$6:$W$65,$C121,⑬計量工程入力!$AI$6:$AI$65)+SUMIF(⑭手動工程入力!$R$6:$R$47,$C121,⑭手動工程入力!$AD$6:$AD$47)+SUMIF(⑭手動工程入力!$S$6:$S$47,$C121,⑭手動工程入力!$AE$6:$AE$47)+SUMIF(⑭手動工程入力!$T$6:$T$47,$C121,⑭手動工程入力!$AF$6:$AF$47)+SUMIF(⑭手動工程入力!$U$6:$U$47,$C121,⑭手動工程入力!$AG$6:$AG$47)+SUMIF(⑭手動工程入力!$V$6:$V$47,$C121,⑭手動工程入力!$AH$6:$AH$47)+SUMIF(⑭手動工程入力!$W$6:$W$47,$C121,⑭手動工程入力!$AI$6:$AI$47)</f>
        <v/>
      </c>
      <c r="I121" s="393">
        <f>IF($F121&gt;0,$H121/$F121,"")</f>
        <v/>
      </c>
      <c r="J121" s="605">
        <f>IFERROR(INDEX(商品原価!$B$4:$B$112,MATCH(SUBSTITUTE(SUBSTITUTE(SUBSTITUTE(SUBSTITUTE(SUBSTITUTE(SUBSTITUTE(SUBSTITUTE(SUBSTITUTE(SUBSTITUTE(SUBSTITUTE(ASC($C121),"①","1"),"②","2"),"③","3"),"④","4"),"⑤","5"),"⑥","6"),"⑦","7"),"⑧","8"),"⑨","9")," ",""),商品原価!$C$4:$C$112,0)),"")</f>
        <v/>
      </c>
      <c r="K121" s="542">
        <f>IF(ISNUMBER($J121),$J121*④前提設定!$B$21,"")</f>
        <v/>
      </c>
      <c r="L121" s="605">
        <f>IF(AND(NOT(ISNUMBER($J121)),NOT(ISNUMBER($K121))),"",N($J121)+N($K121))</f>
        <v/>
      </c>
      <c r="M121" s="605">
        <f>IFERROR(INDEX(商品原価!$E$4:$E$112,MATCH(SUBSTITUTE(SUBSTITUTE(SUBSTITUTE(SUBSTITUTE(SUBSTITUTE(SUBSTITUTE(SUBSTITUTE(SUBSTITUTE(SUBSTITUTE(SUBSTITUTE(ASC($C121),"①","1"),"②","2"),"③","3"),"④","4"),"⑤","5"),"⑥","6"),"⑦","7"),"⑧","8"),"⑨","9")," ",""),商品原価!$C$4:$C$112,0)),"")</f>
        <v/>
      </c>
      <c r="N121" s="605">
        <f>IF(AND(ISNUMBER($M121),ISNUMBER($L121)),$M121-$L121-N($W121),"")</f>
        <v/>
      </c>
      <c r="O121" s="606">
        <f>IF(AND(ISNUMBER($N121),ISNUMBER($M121),$M121&gt;0),$N121/$M121,"")</f>
        <v/>
      </c>
      <c r="P121" s="398">
        <f>COUNTIF(②釜工程入力!$R$5:$R$117,$C121)+COUNTIF(②釜工程入力!$S$5:$S$117,$C121)+COUNTIF(②釜工程入力!$T$5:$T$117,$C121)+COUNTIF(②釜工程入力!$U$5:$U$117,$C121)+COUNTIF(②釜工程入力!$V$5:$V$117,$C121)+COUNTIF(②釜工程入力!$W$5:$W$117,$C121)+COUNTIF(③スチコン工程入力!$R$5:$R$152,$C121)+COUNTIF(③スチコン工程入力!$S$5:$S$152,$C121)+COUNTIF(③スチコン工程入力!$T$5:$T$152,$C121)+COUNTIF(③スチコン工程入力!$U$5:$U$152,$C121)+COUNTIF(③スチコン工程入力!$V$5:$V$152,$C121)+COUNTIF(③スチコン工程入力!$W$5:$W$152,$C121)+COUNTIF(⑩盛付梱包工程入力!$R$5:$R$300,$C121)+COUNTIF(⑩盛付梱包工程入力!$S$5:$S$300,$C121)+COUNTIF(⑩盛付梱包工程入力!$T$5:$T$300,$C121)+COUNTIF(⑩盛付梱包工程入力!$U$5:$U$300,$C121)+COUNTIF(⑩盛付梱包工程入力!$V$5:$V$300,$C121)+COUNTIF(⑩盛付梱包工程入力!$W$5:$W$300,$C121)+COUNTIF(⑪ZEN工程入力!$R$6:$R$35,$C121)+COUNTIF(⑪ZEN工程入力!$S$6:$S$35,$C121)+COUNTIF(⑪ZEN工程入力!$T$6:$T$35,$C121)+COUNTIF(⑪ZEN工程入力!$U$6:$U$35,$C121)+COUNTIF(⑪ZEN工程入力!$V$6:$V$35,$C121)+COUNTIF(⑪ZEN工程入力!$W$6:$W$35,$C121)+COUNTIF(⑫ミキサー工程入力!$R$6:$R$65,$C121)+COUNTIF(⑫ミキサー工程入力!$S$6:$S$65,$C121)+COUNTIF(⑫ミキサー工程入力!$T$6:$T$65,$C121)+COUNTIF(⑫ミキサー工程入力!$U$6:$U$65,$C121)+COUNTIF(⑫ミキサー工程入力!$V$6:$V$65,$C121)+COUNTIF(⑫ミキサー工程入力!$W$6:$W$65,$C121)+COUNTIF(⑬計量工程入力!$R$6:$R$65,$C121)+COUNTIF(⑬計量工程入力!$S$6:$S$65,$C121)+COUNTIF(⑬計量工程入力!$T$6:$T$65,$C121)+COUNTIF(⑬計量工程入力!$U$6:$U$65,$C121)+COUNTIF(⑬計量工程入力!$V$6:$V$65,$C121)+COUNTIF(⑬計量工程入力!$W$6:$W$65,$C121)+COUNTIF(⑭手動工程入力!$R$6:$R$47,$C121)+COUNTIF(⑭手動工程入力!$S$6:$S$47,$C121)+COUNTIF(⑭手動工程入力!$T$6:$T$47,$C121)+COUNTIF(⑭手動工程入力!$U$6:$U$47,$C121)+COUNTIF(⑭手動工程入力!$V$6:$V$47,$C121)+COUNTIF(⑭手動工程入力!$W$6:$W$47,$C121)</f>
        <v/>
      </c>
      <c r="Q121" s="392" t="inlineStr">
        <is>
          <t>販促資材のため工程労務費なし（対象外）</t>
        </is>
      </c>
      <c r="R121" s="393" t="n"/>
      <c r="S121" s="393" t="n"/>
      <c r="T121" s="393" t="n"/>
      <c r="U121" s="393" t="n"/>
      <c r="V121" s="605">
        <f>IFERROR(INDEX(KIT別作業時間!$D$4:$D$27,MATCH(SUBSTITUTE(SUBSTITUTE(SUBSTITUTE(SUBSTITUTE(SUBSTITUTE(SUBSTITUTE(SUBSTITUTE(SUBSTITUTE(SUBSTITUTE(SUBSTITUTE(ASC($C121),"①","1"),"②","2"),"③","3"),"④","4"),"⑤","5"),"⑥","6"),"⑦","7"),"⑧","8"),"⑨","9")," ",""),KIT別作業時間!$C$4:$C$27,0)),"")</f>
        <v/>
      </c>
      <c r="W121" s="393">
        <f>IF(AND(ISNUMBER($I121),$I121&gt;0),$I121,IF(ISNUMBER($V121),$V121,IF(ISNUMBER($R121),$R121,"")))</f>
        <v/>
      </c>
      <c r="X121" s="393">
        <f>IF(AND(ISNUMBER($I121),$I121&gt;0),"今回の工程実績",IF(ISNUMBER($V121),"KIT作業時間",IF(ISNUMBER($R121),"前回資料","")))</f>
        <v/>
      </c>
      <c r="Y121" s="398" t="n">
        <v>306</v>
      </c>
      <c r="Z121" s="398">
        <f>IF(AND(ISNUMBER($W121),ISNUMBER($Y121)),$W121*$Y121,"")</f>
        <v/>
      </c>
      <c r="AA121" s="393" t="n"/>
    </row>
    <row r="122">
      <c r="A122" s="392" t="n">
        <v>118</v>
      </c>
      <c r="B122" s="392" t="n"/>
      <c r="C122" s="392" t="inlineStr">
        <is>
          <t>販促シール　大玉たこ焼き</t>
        </is>
      </c>
      <c r="D122" s="398">
        <f>SUMIF(⑩盛付梱包工程入力!$R$5:$R$300,$C122,⑩盛付梱包工程入力!$AC$5:$AC$300)+SUMIF(⑩盛付梱包工程入力!$S$5:$S$300,$C122,⑩盛付梱包工程入力!$AC$5:$AC$300)+SUMIF(⑩盛付梱包工程入力!$T$5:$T$300,$C122,⑩盛付梱包工程入力!$AC$5:$AC$300)+SUMIF(⑩盛付梱包工程入力!$U$5:$U$300,$C122,⑩盛付梱包工程入力!$AC$5:$AC$300)+SUMIF(⑩盛付梱包工程入力!$V$5:$V$300,$C122,⑩盛付梱包工程入力!$AC$5:$AC$300)+SUMIF(⑩盛付梱包工程入力!$W$5:$W$300,$C122,⑩盛付梱包工程入力!$AC$5:$AC$300)</f>
        <v/>
      </c>
      <c r="E122" s="398" t="n">
        <v>1</v>
      </c>
      <c r="F122" s="398">
        <f>IF(N($E122)&gt;0,$E122,$D122)</f>
        <v/>
      </c>
      <c r="G122" s="393" t="n">
        <v>1</v>
      </c>
      <c r="H122" s="393">
        <f>SUMIF(②釜工程入力!$R$5:$R$117,$C122,②釜工程入力!$AD$5:$AD$117)+SUMIF(②釜工程入力!$S$5:$S$117,$C122,②釜工程入力!$AE$5:$AE$117)+SUMIF(②釜工程入力!$T$5:$T$117,$C122,②釜工程入力!$AF$5:$AF$117)+SUMIF(②釜工程入力!$U$5:$U$117,$C122,②釜工程入力!$AG$5:$AG$117)+SUMIF(②釜工程入力!$V$5:$V$117,$C122,②釜工程入力!$AH$5:$AH$117)+SUMIF(②釜工程入力!$W$5:$W$117,$C122,②釜工程入力!$AI$5:$AI$117)+SUMIF(③スチコン工程入力!$R$5:$R$152,$C122,③スチコン工程入力!$AD$5:$AD$152)+SUMIF(③スチコン工程入力!$S$5:$S$152,$C122,③スチコン工程入力!$AE$5:$AE$152)+SUMIF(③スチコン工程入力!$T$5:$T$152,$C122,③スチコン工程入力!$AF$5:$AF$152)+SUMIF(③スチコン工程入力!$U$5:$U$152,$C122,③スチコン工程入力!$AG$5:$AG$152)+SUMIF(③スチコン工程入力!$V$5:$V$152,$C122,③スチコン工程入力!$AH$5:$AH$152)+SUMIF(③スチコン工程入力!$W$5:$W$152,$C122,③スチコン工程入力!$AI$5:$AI$152)+SUMIF(⑩盛付梱包工程入力!$R$5:$R$300,$C122,⑩盛付梱包工程入力!$AD$5:$AD$300)+SUMIF(⑩盛付梱包工程入力!$S$5:$S$300,$C122,⑩盛付梱包工程入力!$AE$5:$AE$300)+SUMIF(⑩盛付梱包工程入力!$T$5:$T$300,$C122,⑩盛付梱包工程入力!$AF$5:$AF$300)+SUMIF(⑩盛付梱包工程入力!$U$5:$U$300,$C122,⑩盛付梱包工程入力!$AG$5:$AG$300)+SUMIF(⑩盛付梱包工程入力!$V$5:$V$300,$C122,⑩盛付梱包工程入力!$AH$5:$AH$300)+SUMIF(⑩盛付梱包工程入力!$W$5:$W$300,$C122,⑩盛付梱包工程入力!$AI$5:$AI$300)+SUMIF(⑪ZEN工程入力!$R$6:$R$35,$C122,⑪ZEN工程入力!$AD$6:$AD$35)+SUMIF(⑪ZEN工程入力!$S$6:$S$35,$C122,⑪ZEN工程入力!$AE$6:$AE$35)+SUMIF(⑪ZEN工程入力!$T$6:$T$35,$C122,⑪ZEN工程入力!$AF$6:$AF$35)+SUMIF(⑪ZEN工程入力!$U$6:$U$35,$C122,⑪ZEN工程入力!$AG$6:$AG$35)+SUMIF(⑪ZEN工程入力!$V$6:$V$35,$C122,⑪ZEN工程入力!$AH$6:$AH$35)+SUMIF(⑪ZEN工程入力!$W$6:$W$35,$C122,⑪ZEN工程入力!$AI$6:$AI$35)+SUMIF(⑫ミキサー工程入力!$R$6:$R$65,$C122,⑫ミキサー工程入力!$AD$6:$AD$65)+SUMIF(⑫ミキサー工程入力!$S$6:$S$65,$C122,⑫ミキサー工程入力!$AE$6:$AE$65)+SUMIF(⑫ミキサー工程入力!$T$6:$T$65,$C122,⑫ミキサー工程入力!$AF$6:$AF$65)+SUMIF(⑫ミキサー工程入力!$U$6:$U$65,$C122,⑫ミキサー工程入力!$AG$6:$AG$65)+SUMIF(⑫ミキサー工程入力!$V$6:$V$65,$C122,⑫ミキサー工程入力!$AH$6:$AH$65)+SUMIF(⑫ミキサー工程入力!$W$6:$W$65,$C122,⑫ミキサー工程入力!$AI$6:$AI$65)+SUMIF(⑬計量工程入力!$R$6:$R$65,$C122,⑬計量工程入力!$AD$6:$AD$65)+SUMIF(⑬計量工程入力!$S$6:$S$65,$C122,⑬計量工程入力!$AE$6:$AE$65)+SUMIF(⑬計量工程入力!$T$6:$T$65,$C122,⑬計量工程入力!$AF$6:$AF$65)+SUMIF(⑬計量工程入力!$U$6:$U$65,$C122,⑬計量工程入力!$AG$6:$AG$65)+SUMIF(⑬計量工程入力!$V$6:$V$65,$C122,⑬計量工程入力!$AH$6:$AH$65)+SUMIF(⑬計量工程入力!$W$6:$W$65,$C122,⑬計量工程入力!$AI$6:$AI$65)+SUMIF(⑭手動工程入力!$R$6:$R$47,$C122,⑭手動工程入力!$AD$6:$AD$47)+SUMIF(⑭手動工程入力!$S$6:$S$47,$C122,⑭手動工程入力!$AE$6:$AE$47)+SUMIF(⑭手動工程入力!$T$6:$T$47,$C122,⑭手動工程入力!$AF$6:$AF$47)+SUMIF(⑭手動工程入力!$U$6:$U$47,$C122,⑭手動工程入力!$AG$6:$AG$47)+SUMIF(⑭手動工程入力!$V$6:$V$47,$C122,⑭手動工程入力!$AH$6:$AH$47)+SUMIF(⑭手動工程入力!$W$6:$W$47,$C122,⑭手動工程入力!$AI$6:$AI$47)</f>
        <v/>
      </c>
      <c r="I122" s="393">
        <f>IF($F122&gt;0,$H122/$F122,"")</f>
        <v/>
      </c>
      <c r="J122" s="605">
        <f>IFERROR(INDEX(商品原価!$B$4:$B$112,MATCH(SUBSTITUTE(SUBSTITUTE(SUBSTITUTE(SUBSTITUTE(SUBSTITUTE(SUBSTITUTE(SUBSTITUTE(SUBSTITUTE(SUBSTITUTE(SUBSTITUTE(ASC($C122),"①","1"),"②","2"),"③","3"),"④","4"),"⑤","5"),"⑥","6"),"⑦","7"),"⑧","8"),"⑨","9")," ",""),商品原価!$C$4:$C$112,0)),"")</f>
        <v/>
      </c>
      <c r="K122" s="542">
        <f>IF(ISNUMBER($J122),$J122*④前提設定!$B$21,"")</f>
        <v/>
      </c>
      <c r="L122" s="605">
        <f>IF(AND(NOT(ISNUMBER($J122)),NOT(ISNUMBER($K122))),"",N($J122)+N($K122))</f>
        <v/>
      </c>
      <c r="M122" s="605">
        <f>IFERROR(INDEX(商品原価!$E$4:$E$112,MATCH(SUBSTITUTE(SUBSTITUTE(SUBSTITUTE(SUBSTITUTE(SUBSTITUTE(SUBSTITUTE(SUBSTITUTE(SUBSTITUTE(SUBSTITUTE(SUBSTITUTE(ASC($C122),"①","1"),"②","2"),"③","3"),"④","4"),"⑤","5"),"⑥","6"),"⑦","7"),"⑧","8"),"⑨","9")," ",""),商品原価!$C$4:$C$112,0)),"")</f>
        <v/>
      </c>
      <c r="N122" s="605">
        <f>IF(AND(ISNUMBER($M122),ISNUMBER($L122)),$M122-$L122-N($W122),"")</f>
        <v/>
      </c>
      <c r="O122" s="606">
        <f>IF(AND(ISNUMBER($N122),ISNUMBER($M122),$M122&gt;0),$N122/$M122,"")</f>
        <v/>
      </c>
      <c r="P122" s="398">
        <f>COUNTIF(②釜工程入力!$R$5:$R$117,$C122)+COUNTIF(②釜工程入力!$S$5:$S$117,$C122)+COUNTIF(②釜工程入力!$T$5:$T$117,$C122)+COUNTIF(②釜工程入力!$U$5:$U$117,$C122)+COUNTIF(②釜工程入力!$V$5:$V$117,$C122)+COUNTIF(②釜工程入力!$W$5:$W$117,$C122)+COUNTIF(③スチコン工程入力!$R$5:$R$152,$C122)+COUNTIF(③スチコン工程入力!$S$5:$S$152,$C122)+COUNTIF(③スチコン工程入力!$T$5:$T$152,$C122)+COUNTIF(③スチコン工程入力!$U$5:$U$152,$C122)+COUNTIF(③スチコン工程入力!$V$5:$V$152,$C122)+COUNTIF(③スチコン工程入力!$W$5:$W$152,$C122)+COUNTIF(⑩盛付梱包工程入力!$R$5:$R$300,$C122)+COUNTIF(⑩盛付梱包工程入力!$S$5:$S$300,$C122)+COUNTIF(⑩盛付梱包工程入力!$T$5:$T$300,$C122)+COUNTIF(⑩盛付梱包工程入力!$U$5:$U$300,$C122)+COUNTIF(⑩盛付梱包工程入力!$V$5:$V$300,$C122)+COUNTIF(⑩盛付梱包工程入力!$W$5:$W$300,$C122)+COUNTIF(⑪ZEN工程入力!$R$6:$R$35,$C122)+COUNTIF(⑪ZEN工程入力!$S$6:$S$35,$C122)+COUNTIF(⑪ZEN工程入力!$T$6:$T$35,$C122)+COUNTIF(⑪ZEN工程入力!$U$6:$U$35,$C122)+COUNTIF(⑪ZEN工程入力!$V$6:$V$35,$C122)+COUNTIF(⑪ZEN工程入力!$W$6:$W$35,$C122)+COUNTIF(⑫ミキサー工程入力!$R$6:$R$65,$C122)+COUNTIF(⑫ミキサー工程入力!$S$6:$S$65,$C122)+COUNTIF(⑫ミキサー工程入力!$T$6:$T$65,$C122)+COUNTIF(⑫ミキサー工程入力!$U$6:$U$65,$C122)+COUNTIF(⑫ミキサー工程入力!$V$6:$V$65,$C122)+COUNTIF(⑫ミキサー工程入力!$W$6:$W$65,$C122)+COUNTIF(⑬計量工程入力!$R$6:$R$65,$C122)+COUNTIF(⑬計量工程入力!$S$6:$S$65,$C122)+COUNTIF(⑬計量工程入力!$T$6:$T$65,$C122)+COUNTIF(⑬計量工程入力!$U$6:$U$65,$C122)+COUNTIF(⑬計量工程入力!$V$6:$V$65,$C122)+COUNTIF(⑬計量工程入力!$W$6:$W$65,$C122)+COUNTIF(⑭手動工程入力!$R$6:$R$47,$C122)+COUNTIF(⑭手動工程入力!$S$6:$S$47,$C122)+COUNTIF(⑭手動工程入力!$T$6:$T$47,$C122)+COUNTIF(⑭手動工程入力!$U$6:$U$47,$C122)+COUNTIF(⑭手動工程入力!$V$6:$V$47,$C122)+COUNTIF(⑭手動工程入力!$W$6:$W$47,$C122)</f>
        <v/>
      </c>
      <c r="Q122" s="392" t="inlineStr">
        <is>
          <t>販促資材のため工程労務費なし（対象外）</t>
        </is>
      </c>
      <c r="R122" s="393" t="n"/>
      <c r="S122" s="393" t="n"/>
      <c r="T122" s="393" t="n"/>
      <c r="U122" s="393" t="n"/>
      <c r="V122" s="605">
        <f>IFERROR(INDEX(KIT別作業時間!$D$4:$D$27,MATCH(SUBSTITUTE(SUBSTITUTE(SUBSTITUTE(SUBSTITUTE(SUBSTITUTE(SUBSTITUTE(SUBSTITUTE(SUBSTITUTE(SUBSTITUTE(SUBSTITUTE(ASC($C122),"①","1"),"②","2"),"③","3"),"④","4"),"⑤","5"),"⑥","6"),"⑦","7"),"⑧","8"),"⑨","9")," ",""),KIT別作業時間!$C$4:$C$27,0)),"")</f>
        <v/>
      </c>
      <c r="W122" s="393">
        <f>IF(AND(ISNUMBER($I122),$I122&gt;0),$I122,IF(ISNUMBER($V122),$V122,IF(ISNUMBER($R122),$R122,"")))</f>
        <v/>
      </c>
      <c r="X122" s="393">
        <f>IF(AND(ISNUMBER($I122),$I122&gt;0),"今回の工程実績",IF(ISNUMBER($V122),"KIT作業時間",IF(ISNUMBER($R122),"前回資料","")))</f>
        <v/>
      </c>
      <c r="Y122" s="398" t="n">
        <v>26</v>
      </c>
      <c r="Z122" s="398">
        <f>IF(AND(ISNUMBER($W122),ISNUMBER($Y122)),$W122*$Y122,"")</f>
        <v/>
      </c>
      <c r="AA122" s="393" t="n"/>
    </row>
    <row r="123">
      <c r="A123" s="392" t="n">
        <v>119</v>
      </c>
      <c r="B123" s="392" t="n"/>
      <c r="C123" s="392" t="inlineStr">
        <is>
          <t>自社製白身フライ（バサ）２</t>
        </is>
      </c>
      <c r="D123" s="398">
        <f>SUMIF(⑩盛付梱包工程入力!$R$5:$R$300,$C123,⑩盛付梱包工程入力!$AC$5:$AC$300)+SUMIF(⑩盛付梱包工程入力!$S$5:$S$300,$C123,⑩盛付梱包工程入力!$AC$5:$AC$300)+SUMIF(⑩盛付梱包工程入力!$T$5:$T$300,$C123,⑩盛付梱包工程入力!$AC$5:$AC$300)+SUMIF(⑩盛付梱包工程入力!$U$5:$U$300,$C123,⑩盛付梱包工程入力!$AC$5:$AC$300)+SUMIF(⑩盛付梱包工程入力!$V$5:$V$300,$C123,⑩盛付梱包工程入力!$AC$5:$AC$300)+SUMIF(⑩盛付梱包工程入力!$W$5:$W$300,$C123,⑩盛付梱包工程入力!$AC$5:$AC$300)</f>
        <v/>
      </c>
      <c r="E123" s="398" t="n">
        <v>1</v>
      </c>
      <c r="F123" s="398">
        <f>IF(N($E123)&gt;0,$E123,$D123)</f>
        <v/>
      </c>
      <c r="G123" s="398" t="n"/>
      <c r="H123" s="393">
        <f>SUMIF(②釜工程入力!$R$5:$R$117,$C123,②釜工程入力!$AD$5:$AD$117)+SUMIF(②釜工程入力!$S$5:$S$117,$C123,②釜工程入力!$AE$5:$AE$117)+SUMIF(②釜工程入力!$T$5:$T$117,$C123,②釜工程入力!$AF$5:$AF$117)+SUMIF(②釜工程入力!$U$5:$U$117,$C123,②釜工程入力!$AG$5:$AG$117)+SUMIF(②釜工程入力!$V$5:$V$117,$C123,②釜工程入力!$AH$5:$AH$117)+SUMIF(②釜工程入力!$W$5:$W$117,$C123,②釜工程入力!$AI$5:$AI$117)+SUMIF(③スチコン工程入力!$R$5:$R$152,$C123,③スチコン工程入力!$AD$5:$AD$152)+SUMIF(③スチコン工程入力!$S$5:$S$152,$C123,③スチコン工程入力!$AE$5:$AE$152)+SUMIF(③スチコン工程入力!$T$5:$T$152,$C123,③スチコン工程入力!$AF$5:$AF$152)+SUMIF(③スチコン工程入力!$U$5:$U$152,$C123,③スチコン工程入力!$AG$5:$AG$152)+SUMIF(③スチコン工程入力!$V$5:$V$152,$C123,③スチコン工程入力!$AH$5:$AH$152)+SUMIF(③スチコン工程入力!$W$5:$W$152,$C123,③スチコン工程入力!$AI$5:$AI$152)+SUMIF(⑩盛付梱包工程入力!$R$5:$R$300,$C123,⑩盛付梱包工程入力!$AD$5:$AD$300)+SUMIF(⑩盛付梱包工程入力!$S$5:$S$300,$C123,⑩盛付梱包工程入力!$AE$5:$AE$300)+SUMIF(⑩盛付梱包工程入力!$T$5:$T$300,$C123,⑩盛付梱包工程入力!$AF$5:$AF$300)+SUMIF(⑩盛付梱包工程入力!$U$5:$U$300,$C123,⑩盛付梱包工程入力!$AG$5:$AG$300)+SUMIF(⑩盛付梱包工程入力!$V$5:$V$300,$C123,⑩盛付梱包工程入力!$AH$5:$AH$300)+SUMIF(⑩盛付梱包工程入力!$W$5:$W$300,$C123,⑩盛付梱包工程入力!$AI$5:$AI$300)+SUMIF(⑪ZEN工程入力!$R$6:$R$35,$C123,⑪ZEN工程入力!$AD$6:$AD$35)+SUMIF(⑪ZEN工程入力!$S$6:$S$35,$C123,⑪ZEN工程入力!$AE$6:$AE$35)+SUMIF(⑪ZEN工程入力!$T$6:$T$35,$C123,⑪ZEN工程入力!$AF$6:$AF$35)+SUMIF(⑪ZEN工程入力!$U$6:$U$35,$C123,⑪ZEN工程入力!$AG$6:$AG$35)+SUMIF(⑪ZEN工程入力!$V$6:$V$35,$C123,⑪ZEN工程入力!$AH$6:$AH$35)+SUMIF(⑪ZEN工程入力!$W$6:$W$35,$C123,⑪ZEN工程入力!$AI$6:$AI$35)+SUMIF(⑫ミキサー工程入力!$R$6:$R$65,$C123,⑫ミキサー工程入力!$AD$6:$AD$65)+SUMIF(⑫ミキサー工程入力!$S$6:$S$65,$C123,⑫ミキサー工程入力!$AE$6:$AE$65)+SUMIF(⑫ミキサー工程入力!$T$6:$T$65,$C123,⑫ミキサー工程入力!$AF$6:$AF$65)+SUMIF(⑫ミキサー工程入力!$U$6:$U$65,$C123,⑫ミキサー工程入力!$AG$6:$AG$65)+SUMIF(⑫ミキサー工程入力!$V$6:$V$65,$C123,⑫ミキサー工程入力!$AH$6:$AH$65)+SUMIF(⑫ミキサー工程入力!$W$6:$W$65,$C123,⑫ミキサー工程入力!$AI$6:$AI$65)+SUMIF(⑬計量工程入力!$R$6:$R$65,$C123,⑬計量工程入力!$AD$6:$AD$65)+SUMIF(⑬計量工程入力!$S$6:$S$65,$C123,⑬計量工程入力!$AE$6:$AE$65)+SUMIF(⑬計量工程入力!$T$6:$T$65,$C123,⑬計量工程入力!$AF$6:$AF$65)+SUMIF(⑬計量工程入力!$U$6:$U$65,$C123,⑬計量工程入力!$AG$6:$AG$65)+SUMIF(⑬計量工程入力!$V$6:$V$65,$C123,⑬計量工程入力!$AH$6:$AH$65)+SUMIF(⑬計量工程入力!$W$6:$W$65,$C123,⑬計量工程入力!$AI$6:$AI$65)+SUMIF(⑭手動工程入力!$R$6:$R$47,$C123,⑭手動工程入力!$AD$6:$AD$47)+SUMIF(⑭手動工程入力!$S$6:$S$47,$C123,⑭手動工程入力!$AE$6:$AE$47)+SUMIF(⑭手動工程入力!$T$6:$T$47,$C123,⑭手動工程入力!$AF$6:$AF$47)+SUMIF(⑭手動工程入力!$U$6:$U$47,$C123,⑭手動工程入力!$AG$6:$AG$47)+SUMIF(⑭手動工程入力!$V$6:$V$47,$C123,⑭手動工程入力!$AH$6:$AH$47)+SUMIF(⑭手動工程入力!$W$6:$W$47,$C123,⑭手動工程入力!$AI$6:$AI$47)</f>
        <v/>
      </c>
      <c r="I123" s="393">
        <f>IF($F123&gt;0,$H123/$F123,"")</f>
        <v/>
      </c>
      <c r="J123" s="605">
        <f>IFERROR(INDEX(商品原価!$B$4:$B$112,MATCH(SUBSTITUTE(SUBSTITUTE(SUBSTITUTE(SUBSTITUTE(SUBSTITUTE(SUBSTITUTE(SUBSTITUTE(SUBSTITUTE(SUBSTITUTE(SUBSTITUTE(ASC("自社製白身フライ（バサ）"),"①","1"),"②","2"),"③","3"),"④","4"),"⑤","5"),"⑥","6"),"⑦","7"),"⑧","8"),"⑨","9")," ",""),商品原価!$C$4:$C$112,0)),"")</f>
        <v/>
      </c>
      <c r="K123" s="542">
        <f>IF(ISNUMBER($J123),$J123*④前提設定!$B$21,"")</f>
        <v/>
      </c>
      <c r="L123" s="605">
        <f>IF(AND(NOT(ISNUMBER($J123)),NOT(ISNUMBER($K123))),"",N($J123)+N($K123))</f>
        <v/>
      </c>
      <c r="M123" s="605">
        <f>IFERROR(INDEX(商品原価!$E$4:$E$112,MATCH(SUBSTITUTE(SUBSTITUTE(SUBSTITUTE(SUBSTITUTE(SUBSTITUTE(SUBSTITUTE(SUBSTITUTE(SUBSTITUTE(SUBSTITUTE(SUBSTITUTE(ASC("自社製白身フライ（バサ）"),"①","1"),"②","2"),"③","3"),"④","4"),"⑤","5"),"⑥","6"),"⑦","7"),"⑧","8"),"⑨","9")," ",""),商品原価!$C$4:$C$112,0)),"")</f>
        <v/>
      </c>
      <c r="N123" s="605">
        <f>IF(AND(ISNUMBER($M123),ISNUMBER($L123)),$M123-$L123-N($W123),"")</f>
        <v/>
      </c>
      <c r="O123" s="606">
        <f>IF(AND(ISNUMBER($N123),ISNUMBER($M123),$M123&gt;0),$N123/$M123,"")</f>
        <v/>
      </c>
      <c r="P123" s="398">
        <f>COUNTIF(②釜工程入力!$R$5:$R$117,$C123)+COUNTIF(②釜工程入力!$S$5:$S$117,$C123)+COUNTIF(②釜工程入力!$T$5:$T$117,$C123)+COUNTIF(②釜工程入力!$U$5:$U$117,$C123)+COUNTIF(②釜工程入力!$V$5:$V$117,$C123)+COUNTIF(②釜工程入力!$W$5:$W$117,$C123)+COUNTIF(③スチコン工程入力!$R$5:$R$152,$C123)+COUNTIF(③スチコン工程入力!$S$5:$S$152,$C123)+COUNTIF(③スチコン工程入力!$T$5:$T$152,$C123)+COUNTIF(③スチコン工程入力!$U$5:$U$152,$C123)+COUNTIF(③スチコン工程入力!$V$5:$V$152,$C123)+COUNTIF(③スチコン工程入力!$W$5:$W$152,$C123)+COUNTIF(⑩盛付梱包工程入力!$R$5:$R$300,$C123)+COUNTIF(⑩盛付梱包工程入力!$S$5:$S$300,$C123)+COUNTIF(⑩盛付梱包工程入力!$T$5:$T$300,$C123)+COUNTIF(⑩盛付梱包工程入力!$U$5:$U$300,$C123)+COUNTIF(⑩盛付梱包工程入力!$V$5:$V$300,$C123)+COUNTIF(⑩盛付梱包工程入力!$W$5:$W$300,$C123)+COUNTIF(⑪ZEN工程入力!$R$6:$R$35,$C123)+COUNTIF(⑪ZEN工程入力!$S$6:$S$35,$C123)+COUNTIF(⑪ZEN工程入力!$T$6:$T$35,$C123)+COUNTIF(⑪ZEN工程入力!$U$6:$U$35,$C123)+COUNTIF(⑪ZEN工程入力!$V$6:$V$35,$C123)+COUNTIF(⑪ZEN工程入力!$W$6:$W$35,$C123)+COUNTIF(⑫ミキサー工程入力!$R$6:$R$65,$C123)+COUNTIF(⑫ミキサー工程入力!$S$6:$S$65,$C123)+COUNTIF(⑫ミキサー工程入力!$T$6:$T$65,$C123)+COUNTIF(⑫ミキサー工程入力!$U$6:$U$65,$C123)+COUNTIF(⑫ミキサー工程入力!$V$6:$V$65,$C123)+COUNTIF(⑫ミキサー工程入力!$W$6:$W$65,$C123)+COUNTIF(⑬計量工程入力!$R$6:$R$65,$C123)+COUNTIF(⑬計量工程入力!$S$6:$S$65,$C123)+COUNTIF(⑬計量工程入力!$T$6:$T$65,$C123)+COUNTIF(⑬計量工程入力!$U$6:$U$65,$C123)+COUNTIF(⑬計量工程入力!$V$6:$V$65,$C123)+COUNTIF(⑬計量工程入力!$W$6:$W$65,$C123)+COUNTIF(⑭手動工程入力!$R$6:$R$47,$C123)+COUNTIF(⑭手動工程入力!$S$6:$S$47,$C123)+COUNTIF(⑭手動工程入力!$T$6:$T$47,$C123)+COUNTIF(⑭手動工程入力!$U$6:$U$47,$C123)+COUNTIF(⑭手動工程入力!$V$6:$V$47,$C123)+COUNTIF(⑭手動工程入力!$W$6:$W$47,$C123)</f>
        <v/>
      </c>
      <c r="Q123" s="392" t="inlineStr">
        <is>
          <t>⑩盛付梱包 85行目に入力欄を作成（工程記録なし）／原価は「自社製白身フライ（バサ）」を参照</t>
        </is>
      </c>
      <c r="R123" s="393" t="n"/>
      <c r="S123" s="393" t="n"/>
      <c r="T123" s="393" t="n"/>
      <c r="U123" s="393" t="n"/>
      <c r="V123" s="605">
        <f>IFERROR(INDEX(KIT別作業時間!$D$4:$D$27,MATCH(SUBSTITUTE(SUBSTITUTE(SUBSTITUTE(SUBSTITUTE(SUBSTITUTE(SUBSTITUTE(SUBSTITUTE(SUBSTITUTE(SUBSTITUTE(SUBSTITUTE(ASC($C123),"①","1"),"②","2"),"③","3"),"④","4"),"⑤","5"),"⑥","6"),"⑦","7"),"⑧","8"),"⑨","9")," ",""),KIT別作業時間!$C$4:$C$27,0)),"")</f>
        <v/>
      </c>
      <c r="W123" s="393">
        <f>IF(AND(ISNUMBER($I123),$I123&gt;0),$I123,IF(ISNUMBER($V123),$V123,IF(ISNUMBER($R123),$R123,"")))</f>
        <v/>
      </c>
      <c r="X123" s="393">
        <f>IF(AND(ISNUMBER($I123),$I123&gt;0),"今回の工程実績",IF(ISNUMBER($V123),"KIT作業時間",IF(ISNUMBER($R123),"前回資料","")))</f>
        <v/>
      </c>
      <c r="Y123" s="398" t="n">
        <v>1</v>
      </c>
      <c r="Z123" s="398">
        <f>IF(AND(ISNUMBER($W123),ISNUMBER($Y123)),$W123*$Y123,"")</f>
        <v/>
      </c>
      <c r="AA123" s="393" t="n"/>
    </row>
    <row r="124">
      <c r="A124" s="392" t="n">
        <v>120</v>
      </c>
      <c r="B124" s="392" t="n"/>
      <c r="C124" s="392" t="inlineStr">
        <is>
          <t>鶏もも角切りＫＩＴ（塩胡椒</t>
        </is>
      </c>
      <c r="D124" s="398">
        <f>SUMIF(⑩盛付梱包工程入力!$R$5:$R$300,$C124,⑩盛付梱包工程入力!$AC$5:$AC$300)+SUMIF(⑩盛付梱包工程入力!$S$5:$S$300,$C124,⑩盛付梱包工程入力!$AC$5:$AC$300)+SUMIF(⑩盛付梱包工程入力!$T$5:$T$300,$C124,⑩盛付梱包工程入力!$AC$5:$AC$300)+SUMIF(⑩盛付梱包工程入力!$U$5:$U$300,$C124,⑩盛付梱包工程入力!$AC$5:$AC$300)+SUMIF(⑩盛付梱包工程入力!$V$5:$V$300,$C124,⑩盛付梱包工程入力!$AC$5:$AC$300)+SUMIF(⑩盛付梱包工程入力!$W$5:$W$300,$C124,⑩盛付梱包工程入力!$AC$5:$AC$300)</f>
        <v/>
      </c>
      <c r="E124" s="398" t="n">
        <v>1</v>
      </c>
      <c r="F124" s="398">
        <f>IF(N($E124)&gt;0,$E124,$D124)</f>
        <v/>
      </c>
      <c r="G124" s="393" t="n">
        <v>313.7333333333333</v>
      </c>
      <c r="H124" s="393">
        <f>SUMIF(②釜工程入力!$R$5:$R$117,$C124,②釜工程入力!$AD$5:$AD$117)+SUMIF(②釜工程入力!$S$5:$S$117,$C124,②釜工程入力!$AE$5:$AE$117)+SUMIF(②釜工程入力!$T$5:$T$117,$C124,②釜工程入力!$AF$5:$AF$117)+SUMIF(②釜工程入力!$U$5:$U$117,$C124,②釜工程入力!$AG$5:$AG$117)+SUMIF(②釜工程入力!$V$5:$V$117,$C124,②釜工程入力!$AH$5:$AH$117)+SUMIF(②釜工程入力!$W$5:$W$117,$C124,②釜工程入力!$AI$5:$AI$117)+SUMIF(③スチコン工程入力!$R$5:$R$152,$C124,③スチコン工程入力!$AD$5:$AD$152)+SUMIF(③スチコン工程入力!$S$5:$S$152,$C124,③スチコン工程入力!$AE$5:$AE$152)+SUMIF(③スチコン工程入力!$T$5:$T$152,$C124,③スチコン工程入力!$AF$5:$AF$152)+SUMIF(③スチコン工程入力!$U$5:$U$152,$C124,③スチコン工程入力!$AG$5:$AG$152)+SUMIF(③スチコン工程入力!$V$5:$V$152,$C124,③スチコン工程入力!$AH$5:$AH$152)+SUMIF(③スチコン工程入力!$W$5:$W$152,$C124,③スチコン工程入力!$AI$5:$AI$152)+SUMIF(⑩盛付梱包工程入力!$R$5:$R$300,$C124,⑩盛付梱包工程入力!$AD$5:$AD$300)+SUMIF(⑩盛付梱包工程入力!$S$5:$S$300,$C124,⑩盛付梱包工程入力!$AE$5:$AE$300)+SUMIF(⑩盛付梱包工程入力!$T$5:$T$300,$C124,⑩盛付梱包工程入力!$AF$5:$AF$300)+SUMIF(⑩盛付梱包工程入力!$U$5:$U$300,$C124,⑩盛付梱包工程入力!$AG$5:$AG$300)+SUMIF(⑩盛付梱包工程入力!$V$5:$V$300,$C124,⑩盛付梱包工程入力!$AH$5:$AH$300)+SUMIF(⑩盛付梱包工程入力!$W$5:$W$300,$C124,⑩盛付梱包工程入力!$AI$5:$AI$300)+SUMIF(⑪ZEN工程入力!$R$6:$R$35,$C124,⑪ZEN工程入力!$AD$6:$AD$35)+SUMIF(⑪ZEN工程入力!$S$6:$S$35,$C124,⑪ZEN工程入力!$AE$6:$AE$35)+SUMIF(⑪ZEN工程入力!$T$6:$T$35,$C124,⑪ZEN工程入力!$AF$6:$AF$35)+SUMIF(⑪ZEN工程入力!$U$6:$U$35,$C124,⑪ZEN工程入力!$AG$6:$AG$35)+SUMIF(⑪ZEN工程入力!$V$6:$V$35,$C124,⑪ZEN工程入力!$AH$6:$AH$35)+SUMIF(⑪ZEN工程入力!$W$6:$W$35,$C124,⑪ZEN工程入力!$AI$6:$AI$35)+SUMIF(⑫ミキサー工程入力!$R$6:$R$65,$C124,⑫ミキサー工程入力!$AD$6:$AD$65)+SUMIF(⑫ミキサー工程入力!$S$6:$S$65,$C124,⑫ミキサー工程入力!$AE$6:$AE$65)+SUMIF(⑫ミキサー工程入力!$T$6:$T$65,$C124,⑫ミキサー工程入力!$AF$6:$AF$65)+SUMIF(⑫ミキサー工程入力!$U$6:$U$65,$C124,⑫ミキサー工程入力!$AG$6:$AG$65)+SUMIF(⑫ミキサー工程入力!$V$6:$V$65,$C124,⑫ミキサー工程入力!$AH$6:$AH$65)+SUMIF(⑫ミキサー工程入力!$W$6:$W$65,$C124,⑫ミキサー工程入力!$AI$6:$AI$65)+SUMIF(⑬計量工程入力!$R$6:$R$65,$C124,⑬計量工程入力!$AD$6:$AD$65)+SUMIF(⑬計量工程入力!$S$6:$S$65,$C124,⑬計量工程入力!$AE$6:$AE$65)+SUMIF(⑬計量工程入力!$T$6:$T$65,$C124,⑬計量工程入力!$AF$6:$AF$65)+SUMIF(⑬計量工程入力!$U$6:$U$65,$C124,⑬計量工程入力!$AG$6:$AG$65)+SUMIF(⑬計量工程入力!$V$6:$V$65,$C124,⑬計量工程入力!$AH$6:$AH$65)+SUMIF(⑬計量工程入力!$W$6:$W$65,$C124,⑬計量工程入力!$AI$6:$AI$65)+SUMIF(⑭手動工程入力!$R$6:$R$47,$C124,⑭手動工程入力!$AD$6:$AD$47)+SUMIF(⑭手動工程入力!$S$6:$S$47,$C124,⑭手動工程入力!$AE$6:$AE$47)+SUMIF(⑭手動工程入力!$T$6:$T$47,$C124,⑭手動工程入力!$AF$6:$AF$47)+SUMIF(⑭手動工程入力!$U$6:$U$47,$C124,⑭手動工程入力!$AG$6:$AG$47)+SUMIF(⑭手動工程入力!$V$6:$V$47,$C124,⑭手動工程入力!$AH$6:$AH$47)+SUMIF(⑭手動工程入力!$W$6:$W$47,$C124,⑭手動工程入力!$AI$6:$AI$47)</f>
        <v/>
      </c>
      <c r="I124" s="393">
        <f>IF($F124&gt;0,$H124/$F124,"")</f>
        <v/>
      </c>
      <c r="J124" s="605">
        <f>IFERROR(INDEX(商品原価!$B$4:$B$112,MATCH(SUBSTITUTE(SUBSTITUTE(SUBSTITUTE(SUBSTITUTE(SUBSTITUTE(SUBSTITUTE(SUBSTITUTE(SUBSTITUTE(SUBSTITUTE(SUBSTITUTE(ASC($C124),"①","1"),"②","2"),"③","3"),"④","4"),"⑤","5"),"⑥","6"),"⑦","7"),"⑧","8"),"⑨","9")," ",""),商品原価!$C$4:$C$112,0)),"")</f>
        <v/>
      </c>
      <c r="K124" s="542">
        <f>IF(ISNUMBER($J124),$J124*④前提設定!$B$21,"")</f>
        <v/>
      </c>
      <c r="L124" s="605">
        <f>IF(AND(NOT(ISNUMBER($J124)),NOT(ISNUMBER($K124))),"",N($J124)+N($K124))</f>
        <v/>
      </c>
      <c r="M124" s="605">
        <f>IFERROR(INDEX(商品原価!$E$4:$E$112,MATCH(SUBSTITUTE(SUBSTITUTE(SUBSTITUTE(SUBSTITUTE(SUBSTITUTE(SUBSTITUTE(SUBSTITUTE(SUBSTITUTE(SUBSTITUTE(SUBSTITUTE(ASC($C124),"①","1"),"②","2"),"③","3"),"④","4"),"⑤","5"),"⑥","6"),"⑦","7"),"⑧","8"),"⑨","9")," ",""),商品原価!$C$4:$C$112,0)),"")</f>
        <v/>
      </c>
      <c r="N124" s="605">
        <f>IF(AND(ISNUMBER($M124),ISNUMBER($L124)),$M124-$L124-N($W124),"")</f>
        <v/>
      </c>
      <c r="O124" s="606">
        <f>IF(AND(ISNUMBER($N124),ISNUMBER($M124),$M124&gt;0),$N124/$M124,"")</f>
        <v/>
      </c>
      <c r="P124" s="398">
        <f>COUNTIF(②釜工程入力!$R$5:$R$117,$C124)+COUNTIF(②釜工程入力!$S$5:$S$117,$C124)+COUNTIF(②釜工程入力!$T$5:$T$117,$C124)+COUNTIF(②釜工程入力!$U$5:$U$117,$C124)+COUNTIF(②釜工程入力!$V$5:$V$117,$C124)+COUNTIF(②釜工程入力!$W$5:$W$117,$C124)+COUNTIF(③スチコン工程入力!$R$5:$R$152,$C124)+COUNTIF(③スチコン工程入力!$S$5:$S$152,$C124)+COUNTIF(③スチコン工程入力!$T$5:$T$152,$C124)+COUNTIF(③スチコン工程入力!$U$5:$U$152,$C124)+COUNTIF(③スチコン工程入力!$V$5:$V$152,$C124)+COUNTIF(③スチコン工程入力!$W$5:$W$152,$C124)+COUNTIF(⑩盛付梱包工程入力!$R$5:$R$300,$C124)+COUNTIF(⑩盛付梱包工程入力!$S$5:$S$300,$C124)+COUNTIF(⑩盛付梱包工程入力!$T$5:$T$300,$C124)+COUNTIF(⑩盛付梱包工程入力!$U$5:$U$300,$C124)+COUNTIF(⑩盛付梱包工程入力!$V$5:$V$300,$C124)+COUNTIF(⑩盛付梱包工程入力!$W$5:$W$300,$C124)+COUNTIF(⑪ZEN工程入力!$R$6:$R$35,$C124)+COUNTIF(⑪ZEN工程入力!$S$6:$S$35,$C124)+COUNTIF(⑪ZEN工程入力!$T$6:$T$35,$C124)+COUNTIF(⑪ZEN工程入力!$U$6:$U$35,$C124)+COUNTIF(⑪ZEN工程入力!$V$6:$V$35,$C124)+COUNTIF(⑪ZEN工程入力!$W$6:$W$35,$C124)+COUNTIF(⑫ミキサー工程入力!$R$6:$R$65,$C124)+COUNTIF(⑫ミキサー工程入力!$S$6:$S$65,$C124)+COUNTIF(⑫ミキサー工程入力!$T$6:$T$65,$C124)+COUNTIF(⑫ミキサー工程入力!$U$6:$U$65,$C124)+COUNTIF(⑫ミキサー工程入力!$V$6:$V$65,$C124)+COUNTIF(⑫ミキサー工程入力!$W$6:$W$65,$C124)+COUNTIF(⑬計量工程入力!$R$6:$R$65,$C124)+COUNTIF(⑬計量工程入力!$S$6:$S$65,$C124)+COUNTIF(⑬計量工程入力!$T$6:$T$65,$C124)+COUNTIF(⑬計量工程入力!$U$6:$U$65,$C124)+COUNTIF(⑬計量工程入力!$V$6:$V$65,$C124)+COUNTIF(⑬計量工程入力!$W$6:$W$65,$C124)+COUNTIF(⑭手動工程入力!$R$6:$R$47,$C124)+COUNTIF(⑭手動工程入力!$S$6:$S$47,$C124)+COUNTIF(⑭手動工程入力!$T$6:$T$47,$C124)+COUNTIF(⑭手動工程入力!$U$6:$U$47,$C124)+COUNTIF(⑭手動工程入力!$V$6:$V$47,$C124)+COUNTIF(⑭手動工程入力!$W$6:$W$47,$C124)</f>
        <v/>
      </c>
      <c r="Q124" s="392" t="inlineStr">
        <is>
          <t>⑩盛付梱包 86行目に入力欄を作成（工程記録なし）／KIT作業時間は「ブラジル産鶏もも角切ＫＩＴ」を参照</t>
        </is>
      </c>
      <c r="R124" s="393" t="n"/>
      <c r="S124" s="393" t="n"/>
      <c r="T124" s="393" t="n"/>
      <c r="U124" s="393" t="n"/>
      <c r="V124" s="605">
        <f>IFERROR(INDEX(KIT別作業時間!$D$4:$D$27,MATCH(SUBSTITUTE(SUBSTITUTE(SUBSTITUTE(SUBSTITUTE(SUBSTITUTE(SUBSTITUTE(SUBSTITUTE(SUBSTITUTE(SUBSTITUTE(SUBSTITUTE(ASC("ブラジル産鶏もも角切ＫＩＴ"),"①","1"),"②","2"),"③","3"),"④","4"),"⑤","5"),"⑥","6"),"⑦","7"),"⑧","8"),"⑨","9")," ",""),KIT別作業時間!$C$4:$C$27,0)),"")</f>
        <v/>
      </c>
      <c r="W124" s="393">
        <f>IF(AND(ISNUMBER($I124),$I124&gt;0),$I124,IF(ISNUMBER($V124),$V124,IF(ISNUMBER($R124),$R124,"")))</f>
        <v/>
      </c>
      <c r="X124" s="393">
        <f>IF(AND(ISNUMBER($I124),$I124&gt;0),"今回の工程実績",IF(ISNUMBER($V124),"KIT作業時間",IF(ISNUMBER($R124),"前回資料","")))</f>
        <v/>
      </c>
      <c r="Y124" s="398" t="n"/>
      <c r="Z124" s="398">
        <f>IF(AND(ISNUMBER($W124),ISNUMBER($Y124)),$W124*$Y124,"")</f>
        <v/>
      </c>
      <c r="AA124" s="393" t="n"/>
    </row>
    <row r="125">
      <c r="A125" s="392" t="n">
        <v>121</v>
      </c>
      <c r="B125" s="392" t="n"/>
      <c r="C125" s="392" t="inlineStr">
        <is>
          <t>おはぎ</t>
        </is>
      </c>
      <c r="D125" s="398">
        <f>SUMIF(⑩盛付梱包工程入力!$R$5:$R$300,$C125,⑩盛付梱包工程入力!$AC$5:$AC$300)+SUMIF(⑩盛付梱包工程入力!$S$5:$S$300,$C125,⑩盛付梱包工程入力!$AC$5:$AC$300)+SUMIF(⑩盛付梱包工程入力!$T$5:$T$300,$C125,⑩盛付梱包工程入力!$AC$5:$AC$300)+SUMIF(⑩盛付梱包工程入力!$U$5:$U$300,$C125,⑩盛付梱包工程入力!$AC$5:$AC$300)+SUMIF(⑩盛付梱包工程入力!$V$5:$V$300,$C125,⑩盛付梱包工程入力!$AC$5:$AC$300)+SUMIF(⑩盛付梱包工程入力!$W$5:$W$300,$C125,⑩盛付梱包工程入力!$AC$5:$AC$300)</f>
        <v/>
      </c>
      <c r="E125" s="398" t="n"/>
      <c r="F125" s="398">
        <f>IF(N($E125)&gt;0,$E125,$D125)</f>
        <v/>
      </c>
      <c r="G125" s="398" t="n"/>
      <c r="H125" s="393">
        <f>SUMIF(②釜工程入力!$R$5:$R$117,$C125,②釜工程入力!$AD$5:$AD$117)+SUMIF(②釜工程入力!$S$5:$S$117,$C125,②釜工程入力!$AE$5:$AE$117)+SUMIF(②釜工程入力!$T$5:$T$117,$C125,②釜工程入力!$AF$5:$AF$117)+SUMIF(②釜工程入力!$U$5:$U$117,$C125,②釜工程入力!$AG$5:$AG$117)+SUMIF(②釜工程入力!$V$5:$V$117,$C125,②釜工程入力!$AH$5:$AH$117)+SUMIF(②釜工程入力!$W$5:$W$117,$C125,②釜工程入力!$AI$5:$AI$117)+SUMIF(③スチコン工程入力!$R$5:$R$152,$C125,③スチコン工程入力!$AD$5:$AD$152)+SUMIF(③スチコン工程入力!$S$5:$S$152,$C125,③スチコン工程入力!$AE$5:$AE$152)+SUMIF(③スチコン工程入力!$T$5:$T$152,$C125,③スチコン工程入力!$AF$5:$AF$152)+SUMIF(③スチコン工程入力!$U$5:$U$152,$C125,③スチコン工程入力!$AG$5:$AG$152)+SUMIF(③スチコン工程入力!$V$5:$V$152,$C125,③スチコン工程入力!$AH$5:$AH$152)+SUMIF(③スチコン工程入力!$W$5:$W$152,$C125,③スチコン工程入力!$AI$5:$AI$152)+SUMIF(⑩盛付梱包工程入力!$R$5:$R$300,$C125,⑩盛付梱包工程入力!$AD$5:$AD$300)+SUMIF(⑩盛付梱包工程入力!$S$5:$S$300,$C125,⑩盛付梱包工程入力!$AE$5:$AE$300)+SUMIF(⑩盛付梱包工程入力!$T$5:$T$300,$C125,⑩盛付梱包工程入力!$AF$5:$AF$300)+SUMIF(⑩盛付梱包工程入力!$U$5:$U$300,$C125,⑩盛付梱包工程入力!$AG$5:$AG$300)+SUMIF(⑩盛付梱包工程入力!$V$5:$V$300,$C125,⑩盛付梱包工程入力!$AH$5:$AH$300)+SUMIF(⑩盛付梱包工程入力!$W$5:$W$300,$C125,⑩盛付梱包工程入力!$AI$5:$AI$300)+SUMIF(⑪ZEN工程入力!$R$6:$R$35,$C125,⑪ZEN工程入力!$AD$6:$AD$35)+SUMIF(⑪ZEN工程入力!$S$6:$S$35,$C125,⑪ZEN工程入力!$AE$6:$AE$35)+SUMIF(⑪ZEN工程入力!$T$6:$T$35,$C125,⑪ZEN工程入力!$AF$6:$AF$35)+SUMIF(⑪ZEN工程入力!$U$6:$U$35,$C125,⑪ZEN工程入力!$AG$6:$AG$35)+SUMIF(⑪ZEN工程入力!$V$6:$V$35,$C125,⑪ZEN工程入力!$AH$6:$AH$35)+SUMIF(⑪ZEN工程入力!$W$6:$W$35,$C125,⑪ZEN工程入力!$AI$6:$AI$35)+SUMIF(⑫ミキサー工程入力!$R$6:$R$65,$C125,⑫ミキサー工程入力!$AD$6:$AD$65)+SUMIF(⑫ミキサー工程入力!$S$6:$S$65,$C125,⑫ミキサー工程入力!$AE$6:$AE$65)+SUMIF(⑫ミキサー工程入力!$T$6:$T$65,$C125,⑫ミキサー工程入力!$AF$6:$AF$65)+SUMIF(⑫ミキサー工程入力!$U$6:$U$65,$C125,⑫ミキサー工程入力!$AG$6:$AG$65)+SUMIF(⑫ミキサー工程入力!$V$6:$V$65,$C125,⑫ミキサー工程入力!$AH$6:$AH$65)+SUMIF(⑫ミキサー工程入力!$W$6:$W$65,$C125,⑫ミキサー工程入力!$AI$6:$AI$65)+SUMIF(⑬計量工程入力!$R$6:$R$65,$C125,⑬計量工程入力!$AD$6:$AD$65)+SUMIF(⑬計量工程入力!$S$6:$S$65,$C125,⑬計量工程入力!$AE$6:$AE$65)+SUMIF(⑬計量工程入力!$T$6:$T$65,$C125,⑬計量工程入力!$AF$6:$AF$65)+SUMIF(⑬計量工程入力!$U$6:$U$65,$C125,⑬計量工程入力!$AG$6:$AG$65)+SUMIF(⑬計量工程入力!$V$6:$V$65,$C125,⑬計量工程入力!$AH$6:$AH$65)+SUMIF(⑬計量工程入力!$W$6:$W$65,$C125,⑬計量工程入力!$AI$6:$AI$65)+SUMIF(⑭手動工程入力!$R$6:$R$47,$C125,⑭手動工程入力!$AD$6:$AD$47)+SUMIF(⑭手動工程入力!$S$6:$S$47,$C125,⑭手動工程入力!$AE$6:$AE$47)+SUMIF(⑭手動工程入力!$T$6:$T$47,$C125,⑭手動工程入力!$AF$6:$AF$47)+SUMIF(⑭手動工程入力!$U$6:$U$47,$C125,⑭手動工程入力!$AG$6:$AG$47)+SUMIF(⑭手動工程入力!$V$6:$V$47,$C125,⑭手動工程入力!$AH$6:$AH$47)+SUMIF(⑭手動工程入力!$W$6:$W$47,$C125,⑭手動工程入力!$AI$6:$AI$47)</f>
        <v/>
      </c>
      <c r="I125" s="393">
        <f>IF($F125&gt;0,$H125/$F125,"")</f>
        <v/>
      </c>
      <c r="J125" s="605">
        <f>IFERROR(INDEX(商品原価!$B$4:$B$112,MATCH(SUBSTITUTE(SUBSTITUTE(SUBSTITUTE(SUBSTITUTE(SUBSTITUTE(SUBSTITUTE(SUBSTITUTE(SUBSTITUTE(SUBSTITUTE(SUBSTITUTE(ASC($C125),"①","1"),"②","2"),"③","3"),"④","4"),"⑤","5"),"⑥","6"),"⑦","7"),"⑧","8"),"⑨","9")," ",""),商品原価!$C$4:$C$112,0)),"")</f>
        <v/>
      </c>
      <c r="K125" s="542">
        <f>IF(ISNUMBER($J125),$J125*④前提設定!$B$21,"")</f>
        <v/>
      </c>
      <c r="L125" s="605">
        <f>IF(AND(NOT(ISNUMBER($J125)),NOT(ISNUMBER($K125))),"",N($J125)+N($K125))</f>
        <v/>
      </c>
      <c r="M125" s="605">
        <f>IFERROR(INDEX(商品原価!$E$4:$E$112,MATCH(SUBSTITUTE(SUBSTITUTE(SUBSTITUTE(SUBSTITUTE(SUBSTITUTE(SUBSTITUTE(SUBSTITUTE(SUBSTITUTE(SUBSTITUTE(SUBSTITUTE(ASC($C125),"①","1"),"②","2"),"③","3"),"④","4"),"⑤","5"),"⑥","6"),"⑦","7"),"⑧","8"),"⑨","9")," ",""),商品原価!$C$4:$C$112,0)),"")</f>
        <v/>
      </c>
      <c r="N125" s="605">
        <f>IF(AND(ISNUMBER($M125),ISNUMBER($L125)),$M125-$L125-N($W125),"")</f>
        <v/>
      </c>
      <c r="O125" s="606">
        <f>IF(AND(ISNUMBER($N125),ISNUMBER($M125),$M125&gt;0),$N125/$M125,"")</f>
        <v/>
      </c>
      <c r="P125" s="398">
        <f>COUNTIF(②釜工程入力!$R$5:$R$117,$C125)+COUNTIF(②釜工程入力!$S$5:$S$117,$C125)+COUNTIF(②釜工程入力!$T$5:$T$117,$C125)+COUNTIF(②釜工程入力!$U$5:$U$117,$C125)+COUNTIF(②釜工程入力!$V$5:$V$117,$C125)+COUNTIF(②釜工程入力!$W$5:$W$117,$C125)+COUNTIF(③スチコン工程入力!$R$5:$R$152,$C125)+COUNTIF(③スチコン工程入力!$S$5:$S$152,$C125)+COUNTIF(③スチコン工程入力!$T$5:$T$152,$C125)+COUNTIF(③スチコン工程入力!$U$5:$U$152,$C125)+COUNTIF(③スチコン工程入力!$V$5:$V$152,$C125)+COUNTIF(③スチコン工程入力!$W$5:$W$152,$C125)+COUNTIF(⑩盛付梱包工程入力!$R$5:$R$300,$C125)+COUNTIF(⑩盛付梱包工程入力!$S$5:$S$300,$C125)+COUNTIF(⑩盛付梱包工程入力!$T$5:$T$300,$C125)+COUNTIF(⑩盛付梱包工程入力!$U$5:$U$300,$C125)+COUNTIF(⑩盛付梱包工程入力!$V$5:$V$300,$C125)+COUNTIF(⑩盛付梱包工程入力!$W$5:$W$300,$C125)+COUNTIF(⑪ZEN工程入力!$R$6:$R$35,$C125)+COUNTIF(⑪ZEN工程入力!$S$6:$S$35,$C125)+COUNTIF(⑪ZEN工程入力!$T$6:$T$35,$C125)+COUNTIF(⑪ZEN工程入力!$U$6:$U$35,$C125)+COUNTIF(⑪ZEN工程入力!$V$6:$V$35,$C125)+COUNTIF(⑪ZEN工程入力!$W$6:$W$35,$C125)+COUNTIF(⑫ミキサー工程入力!$R$6:$R$65,$C125)+COUNTIF(⑫ミキサー工程入力!$S$6:$S$65,$C125)+COUNTIF(⑫ミキサー工程入力!$T$6:$T$65,$C125)+COUNTIF(⑫ミキサー工程入力!$U$6:$U$65,$C125)+COUNTIF(⑫ミキサー工程入力!$V$6:$V$65,$C125)+COUNTIF(⑫ミキサー工程入力!$W$6:$W$65,$C125)+COUNTIF(⑬計量工程入力!$R$6:$R$65,$C125)+COUNTIF(⑬計量工程入力!$S$6:$S$65,$C125)+COUNTIF(⑬計量工程入力!$T$6:$T$65,$C125)+COUNTIF(⑬計量工程入力!$U$6:$U$65,$C125)+COUNTIF(⑬計量工程入力!$V$6:$V$65,$C125)+COUNTIF(⑬計量工程入力!$W$6:$W$65,$C125)+COUNTIF(⑭手動工程入力!$R$6:$R$47,$C125)+COUNTIF(⑭手動工程入力!$S$6:$S$47,$C125)+COUNTIF(⑭手動工程入力!$T$6:$T$47,$C125)+COUNTIF(⑭手動工程入力!$U$6:$U$47,$C125)+COUNTIF(⑭手動工程入力!$V$6:$V$47,$C125)+COUNTIF(⑭手動工程入力!$W$6:$W$47,$C125)</f>
        <v/>
      </c>
      <c r="Q125" s="392" t="inlineStr">
        <is>
          <t>★あんこ工程（②釜6・7行）のひもづけ先。正式な商品名に直して、E列に食数を入れてください</t>
        </is>
      </c>
      <c r="R125" s="393" t="n"/>
      <c r="S125" s="393" t="n"/>
      <c r="T125" s="393" t="n"/>
      <c r="U125" s="393" t="n"/>
      <c r="V125" s="605">
        <f>IFERROR(INDEX(KIT別作業時間!$D$4:$D$27,MATCH(SUBSTITUTE(SUBSTITUTE(SUBSTITUTE(SUBSTITUTE(SUBSTITUTE(SUBSTITUTE(SUBSTITUTE(SUBSTITUTE(SUBSTITUTE(SUBSTITUTE(ASC($C125),"①","1"),"②","2"),"③","3"),"④","4"),"⑤","5"),"⑥","6"),"⑦","7"),"⑧","8"),"⑨","9")," ",""),KIT別作業時間!$C$4:$C$27,0)),"")</f>
        <v/>
      </c>
      <c r="W125" s="393">
        <f>IF(AND(ISNUMBER($I125),$I125&gt;0),$I125,IF(ISNUMBER($V125),$V125,IF(ISNUMBER($R125),$R125,"")))</f>
        <v/>
      </c>
      <c r="X125" s="393">
        <f>IF(AND(ISNUMBER($I125),$I125&gt;0),"今回の工程実績",IF(ISNUMBER($V125),"KIT作業時間",IF(ISNUMBER($R125),"前回資料","")))</f>
        <v/>
      </c>
      <c r="Y125" s="398" t="n"/>
      <c r="Z125" s="398">
        <f>IF(AND(ISNUMBER($W125),ISNUMBER($Y125)),$W125*$Y125,"")</f>
        <v/>
      </c>
      <c r="AA125" s="393" t="n"/>
    </row>
    <row r="126">
      <c r="A126" s="392" t="n">
        <v>122</v>
      </c>
      <c r="B126" s="392" t="n"/>
      <c r="C126" s="392" t="inlineStr">
        <is>
          <t>どら焼き</t>
        </is>
      </c>
      <c r="D126" s="398">
        <f>SUMIF(⑩盛付梱包工程入力!$R$5:$R$300,$C126,⑩盛付梱包工程入力!$AC$5:$AC$300)+SUMIF(⑩盛付梱包工程入力!$S$5:$S$300,$C126,⑩盛付梱包工程入力!$AC$5:$AC$300)+SUMIF(⑩盛付梱包工程入力!$T$5:$T$300,$C126,⑩盛付梱包工程入力!$AC$5:$AC$300)+SUMIF(⑩盛付梱包工程入力!$U$5:$U$300,$C126,⑩盛付梱包工程入力!$AC$5:$AC$300)+SUMIF(⑩盛付梱包工程入力!$V$5:$V$300,$C126,⑩盛付梱包工程入力!$AC$5:$AC$300)+SUMIF(⑩盛付梱包工程入力!$W$5:$W$300,$C126,⑩盛付梱包工程入力!$AC$5:$AC$300)</f>
        <v/>
      </c>
      <c r="E126" s="398" t="n"/>
      <c r="F126" s="398">
        <f>IF(N($E126)&gt;0,$E126,$D126)</f>
        <v/>
      </c>
      <c r="G126" s="398" t="n"/>
      <c r="H126" s="393">
        <f>SUMIF(②釜工程入力!$R$5:$R$117,$C126,②釜工程入力!$AD$5:$AD$117)+SUMIF(②釜工程入力!$S$5:$S$117,$C126,②釜工程入力!$AE$5:$AE$117)+SUMIF(②釜工程入力!$T$5:$T$117,$C126,②釜工程入力!$AF$5:$AF$117)+SUMIF(②釜工程入力!$U$5:$U$117,$C126,②釜工程入力!$AG$5:$AG$117)+SUMIF(②釜工程入力!$V$5:$V$117,$C126,②釜工程入力!$AH$5:$AH$117)+SUMIF(②釜工程入力!$W$5:$W$117,$C126,②釜工程入力!$AI$5:$AI$117)+SUMIF(③スチコン工程入力!$R$5:$R$152,$C126,③スチコン工程入力!$AD$5:$AD$152)+SUMIF(③スチコン工程入力!$S$5:$S$152,$C126,③スチコン工程入力!$AE$5:$AE$152)+SUMIF(③スチコン工程入力!$T$5:$T$152,$C126,③スチコン工程入力!$AF$5:$AF$152)+SUMIF(③スチコン工程入力!$U$5:$U$152,$C126,③スチコン工程入力!$AG$5:$AG$152)+SUMIF(③スチコン工程入力!$V$5:$V$152,$C126,③スチコン工程入力!$AH$5:$AH$152)+SUMIF(③スチコン工程入力!$W$5:$W$152,$C126,③スチコン工程入力!$AI$5:$AI$152)+SUMIF(⑩盛付梱包工程入力!$R$5:$R$300,$C126,⑩盛付梱包工程入力!$AD$5:$AD$300)+SUMIF(⑩盛付梱包工程入力!$S$5:$S$300,$C126,⑩盛付梱包工程入力!$AE$5:$AE$300)+SUMIF(⑩盛付梱包工程入力!$T$5:$T$300,$C126,⑩盛付梱包工程入力!$AF$5:$AF$300)+SUMIF(⑩盛付梱包工程入力!$U$5:$U$300,$C126,⑩盛付梱包工程入力!$AG$5:$AG$300)+SUMIF(⑩盛付梱包工程入力!$V$5:$V$300,$C126,⑩盛付梱包工程入力!$AH$5:$AH$300)+SUMIF(⑩盛付梱包工程入力!$W$5:$W$300,$C126,⑩盛付梱包工程入力!$AI$5:$AI$300)+SUMIF(⑪ZEN工程入力!$R$6:$R$35,$C126,⑪ZEN工程入力!$AD$6:$AD$35)+SUMIF(⑪ZEN工程入力!$S$6:$S$35,$C126,⑪ZEN工程入力!$AE$6:$AE$35)+SUMIF(⑪ZEN工程入力!$T$6:$T$35,$C126,⑪ZEN工程入力!$AF$6:$AF$35)+SUMIF(⑪ZEN工程入力!$U$6:$U$35,$C126,⑪ZEN工程入力!$AG$6:$AG$35)+SUMIF(⑪ZEN工程入力!$V$6:$V$35,$C126,⑪ZEN工程入力!$AH$6:$AH$35)+SUMIF(⑪ZEN工程入力!$W$6:$W$35,$C126,⑪ZEN工程入力!$AI$6:$AI$35)+SUMIF(⑫ミキサー工程入力!$R$6:$R$65,$C126,⑫ミキサー工程入力!$AD$6:$AD$65)+SUMIF(⑫ミキサー工程入力!$S$6:$S$65,$C126,⑫ミキサー工程入力!$AE$6:$AE$65)+SUMIF(⑫ミキサー工程入力!$T$6:$T$65,$C126,⑫ミキサー工程入力!$AF$6:$AF$65)+SUMIF(⑫ミキサー工程入力!$U$6:$U$65,$C126,⑫ミキサー工程入力!$AG$6:$AG$65)+SUMIF(⑫ミキサー工程入力!$V$6:$V$65,$C126,⑫ミキサー工程入力!$AH$6:$AH$65)+SUMIF(⑫ミキサー工程入力!$W$6:$W$65,$C126,⑫ミキサー工程入力!$AI$6:$AI$65)+SUMIF(⑬計量工程入力!$R$6:$R$65,$C126,⑬計量工程入力!$AD$6:$AD$65)+SUMIF(⑬計量工程入力!$S$6:$S$65,$C126,⑬計量工程入力!$AE$6:$AE$65)+SUMIF(⑬計量工程入力!$T$6:$T$65,$C126,⑬計量工程入力!$AF$6:$AF$65)+SUMIF(⑬計量工程入力!$U$6:$U$65,$C126,⑬計量工程入力!$AG$6:$AG$65)+SUMIF(⑬計量工程入力!$V$6:$V$65,$C126,⑬計量工程入力!$AH$6:$AH$65)+SUMIF(⑬計量工程入力!$W$6:$W$65,$C126,⑬計量工程入力!$AI$6:$AI$65)+SUMIF(⑭手動工程入力!$R$6:$R$47,$C126,⑭手動工程入力!$AD$6:$AD$47)+SUMIF(⑭手動工程入力!$S$6:$S$47,$C126,⑭手動工程入力!$AE$6:$AE$47)+SUMIF(⑭手動工程入力!$T$6:$T$47,$C126,⑭手動工程入力!$AF$6:$AF$47)+SUMIF(⑭手動工程入力!$U$6:$U$47,$C126,⑭手動工程入力!$AG$6:$AG$47)+SUMIF(⑭手動工程入力!$V$6:$V$47,$C126,⑭手動工程入力!$AH$6:$AH$47)+SUMIF(⑭手動工程入力!$W$6:$W$47,$C126,⑭手動工程入力!$AI$6:$AI$47)</f>
        <v/>
      </c>
      <c r="I126" s="393">
        <f>IF($F126&gt;0,$H126/$F126,"")</f>
        <v/>
      </c>
      <c r="J126" s="605">
        <f>IFERROR(INDEX(商品原価!$B$4:$B$112,MATCH(SUBSTITUTE(SUBSTITUTE(SUBSTITUTE(SUBSTITUTE(SUBSTITUTE(SUBSTITUTE(SUBSTITUTE(SUBSTITUTE(SUBSTITUTE(SUBSTITUTE(ASC($C126),"①","1"),"②","2"),"③","3"),"④","4"),"⑤","5"),"⑥","6"),"⑦","7"),"⑧","8"),"⑨","9")," ",""),商品原価!$C$4:$C$112,0)),"")</f>
        <v/>
      </c>
      <c r="K126" s="542">
        <f>IF(ISNUMBER($J126),$J126*④前提設定!$B$21,"")</f>
        <v/>
      </c>
      <c r="L126" s="605">
        <f>IF(AND(NOT(ISNUMBER($J126)),NOT(ISNUMBER($K126))),"",N($J126)+N($K126))</f>
        <v/>
      </c>
      <c r="M126" s="605">
        <f>IFERROR(INDEX(商品原価!$E$4:$E$112,MATCH(SUBSTITUTE(SUBSTITUTE(SUBSTITUTE(SUBSTITUTE(SUBSTITUTE(SUBSTITUTE(SUBSTITUTE(SUBSTITUTE(SUBSTITUTE(SUBSTITUTE(ASC($C126),"①","1"),"②","2"),"③","3"),"④","4"),"⑤","5"),"⑥","6"),"⑦","7"),"⑧","8"),"⑨","9")," ",""),商品原価!$C$4:$C$112,0)),"")</f>
        <v/>
      </c>
      <c r="N126" s="605">
        <f>IF(AND(ISNUMBER($M126),ISNUMBER($L126)),$M126-$L126-N($W126),"")</f>
        <v/>
      </c>
      <c r="O126" s="606">
        <f>IF(AND(ISNUMBER($N126),ISNUMBER($M126),$M126&gt;0),$N126/$M126,"")</f>
        <v/>
      </c>
      <c r="P126" s="398">
        <f>COUNTIF(②釜工程入力!$R$5:$R$117,$C126)+COUNTIF(②釜工程入力!$S$5:$S$117,$C126)+COUNTIF(②釜工程入力!$T$5:$T$117,$C126)+COUNTIF(②釜工程入力!$U$5:$U$117,$C126)+COUNTIF(②釜工程入力!$V$5:$V$117,$C126)+COUNTIF(②釜工程入力!$W$5:$W$117,$C126)+COUNTIF(③スチコン工程入力!$R$5:$R$152,$C126)+COUNTIF(③スチコン工程入力!$S$5:$S$152,$C126)+COUNTIF(③スチコン工程入力!$T$5:$T$152,$C126)+COUNTIF(③スチコン工程入力!$U$5:$U$152,$C126)+COUNTIF(③スチコン工程入力!$V$5:$V$152,$C126)+COUNTIF(③スチコン工程入力!$W$5:$W$152,$C126)+COUNTIF(⑩盛付梱包工程入力!$R$5:$R$300,$C126)+COUNTIF(⑩盛付梱包工程入力!$S$5:$S$300,$C126)+COUNTIF(⑩盛付梱包工程入力!$T$5:$T$300,$C126)+COUNTIF(⑩盛付梱包工程入力!$U$5:$U$300,$C126)+COUNTIF(⑩盛付梱包工程入力!$V$5:$V$300,$C126)+COUNTIF(⑩盛付梱包工程入力!$W$5:$W$300,$C126)+COUNTIF(⑪ZEN工程入力!$R$6:$R$35,$C126)+COUNTIF(⑪ZEN工程入力!$S$6:$S$35,$C126)+COUNTIF(⑪ZEN工程入力!$T$6:$T$35,$C126)+COUNTIF(⑪ZEN工程入力!$U$6:$U$35,$C126)+COUNTIF(⑪ZEN工程入力!$V$6:$V$35,$C126)+COUNTIF(⑪ZEN工程入力!$W$6:$W$35,$C126)+COUNTIF(⑫ミキサー工程入力!$R$6:$R$65,$C126)+COUNTIF(⑫ミキサー工程入力!$S$6:$S$65,$C126)+COUNTIF(⑫ミキサー工程入力!$T$6:$T$65,$C126)+COUNTIF(⑫ミキサー工程入力!$U$6:$U$65,$C126)+COUNTIF(⑫ミキサー工程入力!$V$6:$V$65,$C126)+COUNTIF(⑫ミキサー工程入力!$W$6:$W$65,$C126)+COUNTIF(⑬計量工程入力!$R$6:$R$65,$C126)+COUNTIF(⑬計量工程入力!$S$6:$S$65,$C126)+COUNTIF(⑬計量工程入力!$T$6:$T$65,$C126)+COUNTIF(⑬計量工程入力!$U$6:$U$65,$C126)+COUNTIF(⑬計量工程入力!$V$6:$V$65,$C126)+COUNTIF(⑬計量工程入力!$W$6:$W$65,$C126)+COUNTIF(⑭手動工程入力!$R$6:$R$47,$C126)+COUNTIF(⑭手動工程入力!$S$6:$S$47,$C126)+COUNTIF(⑭手動工程入力!$T$6:$T$47,$C126)+COUNTIF(⑭手動工程入力!$U$6:$U$47,$C126)+COUNTIF(⑭手動工程入力!$V$6:$V$47,$C126)+COUNTIF(⑭手動工程入力!$W$6:$W$47,$C126)</f>
        <v/>
      </c>
      <c r="Q126" s="392" t="inlineStr">
        <is>
          <t>★あんこ工程（②釜6・7行）のひもづけ先。正式な商品名に直して、E列に食数を入れてください</t>
        </is>
      </c>
      <c r="R126" s="393" t="n"/>
      <c r="S126" s="393" t="n"/>
      <c r="T126" s="393" t="n"/>
      <c r="U126" s="393" t="n"/>
      <c r="V126" s="605">
        <f>IFERROR(INDEX(KIT別作業時間!$D$4:$D$27,MATCH(SUBSTITUTE(SUBSTITUTE(SUBSTITUTE(SUBSTITUTE(SUBSTITUTE(SUBSTITUTE(SUBSTITUTE(SUBSTITUTE(SUBSTITUTE(SUBSTITUTE(ASC($C126),"①","1"),"②","2"),"③","3"),"④","4"),"⑤","5"),"⑥","6"),"⑦","7"),"⑧","8"),"⑨","9")," ",""),KIT別作業時間!$C$4:$C$27,0)),"")</f>
        <v/>
      </c>
      <c r="W126" s="393">
        <f>IF(AND(ISNUMBER($I126),$I126&gt;0),$I126,IF(ISNUMBER($V126),$V126,IF(ISNUMBER($R126),$R126,"")))</f>
        <v/>
      </c>
      <c r="X126" s="393">
        <f>IF(AND(ISNUMBER($I126),$I126&gt;0),"今回の工程実績",IF(ISNUMBER($V126),"KIT作業時間",IF(ISNUMBER($R126),"前回資料","")))</f>
        <v/>
      </c>
      <c r="Y126" s="398" t="n"/>
      <c r="Z126" s="398">
        <f>IF(AND(ISNUMBER($W126),ISNUMBER($Y126)),$W126*$Y126,"")</f>
        <v/>
      </c>
      <c r="AA126" s="393" t="n"/>
    </row>
    <row r="127">
      <c r="A127" s="392" t="n"/>
      <c r="B127" s="392" t="n"/>
      <c r="C127" s="419" t="inlineStr">
        <is>
          <t>合計</t>
        </is>
      </c>
      <c r="D127" s="392" t="n"/>
      <c r="E127" s="396" t="n"/>
      <c r="F127" s="396" t="n"/>
      <c r="G127" s="396" t="n"/>
      <c r="H127" s="396" t="n"/>
      <c r="I127" s="392" t="n"/>
      <c r="J127" s="392" t="n"/>
      <c r="K127" s="392" t="n"/>
      <c r="L127" s="392" t="n"/>
      <c r="M127" s="392" t="n"/>
      <c r="N127" s="392" t="n"/>
      <c r="O127" s="392" t="n"/>
      <c r="P127" s="392" t="n"/>
      <c r="Q127" s="392" t="n"/>
      <c r="Y127" s="419">
        <f>SUM(Y5:Y126)</f>
        <v/>
      </c>
      <c r="Z127" s="419">
        <f>SUM(Z5:Z126)</f>
        <v/>
      </c>
    </row>
    <row r="128">
      <c r="A128" s="392" t="n"/>
      <c r="B128" s="392" t="n"/>
      <c r="C128" s="392" t="n"/>
      <c r="D128" s="392" t="n"/>
      <c r="E128" s="396" t="n"/>
      <c r="F128" s="396" t="n"/>
      <c r="G128" s="396" t="n"/>
      <c r="H128" s="396" t="n"/>
      <c r="I128" s="392" t="n"/>
      <c r="J128" s="420" t="n"/>
      <c r="K128" s="420" t="n"/>
      <c r="L128" s="420" t="n"/>
      <c r="M128" s="430" t="n"/>
      <c r="N128" s="430" t="n"/>
      <c r="O128" s="430" t="n"/>
      <c r="P128" s="392" t="n"/>
      <c r="Q128" s="392" t="n"/>
    </row>
    <row r="129">
      <c r="A129" s="392" t="n"/>
      <c r="B129" s="392" t="n"/>
      <c r="C129" s="392" t="n"/>
      <c r="D129" s="392" t="n"/>
      <c r="E129" s="396" t="n"/>
      <c r="F129" s="396" t="n"/>
      <c r="G129" s="396" t="n"/>
      <c r="H129" s="396" t="n"/>
      <c r="I129" s="392" t="n"/>
      <c r="J129" s="420" t="n"/>
      <c r="K129" s="420" t="n"/>
      <c r="L129" s="420" t="n"/>
      <c r="M129" s="430" t="n"/>
      <c r="N129" s="430" t="n"/>
      <c r="O129" s="430" t="n"/>
      <c r="P129" s="392" t="n"/>
      <c r="Q129" s="392" t="n"/>
    </row>
    <row r="130">
      <c r="A130" s="392" t="n"/>
      <c r="B130" s="392" t="n"/>
      <c r="C130" s="392" t="n"/>
      <c r="D130" s="392" t="n"/>
      <c r="E130" s="396" t="n"/>
      <c r="F130" s="396" t="n"/>
      <c r="G130" s="396" t="n"/>
      <c r="H130" s="396" t="n"/>
      <c r="I130" s="392" t="n"/>
      <c r="J130" s="420" t="n"/>
      <c r="K130" s="420" t="n"/>
      <c r="L130" s="420" t="n"/>
      <c r="M130" s="430" t="n"/>
      <c r="N130" s="430" t="n"/>
      <c r="O130" s="430" t="n"/>
      <c r="P130" s="392" t="n"/>
      <c r="Q130" s="392" t="n"/>
    </row>
    <row r="131">
      <c r="A131" s="392" t="n"/>
      <c r="B131" s="392" t="n"/>
      <c r="C131" s="392" t="n"/>
      <c r="D131" s="392" t="n"/>
      <c r="E131" s="396" t="n"/>
      <c r="F131" s="396" t="n"/>
      <c r="G131" s="396" t="n"/>
      <c r="H131" s="396" t="n"/>
      <c r="I131" s="392" t="n"/>
      <c r="J131" s="420" t="n"/>
      <c r="K131" s="420" t="n"/>
      <c r="L131" s="420" t="n"/>
      <c r="M131" s="430" t="n"/>
      <c r="N131" s="430" t="n"/>
      <c r="O131" s="430" t="n"/>
      <c r="P131" s="392" t="n"/>
      <c r="Q131" s="392" t="n"/>
    </row>
    <row r="132">
      <c r="A132" s="392" t="n"/>
      <c r="B132" s="392" t="n"/>
      <c r="C132" s="392" t="n"/>
      <c r="D132" s="392" t="n"/>
      <c r="E132" s="396" t="n"/>
      <c r="F132" s="396" t="n"/>
      <c r="G132" s="396" t="n"/>
      <c r="H132" s="396" t="n"/>
      <c r="I132" s="392" t="n"/>
      <c r="J132" s="420" t="n"/>
      <c r="K132" s="420" t="n"/>
      <c r="L132" s="420" t="n"/>
      <c r="M132" s="430" t="n"/>
      <c r="N132" s="430" t="n"/>
      <c r="O132" s="430" t="n"/>
      <c r="P132" s="392" t="n"/>
      <c r="Q132" s="392" t="n"/>
    </row>
    <row r="133">
      <c r="A133" s="392" t="n"/>
      <c r="B133" s="392" t="n"/>
      <c r="C133" s="392" t="n"/>
      <c r="D133" s="392" t="n"/>
      <c r="E133" s="396" t="n"/>
      <c r="F133" s="396" t="n"/>
      <c r="G133" s="396" t="n"/>
      <c r="H133" s="396" t="n"/>
      <c r="I133" s="392" t="n"/>
      <c r="J133" s="420" t="n"/>
      <c r="K133" s="420" t="n"/>
      <c r="L133" s="420" t="n"/>
      <c r="M133" s="430" t="n"/>
      <c r="N133" s="430" t="n"/>
      <c r="O133" s="430" t="n"/>
      <c r="P133" s="392" t="n"/>
      <c r="Q133" s="392" t="n"/>
    </row>
    <row r="134">
      <c r="A134" s="392" t="n"/>
      <c r="B134" s="392" t="n"/>
      <c r="C134" s="392" t="n"/>
      <c r="D134" s="392" t="n"/>
      <c r="E134" s="396" t="n"/>
      <c r="F134" s="396" t="n"/>
      <c r="G134" s="396" t="n"/>
      <c r="H134" s="396" t="n"/>
      <c r="I134" s="392" t="n"/>
      <c r="J134" s="420" t="n"/>
      <c r="K134" s="420" t="n"/>
      <c r="L134" s="420" t="n"/>
      <c r="M134" s="430" t="n"/>
      <c r="N134" s="430" t="n"/>
      <c r="O134" s="430" t="n"/>
      <c r="P134" s="392" t="n"/>
      <c r="Q134" s="392" t="n"/>
    </row>
    <row r="135">
      <c r="A135" s="392" t="n"/>
      <c r="B135" s="392" t="n"/>
      <c r="C135" s="392" t="n"/>
      <c r="D135" s="392" t="n"/>
      <c r="E135" s="396" t="n"/>
      <c r="F135" s="396" t="n"/>
      <c r="G135" s="396" t="n"/>
      <c r="H135" s="396" t="n"/>
      <c r="I135" s="392" t="n"/>
      <c r="J135" s="420" t="n"/>
      <c r="K135" s="420" t="n"/>
      <c r="L135" s="420" t="n"/>
      <c r="M135" s="430" t="n"/>
      <c r="N135" s="430" t="n"/>
      <c r="O135" s="430" t="n"/>
      <c r="P135" s="392" t="n"/>
      <c r="Q135" s="392" t="n"/>
    </row>
    <row r="136">
      <c r="A136" s="392" t="n"/>
      <c r="B136" s="392" t="n"/>
      <c r="C136" s="392" t="n"/>
      <c r="D136" s="392" t="n"/>
      <c r="E136" s="396" t="n"/>
      <c r="F136" s="396" t="n"/>
      <c r="G136" s="396" t="n"/>
      <c r="H136" s="396" t="n"/>
      <c r="I136" s="392" t="n"/>
      <c r="J136" s="420" t="n"/>
      <c r="K136" s="420" t="n"/>
      <c r="L136" s="420" t="n"/>
      <c r="M136" s="430" t="n"/>
      <c r="N136" s="430" t="n"/>
      <c r="O136" s="430" t="n"/>
      <c r="P136" s="392" t="n"/>
      <c r="Q136" s="392" t="n"/>
    </row>
    <row r="137">
      <c r="A137" s="392" t="n"/>
      <c r="B137" s="392" t="n"/>
      <c r="C137" s="392" t="n"/>
      <c r="D137" s="392" t="n"/>
      <c r="E137" s="396" t="n"/>
      <c r="F137" s="396" t="n"/>
      <c r="G137" s="396" t="n"/>
      <c r="H137" s="396" t="n"/>
      <c r="I137" s="392" t="n"/>
      <c r="J137" s="420" t="n"/>
      <c r="K137" s="420" t="n"/>
      <c r="L137" s="420" t="n"/>
      <c r="M137" s="430" t="n"/>
      <c r="N137" s="430" t="n"/>
      <c r="O137" s="430" t="n"/>
      <c r="P137" s="392" t="n"/>
      <c r="Q137" s="392" t="n"/>
    </row>
    <row r="138">
      <c r="A138" s="392" t="n"/>
      <c r="B138" s="392" t="n"/>
      <c r="C138" s="392" t="n"/>
      <c r="D138" s="392" t="n"/>
      <c r="E138" s="396" t="n"/>
      <c r="F138" s="396" t="n"/>
      <c r="G138" s="396" t="n"/>
      <c r="H138" s="396" t="n"/>
      <c r="I138" s="392" t="n"/>
      <c r="J138" s="420" t="n"/>
      <c r="K138" s="420" t="n"/>
      <c r="L138" s="420" t="n"/>
      <c r="M138" s="430" t="n"/>
      <c r="N138" s="430" t="n"/>
      <c r="O138" s="430" t="n"/>
      <c r="P138" s="392" t="n"/>
      <c r="Q138" s="392" t="n"/>
    </row>
    <row r="139">
      <c r="A139" s="392" t="n"/>
      <c r="B139" s="392" t="n"/>
      <c r="C139" s="392" t="n"/>
      <c r="D139" s="392" t="n"/>
      <c r="E139" s="396" t="n"/>
      <c r="F139" s="396" t="n"/>
      <c r="G139" s="396" t="n"/>
      <c r="H139" s="396" t="n"/>
      <c r="I139" s="392" t="n"/>
      <c r="J139" s="420" t="n"/>
      <c r="K139" s="420" t="n"/>
      <c r="L139" s="420" t="n"/>
      <c r="M139" s="430" t="n"/>
      <c r="N139" s="430" t="n"/>
      <c r="O139" s="430" t="n"/>
      <c r="P139" s="392" t="n"/>
      <c r="Q139" s="392" t="n"/>
    </row>
    <row r="140">
      <c r="A140" s="392" t="n"/>
      <c r="B140" s="392" t="n"/>
      <c r="C140" s="392" t="n"/>
      <c r="D140" s="392" t="n"/>
      <c r="E140" s="396" t="n"/>
      <c r="F140" s="396" t="n"/>
      <c r="G140" s="396" t="n"/>
      <c r="H140" s="396" t="n"/>
      <c r="I140" s="392" t="n"/>
      <c r="J140" s="420" t="n"/>
      <c r="K140" s="420" t="n"/>
      <c r="L140" s="420" t="n"/>
      <c r="M140" s="430" t="n"/>
      <c r="N140" s="430" t="n"/>
      <c r="O140" s="430" t="n"/>
      <c r="P140" s="392" t="n"/>
      <c r="Q140" s="392" t="n"/>
    </row>
    <row r="141">
      <c r="A141" s="392" t="n"/>
      <c r="B141" s="392" t="n"/>
      <c r="C141" s="392" t="n"/>
      <c r="D141" s="392" t="n"/>
      <c r="E141" s="396" t="n"/>
      <c r="F141" s="396" t="n"/>
      <c r="G141" s="396" t="n"/>
      <c r="H141" s="396" t="n"/>
      <c r="I141" s="392" t="n"/>
      <c r="J141" s="420" t="n"/>
      <c r="K141" s="420" t="n"/>
      <c r="L141" s="420" t="n"/>
      <c r="M141" s="430" t="n"/>
      <c r="N141" s="430" t="n"/>
      <c r="O141" s="430" t="n"/>
      <c r="P141" s="392" t="n"/>
      <c r="Q141" s="392" t="n"/>
    </row>
    <row r="142">
      <c r="A142" s="392" t="n"/>
      <c r="B142" s="392" t="n"/>
      <c r="C142" s="392" t="n"/>
      <c r="D142" s="392" t="n"/>
      <c r="E142" s="396" t="n"/>
      <c r="F142" s="396" t="n"/>
      <c r="G142" s="396" t="n"/>
      <c r="H142" s="396" t="n"/>
      <c r="I142" s="392" t="n"/>
      <c r="J142" s="420" t="n"/>
      <c r="K142" s="420" t="n"/>
      <c r="L142" s="420" t="n"/>
      <c r="M142" s="430" t="n"/>
      <c r="N142" s="430" t="n"/>
      <c r="O142" s="430" t="n"/>
      <c r="P142" s="392" t="n"/>
      <c r="Q142" s="392" t="n"/>
    </row>
    <row r="143">
      <c r="A143" s="392" t="n"/>
      <c r="B143" s="392" t="n"/>
      <c r="C143" s="392" t="n"/>
      <c r="D143" s="392" t="n"/>
      <c r="E143" s="396" t="n"/>
      <c r="F143" s="396" t="n"/>
      <c r="G143" s="396" t="n"/>
      <c r="H143" s="396" t="n"/>
      <c r="I143" s="392" t="n"/>
      <c r="J143" s="420" t="n"/>
      <c r="K143" s="420" t="n"/>
      <c r="L143" s="420" t="n"/>
      <c r="M143" s="430" t="n"/>
      <c r="N143" s="430" t="n"/>
      <c r="O143" s="430" t="n"/>
      <c r="P143" s="392" t="n"/>
      <c r="Q143" s="392" t="n"/>
    </row>
    <row r="144">
      <c r="A144" s="392" t="n"/>
      <c r="B144" s="392" t="n"/>
      <c r="C144" s="392" t="n"/>
      <c r="D144" s="392" t="n"/>
      <c r="E144" s="396" t="n"/>
      <c r="F144" s="396" t="n"/>
      <c r="G144" s="396" t="n"/>
      <c r="H144" s="396" t="n"/>
      <c r="I144" s="392" t="n"/>
      <c r="J144" s="420" t="n"/>
      <c r="K144" s="420" t="n"/>
      <c r="L144" s="420" t="n"/>
      <c r="M144" s="430" t="n"/>
      <c r="N144" s="430" t="n"/>
      <c r="O144" s="430" t="n"/>
      <c r="P144" s="392" t="n"/>
      <c r="Q144" s="392" t="n"/>
    </row>
    <row r="145">
      <c r="A145" s="392" t="n"/>
      <c r="B145" s="392" t="n"/>
      <c r="C145" s="392" t="n"/>
      <c r="D145" s="392" t="n"/>
      <c r="E145" s="396" t="n"/>
      <c r="F145" s="396" t="n"/>
      <c r="G145" s="396" t="n"/>
      <c r="H145" s="396" t="n"/>
      <c r="I145" s="392" t="n"/>
      <c r="J145" s="420" t="n"/>
      <c r="K145" s="420" t="n"/>
      <c r="L145" s="420" t="n"/>
      <c r="M145" s="430" t="n"/>
      <c r="N145" s="430" t="n"/>
      <c r="O145" s="430" t="n"/>
      <c r="P145" s="392" t="n"/>
      <c r="Q145" s="392" t="n"/>
    </row>
    <row r="146">
      <c r="A146" s="392" t="n"/>
      <c r="B146" s="392" t="n"/>
      <c r="C146" s="392" t="n"/>
      <c r="D146" s="392" t="n"/>
      <c r="E146" s="396" t="n"/>
      <c r="F146" s="396" t="n"/>
      <c r="G146" s="396" t="n"/>
      <c r="H146" s="396" t="n"/>
      <c r="I146" s="392" t="n"/>
      <c r="J146" s="420" t="n"/>
      <c r="K146" s="420" t="n"/>
      <c r="L146" s="420" t="n"/>
      <c r="M146" s="430" t="n"/>
      <c r="N146" s="430" t="n"/>
      <c r="O146" s="430" t="n"/>
      <c r="P146" s="392" t="n"/>
      <c r="Q146" s="392" t="n"/>
    </row>
    <row r="147">
      <c r="A147" s="392" t="n"/>
      <c r="B147" s="392" t="n"/>
      <c r="C147" s="392" t="n"/>
      <c r="D147" s="392" t="n"/>
      <c r="E147" s="396" t="n"/>
      <c r="F147" s="396" t="n"/>
      <c r="G147" s="396" t="n"/>
      <c r="H147" s="396" t="n"/>
      <c r="I147" s="392" t="n"/>
      <c r="J147" s="420" t="n"/>
      <c r="K147" s="420" t="n"/>
      <c r="L147" s="420" t="n"/>
      <c r="M147" s="430" t="n"/>
      <c r="N147" s="430" t="n"/>
      <c r="O147" s="430" t="n"/>
      <c r="P147" s="392" t="n"/>
      <c r="Q147" s="392" t="n"/>
    </row>
    <row r="148">
      <c r="A148" s="392" t="n"/>
      <c r="B148" s="392" t="n"/>
      <c r="C148" s="392" t="n"/>
      <c r="D148" s="392" t="n"/>
      <c r="E148" s="396" t="n"/>
      <c r="F148" s="396" t="n"/>
      <c r="G148" s="396" t="n"/>
      <c r="H148" s="396" t="n"/>
      <c r="I148" s="392" t="n"/>
      <c r="J148" s="420" t="n"/>
      <c r="K148" s="420" t="n"/>
      <c r="L148" s="420" t="n"/>
      <c r="M148" s="430" t="n"/>
      <c r="N148" s="430" t="n"/>
      <c r="O148" s="430" t="n"/>
      <c r="P148" s="392" t="n"/>
      <c r="Q148" s="392" t="n"/>
    </row>
    <row r="149">
      <c r="A149" s="392" t="n"/>
      <c r="B149" s="392" t="n"/>
      <c r="C149" s="392" t="n"/>
      <c r="D149" s="392" t="n"/>
      <c r="E149" s="396" t="n"/>
      <c r="F149" s="396" t="n"/>
      <c r="G149" s="396" t="n"/>
      <c r="H149" s="396" t="n"/>
      <c r="I149" s="392" t="n"/>
      <c r="J149" s="420" t="n"/>
      <c r="K149" s="420" t="n"/>
      <c r="L149" s="420" t="n"/>
      <c r="M149" s="430" t="n"/>
      <c r="N149" s="430" t="n"/>
      <c r="O149" s="430" t="n"/>
      <c r="P149" s="392" t="n"/>
      <c r="Q149" s="392" t="n"/>
    </row>
    <row r="150">
      <c r="A150" s="392" t="n"/>
      <c r="B150" s="392" t="n"/>
      <c r="C150" s="392" t="n"/>
      <c r="D150" s="392" t="n"/>
      <c r="E150" s="396" t="n"/>
      <c r="F150" s="396" t="n"/>
      <c r="G150" s="396" t="n"/>
      <c r="H150" s="396" t="n"/>
      <c r="I150" s="392" t="n"/>
      <c r="J150" s="420" t="n"/>
      <c r="K150" s="420" t="n"/>
      <c r="L150" s="420" t="n"/>
      <c r="M150" s="430" t="n"/>
      <c r="N150" s="430" t="n"/>
      <c r="O150" s="430" t="n"/>
      <c r="P150" s="392" t="n"/>
      <c r="Q150" s="392" t="n"/>
    </row>
    <row r="151">
      <c r="A151" s="392" t="n"/>
      <c r="B151" s="392" t="n"/>
      <c r="C151" s="392" t="n"/>
      <c r="D151" s="392" t="n"/>
      <c r="E151" s="396" t="n"/>
      <c r="F151" s="396" t="n"/>
      <c r="G151" s="396" t="n"/>
      <c r="H151" s="396" t="n"/>
      <c r="I151" s="392" t="n"/>
      <c r="J151" s="420" t="n"/>
      <c r="K151" s="420" t="n"/>
      <c r="L151" s="420" t="n"/>
      <c r="M151" s="430" t="n"/>
      <c r="N151" s="430" t="n"/>
      <c r="O151" s="430" t="n"/>
      <c r="P151" s="392" t="n"/>
      <c r="Q151" s="392" t="n"/>
    </row>
    <row r="152">
      <c r="A152" s="392" t="n"/>
      <c r="B152" s="392" t="n"/>
      <c r="C152" s="392" t="n"/>
      <c r="D152" s="392" t="n"/>
      <c r="E152" s="396" t="n"/>
      <c r="F152" s="396" t="n"/>
      <c r="G152" s="396" t="n"/>
      <c r="H152" s="396" t="n"/>
      <c r="I152" s="392" t="n"/>
      <c r="J152" s="420" t="n"/>
      <c r="K152" s="420" t="n"/>
      <c r="L152" s="420" t="n"/>
      <c r="M152" s="430" t="n"/>
      <c r="N152" s="430" t="n"/>
      <c r="O152" s="430" t="n"/>
      <c r="P152" s="392" t="n"/>
      <c r="Q152" s="392" t="n"/>
    </row>
    <row r="153">
      <c r="A153" s="392" t="n"/>
      <c r="B153" s="392" t="n"/>
      <c r="C153" s="392" t="n"/>
      <c r="D153" s="392" t="n"/>
      <c r="E153" s="396" t="n"/>
      <c r="F153" s="396" t="n"/>
      <c r="G153" s="396" t="n"/>
      <c r="H153" s="396" t="n"/>
      <c r="I153" s="392" t="n"/>
      <c r="J153" s="420" t="n"/>
      <c r="K153" s="420" t="n"/>
      <c r="L153" s="420" t="n"/>
      <c r="M153" s="430" t="n"/>
      <c r="N153" s="430" t="n"/>
      <c r="O153" s="430" t="n"/>
      <c r="P153" s="392" t="n"/>
      <c r="Q153" s="392" t="n"/>
    </row>
    <row r="154">
      <c r="A154" s="392" t="n"/>
      <c r="B154" s="392" t="n"/>
      <c r="C154" s="392" t="n"/>
      <c r="D154" s="392" t="n"/>
      <c r="E154" s="396" t="n"/>
      <c r="F154" s="396" t="n"/>
      <c r="G154" s="396" t="n"/>
      <c r="H154" s="396" t="n"/>
      <c r="I154" s="392" t="n"/>
      <c r="J154" s="420" t="n"/>
      <c r="K154" s="420" t="n"/>
      <c r="L154" s="420" t="n"/>
      <c r="M154" s="430" t="n"/>
      <c r="N154" s="430" t="n"/>
      <c r="O154" s="430" t="n"/>
      <c r="P154" s="392" t="n"/>
      <c r="Q154" s="392" t="n"/>
    </row>
    <row r="155">
      <c r="A155" s="392" t="n"/>
      <c r="B155" s="392" t="n"/>
      <c r="C155" s="392" t="n"/>
      <c r="D155" s="392" t="n"/>
      <c r="E155" s="396" t="n"/>
      <c r="F155" s="396" t="n"/>
      <c r="G155" s="396" t="n"/>
      <c r="H155" s="396" t="n"/>
      <c r="I155" s="392" t="n"/>
      <c r="J155" s="420" t="n"/>
      <c r="K155" s="420" t="n"/>
      <c r="L155" s="420" t="n"/>
      <c r="M155" s="430" t="n"/>
      <c r="N155" s="430" t="n"/>
      <c r="O155" s="430" t="n"/>
      <c r="P155" s="392" t="n"/>
      <c r="Q155" s="392" t="n"/>
    </row>
    <row r="156">
      <c r="A156" s="392" t="n"/>
      <c r="B156" s="392" t="n"/>
      <c r="C156" s="392" t="n"/>
      <c r="D156" s="392" t="n"/>
      <c r="E156" s="396" t="n"/>
      <c r="F156" s="396" t="n"/>
      <c r="G156" s="396" t="n"/>
      <c r="H156" s="396" t="n"/>
      <c r="I156" s="392" t="n"/>
      <c r="J156" s="420" t="n"/>
      <c r="K156" s="420" t="n"/>
      <c r="L156" s="420" t="n"/>
      <c r="M156" s="430" t="n"/>
      <c r="N156" s="430" t="n"/>
      <c r="O156" s="430" t="n"/>
      <c r="P156" s="392" t="n"/>
      <c r="Q156" s="392" t="n"/>
    </row>
    <row r="157">
      <c r="A157" s="392" t="n"/>
      <c r="B157" s="392" t="n"/>
      <c r="C157" s="392" t="n"/>
      <c r="D157" s="392" t="n"/>
      <c r="E157" s="396" t="n"/>
      <c r="F157" s="396" t="n"/>
      <c r="G157" s="396" t="n"/>
      <c r="H157" s="396" t="n"/>
      <c r="I157" s="392" t="n"/>
      <c r="J157" s="420" t="n"/>
      <c r="K157" s="420" t="n"/>
      <c r="L157" s="420" t="n"/>
      <c r="M157" s="430" t="n"/>
      <c r="N157" s="430" t="n"/>
      <c r="O157" s="430" t="n"/>
      <c r="P157" s="392" t="n"/>
      <c r="Q157" s="392" t="n"/>
    </row>
    <row r="158">
      <c r="A158" s="392" t="n"/>
      <c r="B158" s="392" t="n"/>
      <c r="C158" s="392" t="n"/>
      <c r="D158" s="392" t="n"/>
      <c r="E158" s="396" t="n"/>
      <c r="F158" s="396" t="n"/>
      <c r="G158" s="396" t="n"/>
      <c r="H158" s="396" t="n"/>
      <c r="I158" s="392" t="n"/>
      <c r="J158" s="420" t="n"/>
      <c r="K158" s="420" t="n"/>
      <c r="L158" s="420" t="n"/>
      <c r="M158" s="430" t="n"/>
      <c r="N158" s="430" t="n"/>
      <c r="O158" s="430" t="n"/>
      <c r="P158" s="392" t="n"/>
      <c r="Q158" s="392" t="n"/>
    </row>
    <row r="159">
      <c r="A159" s="392" t="n"/>
      <c r="B159" s="392" t="n"/>
      <c r="C159" s="392" t="n"/>
      <c r="D159" s="392" t="n"/>
      <c r="E159" s="396" t="n"/>
      <c r="F159" s="396" t="n"/>
      <c r="G159" s="396" t="n"/>
      <c r="H159" s="396" t="n"/>
      <c r="I159" s="392" t="n"/>
      <c r="J159" s="420" t="n"/>
      <c r="K159" s="420" t="n"/>
      <c r="L159" s="420" t="n"/>
      <c r="M159" s="430" t="n"/>
      <c r="N159" s="430" t="n"/>
      <c r="O159" s="430" t="n"/>
      <c r="P159" s="392" t="n"/>
      <c r="Q159" s="392" t="n"/>
    </row>
    <row r="160">
      <c r="A160" s="392" t="n"/>
      <c r="B160" s="392" t="n"/>
      <c r="C160" s="392" t="n"/>
      <c r="D160" s="392" t="n"/>
      <c r="E160" s="396" t="n"/>
      <c r="F160" s="396" t="n"/>
      <c r="G160" s="396" t="n"/>
      <c r="H160" s="396" t="n"/>
      <c r="I160" s="392" t="n"/>
      <c r="J160" s="420" t="n"/>
      <c r="K160" s="420" t="n"/>
      <c r="L160" s="420" t="n"/>
      <c r="M160" s="430" t="n"/>
      <c r="N160" s="430" t="n"/>
      <c r="O160" s="430" t="n"/>
      <c r="P160" s="392" t="n"/>
      <c r="Q160" s="392" t="n"/>
    </row>
    <row r="161">
      <c r="A161" s="392" t="n"/>
      <c r="B161" s="392" t="n"/>
      <c r="C161" s="392" t="n"/>
      <c r="D161" s="392" t="n"/>
      <c r="E161" s="396" t="n"/>
      <c r="F161" s="396" t="n"/>
      <c r="G161" s="396" t="n"/>
      <c r="H161" s="396" t="n"/>
      <c r="I161" s="392" t="n"/>
      <c r="J161" s="420" t="n"/>
      <c r="K161" s="420" t="n"/>
      <c r="L161" s="420" t="n"/>
      <c r="M161" s="430" t="n"/>
      <c r="N161" s="430" t="n"/>
      <c r="O161" s="430" t="n"/>
      <c r="P161" s="392" t="n"/>
      <c r="Q161" s="392" t="n"/>
    </row>
    <row r="162">
      <c r="A162" s="392" t="n"/>
      <c r="B162" s="392" t="n"/>
      <c r="C162" s="392" t="n"/>
      <c r="D162" s="392" t="n"/>
      <c r="E162" s="396" t="n"/>
      <c r="F162" s="396" t="n"/>
      <c r="G162" s="396" t="n"/>
      <c r="H162" s="396" t="n"/>
      <c r="I162" s="392" t="n"/>
      <c r="J162" s="420" t="n"/>
      <c r="K162" s="420" t="n"/>
      <c r="L162" s="420" t="n"/>
      <c r="M162" s="430" t="n"/>
      <c r="N162" s="430" t="n"/>
      <c r="O162" s="430" t="n"/>
      <c r="P162" s="392" t="n"/>
      <c r="Q162" s="392" t="n"/>
    </row>
    <row r="163">
      <c r="A163" s="392" t="n"/>
      <c r="B163" s="392" t="n"/>
      <c r="C163" s="392" t="n"/>
      <c r="D163" s="392" t="n"/>
      <c r="E163" s="396" t="n"/>
      <c r="F163" s="396" t="n"/>
      <c r="G163" s="396" t="n"/>
      <c r="H163" s="396" t="n"/>
      <c r="I163" s="392" t="n"/>
      <c r="J163" s="420" t="n"/>
      <c r="K163" s="420" t="n"/>
      <c r="L163" s="420" t="n"/>
      <c r="M163" s="430" t="n"/>
      <c r="N163" s="430" t="n"/>
      <c r="O163" s="430" t="n"/>
      <c r="P163" s="392" t="n"/>
      <c r="Q163" s="392" t="n"/>
    </row>
    <row r="164">
      <c r="A164" s="392" t="n"/>
      <c r="B164" s="392" t="n"/>
      <c r="C164" s="392" t="n"/>
      <c r="D164" s="392" t="n"/>
      <c r="E164" s="396" t="n"/>
      <c r="F164" s="396" t="n"/>
      <c r="G164" s="396" t="n"/>
      <c r="H164" s="396" t="n"/>
      <c r="I164" s="392" t="n"/>
      <c r="J164" s="420" t="n"/>
      <c r="K164" s="420" t="n"/>
      <c r="L164" s="420" t="n"/>
      <c r="M164" s="430" t="n"/>
      <c r="N164" s="430" t="n"/>
      <c r="O164" s="430" t="n"/>
      <c r="P164" s="392" t="n"/>
      <c r="Q164" s="392" t="n"/>
    </row>
    <row r="165">
      <c r="A165" s="392" t="n"/>
      <c r="B165" s="392" t="n"/>
      <c r="C165" s="392" t="n"/>
      <c r="D165" s="392" t="n"/>
      <c r="E165" s="396" t="n"/>
      <c r="F165" s="396" t="n"/>
      <c r="G165" s="396" t="n"/>
      <c r="H165" s="396" t="n"/>
      <c r="I165" s="392" t="n"/>
      <c r="J165" s="420" t="n"/>
      <c r="K165" s="420" t="n"/>
      <c r="L165" s="420" t="n"/>
      <c r="M165" s="430" t="n"/>
      <c r="N165" s="430" t="n"/>
      <c r="O165" s="430" t="n"/>
      <c r="P165" s="392" t="n"/>
      <c r="Q165" s="392" t="n"/>
    </row>
    <row r="166">
      <c r="A166" s="392" t="n"/>
      <c r="B166" s="392" t="n"/>
      <c r="C166" s="392" t="n"/>
      <c r="D166" s="392" t="n"/>
      <c r="E166" s="396" t="n"/>
      <c r="F166" s="396" t="n"/>
      <c r="G166" s="396" t="n"/>
      <c r="H166" s="396" t="n"/>
      <c r="I166" s="392" t="n"/>
      <c r="J166" s="420" t="n"/>
      <c r="K166" s="420" t="n"/>
      <c r="L166" s="420" t="n"/>
      <c r="M166" s="430" t="n"/>
      <c r="N166" s="430" t="n"/>
      <c r="O166" s="430" t="n"/>
      <c r="P166" s="392" t="n"/>
      <c r="Q166" s="392" t="n"/>
    </row>
    <row r="167">
      <c r="A167" s="392" t="n"/>
      <c r="B167" s="392" t="n"/>
      <c r="C167" s="392" t="n"/>
      <c r="D167" s="392" t="n"/>
      <c r="E167" s="396" t="n"/>
      <c r="F167" s="396" t="n"/>
      <c r="G167" s="396" t="n"/>
      <c r="H167" s="396" t="n"/>
      <c r="I167" s="392" t="n"/>
      <c r="J167" s="420" t="n"/>
      <c r="K167" s="420" t="n"/>
      <c r="L167" s="420" t="n"/>
      <c r="M167" s="430" t="n"/>
      <c r="N167" s="430" t="n"/>
      <c r="O167" s="430" t="n"/>
      <c r="P167" s="392" t="n"/>
      <c r="Q167" s="392" t="n"/>
    </row>
    <row r="168">
      <c r="A168" s="392" t="n"/>
      <c r="B168" s="392" t="n"/>
      <c r="C168" s="392" t="n"/>
      <c r="D168" s="392" t="n"/>
      <c r="E168" s="396" t="n"/>
      <c r="F168" s="396" t="n"/>
      <c r="G168" s="396" t="n"/>
      <c r="H168" s="396" t="n"/>
      <c r="I168" s="392" t="n"/>
      <c r="J168" s="420" t="n"/>
      <c r="K168" s="420" t="n"/>
      <c r="L168" s="420" t="n"/>
      <c r="M168" s="430" t="n"/>
      <c r="N168" s="430" t="n"/>
      <c r="O168" s="430" t="n"/>
      <c r="P168" s="392" t="n"/>
      <c r="Q168" s="392" t="n"/>
    </row>
    <row r="169">
      <c r="A169" s="392" t="n"/>
      <c r="B169" s="392" t="n"/>
      <c r="C169" s="392" t="n"/>
      <c r="D169" s="392" t="n"/>
      <c r="E169" s="396" t="n"/>
      <c r="F169" s="396" t="n"/>
      <c r="G169" s="396" t="n"/>
      <c r="H169" s="396" t="n"/>
      <c r="I169" s="392" t="n"/>
      <c r="J169" s="420" t="n"/>
      <c r="K169" s="420" t="n"/>
      <c r="L169" s="420" t="n"/>
      <c r="M169" s="430" t="n"/>
      <c r="N169" s="430" t="n"/>
      <c r="O169" s="430" t="n"/>
      <c r="P169" s="392" t="n"/>
      <c r="Q169" s="392" t="n"/>
    </row>
    <row r="170">
      <c r="A170" s="392" t="n"/>
      <c r="B170" s="392" t="n"/>
      <c r="C170" s="392" t="n"/>
      <c r="D170" s="392" t="n"/>
      <c r="E170" s="396" t="n"/>
      <c r="F170" s="396" t="n"/>
      <c r="G170" s="396" t="n"/>
      <c r="H170" s="396" t="n"/>
      <c r="I170" s="392" t="n"/>
      <c r="J170" s="420" t="n"/>
      <c r="K170" s="420" t="n"/>
      <c r="L170" s="420" t="n"/>
      <c r="M170" s="430" t="n"/>
      <c r="N170" s="430" t="n"/>
      <c r="O170" s="430" t="n"/>
      <c r="P170" s="392" t="n"/>
      <c r="Q170" s="392" t="n"/>
    </row>
    <row r="171">
      <c r="A171" s="392" t="n"/>
      <c r="B171" s="392" t="n"/>
      <c r="C171" s="392" t="n"/>
      <c r="D171" s="392" t="n"/>
      <c r="E171" s="396" t="n"/>
      <c r="F171" s="396" t="n"/>
      <c r="G171" s="396" t="n"/>
      <c r="H171" s="396" t="n"/>
      <c r="I171" s="392" t="n"/>
      <c r="J171" s="420" t="n"/>
      <c r="K171" s="420" t="n"/>
      <c r="L171" s="420" t="n"/>
      <c r="M171" s="430" t="n"/>
      <c r="N171" s="430" t="n"/>
      <c r="O171" s="430" t="n"/>
      <c r="P171" s="392" t="n"/>
      <c r="Q171" s="392" t="n"/>
    </row>
    <row r="172">
      <c r="A172" s="392" t="n"/>
      <c r="B172" s="392" t="n"/>
      <c r="C172" s="392" t="n"/>
      <c r="D172" s="392" t="n"/>
      <c r="E172" s="396" t="n"/>
      <c r="F172" s="396" t="n"/>
      <c r="G172" s="396" t="n"/>
      <c r="H172" s="396" t="n"/>
      <c r="I172" s="392" t="n"/>
      <c r="J172" s="420" t="n"/>
      <c r="K172" s="420" t="n"/>
      <c r="L172" s="420" t="n"/>
      <c r="M172" s="430" t="n"/>
      <c r="N172" s="430" t="n"/>
      <c r="O172" s="430" t="n"/>
      <c r="P172" s="392" t="n"/>
      <c r="Q172" s="392" t="n"/>
    </row>
    <row r="173">
      <c r="A173" s="392" t="n"/>
      <c r="B173" s="392" t="n"/>
      <c r="C173" s="392" t="n"/>
      <c r="D173" s="392" t="n"/>
      <c r="E173" s="396" t="n"/>
      <c r="F173" s="396" t="n"/>
      <c r="G173" s="396" t="n"/>
      <c r="H173" s="396" t="n"/>
      <c r="I173" s="392" t="n"/>
      <c r="J173" s="420" t="n"/>
      <c r="K173" s="420" t="n"/>
      <c r="L173" s="420" t="n"/>
      <c r="M173" s="430" t="n"/>
      <c r="N173" s="430" t="n"/>
      <c r="O173" s="430" t="n"/>
      <c r="P173" s="392" t="n"/>
      <c r="Q173" s="392" t="n"/>
    </row>
    <row r="174">
      <c r="A174" s="392" t="n"/>
      <c r="B174" s="392" t="n"/>
      <c r="C174" s="392" t="n"/>
      <c r="D174" s="392" t="n"/>
      <c r="E174" s="396" t="n"/>
      <c r="F174" s="396" t="n"/>
      <c r="G174" s="396" t="n"/>
      <c r="H174" s="396" t="n"/>
      <c r="I174" s="392" t="n"/>
      <c r="J174" s="420" t="n"/>
      <c r="K174" s="420" t="n"/>
      <c r="L174" s="420" t="n"/>
      <c r="M174" s="430" t="n"/>
      <c r="N174" s="430" t="n"/>
      <c r="O174" s="430" t="n"/>
      <c r="P174" s="392" t="n"/>
      <c r="Q174" s="392" t="n"/>
    </row>
    <row r="175">
      <c r="A175" s="392" t="n"/>
      <c r="B175" s="392" t="n"/>
      <c r="C175" s="392" t="n"/>
      <c r="D175" s="392" t="n"/>
      <c r="E175" s="396" t="n"/>
      <c r="F175" s="396" t="n"/>
      <c r="G175" s="396" t="n"/>
      <c r="H175" s="396" t="n"/>
      <c r="I175" s="392" t="n"/>
      <c r="J175" s="420" t="n"/>
      <c r="K175" s="420" t="n"/>
      <c r="L175" s="420" t="n"/>
      <c r="M175" s="430" t="n"/>
      <c r="N175" s="430" t="n"/>
      <c r="O175" s="430" t="n"/>
      <c r="P175" s="392" t="n"/>
      <c r="Q175" s="392" t="n"/>
    </row>
    <row r="176">
      <c r="A176" s="392" t="n"/>
      <c r="B176" s="392" t="n"/>
      <c r="C176" s="392" t="n"/>
      <c r="D176" s="392" t="n"/>
      <c r="E176" s="396" t="n"/>
      <c r="F176" s="396" t="n"/>
      <c r="G176" s="396" t="n"/>
      <c r="H176" s="396" t="n"/>
      <c r="I176" s="392" t="n"/>
      <c r="J176" s="420" t="n"/>
      <c r="K176" s="420" t="n"/>
      <c r="L176" s="420" t="n"/>
      <c r="M176" s="430" t="n"/>
      <c r="N176" s="430" t="n"/>
      <c r="O176" s="430" t="n"/>
      <c r="P176" s="392" t="n"/>
      <c r="Q176" s="392" t="n"/>
    </row>
    <row r="177">
      <c r="A177" s="392" t="n"/>
      <c r="B177" s="392" t="n"/>
      <c r="C177" s="392" t="n"/>
      <c r="D177" s="392" t="n"/>
      <c r="E177" s="396" t="n"/>
      <c r="F177" s="396" t="n"/>
      <c r="G177" s="396" t="n"/>
      <c r="H177" s="396" t="n"/>
      <c r="I177" s="392" t="n"/>
      <c r="J177" s="420" t="n"/>
      <c r="K177" s="420" t="n"/>
      <c r="L177" s="420" t="n"/>
      <c r="M177" s="430" t="n"/>
      <c r="N177" s="430" t="n"/>
      <c r="O177" s="430" t="n"/>
      <c r="P177" s="392" t="n"/>
      <c r="Q177" s="392" t="n"/>
    </row>
    <row r="178">
      <c r="A178" s="392" t="n"/>
      <c r="B178" s="392" t="n"/>
      <c r="C178" s="392" t="n"/>
      <c r="D178" s="392" t="n"/>
      <c r="E178" s="396" t="n"/>
      <c r="F178" s="396" t="n"/>
      <c r="G178" s="396" t="n"/>
      <c r="H178" s="396" t="n"/>
      <c r="I178" s="392" t="n"/>
      <c r="J178" s="420" t="n"/>
      <c r="K178" s="420" t="n"/>
      <c r="L178" s="420" t="n"/>
      <c r="M178" s="430" t="n"/>
      <c r="N178" s="430" t="n"/>
      <c r="O178" s="430" t="n"/>
      <c r="P178" s="392" t="n"/>
      <c r="Q178" s="392" t="n"/>
    </row>
    <row r="179">
      <c r="A179" s="392" t="n"/>
      <c r="B179" s="392" t="n"/>
      <c r="C179" s="392" t="n"/>
      <c r="D179" s="392" t="n"/>
      <c r="E179" s="396" t="n"/>
      <c r="F179" s="396" t="n"/>
      <c r="G179" s="396" t="n"/>
      <c r="H179" s="396" t="n"/>
      <c r="I179" s="392" t="n"/>
      <c r="J179" s="420" t="n"/>
      <c r="K179" s="420" t="n"/>
      <c r="L179" s="420" t="n"/>
      <c r="M179" s="430" t="n"/>
      <c r="N179" s="430" t="n"/>
      <c r="O179" s="430" t="n"/>
      <c r="P179" s="392" t="n"/>
      <c r="Q179" s="392" t="n"/>
    </row>
    <row r="180">
      <c r="A180" s="392" t="n"/>
      <c r="B180" s="392" t="n"/>
      <c r="C180" s="392" t="n"/>
      <c r="D180" s="392" t="n"/>
      <c r="E180" s="396" t="n"/>
      <c r="F180" s="396" t="n"/>
      <c r="G180" s="396" t="n"/>
      <c r="H180" s="396" t="n"/>
      <c r="I180" s="392" t="n"/>
      <c r="J180" s="420" t="n"/>
      <c r="K180" s="420" t="n"/>
      <c r="L180" s="420" t="n"/>
      <c r="M180" s="430" t="n"/>
      <c r="N180" s="430" t="n"/>
      <c r="O180" s="430" t="n"/>
      <c r="P180" s="392" t="n"/>
      <c r="Q180" s="392" t="n"/>
    </row>
    <row r="181">
      <c r="A181" s="392" t="n"/>
      <c r="B181" s="392" t="n"/>
      <c r="C181" s="392" t="n"/>
      <c r="D181" s="392" t="n"/>
      <c r="E181" s="396" t="n"/>
      <c r="F181" s="396" t="n"/>
      <c r="G181" s="396" t="n"/>
      <c r="H181" s="396" t="n"/>
      <c r="I181" s="392" t="n"/>
      <c r="J181" s="420" t="n"/>
      <c r="K181" s="420" t="n"/>
      <c r="L181" s="420" t="n"/>
      <c r="M181" s="430" t="n"/>
      <c r="N181" s="430" t="n"/>
      <c r="O181" s="430" t="n"/>
      <c r="P181" s="392" t="n"/>
      <c r="Q181" s="392" t="n"/>
    </row>
    <row r="182">
      <c r="A182" s="392" t="n"/>
      <c r="B182" s="392" t="n"/>
      <c r="C182" s="392" t="n"/>
      <c r="D182" s="392" t="n"/>
      <c r="E182" s="396" t="n"/>
      <c r="F182" s="396" t="n"/>
      <c r="G182" s="396" t="n"/>
      <c r="H182" s="396" t="n"/>
      <c r="I182" s="392" t="n"/>
      <c r="J182" s="420" t="n"/>
      <c r="K182" s="420" t="n"/>
      <c r="L182" s="420" t="n"/>
      <c r="M182" s="430" t="n"/>
      <c r="N182" s="430" t="n"/>
      <c r="O182" s="430" t="n"/>
      <c r="P182" s="392" t="n"/>
      <c r="Q182" s="392" t="n"/>
    </row>
    <row r="183">
      <c r="A183" s="392" t="n"/>
      <c r="B183" s="392" t="n"/>
      <c r="C183" s="392" t="n"/>
      <c r="D183" s="392" t="n"/>
      <c r="E183" s="396" t="n"/>
      <c r="F183" s="396" t="n"/>
      <c r="G183" s="396" t="n"/>
      <c r="H183" s="396" t="n"/>
      <c r="I183" s="392" t="n"/>
      <c r="J183" s="420" t="n"/>
      <c r="K183" s="420" t="n"/>
      <c r="L183" s="420" t="n"/>
      <c r="M183" s="430" t="n"/>
      <c r="N183" s="430" t="n"/>
      <c r="O183" s="430" t="n"/>
      <c r="P183" s="392" t="n"/>
      <c r="Q183" s="392" t="n"/>
    </row>
    <row r="184">
      <c r="A184" s="392" t="n"/>
      <c r="B184" s="392" t="n"/>
      <c r="C184" s="392" t="n"/>
      <c r="D184" s="392" t="n"/>
      <c r="E184" s="396" t="n"/>
      <c r="F184" s="396" t="n"/>
      <c r="G184" s="396" t="n"/>
      <c r="H184" s="396" t="n"/>
      <c r="I184" s="392" t="n"/>
      <c r="J184" s="420" t="n"/>
      <c r="K184" s="420" t="n"/>
      <c r="L184" s="420" t="n"/>
      <c r="M184" s="430" t="n"/>
      <c r="N184" s="430" t="n"/>
      <c r="O184" s="430" t="n"/>
      <c r="P184" s="392" t="n"/>
      <c r="Q184" s="392" t="n"/>
    </row>
    <row r="185">
      <c r="A185" s="392" t="n"/>
      <c r="B185" s="392" t="n"/>
      <c r="C185" s="392" t="n"/>
      <c r="D185" s="392" t="n"/>
      <c r="E185" s="396" t="n"/>
      <c r="F185" s="396" t="n"/>
      <c r="G185" s="396" t="n"/>
      <c r="H185" s="396" t="n"/>
      <c r="I185" s="392" t="n"/>
      <c r="J185" s="420" t="n"/>
      <c r="K185" s="420" t="n"/>
      <c r="L185" s="420" t="n"/>
      <c r="M185" s="430" t="n"/>
      <c r="N185" s="430" t="n"/>
      <c r="O185" s="430" t="n"/>
      <c r="P185" s="392" t="n"/>
      <c r="Q185" s="392" t="n"/>
    </row>
    <row r="186">
      <c r="A186" s="392" t="n"/>
      <c r="B186" s="392" t="n"/>
      <c r="C186" s="392" t="n"/>
      <c r="D186" s="392" t="n"/>
      <c r="E186" s="396" t="n"/>
      <c r="F186" s="396" t="n"/>
      <c r="G186" s="396" t="n"/>
      <c r="H186" s="396" t="n"/>
      <c r="I186" s="392" t="n"/>
      <c r="J186" s="420" t="n"/>
      <c r="K186" s="420" t="n"/>
      <c r="L186" s="420" t="n"/>
      <c r="M186" s="430" t="n"/>
      <c r="N186" s="430" t="n"/>
      <c r="O186" s="430" t="n"/>
      <c r="P186" s="392" t="n"/>
      <c r="Q186" s="392" t="n"/>
    </row>
    <row r="187">
      <c r="A187" s="392" t="n"/>
      <c r="B187" s="392" t="n"/>
      <c r="C187" s="392" t="n"/>
      <c r="D187" s="392" t="n"/>
      <c r="E187" s="396" t="n"/>
      <c r="F187" s="396" t="n"/>
      <c r="G187" s="396" t="n"/>
      <c r="H187" s="396" t="n"/>
      <c r="I187" s="392" t="n"/>
      <c r="J187" s="420" t="n"/>
      <c r="K187" s="420" t="n"/>
      <c r="L187" s="420" t="n"/>
      <c r="M187" s="430" t="n"/>
      <c r="N187" s="430" t="n"/>
      <c r="O187" s="430" t="n"/>
      <c r="P187" s="392" t="n"/>
      <c r="Q187" s="392" t="n"/>
    </row>
    <row r="188">
      <c r="A188" s="392" t="n"/>
      <c r="B188" s="392" t="n"/>
      <c r="C188" s="392" t="n"/>
      <c r="D188" s="392" t="n"/>
      <c r="E188" s="396" t="n"/>
      <c r="F188" s="396" t="n"/>
      <c r="G188" s="396" t="n"/>
      <c r="H188" s="396" t="n"/>
      <c r="I188" s="392" t="n"/>
      <c r="J188" s="420" t="n"/>
      <c r="K188" s="420" t="n"/>
      <c r="L188" s="420" t="n"/>
      <c r="M188" s="430" t="n"/>
      <c r="N188" s="430" t="n"/>
      <c r="O188" s="430" t="n"/>
      <c r="P188" s="392" t="n"/>
      <c r="Q188" s="392" t="n"/>
    </row>
    <row r="189">
      <c r="A189" s="392" t="n"/>
      <c r="B189" s="392" t="n"/>
      <c r="C189" s="392" t="n"/>
      <c r="D189" s="392" t="n"/>
      <c r="E189" s="396" t="n"/>
      <c r="F189" s="396" t="n"/>
      <c r="G189" s="396" t="n"/>
      <c r="H189" s="396" t="n"/>
      <c r="I189" s="392" t="n"/>
      <c r="J189" s="420" t="n"/>
      <c r="K189" s="420" t="n"/>
      <c r="L189" s="420" t="n"/>
      <c r="M189" s="430" t="n"/>
      <c r="N189" s="430" t="n"/>
      <c r="O189" s="430" t="n"/>
      <c r="P189" s="392" t="n"/>
      <c r="Q189" s="392" t="n"/>
    </row>
    <row r="190">
      <c r="A190" s="392" t="n"/>
      <c r="B190" s="392" t="n"/>
      <c r="C190" s="392" t="n"/>
      <c r="D190" s="392" t="n"/>
      <c r="E190" s="396" t="n"/>
      <c r="F190" s="396" t="n"/>
      <c r="G190" s="396" t="n"/>
      <c r="H190" s="396" t="n"/>
      <c r="I190" s="392" t="n"/>
      <c r="J190" s="420" t="n"/>
      <c r="K190" s="420" t="n"/>
      <c r="L190" s="420" t="n"/>
      <c r="M190" s="430" t="n"/>
      <c r="N190" s="430" t="n"/>
      <c r="O190" s="430" t="n"/>
      <c r="P190" s="392" t="n"/>
      <c r="Q190" s="392" t="n"/>
    </row>
    <row r="191">
      <c r="A191" s="392" t="n"/>
      <c r="B191" s="392" t="n"/>
      <c r="C191" s="392" t="n"/>
      <c r="D191" s="392" t="n"/>
      <c r="E191" s="396" t="n"/>
      <c r="F191" s="396" t="n"/>
      <c r="G191" s="396" t="n"/>
      <c r="H191" s="396" t="n"/>
      <c r="I191" s="392" t="n"/>
      <c r="J191" s="420" t="n"/>
      <c r="K191" s="420" t="n"/>
      <c r="L191" s="420" t="n"/>
      <c r="M191" s="430" t="n"/>
      <c r="N191" s="430" t="n"/>
      <c r="O191" s="430" t="n"/>
      <c r="P191" s="392" t="n"/>
      <c r="Q191" s="392" t="n"/>
    </row>
    <row r="192">
      <c r="A192" s="392" t="n"/>
      <c r="B192" s="392" t="n"/>
      <c r="C192" s="392" t="n"/>
      <c r="D192" s="392" t="n"/>
      <c r="E192" s="396" t="n"/>
      <c r="F192" s="396" t="n"/>
      <c r="G192" s="396" t="n"/>
      <c r="H192" s="396" t="n"/>
      <c r="I192" s="392" t="n"/>
      <c r="J192" s="420" t="n"/>
      <c r="K192" s="420" t="n"/>
      <c r="L192" s="420" t="n"/>
      <c r="M192" s="430" t="n"/>
      <c r="N192" s="430" t="n"/>
      <c r="O192" s="430" t="n"/>
      <c r="P192" s="392" t="n"/>
      <c r="Q192" s="392" t="n"/>
    </row>
    <row r="193">
      <c r="A193" s="392" t="n"/>
      <c r="B193" s="392" t="n"/>
      <c r="C193" s="392" t="n"/>
      <c r="D193" s="392" t="n"/>
      <c r="E193" s="396" t="n"/>
      <c r="F193" s="396" t="n"/>
      <c r="G193" s="396" t="n"/>
      <c r="H193" s="396" t="n"/>
      <c r="I193" s="392" t="n"/>
      <c r="J193" s="420" t="n"/>
      <c r="K193" s="420" t="n"/>
      <c r="L193" s="420" t="n"/>
      <c r="M193" s="430" t="n"/>
      <c r="N193" s="430" t="n"/>
      <c r="O193" s="430" t="n"/>
      <c r="P193" s="392" t="n"/>
      <c r="Q193" s="392" t="n"/>
    </row>
    <row r="194">
      <c r="A194" s="392" t="n"/>
      <c r="B194" s="392" t="n"/>
      <c r="C194" s="392" t="n"/>
      <c r="D194" s="392" t="n"/>
      <c r="E194" s="396" t="n"/>
      <c r="F194" s="396" t="n"/>
      <c r="G194" s="396" t="n"/>
      <c r="H194" s="396" t="n"/>
      <c r="I194" s="392" t="n"/>
      <c r="J194" s="420" t="n"/>
      <c r="K194" s="420" t="n"/>
      <c r="L194" s="420" t="n"/>
      <c r="M194" s="430" t="n"/>
      <c r="N194" s="430" t="n"/>
      <c r="O194" s="430" t="n"/>
      <c r="P194" s="392" t="n"/>
      <c r="Q194" s="392" t="n"/>
    </row>
    <row r="195">
      <c r="A195" s="392" t="n"/>
      <c r="B195" s="392" t="n"/>
      <c r="C195" s="392" t="n"/>
      <c r="D195" s="392" t="n"/>
      <c r="E195" s="396" t="n"/>
      <c r="F195" s="396" t="n"/>
      <c r="G195" s="396" t="n"/>
      <c r="H195" s="396" t="n"/>
      <c r="I195" s="392" t="n"/>
      <c r="J195" s="420" t="n"/>
      <c r="K195" s="420" t="n"/>
      <c r="L195" s="420" t="n"/>
      <c r="M195" s="430" t="n"/>
      <c r="N195" s="430" t="n"/>
      <c r="O195" s="430" t="n"/>
      <c r="P195" s="392" t="n"/>
      <c r="Q195" s="392" t="n"/>
    </row>
    <row r="196">
      <c r="A196" s="392" t="n"/>
      <c r="B196" s="392" t="n"/>
      <c r="C196" s="392" t="n"/>
      <c r="D196" s="392" t="n"/>
      <c r="E196" s="396" t="n"/>
      <c r="F196" s="396" t="n"/>
      <c r="G196" s="396" t="n"/>
      <c r="H196" s="396" t="n"/>
      <c r="I196" s="392" t="n"/>
      <c r="J196" s="420" t="n"/>
      <c r="K196" s="420" t="n"/>
      <c r="L196" s="420" t="n"/>
      <c r="M196" s="430" t="n"/>
      <c r="N196" s="430" t="n"/>
      <c r="O196" s="430" t="n"/>
      <c r="P196" s="392" t="n"/>
      <c r="Q196" s="392" t="n"/>
    </row>
    <row r="197">
      <c r="A197" s="392" t="n"/>
      <c r="B197" s="392" t="n"/>
      <c r="C197" s="392" t="n"/>
      <c r="D197" s="392" t="n"/>
      <c r="E197" s="396" t="n"/>
      <c r="F197" s="396" t="n"/>
      <c r="G197" s="396" t="n"/>
      <c r="H197" s="396" t="n"/>
      <c r="I197" s="392" t="n"/>
      <c r="J197" s="420" t="n"/>
      <c r="K197" s="420" t="n"/>
      <c r="L197" s="420" t="n"/>
      <c r="M197" s="430" t="n"/>
      <c r="N197" s="430" t="n"/>
      <c r="O197" s="430" t="n"/>
      <c r="P197" s="392" t="n"/>
      <c r="Q197" s="392" t="n"/>
    </row>
    <row r="198">
      <c r="A198" s="392" t="n"/>
      <c r="B198" s="392" t="n"/>
      <c r="C198" s="392" t="n"/>
      <c r="D198" s="392" t="n"/>
      <c r="E198" s="396" t="n"/>
      <c r="F198" s="396" t="n"/>
      <c r="G198" s="396" t="n"/>
      <c r="H198" s="396" t="n"/>
      <c r="I198" s="392" t="n"/>
      <c r="J198" s="420" t="n"/>
      <c r="K198" s="420" t="n"/>
      <c r="L198" s="420" t="n"/>
      <c r="M198" s="430" t="n"/>
      <c r="N198" s="430" t="n"/>
      <c r="O198" s="430" t="n"/>
      <c r="P198" s="392" t="n"/>
      <c r="Q198" s="392" t="n"/>
    </row>
    <row r="199">
      <c r="A199" s="392" t="n"/>
      <c r="B199" s="392" t="n"/>
      <c r="C199" s="392" t="n"/>
      <c r="D199" s="392" t="n"/>
      <c r="E199" s="396" t="n"/>
      <c r="F199" s="396" t="n"/>
      <c r="G199" s="396" t="n"/>
      <c r="H199" s="396" t="n"/>
      <c r="I199" s="392" t="n"/>
      <c r="J199" s="420" t="n"/>
      <c r="K199" s="420" t="n"/>
      <c r="L199" s="420" t="n"/>
      <c r="M199" s="430" t="n"/>
      <c r="N199" s="430" t="n"/>
      <c r="O199" s="430" t="n"/>
      <c r="P199" s="392" t="n"/>
      <c r="Q199" s="392" t="n"/>
    </row>
    <row r="200">
      <c r="A200" s="392" t="n"/>
      <c r="B200" s="392" t="n"/>
      <c r="C200" s="392" t="n"/>
      <c r="D200" s="392" t="n"/>
      <c r="E200" s="396" t="n"/>
      <c r="F200" s="396" t="n"/>
      <c r="G200" s="396" t="n"/>
      <c r="H200" s="396" t="n"/>
      <c r="I200" s="392" t="n"/>
      <c r="J200" s="420" t="n"/>
      <c r="K200" s="420" t="n"/>
      <c r="L200" s="420" t="n"/>
      <c r="M200" s="430" t="n"/>
      <c r="N200" s="430" t="n"/>
      <c r="O200" s="430" t="n"/>
      <c r="P200" s="392" t="n"/>
      <c r="Q200" s="392" t="n"/>
    </row>
    <row r="201">
      <c r="A201" s="392" t="n"/>
      <c r="B201" s="392" t="n"/>
      <c r="C201" s="392" t="n"/>
      <c r="D201" s="392" t="n"/>
      <c r="E201" s="396" t="n"/>
      <c r="F201" s="396" t="n"/>
      <c r="G201" s="396" t="n"/>
      <c r="H201" s="396" t="n"/>
      <c r="I201" s="392" t="n"/>
      <c r="J201" s="420" t="n"/>
      <c r="K201" s="420" t="n"/>
      <c r="L201" s="420" t="n"/>
      <c r="M201" s="430" t="n"/>
      <c r="N201" s="430" t="n"/>
      <c r="O201" s="430" t="n"/>
      <c r="P201" s="392" t="n"/>
      <c r="Q201" s="392" t="n"/>
    </row>
    <row r="202">
      <c r="A202" s="392" t="n"/>
      <c r="B202" s="392" t="n"/>
      <c r="C202" s="392" t="n"/>
      <c r="D202" s="392" t="n"/>
      <c r="E202" s="396" t="n"/>
      <c r="F202" s="396" t="n"/>
      <c r="G202" s="396" t="n"/>
      <c r="H202" s="396" t="n"/>
      <c r="I202" s="392" t="n"/>
      <c r="J202" s="420" t="n"/>
      <c r="K202" s="420" t="n"/>
      <c r="L202" s="420" t="n"/>
      <c r="M202" s="430" t="n"/>
      <c r="N202" s="430" t="n"/>
      <c r="O202" s="430" t="n"/>
      <c r="P202" s="392" t="n"/>
      <c r="Q202" s="392" t="n"/>
    </row>
    <row r="203">
      <c r="A203" s="392" t="n"/>
      <c r="B203" s="392" t="n"/>
      <c r="C203" s="392" t="n"/>
      <c r="D203" s="392" t="n"/>
      <c r="E203" s="396" t="n"/>
      <c r="F203" s="396" t="n"/>
      <c r="G203" s="396" t="n"/>
      <c r="H203" s="396" t="n"/>
      <c r="I203" s="392" t="n"/>
      <c r="J203" s="420" t="n"/>
      <c r="K203" s="420" t="n"/>
      <c r="L203" s="420" t="n"/>
      <c r="M203" s="430" t="n"/>
      <c r="N203" s="430" t="n"/>
      <c r="O203" s="430" t="n"/>
      <c r="P203" s="392" t="n"/>
      <c r="Q203" s="392" t="n"/>
    </row>
    <row r="204">
      <c r="A204" s="392" t="n"/>
      <c r="B204" s="392" t="n"/>
      <c r="C204" s="392" t="n"/>
      <c r="D204" s="392" t="n"/>
      <c r="E204" s="396" t="n"/>
      <c r="F204" s="396" t="n"/>
      <c r="G204" s="396" t="n"/>
      <c r="H204" s="396" t="n"/>
      <c r="I204" s="392" t="n"/>
      <c r="J204" s="420" t="n"/>
      <c r="K204" s="420" t="n"/>
      <c r="L204" s="420" t="n"/>
      <c r="M204" s="430" t="n"/>
      <c r="N204" s="430" t="n"/>
      <c r="O204" s="430" t="n"/>
      <c r="P204" s="392" t="n"/>
      <c r="Q204" s="392" t="n"/>
    </row>
    <row r="205">
      <c r="A205" s="392" t="n"/>
      <c r="B205" s="392" t="n"/>
      <c r="C205" s="392" t="n"/>
      <c r="D205" s="392" t="n"/>
      <c r="E205" s="396" t="n"/>
      <c r="F205" s="396" t="n"/>
      <c r="G205" s="396" t="n"/>
      <c r="H205" s="396" t="n"/>
      <c r="I205" s="392" t="n"/>
      <c r="J205" s="420" t="n"/>
      <c r="K205" s="420" t="n"/>
      <c r="L205" s="420" t="n"/>
      <c r="M205" s="430" t="n"/>
      <c r="N205" s="430" t="n"/>
      <c r="O205" s="430" t="n"/>
      <c r="P205" s="392" t="n"/>
      <c r="Q205" s="392" t="n"/>
    </row>
    <row r="206">
      <c r="A206" s="392" t="n"/>
      <c r="B206" s="392" t="n"/>
      <c r="C206" s="392" t="n"/>
      <c r="D206" s="392" t="n"/>
      <c r="E206" s="396" t="n"/>
      <c r="F206" s="396" t="n"/>
      <c r="G206" s="396" t="n"/>
      <c r="H206" s="396" t="n"/>
      <c r="I206" s="392" t="n"/>
      <c r="J206" s="420" t="n"/>
      <c r="K206" s="420" t="n"/>
      <c r="L206" s="420" t="n"/>
      <c r="M206" s="430" t="n"/>
      <c r="N206" s="430" t="n"/>
      <c r="O206" s="430" t="n"/>
      <c r="P206" s="392" t="n"/>
      <c r="Q206" s="392" t="n"/>
    </row>
    <row r="207">
      <c r="A207" s="392" t="n"/>
      <c r="B207" s="392" t="n"/>
      <c r="C207" s="392" t="n"/>
      <c r="D207" s="392" t="n"/>
      <c r="E207" s="396" t="n"/>
      <c r="F207" s="396" t="n"/>
      <c r="G207" s="396" t="n"/>
      <c r="H207" s="396" t="n"/>
      <c r="I207" s="392" t="n"/>
      <c r="J207" s="420" t="n"/>
      <c r="K207" s="420" t="n"/>
      <c r="L207" s="420" t="n"/>
      <c r="M207" s="430" t="n"/>
      <c r="N207" s="430" t="n"/>
      <c r="O207" s="430" t="n"/>
      <c r="P207" s="392" t="n"/>
      <c r="Q207" s="392" t="n"/>
    </row>
    <row r="208">
      <c r="A208" s="392" t="n"/>
      <c r="B208" s="392" t="n"/>
      <c r="C208" s="392" t="n"/>
      <c r="D208" s="392" t="n"/>
      <c r="E208" s="396" t="n"/>
      <c r="F208" s="396" t="n"/>
      <c r="G208" s="396" t="n"/>
      <c r="H208" s="396" t="n"/>
      <c r="I208" s="392" t="n"/>
      <c r="J208" s="420" t="n"/>
      <c r="K208" s="420" t="n"/>
      <c r="L208" s="420" t="n"/>
      <c r="M208" s="430" t="n"/>
      <c r="N208" s="430" t="n"/>
      <c r="O208" s="430" t="n"/>
      <c r="P208" s="392" t="n"/>
      <c r="Q208" s="392" t="n"/>
    </row>
    <row r="209">
      <c r="A209" s="392" t="n"/>
      <c r="B209" s="392" t="n"/>
      <c r="C209" s="392" t="n"/>
      <c r="D209" s="392" t="n"/>
      <c r="E209" s="396" t="n"/>
      <c r="F209" s="396" t="n"/>
      <c r="G209" s="396" t="n"/>
      <c r="H209" s="396" t="n"/>
      <c r="I209" s="392" t="n"/>
      <c r="J209" s="420" t="n"/>
      <c r="K209" s="420" t="n"/>
      <c r="L209" s="420" t="n"/>
      <c r="M209" s="430" t="n"/>
      <c r="N209" s="430" t="n"/>
      <c r="O209" s="430" t="n"/>
      <c r="P209" s="392" t="n"/>
      <c r="Q209" s="392" t="n"/>
    </row>
    <row r="210">
      <c r="A210" s="392" t="n"/>
      <c r="B210" s="392" t="n"/>
      <c r="C210" s="392" t="n"/>
      <c r="D210" s="392" t="n"/>
      <c r="E210" s="396" t="n"/>
      <c r="F210" s="396" t="n"/>
      <c r="G210" s="396" t="n"/>
      <c r="H210" s="396" t="n"/>
      <c r="I210" s="392" t="n"/>
      <c r="J210" s="420" t="n"/>
      <c r="K210" s="420" t="n"/>
      <c r="L210" s="420" t="n"/>
      <c r="M210" s="430" t="n"/>
      <c r="N210" s="430" t="n"/>
      <c r="O210" s="430" t="n"/>
      <c r="P210" s="392" t="n"/>
      <c r="Q210" s="392" t="n"/>
    </row>
    <row r="211">
      <c r="A211" s="392" t="n"/>
      <c r="B211" s="392" t="n"/>
      <c r="C211" s="392" t="n"/>
      <c r="D211" s="392" t="n"/>
      <c r="E211" s="396" t="n"/>
      <c r="F211" s="396" t="n"/>
      <c r="G211" s="396" t="n"/>
      <c r="H211" s="396" t="n"/>
      <c r="I211" s="392" t="n"/>
      <c r="J211" s="420" t="n"/>
      <c r="K211" s="420" t="n"/>
      <c r="L211" s="420" t="n"/>
      <c r="M211" s="430" t="n"/>
      <c r="N211" s="430" t="n"/>
      <c r="O211" s="430" t="n"/>
      <c r="P211" s="392" t="n"/>
      <c r="Q211" s="392" t="n"/>
    </row>
    <row r="212">
      <c r="A212" s="392" t="n"/>
      <c r="B212" s="392" t="n"/>
      <c r="C212" s="392" t="n"/>
      <c r="D212" s="392" t="n"/>
      <c r="E212" s="396" t="n"/>
      <c r="F212" s="396" t="n"/>
      <c r="G212" s="396" t="n"/>
      <c r="H212" s="396" t="n"/>
      <c r="I212" s="392" t="n"/>
      <c r="J212" s="420" t="n"/>
      <c r="K212" s="420" t="n"/>
      <c r="L212" s="420" t="n"/>
      <c r="M212" s="430" t="n"/>
      <c r="N212" s="430" t="n"/>
      <c r="O212" s="430" t="n"/>
      <c r="P212" s="392" t="n"/>
      <c r="Q212" s="392" t="n"/>
    </row>
    <row r="213">
      <c r="A213" s="392" t="n"/>
      <c r="B213" s="392" t="n"/>
      <c r="C213" s="392" t="n"/>
      <c r="D213" s="392" t="n"/>
      <c r="E213" s="396" t="n"/>
      <c r="F213" s="396" t="n"/>
      <c r="G213" s="396" t="n"/>
      <c r="H213" s="396" t="n"/>
      <c r="I213" s="392" t="n"/>
      <c r="J213" s="420" t="n"/>
      <c r="K213" s="420" t="n"/>
      <c r="L213" s="420" t="n"/>
      <c r="M213" s="430" t="n"/>
      <c r="N213" s="430" t="n"/>
      <c r="O213" s="430" t="n"/>
      <c r="P213" s="392" t="n"/>
      <c r="Q213" s="392" t="n"/>
    </row>
    <row r="214">
      <c r="A214" s="392" t="n"/>
      <c r="B214" s="392" t="n"/>
      <c r="C214" s="392" t="n"/>
      <c r="D214" s="392" t="n"/>
      <c r="E214" s="396" t="n"/>
      <c r="F214" s="396" t="n"/>
      <c r="G214" s="396" t="n"/>
      <c r="H214" s="396" t="n"/>
      <c r="I214" s="392" t="n"/>
      <c r="J214" s="420" t="n"/>
      <c r="K214" s="420" t="n"/>
      <c r="L214" s="420" t="n"/>
      <c r="M214" s="430" t="n"/>
      <c r="N214" s="430" t="n"/>
      <c r="O214" s="430" t="n"/>
      <c r="P214" s="392" t="n"/>
      <c r="Q214" s="392" t="n"/>
    </row>
    <row r="215">
      <c r="A215" s="392" t="n"/>
      <c r="B215" s="392" t="n"/>
      <c r="C215" s="392" t="n"/>
      <c r="D215" s="392" t="n"/>
      <c r="E215" s="396" t="n"/>
      <c r="F215" s="396" t="n"/>
      <c r="G215" s="396" t="n"/>
      <c r="H215" s="396" t="n"/>
      <c r="I215" s="392" t="n"/>
      <c r="J215" s="420" t="n"/>
      <c r="K215" s="420" t="n"/>
      <c r="L215" s="420" t="n"/>
      <c r="M215" s="430" t="n"/>
      <c r="N215" s="430" t="n"/>
      <c r="O215" s="430" t="n"/>
      <c r="P215" s="392" t="n"/>
      <c r="Q215" s="392" t="n"/>
    </row>
    <row r="216">
      <c r="A216" s="392" t="n"/>
      <c r="B216" s="392" t="n"/>
      <c r="C216" s="392" t="n"/>
      <c r="D216" s="392" t="n"/>
      <c r="E216" s="396" t="n"/>
      <c r="F216" s="396" t="n"/>
      <c r="G216" s="396" t="n"/>
      <c r="H216" s="396" t="n"/>
      <c r="I216" s="392" t="n"/>
      <c r="J216" s="420" t="n"/>
      <c r="K216" s="420" t="n"/>
      <c r="L216" s="420" t="n"/>
      <c r="M216" s="430" t="n"/>
      <c r="N216" s="430" t="n"/>
      <c r="O216" s="430" t="n"/>
      <c r="P216" s="392" t="n"/>
      <c r="Q216" s="392" t="n"/>
    </row>
    <row r="217">
      <c r="A217" s="392" t="n"/>
      <c r="B217" s="392" t="n"/>
      <c r="C217" s="392" t="n"/>
      <c r="D217" s="392" t="n"/>
      <c r="E217" s="396" t="n"/>
      <c r="F217" s="396" t="n"/>
      <c r="G217" s="396" t="n"/>
      <c r="H217" s="396" t="n"/>
      <c r="I217" s="392" t="n"/>
      <c r="J217" s="420" t="n"/>
      <c r="K217" s="420" t="n"/>
      <c r="L217" s="420" t="n"/>
      <c r="M217" s="430" t="n"/>
      <c r="N217" s="430" t="n"/>
      <c r="O217" s="430" t="n"/>
      <c r="P217" s="392" t="n"/>
      <c r="Q217" s="392" t="n"/>
    </row>
    <row r="218">
      <c r="A218" s="392" t="n"/>
      <c r="B218" s="392" t="n"/>
      <c r="C218" s="392" t="n"/>
      <c r="D218" s="392" t="n"/>
      <c r="E218" s="396" t="n"/>
      <c r="F218" s="396" t="n"/>
      <c r="G218" s="396" t="n"/>
      <c r="H218" s="396" t="n"/>
      <c r="I218" s="392" t="n"/>
      <c r="J218" s="420" t="n"/>
      <c r="K218" s="420" t="n"/>
      <c r="L218" s="420" t="n"/>
      <c r="M218" s="430" t="n"/>
      <c r="N218" s="430" t="n"/>
      <c r="O218" s="430" t="n"/>
      <c r="P218" s="392" t="n"/>
      <c r="Q218" s="392" t="n"/>
    </row>
    <row r="219">
      <c r="A219" s="392" t="n"/>
      <c r="B219" s="392" t="n"/>
      <c r="C219" s="392" t="n"/>
      <c r="D219" s="392" t="n"/>
      <c r="E219" s="396" t="n"/>
      <c r="F219" s="396" t="n"/>
      <c r="G219" s="396" t="n"/>
      <c r="H219" s="396" t="n"/>
      <c r="I219" s="392" t="n"/>
      <c r="J219" s="420" t="n"/>
      <c r="K219" s="420" t="n"/>
      <c r="L219" s="420" t="n"/>
      <c r="M219" s="430" t="n"/>
      <c r="N219" s="430" t="n"/>
      <c r="O219" s="430" t="n"/>
      <c r="P219" s="392" t="n"/>
      <c r="Q219" s="392" t="n"/>
    </row>
    <row r="220">
      <c r="A220" s="392" t="n"/>
      <c r="B220" s="392" t="n"/>
      <c r="C220" s="392" t="n"/>
      <c r="D220" s="392" t="n"/>
      <c r="E220" s="396" t="n"/>
      <c r="F220" s="396" t="n"/>
      <c r="G220" s="396" t="n"/>
      <c r="H220" s="396" t="n"/>
      <c r="I220" s="392" t="n"/>
      <c r="J220" s="420" t="n"/>
      <c r="K220" s="420" t="n"/>
      <c r="L220" s="420" t="n"/>
      <c r="M220" s="430" t="n"/>
      <c r="N220" s="430" t="n"/>
      <c r="O220" s="430" t="n"/>
      <c r="P220" s="392" t="n"/>
      <c r="Q220" s="392" t="n"/>
    </row>
    <row r="221">
      <c r="A221" s="392" t="n"/>
      <c r="B221" s="392" t="n"/>
      <c r="C221" s="392" t="n"/>
      <c r="D221" s="392" t="n"/>
      <c r="E221" s="396" t="n"/>
      <c r="F221" s="396" t="n"/>
      <c r="G221" s="396" t="n"/>
      <c r="H221" s="396" t="n"/>
      <c r="I221" s="392" t="n"/>
      <c r="J221" s="420" t="n"/>
      <c r="K221" s="420" t="n"/>
      <c r="L221" s="420" t="n"/>
      <c r="M221" s="430" t="n"/>
      <c r="N221" s="430" t="n"/>
      <c r="O221" s="430" t="n"/>
      <c r="P221" s="392" t="n"/>
      <c r="Q221" s="392" t="n"/>
    </row>
    <row r="222">
      <c r="A222" s="392" t="n"/>
      <c r="B222" s="392" t="n"/>
      <c r="C222" s="392" t="n"/>
      <c r="D222" s="392" t="n"/>
      <c r="E222" s="396" t="n"/>
      <c r="F222" s="396" t="n"/>
      <c r="G222" s="396" t="n"/>
      <c r="H222" s="396" t="n"/>
      <c r="I222" s="392" t="n"/>
      <c r="J222" s="420" t="n"/>
      <c r="K222" s="420" t="n"/>
      <c r="L222" s="420" t="n"/>
      <c r="M222" s="430" t="n"/>
      <c r="N222" s="430" t="n"/>
      <c r="O222" s="430" t="n"/>
      <c r="P222" s="392" t="n"/>
      <c r="Q222" s="392" t="n"/>
    </row>
    <row r="223">
      <c r="A223" s="392" t="n"/>
      <c r="B223" s="392" t="n"/>
      <c r="C223" s="392" t="n"/>
      <c r="D223" s="392" t="n"/>
      <c r="E223" s="396" t="n"/>
      <c r="F223" s="396" t="n"/>
      <c r="G223" s="396" t="n"/>
      <c r="H223" s="396" t="n"/>
      <c r="I223" s="392" t="n"/>
      <c r="J223" s="420" t="n"/>
      <c r="K223" s="420" t="n"/>
      <c r="L223" s="420" t="n"/>
      <c r="M223" s="430" t="n"/>
      <c r="N223" s="430" t="n"/>
      <c r="O223" s="430" t="n"/>
      <c r="P223" s="392" t="n"/>
      <c r="Q223" s="392" t="n"/>
    </row>
    <row r="224">
      <c r="A224" s="392" t="n"/>
      <c r="B224" s="392" t="n"/>
      <c r="C224" s="392" t="n"/>
      <c r="D224" s="392" t="n"/>
      <c r="E224" s="396" t="n"/>
      <c r="F224" s="396" t="n"/>
      <c r="G224" s="396" t="n"/>
      <c r="H224" s="396" t="n"/>
      <c r="I224" s="392" t="n"/>
      <c r="J224" s="420" t="n"/>
      <c r="K224" s="420" t="n"/>
      <c r="L224" s="420" t="n"/>
      <c r="M224" s="430" t="n"/>
      <c r="N224" s="430" t="n"/>
      <c r="O224" s="430" t="n"/>
      <c r="P224" s="392" t="n"/>
      <c r="Q224" s="392" t="n"/>
    </row>
    <row r="225">
      <c r="A225" s="392" t="n"/>
      <c r="B225" s="392" t="n"/>
      <c r="C225" s="392" t="n"/>
      <c r="D225" s="392" t="n"/>
      <c r="E225" s="396" t="n"/>
      <c r="F225" s="396" t="n"/>
      <c r="G225" s="396" t="n"/>
      <c r="H225" s="396" t="n"/>
      <c r="I225" s="392" t="n"/>
      <c r="J225" s="420" t="n"/>
      <c r="K225" s="420" t="n"/>
      <c r="L225" s="420" t="n"/>
      <c r="M225" s="430" t="n"/>
      <c r="N225" s="430" t="n"/>
      <c r="O225" s="430" t="n"/>
      <c r="P225" s="392" t="n"/>
      <c r="Q225" s="392" t="n"/>
    </row>
    <row r="226">
      <c r="A226" s="392" t="n"/>
      <c r="B226" s="392" t="n"/>
      <c r="C226" s="392" t="n"/>
      <c r="D226" s="392" t="n"/>
      <c r="E226" s="396" t="n"/>
      <c r="F226" s="396" t="n"/>
      <c r="G226" s="396" t="n"/>
      <c r="H226" s="396" t="n"/>
      <c r="I226" s="392" t="n"/>
      <c r="J226" s="420" t="n"/>
      <c r="K226" s="420" t="n"/>
      <c r="L226" s="420" t="n"/>
      <c r="M226" s="430" t="n"/>
      <c r="N226" s="430" t="n"/>
      <c r="O226" s="430" t="n"/>
      <c r="P226" s="392" t="n"/>
      <c r="Q226" s="392" t="n"/>
    </row>
    <row r="227">
      <c r="A227" s="392" t="n"/>
      <c r="B227" s="392" t="n"/>
      <c r="C227" s="392" t="n"/>
      <c r="D227" s="392" t="n"/>
      <c r="E227" s="396" t="n"/>
      <c r="F227" s="396" t="n"/>
      <c r="G227" s="396" t="n"/>
      <c r="H227" s="396" t="n"/>
      <c r="I227" s="392" t="n"/>
      <c r="J227" s="420" t="n"/>
      <c r="K227" s="420" t="n"/>
      <c r="L227" s="420" t="n"/>
      <c r="M227" s="430" t="n"/>
      <c r="N227" s="430" t="n"/>
      <c r="O227" s="430" t="n"/>
      <c r="P227" s="392" t="n"/>
      <c r="Q227" s="392" t="n"/>
    </row>
    <row r="228">
      <c r="A228" s="392" t="n"/>
      <c r="B228" s="392" t="n"/>
      <c r="C228" s="392" t="n"/>
      <c r="D228" s="392" t="n"/>
      <c r="E228" s="396" t="n"/>
      <c r="F228" s="396" t="n"/>
      <c r="G228" s="396" t="n"/>
      <c r="H228" s="396" t="n"/>
      <c r="I228" s="392" t="n"/>
      <c r="J228" s="420" t="n"/>
      <c r="K228" s="420" t="n"/>
      <c r="L228" s="420" t="n"/>
      <c r="M228" s="430" t="n"/>
      <c r="N228" s="430" t="n"/>
      <c r="O228" s="430" t="n"/>
      <c r="P228" s="392" t="n"/>
      <c r="Q228" s="392" t="n"/>
    </row>
    <row r="229">
      <c r="A229" s="392" t="n"/>
      <c r="B229" s="392" t="n"/>
      <c r="C229" s="392" t="n"/>
      <c r="D229" s="392" t="n"/>
      <c r="E229" s="396" t="n"/>
      <c r="F229" s="396" t="n"/>
      <c r="G229" s="396" t="n"/>
      <c r="H229" s="396" t="n"/>
      <c r="I229" s="392" t="n"/>
      <c r="J229" s="420" t="n"/>
      <c r="K229" s="420" t="n"/>
      <c r="L229" s="420" t="n"/>
      <c r="M229" s="430" t="n"/>
      <c r="N229" s="430" t="n"/>
      <c r="O229" s="430" t="n"/>
      <c r="P229" s="392" t="n"/>
      <c r="Q229" s="392" t="n"/>
    </row>
    <row r="230">
      <c r="A230" s="392" t="n"/>
      <c r="B230" s="392" t="n"/>
      <c r="C230" s="392" t="n"/>
      <c r="D230" s="392" t="n"/>
      <c r="E230" s="396" t="n"/>
      <c r="F230" s="396" t="n"/>
      <c r="G230" s="396" t="n"/>
      <c r="H230" s="396" t="n"/>
      <c r="I230" s="392" t="n"/>
      <c r="J230" s="420" t="n"/>
      <c r="K230" s="420" t="n"/>
      <c r="L230" s="420" t="n"/>
      <c r="M230" s="430" t="n"/>
      <c r="N230" s="430" t="n"/>
      <c r="O230" s="430" t="n"/>
      <c r="P230" s="392" t="n"/>
      <c r="Q230" s="392" t="n"/>
    </row>
    <row r="231">
      <c r="A231" s="392" t="n"/>
      <c r="B231" s="392" t="n"/>
      <c r="C231" s="392" t="n"/>
      <c r="D231" s="392" t="n"/>
      <c r="E231" s="396" t="n"/>
      <c r="F231" s="396" t="n"/>
      <c r="G231" s="396" t="n"/>
      <c r="H231" s="396" t="n"/>
      <c r="I231" s="392" t="n"/>
      <c r="J231" s="420" t="n"/>
      <c r="K231" s="420" t="n"/>
      <c r="L231" s="420" t="n"/>
      <c r="M231" s="430" t="n"/>
      <c r="N231" s="430" t="n"/>
      <c r="O231" s="430" t="n"/>
      <c r="P231" s="392" t="n"/>
      <c r="Q231" s="392" t="n"/>
    </row>
  </sheetData>
  <autoFilter ref="A4:Q23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3"/>
  <cols>
    <col width="30" customWidth="1" style="438" min="1" max="1"/>
    <col width="10" customWidth="1" style="438" min="2" max="2"/>
    <col width="20" customWidth="1" style="438" min="3" max="3"/>
    <col width="10" customWidth="1" style="438" min="4" max="4"/>
    <col width="8" customWidth="1" style="438" min="5" max="5"/>
    <col width="14" customWidth="1" style="438" min="6" max="8"/>
  </cols>
  <sheetData>
    <row r="1" ht="14" customHeight="1" s="438">
      <c r="A1" s="416" t="inlineStr">
        <is>
          <t>㉑ 前回資料「益子生産性最新」の工程内訳（商品 × 工程）</t>
        </is>
      </c>
    </row>
    <row r="2">
      <c r="A2" s="405" t="inlineStr">
        <is>
          <t>※ 参照元：G:\マイドライブ\業務\【個人課題】益子生産性最新.xlsx「盛り込み生産性」。時給2,644円で計算された値です。編集不要。</t>
        </is>
      </c>
    </row>
    <row r="3"/>
    <row r="4">
      <c r="A4" s="406" t="inlineStr">
        <is>
          <t>商品名</t>
        </is>
      </c>
      <c r="B4" s="406" t="inlineStr">
        <is>
          <t>製造数</t>
        </is>
      </c>
      <c r="C4" s="406" t="inlineStr">
        <is>
          <t>工程</t>
        </is>
      </c>
      <c r="D4" s="406" t="inlineStr">
        <is>
          <t>生産性</t>
        </is>
      </c>
      <c r="E4" s="406" t="inlineStr">
        <is>
          <t>人数</t>
        </is>
      </c>
      <c r="F4" s="406" t="inlineStr">
        <is>
          <t>1食労務費(円)</t>
        </is>
      </c>
      <c r="G4" s="406" t="inlineStr">
        <is>
          <t>工程労務費(円)</t>
        </is>
      </c>
      <c r="H4" s="406" t="inlineStr">
        <is>
          <t>商品計(円/食)</t>
        </is>
      </c>
    </row>
    <row r="5">
      <c r="A5" s="403" t="inlineStr">
        <is>
          <t>大人のコーヒーゼリー小</t>
        </is>
      </c>
      <c r="B5" s="403" t="n">
        <v>3664</v>
      </c>
      <c r="C5" s="403" t="inlineStr">
        <is>
          <t>盛り込み</t>
        </is>
      </c>
      <c r="D5" s="403" t="n">
        <v>800</v>
      </c>
      <c r="E5" s="403" t="n">
        <v>9</v>
      </c>
      <c r="F5" s="417" t="n">
        <v>29.745</v>
      </c>
      <c r="G5" s="418">
        <f>IF(AND(ISNUMBER($B5),ISNUMBER($F5)),$B5*$F5,"")</f>
        <v/>
      </c>
      <c r="H5" s="417" t="n">
        <v>41.8818</v>
      </c>
    </row>
    <row r="6">
      <c r="A6" s="403" t="inlineStr">
        <is>
          <t>大人のコーヒーゼリー小</t>
        </is>
      </c>
      <c r="B6" s="403" t="n">
        <v>3664</v>
      </c>
      <c r="C6" s="403" t="inlineStr">
        <is>
          <t>釜</t>
        </is>
      </c>
      <c r="D6" s="403" t="n">
        <v>1190</v>
      </c>
      <c r="E6" s="403" t="n">
        <v>1</v>
      </c>
      <c r="F6" s="417" t="n">
        <v>2.2218</v>
      </c>
      <c r="G6" s="418">
        <f>IF(AND(ISNUMBER($B6),ISNUMBER($F6)),$B6*$F6,"")</f>
        <v/>
      </c>
      <c r="H6" s="417" t="n">
        <v>41.8818</v>
      </c>
    </row>
    <row r="7">
      <c r="A7" s="403" t="inlineStr">
        <is>
          <t>大人のコーヒーゼリー小</t>
        </is>
      </c>
      <c r="B7" s="403" t="n">
        <v>3664</v>
      </c>
      <c r="C7" s="403" t="inlineStr">
        <is>
          <t>クリーム充填</t>
        </is>
      </c>
      <c r="D7" s="403" t="n">
        <v>800</v>
      </c>
      <c r="E7" s="403" t="n">
        <v>3</v>
      </c>
      <c r="F7" s="417" t="n">
        <v>9.914999999999999</v>
      </c>
      <c r="G7" s="418">
        <f>IF(AND(ISNUMBER($B7),ISNUMBER($F7)),$B7*$F7,"")</f>
        <v/>
      </c>
      <c r="H7" s="417" t="n">
        <v>41.8818</v>
      </c>
    </row>
    <row r="8">
      <c r="A8" s="403" t="inlineStr">
        <is>
          <t>大人のコーヒーゼリー</t>
        </is>
      </c>
      <c r="B8" s="403" t="n">
        <v>1300</v>
      </c>
      <c r="C8" s="403" t="inlineStr">
        <is>
          <t>盛り込み</t>
        </is>
      </c>
      <c r="D8" s="403" t="n">
        <v>800</v>
      </c>
      <c r="E8" s="403" t="n">
        <v>9</v>
      </c>
      <c r="F8" s="417" t="n">
        <v>29.745</v>
      </c>
      <c r="G8" s="418">
        <f>IF(AND(ISNUMBER($B8),ISNUMBER($F8)),$B8*$F8,"")</f>
        <v/>
      </c>
      <c r="H8" s="417" t="n">
        <v>44.187</v>
      </c>
    </row>
    <row r="9">
      <c r="A9" s="403" t="inlineStr">
        <is>
          <t>大人のコーヒーゼリー</t>
        </is>
      </c>
      <c r="B9" s="403" t="n">
        <v>1300</v>
      </c>
      <c r="C9" s="403" t="inlineStr">
        <is>
          <t>釜</t>
        </is>
      </c>
      <c r="D9" s="403" t="n">
        <v>850</v>
      </c>
      <c r="E9" s="403" t="n">
        <v>1</v>
      </c>
      <c r="F9" s="417" t="n">
        <v>3.1106</v>
      </c>
      <c r="G9" s="418">
        <f>IF(AND(ISNUMBER($B9),ISNUMBER($F9)),$B9*$F9,"")</f>
        <v/>
      </c>
      <c r="H9" s="417" t="n">
        <v>44.187</v>
      </c>
    </row>
    <row r="10">
      <c r="A10" s="403" t="inlineStr">
        <is>
          <t>クリーム爆盛！バニラロール小</t>
        </is>
      </c>
      <c r="B10" s="403" t="n">
        <v>1316</v>
      </c>
      <c r="C10" s="403" t="inlineStr">
        <is>
          <t>盛り込み</t>
        </is>
      </c>
      <c r="D10" s="403" t="n">
        <v>700</v>
      </c>
      <c r="E10" s="403" t="n">
        <v>6</v>
      </c>
      <c r="F10" s="417" t="n">
        <v>22.6629</v>
      </c>
      <c r="G10" s="418">
        <f>IF(AND(ISNUMBER($B10),ISNUMBER($F10)),$B10*$F10,"")</f>
        <v/>
      </c>
      <c r="H10" s="417" t="n">
        <v>34.1897</v>
      </c>
    </row>
    <row r="11">
      <c r="A11" s="403" t="inlineStr">
        <is>
          <t>クリーム爆盛！バニラロール小</t>
        </is>
      </c>
      <c r="B11" s="403" t="n">
        <v>1316</v>
      </c>
      <c r="C11" s="403" t="inlineStr">
        <is>
          <t>ミキサー</t>
        </is>
      </c>
      <c r="D11" s="403" t="n">
        <v>1666</v>
      </c>
      <c r="E11" s="403" t="n">
        <v>1</v>
      </c>
      <c r="F11" s="417" t="n">
        <v>1.587</v>
      </c>
      <c r="G11" s="418">
        <f>IF(AND(ISNUMBER($B11),ISNUMBER($F11)),$B11*$F11,"")</f>
        <v/>
      </c>
      <c r="H11" s="417" t="n">
        <v>34.1897</v>
      </c>
    </row>
    <row r="12">
      <c r="A12" s="403" t="inlineStr">
        <is>
          <t>クリーム爆盛！バニラロール小</t>
        </is>
      </c>
      <c r="B12" s="403" t="n">
        <v>1316</v>
      </c>
      <c r="C12" s="403" t="inlineStr">
        <is>
          <t>スチコン</t>
        </is>
      </c>
      <c r="D12" s="403" t="n">
        <v>266</v>
      </c>
      <c r="E12" s="403" t="n">
        <v>1</v>
      </c>
      <c r="F12" s="417" t="n">
        <v>9.9398</v>
      </c>
      <c r="G12" s="418">
        <f>IF(AND(ISNUMBER($B12),ISNUMBER($F12)),$B12*$F12,"")</f>
        <v/>
      </c>
      <c r="H12" s="417" t="n">
        <v>34.1897</v>
      </c>
    </row>
    <row r="13">
      <c r="A13" s="403" t="inlineStr">
        <is>
          <t>クリーム爆盛！バニラロール小</t>
        </is>
      </c>
      <c r="B13" s="403" t="n">
        <v>1316</v>
      </c>
      <c r="C13" s="403" t="inlineStr">
        <is>
          <t>太巻き細巻きカット</t>
        </is>
      </c>
      <c r="D13" s="403" t="n">
        <v>3200</v>
      </c>
      <c r="E13" s="403" t="n">
        <v>2</v>
      </c>
      <c r="F13" s="417" t="n">
        <v>1.6525</v>
      </c>
      <c r="G13" s="418">
        <f>IF(AND(ISNUMBER($B13),ISNUMBER($F13)),$B13*$F13,"")</f>
        <v/>
      </c>
      <c r="H13" s="417" t="n">
        <v>34.1897</v>
      </c>
    </row>
    <row r="14">
      <c r="A14" s="403" t="inlineStr">
        <is>
          <t>プリンロールケーキ</t>
        </is>
      </c>
      <c r="B14" s="403" t="n">
        <v>165</v>
      </c>
      <c r="C14" s="403" t="inlineStr">
        <is>
          <t>盛り込み</t>
        </is>
      </c>
      <c r="D14" s="403" t="n">
        <v>500</v>
      </c>
      <c r="E14" s="403" t="n">
        <v>8</v>
      </c>
      <c r="F14" s="417" t="n">
        <v>42.304</v>
      </c>
      <c r="G14" s="418">
        <f>IF(AND(ISNUMBER($B14),ISNUMBER($F14)),$B14*$F14,"")</f>
        <v/>
      </c>
      <c r="H14" s="417" t="n">
        <v>57.1359</v>
      </c>
    </row>
    <row r="15">
      <c r="A15" s="403" t="inlineStr">
        <is>
          <t>プリンロールケーキ</t>
        </is>
      </c>
      <c r="B15" s="403" t="n">
        <v>165</v>
      </c>
      <c r="C15" s="403" t="inlineStr">
        <is>
          <t>プリン</t>
        </is>
      </c>
      <c r="D15" s="403" t="n">
        <v>800</v>
      </c>
      <c r="E15" s="403" t="n">
        <v>1</v>
      </c>
      <c r="F15" s="417" t="n">
        <v>3.305</v>
      </c>
      <c r="G15" s="418">
        <f>IF(AND(ISNUMBER($B15),ISNUMBER($F15)),$B15*$F15,"")</f>
        <v/>
      </c>
      <c r="H15" s="417" t="n">
        <v>57.1359</v>
      </c>
    </row>
    <row r="16">
      <c r="A16" s="403" t="inlineStr">
        <is>
          <t>プリンロールケーキ</t>
        </is>
      </c>
      <c r="B16" s="403" t="n">
        <v>165</v>
      </c>
      <c r="C16" s="403" t="inlineStr">
        <is>
          <t>太巻き細巻きカット</t>
        </is>
      </c>
      <c r="D16" s="403" t="n">
        <v>3200</v>
      </c>
      <c r="E16" s="403" t="n">
        <v>2</v>
      </c>
      <c r="F16" s="417" t="n">
        <v>1.6525</v>
      </c>
      <c r="G16" s="418">
        <f>IF(AND(ISNUMBER($B16),ISNUMBER($F16)),$B16*$F16,"")</f>
        <v/>
      </c>
      <c r="H16" s="417" t="n">
        <v>57.1359</v>
      </c>
    </row>
    <row r="17">
      <c r="A17" s="403" t="inlineStr">
        <is>
          <t>バナナふんわりロール</t>
        </is>
      </c>
      <c r="B17" s="403" t="n">
        <v>891</v>
      </c>
      <c r="C17" s="403" t="inlineStr">
        <is>
          <t>盛り込み</t>
        </is>
      </c>
      <c r="D17" s="403" t="n">
        <v>350</v>
      </c>
      <c r="E17" s="403" t="n">
        <v>11</v>
      </c>
      <c r="F17" s="417" t="n">
        <v>83.0971</v>
      </c>
      <c r="G17" s="418">
        <f>IF(AND(ISNUMBER($B17),ISNUMBER($F17)),$B17*$F17,"")</f>
        <v/>
      </c>
      <c r="H17" s="417" t="n">
        <v>94.624</v>
      </c>
    </row>
    <row r="18">
      <c r="A18" s="403" t="inlineStr">
        <is>
          <t>まっしろミルクプリン小</t>
        </is>
      </c>
      <c r="B18" s="403" t="n">
        <v>1595</v>
      </c>
      <c r="C18" s="403" t="inlineStr">
        <is>
          <t>盛り込み</t>
        </is>
      </c>
      <c r="D18" s="403" t="n">
        <v>800</v>
      </c>
      <c r="E18" s="403" t="n">
        <v>9</v>
      </c>
      <c r="F18" s="417" t="n">
        <v>29.745</v>
      </c>
      <c r="G18" s="418">
        <f>IF(AND(ISNUMBER($B18),ISNUMBER($F18)),$B18*$F18,"")</f>
        <v/>
      </c>
      <c r="H18" s="417" t="n">
        <v>35.694</v>
      </c>
    </row>
    <row r="19">
      <c r="A19" s="403" t="inlineStr">
        <is>
          <t>まっしろミルクプリン小</t>
        </is>
      </c>
      <c r="B19" s="403" t="n">
        <v>1595</v>
      </c>
      <c r="C19" s="403" t="inlineStr">
        <is>
          <t>釜</t>
        </is>
      </c>
      <c r="D19" s="403" t="n">
        <v>1000</v>
      </c>
      <c r="E19" s="403" t="n">
        <v>1</v>
      </c>
      <c r="F19" s="417" t="n">
        <v>2.644</v>
      </c>
      <c r="G19" s="418">
        <f>IF(AND(ISNUMBER($B19),ISNUMBER($F19)),$B19*$F19,"")</f>
        <v/>
      </c>
      <c r="H19" s="417" t="n">
        <v>35.694</v>
      </c>
    </row>
    <row r="20">
      <c r="A20" s="403" t="inlineStr">
        <is>
          <t>まっしろミルクプリン小</t>
        </is>
      </c>
      <c r="B20" s="403" t="n">
        <v>1595</v>
      </c>
      <c r="C20" s="403" t="inlineStr">
        <is>
          <t>クリーム充填</t>
        </is>
      </c>
      <c r="D20" s="403" t="n">
        <v>800</v>
      </c>
      <c r="E20" s="403" t="n">
        <v>1</v>
      </c>
      <c r="F20" s="417" t="n">
        <v>3.305</v>
      </c>
      <c r="G20" s="418">
        <f>IF(AND(ISNUMBER($B20),ISNUMBER($F20)),$B20*$F20,"")</f>
        <v/>
      </c>
      <c r="H20" s="417" t="n">
        <v>35.694</v>
      </c>
    </row>
    <row r="21">
      <c r="A21" s="403" t="inlineStr">
        <is>
          <t>まっしろミルクプリン大</t>
        </is>
      </c>
      <c r="B21" s="403" t="n">
        <v>165</v>
      </c>
      <c r="C21" s="403" t="inlineStr">
        <is>
          <t>盛り込み</t>
        </is>
      </c>
      <c r="D21" s="403" t="n">
        <v>800</v>
      </c>
      <c r="E21" s="403" t="n">
        <v>9</v>
      </c>
      <c r="F21" s="417" t="n">
        <v>29.745</v>
      </c>
      <c r="G21" s="418">
        <f>IF(AND(ISNUMBER($B21),ISNUMBER($F21)),$B21*$F21,"")</f>
        <v/>
      </c>
      <c r="H21" s="417" t="n">
        <v>36.355</v>
      </c>
    </row>
    <row r="22">
      <c r="A22" s="403" t="inlineStr">
        <is>
          <t>まっしろミルクプリン大</t>
        </is>
      </c>
      <c r="B22" s="403" t="n">
        <v>165</v>
      </c>
      <c r="C22" s="403" t="inlineStr">
        <is>
          <t>クリーム充填</t>
        </is>
      </c>
      <c r="D22" s="403" t="n">
        <v>800</v>
      </c>
      <c r="E22" s="403" t="n">
        <v>1</v>
      </c>
      <c r="F22" s="417" t="n">
        <v>3.305</v>
      </c>
      <c r="G22" s="418">
        <f>IF(AND(ISNUMBER($B22),ISNUMBER($F22)),$B22*$F22,"")</f>
        <v/>
      </c>
      <c r="H22" s="417" t="n">
        <v>36.355</v>
      </c>
    </row>
    <row r="23">
      <c r="A23" s="403" t="inlineStr">
        <is>
          <t>カスタード＆ホイップシュー</t>
        </is>
      </c>
      <c r="B23" s="403" t="n">
        <v>2999</v>
      </c>
      <c r="C23" s="403" t="inlineStr">
        <is>
          <t>盛り込み</t>
        </is>
      </c>
      <c r="D23" s="403" t="n">
        <v>1200</v>
      </c>
      <c r="E23" s="403" t="n">
        <v>9</v>
      </c>
      <c r="F23" s="417" t="n">
        <v>19.83</v>
      </c>
      <c r="G23" s="418">
        <f>IF(AND(ISNUMBER($B23),ISNUMBER($F23)),$B23*$F23,"")</f>
        <v/>
      </c>
      <c r="H23" s="417" t="n">
        <v>34.5189</v>
      </c>
    </row>
    <row r="24">
      <c r="A24" s="403" t="inlineStr">
        <is>
          <t>カスタード＆ホイップシュー</t>
        </is>
      </c>
      <c r="B24" s="403" t="n">
        <v>2999</v>
      </c>
      <c r="C24" s="403" t="inlineStr">
        <is>
          <t>ZEN</t>
        </is>
      </c>
      <c r="D24" s="403" t="n">
        <v>180</v>
      </c>
      <c r="E24" s="403" t="n">
        <v>1</v>
      </c>
      <c r="F24" s="417" t="n">
        <v>14.6889</v>
      </c>
      <c r="G24" s="418">
        <f>IF(AND(ISNUMBER($B24),ISNUMBER($F24)),$B24*$F24,"")</f>
        <v/>
      </c>
      <c r="H24" s="417" t="n">
        <v>34.5189</v>
      </c>
    </row>
    <row r="25">
      <c r="A25" s="403" t="inlineStr">
        <is>
          <t>ごま団子ＫＩＴ21個入り</t>
        </is>
      </c>
      <c r="B25" s="403" t="n">
        <v>18</v>
      </c>
      <c r="C25" s="403" t="inlineStr">
        <is>
          <t>盛り込み</t>
        </is>
      </c>
      <c r="D25" s="403" t="n">
        <v>30</v>
      </c>
      <c r="E25" s="403" t="n">
        <v>6</v>
      </c>
      <c r="F25" s="417" t="n">
        <v>528.8</v>
      </c>
      <c r="G25" s="418">
        <f>IF(AND(ISNUMBER($B25),ISNUMBER($F25)),$B25*$F25,"")</f>
        <v/>
      </c>
      <c r="H25" s="417" t="n"/>
    </row>
    <row r="26">
      <c r="A26" s="403" t="inlineStr">
        <is>
          <t>みかんの牛乳寒小</t>
        </is>
      </c>
      <c r="B26" s="403" t="n">
        <v>1035</v>
      </c>
      <c r="C26" s="403" t="inlineStr">
        <is>
          <t>盛り込み</t>
        </is>
      </c>
      <c r="D26" s="403" t="n">
        <v>1000</v>
      </c>
      <c r="E26" s="403" t="n">
        <v>5</v>
      </c>
      <c r="F26" s="417" t="n">
        <v>13.22</v>
      </c>
      <c r="G26" s="418">
        <f>IF(AND(ISNUMBER($B26),ISNUMBER($F26)),$B26*$F26,"")</f>
        <v/>
      </c>
      <c r="H26" s="417" t="n">
        <v>16.4198</v>
      </c>
    </row>
    <row r="27">
      <c r="A27" s="403" t="inlineStr">
        <is>
          <t>みかんの牛乳寒小</t>
        </is>
      </c>
      <c r="B27" s="403" t="n">
        <v>1035</v>
      </c>
      <c r="C27" s="403" t="inlineStr">
        <is>
          <t>釜</t>
        </is>
      </c>
      <c r="D27" s="403" t="n">
        <v>1408</v>
      </c>
      <c r="E27" s="403" t="n">
        <v>1</v>
      </c>
      <c r="F27" s="417" t="n">
        <v>1.8778</v>
      </c>
      <c r="G27" s="418">
        <f>IF(AND(ISNUMBER($B27),ISNUMBER($F27)),$B27*$F27,"")</f>
        <v/>
      </c>
      <c r="H27" s="417" t="n">
        <v>16.4198</v>
      </c>
    </row>
    <row r="28">
      <c r="A28" s="403" t="inlineStr">
        <is>
          <t>みかんの牛乳寒小</t>
        </is>
      </c>
      <c r="B28" s="403" t="n">
        <v>1035</v>
      </c>
      <c r="C28" s="403" t="inlineStr">
        <is>
          <t>計量</t>
        </is>
      </c>
      <c r="D28" s="403" t="n">
        <v>2000</v>
      </c>
      <c r="E28" s="403" t="n">
        <v>1</v>
      </c>
      <c r="F28" s="417" t="n">
        <v>1.322</v>
      </c>
      <c r="G28" s="418">
        <f>IF(AND(ISNUMBER($B28),ISNUMBER($F28)),$B28*$F28,"")</f>
        <v/>
      </c>
      <c r="H28" s="417" t="n">
        <v>16.4198</v>
      </c>
    </row>
    <row r="29">
      <c r="A29" s="403" t="inlineStr">
        <is>
          <t>みかんの牛乳寒</t>
        </is>
      </c>
      <c r="B29" s="403" t="n">
        <v>223</v>
      </c>
      <c r="C29" s="403" t="inlineStr">
        <is>
          <t>盛り込み</t>
        </is>
      </c>
      <c r="D29" s="403" t="n">
        <v>1000</v>
      </c>
      <c r="E29" s="403" t="n">
        <v>5</v>
      </c>
      <c r="F29" s="417" t="n">
        <v>13.22</v>
      </c>
      <c r="G29" s="418">
        <f>IF(AND(ISNUMBER($B29),ISNUMBER($F29)),$B29*$F29,"")</f>
        <v/>
      </c>
      <c r="H29" s="417" t="n">
        <v>18.6828</v>
      </c>
    </row>
    <row r="30">
      <c r="A30" s="403" t="inlineStr">
        <is>
          <t>みかんの牛乳寒</t>
        </is>
      </c>
      <c r="B30" s="403" t="n">
        <v>223</v>
      </c>
      <c r="C30" s="403" t="inlineStr">
        <is>
          <t>釜</t>
        </is>
      </c>
      <c r="D30" s="403" t="n">
        <v>938</v>
      </c>
      <c r="E30" s="403" t="n">
        <v>1</v>
      </c>
      <c r="F30" s="417" t="n">
        <v>2.8188</v>
      </c>
      <c r="G30" s="418">
        <f>IF(AND(ISNUMBER($B30),ISNUMBER($F30)),$B30*$F30,"")</f>
        <v/>
      </c>
      <c r="H30" s="417" t="n">
        <v>18.6828</v>
      </c>
    </row>
    <row r="31">
      <c r="A31" s="403" t="inlineStr">
        <is>
          <t>みかんの牛乳寒</t>
        </is>
      </c>
      <c r="B31" s="403" t="n">
        <v>223</v>
      </c>
      <c r="C31" s="403" t="inlineStr">
        <is>
          <t>計量</t>
        </is>
      </c>
      <c r="D31" s="403" t="n">
        <v>1000</v>
      </c>
      <c r="E31" s="403" t="n">
        <v>1</v>
      </c>
      <c r="F31" s="417" t="n">
        <v>2.644</v>
      </c>
      <c r="G31" s="418">
        <f>IF(AND(ISNUMBER($B31),ISNUMBER($F31)),$B31*$F31,"")</f>
        <v/>
      </c>
      <c r="H31" s="417" t="n">
        <v>18.6828</v>
      </c>
    </row>
    <row r="32">
      <c r="A32" s="403" t="inlineStr">
        <is>
          <t>スイートポテト大</t>
        </is>
      </c>
      <c r="B32" s="403" t="n">
        <v>1020</v>
      </c>
      <c r="C32" s="403" t="inlineStr">
        <is>
          <t>盛り込み</t>
        </is>
      </c>
      <c r="D32" s="403" t="n">
        <v>900</v>
      </c>
      <c r="E32" s="403" t="n">
        <v>5</v>
      </c>
      <c r="F32" s="417" t="n">
        <v>14.6889</v>
      </c>
      <c r="G32" s="418">
        <f>IF(AND(ISNUMBER($B32),ISNUMBER($F32)),$B32*$F32,"")</f>
        <v/>
      </c>
      <c r="H32" s="417" t="n">
        <v>47.4847</v>
      </c>
    </row>
    <row r="33">
      <c r="A33" s="403" t="inlineStr">
        <is>
          <t>スイートポテト大</t>
        </is>
      </c>
      <c r="B33" s="403" t="n">
        <v>1020</v>
      </c>
      <c r="C33" s="403" t="inlineStr">
        <is>
          <t>スチコン焼き</t>
        </is>
      </c>
      <c r="D33" s="403" t="n">
        <v>100</v>
      </c>
      <c r="E33" s="403" t="n">
        <v>1</v>
      </c>
      <c r="F33" s="417" t="n">
        <v>26.44</v>
      </c>
      <c r="G33" s="418">
        <f>IF(AND(ISNUMBER($B33),ISNUMBER($F33)),$B33*$F33,"")</f>
        <v/>
      </c>
      <c r="H33" s="417" t="n">
        <v>47.4847</v>
      </c>
    </row>
    <row r="34">
      <c r="A34" s="403" t="inlineStr">
        <is>
          <t>スイートポテト大</t>
        </is>
      </c>
      <c r="B34" s="403" t="n">
        <v>1020</v>
      </c>
      <c r="C34" s="403" t="inlineStr">
        <is>
          <t>スチコン解凍</t>
        </is>
      </c>
      <c r="D34" s="403" t="n">
        <v>416</v>
      </c>
      <c r="E34" s="403" t="n">
        <v>1</v>
      </c>
      <c r="F34" s="417" t="n">
        <v>6.3558</v>
      </c>
      <c r="G34" s="418">
        <f>IF(AND(ISNUMBER($B34),ISNUMBER($F34)),$B34*$F34,"")</f>
        <v/>
      </c>
      <c r="H34" s="417" t="n">
        <v>47.4847</v>
      </c>
    </row>
    <row r="35">
      <c r="A35" s="403" t="inlineStr">
        <is>
          <t>スイートポテト大</t>
        </is>
      </c>
      <c r="B35" s="403" t="n">
        <v>1020</v>
      </c>
      <c r="C35" s="403" t="inlineStr">
        <is>
          <t>ZEN</t>
        </is>
      </c>
      <c r="D35" s="403" t="n">
        <v>1000</v>
      </c>
      <c r="E35" s="403" t="n">
        <v>1</v>
      </c>
      <c r="F35" s="417" t="n">
        <v>2.644</v>
      </c>
      <c r="G35" s="418">
        <f>IF(AND(ISNUMBER($B35),ISNUMBER($F35)),$B35*$F35,"")</f>
        <v/>
      </c>
      <c r="H35" s="417" t="n">
        <v>47.4847</v>
      </c>
    </row>
    <row r="36">
      <c r="A36" s="403" t="inlineStr">
        <is>
          <t>スイートポテト大小</t>
        </is>
      </c>
      <c r="B36" s="403" t="n">
        <v>212</v>
      </c>
      <c r="C36" s="403" t="inlineStr">
        <is>
          <t>盛り込み</t>
        </is>
      </c>
      <c r="D36" s="403" t="n">
        <v>900</v>
      </c>
      <c r="E36" s="403" t="n">
        <v>5</v>
      </c>
      <c r="F36" s="417" t="n">
        <v>14.6889</v>
      </c>
      <c r="G36" s="418">
        <f>IF(AND(ISNUMBER($B36),ISNUMBER($F36)),$B36*$F36,"")</f>
        <v/>
      </c>
      <c r="H36" s="417" t="n">
        <v>31.2139</v>
      </c>
    </row>
    <row r="37">
      <c r="A37" s="403" t="inlineStr">
        <is>
          <t>スイートポテト大小</t>
        </is>
      </c>
      <c r="B37" s="403" t="n">
        <v>212</v>
      </c>
      <c r="C37" s="403" t="inlineStr">
        <is>
          <t>スチコン焼き</t>
        </is>
      </c>
      <c r="D37" s="403" t="n">
        <v>200</v>
      </c>
      <c r="E37" s="403" t="n">
        <v>1</v>
      </c>
      <c r="F37" s="417" t="n">
        <v>13.22</v>
      </c>
      <c r="G37" s="418">
        <f>IF(AND(ISNUMBER($B37),ISNUMBER($F37)),$B37*$F37,"")</f>
        <v/>
      </c>
      <c r="H37" s="417" t="n">
        <v>31.2139</v>
      </c>
    </row>
    <row r="38">
      <c r="A38" s="403" t="inlineStr">
        <is>
          <t>スイートポテト大小</t>
        </is>
      </c>
      <c r="B38" s="403" t="n">
        <v>212</v>
      </c>
      <c r="C38" s="403" t="inlineStr">
        <is>
          <t>スチコン解凍</t>
        </is>
      </c>
      <c r="D38" s="403" t="n">
        <v>800</v>
      </c>
      <c r="E38" s="403" t="n">
        <v>1</v>
      </c>
      <c r="F38" s="417" t="n">
        <v>3.305</v>
      </c>
      <c r="G38" s="418">
        <f>IF(AND(ISNUMBER($B38),ISNUMBER($F38)),$B38*$F38,"")</f>
        <v/>
      </c>
      <c r="H38" s="417" t="n">
        <v>31.2139</v>
      </c>
    </row>
    <row r="39">
      <c r="A39" s="403" t="inlineStr">
        <is>
          <t>スイートポテト大小</t>
        </is>
      </c>
      <c r="B39" s="403" t="n">
        <v>212</v>
      </c>
      <c r="C39" s="403" t="inlineStr">
        <is>
          <t>ZEN</t>
        </is>
      </c>
      <c r="D39" s="403" t="n">
        <v>1000</v>
      </c>
      <c r="E39" s="403" t="n">
        <v>1</v>
      </c>
      <c r="F39" s="417" t="n">
        <v>2.644</v>
      </c>
      <c r="G39" s="418">
        <f>IF(AND(ISNUMBER($B39),ISNUMBER($F39)),$B39*$F39,"")</f>
        <v/>
      </c>
      <c r="H39" s="417" t="n">
        <v>31.2139</v>
      </c>
    </row>
    <row r="40">
      <c r="A40" s="403" t="inlineStr">
        <is>
          <t>卵プリン</t>
        </is>
      </c>
      <c r="B40" s="403" t="n">
        <v>2251</v>
      </c>
      <c r="C40" s="403" t="inlineStr">
        <is>
          <t>盛り込み</t>
        </is>
      </c>
      <c r="D40" s="403" t="n">
        <v>800</v>
      </c>
      <c r="E40" s="403" t="n">
        <v>6</v>
      </c>
      <c r="F40" s="417" t="n">
        <v>19.83</v>
      </c>
      <c r="G40" s="418">
        <f>IF(AND(ISNUMBER($B40),ISNUMBER($F40)),$B40*$F40,"")</f>
        <v/>
      </c>
      <c r="H40" s="417" t="n">
        <v>36.0681</v>
      </c>
    </row>
    <row r="41">
      <c r="A41" s="403" t="inlineStr">
        <is>
          <t>卵プリン</t>
        </is>
      </c>
      <c r="B41" s="403" t="n">
        <v>2251</v>
      </c>
      <c r="C41" s="403" t="inlineStr">
        <is>
          <t>ZEN</t>
        </is>
      </c>
      <c r="D41" s="403" t="n">
        <v>293</v>
      </c>
      <c r="E41" s="403" t="n">
        <v>1</v>
      </c>
      <c r="F41" s="417" t="n">
        <v>9.023899999999999</v>
      </c>
      <c r="G41" s="418">
        <f>IF(AND(ISNUMBER($B41),ISNUMBER($F41)),$B41*$F41,"")</f>
        <v/>
      </c>
      <c r="H41" s="417" t="n">
        <v>36.0681</v>
      </c>
    </row>
    <row r="42">
      <c r="A42" s="403" t="inlineStr">
        <is>
          <t>卵プリン</t>
        </is>
      </c>
      <c r="B42" s="403" t="n">
        <v>2251</v>
      </c>
      <c r="C42" s="403" t="inlineStr">
        <is>
          <t>釜</t>
        </is>
      </c>
      <c r="D42" s="403" t="n">
        <v>733</v>
      </c>
      <c r="E42" s="403" t="n">
        <v>2</v>
      </c>
      <c r="F42" s="417" t="n">
        <v>7.2142</v>
      </c>
      <c r="G42" s="418">
        <f>IF(AND(ISNUMBER($B42),ISNUMBER($F42)),$B42*$F42,"")</f>
        <v/>
      </c>
      <c r="H42" s="417" t="n">
        <v>36.0681</v>
      </c>
    </row>
    <row r="43">
      <c r="A43" s="403" t="inlineStr">
        <is>
          <t>抹茶わらび餅</t>
        </is>
      </c>
      <c r="B43" s="403" t="n">
        <v>1048</v>
      </c>
      <c r="C43" s="403" t="inlineStr">
        <is>
          <t>盛り込み</t>
        </is>
      </c>
      <c r="D43" s="403" t="n">
        <v>800</v>
      </c>
      <c r="E43" s="403" t="n">
        <v>7</v>
      </c>
      <c r="F43" s="417" t="n">
        <v>23.135</v>
      </c>
      <c r="G43" s="418">
        <f>IF(AND(ISNUMBER($B43),ISNUMBER($F43)),$B43*$F43,"")</f>
        <v/>
      </c>
      <c r="H43" s="417" t="n">
        <v>52.9621</v>
      </c>
    </row>
    <row r="44">
      <c r="A44" s="403" t="inlineStr">
        <is>
          <t>抹茶わらび餅</t>
        </is>
      </c>
      <c r="B44" s="403" t="n">
        <v>1048</v>
      </c>
      <c r="C44" s="403" t="inlineStr">
        <is>
          <t>ミキサー</t>
        </is>
      </c>
      <c r="D44" s="403" t="n">
        <v>263</v>
      </c>
      <c r="E44" s="403" t="n">
        <v>2</v>
      </c>
      <c r="F44" s="417" t="n">
        <v>20.1065</v>
      </c>
      <c r="G44" s="418">
        <f>IF(AND(ISNUMBER($B44),ISNUMBER($F44)),$B44*$F44,"")</f>
        <v/>
      </c>
      <c r="H44" s="417" t="n">
        <v>52.9621</v>
      </c>
    </row>
    <row r="45">
      <c r="A45" s="403" t="inlineStr">
        <is>
          <t>抹茶わらび餅</t>
        </is>
      </c>
      <c r="B45" s="403" t="n">
        <v>1048</v>
      </c>
      <c r="C45" s="403" t="inlineStr">
        <is>
          <t>スチコン</t>
        </is>
      </c>
      <c r="D45" s="403" t="n">
        <v>272</v>
      </c>
      <c r="E45" s="403" t="n">
        <v>1</v>
      </c>
      <c r="F45" s="417" t="n">
        <v>9.720599999999999</v>
      </c>
      <c r="G45" s="418">
        <f>IF(AND(ISNUMBER($B45),ISNUMBER($F45)),$B45*$F45,"")</f>
        <v/>
      </c>
      <c r="H45" s="417" t="n">
        <v>52.9621</v>
      </c>
    </row>
    <row r="46">
      <c r="A46" s="403" t="inlineStr">
        <is>
          <t>お箸でつまんでわらびもち小</t>
        </is>
      </c>
      <c r="B46" s="403" t="n">
        <v>1779</v>
      </c>
      <c r="C46" s="403" t="inlineStr">
        <is>
          <t>盛り込み</t>
        </is>
      </c>
      <c r="D46" s="403" t="n">
        <v>800</v>
      </c>
      <c r="E46" s="403" t="n">
        <v>7</v>
      </c>
      <c r="F46" s="417" t="n">
        <v>23.135</v>
      </c>
      <c r="G46" s="418">
        <f>IF(AND(ISNUMBER($B46),ISNUMBER($F46)),$B46*$F46,"")</f>
        <v/>
      </c>
      <c r="H46" s="417" t="n">
        <v>52.9621</v>
      </c>
    </row>
    <row r="47">
      <c r="A47" s="403" t="inlineStr">
        <is>
          <t>お箸でつまんでわらびもち小</t>
        </is>
      </c>
      <c r="B47" s="403" t="n">
        <v>1779</v>
      </c>
      <c r="C47" s="403" t="inlineStr">
        <is>
          <t>ミキサー</t>
        </is>
      </c>
      <c r="D47" s="403" t="n">
        <v>263</v>
      </c>
      <c r="E47" s="403" t="n">
        <v>2</v>
      </c>
      <c r="F47" s="417" t="n">
        <v>20.1065</v>
      </c>
      <c r="G47" s="418">
        <f>IF(AND(ISNUMBER($B47),ISNUMBER($F47)),$B47*$F47,"")</f>
        <v/>
      </c>
      <c r="H47" s="417" t="n">
        <v>52.9621</v>
      </c>
    </row>
    <row r="48">
      <c r="A48" s="403" t="inlineStr">
        <is>
          <t>お箸でつまんでわらびもち小</t>
        </is>
      </c>
      <c r="B48" s="403" t="n">
        <v>1779</v>
      </c>
      <c r="C48" s="403" t="inlineStr">
        <is>
          <t>スチコン</t>
        </is>
      </c>
      <c r="D48" s="403" t="n">
        <v>272</v>
      </c>
      <c r="E48" s="403" t="n">
        <v>1</v>
      </c>
      <c r="F48" s="417" t="n">
        <v>9.720599999999999</v>
      </c>
      <c r="G48" s="418">
        <f>IF(AND(ISNUMBER($B48),ISNUMBER($F48)),$B48*$F48,"")</f>
        <v/>
      </c>
      <c r="H48" s="417" t="n">
        <v>52.9621</v>
      </c>
    </row>
    <row r="49">
      <c r="A49" s="403" t="inlineStr">
        <is>
          <t>２層仕立てのチーズケーキ２</t>
        </is>
      </c>
      <c r="B49" s="403" t="n">
        <v>910</v>
      </c>
      <c r="C49" s="403" t="inlineStr">
        <is>
          <t>盛り込み</t>
        </is>
      </c>
      <c r="D49" s="403" t="n">
        <v>500</v>
      </c>
      <c r="E49" s="403" t="n">
        <v>6</v>
      </c>
      <c r="F49" s="417" t="n">
        <v>31.728</v>
      </c>
      <c r="G49" s="418">
        <f>IF(AND(ISNUMBER($B49),ISNUMBER($F49)),$B49*$F49,"")</f>
        <v/>
      </c>
      <c r="H49" s="417" t="n">
        <v>48.6125</v>
      </c>
    </row>
    <row r="50">
      <c r="A50" s="403" t="inlineStr">
        <is>
          <t>２層仕立てのチーズケーキ２</t>
        </is>
      </c>
      <c r="B50" s="403" t="n">
        <v>910</v>
      </c>
      <c r="C50" s="403" t="inlineStr">
        <is>
          <t>ミキサー</t>
        </is>
      </c>
      <c r="D50" s="403" t="n">
        <v>500</v>
      </c>
      <c r="E50" s="403" t="n">
        <v>1</v>
      </c>
      <c r="F50" s="417" t="n">
        <v>5.288</v>
      </c>
      <c r="G50" s="418">
        <f>IF(AND(ISNUMBER($B50),ISNUMBER($F50)),$B50*$F50,"")</f>
        <v/>
      </c>
      <c r="H50" s="417" t="n">
        <v>48.6125</v>
      </c>
    </row>
    <row r="51">
      <c r="A51" s="403" t="inlineStr">
        <is>
          <t>２層仕立てのチーズケーキ２</t>
        </is>
      </c>
      <c r="B51" s="403" t="n">
        <v>910</v>
      </c>
      <c r="C51" s="403" t="inlineStr">
        <is>
          <t>ZEN</t>
        </is>
      </c>
      <c r="D51" s="403" t="n">
        <v>228</v>
      </c>
      <c r="E51" s="403" t="n">
        <v>1</v>
      </c>
      <c r="F51" s="417" t="n">
        <v>11.5965</v>
      </c>
      <c r="G51" s="418">
        <f>IF(AND(ISNUMBER($B51),ISNUMBER($F51)),$B51*$F51,"")</f>
        <v/>
      </c>
      <c r="H51" s="417" t="n">
        <v>48.6125</v>
      </c>
    </row>
    <row r="52">
      <c r="A52" s="403" t="inlineStr">
        <is>
          <t>２層仕立てのチーズケーキ２</t>
        </is>
      </c>
      <c r="B52" s="403" t="n">
        <v>910</v>
      </c>
      <c r="C52" s="403" t="inlineStr">
        <is>
          <t>スチコン</t>
        </is>
      </c>
      <c r="D52" s="403" t="n">
        <v>228</v>
      </c>
      <c r="E52" s="403" t="n">
        <v>1</v>
      </c>
      <c r="F52" s="417" t="n">
        <v>11.5965</v>
      </c>
      <c r="G52" s="418">
        <f>IF(AND(ISNUMBER($B52),ISNUMBER($F52)),$B52*$F52,"")</f>
        <v/>
      </c>
      <c r="H52" s="417" t="n">
        <v>48.6125</v>
      </c>
    </row>
    <row r="53">
      <c r="A53" s="403" t="inlineStr">
        <is>
          <t>シュー生地</t>
        </is>
      </c>
      <c r="B53" s="403" t="n">
        <v>1000</v>
      </c>
      <c r="C53" s="403" t="inlineStr">
        <is>
          <t>盛り</t>
        </is>
      </c>
      <c r="D53" s="403" t="n">
        <v>720</v>
      </c>
      <c r="E53" s="403" t="n">
        <v>1</v>
      </c>
      <c r="F53" s="417" t="n">
        <v>3.6722</v>
      </c>
      <c r="G53" s="418">
        <f>IF(AND(ISNUMBER($B53),ISNUMBER($F53)),$B53*$F53,"")</f>
        <v/>
      </c>
      <c r="H53" s="417" t="n">
        <v>3.6722</v>
      </c>
    </row>
    <row r="54">
      <c r="A54" s="403" t="inlineStr">
        <is>
          <t>絞り</t>
        </is>
      </c>
      <c r="B54" s="403" t="n">
        <v>1000</v>
      </c>
      <c r="C54" s="403" t="inlineStr">
        <is>
          <t>盛り</t>
        </is>
      </c>
      <c r="D54" s="403" t="n">
        <v>517</v>
      </c>
      <c r="E54" s="403" t="n">
        <v>4.5</v>
      </c>
      <c r="F54" s="417" t="n">
        <v>23.0135</v>
      </c>
      <c r="G54" s="418">
        <f>IF(AND(ISNUMBER($B54),ISNUMBER($F54)),$B54*$F54,"")</f>
        <v/>
      </c>
      <c r="H54" s="417" t="n">
        <v>23.0135</v>
      </c>
    </row>
    <row r="55">
      <c r="A55" s="403" t="inlineStr">
        <is>
          <t>焼成</t>
        </is>
      </c>
      <c r="B55" s="403" t="n">
        <v>1000</v>
      </c>
      <c r="C55" s="403" t="inlineStr">
        <is>
          <t>盛り</t>
        </is>
      </c>
      <c r="D55" s="403" t="n">
        <v>240</v>
      </c>
      <c r="E55" s="403" t="n">
        <v>0.1</v>
      </c>
      <c r="F55" s="417" t="n">
        <v>1.1017</v>
      </c>
      <c r="G55" s="418">
        <f>IF(AND(ISNUMBER($B55),ISNUMBER($F55)),$B55*$F55,"")</f>
        <v/>
      </c>
      <c r="H55" s="417" t="n">
        <v>1.1017</v>
      </c>
    </row>
    <row r="56">
      <c r="A56" s="403" t="inlineStr">
        <is>
          <t>穴あけ</t>
        </is>
      </c>
      <c r="B56" s="403" t="n">
        <v>1000</v>
      </c>
      <c r="C56" s="403" t="inlineStr">
        <is>
          <t>盛り</t>
        </is>
      </c>
      <c r="D56" s="403" t="n">
        <v>1725</v>
      </c>
      <c r="E56" s="403" t="n">
        <v>2</v>
      </c>
      <c r="F56" s="417" t="n">
        <v>3.0655</v>
      </c>
      <c r="G56" s="418">
        <f>IF(AND(ISNUMBER($B56),ISNUMBER($F56)),$B56*$F56,"")</f>
        <v/>
      </c>
      <c r="H56" s="417" t="n">
        <v>3.0655</v>
      </c>
    </row>
    <row r="57">
      <c r="A57" s="403" t="inlineStr">
        <is>
          <t>クリーム入れ</t>
        </is>
      </c>
      <c r="B57" s="403" t="n">
        <v>1000</v>
      </c>
      <c r="C57" s="403" t="inlineStr">
        <is>
          <t>盛り</t>
        </is>
      </c>
      <c r="D57" s="403" t="n">
        <v>354</v>
      </c>
      <c r="E57" s="403" t="n">
        <v>4</v>
      </c>
      <c r="F57" s="417" t="n">
        <v>29.8757</v>
      </c>
      <c r="G57" s="418">
        <f>IF(AND(ISNUMBER($B57),ISNUMBER($F57)),$B57*$F57,"")</f>
        <v/>
      </c>
      <c r="H57" s="417" t="n">
        <v>29.8757</v>
      </c>
    </row>
  </sheetData>
  <autoFilter ref="A4:H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3"/>
  <cols>
    <col width="20" customWidth="1" style="438" min="1" max="1"/>
    <col width="6" customWidth="1" style="438" min="2" max="2"/>
    <col width="34" customWidth="1" style="438" min="3" max="3"/>
    <col width="14" customWidth="1" style="438" min="4" max="4"/>
    <col width="34" customWidth="1" style="438" min="5" max="5"/>
    <col width="8" customWidth="1" style="438" min="6" max="6"/>
    <col width="30" customWidth="1" style="438" min="7" max="8"/>
  </cols>
  <sheetData>
    <row r="1">
      <c r="A1" s="404" t="inlineStr">
        <is>
          <t>ひもづけ候補一覧　★工程入力シートのR列に中間品名を入れると、その行の労務費が商品にひもづきます（R列はプルダウン）。</t>
        </is>
      </c>
    </row>
    <row r="2">
      <c r="A2" s="405" t="inlineStr">
        <is>
          <t>※ 工程入力のR列で商品名を選んでください（このシートは白鳥用の仕組みです）。</t>
        </is>
      </c>
    </row>
    <row r="3"/>
    <row r="4">
      <c r="A4" s="406" t="inlineStr">
        <is>
          <t>工程シート</t>
        </is>
      </c>
      <c r="B4" s="406" t="inlineStr">
        <is>
          <t>行</t>
        </is>
      </c>
      <c r="C4" s="406" t="inlineStr">
        <is>
          <t>工程入力の商品名</t>
        </is>
      </c>
      <c r="D4" s="406" t="inlineStr">
        <is>
          <t>状態</t>
        </is>
      </c>
      <c r="E4" s="406" t="inlineStr">
        <is>
          <t>候補1</t>
        </is>
      </c>
      <c r="F4" s="406" t="inlineStr">
        <is>
          <t>類似度</t>
        </is>
      </c>
      <c r="G4" s="406" t="inlineStr">
        <is>
          <t>候補2</t>
        </is>
      </c>
      <c r="H4" s="406" t="inlineStr">
        <is>
          <t>候補3</t>
        </is>
      </c>
    </row>
    <row r="5">
      <c r="A5" s="403" t="n"/>
      <c r="B5" s="403" t="n"/>
      <c r="C5" s="403" t="n"/>
      <c r="D5" s="407" t="n"/>
      <c r="E5" s="403" t="n"/>
      <c r="F5" s="403" t="n"/>
      <c r="G5" s="403" t="n"/>
      <c r="H5" s="403" t="n"/>
    </row>
    <row r="6">
      <c r="A6" s="403" t="n"/>
      <c r="B6" s="403" t="n"/>
      <c r="C6" s="403" t="n"/>
      <c r="D6" s="407" t="n"/>
      <c r="E6" s="403" t="n"/>
      <c r="F6" s="403" t="n"/>
      <c r="G6" s="403" t="n"/>
      <c r="H6" s="403" t="n"/>
    </row>
    <row r="7">
      <c r="A7" s="403" t="n"/>
      <c r="B7" s="403" t="n"/>
      <c r="C7" s="403" t="n"/>
      <c r="D7" s="407" t="n"/>
      <c r="E7" s="403" t="n"/>
      <c r="F7" s="403" t="n"/>
      <c r="G7" s="403" t="n"/>
      <c r="H7" s="403" t="n"/>
    </row>
    <row r="8">
      <c r="A8" s="403" t="n"/>
      <c r="B8" s="403" t="n"/>
      <c r="C8" s="403" t="n"/>
      <c r="D8" s="407" t="n"/>
      <c r="E8" s="403" t="n"/>
      <c r="F8" s="403" t="n"/>
      <c r="G8" s="403" t="n"/>
      <c r="H8" s="403" t="n"/>
    </row>
    <row r="9">
      <c r="A9" s="403" t="n"/>
      <c r="B9" s="403" t="n"/>
      <c r="C9" s="403" t="n"/>
      <c r="D9" s="407" t="n"/>
      <c r="E9" s="403" t="n"/>
      <c r="F9" s="403" t="n"/>
      <c r="G9" s="403" t="n"/>
      <c r="H9" s="403" t="n"/>
    </row>
    <row r="10">
      <c r="A10" s="403" t="n"/>
      <c r="B10" s="403" t="n"/>
      <c r="C10" s="403" t="n"/>
      <c r="D10" s="407" t="n"/>
      <c r="E10" s="403" t="n"/>
      <c r="F10" s="403" t="n"/>
      <c r="G10" s="403" t="n"/>
      <c r="H10" s="403" t="n"/>
    </row>
    <row r="11">
      <c r="A11" s="403" t="n"/>
      <c r="B11" s="403" t="n"/>
      <c r="C11" s="403" t="n"/>
      <c r="D11" s="407" t="n"/>
      <c r="E11" s="403" t="n"/>
      <c r="F11" s="403" t="n"/>
      <c r="G11" s="403" t="n"/>
      <c r="H11" s="403" t="n"/>
    </row>
    <row r="12">
      <c r="A12" s="403" t="n"/>
      <c r="B12" s="403" t="n"/>
      <c r="C12" s="403" t="n"/>
      <c r="D12" s="407" t="n"/>
      <c r="E12" s="403" t="n"/>
      <c r="F12" s="403" t="n"/>
      <c r="G12" s="403" t="n"/>
      <c r="H12" s="403" t="n"/>
    </row>
    <row r="13">
      <c r="A13" s="403" t="n"/>
      <c r="B13" s="403" t="n"/>
      <c r="C13" s="403" t="n"/>
      <c r="D13" s="407" t="n"/>
      <c r="E13" s="403" t="n"/>
      <c r="F13" s="403" t="n"/>
      <c r="G13" s="403" t="n"/>
      <c r="H13" s="403" t="n"/>
    </row>
    <row r="14">
      <c r="A14" s="403" t="n"/>
      <c r="B14" s="403" t="n"/>
      <c r="C14" s="403" t="n"/>
      <c r="D14" s="407" t="n"/>
      <c r="E14" s="403" t="n"/>
      <c r="F14" s="403" t="n"/>
      <c r="G14" s="403" t="n"/>
      <c r="H14" s="403" t="n"/>
    </row>
    <row r="15">
      <c r="A15" s="403" t="n"/>
      <c r="B15" s="403" t="n"/>
      <c r="C15" s="403" t="n"/>
      <c r="D15" s="407" t="n"/>
      <c r="E15" s="403" t="n"/>
      <c r="F15" s="403" t="n"/>
      <c r="G15" s="403" t="n"/>
      <c r="H15" s="403" t="n"/>
    </row>
    <row r="16">
      <c r="A16" s="403" t="n"/>
      <c r="B16" s="403" t="n"/>
      <c r="C16" s="403" t="n"/>
      <c r="D16" s="407" t="n"/>
      <c r="E16" s="403" t="n"/>
      <c r="F16" s="403" t="n"/>
      <c r="G16" s="403" t="n"/>
      <c r="H16" s="403" t="n"/>
    </row>
    <row r="17">
      <c r="A17" s="403" t="n"/>
      <c r="B17" s="403" t="n"/>
      <c r="C17" s="403" t="n"/>
      <c r="D17" s="407" t="n"/>
      <c r="E17" s="403" t="n"/>
      <c r="F17" s="403" t="n"/>
      <c r="G17" s="403" t="n"/>
      <c r="H17" s="403" t="n"/>
    </row>
    <row r="18">
      <c r="A18" s="403" t="n"/>
      <c r="B18" s="403" t="n"/>
      <c r="C18" s="403" t="n"/>
      <c r="D18" s="407" t="n"/>
      <c r="E18" s="403" t="n"/>
      <c r="F18" s="403" t="n"/>
      <c r="G18" s="403" t="n"/>
      <c r="H18" s="403" t="n"/>
    </row>
    <row r="19">
      <c r="A19" s="403" t="n"/>
      <c r="B19" s="403" t="n"/>
      <c r="C19" s="403" t="n"/>
      <c r="D19" s="407" t="n"/>
      <c r="E19" s="403" t="n"/>
      <c r="F19" s="403" t="n"/>
      <c r="G19" s="403" t="n"/>
      <c r="H19" s="403" t="n"/>
    </row>
    <row r="20">
      <c r="A20" s="403" t="n"/>
      <c r="B20" s="403" t="n"/>
      <c r="C20" s="403" t="n"/>
      <c r="D20" s="407" t="n"/>
      <c r="E20" s="403" t="n"/>
      <c r="F20" s="403" t="n"/>
      <c r="G20" s="403" t="n"/>
      <c r="H20" s="403" t="n"/>
    </row>
    <row r="21">
      <c r="A21" s="403" t="n"/>
      <c r="B21" s="403" t="n"/>
      <c r="C21" s="403" t="n"/>
      <c r="D21" s="407" t="n"/>
      <c r="E21" s="403" t="n"/>
      <c r="F21" s="403" t="n"/>
      <c r="G21" s="403" t="n"/>
      <c r="H21" s="403" t="n"/>
    </row>
    <row r="22">
      <c r="A22" s="403" t="n"/>
      <c r="B22" s="403" t="n"/>
      <c r="C22" s="403" t="n"/>
      <c r="D22" s="407" t="n"/>
      <c r="E22" s="403" t="n"/>
      <c r="F22" s="403" t="n"/>
      <c r="G22" s="403" t="n"/>
      <c r="H22" s="403" t="n"/>
    </row>
    <row r="23">
      <c r="A23" s="403" t="n"/>
      <c r="B23" s="403" t="n"/>
      <c r="C23" s="403" t="n"/>
      <c r="D23" s="407" t="n"/>
      <c r="E23" s="403" t="n"/>
      <c r="F23" s="403" t="n"/>
      <c r="G23" s="403" t="n"/>
      <c r="H23" s="403" t="n"/>
    </row>
    <row r="24">
      <c r="A24" s="403" t="n"/>
      <c r="B24" s="403" t="n"/>
      <c r="C24" s="403" t="n"/>
      <c r="D24" s="407" t="n"/>
      <c r="E24" s="403" t="n"/>
      <c r="F24" s="403" t="n"/>
      <c r="G24" s="403" t="n"/>
      <c r="H24" s="403" t="n"/>
    </row>
    <row r="25">
      <c r="A25" s="403" t="n"/>
      <c r="B25" s="403" t="n"/>
      <c r="C25" s="403" t="n"/>
      <c r="D25" s="407" t="n"/>
      <c r="E25" s="403" t="n"/>
      <c r="F25" s="403" t="n"/>
      <c r="G25" s="403" t="n"/>
      <c r="H25" s="403" t="n"/>
    </row>
    <row r="26">
      <c r="A26" s="403" t="n"/>
      <c r="B26" s="403" t="n"/>
      <c r="C26" s="403" t="n"/>
      <c r="D26" s="407" t="n"/>
      <c r="E26" s="403" t="n"/>
      <c r="F26" s="403" t="n"/>
      <c r="G26" s="403" t="n"/>
      <c r="H26" s="403" t="n"/>
    </row>
    <row r="27">
      <c r="A27" s="403" t="n"/>
      <c r="B27" s="403" t="n"/>
      <c r="C27" s="403" t="n"/>
      <c r="D27" s="407" t="n"/>
      <c r="E27" s="403" t="n"/>
      <c r="F27" s="403" t="n"/>
      <c r="G27" s="403" t="n"/>
      <c r="H27" s="403" t="n"/>
    </row>
    <row r="28">
      <c r="A28" s="403" t="n"/>
      <c r="B28" s="403" t="n"/>
      <c r="C28" s="403" t="n"/>
      <c r="D28" s="407" t="n"/>
      <c r="E28" s="403" t="n"/>
      <c r="F28" s="403" t="n"/>
      <c r="G28" s="403" t="n"/>
      <c r="H28" s="403" t="n"/>
    </row>
    <row r="29">
      <c r="A29" s="403" t="n"/>
      <c r="B29" s="403" t="n"/>
      <c r="C29" s="403" t="n"/>
      <c r="D29" s="407" t="n"/>
      <c r="E29" s="403" t="n"/>
      <c r="F29" s="403" t="n"/>
      <c r="G29" s="403" t="n"/>
      <c r="H29" s="403" t="n"/>
    </row>
    <row r="30">
      <c r="A30" s="403" t="n"/>
      <c r="B30" s="403" t="n"/>
      <c r="C30" s="403" t="n"/>
      <c r="D30" s="407" t="n"/>
      <c r="E30" s="403" t="n"/>
      <c r="F30" s="403" t="n"/>
      <c r="G30" s="403" t="n"/>
      <c r="H30" s="403" t="n"/>
    </row>
    <row r="31">
      <c r="A31" s="403" t="n"/>
      <c r="B31" s="403" t="n"/>
      <c r="C31" s="403" t="n"/>
      <c r="D31" s="407" t="n"/>
      <c r="E31" s="403" t="n"/>
      <c r="F31" s="403" t="n"/>
      <c r="G31" s="403" t="n"/>
      <c r="H31" s="403" t="n"/>
    </row>
    <row r="32">
      <c r="A32" s="403" t="n"/>
      <c r="B32" s="403" t="n"/>
      <c r="C32" s="403" t="n"/>
      <c r="D32" s="407" t="n"/>
      <c r="E32" s="403" t="n"/>
      <c r="F32" s="403" t="n"/>
      <c r="G32" s="403" t="n"/>
      <c r="H32" s="403" t="n"/>
    </row>
    <row r="33">
      <c r="A33" s="403" t="n"/>
      <c r="B33" s="403" t="n"/>
      <c r="C33" s="403" t="n"/>
      <c r="D33" s="407" t="n"/>
      <c r="E33" s="403" t="n"/>
      <c r="F33" s="403" t="n"/>
      <c r="G33" s="403" t="n"/>
      <c r="H33" s="403" t="n"/>
    </row>
    <row r="34">
      <c r="A34" s="403" t="n"/>
      <c r="B34" s="403" t="n"/>
      <c r="C34" s="403" t="n"/>
      <c r="D34" s="407" t="n"/>
      <c r="E34" s="403" t="n"/>
      <c r="F34" s="403" t="n"/>
      <c r="G34" s="403" t="n"/>
      <c r="H34" s="403" t="n"/>
    </row>
    <row r="35">
      <c r="A35" s="403" t="n"/>
      <c r="B35" s="403" t="n"/>
      <c r="C35" s="403" t="n"/>
      <c r="D35" s="407" t="n"/>
      <c r="E35" s="403" t="n"/>
      <c r="F35" s="403" t="n"/>
      <c r="G35" s="403" t="n"/>
      <c r="H35" s="403" t="n"/>
    </row>
    <row r="36">
      <c r="A36" s="403" t="n"/>
      <c r="B36" s="403" t="n"/>
      <c r="C36" s="403" t="n"/>
      <c r="D36" s="407" t="n"/>
      <c r="E36" s="403" t="n"/>
      <c r="F36" s="403" t="n"/>
      <c r="G36" s="403" t="n"/>
      <c r="H36" s="403" t="n"/>
    </row>
    <row r="37">
      <c r="A37" s="403" t="n"/>
      <c r="B37" s="403" t="n"/>
      <c r="C37" s="403" t="n"/>
      <c r="D37" s="407" t="n"/>
      <c r="E37" s="403" t="n"/>
      <c r="F37" s="403" t="n"/>
      <c r="G37" s="403" t="n"/>
      <c r="H37" s="403" t="n"/>
    </row>
    <row r="38">
      <c r="A38" s="403" t="n"/>
      <c r="B38" s="403" t="n"/>
      <c r="C38" s="403" t="n"/>
      <c r="D38" s="407" t="n"/>
      <c r="E38" s="403" t="n"/>
      <c r="F38" s="403" t="n"/>
      <c r="G38" s="403" t="n"/>
      <c r="H38" s="403" t="n"/>
    </row>
    <row r="39">
      <c r="A39" s="403" t="n"/>
      <c r="B39" s="403" t="n"/>
      <c r="C39" s="403" t="n"/>
      <c r="D39" s="407" t="n"/>
      <c r="E39" s="403" t="n"/>
      <c r="F39" s="403" t="n"/>
      <c r="G39" s="403" t="n"/>
      <c r="H39" s="403" t="n"/>
    </row>
    <row r="40">
      <c r="A40" s="403" t="n"/>
      <c r="B40" s="403" t="n"/>
      <c r="C40" s="403" t="n"/>
      <c r="D40" s="407" t="n"/>
      <c r="E40" s="403" t="n"/>
      <c r="F40" s="403" t="n"/>
      <c r="G40" s="403" t="n"/>
      <c r="H40" s="403" t="n"/>
    </row>
    <row r="41">
      <c r="A41" s="403" t="n"/>
      <c r="B41" s="403" t="n"/>
      <c r="C41" s="403" t="n"/>
      <c r="D41" s="407" t="n"/>
      <c r="E41" s="403" t="n"/>
      <c r="F41" s="403" t="n"/>
      <c r="G41" s="403" t="n"/>
      <c r="H41" s="403" t="n"/>
    </row>
    <row r="42">
      <c r="A42" s="403" t="n"/>
      <c r="B42" s="403" t="n"/>
      <c r="C42" s="403" t="n"/>
      <c r="D42" s="407" t="n"/>
      <c r="E42" s="403" t="n"/>
      <c r="F42" s="403" t="n"/>
      <c r="G42" s="403" t="n"/>
      <c r="H42" s="403" t="n"/>
    </row>
    <row r="43">
      <c r="A43" s="403" t="n"/>
      <c r="B43" s="403" t="n"/>
      <c r="C43" s="403" t="n"/>
      <c r="D43" s="407" t="n"/>
      <c r="E43" s="403" t="n"/>
      <c r="F43" s="403" t="n"/>
      <c r="G43" s="403" t="n"/>
      <c r="H43" s="403" t="n"/>
    </row>
    <row r="44">
      <c r="A44" s="403" t="n"/>
      <c r="B44" s="403" t="n"/>
      <c r="C44" s="403" t="n"/>
      <c r="D44" s="407" t="n"/>
      <c r="E44" s="403" t="n"/>
      <c r="F44" s="403" t="n"/>
      <c r="G44" s="403" t="n"/>
      <c r="H44" s="403" t="n"/>
    </row>
    <row r="45">
      <c r="A45" s="403" t="n"/>
      <c r="B45" s="403" t="n"/>
      <c r="C45" s="403" t="n"/>
      <c r="D45" s="407" t="n"/>
      <c r="E45" s="403" t="n"/>
      <c r="F45" s="403" t="n"/>
      <c r="G45" s="403" t="n"/>
      <c r="H45" s="403" t="n"/>
    </row>
    <row r="46">
      <c r="A46" s="403" t="n"/>
      <c r="B46" s="403" t="n"/>
      <c r="C46" s="403" t="n"/>
      <c r="D46" s="407" t="n"/>
      <c r="E46" s="403" t="n"/>
      <c r="F46" s="403" t="n"/>
      <c r="G46" s="403" t="n"/>
      <c r="H46" s="403" t="n"/>
    </row>
    <row r="47">
      <c r="A47" s="403" t="n"/>
      <c r="B47" s="403" t="n"/>
      <c r="C47" s="403" t="n"/>
      <c r="D47" s="407" t="n"/>
      <c r="E47" s="403" t="n"/>
      <c r="F47" s="403" t="n"/>
      <c r="G47" s="403" t="n"/>
      <c r="H47" s="403" t="n"/>
    </row>
    <row r="48">
      <c r="A48" s="403" t="n"/>
      <c r="B48" s="403" t="n"/>
      <c r="C48" s="403" t="n"/>
      <c r="D48" s="407" t="n"/>
      <c r="E48" s="403" t="n"/>
      <c r="F48" s="403" t="n"/>
      <c r="G48" s="403" t="n"/>
      <c r="H48" s="403" t="n"/>
    </row>
    <row r="49">
      <c r="A49" s="403" t="n"/>
      <c r="B49" s="403" t="n"/>
      <c r="C49" s="403" t="n"/>
      <c r="D49" s="407" t="n"/>
      <c r="E49" s="403" t="n"/>
      <c r="F49" s="403" t="n"/>
      <c r="G49" s="403" t="n"/>
      <c r="H49" s="403" t="n"/>
    </row>
    <row r="50">
      <c r="A50" s="403" t="n"/>
      <c r="B50" s="403" t="n"/>
      <c r="C50" s="403" t="n"/>
      <c r="D50" s="407" t="n"/>
      <c r="E50" s="403" t="n"/>
      <c r="F50" s="403" t="n"/>
      <c r="G50" s="403" t="n"/>
      <c r="H50" s="403" t="n"/>
    </row>
    <row r="51">
      <c r="A51" s="403" t="n"/>
      <c r="B51" s="403" t="n"/>
      <c r="C51" s="403" t="n"/>
      <c r="D51" s="407" t="n"/>
      <c r="E51" s="403" t="n"/>
      <c r="F51" s="403" t="n"/>
      <c r="G51" s="403" t="n"/>
      <c r="H51" s="403" t="n"/>
    </row>
    <row r="52">
      <c r="A52" s="403" t="n"/>
      <c r="B52" s="403" t="n"/>
      <c r="C52" s="403" t="n"/>
      <c r="D52" s="407" t="n"/>
      <c r="E52" s="403" t="n"/>
      <c r="F52" s="403" t="n"/>
      <c r="G52" s="403" t="n"/>
      <c r="H52" s="403" t="n"/>
    </row>
    <row r="53">
      <c r="A53" s="403" t="n"/>
      <c r="B53" s="403" t="n"/>
      <c r="C53" s="403" t="n"/>
      <c r="D53" s="407" t="n"/>
      <c r="E53" s="403" t="n"/>
      <c r="F53" s="403" t="n"/>
      <c r="G53" s="403" t="n"/>
      <c r="H53" s="403" t="n"/>
    </row>
    <row r="54">
      <c r="A54" s="403" t="n"/>
      <c r="B54" s="403" t="n"/>
      <c r="C54" s="403" t="n"/>
      <c r="D54" s="407" t="n"/>
      <c r="E54" s="403" t="n"/>
      <c r="F54" s="403" t="n"/>
      <c r="G54" s="403" t="n"/>
      <c r="H54" s="403" t="n"/>
    </row>
    <row r="55">
      <c r="A55" s="403" t="n"/>
      <c r="B55" s="403" t="n"/>
      <c r="C55" s="403" t="n"/>
      <c r="D55" s="407" t="n"/>
      <c r="E55" s="403" t="n"/>
      <c r="F55" s="403" t="n"/>
      <c r="G55" s="403" t="n"/>
      <c r="H55" s="403" t="n"/>
    </row>
    <row r="56">
      <c r="A56" s="403" t="n"/>
      <c r="B56" s="403" t="n"/>
      <c r="C56" s="403" t="n"/>
      <c r="D56" s="407" t="n"/>
      <c r="E56" s="403" t="n"/>
      <c r="F56" s="403" t="n"/>
      <c r="G56" s="403" t="n"/>
      <c r="H56" s="403" t="n"/>
    </row>
    <row r="57">
      <c r="A57" s="403" t="n"/>
      <c r="B57" s="403" t="n"/>
      <c r="C57" s="403" t="n"/>
      <c r="D57" s="407" t="n"/>
      <c r="E57" s="403" t="n"/>
      <c r="F57" s="403" t="n"/>
      <c r="G57" s="403" t="n"/>
      <c r="H57" s="403" t="n"/>
    </row>
    <row r="58">
      <c r="A58" s="403" t="n"/>
      <c r="B58" s="403" t="n"/>
      <c r="C58" s="403" t="n"/>
      <c r="D58" s="407" t="n"/>
      <c r="E58" s="403" t="n"/>
      <c r="F58" s="403" t="n"/>
      <c r="G58" s="403" t="n"/>
      <c r="H58" s="403" t="n"/>
    </row>
    <row r="59">
      <c r="A59" s="403" t="n"/>
      <c r="B59" s="403" t="n"/>
      <c r="C59" s="403" t="n"/>
      <c r="D59" s="407" t="n"/>
      <c r="E59" s="403" t="n"/>
      <c r="F59" s="403" t="n"/>
      <c r="G59" s="403" t="n"/>
      <c r="H59" s="403" t="n"/>
    </row>
    <row r="60">
      <c r="A60" s="403" t="n"/>
      <c r="B60" s="403" t="n"/>
      <c r="C60" s="403" t="n"/>
      <c r="D60" s="407" t="n"/>
      <c r="E60" s="403" t="n"/>
      <c r="F60" s="403" t="n"/>
      <c r="G60" s="403" t="n"/>
      <c r="H60" s="403" t="n"/>
    </row>
    <row r="61">
      <c r="A61" s="403" t="n"/>
      <c r="B61" s="403" t="n"/>
      <c r="C61" s="403" t="n"/>
      <c r="D61" s="407" t="n"/>
      <c r="E61" s="403" t="n"/>
      <c r="F61" s="403" t="n"/>
      <c r="G61" s="403" t="n"/>
      <c r="H61" s="403" t="n"/>
    </row>
    <row r="62">
      <c r="A62" s="403" t="n"/>
      <c r="B62" s="403" t="n"/>
      <c r="C62" s="403" t="n"/>
      <c r="D62" s="407" t="n"/>
      <c r="E62" s="403" t="n"/>
      <c r="F62" s="403" t="n"/>
      <c r="G62" s="403" t="n"/>
      <c r="H62" s="403" t="n"/>
    </row>
    <row r="63">
      <c r="A63" s="403" t="n"/>
      <c r="B63" s="403" t="n"/>
      <c r="C63" s="403" t="n"/>
      <c r="D63" s="407" t="n"/>
      <c r="E63" s="403" t="n"/>
      <c r="F63" s="403" t="n"/>
      <c r="G63" s="403" t="n"/>
      <c r="H63" s="403" t="n"/>
    </row>
    <row r="64">
      <c r="A64" s="403" t="n"/>
      <c r="B64" s="403" t="n"/>
      <c r="C64" s="403" t="n"/>
      <c r="D64" s="407" t="n"/>
      <c r="E64" s="403" t="n"/>
      <c r="F64" s="403" t="n"/>
      <c r="G64" s="403" t="n"/>
      <c r="H64" s="403" t="n"/>
    </row>
    <row r="65">
      <c r="A65" s="403" t="n"/>
      <c r="B65" s="403" t="n"/>
      <c r="C65" s="403" t="n"/>
      <c r="D65" s="407" t="n"/>
      <c r="E65" s="403" t="n"/>
      <c r="F65" s="403" t="n"/>
      <c r="G65" s="403" t="n"/>
      <c r="H65" s="403" t="n"/>
    </row>
    <row r="66">
      <c r="A66" s="403" t="n"/>
      <c r="B66" s="403" t="n"/>
      <c r="C66" s="403" t="n"/>
      <c r="D66" s="407" t="n"/>
      <c r="E66" s="403" t="n"/>
      <c r="F66" s="403" t="n"/>
      <c r="G66" s="403" t="n"/>
      <c r="H66" s="403" t="n"/>
    </row>
    <row r="67">
      <c r="A67" s="403" t="n"/>
      <c r="B67" s="403" t="n"/>
      <c r="C67" s="403" t="n"/>
      <c r="D67" s="407" t="n"/>
      <c r="E67" s="403" t="n"/>
      <c r="F67" s="403" t="n"/>
      <c r="G67" s="403" t="n"/>
      <c r="H67" s="403" t="n"/>
    </row>
    <row r="68">
      <c r="A68" s="403" t="n"/>
      <c r="B68" s="403" t="n"/>
      <c r="C68" s="403" t="n"/>
      <c r="D68" s="407" t="n"/>
      <c r="E68" s="403" t="n"/>
      <c r="F68" s="403" t="n"/>
      <c r="G68" s="403" t="n"/>
      <c r="H68" s="403" t="n"/>
    </row>
    <row r="69">
      <c r="A69" s="403" t="n"/>
      <c r="B69" s="403" t="n"/>
      <c r="C69" s="403" t="n"/>
      <c r="D69" s="407" t="n"/>
      <c r="E69" s="403" t="n"/>
      <c r="F69" s="403" t="n"/>
      <c r="G69" s="403" t="n"/>
      <c r="H69" s="403" t="n"/>
    </row>
    <row r="70">
      <c r="A70" s="403" t="n"/>
      <c r="B70" s="403" t="n"/>
      <c r="C70" s="403" t="n"/>
      <c r="D70" s="410" t="n"/>
      <c r="E70" s="403" t="n"/>
      <c r="F70" s="403" t="n"/>
      <c r="G70" s="403" t="n"/>
      <c r="H70" s="403" t="n"/>
    </row>
    <row r="71">
      <c r="A71" s="403" t="n"/>
      <c r="B71" s="403" t="n"/>
      <c r="C71" s="403" t="n"/>
      <c r="D71" s="407" t="n"/>
      <c r="E71" s="403" t="n"/>
      <c r="F71" s="403" t="n"/>
      <c r="G71" s="403" t="n"/>
      <c r="H71" s="403" t="n"/>
    </row>
    <row r="72">
      <c r="A72" s="403" t="n"/>
      <c r="B72" s="403" t="n"/>
      <c r="C72" s="403" t="n"/>
      <c r="D72" s="407" t="n"/>
      <c r="E72" s="403" t="n"/>
      <c r="F72" s="403" t="n"/>
      <c r="G72" s="403" t="n"/>
      <c r="H72" s="403" t="n"/>
    </row>
    <row r="73">
      <c r="A73" s="403" t="n"/>
      <c r="B73" s="403" t="n"/>
      <c r="C73" s="403" t="n"/>
      <c r="D73" s="410" t="n"/>
      <c r="E73" s="403" t="n"/>
      <c r="F73" s="403" t="n"/>
      <c r="G73" s="403" t="n"/>
      <c r="H73" s="403" t="n"/>
    </row>
    <row r="74">
      <c r="A74" s="403" t="n"/>
      <c r="B74" s="403" t="n"/>
      <c r="C74" s="403" t="n"/>
      <c r="D74" s="407" t="n"/>
      <c r="E74" s="403" t="n"/>
      <c r="F74" s="403" t="n"/>
      <c r="G74" s="403" t="n"/>
      <c r="H74" s="403" t="n"/>
    </row>
    <row r="75">
      <c r="A75" s="403" t="n"/>
      <c r="B75" s="403" t="n"/>
      <c r="C75" s="403" t="n"/>
      <c r="D75" s="407" t="n"/>
      <c r="E75" s="403" t="n"/>
      <c r="F75" s="403" t="n"/>
      <c r="G75" s="403" t="n"/>
      <c r="H75" s="403" t="n"/>
    </row>
    <row r="76">
      <c r="A76" s="403" t="n"/>
      <c r="B76" s="403" t="n"/>
      <c r="C76" s="403" t="n"/>
      <c r="D76" s="410" t="n"/>
      <c r="E76" s="403" t="n"/>
      <c r="F76" s="403" t="n"/>
      <c r="G76" s="403" t="n"/>
      <c r="H76" s="403" t="n"/>
    </row>
    <row r="77">
      <c r="A77" s="403" t="n"/>
      <c r="B77" s="403" t="n"/>
      <c r="C77" s="403" t="n"/>
      <c r="D77" s="410" t="n"/>
      <c r="E77" s="403" t="n"/>
      <c r="F77" s="403" t="n"/>
      <c r="G77" s="403" t="n"/>
      <c r="H77" s="403" t="n"/>
    </row>
    <row r="78">
      <c r="A78" s="403" t="n"/>
      <c r="B78" s="403" t="n"/>
      <c r="C78" s="403" t="n"/>
      <c r="D78" s="410" t="n"/>
      <c r="E78" s="403" t="n"/>
      <c r="F78" s="403" t="n"/>
      <c r="G78" s="403" t="n"/>
      <c r="H78" s="403" t="n"/>
    </row>
    <row r="79">
      <c r="A79" s="403" t="n"/>
      <c r="B79" s="403" t="n"/>
      <c r="C79" s="403" t="n"/>
      <c r="D79" s="407" t="n"/>
      <c r="E79" s="403" t="n"/>
      <c r="F79" s="403" t="n"/>
      <c r="G79" s="403" t="n"/>
      <c r="H79" s="403" t="n"/>
    </row>
    <row r="80">
      <c r="A80" s="403" t="n"/>
      <c r="B80" s="403" t="n"/>
      <c r="C80" s="403" t="n"/>
      <c r="D80" s="410" t="n"/>
      <c r="E80" s="403" t="n"/>
      <c r="F80" s="403" t="n"/>
      <c r="G80" s="403" t="n"/>
      <c r="H80" s="403" t="n"/>
    </row>
    <row r="81">
      <c r="A81" s="403" t="n"/>
      <c r="B81" s="403" t="n"/>
      <c r="C81" s="403" t="n"/>
      <c r="D81" s="407" t="n"/>
      <c r="E81" s="403" t="n"/>
      <c r="F81" s="403" t="n"/>
      <c r="G81" s="403" t="n"/>
      <c r="H81" s="403" t="n"/>
    </row>
    <row r="82">
      <c r="A82" s="403" t="n"/>
      <c r="B82" s="403" t="n"/>
      <c r="C82" s="403" t="n"/>
      <c r="D82" s="407" t="n"/>
      <c r="E82" s="403" t="n"/>
      <c r="F82" s="403" t="n"/>
      <c r="G82" s="403" t="n"/>
      <c r="H82" s="403" t="n"/>
    </row>
    <row r="83">
      <c r="A83" s="403" t="n"/>
      <c r="B83" s="403" t="n"/>
      <c r="C83" s="403" t="n"/>
      <c r="D83" s="407" t="n"/>
      <c r="E83" s="403" t="n"/>
      <c r="F83" s="403" t="n"/>
      <c r="G83" s="403" t="n"/>
      <c r="H83" s="403" t="n"/>
    </row>
    <row r="84">
      <c r="A84" s="403" t="n"/>
      <c r="B84" s="403" t="n"/>
      <c r="C84" s="403" t="n"/>
      <c r="D84" s="407" t="n"/>
      <c r="E84" s="403" t="n"/>
      <c r="F84" s="403" t="n"/>
      <c r="G84" s="403" t="n"/>
      <c r="H84" s="403" t="n"/>
    </row>
    <row r="85">
      <c r="A85" s="403" t="n"/>
      <c r="B85" s="403" t="n"/>
      <c r="C85" s="403" t="n"/>
      <c r="D85" s="410" t="n"/>
      <c r="E85" s="403" t="n"/>
      <c r="F85" s="403" t="n"/>
      <c r="G85" s="403" t="n"/>
      <c r="H85" s="403" t="n"/>
    </row>
    <row r="86">
      <c r="A86" s="403" t="n"/>
      <c r="B86" s="403" t="n"/>
      <c r="C86" s="403" t="n"/>
      <c r="D86" s="407" t="n"/>
      <c r="E86" s="403" t="n"/>
      <c r="F86" s="403" t="n"/>
      <c r="G86" s="403" t="n"/>
      <c r="H86" s="403" t="n"/>
    </row>
    <row r="87">
      <c r="A87" s="403" t="n"/>
      <c r="B87" s="403" t="n"/>
      <c r="C87" s="403" t="n"/>
      <c r="D87" s="407" t="n"/>
      <c r="E87" s="403" t="n"/>
      <c r="F87" s="403" t="n"/>
      <c r="G87" s="403" t="n"/>
      <c r="H87" s="403" t="n"/>
    </row>
    <row r="88">
      <c r="A88" s="403" t="n"/>
      <c r="B88" s="403" t="n"/>
      <c r="C88" s="403" t="n"/>
      <c r="D88" s="407" t="n"/>
      <c r="E88" s="403" t="n"/>
      <c r="F88" s="403" t="n"/>
      <c r="G88" s="403" t="n"/>
      <c r="H88" s="403" t="n"/>
    </row>
    <row r="89">
      <c r="A89" s="403" t="n"/>
      <c r="B89" s="403" t="n"/>
      <c r="C89" s="403" t="n"/>
      <c r="D89" s="407" t="n"/>
      <c r="E89" s="403" t="n"/>
      <c r="F89" s="403" t="n"/>
      <c r="G89" s="403" t="n"/>
      <c r="H89" s="403" t="n"/>
    </row>
    <row r="90">
      <c r="A90" s="403" t="n"/>
      <c r="B90" s="403" t="n"/>
      <c r="C90" s="403" t="n"/>
      <c r="D90" s="407" t="n"/>
      <c r="E90" s="403" t="n"/>
      <c r="F90" s="403" t="n"/>
      <c r="G90" s="403" t="n"/>
      <c r="H90" s="403" t="n"/>
    </row>
    <row r="91">
      <c r="A91" s="403" t="n"/>
      <c r="B91" s="403" t="n"/>
      <c r="C91" s="403" t="n"/>
      <c r="D91" s="407" t="n"/>
      <c r="E91" s="403" t="n"/>
      <c r="F91" s="403" t="n"/>
      <c r="G91" s="403" t="n"/>
      <c r="H91" s="403" t="n"/>
    </row>
    <row r="92">
      <c r="A92" s="403" t="n"/>
      <c r="B92" s="403" t="n"/>
      <c r="C92" s="403" t="n"/>
      <c r="D92" s="407" t="n"/>
      <c r="E92" s="403" t="n"/>
      <c r="F92" s="403" t="n"/>
      <c r="G92" s="403" t="n"/>
      <c r="H92" s="403" t="n"/>
    </row>
    <row r="93">
      <c r="A93" s="403" t="n"/>
      <c r="B93" s="403" t="n"/>
      <c r="C93" s="403" t="n"/>
      <c r="D93" s="407" t="n"/>
      <c r="E93" s="403" t="n"/>
      <c r="F93" s="403" t="n"/>
      <c r="G93" s="403" t="n"/>
      <c r="H93" s="403" t="n"/>
    </row>
    <row r="94">
      <c r="A94" s="403" t="n"/>
      <c r="B94" s="403" t="n"/>
      <c r="C94" s="403" t="n"/>
      <c r="D94" s="407" t="n"/>
      <c r="E94" s="403" t="n"/>
      <c r="F94" s="403" t="n"/>
      <c r="G94" s="403" t="n"/>
      <c r="H94" s="403" t="n"/>
    </row>
    <row r="95">
      <c r="A95" s="403" t="n"/>
      <c r="B95" s="403" t="n"/>
      <c r="C95" s="403" t="n"/>
      <c r="D95" s="407" t="n"/>
      <c r="E95" s="403" t="n"/>
      <c r="F95" s="403" t="n"/>
      <c r="G95" s="403" t="n"/>
      <c r="H95" s="403" t="n"/>
    </row>
    <row r="96">
      <c r="A96" s="403" t="n"/>
      <c r="B96" s="403" t="n"/>
      <c r="C96" s="403" t="n"/>
      <c r="D96" s="410" t="n"/>
      <c r="E96" s="403" t="n"/>
      <c r="F96" s="403" t="n"/>
      <c r="G96" s="403" t="n"/>
      <c r="H96" s="403" t="n"/>
    </row>
    <row r="97">
      <c r="A97" s="403" t="n"/>
      <c r="B97" s="403" t="n"/>
      <c r="C97" s="403" t="n"/>
      <c r="D97" s="410" t="n"/>
      <c r="E97" s="403" t="n"/>
      <c r="F97" s="403" t="n"/>
      <c r="G97" s="403" t="n"/>
      <c r="H97" s="403" t="n"/>
    </row>
    <row r="98">
      <c r="A98" s="403" t="n"/>
      <c r="B98" s="403" t="n"/>
      <c r="C98" s="403" t="n"/>
      <c r="D98" s="407" t="n"/>
      <c r="E98" s="403" t="n"/>
      <c r="F98" s="403" t="n"/>
      <c r="G98" s="403" t="n"/>
      <c r="H98" s="403" t="n"/>
    </row>
    <row r="99">
      <c r="A99" s="403" t="n"/>
      <c r="B99" s="403" t="n"/>
      <c r="C99" s="403" t="n"/>
      <c r="D99" s="407" t="n"/>
      <c r="E99" s="403" t="n"/>
      <c r="F99" s="403" t="n"/>
      <c r="G99" s="403" t="n"/>
      <c r="H99" s="403" t="n"/>
    </row>
    <row r="100">
      <c r="A100" s="403" t="n"/>
      <c r="B100" s="403" t="n"/>
      <c r="C100" s="403" t="n"/>
      <c r="D100" s="407" t="n"/>
      <c r="E100" s="403" t="n"/>
      <c r="F100" s="403" t="n"/>
      <c r="G100" s="403" t="n"/>
      <c r="H100" s="403" t="n"/>
    </row>
    <row r="101">
      <c r="A101" s="403" t="n"/>
      <c r="B101" s="403" t="n"/>
      <c r="C101" s="403" t="n"/>
      <c r="D101" s="407" t="n"/>
      <c r="E101" s="403" t="n"/>
      <c r="F101" s="403" t="n"/>
      <c r="G101" s="403" t="n"/>
      <c r="H101" s="403" t="n"/>
    </row>
    <row r="102">
      <c r="A102" s="403" t="n"/>
      <c r="B102" s="403" t="n"/>
      <c r="C102" s="403" t="n"/>
      <c r="D102" s="407" t="n"/>
      <c r="E102" s="403" t="n"/>
      <c r="F102" s="403" t="n"/>
      <c r="G102" s="403" t="n"/>
      <c r="H102" s="403" t="n"/>
    </row>
    <row r="103">
      <c r="A103" s="403" t="n"/>
      <c r="B103" s="403" t="n"/>
      <c r="C103" s="403" t="n"/>
      <c r="D103" s="407" t="n"/>
      <c r="E103" s="403" t="n"/>
      <c r="F103" s="403" t="n"/>
      <c r="G103" s="403" t="n"/>
      <c r="H103" s="403" t="n"/>
    </row>
    <row r="104">
      <c r="A104" s="403" t="n"/>
      <c r="B104" s="403" t="n"/>
      <c r="C104" s="403" t="n"/>
      <c r="D104" s="410" t="n"/>
      <c r="E104" s="403" t="n"/>
      <c r="F104" s="403" t="n"/>
      <c r="G104" s="403" t="n"/>
      <c r="H104" s="403" t="n"/>
    </row>
    <row r="105">
      <c r="A105" s="403" t="n"/>
      <c r="B105" s="403" t="n"/>
      <c r="C105" s="403" t="n"/>
      <c r="D105" s="407" t="n"/>
      <c r="E105" s="403" t="n"/>
      <c r="F105" s="403" t="n"/>
      <c r="G105" s="403" t="n"/>
      <c r="H105" s="403" t="n"/>
    </row>
    <row r="106">
      <c r="A106" s="403" t="n"/>
      <c r="B106" s="403" t="n"/>
      <c r="C106" s="403" t="n"/>
      <c r="D106" s="407" t="n"/>
      <c r="E106" s="403" t="n"/>
      <c r="F106" s="403" t="n"/>
      <c r="G106" s="403" t="n"/>
      <c r="H106" s="403" t="n"/>
    </row>
    <row r="107">
      <c r="A107" s="403" t="n"/>
      <c r="B107" s="403" t="n"/>
      <c r="C107" s="403" t="n"/>
      <c r="D107" s="407" t="n"/>
      <c r="E107" s="403" t="n"/>
      <c r="F107" s="403" t="n"/>
      <c r="G107" s="403" t="n"/>
      <c r="H107" s="403" t="n"/>
    </row>
    <row r="108">
      <c r="A108" s="403" t="n"/>
      <c r="B108" s="403" t="n"/>
      <c r="C108" s="403" t="n"/>
      <c r="D108" s="410" t="n"/>
      <c r="E108" s="403" t="n"/>
      <c r="F108" s="403" t="n"/>
      <c r="G108" s="403" t="n"/>
      <c r="H108" s="403" t="n"/>
    </row>
    <row r="109">
      <c r="A109" s="403" t="n"/>
      <c r="B109" s="403" t="n"/>
      <c r="C109" s="403" t="n"/>
      <c r="D109" s="410" t="n"/>
      <c r="E109" s="403" t="n"/>
      <c r="F109" s="403" t="n"/>
      <c r="G109" s="403" t="n"/>
      <c r="H109" s="403" t="n"/>
    </row>
    <row r="110">
      <c r="A110" s="403" t="n"/>
      <c r="B110" s="403" t="n"/>
      <c r="C110" s="403" t="n"/>
      <c r="D110" s="408" t="n"/>
      <c r="E110" s="403" t="n"/>
      <c r="F110" s="403" t="n"/>
      <c r="G110" s="403" t="n"/>
      <c r="H110" s="403" t="n"/>
    </row>
    <row r="111">
      <c r="A111" s="403" t="n"/>
      <c r="B111" s="403" t="n"/>
      <c r="C111" s="403" t="n"/>
      <c r="D111" s="408" t="n"/>
      <c r="E111" s="403" t="n"/>
      <c r="F111" s="403" t="n"/>
      <c r="G111" s="403" t="n"/>
      <c r="H111" s="403" t="n"/>
    </row>
    <row r="112">
      <c r="A112" s="403" t="n"/>
      <c r="B112" s="403" t="n"/>
      <c r="C112" s="403" t="n"/>
      <c r="D112" s="407" t="n"/>
      <c r="E112" s="403" t="n"/>
      <c r="F112" s="403" t="n"/>
      <c r="G112" s="403" t="n"/>
      <c r="H112" s="403" t="n"/>
    </row>
    <row r="113">
      <c r="A113" s="403" t="n"/>
      <c r="B113" s="403" t="n"/>
      <c r="C113" s="403" t="n"/>
      <c r="D113" s="407" t="n"/>
      <c r="E113" s="403" t="n"/>
      <c r="F113" s="403" t="n"/>
      <c r="G113" s="403" t="n"/>
      <c r="H113" s="403" t="n"/>
    </row>
    <row r="114">
      <c r="A114" s="403" t="n"/>
      <c r="B114" s="403" t="n"/>
      <c r="C114" s="403" t="n"/>
      <c r="D114" s="407" t="n"/>
      <c r="E114" s="403" t="n"/>
      <c r="F114" s="403" t="n"/>
      <c r="G114" s="403" t="n"/>
      <c r="H114" s="403" t="n"/>
    </row>
    <row r="115">
      <c r="A115" s="403" t="n"/>
      <c r="B115" s="403" t="n"/>
      <c r="C115" s="403" t="n"/>
      <c r="D115" s="407" t="n"/>
      <c r="E115" s="403" t="n"/>
      <c r="F115" s="403" t="n"/>
      <c r="G115" s="403" t="n"/>
      <c r="H115" s="403" t="n"/>
    </row>
    <row r="116">
      <c r="A116" s="403" t="n"/>
      <c r="B116" s="403" t="n"/>
      <c r="C116" s="403" t="n"/>
      <c r="D116" s="410" t="n"/>
      <c r="E116" s="403" t="n"/>
      <c r="F116" s="403" t="n"/>
      <c r="G116" s="403" t="n"/>
      <c r="H116" s="403" t="n"/>
    </row>
    <row r="117">
      <c r="A117" s="403" t="n"/>
      <c r="B117" s="403" t="n"/>
      <c r="C117" s="403" t="n"/>
      <c r="D117" s="410" t="n"/>
      <c r="E117" s="403" t="n"/>
      <c r="F117" s="403" t="n"/>
      <c r="G117" s="403" t="n"/>
      <c r="H117" s="403" t="n"/>
    </row>
    <row r="118">
      <c r="A118" s="403" t="n"/>
      <c r="B118" s="403" t="n"/>
      <c r="C118" s="403" t="n"/>
      <c r="D118" s="407" t="n"/>
      <c r="E118" s="403" t="n"/>
      <c r="F118" s="403" t="n"/>
      <c r="G118" s="403" t="n"/>
      <c r="H118" s="403" t="n"/>
    </row>
    <row r="119">
      <c r="A119" s="403" t="n"/>
      <c r="B119" s="403" t="n"/>
      <c r="C119" s="403" t="n"/>
      <c r="D119" s="410" t="n"/>
      <c r="E119" s="403" t="n"/>
      <c r="F119" s="403" t="n"/>
      <c r="G119" s="403" t="n"/>
      <c r="H119" s="403" t="n"/>
    </row>
    <row r="120">
      <c r="A120" s="403" t="n"/>
      <c r="B120" s="403" t="n"/>
      <c r="C120" s="403" t="n"/>
      <c r="D120" s="407" t="n"/>
      <c r="E120" s="403" t="n"/>
      <c r="F120" s="403" t="n"/>
      <c r="G120" s="403" t="n"/>
      <c r="H120" s="403" t="n"/>
    </row>
    <row r="121">
      <c r="A121" s="403" t="n"/>
      <c r="B121" s="403" t="n"/>
      <c r="C121" s="403" t="n"/>
      <c r="D121" s="410" t="n"/>
      <c r="E121" s="403" t="n"/>
      <c r="F121" s="403" t="n"/>
      <c r="G121" s="403" t="n"/>
      <c r="H121" s="403" t="n"/>
    </row>
    <row r="122">
      <c r="A122" s="403" t="n"/>
      <c r="B122" s="403" t="n"/>
      <c r="C122" s="403" t="n"/>
      <c r="D122" s="410" t="n"/>
      <c r="E122" s="403" t="n"/>
      <c r="F122" s="403" t="n"/>
      <c r="G122" s="403" t="n"/>
      <c r="H122" s="403" t="n"/>
    </row>
    <row r="123">
      <c r="A123" s="403" t="n"/>
      <c r="B123" s="403" t="n"/>
      <c r="C123" s="403" t="n"/>
      <c r="D123" s="407" t="n"/>
      <c r="E123" s="403" t="n"/>
      <c r="F123" s="403" t="n"/>
      <c r="G123" s="403" t="n"/>
      <c r="H123" s="403" t="n"/>
    </row>
    <row r="124">
      <c r="A124" s="403" t="n"/>
      <c r="B124" s="403" t="n"/>
      <c r="C124" s="403" t="n"/>
      <c r="D124" s="407" t="n"/>
      <c r="E124" s="403" t="n"/>
      <c r="F124" s="403" t="n"/>
      <c r="G124" s="403" t="n"/>
      <c r="H124" s="403" t="n"/>
    </row>
    <row r="125">
      <c r="A125" s="403" t="n"/>
      <c r="B125" s="403" t="n"/>
      <c r="C125" s="403" t="n"/>
      <c r="D125" s="410" t="n"/>
      <c r="E125" s="403" t="n"/>
      <c r="F125" s="403" t="n"/>
      <c r="G125" s="403" t="n"/>
      <c r="H125" s="403" t="n"/>
    </row>
    <row r="126">
      <c r="A126" s="403" t="n"/>
      <c r="B126" s="403" t="n"/>
      <c r="C126" s="403" t="n"/>
      <c r="D126" s="408" t="n"/>
      <c r="E126" s="403" t="n"/>
      <c r="F126" s="403" t="n"/>
      <c r="G126" s="403" t="n"/>
      <c r="H126" s="403" t="n"/>
    </row>
    <row r="127">
      <c r="A127" s="403" t="n"/>
      <c r="B127" s="403" t="n"/>
      <c r="C127" s="403" t="n"/>
      <c r="D127" s="408" t="n"/>
      <c r="E127" s="403" t="n"/>
      <c r="F127" s="403" t="n"/>
      <c r="G127" s="403" t="n"/>
      <c r="H127" s="403" t="n"/>
    </row>
    <row r="128">
      <c r="A128" s="403" t="n"/>
      <c r="B128" s="403" t="n"/>
      <c r="C128" s="403" t="n"/>
      <c r="D128" s="408" t="n"/>
      <c r="E128" s="403" t="n"/>
      <c r="F128" s="403" t="n"/>
      <c r="G128" s="403" t="n"/>
      <c r="H128" s="403" t="n"/>
    </row>
    <row r="129">
      <c r="A129" s="403" t="n"/>
      <c r="B129" s="403" t="n"/>
      <c r="C129" s="403" t="n"/>
      <c r="D129" s="407" t="n"/>
      <c r="E129" s="403" t="n"/>
      <c r="F129" s="403" t="n"/>
      <c r="G129" s="403" t="n"/>
      <c r="H129" s="403" t="n"/>
    </row>
    <row r="130">
      <c r="A130" s="403" t="n"/>
      <c r="B130" s="403" t="n"/>
      <c r="C130" s="403" t="n"/>
      <c r="D130" s="407" t="n"/>
      <c r="E130" s="403" t="n"/>
      <c r="F130" s="403" t="n"/>
      <c r="G130" s="403" t="n"/>
      <c r="H130" s="403" t="n"/>
    </row>
    <row r="131">
      <c r="A131" s="403" t="n"/>
      <c r="B131" s="403" t="n"/>
      <c r="C131" s="403" t="n"/>
      <c r="D131" s="407" t="n"/>
      <c r="E131" s="403" t="n"/>
      <c r="F131" s="403" t="n"/>
      <c r="G131" s="403" t="n"/>
      <c r="H131" s="403" t="n"/>
    </row>
    <row r="132">
      <c r="A132" s="403" t="n"/>
      <c r="B132" s="403" t="n"/>
      <c r="C132" s="403" t="n"/>
      <c r="D132" s="407" t="n"/>
      <c r="E132" s="403" t="n"/>
      <c r="F132" s="403" t="n"/>
      <c r="G132" s="403" t="n"/>
      <c r="H132" s="403" t="n"/>
    </row>
    <row r="133">
      <c r="A133" s="403" t="n"/>
      <c r="B133" s="403" t="n"/>
      <c r="C133" s="403" t="n"/>
      <c r="D133" s="410" t="n"/>
      <c r="E133" s="403" t="n"/>
      <c r="F133" s="403" t="n"/>
      <c r="G133" s="403" t="n"/>
      <c r="H133" s="403" t="n"/>
    </row>
    <row r="134">
      <c r="A134" s="403" t="n"/>
      <c r="B134" s="403" t="n"/>
      <c r="C134" s="403" t="n"/>
      <c r="D134" s="407" t="n"/>
      <c r="E134" s="403" t="n"/>
      <c r="F134" s="403" t="n"/>
      <c r="G134" s="403" t="n"/>
      <c r="H134" s="403" t="n"/>
    </row>
    <row r="135">
      <c r="A135" s="403" t="n"/>
      <c r="B135" s="403" t="n"/>
      <c r="C135" s="403" t="n"/>
      <c r="D135" s="407" t="n"/>
      <c r="E135" s="403" t="n"/>
      <c r="F135" s="403" t="n"/>
      <c r="G135" s="403" t="n"/>
      <c r="H135" s="403" t="n"/>
    </row>
    <row r="136">
      <c r="A136" s="403" t="n"/>
      <c r="B136" s="403" t="n"/>
      <c r="C136" s="403" t="n"/>
      <c r="D136" s="407" t="n"/>
      <c r="E136" s="403" t="n"/>
      <c r="F136" s="403" t="n"/>
      <c r="G136" s="403" t="n"/>
      <c r="H136" s="403" t="n"/>
    </row>
    <row r="137">
      <c r="A137" s="403" t="n"/>
      <c r="B137" s="403" t="n"/>
      <c r="C137" s="403" t="n"/>
      <c r="D137" s="407" t="n"/>
      <c r="E137" s="403" t="n"/>
      <c r="F137" s="403" t="n"/>
      <c r="G137" s="403" t="n"/>
      <c r="H137" s="403" t="n"/>
    </row>
    <row r="138">
      <c r="A138" s="403" t="n"/>
      <c r="B138" s="403" t="n"/>
      <c r="C138" s="403" t="n"/>
      <c r="D138" s="407" t="n"/>
      <c r="E138" s="403" t="n"/>
      <c r="F138" s="403" t="n"/>
      <c r="G138" s="403" t="n"/>
      <c r="H138" s="403" t="n"/>
    </row>
    <row r="139">
      <c r="A139" s="403" t="n"/>
      <c r="B139" s="403" t="n"/>
      <c r="C139" s="403" t="n"/>
      <c r="D139" s="407" t="n"/>
      <c r="E139" s="403" t="n"/>
      <c r="F139" s="403" t="n"/>
      <c r="G139" s="403" t="n"/>
      <c r="H139" s="403" t="n"/>
    </row>
    <row r="140">
      <c r="A140" s="403" t="n"/>
      <c r="B140" s="403" t="n"/>
      <c r="C140" s="403" t="n"/>
      <c r="D140" s="407" t="n"/>
      <c r="E140" s="403" t="n"/>
      <c r="F140" s="403" t="n"/>
      <c r="G140" s="403" t="n"/>
      <c r="H140" s="403" t="n"/>
    </row>
    <row r="141">
      <c r="A141" s="403" t="n"/>
      <c r="B141" s="403" t="n"/>
      <c r="C141" s="403" t="n"/>
      <c r="D141" s="410" t="n"/>
      <c r="E141" s="403" t="n"/>
      <c r="F141" s="403" t="n"/>
      <c r="G141" s="403" t="n"/>
      <c r="H141" s="403" t="n"/>
    </row>
    <row r="142">
      <c r="A142" s="403" t="n"/>
      <c r="B142" s="403" t="n"/>
      <c r="C142" s="403" t="n"/>
      <c r="D142" s="408" t="n"/>
      <c r="E142" s="403" t="n"/>
      <c r="F142" s="403" t="n"/>
      <c r="G142" s="403" t="n"/>
      <c r="H142" s="403" t="n"/>
    </row>
    <row r="143">
      <c r="A143" s="403" t="n"/>
      <c r="B143" s="403" t="n"/>
      <c r="C143" s="403" t="n"/>
      <c r="D143" s="407" t="n"/>
      <c r="E143" s="403" t="n"/>
      <c r="F143" s="403" t="n"/>
      <c r="G143" s="403" t="n"/>
      <c r="H143" s="403" t="n"/>
    </row>
    <row r="144">
      <c r="A144" s="403" t="n"/>
      <c r="B144" s="403" t="n"/>
      <c r="C144" s="403" t="n"/>
      <c r="D144" s="407" t="n"/>
      <c r="E144" s="403" t="n"/>
      <c r="F144" s="403" t="n"/>
      <c r="G144" s="403" t="n"/>
      <c r="H144" s="403" t="n"/>
    </row>
    <row r="145">
      <c r="A145" s="403" t="n"/>
      <c r="B145" s="403" t="n"/>
      <c r="C145" s="403" t="n"/>
      <c r="D145" s="407" t="n"/>
      <c r="E145" s="403" t="n"/>
      <c r="F145" s="403" t="n"/>
      <c r="G145" s="403" t="n"/>
      <c r="H145" s="403" t="n"/>
    </row>
    <row r="146">
      <c r="A146" s="403" t="n"/>
      <c r="B146" s="403" t="n"/>
      <c r="C146" s="403" t="n"/>
      <c r="D146" s="407" t="n"/>
      <c r="E146" s="403" t="n"/>
      <c r="F146" s="403" t="n"/>
      <c r="G146" s="403" t="n"/>
      <c r="H146" s="403" t="n"/>
    </row>
    <row r="147">
      <c r="A147" s="403" t="n"/>
      <c r="B147" s="403" t="n"/>
      <c r="C147" s="403" t="n"/>
      <c r="D147" s="407" t="n"/>
      <c r="E147" s="403" t="n"/>
      <c r="F147" s="403" t="n"/>
      <c r="G147" s="403" t="n"/>
      <c r="H147" s="403" t="n"/>
    </row>
    <row r="148">
      <c r="A148" s="403" t="n"/>
      <c r="B148" s="403" t="n"/>
      <c r="C148" s="403" t="n"/>
      <c r="D148" s="407" t="n"/>
      <c r="E148" s="403" t="n"/>
      <c r="F148" s="403" t="n"/>
      <c r="G148" s="403" t="n"/>
      <c r="H148" s="403" t="n"/>
    </row>
    <row r="149">
      <c r="A149" s="403" t="n"/>
      <c r="B149" s="403" t="n"/>
      <c r="C149" s="403" t="n"/>
      <c r="D149" s="407" t="n"/>
      <c r="E149" s="403" t="n"/>
      <c r="F149" s="403" t="n"/>
      <c r="G149" s="403" t="n"/>
      <c r="H149" s="403" t="n"/>
    </row>
    <row r="150">
      <c r="A150" s="403" t="n"/>
      <c r="B150" s="403" t="n"/>
      <c r="C150" s="403" t="n"/>
      <c r="D150" s="407" t="n"/>
      <c r="E150" s="403" t="n"/>
      <c r="F150" s="403" t="n"/>
      <c r="G150" s="403" t="n"/>
      <c r="H150" s="403" t="n"/>
    </row>
    <row r="151">
      <c r="A151" s="403" t="n"/>
      <c r="B151" s="403" t="n"/>
      <c r="C151" s="403" t="n"/>
      <c r="D151" s="410" t="n"/>
      <c r="E151" s="403" t="n"/>
      <c r="F151" s="403" t="n"/>
      <c r="G151" s="403" t="n"/>
      <c r="H151" s="403" t="n"/>
    </row>
    <row r="152">
      <c r="A152" s="403" t="n"/>
      <c r="B152" s="403" t="n"/>
      <c r="C152" s="403" t="n"/>
      <c r="D152" s="410" t="n"/>
      <c r="E152" s="403" t="n"/>
      <c r="F152" s="403" t="n"/>
      <c r="G152" s="403" t="n"/>
      <c r="H152" s="403" t="n"/>
    </row>
    <row r="153">
      <c r="A153" s="403" t="n"/>
      <c r="B153" s="403" t="n"/>
      <c r="C153" s="403" t="n"/>
      <c r="D153" s="410" t="n"/>
      <c r="E153" s="403" t="n"/>
      <c r="F153" s="403" t="n"/>
      <c r="G153" s="403" t="n"/>
      <c r="H153" s="403" t="n"/>
    </row>
    <row r="154">
      <c r="A154" s="403" t="n"/>
      <c r="B154" s="403" t="n"/>
      <c r="C154" s="403" t="n"/>
      <c r="D154" s="407" t="n"/>
      <c r="E154" s="403" t="n"/>
      <c r="F154" s="403" t="n"/>
      <c r="G154" s="403" t="n"/>
      <c r="H154" s="403" t="n"/>
    </row>
    <row r="155">
      <c r="A155" s="403" t="n"/>
      <c r="B155" s="403" t="n"/>
      <c r="C155" s="403" t="n"/>
      <c r="D155" s="407" t="n"/>
      <c r="E155" s="403" t="n"/>
      <c r="F155" s="403" t="n"/>
      <c r="G155" s="403" t="n"/>
      <c r="H155" s="403" t="n"/>
    </row>
    <row r="156">
      <c r="A156" s="403" t="n"/>
      <c r="B156" s="403" t="n"/>
      <c r="C156" s="403" t="n"/>
      <c r="D156" s="407" t="n"/>
      <c r="E156" s="403" t="n"/>
      <c r="F156" s="403" t="n"/>
      <c r="G156" s="403" t="n"/>
      <c r="H156" s="403" t="n"/>
    </row>
    <row r="157">
      <c r="A157" s="403" t="n"/>
      <c r="B157" s="403" t="n"/>
      <c r="C157" s="403" t="n"/>
      <c r="D157" s="410" t="n"/>
      <c r="E157" s="403" t="n"/>
      <c r="F157" s="403" t="n"/>
      <c r="G157" s="403" t="n"/>
      <c r="H157" s="403" t="n"/>
    </row>
    <row r="158">
      <c r="A158" s="403" t="n"/>
      <c r="B158" s="403" t="n"/>
      <c r="C158" s="403" t="n"/>
      <c r="D158" s="407" t="n"/>
      <c r="E158" s="403" t="n"/>
      <c r="F158" s="403" t="n"/>
      <c r="G158" s="403" t="n"/>
      <c r="H158" s="403" t="n"/>
    </row>
    <row r="159">
      <c r="A159" s="403" t="n"/>
      <c r="B159" s="403" t="n"/>
      <c r="C159" s="403" t="n"/>
      <c r="D159" s="407" t="n"/>
      <c r="E159" s="403" t="n"/>
      <c r="F159" s="403" t="n"/>
      <c r="G159" s="403" t="n"/>
      <c r="H159" s="403" t="n"/>
    </row>
    <row r="160">
      <c r="A160" s="403" t="n"/>
      <c r="B160" s="403" t="n"/>
      <c r="C160" s="403" t="n"/>
      <c r="D160" s="407" t="n"/>
      <c r="E160" s="403" t="n"/>
      <c r="F160" s="403" t="n"/>
      <c r="G160" s="403" t="n"/>
      <c r="H160" s="403" t="n"/>
    </row>
    <row r="161">
      <c r="A161" s="403" t="n"/>
      <c r="B161" s="403" t="n"/>
      <c r="C161" s="403" t="n"/>
      <c r="D161" s="410" t="n"/>
      <c r="E161" s="403" t="n"/>
      <c r="F161" s="403" t="n"/>
      <c r="G161" s="403" t="n"/>
      <c r="H161" s="403" t="n"/>
    </row>
    <row r="162">
      <c r="A162" s="403" t="n"/>
      <c r="B162" s="403" t="n"/>
      <c r="C162" s="403" t="n"/>
      <c r="D162" s="407" t="n"/>
      <c r="E162" s="403" t="n"/>
      <c r="F162" s="403" t="n"/>
      <c r="G162" s="403" t="n"/>
      <c r="H162" s="403" t="n"/>
    </row>
    <row r="163">
      <c r="A163" s="403" t="n"/>
      <c r="B163" s="403" t="n"/>
      <c r="C163" s="403" t="n"/>
      <c r="D163" s="407" t="n"/>
      <c r="E163" s="403" t="n"/>
      <c r="F163" s="403" t="n"/>
      <c r="G163" s="403" t="n"/>
      <c r="H163" s="403" t="n"/>
    </row>
    <row r="164">
      <c r="A164" s="403" t="n"/>
      <c r="B164" s="403" t="n"/>
      <c r="C164" s="403" t="n"/>
      <c r="D164" s="407" t="n"/>
      <c r="E164" s="403" t="n"/>
      <c r="F164" s="403" t="n"/>
      <c r="G164" s="403" t="n"/>
      <c r="H164" s="403" t="n"/>
    </row>
    <row r="165">
      <c r="A165" s="403" t="n"/>
      <c r="B165" s="403" t="n"/>
      <c r="C165" s="403" t="n"/>
      <c r="D165" s="407" t="n"/>
      <c r="E165" s="403" t="n"/>
      <c r="F165" s="403" t="n"/>
      <c r="G165" s="403" t="n"/>
      <c r="H165" s="403" t="n"/>
    </row>
    <row r="166">
      <c r="A166" s="403" t="n"/>
      <c r="B166" s="403" t="n"/>
      <c r="C166" s="403" t="n"/>
      <c r="D166" s="410" t="n"/>
      <c r="E166" s="403" t="n"/>
      <c r="F166" s="403" t="n"/>
      <c r="G166" s="403" t="n"/>
      <c r="H166" s="403" t="n"/>
    </row>
    <row r="167">
      <c r="A167" s="403" t="n"/>
      <c r="B167" s="403" t="n"/>
      <c r="C167" s="403" t="n"/>
      <c r="D167" s="407" t="n"/>
      <c r="E167" s="403" t="n"/>
      <c r="F167" s="403" t="n"/>
      <c r="G167" s="403" t="n"/>
      <c r="H167" s="403" t="n"/>
    </row>
    <row r="168">
      <c r="A168" s="403" t="n"/>
      <c r="B168" s="403" t="n"/>
      <c r="C168" s="403" t="n"/>
      <c r="D168" s="407" t="n"/>
      <c r="E168" s="403" t="n"/>
      <c r="F168" s="403" t="n"/>
      <c r="G168" s="403" t="n"/>
      <c r="H168" s="403" t="n"/>
    </row>
    <row r="169">
      <c r="A169" s="403" t="n"/>
      <c r="B169" s="403" t="n"/>
      <c r="C169" s="403" t="n"/>
      <c r="D169" s="407" t="n"/>
      <c r="E169" s="403" t="n"/>
      <c r="F169" s="403" t="n"/>
      <c r="G169" s="403" t="n"/>
      <c r="H169" s="403" t="n"/>
    </row>
    <row r="170">
      <c r="A170" s="403" t="n"/>
      <c r="B170" s="403" t="n"/>
      <c r="C170" s="403" t="n"/>
      <c r="D170" s="407" t="n"/>
      <c r="E170" s="403" t="n"/>
      <c r="F170" s="403" t="n"/>
      <c r="G170" s="403" t="n"/>
      <c r="H170" s="403" t="n"/>
    </row>
    <row r="171">
      <c r="A171" s="403" t="n"/>
      <c r="B171" s="403" t="n"/>
      <c r="C171" s="403" t="n"/>
      <c r="D171" s="407" t="n"/>
      <c r="E171" s="403" t="n"/>
      <c r="F171" s="403" t="n"/>
      <c r="G171" s="403" t="n"/>
      <c r="H171" s="403" t="n"/>
    </row>
    <row r="172">
      <c r="A172" s="403" t="n"/>
      <c r="B172" s="403" t="n"/>
      <c r="C172" s="403" t="n"/>
      <c r="D172" s="407" t="n"/>
      <c r="E172" s="403" t="n"/>
      <c r="F172" s="403" t="n"/>
      <c r="G172" s="403" t="n"/>
      <c r="H172" s="403" t="n"/>
    </row>
    <row r="173">
      <c r="A173" s="403" t="n"/>
      <c r="B173" s="403" t="n"/>
      <c r="C173" s="403" t="n"/>
      <c r="D173" s="407" t="n"/>
      <c r="E173" s="403" t="n"/>
      <c r="F173" s="403" t="n"/>
      <c r="G173" s="403" t="n"/>
      <c r="H173" s="403" t="n"/>
    </row>
    <row r="174">
      <c r="A174" s="403" t="n"/>
      <c r="B174" s="403" t="n"/>
      <c r="C174" s="403" t="n"/>
      <c r="D174" s="407" t="n"/>
      <c r="E174" s="403" t="n"/>
      <c r="F174" s="403" t="n"/>
      <c r="G174" s="403" t="n"/>
      <c r="H174" s="403" t="n"/>
    </row>
    <row r="175">
      <c r="A175" s="403" t="n"/>
      <c r="B175" s="403" t="n"/>
      <c r="C175" s="403" t="n"/>
      <c r="D175" s="407" t="n"/>
      <c r="E175" s="403" t="n"/>
      <c r="F175" s="403" t="n"/>
      <c r="G175" s="403" t="n"/>
      <c r="H175" s="403" t="n"/>
    </row>
    <row r="176">
      <c r="A176" s="403" t="n"/>
      <c r="B176" s="403" t="n"/>
      <c r="C176" s="403" t="n"/>
      <c r="D176" s="407" t="n"/>
      <c r="E176" s="403" t="n"/>
      <c r="F176" s="403" t="n"/>
      <c r="G176" s="403" t="n"/>
      <c r="H176" s="403" t="n"/>
    </row>
    <row r="177">
      <c r="A177" s="403" t="n"/>
      <c r="B177" s="403" t="n"/>
      <c r="C177" s="403" t="n"/>
      <c r="D177" s="407" t="n"/>
      <c r="E177" s="403" t="n"/>
      <c r="F177" s="403" t="n"/>
      <c r="G177" s="403" t="n"/>
      <c r="H177" s="403" t="n"/>
    </row>
    <row r="178">
      <c r="A178" s="403" t="n"/>
      <c r="B178" s="403" t="n"/>
      <c r="C178" s="403" t="n"/>
      <c r="D178" s="407" t="n"/>
      <c r="E178" s="403" t="n"/>
      <c r="F178" s="403" t="n"/>
      <c r="G178" s="403" t="n"/>
      <c r="H178" s="403" t="n"/>
    </row>
    <row r="179">
      <c r="A179" s="403" t="n"/>
      <c r="B179" s="403" t="n"/>
      <c r="C179" s="403" t="n"/>
      <c r="D179" s="407" t="n"/>
      <c r="E179" s="403" t="n"/>
      <c r="F179" s="403" t="n"/>
      <c r="G179" s="403" t="n"/>
      <c r="H179" s="403" t="n"/>
    </row>
    <row r="180">
      <c r="A180" s="403" t="n"/>
      <c r="B180" s="403" t="n"/>
      <c r="C180" s="403" t="n"/>
      <c r="D180" s="407" t="n"/>
      <c r="E180" s="403" t="n"/>
      <c r="F180" s="403" t="n"/>
      <c r="G180" s="403" t="n"/>
      <c r="H180" s="403" t="n"/>
    </row>
    <row r="181">
      <c r="A181" s="403" t="n"/>
      <c r="B181" s="403" t="n"/>
      <c r="C181" s="403" t="n"/>
      <c r="D181" s="407" t="n"/>
      <c r="E181" s="403" t="n"/>
      <c r="F181" s="403" t="n"/>
      <c r="G181" s="403" t="n"/>
      <c r="H181" s="403" t="n"/>
    </row>
    <row r="182">
      <c r="A182" s="403" t="n"/>
      <c r="B182" s="403" t="n"/>
      <c r="C182" s="403" t="n"/>
      <c r="D182" s="407" t="n"/>
      <c r="E182" s="403" t="n"/>
      <c r="F182" s="403" t="n"/>
      <c r="G182" s="403" t="n"/>
      <c r="H182" s="403" t="n"/>
    </row>
    <row r="183">
      <c r="A183" s="403" t="n"/>
      <c r="B183" s="403" t="n"/>
      <c r="C183" s="403" t="n"/>
      <c r="D183" s="407" t="n"/>
      <c r="E183" s="403" t="n"/>
      <c r="F183" s="403" t="n"/>
      <c r="G183" s="403" t="n"/>
      <c r="H183" s="403" t="n"/>
    </row>
    <row r="184">
      <c r="A184" s="403" t="n"/>
      <c r="B184" s="403" t="n"/>
      <c r="C184" s="403" t="n"/>
      <c r="D184" s="407" t="n"/>
      <c r="E184" s="403" t="n"/>
      <c r="F184" s="403" t="n"/>
      <c r="G184" s="403" t="n"/>
      <c r="H184" s="403" t="n"/>
    </row>
    <row r="185">
      <c r="A185" s="403" t="n"/>
      <c r="B185" s="403" t="n"/>
      <c r="C185" s="403" t="n"/>
      <c r="D185" s="407" t="n"/>
      <c r="E185" s="403" t="n"/>
      <c r="F185" s="403" t="n"/>
      <c r="G185" s="403" t="n"/>
      <c r="H185" s="403" t="n"/>
    </row>
    <row r="186">
      <c r="A186" s="403" t="n"/>
      <c r="B186" s="403" t="n"/>
      <c r="C186" s="403" t="n"/>
      <c r="D186" s="407" t="n"/>
      <c r="E186" s="403" t="n"/>
      <c r="F186" s="403" t="n"/>
      <c r="G186" s="403" t="n"/>
      <c r="H186" s="403" t="n"/>
    </row>
    <row r="187">
      <c r="A187" s="403" t="n"/>
      <c r="B187" s="403" t="n"/>
      <c r="C187" s="403" t="n"/>
      <c r="D187" s="407" t="n"/>
      <c r="E187" s="403" t="n"/>
      <c r="F187" s="403" t="n"/>
      <c r="G187" s="403" t="n"/>
      <c r="H187" s="403" t="n"/>
    </row>
    <row r="188">
      <c r="A188" s="403" t="n"/>
      <c r="B188" s="403" t="n"/>
      <c r="C188" s="403" t="n"/>
      <c r="D188" s="407" t="n"/>
      <c r="E188" s="403" t="n"/>
      <c r="F188" s="403" t="n"/>
      <c r="G188" s="403" t="n"/>
      <c r="H188" s="403" t="n"/>
    </row>
    <row r="189">
      <c r="A189" s="403" t="n"/>
      <c r="B189" s="403" t="n"/>
      <c r="C189" s="403" t="n"/>
      <c r="D189" s="407" t="n"/>
      <c r="E189" s="403" t="n"/>
      <c r="F189" s="403" t="n"/>
      <c r="G189" s="403" t="n"/>
      <c r="H189" s="403" t="n"/>
    </row>
    <row r="190">
      <c r="A190" s="403" t="n"/>
      <c r="B190" s="403" t="n"/>
      <c r="C190" s="403" t="n"/>
      <c r="D190" s="407" t="n"/>
      <c r="E190" s="403" t="n"/>
      <c r="F190" s="403" t="n"/>
      <c r="G190" s="403" t="n"/>
      <c r="H190" s="403" t="n"/>
    </row>
    <row r="191">
      <c r="A191" s="403" t="n"/>
      <c r="B191" s="403" t="n"/>
      <c r="C191" s="403" t="n"/>
      <c r="D191" s="410" t="n"/>
      <c r="E191" s="403" t="n"/>
      <c r="F191" s="403" t="n"/>
      <c r="G191" s="403" t="n"/>
      <c r="H191" s="403" t="n"/>
    </row>
    <row r="192">
      <c r="A192" s="403" t="n"/>
      <c r="B192" s="403" t="n"/>
      <c r="C192" s="403" t="n"/>
      <c r="D192" s="407" t="n"/>
      <c r="E192" s="403" t="n"/>
      <c r="F192" s="403" t="n"/>
      <c r="G192" s="403" t="n"/>
      <c r="H192" s="403" t="n"/>
    </row>
    <row r="193">
      <c r="A193" s="403" t="n"/>
      <c r="B193" s="403" t="n"/>
      <c r="C193" s="403" t="n"/>
      <c r="D193" s="407" t="n"/>
      <c r="E193" s="403" t="n"/>
      <c r="F193" s="403" t="n"/>
      <c r="G193" s="403" t="n"/>
      <c r="H193" s="403" t="n"/>
    </row>
    <row r="194">
      <c r="A194" s="403" t="n"/>
      <c r="B194" s="403" t="n"/>
      <c r="C194" s="403" t="n"/>
      <c r="D194" s="410" t="n"/>
      <c r="E194" s="403" t="n"/>
      <c r="F194" s="403" t="n"/>
      <c r="G194" s="403" t="n"/>
      <c r="H194" s="403" t="n"/>
    </row>
    <row r="195">
      <c r="A195" s="403" t="n"/>
      <c r="B195" s="403" t="n"/>
      <c r="C195" s="403" t="n"/>
      <c r="D195" s="407" t="n"/>
      <c r="E195" s="403" t="n"/>
      <c r="F195" s="403" t="n"/>
      <c r="G195" s="403" t="n"/>
      <c r="H195" s="403" t="n"/>
    </row>
    <row r="196">
      <c r="A196" s="403" t="n"/>
      <c r="B196" s="403" t="n"/>
      <c r="C196" s="403" t="n"/>
      <c r="D196" s="407" t="n"/>
      <c r="E196" s="403" t="n"/>
      <c r="F196" s="403" t="n"/>
      <c r="G196" s="403" t="n"/>
      <c r="H196" s="403" t="n"/>
    </row>
    <row r="197">
      <c r="A197" s="403" t="n"/>
      <c r="B197" s="403" t="n"/>
      <c r="C197" s="403" t="n"/>
      <c r="D197" s="407" t="n"/>
      <c r="E197" s="403" t="n"/>
      <c r="F197" s="403" t="n"/>
      <c r="G197" s="403" t="n"/>
      <c r="H197" s="403" t="n"/>
    </row>
    <row r="198">
      <c r="A198" s="403" t="n"/>
      <c r="B198" s="403" t="n"/>
      <c r="C198" s="403" t="n"/>
      <c r="D198" s="407" t="n"/>
      <c r="E198" s="403" t="n"/>
      <c r="F198" s="403" t="n"/>
      <c r="G198" s="403" t="n"/>
      <c r="H198" s="403" t="n"/>
    </row>
    <row r="199">
      <c r="A199" s="403" t="n"/>
      <c r="B199" s="403" t="n"/>
      <c r="C199" s="403" t="n"/>
      <c r="D199" s="407" t="n"/>
      <c r="E199" s="403" t="n"/>
      <c r="F199" s="403" t="n"/>
      <c r="G199" s="403" t="n"/>
      <c r="H199" s="403" t="n"/>
    </row>
    <row r="200">
      <c r="A200" s="403" t="n"/>
      <c r="B200" s="403" t="n"/>
      <c r="C200" s="403" t="n"/>
      <c r="D200" s="407" t="n"/>
      <c r="E200" s="403" t="n"/>
      <c r="F200" s="403" t="n"/>
      <c r="G200" s="403" t="n"/>
      <c r="H200" s="403" t="n"/>
    </row>
    <row r="201">
      <c r="A201" s="403" t="n"/>
      <c r="B201" s="403" t="n"/>
      <c r="C201" s="403" t="n"/>
      <c r="D201" s="407" t="n"/>
      <c r="E201" s="403" t="n"/>
      <c r="F201" s="403" t="n"/>
      <c r="G201" s="403" t="n"/>
      <c r="H201" s="403" t="n"/>
    </row>
    <row r="202">
      <c r="A202" s="403" t="n"/>
      <c r="B202" s="403" t="n"/>
      <c r="C202" s="403" t="n"/>
      <c r="D202" s="407" t="n"/>
      <c r="E202" s="403" t="n"/>
      <c r="F202" s="403" t="n"/>
      <c r="G202" s="403" t="n"/>
      <c r="H202" s="403" t="n"/>
    </row>
    <row r="203">
      <c r="A203" s="403" t="n"/>
      <c r="B203" s="403" t="n"/>
      <c r="C203" s="403" t="n"/>
      <c r="D203" s="407" t="n"/>
      <c r="E203" s="403" t="n"/>
      <c r="F203" s="403" t="n"/>
      <c r="G203" s="403" t="n"/>
      <c r="H203" s="403" t="n"/>
    </row>
    <row r="204">
      <c r="A204" s="403" t="n"/>
      <c r="B204" s="403" t="n"/>
      <c r="C204" s="403" t="n"/>
      <c r="D204" s="407" t="n"/>
      <c r="E204" s="403" t="n"/>
      <c r="F204" s="403" t="n"/>
      <c r="G204" s="403" t="n"/>
      <c r="H204" s="403" t="n"/>
    </row>
    <row r="205">
      <c r="A205" s="403" t="n"/>
      <c r="B205" s="403" t="n"/>
      <c r="C205" s="403" t="n"/>
      <c r="D205" s="407" t="n"/>
      <c r="E205" s="403" t="n"/>
      <c r="F205" s="403" t="n"/>
      <c r="G205" s="403" t="n"/>
      <c r="H205" s="403" t="n"/>
    </row>
    <row r="206">
      <c r="A206" s="403" t="n"/>
      <c r="B206" s="403" t="n"/>
      <c r="C206" s="403" t="n"/>
      <c r="D206" s="407" t="n"/>
      <c r="E206" s="403" t="n"/>
      <c r="F206" s="403" t="n"/>
      <c r="G206" s="403" t="n"/>
      <c r="H206" s="403" t="n"/>
    </row>
    <row r="207">
      <c r="A207" s="403" t="n"/>
      <c r="B207" s="403" t="n"/>
      <c r="C207" s="403" t="n"/>
      <c r="D207" s="407" t="n"/>
      <c r="E207" s="403" t="n"/>
      <c r="F207" s="403" t="n"/>
      <c r="G207" s="403" t="n"/>
      <c r="H207" s="403" t="n"/>
    </row>
    <row r="208">
      <c r="A208" s="403" t="n"/>
      <c r="B208" s="403" t="n"/>
      <c r="C208" s="403" t="n"/>
      <c r="D208" s="407" t="n"/>
      <c r="E208" s="403" t="n"/>
      <c r="F208" s="403" t="n"/>
      <c r="G208" s="403" t="n"/>
      <c r="H208" s="403" t="n"/>
    </row>
    <row r="209">
      <c r="A209" s="403" t="n"/>
      <c r="B209" s="403" t="n"/>
      <c r="C209" s="403" t="n"/>
      <c r="D209" s="407" t="n"/>
      <c r="E209" s="403" t="n"/>
      <c r="F209" s="403" t="n"/>
      <c r="G209" s="403" t="n"/>
      <c r="H209" s="403" t="n"/>
    </row>
    <row r="210">
      <c r="A210" s="403" t="n"/>
      <c r="B210" s="403" t="n"/>
      <c r="C210" s="403" t="n"/>
      <c r="D210" s="407" t="n"/>
      <c r="E210" s="403" t="n"/>
      <c r="F210" s="403" t="n"/>
      <c r="G210" s="403" t="n"/>
      <c r="H210" s="403" t="n"/>
    </row>
    <row r="211">
      <c r="A211" s="403" t="n"/>
      <c r="B211" s="403" t="n"/>
      <c r="C211" s="403" t="n"/>
      <c r="D211" s="407" t="n"/>
      <c r="E211" s="403" t="n"/>
      <c r="F211" s="403" t="n"/>
      <c r="G211" s="403" t="n"/>
      <c r="H211" s="403" t="n"/>
    </row>
    <row r="212">
      <c r="A212" s="403" t="n"/>
      <c r="B212" s="403" t="n"/>
      <c r="C212" s="403" t="n"/>
      <c r="D212" s="407" t="n"/>
      <c r="E212" s="403" t="n"/>
      <c r="F212" s="403" t="n"/>
      <c r="G212" s="403" t="n"/>
      <c r="H212" s="403" t="n"/>
    </row>
    <row r="213">
      <c r="A213" s="403" t="n"/>
      <c r="B213" s="403" t="n"/>
      <c r="C213" s="403" t="n"/>
      <c r="D213" s="410" t="n"/>
      <c r="E213" s="403" t="n"/>
      <c r="F213" s="403" t="n"/>
      <c r="G213" s="403" t="n"/>
      <c r="H213" s="403" t="n"/>
    </row>
    <row r="214">
      <c r="A214" s="403" t="n"/>
      <c r="B214" s="403" t="n"/>
      <c r="C214" s="403" t="n"/>
      <c r="D214" s="407" t="n"/>
      <c r="E214" s="403" t="n"/>
      <c r="F214" s="403" t="n"/>
      <c r="G214" s="403" t="n"/>
      <c r="H214" s="403" t="n"/>
    </row>
    <row r="215">
      <c r="A215" s="403" t="n"/>
      <c r="B215" s="403" t="n"/>
      <c r="C215" s="403" t="n"/>
      <c r="D215" s="407" t="n"/>
      <c r="E215" s="403" t="n"/>
      <c r="F215" s="403" t="n"/>
      <c r="G215" s="403" t="n"/>
      <c r="H215" s="403" t="n"/>
    </row>
    <row r="216">
      <c r="A216" s="403" t="n"/>
      <c r="B216" s="403" t="n"/>
      <c r="C216" s="403" t="n"/>
      <c r="D216" s="407" t="n"/>
      <c r="E216" s="403" t="n"/>
      <c r="F216" s="403" t="n"/>
      <c r="G216" s="403" t="n"/>
      <c r="H216" s="403" t="n"/>
    </row>
    <row r="217">
      <c r="A217" s="403" t="n"/>
      <c r="B217" s="403" t="n"/>
      <c r="C217" s="403" t="n"/>
      <c r="D217" s="407" t="n"/>
      <c r="E217" s="403" t="n"/>
      <c r="F217" s="403" t="n"/>
      <c r="G217" s="403" t="n"/>
      <c r="H217" s="403" t="n"/>
    </row>
    <row r="218">
      <c r="A218" s="403" t="n"/>
      <c r="B218" s="403" t="n"/>
      <c r="C218" s="403" t="n"/>
      <c r="D218" s="407" t="n"/>
      <c r="E218" s="403" t="n"/>
      <c r="F218" s="403" t="n"/>
      <c r="G218" s="403" t="n"/>
      <c r="H218" s="403" t="n"/>
    </row>
    <row r="219">
      <c r="A219" s="403" t="n"/>
      <c r="B219" s="403" t="n"/>
      <c r="C219" s="403" t="n"/>
      <c r="D219" s="407" t="n"/>
      <c r="E219" s="403" t="n"/>
      <c r="F219" s="403" t="n"/>
      <c r="G219" s="403" t="n"/>
      <c r="H219" s="403" t="n"/>
    </row>
    <row r="220">
      <c r="A220" s="403" t="n"/>
      <c r="B220" s="403" t="n"/>
      <c r="C220" s="403" t="n"/>
      <c r="D220" s="407" t="n"/>
      <c r="E220" s="403" t="n"/>
      <c r="F220" s="403" t="n"/>
      <c r="G220" s="403" t="n"/>
      <c r="H220" s="403" t="n"/>
    </row>
    <row r="221">
      <c r="A221" s="403" t="n"/>
      <c r="B221" s="403" t="n"/>
      <c r="C221" s="403" t="n"/>
      <c r="D221" s="407" t="n"/>
      <c r="E221" s="403" t="n"/>
      <c r="F221" s="403" t="n"/>
      <c r="G221" s="403" t="n"/>
      <c r="H221" s="403" t="n"/>
    </row>
    <row r="222">
      <c r="A222" s="403" t="n"/>
      <c r="B222" s="403" t="n"/>
      <c r="C222" s="403" t="n"/>
      <c r="D222" s="410" t="n"/>
      <c r="E222" s="403" t="n"/>
      <c r="F222" s="403" t="n"/>
      <c r="G222" s="403" t="n"/>
      <c r="H222" s="403" t="n"/>
    </row>
    <row r="223">
      <c r="A223" s="403" t="n"/>
      <c r="B223" s="403" t="n"/>
      <c r="C223" s="403" t="n"/>
      <c r="D223" s="407" t="n"/>
      <c r="E223" s="403" t="n"/>
      <c r="F223" s="403" t="n"/>
      <c r="G223" s="403" t="n"/>
      <c r="H223" s="403" t="n"/>
    </row>
    <row r="224">
      <c r="A224" s="403" t="n"/>
      <c r="B224" s="403" t="n"/>
      <c r="C224" s="403" t="n"/>
      <c r="D224" s="410" t="n"/>
      <c r="E224" s="403" t="n"/>
      <c r="F224" s="403" t="n"/>
      <c r="G224" s="403" t="n"/>
      <c r="H224" s="403" t="n"/>
    </row>
    <row r="225">
      <c r="A225" s="403" t="n"/>
      <c r="B225" s="403" t="n"/>
      <c r="C225" s="403" t="n"/>
      <c r="D225" s="410" t="n"/>
      <c r="E225" s="403" t="n"/>
      <c r="F225" s="403" t="n"/>
      <c r="G225" s="403" t="n"/>
      <c r="H225" s="403" t="n"/>
    </row>
    <row r="226">
      <c r="A226" s="403" t="n"/>
      <c r="B226" s="403" t="n"/>
      <c r="C226" s="403" t="n"/>
      <c r="D226" s="407" t="n"/>
      <c r="E226" s="403" t="n"/>
      <c r="F226" s="403" t="n"/>
      <c r="G226" s="403" t="n"/>
      <c r="H226" s="403" t="n"/>
    </row>
    <row r="227">
      <c r="A227" s="403" t="n"/>
      <c r="B227" s="403" t="n"/>
      <c r="C227" s="403" t="n"/>
      <c r="D227" s="407" t="n"/>
      <c r="E227" s="403" t="n"/>
      <c r="F227" s="403" t="n"/>
      <c r="G227" s="403" t="n"/>
      <c r="H227" s="403" t="n"/>
    </row>
    <row r="228">
      <c r="A228" s="403" t="n"/>
      <c r="B228" s="403" t="n"/>
      <c r="C228" s="403" t="n"/>
      <c r="D228" s="407" t="n"/>
      <c r="E228" s="403" t="n"/>
      <c r="F228" s="403" t="n"/>
      <c r="G228" s="403" t="n"/>
      <c r="H228" s="403" t="n"/>
    </row>
    <row r="229">
      <c r="A229" s="403" t="n"/>
      <c r="B229" s="403" t="n"/>
      <c r="C229" s="403" t="n"/>
      <c r="D229" s="407" t="n"/>
      <c r="E229" s="403" t="n"/>
      <c r="F229" s="403" t="n"/>
      <c r="G229" s="403" t="n"/>
      <c r="H229" s="403" t="n"/>
    </row>
    <row r="230">
      <c r="A230" s="403" t="n"/>
      <c r="B230" s="403" t="n"/>
      <c r="C230" s="403" t="n"/>
      <c r="D230" s="407" t="n"/>
      <c r="E230" s="403" t="n"/>
      <c r="F230" s="403" t="n"/>
      <c r="G230" s="403" t="n"/>
      <c r="H230" s="403" t="n"/>
    </row>
    <row r="231">
      <c r="A231" s="403" t="n"/>
      <c r="B231" s="403" t="n"/>
      <c r="C231" s="403" t="n"/>
      <c r="D231" s="407" t="n"/>
      <c r="E231" s="403" t="n"/>
      <c r="F231" s="403" t="n"/>
      <c r="G231" s="403" t="n"/>
      <c r="H231" s="403" t="n"/>
    </row>
    <row r="232">
      <c r="A232" s="403" t="n"/>
      <c r="B232" s="403" t="n"/>
      <c r="C232" s="403" t="n"/>
      <c r="D232" s="407" t="n"/>
      <c r="E232" s="403" t="n"/>
      <c r="F232" s="403" t="n"/>
      <c r="G232" s="403" t="n"/>
      <c r="H232" s="403" t="n"/>
    </row>
    <row r="233">
      <c r="A233" s="403" t="n"/>
      <c r="B233" s="403" t="n"/>
      <c r="C233" s="403" t="n"/>
      <c r="D233" s="407" t="n"/>
      <c r="E233" s="403" t="n"/>
      <c r="F233" s="403" t="n"/>
      <c r="G233" s="403" t="n"/>
      <c r="H233" s="403" t="n"/>
    </row>
    <row r="234">
      <c r="A234" s="403" t="n"/>
      <c r="B234" s="403" t="n"/>
      <c r="C234" s="403" t="n"/>
      <c r="D234" s="407" t="n"/>
      <c r="E234" s="403" t="n"/>
      <c r="F234" s="403" t="n"/>
      <c r="G234" s="403" t="n"/>
      <c r="H234" s="403" t="n"/>
    </row>
    <row r="235">
      <c r="A235" s="403" t="n"/>
      <c r="B235" s="403" t="n"/>
      <c r="C235" s="403" t="n"/>
      <c r="D235" s="407" t="n"/>
      <c r="E235" s="403" t="n"/>
      <c r="F235" s="403" t="n"/>
      <c r="G235" s="403" t="n"/>
      <c r="H235" s="403" t="n"/>
    </row>
    <row r="236">
      <c r="A236" s="403" t="n"/>
      <c r="B236" s="403" t="n"/>
      <c r="C236" s="403" t="n"/>
      <c r="D236" s="407" t="n"/>
      <c r="E236" s="403" t="n"/>
      <c r="F236" s="403" t="n"/>
      <c r="G236" s="403" t="n"/>
      <c r="H236" s="403" t="n"/>
    </row>
    <row r="237">
      <c r="A237" s="403" t="n"/>
      <c r="B237" s="403" t="n"/>
      <c r="C237" s="403" t="n"/>
      <c r="D237" s="407" t="n"/>
      <c r="E237" s="403" t="n"/>
      <c r="F237" s="403" t="n"/>
      <c r="G237" s="403" t="n"/>
      <c r="H237" s="403" t="n"/>
    </row>
    <row r="238">
      <c r="A238" s="403" t="n"/>
      <c r="B238" s="403" t="n"/>
      <c r="C238" s="403" t="n"/>
      <c r="D238" s="407" t="n"/>
      <c r="E238" s="403" t="n"/>
      <c r="F238" s="403" t="n"/>
      <c r="G238" s="403" t="n"/>
      <c r="H238" s="403" t="n"/>
    </row>
    <row r="239">
      <c r="A239" s="403" t="n"/>
      <c r="B239" s="403" t="n"/>
      <c r="C239" s="403" t="n"/>
      <c r="D239" s="407" t="n"/>
      <c r="E239" s="403" t="n"/>
      <c r="F239" s="403" t="n"/>
      <c r="G239" s="403" t="n"/>
      <c r="H239" s="403" t="n"/>
    </row>
    <row r="240">
      <c r="A240" s="403" t="n"/>
      <c r="B240" s="403" t="n"/>
      <c r="C240" s="403" t="n"/>
      <c r="D240" s="407" t="n"/>
      <c r="E240" s="403" t="n"/>
      <c r="F240" s="403" t="n"/>
      <c r="G240" s="403" t="n"/>
      <c r="H240" s="403" t="n"/>
    </row>
    <row r="241">
      <c r="A241" s="403" t="n"/>
      <c r="B241" s="403" t="n"/>
      <c r="C241" s="403" t="n"/>
      <c r="D241" s="407" t="n"/>
      <c r="E241" s="403" t="n"/>
      <c r="F241" s="403" t="n"/>
      <c r="G241" s="403" t="n"/>
      <c r="H241" s="403" t="n"/>
    </row>
    <row r="242">
      <c r="A242" s="403" t="n"/>
      <c r="B242" s="403" t="n"/>
      <c r="C242" s="403" t="n"/>
      <c r="D242" s="407" t="n"/>
      <c r="E242" s="403" t="n"/>
      <c r="F242" s="403" t="n"/>
      <c r="G242" s="403" t="n"/>
      <c r="H242" s="403" t="n"/>
    </row>
    <row r="243">
      <c r="A243" s="403" t="n"/>
      <c r="B243" s="403" t="n"/>
      <c r="C243" s="403" t="n"/>
      <c r="D243" s="407" t="n"/>
      <c r="E243" s="403" t="n"/>
      <c r="F243" s="403" t="n"/>
      <c r="G243" s="403" t="n"/>
      <c r="H243" s="403" t="n"/>
    </row>
    <row r="244">
      <c r="A244" s="403" t="n"/>
      <c r="B244" s="403" t="n"/>
      <c r="C244" s="403" t="n"/>
      <c r="D244" s="407" t="n"/>
      <c r="E244" s="403" t="n"/>
      <c r="F244" s="403" t="n"/>
      <c r="G244" s="403" t="n"/>
      <c r="H244" s="403" t="n"/>
    </row>
    <row r="245">
      <c r="A245" s="403" t="n"/>
      <c r="B245" s="403" t="n"/>
      <c r="C245" s="403" t="n"/>
      <c r="D245" s="407" t="n"/>
      <c r="E245" s="403" t="n"/>
      <c r="F245" s="403" t="n"/>
      <c r="G245" s="403" t="n"/>
      <c r="H245" s="403" t="n"/>
    </row>
    <row r="246">
      <c r="A246" s="403" t="n"/>
      <c r="B246" s="403" t="n"/>
      <c r="C246" s="403" t="n"/>
      <c r="D246" s="407" t="n"/>
      <c r="E246" s="403" t="n"/>
      <c r="F246" s="403" t="n"/>
      <c r="G246" s="403" t="n"/>
      <c r="H246" s="403" t="n"/>
    </row>
    <row r="247">
      <c r="A247" s="403" t="n"/>
      <c r="B247" s="403" t="n"/>
      <c r="C247" s="403" t="n"/>
      <c r="D247" s="407" t="n"/>
      <c r="E247" s="403" t="n"/>
      <c r="F247" s="403" t="n"/>
      <c r="G247" s="403" t="n"/>
      <c r="H247" s="403" t="n"/>
    </row>
    <row r="248">
      <c r="A248" s="403" t="n"/>
      <c r="B248" s="403" t="n"/>
      <c r="C248" s="403" t="n"/>
      <c r="D248" s="410" t="n"/>
      <c r="E248" s="403" t="n"/>
      <c r="F248" s="403" t="n"/>
      <c r="G248" s="403" t="n"/>
      <c r="H248" s="403" t="n"/>
    </row>
    <row r="249">
      <c r="A249" s="403" t="n"/>
      <c r="B249" s="403" t="n"/>
      <c r="C249" s="403" t="n"/>
      <c r="D249" s="407" t="n"/>
      <c r="E249" s="403" t="n"/>
      <c r="F249" s="403" t="n"/>
      <c r="G249" s="403" t="n"/>
      <c r="H249" s="403" t="n"/>
    </row>
    <row r="250">
      <c r="A250" s="403" t="n"/>
      <c r="B250" s="403" t="n"/>
      <c r="C250" s="403" t="n"/>
      <c r="D250" s="407" t="n"/>
      <c r="E250" s="403" t="n"/>
      <c r="F250" s="403" t="n"/>
      <c r="G250" s="403" t="n"/>
      <c r="H250" s="403" t="n"/>
    </row>
    <row r="251">
      <c r="A251" s="403" t="n"/>
      <c r="B251" s="403" t="n"/>
      <c r="C251" s="403" t="n"/>
      <c r="D251" s="407" t="n"/>
      <c r="E251" s="403" t="n"/>
      <c r="F251" s="403" t="n"/>
      <c r="G251" s="403" t="n"/>
      <c r="H251" s="403" t="n"/>
    </row>
    <row r="252">
      <c r="A252" s="403" t="n"/>
      <c r="B252" s="403" t="n"/>
      <c r="C252" s="403" t="n"/>
      <c r="D252" s="407" t="n"/>
      <c r="E252" s="403" t="n"/>
      <c r="F252" s="403" t="n"/>
      <c r="G252" s="403" t="n"/>
      <c r="H252" s="403" t="n"/>
    </row>
    <row r="253">
      <c r="A253" s="403" t="n"/>
      <c r="B253" s="403" t="n"/>
      <c r="C253" s="403" t="n"/>
      <c r="D253" s="407" t="n"/>
      <c r="E253" s="403" t="n"/>
      <c r="F253" s="403" t="n"/>
      <c r="G253" s="403" t="n"/>
      <c r="H253" s="403" t="n"/>
    </row>
    <row r="254">
      <c r="A254" s="403" t="n"/>
      <c r="B254" s="403" t="n"/>
      <c r="C254" s="403" t="n"/>
      <c r="D254" s="407" t="n"/>
      <c r="E254" s="403" t="n"/>
      <c r="F254" s="403" t="n"/>
      <c r="G254" s="403" t="n"/>
      <c r="H254" s="403" t="n"/>
    </row>
    <row r="255">
      <c r="A255" s="403" t="n"/>
      <c r="B255" s="403" t="n"/>
      <c r="C255" s="403" t="n"/>
      <c r="D255" s="407" t="n"/>
      <c r="E255" s="403" t="n"/>
      <c r="F255" s="403" t="n"/>
      <c r="G255" s="403" t="n"/>
      <c r="H255" s="403" t="n"/>
    </row>
    <row r="256">
      <c r="A256" s="403" t="n"/>
      <c r="B256" s="403" t="n"/>
      <c r="C256" s="403" t="n"/>
      <c r="D256" s="407" t="n"/>
      <c r="E256" s="403" t="n"/>
      <c r="F256" s="403" t="n"/>
      <c r="G256" s="403" t="n"/>
      <c r="H256" s="403" t="n"/>
    </row>
    <row r="257">
      <c r="A257" s="403" t="n"/>
      <c r="B257" s="403" t="n"/>
      <c r="C257" s="403" t="n"/>
      <c r="D257" s="407" t="n"/>
      <c r="E257" s="403" t="n"/>
      <c r="F257" s="403" t="n"/>
      <c r="G257" s="403" t="n"/>
      <c r="H257" s="403" t="n"/>
    </row>
    <row r="258">
      <c r="A258" s="403" t="n"/>
      <c r="B258" s="403" t="n"/>
      <c r="C258" s="403" t="n"/>
      <c r="D258" s="407" t="n"/>
      <c r="E258" s="403" t="n"/>
      <c r="F258" s="403" t="n"/>
      <c r="G258" s="403" t="n"/>
      <c r="H258" s="403" t="n"/>
    </row>
    <row r="259">
      <c r="A259" s="403" t="n"/>
      <c r="B259" s="403" t="n"/>
      <c r="C259" s="403" t="n"/>
      <c r="D259" s="407" t="n"/>
      <c r="E259" s="403" t="n"/>
      <c r="F259" s="403" t="n"/>
      <c r="G259" s="403" t="n"/>
      <c r="H259" s="403" t="n"/>
    </row>
    <row r="260">
      <c r="A260" s="403" t="n"/>
      <c r="B260" s="403" t="n"/>
      <c r="C260" s="403" t="n"/>
      <c r="D260" s="407" t="n"/>
      <c r="E260" s="403" t="n"/>
      <c r="F260" s="403" t="n"/>
      <c r="G260" s="403" t="n"/>
      <c r="H260" s="403" t="n"/>
    </row>
    <row r="261">
      <c r="A261" s="403" t="n"/>
      <c r="B261" s="403" t="n"/>
      <c r="C261" s="403" t="n"/>
      <c r="D261" s="407" t="n"/>
      <c r="E261" s="403" t="n"/>
      <c r="F261" s="403" t="n"/>
      <c r="G261" s="403" t="n"/>
      <c r="H261" s="403" t="n"/>
    </row>
    <row r="262">
      <c r="A262" s="403" t="n"/>
      <c r="B262" s="403" t="n"/>
      <c r="C262" s="403" t="n"/>
      <c r="D262" s="407" t="n"/>
      <c r="E262" s="403" t="n"/>
      <c r="F262" s="403" t="n"/>
      <c r="G262" s="403" t="n"/>
      <c r="H262" s="403" t="n"/>
    </row>
    <row r="263">
      <c r="A263" s="403" t="n"/>
      <c r="B263" s="403" t="n"/>
      <c r="C263" s="403" t="n"/>
      <c r="D263" s="407" t="n"/>
      <c r="E263" s="403" t="n"/>
      <c r="F263" s="403" t="n"/>
      <c r="G263" s="403" t="n"/>
      <c r="H263" s="403" t="n"/>
    </row>
    <row r="264">
      <c r="A264" s="403" t="n"/>
      <c r="B264" s="403" t="n"/>
      <c r="C264" s="403" t="n"/>
      <c r="D264" s="407" t="n"/>
      <c r="E264" s="403" t="n"/>
      <c r="F264" s="403" t="n"/>
      <c r="G264" s="403" t="n"/>
      <c r="H264" s="403" t="n"/>
    </row>
    <row r="265">
      <c r="A265" s="403" t="n"/>
      <c r="B265" s="403" t="n"/>
      <c r="C265" s="403" t="n"/>
      <c r="D265" s="407" t="n"/>
      <c r="E265" s="403" t="n"/>
      <c r="F265" s="403" t="n"/>
      <c r="G265" s="403" t="n"/>
      <c r="H265" s="403" t="n"/>
    </row>
    <row r="266">
      <c r="A266" s="403" t="n"/>
      <c r="B266" s="403" t="n"/>
      <c r="C266" s="403" t="n"/>
      <c r="D266" s="407" t="n"/>
      <c r="E266" s="403" t="n"/>
      <c r="F266" s="403" t="n"/>
      <c r="G266" s="403" t="n"/>
      <c r="H266" s="403" t="n"/>
    </row>
    <row r="267">
      <c r="A267" s="403" t="n"/>
      <c r="B267" s="403" t="n"/>
      <c r="C267" s="403" t="n"/>
      <c r="D267" s="407" t="n"/>
      <c r="E267" s="403" t="n"/>
      <c r="F267" s="403" t="n"/>
      <c r="G267" s="403" t="n"/>
      <c r="H267" s="403" t="n"/>
    </row>
    <row r="268">
      <c r="A268" s="403" t="n"/>
      <c r="B268" s="403" t="n"/>
      <c r="C268" s="403" t="n"/>
      <c r="D268" s="410" t="n"/>
      <c r="E268" s="403" t="n"/>
      <c r="F268" s="403" t="n"/>
      <c r="G268" s="403" t="n"/>
      <c r="H268" s="403" t="n"/>
    </row>
    <row r="269">
      <c r="A269" s="403" t="n"/>
      <c r="B269" s="403" t="n"/>
      <c r="C269" s="403" t="n"/>
      <c r="D269" s="407" t="n"/>
      <c r="E269" s="403" t="n"/>
      <c r="F269" s="403" t="n"/>
      <c r="G269" s="403" t="n"/>
      <c r="H269" s="403" t="n"/>
    </row>
    <row r="270">
      <c r="A270" s="403" t="n"/>
      <c r="B270" s="403" t="n"/>
      <c r="C270" s="403" t="n"/>
      <c r="D270" s="407" t="n"/>
      <c r="E270" s="403" t="n"/>
      <c r="F270" s="403" t="n"/>
      <c r="G270" s="403" t="n"/>
      <c r="H270" s="403" t="n"/>
    </row>
    <row r="271">
      <c r="A271" s="403" t="n"/>
      <c r="B271" s="403" t="n"/>
      <c r="C271" s="403" t="n"/>
      <c r="D271" s="407" t="n"/>
      <c r="E271" s="403" t="n"/>
      <c r="F271" s="403" t="n"/>
      <c r="G271" s="403" t="n"/>
      <c r="H271" s="403" t="n"/>
    </row>
    <row r="272">
      <c r="A272" s="403" t="n"/>
      <c r="B272" s="403" t="n"/>
      <c r="C272" s="403" t="n"/>
      <c r="D272" s="407" t="n"/>
      <c r="E272" s="403" t="n"/>
      <c r="F272" s="403" t="n"/>
      <c r="G272" s="403" t="n"/>
      <c r="H272" s="403" t="n"/>
    </row>
    <row r="273">
      <c r="A273" s="403" t="n"/>
      <c r="B273" s="403" t="n"/>
      <c r="C273" s="403" t="n"/>
      <c r="D273" s="407" t="n"/>
      <c r="E273" s="403" t="n"/>
      <c r="F273" s="403" t="n"/>
      <c r="G273" s="403" t="n"/>
      <c r="H273" s="403" t="n"/>
    </row>
    <row r="274">
      <c r="A274" s="403" t="n"/>
      <c r="B274" s="403" t="n"/>
      <c r="C274" s="403" t="n"/>
      <c r="D274" s="407" t="n"/>
      <c r="E274" s="403" t="n"/>
      <c r="F274" s="403" t="n"/>
      <c r="G274" s="403" t="n"/>
      <c r="H274" s="403" t="n"/>
    </row>
    <row r="275">
      <c r="A275" s="403" t="n"/>
      <c r="B275" s="403" t="n"/>
      <c r="C275" s="403" t="n"/>
      <c r="D275" s="407" t="n"/>
      <c r="E275" s="403" t="n"/>
      <c r="F275" s="403" t="n"/>
      <c r="G275" s="403" t="n"/>
      <c r="H275" s="403" t="n"/>
    </row>
    <row r="276">
      <c r="A276" s="403" t="n"/>
      <c r="B276" s="403" t="n"/>
      <c r="C276" s="403" t="n"/>
      <c r="D276" s="407" t="n"/>
      <c r="E276" s="403" t="n"/>
      <c r="F276" s="403" t="n"/>
      <c r="G276" s="403" t="n"/>
      <c r="H276" s="403" t="n"/>
    </row>
    <row r="277">
      <c r="A277" s="403" t="n"/>
      <c r="B277" s="403" t="n"/>
      <c r="C277" s="403" t="n"/>
      <c r="D277" s="407" t="n"/>
      <c r="E277" s="403" t="n"/>
      <c r="F277" s="403" t="n"/>
      <c r="G277" s="403" t="n"/>
      <c r="H277" s="403" t="n"/>
    </row>
    <row r="278">
      <c r="A278" s="403" t="n"/>
      <c r="B278" s="403" t="n"/>
      <c r="C278" s="403" t="n"/>
      <c r="D278" s="407" t="n"/>
      <c r="E278" s="403" t="n"/>
      <c r="F278" s="403" t="n"/>
      <c r="G278" s="403" t="n"/>
      <c r="H278" s="403" t="n"/>
    </row>
    <row r="279">
      <c r="A279" s="403" t="n"/>
      <c r="B279" s="403" t="n"/>
      <c r="C279" s="403" t="n"/>
      <c r="D279" s="407" t="n"/>
      <c r="E279" s="403" t="n"/>
      <c r="F279" s="403" t="n"/>
      <c r="G279" s="403" t="n"/>
      <c r="H279" s="403" t="n"/>
    </row>
    <row r="280">
      <c r="A280" s="403" t="n"/>
      <c r="B280" s="403" t="n"/>
      <c r="C280" s="403" t="n"/>
      <c r="D280" s="407" t="n"/>
      <c r="E280" s="403" t="n"/>
      <c r="F280" s="403" t="n"/>
      <c r="G280" s="403" t="n"/>
      <c r="H280" s="403" t="n"/>
    </row>
    <row r="281">
      <c r="A281" s="403" t="n"/>
      <c r="B281" s="403" t="n"/>
      <c r="C281" s="403" t="n"/>
      <c r="D281" s="407" t="n"/>
      <c r="E281" s="403" t="n"/>
      <c r="F281" s="403" t="n"/>
      <c r="G281" s="403" t="n"/>
      <c r="H281" s="403" t="n"/>
    </row>
    <row r="282">
      <c r="A282" s="403" t="n"/>
      <c r="B282" s="403" t="n"/>
      <c r="C282" s="403" t="n"/>
      <c r="D282" s="407" t="n"/>
      <c r="E282" s="403" t="n"/>
      <c r="F282" s="403" t="n"/>
      <c r="G282" s="403" t="n"/>
      <c r="H282" s="403" t="n"/>
    </row>
    <row r="283">
      <c r="A283" s="403" t="n"/>
      <c r="B283" s="403" t="n"/>
      <c r="C283" s="403" t="n"/>
      <c r="D283" s="407" t="n"/>
      <c r="E283" s="403" t="n"/>
      <c r="F283" s="403" t="n"/>
      <c r="G283" s="403" t="n"/>
      <c r="H283" s="403" t="n"/>
    </row>
    <row r="284">
      <c r="A284" s="403" t="n"/>
      <c r="B284" s="403" t="n"/>
      <c r="C284" s="403" t="n"/>
      <c r="D284" s="407" t="n"/>
      <c r="E284" s="403" t="n"/>
      <c r="F284" s="403" t="n"/>
      <c r="G284" s="403" t="n"/>
      <c r="H284" s="403" t="n"/>
    </row>
    <row r="285">
      <c r="A285" s="403" t="n"/>
      <c r="B285" s="403" t="n"/>
      <c r="C285" s="403" t="n"/>
      <c r="D285" s="410" t="n"/>
      <c r="E285" s="403" t="n"/>
      <c r="F285" s="403" t="n"/>
      <c r="G285" s="403" t="n"/>
      <c r="H285" s="403" t="n"/>
    </row>
    <row r="286">
      <c r="A286" s="403" t="n"/>
      <c r="B286" s="403" t="n"/>
      <c r="C286" s="403" t="n"/>
      <c r="D286" s="407" t="n"/>
      <c r="E286" s="403" t="n"/>
      <c r="F286" s="403" t="n"/>
      <c r="G286" s="403" t="n"/>
      <c r="H286" s="403" t="n"/>
    </row>
    <row r="287">
      <c r="A287" s="403" t="n"/>
      <c r="B287" s="403" t="n"/>
      <c r="C287" s="403" t="n"/>
      <c r="D287" s="407" t="n"/>
      <c r="E287" s="403" t="n"/>
      <c r="F287" s="403" t="n"/>
      <c r="G287" s="403" t="n"/>
      <c r="H287" s="403" t="n"/>
    </row>
    <row r="288">
      <c r="A288" s="403" t="n"/>
      <c r="B288" s="403" t="n"/>
      <c r="C288" s="403" t="n"/>
      <c r="D288" s="407" t="n"/>
      <c r="E288" s="403" t="n"/>
      <c r="F288" s="403" t="n"/>
      <c r="G288" s="403" t="n"/>
      <c r="H288" s="403" t="n"/>
    </row>
    <row r="289">
      <c r="A289" s="403" t="n"/>
      <c r="B289" s="403" t="n"/>
      <c r="C289" s="403" t="n"/>
      <c r="D289" s="407" t="n"/>
      <c r="E289" s="403" t="n"/>
      <c r="F289" s="403" t="n"/>
      <c r="G289" s="403" t="n"/>
      <c r="H289" s="403" t="n"/>
    </row>
    <row r="290">
      <c r="A290" s="403" t="n"/>
      <c r="B290" s="403" t="n"/>
      <c r="C290" s="403" t="n"/>
      <c r="D290" s="407" t="n"/>
      <c r="E290" s="403" t="n"/>
      <c r="F290" s="403" t="n"/>
      <c r="G290" s="403" t="n"/>
      <c r="H290" s="403" t="n"/>
    </row>
    <row r="291">
      <c r="A291" s="403" t="n"/>
      <c r="B291" s="403" t="n"/>
      <c r="C291" s="403" t="n"/>
      <c r="D291" s="407" t="n"/>
      <c r="E291" s="403" t="n"/>
      <c r="F291" s="403" t="n"/>
      <c r="G291" s="403" t="n"/>
      <c r="H291" s="403" t="n"/>
    </row>
    <row r="292">
      <c r="A292" s="403" t="n"/>
      <c r="B292" s="403" t="n"/>
      <c r="C292" s="403" t="n"/>
      <c r="D292" s="407" t="n"/>
      <c r="E292" s="403" t="n"/>
      <c r="F292" s="403" t="n"/>
      <c r="G292" s="403" t="n"/>
      <c r="H292" s="403" t="n"/>
    </row>
    <row r="293">
      <c r="A293" s="403" t="n"/>
      <c r="B293" s="403" t="n"/>
      <c r="C293" s="403" t="n"/>
      <c r="D293" s="407" t="n"/>
      <c r="E293" s="403" t="n"/>
      <c r="F293" s="403" t="n"/>
      <c r="G293" s="403" t="n"/>
      <c r="H293" s="403" t="n"/>
    </row>
    <row r="294">
      <c r="A294" s="403" t="n"/>
      <c r="B294" s="403" t="n"/>
      <c r="C294" s="403" t="n"/>
      <c r="D294" s="407" t="n"/>
      <c r="E294" s="403" t="n"/>
      <c r="F294" s="403" t="n"/>
      <c r="G294" s="403" t="n"/>
      <c r="H294" s="403" t="n"/>
    </row>
    <row r="295">
      <c r="A295" s="403" t="n"/>
      <c r="B295" s="403" t="n"/>
      <c r="C295" s="403" t="n"/>
      <c r="D295" s="407" t="n"/>
      <c r="E295" s="403" t="n"/>
      <c r="F295" s="403" t="n"/>
      <c r="G295" s="403" t="n"/>
      <c r="H295" s="403" t="n"/>
    </row>
    <row r="296">
      <c r="A296" s="403" t="n"/>
      <c r="B296" s="403" t="n"/>
      <c r="C296" s="403" t="n"/>
      <c r="D296" s="407" t="n"/>
      <c r="E296" s="403" t="n"/>
      <c r="F296" s="403" t="n"/>
      <c r="G296" s="403" t="n"/>
      <c r="H296" s="403" t="n"/>
    </row>
    <row r="297">
      <c r="A297" s="403" t="n"/>
      <c r="B297" s="403" t="n"/>
      <c r="C297" s="403" t="n"/>
      <c r="D297" s="407" t="n"/>
      <c r="E297" s="403" t="n"/>
      <c r="F297" s="403" t="n"/>
      <c r="G297" s="403" t="n"/>
      <c r="H297" s="403" t="n"/>
    </row>
    <row r="298">
      <c r="A298" s="403" t="n"/>
      <c r="B298" s="403" t="n"/>
      <c r="C298" s="403" t="n"/>
      <c r="D298" s="407" t="n"/>
      <c r="E298" s="403" t="n"/>
      <c r="F298" s="403" t="n"/>
      <c r="G298" s="403" t="n"/>
      <c r="H298" s="403" t="n"/>
    </row>
    <row r="299">
      <c r="A299" s="403" t="n"/>
      <c r="B299" s="403" t="n"/>
      <c r="C299" s="403" t="n"/>
      <c r="D299" s="407" t="n"/>
      <c r="E299" s="403" t="n"/>
      <c r="F299" s="403" t="n"/>
      <c r="G299" s="403" t="n"/>
      <c r="H299" s="403" t="n"/>
    </row>
    <row r="300">
      <c r="A300" s="403" t="n"/>
      <c r="B300" s="403" t="n"/>
      <c r="C300" s="403" t="n"/>
      <c r="D300" s="407" t="n"/>
      <c r="E300" s="403" t="n"/>
      <c r="F300" s="403" t="n"/>
      <c r="G300" s="403" t="n"/>
      <c r="H300" s="403" t="n"/>
    </row>
    <row r="301">
      <c r="A301" s="403" t="n"/>
      <c r="B301" s="403" t="n"/>
      <c r="C301" s="403" t="n"/>
      <c r="D301" s="407" t="n"/>
      <c r="E301" s="403" t="n"/>
      <c r="F301" s="403" t="n"/>
      <c r="G301" s="403" t="n"/>
      <c r="H301" s="403" t="n"/>
    </row>
    <row r="302">
      <c r="A302" s="403" t="n"/>
      <c r="B302" s="403" t="n"/>
      <c r="C302" s="403" t="n"/>
      <c r="D302" s="407" t="n"/>
      <c r="E302" s="403" t="n"/>
      <c r="F302" s="403" t="n"/>
      <c r="G302" s="403" t="n"/>
      <c r="H302" s="403" t="n"/>
    </row>
    <row r="303">
      <c r="A303" s="403" t="n"/>
      <c r="B303" s="403" t="n"/>
      <c r="C303" s="403" t="n"/>
      <c r="D303" s="407" t="n"/>
      <c r="E303" s="403" t="n"/>
      <c r="F303" s="403" t="n"/>
      <c r="G303" s="403" t="n"/>
      <c r="H303" s="403" t="n"/>
    </row>
    <row r="304">
      <c r="A304" s="403" t="n"/>
      <c r="B304" s="403" t="n"/>
      <c r="C304" s="403" t="n"/>
      <c r="D304" s="407" t="n"/>
      <c r="E304" s="403" t="n"/>
      <c r="F304" s="403" t="n"/>
      <c r="G304" s="403" t="n"/>
      <c r="H304" s="403" t="n"/>
    </row>
    <row r="305">
      <c r="A305" s="403" t="n"/>
      <c r="B305" s="403" t="n"/>
      <c r="C305" s="403" t="n"/>
      <c r="D305" s="407" t="n"/>
      <c r="E305" s="403" t="n"/>
      <c r="F305" s="403" t="n"/>
      <c r="G305" s="403" t="n"/>
      <c r="H305" s="403" t="n"/>
    </row>
    <row r="306">
      <c r="A306" s="403" t="n"/>
      <c r="B306" s="403" t="n"/>
      <c r="C306" s="403" t="n"/>
      <c r="D306" s="407" t="n"/>
      <c r="E306" s="403" t="n"/>
      <c r="F306" s="403" t="n"/>
      <c r="G306" s="403" t="n"/>
      <c r="H306" s="403" t="n"/>
    </row>
    <row r="307">
      <c r="A307" s="403" t="n"/>
      <c r="B307" s="403" t="n"/>
      <c r="C307" s="403" t="n"/>
      <c r="D307" s="407" t="n"/>
      <c r="E307" s="403" t="n"/>
      <c r="F307" s="403" t="n"/>
      <c r="G307" s="403" t="n"/>
      <c r="H307" s="403" t="n"/>
    </row>
    <row r="308">
      <c r="A308" s="403" t="n"/>
      <c r="B308" s="403" t="n"/>
      <c r="C308" s="403" t="n"/>
      <c r="D308" s="407" t="n"/>
      <c r="E308" s="403" t="n"/>
      <c r="F308" s="403" t="n"/>
      <c r="G308" s="403" t="n"/>
      <c r="H308" s="403" t="n"/>
    </row>
    <row r="309">
      <c r="A309" s="403" t="n"/>
      <c r="B309" s="403" t="n"/>
      <c r="C309" s="403" t="n"/>
      <c r="D309" s="407" t="n"/>
      <c r="E309" s="403" t="n"/>
      <c r="F309" s="403" t="n"/>
      <c r="G309" s="403" t="n"/>
      <c r="H309" s="403" t="n"/>
    </row>
    <row r="310">
      <c r="A310" s="403" t="n"/>
      <c r="B310" s="403" t="n"/>
      <c r="C310" s="403" t="n"/>
      <c r="D310" s="407" t="n"/>
      <c r="E310" s="403" t="n"/>
      <c r="F310" s="403" t="n"/>
      <c r="G310" s="403" t="n"/>
      <c r="H310" s="403" t="n"/>
    </row>
    <row r="311">
      <c r="A311" s="403" t="n"/>
      <c r="B311" s="403" t="n"/>
      <c r="C311" s="403" t="n"/>
      <c r="D311" s="407" t="n"/>
      <c r="E311" s="403" t="n"/>
      <c r="F311" s="403" t="n"/>
      <c r="G311" s="403" t="n"/>
      <c r="H311" s="403" t="n"/>
    </row>
    <row r="312">
      <c r="A312" s="403" t="n"/>
      <c r="B312" s="403" t="n"/>
      <c r="C312" s="403" t="n"/>
      <c r="D312" s="407" t="n"/>
      <c r="E312" s="403" t="n"/>
      <c r="F312" s="403" t="n"/>
      <c r="G312" s="403" t="n"/>
      <c r="H312" s="403" t="n"/>
    </row>
    <row r="313">
      <c r="A313" s="403" t="n"/>
      <c r="B313" s="403" t="n"/>
      <c r="C313" s="403" t="n"/>
      <c r="D313" s="407" t="n"/>
      <c r="E313" s="403" t="n"/>
      <c r="F313" s="403" t="n"/>
      <c r="G313" s="403" t="n"/>
      <c r="H313" s="403" t="n"/>
    </row>
    <row r="314">
      <c r="A314" s="403" t="n"/>
      <c r="B314" s="403" t="n"/>
      <c r="C314" s="403" t="n"/>
      <c r="D314" s="407" t="n"/>
      <c r="E314" s="403" t="n"/>
      <c r="F314" s="403" t="n"/>
      <c r="G314" s="403" t="n"/>
      <c r="H314" s="403" t="n"/>
    </row>
    <row r="315">
      <c r="A315" s="403" t="n"/>
      <c r="B315" s="403" t="n"/>
      <c r="C315" s="403" t="n"/>
      <c r="D315" s="407" t="n"/>
      <c r="E315" s="403" t="n"/>
      <c r="F315" s="403" t="n"/>
      <c r="G315" s="403" t="n"/>
      <c r="H315" s="403" t="n"/>
    </row>
    <row r="316">
      <c r="A316" s="403" t="n"/>
      <c r="B316" s="403" t="n"/>
      <c r="C316" s="403" t="n"/>
      <c r="D316" s="407" t="n"/>
      <c r="E316" s="403" t="n"/>
      <c r="F316" s="403" t="n"/>
      <c r="G316" s="403" t="n"/>
      <c r="H316" s="403" t="n"/>
    </row>
    <row r="317">
      <c r="A317" s="403" t="n"/>
      <c r="B317" s="403" t="n"/>
      <c r="C317" s="403" t="n"/>
      <c r="D317" s="407" t="n"/>
      <c r="E317" s="403" t="n"/>
      <c r="F317" s="403" t="n"/>
      <c r="G317" s="403" t="n"/>
      <c r="H317" s="403" t="n"/>
    </row>
    <row r="318">
      <c r="A318" s="403" t="n"/>
      <c r="B318" s="403" t="n"/>
      <c r="C318" s="403" t="n"/>
      <c r="D318" s="407" t="n"/>
      <c r="E318" s="403" t="n"/>
      <c r="F318" s="403" t="n"/>
      <c r="G318" s="403" t="n"/>
      <c r="H318" s="403" t="n"/>
    </row>
    <row r="319">
      <c r="A319" s="403" t="n"/>
      <c r="B319" s="403" t="n"/>
      <c r="C319" s="403" t="n"/>
      <c r="D319" s="407" t="n"/>
      <c r="E319" s="403" t="n"/>
      <c r="F319" s="403" t="n"/>
      <c r="G319" s="403" t="n"/>
      <c r="H319" s="403" t="n"/>
    </row>
    <row r="320">
      <c r="A320" s="403" t="n"/>
      <c r="B320" s="403" t="n"/>
      <c r="C320" s="403" t="n"/>
      <c r="D320" s="407" t="n"/>
      <c r="E320" s="403" t="n"/>
      <c r="F320" s="403" t="n"/>
      <c r="G320" s="403" t="n"/>
      <c r="H320" s="403" t="n"/>
    </row>
    <row r="321">
      <c r="A321" s="403" t="n"/>
      <c r="B321" s="403" t="n"/>
      <c r="C321" s="403" t="n"/>
      <c r="D321" s="407" t="n"/>
      <c r="E321" s="403" t="n"/>
      <c r="F321" s="403" t="n"/>
      <c r="G321" s="403" t="n"/>
      <c r="H321" s="403" t="n"/>
    </row>
    <row r="322">
      <c r="A322" s="403" t="n"/>
      <c r="B322" s="403" t="n"/>
      <c r="C322" s="403" t="n"/>
      <c r="D322" s="407" t="n"/>
      <c r="E322" s="403" t="n"/>
      <c r="F322" s="403" t="n"/>
      <c r="G322" s="403" t="n"/>
      <c r="H322" s="403" t="n"/>
    </row>
    <row r="323">
      <c r="A323" s="403" t="n"/>
      <c r="B323" s="403" t="n"/>
      <c r="C323" s="403" t="n"/>
      <c r="D323" s="407" t="n"/>
      <c r="E323" s="403" t="n"/>
      <c r="F323" s="403" t="n"/>
      <c r="G323" s="403" t="n"/>
      <c r="H323" s="403" t="n"/>
    </row>
    <row r="324">
      <c r="A324" s="403" t="n"/>
      <c r="B324" s="403" t="n"/>
      <c r="C324" s="403" t="n"/>
      <c r="D324" s="407" t="n"/>
      <c r="E324" s="403" t="n"/>
      <c r="F324" s="403" t="n"/>
      <c r="G324" s="403" t="n"/>
      <c r="H324" s="403" t="n"/>
    </row>
    <row r="325">
      <c r="A325" s="403" t="n"/>
      <c r="B325" s="403" t="n"/>
      <c r="C325" s="403" t="n"/>
      <c r="D325" s="407" t="n"/>
      <c r="E325" s="403" t="n"/>
      <c r="F325" s="403" t="n"/>
      <c r="G325" s="403" t="n"/>
      <c r="H325" s="403" t="n"/>
    </row>
    <row r="326">
      <c r="A326" s="403" t="n"/>
      <c r="B326" s="403" t="n"/>
      <c r="C326" s="403" t="n"/>
      <c r="D326" s="407" t="n"/>
      <c r="E326" s="403" t="n"/>
      <c r="F326" s="403" t="n"/>
      <c r="G326" s="403" t="n"/>
      <c r="H326" s="403" t="n"/>
    </row>
    <row r="327">
      <c r="A327" s="403" t="n"/>
      <c r="B327" s="403" t="n"/>
      <c r="C327" s="403" t="n"/>
      <c r="D327" s="407" t="n"/>
      <c r="E327" s="403" t="n"/>
      <c r="F327" s="403" t="n"/>
      <c r="G327" s="403" t="n"/>
      <c r="H327" s="403" t="n"/>
    </row>
    <row r="328">
      <c r="A328" s="403" t="n"/>
      <c r="B328" s="403" t="n"/>
      <c r="C328" s="403" t="n"/>
      <c r="D328" s="407" t="n"/>
      <c r="E328" s="403" t="n"/>
      <c r="F328" s="403" t="n"/>
      <c r="G328" s="403" t="n"/>
      <c r="H328" s="403" t="n"/>
    </row>
    <row r="329">
      <c r="A329" s="403" t="n"/>
      <c r="B329" s="403" t="n"/>
      <c r="C329" s="403" t="n"/>
      <c r="D329" s="407" t="n"/>
      <c r="E329" s="403" t="n"/>
      <c r="F329" s="403" t="n"/>
      <c r="G329" s="403" t="n"/>
      <c r="H329" s="403" t="n"/>
    </row>
    <row r="330">
      <c r="A330" s="403" t="n"/>
      <c r="B330" s="403" t="n"/>
      <c r="C330" s="403" t="n"/>
      <c r="D330" s="407" t="n"/>
      <c r="E330" s="403" t="n"/>
      <c r="F330" s="403" t="n"/>
      <c r="G330" s="403" t="n"/>
      <c r="H330" s="403" t="n"/>
    </row>
    <row r="331">
      <c r="A331" s="403" t="n"/>
      <c r="B331" s="403" t="n"/>
      <c r="C331" s="403" t="n"/>
      <c r="D331" s="407" t="n"/>
      <c r="E331" s="403" t="n"/>
      <c r="F331" s="403" t="n"/>
      <c r="G331" s="403" t="n"/>
      <c r="H331" s="403" t="n"/>
    </row>
    <row r="332">
      <c r="A332" s="403" t="n"/>
      <c r="B332" s="403" t="n"/>
      <c r="C332" s="403" t="n"/>
      <c r="D332" s="407" t="n"/>
      <c r="E332" s="403" t="n"/>
      <c r="F332" s="403" t="n"/>
      <c r="G332" s="403" t="n"/>
      <c r="H332" s="403" t="n"/>
    </row>
    <row r="333">
      <c r="A333" s="403" t="n"/>
      <c r="B333" s="403" t="n"/>
      <c r="C333" s="403" t="n"/>
      <c r="D333" s="407" t="n"/>
      <c r="E333" s="403" t="n"/>
      <c r="F333" s="403" t="n"/>
      <c r="G333" s="403" t="n"/>
      <c r="H333" s="403" t="n"/>
    </row>
    <row r="334">
      <c r="A334" s="403" t="n"/>
      <c r="B334" s="403" t="n"/>
      <c r="C334" s="403" t="n"/>
      <c r="D334" s="407" t="n"/>
      <c r="E334" s="403" t="n"/>
      <c r="F334" s="403" t="n"/>
      <c r="G334" s="403" t="n"/>
      <c r="H334" s="403" t="n"/>
    </row>
    <row r="335">
      <c r="A335" s="403" t="n"/>
      <c r="B335" s="403" t="n"/>
      <c r="C335" s="403" t="n"/>
      <c r="D335" s="407" t="n"/>
      <c r="E335" s="403" t="n"/>
      <c r="F335" s="403" t="n"/>
      <c r="G335" s="403" t="n"/>
      <c r="H335" s="403" t="n"/>
    </row>
    <row r="336">
      <c r="A336" s="403" t="n"/>
      <c r="B336" s="403" t="n"/>
      <c r="C336" s="403" t="n"/>
      <c r="D336" s="407" t="n"/>
      <c r="E336" s="403" t="n"/>
      <c r="F336" s="403" t="n"/>
      <c r="G336" s="403" t="n"/>
      <c r="H336" s="403" t="n"/>
    </row>
    <row r="337">
      <c r="A337" s="403" t="n"/>
      <c r="B337" s="403" t="n"/>
      <c r="C337" s="403" t="n"/>
      <c r="D337" s="407" t="n"/>
      <c r="E337" s="403" t="n"/>
      <c r="F337" s="403" t="n"/>
      <c r="G337" s="403" t="n"/>
      <c r="H337" s="403" t="n"/>
    </row>
    <row r="338">
      <c r="A338" s="403" t="n"/>
      <c r="B338" s="403" t="n"/>
      <c r="C338" s="403" t="n"/>
      <c r="D338" s="407" t="n"/>
      <c r="E338" s="403" t="n"/>
      <c r="F338" s="403" t="n"/>
      <c r="G338" s="403" t="n"/>
      <c r="H338" s="403" t="n"/>
    </row>
    <row r="339">
      <c r="A339" s="403" t="n"/>
      <c r="B339" s="403" t="n"/>
      <c r="C339" s="403" t="n"/>
      <c r="D339" s="407" t="n"/>
      <c r="E339" s="403" t="n"/>
      <c r="F339" s="403" t="n"/>
      <c r="G339" s="403" t="n"/>
      <c r="H339" s="403" t="n"/>
    </row>
    <row r="340">
      <c r="A340" s="403" t="n"/>
      <c r="B340" s="403" t="n"/>
      <c r="C340" s="403" t="n"/>
      <c r="D340" s="407" t="n"/>
      <c r="E340" s="403" t="n"/>
      <c r="F340" s="403" t="n"/>
      <c r="G340" s="403" t="n"/>
      <c r="H340" s="403" t="n"/>
    </row>
    <row r="341">
      <c r="A341" s="403" t="n"/>
      <c r="B341" s="403" t="n"/>
      <c r="C341" s="403" t="n"/>
      <c r="D341" s="407" t="n"/>
      <c r="E341" s="403" t="n"/>
      <c r="F341" s="403" t="n"/>
      <c r="G341" s="403" t="n"/>
      <c r="H341" s="403" t="n"/>
    </row>
    <row r="342">
      <c r="A342" s="403" t="n"/>
      <c r="B342" s="403" t="n"/>
      <c r="C342" s="403" t="n"/>
      <c r="D342" s="407" t="n"/>
      <c r="E342" s="403" t="n"/>
      <c r="F342" s="403" t="n"/>
      <c r="G342" s="403" t="n"/>
      <c r="H342" s="403" t="n"/>
    </row>
    <row r="343">
      <c r="A343" s="403" t="n"/>
      <c r="B343" s="403" t="n"/>
      <c r="C343" s="403" t="n"/>
      <c r="D343" s="407" t="n"/>
      <c r="E343" s="403" t="n"/>
      <c r="F343" s="403" t="n"/>
      <c r="G343" s="403" t="n"/>
      <c r="H343" s="403" t="n"/>
    </row>
    <row r="344">
      <c r="A344" s="403" t="n"/>
      <c r="B344" s="403" t="n"/>
      <c r="C344" s="403" t="n"/>
      <c r="D344" s="407" t="n"/>
      <c r="E344" s="403" t="n"/>
      <c r="F344" s="403" t="n"/>
      <c r="G344" s="403" t="n"/>
      <c r="H344" s="403" t="n"/>
    </row>
    <row r="345">
      <c r="A345" s="403" t="n"/>
      <c r="B345" s="403" t="n"/>
      <c r="C345" s="403" t="n"/>
      <c r="D345" s="407" t="n"/>
      <c r="E345" s="403" t="n"/>
      <c r="F345" s="403" t="n"/>
      <c r="G345" s="403" t="n"/>
      <c r="H345" s="403" t="n"/>
    </row>
    <row r="346">
      <c r="A346" s="403" t="n"/>
      <c r="B346" s="403" t="n"/>
      <c r="C346" s="403" t="n"/>
      <c r="D346" s="407" t="n"/>
      <c r="E346" s="403" t="n"/>
      <c r="F346" s="403" t="n"/>
      <c r="G346" s="403" t="n"/>
      <c r="H346" s="403" t="n"/>
    </row>
    <row r="347">
      <c r="A347" s="403" t="n"/>
      <c r="B347" s="403" t="n"/>
      <c r="C347" s="403" t="n"/>
      <c r="D347" s="407" t="n"/>
      <c r="E347" s="403" t="n"/>
      <c r="F347" s="403" t="n"/>
      <c r="G347" s="403" t="n"/>
      <c r="H347" s="403" t="n"/>
    </row>
    <row r="348">
      <c r="A348" s="403" t="n"/>
      <c r="B348" s="403" t="n"/>
      <c r="C348" s="403" t="n"/>
      <c r="D348" s="407" t="n"/>
      <c r="E348" s="403" t="n"/>
      <c r="F348" s="403" t="n"/>
      <c r="G348" s="403" t="n"/>
      <c r="H348" s="403" t="n"/>
    </row>
    <row r="349">
      <c r="A349" s="403" t="n"/>
      <c r="B349" s="403" t="n"/>
      <c r="C349" s="403" t="n"/>
      <c r="D349" s="407" t="n"/>
      <c r="E349" s="403" t="n"/>
      <c r="F349" s="403" t="n"/>
      <c r="G349" s="403" t="n"/>
      <c r="H349" s="403" t="n"/>
    </row>
    <row r="350">
      <c r="A350" s="403" t="n"/>
      <c r="B350" s="403" t="n"/>
      <c r="C350" s="403" t="n"/>
      <c r="D350" s="407" t="n"/>
      <c r="E350" s="403" t="n"/>
      <c r="F350" s="403" t="n"/>
      <c r="G350" s="403" t="n"/>
      <c r="H350" s="403" t="n"/>
    </row>
    <row r="351">
      <c r="A351" s="403" t="n"/>
      <c r="B351" s="403" t="n"/>
      <c r="C351" s="403" t="n"/>
      <c r="D351" s="407" t="n"/>
      <c r="E351" s="403" t="n"/>
      <c r="F351" s="403" t="n"/>
      <c r="G351" s="403" t="n"/>
      <c r="H351" s="403" t="n"/>
    </row>
    <row r="352">
      <c r="A352" s="403" t="n"/>
      <c r="B352" s="403" t="n"/>
      <c r="C352" s="403" t="n"/>
      <c r="D352" s="407" t="n"/>
      <c r="E352" s="403" t="n"/>
      <c r="F352" s="403" t="n"/>
      <c r="G352" s="403" t="n"/>
      <c r="H352" s="403" t="n"/>
    </row>
    <row r="353">
      <c r="A353" s="403" t="n"/>
      <c r="B353" s="403" t="n"/>
      <c r="C353" s="403" t="n"/>
      <c r="D353" s="407" t="n"/>
      <c r="E353" s="403" t="n"/>
      <c r="F353" s="403" t="n"/>
      <c r="G353" s="403" t="n"/>
      <c r="H353" s="403" t="n"/>
    </row>
    <row r="354">
      <c r="A354" s="403" t="n"/>
      <c r="B354" s="403" t="n"/>
      <c r="C354" s="403" t="n"/>
      <c r="D354" s="407" t="n"/>
      <c r="E354" s="403" t="n"/>
      <c r="F354" s="403" t="n"/>
      <c r="G354" s="403" t="n"/>
      <c r="H354" s="403" t="n"/>
    </row>
    <row r="355">
      <c r="A355" s="403" t="n"/>
      <c r="B355" s="403" t="n"/>
      <c r="C355" s="403" t="n"/>
      <c r="D355" s="407" t="n"/>
      <c r="E355" s="403" t="n"/>
      <c r="F355" s="403" t="n"/>
      <c r="G355" s="403" t="n"/>
      <c r="H355" s="403" t="n"/>
    </row>
    <row r="356">
      <c r="A356" s="403" t="n"/>
      <c r="B356" s="403" t="n"/>
      <c r="C356" s="403" t="n"/>
      <c r="D356" s="407" t="n"/>
      <c r="E356" s="403" t="n"/>
      <c r="F356" s="403" t="n"/>
      <c r="G356" s="403" t="n"/>
      <c r="H356" s="403" t="n"/>
    </row>
    <row r="357">
      <c r="A357" s="403" t="n"/>
      <c r="B357" s="403" t="n"/>
      <c r="C357" s="403" t="n"/>
      <c r="D357" s="407" t="n"/>
      <c r="E357" s="403" t="n"/>
      <c r="F357" s="403" t="n"/>
      <c r="G357" s="403" t="n"/>
      <c r="H357" s="403" t="n"/>
    </row>
    <row r="358">
      <c r="A358" s="403" t="n"/>
      <c r="B358" s="403" t="n"/>
      <c r="C358" s="403" t="n"/>
      <c r="D358" s="407" t="n"/>
      <c r="E358" s="403" t="n"/>
      <c r="F358" s="403" t="n"/>
      <c r="G358" s="403" t="n"/>
      <c r="H358" s="403" t="n"/>
    </row>
    <row r="359">
      <c r="A359" s="403" t="n"/>
      <c r="B359" s="403" t="n"/>
      <c r="C359" s="403" t="n"/>
      <c r="D359" s="407" t="n"/>
      <c r="E359" s="403" t="n"/>
      <c r="F359" s="403" t="n"/>
      <c r="G359" s="403" t="n"/>
      <c r="H359" s="403" t="n"/>
    </row>
    <row r="360">
      <c r="A360" s="403" t="n"/>
      <c r="B360" s="403" t="n"/>
      <c r="C360" s="403" t="n"/>
      <c r="D360" s="407" t="n"/>
      <c r="E360" s="403" t="n"/>
      <c r="F360" s="403" t="n"/>
      <c r="G360" s="403" t="n"/>
      <c r="H360" s="403" t="n"/>
    </row>
    <row r="361">
      <c r="A361" s="403" t="n"/>
      <c r="B361" s="403" t="n"/>
      <c r="C361" s="403" t="n"/>
      <c r="D361" s="407" t="n"/>
      <c r="E361" s="403" t="n"/>
      <c r="F361" s="403" t="n"/>
      <c r="G361" s="403" t="n"/>
      <c r="H361" s="403" t="n"/>
    </row>
    <row r="362">
      <c r="A362" s="403" t="n"/>
      <c r="B362" s="403" t="n"/>
      <c r="C362" s="403" t="n"/>
      <c r="D362" s="407" t="n"/>
      <c r="E362" s="403" t="n"/>
      <c r="F362" s="403" t="n"/>
      <c r="G362" s="403" t="n"/>
      <c r="H362" s="403" t="n"/>
    </row>
    <row r="363">
      <c r="A363" s="403" t="n"/>
      <c r="B363" s="403" t="n"/>
      <c r="C363" s="403" t="n"/>
      <c r="D363" s="407" t="n"/>
      <c r="E363" s="403" t="n"/>
      <c r="F363" s="403" t="n"/>
      <c r="G363" s="403" t="n"/>
      <c r="H363" s="403" t="n"/>
    </row>
    <row r="364">
      <c r="A364" s="403" t="n"/>
      <c r="B364" s="403" t="n"/>
      <c r="C364" s="403" t="n"/>
      <c r="D364" s="407" t="n"/>
      <c r="E364" s="403" t="n"/>
      <c r="F364" s="403" t="n"/>
      <c r="G364" s="403" t="n"/>
      <c r="H364" s="403" t="n"/>
    </row>
    <row r="365">
      <c r="A365" s="403" t="n"/>
      <c r="B365" s="403" t="n"/>
      <c r="C365" s="403" t="n"/>
      <c r="D365" s="407" t="n"/>
      <c r="E365" s="403" t="n"/>
      <c r="F365" s="403" t="n"/>
      <c r="G365" s="403" t="n"/>
      <c r="H365" s="403" t="n"/>
    </row>
    <row r="366">
      <c r="A366" s="403" t="n"/>
      <c r="B366" s="403" t="n"/>
      <c r="C366" s="403" t="n"/>
      <c r="D366" s="407" t="n"/>
      <c r="E366" s="403" t="n"/>
      <c r="F366" s="403" t="n"/>
      <c r="G366" s="403" t="n"/>
      <c r="H366" s="403" t="n"/>
    </row>
    <row r="367">
      <c r="A367" s="403" t="n"/>
      <c r="B367" s="403" t="n"/>
      <c r="C367" s="403" t="n"/>
      <c r="D367" s="407" t="n"/>
      <c r="E367" s="403" t="n"/>
      <c r="F367" s="403" t="n"/>
      <c r="G367" s="403" t="n"/>
      <c r="H367" s="403" t="n"/>
    </row>
    <row r="368">
      <c r="A368" s="403" t="n"/>
      <c r="B368" s="403" t="n"/>
      <c r="C368" s="403" t="n"/>
      <c r="D368" s="407" t="n"/>
      <c r="E368" s="403" t="n"/>
      <c r="F368" s="403" t="n"/>
      <c r="G368" s="403" t="n"/>
      <c r="H368" s="403" t="n"/>
    </row>
    <row r="369">
      <c r="A369" s="403" t="n"/>
      <c r="B369" s="403" t="n"/>
      <c r="C369" s="403" t="n"/>
      <c r="D369" s="407" t="n"/>
      <c r="E369" s="403" t="n"/>
      <c r="F369" s="403" t="n"/>
      <c r="G369" s="403" t="n"/>
      <c r="H369" s="403" t="n"/>
    </row>
    <row r="370">
      <c r="A370" s="403" t="n"/>
      <c r="B370" s="403" t="n"/>
      <c r="C370" s="403" t="n"/>
      <c r="D370" s="407" t="n"/>
      <c r="E370" s="403" t="n"/>
      <c r="F370" s="403" t="n"/>
      <c r="G370" s="403" t="n"/>
      <c r="H370" s="403" t="n"/>
    </row>
    <row r="371">
      <c r="A371" s="403" t="n"/>
      <c r="B371" s="403" t="n"/>
      <c r="C371" s="403" t="n"/>
      <c r="D371" s="407" t="n"/>
      <c r="E371" s="403" t="n"/>
      <c r="F371" s="403" t="n"/>
      <c r="G371" s="403" t="n"/>
      <c r="H371" s="403" t="n"/>
    </row>
    <row r="372">
      <c r="A372" s="403" t="n"/>
      <c r="B372" s="403" t="n"/>
      <c r="C372" s="403" t="n"/>
      <c r="D372" s="407" t="n"/>
      <c r="E372" s="403" t="n"/>
      <c r="F372" s="403" t="n"/>
      <c r="G372" s="403" t="n"/>
      <c r="H372" s="403" t="n"/>
    </row>
    <row r="373">
      <c r="A373" s="403" t="n"/>
      <c r="B373" s="403" t="n"/>
      <c r="C373" s="403" t="n"/>
      <c r="D373" s="407" t="n"/>
      <c r="E373" s="403" t="n"/>
      <c r="F373" s="403" t="n"/>
      <c r="G373" s="403" t="n"/>
      <c r="H373" s="403" t="n"/>
    </row>
    <row r="374">
      <c r="A374" s="403" t="n"/>
      <c r="B374" s="403" t="n"/>
      <c r="C374" s="403" t="n"/>
      <c r="D374" s="407" t="n"/>
      <c r="E374" s="403" t="n"/>
      <c r="F374" s="403" t="n"/>
      <c r="G374" s="403" t="n"/>
      <c r="H374" s="403" t="n"/>
    </row>
    <row r="375">
      <c r="A375" s="403" t="n"/>
      <c r="B375" s="403" t="n"/>
      <c r="C375" s="403" t="n"/>
      <c r="D375" s="407" t="n"/>
      <c r="E375" s="403" t="n"/>
      <c r="F375" s="403" t="n"/>
      <c r="G375" s="403" t="n"/>
      <c r="H375" s="403" t="n"/>
    </row>
    <row r="376">
      <c r="A376" s="403" t="n"/>
      <c r="B376" s="403" t="n"/>
      <c r="C376" s="403" t="n"/>
      <c r="D376" s="407" t="n"/>
      <c r="E376" s="403" t="n"/>
      <c r="F376" s="403" t="n"/>
      <c r="G376" s="403" t="n"/>
      <c r="H376" s="403" t="n"/>
    </row>
    <row r="377">
      <c r="A377" s="403" t="n"/>
      <c r="B377" s="403" t="n"/>
      <c r="C377" s="403" t="n"/>
      <c r="D377" s="407" t="n"/>
      <c r="E377" s="403" t="n"/>
      <c r="F377" s="403" t="n"/>
      <c r="G377" s="403" t="n"/>
      <c r="H377" s="403" t="n"/>
    </row>
    <row r="378">
      <c r="A378" s="403" t="n"/>
      <c r="B378" s="403" t="n"/>
      <c r="C378" s="403" t="n"/>
      <c r="D378" s="407" t="n"/>
      <c r="E378" s="403" t="n"/>
      <c r="F378" s="403" t="n"/>
      <c r="G378" s="403" t="n"/>
      <c r="H378" s="403" t="n"/>
    </row>
    <row r="379">
      <c r="A379" s="403" t="n"/>
      <c r="B379" s="403" t="n"/>
      <c r="C379" s="403" t="n"/>
      <c r="D379" s="407" t="n"/>
      <c r="E379" s="403" t="n"/>
      <c r="F379" s="403" t="n"/>
      <c r="G379" s="403" t="n"/>
      <c r="H379" s="403" t="n"/>
    </row>
    <row r="380">
      <c r="A380" s="403" t="n"/>
      <c r="B380" s="403" t="n"/>
      <c r="C380" s="403" t="n"/>
      <c r="D380" s="410" t="n"/>
      <c r="E380" s="403" t="n"/>
      <c r="F380" s="403" t="n"/>
      <c r="G380" s="403" t="n"/>
      <c r="H380" s="403" t="n"/>
    </row>
  </sheetData>
  <autoFilter ref="A4:H38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3"/>
  <cols>
    <col width="44" customWidth="1" style="438" min="1" max="6"/>
  </cols>
  <sheetData>
    <row r="1">
      <c r="A1" s="401" t="inlineStr">
        <is>
          <t>中間品選択リスト（工程入力シートR列のプルダウン元）※⑱中間品単価に中間品を追加したら、ここにも追加してください。各列は推奨工程の中間品が先頭、その後に全中間品。</t>
        </is>
      </c>
    </row>
    <row r="2">
      <c r="A2" s="402" t="inlineStr">
        <is>
          <t>②釜工程入力</t>
        </is>
      </c>
      <c r="B2" s="402" t="inlineStr">
        <is>
          <t>③スチコン工程入力</t>
        </is>
      </c>
      <c r="C2" s="402" t="inlineStr">
        <is>
          <t>⑪ZEN工程入力</t>
        </is>
      </c>
      <c r="D2" s="402" t="inlineStr">
        <is>
          <t>⑫ミキサー工程入力</t>
        </is>
      </c>
      <c r="E2" s="402" t="inlineStr">
        <is>
          <t>⑬計量工程入力</t>
        </is>
      </c>
      <c r="F2" s="402" t="inlineStr">
        <is>
          <t>⑭手動工程入力</t>
        </is>
      </c>
    </row>
    <row r="3">
      <c r="A3" s="403" t="n"/>
      <c r="B3" s="403" t="n"/>
      <c r="C3" s="403" t="n"/>
      <c r="D3" s="403" t="n"/>
      <c r="E3" s="403" t="n"/>
      <c r="F3" s="403" t="n"/>
    </row>
    <row r="4">
      <c r="A4" s="403" t="n"/>
      <c r="B4" s="403" t="n"/>
      <c r="C4" s="403" t="n"/>
      <c r="D4" s="403" t="n"/>
      <c r="E4" s="403" t="n"/>
      <c r="F4" s="403" t="n"/>
    </row>
    <row r="5">
      <c r="A5" s="403" t="n"/>
      <c r="B5" s="403" t="n"/>
      <c r="C5" s="403" t="n"/>
      <c r="D5" s="403" t="n"/>
      <c r="E5" s="403" t="n"/>
      <c r="F5" s="403" t="n"/>
    </row>
    <row r="6">
      <c r="A6" s="403" t="n"/>
      <c r="B6" s="403" t="n"/>
      <c r="C6" s="403" t="n"/>
      <c r="D6" s="403" t="n"/>
      <c r="E6" s="403" t="n"/>
      <c r="F6" s="403" t="n"/>
    </row>
    <row r="7">
      <c r="A7" s="403" t="n"/>
      <c r="B7" s="403" t="n"/>
      <c r="C7" s="403" t="n"/>
      <c r="D7" s="403" t="n"/>
      <c r="E7" s="403" t="n"/>
      <c r="F7" s="403" t="n"/>
    </row>
    <row r="8">
      <c r="A8" s="403" t="n"/>
      <c r="B8" s="403" t="n"/>
      <c r="C8" s="403" t="n"/>
      <c r="D8" s="403" t="n"/>
      <c r="E8" s="403" t="n"/>
      <c r="F8" s="403" t="n"/>
    </row>
    <row r="9">
      <c r="A9" s="403" t="n"/>
      <c r="B9" s="403" t="n"/>
      <c r="C9" s="403" t="n"/>
      <c r="D9" s="403" t="n"/>
      <c r="E9" s="403" t="n"/>
      <c r="F9" s="403" t="n"/>
    </row>
    <row r="10">
      <c r="A10" s="403" t="n"/>
      <c r="B10" s="403" t="n"/>
      <c r="C10" s="403" t="n"/>
      <c r="D10" s="403" t="n"/>
      <c r="E10" s="403" t="n"/>
      <c r="F10" s="403" t="n"/>
    </row>
    <row r="11">
      <c r="A11" s="403" t="n"/>
      <c r="B11" s="403" t="n"/>
      <c r="C11" s="403" t="n"/>
      <c r="D11" s="403" t="n"/>
      <c r="E11" s="403" t="n"/>
      <c r="F11" s="403" t="n"/>
    </row>
    <row r="12">
      <c r="A12" s="403" t="n"/>
      <c r="B12" s="403" t="n"/>
      <c r="C12" s="403" t="n"/>
      <c r="D12" s="403" t="n"/>
      <c r="E12" s="403" t="n"/>
      <c r="F12" s="403" t="n"/>
    </row>
    <row r="13">
      <c r="A13" s="403" t="n"/>
      <c r="B13" s="403" t="n"/>
      <c r="C13" s="403" t="n"/>
      <c r="D13" s="403" t="n"/>
      <c r="E13" s="403" t="n"/>
      <c r="F13" s="403" t="n"/>
    </row>
    <row r="14">
      <c r="A14" s="403" t="n"/>
      <c r="B14" s="403" t="n"/>
      <c r="C14" s="403" t="n"/>
      <c r="D14" s="403" t="n"/>
      <c r="E14" s="403" t="n"/>
      <c r="F14" s="403" t="n"/>
    </row>
    <row r="15">
      <c r="A15" s="403" t="n"/>
      <c r="B15" s="403" t="n"/>
      <c r="C15" s="403" t="n"/>
      <c r="D15" s="403" t="n"/>
      <c r="E15" s="403" t="n"/>
      <c r="F15" s="403" t="n"/>
    </row>
    <row r="16">
      <c r="A16" s="403" t="n"/>
      <c r="B16" s="403" t="n"/>
      <c r="C16" s="403" t="n"/>
      <c r="D16" s="403" t="n"/>
      <c r="E16" s="403" t="n"/>
      <c r="F16" s="403" t="n"/>
    </row>
    <row r="17">
      <c r="A17" s="403" t="n"/>
      <c r="B17" s="403" t="n"/>
      <c r="C17" s="403" t="n"/>
      <c r="D17" s="403" t="n"/>
      <c r="E17" s="403" t="n"/>
      <c r="F17" s="403" t="n"/>
    </row>
    <row r="18">
      <c r="A18" s="403" t="n"/>
      <c r="B18" s="403" t="n"/>
      <c r="C18" s="403" t="n"/>
      <c r="D18" s="403" t="n"/>
      <c r="E18" s="403" t="n"/>
      <c r="F18" s="403" t="n"/>
    </row>
    <row r="19">
      <c r="A19" s="403" t="n"/>
      <c r="B19" s="403" t="n"/>
      <c r="C19" s="403" t="n"/>
      <c r="D19" s="403" t="n"/>
      <c r="E19" s="403" t="n"/>
      <c r="F19" s="403" t="n"/>
    </row>
    <row r="20">
      <c r="A20" s="403" t="n"/>
      <c r="B20" s="403" t="n"/>
      <c r="C20" s="403" t="n"/>
      <c r="D20" s="403" t="n"/>
      <c r="E20" s="403" t="n"/>
      <c r="F20" s="403" t="n"/>
    </row>
    <row r="21">
      <c r="A21" s="403" t="n"/>
      <c r="B21" s="403" t="n"/>
      <c r="C21" s="403" t="n"/>
      <c r="D21" s="403" t="n"/>
      <c r="E21" s="403" t="n"/>
      <c r="F21" s="403" t="n"/>
    </row>
    <row r="22">
      <c r="A22" s="403" t="n"/>
      <c r="B22" s="403" t="n"/>
      <c r="C22" s="403" t="n"/>
      <c r="D22" s="403" t="n"/>
      <c r="E22" s="403" t="n"/>
      <c r="F22" s="403" t="n"/>
    </row>
    <row r="23">
      <c r="A23" s="403" t="n"/>
      <c r="B23" s="403" t="n"/>
      <c r="C23" s="403" t="n"/>
      <c r="D23" s="403" t="n"/>
      <c r="E23" s="403" t="n"/>
      <c r="F23" s="403" t="n"/>
    </row>
    <row r="24">
      <c r="A24" s="403" t="n"/>
      <c r="B24" s="403" t="n"/>
      <c r="C24" s="403" t="n"/>
      <c r="D24" s="403" t="n"/>
      <c r="E24" s="403" t="n"/>
      <c r="F24" s="403" t="n"/>
    </row>
    <row r="25">
      <c r="A25" s="403" t="n"/>
      <c r="B25" s="403" t="n"/>
      <c r="C25" s="403" t="n"/>
      <c r="D25" s="403" t="n"/>
      <c r="E25" s="403" t="n"/>
      <c r="F25" s="403" t="n"/>
    </row>
    <row r="26">
      <c r="A26" s="403" t="n"/>
      <c r="B26" s="403" t="n"/>
      <c r="C26" s="403" t="n"/>
      <c r="D26" s="403" t="n"/>
      <c r="E26" s="403" t="n"/>
      <c r="F26" s="403" t="n"/>
    </row>
    <row r="27">
      <c r="A27" s="403" t="n"/>
      <c r="B27" s="403" t="n"/>
      <c r="C27" s="403" t="n"/>
      <c r="D27" s="403" t="n"/>
      <c r="E27" s="403" t="n"/>
      <c r="F27" s="403" t="n"/>
    </row>
    <row r="28">
      <c r="A28" s="403" t="n"/>
      <c r="B28" s="403" t="n"/>
      <c r="C28" s="403" t="n"/>
      <c r="D28" s="403" t="n"/>
      <c r="E28" s="403" t="n"/>
      <c r="F28" s="403" t="n"/>
    </row>
    <row r="29">
      <c r="A29" s="403" t="n"/>
      <c r="B29" s="403" t="n"/>
      <c r="C29" s="403" t="n"/>
      <c r="D29" s="403" t="n"/>
      <c r="E29" s="403" t="n"/>
      <c r="F29" s="403" t="n"/>
    </row>
    <row r="30">
      <c r="A30" s="403" t="n"/>
      <c r="B30" s="403" t="n"/>
      <c r="C30" s="403" t="n"/>
      <c r="D30" s="403" t="n"/>
      <c r="E30" s="403" t="n"/>
      <c r="F30" s="403" t="n"/>
    </row>
    <row r="31">
      <c r="A31" s="403" t="n"/>
      <c r="B31" s="403" t="n"/>
      <c r="C31" s="403" t="n"/>
      <c r="D31" s="403" t="n"/>
      <c r="E31" s="403" t="n"/>
      <c r="F31" s="403" t="n"/>
    </row>
    <row r="32">
      <c r="A32" s="403" t="n"/>
      <c r="B32" s="403" t="n"/>
      <c r="C32" s="403" t="n"/>
      <c r="D32" s="403" t="n"/>
      <c r="E32" s="403" t="n"/>
      <c r="F32" s="403" t="n"/>
    </row>
    <row r="33">
      <c r="A33" s="403" t="n"/>
      <c r="B33" s="403" t="n"/>
      <c r="C33" s="403" t="n"/>
      <c r="D33" s="403" t="n"/>
      <c r="E33" s="403" t="n"/>
      <c r="F33" s="403" t="n"/>
    </row>
    <row r="34">
      <c r="A34" s="403" t="n"/>
      <c r="B34" s="403" t="n"/>
      <c r="C34" s="403" t="n"/>
      <c r="D34" s="403" t="n"/>
      <c r="E34" s="403" t="n"/>
      <c r="F34" s="403" t="n"/>
    </row>
    <row r="35">
      <c r="A35" s="403" t="n"/>
      <c r="B35" s="403" t="n"/>
      <c r="C35" s="403" t="n"/>
      <c r="D35" s="403" t="n"/>
      <c r="E35" s="403" t="n"/>
      <c r="F35" s="403" t="n"/>
    </row>
    <row r="36">
      <c r="A36" s="403" t="n"/>
      <c r="B36" s="403" t="n"/>
      <c r="C36" s="403" t="n"/>
      <c r="D36" s="403" t="n"/>
      <c r="E36" s="403" t="n"/>
      <c r="F36" s="403" t="n"/>
    </row>
    <row r="37">
      <c r="A37" s="403" t="n"/>
      <c r="B37" s="403" t="n"/>
      <c r="C37" s="403" t="n"/>
      <c r="D37" s="403" t="n"/>
      <c r="E37" s="403" t="n"/>
      <c r="F37" s="403" t="n"/>
    </row>
    <row r="38">
      <c r="A38" s="403" t="n"/>
      <c r="B38" s="403" t="n"/>
      <c r="C38" s="403" t="n"/>
      <c r="D38" s="403" t="n"/>
      <c r="E38" s="403" t="n"/>
      <c r="F38" s="403" t="n"/>
    </row>
    <row r="39">
      <c r="A39" s="403" t="n"/>
      <c r="B39" s="403" t="n"/>
      <c r="C39" s="403" t="n"/>
      <c r="D39" s="403" t="n"/>
      <c r="E39" s="403" t="n"/>
      <c r="F39" s="403" t="n"/>
    </row>
    <row r="40">
      <c r="A40" s="403" t="n"/>
      <c r="B40" s="403" t="n"/>
      <c r="C40" s="403" t="n"/>
      <c r="D40" s="403" t="n"/>
      <c r="E40" s="403" t="n"/>
      <c r="F40" s="403" t="n"/>
    </row>
    <row r="41">
      <c r="A41" s="403" t="n"/>
      <c r="B41" s="403" t="n"/>
      <c r="C41" s="403" t="n"/>
      <c r="D41" s="403" t="n"/>
      <c r="E41" s="403" t="n"/>
      <c r="F41" s="403" t="n"/>
    </row>
    <row r="42">
      <c r="A42" s="403" t="n"/>
      <c r="B42" s="403" t="n"/>
      <c r="C42" s="403" t="n"/>
      <c r="D42" s="403" t="n"/>
      <c r="E42" s="403" t="n"/>
      <c r="F42" s="403" t="n"/>
    </row>
    <row r="43">
      <c r="A43" s="403" t="n"/>
      <c r="B43" s="403" t="n"/>
      <c r="C43" s="403" t="n"/>
      <c r="D43" s="403" t="n"/>
      <c r="E43" s="403" t="n"/>
      <c r="F43" s="403" t="n"/>
    </row>
    <row r="44">
      <c r="A44" s="403" t="n"/>
      <c r="B44" s="403" t="n"/>
      <c r="C44" s="403" t="n"/>
      <c r="D44" s="403" t="n"/>
      <c r="E44" s="403" t="n"/>
      <c r="F44" s="403" t="n"/>
    </row>
    <row r="45">
      <c r="A45" s="403" t="n"/>
      <c r="B45" s="403" t="n"/>
      <c r="C45" s="403" t="n"/>
      <c r="D45" s="403" t="n"/>
      <c r="E45" s="403" t="n"/>
      <c r="F45" s="403" t="n"/>
    </row>
    <row r="46">
      <c r="A46" s="403" t="n"/>
      <c r="B46" s="403" t="n"/>
      <c r="C46" s="403" t="n"/>
      <c r="D46" s="403" t="n"/>
      <c r="E46" s="403" t="n"/>
      <c r="F46" s="403" t="n"/>
    </row>
    <row r="47">
      <c r="A47" s="403" t="n"/>
      <c r="B47" s="403" t="n"/>
      <c r="C47" s="403" t="n"/>
      <c r="D47" s="403" t="n"/>
      <c r="E47" s="403" t="n"/>
      <c r="F47" s="403" t="n"/>
    </row>
    <row r="48">
      <c r="A48" s="403" t="n"/>
      <c r="B48" s="403" t="n"/>
      <c r="C48" s="403" t="n"/>
      <c r="D48" s="403" t="n"/>
      <c r="E48" s="403" t="n"/>
      <c r="F48" s="403" t="n"/>
    </row>
    <row r="49">
      <c r="A49" s="403" t="n"/>
      <c r="B49" s="403" t="n"/>
      <c r="C49" s="403" t="n"/>
      <c r="D49" s="403" t="n"/>
      <c r="E49" s="403" t="n"/>
      <c r="F49" s="403" t="n"/>
    </row>
    <row r="50">
      <c r="A50" s="403" t="n"/>
      <c r="B50" s="403" t="n"/>
      <c r="C50" s="403" t="n"/>
      <c r="D50" s="403" t="n"/>
      <c r="E50" s="403" t="n"/>
      <c r="F50" s="403" t="n"/>
    </row>
    <row r="51">
      <c r="A51" s="403" t="n"/>
      <c r="B51" s="403" t="n"/>
      <c r="C51" s="403" t="n"/>
      <c r="D51" s="403" t="n"/>
      <c r="E51" s="403" t="n"/>
      <c r="F51" s="403" t="n"/>
    </row>
    <row r="52">
      <c r="A52" s="403" t="n"/>
      <c r="B52" s="403" t="n"/>
      <c r="C52" s="403" t="n"/>
      <c r="D52" s="403" t="n"/>
      <c r="E52" s="403" t="n"/>
      <c r="F52" s="403" t="n"/>
    </row>
    <row r="53">
      <c r="A53" s="403" t="n"/>
      <c r="B53" s="403" t="n"/>
      <c r="C53" s="403" t="n"/>
      <c r="D53" s="403" t="n"/>
      <c r="E53" s="403" t="n"/>
      <c r="F53" s="403" t="n"/>
    </row>
    <row r="54">
      <c r="A54" s="403" t="n"/>
      <c r="B54" s="403" t="n"/>
      <c r="C54" s="403" t="n"/>
      <c r="D54" s="403" t="n"/>
      <c r="E54" s="403" t="n"/>
      <c r="F54" s="403" t="n"/>
    </row>
    <row r="55">
      <c r="A55" s="403" t="n"/>
      <c r="B55" s="403" t="n"/>
      <c r="C55" s="403" t="n"/>
      <c r="D55" s="403" t="n"/>
      <c r="E55" s="403" t="n"/>
      <c r="F55" s="403" t="n"/>
    </row>
    <row r="56">
      <c r="A56" s="403" t="n"/>
      <c r="B56" s="403" t="n"/>
      <c r="C56" s="403" t="n"/>
      <c r="D56" s="403" t="n"/>
      <c r="E56" s="403" t="n"/>
      <c r="F56" s="403" t="n"/>
    </row>
    <row r="57">
      <c r="A57" s="403" t="n"/>
      <c r="B57" s="403" t="n"/>
      <c r="C57" s="403" t="n"/>
      <c r="D57" s="403" t="n"/>
      <c r="E57" s="403" t="n"/>
      <c r="F57" s="403" t="n"/>
    </row>
    <row r="58">
      <c r="A58" s="403" t="n"/>
      <c r="B58" s="403" t="n"/>
      <c r="C58" s="403" t="n"/>
      <c r="D58" s="403" t="n"/>
      <c r="E58" s="403" t="n"/>
      <c r="F58" s="403" t="n"/>
    </row>
    <row r="59">
      <c r="A59" s="403" t="n"/>
      <c r="B59" s="403" t="n"/>
      <c r="C59" s="403" t="n"/>
      <c r="D59" s="403" t="n"/>
      <c r="E59" s="403" t="n"/>
      <c r="F59" s="403" t="n"/>
    </row>
    <row r="60">
      <c r="A60" s="403" t="n"/>
      <c r="B60" s="403" t="n"/>
      <c r="C60" s="403" t="n"/>
      <c r="D60" s="403" t="n"/>
      <c r="E60" s="403" t="n"/>
      <c r="F60" s="403" t="n"/>
    </row>
    <row r="61">
      <c r="A61" s="403" t="n"/>
      <c r="B61" s="403" t="n"/>
      <c r="C61" s="403" t="n"/>
      <c r="D61" s="403" t="n"/>
      <c r="E61" s="403" t="n"/>
      <c r="F61" s="403" t="n"/>
    </row>
    <row r="62">
      <c r="A62" s="403" t="n"/>
      <c r="B62" s="403" t="n"/>
      <c r="C62" s="403" t="n"/>
      <c r="D62" s="403" t="n"/>
      <c r="E62" s="403" t="n"/>
      <c r="F62" s="403" t="n"/>
    </row>
    <row r="63">
      <c r="A63" s="403" t="n"/>
      <c r="B63" s="403" t="n"/>
      <c r="C63" s="403" t="n"/>
      <c r="D63" s="403" t="n"/>
      <c r="E63" s="403" t="n"/>
      <c r="F63" s="403" t="n"/>
    </row>
    <row r="64">
      <c r="A64" s="403" t="n"/>
      <c r="B64" s="403" t="n"/>
      <c r="C64" s="403" t="n"/>
      <c r="D64" s="403" t="n"/>
      <c r="E64" s="403" t="n"/>
      <c r="F64" s="403" t="n"/>
    </row>
    <row r="65">
      <c r="A65" s="403" t="n"/>
      <c r="B65" s="403" t="n"/>
      <c r="C65" s="403" t="n"/>
      <c r="D65" s="403" t="n"/>
      <c r="E65" s="403" t="n"/>
      <c r="F65" s="403" t="n"/>
    </row>
    <row r="66">
      <c r="A66" s="403" t="n"/>
      <c r="B66" s="403" t="n"/>
      <c r="C66" s="403" t="n"/>
      <c r="D66" s="403" t="n"/>
      <c r="E66" s="403" t="n"/>
      <c r="F66" s="403" t="n"/>
    </row>
    <row r="67">
      <c r="A67" s="403" t="n"/>
      <c r="B67" s="403" t="n"/>
      <c r="C67" s="403" t="n"/>
      <c r="D67" s="403" t="n"/>
      <c r="E67" s="403" t="n"/>
      <c r="F67" s="403" t="n"/>
    </row>
    <row r="68">
      <c r="A68" s="403" t="n"/>
      <c r="B68" s="403" t="n"/>
      <c r="C68" s="403" t="n"/>
      <c r="D68" s="403" t="n"/>
      <c r="E68" s="403" t="n"/>
      <c r="F68" s="403" t="n"/>
    </row>
    <row r="69">
      <c r="A69" s="403" t="n"/>
      <c r="B69" s="403" t="n"/>
      <c r="C69" s="403" t="n"/>
      <c r="D69" s="403" t="n"/>
      <c r="E69" s="403" t="n"/>
      <c r="F69" s="403" t="n"/>
    </row>
    <row r="70">
      <c r="A70" s="403" t="n"/>
      <c r="B70" s="403" t="n"/>
      <c r="C70" s="403" t="n"/>
      <c r="D70" s="403" t="n"/>
      <c r="E70" s="403" t="n"/>
      <c r="F70" s="403" t="n"/>
    </row>
    <row r="71">
      <c r="A71" s="403" t="n"/>
      <c r="B71" s="403" t="n"/>
      <c r="C71" s="403" t="n"/>
      <c r="D71" s="403" t="n"/>
      <c r="E71" s="403" t="n"/>
      <c r="F71" s="403" t="n"/>
    </row>
    <row r="72">
      <c r="A72" s="403" t="n"/>
      <c r="B72" s="403" t="n"/>
      <c r="C72" s="403" t="n"/>
      <c r="D72" s="403" t="n"/>
      <c r="E72" s="403" t="n"/>
      <c r="F72" s="403" t="n"/>
    </row>
    <row r="73">
      <c r="A73" s="403" t="n"/>
      <c r="B73" s="403" t="n"/>
      <c r="C73" s="403" t="n"/>
      <c r="D73" s="403" t="n"/>
      <c r="E73" s="403" t="n"/>
      <c r="F73" s="403" t="n"/>
    </row>
    <row r="74">
      <c r="A74" s="403" t="n"/>
      <c r="B74" s="403" t="n"/>
      <c r="C74" s="403" t="n"/>
      <c r="D74" s="403" t="n"/>
      <c r="E74" s="403" t="n"/>
      <c r="F74" s="403" t="n"/>
    </row>
    <row r="75">
      <c r="A75" s="403" t="n"/>
      <c r="B75" s="403" t="n"/>
      <c r="C75" s="403" t="n"/>
      <c r="D75" s="403" t="n"/>
      <c r="E75" s="403" t="n"/>
      <c r="F75" s="403" t="n"/>
    </row>
    <row r="76">
      <c r="A76" s="403" t="n"/>
      <c r="B76" s="403" t="n"/>
      <c r="C76" s="403" t="n"/>
      <c r="D76" s="403" t="n"/>
      <c r="E76" s="403" t="n"/>
      <c r="F76" s="403" t="n"/>
    </row>
    <row r="77">
      <c r="A77" s="403" t="n"/>
      <c r="B77" s="403" t="n"/>
      <c r="C77" s="403" t="n"/>
      <c r="D77" s="403" t="n"/>
      <c r="E77" s="403" t="n"/>
      <c r="F77" s="403" t="n"/>
    </row>
    <row r="78">
      <c r="A78" s="403" t="n"/>
      <c r="B78" s="403" t="n"/>
      <c r="C78" s="403" t="n"/>
      <c r="D78" s="403" t="n"/>
      <c r="E78" s="403" t="n"/>
      <c r="F78" s="403" t="n"/>
    </row>
    <row r="79">
      <c r="A79" s="403" t="n"/>
      <c r="B79" s="403" t="n"/>
      <c r="C79" s="403" t="n"/>
      <c r="D79" s="403" t="n"/>
      <c r="E79" s="403" t="n"/>
      <c r="F79" s="403" t="n"/>
    </row>
    <row r="80">
      <c r="A80" s="403" t="n"/>
      <c r="B80" s="403" t="n"/>
      <c r="C80" s="403" t="n"/>
      <c r="D80" s="403" t="n"/>
      <c r="E80" s="403" t="n"/>
      <c r="F80" s="403" t="n"/>
    </row>
    <row r="81">
      <c r="A81" s="403" t="n"/>
      <c r="B81" s="403" t="n"/>
      <c r="C81" s="403" t="n"/>
      <c r="D81" s="403" t="n"/>
      <c r="E81" s="403" t="n"/>
      <c r="F81" s="403" t="n"/>
    </row>
    <row r="82">
      <c r="A82" s="403" t="n"/>
      <c r="B82" s="403" t="n"/>
      <c r="C82" s="403" t="n"/>
      <c r="D82" s="403" t="n"/>
      <c r="E82" s="403" t="n"/>
      <c r="F82" s="403" t="n"/>
    </row>
    <row r="83">
      <c r="A83" s="403" t="n"/>
      <c r="B83" s="403" t="n"/>
      <c r="C83" s="403" t="n"/>
      <c r="D83" s="403" t="n"/>
      <c r="E83" s="403" t="n"/>
      <c r="F83" s="403" t="n"/>
    </row>
    <row r="84">
      <c r="A84" s="403" t="n"/>
      <c r="B84" s="403" t="n"/>
      <c r="C84" s="403" t="n"/>
      <c r="D84" s="403" t="n"/>
      <c r="E84" s="403" t="n"/>
      <c r="F84" s="403" t="n"/>
    </row>
    <row r="85">
      <c r="A85" s="403" t="n"/>
      <c r="B85" s="403" t="n"/>
      <c r="C85" s="403" t="n"/>
      <c r="D85" s="403" t="n"/>
      <c r="E85" s="403" t="n"/>
      <c r="F85" s="403" t="n"/>
    </row>
    <row r="86">
      <c r="A86" s="403" t="n"/>
      <c r="B86" s="403" t="n"/>
      <c r="C86" s="403" t="n"/>
      <c r="D86" s="403" t="n"/>
      <c r="E86" s="403" t="n"/>
      <c r="F86" s="403" t="n"/>
    </row>
    <row r="87">
      <c r="A87" s="403" t="n"/>
      <c r="B87" s="403" t="n"/>
      <c r="C87" s="403" t="n"/>
      <c r="D87" s="403" t="n"/>
      <c r="E87" s="403" t="n"/>
      <c r="F87" s="403" t="n"/>
    </row>
    <row r="88">
      <c r="A88" s="403" t="n"/>
      <c r="B88" s="403" t="n"/>
      <c r="C88" s="403" t="n"/>
      <c r="D88" s="403" t="n"/>
      <c r="E88" s="403" t="n"/>
      <c r="F88" s="403" t="n"/>
    </row>
    <row r="89">
      <c r="A89" s="403" t="n"/>
      <c r="B89" s="403" t="n"/>
      <c r="C89" s="403" t="n"/>
      <c r="D89" s="403" t="n"/>
      <c r="E89" s="403" t="n"/>
      <c r="F89" s="403" t="n"/>
    </row>
    <row r="90">
      <c r="A90" s="403" t="n"/>
      <c r="B90" s="403" t="n"/>
      <c r="C90" s="403" t="n"/>
      <c r="D90" s="403" t="n"/>
      <c r="E90" s="403" t="n"/>
      <c r="F90" s="403" t="n"/>
    </row>
    <row r="91">
      <c r="A91" s="403" t="n"/>
      <c r="B91" s="403" t="n"/>
      <c r="C91" s="403" t="n"/>
      <c r="D91" s="403" t="n"/>
      <c r="E91" s="403" t="n"/>
      <c r="F91" s="403" t="n"/>
    </row>
    <row r="92">
      <c r="A92" s="403" t="n"/>
      <c r="B92" s="403" t="n"/>
      <c r="C92" s="403" t="n"/>
      <c r="D92" s="403" t="n"/>
      <c r="E92" s="403" t="n"/>
      <c r="F92" s="403" t="n"/>
    </row>
    <row r="93">
      <c r="A93" s="403" t="n"/>
      <c r="B93" s="403" t="n"/>
      <c r="C93" s="403" t="n"/>
      <c r="D93" s="403" t="n"/>
      <c r="E93" s="403" t="n"/>
      <c r="F93" s="403" t="n"/>
    </row>
    <row r="94">
      <c r="A94" s="403" t="n"/>
      <c r="B94" s="403" t="n"/>
      <c r="C94" s="403" t="n"/>
      <c r="D94" s="403" t="n"/>
      <c r="E94" s="403" t="n"/>
      <c r="F94" s="403" t="n"/>
    </row>
    <row r="95">
      <c r="A95" s="403" t="n"/>
      <c r="B95" s="403" t="n"/>
      <c r="C95" s="403" t="n"/>
      <c r="D95" s="403" t="n"/>
      <c r="E95" s="403" t="n"/>
      <c r="F95" s="403" t="n"/>
    </row>
    <row r="96">
      <c r="A96" s="403" t="n"/>
      <c r="B96" s="403" t="n"/>
      <c r="C96" s="403" t="n"/>
      <c r="D96" s="403" t="n"/>
      <c r="E96" s="403" t="n"/>
      <c r="F96" s="403" t="n"/>
    </row>
    <row r="97">
      <c r="A97" s="403" t="n"/>
      <c r="B97" s="403" t="n"/>
      <c r="C97" s="403" t="n"/>
      <c r="D97" s="403" t="n"/>
      <c r="E97" s="403" t="n"/>
      <c r="F97" s="403" t="n"/>
    </row>
    <row r="98">
      <c r="A98" s="403" t="n"/>
      <c r="B98" s="403" t="n"/>
      <c r="C98" s="403" t="n"/>
      <c r="D98" s="403" t="n"/>
      <c r="E98" s="403" t="n"/>
      <c r="F98" s="403" t="n"/>
    </row>
    <row r="99">
      <c r="A99" s="403" t="n"/>
      <c r="B99" s="403" t="n"/>
      <c r="C99" s="403" t="n"/>
      <c r="D99" s="403" t="n"/>
      <c r="E99" s="403" t="n"/>
      <c r="F99" s="403" t="n"/>
    </row>
    <row r="100">
      <c r="A100" s="403" t="n"/>
      <c r="B100" s="403" t="n"/>
      <c r="C100" s="403" t="n"/>
      <c r="D100" s="403" t="n"/>
      <c r="E100" s="403" t="n"/>
      <c r="F100" s="403" t="n"/>
    </row>
    <row r="101">
      <c r="A101" s="403" t="n"/>
      <c r="B101" s="403" t="n"/>
      <c r="C101" s="403" t="n"/>
      <c r="D101" s="403" t="n"/>
      <c r="E101" s="403" t="n"/>
      <c r="F101" s="403" t="n"/>
    </row>
    <row r="102">
      <c r="A102" s="403" t="n"/>
      <c r="B102" s="403" t="n"/>
      <c r="C102" s="403" t="n"/>
      <c r="D102" s="403" t="n"/>
      <c r="E102" s="403" t="n"/>
      <c r="F102" s="403" t="n"/>
    </row>
    <row r="103">
      <c r="A103" s="403" t="n"/>
      <c r="B103" s="403" t="n"/>
      <c r="C103" s="403" t="n"/>
      <c r="D103" s="403" t="n"/>
      <c r="E103" s="403" t="n"/>
      <c r="F103" s="403" t="n"/>
    </row>
    <row r="104">
      <c r="A104" s="403" t="n"/>
      <c r="B104" s="403" t="n"/>
      <c r="C104" s="403" t="n"/>
      <c r="D104" s="403" t="n"/>
      <c r="E104" s="403" t="n"/>
      <c r="F104" s="403" t="n"/>
    </row>
    <row r="105">
      <c r="A105" s="403" t="n"/>
      <c r="B105" s="403" t="n"/>
      <c r="C105" s="403" t="n"/>
      <c r="D105" s="403" t="n"/>
      <c r="E105" s="403" t="n"/>
      <c r="F105" s="403" t="n"/>
    </row>
    <row r="106">
      <c r="A106" s="403" t="n"/>
      <c r="B106" s="403" t="n"/>
      <c r="C106" s="403" t="n"/>
      <c r="D106" s="403" t="n"/>
      <c r="E106" s="403" t="n"/>
      <c r="F106" s="403" t="n"/>
    </row>
    <row r="107">
      <c r="A107" s="403" t="n"/>
      <c r="B107" s="403" t="n"/>
      <c r="C107" s="403" t="n"/>
      <c r="D107" s="403" t="n"/>
      <c r="E107" s="403" t="n"/>
      <c r="F107" s="403" t="n"/>
    </row>
    <row r="108">
      <c r="A108" s="403" t="n"/>
      <c r="B108" s="403" t="n"/>
      <c r="C108" s="403" t="n"/>
      <c r="D108" s="403" t="n"/>
      <c r="E108" s="403" t="n"/>
      <c r="F108" s="403" t="n"/>
    </row>
    <row r="109">
      <c r="A109" s="403" t="n"/>
      <c r="B109" s="403" t="n"/>
      <c r="C109" s="403" t="n"/>
      <c r="D109" s="403" t="n"/>
      <c r="E109" s="403" t="n"/>
      <c r="F109" s="403" t="n"/>
    </row>
    <row r="110">
      <c r="A110" s="403" t="n"/>
      <c r="B110" s="403" t="n"/>
      <c r="C110" s="403" t="n"/>
      <c r="D110" s="403" t="n"/>
      <c r="E110" s="403" t="n"/>
      <c r="F110" s="403" t="n"/>
    </row>
    <row r="111">
      <c r="A111" s="403" t="n"/>
      <c r="B111" s="403" t="n"/>
      <c r="C111" s="403" t="n"/>
      <c r="D111" s="403" t="n"/>
      <c r="E111" s="403" t="n"/>
      <c r="F111" s="403" t="n"/>
    </row>
    <row r="112">
      <c r="A112" s="403" t="n"/>
      <c r="B112" s="403" t="n"/>
      <c r="C112" s="403" t="n"/>
      <c r="D112" s="403" t="n"/>
      <c r="E112" s="403" t="n"/>
      <c r="F112" s="403" t="n"/>
    </row>
    <row r="113">
      <c r="A113" s="403" t="n"/>
      <c r="B113" s="403" t="n"/>
      <c r="C113" s="403" t="n"/>
      <c r="D113" s="403" t="n"/>
      <c r="E113" s="403" t="n"/>
      <c r="F113" s="403" t="n"/>
    </row>
    <row r="114">
      <c r="A114" s="403" t="n"/>
      <c r="B114" s="403" t="n"/>
      <c r="C114" s="403" t="n"/>
      <c r="D114" s="403" t="n"/>
      <c r="E114" s="403" t="n"/>
      <c r="F114" s="403" t="n"/>
    </row>
    <row r="115">
      <c r="A115" s="403" t="n"/>
      <c r="B115" s="403" t="n"/>
      <c r="C115" s="403" t="n"/>
      <c r="D115" s="403" t="n"/>
      <c r="E115" s="403" t="n"/>
      <c r="F115" s="403" t="n"/>
    </row>
    <row r="116">
      <c r="A116" s="403" t="n"/>
      <c r="B116" s="403" t="n"/>
      <c r="C116" s="403" t="n"/>
      <c r="D116" s="403" t="n"/>
      <c r="E116" s="403" t="n"/>
      <c r="F116" s="403" t="n"/>
    </row>
    <row r="117">
      <c r="A117" s="403" t="n"/>
      <c r="B117" s="403" t="n"/>
      <c r="C117" s="403" t="n"/>
      <c r="D117" s="403" t="n"/>
      <c r="E117" s="403" t="n"/>
      <c r="F117" s="403" t="n"/>
    </row>
    <row r="118">
      <c r="A118" s="403" t="n"/>
      <c r="B118" s="403" t="n"/>
      <c r="C118" s="403" t="n"/>
      <c r="D118" s="403" t="n"/>
      <c r="E118" s="403" t="n"/>
      <c r="F118" s="403" t="n"/>
    </row>
    <row r="119">
      <c r="A119" s="403" t="n"/>
      <c r="B119" s="403" t="n"/>
      <c r="C119" s="403" t="n"/>
      <c r="D119" s="403" t="n"/>
      <c r="E119" s="403" t="n"/>
      <c r="F119" s="403" t="n"/>
    </row>
    <row r="120">
      <c r="A120" s="403" t="n"/>
      <c r="B120" s="403" t="n"/>
      <c r="C120" s="403" t="n"/>
      <c r="D120" s="403" t="n"/>
      <c r="E120" s="403" t="n"/>
      <c r="F120" s="403" t="n"/>
    </row>
    <row r="121">
      <c r="A121" s="403" t="n"/>
      <c r="B121" s="403" t="n"/>
      <c r="C121" s="403" t="n"/>
      <c r="D121" s="403" t="n"/>
      <c r="E121" s="403" t="n"/>
      <c r="F121" s="403" t="n"/>
    </row>
    <row r="122">
      <c r="A122" s="403" t="n"/>
      <c r="B122" s="403" t="n"/>
      <c r="C122" s="403" t="n"/>
      <c r="D122" s="403" t="n"/>
      <c r="E122" s="403" t="n"/>
      <c r="F122" s="403" t="n"/>
    </row>
    <row r="123">
      <c r="A123" s="403" t="n"/>
      <c r="B123" s="403" t="n"/>
      <c r="C123" s="403" t="n"/>
      <c r="D123" s="403" t="n"/>
      <c r="E123" s="403" t="n"/>
      <c r="F123" s="403" t="n"/>
    </row>
    <row r="124">
      <c r="A124" s="403" t="n"/>
      <c r="B124" s="403" t="n"/>
      <c r="C124" s="403" t="n"/>
      <c r="D124" s="403" t="n"/>
      <c r="E124" s="403" t="n"/>
      <c r="F124" s="403" t="n"/>
    </row>
    <row r="125">
      <c r="A125" s="403" t="n"/>
      <c r="B125" s="403" t="n"/>
      <c r="C125" s="403" t="n"/>
      <c r="D125" s="403" t="n"/>
      <c r="E125" s="403" t="n"/>
      <c r="F125" s="403" t="n"/>
    </row>
    <row r="126">
      <c r="A126" s="403" t="n"/>
      <c r="B126" s="403" t="n"/>
      <c r="C126" s="403" t="n"/>
      <c r="D126" s="403" t="n"/>
      <c r="E126" s="403" t="n"/>
      <c r="F126" s="403" t="n"/>
    </row>
    <row r="127">
      <c r="A127" s="403" t="n"/>
      <c r="B127" s="403" t="n"/>
      <c r="C127" s="403" t="n"/>
      <c r="D127" s="403" t="n"/>
      <c r="E127" s="403" t="n"/>
      <c r="F127" s="403" t="n"/>
    </row>
    <row r="128">
      <c r="A128" s="403" t="n"/>
      <c r="B128" s="403" t="n"/>
      <c r="C128" s="403" t="n"/>
      <c r="D128" s="403" t="n"/>
      <c r="E128" s="403" t="n"/>
      <c r="F128" s="403" t="n"/>
    </row>
    <row r="129">
      <c r="A129" s="403" t="n"/>
      <c r="B129" s="403" t="n"/>
      <c r="C129" s="403" t="n"/>
      <c r="D129" s="403" t="n"/>
      <c r="E129" s="403" t="n"/>
      <c r="F129" s="403" t="n"/>
    </row>
    <row r="130">
      <c r="A130" s="403" t="n"/>
      <c r="B130" s="403" t="n"/>
      <c r="C130" s="403" t="n"/>
      <c r="D130" s="403" t="n"/>
      <c r="E130" s="403" t="n"/>
      <c r="F130" s="403" t="n"/>
    </row>
    <row r="131">
      <c r="A131" s="403" t="n"/>
      <c r="B131" s="403" t="n"/>
      <c r="C131" s="403" t="n"/>
      <c r="D131" s="403" t="n"/>
      <c r="E131" s="403" t="n"/>
      <c r="F131" s="403" t="n"/>
    </row>
    <row r="132">
      <c r="A132" s="403" t="n"/>
      <c r="B132" s="403" t="n"/>
      <c r="C132" s="403" t="n"/>
      <c r="D132" s="403" t="n"/>
      <c r="E132" s="403" t="n"/>
      <c r="F132" s="403" t="n"/>
    </row>
    <row r="133">
      <c r="A133" s="403" t="n"/>
      <c r="B133" s="403" t="n"/>
      <c r="C133" s="403" t="n"/>
      <c r="D133" s="403" t="n"/>
      <c r="E133" s="403" t="n"/>
      <c r="F133" s="403" t="n"/>
    </row>
    <row r="134">
      <c r="A134" s="403" t="n"/>
      <c r="B134" s="403" t="n"/>
      <c r="C134" s="403" t="n"/>
      <c r="D134" s="403" t="n"/>
      <c r="E134" s="403" t="n"/>
      <c r="F134" s="403" t="n"/>
    </row>
    <row r="135">
      <c r="A135" s="403" t="n"/>
      <c r="B135" s="403" t="n"/>
      <c r="C135" s="403" t="n"/>
      <c r="D135" s="403" t="n"/>
      <c r="E135" s="403" t="n"/>
      <c r="F135" s="403" t="n"/>
    </row>
    <row r="136">
      <c r="A136" s="403" t="n"/>
      <c r="B136" s="403" t="n"/>
      <c r="C136" s="403" t="n"/>
      <c r="D136" s="403" t="n"/>
      <c r="E136" s="403" t="n"/>
      <c r="F136" s="403" t="n"/>
    </row>
    <row r="137">
      <c r="A137" s="403" t="n"/>
      <c r="B137" s="403" t="n"/>
      <c r="C137" s="403" t="n"/>
      <c r="D137" s="403" t="n"/>
      <c r="E137" s="403" t="n"/>
      <c r="F137" s="403" t="n"/>
    </row>
    <row r="138">
      <c r="A138" s="403" t="n"/>
      <c r="B138" s="403" t="n"/>
      <c r="C138" s="403" t="n"/>
      <c r="D138" s="403" t="n"/>
      <c r="E138" s="403" t="n"/>
      <c r="F138" s="403" t="n"/>
    </row>
    <row r="139">
      <c r="A139" s="403" t="n"/>
      <c r="B139" s="403" t="n"/>
      <c r="C139" s="403" t="n"/>
      <c r="D139" s="403" t="n"/>
      <c r="E139" s="403" t="n"/>
      <c r="F139" s="403" t="n"/>
    </row>
    <row r="140">
      <c r="A140" s="403" t="n"/>
      <c r="B140" s="403" t="n"/>
      <c r="C140" s="403" t="n"/>
      <c r="D140" s="403" t="n"/>
      <c r="E140" s="403" t="n"/>
      <c r="F140" s="403" t="n"/>
    </row>
    <row r="141">
      <c r="A141" s="403" t="n"/>
      <c r="B141" s="403" t="n"/>
      <c r="C141" s="403" t="n"/>
      <c r="D141" s="403" t="n"/>
      <c r="E141" s="403" t="n"/>
      <c r="F141" s="403" t="n"/>
    </row>
    <row r="142">
      <c r="A142" s="403" t="n"/>
      <c r="B142" s="403" t="n"/>
      <c r="C142" s="403" t="n"/>
      <c r="D142" s="403" t="n"/>
      <c r="E142" s="403" t="n"/>
      <c r="F142" s="403" t="n"/>
    </row>
    <row r="143">
      <c r="A143" s="403" t="n"/>
      <c r="B143" s="403" t="n"/>
      <c r="C143" s="403" t="n"/>
      <c r="D143" s="403" t="n"/>
      <c r="E143" s="403" t="n"/>
      <c r="F143" s="403" t="n"/>
    </row>
    <row r="144">
      <c r="A144" s="403" t="n"/>
      <c r="B144" s="403" t="n"/>
      <c r="C144" s="403" t="n"/>
      <c r="D144" s="403" t="n"/>
      <c r="E144" s="403" t="n"/>
      <c r="F144" s="403" t="n"/>
    </row>
    <row r="145">
      <c r="A145" s="403" t="n"/>
      <c r="B145" s="403" t="n"/>
      <c r="C145" s="403" t="n"/>
      <c r="D145" s="403" t="n"/>
      <c r="E145" s="403" t="n"/>
      <c r="F145" s="403" t="n"/>
    </row>
    <row r="146">
      <c r="A146" s="403" t="n"/>
      <c r="B146" s="403" t="n"/>
      <c r="C146" s="403" t="n"/>
      <c r="D146" s="403" t="n"/>
      <c r="E146" s="403" t="n"/>
      <c r="F146" s="403" t="n"/>
    </row>
    <row r="147">
      <c r="A147" s="403" t="n"/>
      <c r="B147" s="403" t="n"/>
      <c r="C147" s="403" t="n"/>
      <c r="D147" s="403" t="n"/>
      <c r="E147" s="403" t="n"/>
      <c r="F147" s="403" t="n"/>
    </row>
    <row r="148">
      <c r="A148" s="403" t="n"/>
      <c r="B148" s="403" t="n"/>
      <c r="C148" s="403" t="n"/>
      <c r="D148" s="403" t="n"/>
      <c r="E148" s="403" t="n"/>
      <c r="F148" s="403" t="n"/>
    </row>
    <row r="149">
      <c r="A149" s="403" t="n"/>
      <c r="B149" s="403" t="n"/>
      <c r="C149" s="403" t="n"/>
      <c r="D149" s="403" t="n"/>
      <c r="E149" s="403" t="n"/>
      <c r="F149" s="403" t="n"/>
    </row>
    <row r="150">
      <c r="A150" s="403" t="n"/>
      <c r="B150" s="403" t="n"/>
      <c r="C150" s="403" t="n"/>
      <c r="D150" s="403" t="n"/>
      <c r="E150" s="403" t="n"/>
      <c r="F150" s="403" t="n"/>
    </row>
    <row r="151">
      <c r="A151" s="403" t="n"/>
      <c r="B151" s="403" t="n"/>
      <c r="C151" s="403" t="n"/>
      <c r="D151" s="403" t="n"/>
      <c r="E151" s="403" t="n"/>
      <c r="F151" s="403" t="n"/>
    </row>
    <row r="152">
      <c r="A152" s="403" t="n"/>
      <c r="B152" s="403" t="n"/>
      <c r="C152" s="403" t="n"/>
      <c r="D152" s="403" t="n"/>
      <c r="E152" s="403" t="n"/>
      <c r="F152" s="403" t="n"/>
    </row>
    <row r="153">
      <c r="A153" s="403" t="n"/>
      <c r="B153" s="403" t="n"/>
      <c r="C153" s="403" t="n"/>
      <c r="D153" s="403" t="n"/>
      <c r="E153" s="403" t="n"/>
      <c r="F153" s="403" t="n"/>
    </row>
    <row r="154">
      <c r="A154" s="403" t="n"/>
      <c r="B154" s="403" t="n"/>
      <c r="C154" s="403" t="n"/>
      <c r="D154" s="403" t="n"/>
      <c r="E154" s="403" t="n"/>
      <c r="F154" s="403" t="n"/>
    </row>
    <row r="155">
      <c r="A155" s="403" t="n"/>
      <c r="B155" s="403" t="n"/>
      <c r="C155" s="403" t="n"/>
      <c r="D155" s="403" t="n"/>
      <c r="E155" s="403" t="n"/>
      <c r="F155" s="403" t="n"/>
    </row>
    <row r="156">
      <c r="A156" s="403" t="n"/>
      <c r="B156" s="403" t="n"/>
      <c r="C156" s="403" t="n"/>
      <c r="D156" s="403" t="n"/>
      <c r="E156" s="403" t="n"/>
      <c r="F156" s="403" t="n"/>
    </row>
    <row r="157">
      <c r="A157" s="403" t="n"/>
      <c r="B157" s="403" t="n"/>
      <c r="C157" s="403" t="n"/>
      <c r="D157" s="403" t="n"/>
      <c r="E157" s="403" t="n"/>
      <c r="F157" s="403" t="n"/>
    </row>
    <row r="158">
      <c r="A158" s="403" t="n"/>
      <c r="B158" s="403" t="n"/>
      <c r="C158" s="403" t="n"/>
      <c r="D158" s="403" t="n"/>
      <c r="E158" s="403" t="n"/>
      <c r="F158" s="403" t="n"/>
    </row>
    <row r="159">
      <c r="A159" s="403" t="n"/>
      <c r="B159" s="403" t="n"/>
      <c r="C159" s="403" t="n"/>
      <c r="D159" s="403" t="n"/>
      <c r="E159" s="403" t="n"/>
      <c r="F159" s="403" t="n"/>
    </row>
    <row r="160">
      <c r="A160" s="403" t="n"/>
      <c r="B160" s="403" t="n"/>
      <c r="C160" s="403" t="n"/>
      <c r="D160" s="403" t="n"/>
      <c r="E160" s="403" t="n"/>
      <c r="F160" s="403" t="n"/>
    </row>
    <row r="161">
      <c r="A161" s="403" t="n"/>
      <c r="B161" s="403" t="n"/>
      <c r="C161" s="403" t="n"/>
      <c r="D161" s="403" t="n"/>
      <c r="E161" s="403" t="n"/>
      <c r="F161" s="403" t="n"/>
    </row>
    <row r="162">
      <c r="A162" s="403" t="n"/>
      <c r="B162" s="403" t="n"/>
      <c r="C162" s="403" t="n"/>
      <c r="D162" s="403" t="n"/>
      <c r="E162" s="403" t="n"/>
      <c r="F162" s="403" t="n"/>
    </row>
    <row r="163">
      <c r="A163" s="403" t="n"/>
      <c r="B163" s="403" t="n"/>
      <c r="C163" s="403" t="n"/>
      <c r="D163" s="403" t="n"/>
      <c r="E163" s="403" t="n"/>
      <c r="F163" s="403" t="n"/>
    </row>
    <row r="164">
      <c r="A164" s="403" t="n"/>
      <c r="B164" s="403" t="n"/>
      <c r="C164" s="403" t="n"/>
      <c r="D164" s="403" t="n"/>
      <c r="E164" s="403" t="n"/>
      <c r="F164" s="403" t="n"/>
    </row>
    <row r="165">
      <c r="A165" s="403" t="n"/>
      <c r="B165" s="403" t="n"/>
      <c r="C165" s="403" t="n"/>
      <c r="D165" s="403" t="n"/>
      <c r="E165" s="403" t="n"/>
      <c r="F165" s="403" t="n"/>
    </row>
    <row r="166">
      <c r="A166" s="403" t="n"/>
      <c r="B166" s="403" t="n"/>
      <c r="C166" s="403" t="n"/>
      <c r="D166" s="403" t="n"/>
      <c r="E166" s="403" t="n"/>
      <c r="F166" s="403" t="n"/>
    </row>
    <row r="167">
      <c r="A167" s="403" t="n"/>
      <c r="B167" s="403" t="n"/>
      <c r="C167" s="403" t="n"/>
      <c r="D167" s="403" t="n"/>
      <c r="E167" s="403" t="n"/>
      <c r="F167" s="403" t="n"/>
    </row>
    <row r="168">
      <c r="A168" s="403" t="n"/>
      <c r="B168" s="403" t="n"/>
      <c r="C168" s="403" t="n"/>
      <c r="D168" s="403" t="n"/>
      <c r="E168" s="403" t="n"/>
      <c r="F168" s="403" t="n"/>
    </row>
    <row r="169">
      <c r="A169" s="403" t="n"/>
      <c r="B169" s="403" t="n"/>
      <c r="C169" s="403" t="n"/>
      <c r="D169" s="403" t="n"/>
      <c r="E169" s="403" t="n"/>
      <c r="F169" s="403" t="n"/>
    </row>
    <row r="170">
      <c r="A170" s="403" t="n"/>
      <c r="B170" s="403" t="n"/>
      <c r="C170" s="403" t="n"/>
      <c r="D170" s="403" t="n"/>
      <c r="E170" s="403" t="n"/>
      <c r="F170" s="403" t="n"/>
    </row>
    <row r="171">
      <c r="A171" s="403" t="n"/>
      <c r="B171" s="403" t="n"/>
      <c r="C171" s="403" t="n"/>
      <c r="D171" s="403" t="n"/>
      <c r="E171" s="403" t="n"/>
      <c r="F171" s="403" t="n"/>
    </row>
    <row r="172">
      <c r="A172" s="403" t="n"/>
      <c r="B172" s="403" t="n"/>
      <c r="C172" s="403" t="n"/>
      <c r="D172" s="403" t="n"/>
      <c r="E172" s="403" t="n"/>
      <c r="F172" s="403" t="n"/>
    </row>
    <row r="173">
      <c r="A173" s="403" t="n"/>
      <c r="B173" s="403" t="n"/>
      <c r="C173" s="403" t="n"/>
      <c r="D173" s="403" t="n"/>
      <c r="E173" s="403" t="n"/>
      <c r="F173" s="403" t="n"/>
    </row>
    <row r="174">
      <c r="A174" s="403" t="n"/>
      <c r="B174" s="403" t="n"/>
      <c r="C174" s="403" t="n"/>
      <c r="D174" s="403" t="n"/>
      <c r="E174" s="403" t="n"/>
      <c r="F174" s="403" t="n"/>
    </row>
    <row r="175">
      <c r="A175" s="403" t="n"/>
      <c r="B175" s="403" t="n"/>
      <c r="C175" s="403" t="n"/>
      <c r="D175" s="403" t="n"/>
      <c r="E175" s="403" t="n"/>
      <c r="F175" s="403" t="n"/>
    </row>
    <row r="176">
      <c r="A176" s="403" t="n"/>
      <c r="B176" s="403" t="n"/>
      <c r="C176" s="403" t="n"/>
      <c r="D176" s="403" t="n"/>
      <c r="E176" s="403" t="n"/>
      <c r="F176" s="403" t="n"/>
    </row>
    <row r="177">
      <c r="A177" s="403" t="n"/>
      <c r="B177" s="403" t="n"/>
      <c r="C177" s="403" t="n"/>
      <c r="D177" s="403" t="n"/>
      <c r="E177" s="403" t="n"/>
      <c r="F177" s="403" t="n"/>
    </row>
    <row r="178">
      <c r="A178" s="403" t="n"/>
      <c r="B178" s="403" t="n"/>
      <c r="C178" s="403" t="n"/>
      <c r="D178" s="403" t="n"/>
      <c r="E178" s="403" t="n"/>
      <c r="F178" s="403" t="n"/>
    </row>
    <row r="179">
      <c r="A179" s="403" t="n"/>
      <c r="B179" s="403" t="n"/>
      <c r="C179" s="403" t="n"/>
      <c r="D179" s="403" t="n"/>
      <c r="E179" s="403" t="n"/>
      <c r="F179" s="403" t="n"/>
    </row>
    <row r="180">
      <c r="A180" s="403" t="n"/>
      <c r="B180" s="403" t="n"/>
      <c r="C180" s="403" t="n"/>
      <c r="D180" s="403" t="n"/>
      <c r="E180" s="403" t="n"/>
      <c r="F180" s="403" t="n"/>
    </row>
    <row r="181">
      <c r="A181" s="403" t="n"/>
      <c r="B181" s="403" t="n"/>
      <c r="C181" s="403" t="n"/>
      <c r="D181" s="403" t="n"/>
      <c r="E181" s="403" t="n"/>
      <c r="F181" s="403" t="n"/>
    </row>
    <row r="182">
      <c r="A182" s="403" t="n"/>
      <c r="B182" s="403" t="n"/>
      <c r="C182" s="403" t="n"/>
      <c r="D182" s="403" t="n"/>
      <c r="E182" s="403" t="n"/>
      <c r="F182" s="403" t="n"/>
    </row>
    <row r="183">
      <c r="A183" s="403" t="n"/>
      <c r="B183" s="403" t="n"/>
      <c r="C183" s="403" t="n"/>
      <c r="D183" s="403" t="n"/>
      <c r="E183" s="403" t="n"/>
      <c r="F183" s="403" t="n"/>
    </row>
    <row r="184">
      <c r="A184" s="403" t="n"/>
      <c r="B184" s="403" t="n"/>
      <c r="C184" s="403" t="n"/>
      <c r="D184" s="403" t="n"/>
      <c r="E184" s="403" t="n"/>
      <c r="F184" s="403" t="n"/>
    </row>
    <row r="185">
      <c r="A185" s="403" t="n"/>
      <c r="B185" s="403" t="n"/>
      <c r="C185" s="403" t="n"/>
      <c r="D185" s="403" t="n"/>
      <c r="E185" s="403" t="n"/>
      <c r="F185" s="403" t="n"/>
    </row>
    <row r="186">
      <c r="A186" s="403" t="n"/>
      <c r="B186" s="403" t="n"/>
      <c r="C186" s="403" t="n"/>
      <c r="D186" s="403" t="n"/>
      <c r="E186" s="403" t="n"/>
      <c r="F186" s="403" t="n"/>
    </row>
    <row r="187">
      <c r="A187" s="403" t="n"/>
      <c r="B187" s="403" t="n"/>
      <c r="C187" s="403" t="n"/>
      <c r="D187" s="403" t="n"/>
      <c r="E187" s="403" t="n"/>
      <c r="F187" s="403" t="n"/>
    </row>
    <row r="188">
      <c r="A188" s="403" t="n"/>
      <c r="B188" s="403" t="n"/>
      <c r="C188" s="403" t="n"/>
      <c r="D188" s="403" t="n"/>
      <c r="E188" s="403" t="n"/>
      <c r="F188" s="403" t="n"/>
    </row>
    <row r="189">
      <c r="A189" s="403" t="n"/>
      <c r="B189" s="403" t="n"/>
      <c r="C189" s="403" t="n"/>
      <c r="D189" s="403" t="n"/>
      <c r="E189" s="403" t="n"/>
      <c r="F189" s="403" t="n"/>
    </row>
    <row r="190">
      <c r="A190" s="403" t="n"/>
      <c r="B190" s="403" t="n"/>
      <c r="C190" s="403" t="n"/>
      <c r="D190" s="403" t="n"/>
      <c r="E190" s="403" t="n"/>
      <c r="F190" s="403" t="n"/>
    </row>
    <row r="191">
      <c r="A191" s="403" t="n"/>
      <c r="B191" s="403" t="n"/>
      <c r="C191" s="403" t="n"/>
      <c r="D191" s="403" t="n"/>
      <c r="E191" s="403" t="n"/>
      <c r="F191" s="403" t="n"/>
    </row>
    <row r="192">
      <c r="A192" s="403" t="n"/>
      <c r="B192" s="403" t="n"/>
      <c r="C192" s="403" t="n"/>
      <c r="D192" s="403" t="n"/>
      <c r="E192" s="403" t="n"/>
      <c r="F192" s="403" t="n"/>
    </row>
    <row r="193">
      <c r="A193" s="403" t="n"/>
      <c r="B193" s="403" t="n"/>
      <c r="C193" s="403" t="n"/>
      <c r="D193" s="403" t="n"/>
      <c r="E193" s="403" t="n"/>
      <c r="F193" s="403" t="n"/>
    </row>
    <row r="194">
      <c r="A194" s="403" t="n"/>
      <c r="B194" s="403" t="n"/>
      <c r="C194" s="403" t="n"/>
      <c r="D194" s="403" t="n"/>
      <c r="E194" s="403" t="n"/>
      <c r="F194" s="403" t="n"/>
    </row>
    <row r="195">
      <c r="A195" s="403" t="n"/>
      <c r="B195" s="403" t="n"/>
      <c r="C195" s="403" t="n"/>
      <c r="D195" s="403" t="n"/>
      <c r="E195" s="403" t="n"/>
      <c r="F195" s="403" t="n"/>
    </row>
    <row r="196">
      <c r="A196" s="403" t="n"/>
      <c r="B196" s="403" t="n"/>
      <c r="C196" s="403" t="n"/>
      <c r="D196" s="403" t="n"/>
      <c r="E196" s="403" t="n"/>
      <c r="F196" s="403" t="n"/>
    </row>
    <row r="197">
      <c r="A197" s="403" t="n"/>
      <c r="B197" s="403" t="n"/>
      <c r="C197" s="403" t="n"/>
      <c r="D197" s="403" t="n"/>
      <c r="E197" s="403" t="n"/>
      <c r="F197" s="403" t="n"/>
    </row>
    <row r="198">
      <c r="A198" s="403" t="n"/>
      <c r="B198" s="403" t="n"/>
      <c r="C198" s="403" t="n"/>
      <c r="D198" s="403" t="n"/>
      <c r="E198" s="403" t="n"/>
      <c r="F198" s="403" t="n"/>
    </row>
    <row r="199">
      <c r="A199" s="403" t="n"/>
      <c r="B199" s="403" t="n"/>
      <c r="C199" s="403" t="n"/>
      <c r="D199" s="403" t="n"/>
      <c r="E199" s="403" t="n"/>
      <c r="F199" s="403" t="n"/>
    </row>
    <row r="200">
      <c r="A200" s="403" t="n"/>
      <c r="B200" s="403" t="n"/>
      <c r="C200" s="403" t="n"/>
      <c r="D200" s="403" t="n"/>
      <c r="E200" s="403" t="n"/>
      <c r="F200" s="403" t="n"/>
    </row>
    <row r="201">
      <c r="A201" s="403" t="n"/>
      <c r="B201" s="403" t="n"/>
      <c r="C201" s="403" t="n"/>
      <c r="D201" s="403" t="n"/>
      <c r="E201" s="403" t="n"/>
      <c r="F201" s="403" t="n"/>
    </row>
    <row r="202">
      <c r="A202" s="403" t="n"/>
      <c r="B202" s="403" t="n"/>
      <c r="C202" s="403" t="n"/>
      <c r="D202" s="403" t="n"/>
      <c r="E202" s="403" t="n"/>
      <c r="F202" s="403" t="n"/>
    </row>
    <row r="203">
      <c r="A203" s="403" t="n"/>
      <c r="B203" s="403" t="n"/>
      <c r="C203" s="403" t="n"/>
      <c r="D203" s="403" t="n"/>
      <c r="E203" s="403" t="n"/>
      <c r="F203" s="403" t="n"/>
    </row>
    <row r="204">
      <c r="A204" s="403" t="n"/>
      <c r="B204" s="403" t="n"/>
      <c r="C204" s="403" t="n"/>
      <c r="D204" s="403" t="n"/>
      <c r="E204" s="403" t="n"/>
      <c r="F204" s="403" t="n"/>
    </row>
    <row r="205">
      <c r="A205" s="403" t="n"/>
      <c r="B205" s="403" t="n"/>
      <c r="C205" s="403" t="n"/>
      <c r="D205" s="403" t="n"/>
      <c r="E205" s="403" t="n"/>
      <c r="F205" s="403" t="n"/>
    </row>
    <row r="206">
      <c r="A206" s="403" t="n"/>
      <c r="B206" s="403" t="n"/>
      <c r="C206" s="403" t="n"/>
      <c r="D206" s="403" t="n"/>
      <c r="E206" s="403" t="n"/>
      <c r="F206" s="403" t="n"/>
    </row>
    <row r="207">
      <c r="A207" s="403" t="n"/>
      <c r="B207" s="403" t="n"/>
      <c r="C207" s="403" t="n"/>
      <c r="D207" s="403" t="n"/>
      <c r="E207" s="403" t="n"/>
      <c r="F207" s="403" t="n"/>
    </row>
    <row r="208">
      <c r="A208" s="403" t="n"/>
      <c r="B208" s="403" t="n"/>
      <c r="C208" s="403" t="n"/>
      <c r="D208" s="403" t="n"/>
      <c r="E208" s="403" t="n"/>
      <c r="F208" s="403" t="n"/>
    </row>
    <row r="209">
      <c r="A209" s="403" t="n"/>
      <c r="B209" s="403" t="n"/>
      <c r="C209" s="403" t="n"/>
      <c r="D209" s="403" t="n"/>
      <c r="E209" s="403" t="n"/>
      <c r="F209" s="403" t="n"/>
    </row>
    <row r="210">
      <c r="A210" s="403" t="n"/>
      <c r="B210" s="403" t="n"/>
      <c r="C210" s="403" t="n"/>
      <c r="D210" s="403" t="n"/>
      <c r="E210" s="403" t="n"/>
      <c r="F210" s="403" t="n"/>
    </row>
    <row r="211">
      <c r="A211" s="403" t="n"/>
      <c r="B211" s="403" t="n"/>
      <c r="C211" s="403" t="n"/>
      <c r="D211" s="403" t="n"/>
      <c r="E211" s="403" t="n"/>
      <c r="F211" s="403" t="n"/>
    </row>
    <row r="212">
      <c r="A212" s="403" t="n"/>
      <c r="B212" s="403" t="n"/>
      <c r="C212" s="403" t="n"/>
      <c r="D212" s="403" t="n"/>
      <c r="E212" s="403" t="n"/>
      <c r="F212" s="403" t="n"/>
    </row>
    <row r="213">
      <c r="A213" s="403" t="n"/>
      <c r="B213" s="403" t="n"/>
      <c r="C213" s="403" t="n"/>
      <c r="D213" s="403" t="n"/>
      <c r="E213" s="403" t="n"/>
      <c r="F213" s="403" t="n"/>
    </row>
    <row r="214">
      <c r="A214" s="403" t="n"/>
      <c r="B214" s="403" t="n"/>
      <c r="C214" s="403" t="n"/>
      <c r="D214" s="403" t="n"/>
      <c r="E214" s="403" t="n"/>
      <c r="F214" s="403" t="n"/>
    </row>
    <row r="215">
      <c r="A215" s="403" t="n"/>
      <c r="B215" s="403" t="n"/>
      <c r="C215" s="403" t="n"/>
      <c r="D215" s="403" t="n"/>
      <c r="E215" s="403" t="n"/>
      <c r="F215" s="403" t="n"/>
    </row>
    <row r="216">
      <c r="A216" s="403" t="n"/>
      <c r="B216" s="403" t="n"/>
      <c r="C216" s="403" t="n"/>
      <c r="D216" s="403" t="n"/>
      <c r="E216" s="403" t="n"/>
      <c r="F216" s="403" t="n"/>
    </row>
    <row r="217">
      <c r="A217" s="403" t="n"/>
      <c r="B217" s="403" t="n"/>
      <c r="C217" s="403" t="n"/>
      <c r="D217" s="403" t="n"/>
      <c r="E217" s="403" t="n"/>
      <c r="F217" s="403" t="n"/>
    </row>
    <row r="218">
      <c r="A218" s="403" t="n"/>
      <c r="B218" s="403" t="n"/>
      <c r="C218" s="403" t="n"/>
      <c r="D218" s="403" t="n"/>
      <c r="E218" s="403" t="n"/>
      <c r="F218" s="403" t="n"/>
    </row>
    <row r="219">
      <c r="A219" s="403" t="n"/>
      <c r="B219" s="403" t="n"/>
      <c r="C219" s="403" t="n"/>
      <c r="D219" s="403" t="n"/>
      <c r="E219" s="403" t="n"/>
      <c r="F219" s="403" t="n"/>
    </row>
    <row r="220">
      <c r="A220" s="403" t="n"/>
      <c r="B220" s="403" t="n"/>
      <c r="C220" s="403" t="n"/>
      <c r="D220" s="403" t="n"/>
      <c r="E220" s="403" t="n"/>
      <c r="F220" s="403" t="n"/>
    </row>
    <row r="221">
      <c r="A221" s="403" t="n"/>
      <c r="B221" s="403" t="n"/>
      <c r="C221" s="403" t="n"/>
      <c r="D221" s="403" t="n"/>
      <c r="E221" s="403" t="n"/>
      <c r="F221" s="403" t="n"/>
    </row>
    <row r="222">
      <c r="A222" s="403" t="n"/>
      <c r="B222" s="403" t="n"/>
      <c r="C222" s="403" t="n"/>
      <c r="D222" s="403" t="n"/>
      <c r="E222" s="403" t="n"/>
      <c r="F222" s="403" t="n"/>
    </row>
    <row r="223">
      <c r="A223" s="403" t="n"/>
      <c r="B223" s="403" t="n"/>
      <c r="C223" s="403" t="n"/>
      <c r="D223" s="403" t="n"/>
      <c r="E223" s="403" t="n"/>
      <c r="F223" s="403" t="n"/>
    </row>
    <row r="224">
      <c r="A224" s="403" t="n"/>
      <c r="B224" s="403" t="n"/>
      <c r="C224" s="403" t="n"/>
      <c r="D224" s="403" t="n"/>
      <c r="E224" s="403" t="n"/>
      <c r="F224" s="403" t="n"/>
    </row>
    <row r="225">
      <c r="A225" s="403" t="n"/>
      <c r="B225" s="403" t="n"/>
      <c r="C225" s="403" t="n"/>
      <c r="D225" s="403" t="n"/>
      <c r="E225" s="403" t="n"/>
      <c r="F225" s="403" t="n"/>
    </row>
    <row r="226">
      <c r="A226" s="403" t="n"/>
      <c r="B226" s="403" t="n"/>
      <c r="C226" s="403" t="n"/>
      <c r="D226" s="403" t="n"/>
      <c r="E226" s="403" t="n"/>
      <c r="F226" s="403" t="n"/>
    </row>
    <row r="227">
      <c r="A227" s="403" t="n"/>
      <c r="B227" s="403" t="n"/>
      <c r="C227" s="403" t="n"/>
      <c r="D227" s="403" t="n"/>
      <c r="E227" s="403" t="n"/>
      <c r="F227" s="403" t="n"/>
    </row>
    <row r="228">
      <c r="A228" s="403" t="n"/>
      <c r="B228" s="403" t="n"/>
      <c r="C228" s="403" t="n"/>
      <c r="D228" s="403" t="n"/>
      <c r="E228" s="403" t="n"/>
      <c r="F228" s="403" t="n"/>
    </row>
    <row r="229">
      <c r="A229" s="403" t="n"/>
      <c r="B229" s="403" t="n"/>
      <c r="C229" s="403" t="n"/>
      <c r="D229" s="403" t="n"/>
      <c r="E229" s="403" t="n"/>
      <c r="F229" s="403" t="n"/>
    </row>
    <row r="230">
      <c r="A230" s="403" t="n"/>
      <c r="B230" s="403" t="n"/>
      <c r="C230" s="403" t="n"/>
      <c r="D230" s="403" t="n"/>
      <c r="E230" s="403" t="n"/>
      <c r="F230" s="403" t="n"/>
    </row>
    <row r="231">
      <c r="A231" s="403" t="n"/>
      <c r="B231" s="403" t="n"/>
      <c r="C231" s="403" t="n"/>
      <c r="D231" s="403" t="n"/>
      <c r="E231" s="403" t="n"/>
      <c r="F231" s="403" t="n"/>
    </row>
    <row r="232">
      <c r="A232" s="403" t="n"/>
      <c r="B232" s="403" t="n"/>
      <c r="C232" s="403" t="n"/>
      <c r="D232" s="403" t="n"/>
      <c r="E232" s="403" t="n"/>
      <c r="F232" s="403" t="n"/>
    </row>
    <row r="233">
      <c r="A233" s="403" t="n"/>
      <c r="B233" s="403" t="n"/>
      <c r="C233" s="403" t="n"/>
      <c r="D233" s="403" t="n"/>
      <c r="E233" s="403" t="n"/>
      <c r="F233" s="403" t="n"/>
    </row>
    <row r="234">
      <c r="A234" s="403" t="n"/>
      <c r="B234" s="403" t="n"/>
      <c r="C234" s="403" t="n"/>
      <c r="D234" s="403" t="n"/>
      <c r="E234" s="403" t="n"/>
      <c r="F234" s="403" t="n"/>
    </row>
    <row r="235">
      <c r="A235" s="403" t="n"/>
      <c r="B235" s="403" t="n"/>
      <c r="C235" s="403" t="n"/>
      <c r="D235" s="403" t="n"/>
      <c r="E235" s="403" t="n"/>
      <c r="F235" s="403" t="n"/>
    </row>
    <row r="236">
      <c r="A236" s="403" t="n"/>
      <c r="B236" s="403" t="n"/>
      <c r="C236" s="403" t="n"/>
      <c r="D236" s="403" t="n"/>
      <c r="E236" s="403" t="n"/>
      <c r="F236" s="403" t="n"/>
    </row>
    <row r="237">
      <c r="A237" s="403" t="n"/>
      <c r="B237" s="403" t="n"/>
      <c r="C237" s="403" t="n"/>
      <c r="D237" s="403" t="n"/>
      <c r="E237" s="403" t="n"/>
      <c r="F237" s="403" t="n"/>
    </row>
    <row r="238">
      <c r="A238" s="403" t="n"/>
      <c r="B238" s="403" t="n"/>
      <c r="C238" s="403" t="n"/>
      <c r="D238" s="403" t="n"/>
      <c r="E238" s="403" t="n"/>
      <c r="F238" s="403" t="n"/>
    </row>
    <row r="239">
      <c r="A239" s="403" t="n"/>
      <c r="B239" s="403" t="n"/>
      <c r="C239" s="403" t="n"/>
      <c r="D239" s="403" t="n"/>
      <c r="E239" s="403" t="n"/>
      <c r="F239" s="403" t="n"/>
    </row>
    <row r="240">
      <c r="A240" s="403" t="n"/>
      <c r="B240" s="403" t="n"/>
      <c r="C240" s="403" t="n"/>
      <c r="D240" s="403" t="n"/>
      <c r="E240" s="403" t="n"/>
      <c r="F240" s="403" t="n"/>
    </row>
    <row r="241">
      <c r="A241" s="403" t="n"/>
      <c r="B241" s="403" t="n"/>
      <c r="C241" s="403" t="n"/>
      <c r="D241" s="403" t="n"/>
      <c r="E241" s="403" t="n"/>
      <c r="F241" s="403" t="n"/>
    </row>
    <row r="242">
      <c r="A242" s="403" t="n"/>
      <c r="B242" s="403" t="n"/>
      <c r="C242" s="403" t="n"/>
      <c r="D242" s="403" t="n"/>
      <c r="E242" s="403" t="n"/>
      <c r="F242" s="403" t="n"/>
    </row>
    <row r="243">
      <c r="A243" s="403" t="n"/>
      <c r="B243" s="403" t="n"/>
      <c r="C243" s="403" t="n"/>
      <c r="D243" s="403" t="n"/>
      <c r="E243" s="403" t="n"/>
      <c r="F243" s="403" t="n"/>
    </row>
    <row r="244">
      <c r="A244" s="403" t="n"/>
      <c r="B244" s="403" t="n"/>
      <c r="C244" s="403" t="n"/>
      <c r="D244" s="403" t="n"/>
      <c r="E244" s="403" t="n"/>
      <c r="F244" s="403" t="n"/>
    </row>
    <row r="245">
      <c r="A245" s="403" t="n"/>
      <c r="B245" s="403" t="n"/>
      <c r="C245" s="403" t="n"/>
      <c r="D245" s="403" t="n"/>
      <c r="E245" s="403" t="n"/>
      <c r="F245" s="403" t="n"/>
    </row>
    <row r="246">
      <c r="A246" s="403" t="n"/>
      <c r="B246" s="403" t="n"/>
      <c r="C246" s="403" t="n"/>
      <c r="D246" s="403" t="n"/>
      <c r="E246" s="403" t="n"/>
      <c r="F246" s="403" t="n"/>
    </row>
    <row r="247">
      <c r="A247" s="403" t="n"/>
      <c r="B247" s="403" t="n"/>
      <c r="C247" s="403" t="n"/>
      <c r="D247" s="403" t="n"/>
      <c r="E247" s="403" t="n"/>
      <c r="F247" s="403" t="n"/>
    </row>
    <row r="248">
      <c r="A248" s="403" t="n"/>
      <c r="B248" s="403" t="n"/>
      <c r="C248" s="403" t="n"/>
      <c r="D248" s="403" t="n"/>
      <c r="E248" s="403" t="n"/>
      <c r="F248" s="403" t="n"/>
    </row>
    <row r="249">
      <c r="A249" s="403" t="n"/>
      <c r="B249" s="403" t="n"/>
      <c r="C249" s="403" t="n"/>
      <c r="D249" s="403" t="n"/>
      <c r="E249" s="403" t="n"/>
      <c r="F249" s="403" t="n"/>
    </row>
    <row r="250">
      <c r="A250" s="403" t="n"/>
      <c r="B250" s="403" t="n"/>
      <c r="C250" s="403" t="n"/>
      <c r="D250" s="403" t="n"/>
      <c r="E250" s="403" t="n"/>
      <c r="F250" s="403" t="n"/>
    </row>
    <row r="251">
      <c r="A251" s="403" t="n"/>
      <c r="B251" s="403" t="n"/>
      <c r="C251" s="403" t="n"/>
      <c r="D251" s="403" t="n"/>
      <c r="E251" s="403" t="n"/>
      <c r="F251" s="403" t="n"/>
    </row>
    <row r="252">
      <c r="A252" s="403" t="n"/>
      <c r="B252" s="403" t="n"/>
      <c r="C252" s="403" t="n"/>
      <c r="D252" s="403" t="n"/>
      <c r="E252" s="403" t="n"/>
      <c r="F252" s="403" t="n"/>
    </row>
    <row r="253">
      <c r="A253" s="403" t="n"/>
      <c r="B253" s="403" t="n"/>
      <c r="C253" s="403" t="n"/>
      <c r="D253" s="403" t="n"/>
      <c r="E253" s="403" t="n"/>
      <c r="F253" s="403" t="n"/>
    </row>
    <row r="254">
      <c r="A254" s="403" t="n"/>
      <c r="B254" s="403" t="n"/>
      <c r="C254" s="403" t="n"/>
      <c r="D254" s="403" t="n"/>
      <c r="E254" s="403" t="n"/>
      <c r="F254" s="403" t="n"/>
    </row>
    <row r="255">
      <c r="A255" s="403" t="n"/>
      <c r="B255" s="403" t="n"/>
      <c r="C255" s="403" t="n"/>
      <c r="D255" s="403" t="n"/>
      <c r="E255" s="403" t="n"/>
      <c r="F255" s="403" t="n"/>
    </row>
    <row r="256">
      <c r="A256" s="403" t="n"/>
      <c r="B256" s="403" t="n"/>
      <c r="C256" s="403" t="n"/>
      <c r="D256" s="403" t="n"/>
      <c r="E256" s="403" t="n"/>
      <c r="F256" s="403" t="n"/>
    </row>
    <row r="257">
      <c r="A257" s="403" t="n"/>
      <c r="B257" s="403" t="n"/>
      <c r="C257" s="403" t="n"/>
      <c r="D257" s="403" t="n"/>
      <c r="E257" s="403" t="n"/>
      <c r="F257" s="403" t="n"/>
    </row>
    <row r="258">
      <c r="A258" s="403" t="n"/>
      <c r="B258" s="403" t="n"/>
      <c r="C258" s="403" t="n"/>
      <c r="D258" s="403" t="n"/>
      <c r="E258" s="403" t="n"/>
      <c r="F258" s="403" t="n"/>
    </row>
    <row r="259">
      <c r="A259" s="403" t="n"/>
      <c r="B259" s="403" t="n"/>
      <c r="C259" s="403" t="n"/>
      <c r="D259" s="403" t="n"/>
      <c r="E259" s="403" t="n"/>
      <c r="F259" s="403" t="n"/>
    </row>
    <row r="260">
      <c r="A260" s="403" t="n"/>
      <c r="B260" s="403" t="n"/>
      <c r="C260" s="403" t="n"/>
      <c r="D260" s="403" t="n"/>
      <c r="E260" s="403" t="n"/>
      <c r="F260" s="403" t="n"/>
    </row>
    <row r="261">
      <c r="A261" s="403" t="n"/>
      <c r="B261" s="403" t="n"/>
      <c r="C261" s="403" t="n"/>
      <c r="D261" s="403" t="n"/>
      <c r="E261" s="403" t="n"/>
      <c r="F261" s="403" t="n"/>
    </row>
    <row r="262">
      <c r="A262" s="403" t="n"/>
      <c r="B262" s="403" t="n"/>
      <c r="C262" s="403" t="n"/>
      <c r="D262" s="403" t="n"/>
      <c r="E262" s="403" t="n"/>
      <c r="F262" s="403" t="n"/>
    </row>
    <row r="263">
      <c r="A263" s="403" t="n"/>
      <c r="B263" s="403" t="n"/>
      <c r="C263" s="403" t="n"/>
      <c r="D263" s="403" t="n"/>
      <c r="E263" s="403" t="n"/>
      <c r="F263" s="403" t="n"/>
    </row>
    <row r="264">
      <c r="A264" s="403" t="n"/>
      <c r="B264" s="403" t="n"/>
      <c r="C264" s="403" t="n"/>
      <c r="D264" s="403" t="n"/>
      <c r="E264" s="403" t="n"/>
      <c r="F264" s="403" t="n"/>
    </row>
    <row r="265">
      <c r="A265" s="403" t="n"/>
      <c r="B265" s="403" t="n"/>
      <c r="C265" s="403" t="n"/>
      <c r="D265" s="403" t="n"/>
      <c r="E265" s="403" t="n"/>
      <c r="F265" s="403" t="n"/>
    </row>
    <row r="266">
      <c r="A266" s="403" t="n"/>
      <c r="B266" s="403" t="n"/>
      <c r="C266" s="403" t="n"/>
      <c r="D266" s="403" t="n"/>
      <c r="E266" s="403" t="n"/>
      <c r="F266" s="403" t="n"/>
    </row>
    <row r="267">
      <c r="A267" s="403" t="n"/>
      <c r="B267" s="403" t="n"/>
      <c r="C267" s="403" t="n"/>
      <c r="D267" s="403" t="n"/>
      <c r="E267" s="403" t="n"/>
      <c r="F267" s="403" t="n"/>
    </row>
    <row r="268">
      <c r="A268" s="403" t="n"/>
      <c r="B268" s="403" t="n"/>
      <c r="C268" s="403" t="n"/>
      <c r="D268" s="403" t="n"/>
      <c r="E268" s="403" t="n"/>
      <c r="F268" s="403" t="n"/>
    </row>
    <row r="269">
      <c r="A269" s="403" t="n"/>
      <c r="B269" s="403" t="n"/>
      <c r="C269" s="403" t="n"/>
      <c r="D269" s="403" t="n"/>
      <c r="E269" s="403" t="n"/>
      <c r="F269" s="403" t="n"/>
    </row>
    <row r="270">
      <c r="A270" s="403" t="n"/>
      <c r="B270" s="403" t="n"/>
      <c r="C270" s="403" t="n"/>
      <c r="D270" s="403" t="n"/>
      <c r="E270" s="403" t="n"/>
      <c r="F270" s="403" t="n"/>
    </row>
    <row r="271">
      <c r="A271" s="403" t="n"/>
      <c r="B271" s="403" t="n"/>
      <c r="C271" s="403" t="n"/>
      <c r="D271" s="403" t="n"/>
      <c r="E271" s="403" t="n"/>
      <c r="F271" s="403" t="n"/>
    </row>
    <row r="272">
      <c r="A272" s="403" t="n"/>
      <c r="B272" s="403" t="n"/>
      <c r="C272" s="403" t="n"/>
      <c r="D272" s="403" t="n"/>
      <c r="E272" s="403" t="n"/>
      <c r="F272" s="403" t="n"/>
    </row>
    <row r="273">
      <c r="A273" s="403" t="n"/>
      <c r="B273" s="403" t="n"/>
      <c r="C273" s="403" t="n"/>
      <c r="D273" s="403" t="n"/>
      <c r="E273" s="403" t="n"/>
      <c r="F273" s="403" t="n"/>
    </row>
    <row r="274">
      <c r="A274" s="403" t="n"/>
      <c r="B274" s="403" t="n"/>
      <c r="C274" s="403" t="n"/>
      <c r="D274" s="403" t="n"/>
      <c r="E274" s="403" t="n"/>
      <c r="F274" s="403" t="n"/>
    </row>
    <row r="275">
      <c r="A275" s="403" t="n"/>
      <c r="B275" s="403" t="n"/>
      <c r="C275" s="403" t="n"/>
      <c r="D275" s="403" t="n"/>
      <c r="E275" s="403" t="n"/>
      <c r="F275" s="403" t="n"/>
    </row>
    <row r="276">
      <c r="A276" s="403" t="n"/>
      <c r="B276" s="403" t="n"/>
      <c r="C276" s="403" t="n"/>
      <c r="D276" s="403" t="n"/>
      <c r="E276" s="403" t="n"/>
      <c r="F276" s="403" t="n"/>
    </row>
    <row r="277">
      <c r="A277" s="403" t="n"/>
      <c r="B277" s="403" t="n"/>
      <c r="C277" s="403" t="n"/>
      <c r="D277" s="403" t="n"/>
      <c r="E277" s="403" t="n"/>
      <c r="F277" s="403" t="n"/>
    </row>
    <row r="278">
      <c r="A278" s="403" t="n"/>
      <c r="B278" s="403" t="n"/>
      <c r="C278" s="403" t="n"/>
      <c r="D278" s="403" t="n"/>
      <c r="E278" s="403" t="n"/>
      <c r="F278" s="403" t="n"/>
    </row>
    <row r="279">
      <c r="A279" s="403" t="n"/>
      <c r="B279" s="403" t="n"/>
      <c r="C279" s="403" t="n"/>
      <c r="D279" s="403" t="n"/>
      <c r="E279" s="403" t="n"/>
      <c r="F279" s="403" t="n"/>
    </row>
    <row r="280">
      <c r="A280" s="403" t="n"/>
      <c r="B280" s="403" t="n"/>
      <c r="C280" s="403" t="n"/>
      <c r="D280" s="403" t="n"/>
      <c r="E280" s="403" t="n"/>
      <c r="F280" s="403" t="n"/>
    </row>
    <row r="281">
      <c r="A281" s="403" t="n"/>
      <c r="B281" s="403" t="n"/>
      <c r="C281" s="403" t="n"/>
      <c r="D281" s="403" t="n"/>
      <c r="E281" s="403" t="n"/>
      <c r="F281" s="403" t="n"/>
    </row>
    <row r="282">
      <c r="A282" s="403" t="n"/>
      <c r="B282" s="403" t="n"/>
      <c r="C282" s="403" t="n"/>
      <c r="D282" s="403" t="n"/>
      <c r="E282" s="403" t="n"/>
      <c r="F282" s="403" t="n"/>
    </row>
    <row r="283">
      <c r="A283" s="403" t="n"/>
      <c r="B283" s="403" t="n"/>
      <c r="C283" s="403" t="n"/>
      <c r="D283" s="403" t="n"/>
      <c r="E283" s="403" t="n"/>
      <c r="F283" s="403" t="n"/>
    </row>
    <row r="284">
      <c r="A284" s="403" t="n"/>
      <c r="B284" s="403" t="n"/>
      <c r="C284" s="403" t="n"/>
      <c r="D284" s="403" t="n"/>
      <c r="E284" s="403" t="n"/>
      <c r="F284" s="403" t="n"/>
    </row>
    <row r="285">
      <c r="A285" s="403" t="n"/>
      <c r="B285" s="403" t="n"/>
      <c r="C285" s="403" t="n"/>
      <c r="D285" s="403" t="n"/>
      <c r="E285" s="403" t="n"/>
      <c r="F285" s="403" t="n"/>
    </row>
    <row r="286">
      <c r="A286" s="403" t="n"/>
      <c r="B286" s="403" t="n"/>
      <c r="C286" s="403" t="n"/>
      <c r="D286" s="403" t="n"/>
      <c r="E286" s="403" t="n"/>
      <c r="F286" s="403" t="n"/>
    </row>
    <row r="287">
      <c r="A287" s="403" t="n"/>
      <c r="B287" s="403" t="n"/>
      <c r="C287" s="403" t="n"/>
      <c r="D287" s="403" t="n"/>
      <c r="E287" s="403" t="n"/>
      <c r="F287" s="403" t="n"/>
    </row>
    <row r="288">
      <c r="A288" s="403" t="n"/>
      <c r="B288" s="403" t="n"/>
      <c r="C288" s="403" t="n"/>
      <c r="D288" s="403" t="n"/>
      <c r="E288" s="403" t="n"/>
      <c r="F288" s="403" t="n"/>
    </row>
    <row r="289">
      <c r="A289" s="403" t="n"/>
      <c r="B289" s="403" t="n"/>
      <c r="C289" s="403" t="n"/>
      <c r="D289" s="403" t="n"/>
      <c r="E289" s="403" t="n"/>
      <c r="F289" s="403" t="n"/>
    </row>
    <row r="290">
      <c r="A290" s="403" t="n"/>
      <c r="B290" s="403" t="n"/>
      <c r="C290" s="403" t="n"/>
      <c r="D290" s="403" t="n"/>
      <c r="E290" s="403" t="n"/>
      <c r="F290" s="403" t="n"/>
    </row>
    <row r="291">
      <c r="A291" s="403" t="n"/>
      <c r="B291" s="403" t="n"/>
      <c r="C291" s="403" t="n"/>
      <c r="D291" s="403" t="n"/>
      <c r="E291" s="403" t="n"/>
      <c r="F291" s="403" t="n"/>
    </row>
    <row r="292">
      <c r="A292" s="403" t="n"/>
      <c r="B292" s="403" t="n"/>
      <c r="C292" s="403" t="n"/>
      <c r="D292" s="403" t="n"/>
      <c r="E292" s="403" t="n"/>
      <c r="F292" s="403" t="n"/>
    </row>
    <row r="293">
      <c r="A293" s="403" t="n"/>
      <c r="B293" s="403" t="n"/>
      <c r="C293" s="403" t="n"/>
      <c r="D293" s="403" t="n"/>
      <c r="E293" s="403" t="n"/>
      <c r="F293" s="403" t="n"/>
    </row>
    <row r="294">
      <c r="A294" s="403" t="n"/>
      <c r="B294" s="403" t="n"/>
      <c r="C294" s="403" t="n"/>
      <c r="D294" s="403" t="n"/>
      <c r="E294" s="403" t="n"/>
      <c r="F294" s="403" t="n"/>
    </row>
    <row r="295">
      <c r="A295" s="403" t="n"/>
      <c r="B295" s="403" t="n"/>
      <c r="C295" s="403" t="n"/>
      <c r="D295" s="403" t="n"/>
      <c r="E295" s="403" t="n"/>
      <c r="F295" s="403" t="n"/>
    </row>
    <row r="296">
      <c r="A296" s="403" t="n"/>
      <c r="B296" s="403" t="n"/>
      <c r="C296" s="403" t="n"/>
      <c r="D296" s="403" t="n"/>
      <c r="E296" s="403" t="n"/>
      <c r="F296" s="403" t="n"/>
    </row>
    <row r="297">
      <c r="A297" s="403" t="n"/>
      <c r="B297" s="403" t="n"/>
      <c r="C297" s="403" t="n"/>
      <c r="D297" s="403" t="n"/>
      <c r="E297" s="403" t="n"/>
      <c r="F297" s="403" t="n"/>
    </row>
    <row r="298">
      <c r="A298" s="403" t="n"/>
      <c r="B298" s="403" t="n"/>
      <c r="C298" s="403" t="n"/>
      <c r="D298" s="403" t="n"/>
      <c r="E298" s="403" t="n"/>
      <c r="F298" s="403" t="n"/>
    </row>
    <row r="299">
      <c r="A299" s="403" t="n"/>
      <c r="B299" s="403" t="n"/>
      <c r="C299" s="403" t="n"/>
      <c r="D299" s="403" t="n"/>
      <c r="E299" s="403" t="n"/>
      <c r="F299" s="403" t="n"/>
    </row>
    <row r="300">
      <c r="A300" s="403" t="n"/>
      <c r="B300" s="403" t="n"/>
      <c r="C300" s="403" t="n"/>
      <c r="D300" s="403" t="n"/>
      <c r="E300" s="403" t="n"/>
      <c r="F300" s="403" t="n"/>
    </row>
    <row r="301">
      <c r="A301" s="403" t="n"/>
      <c r="B301" s="403" t="n"/>
      <c r="C301" s="403" t="n"/>
      <c r="D301" s="403" t="n"/>
      <c r="E301" s="403" t="n"/>
      <c r="F301" s="403" t="n"/>
    </row>
    <row r="302">
      <c r="A302" s="403" t="n"/>
      <c r="B302" s="403" t="n"/>
      <c r="C302" s="403" t="n"/>
      <c r="D302" s="403" t="n"/>
      <c r="E302" s="403" t="n"/>
      <c r="F302" s="403" t="n"/>
    </row>
    <row r="303">
      <c r="A303" s="403" t="n"/>
      <c r="B303" s="403" t="n"/>
      <c r="C303" s="403" t="n"/>
      <c r="D303" s="403" t="n"/>
      <c r="E303" s="403" t="n"/>
      <c r="F303" s="403" t="n"/>
    </row>
    <row r="304">
      <c r="A304" s="403" t="n"/>
      <c r="B304" s="403" t="n"/>
      <c r="C304" s="403" t="n"/>
      <c r="D304" s="403" t="n"/>
      <c r="E304" s="403" t="n"/>
      <c r="F304" s="403" t="n"/>
    </row>
    <row r="305">
      <c r="A305" s="403" t="n"/>
      <c r="B305" s="403" t="n"/>
      <c r="C305" s="403" t="n"/>
      <c r="D305" s="403" t="n"/>
      <c r="E305" s="403" t="n"/>
      <c r="F305" s="403" t="n"/>
    </row>
    <row r="306">
      <c r="A306" s="403" t="n"/>
      <c r="B306" s="403" t="n"/>
      <c r="C306" s="403" t="n"/>
      <c r="D306" s="403" t="n"/>
      <c r="E306" s="403" t="n"/>
      <c r="F306" s="403" t="n"/>
    </row>
    <row r="307">
      <c r="A307" s="403" t="n"/>
      <c r="B307" s="403" t="n"/>
      <c r="C307" s="403" t="n"/>
      <c r="D307" s="403" t="n"/>
      <c r="E307" s="403" t="n"/>
      <c r="F307" s="403" t="n"/>
    </row>
    <row r="308">
      <c r="A308" s="403" t="n"/>
      <c r="B308" s="403" t="n"/>
      <c r="C308" s="403" t="n"/>
      <c r="D308" s="403" t="n"/>
      <c r="E308" s="403" t="n"/>
      <c r="F308" s="403" t="n"/>
    </row>
    <row r="309">
      <c r="A309" s="403" t="n"/>
      <c r="B309" s="403" t="n"/>
      <c r="C309" s="403" t="n"/>
      <c r="D309" s="403" t="n"/>
      <c r="E309" s="403" t="n"/>
      <c r="F309" s="403" t="n"/>
    </row>
    <row r="310">
      <c r="A310" s="403" t="n"/>
      <c r="B310" s="403" t="n"/>
      <c r="C310" s="403" t="n"/>
      <c r="D310" s="403" t="n"/>
      <c r="E310" s="403" t="n"/>
      <c r="F310" s="403" t="n"/>
    </row>
    <row r="311">
      <c r="A311" s="403" t="n"/>
      <c r="B311" s="403" t="n"/>
      <c r="C311" s="403" t="n"/>
      <c r="D311" s="403" t="n"/>
      <c r="E311" s="403" t="n"/>
      <c r="F311" s="403" t="n"/>
    </row>
    <row r="312">
      <c r="A312" s="403" t="n"/>
      <c r="B312" s="403" t="n"/>
      <c r="C312" s="403" t="n"/>
      <c r="D312" s="403" t="n"/>
      <c r="E312" s="403" t="n"/>
      <c r="F312" s="403" t="n"/>
    </row>
    <row r="313">
      <c r="A313" s="403" t="n"/>
      <c r="B313" s="403" t="n"/>
      <c r="C313" s="403" t="n"/>
      <c r="D313" s="403" t="n"/>
      <c r="E313" s="403" t="n"/>
      <c r="F313" s="403" t="n"/>
    </row>
    <row r="314">
      <c r="A314" s="403" t="n"/>
      <c r="B314" s="403" t="n"/>
      <c r="C314" s="403" t="n"/>
      <c r="D314" s="403" t="n"/>
      <c r="E314" s="403" t="n"/>
      <c r="F314" s="403" t="n"/>
    </row>
    <row r="315">
      <c r="A315" s="403" t="n"/>
      <c r="B315" s="403" t="n"/>
      <c r="C315" s="403" t="n"/>
      <c r="D315" s="403" t="n"/>
      <c r="E315" s="403" t="n"/>
      <c r="F315" s="403" t="n"/>
    </row>
    <row r="316">
      <c r="A316" s="403" t="n"/>
      <c r="B316" s="403" t="n"/>
      <c r="C316" s="403" t="n"/>
      <c r="D316" s="403" t="n"/>
      <c r="E316" s="403" t="n"/>
      <c r="F316" s="403" t="n"/>
    </row>
    <row r="317">
      <c r="A317" s="403" t="n"/>
      <c r="B317" s="403" t="n"/>
      <c r="C317" s="403" t="n"/>
      <c r="D317" s="403" t="n"/>
      <c r="E317" s="403" t="n"/>
      <c r="F317" s="403" t="n"/>
    </row>
    <row r="318">
      <c r="A318" s="403" t="n"/>
      <c r="B318" s="403" t="n"/>
      <c r="C318" s="403" t="n"/>
      <c r="D318" s="403" t="n"/>
      <c r="E318" s="403" t="n"/>
      <c r="F318" s="403" t="n"/>
    </row>
    <row r="319">
      <c r="A319" s="403" t="n"/>
      <c r="B319" s="403" t="n"/>
      <c r="C319" s="403" t="n"/>
      <c r="D319" s="403" t="n"/>
      <c r="E319" s="403" t="n"/>
      <c r="F319" s="403" t="n"/>
    </row>
    <row r="320">
      <c r="A320" s="403" t="n"/>
      <c r="B320" s="403" t="n"/>
      <c r="C320" s="403" t="n"/>
      <c r="D320" s="403" t="n"/>
      <c r="E320" s="403" t="n"/>
      <c r="F320" s="403" t="n"/>
    </row>
    <row r="321">
      <c r="A321" s="403" t="n"/>
      <c r="B321" s="403" t="n"/>
      <c r="C321" s="403" t="n"/>
      <c r="D321" s="403" t="n"/>
      <c r="E321" s="403" t="n"/>
      <c r="F321" s="403" t="n"/>
    </row>
    <row r="322">
      <c r="A322" s="403" t="n"/>
      <c r="B322" s="403" t="n"/>
      <c r="C322" s="403" t="n"/>
      <c r="D322" s="403" t="n"/>
      <c r="E322" s="403" t="n"/>
      <c r="F322" s="403" t="n"/>
    </row>
    <row r="323">
      <c r="A323" s="403" t="n"/>
      <c r="B323" s="403" t="n"/>
      <c r="C323" s="403" t="n"/>
      <c r="D323" s="403" t="n"/>
      <c r="E323" s="403" t="n"/>
      <c r="F323" s="403" t="n"/>
    </row>
    <row r="324">
      <c r="A324" s="403" t="n"/>
      <c r="B324" s="403" t="n"/>
      <c r="C324" s="403" t="n"/>
      <c r="D324" s="403" t="n"/>
      <c r="E324" s="403" t="n"/>
      <c r="F324" s="403" t="n"/>
    </row>
    <row r="325">
      <c r="A325" s="403" t="n"/>
      <c r="B325" s="403" t="n"/>
      <c r="C325" s="403" t="n"/>
      <c r="D325" s="403" t="n"/>
      <c r="E325" s="403" t="n"/>
      <c r="F325" s="403" t="n"/>
    </row>
    <row r="326">
      <c r="A326" s="403" t="n"/>
      <c r="B326" s="403" t="n"/>
      <c r="C326" s="403" t="n"/>
      <c r="D326" s="403" t="n"/>
      <c r="E326" s="403" t="n"/>
      <c r="F326" s="403" t="n"/>
    </row>
    <row r="327">
      <c r="A327" s="403" t="n"/>
      <c r="B327" s="403" t="n"/>
      <c r="C327" s="403" t="n"/>
      <c r="D327" s="403" t="n"/>
      <c r="E327" s="403" t="n"/>
      <c r="F327" s="403" t="n"/>
    </row>
    <row r="328">
      <c r="A328" s="403" t="n"/>
      <c r="B328" s="403" t="n"/>
      <c r="C328" s="403" t="n"/>
      <c r="D328" s="403" t="n"/>
      <c r="E328" s="403" t="n"/>
      <c r="F328" s="403" t="n"/>
    </row>
    <row r="329">
      <c r="A329" s="403" t="n"/>
      <c r="B329" s="403" t="n"/>
      <c r="C329" s="403" t="n"/>
      <c r="D329" s="403" t="n"/>
      <c r="E329" s="403" t="n"/>
      <c r="F329" s="403" t="n"/>
    </row>
    <row r="330">
      <c r="A330" s="403" t="n"/>
      <c r="B330" s="403" t="n"/>
      <c r="C330" s="403" t="n"/>
      <c r="D330" s="403" t="n"/>
      <c r="E330" s="403" t="n"/>
      <c r="F330" s="403" t="n"/>
    </row>
    <row r="331">
      <c r="A331" s="403" t="n"/>
      <c r="B331" s="403" t="n"/>
      <c r="C331" s="403" t="n"/>
      <c r="D331" s="403" t="n"/>
      <c r="E331" s="403" t="n"/>
      <c r="F331" s="403" t="n"/>
    </row>
    <row r="332">
      <c r="A332" s="403" t="n"/>
      <c r="B332" s="403" t="n"/>
      <c r="C332" s="403" t="n"/>
      <c r="D332" s="403" t="n"/>
      <c r="E332" s="403" t="n"/>
      <c r="F332" s="403" t="n"/>
    </row>
    <row r="333">
      <c r="A333" s="403" t="n"/>
      <c r="B333" s="403" t="n"/>
      <c r="C333" s="403" t="n"/>
      <c r="D333" s="403" t="n"/>
      <c r="E333" s="403" t="n"/>
      <c r="F333" s="403" t="n"/>
    </row>
    <row r="334">
      <c r="A334" s="403" t="n"/>
      <c r="B334" s="403" t="n"/>
      <c r="C334" s="403" t="n"/>
      <c r="D334" s="403" t="n"/>
      <c r="E334" s="403" t="n"/>
      <c r="F334" s="403" t="n"/>
    </row>
    <row r="335">
      <c r="A335" s="403" t="n"/>
      <c r="B335" s="403" t="n"/>
      <c r="C335" s="403" t="n"/>
      <c r="D335" s="403" t="n"/>
      <c r="E335" s="403" t="n"/>
      <c r="F335" s="403" t="n"/>
    </row>
    <row r="336">
      <c r="A336" s="403" t="n"/>
      <c r="B336" s="403" t="n"/>
      <c r="C336" s="403" t="n"/>
      <c r="D336" s="403" t="n"/>
      <c r="E336" s="403" t="n"/>
      <c r="F336" s="403" t="n"/>
    </row>
    <row r="337">
      <c r="A337" s="403" t="n"/>
      <c r="B337" s="403" t="n"/>
      <c r="C337" s="403" t="n"/>
      <c r="D337" s="403" t="n"/>
      <c r="E337" s="403" t="n"/>
      <c r="F337" s="403" t="n"/>
    </row>
    <row r="338">
      <c r="A338" s="403" t="n"/>
      <c r="B338" s="403" t="n"/>
      <c r="C338" s="403" t="n"/>
      <c r="D338" s="403" t="n"/>
      <c r="E338" s="403" t="n"/>
      <c r="F338" s="403" t="n"/>
    </row>
    <row r="339">
      <c r="A339" s="403" t="n"/>
      <c r="B339" s="403" t="n"/>
      <c r="C339" s="403" t="n"/>
      <c r="D339" s="403" t="n"/>
      <c r="E339" s="403" t="n"/>
      <c r="F339" s="403" t="n"/>
    </row>
    <row r="340">
      <c r="A340" s="403" t="n"/>
      <c r="B340" s="403" t="n"/>
      <c r="C340" s="403" t="n"/>
      <c r="D340" s="403" t="n"/>
      <c r="E340" s="403" t="n"/>
      <c r="F340" s="403" t="n"/>
    </row>
    <row r="341">
      <c r="A341" s="403" t="n"/>
      <c r="B341" s="403" t="n"/>
      <c r="C341" s="403" t="n"/>
      <c r="D341" s="403" t="n"/>
      <c r="E341" s="403" t="n"/>
      <c r="F341" s="403" t="n"/>
    </row>
    <row r="342">
      <c r="A342" s="403" t="n"/>
      <c r="B342" s="403" t="n"/>
      <c r="C342" s="403" t="n"/>
      <c r="D342" s="403" t="n"/>
      <c r="E342" s="403" t="n"/>
      <c r="F342" s="403" t="n"/>
    </row>
    <row r="343">
      <c r="A343" s="403" t="n"/>
      <c r="B343" s="403" t="n"/>
      <c r="C343" s="403" t="n"/>
      <c r="D343" s="403" t="n"/>
      <c r="E343" s="403" t="n"/>
      <c r="F343" s="403" t="n"/>
    </row>
    <row r="344">
      <c r="A344" s="403" t="n"/>
      <c r="B344" s="403" t="n"/>
      <c r="C344" s="403" t="n"/>
      <c r="D344" s="403" t="n"/>
      <c r="E344" s="403" t="n"/>
      <c r="F344" s="403" t="n"/>
    </row>
    <row r="345">
      <c r="A345" s="403" t="n"/>
      <c r="B345" s="403" t="n"/>
      <c r="C345" s="403" t="n"/>
      <c r="D345" s="403" t="n"/>
      <c r="E345" s="403" t="n"/>
      <c r="F345" s="403" t="n"/>
    </row>
    <row r="346">
      <c r="A346" s="403" t="n"/>
      <c r="B346" s="403" t="n"/>
      <c r="C346" s="403" t="n"/>
      <c r="D346" s="403" t="n"/>
      <c r="E346" s="403" t="n"/>
      <c r="F346" s="403" t="n"/>
    </row>
    <row r="347">
      <c r="A347" s="403" t="n"/>
      <c r="B347" s="403" t="n"/>
      <c r="C347" s="403" t="n"/>
      <c r="D347" s="403" t="n"/>
      <c r="E347" s="403" t="n"/>
      <c r="F347" s="403" t="n"/>
    </row>
    <row r="348">
      <c r="A348" s="403" t="n"/>
      <c r="B348" s="403" t="n"/>
      <c r="C348" s="403" t="n"/>
      <c r="D348" s="403" t="n"/>
      <c r="E348" s="403" t="n"/>
      <c r="F348" s="403" t="n"/>
    </row>
    <row r="349">
      <c r="A349" s="403" t="n"/>
      <c r="B349" s="403" t="n"/>
      <c r="C349" s="403" t="n"/>
      <c r="D349" s="403" t="n"/>
      <c r="E349" s="403" t="n"/>
      <c r="F349" s="403" t="n"/>
    </row>
    <row r="350">
      <c r="A350" s="403" t="n"/>
      <c r="B350" s="403" t="n"/>
      <c r="C350" s="403" t="n"/>
      <c r="D350" s="403" t="n"/>
      <c r="E350" s="403" t="n"/>
      <c r="F350" s="403" t="n"/>
    </row>
    <row r="351">
      <c r="A351" s="403" t="n"/>
      <c r="B351" s="403" t="n"/>
      <c r="C351" s="403" t="n"/>
      <c r="D351" s="403" t="n"/>
      <c r="E351" s="403" t="n"/>
      <c r="F351" s="403" t="n"/>
    </row>
    <row r="352">
      <c r="A352" s="403" t="n"/>
      <c r="B352" s="403" t="n"/>
      <c r="C352" s="403" t="n"/>
      <c r="D352" s="403" t="n"/>
      <c r="E352" s="403" t="n"/>
      <c r="F352" s="403" t="n"/>
    </row>
    <row r="353">
      <c r="A353" s="403" t="n"/>
      <c r="B353" s="403" t="n"/>
      <c r="C353" s="403" t="n"/>
      <c r="D353" s="403" t="n"/>
      <c r="E353" s="403" t="n"/>
      <c r="F353" s="403" t="n"/>
    </row>
    <row r="354">
      <c r="A354" s="403" t="n"/>
      <c r="B354" s="403" t="n"/>
      <c r="C354" s="403" t="n"/>
      <c r="D354" s="403" t="n"/>
      <c r="E354" s="403" t="n"/>
      <c r="F354" s="403" t="n"/>
    </row>
    <row r="355">
      <c r="A355" s="403" t="n"/>
      <c r="B355" s="403" t="n"/>
      <c r="C355" s="403" t="n"/>
      <c r="D355" s="403" t="n"/>
      <c r="E355" s="403" t="n"/>
      <c r="F355" s="403" t="n"/>
    </row>
    <row r="356">
      <c r="A356" s="403" t="n"/>
      <c r="B356" s="403" t="n"/>
      <c r="C356" s="403" t="n"/>
      <c r="D356" s="403" t="n"/>
      <c r="E356" s="403" t="n"/>
      <c r="F356" s="403" t="n"/>
    </row>
    <row r="357">
      <c r="A357" s="403" t="n"/>
      <c r="B357" s="403" t="n"/>
      <c r="C357" s="403" t="n"/>
      <c r="D357" s="403" t="n"/>
      <c r="E357" s="403" t="n"/>
      <c r="F357" s="403" t="n"/>
    </row>
    <row r="358">
      <c r="A358" s="403" t="n"/>
      <c r="B358" s="403" t="n"/>
      <c r="C358" s="403" t="n"/>
      <c r="D358" s="403" t="n"/>
      <c r="E358" s="403" t="n"/>
      <c r="F358" s="403" t="n"/>
    </row>
    <row r="359">
      <c r="A359" s="403" t="n"/>
      <c r="B359" s="403" t="n"/>
      <c r="C359" s="403" t="n"/>
      <c r="D359" s="403" t="n"/>
      <c r="E359" s="403" t="n"/>
      <c r="F359" s="403" t="n"/>
    </row>
    <row r="360">
      <c r="A360" s="403" t="n"/>
      <c r="B360" s="403" t="n"/>
      <c r="C360" s="403" t="n"/>
      <c r="D360" s="403" t="n"/>
      <c r="E360" s="403" t="n"/>
      <c r="F360" s="403" t="n"/>
    </row>
    <row r="361">
      <c r="A361" s="403" t="n"/>
      <c r="B361" s="403" t="n"/>
      <c r="C361" s="403" t="n"/>
      <c r="D361" s="403" t="n"/>
      <c r="E361" s="403" t="n"/>
      <c r="F361" s="403" t="n"/>
    </row>
    <row r="362">
      <c r="A362" s="403" t="n"/>
      <c r="B362" s="403" t="n"/>
      <c r="C362" s="403" t="n"/>
      <c r="D362" s="403" t="n"/>
      <c r="E362" s="403" t="n"/>
      <c r="F362" s="403" t="n"/>
    </row>
    <row r="363">
      <c r="A363" s="403" t="n"/>
      <c r="B363" s="403" t="n"/>
      <c r="C363" s="403" t="n"/>
      <c r="D363" s="403" t="n"/>
      <c r="E363" s="403" t="n"/>
      <c r="F363" s="403" t="n"/>
    </row>
    <row r="364">
      <c r="A364" s="403" t="n"/>
      <c r="B364" s="403" t="n"/>
      <c r="C364" s="403" t="n"/>
      <c r="D364" s="403" t="n"/>
      <c r="E364" s="403" t="n"/>
      <c r="F364" s="403" t="n"/>
    </row>
    <row r="365">
      <c r="A365" s="403" t="n"/>
      <c r="B365" s="403" t="n"/>
      <c r="C365" s="403" t="n"/>
      <c r="D365" s="403" t="n"/>
      <c r="E365" s="403" t="n"/>
      <c r="F365" s="403" t="n"/>
    </row>
    <row r="366">
      <c r="A366" s="403" t="n"/>
      <c r="B366" s="403" t="n"/>
      <c r="C366" s="403" t="n"/>
      <c r="D366" s="403" t="n"/>
      <c r="E366" s="403" t="n"/>
      <c r="F366" s="403" t="n"/>
    </row>
    <row r="367">
      <c r="A367" s="403" t="n"/>
      <c r="B367" s="403" t="n"/>
      <c r="C367" s="403" t="n"/>
      <c r="D367" s="403" t="n"/>
      <c r="E367" s="403" t="n"/>
      <c r="F367" s="403" t="n"/>
    </row>
    <row r="368">
      <c r="A368" s="403" t="n"/>
      <c r="B368" s="403" t="n"/>
      <c r="C368" s="403" t="n"/>
      <c r="D368" s="403" t="n"/>
      <c r="E368" s="403" t="n"/>
      <c r="F368" s="403" t="n"/>
    </row>
    <row r="369">
      <c r="A369" s="403" t="n"/>
      <c r="B369" s="403" t="n"/>
      <c r="C369" s="403" t="n"/>
      <c r="D369" s="403" t="n"/>
      <c r="E369" s="403" t="n"/>
      <c r="F369" s="403" t="n"/>
    </row>
    <row r="370">
      <c r="A370" s="403" t="n"/>
      <c r="B370" s="403" t="n"/>
      <c r="C370" s="403" t="n"/>
      <c r="D370" s="403" t="n"/>
      <c r="E370" s="403" t="n"/>
      <c r="F370" s="403" t="n"/>
    </row>
    <row r="371">
      <c r="A371" s="403" t="n"/>
      <c r="B371" s="403" t="n"/>
      <c r="C371" s="403" t="n"/>
      <c r="D371" s="403" t="n"/>
      <c r="E371" s="403" t="n"/>
      <c r="F371" s="403" t="n"/>
    </row>
    <row r="372">
      <c r="A372" s="403" t="n"/>
      <c r="B372" s="403" t="n"/>
      <c r="C372" s="403" t="n"/>
      <c r="D372" s="403" t="n"/>
      <c r="E372" s="403" t="n"/>
      <c r="F372" s="403" t="n"/>
    </row>
    <row r="373">
      <c r="A373" s="403" t="n"/>
      <c r="B373" s="403" t="n"/>
      <c r="C373" s="403" t="n"/>
      <c r="D373" s="403" t="n"/>
      <c r="E373" s="403" t="n"/>
      <c r="F373" s="403" t="n"/>
    </row>
    <row r="374">
      <c r="A374" s="403" t="n"/>
      <c r="B374" s="403" t="n"/>
      <c r="C374" s="403" t="n"/>
      <c r="D374" s="403" t="n"/>
      <c r="E374" s="403" t="n"/>
      <c r="F374" s="403" t="n"/>
    </row>
    <row r="375">
      <c r="A375" s="403" t="n"/>
      <c r="B375" s="403" t="n"/>
      <c r="C375" s="403" t="n"/>
      <c r="D375" s="403" t="n"/>
      <c r="E375" s="403" t="n"/>
      <c r="F375" s="403" t="n"/>
    </row>
    <row r="376">
      <c r="A376" s="403" t="n"/>
      <c r="B376" s="403" t="n"/>
      <c r="C376" s="403" t="n"/>
      <c r="D376" s="403" t="n"/>
      <c r="E376" s="403" t="n"/>
      <c r="F376" s="403" t="n"/>
    </row>
    <row r="377">
      <c r="A377" s="403" t="n"/>
      <c r="B377" s="403" t="n"/>
      <c r="C377" s="403" t="n"/>
      <c r="D377" s="403" t="n"/>
      <c r="E377" s="403" t="n"/>
      <c r="F377" s="403" t="n"/>
    </row>
    <row r="378">
      <c r="A378" s="403" t="n"/>
      <c r="B378" s="403" t="n"/>
      <c r="C378" s="403" t="n"/>
      <c r="D378" s="403" t="n"/>
      <c r="E378" s="403" t="n"/>
      <c r="F378" s="403" t="n"/>
    </row>
    <row r="379">
      <c r="A379" s="403" t="n"/>
      <c r="B379" s="403" t="n"/>
      <c r="C379" s="403" t="n"/>
      <c r="D379" s="403" t="n"/>
      <c r="E379" s="403" t="n"/>
      <c r="F379" s="403" t="n"/>
    </row>
    <row r="380">
      <c r="A380" s="403" t="n"/>
      <c r="B380" s="403" t="n"/>
      <c r="C380" s="403" t="n"/>
      <c r="D380" s="403" t="n"/>
      <c r="E380" s="403" t="n"/>
      <c r="F380" s="403" t="n"/>
    </row>
    <row r="381">
      <c r="A381" s="403" t="n"/>
      <c r="B381" s="403" t="n"/>
      <c r="C381" s="403" t="n"/>
      <c r="D381" s="403" t="n"/>
      <c r="E381" s="403" t="n"/>
      <c r="F381" s="403" t="n"/>
    </row>
    <row r="382">
      <c r="A382" s="403" t="n"/>
      <c r="B382" s="403" t="n"/>
      <c r="C382" s="403" t="n"/>
      <c r="D382" s="403" t="n"/>
      <c r="E382" s="403" t="n"/>
      <c r="F382" s="403" t="n"/>
    </row>
    <row r="383">
      <c r="A383" s="403" t="n"/>
      <c r="B383" s="403" t="n"/>
      <c r="C383" s="403" t="n"/>
      <c r="D383" s="403" t="n"/>
      <c r="E383" s="403" t="n"/>
      <c r="F383" s="403" t="n"/>
    </row>
    <row r="384">
      <c r="A384" s="403" t="n"/>
      <c r="B384" s="403" t="n"/>
      <c r="C384" s="403" t="n"/>
      <c r="D384" s="403" t="n"/>
      <c r="E384" s="403" t="n"/>
      <c r="F384" s="403" t="n"/>
    </row>
    <row r="385">
      <c r="A385" s="403" t="n"/>
      <c r="B385" s="403" t="n"/>
      <c r="C385" s="403" t="n"/>
      <c r="D385" s="403" t="n"/>
      <c r="E385" s="403" t="n"/>
      <c r="F385" s="403" t="n"/>
    </row>
    <row r="386">
      <c r="A386" s="403" t="n"/>
      <c r="B386" s="403" t="n"/>
      <c r="C386" s="403" t="n"/>
      <c r="D386" s="403" t="n"/>
      <c r="E386" s="403" t="n"/>
      <c r="F386" s="403" t="n"/>
    </row>
    <row r="387">
      <c r="A387" s="403" t="n"/>
      <c r="B387" s="403" t="n"/>
      <c r="C387" s="403" t="n"/>
      <c r="D387" s="403" t="n"/>
      <c r="E387" s="403" t="n"/>
      <c r="F387" s="403" t="n"/>
    </row>
    <row r="388">
      <c r="A388" s="403" t="n"/>
      <c r="B388" s="403" t="n"/>
      <c r="C388" s="403" t="n"/>
      <c r="D388" s="403" t="n"/>
      <c r="E388" s="403" t="n"/>
      <c r="F388" s="403" t="n"/>
    </row>
    <row r="389">
      <c r="A389" s="403" t="n"/>
      <c r="B389" s="403" t="n"/>
      <c r="C389" s="403" t="n"/>
      <c r="D389" s="403" t="n"/>
      <c r="E389" s="403" t="n"/>
      <c r="F389" s="403" t="n"/>
    </row>
    <row r="390">
      <c r="A390" s="403" t="n"/>
      <c r="B390" s="403" t="n"/>
      <c r="C390" s="403" t="n"/>
      <c r="D390" s="403" t="n"/>
      <c r="E390" s="403" t="n"/>
      <c r="F390" s="403" t="n"/>
    </row>
    <row r="391">
      <c r="A391" s="403" t="n"/>
      <c r="B391" s="403" t="n"/>
      <c r="C391" s="403" t="n"/>
      <c r="D391" s="403" t="n"/>
      <c r="E391" s="403" t="n"/>
      <c r="F391" s="403" t="n"/>
    </row>
    <row r="392">
      <c r="A392" s="403" t="n"/>
      <c r="B392" s="403" t="n"/>
      <c r="C392" s="403" t="n"/>
      <c r="D392" s="403" t="n"/>
      <c r="E392" s="403" t="n"/>
      <c r="F392" s="403" t="n"/>
    </row>
    <row r="393">
      <c r="A393" s="403" t="n"/>
      <c r="B393" s="403" t="n"/>
      <c r="C393" s="403" t="n"/>
      <c r="D393" s="403" t="n"/>
      <c r="E393" s="403" t="n"/>
      <c r="F393" s="403" t="n"/>
    </row>
    <row r="394">
      <c r="A394" s="403" t="n"/>
      <c r="B394" s="403" t="n"/>
      <c r="C394" s="403" t="n"/>
      <c r="D394" s="403" t="n"/>
      <c r="E394" s="403" t="n"/>
      <c r="F394" s="403" t="n"/>
    </row>
    <row r="395">
      <c r="A395" s="403" t="n"/>
      <c r="B395" s="403" t="n"/>
      <c r="C395" s="403" t="n"/>
      <c r="D395" s="403" t="n"/>
      <c r="E395" s="403" t="n"/>
      <c r="F395" s="403" t="n"/>
    </row>
    <row r="396">
      <c r="A396" s="403" t="n"/>
      <c r="B396" s="403" t="n"/>
      <c r="C396" s="403" t="n"/>
      <c r="D396" s="403" t="n"/>
      <c r="E396" s="403" t="n"/>
      <c r="F396" s="403" t="n"/>
    </row>
    <row r="397">
      <c r="A397" s="403" t="n"/>
      <c r="B397" s="403" t="n"/>
      <c r="C397" s="403" t="n"/>
      <c r="D397" s="403" t="n"/>
      <c r="E397" s="403" t="n"/>
      <c r="F397" s="403" t="n"/>
    </row>
    <row r="398">
      <c r="A398" s="403" t="n"/>
      <c r="B398" s="403" t="n"/>
      <c r="C398" s="403" t="n"/>
      <c r="D398" s="403" t="n"/>
      <c r="E398" s="403" t="n"/>
      <c r="F398" s="403" t="n"/>
    </row>
    <row r="399">
      <c r="A399" s="403" t="n"/>
      <c r="B399" s="403" t="n"/>
      <c r="C399" s="403" t="n"/>
      <c r="D399" s="403" t="n"/>
      <c r="E399" s="403" t="n"/>
      <c r="F399" s="403" t="n"/>
    </row>
    <row r="400">
      <c r="A400" s="403" t="n"/>
      <c r="B400" s="403" t="n"/>
      <c r="C400" s="403" t="n"/>
      <c r="D400" s="403" t="n"/>
      <c r="E400" s="403" t="n"/>
      <c r="F400" s="403" t="n"/>
    </row>
    <row r="401">
      <c r="A401" s="403" t="n"/>
      <c r="B401" s="403" t="n"/>
      <c r="C401" s="403" t="n"/>
      <c r="D401" s="403" t="n"/>
      <c r="E401" s="403" t="n"/>
      <c r="F401" s="403" t="n"/>
    </row>
    <row r="402">
      <c r="A402" s="403" t="n"/>
      <c r="B402" s="403" t="n"/>
      <c r="C402" s="403" t="n"/>
      <c r="D402" s="403" t="n"/>
      <c r="E402" s="403" t="n"/>
      <c r="F402" s="403" t="n"/>
    </row>
    <row r="403">
      <c r="A403" s="403" t="n"/>
      <c r="B403" s="403" t="n"/>
      <c r="C403" s="403" t="n"/>
      <c r="D403" s="403" t="n"/>
      <c r="E403" s="403" t="n"/>
      <c r="F403" s="403" t="n"/>
    </row>
    <row r="404">
      <c r="A404" s="403" t="n"/>
      <c r="B404" s="403" t="n"/>
      <c r="C404" s="403" t="n"/>
      <c r="D404" s="403" t="n"/>
      <c r="E404" s="403" t="n"/>
      <c r="F404" s="403" t="n"/>
    </row>
    <row r="405">
      <c r="A405" s="403" t="n"/>
      <c r="B405" s="403" t="n"/>
      <c r="C405" s="403" t="n"/>
      <c r="D405" s="403" t="n"/>
      <c r="E405" s="403" t="n"/>
      <c r="F405" s="403" t="n"/>
    </row>
    <row r="406">
      <c r="A406" s="403" t="n"/>
      <c r="B406" s="403" t="n"/>
      <c r="C406" s="403" t="n"/>
      <c r="D406" s="403" t="n"/>
      <c r="E406" s="403" t="n"/>
      <c r="F406" s="403" t="n"/>
    </row>
    <row r="407">
      <c r="A407" s="403" t="n"/>
      <c r="B407" s="403" t="n"/>
      <c r="C407" s="403" t="n"/>
      <c r="D407" s="403" t="n"/>
      <c r="E407" s="403" t="n"/>
      <c r="F407" s="403" t="n"/>
    </row>
    <row r="408">
      <c r="A408" s="403" t="n"/>
      <c r="B408" s="403" t="n"/>
      <c r="C408" s="403" t="n"/>
      <c r="D408" s="403" t="n"/>
      <c r="E408" s="403" t="n"/>
      <c r="F408" s="403" t="n"/>
    </row>
    <row r="409">
      <c r="A409" s="403" t="n"/>
      <c r="B409" s="403" t="n"/>
      <c r="C409" s="403" t="n"/>
      <c r="D409" s="403" t="n"/>
      <c r="E409" s="403" t="n"/>
      <c r="F409" s="403" t="n"/>
    </row>
    <row r="410">
      <c r="A410" s="403" t="n"/>
      <c r="B410" s="403" t="n"/>
      <c r="C410" s="403" t="n"/>
      <c r="D410" s="403" t="n"/>
      <c r="E410" s="403" t="n"/>
      <c r="F410" s="403" t="n"/>
    </row>
    <row r="411">
      <c r="A411" s="403" t="n"/>
      <c r="B411" s="403" t="n"/>
      <c r="C411" s="403" t="n"/>
      <c r="D411" s="403" t="n"/>
      <c r="E411" s="403" t="n"/>
      <c r="F411" s="403" t="n"/>
    </row>
    <row r="412">
      <c r="A412" s="403" t="n"/>
      <c r="B412" s="403" t="n"/>
      <c r="C412" s="403" t="n"/>
      <c r="D412" s="403" t="n"/>
      <c r="E412" s="403" t="n"/>
      <c r="F412" s="403" t="n"/>
    </row>
    <row r="413">
      <c r="A413" s="403" t="n"/>
      <c r="B413" s="403" t="n"/>
      <c r="C413" s="403" t="n"/>
      <c r="D413" s="403" t="n"/>
      <c r="E413" s="403" t="n"/>
      <c r="F413" s="403" t="n"/>
    </row>
    <row r="414">
      <c r="A414" s="403" t="n"/>
      <c r="B414" s="403" t="n"/>
      <c r="C414" s="403" t="n"/>
      <c r="D414" s="403" t="n"/>
      <c r="E414" s="403" t="n"/>
      <c r="F414" s="403" t="n"/>
    </row>
    <row r="415">
      <c r="A415" s="403" t="n"/>
      <c r="B415" s="403" t="n"/>
      <c r="C415" s="403" t="n"/>
      <c r="D415" s="403" t="n"/>
      <c r="E415" s="403" t="n"/>
      <c r="F415" s="403" t="n"/>
    </row>
    <row r="416">
      <c r="A416" s="403" t="n"/>
      <c r="B416" s="403" t="n"/>
      <c r="C416" s="403" t="n"/>
      <c r="D416" s="403" t="n"/>
      <c r="E416" s="403" t="n"/>
      <c r="F416" s="403" t="n"/>
    </row>
    <row r="417">
      <c r="A417" s="403" t="n"/>
      <c r="B417" s="403" t="n"/>
      <c r="C417" s="403" t="n"/>
      <c r="D417" s="403" t="n"/>
      <c r="E417" s="403" t="n"/>
      <c r="F417" s="403" t="n"/>
    </row>
    <row r="418">
      <c r="A418" s="403" t="n"/>
      <c r="B418" s="403" t="n"/>
      <c r="C418" s="403" t="n"/>
      <c r="D418" s="403" t="n"/>
      <c r="E418" s="403" t="n"/>
      <c r="F418" s="403" t="n"/>
    </row>
    <row r="419">
      <c r="A419" s="403" t="n"/>
      <c r="B419" s="403" t="n"/>
      <c r="C419" s="403" t="n"/>
      <c r="D419" s="403" t="n"/>
      <c r="E419" s="403" t="n"/>
      <c r="F419" s="403" t="n"/>
    </row>
    <row r="420">
      <c r="A420" s="403" t="n"/>
      <c r="B420" s="403" t="n"/>
      <c r="C420" s="403" t="n"/>
      <c r="D420" s="403" t="n"/>
      <c r="E420" s="403" t="n"/>
      <c r="F420" s="403" t="n"/>
    </row>
    <row r="421">
      <c r="A421" s="403" t="n"/>
      <c r="B421" s="403" t="n"/>
      <c r="C421" s="403" t="n"/>
      <c r="D421" s="403" t="n"/>
      <c r="E421" s="403" t="n"/>
      <c r="F421" s="403" t="n"/>
    </row>
    <row r="422">
      <c r="A422" s="403" t="n"/>
      <c r="B422" s="403" t="n"/>
      <c r="C422" s="403" t="n"/>
      <c r="D422" s="403" t="n"/>
      <c r="E422" s="403" t="n"/>
      <c r="F422" s="403" t="n"/>
    </row>
    <row r="423">
      <c r="A423" s="403" t="n"/>
      <c r="B423" s="403" t="n"/>
      <c r="C423" s="403" t="n"/>
      <c r="D423" s="403" t="n"/>
      <c r="E423" s="403" t="n"/>
      <c r="F423" s="403" t="n"/>
    </row>
    <row r="424">
      <c r="A424" s="403" t="n"/>
      <c r="B424" s="403" t="n"/>
      <c r="C424" s="403" t="n"/>
      <c r="D424" s="403" t="n"/>
      <c r="E424" s="403" t="n"/>
      <c r="F424" s="403" t="n"/>
    </row>
    <row r="425">
      <c r="A425" s="403" t="n"/>
      <c r="B425" s="403" t="n"/>
      <c r="C425" s="403" t="n"/>
      <c r="D425" s="403" t="n"/>
      <c r="E425" s="403" t="n"/>
      <c r="F425" s="403" t="n"/>
    </row>
    <row r="426">
      <c r="A426" s="403" t="n"/>
      <c r="B426" s="403" t="n"/>
      <c r="C426" s="403" t="n"/>
      <c r="D426" s="403" t="n"/>
      <c r="E426" s="403" t="n"/>
      <c r="F426" s="403" t="n"/>
    </row>
    <row r="427">
      <c r="A427" s="403" t="n"/>
      <c r="B427" s="403" t="n"/>
      <c r="C427" s="403" t="n"/>
      <c r="D427" s="403" t="n"/>
      <c r="E427" s="403" t="n"/>
      <c r="F427" s="403" t="n"/>
    </row>
    <row r="428">
      <c r="A428" s="403" t="n"/>
      <c r="B428" s="403" t="n"/>
      <c r="C428" s="403" t="n"/>
      <c r="D428" s="403" t="n"/>
      <c r="E428" s="403" t="n"/>
      <c r="F428" s="403" t="n"/>
    </row>
    <row r="429">
      <c r="A429" s="403" t="n"/>
      <c r="B429" s="403" t="n"/>
      <c r="C429" s="403" t="n"/>
      <c r="D429" s="403" t="n"/>
      <c r="E429" s="403" t="n"/>
      <c r="F429" s="403" t="n"/>
    </row>
    <row r="430">
      <c r="A430" s="403" t="n"/>
      <c r="B430" s="403" t="n"/>
      <c r="C430" s="403" t="n"/>
      <c r="D430" s="403" t="n"/>
      <c r="E430" s="403" t="n"/>
      <c r="F430" s="403" t="n"/>
    </row>
    <row r="431">
      <c r="A431" s="403" t="n"/>
      <c r="B431" s="403" t="n"/>
      <c r="C431" s="403" t="n"/>
      <c r="D431" s="403" t="n"/>
      <c r="E431" s="403" t="n"/>
      <c r="F431" s="403" t="n"/>
    </row>
    <row r="432">
      <c r="A432" s="403" t="n"/>
      <c r="B432" s="403" t="n"/>
      <c r="C432" s="403" t="n"/>
      <c r="D432" s="403" t="n"/>
      <c r="E432" s="403" t="n"/>
      <c r="F432" s="403" t="n"/>
    </row>
    <row r="433">
      <c r="A433" s="403" t="n"/>
      <c r="B433" s="403" t="n"/>
      <c r="C433" s="403" t="n"/>
      <c r="D433" s="403" t="n"/>
      <c r="E433" s="403" t="n"/>
      <c r="F433" s="403" t="n"/>
    </row>
    <row r="434">
      <c r="A434" s="403" t="n"/>
      <c r="B434" s="403" t="n"/>
      <c r="C434" s="403" t="n"/>
      <c r="D434" s="403" t="n"/>
      <c r="E434" s="403" t="n"/>
      <c r="F434" s="403" t="n"/>
    </row>
    <row r="435">
      <c r="A435" s="403" t="n"/>
      <c r="B435" s="403" t="n"/>
      <c r="C435" s="403" t="n"/>
      <c r="D435" s="403" t="n"/>
      <c r="E435" s="403" t="n"/>
      <c r="F435" s="403" t="n"/>
    </row>
    <row r="436">
      <c r="A436" s="403" t="n"/>
      <c r="B436" s="403" t="n"/>
      <c r="C436" s="403" t="n"/>
      <c r="D436" s="403" t="n"/>
      <c r="E436" s="403" t="n"/>
      <c r="F436" s="403" t="n"/>
    </row>
    <row r="437">
      <c r="A437" s="403" t="n"/>
      <c r="B437" s="403" t="n"/>
      <c r="C437" s="403" t="n"/>
      <c r="D437" s="403" t="n"/>
      <c r="E437" s="403" t="n"/>
      <c r="F437" s="403" t="n"/>
    </row>
    <row r="438">
      <c r="A438" s="403" t="n"/>
      <c r="B438" s="403" t="n"/>
      <c r="C438" s="403" t="n"/>
      <c r="D438" s="403" t="n"/>
      <c r="E438" s="403" t="n"/>
      <c r="F438" s="403" t="n"/>
    </row>
    <row r="439">
      <c r="A439" s="403" t="n"/>
      <c r="B439" s="403" t="n"/>
      <c r="C439" s="403" t="n"/>
      <c r="D439" s="403" t="n"/>
      <c r="E439" s="403" t="n"/>
      <c r="F439" s="403" t="n"/>
    </row>
    <row r="440">
      <c r="A440" s="403" t="n"/>
      <c r="B440" s="403" t="n"/>
      <c r="C440" s="403" t="n"/>
      <c r="D440" s="403" t="n"/>
      <c r="E440" s="403" t="n"/>
      <c r="F440" s="403" t="n"/>
    </row>
    <row r="441">
      <c r="A441" s="403" t="n"/>
      <c r="B441" s="403" t="n"/>
      <c r="C441" s="403" t="n"/>
      <c r="D441" s="403" t="n"/>
      <c r="E441" s="403" t="n"/>
      <c r="F441" s="40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"/>
  <cols>
    <col width="30" customWidth="1" style="438" min="1" max="1"/>
    <col width="13" customWidth="1" style="438" min="2" max="2"/>
    <col width="28" customWidth="1" style="438" min="3" max="3"/>
    <col width="12" customWidth="1" style="438" min="4" max="4"/>
    <col width="13" customWidth="1" style="438" min="5" max="5"/>
  </cols>
  <sheetData>
    <row r="1" ht="14" customHeight="1" s="438">
      <c r="A1" s="425" t="inlineStr">
        <is>
          <t>商品原価・売価（益子CK 2026/8/1〜8/31 出荷実績より 1個あたり）</t>
        </is>
      </c>
    </row>
    <row r="2">
      <c r="A2" t="inlineStr">
        <is>
          <t>※ 原価＝原価金額合計÷出荷数、売価＝売価金額合計÷出荷数。元：出荷実績_20260925090847.csv</t>
        </is>
      </c>
    </row>
    <row r="3">
      <c r="A3" s="426" t="inlineStr">
        <is>
          <t>商品名</t>
        </is>
      </c>
      <c r="B3" s="426" t="inlineStr">
        <is>
          <t>原価(円/個)</t>
        </is>
      </c>
      <c r="C3" s="426" t="inlineStr">
        <is>
          <t>キー(自動・⑳照合用)</t>
        </is>
      </c>
      <c r="D3" s="426" t="inlineStr">
        <is>
          <t>出荷数(個)</t>
        </is>
      </c>
      <c r="E3" s="426" t="inlineStr">
        <is>
          <t>売価(円/個)</t>
        </is>
      </c>
    </row>
    <row r="4">
      <c r="A4" s="427" t="inlineStr">
        <is>
          <t>Ｓ大人のコーヒーゼリー小４</t>
        </is>
      </c>
      <c r="B4" s="428" t="n">
        <v>69.92</v>
      </c>
      <c r="C4" s="427">
        <f>IF($A4="","",SUBSTITUTE(SUBSTITUTE(SUBSTITUTE(SUBSTITUTE(SUBSTITUTE(SUBSTITUTE(SUBSTITUTE(SUBSTITUTE(SUBSTITUTE(SUBSTITUTE(ASC($A4),"①","1"),"②","2"),"③","3"),"④","4"),"⑤","5"),"⑥","6"),"⑦","7"),"⑧","8"),"⑨","9")," ",""))</f>
        <v/>
      </c>
      <c r="D4" s="429" t="n">
        <v>100060</v>
      </c>
      <c r="E4" s="428" t="n">
        <v>94.97</v>
      </c>
    </row>
    <row r="5">
      <c r="A5" s="427" t="inlineStr">
        <is>
          <t>Ｓカスタード＆ホイップシュ</t>
        </is>
      </c>
      <c r="B5" s="428" t="n">
        <v>116.87</v>
      </c>
      <c r="C5" s="427">
        <f>IF($A5="","",SUBSTITUTE(SUBSTITUTE(SUBSTITUTE(SUBSTITUTE(SUBSTITUTE(SUBSTITUTE(SUBSTITUTE(SUBSTITUTE(SUBSTITUTE(SUBSTITUTE(ASC($A5),"①","1"),"②","2"),"③","3"),"④","4"),"⑤","5"),"⑥","6"),"⑦","7"),"⑧","8"),"⑨","9")," ",""))</f>
        <v/>
      </c>
      <c r="D5" s="429" t="n">
        <v>66208</v>
      </c>
      <c r="E5" s="428" t="n">
        <v>157.56</v>
      </c>
    </row>
    <row r="6">
      <c r="A6" s="427" t="inlineStr">
        <is>
          <t>Ｓホイップの卵プリン</t>
        </is>
      </c>
      <c r="B6" s="428" t="n">
        <v>94.53</v>
      </c>
      <c r="C6" s="427">
        <f>IF($A6="","",SUBSTITUTE(SUBSTITUTE(SUBSTITUTE(SUBSTITUTE(SUBSTITUTE(SUBSTITUTE(SUBSTITUTE(SUBSTITUTE(SUBSTITUTE(SUBSTITUTE(ASC($A6),"①","1"),"②","2"),"③","3"),"④","4"),"⑤","5"),"⑥","6"),"⑦","7"),"⑧","8"),"⑨","9")," ",""))</f>
        <v/>
      </c>
      <c r="D6" s="429" t="n">
        <v>60137</v>
      </c>
      <c r="E6" s="428" t="n">
        <v>127.61</v>
      </c>
    </row>
    <row r="7">
      <c r="A7" s="427" t="inlineStr">
        <is>
          <t>Ｓお箸でつまんでわらび餅小</t>
        </is>
      </c>
      <c r="B7" s="428" t="n">
        <v>100.98</v>
      </c>
      <c r="C7" s="427">
        <f>IF($A7="","",SUBSTITUTE(SUBSTITUTE(SUBSTITUTE(SUBSTITUTE(SUBSTITUTE(SUBSTITUTE(SUBSTITUTE(SUBSTITUTE(SUBSTITUTE(SUBSTITUTE(ASC($A7),"①","1"),"②","2"),"③","3"),"④","4"),"⑤","5"),"⑥","6"),"⑦","7"),"⑧","8"),"⑨","9")," ",""))</f>
        <v/>
      </c>
      <c r="D7" s="429" t="n">
        <v>53632</v>
      </c>
      <c r="E7" s="428" t="n">
        <v>136.14</v>
      </c>
    </row>
    <row r="8">
      <c r="A8" s="427" t="inlineStr">
        <is>
          <t>お箸でつまんでわらび餅小</t>
        </is>
      </c>
      <c r="B8" s="428" t="n">
        <v>100.67</v>
      </c>
      <c r="C8" s="427">
        <f>IF($A8="","",SUBSTITUTE(SUBSTITUTE(SUBSTITUTE(SUBSTITUTE(SUBSTITUTE(SUBSTITUTE(SUBSTITUTE(SUBSTITUTE(SUBSTITUTE(SUBSTITUTE(ASC($A8),"①","1"),"②","2"),"③","3"),"④","4"),"⑤","5"),"⑥","6"),"⑦","7"),"⑧","8"),"⑨","9")," ",""))</f>
        <v/>
      </c>
      <c r="D8" s="429" t="n">
        <v>33668</v>
      </c>
      <c r="E8" s="428" t="n">
        <v>135.83</v>
      </c>
    </row>
    <row r="9">
      <c r="A9" s="427" t="inlineStr">
        <is>
          <t>大人のコーヒーゼリー小４</t>
        </is>
      </c>
      <c r="B9" s="428" t="n">
        <v>69.93000000000001</v>
      </c>
      <c r="C9" s="427">
        <f>IF($A9="","",SUBSTITUTE(SUBSTITUTE(SUBSTITUTE(SUBSTITUTE(SUBSTITUTE(SUBSTITUTE(SUBSTITUTE(SUBSTITUTE(SUBSTITUTE(SUBSTITUTE(ASC($A9),"①","1"),"②","2"),"③","3"),"④","4"),"⑤","5"),"⑥","6"),"⑦","7"),"⑧","8"),"⑨","9")," ",""))</f>
        <v/>
      </c>
      <c r="D9" s="429" t="n">
        <v>30749</v>
      </c>
      <c r="E9" s="428" t="n">
        <v>94.98</v>
      </c>
    </row>
    <row r="10">
      <c r="A10" s="427" t="inlineStr">
        <is>
          <t>Ｓみかんの牛乳寒天　小</t>
        </is>
      </c>
      <c r="B10" s="428" t="n">
        <v>90.62</v>
      </c>
      <c r="C10" s="427">
        <f>IF($A10="","",SUBSTITUTE(SUBSTITUTE(SUBSTITUTE(SUBSTITUTE(SUBSTITUTE(SUBSTITUTE(SUBSTITUTE(SUBSTITUTE(SUBSTITUTE(SUBSTITUTE(ASC($A10),"①","1"),"②","2"),"③","3"),"④","4"),"⑤","5"),"⑥","6"),"⑦","7"),"⑧","8"),"⑨","9")," ",""))</f>
        <v/>
      </c>
      <c r="D10" s="429" t="n">
        <v>30208</v>
      </c>
      <c r="E10" s="428" t="n">
        <v>122.71</v>
      </c>
    </row>
    <row r="11">
      <c r="A11" s="427" t="inlineStr">
        <is>
          <t>Ｓクリーム爆盛ロールケキ小</t>
        </is>
      </c>
      <c r="B11" s="428" t="n">
        <v>95.45</v>
      </c>
      <c r="C11" s="427">
        <f>IF($A11="","",SUBSTITUTE(SUBSTITUTE(SUBSTITUTE(SUBSTITUTE(SUBSTITUTE(SUBSTITUTE(SUBSTITUTE(SUBSTITUTE(SUBSTITUTE(SUBSTITUTE(ASC($A11),"①","1"),"②","2"),"③","3"),"④","4"),"⑤","5"),"⑥","6"),"⑦","7"),"⑧","8"),"⑨","9")," ",""))</f>
        <v/>
      </c>
      <c r="D11" s="429" t="n">
        <v>29837</v>
      </c>
      <c r="E11" s="428" t="n">
        <v>128.29</v>
      </c>
    </row>
    <row r="12">
      <c r="A12" s="427" t="inlineStr">
        <is>
          <t>Ｓバナナのふんわりロール２</t>
        </is>
      </c>
      <c r="B12" s="428" t="n">
        <v>99.73999999999999</v>
      </c>
      <c r="C12" s="427">
        <f>IF($A12="","",SUBSTITUTE(SUBSTITUTE(SUBSTITUTE(SUBSTITUTE(SUBSTITUTE(SUBSTITUTE(SUBSTITUTE(SUBSTITUTE(SUBSTITUTE(SUBSTITUTE(ASC($A12),"①","1"),"②","2"),"③","3"),"④","4"),"⑤","5"),"⑥","6"),"⑦","7"),"⑧","8"),"⑨","9")," ",""))</f>
        <v/>
      </c>
      <c r="D12" s="429" t="n">
        <v>29837</v>
      </c>
      <c r="E12" s="428" t="n">
        <v>142.49</v>
      </c>
    </row>
    <row r="13">
      <c r="A13" s="427" t="inlineStr">
        <is>
          <t>Ｓ大人のコーヒーゼリー４</t>
        </is>
      </c>
      <c r="B13" s="428" t="n">
        <v>86.09</v>
      </c>
      <c r="C13" s="427">
        <f>IF($A13="","",SUBSTITUTE(SUBSTITUTE(SUBSTITUTE(SUBSTITUTE(SUBSTITUTE(SUBSTITUTE(SUBSTITUTE(SUBSTITUTE(SUBSTITUTE(SUBSTITUTE(ASC($A13),"①","1"),"②","2"),"③","3"),"④","4"),"⑤","5"),"⑥","6"),"⑦","7"),"⑧","8"),"⑨","9")," ",""))</f>
        <v/>
      </c>
      <c r="D13" s="429" t="n">
        <v>28983</v>
      </c>
      <c r="E13" s="428" t="n">
        <v>117.89</v>
      </c>
    </row>
    <row r="14">
      <c r="A14" s="427" t="inlineStr">
        <is>
          <t>Ｓ２層仕立てのチーズケーキ</t>
        </is>
      </c>
      <c r="B14" s="428" t="n">
        <v>165.53</v>
      </c>
      <c r="C14" s="427">
        <f>IF($A14="","",SUBSTITUTE(SUBSTITUTE(SUBSTITUTE(SUBSTITUTE(SUBSTITUTE(SUBSTITUTE(SUBSTITUTE(SUBSTITUTE(SUBSTITUTE(SUBSTITUTE(ASC($A14),"①","1"),"②","2"),"③","3"),"④","4"),"⑤","5"),"⑥","6"),"⑦","7"),"⑧","8"),"⑨","9")," ",""))</f>
        <v/>
      </c>
      <c r="D14" s="429" t="n">
        <v>24288</v>
      </c>
      <c r="E14" s="428" t="n">
        <v>224.28</v>
      </c>
    </row>
    <row r="15">
      <c r="A15" s="427" t="inlineStr">
        <is>
          <t>Ｓ蜜いもスイートポテト</t>
        </is>
      </c>
      <c r="B15" s="428" t="n">
        <v>207.92</v>
      </c>
      <c r="C15" s="427">
        <f>IF($A15="","",SUBSTITUTE(SUBSTITUTE(SUBSTITUTE(SUBSTITUTE(SUBSTITUTE(SUBSTITUTE(SUBSTITUTE(SUBSTITUTE(SUBSTITUTE(SUBSTITUTE(ASC($A15),"①","1"),"②","2"),"③","3"),"④","4"),"⑤","5"),"⑥","6"),"⑦","7"),"⑧","8"),"⑨","9")," ",""))</f>
        <v/>
      </c>
      <c r="D15" s="429" t="n">
        <v>22002</v>
      </c>
      <c r="E15" s="428" t="n">
        <v>284.82</v>
      </c>
    </row>
    <row r="16">
      <c r="A16" s="427" t="inlineStr">
        <is>
          <t>Ｓひんやり和パフェあんみつ</t>
        </is>
      </c>
      <c r="B16" s="428" t="n">
        <v>103.98</v>
      </c>
      <c r="C16" s="427">
        <f>IF($A16="","",SUBSTITUTE(SUBSTITUTE(SUBSTITUTE(SUBSTITUTE(SUBSTITUTE(SUBSTITUTE(SUBSTITUTE(SUBSTITUTE(SUBSTITUTE(SUBSTITUTE(ASC($A16),"①","1"),"②","2"),"③","3"),"④","4"),"⑤","5"),"⑥","6"),"⑦","7"),"⑧","8"),"⑨","9")," ",""))</f>
        <v/>
      </c>
      <c r="D16" s="429" t="n">
        <v>20831</v>
      </c>
      <c r="E16" s="428" t="n">
        <v>148.46</v>
      </c>
    </row>
    <row r="17">
      <c r="A17" s="427" t="inlineStr">
        <is>
          <t>自社製ホイップの卵プリン</t>
        </is>
      </c>
      <c r="B17" s="428" t="n">
        <v>93.64</v>
      </c>
      <c r="C17" s="427">
        <f>IF($A17="","",SUBSTITUTE(SUBSTITUTE(SUBSTITUTE(SUBSTITUTE(SUBSTITUTE(SUBSTITUTE(SUBSTITUTE(SUBSTITUTE(SUBSTITUTE(SUBSTITUTE(ASC($A17),"①","1"),"②","2"),"③","3"),"④","4"),"⑤","5"),"⑥","6"),"⑦","7"),"⑧","8"),"⑨","9")," ",""))</f>
        <v/>
      </c>
      <c r="D17" s="429" t="n">
        <v>19333</v>
      </c>
      <c r="E17" s="428" t="n">
        <v>126.7</v>
      </c>
    </row>
    <row r="18">
      <c r="A18" s="427" t="inlineStr">
        <is>
          <t>メロン塩パン２個入</t>
        </is>
      </c>
      <c r="B18" s="428" t="n">
        <v>111.32</v>
      </c>
      <c r="C18" s="427">
        <f>IF($A18="","",SUBSTITUTE(SUBSTITUTE(SUBSTITUTE(SUBSTITUTE(SUBSTITUTE(SUBSTITUTE(SUBSTITUTE(SUBSTITUTE(SUBSTITUTE(SUBSTITUTE(ASC($A18),"①","1"),"②","2"),"③","3"),"④","4"),"⑤","5"),"⑥","6"),"⑦","7"),"⑧","8"),"⑨","9")," ",""))</f>
        <v/>
      </c>
      <c r="D18" s="429" t="n">
        <v>18293</v>
      </c>
      <c r="E18" s="428" t="n">
        <v>168.09</v>
      </c>
    </row>
    <row r="19">
      <c r="A19" s="427" t="inlineStr">
        <is>
          <t>カスタード＆ホイップシュー</t>
        </is>
      </c>
      <c r="B19" s="428" t="n">
        <v>115.13</v>
      </c>
      <c r="C19" s="427">
        <f>IF($A19="","",SUBSTITUTE(SUBSTITUTE(SUBSTITUTE(SUBSTITUTE(SUBSTITUTE(SUBSTITUTE(SUBSTITUTE(SUBSTITUTE(SUBSTITUTE(SUBSTITUTE(ASC($A19),"①","1"),"②","2"),"③","3"),"④","4"),"⑤","5"),"⑥","6"),"⑦","7"),"⑧","8"),"⑨","9")," ",""))</f>
        <v/>
      </c>
      <c r="D19" s="429" t="n">
        <v>18204</v>
      </c>
      <c r="E19" s="428" t="n">
        <v>155.81</v>
      </c>
    </row>
    <row r="20">
      <c r="A20" s="427" t="inlineStr">
        <is>
          <t>バナナのふんわりロール２</t>
        </is>
      </c>
      <c r="B20" s="428" t="n">
        <v>100.32</v>
      </c>
      <c r="C20" s="427">
        <f>IF($A20="","",SUBSTITUTE(SUBSTITUTE(SUBSTITUTE(SUBSTITUTE(SUBSTITUTE(SUBSTITUTE(SUBSTITUTE(SUBSTITUTE(SUBSTITUTE(SUBSTITUTE(ASC($A20),"①","1"),"②","2"),"③","3"),"④","4"),"⑤","5"),"⑥","6"),"⑦","7"),"⑧","8"),"⑨","9")," ",""))</f>
        <v/>
      </c>
      <c r="D20" s="429" t="n">
        <v>15172</v>
      </c>
      <c r="E20" s="428" t="n">
        <v>143.07</v>
      </c>
    </row>
    <row r="21">
      <c r="A21" s="427" t="inlineStr">
        <is>
          <t>Ｓ２種柑橘の杏仁プリン</t>
        </is>
      </c>
      <c r="B21" s="428" t="n">
        <v>139.85</v>
      </c>
      <c r="C21" s="427">
        <f>IF($A21="","",SUBSTITUTE(SUBSTITUTE(SUBSTITUTE(SUBSTITUTE(SUBSTITUTE(SUBSTITUTE(SUBSTITUTE(SUBSTITUTE(SUBSTITUTE(SUBSTITUTE(ASC($A21),"①","1"),"②","2"),"③","3"),"④","4"),"⑤","5"),"⑥","6"),"⑦","7"),"⑧","8"),"⑨","9")," ",""))</f>
        <v/>
      </c>
      <c r="D21" s="429" t="n">
        <v>13912</v>
      </c>
      <c r="E21" s="428" t="n">
        <v>198.9</v>
      </c>
    </row>
    <row r="22">
      <c r="A22" s="427" t="inlineStr">
        <is>
          <t>ふわもちホテルロール８個入</t>
        </is>
      </c>
      <c r="B22" s="428" t="n">
        <v>89.51000000000001</v>
      </c>
      <c r="C22" s="427">
        <f>IF($A22="","",SUBSTITUTE(SUBSTITUTE(SUBSTITUTE(SUBSTITUTE(SUBSTITUTE(SUBSTITUTE(SUBSTITUTE(SUBSTITUTE(SUBSTITUTE(SUBSTITUTE(ASC($A22),"①","1"),"②","2"),"③","3"),"④","4"),"⑤","5"),"⑥","6"),"⑦","7"),"⑧","8"),"⑨","9")," ",""))</f>
        <v/>
      </c>
      <c r="D22" s="429" t="n">
        <v>12459</v>
      </c>
      <c r="E22" s="428" t="n">
        <v>135.19</v>
      </c>
    </row>
    <row r="23">
      <c r="A23" s="427" t="inlineStr">
        <is>
          <t>クリーム爆盛ロールケーキ小</t>
        </is>
      </c>
      <c r="B23" s="428" t="n">
        <v>94.19</v>
      </c>
      <c r="C23" s="427">
        <f>IF($A23="","",SUBSTITUTE(SUBSTITUTE(SUBSTITUTE(SUBSTITUTE(SUBSTITUTE(SUBSTITUTE(SUBSTITUTE(SUBSTITUTE(SUBSTITUTE(SUBSTITUTE(ASC($A23),"①","1"),"②","2"),"③","3"),"④","4"),"⑤","5"),"⑥","6"),"⑦","7"),"⑧","8"),"⑨","9")," ",""))</f>
        <v/>
      </c>
      <c r="D23" s="429" t="n">
        <v>11015</v>
      </c>
      <c r="E23" s="428" t="n">
        <v>127.05</v>
      </c>
    </row>
    <row r="24">
      <c r="A24" s="427" t="inlineStr">
        <is>
          <t>ふわもちホテルロール１６個</t>
        </is>
      </c>
      <c r="B24" s="428" t="n">
        <v>172.8</v>
      </c>
      <c r="C24" s="427">
        <f>IF($A24="","",SUBSTITUTE(SUBSTITUTE(SUBSTITUTE(SUBSTITUTE(SUBSTITUTE(SUBSTITUTE(SUBSTITUTE(SUBSTITUTE(SUBSTITUTE(SUBSTITUTE(ASC($A24),"①","1"),"②","2"),"③","3"),"④","4"),"⑤","5"),"⑥","6"),"⑦","7"),"⑧","8"),"⑨","9")," ",""))</f>
        <v/>
      </c>
      <c r="D24" s="429" t="n">
        <v>10691</v>
      </c>
      <c r="E24" s="428" t="n">
        <v>260.94</v>
      </c>
    </row>
    <row r="25">
      <c r="A25" s="427" t="inlineStr">
        <is>
          <t>大人のコーヒーゼリー４</t>
        </is>
      </c>
      <c r="B25" s="428" t="n">
        <v>88.77</v>
      </c>
      <c r="C25" s="427">
        <f>IF($A25="","",SUBSTITUTE(SUBSTITUTE(SUBSTITUTE(SUBSTITUTE(SUBSTITUTE(SUBSTITUTE(SUBSTITUTE(SUBSTITUTE(SUBSTITUTE(SUBSTITUTE(ASC($A25),"①","1"),"②","2"),"③","3"),"④","4"),"⑤","5"),"⑥","6"),"⑦","7"),"⑧","8"),"⑨","9")," ",""))</f>
        <v/>
      </c>
      <c r="D25" s="429" t="n">
        <v>9981</v>
      </c>
      <c r="E25" s="428" t="n">
        <v>120.54</v>
      </c>
    </row>
    <row r="26">
      <c r="A26" s="427" t="inlineStr">
        <is>
          <t>みかんの牛乳寒天　小</t>
        </is>
      </c>
      <c r="B26" s="428" t="n">
        <v>89.36</v>
      </c>
      <c r="C26" s="427">
        <f>IF($A26="","",SUBSTITUTE(SUBSTITUTE(SUBSTITUTE(SUBSTITUTE(SUBSTITUTE(SUBSTITUTE(SUBSTITUTE(SUBSTITUTE(SUBSTITUTE(SUBSTITUTE(ASC($A26),"①","1"),"②","2"),"③","3"),"④","4"),"⑤","5"),"⑥","6"),"⑦","7"),"⑧","8"),"⑨","9")," ",""))</f>
        <v/>
      </c>
      <c r="D26" s="429" t="n">
        <v>9911</v>
      </c>
      <c r="E26" s="428" t="n">
        <v>121.43</v>
      </c>
    </row>
    <row r="27">
      <c r="A27" s="427" t="inlineStr">
        <is>
          <t>ひんやり和パフェあんみつ</t>
        </is>
      </c>
      <c r="B27" s="428" t="n">
        <v>103.99</v>
      </c>
      <c r="C27" s="427">
        <f>IF($A27="","",SUBSTITUTE(SUBSTITUTE(SUBSTITUTE(SUBSTITUTE(SUBSTITUTE(SUBSTITUTE(SUBSTITUTE(SUBSTITUTE(SUBSTITUTE(SUBSTITUTE(ASC($A27),"①","1"),"②","2"),"③","3"),"④","4"),"⑤","5"),"⑥","6"),"⑦","7"),"⑧","8"),"⑨","9")," ",""))</f>
        <v/>
      </c>
      <c r="D27" s="429" t="n">
        <v>9424</v>
      </c>
      <c r="E27" s="428" t="n">
        <v>148.43</v>
      </c>
    </row>
    <row r="28">
      <c r="A28" s="427" t="inlineStr">
        <is>
          <t>全粒粉入り湯種ロール６個</t>
        </is>
      </c>
      <c r="B28" s="428" t="n">
        <v>85.84999999999999</v>
      </c>
      <c r="C28" s="427">
        <f>IF($A28="","",SUBSTITUTE(SUBSTITUTE(SUBSTITUTE(SUBSTITUTE(SUBSTITUTE(SUBSTITUTE(SUBSTITUTE(SUBSTITUTE(SUBSTITUTE(SUBSTITUTE(ASC($A28),"①","1"),"②","2"),"③","3"),"④","4"),"⑤","5"),"⑥","6"),"⑦","7"),"⑧","8"),"⑨","9")," ",""))</f>
        <v/>
      </c>
      <c r="D28" s="429" t="n">
        <v>8162</v>
      </c>
      <c r="E28" s="428" t="n">
        <v>129.27</v>
      </c>
    </row>
    <row r="29">
      <c r="A29" s="427" t="inlineStr">
        <is>
          <t>２層仕立てのチーズケーキ</t>
        </is>
      </c>
      <c r="B29" s="428" t="n">
        <v>163.24</v>
      </c>
      <c r="C29" s="427">
        <f>IF($A29="","",SUBSTITUTE(SUBSTITUTE(SUBSTITUTE(SUBSTITUTE(SUBSTITUTE(SUBSTITUTE(SUBSTITUTE(SUBSTITUTE(SUBSTITUTE(SUBSTITUTE(ASC($A29),"①","1"),"②","2"),"③","3"),"④","4"),"⑤","5"),"⑥","6"),"⑦","7"),"⑧","8"),"⑨","9")," ",""))</f>
        <v/>
      </c>
      <c r="D29" s="429" t="n">
        <v>7174</v>
      </c>
      <c r="E29" s="428" t="n">
        <v>221.97</v>
      </c>
    </row>
    <row r="30">
      <c r="A30" s="427" t="inlineStr">
        <is>
          <t>蜜いもスイートポテト（小）</t>
        </is>
      </c>
      <c r="B30" s="428" t="n">
        <v>138.69</v>
      </c>
      <c r="C30" s="427">
        <f>IF($A30="","",SUBSTITUTE(SUBSTITUTE(SUBSTITUTE(SUBSTITUTE(SUBSTITUTE(SUBSTITUTE(SUBSTITUTE(SUBSTITUTE(SUBSTITUTE(SUBSTITUTE(ASC($A30),"①","1"),"②","2"),"③","3"),"④","4"),"⑤","5"),"⑥","6"),"⑦","7"),"⑧","8"),"⑨","9")," ",""))</f>
        <v/>
      </c>
      <c r="D30" s="429" t="n">
        <v>7067</v>
      </c>
      <c r="E30" s="428" t="n">
        <v>188.33</v>
      </c>
    </row>
    <row r="31">
      <c r="A31" s="427" t="inlineStr">
        <is>
          <t>クルンジ２個入</t>
        </is>
      </c>
      <c r="B31" s="428" t="n">
        <v>153.96</v>
      </c>
      <c r="C31" s="427">
        <f>IF($A31="","",SUBSTITUTE(SUBSTITUTE(SUBSTITUTE(SUBSTITUTE(SUBSTITUTE(SUBSTITUTE(SUBSTITUTE(SUBSTITUTE(SUBSTITUTE(SUBSTITUTE(ASC($A31),"①","1"),"②","2"),"③","3"),"④","4"),"⑤","5"),"⑥","6"),"⑦","7"),"⑧","8"),"⑨","9")," ",""))</f>
        <v/>
      </c>
      <c r="D31" s="429" t="n">
        <v>7036</v>
      </c>
      <c r="E31" s="428" t="n">
        <v>236.58</v>
      </c>
    </row>
    <row r="32">
      <c r="A32" s="427" t="inlineStr">
        <is>
          <t>自社製国産チキンカツむね２</t>
        </is>
      </c>
      <c r="B32" s="428" t="n">
        <v>1198.4</v>
      </c>
      <c r="C32" s="427">
        <f>IF($A32="","",SUBSTITUTE(SUBSTITUTE(SUBSTITUTE(SUBSTITUTE(SUBSTITUTE(SUBSTITUTE(SUBSTITUTE(SUBSTITUTE(SUBSTITUTE(SUBSTITUTE(ASC($A32),"①","1"),"②","2"),"③","3"),"④","4"),"⑤","5"),"⑥","6"),"⑦","7"),"⑧","8"),"⑨","9")," ",""))</f>
        <v/>
      </c>
      <c r="D32" s="429" t="n">
        <v>6652</v>
      </c>
      <c r="E32" s="428" t="n">
        <v>1536.41</v>
      </c>
    </row>
    <row r="33">
      <c r="A33" s="427" t="inlineStr">
        <is>
          <t>蜜いもスイートポテト</t>
        </is>
      </c>
      <c r="B33" s="428" t="n">
        <v>213.69</v>
      </c>
      <c r="C33" s="427">
        <f>IF($A33="","",SUBSTITUTE(SUBSTITUTE(SUBSTITUTE(SUBSTITUTE(SUBSTITUTE(SUBSTITUTE(SUBSTITUTE(SUBSTITUTE(SUBSTITUTE(SUBSTITUTE(ASC($A33),"①","1"),"②","2"),"③","3"),"④","4"),"⑤","5"),"⑥","6"),"⑦","7"),"⑧","8"),"⑨","9")," ",""))</f>
        <v/>
      </c>
      <c r="D33" s="429" t="n">
        <v>6474</v>
      </c>
      <c r="E33" s="428" t="n">
        <v>290.5</v>
      </c>
    </row>
    <row r="34">
      <c r="A34" s="427" t="inlineStr">
        <is>
          <t>みかんの牛乳寒天２</t>
        </is>
      </c>
      <c r="B34" s="428" t="n">
        <v>132.04</v>
      </c>
      <c r="C34" s="427">
        <f>IF($A34="","",SUBSTITUTE(SUBSTITUTE(SUBSTITUTE(SUBSTITUTE(SUBSTITUTE(SUBSTITUTE(SUBSTITUTE(SUBSTITUTE(SUBSTITUTE(SUBSTITUTE(ASC($A34),"①","1"),"②","2"),"③","3"),"④","4"),"⑤","5"),"⑥","6"),"⑦","7"),"⑧","8"),"⑨","9")," ",""))</f>
        <v/>
      </c>
      <c r="D34" s="429" t="n">
        <v>6342</v>
      </c>
      <c r="E34" s="428" t="n">
        <v>178.75</v>
      </c>
    </row>
    <row r="35">
      <c r="A35" s="427" t="inlineStr">
        <is>
          <t>自社製キャベツメンチカツ２</t>
        </is>
      </c>
      <c r="B35" s="428" t="n">
        <v>683.25</v>
      </c>
      <c r="C35" s="427">
        <f>IF($A35="","",SUBSTITUTE(SUBSTITUTE(SUBSTITUTE(SUBSTITUTE(SUBSTITUTE(SUBSTITUTE(SUBSTITUTE(SUBSTITUTE(SUBSTITUTE(SUBSTITUTE(ASC($A35),"①","1"),"②","2"),"③","3"),"④","4"),"⑤","5"),"⑥","6"),"⑦","7"),"⑧","8"),"⑨","9")," ",""))</f>
        <v/>
      </c>
      <c r="D35" s="429" t="n">
        <v>6014</v>
      </c>
      <c r="E35" s="428" t="n">
        <v>803.77</v>
      </c>
    </row>
    <row r="36">
      <c r="A36" s="427" t="inlineStr">
        <is>
          <t>肉団子ＫＩＴ（４０個）３</t>
        </is>
      </c>
      <c r="B36" s="428" t="n">
        <v>377.81</v>
      </c>
      <c r="C36" s="427">
        <f>IF($A36="","",SUBSTITUTE(SUBSTITUTE(SUBSTITUTE(SUBSTITUTE(SUBSTITUTE(SUBSTITUTE(SUBSTITUTE(SUBSTITUTE(SUBSTITUTE(SUBSTITUTE(ASC($A36),"①","1"),"②","2"),"③","3"),"④","4"),"⑤","5"),"⑥","6"),"⑦","7"),"⑧","8"),"⑨","9")," ",""))</f>
        <v/>
      </c>
      <c r="D36" s="429" t="n">
        <v>5759</v>
      </c>
      <c r="E36" s="428" t="n">
        <v>483.93</v>
      </c>
    </row>
    <row r="37">
      <c r="A37" s="427" t="inlineStr">
        <is>
          <t>国産とり天キット</t>
        </is>
      </c>
      <c r="B37" s="428" t="n">
        <v>532.2</v>
      </c>
      <c r="C37" s="427">
        <f>IF($A37="","",SUBSTITUTE(SUBSTITUTE(SUBSTITUTE(SUBSTITUTE(SUBSTITUTE(SUBSTITUTE(SUBSTITUTE(SUBSTITUTE(SUBSTITUTE(SUBSTITUTE(ASC($A37),"①","1"),"②","2"),"③","3"),"④","4"),"⑤","5"),"⑥","6"),"⑦","7"),"⑧","8"),"⑨","9")," ",""))</f>
        <v/>
      </c>
      <c r="D37" s="429" t="n">
        <v>5228</v>
      </c>
      <c r="E37" s="428" t="n">
        <v>679.58</v>
      </c>
    </row>
    <row r="38">
      <c r="A38" s="427" t="inlineStr">
        <is>
          <t>麹醤油からあげＫＩＴ５ｋ</t>
        </is>
      </c>
      <c r="B38" s="428" t="n">
        <v>3459.58</v>
      </c>
      <c r="C38" s="427">
        <f>IF($A38="","",SUBSTITUTE(SUBSTITUTE(SUBSTITUTE(SUBSTITUTE(SUBSTITUTE(SUBSTITUTE(SUBSTITUTE(SUBSTITUTE(SUBSTITUTE(SUBSTITUTE(ASC($A38),"①","1"),"②","2"),"③","3"),"④","4"),"⑤","5"),"⑥","6"),"⑦","7"),"⑧","8"),"⑨","9")," ",""))</f>
        <v/>
      </c>
      <c r="D38" s="429" t="n">
        <v>4715</v>
      </c>
      <c r="E38" s="428" t="n">
        <v>4302.72</v>
      </c>
    </row>
    <row r="39">
      <c r="A39" s="427" t="inlineStr">
        <is>
          <t>２種柑橘の杏仁プリン</t>
        </is>
      </c>
      <c r="B39" s="428" t="n">
        <v>139.36</v>
      </c>
      <c r="C39" s="427">
        <f>IF($A39="","",SUBSTITUTE(SUBSTITUTE(SUBSTITUTE(SUBSTITUTE(SUBSTITUTE(SUBSTITUTE(SUBSTITUTE(SUBSTITUTE(SUBSTITUTE(SUBSTITUTE(ASC($A39),"①","1"),"②","2"),"③","3"),"④","4"),"⑤","5"),"⑥","6"),"⑦","7"),"⑧","8"),"⑨","9")," ",""))</f>
        <v/>
      </c>
      <c r="D39" s="429" t="n">
        <v>3969</v>
      </c>
      <c r="E39" s="428" t="n">
        <v>198.39</v>
      </c>
    </row>
    <row r="40">
      <c r="A40" s="427" t="inlineStr">
        <is>
          <t>Ｓ２種ぶどうの杏仁プリン</t>
        </is>
      </c>
      <c r="B40" s="428" t="n">
        <v>189.6</v>
      </c>
      <c r="C40" s="427">
        <f>IF($A40="","",SUBSTITUTE(SUBSTITUTE(SUBSTITUTE(SUBSTITUTE(SUBSTITUTE(SUBSTITUTE(SUBSTITUTE(SUBSTITUTE(SUBSTITUTE(SUBSTITUTE(ASC($A40),"①","1"),"②","2"),"③","3"),"④","4"),"⑤","5"),"⑥","6"),"⑦","7"),"⑧","8"),"⑨","9")," ",""))</f>
        <v/>
      </c>
      <c r="D40" s="429" t="n">
        <v>3933</v>
      </c>
      <c r="E40" s="428" t="n">
        <v>269.97</v>
      </c>
    </row>
    <row r="41">
      <c r="A41" s="427" t="inlineStr">
        <is>
          <t>ミックスピザ４</t>
        </is>
      </c>
      <c r="B41" s="428" t="n">
        <v>190.51</v>
      </c>
      <c r="C41" s="427">
        <f>IF($A41="","",SUBSTITUTE(SUBSTITUTE(SUBSTITUTE(SUBSTITUTE(SUBSTITUTE(SUBSTITUTE(SUBSTITUTE(SUBSTITUTE(SUBSTITUTE(SUBSTITUTE(ASC($A41),"①","1"),"②","2"),"③","3"),"④","4"),"⑤","5"),"⑥","6"),"⑦","7"),"⑧","8"),"⑨","9")," ",""))</f>
        <v/>
      </c>
      <c r="D41" s="429" t="n">
        <v>3516</v>
      </c>
      <c r="E41" s="428" t="n">
        <v>239.22</v>
      </c>
    </row>
    <row r="42">
      <c r="A42" s="427" t="inlineStr">
        <is>
          <t>鶏むね油淋鶏ＫＩＴ</t>
        </is>
      </c>
      <c r="B42" s="428" t="n">
        <v>614.71</v>
      </c>
      <c r="C42" s="427">
        <f>IF($A42="","",SUBSTITUTE(SUBSTITUTE(SUBSTITUTE(SUBSTITUTE(SUBSTITUTE(SUBSTITUTE(SUBSTITUTE(SUBSTITUTE(SUBSTITUTE(SUBSTITUTE(ASC($A42),"①","1"),"②","2"),"③","3"),"④","4"),"⑤","5"),"⑥","6"),"⑦","7"),"⑧","8"),"⑨","9")," ",""))</f>
        <v/>
      </c>
      <c r="D42" s="429" t="n">
        <v>3249</v>
      </c>
      <c r="E42" s="428" t="n">
        <v>768.1</v>
      </c>
    </row>
    <row r="43">
      <c r="A43" s="427" t="inlineStr">
        <is>
          <t>照り焼きチキンピザＫＩＴ４</t>
        </is>
      </c>
      <c r="B43" s="428" t="n">
        <v>290</v>
      </c>
      <c r="C43" s="427">
        <f>IF($A43="","",SUBSTITUTE(SUBSTITUTE(SUBSTITUTE(SUBSTITUTE(SUBSTITUTE(SUBSTITUTE(SUBSTITUTE(SUBSTITUTE(SUBSTITUTE(SUBSTITUTE(ASC($A43),"①","1"),"②","2"),"③","3"),"④","4"),"⑤","5"),"⑥","6"),"⑦","7"),"⑧","8"),"⑨","9")," ",""))</f>
        <v/>
      </c>
      <c r="D43" s="429" t="n">
        <v>3244</v>
      </c>
      <c r="E43" s="428" t="n">
        <v>362.51</v>
      </c>
    </row>
    <row r="44">
      <c r="A44" s="427" t="inlineStr">
        <is>
          <t>塩パンＫＩＴ</t>
        </is>
      </c>
      <c r="B44" s="428" t="n">
        <v>739.8200000000001</v>
      </c>
      <c r="C44" s="427">
        <f>IF($A44="","",SUBSTITUTE(SUBSTITUTE(SUBSTITUTE(SUBSTITUTE(SUBSTITUTE(SUBSTITUTE(SUBSTITUTE(SUBSTITUTE(SUBSTITUTE(SUBSTITUTE(ASC($A44),"①","1"),"②","2"),"③","3"),"④","4"),"⑤","5"),"⑥","6"),"⑦","7"),"⑧","8"),"⑨","9")," ",""))</f>
        <v/>
      </c>
      <c r="D44" s="429" t="n">
        <v>2511</v>
      </c>
      <c r="E44" s="428" t="n">
        <v>925.03</v>
      </c>
    </row>
    <row r="45">
      <c r="A45" s="427" t="inlineStr">
        <is>
          <t>自社製白身フライ（バサ）４</t>
        </is>
      </c>
      <c r="B45" s="428" t="n">
        <v>1213</v>
      </c>
      <c r="C45" s="427">
        <f>IF($A45="","",SUBSTITUTE(SUBSTITUTE(SUBSTITUTE(SUBSTITUTE(SUBSTITUTE(SUBSTITUTE(SUBSTITUTE(SUBSTITUTE(SUBSTITUTE(SUBSTITUTE(ASC($A45),"①","1"),"②","2"),"③","3"),"④","4"),"⑤","5"),"⑥","6"),"⑦","7"),"⑧","8"),"⑨","9")," ",""))</f>
        <v/>
      </c>
      <c r="D45" s="429" t="n">
        <v>2508</v>
      </c>
      <c r="E45" s="428" t="n">
        <v>1555</v>
      </c>
    </row>
    <row r="46">
      <c r="A46" s="427" t="inlineStr">
        <is>
          <t>レモン＆ベリー食べ比べ</t>
        </is>
      </c>
      <c r="B46" s="428" t="n">
        <v>239.27</v>
      </c>
      <c r="C46" s="427">
        <f>IF($A46="","",SUBSTITUTE(SUBSTITUTE(SUBSTITUTE(SUBSTITUTE(SUBSTITUTE(SUBSTITUTE(SUBSTITUTE(SUBSTITUTE(SUBSTITUTE(SUBSTITUTE(ASC($A46),"①","1"),"②","2"),"③","3"),"④","4"),"⑤","5"),"⑥","6"),"⑦","7"),"⑧","8"),"⑨","9")," ",""))</f>
        <v/>
      </c>
      <c r="D46" s="429" t="n">
        <v>2460</v>
      </c>
      <c r="E46" s="428" t="n">
        <v>358.96</v>
      </c>
    </row>
    <row r="47">
      <c r="A47" s="427" t="inlineStr">
        <is>
          <t>砂ずり唐揚げＫＩＴ</t>
        </is>
      </c>
      <c r="B47" s="428" t="n">
        <v>594.64</v>
      </c>
      <c r="C47" s="427">
        <f>IF($A47="","",SUBSTITUTE(SUBSTITUTE(SUBSTITUTE(SUBSTITUTE(SUBSTITUTE(SUBSTITUTE(SUBSTITUTE(SUBSTITUTE(SUBSTITUTE(SUBSTITUTE(ASC($A47),"①","1"),"②","2"),"③","3"),"④","4"),"⑤","5"),"⑥","6"),"⑦","7"),"⑧","8"),"⑨","9")," ",""))</f>
        <v/>
      </c>
      <c r="D47" s="429" t="n">
        <v>2387</v>
      </c>
      <c r="E47" s="428" t="n">
        <v>749.89</v>
      </c>
    </row>
    <row r="48">
      <c r="A48" s="427" t="inlineStr">
        <is>
          <t>【店舗用】ブレンド米４Ｋ</t>
        </is>
      </c>
      <c r="B48" s="428" t="n">
        <v>10691.46</v>
      </c>
      <c r="C48" s="427">
        <f>IF($A48="","",SUBSTITUTE(SUBSTITUTE(SUBSTITUTE(SUBSTITUTE(SUBSTITUTE(SUBSTITUTE(SUBSTITUTE(SUBSTITUTE(SUBSTITUTE(SUBSTITUTE(ASC($A48),"①","1"),"②","2"),"③","3"),"④","4"),"⑤","5"),"⑥","6"),"⑦","7"),"⑧","8"),"⑨","9")," ",""))</f>
        <v/>
      </c>
      <c r="D48" s="429" t="n">
        <v>2296</v>
      </c>
      <c r="E48" s="428" t="n">
        <v>11341.46</v>
      </c>
    </row>
    <row r="49">
      <c r="A49" s="427" t="inlineStr">
        <is>
          <t>２種ぶどうの杏仁プリン</t>
        </is>
      </c>
      <c r="B49" s="428" t="n">
        <v>189.03</v>
      </c>
      <c r="C49" s="427">
        <f>IF($A49="","",SUBSTITUTE(SUBSTITUTE(SUBSTITUTE(SUBSTITUTE(SUBSTITUTE(SUBSTITUTE(SUBSTITUTE(SUBSTITUTE(SUBSTITUTE(SUBSTITUTE(ASC($A49),"①","1"),"②","2"),"③","3"),"④","4"),"⑤","5"),"⑥","6"),"⑦","7"),"⑧","8"),"⑨","9")," ",""))</f>
        <v/>
      </c>
      <c r="D49" s="429" t="n">
        <v>2181</v>
      </c>
      <c r="E49" s="428" t="n">
        <v>269.43</v>
      </c>
    </row>
    <row r="50">
      <c r="A50" s="427" t="inlineStr">
        <is>
          <t>チキン南蛮ＫＩＴ</t>
        </is>
      </c>
      <c r="B50" s="428" t="n">
        <v>1190.35</v>
      </c>
      <c r="C50" s="427">
        <f>IF($A50="","",SUBSTITUTE(SUBSTITUTE(SUBSTITUTE(SUBSTITUTE(SUBSTITUTE(SUBSTITUTE(SUBSTITUTE(SUBSTITUTE(SUBSTITUTE(SUBSTITUTE(ASC($A50),"①","1"),"②","2"),"③","3"),"④","4"),"⑤","5"),"⑥","6"),"⑦","7"),"⑧","8"),"⑨","9")," ",""))</f>
        <v/>
      </c>
      <c r="D50" s="429" t="n">
        <v>2121</v>
      </c>
      <c r="E50" s="428" t="n">
        <v>1521.55</v>
      </c>
    </row>
    <row r="51">
      <c r="A51" s="427" t="inlineStr">
        <is>
          <t>【中華】ムネ唐揚げＫＩＴ</t>
        </is>
      </c>
      <c r="B51" s="428" t="n">
        <v>1131.01</v>
      </c>
      <c r="C51" s="427">
        <f>IF($A51="","",SUBSTITUTE(SUBSTITUTE(SUBSTITUTE(SUBSTITUTE(SUBSTITUTE(SUBSTITUTE(SUBSTITUTE(SUBSTITUTE(SUBSTITUTE(SUBSTITUTE(ASC($A51),"①","1"),"②","2"),"③","3"),"④","4"),"⑤","5"),"⑥","6"),"⑦","7"),"⑧","8"),"⑨","9")," ",""))</f>
        <v/>
      </c>
      <c r="D51" s="429" t="n">
        <v>2086</v>
      </c>
      <c r="E51" s="428" t="n">
        <v>1424.03</v>
      </c>
    </row>
    <row r="52">
      <c r="A52" s="427" t="inlineStr">
        <is>
          <t>デカ麹醤油唐揚ＫＩＴ</t>
        </is>
      </c>
      <c r="B52" s="428" t="n">
        <v>1663.48</v>
      </c>
      <c r="C52" s="427">
        <f>IF($A52="","",SUBSTITUTE(SUBSTITUTE(SUBSTITUTE(SUBSTITUTE(SUBSTITUTE(SUBSTITUTE(SUBSTITUTE(SUBSTITUTE(SUBSTITUTE(SUBSTITUTE(ASC($A52),"①","1"),"②","2"),"③","3"),"④","4"),"⑤","5"),"⑥","6"),"⑦","7"),"⑧","8"),"⑨","9")," ",""))</f>
        <v/>
      </c>
      <c r="D52" s="429" t="n">
        <v>1918</v>
      </c>
      <c r="E52" s="428" t="n">
        <v>2091.04</v>
      </c>
    </row>
    <row r="53">
      <c r="A53" s="427" t="inlineStr">
        <is>
          <t>ＳメンチカツＫＩＴ</t>
        </is>
      </c>
      <c r="B53" s="428" t="n">
        <v>740.15</v>
      </c>
      <c r="C53" s="427">
        <f>IF($A53="","",SUBSTITUTE(SUBSTITUTE(SUBSTITUTE(SUBSTITUTE(SUBSTITUTE(SUBSTITUTE(SUBSTITUTE(SUBSTITUTE(SUBSTITUTE(SUBSTITUTE(ASC($A53),"①","1"),"②","2"),"③","3"),"④","4"),"⑤","5"),"⑥","6"),"⑦","7"),"⑧","8"),"⑨","9")," ",""))</f>
        <v/>
      </c>
      <c r="D53" s="429" t="n">
        <v>1880</v>
      </c>
      <c r="E53" s="428" t="n">
        <v>925.2</v>
      </c>
    </row>
    <row r="54">
      <c r="A54" s="427" t="inlineStr">
        <is>
          <t>塩パン２個</t>
        </is>
      </c>
      <c r="B54" s="428" t="n">
        <v>55.72</v>
      </c>
      <c r="C54" s="427">
        <f>IF($A54="","",SUBSTITUTE(SUBSTITUTE(SUBSTITUTE(SUBSTITUTE(SUBSTITUTE(SUBSTITUTE(SUBSTITUTE(SUBSTITUTE(SUBSTITUTE(SUBSTITUTE(ASC($A54),"①","1"),"②","2"),"③","3"),"④","4"),"⑤","5"),"⑥","6"),"⑦","7"),"⑧","8"),"⑨","9")," ",""))</f>
        <v/>
      </c>
      <c r="D54" s="429" t="n">
        <v>1648</v>
      </c>
      <c r="E54" s="428" t="n">
        <v>84.43000000000001</v>
      </c>
    </row>
    <row r="55">
      <c r="A55" s="427" t="inlineStr">
        <is>
          <t>ミニシューＢＯＸ</t>
        </is>
      </c>
      <c r="B55" s="428" t="n">
        <v>229.6</v>
      </c>
      <c r="C55" s="427">
        <f>IF($A55="","",SUBSTITUTE(SUBSTITUTE(SUBSTITUTE(SUBSTITUTE(SUBSTITUTE(SUBSTITUTE(SUBSTITUTE(SUBSTITUTE(SUBSTITUTE(SUBSTITUTE(ASC($A55),"①","1"),"②","2"),"③","3"),"④","4"),"⑤","5"),"⑥","6"),"⑦","7"),"⑧","8"),"⑨","9")," ",""))</f>
        <v/>
      </c>
      <c r="D55" s="429" t="n">
        <v>1612</v>
      </c>
      <c r="E55" s="428" t="n">
        <v>327.91</v>
      </c>
    </row>
    <row r="56">
      <c r="A56" s="427" t="inlineStr">
        <is>
          <t>ガーリックフランスＫＩＴ</t>
        </is>
      </c>
      <c r="B56" s="428" t="n">
        <v>415.18</v>
      </c>
      <c r="C56" s="427">
        <f>IF($A56="","",SUBSTITUTE(SUBSTITUTE(SUBSTITUTE(SUBSTITUTE(SUBSTITUTE(SUBSTITUTE(SUBSTITUTE(SUBSTITUTE(SUBSTITUTE(SUBSTITUTE(ASC($A56),"①","1"),"②","2"),"③","3"),"④","4"),"⑤","5"),"⑥","6"),"⑦","7"),"⑧","8"),"⑨","9")," ",""))</f>
        <v/>
      </c>
      <c r="D56" s="429" t="n">
        <v>1581</v>
      </c>
      <c r="E56" s="428" t="n">
        <v>519.6</v>
      </c>
    </row>
    <row r="57">
      <c r="A57" s="427" t="inlineStr">
        <is>
          <t>藻塩からあげＫＩＴ５Ｋ</t>
        </is>
      </c>
      <c r="B57" s="428" t="n">
        <v>3369.03</v>
      </c>
      <c r="C57" s="427">
        <f>IF($A57="","",SUBSTITUTE(SUBSTITUTE(SUBSTITUTE(SUBSTITUTE(SUBSTITUTE(SUBSTITUTE(SUBSTITUTE(SUBSTITUTE(SUBSTITUTE(SUBSTITUTE(ASC($A57),"①","1"),"②","2"),"③","3"),"④","4"),"⑤","5"),"⑥","6"),"⑦","7"),"⑧","8"),"⑨","9")," ",""))</f>
        <v/>
      </c>
      <c r="D57" s="429" t="n">
        <v>1499</v>
      </c>
      <c r="E57" s="428" t="n">
        <v>4190.02</v>
      </c>
    </row>
    <row r="58">
      <c r="A58" s="427" t="inlineStr">
        <is>
          <t>クリーム爆盛ロールケーキ大</t>
        </is>
      </c>
      <c r="B58" s="428" t="n">
        <v>290.03</v>
      </c>
      <c r="C58" s="427">
        <f>IF($A58="","",SUBSTITUTE(SUBSTITUTE(SUBSTITUTE(SUBSTITUTE(SUBSTITUTE(SUBSTITUTE(SUBSTITUTE(SUBSTITUTE(SUBSTITUTE(SUBSTITUTE(ASC($A58),"①","1"),"②","2"),"③","3"),"④","4"),"⑤","5"),"⑥","6"),"⑦","7"),"⑧","8"),"⑨","9")," ",""))</f>
        <v/>
      </c>
      <c r="D58" s="429" t="n">
        <v>1469</v>
      </c>
      <c r="E58" s="428" t="n">
        <v>412.6</v>
      </c>
    </row>
    <row r="59">
      <c r="A59" s="427" t="inlineStr">
        <is>
          <t>明太フランスパンＫＩＴ</t>
        </is>
      </c>
      <c r="B59" s="428" t="n">
        <v>349.69</v>
      </c>
      <c r="C59" s="427">
        <f>IF($A59="","",SUBSTITUTE(SUBSTITUTE(SUBSTITUTE(SUBSTITUTE(SUBSTITUTE(SUBSTITUTE(SUBSTITUTE(SUBSTITUTE(SUBSTITUTE(SUBSTITUTE(ASC($A59),"①","1"),"②","2"),"③","3"),"④","4"),"⑤","5"),"⑥","6"),"⑦","7"),"⑧","8"),"⑨","9")," ",""))</f>
        <v/>
      </c>
      <c r="D59" s="429" t="n">
        <v>1404</v>
      </c>
      <c r="E59" s="428" t="n">
        <v>437.56</v>
      </c>
    </row>
    <row r="60">
      <c r="A60" s="427" t="inlineStr">
        <is>
          <t>Ｓチキンカツ（もも）ＫＩＴ</t>
        </is>
      </c>
      <c r="B60" s="428" t="n">
        <v>1312.57</v>
      </c>
      <c r="C60" s="427">
        <f>IF($A60="","",SUBSTITUTE(SUBSTITUTE(SUBSTITUTE(SUBSTITUTE(SUBSTITUTE(SUBSTITUTE(SUBSTITUTE(SUBSTITUTE(SUBSTITUTE(SUBSTITUTE(ASC($A60),"①","1"),"②","2"),"③","3"),"④","4"),"⑤","5"),"⑥","6"),"⑦","7"),"⑧","8"),"⑨","9")," ",""))</f>
        <v/>
      </c>
      <c r="D60" s="429" t="n">
        <v>1403</v>
      </c>
      <c r="E60" s="428" t="n">
        <v>1544.85</v>
      </c>
    </row>
    <row r="61">
      <c r="A61" s="427" t="inlineStr">
        <is>
          <t>ふわもちホテルロール３個</t>
        </is>
      </c>
      <c r="B61" s="428" t="n">
        <v>39.15</v>
      </c>
      <c r="C61" s="427">
        <f>IF($A61="","",SUBSTITUTE(SUBSTITUTE(SUBSTITUTE(SUBSTITUTE(SUBSTITUTE(SUBSTITUTE(SUBSTITUTE(SUBSTITUTE(SUBSTITUTE(SUBSTITUTE(ASC($A61),"①","1"),"②","2"),"③","3"),"④","4"),"⑤","5"),"⑥","6"),"⑦","7"),"⑧","8"),"⑨","9")," ",""))</f>
        <v/>
      </c>
      <c r="D61" s="429" t="n">
        <v>1334</v>
      </c>
      <c r="E61" s="428" t="n">
        <v>58.57</v>
      </c>
    </row>
    <row r="62">
      <c r="A62" s="427" t="inlineStr">
        <is>
          <t>お芋ムースのパンナコッタ</t>
        </is>
      </c>
      <c r="B62" s="428" t="n">
        <v>143.68</v>
      </c>
      <c r="C62" s="427">
        <f>IF($A62="","",SUBSTITUTE(SUBSTITUTE(SUBSTITUTE(SUBSTITUTE(SUBSTITUTE(SUBSTITUTE(SUBSTITUTE(SUBSTITUTE(SUBSTITUTE(SUBSTITUTE(ASC($A62),"①","1"),"②","2"),"③","3"),"④","4"),"⑤","5"),"⑥","6"),"⑦","7"),"⑧","8"),"⑨","9")," ",""))</f>
        <v/>
      </c>
      <c r="D62" s="429" t="n">
        <v>1308</v>
      </c>
      <c r="E62" s="428" t="n">
        <v>205.27</v>
      </c>
    </row>
    <row r="63">
      <c r="A63" s="427" t="inlineStr">
        <is>
          <t>もちっと芋の暴れん坊</t>
        </is>
      </c>
      <c r="B63" s="428" t="n">
        <v>142.12</v>
      </c>
      <c r="C63" s="427">
        <f>IF($A63="","",SUBSTITUTE(SUBSTITUTE(SUBSTITUTE(SUBSTITUTE(SUBSTITUTE(SUBSTITUTE(SUBSTITUTE(SUBSTITUTE(SUBSTITUTE(SUBSTITUTE(ASC($A63),"①","1"),"②","2"),"③","3"),"④","4"),"⑤","5"),"⑥","6"),"⑦","7"),"⑧","8"),"⑨","9")," ",""))</f>
        <v/>
      </c>
      <c r="D63" s="429" t="n">
        <v>1307</v>
      </c>
      <c r="E63" s="428" t="n">
        <v>203.02</v>
      </c>
    </row>
    <row r="64">
      <c r="A64" s="427" t="inlineStr">
        <is>
          <t>チーズ塩パン２個</t>
        </is>
      </c>
      <c r="B64" s="428" t="n">
        <v>77.39</v>
      </c>
      <c r="C64" s="427">
        <f>IF($A64="","",SUBSTITUTE(SUBSTITUTE(SUBSTITUTE(SUBSTITUTE(SUBSTITUTE(SUBSTITUTE(SUBSTITUTE(SUBSTITUTE(SUBSTITUTE(SUBSTITUTE(ASC($A64),"①","1"),"②","2"),"③","3"),"④","4"),"⑤","5"),"⑥","6"),"⑦","7"),"⑧","8"),"⑨","9")," ",""))</f>
        <v/>
      </c>
      <c r="D64" s="429" t="n">
        <v>1296</v>
      </c>
      <c r="E64" s="428" t="n">
        <v>117.2</v>
      </c>
    </row>
    <row r="65">
      <c r="A65" s="427" t="inlineStr">
        <is>
          <t>照焼きチキンＫＩＴ２</t>
        </is>
      </c>
      <c r="B65" s="428" t="n">
        <v>1451.76</v>
      </c>
      <c r="C65" s="427">
        <f>IF($A65="","",SUBSTITUTE(SUBSTITUTE(SUBSTITUTE(SUBSTITUTE(SUBSTITUTE(SUBSTITUTE(SUBSTITUTE(SUBSTITUTE(SUBSTITUTE(SUBSTITUTE(ASC($A65),"①","1"),"②","2"),"③","3"),"④","4"),"⑤","5"),"⑥","6"),"⑦","7"),"⑧","8"),"⑨","9")," ",""))</f>
        <v/>
      </c>
      <c r="D65" s="429" t="n">
        <v>1204</v>
      </c>
      <c r="E65" s="428" t="n">
        <v>1825.1</v>
      </c>
    </row>
    <row r="66">
      <c r="A66" s="427" t="inlineStr">
        <is>
          <t>パキっとろっお芋ティラミス</t>
        </is>
      </c>
      <c r="B66" s="428" t="n">
        <v>127.46</v>
      </c>
      <c r="C66" s="427">
        <f>IF($A66="","",SUBSTITUTE(SUBSTITUTE(SUBSTITUTE(SUBSTITUTE(SUBSTITUTE(SUBSTITUTE(SUBSTITUTE(SUBSTITUTE(SUBSTITUTE(SUBSTITUTE(ASC($A66),"①","1"),"②","2"),"③","3"),"④","4"),"⑤","5"),"⑥","6"),"⑦","7"),"⑧","8"),"⑨","9")," ",""))</f>
        <v/>
      </c>
      <c r="D66" s="429" t="n">
        <v>1123</v>
      </c>
      <c r="E66" s="428" t="n">
        <v>181.87</v>
      </c>
    </row>
    <row r="67">
      <c r="A67" s="427" t="inlineStr">
        <is>
          <t>自社製コロッケＫＩＴ４</t>
        </is>
      </c>
      <c r="B67" s="428" t="n">
        <v>492.96</v>
      </c>
      <c r="C67" s="427">
        <f>IF($A67="","",SUBSTITUTE(SUBSTITUTE(SUBSTITUTE(SUBSTITUTE(SUBSTITUTE(SUBSTITUTE(SUBSTITUTE(SUBSTITUTE(SUBSTITUTE(SUBSTITUTE(ASC($A67),"①","1"),"②","2"),"③","3"),"④","4"),"⑤","5"),"⑥","6"),"⑦","7"),"⑧","8"),"⑨","9")," ",""))</f>
        <v/>
      </c>
      <c r="D67" s="429" t="n">
        <v>1121</v>
      </c>
      <c r="E67" s="428" t="n">
        <v>631.96</v>
      </c>
    </row>
    <row r="68">
      <c r="A68" s="427" t="inlineStr">
        <is>
          <t>ごま団子ＫＩＴ</t>
        </is>
      </c>
      <c r="B68" s="428" t="n">
        <v>623.73</v>
      </c>
      <c r="C68" s="427">
        <f>IF($A68="","",SUBSTITUTE(SUBSTITUTE(SUBSTITUTE(SUBSTITUTE(SUBSTITUTE(SUBSTITUTE(SUBSTITUTE(SUBSTITUTE(SUBSTITUTE(SUBSTITUTE(ASC($A68),"①","1"),"②","2"),"③","3"),"④","4"),"⑤","5"),"⑥","6"),"⑦","7"),"⑧","8"),"⑨","9")," ",""))</f>
        <v/>
      </c>
      <c r="D68" s="429" t="n">
        <v>1086</v>
      </c>
      <c r="E68" s="428" t="n">
        <v>778.79</v>
      </c>
    </row>
    <row r="69">
      <c r="A69" s="427" t="inlineStr">
        <is>
          <t>チキン南蛮用（むね肉）</t>
        </is>
      </c>
      <c r="B69" s="428" t="n">
        <v>964.45</v>
      </c>
      <c r="C69" s="427">
        <f>IF($A69="","",SUBSTITUTE(SUBSTITUTE(SUBSTITUTE(SUBSTITUTE(SUBSTITUTE(SUBSTITUTE(SUBSTITUTE(SUBSTITUTE(SUBSTITUTE(SUBSTITUTE(ASC($A69),"①","1"),"②","2"),"③","3"),"④","4"),"⑤","5"),"⑥","6"),"⑦","7"),"⑧","8"),"⑨","9")," ",""))</f>
        <v/>
      </c>
      <c r="D69" s="429" t="n">
        <v>1036</v>
      </c>
      <c r="E69" s="428" t="n">
        <v>1204.86</v>
      </c>
    </row>
    <row r="70">
      <c r="A70" s="427" t="inlineStr">
        <is>
          <t>素材を感じる焼き芋ロール</t>
        </is>
      </c>
      <c r="B70" s="428" t="n">
        <v>220.71</v>
      </c>
      <c r="C70" s="427">
        <f>IF($A70="","",SUBSTITUTE(SUBSTITUTE(SUBSTITUTE(SUBSTITUTE(SUBSTITUTE(SUBSTITUTE(SUBSTITUTE(SUBSTITUTE(SUBSTITUTE(SUBSTITUTE(ASC($A70),"①","1"),"②","2"),"③","3"),"④","4"),"⑤","5"),"⑥","6"),"⑦","7"),"⑧","8"),"⑨","9")," ",""))</f>
        <v/>
      </c>
      <c r="D70" s="429" t="n">
        <v>1032</v>
      </c>
      <c r="E70" s="428" t="n">
        <v>315.33</v>
      </c>
    </row>
    <row r="71">
      <c r="A71" s="427" t="inlineStr">
        <is>
          <t>Ｓ砂ずり唐揚げＫＩＴブラ産</t>
        </is>
      </c>
      <c r="B71" s="428" t="n">
        <v>621.09</v>
      </c>
      <c r="C71" s="427">
        <f>IF($A71="","",SUBSTITUTE(SUBSTITUTE(SUBSTITUTE(SUBSTITUTE(SUBSTITUTE(SUBSTITUTE(SUBSTITUTE(SUBSTITUTE(SUBSTITUTE(SUBSTITUTE(ASC($A71),"①","1"),"②","2"),"③","3"),"④","4"),"⑤","5"),"⑥","6"),"⑦","7"),"⑧","8"),"⑨","9")," ",""))</f>
        <v/>
      </c>
      <c r="D71" s="429" t="n">
        <v>1020</v>
      </c>
      <c r="E71" s="428" t="n">
        <v>776.34</v>
      </c>
    </row>
    <row r="72">
      <c r="A72" s="427" t="inlineStr">
        <is>
          <t>Ｓふわもちホテルロール８個</t>
        </is>
      </c>
      <c r="B72" s="428" t="n">
        <v>88.65000000000001</v>
      </c>
      <c r="C72" s="427">
        <f>IF($A72="","",SUBSTITUTE(SUBSTITUTE(SUBSTITUTE(SUBSTITUTE(SUBSTITUTE(SUBSTITUTE(SUBSTITUTE(SUBSTITUTE(SUBSTITUTE(SUBSTITUTE(ASC($A72),"①","1"),"②","2"),"③","3"),"④","4"),"⑤","5"),"⑥","6"),"⑦","7"),"⑧","8"),"⑨","9")," ",""))</f>
        <v/>
      </c>
      <c r="D72" s="429" t="n">
        <v>964</v>
      </c>
      <c r="E72" s="428" t="n">
        <v>134.32</v>
      </c>
    </row>
    <row r="73">
      <c r="A73" s="427" t="inlineStr">
        <is>
          <t>Ｓ全粒粉入り湯種ロール６個</t>
        </is>
      </c>
      <c r="B73" s="428" t="n">
        <v>85.84</v>
      </c>
      <c r="C73" s="427">
        <f>IF($A73="","",SUBSTITUTE(SUBSTITUTE(SUBSTITUTE(SUBSTITUTE(SUBSTITUTE(SUBSTITUTE(SUBSTITUTE(SUBSTITUTE(SUBSTITUTE(SUBSTITUTE(ASC($A73),"①","1"),"②","2"),"③","3"),"④","4"),"⑤","5"),"⑥","6"),"⑦","7"),"⑧","8"),"⑨","9")," ",""))</f>
        <v/>
      </c>
      <c r="D73" s="429" t="n">
        <v>864</v>
      </c>
      <c r="E73" s="428" t="n">
        <v>129.26</v>
      </c>
    </row>
    <row r="74">
      <c r="A74" s="427" t="inlineStr">
        <is>
          <t>鶏皮唐揚げＫＩＴ</t>
        </is>
      </c>
      <c r="B74" s="428" t="n">
        <v>301.07</v>
      </c>
      <c r="C74" s="427">
        <f>IF($A74="","",SUBSTITUTE(SUBSTITUTE(SUBSTITUTE(SUBSTITUTE(SUBSTITUTE(SUBSTITUTE(SUBSTITUTE(SUBSTITUTE(SUBSTITUTE(SUBSTITUTE(ASC($A74),"①","1"),"②","2"),"③","3"),"④","4"),"⑤","5"),"⑥","6"),"⑦","7"),"⑧","8"),"⑨","9")," ",""))</f>
        <v/>
      </c>
      <c r="D74" s="429" t="n">
        <v>835</v>
      </c>
      <c r="E74" s="428" t="n">
        <v>385.07</v>
      </c>
    </row>
    <row r="75">
      <c r="A75" s="427" t="inlineStr">
        <is>
          <t>明太フィリングＫＩＴ</t>
        </is>
      </c>
      <c r="B75" s="428" t="n">
        <v>1566.33</v>
      </c>
      <c r="C75" s="427">
        <f>IF($A75="","",SUBSTITUTE(SUBSTITUTE(SUBSTITUTE(SUBSTITUTE(SUBSTITUTE(SUBSTITUTE(SUBSTITUTE(SUBSTITUTE(SUBSTITUTE(SUBSTITUTE(ASC($A75),"①","1"),"②","2"),"③","3"),"④","4"),"⑤","5"),"⑥","6"),"⑦","7"),"⑧","8"),"⑨","9")," ",""))</f>
        <v/>
      </c>
      <c r="D75" s="429" t="n">
        <v>819</v>
      </c>
      <c r="E75" s="428" t="n">
        <v>1959.33</v>
      </c>
    </row>
    <row r="76">
      <c r="A76" s="427" t="inlineStr">
        <is>
          <t>全粒粉入り湯種ロール３個</t>
        </is>
      </c>
      <c r="B76" s="428" t="n">
        <v>45.81</v>
      </c>
      <c r="C76" s="427">
        <f>IF($A76="","",SUBSTITUTE(SUBSTITUTE(SUBSTITUTE(SUBSTITUTE(SUBSTITUTE(SUBSTITUTE(SUBSTITUTE(SUBSTITUTE(SUBSTITUTE(SUBSTITUTE(ASC($A76),"①","1"),"②","2"),"③","3"),"④","4"),"⑤","5"),"⑥","6"),"⑦","7"),"⑧","8"),"⑨","9")," ",""))</f>
        <v/>
      </c>
      <c r="D76" s="429" t="n">
        <v>767</v>
      </c>
      <c r="E76" s="428" t="n">
        <v>69.3</v>
      </c>
    </row>
    <row r="77">
      <c r="A77" s="427" t="inlineStr">
        <is>
          <t>メロン塩パンＫＩＴ</t>
        </is>
      </c>
      <c r="B77" s="428" t="n">
        <v>1050.34</v>
      </c>
      <c r="C77" s="427">
        <f>IF($A77="","",SUBSTITUTE(SUBSTITUTE(SUBSTITUTE(SUBSTITUTE(SUBSTITUTE(SUBSTITUTE(SUBSTITUTE(SUBSTITUTE(SUBSTITUTE(SUBSTITUTE(ASC($A77),"①","1"),"②","2"),"③","3"),"④","4"),"⑤","5"),"⑥","6"),"⑦","7"),"⑧","8"),"⑨","9")," ",""))</f>
        <v/>
      </c>
      <c r="D77" s="429" t="n">
        <v>754</v>
      </c>
      <c r="E77" s="428" t="n">
        <v>1313.03</v>
      </c>
    </row>
    <row r="78">
      <c r="A78" s="427" t="inlineStr">
        <is>
          <t>豚ももスライスＫＩＴ</t>
        </is>
      </c>
      <c r="B78" s="428" t="n">
        <v>1016.36</v>
      </c>
      <c r="C78" s="427">
        <f>IF($A78="","",SUBSTITUTE(SUBSTITUTE(SUBSTITUTE(SUBSTITUTE(SUBSTITUTE(SUBSTITUTE(SUBSTITUTE(SUBSTITUTE(SUBSTITUTE(SUBSTITUTE(ASC($A78),"①","1"),"②","2"),"③","3"),"④","4"),"⑤","5"),"⑥","6"),"⑦","7"),"⑧","8"),"⑨","9")," ",""))</f>
        <v/>
      </c>
      <c r="D78" s="429" t="n">
        <v>689</v>
      </c>
      <c r="E78" s="428" t="n">
        <v>1269.85</v>
      </c>
    </row>
    <row r="79">
      <c r="A79" s="427" t="inlineStr">
        <is>
          <t>Ｓ素材を感じる焼き芋ロール</t>
        </is>
      </c>
      <c r="B79" s="428" t="n">
        <v>220.72</v>
      </c>
      <c r="C79" s="427">
        <f>IF($A79="","",SUBSTITUTE(SUBSTITUTE(SUBSTITUTE(SUBSTITUTE(SUBSTITUTE(SUBSTITUTE(SUBSTITUTE(SUBSTITUTE(SUBSTITUTE(SUBSTITUTE(ASC($A79),"①","1"),"②","2"),"③","3"),"④","4"),"⑤","5"),"⑥","6"),"⑦","7"),"⑧","8"),"⑨","9")," ",""))</f>
        <v/>
      </c>
      <c r="D79" s="429" t="n">
        <v>616</v>
      </c>
      <c r="E79" s="428" t="n">
        <v>315.31</v>
      </c>
    </row>
    <row r="80">
      <c r="A80" s="427" t="inlineStr">
        <is>
          <t>串なし焼き鳥ＫＩＴ</t>
        </is>
      </c>
      <c r="B80" s="428" t="n">
        <v>1405.71</v>
      </c>
      <c r="C80" s="427">
        <f>IF($A80="","",SUBSTITUTE(SUBSTITUTE(SUBSTITUTE(SUBSTITUTE(SUBSTITUTE(SUBSTITUTE(SUBSTITUTE(SUBSTITUTE(SUBSTITUTE(SUBSTITUTE(ASC($A80),"①","1"),"②","2"),"③","3"),"④","4"),"⑤","5"),"⑥","6"),"⑦","7"),"⑧","8"),"⑨","9")," ",""))</f>
        <v/>
      </c>
      <c r="D80" s="429" t="n">
        <v>613</v>
      </c>
      <c r="E80" s="428" t="n">
        <v>1747.65</v>
      </c>
    </row>
    <row r="81">
      <c r="A81" s="427" t="inlineStr">
        <is>
          <t>Ｓもちっと芋の暴れん坊</t>
        </is>
      </c>
      <c r="B81" s="428" t="n">
        <v>142.12</v>
      </c>
      <c r="C81" s="427">
        <f>IF($A81="","",SUBSTITUTE(SUBSTITUTE(SUBSTITUTE(SUBSTITUTE(SUBSTITUTE(SUBSTITUTE(SUBSTITUTE(SUBSTITUTE(SUBSTITUTE(SUBSTITUTE(ASC($A81),"①","1"),"②","2"),"③","3"),"④","4"),"⑤","5"),"⑥","6"),"⑦","7"),"⑧","8"),"⑨","9")," ",""))</f>
        <v/>
      </c>
      <c r="D81" s="429" t="n">
        <v>612</v>
      </c>
      <c r="E81" s="428" t="n">
        <v>203.05</v>
      </c>
    </row>
    <row r="82">
      <c r="A82" s="427" t="inlineStr">
        <is>
          <t>２５自社製焼豚（生）ＫＩＴ</t>
        </is>
      </c>
      <c r="B82" s="428" t="n">
        <v>887.28</v>
      </c>
      <c r="C82" s="427">
        <f>IF($A82="","",SUBSTITUTE(SUBSTITUTE(SUBSTITUTE(SUBSTITUTE(SUBSTITUTE(SUBSTITUTE(SUBSTITUTE(SUBSTITUTE(SUBSTITUTE(SUBSTITUTE(ASC($A82),"①","1"),"②","2"),"③","3"),"④","4"),"⑤","5"),"⑥","6"),"⑦","7"),"⑧","8"),"⑨","9")," ",""))</f>
        <v/>
      </c>
      <c r="D82" s="429" t="n">
        <v>589</v>
      </c>
      <c r="E82" s="428" t="n">
        <v>1108.58</v>
      </c>
    </row>
    <row r="83">
      <c r="A83" s="427" t="inlineStr">
        <is>
          <t>ハンバーグキット１０００４</t>
        </is>
      </c>
      <c r="B83" s="428" t="n">
        <v>788.75</v>
      </c>
      <c r="C83" s="427">
        <f>IF($A83="","",SUBSTITUTE(SUBSTITUTE(SUBSTITUTE(SUBSTITUTE(SUBSTITUTE(SUBSTITUTE(SUBSTITUTE(SUBSTITUTE(SUBSTITUTE(SUBSTITUTE(ASC($A83),"①","1"),"②","2"),"③","3"),"④","4"),"⑤","5"),"⑥","6"),"⑦","7"),"⑧","8"),"⑨","9")," ",""))</f>
        <v/>
      </c>
      <c r="D83" s="429" t="n">
        <v>560</v>
      </c>
      <c r="E83" s="428" t="n">
        <v>1010.75</v>
      </c>
    </row>
    <row r="84">
      <c r="A84" s="427" t="inlineStr">
        <is>
          <t>厚切りとんかつＫＩＴ２</t>
        </is>
      </c>
      <c r="B84" s="428" t="n">
        <v>1570.38</v>
      </c>
      <c r="C84" s="427">
        <f>IF($A84="","",SUBSTITUTE(SUBSTITUTE(SUBSTITUTE(SUBSTITUTE(SUBSTITUTE(SUBSTITUTE(SUBSTITUTE(SUBSTITUTE(SUBSTITUTE(SUBSTITUTE(ASC($A84),"①","1"),"②","2"),"③","3"),"④","4"),"⑤","5"),"⑥","6"),"⑦","7"),"⑧","8"),"⑨","9")," ",""))</f>
        <v/>
      </c>
      <c r="D84" s="429" t="n">
        <v>545</v>
      </c>
      <c r="E84" s="428" t="n">
        <v>2009.52</v>
      </c>
    </row>
    <row r="85">
      <c r="A85" s="427" t="inlineStr">
        <is>
          <t>国産フライドチキンＫＩＴ</t>
        </is>
      </c>
      <c r="B85" s="428" t="n">
        <v>817</v>
      </c>
      <c r="C85" s="427">
        <f>IF($A85="","",SUBSTITUTE(SUBSTITUTE(SUBSTITUTE(SUBSTITUTE(SUBSTITUTE(SUBSTITUTE(SUBSTITUTE(SUBSTITUTE(SUBSTITUTE(SUBSTITUTE(ASC($A85),"①","1"),"②","2"),"③","3"),"④","4"),"⑤","5"),"⑥","6"),"⑦","7"),"⑧","8"),"⑨","9")," ",""))</f>
        <v/>
      </c>
      <c r="D85" s="429" t="n">
        <v>541</v>
      </c>
      <c r="E85" s="428" t="n">
        <v>1046.07</v>
      </c>
    </row>
    <row r="86">
      <c r="A86" s="427" t="inlineStr">
        <is>
          <t>あんこＫＩＴ　１ｋｇ</t>
        </is>
      </c>
      <c r="B86" s="428" t="n">
        <v>406.33</v>
      </c>
      <c r="C86" s="427">
        <f>IF($A86="","",SUBSTITUTE(SUBSTITUTE(SUBSTITUTE(SUBSTITUTE(SUBSTITUTE(SUBSTITUTE(SUBSTITUTE(SUBSTITUTE(SUBSTITUTE(SUBSTITUTE(ASC($A86),"①","1"),"②","2"),"③","3"),"④","4"),"⑤","5"),"⑥","6"),"⑦","7"),"⑧","8"),"⑨","9")," ",""))</f>
        <v/>
      </c>
      <c r="D86" s="429" t="n">
        <v>457</v>
      </c>
      <c r="E86" s="428" t="n">
        <v>507.8</v>
      </c>
    </row>
    <row r="87">
      <c r="A87" s="427" t="inlineStr">
        <is>
          <t>Ｓふわもちホテルロール１６</t>
        </is>
      </c>
      <c r="B87" s="428" t="n">
        <v>171.1</v>
      </c>
      <c r="C87" s="427">
        <f>IF($A87="","",SUBSTITUTE(SUBSTITUTE(SUBSTITUTE(SUBSTITUTE(SUBSTITUTE(SUBSTITUTE(SUBSTITUTE(SUBSTITUTE(SUBSTITUTE(SUBSTITUTE(ASC($A87),"①","1"),"②","2"),"③","3"),"④","4"),"⑤","5"),"⑥","6"),"⑦","7"),"⑧","8"),"⑨","9")," ",""))</f>
        <v/>
      </c>
      <c r="D87" s="429" t="n">
        <v>448</v>
      </c>
      <c r="E87" s="428" t="n">
        <v>259.25</v>
      </c>
    </row>
    <row r="88">
      <c r="A88" s="427" t="inlineStr">
        <is>
          <t>福島生姜焼きＫＩＴ</t>
        </is>
      </c>
      <c r="B88" s="428" t="n">
        <v>1193.35</v>
      </c>
      <c r="C88" s="427">
        <f>IF($A88="","",SUBSTITUTE(SUBSTITUTE(SUBSTITUTE(SUBSTITUTE(SUBSTITUTE(SUBSTITUTE(SUBSTITUTE(SUBSTITUTE(SUBSTITUTE(SUBSTITUTE(ASC($A88),"①","1"),"②","2"),"③","3"),"④","4"),"⑤","5"),"⑥","6"),"⑦","7"),"⑧","8"),"⑨","9")," ",""))</f>
        <v/>
      </c>
      <c r="D88" s="429" t="n">
        <v>405</v>
      </c>
      <c r="E88" s="428" t="n">
        <v>1496.42</v>
      </c>
    </row>
    <row r="89">
      <c r="A89" s="427" t="inlineStr">
        <is>
          <t>こはく本舗ハンバーグＫＩＴ</t>
        </is>
      </c>
      <c r="B89" s="428" t="n">
        <v>1067.68</v>
      </c>
      <c r="C89" s="427">
        <f>IF($A89="","",SUBSTITUTE(SUBSTITUTE(SUBSTITUTE(SUBSTITUTE(SUBSTITUTE(SUBSTITUTE(SUBSTITUTE(SUBSTITUTE(SUBSTITUTE(SUBSTITUTE(ASC($A89),"①","1"),"②","2"),"③","3"),"④","4"),"⑤","5"),"⑥","6"),"⑦","7"),"⑧","8"),"⑨","9")," ",""))</f>
        <v/>
      </c>
      <c r="D89" s="429" t="n">
        <v>405</v>
      </c>
      <c r="E89" s="428" t="n">
        <v>1334.6</v>
      </c>
    </row>
    <row r="90">
      <c r="A90" s="427" t="inlineStr">
        <is>
          <t>ホテルブレッド生地ＫＩＴ</t>
        </is>
      </c>
      <c r="B90" s="428" t="n">
        <v>1933.99</v>
      </c>
      <c r="C90" s="427">
        <f>IF($A90="","",SUBSTITUTE(SUBSTITUTE(SUBSTITUTE(SUBSTITUTE(SUBSTITUTE(SUBSTITUTE(SUBSTITUTE(SUBSTITUTE(SUBSTITUTE(SUBSTITUTE(ASC($A90),"①","1"),"②","2"),"③","3"),"④","4"),"⑤","5"),"⑥","6"),"⑦","7"),"⑧","8"),"⑨","9")," ",""))</f>
        <v/>
      </c>
      <c r="D90" s="429" t="n">
        <v>400</v>
      </c>
      <c r="E90" s="428" t="n">
        <v>2412.91</v>
      </c>
    </row>
    <row r="91">
      <c r="A91" s="427" t="inlineStr">
        <is>
          <t>販促シール　かつ重帯シール</t>
        </is>
      </c>
      <c r="B91" s="428" t="n">
        <v>1</v>
      </c>
      <c r="C91" s="427">
        <f>IF($A91="","",SUBSTITUTE(SUBSTITUTE(SUBSTITUTE(SUBSTITUTE(SUBSTITUTE(SUBSTITUTE(SUBSTITUTE(SUBSTITUTE(SUBSTITUTE(SUBSTITUTE(ASC($A91),"①","1"),"②","2"),"③","3"),"④","4"),"⑤","5"),"⑥","6"),"⑦","7"),"⑧","8"),"⑨","9")," ",""))</f>
        <v/>
      </c>
      <c r="D91" s="429" t="n">
        <v>306</v>
      </c>
      <c r="E91" s="428" t="n">
        <v>2</v>
      </c>
    </row>
    <row r="92">
      <c r="A92" s="427" t="inlineStr">
        <is>
          <t>バタールＫＩＴ</t>
        </is>
      </c>
      <c r="B92" s="428" t="n">
        <v>418</v>
      </c>
      <c r="C92" s="427">
        <f>IF($A92="","",SUBSTITUTE(SUBSTITUTE(SUBSTITUTE(SUBSTITUTE(SUBSTITUTE(SUBSTITUTE(SUBSTITUTE(SUBSTITUTE(SUBSTITUTE(SUBSTITUTE(ASC($A92),"①","1"),"②","2"),"③","3"),"④","4"),"⑤","5"),"⑥","6"),"⑦","7"),"⑧","8"),"⑨","9")," ",""))</f>
        <v/>
      </c>
      <c r="D92" s="429" t="n">
        <v>291</v>
      </c>
      <c r="E92" s="428" t="n">
        <v>536</v>
      </c>
    </row>
    <row r="93">
      <c r="A93" s="427" t="inlineStr">
        <is>
          <t>たっぷりトマトピザＫＩＴ</t>
        </is>
      </c>
      <c r="B93" s="428" t="n">
        <v>173.65</v>
      </c>
      <c r="C93" s="427">
        <f>IF($A93="","",SUBSTITUTE(SUBSTITUTE(SUBSTITUTE(SUBSTITUTE(SUBSTITUTE(SUBSTITUTE(SUBSTITUTE(SUBSTITUTE(SUBSTITUTE(SUBSTITUTE(ASC($A93),"①","1"),"②","2"),"③","3"),"④","4"),"⑤","5"),"⑥","6"),"⑦","7"),"⑧","8"),"⑨","9")," ",""))</f>
        <v/>
      </c>
      <c r="D93" s="429" t="n">
        <v>273</v>
      </c>
      <c r="E93" s="428" t="n">
        <v>218.65</v>
      </c>
    </row>
    <row r="94">
      <c r="A94" s="427" t="inlineStr">
        <is>
          <t>賑わいフルーツみるくプリン</t>
        </is>
      </c>
      <c r="B94" s="428" t="n">
        <v>1013.03</v>
      </c>
      <c r="C94" s="427">
        <f>IF($A94="","",SUBSTITUTE(SUBSTITUTE(SUBSTITUTE(SUBSTITUTE(SUBSTITUTE(SUBSTITUTE(SUBSTITUTE(SUBSTITUTE(SUBSTITUTE(SUBSTITUTE(ASC($A94),"①","1"),"②","2"),"③","3"),"④","4"),"⑤","5"),"⑥","6"),"⑦","7"),"⑧","8"),"⑨","9")," ",""))</f>
        <v/>
      </c>
      <c r="D94" s="429" t="n">
        <v>130</v>
      </c>
      <c r="E94" s="428" t="n">
        <v>1444.88</v>
      </c>
    </row>
    <row r="95">
      <c r="A95" s="427" t="inlineStr">
        <is>
          <t>Ｓメロン塩パン２個入</t>
        </is>
      </c>
      <c r="B95" s="428" t="n">
        <v>111.5</v>
      </c>
      <c r="C95" s="427">
        <f>IF($A95="","",SUBSTITUTE(SUBSTITUTE(SUBSTITUTE(SUBSTITUTE(SUBSTITUTE(SUBSTITUTE(SUBSTITUTE(SUBSTITUTE(SUBSTITUTE(SUBSTITUTE(ASC($A95),"①","1"),"②","2"),"③","3"),"④","4"),"⑤","5"),"⑥","6"),"⑦","7"),"⑧","8"),"⑨","9")," ",""))</f>
        <v/>
      </c>
      <c r="D95" s="429" t="n">
        <v>100</v>
      </c>
      <c r="E95" s="428" t="n">
        <v>168.31</v>
      </c>
    </row>
    <row r="96">
      <c r="A96" s="427" t="inlineStr">
        <is>
          <t>Ｓ蜜いもスイートポテト小</t>
        </is>
      </c>
      <c r="B96" s="428" t="n">
        <v>137</v>
      </c>
      <c r="C96" s="427">
        <f>IF($A96="","",SUBSTITUTE(SUBSTITUTE(SUBSTITUTE(SUBSTITUTE(SUBSTITUTE(SUBSTITUTE(SUBSTITUTE(SUBSTITUTE(SUBSTITUTE(SUBSTITUTE(ASC($A96),"①","1"),"②","2"),"③","3"),"④","4"),"⑤","5"),"⑥","6"),"⑦","7"),"⑧","8"),"⑨","9")," ",""))</f>
        <v/>
      </c>
      <c r="D96" s="429" t="n">
        <v>75</v>
      </c>
      <c r="E96" s="428" t="n">
        <v>186.83</v>
      </c>
    </row>
    <row r="97">
      <c r="A97" s="427" t="inlineStr">
        <is>
          <t>ホテルロールＫＩＴ　４０個</t>
        </is>
      </c>
      <c r="B97" s="428" t="n">
        <v>408</v>
      </c>
      <c r="C97" s="427">
        <f>IF($A97="","",SUBSTITUTE(SUBSTITUTE(SUBSTITUTE(SUBSTITUTE(SUBSTITUTE(SUBSTITUTE(SUBSTITUTE(SUBSTITUTE(SUBSTITUTE(SUBSTITUTE(ASC($A97),"①","1"),"②","2"),"③","3"),"④","4"),"⑤","5"),"⑥","6"),"⑦","7"),"⑧","8"),"⑨","9")," ",""))</f>
        <v/>
      </c>
      <c r="D97" s="429" t="n">
        <v>67</v>
      </c>
      <c r="E97" s="428" t="n">
        <v>510.09</v>
      </c>
    </row>
    <row r="98">
      <c r="A98" s="427" t="inlineStr">
        <is>
          <t>たっぷりシェアシュー１８</t>
        </is>
      </c>
      <c r="B98" s="428" t="n">
        <v>452.15</v>
      </c>
      <c r="C98" s="427">
        <f>IF($A98="","",SUBSTITUTE(SUBSTITUTE(SUBSTITUTE(SUBSTITUTE(SUBSTITUTE(SUBSTITUTE(SUBSTITUTE(SUBSTITUTE(SUBSTITUTE(SUBSTITUTE(ASC($A98),"①","1"),"②","2"),"③","3"),"④","4"),"⑤","5"),"⑥","6"),"⑦","7"),"⑧","8"),"⑨","9")," ",""))</f>
        <v/>
      </c>
      <c r="D98" s="429" t="n">
        <v>60</v>
      </c>
      <c r="E98" s="428" t="n">
        <v>579.5</v>
      </c>
    </row>
    <row r="99">
      <c r="A99" s="427" t="inlineStr">
        <is>
          <t>スペアリブＫＩＴ</t>
        </is>
      </c>
      <c r="B99" s="428" t="n">
        <v>3122.05</v>
      </c>
      <c r="C99" s="427">
        <f>IF($A99="","",SUBSTITUTE(SUBSTITUTE(SUBSTITUTE(SUBSTITUTE(SUBSTITUTE(SUBSTITUTE(SUBSTITUTE(SUBSTITUTE(SUBSTITUTE(SUBSTITUTE(ASC($A99),"①","1"),"②","2"),"③","3"),"④","4"),"⑤","5"),"⑥","6"),"⑦","7"),"⑧","8"),"⑨","9")," ",""))</f>
        <v/>
      </c>
      <c r="D99" s="429" t="n">
        <v>44</v>
      </c>
      <c r="E99" s="428" t="n">
        <v>4003</v>
      </c>
    </row>
    <row r="100">
      <c r="A100" s="427" t="inlineStr">
        <is>
          <t>南蛮（生もも）１０枚ＫＩＴ</t>
        </is>
      </c>
      <c r="B100" s="428" t="n">
        <v>948</v>
      </c>
      <c r="C100" s="427">
        <f>IF($A100="","",SUBSTITUTE(SUBSTITUTE(SUBSTITUTE(SUBSTITUTE(SUBSTITUTE(SUBSTITUTE(SUBSTITUTE(SUBSTITUTE(SUBSTITUTE(SUBSTITUTE(ASC($A100),"①","1"),"②","2"),"③","3"),"④","4"),"⑤","5"),"⑥","6"),"⑦","7"),"⑧","8"),"⑨","9")," ",""))</f>
        <v/>
      </c>
      <c r="D100" s="429" t="n">
        <v>31</v>
      </c>
      <c r="E100" s="428" t="n">
        <v>1203</v>
      </c>
    </row>
    <row r="101">
      <c r="A101" s="427" t="inlineStr">
        <is>
          <t>販促シール　焼きそば</t>
        </is>
      </c>
      <c r="B101" s="428" t="n">
        <v>1</v>
      </c>
      <c r="C101" s="427">
        <f>IF($A101="","",SUBSTITUTE(SUBSTITUTE(SUBSTITUTE(SUBSTITUTE(SUBSTITUTE(SUBSTITUTE(SUBSTITUTE(SUBSTITUTE(SUBSTITUTE(SUBSTITUTE(ASC($A101),"①","1"),"②","2"),"③","3"),"④","4"),"⑤","5"),"⑥","6"),"⑦","7"),"⑧","8"),"⑨","9")," ",""))</f>
        <v/>
      </c>
      <c r="D101" s="429" t="n">
        <v>26</v>
      </c>
      <c r="E101" s="428" t="n">
        <v>2</v>
      </c>
    </row>
    <row r="102">
      <c r="A102" s="427" t="inlineStr">
        <is>
          <t>販促シール　大玉たこ焼き</t>
        </is>
      </c>
      <c r="B102" s="428" t="n">
        <v>1</v>
      </c>
      <c r="C102" s="427">
        <f>IF($A102="","",SUBSTITUTE(SUBSTITUTE(SUBSTITUTE(SUBSTITUTE(SUBSTITUTE(SUBSTITUTE(SUBSTITUTE(SUBSTITUTE(SUBSTITUTE(SUBSTITUTE(ASC($A102),"①","1"),"②","2"),"③","3"),"④","4"),"⑤","5"),"⑥","6"),"⑦","7"),"⑧","8"),"⑨","9")," ",""))</f>
        <v/>
      </c>
      <c r="D102" s="429" t="n">
        <v>26</v>
      </c>
      <c r="E102" s="428" t="n">
        <v>2</v>
      </c>
    </row>
    <row r="103">
      <c r="A103" s="427" t="inlineStr">
        <is>
          <t>ソフトフランスパンＫＩＴ</t>
        </is>
      </c>
      <c r="B103" s="428" t="n">
        <v>758.22</v>
      </c>
      <c r="C103" s="427">
        <f>IF($A103="","",SUBSTITUTE(SUBSTITUTE(SUBSTITUTE(SUBSTITUTE(SUBSTITUTE(SUBSTITUTE(SUBSTITUTE(SUBSTITUTE(SUBSTITUTE(SUBSTITUTE(ASC($A103),"①","1"),"②","2"),"③","3"),"④","4"),"⑤","5"),"⑥","6"),"⑦","7"),"⑧","8"),"⑨","9")," ",""))</f>
        <v/>
      </c>
      <c r="D103" s="429" t="n">
        <v>18</v>
      </c>
      <c r="E103" s="428" t="n">
        <v>948</v>
      </c>
    </row>
    <row r="104">
      <c r="A104" s="427" t="inlineStr">
        <is>
          <t>マルゲリータピザＫＩＴ２</t>
        </is>
      </c>
      <c r="B104" s="428" t="n">
        <v>166.75</v>
      </c>
      <c r="C104" s="427">
        <f>IF($A104="","",SUBSTITUTE(SUBSTITUTE(SUBSTITUTE(SUBSTITUTE(SUBSTITUTE(SUBSTITUTE(SUBSTITUTE(SUBSTITUTE(SUBSTITUTE(SUBSTITUTE(ASC($A104),"①","1"),"②","2"),"③","3"),"④","4"),"⑤","5"),"⑥","6"),"⑦","7"),"⑧","8"),"⑨","9")," ",""))</f>
        <v/>
      </c>
      <c r="D104" s="429" t="n">
        <v>16</v>
      </c>
      <c r="E104" s="428" t="n">
        <v>209.38</v>
      </c>
    </row>
    <row r="105">
      <c r="A105" s="427" t="inlineStr">
        <is>
          <t>販促シール　焼き鳥</t>
        </is>
      </c>
      <c r="B105" s="428" t="n">
        <v>1</v>
      </c>
      <c r="C105" s="427">
        <f>IF($A105="","",SUBSTITUTE(SUBSTITUTE(SUBSTITUTE(SUBSTITUTE(SUBSTITUTE(SUBSTITUTE(SUBSTITUTE(SUBSTITUTE(SUBSTITUTE(SUBSTITUTE(ASC($A105),"①","1"),"②","2"),"③","3"),"④","4"),"⑤","5"),"⑥","6"),"⑦","7"),"⑧","8"),"⑨","9")," ",""))</f>
        <v/>
      </c>
      <c r="D105" s="429" t="n">
        <v>16</v>
      </c>
      <c r="E105" s="428" t="n">
        <v>2</v>
      </c>
    </row>
    <row r="106">
      <c r="A106" s="427" t="inlineStr">
        <is>
          <t>ひと口チキンカツＫＩＴ２</t>
        </is>
      </c>
      <c r="B106" s="428" t="n">
        <v>1347</v>
      </c>
      <c r="C106" s="427">
        <f>IF($A106="","",SUBSTITUTE(SUBSTITUTE(SUBSTITUTE(SUBSTITUTE(SUBSTITUTE(SUBSTITUTE(SUBSTITUTE(SUBSTITUTE(SUBSTITUTE(SUBSTITUTE(ASC($A106),"①","1"),"②","2"),"③","3"),"④","4"),"⑤","5"),"⑥","6"),"⑦","7"),"⑧","8"),"⑨","9")," ",""))</f>
        <v/>
      </c>
      <c r="D106" s="429" t="n">
        <v>7</v>
      </c>
      <c r="E106" s="428" t="n">
        <v>1726</v>
      </c>
    </row>
    <row r="107">
      <c r="A107" s="427" t="inlineStr">
        <is>
          <t>販促シール　桜姫鶏</t>
        </is>
      </c>
      <c r="B107" s="428" t="n">
        <v>1</v>
      </c>
      <c r="C107" s="427">
        <f>IF($A107="","",SUBSTITUTE(SUBSTITUTE(SUBSTITUTE(SUBSTITUTE(SUBSTITUTE(SUBSTITUTE(SUBSTITUTE(SUBSTITUTE(SUBSTITUTE(SUBSTITUTE(ASC($A107),"①","1"),"②","2"),"③","3"),"④","4"),"⑤","5"),"⑥","6"),"⑦","7"),"⑧","8"),"⑨","9")," ",""))</f>
        <v/>
      </c>
      <c r="D107" s="429" t="n">
        <v>6</v>
      </c>
      <c r="E107" s="428" t="n">
        <v>2</v>
      </c>
    </row>
    <row r="108">
      <c r="A108" s="427" t="inlineStr">
        <is>
          <t>Ｃパキとろっお芋ティラミス</t>
        </is>
      </c>
      <c r="B108" s="428" t="n">
        <v>125</v>
      </c>
      <c r="C108" s="427">
        <f>IF($A108="","",SUBSTITUTE(SUBSTITUTE(SUBSTITUTE(SUBSTITUTE(SUBSTITUTE(SUBSTITUTE(SUBSTITUTE(SUBSTITUTE(SUBSTITUTE(SUBSTITUTE(ASC($A108),"①","1"),"②","2"),"③","3"),"④","4"),"⑤","5"),"⑥","6"),"⑦","7"),"⑧","8"),"⑨","9")," ",""))</f>
        <v/>
      </c>
      <c r="D108" s="429" t="n">
        <v>3</v>
      </c>
      <c r="E108" s="428" t="n">
        <v>179.33</v>
      </c>
    </row>
    <row r="109">
      <c r="A109" s="427" t="inlineStr">
        <is>
          <t>Ｃお芋ムースのパンナコッタ</t>
        </is>
      </c>
      <c r="B109" s="428" t="n">
        <v>142.67</v>
      </c>
      <c r="C109" s="427">
        <f>IF($A109="","",SUBSTITUTE(SUBSTITUTE(SUBSTITUTE(SUBSTITUTE(SUBSTITUTE(SUBSTITUTE(SUBSTITUTE(SUBSTITUTE(SUBSTITUTE(SUBSTITUTE(ASC($A109),"①","1"),"②","2"),"③","3"),"④","4"),"⑤","5"),"⑥","6"),"⑦","7"),"⑧","8"),"⑨","9")," ",""))</f>
        <v/>
      </c>
      <c r="D109" s="429" t="n">
        <v>3</v>
      </c>
      <c r="E109" s="428" t="n">
        <v>204</v>
      </c>
    </row>
    <row r="110">
      <c r="A110" s="427" t="inlineStr">
        <is>
          <t>Ｃもちっと芋の暴れん坊</t>
        </is>
      </c>
      <c r="B110" s="428" t="n">
        <v>142</v>
      </c>
      <c r="C110" s="427">
        <f>IF($A110="","",SUBSTITUTE(SUBSTITUTE(SUBSTITUTE(SUBSTITUTE(SUBSTITUTE(SUBSTITUTE(SUBSTITUTE(SUBSTITUTE(SUBSTITUTE(SUBSTITUTE(ASC($A110),"①","1"),"②","2"),"③","3"),"④","4"),"⑤","5"),"⑥","6"),"⑦","7"),"⑧","8"),"⑨","9")," ",""))</f>
        <v/>
      </c>
      <c r="D110" s="429" t="n">
        <v>3</v>
      </c>
      <c r="E110" s="428" t="n">
        <v>203</v>
      </c>
    </row>
    <row r="111">
      <c r="A111" s="427" t="inlineStr">
        <is>
          <t>Ｃ素材を感じる焼き芋ロール</t>
        </is>
      </c>
      <c r="B111" s="428" t="n">
        <v>220.67</v>
      </c>
      <c r="C111" s="427">
        <f>IF($A111="","",SUBSTITUTE(SUBSTITUTE(SUBSTITUTE(SUBSTITUTE(SUBSTITUTE(SUBSTITUTE(SUBSTITUTE(SUBSTITUTE(SUBSTITUTE(SUBSTITUTE(ASC($A111),"①","1"),"②","2"),"③","3"),"④","4"),"⑤","5"),"⑥","6"),"⑦","7"),"⑧","8"),"⑨","9")," ",""))</f>
        <v/>
      </c>
      <c r="D111" s="429" t="n">
        <v>3</v>
      </c>
      <c r="E111" s="428" t="n">
        <v>315.33</v>
      </c>
    </row>
    <row r="112">
      <c r="A112" s="427" t="inlineStr">
        <is>
          <t>自社製白身フライ（バサ）</t>
        </is>
      </c>
      <c r="B112" s="428" t="n">
        <v>1133</v>
      </c>
      <c r="C112" s="427">
        <f>IF($A112="","",SUBSTITUTE(SUBSTITUTE(SUBSTITUTE(SUBSTITUTE(SUBSTITUTE(SUBSTITUTE(SUBSTITUTE(SUBSTITUTE(SUBSTITUTE(SUBSTITUTE(ASC($A112),"①","1"),"②","2"),"③","3"),"④","4"),"⑤","5"),"⑥","6"),"⑦","7"),"⑧","8"),"⑨","9")," ",""))</f>
        <v/>
      </c>
      <c r="D112" s="429" t="n">
        <v>1</v>
      </c>
      <c r="E112" s="428" t="n">
        <v>1417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"/>
  <cols>
    <col width="30" customWidth="1" style="438" min="1" max="1"/>
    <col width="20" customWidth="1" style="438" min="2" max="2"/>
    <col width="28" customWidth="1" style="438" min="3" max="3"/>
    <col width="18" customWidth="1" style="438" min="4" max="4"/>
  </cols>
  <sheetData>
    <row r="1" ht="14" customHeight="1" s="438">
      <c r="A1" s="432" t="inlineStr">
        <is>
          <t>ＫＩＴ別 1個あたり作業時間（益子PC労務費集計より）</t>
        </is>
      </c>
    </row>
    <row r="2">
      <c r="A2" t="inlineStr">
        <is>
          <t>※ 手配項目（開封・カット・パン粉付けなど）を積み上げた直接製造時間。労務費＝作業時間÷60×時給（④前提設定B4）</t>
        </is>
      </c>
    </row>
    <row r="3">
      <c r="A3" s="433" t="inlineStr">
        <is>
          <t>商品名</t>
        </is>
      </c>
      <c r="B3" s="433" t="inlineStr">
        <is>
          <t>1個あたり作業時間(分)</t>
        </is>
      </c>
      <c r="C3" s="433" t="inlineStr">
        <is>
          <t>キー(自動・⑳照合用)</t>
        </is>
      </c>
      <c r="D3" s="433" t="inlineStr">
        <is>
          <t>1個あたり労務費(円)</t>
        </is>
      </c>
    </row>
    <row r="4">
      <c r="A4" s="434" t="inlineStr">
        <is>
          <t>自社製コロッケＫＩＴ４</t>
        </is>
      </c>
      <c r="B4" s="435" t="n">
        <v>9.621</v>
      </c>
      <c r="C4" s="434">
        <f>IF($A4="","",SUBSTITUTE(SUBSTITUTE(SUBSTITUTE(SUBSTITUTE(SUBSTITUTE(SUBSTITUTE(SUBSTITUTE(SUBSTITUTE(SUBSTITUTE(SUBSTITUTE(ASC($A4),"①","1"),"②","2"),"③","3"),"④","4"),"⑤","5"),"⑥","6"),"⑦","7"),"⑧","8"),"⑨","9")," ",""))</f>
        <v/>
      </c>
      <c r="D4" s="607">
        <f>IF($B4="","",$B4/60*④前提設定!$B$4)</f>
        <v/>
      </c>
    </row>
    <row r="5">
      <c r="A5" s="434" t="inlineStr">
        <is>
          <t>自社製国産チキンカツむね２</t>
        </is>
      </c>
      <c r="B5" s="435" t="n">
        <v>5.461</v>
      </c>
      <c r="C5" s="434">
        <f>IF($A5="","",SUBSTITUTE(SUBSTITUTE(SUBSTITUTE(SUBSTITUTE(SUBSTITUTE(SUBSTITUTE(SUBSTITUTE(SUBSTITUTE(SUBSTITUTE(SUBSTITUTE(ASC($A5),"①","1"),"②","2"),"③","3"),"④","4"),"⑤","5"),"⑥","6"),"⑦","7"),"⑧","8"),"⑨","9")," ",""))</f>
        <v/>
      </c>
      <c r="D5" s="607">
        <f>IF($B5="","",$B5/60*④前提設定!$B$4)</f>
        <v/>
      </c>
    </row>
    <row r="6">
      <c r="A6" s="434" t="inlineStr">
        <is>
          <t>自社製白身フライ（バサ）４</t>
        </is>
      </c>
      <c r="B6" s="435" t="n">
        <v>3.982</v>
      </c>
      <c r="C6" s="434">
        <f>IF($A6="","",SUBSTITUTE(SUBSTITUTE(SUBSTITUTE(SUBSTITUTE(SUBSTITUTE(SUBSTITUTE(SUBSTITUTE(SUBSTITUTE(SUBSTITUTE(SUBSTITUTE(ASC($A6),"①","1"),"②","2"),"③","3"),"④","4"),"⑤","5"),"⑥","6"),"⑦","7"),"⑧","8"),"⑨","9")," ",""))</f>
        <v/>
      </c>
      <c r="D6" s="607">
        <f>IF($B6="","",$B6/60*④前提設定!$B$4)</f>
        <v/>
      </c>
    </row>
    <row r="7">
      <c r="A7" s="434" t="inlineStr">
        <is>
          <t>藻塩からあげＫＩＴ５Ｋ</t>
        </is>
      </c>
      <c r="B7" s="435" t="n">
        <v>3.645</v>
      </c>
      <c r="C7" s="434">
        <f>IF($A7="","",SUBSTITUTE(SUBSTITUTE(SUBSTITUTE(SUBSTITUTE(SUBSTITUTE(SUBSTITUTE(SUBSTITUTE(SUBSTITUTE(SUBSTITUTE(SUBSTITUTE(ASC($A7),"①","1"),"②","2"),"③","3"),"④","4"),"⑤","5"),"⑥","6"),"⑦","7"),"⑧","8"),"⑨","9")," ",""))</f>
        <v/>
      </c>
      <c r="D7" s="607">
        <f>IF($B7="","",$B7/60*④前提設定!$B$4)</f>
        <v/>
      </c>
    </row>
    <row r="8">
      <c r="A8" s="434" t="inlineStr">
        <is>
          <t>砂ずり唐揚げＫＩＴ</t>
        </is>
      </c>
      <c r="B8" s="435" t="n">
        <v>3.645</v>
      </c>
      <c r="C8" s="434">
        <f>IF($A8="","",SUBSTITUTE(SUBSTITUTE(SUBSTITUTE(SUBSTITUTE(SUBSTITUTE(SUBSTITUTE(SUBSTITUTE(SUBSTITUTE(SUBSTITUTE(SUBSTITUTE(ASC($A8),"①","1"),"②","2"),"③","3"),"④","4"),"⑤","5"),"⑥","6"),"⑦","7"),"⑧","8"),"⑨","9")," ",""))</f>
        <v/>
      </c>
      <c r="D8" s="607">
        <f>IF($B8="","",$B8/60*④前提設定!$B$4)</f>
        <v/>
      </c>
    </row>
    <row r="9">
      <c r="A9" s="434" t="inlineStr">
        <is>
          <t>チキン南蛮ＫＩＴ</t>
        </is>
      </c>
      <c r="B9" s="435" t="n">
        <v>3.405</v>
      </c>
      <c r="C9" s="434">
        <f>IF($A9="","",SUBSTITUTE(SUBSTITUTE(SUBSTITUTE(SUBSTITUTE(SUBSTITUTE(SUBSTITUTE(SUBSTITUTE(SUBSTITUTE(SUBSTITUTE(SUBSTITUTE(ASC($A9),"①","1"),"②","2"),"③","3"),"④","4"),"⑤","5"),"⑥","6"),"⑦","7"),"⑧","8"),"⑨","9")," ",""))</f>
        <v/>
      </c>
      <c r="D9" s="607">
        <f>IF($B9="","",$B9/60*④前提設定!$B$4)</f>
        <v/>
      </c>
    </row>
    <row r="10">
      <c r="A10" s="434" t="inlineStr">
        <is>
          <t>ＳメンチカツＫＩＴ</t>
        </is>
      </c>
      <c r="B10" s="435" t="n">
        <v>3.287</v>
      </c>
      <c r="C10" s="434">
        <f>IF($A10="","",SUBSTITUTE(SUBSTITUTE(SUBSTITUTE(SUBSTITUTE(SUBSTITUTE(SUBSTITUTE(SUBSTITUTE(SUBSTITUTE(SUBSTITUTE(SUBSTITUTE(ASC($A10),"①","1"),"②","2"),"③","3"),"④","4"),"⑤","5"),"⑥","6"),"⑦","7"),"⑧","8"),"⑨","9")," ",""))</f>
        <v/>
      </c>
      <c r="D10" s="607">
        <f>IF($B10="","",$B10/60*④前提設定!$B$4)</f>
        <v/>
      </c>
    </row>
    <row r="11">
      <c r="A11" s="434" t="inlineStr">
        <is>
          <t>鶏むね油淋鶏ＫＩＴ</t>
        </is>
      </c>
      <c r="B11" s="435" t="n">
        <v>2.894</v>
      </c>
      <c r="C11" s="434">
        <f>IF($A11="","",SUBSTITUTE(SUBSTITUTE(SUBSTITUTE(SUBSTITUTE(SUBSTITUTE(SUBSTITUTE(SUBSTITUTE(SUBSTITUTE(SUBSTITUTE(SUBSTITUTE(ASC($A11),"①","1"),"②","2"),"③","3"),"④","4"),"⑤","5"),"⑥","6"),"⑦","7"),"⑧","8"),"⑨","9")," ",""))</f>
        <v/>
      </c>
      <c r="D11" s="607">
        <f>IF($B11="","",$B11/60*④前提設定!$B$4)</f>
        <v/>
      </c>
    </row>
    <row r="12">
      <c r="A12" s="434" t="inlineStr">
        <is>
          <t>ひと口チキンカツＫＩＴ２</t>
        </is>
      </c>
      <c r="B12" s="435" t="n">
        <v>2.873</v>
      </c>
      <c r="C12" s="434">
        <f>IF($A12="","",SUBSTITUTE(SUBSTITUTE(SUBSTITUTE(SUBSTITUTE(SUBSTITUTE(SUBSTITUTE(SUBSTITUTE(SUBSTITUTE(SUBSTITUTE(SUBSTITUTE(ASC($A12),"①","1"),"②","2"),"③","3"),"④","4"),"⑤","5"),"⑥","6"),"⑦","7"),"⑧","8"),"⑨","9")," ",""))</f>
        <v/>
      </c>
      <c r="D12" s="607">
        <f>IF($B12="","",$B12/60*④前提設定!$B$4)</f>
        <v/>
      </c>
    </row>
    <row r="13">
      <c r="A13" s="434" t="inlineStr">
        <is>
          <t>Ｓチキンカツ（もも）ＫＩＴ</t>
        </is>
      </c>
      <c r="B13" s="435" t="n">
        <v>2.828</v>
      </c>
      <c r="C13" s="434">
        <f>IF($A13="","",SUBSTITUTE(SUBSTITUTE(SUBSTITUTE(SUBSTITUTE(SUBSTITUTE(SUBSTITUTE(SUBSTITUTE(SUBSTITUTE(SUBSTITUTE(SUBSTITUTE(ASC($A13),"①","1"),"②","2"),"③","3"),"④","4"),"⑤","5"),"⑥","6"),"⑦","7"),"⑧","8"),"⑨","9")," ",""))</f>
        <v/>
      </c>
      <c r="D13" s="607">
        <f>IF($B13="","",$B13/60*④前提設定!$B$4)</f>
        <v/>
      </c>
    </row>
    <row r="14">
      <c r="A14" s="434" t="inlineStr">
        <is>
          <t>デカ麹醤油唐揚ＫＩＴ</t>
        </is>
      </c>
      <c r="B14" s="435" t="n">
        <v>2.563</v>
      </c>
      <c r="C14" s="434">
        <f>IF($A14="","",SUBSTITUTE(SUBSTITUTE(SUBSTITUTE(SUBSTITUTE(SUBSTITUTE(SUBSTITUTE(SUBSTITUTE(SUBSTITUTE(SUBSTITUTE(SUBSTITUTE(ASC($A14),"①","1"),"②","2"),"③","3"),"④","4"),"⑤","5"),"⑥","6"),"⑦","7"),"⑧","8"),"⑨","9")," ",""))</f>
        <v/>
      </c>
      <c r="D14" s="607">
        <f>IF($B14="","",$B14/60*④前提設定!$B$4)</f>
        <v/>
      </c>
    </row>
    <row r="15">
      <c r="A15" s="434" t="inlineStr">
        <is>
          <t>照焼きチキンＫＩＴ２</t>
        </is>
      </c>
      <c r="B15" s="435" t="n">
        <v>2.043</v>
      </c>
      <c r="C15" s="434">
        <f>IF($A15="","",SUBSTITUTE(SUBSTITUTE(SUBSTITUTE(SUBSTITUTE(SUBSTITUTE(SUBSTITUTE(SUBSTITUTE(SUBSTITUTE(SUBSTITUTE(SUBSTITUTE(ASC($A15),"①","1"),"②","2"),"③","3"),"④","4"),"⑤","5"),"⑥","6"),"⑦","7"),"⑧","8"),"⑨","9")," ",""))</f>
        <v/>
      </c>
      <c r="D15" s="607">
        <f>IF($B15="","",$B15/60*④前提設定!$B$4)</f>
        <v/>
      </c>
    </row>
    <row r="16">
      <c r="A16" s="434" t="inlineStr">
        <is>
          <t>豚ももスライスＫＩＴ</t>
        </is>
      </c>
      <c r="B16" s="435" t="n">
        <v>1.985</v>
      </c>
      <c r="C16" s="434">
        <f>IF($A16="","",SUBSTITUTE(SUBSTITUTE(SUBSTITUTE(SUBSTITUTE(SUBSTITUTE(SUBSTITUTE(SUBSTITUTE(SUBSTITUTE(SUBSTITUTE(SUBSTITUTE(ASC($A16),"①","1"),"②","2"),"③","3"),"④","4"),"⑤","5"),"⑥","6"),"⑦","7"),"⑧","8"),"⑨","9")," ",""))</f>
        <v/>
      </c>
      <c r="D16" s="607">
        <f>IF($B16="","",$B16/60*④前提設定!$B$4)</f>
        <v/>
      </c>
    </row>
    <row r="17">
      <c r="A17" s="434" t="inlineStr">
        <is>
          <t>ブラジル産鶏もも角切ＫＩＴ</t>
        </is>
      </c>
      <c r="B17" s="435" t="n">
        <v>1.935</v>
      </c>
      <c r="C17" s="434">
        <f>IF($A17="","",SUBSTITUTE(SUBSTITUTE(SUBSTITUTE(SUBSTITUTE(SUBSTITUTE(SUBSTITUTE(SUBSTITUTE(SUBSTITUTE(SUBSTITUTE(SUBSTITUTE(ASC($A17),"①","1"),"②","2"),"③","3"),"④","4"),"⑤","5"),"⑥","6"),"⑦","7"),"⑧","8"),"⑨","9")," ",""))</f>
        <v/>
      </c>
      <c r="D17" s="607">
        <f>IF($B17="","",$B17/60*④前提設定!$B$4)</f>
        <v/>
      </c>
    </row>
    <row r="18">
      <c r="A18" s="434" t="inlineStr">
        <is>
          <t>油淋鶏ＫＩＴ</t>
        </is>
      </c>
      <c r="B18" s="435" t="n">
        <v>1.719</v>
      </c>
      <c r="C18" s="434">
        <f>IF($A18="","",SUBSTITUTE(SUBSTITUTE(SUBSTITUTE(SUBSTITUTE(SUBSTITUTE(SUBSTITUTE(SUBSTITUTE(SUBSTITUTE(SUBSTITUTE(SUBSTITUTE(ASC($A18),"①","1"),"②","2"),"③","3"),"④","4"),"⑤","5"),"⑥","6"),"⑦","7"),"⑧","8"),"⑨","9")," ",""))</f>
        <v/>
      </c>
      <c r="D18" s="607">
        <f>IF($B18="","",$B18/60*④前提設定!$B$4)</f>
        <v/>
      </c>
    </row>
    <row r="19">
      <c r="A19" s="434" t="inlineStr">
        <is>
          <t>福島生姜焼きＫＩＴ</t>
        </is>
      </c>
      <c r="B19" s="435" t="n">
        <v>1.684</v>
      </c>
      <c r="C19" s="434">
        <f>IF($A19="","",SUBSTITUTE(SUBSTITUTE(SUBSTITUTE(SUBSTITUTE(SUBSTITUTE(SUBSTITUTE(SUBSTITUTE(SUBSTITUTE(SUBSTITUTE(SUBSTITUTE(ASC($A19),"①","1"),"②","2"),"③","3"),"④","4"),"⑤","5"),"⑥","6"),"⑦","7"),"⑧","8"),"⑨","9")," ",""))</f>
        <v/>
      </c>
      <c r="D19" s="607">
        <f>IF($B19="","",$B19/60*④前提設定!$B$4)</f>
        <v/>
      </c>
    </row>
    <row r="20">
      <c r="A20" s="434" t="inlineStr">
        <is>
          <t>Ｓ砂ずり唐揚げＫＩＴブラ産</t>
        </is>
      </c>
      <c r="B20" s="435" t="n">
        <v>1.362</v>
      </c>
      <c r="C20" s="434">
        <f>IF($A20="","",SUBSTITUTE(SUBSTITUTE(SUBSTITUTE(SUBSTITUTE(SUBSTITUTE(SUBSTITUTE(SUBSTITUTE(SUBSTITUTE(SUBSTITUTE(SUBSTITUTE(ASC($A20),"①","1"),"②","2"),"③","3"),"④","4"),"⑤","5"),"⑥","6"),"⑦","7"),"⑧","8"),"⑨","9")," ",""))</f>
        <v/>
      </c>
      <c r="D20" s="607">
        <f>IF($B20="","",$B20/60*④前提設定!$B$4)</f>
        <v/>
      </c>
    </row>
    <row r="21">
      <c r="A21" s="434" t="inlineStr">
        <is>
          <t>南蛮（生もも）１０枚ＫＩＴ</t>
        </is>
      </c>
      <c r="B21" s="435" t="n">
        <v>0.491</v>
      </c>
      <c r="C21" s="434">
        <f>IF($A21="","",SUBSTITUTE(SUBSTITUTE(SUBSTITUTE(SUBSTITUTE(SUBSTITUTE(SUBSTITUTE(SUBSTITUTE(SUBSTITUTE(SUBSTITUTE(SUBSTITUTE(ASC($A21),"①","1"),"②","2"),"③","3"),"④","4"),"⑤","5"),"⑥","6"),"⑦","7"),"⑧","8"),"⑨","9")," ",""))</f>
        <v/>
      </c>
      <c r="D21" s="607">
        <f>IF($B21="","",$B21/60*④前提設定!$B$4)</f>
        <v/>
      </c>
    </row>
    <row r="22">
      <c r="A22" s="434" t="inlineStr">
        <is>
          <t>たっぷりトマトピザＫＩＴ</t>
        </is>
      </c>
      <c r="B22" s="435" t="n">
        <v>0</v>
      </c>
      <c r="C22" s="434">
        <f>IF($A22="","",SUBSTITUTE(SUBSTITUTE(SUBSTITUTE(SUBSTITUTE(SUBSTITUTE(SUBSTITUTE(SUBSTITUTE(SUBSTITUTE(SUBSTITUTE(SUBSTITUTE(ASC($A22),"①","1"),"②","2"),"③","3"),"④","4"),"⑤","5"),"⑥","6"),"⑦","7"),"⑧","8"),"⑨","9")," ",""))</f>
        <v/>
      </c>
      <c r="D22" s="607">
        <f>IF($B22="","",$B22/60*④前提設定!$B$4)</f>
        <v/>
      </c>
    </row>
    <row r="23">
      <c r="A23" s="434" t="inlineStr">
        <is>
          <t>販促シール　かつ重帯シール</t>
        </is>
      </c>
      <c r="B23" s="435" t="n">
        <v>0</v>
      </c>
      <c r="C23" s="434">
        <f>IF($A23="","",SUBSTITUTE(SUBSTITUTE(SUBSTITUTE(SUBSTITUTE(SUBSTITUTE(SUBSTITUTE(SUBSTITUTE(SUBSTITUTE(SUBSTITUTE(SUBSTITUTE(ASC($A23),"①","1"),"②","2"),"③","3"),"④","4"),"⑤","5"),"⑥","6"),"⑦","7"),"⑧","8"),"⑨","9")," ",""))</f>
        <v/>
      </c>
      <c r="D23" s="607">
        <f>IF($B23="","",$B23/60*④前提設定!$B$4)</f>
        <v/>
      </c>
    </row>
    <row r="24">
      <c r="A24" s="434" t="inlineStr">
        <is>
          <t>照り焼きチキンピザＫＩＴ４</t>
        </is>
      </c>
      <c r="B24" s="435" t="n">
        <v>0</v>
      </c>
      <c r="C24" s="434">
        <f>IF($A24="","",SUBSTITUTE(SUBSTITUTE(SUBSTITUTE(SUBSTITUTE(SUBSTITUTE(SUBSTITUTE(SUBSTITUTE(SUBSTITUTE(SUBSTITUTE(SUBSTITUTE(ASC($A24),"①","1"),"②","2"),"③","3"),"④","4"),"⑤","5"),"⑥","6"),"⑦","7"),"⑧","8"),"⑨","9")," ",""))</f>
        <v/>
      </c>
      <c r="D24" s="607">
        <f>IF($B24="","",$B24/60*④前提設定!$B$4)</f>
        <v/>
      </c>
    </row>
    <row r="25">
      <c r="A25" s="434" t="inlineStr">
        <is>
          <t>マルゲリータピザＫＩＴ２</t>
        </is>
      </c>
      <c r="B25" s="435" t="n">
        <v>0</v>
      </c>
      <c r="C25" s="434">
        <f>IF($A25="","",SUBSTITUTE(SUBSTITUTE(SUBSTITUTE(SUBSTITUTE(SUBSTITUTE(SUBSTITUTE(SUBSTITUTE(SUBSTITUTE(SUBSTITUTE(SUBSTITUTE(ASC($A25),"①","1"),"②","2"),"③","3"),"④","4"),"⑤","5"),"⑥","6"),"⑦","7"),"⑧","8"),"⑨","9")," ",""))</f>
        <v/>
      </c>
      <c r="D25" s="607">
        <f>IF($B25="","",$B25/60*④前提設定!$B$4)</f>
        <v/>
      </c>
    </row>
    <row r="26">
      <c r="A26" s="434" t="inlineStr">
        <is>
          <t>販促シール　焼きそば</t>
        </is>
      </c>
      <c r="B26" s="435" t="n">
        <v>0</v>
      </c>
      <c r="C26" s="434">
        <f>IF($A26="","",SUBSTITUTE(SUBSTITUTE(SUBSTITUTE(SUBSTITUTE(SUBSTITUTE(SUBSTITUTE(SUBSTITUTE(SUBSTITUTE(SUBSTITUTE(SUBSTITUTE(ASC($A26),"①","1"),"②","2"),"③","3"),"④","4"),"⑤","5"),"⑥","6"),"⑦","7"),"⑧","8"),"⑨","9")," ",""))</f>
        <v/>
      </c>
      <c r="D26" s="607">
        <f>IF($B26="","",$B26/60*④前提設定!$B$4)</f>
        <v/>
      </c>
    </row>
    <row r="27">
      <c r="A27" s="434" t="inlineStr">
        <is>
          <t>販促シール　大玉たこ焼き</t>
        </is>
      </c>
      <c r="B27" s="435" t="n">
        <v>0</v>
      </c>
      <c r="C27" s="434">
        <f>IF($A27="","",SUBSTITUTE(SUBSTITUTE(SUBSTITUTE(SUBSTITUTE(SUBSTITUTE(SUBSTITUTE(SUBSTITUTE(SUBSTITUTE(SUBSTITUTE(SUBSTITUTE(ASC($A27),"①","1"),"②","2"),"③","3"),"④","4"),"⑤","5"),"⑥","6"),"⑦","7"),"⑧","8"),"⑨","9")," ",""))</f>
        <v/>
      </c>
      <c r="D27" s="607">
        <f>IF($B27="","",$B27/60*④前提設定!$B$4)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438" min="1" max="1"/>
    <col width="34" customWidth="1" style="438" min="2" max="2"/>
    <col width="10" customWidth="1" style="438" min="3" max="3"/>
    <col width="10" customWidth="1" style="438" min="4" max="4"/>
    <col width="10" customWidth="1" style="438" min="5" max="5"/>
    <col width="12" customWidth="1" style="438" min="6" max="6"/>
    <col width="16" customWidth="1" style="438" min="7" max="7"/>
    <col width="60" customWidth="1" style="438" min="8" max="8"/>
    <col width="36" customWidth="1" style="438" min="9" max="9"/>
    <col width="14" customWidth="1" style="438" min="10" max="10"/>
    <col width="16" customWidth="1" style="438" min="11" max="11"/>
    <col width="16" customWidth="1" style="438" min="12" max="12"/>
    <col width="18" customWidth="1" style="438" min="13" max="13"/>
    <col width="12" customWidth="1" style="438" min="14" max="14"/>
    <col width="16" customWidth="1" style="438" min="15" max="15"/>
  </cols>
  <sheetData>
    <row r="1">
      <c r="A1" s="608" t="inlineStr">
        <is>
          <t>商品CD</t>
        </is>
      </c>
      <c r="B1" s="608" t="inlineStr">
        <is>
          <t>商品名</t>
        </is>
      </c>
      <c r="C1" s="608" t="inlineStr">
        <is>
          <t>9月出荷数</t>
        </is>
      </c>
      <c r="D1" s="608" t="inlineStr">
        <is>
          <t>原価(円/個)</t>
        </is>
      </c>
      <c r="E1" s="608" t="inlineStr">
        <is>
          <t>PC原価(円/個)</t>
        </is>
      </c>
      <c r="F1" s="608" t="inlineStr">
        <is>
          <t>設定加工賃(円/個)</t>
        </is>
      </c>
      <c r="G1" s="608" t="inlineStr">
        <is>
          <t>実労務費(円/個)・工程記録から再計算(時給1,350円)</t>
        </is>
      </c>
      <c r="H1" s="608" t="inlineStr">
        <is>
          <t>算入した工程</t>
        </is>
      </c>
      <c r="I1" s="608" t="inlineStr">
        <is>
          <t>未算入の工程</t>
        </is>
      </c>
      <c r="J1" s="608" t="inlineStr">
        <is>
          <t>加工賃乖離(円/個)=実−設定</t>
        </is>
      </c>
      <c r="K1" s="608" t="inlineStr">
        <is>
          <t>加工賃乖離影響金額(円)</t>
        </is>
      </c>
      <c r="L1" s="608" t="inlineStr">
        <is>
          <t>理論原料費(円・比較できた原料分)</t>
        </is>
      </c>
      <c r="M1" s="608" t="inlineStr">
        <is>
          <t>原料歩留乖離影響金額(円・按分)</t>
        </is>
      </c>
      <c r="N1" s="608" t="inlineStr">
        <is>
          <t>備考</t>
        </is>
      </c>
      <c r="O1" s="608" t="inlineStr">
        <is>
          <t>信頼度(○記録充足の目安/△記録不足の疑い/×記録なし)</t>
        </is>
      </c>
    </row>
    <row r="2">
      <c r="A2" t="inlineStr">
        <is>
          <t>2831000689937</t>
        </is>
      </c>
      <c r="B2" t="inlineStr">
        <is>
          <t>麹醤油からあげＫＩＴ５ｋ</t>
        </is>
      </c>
      <c r="C2" s="609" t="n">
        <v>4400</v>
      </c>
      <c r="D2" s="609" t="n">
        <v>3199.62</v>
      </c>
      <c r="E2" s="609" t="n">
        <v>4042.710227272727</v>
      </c>
      <c r="F2" s="609" t="n">
        <v>843.0902272727272</v>
      </c>
      <c r="G2" s="609" t="n"/>
      <c r="H2" t="inlineStr">
        <is>
          <t>工程記録なし</t>
        </is>
      </c>
      <c r="J2" s="609">
        <f>IF(AND(ISNUMBER(G2),ISNUMBER(F2)),G2-F2,"")</f>
        <v/>
      </c>
      <c r="K2" s="610">
        <f>IF(ISNUMBER(J2),J2*C2,"")</f>
        <v/>
      </c>
      <c r="L2" s="610" t="n">
        <v>11358290.8149668</v>
      </c>
      <c r="M2" s="610" t="n">
        <v>5785794.670415553</v>
      </c>
      <c r="O2" t="inlineStr">
        <is>
          <t>×</t>
        </is>
      </c>
    </row>
    <row r="3">
      <c r="A3" t="inlineStr">
        <is>
          <t>2831000694726</t>
        </is>
      </c>
      <c r="B3" t="inlineStr">
        <is>
          <t>【中華】ムネ唐揚げＫＩＴ</t>
        </is>
      </c>
      <c r="C3" s="609" t="n">
        <v>2625</v>
      </c>
      <c r="D3" s="609" t="n">
        <v>1131.020952380952</v>
      </c>
      <c r="E3" s="609" t="n">
        <v>1424.028952380952</v>
      </c>
      <c r="F3" s="609" t="n">
        <v>293.008</v>
      </c>
      <c r="G3" s="609" t="n"/>
      <c r="H3" t="inlineStr">
        <is>
          <t>工程記録なし</t>
        </is>
      </c>
      <c r="J3" s="609">
        <f>IF(AND(ISNUMBER(G3),ISNUMBER(F3)),G3-F3,"")</f>
        <v/>
      </c>
      <c r="K3" s="610">
        <f>IF(ISNUMBER(J3),J3*C3,"")</f>
        <v/>
      </c>
      <c r="L3" s="610" t="n">
        <v>3004421.04622806</v>
      </c>
      <c r="M3" s="610" t="n">
        <v>3228518.151748712</v>
      </c>
      <c r="O3" t="inlineStr">
        <is>
          <t>×</t>
        </is>
      </c>
    </row>
    <row r="4">
      <c r="A4" t="inlineStr">
        <is>
          <t>4522646102420</t>
        </is>
      </c>
      <c r="B4" t="inlineStr">
        <is>
          <t>Ｓ大人のコーヒーゼリー小４</t>
        </is>
      </c>
      <c r="C4" s="609" t="n">
        <v>88713</v>
      </c>
      <c r="D4" s="609" t="n">
        <v>69.91991027245162</v>
      </c>
      <c r="E4" s="609" t="n">
        <v>94.97018475308016</v>
      </c>
      <c r="F4" s="609" t="n">
        <v>25.05027448062854</v>
      </c>
      <c r="G4" s="609" t="n">
        <v>22.16326530612245</v>
      </c>
      <c r="H4" t="inlineStr">
        <is>
          <t>②釜コーヒーゼリー液:kg→【ＱＣＳ】コーヒーゼリー液=1.91円 / 前回盛り込み:前回資料×1350/2644=15.19円 / 前回クリーム充填:前回資料×1350/2644=5.06円</t>
        </is>
      </c>
      <c r="J4" s="609">
        <f>IF(AND(ISNUMBER(G4),ISNUMBER(F4)),G4-F4,"")</f>
        <v/>
      </c>
      <c r="K4" s="610">
        <f>IF(ISNUMBER(J4),J4*C4,"")</f>
        <v/>
      </c>
      <c r="L4" s="610" t="n">
        <v>6469489.269629788</v>
      </c>
      <c r="M4" s="610" t="n">
        <v>-1129853.348696907</v>
      </c>
      <c r="O4" t="inlineStr">
        <is>
          <t>○</t>
        </is>
      </c>
    </row>
    <row r="5">
      <c r="A5" t="inlineStr">
        <is>
          <t>2831000689906</t>
        </is>
      </c>
      <c r="B5" t="inlineStr">
        <is>
          <t>藻塩からあげＫＩＴ５Ｋ</t>
        </is>
      </c>
      <c r="C5" s="609" t="n">
        <v>1301</v>
      </c>
      <c r="D5" s="609" t="n">
        <v>3116.373558800922</v>
      </c>
      <c r="E5" s="609" t="n">
        <v>3937.208301306687</v>
      </c>
      <c r="F5" s="609" t="n">
        <v>820.8347425057648</v>
      </c>
      <c r="G5" s="609" t="n"/>
      <c r="H5" t="inlineStr">
        <is>
          <t>工程記録なし</t>
        </is>
      </c>
      <c r="J5" s="609">
        <f>IF(AND(ISNUMBER(G5),ISNUMBER(F5)),G5-F5,"")</f>
        <v/>
      </c>
      <c r="K5" s="610">
        <f>IF(ISNUMBER(J5),J5*C5,"")</f>
        <v/>
      </c>
      <c r="L5" s="610" t="n">
        <v>3252803.611878286</v>
      </c>
      <c r="M5" s="610" t="n">
        <v>-1941987.918997388</v>
      </c>
      <c r="O5" t="inlineStr">
        <is>
          <t>×</t>
        </is>
      </c>
    </row>
    <row r="6">
      <c r="A6" t="inlineStr">
        <is>
          <t>2831000690117</t>
        </is>
      </c>
      <c r="B6" t="inlineStr">
        <is>
          <t>デカ麹醤油唐揚ＫＩＴ</t>
        </is>
      </c>
      <c r="C6" s="609" t="n">
        <v>1696</v>
      </c>
      <c r="D6" s="609" t="n">
        <v>1663.481132075472</v>
      </c>
      <c r="E6" s="609" t="n">
        <v>2091.034787735849</v>
      </c>
      <c r="F6" s="609" t="n">
        <v>427.5536556603774</v>
      </c>
      <c r="G6" s="609" t="n"/>
      <c r="H6" t="inlineStr">
        <is>
          <t>工程記録なし</t>
        </is>
      </c>
      <c r="J6" s="609">
        <f>IF(AND(ISNUMBER(G6),ISNUMBER(F6)),G6-F6,"")</f>
        <v/>
      </c>
      <c r="K6" s="610">
        <f>IF(ISNUMBER(J6),J6*C6,"")</f>
        <v/>
      </c>
      <c r="L6" s="610" t="n">
        <v>1609752.317278049</v>
      </c>
      <c r="M6" s="610" t="n">
        <v>2157922.4002273</v>
      </c>
      <c r="O6" t="inlineStr">
        <is>
          <t>×</t>
        </is>
      </c>
    </row>
    <row r="7">
      <c r="A7" t="inlineStr">
        <is>
          <t>4522646102857</t>
        </is>
      </c>
      <c r="B7" t="inlineStr">
        <is>
          <t>Ｓお箸でつまんでわらび餅小</t>
        </is>
      </c>
      <c r="C7" s="609" t="n">
        <v>59961</v>
      </c>
      <c r="D7" s="609" t="n">
        <v>100.9809709644602</v>
      </c>
      <c r="E7" s="609" t="n">
        <v>136.1413418722169</v>
      </c>
      <c r="F7" s="609" t="n">
        <v>35.16037090775671</v>
      </c>
      <c r="G7" s="609" t="n">
        <v>14.95008620689655</v>
      </c>
      <c r="H7" t="inlineStr">
        <is>
          <t>⑫ミわらび餅:kg→【ＱＣＳ】わらび餅カット=14.95円</t>
        </is>
      </c>
      <c r="I7" t="inlineStr">
        <is>
          <t>抹茶わらび餅(12分）、わらび餅（１２分）</t>
        </is>
      </c>
      <c r="J7" s="609">
        <f>IF(AND(ISNUMBER(G7),ISNUMBER(F7)),G7-F7,"")</f>
        <v/>
      </c>
      <c r="K7" s="610">
        <f>IF(ISNUMBER(J7),J7*C7,"")</f>
        <v/>
      </c>
      <c r="L7" s="610" t="n">
        <v>4081278.88001443</v>
      </c>
      <c r="M7" s="610" t="n">
        <v>873375.105176312</v>
      </c>
      <c r="O7" t="inlineStr">
        <is>
          <t>△</t>
        </is>
      </c>
    </row>
    <row r="8">
      <c r="A8" t="inlineStr">
        <is>
          <t>2831000719245</t>
        </is>
      </c>
      <c r="B8" t="inlineStr">
        <is>
          <t>自社製国産チキンカツむね２</t>
        </is>
      </c>
      <c r="C8" s="609" t="n">
        <v>7546</v>
      </c>
      <c r="D8" s="609" t="n">
        <v>1198.398224224755</v>
      </c>
      <c r="E8" s="609" t="n">
        <v>1536.410548635038</v>
      </c>
      <c r="F8" s="609" t="n">
        <v>338.0123244102836</v>
      </c>
      <c r="G8" s="609" t="n"/>
      <c r="H8" t="inlineStr">
        <is>
          <t>工程記録なし</t>
        </is>
      </c>
      <c r="J8" s="609">
        <f>IF(AND(ISNUMBER(G8),ISNUMBER(F8)),G8-F8,"")</f>
        <v/>
      </c>
      <c r="K8" s="610">
        <f>IF(ISNUMBER(J8),J8*C8,"")</f>
        <v/>
      </c>
      <c r="L8" s="610" t="n">
        <v>9900896.34921922</v>
      </c>
      <c r="M8" s="610" t="n">
        <v>-627334.0101727045</v>
      </c>
      <c r="O8" t="inlineStr">
        <is>
          <t>×</t>
        </is>
      </c>
    </row>
    <row r="9">
      <c r="A9" t="inlineStr">
        <is>
          <t>2831000691473</t>
        </is>
      </c>
      <c r="B9" t="inlineStr">
        <is>
          <t>塩パンＫＩＴ</t>
        </is>
      </c>
      <c r="C9" s="609" t="n">
        <v>2269</v>
      </c>
      <c r="D9" s="609" t="n">
        <v>739.8206258263552</v>
      </c>
      <c r="E9" s="609" t="n">
        <v>925.0096959012781</v>
      </c>
      <c r="F9" s="609" t="n">
        <v>185.1890700749229</v>
      </c>
      <c r="G9" s="609" t="n">
        <v>198.7791765202703</v>
      </c>
      <c r="H9" t="inlineStr">
        <is>
          <t>②釜塩パン:kg→【ＱＣＳ】塩パン焼成=43.73円 / ③ス塩パン:kg→【ＱＣＳ】塩パン焼成=87.45円 / ⑩盛塩パンKIT:個=1.52円 / ⑫ミ塩パン:kg→【ＱＣＳ】塩パン焼成=7.77円 / ⑬計塩パン:kg→【ＱＣＳ】塩パン焼成=58.3円</t>
        </is>
      </c>
      <c r="J9" s="609">
        <f>IF(AND(ISNUMBER(G9),ISNUMBER(F9)),G9-F9,"")</f>
        <v/>
      </c>
      <c r="K9" s="610">
        <f>IF(ISNUMBER(J9),J9*C9,"")</f>
        <v/>
      </c>
      <c r="L9" s="610" t="n">
        <v>1736376.025548359</v>
      </c>
      <c r="M9" s="610" t="n">
        <v>1783934.605359836</v>
      </c>
      <c r="O9" t="inlineStr">
        <is>
          <t>○</t>
        </is>
      </c>
    </row>
    <row r="10">
      <c r="A10" t="inlineStr">
        <is>
          <t>4522646112900</t>
        </is>
      </c>
      <c r="B10" t="inlineStr">
        <is>
          <t>Ｓホイップの卵プリン</t>
        </is>
      </c>
      <c r="C10" s="609" t="n">
        <v>52885</v>
      </c>
      <c r="D10" s="609" t="n">
        <v>94.52988560083199</v>
      </c>
      <c r="E10" s="609" t="n">
        <v>127.6099272005295</v>
      </c>
      <c r="F10" s="609" t="n">
        <v>33.08004159969746</v>
      </c>
      <c r="G10" s="609" t="n">
        <v>18.4160117246596</v>
      </c>
      <c r="H10" t="inlineStr">
        <is>
          <t>前回盛り込み:前回資料×1350/2644=10.12円 / 前回ZEN:前回資料×1350/2644=4.61円 / 前回釜:前回資料×1350/2644=3.68円</t>
        </is>
      </c>
      <c r="I10" t="inlineStr">
        <is>
          <t>自社製ホイップの卵プリン、プリンロール、自社製ホイップの卵プリン</t>
        </is>
      </c>
      <c r="J10" s="609">
        <f>IF(AND(ISNUMBER(G10),ISNUMBER(F10)),G10-F10,"")</f>
        <v/>
      </c>
      <c r="K10" s="610">
        <f>IF(ISNUMBER(J10),J10*C10,"")</f>
        <v/>
      </c>
      <c r="L10" s="610" t="n">
        <v>4049137.017881887</v>
      </c>
      <c r="M10" s="610" t="n">
        <v>691129.8278335348</v>
      </c>
      <c r="O10" t="inlineStr">
        <is>
          <t>△</t>
        </is>
      </c>
    </row>
    <row r="11">
      <c r="A11" t="inlineStr">
        <is>
          <t>4522646101645</t>
        </is>
      </c>
      <c r="B11" t="inlineStr">
        <is>
          <t>Ｓ蜜いもスイートポテト</t>
        </is>
      </c>
      <c r="C11" s="609" t="n">
        <v>23516</v>
      </c>
      <c r="D11" s="609" t="n">
        <v>207.9195866643987</v>
      </c>
      <c r="E11" s="609" t="n">
        <v>284.8201649940466</v>
      </c>
      <c r="F11" s="609" t="n">
        <v>76.9005783296479</v>
      </c>
      <c r="G11" s="609" t="n"/>
      <c r="H11" t="inlineStr">
        <is>
          <t>工程記録なし</t>
        </is>
      </c>
      <c r="J11" s="609">
        <f>IF(AND(ISNUMBER(G11),ISNUMBER(F11)),G11-F11,"")</f>
        <v/>
      </c>
      <c r="K11" s="610">
        <f>IF(ISNUMBER(J11),J11*C11,"")</f>
        <v/>
      </c>
      <c r="L11" s="610" t="n">
        <v>3860022.694619666</v>
      </c>
      <c r="M11" s="610" t="n">
        <v>174783.9924128788</v>
      </c>
      <c r="O11" t="inlineStr">
        <is>
          <t>×</t>
        </is>
      </c>
    </row>
    <row r="12">
      <c r="A12" t="inlineStr">
        <is>
          <t>2831000719177</t>
        </is>
      </c>
      <c r="B12" t="inlineStr">
        <is>
          <t>自社製白身フライ（バサ）４</t>
        </is>
      </c>
      <c r="C12" s="609" t="n">
        <v>2530</v>
      </c>
      <c r="D12" s="609" t="n">
        <v>1213</v>
      </c>
      <c r="E12" s="609" t="n">
        <v>1555</v>
      </c>
      <c r="F12" s="609" t="n">
        <v>342</v>
      </c>
      <c r="G12" s="609" t="n"/>
      <c r="H12" t="inlineStr">
        <is>
          <t>工程記録なし</t>
        </is>
      </c>
      <c r="J12" s="609">
        <f>IF(AND(ISNUMBER(G12),ISNUMBER(F12)),G12-F12,"")</f>
        <v/>
      </c>
      <c r="K12" s="610">
        <f>IF(ISNUMBER(J12),J12*C12,"")</f>
        <v/>
      </c>
      <c r="L12" s="610" t="n">
        <v>3076696.905068334</v>
      </c>
      <c r="M12" s="610" t="n">
        <v>827884.5691089695</v>
      </c>
      <c r="O12" t="inlineStr">
        <is>
          <t>×</t>
        </is>
      </c>
    </row>
    <row r="13">
      <c r="A13" t="inlineStr">
        <is>
          <t>2831000694016</t>
        </is>
      </c>
      <c r="B13" t="inlineStr">
        <is>
          <t>メロン塩パンＫＩＴ</t>
        </is>
      </c>
      <c r="C13" s="609" t="n">
        <v>690</v>
      </c>
      <c r="D13" s="609" t="n">
        <v>1050.478260869565</v>
      </c>
      <c r="E13" s="609" t="n">
        <v>1313.205797101449</v>
      </c>
      <c r="F13" s="609" t="n">
        <v>262.7275362318841</v>
      </c>
      <c r="G13" s="609" t="n">
        <v>5.357142857142857</v>
      </c>
      <c r="H13" t="inlineStr">
        <is>
          <t>⑩盛メロン塩パンKIT:個=5.36円</t>
        </is>
      </c>
      <c r="I13" t="inlineStr">
        <is>
          <t>塩パン、塩パン、メロン塩パン、塩パン、メロン塩パン、塩パン</t>
        </is>
      </c>
      <c r="J13" s="609">
        <f>IF(AND(ISNUMBER(G13),ISNUMBER(F13)),G13-F13,"")</f>
        <v/>
      </c>
      <c r="K13" s="610">
        <f>IF(ISNUMBER(J13),J13*C13,"")</f>
        <v/>
      </c>
      <c r="L13" s="610" t="n">
        <v>725374.3285714285</v>
      </c>
      <c r="M13" s="610" t="n">
        <v>1359724.625907565</v>
      </c>
      <c r="O13" t="inlineStr">
        <is>
          <t>△</t>
        </is>
      </c>
    </row>
    <row r="14">
      <c r="A14" t="inlineStr">
        <is>
          <t>2831000694023</t>
        </is>
      </c>
      <c r="B14" t="inlineStr">
        <is>
          <t>Ｓチキンカツ（もも）ＫＩＴ</t>
        </is>
      </c>
      <c r="C14" s="609" t="n">
        <v>1400</v>
      </c>
      <c r="D14" s="609" t="n">
        <v>1312.571428571429</v>
      </c>
      <c r="E14" s="609" t="n">
        <v>1544.85</v>
      </c>
      <c r="F14" s="609" t="n">
        <v>232.2785714285715</v>
      </c>
      <c r="G14" s="609" t="n"/>
      <c r="H14" t="inlineStr">
        <is>
          <t>工程記録なし</t>
        </is>
      </c>
      <c r="J14" s="609">
        <f>IF(AND(ISNUMBER(G14),ISNUMBER(F14)),G14-F14,"")</f>
        <v/>
      </c>
      <c r="K14" s="610">
        <f>IF(ISNUMBER(J14),J14*C14,"")</f>
        <v/>
      </c>
      <c r="L14" s="610" t="n">
        <v>1377017.813657814</v>
      </c>
      <c r="M14" s="610" t="n">
        <v>1206710.955237291</v>
      </c>
      <c r="O14" t="inlineStr">
        <is>
          <t>×</t>
        </is>
      </c>
    </row>
    <row r="15">
      <c r="A15" t="inlineStr">
        <is>
          <t>2513903000000</t>
        </is>
      </c>
      <c r="B15" t="inlineStr">
        <is>
          <t>全粒粉入り湯種ロール６個</t>
        </is>
      </c>
      <c r="C15" s="609" t="n">
        <v>9074</v>
      </c>
      <c r="D15" s="609" t="n">
        <v>85.84714569098523</v>
      </c>
      <c r="E15" s="609" t="n">
        <v>129.2695613841746</v>
      </c>
      <c r="F15" s="609" t="n">
        <v>43.42241569318933</v>
      </c>
      <c r="G15" s="609" t="n">
        <v>25.12941831904844</v>
      </c>
      <c r="H15" t="inlineStr">
        <is>
          <t>②釜湯種ロールパン:kg→【ＱＣＳ】全粒粉入り湯種ロールパン焼成=6.99円 / ③ス湯種ロールパン:kg→【ＱＣＳ】全粒粉入り湯種ロールパン焼成=12.81円 / ⑩盛湯種ロール3個入り:個=3.88円 / ⑩盛湯種ロール6個入り:個=0.33円 / ⑫ミ湯種ロール:kg→【ＱＣＳ】全粒粉入り湯種ロールパン焼成=0.69円 / ⑬計湯種ロール:kg→【ＱＣＳ】全粒粉入り湯種ロールパン焼成=0.44円</t>
        </is>
      </c>
      <c r="J15" s="609">
        <f>IF(AND(ISNUMBER(G15),ISNUMBER(F15)),G15-F15,"")</f>
        <v/>
      </c>
      <c r="K15" s="610">
        <f>IF(ISNUMBER(J15),J15*C15,"")</f>
        <v/>
      </c>
      <c r="L15" s="610" t="n">
        <v>973214.7508875668</v>
      </c>
      <c r="M15" s="610" t="n">
        <v>1266007.834813284</v>
      </c>
      <c r="O15" t="inlineStr">
        <is>
          <t>○</t>
        </is>
      </c>
    </row>
    <row r="16">
      <c r="A16" t="inlineStr">
        <is>
          <t>4522646102840</t>
        </is>
      </c>
      <c r="B16" t="inlineStr">
        <is>
          <t>Ｓ２層仕立てのチーズケーキ</t>
        </is>
      </c>
      <c r="C16" s="609" t="n">
        <v>20240</v>
      </c>
      <c r="D16" s="609" t="n">
        <v>165.5251976284585</v>
      </c>
      <c r="E16" s="609" t="n">
        <v>224.2755928853755</v>
      </c>
      <c r="F16" s="609" t="n">
        <v>58.750395256917</v>
      </c>
      <c r="G16" s="609" t="n">
        <v>30.74211422087746</v>
      </c>
      <c r="H16" t="inlineStr">
        <is>
          <t>前回盛り込み:前回資料×1350/2644=16.2円 / 前回ミキサー:前回資料×1350/2644=2.7円 / 前回ZEN:前回資料×1350/2644=5.92円 / 前回スチコン:前回資料×1350/2644=5.92円</t>
        </is>
      </c>
      <c r="I16" t="inlineStr">
        <is>
          <t>ブルーベリーソース、黒クランブル、ベイクドチーズケーキ、黒クランブル、レアチーズケーキ生地</t>
        </is>
      </c>
      <c r="J16" s="609">
        <f>IF(AND(ISNUMBER(G16),ISNUMBER(F16)),G16-F16,"")</f>
        <v/>
      </c>
      <c r="K16" s="610">
        <f>IF(ISNUMBER(J16),J16*C16,"")</f>
        <v/>
      </c>
      <c r="L16" s="610" t="n">
        <v>2560775.997714285</v>
      </c>
      <c r="M16" s="610" t="n">
        <v>273593.16024153</v>
      </c>
      <c r="O16" t="inlineStr">
        <is>
          <t>△</t>
        </is>
      </c>
    </row>
    <row r="17">
      <c r="A17" t="inlineStr">
        <is>
          <t>2831000694030</t>
        </is>
      </c>
      <c r="B17" t="inlineStr">
        <is>
          <t>ＳメンチカツＫＩＴ</t>
        </is>
      </c>
      <c r="C17" s="609" t="n">
        <v>1830</v>
      </c>
      <c r="D17" s="609" t="n">
        <v>740.1524590163934</v>
      </c>
      <c r="E17" s="609" t="n">
        <v>925.1967213114754</v>
      </c>
      <c r="F17" s="609" t="n">
        <v>185.044262295082</v>
      </c>
      <c r="G17" s="609" t="n"/>
      <c r="H17" t="inlineStr">
        <is>
          <t>工程記録なし</t>
        </is>
      </c>
      <c r="J17" s="609">
        <f>IF(AND(ISNUMBER(G17),ISNUMBER(F17)),G17-F17,"")</f>
        <v/>
      </c>
      <c r="K17" s="610">
        <f>IF(ISNUMBER(J17),J17*C17,"")</f>
        <v/>
      </c>
      <c r="L17" s="610" t="n">
        <v>1325504.485989736</v>
      </c>
      <c r="M17" s="610" t="n">
        <v>-1091040.225856642</v>
      </c>
      <c r="O17" t="inlineStr">
        <is>
          <t>×</t>
        </is>
      </c>
    </row>
    <row r="18">
      <c r="A18" t="inlineStr">
        <is>
          <t>4522646155389</t>
        </is>
      </c>
      <c r="B18" t="inlineStr">
        <is>
          <t>Ｓバナナのふんわりロール２</t>
        </is>
      </c>
      <c r="C18" s="609" t="n">
        <v>31758</v>
      </c>
      <c r="D18" s="609" t="n">
        <v>99.74025442408212</v>
      </c>
      <c r="E18" s="609" t="n">
        <v>142.4899237987279</v>
      </c>
      <c r="F18" s="609" t="n">
        <v>42.74966937464576</v>
      </c>
      <c r="G18" s="609" t="n"/>
      <c r="H18" t="inlineStr">
        <is>
          <t>工程記録なし</t>
        </is>
      </c>
      <c r="J18" s="609">
        <f>IF(AND(ISNUMBER(G18),ISNUMBER(F18)),G18-F18,"")</f>
        <v/>
      </c>
      <c r="K18" s="610">
        <f>IF(ISNUMBER(J18),J18*C18,"")</f>
        <v/>
      </c>
      <c r="L18" s="610" t="n">
        <v>1012869.152136158</v>
      </c>
      <c r="M18" s="610" t="n">
        <v>195221.0884766727</v>
      </c>
      <c r="O18" t="inlineStr">
        <is>
          <t>×</t>
        </is>
      </c>
    </row>
    <row r="19">
      <c r="A19" t="inlineStr">
        <is>
          <t>4522646113013</t>
        </is>
      </c>
      <c r="B19" t="inlineStr">
        <is>
          <t>Ｓクリーム爆盛ロールケキ小</t>
        </is>
      </c>
      <c r="C19" s="609" t="n">
        <v>25794</v>
      </c>
      <c r="D19" s="609" t="n">
        <v>95.44696441032798</v>
      </c>
      <c r="E19" s="609" t="n">
        <v>128.2867721175467</v>
      </c>
      <c r="F19" s="609" t="n">
        <v>32.83980770721873</v>
      </c>
      <c r="G19" s="609" t="n"/>
      <c r="H19" t="inlineStr">
        <is>
          <t>工程記録なし</t>
        </is>
      </c>
      <c r="J19" s="609">
        <f>IF(AND(ISNUMBER(G19),ISNUMBER(F19)),G19-F19,"")</f>
        <v/>
      </c>
      <c r="K19" s="610">
        <f>IF(ISNUMBER(J19),J19*C19,"")</f>
        <v/>
      </c>
      <c r="L19" s="610" t="n">
        <v>1588650.175774358</v>
      </c>
      <c r="M19" s="610" t="n">
        <v>538325.0692212204</v>
      </c>
      <c r="O19" t="inlineStr">
        <is>
          <t>×</t>
        </is>
      </c>
    </row>
    <row r="20">
      <c r="A20" t="inlineStr">
        <is>
          <t>2831000719115</t>
        </is>
      </c>
      <c r="B20" t="inlineStr">
        <is>
          <t>自社製キャベツメンチカツ２</t>
        </is>
      </c>
      <c r="C20" s="609" t="n">
        <v>5689</v>
      </c>
      <c r="D20" s="609" t="n">
        <v>683.2265776059062</v>
      </c>
      <c r="E20" s="609" t="n">
        <v>803.7347512743892</v>
      </c>
      <c r="F20" s="609" t="n">
        <v>120.508173668483</v>
      </c>
      <c r="G20" s="609" t="n"/>
      <c r="H20" t="inlineStr">
        <is>
          <t>工程記録なし</t>
        </is>
      </c>
      <c r="J20" s="609">
        <f>IF(AND(ISNUMBER(G20),ISNUMBER(F20)),G20-F20,"")</f>
        <v/>
      </c>
      <c r="K20" s="610">
        <f>IF(ISNUMBER(J20),J20*C20,"")</f>
        <v/>
      </c>
      <c r="L20" s="610" t="n">
        <v>3824624.968066894</v>
      </c>
      <c r="M20" s="610" t="n">
        <v>-1242679.201246514</v>
      </c>
      <c r="O20" t="inlineStr">
        <is>
          <t>×</t>
        </is>
      </c>
    </row>
    <row r="21">
      <c r="A21" t="inlineStr">
        <is>
          <t>2512330000000</t>
        </is>
      </c>
      <c r="B21" t="inlineStr">
        <is>
          <t>お箸でつまんでわらび餅小</t>
        </is>
      </c>
      <c r="C21" s="609" t="n">
        <v>28806</v>
      </c>
      <c r="D21" s="609" t="n">
        <v>100.6567728945359</v>
      </c>
      <c r="E21" s="609" t="n">
        <v>135.8097271401791</v>
      </c>
      <c r="F21" s="609" t="n">
        <v>35.15295424564327</v>
      </c>
      <c r="G21" s="609" t="n">
        <v>14.95008620689655</v>
      </c>
      <c r="H21" t="inlineStr">
        <is>
          <t>⑫ミわらび餅:kg→【ＱＣＳ】わらび餅カット=14.95円</t>
        </is>
      </c>
      <c r="I21" t="inlineStr">
        <is>
          <t>抹茶わらび餅(12分）、わらび餅（１２分）</t>
        </is>
      </c>
      <c r="J21" s="609">
        <f>IF(AND(ISNUMBER(G21),ISNUMBER(F21)),G21-F21,"")</f>
        <v/>
      </c>
      <c r="K21" s="610">
        <f>IF(ISNUMBER(J21),J21*C21,"")</f>
        <v/>
      </c>
      <c r="L21" s="610" t="n">
        <v>1960696.442982867</v>
      </c>
      <c r="M21" s="610" t="n">
        <v>419580.115069943</v>
      </c>
      <c r="O21" t="inlineStr">
        <is>
          <t>△</t>
        </is>
      </c>
    </row>
    <row r="22">
      <c r="A22" t="inlineStr">
        <is>
          <t>2512478000000</t>
        </is>
      </c>
      <c r="B22" t="inlineStr">
        <is>
          <t>メロン塩パン２個入</t>
        </is>
      </c>
      <c r="C22" s="609" t="n">
        <v>18571</v>
      </c>
      <c r="D22" s="609" t="n">
        <v>111.3548543427925</v>
      </c>
      <c r="E22" s="609" t="n">
        <v>168.1163103763933</v>
      </c>
      <c r="F22" s="609" t="n">
        <v>56.76145603360077</v>
      </c>
      <c r="G22" s="609" t="n">
        <v>5.794422512755103</v>
      </c>
      <c r="H22" t="inlineStr">
        <is>
          <t>②釜塩パン:kg→【ＱＣＳ】メロン塩パン焼成=0.04円 / ③ス塩パン:kg→【ＱＣＳ】メロン塩パン焼成=0.08円 / ⑩盛メロン塩パンKIT:個=5.36円 / ⑩盛メロン塩パン2個:個=0.19円 / ⑫ミメロン塩パン:kg→【ＱＣＳ】メロン塩パン焼成=0.01円 / ⑫ミ塩パン:kg→【ＱＣＳ】メロン塩パン焼成=0.01円 / ⑬計メロン塩パン:kg→【ＱＣＳ】メロン塩パン焼成=0.05円 / ⑬計塩パン:kg→【ＱＣＳ】メロン塩パン焼成=0.06円</t>
        </is>
      </c>
      <c r="J22" s="609">
        <f>IF(AND(ISNUMBER(G22),ISNUMBER(F22)),G22-F22,"")</f>
        <v/>
      </c>
      <c r="K22" s="610">
        <f>IF(ISNUMBER(J22),J22*C22,"")</f>
        <v/>
      </c>
      <c r="L22" s="610" t="n">
        <v>22532.762041989</v>
      </c>
      <c r="M22" s="610" t="n">
        <v>40675.39449045002</v>
      </c>
      <c r="O22" t="inlineStr">
        <is>
          <t>△</t>
        </is>
      </c>
    </row>
    <row r="23">
      <c r="A23" t="inlineStr">
        <is>
          <t>4522646084993</t>
        </is>
      </c>
      <c r="B23" t="inlineStr">
        <is>
          <t>Ｓみかんの牛乳寒天　小</t>
        </is>
      </c>
      <c r="C23" s="609" t="n">
        <v>31127</v>
      </c>
      <c r="D23" s="609" t="n">
        <v>90.62023323802487</v>
      </c>
      <c r="E23" s="609" t="n">
        <v>122.7096732740065</v>
      </c>
      <c r="F23" s="609" t="n">
        <v>32.08944003598162</v>
      </c>
      <c r="G23" s="609" t="n">
        <v>9.539251134644477</v>
      </c>
      <c r="H23" t="inlineStr">
        <is>
          <t>前回盛り込み:前回資料×1350/2644=6.75円 / 前回釜:前回資料×1350/2644=1.44円 / 前回計量:前回資料×1350/2644=1.35円</t>
        </is>
      </c>
      <c r="I23" t="inlineStr">
        <is>
          <t>みかん牛乳寒天</t>
        </is>
      </c>
      <c r="J23" s="609">
        <f>IF(AND(ISNUMBER(G23),ISNUMBER(F23)),G23-F23,"")</f>
        <v/>
      </c>
      <c r="K23" s="610">
        <f>IF(ISNUMBER(J23),J23*C23,"")</f>
        <v/>
      </c>
      <c r="L23" s="610" t="n">
        <v>1849884.448760863</v>
      </c>
      <c r="M23" s="610" t="n">
        <v>39114.5898510827</v>
      </c>
      <c r="O23" t="inlineStr">
        <is>
          <t>△</t>
        </is>
      </c>
    </row>
    <row r="24">
      <c r="A24" t="inlineStr">
        <is>
          <t>2831000423111</t>
        </is>
      </c>
      <c r="B24" t="inlineStr">
        <is>
          <t>チキン南蛮ＫＩＴ</t>
        </is>
      </c>
      <c r="C24" s="609" t="n">
        <v>2716</v>
      </c>
      <c r="D24" s="609" t="n">
        <v>1190.279086892489</v>
      </c>
      <c r="E24" s="609" t="n">
        <v>1521.55265095729</v>
      </c>
      <c r="F24" s="609" t="n">
        <v>331.2735640648012</v>
      </c>
      <c r="G24" s="609" t="n"/>
      <c r="H24" t="inlineStr">
        <is>
          <t>工程記録なし</t>
        </is>
      </c>
      <c r="J24" s="609">
        <f>IF(AND(ISNUMBER(G24),ISNUMBER(F24)),G24-F24,"")</f>
        <v/>
      </c>
      <c r="K24" s="610">
        <f>IF(ISNUMBER(J24),J24*C24,"")</f>
        <v/>
      </c>
      <c r="L24" s="610" t="n">
        <v>1268.742247076767</v>
      </c>
      <c r="M24" s="610" t="n">
        <v>269922.1796494288</v>
      </c>
      <c r="O24" t="inlineStr">
        <is>
          <t>×</t>
        </is>
      </c>
    </row>
    <row r="25">
      <c r="A25" t="inlineStr">
        <is>
          <t>2512165000000</t>
        </is>
      </c>
      <c r="B25" t="inlineStr">
        <is>
          <t>大人のコーヒーゼリー小４</t>
        </is>
      </c>
      <c r="C25" s="609" t="n">
        <v>25750</v>
      </c>
      <c r="D25" s="609" t="n">
        <v>69.92974757281553</v>
      </c>
      <c r="E25" s="609" t="n">
        <v>94.98042718446602</v>
      </c>
      <c r="F25" s="609" t="n">
        <v>25.05067961165048</v>
      </c>
      <c r="G25" s="609" t="n">
        <v>22.16326530612245</v>
      </c>
      <c r="H25" t="inlineStr">
        <is>
          <t>②釜コーヒーゼリー液:kg→【ＱＣＳ】コーヒーゼリー液=1.91円 / 前回盛り込み:前回資料×1350/2644=15.19円 / 前回クリーム充填:前回資料×1350/2644=5.06円</t>
        </is>
      </c>
      <c r="J25" s="609">
        <f>IF(AND(ISNUMBER(G25),ISNUMBER(F25)),G25-F25,"")</f>
        <v/>
      </c>
      <c r="K25" s="610">
        <f>IF(ISNUMBER(J25),J25*C25,"")</f>
        <v/>
      </c>
      <c r="L25" s="610" t="n">
        <v>1893172.549341057</v>
      </c>
      <c r="M25" s="610" t="n">
        <v>-325671.9224254477</v>
      </c>
      <c r="O25" t="inlineStr">
        <is>
          <t>○</t>
        </is>
      </c>
    </row>
    <row r="26">
      <c r="A26" t="inlineStr">
        <is>
          <t>4522646102413</t>
        </is>
      </c>
      <c r="B26" t="inlineStr">
        <is>
          <t>Ｓ大人のコーヒーゼリー４</t>
        </is>
      </c>
      <c r="C26" s="609" t="n">
        <v>23777</v>
      </c>
      <c r="D26" s="609" t="n">
        <v>86.09012911637296</v>
      </c>
      <c r="E26" s="609" t="n">
        <v>117.8902300542541</v>
      </c>
      <c r="F26" s="609" t="n">
        <v>31.80010093788114</v>
      </c>
      <c r="G26" s="609" t="n">
        <v>15.1875</v>
      </c>
      <c r="H26" t="inlineStr">
        <is>
          <t>②釜コーヒーゼリー液:kg→【ＱＣＳ】コーヒーゼリー液=0.0円 / 前回盛り込み:前回資料×1350/2644=15.19円</t>
        </is>
      </c>
      <c r="J26" s="609">
        <f>IF(AND(ISNUMBER(G26),ISNUMBER(F26)),G26-F26,"")</f>
        <v/>
      </c>
      <c r="K26" s="610">
        <f>IF(ISNUMBER(J26),J26*C26,"")</f>
        <v/>
      </c>
      <c r="L26" s="610" t="n">
        <v>1534082.931113871</v>
      </c>
      <c r="M26" s="610" t="n">
        <v>-178229.581245318</v>
      </c>
      <c r="O26" t="inlineStr">
        <is>
          <t>△</t>
        </is>
      </c>
    </row>
    <row r="27">
      <c r="A27" t="inlineStr">
        <is>
          <t>4522646201925</t>
        </is>
      </c>
      <c r="B27" t="inlineStr">
        <is>
          <t>Ｓ素材を感じる焼き芋ロール</t>
        </is>
      </c>
      <c r="C27" s="609" t="n">
        <v>11870</v>
      </c>
      <c r="D27" s="609" t="n">
        <v>220.7202190395956</v>
      </c>
      <c r="E27" s="609" t="n">
        <v>315.3105307497894</v>
      </c>
      <c r="F27" s="609" t="n">
        <v>94.59031171019376</v>
      </c>
      <c r="G27" s="609" t="n"/>
      <c r="H27" t="inlineStr">
        <is>
          <t>工程記録なし</t>
        </is>
      </c>
      <c r="J27" s="609">
        <f>IF(AND(ISNUMBER(G27),ISNUMBER(F27)),G27-F27,"")</f>
        <v/>
      </c>
      <c r="K27" s="610">
        <f>IF(ISNUMBER(J27),J27*C27,"")</f>
        <v/>
      </c>
      <c r="L27" s="610" t="n">
        <v>2170357.965817998</v>
      </c>
      <c r="M27" s="610" t="n">
        <v>866954.4628401966</v>
      </c>
      <c r="O27" t="inlineStr">
        <is>
          <t>×</t>
        </is>
      </c>
    </row>
    <row r="28">
      <c r="A28" t="inlineStr">
        <is>
          <t>2553129000000</t>
        </is>
      </c>
      <c r="B28" t="inlineStr">
        <is>
          <t>クルンジ２個入</t>
        </is>
      </c>
      <c r="C28" s="609" t="n">
        <v>9418</v>
      </c>
      <c r="D28" s="609" t="n">
        <v>153.5005308982799</v>
      </c>
      <c r="E28" s="609" t="n">
        <v>236.1225313229985</v>
      </c>
      <c r="F28" s="609" t="n">
        <v>82.62200042471862</v>
      </c>
      <c r="G28" s="609" t="n">
        <v>0.5610563858695652</v>
      </c>
      <c r="H28" t="inlineStr">
        <is>
          <t>⑩盛クルンジ2個入れ:個=0.54円 / ⑫ミクルンジ:kg→【ＱＣＳ】クルンジ作成=0.01円 / ⑬計クルンジ:kg→【ＱＣＳ】クルンジ作成=0.01円</t>
        </is>
      </c>
      <c r="J28" s="609">
        <f>IF(AND(ISNUMBER(G28),ISNUMBER(F28)),G28-F28,"")</f>
        <v/>
      </c>
      <c r="K28" s="610">
        <f>IF(ISNUMBER(J28),J28*C28,"")</f>
        <v/>
      </c>
      <c r="L28" s="610" t="n">
        <v>1996.442396313364</v>
      </c>
      <c r="M28" s="610" t="n">
        <v>1376.903467290701</v>
      </c>
      <c r="O28" t="inlineStr">
        <is>
          <t>△</t>
        </is>
      </c>
    </row>
    <row r="29">
      <c r="A29" t="inlineStr">
        <is>
          <t>2831000725178</t>
        </is>
      </c>
      <c r="B29" t="inlineStr">
        <is>
          <t>ホテルブレッド生地ＫＩＴ２</t>
        </is>
      </c>
      <c r="C29" s="609" t="n">
        <v>141</v>
      </c>
      <c r="D29" s="609" t="n">
        <v>3246.950354609929</v>
      </c>
      <c r="E29" s="609" t="n">
        <v>4058.553191489362</v>
      </c>
      <c r="F29" s="609" t="n">
        <v>811.6028368794326</v>
      </c>
      <c r="G29" s="609" t="n"/>
      <c r="H29" t="inlineStr">
        <is>
          <t>工程記録なし</t>
        </is>
      </c>
      <c r="J29" s="609">
        <f>IF(AND(ISNUMBER(G29),ISNUMBER(F29)),G29-F29,"")</f>
        <v/>
      </c>
      <c r="K29" s="610">
        <f>IF(ISNUMBER(J29),J29*C29,"")</f>
        <v/>
      </c>
      <c r="L29" s="610" t="n">
        <v>452287.1675510204</v>
      </c>
      <c r="M29" s="610" t="n">
        <v>624429.5370548359</v>
      </c>
      <c r="O29" t="inlineStr">
        <is>
          <t>×</t>
        </is>
      </c>
    </row>
    <row r="30">
      <c r="A30" t="inlineStr">
        <is>
          <t>2831000719252</t>
        </is>
      </c>
      <c r="B30" t="inlineStr">
        <is>
          <t>厚切りとんかつＫＩＴ２</t>
        </is>
      </c>
      <c r="C30" s="609" t="n">
        <v>519</v>
      </c>
      <c r="D30" s="609" t="n">
        <v>1573.360308285164</v>
      </c>
      <c r="E30" s="609" t="n">
        <v>2012.541425818883</v>
      </c>
      <c r="F30" s="609" t="n">
        <v>439.1811175337187</v>
      </c>
      <c r="G30" s="609" t="n"/>
      <c r="H30" t="inlineStr">
        <is>
          <t>工程記録なし</t>
        </is>
      </c>
      <c r="J30" s="609">
        <f>IF(AND(ISNUMBER(G30),ISNUMBER(F30)),G30-F30,"")</f>
        <v/>
      </c>
      <c r="K30" s="610">
        <f>IF(ISNUMBER(J30),J30*C30,"")</f>
        <v/>
      </c>
      <c r="L30" s="610" t="n">
        <v>791764.171889886</v>
      </c>
      <c r="M30" s="610" t="n">
        <v>-660096.2988005194</v>
      </c>
      <c r="O30" t="inlineStr">
        <is>
          <t>×</t>
        </is>
      </c>
    </row>
    <row r="31">
      <c r="A31" t="inlineStr">
        <is>
          <t>2544134000000</t>
        </is>
      </c>
      <c r="B31" t="inlineStr">
        <is>
          <t>ふわもちホテルロール１６個</t>
        </is>
      </c>
      <c r="C31" s="609" t="n">
        <v>11852</v>
      </c>
      <c r="D31" s="609" t="n">
        <v>172.7041849476882</v>
      </c>
      <c r="E31" s="609" t="n">
        <v>260.8522612217348</v>
      </c>
      <c r="F31" s="609" t="n">
        <v>88.14807627404657</v>
      </c>
      <c r="G31" s="609" t="n">
        <v>1.40570700867052</v>
      </c>
      <c r="H31" t="inlineStr">
        <is>
          <t>②釜ホテルロール:kg→【ＱＣＳ】ホテルロール焼成=0.34円 / ③スホテルロール:kg→【ＱＣＳ】ホテルロール焼成=0.68円 / ⑩盛ホテルロール16個:個=0.33円 / ⑫ミホテルロール:kg→【ＱＣＳ】ホテルロール焼成=0.02円 / ⑬計ホテルロール:kg→【ＱＣＳ】ホテルロール焼成=0.05円</t>
        </is>
      </c>
      <c r="J31" s="609">
        <f>IF(AND(ISNUMBER(G31),ISNUMBER(F31)),G31-F31,"")</f>
        <v/>
      </c>
      <c r="K31" s="610">
        <f>IF(ISNUMBER(J31),J31*C31,"")</f>
        <v/>
      </c>
      <c r="L31" s="610" t="n">
        <v>44391.7095606018</v>
      </c>
      <c r="M31" s="610" t="n">
        <v>61287.38440441685</v>
      </c>
      <c r="O31" t="inlineStr">
        <is>
          <t>△</t>
        </is>
      </c>
    </row>
    <row r="32">
      <c r="A32" t="inlineStr">
        <is>
          <t>2553097000000</t>
        </is>
      </c>
      <c r="B32" t="inlineStr">
        <is>
          <t>バナナのふんわりロール２</t>
        </is>
      </c>
      <c r="C32" s="609" t="n">
        <v>13840</v>
      </c>
      <c r="D32" s="609" t="n">
        <v>100.2994219653179</v>
      </c>
      <c r="E32" s="609" t="n">
        <v>143.0488439306358</v>
      </c>
      <c r="F32" s="609" t="n">
        <v>42.74942196531792</v>
      </c>
      <c r="G32" s="609" t="n"/>
      <c r="H32" t="inlineStr">
        <is>
          <t>工程記録なし</t>
        </is>
      </c>
      <c r="J32" s="609">
        <f>IF(AND(ISNUMBER(G32),ISNUMBER(F32)),G32-F32,"")</f>
        <v/>
      </c>
      <c r="K32" s="610">
        <f>IF(ISNUMBER(J32),J32*C32,"")</f>
        <v/>
      </c>
      <c r="L32" s="610" t="n">
        <v>441404.0262473843</v>
      </c>
      <c r="M32" s="610" t="n">
        <v>85076.51188730872</v>
      </c>
      <c r="O32" t="inlineStr">
        <is>
          <t>×</t>
        </is>
      </c>
    </row>
    <row r="33">
      <c r="A33" t="inlineStr">
        <is>
          <t>2524904000000</t>
        </is>
      </c>
      <c r="B33" t="inlineStr">
        <is>
          <t>自社製ホイップの卵プリン</t>
        </is>
      </c>
      <c r="C33" s="609" t="n">
        <v>16972</v>
      </c>
      <c r="D33" s="609" t="n">
        <v>93.63987744520387</v>
      </c>
      <c r="E33" s="609" t="n">
        <v>126.6957341503653</v>
      </c>
      <c r="F33" s="609" t="n">
        <v>33.05585670516144</v>
      </c>
      <c r="G33" s="609" t="n">
        <v>18.4160117246596</v>
      </c>
      <c r="H33" t="inlineStr">
        <is>
          <t>前回盛り込み:前回資料×1350/2644=10.12円 / 前回ZEN:前回資料×1350/2644=4.61円 / 前回釜:前回資料×1350/2644=3.68円</t>
        </is>
      </c>
      <c r="I33" t="inlineStr">
        <is>
          <t>プリンロール液、自社製ホイップの卵プリン、自社製ホイップの卵プリン</t>
        </is>
      </c>
      <c r="J33" s="609">
        <f>IF(AND(ISNUMBER(G33),ISNUMBER(F33)),G33-F33,"")</f>
        <v/>
      </c>
      <c r="K33" s="610">
        <f>IF(ISNUMBER(J33),J33*C33,"")</f>
        <v/>
      </c>
      <c r="L33" s="610" t="n">
        <v>1626277.961020405</v>
      </c>
      <c r="M33" s="610" t="n">
        <v>-164302.9898612941</v>
      </c>
      <c r="O33" t="inlineStr">
        <is>
          <t>△</t>
        </is>
      </c>
    </row>
    <row r="34">
      <c r="A34" t="inlineStr">
        <is>
          <t>2511832000000</t>
        </is>
      </c>
      <c r="B34" t="inlineStr">
        <is>
          <t>蜜いもスイートポテト</t>
        </is>
      </c>
      <c r="C34" s="609" t="n">
        <v>7056</v>
      </c>
      <c r="D34" s="609" t="n">
        <v>214.1316609977324</v>
      </c>
      <c r="E34" s="609" t="n">
        <v>291.047477324263</v>
      </c>
      <c r="F34" s="609" t="n">
        <v>76.91581632653062</v>
      </c>
      <c r="G34" s="609" t="n"/>
      <c r="H34" t="inlineStr">
        <is>
          <t>工程記録なし</t>
        </is>
      </c>
      <c r="J34" s="609">
        <f>IF(AND(ISNUMBER(G34),ISNUMBER(F34)),G34-F34,"")</f>
        <v/>
      </c>
      <c r="K34" s="610">
        <f>IF(ISNUMBER(J34),J34*C34,"")</f>
        <v/>
      </c>
      <c r="L34" s="610" t="n">
        <v>1158203.781818182</v>
      </c>
      <c r="M34" s="610" t="n">
        <v>52444.11679134515</v>
      </c>
      <c r="O34" t="inlineStr">
        <is>
          <t>×</t>
        </is>
      </c>
    </row>
    <row r="35">
      <c r="A35" t="inlineStr">
        <is>
          <t>2831000718996</t>
        </is>
      </c>
      <c r="B35" t="inlineStr">
        <is>
          <t>鶏むね油淋鶏ＫＩＴ</t>
        </is>
      </c>
      <c r="C35" s="609" t="n">
        <v>3403</v>
      </c>
      <c r="D35" s="609" t="n">
        <v>614.741404642962</v>
      </c>
      <c r="E35" s="609" t="n">
        <v>768.1013811342933</v>
      </c>
      <c r="F35" s="609" t="n">
        <v>153.3599764913312</v>
      </c>
      <c r="G35" s="609" t="n"/>
      <c r="H35" t="inlineStr">
        <is>
          <t>工程記録なし</t>
        </is>
      </c>
      <c r="J35" s="609">
        <f>IF(AND(ISNUMBER(G35),ISNUMBER(F35)),G35-F35,"")</f>
        <v/>
      </c>
      <c r="K35" s="610">
        <f>IF(ISNUMBER(J35),J35*C35,"")</f>
        <v/>
      </c>
      <c r="L35" s="610" t="n">
        <v>2300373.135306123</v>
      </c>
      <c r="M35" s="610" t="n">
        <v>-224566.980853502</v>
      </c>
      <c r="O35" t="inlineStr">
        <is>
          <t>×</t>
        </is>
      </c>
    </row>
    <row r="36">
      <c r="A36" t="inlineStr">
        <is>
          <t>2831000695907</t>
        </is>
      </c>
      <c r="B36" t="inlineStr">
        <is>
          <t>国産フライドチキンＫＩＴ</t>
        </is>
      </c>
      <c r="C36" s="609" t="n">
        <v>447</v>
      </c>
      <c r="D36" s="609" t="n">
        <v>817</v>
      </c>
      <c r="E36" s="609" t="n">
        <v>1046.035794183445</v>
      </c>
      <c r="F36" s="609" t="n">
        <v>229.0357941834452</v>
      </c>
      <c r="G36" s="609" t="n"/>
      <c r="H36" t="inlineStr">
        <is>
          <t>工程記録なし</t>
        </is>
      </c>
      <c r="J36" s="609">
        <f>IF(AND(ISNUMBER(G36),ISNUMBER(F36)),G36-F36,"")</f>
        <v/>
      </c>
      <c r="K36" s="610">
        <f>IF(ISNUMBER(J36),J36*C36,"")</f>
        <v/>
      </c>
      <c r="L36" s="610" t="n">
        <v>423683.4765306122</v>
      </c>
      <c r="M36" s="610" t="n">
        <v>483956.2486871575</v>
      </c>
      <c r="O36" t="inlineStr">
        <is>
          <t>×</t>
        </is>
      </c>
    </row>
    <row r="37">
      <c r="A37" t="inlineStr">
        <is>
          <t>2512320000000</t>
        </is>
      </c>
      <c r="B37" t="inlineStr">
        <is>
          <t>２層仕立てのチーズケーキ</t>
        </is>
      </c>
      <c r="C37" s="609" t="n">
        <v>7232</v>
      </c>
      <c r="D37" s="609" t="n">
        <v>163.3098727876106</v>
      </c>
      <c r="E37" s="609" t="n">
        <v>222.0244745575221</v>
      </c>
      <c r="F37" s="609" t="n">
        <v>58.7146017699115</v>
      </c>
      <c r="G37" s="609" t="n">
        <v>30.74211422087746</v>
      </c>
      <c r="H37" t="inlineStr">
        <is>
          <t>前回盛り込み:前回資料×1350/2644=16.2円 / 前回ミキサー:前回資料×1350/2644=2.7円 / 前回ZEN:前回資料×1350/2644=5.92円 / 前回スチコン:前回資料×1350/2644=5.92円</t>
        </is>
      </c>
      <c r="I37" t="inlineStr">
        <is>
          <t>ブルーベリーソース、黒クランブル、ベイクドチーズケーキ、黒クランブル、レアチーズケーキ生地</t>
        </is>
      </c>
      <c r="J37" s="609">
        <f>IF(AND(ISNUMBER(G37),ISNUMBER(F37)),G37-F37,"")</f>
        <v/>
      </c>
      <c r="K37" s="610">
        <f>IF(ISNUMBER(J37),J37*C37,"")</f>
        <v/>
      </c>
      <c r="L37" s="610" t="n">
        <v>914996.6410805195</v>
      </c>
      <c r="M37" s="610" t="n">
        <v>97758.18848155855</v>
      </c>
      <c r="O37" t="inlineStr">
        <is>
          <t>△</t>
        </is>
      </c>
    </row>
    <row r="38">
      <c r="A38" t="inlineStr">
        <is>
          <t>2525394000000</t>
        </is>
      </c>
      <c r="B38" t="inlineStr">
        <is>
          <t>クリーム爆盛ロールケーキ小</t>
        </is>
      </c>
      <c r="C38" s="609" t="n">
        <v>10059</v>
      </c>
      <c r="D38" s="609" t="n">
        <v>93.21214832488319</v>
      </c>
      <c r="E38" s="609" t="n">
        <v>126.0658117109057</v>
      </c>
      <c r="F38" s="609" t="n">
        <v>32.85366338602247</v>
      </c>
      <c r="G38" s="609" t="n"/>
      <c r="H38" t="inlineStr">
        <is>
          <t>工程記録なし</t>
        </is>
      </c>
      <c r="J38" s="609">
        <f>IF(AND(ISNUMBER(G38),ISNUMBER(F38)),G38-F38,"")</f>
        <v/>
      </c>
      <c r="K38" s="610">
        <f>IF(ISNUMBER(J38),J38*C38,"")</f>
        <v/>
      </c>
      <c r="L38" s="610" t="n">
        <v>619532.9192104469</v>
      </c>
      <c r="M38" s="610" t="n">
        <v>209933.0026865262</v>
      </c>
      <c r="O38" t="inlineStr">
        <is>
          <t>×</t>
        </is>
      </c>
    </row>
    <row r="39">
      <c r="A39" t="inlineStr">
        <is>
          <t>2512164000000</t>
        </is>
      </c>
      <c r="B39" t="inlineStr">
        <is>
          <t>大人のコーヒーゼリー４</t>
        </is>
      </c>
      <c r="C39" s="609" t="n">
        <v>8208</v>
      </c>
      <c r="D39" s="609" t="n">
        <v>88.69334795321637</v>
      </c>
      <c r="E39" s="609" t="n">
        <v>120.4574805068226</v>
      </c>
      <c r="F39" s="609" t="n">
        <v>31.76413255360624</v>
      </c>
      <c r="G39" s="609" t="n">
        <v>17.86607142857143</v>
      </c>
      <c r="H39" t="inlineStr">
        <is>
          <t>②釜コーヒーゼリー液:kg→【ＱＣＳ】コーヒーゼリー液=2.68円 / 前回盛り込み:前回資料×1350/2644=15.19円</t>
        </is>
      </c>
      <c r="J39" s="609">
        <f>IF(AND(ISNUMBER(G39),ISNUMBER(F39)),G39-F39,"")</f>
        <v/>
      </c>
      <c r="K39" s="610">
        <f>IF(ISNUMBER(J39),J39*C39,"")</f>
        <v/>
      </c>
      <c r="L39" s="610" t="n">
        <v>771866.5940970187</v>
      </c>
      <c r="M39" s="610" t="n">
        <v>-156026.0931696509</v>
      </c>
      <c r="O39" t="inlineStr">
        <is>
          <t>○</t>
        </is>
      </c>
    </row>
    <row r="40">
      <c r="A40" t="inlineStr">
        <is>
          <t>2562748000000</t>
        </is>
      </c>
      <c r="B40" t="inlineStr">
        <is>
          <t>素材を感じる焼き芋ロール</t>
        </is>
      </c>
      <c r="C40" s="609" t="n">
        <v>5457</v>
      </c>
      <c r="D40" s="609" t="n">
        <v>219.852299798424</v>
      </c>
      <c r="E40" s="609" t="n">
        <v>314.4872640645043</v>
      </c>
      <c r="F40" s="609" t="n">
        <v>94.63496426608026</v>
      </c>
      <c r="G40" s="609" t="n"/>
      <c r="H40" t="inlineStr">
        <is>
          <t>工程記録なし</t>
        </is>
      </c>
      <c r="J40" s="609">
        <f>IF(AND(ISNUMBER(G40),ISNUMBER(F40)),G40-F40,"")</f>
        <v/>
      </c>
      <c r="K40" s="610">
        <f>IF(ISNUMBER(J40),J40*C40,"")</f>
        <v/>
      </c>
      <c r="L40" s="610" t="n">
        <v>997779.5635609784</v>
      </c>
      <c r="M40" s="610" t="n">
        <v>398565.3330850003</v>
      </c>
      <c r="O40" t="inlineStr">
        <is>
          <t>×</t>
        </is>
      </c>
    </row>
    <row r="41">
      <c r="A41" t="inlineStr">
        <is>
          <t>4522646099522</t>
        </is>
      </c>
      <c r="B41" t="inlineStr">
        <is>
          <t>Ｓカスタード＆ホイップシュ</t>
        </is>
      </c>
      <c r="C41" s="609" t="n">
        <v>57039</v>
      </c>
      <c r="D41" s="609" t="n">
        <v>116.8702992689213</v>
      </c>
      <c r="E41" s="609" t="n">
        <v>157.5601781237399</v>
      </c>
      <c r="F41" s="609" t="n">
        <v>40.68987885481863</v>
      </c>
      <c r="G41" s="609" t="n">
        <v>48.63474895798601</v>
      </c>
      <c r="H41" t="inlineStr">
        <is>
          <t>⑩盛カスタード＆ホイップシュー（盛り込み）:個=10.12円 / ⑩盛シュー生地（盛り）:個=1.87円 / ⑩盛絞り（盛り）:個=11.76円 / ⑩盛焼成（盛り）:個=0.56円 / ⑩盛穴あけ（盛り）:個=1.57円 / ⑩盛クリーム入れ（盛り）:個=15.26円 / ⑪Zカスタード＆ホイップシュー（ZEN）:個=7.5円</t>
        </is>
      </c>
      <c r="J41" s="609">
        <f>IF(AND(ISNUMBER(G41),ISNUMBER(F41)),G41-F41,"")</f>
        <v/>
      </c>
      <c r="K41" s="610">
        <f>IF(ISNUMBER(J41),J41*C41,"")</f>
        <v/>
      </c>
      <c r="L41" s="610" t="n">
        <v>3053801.664177874</v>
      </c>
      <c r="M41" s="610" t="n">
        <v>82377.22976510289</v>
      </c>
      <c r="O41" t="inlineStr">
        <is>
          <t>○</t>
        </is>
      </c>
    </row>
    <row r="42">
      <c r="A42" t="inlineStr">
        <is>
          <t>2831000706078</t>
        </is>
      </c>
      <c r="B42" t="inlineStr">
        <is>
          <t>串なし焼き鳥ＫＩＴ</t>
        </is>
      </c>
      <c r="C42" s="609" t="n">
        <v>540</v>
      </c>
      <c r="D42" s="609" t="n">
        <v>1295.803703703704</v>
      </c>
      <c r="E42" s="609" t="n">
        <v>1637.744444444445</v>
      </c>
      <c r="F42" s="609" t="n">
        <v>341.9407407407408</v>
      </c>
      <c r="G42" s="609" t="n"/>
      <c r="H42" t="inlineStr">
        <is>
          <t>工程記録なし</t>
        </is>
      </c>
      <c r="J42" s="609">
        <f>IF(AND(ISNUMBER(G42),ISNUMBER(F42)),G42-F42,"")</f>
        <v/>
      </c>
      <c r="K42" s="610">
        <f>IF(ISNUMBER(J42),J42*C42,"")</f>
        <v/>
      </c>
      <c r="L42" s="610" t="n">
        <v>580904.1247792209</v>
      </c>
      <c r="M42" s="610" t="n">
        <v>379821.5698459729</v>
      </c>
      <c r="O42" t="inlineStr">
        <is>
          <t>×</t>
        </is>
      </c>
    </row>
    <row r="43">
      <c r="A43" t="inlineStr">
        <is>
          <t>2511934000000</t>
        </is>
      </c>
      <c r="B43" t="inlineStr">
        <is>
          <t>蜜いもスイートポテト（小）</t>
        </is>
      </c>
      <c r="C43" s="609" t="n">
        <v>7884</v>
      </c>
      <c r="D43" s="609" t="n">
        <v>139.0115423642821</v>
      </c>
      <c r="E43" s="609" t="n">
        <v>188.7066210045662</v>
      </c>
      <c r="F43" s="609" t="n">
        <v>49.69507864028412</v>
      </c>
      <c r="G43" s="609" t="n">
        <v>17.26768867924528</v>
      </c>
      <c r="H43" t="inlineStr">
        <is>
          <t>③ススイートポテト大小（スチコン焼き）:個=6.75円 / ③ススイートポテト大小（スチコン解凍）:個=1.69円 / ⑩盛スイートポテト大小（盛り込み）:個=7.48円 / ⑪Zスイートポテト大小（ZEN）:個=1.35円</t>
        </is>
      </c>
      <c r="I43" t="inlineStr">
        <is>
          <t>スイートポテト解凍、スイートポテト、スイートポテト</t>
        </is>
      </c>
      <c r="J43" s="609">
        <f>IF(AND(ISNUMBER(G43),ISNUMBER(F43)),G43-F43,"")</f>
        <v/>
      </c>
      <c r="K43" s="610">
        <f>IF(ISNUMBER(J43),J43*C43,"")</f>
        <v/>
      </c>
      <c r="L43" s="610" t="n">
        <v>794427.8957699443</v>
      </c>
      <c r="M43" s="610" t="n">
        <v>40361.93052651941</v>
      </c>
      <c r="O43" t="inlineStr">
        <is>
          <t>△</t>
        </is>
      </c>
    </row>
    <row r="44">
      <c r="A44" t="inlineStr">
        <is>
          <t>2831000588360</t>
        </is>
      </c>
      <c r="B44" t="inlineStr">
        <is>
          <t>照焼きチキンＫＩＴ２</t>
        </is>
      </c>
      <c r="C44" s="609" t="n">
        <v>1143</v>
      </c>
      <c r="D44" s="609" t="n">
        <v>1451.748031496063</v>
      </c>
      <c r="E44" s="609" t="n">
        <v>1825.107611548556</v>
      </c>
      <c r="F44" s="609" t="n">
        <v>373.3595800524934</v>
      </c>
      <c r="G44" s="609" t="n"/>
      <c r="H44" t="inlineStr">
        <is>
          <t>工程記録なし</t>
        </is>
      </c>
      <c r="J44" s="609">
        <f>IF(AND(ISNUMBER(G44),ISNUMBER(F44)),G44-F44,"")</f>
        <v/>
      </c>
      <c r="K44" s="610">
        <f>IF(ISNUMBER(J44),J44*C44,"")</f>
        <v/>
      </c>
      <c r="L44" s="610" t="n">
        <v>575.8981487812913</v>
      </c>
      <c r="M44" s="610" t="n">
        <v>795.6839501322083</v>
      </c>
      <c r="O44" t="inlineStr">
        <is>
          <t>×</t>
        </is>
      </c>
    </row>
    <row r="45">
      <c r="A45" t="inlineStr">
        <is>
          <t>2831000722429</t>
        </is>
      </c>
      <c r="B45" t="inlineStr">
        <is>
          <t>こはく本舗ハンバーグＫＩＴ</t>
        </is>
      </c>
      <c r="C45" s="609" t="n">
        <v>533</v>
      </c>
      <c r="D45" s="609" t="n">
        <v>1067.666041275797</v>
      </c>
      <c r="E45" s="609" t="n">
        <v>1334.609756097561</v>
      </c>
      <c r="F45" s="609" t="n">
        <v>266.9437148217636</v>
      </c>
      <c r="G45" s="609" t="n"/>
      <c r="H45" t="inlineStr">
        <is>
          <t>工程記録なし</t>
        </is>
      </c>
      <c r="J45" s="609">
        <f>IF(AND(ISNUMBER(G45),ISNUMBER(F45)),G45-F45,"")</f>
        <v/>
      </c>
      <c r="K45" s="610">
        <f>IF(ISNUMBER(J45),J45*C45,"")</f>
        <v/>
      </c>
      <c r="L45" s="610" t="n">
        <v>564987.2349618749</v>
      </c>
      <c r="M45" s="610" t="n">
        <v>-370667.8859532035</v>
      </c>
      <c r="O45" t="inlineStr">
        <is>
          <t>×</t>
        </is>
      </c>
    </row>
    <row r="46">
      <c r="A46" t="inlineStr">
        <is>
          <t>2831000654256</t>
        </is>
      </c>
      <c r="B46" t="inlineStr">
        <is>
          <t>国産とり天キット</t>
        </is>
      </c>
      <c r="C46" s="609" t="n">
        <v>6076</v>
      </c>
      <c r="D46" s="609" t="n">
        <v>531.8304805793285</v>
      </c>
      <c r="E46" s="609" t="n">
        <v>679.2184002633311</v>
      </c>
      <c r="F46" s="609" t="n">
        <v>147.3879196840026</v>
      </c>
      <c r="G46" s="609" t="n"/>
      <c r="H46" t="inlineStr">
        <is>
          <t>工程記録なし</t>
        </is>
      </c>
      <c r="J46" s="609">
        <f>IF(AND(ISNUMBER(G46),ISNUMBER(F46)),G46-F46,"")</f>
        <v/>
      </c>
      <c r="K46" s="610">
        <f>IF(ISNUMBER(J46),J46*C46,"")</f>
        <v/>
      </c>
      <c r="L46" s="610" t="n">
        <v>3537930.8</v>
      </c>
      <c r="M46" s="610" t="n">
        <v>-350286.1155023837</v>
      </c>
      <c r="O46" t="inlineStr">
        <is>
          <t>×</t>
        </is>
      </c>
    </row>
    <row r="47">
      <c r="A47" t="inlineStr">
        <is>
          <t>2831000694696</t>
        </is>
      </c>
      <c r="B47" t="inlineStr">
        <is>
          <t>ごま団子ＫＩＴ</t>
        </is>
      </c>
      <c r="C47" s="609" t="n">
        <v>1387</v>
      </c>
      <c r="D47" s="609" t="n">
        <v>623.7087238644557</v>
      </c>
      <c r="E47" s="609" t="n">
        <v>778.7880317231435</v>
      </c>
      <c r="F47" s="609" t="n">
        <v>155.0793078586878</v>
      </c>
      <c r="G47" s="609" t="n"/>
      <c r="H47" t="inlineStr">
        <is>
          <t>工程記録なし</t>
        </is>
      </c>
      <c r="J47" s="609">
        <f>IF(AND(ISNUMBER(G47),ISNUMBER(F47)),G47-F47,"")</f>
        <v/>
      </c>
      <c r="K47" s="610">
        <f>IF(ISNUMBER(J47),J47*C47,"")</f>
        <v/>
      </c>
      <c r="L47" s="610" t="n">
        <v>929560.6161032661</v>
      </c>
      <c r="M47" s="610" t="n">
        <v>-141277.6773383814</v>
      </c>
      <c r="O47" t="inlineStr">
        <is>
          <t>×</t>
        </is>
      </c>
    </row>
    <row r="48">
      <c r="A48" t="inlineStr">
        <is>
          <t>4522646106749</t>
        </is>
      </c>
      <c r="B48" t="inlineStr">
        <is>
          <t>Ｓ全粒粉入り湯種ロール６個</t>
        </is>
      </c>
      <c r="C48" s="609" t="n">
        <v>2110</v>
      </c>
      <c r="D48" s="609" t="n">
        <v>85.83981042654028</v>
      </c>
      <c r="E48" s="609" t="n">
        <v>129.2559241706161</v>
      </c>
      <c r="F48" s="609" t="n">
        <v>43.41611374407583</v>
      </c>
      <c r="G48" s="609" t="n">
        <v>25.12941831904844</v>
      </c>
      <c r="H48" t="inlineStr">
        <is>
          <t>②釜湯種ロールパン:kg→【ＱＣＳ】全粒粉入り湯種ロールパン焼成=6.99円 / ③ス湯種ロールパン:kg→【ＱＣＳ】全粒粉入り湯種ロールパン焼成=12.81円 / ⑩盛湯種ロール3個入り:個=3.88円 / ⑩盛湯種ロール6個入り:個=0.33円 / ⑫ミ湯種ロール:kg→【ＱＣＳ】全粒粉入り湯種ロールパン焼成=0.69円 / ⑬計湯種ロール:kg→【ＱＣＳ】全粒粉入り湯種ロールパン焼成=0.44円</t>
        </is>
      </c>
      <c r="J48" s="609">
        <f>IF(AND(ISNUMBER(G48),ISNUMBER(F48)),G48-F48,"")</f>
        <v/>
      </c>
      <c r="K48" s="610">
        <f>IF(ISNUMBER(J48),J48*C48,"")</f>
        <v/>
      </c>
      <c r="L48" s="610" t="n">
        <v>226304.0692498089</v>
      </c>
      <c r="M48" s="610" t="n">
        <v>294387.9801031551</v>
      </c>
      <c r="O48" t="inlineStr">
        <is>
          <t>○</t>
        </is>
      </c>
    </row>
    <row r="49">
      <c r="A49" t="inlineStr">
        <is>
          <t>4522646102437</t>
        </is>
      </c>
      <c r="B49" t="inlineStr">
        <is>
          <t>Ｓまっしろミルクプリン小３</t>
        </is>
      </c>
      <c r="C49" s="609" t="n">
        <v>8782</v>
      </c>
      <c r="D49" s="609" t="n">
        <v>102.3402414028695</v>
      </c>
      <c r="E49" s="609" t="n">
        <v>139.4595764062856</v>
      </c>
      <c r="F49" s="609" t="n">
        <v>37.11933500341608</v>
      </c>
      <c r="G49" s="609" t="n">
        <v>17.4375</v>
      </c>
      <c r="H49" t="inlineStr">
        <is>
          <t>②釜まっしろミルクプリン液:kg→【ＱＣＳ】まっしろミルクプリン液=0.56円 / 前回盛り込み:前回資料×1350/2644=15.19円 / 前回クリーム充填:前回資料×1350/2644=1.69円</t>
        </is>
      </c>
      <c r="J49" s="609">
        <f>IF(AND(ISNUMBER(G49),ISNUMBER(F49)),G49-F49,"")</f>
        <v/>
      </c>
      <c r="K49" s="610">
        <f>IF(ISNUMBER(J49),J49*C49,"")</f>
        <v/>
      </c>
      <c r="L49" s="610" t="n">
        <v>1068600.455221316</v>
      </c>
      <c r="M49" s="610" t="n">
        <v>61011.4740156207</v>
      </c>
      <c r="O49" t="inlineStr">
        <is>
          <t>△</t>
        </is>
      </c>
    </row>
    <row r="50">
      <c r="A50" t="inlineStr">
        <is>
          <t>4522646201901</t>
        </is>
      </c>
      <c r="B50" t="inlineStr">
        <is>
          <t>Ｓもちっと芋の暴れん坊</t>
        </is>
      </c>
      <c r="C50" s="609" t="n">
        <v>11245</v>
      </c>
      <c r="D50" s="609" t="n">
        <v>142.120675855936</v>
      </c>
      <c r="E50" s="609" t="n">
        <v>203.0503334815473</v>
      </c>
      <c r="F50" s="609" t="n">
        <v>60.92965762561138</v>
      </c>
      <c r="G50" s="609" t="n"/>
      <c r="H50" t="inlineStr">
        <is>
          <t>工程記録なし</t>
        </is>
      </c>
      <c r="J50" s="609">
        <f>IF(AND(ISNUMBER(G50),ISNUMBER(F50)),G50-F50,"")</f>
        <v/>
      </c>
      <c r="K50" s="610">
        <f>IF(ISNUMBER(J50),J50*C50,"")</f>
        <v/>
      </c>
      <c r="L50" s="610" t="n">
        <v>826462.3967231028</v>
      </c>
      <c r="M50" s="610" t="n">
        <v>286033.2285033096</v>
      </c>
      <c r="O50" t="inlineStr">
        <is>
          <t>×</t>
        </is>
      </c>
    </row>
    <row r="51">
      <c r="A51" t="inlineStr">
        <is>
          <t>2831000634500</t>
        </is>
      </c>
      <c r="B51" t="inlineStr">
        <is>
          <t>豚ももスライスＫＩＴ</t>
        </is>
      </c>
      <c r="C51" s="609" t="n">
        <v>774</v>
      </c>
      <c r="D51" s="609" t="n">
        <v>1016.333333333333</v>
      </c>
      <c r="E51" s="609" t="n">
        <v>1269.842377260982</v>
      </c>
      <c r="F51" s="609" t="n">
        <v>253.5090439276486</v>
      </c>
      <c r="G51" s="609" t="n"/>
      <c r="H51" t="inlineStr">
        <is>
          <t>工程記録なし</t>
        </is>
      </c>
      <c r="J51" s="609">
        <f>IF(AND(ISNUMBER(G51),ISNUMBER(F51)),G51-F51,"")</f>
        <v/>
      </c>
      <c r="K51" s="610">
        <f>IF(ISNUMBER(J51),J51*C51,"")</f>
        <v/>
      </c>
      <c r="L51" s="610" t="n">
        <v>779827.7899570812</v>
      </c>
      <c r="M51" s="610" t="n">
        <v>122051.1262118173</v>
      </c>
      <c r="O51" t="inlineStr">
        <is>
          <t>×</t>
        </is>
      </c>
    </row>
    <row r="52">
      <c r="A52" t="inlineStr">
        <is>
          <t>2831000629186</t>
        </is>
      </c>
      <c r="B52" t="inlineStr">
        <is>
          <t>福島生姜焼きＫＩＴ</t>
        </is>
      </c>
      <c r="C52" s="609" t="n">
        <v>203</v>
      </c>
      <c r="D52" s="609" t="n">
        <v>1194.147783251231</v>
      </c>
      <c r="E52" s="609" t="n">
        <v>1497.147783251231</v>
      </c>
      <c r="F52" s="609" t="n">
        <v>303</v>
      </c>
      <c r="G52" s="609" t="n"/>
      <c r="H52" t="inlineStr">
        <is>
          <t>工程記録なし</t>
        </is>
      </c>
      <c r="J52" s="609">
        <f>IF(AND(ISNUMBER(G52),ISNUMBER(F52)),G52-F52,"")</f>
        <v/>
      </c>
      <c r="K52" s="610">
        <f>IF(ISNUMBER(J52),J52*C52,"")</f>
        <v/>
      </c>
      <c r="L52" s="610" t="n">
        <v>234281.3333333333</v>
      </c>
      <c r="M52" s="610" t="n">
        <v>-228683.0382255003</v>
      </c>
      <c r="O52" t="inlineStr">
        <is>
          <t>×</t>
        </is>
      </c>
    </row>
    <row r="53">
      <c r="A53" t="inlineStr">
        <is>
          <t>2831000694719</t>
        </is>
      </c>
      <c r="B53" t="inlineStr">
        <is>
          <t>２５自社製焼豚（生）ＫＩＴ</t>
        </is>
      </c>
      <c r="C53" s="609" t="n">
        <v>184</v>
      </c>
      <c r="D53" s="609" t="n">
        <v>886.8858695652174</v>
      </c>
      <c r="E53" s="609" t="n">
        <v>1108.184782608696</v>
      </c>
      <c r="F53" s="609" t="n">
        <v>221.2989130434783</v>
      </c>
      <c r="G53" s="609" t="n"/>
      <c r="H53" t="inlineStr">
        <is>
          <t>工程記録なし</t>
        </is>
      </c>
      <c r="J53" s="609">
        <f>IF(AND(ISNUMBER(G53),ISNUMBER(F53)),G53-F53,"")</f>
        <v/>
      </c>
      <c r="K53" s="610">
        <f>IF(ISNUMBER(J53),J53*C53,"")</f>
        <v/>
      </c>
      <c r="L53" s="610" t="n">
        <v>160206.3643042672</v>
      </c>
      <c r="M53" s="610" t="n">
        <v>266169.3679703174</v>
      </c>
      <c r="O53" t="inlineStr">
        <is>
          <t>×</t>
        </is>
      </c>
    </row>
    <row r="54">
      <c r="A54" t="inlineStr">
        <is>
          <t>2569447000000</t>
        </is>
      </c>
      <c r="B54" t="inlineStr">
        <is>
          <t>みかんの牛乳寒天　小</t>
        </is>
      </c>
      <c r="C54" s="609" t="n">
        <v>8031</v>
      </c>
      <c r="D54" s="609" t="n">
        <v>89.37268086166107</v>
      </c>
      <c r="E54" s="609" t="n">
        <v>121.4390486863404</v>
      </c>
      <c r="F54" s="609" t="n">
        <v>32.06636782467937</v>
      </c>
      <c r="G54" s="609" t="n">
        <v>9.539251134644477</v>
      </c>
      <c r="H54" t="inlineStr">
        <is>
          <t>前回盛り込み:前回資料×1350/2644=6.75円 / 前回釜:前回資料×1350/2644=1.44円 / 前回計量:前回資料×1350/2644=1.35円</t>
        </is>
      </c>
      <c r="I54" t="inlineStr">
        <is>
          <t>みかん牛乳寒天</t>
        </is>
      </c>
      <c r="J54" s="609">
        <f>IF(AND(ISNUMBER(G54),ISNUMBER(F54)),G54-F54,"")</f>
        <v/>
      </c>
      <c r="K54" s="610">
        <f>IF(ISNUMBER(J54),J54*C54,"")</f>
        <v/>
      </c>
      <c r="L54" s="610" t="n">
        <v>477284.0944517138</v>
      </c>
      <c r="M54" s="610" t="n">
        <v>10091.85822899878</v>
      </c>
      <c r="O54" t="inlineStr">
        <is>
          <t>△</t>
        </is>
      </c>
    </row>
    <row r="55">
      <c r="A55" t="inlineStr">
        <is>
          <t>2831000599816</t>
        </is>
      </c>
      <c r="B55" t="inlineStr">
        <is>
          <t>照り焼きチキンピザＫＩＴ４</t>
        </is>
      </c>
      <c r="C55" s="609" t="n">
        <v>2159</v>
      </c>
      <c r="D55" s="609" t="n">
        <v>290</v>
      </c>
      <c r="E55" s="609" t="n">
        <v>362.5261695229273</v>
      </c>
      <c r="F55" s="609" t="n">
        <v>72.52616952292728</v>
      </c>
      <c r="G55" s="609" t="n"/>
      <c r="H55" t="inlineStr">
        <is>
          <t>工程記録なし</t>
        </is>
      </c>
      <c r="J55" s="609">
        <f>IF(AND(ISNUMBER(G55),ISNUMBER(F55)),G55-F55,"")</f>
        <v/>
      </c>
      <c r="K55" s="610">
        <f>IF(ISNUMBER(J55),J55*C55,"")</f>
        <v/>
      </c>
      <c r="L55" s="610" t="n">
        <v>244576.7173973896</v>
      </c>
      <c r="M55" s="610" t="n">
        <v>103965.5184399169</v>
      </c>
      <c r="O55" t="inlineStr">
        <is>
          <t>×</t>
        </is>
      </c>
    </row>
    <row r="56">
      <c r="A56" t="inlineStr">
        <is>
          <t>2569455000000</t>
        </is>
      </c>
      <c r="B56" t="inlineStr">
        <is>
          <t>みかんの牛乳寒天２</t>
        </is>
      </c>
      <c r="C56" s="609" t="n">
        <v>5399</v>
      </c>
      <c r="D56" s="609" t="n">
        <v>132.0066679014632</v>
      </c>
      <c r="E56" s="609" t="n">
        <v>178.7199481385442</v>
      </c>
      <c r="F56" s="609" t="n">
        <v>46.71328023708094</v>
      </c>
      <c r="G56" s="609" t="n">
        <v>9.539251134644477</v>
      </c>
      <c r="H56" t="inlineStr">
        <is>
          <t>前回盛り込み:前回資料×1350/2644=6.75円 / 前回釜:前回資料×1350/2644=1.44円 / 前回計量:前回資料×1350/2644=1.35円</t>
        </is>
      </c>
      <c r="I56" t="inlineStr">
        <is>
          <t>みかん牛乳寒天</t>
        </is>
      </c>
      <c r="J56" s="609">
        <f>IF(AND(ISNUMBER(G56),ISNUMBER(F56)),G56-F56,"")</f>
        <v/>
      </c>
      <c r="K56" s="610">
        <f>IF(ISNUMBER(J56),J56*C56,"")</f>
        <v/>
      </c>
      <c r="L56" s="610" t="n">
        <v>473596.0861668782</v>
      </c>
      <c r="M56" s="610" t="n">
        <v>9972.892437821854</v>
      </c>
      <c r="O56" t="inlineStr">
        <is>
          <t>△</t>
        </is>
      </c>
    </row>
    <row r="57">
      <c r="A57" t="inlineStr">
        <is>
          <t>2831000694399</t>
        </is>
      </c>
      <c r="B57" t="inlineStr">
        <is>
          <t>あんこＫＩＴ　１ｋｇ</t>
        </is>
      </c>
      <c r="C57" s="609" t="n">
        <v>447</v>
      </c>
      <c r="D57" s="609" t="n">
        <v>406.261744966443</v>
      </c>
      <c r="E57" s="609" t="n">
        <v>507.7203579418344</v>
      </c>
      <c r="F57" s="609" t="n">
        <v>101.4586129753915</v>
      </c>
      <c r="G57" s="609" t="n">
        <v>18.75</v>
      </c>
      <c r="H57" t="inlineStr">
        <is>
          <t>②釜あんこ:kg→【ＰＣ加工用】おはぎ用あんこＲＮ=18.75円</t>
        </is>
      </c>
      <c r="J57" s="609">
        <f>IF(AND(ISNUMBER(G57),ISNUMBER(F57)),G57-F57,"")</f>
        <v/>
      </c>
      <c r="K57" s="610">
        <f>IF(ISNUMBER(J57),J57*C57,"")</f>
        <v/>
      </c>
      <c r="L57" s="610" t="n">
        <v>251249.9931220781</v>
      </c>
      <c r="M57" s="610" t="n">
        <v>-122471.9719475321</v>
      </c>
      <c r="O57" t="inlineStr">
        <is>
          <t>△</t>
        </is>
      </c>
    </row>
    <row r="58">
      <c r="A58" t="inlineStr">
        <is>
          <t>2831000588926</t>
        </is>
      </c>
      <c r="B58" t="inlineStr">
        <is>
          <t>砂ずり唐揚げＫＩＴ</t>
        </is>
      </c>
      <c r="C58" s="609" t="n">
        <v>2037</v>
      </c>
      <c r="D58" s="609" t="n">
        <v>594.6863033873343</v>
      </c>
      <c r="E58" s="609" t="n">
        <v>749.9027982326951</v>
      </c>
      <c r="F58" s="609" t="n">
        <v>155.2164948453608</v>
      </c>
      <c r="G58" s="609" t="n"/>
      <c r="H58" t="inlineStr">
        <is>
          <t>工程記録なし</t>
        </is>
      </c>
      <c r="J58" s="609">
        <f>IF(AND(ISNUMBER(G58),ISNUMBER(F58)),G58-F58,"")</f>
        <v/>
      </c>
      <c r="K58" s="610">
        <f>IF(ISNUMBER(J58),J58*C58,"")</f>
        <v/>
      </c>
      <c r="L58" s="610" t="n">
        <v>1194122.394050654</v>
      </c>
      <c r="M58" s="610" t="n">
        <v>64727.89609751159</v>
      </c>
      <c r="O58" t="inlineStr">
        <is>
          <t>×</t>
        </is>
      </c>
    </row>
    <row r="59">
      <c r="A59" t="inlineStr">
        <is>
          <t>2831000719320</t>
        </is>
      </c>
      <c r="B59" t="inlineStr">
        <is>
          <t>ハンバーグキット１０００４</t>
        </is>
      </c>
      <c r="C59" s="609" t="n">
        <v>367</v>
      </c>
      <c r="D59" s="609" t="n">
        <v>788.8555858310626</v>
      </c>
      <c r="E59" s="609" t="n">
        <v>1010.852861035422</v>
      </c>
      <c r="F59" s="609" t="n">
        <v>221.9972752043597</v>
      </c>
      <c r="G59" s="609" t="n"/>
      <c r="H59" t="inlineStr">
        <is>
          <t>工程記録なし</t>
        </is>
      </c>
      <c r="J59" s="609">
        <f>IF(AND(ISNUMBER(G59),ISNUMBER(F59)),G59-F59,"")</f>
        <v/>
      </c>
      <c r="K59" s="610">
        <f>IF(ISNUMBER(J59),J59*C59,"")</f>
        <v/>
      </c>
      <c r="L59" s="610" t="n">
        <v>274362.2400266159</v>
      </c>
      <c r="M59" s="610" t="n">
        <v>-195703.516952854</v>
      </c>
      <c r="O59" t="inlineStr">
        <is>
          <t>×</t>
        </is>
      </c>
    </row>
    <row r="60">
      <c r="A60" t="inlineStr">
        <is>
          <t>2831000694047</t>
        </is>
      </c>
      <c r="B60" t="inlineStr">
        <is>
          <t>Ｓ砂ずり唐揚げＫＩＴブラ産</t>
        </is>
      </c>
      <c r="C60" s="609" t="n">
        <v>993</v>
      </c>
      <c r="D60" s="609" t="n">
        <v>621.0906344410876</v>
      </c>
      <c r="E60" s="609" t="n">
        <v>776.3383685800604</v>
      </c>
      <c r="F60" s="609" t="n">
        <v>155.2477341389728</v>
      </c>
      <c r="G60" s="609" t="n"/>
      <c r="H60" t="inlineStr">
        <is>
          <t>工程記録なし</t>
        </is>
      </c>
      <c r="J60" s="609">
        <f>IF(AND(ISNUMBER(G60),ISNUMBER(F60)),G60-F60,"")</f>
        <v/>
      </c>
      <c r="K60" s="610">
        <f>IF(ISNUMBER(J60),J60*C60,"")</f>
        <v/>
      </c>
      <c r="L60" s="610" t="n">
        <v>582210.5445454974</v>
      </c>
      <c r="M60" s="610" t="n">
        <v>31434.17994352168</v>
      </c>
      <c r="O60" t="inlineStr">
        <is>
          <t>×</t>
        </is>
      </c>
    </row>
    <row r="61">
      <c r="A61" t="inlineStr">
        <is>
          <t>2543875000000</t>
        </is>
      </c>
      <c r="B61" t="inlineStr">
        <is>
          <t>ふわもちホテルロール８個入</t>
        </is>
      </c>
      <c r="C61" s="609" t="n">
        <v>15950</v>
      </c>
      <c r="D61" s="609" t="n">
        <v>89.51235109717868</v>
      </c>
      <c r="E61" s="609" t="n">
        <v>135.1841379310345</v>
      </c>
      <c r="F61" s="609" t="n">
        <v>45.6717868338558</v>
      </c>
      <c r="G61" s="609" t="n">
        <v>59.84495716968737</v>
      </c>
      <c r="H61" t="inlineStr">
        <is>
          <t>②釜ホテルロール:kg→【ＱＣＳ】ホテルロール焼成=0.17円 / ③スホテルロール:kg→【ＱＣＳ】ホテルロール焼成=0.34円 / ⑩盛ホテルロール3個:個=2.74円 / ⑩盛ホテルロール8個:個=0.31円 / ⑩盛ホテルロール40個:個=56.25円 / ⑫ミホテルロール:kg→【ＱＣＳ】ホテルロール焼成=0.01円 / ⑬計ホテルロール:kg→【ＱＣＳ】ホテルロール焼成=0.02円</t>
        </is>
      </c>
      <c r="J61" s="609">
        <f>IF(AND(ISNUMBER(G61),ISNUMBER(F61)),G61-F61,"")</f>
        <v/>
      </c>
      <c r="K61" s="610">
        <f>IF(ISNUMBER(J61),J61*C61,"")</f>
        <v/>
      </c>
      <c r="L61" s="610" t="n">
        <v>29870.39181115418</v>
      </c>
      <c r="M61" s="610" t="n">
        <v>41239.19090661697</v>
      </c>
      <c r="O61" t="inlineStr">
        <is>
          <t>○</t>
        </is>
      </c>
    </row>
    <row r="62">
      <c r="A62" t="inlineStr">
        <is>
          <t>2510534000000</t>
        </is>
      </c>
      <c r="B62" t="inlineStr">
        <is>
          <t>カスタード＆ホイップシュー</t>
        </is>
      </c>
      <c r="C62" s="609" t="n">
        <v>16569</v>
      </c>
      <c r="D62" s="609" t="n">
        <v>115.1514273643551</v>
      </c>
      <c r="E62" s="609" t="n">
        <v>155.8306475949061</v>
      </c>
      <c r="F62" s="609" t="n">
        <v>40.67922023055103</v>
      </c>
      <c r="G62" s="609" t="n">
        <v>48.63474895798601</v>
      </c>
      <c r="H62" t="inlineStr">
        <is>
          <t>⑩盛カスタード＆ホイップシュー（盛り込み）:個=10.12円 / ⑩盛シュー生地（盛り）:個=1.87円 / ⑩盛絞り（盛り）:個=11.76円 / ⑩盛焼成（盛り）:個=0.56円 / ⑩盛穴あけ（盛り）:個=1.57円 / ⑩盛クリーム入れ（盛り）:個=15.26円 / ⑪Zカスタード＆ホイップシュー（ZEN）:個=7.5円</t>
        </is>
      </c>
      <c r="J62" s="609">
        <f>IF(AND(ISNUMBER(G62),ISNUMBER(F62)),G62-F62,"")</f>
        <v/>
      </c>
      <c r="K62" s="610">
        <f>IF(ISNUMBER(J62),J62*C62,"")</f>
        <v/>
      </c>
      <c r="L62" s="610" t="n">
        <v>807452.3301221028</v>
      </c>
      <c r="M62" s="610" t="n">
        <v>16355.881103787</v>
      </c>
      <c r="O62" t="inlineStr">
        <is>
          <t>○</t>
        </is>
      </c>
    </row>
    <row r="63">
      <c r="A63" t="inlineStr">
        <is>
          <t>2512166000000</t>
        </is>
      </c>
      <c r="B63" t="inlineStr">
        <is>
          <t>まっしろミルクプリン３</t>
        </is>
      </c>
      <c r="C63" s="609" t="n">
        <v>3094</v>
      </c>
      <c r="D63" s="609" t="n">
        <v>132.9124111182935</v>
      </c>
      <c r="E63" s="609" t="n">
        <v>180.0685197155785</v>
      </c>
      <c r="F63" s="609" t="n">
        <v>47.15610859728506</v>
      </c>
      <c r="G63" s="609" t="n">
        <v>17.6625</v>
      </c>
      <c r="H63" t="inlineStr">
        <is>
          <t>②釜まっしろミルクプリン液:kg→【ＱＣＳ】まっしろミルクプリン液=0.79円 / 前回盛り込み:前回資料×1350/2644=15.19円 / 前回クリーム充填:前回資料×1350/2644=1.69円</t>
        </is>
      </c>
      <c r="J63" s="609">
        <f>IF(AND(ISNUMBER(G63),ISNUMBER(F63)),G63-F63,"")</f>
        <v/>
      </c>
      <c r="K63" s="610">
        <f>IF(ISNUMBER(J63),J63*C63,"")</f>
        <v/>
      </c>
      <c r="L63" s="610" t="n">
        <v>502353.2097602215</v>
      </c>
      <c r="M63" s="610" t="n">
        <v>26381.91198025566</v>
      </c>
      <c r="O63" t="inlineStr">
        <is>
          <t>△</t>
        </is>
      </c>
    </row>
    <row r="64">
      <c r="A64" t="inlineStr">
        <is>
          <t>2511961000000</t>
        </is>
      </c>
      <c r="B64" t="inlineStr">
        <is>
          <t>プリン！？なロールケーキ</t>
        </is>
      </c>
      <c r="C64" s="609" t="n">
        <v>2382</v>
      </c>
      <c r="D64" s="609" t="n">
        <v>165.7997481108312</v>
      </c>
      <c r="E64" s="609" t="n">
        <v>224.7044500419815</v>
      </c>
      <c r="F64" s="609" t="n">
        <v>58.90470193115029</v>
      </c>
      <c r="G64" s="609" t="n">
        <v>24.13636363636364</v>
      </c>
      <c r="H64" t="inlineStr">
        <is>
          <t>⑩盛プリンロールケーキ（盛り込み）:個=21.6円 / ⑭手プリンロールケーキ（プリン）:個=1.69円 / ⑭手プリンロールケーキ（太巻き細巻きカット）:個=0.85円</t>
        </is>
      </c>
      <c r="J64" s="609">
        <f>IF(AND(ISNUMBER(G64),ISNUMBER(F64)),G64-F64,"")</f>
        <v/>
      </c>
      <c r="K64" s="610">
        <f>IF(ISNUMBER(J64),J64*C64,"")</f>
        <v/>
      </c>
      <c r="L64" s="610" t="n">
        <v>257891.5231055322</v>
      </c>
      <c r="M64" s="610" t="n">
        <v>109198.9777014671</v>
      </c>
      <c r="O64" t="inlineStr">
        <is>
          <t>△</t>
        </is>
      </c>
    </row>
    <row r="65">
      <c r="A65" t="inlineStr">
        <is>
          <t>2831000719467</t>
        </is>
      </c>
      <c r="B65" t="inlineStr">
        <is>
          <t>自社製コロッケＫＩＴ４</t>
        </is>
      </c>
      <c r="C65" s="609" t="n">
        <v>855</v>
      </c>
      <c r="D65" s="609" t="n">
        <v>492.9520467836257</v>
      </c>
      <c r="E65" s="609" t="n">
        <v>631.9520467836257</v>
      </c>
      <c r="F65" s="609" t="n">
        <v>139</v>
      </c>
      <c r="G65" s="609" t="n"/>
      <c r="H65" t="inlineStr">
        <is>
          <t>工程記録なし</t>
        </is>
      </c>
      <c r="J65" s="609">
        <f>IF(AND(ISNUMBER(G65),ISNUMBER(F65)),G65-F65,"")</f>
        <v/>
      </c>
      <c r="K65" s="610">
        <f>IF(ISNUMBER(J65),J65*C65,"")</f>
        <v/>
      </c>
      <c r="L65" s="610" t="n">
        <v>413920.4974149088</v>
      </c>
      <c r="M65" s="610" t="n">
        <v>-71024.49936740895</v>
      </c>
      <c r="O65" t="inlineStr">
        <is>
          <t>×</t>
        </is>
      </c>
    </row>
    <row r="66">
      <c r="A66" t="inlineStr">
        <is>
          <t>2562746000000</t>
        </is>
      </c>
      <c r="B66" t="inlineStr">
        <is>
          <t>もちっと芋の暴れん坊</t>
        </is>
      </c>
      <c r="C66" s="609" t="n">
        <v>5273</v>
      </c>
      <c r="D66" s="609" t="n">
        <v>142.0870472216954</v>
      </c>
      <c r="E66" s="609" t="n">
        <v>203.0127062393325</v>
      </c>
      <c r="F66" s="609" t="n">
        <v>60.92565901763702</v>
      </c>
      <c r="G66" s="609" t="n"/>
      <c r="H66" t="inlineStr">
        <is>
          <t>工程記録なし</t>
        </is>
      </c>
      <c r="J66" s="609">
        <f>IF(AND(ISNUMBER(G66),ISNUMBER(F66)),G66-F66,"")</f>
        <v/>
      </c>
      <c r="K66" s="610">
        <f>IF(ISNUMBER(J66),J66*C66,"")</f>
        <v/>
      </c>
      <c r="L66" s="610" t="n">
        <v>387544.3501930566</v>
      </c>
      <c r="M66" s="610" t="n">
        <v>134126.5641527748</v>
      </c>
      <c r="O66" t="inlineStr">
        <is>
          <t>×</t>
        </is>
      </c>
    </row>
    <row r="67">
      <c r="A67" t="inlineStr">
        <is>
          <t>2558109000000</t>
        </is>
      </c>
      <c r="B67" t="inlineStr">
        <is>
          <t>チーズ塩パン２個</t>
        </is>
      </c>
      <c r="C67" s="609" t="n">
        <v>1723</v>
      </c>
      <c r="D67" s="609" t="n">
        <v>77.35809634358677</v>
      </c>
      <c r="E67" s="609" t="n">
        <v>117.1897852582705</v>
      </c>
      <c r="F67" s="609" t="n">
        <v>39.83168891468369</v>
      </c>
      <c r="G67" s="609" t="n">
        <v>2.4403125</v>
      </c>
      <c r="H67" t="inlineStr">
        <is>
          <t>②釜塩パン:kg→【ＱＣＳ】チーズ塩パン焼成=0.04円 / ③ス塩パン:kg→【ＱＣＳ】チーズ塩パン焼成=0.08円 / ⑩盛チーズ塩パン:個=2.25円 / ⑫ミ塩パン:kg→【ＱＣＳ】チーズ塩パン焼成=0.01円 / ⑬計塩パン:kg→【ＱＣＳ】チーズ塩パン焼成=0.06円</t>
        </is>
      </c>
      <c r="J67" s="609">
        <f>IF(AND(ISNUMBER(G67),ISNUMBER(F67)),G67-F67,"")</f>
        <v/>
      </c>
      <c r="K67" s="610">
        <f>IF(ISNUMBER(J67),J67*C67,"")</f>
        <v/>
      </c>
      <c r="L67" s="610" t="n">
        <v>1538.048735554979</v>
      </c>
      <c r="M67" s="610" t="n">
        <v>44627.76596878273</v>
      </c>
      <c r="O67" t="inlineStr">
        <is>
          <t>△</t>
        </is>
      </c>
    </row>
    <row r="68">
      <c r="A68" t="inlineStr">
        <is>
          <t>2557400000000</t>
        </is>
      </c>
      <c r="B68" t="inlineStr">
        <is>
          <t>クリーム爆盛ロールケーキ大</t>
        </is>
      </c>
      <c r="C68" s="609" t="n">
        <v>341</v>
      </c>
      <c r="D68" s="609" t="n">
        <v>290.8533724340176</v>
      </c>
      <c r="E68" s="609" t="n">
        <v>413.3841642228739</v>
      </c>
      <c r="F68" s="609" t="n">
        <v>122.5307917888563</v>
      </c>
      <c r="G68" s="609" t="n"/>
      <c r="H68" t="inlineStr">
        <is>
          <t>工程記録なし</t>
        </is>
      </c>
      <c r="J68" s="609">
        <f>IF(AND(ISNUMBER(G68),ISNUMBER(F68)),G68-F68,"")</f>
        <v/>
      </c>
      <c r="K68" s="610">
        <f>IF(ISNUMBER(J68),J68*C68,"")</f>
        <v/>
      </c>
      <c r="L68" s="610" t="n">
        <v>86701.17744081633</v>
      </c>
      <c r="M68" s="610" t="n">
        <v>72495.95295651857</v>
      </c>
      <c r="O68" t="inlineStr">
        <is>
          <t>×</t>
        </is>
      </c>
    </row>
    <row r="69">
      <c r="A69" t="inlineStr">
        <is>
          <t>2831000722795</t>
        </is>
      </c>
      <c r="B69" t="inlineStr">
        <is>
          <t>鶏皮唐揚げＫＩＴ</t>
        </is>
      </c>
      <c r="C69" s="609" t="n">
        <v>1223</v>
      </c>
      <c r="D69" s="609" t="n">
        <v>301.011447260834</v>
      </c>
      <c r="E69" s="609" t="n">
        <v>385.011447260834</v>
      </c>
      <c r="F69" s="609" t="n">
        <v>84</v>
      </c>
      <c r="G69" s="609" t="n"/>
      <c r="H69" t="inlineStr">
        <is>
          <t>工程記録なし</t>
        </is>
      </c>
      <c r="J69" s="609">
        <f>IF(AND(ISNUMBER(G69),ISNUMBER(F69)),G69-F69,"")</f>
        <v/>
      </c>
      <c r="K69" s="610">
        <f>IF(ISNUMBER(J69),J69*C69,"")</f>
        <v/>
      </c>
      <c r="L69" s="610" t="n">
        <v>2160820.404429216</v>
      </c>
      <c r="M69" s="610" t="n">
        <v>-102649.7707730831</v>
      </c>
      <c r="O69" t="inlineStr">
        <is>
          <t>×</t>
        </is>
      </c>
    </row>
    <row r="70">
      <c r="A70" t="inlineStr">
        <is>
          <t>2831000719337</t>
        </is>
      </c>
      <c r="B70" t="inlineStr">
        <is>
          <t>チキン南蛮用（むね肉）</t>
        </is>
      </c>
      <c r="C70" s="609" t="n">
        <v>857</v>
      </c>
      <c r="D70" s="609" t="n">
        <v>964.4480746791132</v>
      </c>
      <c r="E70" s="609" t="n">
        <v>1204.864644107351</v>
      </c>
      <c r="F70" s="609" t="n">
        <v>240.416569428238</v>
      </c>
      <c r="G70" s="609" t="n"/>
      <c r="H70" t="inlineStr">
        <is>
          <t>工程記録なし</t>
        </is>
      </c>
      <c r="J70" s="609">
        <f>IF(AND(ISNUMBER(G70),ISNUMBER(F70)),G70-F70,"")</f>
        <v/>
      </c>
      <c r="K70" s="610">
        <f>IF(ISNUMBER(J70),J70*C70,"")</f>
        <v/>
      </c>
      <c r="L70" s="610" t="n">
        <v>919374.6462244898</v>
      </c>
      <c r="M70" s="610" t="n">
        <v>-97742.83717051668</v>
      </c>
      <c r="O70" t="inlineStr">
        <is>
          <t>×</t>
        </is>
      </c>
    </row>
    <row r="71">
      <c r="A71" t="inlineStr">
        <is>
          <t>2562607000000</t>
        </is>
      </c>
      <c r="B71" t="inlineStr">
        <is>
          <t>パキっとろっお芋ティラミス</t>
        </is>
      </c>
      <c r="C71" s="609" t="n">
        <v>5569</v>
      </c>
      <c r="D71" s="609" t="n">
        <v>127.580894235949</v>
      </c>
      <c r="E71" s="609" t="n">
        <v>181.990842161968</v>
      </c>
      <c r="F71" s="609" t="n">
        <v>54.40994792601904</v>
      </c>
      <c r="G71" s="609" t="n"/>
      <c r="H71" t="inlineStr">
        <is>
          <t>工程記録なし</t>
        </is>
      </c>
      <c r="J71" s="609">
        <f>IF(AND(ISNUMBER(G71),ISNUMBER(F71)),G71-F71,"")</f>
        <v/>
      </c>
      <c r="K71" s="610">
        <f>IF(ISNUMBER(J71),J71*C71,"")</f>
        <v/>
      </c>
      <c r="L71" s="610" t="n">
        <v>627052.388203154</v>
      </c>
      <c r="M71" s="610" t="n">
        <v>96327.12808709299</v>
      </c>
      <c r="O71" t="inlineStr">
        <is>
          <t>×</t>
        </is>
      </c>
    </row>
    <row r="72">
      <c r="A72" t="inlineStr">
        <is>
          <t>2831000692401</t>
        </is>
      </c>
      <c r="B72" t="inlineStr">
        <is>
          <t>ガーリックフランスＫＩＴ</t>
        </is>
      </c>
      <c r="C72" s="609" t="n">
        <v>1653</v>
      </c>
      <c r="D72" s="609" t="n">
        <v>415.2921960072595</v>
      </c>
      <c r="E72" s="609" t="n">
        <v>519.7065940713853</v>
      </c>
      <c r="F72" s="609" t="n">
        <v>104.4143980641258</v>
      </c>
      <c r="G72" s="609" t="n">
        <v>2.616279069767442</v>
      </c>
      <c r="H72" t="inlineStr">
        <is>
          <t>⑩盛ガーリックフランス:個=2.62円</t>
        </is>
      </c>
      <c r="I72" t="inlineStr">
        <is>
          <t>ガーリックフランス、ガーリックフランス</t>
        </is>
      </c>
      <c r="J72" s="609">
        <f>IF(AND(ISNUMBER(G72),ISNUMBER(F72)),G72-F72,"")</f>
        <v/>
      </c>
      <c r="K72" s="610">
        <f>IF(ISNUMBER(J72),J72*C72,"")</f>
        <v/>
      </c>
      <c r="L72" s="610" t="n">
        <v>12819.18367346939</v>
      </c>
      <c r="M72" s="610" t="n">
        <v>25763.48243605956</v>
      </c>
      <c r="O72" t="inlineStr">
        <is>
          <t>△</t>
        </is>
      </c>
    </row>
    <row r="73">
      <c r="A73" t="inlineStr">
        <is>
          <t>2556874000000</t>
        </is>
      </c>
      <c r="B73" t="inlineStr">
        <is>
          <t>塩パン２個</t>
        </is>
      </c>
      <c r="C73" s="609" t="n">
        <v>1937</v>
      </c>
      <c r="D73" s="609" t="n">
        <v>55.72638100154879</v>
      </c>
      <c r="E73" s="609" t="n">
        <v>84.442436757873</v>
      </c>
      <c r="F73" s="609" t="n">
        <v>28.71605575632421</v>
      </c>
      <c r="G73" s="609" t="n">
        <v>2.4403125</v>
      </c>
      <c r="H73" t="inlineStr">
        <is>
          <t>②釜塩パン:kg→【ＱＣＳ】塩パン焼成=0.04円 / ③ス塩パン:kg→【ＱＣＳ】塩パン焼成=0.08円 / ⑩盛塩パン2個入り:個=2.25円 / ⑫ミ塩パン:kg→【ＱＣＳ】塩パン焼成=0.01円 / ⑬計塩パン:kg→【ＱＣＳ】塩パン焼成=0.06円</t>
        </is>
      </c>
      <c r="J73" s="609">
        <f>IF(AND(ISNUMBER(G73),ISNUMBER(F73)),G73-F73,"")</f>
        <v/>
      </c>
      <c r="K73" s="610">
        <f>IF(ISNUMBER(J73),J73*C73,"")</f>
        <v/>
      </c>
      <c r="L73" s="610" t="n">
        <v>1430.110512986938</v>
      </c>
      <c r="M73" s="610" t="n">
        <v>1469.280614376493</v>
      </c>
      <c r="O73" t="inlineStr">
        <is>
          <t>△</t>
        </is>
      </c>
    </row>
    <row r="74">
      <c r="A74" t="inlineStr">
        <is>
          <t>2562603000000</t>
        </is>
      </c>
      <c r="B74" t="inlineStr">
        <is>
          <t>お芋ムースのパンナコッタ</t>
        </is>
      </c>
      <c r="C74" s="609" t="n">
        <v>6076</v>
      </c>
      <c r="D74" s="609" t="n">
        <v>143.7039170506912</v>
      </c>
      <c r="E74" s="609" t="n">
        <v>205.275181040158</v>
      </c>
      <c r="F74" s="609" t="n">
        <v>61.57126398946676</v>
      </c>
      <c r="G74" s="609" t="n"/>
      <c r="H74" t="inlineStr">
        <is>
          <t>工程記録なし</t>
        </is>
      </c>
      <c r="J74" s="609">
        <f>IF(AND(ISNUMBER(G74),ISNUMBER(F74)),G74-F74,"")</f>
        <v/>
      </c>
      <c r="K74" s="610">
        <f>IF(ISNUMBER(J74),J74*C74,"")</f>
        <v/>
      </c>
      <c r="L74" s="610" t="n">
        <v>780056.0481454546</v>
      </c>
      <c r="M74" s="610" t="n">
        <v>88449.31887987113</v>
      </c>
      <c r="O74" t="inlineStr">
        <is>
          <t>×</t>
        </is>
      </c>
    </row>
    <row r="75">
      <c r="A75" t="inlineStr">
        <is>
          <t>2831000691503</t>
        </is>
      </c>
      <c r="B75" t="inlineStr">
        <is>
          <t>明太フィリングＫＩＴ</t>
        </is>
      </c>
      <c r="C75" s="609" t="n">
        <v>795</v>
      </c>
      <c r="D75" s="609" t="n">
        <v>1565.847798742138</v>
      </c>
      <c r="E75" s="609" t="n">
        <v>1958.847798742138</v>
      </c>
      <c r="F75" s="609" t="n">
        <v>393</v>
      </c>
      <c r="G75" s="609" t="n"/>
      <c r="H75" t="inlineStr">
        <is>
          <t>工程記録なし</t>
        </is>
      </c>
      <c r="J75" s="609">
        <f>IF(AND(ISNUMBER(G75),ISNUMBER(F75)),G75-F75,"")</f>
        <v/>
      </c>
      <c r="K75" s="610">
        <f>IF(ISNUMBER(J75),J75*C75,"")</f>
        <v/>
      </c>
      <c r="L75" s="610" t="n">
        <v>1239004.173979592</v>
      </c>
      <c r="M75" s="610" t="n">
        <v>-86130.40960576301</v>
      </c>
      <c r="O75" t="inlineStr">
        <is>
          <t>×</t>
        </is>
      </c>
    </row>
    <row r="76">
      <c r="A76" t="inlineStr">
        <is>
          <t>2831000692418</t>
        </is>
      </c>
      <c r="B76" t="inlineStr">
        <is>
          <t>明太フランスパンＫＩＴ</t>
        </is>
      </c>
      <c r="C76" s="609" t="n">
        <v>1435</v>
      </c>
      <c r="D76" s="609" t="n">
        <v>349.6752613240418</v>
      </c>
      <c r="E76" s="609" t="n">
        <v>437.5588850174216</v>
      </c>
      <c r="F76" s="609" t="n">
        <v>87.88362369337979</v>
      </c>
      <c r="G76" s="609" t="n">
        <v>4.017857142857143</v>
      </c>
      <c r="H76" t="inlineStr">
        <is>
          <t>⑩盛明太フランスKIT:個=4.02円</t>
        </is>
      </c>
      <c r="I76" t="inlineStr">
        <is>
          <t>明太フランス、明太フランス</t>
        </is>
      </c>
      <c r="J76" s="609">
        <f>IF(AND(ISNUMBER(G76),ISNUMBER(F76)),G76-F76,"")</f>
        <v/>
      </c>
      <c r="K76" s="610">
        <f>IF(ISNUMBER(J76),J76*C76,"")</f>
        <v/>
      </c>
      <c r="L76" s="610" t="n">
        <v>13910.71428571429</v>
      </c>
      <c r="M76" s="610" t="n">
        <v>27957.19698710334</v>
      </c>
      <c r="O76" t="inlineStr">
        <is>
          <t>△</t>
        </is>
      </c>
    </row>
    <row r="77">
      <c r="A77" t="inlineStr">
        <is>
          <t>2831000714660</t>
        </is>
      </c>
      <c r="B77" t="inlineStr">
        <is>
          <t>ホテルブレッド生地ＫＩＴ</t>
        </is>
      </c>
      <c r="C77" s="609" t="n">
        <v>290</v>
      </c>
      <c r="D77" s="609" t="n">
        <v>1934</v>
      </c>
      <c r="E77" s="609" t="n">
        <v>2412.879310344827</v>
      </c>
      <c r="F77" s="609" t="n">
        <v>478.8793103448276</v>
      </c>
      <c r="G77" s="609" t="n">
        <v>7.8796875</v>
      </c>
      <c r="H77" t="inlineStr">
        <is>
          <t>②釜ホテルブレッド:kg→【ＱＣＳ】ホテルブレッド生地（包装）=0.13円 / ③スホテルブレッド:kg→【ＱＣＳ】ホテルブレッド生地（包装）=0.25円 / ⑩盛ホテルブレッド生地:個=7.5円</t>
        </is>
      </c>
      <c r="J77" s="609">
        <f>IF(AND(ISNUMBER(G77),ISNUMBER(F77)),G77-F77,"")</f>
        <v/>
      </c>
      <c r="K77" s="610">
        <f>IF(ISNUMBER(J77),J77*C77,"")</f>
        <v/>
      </c>
      <c r="L77" s="610" t="n">
        <v>407.3235246975568</v>
      </c>
      <c r="M77" s="610" t="n">
        <v>562.3526032720494</v>
      </c>
      <c r="O77" t="inlineStr">
        <is>
          <t>△</t>
        </is>
      </c>
    </row>
    <row r="78">
      <c r="A78" t="inlineStr">
        <is>
          <t>2831000726205</t>
        </is>
      </c>
      <c r="B78" t="inlineStr">
        <is>
          <t>スペアリブＫＩＴ</t>
        </is>
      </c>
      <c r="C78" s="609" t="n">
        <v>131</v>
      </c>
      <c r="D78" s="609" t="n">
        <v>3122.290076335878</v>
      </c>
      <c r="E78" s="609" t="n">
        <v>4003</v>
      </c>
      <c r="F78" s="609" t="n">
        <v>880.7099236641221</v>
      </c>
      <c r="G78" s="609" t="n"/>
      <c r="H78" t="inlineStr">
        <is>
          <t>工程記録なし</t>
        </is>
      </c>
      <c r="J78" s="609">
        <f>IF(AND(ISNUMBER(G78),ISNUMBER(F78)),G78-F78,"")</f>
        <v/>
      </c>
      <c r="K78" s="610">
        <f>IF(ISNUMBER(J78),J78*C78,"")</f>
        <v/>
      </c>
      <c r="L78" s="610" t="n">
        <v>408020.8877551021</v>
      </c>
      <c r="M78" s="610" t="n">
        <v>60848.96899687573</v>
      </c>
      <c r="O78" t="inlineStr">
        <is>
          <t>×</t>
        </is>
      </c>
    </row>
    <row r="79">
      <c r="A79" t="inlineStr">
        <is>
          <t>4522646139044</t>
        </is>
      </c>
      <c r="B79" t="inlineStr">
        <is>
          <t>Ｓふわもちホテルロール１６</t>
        </is>
      </c>
      <c r="C79" s="609" t="n">
        <v>1032</v>
      </c>
      <c r="D79" s="609" t="n">
        <v>171.1046511627907</v>
      </c>
      <c r="E79" s="609" t="n">
        <v>259.2606589147287</v>
      </c>
      <c r="F79" s="609" t="n">
        <v>88.15600775193798</v>
      </c>
      <c r="G79" s="609" t="n">
        <v>1.0805625</v>
      </c>
      <c r="H79" t="inlineStr">
        <is>
          <t>②釜ホテルロール:kg→【ＱＣＳ】ホテルロール焼成=0.34円 / ③スホテルロール:kg→【ＱＣＳ】ホテルロール焼成=0.68円 / ⑫ミホテルロール:kg→【ＱＣＳ】ホテルロール焼成=0.02円 / ⑬計ホテルロール:kg→【ＱＣＳ】ホテルロール焼成=0.05円</t>
        </is>
      </c>
      <c r="J79" s="609">
        <f>IF(AND(ISNUMBER(G79),ISNUMBER(F79)),G79-F79,"")</f>
        <v/>
      </c>
      <c r="K79" s="610">
        <f>IF(ISNUMBER(J79),J79*C79,"")</f>
        <v/>
      </c>
      <c r="L79" s="610" t="n">
        <v>3865.359792991988</v>
      </c>
      <c r="M79" s="610" t="n">
        <v>5336.532290360968</v>
      </c>
      <c r="O79" t="inlineStr">
        <is>
          <t>△</t>
        </is>
      </c>
    </row>
    <row r="80">
      <c r="A80" t="inlineStr">
        <is>
          <t>2831000719122</t>
        </is>
      </c>
      <c r="B80" t="inlineStr">
        <is>
          <t>肉団子ＫＩＴ（４０個）３</t>
        </is>
      </c>
      <c r="C80" s="609" t="n">
        <v>5658</v>
      </c>
      <c r="D80" s="609" t="n">
        <v>377.8186638388123</v>
      </c>
      <c r="E80" s="609" t="n">
        <v>483.9346058677978</v>
      </c>
      <c r="F80" s="609" t="n">
        <v>106.1159420289855</v>
      </c>
      <c r="G80" s="609" t="n"/>
      <c r="H80" t="inlineStr">
        <is>
          <t>工程記録なし</t>
        </is>
      </c>
      <c r="J80" s="609">
        <f>IF(AND(ISNUMBER(G80),ISNUMBER(F80)),G80-F80,"")</f>
        <v/>
      </c>
      <c r="K80" s="610">
        <f>IF(ISNUMBER(J80),J80*C80,"")</f>
        <v/>
      </c>
      <c r="L80" s="610" t="n">
        <v>3023664.996817192</v>
      </c>
      <c r="M80" s="610" t="n">
        <v>49767.81271840225</v>
      </c>
      <c r="O80" t="inlineStr">
        <is>
          <t>×</t>
        </is>
      </c>
    </row>
    <row r="81">
      <c r="A81" t="inlineStr">
        <is>
          <t>2557943000000</t>
        </is>
      </c>
      <c r="B81" t="inlineStr">
        <is>
          <t>ミニシューＢＯＸ</t>
        </is>
      </c>
      <c r="C81" s="609" t="n">
        <v>664</v>
      </c>
      <c r="D81" s="609" t="n">
        <v>229.6551204819277</v>
      </c>
      <c r="E81" s="609" t="n">
        <v>327.9789156626506</v>
      </c>
      <c r="F81" s="609" t="n">
        <v>98.3237951807229</v>
      </c>
      <c r="G81" s="609" t="n"/>
      <c r="H81" t="inlineStr">
        <is>
          <t>工程記録なし</t>
        </is>
      </c>
      <c r="J81" s="609">
        <f>IF(AND(ISNUMBER(G81),ISNUMBER(F81)),G81-F81,"")</f>
        <v/>
      </c>
      <c r="K81" s="610">
        <f>IF(ISNUMBER(J81),J81*C81,"")</f>
        <v/>
      </c>
      <c r="L81" s="610" t="n">
        <v>134534.6679200333</v>
      </c>
      <c r="M81" s="610" t="n">
        <v>32313.94195020052</v>
      </c>
      <c r="O81" t="inlineStr">
        <is>
          <t>×</t>
        </is>
      </c>
    </row>
    <row r="82">
      <c r="A82" t="inlineStr">
        <is>
          <t>2831000734415</t>
        </is>
      </c>
      <c r="B82" t="inlineStr">
        <is>
          <t>パインコンポートＫＩＴ</t>
        </is>
      </c>
      <c r="C82" s="609" t="n">
        <v>49</v>
      </c>
      <c r="D82" s="609" t="n">
        <v>2071.244897959184</v>
      </c>
      <c r="E82" s="609" t="n">
        <v>2655.755102040816</v>
      </c>
      <c r="F82" s="609" t="n">
        <v>584.5102040816327</v>
      </c>
      <c r="G82" s="609" t="n"/>
      <c r="H82" t="inlineStr">
        <is>
          <t>工程記録なし</t>
        </is>
      </c>
      <c r="J82" s="609">
        <f>IF(AND(ISNUMBER(G82),ISNUMBER(F82)),G82-F82,"")</f>
        <v/>
      </c>
      <c r="K82" s="610">
        <f>IF(ISNUMBER(J82),J82*C82,"")</f>
        <v/>
      </c>
      <c r="L82" s="610" t="n">
        <v>99995.27960000001</v>
      </c>
      <c r="M82" s="610" t="n">
        <v>39879.76561109126</v>
      </c>
      <c r="O82" t="inlineStr">
        <is>
          <t>×</t>
        </is>
      </c>
    </row>
    <row r="83">
      <c r="A83" t="inlineStr">
        <is>
          <t>2831000707686</t>
        </is>
      </c>
      <c r="B83" t="inlineStr">
        <is>
          <t>バタールＫＩＴ</t>
        </is>
      </c>
      <c r="C83" s="609" t="n">
        <v>302</v>
      </c>
      <c r="D83" s="609" t="n">
        <v>418</v>
      </c>
      <c r="E83" s="609" t="n">
        <v>536</v>
      </c>
      <c r="F83" s="609" t="n">
        <v>118</v>
      </c>
      <c r="G83" s="609" t="n">
        <v>18.75</v>
      </c>
      <c r="H83" t="inlineStr">
        <is>
          <t>⑩盛バタール:個=18.75円</t>
        </is>
      </c>
      <c r="J83" s="609">
        <f>IF(AND(ISNUMBER(G83),ISNUMBER(F83)),G83-F83,"")</f>
        <v/>
      </c>
      <c r="K83" s="610">
        <f>IF(ISNUMBER(J83),J83*C83,"")</f>
        <v/>
      </c>
      <c r="L83" s="610" t="n">
        <v>3402.122448979592</v>
      </c>
      <c r="M83" s="610" t="n">
        <v>5759.868699226199</v>
      </c>
      <c r="O83" t="inlineStr">
        <is>
          <t>△</t>
        </is>
      </c>
    </row>
    <row r="84">
      <c r="A84" t="inlineStr">
        <is>
          <t>2831000722092</t>
        </is>
      </c>
      <c r="B84" t="inlineStr">
        <is>
          <t>ホテルロールＫＩＴ　４０個</t>
        </is>
      </c>
      <c r="C84" s="609" t="n">
        <v>56</v>
      </c>
      <c r="D84" s="609" t="n">
        <v>408.0178571428572</v>
      </c>
      <c r="E84" s="609" t="n">
        <v>510.0178571428572</v>
      </c>
      <c r="F84" s="609" t="n">
        <v>102</v>
      </c>
      <c r="G84" s="609" t="n">
        <v>59.6298204283579</v>
      </c>
      <c r="H84" t="inlineStr">
        <is>
          <t>⑩盛ホテルロール3個:個=2.74円 / ⑩盛ホテルロール8個:個=0.31円 / ⑩盛ホテルロール16個:個=0.33円 / ⑩盛ホテルロール40個:個=56.25円</t>
        </is>
      </c>
      <c r="I84" t="inlineStr">
        <is>
          <t>ホテルロール、ホテルロール、ホテルロール、ホテルロール</t>
        </is>
      </c>
      <c r="J84" s="609">
        <f>IF(AND(ISNUMBER(G84),ISNUMBER(F84)),G84-F84,"")</f>
        <v/>
      </c>
      <c r="K84" s="610">
        <f>IF(ISNUMBER(J84),J84*C84,"")</f>
        <v/>
      </c>
      <c r="L84" s="610" t="n">
        <v>22866.48</v>
      </c>
      <c r="M84" s="610" t="n">
        <v>31569.49934485224</v>
      </c>
      <c r="O84" t="inlineStr">
        <is>
          <t>△</t>
        </is>
      </c>
    </row>
    <row r="85">
      <c r="A85" t="inlineStr">
        <is>
          <t>2555056000000</t>
        </is>
      </c>
      <c r="B85" t="inlineStr">
        <is>
          <t>ふわもちホテルロール３個</t>
        </is>
      </c>
      <c r="C85" s="609" t="n">
        <v>1546</v>
      </c>
      <c r="D85" s="609" t="n">
        <v>39.14489003880983</v>
      </c>
      <c r="E85" s="609" t="n">
        <v>58.58020698576973</v>
      </c>
      <c r="F85" s="609" t="n">
        <v>19.4353169469599</v>
      </c>
      <c r="G85" s="609" t="n">
        <v>59.8324258971079</v>
      </c>
      <c r="H85" t="inlineStr">
        <is>
          <t>②釜ホテルロール:kg→【ＱＣＳ】ホテルロール焼成=0.06円 / ③スホテルロール:kg→【ＱＣＳ】ホテルロール焼成=0.13円 / ⑩盛ホテルロール3個:個=2.74円 / ⑩盛ホテルロール8個:個=0.31円 / ⑩盛ホテルロール16個:個=0.33円 / ⑩盛ホテルロール40個:個=56.25円 / ⑫ミホテルロール:kg→【ＱＣＳ】ホテルロール焼成=0.0円 / ⑬計ホテルロール:kg→【ＱＣＳ】ホテルロール焼成=0.01円</t>
        </is>
      </c>
      <c r="J85" s="609">
        <f>IF(AND(ISNUMBER(G85),ISNUMBER(F85)),G85-F85,"")</f>
        <v/>
      </c>
      <c r="K85" s="610">
        <f>IF(ISNUMBER(J85),J85*C85,"")</f>
        <v/>
      </c>
      <c r="L85" s="610" t="n">
        <v>1085.727877900729</v>
      </c>
      <c r="M85" s="610" t="n">
        <v>1498.960559756187</v>
      </c>
      <c r="O85" t="inlineStr">
        <is>
          <t>△</t>
        </is>
      </c>
    </row>
    <row r="86">
      <c r="A86" t="inlineStr">
        <is>
          <t>4522646139020</t>
        </is>
      </c>
      <c r="B86" t="inlineStr">
        <is>
          <t>Ｓふわもちホテルロール８個</t>
        </is>
      </c>
      <c r="C86" s="609" t="n">
        <v>2685</v>
      </c>
      <c r="D86" s="609" t="n">
        <v>88.64767225325885</v>
      </c>
      <c r="E86" s="609" t="n">
        <v>134.3214152700186</v>
      </c>
      <c r="F86" s="609" t="n">
        <v>45.67374301675977</v>
      </c>
      <c r="G86" s="609" t="n">
        <v>0.54028125</v>
      </c>
      <c r="H86" t="inlineStr">
        <is>
          <t>②釜ホテルロール:kg→【ＱＣＳ】ホテルロール焼成=0.17円 / ③スホテルロール:kg→【ＱＣＳ】ホテルロール焼成=0.34円 / ⑫ミホテルロール:kg→【ＱＣＳ】ホテルロール焼成=0.01円 / ⑬計ホテルロール:kg→【ＱＣＳ】ホテルロール焼成=0.02円</t>
        </is>
      </c>
      <c r="J86" s="609">
        <f>IF(AND(ISNUMBER(G86),ISNUMBER(F86)),G86-F86,"")</f>
        <v/>
      </c>
      <c r="K86" s="610">
        <f>IF(ISNUMBER(J86),J86*C86,"")</f>
        <v/>
      </c>
      <c r="L86" s="610" t="n">
        <v>5028.338684197427</v>
      </c>
      <c r="M86" s="610" t="n">
        <v>6942.145930048062</v>
      </c>
      <c r="O86" t="inlineStr">
        <is>
          <t>△</t>
        </is>
      </c>
    </row>
    <row r="87">
      <c r="A87" t="inlineStr">
        <is>
          <t>2831000599120</t>
        </is>
      </c>
      <c r="B87" t="inlineStr">
        <is>
          <t>ミックスピザ４</t>
        </is>
      </c>
      <c r="C87" s="609" t="n">
        <v>2578</v>
      </c>
      <c r="D87" s="609" t="n">
        <v>190.5201706749418</v>
      </c>
      <c r="E87" s="609" t="n">
        <v>239.2094647013189</v>
      </c>
      <c r="F87" s="609" t="n">
        <v>48.68929402637703</v>
      </c>
      <c r="G87" s="609" t="n"/>
      <c r="H87" t="inlineStr">
        <is>
          <t>工程記録なし</t>
        </is>
      </c>
      <c r="J87" s="609">
        <f>IF(AND(ISNUMBER(G87),ISNUMBER(F87)),G87-F87,"")</f>
        <v/>
      </c>
      <c r="K87" s="610">
        <f>IF(ISNUMBER(J87),J87*C87,"")</f>
        <v/>
      </c>
      <c r="L87" s="610" t="n">
        <v>104228.6989279545</v>
      </c>
      <c r="M87" s="610" t="n">
        <v>20264.56717973141</v>
      </c>
      <c r="O87" t="inlineStr">
        <is>
          <t>×</t>
        </is>
      </c>
    </row>
    <row r="88">
      <c r="A88" t="inlineStr">
        <is>
          <t>2831000719504</t>
        </is>
      </c>
      <c r="B88" t="inlineStr">
        <is>
          <t>ソフトフランスパンＫＩＴ</t>
        </is>
      </c>
      <c r="C88" s="609" t="n">
        <v>108</v>
      </c>
      <c r="D88" s="609" t="n">
        <v>758.2129629629629</v>
      </c>
      <c r="E88" s="609" t="n">
        <v>948</v>
      </c>
      <c r="F88" s="609" t="n">
        <v>189.787037037037</v>
      </c>
      <c r="G88" s="609" t="n">
        <v>112.5</v>
      </c>
      <c r="H88" t="inlineStr">
        <is>
          <t>⑩盛ソフトフランスパン:個=112.5円</t>
        </is>
      </c>
      <c r="J88" s="609">
        <f>IF(AND(ISNUMBER(G88),ISNUMBER(F88)),G88-F88,"")</f>
        <v/>
      </c>
      <c r="K88" s="610">
        <f>IF(ISNUMBER(J88),J88*C88,"")</f>
        <v/>
      </c>
      <c r="L88" s="610" t="n">
        <v>3791.020408163265</v>
      </c>
      <c r="M88" s="610" t="n">
        <v>3765.440650275426</v>
      </c>
      <c r="O88" t="inlineStr">
        <is>
          <t>○</t>
        </is>
      </c>
    </row>
    <row r="89">
      <c r="A89" t="inlineStr">
        <is>
          <t>2831000274577</t>
        </is>
      </c>
      <c r="B89" t="inlineStr">
        <is>
          <t>南蛮（生もも）１０枚ＫＩＴ</t>
        </is>
      </c>
      <c r="C89" s="609" t="n">
        <v>16</v>
      </c>
      <c r="D89" s="609" t="n">
        <v>948</v>
      </c>
      <c r="E89" s="609" t="n">
        <v>1203</v>
      </c>
      <c r="F89" s="609" t="n">
        <v>255</v>
      </c>
      <c r="G89" s="609" t="n"/>
      <c r="H89" t="inlineStr">
        <is>
          <t>工程記録なし</t>
        </is>
      </c>
      <c r="J89" s="609">
        <f>IF(AND(ISNUMBER(G89),ISNUMBER(F89)),G89-F89,"")</f>
        <v/>
      </c>
      <c r="K89" s="610">
        <f>IF(ISNUMBER(J89),J89*C89,"")</f>
        <v/>
      </c>
      <c r="L89" s="610" t="n">
        <v>15020.40816326531</v>
      </c>
      <c r="M89" s="610" t="n">
        <v>-15020.40816326531</v>
      </c>
      <c r="O89" t="inlineStr">
        <is>
          <t>×</t>
        </is>
      </c>
    </row>
    <row r="90">
      <c r="A90" t="inlineStr">
        <is>
          <t>2831000714318</t>
        </is>
      </c>
      <c r="B90" t="inlineStr">
        <is>
          <t>鶏もも角切りＫＩＴ（塩胡椒</t>
        </is>
      </c>
      <c r="C90" s="609" t="n">
        <v>15</v>
      </c>
      <c r="D90" s="609" t="n">
        <v>1343.266666666667</v>
      </c>
      <c r="E90" s="609" t="n">
        <v>1657</v>
      </c>
      <c r="F90" s="609" t="n">
        <v>313.7333333333333</v>
      </c>
      <c r="G90" s="609" t="n"/>
      <c r="H90" t="inlineStr">
        <is>
          <t>工程記録なし</t>
        </is>
      </c>
      <c r="J90" s="609">
        <f>IF(AND(ISNUMBER(G90),ISNUMBER(F90)),G90-F90,"")</f>
        <v/>
      </c>
      <c r="K90" s="610">
        <f>IF(ISNUMBER(J90),J90*C90,"")</f>
        <v/>
      </c>
      <c r="L90" s="610" t="n">
        <v>16689.79591836734</v>
      </c>
      <c r="M90" s="610" t="n">
        <v>11097.93693507732</v>
      </c>
      <c r="O90" t="inlineStr">
        <is>
          <t>×</t>
        </is>
      </c>
    </row>
    <row r="91">
      <c r="A91" t="inlineStr">
        <is>
          <t>2831000568690</t>
        </is>
      </c>
      <c r="B91" t="inlineStr">
        <is>
          <t>たっぷりトマトピザＫＩＴ</t>
        </is>
      </c>
      <c r="C91" s="609" t="n">
        <v>176</v>
      </c>
      <c r="D91" s="609" t="n">
        <v>173.6363636363636</v>
      </c>
      <c r="E91" s="609" t="n">
        <v>218.6363636363636</v>
      </c>
      <c r="F91" s="609" t="n">
        <v>45</v>
      </c>
      <c r="G91" s="609" t="n"/>
      <c r="H91" t="inlineStr">
        <is>
          <t>工程記録なし</t>
        </is>
      </c>
      <c r="J91" s="609">
        <f>IF(AND(ISNUMBER(G91),ISNUMBER(F91)),G91-F91,"")</f>
        <v/>
      </c>
      <c r="K91" s="610">
        <f>IF(ISNUMBER(J91),J91*C91,"")</f>
        <v/>
      </c>
      <c r="L91" s="610" t="n">
        <v>4363.87641106605</v>
      </c>
      <c r="M91" s="610" t="n">
        <v>-88.63765413236308</v>
      </c>
      <c r="O91" t="inlineStr">
        <is>
          <t>×</t>
        </is>
      </c>
    </row>
    <row r="92">
      <c r="A92" t="inlineStr">
        <is>
          <t>4522646106688</t>
        </is>
      </c>
      <c r="B92" t="inlineStr">
        <is>
          <t>Ｓメロン塩パン２個入</t>
        </is>
      </c>
      <c r="C92" s="609" t="n">
        <v>120</v>
      </c>
      <c r="D92" s="609" t="n">
        <v>111.5</v>
      </c>
      <c r="E92" s="609" t="n">
        <v>168.25</v>
      </c>
      <c r="F92" s="609" t="n">
        <v>56.75</v>
      </c>
      <c r="G92" s="609" t="n">
        <v>5.794422512755103</v>
      </c>
      <c r="H92" t="inlineStr">
        <is>
          <t>②釜塩パン:kg→【ＱＣＳ】メロン塩パン焼成=0.04円 / ③ス塩パン:kg→【ＱＣＳ】メロン塩パン焼成=0.08円 / ⑩盛メロン塩パンKIT:個=5.36円 / ⑩盛メロン塩パン2個:個=0.19円 / ⑫ミメロン塩パン:kg→【ＱＣＳ】メロン塩パン焼成=0.01円 / ⑫ミ塩パン:kg→【ＱＣＳ】メロン塩パン焼成=0.01円 / ⑬計メロン塩パン:kg→【ＱＣＳ】メロン塩パン焼成=0.05円 / ⑬計塩パン:kg→【ＱＣＳ】メロン塩パン焼成=0.06円</t>
        </is>
      </c>
      <c r="J92" s="609">
        <f>IF(AND(ISNUMBER(G92),ISNUMBER(F92)),G92-F92,"")</f>
        <v/>
      </c>
      <c r="K92" s="610">
        <f>IF(ISNUMBER(J92),J92*C92,"")</f>
        <v/>
      </c>
      <c r="L92" s="610" t="n">
        <v>145.5996685713575</v>
      </c>
      <c r="M92" s="610" t="n">
        <v>262.8316912850144</v>
      </c>
      <c r="O92" t="inlineStr">
        <is>
          <t>△</t>
        </is>
      </c>
    </row>
    <row r="93">
      <c r="A93" t="inlineStr">
        <is>
          <t>4522646101720</t>
        </is>
      </c>
      <c r="B93" t="inlineStr">
        <is>
          <t>Ｓ蜜いもスイートポテト小</t>
        </is>
      </c>
      <c r="C93" s="609" t="n">
        <v>90</v>
      </c>
      <c r="D93" s="609" t="n">
        <v>137.6333333333333</v>
      </c>
      <c r="E93" s="609" t="n">
        <v>187.2222222222222</v>
      </c>
      <c r="F93" s="609" t="n">
        <v>49.58888888888889</v>
      </c>
      <c r="G93" s="609" t="n">
        <v>17.26768867924528</v>
      </c>
      <c r="H93" t="inlineStr">
        <is>
          <t>③ススイートポテト大小（スチコン焼き）:個=6.75円 / ③ススイートポテト大小（スチコン解凍）:個=1.69円 / ⑩盛スイートポテト大小（盛り込み）:個=7.48円 / ⑪Zスイートポテト大小（ZEN）:個=1.35円</t>
        </is>
      </c>
      <c r="I93" t="inlineStr">
        <is>
          <t>スイートポテト解凍、スイートポテト、スイートポテト</t>
        </is>
      </c>
      <c r="J93" s="609">
        <f>IF(AND(ISNUMBER(G93),ISNUMBER(F93)),G93-F93,"")</f>
        <v/>
      </c>
      <c r="K93" s="610">
        <f>IF(ISNUMBER(J93),J93*C93,"")</f>
        <v/>
      </c>
      <c r="L93" s="610" t="n">
        <v>9068.811595547309</v>
      </c>
      <c r="M93" s="610" t="n">
        <v>460.7526315812715</v>
      </c>
      <c r="O93" t="inlineStr">
        <is>
          <t>△</t>
        </is>
      </c>
    </row>
    <row r="94">
      <c r="A94" t="inlineStr">
        <is>
          <t>4522646201949</t>
        </is>
      </c>
      <c r="B94" t="inlineStr">
        <is>
          <t>Ｃ素材を感じる焼き芋ロール</t>
        </is>
      </c>
      <c r="C94" s="609" t="n">
        <v>57</v>
      </c>
      <c r="D94" s="609" t="n">
        <v>219.5087719298245</v>
      </c>
      <c r="E94" s="609" t="n">
        <v>314.1754385964912</v>
      </c>
      <c r="F94" s="609" t="n">
        <v>94.66666666666667</v>
      </c>
      <c r="G94" s="609" t="n"/>
      <c r="H94" t="inlineStr">
        <is>
          <t>工程記録なし</t>
        </is>
      </c>
      <c r="J94" s="609">
        <f>IF(AND(ISNUMBER(G94),ISNUMBER(F94)),G94-F94,"")</f>
        <v/>
      </c>
      <c r="K94" s="610">
        <f>IF(ISNUMBER(J94),J94*C94,"")</f>
        <v/>
      </c>
      <c r="L94" s="610" t="n">
        <v>10422.10649129114</v>
      </c>
      <c r="M94" s="610" t="n">
        <v>4163.134320294122</v>
      </c>
      <c r="O94" t="inlineStr">
        <is>
          <t>×</t>
        </is>
      </c>
    </row>
    <row r="95">
      <c r="A95" t="inlineStr">
        <is>
          <t>2555045000000</t>
        </is>
      </c>
      <c r="B95" t="inlineStr">
        <is>
          <t>全粒粉入り湯種ロール３個</t>
        </is>
      </c>
      <c r="C95" s="609" t="n">
        <v>824</v>
      </c>
      <c r="D95" s="609" t="n">
        <v>46.09101941747573</v>
      </c>
      <c r="E95" s="609" t="n">
        <v>69.56917475728156</v>
      </c>
      <c r="F95" s="609" t="n">
        <v>23.47815533980582</v>
      </c>
      <c r="G95" s="609" t="n">
        <v>4.394926477234281</v>
      </c>
      <c r="H95" t="inlineStr">
        <is>
          <t>②釜湯種ロールパン:kg→【ＱＣＳ】全粒粉入り湯種ロールパン焼成=0.06円 / ③ス湯種ロールパン:kg→【ＱＣＳ】全粒粉入り湯種ロールパン焼成=0.12円 / ⑩盛湯種ロール3個入り:個=3.88円 / ⑩盛湯種ロール6個入り:個=0.33円 / ⑫ミ湯種ロール:kg→【ＱＣＳ】全粒粉入り湯種ロールパン焼成=0.01円 / ⑬計湯種ロール:kg→【ＱＣＳ】全粒粉入り湯種ロールパン焼成=0.0円</t>
        </is>
      </c>
      <c r="J95" s="609">
        <f>IF(AND(ISNUMBER(G95),ISNUMBER(F95)),G95-F95,"")</f>
        <v/>
      </c>
      <c r="K95" s="610">
        <f>IF(ISNUMBER(J95),J95*C95,"")</f>
        <v/>
      </c>
      <c r="L95" s="610" t="n">
        <v>800.5123680448629</v>
      </c>
      <c r="M95" s="610" t="n">
        <v>1041.347687019197</v>
      </c>
      <c r="O95" t="inlineStr">
        <is>
          <t>△</t>
        </is>
      </c>
    </row>
    <row r="96">
      <c r="A96" t="inlineStr">
        <is>
          <t>4522646201918</t>
        </is>
      </c>
      <c r="B96" t="inlineStr">
        <is>
          <t>Ｃもちっと芋の暴れん坊</t>
        </is>
      </c>
      <c r="C96" s="609" t="n">
        <v>57</v>
      </c>
      <c r="D96" s="609" t="n">
        <v>142</v>
      </c>
      <c r="E96" s="609" t="n">
        <v>203</v>
      </c>
      <c r="F96" s="609" t="n">
        <v>61</v>
      </c>
      <c r="G96" s="609" t="n"/>
      <c r="H96" t="inlineStr">
        <is>
          <t>工程記録なし</t>
        </is>
      </c>
      <c r="J96" s="609">
        <f>IF(AND(ISNUMBER(G96),ISNUMBER(F96)),G96-F96,"")</f>
        <v/>
      </c>
      <c r="K96" s="610">
        <f>IF(ISNUMBER(J96),J96*C96,"")</f>
        <v/>
      </c>
      <c r="L96" s="610" t="n">
        <v>4189.27137511933</v>
      </c>
      <c r="M96" s="610" t="n">
        <v>1449.879415268</v>
      </c>
      <c r="O96" t="inlineStr">
        <is>
          <t>×</t>
        </is>
      </c>
    </row>
    <row r="97">
      <c r="A97" t="inlineStr">
        <is>
          <t>4522646201802</t>
        </is>
      </c>
      <c r="B97" t="inlineStr">
        <is>
          <t>Ｃパキとろっお芋ティラミス</t>
        </is>
      </c>
      <c r="C97" s="609" t="n">
        <v>57</v>
      </c>
      <c r="D97" s="609" t="n">
        <v>125</v>
      </c>
      <c r="E97" s="609" t="n">
        <v>179.3333333333333</v>
      </c>
      <c r="F97" s="609" t="n">
        <v>54.33333333333334</v>
      </c>
      <c r="G97" s="609" t="n"/>
      <c r="H97" t="inlineStr">
        <is>
          <t>工程記録なし</t>
        </is>
      </c>
      <c r="J97" s="609">
        <f>IF(AND(ISNUMBER(G97),ISNUMBER(F97)),G97-F97,"")</f>
        <v/>
      </c>
      <c r="K97" s="610">
        <f>IF(ISNUMBER(J97),J97*C97,"")</f>
        <v/>
      </c>
      <c r="L97" s="610" t="n">
        <v>6418.025880333951</v>
      </c>
      <c r="M97" s="610" t="n">
        <v>985.9303826475671</v>
      </c>
      <c r="O97" t="inlineStr">
        <is>
          <t>×</t>
        </is>
      </c>
    </row>
    <row r="98">
      <c r="A98" t="inlineStr">
        <is>
          <t>4522646201826</t>
        </is>
      </c>
      <c r="B98" t="inlineStr">
        <is>
          <t>Ｃお芋ムースのパンナコッタ</t>
        </is>
      </c>
      <c r="C98" s="609" t="n">
        <v>57</v>
      </c>
      <c r="D98" s="609" t="n">
        <v>142.6666666666667</v>
      </c>
      <c r="E98" s="609" t="n">
        <v>204</v>
      </c>
      <c r="F98" s="609" t="n">
        <v>61.33333333333334</v>
      </c>
      <c r="G98" s="609" t="n"/>
      <c r="H98" t="inlineStr">
        <is>
          <t>工程記録なし</t>
        </is>
      </c>
      <c r="J98" s="609">
        <f>IF(AND(ISNUMBER(G98),ISNUMBER(F98)),G98-F98,"")</f>
        <v/>
      </c>
      <c r="K98" s="610">
        <f>IF(ISNUMBER(J98),J98*C98,"")</f>
        <v/>
      </c>
      <c r="L98" s="610" t="n">
        <v>7317.839819666049</v>
      </c>
      <c r="M98" s="610" t="n">
        <v>829.7582580896403</v>
      </c>
      <c r="O98" t="inlineStr">
        <is>
          <t>×</t>
        </is>
      </c>
    </row>
    <row r="99">
      <c r="A99" t="inlineStr">
        <is>
          <t>2831000459066</t>
        </is>
      </c>
      <c r="B99" t="inlineStr">
        <is>
          <t>販促シール　かつ重帯シール</t>
        </is>
      </c>
      <c r="C99" s="609" t="n">
        <v>331</v>
      </c>
      <c r="D99" s="609" t="n">
        <v>1</v>
      </c>
      <c r="E99" s="609" t="n">
        <v>2</v>
      </c>
      <c r="F99" s="609" t="n">
        <v>1</v>
      </c>
      <c r="G99" s="609" t="n"/>
      <c r="H99" t="inlineStr">
        <is>
          <t>工程記録なし</t>
        </is>
      </c>
      <c r="J99" s="609">
        <f>IF(AND(ISNUMBER(G99),ISNUMBER(F99)),G99-F99,"")</f>
        <v/>
      </c>
      <c r="K99" s="610">
        <f>IF(ISNUMBER(J99),J99*C99,"")</f>
        <v/>
      </c>
      <c r="L99" s="610" t="n"/>
      <c r="M99" s="610" t="n"/>
      <c r="N99" t="inlineStr">
        <is>
          <t>レシピなし</t>
        </is>
      </c>
      <c r="O99" t="inlineStr">
        <is>
          <t>×</t>
        </is>
      </c>
    </row>
    <row r="100">
      <c r="A100" t="inlineStr">
        <is>
          <t>2831000459059</t>
        </is>
      </c>
      <c r="B100" t="inlineStr">
        <is>
          <t>販促シール　焼きそば</t>
        </is>
      </c>
      <c r="C100" s="609" t="n">
        <v>30</v>
      </c>
      <c r="D100" s="609" t="n">
        <v>1</v>
      </c>
      <c r="E100" s="609" t="n">
        <v>2</v>
      </c>
      <c r="F100" s="609" t="n">
        <v>1</v>
      </c>
      <c r="G100" s="609" t="n"/>
      <c r="H100" t="inlineStr">
        <is>
          <t>工程記録なし</t>
        </is>
      </c>
      <c r="J100" s="609">
        <f>IF(AND(ISNUMBER(G100),ISNUMBER(F100)),G100-F100,"")</f>
        <v/>
      </c>
      <c r="K100" s="610">
        <f>IF(ISNUMBER(J100),J100*C100,"")</f>
        <v/>
      </c>
      <c r="L100" s="610" t="n"/>
      <c r="M100" s="610" t="n"/>
      <c r="N100" t="inlineStr">
        <is>
          <t>レシピなし</t>
        </is>
      </c>
      <c r="O100" t="inlineStr">
        <is>
          <t>×</t>
        </is>
      </c>
    </row>
    <row r="101">
      <c r="A101" t="inlineStr">
        <is>
          <t>2831000459080</t>
        </is>
      </c>
      <c r="B101" t="inlineStr">
        <is>
          <t>販促シール　大玉たこ焼き</t>
        </is>
      </c>
      <c r="C101" s="609" t="n">
        <v>27</v>
      </c>
      <c r="D101" s="609" t="n">
        <v>1</v>
      </c>
      <c r="E101" s="609" t="n">
        <v>2</v>
      </c>
      <c r="F101" s="609" t="n">
        <v>1</v>
      </c>
      <c r="G101" s="609" t="n"/>
      <c r="H101" t="inlineStr">
        <is>
          <t>工程記録なし</t>
        </is>
      </c>
      <c r="J101" s="609">
        <f>IF(AND(ISNUMBER(G101),ISNUMBER(F101)),G101-F101,"")</f>
        <v/>
      </c>
      <c r="K101" s="610">
        <f>IF(ISNUMBER(J101),J101*C101,"")</f>
        <v/>
      </c>
      <c r="L101" s="610" t="n"/>
      <c r="M101" s="610" t="n"/>
      <c r="N101" t="inlineStr">
        <is>
          <t>レシピなし</t>
        </is>
      </c>
      <c r="O101" t="inlineStr">
        <is>
          <t>×</t>
        </is>
      </c>
    </row>
    <row r="102">
      <c r="A102" t="inlineStr">
        <is>
          <t>2831000475189</t>
        </is>
      </c>
      <c r="B102" t="inlineStr">
        <is>
          <t>販促シール　焼き鳥</t>
        </is>
      </c>
      <c r="C102" s="609" t="n">
        <v>19</v>
      </c>
      <c r="D102" s="609" t="n">
        <v>1</v>
      </c>
      <c r="E102" s="609" t="n">
        <v>2</v>
      </c>
      <c r="F102" s="609" t="n">
        <v>1</v>
      </c>
      <c r="G102" s="609" t="n"/>
      <c r="H102" t="inlineStr">
        <is>
          <t>工程記録なし</t>
        </is>
      </c>
      <c r="J102" s="609">
        <f>IF(AND(ISNUMBER(G102),ISNUMBER(F102)),G102-F102,"")</f>
        <v/>
      </c>
      <c r="K102" s="610">
        <f>IF(ISNUMBER(J102),J102*C102,"")</f>
        <v/>
      </c>
      <c r="L102" s="610" t="n"/>
      <c r="M102" s="610" t="n"/>
      <c r="N102" t="inlineStr">
        <is>
          <t>レシピなし</t>
        </is>
      </c>
      <c r="O102" t="inlineStr">
        <is>
          <t>×</t>
        </is>
      </c>
    </row>
    <row r="103">
      <c r="A103" t="inlineStr">
        <is>
          <t>2831000531106</t>
        </is>
      </c>
      <c r="B103" t="inlineStr">
        <is>
          <t>【店舗用】ブレンド米４Ｋ</t>
        </is>
      </c>
      <c r="C103" s="609" t="n">
        <v>2252</v>
      </c>
      <c r="D103" s="609" t="n">
        <v>10657.46003552398</v>
      </c>
      <c r="E103" s="609" t="n">
        <v>11307.46003552398</v>
      </c>
      <c r="F103" s="609" t="n">
        <v>650</v>
      </c>
      <c r="G103" s="609" t="n"/>
      <c r="H103" t="inlineStr">
        <is>
          <t>工程記録なし</t>
        </is>
      </c>
      <c r="J103" s="609">
        <f>IF(AND(ISNUMBER(G103),ISNUMBER(F103)),G103-F103,"")</f>
        <v/>
      </c>
      <c r="K103" s="610">
        <f>IF(ISNUMBER(J103),J103*C103,"")</f>
        <v/>
      </c>
      <c r="L103" s="610" t="n"/>
      <c r="M103" s="610" t="n"/>
      <c r="N103" t="inlineStr">
        <is>
          <t>レシピなし</t>
        </is>
      </c>
      <c r="O103" t="inlineStr">
        <is>
          <t>×</t>
        </is>
      </c>
    </row>
    <row r="104">
      <c r="A104" s="611" t="n"/>
      <c r="B104" s="611" t="inlineStr">
        <is>
          <t>合計(全商品の原料按分 / 加工賃は○のみ)</t>
        </is>
      </c>
      <c r="C104" s="611" t="n"/>
      <c r="D104" s="611" t="n"/>
      <c r="E104" s="611" t="n"/>
      <c r="F104" s="611" t="n"/>
      <c r="G104" s="611" t="n"/>
      <c r="H104" s="611" t="n"/>
      <c r="I104" s="611" t="n"/>
      <c r="J104" s="611" t="n"/>
      <c r="K104" s="612">
        <f>SUMIF(O2:O103,"○",K2:K103)</f>
        <v/>
      </c>
      <c r="L104" s="612" t="n"/>
      <c r="M104" s="612">
        <f>SUM(M2:M103)</f>
        <v/>
      </c>
      <c r="N104" s="611" t="n"/>
      <c r="O104" s="611" t="n"/>
    </row>
    <row r="105">
      <c r="A105" s="611" t="n"/>
      <c r="B105" s="611" t="inlineStr">
        <is>
          <t>参考:△を含む加工賃乖離(下限値のため過小)</t>
        </is>
      </c>
      <c r="C105" s="611" t="n"/>
      <c r="D105" s="611" t="n"/>
      <c r="E105" s="611" t="n"/>
      <c r="F105" s="611" t="n"/>
      <c r="G105" s="611" t="n"/>
      <c r="H105" s="611" t="n"/>
      <c r="I105" s="611" t="n"/>
      <c r="J105" s="611" t="n"/>
      <c r="K105" s="612">
        <f>SUMIF(O2:O103,"○",K2:K103)+SUMIF(O2:O103,"△",K2:K103)</f>
        <v/>
      </c>
      <c r="L105" s="611" t="n"/>
      <c r="M105" s="612" t="n"/>
      <c r="N105" s="611" t="n"/>
      <c r="O105" s="611" t="n"/>
    </row>
    <row r="106">
      <c r="A106" s="611" t="n"/>
      <c r="B106" s="611" t="inlineStr">
        <is>
          <t>件数 ○/△/×</t>
        </is>
      </c>
      <c r="C106" s="611">
        <f>COUNTIF(O2:O103,"○")</f>
        <v/>
      </c>
      <c r="D106" s="611">
        <f>COUNTIF(O2:O103,"△")</f>
        <v/>
      </c>
      <c r="E106" s="611">
        <f>COUNTIF(O2:O103,"×")</f>
        <v/>
      </c>
      <c r="F106" s="611" t="n"/>
      <c r="G106" s="611" t="n"/>
      <c r="H106" s="611" t="n"/>
      <c r="I106" s="611" t="n"/>
      <c r="J106" s="611" t="n"/>
      <c r="K106" s="612" t="n"/>
      <c r="L106" s="611" t="n"/>
      <c r="M106" s="612" t="n"/>
      <c r="N106" s="611" t="n"/>
      <c r="O106" s="611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style="438" min="1" max="1"/>
  </cols>
  <sheetData>
    <row r="1">
      <c r="A1" t="inlineStr">
        <is>
          <t>益子CK 2026年9月 商品別の原料歩留乖離影響金額・加工賃乖離影響金額(工程記録から再計算版)</t>
        </is>
      </c>
    </row>
    <row r="2">
      <c r="A2" t="inlineStr">
        <is>
          <t>【実労務費】生産性管理ファイル(時給1,350円・2026/10/20 17:44保存版)の工程入力シートで、その商品にひもづいた行から計算。個数のある工程＝労務費÷個数。kgのみの工程＝円/kg×(レシピの中間品使用量kg/個)。今回の記録がない工程(盛り込み等)は、前回資料(㉑)の1食労務費を時給1,350/2,644で換算して加算。レシピの中間品名と工程名が合わないkg工程は「未算入」</t>
        </is>
      </c>
    </row>
    <row r="3">
      <c r="A3" t="inlineStr">
        <is>
          <t>【信頼度】○＝ひもづいた工程をすべて算入でき、設定加工賃の0.5〜2倍に収まる(記録が足りている目安)。△＝工程記録はあるが、未算入の工程がある、または設定と極端に違う(記録不足の疑いで過小)。×＝工程記録なし(空欄)。加工賃乖離の合計は○のみ</t>
        </is>
      </c>
    </row>
    <row r="4">
      <c r="A4" t="inlineStr">
        <is>
          <t>【設定加工賃】出荷実績シートの(PC原価−原価)の出荷数加重平均。影響金額＝(実労務費−設定加工賃)×9月出荷数。プラスは設定より費用増</t>
        </is>
      </c>
    </row>
    <row r="5">
      <c r="A5" t="inlineStr">
        <is>
          <t>【原料歩留乖離】原料別の差(実使用金額−理論金額)を、使う商品に理論金額の比で按分した概算。共用原料は使用量比の割り振りで、商品固有の実測ではない。対象はレシピがありg単位の166原料のみ</t>
        </is>
      </c>
    </row>
    <row r="6">
      <c r="A6" t="inlineStr">
        <is>
          <t>計算式:J=G−F、K=J×C、合計行はSUMIF。入力値(G列の実労務費・M列の按分額など)を直すと再計算される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2026-06-12T00:34:09Z</dcterms:created>
  <dcterms:modified xmlns:dcterms="http://purl.org/dc/terms/" xmlns:xsi="http://www.w3.org/2001/XMLSchema-instance" xsi:type="dcterms:W3CDTF">2026-10-21T03:06:01Z</dcterms:modified>
  <cp:lastModifiedBy>trcof 00264</cp:lastModifiedBy>
</cp:coreProperties>
</file>